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RAMCO Inbound Report" sheetId="1" state="visible" r:id="rId3"/>
    <sheet name="ARAMCO Outbound Report" sheetId="2" state="visible" r:id="rId4"/>
    <sheet name="Outbound2" sheetId="3" state="visible" r:id="rId5"/>
    <sheet name="PODs" sheetId="4" state="visible" r:id="rId6"/>
    <sheet name="Expiry" sheetId="5" state="visible" r:id="rId7"/>
  </sheets>
  <definedNames>
    <definedName function="false" hidden="true" localSheetId="0" name="_xlnm._FilterDatabase" vbProcedure="false">'ARAMCO Inbound Report'!$A$2:$M$1965</definedName>
    <definedName function="false" hidden="true" localSheetId="4" name="_xlnm._FilterDatabase" vbProcedure="false">Expiry!$A$1:$AB$8171</definedName>
    <definedName function="false" hidden="true" localSheetId="2" name="_xlnm._FilterDatabase" vbProcedure="false">Outbound2!$A$1:$S$1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<sst xmlns="http://schemas.openxmlformats.org/spreadsheetml/2006/main" count="105445" uniqueCount="13204">
  <si>
    <t xml:space="preserve">ARAMCO  Inbound Report</t>
  </si>
  <si>
    <t xml:space="preserve">Facility </t>
  </si>
  <si>
    <t xml:space="preserve">Company</t>
  </si>
  <si>
    <t xml:space="preserve">Shipment_nbr</t>
  </si>
  <si>
    <t xml:space="preserve">LPN</t>
  </si>
  <si>
    <t xml:space="preserve">Create shipemnt D&amp;T</t>
  </si>
  <si>
    <t xml:space="preserve">Received LPN D&amp;T</t>
  </si>
  <si>
    <t xml:space="preserve">Received QTY</t>
  </si>
  <si>
    <t xml:space="preserve">Item Alternate Code</t>
  </si>
  <si>
    <t xml:space="preserve">Description</t>
  </si>
  <si>
    <t xml:space="preserve">Batch_nbr</t>
  </si>
  <si>
    <t xml:space="preserve">Production_date</t>
  </si>
  <si>
    <t xml:space="preserve">Expiry_date</t>
  </si>
  <si>
    <t xml:space="preserve">Jeddah</t>
  </si>
  <si>
    <t xml:space="preserve">ARAMCO</t>
  </si>
  <si>
    <t xml:space="preserve">ARC00000116</t>
  </si>
  <si>
    <t xml:space="preserve">VAL ULTRAMAX PRO HLP 68 DR 208 L KSA</t>
  </si>
  <si>
    <t xml:space="preserve">ARC00000105</t>
  </si>
  <si>
    <t xml:space="preserve">ARC00000092</t>
  </si>
  <si>
    <t xml:space="preserve">ARC00000107</t>
  </si>
  <si>
    <t xml:space="preserve">ARC00000109</t>
  </si>
  <si>
    <t xml:space="preserve">ARC00000111</t>
  </si>
  <si>
    <t xml:space="preserve">ARC00000113</t>
  </si>
  <si>
    <t xml:space="preserve">ARC00000114</t>
  </si>
  <si>
    <t xml:space="preserve">ARC00000115</t>
  </si>
  <si>
    <t xml:space="preserve">ARC00000112</t>
  </si>
  <si>
    <t xml:space="preserve">ARC00000110</t>
  </si>
  <si>
    <t xml:space="preserve">ARC00000108</t>
  </si>
  <si>
    <t xml:space="preserve">ARC00000106</t>
  </si>
  <si>
    <t xml:space="preserve">ARC00000091</t>
  </si>
  <si>
    <t xml:space="preserve">ARC00000093</t>
  </si>
  <si>
    <t xml:space="preserve">ARC00000104</t>
  </si>
  <si>
    <t xml:space="preserve">ARC00000103</t>
  </si>
  <si>
    <t xml:space="preserve">ARC00000102</t>
  </si>
  <si>
    <t xml:space="preserve">ARC00000094</t>
  </si>
  <si>
    <t xml:space="preserve">ARC00000101</t>
  </si>
  <si>
    <t xml:space="preserve">ARC00000095</t>
  </si>
  <si>
    <t xml:space="preserve">ARC00000100</t>
  </si>
  <si>
    <t xml:space="preserve">ARC00000096</t>
  </si>
  <si>
    <t xml:space="preserve">ARC00000097</t>
  </si>
  <si>
    <t xml:space="preserve">ARC00000099</t>
  </si>
  <si>
    <t xml:space="preserve">ARC00000098</t>
  </si>
  <si>
    <t xml:space="preserve">ARC00000118</t>
  </si>
  <si>
    <t xml:space="preserve">ARC00000119</t>
  </si>
  <si>
    <t xml:space="preserve">ARC00000117</t>
  </si>
  <si>
    <t xml:space="preserve">ARC00000120</t>
  </si>
  <si>
    <t xml:space="preserve">ARC00000060</t>
  </si>
  <si>
    <t xml:space="preserve">VAL ALL FLEET PLUS 15W40 DR 208 L KSA</t>
  </si>
  <si>
    <t xml:space="preserve">ARC00000049</t>
  </si>
  <si>
    <t xml:space="preserve">ARC00000042</t>
  </si>
  <si>
    <t xml:space="preserve">VAL ALL FLEET PLUS 20W50 DR 208 L KSA</t>
  </si>
  <si>
    <t xml:space="preserve">ARC00000041</t>
  </si>
  <si>
    <t xml:space="preserve">ARC00000050</t>
  </si>
  <si>
    <t xml:space="preserve">ARC00000043</t>
  </si>
  <si>
    <t xml:space="preserve">ARC00000046</t>
  </si>
  <si>
    <t xml:space="preserve">ARC00000045</t>
  </si>
  <si>
    <t xml:space="preserve">ARC00000044</t>
  </si>
  <si>
    <t xml:space="preserve">ARC00000048</t>
  </si>
  <si>
    <t xml:space="preserve">ARC00000047</t>
  </si>
  <si>
    <t xml:space="preserve">ARC00000038</t>
  </si>
  <si>
    <t xml:space="preserve">ARC00000051</t>
  </si>
  <si>
    <t xml:space="preserve">ARC00000052</t>
  </si>
  <si>
    <t xml:space="preserve">ARC00000053</t>
  </si>
  <si>
    <t xml:space="preserve">ARC00000039</t>
  </si>
  <si>
    <t xml:space="preserve">ARC00000040</t>
  </si>
  <si>
    <t xml:space="preserve">ARC00000054</t>
  </si>
  <si>
    <t xml:space="preserve">ARC00000037</t>
  </si>
  <si>
    <t xml:space="preserve">ARC00000036</t>
  </si>
  <si>
    <t xml:space="preserve">ARC00000055</t>
  </si>
  <si>
    <t xml:space="preserve">ARC00000035</t>
  </si>
  <si>
    <t xml:space="preserve">ARC00000056</t>
  </si>
  <si>
    <t xml:space="preserve">ARC00000057</t>
  </si>
  <si>
    <t xml:space="preserve">ARC00000034</t>
  </si>
  <si>
    <t xml:space="preserve">ARC00000033</t>
  </si>
  <si>
    <t xml:space="preserve">ARC00000058</t>
  </si>
  <si>
    <t xml:space="preserve">ARC00000032</t>
  </si>
  <si>
    <t xml:space="preserve">ARC00000059</t>
  </si>
  <si>
    <t xml:space="preserve">ARC00000031</t>
  </si>
  <si>
    <t xml:space="preserve">ARC00000074</t>
  </si>
  <si>
    <t xml:space="preserve">ARC00000081</t>
  </si>
  <si>
    <t xml:space="preserve">VAL ALL FLEET EXTRA 15W40 DR 208 L KSA</t>
  </si>
  <si>
    <t xml:space="preserve">ARC00000079</t>
  </si>
  <si>
    <t xml:space="preserve">ARC00000078</t>
  </si>
  <si>
    <t xml:space="preserve">ARC00000073</t>
  </si>
  <si>
    <t xml:space="preserve">ARC00000072</t>
  </si>
  <si>
    <t xml:space="preserve">ARC00000071</t>
  </si>
  <si>
    <t xml:space="preserve">JARC00000070</t>
  </si>
  <si>
    <t xml:space="preserve">ARC00000069</t>
  </si>
  <si>
    <t xml:space="preserve">ARC00000068</t>
  </si>
  <si>
    <t xml:space="preserve">ARC00000067</t>
  </si>
  <si>
    <t xml:space="preserve">ARC00000066</t>
  </si>
  <si>
    <t xml:space="preserve">ARC00000065</t>
  </si>
  <si>
    <t xml:space="preserve">ARC00000064</t>
  </si>
  <si>
    <t xml:space="preserve">ARC00000063</t>
  </si>
  <si>
    <t xml:space="preserve">ARC00000062</t>
  </si>
  <si>
    <t xml:space="preserve">ARC00000061</t>
  </si>
  <si>
    <t xml:space="preserve">ARC00000090</t>
  </si>
  <si>
    <t xml:space="preserve">ARC00000089</t>
  </si>
  <si>
    <t xml:space="preserve">ARC00000088</t>
  </si>
  <si>
    <t xml:space="preserve">ARC00000087</t>
  </si>
  <si>
    <t xml:space="preserve">ARC00000086</t>
  </si>
  <si>
    <t xml:space="preserve">ARC00000085</t>
  </si>
  <si>
    <t xml:space="preserve">ARC00000084</t>
  </si>
  <si>
    <t xml:space="preserve">ARC00000083</t>
  </si>
  <si>
    <t xml:space="preserve">ARC00000082</t>
  </si>
  <si>
    <t xml:space="preserve">ARC00000080</t>
  </si>
  <si>
    <t xml:space="preserve">ARC00000077</t>
  </si>
  <si>
    <t xml:space="preserve">ARC00000076</t>
  </si>
  <si>
    <t xml:space="preserve">ARC00000075</t>
  </si>
  <si>
    <t xml:space="preserve">Dammam</t>
  </si>
  <si>
    <t xml:space="preserve">KARMC00000029</t>
  </si>
  <si>
    <t xml:space="preserve">KARMC00000004</t>
  </si>
  <si>
    <t xml:space="preserve">KARMC00000030</t>
  </si>
  <si>
    <t xml:space="preserve">KARMC00000013</t>
  </si>
  <si>
    <t xml:space="preserve">KARMC00000014</t>
  </si>
  <si>
    <t xml:space="preserve">KARMC00000015</t>
  </si>
  <si>
    <t xml:space="preserve">KARMC00000016</t>
  </si>
  <si>
    <t xml:space="preserve">KARMC00000017</t>
  </si>
  <si>
    <t xml:space="preserve">KARMC00000018</t>
  </si>
  <si>
    <t xml:space="preserve">KARMC00000019</t>
  </si>
  <si>
    <t xml:space="preserve">KARMC00000020</t>
  </si>
  <si>
    <t xml:space="preserve">KARMC00000012</t>
  </si>
  <si>
    <t xml:space="preserve">KARMC00000011</t>
  </si>
  <si>
    <t xml:space="preserve">KARMC00000010</t>
  </si>
  <si>
    <t xml:space="preserve">KARMC00000009</t>
  </si>
  <si>
    <t xml:space="preserve">KARMC00000008</t>
  </si>
  <si>
    <t xml:space="preserve">KARMC00000006</t>
  </si>
  <si>
    <t xml:space="preserve">KARMC00000021</t>
  </si>
  <si>
    <t xml:space="preserve">KARMC00000023</t>
  </si>
  <si>
    <t xml:space="preserve">KARMC00000024</t>
  </si>
  <si>
    <t xml:space="preserve">KARMC00000022</t>
  </si>
  <si>
    <t xml:space="preserve">KARMC00000025</t>
  </si>
  <si>
    <t xml:space="preserve">KARMC00000026</t>
  </si>
  <si>
    <t xml:space="preserve"> KARMC00000007</t>
  </si>
  <si>
    <t xml:space="preserve">KARMC00000005</t>
  </si>
  <si>
    <t xml:space="preserve">KARMC00000003</t>
  </si>
  <si>
    <t xml:space="preserve">KARMC00000002</t>
  </si>
  <si>
    <t xml:space="preserve">KARMC00000001</t>
  </si>
  <si>
    <t xml:space="preserve">KARMC00000027</t>
  </si>
  <si>
    <t xml:space="preserve">KARMC00000028</t>
  </si>
  <si>
    <t xml:space="preserve">KARMC00000222</t>
  </si>
  <si>
    <t xml:space="preserve">KARMC00000221</t>
  </si>
  <si>
    <t xml:space="preserve">KARMC00000235</t>
  </si>
  <si>
    <t xml:space="preserve">KARMC00000232</t>
  </si>
  <si>
    <t xml:space="preserve">KARMC00000231</t>
  </si>
  <si>
    <t xml:space="preserve">KARMC00000236</t>
  </si>
  <si>
    <t xml:space="preserve">KARMC00000233</t>
  </si>
  <si>
    <t xml:space="preserve">KARMC00000237</t>
  </si>
  <si>
    <t xml:space="preserve">KARMC00000238</t>
  </si>
  <si>
    <t xml:space="preserve">KARMC00000239</t>
  </si>
  <si>
    <t xml:space="preserve">KARMC00000240</t>
  </si>
  <si>
    <t xml:space="preserve">KARMC00000241</t>
  </si>
  <si>
    <t xml:space="preserve">KARMC00000242</t>
  </si>
  <si>
    <t xml:space="preserve">KARMC00000243</t>
  </si>
  <si>
    <t xml:space="preserve">KARMC00000244</t>
  </si>
  <si>
    <t xml:space="preserve">KARMC00000245</t>
  </si>
  <si>
    <t xml:space="preserve">KARMC00000246</t>
  </si>
  <si>
    <t xml:space="preserve">KARMC00000247</t>
  </si>
  <si>
    <t xml:space="preserve">KARMC00000234</t>
  </si>
  <si>
    <t xml:space="preserve">KARMC00000230</t>
  </si>
  <si>
    <t xml:space="preserve">KARMC00000229</t>
  </si>
  <si>
    <t xml:space="preserve">KARMC00000224</t>
  </si>
  <si>
    <t xml:space="preserve">KARMC00000226</t>
  </si>
  <si>
    <t xml:space="preserve">KARMC00000227</t>
  </si>
  <si>
    <t xml:space="preserve">KARMC00000228</t>
  </si>
  <si>
    <t xml:space="preserve">KARMC00000225</t>
  </si>
  <si>
    <t xml:space="preserve">KARMC00000223</t>
  </si>
  <si>
    <t xml:space="preserve">ARC00000238</t>
  </si>
  <si>
    <t xml:space="preserve">VAL ALL CLIMATE 10W30 24/1 L KSA</t>
  </si>
  <si>
    <t xml:space="preserve">ARC00000234</t>
  </si>
  <si>
    <t xml:space="preserve">VAL SYNPOWER DX1 5W30 12/1 L SW KSA</t>
  </si>
  <si>
    <t xml:space="preserve">ARC00000004</t>
  </si>
  <si>
    <t xml:space="preserve">ARC00000002</t>
  </si>
  <si>
    <t xml:space="preserve">ARC00000006</t>
  </si>
  <si>
    <t xml:space="preserve">JF00230817</t>
  </si>
  <si>
    <t xml:space="preserve">ARC00000003</t>
  </si>
  <si>
    <t xml:space="preserve">ARC00000221</t>
  </si>
  <si>
    <t xml:space="preserve">ARC00000223</t>
  </si>
  <si>
    <t xml:space="preserve">ARC00000225</t>
  </si>
  <si>
    <t xml:space="preserve">ARC00000228</t>
  </si>
  <si>
    <t xml:space="preserve">ARC00000230</t>
  </si>
  <si>
    <t xml:space="preserve">ARC00000232</t>
  </si>
  <si>
    <t xml:space="preserve">ARC00000236</t>
  </si>
  <si>
    <t xml:space="preserve">ARC00000233</t>
  </si>
  <si>
    <t xml:space="preserve">ARC00000235</t>
  </si>
  <si>
    <t xml:space="preserve">ARC00000237</t>
  </si>
  <si>
    <t xml:space="preserve">ARC00000005</t>
  </si>
  <si>
    <t xml:space="preserve">ARC00000222</t>
  </si>
  <si>
    <t xml:space="preserve">ARC00000224</t>
  </si>
  <si>
    <t xml:space="preserve">ARC00000226</t>
  </si>
  <si>
    <t xml:space="preserve">ARC00000227</t>
  </si>
  <si>
    <t xml:space="preserve">ARC00000229</t>
  </si>
  <si>
    <t xml:space="preserve">ARC00000231</t>
  </si>
  <si>
    <t xml:space="preserve">ARC00000256</t>
  </si>
  <si>
    <t xml:space="preserve">VAL ALL FLEET 25W50 6/5 L KSA</t>
  </si>
  <si>
    <t xml:space="preserve">ARC00000257</t>
  </si>
  <si>
    <t xml:space="preserve">ARC00000254</t>
  </si>
  <si>
    <t xml:space="preserve">VAL ALL FLEET EXTRA 15W40 6/4 L KSA</t>
  </si>
  <si>
    <t xml:space="preserve">ARC00000001</t>
  </si>
  <si>
    <t xml:space="preserve">ARC00000261</t>
  </si>
  <si>
    <t xml:space="preserve">ARC00000260</t>
  </si>
  <si>
    <t xml:space="preserve">ARC00000258</t>
  </si>
  <si>
    <t xml:space="preserve">ARC00000259</t>
  </si>
  <si>
    <t xml:space="preserve">ARC00000239</t>
  </si>
  <si>
    <t xml:space="preserve">ARC00000240</t>
  </si>
  <si>
    <t xml:space="preserve">ARC00000241</t>
  </si>
  <si>
    <t xml:space="preserve">ARC00000242</t>
  </si>
  <si>
    <t xml:space="preserve">ARC00000243</t>
  </si>
  <si>
    <t xml:space="preserve">ARC00000245</t>
  </si>
  <si>
    <t xml:space="preserve">ARC00000246</t>
  </si>
  <si>
    <t xml:space="preserve">ARC00000247</t>
  </si>
  <si>
    <t xml:space="preserve">ARC00000248</t>
  </si>
  <si>
    <t xml:space="preserve">ARC00000249</t>
  </si>
  <si>
    <t xml:space="preserve">ARC00000250</t>
  </si>
  <si>
    <t xml:space="preserve">ARC00000251</t>
  </si>
  <si>
    <t xml:space="preserve">ARC00000252</t>
  </si>
  <si>
    <t xml:space="preserve">ARC00000253</t>
  </si>
  <si>
    <t xml:space="preserve">ARC00000244</t>
  </si>
  <si>
    <t xml:space="preserve">ARC00000255</t>
  </si>
  <si>
    <t xml:space="preserve">ARC00000030</t>
  </si>
  <si>
    <t xml:space="preserve">ARC00000015</t>
  </si>
  <si>
    <t xml:space="preserve">VAL ALL CLIMATE 5W30 12/1 L SW KSA</t>
  </si>
  <si>
    <t xml:space="preserve">ARC00000016</t>
  </si>
  <si>
    <t xml:space="preserve">ARC00000017</t>
  </si>
  <si>
    <t xml:space="preserve">ARC00000019</t>
  </si>
  <si>
    <t xml:space="preserve">ARC00000020</t>
  </si>
  <si>
    <t xml:space="preserve">ARC00000021</t>
  </si>
  <si>
    <t xml:space="preserve">ARC00000022</t>
  </si>
  <si>
    <t xml:space="preserve">ARC00000023</t>
  </si>
  <si>
    <t xml:space="preserve">ARC00000024</t>
  </si>
  <si>
    <t xml:space="preserve">ARC00000025</t>
  </si>
  <si>
    <t xml:space="preserve">ARC00000026</t>
  </si>
  <si>
    <t xml:space="preserve">ARC00000027</t>
  </si>
  <si>
    <t xml:space="preserve">ARC00000028</t>
  </si>
  <si>
    <t xml:space="preserve">ARC00000029</t>
  </si>
  <si>
    <t xml:space="preserve">ARC00000007</t>
  </si>
  <si>
    <t xml:space="preserve">ARC00000008</t>
  </si>
  <si>
    <t xml:space="preserve">ARC00000009</t>
  </si>
  <si>
    <t xml:space="preserve">ARC00000010</t>
  </si>
  <si>
    <t xml:space="preserve">ARC00000011</t>
  </si>
  <si>
    <t xml:space="preserve">ARC00000012</t>
  </si>
  <si>
    <t xml:space="preserve">ARC00000013</t>
  </si>
  <si>
    <t xml:space="preserve">ARC00000014</t>
  </si>
  <si>
    <t xml:space="preserve">ARC00000018</t>
  </si>
  <si>
    <t xml:space="preserve">KARMC00000470</t>
  </si>
  <si>
    <t xml:space="preserve">KARMC00000454</t>
  </si>
  <si>
    <t xml:space="preserve">KARMC00000453</t>
  </si>
  <si>
    <t xml:space="preserve">KARMC00000452</t>
  </si>
  <si>
    <t xml:space="preserve">KARMC00000458</t>
  </si>
  <si>
    <t xml:space="preserve">KARMC00000457</t>
  </si>
  <si>
    <t xml:space="preserve">KARMC00000462</t>
  </si>
  <si>
    <t xml:space="preserve">KARMC00000449</t>
  </si>
  <si>
    <t xml:space="preserve">KARMC00000448</t>
  </si>
  <si>
    <t xml:space="preserve">KARMC00000450</t>
  </si>
  <si>
    <t xml:space="preserve">KARMC00000451</t>
  </si>
  <si>
    <t xml:space="preserve">KARMC00000444</t>
  </si>
  <si>
    <t xml:space="preserve">KARMC00000443</t>
  </si>
  <si>
    <t xml:space="preserve">KARMC00000442</t>
  </si>
  <si>
    <t xml:space="preserve">KARMC00000466</t>
  </si>
  <si>
    <t xml:space="preserve">KARMC00000441</t>
  </si>
  <si>
    <t xml:space="preserve">KARMC00000467</t>
  </si>
  <si>
    <t xml:space="preserve">KARMC00000468</t>
  </si>
  <si>
    <t xml:space="preserve">KARMC00000469</t>
  </si>
  <si>
    <t xml:space="preserve">KARMC00000459</t>
  </si>
  <si>
    <t xml:space="preserve">KARMC00000446</t>
  </si>
  <si>
    <t xml:space="preserve">KARMC00000447</t>
  </si>
  <si>
    <t xml:space="preserve">KARMC00000465</t>
  </si>
  <si>
    <t xml:space="preserve">KARMC00000464</t>
  </si>
  <si>
    <t xml:space="preserve">KARMC00000463</t>
  </si>
  <si>
    <t xml:space="preserve">KARMC00000461</t>
  </si>
  <si>
    <t xml:space="preserve">KARMC00000460</t>
  </si>
  <si>
    <t xml:space="preserve">KARMC00000445</t>
  </si>
  <si>
    <t xml:space="preserve">KARMC00000456</t>
  </si>
  <si>
    <t xml:space="preserve">KARMC00000455</t>
  </si>
  <si>
    <t xml:space="preserve">KARMC00000665</t>
  </si>
  <si>
    <t xml:space="preserve">KARMC00000662</t>
  </si>
  <si>
    <t xml:space="preserve">KARMC00000661</t>
  </si>
  <si>
    <t xml:space="preserve">KARMC00000683</t>
  </si>
  <si>
    <t xml:space="preserve">KARMC00000682</t>
  </si>
  <si>
    <t xml:space="preserve">KARMC00000680</t>
  </si>
  <si>
    <t xml:space="preserve">KARMC00000681</t>
  </si>
  <si>
    <t xml:space="preserve">KARMC00000678</t>
  </si>
  <si>
    <t xml:space="preserve">KARMC00000679</t>
  </si>
  <si>
    <t xml:space="preserve">KARMC00000676</t>
  </si>
  <si>
    <t xml:space="preserve">KARMC00000674</t>
  </si>
  <si>
    <t xml:space="preserve">KARMC00000673</t>
  </si>
  <si>
    <t xml:space="preserve">KARMC00000672</t>
  </si>
  <si>
    <t xml:space="preserve">KARMC00000670</t>
  </si>
  <si>
    <t xml:space="preserve">KARMC00000669</t>
  </si>
  <si>
    <t xml:space="preserve">KARMC00000667</t>
  </si>
  <si>
    <t xml:space="preserve">KARMC00000666</t>
  </si>
  <si>
    <t xml:space="preserve">KARMC00000684</t>
  </si>
  <si>
    <t xml:space="preserve">KARMC00000664</t>
  </si>
  <si>
    <t xml:space="preserve">KARMC00000663</t>
  </si>
  <si>
    <t xml:space="preserve">KARMC00000677</t>
  </si>
  <si>
    <t xml:space="preserve">KARMC00000675</t>
  </si>
  <si>
    <t xml:space="preserve">KARMC00000671</t>
  </si>
  <si>
    <t xml:space="preserve">KARMC00000668</t>
  </si>
  <si>
    <t xml:space="preserve">ARC00000276</t>
  </si>
  <si>
    <t xml:space="preserve">ARC00000265</t>
  </si>
  <si>
    <t xml:space="preserve">ARC00000263</t>
  </si>
  <si>
    <t xml:space="preserve">ARC00000262</t>
  </si>
  <si>
    <t xml:space="preserve">ARC00000266</t>
  </si>
  <si>
    <t xml:space="preserve">ARC00000268</t>
  </si>
  <si>
    <t xml:space="preserve">ARC00000283</t>
  </si>
  <si>
    <t xml:space="preserve">ARC00000282</t>
  </si>
  <si>
    <t xml:space="preserve">ARC00000275</t>
  </si>
  <si>
    <t xml:space="preserve">ARC00000264</t>
  </si>
  <si>
    <t xml:space="preserve">ARC00000267</t>
  </si>
  <si>
    <t xml:space="preserve">ARC00000269</t>
  </si>
  <si>
    <t xml:space="preserve">ARC00000270</t>
  </si>
  <si>
    <t xml:space="preserve">ARC00000271</t>
  </si>
  <si>
    <t xml:space="preserve">ARC00000272</t>
  </si>
  <si>
    <t xml:space="preserve">ARC00000273</t>
  </si>
  <si>
    <t xml:space="preserve">ARC00000274</t>
  </si>
  <si>
    <t xml:space="preserve">ARC00000281</t>
  </si>
  <si>
    <t xml:space="preserve">ARC00000280</t>
  </si>
  <si>
    <t xml:space="preserve">ARC00000279</t>
  </si>
  <si>
    <t xml:space="preserve">ARC00000278</t>
  </si>
  <si>
    <t xml:space="preserve">ARC00000277</t>
  </si>
  <si>
    <t xml:space="preserve">ARC00000313</t>
  </si>
  <si>
    <t xml:space="preserve">ARC00000289</t>
  </si>
  <si>
    <t xml:space="preserve">ARC00000288</t>
  </si>
  <si>
    <t xml:space="preserve">ARC00000287</t>
  </si>
  <si>
    <t xml:space="preserve">ARC00000286</t>
  </si>
  <si>
    <t xml:space="preserve">ARC00000285</t>
  </si>
  <si>
    <t xml:space="preserve">ARC00000284</t>
  </si>
  <si>
    <t xml:space="preserve">ARC00000290</t>
  </si>
  <si>
    <t xml:space="preserve">ARC00000291</t>
  </si>
  <si>
    <t xml:space="preserve">ARC00000292</t>
  </si>
  <si>
    <t xml:space="preserve">ARC00000293</t>
  </si>
  <si>
    <t xml:space="preserve">ARC00000294</t>
  </si>
  <si>
    <t xml:space="preserve">ARC00000295</t>
  </si>
  <si>
    <t xml:space="preserve">ARC00000296</t>
  </si>
  <si>
    <t xml:space="preserve">ARC00000297</t>
  </si>
  <si>
    <t xml:space="preserve">ARC00000298</t>
  </si>
  <si>
    <t xml:space="preserve">ARC00000299</t>
  </si>
  <si>
    <t xml:space="preserve">ARC00000300</t>
  </si>
  <si>
    <t xml:space="preserve">ARC00000301</t>
  </si>
  <si>
    <t xml:space="preserve">ARC00000302</t>
  </si>
  <si>
    <t xml:space="preserve">ARC00000303</t>
  </si>
  <si>
    <t xml:space="preserve">ARC00000304</t>
  </si>
  <si>
    <t xml:space="preserve">ARC00000305</t>
  </si>
  <si>
    <t xml:space="preserve">ARC00000306</t>
  </si>
  <si>
    <t xml:space="preserve">ARC00000307</t>
  </si>
  <si>
    <t xml:space="preserve">ARC00000308</t>
  </si>
  <si>
    <t xml:space="preserve">ARC00000309</t>
  </si>
  <si>
    <t xml:space="preserve">ARC00000310</t>
  </si>
  <si>
    <t xml:space="preserve">ARC00000311</t>
  </si>
  <si>
    <t xml:space="preserve">ARC00000312</t>
  </si>
  <si>
    <t xml:space="preserve">KARMC00000882</t>
  </si>
  <si>
    <t xml:space="preserve">KARMC00000881</t>
  </si>
  <si>
    <t xml:space="preserve">KARMC00000896</t>
  </si>
  <si>
    <t xml:space="preserve">KARMC00000897</t>
  </si>
  <si>
    <t xml:space="preserve">KARMC00000898</t>
  </si>
  <si>
    <t xml:space="preserve">KARMC00000899</t>
  </si>
  <si>
    <t xml:space="preserve">KARMC00000900</t>
  </si>
  <si>
    <t xml:space="preserve">KARMC00000901</t>
  </si>
  <si>
    <t xml:space="preserve">KARMC00000902</t>
  </si>
  <si>
    <t xml:space="preserve">KARMC00000903</t>
  </si>
  <si>
    <t xml:space="preserve">KARMC00000904</t>
  </si>
  <si>
    <t xml:space="preserve">KARMC00000905</t>
  </si>
  <si>
    <t xml:space="preserve">KARMC00000906</t>
  </si>
  <si>
    <t xml:space="preserve">KARMC00000907</t>
  </si>
  <si>
    <t xml:space="preserve">KARMC00000908</t>
  </si>
  <si>
    <t xml:space="preserve">KARMC00000909</t>
  </si>
  <si>
    <t xml:space="preserve">KARMC00000910</t>
  </si>
  <si>
    <t xml:space="preserve">KARMC00000890</t>
  </si>
  <si>
    <t xml:space="preserve">KARMC00000889</t>
  </si>
  <si>
    <t xml:space="preserve">KARMC00000888</t>
  </si>
  <si>
    <t xml:space="preserve">KARMC00000891</t>
  </si>
  <si>
    <t xml:space="preserve">KARMC00000892</t>
  </si>
  <si>
    <t xml:space="preserve">KARMC00000893</t>
  </si>
  <si>
    <t xml:space="preserve">KARMC00000894</t>
  </si>
  <si>
    <t xml:space="preserve">KARMC00000895</t>
  </si>
  <si>
    <t xml:space="preserve">KARMC00000887</t>
  </si>
  <si>
    <t xml:space="preserve">KARMC00000886</t>
  </si>
  <si>
    <t xml:space="preserve">KARMC00000885</t>
  </si>
  <si>
    <t xml:space="preserve">KARMC00000884</t>
  </si>
  <si>
    <t xml:space="preserve">KARMC00000883</t>
  </si>
  <si>
    <t xml:space="preserve">KARMC00000934</t>
  </si>
  <si>
    <t xml:space="preserve">KARMC00000930</t>
  </si>
  <si>
    <t xml:space="preserve">KARMC00000929</t>
  </si>
  <si>
    <t xml:space="preserve">KARMC00000928</t>
  </si>
  <si>
    <t xml:space="preserve">KARMC00000927</t>
  </si>
  <si>
    <t xml:space="preserve">KARMC00000926</t>
  </si>
  <si>
    <t xml:space="preserve">KARMC00000925</t>
  </si>
  <si>
    <t xml:space="preserve">KARMC00000924</t>
  </si>
  <si>
    <t xml:space="preserve">KARMC00000923</t>
  </si>
  <si>
    <t xml:space="preserve">KARMC00000922</t>
  </si>
  <si>
    <t xml:space="preserve">KARMC00000921</t>
  </si>
  <si>
    <t xml:space="preserve">KARMC00000920</t>
  </si>
  <si>
    <t xml:space="preserve">KARMC00000919</t>
  </si>
  <si>
    <t xml:space="preserve">KARMC00000918</t>
  </si>
  <si>
    <t xml:space="preserve">KARMC00000917</t>
  </si>
  <si>
    <t xml:space="preserve">KARMC00000916</t>
  </si>
  <si>
    <t xml:space="preserve">KARMC00000931</t>
  </si>
  <si>
    <t xml:space="preserve">KARMC00000932</t>
  </si>
  <si>
    <t xml:space="preserve">KARMC00000915</t>
  </si>
  <si>
    <t xml:space="preserve">KARMC00000914</t>
  </si>
  <si>
    <t xml:space="preserve">KARMC00000913</t>
  </si>
  <si>
    <t xml:space="preserve">KARMC00000933</t>
  </si>
  <si>
    <t xml:space="preserve">KARMC00000912</t>
  </si>
  <si>
    <t xml:space="preserve">KARMC00000911</t>
  </si>
  <si>
    <t xml:space="preserve">KARMC00000936</t>
  </si>
  <si>
    <t xml:space="preserve">VAL UNICOOL C-50 DR 6/4 L</t>
  </si>
  <si>
    <t xml:space="preserve">KARMC00000935</t>
  </si>
  <si>
    <t xml:space="preserve">KARMC00000944</t>
  </si>
  <si>
    <t xml:space="preserve">KARMC00000945</t>
  </si>
  <si>
    <t xml:space="preserve">KARMC00000946</t>
  </si>
  <si>
    <t xml:space="preserve">KARMC00000947</t>
  </si>
  <si>
    <t xml:space="preserve">KARMC00000943</t>
  </si>
  <si>
    <t xml:space="preserve">KARMC00000942</t>
  </si>
  <si>
    <t xml:space="preserve">KARMC00000941</t>
  </si>
  <si>
    <t xml:space="preserve">KARMC00000940</t>
  </si>
  <si>
    <t xml:space="preserve">KARMC00000939</t>
  </si>
  <si>
    <t xml:space="preserve">KARMC00000938</t>
  </si>
  <si>
    <t xml:space="preserve">KARMC00000937</t>
  </si>
  <si>
    <t xml:space="preserve">KARMC00001148</t>
  </si>
  <si>
    <t xml:space="preserve">KARMC00001152</t>
  </si>
  <si>
    <t xml:space="preserve">VAL ALL FLEET PLUS 20W50 6/5 L KSA</t>
  </si>
  <si>
    <t xml:space="preserve">KARMC00001135</t>
  </si>
  <si>
    <t xml:space="preserve">KARMC00001151</t>
  </si>
  <si>
    <t xml:space="preserve">KARMC00001153</t>
  </si>
  <si>
    <t xml:space="preserve">KARMC00001101</t>
  </si>
  <si>
    <t xml:space="preserve">KARMC00001133</t>
  </si>
  <si>
    <t xml:space="preserve">KARMC00001150</t>
  </si>
  <si>
    <t xml:space="preserve">KARMC00001136</t>
  </si>
  <si>
    <t xml:space="preserve">KARMC00001134</t>
  </si>
  <si>
    <t xml:space="preserve">KARMC00001137</t>
  </si>
  <si>
    <t xml:space="preserve">KARMC00001138</t>
  </si>
  <si>
    <t xml:space="preserve">KARMC00001139</t>
  </si>
  <si>
    <t xml:space="preserve">KARMC00001140</t>
  </si>
  <si>
    <t xml:space="preserve">KARMC00001141</t>
  </si>
  <si>
    <t xml:space="preserve">KARMC00001142</t>
  </si>
  <si>
    <t xml:space="preserve">KARMC00001143</t>
  </si>
  <si>
    <t xml:space="preserve">KARMC00001144</t>
  </si>
  <si>
    <t xml:space="preserve">KARMC00001145</t>
  </si>
  <si>
    <t xml:space="preserve">KARMC00001146</t>
  </si>
  <si>
    <t xml:space="preserve">KARMC00001147</t>
  </si>
  <si>
    <t xml:space="preserve">KARMC00001149</t>
  </si>
  <si>
    <t xml:space="preserve">KARMC00001118</t>
  </si>
  <si>
    <t xml:space="preserve">KARMC00001108</t>
  </si>
  <si>
    <t xml:space="preserve">KARMC00001106</t>
  </si>
  <si>
    <t xml:space="preserve">KARMC00001122</t>
  </si>
  <si>
    <t xml:space="preserve">KARMC00001126</t>
  </si>
  <si>
    <t xml:space="preserve">KARMC00001129</t>
  </si>
  <si>
    <t xml:space="preserve">KARMC00001111</t>
  </si>
  <si>
    <t xml:space="preserve">KARMC00001112</t>
  </si>
  <si>
    <t xml:space="preserve">KARMC00001110</t>
  </si>
  <si>
    <t xml:space="preserve">KARMC00001109</t>
  </si>
  <si>
    <t xml:space="preserve">KARMC00001107</t>
  </si>
  <si>
    <t xml:space="preserve">KARMC00001103</t>
  </si>
  <si>
    <t xml:space="preserve">KARMC00001105</t>
  </si>
  <si>
    <t xml:space="preserve">KARMC00001104</t>
  </si>
  <si>
    <t xml:space="preserve">KARMC00001114</t>
  </si>
  <si>
    <t xml:space="preserve">KARMC00001113</t>
  </si>
  <si>
    <t xml:space="preserve">KARMC00001115</t>
  </si>
  <si>
    <t xml:space="preserve">KARMC00001116</t>
  </si>
  <si>
    <t xml:space="preserve">KARMC00001120</t>
  </si>
  <si>
    <t xml:space="preserve">KARMC00001117</t>
  </si>
  <si>
    <t xml:space="preserve">KARMC00001121</t>
  </si>
  <si>
    <t xml:space="preserve">KARMC00001123</t>
  </si>
  <si>
    <t xml:space="preserve">KARMC0000112</t>
  </si>
  <si>
    <t xml:space="preserve">KARMC00001125</t>
  </si>
  <si>
    <t xml:space="preserve">KARMC00001128</t>
  </si>
  <si>
    <t xml:space="preserve">KARMC00001127</t>
  </si>
  <si>
    <t xml:space="preserve">KARMC00001130</t>
  </si>
  <si>
    <t xml:space="preserve">KARMC00001131</t>
  </si>
  <si>
    <t xml:space="preserve">KARMC00001132</t>
  </si>
  <si>
    <t xml:space="preserve">KARMC00001119</t>
  </si>
  <si>
    <t xml:space="preserve">ARC00000325</t>
  </si>
  <si>
    <t xml:space="preserve">ARC00000314</t>
  </si>
  <si>
    <t xml:space="preserve">ARC00000336</t>
  </si>
  <si>
    <t xml:space="preserve">ARC00000323</t>
  </si>
  <si>
    <t xml:space="preserve">ARC00000326</t>
  </si>
  <si>
    <t xml:space="preserve">ARC00000321</t>
  </si>
  <si>
    <t xml:space="preserve">ARC00000324</t>
  </si>
  <si>
    <t xml:space="preserve">ARC00000319</t>
  </si>
  <si>
    <t xml:space="preserve">ARC00000318</t>
  </si>
  <si>
    <t xml:space="preserve">ARC00000317</t>
  </si>
  <si>
    <t xml:space="preserve">ARC00000316</t>
  </si>
  <si>
    <t xml:space="preserve">ARC00000315</t>
  </si>
  <si>
    <t xml:space="preserve">ARC00000322</t>
  </si>
  <si>
    <t xml:space="preserve">ARC00000338</t>
  </si>
  <si>
    <t xml:space="preserve">ARC00000340</t>
  </si>
  <si>
    <t xml:space="preserve">ARC00000341</t>
  </si>
  <si>
    <t xml:space="preserve">ARC00000342</t>
  </si>
  <si>
    <t xml:space="preserve">ARC00000343</t>
  </si>
  <si>
    <t xml:space="preserve">ARC00000327</t>
  </si>
  <si>
    <t xml:space="preserve">ARC00000328</t>
  </si>
  <si>
    <t xml:space="preserve">ARC00000332</t>
  </si>
  <si>
    <t xml:space="preserve">ARC00000330</t>
  </si>
  <si>
    <t xml:space="preserve">ARC00000334</t>
  </si>
  <si>
    <t xml:space="preserve">ARC00000337</t>
  </si>
  <si>
    <t xml:space="preserve">ARC00000335</t>
  </si>
  <si>
    <t xml:space="preserve">ARC00000333</t>
  </si>
  <si>
    <t xml:space="preserve">ARC00000331</t>
  </si>
  <si>
    <t xml:space="preserve">ARC00000320</t>
  </si>
  <si>
    <t xml:space="preserve">ARC00000329</t>
  </si>
  <si>
    <t xml:space="preserve">ARC00000339</t>
  </si>
  <si>
    <t xml:space="preserve">ARC00000345</t>
  </si>
  <si>
    <t xml:space="preserve">ARC00000360</t>
  </si>
  <si>
    <t xml:space="preserve">ARC00000359</t>
  </si>
  <si>
    <t xml:space="preserve">ARC00000350</t>
  </si>
  <si>
    <t xml:space="preserve">ARC00000348</t>
  </si>
  <si>
    <t xml:space="preserve">ARC00000590</t>
  </si>
  <si>
    <t xml:space="preserve">ARC00000370</t>
  </si>
  <si>
    <t xml:space="preserve">ARC00000589</t>
  </si>
  <si>
    <t xml:space="preserve">ARC00000367</t>
  </si>
  <si>
    <t xml:space="preserve">ARC00000366</t>
  </si>
  <si>
    <t xml:space="preserve">ARC00000365</t>
  </si>
  <si>
    <t xml:space="preserve">ARC00000364</t>
  </si>
  <si>
    <t xml:space="preserve">ARC00000363</t>
  </si>
  <si>
    <t xml:space="preserve">ARC00000369</t>
  </si>
  <si>
    <t xml:space="preserve">ARC00000361</t>
  </si>
  <si>
    <t xml:space="preserve">ARC00000358</t>
  </si>
  <si>
    <t xml:space="preserve">ARC00000357</t>
  </si>
  <si>
    <t xml:space="preserve">ARC00000356</t>
  </si>
  <si>
    <t xml:space="preserve">ARC00000368</t>
  </si>
  <si>
    <t xml:space="preserve">ARC00000354</t>
  </si>
  <si>
    <t xml:space="preserve">ARC00000353</t>
  </si>
  <si>
    <t xml:space="preserve">ARC00000355</t>
  </si>
  <si>
    <t xml:space="preserve">ARC00000351</t>
  </si>
  <si>
    <t xml:space="preserve">ARC00000362</t>
  </si>
  <si>
    <t xml:space="preserve">ARC00000349</t>
  </si>
  <si>
    <t xml:space="preserve">ARC00000344</t>
  </si>
  <si>
    <t xml:space="preserve">ARC00000352</t>
  </si>
  <si>
    <t xml:space="preserve">ARC00000347</t>
  </si>
  <si>
    <t xml:space="preserve">ARC00000346</t>
  </si>
  <si>
    <t xml:space="preserve">KARMC00001157</t>
  </si>
  <si>
    <t xml:space="preserve">KARMC00001195</t>
  </si>
  <si>
    <t xml:space="preserve">KARMC00001176</t>
  </si>
  <si>
    <t xml:space="preserve">KARMC00001177</t>
  </si>
  <si>
    <t xml:space="preserve">KARMC00001179</t>
  </si>
  <si>
    <t xml:space="preserve">KARMC00001178</t>
  </si>
  <si>
    <t xml:space="preserve">ALL FLEET EXTRA 10W40 DR 208 L KSA</t>
  </si>
  <si>
    <t xml:space="preserve">KARMC00001180</t>
  </si>
  <si>
    <t xml:space="preserve">KARMC00001181</t>
  </si>
  <si>
    <t xml:space="preserve">KARMC00001182</t>
  </si>
  <si>
    <t xml:space="preserve">KARMC00001183</t>
  </si>
  <si>
    <t xml:space="preserve">KARMC00001184</t>
  </si>
  <si>
    <t xml:space="preserve">KARMC00001185</t>
  </si>
  <si>
    <t xml:space="preserve">KARMC00001186</t>
  </si>
  <si>
    <t xml:space="preserve">KARMC00001187</t>
  </si>
  <si>
    <t xml:space="preserve">KARMC00001188</t>
  </si>
  <si>
    <t xml:space="preserve">KARMC00001189</t>
  </si>
  <si>
    <t xml:space="preserve">KARMC00001190</t>
  </si>
  <si>
    <t xml:space="preserve">KARMC00001192</t>
  </si>
  <si>
    <t xml:space="preserve">KARMC00001193</t>
  </si>
  <si>
    <t xml:space="preserve">KARMC00001194</t>
  </si>
  <si>
    <t xml:space="preserve">KARMC00001191</t>
  </si>
  <si>
    <t xml:space="preserve">KARMC00001197</t>
  </si>
  <si>
    <t xml:space="preserve">KARMC00001196</t>
  </si>
  <si>
    <t xml:space="preserve">KARMC00001198</t>
  </si>
  <si>
    <t xml:space="preserve">KARMC00001199</t>
  </si>
  <si>
    <t xml:space="preserve">KARMC00001158</t>
  </si>
  <si>
    <t xml:space="preserve">KARMC00001156</t>
  </si>
  <si>
    <t xml:space="preserve">KARMC00001155</t>
  </si>
  <si>
    <t xml:space="preserve">KARMC00001154</t>
  </si>
  <si>
    <t xml:space="preserve">KARMC00001200</t>
  </si>
  <si>
    <t xml:space="preserve">ARC00000543</t>
  </si>
  <si>
    <t xml:space="preserve">VAL UNICOOL C-50 DR 208 L</t>
  </si>
  <si>
    <t xml:space="preserve">ARC00000544</t>
  </si>
  <si>
    <t xml:space="preserve">ARC00000545</t>
  </si>
  <si>
    <t xml:space="preserve">ARC00000546</t>
  </si>
  <si>
    <t xml:space="preserve">ARC00000547</t>
  </si>
  <si>
    <t xml:space="preserve">ARC00000548</t>
  </si>
  <si>
    <t xml:space="preserve">ARC00000549</t>
  </si>
  <si>
    <t xml:space="preserve">ARC00000550</t>
  </si>
  <si>
    <t xml:space="preserve">ARC00000551</t>
  </si>
  <si>
    <t xml:space="preserve">ARC00000552</t>
  </si>
  <si>
    <t xml:space="preserve">ARC00000553</t>
  </si>
  <si>
    <t xml:space="preserve">ARC00000554</t>
  </si>
  <si>
    <t xml:space="preserve">ARC00000555</t>
  </si>
  <si>
    <t xml:space="preserve">ARC00000556</t>
  </si>
  <si>
    <t xml:space="preserve">ARC00000557</t>
  </si>
  <si>
    <t xml:space="preserve">ARC00000558</t>
  </si>
  <si>
    <t xml:space="preserve">ARC00000526</t>
  </si>
  <si>
    <t xml:space="preserve">ARC00000527</t>
  </si>
  <si>
    <t xml:space="preserve">ARC00000531</t>
  </si>
  <si>
    <t xml:space="preserve">ARC00000532</t>
  </si>
  <si>
    <t xml:space="preserve">ARC00000533</t>
  </si>
  <si>
    <t xml:space="preserve">ARC00000534</t>
  </si>
  <si>
    <t xml:space="preserve">ARC00000535</t>
  </si>
  <si>
    <t xml:space="preserve">ARC00000536</t>
  </si>
  <si>
    <t xml:space="preserve">ARC00000537</t>
  </si>
  <si>
    <t xml:space="preserve">ARC00000503</t>
  </si>
  <si>
    <t xml:space="preserve">ARC00000539</t>
  </si>
  <si>
    <t xml:space="preserve">ARC00000540</t>
  </si>
  <si>
    <t xml:space="preserve">ARC00000541</t>
  </si>
  <si>
    <t xml:space="preserve">ARC00000542</t>
  </si>
  <si>
    <t xml:space="preserve">ARC00000585</t>
  </si>
  <si>
    <t xml:space="preserve">ARC00000579</t>
  </si>
  <si>
    <t xml:space="preserve">VAL HLP 68 DR 208 L KSA</t>
  </si>
  <si>
    <t xml:space="preserve">ARC00000578</t>
  </si>
  <si>
    <t xml:space="preserve">ARC00000576</t>
  </si>
  <si>
    <t xml:space="preserve">ARC00000588</t>
  </si>
  <si>
    <t xml:space="preserve">ARC00000575</t>
  </si>
  <si>
    <t xml:space="preserve">ARC00000587</t>
  </si>
  <si>
    <t xml:space="preserve">ARC00000559</t>
  </si>
  <si>
    <t xml:space="preserve">ARC00000560</t>
  </si>
  <si>
    <t xml:space="preserve">ARC00000561</t>
  </si>
  <si>
    <t xml:space="preserve">ARC00000563</t>
  </si>
  <si>
    <t xml:space="preserve">ARC00000565</t>
  </si>
  <si>
    <t xml:space="preserve">ARC00000567</t>
  </si>
  <si>
    <t xml:space="preserve">ARC00000569</t>
  </si>
  <si>
    <t xml:space="preserve">ARC00000571</t>
  </si>
  <si>
    <t xml:space="preserve">ARC00000573</t>
  </si>
  <si>
    <t xml:space="preserve">ARC00000572</t>
  </si>
  <si>
    <t xml:space="preserve">ARC00000570</t>
  </si>
  <si>
    <t xml:space="preserve">ARC00000568</t>
  </si>
  <si>
    <t xml:space="preserve">ARC00000566</t>
  </si>
  <si>
    <t xml:space="preserve">ARC00000564</t>
  </si>
  <si>
    <t xml:space="preserve">ARC00000562</t>
  </si>
  <si>
    <t xml:space="preserve">ARC00000581</t>
  </si>
  <si>
    <t xml:space="preserve">ARC00000580</t>
  </si>
  <si>
    <t xml:space="preserve">ARC00000577</t>
  </si>
  <si>
    <t xml:space="preserve">ARC00000574</t>
  </si>
  <si>
    <t xml:space="preserve">ARC00000582</t>
  </si>
  <si>
    <t xml:space="preserve">ARC00000586</t>
  </si>
  <si>
    <t xml:space="preserve">ARC00000583</t>
  </si>
  <si>
    <t xml:space="preserve">ARC00000584</t>
  </si>
  <si>
    <t xml:space="preserve">ARC00000530</t>
  </si>
  <si>
    <t xml:space="preserve">ARC00000516</t>
  </si>
  <si>
    <t xml:space="preserve">ARC00000515</t>
  </si>
  <si>
    <t xml:space="preserve">ARC00000514</t>
  </si>
  <si>
    <t xml:space="preserve">ARC00000513</t>
  </si>
  <si>
    <t xml:space="preserve">ARC00000512</t>
  </si>
  <si>
    <t xml:space="preserve">ARC00000511</t>
  </si>
  <si>
    <t xml:space="preserve">ARC00000510</t>
  </si>
  <si>
    <t xml:space="preserve">ARC00000509</t>
  </si>
  <si>
    <t xml:space="preserve">ARC00000508</t>
  </si>
  <si>
    <t xml:space="preserve">ARC00000507</t>
  </si>
  <si>
    <t xml:space="preserve">ARC00000506</t>
  </si>
  <si>
    <t xml:space="preserve">ARC00000505</t>
  </si>
  <si>
    <t xml:space="preserve">ARC00000520</t>
  </si>
  <si>
    <t xml:space="preserve">ARC00000521</t>
  </si>
  <si>
    <t xml:space="preserve">ARC00000522</t>
  </si>
  <si>
    <t xml:space="preserve">ARC00000523</t>
  </si>
  <si>
    <t xml:space="preserve">ARC00000524</t>
  </si>
  <si>
    <t xml:space="preserve">ARC00000525</t>
  </si>
  <si>
    <t xml:space="preserve">ARC00000528</t>
  </si>
  <si>
    <t xml:space="preserve">ARC00000529</t>
  </si>
  <si>
    <t xml:space="preserve">ARC00000518</t>
  </si>
  <si>
    <t xml:space="preserve">ARC00000517</t>
  </si>
  <si>
    <t xml:space="preserve">ARC00000519</t>
  </si>
  <si>
    <t xml:space="preserve">KARMC00001392</t>
  </si>
  <si>
    <t xml:space="preserve">KARMC00001407</t>
  </si>
  <si>
    <t xml:space="preserve">KARMC00001413</t>
  </si>
  <si>
    <t xml:space="preserve">KARMC00001412</t>
  </si>
  <si>
    <t xml:space="preserve">VAL ULTRAMAX PRO HLP 46 DR 208 L KSA</t>
  </si>
  <si>
    <t xml:space="preserve">KARMC00001393</t>
  </si>
  <si>
    <t xml:space="preserve">KARMC00001394</t>
  </si>
  <si>
    <t xml:space="preserve">KARMC00001396</t>
  </si>
  <si>
    <t xml:space="preserve">KARMC00001397</t>
  </si>
  <si>
    <t xml:space="preserve">KARMC00001398</t>
  </si>
  <si>
    <t xml:space="preserve">KARMC00001399</t>
  </si>
  <si>
    <t xml:space="preserve">KARMC00001401</t>
  </si>
  <si>
    <t xml:space="preserve">KARMC00001402</t>
  </si>
  <si>
    <t xml:space="preserve">KARMC00001395</t>
  </si>
  <si>
    <t xml:space="preserve">KARMC00001403</t>
  </si>
  <si>
    <t xml:space="preserve">KARMC00001404</t>
  </si>
  <si>
    <t xml:space="preserve">KARMC00001406</t>
  </si>
  <si>
    <t xml:space="preserve">KARMC00001405</t>
  </si>
  <si>
    <t xml:space="preserve">KARMC00001414</t>
  </si>
  <si>
    <t xml:space="preserve">KARMC00001408</t>
  </si>
  <si>
    <t xml:space="preserve">KARMC00001411</t>
  </si>
  <si>
    <t xml:space="preserve">KARMC00001384</t>
  </si>
  <si>
    <t xml:space="preserve">KRMC00001541</t>
  </si>
  <si>
    <t xml:space="preserve">KARMC00001409</t>
  </si>
  <si>
    <t xml:space="preserve">KARMC00001410</t>
  </si>
  <si>
    <t xml:space="preserve">KARMC00001385</t>
  </si>
  <si>
    <t xml:space="preserve">KARMC00001387</t>
  </si>
  <si>
    <t xml:space="preserve">KARMC00001386</t>
  </si>
  <si>
    <t xml:space="preserve">KARMC00001388</t>
  </si>
  <si>
    <t xml:space="preserve">KARMC00001389</t>
  </si>
  <si>
    <t xml:space="preserve">KARMC00001390</t>
  </si>
  <si>
    <t xml:space="preserve">KARMC00001391</t>
  </si>
  <si>
    <t xml:space="preserve">ARC00000491</t>
  </si>
  <si>
    <t xml:space="preserve">ARC00000497</t>
  </si>
  <si>
    <t xml:space="preserve">ARC00000496</t>
  </si>
  <si>
    <t xml:space="preserve">ARC00000475</t>
  </si>
  <si>
    <t xml:space="preserve">ARC00000492</t>
  </si>
  <si>
    <t xml:space="preserve">ARC00000493</t>
  </si>
  <si>
    <t xml:space="preserve">ARC00000494</t>
  </si>
  <si>
    <t xml:space="preserve">ARC00000495</t>
  </si>
  <si>
    <t xml:space="preserve">ARC00000498</t>
  </si>
  <si>
    <t xml:space="preserve">ARC00000499</t>
  </si>
  <si>
    <t xml:space="preserve">ARC00000500</t>
  </si>
  <si>
    <t xml:space="preserve">ARC00000501</t>
  </si>
  <si>
    <t xml:space="preserve">ARC00000502</t>
  </si>
  <si>
    <t xml:space="preserve">ARC00000473</t>
  </si>
  <si>
    <t xml:space="preserve">ARC00000472</t>
  </si>
  <si>
    <t xml:space="preserve">ARC00000487</t>
  </si>
  <si>
    <t xml:space="preserve">ARC00000486</t>
  </si>
  <si>
    <t xml:space="preserve">ARC00000484</t>
  </si>
  <si>
    <t xml:space="preserve">ARC00000482</t>
  </si>
  <si>
    <t xml:space="preserve">ARC00000480</t>
  </si>
  <si>
    <t xml:space="preserve">ARC00000478</t>
  </si>
  <si>
    <t xml:space="preserve">ARC00000476</t>
  </si>
  <si>
    <t xml:space="preserve">ARC00000477</t>
  </si>
  <si>
    <t xml:space="preserve">ARC00000479</t>
  </si>
  <si>
    <t xml:space="preserve">ARC00000481</t>
  </si>
  <si>
    <t xml:space="preserve">ARC00000483</t>
  </si>
  <si>
    <t xml:space="preserve">ARC00000485</t>
  </si>
  <si>
    <t xml:space="preserve">ARC00000488</t>
  </si>
  <si>
    <t xml:space="preserve">ARC00000489</t>
  </si>
  <si>
    <t xml:space="preserve">ARC00000490</t>
  </si>
  <si>
    <t xml:space="preserve">ARC00000462</t>
  </si>
  <si>
    <t xml:space="preserve">ARC00000470</t>
  </si>
  <si>
    <t xml:space="preserve">ARC00000469</t>
  </si>
  <si>
    <t xml:space="preserve">ARC00000442</t>
  </si>
  <si>
    <t xml:space="preserve">ARC00000911</t>
  </si>
  <si>
    <t xml:space="preserve">ARC00000445</t>
  </si>
  <si>
    <t xml:space="preserve">ARC00000444</t>
  </si>
  <si>
    <t xml:space="preserve">ARC00000448</t>
  </si>
  <si>
    <t xml:space="preserve">ARC00000458</t>
  </si>
  <si>
    <t xml:space="preserve">ARC00000453</t>
  </si>
  <si>
    <t xml:space="preserve">ARC00000443</t>
  </si>
  <si>
    <t xml:space="preserve">ARC00000452</t>
  </si>
  <si>
    <t xml:space="preserve">ARC00000447</t>
  </si>
  <si>
    <t xml:space="preserve">ARC00000451</t>
  </si>
  <si>
    <t xml:space="preserve">ARC00000450</t>
  </si>
  <si>
    <t xml:space="preserve">ARC00000449</t>
  </si>
  <si>
    <t xml:space="preserve">ARC00000454</t>
  </si>
  <si>
    <t xml:space="preserve">ARC00000456</t>
  </si>
  <si>
    <t xml:space="preserve">ARC00000457</t>
  </si>
  <si>
    <t xml:space="preserve">ARC00000455</t>
  </si>
  <si>
    <t xml:space="preserve">ARC00000459</t>
  </si>
  <si>
    <t xml:space="preserve">ARC00000460</t>
  </si>
  <si>
    <t xml:space="preserve">ARC00000461</t>
  </si>
  <si>
    <t xml:space="preserve">ARC00000463</t>
  </si>
  <si>
    <t xml:space="preserve">ARC00000464</t>
  </si>
  <si>
    <t xml:space="preserve">ARC00000467</t>
  </si>
  <si>
    <t xml:space="preserve">ARC00000465</t>
  </si>
  <si>
    <t xml:space="preserve">ARC00000466</t>
  </si>
  <si>
    <t xml:space="preserve">ARC00000468</t>
  </si>
  <si>
    <t xml:space="preserve">ARC00000471</t>
  </si>
  <si>
    <t xml:space="preserve">KARMC00001363</t>
  </si>
  <si>
    <t xml:space="preserve">KARMC00001364</t>
  </si>
  <si>
    <t xml:space="preserve">KARMC00001355</t>
  </si>
  <si>
    <t xml:space="preserve">KARMC00001354</t>
  </si>
  <si>
    <t xml:space="preserve">KARMC00001360</t>
  </si>
  <si>
    <t xml:space="preserve">KARMC00001359</t>
  </si>
  <si>
    <t xml:space="preserve">KARMC00001358</t>
  </si>
  <si>
    <t xml:space="preserve">KARMC00001361</t>
  </si>
  <si>
    <t xml:space="preserve">KARMC00001362</t>
  </si>
  <si>
    <t xml:space="preserve">KARMC00001357</t>
  </si>
  <si>
    <t xml:space="preserve">KARMC00001382</t>
  </si>
  <si>
    <t xml:space="preserve">KARMC00001383</t>
  </si>
  <si>
    <t xml:space="preserve">KARMC00001381</t>
  </si>
  <si>
    <t xml:space="preserve">KARMC00001380</t>
  </si>
  <si>
    <t xml:space="preserve">KARMC00001379</t>
  </si>
  <si>
    <t xml:space="preserve">KARMC00001378</t>
  </si>
  <si>
    <t xml:space="preserve">KARMC00001377</t>
  </si>
  <si>
    <t xml:space="preserve">KARMC00001374</t>
  </si>
  <si>
    <t xml:space="preserve">KARMC00001375</t>
  </si>
  <si>
    <t xml:space="preserve">KARMC00001356</t>
  </si>
  <si>
    <t xml:space="preserve">VAL LITHIUM GREASE EP2 180 KG</t>
  </si>
  <si>
    <t xml:space="preserve">KARMC00001373</t>
  </si>
  <si>
    <t xml:space="preserve">KARMC00001376</t>
  </si>
  <si>
    <t xml:space="preserve">KARMC00001371</t>
  </si>
  <si>
    <t xml:space="preserve">KARMC00001368</t>
  </si>
  <si>
    <t xml:space="preserve">KARMC00001370</t>
  </si>
  <si>
    <t xml:space="preserve">VAL LITHIUM GREASE MP2 180 KG</t>
  </si>
  <si>
    <t xml:space="preserve">KARMC00001367</t>
  </si>
  <si>
    <t xml:space="preserve">KARMC00001369</t>
  </si>
  <si>
    <t xml:space="preserve">KARMC00001372</t>
  </si>
  <si>
    <t xml:space="preserve">KARMC00001365</t>
  </si>
  <si>
    <t xml:space="preserve">KARMC00001366</t>
  </si>
  <si>
    <t xml:space="preserve">ARC00000960</t>
  </si>
  <si>
    <t xml:space="preserve">VAL SYNPOWER DX1 5W30 DR 208 L KSA</t>
  </si>
  <si>
    <t xml:space="preserve">ARC00000950</t>
  </si>
  <si>
    <t xml:space="preserve">ARC00000953</t>
  </si>
  <si>
    <t xml:space="preserve">ARC00000956</t>
  </si>
  <si>
    <t xml:space="preserve">ARC00000937</t>
  </si>
  <si>
    <t xml:space="preserve">VAL ALL FLEET 15W40 DR 208 L KSA</t>
  </si>
  <si>
    <t xml:space="preserve">ARC00000938</t>
  </si>
  <si>
    <t xml:space="preserve">ARC00000939</t>
  </si>
  <si>
    <t xml:space="preserve">ARC00000940</t>
  </si>
  <si>
    <t xml:space="preserve">ARC00000936</t>
  </si>
  <si>
    <t xml:space="preserve">ARC00000941</t>
  </si>
  <si>
    <t xml:space="preserve">ARC00000943</t>
  </si>
  <si>
    <t xml:space="preserve">ARC00000944</t>
  </si>
  <si>
    <t xml:space="preserve">ARC00000945</t>
  </si>
  <si>
    <t xml:space="preserve">ARC00000942</t>
  </si>
  <si>
    <t xml:space="preserve">ARC00000946</t>
  </si>
  <si>
    <t xml:space="preserve">ARC00000947</t>
  </si>
  <si>
    <t xml:space="preserve">ARC00000949</t>
  </si>
  <si>
    <t xml:space="preserve">ARC00000951</t>
  </si>
  <si>
    <t xml:space="preserve">ARC00000952</t>
  </si>
  <si>
    <t xml:space="preserve">ARC00000954</t>
  </si>
  <si>
    <t xml:space="preserve">ARC00000955</t>
  </si>
  <si>
    <t xml:space="preserve">ARC00000957</t>
  </si>
  <si>
    <t xml:space="preserve">ARC00000958</t>
  </si>
  <si>
    <t xml:space="preserve">ARC00000959</t>
  </si>
  <si>
    <t xml:space="preserve">ARC00000948</t>
  </si>
  <si>
    <t xml:space="preserve">ARC00000855</t>
  </si>
  <si>
    <t xml:space="preserve">VAL CIRCULATION OIL 220 DR 208 L KSA</t>
  </si>
  <si>
    <t xml:space="preserve">ARC00000869</t>
  </si>
  <si>
    <t xml:space="preserve">VAL ALL FLEET 25W50 DR 208 L KSA</t>
  </si>
  <si>
    <t xml:space="preserve">ARC00000888</t>
  </si>
  <si>
    <t xml:space="preserve">ARC00000886</t>
  </si>
  <si>
    <t xml:space="preserve">ARC00000885</t>
  </si>
  <si>
    <t xml:space="preserve">ARC00000884</t>
  </si>
  <si>
    <t xml:space="preserve">ARC00000852</t>
  </si>
  <si>
    <t xml:space="preserve">ARC00000854</t>
  </si>
  <si>
    <t xml:space="preserve">ARC00000853</t>
  </si>
  <si>
    <t xml:space="preserve">ARC00000883</t>
  </si>
  <si>
    <t xml:space="preserve">ARC00000887</t>
  </si>
  <si>
    <t xml:space="preserve">ARC00000878</t>
  </si>
  <si>
    <t xml:space="preserve">ARC00000877</t>
  </si>
  <si>
    <t xml:space="preserve">ARC00000879</t>
  </si>
  <si>
    <t xml:space="preserve">ARC00000880</t>
  </si>
  <si>
    <t xml:space="preserve">ARC00000882</t>
  </si>
  <si>
    <t xml:space="preserve">ARC00000864</t>
  </si>
  <si>
    <t xml:space="preserve">ARC00000881</t>
  </si>
  <si>
    <t xml:space="preserve">ARC00000862</t>
  </si>
  <si>
    <t xml:space="preserve">ARC00000863</t>
  </si>
  <si>
    <t xml:space="preserve">ARC00000871</t>
  </si>
  <si>
    <t xml:space="preserve">ARC00000865</t>
  </si>
  <si>
    <t xml:space="preserve">ARC00000866</t>
  </si>
  <si>
    <t xml:space="preserve">ARC00000872</t>
  </si>
  <si>
    <t xml:space="preserve">ARC00000867</t>
  </si>
  <si>
    <t xml:space="preserve">ARC00000873</t>
  </si>
  <si>
    <t xml:space="preserve">ARC00000868</t>
  </si>
  <si>
    <t xml:space="preserve">ARC00000874</t>
  </si>
  <si>
    <t xml:space="preserve">ARC00000875</t>
  </si>
  <si>
    <t xml:space="preserve">ARC00000903</t>
  </si>
  <si>
    <t xml:space="preserve">ARC00000910</t>
  </si>
  <si>
    <t xml:space="preserve">VAL ALL CLIMATE 20W50 24/1 L KSA</t>
  </si>
  <si>
    <t xml:space="preserve">ARC00000890</t>
  </si>
  <si>
    <t xml:space="preserve">ARC00000889</t>
  </si>
  <si>
    <t xml:space="preserve">ARC00000891</t>
  </si>
  <si>
    <t xml:space="preserve">ARC00000893</t>
  </si>
  <si>
    <t xml:space="preserve">ARC00000898</t>
  </si>
  <si>
    <t xml:space="preserve">ARC00000899</t>
  </si>
  <si>
    <t xml:space="preserve">ARC00000901</t>
  </si>
  <si>
    <t xml:space="preserve">ARC00000904</t>
  </si>
  <si>
    <t xml:space="preserve">ARC00000905</t>
  </si>
  <si>
    <t xml:space="preserve">ARC00000906</t>
  </si>
  <si>
    <t xml:space="preserve">ARC00000907</t>
  </si>
  <si>
    <t xml:space="preserve">ARC00000908</t>
  </si>
  <si>
    <t xml:space="preserve">ARC00000909</t>
  </si>
  <si>
    <t xml:space="preserve">ARC00000892</t>
  </si>
  <si>
    <t xml:space="preserve">ARC00000894</t>
  </si>
  <si>
    <t xml:space="preserve">ARC00000895</t>
  </si>
  <si>
    <t xml:space="preserve">ARC00000897</t>
  </si>
  <si>
    <t xml:space="preserve">ARC00000896</t>
  </si>
  <si>
    <t xml:space="preserve">ARC00000900</t>
  </si>
  <si>
    <t xml:space="preserve">ARC00000902</t>
  </si>
  <si>
    <t xml:space="preserve">KARMC00001345</t>
  </si>
  <si>
    <t xml:space="preserve">KARMC00001324</t>
  </si>
  <si>
    <t xml:space="preserve">KARMC00001322</t>
  </si>
  <si>
    <t xml:space="preserve">KARMC00001338</t>
  </si>
  <si>
    <t xml:space="preserve">KARMC00001352</t>
  </si>
  <si>
    <t xml:space="preserve">KARMC00001351</t>
  </si>
  <si>
    <t xml:space="preserve">KARMC00001330</t>
  </si>
  <si>
    <t xml:space="preserve">KARMC00001329</t>
  </si>
  <si>
    <t xml:space="preserve">KARMC00001331</t>
  </si>
  <si>
    <t xml:space="preserve">KARMC00001333</t>
  </si>
  <si>
    <t xml:space="preserve">KARMC00001334</t>
  </si>
  <si>
    <t xml:space="preserve">KARMC00001332</t>
  </si>
  <si>
    <t xml:space="preserve">KARMC00001327</t>
  </si>
  <si>
    <t xml:space="preserve">KARMC00001326</t>
  </si>
  <si>
    <t xml:space="preserve">KARMC00001325</t>
  </si>
  <si>
    <t xml:space="preserve">KARMC00001323</t>
  </si>
  <si>
    <t xml:space="preserve">KARMC00001321</t>
  </si>
  <si>
    <t xml:space="preserve">KARMC00001353</t>
  </si>
  <si>
    <t xml:space="preserve">KARMC00001346</t>
  </si>
  <si>
    <t xml:space="preserve">KARMC00001347</t>
  </si>
  <si>
    <t xml:space="preserve">KARMC00001350</t>
  </si>
  <si>
    <t xml:space="preserve">KARMC00001349</t>
  </si>
  <si>
    <t xml:space="preserve">KARMC00001348</t>
  </si>
  <si>
    <t xml:space="preserve">KARMC00001328</t>
  </si>
  <si>
    <t xml:space="preserve">KARMC00001344</t>
  </si>
  <si>
    <t xml:space="preserve">KARMC00001342</t>
  </si>
  <si>
    <t xml:space="preserve">KARMC00001343</t>
  </si>
  <si>
    <t xml:space="preserve">KARMC00001341</t>
  </si>
  <si>
    <t xml:space="preserve">KARMC00001339</t>
  </si>
  <si>
    <t xml:space="preserve">KARMC00001340</t>
  </si>
  <si>
    <t xml:space="preserve">KRMC00001573</t>
  </si>
  <si>
    <t xml:space="preserve">KRMC00001581</t>
  </si>
  <si>
    <t xml:space="preserve">KRMC00001583</t>
  </si>
  <si>
    <t xml:space="preserve">KRMC00001585</t>
  </si>
  <si>
    <t xml:space="preserve">KRMC00001588</t>
  </si>
  <si>
    <t xml:space="preserve">KRMC00001590</t>
  </si>
  <si>
    <t xml:space="preserve">KRMC00001591</t>
  </si>
  <si>
    <t xml:space="preserve">KRMC00001574</t>
  </si>
  <si>
    <t xml:space="preserve">KRMC00001575</t>
  </si>
  <si>
    <t xml:space="preserve">KRMC00001576</t>
  </si>
  <si>
    <t xml:space="preserve">KRMC00001577</t>
  </si>
  <si>
    <t xml:space="preserve">KRMC00001578</t>
  </si>
  <si>
    <t xml:space="preserve">KRMC00001579</t>
  </si>
  <si>
    <t xml:space="preserve">KRMC00001580</t>
  </si>
  <si>
    <t xml:space="preserve">KRMC00001582</t>
  </si>
  <si>
    <t xml:space="preserve">KRMC00001584</t>
  </si>
  <si>
    <t xml:space="preserve">KRMC00001586</t>
  </si>
  <si>
    <t xml:space="preserve">KRMC00001587</t>
  </si>
  <si>
    <t xml:space="preserve">KRMC00001589</t>
  </si>
  <si>
    <t xml:space="preserve">KRMC00001562</t>
  </si>
  <si>
    <t xml:space="preserve">KRMC00001563</t>
  </si>
  <si>
    <t xml:space="preserve">KRMC00001564</t>
  </si>
  <si>
    <t xml:space="preserve">KRMC00001565</t>
  </si>
  <si>
    <t xml:space="preserve">KRMC00001566</t>
  </si>
  <si>
    <t xml:space="preserve">KRMC00001568</t>
  </si>
  <si>
    <t xml:space="preserve">KRMC00001567</t>
  </si>
  <si>
    <t xml:space="preserve">KRMC00001570</t>
  </si>
  <si>
    <t xml:space="preserve">KRMC00001569</t>
  </si>
  <si>
    <t xml:space="preserve">KRMC00001571</t>
  </si>
  <si>
    <t xml:space="preserve">KRMC00001572</t>
  </si>
  <si>
    <t xml:space="preserve">KRMC00001618</t>
  </si>
  <si>
    <t xml:space="preserve">VAL DT TRANSMISSION 30 DR 208 L KSA</t>
  </si>
  <si>
    <t xml:space="preserve">KRMC00001614</t>
  </si>
  <si>
    <t xml:space="preserve">KRMC00001615</t>
  </si>
  <si>
    <t xml:space="preserve">KRMC00001619</t>
  </si>
  <si>
    <t xml:space="preserve">VAL EPG 460 DR 208 L KSA</t>
  </si>
  <si>
    <t xml:space="preserve">KRMC00001613</t>
  </si>
  <si>
    <t xml:space="preserve">KRMC00001592</t>
  </si>
  <si>
    <t xml:space="preserve">KRMC00001593</t>
  </si>
  <si>
    <t xml:space="preserve">KRMC00001594</t>
  </si>
  <si>
    <t xml:space="preserve">KRMC00001595</t>
  </si>
  <si>
    <t xml:space="preserve">KRMC00001596</t>
  </si>
  <si>
    <t xml:space="preserve">KRMC00001597</t>
  </si>
  <si>
    <t xml:space="preserve">KRMC00001598</t>
  </si>
  <si>
    <t xml:space="preserve">KRMC00001599</t>
  </si>
  <si>
    <t xml:space="preserve">KRMC00001602</t>
  </si>
  <si>
    <t xml:space="preserve">KRMC00001600</t>
  </si>
  <si>
    <t xml:space="preserve">KRMC00001603</t>
  </si>
  <si>
    <t xml:space="preserve">KRMC00001605</t>
  </si>
  <si>
    <t xml:space="preserve">KRMC00001604</t>
  </si>
  <si>
    <t xml:space="preserve">KRMC00001606</t>
  </si>
  <si>
    <t xml:space="preserve">KRMC00001608</t>
  </si>
  <si>
    <t xml:space="preserve">KRMC00001607</t>
  </si>
  <si>
    <t xml:space="preserve">KRMC00001609</t>
  </si>
  <si>
    <t xml:space="preserve">KRMC00001611</t>
  </si>
  <si>
    <t xml:space="preserve">KRMC00001612</t>
  </si>
  <si>
    <t xml:space="preserve">KRMC00001610</t>
  </si>
  <si>
    <t xml:space="preserve">KRMC00001617</t>
  </si>
  <si>
    <t xml:space="preserve">KRMC00001616</t>
  </si>
  <si>
    <t xml:space="preserve">KRMC00001622</t>
  </si>
  <si>
    <t xml:space="preserve">VAL HLP 100 DR 208 L KSA</t>
  </si>
  <si>
    <t xml:space="preserve">KRMC00001648</t>
  </si>
  <si>
    <t xml:space="preserve">KRMC00001649</t>
  </si>
  <si>
    <t xml:space="preserve">VAL HLP 32 DR 208 L KSA</t>
  </si>
  <si>
    <t xml:space="preserve">KRMC00001646</t>
  </si>
  <si>
    <t xml:space="preserve">KRMC00001647</t>
  </si>
  <si>
    <t xml:space="preserve">KRMC00001644</t>
  </si>
  <si>
    <t xml:space="preserve">KRMC00001645</t>
  </si>
  <si>
    <t xml:space="preserve">KRMC00001643</t>
  </si>
  <si>
    <t xml:space="preserve">KRMC00001642</t>
  </si>
  <si>
    <t xml:space="preserve">KRMC00001641</t>
  </si>
  <si>
    <t xml:space="preserve">KRMC00001640</t>
  </si>
  <si>
    <t xml:space="preserve">KRMC00001638</t>
  </si>
  <si>
    <t xml:space="preserve">KRMC00001637</t>
  </si>
  <si>
    <t xml:space="preserve">KRMC00001639</t>
  </si>
  <si>
    <t xml:space="preserve">KRMC00001634</t>
  </si>
  <si>
    <t xml:space="preserve">KRMC00001621</t>
  </si>
  <si>
    <t xml:space="preserve">KRMC00001635</t>
  </si>
  <si>
    <t xml:space="preserve">KRMC00001620</t>
  </si>
  <si>
    <t xml:space="preserve">KRMC00001633</t>
  </si>
  <si>
    <t xml:space="preserve">KRMC00001632</t>
  </si>
  <si>
    <t xml:space="preserve">KRMC00001631</t>
  </si>
  <si>
    <t xml:space="preserve">KRMC00001630</t>
  </si>
  <si>
    <t xml:space="preserve">KRMC00001629</t>
  </si>
  <si>
    <t xml:space="preserve">KRMC00001628</t>
  </si>
  <si>
    <t xml:space="preserve">KRMC00001627</t>
  </si>
  <si>
    <t xml:space="preserve">KRMC00001626</t>
  </si>
  <si>
    <t xml:space="preserve">KRMC00001625</t>
  </si>
  <si>
    <t xml:space="preserve">KRMC00001624</t>
  </si>
  <si>
    <t xml:space="preserve">KRMC00001623</t>
  </si>
  <si>
    <t xml:space="preserve">KRMC00001636</t>
  </si>
  <si>
    <t xml:space="preserve">ARC00000822</t>
  </si>
  <si>
    <t xml:space="preserve">VAL TURBINE OIL PRO 32 EP DR 208L KSA</t>
  </si>
  <si>
    <t xml:space="preserve">ARC00000824</t>
  </si>
  <si>
    <t xml:space="preserve">ARC00000844</t>
  </si>
  <si>
    <t xml:space="preserve">ARC00000845</t>
  </si>
  <si>
    <t xml:space="preserve">ARC00000846</t>
  </si>
  <si>
    <t xml:space="preserve">ARC00000847</t>
  </si>
  <si>
    <t xml:space="preserve">ARC00000839</t>
  </si>
  <si>
    <t xml:space="preserve">ARC00000840</t>
  </si>
  <si>
    <t xml:space="preserve">ARC00000838</t>
  </si>
  <si>
    <t xml:space="preserve">ARC00000837</t>
  </si>
  <si>
    <t xml:space="preserve">ARC00000836</t>
  </si>
  <si>
    <t xml:space="preserve">ARC00000834</t>
  </si>
  <si>
    <t xml:space="preserve">ARC00000828</t>
  </si>
  <si>
    <t xml:space="preserve">ARC00000835</t>
  </si>
  <si>
    <t xml:space="preserve">ARC00000830</t>
  </si>
  <si>
    <t xml:space="preserve">ARC00000831</t>
  </si>
  <si>
    <t xml:space="preserve">ARC00000832</t>
  </si>
  <si>
    <t xml:space="preserve">ARC00000833</t>
  </si>
  <si>
    <t xml:space="preserve">ARC00000851</t>
  </si>
  <si>
    <t xml:space="preserve">ARC00000827</t>
  </si>
  <si>
    <t xml:space="preserve">ARC00000826</t>
  </si>
  <si>
    <t xml:space="preserve">ARC00000829</t>
  </si>
  <si>
    <t xml:space="preserve">ARC00000825</t>
  </si>
  <si>
    <t xml:space="preserve">ARC00000823</t>
  </si>
  <si>
    <t xml:space="preserve">ARC00000850</t>
  </si>
  <si>
    <t xml:space="preserve">ARC00000849</t>
  </si>
  <si>
    <t xml:space="preserve">ARC00000848</t>
  </si>
  <si>
    <t xml:space="preserve">ARC00000841</t>
  </si>
  <si>
    <t xml:space="preserve">ARC00000842</t>
  </si>
  <si>
    <t xml:space="preserve">ARC00000843</t>
  </si>
  <si>
    <t xml:space="preserve">KRMC00001896</t>
  </si>
  <si>
    <t xml:space="preserve">VAL EPG 220 DR 208 L KSA</t>
  </si>
  <si>
    <t xml:space="preserve">KRMC00001893</t>
  </si>
  <si>
    <t xml:space="preserve">KRMC00001894</t>
  </si>
  <si>
    <t xml:space="preserve">KRMC00001892</t>
  </si>
  <si>
    <t xml:space="preserve">KRMC00001891</t>
  </si>
  <si>
    <t xml:space="preserve">KRMC00001889</t>
  </si>
  <si>
    <t xml:space="preserve">KRMC00001890</t>
  </si>
  <si>
    <t xml:space="preserve">KRMC00001888</t>
  </si>
  <si>
    <t xml:space="preserve">KRMC00001887</t>
  </si>
  <si>
    <t xml:space="preserve">KRMC00001656</t>
  </si>
  <si>
    <t xml:space="preserve">KRMC00001885</t>
  </si>
  <si>
    <t xml:space="preserve">KRMC00001883</t>
  </si>
  <si>
    <t xml:space="preserve">KRMC00001882</t>
  </si>
  <si>
    <t xml:space="preserve">KRMC00001884</t>
  </si>
  <si>
    <t xml:space="preserve">KRMC00001886</t>
  </si>
  <si>
    <t xml:space="preserve">KRMC00001650</t>
  </si>
  <si>
    <t xml:space="preserve">KRMC00001651</t>
  </si>
  <si>
    <t xml:space="preserve">KRMC00001652</t>
  </si>
  <si>
    <t xml:space="preserve">KRMC00001654</t>
  </si>
  <si>
    <t xml:space="preserve">KRMC00001653</t>
  </si>
  <si>
    <t xml:space="preserve">KRMC00001655</t>
  </si>
  <si>
    <t xml:space="preserve">KRMC00001657</t>
  </si>
  <si>
    <t xml:space="preserve">KRMC00001658</t>
  </si>
  <si>
    <t xml:space="preserve">KRMC00001659</t>
  </si>
  <si>
    <t xml:space="preserve">KRMC00001660</t>
  </si>
  <si>
    <t xml:space="preserve">KRMC00001661</t>
  </si>
  <si>
    <t xml:space="preserve">KRMC00001900</t>
  </si>
  <si>
    <t xml:space="preserve">KRMC00001899</t>
  </si>
  <si>
    <t xml:space="preserve">KRMC00001897</t>
  </si>
  <si>
    <t xml:space="preserve">KRMC00001898</t>
  </si>
  <si>
    <t xml:space="preserve">KRMC00001895</t>
  </si>
  <si>
    <t xml:space="preserve">KRMC00001981</t>
  </si>
  <si>
    <t xml:space="preserve">KRMC00001991</t>
  </si>
  <si>
    <t xml:space="preserve">KRMC00001988</t>
  </si>
  <si>
    <t xml:space="preserve">KRMC00001986</t>
  </si>
  <si>
    <t xml:space="preserve">KRMC00001985</t>
  </si>
  <si>
    <t xml:space="preserve">KRMC00001984</t>
  </si>
  <si>
    <t xml:space="preserve">KRMC00001983</t>
  </si>
  <si>
    <t xml:space="preserve">KRMC00001980</t>
  </si>
  <si>
    <t xml:space="preserve">KRMC00001979</t>
  </si>
  <si>
    <t xml:space="preserve">KRMC00001977</t>
  </si>
  <si>
    <t xml:space="preserve">KRMC00001978</t>
  </si>
  <si>
    <t xml:space="preserve">KRMC00001975</t>
  </si>
  <si>
    <t xml:space="preserve">KRMC00001974</t>
  </si>
  <si>
    <t xml:space="preserve">KRMC00001973</t>
  </si>
  <si>
    <t xml:space="preserve">KRMC00001976</t>
  </si>
  <si>
    <t xml:space="preserve">KRMC00001996</t>
  </si>
  <si>
    <t xml:space="preserve">KRMC00001995</t>
  </si>
  <si>
    <t xml:space="preserve">KRMC00001993</t>
  </si>
  <si>
    <t xml:space="preserve">KRMC00001994</t>
  </si>
  <si>
    <t xml:space="preserve">KRMC00001992</t>
  </si>
  <si>
    <t xml:space="preserve">KRMC00001990</t>
  </si>
  <si>
    <t xml:space="preserve">KRMC00001989</t>
  </si>
  <si>
    <t xml:space="preserve">KRMC00001987</t>
  </si>
  <si>
    <t xml:space="preserve">KRMC00001982</t>
  </si>
  <si>
    <t xml:space="preserve">KRMC00001966</t>
  </si>
  <si>
    <t xml:space="preserve">KRMC00001971</t>
  </si>
  <si>
    <t xml:space="preserve">KRMC00001970</t>
  </si>
  <si>
    <t xml:space="preserve">KRMC00001969</t>
  </si>
  <si>
    <t xml:space="preserve">KRMC00001968</t>
  </si>
  <si>
    <t xml:space="preserve">KRMC00001967</t>
  </si>
  <si>
    <t xml:space="preserve">KRMC00001965</t>
  </si>
  <si>
    <t xml:space="preserve">KRMC00001964</t>
  </si>
  <si>
    <t xml:space="preserve">KRMC00001963</t>
  </si>
  <si>
    <t xml:space="preserve">KRMC00001962</t>
  </si>
  <si>
    <t xml:space="preserve">KRMC00001958</t>
  </si>
  <si>
    <t xml:space="preserve">KRMC00001957</t>
  </si>
  <si>
    <t xml:space="preserve">KRMC00001956</t>
  </si>
  <si>
    <t xml:space="preserve">KRMC00001955</t>
  </si>
  <si>
    <t xml:space="preserve">KRMC00001954</t>
  </si>
  <si>
    <t xml:space="preserve">KRMC00001953</t>
  </si>
  <si>
    <t xml:space="preserve">KRMC00001952</t>
  </si>
  <si>
    <t xml:space="preserve">KRMC00001951</t>
  </si>
  <si>
    <t xml:space="preserve">KRMC00001950</t>
  </si>
  <si>
    <t xml:space="preserve">KRMC00001949</t>
  </si>
  <si>
    <t xml:space="preserve">KRMC00001948</t>
  </si>
  <si>
    <t xml:space="preserve">KRMC00001947</t>
  </si>
  <si>
    <t xml:space="preserve">KRMC00001946</t>
  </si>
  <si>
    <t xml:space="preserve">KRMC00001945</t>
  </si>
  <si>
    <t xml:space="preserve">KRMC00001944</t>
  </si>
  <si>
    <t xml:space="preserve">KRMC00001943</t>
  </si>
  <si>
    <t xml:space="preserve">KRMC00001942</t>
  </si>
  <si>
    <t xml:space="preserve">KRMC00001941</t>
  </si>
  <si>
    <t xml:space="preserve">KRMC00001961</t>
  </si>
  <si>
    <t xml:space="preserve">KRMC00001960</t>
  </si>
  <si>
    <t xml:space="preserve">KRMC00001921</t>
  </si>
  <si>
    <t xml:space="preserve">VAL ALL FLEET 20W50 DR 208 L KSA</t>
  </si>
  <si>
    <t xml:space="preserve">KRMC00001922</t>
  </si>
  <si>
    <t xml:space="preserve">KRMC00001925</t>
  </si>
  <si>
    <t xml:space="preserve">VAL ALL CLIMATE 5W30 DR 208 L KSA</t>
  </si>
  <si>
    <t xml:space="preserve">KRMC00002000</t>
  </si>
  <si>
    <t xml:space="preserve">KRMC00001999</t>
  </si>
  <si>
    <t xml:space="preserve">KRMC00001998</t>
  </si>
  <si>
    <t xml:space="preserve">KRMC00001997</t>
  </si>
  <si>
    <t xml:space="preserve">KRMC00001972</t>
  </si>
  <si>
    <t xml:space="preserve">KRMC00001940</t>
  </si>
  <si>
    <t xml:space="preserve">KRMC00001930</t>
  </si>
  <si>
    <t xml:space="preserve">KRMC00001938</t>
  </si>
  <si>
    <t xml:space="preserve">KRMC00001939</t>
  </si>
  <si>
    <t xml:space="preserve">KRMC00001937</t>
  </si>
  <si>
    <t xml:space="preserve">KRMC00001936</t>
  </si>
  <si>
    <t xml:space="preserve">KRMC00001935</t>
  </si>
  <si>
    <t xml:space="preserve">KRMC00001934</t>
  </si>
  <si>
    <t xml:space="preserve">KRMC00001933</t>
  </si>
  <si>
    <t xml:space="preserve">KRMC00001932</t>
  </si>
  <si>
    <t xml:space="preserve">KRMC00001931</t>
  </si>
  <si>
    <t xml:space="preserve">KRMC00001929</t>
  </si>
  <si>
    <t xml:space="preserve">KRMC00001928</t>
  </si>
  <si>
    <t xml:space="preserve">KRMC00001927</t>
  </si>
  <si>
    <t xml:space="preserve">KRMC00001926</t>
  </si>
  <si>
    <t xml:space="preserve">KRMC00001924</t>
  </si>
  <si>
    <t xml:space="preserve">KRMC00001923</t>
  </si>
  <si>
    <t xml:space="preserve">KRMC00001904</t>
  </si>
  <si>
    <t xml:space="preserve">KRMC00001902</t>
  </si>
  <si>
    <t xml:space="preserve">KRMC00001901</t>
  </si>
  <si>
    <t xml:space="preserve">KRMC00002025</t>
  </si>
  <si>
    <t xml:space="preserve">KRMC00002024</t>
  </si>
  <si>
    <t xml:space="preserve">KRMC00002023</t>
  </si>
  <si>
    <t xml:space="preserve">KRMC00002022</t>
  </si>
  <si>
    <t xml:space="preserve">KRMC00002021</t>
  </si>
  <si>
    <t xml:space="preserve">KRMC00001920</t>
  </si>
  <si>
    <t xml:space="preserve">KRMC00001919</t>
  </si>
  <si>
    <t xml:space="preserve">KRMC00001918</t>
  </si>
  <si>
    <t xml:space="preserve">KRMC00001917</t>
  </si>
  <si>
    <t xml:space="preserve">KRMC00001916</t>
  </si>
  <si>
    <t xml:space="preserve">KRMC00001915</t>
  </si>
  <si>
    <t xml:space="preserve">KRMC00001914</t>
  </si>
  <si>
    <t xml:space="preserve">KRMC00001913</t>
  </si>
  <si>
    <t xml:space="preserve">KRMC00001912</t>
  </si>
  <si>
    <t xml:space="preserve">KRMC00001911</t>
  </si>
  <si>
    <t xml:space="preserve">KRMC00001910</t>
  </si>
  <si>
    <t xml:space="preserve">KRMC00001909</t>
  </si>
  <si>
    <t xml:space="preserve">KRMC00001908</t>
  </si>
  <si>
    <t xml:space="preserve">KRMC00001907</t>
  </si>
  <si>
    <t xml:space="preserve">KRMC00001906</t>
  </si>
  <si>
    <t xml:space="preserve">KRMC00001905</t>
  </si>
  <si>
    <t xml:space="preserve">KRMC00001903</t>
  </si>
  <si>
    <t xml:space="preserve">ARC00000810</t>
  </si>
  <si>
    <t xml:space="preserve">ARC00000807</t>
  </si>
  <si>
    <t xml:space="preserve">ARC00000803</t>
  </si>
  <si>
    <t xml:space="preserve">ARC00000820</t>
  </si>
  <si>
    <t xml:space="preserve">ARC00000818</t>
  </si>
  <si>
    <t xml:space="preserve">ARC00000816</t>
  </si>
  <si>
    <t xml:space="preserve">ARC00000814</t>
  </si>
  <si>
    <t xml:space="preserve">ARC00000813</t>
  </si>
  <si>
    <t xml:space="preserve">ARC00000815</t>
  </si>
  <si>
    <t xml:space="preserve">ARC00000817</t>
  </si>
  <si>
    <t xml:space="preserve">ARC00000819</t>
  </si>
  <si>
    <t xml:space="preserve">ARC00000821</t>
  </si>
  <si>
    <t xml:space="preserve">ARC00000812</t>
  </si>
  <si>
    <t xml:space="preserve">ARC00000811</t>
  </si>
  <si>
    <t xml:space="preserve">ARC00000808</t>
  </si>
  <si>
    <t xml:space="preserve">ARC00000806</t>
  </si>
  <si>
    <t xml:space="preserve">ARC00000856</t>
  </si>
  <si>
    <t xml:space="preserve">ARC00000804</t>
  </si>
  <si>
    <t xml:space="preserve">ARC00000805</t>
  </si>
  <si>
    <t xml:space="preserve">2501715389-1</t>
  </si>
  <si>
    <t xml:space="preserve">ARC00000858</t>
  </si>
  <si>
    <t xml:space="preserve">ARC00000857</t>
  </si>
  <si>
    <t xml:space="preserve">ARC00000859</t>
  </si>
  <si>
    <t xml:space="preserve">ARC00000794</t>
  </si>
  <si>
    <t xml:space="preserve">ARC00000783</t>
  </si>
  <si>
    <t xml:space="preserve">ARC00000860</t>
  </si>
  <si>
    <t xml:space="preserve">ARC00000795</t>
  </si>
  <si>
    <t xml:space="preserve">ARC00000793</t>
  </si>
  <si>
    <t xml:space="preserve">ARC00000792</t>
  </si>
  <si>
    <t xml:space="preserve">ARC00000790</t>
  </si>
  <si>
    <t xml:space="preserve">ARC00000789</t>
  </si>
  <si>
    <t xml:space="preserve">ARC00000788</t>
  </si>
  <si>
    <t xml:space="preserve">ARC00000787</t>
  </si>
  <si>
    <t xml:space="preserve">ARC00000786</t>
  </si>
  <si>
    <t xml:space="preserve">ARC00000785</t>
  </si>
  <si>
    <t xml:space="preserve">ARC00000784</t>
  </si>
  <si>
    <t xml:space="preserve">ARC00000796</t>
  </si>
  <si>
    <t xml:space="preserve">ARC00000798</t>
  </si>
  <si>
    <t xml:space="preserve">ARC00000799</t>
  </si>
  <si>
    <t xml:space="preserve">ARC00000797</t>
  </si>
  <si>
    <t xml:space="preserve">ARC00000800</t>
  </si>
  <si>
    <t xml:space="preserve">ARC00000801</t>
  </si>
  <si>
    <t xml:space="preserve">ARC00000802</t>
  </si>
  <si>
    <t xml:space="preserve">ARC00000791</t>
  </si>
  <si>
    <t xml:space="preserve">KRMC00002032</t>
  </si>
  <si>
    <t xml:space="preserve">LIGHT &amp; HD AXLE OIL 80W90 DR 208 L KSA</t>
  </si>
  <si>
    <t xml:space="preserve">KRMC00002030</t>
  </si>
  <si>
    <t xml:space="preserve">KRMC00002031</t>
  </si>
  <si>
    <t xml:space="preserve">KRMC00002048</t>
  </si>
  <si>
    <t xml:space="preserve">VAL LIGHT &amp; HD GEAR OIL 90 DR 208 L KSA</t>
  </si>
  <si>
    <t xml:space="preserve">KRMC00002028</t>
  </si>
  <si>
    <t xml:space="preserve">KRMC00002027</t>
  </si>
  <si>
    <t xml:space="preserve">KRMC00002029</t>
  </si>
  <si>
    <t xml:space="preserve">KRMC00002047</t>
  </si>
  <si>
    <t xml:space="preserve">KRMC00002046</t>
  </si>
  <si>
    <t xml:space="preserve">KRMC00002045</t>
  </si>
  <si>
    <t xml:space="preserve">KRMC00002044</t>
  </si>
  <si>
    <t xml:space="preserve">KRMC00002043</t>
  </si>
  <si>
    <t xml:space="preserve">KRMC00002042</t>
  </si>
  <si>
    <t xml:space="preserve">KRMC00002041</t>
  </si>
  <si>
    <t xml:space="preserve">KRMC00002050</t>
  </si>
  <si>
    <t xml:space="preserve">KRMC00002049</t>
  </si>
  <si>
    <t xml:space="preserve">KRMC00002040</t>
  </si>
  <si>
    <t xml:space="preserve">KRMC00002039</t>
  </si>
  <si>
    <t xml:space="preserve">KRMC00002038</t>
  </si>
  <si>
    <t xml:space="preserve">KRMC00002037</t>
  </si>
  <si>
    <t xml:space="preserve">KRMC00002036</t>
  </si>
  <si>
    <t xml:space="preserve">KRMC00002035</t>
  </si>
  <si>
    <t xml:space="preserve">KRMC00002034</t>
  </si>
  <si>
    <t xml:space="preserve">KRMC00002033</t>
  </si>
  <si>
    <t xml:space="preserve">ARC00000767</t>
  </si>
  <si>
    <t xml:space="preserve">VAL SYNPOWER FE 5W30 12/1 L KSA</t>
  </si>
  <si>
    <t xml:space="preserve">ARC00000782</t>
  </si>
  <si>
    <t xml:space="preserve">VAL HLP 37 DR 208 L KSA</t>
  </si>
  <si>
    <t xml:space="preserve">ARC00000761</t>
  </si>
  <si>
    <t xml:space="preserve">VAL ALL CLIMATE 10W30 DR 208 L KSA</t>
  </si>
  <si>
    <t xml:space="preserve">ARC00000762</t>
  </si>
  <si>
    <t xml:space="preserve">ARC00000764</t>
  </si>
  <si>
    <t xml:space="preserve">ARC00000765</t>
  </si>
  <si>
    <t xml:space="preserve">ARC00000766</t>
  </si>
  <si>
    <t xml:space="preserve">ARC00000768</t>
  </si>
  <si>
    <t xml:space="preserve">ARC00000769</t>
  </si>
  <si>
    <t xml:space="preserve">ARC00000771</t>
  </si>
  <si>
    <t xml:space="preserve">ARC00000772</t>
  </si>
  <si>
    <t xml:space="preserve">ARC00000773</t>
  </si>
  <si>
    <t xml:space="preserve">ARC00000774</t>
  </si>
  <si>
    <t xml:space="preserve">ARC00000770</t>
  </si>
  <si>
    <t xml:space="preserve">ARC00000776</t>
  </si>
  <si>
    <t xml:space="preserve">ARC00000777</t>
  </si>
  <si>
    <t xml:space="preserve">ARC00000778</t>
  </si>
  <si>
    <t xml:space="preserve">ARC00000779</t>
  </si>
  <si>
    <t xml:space="preserve">ARC00000780</t>
  </si>
  <si>
    <t xml:space="preserve">ARC00000781</t>
  </si>
  <si>
    <t xml:space="preserve">ARC00000763</t>
  </si>
  <si>
    <t xml:space="preserve">ARC00000775</t>
  </si>
  <si>
    <t xml:space="preserve">KRMC00002295</t>
  </si>
  <si>
    <t xml:space="preserve">KRMC00002291</t>
  </si>
  <si>
    <t xml:space="preserve">KRMC00002292</t>
  </si>
  <si>
    <t xml:space="preserve">KRMC00002309</t>
  </si>
  <si>
    <t xml:space="preserve">KRMC00002303</t>
  </si>
  <si>
    <t xml:space="preserve">KRMC00002294</t>
  </si>
  <si>
    <t xml:space="preserve">KRMC00002318</t>
  </si>
  <si>
    <t xml:space="preserve">KRMC00002293</t>
  </si>
  <si>
    <t xml:space="preserve">KRMC00002312</t>
  </si>
  <si>
    <t xml:space="preserve">KRMC00002315</t>
  </si>
  <si>
    <t xml:space="preserve">KRMC00002319</t>
  </si>
  <si>
    <t xml:space="preserve">KRMC00002314</t>
  </si>
  <si>
    <t xml:space="preserve">KRMC00002313</t>
  </si>
  <si>
    <t xml:space="preserve">KRMC00002305</t>
  </si>
  <si>
    <t xml:space="preserve">KRMC00002304</t>
  </si>
  <si>
    <t xml:space="preserve">KRMC00002311</t>
  </si>
  <si>
    <t xml:space="preserve">KRMC00002310</t>
  </si>
  <si>
    <t xml:space="preserve">KRMC00002308</t>
  </si>
  <si>
    <t xml:space="preserve">KRMC00002302</t>
  </si>
  <si>
    <t xml:space="preserve">KRMC00002301</t>
  </si>
  <si>
    <t xml:space="preserve">KRMC00002300</t>
  </si>
  <si>
    <t xml:space="preserve">KRMC00002307</t>
  </si>
  <si>
    <t xml:space="preserve">KRMC00002306</t>
  </si>
  <si>
    <t xml:space="preserve">KRMC00002299</t>
  </si>
  <si>
    <t xml:space="preserve">KRMC00002298</t>
  </si>
  <si>
    <t xml:space="preserve">KRMC00002297</t>
  </si>
  <si>
    <t xml:space="preserve">KRMC00002296</t>
  </si>
  <si>
    <t xml:space="preserve">KRMC00002288</t>
  </si>
  <si>
    <t xml:space="preserve">KRMC00002289</t>
  </si>
  <si>
    <t xml:space="preserve">KRMC00002274</t>
  </si>
  <si>
    <t xml:space="preserve">KRMC00002278</t>
  </si>
  <si>
    <t xml:space="preserve">KRMC00002287</t>
  </si>
  <si>
    <t xml:space="preserve">KRMC00002265</t>
  </si>
  <si>
    <t xml:space="preserve">KRMC00002266</t>
  </si>
  <si>
    <t xml:space="preserve">KRMC00002277</t>
  </si>
  <si>
    <t xml:space="preserve">KRMC00002264</t>
  </si>
  <si>
    <t xml:space="preserve">KRMC00002276</t>
  </si>
  <si>
    <t xml:space="preserve">KRMC00002280</t>
  </si>
  <si>
    <t xml:space="preserve">KRMC00002272</t>
  </si>
  <si>
    <t xml:space="preserve">KRMC00002279</t>
  </si>
  <si>
    <t xml:space="preserve">KRMC00002320</t>
  </si>
  <si>
    <t xml:space="preserve">KRMC00002273</t>
  </si>
  <si>
    <t xml:space="preserve">KRMC00002275</t>
  </si>
  <si>
    <t xml:space="preserve">KRMC00002290</t>
  </si>
  <si>
    <t xml:space="preserve">KRMC00002281</t>
  </si>
  <si>
    <t xml:space="preserve">KRMC00002282</t>
  </si>
  <si>
    <t xml:space="preserve">KRMC00002283</t>
  </si>
  <si>
    <t xml:space="preserve">KRMC00002284</t>
  </si>
  <si>
    <t xml:space="preserve">KRMC00002285</t>
  </si>
  <si>
    <t xml:space="preserve">KRMC00002286</t>
  </si>
  <si>
    <t xml:space="preserve">KRMC00002246</t>
  </si>
  <si>
    <t xml:space="preserve">KRMC00002237</t>
  </si>
  <si>
    <t xml:space="preserve">KRMC00002258</t>
  </si>
  <si>
    <t xml:space="preserve">KRMC00002257</t>
  </si>
  <si>
    <t xml:space="preserve">KRMC00002255</t>
  </si>
  <si>
    <t xml:space="preserve">KRMC00002254</t>
  </si>
  <si>
    <t xml:space="preserve">KRMC00002253</t>
  </si>
  <si>
    <t xml:space="preserve">KRMC00002251</t>
  </si>
  <si>
    <t xml:space="preserve">KRMC00002256</t>
  </si>
  <si>
    <t xml:space="preserve">KRMC00002236</t>
  </si>
  <si>
    <t xml:space="preserve">KRMC00002235</t>
  </si>
  <si>
    <t xml:space="preserve">KRMC00002238</t>
  </si>
  <si>
    <t xml:space="preserve">KRMC00002242</t>
  </si>
  <si>
    <t xml:space="preserve">KRMC00002252</t>
  </si>
  <si>
    <t xml:space="preserve">KRMC00002250</t>
  </si>
  <si>
    <t xml:space="preserve">KRMC00002249</t>
  </si>
  <si>
    <t xml:space="preserve">KRMC00002248</t>
  </si>
  <si>
    <t xml:space="preserve">KRMC00002247</t>
  </si>
  <si>
    <t xml:space="preserve">KRMC00002245</t>
  </si>
  <si>
    <t xml:space="preserve">KRMC00002244</t>
  </si>
  <si>
    <t xml:space="preserve">KRMC00002243</t>
  </si>
  <si>
    <t xml:space="preserve">KRMC00002241</t>
  </si>
  <si>
    <t xml:space="preserve">KRMC00002240</t>
  </si>
  <si>
    <t xml:space="preserve">KRMC00002239</t>
  </si>
  <si>
    <t xml:space="preserve">KRMC00002230</t>
  </si>
  <si>
    <t xml:space="preserve">VAL EPG 100 DR 208 L KSA</t>
  </si>
  <si>
    <t xml:space="preserve">KRMC00002234</t>
  </si>
  <si>
    <t xml:space="preserve">VAL DT TRANSMISSION 50 DR 208 L KSA</t>
  </si>
  <si>
    <t xml:space="preserve">KRMC00002224</t>
  </si>
  <si>
    <t xml:space="preserve">KRMC00002225</t>
  </si>
  <si>
    <t xml:space="preserve">KRMC00002227</t>
  </si>
  <si>
    <t xml:space="preserve">KRMC00002231</t>
  </si>
  <si>
    <t xml:space="preserve">KRMC00002233</t>
  </si>
  <si>
    <t xml:space="preserve">KRMC00002226</t>
  </si>
  <si>
    <t xml:space="preserve">KRMC00002232</t>
  </si>
  <si>
    <t xml:space="preserve">KRMC00002212</t>
  </si>
  <si>
    <t xml:space="preserve">VAL HLP 150 DR 208 L KSA</t>
  </si>
  <si>
    <t xml:space="preserve">KRMC00002205</t>
  </si>
  <si>
    <t xml:space="preserve">KRMC00002207</t>
  </si>
  <si>
    <t xml:space="preserve">KRMC00002208</t>
  </si>
  <si>
    <t xml:space="preserve">KRMC00002209</t>
  </si>
  <si>
    <t xml:space="preserve">KRMC00002210</t>
  </si>
  <si>
    <t xml:space="preserve">KRMC00002211</t>
  </si>
  <si>
    <t xml:space="preserve">KRMC00002213</t>
  </si>
  <si>
    <t xml:space="preserve">KRMC00002214</t>
  </si>
  <si>
    <t xml:space="preserve">KRMC00002215</t>
  </si>
  <si>
    <t xml:space="preserve">KRMC00002216</t>
  </si>
  <si>
    <t xml:space="preserve">KRMC00002217</t>
  </si>
  <si>
    <t xml:space="preserve">KRMC00002218</t>
  </si>
  <si>
    <t xml:space="preserve">KRMC00002219</t>
  </si>
  <si>
    <t xml:space="preserve">KRMC00002220</t>
  </si>
  <si>
    <t xml:space="preserve">KRMC00002221</t>
  </si>
  <si>
    <t xml:space="preserve">KRMC00002222</t>
  </si>
  <si>
    <t xml:space="preserve">KRMC00002223</t>
  </si>
  <si>
    <t xml:space="preserve">KRMC00002206</t>
  </si>
  <si>
    <t xml:space="preserve">KRMC00002228</t>
  </si>
  <si>
    <t xml:space="preserve">KRMC00002229</t>
  </si>
  <si>
    <t xml:space="preserve">KRMC00002175</t>
  </si>
  <si>
    <t xml:space="preserve">KRMC00002204</t>
  </si>
  <si>
    <t xml:space="preserve">KRMC00002203</t>
  </si>
  <si>
    <t xml:space="preserve">KRMC00002202</t>
  </si>
  <si>
    <t xml:space="preserve">KRMC00002201</t>
  </si>
  <si>
    <t xml:space="preserve">KRMC00002200</t>
  </si>
  <si>
    <t xml:space="preserve">KRMC00002199</t>
  </si>
  <si>
    <t xml:space="preserve">KRMC00002198</t>
  </si>
  <si>
    <t xml:space="preserve">KRMC00002197</t>
  </si>
  <si>
    <t xml:space="preserve">KRMC00002196</t>
  </si>
  <si>
    <t xml:space="preserve">KRMC00002195</t>
  </si>
  <si>
    <t xml:space="preserve">KRMC00002194</t>
  </si>
  <si>
    <t xml:space="preserve">KRMC00002193</t>
  </si>
  <si>
    <t xml:space="preserve">KRMC00002192</t>
  </si>
  <si>
    <t xml:space="preserve">KRMC00002191</t>
  </si>
  <si>
    <t xml:space="preserve">KRMC00002190</t>
  </si>
  <si>
    <t xml:space="preserve">KRMC00002189</t>
  </si>
  <si>
    <t xml:space="preserve">KRMC00002188</t>
  </si>
  <si>
    <t xml:space="preserve">KRMC00002187</t>
  </si>
  <si>
    <t xml:space="preserve">KRMC00002186</t>
  </si>
  <si>
    <t xml:space="preserve">KRMC00002185</t>
  </si>
  <si>
    <t xml:space="preserve">KRMC00002184</t>
  </si>
  <si>
    <t xml:space="preserve">KRMC00002183</t>
  </si>
  <si>
    <t xml:space="preserve">KRMC00002182</t>
  </si>
  <si>
    <t xml:space="preserve">KRMC00002181</t>
  </si>
  <si>
    <t xml:space="preserve">KRMC00002180</t>
  </si>
  <si>
    <t xml:space="preserve">KRMC00002179</t>
  </si>
  <si>
    <t xml:space="preserve">KRMC00002178</t>
  </si>
  <si>
    <t xml:space="preserve">KRMC00002177</t>
  </si>
  <si>
    <t xml:space="preserve">KRMC00002176</t>
  </si>
  <si>
    <t xml:space="preserve">ARC00000742</t>
  </si>
  <si>
    <t xml:space="preserve">VAL LIGHT &amp; HD GEAR OIL 90 6/4 L KSA</t>
  </si>
  <si>
    <t xml:space="preserve">ARC00000758</t>
  </si>
  <si>
    <t xml:space="preserve">ARC00000753</t>
  </si>
  <si>
    <t xml:space="preserve">ARC00000754</t>
  </si>
  <si>
    <t xml:space="preserve">ARC00000755</t>
  </si>
  <si>
    <t xml:space="preserve">ARC00000756</t>
  </si>
  <si>
    <t xml:space="preserve">ARC00000757</t>
  </si>
  <si>
    <t xml:space="preserve">ARC00000743</t>
  </si>
  <si>
    <t xml:space="preserve">VAL ALL FLEET 20W50 6/4 L KSA</t>
  </si>
  <si>
    <t xml:space="preserve">ARC00000744</t>
  </si>
  <si>
    <t xml:space="preserve">ARC00000752</t>
  </si>
  <si>
    <t xml:space="preserve">VAL ALL FLEET 15W40 6/4 L KSA</t>
  </si>
  <si>
    <t xml:space="preserve">ARC00000736</t>
  </si>
  <si>
    <t xml:space="preserve">ARC00000746</t>
  </si>
  <si>
    <t xml:space="preserve">ARC00000748</t>
  </si>
  <si>
    <t xml:space="preserve">ARC00000749</t>
  </si>
  <si>
    <t xml:space="preserve">ARC00000750</t>
  </si>
  <si>
    <t xml:space="preserve">ARC00000751</t>
  </si>
  <si>
    <t xml:space="preserve">ARC00000747</t>
  </si>
  <si>
    <t xml:space="preserve">ARC00000745</t>
  </si>
  <si>
    <t xml:space="preserve">ARC00000737</t>
  </si>
  <si>
    <t xml:space="preserve">ARC00000738</t>
  </si>
  <si>
    <t xml:space="preserve">ARC00000739</t>
  </si>
  <si>
    <t xml:space="preserve">ARC00000740</t>
  </si>
  <si>
    <t xml:space="preserve">ARC00000741</t>
  </si>
  <si>
    <t xml:space="preserve">Riyadh</t>
  </si>
  <si>
    <t xml:space="preserve">ORARMC00000181</t>
  </si>
  <si>
    <t xml:space="preserve">VAL PREMIUM BLUE 7800 15W40 DR 208 L KSA</t>
  </si>
  <si>
    <t xml:space="preserve">ORARMC00000161</t>
  </si>
  <si>
    <t xml:space="preserve">ORARMC00000158</t>
  </si>
  <si>
    <t xml:space="preserve">ORARMC00000157</t>
  </si>
  <si>
    <t xml:space="preserve">ORARMC00000159</t>
  </si>
  <si>
    <t xml:space="preserve">ORARMC00000162</t>
  </si>
  <si>
    <t xml:space="preserve">ORARMC00000175</t>
  </si>
  <si>
    <t xml:space="preserve">ORARMC00000179</t>
  </si>
  <si>
    <t xml:space="preserve">ORARMC00000176</t>
  </si>
  <si>
    <t xml:space="preserve">ORARMC00000184</t>
  </si>
  <si>
    <t xml:space="preserve">ORARMC00000185</t>
  </si>
  <si>
    <t xml:space="preserve">ORARMC00000186</t>
  </si>
  <si>
    <t xml:space="preserve">ORARMC00000174</t>
  </si>
  <si>
    <t xml:space="preserve">ORARMC00000178</t>
  </si>
  <si>
    <t xml:space="preserve">ORARMC00000173</t>
  </si>
  <si>
    <t xml:space="preserve">ORARMC00000171</t>
  </si>
  <si>
    <t xml:space="preserve">ORARMC00000183</t>
  </si>
  <si>
    <t xml:space="preserve">ORARMC00000172</t>
  </si>
  <si>
    <t xml:space="preserve">ORARMC00000170</t>
  </si>
  <si>
    <t xml:space="preserve">ORARMC00000166</t>
  </si>
  <si>
    <t xml:space="preserve">ORARMC00000165</t>
  </si>
  <si>
    <t xml:space="preserve">ORARMC00000164</t>
  </si>
  <si>
    <t xml:space="preserve">ORARMC00000163</t>
  </si>
  <si>
    <t xml:space="preserve">ORARMC00000169</t>
  </si>
  <si>
    <t xml:space="preserve">ORARMC00000167</t>
  </si>
  <si>
    <t xml:space="preserve">ORARMC00000168</t>
  </si>
  <si>
    <t xml:space="preserve">ORARMC00000177</t>
  </si>
  <si>
    <t xml:space="preserve">ORARMC00000180</t>
  </si>
  <si>
    <t xml:space="preserve">ORARMC00000187</t>
  </si>
  <si>
    <t xml:space="preserve">ORARMC00000182</t>
  </si>
  <si>
    <t xml:space="preserve">ORARMC00000150</t>
  </si>
  <si>
    <t xml:space="preserve">ORARMC00000151</t>
  </si>
  <si>
    <t xml:space="preserve">ORARMC00000152</t>
  </si>
  <si>
    <t xml:space="preserve">ORARMC00000153</t>
  </si>
  <si>
    <t xml:space="preserve">ORARMC00000154</t>
  </si>
  <si>
    <t xml:space="preserve">ORARMC00000155</t>
  </si>
  <si>
    <t xml:space="preserve">ORARMC00000156</t>
  </si>
  <si>
    <t xml:space="preserve">ORARMC00000127</t>
  </si>
  <si>
    <t xml:space="preserve">ORARMC00000128</t>
  </si>
  <si>
    <t xml:space="preserve">ORARMC00000129</t>
  </si>
  <si>
    <t xml:space="preserve">ORARMC00000130</t>
  </si>
  <si>
    <t xml:space="preserve">ORARMC00000131</t>
  </si>
  <si>
    <t xml:space="preserve">ORARMC00000132</t>
  </si>
  <si>
    <t xml:space="preserve">ORARMC00000133</t>
  </si>
  <si>
    <t xml:space="preserve">ORARMC00000134</t>
  </si>
  <si>
    <t xml:space="preserve">ORARMC00000135</t>
  </si>
  <si>
    <t xml:space="preserve">ORARMC00000136</t>
  </si>
  <si>
    <t xml:space="preserve">ORARMC00000137</t>
  </si>
  <si>
    <t xml:space="preserve">ORARMC00000138</t>
  </si>
  <si>
    <t xml:space="preserve">ORARMC00000139</t>
  </si>
  <si>
    <t xml:space="preserve">ORARMC00000140</t>
  </si>
  <si>
    <t xml:space="preserve">ORARMC00000141</t>
  </si>
  <si>
    <t xml:space="preserve">ORARMC00000142</t>
  </si>
  <si>
    <t xml:space="preserve">ORARMC00000143</t>
  </si>
  <si>
    <t xml:space="preserve">ORARMC00000144</t>
  </si>
  <si>
    <t xml:space="preserve">ORARMC00000145</t>
  </si>
  <si>
    <t xml:space="preserve">ORARMC00000146</t>
  </si>
  <si>
    <t xml:space="preserve">ORARMC00000147</t>
  </si>
  <si>
    <t xml:space="preserve">ORARMC00000148</t>
  </si>
  <si>
    <t xml:space="preserve">ORARMC00000149</t>
  </si>
  <si>
    <t xml:space="preserve">ORARMC00000108</t>
  </si>
  <si>
    <t xml:space="preserve">ORARMC00000105</t>
  </si>
  <si>
    <t xml:space="preserve">VAL TURBINE OIL PRO 46 EP DR 208L KS</t>
  </si>
  <si>
    <t xml:space="preserve">ORARMC00000107</t>
  </si>
  <si>
    <t xml:space="preserve">ORARMC00000104</t>
  </si>
  <si>
    <t xml:space="preserve">ORARMC00000106</t>
  </si>
  <si>
    <t xml:space="preserve">ORARMC00000103</t>
  </si>
  <si>
    <t xml:space="preserve">ORARMC00000111</t>
  </si>
  <si>
    <t xml:space="preserve">ORARMC00000112</t>
  </si>
  <si>
    <t xml:space="preserve">ORARMC00000113</t>
  </si>
  <si>
    <t xml:space="preserve">ORARMC00000110</t>
  </si>
  <si>
    <t xml:space="preserve">ORARMC00000115</t>
  </si>
  <si>
    <t xml:space="preserve">ORARMC00000114</t>
  </si>
  <si>
    <t xml:space="preserve">ORARMC00000117</t>
  </si>
  <si>
    <t xml:space="preserve">ORARMC00000118</t>
  </si>
  <si>
    <t xml:space="preserve">ORARMC00000119</t>
  </si>
  <si>
    <t xml:space="preserve">ORARMC00000120</t>
  </si>
  <si>
    <t xml:space="preserve">ORARMC00000121</t>
  </si>
  <si>
    <t xml:space="preserve">ORARMC00000122</t>
  </si>
  <si>
    <t xml:space="preserve">ORARMC00000123</t>
  </si>
  <si>
    <t xml:space="preserve">ORARMC00000124</t>
  </si>
  <si>
    <t xml:space="preserve">ORARMC00000125</t>
  </si>
  <si>
    <t xml:space="preserve">ORARMC00000126</t>
  </si>
  <si>
    <t xml:space="preserve">ORARMC00000116</t>
  </si>
  <si>
    <t xml:space="preserve">ORARMC00000109</t>
  </si>
  <si>
    <t xml:space="preserve">ORARMC00000102</t>
  </si>
  <si>
    <t xml:space="preserve">ORARMC00000083</t>
  </si>
  <si>
    <t xml:space="preserve">ORARMC00000084</t>
  </si>
  <si>
    <t xml:space="preserve">ORARMC00000085</t>
  </si>
  <si>
    <t xml:space="preserve">ORARMC00000086</t>
  </si>
  <si>
    <t xml:space="preserve">ORARMC00000087</t>
  </si>
  <si>
    <t xml:space="preserve">ORARMC00000088</t>
  </si>
  <si>
    <t xml:space="preserve">ORARMC00000089</t>
  </si>
  <si>
    <t xml:space="preserve">ORARMC00000090</t>
  </si>
  <si>
    <t xml:space="preserve">ORARMC00000091</t>
  </si>
  <si>
    <t xml:space="preserve">ORARMC00000092</t>
  </si>
  <si>
    <t xml:space="preserve">ORARMC00000093</t>
  </si>
  <si>
    <t xml:space="preserve">ORARMC00000094</t>
  </si>
  <si>
    <t xml:space="preserve">ORARMC00000095</t>
  </si>
  <si>
    <t xml:space="preserve">ORARMC00000096</t>
  </si>
  <si>
    <t xml:space="preserve">ORARMC00000097</t>
  </si>
  <si>
    <t xml:space="preserve">ORARMC00000098</t>
  </si>
  <si>
    <t xml:space="preserve">ORARMC00000099</t>
  </si>
  <si>
    <t xml:space="preserve">ORARMC00000100</t>
  </si>
  <si>
    <t xml:space="preserve">ORARMC00000101</t>
  </si>
  <si>
    <t xml:space="preserve">ORARMC00000075</t>
  </si>
  <si>
    <t xml:space="preserve">ORARMC00000076</t>
  </si>
  <si>
    <t xml:space="preserve">ORARMC00000973</t>
  </si>
  <si>
    <t xml:space="preserve">ORARMC00000048</t>
  </si>
  <si>
    <t xml:space="preserve">ORARMC00000049</t>
  </si>
  <si>
    <t xml:space="preserve">ORARMC00000050</t>
  </si>
  <si>
    <t xml:space="preserve">ORARMC00000051</t>
  </si>
  <si>
    <t xml:space="preserve">ORARMC00000052</t>
  </si>
  <si>
    <t xml:space="preserve">ORARMC00000053</t>
  </si>
  <si>
    <t xml:space="preserve">ORARMC00000054</t>
  </si>
  <si>
    <t xml:space="preserve">ORARMC00000055</t>
  </si>
  <si>
    <t xml:space="preserve">ORARMC00000056</t>
  </si>
  <si>
    <t xml:space="preserve">ORARMC00000057</t>
  </si>
  <si>
    <t xml:space="preserve">ORARMC00000058</t>
  </si>
  <si>
    <t xml:space="preserve">ORARMC00000059</t>
  </si>
  <si>
    <t xml:space="preserve">ORARMC00000060</t>
  </si>
  <si>
    <t xml:space="preserve">ORARMC00000061</t>
  </si>
  <si>
    <t xml:space="preserve">ORARMC00000062</t>
  </si>
  <si>
    <t xml:space="preserve">ORARMC00000063</t>
  </si>
  <si>
    <t xml:space="preserve">ORARMC00000064</t>
  </si>
  <si>
    <t xml:space="preserve">ORARMC00000065</t>
  </si>
  <si>
    <t xml:space="preserve">ORARMC00000066</t>
  </si>
  <si>
    <t xml:space="preserve">ORARMC00000067</t>
  </si>
  <si>
    <t xml:space="preserve">ORARMC00000068</t>
  </si>
  <si>
    <t xml:space="preserve">ORARMC00000069</t>
  </si>
  <si>
    <t xml:space="preserve">ORARMC00000070</t>
  </si>
  <si>
    <t xml:space="preserve">ORARMC00000071</t>
  </si>
  <si>
    <t xml:space="preserve">ORARMC00000072</t>
  </si>
  <si>
    <t xml:space="preserve">ORARMC00000073</t>
  </si>
  <si>
    <t xml:space="preserve">ORARMC00000074</t>
  </si>
  <si>
    <t xml:space="preserve">ORARMC00000010</t>
  </si>
  <si>
    <t xml:space="preserve">VAL SYNPOWER DX1 0W20 DR 208 L KSA</t>
  </si>
  <si>
    <t xml:space="preserve">ORARMC00001040</t>
  </si>
  <si>
    <t xml:space="preserve">ORARMC00000019</t>
  </si>
  <si>
    <t xml:space="preserve">ORARMC00000018</t>
  </si>
  <si>
    <t xml:space="preserve">ORARMC00001030</t>
  </si>
  <si>
    <t xml:space="preserve">ORARMC00001032</t>
  </si>
  <si>
    <t xml:space="preserve">ORARMC00001033</t>
  </si>
  <si>
    <t xml:space="preserve">ORARMC00001034</t>
  </si>
  <si>
    <t xml:space="preserve">ORARMC00001035</t>
  </si>
  <si>
    <t xml:space="preserve">ORARMC00001037</t>
  </si>
  <si>
    <t xml:space="preserve">ORARMC00001039</t>
  </si>
  <si>
    <t xml:space="preserve">ORARMC00001038</t>
  </si>
  <si>
    <t xml:space="preserve">ORARMC00001041</t>
  </si>
  <si>
    <t xml:space="preserve">ORARMC00000001</t>
  </si>
  <si>
    <t xml:space="preserve">ORARMC00000002</t>
  </si>
  <si>
    <t xml:space="preserve">ORARMC00000003</t>
  </si>
  <si>
    <t xml:space="preserve">ORARMC00000005</t>
  </si>
  <si>
    <t xml:space="preserve">ORARMC00000006</t>
  </si>
  <si>
    <t xml:space="preserve">ORARMC00000007</t>
  </si>
  <si>
    <t xml:space="preserve">ORARMC00000008</t>
  </si>
  <si>
    <t xml:space="preserve">ORARMC00001036</t>
  </si>
  <si>
    <t xml:space="preserve">ORARMC00000011</t>
  </si>
  <si>
    <t xml:space="preserve">ORARMC00000009</t>
  </si>
  <si>
    <t xml:space="preserve">ORARMC00000004</t>
  </si>
  <si>
    <t xml:space="preserve">ORARMC00001031</t>
  </si>
  <si>
    <t xml:space="preserve">ORARMC00000015</t>
  </si>
  <si>
    <t xml:space="preserve">ORARMC00000016</t>
  </si>
  <si>
    <t xml:space="preserve">ORARMC00000013</t>
  </si>
  <si>
    <t xml:space="preserve">ORARMC00000012</t>
  </si>
  <si>
    <t xml:space="preserve">ORARMC00000017</t>
  </si>
  <si>
    <t xml:space="preserve">ORARMC00000014</t>
  </si>
  <si>
    <t xml:space="preserve">ORARMC00000034</t>
  </si>
  <si>
    <t xml:space="preserve">ORARMC00000024</t>
  </si>
  <si>
    <t xml:space="preserve">ORARMC00000026</t>
  </si>
  <si>
    <t xml:space="preserve">ORARMC00000027</t>
  </si>
  <si>
    <t xml:space="preserve">ORARMC00000028</t>
  </si>
  <si>
    <t xml:space="preserve">ORARMC00000029</t>
  </si>
  <si>
    <t xml:space="preserve">ORARMC00000030</t>
  </si>
  <si>
    <t xml:space="preserve">ORARMC00000031</t>
  </si>
  <si>
    <t xml:space="preserve">ORARMC00000032</t>
  </si>
  <si>
    <t xml:space="preserve">ORARMC00000035</t>
  </si>
  <si>
    <t xml:space="preserve">ORARMC00000036</t>
  </si>
  <si>
    <t xml:space="preserve">ORARMC00000038</t>
  </si>
  <si>
    <t xml:space="preserve">VAL CIRCULATION OIL 150 DR 208 L KSA</t>
  </si>
  <si>
    <t xml:space="preserve">ORARMC00000039</t>
  </si>
  <si>
    <t xml:space="preserve">ORARMC00000040</t>
  </si>
  <si>
    <t xml:space="preserve">ORARMC00000041</t>
  </si>
  <si>
    <t xml:space="preserve">ORARMC00000033</t>
  </si>
  <si>
    <t xml:space="preserve">ORARMC00000043</t>
  </si>
  <si>
    <t xml:space="preserve">ORARMC00000042</t>
  </si>
  <si>
    <t xml:space="preserve">ORARMC00000045</t>
  </si>
  <si>
    <t xml:space="preserve">ORARMC00000020</t>
  </si>
  <si>
    <t xml:space="preserve">ORARMC00000021</t>
  </si>
  <si>
    <t xml:space="preserve">ORARMC00000022</t>
  </si>
  <si>
    <t xml:space="preserve">ORARMC00000023</t>
  </si>
  <si>
    <t xml:space="preserve">ORARMC00000025</t>
  </si>
  <si>
    <t xml:space="preserve">ORARMC00000044</t>
  </si>
  <si>
    <t xml:space="preserve">ORARMC00000047</t>
  </si>
  <si>
    <t xml:space="preserve">ORARMC00000037</t>
  </si>
  <si>
    <t xml:space="preserve">1329001678-1</t>
  </si>
  <si>
    <t xml:space="preserve">ORARMC00001019</t>
  </si>
  <si>
    <t xml:space="preserve">ORARMC00001026</t>
  </si>
  <si>
    <t xml:space="preserve">AL PREMIUM BLUE 7800 15W40 PL 20 KSA</t>
  </si>
  <si>
    <t xml:space="preserve">ORARMC00001027</t>
  </si>
  <si>
    <t xml:space="preserve">ORARMC00001028</t>
  </si>
  <si>
    <t xml:space="preserve">ORARMC00001023</t>
  </si>
  <si>
    <t xml:space="preserve">ORARMC00001024</t>
  </si>
  <si>
    <t xml:space="preserve">ORARMC00001025</t>
  </si>
  <si>
    <t xml:space="preserve">ORARMC00001029</t>
  </si>
  <si>
    <t xml:space="preserve">ORARMC00001013</t>
  </si>
  <si>
    <t xml:space="preserve">ORARMC00001015</t>
  </si>
  <si>
    <t xml:space="preserve">ORARMC00001016</t>
  </si>
  <si>
    <t xml:space="preserve">ORARMC00001017</t>
  </si>
  <si>
    <t xml:space="preserve">ORARMC00001018</t>
  </si>
  <si>
    <t xml:space="preserve">ORARMC00001014</t>
  </si>
  <si>
    <t xml:space="preserve">ORARMC00001020</t>
  </si>
  <si>
    <t xml:space="preserve">ORARMC00000977</t>
  </si>
  <si>
    <t xml:space="preserve">ORARMC00001022</t>
  </si>
  <si>
    <t xml:space="preserve">ORARMC00001021</t>
  </si>
  <si>
    <t xml:space="preserve">ARC00000715</t>
  </si>
  <si>
    <t xml:space="preserve">ARC00000735</t>
  </si>
  <si>
    <t xml:space="preserve">ARC00000727</t>
  </si>
  <si>
    <t xml:space="preserve">ARC00000728</t>
  </si>
  <si>
    <t xml:space="preserve">ARC00000729</t>
  </si>
  <si>
    <t xml:space="preserve">ARC00000730</t>
  </si>
  <si>
    <t xml:space="preserve">ARC00000731</t>
  </si>
  <si>
    <t xml:space="preserve">ARC00000732</t>
  </si>
  <si>
    <t xml:space="preserve">ARC00000733</t>
  </si>
  <si>
    <t xml:space="preserve">ARC00000734</t>
  </si>
  <si>
    <t xml:space="preserve">ARC00000720</t>
  </si>
  <si>
    <t xml:space="preserve">ARC00000721</t>
  </si>
  <si>
    <t xml:space="preserve">ARC00000722</t>
  </si>
  <si>
    <t xml:space="preserve">ARC00000724</t>
  </si>
  <si>
    <t xml:space="preserve">ARC00000725</t>
  </si>
  <si>
    <t xml:space="preserve">ARC00000714</t>
  </si>
  <si>
    <t xml:space="preserve">ARC00000726</t>
  </si>
  <si>
    <t xml:space="preserve">ARC00000716</t>
  </si>
  <si>
    <t xml:space="preserve">ARC00000717</t>
  </si>
  <si>
    <t xml:space="preserve">ARC00000718</t>
  </si>
  <si>
    <t xml:space="preserve">ARC00000723</t>
  </si>
  <si>
    <t xml:space="preserve">ARC00000719</t>
  </si>
  <si>
    <t xml:space="preserve">1329001685-1</t>
  </si>
  <si>
    <t xml:space="preserve">ORARMC00000975</t>
  </si>
  <si>
    <t xml:space="preserve">ORARMC00000974</t>
  </si>
  <si>
    <t xml:space="preserve">ORARMC00000979</t>
  </si>
  <si>
    <t xml:space="preserve">ORARMC00001000</t>
  </si>
  <si>
    <t xml:space="preserve">ORARMC00000980</t>
  </si>
  <si>
    <t xml:space="preserve">ORARMC00000978</t>
  </si>
  <si>
    <t xml:space="preserve">ORARMC00000982</t>
  </si>
  <si>
    <t xml:space="preserve">ORARMC00000983</t>
  </si>
  <si>
    <t xml:space="preserve">ORARMC00000984</t>
  </si>
  <si>
    <t xml:space="preserve">ORARMC00000985</t>
  </si>
  <si>
    <t xml:space="preserve">ORARMC00000986</t>
  </si>
  <si>
    <t xml:space="preserve">ORARMC00000987</t>
  </si>
  <si>
    <t xml:space="preserve">ORARMC00000988</t>
  </si>
  <si>
    <t xml:space="preserve">ORARMC00000989</t>
  </si>
  <si>
    <t xml:space="preserve">ORARMC00000990</t>
  </si>
  <si>
    <t xml:space="preserve">ORARMC00000991</t>
  </si>
  <si>
    <t xml:space="preserve">ORARMC00000992</t>
  </si>
  <si>
    <t xml:space="preserve">ORARMC00000993</t>
  </si>
  <si>
    <t xml:space="preserve">ORARMC00000994</t>
  </si>
  <si>
    <t xml:space="preserve">ORARMC00000995</t>
  </si>
  <si>
    <t xml:space="preserve">ORARMC00000996</t>
  </si>
  <si>
    <t xml:space="preserve">ORARMC00000997</t>
  </si>
  <si>
    <t xml:space="preserve">ORARMC00000998</t>
  </si>
  <si>
    <t xml:space="preserve">ORARMC00000981</t>
  </si>
  <si>
    <t xml:space="preserve">KRMC00002154</t>
  </si>
  <si>
    <t xml:space="preserve">KRMC00002166</t>
  </si>
  <si>
    <t xml:space="preserve">VAL HD GEAR OIL 85W90 DR 208 L KSA</t>
  </si>
  <si>
    <t xml:space="preserve">KRMC00002167</t>
  </si>
  <si>
    <t xml:space="preserve">KRMC00002168</t>
  </si>
  <si>
    <t xml:space="preserve">VAL EPG 150 DR 208 L KSA</t>
  </si>
  <si>
    <t xml:space="preserve">KRMC00002169</t>
  </si>
  <si>
    <t xml:space="preserve">KRMC00002170</t>
  </si>
  <si>
    <t xml:space="preserve">KRMC00002158</t>
  </si>
  <si>
    <t xml:space="preserve">KRMC00002171</t>
  </si>
  <si>
    <t xml:space="preserve">KRMC00002172</t>
  </si>
  <si>
    <t xml:space="preserve">KRMC00002173</t>
  </si>
  <si>
    <t xml:space="preserve">KRMC00002174</t>
  </si>
  <si>
    <t xml:space="preserve">KRMC00002150</t>
  </si>
  <si>
    <t xml:space="preserve">KRMC00002164</t>
  </si>
  <si>
    <t xml:space="preserve">KRMC00002165</t>
  </si>
  <si>
    <t xml:space="preserve">KRMC00002151</t>
  </si>
  <si>
    <t xml:space="preserve">KRMC00002162</t>
  </si>
  <si>
    <t xml:space="preserve">KRMC00002161</t>
  </si>
  <si>
    <t xml:space="preserve">KRMC00002160</t>
  </si>
  <si>
    <t xml:space="preserve">KRMC00002159</t>
  </si>
  <si>
    <t xml:space="preserve">KRMC00002157</t>
  </si>
  <si>
    <t xml:space="preserve">KRMC00002156</t>
  </si>
  <si>
    <t xml:space="preserve">KRMC00002152</t>
  </si>
  <si>
    <t xml:space="preserve">KRMC00002155</t>
  </si>
  <si>
    <t xml:space="preserve">KRMC00002153</t>
  </si>
  <si>
    <t xml:space="preserve">KRMC00002163</t>
  </si>
  <si>
    <t xml:space="preserve">1329001678-2</t>
  </si>
  <si>
    <t xml:space="preserve">ORARMC00001009</t>
  </si>
  <si>
    <t xml:space="preserve">ORARMC00000976</t>
  </si>
  <si>
    <t xml:space="preserve">ORARMC00001004</t>
  </si>
  <si>
    <t xml:space="preserve">ORARMC00001005</t>
  </si>
  <si>
    <t xml:space="preserve">ORARMC00001006</t>
  </si>
  <si>
    <t xml:space="preserve">ORARMC00001007</t>
  </si>
  <si>
    <t xml:space="preserve">ORARMC00001008</t>
  </si>
  <si>
    <t xml:space="preserve">ARC00000663</t>
  </si>
  <si>
    <t xml:space="preserve">VAL ALL FLEET HD 15W40 DR 208 L KSA</t>
  </si>
  <si>
    <t xml:space="preserve">ARC00000680</t>
  </si>
  <si>
    <t xml:space="preserve">ARC00002881</t>
  </si>
  <si>
    <t xml:space="preserve">ARC00000666</t>
  </si>
  <si>
    <t xml:space="preserve">ARC00000664</t>
  </si>
  <si>
    <t xml:space="preserve">ARC00000662</t>
  </si>
  <si>
    <t xml:space="preserve">ARC00000661</t>
  </si>
  <si>
    <t xml:space="preserve">ARC00000672</t>
  </si>
  <si>
    <t xml:space="preserve">ARC00000671</t>
  </si>
  <si>
    <t xml:space="preserve">ARC00000670</t>
  </si>
  <si>
    <t xml:space="preserve">ARC00000673</t>
  </si>
  <si>
    <t xml:space="preserve">ARC00000689</t>
  </si>
  <si>
    <t xml:space="preserve">ARC00000688</t>
  </si>
  <si>
    <t xml:space="preserve">ARC00000687</t>
  </si>
  <si>
    <t xml:space="preserve">ARC00000686</t>
  </si>
  <si>
    <t xml:space="preserve">ARC00000685</t>
  </si>
  <si>
    <t xml:space="preserve">ARC00000684</t>
  </si>
  <si>
    <t xml:space="preserve">ARC00000683</t>
  </si>
  <si>
    <t xml:space="preserve">ARC00000682</t>
  </si>
  <si>
    <t xml:space="preserve">ARC00000681</t>
  </si>
  <si>
    <t xml:space="preserve">ARC00000669</t>
  </si>
  <si>
    <t xml:space="preserve">ARC00000679</t>
  </si>
  <si>
    <t xml:space="preserve">ARC00000678</t>
  </si>
  <si>
    <t xml:space="preserve">ARC00000677</t>
  </si>
  <si>
    <t xml:space="preserve">ARC00000674</t>
  </si>
  <si>
    <t xml:space="preserve">ARC00000675</t>
  </si>
  <si>
    <t xml:space="preserve">ARC00000712</t>
  </si>
  <si>
    <t xml:space="preserve">ARC00000713</t>
  </si>
  <si>
    <t xml:space="preserve">ARC00000711</t>
  </si>
  <si>
    <t xml:space="preserve">ARC00000710</t>
  </si>
  <si>
    <t xml:space="preserve">ARC00000709</t>
  </si>
  <si>
    <t xml:space="preserve">ARC00000708</t>
  </si>
  <si>
    <t xml:space="preserve">ARC00000707</t>
  </si>
  <si>
    <t xml:space="preserve">ARC00000706</t>
  </si>
  <si>
    <t xml:space="preserve">ARC00000705</t>
  </si>
  <si>
    <t xml:space="preserve">ARC00000704</t>
  </si>
  <si>
    <t xml:space="preserve">ARC00000703</t>
  </si>
  <si>
    <t xml:space="preserve">ARC00000702</t>
  </si>
  <si>
    <t xml:space="preserve">ARC00000701</t>
  </si>
  <si>
    <t xml:space="preserve">ARC00000700</t>
  </si>
  <si>
    <t xml:space="preserve">ARC00000699</t>
  </si>
  <si>
    <t xml:space="preserve">ARC00000698</t>
  </si>
  <si>
    <t xml:space="preserve">ARC00000697</t>
  </si>
  <si>
    <t xml:space="preserve">ARC00000696</t>
  </si>
  <si>
    <t xml:space="preserve">ARC00000695</t>
  </si>
  <si>
    <t xml:space="preserve">ARC00000694</t>
  </si>
  <si>
    <t xml:space="preserve">ARC00000693</t>
  </si>
  <si>
    <t xml:space="preserve">ARC00000692</t>
  </si>
  <si>
    <t xml:space="preserve">ARC00000690</t>
  </si>
  <si>
    <t xml:space="preserve">ARC00000691</t>
  </si>
  <si>
    <t xml:space="preserve">ARC00000665</t>
  </si>
  <si>
    <t xml:space="preserve">ARC00002885</t>
  </si>
  <si>
    <t xml:space="preserve">ARC00002882</t>
  </si>
  <si>
    <t xml:space="preserve">ARC00002906</t>
  </si>
  <si>
    <t xml:space="preserve">ARC00002905</t>
  </si>
  <si>
    <t xml:space="preserve">ARC00002904</t>
  </si>
  <si>
    <t xml:space="preserve">ARC00002903</t>
  </si>
  <si>
    <t xml:space="preserve">ARC00002902</t>
  </si>
  <si>
    <t xml:space="preserve">ARC00002901</t>
  </si>
  <si>
    <t xml:space="preserve">ARC00002900</t>
  </si>
  <si>
    <t xml:space="preserve">ARC00002899</t>
  </si>
  <si>
    <t xml:space="preserve">ARC00002898</t>
  </si>
  <si>
    <t xml:space="preserve">ARC00002897</t>
  </si>
  <si>
    <t xml:space="preserve">ARC00002896</t>
  </si>
  <si>
    <t xml:space="preserve">ARC00002895</t>
  </si>
  <si>
    <t xml:space="preserve">ARC00002894</t>
  </si>
  <si>
    <t xml:space="preserve">ARC00002893</t>
  </si>
  <si>
    <t xml:space="preserve">ARC00002892</t>
  </si>
  <si>
    <t xml:space="preserve">ARC00002890</t>
  </si>
  <si>
    <t xml:space="preserve">ARC00002891</t>
  </si>
  <si>
    <t xml:space="preserve">ARC00002889</t>
  </si>
  <si>
    <t xml:space="preserve">ARC00002888</t>
  </si>
  <si>
    <t xml:space="preserve">ARC00002887</t>
  </si>
  <si>
    <t xml:space="preserve">ARC00002886</t>
  </si>
  <si>
    <t xml:space="preserve">ARC00002884</t>
  </si>
  <si>
    <t xml:space="preserve">ARC00002883</t>
  </si>
  <si>
    <t xml:space="preserve">KRMC00002123</t>
  </si>
  <si>
    <t xml:space="preserve">KRMC00002145</t>
  </si>
  <si>
    <t xml:space="preserve">KRMC00002144</t>
  </si>
  <si>
    <t xml:space="preserve">KRMC00002130</t>
  </si>
  <si>
    <t xml:space="preserve">KRMC00002131</t>
  </si>
  <si>
    <t xml:space="preserve">KRMC00002141</t>
  </si>
  <si>
    <t xml:space="preserve">KRMC00002143</t>
  </si>
  <si>
    <t xml:space="preserve">KRMC00002140</t>
  </si>
  <si>
    <t xml:space="preserve">KRMC00002139</t>
  </si>
  <si>
    <t xml:space="preserve">KRMC00002138</t>
  </si>
  <si>
    <t xml:space="preserve">KRMC00002137</t>
  </si>
  <si>
    <t xml:space="preserve">KRMC00002134</t>
  </si>
  <si>
    <t xml:space="preserve">KRMC00002133</t>
  </si>
  <si>
    <t xml:space="preserve">KRMC00002132</t>
  </si>
  <si>
    <t xml:space="preserve">KRMC00002135</t>
  </si>
  <si>
    <t xml:space="preserve">KRMC00002136</t>
  </si>
  <si>
    <t xml:space="preserve">KRMC00002129</t>
  </si>
  <si>
    <t xml:space="preserve">KRMC00002128</t>
  </si>
  <si>
    <t xml:space="preserve">KRMC00002127</t>
  </si>
  <si>
    <t xml:space="preserve">KRMC00002124</t>
  </si>
  <si>
    <t xml:space="preserve">KRMC00002126</t>
  </si>
  <si>
    <t xml:space="preserve">KRMC00002125</t>
  </si>
  <si>
    <t xml:space="preserve">ARC00002914</t>
  </si>
  <si>
    <t xml:space="preserve">ARC00002931</t>
  </si>
  <si>
    <t xml:space="preserve">ARC00002933</t>
  </si>
  <si>
    <t xml:space="preserve">ARC00002929</t>
  </si>
  <si>
    <t xml:space="preserve">ARC00002928</t>
  </si>
  <si>
    <t xml:space="preserve">VAL HD AXLE OIL 85W140 DR 208 L KSA</t>
  </si>
  <si>
    <t xml:space="preserve">ARC00002927</t>
  </si>
  <si>
    <t xml:space="preserve">ARC00002926</t>
  </si>
  <si>
    <t xml:space="preserve">ARC00002925</t>
  </si>
  <si>
    <t xml:space="preserve">ARC00002924</t>
  </si>
  <si>
    <t xml:space="preserve">ARC00002922</t>
  </si>
  <si>
    <t xml:space="preserve">ARC00002923</t>
  </si>
  <si>
    <t xml:space="preserve">ARC00002908</t>
  </si>
  <si>
    <t xml:space="preserve">ARC00002907</t>
  </si>
  <si>
    <t xml:space="preserve">ARC00002909</t>
  </si>
  <si>
    <t xml:space="preserve">ARC00002921</t>
  </si>
  <si>
    <t xml:space="preserve">ARC00002910</t>
  </si>
  <si>
    <t xml:space="preserve">ARC00002920</t>
  </si>
  <si>
    <t xml:space="preserve">ARC00002919</t>
  </si>
  <si>
    <t xml:space="preserve">ARC00002911</t>
  </si>
  <si>
    <t xml:space="preserve">ARC00002917</t>
  </si>
  <si>
    <t xml:space="preserve">ARC00002930</t>
  </si>
  <si>
    <t xml:space="preserve">ARC00002918</t>
  </si>
  <si>
    <t xml:space="preserve">ARC00002932</t>
  </si>
  <si>
    <t xml:space="preserve">ARC00002915</t>
  </si>
  <si>
    <t xml:space="preserve">ARC00002916</t>
  </si>
  <si>
    <t xml:space="preserve">ORARMC00000957</t>
  </si>
  <si>
    <t xml:space="preserve">SYNPOWER MST C5 0W20 12/1 L KSA</t>
  </si>
  <si>
    <t xml:space="preserve">ORARMC00000960</t>
  </si>
  <si>
    <t xml:space="preserve">ORARMC00000952</t>
  </si>
  <si>
    <t xml:space="preserve">ORARMC00000953</t>
  </si>
  <si>
    <t xml:space="preserve">ORARMC00000954</t>
  </si>
  <si>
    <t xml:space="preserve">ORARMC00000959</t>
  </si>
  <si>
    <t xml:space="preserve">ORARMC00000943</t>
  </si>
  <si>
    <t xml:space="preserve">ORARMC00000941</t>
  </si>
  <si>
    <t xml:space="preserve">ORARMC00000958</t>
  </si>
  <si>
    <t xml:space="preserve">ORARMC00000956</t>
  </si>
  <si>
    <t xml:space="preserve">ORARMC00000933</t>
  </si>
  <si>
    <t xml:space="preserve">ORARMC00000934</t>
  </si>
  <si>
    <t xml:space="preserve">ORARMC00000936</t>
  </si>
  <si>
    <t xml:space="preserve">ORARMC00000937</t>
  </si>
  <si>
    <t xml:space="preserve">ORARMC00000935</t>
  </si>
  <si>
    <t xml:space="preserve">ORARMC00000939</t>
  </si>
  <si>
    <t xml:space="preserve">ORARMC00000940</t>
  </si>
  <si>
    <t xml:space="preserve">ORARMC00000938</t>
  </si>
  <si>
    <t xml:space="preserve">ORARMC00000942</t>
  </si>
  <si>
    <t xml:space="preserve">ORARMC00000944</t>
  </si>
  <si>
    <t xml:space="preserve">ORARMC00000946</t>
  </si>
  <si>
    <t xml:space="preserve">ORARMC00000947</t>
  </si>
  <si>
    <t xml:space="preserve">ORARMC00000949</t>
  </si>
  <si>
    <t xml:space="preserve">ORARMC00000950</t>
  </si>
  <si>
    <t xml:space="preserve">ORARMC00000951</t>
  </si>
  <si>
    <t xml:space="preserve">ORARMC00000945</t>
  </si>
  <si>
    <t xml:space="preserve">ORARMC00000955</t>
  </si>
  <si>
    <t xml:space="preserve">ORARMC00000948</t>
  </si>
  <si>
    <t xml:space="preserve">ORARMC00000904</t>
  </si>
  <si>
    <t xml:space="preserve">ORARMC00000903</t>
  </si>
  <si>
    <t xml:space="preserve">ORARMC00000905</t>
  </si>
  <si>
    <t xml:space="preserve">ORARMC00000906</t>
  </si>
  <si>
    <t xml:space="preserve">ORARMC00000907</t>
  </si>
  <si>
    <t xml:space="preserve">ORARMC00000908</t>
  </si>
  <si>
    <t xml:space="preserve">ORARMC00000909</t>
  </si>
  <si>
    <t xml:space="preserve">ORARMC00000910</t>
  </si>
  <si>
    <t xml:space="preserve">ORARMC00000911</t>
  </si>
  <si>
    <t xml:space="preserve">ORARMC00000912</t>
  </si>
  <si>
    <t xml:space="preserve">ORARMC00000913</t>
  </si>
  <si>
    <t xml:space="preserve">ORARMC00000914</t>
  </si>
  <si>
    <t xml:space="preserve">ORARMC00000915</t>
  </si>
  <si>
    <t xml:space="preserve">ORARMC00000916</t>
  </si>
  <si>
    <t xml:space="preserve">ORARMC00000917</t>
  </si>
  <si>
    <t xml:space="preserve">ORARMC00000918</t>
  </si>
  <si>
    <t xml:space="preserve">ORARMC00000919</t>
  </si>
  <si>
    <t xml:space="preserve">ORARMC00000920</t>
  </si>
  <si>
    <t xml:space="preserve">ORARMC00000921</t>
  </si>
  <si>
    <t xml:space="preserve">ORARMC00000922</t>
  </si>
  <si>
    <t xml:space="preserve">ORARMC00000923</t>
  </si>
  <si>
    <t xml:space="preserve">ORARMC00000924</t>
  </si>
  <si>
    <t xml:space="preserve">ORARMC00000925</t>
  </si>
  <si>
    <t xml:space="preserve">ORARMC00000926</t>
  </si>
  <si>
    <t xml:space="preserve">ORARMC00000927</t>
  </si>
  <si>
    <t xml:space="preserve">ORARMC00000928</t>
  </si>
  <si>
    <t xml:space="preserve">ORARMC00000931</t>
  </si>
  <si>
    <t xml:space="preserve">ORARMC00000929</t>
  </si>
  <si>
    <t xml:space="preserve">ORARMC00000930</t>
  </si>
  <si>
    <t xml:space="preserve">ORARMC00000932</t>
  </si>
  <si>
    <t xml:space="preserve">ORARMC00000898</t>
  </si>
  <si>
    <t xml:space="preserve">ORARMC00000872</t>
  </si>
  <si>
    <t xml:space="preserve">ORARMC00000873</t>
  </si>
  <si>
    <t xml:space="preserve">ORARMC00000870</t>
  </si>
  <si>
    <t xml:space="preserve">ORARMC00000875</t>
  </si>
  <si>
    <t xml:space="preserve">ORARMC00000874</t>
  </si>
  <si>
    <t xml:space="preserve">ORARMC00000876</t>
  </si>
  <si>
    <t xml:space="preserve">ORARMC00000877</t>
  </si>
  <si>
    <t xml:space="preserve">ORARMC00000879</t>
  </si>
  <si>
    <t xml:space="preserve">ORARMC00000880</t>
  </si>
  <si>
    <t xml:space="preserve">ORARMC00000881</t>
  </si>
  <si>
    <t xml:space="preserve">ORARMC00000878</t>
  </si>
  <si>
    <t xml:space="preserve">ORARMC00000883</t>
  </si>
  <si>
    <t xml:space="preserve">ORARMC00000884</t>
  </si>
  <si>
    <t xml:space="preserve">ORARMC00000885</t>
  </si>
  <si>
    <t xml:space="preserve">ORARMC00000886</t>
  </si>
  <si>
    <t xml:space="preserve">ORARMC00000887</t>
  </si>
  <si>
    <t xml:space="preserve">ORARMC00000888</t>
  </si>
  <si>
    <t xml:space="preserve">ORARMC00000889</t>
  </si>
  <si>
    <t xml:space="preserve">ORARMC00000890</t>
  </si>
  <si>
    <t xml:space="preserve">ORARMC00000891</t>
  </si>
  <si>
    <t xml:space="preserve">ORARMC00000892</t>
  </si>
  <si>
    <t xml:space="preserve">ORARMC00000893</t>
  </si>
  <si>
    <t xml:space="preserve">ORARMC00000894</t>
  </si>
  <si>
    <t xml:space="preserve">ORARMC00000895</t>
  </si>
  <si>
    <t xml:space="preserve">ORARMC00000896</t>
  </si>
  <si>
    <t xml:space="preserve">ORARMC00000897</t>
  </si>
  <si>
    <t xml:space="preserve">ORARMC00000869</t>
  </si>
  <si>
    <t xml:space="preserve">ORARMC00000871</t>
  </si>
  <si>
    <t xml:space="preserve">ORARMC00000882</t>
  </si>
  <si>
    <t xml:space="preserve">KRMC00002072</t>
  </si>
  <si>
    <t xml:space="preserve">VAL ALL FLEET PLUS 20W50 6/4 L KSA</t>
  </si>
  <si>
    <t xml:space="preserve">KRMC00002073</t>
  </si>
  <si>
    <t xml:space="preserve">VAL LIGHT &amp; HD ATF / CVT 12/1 L SW KSA</t>
  </si>
  <si>
    <t xml:space="preserve">KRMC00002074</t>
  </si>
  <si>
    <t xml:space="preserve">KRMC00002052</t>
  </si>
  <si>
    <t xml:space="preserve">KRMC00002053</t>
  </si>
  <si>
    <t xml:space="preserve">KRMC00002054</t>
  </si>
  <si>
    <t xml:space="preserve">KRMC00002055</t>
  </si>
  <si>
    <t xml:space="preserve">KRMC00002056</t>
  </si>
  <si>
    <t xml:space="preserve">KRMC00002058</t>
  </si>
  <si>
    <t xml:space="preserve">KRMC00002057</t>
  </si>
  <si>
    <t xml:space="preserve">KRMC00002059</t>
  </si>
  <si>
    <t xml:space="preserve">KRMC00002060</t>
  </si>
  <si>
    <t xml:space="preserve">KRMC00002061</t>
  </si>
  <si>
    <t xml:space="preserve">KRMC00002062</t>
  </si>
  <si>
    <t xml:space="preserve">KRMC00002063</t>
  </si>
  <si>
    <t xml:space="preserve">KRMC00002064</t>
  </si>
  <si>
    <t xml:space="preserve">KRMC00002066</t>
  </si>
  <si>
    <t xml:space="preserve">KRMC00002068</t>
  </si>
  <si>
    <t xml:space="preserve">KRMC00002067</t>
  </si>
  <si>
    <t xml:space="preserve">KRMC00002070</t>
  </si>
  <si>
    <t xml:space="preserve">KRMC00002069</t>
  </si>
  <si>
    <t xml:space="preserve">KRMC00002071</t>
  </si>
  <si>
    <t xml:space="preserve">KRMC00002051</t>
  </si>
  <si>
    <t xml:space="preserve">KRMC00002082</t>
  </si>
  <si>
    <t xml:space="preserve">KRMC00002089</t>
  </si>
  <si>
    <t xml:space="preserve">KRMC00002090</t>
  </si>
  <si>
    <t xml:space="preserve">KRMC00002092</t>
  </si>
  <si>
    <t xml:space="preserve">KRMC00002093</t>
  </si>
  <si>
    <t xml:space="preserve">KRMC00002094</t>
  </si>
  <si>
    <t xml:space="preserve">KRMC00002095</t>
  </si>
  <si>
    <t xml:space="preserve">KRMC00002096</t>
  </si>
  <si>
    <t xml:space="preserve">KRMC00002097</t>
  </si>
  <si>
    <t xml:space="preserve">KRMC00002098</t>
  </si>
  <si>
    <t xml:space="preserve">KRMC00002091</t>
  </si>
  <si>
    <t xml:space="preserve">KRMC00002080</t>
  </si>
  <si>
    <t xml:space="preserve">KRMC00002084</t>
  </si>
  <si>
    <t xml:space="preserve">KRMC00002081</t>
  </si>
  <si>
    <t xml:space="preserve">KRMC00002083</t>
  </si>
  <si>
    <t xml:space="preserve">KRMC00002263</t>
  </si>
  <si>
    <t xml:space="preserve">KRMC00002079</t>
  </si>
  <si>
    <t xml:space="preserve">KRMC00002078</t>
  </si>
  <si>
    <t xml:space="preserve">KRMC00002077</t>
  </si>
  <si>
    <t xml:space="preserve">KRMC00002260</t>
  </si>
  <si>
    <t xml:space="preserve">KRMC00002261</t>
  </si>
  <si>
    <t xml:space="preserve">KRMC00002262</t>
  </si>
  <si>
    <t xml:space="preserve">KRMC00002085</t>
  </si>
  <si>
    <t xml:space="preserve">KRMC00002086</t>
  </si>
  <si>
    <t xml:space="preserve">KRMC00002087</t>
  </si>
  <si>
    <t xml:space="preserve">KRMC00002088</t>
  </si>
  <si>
    <t xml:space="preserve">KRMC00002101</t>
  </si>
  <si>
    <t xml:space="preserve">KRMC00002100</t>
  </si>
  <si>
    <t xml:space="preserve">KRMC00002099</t>
  </si>
  <si>
    <t xml:space="preserve">2501715496-2</t>
  </si>
  <si>
    <t xml:space="preserve">KRMC00002076</t>
  </si>
  <si>
    <t xml:space="preserve">KRMC00002075</t>
  </si>
  <si>
    <t xml:space="preserve">2501715357-2</t>
  </si>
  <si>
    <t xml:space="preserve">KRMC00002102</t>
  </si>
  <si>
    <t xml:space="preserve">ORARMC00000867</t>
  </si>
  <si>
    <t xml:space="preserve">VAL SYNPOWER DX1 0W20 12/1 L SW KSA</t>
  </si>
  <si>
    <t xml:space="preserve">ORARMC00000855</t>
  </si>
  <si>
    <t xml:space="preserve">ORARMC00000856</t>
  </si>
  <si>
    <t xml:space="preserve">ORARMC00000853</t>
  </si>
  <si>
    <t xml:space="preserve">ORARMC00000858</t>
  </si>
  <si>
    <t xml:space="preserve">ORARMC00000859</t>
  </si>
  <si>
    <t xml:space="preserve">ORARMC00000860</t>
  </si>
  <si>
    <t xml:space="preserve">ORARMC00000857</t>
  </si>
  <si>
    <t xml:space="preserve">ORARMC00000861</t>
  </si>
  <si>
    <t xml:space="preserve">ORARMC00000862</t>
  </si>
  <si>
    <t xml:space="preserve">ORARMC00000864</t>
  </si>
  <si>
    <t xml:space="preserve">ORARMC00000865</t>
  </si>
  <si>
    <t xml:space="preserve">ORARMC00000866</t>
  </si>
  <si>
    <t xml:space="preserve">ORARMC00000854</t>
  </si>
  <si>
    <t xml:space="preserve">ORARMC00000852</t>
  </si>
  <si>
    <t xml:space="preserve">ORARMC00000851</t>
  </si>
  <si>
    <t xml:space="preserve">ORARMC00000850</t>
  </si>
  <si>
    <t xml:space="preserve">ORARMC00000849</t>
  </si>
  <si>
    <t xml:space="preserve">ORARMC00000848</t>
  </si>
  <si>
    <t xml:space="preserve">ORARMC00000847</t>
  </si>
  <si>
    <t xml:space="preserve">ORARMC00000868</t>
  </si>
  <si>
    <t xml:space="preserve">ORARMC00000863</t>
  </si>
  <si>
    <t xml:space="preserve">ARC00002979</t>
  </si>
  <si>
    <t xml:space="preserve">ARC00002980</t>
  </si>
  <si>
    <t xml:space="preserve">ARC00002959</t>
  </si>
  <si>
    <t xml:space="preserve">ARC00002960</t>
  </si>
  <si>
    <t xml:space="preserve">ARC00002961</t>
  </si>
  <si>
    <t xml:space="preserve">ARC00002962</t>
  </si>
  <si>
    <t xml:space="preserve">ARC00002963</t>
  </si>
  <si>
    <t xml:space="preserve">ARC00002964</t>
  </si>
  <si>
    <t xml:space="preserve">ARC00002965</t>
  </si>
  <si>
    <t xml:space="preserve">ARC00002966</t>
  </si>
  <si>
    <t xml:space="preserve">ARC00002967</t>
  </si>
  <si>
    <t xml:space="preserve">ARC00002968</t>
  </si>
  <si>
    <t xml:space="preserve">ARC00002969</t>
  </si>
  <si>
    <t xml:space="preserve">ARC00002970</t>
  </si>
  <si>
    <t xml:space="preserve">ARC00002971</t>
  </si>
  <si>
    <t xml:space="preserve">ARC00002972</t>
  </si>
  <si>
    <t xml:space="preserve">ARC00002973</t>
  </si>
  <si>
    <t xml:space="preserve">ARC00002974</t>
  </si>
  <si>
    <t xml:space="preserve">ARC00002975</t>
  </si>
  <si>
    <t xml:space="preserve">ARC00002976</t>
  </si>
  <si>
    <t xml:space="preserve">ARC00002977</t>
  </si>
  <si>
    <t xml:space="preserve">ARC00002978</t>
  </si>
  <si>
    <t xml:space="preserve">KRMC00002757</t>
  </si>
  <si>
    <t xml:space="preserve">KRMC00002758</t>
  </si>
  <si>
    <t xml:space="preserve">KRMC00002759</t>
  </si>
  <si>
    <t xml:space="preserve">KRMC00002760</t>
  </si>
  <si>
    <t xml:space="preserve">KRMC00002109</t>
  </si>
  <si>
    <t xml:space="preserve">KRMC00002107</t>
  </si>
  <si>
    <t xml:space="preserve">KRMC00002105</t>
  </si>
  <si>
    <t xml:space="preserve">KRMC00002106</t>
  </si>
  <si>
    <t xml:space="preserve">KRMC00002108</t>
  </si>
  <si>
    <t xml:space="preserve">KRMC00002110</t>
  </si>
  <si>
    <t xml:space="preserve">KRMC00002112</t>
  </si>
  <si>
    <t xml:space="preserve">KRMC00002103</t>
  </si>
  <si>
    <t xml:space="preserve">KRMC00002119</t>
  </si>
  <si>
    <t xml:space="preserve">KRMC00002117</t>
  </si>
  <si>
    <t xml:space="preserve">KRMC00002115</t>
  </si>
  <si>
    <t xml:space="preserve">KRMC00002113</t>
  </si>
  <si>
    <t xml:space="preserve">KRMC00002111</t>
  </si>
  <si>
    <t xml:space="preserve">KRMC00002114</t>
  </si>
  <si>
    <t xml:space="preserve">KRMC00002116</t>
  </si>
  <si>
    <t xml:space="preserve">KRMC00002118</t>
  </si>
  <si>
    <t xml:space="preserve">KRMC00002120</t>
  </si>
  <si>
    <t xml:space="preserve">KRMC00002104</t>
  </si>
  <si>
    <t xml:space="preserve">ARAMCO Outbound Report</t>
  </si>
  <si>
    <t xml:space="preserve">Facility</t>
  </si>
  <si>
    <t xml:space="preserve">Create Order</t>
  </si>
  <si>
    <t xml:space="preserve">Order Type</t>
  </si>
  <si>
    <t xml:space="preserve">Order Nbr</t>
  </si>
  <si>
    <t xml:space="preserve">Order Status</t>
  </si>
  <si>
    <t xml:space="preserve">Customer Name</t>
  </si>
  <si>
    <t xml:space="preserve">Cust City</t>
  </si>
  <si>
    <t xml:space="preserve">Item Code</t>
  </si>
  <si>
    <t xml:space="preserve">Item Description</t>
  </si>
  <si>
    <t xml:space="preserve">Order checked</t>
  </si>
  <si>
    <t xml:space="preserve">Allocated Qty</t>
  </si>
  <si>
    <t xml:space="preserve">Packed Qty</t>
  </si>
  <si>
    <t xml:space="preserve">Batch Nbr</t>
  </si>
  <si>
    <t xml:space="preserve">Expiry Date</t>
  </si>
  <si>
    <t xml:space="preserve">Production date.</t>
  </si>
  <si>
    <t xml:space="preserve">Shipped date</t>
  </si>
  <si>
    <t xml:space="preserve">STANDARD</t>
  </si>
  <si>
    <t xml:space="preserve">Shipped</t>
  </si>
  <si>
    <t xml:space="preserve">Aljabr Trading Company</t>
  </si>
  <si>
    <t xml:space="preserve">Qemat Al-Khaleej Al-Arabi company for tr</t>
  </si>
  <si>
    <t xml:space="preserve">Qassim</t>
  </si>
  <si>
    <t xml:space="preserve">Al Mardoof Contracting Company</t>
  </si>
  <si>
    <t xml:space="preserve">Madinah</t>
  </si>
  <si>
    <t xml:space="preserve">Branch of Kalpataru Projects Internation</t>
  </si>
  <si>
    <t xml:space="preserve">Jizan</t>
  </si>
  <si>
    <t xml:space="preserve">MOHRKEY - Express Care</t>
  </si>
  <si>
    <t xml:space="preserve">Alshooaq municipality</t>
  </si>
  <si>
    <t xml:space="preserve">Laith</t>
  </si>
  <si>
    <t xml:space="preserve">Company Nama Jeddah for Contorting</t>
  </si>
  <si>
    <t xml:space="preserve">Rawabi Ahad General Contracting Company</t>
  </si>
  <si>
    <t xml:space="preserve">Najeeb Auto Company</t>
  </si>
  <si>
    <t xml:space="preserve">Jeddah Palestine St.</t>
  </si>
  <si>
    <t xml:space="preserve">Ali Matar Al Zahrani &amp; Partners Company</t>
  </si>
  <si>
    <t xml:space="preserve">Meddle East Trading Company</t>
  </si>
  <si>
    <t xml:space="preserve">Dammam 2nd industrial</t>
  </si>
  <si>
    <t xml:space="preserve">Mohamed Yousuf Naghi Motor Company</t>
  </si>
  <si>
    <t xml:space="preserve">Tabuk 6B</t>
  </si>
  <si>
    <t xml:space="preserve">GENERAL RESOURCES TRADING EST</t>
  </si>
  <si>
    <t xml:space="preserve">Gulf Crystal Est</t>
  </si>
  <si>
    <t xml:space="preserve">Rekaz AlHejaziah Treading Est.</t>
  </si>
  <si>
    <t xml:space="preserve">Makkah</t>
  </si>
  <si>
    <t xml:space="preserve">Al Mustaqbal Lubricants Company</t>
  </si>
  <si>
    <t xml:space="preserve">2409717422_1</t>
  </si>
  <si>
    <t xml:space="preserve">Shabakkat Cellular company</t>
  </si>
  <si>
    <t xml:space="preserve">Bisha</t>
  </si>
  <si>
    <t xml:space="preserve">Khamis Mashet</t>
  </si>
  <si>
    <t xml:space="preserve">Najran</t>
  </si>
  <si>
    <t xml:space="preserve">Wadi Dawasar</t>
  </si>
  <si>
    <t xml:space="preserve">Quwiea</t>
  </si>
  <si>
    <t xml:space="preserve">Hota</t>
  </si>
  <si>
    <t xml:space="preserve">Sons of Saleh Shaya Saleh Al Nafeesa Tra</t>
  </si>
  <si>
    <t xml:space="preserve">Hafer AL Batin</t>
  </si>
  <si>
    <t xml:space="preserve">Alyamama company for trading and contrac</t>
  </si>
  <si>
    <t xml:space="preserve">Dammam - Project Code: H032</t>
  </si>
  <si>
    <t xml:space="preserve">2409717390-1</t>
  </si>
  <si>
    <t xml:space="preserve">Dammam Self Pick up</t>
  </si>
  <si>
    <t xml:space="preserve">Riyadh Al-Faisaliyyah</t>
  </si>
  <si>
    <t xml:space="preserve">Universal Motors Agencies CO LTD  Univ</t>
  </si>
  <si>
    <t xml:space="preserve">MARSA AL BANAREK LIMITED Co</t>
  </si>
  <si>
    <t xml:space="preserve">CUMMINS SAUDI ARABIA LIMITED</t>
  </si>
  <si>
    <t xml:space="preserve">MARSA AL BANAREK LIMITED Co.</t>
  </si>
  <si>
    <t xml:space="preserve">Saad Abdulrahman Al Issa commercial esta</t>
  </si>
  <si>
    <t xml:space="preserve">Sakaka</t>
  </si>
  <si>
    <t xml:space="preserve">Golden Liquid Trading Est.</t>
  </si>
  <si>
    <t xml:space="preserve">Riyadh , Al-Faisaliyyah</t>
  </si>
  <si>
    <t xml:space="preserve">DAR ALAKTAEB COMPANY for Trading</t>
  </si>
  <si>
    <t xml:space="preserve">SAUDI ARABIAN OIL COMPANY</t>
  </si>
  <si>
    <t xml:space="preserve">Aramco SPARK eastern province</t>
  </si>
  <si>
    <t xml:space="preserve">Eastern Sources Company Limited</t>
  </si>
  <si>
    <t xml:space="preserve">Jeddah HCV</t>
  </si>
  <si>
    <t xml:space="preserve">ASABCO Company</t>
  </si>
  <si>
    <t xml:space="preserve">Al Sina'iyah, Riyadh </t>
  </si>
  <si>
    <t xml:space="preserve">2501715508-1</t>
  </si>
  <si>
    <t xml:space="preserve">Abha 6D</t>
  </si>
  <si>
    <t xml:space="preserve">Abha</t>
  </si>
  <si>
    <t xml:space="preserve">Noon E Commerce Solutions One Person  Co</t>
  </si>
  <si>
    <t xml:space="preserve">Riyadh </t>
  </si>
  <si>
    <t xml:space="preserve">Aramco Lubricants and Retail Company (AL</t>
  </si>
  <si>
    <t xml:space="preserve">Khobar</t>
  </si>
  <si>
    <t xml:space="preserve">Al-YAMAMA WATER PROJECTS COMPANY</t>
  </si>
  <si>
    <t xml:space="preserve">Dammam – W244</t>
  </si>
  <si>
    <t xml:space="preserve">Al-Hassa</t>
  </si>
  <si>
    <t xml:space="preserve">Tabuk HCV</t>
  </si>
  <si>
    <t xml:space="preserve">Baha</t>
  </si>
  <si>
    <t xml:space="preserve">Facility Code</t>
  </si>
  <si>
    <t xml:space="preserve">Company Code</t>
  </si>
  <si>
    <t xml:space="preserve">LPN Nbr</t>
  </si>
  <si>
    <t xml:space="preserve">LPN Status</t>
  </si>
  <si>
    <t xml:space="preserve">Pick Location</t>
  </si>
  <si>
    <t xml:space="preserve">Item Catalog</t>
  </si>
  <si>
    <t xml:space="preserve">Current Qty</t>
  </si>
  <si>
    <t xml:space="preserve">Customer Nbr</t>
  </si>
  <si>
    <t xml:space="preserve">Customer City</t>
  </si>
  <si>
    <t xml:space="preserve">Detail Picked Time</t>
  </si>
  <si>
    <t xml:space="preserve">Packed Timestamp</t>
  </si>
  <si>
    <t xml:space="preserve">Allocation Mod Timestamp</t>
  </si>
  <si>
    <t xml:space="preserve">batch_nbr</t>
  </si>
  <si>
    <t xml:space="preserve">3PLJED2</t>
  </si>
  <si>
    <t xml:space="preserve">TSARAMCO3PLJED200000521</t>
  </si>
  <si>
    <t xml:space="preserve">2409717448</t>
  </si>
  <si>
    <t xml:space="preserve">400441</t>
  </si>
  <si>
    <t xml:space="preserve">A7-AB-17-A-03</t>
  </si>
  <si>
    <t xml:space="preserve">PCS</t>
  </si>
  <si>
    <t xml:space="preserve">520985</t>
  </si>
  <si>
    <t xml:space="preserve">100011111</t>
  </si>
  <si>
    <t xml:space="preserve">A7-AB-17-A-01</t>
  </si>
  <si>
    <t xml:space="preserve">TSARAMCO3PLJED200000501</t>
  </si>
  <si>
    <t xml:space="preserve">2409717449</t>
  </si>
  <si>
    <t xml:space="preserve">A7-AB-15-A-01</t>
  </si>
  <si>
    <t xml:space="preserve">A7-AB-13-A-03</t>
  </si>
  <si>
    <t xml:space="preserve">TSARAMCO3PLJED200000481</t>
  </si>
  <si>
    <t xml:space="preserve">2409717450</t>
  </si>
  <si>
    <t xml:space="preserve">A7-AB-13-A-01</t>
  </si>
  <si>
    <t xml:space="preserve">TSARAMCO3PLJED200000461</t>
  </si>
  <si>
    <t xml:space="preserve">2409717451</t>
  </si>
  <si>
    <t xml:space="preserve">A7-AB-07-A-03</t>
  </si>
  <si>
    <t xml:space="preserve">A7-AB-07-A-01</t>
  </si>
  <si>
    <t xml:space="preserve">TSARAMCO3PLJED200000441</t>
  </si>
  <si>
    <t xml:space="preserve">2409717452</t>
  </si>
  <si>
    <t xml:space="preserve">TSARAMCO3PLJED200000421</t>
  </si>
  <si>
    <t xml:space="preserve">2409717453</t>
  </si>
  <si>
    <t xml:space="preserve">A7-AB-05-A-01</t>
  </si>
  <si>
    <t xml:space="preserve">TSARAMCO3PLJED200000401</t>
  </si>
  <si>
    <t xml:space="preserve">2409717432</t>
  </si>
  <si>
    <t xml:space="preserve">400630</t>
  </si>
  <si>
    <t xml:space="preserve">A7-AD-28-A-03</t>
  </si>
  <si>
    <t xml:space="preserve">520721</t>
  </si>
  <si>
    <t xml:space="preserve">153000058</t>
  </si>
  <si>
    <t xml:space="preserve">A7-AD-28-A-01</t>
  </si>
  <si>
    <t xml:space="preserve">TSARAMCO3PLJED200000381</t>
  </si>
  <si>
    <t xml:space="preserve">2409717440</t>
  </si>
  <si>
    <t xml:space="preserve">520818</t>
  </si>
  <si>
    <t xml:space="preserve">A7-AA-16-A-01</t>
  </si>
  <si>
    <t xml:space="preserve">A7-AA-10-A-01</t>
  </si>
  <si>
    <t xml:space="preserve">A7-AA-08-A-03</t>
  </si>
  <si>
    <t xml:space="preserve">TSARAMCO3PLJED200000361</t>
  </si>
  <si>
    <t xml:space="preserve">2409717443</t>
  </si>
  <si>
    <t xml:space="preserve">A7-AE-31-A-01</t>
  </si>
  <si>
    <t xml:space="preserve">521138</t>
  </si>
  <si>
    <t xml:space="preserve">100010276</t>
  </si>
  <si>
    <t xml:space="preserve">A7-AE-25-A-01</t>
  </si>
  <si>
    <t xml:space="preserve">100008638</t>
  </si>
  <si>
    <t xml:space="preserve">TSARAMCO3PLJED200000341</t>
  </si>
  <si>
    <t xml:space="preserve">2409717444</t>
  </si>
  <si>
    <t xml:space="preserve">521128</t>
  </si>
  <si>
    <t xml:space="preserve">A7-AE-33-A-03</t>
  </si>
  <si>
    <t xml:space="preserve">100008637</t>
  </si>
  <si>
    <t xml:space="preserve">A7-AE-27-A-01</t>
  </si>
  <si>
    <t xml:space="preserve">A7-AE-25-A-03</t>
  </si>
  <si>
    <t xml:space="preserve">TSARAMCO3PLJED200000321</t>
  </si>
  <si>
    <t xml:space="preserve">2409717445</t>
  </si>
  <si>
    <t xml:space="preserve">521142</t>
  </si>
  <si>
    <t xml:space="preserve">TSARAMCO3PLJED200000301</t>
  </si>
  <si>
    <t xml:space="preserve">400508</t>
  </si>
  <si>
    <t xml:space="preserve">A7-AB-25-A-01</t>
  </si>
  <si>
    <t xml:space="preserve">520594</t>
  </si>
  <si>
    <t xml:space="preserve">153000080</t>
  </si>
  <si>
    <t xml:space="preserve">TSARAMCO3PLJED200000161</t>
  </si>
  <si>
    <t xml:space="preserve">2409717411</t>
  </si>
  <si>
    <t xml:space="preserve">521083</t>
  </si>
  <si>
    <t xml:space="preserve">A7-AD-26-A-03</t>
  </si>
  <si>
    <t xml:space="preserve">TSARAMCO3PLJED200000141</t>
  </si>
  <si>
    <t xml:space="preserve">2409717422</t>
  </si>
  <si>
    <t xml:space="preserve">400396</t>
  </si>
  <si>
    <t xml:space="preserve">A7-AE-30-D-03</t>
  </si>
  <si>
    <t xml:space="preserve">BOX</t>
  </si>
  <si>
    <t xml:space="preserve">100010226</t>
  </si>
  <si>
    <t xml:space="preserve">A7-AF-41-C-01</t>
  </si>
  <si>
    <t xml:space="preserve">100010092</t>
  </si>
  <si>
    <t xml:space="preserve">A7-AF-31-C-01</t>
  </si>
  <si>
    <t xml:space="preserve">A7-AF-25-C-01</t>
  </si>
  <si>
    <t xml:space="preserve">A7-AF-17-C-03</t>
  </si>
  <si>
    <t xml:space="preserve">TSARAMCO3PLJED200000121</t>
  </si>
  <si>
    <t xml:space="preserve">2409717285</t>
  </si>
  <si>
    <t xml:space="preserve">401047</t>
  </si>
  <si>
    <t xml:space="preserve">A7-AB-34-A-03</t>
  </si>
  <si>
    <t xml:space="preserve">520639</t>
  </si>
  <si>
    <t xml:space="preserve">153000041</t>
  </si>
  <si>
    <t xml:space="preserve">TSARAMCO3PLJED200000101</t>
  </si>
  <si>
    <t xml:space="preserve">2409717398</t>
  </si>
  <si>
    <t xml:space="preserve">A7-AF-18-A-03</t>
  </si>
  <si>
    <t xml:space="preserve">521123</t>
  </si>
  <si>
    <t xml:space="preserve">A7-AF-18-A-01</t>
  </si>
  <si>
    <t xml:space="preserve">400468</t>
  </si>
  <si>
    <t xml:space="preserve">A7-AD-39-A-01</t>
  </si>
  <si>
    <t xml:space="preserve">100009243</t>
  </si>
  <si>
    <t xml:space="preserve">A7-AD-41-A-01</t>
  </si>
  <si>
    <t xml:space="preserve">100009038</t>
  </si>
  <si>
    <t xml:space="preserve">TSARAMCO3PLJED200000081</t>
  </si>
  <si>
    <t xml:space="preserve">2409717387</t>
  </si>
  <si>
    <t xml:space="preserve">520824</t>
  </si>
  <si>
    <t xml:space="preserve">A7-AD-26-A-01</t>
  </si>
  <si>
    <t xml:space="preserve">TSARAMCO3PLJED200000061</t>
  </si>
  <si>
    <t xml:space="preserve">2409717383</t>
  </si>
  <si>
    <t xml:space="preserve">TSARAMCO3PLJED200000041</t>
  </si>
  <si>
    <t xml:space="preserve">2409717380</t>
  </si>
  <si>
    <t xml:space="preserve">A7-AF-16-A-03</t>
  </si>
  <si>
    <t xml:space="preserve">520671</t>
  </si>
  <si>
    <t xml:space="preserve">TSARAMCO3PLJED200000023</t>
  </si>
  <si>
    <t xml:space="preserve">2409717326</t>
  </si>
  <si>
    <t xml:space="preserve">A7-AF-12-A-01</t>
  </si>
  <si>
    <t xml:space="preserve">521059</t>
  </si>
  <si>
    <t xml:space="preserve">TSARAMCO3PLJED200000022</t>
  </si>
  <si>
    <t xml:space="preserve">2409717221</t>
  </si>
  <si>
    <t xml:space="preserve">A7-AF-10-A-03</t>
  </si>
  <si>
    <t xml:space="preserve">521058</t>
  </si>
  <si>
    <t xml:space="preserve">A7-AF-10-A-01</t>
  </si>
  <si>
    <t xml:space="preserve">TSARAMCO3PLJED200000021</t>
  </si>
  <si>
    <t xml:space="preserve">2409717192</t>
  </si>
  <si>
    <t xml:space="preserve">520747</t>
  </si>
  <si>
    <t xml:space="preserve">A7-AF-04-A-01</t>
  </si>
  <si>
    <t xml:space="preserve">3PLKHB</t>
  </si>
  <si>
    <t xml:space="preserve">KRMC00002147</t>
  </si>
  <si>
    <t xml:space="preserve">2409717460</t>
  </si>
  <si>
    <t xml:space="preserve">Packed</t>
  </si>
  <si>
    <t xml:space="preserve">FA-01-24-B-02</t>
  </si>
  <si>
    <t xml:space="preserve">520612</t>
  </si>
  <si>
    <t xml:space="preserve">153000045</t>
  </si>
  <si>
    <t xml:space="preserve">FA-01-19-B-01</t>
  </si>
  <si>
    <t xml:space="preserve">100010247</t>
  </si>
  <si>
    <t xml:space="preserve">FA-01-13-B-02</t>
  </si>
  <si>
    <t xml:space="preserve">FA-01-11-A-02</t>
  </si>
  <si>
    <t xml:space="preserve">KRMC00002146</t>
  </si>
  <si>
    <t xml:space="preserve">400411</t>
  </si>
  <si>
    <t xml:space="preserve">FC-PB-09-C-01</t>
  </si>
  <si>
    <t xml:space="preserve">153000011</t>
  </si>
  <si>
    <t xml:space="preserve">OKMC0000000110</t>
  </si>
  <si>
    <t xml:space="preserve">2409717428</t>
  </si>
  <si>
    <t xml:space="preserve">FA-01-11-B-02</t>
  </si>
  <si>
    <t xml:space="preserve">FA-01-11-B-01</t>
  </si>
  <si>
    <t xml:space="preserve">FA-01-07-B-02</t>
  </si>
  <si>
    <t xml:space="preserve">400919</t>
  </si>
  <si>
    <t xml:space="preserve">FA-02-34-C-01</t>
  </si>
  <si>
    <t xml:space="preserve">153000046</t>
  </si>
  <si>
    <t xml:space="preserve">FC-PB-03-C-01</t>
  </si>
  <si>
    <t xml:space="preserve">FA-01-15-C-01</t>
  </si>
  <si>
    <t xml:space="preserve">OKMC0000000121</t>
  </si>
  <si>
    <t xml:space="preserve">2409717409</t>
  </si>
  <si>
    <t xml:space="preserve">400426</t>
  </si>
  <si>
    <t xml:space="preserve">FA-01-07-C-02</t>
  </si>
  <si>
    <t xml:space="preserve">153000039</t>
  </si>
  <si>
    <t xml:space="preserve">FA-01-07-C-01</t>
  </si>
  <si>
    <t xml:space="preserve">FA-01-05-D-02</t>
  </si>
  <si>
    <t xml:space="preserve">100010498</t>
  </si>
  <si>
    <t xml:space="preserve">FA-01-05-D-01</t>
  </si>
  <si>
    <t xml:space="preserve">400902</t>
  </si>
  <si>
    <t xml:space="preserve">FA-02-32-C-02</t>
  </si>
  <si>
    <t xml:space="preserve">950001222</t>
  </si>
  <si>
    <t xml:space="preserve">FC-PB-06-C-01</t>
  </si>
  <si>
    <t xml:space="preserve">OKMC0000000101</t>
  </si>
  <si>
    <t xml:space="preserve">400398</t>
  </si>
  <si>
    <t xml:space="preserve">153000010</t>
  </si>
  <si>
    <t xml:space="preserve">OKMC0000000102</t>
  </si>
  <si>
    <t xml:space="preserve">2409717401</t>
  </si>
  <si>
    <t xml:space="preserve">FA-01-24-A-01</t>
  </si>
  <si>
    <t xml:space="preserve">521068</t>
  </si>
  <si>
    <t xml:space="preserve">OKMC0000000083</t>
  </si>
  <si>
    <t xml:space="preserve">2409717390</t>
  </si>
  <si>
    <t xml:space="preserve">FA-01-17-A-01</t>
  </si>
  <si>
    <t xml:space="preserve">153000016</t>
  </si>
  <si>
    <t xml:space="preserve">FA-01-15-A-01</t>
  </si>
  <si>
    <t xml:space="preserve">FA-01-13-A-01</t>
  </si>
  <si>
    <t xml:space="preserve">FA-01-11-A-01</t>
  </si>
  <si>
    <t xml:space="preserve">FA-01-07-A-01</t>
  </si>
  <si>
    <t xml:space="preserve">FA-01-03-A-02</t>
  </si>
  <si>
    <t xml:space="preserve">100010471</t>
  </si>
  <si>
    <t xml:space="preserve">FA-01-03-A-01</t>
  </si>
  <si>
    <t xml:space="preserve">FC-PB-07-D-01</t>
  </si>
  <si>
    <t xml:space="preserve">100011104</t>
  </si>
  <si>
    <t xml:space="preserve">OKMC0000000082</t>
  </si>
  <si>
    <t xml:space="preserve">OKMC0000000093</t>
  </si>
  <si>
    <t xml:space="preserve">2409717325</t>
  </si>
  <si>
    <t xml:space="preserve">521115</t>
  </si>
  <si>
    <t xml:space="preserve">FC-PB-09-D-01</t>
  </si>
  <si>
    <t xml:space="preserve">10010226</t>
  </si>
  <si>
    <t xml:space="preserve">FA-01-09-C-02</t>
  </si>
  <si>
    <t xml:space="preserve">WH No</t>
  </si>
  <si>
    <t xml:space="preserve">Shpng Pnt</t>
  </si>
  <si>
    <t xml:space="preserve">W.HNAME</t>
  </si>
  <si>
    <t xml:space="preserve">PLANT</t>
  </si>
  <si>
    <t xml:space="preserve">Created on</t>
  </si>
  <si>
    <t xml:space="preserve">PGI Date</t>
  </si>
  <si>
    <t xml:space="preserve">Delivery</t>
  </si>
  <si>
    <t xml:space="preserve">INV</t>
  </si>
  <si>
    <t xml:space="preserve">Ship-to party</t>
  </si>
  <si>
    <t xml:space="preserve">Name of the ship-to party</t>
  </si>
  <si>
    <t xml:space="preserve">QTY</t>
  </si>
  <si>
    <t xml:space="preserve">Unit</t>
  </si>
  <si>
    <t xml:space="preserve">City</t>
  </si>
  <si>
    <t xml:space="preserve">Days</t>
  </si>
  <si>
    <t xml:space="preserve">Hit or Miss</t>
  </si>
  <si>
    <t xml:space="preserve">Status</t>
  </si>
  <si>
    <t xml:space="preserve">Location</t>
  </si>
  <si>
    <t xml:space="preserve">Attribute A</t>
  </si>
  <si>
    <t xml:space="preserve">Received Shipment</t>
  </si>
  <si>
    <t xml:space="preserve">Received Qty</t>
  </si>
  <si>
    <t xml:space="preserve">Create Timestamp</t>
  </si>
  <si>
    <t xml:space="preserve">Mod Timestamp</t>
  </si>
  <si>
    <t xml:space="preserve">Received Timestamp</t>
  </si>
  <si>
    <t xml:space="preserve">Nbr Locks</t>
  </si>
  <si>
    <t xml:space="preserve">Receiving User</t>
  </si>
  <si>
    <t xml:space="preserve">Create User</t>
  </si>
  <si>
    <t xml:space="preserve">Alternate Item Codes</t>
  </si>
  <si>
    <t xml:space="preserve">Previous Location</t>
  </si>
  <si>
    <t xml:space="preserve">Putaway Type</t>
  </si>
  <si>
    <t xml:space="preserve">Attribute B</t>
  </si>
  <si>
    <t xml:space="preserve">Attribute C</t>
  </si>
  <si>
    <t xml:space="preserve">Attribute D</t>
  </si>
  <si>
    <t xml:space="preserve">Attribute E</t>
  </si>
  <si>
    <t xml:space="preserve">3PL_MAIN</t>
  </si>
  <si>
    <t xml:space="preserve">AROMA</t>
  </si>
  <si>
    <t xml:space="preserve">JR00041262</t>
  </si>
  <si>
    <t xml:space="preserve">Consumed</t>
  </si>
  <si>
    <t xml:space="preserve">FSN1104</t>
  </si>
  <si>
    <t xml:space="preserve">Frozen Salmon Fillet Portions Skinless Norway</t>
  </si>
  <si>
    <t xml:space="preserve">MWIN00672</t>
  </si>
  <si>
    <t xml:space="preserve">Marepali</t>
  </si>
  <si>
    <t xml:space="preserve">KG</t>
  </si>
  <si>
    <t xml:space="preserve">A0-AA-20-A-01</t>
  </si>
  <si>
    <t xml:space="preserve">DIRECT</t>
  </si>
  <si>
    <t xml:space="preserve">JR00048161-5412498</t>
  </si>
  <si>
    <t xml:space="preserve">JR00031287</t>
  </si>
  <si>
    <t xml:space="preserve">SYSCO IMPERIAL BUTTER ALT GRILL-ON SALT FREE ZTF 3X1Gal</t>
  </si>
  <si>
    <t xml:space="preserve">SHRM00003221</t>
  </si>
  <si>
    <t xml:space="preserve">sinayat</t>
  </si>
  <si>
    <t xml:space="preserve">Case</t>
  </si>
  <si>
    <t xml:space="preserve">F-H-42-A-06</t>
  </si>
  <si>
    <t xml:space="preserve">JR00035260</t>
  </si>
  <si>
    <t xml:space="preserve">MAGGI Chicken Bouillon Powder 6x1kg NPXA</t>
  </si>
  <si>
    <t xml:space="preserve">42330891Q</t>
  </si>
  <si>
    <t xml:space="preserve">SHRM00003381</t>
  </si>
  <si>
    <t xml:space="preserve">Mali</t>
  </si>
  <si>
    <t xml:space="preserve">DA-01-A-01</t>
  </si>
  <si>
    <t xml:space="preserve">JR00038129</t>
  </si>
  <si>
    <t xml:space="preserve">BULLSEYE BBQ SAUCE 4X1 gal</t>
  </si>
  <si>
    <t xml:space="preserve">MWIN01022</t>
  </si>
  <si>
    <t xml:space="preserve">Uayoub</t>
  </si>
  <si>
    <t xml:space="preserve">JR00038385</t>
  </si>
  <si>
    <t xml:space="preserve">KIKOMAN PANKO BREAD CRUMB JAP TOAST 1x25 lb (11.34kg)</t>
  </si>
  <si>
    <t xml:space="preserve">RIYINT00711</t>
  </si>
  <si>
    <t xml:space="preserve">Aibrahim</t>
  </si>
  <si>
    <t xml:space="preserve">F-H-08-D-03</t>
  </si>
  <si>
    <t xml:space="preserve">JR00050805</t>
  </si>
  <si>
    <t xml:space="preserve">Muddin</t>
  </si>
  <si>
    <t xml:space="preserve">DA-01-A-02</t>
  </si>
  <si>
    <t xml:space="preserve">JR00038119</t>
  </si>
  <si>
    <t xml:space="preserve">HEINZ KETCHUP BAG IN BOX 1*3 GAL(13 KG)</t>
  </si>
  <si>
    <t xml:space="preserve">JR00038937</t>
  </si>
  <si>
    <t xml:space="preserve">MWIN01051</t>
  </si>
  <si>
    <t xml:space="preserve">DA-01-A-03</t>
  </si>
  <si>
    <t xml:space="preserve">JR00044943</t>
  </si>
  <si>
    <t xml:space="preserve">Sweetbird Hazelnut Syrup 1 Litre</t>
  </si>
  <si>
    <t xml:space="preserve">B31823</t>
  </si>
  <si>
    <t xml:space="preserve">MWINT00681</t>
  </si>
  <si>
    <t xml:space="preserve">Msalman</t>
  </si>
  <si>
    <t xml:space="preserve">F-G-02-D-03</t>
  </si>
  <si>
    <t xml:space="preserve">JR00058965</t>
  </si>
  <si>
    <t xml:space="preserve">Cancelled</t>
  </si>
  <si>
    <t xml:space="preserve">mhassan</t>
  </si>
  <si>
    <t xml:space="preserve">JR00050800-5623473</t>
  </si>
  <si>
    <t xml:space="preserve">DAMMAM00775</t>
  </si>
  <si>
    <t xml:space="preserve">Gmustafa</t>
  </si>
  <si>
    <t xml:space="preserve">F-H-04-C-01</t>
  </si>
  <si>
    <t xml:space="preserve">JR00050798</t>
  </si>
  <si>
    <t xml:space="preserve">F-G-02-A-01</t>
  </si>
  <si>
    <t xml:space="preserve">JR00050797-5623451</t>
  </si>
  <si>
    <t xml:space="preserve">F-H-02-A-03</t>
  </si>
  <si>
    <t xml:space="preserve">JR00050804-5618393</t>
  </si>
  <si>
    <t xml:space="preserve">RIYADH01202</t>
  </si>
  <si>
    <t xml:space="preserve">F-G-06-C-01</t>
  </si>
  <si>
    <t xml:space="preserve">JR00050802-5618382</t>
  </si>
  <si>
    <t xml:space="preserve">F-G-14-C-03</t>
  </si>
  <si>
    <t xml:space="preserve">JR00050801-5618376</t>
  </si>
  <si>
    <t xml:space="preserve">F-H-23-B-03</t>
  </si>
  <si>
    <t xml:space="preserve">JR00050266</t>
  </si>
  <si>
    <t xml:space="preserve">SHRM00004381</t>
  </si>
  <si>
    <t xml:space="preserve">Mhammad</t>
  </si>
  <si>
    <t xml:space="preserve">JR00037677</t>
  </si>
  <si>
    <t xml:space="preserve">FRANK'S REDHOT CHILI SWEET SAUCE 4X 0.5 gal (1.89L)</t>
  </si>
  <si>
    <t xml:space="preserve">BT24236</t>
  </si>
  <si>
    <t xml:space="preserve">MWIN01054-1</t>
  </si>
  <si>
    <t xml:space="preserve">C-B-07-A-01</t>
  </si>
  <si>
    <t xml:space="preserve">JR00055552</t>
  </si>
  <si>
    <t xml:space="preserve">SHRM00004923</t>
  </si>
  <si>
    <t xml:space="preserve">F-H-44-A-03</t>
  </si>
  <si>
    <t xml:space="preserve">JR00038928</t>
  </si>
  <si>
    <t xml:space="preserve">F-H-16-B-01</t>
  </si>
  <si>
    <t xml:space="preserve">JR00037679</t>
  </si>
  <si>
    <t xml:space="preserve">F-H-37-B-01</t>
  </si>
  <si>
    <t xml:space="preserve">JR00038931</t>
  </si>
  <si>
    <t xml:space="preserve">C-A-40-A-03</t>
  </si>
  <si>
    <t xml:space="preserve">JR00058989</t>
  </si>
  <si>
    <t xml:space="preserve">F-H-46-A-05</t>
  </si>
  <si>
    <t xml:space="preserve">JR00036803</t>
  </si>
  <si>
    <t xml:space="preserve">SYSCO RELIANCE HEAVY DUTY MAYONNAISE 4X1 gal (3.78L)</t>
  </si>
  <si>
    <t xml:space="preserve">MWIN00734</t>
  </si>
  <si>
    <t xml:space="preserve">nakhan</t>
  </si>
  <si>
    <t xml:space="preserve">JR00053403-5776470</t>
  </si>
  <si>
    <t xml:space="preserve">B31723</t>
  </si>
  <si>
    <t xml:space="preserve">MWNT00493</t>
  </si>
  <si>
    <t xml:space="preserve">F-H-42-A-01</t>
  </si>
  <si>
    <t xml:space="preserve">Located</t>
  </si>
  <si>
    <t xml:space="preserve">400399</t>
  </si>
  <si>
    <t xml:space="preserve">A7-AF-37-D-03</t>
  </si>
  <si>
    <t xml:space="preserve">100005680</t>
  </si>
  <si>
    <t xml:space="preserve">1329001641</t>
  </si>
  <si>
    <t xml:space="preserve">A7-AB-41-A-01</t>
  </si>
  <si>
    <t xml:space="preserve">A7-AF-33-C-01</t>
  </si>
  <si>
    <t xml:space="preserve">100008733</t>
  </si>
  <si>
    <t xml:space="preserve">A7-AA-34-A-01</t>
  </si>
  <si>
    <t xml:space="preserve">400932</t>
  </si>
  <si>
    <t xml:space="preserve">A7-AF-31-D-01</t>
  </si>
  <si>
    <t xml:space="preserve">100008855</t>
  </si>
  <si>
    <t xml:space="preserve">1329001640</t>
  </si>
  <si>
    <t xml:space="preserve">A7-AB-38-A-01</t>
  </si>
  <si>
    <t xml:space="preserve">A7-AF-43-D-03</t>
  </si>
  <si>
    <t xml:space="preserve">A7-AB-44-A-03</t>
  </si>
  <si>
    <t xml:space="preserve">A7-AF-46-A-03</t>
  </si>
  <si>
    <t xml:space="preserve">1329001667</t>
  </si>
  <si>
    <t xml:space="preserve">A7-AF-43-D-01</t>
  </si>
  <si>
    <t xml:space="preserve">10009226</t>
  </si>
  <si>
    <t xml:space="preserve">A7-AB-44-A-01</t>
  </si>
  <si>
    <t xml:space="preserve">A7-AF-39-C-03</t>
  </si>
  <si>
    <t xml:space="preserve">100009226</t>
  </si>
  <si>
    <t xml:space="preserve">A7-AA-44-A-01</t>
  </si>
  <si>
    <t xml:space="preserve">A7-AC-45-A-03</t>
  </si>
  <si>
    <t xml:space="preserve">A7-AF-34-C-03</t>
  </si>
  <si>
    <t xml:space="preserve">A7-AB-46-A-01</t>
  </si>
  <si>
    <t xml:space="preserve">A7-AF-45-D-01</t>
  </si>
  <si>
    <t xml:space="preserve">A7-AB-46-A-03</t>
  </si>
  <si>
    <t xml:space="preserve">A7-AF-33-D-03</t>
  </si>
  <si>
    <t xml:space="preserve">A7-AB-38-A-03</t>
  </si>
  <si>
    <t xml:space="preserve">A7-AF-35-D-01</t>
  </si>
  <si>
    <t xml:space="preserve">A7-AB-40-A-03</t>
  </si>
  <si>
    <t xml:space="preserve">A7-AF-31-D-03</t>
  </si>
  <si>
    <t xml:space="preserve">A7-AB-36-A-03</t>
  </si>
  <si>
    <t xml:space="preserve">A7-AF-29-D-03</t>
  </si>
  <si>
    <t xml:space="preserve">400432</t>
  </si>
  <si>
    <t xml:space="preserve">A7-AA-18-A-01</t>
  </si>
  <si>
    <t xml:space="preserve">100009431</t>
  </si>
  <si>
    <t xml:space="preserve">1329001633</t>
  </si>
  <si>
    <t xml:space="preserve">A7-AE-29-A-03</t>
  </si>
  <si>
    <t xml:space="preserve">A7-AE-21-A-03</t>
  </si>
  <si>
    <t xml:space="preserve">1329001653</t>
  </si>
  <si>
    <t xml:space="preserve">A7-AE-09-A-01</t>
  </si>
  <si>
    <t xml:space="preserve">A7-AD-18-A-03</t>
  </si>
  <si>
    <t xml:space="preserve">A7-AD-04-A-03</t>
  </si>
  <si>
    <t xml:space="preserve">1329001654</t>
  </si>
  <si>
    <t xml:space="preserve">A7-AD-04-A-01</t>
  </si>
  <si>
    <t xml:space="preserve">A7-AD-04-B-01</t>
  </si>
  <si>
    <t xml:space="preserve">A7-AD-18-A-01</t>
  </si>
  <si>
    <t xml:space="preserve">A7-AD-20-A-01</t>
  </si>
  <si>
    <t xml:space="preserve">A7-AE-08-A-03</t>
  </si>
  <si>
    <t xml:space="preserve">100009468</t>
  </si>
  <si>
    <t xml:space="preserve">A7-AF-29-D-01</t>
  </si>
  <si>
    <t xml:space="preserve">100009495</t>
  </si>
  <si>
    <t xml:space="preserve">A7-AB-36-A-01</t>
  </si>
  <si>
    <t xml:space="preserve">A7-AF-41-C-03</t>
  </si>
  <si>
    <t xml:space="preserve">A7-AA-46-A-01</t>
  </si>
  <si>
    <t xml:space="preserve">A7-AC-45-A-01</t>
  </si>
  <si>
    <t xml:space="preserve">400514</t>
  </si>
  <si>
    <t xml:space="preserve">A7-AC-28-A-03</t>
  </si>
  <si>
    <t xml:space="preserve">100009525</t>
  </si>
  <si>
    <t xml:space="preserve">1329001671</t>
  </si>
  <si>
    <t xml:space="preserve">A7-AE-04-A-01</t>
  </si>
  <si>
    <t xml:space="preserve">100009635</t>
  </si>
  <si>
    <t xml:space="preserve">A7-AE-15-A-03</t>
  </si>
  <si>
    <t xml:space="preserve">A7-AE-10-A-01</t>
  </si>
  <si>
    <t xml:space="preserve">A7-AD-08-A-03</t>
  </si>
  <si>
    <t xml:space="preserve">100009668</t>
  </si>
  <si>
    <t xml:space="preserve">A7-AD-22-A-01</t>
  </si>
  <si>
    <t xml:space="preserve">A7-AD-02-A-03</t>
  </si>
  <si>
    <t xml:space="preserve">A7-AD-02-A-01</t>
  </si>
  <si>
    <t xml:space="preserve">A7-AD-12-A-01</t>
  </si>
  <si>
    <t xml:space="preserve">A7-AE-01-A-03</t>
  </si>
  <si>
    <t xml:space="preserve">A7-AE-01-A-01</t>
  </si>
  <si>
    <t xml:space="preserve">A7-AC-38-A-03</t>
  </si>
  <si>
    <t xml:space="preserve">100009710</t>
  </si>
  <si>
    <t xml:space="preserve">A7-AC-28-A-01</t>
  </si>
  <si>
    <t xml:space="preserve">A7-AC-34-A-01</t>
  </si>
  <si>
    <t xml:space="preserve">A7-AC-32-A-01</t>
  </si>
  <si>
    <t xml:space="preserve">A7-AC-30-A-01</t>
  </si>
  <si>
    <t xml:space="preserve">A7-AC-26-A-01</t>
  </si>
  <si>
    <t xml:space="preserve">A7-AC-44-A-03</t>
  </si>
  <si>
    <t xml:space="preserve">100009783</t>
  </si>
  <si>
    <t xml:space="preserve">A7-AC-26-A-03</t>
  </si>
  <si>
    <t xml:space="preserve">A7-AC-34-A-03</t>
  </si>
  <si>
    <t xml:space="preserve">A7-AC-32-A-03</t>
  </si>
  <si>
    <t xml:space="preserve">A7-AC-30-A-03</t>
  </si>
  <si>
    <t xml:space="preserve">A7-AC-40-A-01</t>
  </si>
  <si>
    <t xml:space="preserve">A7-AC-36-A-03</t>
  </si>
  <si>
    <t xml:space="preserve">400436</t>
  </si>
  <si>
    <t xml:space="preserve">A7-AD-40-A-03</t>
  </si>
  <si>
    <t xml:space="preserve">100009887</t>
  </si>
  <si>
    <t xml:space="preserve">1329001666</t>
  </si>
  <si>
    <t xml:space="preserve">A7-AD-44-A-01</t>
  </si>
  <si>
    <t xml:space="preserve">400920</t>
  </si>
  <si>
    <t xml:space="preserve">A7-AF-01-C-03</t>
  </si>
  <si>
    <t xml:space="preserve">100010030</t>
  </si>
  <si>
    <t xml:space="preserve">1329001689</t>
  </si>
  <si>
    <t xml:space="preserve">A7-AF-27-C-01</t>
  </si>
  <si>
    <t xml:space="preserve">1329001639</t>
  </si>
  <si>
    <t xml:space="preserve">A7-AA-34-A-03</t>
  </si>
  <si>
    <t xml:space="preserve">A7-AF-31-C-03</t>
  </si>
  <si>
    <t xml:space="preserve">100010354</t>
  </si>
  <si>
    <t xml:space="preserve">A7-AA-30-A-03</t>
  </si>
  <si>
    <t xml:space="preserve">A7-AF-26-C-01</t>
  </si>
  <si>
    <t xml:space="preserve">100010353</t>
  </si>
  <si>
    <t xml:space="preserve">A7-AB-37-A-03</t>
  </si>
  <si>
    <t xml:space="preserve">A7-AF-28-C-01</t>
  </si>
  <si>
    <t xml:space="preserve">A7-AB-35-A-03</t>
  </si>
  <si>
    <t xml:space="preserve">400413</t>
  </si>
  <si>
    <t xml:space="preserve">A7-AF-17-C-01</t>
  </si>
  <si>
    <t xml:space="preserve">100010539</t>
  </si>
  <si>
    <t xml:space="preserve">A7-AA-40-A-03</t>
  </si>
  <si>
    <t xml:space="preserve">A7-AF-42-C-01</t>
  </si>
  <si>
    <t xml:space="preserve">1329001670</t>
  </si>
  <si>
    <t xml:space="preserve">A7-AF-30-C-01</t>
  </si>
  <si>
    <t xml:space="preserve">A7-AF-44-C-03</t>
  </si>
  <si>
    <t xml:space="preserve">A7-AF-16-D-01</t>
  </si>
  <si>
    <t xml:space="preserve">1329001646</t>
  </si>
  <si>
    <t xml:space="preserve">A7-AC-33-A-01</t>
  </si>
  <si>
    <t xml:space="preserve">A7-AF-18-D-01</t>
  </si>
  <si>
    <t xml:space="preserve">A7-AC-31-A-01</t>
  </si>
  <si>
    <t xml:space="preserve">A7-AF-36-D-01</t>
  </si>
  <si>
    <t xml:space="preserve">100010677</t>
  </si>
  <si>
    <t xml:space="preserve">A7-AB-30-A-01</t>
  </si>
  <si>
    <t xml:space="preserve">A7-AF-25-D-03</t>
  </si>
  <si>
    <t xml:space="preserve">A7-AB-32-A-01</t>
  </si>
  <si>
    <t xml:space="preserve">A7-AF-27-D-03</t>
  </si>
  <si>
    <t xml:space="preserve">A7-AB-34-A-01</t>
  </si>
  <si>
    <t xml:space="preserve">A7-AF-34-D-03</t>
  </si>
  <si>
    <t xml:space="preserve">A7-AB-28-A-01</t>
  </si>
  <si>
    <t xml:space="preserve">A7-AF-20-D-01</t>
  </si>
  <si>
    <t xml:space="preserve">100010691</t>
  </si>
  <si>
    <t xml:space="preserve">A7-AC-37-A-01</t>
  </si>
  <si>
    <t xml:space="preserve">A7-AF-32-D-03</t>
  </si>
  <si>
    <t xml:space="preserve">100010738</t>
  </si>
  <si>
    <t xml:space="preserve">A7-AB-26-A-03</t>
  </si>
  <si>
    <t xml:space="preserve">A7-AF-10-D-01</t>
  </si>
  <si>
    <t xml:space="preserve">A7-AC-03-A-01</t>
  </si>
  <si>
    <t xml:space="preserve">100010755</t>
  </si>
  <si>
    <t xml:space="preserve">1329001634</t>
  </si>
  <si>
    <t xml:space="preserve">A7-AE-46-A-03</t>
  </si>
  <si>
    <t xml:space="preserve">A7-AF-40-C-01</t>
  </si>
  <si>
    <t xml:space="preserve">100010754</t>
  </si>
  <si>
    <t xml:space="preserve">A7-AF-28-C-03</t>
  </si>
  <si>
    <t xml:space="preserve">A7-AF-44-D-03</t>
  </si>
  <si>
    <t xml:space="preserve">A7-AF-08-D-01</t>
  </si>
  <si>
    <t xml:space="preserve">A7-AF-43-C-03</t>
  </si>
  <si>
    <t xml:space="preserve">A7-AF-46-D-03</t>
  </si>
  <si>
    <t xml:space="preserve">A7-AF-45-C-01</t>
  </si>
  <si>
    <t xml:space="preserve">A7-AF-46-C-01</t>
  </si>
  <si>
    <t xml:space="preserve">A7-AF-02-D-03</t>
  </si>
  <si>
    <t xml:space="preserve">A7-AF-02-D-01</t>
  </si>
  <si>
    <t xml:space="preserve">A7-AF-04-D-01</t>
  </si>
  <si>
    <t xml:space="preserve">A7-AF-32-D-01</t>
  </si>
  <si>
    <t xml:space="preserve">A7-AB-26-A-01</t>
  </si>
  <si>
    <t xml:space="preserve">A7-AF-14-D-03</t>
  </si>
  <si>
    <t xml:space="preserve">A7-AC-27-A-03</t>
  </si>
  <si>
    <t xml:space="preserve">A7-AF-12-D-03</t>
  </si>
  <si>
    <t xml:space="preserve">A7-AC-25-A-03</t>
  </si>
  <si>
    <t xml:space="preserve">A7-AF-20-D-03</t>
  </si>
  <si>
    <t xml:space="preserve">A7-AC-35-A-03</t>
  </si>
  <si>
    <t xml:space="preserve">A7-AF-22-D-01</t>
  </si>
  <si>
    <t xml:space="preserve">A7-AC-35-A-01</t>
  </si>
  <si>
    <t xml:space="preserve">A7-AF-18-D-03</t>
  </si>
  <si>
    <t xml:space="preserve">A7-AC-31-A-03</t>
  </si>
  <si>
    <t xml:space="preserve">A7-AF-36-D-03</t>
  </si>
  <si>
    <t xml:space="preserve">A7-AB-30-A-03</t>
  </si>
  <si>
    <t xml:space="preserve">A7-AF-25-D-01</t>
  </si>
  <si>
    <t xml:space="preserve">A7-AB-32-A-03</t>
  </si>
  <si>
    <t xml:space="preserve">A7-AC-20-A-01</t>
  </si>
  <si>
    <t xml:space="preserve">1329001635</t>
  </si>
  <si>
    <t xml:space="preserve">A7-AF-35-A-03</t>
  </si>
  <si>
    <t xml:space="preserve">A7-AB-18-A-01</t>
  </si>
  <si>
    <t xml:space="preserve">A7-AF-31-A-03</t>
  </si>
  <si>
    <t xml:space="preserve">A7-AB-04-A-01</t>
  </si>
  <si>
    <t xml:space="preserve">A7-AF-31-A-01</t>
  </si>
  <si>
    <t xml:space="preserve">A7-AA-06-A-03</t>
  </si>
  <si>
    <t xml:space="preserve">A7-AE-30-A-01</t>
  </si>
  <si>
    <t xml:space="preserve">A7-AA-16-A-03</t>
  </si>
  <si>
    <t xml:space="preserve">A7-AE-26-A-03</t>
  </si>
  <si>
    <t xml:space="preserve">A7-AB-20-A-01</t>
  </si>
  <si>
    <t xml:space="preserve">A7-AF-33-A-03</t>
  </si>
  <si>
    <t xml:space="preserve">A7-AC-13-A-03</t>
  </si>
  <si>
    <t xml:space="preserve">A7-AF-26-A-01</t>
  </si>
  <si>
    <t xml:space="preserve">A7-AB-08-A-01</t>
  </si>
  <si>
    <t xml:space="preserve">A7-AF-33-A-01</t>
  </si>
  <si>
    <t xml:space="preserve">A7-AB-08-A-03</t>
  </si>
  <si>
    <t xml:space="preserve">A7-AF-35-A-01</t>
  </si>
  <si>
    <t xml:space="preserve">A7-AB-02-A-01</t>
  </si>
  <si>
    <t xml:space="preserve">A7-AF-25-A-03</t>
  </si>
  <si>
    <t xml:space="preserve">A7-AB-05-A-03</t>
  </si>
  <si>
    <t xml:space="preserve">A7-AF-25-A-01</t>
  </si>
  <si>
    <t xml:space="preserve">A7-AB-16-A-03</t>
  </si>
  <si>
    <t xml:space="preserve">A7-AF-37-A-01</t>
  </si>
  <si>
    <t xml:space="preserve">A7-AB-14-A-03</t>
  </si>
  <si>
    <t xml:space="preserve">A7-AF-39-A-01</t>
  </si>
  <si>
    <t xml:space="preserve">A7-AB-16-A-01</t>
  </si>
  <si>
    <t xml:space="preserve">A7-AF-37-A-03</t>
  </si>
  <si>
    <t xml:space="preserve">A7-AC-17-A-03</t>
  </si>
  <si>
    <t xml:space="preserve">A7-AF-41-A-03</t>
  </si>
  <si>
    <t xml:space="preserve">A7-AC-21-A-01</t>
  </si>
  <si>
    <t xml:space="preserve">A7-AF-39-A-03</t>
  </si>
  <si>
    <t xml:space="preserve">A7-AC-18-A-01</t>
  </si>
  <si>
    <t xml:space="preserve">A7-AC-07-A-03</t>
  </si>
  <si>
    <t xml:space="preserve">A7-AF-46-A-01</t>
  </si>
  <si>
    <t xml:space="preserve">A7-AC-18-A-03</t>
  </si>
  <si>
    <t xml:space="preserve">A7-AF-44-A-03</t>
  </si>
  <si>
    <t xml:space="preserve">A7-AC-05-A-03</t>
  </si>
  <si>
    <t xml:space="preserve">A7-AF-42-A-03</t>
  </si>
  <si>
    <t xml:space="preserve">A7-AC-01-A-01</t>
  </si>
  <si>
    <t xml:space="preserve">A7-AF-26-A-03</t>
  </si>
  <si>
    <t xml:space="preserve">A7-AB-20-A-03</t>
  </si>
  <si>
    <t xml:space="preserve">A7-AF-29-A-01</t>
  </si>
  <si>
    <t xml:space="preserve">A7-AA-12-A-01</t>
  </si>
  <si>
    <t xml:space="preserve">A7-AE-26-A-01</t>
  </si>
  <si>
    <t xml:space="preserve">A7-AC-09-A-01</t>
  </si>
  <si>
    <t xml:space="preserve">A7-AF-40-A-01</t>
  </si>
  <si>
    <t xml:space="preserve">A7-AC-03-A-03</t>
  </si>
  <si>
    <t xml:space="preserve">A7-AF-32-A-01</t>
  </si>
  <si>
    <t xml:space="preserve">A7-AC-11-A-01</t>
  </si>
  <si>
    <t xml:space="preserve">A7-AF-28-A-01</t>
  </si>
  <si>
    <t xml:space="preserve">A7-AC-16-A-01</t>
  </si>
  <si>
    <t xml:space="preserve">100010778</t>
  </si>
  <si>
    <t xml:space="preserve">A7-AF-28-A-03</t>
  </si>
  <si>
    <t xml:space="preserve">A7-AC-42-A-01</t>
  </si>
  <si>
    <t xml:space="preserve">A7-AE-17-A-03</t>
  </si>
  <si>
    <t xml:space="preserve">A7-AE-19-A-03</t>
  </si>
  <si>
    <t xml:space="preserve">A7-AE-17-A-01</t>
  </si>
  <si>
    <t xml:space="preserve">A7-AE-16-A-01</t>
  </si>
  <si>
    <t xml:space="preserve">A7-AE-15-A-01</t>
  </si>
  <si>
    <t xml:space="preserve">A7-AE-19-A-01</t>
  </si>
  <si>
    <t xml:space="preserve">A7-AE-14-A-03</t>
  </si>
  <si>
    <t xml:space="preserve">A7-AE-13-A-01</t>
  </si>
  <si>
    <t xml:space="preserve">A7-AE-06-A-03</t>
  </si>
  <si>
    <t xml:space="preserve">A7-AE-04-A-03</t>
  </si>
  <si>
    <t xml:space="preserve">A7-AD-16-A-01</t>
  </si>
  <si>
    <t xml:space="preserve">A7-AD-14-A-03</t>
  </si>
  <si>
    <t xml:space="preserve">A7-AE-03-A-03</t>
  </si>
  <si>
    <t xml:space="preserve">A7-AD-14-A-01</t>
  </si>
  <si>
    <t xml:space="preserve">A7-AE-03-A-01</t>
  </si>
  <si>
    <t xml:space="preserve">A7-AE-05-A-01</t>
  </si>
  <si>
    <t xml:space="preserve">A7-AA-06-A-01</t>
  </si>
  <si>
    <t xml:space="preserve">A7-AE-28-A-01</t>
  </si>
  <si>
    <t xml:space="preserve">A7-AC-09-A-03</t>
  </si>
  <si>
    <t xml:space="preserve">100010849</t>
  </si>
  <si>
    <t xml:space="preserve">A7-AF-30-A-01</t>
  </si>
  <si>
    <t xml:space="preserve">A7-AE-22-A-01</t>
  </si>
  <si>
    <t xml:space="preserve">1329001657</t>
  </si>
  <si>
    <t xml:space="preserve">A7-AF-01-A-03</t>
  </si>
  <si>
    <t xml:space="preserve">A7-AF-01-A-01</t>
  </si>
  <si>
    <t xml:space="preserve">A7-AE-22-A-03</t>
  </si>
  <si>
    <t xml:space="preserve">A7-AE-20-A-01</t>
  </si>
  <si>
    <t xml:space="preserve">A7-AE-20-A-03</t>
  </si>
  <si>
    <t xml:space="preserve">A7-AE-18-A-01</t>
  </si>
  <si>
    <t xml:space="preserve">A7-AE-18-A-03</t>
  </si>
  <si>
    <t xml:space="preserve">A7-AE-16-A-03</t>
  </si>
  <si>
    <t xml:space="preserve">A7-AB-06-A-01</t>
  </si>
  <si>
    <t xml:space="preserve">A7-AF-29-A-03</t>
  </si>
  <si>
    <t xml:space="preserve">A7-AB-02-A-03</t>
  </si>
  <si>
    <t xml:space="preserve">A7-AF-27-A-03</t>
  </si>
  <si>
    <t xml:space="preserve">A7-AB-22-A-03</t>
  </si>
  <si>
    <t xml:space="preserve">A7-AF-27-A-01</t>
  </si>
  <si>
    <t xml:space="preserve">A7-AC-12-A-03</t>
  </si>
  <si>
    <t xml:space="preserve">A7-AF-42-A-01</t>
  </si>
  <si>
    <t xml:space="preserve">A7-AC-22-A-03</t>
  </si>
  <si>
    <t xml:space="preserve">A7-AF-44-A-01</t>
  </si>
  <si>
    <t xml:space="preserve">A7-AC-15-A-01</t>
  </si>
  <si>
    <t xml:space="preserve">A7-AF-43-A-03</t>
  </si>
  <si>
    <t xml:space="preserve">A7-AC-16-A-03</t>
  </si>
  <si>
    <t xml:space="preserve">A7-AF-41-A-01</t>
  </si>
  <si>
    <t xml:space="preserve">A7-AC-15-A-03</t>
  </si>
  <si>
    <t xml:space="preserve">A7-AF-43-A-01</t>
  </si>
  <si>
    <t xml:space="preserve">A7-AA-12-A-03</t>
  </si>
  <si>
    <t xml:space="preserve">A7-AE-28-A-03</t>
  </si>
  <si>
    <t xml:space="preserve">A7-AD-19-A-03</t>
  </si>
  <si>
    <t xml:space="preserve">A7-AF-40-A-03</t>
  </si>
  <si>
    <t xml:space="preserve">A7-AC-14-A-03</t>
  </si>
  <si>
    <t xml:space="preserve">A7-AF-30-A-03</t>
  </si>
  <si>
    <t xml:space="preserve">A7-AC-01-A-03</t>
  </si>
  <si>
    <t xml:space="preserve">A7-AF-34-A-01</t>
  </si>
  <si>
    <t xml:space="preserve">A7-AC-05-A-01</t>
  </si>
  <si>
    <t xml:space="preserve">A7-AF-34-A-03</t>
  </si>
  <si>
    <t xml:space="preserve">A7-AC-07-A-01</t>
  </si>
  <si>
    <t xml:space="preserve">A7-AF-36-A-03</t>
  </si>
  <si>
    <t xml:space="preserve">A7-AD-21-A-01</t>
  </si>
  <si>
    <t xml:space="preserve">A7-AF-38-A-03</t>
  </si>
  <si>
    <t xml:space="preserve">A7-AF-41-D-01</t>
  </si>
  <si>
    <t xml:space="preserve">100010886</t>
  </si>
  <si>
    <t xml:space="preserve">A7-AB-45-A-01</t>
  </si>
  <si>
    <t xml:space="preserve">A7-AF-15-C-01</t>
  </si>
  <si>
    <t xml:space="preserve">1329001681</t>
  </si>
  <si>
    <t xml:space="preserve">A7-AF-39-D-03</t>
  </si>
  <si>
    <t xml:space="preserve">A7-AB-43-A-03</t>
  </si>
  <si>
    <t xml:space="preserve">A7-AF-37-D-01</t>
  </si>
  <si>
    <t xml:space="preserve">A7-AB-41-A-03</t>
  </si>
  <si>
    <t xml:space="preserve">A7-AF-37-C-01</t>
  </si>
  <si>
    <t xml:space="preserve">A7-AA-38-A-03</t>
  </si>
  <si>
    <t xml:space="preserve">A7-AF-35-C-01</t>
  </si>
  <si>
    <t xml:space="preserve">A7-AA-36-A-03</t>
  </si>
  <si>
    <t xml:space="preserve">A7-AF-27-D-01</t>
  </si>
  <si>
    <t xml:space="preserve">A7-AF-39-D-01</t>
  </si>
  <si>
    <t xml:space="preserve">A7-AB-43-A-01</t>
  </si>
  <si>
    <t xml:space="preserve">A7-AF-41-D-03</t>
  </si>
  <si>
    <t xml:space="preserve">A7-AB-45-A-03</t>
  </si>
  <si>
    <t xml:space="preserve">A7-AF-37-C-03</t>
  </si>
  <si>
    <t xml:space="preserve">A7-AA-42-A-01</t>
  </si>
  <si>
    <t xml:space="preserve">A7-AF-39-C-01</t>
  </si>
  <si>
    <t xml:space="preserve">A7-AA-42-A-03</t>
  </si>
  <si>
    <t xml:space="preserve">A7-AD-38-A-01</t>
  </si>
  <si>
    <t xml:space="preserve">100010939</t>
  </si>
  <si>
    <t xml:space="preserve">A7-AD-30-A-03</t>
  </si>
  <si>
    <t xml:space="preserve">A7-AD-32-A-03</t>
  </si>
  <si>
    <t xml:space="preserve">A7-AD-36-A-01</t>
  </si>
  <si>
    <t xml:space="preserve">A7-AD-34-A-03</t>
  </si>
  <si>
    <t xml:space="preserve">A7-AD-36-A-03</t>
  </si>
  <si>
    <t xml:space="preserve">A7-AD-42-A-03</t>
  </si>
  <si>
    <t xml:space="preserve">A7-AD-42-A-01</t>
  </si>
  <si>
    <t xml:space="preserve">A7-AF-34-D-01</t>
  </si>
  <si>
    <t xml:space="preserve">100011006</t>
  </si>
  <si>
    <t xml:space="preserve">A7-AB-28-A-03</t>
  </si>
  <si>
    <t xml:space="preserve">A7-AF-08-C-03</t>
  </si>
  <si>
    <t xml:space="preserve">100011005</t>
  </si>
  <si>
    <t xml:space="preserve">1329001682</t>
  </si>
  <si>
    <t xml:space="preserve">A7-AF-08-C-01</t>
  </si>
  <si>
    <t xml:space="preserve">A7-AF-14-C-01</t>
  </si>
  <si>
    <t xml:space="preserve">A7-AF-12-C-01</t>
  </si>
  <si>
    <t xml:space="preserve">A7-AF-12-C-03</t>
  </si>
  <si>
    <t xml:space="preserve">A7-AF-10-C-01</t>
  </si>
  <si>
    <t xml:space="preserve">A7-AF-12-D-01</t>
  </si>
  <si>
    <t xml:space="preserve">A7-AC-27-A-01</t>
  </si>
  <si>
    <t xml:space="preserve">A7-AF-10-D-03</t>
  </si>
  <si>
    <t xml:space="preserve">A7-AC-25-A-01</t>
  </si>
  <si>
    <t xml:space="preserve">A7-AF-22-D-03</t>
  </si>
  <si>
    <t xml:space="preserve">A7-AC-33-A-03</t>
  </si>
  <si>
    <t xml:space="preserve">A7-AF-43-C-01</t>
  </si>
  <si>
    <t xml:space="preserve">100010992</t>
  </si>
  <si>
    <t xml:space="preserve">A7-AA-46-A-03</t>
  </si>
  <si>
    <t xml:space="preserve">A7-AF-06-C-01</t>
  </si>
  <si>
    <t xml:space="preserve">A7-AF-10-C-03</t>
  </si>
  <si>
    <t xml:space="preserve">A7-AF-16-D-03</t>
  </si>
  <si>
    <t xml:space="preserve">A7-AC-29-A-03</t>
  </si>
  <si>
    <t xml:space="preserve">A7-AF-14-D-01</t>
  </si>
  <si>
    <t xml:space="preserve">A7-AC-29-A-01</t>
  </si>
  <si>
    <t xml:space="preserve">A7-AF-34-C-01</t>
  </si>
  <si>
    <t xml:space="preserve">A7-AB-33-A-03</t>
  </si>
  <si>
    <t xml:space="preserve">A7-AF-26-C-03</t>
  </si>
  <si>
    <t xml:space="preserve">A7-AB-35-A-01</t>
  </si>
  <si>
    <t xml:space="preserve">A7-AF-21-C-03</t>
  </si>
  <si>
    <t xml:space="preserve">A7-AB-37-A-01</t>
  </si>
  <si>
    <t xml:space="preserve">A7-AB-39-A-01</t>
  </si>
  <si>
    <t xml:space="preserve">A7-AF-35-C-03</t>
  </si>
  <si>
    <t xml:space="preserve">A7-AA-38-A-01</t>
  </si>
  <si>
    <t xml:space="preserve">A7-AF-27-C-03</t>
  </si>
  <si>
    <t xml:space="preserve">A7-AA-32-A-01</t>
  </si>
  <si>
    <t xml:space="preserve">A7-AF-29-C-03</t>
  </si>
  <si>
    <t xml:space="preserve">A7-AF-19-C-03</t>
  </si>
  <si>
    <t xml:space="preserve">A7-AA-26-A-01</t>
  </si>
  <si>
    <t xml:space="preserve">A7-AC-17-A-01</t>
  </si>
  <si>
    <t xml:space="preserve">100010991</t>
  </si>
  <si>
    <t xml:space="preserve">A7-AC-40-A-03</t>
  </si>
  <si>
    <t xml:space="preserve">A7-AD-12-A-03</t>
  </si>
  <si>
    <t xml:space="preserve">A7-AD-10-A-03</t>
  </si>
  <si>
    <t xml:space="preserve">A7-AD-22-A-03</t>
  </si>
  <si>
    <t xml:space="preserve">A7-AE-02-A-03</t>
  </si>
  <si>
    <t xml:space="preserve">A7-AD-11-A-01</t>
  </si>
  <si>
    <t xml:space="preserve">1329001647</t>
  </si>
  <si>
    <t xml:space="preserve">A7-AD-07-A-03</t>
  </si>
  <si>
    <t xml:space="preserve">A7-AD-05-A-03</t>
  </si>
  <si>
    <t xml:space="preserve">A7-AD-05-A-01</t>
  </si>
  <si>
    <t xml:space="preserve">A7-AD-03-A-01</t>
  </si>
  <si>
    <t xml:space="preserve">A7-AD-01-A-01</t>
  </si>
  <si>
    <t xml:space="preserve">A7-AD-01-A-03</t>
  </si>
  <si>
    <t xml:space="preserve">A7-AD-03-A-03</t>
  </si>
  <si>
    <t xml:space="preserve">A7-AD-07-A-01</t>
  </si>
  <si>
    <t xml:space="preserve">A7-AD-09-A-01</t>
  </si>
  <si>
    <t xml:space="preserve">A7-AD-09-A-03</t>
  </si>
  <si>
    <t xml:space="preserve">A7-AC-02-A-01</t>
  </si>
  <si>
    <t xml:space="preserve">A7-AC-08-A-03</t>
  </si>
  <si>
    <t xml:space="preserve">A7-AC-12-A-01</t>
  </si>
  <si>
    <t xml:space="preserve">A7-AD-15-A-03</t>
  </si>
  <si>
    <t xml:space="preserve">A7-AD-17-A-01</t>
  </si>
  <si>
    <t xml:space="preserve">A7-AD-13-A-01</t>
  </si>
  <si>
    <t xml:space="preserve">A7-AD-11-A-03</t>
  </si>
  <si>
    <t xml:space="preserve">A7-AD-13-A-03</t>
  </si>
  <si>
    <t xml:space="preserve">A7-AD-15-A-01</t>
  </si>
  <si>
    <t xml:space="preserve">A7-AD-17-A-03</t>
  </si>
  <si>
    <t xml:space="preserve">A7-AD-19-A-01</t>
  </si>
  <si>
    <t xml:space="preserve">A7-AC-10-A-01</t>
  </si>
  <si>
    <t xml:space="preserve">A7-AC-08-A-01</t>
  </si>
  <si>
    <t xml:space="preserve">A7-AC-06-A-01</t>
  </si>
  <si>
    <t xml:space="preserve">A7-AC-06-A-03</t>
  </si>
  <si>
    <t xml:space="preserve">A7-AC-04-A-03</t>
  </si>
  <si>
    <t xml:space="preserve">A7-AC-04-A-01</t>
  </si>
  <si>
    <t xml:space="preserve">A7-AC-02-A-03</t>
  </si>
  <si>
    <t xml:space="preserve">A7-AC-10-A-03</t>
  </si>
  <si>
    <t xml:space="preserve">A7-AB-10-A-03</t>
  </si>
  <si>
    <t xml:space="preserve">A7-AD-21-A-03</t>
  </si>
  <si>
    <t xml:space="preserve">A7-AB-10-A-01</t>
  </si>
  <si>
    <t xml:space="preserve">A7-AC-20-A-03</t>
  </si>
  <si>
    <t xml:space="preserve">A7-AC-19-A-03</t>
  </si>
  <si>
    <t xml:space="preserve">A7-AB-06-A-03</t>
  </si>
  <si>
    <t xml:space="preserve">A7-AC-22-A-01</t>
  </si>
  <si>
    <t xml:space="preserve">A7-AC-21-A-03</t>
  </si>
  <si>
    <t xml:space="preserve">A7-AB-04-A-03</t>
  </si>
  <si>
    <t xml:space="preserve">A7-AB-14-A-01</t>
  </si>
  <si>
    <t xml:space="preserve">A7-AC-19-A-01</t>
  </si>
  <si>
    <t xml:space="preserve">A7-AF-29-C-01</t>
  </si>
  <si>
    <t xml:space="preserve">A7-AA-32-A-03</t>
  </si>
  <si>
    <t xml:space="preserve">A7-AF-15-C-03</t>
  </si>
  <si>
    <t xml:space="preserve">A7-AF-19-C-01</t>
  </si>
  <si>
    <t xml:space="preserve">A7-AB-39-A-03</t>
  </si>
  <si>
    <t xml:space="preserve">A7-AF-25-C-03</t>
  </si>
  <si>
    <t xml:space="preserve">A7-AA-26-A-03</t>
  </si>
  <si>
    <t xml:space="preserve">A7-AF-33-C-03</t>
  </si>
  <si>
    <t xml:space="preserve">A7-AA-36-A-01</t>
  </si>
  <si>
    <t xml:space="preserve">A7-AB-19-A-03</t>
  </si>
  <si>
    <t xml:space="preserve">A7-AE-32-A-03</t>
  </si>
  <si>
    <t xml:space="preserve">A7-AE-41-A-01</t>
  </si>
  <si>
    <t xml:space="preserve">1329001665</t>
  </si>
  <si>
    <t xml:space="preserve">A7-AE-13-A-03</t>
  </si>
  <si>
    <t xml:space="preserve">A7-AE-12-A-01</t>
  </si>
  <si>
    <t xml:space="preserve">A7-AD-16-A-03</t>
  </si>
  <si>
    <t xml:space="preserve">A7-AC-11-A-03</t>
  </si>
  <si>
    <t xml:space="preserve">A7-AF-36-A-01</t>
  </si>
  <si>
    <t xml:space="preserve">A7-AC-14-A-01</t>
  </si>
  <si>
    <t xml:space="preserve">A7-AF-38-A-01</t>
  </si>
  <si>
    <t xml:space="preserve">A7-AC-13-A-01</t>
  </si>
  <si>
    <t xml:space="preserve">A7-AF-32-A-03</t>
  </si>
  <si>
    <t xml:space="preserve">A7-AF-32-C-03</t>
  </si>
  <si>
    <t xml:space="preserve">100011150</t>
  </si>
  <si>
    <t xml:space="preserve">A7-AB-33-A-01</t>
  </si>
  <si>
    <t xml:space="preserve">A7-AE-37-A-01</t>
  </si>
  <si>
    <t xml:space="preserve">100011145</t>
  </si>
  <si>
    <t xml:space="preserve">401099</t>
  </si>
  <si>
    <t xml:space="preserve">A7-AD-27-A-03</t>
  </si>
  <si>
    <t xml:space="preserve">160000102</t>
  </si>
  <si>
    <t xml:space="preserve">A7-AD-27-A-01</t>
  </si>
  <si>
    <t xml:space="preserve">A7-AD-29-A-03</t>
  </si>
  <si>
    <t xml:space="preserve">A7-AD-29-A-01</t>
  </si>
  <si>
    <t xml:space="preserve">A7-AD-31-A-03</t>
  </si>
  <si>
    <t xml:space="preserve">A7-AD-33-A-01</t>
  </si>
  <si>
    <t xml:space="preserve">A7-AD-37-A-03</t>
  </si>
  <si>
    <t xml:space="preserve">160000105</t>
  </si>
  <si>
    <t xml:space="preserve">A7-AD-37-A-01</t>
  </si>
  <si>
    <t xml:space="preserve">A7-AC-37-A-03</t>
  </si>
  <si>
    <t xml:space="preserve">A7-AD-43-A-03</t>
  </si>
  <si>
    <t xml:space="preserve">A7-AD-45-A-03</t>
  </si>
  <si>
    <t xml:space="preserve">A7-AD-45-A-01</t>
  </si>
  <si>
    <t xml:space="preserve">A7-AD-41-A-03</t>
  </si>
  <si>
    <t xml:space="preserve">A7-AD-46-A-01</t>
  </si>
  <si>
    <t xml:space="preserve">A7-AD-31-A-01</t>
  </si>
  <si>
    <t xml:space="preserve">10001145</t>
  </si>
  <si>
    <t xml:space="preserve">1329001664</t>
  </si>
  <si>
    <t xml:space="preserve">A7-AE-27-A-03</t>
  </si>
  <si>
    <t xml:space="preserve">A7-AF-45-A-01</t>
  </si>
  <si>
    <t xml:space="preserve">A7-AF-45-A-03</t>
  </si>
  <si>
    <t xml:space="preserve">A7-AE-31-A-03</t>
  </si>
  <si>
    <t xml:space="preserve">A7-AE-35-A-01</t>
  </si>
  <si>
    <t xml:space="preserve">A7-AE-29-A-01</t>
  </si>
  <si>
    <t xml:space="preserve">A7-AE-37-A-03</t>
  </si>
  <si>
    <t xml:space="preserve">A7-AE-39-A-01</t>
  </si>
  <si>
    <t xml:space="preserve">A7-AE-35-A-03</t>
  </si>
  <si>
    <t xml:space="preserve">A7-AE-33-A-01</t>
  </si>
  <si>
    <t xml:space="preserve">A7-AF-15-D-03</t>
  </si>
  <si>
    <t xml:space="preserve">A7-AB-31-A-03</t>
  </si>
  <si>
    <t xml:space="preserve">401119</t>
  </si>
  <si>
    <t xml:space="preserve">A7-AF-05-C-01</t>
  </si>
  <si>
    <t xml:space="preserve">100011164</t>
  </si>
  <si>
    <t xml:space="preserve">A7-AF-03-C-01</t>
  </si>
  <si>
    <t xml:space="preserve">A7-AF-03-D-01</t>
  </si>
  <si>
    <t xml:space="preserve">A7-AF-03-D-03</t>
  </si>
  <si>
    <t xml:space="preserve">A7-AB-18-A-03</t>
  </si>
  <si>
    <t xml:space="preserve">100011186</t>
  </si>
  <si>
    <t xml:space="preserve">A7-AE-45-A-01</t>
  </si>
  <si>
    <t xml:space="preserve">A7-AE-06-A-01</t>
  </si>
  <si>
    <t xml:space="preserve">A7-AB-12-A-03</t>
  </si>
  <si>
    <t xml:space="preserve">A7-AB-11-A-01</t>
  </si>
  <si>
    <t xml:space="preserve">A7-AA-10-A-03</t>
  </si>
  <si>
    <t xml:space="preserve">A7-AB-15-A-03</t>
  </si>
  <si>
    <t xml:space="preserve">A7-AA-20-A-03</t>
  </si>
  <si>
    <t xml:space="preserve">A7-AA-02-A-03</t>
  </si>
  <si>
    <t xml:space="preserve">A7-AA-22-A-01</t>
  </si>
  <si>
    <t xml:space="preserve">A7-AA-18-A-03</t>
  </si>
  <si>
    <t xml:space="preserve">A7-AB-03-A-03</t>
  </si>
  <si>
    <t xml:space="preserve">A7-AE-43-A-01</t>
  </si>
  <si>
    <t xml:space="preserve">A7-AB-21-A-03</t>
  </si>
  <si>
    <t xml:space="preserve">A7-AE-36-A-03</t>
  </si>
  <si>
    <t xml:space="preserve">A7-AA-14-A-03</t>
  </si>
  <si>
    <t xml:space="preserve">A7-AE-34-A-01</t>
  </si>
  <si>
    <t xml:space="preserve">A7-AB-01-A-03</t>
  </si>
  <si>
    <t xml:space="preserve">A7-AA-04-A-03</t>
  </si>
  <si>
    <t xml:space="preserve">400464</t>
  </si>
  <si>
    <t xml:space="preserve">A7-AB-09-A-03</t>
  </si>
  <si>
    <t xml:space="preserve">100011197</t>
  </si>
  <si>
    <t xml:space="preserve">100011196</t>
  </si>
  <si>
    <t xml:space="preserve">A7-AF-02-C-03</t>
  </si>
  <si>
    <t xml:space="preserve">100011193</t>
  </si>
  <si>
    <t xml:space="preserve">A7-AF-02-C-01</t>
  </si>
  <si>
    <t xml:space="preserve">A7-AF-04-C-03</t>
  </si>
  <si>
    <t xml:space="preserve">A7-AF-04-C-01</t>
  </si>
  <si>
    <t xml:space="preserve">A7-AF-06-C-03</t>
  </si>
  <si>
    <t xml:space="preserve">A7-AF-03-C-03</t>
  </si>
  <si>
    <t xml:space="preserve">100011191</t>
  </si>
  <si>
    <t xml:space="preserve">A7-AF-01-D-03</t>
  </si>
  <si>
    <t xml:space="preserve">A7-AF-01-D-01</t>
  </si>
  <si>
    <t xml:space="preserve">A7-AF-01-C-01</t>
  </si>
  <si>
    <t xml:space="preserve">ARC00000504</t>
  </si>
  <si>
    <t xml:space="preserve">A7-AC-45-B-01</t>
  </si>
  <si>
    <t xml:space="preserve">A7-AF-21-D-03</t>
  </si>
  <si>
    <t xml:space="preserve">A7-AB-25-A-03</t>
  </si>
  <si>
    <t xml:space="preserve">A7-AF-21-D-01</t>
  </si>
  <si>
    <t xml:space="preserve">A7-AB-27-A-01</t>
  </si>
  <si>
    <t xml:space="preserve">A7-AF-19-D-03</t>
  </si>
  <si>
    <t xml:space="preserve">A7-AB-27-A-03</t>
  </si>
  <si>
    <t xml:space="preserve">A7-AF-19-D-01</t>
  </si>
  <si>
    <t xml:space="preserve">A7-AB-29-A-01</t>
  </si>
  <si>
    <t xml:space="preserve">A7-AF-17-D-01</t>
  </si>
  <si>
    <t xml:space="preserve">A7-AB-31-A-01</t>
  </si>
  <si>
    <t xml:space="preserve">A7-AF-17-D-03</t>
  </si>
  <si>
    <t xml:space="preserve">A7-AB-29-A-03</t>
  </si>
  <si>
    <t xml:space="preserve">A7-AF-45-D-03</t>
  </si>
  <si>
    <t xml:space="preserve">A7-AB-42-A-03</t>
  </si>
  <si>
    <t xml:space="preserve">A7-AF-35-D-03</t>
  </si>
  <si>
    <t xml:space="preserve">A7-AB-42-A-01</t>
  </si>
  <si>
    <t xml:space="preserve">A7-AC-43-A-03</t>
  </si>
  <si>
    <t xml:space="preserve">A7-AF-33-D-01</t>
  </si>
  <si>
    <t xml:space="preserve">A7-AB-40-A-01</t>
  </si>
  <si>
    <t xml:space="preserve">A7-AA-04-A-01</t>
  </si>
  <si>
    <t xml:space="preserve">A7-AE-39-A-03</t>
  </si>
  <si>
    <t xml:space="preserve">A7-AA-20-A-01</t>
  </si>
  <si>
    <t xml:space="preserve">A7-AB-22-A-01</t>
  </si>
  <si>
    <t xml:space="preserve">A7-AE-45-A-03</t>
  </si>
  <si>
    <t xml:space="preserve">A7-AB-19-A-01</t>
  </si>
  <si>
    <t xml:space="preserve">A7-AE-36-A-01</t>
  </si>
  <si>
    <t xml:space="preserve">A7-AA-08-A-01</t>
  </si>
  <si>
    <t xml:space="preserve">A7-AE-38-A-01</t>
  </si>
  <si>
    <t xml:space="preserve">A7-AA-22-A-03</t>
  </si>
  <si>
    <t xml:space="preserve">A7-AA-02-A-01</t>
  </si>
  <si>
    <t xml:space="preserve">A7-AB-01-A-01</t>
  </si>
  <si>
    <t xml:space="preserve">A7-AE-41-A-03</t>
  </si>
  <si>
    <t xml:space="preserve">A7-AB-03-A-01</t>
  </si>
  <si>
    <t xml:space="preserve">A7-AE-43-A-03</t>
  </si>
  <si>
    <t xml:space="preserve">A7-AB-12-A-01</t>
  </si>
  <si>
    <t xml:space="preserve">A7-AA-14-A-01</t>
  </si>
  <si>
    <t xml:space="preserve">A7-AB-09-A-01</t>
  </si>
  <si>
    <t xml:space="preserve">A7-AB-21-A-01</t>
  </si>
  <si>
    <t xml:space="preserve">A7-AB-11-A-03</t>
  </si>
  <si>
    <t xml:space="preserve">400763</t>
  </si>
  <si>
    <t xml:space="preserve">153000015</t>
  </si>
  <si>
    <t xml:space="preserve">153000014</t>
  </si>
  <si>
    <t xml:space="preserve">A7-AC-42-A-03</t>
  </si>
  <si>
    <t xml:space="preserve">A7-AC-38-A-01</t>
  </si>
  <si>
    <t xml:space="preserve">A7-AC-36-A-01</t>
  </si>
  <si>
    <t xml:space="preserve">A7-AC-46-A-01</t>
  </si>
  <si>
    <t xml:space="preserve">A7-AC-46-A-03</t>
  </si>
  <si>
    <t xml:space="preserve">A7-AC-44-A-01</t>
  </si>
  <si>
    <t xml:space="preserve">A7-AD-46-A-03</t>
  </si>
  <si>
    <t xml:space="preserve">153000029</t>
  </si>
  <si>
    <t xml:space="preserve">A7-AD-25-A-03</t>
  </si>
  <si>
    <t xml:space="preserve">A7-AD-25-A-01</t>
  </si>
  <si>
    <t xml:space="preserve">A7-AD-33-A-03</t>
  </si>
  <si>
    <t xml:space="preserve">A7-AD-35-A-03</t>
  </si>
  <si>
    <t xml:space="preserve">A7-AD-35-A-01</t>
  </si>
  <si>
    <t xml:space="preserve">A7-AD-39-A-03</t>
  </si>
  <si>
    <t xml:space="preserve">A7-AD-43-A-01</t>
  </si>
  <si>
    <t xml:space="preserve">A7-AD-44-A-03</t>
  </si>
  <si>
    <t xml:space="preserve">1329001656</t>
  </si>
  <si>
    <t xml:space="preserve">A7-AD-20-A-03</t>
  </si>
  <si>
    <t xml:space="preserve">A7-AF-40-C-03</t>
  </si>
  <si>
    <t xml:space="preserve">A7-AF-42-C-03</t>
  </si>
  <si>
    <t xml:space="preserve">A7-AF-30-C-03</t>
  </si>
  <si>
    <t xml:space="preserve">A7-AF-44-C-01</t>
  </si>
  <si>
    <t xml:space="preserve">A7-AF-14-C-03</t>
  </si>
  <si>
    <t xml:space="preserve">A7-AF-44-D-01</t>
  </si>
  <si>
    <t xml:space="preserve">A7-AF-06-D-03</t>
  </si>
  <si>
    <t xml:space="preserve">A7-AF-32-C-01</t>
  </si>
  <si>
    <t xml:space="preserve">A7-AF-46-D-01</t>
  </si>
  <si>
    <t xml:space="preserve">A7-AF-36-C-03</t>
  </si>
  <si>
    <t xml:space="preserve">A7-AF-45-C-03</t>
  </si>
  <si>
    <t xml:space="preserve">153000042</t>
  </si>
  <si>
    <t xml:space="preserve">A7-AF-46-C-03</t>
  </si>
  <si>
    <t xml:space="preserve">A7-AF-04-D-03</t>
  </si>
  <si>
    <t xml:space="preserve">A7-AF-06-D-01</t>
  </si>
  <si>
    <t xml:space="preserve">A7-AF-08-D-03</t>
  </si>
  <si>
    <t xml:space="preserve">A7-AF-06-A-01</t>
  </si>
  <si>
    <t xml:space="preserve">A7-AF-14-A-01</t>
  </si>
  <si>
    <t xml:space="preserve">A7-AF-02-A-01</t>
  </si>
  <si>
    <t xml:space="preserve">A7-AF-16-A-01</t>
  </si>
  <si>
    <t xml:space="preserve">A7-AF-14-A-03</t>
  </si>
  <si>
    <t xml:space="preserve">400903</t>
  </si>
  <si>
    <t xml:space="preserve">A7-AF-04-A-03</t>
  </si>
  <si>
    <t xml:space="preserve">600001026</t>
  </si>
  <si>
    <t xml:space="preserve">1329001655</t>
  </si>
  <si>
    <t xml:space="preserve">A7-AF-06-A-03</t>
  </si>
  <si>
    <t xml:space="preserve">A7-AF-02-A-03</t>
  </si>
  <si>
    <t xml:space="preserve">A7-AF-22-A-01</t>
  </si>
  <si>
    <t xml:space="preserve">A7-AF-12-A-03</t>
  </si>
  <si>
    <t xml:space="preserve">A7-AF-20-A-03</t>
  </si>
  <si>
    <t xml:space="preserve">A7-AF-20-A-01</t>
  </si>
  <si>
    <t xml:space="preserve">600001027</t>
  </si>
  <si>
    <t xml:space="preserve">A7-AF-08-A-03</t>
  </si>
  <si>
    <t xml:space="preserve">A7-AF-08-A-01</t>
  </si>
  <si>
    <t xml:space="preserve">A7-AF-21-A-01</t>
  </si>
  <si>
    <t xml:space="preserve">A7-AF-19-A-01</t>
  </si>
  <si>
    <t xml:space="preserve">A7-AF-17-A-01</t>
  </si>
  <si>
    <t xml:space="preserve">A7-AF-11-A-01</t>
  </si>
  <si>
    <t xml:space="preserve">A7-AF-13-A-03</t>
  </si>
  <si>
    <t xml:space="preserve">A7-AF-13-A-01</t>
  </si>
  <si>
    <t xml:space="preserve">A7-AF-15-A-03</t>
  </si>
  <si>
    <t xml:space="preserve">A7-AF-15-A-01</t>
  </si>
  <si>
    <t xml:space="preserve">A7-AF-17-A-03</t>
  </si>
  <si>
    <t xml:space="preserve">A7-AF-11-A-03</t>
  </si>
  <si>
    <t xml:space="preserve">A7-AF-09-A-01</t>
  </si>
  <si>
    <t xml:space="preserve">A7-AF-09-A-03</t>
  </si>
  <si>
    <t xml:space="preserve">A7-AF-07-A-01</t>
  </si>
  <si>
    <t xml:space="preserve">A7-AF-07-A-03</t>
  </si>
  <si>
    <t xml:space="preserve">A7-AF-05-A-01</t>
  </si>
  <si>
    <t xml:space="preserve">A7-AF-03-A-01</t>
  </si>
  <si>
    <t xml:space="preserve">A7-AF-19-A-03</t>
  </si>
  <si>
    <t xml:space="preserve">A7-AE-42-A-03</t>
  </si>
  <si>
    <t xml:space="preserve">A7-AE-44-A-01</t>
  </si>
  <si>
    <t xml:space="preserve">A7-AE-46-A-01</t>
  </si>
  <si>
    <t xml:space="preserve">A7-AE-44-A-03</t>
  </si>
  <si>
    <t xml:space="preserve">A7-AE-42-A-01</t>
  </si>
  <si>
    <t xml:space="preserve">A7-AE-40-A-03</t>
  </si>
  <si>
    <t xml:space="preserve">A7-AE-40-A-01</t>
  </si>
  <si>
    <t xml:space="preserve">A7-AE-30-A-03</t>
  </si>
  <si>
    <t xml:space="preserve">A7-AE-32-A-01</t>
  </si>
  <si>
    <t xml:space="preserve">A7-AE-34-A-03</t>
  </si>
  <si>
    <t xml:space="preserve">A7-AE-38-A-03</t>
  </si>
  <si>
    <t xml:space="preserve">A7-AE-21-A-01</t>
  </si>
  <si>
    <t xml:space="preserve">A7-AE-14-A-01</t>
  </si>
  <si>
    <t xml:space="preserve">A7-AE-11-A-01</t>
  </si>
  <si>
    <t xml:space="preserve">A7-AE-11-A-03</t>
  </si>
  <si>
    <t xml:space="preserve">A7-AE-08-A-01</t>
  </si>
  <si>
    <t xml:space="preserve">A7-AE-02-A-01</t>
  </si>
  <si>
    <t xml:space="preserve">A7-AE-10-A-03</t>
  </si>
  <si>
    <t xml:space="preserve">A7-AE-12-A-03</t>
  </si>
  <si>
    <t xml:space="preserve">A7-AD-06-A-01</t>
  </si>
  <si>
    <t xml:space="preserve">A7-AD-06-A-03</t>
  </si>
  <si>
    <t xml:space="preserve">A7-AD-08-A-01</t>
  </si>
  <si>
    <t xml:space="preserve">A7-AD-10-A-01</t>
  </si>
  <si>
    <t xml:space="preserve">A7-AE-09-A-03</t>
  </si>
  <si>
    <t xml:space="preserve">A7-AE-07-A-01</t>
  </si>
  <si>
    <t xml:space="preserve">A7-AE-05-A-03</t>
  </si>
  <si>
    <t xml:space="preserve">A7-AE-07-A-03</t>
  </si>
  <si>
    <t xml:space="preserve">A7-AF-42-D-03</t>
  </si>
  <si>
    <t xml:space="preserve">ARC00000861</t>
  </si>
  <si>
    <t xml:space="preserve">A7-AF-03-A-03</t>
  </si>
  <si>
    <t xml:space="preserve">600001028</t>
  </si>
  <si>
    <t xml:space="preserve">A7-AF-22-A-03</t>
  </si>
  <si>
    <t xml:space="preserve">A7-AF-21-A-03</t>
  </si>
  <si>
    <t xml:space="preserve">A7-AF-05-A-03</t>
  </si>
  <si>
    <t xml:space="preserve">A7-AF-26-D-03</t>
  </si>
  <si>
    <t xml:space="preserve">A7-AC-39-A-01</t>
  </si>
  <si>
    <t xml:space="preserve">A7-AF-26-D-01</t>
  </si>
  <si>
    <t xml:space="preserve">A7-AF-28-D-01</t>
  </si>
  <si>
    <t xml:space="preserve">A7-AC-39-A-03</t>
  </si>
  <si>
    <t xml:space="preserve">A7-AF-28-D-03</t>
  </si>
  <si>
    <t xml:space="preserve">A7-AC-41-A-01</t>
  </si>
  <si>
    <t xml:space="preserve">A7-AF-30-D-01</t>
  </si>
  <si>
    <t xml:space="preserve">A7-AC-41-A-03</t>
  </si>
  <si>
    <t xml:space="preserve">A7-AF-30-D-03</t>
  </si>
  <si>
    <t xml:space="preserve">A7-AC-43-A-01</t>
  </si>
  <si>
    <t xml:space="preserve">A7-AF-38-D-01</t>
  </si>
  <si>
    <t xml:space="preserve">A7-AF-42-D-01</t>
  </si>
  <si>
    <t xml:space="preserve">A7-AF-36-C-01</t>
  </si>
  <si>
    <t xml:space="preserve">A7-AF-38-D-03</t>
  </si>
  <si>
    <t xml:space="preserve">A7-AF-38-C-01</t>
  </si>
  <si>
    <t xml:space="preserve">A7-AF-38-C-03</t>
  </si>
  <si>
    <t xml:space="preserve">A7-AF-40-D-03</t>
  </si>
  <si>
    <t xml:space="preserve">A7-AF-40-D-01</t>
  </si>
  <si>
    <t xml:space="preserve">A7-AD-38-A-03</t>
  </si>
  <si>
    <t xml:space="preserve">A7-AD-32-A-01</t>
  </si>
  <si>
    <t xml:space="preserve">A7-AD-30-A-01</t>
  </si>
  <si>
    <t xml:space="preserve">A7-AD-34-A-01</t>
  </si>
  <si>
    <t xml:space="preserve">A7-AD-40-A-01</t>
  </si>
  <si>
    <t xml:space="preserve">A7-AD-02-B-03</t>
  </si>
  <si>
    <t xml:space="preserve">A7-AE-02-B-01</t>
  </si>
  <si>
    <t xml:space="preserve">153000086</t>
  </si>
  <si>
    <t xml:space="preserve">153000104</t>
  </si>
  <si>
    <t xml:space="preserve">A7-AB-35-B-01</t>
  </si>
  <si>
    <t xml:space="preserve">400428</t>
  </si>
  <si>
    <t xml:space="preserve">FC-PB-18-B-01</t>
  </si>
  <si>
    <t xml:space="preserve">153000018</t>
  </si>
  <si>
    <t xml:space="preserve">1329001650</t>
  </si>
  <si>
    <t xml:space="preserve">ydawan</t>
  </si>
  <si>
    <t xml:space="preserve">FA-01-17-B-01</t>
  </si>
  <si>
    <t xml:space="preserve">FC-PB-18-C-01</t>
  </si>
  <si>
    <t xml:space="preserve">FA-01-14-C-01</t>
  </si>
  <si>
    <t xml:space="preserve">1329001648</t>
  </si>
  <si>
    <t xml:space="preserve">FC-PB-02-C-01</t>
  </si>
  <si>
    <t xml:space="preserve">1329001683</t>
  </si>
  <si>
    <t xml:space="preserve">FA-02-27-C-02</t>
  </si>
  <si>
    <t xml:space="preserve">FA-02-31-C-01</t>
  </si>
  <si>
    <t xml:space="preserve">FA-02-29-C-02</t>
  </si>
  <si>
    <t xml:space="preserve">FA-01-05-E-02</t>
  </si>
  <si>
    <t xml:space="preserve">FA-01-09-D-02</t>
  </si>
  <si>
    <t xml:space="preserve">FA-02-33-C-02</t>
  </si>
  <si>
    <t xml:space="preserve">FA-01-22-C-01</t>
  </si>
  <si>
    <t xml:space="preserve">FC-PB-04-C-01</t>
  </si>
  <si>
    <t xml:space="preserve">FA-01-15-C-02</t>
  </si>
  <si>
    <t xml:space="preserve">FA-01-20-C-02</t>
  </si>
  <si>
    <t xml:space="preserve">FA-01-22-C-02</t>
  </si>
  <si>
    <t xml:space="preserve">FA-01-18-C-01</t>
  </si>
  <si>
    <t xml:space="preserve">FA-01-17-C-01</t>
  </si>
  <si>
    <t xml:space="preserve">FA-01-10-A-02</t>
  </si>
  <si>
    <t xml:space="preserve">100003226</t>
  </si>
  <si>
    <t xml:space="preserve">FA-01-12-A-01</t>
  </si>
  <si>
    <t xml:space="preserve">FA-01-16-C-01</t>
  </si>
  <si>
    <t xml:space="preserve">FA-02-33-D-02</t>
  </si>
  <si>
    <t xml:space="preserve">FC-PB-07-A-01</t>
  </si>
  <si>
    <t xml:space="preserve">1329001630</t>
  </si>
  <si>
    <t xml:space="preserve">FA-01-12-A-02</t>
  </si>
  <si>
    <t xml:space="preserve">1329001661</t>
  </si>
  <si>
    <t xml:space="preserve">FA-01-21-B-01</t>
  </si>
  <si>
    <t xml:space="preserve">FA-01-19-B-02</t>
  </si>
  <si>
    <t xml:space="preserve">FA-01-19-C-02</t>
  </si>
  <si>
    <t xml:space="preserve">FC-PB-05-B-01</t>
  </si>
  <si>
    <t xml:space="preserve">FC-PB-18-A-01</t>
  </si>
  <si>
    <t xml:space="preserve">FA-01-23-B-02</t>
  </si>
  <si>
    <t xml:space="preserve">100009591</t>
  </si>
  <si>
    <t xml:space="preserve">FA-02-33-A-02</t>
  </si>
  <si>
    <t xml:space="preserve">FA-01-25-B-01</t>
  </si>
  <si>
    <t xml:space="preserve">FC-PB-19-B-01</t>
  </si>
  <si>
    <t xml:space="preserve">FA-01-31-B-02</t>
  </si>
  <si>
    <t xml:space="preserve">100003635</t>
  </si>
  <si>
    <t xml:space="preserve">1329001652</t>
  </si>
  <si>
    <t xml:space="preserve">FC-PB-19-A-01</t>
  </si>
  <si>
    <t xml:space="preserve">FA-02-31-A-01</t>
  </si>
  <si>
    <t xml:space="preserve">FA-01-34-A-02</t>
  </si>
  <si>
    <t xml:space="preserve">FA-01-10-A-01</t>
  </si>
  <si>
    <t xml:space="preserve">FC-PB-22-A-01</t>
  </si>
  <si>
    <t xml:space="preserve">401041</t>
  </si>
  <si>
    <t xml:space="preserve">FA-02-07-A-01</t>
  </si>
  <si>
    <t xml:space="preserve">100009837</t>
  </si>
  <si>
    <t xml:space="preserve">1329001662</t>
  </si>
  <si>
    <t xml:space="preserve">FA-02-13-A-01</t>
  </si>
  <si>
    <t xml:space="preserve">FA-02-09-A-01</t>
  </si>
  <si>
    <t xml:space="preserve">100010050</t>
  </si>
  <si>
    <t xml:space="preserve">FA-02-19-A-01</t>
  </si>
  <si>
    <t xml:space="preserve">FA-02-15-A-02</t>
  </si>
  <si>
    <t xml:space="preserve">FA-02-15-A-01</t>
  </si>
  <si>
    <t xml:space="preserve">FA-02-13-A-02</t>
  </si>
  <si>
    <t xml:space="preserve">FA-02-11-A-02</t>
  </si>
  <si>
    <t xml:space="preserve">FA-02-09-A-02</t>
  </si>
  <si>
    <t xml:space="preserve">FA-02-07-C-02</t>
  </si>
  <si>
    <t xml:space="preserve">1329001680</t>
  </si>
  <si>
    <t xml:space="preserve">FA-02-07-C-01</t>
  </si>
  <si>
    <t xml:space="preserve">401149</t>
  </si>
  <si>
    <t xml:space="preserve">FC-PB-14-C-01</t>
  </si>
  <si>
    <t xml:space="preserve">100010270</t>
  </si>
  <si>
    <t xml:space="preserve">FC-PB-16-C-01</t>
  </si>
  <si>
    <t xml:space="preserve">400511</t>
  </si>
  <si>
    <t xml:space="preserve">FC-PB-23-A-01</t>
  </si>
  <si>
    <t xml:space="preserve">100010288</t>
  </si>
  <si>
    <t xml:space="preserve">FA-02-21-A-01</t>
  </si>
  <si>
    <t xml:space="preserve">100010289</t>
  </si>
  <si>
    <t xml:space="preserve">FA-02-19-A-02</t>
  </si>
  <si>
    <t xml:space="preserve">FA-02-17-A-02</t>
  </si>
  <si>
    <t xml:space="preserve">FA-02-17-A-01</t>
  </si>
  <si>
    <t xml:space="preserve">FA-02-11-A-01</t>
  </si>
  <si>
    <t xml:space="preserve">FA-01-33-B-01</t>
  </si>
  <si>
    <t xml:space="preserve">100008094</t>
  </si>
  <si>
    <t xml:space="preserve">FC-PB-09-B-01</t>
  </si>
  <si>
    <t xml:space="preserve">FA-01-10-B-01</t>
  </si>
  <si>
    <t xml:space="preserve">FA-01-31-B-01</t>
  </si>
  <si>
    <t xml:space="preserve">FA-01-10-B-02</t>
  </si>
  <si>
    <t xml:space="preserve">100010032</t>
  </si>
  <si>
    <t xml:space="preserve">FA-01-22-B-02</t>
  </si>
  <si>
    <t xml:space="preserve">FA-01-33-B-02</t>
  </si>
  <si>
    <t xml:space="preserve">100010332</t>
  </si>
  <si>
    <t xml:space="preserve">401096</t>
  </si>
  <si>
    <t xml:space="preserve">FC-PB-20-C-01</t>
  </si>
  <si>
    <t xml:space="preserve">100010367</t>
  </si>
  <si>
    <t xml:space="preserve">1329001690</t>
  </si>
  <si>
    <t xml:space="preserve">401068</t>
  </si>
  <si>
    <t xml:space="preserve">FA-02-24-B-02</t>
  </si>
  <si>
    <t xml:space="preserve">100010439</t>
  </si>
  <si>
    <t xml:space="preserve">1329001663</t>
  </si>
  <si>
    <t xml:space="preserve">FA-02-29-B-01</t>
  </si>
  <si>
    <t xml:space="preserve">FA-02-29-A-01</t>
  </si>
  <si>
    <t xml:space="preserve">FA-02-25-B-01</t>
  </si>
  <si>
    <t xml:space="preserve">FA-02-23-B-02</t>
  </si>
  <si>
    <t xml:space="preserve">FA-02-31-B-01</t>
  </si>
  <si>
    <t xml:space="preserve">FA-02-25-A-01</t>
  </si>
  <si>
    <t xml:space="preserve">FA-02-25-C-01</t>
  </si>
  <si>
    <t xml:space="preserve">FA-02-21-A-02</t>
  </si>
  <si>
    <t xml:space="preserve">FA-02-32-B-01</t>
  </si>
  <si>
    <t xml:space="preserve">FA-02-28-B-01</t>
  </si>
  <si>
    <t xml:space="preserve">FA-02-30-B-01</t>
  </si>
  <si>
    <t xml:space="preserve">401093</t>
  </si>
  <si>
    <t xml:space="preserve">FA-02-07-A-02</t>
  </si>
  <si>
    <t xml:space="preserve">100010457</t>
  </si>
  <si>
    <t xml:space="preserve">FA-02-27-B-02</t>
  </si>
  <si>
    <t xml:space="preserve">FA-02-27-B-01</t>
  </si>
  <si>
    <t xml:space="preserve">FA-02-25-B-02</t>
  </si>
  <si>
    <t xml:space="preserve">FA-02-29-B-02</t>
  </si>
  <si>
    <t xml:space="preserve">FA-02-25-A-02</t>
  </si>
  <si>
    <t xml:space="preserve">FA-02-23-A-02</t>
  </si>
  <si>
    <t xml:space="preserve">FA-02-34-B-01</t>
  </si>
  <si>
    <t xml:space="preserve">FA-02-34-B-02</t>
  </si>
  <si>
    <t xml:space="preserve">100009836</t>
  </si>
  <si>
    <t xml:space="preserve">FA-01-33-A-01</t>
  </si>
  <si>
    <t xml:space="preserve">1329001660</t>
  </si>
  <si>
    <t xml:space="preserve">FA-01-19-A-01</t>
  </si>
  <si>
    <t xml:space="preserve">FA-01-21-A-01</t>
  </si>
  <si>
    <t xml:space="preserve">FA-01-23-A-01</t>
  </si>
  <si>
    <t xml:space="preserve">FA-01-25-A-01</t>
  </si>
  <si>
    <t xml:space="preserve">FA-01-25-A-02</t>
  </si>
  <si>
    <t xml:space="preserve">FA-01-29-A-01</t>
  </si>
  <si>
    <t xml:space="preserve">FA-01-31-A-01</t>
  </si>
  <si>
    <t xml:space="preserve">FA-01-05-C-01</t>
  </si>
  <si>
    <t xml:space="preserve">1329001642</t>
  </si>
  <si>
    <t xml:space="preserve">FA-02-17-D-01</t>
  </si>
  <si>
    <t xml:space="preserve">1329001684</t>
  </si>
  <si>
    <t xml:space="preserve">FA-02-17-C-01</t>
  </si>
  <si>
    <t xml:space="preserve">FA-02-15-D-02</t>
  </si>
  <si>
    <t xml:space="preserve">FA-02-13-D-02</t>
  </si>
  <si>
    <t xml:space="preserve">FA-02-14-C-01</t>
  </si>
  <si>
    <t xml:space="preserve">1329001687</t>
  </si>
  <si>
    <t xml:space="preserve">FA-01-01-D-01</t>
  </si>
  <si>
    <t xml:space="preserve">FA-01-01-C-01</t>
  </si>
  <si>
    <t xml:space="preserve">FA-02-33-D-01</t>
  </si>
  <si>
    <t xml:space="preserve">FA-01-01-C-02</t>
  </si>
  <si>
    <t xml:space="preserve">FA-02-31-D-01</t>
  </si>
  <si>
    <t xml:space="preserve">FA-02-25-C-02</t>
  </si>
  <si>
    <t xml:space="preserve">FA-02-27-C-01</t>
  </si>
  <si>
    <t xml:space="preserve">FA-01-12-C-01</t>
  </si>
  <si>
    <t xml:space="preserve">FA-02-27-D-02</t>
  </si>
  <si>
    <t xml:space="preserve">1329001672</t>
  </si>
  <si>
    <t xml:space="preserve">FA-02-28-C-02</t>
  </si>
  <si>
    <t xml:space="preserve">FA-02-29-D-01</t>
  </si>
  <si>
    <t xml:space="preserve">FA-02-28-C-01</t>
  </si>
  <si>
    <t xml:space="preserve">FA-02-23-C-02</t>
  </si>
  <si>
    <t xml:space="preserve">FA-02-26-C-01</t>
  </si>
  <si>
    <t xml:space="preserve">FA-02-23-C-01</t>
  </si>
  <si>
    <t xml:space="preserve">FA-02-24-C-02</t>
  </si>
  <si>
    <t xml:space="preserve">FA-02-21-C-01</t>
  </si>
  <si>
    <t xml:space="preserve">FA-02-22-C-02</t>
  </si>
  <si>
    <t xml:space="preserve">FA-02-11-C-01</t>
  </si>
  <si>
    <t xml:space="preserve">FA-02-12-C-01</t>
  </si>
  <si>
    <t xml:space="preserve">FA-02-09-D-01</t>
  </si>
  <si>
    <t xml:space="preserve">FA-02-09-E-01</t>
  </si>
  <si>
    <t xml:space="preserve">FA-02-07-D-02</t>
  </si>
  <si>
    <t xml:space="preserve">FA-02-08-C-02</t>
  </si>
  <si>
    <t xml:space="preserve">FA-01-13-C-02</t>
  </si>
  <si>
    <t xml:space="preserve">FA-01-11-C-02</t>
  </si>
  <si>
    <t xml:space="preserve">FA-01-05-A-01</t>
  </si>
  <si>
    <t xml:space="preserve">FC-PB-08-D-01</t>
  </si>
  <si>
    <t xml:space="preserve">FA-01-11-C-01</t>
  </si>
  <si>
    <t xml:space="preserve">FA-01-09-C-01</t>
  </si>
  <si>
    <t xml:space="preserve">FA-01-05-C-02</t>
  </si>
  <si>
    <t xml:space="preserve">FC-PB-14-B-01</t>
  </si>
  <si>
    <t xml:space="preserve">1329001631</t>
  </si>
  <si>
    <t xml:space="preserve">FA-02-27-D-01</t>
  </si>
  <si>
    <t xml:space="preserve">FA-02-30-C-01</t>
  </si>
  <si>
    <t xml:space="preserve">FA-02-19-C-01</t>
  </si>
  <si>
    <t xml:space="preserve">FA-02-20-C-01</t>
  </si>
  <si>
    <t xml:space="preserve">1329001674</t>
  </si>
  <si>
    <t xml:space="preserve">FA-02-32-A-02</t>
  </si>
  <si>
    <t xml:space="preserve">FA-02-27-A-01</t>
  </si>
  <si>
    <t xml:space="preserve">FA-02-23-A-01</t>
  </si>
  <si>
    <t xml:space="preserve">FA-01-14-A-02</t>
  </si>
  <si>
    <t xml:space="preserve">FA-01-09-B-01</t>
  </si>
  <si>
    <t xml:space="preserve">1329001649</t>
  </si>
  <si>
    <t xml:space="preserve">FA-01-09-B-02</t>
  </si>
  <si>
    <t xml:space="preserve">FA-01-05-B-01</t>
  </si>
  <si>
    <t xml:space="preserve">FC-PB-03-A-01</t>
  </si>
  <si>
    <t xml:space="preserve">1329001632</t>
  </si>
  <si>
    <t xml:space="preserve">FC-PB-02-A-01</t>
  </si>
  <si>
    <t xml:space="preserve">FA-01-23-B-01</t>
  </si>
  <si>
    <t xml:space="preserve">100010377</t>
  </si>
  <si>
    <t xml:space="preserve">FC-PB-06-A-01</t>
  </si>
  <si>
    <t xml:space="preserve">100010544</t>
  </si>
  <si>
    <t xml:space="preserve">FC-PB-08-A-01</t>
  </si>
  <si>
    <t xml:space="preserve">FC-PB-10-A-01</t>
  </si>
  <si>
    <t xml:space="preserve">FC-PB-09-A-01</t>
  </si>
  <si>
    <t xml:space="preserve">FA-01-27-B-02</t>
  </si>
  <si>
    <t xml:space="preserve">FA-01-25-B-02</t>
  </si>
  <si>
    <t xml:space="preserve">FC-PB-03-B-01</t>
  </si>
  <si>
    <t xml:space="preserve">100010764</t>
  </si>
  <si>
    <t xml:space="preserve">1329001643</t>
  </si>
  <si>
    <t xml:space="preserve">Received</t>
  </si>
  <si>
    <t xml:space="preserve">1329001673</t>
  </si>
  <si>
    <t xml:space="preserve">FC-PB-17-C-01</t>
  </si>
  <si>
    <t xml:space="preserve">FA-01-28-A-02</t>
  </si>
  <si>
    <t xml:space="preserve">FA-01-26-A-02</t>
  </si>
  <si>
    <t xml:space="preserve">FA-01-24-B-01</t>
  </si>
  <si>
    <t xml:space="preserve">FA-01-24-E-01</t>
  </si>
  <si>
    <t xml:space="preserve">FA-01-22-A-02</t>
  </si>
  <si>
    <t xml:space="preserve">FA-01-20-A-01</t>
  </si>
  <si>
    <t xml:space="preserve">FA-01-18-A-01</t>
  </si>
  <si>
    <t xml:space="preserve">FA-01-30-A-02</t>
  </si>
  <si>
    <t xml:space="preserve">FA-02-29-A-02</t>
  </si>
  <si>
    <t xml:space="preserve">FA-01-05-B-02</t>
  </si>
  <si>
    <t xml:space="preserve">FA-01-07-B-01</t>
  </si>
  <si>
    <t xml:space="preserve">FC-PB-16-B-01</t>
  </si>
  <si>
    <t xml:space="preserve">FA-01-15-B-01</t>
  </si>
  <si>
    <t xml:space="preserve">FC-PB-12-A-01</t>
  </si>
  <si>
    <t xml:space="preserve">FC-PB-12-B-01</t>
  </si>
  <si>
    <t xml:space="preserve">FC-PB-13-A-01</t>
  </si>
  <si>
    <t xml:space="preserve">FC-PB-02-B-01</t>
  </si>
  <si>
    <t xml:space="preserve">FC-PB-01-B-01</t>
  </si>
  <si>
    <t xml:space="preserve">FC-PB-01-A-01</t>
  </si>
  <si>
    <t xml:space="preserve">100010792</t>
  </si>
  <si>
    <t xml:space="preserve">FA-01-16-A-02</t>
  </si>
  <si>
    <t xml:space="preserve">FC-PB-04-A-01</t>
  </si>
  <si>
    <t xml:space="preserve">FA-02-09-C-02</t>
  </si>
  <si>
    <t xml:space="preserve">FA-02-09-C-01</t>
  </si>
  <si>
    <t xml:space="preserve">400541</t>
  </si>
  <si>
    <t xml:space="preserve">FA-02-33-A-01</t>
  </si>
  <si>
    <t xml:space="preserve">100010994</t>
  </si>
  <si>
    <t xml:space="preserve">FA-02-23-D-01</t>
  </si>
  <si>
    <t xml:space="preserve">FA-02-17-D-02</t>
  </si>
  <si>
    <t xml:space="preserve">FA-02-17-C-02</t>
  </si>
  <si>
    <t xml:space="preserve">FA-02-15-D-01</t>
  </si>
  <si>
    <t xml:space="preserve">FA-01-03-D-01</t>
  </si>
  <si>
    <t xml:space="preserve">FA-01-03-D-02</t>
  </si>
  <si>
    <t xml:space="preserve">FA-02-21-D-01</t>
  </si>
  <si>
    <t xml:space="preserve">FA-02-19-D-01</t>
  </si>
  <si>
    <t xml:space="preserve">FA-02-13-D-01</t>
  </si>
  <si>
    <t xml:space="preserve">FA-02-11-D-02</t>
  </si>
  <si>
    <t xml:space="preserve">FA-02-11-D-01</t>
  </si>
  <si>
    <t xml:space="preserve">100004894</t>
  </si>
  <si>
    <t xml:space="preserve">FA-01-03-C-01</t>
  </si>
  <si>
    <t xml:space="preserve">FA-01-03-C-02</t>
  </si>
  <si>
    <t xml:space="preserve">FA-01-10-C-02</t>
  </si>
  <si>
    <t xml:space="preserve">FA-01-10-C-01</t>
  </si>
  <si>
    <t xml:space="preserve">FA-01-07-D-02</t>
  </si>
  <si>
    <t xml:space="preserve">FA-01-07-D-01</t>
  </si>
  <si>
    <t xml:space="preserve">FA-02-31-D-02</t>
  </si>
  <si>
    <t xml:space="preserve">FA-01-07-E-01</t>
  </si>
  <si>
    <t xml:space="preserve">FA-02-13-C-02</t>
  </si>
  <si>
    <t xml:space="preserve">FA-02-14-D-02</t>
  </si>
  <si>
    <t xml:space="preserve">FA-02-13-C-01</t>
  </si>
  <si>
    <t xml:space="preserve">FA-02-34-A-02</t>
  </si>
  <si>
    <t xml:space="preserve">FA-01-30-A-01</t>
  </si>
  <si>
    <t xml:space="preserve">FA-01-32-A-01</t>
  </si>
  <si>
    <t xml:space="preserve">FA-01-32-A-02</t>
  </si>
  <si>
    <t xml:space="preserve">FA-02-31-A-02</t>
  </si>
  <si>
    <t xml:space="preserve">FA-01-34-A-01</t>
  </si>
  <si>
    <t xml:space="preserve">FC-PB-17-B-01</t>
  </si>
  <si>
    <t xml:space="preserve">FA-02-31-B-02</t>
  </si>
  <si>
    <t xml:space="preserve">FC-PB-24-A-01</t>
  </si>
  <si>
    <t xml:space="preserve">FA-01-01-B-01</t>
  </si>
  <si>
    <t xml:space="preserve">FA-01-01-B-02</t>
  </si>
  <si>
    <t xml:space="preserve">FA-01-03-B-01</t>
  </si>
  <si>
    <t xml:space="preserve">FA-01-03-B-02</t>
  </si>
  <si>
    <t xml:space="preserve">FA-01-01-A-01</t>
  </si>
  <si>
    <t xml:space="preserve">FA-01-01-A-02</t>
  </si>
  <si>
    <t xml:space="preserve">FA-02-30-A-02</t>
  </si>
  <si>
    <t xml:space="preserve">FA-02-32-A-01</t>
  </si>
  <si>
    <t xml:space="preserve">FA-02-27-A-02</t>
  </si>
  <si>
    <t xml:space="preserve">FA-01-09-A-02</t>
  </si>
  <si>
    <t xml:space="preserve">FC-PB-24-B-01</t>
  </si>
  <si>
    <t xml:space="preserve">400547</t>
  </si>
  <si>
    <t xml:space="preserve">FA-02-26-B-01</t>
  </si>
  <si>
    <t xml:space="preserve">100011089</t>
  </si>
  <si>
    <t xml:space="preserve">FA-02-28-B-02</t>
  </si>
  <si>
    <t xml:space="preserve">FA-02-32-B-02</t>
  </si>
  <si>
    <t xml:space="preserve">FA-02-30-B-02</t>
  </si>
  <si>
    <t xml:space="preserve">FA-02-26-B-02</t>
  </si>
  <si>
    <t xml:space="preserve">FC-PB-10-B-01</t>
  </si>
  <si>
    <t xml:space="preserve">FA-02-12-B-01</t>
  </si>
  <si>
    <t xml:space="preserve">1329001658</t>
  </si>
  <si>
    <t xml:space="preserve">FA-02-10-B-01</t>
  </si>
  <si>
    <t xml:space="preserve">FA-01-12-C-02</t>
  </si>
  <si>
    <t xml:space="preserve">FA-02-06-B-02</t>
  </si>
  <si>
    <t xml:space="preserve">FA-02-08-B-02</t>
  </si>
  <si>
    <t xml:space="preserve">FA-02-10-B-02</t>
  </si>
  <si>
    <t xml:space="preserve">FA-02-10-C-02</t>
  </si>
  <si>
    <t xml:space="preserve">FA-02-14-B-01</t>
  </si>
  <si>
    <t xml:space="preserve">FA-02-18-B-02</t>
  </si>
  <si>
    <t xml:space="preserve">FA-02-16-B-01</t>
  </si>
  <si>
    <t xml:space="preserve">FA-02-16-C-01</t>
  </si>
  <si>
    <t xml:space="preserve">FA-02-19-B-01</t>
  </si>
  <si>
    <t xml:space="preserve">FA-02-17-B-02</t>
  </si>
  <si>
    <t xml:space="preserve">FA-01-34-B-02</t>
  </si>
  <si>
    <t xml:space="preserve">FA-01-32-B-02</t>
  </si>
  <si>
    <t xml:space="preserve">FA-01-30-B-02</t>
  </si>
  <si>
    <t xml:space="preserve">FA-01-28-B-02</t>
  </si>
  <si>
    <t xml:space="preserve">FA-01-26-B-02</t>
  </si>
  <si>
    <t xml:space="preserve">FC-PB-17-A-01</t>
  </si>
  <si>
    <t xml:space="preserve">FC-PB-16-A-01</t>
  </si>
  <si>
    <t xml:space="preserve">FC-PB-13-B-01</t>
  </si>
  <si>
    <t xml:space="preserve">FC-PB-14-A-01</t>
  </si>
  <si>
    <t xml:space="preserve">400912</t>
  </si>
  <si>
    <t xml:space="preserve">FA-01-12-B-02</t>
  </si>
  <si>
    <t xml:space="preserve">400003960</t>
  </si>
  <si>
    <t xml:space="preserve">1329001659</t>
  </si>
  <si>
    <t xml:space="preserve">FA-02-12-C-02</t>
  </si>
  <si>
    <t xml:space="preserve">FA-02-10-C-01</t>
  </si>
  <si>
    <t xml:space="preserve">400479</t>
  </si>
  <si>
    <t xml:space="preserve">FC-PB-10-C-01</t>
  </si>
  <si>
    <t xml:space="preserve">100011172</t>
  </si>
  <si>
    <t xml:space="preserve">FC-PB-11-C-01</t>
  </si>
  <si>
    <t xml:space="preserve">FA-01-18-B-02</t>
  </si>
  <si>
    <t xml:space="preserve">400003963</t>
  </si>
  <si>
    <t xml:space="preserve">FA-01-16-B-01</t>
  </si>
  <si>
    <t xml:space="preserve">FA-01-16-A-01</t>
  </si>
  <si>
    <t xml:space="preserve">400904</t>
  </si>
  <si>
    <t xml:space="preserve">FA-01-16-B-02</t>
  </si>
  <si>
    <t xml:space="preserve">400003955</t>
  </si>
  <si>
    <t xml:space="preserve">FA-01-14-B-02</t>
  </si>
  <si>
    <t xml:space="preserve">FA-01-14-B-01</t>
  </si>
  <si>
    <t xml:space="preserve">FA-01-12-B-01</t>
  </si>
  <si>
    <t xml:space="preserve">FC-PB-15-B-01</t>
  </si>
  <si>
    <t xml:space="preserve">FA-02-08-C-01</t>
  </si>
  <si>
    <t xml:space="preserve">FA-02-06-C-02</t>
  </si>
  <si>
    <t xml:space="preserve">FA-02-06-C-01</t>
  </si>
  <si>
    <t xml:space="preserve">FA-02-06-D-01</t>
  </si>
  <si>
    <t xml:space="preserve">FA-01-05-A-02</t>
  </si>
  <si>
    <t xml:space="preserve">100011166</t>
  </si>
  <si>
    <t xml:space="preserve">FA-01-07-A-02</t>
  </si>
  <si>
    <t xml:space="preserve">FA-01-09-A-01</t>
  </si>
  <si>
    <t xml:space="preserve">FA-01-13-A-02</t>
  </si>
  <si>
    <t xml:space="preserve">FA-01-15-A-02</t>
  </si>
  <si>
    <t xml:space="preserve">FA-01-17-A-02</t>
  </si>
  <si>
    <t xml:space="preserve">FA-01-19-A-02</t>
  </si>
  <si>
    <t xml:space="preserve">FA-01-21-A-02</t>
  </si>
  <si>
    <t xml:space="preserve">FA-01-23-A-02</t>
  </si>
  <si>
    <t xml:space="preserve">FA-01-27-A-01</t>
  </si>
  <si>
    <t xml:space="preserve">FA-01-27-A-02</t>
  </si>
  <si>
    <t xml:space="preserve">FA-01-29-A-02</t>
  </si>
  <si>
    <t xml:space="preserve">FA-01-31-A-02</t>
  </si>
  <si>
    <t xml:space="preserve">FA-01-33-A-02</t>
  </si>
  <si>
    <t xml:space="preserve">FC-PB-20-A-01</t>
  </si>
  <si>
    <t xml:space="preserve">FA-01-17-B-02</t>
  </si>
  <si>
    <t xml:space="preserve">FA-01-15-B-02</t>
  </si>
  <si>
    <t xml:space="preserve">FC-PB-06-B-01</t>
  </si>
  <si>
    <t xml:space="preserve">FC-PB-23-B-01</t>
  </si>
  <si>
    <t xml:space="preserve">FC-PB-15-A-01</t>
  </si>
  <si>
    <t xml:space="preserve">FC-PB-05-A-01</t>
  </si>
  <si>
    <t xml:space="preserve">FA-01-29-B-01</t>
  </si>
  <si>
    <t xml:space="preserve">FA-01-27-B-01</t>
  </si>
  <si>
    <t xml:space="preserve">FC-PB-11-A-01</t>
  </si>
  <si>
    <t xml:space="preserve">1329001644</t>
  </si>
  <si>
    <t xml:space="preserve">FC-PB-04-B-01</t>
  </si>
  <si>
    <t xml:space="preserve">FC-PB-11-B-01</t>
  </si>
  <si>
    <t xml:space="preserve">FC-PB-08-B-01</t>
  </si>
  <si>
    <t xml:space="preserve">FC-PB-07-B-01</t>
  </si>
  <si>
    <t xml:space="preserve">FA-01-21-B-02</t>
  </si>
  <si>
    <t xml:space="preserve">100011218</t>
  </si>
  <si>
    <t xml:space="preserve">100011208</t>
  </si>
  <si>
    <t xml:space="preserve">FA-01-29-B-02</t>
  </si>
  <si>
    <t xml:space="preserve">100009359</t>
  </si>
  <si>
    <t xml:space="preserve">FA-02-10-A-01</t>
  </si>
  <si>
    <t xml:space="preserve">1329001675</t>
  </si>
  <si>
    <t xml:space="preserve">FC-PB-13-C-01</t>
  </si>
  <si>
    <t xml:space="preserve">FA-02-28-A-01</t>
  </si>
  <si>
    <t xml:space="preserve">FA-02-26-A-01</t>
  </si>
  <si>
    <t xml:space="preserve">FA-02-33-B-02</t>
  </si>
  <si>
    <t xml:space="preserve">FA-02-18-A-02</t>
  </si>
  <si>
    <t xml:space="preserve">FA-02-16-A-02</t>
  </si>
  <si>
    <t xml:space="preserve">FA-02-24-A-01</t>
  </si>
  <si>
    <t xml:space="preserve">FA-02-14-A-01</t>
  </si>
  <si>
    <t xml:space="preserve">FA-02-12-A-01</t>
  </si>
  <si>
    <t xml:space="preserve">FA-02-34-A-01</t>
  </si>
  <si>
    <t xml:space="preserve">153000024</t>
  </si>
  <si>
    <t xml:space="preserve">400459</t>
  </si>
  <si>
    <t xml:space="preserve">FA-02-30-A-01</t>
  </si>
  <si>
    <t xml:space="preserve">153000023</t>
  </si>
  <si>
    <t xml:space="preserve">FA-02-28-A-02</t>
  </si>
  <si>
    <t xml:space="preserve">FA-02-26-A-02</t>
  </si>
  <si>
    <t xml:space="preserve">FA-02-24-A-02</t>
  </si>
  <si>
    <t xml:space="preserve">FA-02-22-A-02</t>
  </si>
  <si>
    <t xml:space="preserve">FA-02-33-B-01</t>
  </si>
  <si>
    <t xml:space="preserve">FA-02-18-A-01</t>
  </si>
  <si>
    <t xml:space="preserve">FA-02-16-A-01</t>
  </si>
  <si>
    <t xml:space="preserve">FA-02-14-A-02</t>
  </si>
  <si>
    <t xml:space="preserve">FA-02-12-A-02</t>
  </si>
  <si>
    <t xml:space="preserve">FA-02-10-A-02</t>
  </si>
  <si>
    <t xml:space="preserve">FA-02-08-A-02</t>
  </si>
  <si>
    <t xml:space="preserve">FA-02-08-A-01</t>
  </si>
  <si>
    <t xml:space="preserve">FA-02-06-B-01</t>
  </si>
  <si>
    <t xml:space="preserve">FA-02-06-A-01</t>
  </si>
  <si>
    <t xml:space="preserve">FA-02-06-A-02</t>
  </si>
  <si>
    <t xml:space="preserve">FA-01-28-A-01</t>
  </si>
  <si>
    <t xml:space="preserve">FA-01-26-A-01</t>
  </si>
  <si>
    <t xml:space="preserve">FA-01-24-A-02</t>
  </si>
  <si>
    <t xml:space="preserve">FA-01-22-A-01</t>
  </si>
  <si>
    <t xml:space="preserve">FA-01-20-A-02</t>
  </si>
  <si>
    <t xml:space="preserve">FA-01-18-A-02</t>
  </si>
  <si>
    <t xml:space="preserve">FA-01-14-A-01</t>
  </si>
  <si>
    <t xml:space="preserve">Allocated</t>
  </si>
  <si>
    <t xml:space="preserve">401072</t>
  </si>
  <si>
    <t xml:space="preserve">FC-PB-24-C-01</t>
  </si>
  <si>
    <t xml:space="preserve">153000031</t>
  </si>
  <si>
    <t xml:space="preserve">FA-01-26-B-01</t>
  </si>
  <si>
    <t xml:space="preserve">FA-02-24-B-01</t>
  </si>
  <si>
    <t xml:space="preserve">153000027</t>
  </si>
  <si>
    <t xml:space="preserve">FA-02-22-B-02</t>
  </si>
  <si>
    <t xml:space="preserve">FA-02-22-B-01</t>
  </si>
  <si>
    <t xml:space="preserve">FA-02-20-B-02</t>
  </si>
  <si>
    <t xml:space="preserve">FA-02-20-A-01</t>
  </si>
  <si>
    <t xml:space="preserve">FA-02-15-B-02</t>
  </si>
  <si>
    <t xml:space="preserve">FA-02-15-B-01</t>
  </si>
  <si>
    <t xml:space="preserve">FA-02-13-B-02</t>
  </si>
  <si>
    <t xml:space="preserve">FA-02-13-B-01</t>
  </si>
  <si>
    <t xml:space="preserve">FA-02-11-B-02</t>
  </si>
  <si>
    <t xml:space="preserve">FA-02-11-B-01</t>
  </si>
  <si>
    <t xml:space="preserve">FA-02-09-B-02</t>
  </si>
  <si>
    <t xml:space="preserve">FA-02-09-B-01</t>
  </si>
  <si>
    <t xml:space="preserve">FA-02-07-B-01</t>
  </si>
  <si>
    <t xml:space="preserve">FA-02-07-B-02</t>
  </si>
  <si>
    <t xml:space="preserve">FA-02-23-B-01</t>
  </si>
  <si>
    <t xml:space="preserve">FA-02-21-B-02</t>
  </si>
  <si>
    <t xml:space="preserve">FA-02-21-B-01</t>
  </si>
  <si>
    <t xml:space="preserve">FA-02-08-B-01</t>
  </si>
  <si>
    <t xml:space="preserve">FA-02-12-B-02</t>
  </si>
  <si>
    <t xml:space="preserve">FA-02-18-B-01</t>
  </si>
  <si>
    <t xml:space="preserve">FA-02-16-B-02</t>
  </si>
  <si>
    <t xml:space="preserve">FA-02-14-B-02</t>
  </si>
  <si>
    <t xml:space="preserve">FA-02-19-B-02</t>
  </si>
  <si>
    <t xml:space="preserve">FA-02-17-B-01</t>
  </si>
  <si>
    <t xml:space="preserve">FA-01-34-B-01</t>
  </si>
  <si>
    <t xml:space="preserve">FA-01-32-B-01</t>
  </si>
  <si>
    <t xml:space="preserve">FA-01-30-B-01</t>
  </si>
  <si>
    <t xml:space="preserve">FA-01-28-B-01</t>
  </si>
  <si>
    <t xml:space="preserve">FA-02-25-D-01</t>
  </si>
  <si>
    <t xml:space="preserve">FA-02-23-D-02</t>
  </si>
  <si>
    <t xml:space="preserve">FA-02-25-D-02</t>
  </si>
  <si>
    <t xml:space="preserve">400535</t>
  </si>
  <si>
    <t xml:space="preserve">FC-PB-01-C-01</t>
  </si>
  <si>
    <t xml:space="preserve">153000047</t>
  </si>
  <si>
    <t xml:space="preserve">FA-02-29-D-02</t>
  </si>
  <si>
    <t xml:space="preserve">FA-02-29-E-02</t>
  </si>
  <si>
    <t xml:space="preserve">FA-02-21-C-02</t>
  </si>
  <si>
    <t xml:space="preserve">FA-02-24-C-01</t>
  </si>
  <si>
    <t xml:space="preserve">FA-02-19-C-02</t>
  </si>
  <si>
    <t xml:space="preserve">FA-02-20-C-02</t>
  </si>
  <si>
    <t xml:space="preserve">FA-02-18-C-02</t>
  </si>
  <si>
    <t xml:space="preserve">FA-02-18-C-01</t>
  </si>
  <si>
    <t xml:space="preserve">FA-02-15-C-02</t>
  </si>
  <si>
    <t xml:space="preserve">FA-02-16-C-02</t>
  </si>
  <si>
    <t xml:space="preserve">FA-02-15-C-01</t>
  </si>
  <si>
    <t xml:space="preserve">FA-02-16-D-01</t>
  </si>
  <si>
    <t xml:space="preserve">FA-02-11-C-02</t>
  </si>
  <si>
    <t xml:space="preserve">FA-02-09-D-02</t>
  </si>
  <si>
    <t xml:space="preserve">FA-02-07-D-01</t>
  </si>
  <si>
    <t xml:space="preserve">FA-02-07-E-01</t>
  </si>
  <si>
    <t xml:space="preserve">FA-02-29-C-01</t>
  </si>
  <si>
    <t xml:space="preserve">FA-02-33-C-01</t>
  </si>
  <si>
    <t xml:space="preserve">FA-02-31-C-02</t>
  </si>
  <si>
    <t xml:space="preserve">FC-PB-21-A-01</t>
  </si>
  <si>
    <t xml:space="preserve">FC-PB-21-B-01</t>
  </si>
  <si>
    <t xml:space="preserve">600001029</t>
  </si>
  <si>
    <t xml:space="preserve">FC-PB-20-B-01</t>
  </si>
  <si>
    <t xml:space="preserve">FC-PB-22-B-01</t>
  </si>
  <si>
    <t xml:space="preserve">FA-01-18-B-01</t>
  </si>
  <si>
    <t xml:space="preserve">600001001</t>
  </si>
  <si>
    <t xml:space="preserve">FA-01-20-B-02</t>
  </si>
  <si>
    <t xml:space="preserve">FA-01-20-B-01</t>
  </si>
  <si>
    <t xml:space="preserve">FA-01-22-B-01</t>
  </si>
  <si>
    <t xml:space="preserve">FA-01-18-C-02</t>
  </si>
  <si>
    <t xml:space="preserve">FA-01-20-C-01</t>
  </si>
  <si>
    <t xml:space="preserve">FA-01-20-D-01</t>
  </si>
  <si>
    <t xml:space="preserve">FA-01-19-C-01</t>
  </si>
  <si>
    <t xml:space="preserve">FC-PB-05-C-01</t>
  </si>
  <si>
    <t xml:space="preserve">FA-01-17-C-02</t>
  </si>
  <si>
    <t xml:space="preserve">FA-01-21-C-01</t>
  </si>
  <si>
    <t xml:space="preserve">FA-01-14-C-02</t>
  </si>
  <si>
    <t xml:space="preserve">FA-01-16-C-02</t>
  </si>
  <si>
    <t xml:space="preserve">FA-01-09-D-01</t>
  </si>
  <si>
    <t xml:space="preserve">FA-02-32-C-01</t>
  </si>
  <si>
    <t xml:space="preserve">1329001645</t>
  </si>
  <si>
    <t xml:space="preserve">FA-02-34-C-02</t>
  </si>
  <si>
    <t xml:space="preserve">950001221</t>
  </si>
  <si>
    <t xml:space="preserve">FC-PB-08-C-01</t>
  </si>
  <si>
    <t xml:space="preserve">FC-PB-07-C-01</t>
  </si>
  <si>
    <t xml:space="preserve">153000067</t>
  </si>
  <si>
    <t xml:space="preserve">FC-PB-19-C-01</t>
  </si>
  <si>
    <t xml:space="preserve">FA-01-36-A-02</t>
  </si>
  <si>
    <t xml:space="preserve">FA-01-36-A-01</t>
  </si>
  <si>
    <t xml:space="preserve">FA-01-13-B-01</t>
  </si>
  <si>
    <t xml:space="preserve">FA-02-19-D-02</t>
  </si>
  <si>
    <t xml:space="preserve">100005205</t>
  </si>
  <si>
    <t xml:space="preserve">FA-01-05-E-01</t>
  </si>
  <si>
    <t xml:space="preserve">100010208</t>
  </si>
  <si>
    <t xml:space="preserve">FA-02-21-D-02</t>
  </si>
  <si>
    <t xml:space="preserve">100004988</t>
  </si>
  <si>
    <t xml:space="preserve">FC-PB-21-C-01</t>
  </si>
  <si>
    <t xml:space="preserve">153000081</t>
  </si>
  <si>
    <t xml:space="preserve">FC-PB-23-C-01</t>
  </si>
  <si>
    <t xml:space="preserve">FC-PB-22-C-01</t>
  </si>
  <si>
    <t xml:space="preserve">FC-PB-12-C-01</t>
  </si>
  <si>
    <t xml:space="preserve">153000094</t>
  </si>
  <si>
    <t xml:space="preserve">1329001694</t>
  </si>
  <si>
    <t xml:space="preserve">JR00047710</t>
  </si>
  <si>
    <t xml:space="preserve">FBB1102</t>
  </si>
  <si>
    <t xml:space="preserve">Frozen Beef Topside Brazil Friboi</t>
  </si>
  <si>
    <t xml:space="preserve">MWIN01033</t>
  </si>
  <si>
    <t xml:space="preserve">A0-AA-20-C-02</t>
  </si>
  <si>
    <t xml:space="preserve">JR00054021</t>
  </si>
  <si>
    <t xml:space="preserve">FBB1110</t>
  </si>
  <si>
    <t xml:space="preserve">FROZEN BEEF TENDERLOIN 5LB UP CHAIN ON</t>
  </si>
  <si>
    <t xml:space="preserve">RIYINT01314</t>
  </si>
  <si>
    <t xml:space="preserve">A0-AB-11-A-01</t>
  </si>
  <si>
    <t xml:space="preserve">JR00056701</t>
  </si>
  <si>
    <t xml:space="preserve">FBB1111</t>
  </si>
  <si>
    <t xml:space="preserve">FROZEN BEEF TENDERLOIN 4/5LB CHAIN ON</t>
  </si>
  <si>
    <t xml:space="preserve">SHRM00004981</t>
  </si>
  <si>
    <t xml:space="preserve">A0-AA-19-E-01</t>
  </si>
  <si>
    <t xml:space="preserve">JR00056526</t>
  </si>
  <si>
    <t xml:space="preserve">MWIN01293</t>
  </si>
  <si>
    <t xml:space="preserve">A0-AB-18-A-03</t>
  </si>
  <si>
    <t xml:space="preserve">JR00051898</t>
  </si>
  <si>
    <t xml:space="preserve">Aqua Carpatica Mineral Water 330ml Glass</t>
  </si>
  <si>
    <t xml:space="preserve">1936E</t>
  </si>
  <si>
    <t xml:space="preserve">MWIN01241</t>
  </si>
  <si>
    <t xml:space="preserve">F-G-39-A-01</t>
  </si>
  <si>
    <t xml:space="preserve">JR00051794</t>
  </si>
  <si>
    <t xml:space="preserve">Flavoil Hi-Oleic Sunflower Oil -Cooking Oil- jerrycan 20L</t>
  </si>
  <si>
    <t xml:space="preserve">L250</t>
  </si>
  <si>
    <t xml:space="preserve">MWIN01201</t>
  </si>
  <si>
    <t xml:space="preserve">JR00055753</t>
  </si>
  <si>
    <t xml:space="preserve">MWIN01210</t>
  </si>
  <si>
    <t xml:space="preserve">A0-AB-09-B-03</t>
  </si>
  <si>
    <t xml:space="preserve">JR00060126</t>
  </si>
  <si>
    <t xml:space="preserve">MWIN01213</t>
  </si>
  <si>
    <t xml:space="preserve">A0-AB-09-D-03</t>
  </si>
  <si>
    <t xml:space="preserve">JR00051814</t>
  </si>
  <si>
    <t xml:space="preserve">L255</t>
  </si>
  <si>
    <t xml:space="preserve">MWIN01215</t>
  </si>
  <si>
    <t xml:space="preserve">JR00051827</t>
  </si>
  <si>
    <t xml:space="preserve">JR00056535</t>
  </si>
  <si>
    <t xml:space="preserve">A0-AA-06-A-01</t>
  </si>
  <si>
    <t xml:space="preserve">JR00051818</t>
  </si>
  <si>
    <t xml:space="preserve">C-A-20-A-01</t>
  </si>
  <si>
    <t xml:space="preserve">JR00054723</t>
  </si>
  <si>
    <t xml:space="preserve">MWIN01211</t>
  </si>
  <si>
    <t xml:space="preserve">A0-AA-20-B-01</t>
  </si>
  <si>
    <t xml:space="preserve">JR00055746</t>
  </si>
  <si>
    <t xml:space="preserve">A0-AB-04-A-03</t>
  </si>
  <si>
    <t xml:space="preserve">JR00055772</t>
  </si>
  <si>
    <t xml:space="preserve">A0-AA-07-A-03</t>
  </si>
  <si>
    <t xml:space="preserve">JR00055770</t>
  </si>
  <si>
    <t xml:space="preserve">A0-AA-07-A-01</t>
  </si>
  <si>
    <t xml:space="preserve">JR00055769</t>
  </si>
  <si>
    <t xml:space="preserve">A0-AA-11-A-03</t>
  </si>
  <si>
    <t xml:space="preserve">JR00055767</t>
  </si>
  <si>
    <t xml:space="preserve">A0-AA-09-A-03</t>
  </si>
  <si>
    <t xml:space="preserve">JR00055766</t>
  </si>
  <si>
    <t xml:space="preserve">A0-AA-11-A-01</t>
  </si>
  <si>
    <t xml:space="preserve">JR00055765</t>
  </si>
  <si>
    <t xml:space="preserve">A0-AA-13-A-01</t>
  </si>
  <si>
    <t xml:space="preserve">JR00055761</t>
  </si>
  <si>
    <t xml:space="preserve">JR00055758</t>
  </si>
  <si>
    <t xml:space="preserve">A0-AA-10-A-01</t>
  </si>
  <si>
    <t xml:space="preserve">JR00055757</t>
  </si>
  <si>
    <t xml:space="preserve">A0-AA-12-A-01</t>
  </si>
  <si>
    <t xml:space="preserve">JR00055756</t>
  </si>
  <si>
    <t xml:space="preserve">A0-AA-10-A-03</t>
  </si>
  <si>
    <t xml:space="preserve">JR00055749</t>
  </si>
  <si>
    <t xml:space="preserve">JR00055745</t>
  </si>
  <si>
    <t xml:space="preserve">A0-AA-03-A-03</t>
  </si>
  <si>
    <t xml:space="preserve">JR00055743</t>
  </si>
  <si>
    <t xml:space="preserve">A0-AA-13-A-03</t>
  </si>
  <si>
    <t xml:space="preserve">JR00054725</t>
  </si>
  <si>
    <t xml:space="preserve">JR00054724</t>
  </si>
  <si>
    <t xml:space="preserve">JR00060124</t>
  </si>
  <si>
    <t xml:space="preserve">A0-AB-11-E-01</t>
  </si>
  <si>
    <t xml:space="preserve">JR00054747</t>
  </si>
  <si>
    <t xml:space="preserve">JR00054742</t>
  </si>
  <si>
    <t xml:space="preserve">JR00054741</t>
  </si>
  <si>
    <t xml:space="preserve">JR00054740</t>
  </si>
  <si>
    <t xml:space="preserve">JR00054739</t>
  </si>
  <si>
    <t xml:space="preserve">JR00054738</t>
  </si>
  <si>
    <t xml:space="preserve">JR00054737</t>
  </si>
  <si>
    <t xml:space="preserve">JR00054734</t>
  </si>
  <si>
    <t xml:space="preserve">JR00054733</t>
  </si>
  <si>
    <t xml:space="preserve">JR00054731</t>
  </si>
  <si>
    <t xml:space="preserve">JR00054728</t>
  </si>
  <si>
    <t xml:space="preserve">JR00054727</t>
  </si>
  <si>
    <t xml:space="preserve">JR00054726</t>
  </si>
  <si>
    <t xml:space="preserve">JR00054721</t>
  </si>
  <si>
    <t xml:space="preserve">JR00054850</t>
  </si>
  <si>
    <t xml:space="preserve">JR00054749</t>
  </si>
  <si>
    <t xml:space="preserve">JR00054748</t>
  </si>
  <si>
    <t xml:space="preserve">A0-AA-20-C-01</t>
  </si>
  <si>
    <t xml:space="preserve">JR00054746</t>
  </si>
  <si>
    <t xml:space="preserve">JR00054745</t>
  </si>
  <si>
    <t xml:space="preserve">JR00054744</t>
  </si>
  <si>
    <t xml:space="preserve">JR00054743</t>
  </si>
  <si>
    <t xml:space="preserve">JR00054736</t>
  </si>
  <si>
    <t xml:space="preserve">JR00054732</t>
  </si>
  <si>
    <t xml:space="preserve">JR00054730</t>
  </si>
  <si>
    <t xml:space="preserve">JR00054729</t>
  </si>
  <si>
    <t xml:space="preserve">JR00054722</t>
  </si>
  <si>
    <t xml:space="preserve">JR00056532</t>
  </si>
  <si>
    <t xml:space="preserve">A0-AA-14-A-03</t>
  </si>
  <si>
    <t xml:space="preserve">JR00056533</t>
  </si>
  <si>
    <t xml:space="preserve">JR00053641</t>
  </si>
  <si>
    <t xml:space="preserve">Whole Peeled Tomatoes 6X2.5 kg</t>
  </si>
  <si>
    <t xml:space="preserve">DFF1R213</t>
  </si>
  <si>
    <t xml:space="preserve">MWIN01275</t>
  </si>
  <si>
    <t xml:space="preserve">Cases</t>
  </si>
  <si>
    <t xml:space="preserve">JR00060114</t>
  </si>
  <si>
    <t xml:space="preserve">A0-AB-10-A-03</t>
  </si>
  <si>
    <t xml:space="preserve">JR00056522</t>
  </si>
  <si>
    <t xml:space="preserve">JR00060113</t>
  </si>
  <si>
    <t xml:space="preserve">A0-AA-10-D-03</t>
  </si>
  <si>
    <t xml:space="preserve">JR00060112</t>
  </si>
  <si>
    <t xml:space="preserve">A0-AB-08-C-01</t>
  </si>
  <si>
    <t xml:space="preserve">JR00056545</t>
  </si>
  <si>
    <t xml:space="preserve">A0-AA-11-B-01</t>
  </si>
  <si>
    <t xml:space="preserve">JR00061447</t>
  </si>
  <si>
    <t xml:space="preserve">FBA1106</t>
  </si>
  <si>
    <t xml:space="preserve">Frozen Black Angus Ground Beef Australia Jacks creek</t>
  </si>
  <si>
    <t xml:space="preserve">DAMINT00929A</t>
  </si>
  <si>
    <t xml:space="preserve">A0-AA-09-B-03</t>
  </si>
  <si>
    <t xml:space="preserve">JR00060119</t>
  </si>
  <si>
    <t xml:space="preserve">A0-AB-04-B-01</t>
  </si>
  <si>
    <t xml:space="preserve">JR00060129</t>
  </si>
  <si>
    <t xml:space="preserve">A0-AB-06-C-01</t>
  </si>
  <si>
    <t xml:space="preserve">JR00060128</t>
  </si>
  <si>
    <t xml:space="preserve">A0-AB-12-A-01</t>
  </si>
  <si>
    <t xml:space="preserve">JR00060130</t>
  </si>
  <si>
    <t xml:space="preserve">A0-AB-09-A-01</t>
  </si>
  <si>
    <t xml:space="preserve">JR00060108</t>
  </si>
  <si>
    <t xml:space="preserve">A0-AA-07-D-03</t>
  </si>
  <si>
    <t xml:space="preserve">JR00061441</t>
  </si>
  <si>
    <t xml:space="preserve">JR00060127</t>
  </si>
  <si>
    <t xml:space="preserve">A0-AB-14-B-01</t>
  </si>
  <si>
    <t xml:space="preserve">JR00060111</t>
  </si>
  <si>
    <t xml:space="preserve">A0-AB-10-B-01</t>
  </si>
  <si>
    <t xml:space="preserve">JR00060125</t>
  </si>
  <si>
    <t xml:space="preserve">JR00060110</t>
  </si>
  <si>
    <t xml:space="preserve">A0-AA-14-D-01</t>
  </si>
  <si>
    <t xml:space="preserve">JR00060109</t>
  </si>
  <si>
    <t xml:space="preserve">A0-AB-11-E-03</t>
  </si>
  <si>
    <t xml:space="preserve">JR00061448</t>
  </si>
  <si>
    <t xml:space="preserve">JR00059100</t>
  </si>
  <si>
    <t xml:space="preserve">Aqua Carpatica Sparkling Mineral Water 330 Glass</t>
  </si>
  <si>
    <t xml:space="preserve">1827E</t>
  </si>
  <si>
    <t xml:space="preserve">MWIN01342</t>
  </si>
  <si>
    <t xml:space="preserve">Mrashid</t>
  </si>
  <si>
    <t xml:space="preserve">JR00056758</t>
  </si>
  <si>
    <t xml:space="preserve">L45</t>
  </si>
  <si>
    <t xml:space="preserve">MWIN01386</t>
  </si>
  <si>
    <t xml:space="preserve">JF00225498</t>
  </si>
  <si>
    <t xml:space="preserve">L53</t>
  </si>
  <si>
    <t xml:space="preserve">MWIN01388</t>
  </si>
  <si>
    <t xml:space="preserve">JF00225496</t>
  </si>
  <si>
    <t xml:space="preserve">L55</t>
  </si>
  <si>
    <t xml:space="preserve">DA-01-B-02</t>
  </si>
  <si>
    <t xml:space="preserve">JF00225778</t>
  </si>
  <si>
    <t xml:space="preserve">JF00225777</t>
  </si>
  <si>
    <t xml:space="preserve">JF00225499</t>
  </si>
  <si>
    <t xml:space="preserve">JF00225497</t>
  </si>
  <si>
    <t xml:space="preserve">JR00056721</t>
  </si>
  <si>
    <t xml:space="preserve">L65</t>
  </si>
  <si>
    <t xml:space="preserve">MWIN01455</t>
  </si>
  <si>
    <t xml:space="preserve">JR00062715</t>
  </si>
  <si>
    <t xml:space="preserve">Aqua Carpatica Sparkling Mineral Water 750 Glass</t>
  </si>
  <si>
    <t xml:space="preserve">MWIN01446</t>
  </si>
  <si>
    <t xml:space="preserve">mohassan</t>
  </si>
  <si>
    <t xml:space="preserve">JR00062716-6257840</t>
  </si>
  <si>
    <t xml:space="preserve">0JF00230036</t>
  </si>
  <si>
    <t xml:space="preserve">JF00230036-6257887</t>
  </si>
  <si>
    <t xml:space="preserve">JF00230036</t>
  </si>
  <si>
    <t xml:space="preserve">JR00036802</t>
  </si>
  <si>
    <t xml:space="preserve">Balsamic Vinegar Of Modena-2 MEDAGLIE CHAMPAGNOTTA 25O ML</t>
  </si>
  <si>
    <t xml:space="preserve">writeoff</t>
  </si>
  <si>
    <t xml:space="preserve">DAMINT00150</t>
  </si>
  <si>
    <t xml:space="preserve">JR00036524</t>
  </si>
  <si>
    <t xml:space="preserve">Balsamic Vinegar Of Modena-BORDOLESE 500 ML</t>
  </si>
  <si>
    <t xml:space="preserve">JED-OUT-02822</t>
  </si>
  <si>
    <t xml:space="preserve">F-H-44-A-05</t>
  </si>
  <si>
    <t xml:space="preserve">JR00056821</t>
  </si>
  <si>
    <t xml:space="preserve">Stealth Pkg  885  Commercial   240V  Type G  Black  No Jars</t>
  </si>
  <si>
    <t xml:space="preserve">SHRM00000222</t>
  </si>
  <si>
    <t xml:space="preserve">JR00056825</t>
  </si>
  <si>
    <t xml:space="preserve">A103</t>
  </si>
  <si>
    <t xml:space="preserve">Sweetbird Jigger</t>
  </si>
  <si>
    <t xml:space="preserve">P00120</t>
  </si>
  <si>
    <t xml:space="preserve">F-H-44-A-01</t>
  </si>
  <si>
    <t xml:space="preserve">JR00036583</t>
  </si>
  <si>
    <t xml:space="preserve">Connoisseur Pkg  825   Commercial  240V  Type G  2FS    SL  Black  UK</t>
  </si>
  <si>
    <t xml:space="preserve">MWIN00134</t>
  </si>
  <si>
    <t xml:space="preserve">C-A-38-A-03</t>
  </si>
  <si>
    <t xml:space="preserve">JR00056816</t>
  </si>
  <si>
    <t xml:space="preserve">A101</t>
  </si>
  <si>
    <t xml:space="preserve">Sweetbird Cocktail Strainer</t>
  </si>
  <si>
    <t xml:space="preserve">MWIN00170</t>
  </si>
  <si>
    <t xml:space="preserve">F-H-42-A-02</t>
  </si>
  <si>
    <t xml:space="preserve">JR00056817</t>
  </si>
  <si>
    <t xml:space="preserve">A104</t>
  </si>
  <si>
    <t xml:space="preserve">Sweetbird Copper Spoon</t>
  </si>
  <si>
    <t xml:space="preserve">JR00056822</t>
  </si>
  <si>
    <t xml:space="preserve">A106</t>
  </si>
  <si>
    <t xml:space="preserve">Sweetbird Pourer</t>
  </si>
  <si>
    <t xml:space="preserve">JR00036514</t>
  </si>
  <si>
    <t xml:space="preserve">Zuma Organic Matcha Powder 100 Gm</t>
  </si>
  <si>
    <t xml:space="preserve">MWIN00184</t>
  </si>
  <si>
    <t xml:space="preserve">C-A-42-A-02</t>
  </si>
  <si>
    <t xml:space="preserve">JR00036520</t>
  </si>
  <si>
    <t xml:space="preserve">JR00036506</t>
  </si>
  <si>
    <t xml:space="preserve">Aqua Carpatica Mineral Water 750 Ml Glass</t>
  </si>
  <si>
    <t xml:space="preserve">MWIN00322</t>
  </si>
  <si>
    <t xml:space="preserve">C-A-42-A-01</t>
  </si>
  <si>
    <t xml:space="preserve">JR00053418</t>
  </si>
  <si>
    <t xml:space="preserve">MWIN00358</t>
  </si>
  <si>
    <t xml:space="preserve">F-H-44-A-06</t>
  </si>
  <si>
    <t xml:space="preserve">JR00036516</t>
  </si>
  <si>
    <t xml:space="preserve">Sweetbird Iced Tea Syrup 1 Litre</t>
  </si>
  <si>
    <t xml:space="preserve">MWIN00357</t>
  </si>
  <si>
    <t xml:space="preserve">F-H-04-A-05</t>
  </si>
  <si>
    <t xml:space="preserve">JR00053391</t>
  </si>
  <si>
    <t xml:space="preserve">SWEET BABY RAY's ORIGINAL SWEET BBQ SAUCE 4X1 gal</t>
  </si>
  <si>
    <t xml:space="preserve">MWIN00484</t>
  </si>
  <si>
    <t xml:space="preserve">F-H-40-A-02</t>
  </si>
  <si>
    <t xml:space="preserve">JR00036501</t>
  </si>
  <si>
    <t xml:space="preserve">MMS10028</t>
  </si>
  <si>
    <t xml:space="preserve">Potato Spices 6 x 350 gm</t>
  </si>
  <si>
    <t xml:space="preserve">RIYINT00207</t>
  </si>
  <si>
    <t xml:space="preserve">JR00036502</t>
  </si>
  <si>
    <t xml:space="preserve">MMS10026</t>
  </si>
  <si>
    <t xml:space="preserve">Chicken Shawarma 6 x 350 gm</t>
  </si>
  <si>
    <t xml:space="preserve">JR00036504</t>
  </si>
  <si>
    <t xml:space="preserve">MMS10019</t>
  </si>
  <si>
    <t xml:space="preserve">Cumin 6 x 350 gm</t>
  </si>
  <si>
    <t xml:space="preserve">C-A-42-A-04</t>
  </si>
  <si>
    <t xml:space="preserve">JR00036507</t>
  </si>
  <si>
    <t xml:space="preserve">C-A-46-A-01</t>
  </si>
  <si>
    <t xml:space="preserve">JR00036508</t>
  </si>
  <si>
    <t xml:space="preserve">MMS10024</t>
  </si>
  <si>
    <t xml:space="preserve">Clove 6x 350 gm</t>
  </si>
  <si>
    <t xml:space="preserve">F-H-08-D-01</t>
  </si>
  <si>
    <t xml:space="preserve">JR00036510</t>
  </si>
  <si>
    <t xml:space="preserve">JR00036511</t>
  </si>
  <si>
    <t xml:space="preserve">MMS10020</t>
  </si>
  <si>
    <t xml:space="preserve">Turmeric 6 x 350 gm</t>
  </si>
  <si>
    <t xml:space="preserve">F-H-44-A-02</t>
  </si>
  <si>
    <t xml:space="preserve">JR00036512</t>
  </si>
  <si>
    <t xml:space="preserve">MMS10022</t>
  </si>
  <si>
    <t xml:space="preserve">Ground Cinnamon 6 x 350 gm</t>
  </si>
  <si>
    <t xml:space="preserve">C-A-42-A-05</t>
  </si>
  <si>
    <t xml:space="preserve">JR00036515</t>
  </si>
  <si>
    <t xml:space="preserve">MMS10014</t>
  </si>
  <si>
    <t xml:space="preserve">Cold Red Pepper 6 x 350 gm</t>
  </si>
  <si>
    <t xml:space="preserve">JR00036517</t>
  </si>
  <si>
    <t xml:space="preserve">MMS10023</t>
  </si>
  <si>
    <t xml:space="preserve">Cardamon 6 x 350 gm</t>
  </si>
  <si>
    <t xml:space="preserve">JR00036525</t>
  </si>
  <si>
    <t xml:space="preserve">MMS10011</t>
  </si>
  <si>
    <t xml:space="preserve">Ground Black Pepper 6 x 350 gm</t>
  </si>
  <si>
    <t xml:space="preserve">F-H-06-A-03</t>
  </si>
  <si>
    <t xml:space="preserve">JR00036527</t>
  </si>
  <si>
    <t xml:space="preserve">MMS10012</t>
  </si>
  <si>
    <t xml:space="preserve">Ground White Pepper 6 x 350 gm</t>
  </si>
  <si>
    <t xml:space="preserve">JR00036528</t>
  </si>
  <si>
    <t xml:space="preserve">MMS10015</t>
  </si>
  <si>
    <t xml:space="preserve">Smoke Paprika 6 x 350 gm</t>
  </si>
  <si>
    <t xml:space="preserve">F-H-06-A-04</t>
  </si>
  <si>
    <t xml:space="preserve">JR00051724</t>
  </si>
  <si>
    <t xml:space="preserve">MMS10016</t>
  </si>
  <si>
    <t xml:space="preserve">Ground Garlic 6 x 350 gm</t>
  </si>
  <si>
    <t xml:space="preserve">F-G-10-C-02</t>
  </si>
  <si>
    <t xml:space="preserve">JR00053379</t>
  </si>
  <si>
    <t xml:space="preserve">F-H-40-A-03</t>
  </si>
  <si>
    <t xml:space="preserve">JR00053386</t>
  </si>
  <si>
    <t xml:space="preserve">MMS10017</t>
  </si>
  <si>
    <t xml:space="preserve">Ground Onion 6 x 350 gm</t>
  </si>
  <si>
    <t xml:space="preserve">F-H-44-A-04</t>
  </si>
  <si>
    <t xml:space="preserve">JR00053395</t>
  </si>
  <si>
    <t xml:space="preserve">MMS10027</t>
  </si>
  <si>
    <t xml:space="preserve">Fish Spices 6 x 350 gm</t>
  </si>
  <si>
    <t xml:space="preserve">JR00053396</t>
  </si>
  <si>
    <t xml:space="preserve">JR00053413</t>
  </si>
  <si>
    <t xml:space="preserve">JR00053414</t>
  </si>
  <si>
    <t xml:space="preserve">JR00053415</t>
  </si>
  <si>
    <t xml:space="preserve">MMS10013</t>
  </si>
  <si>
    <t xml:space="preserve">Red Chilli Pepper 6 x 350 gm</t>
  </si>
  <si>
    <t xml:space="preserve">JR00053597</t>
  </si>
  <si>
    <t xml:space="preserve">F-H-11-B-01</t>
  </si>
  <si>
    <t xml:space="preserve">JR00053598</t>
  </si>
  <si>
    <t xml:space="preserve">F-G-12-B-03</t>
  </si>
  <si>
    <t xml:space="preserve">JR00053599</t>
  </si>
  <si>
    <t xml:space="preserve">F-G-12-B-01</t>
  </si>
  <si>
    <t xml:space="preserve">JR00056798</t>
  </si>
  <si>
    <t xml:space="preserve">F-H-40-A-05</t>
  </si>
  <si>
    <t xml:space="preserve">JR00056808</t>
  </si>
  <si>
    <t xml:space="preserve">MMS10021</t>
  </si>
  <si>
    <t xml:space="preserve">Ginger 6 x 350 gm</t>
  </si>
  <si>
    <t xml:space="preserve">JR00056827</t>
  </si>
  <si>
    <t xml:space="preserve">F-H-46-A-06</t>
  </si>
  <si>
    <t xml:space="preserve">JR00056828</t>
  </si>
  <si>
    <t xml:space="preserve">JR00056858</t>
  </si>
  <si>
    <t xml:space="preserve">JR00056860</t>
  </si>
  <si>
    <t xml:space="preserve">JR00056865</t>
  </si>
  <si>
    <t xml:space="preserve">JR00056867</t>
  </si>
  <si>
    <t xml:space="preserve">F-H-46-A-04</t>
  </si>
  <si>
    <t xml:space="preserve">JR00056868</t>
  </si>
  <si>
    <t xml:space="preserve">JR00056869</t>
  </si>
  <si>
    <t xml:space="preserve">JR00056870</t>
  </si>
  <si>
    <t xml:space="preserve">MMS10025</t>
  </si>
  <si>
    <t xml:space="preserve">Meat Shawarma 6 x 350 gm</t>
  </si>
  <si>
    <t xml:space="preserve">JR00058986</t>
  </si>
  <si>
    <t xml:space="preserve">F-H-26-D-01</t>
  </si>
  <si>
    <t xml:space="preserve">JF00143368</t>
  </si>
  <si>
    <t xml:space="preserve">MWIN00682</t>
  </si>
  <si>
    <t xml:space="preserve">F-H-10-A-02</t>
  </si>
  <si>
    <t xml:space="preserve">JR00053405</t>
  </si>
  <si>
    <t xml:space="preserve">ZUMA WHITE CHOCOLATE FLAVOUR SOUCE 1.9 Litre</t>
  </si>
  <si>
    <t xml:space="preserve">MWIN00480</t>
  </si>
  <si>
    <t xml:space="preserve">JR00056874</t>
  </si>
  <si>
    <t xml:space="preserve">JR00056879</t>
  </si>
  <si>
    <t xml:space="preserve">JR00036522</t>
  </si>
  <si>
    <t xml:space="preserve">Zuma Caramel Flavor Sauce 1.9 Litre</t>
  </si>
  <si>
    <t xml:space="preserve">MWIN00479</t>
  </si>
  <si>
    <t xml:space="preserve">F-H-04-A-03</t>
  </si>
  <si>
    <t xml:space="preserve">JR00036538</t>
  </si>
  <si>
    <t xml:space="preserve">MWIN00769</t>
  </si>
  <si>
    <t xml:space="preserve">F-H-06-A-02</t>
  </si>
  <si>
    <t xml:space="preserve">JR00036761</t>
  </si>
  <si>
    <t xml:space="preserve">FFV1101</t>
  </si>
  <si>
    <t xml:space="preserve">Frozen Fish Fillet 3 pcs</t>
  </si>
  <si>
    <t xml:space="preserve">WRITEON12122024F</t>
  </si>
  <si>
    <t xml:space="preserve">A0-AA-18-A-03</t>
  </si>
  <si>
    <t xml:space="preserve">JR00036509</t>
  </si>
  <si>
    <t xml:space="preserve">Sweetbird Mocha Frappe (4x1kg bags)</t>
  </si>
  <si>
    <t xml:space="preserve">MWIN00782</t>
  </si>
  <si>
    <t xml:space="preserve">JR00036794</t>
  </si>
  <si>
    <t xml:space="preserve">Sweetbird Sticky Toffee Frappe (4x1kg bags)</t>
  </si>
  <si>
    <t xml:space="preserve">F-H-08-A-05</t>
  </si>
  <si>
    <t xml:space="preserve">JR00036800</t>
  </si>
  <si>
    <t xml:space="preserve">Inetnso Forte - 1Kg</t>
  </si>
  <si>
    <t xml:space="preserve">RIYINT00449</t>
  </si>
  <si>
    <t xml:space="preserve">JR00036801</t>
  </si>
  <si>
    <t xml:space="preserve">JR00036523</t>
  </si>
  <si>
    <t xml:space="preserve">KAISER PEPPER JALAPENO SLI 4X1 Gal</t>
  </si>
  <si>
    <t xml:space="preserve">WRITEON30122024</t>
  </si>
  <si>
    <t xml:space="preserve">JR00036505</t>
  </si>
  <si>
    <t xml:space="preserve">Sweetbird Lemonade Syrup 1 Litre</t>
  </si>
  <si>
    <t xml:space="preserve">MWIN00776</t>
  </si>
  <si>
    <t xml:space="preserve">JR00036519</t>
  </si>
  <si>
    <t xml:space="preserve">Sweetbird Blueberry Syrup 1 Litre</t>
  </si>
  <si>
    <t xml:space="preserve">JR00036526</t>
  </si>
  <si>
    <t xml:space="preserve">Sweetbird Peach Syrup 1 Litre</t>
  </si>
  <si>
    <t xml:space="preserve">JR00036534</t>
  </si>
  <si>
    <t xml:space="preserve">Sweetbird Raspberry Syrup 1 Litre</t>
  </si>
  <si>
    <t xml:space="preserve">F-H-06-A-06</t>
  </si>
  <si>
    <t xml:space="preserve">JR00036518</t>
  </si>
  <si>
    <t xml:space="preserve">LAWRY'S SEASONED SALT 4X 5 lb (2.26KG)</t>
  </si>
  <si>
    <t xml:space="preserve">SHRM00003222</t>
  </si>
  <si>
    <t xml:space="preserve">C-A-40-A-05</t>
  </si>
  <si>
    <t xml:space="preserve">JR00036503</t>
  </si>
  <si>
    <t xml:space="preserve">Sysco Cheese Sauce</t>
  </si>
  <si>
    <t xml:space="preserve">MWIN00891</t>
  </si>
  <si>
    <t xml:space="preserve">JR00043958</t>
  </si>
  <si>
    <t xml:space="preserve">C-A-40-A-02</t>
  </si>
  <si>
    <t xml:space="preserve">JR00036537</t>
  </si>
  <si>
    <t xml:space="preserve">F-H-06-A-05</t>
  </si>
  <si>
    <t xml:space="preserve">JR00036521</t>
  </si>
  <si>
    <t xml:space="preserve">SYSCO IMPERIAL SEASONING CHICKEN MONTREAL 6X23 oz</t>
  </si>
  <si>
    <t xml:space="preserve">C-A-40-A-06</t>
  </si>
  <si>
    <t xml:space="preserve">JR00036529</t>
  </si>
  <si>
    <t xml:space="preserve">JR00036531</t>
  </si>
  <si>
    <t xml:space="preserve">KRAFT A.1 STEAK SAUCE KRAFT 12x10 oz</t>
  </si>
  <si>
    <t xml:space="preserve">JR00036535</t>
  </si>
  <si>
    <t xml:space="preserve">SYSCO IMPERIAL SEASONING CAJUN 6X18 oz</t>
  </si>
  <si>
    <t xml:space="preserve">JR00036536</t>
  </si>
  <si>
    <t xml:space="preserve">JR00034231</t>
  </si>
  <si>
    <t xml:space="preserve">French Fries Straight Cut 9x9 (4x2.5KG) Grade A</t>
  </si>
  <si>
    <t xml:space="preserve">MWIN00809</t>
  </si>
  <si>
    <t xml:space="preserve">A0-AA-15-A-03</t>
  </si>
  <si>
    <t xml:space="preserve">JR00048733</t>
  </si>
  <si>
    <t xml:space="preserve">7394376-62164-2</t>
  </si>
  <si>
    <t xml:space="preserve">Oatly Oat Drink Barista 6x1L</t>
  </si>
  <si>
    <t xml:space="preserve">MWIN00678</t>
  </si>
  <si>
    <t xml:space="preserve">Zahmed</t>
  </si>
  <si>
    <t xml:space="preserve">C-A-02-A-02</t>
  </si>
  <si>
    <t xml:space="preserve">JR00035164</t>
  </si>
  <si>
    <t xml:space="preserve">MWIN00914</t>
  </si>
  <si>
    <t xml:space="preserve">JR00035167</t>
  </si>
  <si>
    <t xml:space="preserve">A0-AA-12-A-03</t>
  </si>
  <si>
    <t xml:space="preserve">JR00035169</t>
  </si>
  <si>
    <t xml:space="preserve">JR00035103</t>
  </si>
  <si>
    <t xml:space="preserve">SHRM00003301</t>
  </si>
  <si>
    <t xml:space="preserve">C-A-38-A-06</t>
  </si>
  <si>
    <t xml:space="preserve">JR00035201</t>
  </si>
  <si>
    <t xml:space="preserve">Rosanna Whole Peeled Tomatoes 24X400g	</t>
  </si>
  <si>
    <t xml:space="preserve">MWIN00730</t>
  </si>
  <si>
    <t xml:space="preserve">C-B-30-A-03</t>
  </si>
  <si>
    <t xml:space="preserve">JR00035202</t>
  </si>
  <si>
    <t xml:space="preserve">C-B-27-A-01</t>
  </si>
  <si>
    <t xml:space="preserve">JR00035204</t>
  </si>
  <si>
    <t xml:space="preserve">F-G-40-A-03</t>
  </si>
  <si>
    <t xml:space="preserve">JR00035206</t>
  </si>
  <si>
    <t xml:space="preserve">F-G-34-A-03</t>
  </si>
  <si>
    <t xml:space="preserve">JR00035207</t>
  </si>
  <si>
    <t xml:space="preserve">F-H-20-A-01</t>
  </si>
  <si>
    <t xml:space="preserve">JR00035208</t>
  </si>
  <si>
    <t xml:space="preserve">F-H-09-A-03</t>
  </si>
  <si>
    <t xml:space="preserve">JR00035209</t>
  </si>
  <si>
    <t xml:space="preserve">C-B-24-A-03</t>
  </si>
  <si>
    <t xml:space="preserve">JR00035210</t>
  </si>
  <si>
    <t xml:space="preserve">C-B-25-A-03</t>
  </si>
  <si>
    <t xml:space="preserve">JR00035212</t>
  </si>
  <si>
    <t xml:space="preserve">C-B-23-A-03</t>
  </si>
  <si>
    <t xml:space="preserve">JR00035213</t>
  </si>
  <si>
    <t xml:space="preserve">C-B-23-A-01</t>
  </si>
  <si>
    <t xml:space="preserve">JR00035214</t>
  </si>
  <si>
    <t xml:space="preserve">C-B-30-A-01</t>
  </si>
  <si>
    <t xml:space="preserve">JR00035215</t>
  </si>
  <si>
    <t xml:space="preserve">C-B-32-A-01</t>
  </si>
  <si>
    <t xml:space="preserve">JR00035217</t>
  </si>
  <si>
    <t xml:space="preserve">C-B-29-A-01</t>
  </si>
  <si>
    <t xml:space="preserve">JR00035218</t>
  </si>
  <si>
    <t xml:space="preserve">C-B-33-A-01</t>
  </si>
  <si>
    <t xml:space="preserve">JR00035220</t>
  </si>
  <si>
    <t xml:space="preserve">C-B-31-A-01</t>
  </si>
  <si>
    <t xml:space="preserve">JR00035221</t>
  </si>
  <si>
    <t xml:space="preserve">C-D-24-A-01</t>
  </si>
  <si>
    <t xml:space="preserve">JR00035222</t>
  </si>
  <si>
    <t xml:space="preserve">C-D-28-A-01</t>
  </si>
  <si>
    <t xml:space="preserve">JR00035223</t>
  </si>
  <si>
    <t xml:space="preserve">F-G-32-C-01</t>
  </si>
  <si>
    <t xml:space="preserve">JR00035224</t>
  </si>
  <si>
    <t xml:space="preserve">C-D-24-A-03</t>
  </si>
  <si>
    <t xml:space="preserve">JR00035225</t>
  </si>
  <si>
    <t xml:space="preserve">C-D-26-A-01</t>
  </si>
  <si>
    <t xml:space="preserve">JR00035226</t>
  </si>
  <si>
    <t xml:space="preserve">C-D-28-A-03</t>
  </si>
  <si>
    <t xml:space="preserve">JR00035227</t>
  </si>
  <si>
    <t xml:space="preserve">C-D-30-A-03</t>
  </si>
  <si>
    <t xml:space="preserve">JR00035228</t>
  </si>
  <si>
    <t xml:space="preserve">F-H-15-A-03</t>
  </si>
  <si>
    <t xml:space="preserve">JR00035229</t>
  </si>
  <si>
    <t xml:space="preserve">C-B-03-A-03</t>
  </si>
  <si>
    <t xml:space="preserve">JR00035230</t>
  </si>
  <si>
    <t xml:space="preserve">C-A-15-B-03</t>
  </si>
  <si>
    <t xml:space="preserve">JR00035231</t>
  </si>
  <si>
    <t xml:space="preserve">C-D-34-A-01</t>
  </si>
  <si>
    <t xml:space="preserve">JR00035232</t>
  </si>
  <si>
    <t xml:space="preserve">F-H-18-A-03</t>
  </si>
  <si>
    <t xml:space="preserve">JR00035233</t>
  </si>
  <si>
    <t xml:space="preserve">C-D-36-A-03</t>
  </si>
  <si>
    <t xml:space="preserve">JR00035234</t>
  </si>
  <si>
    <t xml:space="preserve">C-D-36-A-01</t>
  </si>
  <si>
    <t xml:space="preserve">JR00035236</t>
  </si>
  <si>
    <t xml:space="preserve">C-D-25-A-03</t>
  </si>
  <si>
    <t xml:space="preserve">JR00035237</t>
  </si>
  <si>
    <t xml:space="preserve">C-A-20-C-03</t>
  </si>
  <si>
    <t xml:space="preserve">JR00035238</t>
  </si>
  <si>
    <t xml:space="preserve">C-D-23-A-03</t>
  </si>
  <si>
    <t xml:space="preserve">JR00035239</t>
  </si>
  <si>
    <t xml:space="preserve">F-G-05-A-01</t>
  </si>
  <si>
    <t xml:space="preserve">JR00035240</t>
  </si>
  <si>
    <t xml:space="preserve">F-H-23-A-03</t>
  </si>
  <si>
    <t xml:space="preserve">JR00035241</t>
  </si>
  <si>
    <t xml:space="preserve">C-D-42-A-03</t>
  </si>
  <si>
    <t xml:space="preserve">JR00035242</t>
  </si>
  <si>
    <t xml:space="preserve">C-A-26-D-03</t>
  </si>
  <si>
    <t xml:space="preserve">JR00035243</t>
  </si>
  <si>
    <t xml:space="preserve">C-D-40-A-01</t>
  </si>
  <si>
    <t xml:space="preserve">JR00035244</t>
  </si>
  <si>
    <t xml:space="preserve">C-D-38-A-01</t>
  </si>
  <si>
    <t xml:space="preserve">JR00035245</t>
  </si>
  <si>
    <t xml:space="preserve">C-D-38-A-03</t>
  </si>
  <si>
    <t xml:space="preserve">JR00035246</t>
  </si>
  <si>
    <t xml:space="preserve">C-A-46-A-03</t>
  </si>
  <si>
    <t xml:space="preserve">JR00035077</t>
  </si>
  <si>
    <t xml:space="preserve">SWEETBIRD PASSIONFRUIT PUREE 1 Litre</t>
  </si>
  <si>
    <t xml:space="preserve">RIYINT00553</t>
  </si>
  <si>
    <t xml:space="preserve">F-H-05-A-01</t>
  </si>
  <si>
    <t xml:space="preserve">JR00035078</t>
  </si>
  <si>
    <t xml:space="preserve">Intenso Arabica 100% -1kg</t>
  </si>
  <si>
    <t xml:space="preserve">C-A-38-A-04</t>
  </si>
  <si>
    <t xml:space="preserve">JR00035681</t>
  </si>
  <si>
    <t xml:space="preserve">FSK1103</t>
  </si>
  <si>
    <t xml:space="preserve">Frozen PD Shrimp 26/30 10X1kg</t>
  </si>
  <si>
    <t xml:space="preserve">MWIN00938</t>
  </si>
  <si>
    <t xml:space="preserve">A0-AA-11-D-03</t>
  </si>
  <si>
    <t xml:space="preserve">JR00035682</t>
  </si>
  <si>
    <t xml:space="preserve">A0-AA-07-E-01</t>
  </si>
  <si>
    <t xml:space="preserve">JR00035683</t>
  </si>
  <si>
    <t xml:space="preserve">A0-AA-07-E-03</t>
  </si>
  <si>
    <t xml:space="preserve">JR00035684</t>
  </si>
  <si>
    <t xml:space="preserve">FSK1102</t>
  </si>
  <si>
    <t xml:space="preserve">Frozen PD Shrimp 21/25 10X1kg</t>
  </si>
  <si>
    <t xml:space="preserve">A0-AA-07-C-03</t>
  </si>
  <si>
    <t xml:space="preserve">JR00035685</t>
  </si>
  <si>
    <t xml:space="preserve">A0-AA-07-D-01</t>
  </si>
  <si>
    <t xml:space="preserve">JR00035686</t>
  </si>
  <si>
    <t xml:space="preserve">A0-AA-03-D-03</t>
  </si>
  <si>
    <t xml:space="preserve">JR00035687</t>
  </si>
  <si>
    <t xml:space="preserve">A0-AA-03-E-01</t>
  </si>
  <si>
    <t xml:space="preserve">JR00035688</t>
  </si>
  <si>
    <t xml:space="preserve">A0-AA-03-C-01</t>
  </si>
  <si>
    <t xml:space="preserve">JR00035689</t>
  </si>
  <si>
    <t xml:space="preserve">A0-AA-13-B-03</t>
  </si>
  <si>
    <t xml:space="preserve">JR00035690</t>
  </si>
  <si>
    <t xml:space="preserve">A0-AA-16-C-01</t>
  </si>
  <si>
    <t xml:space="preserve">JR00035691</t>
  </si>
  <si>
    <t xml:space="preserve">FSK1104</t>
  </si>
  <si>
    <t xml:space="preserve">Frozen PD Shrimp 31/40 10X1kg</t>
  </si>
  <si>
    <t xml:space="preserve">A0-AA-17-B-01</t>
  </si>
  <si>
    <t xml:space="preserve">JR00035693</t>
  </si>
  <si>
    <t xml:space="preserve">A0-AA-13-D-01</t>
  </si>
  <si>
    <t xml:space="preserve">JR00035694</t>
  </si>
  <si>
    <t xml:space="preserve">A0-AA-10-B-01</t>
  </si>
  <si>
    <t xml:space="preserve">JR00035695</t>
  </si>
  <si>
    <t xml:space="preserve">FSK1101</t>
  </si>
  <si>
    <t xml:space="preserve">Frozen PD Shrimp 16/20 10X1kg</t>
  </si>
  <si>
    <t xml:space="preserve">A0-AA-15-B-03</t>
  </si>
  <si>
    <t xml:space="preserve">JR00035696</t>
  </si>
  <si>
    <t xml:space="preserve">A0-AA-15-B-01</t>
  </si>
  <si>
    <t xml:space="preserve">JR00035700</t>
  </si>
  <si>
    <t xml:space="preserve">A0-AA-08-A-01</t>
  </si>
  <si>
    <t xml:space="preserve">JR00035079</t>
  </si>
  <si>
    <t xml:space="preserve">RIYINT00548</t>
  </si>
  <si>
    <t xml:space="preserve">C-A-02-B-03</t>
  </si>
  <si>
    <t xml:space="preserve">JR00035701</t>
  </si>
  <si>
    <t xml:space="preserve">SHRM00003321</t>
  </si>
  <si>
    <t xml:space="preserve">A0-AA-17-A-01</t>
  </si>
  <si>
    <t xml:space="preserve">JR00035102</t>
  </si>
  <si>
    <t xml:space="preserve">MAGGI Soy Sauce 12x700ml ESL NPk NR VN</t>
  </si>
  <si>
    <t xml:space="preserve">SHRM00003302</t>
  </si>
  <si>
    <t xml:space="preserve">F-H-04-A-01</t>
  </si>
  <si>
    <t xml:space="preserve">JR00035661</t>
  </si>
  <si>
    <t xml:space="preserve">FCK1103</t>
  </si>
  <si>
    <t xml:space="preserve">IQF CHICKEN BREAST TENDER 6OZ (4X2.5KG) - CAT</t>
  </si>
  <si>
    <t xml:space="preserve">DAMINT00407</t>
  </si>
  <si>
    <t xml:space="preserve">A0-AA-06-C-03</t>
  </si>
  <si>
    <t xml:space="preserve">JR00035662</t>
  </si>
  <si>
    <t xml:space="preserve">A0-AA-11-C-03</t>
  </si>
  <si>
    <t xml:space="preserve">JR00035663</t>
  </si>
  <si>
    <t xml:space="preserve">A0-AA-08-D-01</t>
  </si>
  <si>
    <t xml:space="preserve">JR00035664</t>
  </si>
  <si>
    <t xml:space="preserve">A0-AA-06-D-03</t>
  </si>
  <si>
    <t xml:space="preserve">JR00034921</t>
  </si>
  <si>
    <t xml:space="preserve">RIYINT00520</t>
  </si>
  <si>
    <t xml:space="preserve">JR00035083</t>
  </si>
  <si>
    <t xml:space="preserve">NESCAFE RED MUG Stick 14(50x1.8g) XI</t>
  </si>
  <si>
    <t xml:space="preserve">MWIN00912</t>
  </si>
  <si>
    <t xml:space="preserve">F-H-01-B-02</t>
  </si>
  <si>
    <t xml:space="preserve">JR00035084</t>
  </si>
  <si>
    <t xml:space="preserve">F-H-18-B-01</t>
  </si>
  <si>
    <t xml:space="preserve">JR00035085</t>
  </si>
  <si>
    <t xml:space="preserve">C-B-27-C-01</t>
  </si>
  <si>
    <t xml:space="preserve">JR00035086</t>
  </si>
  <si>
    <t xml:space="preserve">F-H-30-C-03</t>
  </si>
  <si>
    <t xml:space="preserve">JR00035087</t>
  </si>
  <si>
    <t xml:space="preserve">C-B-32-C-01</t>
  </si>
  <si>
    <t xml:space="preserve">JR00035088</t>
  </si>
  <si>
    <t xml:space="preserve">F-G-32-C-03</t>
  </si>
  <si>
    <t xml:space="preserve">JR00035089</t>
  </si>
  <si>
    <t xml:space="preserve">F-G-42-C-01</t>
  </si>
  <si>
    <t xml:space="preserve">JR00035090</t>
  </si>
  <si>
    <t xml:space="preserve">F-G-46-B-01</t>
  </si>
  <si>
    <t xml:space="preserve">JR00035091</t>
  </si>
  <si>
    <t xml:space="preserve">F-H-25-B-01</t>
  </si>
  <si>
    <t xml:space="preserve">JR00035092</t>
  </si>
  <si>
    <t xml:space="preserve">MAGGI Chicken Bouillon in Pail 2x2kg SA</t>
  </si>
  <si>
    <t xml:space="preserve">F-H-01-A-03</t>
  </si>
  <si>
    <t xml:space="preserve">JR00035093</t>
  </si>
  <si>
    <t xml:space="preserve">F-G-28-A-03</t>
  </si>
  <si>
    <t xml:space="preserve">JR00035094</t>
  </si>
  <si>
    <t xml:space="preserve">F-G-20-A-01</t>
  </si>
  <si>
    <t xml:space="preserve">JR00035095</t>
  </si>
  <si>
    <t xml:space="preserve">F-H-13-A-01</t>
  </si>
  <si>
    <t xml:space="preserve">JR00035096</t>
  </si>
  <si>
    <t xml:space="preserve">F-H-12-A-03</t>
  </si>
  <si>
    <t xml:space="preserve">JR00035097</t>
  </si>
  <si>
    <t xml:space="preserve">C-A-14-A-01</t>
  </si>
  <si>
    <t xml:space="preserve">JR00035098</t>
  </si>
  <si>
    <t xml:space="preserve">C-A-14-A-03</t>
  </si>
  <si>
    <t xml:space="preserve">JR00035099</t>
  </si>
  <si>
    <t xml:space="preserve">C-A-16-A-01</t>
  </si>
  <si>
    <t xml:space="preserve">JR00035100</t>
  </si>
  <si>
    <t xml:space="preserve">C-A-14-B-03</t>
  </si>
  <si>
    <t xml:space="preserve">JR00035101</t>
  </si>
  <si>
    <t xml:space="preserve">C-A-34-A-01</t>
  </si>
  <si>
    <t xml:space="preserve">JR00035104</t>
  </si>
  <si>
    <t xml:space="preserve">COFFEE-MATE Crmr Jar15X400g N3 XA</t>
  </si>
  <si>
    <t xml:space="preserve">F-G-06-A-01</t>
  </si>
  <si>
    <t xml:space="preserve">JR00035105</t>
  </si>
  <si>
    <t xml:space="preserve">F-G-06-A-03</t>
  </si>
  <si>
    <t xml:space="preserve">JR00035106</t>
  </si>
  <si>
    <t xml:space="preserve">F-H-10-D-01</t>
  </si>
  <si>
    <t xml:space="preserve">JR00035107</t>
  </si>
  <si>
    <t xml:space="preserve">F-G-08-C-03</t>
  </si>
  <si>
    <t xml:space="preserve">JR00035108</t>
  </si>
  <si>
    <t xml:space="preserve">CNTR CORN FLAKES Cereal 5x1000g N1 SA</t>
  </si>
  <si>
    <t xml:space="preserve">JR00035109</t>
  </si>
  <si>
    <t xml:space="preserve">F-G-10-A-01</t>
  </si>
  <si>
    <t xml:space="preserve">JR00035110</t>
  </si>
  <si>
    <t xml:space="preserve">F-H-03-D-03</t>
  </si>
  <si>
    <t xml:space="preserve">JR00035111</t>
  </si>
  <si>
    <t xml:space="preserve">F-G-14-B-01</t>
  </si>
  <si>
    <t xml:space="preserve">JR00035112</t>
  </si>
  <si>
    <t xml:space="preserve">C-B-12-E-01</t>
  </si>
  <si>
    <t xml:space="preserve">JR00035113</t>
  </si>
  <si>
    <t xml:space="preserve">C-B-10-E-03</t>
  </si>
  <si>
    <t xml:space="preserve">JR00035114</t>
  </si>
  <si>
    <t xml:space="preserve">C-B-03-C-01</t>
  </si>
  <si>
    <t xml:space="preserve">JR00035115</t>
  </si>
  <si>
    <t xml:space="preserve">F-H-29-B-01</t>
  </si>
  <si>
    <t xml:space="preserve">JR00035116</t>
  </si>
  <si>
    <t xml:space="preserve">F-G-18-B-03</t>
  </si>
  <si>
    <t xml:space="preserve">JR00035117</t>
  </si>
  <si>
    <t xml:space="preserve">F-G-42-A-03</t>
  </si>
  <si>
    <t xml:space="preserve">JR00035118</t>
  </si>
  <si>
    <t xml:space="preserve">F-H-30-A-03</t>
  </si>
  <si>
    <t xml:space="preserve">JR00035119</t>
  </si>
  <si>
    <t xml:space="preserve">NESTLE SCM Regular Easy Open 48x370g XA</t>
  </si>
  <si>
    <t xml:space="preserve">C-B-18-C-01</t>
  </si>
  <si>
    <t xml:space="preserve">JR00035120</t>
  </si>
  <si>
    <t xml:space="preserve">F-G-38-A-01</t>
  </si>
  <si>
    <t xml:space="preserve">JR00035121</t>
  </si>
  <si>
    <t xml:space="preserve">F-G-38-A-03</t>
  </si>
  <si>
    <t xml:space="preserve">JR00035122</t>
  </si>
  <si>
    <t xml:space="preserve">F-G-36-A-03</t>
  </si>
  <si>
    <t xml:space="preserve">JR00035123</t>
  </si>
  <si>
    <t xml:space="preserve">F-G-32-A-01</t>
  </si>
  <si>
    <t xml:space="preserve">JR00035124</t>
  </si>
  <si>
    <t xml:space="preserve">F-G-28-A-01</t>
  </si>
  <si>
    <t xml:space="preserve">JR00035125</t>
  </si>
  <si>
    <t xml:space="preserve">C-C-31-B-03</t>
  </si>
  <si>
    <t xml:space="preserve">JR00035126</t>
  </si>
  <si>
    <t xml:space="preserve">C-A-44-B-01</t>
  </si>
  <si>
    <t xml:space="preserve">JR00035127</t>
  </si>
  <si>
    <t xml:space="preserve">C-A-24-A-01</t>
  </si>
  <si>
    <t xml:space="preserve">JR00035128</t>
  </si>
  <si>
    <t xml:space="preserve">C-C-03-B-02</t>
  </si>
  <si>
    <t xml:space="preserve">JR00035129</t>
  </si>
  <si>
    <t xml:space="preserve">NESQUIK CHOCOLATE PLASTIC BOX 10X500G SA</t>
  </si>
  <si>
    <t xml:space="preserve">F-H-12-D-01</t>
  </si>
  <si>
    <t xml:space="preserve">JR00035130</t>
  </si>
  <si>
    <t xml:space="preserve">FITNESS Cereal 14x375g PR STLEGO17 XA</t>
  </si>
  <si>
    <t xml:space="preserve">C-A-07-D-03</t>
  </si>
  <si>
    <t xml:space="preserve">JR00035131</t>
  </si>
  <si>
    <t xml:space="preserve">C-A-05-B-02</t>
  </si>
  <si>
    <t xml:space="preserve">JR00035132</t>
  </si>
  <si>
    <t xml:space="preserve">C-A-16-C-03</t>
  </si>
  <si>
    <t xml:space="preserve">JR00035133</t>
  </si>
  <si>
    <t xml:space="preserve">C-B-05-C-01</t>
  </si>
  <si>
    <t xml:space="preserve">JR00035134</t>
  </si>
  <si>
    <t xml:space="preserve">JR00035135</t>
  </si>
  <si>
    <t xml:space="preserve">F-H-33-B-01</t>
  </si>
  <si>
    <t xml:space="preserve">JR00035136</t>
  </si>
  <si>
    <t xml:space="preserve">JR00035137</t>
  </si>
  <si>
    <t xml:space="preserve">C-A-12-A-03</t>
  </si>
  <si>
    <t xml:space="preserve">JR00035139</t>
  </si>
  <si>
    <t xml:space="preserve">C-B-05-C-03</t>
  </si>
  <si>
    <t xml:space="preserve">JR00035140</t>
  </si>
  <si>
    <t xml:space="preserve">C-B-05-C-02</t>
  </si>
  <si>
    <t xml:space="preserve">JR00035485</t>
  </si>
  <si>
    <t xml:space="preserve">MWIN00698</t>
  </si>
  <si>
    <t xml:space="preserve">C-F-02-A-03</t>
  </si>
  <si>
    <t xml:space="preserve">JR00035486</t>
  </si>
  <si>
    <t xml:space="preserve">F-H-20-A-03</t>
  </si>
  <si>
    <t xml:space="preserve">JR00035487</t>
  </si>
  <si>
    <t xml:space="preserve">F-H-24-B-03</t>
  </si>
  <si>
    <t xml:space="preserve">JR00035488</t>
  </si>
  <si>
    <t xml:space="preserve">C-F-06-A-03</t>
  </si>
  <si>
    <t xml:space="preserve">JR00035489</t>
  </si>
  <si>
    <t xml:space="preserve">C-F-08-A-01</t>
  </si>
  <si>
    <t xml:space="preserve">JR00035490</t>
  </si>
  <si>
    <t xml:space="preserve">C-F-08-A-03</t>
  </si>
  <si>
    <t xml:space="preserve">JR00035491</t>
  </si>
  <si>
    <t xml:space="preserve">C-F-10-A-01</t>
  </si>
  <si>
    <t xml:space="preserve">JR00035492</t>
  </si>
  <si>
    <t xml:space="preserve">C-F-10-A-03</t>
  </si>
  <si>
    <t xml:space="preserve">JR00035493</t>
  </si>
  <si>
    <t xml:space="preserve">C-F-12-A-01</t>
  </si>
  <si>
    <t xml:space="preserve">JR00035494</t>
  </si>
  <si>
    <t xml:space="preserve">C-F-04-A-01</t>
  </si>
  <si>
    <t xml:space="preserve">JR00035495</t>
  </si>
  <si>
    <t xml:space="preserve">C-F-12-A-03</t>
  </si>
  <si>
    <t xml:space="preserve">JR00035496</t>
  </si>
  <si>
    <t xml:space="preserve">C-F-14-A-01</t>
  </si>
  <si>
    <t xml:space="preserve">JR00035497</t>
  </si>
  <si>
    <t xml:space="preserve">C-F-14-A-03</t>
  </si>
  <si>
    <t xml:space="preserve">JR00035498</t>
  </si>
  <si>
    <t xml:space="preserve">C-F-16-A-03</t>
  </si>
  <si>
    <t xml:space="preserve">JR00035499</t>
  </si>
  <si>
    <t xml:space="preserve">C-F-16-A-01</t>
  </si>
  <si>
    <t xml:space="preserve">JR00035500</t>
  </si>
  <si>
    <t xml:space="preserve">JR00035501</t>
  </si>
  <si>
    <t xml:space="preserve">C-F-07-C-03</t>
  </si>
  <si>
    <t xml:space="preserve">JR00035502</t>
  </si>
  <si>
    <t xml:space="preserve">C-F-09-C-01</t>
  </si>
  <si>
    <t xml:space="preserve">JR00035503</t>
  </si>
  <si>
    <t xml:space="preserve">F-G-04-A-01</t>
  </si>
  <si>
    <t xml:space="preserve">JR00035504</t>
  </si>
  <si>
    <t xml:space="preserve">C-F-11-C-01</t>
  </si>
  <si>
    <t xml:space="preserve">JR00035505</t>
  </si>
  <si>
    <t xml:space="preserve">F-H-17-A-01</t>
  </si>
  <si>
    <t xml:space="preserve">JR00035506</t>
  </si>
  <si>
    <t xml:space="preserve">C-F-13-C-01</t>
  </si>
  <si>
    <t xml:space="preserve">JR00035507</t>
  </si>
  <si>
    <t xml:space="preserve">C-F-13-C-03</t>
  </si>
  <si>
    <t xml:space="preserve">JR00035508</t>
  </si>
  <si>
    <t xml:space="preserve">F-H-14-A-01</t>
  </si>
  <si>
    <t xml:space="preserve">JR00035509</t>
  </si>
  <si>
    <t xml:space="preserve">JR00035510</t>
  </si>
  <si>
    <t xml:space="preserve">F-H-09-A-01</t>
  </si>
  <si>
    <t xml:space="preserve">JR00035511</t>
  </si>
  <si>
    <t xml:space="preserve">C-F-19-C-01</t>
  </si>
  <si>
    <t xml:space="preserve">JR00035512</t>
  </si>
  <si>
    <t xml:space="preserve">C-F-15-C-03</t>
  </si>
  <si>
    <t xml:space="preserve">JR00035513</t>
  </si>
  <si>
    <t xml:space="preserve">C-E-08-A-03</t>
  </si>
  <si>
    <t xml:space="preserve">JR00035521</t>
  </si>
  <si>
    <t xml:space="preserve">FCK1101</t>
  </si>
  <si>
    <t xml:space="preserve">Frozen Tender Chicken Breast 4x2.5kg</t>
  </si>
  <si>
    <t xml:space="preserve">MWIN00765</t>
  </si>
  <si>
    <t xml:space="preserve">JR00035522</t>
  </si>
  <si>
    <t xml:space="preserve">JR00035523</t>
  </si>
  <si>
    <t xml:space="preserve">JR00035528</t>
  </si>
  <si>
    <t xml:space="preserve">A0-AA-11-D-01</t>
  </si>
  <si>
    <t xml:space="preserve">JR00035530</t>
  </si>
  <si>
    <t xml:space="preserve">A0-AA-11-A-02</t>
  </si>
  <si>
    <t xml:space="preserve">JR00035531</t>
  </si>
  <si>
    <t xml:space="preserve">A0-AA-15-A-01</t>
  </si>
  <si>
    <t xml:space="preserve">JR00035532</t>
  </si>
  <si>
    <t xml:space="preserve">A0-AA-12-C-01</t>
  </si>
  <si>
    <t xml:space="preserve">JR00035534</t>
  </si>
  <si>
    <t xml:space="preserve">A0-AA-16-B-03</t>
  </si>
  <si>
    <t xml:space="preserve">JR00035535</t>
  </si>
  <si>
    <t xml:space="preserve">A0-AA-15-C-03</t>
  </si>
  <si>
    <t xml:space="preserve">JR00035536</t>
  </si>
  <si>
    <t xml:space="preserve">JR00035537</t>
  </si>
  <si>
    <t xml:space="preserve">JR00035538</t>
  </si>
  <si>
    <t xml:space="preserve">JR00035539</t>
  </si>
  <si>
    <t xml:space="preserve">JR00035540</t>
  </si>
  <si>
    <t xml:space="preserve">A0-AA-11-E-01</t>
  </si>
  <si>
    <t xml:space="preserve">JR00035451</t>
  </si>
  <si>
    <t xml:space="preserve">MWIN00694</t>
  </si>
  <si>
    <t xml:space="preserve">C-E-06-A-03</t>
  </si>
  <si>
    <t xml:space="preserve">JR00035452</t>
  </si>
  <si>
    <t xml:space="preserve">C-F-01-A-03</t>
  </si>
  <si>
    <t xml:space="preserve">JR00035455</t>
  </si>
  <si>
    <t xml:space="preserve">C-E-04-A-01</t>
  </si>
  <si>
    <t xml:space="preserve">JR00035456</t>
  </si>
  <si>
    <t xml:space="preserve">JR00035457</t>
  </si>
  <si>
    <t xml:space="preserve">C-F-02-A-01</t>
  </si>
  <si>
    <t xml:space="preserve">JR00035458</t>
  </si>
  <si>
    <t xml:space="preserve">C-F-03-C-03</t>
  </si>
  <si>
    <t xml:space="preserve">JR00035459</t>
  </si>
  <si>
    <t xml:space="preserve">C-F-03-C-01</t>
  </si>
  <si>
    <t xml:space="preserve">JR00035460</t>
  </si>
  <si>
    <t xml:space="preserve">C-F-01-A-01</t>
  </si>
  <si>
    <t xml:space="preserve">JR00035461</t>
  </si>
  <si>
    <t xml:space="preserve">C-E-02-A-03</t>
  </si>
  <si>
    <t xml:space="preserve">JR00035462</t>
  </si>
  <si>
    <t xml:space="preserve">C-E-02-A-01</t>
  </si>
  <si>
    <t xml:space="preserve">JR00035463</t>
  </si>
  <si>
    <t xml:space="preserve">C-E-04-A-03</t>
  </si>
  <si>
    <t xml:space="preserve">JR00035465</t>
  </si>
  <si>
    <t xml:space="preserve">C-E-10-A-01</t>
  </si>
  <si>
    <t xml:space="preserve">JR00035466</t>
  </si>
  <si>
    <t xml:space="preserve">C-E-08-A-01</t>
  </si>
  <si>
    <t xml:space="preserve">JR00035467</t>
  </si>
  <si>
    <t xml:space="preserve">C-E-12-A-01</t>
  </si>
  <si>
    <t xml:space="preserve">JR00035468</t>
  </si>
  <si>
    <t xml:space="preserve">C-E-01-A-03</t>
  </si>
  <si>
    <t xml:space="preserve">JR00035469</t>
  </si>
  <si>
    <t xml:space="preserve">C-E-01-A-01</t>
  </si>
  <si>
    <t xml:space="preserve">JR00035470</t>
  </si>
  <si>
    <t xml:space="preserve">C-E-20-A-03</t>
  </si>
  <si>
    <t xml:space="preserve">JR00035471</t>
  </si>
  <si>
    <t xml:space="preserve">C-E-20-A-01</t>
  </si>
  <si>
    <t xml:space="preserve">JR00035472</t>
  </si>
  <si>
    <t xml:space="preserve">C-E-18-A-03</t>
  </si>
  <si>
    <t xml:space="preserve">JR00035473</t>
  </si>
  <si>
    <t xml:space="preserve">C-E-18-A-01</t>
  </si>
  <si>
    <t xml:space="preserve">JR00035474</t>
  </si>
  <si>
    <t xml:space="preserve">C-E-16-A-03</t>
  </si>
  <si>
    <t xml:space="preserve">JR00035475</t>
  </si>
  <si>
    <t xml:space="preserve">C-E-16-A-01</t>
  </si>
  <si>
    <t xml:space="preserve">JR00035476</t>
  </si>
  <si>
    <t xml:space="preserve">C-E-14-A-03</t>
  </si>
  <si>
    <t xml:space="preserve">JR00035477</t>
  </si>
  <si>
    <t xml:space="preserve">C-F-05-C-03</t>
  </si>
  <si>
    <t xml:space="preserve">JR00035478</t>
  </si>
  <si>
    <t xml:space="preserve">C-F-05-C-01</t>
  </si>
  <si>
    <t xml:space="preserve">JR00035479</t>
  </si>
  <si>
    <t xml:space="preserve">C-E-06-A-01</t>
  </si>
  <si>
    <t xml:space="preserve">JR00035481</t>
  </si>
  <si>
    <t xml:space="preserve">C-E-12-A-03</t>
  </si>
  <si>
    <t xml:space="preserve">JR00035482</t>
  </si>
  <si>
    <t xml:space="preserve">C-E-10-A-03</t>
  </si>
  <si>
    <t xml:space="preserve">JR00035483</t>
  </si>
  <si>
    <t xml:space="preserve">C-E-14-A-01</t>
  </si>
  <si>
    <t xml:space="preserve">JR00035422</t>
  </si>
  <si>
    <t xml:space="preserve">MWIN00702</t>
  </si>
  <si>
    <t xml:space="preserve">F-H-24-A-03</t>
  </si>
  <si>
    <t xml:space="preserve">JR00035423</t>
  </si>
  <si>
    <t xml:space="preserve">JR00035424</t>
  </si>
  <si>
    <t xml:space="preserve">F-G-46-A-01</t>
  </si>
  <si>
    <t xml:space="preserve">JR00035425</t>
  </si>
  <si>
    <t xml:space="preserve">F-G-14-A-03</t>
  </si>
  <si>
    <t xml:space="preserve">JR00035426</t>
  </si>
  <si>
    <t xml:space="preserve">JR00035427</t>
  </si>
  <si>
    <t xml:space="preserve">JR00035428</t>
  </si>
  <si>
    <t xml:space="preserve">F-H-11-A-01</t>
  </si>
  <si>
    <t xml:space="preserve">JR00035429</t>
  </si>
  <si>
    <t xml:space="preserve">F-G-18-A-03</t>
  </si>
  <si>
    <t xml:space="preserve">JR00035430</t>
  </si>
  <si>
    <t xml:space="preserve">F-H-25-A-03</t>
  </si>
  <si>
    <t xml:space="preserve">JR00035431</t>
  </si>
  <si>
    <t xml:space="preserve">JR00035432</t>
  </si>
  <si>
    <t xml:space="preserve">JR00035433</t>
  </si>
  <si>
    <t xml:space="preserve">F-H-38-A-01</t>
  </si>
  <si>
    <t xml:space="preserve">JR00035435</t>
  </si>
  <si>
    <t xml:space="preserve">F-H-19-A-01</t>
  </si>
  <si>
    <t xml:space="preserve">JR00035436</t>
  </si>
  <si>
    <t xml:space="preserve">JR00035436-4709773</t>
  </si>
  <si>
    <t xml:space="preserve">JR00035437</t>
  </si>
  <si>
    <t xml:space="preserve">JR00035438</t>
  </si>
  <si>
    <t xml:space="preserve">F-H-13-A-03</t>
  </si>
  <si>
    <t xml:space="preserve">JR00035439</t>
  </si>
  <si>
    <t xml:space="preserve">JR00035440</t>
  </si>
  <si>
    <t xml:space="preserve">JR00035441</t>
  </si>
  <si>
    <t xml:space="preserve">F-G-44-A-01</t>
  </si>
  <si>
    <t xml:space="preserve">JR00035442</t>
  </si>
  <si>
    <t xml:space="preserve">JR00035443</t>
  </si>
  <si>
    <t xml:space="preserve">JR00035444</t>
  </si>
  <si>
    <t xml:space="preserve">F-G-46-A-03</t>
  </si>
  <si>
    <t xml:space="preserve">JR00035445</t>
  </si>
  <si>
    <t xml:space="preserve">F-G-16-A-01</t>
  </si>
  <si>
    <t xml:space="preserve">JR00035446</t>
  </si>
  <si>
    <t xml:space="preserve">JR00035447</t>
  </si>
  <si>
    <t xml:space="preserve">C-F-19-C-03</t>
  </si>
  <si>
    <t xml:space="preserve">JR00035448</t>
  </si>
  <si>
    <t xml:space="preserve">JR00035449</t>
  </si>
  <si>
    <t xml:space="preserve">F-H-36-A-01</t>
  </si>
  <si>
    <t xml:space="preserve">JR00035450</t>
  </si>
  <si>
    <t xml:space="preserve">JR00035641</t>
  </si>
  <si>
    <t xml:space="preserve">MWIN00939</t>
  </si>
  <si>
    <t xml:space="preserve">A0-AB-06-B-01</t>
  </si>
  <si>
    <t xml:space="preserve">JR00035642</t>
  </si>
  <si>
    <t xml:space="preserve">A0-AB-06-B-03</t>
  </si>
  <si>
    <t xml:space="preserve">JR00035643</t>
  </si>
  <si>
    <t xml:space="preserve">JR00035644</t>
  </si>
  <si>
    <t xml:space="preserve">JR00035645</t>
  </si>
  <si>
    <t xml:space="preserve">JR00035646</t>
  </si>
  <si>
    <t xml:space="preserve">JR00035647</t>
  </si>
  <si>
    <t xml:space="preserve">A0-AA-19-A-01</t>
  </si>
  <si>
    <t xml:space="preserve">JF00161176</t>
  </si>
  <si>
    <t xml:space="preserve">Zuma Dark Hot Chocolate 1 KG Bag</t>
  </si>
  <si>
    <t xml:space="preserve">SHRM00003281</t>
  </si>
  <si>
    <t xml:space="preserve">JR00035080</t>
  </si>
  <si>
    <t xml:space="preserve">SHRM00003322</t>
  </si>
  <si>
    <t xml:space="preserve">JR00035081</t>
  </si>
  <si>
    <t xml:space="preserve">F-H-05-B-03</t>
  </si>
  <si>
    <t xml:space="preserve">JR00035082</t>
  </si>
  <si>
    <t xml:space="preserve">JR00034982</t>
  </si>
  <si>
    <t xml:space="preserve">MWIN00729</t>
  </si>
  <si>
    <t xml:space="preserve">C-B-23-C-03</t>
  </si>
  <si>
    <t xml:space="preserve">JR00034983</t>
  </si>
  <si>
    <t xml:space="preserve">C-A-31-C-03</t>
  </si>
  <si>
    <t xml:space="preserve">JR00034984</t>
  </si>
  <si>
    <t xml:space="preserve">C-A-01-A-01</t>
  </si>
  <si>
    <t xml:space="preserve">JR00034985</t>
  </si>
  <si>
    <t xml:space="preserve">C-A-18-A-03</t>
  </si>
  <si>
    <t xml:space="preserve">JR00034986</t>
  </si>
  <si>
    <t xml:space="preserve">C-C-33-A-01</t>
  </si>
  <si>
    <t xml:space="preserve">JR00034987</t>
  </si>
  <si>
    <t xml:space="preserve">C-C-35-A-03</t>
  </si>
  <si>
    <t xml:space="preserve">JR00034988</t>
  </si>
  <si>
    <t xml:space="preserve">C-C-33-A-03</t>
  </si>
  <si>
    <t xml:space="preserve">JR00034989</t>
  </si>
  <si>
    <t xml:space="preserve">C-A-03-D-01</t>
  </si>
  <si>
    <t xml:space="preserve">JR00034990</t>
  </si>
  <si>
    <t xml:space="preserve">C-B-17-C-03</t>
  </si>
  <si>
    <t xml:space="preserve">JR00034991</t>
  </si>
  <si>
    <t xml:space="preserve">C-B-20-D-01</t>
  </si>
  <si>
    <t xml:space="preserve">JR00034992</t>
  </si>
  <si>
    <t xml:space="preserve">C-D-15-A-01</t>
  </si>
  <si>
    <t xml:space="preserve">JR00034993</t>
  </si>
  <si>
    <t xml:space="preserve">C-B-17-B-03</t>
  </si>
  <si>
    <t xml:space="preserve">JR00034994</t>
  </si>
  <si>
    <t xml:space="preserve">C-A-05-A-03</t>
  </si>
  <si>
    <t xml:space="preserve">JR00034995</t>
  </si>
  <si>
    <t xml:space="preserve">C-C-31-A-03</t>
  </si>
  <si>
    <t xml:space="preserve">JR00034996</t>
  </si>
  <si>
    <t xml:space="preserve">C-C-31-A-01</t>
  </si>
  <si>
    <t xml:space="preserve">JR00034997</t>
  </si>
  <si>
    <t xml:space="preserve">C-B-41-A-03</t>
  </si>
  <si>
    <t xml:space="preserve">JR00034998</t>
  </si>
  <si>
    <t xml:space="preserve">C-D-11-A-01</t>
  </si>
  <si>
    <t xml:space="preserve">JR00034999</t>
  </si>
  <si>
    <t xml:space="preserve">C-C-35-A-01</t>
  </si>
  <si>
    <t xml:space="preserve">JR00035000</t>
  </si>
  <si>
    <t xml:space="preserve">C-D-05-A-01</t>
  </si>
  <si>
    <t xml:space="preserve">JR00035001</t>
  </si>
  <si>
    <t xml:space="preserve">C-C-29-A-03</t>
  </si>
  <si>
    <t xml:space="preserve">JR00035002</t>
  </si>
  <si>
    <t xml:space="preserve">C-C-29-A-01</t>
  </si>
  <si>
    <t xml:space="preserve">JR00035003</t>
  </si>
  <si>
    <t xml:space="preserve">C-A-43-A-03</t>
  </si>
  <si>
    <t xml:space="preserve">JR00035004</t>
  </si>
  <si>
    <t xml:space="preserve">C-A-18-A-01</t>
  </si>
  <si>
    <t xml:space="preserve">JR00035005</t>
  </si>
  <si>
    <t xml:space="preserve">C-A-28-A-03</t>
  </si>
  <si>
    <t xml:space="preserve">JR00035006</t>
  </si>
  <si>
    <t xml:space="preserve">C-D-12-A-03</t>
  </si>
  <si>
    <t xml:space="preserve">JR00035008</t>
  </si>
  <si>
    <t xml:space="preserve">JR00035009</t>
  </si>
  <si>
    <t xml:space="preserve">C-A-15-A-03</t>
  </si>
  <si>
    <t xml:space="preserve">JR00035010</t>
  </si>
  <si>
    <t xml:space="preserve">C-A-25-A-03</t>
  </si>
  <si>
    <t xml:space="preserve">JR00035011</t>
  </si>
  <si>
    <t xml:space="preserve">C-D-03-A-03</t>
  </si>
  <si>
    <t xml:space="preserve">JR00035012</t>
  </si>
  <si>
    <t xml:space="preserve">C-D-01-A-01</t>
  </si>
  <si>
    <t xml:space="preserve">JR00035013</t>
  </si>
  <si>
    <t xml:space="preserve">JR00035014</t>
  </si>
  <si>
    <t xml:space="preserve">JR00035015</t>
  </si>
  <si>
    <t xml:space="preserve">C-A-04-A-03</t>
  </si>
  <si>
    <t xml:space="preserve">JR00035029</t>
  </si>
  <si>
    <t xml:space="preserve">C-B-39-D-02</t>
  </si>
  <si>
    <t xml:space="preserve">JR00035030</t>
  </si>
  <si>
    <t xml:space="preserve">C-A-29-A-01</t>
  </si>
  <si>
    <t xml:space="preserve">JR00035031</t>
  </si>
  <si>
    <t xml:space="preserve">C-A-27-A-01</t>
  </si>
  <si>
    <t xml:space="preserve">JR00035032</t>
  </si>
  <si>
    <t xml:space="preserve">C-A-10-C-03</t>
  </si>
  <si>
    <t xml:space="preserve">JR00035033</t>
  </si>
  <si>
    <t xml:space="preserve">JR00035034</t>
  </si>
  <si>
    <t xml:space="preserve">C-A-31-C-01</t>
  </si>
  <si>
    <t xml:space="preserve">JR00043959</t>
  </si>
  <si>
    <t xml:space="preserve">JR00035895</t>
  </si>
  <si>
    <t xml:space="preserve">DAMINT00425</t>
  </si>
  <si>
    <t xml:space="preserve">C-A-12-B-01</t>
  </si>
  <si>
    <t xml:space="preserve">JR00035896</t>
  </si>
  <si>
    <t xml:space="preserve">C-A-06-C-01</t>
  </si>
  <si>
    <t xml:space="preserve">JR00035897</t>
  </si>
  <si>
    <t xml:space="preserve">C-A-08-C-01</t>
  </si>
  <si>
    <t xml:space="preserve">JR00035741</t>
  </si>
  <si>
    <r>
      <rPr>
        <sz val="11"/>
        <color theme="1"/>
        <rFont val="Calibri"/>
        <family val="2"/>
        <charset val="1"/>
      </rPr>
      <t xml:space="preserve">Chef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¢â‚¬â„¢s Line EZ Pick Yellow Cheese 8x184 Slices 2.27Kg</t>
    </r>
  </si>
  <si>
    <t xml:space="preserve">RIYINT00557</t>
  </si>
  <si>
    <t xml:space="preserve">A2-AA-17-B-05</t>
  </si>
  <si>
    <t xml:space="preserve">JR00035742</t>
  </si>
  <si>
    <t xml:space="preserve">A1-AC-01-A-01</t>
  </si>
  <si>
    <t xml:space="preserve">JR00036721</t>
  </si>
  <si>
    <t xml:space="preserve">MWIN00956</t>
  </si>
  <si>
    <t xml:space="preserve">A0-AA-07-C-01</t>
  </si>
  <si>
    <t xml:space="preserve">JR00036722</t>
  </si>
  <si>
    <t xml:space="preserve">A0-AA-09-B-01</t>
  </si>
  <si>
    <t xml:space="preserve">JR00036726</t>
  </si>
  <si>
    <t xml:space="preserve">B-A-03-B-03</t>
  </si>
  <si>
    <t xml:space="preserve">JR00036727</t>
  </si>
  <si>
    <t xml:space="preserve">A0-AA-09-D-01</t>
  </si>
  <si>
    <t xml:space="preserve">JR00036728</t>
  </si>
  <si>
    <t xml:space="preserve">A0-AA-13-B-01</t>
  </si>
  <si>
    <t xml:space="preserve">JR00036729</t>
  </si>
  <si>
    <t xml:space="preserve">A0-AA-13-C-01</t>
  </si>
  <si>
    <t xml:space="preserve">JR00036730</t>
  </si>
  <si>
    <t xml:space="preserve">A0-AA-13-C-03</t>
  </si>
  <si>
    <t xml:space="preserve">JR00036731</t>
  </si>
  <si>
    <t xml:space="preserve">JR00036732</t>
  </si>
  <si>
    <t xml:space="preserve">A0-AA-16-A-02</t>
  </si>
  <si>
    <t xml:space="preserve">JR00036733</t>
  </si>
  <si>
    <t xml:space="preserve">JR00036734</t>
  </si>
  <si>
    <t xml:space="preserve">A0-AA-15-C-01</t>
  </si>
  <si>
    <t xml:space="preserve">JR00036735</t>
  </si>
  <si>
    <t xml:space="preserve">JR00036736</t>
  </si>
  <si>
    <t xml:space="preserve">A0-AA-11-C-01</t>
  </si>
  <si>
    <t xml:space="preserve">JR00036737</t>
  </si>
  <si>
    <t xml:space="preserve">A0-AA-09-D-03</t>
  </si>
  <si>
    <t xml:space="preserve">JR00036738</t>
  </si>
  <si>
    <t xml:space="preserve">A0-AA-09-C-01</t>
  </si>
  <si>
    <t xml:space="preserve">JR00036739</t>
  </si>
  <si>
    <t xml:space="preserve">JR00036740</t>
  </si>
  <si>
    <t xml:space="preserve">A0-AA-05-C-03</t>
  </si>
  <si>
    <t xml:space="preserve">JR00036572</t>
  </si>
  <si>
    <t xml:space="preserve">MAGGI Seasoning 24x200ml AE</t>
  </si>
  <si>
    <t xml:space="preserve">MWIN00964</t>
  </si>
  <si>
    <t xml:space="preserve">F-H-10-A-03</t>
  </si>
  <si>
    <t xml:space="preserve">JR00036573</t>
  </si>
  <si>
    <t xml:space="preserve">MAGGI Beef Bouillon Powder 6x1kg NP XA</t>
  </si>
  <si>
    <t xml:space="preserve">F-H-02-A-02</t>
  </si>
  <si>
    <t xml:space="preserve">JR00035859</t>
  </si>
  <si>
    <t xml:space="preserve">Biadgi White Chocolate Sauce 4x1.96L- EUR</t>
  </si>
  <si>
    <t xml:space="preserve">MWIN00720</t>
  </si>
  <si>
    <t xml:space="preserve">F-H-45-A-03</t>
  </si>
  <si>
    <t xml:space="preserve">JR00035860</t>
  </si>
  <si>
    <t xml:space="preserve">C-A-18-B-03</t>
  </si>
  <si>
    <t xml:space="preserve">JR00035863</t>
  </si>
  <si>
    <t xml:space="preserve">JR00035864</t>
  </si>
  <si>
    <t xml:space="preserve">C-A-42-A-03</t>
  </si>
  <si>
    <t xml:space="preserve">JR00035866</t>
  </si>
  <si>
    <t xml:space="preserve">JR00035871</t>
  </si>
  <si>
    <t xml:space="preserve">Biadgi Caramel Sauce 4x1.96L - EUR</t>
  </si>
  <si>
    <t xml:space="preserve">C-C-32-A-01</t>
  </si>
  <si>
    <t xml:space="preserve">JR00035872</t>
  </si>
  <si>
    <t xml:space="preserve">C-C-34-A-03</t>
  </si>
  <si>
    <t xml:space="preserve">JR00035878</t>
  </si>
  <si>
    <t xml:space="preserve">Biadgi Dark Chocolate Sauce 4x1.96L - EUR</t>
  </si>
  <si>
    <t xml:space="preserve">C-C-40-A-01</t>
  </si>
  <si>
    <t xml:space="preserve">JR00036798</t>
  </si>
  <si>
    <t xml:space="preserve">C-A-46-A-02</t>
  </si>
  <si>
    <t xml:space="preserve">JR00036799</t>
  </si>
  <si>
    <t xml:space="preserve">F-H-10-A-01</t>
  </si>
  <si>
    <t xml:space="preserve">JR00036574</t>
  </si>
  <si>
    <t xml:space="preserve">MWIN00715</t>
  </si>
  <si>
    <t xml:space="preserve">C-F-29-A-03</t>
  </si>
  <si>
    <t xml:space="preserve">JR00036575</t>
  </si>
  <si>
    <t xml:space="preserve">C-F-29-A-01</t>
  </si>
  <si>
    <t xml:space="preserve">JR00036576</t>
  </si>
  <si>
    <t xml:space="preserve">C-F-27-A-03</t>
  </si>
  <si>
    <t xml:space="preserve">JR00036577</t>
  </si>
  <si>
    <t xml:space="preserve">C-F-27-A-01</t>
  </si>
  <si>
    <t xml:space="preserve">JR00036578</t>
  </si>
  <si>
    <t xml:space="preserve">C-F-25-A-03</t>
  </si>
  <si>
    <t xml:space="preserve">JR00036579</t>
  </si>
  <si>
    <t xml:space="preserve">C-F-25-A-01</t>
  </si>
  <si>
    <t xml:space="preserve">JR00036580</t>
  </si>
  <si>
    <t xml:space="preserve">C-F-23-A-01</t>
  </si>
  <si>
    <t xml:space="preserve">JR00036581</t>
  </si>
  <si>
    <t xml:space="preserve">C-F-23-A-03</t>
  </si>
  <si>
    <t xml:space="preserve">JR00036582</t>
  </si>
  <si>
    <t xml:space="preserve">C-E-38-C-01</t>
  </si>
  <si>
    <t xml:space="preserve">JR00036583-4791173</t>
  </si>
  <si>
    <t xml:space="preserve">C-E-32-C-03</t>
  </si>
  <si>
    <t xml:space="preserve">JR00036584</t>
  </si>
  <si>
    <t xml:space="preserve">C-F-39-A-03</t>
  </si>
  <si>
    <t xml:space="preserve">JR00036585</t>
  </si>
  <si>
    <t xml:space="preserve">C-F-39-A-01</t>
  </si>
  <si>
    <t xml:space="preserve">JR00036586</t>
  </si>
  <si>
    <t xml:space="preserve">C-F-37-A-03</t>
  </si>
  <si>
    <t xml:space="preserve">JR00036587</t>
  </si>
  <si>
    <t xml:space="preserve">C-F-37-A-01</t>
  </si>
  <si>
    <t xml:space="preserve">JR00036588</t>
  </si>
  <si>
    <t xml:space="preserve">C-F-35-A-03</t>
  </si>
  <si>
    <t xml:space="preserve">JR00036589</t>
  </si>
  <si>
    <t xml:space="preserve">JR00036590</t>
  </si>
  <si>
    <t xml:space="preserve">C-C-18-A-01</t>
  </si>
  <si>
    <t xml:space="preserve">JR00036591</t>
  </si>
  <si>
    <t xml:space="preserve">C-F-33-A-01</t>
  </si>
  <si>
    <t xml:space="preserve">JR00036592</t>
  </si>
  <si>
    <t xml:space="preserve">C-E-19-A-03</t>
  </si>
  <si>
    <t xml:space="preserve">JR00036611</t>
  </si>
  <si>
    <t xml:space="preserve">JR00036613</t>
  </si>
  <si>
    <t xml:space="preserve">C-E-34-C-01</t>
  </si>
  <si>
    <t xml:space="preserve">JR00036614</t>
  </si>
  <si>
    <t xml:space="preserve">C-E-34-C-02</t>
  </si>
  <si>
    <t xml:space="preserve">JR00036615</t>
  </si>
  <si>
    <t xml:space="preserve">C-E-36-C-01</t>
  </si>
  <si>
    <t xml:space="preserve">JR00036616</t>
  </si>
  <si>
    <t xml:space="preserve">C-E-36-C-03</t>
  </si>
  <si>
    <t xml:space="preserve">JR00036617</t>
  </si>
  <si>
    <t xml:space="preserve">C-F-31-A-03</t>
  </si>
  <si>
    <t xml:space="preserve">JR00036654</t>
  </si>
  <si>
    <t xml:space="preserve">C-E-28-C-01</t>
  </si>
  <si>
    <t xml:space="preserve">JR00036655</t>
  </si>
  <si>
    <t xml:space="preserve">C-E-26-C-03</t>
  </si>
  <si>
    <t xml:space="preserve">JR00036656</t>
  </si>
  <si>
    <t xml:space="preserve">C-E-32-C-01</t>
  </si>
  <si>
    <t xml:space="preserve">JR00036657</t>
  </si>
  <si>
    <t xml:space="preserve">C-E-26-C-01</t>
  </si>
  <si>
    <t xml:space="preserve">JR00036658</t>
  </si>
  <si>
    <t xml:space="preserve">JR00036294</t>
  </si>
  <si>
    <t xml:space="preserve">RIYINT00602</t>
  </si>
  <si>
    <t xml:space="preserve">JR00036296</t>
  </si>
  <si>
    <t xml:space="preserve">JR00033140</t>
  </si>
  <si>
    <t xml:space="preserve">NESTLE SCM Can 12x1kg N1XI</t>
  </si>
  <si>
    <t xml:space="preserve">SHRM00003521</t>
  </si>
  <si>
    <t xml:space="preserve">JR00033141</t>
  </si>
  <si>
    <t xml:space="preserve">F-H-28-B-03</t>
  </si>
  <si>
    <t xml:space="preserve">JR00036599</t>
  </si>
  <si>
    <t xml:space="preserve">F-H-16-A-01</t>
  </si>
  <si>
    <t xml:space="preserve">JR00036600</t>
  </si>
  <si>
    <t xml:space="preserve">JR00036601</t>
  </si>
  <si>
    <t xml:space="preserve">JR00035035</t>
  </si>
  <si>
    <t xml:space="preserve">MWIN00727</t>
  </si>
  <si>
    <t xml:space="preserve">C-A-42-A-06</t>
  </si>
  <si>
    <t xml:space="preserve">JR00035036</t>
  </si>
  <si>
    <t xml:space="preserve">JR00035037</t>
  </si>
  <si>
    <t xml:space="preserve">C-B-33-D-03</t>
  </si>
  <si>
    <t xml:space="preserve">JR00035038</t>
  </si>
  <si>
    <t xml:space="preserve">C-A-09-B-01</t>
  </si>
  <si>
    <t xml:space="preserve">JR00035039</t>
  </si>
  <si>
    <t xml:space="preserve">C-C-05-E-01</t>
  </si>
  <si>
    <t xml:space="preserve">JR00035040</t>
  </si>
  <si>
    <t xml:space="preserve">C-C-19-B-03</t>
  </si>
  <si>
    <t xml:space="preserve">JR00035041</t>
  </si>
  <si>
    <t xml:space="preserve">JR00035042</t>
  </si>
  <si>
    <t xml:space="preserve">C-C-07-A-01</t>
  </si>
  <si>
    <t xml:space="preserve">JR00035043</t>
  </si>
  <si>
    <t xml:space="preserve">C-C-03-A-01</t>
  </si>
  <si>
    <t xml:space="preserve">JR00035044</t>
  </si>
  <si>
    <t xml:space="preserve">C-B-31-D-03</t>
  </si>
  <si>
    <t xml:space="preserve">JR00035045</t>
  </si>
  <si>
    <t xml:space="preserve">C-B-40-A-03</t>
  </si>
  <si>
    <t xml:space="preserve">JR00035046</t>
  </si>
  <si>
    <t xml:space="preserve">C-D-29-C-03</t>
  </si>
  <si>
    <t xml:space="preserve">JR00035047</t>
  </si>
  <si>
    <t xml:space="preserve">C-B-39-A-01</t>
  </si>
  <si>
    <t xml:space="preserve">JR00035048</t>
  </si>
  <si>
    <t xml:space="preserve">C-B-39-A-03</t>
  </si>
  <si>
    <t xml:space="preserve">JR00035049</t>
  </si>
  <si>
    <t xml:space="preserve">JR00035050</t>
  </si>
  <si>
    <t xml:space="preserve">C-D-33-C-01</t>
  </si>
  <si>
    <t xml:space="preserve">JR00035051</t>
  </si>
  <si>
    <t xml:space="preserve">JR00035052</t>
  </si>
  <si>
    <t xml:space="preserve">JR00035053</t>
  </si>
  <si>
    <t xml:space="preserve">C-C-11-D-03</t>
  </si>
  <si>
    <t xml:space="preserve">JR00035054</t>
  </si>
  <si>
    <t xml:space="preserve">C-B-36-D-03</t>
  </si>
  <si>
    <t xml:space="preserve">JR00035055</t>
  </si>
  <si>
    <t xml:space="preserve">C-D-40-A-02</t>
  </si>
  <si>
    <t xml:space="preserve">JR00035056</t>
  </si>
  <si>
    <t xml:space="preserve">C-B-37-C-03</t>
  </si>
  <si>
    <t xml:space="preserve">JR00035057</t>
  </si>
  <si>
    <t xml:space="preserve">JR00035058</t>
  </si>
  <si>
    <t xml:space="preserve">JR00035059</t>
  </si>
  <si>
    <t xml:space="preserve">C-B-41-A-01</t>
  </si>
  <si>
    <t xml:space="preserve">JR00035060</t>
  </si>
  <si>
    <t xml:space="preserve">C-C-37-B-01</t>
  </si>
  <si>
    <t xml:space="preserve">JR00035061</t>
  </si>
  <si>
    <t xml:space="preserve">C-B-45-A-01</t>
  </si>
  <si>
    <t xml:space="preserve">JR00035062</t>
  </si>
  <si>
    <t xml:space="preserve">C-A-02-A-03</t>
  </si>
  <si>
    <t xml:space="preserve">JR00035063</t>
  </si>
  <si>
    <t xml:space="preserve">C-B-42-A-01</t>
  </si>
  <si>
    <t xml:space="preserve">JR00035064</t>
  </si>
  <si>
    <t xml:space="preserve">C-B-26-D-01</t>
  </si>
  <si>
    <t xml:space="preserve">JR00035065</t>
  </si>
  <si>
    <t xml:space="preserve">C-B-42-A-03</t>
  </si>
  <si>
    <t xml:space="preserve">JR00035066</t>
  </si>
  <si>
    <t xml:space="preserve">C-A-32-A-01</t>
  </si>
  <si>
    <t xml:space="preserve">JR00035067</t>
  </si>
  <si>
    <t xml:space="preserve">C-A-32-A-03</t>
  </si>
  <si>
    <t xml:space="preserve">JR00035068</t>
  </si>
  <si>
    <t xml:space="preserve">C-A-15-D-01</t>
  </si>
  <si>
    <t xml:space="preserve">JR00035069</t>
  </si>
  <si>
    <t xml:space="preserve">C-A-28-A-02</t>
  </si>
  <si>
    <t xml:space="preserve">JR00035070</t>
  </si>
  <si>
    <t xml:space="preserve">C-A-26-A-03</t>
  </si>
  <si>
    <t xml:space="preserve">JR00035071</t>
  </si>
  <si>
    <t xml:space="preserve">JR00035072</t>
  </si>
  <si>
    <t xml:space="preserve">C-A-12-A-01</t>
  </si>
  <si>
    <t xml:space="preserve">JR00035073</t>
  </si>
  <si>
    <t xml:space="preserve">C-A-10-B-01</t>
  </si>
  <si>
    <t xml:space="preserve">JR00035074</t>
  </si>
  <si>
    <t xml:space="preserve">F-H-44-B-03</t>
  </si>
  <si>
    <t xml:space="preserve">JR00035075</t>
  </si>
  <si>
    <t xml:space="preserve">F-H-38-A-03</t>
  </si>
  <si>
    <t xml:space="preserve">JR00036483</t>
  </si>
  <si>
    <t xml:space="preserve">DAMINT00430</t>
  </si>
  <si>
    <t xml:space="preserve">JR00036484</t>
  </si>
  <si>
    <t xml:space="preserve">A0-AA-06-C-01</t>
  </si>
  <si>
    <t xml:space="preserve">JR00035893</t>
  </si>
  <si>
    <t xml:space="preserve">TRWINT00799</t>
  </si>
  <si>
    <t xml:space="preserve">C-A-10-C-01</t>
  </si>
  <si>
    <t xml:space="preserve">JR00035894</t>
  </si>
  <si>
    <t xml:space="preserve">C-A-04-B-03</t>
  </si>
  <si>
    <t xml:space="preserve">JR00035181</t>
  </si>
  <si>
    <t xml:space="preserve">SHRM00003501</t>
  </si>
  <si>
    <t xml:space="preserve">JR00036602</t>
  </si>
  <si>
    <t xml:space="preserve">MWIN00711</t>
  </si>
  <si>
    <t xml:space="preserve">C-E-09-B-03</t>
  </si>
  <si>
    <t xml:space="preserve">JR00036604</t>
  </si>
  <si>
    <t xml:space="preserve">JR00036605</t>
  </si>
  <si>
    <t xml:space="preserve">F-G-04-B-03</t>
  </si>
  <si>
    <t xml:space="preserve">JR00036606</t>
  </si>
  <si>
    <t xml:space="preserve">JR00036607</t>
  </si>
  <si>
    <t xml:space="preserve">C-E-05-A-03</t>
  </si>
  <si>
    <t xml:space="preserve">JR00036608</t>
  </si>
  <si>
    <t xml:space="preserve">C-E-07-A-01</t>
  </si>
  <si>
    <t xml:space="preserve">JR00036609</t>
  </si>
  <si>
    <t xml:space="preserve">C-E-07-A-03</t>
  </si>
  <si>
    <t xml:space="preserve">JR00036610</t>
  </si>
  <si>
    <t xml:space="preserve">C-E-09-A-01</t>
  </si>
  <si>
    <t xml:space="preserve">JR00036659</t>
  </si>
  <si>
    <t xml:space="preserve">C-B-05-A-03</t>
  </si>
  <si>
    <t xml:space="preserve">JR00036660</t>
  </si>
  <si>
    <t xml:space="preserve">C-B-34-A-01</t>
  </si>
  <si>
    <t xml:space="preserve">JR00036661</t>
  </si>
  <si>
    <t xml:space="preserve">C-B-09-A-03</t>
  </si>
  <si>
    <t xml:space="preserve">JR00036662</t>
  </si>
  <si>
    <t xml:space="preserve">C-B-14-A-03</t>
  </si>
  <si>
    <t xml:space="preserve">JR00036663</t>
  </si>
  <si>
    <t xml:space="preserve">C-B-17-A-01</t>
  </si>
  <si>
    <t xml:space="preserve">JR00036664</t>
  </si>
  <si>
    <t xml:space="preserve">F-G-16-A-03</t>
  </si>
  <si>
    <t xml:space="preserve">JR00036665</t>
  </si>
  <si>
    <t xml:space="preserve">JR00036666</t>
  </si>
  <si>
    <t xml:space="preserve">C-B-17-A-03</t>
  </si>
  <si>
    <t xml:space="preserve">JR00036667</t>
  </si>
  <si>
    <t xml:space="preserve">F-G-24-A-01</t>
  </si>
  <si>
    <t xml:space="preserve">JR00036668</t>
  </si>
  <si>
    <t xml:space="preserve">F-G-36-A-01</t>
  </si>
  <si>
    <t xml:space="preserve">JR00036669</t>
  </si>
  <si>
    <t xml:space="preserve">JR00036670</t>
  </si>
  <si>
    <t xml:space="preserve">JR00036671</t>
  </si>
  <si>
    <t xml:space="preserve">JR00036672</t>
  </si>
  <si>
    <t xml:space="preserve">F-H-29-A-03</t>
  </si>
  <si>
    <t xml:space="preserve">JR00036673</t>
  </si>
  <si>
    <t xml:space="preserve">F-H-29-A-01</t>
  </si>
  <si>
    <t xml:space="preserve">JR00036674</t>
  </si>
  <si>
    <t xml:space="preserve">C-F-24-B-01</t>
  </si>
  <si>
    <t xml:space="preserve">JR00036675</t>
  </si>
  <si>
    <t xml:space="preserve">C-D-19-C-01</t>
  </si>
  <si>
    <t xml:space="preserve">JR00036676</t>
  </si>
  <si>
    <t xml:space="preserve">C-A-24-A-03</t>
  </si>
  <si>
    <t xml:space="preserve">JR00036677</t>
  </si>
  <si>
    <t xml:space="preserve">JR00036678</t>
  </si>
  <si>
    <t xml:space="preserve">C-A-08-A-01</t>
  </si>
  <si>
    <t xml:space="preserve">JR00036679</t>
  </si>
  <si>
    <t xml:space="preserve">C-D-39-C-03</t>
  </si>
  <si>
    <t xml:space="preserve">JR00035016</t>
  </si>
  <si>
    <t xml:space="preserve">SHRM00003422</t>
  </si>
  <si>
    <t xml:space="preserve">JR00035880</t>
  </si>
  <si>
    <t xml:space="preserve">MAGGI Demi-Glace 6x750g EG XA</t>
  </si>
  <si>
    <t xml:space="preserve">SHRM00003441</t>
  </si>
  <si>
    <t xml:space="preserve">JR00035822</t>
  </si>
  <si>
    <t xml:space="preserve">NESCAFE CLASSIC Jar 12x190g XI</t>
  </si>
  <si>
    <t xml:space="preserve">MWIN00912-1</t>
  </si>
  <si>
    <t xml:space="preserve">C-B-11-C-01</t>
  </si>
  <si>
    <t xml:space="preserve">JR00035823</t>
  </si>
  <si>
    <t xml:space="preserve">C-B-41-D-03</t>
  </si>
  <si>
    <t xml:space="preserve">JR00035824</t>
  </si>
  <si>
    <t xml:space="preserve">C-C-07-B-03</t>
  </si>
  <si>
    <t xml:space="preserve">JR00035825</t>
  </si>
  <si>
    <t xml:space="preserve">C-B-06-C-02</t>
  </si>
  <si>
    <t xml:space="preserve">JR00035826</t>
  </si>
  <si>
    <t xml:space="preserve">C-B-20-C-01</t>
  </si>
  <si>
    <t xml:space="preserve">JR00035827</t>
  </si>
  <si>
    <t xml:space="preserve">NIDO FCMP Pouch 6x2250g N2 SA</t>
  </si>
  <si>
    <t xml:space="preserve">C-A-24-B-03</t>
  </si>
  <si>
    <t xml:space="preserve">JR00035828</t>
  </si>
  <si>
    <t xml:space="preserve">JR00035829</t>
  </si>
  <si>
    <t xml:space="preserve">C-A-20-B-03</t>
  </si>
  <si>
    <t xml:space="preserve">JR00035830</t>
  </si>
  <si>
    <t xml:space="preserve">JR00035831</t>
  </si>
  <si>
    <t xml:space="preserve">JR00035832</t>
  </si>
  <si>
    <t xml:space="preserve">C-A-36-A-01</t>
  </si>
  <si>
    <t xml:space="preserve">JR00035833</t>
  </si>
  <si>
    <t xml:space="preserve">COFFEE-MATE Coff Crmr 5(200X3g) N3 AE</t>
  </si>
  <si>
    <t xml:space="preserve">C-A-02-B-01</t>
  </si>
  <si>
    <t xml:space="preserve">JR00035834</t>
  </si>
  <si>
    <t xml:space="preserve">C-A-26-B-01</t>
  </si>
  <si>
    <t xml:space="preserve">JR00035835</t>
  </si>
  <si>
    <t xml:space="preserve">F-H-16-B-02</t>
  </si>
  <si>
    <t xml:space="preserve">JR00035836</t>
  </si>
  <si>
    <t xml:space="preserve">C-C-19-B-01</t>
  </si>
  <si>
    <t xml:space="preserve">JR00035837</t>
  </si>
  <si>
    <t xml:space="preserve">F-H-03-C-01</t>
  </si>
  <si>
    <t xml:space="preserve">JR00035838</t>
  </si>
  <si>
    <t xml:space="preserve">F-H-19-B-03</t>
  </si>
  <si>
    <t xml:space="preserve">JR00035839</t>
  </si>
  <si>
    <t xml:space="preserve">F-H-19-B-02</t>
  </si>
  <si>
    <t xml:space="preserve">JR00035840</t>
  </si>
  <si>
    <t xml:space="preserve">F-H-17-B-01</t>
  </si>
  <si>
    <t xml:space="preserve">JR00035841</t>
  </si>
  <si>
    <t xml:space="preserve">F-G-08-A-03</t>
  </si>
  <si>
    <t xml:space="preserve">JR00035842</t>
  </si>
  <si>
    <t xml:space="preserve">F-G-02-C-03</t>
  </si>
  <si>
    <t xml:space="preserve">JR00035843</t>
  </si>
  <si>
    <t xml:space="preserve">F-G-02-C-01</t>
  </si>
  <si>
    <t xml:space="preserve">JR00035844</t>
  </si>
  <si>
    <t xml:space="preserve">C-B-20-E-03</t>
  </si>
  <si>
    <t xml:space="preserve">JR00035845</t>
  </si>
  <si>
    <t xml:space="preserve">F-G-18-D-02</t>
  </si>
  <si>
    <t xml:space="preserve">JR00035846</t>
  </si>
  <si>
    <t xml:space="preserve">F-G-16-C-03</t>
  </si>
  <si>
    <t xml:space="preserve">JR00035847</t>
  </si>
  <si>
    <t xml:space="preserve">JR00035848</t>
  </si>
  <si>
    <t xml:space="preserve">F-G-12-A-01</t>
  </si>
  <si>
    <t xml:space="preserve">JR00035849</t>
  </si>
  <si>
    <t xml:space="preserve">F-G-10-A-03</t>
  </si>
  <si>
    <t xml:space="preserve">JR00035850</t>
  </si>
  <si>
    <t xml:space="preserve">JR00035851</t>
  </si>
  <si>
    <t xml:space="preserve">F-H-37-D-01</t>
  </si>
  <si>
    <t xml:space="preserve">JR00035852</t>
  </si>
  <si>
    <t xml:space="preserve">JR00035853</t>
  </si>
  <si>
    <t xml:space="preserve">F-G-08-B-01</t>
  </si>
  <si>
    <t xml:space="preserve">JR00035854</t>
  </si>
  <si>
    <t xml:space="preserve">C-B-24-D-01</t>
  </si>
  <si>
    <t xml:space="preserve">JR00035855</t>
  </si>
  <si>
    <t xml:space="preserve">JR00035858</t>
  </si>
  <si>
    <t xml:space="preserve">F-H-40-C-03</t>
  </si>
  <si>
    <t xml:space="preserve">JR00036267</t>
  </si>
  <si>
    <t xml:space="preserve">MWIN00955</t>
  </si>
  <si>
    <t xml:space="preserve">JR00036269</t>
  </si>
  <si>
    <t xml:space="preserve">A0-AA-09-A-01</t>
  </si>
  <si>
    <t xml:space="preserve">JR00036271</t>
  </si>
  <si>
    <t xml:space="preserve">JR00036272</t>
  </si>
  <si>
    <t xml:space="preserve">JR00036273</t>
  </si>
  <si>
    <t xml:space="preserve">A0-AA-10-B-03</t>
  </si>
  <si>
    <t xml:space="preserve">JR00035257</t>
  </si>
  <si>
    <t xml:space="preserve">JR00035297</t>
  </si>
  <si>
    <t xml:space="preserve">SHRM00003421</t>
  </si>
  <si>
    <t xml:space="preserve">F-H-02-A-01</t>
  </si>
  <si>
    <t xml:space="preserve">JR00035258</t>
  </si>
  <si>
    <t xml:space="preserve">SHRM00003401</t>
  </si>
  <si>
    <t xml:space="preserve">JR00035076</t>
  </si>
  <si>
    <t xml:space="preserve">SHRM00003361</t>
  </si>
  <si>
    <t xml:space="preserve">JR00035262</t>
  </si>
  <si>
    <t xml:space="preserve">MWIN00740</t>
  </si>
  <si>
    <t xml:space="preserve">JR00035263</t>
  </si>
  <si>
    <t xml:space="preserve">C-A-08-B-01</t>
  </si>
  <si>
    <t xml:space="preserve">JR00035264</t>
  </si>
  <si>
    <t xml:space="preserve">JR00035265</t>
  </si>
  <si>
    <t xml:space="preserve">JR00035266</t>
  </si>
  <si>
    <t xml:space="preserve">F-H-18-B-03</t>
  </si>
  <si>
    <t xml:space="preserve">JR00035267</t>
  </si>
  <si>
    <t xml:space="preserve">F-H-31-B-01</t>
  </si>
  <si>
    <t xml:space="preserve">JR00035268</t>
  </si>
  <si>
    <t xml:space="preserve">C-B-02-C-01</t>
  </si>
  <si>
    <t xml:space="preserve">JR00035269</t>
  </si>
  <si>
    <t xml:space="preserve">C-C-45-B-03</t>
  </si>
  <si>
    <t xml:space="preserve">JR00035270</t>
  </si>
  <si>
    <t xml:space="preserve">C-C-01-C-01</t>
  </si>
  <si>
    <t xml:space="preserve">JR00035271</t>
  </si>
  <si>
    <t xml:space="preserve">F-H-39-B-03</t>
  </si>
  <si>
    <t xml:space="preserve">JR00035272</t>
  </si>
  <si>
    <t xml:space="preserve">C-B-33-C-03</t>
  </si>
  <si>
    <t xml:space="preserve">JR00035273</t>
  </si>
  <si>
    <t xml:space="preserve">JR00035274</t>
  </si>
  <si>
    <t xml:space="preserve">C-C-23-B-01</t>
  </si>
  <si>
    <t xml:space="preserve">JR00035275</t>
  </si>
  <si>
    <t xml:space="preserve">F-H-13-C-01</t>
  </si>
  <si>
    <t xml:space="preserve">JR00035298</t>
  </si>
  <si>
    <t xml:space="preserve">JR00035299</t>
  </si>
  <si>
    <t xml:space="preserve">F-H-36-B-03</t>
  </si>
  <si>
    <t xml:space="preserve">JR00035300</t>
  </si>
  <si>
    <t xml:space="preserve">F-H-12-C-02</t>
  </si>
  <si>
    <t xml:space="preserve">JR00035898</t>
  </si>
  <si>
    <t xml:space="preserve">F-H-24-C-03</t>
  </si>
  <si>
    <t xml:space="preserve">JR00035899</t>
  </si>
  <si>
    <t xml:space="preserve">JR00035900</t>
  </si>
  <si>
    <t xml:space="preserve">F-H-07-A-01</t>
  </si>
  <si>
    <t xml:space="preserve">JR00035901</t>
  </si>
  <si>
    <t xml:space="preserve">JR00035902</t>
  </si>
  <si>
    <t xml:space="preserve">JR00035903</t>
  </si>
  <si>
    <t xml:space="preserve">F-H-11-A-03</t>
  </si>
  <si>
    <t xml:space="preserve">JR00035904</t>
  </si>
  <si>
    <t xml:space="preserve">F-H-07-A-03</t>
  </si>
  <si>
    <t xml:space="preserve">JR00035905</t>
  </si>
  <si>
    <t xml:space="preserve">JR00035906</t>
  </si>
  <si>
    <t xml:space="preserve">JR00035907</t>
  </si>
  <si>
    <t xml:space="preserve">JR00035908</t>
  </si>
  <si>
    <t xml:space="preserve">JR00035909</t>
  </si>
  <si>
    <t xml:space="preserve">JR00035910</t>
  </si>
  <si>
    <t xml:space="preserve">F-H-30-B-03</t>
  </si>
  <si>
    <t xml:space="preserve">JR00035911</t>
  </si>
  <si>
    <t xml:space="preserve">C-A-09-A-01</t>
  </si>
  <si>
    <t xml:space="preserve">JR00035912</t>
  </si>
  <si>
    <t xml:space="preserve">JR00035913</t>
  </si>
  <si>
    <t xml:space="preserve">JR00035914</t>
  </si>
  <si>
    <t xml:space="preserve">JR00035915</t>
  </si>
  <si>
    <t xml:space="preserve">F-H-19-A-03</t>
  </si>
  <si>
    <t xml:space="preserve">JR00035916</t>
  </si>
  <si>
    <t xml:space="preserve">C-B-44-C-01</t>
  </si>
  <si>
    <t xml:space="preserve">JR00035917</t>
  </si>
  <si>
    <t xml:space="preserve">F-G-20-B-03</t>
  </si>
  <si>
    <t xml:space="preserve">JR00035918</t>
  </si>
  <si>
    <t xml:space="preserve">C-C-29-B-01</t>
  </si>
  <si>
    <t xml:space="preserve">JR00035919</t>
  </si>
  <si>
    <t xml:space="preserve">JR00035920</t>
  </si>
  <si>
    <t xml:space="preserve">JF00166769</t>
  </si>
  <si>
    <t xml:space="preserve">MWIN00714</t>
  </si>
  <si>
    <t xml:space="preserve">JF00166770</t>
  </si>
  <si>
    <t xml:space="preserve">C-F-20-A-03</t>
  </si>
  <si>
    <t xml:space="preserve">JF00166771</t>
  </si>
  <si>
    <t xml:space="preserve">C-F-20-A-01</t>
  </si>
  <si>
    <t xml:space="preserve">JF00166772</t>
  </si>
  <si>
    <t xml:space="preserve">C-F-18-A-03</t>
  </si>
  <si>
    <t xml:space="preserve">JF00166773</t>
  </si>
  <si>
    <t xml:space="preserve">C-F-18-A-01</t>
  </si>
  <si>
    <t xml:space="preserve">JF00166774</t>
  </si>
  <si>
    <t xml:space="preserve">JF00166775</t>
  </si>
  <si>
    <t xml:space="preserve">JF00166776</t>
  </si>
  <si>
    <t xml:space="preserve">JF00166777</t>
  </si>
  <si>
    <t xml:space="preserve">JF00166778</t>
  </si>
  <si>
    <t xml:space="preserve">JF00166779</t>
  </si>
  <si>
    <t xml:space="preserve">JF00166780</t>
  </si>
  <si>
    <t xml:space="preserve">JF00166781</t>
  </si>
  <si>
    <t xml:space="preserve">JF00166782</t>
  </si>
  <si>
    <t xml:space="preserve">JF00166783</t>
  </si>
  <si>
    <t xml:space="preserve">JF00166784</t>
  </si>
  <si>
    <t xml:space="preserve">JF00166785</t>
  </si>
  <si>
    <t xml:space="preserve">C-F-06-A-01</t>
  </si>
  <si>
    <t xml:space="preserve">JF00166787</t>
  </si>
  <si>
    <t xml:space="preserve">JF00166788</t>
  </si>
  <si>
    <t xml:space="preserve">F-H-05-A-03</t>
  </si>
  <si>
    <t xml:space="preserve">JF00166789</t>
  </si>
  <si>
    <t xml:space="preserve">JF00166790</t>
  </si>
  <si>
    <t xml:space="preserve">F-H-14-B-01</t>
  </si>
  <si>
    <t xml:space="preserve">JF00166791</t>
  </si>
  <si>
    <t xml:space="preserve">F-H-26-A-01</t>
  </si>
  <si>
    <t xml:space="preserve">JF00166792</t>
  </si>
  <si>
    <t xml:space="preserve">JF00166793</t>
  </si>
  <si>
    <t xml:space="preserve">JF00166794</t>
  </si>
  <si>
    <t xml:space="preserve">JF00166795</t>
  </si>
  <si>
    <t xml:space="preserve">C-F-04-A-03</t>
  </si>
  <si>
    <t xml:space="preserve">JR00035887</t>
  </si>
  <si>
    <t xml:space="preserve">JR00035888</t>
  </si>
  <si>
    <t xml:space="preserve">JR00035889</t>
  </si>
  <si>
    <t xml:space="preserve">JR00035890</t>
  </si>
  <si>
    <t xml:space="preserve">JR00035891</t>
  </si>
  <si>
    <t xml:space="preserve">JR00035892</t>
  </si>
  <si>
    <t xml:space="preserve">JR00035027</t>
  </si>
  <si>
    <t xml:space="preserve">SHRM00003461</t>
  </si>
  <si>
    <t xml:space="preserve">JR00035028</t>
  </si>
  <si>
    <t xml:space="preserve">F-H-07-C-03</t>
  </si>
  <si>
    <t xml:space="preserve">JR00035019</t>
  </si>
  <si>
    <t xml:space="preserve">MWIN00712</t>
  </si>
  <si>
    <t xml:space="preserve">JR00035020</t>
  </si>
  <si>
    <t xml:space="preserve">JR00035021</t>
  </si>
  <si>
    <t xml:space="preserve">JR00035022</t>
  </si>
  <si>
    <t xml:space="preserve">JR00035023</t>
  </si>
  <si>
    <t xml:space="preserve">JR00035024</t>
  </si>
  <si>
    <t xml:space="preserve">JR00036552</t>
  </si>
  <si>
    <t xml:space="preserve">JR00036553</t>
  </si>
  <si>
    <t xml:space="preserve">JR00036554</t>
  </si>
  <si>
    <t xml:space="preserve">JR00036555</t>
  </si>
  <si>
    <t xml:space="preserve">JR00036566</t>
  </si>
  <si>
    <t xml:space="preserve">JR00036567</t>
  </si>
  <si>
    <t xml:space="preserve">JR00036568</t>
  </si>
  <si>
    <t xml:space="preserve">JR00036570</t>
  </si>
  <si>
    <t xml:space="preserve">JR00036632</t>
  </si>
  <si>
    <t xml:space="preserve">C-F-11-C-03</t>
  </si>
  <si>
    <t xml:space="preserve">JR00036633</t>
  </si>
  <si>
    <t xml:space="preserve">JR00036634</t>
  </si>
  <si>
    <t xml:space="preserve">C-F-09-C-03</t>
  </si>
  <si>
    <t xml:space="preserve">JR00036635</t>
  </si>
  <si>
    <t xml:space="preserve">C-F-07-C-01</t>
  </si>
  <si>
    <t xml:space="preserve">JR00036636</t>
  </si>
  <si>
    <t xml:space="preserve">JR00036637</t>
  </si>
  <si>
    <t xml:space="preserve">JR00036638</t>
  </si>
  <si>
    <t xml:space="preserve">JR00036639</t>
  </si>
  <si>
    <t xml:space="preserve">JR00036640</t>
  </si>
  <si>
    <t xml:space="preserve">JR00036642</t>
  </si>
  <si>
    <t xml:space="preserve">JR00036643</t>
  </si>
  <si>
    <t xml:space="preserve">JR00036644</t>
  </si>
  <si>
    <t xml:space="preserve">JR00036645</t>
  </si>
  <si>
    <t xml:space="preserve">C-F-17-C-03</t>
  </si>
  <si>
    <t xml:space="preserve">JR00036646</t>
  </si>
  <si>
    <t xml:space="preserve">C-F-17-C-01</t>
  </si>
  <si>
    <t xml:space="preserve">JR00036647</t>
  </si>
  <si>
    <t xml:space="preserve">JR00036648</t>
  </si>
  <si>
    <t xml:space="preserve">C-F-15-C-01</t>
  </si>
  <si>
    <t xml:space="preserve">JR00036649</t>
  </si>
  <si>
    <t xml:space="preserve">JR00036650</t>
  </si>
  <si>
    <t xml:space="preserve">C-B-35-A-01</t>
  </si>
  <si>
    <t xml:space="preserve">JR00036556</t>
  </si>
  <si>
    <t xml:space="preserve">SYSCO CLEAR LIQUID SOYBEAN FRY OIL 1x35 LB</t>
  </si>
  <si>
    <t xml:space="preserve">MWIN00646</t>
  </si>
  <si>
    <t xml:space="preserve">JR00036557</t>
  </si>
  <si>
    <t xml:space="preserve">C-D-37-C-03</t>
  </si>
  <si>
    <t xml:space="preserve">JR00036558</t>
  </si>
  <si>
    <t xml:space="preserve">C-D-37-C-01</t>
  </si>
  <si>
    <t xml:space="preserve">JR00036559</t>
  </si>
  <si>
    <t xml:space="preserve">C-D-41-C-01</t>
  </si>
  <si>
    <t xml:space="preserve">JR00036560</t>
  </si>
  <si>
    <t xml:space="preserve">C-D-43-C-03</t>
  </si>
  <si>
    <t xml:space="preserve">JR00036561</t>
  </si>
  <si>
    <t xml:space="preserve">C-D-43-C-01</t>
  </si>
  <si>
    <t xml:space="preserve">JR00036562</t>
  </si>
  <si>
    <t xml:space="preserve">C-D-41-C-03</t>
  </si>
  <si>
    <t xml:space="preserve">JR00036563</t>
  </si>
  <si>
    <t xml:space="preserve">JR00036564</t>
  </si>
  <si>
    <t xml:space="preserve">C-D-35-C-01</t>
  </si>
  <si>
    <t xml:space="preserve">JR00036565</t>
  </si>
  <si>
    <t xml:space="preserve">JR00036618</t>
  </si>
  <si>
    <t xml:space="preserve">JR00036619</t>
  </si>
  <si>
    <t xml:space="preserve">JR00036620</t>
  </si>
  <si>
    <t xml:space="preserve">JR00036621</t>
  </si>
  <si>
    <t xml:space="preserve">JR00036622</t>
  </si>
  <si>
    <t xml:space="preserve">JR00036623</t>
  </si>
  <si>
    <t xml:space="preserve">JR00036624</t>
  </si>
  <si>
    <t xml:space="preserve">JR00036625</t>
  </si>
  <si>
    <t xml:space="preserve">F-H-33-A-03</t>
  </si>
  <si>
    <t xml:space="preserve">JR00036626</t>
  </si>
  <si>
    <t xml:space="preserve">F-G-04-A-03</t>
  </si>
  <si>
    <t xml:space="preserve">JR00036627</t>
  </si>
  <si>
    <t xml:space="preserve">JR00036628</t>
  </si>
  <si>
    <t xml:space="preserve">C-A-02-C-03</t>
  </si>
  <si>
    <t xml:space="preserve">JR00036629</t>
  </si>
  <si>
    <t xml:space="preserve">JR00036630</t>
  </si>
  <si>
    <t xml:space="preserve">JR00035017</t>
  </si>
  <si>
    <t xml:space="preserve">Sweetbird Peach Iced Tea Syrup 1 Litre</t>
  </si>
  <si>
    <t xml:space="preserve">SHRM00003481</t>
  </si>
  <si>
    <t xml:space="preserve">JR00035018</t>
  </si>
  <si>
    <t xml:space="preserve">F-H-32-B-01</t>
  </si>
  <si>
    <t xml:space="preserve">JR00035025</t>
  </si>
  <si>
    <t xml:space="preserve">Sweetbird Vanilla Syrup 1 Litre</t>
  </si>
  <si>
    <t xml:space="preserve">JR00035026</t>
  </si>
  <si>
    <t xml:space="preserve">JR00037070</t>
  </si>
  <si>
    <t xml:space="preserve">SHRM00003582</t>
  </si>
  <si>
    <t xml:space="preserve">A0-AB-13-A-01</t>
  </si>
  <si>
    <t xml:space="preserve">JR00037533</t>
  </si>
  <si>
    <t xml:space="preserve">MWIN00986</t>
  </si>
  <si>
    <t xml:space="preserve">A0-AA-19-D-03</t>
  </si>
  <si>
    <t xml:space="preserve">JR00037535</t>
  </si>
  <si>
    <t xml:space="preserve">A0-AA-17-C-03</t>
  </si>
  <si>
    <t xml:space="preserve">JR00037536</t>
  </si>
  <si>
    <t xml:space="preserve">A0-AA-17-E-03</t>
  </si>
  <si>
    <t xml:space="preserve">JR00037537</t>
  </si>
  <si>
    <t xml:space="preserve">A0-AA-13-E-03</t>
  </si>
  <si>
    <t xml:space="preserve">JR00037538</t>
  </si>
  <si>
    <t xml:space="preserve">JR00037539</t>
  </si>
  <si>
    <t xml:space="preserve">JR00037540</t>
  </si>
  <si>
    <t xml:space="preserve">A0-AA-05-C-01</t>
  </si>
  <si>
    <t xml:space="preserve">JR00037541</t>
  </si>
  <si>
    <t xml:space="preserve">B-A-09-A-01</t>
  </si>
  <si>
    <t xml:space="preserve">JR00037542</t>
  </si>
  <si>
    <t xml:space="preserve">A0-AA-03-E-03</t>
  </si>
  <si>
    <t xml:space="preserve">JR00037543</t>
  </si>
  <si>
    <t xml:space="preserve">B-A-03-B-01</t>
  </si>
  <si>
    <t xml:space="preserve">JR00037544</t>
  </si>
  <si>
    <t xml:space="preserve">JR00037545</t>
  </si>
  <si>
    <t xml:space="preserve">JR00037546</t>
  </si>
  <si>
    <t xml:space="preserve">A0-AA-05-E-01</t>
  </si>
  <si>
    <t xml:space="preserve">JR00037547</t>
  </si>
  <si>
    <t xml:space="preserve">A0-AA-05-D-01</t>
  </si>
  <si>
    <t xml:space="preserve">JR00037548</t>
  </si>
  <si>
    <t xml:space="preserve">JR00037549</t>
  </si>
  <si>
    <t xml:space="preserve">JR00037550</t>
  </si>
  <si>
    <t xml:space="preserve">JR00037551</t>
  </si>
  <si>
    <t xml:space="preserve">JF00168311</t>
  </si>
  <si>
    <t xml:space="preserve">SHRM00003601</t>
  </si>
  <si>
    <t xml:space="preserve">JR00037321</t>
  </si>
  <si>
    <t xml:space="preserve">Aqua Carpatica Mineral Water 0.5L PET</t>
  </si>
  <si>
    <t xml:space="preserve">RIYINT00645</t>
  </si>
  <si>
    <t xml:space="preserve">JR00037322</t>
  </si>
  <si>
    <t xml:space="preserve">C-A-09-D-01</t>
  </si>
  <si>
    <t xml:space="preserve">JR00037323</t>
  </si>
  <si>
    <t xml:space="preserve">C-A-05-B-01</t>
  </si>
  <si>
    <t xml:space="preserve">JR00037324</t>
  </si>
  <si>
    <t xml:space="preserve">C-A-35-A-03</t>
  </si>
  <si>
    <t xml:space="preserve">JR00037325</t>
  </si>
  <si>
    <t xml:space="preserve">C-A-35-B-01</t>
  </si>
  <si>
    <t xml:space="preserve">JR00037358</t>
  </si>
  <si>
    <t xml:space="preserve">SHRM00003641</t>
  </si>
  <si>
    <t xml:space="preserve">F-H-32-A-01</t>
  </si>
  <si>
    <t xml:space="preserve">JR00037326</t>
  </si>
  <si>
    <t xml:space="preserve">MWIN00707</t>
  </si>
  <si>
    <t xml:space="preserve">C-C-44-A-03</t>
  </si>
  <si>
    <t xml:space="preserve">JR00037327</t>
  </si>
  <si>
    <t xml:space="preserve">C-C-20-A-01</t>
  </si>
  <si>
    <t xml:space="preserve">JR00037328</t>
  </si>
  <si>
    <t xml:space="preserve">C-C-44-A-01</t>
  </si>
  <si>
    <t xml:space="preserve">JR00037329</t>
  </si>
  <si>
    <t xml:space="preserve">C-C-42-A-03</t>
  </si>
  <si>
    <t xml:space="preserve">JR00037330</t>
  </si>
  <si>
    <t xml:space="preserve">C-C-42-A-01</t>
  </si>
  <si>
    <t xml:space="preserve">JR00037331</t>
  </si>
  <si>
    <t xml:space="preserve">JR00037332</t>
  </si>
  <si>
    <t xml:space="preserve">JR00037333</t>
  </si>
  <si>
    <t xml:space="preserve">JR00037334</t>
  </si>
  <si>
    <t xml:space="preserve">JR00037335</t>
  </si>
  <si>
    <t xml:space="preserve">JR00037336</t>
  </si>
  <si>
    <t xml:space="preserve">JR00037337</t>
  </si>
  <si>
    <t xml:space="preserve">JR00037338</t>
  </si>
  <si>
    <t xml:space="preserve">C-F-29-B-01</t>
  </si>
  <si>
    <t xml:space="preserve">JR00037339</t>
  </si>
  <si>
    <t xml:space="preserve">C-F-29-B-03</t>
  </si>
  <si>
    <t xml:space="preserve">JR00037340</t>
  </si>
  <si>
    <t xml:space="preserve">C-C-45-A-01</t>
  </si>
  <si>
    <t xml:space="preserve">JR00037341</t>
  </si>
  <si>
    <t xml:space="preserve">C-C-45-A-03</t>
  </si>
  <si>
    <t xml:space="preserve">JR00037342</t>
  </si>
  <si>
    <t xml:space="preserve">C-D-45-C-01</t>
  </si>
  <si>
    <t xml:space="preserve">JR00037343</t>
  </si>
  <si>
    <t xml:space="preserve">JR00037344</t>
  </si>
  <si>
    <t xml:space="preserve">JR00037345</t>
  </si>
  <si>
    <t xml:space="preserve">C-F-35-A-01</t>
  </si>
  <si>
    <t xml:space="preserve">JR00037346</t>
  </si>
  <si>
    <t xml:space="preserve">C-F-31-B-01</t>
  </si>
  <si>
    <t xml:space="preserve">JR00037347</t>
  </si>
  <si>
    <t xml:space="preserve">C-F-31-B-03</t>
  </si>
  <si>
    <t xml:space="preserve">JR00037348</t>
  </si>
  <si>
    <t xml:space="preserve">JR00037349</t>
  </si>
  <si>
    <t xml:space="preserve">C-D-45-C-03</t>
  </si>
  <si>
    <t xml:space="preserve">JR00037350</t>
  </si>
  <si>
    <t xml:space="preserve">C-C-43-A-01</t>
  </si>
  <si>
    <t xml:space="preserve">JR00037351</t>
  </si>
  <si>
    <t xml:space="preserve">C-C-43-A-03</t>
  </si>
  <si>
    <t xml:space="preserve">JR00037352</t>
  </si>
  <si>
    <t xml:space="preserve">C-C-46-A-01</t>
  </si>
  <si>
    <t xml:space="preserve">JR00037355</t>
  </si>
  <si>
    <t xml:space="preserve">C-C-04-A-03</t>
  </si>
  <si>
    <t xml:space="preserve">JR00037356</t>
  </si>
  <si>
    <t xml:space="preserve">F-H-10-A-06</t>
  </si>
  <si>
    <t xml:space="preserve">JR00037357</t>
  </si>
  <si>
    <t xml:space="preserve">C-C-02-A-03</t>
  </si>
  <si>
    <t xml:space="preserve">JR00037102</t>
  </si>
  <si>
    <t xml:space="preserve">MWIN00708</t>
  </si>
  <si>
    <t xml:space="preserve">JR00037103</t>
  </si>
  <si>
    <t xml:space="preserve">JR00037104</t>
  </si>
  <si>
    <t xml:space="preserve">C-E-03-A-01</t>
  </si>
  <si>
    <t xml:space="preserve">JR00037105</t>
  </si>
  <si>
    <t xml:space="preserve">C-E-03-A-03</t>
  </si>
  <si>
    <t xml:space="preserve">JR00037106</t>
  </si>
  <si>
    <t xml:space="preserve">C-E-05-A-01</t>
  </si>
  <si>
    <t xml:space="preserve">JR00037107</t>
  </si>
  <si>
    <t xml:space="preserve">JR00037108</t>
  </si>
  <si>
    <t xml:space="preserve">JR00037109</t>
  </si>
  <si>
    <t xml:space="preserve">JR00037110</t>
  </si>
  <si>
    <t xml:space="preserve">JR00037111</t>
  </si>
  <si>
    <t xml:space="preserve">C-E-09-A-03</t>
  </si>
  <si>
    <t xml:space="preserve">JR00037112</t>
  </si>
  <si>
    <t xml:space="preserve">C-E-11-A-01</t>
  </si>
  <si>
    <t xml:space="preserve">JR00037113</t>
  </si>
  <si>
    <t xml:space="preserve">C-E-11-A-03</t>
  </si>
  <si>
    <t xml:space="preserve">JR00037114</t>
  </si>
  <si>
    <t xml:space="preserve">C-E-13-A-01</t>
  </si>
  <si>
    <t xml:space="preserve">JR00037115</t>
  </si>
  <si>
    <t xml:space="preserve">C-E-13-A-03</t>
  </si>
  <si>
    <t xml:space="preserve">JR00037116</t>
  </si>
  <si>
    <t xml:space="preserve">C-E-15-A-01</t>
  </si>
  <si>
    <t xml:space="preserve">JR00037117</t>
  </si>
  <si>
    <t xml:space="preserve">C-E-15-A-03</t>
  </si>
  <si>
    <t xml:space="preserve">JR00037118</t>
  </si>
  <si>
    <t xml:space="preserve">JR00037119</t>
  </si>
  <si>
    <t xml:space="preserve">C-E-19-A-01</t>
  </si>
  <si>
    <t xml:space="preserve">JR00037120</t>
  </si>
  <si>
    <t xml:space="preserve">C-E-17-A-03</t>
  </si>
  <si>
    <t xml:space="preserve">JR00037121</t>
  </si>
  <si>
    <t xml:space="preserve">C-E-17-A-01</t>
  </si>
  <si>
    <t xml:space="preserve">JR00037122</t>
  </si>
  <si>
    <t xml:space="preserve">C-D-27-C-03</t>
  </si>
  <si>
    <t xml:space="preserve">JR00037123</t>
  </si>
  <si>
    <t xml:space="preserve">JR00037124</t>
  </si>
  <si>
    <t xml:space="preserve">C-D-15-C-01</t>
  </si>
  <si>
    <t xml:space="preserve">JR00037125</t>
  </si>
  <si>
    <t xml:space="preserve">JR00037126</t>
  </si>
  <si>
    <t xml:space="preserve">JR00037127</t>
  </si>
  <si>
    <t xml:space="preserve">C-D-11-C-01</t>
  </si>
  <si>
    <t xml:space="preserve">JR00037128</t>
  </si>
  <si>
    <t xml:space="preserve">JR00037129</t>
  </si>
  <si>
    <t xml:space="preserve">C-D-03-C-03</t>
  </si>
  <si>
    <t xml:space="preserve">JR00037130</t>
  </si>
  <si>
    <t xml:space="preserve">C-C-04-C-01</t>
  </si>
  <si>
    <t xml:space="preserve">JR00037301</t>
  </si>
  <si>
    <t xml:space="preserve">MWIN00652</t>
  </si>
  <si>
    <t xml:space="preserve">C-C-41-A-03</t>
  </si>
  <si>
    <t xml:space="preserve">JR00037302</t>
  </si>
  <si>
    <t xml:space="preserve">C-C-41-A-01</t>
  </si>
  <si>
    <t xml:space="preserve">JR00037303</t>
  </si>
  <si>
    <t xml:space="preserve">C-C-27-A-03</t>
  </si>
  <si>
    <t xml:space="preserve">JR00037304</t>
  </si>
  <si>
    <t xml:space="preserve">C-C-23-A-03</t>
  </si>
  <si>
    <t xml:space="preserve">JR00037305</t>
  </si>
  <si>
    <t xml:space="preserve">C-C-25-A-01</t>
  </si>
  <si>
    <t xml:space="preserve">JR00037306</t>
  </si>
  <si>
    <t xml:space="preserve">C-C-23-A-01</t>
  </si>
  <si>
    <t xml:space="preserve">JR00037307</t>
  </si>
  <si>
    <t xml:space="preserve">C-C-25-A-03</t>
  </si>
  <si>
    <t xml:space="preserve">JR00037308</t>
  </si>
  <si>
    <t xml:space="preserve">C-C-27-A-01</t>
  </si>
  <si>
    <t xml:space="preserve">JR00037309</t>
  </si>
  <si>
    <t xml:space="preserve">JR00037310</t>
  </si>
  <si>
    <t xml:space="preserve">JR00037311</t>
  </si>
  <si>
    <t xml:space="preserve">JR00037312</t>
  </si>
  <si>
    <t xml:space="preserve">JR00037313</t>
  </si>
  <si>
    <t xml:space="preserve">JR00037314</t>
  </si>
  <si>
    <t xml:space="preserve">JR00037315</t>
  </si>
  <si>
    <t xml:space="preserve">JR00037316</t>
  </si>
  <si>
    <t xml:space="preserve">JR00037317</t>
  </si>
  <si>
    <t xml:space="preserve">C-C-37-A-03</t>
  </si>
  <si>
    <t xml:space="preserve">JR00037318</t>
  </si>
  <si>
    <t xml:space="preserve">C-C-37-A-01</t>
  </si>
  <si>
    <t xml:space="preserve">JR00037319</t>
  </si>
  <si>
    <t xml:space="preserve">C-C-39-A-03</t>
  </si>
  <si>
    <t xml:space="preserve">JR00037320</t>
  </si>
  <si>
    <t xml:space="preserve">C-C-39-A-01</t>
  </si>
  <si>
    <t xml:space="preserve">JR00037522</t>
  </si>
  <si>
    <t xml:space="preserve">MWIN01004</t>
  </si>
  <si>
    <t xml:space="preserve">JR00037523</t>
  </si>
  <si>
    <t xml:space="preserve">A0-AA-13-D-03</t>
  </si>
  <si>
    <t xml:space="preserve">JR00037524</t>
  </si>
  <si>
    <t xml:space="preserve">A0-AA-17-A-03</t>
  </si>
  <si>
    <t xml:space="preserve">JR00037525</t>
  </si>
  <si>
    <t xml:space="preserve">A0-AA-16-A-01</t>
  </si>
  <si>
    <t xml:space="preserve">JR00037526</t>
  </si>
  <si>
    <t xml:space="preserve">JR00037527</t>
  </si>
  <si>
    <t xml:space="preserve">A0-AB-06-A-01</t>
  </si>
  <si>
    <t xml:space="preserve">JR00037528</t>
  </si>
  <si>
    <t xml:space="preserve">A0-AA-11-B-03</t>
  </si>
  <si>
    <t xml:space="preserve">JR00037529</t>
  </si>
  <si>
    <t xml:space="preserve">JR00037530</t>
  </si>
  <si>
    <t xml:space="preserve">JR00041253</t>
  </si>
  <si>
    <t xml:space="preserve">JR00041254</t>
  </si>
  <si>
    <t xml:space="preserve">JR00037554</t>
  </si>
  <si>
    <t xml:space="preserve">MWIN01002</t>
  </si>
  <si>
    <t xml:space="preserve">A0-AA-05-A-03</t>
  </si>
  <si>
    <t xml:space="preserve">JR00037359</t>
  </si>
  <si>
    <t xml:space="preserve">MWIN00706</t>
  </si>
  <si>
    <t xml:space="preserve">C-C-06-A-01</t>
  </si>
  <si>
    <t xml:space="preserve">JR00037360</t>
  </si>
  <si>
    <t xml:space="preserve">C-C-06-A-03</t>
  </si>
  <si>
    <t xml:space="preserve">JR00037361</t>
  </si>
  <si>
    <t xml:space="preserve">C-C-08-A-01</t>
  </si>
  <si>
    <t xml:space="preserve">JR00037362</t>
  </si>
  <si>
    <t xml:space="preserve">C-C-08-A-03</t>
  </si>
  <si>
    <t xml:space="preserve">JR00037363</t>
  </si>
  <si>
    <t xml:space="preserve">C-C-10-A-01</t>
  </si>
  <si>
    <t xml:space="preserve">JR00037364</t>
  </si>
  <si>
    <t xml:space="preserve">C-C-10-A-03</t>
  </si>
  <si>
    <t xml:space="preserve">JR00037365</t>
  </si>
  <si>
    <t xml:space="preserve">C-C-12-A-01</t>
  </si>
  <si>
    <t xml:space="preserve">JR00037366</t>
  </si>
  <si>
    <t xml:space="preserve">C-C-12-A-03</t>
  </si>
  <si>
    <t xml:space="preserve">JR00037367</t>
  </si>
  <si>
    <t xml:space="preserve">C-C-14-A-01</t>
  </si>
  <si>
    <t xml:space="preserve">JR00037368</t>
  </si>
  <si>
    <t xml:space="preserve">C-C-14-A-03</t>
  </si>
  <si>
    <t xml:space="preserve">JR00037369</t>
  </si>
  <si>
    <t xml:space="preserve">C-C-16-A-01</t>
  </si>
  <si>
    <t xml:space="preserve">JR00037370</t>
  </si>
  <si>
    <t xml:space="preserve">C-C-16-A-03</t>
  </si>
  <si>
    <t xml:space="preserve">JR00037371</t>
  </si>
  <si>
    <t xml:space="preserve">C-C-11-A-03</t>
  </si>
  <si>
    <t xml:space="preserve">JR00037372</t>
  </si>
  <si>
    <t xml:space="preserve">JR00037373</t>
  </si>
  <si>
    <t xml:space="preserve">C-C-04-A-01</t>
  </si>
  <si>
    <t xml:space="preserve">JR00037374</t>
  </si>
  <si>
    <t xml:space="preserve">JR00037375</t>
  </si>
  <si>
    <t xml:space="preserve">JR00037376</t>
  </si>
  <si>
    <t xml:space="preserve">C-C-18-A-03</t>
  </si>
  <si>
    <t xml:space="preserve">JR00037377</t>
  </si>
  <si>
    <t xml:space="preserve">JR00037378</t>
  </si>
  <si>
    <t xml:space="preserve">JR00037379</t>
  </si>
  <si>
    <t xml:space="preserve">JR00037380</t>
  </si>
  <si>
    <t xml:space="preserve">JR00037381</t>
  </si>
  <si>
    <t xml:space="preserve">JR00037382</t>
  </si>
  <si>
    <t xml:space="preserve">JR00037383</t>
  </si>
  <si>
    <t xml:space="preserve">JR00037384</t>
  </si>
  <si>
    <t xml:space="preserve">C-C-46-A-03</t>
  </si>
  <si>
    <t xml:space="preserve">JR00037385</t>
  </si>
  <si>
    <t xml:space="preserve">JR00037386</t>
  </si>
  <si>
    <t xml:space="preserve">C-C-07-A-03</t>
  </si>
  <si>
    <t xml:space="preserve">JR00037387</t>
  </si>
  <si>
    <t xml:space="preserve">C-A-14-C-01</t>
  </si>
  <si>
    <t xml:space="preserve">JR00037389</t>
  </si>
  <si>
    <t xml:space="preserve">JR00037390</t>
  </si>
  <si>
    <t xml:space="preserve">C-C-09-A-01</t>
  </si>
  <si>
    <t xml:space="preserve">JR00037050</t>
  </si>
  <si>
    <t xml:space="preserve">Chefâ€™s Line French Fries 9 MM ( Straight Cut ) 4x2.5 Kg -Grade AA</t>
  </si>
  <si>
    <t xml:space="preserve">DAMINT00457</t>
  </si>
  <si>
    <t xml:space="preserve">CTN</t>
  </si>
  <si>
    <t xml:space="preserve">JR00037051</t>
  </si>
  <si>
    <t xml:space="preserve">A0-AA-06-E-03</t>
  </si>
  <si>
    <t xml:space="preserve">JR00037052</t>
  </si>
  <si>
    <t xml:space="preserve">JR00037053</t>
  </si>
  <si>
    <t xml:space="preserve">JR00037054</t>
  </si>
  <si>
    <t xml:space="preserve">A0-AA-10-C-03</t>
  </si>
  <si>
    <t xml:space="preserve">JR00037055</t>
  </si>
  <si>
    <t xml:space="preserve">JR00037056</t>
  </si>
  <si>
    <t xml:space="preserve">JR00037057</t>
  </si>
  <si>
    <t xml:space="preserve">JR00037058</t>
  </si>
  <si>
    <t xml:space="preserve">A0-AA-06-D-01</t>
  </si>
  <si>
    <t xml:space="preserve">JR00037059</t>
  </si>
  <si>
    <t xml:space="preserve">JR00037060</t>
  </si>
  <si>
    <t xml:space="preserve">JR00037061</t>
  </si>
  <si>
    <t xml:space="preserve">JR00037062</t>
  </si>
  <si>
    <t xml:space="preserve">JR00037063</t>
  </si>
  <si>
    <t xml:space="preserve">JR00037064</t>
  </si>
  <si>
    <t xml:space="preserve">Chef's Line French Fries 7 MM ( Straight Cut) 4x2.5 Kg -Grade AA</t>
  </si>
  <si>
    <t xml:space="preserve">A0-AA-08-A-03</t>
  </si>
  <si>
    <t xml:space="preserve">JR00037065</t>
  </si>
  <si>
    <t xml:space="preserve">JR00037066</t>
  </si>
  <si>
    <t xml:space="preserve">JR00037067</t>
  </si>
  <si>
    <t xml:space="preserve">JR00037068</t>
  </si>
  <si>
    <t xml:space="preserve">JR00037045</t>
  </si>
  <si>
    <t xml:space="preserve">MWIN00985E</t>
  </si>
  <si>
    <t xml:space="preserve">A0-AB-08-B-03</t>
  </si>
  <si>
    <t xml:space="preserve">JR00037047</t>
  </si>
  <si>
    <t xml:space="preserve">A0-AA-06-B-01</t>
  </si>
  <si>
    <t xml:space="preserve">JR00037048</t>
  </si>
  <si>
    <t xml:space="preserve">JR00037049</t>
  </si>
  <si>
    <t xml:space="preserve">A0-AB-16-A-03</t>
  </si>
  <si>
    <t xml:space="preserve">JF00168068</t>
  </si>
  <si>
    <t xml:space="preserve">MWIN00653</t>
  </si>
  <si>
    <t xml:space="preserve">C-B-31-C-03</t>
  </si>
  <si>
    <t xml:space="preserve">JR00036699</t>
  </si>
  <si>
    <t xml:space="preserve">JR00036700</t>
  </si>
  <si>
    <t xml:space="preserve">C-B-15-B-02</t>
  </si>
  <si>
    <t xml:space="preserve">JR00036701</t>
  </si>
  <si>
    <t xml:space="preserve">JR00036807</t>
  </si>
  <si>
    <t xml:space="preserve">C-F-30-A-03</t>
  </si>
  <si>
    <t xml:space="preserve">JR00036808</t>
  </si>
  <si>
    <t xml:space="preserve">C-B-15-A-01</t>
  </si>
  <si>
    <t xml:space="preserve">JR00036809</t>
  </si>
  <si>
    <t xml:space="preserve">C-B-46-A-03</t>
  </si>
  <si>
    <t xml:space="preserve">JR00036810</t>
  </si>
  <si>
    <t xml:space="preserve">JR00036811</t>
  </si>
  <si>
    <t xml:space="preserve">C-D-39-C-01</t>
  </si>
  <si>
    <t xml:space="preserve">JR00036812</t>
  </si>
  <si>
    <t xml:space="preserve">JR00036813</t>
  </si>
  <si>
    <t xml:space="preserve">C-B-18-A-01</t>
  </si>
  <si>
    <t xml:space="preserve">JR00036814</t>
  </si>
  <si>
    <t xml:space="preserve">JR00036815</t>
  </si>
  <si>
    <t xml:space="preserve">JR00036816</t>
  </si>
  <si>
    <t xml:space="preserve">C-C-05-A-01</t>
  </si>
  <si>
    <t xml:space="preserve">JR00036817</t>
  </si>
  <si>
    <t xml:space="preserve">C-C-03-A-03</t>
  </si>
  <si>
    <t xml:space="preserve">JR00036818</t>
  </si>
  <si>
    <t xml:space="preserve">C-C-32-B-03</t>
  </si>
  <si>
    <t xml:space="preserve">JR00036819</t>
  </si>
  <si>
    <t xml:space="preserve">C-A-31-A-03</t>
  </si>
  <si>
    <t xml:space="preserve">JR00036820</t>
  </si>
  <si>
    <t xml:space="preserve">C-A-31-A-01</t>
  </si>
  <si>
    <t xml:space="preserve">JR00036821</t>
  </si>
  <si>
    <t xml:space="preserve">C-A-33-A-03</t>
  </si>
  <si>
    <t xml:space="preserve">JR00036822</t>
  </si>
  <si>
    <t xml:space="preserve">C-C-30-B-01</t>
  </si>
  <si>
    <t xml:space="preserve">JR00036823</t>
  </si>
  <si>
    <t xml:space="preserve">JR00036824</t>
  </si>
  <si>
    <t xml:space="preserve">JR00036825</t>
  </si>
  <si>
    <t xml:space="preserve">JR00036826</t>
  </si>
  <si>
    <t xml:space="preserve">C-F-30-A-01</t>
  </si>
  <si>
    <t xml:space="preserve">JR00036827</t>
  </si>
  <si>
    <t xml:space="preserve">C-C-27-B-01</t>
  </si>
  <si>
    <t xml:space="preserve">JR00037021</t>
  </si>
  <si>
    <t xml:space="preserve">DAMINT00442</t>
  </si>
  <si>
    <t xml:space="preserve">JR00037022</t>
  </si>
  <si>
    <t xml:space="preserve">JR00037023</t>
  </si>
  <si>
    <t xml:space="preserve">JR00037024</t>
  </si>
  <si>
    <t xml:space="preserve">JR00037025</t>
  </si>
  <si>
    <t xml:space="preserve">A0-AA-11-E-03</t>
  </si>
  <si>
    <t xml:space="preserve">JR00037026</t>
  </si>
  <si>
    <t xml:space="preserve">JR00037027</t>
  </si>
  <si>
    <t xml:space="preserve">A0-AA-15-D-03</t>
  </si>
  <si>
    <t xml:space="preserve">JR00037028</t>
  </si>
  <si>
    <t xml:space="preserve">A0-AA-15-E-03</t>
  </si>
  <si>
    <t xml:space="preserve">JR00037030</t>
  </si>
  <si>
    <t xml:space="preserve">A0-AA-17-C-01</t>
  </si>
  <si>
    <t xml:space="preserve">JR00037031</t>
  </si>
  <si>
    <t xml:space="preserve">JR00037032</t>
  </si>
  <si>
    <t xml:space="preserve">A0-AA-17-D-01</t>
  </si>
  <si>
    <t xml:space="preserve">JR00037033</t>
  </si>
  <si>
    <t xml:space="preserve">JR00037034</t>
  </si>
  <si>
    <t xml:space="preserve">A0-AA-19-B-01</t>
  </si>
  <si>
    <t xml:space="preserve">JR00037035</t>
  </si>
  <si>
    <t xml:space="preserve">JR00037036</t>
  </si>
  <si>
    <t xml:space="preserve">JR00037037</t>
  </si>
  <si>
    <t xml:space="preserve">JR00037038</t>
  </si>
  <si>
    <t xml:space="preserve">A0-AA-08-E-03</t>
  </si>
  <si>
    <t xml:space="preserve">JR00037039</t>
  </si>
  <si>
    <t xml:space="preserve">JR00037040</t>
  </si>
  <si>
    <t xml:space="preserve">A0-AA-08-E-01</t>
  </si>
  <si>
    <t xml:space="preserve">JR00037041</t>
  </si>
  <si>
    <t xml:space="preserve">JR00037042</t>
  </si>
  <si>
    <t xml:space="preserve">A0-AA-06-E-01</t>
  </si>
  <si>
    <t xml:space="preserve">JR00037043</t>
  </si>
  <si>
    <t xml:space="preserve">A0-AA-19-C-01</t>
  </si>
  <si>
    <t xml:space="preserve">JR00037044</t>
  </si>
  <si>
    <t xml:space="preserve">A0-AA-15-A-02</t>
  </si>
  <si>
    <t xml:space="preserve">JR00036828</t>
  </si>
  <si>
    <t xml:space="preserve">MWIN00710</t>
  </si>
  <si>
    <t xml:space="preserve">JR00036829</t>
  </si>
  <si>
    <t xml:space="preserve">JR00036830</t>
  </si>
  <si>
    <t xml:space="preserve">C-A-26-A-01</t>
  </si>
  <si>
    <t xml:space="preserve">JR00036831</t>
  </si>
  <si>
    <t xml:space="preserve">JR00036832</t>
  </si>
  <si>
    <t xml:space="preserve">JR00036833</t>
  </si>
  <si>
    <t xml:space="preserve">JR00036834</t>
  </si>
  <si>
    <t xml:space="preserve">C-A-20-A-03</t>
  </si>
  <si>
    <t xml:space="preserve">JR00036835</t>
  </si>
  <si>
    <t xml:space="preserve">C-A-28-A-01</t>
  </si>
  <si>
    <t xml:space="preserve">JR00036836</t>
  </si>
  <si>
    <t xml:space="preserve">JR00036837</t>
  </si>
  <si>
    <t xml:space="preserve">C-A-30-A-03</t>
  </si>
  <si>
    <t xml:space="preserve">JR00036838</t>
  </si>
  <si>
    <t xml:space="preserve">JR00037083</t>
  </si>
  <si>
    <t xml:space="preserve">F-G-20-A-03</t>
  </si>
  <si>
    <t xml:space="preserve">JR00037084</t>
  </si>
  <si>
    <t xml:space="preserve">F-G-14-A-01</t>
  </si>
  <si>
    <t xml:space="preserve">JR00037085</t>
  </si>
  <si>
    <t xml:space="preserve">JR00037086</t>
  </si>
  <si>
    <t xml:space="preserve">C-B-05-A-01</t>
  </si>
  <si>
    <t xml:space="preserve">JR00037087</t>
  </si>
  <si>
    <t xml:space="preserve">F-H-18-A-01</t>
  </si>
  <si>
    <t xml:space="preserve">JR00037088</t>
  </si>
  <si>
    <t xml:space="preserve">F-H-03-A-01</t>
  </si>
  <si>
    <t xml:space="preserve">JR00037089</t>
  </si>
  <si>
    <t xml:space="preserve">JR00037090</t>
  </si>
  <si>
    <t xml:space="preserve">JR00037091</t>
  </si>
  <si>
    <t xml:space="preserve">JR00037092</t>
  </si>
  <si>
    <t xml:space="preserve">JR00037093</t>
  </si>
  <si>
    <t xml:space="preserve">F-H-23-A-01</t>
  </si>
  <si>
    <t xml:space="preserve">JR00037094</t>
  </si>
  <si>
    <t xml:space="preserve">JR00037095</t>
  </si>
  <si>
    <t xml:space="preserve">JR00037096</t>
  </si>
  <si>
    <t xml:space="preserve">JR00037097</t>
  </si>
  <si>
    <t xml:space="preserve">C-A-40-A-01</t>
  </si>
  <si>
    <t xml:space="preserve">JR00037098</t>
  </si>
  <si>
    <t xml:space="preserve">C-A-34-A-03</t>
  </si>
  <si>
    <t xml:space="preserve">JR00037099</t>
  </si>
  <si>
    <t xml:space="preserve">JR00037100</t>
  </si>
  <si>
    <t xml:space="preserve">C-A-19-A-01</t>
  </si>
  <si>
    <t xml:space="preserve">JR00037001</t>
  </si>
  <si>
    <t xml:space="preserve">MWIN00985</t>
  </si>
  <si>
    <t xml:space="preserve">JR00037002</t>
  </si>
  <si>
    <t xml:space="preserve">JR00037561</t>
  </si>
  <si>
    <t xml:space="preserve">MWIN00992</t>
  </si>
  <si>
    <t xml:space="preserve">JR00037563</t>
  </si>
  <si>
    <t xml:space="preserve">JR00037565</t>
  </si>
  <si>
    <t xml:space="preserve">A0-AB-14-B-03</t>
  </si>
  <si>
    <t xml:space="preserve">JR00037566</t>
  </si>
  <si>
    <t xml:space="preserve">A0-AB-14-A-01</t>
  </si>
  <si>
    <t xml:space="preserve">JR00037567</t>
  </si>
  <si>
    <t xml:space="preserve">A0-AB-14-C-01</t>
  </si>
  <si>
    <t xml:space="preserve">JR00037569</t>
  </si>
  <si>
    <t xml:space="preserve">B-A-01-D-01</t>
  </si>
  <si>
    <t xml:space="preserve">JR00037570</t>
  </si>
  <si>
    <t xml:space="preserve">A0-AB-14-D-01</t>
  </si>
  <si>
    <t xml:space="preserve">JR00037571</t>
  </si>
  <si>
    <t xml:space="preserve">JR00037572</t>
  </si>
  <si>
    <t xml:space="preserve">JR00037573</t>
  </si>
  <si>
    <t xml:space="preserve">JR00037574</t>
  </si>
  <si>
    <t xml:space="preserve">A0-AB-12-B-01</t>
  </si>
  <si>
    <t xml:space="preserve">JR00037575</t>
  </si>
  <si>
    <t xml:space="preserve">A0-AB-12-B-03</t>
  </si>
  <si>
    <t xml:space="preserve">JR00037576</t>
  </si>
  <si>
    <t xml:space="preserve">A0-AB-12-C-01</t>
  </si>
  <si>
    <t xml:space="preserve">JR00037577</t>
  </si>
  <si>
    <t xml:space="preserve">A0-AB-12-E-01</t>
  </si>
  <si>
    <t xml:space="preserve">JR00037578</t>
  </si>
  <si>
    <t xml:space="preserve">A0-AB-16-B-01</t>
  </si>
  <si>
    <t xml:space="preserve">JR00037579</t>
  </si>
  <si>
    <t xml:space="preserve">A0-AB-12-E-03</t>
  </si>
  <si>
    <t xml:space="preserve">JR00037580</t>
  </si>
  <si>
    <t xml:space="preserve">JR00036741</t>
  </si>
  <si>
    <t xml:space="preserve">MWIN00971</t>
  </si>
  <si>
    <t xml:space="preserve">JR00036859</t>
  </si>
  <si>
    <t xml:space="preserve">MWIN00709</t>
  </si>
  <si>
    <t xml:space="preserve">JR00036860</t>
  </si>
  <si>
    <t xml:space="preserve">JR00036861</t>
  </si>
  <si>
    <t xml:space="preserve">JR00036862</t>
  </si>
  <si>
    <t xml:space="preserve">JR00036863</t>
  </si>
  <si>
    <t xml:space="preserve">JR00036864</t>
  </si>
  <si>
    <t xml:space="preserve">JR00036865</t>
  </si>
  <si>
    <t xml:space="preserve">JR00036866</t>
  </si>
  <si>
    <t xml:space="preserve">JR00036867</t>
  </si>
  <si>
    <t xml:space="preserve">JR00036868</t>
  </si>
  <si>
    <t xml:space="preserve">JR00036869</t>
  </si>
  <si>
    <t xml:space="preserve">JR00036870</t>
  </si>
  <si>
    <t xml:space="preserve">JR00036871</t>
  </si>
  <si>
    <t xml:space="preserve">JR00036872</t>
  </si>
  <si>
    <t xml:space="preserve">JR00036873</t>
  </si>
  <si>
    <t xml:space="preserve">JR00036874</t>
  </si>
  <si>
    <t xml:space="preserve">JR00036875</t>
  </si>
  <si>
    <t xml:space="preserve">JR00037848</t>
  </si>
  <si>
    <t xml:space="preserve">JR00037849</t>
  </si>
  <si>
    <t xml:space="preserve">JR00037850</t>
  </si>
  <si>
    <t xml:space="preserve">JR00037851</t>
  </si>
  <si>
    <t xml:space="preserve">JR00037852</t>
  </si>
  <si>
    <t xml:space="preserve">JR00037853</t>
  </si>
  <si>
    <t xml:space="preserve">JR00037854</t>
  </si>
  <si>
    <t xml:space="preserve">JR00037855</t>
  </si>
  <si>
    <t xml:space="preserve">JR00037856</t>
  </si>
  <si>
    <t xml:space="preserve">JR00037857</t>
  </si>
  <si>
    <t xml:space="preserve">JR00037858</t>
  </si>
  <si>
    <t xml:space="preserve">JR00037859</t>
  </si>
  <si>
    <t xml:space="preserve">JR00036682</t>
  </si>
  <si>
    <t xml:space="preserve">MWIN00647</t>
  </si>
  <si>
    <t xml:space="preserve">C-B-18-A-03</t>
  </si>
  <si>
    <t xml:space="preserve">JR00036683</t>
  </si>
  <si>
    <t xml:space="preserve">C-A-07-A-03</t>
  </si>
  <si>
    <t xml:space="preserve">JR00036684</t>
  </si>
  <si>
    <t xml:space="preserve">JR00036685</t>
  </si>
  <si>
    <t xml:space="preserve">JR00036686</t>
  </si>
  <si>
    <t xml:space="preserve">JR00036687</t>
  </si>
  <si>
    <t xml:space="preserve">JR00036688</t>
  </si>
  <si>
    <t xml:space="preserve">C-A-06-A-01</t>
  </si>
  <si>
    <t xml:space="preserve">JR00036689</t>
  </si>
  <si>
    <t xml:space="preserve">JR00036690</t>
  </si>
  <si>
    <t xml:space="preserve">C-A-06-A-03</t>
  </si>
  <si>
    <t xml:space="preserve">JR00036691</t>
  </si>
  <si>
    <t xml:space="preserve">C-B-11-A-03</t>
  </si>
  <si>
    <t xml:space="preserve">JR00036692</t>
  </si>
  <si>
    <t xml:space="preserve">C-A-08-A-03</t>
  </si>
  <si>
    <t xml:space="preserve">JR00036693</t>
  </si>
  <si>
    <t xml:space="preserve">C-A-02-A-01</t>
  </si>
  <si>
    <t xml:space="preserve">JR00036781</t>
  </si>
  <si>
    <t xml:space="preserve">JR00036782</t>
  </si>
  <si>
    <t xml:space="preserve">JR00036783</t>
  </si>
  <si>
    <t xml:space="preserve">JR00036784</t>
  </si>
  <si>
    <t xml:space="preserve">JR00036785</t>
  </si>
  <si>
    <t xml:space="preserve">JR00036786</t>
  </si>
  <si>
    <t xml:space="preserve">JR00036787</t>
  </si>
  <si>
    <t xml:space="preserve">JR00036788</t>
  </si>
  <si>
    <t xml:space="preserve">C-B-29-C-03</t>
  </si>
  <si>
    <t xml:space="preserve">JR00036789</t>
  </si>
  <si>
    <t xml:space="preserve">C-A-20-C-01</t>
  </si>
  <si>
    <t xml:space="preserve">JR00036876</t>
  </si>
  <si>
    <t xml:space="preserve">JR00036877</t>
  </si>
  <si>
    <t xml:space="preserve">JR00036878</t>
  </si>
  <si>
    <t xml:space="preserve">C-A-04-A-01</t>
  </si>
  <si>
    <t xml:space="preserve">JR00036879</t>
  </si>
  <si>
    <t xml:space="preserve">JR00036880</t>
  </si>
  <si>
    <t xml:space="preserve">JR00036839</t>
  </si>
  <si>
    <t xml:space="preserve">MWIN00777</t>
  </si>
  <si>
    <t xml:space="preserve">C-A-36-B-03</t>
  </si>
  <si>
    <t xml:space="preserve">JR00036840</t>
  </si>
  <si>
    <t xml:space="preserve">JR00036841</t>
  </si>
  <si>
    <t xml:space="preserve">C-B-39-B-01</t>
  </si>
  <si>
    <t xml:space="preserve">JR00036842</t>
  </si>
  <si>
    <t xml:space="preserve">C-B-09-C-03</t>
  </si>
  <si>
    <t xml:space="preserve">JR00036843</t>
  </si>
  <si>
    <t xml:space="preserve">C-A-34-C-03</t>
  </si>
  <si>
    <t xml:space="preserve">JR00036844</t>
  </si>
  <si>
    <t xml:space="preserve">C-B-14-C-02</t>
  </si>
  <si>
    <t xml:space="preserve">JR00036845</t>
  </si>
  <si>
    <t xml:space="preserve">JR00036847</t>
  </si>
  <si>
    <t xml:space="preserve">C-C-33-B-03</t>
  </si>
  <si>
    <t xml:space="preserve">JR00036848</t>
  </si>
  <si>
    <t xml:space="preserve">C-C-33-B-01</t>
  </si>
  <si>
    <t xml:space="preserve">JR00036849</t>
  </si>
  <si>
    <t xml:space="preserve">C-B-01-C-03</t>
  </si>
  <si>
    <t xml:space="preserve">JR00036850</t>
  </si>
  <si>
    <t xml:space="preserve">C-B-37-B-03</t>
  </si>
  <si>
    <t xml:space="preserve">JR00036851</t>
  </si>
  <si>
    <t xml:space="preserve">JR00036852</t>
  </si>
  <si>
    <t xml:space="preserve">C-B-01-A-01</t>
  </si>
  <si>
    <t xml:space="preserve">JR00036853</t>
  </si>
  <si>
    <t xml:space="preserve">C-B-07-B-03</t>
  </si>
  <si>
    <t xml:space="preserve">JR00036854</t>
  </si>
  <si>
    <t xml:space="preserve">C-A-40-A-04</t>
  </si>
  <si>
    <t xml:space="preserve">JR00036855</t>
  </si>
  <si>
    <t xml:space="preserve">F-G-38-C-03</t>
  </si>
  <si>
    <t xml:space="preserve">JR00036856</t>
  </si>
  <si>
    <t xml:space="preserve">F-G-38-C-01</t>
  </si>
  <si>
    <t xml:space="preserve">JR00036857</t>
  </si>
  <si>
    <t xml:space="preserve">C-C-37-B-03</t>
  </si>
  <si>
    <t xml:space="preserve">JR00036858</t>
  </si>
  <si>
    <t xml:space="preserve">JR00037581</t>
  </si>
  <si>
    <t xml:space="preserve">SHRM00003661</t>
  </si>
  <si>
    <t xml:space="preserve">jose</t>
  </si>
  <si>
    <t xml:space="preserve">A0-AA-19-A-03</t>
  </si>
  <si>
    <t xml:space="preserve">JR00036694</t>
  </si>
  <si>
    <t xml:space="preserve">SHRM00003561</t>
  </si>
  <si>
    <t xml:space="preserve">JR00036695</t>
  </si>
  <si>
    <t xml:space="preserve">JR00036696</t>
  </si>
  <si>
    <t xml:space="preserve">JR00036697</t>
  </si>
  <si>
    <t xml:space="preserve">JR00036698</t>
  </si>
  <si>
    <t xml:space="preserve">JR00036681</t>
  </si>
  <si>
    <t xml:space="preserve">SHRM00003541</t>
  </si>
  <si>
    <t xml:space="preserve">JR00037391</t>
  </si>
  <si>
    <t xml:space="preserve">Aqua Carpatica Mineral Water 250ml</t>
  </si>
  <si>
    <t xml:space="preserve">MWIN00982</t>
  </si>
  <si>
    <t xml:space="preserve">JR00037392</t>
  </si>
  <si>
    <t xml:space="preserve">JR00037393</t>
  </si>
  <si>
    <t xml:space="preserve">F-H-16-A-03</t>
  </si>
  <si>
    <t xml:space="preserve">JR00037394</t>
  </si>
  <si>
    <t xml:space="preserve">C-C-37-C-01</t>
  </si>
  <si>
    <t xml:space="preserve">JR00037395</t>
  </si>
  <si>
    <t xml:space="preserve">C-A-28-C-02</t>
  </si>
  <si>
    <t xml:space="preserve">JR00037396</t>
  </si>
  <si>
    <t xml:space="preserve">C-A-02-C-01</t>
  </si>
  <si>
    <t xml:space="preserve">JR00037397</t>
  </si>
  <si>
    <t xml:space="preserve">C-A-35-B-03</t>
  </si>
  <si>
    <t xml:space="preserve">JR00037398</t>
  </si>
  <si>
    <t xml:space="preserve">C-A-33-B-01</t>
  </si>
  <si>
    <t xml:space="preserve">JR00037399</t>
  </si>
  <si>
    <t xml:space="preserve">C-B-37-A-03</t>
  </si>
  <si>
    <t xml:space="preserve">JR00037400</t>
  </si>
  <si>
    <t xml:space="preserve">JR00037401</t>
  </si>
  <si>
    <t xml:space="preserve">JR00037402</t>
  </si>
  <si>
    <t xml:space="preserve">JR00037403</t>
  </si>
  <si>
    <t xml:space="preserve">JR00037404</t>
  </si>
  <si>
    <t xml:space="preserve">C-A-19-A-03</t>
  </si>
  <si>
    <t xml:space="preserve">JR00037405</t>
  </si>
  <si>
    <t xml:space="preserve">C-B-08-B-03</t>
  </si>
  <si>
    <t xml:space="preserve">JR00037406</t>
  </si>
  <si>
    <t xml:space="preserve">C-A-39-A-01</t>
  </si>
  <si>
    <t xml:space="preserve">JR00037407</t>
  </si>
  <si>
    <t xml:space="preserve">JR00037408</t>
  </si>
  <si>
    <t xml:space="preserve">JR00037409</t>
  </si>
  <si>
    <t xml:space="preserve">JR00037821</t>
  </si>
  <si>
    <t xml:space="preserve">MWIN00996</t>
  </si>
  <si>
    <t xml:space="preserve">JR00037822</t>
  </si>
  <si>
    <t xml:space="preserve">JR00037823</t>
  </si>
  <si>
    <t xml:space="preserve">JR00037824</t>
  </si>
  <si>
    <t xml:space="preserve">A0-AA-13-E-02</t>
  </si>
  <si>
    <t xml:space="preserve">JR00037825</t>
  </si>
  <si>
    <t xml:space="preserve">JR00037828</t>
  </si>
  <si>
    <t xml:space="preserve">JR00037829</t>
  </si>
  <si>
    <t xml:space="preserve">JR00037830</t>
  </si>
  <si>
    <t xml:space="preserve">JR00037831</t>
  </si>
  <si>
    <t xml:space="preserve">JR00037835</t>
  </si>
  <si>
    <t xml:space="preserve">JR00038153</t>
  </si>
  <si>
    <t xml:space="preserve">DAMINT00491</t>
  </si>
  <si>
    <t xml:space="preserve">C-C-45-B-01</t>
  </si>
  <si>
    <t xml:space="preserve">JR00037860</t>
  </si>
  <si>
    <t xml:space="preserve">SHRM00003701</t>
  </si>
  <si>
    <t xml:space="preserve">F-H-02-A-06</t>
  </si>
  <si>
    <t xml:space="preserve">JR00038081</t>
  </si>
  <si>
    <t xml:space="preserve">MWIN00995</t>
  </si>
  <si>
    <t xml:space="preserve">A0-AA-06-B-02</t>
  </si>
  <si>
    <t xml:space="preserve">JR00038082</t>
  </si>
  <si>
    <t xml:space="preserve">A0-AA-17-A-02</t>
  </si>
  <si>
    <t xml:space="preserve">JR00038083</t>
  </si>
  <si>
    <t xml:space="preserve">JR00038084</t>
  </si>
  <si>
    <t xml:space="preserve">JR00038085</t>
  </si>
  <si>
    <t xml:space="preserve">JR00038086</t>
  </si>
  <si>
    <t xml:space="preserve">A0-AA-09-C-03</t>
  </si>
  <si>
    <t xml:space="preserve">JR00038087</t>
  </si>
  <si>
    <t xml:space="preserve">JR00038088</t>
  </si>
  <si>
    <t xml:space="preserve">JR00038089</t>
  </si>
  <si>
    <t xml:space="preserve">A0-AA-03-C-03</t>
  </si>
  <si>
    <t xml:space="preserve">JR00038090</t>
  </si>
  <si>
    <t xml:space="preserve">A0-AA-03-B-01</t>
  </si>
  <si>
    <t xml:space="preserve">JR00038091</t>
  </si>
  <si>
    <t xml:space="preserve">JR00038092</t>
  </si>
  <si>
    <t xml:space="preserve">JR00038093</t>
  </si>
  <si>
    <t xml:space="preserve">A0-AB-14-D-03</t>
  </si>
  <si>
    <t xml:space="preserve">JR00038094</t>
  </si>
  <si>
    <t xml:space="preserve">A0-AA-17-D-03</t>
  </si>
  <si>
    <t xml:space="preserve">JR00038095</t>
  </si>
  <si>
    <t xml:space="preserve">JR00038096</t>
  </si>
  <si>
    <t xml:space="preserve">A0-AA-12-E-01</t>
  </si>
  <si>
    <t xml:space="preserve">JR00038097</t>
  </si>
  <si>
    <t xml:space="preserve">A0-AA-12-E-03</t>
  </si>
  <si>
    <t xml:space="preserve">JR00038098</t>
  </si>
  <si>
    <t xml:space="preserve">JR00038099</t>
  </si>
  <si>
    <t xml:space="preserve">JR00038100</t>
  </si>
  <si>
    <t xml:space="preserve">JR00038028</t>
  </si>
  <si>
    <t xml:space="preserve">MWIN00779</t>
  </si>
  <si>
    <t xml:space="preserve">JR00038029</t>
  </si>
  <si>
    <t xml:space="preserve">C-A-08-B-03</t>
  </si>
  <si>
    <t xml:space="preserve">JR00038030</t>
  </si>
  <si>
    <t xml:space="preserve">JR00038031</t>
  </si>
  <si>
    <t xml:space="preserve">C-A-16-A-03</t>
  </si>
  <si>
    <t xml:space="preserve">JR00038032</t>
  </si>
  <si>
    <t xml:space="preserve">JR00038033</t>
  </si>
  <si>
    <t xml:space="preserve">C-C-31-B-01</t>
  </si>
  <si>
    <t xml:space="preserve">JR00038034</t>
  </si>
  <si>
    <t xml:space="preserve">C-C-13-C-01</t>
  </si>
  <si>
    <t xml:space="preserve">JR00038035</t>
  </si>
  <si>
    <t xml:space="preserve">C-B-41-C-03</t>
  </si>
  <si>
    <t xml:space="preserve">JR00038036</t>
  </si>
  <si>
    <t xml:space="preserve">JR00038037</t>
  </si>
  <si>
    <t xml:space="preserve">C-B-38-C-03</t>
  </si>
  <si>
    <t xml:space="preserve">JR00038038</t>
  </si>
  <si>
    <t xml:space="preserve">C-C-43-B-03</t>
  </si>
  <si>
    <t xml:space="preserve">JR00038039</t>
  </si>
  <si>
    <t xml:space="preserve">JR00038040</t>
  </si>
  <si>
    <t xml:space="preserve">JR00038041</t>
  </si>
  <si>
    <t xml:space="preserve">JR00038042</t>
  </si>
  <si>
    <t xml:space="preserve">JR00038421</t>
  </si>
  <si>
    <t xml:space="preserve">MWIN01028</t>
  </si>
  <si>
    <t xml:space="preserve">JR00038115</t>
  </si>
  <si>
    <t xml:space="preserve">C-B-10-A-01</t>
  </si>
  <si>
    <t xml:space="preserve">JR00038116</t>
  </si>
  <si>
    <t xml:space="preserve">C-B-35-D-01</t>
  </si>
  <si>
    <t xml:space="preserve">JR00038117</t>
  </si>
  <si>
    <t xml:space="preserve">C-B-35-D-03</t>
  </si>
  <si>
    <t xml:space="preserve">JR00038122</t>
  </si>
  <si>
    <t xml:space="preserve">F-G-28-B-01</t>
  </si>
  <si>
    <t xml:space="preserve">JR00038123</t>
  </si>
  <si>
    <t xml:space="preserve">F-G-02-D-01</t>
  </si>
  <si>
    <t xml:space="preserve">JR00038124</t>
  </si>
  <si>
    <t xml:space="preserve">F-G-28-B-03</t>
  </si>
  <si>
    <t xml:space="preserve">JR00038125</t>
  </si>
  <si>
    <t xml:space="preserve">F-H-45-B-03</t>
  </si>
  <si>
    <t xml:space="preserve">JR00038126</t>
  </si>
  <si>
    <t xml:space="preserve">F-H-28-A-03</t>
  </si>
  <si>
    <t xml:space="preserve">JR00038127</t>
  </si>
  <si>
    <t xml:space="preserve">C-A-33-C-03</t>
  </si>
  <si>
    <t xml:space="preserve">JR00038128</t>
  </si>
  <si>
    <t xml:space="preserve">LEA&amp;PERRINS WORCESTERSHIRE SAUCE 3X1 gal</t>
  </si>
  <si>
    <t xml:space="preserve">C-A-30-B-03</t>
  </si>
  <si>
    <t xml:space="preserve">JR00038130</t>
  </si>
  <si>
    <t xml:space="preserve">C-B-37-D-03</t>
  </si>
  <si>
    <t xml:space="preserve">JR00038131</t>
  </si>
  <si>
    <t xml:space="preserve">C-A-31-B-01</t>
  </si>
  <si>
    <t xml:space="preserve">JR00038132</t>
  </si>
  <si>
    <t xml:space="preserve">F-H-10-B-01</t>
  </si>
  <si>
    <t xml:space="preserve">JR00038133</t>
  </si>
  <si>
    <t xml:space="preserve">C-A-29-B-03</t>
  </si>
  <si>
    <t xml:space="preserve">JR00038136</t>
  </si>
  <si>
    <t xml:space="preserve">JR00038146</t>
  </si>
  <si>
    <t xml:space="preserve">F-H-33-A-01</t>
  </si>
  <si>
    <t xml:space="preserve">JR00038147</t>
  </si>
  <si>
    <t xml:space="preserve">JR00038148</t>
  </si>
  <si>
    <t xml:space="preserve">F-H-08-C-01</t>
  </si>
  <si>
    <t xml:space="preserve">JR00038149</t>
  </si>
  <si>
    <t xml:space="preserve">F-H-18-C-03</t>
  </si>
  <si>
    <t xml:space="preserve">JR00038150</t>
  </si>
  <si>
    <t xml:space="preserve">JR00038151</t>
  </si>
  <si>
    <t xml:space="preserve">JR00038152</t>
  </si>
  <si>
    <t xml:space="preserve">JR00037411</t>
  </si>
  <si>
    <t xml:space="preserve">Heinz Tomato Ketchup Fancy Jug - 6x3.23Kg</t>
  </si>
  <si>
    <t xml:space="preserve">MWIN01017</t>
  </si>
  <si>
    <t xml:space="preserve">C-A-03-B-03</t>
  </si>
  <si>
    <t xml:space="preserve">JR00037412</t>
  </si>
  <si>
    <t xml:space="preserve">C-D-09-D-01</t>
  </si>
  <si>
    <t xml:space="preserve">JR00037413</t>
  </si>
  <si>
    <t xml:space="preserve">C-A-11-B-03</t>
  </si>
  <si>
    <t xml:space="preserve">JR00037414</t>
  </si>
  <si>
    <t xml:space="preserve">C-D-07-D-01</t>
  </si>
  <si>
    <t xml:space="preserve">JR00037415</t>
  </si>
  <si>
    <t xml:space="preserve">JR00037416</t>
  </si>
  <si>
    <t xml:space="preserve">JR00037417</t>
  </si>
  <si>
    <t xml:space="preserve">JR00037418</t>
  </si>
  <si>
    <t xml:space="preserve">JR00038118</t>
  </si>
  <si>
    <t xml:space="preserve">C-D-01-D-03</t>
  </si>
  <si>
    <t xml:space="preserve">JR00038134</t>
  </si>
  <si>
    <t xml:space="preserve">C-D-05-D-03</t>
  </si>
  <si>
    <t xml:space="preserve">JR00038135</t>
  </si>
  <si>
    <t xml:space="preserve">JR00038138</t>
  </si>
  <si>
    <t xml:space="preserve">C-D-01-E-02</t>
  </si>
  <si>
    <t xml:space="preserve">JR00038139</t>
  </si>
  <si>
    <t xml:space="preserve">C-C-12-D-01</t>
  </si>
  <si>
    <t xml:space="preserve">JR00038140</t>
  </si>
  <si>
    <t xml:space="preserve">C-D-05-D-01</t>
  </si>
  <si>
    <t xml:space="preserve">JR00038141</t>
  </si>
  <si>
    <t xml:space="preserve">C-A-19-B-03</t>
  </si>
  <si>
    <t xml:space="preserve">JR00038142</t>
  </si>
  <si>
    <t xml:space="preserve">C-A-15-B-01</t>
  </si>
  <si>
    <t xml:space="preserve">JR00038143</t>
  </si>
  <si>
    <t xml:space="preserve">JR00038144</t>
  </si>
  <si>
    <t xml:space="preserve">C-A-39-B-01</t>
  </si>
  <si>
    <t xml:space="preserve">JR00038145</t>
  </si>
  <si>
    <t xml:space="preserve">C-A-19-B-01</t>
  </si>
  <si>
    <t xml:space="preserve">JR00038405</t>
  </si>
  <si>
    <t xml:space="preserve">C-A-36-E-03</t>
  </si>
  <si>
    <t xml:space="preserve">JR00038418</t>
  </si>
  <si>
    <t xml:space="preserve">JR00037419</t>
  </si>
  <si>
    <t xml:space="preserve">MWIN00912-4</t>
  </si>
  <si>
    <t xml:space="preserve">C-A-36-B-01</t>
  </si>
  <si>
    <t xml:space="preserve">JR00037420</t>
  </si>
  <si>
    <t xml:space="preserve">C-A-34-B-01</t>
  </si>
  <si>
    <t xml:space="preserve">JR00037421</t>
  </si>
  <si>
    <t xml:space="preserve">C-A-32-B-03</t>
  </si>
  <si>
    <t xml:space="preserve">JR00037422</t>
  </si>
  <si>
    <t xml:space="preserve">C-A-32-B-01</t>
  </si>
  <si>
    <t xml:space="preserve">JR00037423</t>
  </si>
  <si>
    <t xml:space="preserve">JR00037424</t>
  </si>
  <si>
    <t xml:space="preserve">C-A-26-B-03</t>
  </si>
  <si>
    <t xml:space="preserve">JR00037425</t>
  </si>
  <si>
    <t xml:space="preserve">C-A-30-B-01</t>
  </si>
  <si>
    <t xml:space="preserve">JR00037426</t>
  </si>
  <si>
    <t xml:space="preserve">C-A-28-B-03</t>
  </si>
  <si>
    <t xml:space="preserve">JR00037427</t>
  </si>
  <si>
    <t xml:space="preserve">JR00037428</t>
  </si>
  <si>
    <t xml:space="preserve">C-A-28-B-01</t>
  </si>
  <si>
    <t xml:space="preserve">JR00037429</t>
  </si>
  <si>
    <t xml:space="preserve">C-A-38-B-01</t>
  </si>
  <si>
    <t xml:space="preserve">JR00037430</t>
  </si>
  <si>
    <t xml:space="preserve">JR00037431</t>
  </si>
  <si>
    <t xml:space="preserve">C-A-38-B-03</t>
  </si>
  <si>
    <t xml:space="preserve">JR00037432</t>
  </si>
  <si>
    <t xml:space="preserve">C-A-40-B-01</t>
  </si>
  <si>
    <t xml:space="preserve">JR00037433</t>
  </si>
  <si>
    <t xml:space="preserve">C-A-40-B-03</t>
  </si>
  <si>
    <t xml:space="preserve">JR00037434</t>
  </si>
  <si>
    <t xml:space="preserve">C-A-42-B-01</t>
  </si>
  <si>
    <t xml:space="preserve">JR00037435</t>
  </si>
  <si>
    <t xml:space="preserve">C-A-42-B-03</t>
  </si>
  <si>
    <t xml:space="preserve">JR00037436</t>
  </si>
  <si>
    <t xml:space="preserve">JR00037437</t>
  </si>
  <si>
    <t xml:space="preserve">C-A-44-B-03</t>
  </si>
  <si>
    <t xml:space="preserve">JR00037438</t>
  </si>
  <si>
    <t xml:space="preserve">C-A-46-B-01</t>
  </si>
  <si>
    <t xml:space="preserve">JR00037439</t>
  </si>
  <si>
    <t xml:space="preserve">C-A-46-B-03</t>
  </si>
  <si>
    <t xml:space="preserve">JR00037440</t>
  </si>
  <si>
    <t xml:space="preserve">JR00037441</t>
  </si>
  <si>
    <t xml:space="preserve">JR00035721</t>
  </si>
  <si>
    <t xml:space="preserve">MWIN00942</t>
  </si>
  <si>
    <t xml:space="preserve">JR00035722</t>
  </si>
  <si>
    <t xml:space="preserve">JR00035723</t>
  </si>
  <si>
    <t xml:space="preserve">JR00035724</t>
  </si>
  <si>
    <t xml:space="preserve">JR00035725</t>
  </si>
  <si>
    <t xml:space="preserve">JR00035726</t>
  </si>
  <si>
    <t xml:space="preserve">A0-AA-15-E-01</t>
  </si>
  <si>
    <t xml:space="preserve">JR00035727</t>
  </si>
  <si>
    <t xml:space="preserve">A0-AA-06-A-02</t>
  </si>
  <si>
    <t xml:space="preserve">JR00035728</t>
  </si>
  <si>
    <t xml:space="preserve">A0-AA-19-C-03</t>
  </si>
  <si>
    <t xml:space="preserve">JR00038361</t>
  </si>
  <si>
    <t xml:space="preserve">MWIN00912-5</t>
  </si>
  <si>
    <t xml:space="preserve">C-A-27-C-02</t>
  </si>
  <si>
    <t xml:space="preserve">JR00038362</t>
  </si>
  <si>
    <t xml:space="preserve">C-E-01-B-03</t>
  </si>
  <si>
    <t xml:space="preserve">JR00038363</t>
  </si>
  <si>
    <t xml:space="preserve">C-E-01-B-01</t>
  </si>
  <si>
    <t xml:space="preserve">JR00038364</t>
  </si>
  <si>
    <t xml:space="preserve">JR00038365</t>
  </si>
  <si>
    <t xml:space="preserve">JR00038366</t>
  </si>
  <si>
    <t xml:space="preserve">JR00038367</t>
  </si>
  <si>
    <t xml:space="preserve">C-A-28-C-01</t>
  </si>
  <si>
    <t xml:space="preserve">JR00038368</t>
  </si>
  <si>
    <t xml:space="preserve">C-E-11-B-01</t>
  </si>
  <si>
    <t xml:space="preserve">JR00038369</t>
  </si>
  <si>
    <t xml:space="preserve">JR00038370</t>
  </si>
  <si>
    <t xml:space="preserve">C-A-25-D-03</t>
  </si>
  <si>
    <t xml:space="preserve">JR00038371</t>
  </si>
  <si>
    <t xml:space="preserve">C-A-29-D-03</t>
  </si>
  <si>
    <t xml:space="preserve">JR00038372</t>
  </si>
  <si>
    <t xml:space="preserve">C-A-25-C-03</t>
  </si>
  <si>
    <t xml:space="preserve">JR00038373</t>
  </si>
  <si>
    <t xml:space="preserve">C-A-27-D-01</t>
  </si>
  <si>
    <t xml:space="preserve">JR00038374</t>
  </si>
  <si>
    <t xml:space="preserve">JR00038375</t>
  </si>
  <si>
    <t xml:space="preserve">C-A-25-B-03</t>
  </si>
  <si>
    <t xml:space="preserve">JR00038376</t>
  </si>
  <si>
    <t xml:space="preserve">C-A-12-B-03</t>
  </si>
  <si>
    <t xml:space="preserve">JR00038377</t>
  </si>
  <si>
    <t xml:space="preserve">C-A-14-B-01</t>
  </si>
  <si>
    <t xml:space="preserve">JR00038378</t>
  </si>
  <si>
    <t xml:space="preserve">JR00038379</t>
  </si>
  <si>
    <t xml:space="preserve">C-A-27-D-03</t>
  </si>
  <si>
    <t xml:space="preserve">JR00038380</t>
  </si>
  <si>
    <t xml:space="preserve">C-A-20-B-01</t>
  </si>
  <si>
    <t xml:space="preserve">JR00038381</t>
  </si>
  <si>
    <t xml:space="preserve">C-A-29-C-03</t>
  </si>
  <si>
    <t xml:space="preserve">JR00038382</t>
  </si>
  <si>
    <t xml:space="preserve">C-A-29-C-01</t>
  </si>
  <si>
    <t xml:space="preserve">JR00038420</t>
  </si>
  <si>
    <t xml:space="preserve">C-A-27-C-01</t>
  </si>
  <si>
    <t xml:space="preserve">JR00038341</t>
  </si>
  <si>
    <t xml:space="preserve">MWIN00998</t>
  </si>
  <si>
    <t xml:space="preserve">JR00038342</t>
  </si>
  <si>
    <t xml:space="preserve">JR00038343</t>
  </si>
  <si>
    <t xml:space="preserve">JR00038344</t>
  </si>
  <si>
    <t xml:space="preserve">JR00038345</t>
  </si>
  <si>
    <t xml:space="preserve">JR00038346</t>
  </si>
  <si>
    <t xml:space="preserve">A0-AA-05-B-01</t>
  </si>
  <si>
    <t xml:space="preserve">JR00038347</t>
  </si>
  <si>
    <t xml:space="preserve">JR00038348</t>
  </si>
  <si>
    <t xml:space="preserve">JR00038349</t>
  </si>
  <si>
    <t xml:space="preserve">JR00038350</t>
  </si>
  <si>
    <t xml:space="preserve">JR00038351</t>
  </si>
  <si>
    <t xml:space="preserve">JR00038352</t>
  </si>
  <si>
    <t xml:space="preserve">JR00038353</t>
  </si>
  <si>
    <t xml:space="preserve">JR00038354</t>
  </si>
  <si>
    <t xml:space="preserve">JR00038355</t>
  </si>
  <si>
    <t xml:space="preserve">JR00038356</t>
  </si>
  <si>
    <t xml:space="preserve">JR00038357</t>
  </si>
  <si>
    <t xml:space="preserve">JR00038358</t>
  </si>
  <si>
    <t xml:space="preserve">JR00038359</t>
  </si>
  <si>
    <t xml:space="preserve">JR00038360</t>
  </si>
  <si>
    <t xml:space="preserve">A0-AA-10-E-03</t>
  </si>
  <si>
    <t xml:space="preserve">JR00038045</t>
  </si>
  <si>
    <t xml:space="preserve">DAMINT00487</t>
  </si>
  <si>
    <t xml:space="preserve">JR00038046</t>
  </si>
  <si>
    <t xml:space="preserve">C-A-24-B-01</t>
  </si>
  <si>
    <t xml:space="preserve">JR00037582</t>
  </si>
  <si>
    <t xml:space="preserve">RIYINT00672</t>
  </si>
  <si>
    <t xml:space="preserve">C-D-13-C-01</t>
  </si>
  <si>
    <t xml:space="preserve">JR00037583</t>
  </si>
  <si>
    <t xml:space="preserve">C-B-23-B-02</t>
  </si>
  <si>
    <t xml:space="preserve">JR00037584</t>
  </si>
  <si>
    <t xml:space="preserve">JR00037585</t>
  </si>
  <si>
    <t xml:space="preserve">C-A-06-C-03</t>
  </si>
  <si>
    <t xml:space="preserve">JR00037586</t>
  </si>
  <si>
    <t xml:space="preserve">JR00037587</t>
  </si>
  <si>
    <t xml:space="preserve">JR00037620</t>
  </si>
  <si>
    <t xml:space="preserve">MWIN00651</t>
  </si>
  <si>
    <t xml:space="preserve">C-B-02-A-03</t>
  </si>
  <si>
    <t xml:space="preserve">JR00037621</t>
  </si>
  <si>
    <t xml:space="preserve">C-B-02-A-01</t>
  </si>
  <si>
    <t xml:space="preserve">JR00037622</t>
  </si>
  <si>
    <t xml:space="preserve">C-B-04-A-01</t>
  </si>
  <si>
    <t xml:space="preserve">JR00037623</t>
  </si>
  <si>
    <t xml:space="preserve">C-B-06-A-03</t>
  </si>
  <si>
    <t xml:space="preserve">JR00037624</t>
  </si>
  <si>
    <t xml:space="preserve">C-B-06-A-01</t>
  </si>
  <si>
    <t xml:space="preserve">JR00037625</t>
  </si>
  <si>
    <t xml:space="preserve">C-B-08-A-03</t>
  </si>
  <si>
    <t xml:space="preserve">JR00037628</t>
  </si>
  <si>
    <t xml:space="preserve">C-A-13-A-01</t>
  </si>
  <si>
    <t xml:space="preserve">JR00037629</t>
  </si>
  <si>
    <t xml:space="preserve">JR00037630</t>
  </si>
  <si>
    <t xml:space="preserve">C-C-26-B-03</t>
  </si>
  <si>
    <t xml:space="preserve">JR00037631</t>
  </si>
  <si>
    <t xml:space="preserve">C-B-08-A-01</t>
  </si>
  <si>
    <t xml:space="preserve">JR00037632</t>
  </si>
  <si>
    <t xml:space="preserve">C-C-20-B-01</t>
  </si>
  <si>
    <t xml:space="preserve">JR00037633</t>
  </si>
  <si>
    <t xml:space="preserve">C-C-18-B-01</t>
  </si>
  <si>
    <t xml:space="preserve">JR00037634</t>
  </si>
  <si>
    <t xml:space="preserve">C-C-16-B-03</t>
  </si>
  <si>
    <t xml:space="preserve">JR00037635</t>
  </si>
  <si>
    <t xml:space="preserve">C-A-38-A-01</t>
  </si>
  <si>
    <t xml:space="preserve">JR00037636</t>
  </si>
  <si>
    <t xml:space="preserve">C-C-16-B-01</t>
  </si>
  <si>
    <t xml:space="preserve">JR00037637</t>
  </si>
  <si>
    <t xml:space="preserve">C-C-18-B-03</t>
  </si>
  <si>
    <t xml:space="preserve">JR00037638</t>
  </si>
  <si>
    <t xml:space="preserve">C-C-01-A-03</t>
  </si>
  <si>
    <t xml:space="preserve">JR00037639</t>
  </si>
  <si>
    <t xml:space="preserve">C-C-01-A-01</t>
  </si>
  <si>
    <t xml:space="preserve">JR00037640</t>
  </si>
  <si>
    <t xml:space="preserve">C-C-14-B-01</t>
  </si>
  <si>
    <t xml:space="preserve">JR00037641</t>
  </si>
  <si>
    <t xml:space="preserve">C-C-02-C-01</t>
  </si>
  <si>
    <t xml:space="preserve">JR00037642</t>
  </si>
  <si>
    <t xml:space="preserve">C-C-02-C-03</t>
  </si>
  <si>
    <t xml:space="preserve">JR00037643</t>
  </si>
  <si>
    <t xml:space="preserve">JR00037644</t>
  </si>
  <si>
    <t xml:space="preserve">C-C-26-B-01</t>
  </si>
  <si>
    <t xml:space="preserve">JR00037646</t>
  </si>
  <si>
    <t xml:space="preserve">C-C-24-B-03</t>
  </si>
  <si>
    <t xml:space="preserve">JR00037647</t>
  </si>
  <si>
    <t xml:space="preserve">C-C-15-A-03</t>
  </si>
  <si>
    <t xml:space="preserve">JR00037648</t>
  </si>
  <si>
    <t xml:space="preserve">C-A-11-B-01</t>
  </si>
  <si>
    <t xml:space="preserve">JR00037649</t>
  </si>
  <si>
    <t xml:space="preserve">C-C-08-B-01</t>
  </si>
  <si>
    <t xml:space="preserve">JR00038003</t>
  </si>
  <si>
    <t xml:space="preserve">ZUMA DARK CHOCOLATE FLAVOUR SAUCE 1.9 Litre</t>
  </si>
  <si>
    <t xml:space="preserve">MWIN00778</t>
  </si>
  <si>
    <t xml:space="preserve">C-A-06-B-01</t>
  </si>
  <si>
    <t xml:space="preserve">JR00038004</t>
  </si>
  <si>
    <t xml:space="preserve">JR00038005</t>
  </si>
  <si>
    <t xml:space="preserve">JR00038007</t>
  </si>
  <si>
    <t xml:space="preserve">F-H-12-B-01</t>
  </si>
  <si>
    <t xml:space="preserve">JR00038008</t>
  </si>
  <si>
    <t xml:space="preserve">JR00038009</t>
  </si>
  <si>
    <t xml:space="preserve">JR00038010</t>
  </si>
  <si>
    <t xml:space="preserve">C-B-30-D-01</t>
  </si>
  <si>
    <t xml:space="preserve">JR00038011</t>
  </si>
  <si>
    <t xml:space="preserve">C-A-26-C-03</t>
  </si>
  <si>
    <t xml:space="preserve">JR00038012</t>
  </si>
  <si>
    <t xml:space="preserve">C-A-30-C-03</t>
  </si>
  <si>
    <t xml:space="preserve">JR00038013</t>
  </si>
  <si>
    <t xml:space="preserve">C-A-34-B-03</t>
  </si>
  <si>
    <t xml:space="preserve">JR00038014</t>
  </si>
  <si>
    <t xml:space="preserve">C-B-35-C-02</t>
  </si>
  <si>
    <t xml:space="preserve">JR00038015</t>
  </si>
  <si>
    <t xml:space="preserve">C-B-32-D-01</t>
  </si>
  <si>
    <t xml:space="preserve">JR00038016</t>
  </si>
  <si>
    <t xml:space="preserve">JR00038017</t>
  </si>
  <si>
    <t xml:space="preserve">F-H-26-C-01</t>
  </si>
  <si>
    <t xml:space="preserve">JR00038019</t>
  </si>
  <si>
    <t xml:space="preserve">C-C-09-B-01</t>
  </si>
  <si>
    <t xml:space="preserve">JR00038022</t>
  </si>
  <si>
    <t xml:space="preserve">JR00037943</t>
  </si>
  <si>
    <t xml:space="preserve">MWIN00921</t>
  </si>
  <si>
    <t xml:space="preserve">JR00037944</t>
  </si>
  <si>
    <t xml:space="preserve">JR00037946</t>
  </si>
  <si>
    <t xml:space="preserve">JR00037947</t>
  </si>
  <si>
    <t xml:space="preserve">C-E-30-C-03</t>
  </si>
  <si>
    <t xml:space="preserve">JR00037948</t>
  </si>
  <si>
    <t xml:space="preserve">JR00037949</t>
  </si>
  <si>
    <t xml:space="preserve">JR00037950</t>
  </si>
  <si>
    <t xml:space="preserve">JR00037951</t>
  </si>
  <si>
    <t xml:space="preserve">JR00037952</t>
  </si>
  <si>
    <t xml:space="preserve">JR00037953</t>
  </si>
  <si>
    <t xml:space="preserve">JR00037954</t>
  </si>
  <si>
    <t xml:space="preserve">JR00037955</t>
  </si>
  <si>
    <t xml:space="preserve">C-E-24-C-01</t>
  </si>
  <si>
    <t xml:space="preserve">JR00037956</t>
  </si>
  <si>
    <t xml:space="preserve">C-E-40-C-03</t>
  </si>
  <si>
    <t xml:space="preserve">JR00037957</t>
  </si>
  <si>
    <t xml:space="preserve">C-E-45-A-01</t>
  </si>
  <si>
    <t xml:space="preserve">JR00037958</t>
  </si>
  <si>
    <t xml:space="preserve">C-E-45-A-03</t>
  </si>
  <si>
    <t xml:space="preserve">JR00037959</t>
  </si>
  <si>
    <t xml:space="preserve">C-E-46-C-03</t>
  </si>
  <si>
    <t xml:space="preserve">JR00037960</t>
  </si>
  <si>
    <t xml:space="preserve">C-E-43-A-01</t>
  </si>
  <si>
    <t xml:space="preserve">JR00037961</t>
  </si>
  <si>
    <t xml:space="preserve">C-E-43-A-03</t>
  </si>
  <si>
    <t xml:space="preserve">JR00037962</t>
  </si>
  <si>
    <t xml:space="preserve">C-E-41-A-01</t>
  </si>
  <si>
    <t xml:space="preserve">JR00037963</t>
  </si>
  <si>
    <t xml:space="preserve">C-E-41-A-03</t>
  </si>
  <si>
    <t xml:space="preserve">JR00037964</t>
  </si>
  <si>
    <t xml:space="preserve">C-E-44-C-03</t>
  </si>
  <si>
    <t xml:space="preserve">JR00037965</t>
  </si>
  <si>
    <t xml:space="preserve">C-E-42-C-03</t>
  </si>
  <si>
    <t xml:space="preserve">JR00037966</t>
  </si>
  <si>
    <t xml:space="preserve">JR00037968</t>
  </si>
  <si>
    <t xml:space="preserve">JR00037969</t>
  </si>
  <si>
    <t xml:space="preserve">C-E-42-C-01</t>
  </si>
  <si>
    <t xml:space="preserve">JR00037970</t>
  </si>
  <si>
    <t xml:space="preserve">C-E-44-C-01</t>
  </si>
  <si>
    <t xml:space="preserve">JR00037971</t>
  </si>
  <si>
    <t xml:space="preserve">C-E-46-C-01</t>
  </si>
  <si>
    <t xml:space="preserve">JR00037972</t>
  </si>
  <si>
    <t xml:space="preserve">JR00037973</t>
  </si>
  <si>
    <t xml:space="preserve">MWIN00922</t>
  </si>
  <si>
    <t xml:space="preserve">JR00037974</t>
  </si>
  <si>
    <t xml:space="preserve">JR00037975</t>
  </si>
  <si>
    <t xml:space="preserve">JR00037976</t>
  </si>
  <si>
    <t xml:space="preserve">JR00037977</t>
  </si>
  <si>
    <t xml:space="preserve">JR00037978</t>
  </si>
  <si>
    <t xml:space="preserve">JR00037979</t>
  </si>
  <si>
    <t xml:space="preserve">JR00037980</t>
  </si>
  <si>
    <t xml:space="preserve">JR00037981</t>
  </si>
  <si>
    <t xml:space="preserve">JR00037982</t>
  </si>
  <si>
    <t xml:space="preserve">JR00037983</t>
  </si>
  <si>
    <t xml:space="preserve">JR00037984</t>
  </si>
  <si>
    <t xml:space="preserve">JR00037985</t>
  </si>
  <si>
    <t xml:space="preserve">JR00037986</t>
  </si>
  <si>
    <t xml:space="preserve">JR00037987</t>
  </si>
  <si>
    <t xml:space="preserve">JR00037988</t>
  </si>
  <si>
    <t xml:space="preserve">JR00037989</t>
  </si>
  <si>
    <t xml:space="preserve">JR00037990</t>
  </si>
  <si>
    <t xml:space="preserve">JR00037991</t>
  </si>
  <si>
    <t xml:space="preserve">JR00037992</t>
  </si>
  <si>
    <t xml:space="preserve">JR00037993</t>
  </si>
  <si>
    <t xml:space="preserve">JR00037994</t>
  </si>
  <si>
    <t xml:space="preserve">JR00037995</t>
  </si>
  <si>
    <t xml:space="preserve">JR00037996</t>
  </si>
  <si>
    <t xml:space="preserve">JR00037997</t>
  </si>
  <si>
    <t xml:space="preserve">JR00037998</t>
  </si>
  <si>
    <t xml:space="preserve">JR00037999</t>
  </si>
  <si>
    <t xml:space="preserve">JR00038000</t>
  </si>
  <si>
    <t xml:space="preserve">JR00038001</t>
  </si>
  <si>
    <t xml:space="preserve">JR00038002</t>
  </si>
  <si>
    <t xml:space="preserve">C-A-46-A-04</t>
  </si>
  <si>
    <t xml:space="preserve">JR00038103</t>
  </si>
  <si>
    <t xml:space="preserve">MWIN01013</t>
  </si>
  <si>
    <t xml:space="preserve">JF00170945</t>
  </si>
  <si>
    <t xml:space="preserve">SHRM00003721</t>
  </si>
  <si>
    <t xml:space="preserve">JF00170746</t>
  </si>
  <si>
    <t xml:space="preserve">SHRM00003761</t>
  </si>
  <si>
    <t xml:space="preserve">JR00037588</t>
  </si>
  <si>
    <t xml:space="preserve">MWIN00648</t>
  </si>
  <si>
    <t xml:space="preserve">JR00037589</t>
  </si>
  <si>
    <t xml:space="preserve">JR00037590</t>
  </si>
  <si>
    <t xml:space="preserve">JR00037591</t>
  </si>
  <si>
    <t xml:space="preserve">C-C-09-A-03</t>
  </si>
  <si>
    <t xml:space="preserve">JR00037592</t>
  </si>
  <si>
    <t xml:space="preserve">C-C-11-A-01</t>
  </si>
  <si>
    <t xml:space="preserve">JR00037593</t>
  </si>
  <si>
    <t xml:space="preserve">C-C-13-A-03</t>
  </si>
  <si>
    <t xml:space="preserve">JR00037595</t>
  </si>
  <si>
    <t xml:space="preserve">JR00037596</t>
  </si>
  <si>
    <t xml:space="preserve">JR00037597</t>
  </si>
  <si>
    <t xml:space="preserve">JR00037598</t>
  </si>
  <si>
    <t xml:space="preserve">JR00037599</t>
  </si>
  <si>
    <t xml:space="preserve">JR00037600</t>
  </si>
  <si>
    <t xml:space="preserve">C-B-27-B-02</t>
  </si>
  <si>
    <t xml:space="preserve">JR00037601</t>
  </si>
  <si>
    <t xml:space="preserve">C-B-44-A-01</t>
  </si>
  <si>
    <t xml:space="preserve">JR00037602</t>
  </si>
  <si>
    <t xml:space="preserve">C-B-44-A-03</t>
  </si>
  <si>
    <t xml:space="preserve">JR00037603</t>
  </si>
  <si>
    <t xml:space="preserve">C-B-43-A-01</t>
  </si>
  <si>
    <t xml:space="preserve">JR00037604</t>
  </si>
  <si>
    <t xml:space="preserve">C-B-43-A-03</t>
  </si>
  <si>
    <t xml:space="preserve">JR00037605</t>
  </si>
  <si>
    <t xml:space="preserve">JR00037606</t>
  </si>
  <si>
    <t xml:space="preserve">JR00037608</t>
  </si>
  <si>
    <t xml:space="preserve">JR00037609</t>
  </si>
  <si>
    <t xml:space="preserve">C-B-19-A-01</t>
  </si>
  <si>
    <t xml:space="preserve">JR00037610</t>
  </si>
  <si>
    <t xml:space="preserve">JR00037611</t>
  </si>
  <si>
    <t xml:space="preserve">C-B-37-A-01</t>
  </si>
  <si>
    <t xml:space="preserve">JR00037612</t>
  </si>
  <si>
    <t xml:space="preserve">JR00037613</t>
  </si>
  <si>
    <t xml:space="preserve">C-B-35-A-03</t>
  </si>
  <si>
    <t xml:space="preserve">JR00037615</t>
  </si>
  <si>
    <t xml:space="preserve">C-A-10-C-02</t>
  </si>
  <si>
    <t xml:space="preserve">JR00037616</t>
  </si>
  <si>
    <t xml:space="preserve">C-A-11-C-02</t>
  </si>
  <si>
    <t xml:space="preserve">JR00037617</t>
  </si>
  <si>
    <t xml:space="preserve">C-B-19-A-03</t>
  </si>
  <si>
    <t xml:space="preserve">JR00037893</t>
  </si>
  <si>
    <t xml:space="preserve">JR00037894</t>
  </si>
  <si>
    <t xml:space="preserve">JR00037895</t>
  </si>
  <si>
    <t xml:space="preserve">JR00037896</t>
  </si>
  <si>
    <t xml:space="preserve">JR00037897</t>
  </si>
  <si>
    <t xml:space="preserve">JR00037898</t>
  </si>
  <si>
    <t xml:space="preserve">JR00037899</t>
  </si>
  <si>
    <t xml:space="preserve">JR00037900</t>
  </si>
  <si>
    <t xml:space="preserve">JR00037901</t>
  </si>
  <si>
    <t xml:space="preserve">JR00037902</t>
  </si>
  <si>
    <t xml:space="preserve">JR00037903</t>
  </si>
  <si>
    <t xml:space="preserve">JR00037904</t>
  </si>
  <si>
    <t xml:space="preserve">C-A-10-A-01</t>
  </si>
  <si>
    <t xml:space="preserve">JR00037905</t>
  </si>
  <si>
    <t xml:space="preserve">JR00037906</t>
  </si>
  <si>
    <t xml:space="preserve">JR00037907</t>
  </si>
  <si>
    <t xml:space="preserve">JR00037908</t>
  </si>
  <si>
    <t xml:space="preserve">JR00037909</t>
  </si>
  <si>
    <t xml:space="preserve">JR00037910</t>
  </si>
  <si>
    <t xml:space="preserve">JR00037911</t>
  </si>
  <si>
    <t xml:space="preserve">JR00037912</t>
  </si>
  <si>
    <t xml:space="preserve">JR00037913</t>
  </si>
  <si>
    <t xml:space="preserve">JR00038621</t>
  </si>
  <si>
    <t xml:space="preserve">MWIN00649</t>
  </si>
  <si>
    <t xml:space="preserve">C-B-25-D-01</t>
  </si>
  <si>
    <t xml:space="preserve">JR00038622</t>
  </si>
  <si>
    <t xml:space="preserve">JR00038623</t>
  </si>
  <si>
    <t xml:space="preserve">JR00038624</t>
  </si>
  <si>
    <t xml:space="preserve">JR00038625</t>
  </si>
  <si>
    <t xml:space="preserve">C-C-05-D-03</t>
  </si>
  <si>
    <t xml:space="preserve">JR00038626</t>
  </si>
  <si>
    <t xml:space="preserve">C-A-05-D-03</t>
  </si>
  <si>
    <t xml:space="preserve">JR00038627</t>
  </si>
  <si>
    <t xml:space="preserve">JR00038628</t>
  </si>
  <si>
    <t xml:space="preserve">JR00038629</t>
  </si>
  <si>
    <t xml:space="preserve">C-B-17-E-03</t>
  </si>
  <si>
    <t xml:space="preserve">JR00038630</t>
  </si>
  <si>
    <t xml:space="preserve">C-B-29-B-03</t>
  </si>
  <si>
    <t xml:space="preserve">JR00038631</t>
  </si>
  <si>
    <t xml:space="preserve">JR00038632</t>
  </si>
  <si>
    <t xml:space="preserve">C-A-05-D-01</t>
  </si>
  <si>
    <t xml:space="preserve">JR00038633</t>
  </si>
  <si>
    <t xml:space="preserve">JR00038634</t>
  </si>
  <si>
    <t xml:space="preserve">C-B-14-B-01</t>
  </si>
  <si>
    <t xml:space="preserve">JR00038635</t>
  </si>
  <si>
    <t xml:space="preserve">JR00038636</t>
  </si>
  <si>
    <t xml:space="preserve">C-B-09-A-01</t>
  </si>
  <si>
    <t xml:space="preserve">JR00038637</t>
  </si>
  <si>
    <t xml:space="preserve">C-B-01-D-03</t>
  </si>
  <si>
    <t xml:space="preserve">JR00038638</t>
  </si>
  <si>
    <t xml:space="preserve">C-B-46-A-01</t>
  </si>
  <si>
    <t xml:space="preserve">JR00038639</t>
  </si>
  <si>
    <t xml:space="preserve">C-B-36-A-02</t>
  </si>
  <si>
    <t xml:space="preserve">JR00038640</t>
  </si>
  <si>
    <t xml:space="preserve">C-B-33-A-03</t>
  </si>
  <si>
    <t xml:space="preserve">JR00038641</t>
  </si>
  <si>
    <t xml:space="preserve">C-B-36-A-01</t>
  </si>
  <si>
    <t xml:space="preserve">JR00038642</t>
  </si>
  <si>
    <t xml:space="preserve">JR00038643</t>
  </si>
  <si>
    <t xml:space="preserve">JR00038644</t>
  </si>
  <si>
    <t xml:space="preserve">C-B-01-A-02</t>
  </si>
  <si>
    <t xml:space="preserve">JR00038645</t>
  </si>
  <si>
    <t xml:space="preserve">C-B-03-A-01</t>
  </si>
  <si>
    <t xml:space="preserve">JR00038646</t>
  </si>
  <si>
    <t xml:space="preserve">C-B-32-A-03</t>
  </si>
  <si>
    <t xml:space="preserve">JR00038647</t>
  </si>
  <si>
    <t xml:space="preserve">JR00038648</t>
  </si>
  <si>
    <t xml:space="preserve">C-B-40-A-01</t>
  </si>
  <si>
    <t xml:space="preserve">JR00038649</t>
  </si>
  <si>
    <t xml:space="preserve">JR00037841</t>
  </si>
  <si>
    <t xml:space="preserve">SHRM00003681</t>
  </si>
  <si>
    <t xml:space="preserve">JR00037844</t>
  </si>
  <si>
    <t xml:space="preserve">JR00038671</t>
  </si>
  <si>
    <t xml:space="preserve">MWIN00870</t>
  </si>
  <si>
    <t xml:space="preserve">C-C-01-B-01</t>
  </si>
  <si>
    <t xml:space="preserve">JR00038672</t>
  </si>
  <si>
    <t xml:space="preserve">C-C-01-B-03</t>
  </si>
  <si>
    <t xml:space="preserve">JR00038673</t>
  </si>
  <si>
    <t xml:space="preserve">C-C-05-B-01</t>
  </si>
  <si>
    <t xml:space="preserve">JR00038674</t>
  </si>
  <si>
    <t xml:space="preserve">C-C-34-B-03</t>
  </si>
  <si>
    <t xml:space="preserve">JR00038675</t>
  </si>
  <si>
    <t xml:space="preserve">C-C-36-B-01</t>
  </si>
  <si>
    <t xml:space="preserve">JR00038676</t>
  </si>
  <si>
    <t xml:space="preserve">C-C-24-C-03</t>
  </si>
  <si>
    <t xml:space="preserve">JR00038677</t>
  </si>
  <si>
    <t xml:space="preserve">C-C-26-C-03</t>
  </si>
  <si>
    <t xml:space="preserve">JR00038678</t>
  </si>
  <si>
    <t xml:space="preserve">C-C-24-C-01</t>
  </si>
  <si>
    <t xml:space="preserve">JR00038679</t>
  </si>
  <si>
    <t xml:space="preserve">C-C-26-C-01</t>
  </si>
  <si>
    <t xml:space="preserve">JR00038680</t>
  </si>
  <si>
    <t xml:space="preserve">C-C-28-C-01</t>
  </si>
  <si>
    <t xml:space="preserve">JR00038681</t>
  </si>
  <si>
    <t xml:space="preserve">JR00038682</t>
  </si>
  <si>
    <t xml:space="preserve">JR00038683</t>
  </si>
  <si>
    <t xml:space="preserve">JR00038684</t>
  </si>
  <si>
    <t xml:space="preserve">JR00038685</t>
  </si>
  <si>
    <t xml:space="preserve">JR00038686</t>
  </si>
  <si>
    <t xml:space="preserve">JR00038687</t>
  </si>
  <si>
    <t xml:space="preserve">JR00038688</t>
  </si>
  <si>
    <t xml:space="preserve">C-C-02-A-01</t>
  </si>
  <si>
    <t xml:space="preserve">JR00038689</t>
  </si>
  <si>
    <t xml:space="preserve">JR00038690</t>
  </si>
  <si>
    <t xml:space="preserve">JR00038691</t>
  </si>
  <si>
    <t xml:space="preserve">C-D-01-C-01</t>
  </si>
  <si>
    <t xml:space="preserve">JR00038692</t>
  </si>
  <si>
    <t xml:space="preserve">JR00038693</t>
  </si>
  <si>
    <t xml:space="preserve">JR00038694</t>
  </si>
  <si>
    <t xml:space="preserve">C-C-34-B-01</t>
  </si>
  <si>
    <t xml:space="preserve">JR00038695</t>
  </si>
  <si>
    <t xml:space="preserve">C-A-27-B-03</t>
  </si>
  <si>
    <t xml:space="preserve">JR00038696</t>
  </si>
  <si>
    <t xml:space="preserve">JR00038697</t>
  </si>
  <si>
    <t xml:space="preserve">C-C-05-B-03</t>
  </si>
  <si>
    <t xml:space="preserve">JR00038698</t>
  </si>
  <si>
    <t xml:space="preserve">JR00038699</t>
  </si>
  <si>
    <t xml:space="preserve">JR00038700</t>
  </si>
  <si>
    <t xml:space="preserve">JR00038701</t>
  </si>
  <si>
    <t xml:space="preserve">JR00038702</t>
  </si>
  <si>
    <t xml:space="preserve">JR00038703</t>
  </si>
  <si>
    <t xml:space="preserve">C-C-04-B-01</t>
  </si>
  <si>
    <t xml:space="preserve">JR00038705</t>
  </si>
  <si>
    <t xml:space="preserve">C-D-27-C-02</t>
  </si>
  <si>
    <t xml:space="preserve">JR00038706</t>
  </si>
  <si>
    <t xml:space="preserve">JR00038707</t>
  </si>
  <si>
    <t xml:space="preserve">C-B-16-A-01</t>
  </si>
  <si>
    <t xml:space="preserve">JR00038708</t>
  </si>
  <si>
    <t xml:space="preserve">JR00037914</t>
  </si>
  <si>
    <t xml:space="preserve">MWIN00927</t>
  </si>
  <si>
    <t xml:space="preserve">JR00037915</t>
  </si>
  <si>
    <t xml:space="preserve">JR00037916</t>
  </si>
  <si>
    <t xml:space="preserve">JR00037917</t>
  </si>
  <si>
    <t xml:space="preserve">JR00037918</t>
  </si>
  <si>
    <t xml:space="preserve">JR00037919</t>
  </si>
  <si>
    <t xml:space="preserve">JR00037920</t>
  </si>
  <si>
    <t xml:space="preserve">JR00037921</t>
  </si>
  <si>
    <t xml:space="preserve">C-C-23-B-03</t>
  </si>
  <si>
    <t xml:space="preserve">JR00037922</t>
  </si>
  <si>
    <t xml:space="preserve">JR00037923</t>
  </si>
  <si>
    <t xml:space="preserve">JR00037924</t>
  </si>
  <si>
    <t xml:space="preserve">JR00037925</t>
  </si>
  <si>
    <t xml:space="preserve">JR00037926</t>
  </si>
  <si>
    <t xml:space="preserve">JR00037927</t>
  </si>
  <si>
    <t xml:space="preserve">JR00037928</t>
  </si>
  <si>
    <t xml:space="preserve">C-C-20-A-03</t>
  </si>
  <si>
    <t xml:space="preserve">JR00037929</t>
  </si>
  <si>
    <t xml:space="preserve">JR00037930</t>
  </si>
  <si>
    <t xml:space="preserve">JR00037931</t>
  </si>
  <si>
    <t xml:space="preserve">JR00037932</t>
  </si>
  <si>
    <t xml:space="preserve">JR00037933</t>
  </si>
  <si>
    <t xml:space="preserve">JR00037934</t>
  </si>
  <si>
    <t xml:space="preserve">JR00037935</t>
  </si>
  <si>
    <t xml:space="preserve">JR00037936</t>
  </si>
  <si>
    <t xml:space="preserve">JR00037937</t>
  </si>
  <si>
    <t xml:space="preserve">JR00037938</t>
  </si>
  <si>
    <t xml:space="preserve">JR00037939</t>
  </si>
  <si>
    <t xml:space="preserve">C-C-44-B-03</t>
  </si>
  <si>
    <t xml:space="preserve">JR00037940</t>
  </si>
  <si>
    <t xml:space="preserve">JR00037941</t>
  </si>
  <si>
    <t xml:space="preserve">JR00037942</t>
  </si>
  <si>
    <t xml:space="preserve">C-D-19-C-03</t>
  </si>
  <si>
    <t xml:space="preserve">JR00038581</t>
  </si>
  <si>
    <t xml:space="preserve">MWIN01028B</t>
  </si>
  <si>
    <t xml:space="preserve">JR00038841</t>
  </si>
  <si>
    <t xml:space="preserve">SHRM00003741</t>
  </si>
  <si>
    <t xml:space="preserve">JR00038049</t>
  </si>
  <si>
    <t xml:space="preserve">MWIN01009</t>
  </si>
  <si>
    <t xml:space="preserve">A0-AB-18-C-01</t>
  </si>
  <si>
    <t xml:space="preserve">JR00038051</t>
  </si>
  <si>
    <t xml:space="preserve">A0-AB-18-C-03</t>
  </si>
  <si>
    <t xml:space="preserve">JR00038052</t>
  </si>
  <si>
    <t xml:space="preserve">A0-AB-18-A-01</t>
  </si>
  <si>
    <t xml:space="preserve">JR00038053</t>
  </si>
  <si>
    <t xml:space="preserve">JR00038666</t>
  </si>
  <si>
    <t xml:space="preserve">MWIN00780</t>
  </si>
  <si>
    <t xml:space="preserve">F-G-32-B-02</t>
  </si>
  <si>
    <t xml:space="preserve">JR00038410</t>
  </si>
  <si>
    <t xml:space="preserve">SHRM00003781</t>
  </si>
  <si>
    <t xml:space="preserve">JR00038411</t>
  </si>
  <si>
    <t xml:space="preserve">C-A-38-A-02</t>
  </si>
  <si>
    <t xml:space="preserve">JR00038412</t>
  </si>
  <si>
    <t xml:space="preserve">Sweetbird Caramel Syrup 1 Litre</t>
  </si>
  <si>
    <t xml:space="preserve">JR00038413</t>
  </si>
  <si>
    <t xml:space="preserve">C-A-38-A-05</t>
  </si>
  <si>
    <t xml:space="preserve">JR00037645</t>
  </si>
  <si>
    <t xml:space="preserve">MWIN00650</t>
  </si>
  <si>
    <t xml:space="preserve">JR00037650</t>
  </si>
  <si>
    <t xml:space="preserve">C-C-10-B-01</t>
  </si>
  <si>
    <t xml:space="preserve">JR00037651</t>
  </si>
  <si>
    <t xml:space="preserve">C-C-08-B-03</t>
  </si>
  <si>
    <t xml:space="preserve">JR00037652</t>
  </si>
  <si>
    <t xml:space="preserve">C-C-04-B-03</t>
  </si>
  <si>
    <t xml:space="preserve">JR00037653</t>
  </si>
  <si>
    <t xml:space="preserve">JR00037654</t>
  </si>
  <si>
    <t xml:space="preserve">JR00037655</t>
  </si>
  <si>
    <t xml:space="preserve">C-C-14-B-03</t>
  </si>
  <si>
    <t xml:space="preserve">JR00037656</t>
  </si>
  <si>
    <t xml:space="preserve">C-C-12-B-03</t>
  </si>
  <si>
    <t xml:space="preserve">JR00037657</t>
  </si>
  <si>
    <t xml:space="preserve">C-C-12-B-01</t>
  </si>
  <si>
    <t xml:space="preserve">JR00037658</t>
  </si>
  <si>
    <t xml:space="preserve">C-C-10-B-03</t>
  </si>
  <si>
    <t xml:space="preserve">JR00037659</t>
  </si>
  <si>
    <t xml:space="preserve">C-C-06-B-01</t>
  </si>
  <si>
    <t xml:space="preserve">JR00037660</t>
  </si>
  <si>
    <t xml:space="preserve">C-C-06-B-03</t>
  </si>
  <si>
    <t xml:space="preserve">JR00037661</t>
  </si>
  <si>
    <t xml:space="preserve">C-C-02-B-01</t>
  </si>
  <si>
    <t xml:space="preserve">JR00037662</t>
  </si>
  <si>
    <t xml:space="preserve">C-B-16-A-03</t>
  </si>
  <si>
    <t xml:space="preserve">JR00037663</t>
  </si>
  <si>
    <t xml:space="preserve">JR00037664</t>
  </si>
  <si>
    <t xml:space="preserve">JR00037665</t>
  </si>
  <si>
    <t xml:space="preserve">C-B-07-A-03</t>
  </si>
  <si>
    <t xml:space="preserve">JR00037666</t>
  </si>
  <si>
    <t xml:space="preserve">C-C-19-A-01</t>
  </si>
  <si>
    <t xml:space="preserve">JR00037667</t>
  </si>
  <si>
    <t xml:space="preserve">C-C-19-A-03</t>
  </si>
  <si>
    <t xml:space="preserve">JR00037668</t>
  </si>
  <si>
    <t xml:space="preserve">JR00037669</t>
  </si>
  <si>
    <t xml:space="preserve">JR00037670</t>
  </si>
  <si>
    <t xml:space="preserve">JR00037671</t>
  </si>
  <si>
    <t xml:space="preserve">C-B-20-A-03</t>
  </si>
  <si>
    <t xml:space="preserve">JR00037672</t>
  </si>
  <si>
    <t xml:space="preserve">C-B-24-B-01</t>
  </si>
  <si>
    <t xml:space="preserve">JR00037673</t>
  </si>
  <si>
    <t xml:space="preserve">C-B-20-A-01</t>
  </si>
  <si>
    <t xml:space="preserve">JR00038601</t>
  </si>
  <si>
    <t xml:space="preserve">MWIN00997</t>
  </si>
  <si>
    <t xml:space="preserve">JR00038602</t>
  </si>
  <si>
    <t xml:space="preserve">JR00038603</t>
  </si>
  <si>
    <t xml:space="preserve">JR00038604</t>
  </si>
  <si>
    <t xml:space="preserve">JR00038605</t>
  </si>
  <si>
    <t xml:space="preserve">JR00038606</t>
  </si>
  <si>
    <t xml:space="preserve">JR00038607</t>
  </si>
  <si>
    <t xml:space="preserve">JR00038608</t>
  </si>
  <si>
    <t xml:space="preserve">JR00038609</t>
  </si>
  <si>
    <t xml:space="preserve">JR00038610</t>
  </si>
  <si>
    <t xml:space="preserve">JR00038611</t>
  </si>
  <si>
    <t xml:space="preserve">JR00038612</t>
  </si>
  <si>
    <t xml:space="preserve">JR00038613</t>
  </si>
  <si>
    <t xml:space="preserve">A0-AB-14-C-03</t>
  </si>
  <si>
    <t xml:space="preserve">JR00038614</t>
  </si>
  <si>
    <t xml:space="preserve">JR00038615</t>
  </si>
  <si>
    <t xml:space="preserve">JR00038616</t>
  </si>
  <si>
    <t xml:space="preserve">JR00038617</t>
  </si>
  <si>
    <t xml:space="preserve">JR00038618</t>
  </si>
  <si>
    <t xml:space="preserve">JR00038619</t>
  </si>
  <si>
    <t xml:space="preserve">JR00038620</t>
  </si>
  <si>
    <t xml:space="preserve">JR00038881</t>
  </si>
  <si>
    <t xml:space="preserve">MWIN01043</t>
  </si>
  <si>
    <t xml:space="preserve">JR00038721</t>
  </si>
  <si>
    <t xml:space="preserve">MWIN01021</t>
  </si>
  <si>
    <t xml:space="preserve">JR00038722</t>
  </si>
  <si>
    <t xml:space="preserve">A0-AB-10-E-03</t>
  </si>
  <si>
    <t xml:space="preserve">JR00038723</t>
  </si>
  <si>
    <t xml:space="preserve">A0-AB-10-E-01</t>
  </si>
  <si>
    <t xml:space="preserve">JR00038724</t>
  </si>
  <si>
    <t xml:space="preserve">A0-AB-10-C-03</t>
  </si>
  <si>
    <t xml:space="preserve">JR00038725</t>
  </si>
  <si>
    <t xml:space="preserve">A0-AB-10-C-01</t>
  </si>
  <si>
    <t xml:space="preserve">JR00038726</t>
  </si>
  <si>
    <t xml:space="preserve">A0-AB-08-E-03</t>
  </si>
  <si>
    <t xml:space="preserve">JR00038727</t>
  </si>
  <si>
    <t xml:space="preserve">A0-AB-08-E-01</t>
  </si>
  <si>
    <t xml:space="preserve">JR00038728</t>
  </si>
  <si>
    <t xml:space="preserve">A0-AB-08-D-03</t>
  </si>
  <si>
    <t xml:space="preserve">JR00038729</t>
  </si>
  <si>
    <t xml:space="preserve">A0-AB-08-D-01</t>
  </si>
  <si>
    <t xml:space="preserve">JR00038730</t>
  </si>
  <si>
    <t xml:space="preserve">JR00038731</t>
  </si>
  <si>
    <t xml:space="preserve">JR00038732</t>
  </si>
  <si>
    <t xml:space="preserve">A0-AB-08-B-01</t>
  </si>
  <si>
    <t xml:space="preserve">JR00038383</t>
  </si>
  <si>
    <t xml:space="preserve">JR00038384</t>
  </si>
  <si>
    <t xml:space="preserve">FRANK'S REDHOT CAYENNE PEPPER SAUCE 4X1 gal</t>
  </si>
  <si>
    <t xml:space="preserve">F-H-31-D-03</t>
  </si>
  <si>
    <t xml:space="preserve">JR00037863</t>
  </si>
  <si>
    <t xml:space="preserve">MWIN00923</t>
  </si>
  <si>
    <t xml:space="preserve">JR00037864</t>
  </si>
  <si>
    <t xml:space="preserve">C-A-04-B-01</t>
  </si>
  <si>
    <t xml:space="preserve">JR00037865</t>
  </si>
  <si>
    <t xml:space="preserve">JR00037866</t>
  </si>
  <si>
    <t xml:space="preserve">JR00037867</t>
  </si>
  <si>
    <t xml:space="preserve">JR00037868</t>
  </si>
  <si>
    <t xml:space="preserve">JR00037869</t>
  </si>
  <si>
    <t xml:space="preserve">JR00037870</t>
  </si>
  <si>
    <t xml:space="preserve">JR00037871</t>
  </si>
  <si>
    <t xml:space="preserve">JR00037872</t>
  </si>
  <si>
    <t xml:space="preserve">JR00037873</t>
  </si>
  <si>
    <t xml:space="preserve">JR00037874</t>
  </si>
  <si>
    <t xml:space="preserve">C-E-23-A-01</t>
  </si>
  <si>
    <t xml:space="preserve">JR00037875</t>
  </si>
  <si>
    <t xml:space="preserve">C-E-23-A-03</t>
  </si>
  <si>
    <t xml:space="preserve">JR00037876</t>
  </si>
  <si>
    <t xml:space="preserve">C-E-25-A-01</t>
  </si>
  <si>
    <t xml:space="preserve">JR00037877</t>
  </si>
  <si>
    <t xml:space="preserve">C-E-25-A-03</t>
  </si>
  <si>
    <t xml:space="preserve">JR00037878</t>
  </si>
  <si>
    <t xml:space="preserve">C-E-27-A-01</t>
  </si>
  <si>
    <t xml:space="preserve">JR00037879</t>
  </si>
  <si>
    <t xml:space="preserve">C-E-27-A-03</t>
  </si>
  <si>
    <t xml:space="preserve">JR00037880</t>
  </si>
  <si>
    <t xml:space="preserve">C-E-29-A-01</t>
  </si>
  <si>
    <t xml:space="preserve">JR00037881</t>
  </si>
  <si>
    <t xml:space="preserve">C-E-29-A-03</t>
  </si>
  <si>
    <t xml:space="preserve">JR00037882</t>
  </si>
  <si>
    <t xml:space="preserve">C-E-31-A-01</t>
  </si>
  <si>
    <t xml:space="preserve">JR00037883</t>
  </si>
  <si>
    <t xml:space="preserve">C-E-31-A-03</t>
  </si>
  <si>
    <t xml:space="preserve">JR00037884</t>
  </si>
  <si>
    <t xml:space="preserve">C-E-33-A-01</t>
  </si>
  <si>
    <t xml:space="preserve">JR00037885</t>
  </si>
  <si>
    <t xml:space="preserve">C-E-33-A-03</t>
  </si>
  <si>
    <t xml:space="preserve">JR00037886</t>
  </si>
  <si>
    <t xml:space="preserve">C-E-35-A-01</t>
  </si>
  <si>
    <t xml:space="preserve">JR00037887</t>
  </si>
  <si>
    <t xml:space="preserve">C-E-35-A-03</t>
  </si>
  <si>
    <t xml:space="preserve">JR00037888</t>
  </si>
  <si>
    <t xml:space="preserve">C-E-37-A-01</t>
  </si>
  <si>
    <t xml:space="preserve">JR00037889</t>
  </si>
  <si>
    <t xml:space="preserve">C-E-37-A-03</t>
  </si>
  <si>
    <t xml:space="preserve">JR00037890</t>
  </si>
  <si>
    <t xml:space="preserve">C-E-39-A-01</t>
  </si>
  <si>
    <t xml:space="preserve">JR00037891</t>
  </si>
  <si>
    <t xml:space="preserve">C-E-39-A-03</t>
  </si>
  <si>
    <t xml:space="preserve">JF00170747</t>
  </si>
  <si>
    <t xml:space="preserve">SHRM00003762</t>
  </si>
  <si>
    <t xml:space="preserve">JR00038861</t>
  </si>
  <si>
    <t xml:space="preserve">RIYINT00709</t>
  </si>
  <si>
    <t xml:space="preserve">A1-AC-01-B-01</t>
  </si>
  <si>
    <t xml:space="preserve">JR00038862</t>
  </si>
  <si>
    <t xml:space="preserve">A1-AC-12-B-03</t>
  </si>
  <si>
    <t xml:space="preserve">JR00038863</t>
  </si>
  <si>
    <t xml:space="preserve">A1-AC-09-A-01</t>
  </si>
  <si>
    <t xml:space="preserve">JR00038864</t>
  </si>
  <si>
    <t xml:space="preserve">JR00038865</t>
  </si>
  <si>
    <t xml:space="preserve">JR00038984</t>
  </si>
  <si>
    <t xml:space="preserve">MWIN00885</t>
  </si>
  <si>
    <t xml:space="preserve">JR00038985</t>
  </si>
  <si>
    <t xml:space="preserve">C-A-42-B-02</t>
  </si>
  <si>
    <t xml:space="preserve">JR00038986</t>
  </si>
  <si>
    <t xml:space="preserve">JR00038987</t>
  </si>
  <si>
    <t xml:space="preserve">JR00038988</t>
  </si>
  <si>
    <t xml:space="preserve">C-A-03-B-01</t>
  </si>
  <si>
    <t xml:space="preserve">JR00038989</t>
  </si>
  <si>
    <t xml:space="preserve">C-A-01-B-01</t>
  </si>
  <si>
    <t xml:space="preserve">JR00038990</t>
  </si>
  <si>
    <t xml:space="preserve">C-A-01-B-03</t>
  </si>
  <si>
    <t xml:space="preserve">JR00038991</t>
  </si>
  <si>
    <t xml:space="preserve">JR00038992</t>
  </si>
  <si>
    <t xml:space="preserve">JR00038993</t>
  </si>
  <si>
    <t xml:space="preserve">JR00038994</t>
  </si>
  <si>
    <t xml:space="preserve">C-A-44-B-02</t>
  </si>
  <si>
    <t xml:space="preserve">JR00038995</t>
  </si>
  <si>
    <t xml:space="preserve">JR00038996</t>
  </si>
  <si>
    <t xml:space="preserve">JR00038997</t>
  </si>
  <si>
    <t xml:space="preserve">JR00038998</t>
  </si>
  <si>
    <t xml:space="preserve">C-A-03-B-02</t>
  </si>
  <si>
    <t xml:space="preserve">JR00038999</t>
  </si>
  <si>
    <t xml:space="preserve">C-A-17-B-03</t>
  </si>
  <si>
    <t xml:space="preserve">JR00039000</t>
  </si>
  <si>
    <t xml:space="preserve">C-A-17-B-02</t>
  </si>
  <si>
    <t xml:space="preserve">JR00039001</t>
  </si>
  <si>
    <t xml:space="preserve">C-A-17-B-01</t>
  </si>
  <si>
    <t xml:space="preserve">JR00039002</t>
  </si>
  <si>
    <t xml:space="preserve">JR00039003</t>
  </si>
  <si>
    <t xml:space="preserve">C-A-01-B-02</t>
  </si>
  <si>
    <t xml:space="preserve">JR00039004</t>
  </si>
  <si>
    <t xml:space="preserve">C-A-13-A-02</t>
  </si>
  <si>
    <t xml:space="preserve">JR00039005</t>
  </si>
  <si>
    <t xml:space="preserve">JR00039006</t>
  </si>
  <si>
    <t xml:space="preserve">JR00038921</t>
  </si>
  <si>
    <t xml:space="preserve">JR00038922</t>
  </si>
  <si>
    <t xml:space="preserve">F-G-30-B-01</t>
  </si>
  <si>
    <t xml:space="preserve">JR00038928-4967119</t>
  </si>
  <si>
    <t xml:space="preserve">JR00038932</t>
  </si>
  <si>
    <t xml:space="preserve">JR00038934</t>
  </si>
  <si>
    <t xml:space="preserve">F-H-41-B-01</t>
  </si>
  <si>
    <t xml:space="preserve">JR00038935</t>
  </si>
  <si>
    <t xml:space="preserve">JR00038936</t>
  </si>
  <si>
    <t xml:space="preserve">JR00038938</t>
  </si>
  <si>
    <t xml:space="preserve">F-H-45-B-01</t>
  </si>
  <si>
    <t xml:space="preserve">JR00038939</t>
  </si>
  <si>
    <t xml:space="preserve">C-D-05-B-01</t>
  </si>
  <si>
    <t xml:space="preserve">JR00038940</t>
  </si>
  <si>
    <t xml:space="preserve">JR00038941</t>
  </si>
  <si>
    <t xml:space="preserve">C-D-09-B-03</t>
  </si>
  <si>
    <t xml:space="preserve">JR00038942</t>
  </si>
  <si>
    <t xml:space="preserve">C-C-36-B-03</t>
  </si>
  <si>
    <t xml:space="preserve">JR00038943</t>
  </si>
  <si>
    <t xml:space="preserve">C-C-32-B-01</t>
  </si>
  <si>
    <t xml:space="preserve">JR00038944</t>
  </si>
  <si>
    <t xml:space="preserve">C-B-01-B-01</t>
  </si>
  <si>
    <t xml:space="preserve">JR00038945</t>
  </si>
  <si>
    <t xml:space="preserve">JR00038946</t>
  </si>
  <si>
    <t xml:space="preserve">JR00038947</t>
  </si>
  <si>
    <t xml:space="preserve">JR00039141</t>
  </si>
  <si>
    <t xml:space="preserve">SHRM00003841</t>
  </si>
  <si>
    <t xml:space="preserve">A0-AA-18-A-01</t>
  </si>
  <si>
    <t xml:space="preserve">JR00039142</t>
  </si>
  <si>
    <t xml:space="preserve">JR00039161</t>
  </si>
  <si>
    <t xml:space="preserve">MWIN01050</t>
  </si>
  <si>
    <t xml:space="preserve">fnazar1</t>
  </si>
  <si>
    <t xml:space="preserve">A0-AB-12-A-03</t>
  </si>
  <si>
    <t xml:space="preserve">JR00039162</t>
  </si>
  <si>
    <t xml:space="preserve">JR00039163</t>
  </si>
  <si>
    <t xml:space="preserve">JR00039164</t>
  </si>
  <si>
    <t xml:space="preserve">JR00039165</t>
  </si>
  <si>
    <t xml:space="preserve">JR00039166</t>
  </si>
  <si>
    <t xml:space="preserve">JR00039167</t>
  </si>
  <si>
    <t xml:space="preserve">JR00039168</t>
  </si>
  <si>
    <t xml:space="preserve">A0-AB-16-C-01</t>
  </si>
  <si>
    <t xml:space="preserve">JR00039169</t>
  </si>
  <si>
    <t xml:space="preserve">A0-AB-16-B-03</t>
  </si>
  <si>
    <t xml:space="preserve">JR00039170</t>
  </si>
  <si>
    <t xml:space="preserve">JR00039171</t>
  </si>
  <si>
    <t xml:space="preserve">A0-AB-18-B-01</t>
  </si>
  <si>
    <t xml:space="preserve">JR00039172</t>
  </si>
  <si>
    <t xml:space="preserve">A1-AA-03-C-01</t>
  </si>
  <si>
    <t xml:space="preserve">JR00039173</t>
  </si>
  <si>
    <t xml:space="preserve">A1-AA-05-B-01</t>
  </si>
  <si>
    <t xml:space="preserve">JR00039174</t>
  </si>
  <si>
    <t xml:space="preserve">A1-AA-03-E-01</t>
  </si>
  <si>
    <t xml:space="preserve">JR00039175</t>
  </si>
  <si>
    <t xml:space="preserve">A1-AA-03-D-01</t>
  </si>
  <si>
    <t xml:space="preserve">JR00039176</t>
  </si>
  <si>
    <t xml:space="preserve">JR00039177</t>
  </si>
  <si>
    <t xml:space="preserve">A1-AA-03-B-01</t>
  </si>
  <si>
    <t xml:space="preserve">JR00039178</t>
  </si>
  <si>
    <t xml:space="preserve">JR00039179</t>
  </si>
  <si>
    <t xml:space="preserve">JR00039180</t>
  </si>
  <si>
    <t xml:space="preserve">JR00038901</t>
  </si>
  <si>
    <t xml:space="preserve">DAMINT00500</t>
  </si>
  <si>
    <t xml:space="preserve">JR00038949</t>
  </si>
  <si>
    <t xml:space="preserve">WHRET00683</t>
  </si>
  <si>
    <t xml:space="preserve">JR00038951</t>
  </si>
  <si>
    <t xml:space="preserve">JR00038952</t>
  </si>
  <si>
    <t xml:space="preserve">JR00038953</t>
  </si>
  <si>
    <t xml:space="preserve">JF00171167</t>
  </si>
  <si>
    <t xml:space="preserve">NESCAFE REDMUGDecafStick 14(50x1.8g)N1XI</t>
  </si>
  <si>
    <t xml:space="preserve">WRITEOFF080425</t>
  </si>
  <si>
    <t xml:space="preserve">JR00038714</t>
  </si>
  <si>
    <t xml:space="preserve">MWIN00983</t>
  </si>
  <si>
    <t xml:space="preserve">C-B-16-D-01</t>
  </si>
  <si>
    <t xml:space="preserve">JR00038923</t>
  </si>
  <si>
    <t xml:space="preserve">JR00038924</t>
  </si>
  <si>
    <t xml:space="preserve">JR00038925</t>
  </si>
  <si>
    <t xml:space="preserve">JR00038926</t>
  </si>
  <si>
    <t xml:space="preserve">JR00038954</t>
  </si>
  <si>
    <t xml:space="preserve">JR00038955</t>
  </si>
  <si>
    <t xml:space="preserve">JR00038956</t>
  </si>
  <si>
    <t xml:space="preserve">JR00038957</t>
  </si>
  <si>
    <t xml:space="preserve">JR00038958</t>
  </si>
  <si>
    <t xml:space="preserve">JR00039060</t>
  </si>
  <si>
    <t xml:space="preserve">JR00039061</t>
  </si>
  <si>
    <t xml:space="preserve">JR00039062</t>
  </si>
  <si>
    <t xml:space="preserve">C-B-03-B-03</t>
  </si>
  <si>
    <t xml:space="preserve">JR00039063</t>
  </si>
  <si>
    <t xml:space="preserve">C-B-30-E-01</t>
  </si>
  <si>
    <t xml:space="preserve">JR00039064</t>
  </si>
  <si>
    <t xml:space="preserve">JR00039065</t>
  </si>
  <si>
    <t xml:space="preserve">C-B-38-D-03</t>
  </si>
  <si>
    <t xml:space="preserve">JR00039066</t>
  </si>
  <si>
    <t xml:space="preserve">C-E-24-A-01</t>
  </si>
  <si>
    <t xml:space="preserve">JR00039067</t>
  </si>
  <si>
    <t xml:space="preserve">JR00039068</t>
  </si>
  <si>
    <t xml:space="preserve">JR00039069</t>
  </si>
  <si>
    <t xml:space="preserve">JR00039070</t>
  </si>
  <si>
    <t xml:space="preserve">JR00037674</t>
  </si>
  <si>
    <t xml:space="preserve">FRENCH'S CLASSIC YELLOW MUSTARD 4X105 oz (2.97 KG)</t>
  </si>
  <si>
    <t xml:space="preserve">MWIN01054</t>
  </si>
  <si>
    <t xml:space="preserve">JR00037675</t>
  </si>
  <si>
    <t xml:space="preserve">JR00039032</t>
  </si>
  <si>
    <t xml:space="preserve">MWIN01063</t>
  </si>
  <si>
    <t xml:space="preserve">C-A-25-A-01</t>
  </si>
  <si>
    <t xml:space="preserve">JR00039033</t>
  </si>
  <si>
    <t xml:space="preserve">C-A-29-B-01</t>
  </si>
  <si>
    <t xml:space="preserve">JR00039034</t>
  </si>
  <si>
    <t xml:space="preserve">C-A-39-B-03</t>
  </si>
  <si>
    <t xml:space="preserve">JR00039035</t>
  </si>
  <si>
    <t xml:space="preserve">JR00039036</t>
  </si>
  <si>
    <t xml:space="preserve">JR00039037</t>
  </si>
  <si>
    <t xml:space="preserve">JR00039038</t>
  </si>
  <si>
    <t xml:space="preserve">C-B-45-B-01</t>
  </si>
  <si>
    <t xml:space="preserve">JR00039039</t>
  </si>
  <si>
    <t xml:space="preserve">C-A-03-A-01</t>
  </si>
  <si>
    <t xml:space="preserve">JR00039040</t>
  </si>
  <si>
    <t xml:space="preserve">JR00039041</t>
  </si>
  <si>
    <t xml:space="preserve">C-A-41-A-03</t>
  </si>
  <si>
    <t xml:space="preserve">JR00039042</t>
  </si>
  <si>
    <t xml:space="preserve">C-A-45-B-03</t>
  </si>
  <si>
    <t xml:space="preserve">JR00039043</t>
  </si>
  <si>
    <t xml:space="preserve">C-A-43-B-03</t>
  </si>
  <si>
    <t xml:space="preserve">JR00039044</t>
  </si>
  <si>
    <t xml:space="preserve">JR00039045</t>
  </si>
  <si>
    <t xml:space="preserve">C-A-41-B-03</t>
  </si>
  <si>
    <t xml:space="preserve">JR00039046</t>
  </si>
  <si>
    <t xml:space="preserve">JR00039047</t>
  </si>
  <si>
    <t xml:space="preserve">C-A-29-A-03</t>
  </si>
  <si>
    <t xml:space="preserve">JR00039048</t>
  </si>
  <si>
    <t xml:space="preserve">C-A-27-B-01</t>
  </si>
  <si>
    <t xml:space="preserve">JR00039049</t>
  </si>
  <si>
    <t xml:space="preserve">C-A-05-A-01</t>
  </si>
  <si>
    <t xml:space="preserve">JR00039051</t>
  </si>
  <si>
    <t xml:space="preserve">JR00039052</t>
  </si>
  <si>
    <t xml:space="preserve">C-B-02-E-01</t>
  </si>
  <si>
    <t xml:space="preserve">JR00039053</t>
  </si>
  <si>
    <t xml:space="preserve">C-A-45-B-01</t>
  </si>
  <si>
    <t xml:space="preserve">JR00039054</t>
  </si>
  <si>
    <t xml:space="preserve">C-C-29-D-03</t>
  </si>
  <si>
    <t xml:space="preserve">JR00039055</t>
  </si>
  <si>
    <t xml:space="preserve">JR00039056</t>
  </si>
  <si>
    <t xml:space="preserve">JR00039057</t>
  </si>
  <si>
    <t xml:space="preserve">JR00039059</t>
  </si>
  <si>
    <t xml:space="preserve">JR00042825</t>
  </si>
  <si>
    <t xml:space="preserve">JR00054525</t>
  </si>
  <si>
    <t xml:space="preserve">F-H-17-C-01</t>
  </si>
  <si>
    <t xml:space="preserve">JR00038902</t>
  </si>
  <si>
    <t xml:space="preserve">SHRM00003821</t>
  </si>
  <si>
    <t xml:space="preserve">JR00038961</t>
  </si>
  <si>
    <t xml:space="preserve">MWIN00886</t>
  </si>
  <si>
    <t xml:space="preserve">JR00038962</t>
  </si>
  <si>
    <t xml:space="preserve">JR00038963</t>
  </si>
  <si>
    <t xml:space="preserve">JR00038964</t>
  </si>
  <si>
    <t xml:space="preserve">C-A-32-B-02</t>
  </si>
  <si>
    <t xml:space="preserve">JR00038965</t>
  </si>
  <si>
    <t xml:space="preserve">JR00038966</t>
  </si>
  <si>
    <t xml:space="preserve">C-A-36-B-02</t>
  </si>
  <si>
    <t xml:space="preserve">JR00038967</t>
  </si>
  <si>
    <t xml:space="preserve">JR00038968</t>
  </si>
  <si>
    <t xml:space="preserve">JR00038969</t>
  </si>
  <si>
    <t xml:space="preserve">JR00038970</t>
  </si>
  <si>
    <t xml:space="preserve">JR00038971</t>
  </si>
  <si>
    <t xml:space="preserve">JR00038972</t>
  </si>
  <si>
    <t xml:space="preserve">JR00038973</t>
  </si>
  <si>
    <t xml:space="preserve">JR00038974</t>
  </si>
  <si>
    <t xml:space="preserve">C-A-02-D-03</t>
  </si>
  <si>
    <t xml:space="preserve">JR00038975</t>
  </si>
  <si>
    <t xml:space="preserve">JR00038977</t>
  </si>
  <si>
    <t xml:space="preserve">JR00038978</t>
  </si>
  <si>
    <t xml:space="preserve">JR00038979</t>
  </si>
  <si>
    <t xml:space="preserve">JR00038980</t>
  </si>
  <si>
    <t xml:space="preserve">JR00038981</t>
  </si>
  <si>
    <t xml:space="preserve">JR00038982</t>
  </si>
  <si>
    <t xml:space="preserve">JR00038983</t>
  </si>
  <si>
    <t xml:space="preserve">JR00042823</t>
  </si>
  <si>
    <t xml:space="preserve">JR00042824</t>
  </si>
  <si>
    <t xml:space="preserve">C-A-01-A-02</t>
  </si>
  <si>
    <t xml:space="preserve">JR00038386</t>
  </si>
  <si>
    <t xml:space="preserve">MWIN00781</t>
  </si>
  <si>
    <t xml:space="preserve">JR00038389</t>
  </si>
  <si>
    <t xml:space="preserve">JR00038394</t>
  </si>
  <si>
    <t xml:space="preserve">F-G-10-B-03</t>
  </si>
  <si>
    <t xml:space="preserve">JR00038395</t>
  </si>
  <si>
    <t xml:space="preserve">JR00038397</t>
  </si>
  <si>
    <t xml:space="preserve">F-H-01-B-01</t>
  </si>
  <si>
    <t xml:space="preserve">JR00038400</t>
  </si>
  <si>
    <t xml:space="preserve">RIYINT00715</t>
  </si>
  <si>
    <t xml:space="preserve">C-A-07-B-03</t>
  </si>
  <si>
    <t xml:space="preserve">JR00038401</t>
  </si>
  <si>
    <t xml:space="preserve">JR00038402</t>
  </si>
  <si>
    <t xml:space="preserve">JR00038403</t>
  </si>
  <si>
    <t xml:space="preserve">JR00038404</t>
  </si>
  <si>
    <t xml:space="preserve">JR00038405-4961909</t>
  </si>
  <si>
    <t xml:space="preserve">C-A-01-C-02</t>
  </si>
  <si>
    <t xml:space="preserve">JR00038406</t>
  </si>
  <si>
    <t xml:space="preserve">C-A-01-C-03</t>
  </si>
  <si>
    <t xml:space="preserve">JR00038407</t>
  </si>
  <si>
    <t xml:space="preserve">JR00038408</t>
  </si>
  <si>
    <t xml:space="preserve">JR00038409</t>
  </si>
  <si>
    <t xml:space="preserve">C-A-05-B-03</t>
  </si>
  <si>
    <t xml:space="preserve">JR00038959</t>
  </si>
  <si>
    <t xml:space="preserve">MWIN00655</t>
  </si>
  <si>
    <t xml:space="preserve">C-A-16-A-02</t>
  </si>
  <si>
    <t xml:space="preserve">JR00039008</t>
  </si>
  <si>
    <t xml:space="preserve">C-B-19-E-03</t>
  </si>
  <si>
    <t xml:space="preserve">JR00039009</t>
  </si>
  <si>
    <t xml:space="preserve">JR00039010</t>
  </si>
  <si>
    <t xml:space="preserve">JR00039011</t>
  </si>
  <si>
    <t xml:space="preserve">JR00039012</t>
  </si>
  <si>
    <t xml:space="preserve">JR00039013</t>
  </si>
  <si>
    <t xml:space="preserve">C-A-13-A-03</t>
  </si>
  <si>
    <t xml:space="preserve">JR00039014</t>
  </si>
  <si>
    <t xml:space="preserve">JR00039015</t>
  </si>
  <si>
    <t xml:space="preserve">JR00039016</t>
  </si>
  <si>
    <t xml:space="preserve">C-A-16-C-01</t>
  </si>
  <si>
    <t xml:space="preserve">JR00039017</t>
  </si>
  <si>
    <t xml:space="preserve">JR00039018</t>
  </si>
  <si>
    <t xml:space="preserve">C-A-35-A-01</t>
  </si>
  <si>
    <t xml:space="preserve">JR00039019</t>
  </si>
  <si>
    <t xml:space="preserve">C-B-39-C-01</t>
  </si>
  <si>
    <t xml:space="preserve">JR00039020</t>
  </si>
  <si>
    <t xml:space="preserve">JR00039021</t>
  </si>
  <si>
    <t xml:space="preserve">JR00039022</t>
  </si>
  <si>
    <t xml:space="preserve">JR00039023</t>
  </si>
  <si>
    <t xml:space="preserve">JR00039024</t>
  </si>
  <si>
    <t xml:space="preserve">JR00039025</t>
  </si>
  <si>
    <t xml:space="preserve">JR00039026</t>
  </si>
  <si>
    <t xml:space="preserve">JR00039027</t>
  </si>
  <si>
    <t xml:space="preserve">JR00039028</t>
  </si>
  <si>
    <t xml:space="preserve">JR00039029</t>
  </si>
  <si>
    <t xml:space="preserve">JR00039030</t>
  </si>
  <si>
    <t xml:space="preserve">JR00039031</t>
  </si>
  <si>
    <t xml:space="preserve">C-B-33-B-03</t>
  </si>
  <si>
    <t xml:space="preserve">JR00041494</t>
  </si>
  <si>
    <t xml:space="preserve">JR00037678</t>
  </si>
  <si>
    <t xml:space="preserve">JR00037680</t>
  </si>
  <si>
    <t xml:space="preserve">WHRET00689</t>
  </si>
  <si>
    <t xml:space="preserve">JR00039214</t>
  </si>
  <si>
    <t xml:space="preserve">MWIN01059</t>
  </si>
  <si>
    <t xml:space="preserve">JR00039215</t>
  </si>
  <si>
    <t xml:space="preserve">JR00039216</t>
  </si>
  <si>
    <t xml:space="preserve">A0-AA-08-C-03</t>
  </si>
  <si>
    <t xml:space="preserve">JR00039217</t>
  </si>
  <si>
    <t xml:space="preserve">JR00039218</t>
  </si>
  <si>
    <t xml:space="preserve">JR00039219</t>
  </si>
  <si>
    <t xml:space="preserve">JR00039220</t>
  </si>
  <si>
    <t xml:space="preserve">JR00037442</t>
  </si>
  <si>
    <t xml:space="preserve">MWIN00912-3</t>
  </si>
  <si>
    <t xml:space="preserve">C-A-37-C-03</t>
  </si>
  <si>
    <t xml:space="preserve">JR00037443</t>
  </si>
  <si>
    <t xml:space="preserve">C-A-33-D-01</t>
  </si>
  <si>
    <t xml:space="preserve">JR00037444</t>
  </si>
  <si>
    <t xml:space="preserve">JR00037445</t>
  </si>
  <si>
    <t xml:space="preserve">JR00037446</t>
  </si>
  <si>
    <t xml:space="preserve">C-A-35-C-03</t>
  </si>
  <si>
    <t xml:space="preserve">JR00037447</t>
  </si>
  <si>
    <t xml:space="preserve">JR00037448</t>
  </si>
  <si>
    <t xml:space="preserve">KIT KAT 4 Finger 12(24x36.5g) XA</t>
  </si>
  <si>
    <t xml:space="preserve">C-A-31-D-03</t>
  </si>
  <si>
    <t xml:space="preserve">JR00037449</t>
  </si>
  <si>
    <t xml:space="preserve">KIT KAT CHUNKY 8 (24*40G) N1XA</t>
  </si>
  <si>
    <t xml:space="preserve">C-A-31-D-01</t>
  </si>
  <si>
    <t xml:space="preserve">JR00038104</t>
  </si>
  <si>
    <t xml:space="preserve">JR00038105</t>
  </si>
  <si>
    <t xml:space="preserve">C-A-29-D-01</t>
  </si>
  <si>
    <t xml:space="preserve">JR00038106</t>
  </si>
  <si>
    <t xml:space="preserve">JR00038107</t>
  </si>
  <si>
    <t xml:space="preserve">JR00038108</t>
  </si>
  <si>
    <t xml:space="preserve">C-A-33-C-01</t>
  </si>
  <si>
    <t xml:space="preserve">JR00038109</t>
  </si>
  <si>
    <t xml:space="preserve">JR00038110</t>
  </si>
  <si>
    <t xml:space="preserve">C-A-31-B-03</t>
  </si>
  <si>
    <t xml:space="preserve">JR00038111</t>
  </si>
  <si>
    <t xml:space="preserve">JR00038112</t>
  </si>
  <si>
    <t xml:space="preserve">JR00038113</t>
  </si>
  <si>
    <t xml:space="preserve">JR00038419</t>
  </si>
  <si>
    <t xml:space="preserve">JR00040088</t>
  </si>
  <si>
    <t xml:space="preserve">FBB1112</t>
  </si>
  <si>
    <t xml:space="preserve">FROZEN BEEF TENDERLOIN 3/4LB CHAIN ON</t>
  </si>
  <si>
    <t xml:space="preserve">MWIN00920</t>
  </si>
  <si>
    <t xml:space="preserve">JR00040094</t>
  </si>
  <si>
    <t xml:space="preserve">A1-AA-12-D-01</t>
  </si>
  <si>
    <t xml:space="preserve">JR00040098</t>
  </si>
  <si>
    <t xml:space="preserve">JR00040099</t>
  </si>
  <si>
    <t xml:space="preserve">A0-AA-05-A-01</t>
  </si>
  <si>
    <t xml:space="preserve">JR00040101</t>
  </si>
  <si>
    <t xml:space="preserve">JR00040105</t>
  </si>
  <si>
    <t xml:space="preserve">A1-AA-08-A-03</t>
  </si>
  <si>
    <t xml:space="preserve">JR00040107</t>
  </si>
  <si>
    <t xml:space="preserve">A1-AA-08-B-03</t>
  </si>
  <si>
    <t xml:space="preserve">JR00040110</t>
  </si>
  <si>
    <t xml:space="preserve">A1-AA-08-D-01</t>
  </si>
  <si>
    <t xml:space="preserve">JR00040113</t>
  </si>
  <si>
    <t xml:space="preserve">A1-AA-08-E-01</t>
  </si>
  <si>
    <t xml:space="preserve">JR00040119</t>
  </si>
  <si>
    <t xml:space="preserve">A1-AA-09-C-03</t>
  </si>
  <si>
    <t xml:space="preserve">JR00040120</t>
  </si>
  <si>
    <t xml:space="preserve">A1-AA-09-D-01</t>
  </si>
  <si>
    <t xml:space="preserve">JR00041267</t>
  </si>
  <si>
    <t xml:space="preserve">JR00039714</t>
  </si>
  <si>
    <t xml:space="preserve">Chefâ€™s Line French Fries 9 MM ( Straight Cut ) 4x2.5 Kg-Coated Skin Off</t>
  </si>
  <si>
    <t xml:space="preserve">DAMINT00534</t>
  </si>
  <si>
    <t xml:space="preserve">JR00039715</t>
  </si>
  <si>
    <t xml:space="preserve">A0-AA-03-A-01</t>
  </si>
  <si>
    <t xml:space="preserve">JR00039716</t>
  </si>
  <si>
    <t xml:space="preserve">A0-AA-05-D-03</t>
  </si>
  <si>
    <t xml:space="preserve">JR00039717</t>
  </si>
  <si>
    <t xml:space="preserve">JR00039718</t>
  </si>
  <si>
    <t xml:space="preserve">JR00039719</t>
  </si>
  <si>
    <t xml:space="preserve">JR00039720</t>
  </si>
  <si>
    <t xml:space="preserve">JR00039721</t>
  </si>
  <si>
    <t xml:space="preserve">JR00039722</t>
  </si>
  <si>
    <t xml:space="preserve">A0-AA-06-D-02</t>
  </si>
  <si>
    <t xml:space="preserve">JR00039723</t>
  </si>
  <si>
    <t xml:space="preserve">JR00039724</t>
  </si>
  <si>
    <t xml:space="preserve">JR00039725</t>
  </si>
  <si>
    <t xml:space="preserve">JR00039726</t>
  </si>
  <si>
    <t xml:space="preserve">JR00039727</t>
  </si>
  <si>
    <t xml:space="preserve">JR00039321</t>
  </si>
  <si>
    <t xml:space="preserve">MWIN00931</t>
  </si>
  <si>
    <t xml:space="preserve">JR00039322</t>
  </si>
  <si>
    <t xml:space="preserve">JR00039323</t>
  </si>
  <si>
    <t xml:space="preserve">JR00039324</t>
  </si>
  <si>
    <t xml:space="preserve">JR00039325</t>
  </si>
  <si>
    <t xml:space="preserve">JR00039326</t>
  </si>
  <si>
    <t xml:space="preserve">JR00039327</t>
  </si>
  <si>
    <t xml:space="preserve">C-E-24-C-03</t>
  </si>
  <si>
    <t xml:space="preserve">JR00039328</t>
  </si>
  <si>
    <t xml:space="preserve">JR00039329</t>
  </si>
  <si>
    <t xml:space="preserve">JR00039330</t>
  </si>
  <si>
    <t xml:space="preserve">JR00039331</t>
  </si>
  <si>
    <t xml:space="preserve">JR00039332</t>
  </si>
  <si>
    <t xml:space="preserve">JR00039333</t>
  </si>
  <si>
    <t xml:space="preserve">JR00039334</t>
  </si>
  <si>
    <t xml:space="preserve">JR00039335</t>
  </si>
  <si>
    <t xml:space="preserve">JR00039336</t>
  </si>
  <si>
    <t xml:space="preserve">C-E-30-C-01</t>
  </si>
  <si>
    <t xml:space="preserve">JR00039337</t>
  </si>
  <si>
    <t xml:space="preserve">JR00039338</t>
  </si>
  <si>
    <t xml:space="preserve">C-E-28-C-03</t>
  </si>
  <si>
    <t xml:space="preserve">JR00039339</t>
  </si>
  <si>
    <t xml:space="preserve">JR00039340</t>
  </si>
  <si>
    <t xml:space="preserve">JR00039341</t>
  </si>
  <si>
    <t xml:space="preserve">JR00039342</t>
  </si>
  <si>
    <t xml:space="preserve">JR00039343</t>
  </si>
  <si>
    <t xml:space="preserve">JR00039344</t>
  </si>
  <si>
    <t xml:space="preserve">JR00039345</t>
  </si>
  <si>
    <t xml:space="preserve">JR00039346</t>
  </si>
  <si>
    <t xml:space="preserve">JR00039347</t>
  </si>
  <si>
    <t xml:space="preserve">JR00039348</t>
  </si>
  <si>
    <t xml:space="preserve">JR00039349</t>
  </si>
  <si>
    <t xml:space="preserve">C-D-19-B-01</t>
  </si>
  <si>
    <t xml:space="preserve">JR00039759</t>
  </si>
  <si>
    <t xml:space="preserve">MWIN00032</t>
  </si>
  <si>
    <t xml:space="preserve">C-C-16-C-03</t>
  </si>
  <si>
    <t xml:space="preserve">JR00039760</t>
  </si>
  <si>
    <t xml:space="preserve">C-C-16-C-01</t>
  </si>
  <si>
    <t xml:space="preserve">JR00039761</t>
  </si>
  <si>
    <t xml:space="preserve">C-C-14-C-03</t>
  </si>
  <si>
    <t xml:space="preserve">JR00039762</t>
  </si>
  <si>
    <t xml:space="preserve">C-C-14-C-02</t>
  </si>
  <si>
    <t xml:space="preserve">JR00039763</t>
  </si>
  <si>
    <t xml:space="preserve">C-B-18-D-01</t>
  </si>
  <si>
    <t xml:space="preserve">JR00039764</t>
  </si>
  <si>
    <t xml:space="preserve">C-C-12-C-01</t>
  </si>
  <si>
    <t xml:space="preserve">JR00039765</t>
  </si>
  <si>
    <t xml:space="preserve">JR00039766</t>
  </si>
  <si>
    <t xml:space="preserve">C-C-10-D-03</t>
  </si>
  <si>
    <t xml:space="preserve">JR00039767</t>
  </si>
  <si>
    <t xml:space="preserve">JR00039768</t>
  </si>
  <si>
    <t xml:space="preserve">JR00039769</t>
  </si>
  <si>
    <t xml:space="preserve">C-C-04-D-01</t>
  </si>
  <si>
    <t xml:space="preserve">JR00039770</t>
  </si>
  <si>
    <t xml:space="preserve">C-C-18-C-01</t>
  </si>
  <si>
    <t xml:space="preserve">JR00039771</t>
  </si>
  <si>
    <t xml:space="preserve">C-A-35-C-02</t>
  </si>
  <si>
    <t xml:space="preserve">JR00039772</t>
  </si>
  <si>
    <t xml:space="preserve">JR00039773</t>
  </si>
  <si>
    <t xml:space="preserve">C-A-35-D-02</t>
  </si>
  <si>
    <t xml:space="preserve">JR00039774</t>
  </si>
  <si>
    <t xml:space="preserve">C-C-20-C-02</t>
  </si>
  <si>
    <t xml:space="preserve">JR00039775</t>
  </si>
  <si>
    <t xml:space="preserve">C-C-20-C-01</t>
  </si>
  <si>
    <t xml:space="preserve">JR00039776</t>
  </si>
  <si>
    <t xml:space="preserve">C-C-18-C-03</t>
  </si>
  <si>
    <t xml:space="preserve">JR00039777</t>
  </si>
  <si>
    <t xml:space="preserve">C-A-33-D-02</t>
  </si>
  <si>
    <t xml:space="preserve">JR00039778</t>
  </si>
  <si>
    <t xml:space="preserve">C-C-06-D-03</t>
  </si>
  <si>
    <t xml:space="preserve">JR00039779</t>
  </si>
  <si>
    <t xml:space="preserve">C-C-06-D-01</t>
  </si>
  <si>
    <t xml:space="preserve">JR00039780</t>
  </si>
  <si>
    <t xml:space="preserve">JR00039781</t>
  </si>
  <si>
    <t xml:space="preserve">C-C-04-B-02</t>
  </si>
  <si>
    <t xml:space="preserve">JR00039782</t>
  </si>
  <si>
    <t xml:space="preserve">JR00039783</t>
  </si>
  <si>
    <t xml:space="preserve">JR00039784</t>
  </si>
  <si>
    <t xml:space="preserve">JR00039785</t>
  </si>
  <si>
    <t xml:space="preserve">C-A-06-B-03</t>
  </si>
  <si>
    <t xml:space="preserve">JR00039786</t>
  </si>
  <si>
    <t xml:space="preserve">JR00039787</t>
  </si>
  <si>
    <t xml:space="preserve">JR00039788</t>
  </si>
  <si>
    <t xml:space="preserve">C-A-16-D-03</t>
  </si>
  <si>
    <t xml:space="preserve">JR00039789</t>
  </si>
  <si>
    <t xml:space="preserve">C-A-16-D-01</t>
  </si>
  <si>
    <t xml:space="preserve">JR00039790</t>
  </si>
  <si>
    <t xml:space="preserve">JR00039791</t>
  </si>
  <si>
    <t xml:space="preserve">C-A-01-D-01</t>
  </si>
  <si>
    <t xml:space="preserve">JR00039792</t>
  </si>
  <si>
    <t xml:space="preserve">C-A-01-D-02</t>
  </si>
  <si>
    <t xml:space="preserve">JR00039793</t>
  </si>
  <si>
    <t xml:space="preserve">JR00039794</t>
  </si>
  <si>
    <t xml:space="preserve">C-A-05-D-02</t>
  </si>
  <si>
    <t xml:space="preserve">JR00039795</t>
  </si>
  <si>
    <t xml:space="preserve">C-A-17-D-01</t>
  </si>
  <si>
    <t xml:space="preserve">JR00039796</t>
  </si>
  <si>
    <t xml:space="preserve">C-A-11-D-01</t>
  </si>
  <si>
    <t xml:space="preserve">JR00039797</t>
  </si>
  <si>
    <t xml:space="preserve">C-A-09-D-03</t>
  </si>
  <si>
    <t xml:space="preserve">JR00039798</t>
  </si>
  <si>
    <t xml:space="preserve">JR00039799</t>
  </si>
  <si>
    <t xml:space="preserve">JR00039800</t>
  </si>
  <si>
    <t xml:space="preserve">C-A-07-D-01</t>
  </si>
  <si>
    <t xml:space="preserve">JR00039801</t>
  </si>
  <si>
    <t xml:space="preserve">JR00039802</t>
  </si>
  <si>
    <t xml:space="preserve">C-A-03-D-03</t>
  </si>
  <si>
    <t xml:space="preserve">JR00039803</t>
  </si>
  <si>
    <t xml:space="preserve">JR00039804</t>
  </si>
  <si>
    <t xml:space="preserve">JR00039805</t>
  </si>
  <si>
    <t xml:space="preserve">JR00039806</t>
  </si>
  <si>
    <t xml:space="preserve">C-A-31-D-02</t>
  </si>
  <si>
    <t xml:space="preserve">JR00039807</t>
  </si>
  <si>
    <t xml:space="preserve">C-A-24-C-03</t>
  </si>
  <si>
    <t xml:space="preserve">JR00039808</t>
  </si>
  <si>
    <t xml:space="preserve">C-A-19-D-01</t>
  </si>
  <si>
    <t xml:space="preserve">JR00039809</t>
  </si>
  <si>
    <t xml:space="preserve">C-A-37-D-01</t>
  </si>
  <si>
    <t xml:space="preserve">JR00039810</t>
  </si>
  <si>
    <t xml:space="preserve">C-A-37-D-03</t>
  </si>
  <si>
    <t xml:space="preserve">JR00039811</t>
  </si>
  <si>
    <t xml:space="preserve">JR00039812</t>
  </si>
  <si>
    <t xml:space="preserve">C-A-25-D-01</t>
  </si>
  <si>
    <t xml:space="preserve">JR00039813</t>
  </si>
  <si>
    <t xml:space="preserve">JR00039814</t>
  </si>
  <si>
    <t xml:space="preserve">C-A-41-C-03</t>
  </si>
  <si>
    <t xml:space="preserve">JR00039815</t>
  </si>
  <si>
    <t xml:space="preserve">JR00039816</t>
  </si>
  <si>
    <t xml:space="preserve">C-A-39-C-03</t>
  </si>
  <si>
    <t xml:space="preserve">JR00039817</t>
  </si>
  <si>
    <t xml:space="preserve">C-A-39-C-01</t>
  </si>
  <si>
    <t xml:space="preserve">JR00039818</t>
  </si>
  <si>
    <t xml:space="preserve">JR00039819</t>
  </si>
  <si>
    <t xml:space="preserve">C-A-19-D-02</t>
  </si>
  <si>
    <t xml:space="preserve">JR00039820</t>
  </si>
  <si>
    <t xml:space="preserve">JR00039821</t>
  </si>
  <si>
    <t xml:space="preserve">NESTLE PROFESSIONAL KITKAT Spread 3kg TR</t>
  </si>
  <si>
    <t xml:space="preserve">JR00039823</t>
  </si>
  <si>
    <t xml:space="preserve">JR00039824</t>
  </si>
  <si>
    <t xml:space="preserve">JR00039825</t>
  </si>
  <si>
    <t xml:space="preserve">C-A-31-C-02</t>
  </si>
  <si>
    <t xml:space="preserve">JR00039826</t>
  </si>
  <si>
    <t xml:space="preserve">JR00039827</t>
  </si>
  <si>
    <t xml:space="preserve">NESQUIK Cereal 14x330g N2 SA</t>
  </si>
  <si>
    <t xml:space="preserve">C-A-15-D-03</t>
  </si>
  <si>
    <t xml:space="preserve">JR00039828</t>
  </si>
  <si>
    <t xml:space="preserve">NESTLE SCM Caramel Easy Open 12x397g XA</t>
  </si>
  <si>
    <t xml:space="preserve">C-A-11-D-03</t>
  </si>
  <si>
    <t xml:space="preserve">JR00039829</t>
  </si>
  <si>
    <t xml:space="preserve">C-A-13-D-03</t>
  </si>
  <si>
    <t xml:space="preserve">JR00039830</t>
  </si>
  <si>
    <t xml:space="preserve">JR00039831</t>
  </si>
  <si>
    <t xml:space="preserve">JR00039832</t>
  </si>
  <si>
    <t xml:space="preserve">JR00039833</t>
  </si>
  <si>
    <t xml:space="preserve">JR00039834</t>
  </si>
  <si>
    <t xml:space="preserve">C-A-17-D-03</t>
  </si>
  <si>
    <t xml:space="preserve">JR00039835</t>
  </si>
  <si>
    <t xml:space="preserve">JR00039728</t>
  </si>
  <si>
    <t xml:space="preserve">MWIN01068</t>
  </si>
  <si>
    <t xml:space="preserve">A0-AB-06-E-01</t>
  </si>
  <si>
    <t xml:space="preserve">JR00039729</t>
  </si>
  <si>
    <t xml:space="preserve">A0-AB-06-D-03</t>
  </si>
  <si>
    <t xml:space="preserve">JR00039730</t>
  </si>
  <si>
    <t xml:space="preserve">A0-AB-06-D-01</t>
  </si>
  <si>
    <t xml:space="preserve">JR00039836</t>
  </si>
  <si>
    <t xml:space="preserve">MWIN00032_1</t>
  </si>
  <si>
    <t xml:space="preserve">JR00040000</t>
  </si>
  <si>
    <t xml:space="preserve">Chefâ€™s Line French Fries 9 MM ( Straight Cut ) 4x2.5 Kg-Coated Skin On</t>
  </si>
  <si>
    <t xml:space="preserve">RIYINT00751</t>
  </si>
  <si>
    <t xml:space="preserve">A0-AB-07-C-01</t>
  </si>
  <si>
    <t xml:space="preserve">JR00040001</t>
  </si>
  <si>
    <t xml:space="preserve">JR00040002</t>
  </si>
  <si>
    <t xml:space="preserve">A0-AB-05-B-02</t>
  </si>
  <si>
    <t xml:space="preserve">JR00040003</t>
  </si>
  <si>
    <t xml:space="preserve">JR00040004</t>
  </si>
  <si>
    <t xml:space="preserve">JR00040005</t>
  </si>
  <si>
    <t xml:space="preserve">JR00040006</t>
  </si>
  <si>
    <t xml:space="preserve">JR00040007</t>
  </si>
  <si>
    <t xml:space="preserve">JR00040008</t>
  </si>
  <si>
    <t xml:space="preserve">JR00039262</t>
  </si>
  <si>
    <t xml:space="preserve">WHRET00701</t>
  </si>
  <si>
    <t xml:space="preserve">JR00039222</t>
  </si>
  <si>
    <t xml:space="preserve">JEDINT01404</t>
  </si>
  <si>
    <t xml:space="preserve">JR00039223</t>
  </si>
  <si>
    <t xml:space="preserve">FBA1115</t>
  </si>
  <si>
    <t xml:space="preserve">Frozen Black Angus Ground Beef Jack's Creek Australia â€“ Brick Pack</t>
  </si>
  <si>
    <t xml:space="preserve">JR00039224</t>
  </si>
  <si>
    <t xml:space="preserve">JR00039228</t>
  </si>
  <si>
    <t xml:space="preserve">MWIN01066</t>
  </si>
  <si>
    <t xml:space="preserve">JR00039236</t>
  </si>
  <si>
    <t xml:space="preserve">JR00039245</t>
  </si>
  <si>
    <t xml:space="preserve">A0-AB-16-C-03</t>
  </si>
  <si>
    <t xml:space="preserve">JR00039259</t>
  </si>
  <si>
    <t xml:space="preserve">A0-AB-20-C-03</t>
  </si>
  <si>
    <t xml:space="preserve">JR00041270</t>
  </si>
  <si>
    <t xml:space="preserve">JR00039292</t>
  </si>
  <si>
    <t xml:space="preserve">MWIN00930</t>
  </si>
  <si>
    <t xml:space="preserve">JR00039293</t>
  </si>
  <si>
    <t xml:space="preserve">JR00039294</t>
  </si>
  <si>
    <t xml:space="preserve">JR00039295</t>
  </si>
  <si>
    <t xml:space="preserve">JR00039296</t>
  </si>
  <si>
    <t xml:space="preserve">JR00039297</t>
  </si>
  <si>
    <t xml:space="preserve">JR00039298</t>
  </si>
  <si>
    <t xml:space="preserve">JR00039299</t>
  </si>
  <si>
    <t xml:space="preserve">JR00039300</t>
  </si>
  <si>
    <t xml:space="preserve">C-E-39-A-02</t>
  </si>
  <si>
    <t xml:space="preserve">JR00039301</t>
  </si>
  <si>
    <t xml:space="preserve">JR00039302</t>
  </si>
  <si>
    <t xml:space="preserve">JR00039303</t>
  </si>
  <si>
    <t xml:space="preserve">JR00039304</t>
  </si>
  <si>
    <t xml:space="preserve">JR00039305</t>
  </si>
  <si>
    <t xml:space="preserve">JR00039306</t>
  </si>
  <si>
    <t xml:space="preserve">C-C-34-D-03</t>
  </si>
  <si>
    <t xml:space="preserve">JR00039307</t>
  </si>
  <si>
    <t xml:space="preserve">JR00039308</t>
  </si>
  <si>
    <t xml:space="preserve">JR00039309</t>
  </si>
  <si>
    <t xml:space="preserve">JR00039310</t>
  </si>
  <si>
    <t xml:space="preserve">C-E-38-C-03</t>
  </si>
  <si>
    <t xml:space="preserve">JR00039311</t>
  </si>
  <si>
    <t xml:space="preserve">JR00039312</t>
  </si>
  <si>
    <t xml:space="preserve">JR00039313</t>
  </si>
  <si>
    <t xml:space="preserve">JR00039314</t>
  </si>
  <si>
    <t xml:space="preserve">JR00039315</t>
  </si>
  <si>
    <t xml:space="preserve">JR00039316</t>
  </si>
  <si>
    <t xml:space="preserve">JR00039317</t>
  </si>
  <si>
    <t xml:space="preserve">JR00039318</t>
  </si>
  <si>
    <t xml:space="preserve">JR00039319</t>
  </si>
  <si>
    <t xml:space="preserve">JR00039320</t>
  </si>
  <si>
    <t xml:space="preserve">JR00039350</t>
  </si>
  <si>
    <t xml:space="preserve">MWIN00929</t>
  </si>
  <si>
    <t xml:space="preserve">JR00039351</t>
  </si>
  <si>
    <t xml:space="preserve">JR00039352</t>
  </si>
  <si>
    <t xml:space="preserve">JR00039353</t>
  </si>
  <si>
    <t xml:space="preserve">JR00039354</t>
  </si>
  <si>
    <t xml:space="preserve">JR00039355</t>
  </si>
  <si>
    <t xml:space="preserve">JR00039356</t>
  </si>
  <si>
    <t xml:space="preserve">JR00039357</t>
  </si>
  <si>
    <t xml:space="preserve">JR00039358</t>
  </si>
  <si>
    <t xml:space="preserve">JR00039359</t>
  </si>
  <si>
    <t xml:space="preserve">JR00039360</t>
  </si>
  <si>
    <t xml:space="preserve">JR00039741</t>
  </si>
  <si>
    <t xml:space="preserve">JR00039742</t>
  </si>
  <si>
    <t xml:space="preserve">JR00039743</t>
  </si>
  <si>
    <t xml:space="preserve">JR00039744</t>
  </si>
  <si>
    <t xml:space="preserve">JR00039745</t>
  </si>
  <si>
    <t xml:space="preserve">JR00039746</t>
  </si>
  <si>
    <t xml:space="preserve">JR00039747</t>
  </si>
  <si>
    <t xml:space="preserve">JR00039748</t>
  </si>
  <si>
    <t xml:space="preserve">JR00039749</t>
  </si>
  <si>
    <t xml:space="preserve">JR00039750</t>
  </si>
  <si>
    <t xml:space="preserve">JR00039751</t>
  </si>
  <si>
    <t xml:space="preserve">JR00039752</t>
  </si>
  <si>
    <t xml:space="preserve">JR00039753</t>
  </si>
  <si>
    <t xml:space="preserve">JR00039754</t>
  </si>
  <si>
    <t xml:space="preserve">JR00039755</t>
  </si>
  <si>
    <t xml:space="preserve">JR00039756</t>
  </si>
  <si>
    <t xml:space="preserve">JR00039757</t>
  </si>
  <si>
    <t xml:space="preserve">JR00039758</t>
  </si>
  <si>
    <t xml:space="preserve">JR00039261</t>
  </si>
  <si>
    <t xml:space="preserve">MWIN00928</t>
  </si>
  <si>
    <t xml:space="preserve">JR00039263</t>
  </si>
  <si>
    <t xml:space="preserve">C-B-15-B-03</t>
  </si>
  <si>
    <t xml:space="preserve">JR00039264</t>
  </si>
  <si>
    <t xml:space="preserve">JR00039265</t>
  </si>
  <si>
    <t xml:space="preserve">JR00039266</t>
  </si>
  <si>
    <t xml:space="preserve">JR00039267</t>
  </si>
  <si>
    <t xml:space="preserve">JR00039268</t>
  </si>
  <si>
    <t xml:space="preserve">JR00039269</t>
  </si>
  <si>
    <t xml:space="preserve">JR00039270</t>
  </si>
  <si>
    <t xml:space="preserve">JR00039271</t>
  </si>
  <si>
    <t xml:space="preserve">JR00039272</t>
  </si>
  <si>
    <t xml:space="preserve">JR00039273</t>
  </si>
  <si>
    <t xml:space="preserve">JR00039274</t>
  </si>
  <si>
    <t xml:space="preserve">JR00039275</t>
  </si>
  <si>
    <t xml:space="preserve">JR00039276</t>
  </si>
  <si>
    <t xml:space="preserve">JR00039277</t>
  </si>
  <si>
    <t xml:space="preserve">JR00039278</t>
  </si>
  <si>
    <t xml:space="preserve">JR00039279</t>
  </si>
  <si>
    <t xml:space="preserve">JR00039280</t>
  </si>
  <si>
    <t xml:space="preserve">JR00039281</t>
  </si>
  <si>
    <t xml:space="preserve">JR00039282</t>
  </si>
  <si>
    <t xml:space="preserve">JR00039283</t>
  </si>
  <si>
    <t xml:space="preserve">JR00039284</t>
  </si>
  <si>
    <t xml:space="preserve">JR00039285</t>
  </si>
  <si>
    <t xml:space="preserve">JR00039286</t>
  </si>
  <si>
    <t xml:space="preserve">JR00039288</t>
  </si>
  <si>
    <t xml:space="preserve">JR00039289</t>
  </si>
  <si>
    <t xml:space="preserve">JR00039290</t>
  </si>
  <si>
    <t xml:space="preserve">JR00039291</t>
  </si>
  <si>
    <t xml:space="preserve">JR00039517</t>
  </si>
  <si>
    <t xml:space="preserve">JR00039518</t>
  </si>
  <si>
    <t xml:space="preserve">JR00039519</t>
  </si>
  <si>
    <t xml:space="preserve">A0-AA-19-B-03</t>
  </si>
  <si>
    <t xml:space="preserve">JR00039520</t>
  </si>
  <si>
    <t xml:space="preserve">JR00039703</t>
  </si>
  <si>
    <t xml:space="preserve">JR00039704</t>
  </si>
  <si>
    <t xml:space="preserve">JR00039707</t>
  </si>
  <si>
    <t xml:space="preserve">FBA1114</t>
  </si>
  <si>
    <t xml:space="preserve">Frozen Black Angus Ground Beef Jack's Creek Australia â€“ Chub Pack</t>
  </si>
  <si>
    <t xml:space="preserve">JR00039708</t>
  </si>
  <si>
    <t xml:space="preserve">JR00039709</t>
  </si>
  <si>
    <t xml:space="preserve">JR00039710</t>
  </si>
  <si>
    <t xml:space="preserve">JR00039962</t>
  </si>
  <si>
    <t xml:space="preserve">FCK1102</t>
  </si>
  <si>
    <t xml:space="preserve">IQF CHICKEN BREAST TENDER 4OZ (4X2.5KG) - CAT</t>
  </si>
  <si>
    <t xml:space="preserve">MWIN01058</t>
  </si>
  <si>
    <t xml:space="preserve">A0-AB-05-A-01</t>
  </si>
  <si>
    <t xml:space="preserve">JR00039963</t>
  </si>
  <si>
    <t xml:space="preserve">JR00039964</t>
  </si>
  <si>
    <t xml:space="preserve">A1-AB-06-B-01</t>
  </si>
  <si>
    <t xml:space="preserve">JR00039983</t>
  </si>
  <si>
    <t xml:space="preserve">A0-AB-19-C-01</t>
  </si>
  <si>
    <t xml:space="preserve">JR00039984</t>
  </si>
  <si>
    <t xml:space="preserve">JR00039985</t>
  </si>
  <si>
    <t xml:space="preserve">A0-AB-20-C-01</t>
  </si>
  <si>
    <t xml:space="preserve">JR00039986</t>
  </si>
  <si>
    <t xml:space="preserve">A1-AB-03-A-01</t>
  </si>
  <si>
    <t xml:space="preserve">JR00039987</t>
  </si>
  <si>
    <t xml:space="preserve">A1-AB-06-A-01</t>
  </si>
  <si>
    <t xml:space="preserve">JR00039988</t>
  </si>
  <si>
    <t xml:space="preserve">A0-AB-07-E-01</t>
  </si>
  <si>
    <t xml:space="preserve">JR00039989</t>
  </si>
  <si>
    <t xml:space="preserve">A0-AB-05-E-02</t>
  </si>
  <si>
    <t xml:space="preserve">JR00039990</t>
  </si>
  <si>
    <t xml:space="preserve">A1-AB-06-E-01</t>
  </si>
  <si>
    <t xml:space="preserve">JR00039991</t>
  </si>
  <si>
    <t xml:space="preserve">A0-AB-09-E-01</t>
  </si>
  <si>
    <t xml:space="preserve">JR00039992</t>
  </si>
  <si>
    <t xml:space="preserve">A0-AB-09-D-01</t>
  </si>
  <si>
    <t xml:space="preserve">JR00039993</t>
  </si>
  <si>
    <t xml:space="preserve">A1-AB-06-B-03</t>
  </si>
  <si>
    <t xml:space="preserve">JR00039994</t>
  </si>
  <si>
    <t xml:space="preserve">A1-AB-08-B-01</t>
  </si>
  <si>
    <t xml:space="preserve">JR00039995</t>
  </si>
  <si>
    <t xml:space="preserve">A1-AB-08-A-03</t>
  </si>
  <si>
    <t xml:space="preserve">JR00039996</t>
  </si>
  <si>
    <t xml:space="preserve">A1-AB-08-A-01</t>
  </si>
  <si>
    <t xml:space="preserve">JR00039997</t>
  </si>
  <si>
    <t xml:space="preserve">A1-AB-06-E-03</t>
  </si>
  <si>
    <t xml:space="preserve">JR00039998</t>
  </si>
  <si>
    <t xml:space="preserve">JR00039999</t>
  </si>
  <si>
    <t xml:space="preserve">A1-AB-06-D-03</t>
  </si>
  <si>
    <t xml:space="preserve">JR00040013</t>
  </si>
  <si>
    <t xml:space="preserve">MWIN01047</t>
  </si>
  <si>
    <t xml:space="preserve">A0-AB-19-D-03</t>
  </si>
  <si>
    <t xml:space="preserve">JR00040014</t>
  </si>
  <si>
    <t xml:space="preserve">JR00040015</t>
  </si>
  <si>
    <t xml:space="preserve">A0-AB-19-D-01</t>
  </si>
  <si>
    <t xml:space="preserve">JR00040016</t>
  </si>
  <si>
    <t xml:space="preserve">JR00040017</t>
  </si>
  <si>
    <t xml:space="preserve">A0-AB-19-C-03</t>
  </si>
  <si>
    <t xml:space="preserve">JR00040018</t>
  </si>
  <si>
    <t xml:space="preserve">A0-AB-19-B-01</t>
  </si>
  <si>
    <t xml:space="preserve">JR00040020</t>
  </si>
  <si>
    <t xml:space="preserve">JR00040021</t>
  </si>
  <si>
    <t xml:space="preserve">JR00040022</t>
  </si>
  <si>
    <t xml:space="preserve">A0-AA-09-B-02</t>
  </si>
  <si>
    <t xml:space="preserve">JR00040023</t>
  </si>
  <si>
    <t xml:space="preserve">JR00040024</t>
  </si>
  <si>
    <t xml:space="preserve">JR00040029</t>
  </si>
  <si>
    <t xml:space="preserve">JR00040030</t>
  </si>
  <si>
    <t xml:space="preserve">A0-AA-10-D-01</t>
  </si>
  <si>
    <t xml:space="preserve">JR00040031</t>
  </si>
  <si>
    <t xml:space="preserve">A0-AA-10-E-01</t>
  </si>
  <si>
    <t xml:space="preserve">JR00040032</t>
  </si>
  <si>
    <t xml:space="preserve">JR00040035</t>
  </si>
  <si>
    <t xml:space="preserve">JR00040036</t>
  </si>
  <si>
    <t xml:space="preserve">JR00040037</t>
  </si>
  <si>
    <t xml:space="preserve">JR00040038</t>
  </si>
  <si>
    <t xml:space="preserve">JR00040039</t>
  </si>
  <si>
    <t xml:space="preserve">A0-AA-12-D-01</t>
  </si>
  <si>
    <t xml:space="preserve">JR00040061</t>
  </si>
  <si>
    <t xml:space="preserve">MWIN00999</t>
  </si>
  <si>
    <t xml:space="preserve">A0-AA-16-E-03</t>
  </si>
  <si>
    <t xml:space="preserve">JR00040062</t>
  </si>
  <si>
    <t xml:space="preserve">A0-AA-18-C-01</t>
  </si>
  <si>
    <t xml:space="preserve">JR00040063</t>
  </si>
  <si>
    <t xml:space="preserve">A0-AA-16-D-01</t>
  </si>
  <si>
    <t xml:space="preserve">JR00040064</t>
  </si>
  <si>
    <t xml:space="preserve">JR00040065</t>
  </si>
  <si>
    <t xml:space="preserve">JR00040066</t>
  </si>
  <si>
    <t xml:space="preserve">A0-AA-16-E-01</t>
  </si>
  <si>
    <t xml:space="preserve">JR00040067</t>
  </si>
  <si>
    <t xml:space="preserve">JR00040068</t>
  </si>
  <si>
    <t xml:space="preserve">JR00040069</t>
  </si>
  <si>
    <t xml:space="preserve">A0-AA-19-E-03</t>
  </si>
  <si>
    <t xml:space="preserve">JR00040070</t>
  </si>
  <si>
    <t xml:space="preserve">A0-AB-07-C-03</t>
  </si>
  <si>
    <t xml:space="preserve">JR00040071</t>
  </si>
  <si>
    <t xml:space="preserve">JR00040072</t>
  </si>
  <si>
    <t xml:space="preserve">JR00040073</t>
  </si>
  <si>
    <t xml:space="preserve">A0-AA-20-B-03</t>
  </si>
  <si>
    <t xml:space="preserve">JR00040074</t>
  </si>
  <si>
    <t xml:space="preserve">A0-AA-18-C-03</t>
  </si>
  <si>
    <t xml:space="preserve">JR00040075</t>
  </si>
  <si>
    <t xml:space="preserve">A0-AA-18-D-03</t>
  </si>
  <si>
    <t xml:space="preserve">JR00040076</t>
  </si>
  <si>
    <t xml:space="preserve">JR00040077</t>
  </si>
  <si>
    <t xml:space="preserve">A0-AA-16-D-03</t>
  </si>
  <si>
    <t xml:space="preserve">JR00040078</t>
  </si>
  <si>
    <t xml:space="preserve">JR00040079</t>
  </si>
  <si>
    <t xml:space="preserve">A0-AA-12-D-03</t>
  </si>
  <si>
    <t xml:space="preserve">JR00040080</t>
  </si>
  <si>
    <t xml:space="preserve">JR00039491</t>
  </si>
  <si>
    <t xml:space="preserve">MWIN01030</t>
  </si>
  <si>
    <t xml:space="preserve">A1-AA-06-B-01</t>
  </si>
  <si>
    <t xml:space="preserve">JR00039493</t>
  </si>
  <si>
    <t xml:space="preserve">JR00039494</t>
  </si>
  <si>
    <t xml:space="preserve">JR00039497</t>
  </si>
  <si>
    <t xml:space="preserve">A1-AA-05-D-03</t>
  </si>
  <si>
    <t xml:space="preserve">JR00039510</t>
  </si>
  <si>
    <t xml:space="preserve">A0-AA-18-A-02</t>
  </si>
  <si>
    <t xml:space="preserve">JR00039512</t>
  </si>
  <si>
    <t xml:space="preserve">A0-AA-16-A-03</t>
  </si>
  <si>
    <t xml:space="preserve">JR00039515</t>
  </si>
  <si>
    <t xml:space="preserve">JR00039837</t>
  </si>
  <si>
    <t xml:space="preserve">MWIN01086</t>
  </si>
  <si>
    <t xml:space="preserve">JR00039838</t>
  </si>
  <si>
    <t xml:space="preserve">JR00039839</t>
  </si>
  <si>
    <t xml:space="preserve">JR00039840</t>
  </si>
  <si>
    <t xml:space="preserve">C-D-02-A-03</t>
  </si>
  <si>
    <t xml:space="preserve">JR00039841</t>
  </si>
  <si>
    <t xml:space="preserve">JR00039842</t>
  </si>
  <si>
    <t xml:space="preserve">JR00039843</t>
  </si>
  <si>
    <t xml:space="preserve">JR00039844</t>
  </si>
  <si>
    <t xml:space="preserve">JR00039845</t>
  </si>
  <si>
    <t xml:space="preserve">JR00039846</t>
  </si>
  <si>
    <t xml:space="preserve">JR00039711</t>
  </si>
  <si>
    <t xml:space="preserve">MWIN010</t>
  </si>
  <si>
    <t xml:space="preserve">JR00041359</t>
  </si>
  <si>
    <t xml:space="preserve">MWIN00873</t>
  </si>
  <si>
    <t xml:space="preserve">C-B-07-C-03</t>
  </si>
  <si>
    <t xml:space="preserve">JR00041360</t>
  </si>
  <si>
    <t xml:space="preserve">C-C-15-E-03</t>
  </si>
  <si>
    <t xml:space="preserve">JR00041361</t>
  </si>
  <si>
    <t xml:space="preserve">C-C-15-D-02</t>
  </si>
  <si>
    <t xml:space="preserve">JR00041362</t>
  </si>
  <si>
    <t xml:space="preserve">JR00041363</t>
  </si>
  <si>
    <t xml:space="preserve">C-C-13-E-01</t>
  </si>
  <si>
    <t xml:space="preserve">JR00041364</t>
  </si>
  <si>
    <t xml:space="preserve">JR00041365</t>
  </si>
  <si>
    <t xml:space="preserve">JR00041366</t>
  </si>
  <si>
    <t xml:space="preserve">C-A-25-B-01</t>
  </si>
  <si>
    <t xml:space="preserve">JR00041367</t>
  </si>
  <si>
    <t xml:space="preserve">JR00041368</t>
  </si>
  <si>
    <t xml:space="preserve">C-B-23-B-01</t>
  </si>
  <si>
    <t xml:space="preserve">JR00041369</t>
  </si>
  <si>
    <t xml:space="preserve">C-B-20-B-03</t>
  </si>
  <si>
    <t xml:space="preserve">JR00041370</t>
  </si>
  <si>
    <t xml:space="preserve">C-B-20-B-01</t>
  </si>
  <si>
    <t xml:space="preserve">JR00041371</t>
  </si>
  <si>
    <t xml:space="preserve">C-B-23-B-03</t>
  </si>
  <si>
    <t xml:space="preserve">JR00041372</t>
  </si>
  <si>
    <t xml:space="preserve">C-B-45-D-02</t>
  </si>
  <si>
    <t xml:space="preserve">JR00041373</t>
  </si>
  <si>
    <t xml:space="preserve">C-B-14-D-03</t>
  </si>
  <si>
    <t xml:space="preserve">JR00041374</t>
  </si>
  <si>
    <t xml:space="preserve">C-B-24-D-02</t>
  </si>
  <si>
    <t xml:space="preserve">JR00041375</t>
  </si>
  <si>
    <t xml:space="preserve">C-B-31-B-01</t>
  </si>
  <si>
    <t xml:space="preserve">JR00041376</t>
  </si>
  <si>
    <t xml:space="preserve">C-B-27-B-03</t>
  </si>
  <si>
    <t xml:space="preserve">JR00041377</t>
  </si>
  <si>
    <t xml:space="preserve">JR00041378</t>
  </si>
  <si>
    <t xml:space="preserve">JR00041379</t>
  </si>
  <si>
    <t xml:space="preserve">C-B-31-B-03</t>
  </si>
  <si>
    <t xml:space="preserve">JR00041380</t>
  </si>
  <si>
    <t xml:space="preserve">C-B-33-B-01</t>
  </si>
  <si>
    <t xml:space="preserve">JR00041381</t>
  </si>
  <si>
    <t xml:space="preserve">C-B-38-E-01</t>
  </si>
  <si>
    <t xml:space="preserve">JR00041382</t>
  </si>
  <si>
    <t xml:space="preserve">JR00041383</t>
  </si>
  <si>
    <t xml:space="preserve">C-B-29-B-01</t>
  </si>
  <si>
    <t xml:space="preserve">JR00041384</t>
  </si>
  <si>
    <t xml:space="preserve">JR00041385</t>
  </si>
  <si>
    <t xml:space="preserve">C-B-11-C-03</t>
  </si>
  <si>
    <t xml:space="preserve">JR00041386</t>
  </si>
  <si>
    <t xml:space="preserve">C-B-29-C-01</t>
  </si>
  <si>
    <t xml:space="preserve">JR00041387</t>
  </si>
  <si>
    <t xml:space="preserve">JR00041388</t>
  </si>
  <si>
    <t xml:space="preserve">C-A-13-B-03</t>
  </si>
  <si>
    <t xml:space="preserve">JR00041389</t>
  </si>
  <si>
    <t xml:space="preserve">JR00041390</t>
  </si>
  <si>
    <t xml:space="preserve">JR00041391</t>
  </si>
  <si>
    <t xml:space="preserve">JR00041392</t>
  </si>
  <si>
    <t xml:space="preserve">C-B-43-D-03</t>
  </si>
  <si>
    <t xml:space="preserve">JR00041393</t>
  </si>
  <si>
    <t xml:space="preserve">C-B-43-D-02</t>
  </si>
  <si>
    <t xml:space="preserve">JR00041394</t>
  </si>
  <si>
    <t xml:space="preserve">JR00041425</t>
  </si>
  <si>
    <t xml:space="preserve">JR00041426</t>
  </si>
  <si>
    <t xml:space="preserve">JR00041427</t>
  </si>
  <si>
    <t xml:space="preserve">C-C-33-C-03</t>
  </si>
  <si>
    <t xml:space="preserve">JR00041428</t>
  </si>
  <si>
    <t xml:space="preserve">JR00041429</t>
  </si>
  <si>
    <t xml:space="preserve">JR00041781</t>
  </si>
  <si>
    <t xml:space="preserve">MWIN01113</t>
  </si>
  <si>
    <t xml:space="preserve">JR00041782</t>
  </si>
  <si>
    <t xml:space="preserve">JR00041783</t>
  </si>
  <si>
    <t xml:space="preserve">JR00041784</t>
  </si>
  <si>
    <t xml:space="preserve">JR00041785</t>
  </si>
  <si>
    <t xml:space="preserve">JR00041786</t>
  </si>
  <si>
    <t xml:space="preserve">A0-AA-05-E-03</t>
  </si>
  <si>
    <t xml:space="preserve">JR00041787</t>
  </si>
  <si>
    <t xml:space="preserve">JR00041788</t>
  </si>
  <si>
    <t xml:space="preserve">JR00041789</t>
  </si>
  <si>
    <t xml:space="preserve">A0-AA-08-B-01</t>
  </si>
  <si>
    <t xml:space="preserve">JR00041790</t>
  </si>
  <si>
    <t xml:space="preserve">A0-AB-06-C-03</t>
  </si>
  <si>
    <t xml:space="preserve">JR00041791</t>
  </si>
  <si>
    <t xml:space="preserve">A0-AA-07-B-03</t>
  </si>
  <si>
    <t xml:space="preserve">JR000400201</t>
  </si>
  <si>
    <t xml:space="preserve">FBB1105</t>
  </si>
  <si>
    <t xml:space="preserve">FROZEN BONELESS BEEF - ROBBED HINDQUARTER Friboi Brazil</t>
  </si>
  <si>
    <t xml:space="preserve">MWIN006800</t>
  </si>
  <si>
    <t xml:space="preserve">JR00040641</t>
  </si>
  <si>
    <t xml:space="preserve">MWIN01089</t>
  </si>
  <si>
    <t xml:space="preserve">JR00040642</t>
  </si>
  <si>
    <t xml:space="preserve">JR00040643</t>
  </si>
  <si>
    <t xml:space="preserve">JR00040644</t>
  </si>
  <si>
    <t xml:space="preserve">A0-AA-10-B-02</t>
  </si>
  <si>
    <t xml:space="preserve">JR00041308</t>
  </si>
  <si>
    <t xml:space="preserve">DAMINT00568</t>
  </si>
  <si>
    <t xml:space="preserve">JR00041309</t>
  </si>
  <si>
    <t xml:space="preserve">JR00041312</t>
  </si>
  <si>
    <t xml:space="preserve">JR00041301</t>
  </si>
  <si>
    <t xml:space="preserve">MWIN01097</t>
  </si>
  <si>
    <t xml:space="preserve">JR00041302</t>
  </si>
  <si>
    <t xml:space="preserve">JR00041303</t>
  </si>
  <si>
    <t xml:space="preserve">JR00041304</t>
  </si>
  <si>
    <t xml:space="preserve">JR00041313</t>
  </si>
  <si>
    <t xml:space="preserve">JR00041314</t>
  </si>
  <si>
    <t xml:space="preserve">JR00041315</t>
  </si>
  <si>
    <t xml:space="preserve">A0-AA-07-B-01</t>
  </si>
  <si>
    <t xml:space="preserve">JR00041395</t>
  </si>
  <si>
    <t xml:space="preserve">MWIN00872</t>
  </si>
  <si>
    <t xml:space="preserve">JR00041396</t>
  </si>
  <si>
    <t xml:space="preserve">C-D-03-A-01</t>
  </si>
  <si>
    <t xml:space="preserve">JR00041397</t>
  </si>
  <si>
    <t xml:space="preserve">C-D-01-A-03</t>
  </si>
  <si>
    <t xml:space="preserve">JR00041398</t>
  </si>
  <si>
    <t xml:space="preserve">JR00041399</t>
  </si>
  <si>
    <t xml:space="preserve">JR00041400</t>
  </si>
  <si>
    <t xml:space="preserve">C-D-05-A-03</t>
  </si>
  <si>
    <t xml:space="preserve">JR00041401</t>
  </si>
  <si>
    <t xml:space="preserve">JR00041402</t>
  </si>
  <si>
    <t xml:space="preserve">C-D-17-A-01</t>
  </si>
  <si>
    <t xml:space="preserve">JR00041403</t>
  </si>
  <si>
    <t xml:space="preserve">C-D-15-A-03</t>
  </si>
  <si>
    <t xml:space="preserve">JR00041404</t>
  </si>
  <si>
    <t xml:space="preserve">C-D-13-A-01</t>
  </si>
  <si>
    <t xml:space="preserve">JR00041405</t>
  </si>
  <si>
    <t xml:space="preserve">JR00041406</t>
  </si>
  <si>
    <t xml:space="preserve">C-D-13-A-03</t>
  </si>
  <si>
    <t xml:space="preserve">JR00041407</t>
  </si>
  <si>
    <t xml:space="preserve">C-B-23-E-03</t>
  </si>
  <si>
    <t xml:space="preserve">JR00041408</t>
  </si>
  <si>
    <t xml:space="preserve">C-B-13-C-01</t>
  </si>
  <si>
    <t xml:space="preserve">JR00041409</t>
  </si>
  <si>
    <t xml:space="preserve">C-B-24-A-01</t>
  </si>
  <si>
    <t xml:space="preserve">JR00041410</t>
  </si>
  <si>
    <t xml:space="preserve">JR00041411</t>
  </si>
  <si>
    <t xml:space="preserve">C-B-13-C-03</t>
  </si>
  <si>
    <t xml:space="preserve">JR00041412</t>
  </si>
  <si>
    <t xml:space="preserve">C-A-01-A-03</t>
  </si>
  <si>
    <t xml:space="preserve">JR00041413</t>
  </si>
  <si>
    <t xml:space="preserve">C-D-11-A-03</t>
  </si>
  <si>
    <t xml:space="preserve">JR00041414</t>
  </si>
  <si>
    <t xml:space="preserve">C-D-09-A-03</t>
  </si>
  <si>
    <t xml:space="preserve">JR00041415</t>
  </si>
  <si>
    <t xml:space="preserve">C-D-09-A-01</t>
  </si>
  <si>
    <t xml:space="preserve">JR00041416</t>
  </si>
  <si>
    <t xml:space="preserve">C-D-07-A-01</t>
  </si>
  <si>
    <t xml:space="preserve">JR00041417</t>
  </si>
  <si>
    <t xml:space="preserve">C-D-07-A-03</t>
  </si>
  <si>
    <t xml:space="preserve">JR00041418</t>
  </si>
  <si>
    <t xml:space="preserve">C-B-42-E-03</t>
  </si>
  <si>
    <t xml:space="preserve">JR00041419</t>
  </si>
  <si>
    <t xml:space="preserve">JR00041420</t>
  </si>
  <si>
    <t xml:space="preserve">JR00041421</t>
  </si>
  <si>
    <t xml:space="preserve">C-A-18-C-01</t>
  </si>
  <si>
    <t xml:space="preserve">JR00041422</t>
  </si>
  <si>
    <t xml:space="preserve">C-B-15-C-01</t>
  </si>
  <si>
    <t xml:space="preserve">JR00041423</t>
  </si>
  <si>
    <t xml:space="preserve">C-A-14-C-03</t>
  </si>
  <si>
    <t xml:space="preserve">JR00041424</t>
  </si>
  <si>
    <t xml:space="preserve">C-A-12-C-03</t>
  </si>
  <si>
    <t xml:space="preserve">JR00041443</t>
  </si>
  <si>
    <t xml:space="preserve">SHRM00003941</t>
  </si>
  <si>
    <t xml:space="preserve">JR00040306</t>
  </si>
  <si>
    <t xml:space="preserve">MWIN00932</t>
  </si>
  <si>
    <t xml:space="preserve">JR00040307</t>
  </si>
  <si>
    <t xml:space="preserve">JR00040308</t>
  </si>
  <si>
    <t xml:space="preserve">C-C-02-C-02</t>
  </si>
  <si>
    <t xml:space="preserve">JR00040309</t>
  </si>
  <si>
    <t xml:space="preserve">C-C-04-D-03</t>
  </si>
  <si>
    <t xml:space="preserve">JR00040310</t>
  </si>
  <si>
    <t xml:space="preserve">C-C-38-B-03</t>
  </si>
  <si>
    <t xml:space="preserve">JR00040311</t>
  </si>
  <si>
    <t xml:space="preserve">C-C-04-D-02</t>
  </si>
  <si>
    <t xml:space="preserve">JR00040312</t>
  </si>
  <si>
    <t xml:space="preserve">C-D-07-C-02</t>
  </si>
  <si>
    <t xml:space="preserve">JR00040313</t>
  </si>
  <si>
    <t xml:space="preserve">C-C-23-E-01</t>
  </si>
  <si>
    <t xml:space="preserve">JR00040314</t>
  </si>
  <si>
    <t xml:space="preserve">C-C-23-D-03</t>
  </si>
  <si>
    <t xml:space="preserve">JR00040315</t>
  </si>
  <si>
    <t xml:space="preserve">C-C-39-D-01</t>
  </si>
  <si>
    <t xml:space="preserve">JR00040316</t>
  </si>
  <si>
    <t xml:space="preserve">C-C-42-B-03</t>
  </si>
  <si>
    <t xml:space="preserve">JR00040317</t>
  </si>
  <si>
    <t xml:space="preserve">C-C-27-D-01</t>
  </si>
  <si>
    <t xml:space="preserve">JR00040318</t>
  </si>
  <si>
    <t xml:space="preserve">C-C-25-E-03</t>
  </si>
  <si>
    <t xml:space="preserve">JR00040319</t>
  </si>
  <si>
    <t xml:space="preserve">C-C-25-D-01</t>
  </si>
  <si>
    <t xml:space="preserve">JR00040320</t>
  </si>
  <si>
    <t xml:space="preserve">JR00040321</t>
  </si>
  <si>
    <t xml:space="preserve">C-A-39-C-02</t>
  </si>
  <si>
    <t xml:space="preserve">JR00040322</t>
  </si>
  <si>
    <t xml:space="preserve">JR00040323</t>
  </si>
  <si>
    <t xml:space="preserve">C-B-12-B-03</t>
  </si>
  <si>
    <t xml:space="preserve">JR00040324</t>
  </si>
  <si>
    <t xml:space="preserve">JR00040325</t>
  </si>
  <si>
    <t xml:space="preserve">JR00040326</t>
  </si>
  <si>
    <t xml:space="preserve">C-B-03-C-03</t>
  </si>
  <si>
    <t xml:space="preserve">JR00040327</t>
  </si>
  <si>
    <t xml:space="preserve">JR00040328</t>
  </si>
  <si>
    <t xml:space="preserve">JR00040329</t>
  </si>
  <si>
    <t xml:space="preserve">C-D-25-E-03</t>
  </si>
  <si>
    <t xml:space="preserve">JR00040330</t>
  </si>
  <si>
    <t xml:space="preserve">JR00040331</t>
  </si>
  <si>
    <t xml:space="preserve">C-B-20-D-03</t>
  </si>
  <si>
    <t xml:space="preserve">JR00040332</t>
  </si>
  <si>
    <t xml:space="preserve">C-B-16-C-01</t>
  </si>
  <si>
    <t xml:space="preserve">JR00040333</t>
  </si>
  <si>
    <t xml:space="preserve">C-B-02-B-03</t>
  </si>
  <si>
    <t xml:space="preserve">JR00040334</t>
  </si>
  <si>
    <t xml:space="preserve">C-B-10-C-03</t>
  </si>
  <si>
    <t xml:space="preserve">JR00040335</t>
  </si>
  <si>
    <t xml:space="preserve">JR00040336</t>
  </si>
  <si>
    <t xml:space="preserve">C-B-18-D-03</t>
  </si>
  <si>
    <t xml:space="preserve">JR00040337</t>
  </si>
  <si>
    <t xml:space="preserve">JR00040338</t>
  </si>
  <si>
    <t xml:space="preserve">C-C-02-B-03</t>
  </si>
  <si>
    <t xml:space="preserve">JR00040339</t>
  </si>
  <si>
    <t xml:space="preserve">C-C-24-D-02</t>
  </si>
  <si>
    <t xml:space="preserve">JR00040340</t>
  </si>
  <si>
    <t xml:space="preserve">JR00040341</t>
  </si>
  <si>
    <t xml:space="preserve">JR00040342</t>
  </si>
  <si>
    <t xml:space="preserve">C-A-08-C-03</t>
  </si>
  <si>
    <t xml:space="preserve">JR00040343</t>
  </si>
  <si>
    <t xml:space="preserve">C-B-15-C-03</t>
  </si>
  <si>
    <t xml:space="preserve">JR00040344</t>
  </si>
  <si>
    <t xml:space="preserve">C-B-17-C-01</t>
  </si>
  <si>
    <t xml:space="preserve">JR00040345</t>
  </si>
  <si>
    <t xml:space="preserve">JR00040346</t>
  </si>
  <si>
    <t xml:space="preserve">C-B-16-D-03</t>
  </si>
  <si>
    <t xml:space="preserve">JR00040347</t>
  </si>
  <si>
    <t xml:space="preserve">JR00040349</t>
  </si>
  <si>
    <t xml:space="preserve">C-B-26-E-03</t>
  </si>
  <si>
    <t xml:space="preserve">JR00041541</t>
  </si>
  <si>
    <t xml:space="preserve">DAMINT00577</t>
  </si>
  <si>
    <t xml:space="preserve">JR00041542</t>
  </si>
  <si>
    <t xml:space="preserve">JR00044825</t>
  </si>
  <si>
    <t xml:space="preserve">MWIN01101</t>
  </si>
  <si>
    <t xml:space="preserve">C-B-38-A-01</t>
  </si>
  <si>
    <t xml:space="preserve">JR00044826</t>
  </si>
  <si>
    <t xml:space="preserve">C-B-34-A-03</t>
  </si>
  <si>
    <t xml:space="preserve">JR00044827</t>
  </si>
  <si>
    <t xml:space="preserve">JR00044828</t>
  </si>
  <si>
    <t xml:space="preserve">JR00044829</t>
  </si>
  <si>
    <t xml:space="preserve">JR00044830</t>
  </si>
  <si>
    <t xml:space="preserve">JR00044831</t>
  </si>
  <si>
    <t xml:space="preserve">JR00044832</t>
  </si>
  <si>
    <t xml:space="preserve">C-A-11-A-01</t>
  </si>
  <si>
    <t xml:space="preserve">JR00044833</t>
  </si>
  <si>
    <t xml:space="preserve">JR00044834</t>
  </si>
  <si>
    <t xml:space="preserve">JR00044835</t>
  </si>
  <si>
    <t xml:space="preserve">JR00044836</t>
  </si>
  <si>
    <t xml:space="preserve">JR00044837</t>
  </si>
  <si>
    <t xml:space="preserve">JR00044838</t>
  </si>
  <si>
    <t xml:space="preserve">JR00044839</t>
  </si>
  <si>
    <t xml:space="preserve">C-A-17-A-03</t>
  </si>
  <si>
    <t xml:space="preserve">JR00044840</t>
  </si>
  <si>
    <t xml:space="preserve">JR00044841</t>
  </si>
  <si>
    <t xml:space="preserve">JR00044842</t>
  </si>
  <si>
    <t xml:space="preserve">JR00044843</t>
  </si>
  <si>
    <t xml:space="preserve">JR00044844</t>
  </si>
  <si>
    <t xml:space="preserve">JR00044845</t>
  </si>
  <si>
    <t xml:space="preserve">JR00044846</t>
  </si>
  <si>
    <t xml:space="preserve">JR00044847</t>
  </si>
  <si>
    <t xml:space="preserve">JR00044848</t>
  </si>
  <si>
    <t xml:space="preserve">JR00044849</t>
  </si>
  <si>
    <t xml:space="preserve">JR00044850</t>
  </si>
  <si>
    <t xml:space="preserve">JR00044851</t>
  </si>
  <si>
    <t xml:space="preserve">JR00044852</t>
  </si>
  <si>
    <t xml:space="preserve">JR00044853</t>
  </si>
  <si>
    <t xml:space="preserve">JR00040468</t>
  </si>
  <si>
    <t xml:space="preserve">AQUA Carpatica Natural Mineral Water  PET 1L</t>
  </si>
  <si>
    <t xml:space="preserve">MWIN01029</t>
  </si>
  <si>
    <t xml:space="preserve">EA</t>
  </si>
  <si>
    <t xml:space="preserve">JR00040469</t>
  </si>
  <si>
    <t xml:space="preserve">JR00040470</t>
  </si>
  <si>
    <t xml:space="preserve">JR00040471</t>
  </si>
  <si>
    <t xml:space="preserve">JR00040472</t>
  </si>
  <si>
    <t xml:space="preserve">JR00040473</t>
  </si>
  <si>
    <t xml:space="preserve">JR00040474</t>
  </si>
  <si>
    <t xml:space="preserve">JR00040475</t>
  </si>
  <si>
    <t xml:space="preserve">C-A-20-A-02</t>
  </si>
  <si>
    <t xml:space="preserve">JR00040476</t>
  </si>
  <si>
    <t xml:space="preserve">JR00040477</t>
  </si>
  <si>
    <t xml:space="preserve">JR00040478</t>
  </si>
  <si>
    <t xml:space="preserve">C-B-06-D-01</t>
  </si>
  <si>
    <t xml:space="preserve">JR00040479</t>
  </si>
  <si>
    <t xml:space="preserve">JR00040480</t>
  </si>
  <si>
    <t xml:space="preserve">JR00040481</t>
  </si>
  <si>
    <t xml:space="preserve">JR00040482</t>
  </si>
  <si>
    <t xml:space="preserve">JR00040483</t>
  </si>
  <si>
    <t xml:space="preserve">F-G-43-D-01</t>
  </si>
  <si>
    <t xml:space="preserve">JR00040584</t>
  </si>
  <si>
    <t xml:space="preserve">C-B-25-B-01</t>
  </si>
  <si>
    <t xml:space="preserve">JR00040586</t>
  </si>
  <si>
    <t xml:space="preserve">JR00040587</t>
  </si>
  <si>
    <t xml:space="preserve">C-A-43-C-03</t>
  </si>
  <si>
    <t xml:space="preserve">JR00040588</t>
  </si>
  <si>
    <t xml:space="preserve">JR00040302</t>
  </si>
  <si>
    <t xml:space="preserve">WHRET00726</t>
  </si>
  <si>
    <t xml:space="preserve">C-C-01-D-03</t>
  </si>
  <si>
    <t xml:space="preserve">JR00042057</t>
  </si>
  <si>
    <t xml:space="preserve">MWIN01116_2</t>
  </si>
  <si>
    <t xml:space="preserve">JR00042058</t>
  </si>
  <si>
    <t xml:space="preserve">JR00042059</t>
  </si>
  <si>
    <t xml:space="preserve">JR00042060</t>
  </si>
  <si>
    <t xml:space="preserve">JR00042061</t>
  </si>
  <si>
    <t xml:space="preserve">JR00042062</t>
  </si>
  <si>
    <t xml:space="preserve">JR00042063</t>
  </si>
  <si>
    <t xml:space="preserve">JR00042064</t>
  </si>
  <si>
    <t xml:space="preserve">JR00042065</t>
  </si>
  <si>
    <t xml:space="preserve">JR00042066</t>
  </si>
  <si>
    <t xml:space="preserve">JR00042067</t>
  </si>
  <si>
    <t xml:space="preserve">JR00042068</t>
  </si>
  <si>
    <t xml:space="preserve">JR00042069</t>
  </si>
  <si>
    <t xml:space="preserve">JR00042070</t>
  </si>
  <si>
    <t xml:space="preserve">JR00041792</t>
  </si>
  <si>
    <t xml:space="preserve">JEDINT01543</t>
  </si>
  <si>
    <t xml:space="preserve">JR00041793</t>
  </si>
  <si>
    <t xml:space="preserve">JR00041794</t>
  </si>
  <si>
    <t xml:space="preserve">JR00041795</t>
  </si>
  <si>
    <t xml:space="preserve">JR00041796</t>
  </si>
  <si>
    <t xml:space="preserve">JR00041797</t>
  </si>
  <si>
    <t xml:space="preserve">JR00041801</t>
  </si>
  <si>
    <t xml:space="preserve">JR00041802</t>
  </si>
  <si>
    <t xml:space="preserve">JR00041803</t>
  </si>
  <si>
    <t xml:space="preserve">JR00041804</t>
  </si>
  <si>
    <t xml:space="preserve">JR00041805</t>
  </si>
  <si>
    <t xml:space="preserve">JR00041806</t>
  </si>
  <si>
    <t xml:space="preserve">JR00041807</t>
  </si>
  <si>
    <t xml:space="preserve">JR00041808</t>
  </si>
  <si>
    <t xml:space="preserve">JR00041809</t>
  </si>
  <si>
    <t xml:space="preserve">JR00041810</t>
  </si>
  <si>
    <t xml:space="preserve">JR00040781</t>
  </si>
  <si>
    <t xml:space="preserve">WHRET00724</t>
  </si>
  <si>
    <t xml:space="preserve">JR00041241</t>
  </si>
  <si>
    <t xml:space="preserve">MWIN01091</t>
  </si>
  <si>
    <t xml:space="preserve">JR00041242</t>
  </si>
  <si>
    <t xml:space="preserve">A0-AA-05-C-02</t>
  </si>
  <si>
    <t xml:space="preserve">JR00041243</t>
  </si>
  <si>
    <t xml:space="preserve">JR00041244</t>
  </si>
  <si>
    <t xml:space="preserve">JR00041245</t>
  </si>
  <si>
    <t xml:space="preserve">JR00041246</t>
  </si>
  <si>
    <t xml:space="preserve">JR00041247</t>
  </si>
  <si>
    <t xml:space="preserve">JR00041248</t>
  </si>
  <si>
    <t xml:space="preserve">JR00041249</t>
  </si>
  <si>
    <t xml:space="preserve">JR00041250</t>
  </si>
  <si>
    <t xml:space="preserve">JR00041251</t>
  </si>
  <si>
    <t xml:space="preserve">JR00041252</t>
  </si>
  <si>
    <t xml:space="preserve">JR00041440</t>
  </si>
  <si>
    <t xml:space="preserve">SHRM00003921</t>
  </si>
  <si>
    <t xml:space="preserve">C-A-46-A-06</t>
  </si>
  <si>
    <t xml:space="preserve">JR00040801</t>
  </si>
  <si>
    <t xml:space="preserve">MWIN01095</t>
  </si>
  <si>
    <t xml:space="preserve">A0-AA-15-D-01</t>
  </si>
  <si>
    <t xml:space="preserve">JR00040802</t>
  </si>
  <si>
    <t xml:space="preserve">JR00040803</t>
  </si>
  <si>
    <t xml:space="preserve">JR00040804</t>
  </si>
  <si>
    <t xml:space="preserve">JR00040805</t>
  </si>
  <si>
    <t xml:space="preserve">JR00040806</t>
  </si>
  <si>
    <t xml:space="preserve">JR00040807</t>
  </si>
  <si>
    <t xml:space="preserve">JR00040808</t>
  </si>
  <si>
    <t xml:space="preserve">JR00040809</t>
  </si>
  <si>
    <t xml:space="preserve">JR00040810</t>
  </si>
  <si>
    <t xml:space="preserve">JR00040811</t>
  </si>
  <si>
    <t xml:space="preserve">A0-AA-08-C-01</t>
  </si>
  <si>
    <t xml:space="preserve">JR00040812</t>
  </si>
  <si>
    <t xml:space="preserve">JR00040813</t>
  </si>
  <si>
    <t xml:space="preserve">JR00040814</t>
  </si>
  <si>
    <t xml:space="preserve">JR00040815</t>
  </si>
  <si>
    <t xml:space="preserve">JR00040816</t>
  </si>
  <si>
    <t xml:space="preserve">JR00040817</t>
  </si>
  <si>
    <t xml:space="preserve">JR00040818</t>
  </si>
  <si>
    <t xml:space="preserve">JR00040819</t>
  </si>
  <si>
    <t xml:space="preserve">JR00040820</t>
  </si>
  <si>
    <t xml:space="preserve">JR00040821</t>
  </si>
  <si>
    <t xml:space="preserve">JR00040590</t>
  </si>
  <si>
    <t xml:space="preserve">Sweetbird Strawberry Syrup 1 Litre</t>
  </si>
  <si>
    <t xml:space="preserve">MWIN01076_1</t>
  </si>
  <si>
    <t xml:space="preserve">C-D-33-A-01</t>
  </si>
  <si>
    <t xml:space="preserve">JR00043892</t>
  </si>
  <si>
    <t xml:space="preserve">MWIN01100</t>
  </si>
  <si>
    <t xml:space="preserve">F-H-04-D-01</t>
  </si>
  <si>
    <t xml:space="preserve">JR00044780</t>
  </si>
  <si>
    <t xml:space="preserve">JR00044781</t>
  </si>
  <si>
    <t xml:space="preserve">JR00044782</t>
  </si>
  <si>
    <t xml:space="preserve">JR00044783</t>
  </si>
  <si>
    <t xml:space="preserve">JR00044786</t>
  </si>
  <si>
    <t xml:space="preserve">JR00044787</t>
  </si>
  <si>
    <t xml:space="preserve">JR00044788</t>
  </si>
  <si>
    <t xml:space="preserve">JR00044789</t>
  </si>
  <si>
    <t xml:space="preserve">JR00044790</t>
  </si>
  <si>
    <t xml:space="preserve">JR00044791</t>
  </si>
  <si>
    <t xml:space="preserve">JR00044792</t>
  </si>
  <si>
    <t xml:space="preserve">JR00044793</t>
  </si>
  <si>
    <t xml:space="preserve">JR00044794</t>
  </si>
  <si>
    <t xml:space="preserve">JR00044795</t>
  </si>
  <si>
    <t xml:space="preserve">JR00044796</t>
  </si>
  <si>
    <t xml:space="preserve">C-A-07-A-01</t>
  </si>
  <si>
    <t xml:space="preserve">JR00044797</t>
  </si>
  <si>
    <t xml:space="preserve">JR00044798</t>
  </si>
  <si>
    <t xml:space="preserve">JR00044799</t>
  </si>
  <si>
    <t xml:space="preserve">JR00044800</t>
  </si>
  <si>
    <t xml:space="preserve">JR00044801</t>
  </si>
  <si>
    <t xml:space="preserve">JR00044802</t>
  </si>
  <si>
    <t xml:space="preserve">JR00044803</t>
  </si>
  <si>
    <t xml:space="preserve">JR00044804</t>
  </si>
  <si>
    <t xml:space="preserve">JR00044805</t>
  </si>
  <si>
    <t xml:space="preserve">JR00044806</t>
  </si>
  <si>
    <t xml:space="preserve">JR00044807</t>
  </si>
  <si>
    <t xml:space="preserve">C-A-16-B-03</t>
  </si>
  <si>
    <t xml:space="preserve">JR00044808</t>
  </si>
  <si>
    <t xml:space="preserve">JR00044809</t>
  </si>
  <si>
    <t xml:space="preserve">JR00041325</t>
  </si>
  <si>
    <t xml:space="preserve">Biadgi White Chocolate Sauce 6x1.89L - US</t>
  </si>
  <si>
    <t xml:space="preserve">MWIN00845</t>
  </si>
  <si>
    <t xml:space="preserve">JR00041326</t>
  </si>
  <si>
    <t xml:space="preserve">JR00041327</t>
  </si>
  <si>
    <t xml:space="preserve">JR00041328</t>
  </si>
  <si>
    <t xml:space="preserve">JR00041329</t>
  </si>
  <si>
    <t xml:space="preserve">JR00041330</t>
  </si>
  <si>
    <t xml:space="preserve">C-B-42-D-01</t>
  </si>
  <si>
    <t xml:space="preserve">JR00041331</t>
  </si>
  <si>
    <t xml:space="preserve">JR00041332</t>
  </si>
  <si>
    <t xml:space="preserve">JR00041333</t>
  </si>
  <si>
    <t xml:space="preserve">JR00041334</t>
  </si>
  <si>
    <t xml:space="preserve">C-D-42-D-03</t>
  </si>
  <si>
    <t xml:space="preserve">JR00041335</t>
  </si>
  <si>
    <t xml:space="preserve">JR00041336</t>
  </si>
  <si>
    <t xml:space="preserve">C-D-44-B-01</t>
  </si>
  <si>
    <t xml:space="preserve">JR00041337</t>
  </si>
  <si>
    <t xml:space="preserve">JR00041338</t>
  </si>
  <si>
    <t xml:space="preserve">C-D-44-B-03</t>
  </si>
  <si>
    <t xml:space="preserve">JR00041339</t>
  </si>
  <si>
    <t xml:space="preserve">JR00041340</t>
  </si>
  <si>
    <t xml:space="preserve">C-D-46-B-01</t>
  </si>
  <si>
    <t xml:space="preserve">JR00041341</t>
  </si>
  <si>
    <t xml:space="preserve">C-D-40-A-03</t>
  </si>
  <si>
    <t xml:space="preserve">JR00041342</t>
  </si>
  <si>
    <t xml:space="preserve">JR00041343</t>
  </si>
  <si>
    <t xml:space="preserve">C-D-46-B-03</t>
  </si>
  <si>
    <t xml:space="preserve">JR00041344</t>
  </si>
  <si>
    <t xml:space="preserve">JR00041345</t>
  </si>
  <si>
    <t xml:space="preserve">JR00041346</t>
  </si>
  <si>
    <t xml:space="preserve">JR00041347</t>
  </si>
  <si>
    <t xml:space="preserve">JR00041348</t>
  </si>
  <si>
    <t xml:space="preserve">JR00041349</t>
  </si>
  <si>
    <t xml:space="preserve">C-B-01-C-01</t>
  </si>
  <si>
    <t xml:space="preserve">JR00041350</t>
  </si>
  <si>
    <t xml:space="preserve">C-B-07-C-02</t>
  </si>
  <si>
    <t xml:space="preserve">JR00041352</t>
  </si>
  <si>
    <t xml:space="preserve">C-D-40-B-03</t>
  </si>
  <si>
    <t xml:space="preserve">JR00041353</t>
  </si>
  <si>
    <t xml:space="preserve">C-D-40-B-01</t>
  </si>
  <si>
    <t xml:space="preserve">JR00041354</t>
  </si>
  <si>
    <t xml:space="preserve">C-D-38-B-03</t>
  </si>
  <si>
    <t xml:space="preserve">JR00041355</t>
  </si>
  <si>
    <t xml:space="preserve">C-D-38-B-01</t>
  </si>
  <si>
    <t xml:space="preserve">JR00041356</t>
  </si>
  <si>
    <t xml:space="preserve">C-D-36-B-03</t>
  </si>
  <si>
    <t xml:space="preserve">JR00041357</t>
  </si>
  <si>
    <t xml:space="preserve">C-D-36-B-01</t>
  </si>
  <si>
    <t xml:space="preserve">JR00041358</t>
  </si>
  <si>
    <t xml:space="preserve">C-D-34-B-03</t>
  </si>
  <si>
    <t xml:space="preserve">JR00040541</t>
  </si>
  <si>
    <t xml:space="preserve">MWIN00656</t>
  </si>
  <si>
    <t xml:space="preserve">JR00040542</t>
  </si>
  <si>
    <t xml:space="preserve">C-B-46-E-01</t>
  </si>
  <si>
    <t xml:space="preserve">JR00040544</t>
  </si>
  <si>
    <t xml:space="preserve">C-B-25-D-03</t>
  </si>
  <si>
    <t xml:space="preserve">JR00040603</t>
  </si>
  <si>
    <t xml:space="preserve">JR00040604</t>
  </si>
  <si>
    <t xml:space="preserve">JR00040605</t>
  </si>
  <si>
    <t xml:space="preserve">JR00040607</t>
  </si>
  <si>
    <t xml:space="preserve">C-C-25-C-03</t>
  </si>
  <si>
    <t xml:space="preserve">JR00040608</t>
  </si>
  <si>
    <t xml:space="preserve">JR00040609</t>
  </si>
  <si>
    <t xml:space="preserve">C-C-27-C-03</t>
  </si>
  <si>
    <t xml:space="preserve">JR00040610</t>
  </si>
  <si>
    <t xml:space="preserve">C-B-37-C-01</t>
  </si>
  <si>
    <t xml:space="preserve">JR00040611</t>
  </si>
  <si>
    <t xml:space="preserve">F-H-29-C-01</t>
  </si>
  <si>
    <t xml:space="preserve">JR00040612</t>
  </si>
  <si>
    <t xml:space="preserve">JR00040613</t>
  </si>
  <si>
    <t xml:space="preserve">JR00040614</t>
  </si>
  <si>
    <t xml:space="preserve">JR00040615</t>
  </si>
  <si>
    <t xml:space="preserve">JR00040616</t>
  </si>
  <si>
    <t xml:space="preserve">C-A-27-C-03</t>
  </si>
  <si>
    <t xml:space="preserve">JR00040617</t>
  </si>
  <si>
    <t xml:space="preserve">JR00040618</t>
  </si>
  <si>
    <t xml:space="preserve">C-B-28-C-01</t>
  </si>
  <si>
    <t xml:space="preserve">JR00040619</t>
  </si>
  <si>
    <t xml:space="preserve">C-B-42-E-01</t>
  </si>
  <si>
    <t xml:space="preserve">JR00040620</t>
  </si>
  <si>
    <t xml:space="preserve">C-C-23-C-03</t>
  </si>
  <si>
    <t xml:space="preserve">JR00040621</t>
  </si>
  <si>
    <t xml:space="preserve">C-C-25-C-01</t>
  </si>
  <si>
    <t xml:space="preserve">JR00040622</t>
  </si>
  <si>
    <t xml:space="preserve">C-C-37-C-03</t>
  </si>
  <si>
    <t xml:space="preserve">JR00040623</t>
  </si>
  <si>
    <t xml:space="preserve">JR00040624</t>
  </si>
  <si>
    <t xml:space="preserve">C-B-45-C-03</t>
  </si>
  <si>
    <t xml:space="preserve">JR00040625</t>
  </si>
  <si>
    <t xml:space="preserve">C-B-30-C-03</t>
  </si>
  <si>
    <t xml:space="preserve">JR00040627</t>
  </si>
  <si>
    <t xml:space="preserve">JR00040628</t>
  </si>
  <si>
    <t xml:space="preserve">C-C-39-C-01</t>
  </si>
  <si>
    <t xml:space="preserve">JR00040629</t>
  </si>
  <si>
    <t xml:space="preserve">C-A-18-C-03</t>
  </si>
  <si>
    <t xml:space="preserve">JR00040630</t>
  </si>
  <si>
    <t xml:space="preserve">C-B-26-C-03</t>
  </si>
  <si>
    <t xml:space="preserve">JR00040632</t>
  </si>
  <si>
    <t xml:space="preserve">JR00040633</t>
  </si>
  <si>
    <t xml:space="preserve">C-B-43-B-01</t>
  </si>
  <si>
    <t xml:space="preserve">JR00040634</t>
  </si>
  <si>
    <t xml:space="preserve">JR00040635</t>
  </si>
  <si>
    <t xml:space="preserve">JR00040636</t>
  </si>
  <si>
    <t xml:space="preserve">JR00040637</t>
  </si>
  <si>
    <t xml:space="preserve">F-G-46-C-01</t>
  </si>
  <si>
    <t xml:space="preserve">JR00040638</t>
  </si>
  <si>
    <t xml:space="preserve">C-A-13-B-01</t>
  </si>
  <si>
    <t xml:space="preserve">JR00040639</t>
  </si>
  <si>
    <t xml:space="preserve">F-G-30-B-03</t>
  </si>
  <si>
    <t xml:space="preserve">JR00040640</t>
  </si>
  <si>
    <t xml:space="preserve">F-H-41-A-01</t>
  </si>
  <si>
    <t xml:space="preserve">JR00047141</t>
  </si>
  <si>
    <t xml:space="preserve">RIYINT01011</t>
  </si>
  <si>
    <t xml:space="preserve">JR00047142</t>
  </si>
  <si>
    <t xml:space="preserve">A1-AA-03-A-01</t>
  </si>
  <si>
    <t xml:space="preserve">JR00047143</t>
  </si>
  <si>
    <t xml:space="preserve">JR00047144</t>
  </si>
  <si>
    <t xml:space="preserve">JR00047145</t>
  </si>
  <si>
    <t xml:space="preserve">A1-AC-01-A-03</t>
  </si>
  <si>
    <t xml:space="preserve">JR00041883</t>
  </si>
  <si>
    <t xml:space="preserve">MWIN01116</t>
  </si>
  <si>
    <t xml:space="preserve">JR00041884</t>
  </si>
  <si>
    <t xml:space="preserve">C-B-09-B-03</t>
  </si>
  <si>
    <t xml:space="preserve">JR00041885</t>
  </si>
  <si>
    <t xml:space="preserve">JR00041886</t>
  </si>
  <si>
    <t xml:space="preserve">JR00041887</t>
  </si>
  <si>
    <t xml:space="preserve">C-C-10-C-01</t>
  </si>
  <si>
    <t xml:space="preserve">JR00041888</t>
  </si>
  <si>
    <t xml:space="preserve">JR00041889</t>
  </si>
  <si>
    <t xml:space="preserve">JR00041890</t>
  </si>
  <si>
    <t xml:space="preserve">JR00041891</t>
  </si>
  <si>
    <t xml:space="preserve">C-C-08-C-02</t>
  </si>
  <si>
    <t xml:space="preserve">JR00041892</t>
  </si>
  <si>
    <t xml:space="preserve">C-B-06-C-03</t>
  </si>
  <si>
    <t xml:space="preserve">JR00041893</t>
  </si>
  <si>
    <t xml:space="preserve">JR00041894</t>
  </si>
  <si>
    <t xml:space="preserve">C-B-08-C-01</t>
  </si>
  <si>
    <t xml:space="preserve">JR00041895</t>
  </si>
  <si>
    <t xml:space="preserve">JR00041896</t>
  </si>
  <si>
    <t xml:space="preserve">JR00041897</t>
  </si>
  <si>
    <t xml:space="preserve">JR00041898</t>
  </si>
  <si>
    <t xml:space="preserve">C-B-45-A-03</t>
  </si>
  <si>
    <t xml:space="preserve">JR00041899-5179586</t>
  </si>
  <si>
    <t xml:space="preserve">MAGGI CHICKEN BOUILLON POWDER 6X1KG N1XA</t>
  </si>
  <si>
    <t xml:space="preserve">C-A-24-C-01</t>
  </si>
  <si>
    <t xml:space="preserve">JR00041900</t>
  </si>
  <si>
    <t xml:space="preserve">C-B-45-B-03</t>
  </si>
  <si>
    <t xml:space="preserve">JR00041901</t>
  </si>
  <si>
    <t xml:space="preserve">JR00041902</t>
  </si>
  <si>
    <t xml:space="preserve">JR00041903</t>
  </si>
  <si>
    <t xml:space="preserve">JR00041904</t>
  </si>
  <si>
    <t xml:space="preserve">C-C-27-C-01</t>
  </si>
  <si>
    <t xml:space="preserve">JR00041905</t>
  </si>
  <si>
    <t xml:space="preserve">C-A-28-C-03</t>
  </si>
  <si>
    <t xml:space="preserve">JR00041906</t>
  </si>
  <si>
    <t xml:space="preserve">JR00041907</t>
  </si>
  <si>
    <t xml:space="preserve">C-C-23-C-01</t>
  </si>
  <si>
    <t xml:space="preserve">JR00041908</t>
  </si>
  <si>
    <t xml:space="preserve">C-C-17-D-02</t>
  </si>
  <si>
    <t xml:space="preserve">JR00041909</t>
  </si>
  <si>
    <t xml:space="preserve">JR00040545</t>
  </si>
  <si>
    <t xml:space="preserve">MWIN00935</t>
  </si>
  <si>
    <t xml:space="preserve">JR00040546</t>
  </si>
  <si>
    <t xml:space="preserve">JR00040547</t>
  </si>
  <si>
    <t xml:space="preserve">JR00040548</t>
  </si>
  <si>
    <t xml:space="preserve">JR00040549</t>
  </si>
  <si>
    <t xml:space="preserve">JR00040550</t>
  </si>
  <si>
    <t xml:space="preserve">JR00040551</t>
  </si>
  <si>
    <t xml:space="preserve">JR00040552</t>
  </si>
  <si>
    <t xml:space="preserve">JR00040553</t>
  </si>
  <si>
    <t xml:space="preserve">JR00040554</t>
  </si>
  <si>
    <t xml:space="preserve">JR00040555</t>
  </si>
  <si>
    <t xml:space="preserve">JR00040556</t>
  </si>
  <si>
    <t xml:space="preserve">JR00040557</t>
  </si>
  <si>
    <t xml:space="preserve">JR00040558</t>
  </si>
  <si>
    <t xml:space="preserve">JR00040559</t>
  </si>
  <si>
    <t xml:space="preserve">JR00040560</t>
  </si>
  <si>
    <t xml:space="preserve">JR00040561</t>
  </si>
  <si>
    <t xml:space="preserve">JR00040562</t>
  </si>
  <si>
    <t xml:space="preserve">JR00040563</t>
  </si>
  <si>
    <t xml:space="preserve">JR00040564</t>
  </si>
  <si>
    <t xml:space="preserve">JR00040565</t>
  </si>
  <si>
    <t xml:space="preserve">JR00040566</t>
  </si>
  <si>
    <t xml:space="preserve">JR00040567</t>
  </si>
  <si>
    <t xml:space="preserve">JR00040568</t>
  </si>
  <si>
    <t xml:space="preserve">JR00040569</t>
  </si>
  <si>
    <t xml:space="preserve">C-B-23-E-01</t>
  </si>
  <si>
    <t xml:space="preserve">JR00040570</t>
  </si>
  <si>
    <t xml:space="preserve">C-B-24-B-03</t>
  </si>
  <si>
    <t xml:space="preserve">JR00040571</t>
  </si>
  <si>
    <t xml:space="preserve">JR00040572</t>
  </si>
  <si>
    <t xml:space="preserve">JR00040573</t>
  </si>
  <si>
    <t xml:space="preserve">JR00040574</t>
  </si>
  <si>
    <t xml:space="preserve">JR00040575</t>
  </si>
  <si>
    <t xml:space="preserve">JR00040576</t>
  </si>
  <si>
    <t xml:space="preserve">C-A-30-C-02</t>
  </si>
  <si>
    <t xml:space="preserve">JR00040577</t>
  </si>
  <si>
    <t xml:space="preserve">C-B-12-B-01</t>
  </si>
  <si>
    <t xml:space="preserve">JR00040592</t>
  </si>
  <si>
    <t xml:space="preserve">C-B-03-B-01</t>
  </si>
  <si>
    <t xml:space="preserve">JR00040593</t>
  </si>
  <si>
    <t xml:space="preserve">C-B-02-D-03</t>
  </si>
  <si>
    <t xml:space="preserve">JR00040594</t>
  </si>
  <si>
    <t xml:space="preserve">JR00040595</t>
  </si>
  <si>
    <t xml:space="preserve">JR00040596</t>
  </si>
  <si>
    <t xml:space="preserve">JR00040597</t>
  </si>
  <si>
    <t xml:space="preserve">JR00040598</t>
  </si>
  <si>
    <t xml:space="preserve">JR00040599</t>
  </si>
  <si>
    <t xml:space="preserve">JR00040600</t>
  </si>
  <si>
    <t xml:space="preserve">C-B-07-C-01</t>
  </si>
  <si>
    <t xml:space="preserve">JR00040601</t>
  </si>
  <si>
    <t xml:space="preserve">C-C-03-E-03</t>
  </si>
  <si>
    <t xml:space="preserve">JR00040484</t>
  </si>
  <si>
    <t xml:space="preserve">MWIN00844</t>
  </si>
  <si>
    <t xml:space="preserve">JR00040485</t>
  </si>
  <si>
    <t xml:space="preserve">JR00040486</t>
  </si>
  <si>
    <t xml:space="preserve">JR00040487</t>
  </si>
  <si>
    <t xml:space="preserve">C-D-45-A-01</t>
  </si>
  <si>
    <t xml:space="preserve">JR00040488</t>
  </si>
  <si>
    <t xml:space="preserve">C-D-43-A-01</t>
  </si>
  <si>
    <t xml:space="preserve">JR00040489</t>
  </si>
  <si>
    <t xml:space="preserve">C-D-41-A-01</t>
  </si>
  <si>
    <t xml:space="preserve">JR00040490</t>
  </si>
  <si>
    <t xml:space="preserve">C-D-39-A-03</t>
  </si>
  <si>
    <t xml:space="preserve">JR00040491</t>
  </si>
  <si>
    <t xml:space="preserve">C-D-39-A-01</t>
  </si>
  <si>
    <t xml:space="preserve">JR00040492</t>
  </si>
  <si>
    <t xml:space="preserve">C-D-37-A-03</t>
  </si>
  <si>
    <t xml:space="preserve">JR00040493</t>
  </si>
  <si>
    <t xml:space="preserve">C-D-33-A-03</t>
  </si>
  <si>
    <t xml:space="preserve">JR00040494</t>
  </si>
  <si>
    <t xml:space="preserve">C-D-35-A-03</t>
  </si>
  <si>
    <t xml:space="preserve">JR00040496</t>
  </si>
  <si>
    <t xml:space="preserve">C-D-37-A-01</t>
  </si>
  <si>
    <t xml:space="preserve">JR00040498</t>
  </si>
  <si>
    <t xml:space="preserve">JR00040499</t>
  </si>
  <si>
    <t xml:space="preserve">C-D-35-A-01</t>
  </si>
  <si>
    <t xml:space="preserve">JR00040500</t>
  </si>
  <si>
    <t xml:space="preserve">C-D-44-A-01</t>
  </si>
  <si>
    <t xml:space="preserve">JR00040579</t>
  </si>
  <si>
    <t xml:space="preserve">C-D-46-A-01</t>
  </si>
  <si>
    <t xml:space="preserve">JR00040580</t>
  </si>
  <si>
    <t xml:space="preserve">C-D-46-A-03</t>
  </si>
  <si>
    <t xml:space="preserve">JR00040581</t>
  </si>
  <si>
    <t xml:space="preserve">C-D-44-A-03</t>
  </si>
  <si>
    <t xml:space="preserve">JR00040582</t>
  </si>
  <si>
    <t xml:space="preserve">JR00040583</t>
  </si>
  <si>
    <t xml:space="preserve">JR00041285</t>
  </si>
  <si>
    <t xml:space="preserve">Schreiber American Cheese 4x120 Slices 20lb</t>
  </si>
  <si>
    <t xml:space="preserve">DAMINT00561</t>
  </si>
  <si>
    <t xml:space="preserve">A1-AC-02-B-01</t>
  </si>
  <si>
    <t xml:space="preserve">JR00041286</t>
  </si>
  <si>
    <t xml:space="preserve">JR00041287</t>
  </si>
  <si>
    <t xml:space="preserve">A1-AC-02-A-03</t>
  </si>
  <si>
    <t xml:space="preserve">JR00041288</t>
  </si>
  <si>
    <t xml:space="preserve">A1-AC-02-A-01</t>
  </si>
  <si>
    <t xml:space="preserve">JR00041289</t>
  </si>
  <si>
    <t xml:space="preserve">JR00040351</t>
  </si>
  <si>
    <t xml:space="preserve">MWIN00934</t>
  </si>
  <si>
    <t xml:space="preserve">C-A-04-C-03</t>
  </si>
  <si>
    <t xml:space="preserve">JR00040353</t>
  </si>
  <si>
    <t xml:space="preserve">C-C-45-D-01</t>
  </si>
  <si>
    <t xml:space="preserve">JR00040354</t>
  </si>
  <si>
    <t xml:space="preserve">JR00040355</t>
  </si>
  <si>
    <t xml:space="preserve">JR00040356</t>
  </si>
  <si>
    <t xml:space="preserve">C-C-45-D-03</t>
  </si>
  <si>
    <t xml:space="preserve">JR00040357</t>
  </si>
  <si>
    <t xml:space="preserve">JR00040358</t>
  </si>
  <si>
    <t xml:space="preserve">JR00040359</t>
  </si>
  <si>
    <t xml:space="preserve">JR00040360</t>
  </si>
  <si>
    <t xml:space="preserve">JR00040361</t>
  </si>
  <si>
    <t xml:space="preserve">C-B-19-C-03</t>
  </si>
  <si>
    <t xml:space="preserve">JR00040362</t>
  </si>
  <si>
    <t xml:space="preserve">JR00040363</t>
  </si>
  <si>
    <t xml:space="preserve">C-B-27-C-03</t>
  </si>
  <si>
    <t xml:space="preserve">JR00040364</t>
  </si>
  <si>
    <t xml:space="preserve">C-C-43-D-03</t>
  </si>
  <si>
    <t xml:space="preserve">JR00040365</t>
  </si>
  <si>
    <t xml:space="preserve">JR00040366</t>
  </si>
  <si>
    <t xml:space="preserve">C-B-21-D-01</t>
  </si>
  <si>
    <t xml:space="preserve">JR00040367</t>
  </si>
  <si>
    <t xml:space="preserve">JR00040368</t>
  </si>
  <si>
    <t xml:space="preserve">JR00040369</t>
  </si>
  <si>
    <t xml:space="preserve">C-C-43-D-01</t>
  </si>
  <si>
    <t xml:space="preserve">JR00040370</t>
  </si>
  <si>
    <t xml:space="preserve">C-B-18-E-01</t>
  </si>
  <si>
    <t xml:space="preserve">JR00040371</t>
  </si>
  <si>
    <t xml:space="preserve">C-B-29-E-01</t>
  </si>
  <si>
    <t xml:space="preserve">JR00040372</t>
  </si>
  <si>
    <t xml:space="preserve">JR00040373</t>
  </si>
  <si>
    <t xml:space="preserve">JR00040374</t>
  </si>
  <si>
    <t xml:space="preserve">C-C-31-B-02</t>
  </si>
  <si>
    <t xml:space="preserve">JR00040375</t>
  </si>
  <si>
    <t xml:space="preserve">C-C-33-D-03</t>
  </si>
  <si>
    <t xml:space="preserve">JR00040376</t>
  </si>
  <si>
    <t xml:space="preserve">C-C-31-D-01</t>
  </si>
  <si>
    <t xml:space="preserve">JR00040377</t>
  </si>
  <si>
    <t xml:space="preserve">C-C-37-D-01</t>
  </si>
  <si>
    <t xml:space="preserve">JR00040378</t>
  </si>
  <si>
    <t xml:space="preserve">C-C-39-D-03</t>
  </si>
  <si>
    <t xml:space="preserve">JR00040379</t>
  </si>
  <si>
    <t xml:space="preserve">C-C-41-D-01</t>
  </si>
  <si>
    <t xml:space="preserve">JR00040380</t>
  </si>
  <si>
    <t xml:space="preserve">JR00040381</t>
  </si>
  <si>
    <t xml:space="preserve">C-C-03-E-01</t>
  </si>
  <si>
    <t xml:space="preserve">JR00040382</t>
  </si>
  <si>
    <t xml:space="preserve">C-C-09-E-03</t>
  </si>
  <si>
    <t xml:space="preserve">JR00040383</t>
  </si>
  <si>
    <t xml:space="preserve">JR00040384</t>
  </si>
  <si>
    <t xml:space="preserve">C-C-12-D-03</t>
  </si>
  <si>
    <t xml:space="preserve">JR00040385</t>
  </si>
  <si>
    <t xml:space="preserve">C-C-14-D-01</t>
  </si>
  <si>
    <t xml:space="preserve">JR00040386</t>
  </si>
  <si>
    <t xml:space="preserve">C-C-13-D-01</t>
  </si>
  <si>
    <t xml:space="preserve">JR00040387</t>
  </si>
  <si>
    <t xml:space="preserve">JR00040388</t>
  </si>
  <si>
    <t xml:space="preserve">C-C-31-D-03</t>
  </si>
  <si>
    <t xml:space="preserve">JR00040389</t>
  </si>
  <si>
    <t xml:space="preserve">C-C-28-D-01</t>
  </si>
  <si>
    <t xml:space="preserve">JR00040390</t>
  </si>
  <si>
    <t xml:space="preserve">C-B-36-D-01</t>
  </si>
  <si>
    <t xml:space="preserve">JR00040391</t>
  </si>
  <si>
    <t xml:space="preserve">JR00040392</t>
  </si>
  <si>
    <t xml:space="preserve">JR00040393</t>
  </si>
  <si>
    <t xml:space="preserve">C-C-40-C-01</t>
  </si>
  <si>
    <t xml:space="preserve">JR00040394</t>
  </si>
  <si>
    <t xml:space="preserve">C-B-24-D-03</t>
  </si>
  <si>
    <t xml:space="preserve">JR00041496</t>
  </si>
  <si>
    <t xml:space="preserve">MWIN01116_1</t>
  </si>
  <si>
    <t xml:space="preserve">JR00042071</t>
  </si>
  <si>
    <t xml:space="preserve">C-B-33-C-01</t>
  </si>
  <si>
    <t xml:space="preserve">JR00042072</t>
  </si>
  <si>
    <t xml:space="preserve">JR00042073</t>
  </si>
  <si>
    <t xml:space="preserve">C-B-10-B-03</t>
  </si>
  <si>
    <t xml:space="preserve">JR00042074</t>
  </si>
  <si>
    <t xml:space="preserve">JR00042075</t>
  </si>
  <si>
    <t xml:space="preserve">JR00042076</t>
  </si>
  <si>
    <t xml:space="preserve">JR00042077</t>
  </si>
  <si>
    <t xml:space="preserve">JR00042078</t>
  </si>
  <si>
    <t xml:space="preserve">JR00042079</t>
  </si>
  <si>
    <t xml:space="preserve">JR00042080</t>
  </si>
  <si>
    <t xml:space="preserve">JR00042081</t>
  </si>
  <si>
    <t xml:space="preserve">JR00042082</t>
  </si>
  <si>
    <t xml:space="preserve">JR00042083</t>
  </si>
  <si>
    <t xml:space="preserve">JR00042084</t>
  </si>
  <si>
    <t xml:space="preserve">JR00042085</t>
  </si>
  <si>
    <t xml:space="preserve">C-B-39-D-03</t>
  </si>
  <si>
    <t xml:space="preserve">JR00042086</t>
  </si>
  <si>
    <t xml:space="preserve">JR00042087</t>
  </si>
  <si>
    <t xml:space="preserve">JR00042088</t>
  </si>
  <si>
    <t xml:space="preserve">C-C-45-C-02</t>
  </si>
  <si>
    <t xml:space="preserve">JR00042089</t>
  </si>
  <si>
    <t xml:space="preserve">JR00042090</t>
  </si>
  <si>
    <t xml:space="preserve">JR00041798</t>
  </si>
  <si>
    <t xml:space="preserve">MWIN01111</t>
  </si>
  <si>
    <t xml:space="preserve">JR00041799</t>
  </si>
  <si>
    <t xml:space="preserve">JR00041800</t>
  </si>
  <si>
    <t xml:space="preserve">JR00040467</t>
  </si>
  <si>
    <t xml:space="preserve">MWIN01076</t>
  </si>
  <si>
    <t xml:space="preserve">JR00040427</t>
  </si>
  <si>
    <t xml:space="preserve">MWIN00654</t>
  </si>
  <si>
    <t xml:space="preserve">C-A-12-D-01</t>
  </si>
  <si>
    <t xml:space="preserve">JR00040428</t>
  </si>
  <si>
    <t xml:space="preserve">JR00040429</t>
  </si>
  <si>
    <t xml:space="preserve">C-A-12-D-03</t>
  </si>
  <si>
    <t xml:space="preserve">JR00040430</t>
  </si>
  <si>
    <t xml:space="preserve">JR00040431</t>
  </si>
  <si>
    <t xml:space="preserve">JR00040432</t>
  </si>
  <si>
    <t xml:space="preserve">JR00040433</t>
  </si>
  <si>
    <t xml:space="preserve">C-C-29-C-03</t>
  </si>
  <si>
    <t xml:space="preserve">JR00040434</t>
  </si>
  <si>
    <t xml:space="preserve">C-C-21-D-03</t>
  </si>
  <si>
    <t xml:space="preserve">JR00040435</t>
  </si>
  <si>
    <t xml:space="preserve">JR00040436</t>
  </si>
  <si>
    <t xml:space="preserve">JR00040437</t>
  </si>
  <si>
    <t xml:space="preserve">C-C-21-D-01</t>
  </si>
  <si>
    <t xml:space="preserve">JR00040438</t>
  </si>
  <si>
    <t xml:space="preserve">C-B-02-D-01</t>
  </si>
  <si>
    <t xml:space="preserve">JR00040439</t>
  </si>
  <si>
    <t xml:space="preserve">JR00040440</t>
  </si>
  <si>
    <t xml:space="preserve">C-C-39-C-03</t>
  </si>
  <si>
    <t xml:space="preserve">JR00040441</t>
  </si>
  <si>
    <t xml:space="preserve">C-C-31-D-02</t>
  </si>
  <si>
    <t xml:space="preserve">JR00040442</t>
  </si>
  <si>
    <t xml:space="preserve">JR00040443</t>
  </si>
  <si>
    <t xml:space="preserve">JR00040444</t>
  </si>
  <si>
    <t xml:space="preserve">JR00040445</t>
  </si>
  <si>
    <t xml:space="preserve">C-C-17-D-03</t>
  </si>
  <si>
    <t xml:space="preserve">JR00040446</t>
  </si>
  <si>
    <t xml:space="preserve">C-B-28-D-03</t>
  </si>
  <si>
    <t xml:space="preserve">JR00040447</t>
  </si>
  <si>
    <t xml:space="preserve">C-C-01-D-01</t>
  </si>
  <si>
    <t xml:space="preserve">JR00040448</t>
  </si>
  <si>
    <t xml:space="preserve">C-A-04-C-02</t>
  </si>
  <si>
    <t xml:space="preserve">JR00040449</t>
  </si>
  <si>
    <t xml:space="preserve">JR00040450</t>
  </si>
  <si>
    <t xml:space="preserve">C-A-14-D-01</t>
  </si>
  <si>
    <t xml:space="preserve">JR00040451</t>
  </si>
  <si>
    <t xml:space="preserve">JR00040452</t>
  </si>
  <si>
    <t xml:space="preserve">C-A-02-C-02</t>
  </si>
  <si>
    <t xml:space="preserve">JR00040453</t>
  </si>
  <si>
    <t xml:space="preserve">C-A-21-D-03</t>
  </si>
  <si>
    <t xml:space="preserve">JR00040454</t>
  </si>
  <si>
    <t xml:space="preserve">JR00040455</t>
  </si>
  <si>
    <t xml:space="preserve">JR00040456</t>
  </si>
  <si>
    <t xml:space="preserve">C-A-41-C-01</t>
  </si>
  <si>
    <t xml:space="preserve">JR00040457</t>
  </si>
  <si>
    <t xml:space="preserve">JR00040458</t>
  </si>
  <si>
    <t xml:space="preserve">JR00040459</t>
  </si>
  <si>
    <t xml:space="preserve">JR00040461</t>
  </si>
  <si>
    <t xml:space="preserve">JR00040462</t>
  </si>
  <si>
    <t xml:space="preserve">JR00040464</t>
  </si>
  <si>
    <t xml:space="preserve">JR00040466</t>
  </si>
  <si>
    <t xml:space="preserve">JR00041492</t>
  </si>
  <si>
    <t xml:space="preserve">JR00041493</t>
  </si>
  <si>
    <t xml:space="preserve">JR00041321</t>
  </si>
  <si>
    <t xml:space="preserve">RIYINT00831</t>
  </si>
  <si>
    <t xml:space="preserve">JR00041322</t>
  </si>
  <si>
    <t xml:space="preserve">JR00041323</t>
  </si>
  <si>
    <t xml:space="preserve">JR00041324</t>
  </si>
  <si>
    <t xml:space="preserve">JR00041021</t>
  </si>
  <si>
    <t xml:space="preserve">MWIN010955</t>
  </si>
  <si>
    <t xml:space="preserve">JR00041022</t>
  </si>
  <si>
    <t xml:space="preserve">JR00041023</t>
  </si>
  <si>
    <t xml:space="preserve">JR00041024</t>
  </si>
  <si>
    <t xml:space="preserve">JR00041025</t>
  </si>
  <si>
    <t xml:space="preserve">JR00041026</t>
  </si>
  <si>
    <t xml:space="preserve">JR00041027</t>
  </si>
  <si>
    <t xml:space="preserve">JR00041028</t>
  </si>
  <si>
    <t xml:space="preserve">JR00041029</t>
  </si>
  <si>
    <t xml:space="preserve">JR00041030</t>
  </si>
  <si>
    <t xml:space="preserve">JR00041031</t>
  </si>
  <si>
    <t xml:space="preserve">JR00041032</t>
  </si>
  <si>
    <t xml:space="preserve">JR00041033</t>
  </si>
  <si>
    <t xml:space="preserve">JR00041034</t>
  </si>
  <si>
    <t xml:space="preserve">JR00041035</t>
  </si>
  <si>
    <t xml:space="preserve">JR00041036</t>
  </si>
  <si>
    <t xml:space="preserve">JR00041037</t>
  </si>
  <si>
    <t xml:space="preserve">JR00041038</t>
  </si>
  <si>
    <t xml:space="preserve">JR00041039</t>
  </si>
  <si>
    <t xml:space="preserve">JR00041040</t>
  </si>
  <si>
    <t xml:space="preserve">JR00041041</t>
  </si>
  <si>
    <t xml:space="preserve">JR00040304</t>
  </si>
  <si>
    <t xml:space="preserve">MWIN00933</t>
  </si>
  <si>
    <t xml:space="preserve">JR00040395</t>
  </si>
  <si>
    <t xml:space="preserve">JR00040396</t>
  </si>
  <si>
    <t xml:space="preserve">JR00040397</t>
  </si>
  <si>
    <t xml:space="preserve">JR00040398</t>
  </si>
  <si>
    <t xml:space="preserve">JR00040399</t>
  </si>
  <si>
    <t xml:space="preserve">JR00040400</t>
  </si>
  <si>
    <t xml:space="preserve">C-D-05-C-03</t>
  </si>
  <si>
    <t xml:space="preserve">JR00040401</t>
  </si>
  <si>
    <t xml:space="preserve">JR00040402</t>
  </si>
  <si>
    <t xml:space="preserve">JR00040403</t>
  </si>
  <si>
    <t xml:space="preserve">JR00040404</t>
  </si>
  <si>
    <t xml:space="preserve">JR00040405</t>
  </si>
  <si>
    <t xml:space="preserve">JR00040406</t>
  </si>
  <si>
    <t xml:space="preserve">C-B-10-B-02</t>
  </si>
  <si>
    <t xml:space="preserve">JR00040407</t>
  </si>
  <si>
    <t xml:space="preserve">C-B-10-B-01</t>
  </si>
  <si>
    <t xml:space="preserve">JR00040408</t>
  </si>
  <si>
    <t xml:space="preserve">JR00040409</t>
  </si>
  <si>
    <t xml:space="preserve">C-B-08-B-01</t>
  </si>
  <si>
    <t xml:space="preserve">JR00040410</t>
  </si>
  <si>
    <t xml:space="preserve">JR00040411</t>
  </si>
  <si>
    <t xml:space="preserve">JR00040412</t>
  </si>
  <si>
    <t xml:space="preserve">JR00040413</t>
  </si>
  <si>
    <t xml:space="preserve">JR00040414</t>
  </si>
  <si>
    <t xml:space="preserve">JR00040415</t>
  </si>
  <si>
    <t xml:space="preserve">JR00040418</t>
  </si>
  <si>
    <t xml:space="preserve">JR00040419</t>
  </si>
  <si>
    <t xml:space="preserve">JR00040420</t>
  </si>
  <si>
    <t xml:space="preserve">JR00040421</t>
  </si>
  <si>
    <t xml:space="preserve">JR00040422</t>
  </si>
  <si>
    <t xml:space="preserve">C-A-02-B-02</t>
  </si>
  <si>
    <t xml:space="preserve">JR00040423</t>
  </si>
  <si>
    <t xml:space="preserve">C-A-24-D-03</t>
  </si>
  <si>
    <t xml:space="preserve">SJR00040426</t>
  </si>
  <si>
    <t xml:space="preserve">JR00041430</t>
  </si>
  <si>
    <t xml:space="preserve">MWIN00853</t>
  </si>
  <si>
    <t xml:space="preserve">JR00041431</t>
  </si>
  <si>
    <t xml:space="preserve">JR00041432</t>
  </si>
  <si>
    <t xml:space="preserve">Zuma Original Hot Chocolate 1 Kg Bags</t>
  </si>
  <si>
    <t xml:space="preserve">JR00041433</t>
  </si>
  <si>
    <t xml:space="preserve">JR00041434</t>
  </si>
  <si>
    <t xml:space="preserve">Sweetbird Brown Sugar Syrup</t>
  </si>
  <si>
    <t xml:space="preserve">JR00041438</t>
  </si>
  <si>
    <t xml:space="preserve">C-C-46-B-01</t>
  </si>
  <si>
    <t xml:space="preserve">JR00041561</t>
  </si>
  <si>
    <t xml:space="preserve">MWIN01048</t>
  </si>
  <si>
    <t xml:space="preserve">JR00041562</t>
  </si>
  <si>
    <t xml:space="preserve">JR00041563</t>
  </si>
  <si>
    <t xml:space="preserve">A0-AA-03-D-01</t>
  </si>
  <si>
    <t xml:space="preserve">JR00041564</t>
  </si>
  <si>
    <t xml:space="preserve">JR00041565</t>
  </si>
  <si>
    <t xml:space="preserve">JR00041566</t>
  </si>
  <si>
    <t xml:space="preserve">JR00041567</t>
  </si>
  <si>
    <t xml:space="preserve">JR00041568</t>
  </si>
  <si>
    <t xml:space="preserve">JR00041569</t>
  </si>
  <si>
    <t xml:space="preserve">JR00041570</t>
  </si>
  <si>
    <t xml:space="preserve">JR00041571</t>
  </si>
  <si>
    <t xml:space="preserve">JR00041572</t>
  </si>
  <si>
    <t xml:space="preserve">JR00041573</t>
  </si>
  <si>
    <t xml:space="preserve">JR00041574</t>
  </si>
  <si>
    <t xml:space="preserve">JR00041575</t>
  </si>
  <si>
    <t xml:space="preserve">JR00041576</t>
  </si>
  <si>
    <t xml:space="preserve">A0-AA-10-C-01</t>
  </si>
  <si>
    <t xml:space="preserve">JR00041577</t>
  </si>
  <si>
    <t xml:space="preserve">JR00041578</t>
  </si>
  <si>
    <t xml:space="preserve">JR00041579</t>
  </si>
  <si>
    <t xml:space="preserve">JR00041580</t>
  </si>
  <si>
    <t xml:space="preserve">JR00041581</t>
  </si>
  <si>
    <t xml:space="preserve">JR00041582</t>
  </si>
  <si>
    <t xml:space="preserve">JR00041584</t>
  </si>
  <si>
    <t xml:space="preserve">A0-AA-12-B-01</t>
  </si>
  <si>
    <t xml:space="preserve">JR00041585</t>
  </si>
  <si>
    <t xml:space="preserve">JR00042541</t>
  </si>
  <si>
    <t xml:space="preserve">WHRET00751</t>
  </si>
  <si>
    <t xml:space="preserve">JR00042542</t>
  </si>
  <si>
    <t xml:space="preserve">JR00048441</t>
  </si>
  <si>
    <t xml:space="preserve">MWIN01191</t>
  </si>
  <si>
    <t xml:space="preserve">JR00048442</t>
  </si>
  <si>
    <t xml:space="preserve">JR00048443</t>
  </si>
  <si>
    <t xml:space="preserve">JR00048444</t>
  </si>
  <si>
    <t xml:space="preserve">JR00048445</t>
  </si>
  <si>
    <t xml:space="preserve">JR00048446</t>
  </si>
  <si>
    <t xml:space="preserve">JR00048447</t>
  </si>
  <si>
    <t xml:space="preserve">JR00048448</t>
  </si>
  <si>
    <t xml:space="preserve">JR00048449</t>
  </si>
  <si>
    <t xml:space="preserve">JR00048450</t>
  </si>
  <si>
    <t xml:space="preserve">A0-AB-07-C-02</t>
  </si>
  <si>
    <t xml:space="preserve">JR00048451</t>
  </si>
  <si>
    <t xml:space="preserve">JR00048452</t>
  </si>
  <si>
    <t xml:space="preserve">A0-AA-09-E-03</t>
  </si>
  <si>
    <t xml:space="preserve">JR00048453</t>
  </si>
  <si>
    <t xml:space="preserve">A0-AB-11-D-03</t>
  </si>
  <si>
    <t xml:space="preserve">JR00048454</t>
  </si>
  <si>
    <t xml:space="preserve">A0-AB-05-D-01</t>
  </si>
  <si>
    <t xml:space="preserve">JR00048455</t>
  </si>
  <si>
    <t xml:space="preserve">A0-AB-05-C-01</t>
  </si>
  <si>
    <t xml:space="preserve">JR00048456</t>
  </si>
  <si>
    <t xml:space="preserve">A0-AB-05-C-03</t>
  </si>
  <si>
    <t xml:space="preserve">JR00048457</t>
  </si>
  <si>
    <t xml:space="preserve">JR00048458</t>
  </si>
  <si>
    <t xml:space="preserve">JR00042261</t>
  </si>
  <si>
    <t xml:space="preserve">MWIN01115</t>
  </si>
  <si>
    <t xml:space="preserve">JR00042262</t>
  </si>
  <si>
    <t xml:space="preserve">A0-AB-12-C-03</t>
  </si>
  <si>
    <t xml:space="preserve">JR00042263</t>
  </si>
  <si>
    <t xml:space="preserve">JR00042264</t>
  </si>
  <si>
    <t xml:space="preserve">JR00042265</t>
  </si>
  <si>
    <t xml:space="preserve">JR00042281</t>
  </si>
  <si>
    <t xml:space="preserve">FSN1103</t>
  </si>
  <si>
    <t xml:space="preserve">Frozen Salmon Fillet Skin On Norway</t>
  </si>
  <si>
    <t xml:space="preserve">MWIN00966</t>
  </si>
  <si>
    <t xml:space="preserve">JR00042285</t>
  </si>
  <si>
    <t xml:space="preserve">A0-AA-14-B-03</t>
  </si>
  <si>
    <t xml:space="preserve">JR00042286</t>
  </si>
  <si>
    <t xml:space="preserve">JR00042297</t>
  </si>
  <si>
    <t xml:space="preserve">FSN1101</t>
  </si>
  <si>
    <t xml:space="preserve">Frozen Salmon Fillet Skinless Norway</t>
  </si>
  <si>
    <t xml:space="preserve">A0-AB-07-B-03</t>
  </si>
  <si>
    <t xml:space="preserve">JR00042303</t>
  </si>
  <si>
    <t xml:space="preserve">JR00042305</t>
  </si>
  <si>
    <t xml:space="preserve">A0-AA-05-B-03</t>
  </si>
  <si>
    <t xml:space="preserve">JR00048199</t>
  </si>
  <si>
    <t xml:space="preserve">SHRM00004183</t>
  </si>
  <si>
    <t xml:space="preserve">JR00042581</t>
  </si>
  <si>
    <t xml:space="preserve">MWIN01141</t>
  </si>
  <si>
    <t xml:space="preserve">JR00042582</t>
  </si>
  <si>
    <t xml:space="preserve">JR00042583</t>
  </si>
  <si>
    <t xml:space="preserve">JR00042586</t>
  </si>
  <si>
    <t xml:space="preserve">JR00042587</t>
  </si>
  <si>
    <t xml:space="preserve">JR00042588</t>
  </si>
  <si>
    <t xml:space="preserve">JR00042589</t>
  </si>
  <si>
    <t xml:space="preserve">JR00042590</t>
  </si>
  <si>
    <t xml:space="preserve">A0-AA-16-C-03</t>
  </si>
  <si>
    <t xml:space="preserve">JR00049966</t>
  </si>
  <si>
    <t xml:space="preserve">MWIN01156</t>
  </si>
  <si>
    <t xml:space="preserve">JR00049969</t>
  </si>
  <si>
    <t xml:space="preserve">JR00049971</t>
  </si>
  <si>
    <t xml:space="preserve">JR00049973</t>
  </si>
  <si>
    <t xml:space="preserve">JR00049979</t>
  </si>
  <si>
    <t xml:space="preserve">JR00049257</t>
  </si>
  <si>
    <t xml:space="preserve">MWIN01106</t>
  </si>
  <si>
    <t xml:space="preserve">JR00049258</t>
  </si>
  <si>
    <t xml:space="preserve">JR00049259</t>
  </si>
  <si>
    <t xml:space="preserve">JR00049260</t>
  </si>
  <si>
    <t xml:space="preserve">JR00049261</t>
  </si>
  <si>
    <t xml:space="preserve">JR00049262</t>
  </si>
  <si>
    <t xml:space="preserve">JR00049263</t>
  </si>
  <si>
    <t xml:space="preserve">JR00049264</t>
  </si>
  <si>
    <t xml:space="preserve">JR00049265</t>
  </si>
  <si>
    <t xml:space="preserve">JR00049266</t>
  </si>
  <si>
    <t xml:space="preserve">JR00049267</t>
  </si>
  <si>
    <t xml:space="preserve">JR00049268</t>
  </si>
  <si>
    <t xml:space="preserve">JR00049269</t>
  </si>
  <si>
    <t xml:space="preserve">JR00049270</t>
  </si>
  <si>
    <t xml:space="preserve">JR00049271</t>
  </si>
  <si>
    <t xml:space="preserve">JR00049272</t>
  </si>
  <si>
    <t xml:space="preserve">JR00049273</t>
  </si>
  <si>
    <t xml:space="preserve">JR00049274</t>
  </si>
  <si>
    <t xml:space="preserve">JR00049275</t>
  </si>
  <si>
    <t xml:space="preserve">JR00049276</t>
  </si>
  <si>
    <t xml:space="preserve">JR00049277</t>
  </si>
  <si>
    <t xml:space="preserve">JR00049278</t>
  </si>
  <si>
    <t xml:space="preserve">JR00049279</t>
  </si>
  <si>
    <t xml:space="preserve">JR00049280</t>
  </si>
  <si>
    <t xml:space="preserve">JR00049281</t>
  </si>
  <si>
    <t xml:space="preserve">JR00049282</t>
  </si>
  <si>
    <t xml:space="preserve">C-B-28-D-01</t>
  </si>
  <si>
    <t xml:space="preserve">JR00049283</t>
  </si>
  <si>
    <t xml:space="preserve">C-B-15-A-02</t>
  </si>
  <si>
    <t xml:space="preserve">JR00049284</t>
  </si>
  <si>
    <t xml:space="preserve">C-B-15-A-03</t>
  </si>
  <si>
    <t xml:space="preserve">JR00049285</t>
  </si>
  <si>
    <t xml:space="preserve">JR00041451</t>
  </si>
  <si>
    <t xml:space="preserve">12415275P</t>
  </si>
  <si>
    <t xml:space="preserve">KITKAT Mix-In NCPcert 16x400g N3 XI</t>
  </si>
  <si>
    <t xml:space="preserve">MWIN01117</t>
  </si>
  <si>
    <t xml:space="preserve">JR00041453</t>
  </si>
  <si>
    <t xml:space="preserve">C-A-20-D-03</t>
  </si>
  <si>
    <t xml:space="preserve">JR00041454</t>
  </si>
  <si>
    <t xml:space="preserve">JR00041455</t>
  </si>
  <si>
    <t xml:space="preserve">JR00041456</t>
  </si>
  <si>
    <t xml:space="preserve">JR00041457</t>
  </si>
  <si>
    <t xml:space="preserve">JR00041458</t>
  </si>
  <si>
    <t xml:space="preserve">JR00041459</t>
  </si>
  <si>
    <t xml:space="preserve">C-A-30-D-03</t>
  </si>
  <si>
    <t xml:space="preserve">JR00041460</t>
  </si>
  <si>
    <t xml:space="preserve">C-A-33-D-03</t>
  </si>
  <si>
    <t xml:space="preserve">JR00041461</t>
  </si>
  <si>
    <t xml:space="preserve">JR00041462</t>
  </si>
  <si>
    <t xml:space="preserve">C-A-26-C-01</t>
  </si>
  <si>
    <t xml:space="preserve">JR00049141</t>
  </si>
  <si>
    <t xml:space="preserve">FSK1106</t>
  </si>
  <si>
    <t xml:space="preserve">Frozen PDTO Shrimp 16/20 10X1kg Sea Pride</t>
  </si>
  <si>
    <t xml:space="preserve">MWIN01196</t>
  </si>
  <si>
    <t xml:space="preserve">A0-AA-06-C-02</t>
  </si>
  <si>
    <t xml:space="preserve">JR00049142</t>
  </si>
  <si>
    <t xml:space="preserve">JR00049143</t>
  </si>
  <si>
    <t xml:space="preserve">JR00049144</t>
  </si>
  <si>
    <t xml:space="preserve">JR00049145</t>
  </si>
  <si>
    <t xml:space="preserve">A0-AA-06-B-03</t>
  </si>
  <si>
    <t xml:space="preserve">JR00049146</t>
  </si>
  <si>
    <t xml:space="preserve">A0-AA-03-B-02</t>
  </si>
  <si>
    <t xml:space="preserve">JR00049147</t>
  </si>
  <si>
    <t xml:space="preserve">JR00049148</t>
  </si>
  <si>
    <t xml:space="preserve">JR00049149</t>
  </si>
  <si>
    <t xml:space="preserve">JR00049150</t>
  </si>
  <si>
    <t xml:space="preserve">JR00049151</t>
  </si>
  <si>
    <t xml:space="preserve">JR00049154</t>
  </si>
  <si>
    <t xml:space="preserve">JR00049155</t>
  </si>
  <si>
    <t xml:space="preserve">JR00049156</t>
  </si>
  <si>
    <t xml:space="preserve">A0-AA-08-B-03</t>
  </si>
  <si>
    <t xml:space="preserve">JR00049157</t>
  </si>
  <si>
    <t xml:space="preserve">JR00039848</t>
  </si>
  <si>
    <t xml:space="preserve">MWIN01052</t>
  </si>
  <si>
    <t xml:space="preserve">JR00039849</t>
  </si>
  <si>
    <t xml:space="preserve">JR00039850</t>
  </si>
  <si>
    <t xml:space="preserve">JR00039851</t>
  </si>
  <si>
    <t xml:space="preserve">JR00039852</t>
  </si>
  <si>
    <t xml:space="preserve">C-B-18-C-02</t>
  </si>
  <si>
    <t xml:space="preserve">JR00039853</t>
  </si>
  <si>
    <t xml:space="preserve">JR00039854</t>
  </si>
  <si>
    <t xml:space="preserve">JR00039855</t>
  </si>
  <si>
    <t xml:space="preserve">C-C-32-D-03</t>
  </si>
  <si>
    <t xml:space="preserve">JR00039856</t>
  </si>
  <si>
    <t xml:space="preserve">JR00039857</t>
  </si>
  <si>
    <t xml:space="preserve">JR00039858</t>
  </si>
  <si>
    <t xml:space="preserve">JR00039859</t>
  </si>
  <si>
    <t xml:space="preserve">JR00039860</t>
  </si>
  <si>
    <t xml:space="preserve">JR00039861</t>
  </si>
  <si>
    <t xml:space="preserve">JR00039862</t>
  </si>
  <si>
    <t xml:space="preserve">JR00039863</t>
  </si>
  <si>
    <t xml:space="preserve">JR00039864</t>
  </si>
  <si>
    <t xml:space="preserve">JR00039865</t>
  </si>
  <si>
    <t xml:space="preserve">JR00039866</t>
  </si>
  <si>
    <t xml:space="preserve">JR00039867</t>
  </si>
  <si>
    <t xml:space="preserve">JR00039868</t>
  </si>
  <si>
    <t xml:space="preserve">JR00039869</t>
  </si>
  <si>
    <t xml:space="preserve">JR00039870</t>
  </si>
  <si>
    <t xml:space="preserve">JR00039871</t>
  </si>
  <si>
    <t xml:space="preserve">JR00039872</t>
  </si>
  <si>
    <t xml:space="preserve">JR00039873</t>
  </si>
  <si>
    <t xml:space="preserve">JR00039874</t>
  </si>
  <si>
    <t xml:space="preserve">JR00039875</t>
  </si>
  <si>
    <t xml:space="preserve">C-C-24-D-03</t>
  </si>
  <si>
    <t xml:space="preserve">JR00039876</t>
  </si>
  <si>
    <t xml:space="preserve">C-C-30-D-03</t>
  </si>
  <si>
    <t xml:space="preserve">JR00039877</t>
  </si>
  <si>
    <t xml:space="preserve">JR00039878</t>
  </si>
  <si>
    <t xml:space="preserve">C-C-44-B-01</t>
  </si>
  <si>
    <t xml:space="preserve">JR00039879</t>
  </si>
  <si>
    <t xml:space="preserve">JR00039880</t>
  </si>
  <si>
    <t xml:space="preserve">C-C-42-B-01</t>
  </si>
  <si>
    <t xml:space="preserve">JR00039881</t>
  </si>
  <si>
    <t xml:space="preserve">C-C-40-B-03</t>
  </si>
  <si>
    <t xml:space="preserve">JR00039882</t>
  </si>
  <si>
    <t xml:space="preserve">C-C-40-B-01</t>
  </si>
  <si>
    <t xml:space="preserve">JR00039883</t>
  </si>
  <si>
    <t xml:space="preserve">JR00039884</t>
  </si>
  <si>
    <t xml:space="preserve">JR00039885</t>
  </si>
  <si>
    <t xml:space="preserve">JR00039886</t>
  </si>
  <si>
    <t xml:space="preserve">JR00039887</t>
  </si>
  <si>
    <t xml:space="preserve">JR00039888</t>
  </si>
  <si>
    <t xml:space="preserve">JR00039889</t>
  </si>
  <si>
    <t xml:space="preserve">JR00039890</t>
  </si>
  <si>
    <t xml:space="preserve">JR00048701</t>
  </si>
  <si>
    <t xml:space="preserve">MWIN01105</t>
  </si>
  <si>
    <t xml:space="preserve">JR00049212</t>
  </si>
  <si>
    <t xml:space="preserve">JR00049213</t>
  </si>
  <si>
    <t xml:space="preserve">JR00049214</t>
  </si>
  <si>
    <t xml:space="preserve">JR00049215</t>
  </si>
  <si>
    <t xml:space="preserve">JR00049216</t>
  </si>
  <si>
    <t xml:space="preserve">JR00049217</t>
  </si>
  <si>
    <t xml:space="preserve">JR00049218</t>
  </si>
  <si>
    <t xml:space="preserve">JR00049219</t>
  </si>
  <si>
    <t xml:space="preserve">JR00049220</t>
  </si>
  <si>
    <t xml:space="preserve">JR00049221</t>
  </si>
  <si>
    <t xml:space="preserve">JR00049222</t>
  </si>
  <si>
    <t xml:space="preserve">JR00049223</t>
  </si>
  <si>
    <t xml:space="preserve">JR00049224</t>
  </si>
  <si>
    <t xml:space="preserve">JR00049225</t>
  </si>
  <si>
    <t xml:space="preserve">JR00049226</t>
  </si>
  <si>
    <t xml:space="preserve">JR00049227</t>
  </si>
  <si>
    <t xml:space="preserve">JR00049228</t>
  </si>
  <si>
    <t xml:space="preserve">JR00049229</t>
  </si>
  <si>
    <t xml:space="preserve">JR00049230</t>
  </si>
  <si>
    <t xml:space="preserve">JR00049231</t>
  </si>
  <si>
    <t xml:space="preserve">JR00049232</t>
  </si>
  <si>
    <t xml:space="preserve">JR00049233</t>
  </si>
  <si>
    <t xml:space="preserve">JR00049234</t>
  </si>
  <si>
    <t xml:space="preserve">C-B-04-C-03</t>
  </si>
  <si>
    <t xml:space="preserve">JR00049235</t>
  </si>
  <si>
    <t xml:space="preserve">JR00049236</t>
  </si>
  <si>
    <t xml:space="preserve">JR00049237</t>
  </si>
  <si>
    <t xml:space="preserve">JR00049238</t>
  </si>
  <si>
    <t xml:space="preserve">JR00049239</t>
  </si>
  <si>
    <t xml:space="preserve">JR00049240</t>
  </si>
  <si>
    <t xml:space="preserve">JR00049241</t>
  </si>
  <si>
    <t xml:space="preserve">JR00049242</t>
  </si>
  <si>
    <t xml:space="preserve">JR00049243</t>
  </si>
  <si>
    <t xml:space="preserve">JR00049244</t>
  </si>
  <si>
    <t xml:space="preserve">JR00049246</t>
  </si>
  <si>
    <t xml:space="preserve">C-B-26-B-01</t>
  </si>
  <si>
    <t xml:space="preserve">JR00049247</t>
  </si>
  <si>
    <t xml:space="preserve">C-B-19-B-01</t>
  </si>
  <si>
    <t xml:space="preserve">JR00049248</t>
  </si>
  <si>
    <t xml:space="preserve">JR00049249</t>
  </si>
  <si>
    <t xml:space="preserve">C-B-32-C-03</t>
  </si>
  <si>
    <t xml:space="preserve">JR00049250</t>
  </si>
  <si>
    <t xml:space="preserve">JR00049251</t>
  </si>
  <si>
    <t xml:space="preserve">C-B-20-C-03</t>
  </si>
  <si>
    <t xml:space="preserve">JR00049252</t>
  </si>
  <si>
    <t xml:space="preserve">JR00049253</t>
  </si>
  <si>
    <t xml:space="preserve">C-B-40-C-01</t>
  </si>
  <si>
    <t xml:space="preserve">JR00049254</t>
  </si>
  <si>
    <t xml:space="preserve">JR00041899</t>
  </si>
  <si>
    <t xml:space="preserve">MWIN01116_4</t>
  </si>
  <si>
    <t xml:space="preserve">JR00049941</t>
  </si>
  <si>
    <t xml:space="preserve">MWIN01228</t>
  </si>
  <si>
    <t xml:space="preserve">JR00049942</t>
  </si>
  <si>
    <t xml:space="preserve">JR00049943</t>
  </si>
  <si>
    <t xml:space="preserve">JR00049944</t>
  </si>
  <si>
    <t xml:space="preserve">JR00049945</t>
  </si>
  <si>
    <t xml:space="preserve">JR00049946</t>
  </si>
  <si>
    <t xml:space="preserve">JR00049947</t>
  </si>
  <si>
    <t xml:space="preserve">JR00049948</t>
  </si>
  <si>
    <t xml:space="preserve">JR00049949</t>
  </si>
  <si>
    <t xml:space="preserve">JR00049950</t>
  </si>
  <si>
    <t xml:space="preserve">JR00049951</t>
  </si>
  <si>
    <t xml:space="preserve">JR00049952</t>
  </si>
  <si>
    <t xml:space="preserve">A0-AA-14-E-03</t>
  </si>
  <si>
    <t xml:space="preserve">JR00049953</t>
  </si>
  <si>
    <t xml:space="preserve">JR00049954</t>
  </si>
  <si>
    <t xml:space="preserve">JR00049955</t>
  </si>
  <si>
    <t xml:space="preserve">JR00049956</t>
  </si>
  <si>
    <t xml:space="preserve">A0-AA-13-E-01</t>
  </si>
  <si>
    <t xml:space="preserve">JR00049957</t>
  </si>
  <si>
    <t xml:space="preserve">JR00049958</t>
  </si>
  <si>
    <t xml:space="preserve">JR00049959</t>
  </si>
  <si>
    <t xml:space="preserve">JR00049960</t>
  </si>
  <si>
    <t xml:space="preserve">JR00041812</t>
  </si>
  <si>
    <t xml:space="preserve">SHRM00003981</t>
  </si>
  <si>
    <t xml:space="preserve">JR00048710</t>
  </si>
  <si>
    <t xml:space="preserve">MWIN01194</t>
  </si>
  <si>
    <t xml:space="preserve">JR00048712</t>
  </si>
  <si>
    <t xml:space="preserve">F-H-31-B-03</t>
  </si>
  <si>
    <t xml:space="preserve">JR00048713</t>
  </si>
  <si>
    <t xml:space="preserve">F-H-35-B-01</t>
  </si>
  <si>
    <t xml:space="preserve">JR00048714</t>
  </si>
  <si>
    <t xml:space="preserve">F-H-39-A-01</t>
  </si>
  <si>
    <t xml:space="preserve">JR00048715</t>
  </si>
  <si>
    <t xml:space="preserve">JR00048716</t>
  </si>
  <si>
    <t xml:space="preserve">JR00048717</t>
  </si>
  <si>
    <t xml:space="preserve">F-G-02-A-03</t>
  </si>
  <si>
    <t xml:space="preserve">JR00048718</t>
  </si>
  <si>
    <t xml:space="preserve">F-H-17-A-03</t>
  </si>
  <si>
    <t xml:space="preserve">JR00048719</t>
  </si>
  <si>
    <t xml:space="preserve">JR00048720</t>
  </si>
  <si>
    <t xml:space="preserve">F-H-31-A-01</t>
  </si>
  <si>
    <t xml:space="preserve">JR00048721</t>
  </si>
  <si>
    <t xml:space="preserve">F-G-40-B-01</t>
  </si>
  <si>
    <t xml:space="preserve">JR00048722</t>
  </si>
  <si>
    <t xml:space="preserve">JR00048723</t>
  </si>
  <si>
    <t xml:space="preserve">JR00048724</t>
  </si>
  <si>
    <t xml:space="preserve">F-H-45-C-01</t>
  </si>
  <si>
    <t xml:space="preserve">JR00048725</t>
  </si>
  <si>
    <t xml:space="preserve">F-G-24-B-01</t>
  </si>
  <si>
    <t xml:space="preserve">JR00048726</t>
  </si>
  <si>
    <t xml:space="preserve">F-H-35-A-03</t>
  </si>
  <si>
    <t xml:space="preserve">JR00048727</t>
  </si>
  <si>
    <t xml:space="preserve">F-H-37-C-02</t>
  </si>
  <si>
    <t xml:space="preserve">JR00048728</t>
  </si>
  <si>
    <t xml:space="preserve">F-H-12-B-03</t>
  </si>
  <si>
    <t xml:space="preserve">JR00048729</t>
  </si>
  <si>
    <t xml:space="preserve">F-G-34-B-01</t>
  </si>
  <si>
    <t xml:space="preserve">JR00048730</t>
  </si>
  <si>
    <t xml:space="preserve">F-G-13-A-01</t>
  </si>
  <si>
    <t xml:space="preserve">JR00048732</t>
  </si>
  <si>
    <t xml:space="preserve">F-G-26-B-01</t>
  </si>
  <si>
    <t xml:space="preserve">JR00048402</t>
  </si>
  <si>
    <t xml:space="preserve">WHRET00811</t>
  </si>
  <si>
    <t xml:space="preserve">JR00049286</t>
  </si>
  <si>
    <t xml:space="preserve">MWIN01108</t>
  </si>
  <si>
    <t xml:space="preserve">JR00049287</t>
  </si>
  <si>
    <t xml:space="preserve">C-C-05-C-01</t>
  </si>
  <si>
    <t xml:space="preserve">JR00049288</t>
  </si>
  <si>
    <t xml:space="preserve">C-C-06-C-03</t>
  </si>
  <si>
    <t xml:space="preserve">JR00049289</t>
  </si>
  <si>
    <t xml:space="preserve">JR00049290</t>
  </si>
  <si>
    <t xml:space="preserve">JR00049291</t>
  </si>
  <si>
    <t xml:space="preserve">JR00049292</t>
  </si>
  <si>
    <t xml:space="preserve">JR00049293</t>
  </si>
  <si>
    <t xml:space="preserve">JR00049294</t>
  </si>
  <si>
    <t xml:space="preserve">JR00049295</t>
  </si>
  <si>
    <t xml:space="preserve">JR00049296</t>
  </si>
  <si>
    <t xml:space="preserve">JR00049297</t>
  </si>
  <si>
    <t xml:space="preserve">JR00049298</t>
  </si>
  <si>
    <t xml:space="preserve">JR00049299</t>
  </si>
  <si>
    <t xml:space="preserve">JR00049300</t>
  </si>
  <si>
    <t xml:space="preserve">JR00049301</t>
  </si>
  <si>
    <t xml:space="preserve">JR00049302</t>
  </si>
  <si>
    <t xml:space="preserve">JR00049303</t>
  </si>
  <si>
    <t xml:space="preserve">JR00049304</t>
  </si>
  <si>
    <t xml:space="preserve">JR00049305</t>
  </si>
  <si>
    <t xml:space="preserve">JR00049306</t>
  </si>
  <si>
    <t xml:space="preserve">JR00049307</t>
  </si>
  <si>
    <t xml:space="preserve">JR00049308</t>
  </si>
  <si>
    <t xml:space="preserve">JR00049309</t>
  </si>
  <si>
    <t xml:space="preserve">JR00049310</t>
  </si>
  <si>
    <t xml:space="preserve">JR00049311</t>
  </si>
  <si>
    <t xml:space="preserve">C-B-27-B-01</t>
  </si>
  <si>
    <t xml:space="preserve">JR00049312</t>
  </si>
  <si>
    <t xml:space="preserve">C-B-31-A-03</t>
  </si>
  <si>
    <t xml:space="preserve">JR00049313</t>
  </si>
  <si>
    <t xml:space="preserve">JR00049314</t>
  </si>
  <si>
    <t xml:space="preserve">JR00048488</t>
  </si>
  <si>
    <t xml:space="preserve">MWIN01182_1</t>
  </si>
  <si>
    <t xml:space="preserve">JR00048489</t>
  </si>
  <si>
    <t xml:space="preserve">MAGGI DEMT-GLACE 6X750G EG N1 XA</t>
  </si>
  <si>
    <t xml:space="preserve">JR00048490</t>
  </si>
  <si>
    <t xml:space="preserve">JR00048491</t>
  </si>
  <si>
    <t xml:space="preserve">JR00048492</t>
  </si>
  <si>
    <t xml:space="preserve">JR00048493</t>
  </si>
  <si>
    <t xml:space="preserve">JR00048401</t>
  </si>
  <si>
    <t xml:space="preserve">WHRET00809</t>
  </si>
  <si>
    <t xml:space="preserve">JR00048201</t>
  </si>
  <si>
    <t xml:space="preserve">MWIN01103</t>
  </si>
  <si>
    <t xml:space="preserve">JR00048202</t>
  </si>
  <si>
    <t xml:space="preserve">JR00048203</t>
  </si>
  <si>
    <t xml:space="preserve">JR00048204</t>
  </si>
  <si>
    <t xml:space="preserve">JR00048205</t>
  </si>
  <si>
    <t xml:space="preserve">JR00048206</t>
  </si>
  <si>
    <t xml:space="preserve">JR00048207</t>
  </si>
  <si>
    <t xml:space="preserve">JR00048208</t>
  </si>
  <si>
    <t xml:space="preserve">JR00048209</t>
  </si>
  <si>
    <t xml:space="preserve">JR00048210</t>
  </si>
  <si>
    <t xml:space="preserve">JR00048212</t>
  </si>
  <si>
    <t xml:space="preserve">JR00048213</t>
  </si>
  <si>
    <t xml:space="preserve">JR00048214</t>
  </si>
  <si>
    <t xml:space="preserve">JR00048215</t>
  </si>
  <si>
    <t xml:space="preserve">JR00048216</t>
  </si>
  <si>
    <t xml:space="preserve">JR00048217</t>
  </si>
  <si>
    <t xml:space="preserve">JR00048218</t>
  </si>
  <si>
    <t xml:space="preserve">C-D-31-A-01</t>
  </si>
  <si>
    <t xml:space="preserve">JR00048219</t>
  </si>
  <si>
    <t xml:space="preserve">JR00048220</t>
  </si>
  <si>
    <t xml:space="preserve">C-D-41-A-03</t>
  </si>
  <si>
    <t xml:space="preserve">JR00048221</t>
  </si>
  <si>
    <t xml:space="preserve">JR00048222</t>
  </si>
  <si>
    <t xml:space="preserve">C-D-43-A-03</t>
  </si>
  <si>
    <t xml:space="preserve">JR00048223</t>
  </si>
  <si>
    <t xml:space="preserve">JR00048224</t>
  </si>
  <si>
    <t xml:space="preserve">JR00048225</t>
  </si>
  <si>
    <t xml:space="preserve">C-D-45-A-03</t>
  </si>
  <si>
    <t xml:space="preserve">JR00048226</t>
  </si>
  <si>
    <t xml:space="preserve">JR00048227</t>
  </si>
  <si>
    <t xml:space="preserve">JR00048228</t>
  </si>
  <si>
    <t xml:space="preserve">JR00048229</t>
  </si>
  <si>
    <t xml:space="preserve">C-D-31-A-03</t>
  </si>
  <si>
    <t xml:space="preserve">JR00048230</t>
  </si>
  <si>
    <t xml:space="preserve">JR00047461</t>
  </si>
  <si>
    <t xml:space="preserve">WHRET00825</t>
  </si>
  <si>
    <t xml:space="preserve">JR00048162</t>
  </si>
  <si>
    <t xml:space="preserve">MWIN01187</t>
  </si>
  <si>
    <t xml:space="preserve">A0-AB-17-C-01</t>
  </si>
  <si>
    <t xml:space="preserve">JR00048164</t>
  </si>
  <si>
    <t xml:space="preserve">A0-AB-17-B-01</t>
  </si>
  <si>
    <t xml:space="preserve">JR00048165</t>
  </si>
  <si>
    <t xml:space="preserve">A0-AB-17-B-03</t>
  </si>
  <si>
    <t xml:space="preserve">JR00048166</t>
  </si>
  <si>
    <t xml:space="preserve">A0-AB-17-A-01</t>
  </si>
  <si>
    <t xml:space="preserve">JR00048929</t>
  </si>
  <si>
    <t xml:space="preserve">Blendtec Clear Small Blade Soft Lid FourSide Jar</t>
  </si>
  <si>
    <t xml:space="preserve">MWIN01000</t>
  </si>
  <si>
    <t xml:space="preserve">JR00048930</t>
  </si>
  <si>
    <t xml:space="preserve">JR00048932</t>
  </si>
  <si>
    <t xml:space="preserve">JR00048933</t>
  </si>
  <si>
    <t xml:space="preserve">F-G-06-C-03</t>
  </si>
  <si>
    <t xml:space="preserve">JR00048934</t>
  </si>
  <si>
    <t xml:space="preserve">F-G-18-D-01</t>
  </si>
  <si>
    <t xml:space="preserve">JR00048935</t>
  </si>
  <si>
    <t xml:space="preserve">F-H-28-D-03</t>
  </si>
  <si>
    <t xml:space="preserve">JR00048936</t>
  </si>
  <si>
    <t xml:space="preserve">F-G-29-B-03</t>
  </si>
  <si>
    <t xml:space="preserve">JR00048937</t>
  </si>
  <si>
    <t xml:space="preserve">JR00048938</t>
  </si>
  <si>
    <t xml:space="preserve">F-H-20-D-03</t>
  </si>
  <si>
    <t xml:space="preserve">JR00048939</t>
  </si>
  <si>
    <t xml:space="preserve">F-G-38-D-01</t>
  </si>
  <si>
    <t xml:space="preserve">JR00048940</t>
  </si>
  <si>
    <t xml:space="preserve">F-G-34-D-01</t>
  </si>
  <si>
    <t xml:space="preserve">JR00048941</t>
  </si>
  <si>
    <t xml:space="preserve">F-H-02-D-03</t>
  </si>
  <si>
    <t xml:space="preserve">JR00048942</t>
  </si>
  <si>
    <t xml:space="preserve">F-G-10-C-03</t>
  </si>
  <si>
    <t xml:space="preserve">JR00048943</t>
  </si>
  <si>
    <t xml:space="preserve">JR00048944</t>
  </si>
  <si>
    <t xml:space="preserve">F-G-12-D-01</t>
  </si>
  <si>
    <t xml:space="preserve">JR00048945</t>
  </si>
  <si>
    <t xml:space="preserve">C-A-35-C-01</t>
  </si>
  <si>
    <t xml:space="preserve">JR00048946</t>
  </si>
  <si>
    <t xml:space="preserve">JR00048947</t>
  </si>
  <si>
    <t xml:space="preserve">F-H-28-D-01</t>
  </si>
  <si>
    <t xml:space="preserve">JR00048948</t>
  </si>
  <si>
    <t xml:space="preserve">JR00048949</t>
  </si>
  <si>
    <t xml:space="preserve">F-G-23-B-03</t>
  </si>
  <si>
    <t xml:space="preserve">JR00048950</t>
  </si>
  <si>
    <t xml:space="preserve">F-G-34-D-03</t>
  </si>
  <si>
    <t xml:space="preserve">JR00048951</t>
  </si>
  <si>
    <t xml:space="preserve">F-H-24-C-01</t>
  </si>
  <si>
    <t xml:space="preserve">JR00048952</t>
  </si>
  <si>
    <t xml:space="preserve">F-H-20-D-01</t>
  </si>
  <si>
    <t xml:space="preserve">JR00048953</t>
  </si>
  <si>
    <t xml:space="preserve">JR00048954</t>
  </si>
  <si>
    <t xml:space="preserve">F-G-08-D-01</t>
  </si>
  <si>
    <t xml:space="preserve">JR00048955</t>
  </si>
  <si>
    <t xml:space="preserve">F-G-30-C-03</t>
  </si>
  <si>
    <t xml:space="preserve">JR00048956</t>
  </si>
  <si>
    <t xml:space="preserve">F-G-26-D-03</t>
  </si>
  <si>
    <t xml:space="preserve">JR00048957</t>
  </si>
  <si>
    <t xml:space="preserve">F-G-30-D-01</t>
  </si>
  <si>
    <t xml:space="preserve">JR00048958</t>
  </si>
  <si>
    <t xml:space="preserve">JR00048959</t>
  </si>
  <si>
    <t xml:space="preserve">F-G-26-D-01</t>
  </si>
  <si>
    <t xml:space="preserve">JR00048960</t>
  </si>
  <si>
    <t xml:space="preserve">JF00204395</t>
  </si>
  <si>
    <t xml:space="preserve">MWIN01109</t>
  </si>
  <si>
    <t xml:space="preserve">C-B-13-A-01</t>
  </si>
  <si>
    <t xml:space="preserve">JR00049337</t>
  </si>
  <si>
    <t xml:space="preserve">JR00049641</t>
  </si>
  <si>
    <t xml:space="preserve">C-B-12-A-03</t>
  </si>
  <si>
    <t xml:space="preserve">JR00049642</t>
  </si>
  <si>
    <t xml:space="preserve">JR00049643</t>
  </si>
  <si>
    <t xml:space="preserve">JR00049644</t>
  </si>
  <si>
    <t xml:space="preserve">JR00049645</t>
  </si>
  <si>
    <t xml:space="preserve">C-A-30-C-01</t>
  </si>
  <si>
    <t xml:space="preserve">JR00049646</t>
  </si>
  <si>
    <t xml:space="preserve">JR00049647</t>
  </si>
  <si>
    <t xml:space="preserve">JR00049648</t>
  </si>
  <si>
    <t xml:space="preserve">JR00049649</t>
  </si>
  <si>
    <t xml:space="preserve">JR00049650</t>
  </si>
  <si>
    <t xml:space="preserve">JR00049651</t>
  </si>
  <si>
    <t xml:space="preserve">C-C-15-B-01</t>
  </si>
  <si>
    <t xml:space="preserve">JR00049652</t>
  </si>
  <si>
    <t xml:space="preserve">C-C-09-B-03</t>
  </si>
  <si>
    <t xml:space="preserve">JR00049653</t>
  </si>
  <si>
    <t xml:space="preserve">JR00049654</t>
  </si>
  <si>
    <t xml:space="preserve">JR00049655</t>
  </si>
  <si>
    <t xml:space="preserve">JR00049656</t>
  </si>
  <si>
    <t xml:space="preserve">JR00049657</t>
  </si>
  <si>
    <t xml:space="preserve">C-C-13-C-03</t>
  </si>
  <si>
    <t xml:space="preserve">JR00049658-5522053</t>
  </si>
  <si>
    <t xml:space="preserve">JR00049659</t>
  </si>
  <si>
    <t xml:space="preserve">C-C-09-C-01</t>
  </si>
  <si>
    <t xml:space="preserve">JR00049660</t>
  </si>
  <si>
    <t xml:space="preserve">C-C-03-C-03</t>
  </si>
  <si>
    <t xml:space="preserve">JR00049661</t>
  </si>
  <si>
    <t xml:space="preserve">JR00049662</t>
  </si>
  <si>
    <t xml:space="preserve">C-C-03-B-03</t>
  </si>
  <si>
    <t xml:space="preserve">JR00049663</t>
  </si>
  <si>
    <t xml:space="preserve">C-C-17-B-03</t>
  </si>
  <si>
    <t xml:space="preserve">JR00049664</t>
  </si>
  <si>
    <t xml:space="preserve">JR00049665</t>
  </si>
  <si>
    <t xml:space="preserve">C-B-16-B-01</t>
  </si>
  <si>
    <t xml:space="preserve">JR00049666</t>
  </si>
  <si>
    <t xml:space="preserve">JR00049667</t>
  </si>
  <si>
    <t xml:space="preserve">C-A-09-A-03</t>
  </si>
  <si>
    <t xml:space="preserve">JR00048737</t>
  </si>
  <si>
    <t xml:space="preserve">Huyfong Sriracha Chili Sauce 12X28oz</t>
  </si>
  <si>
    <t xml:space="preserve">DAMMAM00694</t>
  </si>
  <si>
    <t xml:space="preserve">F-H-37-A-01</t>
  </si>
  <si>
    <t xml:space="preserve">JR00048738</t>
  </si>
  <si>
    <t xml:space="preserve">Huyfong Sriracha Chili Sauce 3X8.5Lb</t>
  </si>
  <si>
    <t xml:space="preserve">F-H-09-C-01</t>
  </si>
  <si>
    <t xml:space="preserve">JR00048739</t>
  </si>
  <si>
    <t xml:space="preserve">F-H-10-B-03</t>
  </si>
  <si>
    <t xml:space="preserve">JR00048740</t>
  </si>
  <si>
    <t xml:space="preserve">C-B-41-B-03</t>
  </si>
  <si>
    <t xml:space="preserve">JR00053381</t>
  </si>
  <si>
    <t xml:space="preserve">JR00048461</t>
  </si>
  <si>
    <t xml:space="preserve">MWIN01182</t>
  </si>
  <si>
    <t xml:space="preserve">JR00048462</t>
  </si>
  <si>
    <t xml:space="preserve">JR00048463</t>
  </si>
  <si>
    <t xml:space="preserve">F-G-30-D-03</t>
  </si>
  <si>
    <t xml:space="preserve">JR00048464</t>
  </si>
  <si>
    <t xml:space="preserve">JR00048465</t>
  </si>
  <si>
    <t xml:space="preserve">JR00048466</t>
  </si>
  <si>
    <t xml:space="preserve">JR00048467</t>
  </si>
  <si>
    <t xml:space="preserve">C-B-06-C-01</t>
  </si>
  <si>
    <t xml:space="preserve">JR00048468</t>
  </si>
  <si>
    <t xml:space="preserve">JR00048469</t>
  </si>
  <si>
    <t xml:space="preserve">JR00048470</t>
  </si>
  <si>
    <t xml:space="preserve">C-B-04-C-01</t>
  </si>
  <si>
    <t xml:space="preserve">JR00048471</t>
  </si>
  <si>
    <t xml:space="preserve">JR00048472</t>
  </si>
  <si>
    <t xml:space="preserve">C-B-14-C-03</t>
  </si>
  <si>
    <t xml:space="preserve">JR00048473</t>
  </si>
  <si>
    <t xml:space="preserve">JR00048474</t>
  </si>
  <si>
    <t xml:space="preserve">JR00048475</t>
  </si>
  <si>
    <t xml:space="preserve">JR00048476</t>
  </si>
  <si>
    <t xml:space="preserve">JR00048477</t>
  </si>
  <si>
    <t xml:space="preserve">JR00048478</t>
  </si>
  <si>
    <t xml:space="preserve">C-B-46-B-03</t>
  </si>
  <si>
    <t xml:space="preserve">JR00048479</t>
  </si>
  <si>
    <t xml:space="preserve">JR00048480</t>
  </si>
  <si>
    <t xml:space="preserve">JR00048482</t>
  </si>
  <si>
    <t xml:space="preserve">JR00048483</t>
  </si>
  <si>
    <t xml:space="preserve">C-B-16-C-02</t>
  </si>
  <si>
    <t xml:space="preserve">JR00048484</t>
  </si>
  <si>
    <t xml:space="preserve">JR00048485</t>
  </si>
  <si>
    <t xml:space="preserve">JR00048486</t>
  </si>
  <si>
    <t xml:space="preserve">JR00048487</t>
  </si>
  <si>
    <t xml:space="preserve">JR00048181</t>
  </si>
  <si>
    <t xml:space="preserve">MWIN01182_2</t>
  </si>
  <si>
    <t xml:space="preserve">JR00048182</t>
  </si>
  <si>
    <t xml:space="preserve">JR00048183</t>
  </si>
  <si>
    <t xml:space="preserve">JR00048184</t>
  </si>
  <si>
    <t xml:space="preserve">C-B-39-D-01</t>
  </si>
  <si>
    <t xml:space="preserve">JR00048185</t>
  </si>
  <si>
    <t xml:space="preserve">JR00048186</t>
  </si>
  <si>
    <t xml:space="preserve">JR00048187</t>
  </si>
  <si>
    <t xml:space="preserve">JR00048188</t>
  </si>
  <si>
    <t xml:space="preserve">JR00048189</t>
  </si>
  <si>
    <t xml:space="preserve">JR00048190</t>
  </si>
  <si>
    <t xml:space="preserve">JR00048191</t>
  </si>
  <si>
    <t xml:space="preserve">JR00048192</t>
  </si>
  <si>
    <t xml:space="preserve">JR00048193</t>
  </si>
  <si>
    <t xml:space="preserve">JR00048194</t>
  </si>
  <si>
    <t xml:space="preserve">JR00048195</t>
  </si>
  <si>
    <t xml:space="preserve">JR00048196</t>
  </si>
  <si>
    <t xml:space="preserve">JR00048197</t>
  </si>
  <si>
    <t xml:space="preserve">JR00048198</t>
  </si>
  <si>
    <t xml:space="preserve">JR00048552</t>
  </si>
  <si>
    <t xml:space="preserve">F-H-41-D-03</t>
  </si>
  <si>
    <t xml:space="preserve">JR00048553</t>
  </si>
  <si>
    <t xml:space="preserve">JR00048554</t>
  </si>
  <si>
    <t xml:space="preserve">JR00048555</t>
  </si>
  <si>
    <t xml:space="preserve">C-A-10-B-03</t>
  </si>
  <si>
    <t xml:space="preserve">JR00048556</t>
  </si>
  <si>
    <t xml:space="preserve">JR00048557</t>
  </si>
  <si>
    <t xml:space="preserve">JR00048558</t>
  </si>
  <si>
    <t xml:space="preserve">JR00048559</t>
  </si>
  <si>
    <t xml:space="preserve">JR00048560</t>
  </si>
  <si>
    <t xml:space="preserve">JR00048706</t>
  </si>
  <si>
    <t xml:space="preserve">RIYADH01086</t>
  </si>
  <si>
    <t xml:space="preserve">Tbahadur</t>
  </si>
  <si>
    <t xml:space="preserve">JR00048707</t>
  </si>
  <si>
    <t xml:space="preserve">JR00048708</t>
  </si>
  <si>
    <t xml:space="preserve">JR00048161</t>
  </si>
  <si>
    <t xml:space="preserve">MWIN01193</t>
  </si>
  <si>
    <t xml:space="preserve">A0-AB-05-B-01</t>
  </si>
  <si>
    <t xml:space="preserve">JR00048421</t>
  </si>
  <si>
    <t xml:space="preserve">A0-AA-20-D-01</t>
  </si>
  <si>
    <t xml:space="preserve">JR00048422</t>
  </si>
  <si>
    <t xml:space="preserve">JR00048423</t>
  </si>
  <si>
    <t xml:space="preserve">JR00048424</t>
  </si>
  <si>
    <t xml:space="preserve">JR00048425</t>
  </si>
  <si>
    <t xml:space="preserve">JR00048426</t>
  </si>
  <si>
    <t xml:space="preserve">JR00048427</t>
  </si>
  <si>
    <t xml:space="preserve">JR00048428</t>
  </si>
  <si>
    <t xml:space="preserve">JR00048429</t>
  </si>
  <si>
    <t xml:space="preserve">JR00048430</t>
  </si>
  <si>
    <t xml:space="preserve">A0-AB-07-E-03</t>
  </si>
  <si>
    <t xml:space="preserve">JR00048431</t>
  </si>
  <si>
    <t xml:space="preserve">JR00048432</t>
  </si>
  <si>
    <t xml:space="preserve">JR00048433</t>
  </si>
  <si>
    <t xml:space="preserve">A0-AB-05-E-01</t>
  </si>
  <si>
    <t xml:space="preserve">JR00048434</t>
  </si>
  <si>
    <t xml:space="preserve">A0-AB-05-D-03</t>
  </si>
  <si>
    <t xml:space="preserve">JR00048435</t>
  </si>
  <si>
    <t xml:space="preserve">JR00048437</t>
  </si>
  <si>
    <t xml:space="preserve">JR00048438</t>
  </si>
  <si>
    <t xml:space="preserve">JR00048744</t>
  </si>
  <si>
    <t xml:space="preserve">MWIN01182_3</t>
  </si>
  <si>
    <t xml:space="preserve">C-B-43-B-03</t>
  </si>
  <si>
    <t xml:space="preserve">JR00048681</t>
  </si>
  <si>
    <t xml:space="preserve">WHRET00820</t>
  </si>
  <si>
    <t xml:space="preserve">JR00048748</t>
  </si>
  <si>
    <t xml:space="preserve">French Sweet BBQ Sauce 4X3.78 L</t>
  </si>
  <si>
    <t xml:space="preserve">MWIN01147</t>
  </si>
  <si>
    <t xml:space="preserve">JR00048749</t>
  </si>
  <si>
    <t xml:space="preserve">JR00048750</t>
  </si>
  <si>
    <t xml:space="preserve">JR00048734</t>
  </si>
  <si>
    <t xml:space="preserve">SHRM00004221</t>
  </si>
  <si>
    <t xml:space="preserve">JR00041811</t>
  </si>
  <si>
    <t xml:space="preserve">MWIN01121</t>
  </si>
  <si>
    <t xml:space="preserve">JR00049317</t>
  </si>
  <si>
    <t xml:space="preserve">MWIN01012</t>
  </si>
  <si>
    <t xml:space="preserve">F-G-42-B-03</t>
  </si>
  <si>
    <t xml:space="preserve">JR00049326</t>
  </si>
  <si>
    <t xml:space="preserve">F-G-20-B-01</t>
  </si>
  <si>
    <t xml:space="preserve">JR00049329</t>
  </si>
  <si>
    <t xml:space="preserve">JR00049340</t>
  </si>
  <si>
    <t xml:space="preserve">F-G-36-B-01</t>
  </si>
  <si>
    <t xml:space="preserve">JR00048709</t>
  </si>
  <si>
    <t xml:space="preserve">SHRM00004241</t>
  </si>
  <si>
    <t xml:space="preserve">JR00042501</t>
  </si>
  <si>
    <t xml:space="preserve">MWIN01115F</t>
  </si>
  <si>
    <t xml:space="preserve">JR00042502</t>
  </si>
  <si>
    <t xml:space="preserve">JR00042503</t>
  </si>
  <si>
    <t xml:space="preserve">A0-AB-07-A-03</t>
  </si>
  <si>
    <t xml:space="preserve">JR00042504</t>
  </si>
  <si>
    <t xml:space="preserve">JR00042505</t>
  </si>
  <si>
    <t xml:space="preserve">JR00042506</t>
  </si>
  <si>
    <t xml:space="preserve">JR00042507</t>
  </si>
  <si>
    <t xml:space="preserve">JR00042508</t>
  </si>
  <si>
    <t xml:space="preserve">A0-AA-11-B-02</t>
  </si>
  <si>
    <t xml:space="preserve">JR00042509</t>
  </si>
  <si>
    <t xml:space="preserve">JR00042512</t>
  </si>
  <si>
    <t xml:space="preserve">JR00042513</t>
  </si>
  <si>
    <t xml:space="preserve">JR00042514</t>
  </si>
  <si>
    <t xml:space="preserve">JR00042515</t>
  </si>
  <si>
    <t xml:space="preserve">JR00041463</t>
  </si>
  <si>
    <t xml:space="preserve">5060175133342P</t>
  </si>
  <si>
    <t xml:space="preserve">MWIN01144</t>
  </si>
  <si>
    <t xml:space="preserve">JR00041464</t>
  </si>
  <si>
    <t xml:space="preserve">JR00041468</t>
  </si>
  <si>
    <t xml:space="preserve">5060175133366P</t>
  </si>
  <si>
    <t xml:space="preserve">JR00041469</t>
  </si>
  <si>
    <t xml:space="preserve">C-C-09-A-02</t>
  </si>
  <si>
    <t xml:space="preserve">JR00043741</t>
  </si>
  <si>
    <t xml:space="preserve">MWIN01139F</t>
  </si>
  <si>
    <t xml:space="preserve">JR00043742</t>
  </si>
  <si>
    <t xml:space="preserve">JR00043743</t>
  </si>
  <si>
    <t xml:space="preserve">A0-AA-05-E-02</t>
  </si>
  <si>
    <t xml:space="preserve">JR00043744</t>
  </si>
  <si>
    <t xml:space="preserve">JR00043745</t>
  </si>
  <si>
    <t xml:space="preserve">JR00043746</t>
  </si>
  <si>
    <t xml:space="preserve">JR00043747</t>
  </si>
  <si>
    <t xml:space="preserve">JR00043748</t>
  </si>
  <si>
    <t xml:space="preserve">JR00043749</t>
  </si>
  <si>
    <t xml:space="preserve">JR00043750</t>
  </si>
  <si>
    <t xml:space="preserve">JR00043751</t>
  </si>
  <si>
    <t xml:space="preserve">JR00043752</t>
  </si>
  <si>
    <t xml:space="preserve">A0-AA-11-D-02</t>
  </si>
  <si>
    <t xml:space="preserve">JR00043753</t>
  </si>
  <si>
    <t xml:space="preserve">A0-AA-12-C-03</t>
  </si>
  <si>
    <t xml:space="preserve">JR00043754</t>
  </si>
  <si>
    <t xml:space="preserve">JR00043755</t>
  </si>
  <si>
    <t xml:space="preserve">JR00043756</t>
  </si>
  <si>
    <t xml:space="preserve">JR00043757</t>
  </si>
  <si>
    <t xml:space="preserve">JR00043758</t>
  </si>
  <si>
    <t xml:space="preserve">JR00043759</t>
  </si>
  <si>
    <t xml:space="preserve">JR00043760</t>
  </si>
  <si>
    <t xml:space="preserve">JR00042041</t>
  </si>
  <si>
    <t xml:space="preserve">SHRM00004001</t>
  </si>
  <si>
    <t xml:space="preserve">JR00042042</t>
  </si>
  <si>
    <t xml:space="preserve">JR00042043</t>
  </si>
  <si>
    <t xml:space="preserve">JR00041465</t>
  </si>
  <si>
    <t xml:space="preserve">SHRM00004062</t>
  </si>
  <si>
    <t xml:space="preserve">JR00041857</t>
  </si>
  <si>
    <t xml:space="preserve">MWIN01077</t>
  </si>
  <si>
    <t xml:space="preserve">JR00041859</t>
  </si>
  <si>
    <t xml:space="preserve">JR00041860</t>
  </si>
  <si>
    <t xml:space="preserve">JR00041861</t>
  </si>
  <si>
    <t xml:space="preserve">JR00041862</t>
  </si>
  <si>
    <t xml:space="preserve">JR00041863</t>
  </si>
  <si>
    <t xml:space="preserve">JR00041864</t>
  </si>
  <si>
    <t xml:space="preserve">JR00041865</t>
  </si>
  <si>
    <t xml:space="preserve">JR00041866</t>
  </si>
  <si>
    <t xml:space="preserve">JR00041867</t>
  </si>
  <si>
    <t xml:space="preserve">JR00041868</t>
  </si>
  <si>
    <t xml:space="preserve">JR00041869</t>
  </si>
  <si>
    <t xml:space="preserve">JR00041870</t>
  </si>
  <si>
    <t xml:space="preserve">JR00041871</t>
  </si>
  <si>
    <t xml:space="preserve">C-B-14-B-03</t>
  </si>
  <si>
    <t xml:space="preserve">JR00041872</t>
  </si>
  <si>
    <t xml:space="preserve">JR00041873</t>
  </si>
  <si>
    <t xml:space="preserve">F-G-09-A-03</t>
  </si>
  <si>
    <t xml:space="preserve">JR00041874</t>
  </si>
  <si>
    <t xml:space="preserve">JR00041875</t>
  </si>
  <si>
    <t xml:space="preserve">JR00041876</t>
  </si>
  <si>
    <t xml:space="preserve">JR00041877</t>
  </si>
  <si>
    <t xml:space="preserve">F-H-42-B-01</t>
  </si>
  <si>
    <t xml:space="preserve">JR00041880</t>
  </si>
  <si>
    <t xml:space="preserve">JR00041497</t>
  </si>
  <si>
    <t xml:space="preserve">MWIN01157</t>
  </si>
  <si>
    <t xml:space="preserve">JR00041498</t>
  </si>
  <si>
    <t xml:space="preserve">JR00041499</t>
  </si>
  <si>
    <t xml:space="preserve">JR00041500</t>
  </si>
  <si>
    <t xml:space="preserve">JR00041501</t>
  </si>
  <si>
    <t xml:space="preserve">JR00041502</t>
  </si>
  <si>
    <t xml:space="preserve">C-A-39-D-02</t>
  </si>
  <si>
    <t xml:space="preserve">JR00041503</t>
  </si>
  <si>
    <t xml:space="preserve">JR00041504</t>
  </si>
  <si>
    <t xml:space="preserve">JR00041505</t>
  </si>
  <si>
    <t xml:space="preserve">C-B-25-B-03</t>
  </si>
  <si>
    <t xml:space="preserve">JR00041506</t>
  </si>
  <si>
    <t xml:space="preserve">JR00041507</t>
  </si>
  <si>
    <t xml:space="preserve">JR00041508</t>
  </si>
  <si>
    <t xml:space="preserve">JR00041509</t>
  </si>
  <si>
    <t xml:space="preserve">JR00041510</t>
  </si>
  <si>
    <t xml:space="preserve">JR00041511</t>
  </si>
  <si>
    <t xml:space="preserve">JR00041512</t>
  </si>
  <si>
    <t xml:space="preserve">C-A-27-D-02</t>
  </si>
  <si>
    <t xml:space="preserve">JR00041513</t>
  </si>
  <si>
    <t xml:space="preserve">JR00041515</t>
  </si>
  <si>
    <t xml:space="preserve">C-B-24-C-03</t>
  </si>
  <si>
    <t xml:space="preserve">JR00041516</t>
  </si>
  <si>
    <t xml:space="preserve">C-B-26-C-01</t>
  </si>
  <si>
    <t xml:space="preserve">JR00041517</t>
  </si>
  <si>
    <t xml:space="preserve">JR00041852</t>
  </si>
  <si>
    <t xml:space="preserve">JR00041853</t>
  </si>
  <si>
    <t xml:space="preserve">JR00041854</t>
  </si>
  <si>
    <t xml:space="preserve">JR00041855</t>
  </si>
  <si>
    <t xml:space="preserve">JR00041856</t>
  </si>
  <si>
    <t xml:space="preserve">JR00043560</t>
  </si>
  <si>
    <t xml:space="preserve">JR00043561</t>
  </si>
  <si>
    <t xml:space="preserve">JR00043563</t>
  </si>
  <si>
    <t xml:space="preserve">JR00043564</t>
  </si>
  <si>
    <t xml:space="preserve">JR00043565</t>
  </si>
  <si>
    <t xml:space="preserve">C-B-17-D-03</t>
  </si>
  <si>
    <t xml:space="preserve">JR00043566</t>
  </si>
  <si>
    <t xml:space="preserve">JR00043567</t>
  </si>
  <si>
    <t xml:space="preserve">JR00043568</t>
  </si>
  <si>
    <t xml:space="preserve">JR00043569</t>
  </si>
  <si>
    <t xml:space="preserve">JR00043570</t>
  </si>
  <si>
    <t xml:space="preserve">JR00043571</t>
  </si>
  <si>
    <t xml:space="preserve">JR00043572</t>
  </si>
  <si>
    <t xml:space="preserve">JR00043573</t>
  </si>
  <si>
    <t xml:space="preserve">C-B-18-C-03</t>
  </si>
  <si>
    <t xml:space="preserve">JR00043574</t>
  </si>
  <si>
    <t xml:space="preserve">JR00043575</t>
  </si>
  <si>
    <t xml:space="preserve">C-B-14-C-01</t>
  </si>
  <si>
    <t xml:space="preserve">JR00043576</t>
  </si>
  <si>
    <t xml:space="preserve">JR00043577-5306665</t>
  </si>
  <si>
    <t xml:space="preserve">JR00043578</t>
  </si>
  <si>
    <t xml:space="preserve">C-A-43-C-01</t>
  </si>
  <si>
    <t xml:space="preserve">JR00043579</t>
  </si>
  <si>
    <t xml:space="preserve">JR00043580</t>
  </si>
  <si>
    <t xml:space="preserve">JR00043581</t>
  </si>
  <si>
    <t xml:space="preserve">JR00043582</t>
  </si>
  <si>
    <t xml:space="preserve">JR00043583</t>
  </si>
  <si>
    <t xml:space="preserve">JR00043584</t>
  </si>
  <si>
    <t xml:space="preserve">JR00043585</t>
  </si>
  <si>
    <t xml:space="preserve">JR00043586</t>
  </si>
  <si>
    <t xml:space="preserve">JR00043587</t>
  </si>
  <si>
    <t xml:space="preserve">JR00043588</t>
  </si>
  <si>
    <t xml:space="preserve">JR00043818</t>
  </si>
  <si>
    <t xml:space="preserve">JR00048512</t>
  </si>
  <si>
    <t xml:space="preserve">JF00185183</t>
  </si>
  <si>
    <t xml:space="preserve">RIYINT00930</t>
  </si>
  <si>
    <t xml:space="preserve">JR00041466</t>
  </si>
  <si>
    <t xml:space="preserve">SHRM00004061</t>
  </si>
  <si>
    <t xml:space="preserve">JR00041467</t>
  </si>
  <si>
    <t xml:space="preserve">C-A-27-A-03</t>
  </si>
  <si>
    <t xml:space="preserve">JR00042543</t>
  </si>
  <si>
    <t xml:space="preserve">WHRET00752</t>
  </si>
  <si>
    <t xml:space="preserve">JR00044009</t>
  </si>
  <si>
    <t xml:space="preserve">MWIN01159</t>
  </si>
  <si>
    <t xml:space="preserve">JR00044010</t>
  </si>
  <si>
    <t xml:space="preserve">JR00044643</t>
  </si>
  <si>
    <t xml:space="preserve">JR00044644</t>
  </si>
  <si>
    <t xml:space="preserve">A0-AA-15-B-02</t>
  </si>
  <si>
    <t xml:space="preserve">JR00044645</t>
  </si>
  <si>
    <t xml:space="preserve">JR00044646</t>
  </si>
  <si>
    <t xml:space="preserve">JR00044647</t>
  </si>
  <si>
    <t xml:space="preserve">A0-AA-13-D-02</t>
  </si>
  <si>
    <t xml:space="preserve">JR00044648</t>
  </si>
  <si>
    <t xml:space="preserve">A0-AA-12-B-03</t>
  </si>
  <si>
    <t xml:space="preserve">JR00044649</t>
  </si>
  <si>
    <t xml:space="preserve">JR00044650</t>
  </si>
  <si>
    <t xml:space="preserve">JR00041827</t>
  </si>
  <si>
    <t xml:space="preserve">SHRM00004042</t>
  </si>
  <si>
    <t xml:space="preserve">JR00041828</t>
  </si>
  <si>
    <t xml:space="preserve">C-B-15-E-01</t>
  </si>
  <si>
    <t xml:space="preserve">JR00041829</t>
  </si>
  <si>
    <t xml:space="preserve">C-B-01-E-03</t>
  </si>
  <si>
    <t xml:space="preserve">JR00043099</t>
  </si>
  <si>
    <t xml:space="preserve">MWIN00988</t>
  </si>
  <si>
    <t xml:space="preserve">A0-AA-16-B-01</t>
  </si>
  <si>
    <t xml:space="preserve">JR00043282</t>
  </si>
  <si>
    <t xml:space="preserve">JR00043292</t>
  </si>
  <si>
    <t xml:space="preserve">JR00043294</t>
  </si>
  <si>
    <t xml:space="preserve">JR00043301</t>
  </si>
  <si>
    <t xml:space="preserve">JR00043304</t>
  </si>
  <si>
    <t xml:space="preserve">JR00043314</t>
  </si>
  <si>
    <t xml:space="preserve">JR00053398</t>
  </si>
  <si>
    <t xml:space="preserve">RIYADH00957</t>
  </si>
  <si>
    <t xml:space="preserve">JR00043819</t>
  </si>
  <si>
    <t xml:space="preserve">RIYADH00976</t>
  </si>
  <si>
    <t xml:space="preserve">JR00043820</t>
  </si>
  <si>
    <t xml:space="preserve">JR00043821</t>
  </si>
  <si>
    <t xml:space="preserve">JR00043822</t>
  </si>
  <si>
    <t xml:space="preserve">JR00043823</t>
  </si>
  <si>
    <t xml:space="preserve">JR00043824</t>
  </si>
  <si>
    <t xml:space="preserve">JR00043825</t>
  </si>
  <si>
    <t xml:space="preserve">F-G-14-A-02</t>
  </si>
  <si>
    <t xml:space="preserve">JR00056871</t>
  </si>
  <si>
    <t xml:space="preserve">JR00044651</t>
  </si>
  <si>
    <t xml:space="preserve">MWIN01087</t>
  </si>
  <si>
    <t xml:space="preserve">JR00044652</t>
  </si>
  <si>
    <t xml:space="preserve">JR00044656</t>
  </si>
  <si>
    <t xml:space="preserve">FSN1102</t>
  </si>
  <si>
    <t xml:space="preserve">Frozen Smoked Salmon Fillet Norway</t>
  </si>
  <si>
    <t xml:space="preserve">A-R-01-A-01</t>
  </si>
  <si>
    <t xml:space="preserve">JR00044664</t>
  </si>
  <si>
    <t xml:space="preserve">JR00044672</t>
  </si>
  <si>
    <t xml:space="preserve">JF00185332</t>
  </si>
  <si>
    <t xml:space="preserve">Sweetbird Mojito Mint Syrup 1 Litre</t>
  </si>
  <si>
    <t xml:space="preserve">MWIN00987_1</t>
  </si>
  <si>
    <t xml:space="preserve">JR00041444</t>
  </si>
  <si>
    <t xml:space="preserve">SHRM00003961</t>
  </si>
  <si>
    <t xml:space="preserve">JR00042046</t>
  </si>
  <si>
    <t xml:space="preserve">MWIN01116_3</t>
  </si>
  <si>
    <t xml:space="preserve">JR00042047</t>
  </si>
  <si>
    <t xml:space="preserve">JR00042048</t>
  </si>
  <si>
    <t xml:space="preserve">JR00042049</t>
  </si>
  <si>
    <t xml:space="preserve">JR00042050</t>
  </si>
  <si>
    <t xml:space="preserve">C-C-02-D-01</t>
  </si>
  <si>
    <t xml:space="preserve">JR00042051</t>
  </si>
  <si>
    <t xml:space="preserve">JR00042052</t>
  </si>
  <si>
    <t xml:space="preserve">C-C-29-C-01</t>
  </si>
  <si>
    <t xml:space="preserve">JR00042053</t>
  </si>
  <si>
    <t xml:space="preserve">JR00042054</t>
  </si>
  <si>
    <t xml:space="preserve">JR00042055</t>
  </si>
  <si>
    <t xml:space="preserve">JR00042056</t>
  </si>
  <si>
    <t xml:space="preserve">C-C-46-C-01</t>
  </si>
  <si>
    <t xml:space="preserve">JR00042801</t>
  </si>
  <si>
    <t xml:space="preserve">MWIN00987</t>
  </si>
  <si>
    <t xml:space="preserve">JR00042802</t>
  </si>
  <si>
    <t xml:space="preserve">JR00042803</t>
  </si>
  <si>
    <t xml:space="preserve">JR00042804</t>
  </si>
  <si>
    <t xml:space="preserve">JR00042806</t>
  </si>
  <si>
    <t xml:space="preserve">JR00042808</t>
  </si>
  <si>
    <t xml:space="preserve">JR00042809</t>
  </si>
  <si>
    <t xml:space="preserve">JR00042810</t>
  </si>
  <si>
    <t xml:space="preserve">JR00042811</t>
  </si>
  <si>
    <t xml:space="preserve">JR00042812</t>
  </si>
  <si>
    <t xml:space="preserve">F-H-01-C-02</t>
  </si>
  <si>
    <t xml:space="preserve">JR00042814</t>
  </si>
  <si>
    <t xml:space="preserve">JR00042815</t>
  </si>
  <si>
    <t xml:space="preserve">F-H-01-D-01</t>
  </si>
  <si>
    <t xml:space="preserve">JR00042816</t>
  </si>
  <si>
    <t xml:space="preserve">JR00056820</t>
  </si>
  <si>
    <t xml:space="preserve">JR00041831</t>
  </si>
  <si>
    <t xml:space="preserve">SHRM00004041</t>
  </si>
  <si>
    <t xml:space="preserve">JR00042561</t>
  </si>
  <si>
    <t xml:space="preserve">RIYINT00912</t>
  </si>
  <si>
    <t xml:space="preserve">JR00042562</t>
  </si>
  <si>
    <t xml:space="preserve">JR00042563</t>
  </si>
  <si>
    <t xml:space="preserve">JR00043041</t>
  </si>
  <si>
    <t xml:space="preserve">DAMINT00607</t>
  </si>
  <si>
    <t xml:space="preserve">JR00043042</t>
  </si>
  <si>
    <t xml:space="preserve">JR00043043</t>
  </si>
  <si>
    <t xml:space="preserve">JR00043046</t>
  </si>
  <si>
    <t xml:space="preserve">JP00065077</t>
  </si>
  <si>
    <t xml:space="preserve">WRITEON03062025</t>
  </si>
  <si>
    <t xml:space="preserve">JR00044421</t>
  </si>
  <si>
    <t xml:space="preserve">MWIN01161</t>
  </si>
  <si>
    <t xml:space="preserve">JR00044422</t>
  </si>
  <si>
    <t xml:space="preserve">JR00044423</t>
  </si>
  <si>
    <t xml:space="preserve">JR00044424</t>
  </si>
  <si>
    <t xml:space="preserve">JR00044425</t>
  </si>
  <si>
    <t xml:space="preserve">JR00044426</t>
  </si>
  <si>
    <t xml:space="preserve">JR00044427</t>
  </si>
  <si>
    <t xml:space="preserve">A0-AA-10-D-02</t>
  </si>
  <si>
    <t xml:space="preserve">JR00044428</t>
  </si>
  <si>
    <t xml:space="preserve">JR00044429</t>
  </si>
  <si>
    <t xml:space="preserve">JR00044430</t>
  </si>
  <si>
    <t xml:space="preserve">JR00044431</t>
  </si>
  <si>
    <t xml:space="preserve">A0-AA-17-E-01</t>
  </si>
  <si>
    <t xml:space="preserve">JR00044432</t>
  </si>
  <si>
    <t xml:space="preserve">JR00044433</t>
  </si>
  <si>
    <t xml:space="preserve">JR00044434</t>
  </si>
  <si>
    <t xml:space="preserve">JR00044435</t>
  </si>
  <si>
    <t xml:space="preserve">JR00044436</t>
  </si>
  <si>
    <t xml:space="preserve">A0-AA-20-E-01</t>
  </si>
  <si>
    <t xml:space="preserve">JR00044437</t>
  </si>
  <si>
    <t xml:space="preserve">A0-AA-18-D-02</t>
  </si>
  <si>
    <t xml:space="preserve">JR00044438</t>
  </si>
  <si>
    <t xml:space="preserve">JR00044439</t>
  </si>
  <si>
    <t xml:space="preserve">JR00044440</t>
  </si>
  <si>
    <t xml:space="preserve">JR00044441</t>
  </si>
  <si>
    <t xml:space="preserve">JR00042606</t>
  </si>
  <si>
    <t xml:space="preserve">MWIN01139</t>
  </si>
  <si>
    <t xml:space="preserve">JR00042607</t>
  </si>
  <si>
    <t xml:space="preserve">JR00042608</t>
  </si>
  <si>
    <t xml:space="preserve">JR00042609</t>
  </si>
  <si>
    <t xml:space="preserve">JR00042610</t>
  </si>
  <si>
    <t xml:space="preserve">JR00042611</t>
  </si>
  <si>
    <t xml:space="preserve">JR00042612</t>
  </si>
  <si>
    <t xml:space="preserve">JR00042613</t>
  </si>
  <si>
    <t xml:space="preserve">JR00042614</t>
  </si>
  <si>
    <t xml:space="preserve">JR00042615</t>
  </si>
  <si>
    <t xml:space="preserve">JR00042616</t>
  </si>
  <si>
    <t xml:space="preserve">JR00042617</t>
  </si>
  <si>
    <t xml:space="preserve">JR00042618</t>
  </si>
  <si>
    <t xml:space="preserve">JR00042619</t>
  </si>
  <si>
    <t xml:space="preserve">A0-AA-07-C-02</t>
  </si>
  <si>
    <t xml:space="preserve">JR00042620</t>
  </si>
  <si>
    <t xml:space="preserve">JR00042621</t>
  </si>
  <si>
    <t xml:space="preserve">JR00042622</t>
  </si>
  <si>
    <t xml:space="preserve">JR00042623</t>
  </si>
  <si>
    <t xml:space="preserve">JR00042624</t>
  </si>
  <si>
    <t xml:space="preserve">JR00042625</t>
  </si>
  <si>
    <t xml:space="preserve">JR00042626</t>
  </si>
  <si>
    <t xml:space="preserve">JR00043990</t>
  </si>
  <si>
    <t xml:space="preserve">MWIN01031</t>
  </si>
  <si>
    <t xml:space="preserve">JR00044008</t>
  </si>
  <si>
    <t xml:space="preserve">A0-AB-04-E-03</t>
  </si>
  <si>
    <t xml:space="preserve">JR00042521</t>
  </si>
  <si>
    <t xml:space="preserve">MWIN01119</t>
  </si>
  <si>
    <t xml:space="preserve">JR00042522</t>
  </si>
  <si>
    <t xml:space="preserve">A0-AB-05-A-03</t>
  </si>
  <si>
    <t xml:space="preserve">JR00042523</t>
  </si>
  <si>
    <t xml:space="preserve">A0-AA-03-D-02</t>
  </si>
  <si>
    <t xml:space="preserve">JR00042524</t>
  </si>
  <si>
    <t xml:space="preserve">JR00042525</t>
  </si>
  <si>
    <t xml:space="preserve">JR00042526</t>
  </si>
  <si>
    <t xml:space="preserve">JR00042527</t>
  </si>
  <si>
    <t xml:space="preserve">JR00042528</t>
  </si>
  <si>
    <t xml:space="preserve">JR00043577</t>
  </si>
  <si>
    <t xml:space="preserve">MWIN01157_1</t>
  </si>
  <si>
    <t xml:space="preserve">JR00043957</t>
  </si>
  <si>
    <t xml:space="preserve">SHRM00004121</t>
  </si>
  <si>
    <t xml:space="preserve">JR00044681</t>
  </si>
  <si>
    <t xml:space="preserve">RIYINT00987</t>
  </si>
  <si>
    <t xml:space="preserve">A0-AA-16-D-02</t>
  </si>
  <si>
    <t xml:space="preserve">JR00044682</t>
  </si>
  <si>
    <t xml:space="preserve">JR00044683</t>
  </si>
  <si>
    <t xml:space="preserve">A0-AA-20-B-02</t>
  </si>
  <si>
    <t xml:space="preserve">JR00044684</t>
  </si>
  <si>
    <t xml:space="preserve">JR00042593</t>
  </si>
  <si>
    <t xml:space="preserve">MWIN01140</t>
  </si>
  <si>
    <t xml:space="preserve">JR00042594</t>
  </si>
  <si>
    <t xml:space="preserve">JR00042595</t>
  </si>
  <si>
    <t xml:space="preserve">JR00042596</t>
  </si>
  <si>
    <t xml:space="preserve">JR00042597</t>
  </si>
  <si>
    <t xml:space="preserve">JR00042598</t>
  </si>
  <si>
    <t xml:space="preserve">JR00042599</t>
  </si>
  <si>
    <t xml:space="preserve">JR00042600</t>
  </si>
  <si>
    <t xml:space="preserve">JR00042601</t>
  </si>
  <si>
    <t xml:space="preserve">JR00042602</t>
  </si>
  <si>
    <t xml:space="preserve">JR00042603</t>
  </si>
  <si>
    <t xml:space="preserve">JR00042627</t>
  </si>
  <si>
    <t xml:space="preserve">JR00042628</t>
  </si>
  <si>
    <t xml:space="preserve">JR00042629</t>
  </si>
  <si>
    <t xml:space="preserve">JR00042630</t>
  </si>
  <si>
    <t xml:space="preserve">JR00042631</t>
  </si>
  <si>
    <t xml:space="preserve">JR00042632</t>
  </si>
  <si>
    <t xml:space="preserve">JR00042633</t>
  </si>
  <si>
    <t xml:space="preserve">JR00042634</t>
  </si>
  <si>
    <t xml:space="preserve">JR00042635</t>
  </si>
  <si>
    <t xml:space="preserve">JR00042636</t>
  </si>
  <si>
    <t xml:space="preserve">JR00041445</t>
  </si>
  <si>
    <t xml:space="preserve">MWIN01124</t>
  </si>
  <si>
    <t xml:space="preserve">JR00041446</t>
  </si>
  <si>
    <t xml:space="preserve">C-A-10-A-03</t>
  </si>
  <si>
    <t xml:space="preserve">JR00041447</t>
  </si>
  <si>
    <t xml:space="preserve">JR00041448</t>
  </si>
  <si>
    <t xml:space="preserve">JR00041449</t>
  </si>
  <si>
    <t xml:space="preserve">JR00041450</t>
  </si>
  <si>
    <t xml:space="preserve">JR00041833</t>
  </si>
  <si>
    <t xml:space="preserve">MWIN00852</t>
  </si>
  <si>
    <t xml:space="preserve">JR00041834-5244323</t>
  </si>
  <si>
    <t xml:space="preserve">JR00041835-5244328</t>
  </si>
  <si>
    <t xml:space="preserve">JR00041836-5244330</t>
  </si>
  <si>
    <t xml:space="preserve">JR00041837-5244332</t>
  </si>
  <si>
    <t xml:space="preserve">JR00041838</t>
  </si>
  <si>
    <t xml:space="preserve">JR00041839-5244336</t>
  </si>
  <si>
    <t xml:space="preserve">JR00041840-5244337</t>
  </si>
  <si>
    <t xml:space="preserve">JR00041841-5244339</t>
  </si>
  <si>
    <t xml:space="preserve">JR00041842-5244340</t>
  </si>
  <si>
    <t xml:space="preserve">JR00041843-5244342</t>
  </si>
  <si>
    <t xml:space="preserve">JR00041844-5244344</t>
  </si>
  <si>
    <t xml:space="preserve">JR00041845-5244345</t>
  </si>
  <si>
    <t xml:space="preserve">JR00041846-5244346</t>
  </si>
  <si>
    <t xml:space="preserve">JR00041847-5244348</t>
  </si>
  <si>
    <t xml:space="preserve">JR00041848-5244350</t>
  </si>
  <si>
    <t xml:space="preserve">JR00041849-5244356</t>
  </si>
  <si>
    <t xml:space="preserve">JR00041850-5244360</t>
  </si>
  <si>
    <t xml:space="preserve">JR00041851</t>
  </si>
  <si>
    <t xml:space="preserve">JR00041470</t>
  </si>
  <si>
    <t xml:space="preserve">MWIN01096</t>
  </si>
  <si>
    <t xml:space="preserve">JR00041471</t>
  </si>
  <si>
    <t xml:space="preserve">JR00041472</t>
  </si>
  <si>
    <t xml:space="preserve">JR00041473</t>
  </si>
  <si>
    <t xml:space="preserve">JR00041474</t>
  </si>
  <si>
    <t xml:space="preserve">JR00041475</t>
  </si>
  <si>
    <t xml:space="preserve">JR00041476</t>
  </si>
  <si>
    <t xml:space="preserve">C-B-33-A-02</t>
  </si>
  <si>
    <t xml:space="preserve">JR00041477</t>
  </si>
  <si>
    <t xml:space="preserve">JR00041478</t>
  </si>
  <si>
    <t xml:space="preserve">JR00041479</t>
  </si>
  <si>
    <t xml:space="preserve">JR00041480</t>
  </si>
  <si>
    <t xml:space="preserve">JR00041481</t>
  </si>
  <si>
    <t xml:space="preserve">JR00041482</t>
  </si>
  <si>
    <t xml:space="preserve">JR00041483</t>
  </si>
  <si>
    <t xml:space="preserve">JR00041484</t>
  </si>
  <si>
    <t xml:space="preserve">F-G-04-C-01</t>
  </si>
  <si>
    <t xml:space="preserve">JR00041485</t>
  </si>
  <si>
    <t xml:space="preserve">JR00041486</t>
  </si>
  <si>
    <t xml:space="preserve">JR00041487</t>
  </si>
  <si>
    <t xml:space="preserve">JR00041488</t>
  </si>
  <si>
    <t xml:space="preserve">C-B-36-A-03</t>
  </si>
  <si>
    <t xml:space="preserve">JR00041489</t>
  </si>
  <si>
    <t xml:space="preserve">JR00041490</t>
  </si>
  <si>
    <t xml:space="preserve">JR00041832</t>
  </si>
  <si>
    <t xml:space="preserve">SHRM00004101</t>
  </si>
  <si>
    <t xml:space="preserve">JR00042045</t>
  </si>
  <si>
    <t xml:space="preserve">SHRM00004021</t>
  </si>
  <si>
    <t xml:space="preserve">JR00042637</t>
  </si>
  <si>
    <t xml:space="preserve">MWIN01137</t>
  </si>
  <si>
    <t xml:space="preserve">JR00042638</t>
  </si>
  <si>
    <t xml:space="preserve">JR00042639</t>
  </si>
  <si>
    <t xml:space="preserve">JR00042640</t>
  </si>
  <si>
    <t xml:space="preserve">JR00042641</t>
  </si>
  <si>
    <t xml:space="preserve">JR00042642</t>
  </si>
  <si>
    <t xml:space="preserve">JR00042643</t>
  </si>
  <si>
    <t xml:space="preserve">JR00042644</t>
  </si>
  <si>
    <t xml:space="preserve">JR00042645</t>
  </si>
  <si>
    <t xml:space="preserve">JR00041491</t>
  </si>
  <si>
    <t xml:space="preserve">SHRM00004081</t>
  </si>
  <si>
    <t xml:space="preserve">JR00044201</t>
  </si>
  <si>
    <t xml:space="preserve">MWIN01162</t>
  </si>
  <si>
    <t xml:space="preserve">JR00044202</t>
  </si>
  <si>
    <t xml:space="preserve">JR00044203</t>
  </si>
  <si>
    <t xml:space="preserve">JR00044204</t>
  </si>
  <si>
    <t xml:space="preserve">A0-AA-05-D-02</t>
  </si>
  <si>
    <t xml:space="preserve">JR00044205</t>
  </si>
  <si>
    <t xml:space="preserve">JR00044206</t>
  </si>
  <si>
    <t xml:space="preserve">JR00044207</t>
  </si>
  <si>
    <t xml:space="preserve">JR00044208</t>
  </si>
  <si>
    <t xml:space="preserve">JR00044209</t>
  </si>
  <si>
    <t xml:space="preserve">JR00044210</t>
  </si>
  <si>
    <t xml:space="preserve">JR00044211</t>
  </si>
  <si>
    <t xml:space="preserve">JR00044212</t>
  </si>
  <si>
    <t xml:space="preserve">JR00044213</t>
  </si>
  <si>
    <t xml:space="preserve">JR00044214</t>
  </si>
  <si>
    <t xml:space="preserve">JR00044215</t>
  </si>
  <si>
    <t xml:space="preserve">JR00044216</t>
  </si>
  <si>
    <t xml:space="preserve">JR00044217</t>
  </si>
  <si>
    <t xml:space="preserve">JR00044218</t>
  </si>
  <si>
    <t xml:space="preserve">JR00044219</t>
  </si>
  <si>
    <t xml:space="preserve">JR00044220</t>
  </si>
  <si>
    <t xml:space="preserve">JR00044221</t>
  </si>
  <si>
    <t xml:space="preserve">A0-AA-08-D-02</t>
  </si>
  <si>
    <t xml:space="preserve">JR00044222</t>
  </si>
  <si>
    <t xml:space="preserve">JR00043063</t>
  </si>
  <si>
    <t xml:space="preserve">MWIN01034</t>
  </si>
  <si>
    <t xml:space="preserve">JR00043076</t>
  </si>
  <si>
    <t xml:space="preserve">JR00043080</t>
  </si>
  <si>
    <t xml:space="preserve">MWIN00990</t>
  </si>
  <si>
    <t xml:space="preserve">F-D-01-B-01</t>
  </si>
  <si>
    <t xml:space="preserve">JR00043501</t>
  </si>
  <si>
    <t xml:space="preserve">Intenso Capsule French Caps 20X10</t>
  </si>
  <si>
    <t xml:space="preserve">F-H-15-D-03</t>
  </si>
  <si>
    <t xml:space="preserve">JR00043502</t>
  </si>
  <si>
    <t xml:space="preserve">Intenso Capsule Milano Caps 20X10</t>
  </si>
  <si>
    <t xml:space="preserve">F-H-10-C-03</t>
  </si>
  <si>
    <t xml:space="preserve">JR00043503</t>
  </si>
  <si>
    <t xml:space="preserve">Intenso Capsule Roma Caps 20X10</t>
  </si>
  <si>
    <t xml:space="preserve">JR00043504</t>
  </si>
  <si>
    <t xml:space="preserve">Intenso Capsule Gold Caps 20X10</t>
  </si>
  <si>
    <t xml:space="preserve">JR00043505</t>
  </si>
  <si>
    <t xml:space="preserve">Intenso Capsule Dark Caps 20X10</t>
  </si>
  <si>
    <t xml:space="preserve">F-H-07-C-01</t>
  </si>
  <si>
    <t xml:space="preserve">JR00043506</t>
  </si>
  <si>
    <t xml:space="preserve">Intenso Capsule Venezia Caps 20X10</t>
  </si>
  <si>
    <t xml:space="preserve">F-H-13-D-03</t>
  </si>
  <si>
    <t xml:space="preserve">JR00043507</t>
  </si>
  <si>
    <t xml:space="preserve">Intenso Capsule Columbia Caps 20X10</t>
  </si>
  <si>
    <t xml:space="preserve">F-H-13-C-03</t>
  </si>
  <si>
    <t xml:space="preserve">JR00043510</t>
  </si>
  <si>
    <t xml:space="preserve">C-A-06-D-03</t>
  </si>
  <si>
    <t xml:space="preserve">JR00043511</t>
  </si>
  <si>
    <t xml:space="preserve">C-A-06-D-02</t>
  </si>
  <si>
    <t xml:space="preserve">JR00043512</t>
  </si>
  <si>
    <t xml:space="preserve">JR00043513</t>
  </si>
  <si>
    <t xml:space="preserve">JR00043514</t>
  </si>
  <si>
    <t xml:space="preserve">JR00043515</t>
  </si>
  <si>
    <t xml:space="preserve">JR00043516</t>
  </si>
  <si>
    <t xml:space="preserve">C-A-12-D-02</t>
  </si>
  <si>
    <t xml:space="preserve">JR00043517</t>
  </si>
  <si>
    <t xml:space="preserve">JR00043518</t>
  </si>
  <si>
    <t xml:space="preserve">JR00043519</t>
  </si>
  <si>
    <t xml:space="preserve">JR00043520</t>
  </si>
  <si>
    <t xml:space="preserve">C-A-08-C-02</t>
  </si>
  <si>
    <t xml:space="preserve">JR00043521</t>
  </si>
  <si>
    <t xml:space="preserve">JR00043522</t>
  </si>
  <si>
    <t xml:space="preserve">JR00043523</t>
  </si>
  <si>
    <t xml:space="preserve">JR00043524</t>
  </si>
  <si>
    <t xml:space="preserve">C-A-04-C-01</t>
  </si>
  <si>
    <t xml:space="preserve">JR00043525</t>
  </si>
  <si>
    <t xml:space="preserve">C-A-06-C-02</t>
  </si>
  <si>
    <t xml:space="preserve">JR00043526</t>
  </si>
  <si>
    <t xml:space="preserve">JR00043527</t>
  </si>
  <si>
    <t xml:space="preserve">JR00043528</t>
  </si>
  <si>
    <t xml:space="preserve">JR00043529</t>
  </si>
  <si>
    <t xml:space="preserve">JR00043530</t>
  </si>
  <si>
    <t xml:space="preserve">JR00043531</t>
  </si>
  <si>
    <t xml:space="preserve">JR00043532</t>
  </si>
  <si>
    <t xml:space="preserve">F-H-11-C-01</t>
  </si>
  <si>
    <t xml:space="preserve">JR00043533</t>
  </si>
  <si>
    <t xml:space="preserve">JR00043534</t>
  </si>
  <si>
    <t xml:space="preserve">JR00043535</t>
  </si>
  <si>
    <t xml:space="preserve">JR00043536</t>
  </si>
  <si>
    <t xml:space="preserve">JR00043537</t>
  </si>
  <si>
    <t xml:space="preserve">JR00043538</t>
  </si>
  <si>
    <t xml:space="preserve">JR00043539</t>
  </si>
  <si>
    <t xml:space="preserve">JR00044009-5296769</t>
  </si>
  <si>
    <t xml:space="preserve">JR00043721</t>
  </si>
  <si>
    <t xml:space="preserve">RIYINT00947</t>
  </si>
  <si>
    <t xml:space="preserve">JR00043722</t>
  </si>
  <si>
    <t xml:space="preserve">JR00043723</t>
  </si>
  <si>
    <t xml:space="preserve">JR00043724</t>
  </si>
  <si>
    <t xml:space="preserve">JR00043725</t>
  </si>
  <si>
    <t xml:space="preserve">JR00043726</t>
  </si>
  <si>
    <t xml:space="preserve">JR00043727</t>
  </si>
  <si>
    <t xml:space="preserve">JR00043728</t>
  </si>
  <si>
    <t xml:space="preserve">JR00043729</t>
  </si>
  <si>
    <t xml:space="preserve">JR00043730</t>
  </si>
  <si>
    <t xml:space="preserve">JR00043731</t>
  </si>
  <si>
    <t xml:space="preserve">JR00043732</t>
  </si>
  <si>
    <t xml:space="preserve">JR00043733</t>
  </si>
  <si>
    <t xml:space="preserve">JR00043734</t>
  </si>
  <si>
    <t xml:space="preserve">JR00043735</t>
  </si>
  <si>
    <t xml:space="preserve">JR00043736</t>
  </si>
  <si>
    <t xml:space="preserve">JR00044750</t>
  </si>
  <si>
    <t xml:space="preserve">MWIN00858</t>
  </si>
  <si>
    <t xml:space="preserve">JR00044751</t>
  </si>
  <si>
    <t xml:space="preserve">JR00044752</t>
  </si>
  <si>
    <t xml:space="preserve">JR00044753</t>
  </si>
  <si>
    <t xml:space="preserve">JR00044754</t>
  </si>
  <si>
    <t xml:space="preserve">JR00044755</t>
  </si>
  <si>
    <t xml:space="preserve">JR00044756</t>
  </si>
  <si>
    <t xml:space="preserve">JR00044757</t>
  </si>
  <si>
    <t xml:space="preserve">C-B-01-A-03</t>
  </si>
  <si>
    <t xml:space="preserve">JR00044758</t>
  </si>
  <si>
    <t xml:space="preserve">JR00044759</t>
  </si>
  <si>
    <t xml:space="preserve">JR00044760</t>
  </si>
  <si>
    <t xml:space="preserve">JR00044761</t>
  </si>
  <si>
    <t xml:space="preserve">JR00044762</t>
  </si>
  <si>
    <t xml:space="preserve">JR00044763</t>
  </si>
  <si>
    <t xml:space="preserve">JR00044764</t>
  </si>
  <si>
    <t xml:space="preserve">JR00044765</t>
  </si>
  <si>
    <t xml:space="preserve">JR00044766</t>
  </si>
  <si>
    <t xml:space="preserve">JR00044767</t>
  </si>
  <si>
    <t xml:space="preserve">JR00044768</t>
  </si>
  <si>
    <t xml:space="preserve">JR00044769</t>
  </si>
  <si>
    <t xml:space="preserve">JR00044770</t>
  </si>
  <si>
    <t xml:space="preserve">JR00044771</t>
  </si>
  <si>
    <t xml:space="preserve">JR00044772</t>
  </si>
  <si>
    <t xml:space="preserve">C-A-46-C-03</t>
  </si>
  <si>
    <t xml:space="preserve">JR00044773</t>
  </si>
  <si>
    <t xml:space="preserve">JR00044774</t>
  </si>
  <si>
    <t xml:space="preserve">JR00052013</t>
  </si>
  <si>
    <t xml:space="preserve">JR00044701</t>
  </si>
  <si>
    <t xml:space="preserve">MWIN01102</t>
  </si>
  <si>
    <t xml:space="preserve">C-D-25-A-01</t>
  </si>
  <si>
    <t xml:space="preserve">JR00044702</t>
  </si>
  <si>
    <t xml:space="preserve">C-D-27-A-03</t>
  </si>
  <si>
    <t xml:space="preserve">JR00044703</t>
  </si>
  <si>
    <t xml:space="preserve">C-D-27-A-01</t>
  </si>
  <si>
    <t xml:space="preserve">JR00044704</t>
  </si>
  <si>
    <t xml:space="preserve">C-D-29-A-01</t>
  </si>
  <si>
    <t xml:space="preserve">JR00044705</t>
  </si>
  <si>
    <t xml:space="preserve">C-D-23-A-01</t>
  </si>
  <si>
    <t xml:space="preserve">JR00044706</t>
  </si>
  <si>
    <t xml:space="preserve">JR00044707</t>
  </si>
  <si>
    <t xml:space="preserve">C-D-19-A-03</t>
  </si>
  <si>
    <t xml:space="preserve">JR00044708</t>
  </si>
  <si>
    <t xml:space="preserve">C-D-19-A-01</t>
  </si>
  <si>
    <t xml:space="preserve">JR00044709</t>
  </si>
  <si>
    <t xml:space="preserve">JR00044710</t>
  </si>
  <si>
    <t xml:space="preserve">JR00044711</t>
  </si>
  <si>
    <t xml:space="preserve">C-D-29-A-03</t>
  </si>
  <si>
    <t xml:space="preserve">JR00044712</t>
  </si>
  <si>
    <t xml:space="preserve">JR00044713</t>
  </si>
  <si>
    <t xml:space="preserve">C-D-15-C-03</t>
  </si>
  <si>
    <t xml:space="preserve">JR00044714</t>
  </si>
  <si>
    <t xml:space="preserve">JR00044715</t>
  </si>
  <si>
    <t xml:space="preserve">C-D-13-C-03</t>
  </si>
  <si>
    <t xml:space="preserve">JR00044716</t>
  </si>
  <si>
    <t xml:space="preserve">JR00044717</t>
  </si>
  <si>
    <t xml:space="preserve">JR00044718</t>
  </si>
  <si>
    <t xml:space="preserve">C-D-07-C-01</t>
  </si>
  <si>
    <t xml:space="preserve">JR00044719</t>
  </si>
  <si>
    <t xml:space="preserve">C-D-09-C-03</t>
  </si>
  <si>
    <t xml:space="preserve">JR00044720</t>
  </si>
  <si>
    <t xml:space="preserve">C-D-09-C-01</t>
  </si>
  <si>
    <t xml:space="preserve">JR00044721</t>
  </si>
  <si>
    <t xml:space="preserve">C-D-11-C-03</t>
  </si>
  <si>
    <t xml:space="preserve">JR00044722</t>
  </si>
  <si>
    <t xml:space="preserve">C-D-17-A-03</t>
  </si>
  <si>
    <t xml:space="preserve">JR00044723</t>
  </si>
  <si>
    <t xml:space="preserve">C-C-40-A-03</t>
  </si>
  <si>
    <t xml:space="preserve">JR00044724</t>
  </si>
  <si>
    <t xml:space="preserve">C-D-05-C-01</t>
  </si>
  <si>
    <t xml:space="preserve">JR00044725</t>
  </si>
  <si>
    <t xml:space="preserve">JR00044726</t>
  </si>
  <si>
    <t xml:space="preserve">JR00044727</t>
  </si>
  <si>
    <t xml:space="preserve">JR00044728</t>
  </si>
  <si>
    <t xml:space="preserve">C-D-01-C-03</t>
  </si>
  <si>
    <t xml:space="preserve">JR00044900</t>
  </si>
  <si>
    <t xml:space="preserve">JR00044896</t>
  </si>
  <si>
    <t xml:space="preserve">FRANK'S REDHOT ORIGINAL BUFFALO WINGS SAUCE RTU 4X1 gal</t>
  </si>
  <si>
    <t xml:space="preserve">SHRM00004182</t>
  </si>
  <si>
    <t xml:space="preserve">JR00048704</t>
  </si>
  <si>
    <t xml:space="preserve">RIYADH01097</t>
  </si>
  <si>
    <t xml:space="preserve">F-H-15-C-01</t>
  </si>
  <si>
    <t xml:space="preserve">JR00049448</t>
  </si>
  <si>
    <t xml:space="preserve">JR00043950</t>
  </si>
  <si>
    <t xml:space="preserve">DAMINT00639</t>
  </si>
  <si>
    <t xml:space="preserve">JR00049717</t>
  </si>
  <si>
    <t xml:space="preserve">SHRM00004321</t>
  </si>
  <si>
    <t xml:space="preserve">JR00049882</t>
  </si>
  <si>
    <t xml:space="preserve">MWIN01221</t>
  </si>
  <si>
    <t xml:space="preserve">A0-AA-09-A-02</t>
  </si>
  <si>
    <t xml:space="preserve">JR00049883</t>
  </si>
  <si>
    <t xml:space="preserve">JR00049884</t>
  </si>
  <si>
    <t xml:space="preserve">JR00049885</t>
  </si>
  <si>
    <t xml:space="preserve">JR00049887</t>
  </si>
  <si>
    <t xml:space="preserve">JR00049888</t>
  </si>
  <si>
    <t xml:space="preserve">JR00046921</t>
  </si>
  <si>
    <t xml:space="preserve">DAMINT00643</t>
  </si>
  <si>
    <t xml:space="preserve">JR00046922</t>
  </si>
  <si>
    <t xml:space="preserve">JR00046923</t>
  </si>
  <si>
    <t xml:space="preserve">JR00046924</t>
  </si>
  <si>
    <t xml:space="preserve">JR00046925</t>
  </si>
  <si>
    <t xml:space="preserve">JR00046927</t>
  </si>
  <si>
    <t xml:space="preserve">JR00046928</t>
  </si>
  <si>
    <t xml:space="preserve">JR00046929</t>
  </si>
  <si>
    <t xml:space="preserve">JR00046930</t>
  </si>
  <si>
    <t xml:space="preserve">JR00046931</t>
  </si>
  <si>
    <t xml:space="preserve">JR00046932</t>
  </si>
  <si>
    <t xml:space="preserve">JR00046933</t>
  </si>
  <si>
    <t xml:space="preserve">JR00046934</t>
  </si>
  <si>
    <t xml:space="preserve">JR00046936</t>
  </si>
  <si>
    <t xml:space="preserve">A0-AA-03-B-03</t>
  </si>
  <si>
    <t xml:space="preserve">JR00046937</t>
  </si>
  <si>
    <t xml:space="preserve">JR00046938</t>
  </si>
  <si>
    <t xml:space="preserve">JR00046939</t>
  </si>
  <si>
    <t xml:space="preserve">JR00046940</t>
  </si>
  <si>
    <t xml:space="preserve">JR00046941</t>
  </si>
  <si>
    <t xml:space="preserve">JR00046942</t>
  </si>
  <si>
    <t xml:space="preserve">JR00049421</t>
  </si>
  <si>
    <t xml:space="preserve">DAMINT00702</t>
  </si>
  <si>
    <t xml:space="preserve">JR00049422</t>
  </si>
  <si>
    <t xml:space="preserve">JR00049423</t>
  </si>
  <si>
    <t xml:space="preserve">JR00049424</t>
  </si>
  <si>
    <t xml:space="preserve">JR00049425</t>
  </si>
  <si>
    <t xml:space="preserve">JR00049426</t>
  </si>
  <si>
    <t xml:space="preserve">JR00049427</t>
  </si>
  <si>
    <t xml:space="preserve">JR00049429</t>
  </si>
  <si>
    <t xml:space="preserve">JR00049430</t>
  </si>
  <si>
    <t xml:space="preserve">JR00049431</t>
  </si>
  <si>
    <t xml:space="preserve">JR00049432</t>
  </si>
  <si>
    <t xml:space="preserve">JR00049433</t>
  </si>
  <si>
    <t xml:space="preserve">JR00049434</t>
  </si>
  <si>
    <t xml:space="preserve">JR00049435</t>
  </si>
  <si>
    <t xml:space="preserve">JR00049436</t>
  </si>
  <si>
    <t xml:space="preserve">JR00049437</t>
  </si>
  <si>
    <t xml:space="preserve">JR00049438</t>
  </si>
  <si>
    <t xml:space="preserve">JR00049440</t>
  </si>
  <si>
    <t xml:space="preserve">JR00049441</t>
  </si>
  <si>
    <t xml:space="preserve">JR00049443</t>
  </si>
  <si>
    <t xml:space="preserve">JR00049444</t>
  </si>
  <si>
    <t xml:space="preserve">JR00049445</t>
  </si>
  <si>
    <t xml:space="preserve">A0-AA-07-D-02</t>
  </si>
  <si>
    <t xml:space="preserve">JR00049446</t>
  </si>
  <si>
    <t xml:space="preserve">JR00049447</t>
  </si>
  <si>
    <t xml:space="preserve">JR00044931</t>
  </si>
  <si>
    <t xml:space="preserve">MWIN01154</t>
  </si>
  <si>
    <t xml:space="preserve">F-H-31-A-03</t>
  </si>
  <si>
    <t xml:space="preserve">JR00044936</t>
  </si>
  <si>
    <t xml:space="preserve">C-B-04-D-03</t>
  </si>
  <si>
    <t xml:space="preserve">JR00044937</t>
  </si>
  <si>
    <t xml:space="preserve">JR00044938</t>
  </si>
  <si>
    <t xml:space="preserve">JR00044939</t>
  </si>
  <si>
    <t xml:space="preserve">JR00044940</t>
  </si>
  <si>
    <t xml:space="preserve">C-B-04-D-01</t>
  </si>
  <si>
    <t xml:space="preserve">JR00044941</t>
  </si>
  <si>
    <t xml:space="preserve">JR00044942</t>
  </si>
  <si>
    <t xml:space="preserve">JR00044943-5379478</t>
  </si>
  <si>
    <t xml:space="preserve">JR00044944</t>
  </si>
  <si>
    <t xml:space="preserve">JR00044946</t>
  </si>
  <si>
    <t xml:space="preserve">JR00044947</t>
  </si>
  <si>
    <t xml:space="preserve">JR00044948</t>
  </si>
  <si>
    <t xml:space="preserve">JR00044949</t>
  </si>
  <si>
    <t xml:space="preserve">JR00044950</t>
  </si>
  <si>
    <t xml:space="preserve">JR00044951</t>
  </si>
  <si>
    <t xml:space="preserve">JR00044952</t>
  </si>
  <si>
    <t xml:space="preserve">C-B-17-B-01</t>
  </si>
  <si>
    <t xml:space="preserve">JR00044953</t>
  </si>
  <si>
    <t xml:space="preserve">C-B-32-B-01</t>
  </si>
  <si>
    <t xml:space="preserve">JR00044954</t>
  </si>
  <si>
    <t xml:space="preserve">C-B-30-B-01</t>
  </si>
  <si>
    <t xml:space="preserve">JR00044955</t>
  </si>
  <si>
    <t xml:space="preserve">C-B-30-B-03</t>
  </si>
  <si>
    <t xml:space="preserve">JR00044956</t>
  </si>
  <si>
    <t xml:space="preserve">JR00044957</t>
  </si>
  <si>
    <t xml:space="preserve">C-A-45-C-01</t>
  </si>
  <si>
    <t xml:space="preserve">JR00044958</t>
  </si>
  <si>
    <t xml:space="preserve">C-A-45-C-03</t>
  </si>
  <si>
    <t xml:space="preserve">JR00044959</t>
  </si>
  <si>
    <t xml:space="preserve">JR00044960</t>
  </si>
  <si>
    <t xml:space="preserve">JR00044961</t>
  </si>
  <si>
    <t xml:space="preserve">JR00044962</t>
  </si>
  <si>
    <t xml:space="preserve">JR00044963</t>
  </si>
  <si>
    <t xml:space="preserve">JR00044964</t>
  </si>
  <si>
    <t xml:space="preserve">C-A-42-C-01</t>
  </si>
  <si>
    <t xml:space="preserve">JR00044965</t>
  </si>
  <si>
    <t xml:space="preserve">C-A-44-C-01</t>
  </si>
  <si>
    <t xml:space="preserve">JR00044966</t>
  </si>
  <si>
    <t xml:space="preserve">JR00044967</t>
  </si>
  <si>
    <t xml:space="preserve">C-C-28-A-01</t>
  </si>
  <si>
    <t xml:space="preserve">JR00044968</t>
  </si>
  <si>
    <t xml:space="preserve">JR00049930</t>
  </si>
  <si>
    <t xml:space="preserve">WHRET00847</t>
  </si>
  <si>
    <t xml:space="preserve">JF00194102</t>
  </si>
  <si>
    <t xml:space="preserve">WHRET00803_1</t>
  </si>
  <si>
    <t xml:space="preserve">JF00194103</t>
  </si>
  <si>
    <t xml:space="preserve">C-B-14-A-01</t>
  </si>
  <si>
    <t xml:space="preserve">JF00194104</t>
  </si>
  <si>
    <t xml:space="preserve">JR00044901</t>
  </si>
  <si>
    <t xml:space="preserve">MWIN01153</t>
  </si>
  <si>
    <t xml:space="preserve">F-G-37-D-03</t>
  </si>
  <si>
    <t xml:space="preserve">JR00044902</t>
  </si>
  <si>
    <t xml:space="preserve">C-C-26-A-01</t>
  </si>
  <si>
    <t xml:space="preserve">JR00044903</t>
  </si>
  <si>
    <t xml:space="preserve">C-C-26-A-03</t>
  </si>
  <si>
    <t xml:space="preserve">JR00044904</t>
  </si>
  <si>
    <t xml:space="preserve">C-C-24-A-03</t>
  </si>
  <si>
    <t xml:space="preserve">JR00044905</t>
  </si>
  <si>
    <t xml:space="preserve">C-C-24-A-01</t>
  </si>
  <si>
    <t xml:space="preserve">JR00044906</t>
  </si>
  <si>
    <t xml:space="preserve">F-H-40-A-01</t>
  </si>
  <si>
    <t xml:space="preserve">JR00044907</t>
  </si>
  <si>
    <t xml:space="preserve">JR00044908</t>
  </si>
  <si>
    <t xml:space="preserve">JR00044909</t>
  </si>
  <si>
    <t xml:space="preserve">JR00044910</t>
  </si>
  <si>
    <t xml:space="preserve">F-H-31-C-01</t>
  </si>
  <si>
    <t xml:space="preserve">JR00044911</t>
  </si>
  <si>
    <t xml:space="preserve">JR00044912</t>
  </si>
  <si>
    <t xml:space="preserve">JR00044913</t>
  </si>
  <si>
    <t xml:space="preserve">JR00044914</t>
  </si>
  <si>
    <t xml:space="preserve">JR00044915</t>
  </si>
  <si>
    <t xml:space="preserve">F-H-31-C-03</t>
  </si>
  <si>
    <t xml:space="preserve">JR00044916</t>
  </si>
  <si>
    <t xml:space="preserve">JR00044917</t>
  </si>
  <si>
    <t xml:space="preserve">JR00044918</t>
  </si>
  <si>
    <t xml:space="preserve">JR00044919</t>
  </si>
  <si>
    <t xml:space="preserve">JR00044920</t>
  </si>
  <si>
    <t xml:space="preserve">JR00044921</t>
  </si>
  <si>
    <t xml:space="preserve">JR00044922</t>
  </si>
  <si>
    <t xml:space="preserve">JR00044923</t>
  </si>
  <si>
    <t xml:space="preserve">JR00044924</t>
  </si>
  <si>
    <t xml:space="preserve">JR00044925</t>
  </si>
  <si>
    <t xml:space="preserve">JR00044926</t>
  </si>
  <si>
    <t xml:space="preserve">JR00044927</t>
  </si>
  <si>
    <t xml:space="preserve">JR00044928</t>
  </si>
  <si>
    <t xml:space="preserve">JR00044929</t>
  </si>
  <si>
    <t xml:space="preserve">JR00044930</t>
  </si>
  <si>
    <t xml:space="preserve">JR00044932</t>
  </si>
  <si>
    <t xml:space="preserve">JR00044933</t>
  </si>
  <si>
    <t xml:space="preserve">C-C-17-D-01</t>
  </si>
  <si>
    <t xml:space="preserve">JR00044934</t>
  </si>
  <si>
    <t xml:space="preserve">C-A-34-D-03</t>
  </si>
  <si>
    <t xml:space="preserve">JR00044935</t>
  </si>
  <si>
    <t xml:space="preserve">JR00049182</t>
  </si>
  <si>
    <t xml:space="preserve">SHRM00004261</t>
  </si>
  <si>
    <t xml:space="preserve">F-G-04-D-03</t>
  </si>
  <si>
    <t xml:space="preserve">JR00049719</t>
  </si>
  <si>
    <t xml:space="preserve">MWIN01219</t>
  </si>
  <si>
    <t xml:space="preserve">F-H-45-D-01</t>
  </si>
  <si>
    <t xml:space="preserve">JR00049720</t>
  </si>
  <si>
    <t xml:space="preserve">JR00049721</t>
  </si>
  <si>
    <t xml:space="preserve">JR00049722</t>
  </si>
  <si>
    <t xml:space="preserve">JR00049723</t>
  </si>
  <si>
    <t xml:space="preserve">JR00049724</t>
  </si>
  <si>
    <t xml:space="preserve">JR00049725</t>
  </si>
  <si>
    <t xml:space="preserve">JR00049726</t>
  </si>
  <si>
    <t xml:space="preserve">JR00049727</t>
  </si>
  <si>
    <t xml:space="preserve">JR00049728</t>
  </si>
  <si>
    <t xml:space="preserve">JR00049729</t>
  </si>
  <si>
    <t xml:space="preserve">JR00049730</t>
  </si>
  <si>
    <t xml:space="preserve">JR00049731</t>
  </si>
  <si>
    <t xml:space="preserve">JR00049732</t>
  </si>
  <si>
    <t xml:space="preserve">JR00049733</t>
  </si>
  <si>
    <t xml:space="preserve">JR00049734</t>
  </si>
  <si>
    <t xml:space="preserve">JR00049735</t>
  </si>
  <si>
    <t xml:space="preserve">JR00049736</t>
  </si>
  <si>
    <t xml:space="preserve">JR00049737</t>
  </si>
  <si>
    <t xml:space="preserve">JR00049738</t>
  </si>
  <si>
    <t xml:space="preserve">JR00049739</t>
  </si>
  <si>
    <t xml:space="preserve">JR00047921</t>
  </si>
  <si>
    <t xml:space="preserve">MWIN01185</t>
  </si>
  <si>
    <t xml:space="preserve">JR00047922</t>
  </si>
  <si>
    <t xml:space="preserve">A0-AB-13-E-01</t>
  </si>
  <si>
    <t xml:space="preserve">JR00047923</t>
  </si>
  <si>
    <t xml:space="preserve">JR00047924</t>
  </si>
  <si>
    <t xml:space="preserve">JR00047925</t>
  </si>
  <si>
    <t xml:space="preserve">JR00047926</t>
  </si>
  <si>
    <t xml:space="preserve">JR00047927</t>
  </si>
  <si>
    <t xml:space="preserve">JR00047928</t>
  </si>
  <si>
    <t xml:space="preserve">JR00047929</t>
  </si>
  <si>
    <t xml:space="preserve">JR00047930</t>
  </si>
  <si>
    <t xml:space="preserve">JR00047931</t>
  </si>
  <si>
    <t xml:space="preserve">A0-AB-07-A-01</t>
  </si>
  <si>
    <t xml:space="preserve">JR00047932</t>
  </si>
  <si>
    <t xml:space="preserve">JR00047933</t>
  </si>
  <si>
    <t xml:space="preserve">A0-AB-09-E-03</t>
  </si>
  <si>
    <t xml:space="preserve">JR00047934</t>
  </si>
  <si>
    <t xml:space="preserve">A0-AA-09-E-01</t>
  </si>
  <si>
    <t xml:space="preserve">JR00047935</t>
  </si>
  <si>
    <t xml:space="preserve">A0-AB-05-E-03</t>
  </si>
  <si>
    <t xml:space="preserve">JR00047936</t>
  </si>
  <si>
    <t xml:space="preserve">JR00047937</t>
  </si>
  <si>
    <t xml:space="preserve">JR00047938</t>
  </si>
  <si>
    <t xml:space="preserve">JR00047165</t>
  </si>
  <si>
    <t xml:space="preserve">MWIN01101_3</t>
  </si>
  <si>
    <t xml:space="preserve">C-A-05-A-02</t>
  </si>
  <si>
    <t xml:space="preserve">JR00047166</t>
  </si>
  <si>
    <t xml:space="preserve">C-A-03-A-02</t>
  </si>
  <si>
    <t xml:space="preserve">JR00047167</t>
  </si>
  <si>
    <t xml:space="preserve">JR00047168</t>
  </si>
  <si>
    <t xml:space="preserve">JR00047169</t>
  </si>
  <si>
    <t xml:space="preserve">C-A-10-A-02</t>
  </si>
  <si>
    <t xml:space="preserve">JR00047170</t>
  </si>
  <si>
    <t xml:space="preserve">C-A-08-A-02</t>
  </si>
  <si>
    <t xml:space="preserve">JR00047171</t>
  </si>
  <si>
    <t xml:space="preserve">C-A-06-A-02</t>
  </si>
  <si>
    <t xml:space="preserve">JR00047172</t>
  </si>
  <si>
    <t xml:space="preserve">C-A-04-A-02</t>
  </si>
  <si>
    <t xml:space="preserve">JR00047173</t>
  </si>
  <si>
    <t xml:space="preserve">JR00047174</t>
  </si>
  <si>
    <t xml:space="preserve">JR00047175</t>
  </si>
  <si>
    <t xml:space="preserve">JR00049908</t>
  </si>
  <si>
    <t xml:space="preserve">MWIN01223</t>
  </si>
  <si>
    <t xml:space="preserve">JR00049909</t>
  </si>
  <si>
    <t xml:space="preserve">JR00049910</t>
  </si>
  <si>
    <t xml:space="preserve">JR00049911</t>
  </si>
  <si>
    <t xml:space="preserve">JR00049912</t>
  </si>
  <si>
    <t xml:space="preserve">A0-AA-12-C-02</t>
  </si>
  <si>
    <t xml:space="preserve">JR00049913</t>
  </si>
  <si>
    <t xml:space="preserve">JR00049914</t>
  </si>
  <si>
    <t xml:space="preserve">A0-AA-14-C-03</t>
  </si>
  <si>
    <t xml:space="preserve">JR00049915</t>
  </si>
  <si>
    <t xml:space="preserve">JR00049916</t>
  </si>
  <si>
    <t xml:space="preserve">JR00049917</t>
  </si>
  <si>
    <t xml:space="preserve">JR00049918</t>
  </si>
  <si>
    <t xml:space="preserve">JR00049919</t>
  </si>
  <si>
    <t xml:space="preserve">A0-AA-18-B-01</t>
  </si>
  <si>
    <t xml:space="preserve">JR00049920</t>
  </si>
  <si>
    <t xml:space="preserve">JR00049921</t>
  </si>
  <si>
    <t xml:space="preserve">JR00049922</t>
  </si>
  <si>
    <t xml:space="preserve">JR00049923</t>
  </si>
  <si>
    <t xml:space="preserve">JR00049924</t>
  </si>
  <si>
    <t xml:space="preserve">JR00049925</t>
  </si>
  <si>
    <t xml:space="preserve">JR00049926</t>
  </si>
  <si>
    <t xml:space="preserve">JR00049927</t>
  </si>
  <si>
    <t xml:space="preserve">JR00040502</t>
  </si>
  <si>
    <t xml:space="preserve">MWIN01044</t>
  </si>
  <si>
    <t xml:space="preserve">JR00040503</t>
  </si>
  <si>
    <t xml:space="preserve">JR00040504</t>
  </si>
  <si>
    <t xml:space="preserve">JR00040505</t>
  </si>
  <si>
    <t xml:space="preserve">JR00040506</t>
  </si>
  <si>
    <t xml:space="preserve">JR00040507</t>
  </si>
  <si>
    <t xml:space="preserve">JR00040508</t>
  </si>
  <si>
    <t xml:space="preserve">JR00040509</t>
  </si>
  <si>
    <t xml:space="preserve">JR00040510</t>
  </si>
  <si>
    <t xml:space="preserve">JR00040511</t>
  </si>
  <si>
    <t xml:space="preserve">JR00040512</t>
  </si>
  <si>
    <t xml:space="preserve">JR00040513</t>
  </si>
  <si>
    <t xml:space="preserve">JR00040514</t>
  </si>
  <si>
    <t xml:space="preserve">JR00040515</t>
  </si>
  <si>
    <t xml:space="preserve">JR00040516</t>
  </si>
  <si>
    <t xml:space="preserve">JR00040517</t>
  </si>
  <si>
    <t xml:space="preserve">JR00040518</t>
  </si>
  <si>
    <t xml:space="preserve">JR00040519</t>
  </si>
  <si>
    <t xml:space="preserve">JR00040520</t>
  </si>
  <si>
    <t xml:space="preserve">JR00040521</t>
  </si>
  <si>
    <t xml:space="preserve">JR00040522</t>
  </si>
  <si>
    <t xml:space="preserve">JR00040523</t>
  </si>
  <si>
    <t xml:space="preserve">JR00044775</t>
  </si>
  <si>
    <t xml:space="preserve">SHRM00004161</t>
  </si>
  <si>
    <t xml:space="preserve">JR00044777</t>
  </si>
  <si>
    <t xml:space="preserve">JR00049670</t>
  </si>
  <si>
    <t xml:space="preserve">SHRM00004301</t>
  </si>
  <si>
    <t xml:space="preserve">C-B-44-D-02</t>
  </si>
  <si>
    <t xml:space="preserve">JR00044730</t>
  </si>
  <si>
    <t xml:space="preserve">MWIN01073</t>
  </si>
  <si>
    <t xml:space="preserve">F-H-11-B-02</t>
  </si>
  <si>
    <t xml:space="preserve">JR00044731</t>
  </si>
  <si>
    <t xml:space="preserve">JR00044732</t>
  </si>
  <si>
    <t xml:space="preserve">JR00044733</t>
  </si>
  <si>
    <t xml:space="preserve">JR00044734</t>
  </si>
  <si>
    <t xml:space="preserve">C-B-06-D-03</t>
  </si>
  <si>
    <t xml:space="preserve">JR00044735</t>
  </si>
  <si>
    <t xml:space="preserve">JR00044736</t>
  </si>
  <si>
    <t xml:space="preserve">JR00044738</t>
  </si>
  <si>
    <t xml:space="preserve">JR00044739</t>
  </si>
  <si>
    <t xml:space="preserve">JR00044742</t>
  </si>
  <si>
    <t xml:space="preserve">JR00044743</t>
  </si>
  <si>
    <t xml:space="preserve">JR00044744</t>
  </si>
  <si>
    <t xml:space="preserve">JR00044745</t>
  </si>
  <si>
    <t xml:space="preserve">JR00044746</t>
  </si>
  <si>
    <t xml:space="preserve">JR00044747</t>
  </si>
  <si>
    <t xml:space="preserve">JR00044748</t>
  </si>
  <si>
    <t xml:space="preserve">JR00049711</t>
  </si>
  <si>
    <t xml:space="preserve">SHRM00004322</t>
  </si>
  <si>
    <t xml:space="preserve">JR00049712</t>
  </si>
  <si>
    <t xml:space="preserve">JR00049713</t>
  </si>
  <si>
    <t xml:space="preserve">JR00047206</t>
  </si>
  <si>
    <t xml:space="preserve">MWIN01001</t>
  </si>
  <si>
    <t xml:space="preserve">JR00044866</t>
  </si>
  <si>
    <t xml:space="preserve">MWIN01104</t>
  </si>
  <si>
    <t xml:space="preserve">JR00044867</t>
  </si>
  <si>
    <t xml:space="preserve">JR00044868</t>
  </si>
  <si>
    <t xml:space="preserve">JR00044869</t>
  </si>
  <si>
    <t xml:space="preserve">JR00044870</t>
  </si>
  <si>
    <t xml:space="preserve">JR00044871</t>
  </si>
  <si>
    <t xml:space="preserve">C-B-46-D-03</t>
  </si>
  <si>
    <t xml:space="preserve">JR00044872</t>
  </si>
  <si>
    <t xml:space="preserve">JR00044873</t>
  </si>
  <si>
    <t xml:space="preserve">JR00044874</t>
  </si>
  <si>
    <t xml:space="preserve">JR00044875</t>
  </si>
  <si>
    <t xml:space="preserve">JR00044876</t>
  </si>
  <si>
    <t xml:space="preserve">JR00044877</t>
  </si>
  <si>
    <t xml:space="preserve">JR00044878</t>
  </si>
  <si>
    <t xml:space="preserve">JR00044879</t>
  </si>
  <si>
    <t xml:space="preserve">JR00044880</t>
  </si>
  <si>
    <t xml:space="preserve">JR00044881</t>
  </si>
  <si>
    <t xml:space="preserve">JR00044882</t>
  </si>
  <si>
    <t xml:space="preserve">JR00044883</t>
  </si>
  <si>
    <t xml:space="preserve">JR00044884</t>
  </si>
  <si>
    <t xml:space="preserve">JR00044885</t>
  </si>
  <si>
    <t xml:space="preserve">JR00044886</t>
  </si>
  <si>
    <t xml:space="preserve">JR00044887</t>
  </si>
  <si>
    <t xml:space="preserve">JR00044888</t>
  </si>
  <si>
    <t xml:space="preserve">JR00044889</t>
  </si>
  <si>
    <t xml:space="preserve">JR00044890</t>
  </si>
  <si>
    <t xml:space="preserve">JR00044891</t>
  </si>
  <si>
    <t xml:space="preserve">JR00044892</t>
  </si>
  <si>
    <t xml:space="preserve">JR00044893</t>
  </si>
  <si>
    <t xml:space="preserve">JR00044894</t>
  </si>
  <si>
    <t xml:space="preserve">JR00047181</t>
  </si>
  <si>
    <t xml:space="preserve">MWIN01174</t>
  </si>
  <si>
    <t xml:space="preserve">JR00047182</t>
  </si>
  <si>
    <t xml:space="preserve">JR00047486</t>
  </si>
  <si>
    <t xml:space="preserve">MWIN01032</t>
  </si>
  <si>
    <t xml:space="preserve">JR00047498</t>
  </si>
  <si>
    <t xml:space="preserve">JR00043878</t>
  </si>
  <si>
    <t xml:space="preserve">MWIN01101_1</t>
  </si>
  <si>
    <t xml:space="preserve">JR00043879</t>
  </si>
  <si>
    <t xml:space="preserve">JR00043880</t>
  </si>
  <si>
    <t xml:space="preserve">JR00043881</t>
  </si>
  <si>
    <t xml:space="preserve">JR00043882</t>
  </si>
  <si>
    <t xml:space="preserve">JR00043883</t>
  </si>
  <si>
    <t xml:space="preserve">JR00043884</t>
  </si>
  <si>
    <t xml:space="preserve">JR00043885</t>
  </si>
  <si>
    <t xml:space="preserve">JR00043886</t>
  </si>
  <si>
    <t xml:space="preserve">JR00043887</t>
  </si>
  <si>
    <t xml:space="preserve">JR00043888</t>
  </si>
  <si>
    <t xml:space="preserve">JR00049692</t>
  </si>
  <si>
    <t xml:space="preserve">MWIN01075</t>
  </si>
  <si>
    <t xml:space="preserve">JR00049693</t>
  </si>
  <si>
    <t xml:space="preserve">F-H-02-B-01</t>
  </si>
  <si>
    <t xml:space="preserve">JR00049694</t>
  </si>
  <si>
    <t xml:space="preserve">JR00049695</t>
  </si>
  <si>
    <t xml:space="preserve">JR00049696</t>
  </si>
  <si>
    <t xml:space="preserve">JR00049697</t>
  </si>
  <si>
    <t xml:space="preserve">C-A-41-A-01</t>
  </si>
  <si>
    <t xml:space="preserve">JR00049698</t>
  </si>
  <si>
    <t xml:space="preserve">JR00049699</t>
  </si>
  <si>
    <t xml:space="preserve">JR00049700</t>
  </si>
  <si>
    <t xml:space="preserve">JR00049701</t>
  </si>
  <si>
    <t xml:space="preserve">JR00049702</t>
  </si>
  <si>
    <t xml:space="preserve">JR00049703</t>
  </si>
  <si>
    <t xml:space="preserve">JR00049704</t>
  </si>
  <si>
    <t xml:space="preserve">JR00049705</t>
  </si>
  <si>
    <t xml:space="preserve">JR00049706</t>
  </si>
  <si>
    <t xml:space="preserve">C-A-37-C-01</t>
  </si>
  <si>
    <t xml:space="preserve">JR00049707</t>
  </si>
  <si>
    <t xml:space="preserve">JR00049708</t>
  </si>
  <si>
    <t xml:space="preserve">JR00049709</t>
  </si>
  <si>
    <t xml:space="preserve">JR00049710</t>
  </si>
  <si>
    <t xml:space="preserve">F-H-11-D-01</t>
  </si>
  <si>
    <t xml:space="preserve">JR00043856-5359491</t>
  </si>
  <si>
    <t xml:space="preserve">MWIN01011</t>
  </si>
  <si>
    <t xml:space="preserve">C-C-40-A-02</t>
  </si>
  <si>
    <t xml:space="preserve">JR00043857</t>
  </si>
  <si>
    <t xml:space="preserve">JR00043858-5359480</t>
  </si>
  <si>
    <t xml:space="preserve">JR00043859-5359476</t>
  </si>
  <si>
    <t xml:space="preserve">JR00043860-5359470</t>
  </si>
  <si>
    <t xml:space="preserve">JR00043861-5359468</t>
  </si>
  <si>
    <t xml:space="preserve">JR00043862-5359461</t>
  </si>
  <si>
    <t xml:space="preserve">JR00043863-5359457</t>
  </si>
  <si>
    <t xml:space="preserve">JR00043864-5359456</t>
  </si>
  <si>
    <t xml:space="preserve">JR00043865-5359452</t>
  </si>
  <si>
    <t xml:space="preserve">JR00043866-5359449</t>
  </si>
  <si>
    <t xml:space="preserve">JR00043867-5359447</t>
  </si>
  <si>
    <t xml:space="preserve">JR00043868-5359446</t>
  </si>
  <si>
    <t xml:space="preserve">JR00043869-5359442</t>
  </si>
  <si>
    <t xml:space="preserve">JR00043870-5359440</t>
  </si>
  <si>
    <t xml:space="preserve">JR00043871-5359438</t>
  </si>
  <si>
    <t xml:space="preserve">JR00043872-5359435</t>
  </si>
  <si>
    <t xml:space="preserve">JR00043873-5359433</t>
  </si>
  <si>
    <t xml:space="preserve">JR00043874-5359431</t>
  </si>
  <si>
    <t xml:space="preserve">JR00043875-5359428</t>
  </si>
  <si>
    <t xml:space="preserve">JR00049861</t>
  </si>
  <si>
    <t xml:space="preserve">RET782025</t>
  </si>
  <si>
    <t xml:space="preserve">A0-AA-20-D-03</t>
  </si>
  <si>
    <t xml:space="preserve">JR00049862</t>
  </si>
  <si>
    <t xml:space="preserve">JR00049863</t>
  </si>
  <si>
    <t xml:space="preserve">A0-AA-20-C-03</t>
  </si>
  <si>
    <t xml:space="preserve">JR00049864</t>
  </si>
  <si>
    <t xml:space="preserve">JR00043923</t>
  </si>
  <si>
    <t xml:space="preserve">MWIN00859</t>
  </si>
  <si>
    <t xml:space="preserve">JR00043924</t>
  </si>
  <si>
    <t xml:space="preserve">JR00043925</t>
  </si>
  <si>
    <t xml:space="preserve">JR00043926</t>
  </si>
  <si>
    <t xml:space="preserve">C-A-26-C-02</t>
  </si>
  <si>
    <t xml:space="preserve">JR00043927</t>
  </si>
  <si>
    <t xml:space="preserve">JR00043929</t>
  </si>
  <si>
    <t xml:space="preserve">JR00043930</t>
  </si>
  <si>
    <t xml:space="preserve">JR00043931</t>
  </si>
  <si>
    <t xml:space="preserve">JR00043932</t>
  </si>
  <si>
    <t xml:space="preserve">JR00043933</t>
  </si>
  <si>
    <t xml:space="preserve">JR00043934</t>
  </si>
  <si>
    <t xml:space="preserve">JR00043935</t>
  </si>
  <si>
    <t xml:space="preserve">JR00043936</t>
  </si>
  <si>
    <t xml:space="preserve">F-G-39-A-03</t>
  </si>
  <si>
    <t xml:space="preserve">JR00043937</t>
  </si>
  <si>
    <t xml:space="preserve">F-G-15-A-01</t>
  </si>
  <si>
    <t xml:space="preserve">JR00043938</t>
  </si>
  <si>
    <t xml:space="preserve">F-G-05-A-03</t>
  </si>
  <si>
    <t xml:space="preserve">JR00043939</t>
  </si>
  <si>
    <t xml:space="preserve">F-G-09-D-03</t>
  </si>
  <si>
    <t xml:space="preserve">JR00043940</t>
  </si>
  <si>
    <t xml:space="preserve">F-G-03-A-03</t>
  </si>
  <si>
    <t xml:space="preserve">JR00043941</t>
  </si>
  <si>
    <t xml:space="preserve">JR00043942</t>
  </si>
  <si>
    <t xml:space="preserve">JR00043943</t>
  </si>
  <si>
    <t xml:space="preserve">JR00043944</t>
  </si>
  <si>
    <t xml:space="preserve">JR00043945</t>
  </si>
  <si>
    <t xml:space="preserve">JR00043946</t>
  </si>
  <si>
    <t xml:space="preserve">JR00043947</t>
  </si>
  <si>
    <t xml:space="preserve">JR00043948</t>
  </si>
  <si>
    <t xml:space="preserve">JR00050283</t>
  </si>
  <si>
    <t xml:space="preserve">F-G-07-C-03</t>
  </si>
  <si>
    <t xml:space="preserve">JR00053420</t>
  </si>
  <si>
    <t xml:space="preserve">F-G-03-A-01</t>
  </si>
  <si>
    <t xml:space="preserve">JR00047461-5379576</t>
  </si>
  <si>
    <t xml:space="preserve">SAMPLE</t>
  </si>
  <si>
    <t xml:space="preserve">JR00047441</t>
  </si>
  <si>
    <t xml:space="preserve">MWIN01175</t>
  </si>
  <si>
    <t xml:space="preserve">JR00047442</t>
  </si>
  <si>
    <t xml:space="preserve">JR00047443</t>
  </si>
  <si>
    <t xml:space="preserve">JR00047444</t>
  </si>
  <si>
    <t xml:space="preserve">JR00047445</t>
  </si>
  <si>
    <t xml:space="preserve">JR00049716</t>
  </si>
  <si>
    <t xml:space="preserve">SHRM00004324</t>
  </si>
  <si>
    <t xml:space="preserve">JR00049449</t>
  </si>
  <si>
    <t xml:space="preserve">DAMINT007022</t>
  </si>
  <si>
    <t xml:space="preserve">JR00047421</t>
  </si>
  <si>
    <t xml:space="preserve">WHRET00794</t>
  </si>
  <si>
    <t xml:space="preserve">JR00048703</t>
  </si>
  <si>
    <t xml:space="preserve">DAMINT00714</t>
  </si>
  <si>
    <t xml:space="preserve">C-C-01-A-02</t>
  </si>
  <si>
    <t xml:space="preserve">JR00048705</t>
  </si>
  <si>
    <t xml:space="preserve">JR00044897</t>
  </si>
  <si>
    <t xml:space="preserve">SHRM00004181</t>
  </si>
  <si>
    <t xml:space="preserve">JR00044898</t>
  </si>
  <si>
    <t xml:space="preserve">JR00044899</t>
  </si>
  <si>
    <t xml:space="preserve">JR00047701</t>
  </si>
  <si>
    <t xml:space="preserve">JR00047704</t>
  </si>
  <si>
    <t xml:space="preserve">JR00047706</t>
  </si>
  <si>
    <t xml:space="preserve">JR00047713</t>
  </si>
  <si>
    <t xml:space="preserve">JR00047729</t>
  </si>
  <si>
    <t xml:space="preserve">JR00047941</t>
  </si>
  <si>
    <t xml:space="preserve">MWIN01186</t>
  </si>
  <si>
    <t xml:space="preserve">JR00047942</t>
  </si>
  <si>
    <t xml:space="preserve">JR00047943</t>
  </si>
  <si>
    <t xml:space="preserve">JR00047944</t>
  </si>
  <si>
    <t xml:space="preserve">JR00047945</t>
  </si>
  <si>
    <t xml:space="preserve">JR00047946</t>
  </si>
  <si>
    <t xml:space="preserve">JR00047947</t>
  </si>
  <si>
    <t xml:space="preserve">JR00047948</t>
  </si>
  <si>
    <t xml:space="preserve">JR00047949</t>
  </si>
  <si>
    <t xml:space="preserve">JR00047950</t>
  </si>
  <si>
    <t xml:space="preserve">JR00047951</t>
  </si>
  <si>
    <t xml:space="preserve">JR00047952</t>
  </si>
  <si>
    <t xml:space="preserve">A0-AB-18-E-03</t>
  </si>
  <si>
    <t xml:space="preserve">JR00047953</t>
  </si>
  <si>
    <t xml:space="preserve">JR00047954</t>
  </si>
  <si>
    <t xml:space="preserve">A0-AB-18-E-01</t>
  </si>
  <si>
    <t xml:space="preserve">JR00047955</t>
  </si>
  <si>
    <t xml:space="preserve">A0-AB-18-D-03</t>
  </si>
  <si>
    <t xml:space="preserve">JR00047956</t>
  </si>
  <si>
    <t xml:space="preserve">JR00047957</t>
  </si>
  <si>
    <t xml:space="preserve">A0-AB-18-D-01</t>
  </si>
  <si>
    <t xml:space="preserve">JR00047958</t>
  </si>
  <si>
    <t xml:space="preserve">JR00047959</t>
  </si>
  <si>
    <t xml:space="preserve">JR00047960</t>
  </si>
  <si>
    <t xml:space="preserve">A0-AB-18-B-03</t>
  </si>
  <si>
    <t xml:space="preserve">JR00047961</t>
  </si>
  <si>
    <t xml:space="preserve">JR00049901</t>
  </si>
  <si>
    <t xml:space="preserve">MWIN01220</t>
  </si>
  <si>
    <t xml:space="preserve">JR00049902</t>
  </si>
  <si>
    <t xml:space="preserve">JR00049903</t>
  </si>
  <si>
    <t xml:space="preserve">JR00049904</t>
  </si>
  <si>
    <t xml:space="preserve">JR00049905</t>
  </si>
  <si>
    <t xml:space="preserve">JR00049906</t>
  </si>
  <si>
    <t xml:space="preserve">JR00049907</t>
  </si>
  <si>
    <t xml:space="preserve">JF00194096</t>
  </si>
  <si>
    <t xml:space="preserve">WHRET00802</t>
  </si>
  <si>
    <t xml:space="preserve">JF00194097</t>
  </si>
  <si>
    <t xml:space="preserve">JF00194098</t>
  </si>
  <si>
    <t xml:space="preserve">JF00194099</t>
  </si>
  <si>
    <t xml:space="preserve">JF00194100</t>
  </si>
  <si>
    <t xml:space="preserve">JF00194101</t>
  </si>
  <si>
    <t xml:space="preserve">JF00194105</t>
  </si>
  <si>
    <t xml:space="preserve">JR00049715</t>
  </si>
  <si>
    <t xml:space="preserve">SHRM00004323</t>
  </si>
  <si>
    <t xml:space="preserve">JR00043893</t>
  </si>
  <si>
    <t xml:space="preserve">MWIN01099</t>
  </si>
  <si>
    <t xml:space="preserve">JR00043894</t>
  </si>
  <si>
    <t xml:space="preserve">JR00043895</t>
  </si>
  <si>
    <t xml:space="preserve">JR00043896</t>
  </si>
  <si>
    <t xml:space="preserve">C-B-37-A-02</t>
  </si>
  <si>
    <t xml:space="preserve">JR00043897</t>
  </si>
  <si>
    <t xml:space="preserve">JR00043898</t>
  </si>
  <si>
    <t xml:space="preserve">JR00043899</t>
  </si>
  <si>
    <t xml:space="preserve">JR00043900</t>
  </si>
  <si>
    <t xml:space="preserve">JR00043901</t>
  </si>
  <si>
    <t xml:space="preserve">JR00043902</t>
  </si>
  <si>
    <t xml:space="preserve">JR00043904</t>
  </si>
  <si>
    <t xml:space="preserve">JR00043905</t>
  </si>
  <si>
    <t xml:space="preserve">JR00043906</t>
  </si>
  <si>
    <t xml:space="preserve">JR00043907</t>
  </si>
  <si>
    <t xml:space="preserve">JR00043908</t>
  </si>
  <si>
    <t xml:space="preserve">JR00043909</t>
  </si>
  <si>
    <t xml:space="preserve">JR00043910</t>
  </si>
  <si>
    <t xml:space="preserve">JR00043911</t>
  </si>
  <si>
    <t xml:space="preserve">JR00043912</t>
  </si>
  <si>
    <t xml:space="preserve">JR00043913</t>
  </si>
  <si>
    <t xml:space="preserve">JR00043914</t>
  </si>
  <si>
    <t xml:space="preserve">JR00043915</t>
  </si>
  <si>
    <t xml:space="preserve">JR00043916</t>
  </si>
  <si>
    <t xml:space="preserve">JR00043917</t>
  </si>
  <si>
    <t xml:space="preserve">JR00043918</t>
  </si>
  <si>
    <t xml:space="preserve">JR00043919</t>
  </si>
  <si>
    <t xml:space="preserve">JR00043920</t>
  </si>
  <si>
    <t xml:space="preserve">JR00043921</t>
  </si>
  <si>
    <t xml:space="preserve">JR00043922</t>
  </si>
  <si>
    <t xml:space="preserve">JR00049672</t>
  </si>
  <si>
    <t xml:space="preserve">MWIN01071</t>
  </si>
  <si>
    <t xml:space="preserve">F-H-16-D-03</t>
  </si>
  <si>
    <t xml:space="preserve">JR00049673</t>
  </si>
  <si>
    <t xml:space="preserve">JR00049674</t>
  </si>
  <si>
    <t xml:space="preserve">C-B-16-C-03</t>
  </si>
  <si>
    <t xml:space="preserve">JR00049675</t>
  </si>
  <si>
    <t xml:space="preserve">JR00049676</t>
  </si>
  <si>
    <t xml:space="preserve">JR00049677</t>
  </si>
  <si>
    <t xml:space="preserve">JR00049678</t>
  </si>
  <si>
    <t xml:space="preserve">JR00049679</t>
  </si>
  <si>
    <t xml:space="preserve">JR00049680</t>
  </si>
  <si>
    <t xml:space="preserve">JR00049684</t>
  </si>
  <si>
    <t xml:space="preserve">JR00049685</t>
  </si>
  <si>
    <t xml:space="preserve">C-B-36-C-03</t>
  </si>
  <si>
    <t xml:space="preserve">JR00049686</t>
  </si>
  <si>
    <t xml:space="preserve">JR00049687</t>
  </si>
  <si>
    <t xml:space="preserve">C-B-41-C-01</t>
  </si>
  <si>
    <t xml:space="preserve">JR00049688</t>
  </si>
  <si>
    <t xml:space="preserve">C-B-39-C-03</t>
  </si>
  <si>
    <t xml:space="preserve">JR00049689</t>
  </si>
  <si>
    <t xml:space="preserve">F-H-37-D-03</t>
  </si>
  <si>
    <t xml:space="preserve">JR00049690</t>
  </si>
  <si>
    <t xml:space="preserve">C-A-36-C-01</t>
  </si>
  <si>
    <t xml:space="preserve">JR00050459</t>
  </si>
  <si>
    <t xml:space="preserve">President Cream Cheese Bucket 3x2kg</t>
  </si>
  <si>
    <t xml:space="preserve">MWIN01252</t>
  </si>
  <si>
    <t xml:space="preserve">JR00050460</t>
  </si>
  <si>
    <t xml:space="preserve">President Whipping Cream1L 35%- 6x1</t>
  </si>
  <si>
    <t xml:space="preserve">JR00050461</t>
  </si>
  <si>
    <t xml:space="preserve">President Cream Cheese Bucket 10kg</t>
  </si>
  <si>
    <t xml:space="preserve">JR00054701</t>
  </si>
  <si>
    <t xml:space="preserve">FCK1108</t>
  </si>
  <si>
    <r>
      <rPr>
        <sz val="11"/>
        <color theme="1"/>
        <rFont val="Calibri"/>
        <family val="2"/>
        <charset val="1"/>
      </rPr>
      <t xml:space="preserve">Breaded Chicken Strips â€“ Country Style (Chefâ€™s Line) 10</t>
    </r>
    <r>
      <rPr>
        <sz val="11"/>
        <color theme="1"/>
        <rFont val="Noto Sans Devanagari"/>
        <family val="2"/>
        <charset val="1"/>
      </rPr>
      <t xml:space="preserve">أ—</t>
    </r>
    <r>
      <rPr>
        <sz val="11"/>
        <color theme="1"/>
        <rFont val="Calibri"/>
        <family val="2"/>
        <charset val="1"/>
      </rPr>
      <t xml:space="preserve">1 kg</t>
    </r>
  </si>
  <si>
    <t xml:space="preserve">MWIN01361</t>
  </si>
  <si>
    <t xml:space="preserve">JR00054702</t>
  </si>
  <si>
    <t xml:space="preserve">JR00054703</t>
  </si>
  <si>
    <t xml:space="preserve">A0-AA-08-D-03</t>
  </si>
  <si>
    <t xml:space="preserve">JR00054704</t>
  </si>
  <si>
    <t xml:space="preserve">FCK1109</t>
  </si>
  <si>
    <t xml:space="preserve">Breaded Chicken Strips â€“ Country Style Sriracha (Chefâ€™s Line)</t>
  </si>
  <si>
    <t xml:space="preserve">JR00054705</t>
  </si>
  <si>
    <t xml:space="preserve">JR00054706</t>
  </si>
  <si>
    <t xml:space="preserve">JR00054707</t>
  </si>
  <si>
    <t xml:space="preserve">FCK1106</t>
  </si>
  <si>
    <r>
      <rPr>
        <sz val="11"/>
        <color theme="1"/>
        <rFont val="Calibri"/>
        <family val="2"/>
        <charset val="1"/>
      </rPr>
      <t xml:space="preserve">Breaded Chicken â€“ Country Style 4 oz (Chefâ€™s Line) 5</t>
    </r>
    <r>
      <rPr>
        <sz val="11"/>
        <color theme="1"/>
        <rFont val="Noto Sans Devanagari"/>
        <family val="2"/>
        <charset val="1"/>
      </rPr>
      <t xml:space="preserve">أ—</t>
    </r>
    <r>
      <rPr>
        <sz val="11"/>
        <color theme="1"/>
        <rFont val="Calibri"/>
        <family val="2"/>
        <charset val="1"/>
      </rPr>
      <t xml:space="preserve">2 kg</t>
    </r>
  </si>
  <si>
    <t xml:space="preserve">JR00054709</t>
  </si>
  <si>
    <t xml:space="preserve">A0-AB-04-D-01</t>
  </si>
  <si>
    <t xml:space="preserve">JR00054710</t>
  </si>
  <si>
    <t xml:space="preserve">FCK1107</t>
  </si>
  <si>
    <r>
      <rPr>
        <sz val="11"/>
        <color theme="1"/>
        <rFont val="Calibri"/>
        <family val="2"/>
        <charset val="1"/>
      </rPr>
      <t xml:space="preserve">Breaded Chicken â€“ Country Style Sriracha 4 oz (Chefâ€™s Line) 5</t>
    </r>
    <r>
      <rPr>
        <sz val="11"/>
        <color theme="1"/>
        <rFont val="Noto Sans Devanagari"/>
        <family val="2"/>
        <charset val="1"/>
      </rPr>
      <t xml:space="preserve">أ—</t>
    </r>
    <r>
      <rPr>
        <sz val="11"/>
        <color theme="1"/>
        <rFont val="Calibri"/>
        <family val="2"/>
        <charset val="1"/>
      </rPr>
      <t xml:space="preserve">2</t>
    </r>
  </si>
  <si>
    <t xml:space="preserve">JR00054711</t>
  </si>
  <si>
    <t xml:space="preserve">JR00053650</t>
  </si>
  <si>
    <t xml:space="preserve">MWIN01234</t>
  </si>
  <si>
    <t xml:space="preserve">F-G-41-A-01</t>
  </si>
  <si>
    <t xml:space="preserve">JR00053651</t>
  </si>
  <si>
    <t xml:space="preserve">F-G-45-A-01</t>
  </si>
  <si>
    <t xml:space="preserve">JR00053652</t>
  </si>
  <si>
    <t xml:space="preserve">JR00053653</t>
  </si>
  <si>
    <t xml:space="preserve">C-D-20-A-03</t>
  </si>
  <si>
    <t xml:space="preserve">JR00053654</t>
  </si>
  <si>
    <t xml:space="preserve">F-G-11-A-01</t>
  </si>
  <si>
    <t xml:space="preserve">JR00053655</t>
  </si>
  <si>
    <t xml:space="preserve">C-D-06-A-01</t>
  </si>
  <si>
    <t xml:space="preserve">JR00053656</t>
  </si>
  <si>
    <t xml:space="preserve">C-D-12-A-01</t>
  </si>
  <si>
    <t xml:space="preserve">JR00053657</t>
  </si>
  <si>
    <t xml:space="preserve">C-D-08-A-01</t>
  </si>
  <si>
    <t xml:space="preserve">JR00053658</t>
  </si>
  <si>
    <t xml:space="preserve">F-G-26-A-01</t>
  </si>
  <si>
    <t xml:space="preserve">JR00053659</t>
  </si>
  <si>
    <t xml:space="preserve">JR00053660</t>
  </si>
  <si>
    <t xml:space="preserve">F-G-45-A-03</t>
  </si>
  <si>
    <t xml:space="preserve">JR00053661</t>
  </si>
  <si>
    <t xml:space="preserve">C-D-18-A-01</t>
  </si>
  <si>
    <t xml:space="preserve">JR00053662</t>
  </si>
  <si>
    <t xml:space="preserve">C-D-18-A-03</t>
  </si>
  <si>
    <t xml:space="preserve">JR00053663-5791361</t>
  </si>
  <si>
    <t xml:space="preserve">JR00053664-5791357</t>
  </si>
  <si>
    <t xml:space="preserve">C-D-14-A-01</t>
  </si>
  <si>
    <t xml:space="preserve">JR00053665</t>
  </si>
  <si>
    <t xml:space="preserve">C-D-10-A-01</t>
  </si>
  <si>
    <t xml:space="preserve">JR00053666</t>
  </si>
  <si>
    <t xml:space="preserve">C-D-02-A-01</t>
  </si>
  <si>
    <t xml:space="preserve">JR00053667</t>
  </si>
  <si>
    <t xml:space="preserve">C-D-08-A-03</t>
  </si>
  <si>
    <t xml:space="preserve">JR00053668</t>
  </si>
  <si>
    <t xml:space="preserve">C-D-06-A-03</t>
  </si>
  <si>
    <t xml:space="preserve">JR00053669-5791322</t>
  </si>
  <si>
    <t xml:space="preserve">C-D-16-A-01</t>
  </si>
  <si>
    <t xml:space="preserve">JR00053670</t>
  </si>
  <si>
    <t xml:space="preserve">C-D-16-A-03</t>
  </si>
  <si>
    <t xml:space="preserve">JR00053671-5791333</t>
  </si>
  <si>
    <t xml:space="preserve">C-D-14-A-03</t>
  </si>
  <si>
    <t xml:space="preserve">JR00053672</t>
  </si>
  <si>
    <t xml:space="preserve">JR00053673</t>
  </si>
  <si>
    <t xml:space="preserve">C-D-04-A-01</t>
  </si>
  <si>
    <t xml:space="preserve">JR00053674</t>
  </si>
  <si>
    <t xml:space="preserve">F-G-07-A-03</t>
  </si>
  <si>
    <t xml:space="preserve">JR00053675</t>
  </si>
  <si>
    <t xml:space="preserve">JR00053676</t>
  </si>
  <si>
    <t xml:space="preserve">C-D-10-A-03</t>
  </si>
  <si>
    <t xml:space="preserve">JR00053677</t>
  </si>
  <si>
    <t xml:space="preserve">JR00053678</t>
  </si>
  <si>
    <t xml:space="preserve">C-D-04-A-03</t>
  </si>
  <si>
    <t xml:space="preserve">JR00051918</t>
  </si>
  <si>
    <t xml:space="preserve">SHRM00004741</t>
  </si>
  <si>
    <t xml:space="preserve">F-H-14-C-01</t>
  </si>
  <si>
    <t xml:space="preserve">JR00051931</t>
  </si>
  <si>
    <t xml:space="preserve">F-G-28-C-01</t>
  </si>
  <si>
    <t xml:space="preserve">JR00051965</t>
  </si>
  <si>
    <t xml:space="preserve">JR00051972</t>
  </si>
  <si>
    <t xml:space="preserve">F-H-12-C-03</t>
  </si>
  <si>
    <t xml:space="preserve">JR00054495</t>
  </si>
  <si>
    <t xml:space="preserve">F-G-31-B-03</t>
  </si>
  <si>
    <t xml:space="preserve">JR00053838</t>
  </si>
  <si>
    <t xml:space="preserve">MWIN01348_2</t>
  </si>
  <si>
    <t xml:space="preserve">F-G-09-C-01</t>
  </si>
  <si>
    <t xml:space="preserve">JR00053839</t>
  </si>
  <si>
    <t xml:space="preserve">F-G-03-C-03</t>
  </si>
  <si>
    <t xml:space="preserve">JR00053840</t>
  </si>
  <si>
    <t xml:space="preserve">F-G-07-C-01</t>
  </si>
  <si>
    <t xml:space="preserve">JR00053841</t>
  </si>
  <si>
    <t xml:space="preserve">F-G-20-C-01</t>
  </si>
  <si>
    <t xml:space="preserve">JR00053842</t>
  </si>
  <si>
    <t xml:space="preserve">JR00053843</t>
  </si>
  <si>
    <t xml:space="preserve">F-G-03-C-01</t>
  </si>
  <si>
    <t xml:space="preserve">JR00053844</t>
  </si>
  <si>
    <t xml:space="preserve">F-H-43-B-01</t>
  </si>
  <si>
    <t xml:space="preserve">JR00053845</t>
  </si>
  <si>
    <t xml:space="preserve">JR00053846</t>
  </si>
  <si>
    <t xml:space="preserve">JR00053847</t>
  </si>
  <si>
    <t xml:space="preserve">JR00053848</t>
  </si>
  <si>
    <t xml:space="preserve">JR00053849</t>
  </si>
  <si>
    <t xml:space="preserve">F-G-11-B-01</t>
  </si>
  <si>
    <t xml:space="preserve">JR00053850</t>
  </si>
  <si>
    <t xml:space="preserve">JR00053851</t>
  </si>
  <si>
    <t xml:space="preserve">F-H-30-C-01</t>
  </si>
  <si>
    <t xml:space="preserve">JR00053852</t>
  </si>
  <si>
    <t xml:space="preserve">F-H-30-C-02</t>
  </si>
  <si>
    <t xml:space="preserve">JR00053853</t>
  </si>
  <si>
    <t xml:space="preserve">JR00053855</t>
  </si>
  <si>
    <t xml:space="preserve">JR00053857</t>
  </si>
  <si>
    <t xml:space="preserve">JR00053858</t>
  </si>
  <si>
    <t xml:space="preserve">F-H-33-B-03</t>
  </si>
  <si>
    <t xml:space="preserve">JR00053859</t>
  </si>
  <si>
    <t xml:space="preserve">F-G-05-C-03</t>
  </si>
  <si>
    <t xml:space="preserve">JR00053860</t>
  </si>
  <si>
    <t xml:space="preserve">F-G-05-C-01</t>
  </si>
  <si>
    <t xml:space="preserve">JR00053861</t>
  </si>
  <si>
    <t xml:space="preserve">JR00053862</t>
  </si>
  <si>
    <t xml:space="preserve">F-G-09-C-03</t>
  </si>
  <si>
    <t xml:space="preserve">JR00056814</t>
  </si>
  <si>
    <t xml:space="preserve">F-H-44-C-01</t>
  </si>
  <si>
    <t xml:space="preserve">JR00056815</t>
  </si>
  <si>
    <t xml:space="preserve">JR00053878</t>
  </si>
  <si>
    <t xml:space="preserve">MWIN01348_1</t>
  </si>
  <si>
    <t xml:space="preserve">JR00053879</t>
  </si>
  <si>
    <t xml:space="preserve">F-G-17-B-03</t>
  </si>
  <si>
    <t xml:space="preserve">JR00053881</t>
  </si>
  <si>
    <t xml:space="preserve">F-G-05-B-03</t>
  </si>
  <si>
    <t xml:space="preserve">JR00053882</t>
  </si>
  <si>
    <t xml:space="preserve">F-G-29-A-01</t>
  </si>
  <si>
    <t xml:space="preserve">JR00053883</t>
  </si>
  <si>
    <t xml:space="preserve">F-G-05-B-01</t>
  </si>
  <si>
    <t xml:space="preserve">JR00053884</t>
  </si>
  <si>
    <t xml:space="preserve">JR00053885</t>
  </si>
  <si>
    <t xml:space="preserve">F-G-07-B-01</t>
  </si>
  <si>
    <t xml:space="preserve">JR00053886</t>
  </si>
  <si>
    <t xml:space="preserve">JR00053887</t>
  </si>
  <si>
    <t xml:space="preserve">F-H-42-C-01</t>
  </si>
  <si>
    <t xml:space="preserve">JR00053888</t>
  </si>
  <si>
    <t xml:space="preserve">JR00053889</t>
  </si>
  <si>
    <t xml:space="preserve">JR00053890</t>
  </si>
  <si>
    <t xml:space="preserve">F-H-08-A-01</t>
  </si>
  <si>
    <t xml:space="preserve">JR00053891</t>
  </si>
  <si>
    <t xml:space="preserve">F-H-44-C-03</t>
  </si>
  <si>
    <t xml:space="preserve">JR00053892</t>
  </si>
  <si>
    <t xml:space="preserve">F-H-43-A-03</t>
  </si>
  <si>
    <t xml:space="preserve">JR00053894</t>
  </si>
  <si>
    <t xml:space="preserve">F-G-27-C-03</t>
  </si>
  <si>
    <t xml:space="preserve">JR00053895</t>
  </si>
  <si>
    <t xml:space="preserve">F-G-17-B-01</t>
  </si>
  <si>
    <t xml:space="preserve">JR00053896</t>
  </si>
  <si>
    <t xml:space="preserve">F-H-06-A-01</t>
  </si>
  <si>
    <t xml:space="preserve">JR00053897</t>
  </si>
  <si>
    <t xml:space="preserve">F-G-17-C-03</t>
  </si>
  <si>
    <t xml:space="preserve">JR00053898</t>
  </si>
  <si>
    <t xml:space="preserve">F-G-17-C-01</t>
  </si>
  <si>
    <t xml:space="preserve">JR00053900</t>
  </si>
  <si>
    <t xml:space="preserve">F-G-07-B-03</t>
  </si>
  <si>
    <t xml:space="preserve">JR00053161</t>
  </si>
  <si>
    <t xml:space="preserve">MWIN01340</t>
  </si>
  <si>
    <t xml:space="preserve">A0-AB-17-A-03</t>
  </si>
  <si>
    <t xml:space="preserve">JR00053162</t>
  </si>
  <si>
    <t xml:space="preserve">JR00053163</t>
  </si>
  <si>
    <t xml:space="preserve">JR00053164</t>
  </si>
  <si>
    <t xml:space="preserve">JR00053165</t>
  </si>
  <si>
    <t xml:space="preserve">JR00053166</t>
  </si>
  <si>
    <t xml:space="preserve">JR00053167</t>
  </si>
  <si>
    <t xml:space="preserve">JR00053168</t>
  </si>
  <si>
    <t xml:space="preserve">A0-AA-14-C-01</t>
  </si>
  <si>
    <t xml:space="preserve">JR00053169</t>
  </si>
  <si>
    <t xml:space="preserve">JR00053170</t>
  </si>
  <si>
    <t xml:space="preserve">JR00053171</t>
  </si>
  <si>
    <t xml:space="preserve">JR00053172</t>
  </si>
  <si>
    <t xml:space="preserve">JR00053173</t>
  </si>
  <si>
    <t xml:space="preserve">JR00053174</t>
  </si>
  <si>
    <t xml:space="preserve">JR00053175</t>
  </si>
  <si>
    <t xml:space="preserve">JR00053176</t>
  </si>
  <si>
    <t xml:space="preserve">JR00053177</t>
  </si>
  <si>
    <t xml:space="preserve">JR00053178</t>
  </si>
  <si>
    <t xml:space="preserve">JR00053179</t>
  </si>
  <si>
    <t xml:space="preserve">A0-AB-17-E-03</t>
  </si>
  <si>
    <t xml:space="preserve">JR00053180</t>
  </si>
  <si>
    <t xml:space="preserve">JR00054529</t>
  </si>
  <si>
    <t xml:space="preserve">SHRM00004701</t>
  </si>
  <si>
    <t xml:space="preserve">JR00054530</t>
  </si>
  <si>
    <t xml:space="preserve">JR00051734</t>
  </si>
  <si>
    <t xml:space="preserve">MWIN01148</t>
  </si>
  <si>
    <t xml:space="preserve">F-H-02-C-01</t>
  </si>
  <si>
    <t xml:space="preserve">JR00051735</t>
  </si>
  <si>
    <t xml:space="preserve">JR00051736</t>
  </si>
  <si>
    <t xml:space="preserve">F-G-26-B-03</t>
  </si>
  <si>
    <t xml:space="preserve">JR00051737</t>
  </si>
  <si>
    <t xml:space="preserve">F-G-08-A-01</t>
  </si>
  <si>
    <t xml:space="preserve">JR00051738</t>
  </si>
  <si>
    <t xml:space="preserve">JR00051739</t>
  </si>
  <si>
    <t xml:space="preserve">F-G-12-A-02</t>
  </si>
  <si>
    <t xml:space="preserve">JR00051740</t>
  </si>
  <si>
    <t xml:space="preserve">F-H-43-B-03</t>
  </si>
  <si>
    <t xml:space="preserve">JR00051741</t>
  </si>
  <si>
    <t xml:space="preserve">JR00051742</t>
  </si>
  <si>
    <t xml:space="preserve">F-H-45-A-01</t>
  </si>
  <si>
    <t xml:space="preserve">JR00051743</t>
  </si>
  <si>
    <t xml:space="preserve">JR00051744</t>
  </si>
  <si>
    <t xml:space="preserve">F-H-26-B-01</t>
  </si>
  <si>
    <t xml:space="preserve">JR00051745</t>
  </si>
  <si>
    <t xml:space="preserve">F-H-14-B-03</t>
  </si>
  <si>
    <t xml:space="preserve">JR00051746</t>
  </si>
  <si>
    <t xml:space="preserve">F-H-24-A-02</t>
  </si>
  <si>
    <t xml:space="preserve">JR00051747</t>
  </si>
  <si>
    <t xml:space="preserve">F-H-16-B-03</t>
  </si>
  <si>
    <t xml:space="preserve">JR00051748</t>
  </si>
  <si>
    <t xml:space="preserve">JR00051749</t>
  </si>
  <si>
    <t xml:space="preserve">JR00051750</t>
  </si>
  <si>
    <t xml:space="preserve">F-H-04-B-01</t>
  </si>
  <si>
    <t xml:space="preserve">JR00051751</t>
  </si>
  <si>
    <t xml:space="preserve">F-H-26-A-03</t>
  </si>
  <si>
    <t xml:space="preserve">JR00051753</t>
  </si>
  <si>
    <t xml:space="preserve">JR00056866</t>
  </si>
  <si>
    <t xml:space="preserve">JR00059877</t>
  </si>
  <si>
    <t xml:space="preserve">F-H-42-A-05</t>
  </si>
  <si>
    <t xml:space="preserve">JR00051732</t>
  </si>
  <si>
    <t xml:space="preserve">SHRM00004641</t>
  </si>
  <si>
    <t xml:space="preserve">F-H-32-B-02</t>
  </si>
  <si>
    <t xml:space="preserve">JR00050701</t>
  </si>
  <si>
    <t xml:space="preserve">S39153F</t>
  </si>
  <si>
    <t xml:space="preserve">JR00054842</t>
  </si>
  <si>
    <t xml:space="preserve">KITKAT 2F 18(36*20.5G) PR 15% EXTRA XA</t>
  </si>
  <si>
    <t xml:space="preserve">MWIN01395</t>
  </si>
  <si>
    <t xml:space="preserve">F-G-09-E-01</t>
  </si>
  <si>
    <t xml:space="preserve">JR00054843</t>
  </si>
  <si>
    <t xml:space="preserve">F-G-05-E-01</t>
  </si>
  <si>
    <t xml:space="preserve">JR00054844</t>
  </si>
  <si>
    <t xml:space="preserve">F-G-05-E-03</t>
  </si>
  <si>
    <t xml:space="preserve">JR00054845</t>
  </si>
  <si>
    <t xml:space="preserve">F-G-07-D-01</t>
  </si>
  <si>
    <t xml:space="preserve">JR00054846</t>
  </si>
  <si>
    <t xml:space="preserve">F-G-07-D-03</t>
  </si>
  <si>
    <t xml:space="preserve">JR00054847</t>
  </si>
  <si>
    <t xml:space="preserve">JR00054848</t>
  </si>
  <si>
    <t xml:space="preserve">JR00054849</t>
  </si>
  <si>
    <t xml:space="preserve">JR00054497</t>
  </si>
  <si>
    <t xml:space="preserve">MWIN01301</t>
  </si>
  <si>
    <t xml:space="preserve">JR00054498</t>
  </si>
  <si>
    <t xml:space="preserve">JR00054499</t>
  </si>
  <si>
    <t xml:space="preserve">F-H-40-B-01</t>
  </si>
  <si>
    <t xml:space="preserve">JR00054500</t>
  </si>
  <si>
    <t xml:space="preserve">JR00054501</t>
  </si>
  <si>
    <t xml:space="preserve">F-H-40-B-03</t>
  </si>
  <si>
    <t xml:space="preserve">JR00054502</t>
  </si>
  <si>
    <t xml:space="preserve">JR00054503</t>
  </si>
  <si>
    <t xml:space="preserve">F-H-29-B-03</t>
  </si>
  <si>
    <t xml:space="preserve">JR00054504</t>
  </si>
  <si>
    <t xml:space="preserve">F-H-44-B-02</t>
  </si>
  <si>
    <t xml:space="preserve">JR00054505</t>
  </si>
  <si>
    <t xml:space="preserve">F-H-42-B-02</t>
  </si>
  <si>
    <t xml:space="preserve">JR00054506</t>
  </si>
  <si>
    <t xml:space="preserve">JR00054507</t>
  </si>
  <si>
    <t xml:space="preserve">JR00054508</t>
  </si>
  <si>
    <t xml:space="preserve">JR00054509</t>
  </si>
  <si>
    <t xml:space="preserve">JR00054510</t>
  </si>
  <si>
    <t xml:space="preserve">JR00054511</t>
  </si>
  <si>
    <t xml:space="preserve">JR00054512</t>
  </si>
  <si>
    <t xml:space="preserve">C-A-01-C-01</t>
  </si>
  <si>
    <t xml:space="preserve">JR00054513</t>
  </si>
  <si>
    <t xml:space="preserve">JR00054514</t>
  </si>
  <si>
    <t xml:space="preserve">JR00054515</t>
  </si>
  <si>
    <t xml:space="preserve">JR00054516</t>
  </si>
  <si>
    <t xml:space="preserve">JR00054517</t>
  </si>
  <si>
    <t xml:space="preserve">JR00054518</t>
  </si>
  <si>
    <t xml:space="preserve">JR00054519</t>
  </si>
  <si>
    <t xml:space="preserve">JR00054520</t>
  </si>
  <si>
    <t xml:space="preserve">NESTLE Vend Mix Cardamom Pouch 16x1kg AE</t>
  </si>
  <si>
    <t xml:space="preserve">MWIN01380</t>
  </si>
  <si>
    <t xml:space="preserve">F-H-46-A-01</t>
  </si>
  <si>
    <t xml:space="preserve">JR00054521</t>
  </si>
  <si>
    <t xml:space="preserve">NESCAFE Espresso WHLBEANCOFF 6*1kg N2 X1</t>
  </si>
  <si>
    <t xml:space="preserve">JR00054522</t>
  </si>
  <si>
    <t xml:space="preserve">NESTLE ALEGRIA SemiSkmd MPwdr 10x500g AE</t>
  </si>
  <si>
    <t xml:space="preserve">JR00054523</t>
  </si>
  <si>
    <t xml:space="preserve">NESTLE ALEGRIA CacaomixMilky Pch10x1kgXI</t>
  </si>
  <si>
    <t xml:space="preserve">JR00054524</t>
  </si>
  <si>
    <t xml:space="preserve">Nescafe Cappuccino Caramel 16x1kg XA</t>
  </si>
  <si>
    <t xml:space="preserve">JR00051755</t>
  </si>
  <si>
    <t xml:space="preserve">RIYADH01285</t>
  </si>
  <si>
    <t xml:space="preserve">F-G-02-B-01</t>
  </si>
  <si>
    <t xml:space="preserve">JR00050967</t>
  </si>
  <si>
    <t xml:space="preserve">MWIN01256</t>
  </si>
  <si>
    <t xml:space="preserve">JR00050968</t>
  </si>
  <si>
    <t xml:space="preserve">JR00050969</t>
  </si>
  <si>
    <t xml:space="preserve">JR00050970</t>
  </si>
  <si>
    <t xml:space="preserve">JR00053155</t>
  </si>
  <si>
    <t xml:space="preserve">SHRM00004661</t>
  </si>
  <si>
    <t xml:space="preserve">A0-AB-15-C-01</t>
  </si>
  <si>
    <t xml:space="preserve">JR00053863</t>
  </si>
  <si>
    <t xml:space="preserve">MWIN01348</t>
  </si>
  <si>
    <t xml:space="preserve">F-H-42-C-03</t>
  </si>
  <si>
    <t xml:space="preserve">JR00053865</t>
  </si>
  <si>
    <t xml:space="preserve">F-G-10-D-03</t>
  </si>
  <si>
    <t xml:space="preserve">JR00053866</t>
  </si>
  <si>
    <t xml:space="preserve">F-G-12-D-03</t>
  </si>
  <si>
    <t xml:space="preserve">JR00053867</t>
  </si>
  <si>
    <t xml:space="preserve">F-G-25-C-03</t>
  </si>
  <si>
    <t xml:space="preserve">JR00053868</t>
  </si>
  <si>
    <t xml:space="preserve">JR00053869</t>
  </si>
  <si>
    <t xml:space="preserve">F-G-16-D-03</t>
  </si>
  <si>
    <t xml:space="preserve">JR00053870</t>
  </si>
  <si>
    <t xml:space="preserve">F-G-08-D-03</t>
  </si>
  <si>
    <t xml:space="preserve">JR00053871</t>
  </si>
  <si>
    <t xml:space="preserve">F-G-18-C-01</t>
  </si>
  <si>
    <t xml:space="preserve">JR00053872</t>
  </si>
  <si>
    <t xml:space="preserve">JR00053873</t>
  </si>
  <si>
    <t xml:space="preserve">MAGGI Beef Bouillon 24(24x18g) XA</t>
  </si>
  <si>
    <t xml:space="preserve">F-G-06-D-03</t>
  </si>
  <si>
    <t xml:space="preserve">JR00053874</t>
  </si>
  <si>
    <t xml:space="preserve">F-G-06-D-01</t>
  </si>
  <si>
    <t xml:space="preserve">JR00053875</t>
  </si>
  <si>
    <t xml:space="preserve">JR00053696</t>
  </si>
  <si>
    <t xml:space="preserve">MWIN01349</t>
  </si>
  <si>
    <t xml:space="preserve">JR00053697</t>
  </si>
  <si>
    <t xml:space="preserve">A0-AB-13-C-03</t>
  </si>
  <si>
    <t xml:space="preserve">JR00053698</t>
  </si>
  <si>
    <t xml:space="preserve">A0-AB-13-D-01</t>
  </si>
  <si>
    <t xml:space="preserve">JR00053699</t>
  </si>
  <si>
    <t xml:space="preserve">JR00053700</t>
  </si>
  <si>
    <t xml:space="preserve">JR00053701</t>
  </si>
  <si>
    <t xml:space="preserve">A0-AB-15-B-01</t>
  </si>
  <si>
    <t xml:space="preserve">JR00053702</t>
  </si>
  <si>
    <t xml:space="preserve">A0-AB-14-E-03</t>
  </si>
  <si>
    <t xml:space="preserve">JR00053703</t>
  </si>
  <si>
    <t xml:space="preserve">A0-AB-14-E-01</t>
  </si>
  <si>
    <t xml:space="preserve">JR00053704</t>
  </si>
  <si>
    <t xml:space="preserve">A0-AB-16-E-01</t>
  </si>
  <si>
    <t xml:space="preserve">JR00053705</t>
  </si>
  <si>
    <t xml:space="preserve">JR00053706</t>
  </si>
  <si>
    <t xml:space="preserve">JR00053707</t>
  </si>
  <si>
    <t xml:space="preserve">A0-AB-16-E-03</t>
  </si>
  <si>
    <t xml:space="preserve">JR00053708</t>
  </si>
  <si>
    <t xml:space="preserve">A0-AB-16-D-01</t>
  </si>
  <si>
    <t xml:space="preserve">JR00053709</t>
  </si>
  <si>
    <t xml:space="preserve">JR00053710</t>
  </si>
  <si>
    <t xml:space="preserve">JR00053711</t>
  </si>
  <si>
    <t xml:space="preserve">JR00053712</t>
  </si>
  <si>
    <t xml:space="preserve">JR00053713</t>
  </si>
  <si>
    <t xml:space="preserve">JR00053714</t>
  </si>
  <si>
    <t xml:space="preserve">A0-AB-16-A-01</t>
  </si>
  <si>
    <t xml:space="preserve">JR00053715</t>
  </si>
  <si>
    <t xml:space="preserve">A0-AB-20-A-01</t>
  </si>
  <si>
    <t xml:space="preserve">JR00054067</t>
  </si>
  <si>
    <t xml:space="preserve">MWIN01344</t>
  </si>
  <si>
    <t xml:space="preserve">JR00054068</t>
  </si>
  <si>
    <t xml:space="preserve">JR00054069</t>
  </si>
  <si>
    <t xml:space="preserve">JR00054070</t>
  </si>
  <si>
    <t xml:space="preserve">A0-AA-17-B-03</t>
  </si>
  <si>
    <t xml:space="preserve">JR00054071</t>
  </si>
  <si>
    <t xml:space="preserve">JR00054072</t>
  </si>
  <si>
    <t xml:space="preserve">JR00054074</t>
  </si>
  <si>
    <t xml:space="preserve">JR00054075</t>
  </si>
  <si>
    <t xml:space="preserve">JR00054076</t>
  </si>
  <si>
    <t xml:space="preserve">JR00054077</t>
  </si>
  <si>
    <t xml:space="preserve">JR00054078</t>
  </si>
  <si>
    <t xml:space="preserve">JR00054079</t>
  </si>
  <si>
    <t xml:space="preserve">JR00054081</t>
  </si>
  <si>
    <t xml:space="preserve">JR00054082</t>
  </si>
  <si>
    <t xml:space="preserve">JR00054083</t>
  </si>
  <si>
    <t xml:space="preserve">JR00054084</t>
  </si>
  <si>
    <t xml:space="preserve">JR00054085</t>
  </si>
  <si>
    <t xml:space="preserve">JR00054086</t>
  </si>
  <si>
    <t xml:space="preserve">JR00054087</t>
  </si>
  <si>
    <t xml:space="preserve">A0-AA-19-D-01</t>
  </si>
  <si>
    <t xml:space="preserve">JR00054088</t>
  </si>
  <si>
    <t xml:space="preserve">JR00054089</t>
  </si>
  <si>
    <t xml:space="preserve">JR00054090</t>
  </si>
  <si>
    <t xml:space="preserve">JR00054091</t>
  </si>
  <si>
    <t xml:space="preserve">JR00054092</t>
  </si>
  <si>
    <t xml:space="preserve">JR00054094</t>
  </si>
  <si>
    <t xml:space="preserve">JR00054095</t>
  </si>
  <si>
    <t xml:space="preserve">JR00054096</t>
  </si>
  <si>
    <t xml:space="preserve">JR00054097</t>
  </si>
  <si>
    <t xml:space="preserve">JR00054098</t>
  </si>
  <si>
    <t xml:space="preserve">JR00054099</t>
  </si>
  <si>
    <t xml:space="preserve">JR00054100</t>
  </si>
  <si>
    <t xml:space="preserve">JR00054101</t>
  </si>
  <si>
    <t xml:space="preserve">JR00054102</t>
  </si>
  <si>
    <t xml:space="preserve">JR00054103</t>
  </si>
  <si>
    <t xml:space="preserve">JR00054104</t>
  </si>
  <si>
    <t xml:space="preserve">JR00054105</t>
  </si>
  <si>
    <t xml:space="preserve">JR00054106</t>
  </si>
  <si>
    <t xml:space="preserve">JR00054107</t>
  </si>
  <si>
    <t xml:space="preserve">JR00049342</t>
  </si>
  <si>
    <t xml:space="preserve">MWIN01110</t>
  </si>
  <si>
    <t xml:space="preserve">C-B-04-B-03</t>
  </si>
  <si>
    <t xml:space="preserve">JR00049343</t>
  </si>
  <si>
    <t xml:space="preserve">C-B-12-A-01</t>
  </si>
  <si>
    <t xml:space="preserve">JR00049344</t>
  </si>
  <si>
    <t xml:space="preserve">JR00049345</t>
  </si>
  <si>
    <t xml:space="preserve">JR00049347</t>
  </si>
  <si>
    <t xml:space="preserve">JR00049348</t>
  </si>
  <si>
    <t xml:space="preserve">C-C-19-C-03</t>
  </si>
  <si>
    <t xml:space="preserve">JR00049349</t>
  </si>
  <si>
    <t xml:space="preserve">JR00049350</t>
  </si>
  <si>
    <t xml:space="preserve">JR00049351</t>
  </si>
  <si>
    <t xml:space="preserve">JR00049352</t>
  </si>
  <si>
    <t xml:space="preserve">JR00049353</t>
  </si>
  <si>
    <t xml:space="preserve">JR00049354</t>
  </si>
  <si>
    <t xml:space="preserve">JR00049355</t>
  </si>
  <si>
    <t xml:space="preserve">JR00049356</t>
  </si>
  <si>
    <t xml:space="preserve">JR00049357</t>
  </si>
  <si>
    <t xml:space="preserve">C-C-43-B-01</t>
  </si>
  <si>
    <t xml:space="preserve">JR00049358</t>
  </si>
  <si>
    <t xml:space="preserve">JR00049359</t>
  </si>
  <si>
    <t xml:space="preserve">C-C-11-B-01</t>
  </si>
  <si>
    <t xml:space="preserve">JR00049360</t>
  </si>
  <si>
    <t xml:space="preserve">C-C-11-B-03</t>
  </si>
  <si>
    <t xml:space="preserve">JR00049361</t>
  </si>
  <si>
    <t xml:space="preserve">C-C-13-B-01</t>
  </si>
  <si>
    <t xml:space="preserve">JR00049362</t>
  </si>
  <si>
    <t xml:space="preserve">C-C-13-B-03</t>
  </si>
  <si>
    <t xml:space="preserve">JR00049363</t>
  </si>
  <si>
    <t xml:space="preserve">JR00049364</t>
  </si>
  <si>
    <t xml:space="preserve">JR00049365</t>
  </si>
  <si>
    <t xml:space="preserve">JR00049366</t>
  </si>
  <si>
    <t xml:space="preserve">JR00049367</t>
  </si>
  <si>
    <t xml:space="preserve">JR00049368</t>
  </si>
  <si>
    <t xml:space="preserve">JR00049369</t>
  </si>
  <si>
    <t xml:space="preserve">JR00049370</t>
  </si>
  <si>
    <t xml:space="preserve">JR00049371</t>
  </si>
  <si>
    <t xml:space="preserve">JR00050229</t>
  </si>
  <si>
    <t xml:space="preserve">RIYADH01158</t>
  </si>
  <si>
    <t xml:space="preserve">JR00054041</t>
  </si>
  <si>
    <t xml:space="preserve">DAMINT00816</t>
  </si>
  <si>
    <t xml:space="preserve">JR00054042</t>
  </si>
  <si>
    <t xml:space="preserve">JR00054043</t>
  </si>
  <si>
    <t xml:space="preserve">JR00054044</t>
  </si>
  <si>
    <t xml:space="preserve">JR00054045</t>
  </si>
  <si>
    <t xml:space="preserve">A0-AB-04-D-03</t>
  </si>
  <si>
    <t xml:space="preserve">JR00054046</t>
  </si>
  <si>
    <t xml:space="preserve">JR00054047</t>
  </si>
  <si>
    <t xml:space="preserve">JR00054049</t>
  </si>
  <si>
    <t xml:space="preserve">JR00054051</t>
  </si>
  <si>
    <t xml:space="preserve">JR00054052</t>
  </si>
  <si>
    <t xml:space="preserve">JR00054053</t>
  </si>
  <si>
    <t xml:space="preserve">JR00054054</t>
  </si>
  <si>
    <t xml:space="preserve">JR00054055</t>
  </si>
  <si>
    <t xml:space="preserve">JR00054056</t>
  </si>
  <si>
    <t xml:space="preserve">JR00054057</t>
  </si>
  <si>
    <t xml:space="preserve">JR00054058</t>
  </si>
  <si>
    <t xml:space="preserve">JR00054059</t>
  </si>
  <si>
    <t xml:space="preserve">JR00054060</t>
  </si>
  <si>
    <t xml:space="preserve">JR00054061</t>
  </si>
  <si>
    <t xml:space="preserve">JR00054064</t>
  </si>
  <si>
    <t xml:space="preserve">JR00054065</t>
  </si>
  <si>
    <t xml:space="preserve">JR00054066</t>
  </si>
  <si>
    <t xml:space="preserve">A0-AB-04-A-01</t>
  </si>
  <si>
    <t xml:space="preserve">JR00054264</t>
  </si>
  <si>
    <t xml:space="preserve">DAMINT00815</t>
  </si>
  <si>
    <t xml:space="preserve">A0-AB-10-D-01</t>
  </si>
  <si>
    <t xml:space="preserve">JR00054265</t>
  </si>
  <si>
    <t xml:space="preserve">JR00054266</t>
  </si>
  <si>
    <t xml:space="preserve">JR00054267</t>
  </si>
  <si>
    <t xml:space="preserve">A0-AB-04-E-01</t>
  </si>
  <si>
    <t xml:space="preserve">JR00054268</t>
  </si>
  <si>
    <t xml:space="preserve">JR00054269</t>
  </si>
  <si>
    <t xml:space="preserve">JR00054270</t>
  </si>
  <si>
    <t xml:space="preserve">JR00054271</t>
  </si>
  <si>
    <t xml:space="preserve">JR00054273</t>
  </si>
  <si>
    <t xml:space="preserve">JR00054274</t>
  </si>
  <si>
    <t xml:space="preserve">JR00054275</t>
  </si>
  <si>
    <t xml:space="preserve">JR00054276</t>
  </si>
  <si>
    <t xml:space="preserve">JR00054277</t>
  </si>
  <si>
    <t xml:space="preserve">JR00054278</t>
  </si>
  <si>
    <t xml:space="preserve">A0-AB-06-E-03</t>
  </si>
  <si>
    <t xml:space="preserve">JR00054279</t>
  </si>
  <si>
    <t xml:space="preserve">JR00054280</t>
  </si>
  <si>
    <t xml:space="preserve">JR00054281</t>
  </si>
  <si>
    <t xml:space="preserve">JR00054282</t>
  </si>
  <si>
    <t xml:space="preserve">JR00054283</t>
  </si>
  <si>
    <t xml:space="preserve">JR00054284</t>
  </si>
  <si>
    <t xml:space="preserve">JR00054285</t>
  </si>
  <si>
    <t xml:space="preserve">JR00054286</t>
  </si>
  <si>
    <t xml:space="preserve">DAMINT00821</t>
  </si>
  <si>
    <t xml:space="preserve">JR00054287</t>
  </si>
  <si>
    <t xml:space="preserve">JR00054288</t>
  </si>
  <si>
    <t xml:space="preserve">JR00054289</t>
  </si>
  <si>
    <t xml:space="preserve">JR00054291</t>
  </si>
  <si>
    <t xml:space="preserve">JR00054292</t>
  </si>
  <si>
    <t xml:space="preserve">JR00054293</t>
  </si>
  <si>
    <t xml:space="preserve">JR00054294</t>
  </si>
  <si>
    <t xml:space="preserve">JR00054295</t>
  </si>
  <si>
    <t xml:space="preserve">JR00054496</t>
  </si>
  <si>
    <t xml:space="preserve">SHRM00004681</t>
  </si>
  <si>
    <t xml:space="preserve">JR00051733</t>
  </si>
  <si>
    <t xml:space="preserve">SHRM00004642</t>
  </si>
  <si>
    <t xml:space="preserve">JR00054735</t>
  </si>
  <si>
    <t xml:space="preserve">JR00053836</t>
  </si>
  <si>
    <t xml:space="preserve">MWIN01356</t>
  </si>
  <si>
    <t xml:space="preserve">F-G-15-C-03</t>
  </si>
  <si>
    <t xml:space="preserve">JR00053837</t>
  </si>
  <si>
    <t xml:space="preserve">JR00049928</t>
  </si>
  <si>
    <t xml:space="preserve">RETURN825</t>
  </si>
  <si>
    <t xml:space="preserve">JR00053642</t>
  </si>
  <si>
    <t xml:space="preserve">F-G-26-C-03</t>
  </si>
  <si>
    <t xml:space="preserve">JR00053643</t>
  </si>
  <si>
    <t xml:space="preserve">F-G-24-C-03</t>
  </si>
  <si>
    <t xml:space="preserve">JR00053644</t>
  </si>
  <si>
    <t xml:space="preserve">JR00053645</t>
  </si>
  <si>
    <t xml:space="preserve">JR00053646</t>
  </si>
  <si>
    <t xml:space="preserve">JR00053647</t>
  </si>
  <si>
    <t xml:space="preserve">F-G-30-A-03</t>
  </si>
  <si>
    <t xml:space="preserve">JR00053648</t>
  </si>
  <si>
    <t xml:space="preserve">JR00053682</t>
  </si>
  <si>
    <t xml:space="preserve">F-H-42-A-03</t>
  </si>
  <si>
    <t xml:space="preserve">JR00053683</t>
  </si>
  <si>
    <t xml:space="preserve">F-H-40-C-01</t>
  </si>
  <si>
    <t xml:space="preserve">JR00053801</t>
  </si>
  <si>
    <t xml:space="preserve">JR00053802</t>
  </si>
  <si>
    <t xml:space="preserve">F-G-18-B-01</t>
  </si>
  <si>
    <t xml:space="preserve">JR00053803</t>
  </si>
  <si>
    <t xml:space="preserve">F-G-31-B-01</t>
  </si>
  <si>
    <t xml:space="preserve">JR00053804</t>
  </si>
  <si>
    <t xml:space="preserve">JR00053805</t>
  </si>
  <si>
    <t xml:space="preserve">JR00053806</t>
  </si>
  <si>
    <t xml:space="preserve">F-G-32-B-03</t>
  </si>
  <si>
    <t xml:space="preserve">JR00053807</t>
  </si>
  <si>
    <t xml:space="preserve">F-G-30-C-01</t>
  </si>
  <si>
    <t xml:space="preserve">JR00053808</t>
  </si>
  <si>
    <t xml:space="preserve">F-G-34-B-03</t>
  </si>
  <si>
    <t xml:space="preserve">JR00053809</t>
  </si>
  <si>
    <t xml:space="preserve">JR00053810</t>
  </si>
  <si>
    <t xml:space="preserve">JR00053811</t>
  </si>
  <si>
    <t xml:space="preserve">F-H-05-C-01</t>
  </si>
  <si>
    <t xml:space="preserve">JR00053812</t>
  </si>
  <si>
    <t xml:space="preserve">JR00053813</t>
  </si>
  <si>
    <t xml:space="preserve">JR00053814</t>
  </si>
  <si>
    <t xml:space="preserve">F-G-34-A-01</t>
  </si>
  <si>
    <t xml:space="preserve">JR00053815</t>
  </si>
  <si>
    <t xml:space="preserve">JR00053816</t>
  </si>
  <si>
    <t xml:space="preserve">JR00053817</t>
  </si>
  <si>
    <t xml:space="preserve">JR00053818</t>
  </si>
  <si>
    <t xml:space="preserve">JR00053819</t>
  </si>
  <si>
    <t xml:space="preserve">JR00053820</t>
  </si>
  <si>
    <t xml:space="preserve">JR00053821</t>
  </si>
  <si>
    <t xml:space="preserve">JR00053822</t>
  </si>
  <si>
    <t xml:space="preserve">JR00053823</t>
  </si>
  <si>
    <t xml:space="preserve">F-G-46-B-03</t>
  </si>
  <si>
    <t xml:space="preserve">JR00053824</t>
  </si>
  <si>
    <t xml:space="preserve">JR00053825</t>
  </si>
  <si>
    <t xml:space="preserve">JR00053826</t>
  </si>
  <si>
    <t xml:space="preserve">JR00053827</t>
  </si>
  <si>
    <t xml:space="preserve">C-B-10-A-03</t>
  </si>
  <si>
    <t xml:space="preserve">JR00053828</t>
  </si>
  <si>
    <t xml:space="preserve">JR00053829</t>
  </si>
  <si>
    <t xml:space="preserve">JR00053830</t>
  </si>
  <si>
    <t xml:space="preserve">C-B-04-A-03</t>
  </si>
  <si>
    <t xml:space="preserve">JR00053831</t>
  </si>
  <si>
    <t xml:space="preserve">JR00053832</t>
  </si>
  <si>
    <t xml:space="preserve">F-G-27-D-01</t>
  </si>
  <si>
    <t xml:space="preserve">JR00053833</t>
  </si>
  <si>
    <t xml:space="preserve">JR00052901</t>
  </si>
  <si>
    <t xml:space="preserve">RIYINT01269</t>
  </si>
  <si>
    <t xml:space="preserve">JR00052902</t>
  </si>
  <si>
    <t xml:space="preserve">JR00052903</t>
  </si>
  <si>
    <t xml:space="preserve">JR00052904</t>
  </si>
  <si>
    <t xml:space="preserve">JR00052905</t>
  </si>
  <si>
    <t xml:space="preserve">JR00052906</t>
  </si>
  <si>
    <t xml:space="preserve">JR00052907</t>
  </si>
  <si>
    <t xml:space="preserve">JR00052908</t>
  </si>
  <si>
    <t xml:space="preserve">JR00052909</t>
  </si>
  <si>
    <t xml:space="preserve">JR00052910</t>
  </si>
  <si>
    <t xml:space="preserve">MWIN01329</t>
  </si>
  <si>
    <t xml:space="preserve">JR00051756</t>
  </si>
  <si>
    <t xml:space="preserve">JR00051757</t>
  </si>
  <si>
    <t xml:space="preserve">JR00051758</t>
  </si>
  <si>
    <t xml:space="preserve">JR00051760</t>
  </si>
  <si>
    <t xml:space="preserve">JR00054961</t>
  </si>
  <si>
    <t xml:space="preserve">McCain Crinkle cut Fries 5X2.5 kg</t>
  </si>
  <si>
    <t xml:space="preserve">MWIN01328</t>
  </si>
  <si>
    <t xml:space="preserve">JR00054962</t>
  </si>
  <si>
    <t xml:space="preserve">JR00054963</t>
  </si>
  <si>
    <t xml:space="preserve">JR00054964</t>
  </si>
  <si>
    <t xml:space="preserve">JR00054965</t>
  </si>
  <si>
    <r>
      <rPr>
        <sz val="11"/>
        <color theme="1"/>
        <rFont val="Calibri"/>
        <family val="2"/>
        <charset val="1"/>
      </rPr>
      <t xml:space="preserve">McCain SureCrisp Skin On 9/9 4</t>
    </r>
    <r>
      <rPr>
        <sz val="11"/>
        <color theme="1"/>
        <rFont val="Noto Sans Devanagari"/>
        <family val="2"/>
        <charset val="1"/>
      </rPr>
      <t xml:space="preserve">أ—</t>
    </r>
    <r>
      <rPr>
        <sz val="11"/>
        <color theme="1"/>
        <rFont val="Calibri"/>
        <family val="2"/>
        <charset val="1"/>
      </rPr>
      <t xml:space="preserve">2.5 KG</t>
    </r>
  </si>
  <si>
    <t xml:space="preserve">JR00054966</t>
  </si>
  <si>
    <t xml:space="preserve">Mccain Mini Jalapeno Cheese Bites 6X2.5lb</t>
  </si>
  <si>
    <t xml:space="preserve">Kg</t>
  </si>
  <si>
    <t xml:space="preserve">JR00054967</t>
  </si>
  <si>
    <t xml:space="preserve">McCain Surecrisp 6/6 Skin on 5X2.5 kg</t>
  </si>
  <si>
    <t xml:space="preserve">JR00054968</t>
  </si>
  <si>
    <t xml:space="preserve">JR00054969</t>
  </si>
  <si>
    <t xml:space="preserve">McCain SureCrisp Crinkle 4X2.5 KG</t>
  </si>
  <si>
    <t xml:space="preserve">JR00054970</t>
  </si>
  <si>
    <t xml:space="preserve">McCain Straight Cut 9 x 9 Fries 5X2.5 kg</t>
  </si>
  <si>
    <t xml:space="preserve">JR00054971</t>
  </si>
  <si>
    <t xml:space="preserve">JR00054972</t>
  </si>
  <si>
    <t xml:space="preserve">JR00054973</t>
  </si>
  <si>
    <t xml:space="preserve">JR00054974</t>
  </si>
  <si>
    <t xml:space="preserve">McCain Julienne 6/6 fries 5X2.5 kg</t>
  </si>
  <si>
    <t xml:space="preserve">JR00054977</t>
  </si>
  <si>
    <t xml:space="preserve">McCain Supercrips Fries 6X5 LB</t>
  </si>
  <si>
    <t xml:space="preserve">JR00054978</t>
  </si>
  <si>
    <t xml:space="preserve">JR00054980</t>
  </si>
  <si>
    <t xml:space="preserve">Mccain Battered Extruded Onion Rings 8X2lb</t>
  </si>
  <si>
    <t xml:space="preserve">JR00059315</t>
  </si>
  <si>
    <t xml:space="preserve">JR00052921</t>
  </si>
  <si>
    <t xml:space="preserve">MWIN01205</t>
  </si>
  <si>
    <t xml:space="preserve">JR00052922</t>
  </si>
  <si>
    <t xml:space="preserve">JR00052932</t>
  </si>
  <si>
    <t xml:space="preserve">JR00052937</t>
  </si>
  <si>
    <t xml:space="preserve">JR00052938</t>
  </si>
  <si>
    <t xml:space="preserve">JR00052939</t>
  </si>
  <si>
    <t xml:space="preserve">JR00052911</t>
  </si>
  <si>
    <t xml:space="preserve">WHRET00901</t>
  </si>
  <si>
    <t xml:space="preserve">JR00051752</t>
  </si>
  <si>
    <t xml:space="preserve">SHRM00004621</t>
  </si>
  <si>
    <t xml:space="preserve">F-H-02-D-01</t>
  </si>
  <si>
    <t xml:space="preserve">JR00053681</t>
  </si>
  <si>
    <t xml:space="preserve">734730225548P</t>
  </si>
  <si>
    <t xml:space="preserve">MWIN01351</t>
  </si>
  <si>
    <t xml:space="preserve">JR00053688</t>
  </si>
  <si>
    <t xml:space="preserve">F-H-32-A-02</t>
  </si>
  <si>
    <t xml:space="preserve">JR00053689</t>
  </si>
  <si>
    <t xml:space="preserve">JR00053690</t>
  </si>
  <si>
    <t xml:space="preserve">JR00053691</t>
  </si>
  <si>
    <t xml:space="preserve">F-H-34-C-03</t>
  </si>
  <si>
    <t xml:space="preserve">JR00053692</t>
  </si>
  <si>
    <t xml:space="preserve">JR00053693</t>
  </si>
  <si>
    <t xml:space="preserve">JR00053694</t>
  </si>
  <si>
    <t xml:space="preserve">F-H-34-A-01</t>
  </si>
  <si>
    <t xml:space="preserve">JR00053695</t>
  </si>
  <si>
    <t xml:space="preserve">JR00054022</t>
  </si>
  <si>
    <t xml:space="preserve">JR00054023</t>
  </si>
  <si>
    <t xml:space="preserve">JR00054024</t>
  </si>
  <si>
    <t xml:space="preserve">JR00054025</t>
  </si>
  <si>
    <t xml:space="preserve">JR00054026</t>
  </si>
  <si>
    <t xml:space="preserve">A0-AB-15-A-01</t>
  </si>
  <si>
    <t xml:space="preserve">JR00054027</t>
  </si>
  <si>
    <t xml:space="preserve">JR00053141</t>
  </si>
  <si>
    <t xml:space="preserve">MWIN01341</t>
  </si>
  <si>
    <t xml:space="preserve">JR00053142</t>
  </si>
  <si>
    <t xml:space="preserve">JR00053143</t>
  </si>
  <si>
    <t xml:space="preserve">FSK1105</t>
  </si>
  <si>
    <t xml:space="preserve">Frozen PD TO Shrimp 21/25 10X1kg Sea Pride</t>
  </si>
  <si>
    <t xml:space="preserve">JR00053144</t>
  </si>
  <si>
    <t xml:space="preserve">JR00053145</t>
  </si>
  <si>
    <t xml:space="preserve">JR00053146</t>
  </si>
  <si>
    <t xml:space="preserve">JR00053148</t>
  </si>
  <si>
    <t xml:space="preserve">JR00053149</t>
  </si>
  <si>
    <t xml:space="preserve">JR00053150</t>
  </si>
  <si>
    <t xml:space="preserve">JR00053151</t>
  </si>
  <si>
    <t xml:space="preserve">JR00053152</t>
  </si>
  <si>
    <t xml:space="preserve">JR00053153</t>
  </si>
  <si>
    <t xml:space="preserve">JR00053154</t>
  </si>
  <si>
    <t xml:space="preserve">JR00053361</t>
  </si>
  <si>
    <t xml:space="preserve">MWIN01233</t>
  </si>
  <si>
    <t xml:space="preserve">F-H-06-C-01</t>
  </si>
  <si>
    <t xml:space="preserve">JR00053362</t>
  </si>
  <si>
    <t xml:space="preserve">F-H-14-A-03</t>
  </si>
  <si>
    <t xml:space="preserve">JR00053363</t>
  </si>
  <si>
    <t xml:space="preserve">JR00053364</t>
  </si>
  <si>
    <t xml:space="preserve">JR00053365</t>
  </si>
  <si>
    <t xml:space="preserve">F-H-38-B-03</t>
  </si>
  <si>
    <t xml:space="preserve">JR00053366</t>
  </si>
  <si>
    <t xml:space="preserve">JR00053367</t>
  </si>
  <si>
    <t xml:space="preserve">F-H-34-B-01</t>
  </si>
  <si>
    <t xml:space="preserve">JR00053368</t>
  </si>
  <si>
    <t xml:space="preserve">JR00053369</t>
  </si>
  <si>
    <t xml:space="preserve">F-G-38-B-01</t>
  </si>
  <si>
    <t xml:space="preserve">JR00053370</t>
  </si>
  <si>
    <t xml:space="preserve">JR00053371</t>
  </si>
  <si>
    <t xml:space="preserve">F-G-32-A-03</t>
  </si>
  <si>
    <t xml:space="preserve">JR00053372</t>
  </si>
  <si>
    <t xml:space="preserve">JR00053373</t>
  </si>
  <si>
    <t xml:space="preserve">JR00053374</t>
  </si>
  <si>
    <t xml:space="preserve">F-G-14-B-02</t>
  </si>
  <si>
    <t xml:space="preserve">JR00053375</t>
  </si>
  <si>
    <t xml:space="preserve">F-G-25-B-01</t>
  </si>
  <si>
    <t xml:space="preserve">JR00053581</t>
  </si>
  <si>
    <t xml:space="preserve">F-G-03-B-01</t>
  </si>
  <si>
    <t xml:space="preserve">JR00053582</t>
  </si>
  <si>
    <t xml:space="preserve">F-G-27-B-03</t>
  </si>
  <si>
    <t xml:space="preserve">JR00053583</t>
  </si>
  <si>
    <t xml:space="preserve">JR00053584</t>
  </si>
  <si>
    <t xml:space="preserve">F-H-21-D-01</t>
  </si>
  <si>
    <t xml:space="preserve">JR00053585-5781155</t>
  </si>
  <si>
    <t xml:space="preserve">F-G-23-B-01</t>
  </si>
  <si>
    <t xml:space="preserve">JR00053586</t>
  </si>
  <si>
    <t xml:space="preserve">JR00053587</t>
  </si>
  <si>
    <t xml:space="preserve">F-H-38-A-02</t>
  </si>
  <si>
    <t xml:space="preserve">JR00053588</t>
  </si>
  <si>
    <t xml:space="preserve">JR00053589</t>
  </si>
  <si>
    <t xml:space="preserve">F-G-02-B-02</t>
  </si>
  <si>
    <t xml:space="preserve">JR00053590</t>
  </si>
  <si>
    <t xml:space="preserve">F-G-25-A-01</t>
  </si>
  <si>
    <t xml:space="preserve">JR00053591</t>
  </si>
  <si>
    <t xml:space="preserve">JR00053592</t>
  </si>
  <si>
    <t xml:space="preserve">JR00053593</t>
  </si>
  <si>
    <t xml:space="preserve">JR00053594</t>
  </si>
  <si>
    <t xml:space="preserve">F-G-08-B-03</t>
  </si>
  <si>
    <t xml:space="preserve">JR00051926</t>
  </si>
  <si>
    <t xml:space="preserve">MWIN01302_3</t>
  </si>
  <si>
    <t xml:space="preserve">F-G-23-C-01</t>
  </si>
  <si>
    <t xml:space="preserve">JR00051930</t>
  </si>
  <si>
    <t xml:space="preserve">JR00049332</t>
  </si>
  <si>
    <t xml:space="preserve">MWIN01250</t>
  </si>
  <si>
    <t xml:space="preserve">JR00049333</t>
  </si>
  <si>
    <t xml:space="preserve">JR00049334</t>
  </si>
  <si>
    <t xml:space="preserve">JR00049335</t>
  </si>
  <si>
    <t xml:space="preserve">JR00051893</t>
  </si>
  <si>
    <t xml:space="preserve">MWIN01241_1</t>
  </si>
  <si>
    <t xml:space="preserve">F-G-43-B-01</t>
  </si>
  <si>
    <t xml:space="preserve">JR00050796</t>
  </si>
  <si>
    <t xml:space="preserve">DAMMAM00776</t>
  </si>
  <si>
    <t xml:space="preserve">JR00050481</t>
  </si>
  <si>
    <t xml:space="preserve">FCK1105</t>
  </si>
  <si>
    <t xml:space="preserve">AROMA SHREDDED CHICKEN 2kg</t>
  </si>
  <si>
    <t xml:space="preserve">MWIN01257</t>
  </si>
  <si>
    <t xml:space="preserve">JR00050482</t>
  </si>
  <si>
    <t xml:space="preserve">JR00050483</t>
  </si>
  <si>
    <t xml:space="preserve">JR00050484</t>
  </si>
  <si>
    <t xml:space="preserve">JR00050485</t>
  </si>
  <si>
    <t xml:space="preserve">JR00050486</t>
  </si>
  <si>
    <t xml:space="preserve">JR00050487</t>
  </si>
  <si>
    <t xml:space="preserve">JR00050488</t>
  </si>
  <si>
    <t xml:space="preserve">JR00050489</t>
  </si>
  <si>
    <t xml:space="preserve">JR00050490</t>
  </si>
  <si>
    <t xml:space="preserve">JR00050491</t>
  </si>
  <si>
    <t xml:space="preserve">JR00050492</t>
  </si>
  <si>
    <t xml:space="preserve">JR00050493</t>
  </si>
  <si>
    <t xml:space="preserve">JR00050494</t>
  </si>
  <si>
    <t xml:space="preserve">JR00050495</t>
  </si>
  <si>
    <t xml:space="preserve">JR00050496</t>
  </si>
  <si>
    <t xml:space="preserve">JR00050497</t>
  </si>
  <si>
    <t xml:space="preserve">JR00050498</t>
  </si>
  <si>
    <t xml:space="preserve">JR00050499</t>
  </si>
  <si>
    <t xml:space="preserve">JR00050500</t>
  </si>
  <si>
    <t xml:space="preserve">JR00050501</t>
  </si>
  <si>
    <t xml:space="preserve">JR00050502</t>
  </si>
  <si>
    <t xml:space="preserve">JF00170061</t>
  </si>
  <si>
    <t xml:space="preserve">MWIN01302</t>
  </si>
  <si>
    <t xml:space="preserve">JF00170062</t>
  </si>
  <si>
    <t xml:space="preserve">JF00170063</t>
  </si>
  <si>
    <t xml:space="preserve">JF00170064</t>
  </si>
  <si>
    <t xml:space="preserve">JF00170065</t>
  </si>
  <si>
    <t xml:space="preserve">JF00170066</t>
  </si>
  <si>
    <t xml:space="preserve">JR00052161</t>
  </si>
  <si>
    <t xml:space="preserve">MWIN01269</t>
  </si>
  <si>
    <t xml:space="preserve">JR00052162</t>
  </si>
  <si>
    <t xml:space="preserve">JR00052163</t>
  </si>
  <si>
    <t xml:space="preserve">JR00052164</t>
  </si>
  <si>
    <t xml:space="preserve">JR00055523</t>
  </si>
  <si>
    <t xml:space="preserve">SHRM00004862</t>
  </si>
  <si>
    <t xml:space="preserve">F-H-06-C-03</t>
  </si>
  <si>
    <t xml:space="preserve">JR00050765</t>
  </si>
  <si>
    <t xml:space="preserve">MWIN01200</t>
  </si>
  <si>
    <t xml:space="preserve">F-H-45-D-03</t>
  </si>
  <si>
    <t xml:space="preserve">JR00050766</t>
  </si>
  <si>
    <t xml:space="preserve">F-H-23-D-01</t>
  </si>
  <si>
    <t xml:space="preserve">JR00050767</t>
  </si>
  <si>
    <t xml:space="preserve">F-H-25-B-03</t>
  </si>
  <si>
    <t xml:space="preserve">JR00050768</t>
  </si>
  <si>
    <t xml:space="preserve">JR00050769</t>
  </si>
  <si>
    <t xml:space="preserve">JR00050770</t>
  </si>
  <si>
    <t xml:space="preserve">F-H-39-B-01</t>
  </si>
  <si>
    <t xml:space="preserve">JR00050771</t>
  </si>
  <si>
    <t xml:space="preserve">JR00050772</t>
  </si>
  <si>
    <t xml:space="preserve">JR00050773</t>
  </si>
  <si>
    <t xml:space="preserve">F-H-27-B-01</t>
  </si>
  <si>
    <t xml:space="preserve">JR00050774</t>
  </si>
  <si>
    <t xml:space="preserve">JR00050775</t>
  </si>
  <si>
    <t xml:space="preserve">F-H-37-A-03</t>
  </si>
  <si>
    <t xml:space="preserve">JR00050776</t>
  </si>
  <si>
    <t xml:space="preserve">F-H-43-A-01</t>
  </si>
  <si>
    <t xml:space="preserve">JR00050777</t>
  </si>
  <si>
    <t xml:space="preserve">F-H-35-A-01</t>
  </si>
  <si>
    <t xml:space="preserve">JR00050778</t>
  </si>
  <si>
    <t xml:space="preserve">JR00050779</t>
  </si>
  <si>
    <t xml:space="preserve">JR00050780</t>
  </si>
  <si>
    <t xml:space="preserve">F-H-35-B-03</t>
  </si>
  <si>
    <t xml:space="preserve">JR00050781</t>
  </si>
  <si>
    <t xml:space="preserve">JR00050782</t>
  </si>
  <si>
    <t xml:space="preserve">JR00050783</t>
  </si>
  <si>
    <t xml:space="preserve">F-H-37-B-03</t>
  </si>
  <si>
    <t xml:space="preserve">JR00050784</t>
  </si>
  <si>
    <t xml:space="preserve">JR00050785</t>
  </si>
  <si>
    <t xml:space="preserve">F-G-24-A-03</t>
  </si>
  <si>
    <t xml:space="preserve">JR00050786</t>
  </si>
  <si>
    <t xml:space="preserve">JR00050787</t>
  </si>
  <si>
    <t xml:space="preserve">JR00050788</t>
  </si>
  <si>
    <t xml:space="preserve">JR00050789</t>
  </si>
  <si>
    <t xml:space="preserve">JR00050790</t>
  </si>
  <si>
    <t xml:space="preserve">JR00050791</t>
  </si>
  <si>
    <t xml:space="preserve">JR00050792</t>
  </si>
  <si>
    <t xml:space="preserve">JR00050793</t>
  </si>
  <si>
    <t xml:space="preserve">JR00050794</t>
  </si>
  <si>
    <t xml:space="preserve">F-H-41-B-03</t>
  </si>
  <si>
    <t xml:space="preserve">JR00049395</t>
  </si>
  <si>
    <t xml:space="preserve">MWIN00860</t>
  </si>
  <si>
    <t xml:space="preserve">C-A-15-A-01</t>
  </si>
  <si>
    <t xml:space="preserve">JR00049396</t>
  </si>
  <si>
    <t xml:space="preserve">JR00049397-5535497</t>
  </si>
  <si>
    <t xml:space="preserve">F-G-13-A-03</t>
  </si>
  <si>
    <t xml:space="preserve">JR00049398</t>
  </si>
  <si>
    <t xml:space="preserve">C-A-17-A-01</t>
  </si>
  <si>
    <t xml:space="preserve">JR00049399</t>
  </si>
  <si>
    <t xml:space="preserve">JR00049400</t>
  </si>
  <si>
    <t xml:space="preserve">JR00050272</t>
  </si>
  <si>
    <t xml:space="preserve">JR00050273</t>
  </si>
  <si>
    <t xml:space="preserve">JR00050274</t>
  </si>
  <si>
    <t xml:space="preserve">JR00050275</t>
  </si>
  <si>
    <t xml:space="preserve">JR00050276</t>
  </si>
  <si>
    <t xml:space="preserve">JR00050277</t>
  </si>
  <si>
    <t xml:space="preserve">JR00050278</t>
  </si>
  <si>
    <t xml:space="preserve">JR00050279</t>
  </si>
  <si>
    <t xml:space="preserve">JR00050280</t>
  </si>
  <si>
    <t xml:space="preserve">C-A-32-C-03</t>
  </si>
  <si>
    <t xml:space="preserve">JR00050281</t>
  </si>
  <si>
    <t xml:space="preserve">JR00050282</t>
  </si>
  <si>
    <t xml:space="preserve">JR00050284</t>
  </si>
  <si>
    <t xml:space="preserve">JR00050285</t>
  </si>
  <si>
    <t xml:space="preserve">F-G-28-C-03</t>
  </si>
  <si>
    <t xml:space="preserve">JR00050286</t>
  </si>
  <si>
    <t xml:space="preserve">F-G-29-A-03</t>
  </si>
  <si>
    <t xml:space="preserve">JR00050287</t>
  </si>
  <si>
    <t xml:space="preserve">JR00050288</t>
  </si>
  <si>
    <t xml:space="preserve">JR00050289</t>
  </si>
  <si>
    <t xml:space="preserve">JR00050290</t>
  </si>
  <si>
    <t xml:space="preserve">F-G-30-A-01</t>
  </si>
  <si>
    <t xml:space="preserve">JR00052009</t>
  </si>
  <si>
    <t xml:space="preserve">JR00051684</t>
  </si>
  <si>
    <t xml:space="preserve">MWIN01278</t>
  </si>
  <si>
    <t xml:space="preserve">JR00051685</t>
  </si>
  <si>
    <t xml:space="preserve">JR00051686</t>
  </si>
  <si>
    <t xml:space="preserve">JR00051687</t>
  </si>
  <si>
    <t xml:space="preserve">JR00051688</t>
  </si>
  <si>
    <t xml:space="preserve">JR00051689</t>
  </si>
  <si>
    <t xml:space="preserve">JR00051690</t>
  </si>
  <si>
    <t xml:space="preserve">JR00051691</t>
  </si>
  <si>
    <t xml:space="preserve">JR00051692</t>
  </si>
  <si>
    <t xml:space="preserve">JR00051693</t>
  </si>
  <si>
    <t xml:space="preserve">JR00051694</t>
  </si>
  <si>
    <t xml:space="preserve">JR00051695</t>
  </si>
  <si>
    <t xml:space="preserve">JR00051696</t>
  </si>
  <si>
    <t xml:space="preserve">JR00051697</t>
  </si>
  <si>
    <t xml:space="preserve">JR00051698</t>
  </si>
  <si>
    <t xml:space="preserve">JR00051699</t>
  </si>
  <si>
    <t xml:space="preserve">JR00051700</t>
  </si>
  <si>
    <t xml:space="preserve">JR00051980</t>
  </si>
  <si>
    <t xml:space="preserve">MWIN01216</t>
  </si>
  <si>
    <t xml:space="preserve">JR00051981</t>
  </si>
  <si>
    <t xml:space="preserve">JR00051982</t>
  </si>
  <si>
    <t xml:space="preserve">JR00051983</t>
  </si>
  <si>
    <t xml:space="preserve">JR00051984</t>
  </si>
  <si>
    <t xml:space="preserve">F-H-23-B-01</t>
  </si>
  <si>
    <t xml:space="preserve">JR00051985</t>
  </si>
  <si>
    <t xml:space="preserve">JR00051986</t>
  </si>
  <si>
    <t xml:space="preserve">JR00051987</t>
  </si>
  <si>
    <t xml:space="preserve">JR00051988</t>
  </si>
  <si>
    <t xml:space="preserve">JR00051989</t>
  </si>
  <si>
    <t xml:space="preserve">JR00051990</t>
  </si>
  <si>
    <t xml:space="preserve">JR00051991</t>
  </si>
  <si>
    <t xml:space="preserve">F-G-34-C-03</t>
  </si>
  <si>
    <t xml:space="preserve">JR00051992</t>
  </si>
  <si>
    <t xml:space="preserve">JR00051993</t>
  </si>
  <si>
    <t xml:space="preserve">JR00051994</t>
  </si>
  <si>
    <t xml:space="preserve">JR00051995</t>
  </si>
  <si>
    <t xml:space="preserve">JR00051996</t>
  </si>
  <si>
    <t xml:space="preserve">JR00051997</t>
  </si>
  <si>
    <t xml:space="preserve">JR00051998</t>
  </si>
  <si>
    <t xml:space="preserve">JR00051999</t>
  </si>
  <si>
    <t xml:space="preserve">JR00052000</t>
  </si>
  <si>
    <t xml:space="preserve">JR00052001</t>
  </si>
  <si>
    <t xml:space="preserve">JR00052002</t>
  </si>
  <si>
    <t xml:space="preserve">JR00052003</t>
  </si>
  <si>
    <t xml:space="preserve">JR00052004</t>
  </si>
  <si>
    <t xml:space="preserve">JR00052005</t>
  </si>
  <si>
    <t xml:space="preserve">JR00052006</t>
  </si>
  <si>
    <t xml:space="preserve">JR00052007</t>
  </si>
  <si>
    <t xml:space="preserve">JR00052008</t>
  </si>
  <si>
    <t xml:space="preserve">JF00210859</t>
  </si>
  <si>
    <t xml:space="preserve">MWIN01217</t>
  </si>
  <si>
    <t xml:space="preserve">F-G-43-A-03</t>
  </si>
  <si>
    <t xml:space="preserve">JF00210860</t>
  </si>
  <si>
    <t xml:space="preserve">F-G-24-C-01</t>
  </si>
  <si>
    <t xml:space="preserve">JR00050741</t>
  </si>
  <si>
    <t xml:space="preserve">JR00050742</t>
  </si>
  <si>
    <t xml:space="preserve">JR00050743</t>
  </si>
  <si>
    <t xml:space="preserve">JR00050744</t>
  </si>
  <si>
    <t xml:space="preserve">JR00050745</t>
  </si>
  <si>
    <t xml:space="preserve">JR00050746</t>
  </si>
  <si>
    <t xml:space="preserve">JR00050747</t>
  </si>
  <si>
    <t xml:space="preserve">JR00050748</t>
  </si>
  <si>
    <t xml:space="preserve">JR00050749</t>
  </si>
  <si>
    <t xml:space="preserve">JR00050750</t>
  </si>
  <si>
    <t xml:space="preserve">JR00050751</t>
  </si>
  <si>
    <t xml:space="preserve">JR00050752</t>
  </si>
  <si>
    <t xml:space="preserve">C-A-45-A-03</t>
  </si>
  <si>
    <t xml:space="preserve">JR00050753</t>
  </si>
  <si>
    <t xml:space="preserve">JR00050754</t>
  </si>
  <si>
    <t xml:space="preserve">JR00050755</t>
  </si>
  <si>
    <t xml:space="preserve">JR00050756</t>
  </si>
  <si>
    <t xml:space="preserve">JR00050757</t>
  </si>
  <si>
    <t xml:space="preserve">JR00050758</t>
  </si>
  <si>
    <t xml:space="preserve">JR00050759</t>
  </si>
  <si>
    <t xml:space="preserve">JR00050760-5642580</t>
  </si>
  <si>
    <t xml:space="preserve">JR00050761</t>
  </si>
  <si>
    <t xml:space="preserve">JR00050762</t>
  </si>
  <si>
    <t xml:space="preserve">JR00050763</t>
  </si>
  <si>
    <t xml:space="preserve">JR00052017</t>
  </si>
  <si>
    <t xml:space="preserve">JR00052018</t>
  </si>
  <si>
    <t xml:space="preserve">C-B-15-B-01</t>
  </si>
  <si>
    <t xml:space="preserve">JR00052019</t>
  </si>
  <si>
    <t xml:space="preserve">C-A-45-A-01</t>
  </si>
  <si>
    <t xml:space="preserve">JR00052020</t>
  </si>
  <si>
    <t xml:space="preserve">JR00052181</t>
  </si>
  <si>
    <t xml:space="preserve">WHRET00892</t>
  </si>
  <si>
    <t xml:space="preserve">JR00052421</t>
  </si>
  <si>
    <t xml:space="preserve">MWIN01306</t>
  </si>
  <si>
    <t xml:space="preserve">JR00052422</t>
  </si>
  <si>
    <t xml:space="preserve">JR00052423</t>
  </si>
  <si>
    <t xml:space="preserve">JR00052424</t>
  </si>
  <si>
    <t xml:space="preserve">JR00052425</t>
  </si>
  <si>
    <t xml:space="preserve">JR00052427</t>
  </si>
  <si>
    <t xml:space="preserve">JR00052428</t>
  </si>
  <si>
    <t xml:space="preserve">JR00052429</t>
  </si>
  <si>
    <t xml:space="preserve">JR00052430</t>
  </si>
  <si>
    <t xml:space="preserve">JR00052431</t>
  </si>
  <si>
    <t xml:space="preserve">JR00052432</t>
  </si>
  <si>
    <t xml:space="preserve">JR00052433</t>
  </si>
  <si>
    <t xml:space="preserve">JR00052434</t>
  </si>
  <si>
    <t xml:space="preserve">JR00052435</t>
  </si>
  <si>
    <t xml:space="preserve">JR00052436</t>
  </si>
  <si>
    <t xml:space="preserve">JR00052437</t>
  </si>
  <si>
    <t xml:space="preserve">JR00052438</t>
  </si>
  <si>
    <t xml:space="preserve">JR00052439</t>
  </si>
  <si>
    <t xml:space="preserve">JR00052440</t>
  </si>
  <si>
    <t xml:space="preserve">JR00052441</t>
  </si>
  <si>
    <t xml:space="preserve">JR00052442</t>
  </si>
  <si>
    <t xml:space="preserve">JR00052443</t>
  </si>
  <si>
    <t xml:space="preserve">JR00052444</t>
  </si>
  <si>
    <t xml:space="preserve">JR00052445</t>
  </si>
  <si>
    <t xml:space="preserve">JR00052446</t>
  </si>
  <si>
    <t xml:space="preserve">JR00052447</t>
  </si>
  <si>
    <t xml:space="preserve">JR00052448</t>
  </si>
  <si>
    <t xml:space="preserve">JR00052449</t>
  </si>
  <si>
    <t xml:space="preserve">JR00052450</t>
  </si>
  <si>
    <t xml:space="preserve">JR00052451</t>
  </si>
  <si>
    <t xml:space="preserve">JR00052452</t>
  </si>
  <si>
    <t xml:space="preserve">JR00052453</t>
  </si>
  <si>
    <t xml:space="preserve">JR00052454</t>
  </si>
  <si>
    <t xml:space="preserve">JR00052455</t>
  </si>
  <si>
    <t xml:space="preserve">JR00052456</t>
  </si>
  <si>
    <t xml:space="preserve">JR00052457</t>
  </si>
  <si>
    <t xml:space="preserve">JR00052458</t>
  </si>
  <si>
    <t xml:space="preserve">JR00052461</t>
  </si>
  <si>
    <t xml:space="preserve">JR00052463</t>
  </si>
  <si>
    <t xml:space="preserve">JR00052464</t>
  </si>
  <si>
    <t xml:space="preserve">JR00055502</t>
  </si>
  <si>
    <t xml:space="preserve">SHRM00004841F</t>
  </si>
  <si>
    <t xml:space="preserve">JR00055043</t>
  </si>
  <si>
    <t xml:space="preserve">SHRM00004821</t>
  </si>
  <si>
    <t xml:space="preserve">JR00055044</t>
  </si>
  <si>
    <t xml:space="preserve">JR00050764</t>
  </si>
  <si>
    <t xml:space="preserve">Chef's Line Hot Honey 12x400g</t>
  </si>
  <si>
    <t xml:space="preserve">MWIN01298</t>
  </si>
  <si>
    <t xml:space="preserve">JR00051863</t>
  </si>
  <si>
    <t xml:space="preserve">MWIN01310</t>
  </si>
  <si>
    <t xml:space="preserve">F-H-19-C-01</t>
  </si>
  <si>
    <t xml:space="preserve">JR00051864</t>
  </si>
  <si>
    <t xml:space="preserve">F-H-15-D-01</t>
  </si>
  <si>
    <t xml:space="preserve">JR00051865</t>
  </si>
  <si>
    <t xml:space="preserve">JR00051866</t>
  </si>
  <si>
    <t xml:space="preserve">JR00051867</t>
  </si>
  <si>
    <t xml:space="preserve">JR00051868</t>
  </si>
  <si>
    <t xml:space="preserve">JR00051869</t>
  </si>
  <si>
    <t xml:space="preserve">JR00051873</t>
  </si>
  <si>
    <t xml:space="preserve">JR00051874</t>
  </si>
  <si>
    <t xml:space="preserve">JR00051875</t>
  </si>
  <si>
    <t xml:space="preserve">JR00051876</t>
  </si>
  <si>
    <t xml:space="preserve">JR00051877</t>
  </si>
  <si>
    <t xml:space="preserve">JR00051878</t>
  </si>
  <si>
    <t xml:space="preserve">JR00051879</t>
  </si>
  <si>
    <t xml:space="preserve">JR00051880</t>
  </si>
  <si>
    <t xml:space="preserve">JR00051881</t>
  </si>
  <si>
    <t xml:space="preserve">JR00053611</t>
  </si>
  <si>
    <t xml:space="preserve">RIYADH01395</t>
  </si>
  <si>
    <t xml:space="preserve">JR00055524</t>
  </si>
  <si>
    <t xml:space="preserve">JR00055525</t>
  </si>
  <si>
    <t xml:space="preserve">JR00055526</t>
  </si>
  <si>
    <t xml:space="preserve">JR00055527</t>
  </si>
  <si>
    <t xml:space="preserve">F-H-32-A-03</t>
  </si>
  <si>
    <t xml:space="preserve">JR00055528</t>
  </si>
  <si>
    <t xml:space="preserve">F-G-02-B-03</t>
  </si>
  <si>
    <t xml:space="preserve">JR00055529</t>
  </si>
  <si>
    <t xml:space="preserve">JR00055530</t>
  </si>
  <si>
    <t xml:space="preserve">JR00055531</t>
  </si>
  <si>
    <t xml:space="preserve">F-G-23-A-03</t>
  </si>
  <si>
    <t xml:space="preserve">JR00055534</t>
  </si>
  <si>
    <t xml:space="preserve">F-H-46-A-03</t>
  </si>
  <si>
    <t xml:space="preserve">JR00056807-6070960</t>
  </si>
  <si>
    <t xml:space="preserve">JR00050452</t>
  </si>
  <si>
    <t xml:space="preserve">MWIN01289</t>
  </si>
  <si>
    <t xml:space="preserve">JR00055501</t>
  </si>
  <si>
    <t xml:space="preserve">WHRET00929</t>
  </si>
  <si>
    <t xml:space="preserve">JR00055522</t>
  </si>
  <si>
    <t xml:space="preserve">SHRM00004861</t>
  </si>
  <si>
    <t xml:space="preserve">JR00056853-6071213</t>
  </si>
  <si>
    <t xml:space="preserve">F-H-36-A-03</t>
  </si>
  <si>
    <t xml:space="preserve">JR00050702</t>
  </si>
  <si>
    <t xml:space="preserve">RETURNMEEZ</t>
  </si>
  <si>
    <t xml:space="preserve">JR00050230</t>
  </si>
  <si>
    <t xml:space="preserve">MWIN01262</t>
  </si>
  <si>
    <t xml:space="preserve">C-A-37-B-01</t>
  </si>
  <si>
    <t xml:space="preserve">JR00050231</t>
  </si>
  <si>
    <t xml:space="preserve">C-A-37-B-03</t>
  </si>
  <si>
    <t xml:space="preserve">JR00050232</t>
  </si>
  <si>
    <t xml:space="preserve">JR00050233</t>
  </si>
  <si>
    <t xml:space="preserve">F-H-35-C-03</t>
  </si>
  <si>
    <t xml:space="preserve">JR00050234</t>
  </si>
  <si>
    <t xml:space="preserve">JR00050235</t>
  </si>
  <si>
    <t xml:space="preserve">C-B-40-B-01</t>
  </si>
  <si>
    <t xml:space="preserve">JR00050236</t>
  </si>
  <si>
    <t xml:space="preserve">JR00050237</t>
  </si>
  <si>
    <t xml:space="preserve">JR00050238</t>
  </si>
  <si>
    <t xml:space="preserve">JR00050239</t>
  </si>
  <si>
    <t xml:space="preserve">JR00050240</t>
  </si>
  <si>
    <t xml:space="preserve">JR00050241</t>
  </si>
  <si>
    <t xml:space="preserve">JR00050242</t>
  </si>
  <si>
    <t xml:space="preserve">C-C-03-B-01</t>
  </si>
  <si>
    <t xml:space="preserve">JR00050243</t>
  </si>
  <si>
    <t xml:space="preserve">C-C-05-C-03</t>
  </si>
  <si>
    <t xml:space="preserve">JR00050244</t>
  </si>
  <si>
    <t xml:space="preserve">JR00050245</t>
  </si>
  <si>
    <t xml:space="preserve">JR00050246</t>
  </si>
  <si>
    <t xml:space="preserve">JR00050247</t>
  </si>
  <si>
    <t xml:space="preserve">JR00050248</t>
  </si>
  <si>
    <t xml:space="preserve">JR00050249</t>
  </si>
  <si>
    <t xml:space="preserve">JR00050250</t>
  </si>
  <si>
    <t xml:space="preserve">JR00050251</t>
  </si>
  <si>
    <t xml:space="preserve">JR00050252</t>
  </si>
  <si>
    <t xml:space="preserve">JR00050253</t>
  </si>
  <si>
    <t xml:space="preserve">JR00050254</t>
  </si>
  <si>
    <t xml:space="preserve">C-A-33-A-01</t>
  </si>
  <si>
    <t xml:space="preserve">JR00050255</t>
  </si>
  <si>
    <t xml:space="preserve">JR00050256</t>
  </si>
  <si>
    <t xml:space="preserve">MAGGI Coconut Milk Powder 12x1kg XI</t>
  </si>
  <si>
    <t xml:space="preserve">JR00050257</t>
  </si>
  <si>
    <t xml:space="preserve">JR00050258</t>
  </si>
  <si>
    <t xml:space="preserve">JR00050259</t>
  </si>
  <si>
    <t xml:space="preserve">JR00050260</t>
  </si>
  <si>
    <t xml:space="preserve">JR00050261</t>
  </si>
  <si>
    <t xml:space="preserve">JR00050262</t>
  </si>
  <si>
    <t xml:space="preserve">C-A-43-A-02</t>
  </si>
  <si>
    <t xml:space="preserve">JR00050263</t>
  </si>
  <si>
    <t xml:space="preserve">C-A-37-A-03</t>
  </si>
  <si>
    <t xml:space="preserve">JR00050264</t>
  </si>
  <si>
    <t xml:space="preserve">C-A-37-A-01</t>
  </si>
  <si>
    <t xml:space="preserve">JR00050265</t>
  </si>
  <si>
    <t xml:space="preserve">JR00049373</t>
  </si>
  <si>
    <t xml:space="preserve">SHRM00004361</t>
  </si>
  <si>
    <t xml:space="preserve">C-B-45-D-01</t>
  </si>
  <si>
    <t xml:space="preserve">JR00051682</t>
  </si>
  <si>
    <t xml:space="preserve">MWIN01287</t>
  </si>
  <si>
    <t xml:space="preserve">JR00051683</t>
  </si>
  <si>
    <t xml:space="preserve">JR00051906</t>
  </si>
  <si>
    <t xml:space="preserve">MWIN01302_2</t>
  </si>
  <si>
    <t xml:space="preserve">F-G-25-C-01</t>
  </si>
  <si>
    <t xml:space="preserve">JR00051907</t>
  </si>
  <si>
    <t xml:space="preserve">F-G-29-C-01</t>
  </si>
  <si>
    <t xml:space="preserve">JR00051908</t>
  </si>
  <si>
    <t xml:space="preserve">C-B-32-B-03</t>
  </si>
  <si>
    <t xml:space="preserve">JR00051909</t>
  </si>
  <si>
    <t xml:space="preserve">JR00051910</t>
  </si>
  <si>
    <t xml:space="preserve">F-G-20-C-03</t>
  </si>
  <si>
    <t xml:space="preserve">JR00051911</t>
  </si>
  <si>
    <t xml:space="preserve">F-G-38-B-03</t>
  </si>
  <si>
    <t xml:space="preserve">JR00051912</t>
  </si>
  <si>
    <t xml:space="preserve">JR00051913</t>
  </si>
  <si>
    <t xml:space="preserve">JR00051914</t>
  </si>
  <si>
    <t xml:space="preserve">JR00051915</t>
  </si>
  <si>
    <t xml:space="preserve">F-G-33-C-01</t>
  </si>
  <si>
    <t xml:space="preserve">JR00051916</t>
  </si>
  <si>
    <t xml:space="preserve">JR00051917</t>
  </si>
  <si>
    <t xml:space="preserve">F-G-25-D-03</t>
  </si>
  <si>
    <t xml:space="preserve">JR00051918-5672866</t>
  </si>
  <si>
    <t xml:space="preserve">F-G-29-D-03</t>
  </si>
  <si>
    <t xml:space="preserve">JR00051919</t>
  </si>
  <si>
    <t xml:space="preserve">JR00051920</t>
  </si>
  <si>
    <t xml:space="preserve">JR00051922</t>
  </si>
  <si>
    <t xml:space="preserve">JR00051925</t>
  </si>
  <si>
    <t xml:space="preserve">JR00051927</t>
  </si>
  <si>
    <t xml:space="preserve">JR00051928</t>
  </si>
  <si>
    <t xml:space="preserve">F-G-23-D-03</t>
  </si>
  <si>
    <t xml:space="preserve">JR00051929</t>
  </si>
  <si>
    <t xml:space="preserve">JR00051931-5672805</t>
  </si>
  <si>
    <t xml:space="preserve">F-G-29-D-01</t>
  </si>
  <si>
    <t xml:space="preserve">JR00051932</t>
  </si>
  <si>
    <t xml:space="preserve">F-G-41-D-01</t>
  </si>
  <si>
    <t xml:space="preserve">JR00051933</t>
  </si>
  <si>
    <t xml:space="preserve">JR00050227</t>
  </si>
  <si>
    <t xml:space="preserve">SHRM00004442</t>
  </si>
  <si>
    <t xml:space="preserve">JR00051934</t>
  </si>
  <si>
    <t xml:space="preserve">MWIN01149</t>
  </si>
  <si>
    <t xml:space="preserve">JR00051935</t>
  </si>
  <si>
    <t xml:space="preserve">JR00051936</t>
  </si>
  <si>
    <t xml:space="preserve">JR00051937</t>
  </si>
  <si>
    <t xml:space="preserve">JR00051938</t>
  </si>
  <si>
    <t xml:space="preserve">JR00051939</t>
  </si>
  <si>
    <t xml:space="preserve">JR00051940</t>
  </si>
  <si>
    <t xml:space="preserve">JR00051941</t>
  </si>
  <si>
    <t xml:space="preserve">JR00051942</t>
  </si>
  <si>
    <t xml:space="preserve">JR00051943</t>
  </si>
  <si>
    <t xml:space="preserve">F-H-14-A-02</t>
  </si>
  <si>
    <t xml:space="preserve">JR00051944</t>
  </si>
  <si>
    <t xml:space="preserve">JR00051945</t>
  </si>
  <si>
    <t xml:space="preserve">JR00051946</t>
  </si>
  <si>
    <t xml:space="preserve">JR00051947</t>
  </si>
  <si>
    <t xml:space="preserve">JR00051948</t>
  </si>
  <si>
    <t xml:space="preserve">JR00051949</t>
  </si>
  <si>
    <t xml:space="preserve">JR00051950</t>
  </si>
  <si>
    <t xml:space="preserve">JR00051951</t>
  </si>
  <si>
    <t xml:space="preserve">JR00051952</t>
  </si>
  <si>
    <t xml:space="preserve">JR00051953</t>
  </si>
  <si>
    <t xml:space="preserve">JR00053390</t>
  </si>
  <si>
    <t xml:space="preserve">JR00051954</t>
  </si>
  <si>
    <t xml:space="preserve">MWIN01302_1</t>
  </si>
  <si>
    <t xml:space="preserve">JR00051955</t>
  </si>
  <si>
    <t xml:space="preserve">JR00051956</t>
  </si>
  <si>
    <t xml:space="preserve">JR00051957</t>
  </si>
  <si>
    <t xml:space="preserve">JR00051958</t>
  </si>
  <si>
    <t xml:space="preserve">F-H-26-D-03</t>
  </si>
  <si>
    <t xml:space="preserve">JR00051959</t>
  </si>
  <si>
    <t xml:space="preserve">C-B-35-C-03</t>
  </si>
  <si>
    <t xml:space="preserve">JR00051960</t>
  </si>
  <si>
    <t xml:space="preserve">JR00051961</t>
  </si>
  <si>
    <t xml:space="preserve">JR00051962</t>
  </si>
  <si>
    <t xml:space="preserve">JR00051963</t>
  </si>
  <si>
    <t xml:space="preserve">JR00051964</t>
  </si>
  <si>
    <t xml:space="preserve">JR00051965-5671934</t>
  </si>
  <si>
    <t xml:space="preserve">F-G-31-D-01</t>
  </si>
  <si>
    <t xml:space="preserve">JR00051966</t>
  </si>
  <si>
    <t xml:space="preserve">JR00051967</t>
  </si>
  <si>
    <t xml:space="preserve">F-G-26-C-01</t>
  </si>
  <si>
    <t xml:space="preserve">JR00051968</t>
  </si>
  <si>
    <t xml:space="preserve">C-B-38-A-03</t>
  </si>
  <si>
    <t xml:space="preserve">JR00051969</t>
  </si>
  <si>
    <t xml:space="preserve">JR00051970</t>
  </si>
  <si>
    <t xml:space="preserve">JR00051971</t>
  </si>
  <si>
    <t xml:space="preserve">F-G-36-B-03</t>
  </si>
  <si>
    <t xml:space="preserve">JR00051972-5671922</t>
  </si>
  <si>
    <t xml:space="preserve">JR00051973</t>
  </si>
  <si>
    <t xml:space="preserve">JR00051974</t>
  </si>
  <si>
    <t xml:space="preserve">JR00051975</t>
  </si>
  <si>
    <t xml:space="preserve">JR00051976</t>
  </si>
  <si>
    <t xml:space="preserve">JR00051977</t>
  </si>
  <si>
    <t xml:space="preserve">JR00055533</t>
  </si>
  <si>
    <t xml:space="preserve">SHRM00004881</t>
  </si>
  <si>
    <t xml:space="preserve">JR00051701</t>
  </si>
  <si>
    <t xml:space="preserve">WHRET00888</t>
  </si>
  <si>
    <t xml:space="preserve">JR00051882</t>
  </si>
  <si>
    <t xml:space="preserve">JR00051883</t>
  </si>
  <si>
    <t xml:space="preserve">JR00051884</t>
  </si>
  <si>
    <t xml:space="preserve">F-G-44-B-01</t>
  </si>
  <si>
    <t xml:space="preserve">JR00051885</t>
  </si>
  <si>
    <t xml:space="preserve">F-G-37-A-01</t>
  </si>
  <si>
    <t xml:space="preserve">JR00051886</t>
  </si>
  <si>
    <t xml:space="preserve">F-G-37-A-03</t>
  </si>
  <si>
    <t xml:space="preserve">JR00051887</t>
  </si>
  <si>
    <t xml:space="preserve">F-G-39-B-01</t>
  </si>
  <si>
    <t xml:space="preserve">JR00051888</t>
  </si>
  <si>
    <t xml:space="preserve">F-G-35-A-01</t>
  </si>
  <si>
    <t xml:space="preserve">JR00051889</t>
  </si>
  <si>
    <t xml:space="preserve">JR00051891</t>
  </si>
  <si>
    <t xml:space="preserve">JR00051892</t>
  </si>
  <si>
    <t xml:space="preserve">JR00051895</t>
  </si>
  <si>
    <t xml:space="preserve">F-G-43-A-01</t>
  </si>
  <si>
    <t xml:space="preserve">JR00051896</t>
  </si>
  <si>
    <t xml:space="preserve">JR00051897</t>
  </si>
  <si>
    <t xml:space="preserve">F-G-41-B-03</t>
  </si>
  <si>
    <t xml:space="preserve">JR00051899</t>
  </si>
  <si>
    <t xml:space="preserve">JR00051900</t>
  </si>
  <si>
    <t xml:space="preserve">F-G-33-A-01</t>
  </si>
  <si>
    <t xml:space="preserve">JR00051901</t>
  </si>
  <si>
    <t xml:space="preserve">JR00051902</t>
  </si>
  <si>
    <t xml:space="preserve">F-G-27-A-01</t>
  </si>
  <si>
    <t xml:space="preserve">JR00051903</t>
  </si>
  <si>
    <t xml:space="preserve">F-G-41-B-01</t>
  </si>
  <si>
    <t xml:space="preserve">JR00051904</t>
  </si>
  <si>
    <t xml:space="preserve">JR00051905</t>
  </si>
  <si>
    <t xml:space="preserve">F-G-23-A-01</t>
  </si>
  <si>
    <t xml:space="preserve">JR00053408</t>
  </si>
  <si>
    <t xml:space="preserve">JR00056819</t>
  </si>
  <si>
    <t xml:space="preserve">JR00053595</t>
  </si>
  <si>
    <t xml:space="preserve">RIYADH01377</t>
  </si>
  <si>
    <t xml:space="preserve">JR00053596</t>
  </si>
  <si>
    <t xml:space="preserve">JR00052201</t>
  </si>
  <si>
    <t xml:space="preserve">MWIN01146</t>
  </si>
  <si>
    <t xml:space="preserve">JR00052202</t>
  </si>
  <si>
    <t xml:space="preserve">C-B-02-A-02</t>
  </si>
  <si>
    <t xml:space="preserve">JR00052203</t>
  </si>
  <si>
    <t xml:space="preserve">JR00052204</t>
  </si>
  <si>
    <t xml:space="preserve">JR00052205</t>
  </si>
  <si>
    <t xml:space="preserve">C-B-04-A-02</t>
  </si>
  <si>
    <t xml:space="preserve">JR00052206</t>
  </si>
  <si>
    <t xml:space="preserve">JR00052207</t>
  </si>
  <si>
    <t xml:space="preserve">JR00052208</t>
  </si>
  <si>
    <t xml:space="preserve">C-B-06-A-02</t>
  </si>
  <si>
    <t xml:space="preserve">JR00052209</t>
  </si>
  <si>
    <t xml:space="preserve">JR00052210</t>
  </si>
  <si>
    <t xml:space="preserve">JR00052211</t>
  </si>
  <si>
    <t xml:space="preserve">C-B-08-A-02</t>
  </si>
  <si>
    <t xml:space="preserve">JR00052212</t>
  </si>
  <si>
    <t xml:space="preserve">JR00052213</t>
  </si>
  <si>
    <t xml:space="preserve">JR00052214</t>
  </si>
  <si>
    <t xml:space="preserve">JR00052215</t>
  </si>
  <si>
    <t xml:space="preserve">C-A-13-B-02</t>
  </si>
  <si>
    <t xml:space="preserve">JR00052216</t>
  </si>
  <si>
    <t xml:space="preserve">F-H-19-C-03</t>
  </si>
  <si>
    <t xml:space="preserve">JR00052217</t>
  </si>
  <si>
    <t xml:space="preserve">JR00052218</t>
  </si>
  <si>
    <t xml:space="preserve">JR00052219</t>
  </si>
  <si>
    <t xml:space="preserve">JR00052220</t>
  </si>
  <si>
    <t xml:space="preserve">JR00052221</t>
  </si>
  <si>
    <t xml:space="preserve">C-B-10-A-02</t>
  </si>
  <si>
    <t xml:space="preserve">JR00052222</t>
  </si>
  <si>
    <t xml:space="preserve">JR00052223</t>
  </si>
  <si>
    <t xml:space="preserve">JR00051262</t>
  </si>
  <si>
    <t xml:space="preserve">SHRM00004481</t>
  </si>
  <si>
    <t xml:space="preserve">JR00050962</t>
  </si>
  <si>
    <t xml:space="preserve">MWIN012744</t>
  </si>
  <si>
    <t xml:space="preserve">JR00050963</t>
  </si>
  <si>
    <t xml:space="preserve">JR00050964</t>
  </si>
  <si>
    <t xml:space="preserve">JR00050965</t>
  </si>
  <si>
    <t xml:space="preserve">JR00050966</t>
  </si>
  <si>
    <t xml:space="preserve">JR00050981</t>
  </si>
  <si>
    <t xml:space="preserve">JR00050982</t>
  </si>
  <si>
    <t xml:space="preserve">JR00050983</t>
  </si>
  <si>
    <t xml:space="preserve">JR00050984</t>
  </si>
  <si>
    <t xml:space="preserve">JR00050985</t>
  </si>
  <si>
    <t xml:space="preserve">JR00050986</t>
  </si>
  <si>
    <t xml:space="preserve">JR00050987</t>
  </si>
  <si>
    <t xml:space="preserve">JR00050988</t>
  </si>
  <si>
    <t xml:space="preserve">JR00050989</t>
  </si>
  <si>
    <t xml:space="preserve">JR00050990</t>
  </si>
  <si>
    <t xml:space="preserve">JR00050992</t>
  </si>
  <si>
    <t xml:space="preserve">JR00050993</t>
  </si>
  <si>
    <t xml:space="preserve">JR00050994</t>
  </si>
  <si>
    <t xml:space="preserve">JR00050995</t>
  </si>
  <si>
    <t xml:space="preserve">JR00050996</t>
  </si>
  <si>
    <t xml:space="preserve">JR00050997</t>
  </si>
  <si>
    <t xml:space="preserve">JR00050998</t>
  </si>
  <si>
    <t xml:space="preserve">JR00050999</t>
  </si>
  <si>
    <t xml:space="preserve">JR00051000</t>
  </si>
  <si>
    <t xml:space="preserve">JR00051001</t>
  </si>
  <si>
    <t xml:space="preserve">JR00051002</t>
  </si>
  <si>
    <t xml:space="preserve">JR00051003</t>
  </si>
  <si>
    <t xml:space="preserve">JR00051004</t>
  </si>
  <si>
    <t xml:space="preserve">JR00051008</t>
  </si>
  <si>
    <t xml:space="preserve">JR00051009</t>
  </si>
  <si>
    <t xml:space="preserve">JR00051010</t>
  </si>
  <si>
    <t xml:space="preserve">JR00051762</t>
  </si>
  <si>
    <t xml:space="preserve">SHRM00004561</t>
  </si>
  <si>
    <t xml:space="preserve">JR00051834</t>
  </si>
  <si>
    <t xml:space="preserve">MWIN01214</t>
  </si>
  <si>
    <t xml:space="preserve">JR00051835</t>
  </si>
  <si>
    <t xml:space="preserve">JR00051837</t>
  </si>
  <si>
    <t xml:space="preserve">JR00051838</t>
  </si>
  <si>
    <t xml:space="preserve">JR00051839</t>
  </si>
  <si>
    <t xml:space="preserve">JR00051840</t>
  </si>
  <si>
    <t xml:space="preserve">JR00051841</t>
  </si>
  <si>
    <t xml:space="preserve">JR00051842</t>
  </si>
  <si>
    <t xml:space="preserve">C-A-39-A-03</t>
  </si>
  <si>
    <t xml:space="preserve">JR00051843</t>
  </si>
  <si>
    <t xml:space="preserve">JR00051844</t>
  </si>
  <si>
    <t xml:space="preserve">F-G-18-A-01</t>
  </si>
  <si>
    <t xml:space="preserve">JR00051845</t>
  </si>
  <si>
    <t xml:space="preserve">JR00051846</t>
  </si>
  <si>
    <t xml:space="preserve">JR00051847</t>
  </si>
  <si>
    <t xml:space="preserve">JR00051848</t>
  </si>
  <si>
    <t xml:space="preserve">JR00051849</t>
  </si>
  <si>
    <t xml:space="preserve">JR00051850</t>
  </si>
  <si>
    <t xml:space="preserve">JR00051851</t>
  </si>
  <si>
    <t xml:space="preserve">JR00051852</t>
  </si>
  <si>
    <t xml:space="preserve">JR00051853</t>
  </si>
  <si>
    <t xml:space="preserve">JR00051854</t>
  </si>
  <si>
    <t xml:space="preserve">JR00051855</t>
  </si>
  <si>
    <t xml:space="preserve">JR00051856</t>
  </si>
  <si>
    <t xml:space="preserve">JR00051857</t>
  </si>
  <si>
    <t xml:space="preserve">JR00051858</t>
  </si>
  <si>
    <t xml:space="preserve">JR00051859</t>
  </si>
  <si>
    <t xml:space="preserve">JR00051860</t>
  </si>
  <si>
    <t xml:space="preserve">JR00051861</t>
  </si>
  <si>
    <t xml:space="preserve">F-G-29-B-01</t>
  </si>
  <si>
    <t xml:space="preserve">JR00051862</t>
  </si>
  <si>
    <t xml:space="preserve">F-G-35-C-03</t>
  </si>
  <si>
    <t xml:space="preserve">JR00051871</t>
  </si>
  <si>
    <t xml:space="preserve">JR00052641</t>
  </si>
  <si>
    <t xml:space="preserve">MWIN01316</t>
  </si>
  <si>
    <t xml:space="preserve">JR00052642</t>
  </si>
  <si>
    <t xml:space="preserve">JR00052643</t>
  </si>
  <si>
    <t xml:space="preserve">JR00052644</t>
  </si>
  <si>
    <t xml:space="preserve">JR00052645</t>
  </si>
  <si>
    <t xml:space="preserve">JR00052646</t>
  </si>
  <si>
    <t xml:space="preserve">JR00052647</t>
  </si>
  <si>
    <t xml:space="preserve">JR00052648</t>
  </si>
  <si>
    <t xml:space="preserve">JR00052649</t>
  </si>
  <si>
    <t xml:space="preserve">JR00052650</t>
  </si>
  <si>
    <t xml:space="preserve">JR00052651</t>
  </si>
  <si>
    <t xml:space="preserve">JR00052652</t>
  </si>
  <si>
    <t xml:space="preserve">JR00052653</t>
  </si>
  <si>
    <t xml:space="preserve">JR00052654</t>
  </si>
  <si>
    <t xml:space="preserve">JR00052655</t>
  </si>
  <si>
    <t xml:space="preserve">JR00052656</t>
  </si>
  <si>
    <t xml:space="preserve">JR00052657</t>
  </si>
  <si>
    <t xml:space="preserve">JR00052658</t>
  </si>
  <si>
    <t xml:space="preserve">JR00052659</t>
  </si>
  <si>
    <t xml:space="preserve">JR00049374</t>
  </si>
  <si>
    <t xml:space="preserve">MWIN01226</t>
  </si>
  <si>
    <t xml:space="preserve">JR00049375</t>
  </si>
  <si>
    <t xml:space="preserve">JR00049376</t>
  </si>
  <si>
    <t xml:space="preserve">C-B-02-B-01</t>
  </si>
  <si>
    <t xml:space="preserve">JR00049377</t>
  </si>
  <si>
    <t xml:space="preserve">C-B-11-B-01</t>
  </si>
  <si>
    <t xml:space="preserve">JR00049378</t>
  </si>
  <si>
    <t xml:space="preserve">JR00049379</t>
  </si>
  <si>
    <t xml:space="preserve">JR00049380</t>
  </si>
  <si>
    <t xml:space="preserve">C-B-19-B-03</t>
  </si>
  <si>
    <t xml:space="preserve">JR00049381</t>
  </si>
  <si>
    <t xml:space="preserve">JR00049382</t>
  </si>
  <si>
    <t xml:space="preserve">JR00049385</t>
  </si>
  <si>
    <t xml:space="preserve">F-H-19-A-02</t>
  </si>
  <si>
    <t xml:space="preserve">JR00049386</t>
  </si>
  <si>
    <t xml:space="preserve">JR00049387</t>
  </si>
  <si>
    <t xml:space="preserve">JR00049389</t>
  </si>
  <si>
    <t xml:space="preserve">JR00049390</t>
  </si>
  <si>
    <t xml:space="preserve">JR00049391</t>
  </si>
  <si>
    <t xml:space="preserve">JR00049392</t>
  </si>
  <si>
    <t xml:space="preserve">JR00049393</t>
  </si>
  <si>
    <t xml:space="preserve">JR00049394</t>
  </si>
  <si>
    <t xml:space="preserve">JR00051805</t>
  </si>
  <si>
    <t xml:space="preserve">F-G-43-B-03</t>
  </si>
  <si>
    <t xml:space="preserve">JR00051806</t>
  </si>
  <si>
    <t xml:space="preserve">JR00051807</t>
  </si>
  <si>
    <t xml:space="preserve">JR00051808</t>
  </si>
  <si>
    <t xml:space="preserve">F-G-27-B-01</t>
  </si>
  <si>
    <t xml:space="preserve">JR00051809</t>
  </si>
  <si>
    <t xml:space="preserve">JR00051810</t>
  </si>
  <si>
    <t xml:space="preserve">JR00051811</t>
  </si>
  <si>
    <t xml:space="preserve">JR00051812</t>
  </si>
  <si>
    <t xml:space="preserve">JR00051813</t>
  </si>
  <si>
    <t xml:space="preserve">F-G-45-B-01</t>
  </si>
  <si>
    <t xml:space="preserve">JR00051815</t>
  </si>
  <si>
    <t xml:space="preserve">JR00051816</t>
  </si>
  <si>
    <t xml:space="preserve">JR00051817</t>
  </si>
  <si>
    <t xml:space="preserve">F-G-16-B-03</t>
  </si>
  <si>
    <t xml:space="preserve">JR00051819</t>
  </si>
  <si>
    <t xml:space="preserve">JR00051820</t>
  </si>
  <si>
    <t xml:space="preserve">JR00051821</t>
  </si>
  <si>
    <t xml:space="preserve">JR00051822</t>
  </si>
  <si>
    <t xml:space="preserve">JR00051823</t>
  </si>
  <si>
    <t xml:space="preserve">JR00051824</t>
  </si>
  <si>
    <t xml:space="preserve">JR00051825</t>
  </si>
  <si>
    <t xml:space="preserve">JR00051826</t>
  </si>
  <si>
    <t xml:space="preserve">JR00051827-5703684</t>
  </si>
  <si>
    <t xml:space="preserve">JR00051828</t>
  </si>
  <si>
    <t xml:space="preserve">JR00051829</t>
  </si>
  <si>
    <t xml:space="preserve">JR00051830</t>
  </si>
  <si>
    <t xml:space="preserve">JR00051831</t>
  </si>
  <si>
    <t xml:space="preserve">JR00051832</t>
  </si>
  <si>
    <t xml:space="preserve">JR00051833</t>
  </si>
  <si>
    <t xml:space="preserve">JR00058988</t>
  </si>
  <si>
    <t xml:space="preserve">JR00050291</t>
  </si>
  <si>
    <t xml:space="preserve">MWIN01107</t>
  </si>
  <si>
    <t xml:space="preserve">JR00050292</t>
  </si>
  <si>
    <t xml:space="preserve">C-B-13-A-03</t>
  </si>
  <si>
    <t xml:space="preserve">JR00050293</t>
  </si>
  <si>
    <t xml:space="preserve">JR00050294</t>
  </si>
  <si>
    <t xml:space="preserve">JR00050295</t>
  </si>
  <si>
    <t xml:space="preserve">JR00050296</t>
  </si>
  <si>
    <t xml:space="preserve">JR00050297</t>
  </si>
  <si>
    <t xml:space="preserve">JR00050298</t>
  </si>
  <si>
    <t xml:space="preserve">JR00050299</t>
  </si>
  <si>
    <t xml:space="preserve">JR00050300</t>
  </si>
  <si>
    <t xml:space="preserve">JR00050301</t>
  </si>
  <si>
    <t xml:space="preserve">JR00050302</t>
  </si>
  <si>
    <t xml:space="preserve">JR00050303</t>
  </si>
  <si>
    <t xml:space="preserve">JR00050304</t>
  </si>
  <si>
    <t xml:space="preserve">C-C-17-B-01</t>
  </si>
  <si>
    <t xml:space="preserve">JR00050305</t>
  </si>
  <si>
    <t xml:space="preserve">C-C-07-B-01</t>
  </si>
  <si>
    <t xml:space="preserve">JR00050306</t>
  </si>
  <si>
    <t xml:space="preserve">JR00050307</t>
  </si>
  <si>
    <t xml:space="preserve">JR00050308</t>
  </si>
  <si>
    <t xml:space="preserve">JR00050309</t>
  </si>
  <si>
    <t xml:space="preserve">JR00050310</t>
  </si>
  <si>
    <t xml:space="preserve">JR00050311</t>
  </si>
  <si>
    <t xml:space="preserve">JR00050312</t>
  </si>
  <si>
    <t xml:space="preserve">JR00050313</t>
  </si>
  <si>
    <t xml:space="preserve">JR00050314</t>
  </si>
  <si>
    <t xml:space="preserve">JR00050315</t>
  </si>
  <si>
    <t xml:space="preserve">JR00050316</t>
  </si>
  <si>
    <t xml:space="preserve">JR00050317</t>
  </si>
  <si>
    <t xml:space="preserve">JR00050318</t>
  </si>
  <si>
    <t xml:space="preserve">JR00050320</t>
  </si>
  <si>
    <t xml:space="preserve">JR00050812</t>
  </si>
  <si>
    <t xml:space="preserve">MWIN01074</t>
  </si>
  <si>
    <t xml:space="preserve">F-H-02-C-03</t>
  </si>
  <si>
    <t xml:space="preserve">JR00050813</t>
  </si>
  <si>
    <t xml:space="preserve">JR00050815</t>
  </si>
  <si>
    <t xml:space="preserve">F-G-06-B-03</t>
  </si>
  <si>
    <t xml:space="preserve">JR00050820</t>
  </si>
  <si>
    <t xml:space="preserve">JR00050821</t>
  </si>
  <si>
    <t xml:space="preserve">JR00050824</t>
  </si>
  <si>
    <t xml:space="preserve">F-G-14-B-03</t>
  </si>
  <si>
    <t xml:space="preserve">JR00050826</t>
  </si>
  <si>
    <t xml:space="preserve">F-G-17-A-01</t>
  </si>
  <si>
    <t xml:space="preserve">JR00050828</t>
  </si>
  <si>
    <t xml:space="preserve">JR00050831</t>
  </si>
  <si>
    <t xml:space="preserve">JR00050834</t>
  </si>
  <si>
    <t xml:space="preserve">JR00050835</t>
  </si>
  <si>
    <t xml:space="preserve">JR00050837</t>
  </si>
  <si>
    <t xml:space="preserve">F-H-01-B-03</t>
  </si>
  <si>
    <t xml:space="preserve">JR00050837-5556530</t>
  </si>
  <si>
    <t xml:space="preserve">F-H-01-C-03</t>
  </si>
  <si>
    <t xml:space="preserve">JR00050838</t>
  </si>
  <si>
    <t xml:space="preserve">JR00051242</t>
  </si>
  <si>
    <t xml:space="preserve">MWIN01281</t>
  </si>
  <si>
    <t xml:space="preserve">JR00051243</t>
  </si>
  <si>
    <t xml:space="preserve">JR00051244</t>
  </si>
  <si>
    <t xml:space="preserve">JR00051245</t>
  </si>
  <si>
    <t xml:space="preserve">JR00051246</t>
  </si>
  <si>
    <t xml:space="preserve">JR00051247</t>
  </si>
  <si>
    <t xml:space="preserve">JR00051248</t>
  </si>
  <si>
    <t xml:space="preserve">JR00051249</t>
  </si>
  <si>
    <t xml:space="preserve">JR00051250</t>
  </si>
  <si>
    <t xml:space="preserve">JR00051251</t>
  </si>
  <si>
    <t xml:space="preserve">JR00051252</t>
  </si>
  <si>
    <t xml:space="preserve">JR00051253</t>
  </si>
  <si>
    <t xml:space="preserve">JR00051254</t>
  </si>
  <si>
    <t xml:space="preserve">JR00051255</t>
  </si>
  <si>
    <t xml:space="preserve">JR00051256</t>
  </si>
  <si>
    <t xml:space="preserve">JR00051257</t>
  </si>
  <si>
    <t xml:space="preserve">JR00051258</t>
  </si>
  <si>
    <t xml:space="preserve">JR00051259</t>
  </si>
  <si>
    <t xml:space="preserve">JR00051260</t>
  </si>
  <si>
    <t xml:space="preserve">JR00051261</t>
  </si>
  <si>
    <t xml:space="preserve">JR00051765</t>
  </si>
  <si>
    <t xml:space="preserve">SHRM00004541</t>
  </si>
  <si>
    <t xml:space="preserve">JR00050808</t>
  </si>
  <si>
    <t xml:space="preserve">SHRM00004441</t>
  </si>
  <si>
    <t xml:space="preserve">JR00051796</t>
  </si>
  <si>
    <t xml:space="preserve">NIDO Fortified Tin12x400g N2 SA</t>
  </si>
  <si>
    <t xml:space="preserve">MWIN01310_2</t>
  </si>
  <si>
    <t xml:space="preserve">JR00051797</t>
  </si>
  <si>
    <t xml:space="preserve">F-G-23-D-01</t>
  </si>
  <si>
    <t xml:space="preserve">JR00051798</t>
  </si>
  <si>
    <t xml:space="preserve">F-G-29-C-03</t>
  </si>
  <si>
    <t xml:space="preserve">JR00051799</t>
  </si>
  <si>
    <t xml:space="preserve">F-G-33-B-03</t>
  </si>
  <si>
    <t xml:space="preserve">JR00051804</t>
  </si>
  <si>
    <t xml:space="preserve">SHRM00004521</t>
  </si>
  <si>
    <t xml:space="preserve">JR00041834</t>
  </si>
  <si>
    <t xml:space="preserve">SHRM00004421</t>
  </si>
  <si>
    <t xml:space="preserve">JR00041835</t>
  </si>
  <si>
    <t xml:space="preserve">JR00041836</t>
  </si>
  <si>
    <t xml:space="preserve">JR00041837</t>
  </si>
  <si>
    <t xml:space="preserve">JR00041839</t>
  </si>
  <si>
    <t xml:space="preserve">C-C-05-A-03</t>
  </si>
  <si>
    <t xml:space="preserve">JR00041840</t>
  </si>
  <si>
    <t xml:space="preserve">JR00041841</t>
  </si>
  <si>
    <t xml:space="preserve">JR00041842</t>
  </si>
  <si>
    <t xml:space="preserve">JR00041843</t>
  </si>
  <si>
    <t xml:space="preserve">C-C-13-A-01</t>
  </si>
  <si>
    <t xml:space="preserve">JR00041844</t>
  </si>
  <si>
    <t xml:space="preserve">JR00041845</t>
  </si>
  <si>
    <t xml:space="preserve">JR00041846</t>
  </si>
  <si>
    <t xml:space="preserve">JR00041847</t>
  </si>
  <si>
    <t xml:space="preserve">JR00041848</t>
  </si>
  <si>
    <t xml:space="preserve">JR00041849</t>
  </si>
  <si>
    <t xml:space="preserve">JR00041850</t>
  </si>
  <si>
    <t xml:space="preserve">JR00043856</t>
  </si>
  <si>
    <t xml:space="preserve">JR00043858</t>
  </si>
  <si>
    <t xml:space="preserve">JR00043859</t>
  </si>
  <si>
    <t xml:space="preserve">JR00043860</t>
  </si>
  <si>
    <t xml:space="preserve">JR00043861</t>
  </si>
  <si>
    <t xml:space="preserve">C-C-17-A-01</t>
  </si>
  <si>
    <t xml:space="preserve">JR00043862</t>
  </si>
  <si>
    <t xml:space="preserve">C-C-15-A-01</t>
  </si>
  <si>
    <t xml:space="preserve">JR00043863</t>
  </si>
  <si>
    <t xml:space="preserve">JR00043864</t>
  </si>
  <si>
    <t xml:space="preserve">JR00043865</t>
  </si>
  <si>
    <t xml:space="preserve">JR00043866</t>
  </si>
  <si>
    <t xml:space="preserve">JR00043868</t>
  </si>
  <si>
    <t xml:space="preserve">JR00043869</t>
  </si>
  <si>
    <t xml:space="preserve">JR00043870</t>
  </si>
  <si>
    <t xml:space="preserve">JR00043871</t>
  </si>
  <si>
    <t xml:space="preserve">JR00043872</t>
  </si>
  <si>
    <t xml:space="preserve">JR00043873</t>
  </si>
  <si>
    <t xml:space="preserve">JR00043874</t>
  </si>
  <si>
    <t xml:space="preserve">C-C-17-A-03</t>
  </si>
  <si>
    <t xml:space="preserve">JR00043875</t>
  </si>
  <si>
    <t xml:space="preserve">JR00050221</t>
  </si>
  <si>
    <t xml:space="preserve">JR00050222</t>
  </si>
  <si>
    <t xml:space="preserve">JR00050223</t>
  </si>
  <si>
    <t xml:space="preserve">JR00051763</t>
  </si>
  <si>
    <t xml:space="preserve">Harvest Coconut Water 12x500mL</t>
  </si>
  <si>
    <t xml:space="preserve">MWIN01318</t>
  </si>
  <si>
    <t xml:space="preserve">JR00051764</t>
  </si>
  <si>
    <t xml:space="preserve">JR00052681</t>
  </si>
  <si>
    <t xml:space="preserve">MWIN01322</t>
  </si>
  <si>
    <t xml:space="preserve">JR00052682</t>
  </si>
  <si>
    <t xml:space="preserve">JR00052683</t>
  </si>
  <si>
    <t xml:space="preserve">JR00052684</t>
  </si>
  <si>
    <t xml:space="preserve">JR00052685</t>
  </si>
  <si>
    <t xml:space="preserve">JR00052686</t>
  </si>
  <si>
    <t xml:space="preserve">JR00052687</t>
  </si>
  <si>
    <t xml:space="preserve">JR00052688</t>
  </si>
  <si>
    <t xml:space="preserve">JR00052689</t>
  </si>
  <si>
    <t xml:space="preserve">JR00052690</t>
  </si>
  <si>
    <t xml:space="preserve">JR00052691</t>
  </si>
  <si>
    <t xml:space="preserve">JR00052692</t>
  </si>
  <si>
    <t xml:space="preserve">JR00052693</t>
  </si>
  <si>
    <t xml:space="preserve">JR00052694</t>
  </si>
  <si>
    <t xml:space="preserve">JR00052695</t>
  </si>
  <si>
    <t xml:space="preserve">JR00052696</t>
  </si>
  <si>
    <t xml:space="preserve">JR00052697</t>
  </si>
  <si>
    <t xml:space="preserve">JR00052698</t>
  </si>
  <si>
    <t xml:space="preserve">JR00052699</t>
  </si>
  <si>
    <t xml:space="preserve">JR00052700</t>
  </si>
  <si>
    <t xml:space="preserve">JR00052701</t>
  </si>
  <si>
    <t xml:space="preserve">JR00052661</t>
  </si>
  <si>
    <t xml:space="preserve">DAMINT00797</t>
  </si>
  <si>
    <t xml:space="preserve">A0-AB-11-B-01</t>
  </si>
  <si>
    <t xml:space="preserve">JR00052663</t>
  </si>
  <si>
    <t xml:space="preserve">JR00051800</t>
  </si>
  <si>
    <t xml:space="preserve">DAMMAM07788</t>
  </si>
  <si>
    <t xml:space="preserve">F-G-33-B-01</t>
  </si>
  <si>
    <t xml:space="preserve">JR00051801</t>
  </si>
  <si>
    <t xml:space="preserve">F-G-27-C-01</t>
  </si>
  <si>
    <t xml:space="preserve">JR00051802</t>
  </si>
  <si>
    <t xml:space="preserve">JR00051461</t>
  </si>
  <si>
    <t xml:space="preserve">MWIN01288</t>
  </si>
  <si>
    <t xml:space="preserve">JR00051462</t>
  </si>
  <si>
    <t xml:space="preserve">JR00051463</t>
  </si>
  <si>
    <t xml:space="preserve">JR00051464</t>
  </si>
  <si>
    <t xml:space="preserve">JR00051465</t>
  </si>
  <si>
    <t xml:space="preserve">JR00051466</t>
  </si>
  <si>
    <t xml:space="preserve">JR00051467</t>
  </si>
  <si>
    <t xml:space="preserve">JR00051468</t>
  </si>
  <si>
    <t xml:space="preserve">JR00051469</t>
  </si>
  <si>
    <t xml:space="preserve">JR00051470</t>
  </si>
  <si>
    <t xml:space="preserve">JR00051471</t>
  </si>
  <si>
    <t xml:space="preserve">JR00051472</t>
  </si>
  <si>
    <t xml:space="preserve">JR00051473</t>
  </si>
  <si>
    <t xml:space="preserve">JR00051474</t>
  </si>
  <si>
    <t xml:space="preserve">JR00051475</t>
  </si>
  <si>
    <t xml:space="preserve">JR00051476</t>
  </si>
  <si>
    <t xml:space="preserve">JR00051477</t>
  </si>
  <si>
    <t xml:space="preserve">JR00051478</t>
  </si>
  <si>
    <t xml:space="preserve">JR00051479</t>
  </si>
  <si>
    <t xml:space="preserve">JR00051480</t>
  </si>
  <si>
    <t xml:space="preserve">JR00051481</t>
  </si>
  <si>
    <t xml:space="preserve">JR00051482</t>
  </si>
  <si>
    <t xml:space="preserve">JR00051483</t>
  </si>
  <si>
    <t xml:space="preserve">JR00051872</t>
  </si>
  <si>
    <t xml:space="preserve">MWIN01310_1</t>
  </si>
  <si>
    <t xml:space="preserve">JR00051221</t>
  </si>
  <si>
    <t xml:space="preserve">MWIN01151</t>
  </si>
  <si>
    <t xml:space="preserve">A1-AA-01-A-01</t>
  </si>
  <si>
    <t xml:space="preserve">JR00051222</t>
  </si>
  <si>
    <t xml:space="preserve">JR00051223</t>
  </si>
  <si>
    <t xml:space="preserve">JR00051224</t>
  </si>
  <si>
    <t xml:space="preserve">JR00051225</t>
  </si>
  <si>
    <t xml:space="preserve">JR00051226</t>
  </si>
  <si>
    <t xml:space="preserve">JR00051227</t>
  </si>
  <si>
    <t xml:space="preserve">JR00051228</t>
  </si>
  <si>
    <t xml:space="preserve">JR00051229</t>
  </si>
  <si>
    <t xml:space="preserve">JR00051230</t>
  </si>
  <si>
    <t xml:space="preserve">JR00051231</t>
  </si>
  <si>
    <t xml:space="preserve">JR00051232</t>
  </si>
  <si>
    <t xml:space="preserve">JR00051233</t>
  </si>
  <si>
    <t xml:space="preserve">JR00051234</t>
  </si>
  <si>
    <t xml:space="preserve">A0-AB-08-C-03</t>
  </si>
  <si>
    <t xml:space="preserve">JR00051235</t>
  </si>
  <si>
    <t xml:space="preserve">JR00051236</t>
  </si>
  <si>
    <t xml:space="preserve">JR00051237</t>
  </si>
  <si>
    <t xml:space="preserve">JR00051238</t>
  </si>
  <si>
    <t xml:space="preserve">JR00051239</t>
  </si>
  <si>
    <t xml:space="preserve">JR00051240</t>
  </si>
  <si>
    <t xml:space="preserve">JR00051241</t>
  </si>
  <si>
    <t xml:space="preserve">JR00050267</t>
  </si>
  <si>
    <t xml:space="preserve">RIYINT01144</t>
  </si>
  <si>
    <t xml:space="preserve">F-H-27-D-01</t>
  </si>
  <si>
    <t xml:space="preserve">JR00051766</t>
  </si>
  <si>
    <t xml:space="preserve">F-G-25-A-03</t>
  </si>
  <si>
    <t xml:space="preserve">JR00051767</t>
  </si>
  <si>
    <t xml:space="preserve">JR00051768</t>
  </si>
  <si>
    <t xml:space="preserve">JR00051769</t>
  </si>
  <si>
    <t xml:space="preserve">JR00051770</t>
  </si>
  <si>
    <t xml:space="preserve">F-G-35-B-03</t>
  </si>
  <si>
    <t xml:space="preserve">JR00051771</t>
  </si>
  <si>
    <t xml:space="preserve">F-G-41-A-03</t>
  </si>
  <si>
    <t xml:space="preserve">JR00051772</t>
  </si>
  <si>
    <t xml:space="preserve">JR00051773</t>
  </si>
  <si>
    <t xml:space="preserve">JR00051774</t>
  </si>
  <si>
    <t xml:space="preserve">F-G-26-A-03</t>
  </si>
  <si>
    <t xml:space="preserve">JR00051775</t>
  </si>
  <si>
    <t xml:space="preserve">F-G-27-A-03</t>
  </si>
  <si>
    <t xml:space="preserve">JR00051776</t>
  </si>
  <si>
    <t xml:space="preserve">F-H-38-C-03</t>
  </si>
  <si>
    <t xml:space="preserve">JR00051777</t>
  </si>
  <si>
    <t xml:space="preserve">JR00051778</t>
  </si>
  <si>
    <t xml:space="preserve">F-G-39-B-03</t>
  </si>
  <si>
    <t xml:space="preserve">JR00051779</t>
  </si>
  <si>
    <t xml:space="preserve">JR00051780</t>
  </si>
  <si>
    <t xml:space="preserve">JR00051781</t>
  </si>
  <si>
    <t xml:space="preserve">JR00051782</t>
  </si>
  <si>
    <t xml:space="preserve">JR00051783</t>
  </si>
  <si>
    <t xml:space="preserve">JR00051784</t>
  </si>
  <si>
    <t xml:space="preserve">JR00051785</t>
  </si>
  <si>
    <t xml:space="preserve">JR00051786</t>
  </si>
  <si>
    <t xml:space="preserve">JR00051787</t>
  </si>
  <si>
    <t xml:space="preserve">F-G-35-B-01</t>
  </si>
  <si>
    <t xml:space="preserve">JR00051788</t>
  </si>
  <si>
    <t xml:space="preserve">JR00051789</t>
  </si>
  <si>
    <t xml:space="preserve">F-G-31-A-03</t>
  </si>
  <si>
    <t xml:space="preserve">JR00051790</t>
  </si>
  <si>
    <t xml:space="preserve">JR00051791</t>
  </si>
  <si>
    <t xml:space="preserve">JR00051792</t>
  </si>
  <si>
    <t xml:space="preserve">F-G-31-A-01</t>
  </si>
  <si>
    <t xml:space="preserve">JR00051793</t>
  </si>
  <si>
    <t xml:space="preserve">F-G-35-A-03</t>
  </si>
  <si>
    <t xml:space="preserve">JR00051795</t>
  </si>
  <si>
    <t xml:space="preserve">JR00050962-5579846</t>
  </si>
  <si>
    <t xml:space="preserve">MWIN01274</t>
  </si>
  <si>
    <t xml:space="preserve">JR00050963-5579843</t>
  </si>
  <si>
    <t xml:space="preserve">JR00050964-5579841</t>
  </si>
  <si>
    <t xml:space="preserve">JR00050965-5579839</t>
  </si>
  <si>
    <t xml:space="preserve">JR00050966-5579832</t>
  </si>
  <si>
    <t xml:space="preserve">JR00050981-5579758</t>
  </si>
  <si>
    <t xml:space="preserve">JR00050982-5579759</t>
  </si>
  <si>
    <t xml:space="preserve">JR00050983-5579763</t>
  </si>
  <si>
    <t xml:space="preserve">JR00050984-5579766</t>
  </si>
  <si>
    <t xml:space="preserve">JR00050985-5579767</t>
  </si>
  <si>
    <t xml:space="preserve">JR00050986-5579769</t>
  </si>
  <si>
    <t xml:space="preserve">JR00050987-5579771</t>
  </si>
  <si>
    <t xml:space="preserve">JR00050988-5579774</t>
  </si>
  <si>
    <t xml:space="preserve">JR00050989-5579775</t>
  </si>
  <si>
    <t xml:space="preserve">JR00050990-5579777</t>
  </si>
  <si>
    <t xml:space="preserve">JR00050991-5579778</t>
  </si>
  <si>
    <t xml:space="preserve">JR00050992-5579780</t>
  </si>
  <si>
    <t xml:space="preserve">JR00050993-5579783</t>
  </si>
  <si>
    <t xml:space="preserve">JR00050994-5579784</t>
  </si>
  <si>
    <t xml:space="preserve">JR00050995-5579789</t>
  </si>
  <si>
    <t xml:space="preserve">JR00050996-5579792</t>
  </si>
  <si>
    <t xml:space="preserve">JR00050997-5579794</t>
  </si>
  <si>
    <t xml:space="preserve">JR00050998-5579797</t>
  </si>
  <si>
    <t xml:space="preserve">JR00050999-5579800</t>
  </si>
  <si>
    <t xml:space="preserve">JR00051000-5579802</t>
  </si>
  <si>
    <t xml:space="preserve">JR00051001-5579805</t>
  </si>
  <si>
    <t xml:space="preserve">JR00051002-5579807</t>
  </si>
  <si>
    <t xml:space="preserve">JR00051003-5579809</t>
  </si>
  <si>
    <t xml:space="preserve">JR00051004-5579810</t>
  </si>
  <si>
    <t xml:space="preserve">JR00051005-5579813</t>
  </si>
  <si>
    <t xml:space="preserve">JR00051006-5579816</t>
  </si>
  <si>
    <t xml:space="preserve">JR00051007-5579821</t>
  </si>
  <si>
    <t xml:space="preserve">JR00051008-5579824</t>
  </si>
  <si>
    <t xml:space="preserve">JR00051009-5579826</t>
  </si>
  <si>
    <t xml:space="preserve">JR00051010-5579829</t>
  </si>
  <si>
    <t xml:space="preserve">JR00050721</t>
  </si>
  <si>
    <t xml:space="preserve">MWIN01188</t>
  </si>
  <si>
    <t xml:space="preserve">JR00050722</t>
  </si>
  <si>
    <t xml:space="preserve">JR00050723</t>
  </si>
  <si>
    <t xml:space="preserve">JR00050724</t>
  </si>
  <si>
    <t xml:space="preserve">JR00050725</t>
  </si>
  <si>
    <t xml:space="preserve">JR00050726</t>
  </si>
  <si>
    <t xml:space="preserve">JR00050728</t>
  </si>
  <si>
    <t xml:space="preserve">JR00050729</t>
  </si>
  <si>
    <t xml:space="preserve">JR00050730</t>
  </si>
  <si>
    <t xml:space="preserve">JR00050731</t>
  </si>
  <si>
    <t xml:space="preserve">JR00051441</t>
  </si>
  <si>
    <t xml:space="preserve">MWIN01282</t>
  </si>
  <si>
    <t xml:space="preserve">JR00051442</t>
  </si>
  <si>
    <t xml:space="preserve">JR00051443</t>
  </si>
  <si>
    <t xml:space="preserve">JR00051444</t>
  </si>
  <si>
    <t xml:space="preserve">JR00051445</t>
  </si>
  <si>
    <t xml:space="preserve">JR00051446</t>
  </si>
  <si>
    <t xml:space="preserve">A0-AA-20-E-03</t>
  </si>
  <si>
    <t xml:space="preserve">JR00051447</t>
  </si>
  <si>
    <t xml:space="preserve">JR00051448</t>
  </si>
  <si>
    <t xml:space="preserve">JR00051449</t>
  </si>
  <si>
    <t xml:space="preserve">JR00051450</t>
  </si>
  <si>
    <t xml:space="preserve">JR00051451</t>
  </si>
  <si>
    <t xml:space="preserve">JR00051452</t>
  </si>
  <si>
    <t xml:space="preserve">A0-AA-18-D-01</t>
  </si>
  <si>
    <t xml:space="preserve">JR00051453</t>
  </si>
  <si>
    <t xml:space="preserve">A0-AA-18-C-02</t>
  </si>
  <si>
    <t xml:space="preserve">JR00051454</t>
  </si>
  <si>
    <t xml:space="preserve">JR00051455</t>
  </si>
  <si>
    <t xml:space="preserve">JR00051456</t>
  </si>
  <si>
    <t xml:space="preserve">JR00051457</t>
  </si>
  <si>
    <t xml:space="preserve">JR00051458</t>
  </si>
  <si>
    <t xml:space="preserve">JR00051459</t>
  </si>
  <si>
    <t xml:space="preserve">JR00051460</t>
  </si>
  <si>
    <t xml:space="preserve">JR00054780</t>
  </si>
  <si>
    <t xml:space="preserve">SHRM00004781</t>
  </si>
  <si>
    <t xml:space="preserve">JR00054781</t>
  </si>
  <si>
    <t xml:space="preserve">JR00054782</t>
  </si>
  <si>
    <t xml:space="preserve">JR00054783</t>
  </si>
  <si>
    <t xml:space="preserve">JR00054784</t>
  </si>
  <si>
    <t xml:space="preserve">JR00055076</t>
  </si>
  <si>
    <t xml:space="preserve">MWIN01237</t>
  </si>
  <si>
    <t xml:space="preserve">F-G-40-B-03</t>
  </si>
  <si>
    <t xml:space="preserve">JR00055077</t>
  </si>
  <si>
    <t xml:space="preserve">JR00055078</t>
  </si>
  <si>
    <t xml:space="preserve">JR00055080</t>
  </si>
  <si>
    <t xml:space="preserve">JR00055081</t>
  </si>
  <si>
    <t xml:space="preserve">JR00055082</t>
  </si>
  <si>
    <t xml:space="preserve">JR00055083</t>
  </si>
  <si>
    <t xml:space="preserve">JR00055084</t>
  </si>
  <si>
    <t xml:space="preserve">JR00055085</t>
  </si>
  <si>
    <t xml:space="preserve">JR00055086</t>
  </si>
  <si>
    <t xml:space="preserve">JR00055087</t>
  </si>
  <si>
    <t xml:space="preserve">JR00055088</t>
  </si>
  <si>
    <t xml:space="preserve">JR00055089</t>
  </si>
  <si>
    <t xml:space="preserve">JR00055090</t>
  </si>
  <si>
    <t xml:space="preserve">JR00055091</t>
  </si>
  <si>
    <t xml:space="preserve">JR00055092</t>
  </si>
  <si>
    <t xml:space="preserve">F-G-37-B-03</t>
  </si>
  <si>
    <t xml:space="preserve">JR00055093</t>
  </si>
  <si>
    <t xml:space="preserve">JR00055094</t>
  </si>
  <si>
    <t xml:space="preserve">JR00055095</t>
  </si>
  <si>
    <t xml:space="preserve">JR00055096</t>
  </si>
  <si>
    <t xml:space="preserve">JR00055097</t>
  </si>
  <si>
    <t xml:space="preserve">JR00055098</t>
  </si>
  <si>
    <t xml:space="preserve">F-H-34-B-03</t>
  </si>
  <si>
    <t xml:space="preserve">JR00055099</t>
  </si>
  <si>
    <t xml:space="preserve">JR00055100</t>
  </si>
  <si>
    <t xml:space="preserve">JR00055101</t>
  </si>
  <si>
    <t xml:space="preserve">JR00055102</t>
  </si>
  <si>
    <t xml:space="preserve">JR00055103</t>
  </si>
  <si>
    <t xml:space="preserve">JR00055104</t>
  </si>
  <si>
    <t xml:space="preserve">F-G-37-B-01</t>
  </si>
  <si>
    <t xml:space="preserve">JR00055105</t>
  </si>
  <si>
    <t xml:space="preserve">JR00055744</t>
  </si>
  <si>
    <t xml:space="preserve">JR00055747</t>
  </si>
  <si>
    <t xml:space="preserve">JR00055748</t>
  </si>
  <si>
    <t xml:space="preserve">A0-AB-14-A-03</t>
  </si>
  <si>
    <t xml:space="preserve">JR00055750</t>
  </si>
  <si>
    <t xml:space="preserve">JR00055751</t>
  </si>
  <si>
    <t xml:space="preserve">JR00055752</t>
  </si>
  <si>
    <t xml:space="preserve">A0-AB-11-A-03</t>
  </si>
  <si>
    <t xml:space="preserve">JR00055754</t>
  </si>
  <si>
    <t xml:space="preserve">JR00055755</t>
  </si>
  <si>
    <t xml:space="preserve">JR00055759</t>
  </si>
  <si>
    <t xml:space="preserve">A0-AB-10-A-01</t>
  </si>
  <si>
    <t xml:space="preserve">JR00055760</t>
  </si>
  <si>
    <t xml:space="preserve">JR00055762</t>
  </si>
  <si>
    <t xml:space="preserve">JR00055763</t>
  </si>
  <si>
    <t xml:space="preserve">JR00055768</t>
  </si>
  <si>
    <t xml:space="preserve">A0-AB-05-B-03</t>
  </si>
  <si>
    <t xml:space="preserve">JR00055771</t>
  </si>
  <si>
    <t xml:space="preserve">JR00055741</t>
  </si>
  <si>
    <t xml:space="preserve">SHRM00004941</t>
  </si>
  <si>
    <t xml:space="preserve">JR00055281</t>
  </si>
  <si>
    <t xml:space="preserve">MWIN01404</t>
  </si>
  <si>
    <t xml:space="preserve">JR00055282</t>
  </si>
  <si>
    <t xml:space="preserve">JR00055283</t>
  </si>
  <si>
    <t xml:space="preserve">JR00055284</t>
  </si>
  <si>
    <t xml:space="preserve">JR00055285</t>
  </si>
  <si>
    <t xml:space="preserve">JR00055286</t>
  </si>
  <si>
    <t xml:space="preserve">JR00055287</t>
  </si>
  <si>
    <t xml:space="preserve">JR00055288</t>
  </si>
  <si>
    <t xml:space="preserve">A0-AB-08-A-01</t>
  </si>
  <si>
    <t xml:space="preserve">JR00055289</t>
  </si>
  <si>
    <t xml:space="preserve">JR00055290</t>
  </si>
  <si>
    <t xml:space="preserve">JR00055291</t>
  </si>
  <si>
    <t xml:space="preserve">JR00055292</t>
  </si>
  <si>
    <t xml:space="preserve">A0-AB-20-A-03</t>
  </si>
  <si>
    <t xml:space="preserve">JR00055293</t>
  </si>
  <si>
    <t xml:space="preserve">JR00055294</t>
  </si>
  <si>
    <t xml:space="preserve">JR00055295</t>
  </si>
  <si>
    <t xml:space="preserve">JR00055296</t>
  </si>
  <si>
    <t xml:space="preserve">JR00055297</t>
  </si>
  <si>
    <t xml:space="preserve">JR00055298</t>
  </si>
  <si>
    <t xml:space="preserve">JR00055299</t>
  </si>
  <si>
    <t xml:space="preserve">A0-AB-13-B-01</t>
  </si>
  <si>
    <t xml:space="preserve">JR00055300</t>
  </si>
  <si>
    <t xml:space="preserve">JR00055301</t>
  </si>
  <si>
    <t xml:space="preserve">JR00055302</t>
  </si>
  <si>
    <t xml:space="preserve">JR00054820</t>
  </si>
  <si>
    <t xml:space="preserve">SHRM00004801</t>
  </si>
  <si>
    <t xml:space="preserve">JR00050181</t>
  </si>
  <si>
    <t xml:space="preserve">MWIN01249</t>
  </si>
  <si>
    <t xml:space="preserve">JR00050182</t>
  </si>
  <si>
    <t xml:space="preserve">JR00050183</t>
  </si>
  <si>
    <t xml:space="preserve">JR00050184</t>
  </si>
  <si>
    <t xml:space="preserve">JR00050185</t>
  </si>
  <si>
    <t xml:space="preserve">JR00050186</t>
  </si>
  <si>
    <t xml:space="preserve">JR00050187</t>
  </si>
  <si>
    <t xml:space="preserve">JR00050188</t>
  </si>
  <si>
    <t xml:space="preserve">JR00050189</t>
  </si>
  <si>
    <t xml:space="preserve">JR00050190</t>
  </si>
  <si>
    <t xml:space="preserve">JR00050191</t>
  </si>
  <si>
    <t xml:space="preserve">JR00054826</t>
  </si>
  <si>
    <t xml:space="preserve">MWIN01408</t>
  </si>
  <si>
    <t xml:space="preserve">JR00054827</t>
  </si>
  <si>
    <t xml:space="preserve">JR00054828</t>
  </si>
  <si>
    <t xml:space="preserve">JR00054829</t>
  </si>
  <si>
    <t xml:space="preserve">F-G-05-D-01</t>
  </si>
  <si>
    <t xml:space="preserve">JR00054830</t>
  </si>
  <si>
    <t xml:space="preserve">F-G-01-B-01</t>
  </si>
  <si>
    <t xml:space="preserve">JR00054831</t>
  </si>
  <si>
    <t xml:space="preserve">JR00054832</t>
  </si>
  <si>
    <t xml:space="preserve">JR00054833</t>
  </si>
  <si>
    <t xml:space="preserve">JR00054834</t>
  </si>
  <si>
    <t xml:space="preserve">JR00054835</t>
  </si>
  <si>
    <t xml:space="preserve">F-G-03-B-03</t>
  </si>
  <si>
    <t xml:space="preserve">JR00054836</t>
  </si>
  <si>
    <t xml:space="preserve">JR00054838</t>
  </si>
  <si>
    <t xml:space="preserve">JR00055046</t>
  </si>
  <si>
    <t xml:space="preserve">MWIN01238</t>
  </si>
  <si>
    <t xml:space="preserve">JR00055047</t>
  </si>
  <si>
    <t xml:space="preserve">JR00055048</t>
  </si>
  <si>
    <t xml:space="preserve">JR00055049</t>
  </si>
  <si>
    <t xml:space="preserve">JR00055050</t>
  </si>
  <si>
    <t xml:space="preserve">JR00055051</t>
  </si>
  <si>
    <t xml:space="preserve">JR00055052</t>
  </si>
  <si>
    <t xml:space="preserve">JR00055053</t>
  </si>
  <si>
    <t xml:space="preserve">JR00055054</t>
  </si>
  <si>
    <t xml:space="preserve">JR00055055</t>
  </si>
  <si>
    <t xml:space="preserve">JR00055056</t>
  </si>
  <si>
    <t xml:space="preserve">JR00055057</t>
  </si>
  <si>
    <t xml:space="preserve">F-H-19-B-01</t>
  </si>
  <si>
    <t xml:space="preserve">JR00055058</t>
  </si>
  <si>
    <t xml:space="preserve">JR00055059</t>
  </si>
  <si>
    <t xml:space="preserve">JR00055060</t>
  </si>
  <si>
    <t xml:space="preserve">F-G-03-D-03</t>
  </si>
  <si>
    <t xml:space="preserve">JR00055061</t>
  </si>
  <si>
    <t xml:space="preserve">JR00055062</t>
  </si>
  <si>
    <t xml:space="preserve">JR00055063</t>
  </si>
  <si>
    <t xml:space="preserve">JR00055064</t>
  </si>
  <si>
    <t xml:space="preserve">F-G-09-B-01</t>
  </si>
  <si>
    <t xml:space="preserve">JR00055065</t>
  </si>
  <si>
    <t xml:space="preserve">JR00055066</t>
  </si>
  <si>
    <t xml:space="preserve">F-G-24-B-03</t>
  </si>
  <si>
    <t xml:space="preserve">JR00055067</t>
  </si>
  <si>
    <t xml:space="preserve">JR00055068</t>
  </si>
  <si>
    <t xml:space="preserve">JR00055069</t>
  </si>
  <si>
    <t xml:space="preserve">JR00055070</t>
  </si>
  <si>
    <t xml:space="preserve">JR00055071</t>
  </si>
  <si>
    <t xml:space="preserve">JR00055072</t>
  </si>
  <si>
    <t xml:space="preserve">JR00055073</t>
  </si>
  <si>
    <t xml:space="preserve">JR00055074</t>
  </si>
  <si>
    <t xml:space="preserve">JR00055554</t>
  </si>
  <si>
    <t xml:space="preserve">SHRM00004901</t>
  </si>
  <si>
    <t xml:space="preserve">JR00055962</t>
  </si>
  <si>
    <t xml:space="preserve">MWIN01449</t>
  </si>
  <si>
    <t xml:space="preserve">A1-AC-02-B-03</t>
  </si>
  <si>
    <t xml:space="preserve">JR00055001</t>
  </si>
  <si>
    <t xml:space="preserve">MWIN01152</t>
  </si>
  <si>
    <t xml:space="preserve">JR00055002</t>
  </si>
  <si>
    <t xml:space="preserve">JR00055003</t>
  </si>
  <si>
    <t xml:space="preserve">JR00055004</t>
  </si>
  <si>
    <t xml:space="preserve">JR00055005</t>
  </si>
  <si>
    <t xml:space="preserve">JR00055006</t>
  </si>
  <si>
    <t xml:space="preserve">JR00055007</t>
  </si>
  <si>
    <t xml:space="preserve">JR00055008</t>
  </si>
  <si>
    <t xml:space="preserve">JR00055009</t>
  </si>
  <si>
    <t xml:space="preserve">JR00055010</t>
  </si>
  <si>
    <t xml:space="preserve">JR00055011</t>
  </si>
  <si>
    <t xml:space="preserve">JR00055012</t>
  </si>
  <si>
    <t xml:space="preserve">JR00055013</t>
  </si>
  <si>
    <t xml:space="preserve">JR00055014</t>
  </si>
  <si>
    <t xml:space="preserve">JR00055015</t>
  </si>
  <si>
    <t xml:space="preserve">JR00055016</t>
  </si>
  <si>
    <t xml:space="preserve">JR00055017</t>
  </si>
  <si>
    <t xml:space="preserve">JR00055018</t>
  </si>
  <si>
    <t xml:space="preserve">JR00055019</t>
  </si>
  <si>
    <t xml:space="preserve">A0-AB-06-A-03</t>
  </si>
  <si>
    <t xml:space="preserve">JR00055020</t>
  </si>
  <si>
    <t xml:space="preserve">JR00054750</t>
  </si>
  <si>
    <t xml:space="preserve">MWIN01235</t>
  </si>
  <si>
    <t xml:space="preserve">JR00054751</t>
  </si>
  <si>
    <t xml:space="preserve">JR00054752</t>
  </si>
  <si>
    <t xml:space="preserve">JR00054753</t>
  </si>
  <si>
    <t xml:space="preserve">JR00054754</t>
  </si>
  <si>
    <t xml:space="preserve">JR00054755</t>
  </si>
  <si>
    <t xml:space="preserve">JR00054756</t>
  </si>
  <si>
    <t xml:space="preserve">JR00054757</t>
  </si>
  <si>
    <t xml:space="preserve">JR00054758</t>
  </si>
  <si>
    <t xml:space="preserve">JR00054759</t>
  </si>
  <si>
    <t xml:space="preserve">JR00054760</t>
  </si>
  <si>
    <t xml:space="preserve">JR00054761</t>
  </si>
  <si>
    <t xml:space="preserve">JR00054762</t>
  </si>
  <si>
    <t xml:space="preserve">JR00054763</t>
  </si>
  <si>
    <t xml:space="preserve">JR00054764</t>
  </si>
  <si>
    <t xml:space="preserve">JR00054765</t>
  </si>
  <si>
    <t xml:space="preserve">JR00054766</t>
  </si>
  <si>
    <t xml:space="preserve">JR00054767</t>
  </si>
  <si>
    <t xml:space="preserve">JR00054768</t>
  </si>
  <si>
    <t xml:space="preserve">JR00054769</t>
  </si>
  <si>
    <t xml:space="preserve">JR00054770</t>
  </si>
  <si>
    <t xml:space="preserve">JR00054771</t>
  </si>
  <si>
    <t xml:space="preserve">JR00054772</t>
  </si>
  <si>
    <t xml:space="preserve">JR00054773</t>
  </si>
  <si>
    <t xml:space="preserve">JR00054774</t>
  </si>
  <si>
    <t xml:space="preserve">JR00054775</t>
  </si>
  <si>
    <t xml:space="preserve">JR00054776</t>
  </si>
  <si>
    <t xml:space="preserve">JR00054777</t>
  </si>
  <si>
    <t xml:space="preserve">JR00054778</t>
  </si>
  <si>
    <t xml:space="preserve">JR00056003</t>
  </si>
  <si>
    <t xml:space="preserve">MWIN01461</t>
  </si>
  <si>
    <t xml:space="preserve">JR00056004</t>
  </si>
  <si>
    <t xml:space="preserve">JR00056005</t>
  </si>
  <si>
    <t xml:space="preserve">JR00056425</t>
  </si>
  <si>
    <t xml:space="preserve">Sysco Half Avocado Without Skin 5x1kg</t>
  </si>
  <si>
    <t xml:space="preserve">MWIN01276</t>
  </si>
  <si>
    <t xml:space="preserve">JR00056426</t>
  </si>
  <si>
    <t xml:space="preserve">JR00056427</t>
  </si>
  <si>
    <t xml:space="preserve">A0-AB-11-D-01</t>
  </si>
  <si>
    <t xml:space="preserve">JR00056428</t>
  </si>
  <si>
    <t xml:space="preserve">A0-AB-12-D-01</t>
  </si>
  <si>
    <t xml:space="preserve">JR00056429</t>
  </si>
  <si>
    <t xml:space="preserve">A0-AB-12-D-03</t>
  </si>
  <si>
    <t xml:space="preserve">JR00056430</t>
  </si>
  <si>
    <t xml:space="preserve">JR00056431</t>
  </si>
  <si>
    <t xml:space="preserve">JR00056432</t>
  </si>
  <si>
    <t xml:space="preserve">JR00056433</t>
  </si>
  <si>
    <t xml:space="preserve">JR00056434</t>
  </si>
  <si>
    <t xml:space="preserve">JR00056435</t>
  </si>
  <si>
    <t xml:space="preserve">JR00056436</t>
  </si>
  <si>
    <t xml:space="preserve">JR00056437</t>
  </si>
  <si>
    <t xml:space="preserve">JR00056438</t>
  </si>
  <si>
    <t xml:space="preserve">JR00056439</t>
  </si>
  <si>
    <t xml:space="preserve">A0-AB-13-D-03</t>
  </si>
  <si>
    <t xml:space="preserve">JR00056440</t>
  </si>
  <si>
    <t xml:space="preserve">JR00056441</t>
  </si>
  <si>
    <t xml:space="preserve">JR00056442</t>
  </si>
  <si>
    <t xml:space="preserve">JR00056444</t>
  </si>
  <si>
    <t xml:space="preserve">A0-AB-15-E-01</t>
  </si>
  <si>
    <t xml:space="preserve">JR00056461-5958571</t>
  </si>
  <si>
    <t xml:space="preserve">MWIN01488</t>
  </si>
  <si>
    <t xml:space="preserve">JR00055261</t>
  </si>
  <si>
    <t xml:space="preserve">MWIN01425</t>
  </si>
  <si>
    <t xml:space="preserve">JR00049397</t>
  </si>
  <si>
    <t xml:space="preserve">SHRM00004761</t>
  </si>
  <si>
    <t xml:space="preserve">JR00050702-5544386</t>
  </si>
  <si>
    <t xml:space="preserve">MWIN01257F</t>
  </si>
  <si>
    <t xml:space="preserve">JR00054981</t>
  </si>
  <si>
    <t xml:space="preserve">Mccain Battered Mozza Stick 6X2.5lb</t>
  </si>
  <si>
    <t xml:space="preserve">MWIN013288</t>
  </si>
  <si>
    <t xml:space="preserve">JR00056524</t>
  </si>
  <si>
    <t xml:space="preserve">JR00056525</t>
  </si>
  <si>
    <t xml:space="preserve">JR00056528</t>
  </si>
  <si>
    <t xml:space="preserve">JR00056529</t>
  </si>
  <si>
    <t xml:space="preserve">JR00056530</t>
  </si>
  <si>
    <t xml:space="preserve">JR00056531</t>
  </si>
  <si>
    <t xml:space="preserve">JR00056534</t>
  </si>
  <si>
    <t xml:space="preserve">JR00056536</t>
  </si>
  <si>
    <t xml:space="preserve">JR00056537</t>
  </si>
  <si>
    <t xml:space="preserve">A0-AB-19-B-03</t>
  </si>
  <si>
    <t xml:space="preserve">JR00056538</t>
  </si>
  <si>
    <t xml:space="preserve">A0-AB-20-B-01</t>
  </si>
  <si>
    <t xml:space="preserve">JR00056539</t>
  </si>
  <si>
    <t xml:space="preserve">JR00056540</t>
  </si>
  <si>
    <t xml:space="preserve">JR00056541</t>
  </si>
  <si>
    <t xml:space="preserve">JR00056542</t>
  </si>
  <si>
    <t xml:space="preserve">A0-AB-20-D-03</t>
  </si>
  <si>
    <t xml:space="preserve">JR00056543</t>
  </si>
  <si>
    <t xml:space="preserve">A0-AB-20-B-03</t>
  </si>
  <si>
    <t xml:space="preserve">JR00056544</t>
  </si>
  <si>
    <t xml:space="preserve">JR00056546</t>
  </si>
  <si>
    <t xml:space="preserve">JR00056547</t>
  </si>
  <si>
    <t xml:space="preserve">A0-AB-19-A-01</t>
  </si>
  <si>
    <t xml:space="preserve">JR00056549</t>
  </si>
  <si>
    <t xml:space="preserve">JR00056550</t>
  </si>
  <si>
    <t xml:space="preserve">JR00056552</t>
  </si>
  <si>
    <t xml:space="preserve">A0-AB-13-A-03</t>
  </si>
  <si>
    <t xml:space="preserve">JR00056554</t>
  </si>
  <si>
    <t xml:space="preserve">JR00055963</t>
  </si>
  <si>
    <t xml:space="preserve">MWIN01444</t>
  </si>
  <si>
    <t xml:space="preserve">JR00055964</t>
  </si>
  <si>
    <t xml:space="preserve">JR00055965</t>
  </si>
  <si>
    <t xml:space="preserve">JR00055106</t>
  </si>
  <si>
    <t xml:space="preserve">MWIN01407</t>
  </si>
  <si>
    <t xml:space="preserve">JR00055107</t>
  </si>
  <si>
    <t xml:space="preserve">JR00055108</t>
  </si>
  <si>
    <t xml:space="preserve">JR00055109</t>
  </si>
  <si>
    <t xml:space="preserve">JR00055110</t>
  </si>
  <si>
    <t xml:space="preserve">JR00055553</t>
  </si>
  <si>
    <t xml:space="preserve">SHRM00004921</t>
  </si>
  <si>
    <t xml:space="preserve">JR00056223</t>
  </si>
  <si>
    <t xml:space="preserve">MWIN01230</t>
  </si>
  <si>
    <t xml:space="preserve">JR00054816</t>
  </si>
  <si>
    <t xml:space="preserve">RIYADHR01342</t>
  </si>
  <si>
    <t xml:space="preserve">F-H-01-A-02</t>
  </si>
  <si>
    <t xml:space="preserve">JR00054817</t>
  </si>
  <si>
    <t xml:space="preserve">F-H-03-A-02</t>
  </si>
  <si>
    <t xml:space="preserve">JR00054818</t>
  </si>
  <si>
    <t xml:space="preserve">JR00053605</t>
  </si>
  <si>
    <t xml:space="preserve">DAMMAM00859</t>
  </si>
  <si>
    <t xml:space="preserve">JR00050224</t>
  </si>
  <si>
    <t xml:space="preserve">MWIN01270</t>
  </si>
  <si>
    <t xml:space="preserve">JR00050225</t>
  </si>
  <si>
    <t xml:space="preserve">JR00050226</t>
  </si>
  <si>
    <t xml:space="preserve">JR00055551</t>
  </si>
  <si>
    <t xml:space="preserve">SHRM00004922</t>
  </si>
  <si>
    <t xml:space="preserve">JR00056422</t>
  </si>
  <si>
    <t xml:space="preserve">MWIN01471</t>
  </si>
  <si>
    <t xml:space="preserve">JR00056424</t>
  </si>
  <si>
    <t xml:space="preserve">JR00055111</t>
  </si>
  <si>
    <t xml:space="preserve">MWIN01326</t>
  </si>
  <si>
    <t xml:space="preserve">JR00055112</t>
  </si>
  <si>
    <t xml:space="preserve">JR00055114</t>
  </si>
  <si>
    <t xml:space="preserve">JR00055115</t>
  </si>
  <si>
    <t xml:space="preserve">JR00055116</t>
  </si>
  <si>
    <t xml:space="preserve">JR00055117</t>
  </si>
  <si>
    <t xml:space="preserve">JR00055118</t>
  </si>
  <si>
    <t xml:space="preserve">JR00055119</t>
  </si>
  <si>
    <t xml:space="preserve">JR00055120</t>
  </si>
  <si>
    <t xml:space="preserve">F-G-12-C-01</t>
  </si>
  <si>
    <t xml:space="preserve">JR00055121</t>
  </si>
  <si>
    <t xml:space="preserve">JR00055122</t>
  </si>
  <si>
    <t xml:space="preserve">JR00055123</t>
  </si>
  <si>
    <t xml:space="preserve">JR00055124</t>
  </si>
  <si>
    <t xml:space="preserve">JR00055125</t>
  </si>
  <si>
    <t xml:space="preserve">JR00055126</t>
  </si>
  <si>
    <t xml:space="preserve">JR00055127</t>
  </si>
  <si>
    <t xml:space="preserve">JR00055128</t>
  </si>
  <si>
    <t xml:space="preserve">JR00055129</t>
  </si>
  <si>
    <t xml:space="preserve">JR00055535</t>
  </si>
  <si>
    <t xml:space="preserve">JR00055536</t>
  </si>
  <si>
    <t xml:space="preserve">F-H-06-C-02</t>
  </si>
  <si>
    <t xml:space="preserve">JR00055537</t>
  </si>
  <si>
    <t xml:space="preserve">JR00055538</t>
  </si>
  <si>
    <t xml:space="preserve">JR00058987</t>
  </si>
  <si>
    <t xml:space="preserve">JR00055021</t>
  </si>
  <si>
    <t xml:space="preserve">MWIN01409</t>
  </si>
  <si>
    <t xml:space="preserve">A0-AB-08-A-03</t>
  </si>
  <si>
    <t xml:space="preserve">JR00055022</t>
  </si>
  <si>
    <t xml:space="preserve">JR00055023</t>
  </si>
  <si>
    <t xml:space="preserve">JR00056201</t>
  </si>
  <si>
    <t xml:space="preserve">MWIN01473</t>
  </si>
  <si>
    <t xml:space="preserve">JR00056202</t>
  </si>
  <si>
    <t xml:space="preserve">JR00053606</t>
  </si>
  <si>
    <t xml:space="preserve">MWIN01463</t>
  </si>
  <si>
    <t xml:space="preserve">JR00053610</t>
  </si>
  <si>
    <t xml:space="preserve">JR00054786</t>
  </si>
  <si>
    <t xml:space="preserve">MWIN01236</t>
  </si>
  <si>
    <t xml:space="preserve">JR00054787</t>
  </si>
  <si>
    <t xml:space="preserve">JR00054788</t>
  </si>
  <si>
    <t xml:space="preserve">JR00054789</t>
  </si>
  <si>
    <t xml:space="preserve">JR00054790</t>
  </si>
  <si>
    <t xml:space="preserve">JR00054791</t>
  </si>
  <si>
    <t xml:space="preserve">JR00054792</t>
  </si>
  <si>
    <t xml:space="preserve">F-H-16-D-01</t>
  </si>
  <si>
    <t xml:space="preserve">JR00054793</t>
  </si>
  <si>
    <t xml:space="preserve">JR00054794</t>
  </si>
  <si>
    <t xml:space="preserve">JR00054795</t>
  </si>
  <si>
    <t xml:space="preserve">JR00054796</t>
  </si>
  <si>
    <t xml:space="preserve">JR00054797</t>
  </si>
  <si>
    <t xml:space="preserve">JR00054798</t>
  </si>
  <si>
    <t xml:space="preserve">JR00054799</t>
  </si>
  <si>
    <t xml:space="preserve">JR00054800</t>
  </si>
  <si>
    <t xml:space="preserve">JR00054801</t>
  </si>
  <si>
    <t xml:space="preserve">JR00054802</t>
  </si>
  <si>
    <t xml:space="preserve">JR00054803</t>
  </si>
  <si>
    <t xml:space="preserve">JR00054804</t>
  </si>
  <si>
    <t xml:space="preserve">JR00054805</t>
  </si>
  <si>
    <t xml:space="preserve">JR00054806</t>
  </si>
  <si>
    <t xml:space="preserve">JR00054807</t>
  </si>
  <si>
    <t xml:space="preserve">JR00054808</t>
  </si>
  <si>
    <t xml:space="preserve">JR00054809</t>
  </si>
  <si>
    <t xml:space="preserve">JR00054810</t>
  </si>
  <si>
    <t xml:space="preserve">JR00054811</t>
  </si>
  <si>
    <t xml:space="preserve">JR00054812</t>
  </si>
  <si>
    <t xml:space="preserve">JR00054813</t>
  </si>
  <si>
    <t xml:space="preserve">JR00054815</t>
  </si>
  <si>
    <t xml:space="preserve">JR00055981</t>
  </si>
  <si>
    <t xml:space="preserve">MWIN01443</t>
  </si>
  <si>
    <t xml:space="preserve">JR00055982</t>
  </si>
  <si>
    <t xml:space="preserve">JR00055983</t>
  </si>
  <si>
    <t xml:space="preserve">JR00055984</t>
  </si>
  <si>
    <t xml:space="preserve">JR00055986</t>
  </si>
  <si>
    <t xml:space="preserve">JR00055987</t>
  </si>
  <si>
    <t xml:space="preserve">JR00055988</t>
  </si>
  <si>
    <t xml:space="preserve">JR00055989</t>
  </si>
  <si>
    <t xml:space="preserve">JR00055990</t>
  </si>
  <si>
    <t xml:space="preserve">JR00055991</t>
  </si>
  <si>
    <t xml:space="preserve">JR00055992</t>
  </si>
  <si>
    <t xml:space="preserve">JR00055993</t>
  </si>
  <si>
    <t xml:space="preserve">JR00055994</t>
  </si>
  <si>
    <t xml:space="preserve">JR00055995</t>
  </si>
  <si>
    <t xml:space="preserve">JR00055996</t>
  </si>
  <si>
    <t xml:space="preserve">JR00055997</t>
  </si>
  <si>
    <t xml:space="preserve">A0-AA-14-D-03</t>
  </si>
  <si>
    <t xml:space="preserve">JR00055998</t>
  </si>
  <si>
    <t xml:space="preserve">JR00055999</t>
  </si>
  <si>
    <t xml:space="preserve">JR00056000</t>
  </si>
  <si>
    <t xml:space="preserve">JR00056001</t>
  </si>
  <si>
    <t xml:space="preserve">JR00056002</t>
  </si>
  <si>
    <t xml:space="preserve">JR00050268</t>
  </si>
  <si>
    <t xml:space="preserve">SHRM00004401</t>
  </si>
  <si>
    <t xml:space="preserve">JR00050269</t>
  </si>
  <si>
    <t xml:space="preserve">JR00050270</t>
  </si>
  <si>
    <t xml:space="preserve">C-B-15-D-01</t>
  </si>
  <si>
    <t xml:space="preserve">JR00050271</t>
  </si>
  <si>
    <t xml:space="preserve">C-B-42-D-02</t>
  </si>
  <si>
    <t xml:space="preserve">JR00050503</t>
  </si>
  <si>
    <t xml:space="preserve">MWIN01258</t>
  </si>
  <si>
    <t xml:space="preserve">JR00050504</t>
  </si>
  <si>
    <t xml:space="preserve">JR00050505</t>
  </si>
  <si>
    <t xml:space="preserve">JR00050506</t>
  </si>
  <si>
    <t xml:space="preserve">JR00050507</t>
  </si>
  <si>
    <t xml:space="preserve">JR00050508</t>
  </si>
  <si>
    <t xml:space="preserve">JR00050509</t>
  </si>
  <si>
    <t xml:space="preserve">A0-AA-18-B-03</t>
  </si>
  <si>
    <t xml:space="preserve">JR00050510</t>
  </si>
  <si>
    <t xml:space="preserve">JR00050511</t>
  </si>
  <si>
    <t xml:space="preserve">A0-AA-18-E-01</t>
  </si>
  <si>
    <t xml:space="preserve">JR00050512</t>
  </si>
  <si>
    <t xml:space="preserve">JR00050513</t>
  </si>
  <si>
    <t xml:space="preserve">JR00050514</t>
  </si>
  <si>
    <t xml:space="preserve">JR00050515</t>
  </si>
  <si>
    <t xml:space="preserve">JR00050516</t>
  </si>
  <si>
    <t xml:space="preserve">A0-AA-17-B-02</t>
  </si>
  <si>
    <t xml:space="preserve">JR00050517</t>
  </si>
  <si>
    <t xml:space="preserve">JR00050518</t>
  </si>
  <si>
    <t xml:space="preserve">JR00050519</t>
  </si>
  <si>
    <t xml:space="preserve">JR00050520</t>
  </si>
  <si>
    <t xml:space="preserve">JR00050521</t>
  </si>
  <si>
    <t xml:space="preserve">JR00050522</t>
  </si>
  <si>
    <t xml:space="preserve">JR00050523</t>
  </si>
  <si>
    <t xml:space="preserve">JF00225913</t>
  </si>
  <si>
    <t xml:space="preserve">NESCAFE RED MUG Stick 12(50x1.8g) N3 XA</t>
  </si>
  <si>
    <t xml:space="preserve">MWIN01579_3</t>
  </si>
  <si>
    <t xml:space="preserve">JR00059001</t>
  </si>
  <si>
    <t xml:space="preserve">RIYINT01434</t>
  </si>
  <si>
    <t xml:space="preserve">JR00059003</t>
  </si>
  <si>
    <t xml:space="preserve">JR00059004</t>
  </si>
  <si>
    <t xml:space="preserve">JR00059005</t>
  </si>
  <si>
    <t xml:space="preserve">JR00056946</t>
  </si>
  <si>
    <t xml:space="preserve">MWIN01497</t>
  </si>
  <si>
    <t xml:space="preserve">JR00056947</t>
  </si>
  <si>
    <t xml:space="preserve">JR00056948</t>
  </si>
  <si>
    <t xml:space="preserve">JR00056949</t>
  </si>
  <si>
    <t xml:space="preserve">JR00056951</t>
  </si>
  <si>
    <t xml:space="preserve">JR00056952</t>
  </si>
  <si>
    <t xml:space="preserve">JR00056953</t>
  </si>
  <si>
    <t xml:space="preserve">JR00056955</t>
  </si>
  <si>
    <t xml:space="preserve">JR00056956</t>
  </si>
  <si>
    <t xml:space="preserve">CHOCAPIC Cereal 14x375g PR TPWGSTP3 XA</t>
  </si>
  <si>
    <t xml:space="preserve">JR00056957</t>
  </si>
  <si>
    <t xml:space="preserve">F-H-24-B-01</t>
  </si>
  <si>
    <t xml:space="preserve">JR00056958</t>
  </si>
  <si>
    <t xml:space="preserve">JR00056959</t>
  </si>
  <si>
    <t xml:space="preserve">JR00056960</t>
  </si>
  <si>
    <t xml:space="preserve">JR00056961</t>
  </si>
  <si>
    <t xml:space="preserve">JR00056962</t>
  </si>
  <si>
    <t xml:space="preserve">JR00056963</t>
  </si>
  <si>
    <t xml:space="preserve">F-H-30-B-01</t>
  </si>
  <si>
    <t xml:space="preserve">JR00056964</t>
  </si>
  <si>
    <t xml:space="preserve">JR00056965</t>
  </si>
  <si>
    <t xml:space="preserve">JR00056966</t>
  </si>
  <si>
    <t xml:space="preserve">JR00056967</t>
  </si>
  <si>
    <t xml:space="preserve">JR00056968</t>
  </si>
  <si>
    <t xml:space="preserve">JR00056969</t>
  </si>
  <si>
    <t xml:space="preserve">JR00056970</t>
  </si>
  <si>
    <t xml:space="preserve">JR00059079</t>
  </si>
  <si>
    <t xml:space="preserve">JR00059082</t>
  </si>
  <si>
    <t xml:space="preserve">JR00059089</t>
  </si>
  <si>
    <t xml:space="preserve">F-H-03-A-03</t>
  </si>
  <si>
    <t xml:space="preserve">JR00059090</t>
  </si>
  <si>
    <t xml:space="preserve">JR00059091</t>
  </si>
  <si>
    <t xml:space="preserve">JR00059092</t>
  </si>
  <si>
    <t xml:space="preserve">JR00059093</t>
  </si>
  <si>
    <t xml:space="preserve">JR00059094</t>
  </si>
  <si>
    <t xml:space="preserve">JR00059098</t>
  </si>
  <si>
    <t xml:space="preserve">JR00059099</t>
  </si>
  <si>
    <t xml:space="preserve">JR00059261</t>
  </si>
  <si>
    <t xml:space="preserve">MWIN01541</t>
  </si>
  <si>
    <t xml:space="preserve">JR00059262</t>
  </si>
  <si>
    <t xml:space="preserve">JR00059622</t>
  </si>
  <si>
    <t xml:space="preserve">MWIN01571</t>
  </si>
  <si>
    <t xml:space="preserve">A0-AA-14-E-01</t>
  </si>
  <si>
    <t xml:space="preserve">JR00059623</t>
  </si>
  <si>
    <t xml:space="preserve">JR00059624</t>
  </si>
  <si>
    <t xml:space="preserve">JR00059625</t>
  </si>
  <si>
    <t xml:space="preserve">JR00059626</t>
  </si>
  <si>
    <t xml:space="preserve">JR00059627</t>
  </si>
  <si>
    <t xml:space="preserve">JR00059628</t>
  </si>
  <si>
    <t xml:space="preserve">JR00059629</t>
  </si>
  <si>
    <t xml:space="preserve">JR00059630</t>
  </si>
  <si>
    <t xml:space="preserve">JR00059631</t>
  </si>
  <si>
    <t xml:space="preserve">JR00059632</t>
  </si>
  <si>
    <t xml:space="preserve">JR00059633</t>
  </si>
  <si>
    <t xml:space="preserve">JR00059634</t>
  </si>
  <si>
    <t xml:space="preserve">JR00059635</t>
  </si>
  <si>
    <t xml:space="preserve">JR00059636</t>
  </si>
  <si>
    <t xml:space="preserve">JR00059637</t>
  </si>
  <si>
    <t xml:space="preserve">JR00059638</t>
  </si>
  <si>
    <t xml:space="preserve">JR00059639</t>
  </si>
  <si>
    <t xml:space="preserve">JR00059640</t>
  </si>
  <si>
    <t xml:space="preserve">JR00059641</t>
  </si>
  <si>
    <t xml:space="preserve">JR00059501</t>
  </si>
  <si>
    <t xml:space="preserve">SHRM00005101</t>
  </si>
  <si>
    <t xml:space="preserve">JR00058961</t>
  </si>
  <si>
    <t xml:space="preserve">MWIN01579</t>
  </si>
  <si>
    <t xml:space="preserve">JR00058962</t>
  </si>
  <si>
    <t xml:space="preserve">F-G-36-D-03</t>
  </si>
  <si>
    <t xml:space="preserve">JR00058963</t>
  </si>
  <si>
    <t xml:space="preserve">NESCAFE REDMUG DecafStick 12(50x1.8g) XA</t>
  </si>
  <si>
    <t xml:space="preserve">JR00058964</t>
  </si>
  <si>
    <t xml:space="preserve">JR00059861</t>
  </si>
  <si>
    <t xml:space="preserve">JR00060147</t>
  </si>
  <si>
    <t xml:space="preserve">F-G-32-B-01</t>
  </si>
  <si>
    <t xml:space="preserve">JR00060149</t>
  </si>
  <si>
    <t xml:space="preserve">JR00060150</t>
  </si>
  <si>
    <t xml:space="preserve">F-G-42-A-01</t>
  </si>
  <si>
    <t xml:space="preserve">JR00060151</t>
  </si>
  <si>
    <t xml:space="preserve">JR00060152</t>
  </si>
  <si>
    <t xml:space="preserve">JR00060153</t>
  </si>
  <si>
    <t xml:space="preserve">JR00060154</t>
  </si>
  <si>
    <t xml:space="preserve">JR00060156</t>
  </si>
  <si>
    <t xml:space="preserve">JR00060159</t>
  </si>
  <si>
    <t xml:space="preserve">F-G-32-D-01</t>
  </si>
  <si>
    <t xml:space="preserve">JR00060160</t>
  </si>
  <si>
    <t xml:space="preserve">JR00060161</t>
  </si>
  <si>
    <t xml:space="preserve">JR00060163</t>
  </si>
  <si>
    <t xml:space="preserve">JR00060165</t>
  </si>
  <si>
    <t xml:space="preserve">JR00060166</t>
  </si>
  <si>
    <t xml:space="preserve">JR00060168</t>
  </si>
  <si>
    <t xml:space="preserve">F-H-01-A-01</t>
  </si>
  <si>
    <t xml:space="preserve">JR00060169</t>
  </si>
  <si>
    <t xml:space="preserve">JR00060170</t>
  </si>
  <si>
    <t xml:space="preserve">F-H-13-B-01</t>
  </si>
  <si>
    <t xml:space="preserve">JR00060171</t>
  </si>
  <si>
    <t xml:space="preserve">JR00060172</t>
  </si>
  <si>
    <t xml:space="preserve">JR00060173</t>
  </si>
  <si>
    <t xml:space="preserve">JR00060174</t>
  </si>
  <si>
    <t xml:space="preserve">F-G-32-D-03</t>
  </si>
  <si>
    <t xml:space="preserve">JR00060175</t>
  </si>
  <si>
    <t xml:space="preserve">F-G-36-D-01</t>
  </si>
  <si>
    <t xml:space="preserve">JR00060176</t>
  </si>
  <si>
    <t xml:space="preserve">JR00060177</t>
  </si>
  <si>
    <t xml:space="preserve">JR00060178</t>
  </si>
  <si>
    <t xml:space="preserve">JR00060179</t>
  </si>
  <si>
    <t xml:space="preserve">JR00060180</t>
  </si>
  <si>
    <t xml:space="preserve">JR00056894</t>
  </si>
  <si>
    <t xml:space="preserve">SHRM00005121</t>
  </si>
  <si>
    <t xml:space="preserve">JR00056906</t>
  </si>
  <si>
    <t xml:space="preserve">F-H-06-B-01</t>
  </si>
  <si>
    <t xml:space="preserve">JR00056907</t>
  </si>
  <si>
    <t xml:space="preserve">JR00059316</t>
  </si>
  <si>
    <t xml:space="preserve">MWIN01542</t>
  </si>
  <si>
    <t xml:space="preserve">JR00059317</t>
  </si>
  <si>
    <t xml:space="preserve">JR00059318</t>
  </si>
  <si>
    <t xml:space="preserve">JR00059319</t>
  </si>
  <si>
    <t xml:space="preserve">JR00059320</t>
  </si>
  <si>
    <t xml:space="preserve">JR00059321</t>
  </si>
  <si>
    <t xml:space="preserve">JR00059322</t>
  </si>
  <si>
    <t xml:space="preserve">JR00059323</t>
  </si>
  <si>
    <t xml:space="preserve">JR00059324</t>
  </si>
  <si>
    <t xml:space="preserve">JR00059325</t>
  </si>
  <si>
    <t xml:space="preserve">JR00059326</t>
  </si>
  <si>
    <t xml:space="preserve">A0-AB-04-C-03</t>
  </si>
  <si>
    <t xml:space="preserve">JR00059327</t>
  </si>
  <si>
    <t xml:space="preserve">JR00059328</t>
  </si>
  <si>
    <t xml:space="preserve">JR00059329</t>
  </si>
  <si>
    <t xml:space="preserve">JR00059330</t>
  </si>
  <si>
    <t xml:space="preserve">JR00059332</t>
  </si>
  <si>
    <t xml:space="preserve">JR00059333</t>
  </si>
  <si>
    <t xml:space="preserve">JR00059334</t>
  </si>
  <si>
    <t xml:space="preserve">JR00059335</t>
  </si>
  <si>
    <t xml:space="preserve">JR00059336</t>
  </si>
  <si>
    <t xml:space="preserve">JR00059346</t>
  </si>
  <si>
    <t xml:space="preserve">JR00059347</t>
  </si>
  <si>
    <t xml:space="preserve">JR00059348</t>
  </si>
  <si>
    <t xml:space="preserve">JR00059349</t>
  </si>
  <si>
    <t xml:space="preserve">JR00059350</t>
  </si>
  <si>
    <t xml:space="preserve">JR00059351</t>
  </si>
  <si>
    <t xml:space="preserve">JR00059352</t>
  </si>
  <si>
    <t xml:space="preserve">JR00059353</t>
  </si>
  <si>
    <t xml:space="preserve">JR00059354</t>
  </si>
  <si>
    <t xml:space="preserve">JR00059355</t>
  </si>
  <si>
    <t xml:space="preserve">JR00059356</t>
  </si>
  <si>
    <t xml:space="preserve">JR00059357</t>
  </si>
  <si>
    <t xml:space="preserve">A0-AB-13-E-03</t>
  </si>
  <si>
    <t xml:space="preserve">JR00059358</t>
  </si>
  <si>
    <t xml:space="preserve">JR00059359</t>
  </si>
  <si>
    <t xml:space="preserve">JR00059360</t>
  </si>
  <si>
    <t xml:space="preserve">JR00059361</t>
  </si>
  <si>
    <t xml:space="preserve">JR00059362</t>
  </si>
  <si>
    <t xml:space="preserve">JR00059363</t>
  </si>
  <si>
    <t xml:space="preserve">JR00059364</t>
  </si>
  <si>
    <t xml:space="preserve">JR00059365</t>
  </si>
  <si>
    <t xml:space="preserve">JR00059841</t>
  </si>
  <si>
    <t xml:space="preserve">MWIN01565</t>
  </si>
  <si>
    <t xml:space="preserve">JR00059842</t>
  </si>
  <si>
    <t xml:space="preserve">JR00059843</t>
  </si>
  <si>
    <t xml:space="preserve">JR00058970</t>
  </si>
  <si>
    <t xml:space="preserve">DAMINT00889</t>
  </si>
  <si>
    <t xml:space="preserve">JR00056912</t>
  </si>
  <si>
    <t xml:space="preserve">MWIN01497_2</t>
  </si>
  <si>
    <t xml:space="preserve">JR00056913</t>
  </si>
  <si>
    <t xml:space="preserve">JR00056914</t>
  </si>
  <si>
    <t xml:space="preserve">JR00056915</t>
  </si>
  <si>
    <t xml:space="preserve">JR00056916</t>
  </si>
  <si>
    <t xml:space="preserve">JR00056917</t>
  </si>
  <si>
    <t xml:space="preserve">JR00056918</t>
  </si>
  <si>
    <t xml:space="preserve">JR00056919</t>
  </si>
  <si>
    <t xml:space="preserve">JR00056920</t>
  </si>
  <si>
    <t xml:space="preserve">JR00059338</t>
  </si>
  <si>
    <t xml:space="preserve">DAMINT00895</t>
  </si>
  <si>
    <t xml:space="preserve">JR00059339</t>
  </si>
  <si>
    <t xml:space="preserve">JR00059340</t>
  </si>
  <si>
    <t xml:space="preserve">JR00059341</t>
  </si>
  <si>
    <t xml:space="preserve">JR00059342</t>
  </si>
  <si>
    <t xml:space="preserve">JR00059343</t>
  </si>
  <si>
    <t xml:space="preserve">JR00059882</t>
  </si>
  <si>
    <t xml:space="preserve">MWIN01387</t>
  </si>
  <si>
    <t xml:space="preserve">JR00059883</t>
  </si>
  <si>
    <t xml:space="preserve">JR00059884</t>
  </si>
  <si>
    <t xml:space="preserve">JR00059885</t>
  </si>
  <si>
    <t xml:space="preserve">JR00059886</t>
  </si>
  <si>
    <t xml:space="preserve">JR00059887</t>
  </si>
  <si>
    <t xml:space="preserve">JR00059888</t>
  </si>
  <si>
    <t xml:space="preserve">JR00059889</t>
  </si>
  <si>
    <t xml:space="preserve">JR00059890</t>
  </si>
  <si>
    <t xml:space="preserve">JR00059891</t>
  </si>
  <si>
    <t xml:space="preserve">JR00059892</t>
  </si>
  <si>
    <t xml:space="preserve">JR00059893</t>
  </si>
  <si>
    <t xml:space="preserve">JR00059894</t>
  </si>
  <si>
    <t xml:space="preserve">JR00059895</t>
  </si>
  <si>
    <t xml:space="preserve">JR00059896</t>
  </si>
  <si>
    <t xml:space="preserve">F-G-40-A-01</t>
  </si>
  <si>
    <t xml:space="preserve">JR00059897</t>
  </si>
  <si>
    <t xml:space="preserve">JR00059898</t>
  </si>
  <si>
    <t xml:space="preserve">JR00059899</t>
  </si>
  <si>
    <t xml:space="preserve">JR00059900</t>
  </si>
  <si>
    <t xml:space="preserve">JR00059901</t>
  </si>
  <si>
    <t xml:space="preserve">JR00059902</t>
  </si>
  <si>
    <t xml:space="preserve">JR00059903</t>
  </si>
  <si>
    <t xml:space="preserve">JR00059904</t>
  </si>
  <si>
    <t xml:space="preserve">JR00059905</t>
  </si>
  <si>
    <t xml:space="preserve">JR00059906</t>
  </si>
  <si>
    <t xml:space="preserve">JR00059907</t>
  </si>
  <si>
    <t xml:space="preserve">JR00059908</t>
  </si>
  <si>
    <t xml:space="preserve">JR00059909</t>
  </si>
  <si>
    <t xml:space="preserve">JR00059910</t>
  </si>
  <si>
    <t xml:space="preserve">JF00225500</t>
  </si>
  <si>
    <t xml:space="preserve">JF00225501</t>
  </si>
  <si>
    <t xml:space="preserve">JF00225502</t>
  </si>
  <si>
    <t xml:space="preserve">JF00225503</t>
  </si>
  <si>
    <t xml:space="preserve">JF00225504</t>
  </si>
  <si>
    <t xml:space="preserve">F-G-44-A-03</t>
  </si>
  <si>
    <t xml:space="preserve">JF00225505</t>
  </si>
  <si>
    <t xml:space="preserve">JF00225506</t>
  </si>
  <si>
    <t xml:space="preserve">JF00225507</t>
  </si>
  <si>
    <t xml:space="preserve">JF00225508</t>
  </si>
  <si>
    <t xml:space="preserve">JF00225509</t>
  </si>
  <si>
    <t xml:space="preserve">JF00225511</t>
  </si>
  <si>
    <t xml:space="preserve">F-G-33-A-03</t>
  </si>
  <si>
    <t xml:space="preserve">JF00225514</t>
  </si>
  <si>
    <t xml:space="preserve">JF00225515</t>
  </si>
  <si>
    <t xml:space="preserve">JF00225516</t>
  </si>
  <si>
    <t xml:space="preserve">JF00225517</t>
  </si>
  <si>
    <t xml:space="preserve">JF00225518</t>
  </si>
  <si>
    <t xml:space="preserve">JF00225519</t>
  </si>
  <si>
    <t xml:space="preserve">JF00225520</t>
  </si>
  <si>
    <t xml:space="preserve">JF00225521</t>
  </si>
  <si>
    <t xml:space="preserve">JF00225522</t>
  </si>
  <si>
    <t xml:space="preserve">JF00225523</t>
  </si>
  <si>
    <t xml:space="preserve">JF00225524</t>
  </si>
  <si>
    <t xml:space="preserve">JF00225525</t>
  </si>
  <si>
    <t xml:space="preserve">JF00225526</t>
  </si>
  <si>
    <t xml:space="preserve">JF00225527</t>
  </si>
  <si>
    <t xml:space="preserve">JF00225528</t>
  </si>
  <si>
    <t xml:space="preserve">JF00225529</t>
  </si>
  <si>
    <t xml:space="preserve">JF00225908</t>
  </si>
  <si>
    <t xml:space="preserve">SHRM00005161</t>
  </si>
  <si>
    <t xml:space="preserve">JF00225909</t>
  </si>
  <si>
    <t xml:space="preserve">JR00060145</t>
  </si>
  <si>
    <t xml:space="preserve">MWIN01579_2</t>
  </si>
  <si>
    <t xml:space="preserve">JR00060146</t>
  </si>
  <si>
    <t xml:space="preserve">JF00225910</t>
  </si>
  <si>
    <t xml:space="preserve">MWIN01579_1</t>
  </si>
  <si>
    <t xml:space="preserve">JF00225911</t>
  </si>
  <si>
    <t xml:space="preserve">JF00225912</t>
  </si>
  <si>
    <t xml:space="preserve">JR00060131</t>
  </si>
  <si>
    <t xml:space="preserve">F-G-13-B-01</t>
  </si>
  <si>
    <t xml:space="preserve">JR00060132</t>
  </si>
  <si>
    <t xml:space="preserve">JR00060133</t>
  </si>
  <si>
    <t xml:space="preserve">F-G-09-B-03</t>
  </si>
  <si>
    <t xml:space="preserve">JR00060134</t>
  </si>
  <si>
    <t xml:space="preserve">JR00060135</t>
  </si>
  <si>
    <t xml:space="preserve">JR00060136</t>
  </si>
  <si>
    <t xml:space="preserve">JR00060137</t>
  </si>
  <si>
    <t xml:space="preserve">F-G-25-B-03</t>
  </si>
  <si>
    <t xml:space="preserve">JR00060138</t>
  </si>
  <si>
    <t xml:space="preserve">JR00060139</t>
  </si>
  <si>
    <t xml:space="preserve">F-G-15-B-03</t>
  </si>
  <si>
    <t xml:space="preserve">JR00060140</t>
  </si>
  <si>
    <t xml:space="preserve">JR00060141</t>
  </si>
  <si>
    <t xml:space="preserve">JR00060142</t>
  </si>
  <si>
    <t xml:space="preserve">F-G-11-B-03</t>
  </si>
  <si>
    <t xml:space="preserve">JR00060143</t>
  </si>
  <si>
    <t xml:space="preserve">JR00060144</t>
  </si>
  <si>
    <t xml:space="preserve">JR00060314</t>
  </si>
  <si>
    <t xml:space="preserve">COFFEE-MATE Coffee Creamer 5(200X3g)N4XA</t>
  </si>
  <si>
    <t xml:space="preserve">JR00060315</t>
  </si>
  <si>
    <t xml:space="preserve">JR00060316</t>
  </si>
  <si>
    <t xml:space="preserve">JR00060317</t>
  </si>
  <si>
    <t xml:space="preserve">JR00060318</t>
  </si>
  <si>
    <t xml:space="preserve">JR00060319</t>
  </si>
  <si>
    <t xml:space="preserve">JR00060320</t>
  </si>
  <si>
    <t xml:space="preserve">JR00059565</t>
  </si>
  <si>
    <t xml:space="preserve">RIYINT01474</t>
  </si>
  <si>
    <t xml:space="preserve">JR00059566</t>
  </si>
  <si>
    <t xml:space="preserve">JR00059567</t>
  </si>
  <si>
    <t xml:space="preserve">JR00059568</t>
  </si>
  <si>
    <t xml:space="preserve">JR00059583</t>
  </si>
  <si>
    <t xml:space="preserve">MWIN01566</t>
  </si>
  <si>
    <t xml:space="preserve">JR00059584</t>
  </si>
  <si>
    <t xml:space="preserve">JR00059588</t>
  </si>
  <si>
    <t xml:space="preserve">JR00059589</t>
  </si>
  <si>
    <t xml:space="preserve">McCain Home Style Cubes 5X2.5 KG</t>
  </si>
  <si>
    <t xml:space="preserve">JR00059591</t>
  </si>
  <si>
    <t xml:space="preserve">JR00059592</t>
  </si>
  <si>
    <t xml:space="preserve">JR00059593</t>
  </si>
  <si>
    <t xml:space="preserve">JR00059594</t>
  </si>
  <si>
    <t xml:space="preserve">JR00059595</t>
  </si>
  <si>
    <t xml:space="preserve">JR00059596</t>
  </si>
  <si>
    <t xml:space="preserve">JR00059597</t>
  </si>
  <si>
    <t xml:space="preserve">JR00059598</t>
  </si>
  <si>
    <t xml:space="preserve">JR00059599</t>
  </si>
  <si>
    <t xml:space="preserve">JR00059600</t>
  </si>
  <si>
    <t xml:space="preserve">JR00059601</t>
  </si>
  <si>
    <t xml:space="preserve">JR00059042</t>
  </si>
  <si>
    <t xml:space="preserve">MWIN01384</t>
  </si>
  <si>
    <t xml:space="preserve">JR00059043</t>
  </si>
  <si>
    <t xml:space="preserve">JR00059044</t>
  </si>
  <si>
    <t xml:space="preserve">JR00059045</t>
  </si>
  <si>
    <t xml:space="preserve">JR00059046</t>
  </si>
  <si>
    <t xml:space="preserve">JR00059047</t>
  </si>
  <si>
    <t xml:space="preserve">JR00059048</t>
  </si>
  <si>
    <t xml:space="preserve">JR00059049</t>
  </si>
  <si>
    <t xml:space="preserve">JR00059050</t>
  </si>
  <si>
    <t xml:space="preserve">JR00059051</t>
  </si>
  <si>
    <t xml:space="preserve">JR00059052</t>
  </si>
  <si>
    <t xml:space="preserve">JR00059053</t>
  </si>
  <si>
    <t xml:space="preserve">JR00059054</t>
  </si>
  <si>
    <t xml:space="preserve">JR00059055</t>
  </si>
  <si>
    <t xml:space="preserve">JR00059056</t>
  </si>
  <si>
    <t xml:space="preserve">JR00059057</t>
  </si>
  <si>
    <t xml:space="preserve">JR00059058</t>
  </si>
  <si>
    <t xml:space="preserve">JR00059059</t>
  </si>
  <si>
    <t xml:space="preserve">JR00059060</t>
  </si>
  <si>
    <t xml:space="preserve">JR00059061</t>
  </si>
  <si>
    <t xml:space="preserve">JR00059062</t>
  </si>
  <si>
    <t xml:space="preserve">JR00059065</t>
  </si>
  <si>
    <t xml:space="preserve">JR00059066</t>
  </si>
  <si>
    <t xml:space="preserve">JR00059067</t>
  </si>
  <si>
    <t xml:space="preserve">JR00059068</t>
  </si>
  <si>
    <t xml:space="preserve">JR00059069</t>
  </si>
  <si>
    <t xml:space="preserve">JR00059070</t>
  </si>
  <si>
    <t xml:space="preserve">JR00059071</t>
  </si>
  <si>
    <t xml:space="preserve">JR00059570</t>
  </si>
  <si>
    <t xml:space="preserve">MWIN01560</t>
  </si>
  <si>
    <t xml:space="preserve">JR00059571</t>
  </si>
  <si>
    <t xml:space="preserve">JR00059572</t>
  </si>
  <si>
    <t xml:space="preserve">JR00059574</t>
  </si>
  <si>
    <t xml:space="preserve">JR00059575</t>
  </si>
  <si>
    <t xml:space="preserve">JR00059577</t>
  </si>
  <si>
    <t xml:space="preserve">JR00059578</t>
  </si>
  <si>
    <t xml:space="preserve">JR00059579</t>
  </si>
  <si>
    <t xml:space="preserve">JR00059580</t>
  </si>
  <si>
    <t xml:space="preserve">JR00059366</t>
  </si>
  <si>
    <t xml:space="preserve">SHRM00005081</t>
  </si>
  <si>
    <t xml:space="preserve">JR00056809</t>
  </si>
  <si>
    <t xml:space="preserve">Blendtec Four Side Jar With Vented Gripper Lid - FOAM JAR</t>
  </si>
  <si>
    <t xml:space="preserve">RIYINT01427</t>
  </si>
  <si>
    <t xml:space="preserve">F-H-40-A-04</t>
  </si>
  <si>
    <t xml:space="preserve">JR00058982</t>
  </si>
  <si>
    <t xml:space="preserve">JR00058990</t>
  </si>
  <si>
    <t xml:space="preserve">JR00060091</t>
  </si>
  <si>
    <t xml:space="preserve">JR00060092</t>
  </si>
  <si>
    <t xml:space="preserve">JR00060093</t>
  </si>
  <si>
    <t xml:space="preserve">JR00060095</t>
  </si>
  <si>
    <t xml:space="preserve">JR00060098</t>
  </si>
  <si>
    <t xml:space="preserve">JR00060100</t>
  </si>
  <si>
    <t xml:space="preserve">JR00060101</t>
  </si>
  <si>
    <t xml:space="preserve">JR00060102</t>
  </si>
  <si>
    <t xml:space="preserve">JR00060103</t>
  </si>
  <si>
    <t xml:space="preserve">JR00060104</t>
  </si>
  <si>
    <t xml:space="preserve">JR00060105</t>
  </si>
  <si>
    <t xml:space="preserve">JR00060106</t>
  </si>
  <si>
    <t xml:space="preserve">JR00060107</t>
  </si>
  <si>
    <t xml:space="preserve">JR00060115</t>
  </si>
  <si>
    <t xml:space="preserve">JR00060116</t>
  </si>
  <si>
    <t xml:space="preserve">JR00060117</t>
  </si>
  <si>
    <t xml:space="preserve">JR00060118</t>
  </si>
  <si>
    <t xml:space="preserve">JR00060120</t>
  </si>
  <si>
    <t xml:space="preserve">JR00060121</t>
  </si>
  <si>
    <t xml:space="preserve">JR00060123</t>
  </si>
  <si>
    <t xml:space="preserve">JR00059541</t>
  </si>
  <si>
    <t xml:space="preserve">MWIN01549</t>
  </si>
  <si>
    <t xml:space="preserve">JR00059542</t>
  </si>
  <si>
    <t xml:space="preserve">JR00059543</t>
  </si>
  <si>
    <t xml:space="preserve">JR00059544</t>
  </si>
  <si>
    <t xml:space="preserve">JR00059546</t>
  </si>
  <si>
    <t xml:space="preserve">JF00224852</t>
  </si>
  <si>
    <t xml:space="preserve">RIYINT01483</t>
  </si>
  <si>
    <t xml:space="preserve">F-H-22-D-03</t>
  </si>
  <si>
    <t xml:space="preserve">JR00056880</t>
  </si>
  <si>
    <t xml:space="preserve">MWIN01548</t>
  </si>
  <si>
    <t xml:space="preserve">JR00056881</t>
  </si>
  <si>
    <t xml:space="preserve">JR00059072</t>
  </si>
  <si>
    <t xml:space="preserve">NESCAFE ALEGRIA Delicate Pouch12x250g XI</t>
  </si>
  <si>
    <t xml:space="preserve">MWIN01553</t>
  </si>
  <si>
    <t xml:space="preserve">JR00056761</t>
  </si>
  <si>
    <t xml:space="preserve">RIYINT01508</t>
  </si>
  <si>
    <t xml:space="preserve">JR00056762</t>
  </si>
  <si>
    <t xml:space="preserve">JR00056763</t>
  </si>
  <si>
    <t xml:space="preserve">JR00059879</t>
  </si>
  <si>
    <t xml:space="preserve">JR00061303</t>
  </si>
  <si>
    <t xml:space="preserve">MWIN01410</t>
  </si>
  <si>
    <t xml:space="preserve">JR00061304</t>
  </si>
  <si>
    <t xml:space="preserve">JR00061314</t>
  </si>
  <si>
    <t xml:space="preserve">JR00061323</t>
  </si>
  <si>
    <t xml:space="preserve">JR00061328</t>
  </si>
  <si>
    <t xml:space="preserve">JR00061741</t>
  </si>
  <si>
    <t xml:space="preserve">MWIN01674</t>
  </si>
  <si>
    <t xml:space="preserve">JR00061742</t>
  </si>
  <si>
    <t xml:space="preserve">JR00061744</t>
  </si>
  <si>
    <t xml:space="preserve">JR00061745</t>
  </si>
  <si>
    <t xml:space="preserve">JR00061746</t>
  </si>
  <si>
    <t xml:space="preserve">JR00061751</t>
  </si>
  <si>
    <t xml:space="preserve">FCK1104</t>
  </si>
  <si>
    <t xml:space="preserve">Chef's Line Frozen Tender Chicken Breast 4x2.5kg (PRO)</t>
  </si>
  <si>
    <t xml:space="preserve">JR00061752</t>
  </si>
  <si>
    <t xml:space="preserve">JR00056921</t>
  </si>
  <si>
    <t xml:space="preserve">MWIN01497_1</t>
  </si>
  <si>
    <t xml:space="preserve">JR00056922</t>
  </si>
  <si>
    <t xml:space="preserve">JR00056923</t>
  </si>
  <si>
    <t xml:space="preserve">JR00056924</t>
  </si>
  <si>
    <t xml:space="preserve">JR00056925</t>
  </si>
  <si>
    <t xml:space="preserve">JR00056926</t>
  </si>
  <si>
    <t xml:space="preserve">JR00056927</t>
  </si>
  <si>
    <t xml:space="preserve">JR00056928</t>
  </si>
  <si>
    <t xml:space="preserve">JR00056929</t>
  </si>
  <si>
    <t xml:space="preserve">JR00056930</t>
  </si>
  <si>
    <t xml:space="preserve">JR00056931</t>
  </si>
  <si>
    <t xml:space="preserve">JR00056932</t>
  </si>
  <si>
    <t xml:space="preserve">CNTR CORN FLAKES CEREAL 5X1000G N4 SA	</t>
  </si>
  <si>
    <t xml:space="preserve">JR00056933</t>
  </si>
  <si>
    <t xml:space="preserve">JR00056935</t>
  </si>
  <si>
    <t xml:space="preserve">JR00056937</t>
  </si>
  <si>
    <t xml:space="preserve">JR00056938</t>
  </si>
  <si>
    <t xml:space="preserve">F-H-05-D-03</t>
  </si>
  <si>
    <t xml:space="preserve">JR00056939</t>
  </si>
  <si>
    <t xml:space="preserve">JR00056940</t>
  </si>
  <si>
    <t xml:space="preserve">JR00056941</t>
  </si>
  <si>
    <t xml:space="preserve">F-H-11-D-03</t>
  </si>
  <si>
    <t xml:space="preserve">JR00056942</t>
  </si>
  <si>
    <t xml:space="preserve">JR00056943</t>
  </si>
  <si>
    <t xml:space="preserve">JR00056944</t>
  </si>
  <si>
    <t xml:space="preserve">JR00056945</t>
  </si>
  <si>
    <t xml:space="preserve">JR00060545</t>
  </si>
  <si>
    <t xml:space="preserve">MWIN01573</t>
  </si>
  <si>
    <t xml:space="preserve">JR00060547</t>
  </si>
  <si>
    <t xml:space="preserve">JR00060548</t>
  </si>
  <si>
    <t xml:space="preserve">JR00060549</t>
  </si>
  <si>
    <t xml:space="preserve">JR00060550</t>
  </si>
  <si>
    <t xml:space="preserve">JR00060551</t>
  </si>
  <si>
    <t xml:space="preserve">JR00060554</t>
  </si>
  <si>
    <t xml:space="preserve">JR00060556</t>
  </si>
  <si>
    <t xml:space="preserve">JR00060557</t>
  </si>
  <si>
    <t xml:space="preserve">JR00060558</t>
  </si>
  <si>
    <t xml:space="preserve">JR00060559</t>
  </si>
  <si>
    <t xml:space="preserve">JR00060560</t>
  </si>
  <si>
    <t xml:space="preserve">JR00060561</t>
  </si>
  <si>
    <t xml:space="preserve">JR00060562</t>
  </si>
  <si>
    <t xml:space="preserve">JR00060563</t>
  </si>
  <si>
    <t xml:space="preserve">JR00060564</t>
  </si>
  <si>
    <t xml:space="preserve">JR00060565</t>
  </si>
  <si>
    <t xml:space="preserve">JR00061771</t>
  </si>
  <si>
    <t xml:space="preserve">MWIN01376</t>
  </si>
  <si>
    <t xml:space="preserve">JR00061772</t>
  </si>
  <si>
    <t xml:space="preserve">JR00061777</t>
  </si>
  <si>
    <t xml:space="preserve">JR00061781</t>
  </si>
  <si>
    <t xml:space="preserve">JR00061782</t>
  </si>
  <si>
    <t xml:space="preserve">JR00061789</t>
  </si>
  <si>
    <t xml:space="preserve">JR00061793</t>
  </si>
  <si>
    <t xml:space="preserve">JR00061794</t>
  </si>
  <si>
    <t xml:space="preserve">JR00061795</t>
  </si>
  <si>
    <t xml:space="preserve">JR00061796</t>
  </si>
  <si>
    <t xml:space="preserve">JR00061391</t>
  </si>
  <si>
    <t xml:space="preserve">MWIN01454</t>
  </si>
  <si>
    <t xml:space="preserve">JR00061392</t>
  </si>
  <si>
    <t xml:space="preserve">JR00061393</t>
  </si>
  <si>
    <t xml:space="preserve">JR00061394</t>
  </si>
  <si>
    <t xml:space="preserve">JR00061395</t>
  </si>
  <si>
    <t xml:space="preserve">JR00061396</t>
  </si>
  <si>
    <t xml:space="preserve">F-G-10-C-01</t>
  </si>
  <si>
    <t xml:space="preserve">JR00061397</t>
  </si>
  <si>
    <t xml:space="preserve">F-H-06-B-03</t>
  </si>
  <si>
    <t xml:space="preserve">JR00061399</t>
  </si>
  <si>
    <t xml:space="preserve">JR00061400</t>
  </si>
  <si>
    <t xml:space="preserve">JR00061401</t>
  </si>
  <si>
    <t xml:space="preserve">JR00061402</t>
  </si>
  <si>
    <t xml:space="preserve">JR00061403</t>
  </si>
  <si>
    <t xml:space="preserve">JR00061404</t>
  </si>
  <si>
    <t xml:space="preserve">JR00061405</t>
  </si>
  <si>
    <t xml:space="preserve">JR00061406</t>
  </si>
  <si>
    <t xml:space="preserve">JR00061407</t>
  </si>
  <si>
    <t xml:space="preserve">JR00061408</t>
  </si>
  <si>
    <t xml:space="preserve">JR00061409</t>
  </si>
  <si>
    <t xml:space="preserve">JR00061410</t>
  </si>
  <si>
    <t xml:space="preserve">JR00061411</t>
  </si>
  <si>
    <t xml:space="preserve">JR00061412</t>
  </si>
  <si>
    <t xml:space="preserve">JR00061413</t>
  </si>
  <si>
    <t xml:space="preserve">JR00061414</t>
  </si>
  <si>
    <t xml:space="preserve">JR00061415</t>
  </si>
  <si>
    <t xml:space="preserve">JR00061416</t>
  </si>
  <si>
    <t xml:space="preserve">JR00061417</t>
  </si>
  <si>
    <t xml:space="preserve">JR00061418</t>
  </si>
  <si>
    <t xml:space="preserve">JR00061419</t>
  </si>
  <si>
    <t xml:space="preserve">JR00061420</t>
  </si>
  <si>
    <t xml:space="preserve">JR00056722</t>
  </si>
  <si>
    <t xml:space="preserve">JR00056723</t>
  </si>
  <si>
    <t xml:space="preserve">JR00056724</t>
  </si>
  <si>
    <t xml:space="preserve">JR00056725</t>
  </si>
  <si>
    <t xml:space="preserve">F-G-12-A-03</t>
  </si>
  <si>
    <t xml:space="preserve">JR00056726</t>
  </si>
  <si>
    <t xml:space="preserve">JR00056727</t>
  </si>
  <si>
    <t xml:space="preserve">JR00056728</t>
  </si>
  <si>
    <t xml:space="preserve">F-H-46-B-03</t>
  </si>
  <si>
    <t xml:space="preserve">JR00056730</t>
  </si>
  <si>
    <t xml:space="preserve">JR00056732</t>
  </si>
  <si>
    <t xml:space="preserve">JR00056733</t>
  </si>
  <si>
    <t xml:space="preserve">JR00056734</t>
  </si>
  <si>
    <t xml:space="preserve">JR00056735</t>
  </si>
  <si>
    <t xml:space="preserve">F-H-41-A-03</t>
  </si>
  <si>
    <t xml:space="preserve">JR00056736</t>
  </si>
  <si>
    <t xml:space="preserve">JR00056737</t>
  </si>
  <si>
    <t xml:space="preserve">JR00056738</t>
  </si>
  <si>
    <t xml:space="preserve">JR00056739</t>
  </si>
  <si>
    <t xml:space="preserve">JR00056740</t>
  </si>
  <si>
    <t xml:space="preserve">JR00056741</t>
  </si>
  <si>
    <t xml:space="preserve">JR00056742</t>
  </si>
  <si>
    <t xml:space="preserve">JR00056743</t>
  </si>
  <si>
    <t xml:space="preserve">JR00056744</t>
  </si>
  <si>
    <t xml:space="preserve">JR00056745</t>
  </si>
  <si>
    <t xml:space="preserve">JR00056746</t>
  </si>
  <si>
    <t xml:space="preserve">JR00056748</t>
  </si>
  <si>
    <t xml:space="preserve">JR00056749</t>
  </si>
  <si>
    <t xml:space="preserve">JR00056750</t>
  </si>
  <si>
    <t xml:space="preserve">JR00056464</t>
  </si>
  <si>
    <t xml:space="preserve">MWIN01497_3</t>
  </si>
  <si>
    <t xml:space="preserve">JR00056883</t>
  </si>
  <si>
    <t xml:space="preserve">MAGGI SOUP CR OF MSHRM 6(12X68G) N2XA</t>
  </si>
  <si>
    <t xml:space="preserve">JR00056885</t>
  </si>
  <si>
    <t xml:space="preserve">JR00056886</t>
  </si>
  <si>
    <t xml:space="preserve">JR00056887</t>
  </si>
  <si>
    <t xml:space="preserve">JR00056888</t>
  </si>
  <si>
    <t xml:space="preserve">JR00056889</t>
  </si>
  <si>
    <t xml:space="preserve">JR00056890</t>
  </si>
  <si>
    <t xml:space="preserve">F-H-17-D-03</t>
  </si>
  <si>
    <t xml:space="preserve">JR00056891</t>
  </si>
  <si>
    <t xml:space="preserve">JR00056892</t>
  </si>
  <si>
    <t xml:space="preserve">JR00056893</t>
  </si>
  <si>
    <t xml:space="preserve">JR00056894-5975760</t>
  </si>
  <si>
    <t xml:space="preserve">JR00056895</t>
  </si>
  <si>
    <t xml:space="preserve">JR00056896</t>
  </si>
  <si>
    <t xml:space="preserve">F-H-10-D-03</t>
  </si>
  <si>
    <t xml:space="preserve">JR00056897</t>
  </si>
  <si>
    <t xml:space="preserve">JR00056898</t>
  </si>
  <si>
    <t xml:space="preserve">F-H-14-D-01</t>
  </si>
  <si>
    <t xml:space="preserve">JR00056899</t>
  </si>
  <si>
    <t xml:space="preserve">F-H-18-D-01</t>
  </si>
  <si>
    <t xml:space="preserve">JR00056900</t>
  </si>
  <si>
    <t xml:space="preserve">JR00056901</t>
  </si>
  <si>
    <t xml:space="preserve">F-H-09-D-03</t>
  </si>
  <si>
    <t xml:space="preserve">JR00056902</t>
  </si>
  <si>
    <t xml:space="preserve">JR00056903</t>
  </si>
  <si>
    <t xml:space="preserve">MAGGI BEEF BOUILLON 24 (24X18G) N1 XA	</t>
  </si>
  <si>
    <t xml:space="preserve">JR00056904</t>
  </si>
  <si>
    <t xml:space="preserve">F-H-07-D-03</t>
  </si>
  <si>
    <t xml:space="preserve">JR00056905</t>
  </si>
  <si>
    <t xml:space="preserve">F-H-06-D-01</t>
  </si>
  <si>
    <t xml:space="preserve">JR00056906-5975692</t>
  </si>
  <si>
    <t xml:space="preserve">JR00056907-5975687</t>
  </si>
  <si>
    <t xml:space="preserve">JR00056908</t>
  </si>
  <si>
    <t xml:space="preserve">F-H-06-D-03</t>
  </si>
  <si>
    <t xml:space="preserve">JR00056909</t>
  </si>
  <si>
    <t xml:space="preserve">JR00056910</t>
  </si>
  <si>
    <t xml:space="preserve">JR00056911</t>
  </si>
  <si>
    <t xml:space="preserve">JR00056759</t>
  </si>
  <si>
    <t xml:space="preserve">MWIN01496</t>
  </si>
  <si>
    <t xml:space="preserve">JR00039201</t>
  </si>
  <si>
    <t xml:space="preserve">MWIN01055</t>
  </si>
  <si>
    <t xml:space="preserve">JR00039202</t>
  </si>
  <si>
    <t xml:space="preserve">JR00039203</t>
  </si>
  <si>
    <t xml:space="preserve">JR00039204</t>
  </si>
  <si>
    <t xml:space="preserve">JR00039205</t>
  </si>
  <si>
    <t xml:space="preserve">JR00039206</t>
  </si>
  <si>
    <t xml:space="preserve">JR00039207</t>
  </si>
  <si>
    <t xml:space="preserve">JR00039208</t>
  </si>
  <si>
    <t xml:space="preserve">JR00039209</t>
  </si>
  <si>
    <t xml:space="preserve">JR00039210</t>
  </si>
  <si>
    <t xml:space="preserve">JR00039211</t>
  </si>
  <si>
    <t xml:space="preserve">JR00039212</t>
  </si>
  <si>
    <t xml:space="preserve">JR00058942</t>
  </si>
  <si>
    <t xml:space="preserve">MWIN01474</t>
  </si>
  <si>
    <t xml:space="preserve">JR00058943</t>
  </si>
  <si>
    <t xml:space="preserve">A0-AB-19-E-03</t>
  </si>
  <si>
    <t xml:space="preserve">JR00058944</t>
  </si>
  <si>
    <t xml:space="preserve">JR00058945</t>
  </si>
  <si>
    <t xml:space="preserve">JR00056767</t>
  </si>
  <si>
    <t xml:space="preserve">JR00056768</t>
  </si>
  <si>
    <t xml:space="preserve">JR00056769</t>
  </si>
  <si>
    <t xml:space="preserve">JR00056770</t>
  </si>
  <si>
    <t xml:space="preserve">JR00056771</t>
  </si>
  <si>
    <t xml:space="preserve">JR00056772</t>
  </si>
  <si>
    <t xml:space="preserve">JR00056773</t>
  </si>
  <si>
    <t xml:space="preserve">JR00056774</t>
  </si>
  <si>
    <t xml:space="preserve">JR00056775</t>
  </si>
  <si>
    <t xml:space="preserve">JR00056776</t>
  </si>
  <si>
    <t xml:space="preserve">JR00056777</t>
  </si>
  <si>
    <t xml:space="preserve">JR00056778</t>
  </si>
  <si>
    <t xml:space="preserve">JR00056779</t>
  </si>
  <si>
    <t xml:space="preserve">JR00056780</t>
  </si>
  <si>
    <t xml:space="preserve">JR00056781</t>
  </si>
  <si>
    <t xml:space="preserve">JR00056782</t>
  </si>
  <si>
    <t xml:space="preserve">JR00056783</t>
  </si>
  <si>
    <t xml:space="preserve">JR00056784</t>
  </si>
  <si>
    <t xml:space="preserve">JR00056785</t>
  </si>
  <si>
    <t xml:space="preserve">F-G-38-A-02</t>
  </si>
  <si>
    <t xml:space="preserve">JR00056786</t>
  </si>
  <si>
    <t xml:space="preserve">JR00056787</t>
  </si>
  <si>
    <t xml:space="preserve">JR00056788</t>
  </si>
  <si>
    <t xml:space="preserve">JR00056789</t>
  </si>
  <si>
    <t xml:space="preserve">JR00056790</t>
  </si>
  <si>
    <t xml:space="preserve">JR00056791</t>
  </si>
  <si>
    <t xml:space="preserve">JR00056792</t>
  </si>
  <si>
    <t xml:space="preserve">JR00056793</t>
  </si>
  <si>
    <t xml:space="preserve">JR00056794</t>
  </si>
  <si>
    <t xml:space="preserve">JR00056795</t>
  </si>
  <si>
    <t xml:space="preserve">JR00060802</t>
  </si>
  <si>
    <t xml:space="preserve">MWIN01594</t>
  </si>
  <si>
    <t xml:space="preserve">JR00060803</t>
  </si>
  <si>
    <t xml:space="preserve">JR00060805</t>
  </si>
  <si>
    <t xml:space="preserve">JR00060806</t>
  </si>
  <si>
    <t xml:space="preserve">JR00056764</t>
  </si>
  <si>
    <t xml:space="preserve">DAMOUT11622</t>
  </si>
  <si>
    <t xml:space="preserve">JR00061002</t>
  </si>
  <si>
    <t xml:space="preserve">JR00061003</t>
  </si>
  <si>
    <t xml:space="preserve">JR00056757</t>
  </si>
  <si>
    <t xml:space="preserve">SHRM00005181</t>
  </si>
  <si>
    <t xml:space="preserve">JR00061541</t>
  </si>
  <si>
    <t xml:space="preserve">SHRM00005241</t>
  </si>
  <si>
    <t xml:space="preserve">JR00056753</t>
  </si>
  <si>
    <t xml:space="preserve">RIYINT01522</t>
  </si>
  <si>
    <t xml:space="preserve">JR00056754</t>
  </si>
  <si>
    <t xml:space="preserve">JR00056755</t>
  </si>
  <si>
    <t xml:space="preserve">JR00056756</t>
  </si>
  <si>
    <t xml:space="preserve">JR00062040</t>
  </si>
  <si>
    <t xml:space="preserve">MWIN01452</t>
  </si>
  <si>
    <t xml:space="preserve">JR00061753</t>
  </si>
  <si>
    <t xml:space="preserve">FCK1110</t>
  </si>
  <si>
    <t xml:space="preserve">Chefâ€™s Line IQF Chicken Breast Tender 5oz (4x2.5kg)</t>
  </si>
  <si>
    <t xml:space="preserve">MWIN01679</t>
  </si>
  <si>
    <t xml:space="preserve">JR00056461</t>
  </si>
  <si>
    <t xml:space="preserve">SHRM00005022</t>
  </si>
  <si>
    <t xml:space="preserve">JR00056751</t>
  </si>
  <si>
    <t xml:space="preserve">MWIN01453</t>
  </si>
  <si>
    <t xml:space="preserve">JR00056752</t>
  </si>
  <si>
    <t xml:space="preserve">JR00061004</t>
  </si>
  <si>
    <t xml:space="preserve">JR00061005</t>
  </si>
  <si>
    <t xml:space="preserve">JR00061006</t>
  </si>
  <si>
    <t xml:space="preserve">C-B-26-A-01</t>
  </si>
  <si>
    <t xml:space="preserve">JR00061007</t>
  </si>
  <si>
    <t xml:space="preserve">C-B-26-A-03</t>
  </si>
  <si>
    <t xml:space="preserve">JR00061008</t>
  </si>
  <si>
    <t xml:space="preserve">C-B-28-A-01</t>
  </si>
  <si>
    <t xml:space="preserve">JR00061009</t>
  </si>
  <si>
    <t xml:space="preserve">C-B-28-A-03</t>
  </si>
  <si>
    <t xml:space="preserve">JR00061010</t>
  </si>
  <si>
    <t xml:space="preserve">JR00061011</t>
  </si>
  <si>
    <t xml:space="preserve">JR00061012</t>
  </si>
  <si>
    <t xml:space="preserve">JR00061013</t>
  </si>
  <si>
    <t xml:space="preserve">JR00061014</t>
  </si>
  <si>
    <t xml:space="preserve">JR00061015</t>
  </si>
  <si>
    <t xml:space="preserve">JR00061016</t>
  </si>
  <si>
    <t xml:space="preserve">JR00061017</t>
  </si>
  <si>
    <t xml:space="preserve">JR00061018</t>
  </si>
  <si>
    <t xml:space="preserve">JR00061019</t>
  </si>
  <si>
    <t xml:space="preserve">JR00061020</t>
  </si>
  <si>
    <t xml:space="preserve">JR00061021</t>
  </si>
  <si>
    <t xml:space="preserve">JR00061022</t>
  </si>
  <si>
    <t xml:space="preserve">JR00061023</t>
  </si>
  <si>
    <t xml:space="preserve">JR00061024</t>
  </si>
  <si>
    <t xml:space="preserve">JR00061025</t>
  </si>
  <si>
    <t xml:space="preserve">JR00061026</t>
  </si>
  <si>
    <t xml:space="preserve">JR00061027</t>
  </si>
  <si>
    <t xml:space="preserve">JR00061028</t>
  </si>
  <si>
    <t xml:space="preserve">JR00061029</t>
  </si>
  <si>
    <t xml:space="preserve">JR00061030</t>
  </si>
  <si>
    <t xml:space="preserve">JR00058971</t>
  </si>
  <si>
    <t xml:space="preserve">MWIN01509</t>
  </si>
  <si>
    <t xml:space="preserve">JR00058972</t>
  </si>
  <si>
    <t xml:space="preserve">JR00058973</t>
  </si>
  <si>
    <t xml:space="preserve">JR00060776</t>
  </si>
  <si>
    <t xml:space="preserve">MWIN01231</t>
  </si>
  <si>
    <t xml:space="preserve">JR00060777</t>
  </si>
  <si>
    <t xml:space="preserve">JR00060778</t>
  </si>
  <si>
    <t xml:space="preserve">JR00060779</t>
  </si>
  <si>
    <t xml:space="preserve">JR00060781</t>
  </si>
  <si>
    <t xml:space="preserve">JR00060782</t>
  </si>
  <si>
    <t xml:space="preserve">JR00060785</t>
  </si>
  <si>
    <t xml:space="preserve">JR00060786</t>
  </si>
  <si>
    <t xml:space="preserve">JR00060787</t>
  </si>
  <si>
    <t xml:space="preserve">JR00060788</t>
  </si>
  <si>
    <t xml:space="preserve">JR00060809</t>
  </si>
  <si>
    <t xml:space="preserve">JR00059095</t>
  </si>
  <si>
    <t xml:space="preserve">SHRM00005061</t>
  </si>
  <si>
    <t xml:space="preserve">JR00060811</t>
  </si>
  <si>
    <t xml:space="preserve">MWIN01623</t>
  </si>
  <si>
    <t xml:space="preserve">A1-AA-06-A-01</t>
  </si>
  <si>
    <t xml:space="preserve">JR00061540</t>
  </si>
  <si>
    <t xml:space="preserve">SHRM00005221</t>
  </si>
  <si>
    <t xml:space="preserve">F-G-18-D-03</t>
  </si>
  <si>
    <t xml:space="preserve">JF00225835</t>
  </si>
  <si>
    <t xml:space="preserve">MWIN01456</t>
  </si>
  <si>
    <t xml:space="preserve">JF00225836</t>
  </si>
  <si>
    <t xml:space="preserve">JF00225837</t>
  </si>
  <si>
    <t xml:space="preserve">JF00225838</t>
  </si>
  <si>
    <t xml:space="preserve">JF00225839</t>
  </si>
  <si>
    <t xml:space="preserve">JF00225840</t>
  </si>
  <si>
    <t xml:space="preserve">F-G-44-B-03</t>
  </si>
  <si>
    <t xml:space="preserve">JF00225841</t>
  </si>
  <si>
    <t xml:space="preserve">JF00225842</t>
  </si>
  <si>
    <t xml:space="preserve">F-G-46-C-03</t>
  </si>
  <si>
    <t xml:space="preserve">JF00225843</t>
  </si>
  <si>
    <t xml:space="preserve">JF00225844</t>
  </si>
  <si>
    <t xml:space="preserve">JF00225845</t>
  </si>
  <si>
    <t xml:space="preserve">JF00225846</t>
  </si>
  <si>
    <t xml:space="preserve">JF00225848</t>
  </si>
  <si>
    <t xml:space="preserve">JF00225914</t>
  </si>
  <si>
    <t xml:space="preserve">JF00225915</t>
  </si>
  <si>
    <t xml:space="preserve">JR00060301</t>
  </si>
  <si>
    <t xml:space="preserve">JR00060302</t>
  </si>
  <si>
    <t xml:space="preserve">JR00060303</t>
  </si>
  <si>
    <t xml:space="preserve">JR00060304</t>
  </si>
  <si>
    <t xml:space="preserve">JR00060305</t>
  </si>
  <si>
    <t xml:space="preserve">JR00060306</t>
  </si>
  <si>
    <t xml:space="preserve">JR00060307</t>
  </si>
  <si>
    <t xml:space="preserve">JR00060308</t>
  </si>
  <si>
    <t xml:space="preserve">JR00060309</t>
  </si>
  <si>
    <t xml:space="preserve">JR00060310</t>
  </si>
  <si>
    <t xml:space="preserve">JR00060311</t>
  </si>
  <si>
    <t xml:space="preserve">JR00060312</t>
  </si>
  <si>
    <t xml:space="preserve">JR00060313</t>
  </si>
  <si>
    <t xml:space="preserve">JR00061971</t>
  </si>
  <si>
    <t xml:space="preserve">MWIN01677</t>
  </si>
  <si>
    <t xml:space="preserve">JR00061993-6210416</t>
  </si>
  <si>
    <t xml:space="preserve">JR00061994</t>
  </si>
  <si>
    <t xml:space="preserve">JR00061995-6210401</t>
  </si>
  <si>
    <t xml:space="preserve">JR00061996</t>
  </si>
  <si>
    <t xml:space="preserve">F-H-09-D-01</t>
  </si>
  <si>
    <t xml:space="preserve">JR00061997-6210388</t>
  </si>
  <si>
    <t xml:space="preserve">JR00061998</t>
  </si>
  <si>
    <t xml:space="preserve">JR00061999</t>
  </si>
  <si>
    <t xml:space="preserve">JR00062001</t>
  </si>
  <si>
    <t xml:space="preserve">JR00062002</t>
  </si>
  <si>
    <t xml:space="preserve">JR00062003</t>
  </si>
  <si>
    <t xml:space="preserve">F-H-24-D-03</t>
  </si>
  <si>
    <t xml:space="preserve">JR00062004</t>
  </si>
  <si>
    <t xml:space="preserve">F-G-20-D-03</t>
  </si>
  <si>
    <t xml:space="preserve">JR00062005</t>
  </si>
  <si>
    <t xml:space="preserve">F-G-24-D-01</t>
  </si>
  <si>
    <t xml:space="preserve">JR00062006</t>
  </si>
  <si>
    <t xml:space="preserve">JR00062007</t>
  </si>
  <si>
    <t xml:space="preserve">JR00062008</t>
  </si>
  <si>
    <t xml:space="preserve">JR00062009</t>
  </si>
  <si>
    <t xml:space="preserve">F-H-13-D-01</t>
  </si>
  <si>
    <t xml:space="preserve">JR00062010</t>
  </si>
  <si>
    <t xml:space="preserve">JR00062011</t>
  </si>
  <si>
    <t xml:space="preserve">JR00062013</t>
  </si>
  <si>
    <t xml:space="preserve">F-H-27-C-03</t>
  </si>
  <si>
    <t xml:space="preserve">JR00062014</t>
  </si>
  <si>
    <t xml:space="preserve">JR00062015</t>
  </si>
  <si>
    <t xml:space="preserve">JR00062016</t>
  </si>
  <si>
    <t xml:space="preserve">F-H-29-D-01</t>
  </si>
  <si>
    <t xml:space="preserve">JR00062017</t>
  </si>
  <si>
    <t xml:space="preserve">JR00062018</t>
  </si>
  <si>
    <t xml:space="preserve">F-H-25-D-01</t>
  </si>
  <si>
    <t xml:space="preserve">JR00062019</t>
  </si>
  <si>
    <t xml:space="preserve">JR00062020</t>
  </si>
  <si>
    <t xml:space="preserve">JR00062021</t>
  </si>
  <si>
    <t xml:space="preserve">JR00062022</t>
  </si>
  <si>
    <t xml:space="preserve">JR00062025</t>
  </si>
  <si>
    <t xml:space="preserve">F-G-44-C-03</t>
  </si>
  <si>
    <t xml:space="preserve">JR00062026</t>
  </si>
  <si>
    <t xml:space="preserve">JR00062027</t>
  </si>
  <si>
    <t xml:space="preserve">JR00062028</t>
  </si>
  <si>
    <t xml:space="preserve">F-G-42-C-03</t>
  </si>
  <si>
    <t xml:space="preserve">JR00062029</t>
  </si>
  <si>
    <t xml:space="preserve">JR00062030</t>
  </si>
  <si>
    <t xml:space="preserve">JR00062033</t>
  </si>
  <si>
    <t xml:space="preserve">JR00062036</t>
  </si>
  <si>
    <t xml:space="preserve">NIDO FCMP Tin 6x2500g N2 SA</t>
  </si>
  <si>
    <t xml:space="preserve">JR00062037</t>
  </si>
  <si>
    <t xml:space="preserve">JR00062038</t>
  </si>
  <si>
    <t xml:space="preserve">JR00061032</t>
  </si>
  <si>
    <t xml:space="preserve">MWIN01634</t>
  </si>
  <si>
    <t xml:space="preserve">JR00061033</t>
  </si>
  <si>
    <t xml:space="preserve">JR00061034</t>
  </si>
  <si>
    <t xml:space="preserve">JR00060321</t>
  </si>
  <si>
    <t xml:space="preserve">MWIN01364</t>
  </si>
  <si>
    <t xml:space="preserve">A1-AA-01-A-03</t>
  </si>
  <si>
    <t xml:space="preserve">JR00060322</t>
  </si>
  <si>
    <t xml:space="preserve">JR00060323</t>
  </si>
  <si>
    <t xml:space="preserve">JR00060324</t>
  </si>
  <si>
    <t xml:space="preserve">JR00060325</t>
  </si>
  <si>
    <t xml:space="preserve">JR00060326</t>
  </si>
  <si>
    <t xml:space="preserve">JR00060327</t>
  </si>
  <si>
    <t xml:space="preserve">A1-AA-04-A-01</t>
  </si>
  <si>
    <t xml:space="preserve">JR00060328</t>
  </si>
  <si>
    <t xml:space="preserve">JR00060329</t>
  </si>
  <si>
    <t xml:space="preserve">JR00060330</t>
  </si>
  <si>
    <t xml:space="preserve">JR00060331</t>
  </si>
  <si>
    <t xml:space="preserve">JR00060333</t>
  </si>
  <si>
    <t xml:space="preserve">JR00060334</t>
  </si>
  <si>
    <t xml:space="preserve">JR00060335</t>
  </si>
  <si>
    <t xml:space="preserve">JR00060336</t>
  </si>
  <si>
    <t xml:space="preserve">JR00060337</t>
  </si>
  <si>
    <t xml:space="preserve">JR00060338</t>
  </si>
  <si>
    <t xml:space="preserve">JR00060339</t>
  </si>
  <si>
    <t xml:space="preserve">JR00060340</t>
  </si>
  <si>
    <t xml:space="preserve">JR00056884</t>
  </si>
  <si>
    <t xml:space="preserve">SHRM00005021</t>
  </si>
  <si>
    <t xml:space="preserve">JR00061472</t>
  </si>
  <si>
    <t xml:space="preserve">MWIN01633</t>
  </si>
  <si>
    <t xml:space="preserve">JR00061475</t>
  </si>
  <si>
    <t xml:space="preserve">JR00061476</t>
  </si>
  <si>
    <t xml:space="preserve">JR00061477</t>
  </si>
  <si>
    <t xml:space="preserve">JR00061478</t>
  </si>
  <si>
    <t xml:space="preserve">JR00061482</t>
  </si>
  <si>
    <t xml:space="preserve">JR00061484</t>
  </si>
  <si>
    <t xml:space="preserve">JR00061485</t>
  </si>
  <si>
    <t xml:space="preserve">JR00061486</t>
  </si>
  <si>
    <t xml:space="preserve">JR00061454</t>
  </si>
  <si>
    <t xml:space="preserve">DAMINT00929B</t>
  </si>
  <si>
    <t xml:space="preserve">JR00061455</t>
  </si>
  <si>
    <t xml:space="preserve">JR00061456</t>
  </si>
  <si>
    <t xml:space="preserve">JR00061459</t>
  </si>
  <si>
    <t xml:space="preserve">A0-AB-04-B-03</t>
  </si>
  <si>
    <t xml:space="preserve">JR00061460</t>
  </si>
  <si>
    <t xml:space="preserve">JR00061461</t>
  </si>
  <si>
    <t xml:space="preserve">JR00061463</t>
  </si>
  <si>
    <t xml:space="preserve">FBB1113</t>
  </si>
  <si>
    <t xml:space="preserve">Friboi Cube Roll Brazilian Beef Frozen</t>
  </si>
  <si>
    <t xml:space="preserve">JR00061464</t>
  </si>
  <si>
    <t xml:space="preserve">FBA1107</t>
  </si>
  <si>
    <t xml:space="preserve">Frozen Wagyu Ground Beef F1-F3 Jack's Creek Australia</t>
  </si>
  <si>
    <t xml:space="preserve">JR00061465</t>
  </si>
  <si>
    <t xml:space="preserve">A0-AB-09-A-03</t>
  </si>
  <si>
    <t xml:space="preserve">JR00055559</t>
  </si>
  <si>
    <t xml:space="preserve">MWIN01327</t>
  </si>
  <si>
    <t xml:space="preserve">JR00055560</t>
  </si>
  <si>
    <t xml:space="preserve">JR00055561</t>
  </si>
  <si>
    <t xml:space="preserve">JR00055562</t>
  </si>
  <si>
    <t xml:space="preserve">JR00055563</t>
  </si>
  <si>
    <t xml:space="preserve">F-G-16-D-01</t>
  </si>
  <si>
    <t xml:space="preserve">JR00055564</t>
  </si>
  <si>
    <t xml:space="preserve">JR00055565</t>
  </si>
  <si>
    <t xml:space="preserve">JR00055566</t>
  </si>
  <si>
    <t xml:space="preserve">F-G-12-D-02</t>
  </si>
  <si>
    <t xml:space="preserve">JR00055567</t>
  </si>
  <si>
    <t xml:space="preserve">F-G-22-D-01</t>
  </si>
  <si>
    <t xml:space="preserve">JR00055568</t>
  </si>
  <si>
    <t xml:space="preserve">JR00055569</t>
  </si>
  <si>
    <t xml:space="preserve">F-H-30-D-03</t>
  </si>
  <si>
    <t xml:space="preserve">JR00055570</t>
  </si>
  <si>
    <t xml:space="preserve">JR00056465</t>
  </si>
  <si>
    <t xml:space="preserve">JR00056466</t>
  </si>
  <si>
    <t xml:space="preserve">JR00056467</t>
  </si>
  <si>
    <t xml:space="preserve">JR00056468</t>
  </si>
  <si>
    <t xml:space="preserve">JR00056469</t>
  </si>
  <si>
    <t xml:space="preserve">JR00056470</t>
  </si>
  <si>
    <t xml:space="preserve">JR00058976</t>
  </si>
  <si>
    <t xml:space="preserve">JR00058977</t>
  </si>
  <si>
    <t xml:space="preserve">F-H-32-D-01</t>
  </si>
  <si>
    <t xml:space="preserve">JR00058978</t>
  </si>
  <si>
    <t xml:space="preserve">JR00058979</t>
  </si>
  <si>
    <t xml:space="preserve">F-G-22-D-03</t>
  </si>
  <si>
    <t xml:space="preserve">JR00058980</t>
  </si>
  <si>
    <t xml:space="preserve">F-G-20-D-02</t>
  </si>
  <si>
    <t xml:space="preserve">JR00061542</t>
  </si>
  <si>
    <t xml:space="preserve">SHRM00005223</t>
  </si>
  <si>
    <t xml:space="preserve">JR00062907</t>
  </si>
  <si>
    <t xml:space="preserve">MCC1000010262</t>
  </si>
  <si>
    <t xml:space="preserve">McCain Battered Sweet Potato Fries 5/16 6x2.5 LB</t>
  </si>
  <si>
    <t xml:space="preserve">RIYINT01587</t>
  </si>
  <si>
    <t xml:space="preserve">JR00062928</t>
  </si>
  <si>
    <t xml:space="preserve">JR00062929</t>
  </si>
  <si>
    <t xml:space="preserve">JR00062246</t>
  </si>
  <si>
    <t xml:space="preserve">MWIN01750</t>
  </si>
  <si>
    <t xml:space="preserve">F-H-03-C-03</t>
  </si>
  <si>
    <t xml:space="preserve">JR00062255</t>
  </si>
  <si>
    <t xml:space="preserve">F-G-20-D-01</t>
  </si>
  <si>
    <t xml:space="preserve">JR00062256</t>
  </si>
  <si>
    <t xml:space="preserve">F-H-30-D-01</t>
  </si>
  <si>
    <t xml:space="preserve">JR00062258</t>
  </si>
  <si>
    <t xml:space="preserve">F-H-38-D-03</t>
  </si>
  <si>
    <t xml:space="preserve">JR00062259</t>
  </si>
  <si>
    <t xml:space="preserve">JR00062260</t>
  </si>
  <si>
    <t xml:space="preserve">JR00061973</t>
  </si>
  <si>
    <t xml:space="preserve">MWIN01679D</t>
  </si>
  <si>
    <t xml:space="preserve">JR00062932</t>
  </si>
  <si>
    <t xml:space="preserve">MWIN01751</t>
  </si>
  <si>
    <t xml:space="preserve">JR00062933</t>
  </si>
  <si>
    <t xml:space="preserve">JR00062441</t>
  </si>
  <si>
    <t xml:space="preserve">SHRM00005261</t>
  </si>
  <si>
    <t xml:space="preserve">JR00062442</t>
  </si>
  <si>
    <t xml:space="preserve">JR00063121</t>
  </si>
  <si>
    <t xml:space="preserve">MWIN01209</t>
  </si>
  <si>
    <t xml:space="preserve">JR00063123</t>
  </si>
  <si>
    <t xml:space="preserve">F-H-28-A-01</t>
  </si>
  <si>
    <t xml:space="preserve">JR00063124</t>
  </si>
  <si>
    <t xml:space="preserve">JR00063125</t>
  </si>
  <si>
    <t xml:space="preserve">JR00063126</t>
  </si>
  <si>
    <t xml:space="preserve">JR00063127</t>
  </si>
  <si>
    <t xml:space="preserve">JR00063128</t>
  </si>
  <si>
    <t xml:space="preserve">JR00063132</t>
  </si>
  <si>
    <t xml:space="preserve">JR00063133</t>
  </si>
  <si>
    <t xml:space="preserve">JR00063134</t>
  </si>
  <si>
    <t xml:space="preserve">JR00063135</t>
  </si>
  <si>
    <t xml:space="preserve">JR00063136</t>
  </si>
  <si>
    <t xml:space="preserve">JR00063137</t>
  </si>
  <si>
    <t xml:space="preserve">JR00063139</t>
  </si>
  <si>
    <t xml:space="preserve">JR00063140</t>
  </si>
  <si>
    <t xml:space="preserve">JR00063141</t>
  </si>
  <si>
    <t xml:space="preserve">JR00063142</t>
  </si>
  <si>
    <t xml:space="preserve">JR00063143</t>
  </si>
  <si>
    <t xml:space="preserve">F-G-09-A-01</t>
  </si>
  <si>
    <t xml:space="preserve">JR00063144</t>
  </si>
  <si>
    <t xml:space="preserve">JR00063145</t>
  </si>
  <si>
    <t xml:space="preserve">JR00063146</t>
  </si>
  <si>
    <t xml:space="preserve">F-G-17-A-03</t>
  </si>
  <si>
    <t xml:space="preserve">JR00062422</t>
  </si>
  <si>
    <t xml:space="preserve">MWIN01719</t>
  </si>
  <si>
    <t xml:space="preserve">JR00062423</t>
  </si>
  <si>
    <t xml:space="preserve">JR00062424</t>
  </si>
  <si>
    <t xml:space="preserve">JR00062426</t>
  </si>
  <si>
    <t xml:space="preserve">JR00062427</t>
  </si>
  <si>
    <t xml:space="preserve">JR00062428</t>
  </si>
  <si>
    <t xml:space="preserve">JR00062434</t>
  </si>
  <si>
    <t xml:space="preserve">JR00062435</t>
  </si>
  <si>
    <t xml:space="preserve">JR00063802</t>
  </si>
  <si>
    <t xml:space="preserve">MWIN01760</t>
  </si>
  <si>
    <t xml:space="preserve">A0-AA-14-B-01</t>
  </si>
  <si>
    <t xml:space="preserve">JR00063808</t>
  </si>
  <si>
    <t xml:space="preserve">JR00063834</t>
  </si>
  <si>
    <t xml:space="preserve">JR00063835</t>
  </si>
  <si>
    <t xml:space="preserve">JR00063836</t>
  </si>
  <si>
    <t xml:space="preserve">JR00063837</t>
  </si>
  <si>
    <t xml:space="preserve">JR00063838</t>
  </si>
  <si>
    <t xml:space="preserve">JR00062247</t>
  </si>
  <si>
    <t xml:space="preserve">KITKAT 2 Finger 18(36x17.7g) XA</t>
  </si>
  <si>
    <t xml:space="preserve">MWIN01737</t>
  </si>
  <si>
    <t xml:space="preserve">JR00062248</t>
  </si>
  <si>
    <t xml:space="preserve">JR00062249</t>
  </si>
  <si>
    <t xml:space="preserve">JR00062250</t>
  </si>
  <si>
    <t xml:space="preserve">JR00062251</t>
  </si>
  <si>
    <t xml:space="preserve">F-H-24-D-01</t>
  </si>
  <si>
    <t xml:space="preserve">JR00062252</t>
  </si>
  <si>
    <t xml:space="preserve">JR00062253</t>
  </si>
  <si>
    <t xml:space="preserve">JR00062257</t>
  </si>
  <si>
    <t xml:space="preserve">JR00062461</t>
  </si>
  <si>
    <t xml:space="preserve">MWIN01232</t>
  </si>
  <si>
    <t xml:space="preserve">JR00062464</t>
  </si>
  <si>
    <t xml:space="preserve">JR00062465</t>
  </si>
  <si>
    <t xml:space="preserve">JR00062466</t>
  </si>
  <si>
    <t xml:space="preserve">JR00062468</t>
  </si>
  <si>
    <t xml:space="preserve">JR00062471</t>
  </si>
  <si>
    <t xml:space="preserve">JR00062474</t>
  </si>
  <si>
    <t xml:space="preserve">JR00062476</t>
  </si>
  <si>
    <t xml:space="preserve">JR00062477</t>
  </si>
  <si>
    <t xml:space="preserve">JR00062479</t>
  </si>
  <si>
    <t xml:space="preserve">JR00062480</t>
  </si>
  <si>
    <t xml:space="preserve">JR00062482</t>
  </si>
  <si>
    <t xml:space="preserve">JR00062486</t>
  </si>
  <si>
    <t xml:space="preserve">JR00062487</t>
  </si>
  <si>
    <t xml:space="preserve">JR00062488</t>
  </si>
  <si>
    <t xml:space="preserve">JR00062268</t>
  </si>
  <si>
    <t xml:space="preserve">MWIN01677_1</t>
  </si>
  <si>
    <t xml:space="preserve">JR00062269</t>
  </si>
  <si>
    <t xml:space="preserve">JR00062270</t>
  </si>
  <si>
    <t xml:space="preserve">JR00062271</t>
  </si>
  <si>
    <t xml:space="preserve">JR00062272</t>
  </si>
  <si>
    <t xml:space="preserve">JR00062273</t>
  </si>
  <si>
    <t xml:space="preserve">JR00062274</t>
  </si>
  <si>
    <t xml:space="preserve">JR00062275</t>
  </si>
  <si>
    <t xml:space="preserve">JR00040761</t>
  </si>
  <si>
    <t xml:space="preserve">JR00041261</t>
  </si>
  <si>
    <t xml:space="preserve">JR00041269</t>
  </si>
  <si>
    <t xml:space="preserve">JR00050797</t>
  </si>
  <si>
    <t xml:space="preserve">JR00050799</t>
  </si>
  <si>
    <t xml:space="preserve">JR00050800</t>
  </si>
  <si>
    <t xml:space="preserve">JR00050801</t>
  </si>
  <si>
    <t xml:space="preserve">JR00050802</t>
  </si>
  <si>
    <t xml:space="preserve">F-H-05-C-03</t>
  </si>
  <si>
    <t xml:space="preserve">JR00050803</t>
  </si>
  <si>
    <t xml:space="preserve">JR00050804</t>
  </si>
  <si>
    <t xml:space="preserve">JR00051727</t>
  </si>
  <si>
    <t xml:space="preserve">JR00051728</t>
  </si>
  <si>
    <t xml:space="preserve">JR00051729</t>
  </si>
  <si>
    <t xml:space="preserve">JR00051730</t>
  </si>
  <si>
    <t xml:space="preserve">F-G-45-B-03</t>
  </si>
  <si>
    <t xml:space="preserve">JR00051731</t>
  </si>
  <si>
    <t xml:space="preserve">JR00053585</t>
  </si>
  <si>
    <t xml:space="preserve">JR00053663</t>
  </si>
  <si>
    <t xml:space="preserve">JR00053664</t>
  </si>
  <si>
    <t xml:space="preserve">JR00053671</t>
  </si>
  <si>
    <t xml:space="preserve">JR00055130</t>
  </si>
  <si>
    <t xml:space="preserve">JR00055131</t>
  </si>
  <si>
    <t xml:space="preserve">JR00055132</t>
  </si>
  <si>
    <t xml:space="preserve">JR00055133</t>
  </si>
  <si>
    <t xml:space="preserve">JR00055134</t>
  </si>
  <si>
    <t xml:space="preserve">F-G-11-A-03</t>
  </si>
  <si>
    <t xml:space="preserve">JR00055135</t>
  </si>
  <si>
    <t xml:space="preserve">JR00055136</t>
  </si>
  <si>
    <t xml:space="preserve">JR00055137</t>
  </si>
  <si>
    <t xml:space="preserve">JR00055138</t>
  </si>
  <si>
    <t xml:space="preserve">JR00055139</t>
  </si>
  <si>
    <t xml:space="preserve">JR00055140</t>
  </si>
  <si>
    <t xml:space="preserve">JR00056802</t>
  </si>
  <si>
    <t xml:space="preserve">F-H-46-B-02</t>
  </si>
  <si>
    <t xml:space="preserve">JR00058966</t>
  </si>
  <si>
    <t xml:space="preserve">JR00058967</t>
  </si>
  <si>
    <t xml:space="preserve">JR00058968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</si>
</sst>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\ h:mm:ss\ AM/PM"/>
    <numFmt numFmtId="167" formatCode="dd/mm/yyyy"/>
    <numFmt numFmtId="168" formatCode="#0.00;[WHITE]\-#0.00"/>
    <numFmt numFmtId="169" formatCode="m/d/yyyy\ h:mm"/>
    <numFmt numFmtId="170" formatCode="m/d/yyyy"/>
    <numFmt numFmtId="171" formatCode="mmm\-yy"/>
    <numFmt numFmtId="172" formatCode="[$-409]dd\-mmm\-yy;@"/>
    <numFmt numFmtId="173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2D2D2D"/>
      <name val="Arial"/>
      <family val="0"/>
      <charset val="1"/>
    </font>
    <font>
      <sz val="9"/>
      <color rgb="FF2D2D2D"/>
      <name val="Arial"/>
      <family val="0"/>
      <charset val="1"/>
    </font>
    <font>
      <b val="true"/>
      <sz val="9"/>
      <color rgb="FF2D2D2D"/>
      <name val="Arial"/>
      <family val="0"/>
      <charset val="1"/>
    </font>
    <font>
      <b val="true"/>
      <sz val="9"/>
      <color rgb="FF545454"/>
      <name val="Arial"/>
      <family val="0"/>
      <charset val="1"/>
    </font>
    <font>
      <b val="true"/>
      <sz val="10"/>
      <color rgb="FF545454"/>
      <name val="Arial"/>
      <family val="0"/>
      <charset val="1"/>
    </font>
    <font>
      <sz val="10"/>
      <color rgb="FF545454"/>
      <name val="Arial"/>
      <family val="0"/>
      <charset val="1"/>
    </font>
    <font>
      <sz val="10"/>
      <color theme="0"/>
      <name val="Aptos Narrow"/>
      <family val="2"/>
      <charset val="1"/>
    </font>
    <font>
      <b val="true"/>
      <sz val="10"/>
      <color theme="0"/>
      <name val="Aptos Narrow"/>
      <family val="2"/>
      <charset val="1"/>
    </font>
    <font>
      <sz val="10"/>
      <color theme="1"/>
      <name val="Aptos Narrow"/>
      <family val="2"/>
      <charset val="1"/>
    </font>
    <font>
      <sz val="10"/>
      <name val="Aptos Narrow"/>
      <family val="2"/>
      <charset val="1"/>
    </font>
    <font>
      <sz val="11"/>
      <color theme="1"/>
      <name val="Noto Sans Devanaga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rgb="FFF0FAFF"/>
        <bgColor rgb="FFF4FFF6"/>
      </patternFill>
    </fill>
    <fill>
      <patternFill patternType="solid">
        <fgColor rgb="FFF1F1F1"/>
        <bgColor rgb="FFF4F4F4"/>
      </patternFill>
    </fill>
    <fill>
      <patternFill patternType="solid">
        <fgColor rgb="FFFFFFFF"/>
        <bgColor rgb="FFF4FFF6"/>
      </patternFill>
    </fill>
    <fill>
      <patternFill patternType="solid">
        <fgColor rgb="FFFFFF00"/>
        <bgColor rgb="FFFFFF00"/>
      </patternFill>
    </fill>
    <fill>
      <patternFill patternType="solid">
        <fgColor theme="3"/>
        <bgColor rgb="FF545454"/>
      </patternFill>
    </fill>
    <fill>
      <patternFill patternType="solid">
        <fgColor theme="3" tint="0.8999"/>
        <bgColor rgb="FFF1F1F1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/>
    </border>
    <border diagonalUp="false" diagonalDown="false">
      <left/>
      <right/>
      <top style="thin">
        <color rgb="FFF4F4F4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1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7" fillId="0" borderId="1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0" borderId="1" xfId="2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2" xfId="27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0" borderId="1" xfId="2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" xfId="23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1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1" xfId="21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" xfId="22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11" fillId="4" borderId="1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4" borderId="1" xfId="24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11" fillId="4" borderId="1" xfId="25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1" fillId="4" borderId="1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11" fillId="4" borderId="2" xfId="27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1" xfId="22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11" fillId="5" borderId="1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5" borderId="1" xfId="24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11" fillId="5" borderId="1" xfId="25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1" fillId="5" borderId="1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11" fillId="5" borderId="2" xfId="27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5" borderId="1" xfId="25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1" fillId="4" borderId="1" xfId="25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2" fontId="12" fillId="7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12" fillId="7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7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7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7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4" fillId="8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0" fillId="8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wr_0" xfId="20"/>
    <cellStyle name="wr_1" xfId="21"/>
    <cellStyle name="wr_2" xfId="22"/>
    <cellStyle name="wr_3" xfId="23"/>
    <cellStyle name="wr_4" xfId="24"/>
    <cellStyle name="wr_5" xfId="25"/>
    <cellStyle name="wr_6" xfId="26"/>
    <cellStyle name="wr_7" xfId="27"/>
    <cellStyle name="wr_8" xfId="28"/>
  </cellStyles>
  <dxfs count="13">
    <dxf>
      <fill>
        <patternFill patternType="solid">
          <fgColor rgb="FFF4FFF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FF6"/>
      <rgbColor rgb="FFF0FA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F1F1F1"/>
      <rgbColor rgb="FFF4F4F4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545454"/>
      <rgbColor rgb="FF2D2D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M19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515625" defaultRowHeight="15" zeroHeight="false" outlineLevelRow="0" outlineLevelCol="0"/>
  <cols>
    <col collapsed="false" customWidth="true" hidden="false" outlineLevel="0" max="4" min="1" style="1" width="14.28"/>
    <col collapsed="false" customWidth="true" hidden="true" outlineLevel="0" max="5" min="5" style="1" width="9.14"/>
    <col collapsed="false" customWidth="true" hidden="false" outlineLevel="0" max="6" min="6" style="1" width="18.28"/>
    <col collapsed="false" customWidth="true" hidden="false" outlineLevel="0" max="7" min="7" style="1" width="17"/>
    <col collapsed="false" customWidth="true" hidden="false" outlineLevel="0" max="8" min="8" style="1" width="14"/>
    <col collapsed="false" customWidth="true" hidden="false" outlineLevel="0" max="9" min="9" style="1" width="21.42"/>
    <col collapsed="false" customWidth="true" hidden="false" outlineLevel="0" max="10" min="10" style="1" width="33"/>
    <col collapsed="false" customWidth="true" hidden="false" outlineLevel="0" max="11" min="11" style="1" width="14.28"/>
    <col collapsed="false" customWidth="true" hidden="false" outlineLevel="0" max="12" min="12" style="1" width="18.14"/>
    <col collapsed="false" customWidth="true" hidden="false" outlineLevel="0" max="13" min="13" style="1" width="14.28"/>
  </cols>
  <sheetData>
    <row r="1" customFormat="false" ht="48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/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customFormat="false" ht="30" hidden="true" customHeight="true" outlineLevel="0" collapsed="false">
      <c r="A3" s="4" t="s">
        <v>13</v>
      </c>
      <c r="B3" s="4" t="s">
        <v>14</v>
      </c>
      <c r="C3" s="5" t="n">
        <v>1329001635</v>
      </c>
      <c r="D3" s="6" t="s">
        <v>15</v>
      </c>
      <c r="E3" s="6"/>
      <c r="F3" s="7" t="n">
        <v>46048.308456169</v>
      </c>
      <c r="G3" s="7" t="n">
        <v>46049.3773128009</v>
      </c>
      <c r="H3" s="8" t="n">
        <v>4</v>
      </c>
      <c r="I3" s="5" t="n">
        <v>400514</v>
      </c>
      <c r="J3" s="6" t="s">
        <v>16</v>
      </c>
      <c r="K3" s="5" t="n">
        <v>100010755</v>
      </c>
      <c r="L3" s="9" t="n">
        <v>45978</v>
      </c>
      <c r="M3" s="10" t="n">
        <v>47803</v>
      </c>
    </row>
    <row r="4" customFormat="false" ht="30" hidden="true" customHeight="true" outlineLevel="0" collapsed="false">
      <c r="A4" s="4" t="s">
        <v>13</v>
      </c>
      <c r="B4" s="4" t="s">
        <v>14</v>
      </c>
      <c r="C4" s="5" t="n">
        <v>1329001635</v>
      </c>
      <c r="D4" s="6" t="s">
        <v>17</v>
      </c>
      <c r="E4" s="6"/>
      <c r="F4" s="7" t="n">
        <v>46048.308456169</v>
      </c>
      <c r="G4" s="7" t="n">
        <v>46049.380421088</v>
      </c>
      <c r="H4" s="8" t="n">
        <v>4</v>
      </c>
      <c r="I4" s="5" t="n">
        <v>400514</v>
      </c>
      <c r="J4" s="6" t="s">
        <v>16</v>
      </c>
      <c r="K4" s="5" t="n">
        <v>100010755</v>
      </c>
      <c r="L4" s="9" t="n">
        <v>45978</v>
      </c>
      <c r="M4" s="10" t="n">
        <v>47803</v>
      </c>
    </row>
    <row r="5" customFormat="false" ht="30" hidden="true" customHeight="true" outlineLevel="0" collapsed="false">
      <c r="A5" s="4" t="s">
        <v>13</v>
      </c>
      <c r="B5" s="4" t="s">
        <v>14</v>
      </c>
      <c r="C5" s="5" t="n">
        <v>1329001635</v>
      </c>
      <c r="D5" s="6" t="s">
        <v>18</v>
      </c>
      <c r="E5" s="6"/>
      <c r="F5" s="7" t="n">
        <v>46048.308456169</v>
      </c>
      <c r="G5" s="7" t="n">
        <v>46049.3803872917</v>
      </c>
      <c r="H5" s="8" t="n">
        <v>4</v>
      </c>
      <c r="I5" s="5" t="n">
        <v>400514</v>
      </c>
      <c r="J5" s="6" t="s">
        <v>16</v>
      </c>
      <c r="K5" s="5" t="n">
        <v>100010849</v>
      </c>
      <c r="L5" s="9" t="n">
        <v>45986</v>
      </c>
      <c r="M5" s="10" t="n">
        <v>47811</v>
      </c>
    </row>
    <row r="6" customFormat="false" ht="30" hidden="true" customHeight="true" outlineLevel="0" collapsed="false">
      <c r="A6" s="4" t="s">
        <v>13</v>
      </c>
      <c r="B6" s="4" t="s">
        <v>14</v>
      </c>
      <c r="C6" s="5" t="n">
        <v>1329001635</v>
      </c>
      <c r="D6" s="6" t="s">
        <v>19</v>
      </c>
      <c r="E6" s="6"/>
      <c r="F6" s="7" t="n">
        <v>46048.308456169</v>
      </c>
      <c r="G6" s="7" t="n">
        <v>46049.3803553819</v>
      </c>
      <c r="H6" s="8" t="n">
        <v>4</v>
      </c>
      <c r="I6" s="5" t="n">
        <v>400514</v>
      </c>
      <c r="J6" s="6" t="s">
        <v>16</v>
      </c>
      <c r="K6" s="5" t="n">
        <v>100010755</v>
      </c>
      <c r="L6" s="9" t="n">
        <v>45978</v>
      </c>
      <c r="M6" s="10" t="n">
        <v>47803</v>
      </c>
    </row>
    <row r="7" customFormat="false" ht="30" hidden="true" customHeight="true" outlineLevel="0" collapsed="false">
      <c r="A7" s="4" t="s">
        <v>13</v>
      </c>
      <c r="B7" s="4" t="s">
        <v>14</v>
      </c>
      <c r="C7" s="5" t="n">
        <v>1329001635</v>
      </c>
      <c r="D7" s="6" t="s">
        <v>20</v>
      </c>
      <c r="E7" s="6"/>
      <c r="F7" s="7" t="n">
        <v>46048.308456169</v>
      </c>
      <c r="G7" s="7" t="n">
        <v>46049.3803103704</v>
      </c>
      <c r="H7" s="8" t="n">
        <v>4</v>
      </c>
      <c r="I7" s="5" t="n">
        <v>400514</v>
      </c>
      <c r="J7" s="6" t="s">
        <v>16</v>
      </c>
      <c r="K7" s="5" t="n">
        <v>100010755</v>
      </c>
      <c r="L7" s="9" t="n">
        <v>45978</v>
      </c>
      <c r="M7" s="10" t="n">
        <v>47803</v>
      </c>
    </row>
    <row r="8" customFormat="false" ht="30" hidden="true" customHeight="true" outlineLevel="0" collapsed="false">
      <c r="A8" s="4" t="s">
        <v>13</v>
      </c>
      <c r="B8" s="4" t="s">
        <v>14</v>
      </c>
      <c r="C8" s="5" t="n">
        <v>1329001635</v>
      </c>
      <c r="D8" s="6" t="s">
        <v>21</v>
      </c>
      <c r="E8" s="6"/>
      <c r="F8" s="7" t="n">
        <v>46048.308456169</v>
      </c>
      <c r="G8" s="7" t="n">
        <v>46049.3802774653</v>
      </c>
      <c r="H8" s="8" t="n">
        <v>4</v>
      </c>
      <c r="I8" s="5" t="n">
        <v>400514</v>
      </c>
      <c r="J8" s="6" t="s">
        <v>16</v>
      </c>
      <c r="K8" s="5" t="n">
        <v>100010755</v>
      </c>
      <c r="L8" s="9" t="n">
        <v>45978</v>
      </c>
      <c r="M8" s="10" t="n">
        <v>47803</v>
      </c>
    </row>
    <row r="9" customFormat="false" ht="30" hidden="true" customHeight="true" outlineLevel="0" collapsed="false">
      <c r="A9" s="4" t="s">
        <v>13</v>
      </c>
      <c r="B9" s="4" t="s">
        <v>14</v>
      </c>
      <c r="C9" s="5" t="n">
        <v>1329001635</v>
      </c>
      <c r="D9" s="6" t="s">
        <v>22</v>
      </c>
      <c r="E9" s="6"/>
      <c r="F9" s="7" t="n">
        <v>46048.308456169</v>
      </c>
      <c r="G9" s="7" t="n">
        <v>46049.3802410301</v>
      </c>
      <c r="H9" s="8" t="n">
        <v>4</v>
      </c>
      <c r="I9" s="5" t="n">
        <v>400514</v>
      </c>
      <c r="J9" s="6" t="s">
        <v>16</v>
      </c>
      <c r="K9" s="5" t="n">
        <v>100010755</v>
      </c>
      <c r="L9" s="9" t="n">
        <v>45978</v>
      </c>
      <c r="M9" s="10" t="n">
        <v>47803</v>
      </c>
    </row>
    <row r="10" customFormat="false" ht="30" hidden="true" customHeight="true" outlineLevel="0" collapsed="false">
      <c r="A10" s="4" t="s">
        <v>13</v>
      </c>
      <c r="B10" s="4" t="s">
        <v>14</v>
      </c>
      <c r="C10" s="5" t="n">
        <v>1329001635</v>
      </c>
      <c r="D10" s="6" t="s">
        <v>23</v>
      </c>
      <c r="E10" s="6"/>
      <c r="F10" s="7" t="n">
        <v>46048.308456169</v>
      </c>
      <c r="G10" s="7" t="n">
        <v>46049.3801891898</v>
      </c>
      <c r="H10" s="8" t="n">
        <v>4</v>
      </c>
      <c r="I10" s="5" t="n">
        <v>400514</v>
      </c>
      <c r="J10" s="6" t="s">
        <v>16</v>
      </c>
      <c r="K10" s="5" t="n">
        <v>100010755</v>
      </c>
      <c r="L10" s="9" t="n">
        <v>45978</v>
      </c>
      <c r="M10" s="10" t="n">
        <v>47803</v>
      </c>
    </row>
    <row r="11" customFormat="false" ht="30" hidden="true" customHeight="true" outlineLevel="0" collapsed="false">
      <c r="A11" s="4" t="s">
        <v>13</v>
      </c>
      <c r="B11" s="4" t="s">
        <v>14</v>
      </c>
      <c r="C11" s="5" t="n">
        <v>1329001635</v>
      </c>
      <c r="D11" s="6" t="s">
        <v>24</v>
      </c>
      <c r="E11" s="6"/>
      <c r="F11" s="7" t="n">
        <v>46048.308456169</v>
      </c>
      <c r="G11" s="7" t="n">
        <v>46049.3801623032</v>
      </c>
      <c r="H11" s="8" t="n">
        <v>4</v>
      </c>
      <c r="I11" s="5" t="n">
        <v>400514</v>
      </c>
      <c r="J11" s="6" t="s">
        <v>16</v>
      </c>
      <c r="K11" s="5" t="n">
        <v>100010755</v>
      </c>
      <c r="L11" s="9" t="n">
        <v>45978</v>
      </c>
      <c r="M11" s="10" t="n">
        <v>47803</v>
      </c>
    </row>
    <row r="12" customFormat="false" ht="30" hidden="true" customHeight="true" outlineLevel="0" collapsed="false">
      <c r="A12" s="4" t="s">
        <v>13</v>
      </c>
      <c r="B12" s="4" t="s">
        <v>14</v>
      </c>
      <c r="C12" s="5" t="n">
        <v>1329001635</v>
      </c>
      <c r="D12" s="6" t="s">
        <v>25</v>
      </c>
      <c r="E12" s="6"/>
      <c r="F12" s="7" t="n">
        <v>46048.308456169</v>
      </c>
      <c r="G12" s="7" t="n">
        <v>46049.3801350116</v>
      </c>
      <c r="H12" s="8" t="n">
        <v>4</v>
      </c>
      <c r="I12" s="5" t="n">
        <v>400514</v>
      </c>
      <c r="J12" s="6" t="s">
        <v>16</v>
      </c>
      <c r="K12" s="5" t="n">
        <v>100010755</v>
      </c>
      <c r="L12" s="9" t="n">
        <v>45978</v>
      </c>
      <c r="M12" s="10" t="n">
        <v>47803</v>
      </c>
    </row>
    <row r="13" customFormat="false" ht="30" hidden="true" customHeight="true" outlineLevel="0" collapsed="false">
      <c r="A13" s="4" t="s">
        <v>13</v>
      </c>
      <c r="B13" s="4" t="s">
        <v>14</v>
      </c>
      <c r="C13" s="5" t="n">
        <v>1329001635</v>
      </c>
      <c r="D13" s="6" t="s">
        <v>26</v>
      </c>
      <c r="E13" s="6"/>
      <c r="F13" s="7" t="n">
        <v>46048.308456169</v>
      </c>
      <c r="G13" s="7" t="n">
        <v>46049.3800846991</v>
      </c>
      <c r="H13" s="8" t="n">
        <v>4</v>
      </c>
      <c r="I13" s="5" t="n">
        <v>400514</v>
      </c>
      <c r="J13" s="6" t="s">
        <v>16</v>
      </c>
      <c r="K13" s="5" t="n">
        <v>100010755</v>
      </c>
      <c r="L13" s="9" t="n">
        <v>45978</v>
      </c>
      <c r="M13" s="10" t="n">
        <v>47803</v>
      </c>
    </row>
    <row r="14" customFormat="false" ht="30" hidden="true" customHeight="true" outlineLevel="0" collapsed="false">
      <c r="A14" s="4" t="s">
        <v>13</v>
      </c>
      <c r="B14" s="4" t="s">
        <v>14</v>
      </c>
      <c r="C14" s="5" t="n">
        <v>1329001635</v>
      </c>
      <c r="D14" s="6" t="s">
        <v>27</v>
      </c>
      <c r="E14" s="6"/>
      <c r="F14" s="7" t="n">
        <v>46048.308456169</v>
      </c>
      <c r="G14" s="7" t="n">
        <v>46049.3800558565</v>
      </c>
      <c r="H14" s="8" t="n">
        <v>4</v>
      </c>
      <c r="I14" s="5" t="n">
        <v>400514</v>
      </c>
      <c r="J14" s="6" t="s">
        <v>16</v>
      </c>
      <c r="K14" s="5" t="n">
        <v>100010755</v>
      </c>
      <c r="L14" s="9" t="n">
        <v>45978</v>
      </c>
      <c r="M14" s="10" t="n">
        <v>47803</v>
      </c>
    </row>
    <row r="15" customFormat="false" ht="30" hidden="true" customHeight="true" outlineLevel="0" collapsed="false">
      <c r="A15" s="4" t="s">
        <v>13</v>
      </c>
      <c r="B15" s="4" t="s">
        <v>14</v>
      </c>
      <c r="C15" s="5" t="n">
        <v>1329001635</v>
      </c>
      <c r="D15" s="6" t="s">
        <v>28</v>
      </c>
      <c r="E15" s="6"/>
      <c r="F15" s="7" t="n">
        <v>46048.308456169</v>
      </c>
      <c r="G15" s="7" t="n">
        <v>46049.3800281829</v>
      </c>
      <c r="H15" s="8" t="n">
        <v>4</v>
      </c>
      <c r="I15" s="5" t="n">
        <v>400514</v>
      </c>
      <c r="J15" s="6" t="s">
        <v>16</v>
      </c>
      <c r="K15" s="5" t="n">
        <v>100010755</v>
      </c>
      <c r="L15" s="9" t="n">
        <v>45978</v>
      </c>
      <c r="M15" s="10" t="n">
        <v>47803</v>
      </c>
    </row>
    <row r="16" customFormat="false" ht="30" hidden="true" customHeight="true" outlineLevel="0" collapsed="false">
      <c r="A16" s="4" t="s">
        <v>13</v>
      </c>
      <c r="B16" s="4" t="s">
        <v>14</v>
      </c>
      <c r="C16" s="5" t="n">
        <v>1329001635</v>
      </c>
      <c r="D16" s="6" t="s">
        <v>29</v>
      </c>
      <c r="E16" s="6"/>
      <c r="F16" s="7" t="n">
        <v>46048.308456169</v>
      </c>
      <c r="G16" s="7" t="n">
        <v>46049.3799974653</v>
      </c>
      <c r="H16" s="8" t="n">
        <v>4</v>
      </c>
      <c r="I16" s="5" t="n">
        <v>400514</v>
      </c>
      <c r="J16" s="6" t="s">
        <v>16</v>
      </c>
      <c r="K16" s="5" t="n">
        <v>100010849</v>
      </c>
      <c r="L16" s="9" t="n">
        <v>45986</v>
      </c>
      <c r="M16" s="10" t="n">
        <v>47811</v>
      </c>
    </row>
    <row r="17" customFormat="false" ht="30" hidden="true" customHeight="true" outlineLevel="0" collapsed="false">
      <c r="A17" s="4" t="s">
        <v>13</v>
      </c>
      <c r="B17" s="4" t="s">
        <v>14</v>
      </c>
      <c r="C17" s="5" t="n">
        <v>1329001635</v>
      </c>
      <c r="D17" s="6" t="s">
        <v>30</v>
      </c>
      <c r="E17" s="6"/>
      <c r="F17" s="7" t="n">
        <v>46048.308456169</v>
      </c>
      <c r="G17" s="7" t="n">
        <v>46049.3799397801</v>
      </c>
      <c r="H17" s="8" t="n">
        <v>4</v>
      </c>
      <c r="I17" s="5" t="n">
        <v>400514</v>
      </c>
      <c r="J17" s="6" t="s">
        <v>16</v>
      </c>
      <c r="K17" s="5" t="n">
        <v>100010849</v>
      </c>
      <c r="L17" s="9" t="n">
        <v>45986</v>
      </c>
      <c r="M17" s="10" t="n">
        <v>47811</v>
      </c>
    </row>
    <row r="18" customFormat="false" ht="30" hidden="true" customHeight="true" outlineLevel="0" collapsed="false">
      <c r="A18" s="4" t="s">
        <v>13</v>
      </c>
      <c r="B18" s="4" t="s">
        <v>14</v>
      </c>
      <c r="C18" s="5" t="n">
        <v>1329001635</v>
      </c>
      <c r="D18" s="6" t="s">
        <v>31</v>
      </c>
      <c r="E18" s="6"/>
      <c r="F18" s="7" t="n">
        <v>46048.308456169</v>
      </c>
      <c r="G18" s="7" t="n">
        <v>46049.3799117245</v>
      </c>
      <c r="H18" s="8" t="n">
        <v>4</v>
      </c>
      <c r="I18" s="5" t="n">
        <v>400514</v>
      </c>
      <c r="J18" s="6" t="s">
        <v>16</v>
      </c>
      <c r="K18" s="5" t="n">
        <v>100010755</v>
      </c>
      <c r="L18" s="9" t="n">
        <v>45978</v>
      </c>
      <c r="M18" s="10" t="n">
        <v>47803</v>
      </c>
    </row>
    <row r="19" customFormat="false" ht="30" hidden="true" customHeight="true" outlineLevel="0" collapsed="false">
      <c r="A19" s="4" t="s">
        <v>13</v>
      </c>
      <c r="B19" s="4" t="s">
        <v>14</v>
      </c>
      <c r="C19" s="5" t="n">
        <v>1329001635</v>
      </c>
      <c r="D19" s="6" t="s">
        <v>32</v>
      </c>
      <c r="E19" s="6"/>
      <c r="F19" s="7" t="n">
        <v>46048.308456169</v>
      </c>
      <c r="G19" s="7" t="n">
        <v>46049.3798280787</v>
      </c>
      <c r="H19" s="8" t="n">
        <v>4</v>
      </c>
      <c r="I19" s="5" t="n">
        <v>400514</v>
      </c>
      <c r="J19" s="6" t="s">
        <v>16</v>
      </c>
      <c r="K19" s="5" t="n">
        <v>100010755</v>
      </c>
      <c r="L19" s="9" t="n">
        <v>45978</v>
      </c>
      <c r="M19" s="10" t="n">
        <v>47803</v>
      </c>
    </row>
    <row r="20" customFormat="false" ht="30" hidden="true" customHeight="true" outlineLevel="0" collapsed="false">
      <c r="A20" s="4" t="s">
        <v>13</v>
      </c>
      <c r="B20" s="4" t="s">
        <v>14</v>
      </c>
      <c r="C20" s="5" t="n">
        <v>1329001635</v>
      </c>
      <c r="D20" s="6" t="s">
        <v>33</v>
      </c>
      <c r="E20" s="6"/>
      <c r="F20" s="7" t="n">
        <v>46048.308456169</v>
      </c>
      <c r="G20" s="7" t="n">
        <v>46049.3797884144</v>
      </c>
      <c r="H20" s="8" t="n">
        <v>4</v>
      </c>
      <c r="I20" s="5" t="n">
        <v>400514</v>
      </c>
      <c r="J20" s="6" t="s">
        <v>16</v>
      </c>
      <c r="K20" s="5" t="n">
        <v>100010755</v>
      </c>
      <c r="L20" s="9" t="n">
        <v>45978</v>
      </c>
      <c r="M20" s="10" t="n">
        <v>47803</v>
      </c>
    </row>
    <row r="21" customFormat="false" ht="30" hidden="true" customHeight="true" outlineLevel="0" collapsed="false">
      <c r="A21" s="4" t="s">
        <v>13</v>
      </c>
      <c r="B21" s="4" t="s">
        <v>14</v>
      </c>
      <c r="C21" s="5" t="n">
        <v>1329001635</v>
      </c>
      <c r="D21" s="6" t="s">
        <v>34</v>
      </c>
      <c r="E21" s="6"/>
      <c r="F21" s="7" t="n">
        <v>46048.308456169</v>
      </c>
      <c r="G21" s="7" t="n">
        <v>46049.3797417477</v>
      </c>
      <c r="H21" s="8" t="n">
        <v>4</v>
      </c>
      <c r="I21" s="5" t="n">
        <v>400514</v>
      </c>
      <c r="J21" s="6" t="s">
        <v>16</v>
      </c>
      <c r="K21" s="5" t="n">
        <v>100010849</v>
      </c>
      <c r="L21" s="9" t="n">
        <v>45986</v>
      </c>
      <c r="M21" s="10" t="n">
        <v>47811</v>
      </c>
    </row>
    <row r="22" customFormat="false" ht="30" hidden="true" customHeight="true" outlineLevel="0" collapsed="false">
      <c r="A22" s="4" t="s">
        <v>13</v>
      </c>
      <c r="B22" s="4" t="s">
        <v>14</v>
      </c>
      <c r="C22" s="5" t="n">
        <v>1329001635</v>
      </c>
      <c r="D22" s="6" t="s">
        <v>35</v>
      </c>
      <c r="E22" s="6"/>
      <c r="F22" s="7" t="n">
        <v>46048.308456169</v>
      </c>
      <c r="G22" s="7" t="n">
        <v>46049.3796958333</v>
      </c>
      <c r="H22" s="8" t="n">
        <v>4</v>
      </c>
      <c r="I22" s="5" t="n">
        <v>400514</v>
      </c>
      <c r="J22" s="6" t="s">
        <v>16</v>
      </c>
      <c r="K22" s="5" t="n">
        <v>100010755</v>
      </c>
      <c r="L22" s="9" t="n">
        <v>45978</v>
      </c>
      <c r="M22" s="10" t="n">
        <v>47803</v>
      </c>
    </row>
    <row r="23" customFormat="false" ht="30" hidden="true" customHeight="true" outlineLevel="0" collapsed="false">
      <c r="A23" s="4" t="s">
        <v>13</v>
      </c>
      <c r="B23" s="4" t="s">
        <v>14</v>
      </c>
      <c r="C23" s="5" t="n">
        <v>1329001635</v>
      </c>
      <c r="D23" s="6" t="s">
        <v>36</v>
      </c>
      <c r="E23" s="6"/>
      <c r="F23" s="7" t="n">
        <v>46048.308456169</v>
      </c>
      <c r="G23" s="7" t="n">
        <v>46049.3796668287</v>
      </c>
      <c r="H23" s="8" t="n">
        <v>4</v>
      </c>
      <c r="I23" s="5" t="n">
        <v>400514</v>
      </c>
      <c r="J23" s="6" t="s">
        <v>16</v>
      </c>
      <c r="K23" s="5" t="n">
        <v>100010849</v>
      </c>
      <c r="L23" s="9" t="n">
        <v>45986</v>
      </c>
      <c r="M23" s="10" t="n">
        <v>47811</v>
      </c>
    </row>
    <row r="24" customFormat="false" ht="30" hidden="true" customHeight="true" outlineLevel="0" collapsed="false">
      <c r="A24" s="4" t="s">
        <v>13</v>
      </c>
      <c r="B24" s="4" t="s">
        <v>14</v>
      </c>
      <c r="C24" s="5" t="n">
        <v>1329001635</v>
      </c>
      <c r="D24" s="6" t="s">
        <v>37</v>
      </c>
      <c r="E24" s="6"/>
      <c r="F24" s="7" t="n">
        <v>46048.308456169</v>
      </c>
      <c r="G24" s="7" t="n">
        <v>46049.3796201505</v>
      </c>
      <c r="H24" s="8" t="n">
        <v>4</v>
      </c>
      <c r="I24" s="5" t="n">
        <v>400514</v>
      </c>
      <c r="J24" s="6" t="s">
        <v>16</v>
      </c>
      <c r="K24" s="5" t="n">
        <v>100010755</v>
      </c>
      <c r="L24" s="9" t="n">
        <v>45978</v>
      </c>
      <c r="M24" s="10" t="n">
        <v>47803</v>
      </c>
    </row>
    <row r="25" customFormat="false" ht="30" hidden="true" customHeight="true" outlineLevel="0" collapsed="false">
      <c r="A25" s="4" t="s">
        <v>13</v>
      </c>
      <c r="B25" s="4" t="s">
        <v>14</v>
      </c>
      <c r="C25" s="5" t="n">
        <v>1329001635</v>
      </c>
      <c r="D25" s="6" t="s">
        <v>38</v>
      </c>
      <c r="E25" s="6"/>
      <c r="F25" s="7" t="n">
        <v>46048.308456169</v>
      </c>
      <c r="G25" s="7" t="n">
        <v>46049.379595544</v>
      </c>
      <c r="H25" s="8" t="n">
        <v>4</v>
      </c>
      <c r="I25" s="5" t="n">
        <v>400514</v>
      </c>
      <c r="J25" s="6" t="s">
        <v>16</v>
      </c>
      <c r="K25" s="5" t="n">
        <v>100010849</v>
      </c>
      <c r="L25" s="9" t="n">
        <v>45986</v>
      </c>
      <c r="M25" s="10" t="n">
        <v>47811</v>
      </c>
    </row>
    <row r="26" customFormat="false" ht="30" hidden="true" customHeight="true" outlineLevel="0" collapsed="false">
      <c r="A26" s="4" t="s">
        <v>13</v>
      </c>
      <c r="B26" s="4" t="s">
        <v>14</v>
      </c>
      <c r="C26" s="5" t="n">
        <v>1329001635</v>
      </c>
      <c r="D26" s="6" t="s">
        <v>39</v>
      </c>
      <c r="E26" s="6"/>
      <c r="F26" s="7" t="n">
        <v>46048.308456169</v>
      </c>
      <c r="G26" s="7" t="n">
        <v>46049.3795658796</v>
      </c>
      <c r="H26" s="8" t="n">
        <v>4</v>
      </c>
      <c r="I26" s="5" t="n">
        <v>400514</v>
      </c>
      <c r="J26" s="6" t="s">
        <v>16</v>
      </c>
      <c r="K26" s="5" t="n">
        <v>100010849</v>
      </c>
      <c r="L26" s="9" t="n">
        <v>45986</v>
      </c>
      <c r="M26" s="10" t="n">
        <v>47811</v>
      </c>
    </row>
    <row r="27" customFormat="false" ht="30" hidden="true" customHeight="true" outlineLevel="0" collapsed="false">
      <c r="A27" s="4" t="s">
        <v>13</v>
      </c>
      <c r="B27" s="4" t="s">
        <v>14</v>
      </c>
      <c r="C27" s="5" t="n">
        <v>1329001635</v>
      </c>
      <c r="D27" s="6" t="s">
        <v>40</v>
      </c>
      <c r="E27" s="6"/>
      <c r="F27" s="7" t="n">
        <v>46048.308456169</v>
      </c>
      <c r="G27" s="7" t="n">
        <v>46049.3795432986</v>
      </c>
      <c r="H27" s="8" t="n">
        <v>4</v>
      </c>
      <c r="I27" s="5" t="n">
        <v>400514</v>
      </c>
      <c r="J27" s="6" t="s">
        <v>16</v>
      </c>
      <c r="K27" s="5" t="n">
        <v>100010755</v>
      </c>
      <c r="L27" s="9" t="n">
        <v>45978</v>
      </c>
      <c r="M27" s="10" t="n">
        <v>47803</v>
      </c>
    </row>
    <row r="28" customFormat="false" ht="30" hidden="true" customHeight="true" outlineLevel="0" collapsed="false">
      <c r="A28" s="4" t="s">
        <v>13</v>
      </c>
      <c r="B28" s="4" t="s">
        <v>14</v>
      </c>
      <c r="C28" s="5" t="n">
        <v>1329001635</v>
      </c>
      <c r="D28" s="6" t="s">
        <v>41</v>
      </c>
      <c r="E28" s="6"/>
      <c r="F28" s="7" t="n">
        <v>46048.308456169</v>
      </c>
      <c r="G28" s="7" t="n">
        <v>46049.379502037</v>
      </c>
      <c r="H28" s="8" t="n">
        <v>4</v>
      </c>
      <c r="I28" s="5" t="n">
        <v>400514</v>
      </c>
      <c r="J28" s="6" t="s">
        <v>16</v>
      </c>
      <c r="K28" s="5" t="n">
        <v>100010849</v>
      </c>
      <c r="L28" s="9" t="n">
        <v>45986</v>
      </c>
      <c r="M28" s="10" t="n">
        <v>47811</v>
      </c>
    </row>
    <row r="29" customFormat="false" ht="30" hidden="true" customHeight="true" outlineLevel="0" collapsed="false">
      <c r="A29" s="4" t="s">
        <v>13</v>
      </c>
      <c r="B29" s="4" t="s">
        <v>14</v>
      </c>
      <c r="C29" s="5" t="n">
        <v>1329001635</v>
      </c>
      <c r="D29" s="6" t="s">
        <v>42</v>
      </c>
      <c r="E29" s="6"/>
      <c r="F29" s="7" t="n">
        <v>46048.308456169</v>
      </c>
      <c r="G29" s="7" t="n">
        <v>46049.3794758565</v>
      </c>
      <c r="H29" s="8" t="n">
        <v>4</v>
      </c>
      <c r="I29" s="5" t="n">
        <v>400514</v>
      </c>
      <c r="J29" s="6" t="s">
        <v>16</v>
      </c>
      <c r="K29" s="5" t="n">
        <v>100010755</v>
      </c>
      <c r="L29" s="9" t="n">
        <v>45978</v>
      </c>
      <c r="M29" s="10" t="n">
        <v>47803</v>
      </c>
    </row>
    <row r="30" customFormat="false" ht="30" hidden="true" customHeight="true" outlineLevel="0" collapsed="false">
      <c r="A30" s="4" t="s">
        <v>13</v>
      </c>
      <c r="B30" s="4" t="s">
        <v>14</v>
      </c>
      <c r="C30" s="5" t="n">
        <v>1329001635</v>
      </c>
      <c r="D30" s="6" t="s">
        <v>43</v>
      </c>
      <c r="E30" s="6"/>
      <c r="F30" s="7" t="n">
        <v>46048.308456169</v>
      </c>
      <c r="G30" s="7" t="n">
        <v>46049.3794392593</v>
      </c>
      <c r="H30" s="8" t="n">
        <v>4</v>
      </c>
      <c r="I30" s="5" t="n">
        <v>400514</v>
      </c>
      <c r="J30" s="6" t="s">
        <v>16</v>
      </c>
      <c r="K30" s="5" t="n">
        <v>100010755</v>
      </c>
      <c r="L30" s="9" t="n">
        <v>45978</v>
      </c>
      <c r="M30" s="10" t="n">
        <v>47803</v>
      </c>
    </row>
    <row r="31" customFormat="false" ht="30" hidden="true" customHeight="true" outlineLevel="0" collapsed="false">
      <c r="A31" s="4" t="s">
        <v>13</v>
      </c>
      <c r="B31" s="4" t="s">
        <v>14</v>
      </c>
      <c r="C31" s="5" t="n">
        <v>1329001635</v>
      </c>
      <c r="D31" s="6" t="s">
        <v>44</v>
      </c>
      <c r="E31" s="6"/>
      <c r="F31" s="7" t="n">
        <v>46048.308456169</v>
      </c>
      <c r="G31" s="7" t="n">
        <v>46049.3793106019</v>
      </c>
      <c r="H31" s="8" t="n">
        <v>4</v>
      </c>
      <c r="I31" s="5" t="n">
        <v>400514</v>
      </c>
      <c r="J31" s="6" t="s">
        <v>16</v>
      </c>
      <c r="K31" s="5" t="n">
        <v>100010755</v>
      </c>
      <c r="L31" s="9" t="n">
        <v>45978</v>
      </c>
      <c r="M31" s="10" t="n">
        <v>47803</v>
      </c>
    </row>
    <row r="32" customFormat="false" ht="30" hidden="true" customHeight="true" outlineLevel="0" collapsed="false">
      <c r="A32" s="4" t="s">
        <v>13</v>
      </c>
      <c r="B32" s="4" t="s">
        <v>14</v>
      </c>
      <c r="C32" s="5" t="n">
        <v>1329001635</v>
      </c>
      <c r="D32" s="6" t="s">
        <v>45</v>
      </c>
      <c r="E32" s="6"/>
      <c r="F32" s="7" t="n">
        <v>46048.308456169</v>
      </c>
      <c r="G32" s="7" t="n">
        <v>46049.3789842824</v>
      </c>
      <c r="H32" s="8" t="n">
        <v>4</v>
      </c>
      <c r="I32" s="5" t="n">
        <v>400514</v>
      </c>
      <c r="J32" s="6" t="s">
        <v>16</v>
      </c>
      <c r="K32" s="5" t="n">
        <v>100010755</v>
      </c>
      <c r="L32" s="9" t="n">
        <v>45978</v>
      </c>
      <c r="M32" s="10" t="n">
        <v>47803</v>
      </c>
    </row>
    <row r="33" customFormat="false" ht="30" hidden="true" customHeight="true" outlineLevel="0" collapsed="false">
      <c r="A33" s="4" t="s">
        <v>13</v>
      </c>
      <c r="B33" s="4" t="s">
        <v>14</v>
      </c>
      <c r="C33" s="5" t="n">
        <v>1329001633</v>
      </c>
      <c r="D33" s="6" t="s">
        <v>46</v>
      </c>
      <c r="E33" s="6"/>
      <c r="F33" s="7" t="n">
        <v>46048.3110003357</v>
      </c>
      <c r="G33" s="7" t="n">
        <v>46049.3820879167</v>
      </c>
      <c r="H33" s="8" t="n">
        <v>4</v>
      </c>
      <c r="I33" s="5" t="n">
        <v>400432</v>
      </c>
      <c r="J33" s="6" t="s">
        <v>47</v>
      </c>
      <c r="K33" s="5" t="n">
        <v>100011197</v>
      </c>
      <c r="L33" s="9" t="n">
        <v>46016</v>
      </c>
      <c r="M33" s="10" t="n">
        <v>47841</v>
      </c>
    </row>
    <row r="34" customFormat="false" ht="30" hidden="true" customHeight="true" outlineLevel="0" collapsed="false">
      <c r="A34" s="4" t="s">
        <v>13</v>
      </c>
      <c r="B34" s="4" t="s">
        <v>14</v>
      </c>
      <c r="C34" s="5" t="n">
        <v>1329001633</v>
      </c>
      <c r="D34" s="6" t="s">
        <v>48</v>
      </c>
      <c r="E34" s="6"/>
      <c r="F34" s="7" t="n">
        <v>46048.3110003357</v>
      </c>
      <c r="G34" s="7" t="n">
        <v>46049.3847821759</v>
      </c>
      <c r="H34" s="8" t="n">
        <v>4</v>
      </c>
      <c r="I34" s="5" t="n">
        <v>400432</v>
      </c>
      <c r="J34" s="6" t="s">
        <v>47</v>
      </c>
      <c r="K34" s="5" t="n">
        <v>100011186</v>
      </c>
      <c r="L34" s="9" t="n">
        <v>46016</v>
      </c>
      <c r="M34" s="10" t="n">
        <v>47840</v>
      </c>
    </row>
    <row r="35" customFormat="false" ht="30" hidden="true" customHeight="true" outlineLevel="0" collapsed="false">
      <c r="A35" s="4" t="s">
        <v>13</v>
      </c>
      <c r="B35" s="4" t="s">
        <v>14</v>
      </c>
      <c r="C35" s="5" t="n">
        <v>1329001633</v>
      </c>
      <c r="D35" s="6" t="s">
        <v>49</v>
      </c>
      <c r="E35" s="6"/>
      <c r="F35" s="7" t="n">
        <v>46048.3110003357</v>
      </c>
      <c r="G35" s="7" t="n">
        <v>46049.3846778125</v>
      </c>
      <c r="H35" s="8" t="n">
        <v>4</v>
      </c>
      <c r="I35" s="5" t="n">
        <v>400464</v>
      </c>
      <c r="J35" s="6" t="s">
        <v>50</v>
      </c>
      <c r="K35" s="5" t="n">
        <v>100011186</v>
      </c>
      <c r="L35" s="9" t="n">
        <v>46015</v>
      </c>
      <c r="M35" s="10" t="n">
        <v>47840</v>
      </c>
    </row>
    <row r="36" customFormat="false" ht="30" hidden="true" customHeight="true" outlineLevel="0" collapsed="false">
      <c r="A36" s="4" t="s">
        <v>13</v>
      </c>
      <c r="B36" s="4" t="s">
        <v>14</v>
      </c>
      <c r="C36" s="5" t="n">
        <v>1329001633</v>
      </c>
      <c r="D36" s="6" t="s">
        <v>51</v>
      </c>
      <c r="E36" s="6"/>
      <c r="F36" s="7" t="n">
        <v>46048.3110003357</v>
      </c>
      <c r="G36" s="7" t="n">
        <v>46049.3846260185</v>
      </c>
      <c r="H36" s="8" t="n">
        <v>4</v>
      </c>
      <c r="I36" s="5" t="n">
        <v>400464</v>
      </c>
      <c r="J36" s="6" t="s">
        <v>50</v>
      </c>
      <c r="K36" s="5" t="n">
        <v>100011186</v>
      </c>
      <c r="L36" s="9" t="n">
        <v>46015</v>
      </c>
      <c r="M36" s="10" t="n">
        <v>47840</v>
      </c>
    </row>
    <row r="37" customFormat="false" ht="30" hidden="true" customHeight="true" outlineLevel="0" collapsed="false">
      <c r="A37" s="4" t="s">
        <v>13</v>
      </c>
      <c r="B37" s="4" t="s">
        <v>14</v>
      </c>
      <c r="C37" s="5" t="n">
        <v>1329001633</v>
      </c>
      <c r="D37" s="6" t="s">
        <v>52</v>
      </c>
      <c r="E37" s="6"/>
      <c r="F37" s="7" t="n">
        <v>46048.3110003357</v>
      </c>
      <c r="G37" s="7" t="n">
        <v>46049.3845839236</v>
      </c>
      <c r="H37" s="8" t="n">
        <v>4</v>
      </c>
      <c r="I37" s="5" t="n">
        <v>400432</v>
      </c>
      <c r="J37" s="6" t="s">
        <v>47</v>
      </c>
      <c r="K37" s="5" t="n">
        <v>100011186</v>
      </c>
      <c r="L37" s="9" t="n">
        <v>46016</v>
      </c>
      <c r="M37" s="10" t="n">
        <v>47840</v>
      </c>
    </row>
    <row r="38" customFormat="false" ht="30" hidden="true" customHeight="true" outlineLevel="0" collapsed="false">
      <c r="A38" s="4" t="s">
        <v>13</v>
      </c>
      <c r="B38" s="4" t="s">
        <v>14</v>
      </c>
      <c r="C38" s="5" t="n">
        <v>1329001633</v>
      </c>
      <c r="D38" s="6" t="s">
        <v>53</v>
      </c>
      <c r="E38" s="6"/>
      <c r="F38" s="7" t="n">
        <v>46048.3110003357</v>
      </c>
      <c r="G38" s="7" t="n">
        <v>46049.3845443634</v>
      </c>
      <c r="H38" s="8" t="n">
        <v>4</v>
      </c>
      <c r="I38" s="5" t="n">
        <v>400464</v>
      </c>
      <c r="J38" s="6" t="s">
        <v>50</v>
      </c>
      <c r="K38" s="5" t="n">
        <v>100011186</v>
      </c>
      <c r="L38" s="9" t="n">
        <v>46015</v>
      </c>
      <c r="M38" s="10" t="n">
        <v>47840</v>
      </c>
    </row>
    <row r="39" customFormat="false" ht="30" hidden="true" customHeight="true" outlineLevel="0" collapsed="false">
      <c r="A39" s="4" t="s">
        <v>13</v>
      </c>
      <c r="B39" s="4" t="s">
        <v>14</v>
      </c>
      <c r="C39" s="5" t="n">
        <v>1329001633</v>
      </c>
      <c r="D39" s="6" t="s">
        <v>54</v>
      </c>
      <c r="E39" s="6"/>
      <c r="F39" s="7" t="n">
        <v>46048.3110003357</v>
      </c>
      <c r="G39" s="7" t="n">
        <v>46049.3844958681</v>
      </c>
      <c r="H39" s="8" t="n">
        <v>4</v>
      </c>
      <c r="I39" s="5" t="n">
        <v>400432</v>
      </c>
      <c r="J39" s="6" t="s">
        <v>47</v>
      </c>
      <c r="K39" s="5" t="n">
        <v>100011197</v>
      </c>
      <c r="L39" s="9" t="n">
        <v>46016</v>
      </c>
      <c r="M39" s="10" t="n">
        <v>47841</v>
      </c>
    </row>
    <row r="40" customFormat="false" ht="30" hidden="true" customHeight="true" outlineLevel="0" collapsed="false">
      <c r="A40" s="4" t="s">
        <v>13</v>
      </c>
      <c r="B40" s="4" t="s">
        <v>14</v>
      </c>
      <c r="C40" s="5" t="n">
        <v>1329001633</v>
      </c>
      <c r="D40" s="6" t="s">
        <v>55</v>
      </c>
      <c r="E40" s="6"/>
      <c r="F40" s="7" t="n">
        <v>46048.3110003357</v>
      </c>
      <c r="G40" s="7" t="n">
        <v>46049.3844210532</v>
      </c>
      <c r="H40" s="8" t="n">
        <v>4</v>
      </c>
      <c r="I40" s="5" t="n">
        <v>400464</v>
      </c>
      <c r="J40" s="6" t="s">
        <v>50</v>
      </c>
      <c r="K40" s="5" t="n">
        <v>100011186</v>
      </c>
      <c r="L40" s="9" t="n">
        <v>46015</v>
      </c>
      <c r="M40" s="10" t="n">
        <v>47840</v>
      </c>
    </row>
    <row r="41" customFormat="false" ht="30" hidden="true" customHeight="true" outlineLevel="0" collapsed="false">
      <c r="A41" s="4" t="s">
        <v>13</v>
      </c>
      <c r="B41" s="4" t="s">
        <v>14</v>
      </c>
      <c r="C41" s="5" t="n">
        <v>1329001633</v>
      </c>
      <c r="D41" s="6" t="s">
        <v>56</v>
      </c>
      <c r="E41" s="6"/>
      <c r="F41" s="7" t="n">
        <v>46048.3110003357</v>
      </c>
      <c r="G41" s="7" t="n">
        <v>46049.3844029398</v>
      </c>
      <c r="H41" s="8" t="n">
        <v>4</v>
      </c>
      <c r="I41" s="5" t="n">
        <v>400464</v>
      </c>
      <c r="J41" s="6" t="s">
        <v>50</v>
      </c>
      <c r="K41" s="5" t="n">
        <v>100011186</v>
      </c>
      <c r="L41" s="9" t="n">
        <v>46015</v>
      </c>
      <c r="M41" s="10" t="n">
        <v>47840</v>
      </c>
    </row>
    <row r="42" customFormat="false" ht="30" hidden="true" customHeight="true" outlineLevel="0" collapsed="false">
      <c r="A42" s="4" t="s">
        <v>13</v>
      </c>
      <c r="B42" s="4" t="s">
        <v>14</v>
      </c>
      <c r="C42" s="5" t="n">
        <v>1329001633</v>
      </c>
      <c r="D42" s="6" t="s">
        <v>57</v>
      </c>
      <c r="E42" s="6"/>
      <c r="F42" s="7" t="n">
        <v>46048.3110003357</v>
      </c>
      <c r="G42" s="7" t="n">
        <v>46049.3843783102</v>
      </c>
      <c r="H42" s="8" t="n">
        <v>4</v>
      </c>
      <c r="I42" s="5" t="n">
        <v>400432</v>
      </c>
      <c r="J42" s="6" t="s">
        <v>47</v>
      </c>
      <c r="K42" s="5" t="n">
        <v>100011186</v>
      </c>
      <c r="L42" s="9" t="n">
        <v>46016</v>
      </c>
      <c r="M42" s="10" t="n">
        <v>47840</v>
      </c>
    </row>
    <row r="43" customFormat="false" ht="30" hidden="true" customHeight="true" outlineLevel="0" collapsed="false">
      <c r="A43" s="4" t="s">
        <v>13</v>
      </c>
      <c r="B43" s="4" t="s">
        <v>14</v>
      </c>
      <c r="C43" s="5" t="n">
        <v>1329001633</v>
      </c>
      <c r="D43" s="6" t="s">
        <v>58</v>
      </c>
      <c r="E43" s="6"/>
      <c r="F43" s="7" t="n">
        <v>46048.3110003357</v>
      </c>
      <c r="G43" s="7" t="n">
        <v>46049.3843594329</v>
      </c>
      <c r="H43" s="8" t="n">
        <v>4</v>
      </c>
      <c r="I43" s="5" t="n">
        <v>400432</v>
      </c>
      <c r="J43" s="6" t="s">
        <v>47</v>
      </c>
      <c r="K43" s="5" t="n">
        <v>100011186</v>
      </c>
      <c r="L43" s="9" t="n">
        <v>46016</v>
      </c>
      <c r="M43" s="10" t="n">
        <v>47840</v>
      </c>
    </row>
    <row r="44" customFormat="false" ht="30" hidden="true" customHeight="true" outlineLevel="0" collapsed="false">
      <c r="A44" s="4" t="s">
        <v>13</v>
      </c>
      <c r="B44" s="4" t="s">
        <v>14</v>
      </c>
      <c r="C44" s="5" t="n">
        <v>1329001633</v>
      </c>
      <c r="D44" s="6" t="s">
        <v>59</v>
      </c>
      <c r="E44" s="6"/>
      <c r="F44" s="7" t="n">
        <v>46048.3110003357</v>
      </c>
      <c r="G44" s="7" t="n">
        <v>46049.3843331366</v>
      </c>
      <c r="H44" s="8" t="n">
        <v>4</v>
      </c>
      <c r="I44" s="5" t="n">
        <v>400464</v>
      </c>
      <c r="J44" s="6" t="s">
        <v>50</v>
      </c>
      <c r="K44" s="5" t="n">
        <v>100011186</v>
      </c>
      <c r="L44" s="9" t="n">
        <v>46015</v>
      </c>
      <c r="M44" s="10" t="n">
        <v>47840</v>
      </c>
    </row>
    <row r="45" customFormat="false" ht="30" hidden="true" customHeight="true" outlineLevel="0" collapsed="false">
      <c r="A45" s="4" t="s">
        <v>13</v>
      </c>
      <c r="B45" s="4" t="s">
        <v>14</v>
      </c>
      <c r="C45" s="5" t="n">
        <v>1329001633</v>
      </c>
      <c r="D45" s="6" t="s">
        <v>60</v>
      </c>
      <c r="E45" s="6"/>
      <c r="F45" s="7" t="n">
        <v>46048.3110003357</v>
      </c>
      <c r="G45" s="7" t="n">
        <v>46049.3843116088</v>
      </c>
      <c r="H45" s="8" t="n">
        <v>4</v>
      </c>
      <c r="I45" s="5" t="n">
        <v>400432</v>
      </c>
      <c r="J45" s="6" t="s">
        <v>47</v>
      </c>
      <c r="K45" s="5" t="n">
        <v>100009431</v>
      </c>
      <c r="L45" s="9" t="n">
        <v>46016</v>
      </c>
      <c r="M45" s="10" t="n">
        <v>47683</v>
      </c>
    </row>
    <row r="46" customFormat="false" ht="30" hidden="true" customHeight="true" outlineLevel="0" collapsed="false">
      <c r="A46" s="4" t="s">
        <v>13</v>
      </c>
      <c r="B46" s="4" t="s">
        <v>14</v>
      </c>
      <c r="C46" s="5" t="n">
        <v>1329001633</v>
      </c>
      <c r="D46" s="6" t="s">
        <v>61</v>
      </c>
      <c r="E46" s="6"/>
      <c r="F46" s="7" t="n">
        <v>46048.3110003357</v>
      </c>
      <c r="G46" s="7" t="n">
        <v>46049.3842745833</v>
      </c>
      <c r="H46" s="8" t="n">
        <v>4</v>
      </c>
      <c r="I46" s="5" t="n">
        <v>400432</v>
      </c>
      <c r="J46" s="6" t="s">
        <v>47</v>
      </c>
      <c r="K46" s="5" t="n">
        <v>100011197</v>
      </c>
      <c r="L46" s="9" t="n">
        <v>46016</v>
      </c>
      <c r="M46" s="10" t="n">
        <v>47841</v>
      </c>
    </row>
    <row r="47" customFormat="false" ht="30" hidden="true" customHeight="true" outlineLevel="0" collapsed="false">
      <c r="A47" s="4" t="s">
        <v>13</v>
      </c>
      <c r="B47" s="4" t="s">
        <v>14</v>
      </c>
      <c r="C47" s="5" t="n">
        <v>1329001633</v>
      </c>
      <c r="D47" s="6" t="s">
        <v>62</v>
      </c>
      <c r="E47" s="6"/>
      <c r="F47" s="7" t="n">
        <v>46048.3110003357</v>
      </c>
      <c r="G47" s="7" t="n">
        <v>46049.3842482407</v>
      </c>
      <c r="H47" s="8" t="n">
        <v>4</v>
      </c>
      <c r="I47" s="5" t="n">
        <v>400432</v>
      </c>
      <c r="J47" s="6" t="s">
        <v>47</v>
      </c>
      <c r="K47" s="5" t="n">
        <v>100011186</v>
      </c>
      <c r="L47" s="9" t="n">
        <v>46016</v>
      </c>
      <c r="M47" s="10" t="n">
        <v>47840</v>
      </c>
    </row>
    <row r="48" customFormat="false" ht="30" hidden="true" customHeight="true" outlineLevel="0" collapsed="false">
      <c r="A48" s="4" t="s">
        <v>13</v>
      </c>
      <c r="B48" s="4" t="s">
        <v>14</v>
      </c>
      <c r="C48" s="5" t="n">
        <v>1329001633</v>
      </c>
      <c r="D48" s="6" t="s">
        <v>63</v>
      </c>
      <c r="E48" s="6"/>
      <c r="F48" s="7" t="n">
        <v>46048.3110003357</v>
      </c>
      <c r="G48" s="7" t="n">
        <v>46049.3841375232</v>
      </c>
      <c r="H48" s="8" t="n">
        <v>4</v>
      </c>
      <c r="I48" s="5" t="n">
        <v>400464</v>
      </c>
      <c r="J48" s="6" t="s">
        <v>50</v>
      </c>
      <c r="K48" s="5" t="n">
        <v>100011186</v>
      </c>
      <c r="L48" s="9" t="n">
        <v>46015</v>
      </c>
      <c r="M48" s="10" t="n">
        <v>47840</v>
      </c>
    </row>
    <row r="49" customFormat="false" ht="30" hidden="true" customHeight="true" outlineLevel="0" collapsed="false">
      <c r="A49" s="4" t="s">
        <v>13</v>
      </c>
      <c r="B49" s="4" t="s">
        <v>14</v>
      </c>
      <c r="C49" s="5" t="n">
        <v>1329001633</v>
      </c>
      <c r="D49" s="6" t="s">
        <v>64</v>
      </c>
      <c r="E49" s="6"/>
      <c r="F49" s="7" t="n">
        <v>46048.3110003357</v>
      </c>
      <c r="G49" s="7" t="n">
        <v>46049.3831660301</v>
      </c>
      <c r="H49" s="8" t="n">
        <v>4</v>
      </c>
      <c r="I49" s="5" t="n">
        <v>400464</v>
      </c>
      <c r="J49" s="6" t="s">
        <v>50</v>
      </c>
      <c r="K49" s="5" t="n">
        <v>100011186</v>
      </c>
      <c r="L49" s="9" t="n">
        <v>46015</v>
      </c>
      <c r="M49" s="10" t="n">
        <v>47840</v>
      </c>
    </row>
    <row r="50" customFormat="false" ht="30" hidden="true" customHeight="true" outlineLevel="0" collapsed="false">
      <c r="A50" s="4" t="s">
        <v>13</v>
      </c>
      <c r="B50" s="4" t="s">
        <v>14</v>
      </c>
      <c r="C50" s="5" t="n">
        <v>1329001633</v>
      </c>
      <c r="D50" s="6" t="s">
        <v>65</v>
      </c>
      <c r="E50" s="6"/>
      <c r="F50" s="7" t="n">
        <v>46048.3110003357</v>
      </c>
      <c r="G50" s="7" t="n">
        <v>46049.3831421296</v>
      </c>
      <c r="H50" s="8" t="n">
        <v>4</v>
      </c>
      <c r="I50" s="5" t="n">
        <v>400432</v>
      </c>
      <c r="J50" s="6" t="s">
        <v>47</v>
      </c>
      <c r="K50" s="5" t="n">
        <v>100011197</v>
      </c>
      <c r="L50" s="9" t="n">
        <v>46016</v>
      </c>
      <c r="M50" s="10" t="n">
        <v>47841</v>
      </c>
    </row>
    <row r="51" customFormat="false" ht="30" hidden="true" customHeight="true" outlineLevel="0" collapsed="false">
      <c r="A51" s="4" t="s">
        <v>13</v>
      </c>
      <c r="B51" s="4" t="s">
        <v>14</v>
      </c>
      <c r="C51" s="5" t="n">
        <v>1329001633</v>
      </c>
      <c r="D51" s="6" t="s">
        <v>66</v>
      </c>
      <c r="E51" s="6"/>
      <c r="F51" s="7" t="n">
        <v>46048.3110003357</v>
      </c>
      <c r="G51" s="7" t="n">
        <v>46049.383116331</v>
      </c>
      <c r="H51" s="8" t="n">
        <v>4</v>
      </c>
      <c r="I51" s="5" t="n">
        <v>400464</v>
      </c>
      <c r="J51" s="6" t="s">
        <v>50</v>
      </c>
      <c r="K51" s="5" t="n">
        <v>100011186</v>
      </c>
      <c r="L51" s="9" t="n">
        <v>46015</v>
      </c>
      <c r="M51" s="10" t="n">
        <v>47840</v>
      </c>
    </row>
    <row r="52" customFormat="false" ht="30" hidden="true" customHeight="true" outlineLevel="0" collapsed="false">
      <c r="A52" s="4" t="s">
        <v>13</v>
      </c>
      <c r="B52" s="4" t="s">
        <v>14</v>
      </c>
      <c r="C52" s="5" t="n">
        <v>1329001633</v>
      </c>
      <c r="D52" s="6" t="s">
        <v>67</v>
      </c>
      <c r="E52" s="6"/>
      <c r="F52" s="7" t="n">
        <v>46048.3110003357</v>
      </c>
      <c r="G52" s="7" t="n">
        <v>46049.3830628125</v>
      </c>
      <c r="H52" s="8" t="n">
        <v>4</v>
      </c>
      <c r="I52" s="5" t="n">
        <v>400464</v>
      </c>
      <c r="J52" s="6" t="s">
        <v>50</v>
      </c>
      <c r="K52" s="5" t="n">
        <v>100011186</v>
      </c>
      <c r="L52" s="9" t="n">
        <v>46015</v>
      </c>
      <c r="M52" s="10" t="n">
        <v>47840</v>
      </c>
    </row>
    <row r="53" customFormat="false" ht="30" hidden="true" customHeight="true" outlineLevel="0" collapsed="false">
      <c r="A53" s="4" t="s">
        <v>13</v>
      </c>
      <c r="B53" s="4" t="s">
        <v>14</v>
      </c>
      <c r="C53" s="5" t="n">
        <v>1329001633</v>
      </c>
      <c r="D53" s="6" t="s">
        <v>68</v>
      </c>
      <c r="E53" s="6"/>
      <c r="F53" s="7" t="n">
        <v>46048.3110003357</v>
      </c>
      <c r="G53" s="7" t="n">
        <v>46049.3830220023</v>
      </c>
      <c r="H53" s="8" t="n">
        <v>4</v>
      </c>
      <c r="I53" s="5" t="n">
        <v>400432</v>
      </c>
      <c r="J53" s="6" t="s">
        <v>47</v>
      </c>
      <c r="K53" s="5" t="n">
        <v>100011186</v>
      </c>
      <c r="L53" s="9" t="n">
        <v>46016</v>
      </c>
      <c r="M53" s="10" t="n">
        <v>47840</v>
      </c>
    </row>
    <row r="54" customFormat="false" ht="30" hidden="true" customHeight="true" outlineLevel="0" collapsed="false">
      <c r="A54" s="4" t="s">
        <v>13</v>
      </c>
      <c r="B54" s="4" t="s">
        <v>14</v>
      </c>
      <c r="C54" s="5" t="n">
        <v>1329001633</v>
      </c>
      <c r="D54" s="6" t="s">
        <v>69</v>
      </c>
      <c r="E54" s="6"/>
      <c r="F54" s="7" t="n">
        <v>46048.3110003357</v>
      </c>
      <c r="G54" s="7" t="n">
        <v>46049.3829798611</v>
      </c>
      <c r="H54" s="8" t="n">
        <v>4</v>
      </c>
      <c r="I54" s="5" t="n">
        <v>400464</v>
      </c>
      <c r="J54" s="6" t="s">
        <v>50</v>
      </c>
      <c r="K54" s="5" t="n">
        <v>100011186</v>
      </c>
      <c r="L54" s="9" t="n">
        <v>46015</v>
      </c>
      <c r="M54" s="10" t="n">
        <v>47840</v>
      </c>
    </row>
    <row r="55" customFormat="false" ht="30" hidden="true" customHeight="true" outlineLevel="0" collapsed="false">
      <c r="A55" s="4" t="s">
        <v>13</v>
      </c>
      <c r="B55" s="4" t="s">
        <v>14</v>
      </c>
      <c r="C55" s="5" t="n">
        <v>1329001633</v>
      </c>
      <c r="D55" s="6" t="s">
        <v>70</v>
      </c>
      <c r="E55" s="6"/>
      <c r="F55" s="7" t="n">
        <v>46048.3110003357</v>
      </c>
      <c r="G55" s="7" t="n">
        <v>46049.3829347801</v>
      </c>
      <c r="H55" s="8" t="n">
        <v>4</v>
      </c>
      <c r="I55" s="5" t="n">
        <v>400432</v>
      </c>
      <c r="J55" s="6" t="s">
        <v>47</v>
      </c>
      <c r="K55" s="5" t="n">
        <v>100011186</v>
      </c>
      <c r="L55" s="9" t="n">
        <v>46016</v>
      </c>
      <c r="M55" s="10" t="n">
        <v>47840</v>
      </c>
    </row>
    <row r="56" customFormat="false" ht="30" hidden="true" customHeight="true" outlineLevel="0" collapsed="false">
      <c r="A56" s="4" t="s">
        <v>13</v>
      </c>
      <c r="B56" s="4" t="s">
        <v>14</v>
      </c>
      <c r="C56" s="5" t="n">
        <v>1329001633</v>
      </c>
      <c r="D56" s="6" t="s">
        <v>71</v>
      </c>
      <c r="E56" s="6"/>
      <c r="F56" s="7" t="n">
        <v>46048.3110003357</v>
      </c>
      <c r="G56" s="7" t="n">
        <v>46049.3828953009</v>
      </c>
      <c r="H56" s="8" t="n">
        <v>4</v>
      </c>
      <c r="I56" s="5" t="n">
        <v>400432</v>
      </c>
      <c r="J56" s="6" t="s">
        <v>47</v>
      </c>
      <c r="K56" s="5" t="n">
        <v>100011186</v>
      </c>
      <c r="L56" s="9" t="n">
        <v>46016</v>
      </c>
      <c r="M56" s="10" t="n">
        <v>47840</v>
      </c>
    </row>
    <row r="57" customFormat="false" ht="30" hidden="true" customHeight="true" outlineLevel="0" collapsed="false">
      <c r="A57" s="4" t="s">
        <v>13</v>
      </c>
      <c r="B57" s="4" t="s">
        <v>14</v>
      </c>
      <c r="C57" s="5" t="n">
        <v>1329001633</v>
      </c>
      <c r="D57" s="6" t="s">
        <v>72</v>
      </c>
      <c r="E57" s="6"/>
      <c r="F57" s="7" t="n">
        <v>46048.3110003357</v>
      </c>
      <c r="G57" s="7" t="n">
        <v>46049.3828488194</v>
      </c>
      <c r="H57" s="8" t="n">
        <v>4</v>
      </c>
      <c r="I57" s="5" t="n">
        <v>400464</v>
      </c>
      <c r="J57" s="6" t="s">
        <v>50</v>
      </c>
      <c r="K57" s="5" t="n">
        <v>100011186</v>
      </c>
      <c r="L57" s="9" t="n">
        <v>46015</v>
      </c>
      <c r="M57" s="10" t="n">
        <v>47840</v>
      </c>
    </row>
    <row r="58" customFormat="false" ht="30" hidden="true" customHeight="true" outlineLevel="0" collapsed="false">
      <c r="A58" s="4" t="s">
        <v>13</v>
      </c>
      <c r="B58" s="4" t="s">
        <v>14</v>
      </c>
      <c r="C58" s="5" t="n">
        <v>1329001633</v>
      </c>
      <c r="D58" s="6" t="s">
        <v>73</v>
      </c>
      <c r="E58" s="6"/>
      <c r="F58" s="7" t="n">
        <v>46048.3110003357</v>
      </c>
      <c r="G58" s="7" t="n">
        <v>46049.3828112037</v>
      </c>
      <c r="H58" s="8" t="n">
        <v>4</v>
      </c>
      <c r="I58" s="5" t="n">
        <v>400464</v>
      </c>
      <c r="J58" s="6" t="s">
        <v>50</v>
      </c>
      <c r="K58" s="5" t="n">
        <v>100011186</v>
      </c>
      <c r="L58" s="9" t="n">
        <v>46015</v>
      </c>
      <c r="M58" s="10" t="n">
        <v>47840</v>
      </c>
    </row>
    <row r="59" customFormat="false" ht="30" hidden="true" customHeight="true" outlineLevel="0" collapsed="false">
      <c r="A59" s="4" t="s">
        <v>13</v>
      </c>
      <c r="B59" s="4" t="s">
        <v>14</v>
      </c>
      <c r="C59" s="5" t="n">
        <v>1329001633</v>
      </c>
      <c r="D59" s="6" t="s">
        <v>74</v>
      </c>
      <c r="E59" s="6"/>
      <c r="F59" s="7" t="n">
        <v>46048.3110003357</v>
      </c>
      <c r="G59" s="7" t="n">
        <v>46049.3827731597</v>
      </c>
      <c r="H59" s="8" t="n">
        <v>4</v>
      </c>
      <c r="I59" s="5" t="n">
        <v>400432</v>
      </c>
      <c r="J59" s="6" t="s">
        <v>47</v>
      </c>
      <c r="K59" s="5" t="n">
        <v>100011186</v>
      </c>
      <c r="L59" s="9" t="n">
        <v>46016</v>
      </c>
      <c r="M59" s="10" t="n">
        <v>47840</v>
      </c>
    </row>
    <row r="60" customFormat="false" ht="30" hidden="true" customHeight="true" outlineLevel="0" collapsed="false">
      <c r="A60" s="4" t="s">
        <v>13</v>
      </c>
      <c r="B60" s="4" t="s">
        <v>14</v>
      </c>
      <c r="C60" s="5" t="n">
        <v>1329001633</v>
      </c>
      <c r="D60" s="6" t="s">
        <v>75</v>
      </c>
      <c r="E60" s="6"/>
      <c r="F60" s="7" t="n">
        <v>46048.3110003357</v>
      </c>
      <c r="G60" s="7" t="n">
        <v>46049.3827264236</v>
      </c>
      <c r="H60" s="8" t="n">
        <v>4</v>
      </c>
      <c r="I60" s="5" t="n">
        <v>400464</v>
      </c>
      <c r="J60" s="6" t="s">
        <v>50</v>
      </c>
      <c r="K60" s="5" t="n">
        <v>100011186</v>
      </c>
      <c r="L60" s="9" t="n">
        <v>46015</v>
      </c>
      <c r="M60" s="10" t="n">
        <v>47840</v>
      </c>
    </row>
    <row r="61" customFormat="false" ht="30" hidden="true" customHeight="true" outlineLevel="0" collapsed="false">
      <c r="A61" s="4" t="s">
        <v>13</v>
      </c>
      <c r="B61" s="4" t="s">
        <v>14</v>
      </c>
      <c r="C61" s="5" t="n">
        <v>1329001633</v>
      </c>
      <c r="D61" s="6" t="s">
        <v>76</v>
      </c>
      <c r="E61" s="6"/>
      <c r="F61" s="7" t="n">
        <v>46048.3110003357</v>
      </c>
      <c r="G61" s="7" t="n">
        <v>46049.382581169</v>
      </c>
      <c r="H61" s="8" t="n">
        <v>4</v>
      </c>
      <c r="I61" s="5" t="n">
        <v>400432</v>
      </c>
      <c r="J61" s="6" t="s">
        <v>47</v>
      </c>
      <c r="K61" s="5" t="n">
        <v>100011186</v>
      </c>
      <c r="L61" s="9" t="n">
        <v>46016</v>
      </c>
      <c r="M61" s="10" t="n">
        <v>47840</v>
      </c>
    </row>
    <row r="62" customFormat="false" ht="30" hidden="true" customHeight="true" outlineLevel="0" collapsed="false">
      <c r="A62" s="4" t="s">
        <v>13</v>
      </c>
      <c r="B62" s="4" t="s">
        <v>14</v>
      </c>
      <c r="C62" s="5" t="n">
        <v>1329001633</v>
      </c>
      <c r="D62" s="6" t="s">
        <v>77</v>
      </c>
      <c r="E62" s="6"/>
      <c r="F62" s="7" t="n">
        <v>46048.3110003357</v>
      </c>
      <c r="G62" s="7" t="n">
        <v>46049.3825128241</v>
      </c>
      <c r="H62" s="8" t="n">
        <v>4</v>
      </c>
      <c r="I62" s="5" t="n">
        <v>400464</v>
      </c>
      <c r="J62" s="6" t="s">
        <v>50</v>
      </c>
      <c r="K62" s="5" t="n">
        <v>100009431</v>
      </c>
      <c r="L62" s="9" t="n">
        <v>45858</v>
      </c>
      <c r="M62" s="10" t="n">
        <v>47683</v>
      </c>
    </row>
    <row r="63" customFormat="false" ht="30" hidden="true" customHeight="true" outlineLevel="0" collapsed="false">
      <c r="A63" s="4" t="s">
        <v>13</v>
      </c>
      <c r="B63" s="4" t="s">
        <v>14</v>
      </c>
      <c r="C63" s="5" t="n">
        <v>1329001634</v>
      </c>
      <c r="D63" s="6" t="s">
        <v>78</v>
      </c>
      <c r="E63" s="6"/>
      <c r="F63" s="7" t="n">
        <v>46048.3118796759</v>
      </c>
      <c r="G63" s="7" t="n">
        <v>46049.3709839005</v>
      </c>
      <c r="H63" s="8" t="n">
        <v>4</v>
      </c>
      <c r="I63" s="5" t="n">
        <v>400514</v>
      </c>
      <c r="J63" s="6" t="s">
        <v>16</v>
      </c>
      <c r="K63" s="5" t="n">
        <v>100010755</v>
      </c>
      <c r="L63" s="9" t="n">
        <v>45978</v>
      </c>
      <c r="M63" s="10" t="n">
        <v>47803</v>
      </c>
    </row>
    <row r="64" customFormat="false" ht="30" hidden="true" customHeight="true" outlineLevel="0" collapsed="false">
      <c r="A64" s="4" t="s">
        <v>13</v>
      </c>
      <c r="B64" s="4" t="s">
        <v>14</v>
      </c>
      <c r="C64" s="5" t="n">
        <v>1329001634</v>
      </c>
      <c r="D64" s="6" t="s">
        <v>79</v>
      </c>
      <c r="E64" s="6"/>
      <c r="F64" s="7" t="n">
        <v>46048.3118796759</v>
      </c>
      <c r="G64" s="7" t="n">
        <v>46049.3728782986</v>
      </c>
      <c r="H64" s="8" t="n">
        <v>4</v>
      </c>
      <c r="I64" s="5" t="n">
        <v>400441</v>
      </c>
      <c r="J64" s="6" t="s">
        <v>80</v>
      </c>
      <c r="K64" s="5" t="n">
        <v>100011111</v>
      </c>
      <c r="L64" s="9"/>
      <c r="M64" s="10" t="n">
        <v>47834</v>
      </c>
    </row>
    <row r="65" customFormat="false" ht="30" hidden="true" customHeight="true" outlineLevel="0" collapsed="false">
      <c r="A65" s="4" t="s">
        <v>13</v>
      </c>
      <c r="B65" s="4" t="s">
        <v>14</v>
      </c>
      <c r="C65" s="5" t="n">
        <v>1329001634</v>
      </c>
      <c r="D65" s="6" t="s">
        <v>81</v>
      </c>
      <c r="E65" s="6"/>
      <c r="F65" s="7" t="n">
        <v>46048.3118796759</v>
      </c>
      <c r="G65" s="7" t="n">
        <v>46049.3724608102</v>
      </c>
      <c r="H65" s="8" t="n">
        <v>4</v>
      </c>
      <c r="I65" s="5" t="n">
        <v>400441</v>
      </c>
      <c r="J65" s="6" t="s">
        <v>80</v>
      </c>
      <c r="K65" s="5" t="n">
        <v>100011111</v>
      </c>
      <c r="L65" s="9"/>
      <c r="M65" s="10" t="n">
        <v>47834</v>
      </c>
    </row>
    <row r="66" customFormat="false" ht="30" hidden="true" customHeight="true" outlineLevel="0" collapsed="false">
      <c r="A66" s="4" t="s">
        <v>13</v>
      </c>
      <c r="B66" s="4" t="s">
        <v>14</v>
      </c>
      <c r="C66" s="5" t="n">
        <v>1329001634</v>
      </c>
      <c r="D66" s="6" t="s">
        <v>82</v>
      </c>
      <c r="E66" s="6"/>
      <c r="F66" s="7" t="n">
        <v>46048.3118796759</v>
      </c>
      <c r="G66" s="7" t="n">
        <v>46049.3722728125</v>
      </c>
      <c r="H66" s="8" t="n">
        <v>4</v>
      </c>
      <c r="I66" s="5" t="n">
        <v>400441</v>
      </c>
      <c r="J66" s="6" t="s">
        <v>80</v>
      </c>
      <c r="K66" s="5" t="n">
        <v>100011111</v>
      </c>
      <c r="L66" s="9"/>
      <c r="M66" s="10" t="n">
        <v>47834</v>
      </c>
    </row>
    <row r="67" customFormat="false" ht="30" hidden="true" customHeight="true" outlineLevel="0" collapsed="false">
      <c r="A67" s="4" t="s">
        <v>13</v>
      </c>
      <c r="B67" s="4" t="s">
        <v>14</v>
      </c>
      <c r="C67" s="5" t="n">
        <v>1329001634</v>
      </c>
      <c r="D67" s="6" t="s">
        <v>83</v>
      </c>
      <c r="E67" s="6"/>
      <c r="F67" s="7" t="n">
        <v>46048.3118796759</v>
      </c>
      <c r="G67" s="7" t="n">
        <v>46049.3707088657</v>
      </c>
      <c r="H67" s="8" t="n">
        <v>4</v>
      </c>
      <c r="I67" s="5" t="n">
        <v>400441</v>
      </c>
      <c r="J67" s="6" t="s">
        <v>80</v>
      </c>
      <c r="K67" s="5" t="n">
        <v>100011111</v>
      </c>
      <c r="L67" s="9"/>
      <c r="M67" s="10" t="n">
        <v>47834</v>
      </c>
    </row>
    <row r="68" customFormat="false" ht="30" hidden="true" customHeight="true" outlineLevel="0" collapsed="false">
      <c r="A68" s="4" t="s">
        <v>13</v>
      </c>
      <c r="B68" s="4" t="s">
        <v>14</v>
      </c>
      <c r="C68" s="5" t="n">
        <v>1329001634</v>
      </c>
      <c r="D68" s="6" t="s">
        <v>84</v>
      </c>
      <c r="E68" s="6"/>
      <c r="F68" s="7" t="n">
        <v>46048.3118796759</v>
      </c>
      <c r="G68" s="7" t="n">
        <v>46049.3704285069</v>
      </c>
      <c r="H68" s="8" t="n">
        <v>4</v>
      </c>
      <c r="I68" s="5" t="n">
        <v>400441</v>
      </c>
      <c r="J68" s="6" t="s">
        <v>80</v>
      </c>
      <c r="K68" s="5" t="n">
        <v>100011111</v>
      </c>
      <c r="L68" s="9"/>
      <c r="M68" s="10" t="n">
        <v>47834</v>
      </c>
    </row>
    <row r="69" customFormat="false" ht="30" hidden="true" customHeight="true" outlineLevel="0" collapsed="false">
      <c r="A69" s="4" t="s">
        <v>13</v>
      </c>
      <c r="B69" s="4" t="s">
        <v>14</v>
      </c>
      <c r="C69" s="5" t="n">
        <v>1329001634</v>
      </c>
      <c r="D69" s="6" t="s">
        <v>85</v>
      </c>
      <c r="E69" s="6"/>
      <c r="F69" s="7" t="n">
        <v>46048.3118796759</v>
      </c>
      <c r="G69" s="7" t="n">
        <v>46049.3702101273</v>
      </c>
      <c r="H69" s="8" t="n">
        <v>4</v>
      </c>
      <c r="I69" s="5" t="n">
        <v>400441</v>
      </c>
      <c r="J69" s="6" t="s">
        <v>80</v>
      </c>
      <c r="K69" s="5" t="n">
        <v>100011111</v>
      </c>
      <c r="L69" s="9"/>
      <c r="M69" s="10" t="n">
        <v>47834</v>
      </c>
    </row>
    <row r="70" customFormat="false" ht="30" hidden="true" customHeight="true" outlineLevel="0" collapsed="false">
      <c r="A70" s="4" t="s">
        <v>13</v>
      </c>
      <c r="B70" s="4" t="s">
        <v>14</v>
      </c>
      <c r="C70" s="5" t="n">
        <v>1329001634</v>
      </c>
      <c r="D70" s="6" t="s">
        <v>86</v>
      </c>
      <c r="E70" s="6"/>
      <c r="F70" s="7" t="n">
        <v>46048.3118796759</v>
      </c>
      <c r="G70" s="7" t="n">
        <v>46049.3700311227</v>
      </c>
      <c r="H70" s="8" t="n">
        <v>4</v>
      </c>
      <c r="I70" s="5" t="n">
        <v>400441</v>
      </c>
      <c r="J70" s="6" t="s">
        <v>80</v>
      </c>
      <c r="K70" s="5" t="n">
        <v>100011111</v>
      </c>
      <c r="L70" s="9"/>
      <c r="M70" s="10" t="n">
        <v>47834</v>
      </c>
    </row>
    <row r="71" customFormat="false" ht="30" hidden="true" customHeight="true" outlineLevel="0" collapsed="false">
      <c r="A71" s="4" t="s">
        <v>13</v>
      </c>
      <c r="B71" s="4" t="s">
        <v>14</v>
      </c>
      <c r="C71" s="5" t="n">
        <v>1329001634</v>
      </c>
      <c r="D71" s="6" t="s">
        <v>87</v>
      </c>
      <c r="E71" s="6"/>
      <c r="F71" s="7" t="n">
        <v>46048.3118796759</v>
      </c>
      <c r="G71" s="7" t="n">
        <v>46049.3689728009</v>
      </c>
      <c r="H71" s="8" t="n">
        <v>4</v>
      </c>
      <c r="I71" s="5" t="n">
        <v>400441</v>
      </c>
      <c r="J71" s="6" t="s">
        <v>80</v>
      </c>
      <c r="K71" s="5" t="n">
        <v>100011111</v>
      </c>
      <c r="L71" s="9"/>
      <c r="M71" s="10" t="n">
        <v>47834</v>
      </c>
    </row>
    <row r="72" customFormat="false" ht="30" hidden="true" customHeight="true" outlineLevel="0" collapsed="false">
      <c r="A72" s="4" t="s">
        <v>13</v>
      </c>
      <c r="B72" s="4" t="s">
        <v>14</v>
      </c>
      <c r="C72" s="5" t="n">
        <v>1329001634</v>
      </c>
      <c r="D72" s="6" t="s">
        <v>88</v>
      </c>
      <c r="E72" s="6"/>
      <c r="F72" s="7" t="n">
        <v>46048.3118796759</v>
      </c>
      <c r="G72" s="7" t="n">
        <v>46049.3687845833</v>
      </c>
      <c r="H72" s="8" t="n">
        <v>4</v>
      </c>
      <c r="I72" s="5" t="n">
        <v>400441</v>
      </c>
      <c r="J72" s="6" t="s">
        <v>80</v>
      </c>
      <c r="K72" s="5" t="n">
        <v>100011111</v>
      </c>
      <c r="L72" s="9"/>
      <c r="M72" s="10" t="n">
        <v>47834</v>
      </c>
    </row>
    <row r="73" customFormat="false" ht="30" hidden="true" customHeight="true" outlineLevel="0" collapsed="false">
      <c r="A73" s="4" t="s">
        <v>13</v>
      </c>
      <c r="B73" s="4" t="s">
        <v>14</v>
      </c>
      <c r="C73" s="5" t="n">
        <v>1329001634</v>
      </c>
      <c r="D73" s="6" t="s">
        <v>89</v>
      </c>
      <c r="E73" s="6"/>
      <c r="F73" s="7" t="n">
        <v>46048.3118796759</v>
      </c>
      <c r="G73" s="7" t="n">
        <v>46049.3685765972</v>
      </c>
      <c r="H73" s="8" t="n">
        <v>4</v>
      </c>
      <c r="I73" s="5" t="n">
        <v>400441</v>
      </c>
      <c r="J73" s="6" t="s">
        <v>80</v>
      </c>
      <c r="K73" s="5" t="n">
        <v>100011111</v>
      </c>
      <c r="L73" s="9"/>
      <c r="M73" s="10" t="n">
        <v>47834</v>
      </c>
    </row>
    <row r="74" customFormat="false" ht="30" hidden="true" customHeight="true" outlineLevel="0" collapsed="false">
      <c r="A74" s="4" t="s">
        <v>13</v>
      </c>
      <c r="B74" s="4" t="s">
        <v>14</v>
      </c>
      <c r="C74" s="5" t="n">
        <v>1329001634</v>
      </c>
      <c r="D74" s="6" t="s">
        <v>90</v>
      </c>
      <c r="E74" s="6"/>
      <c r="F74" s="7" t="n">
        <v>46048.3118796759</v>
      </c>
      <c r="G74" s="7" t="n">
        <v>46049.3683677431</v>
      </c>
      <c r="H74" s="8" t="n">
        <v>4</v>
      </c>
      <c r="I74" s="5" t="n">
        <v>400441</v>
      </c>
      <c r="J74" s="6" t="s">
        <v>80</v>
      </c>
      <c r="K74" s="5" t="n">
        <v>100011111</v>
      </c>
      <c r="L74" s="9"/>
      <c r="M74" s="10" t="n">
        <v>47834</v>
      </c>
    </row>
    <row r="75" customFormat="false" ht="30" hidden="true" customHeight="true" outlineLevel="0" collapsed="false">
      <c r="A75" s="4" t="s">
        <v>13</v>
      </c>
      <c r="B75" s="4" t="s">
        <v>14</v>
      </c>
      <c r="C75" s="5" t="n">
        <v>1329001634</v>
      </c>
      <c r="D75" s="6" t="s">
        <v>91</v>
      </c>
      <c r="E75" s="6"/>
      <c r="F75" s="7" t="n">
        <v>46048.3118796759</v>
      </c>
      <c r="G75" s="7" t="n">
        <v>46049.3681531944</v>
      </c>
      <c r="H75" s="8" t="n">
        <v>4</v>
      </c>
      <c r="I75" s="5" t="n">
        <v>400441</v>
      </c>
      <c r="J75" s="6" t="s">
        <v>80</v>
      </c>
      <c r="K75" s="5" t="n">
        <v>100011111</v>
      </c>
      <c r="L75" s="9"/>
      <c r="M75" s="10" t="n">
        <v>47834</v>
      </c>
    </row>
    <row r="76" customFormat="false" ht="30" hidden="true" customHeight="true" outlineLevel="0" collapsed="false">
      <c r="A76" s="4" t="s">
        <v>13</v>
      </c>
      <c r="B76" s="4" t="s">
        <v>14</v>
      </c>
      <c r="C76" s="5" t="n">
        <v>1329001634</v>
      </c>
      <c r="D76" s="6" t="s">
        <v>92</v>
      </c>
      <c r="E76" s="6"/>
      <c r="F76" s="7" t="n">
        <v>46048.3118796759</v>
      </c>
      <c r="G76" s="7" t="n">
        <v>46049.3677553125</v>
      </c>
      <c r="H76" s="8" t="n">
        <v>4</v>
      </c>
      <c r="I76" s="5" t="n">
        <v>400441</v>
      </c>
      <c r="J76" s="6" t="s">
        <v>80</v>
      </c>
      <c r="K76" s="5" t="n">
        <v>100011111</v>
      </c>
      <c r="L76" s="9"/>
      <c r="M76" s="10" t="n">
        <v>47834</v>
      </c>
    </row>
    <row r="77" customFormat="false" ht="30" hidden="true" customHeight="true" outlineLevel="0" collapsed="false">
      <c r="A77" s="4" t="s">
        <v>13</v>
      </c>
      <c r="B77" s="4" t="s">
        <v>14</v>
      </c>
      <c r="C77" s="5" t="n">
        <v>1329001634</v>
      </c>
      <c r="D77" s="6" t="s">
        <v>93</v>
      </c>
      <c r="E77" s="6"/>
      <c r="F77" s="7" t="n">
        <v>46048.3118796759</v>
      </c>
      <c r="G77" s="7" t="n">
        <v>46049.3669195023</v>
      </c>
      <c r="H77" s="8" t="n">
        <v>4</v>
      </c>
      <c r="I77" s="5" t="n">
        <v>400441</v>
      </c>
      <c r="J77" s="6" t="s">
        <v>80</v>
      </c>
      <c r="K77" s="5" t="n">
        <v>100011111</v>
      </c>
      <c r="L77" s="9"/>
      <c r="M77" s="10" t="n">
        <v>47834</v>
      </c>
    </row>
    <row r="78" customFormat="false" ht="30" hidden="true" customHeight="true" outlineLevel="0" collapsed="false">
      <c r="A78" s="4" t="s">
        <v>13</v>
      </c>
      <c r="B78" s="4" t="s">
        <v>14</v>
      </c>
      <c r="C78" s="5" t="n">
        <v>1329001634</v>
      </c>
      <c r="D78" s="6" t="s">
        <v>94</v>
      </c>
      <c r="E78" s="6"/>
      <c r="F78" s="7" t="n">
        <v>46048.3118796759</v>
      </c>
      <c r="G78" s="7" t="n">
        <v>46049.3665245718</v>
      </c>
      <c r="H78" s="8" t="n">
        <v>4</v>
      </c>
      <c r="I78" s="5" t="n">
        <v>400441</v>
      </c>
      <c r="J78" s="6" t="s">
        <v>80</v>
      </c>
      <c r="K78" s="5" t="n">
        <v>100011111</v>
      </c>
      <c r="L78" s="9"/>
      <c r="M78" s="10" t="n">
        <v>47834</v>
      </c>
    </row>
    <row r="79" customFormat="false" ht="30" hidden="true" customHeight="true" outlineLevel="0" collapsed="false">
      <c r="A79" s="4" t="s">
        <v>13</v>
      </c>
      <c r="B79" s="4" t="s">
        <v>14</v>
      </c>
      <c r="C79" s="5" t="n">
        <v>1329001634</v>
      </c>
      <c r="D79" s="6" t="s">
        <v>95</v>
      </c>
      <c r="E79" s="6"/>
      <c r="F79" s="7" t="n">
        <v>46048.3118796759</v>
      </c>
      <c r="G79" s="7" t="n">
        <v>46049.3656744792</v>
      </c>
      <c r="H79" s="8" t="n">
        <v>4</v>
      </c>
      <c r="I79" s="5" t="n">
        <v>400514</v>
      </c>
      <c r="J79" s="6" t="s">
        <v>16</v>
      </c>
      <c r="K79" s="5" t="n">
        <v>100010755</v>
      </c>
      <c r="L79" s="9" t="n">
        <v>45978</v>
      </c>
      <c r="M79" s="10" t="n">
        <v>47803</v>
      </c>
    </row>
    <row r="80" customFormat="false" ht="30" hidden="true" customHeight="true" outlineLevel="0" collapsed="false">
      <c r="A80" s="4" t="s">
        <v>13</v>
      </c>
      <c r="B80" s="4" t="s">
        <v>14</v>
      </c>
      <c r="C80" s="5" t="n">
        <v>1329001634</v>
      </c>
      <c r="D80" s="6" t="s">
        <v>96</v>
      </c>
      <c r="E80" s="6"/>
      <c r="F80" s="7" t="n">
        <v>46048.3118796759</v>
      </c>
      <c r="G80" s="7" t="n">
        <v>46049.3746635301</v>
      </c>
      <c r="H80" s="8" t="n">
        <v>4</v>
      </c>
      <c r="I80" s="5" t="n">
        <v>400514</v>
      </c>
      <c r="J80" s="6" t="s">
        <v>16</v>
      </c>
      <c r="K80" s="5" t="n">
        <v>100010849</v>
      </c>
      <c r="L80" s="9" t="n">
        <v>45986</v>
      </c>
      <c r="M80" s="10" t="n">
        <v>47811</v>
      </c>
    </row>
    <row r="81" customFormat="false" ht="30" hidden="true" customHeight="true" outlineLevel="0" collapsed="false">
      <c r="A81" s="4" t="s">
        <v>13</v>
      </c>
      <c r="B81" s="4" t="s">
        <v>14</v>
      </c>
      <c r="C81" s="5" t="n">
        <v>1329001634</v>
      </c>
      <c r="D81" s="6" t="s">
        <v>97</v>
      </c>
      <c r="E81" s="6"/>
      <c r="F81" s="7" t="n">
        <v>46048.3118796759</v>
      </c>
      <c r="G81" s="7" t="n">
        <v>46049.3744534838</v>
      </c>
      <c r="H81" s="8" t="n">
        <v>4</v>
      </c>
      <c r="I81" s="5" t="n">
        <v>400514</v>
      </c>
      <c r="J81" s="6" t="s">
        <v>16</v>
      </c>
      <c r="K81" s="5" t="n">
        <v>100010778</v>
      </c>
      <c r="L81" s="9" t="n">
        <v>45981</v>
      </c>
      <c r="M81" s="10" t="n">
        <v>47806</v>
      </c>
    </row>
    <row r="82" customFormat="false" ht="30" hidden="true" customHeight="true" outlineLevel="0" collapsed="false">
      <c r="A82" s="4" t="s">
        <v>13</v>
      </c>
      <c r="B82" s="4" t="s">
        <v>14</v>
      </c>
      <c r="C82" s="5" t="n">
        <v>1329001634</v>
      </c>
      <c r="D82" s="6" t="s">
        <v>98</v>
      </c>
      <c r="E82" s="6"/>
      <c r="F82" s="7" t="n">
        <v>46048.3118796759</v>
      </c>
      <c r="G82" s="7" t="n">
        <v>46049.3742020139</v>
      </c>
      <c r="H82" s="8" t="n">
        <v>4</v>
      </c>
      <c r="I82" s="5" t="n">
        <v>400514</v>
      </c>
      <c r="J82" s="6" t="s">
        <v>16</v>
      </c>
      <c r="K82" s="5" t="n">
        <v>100010755</v>
      </c>
      <c r="L82" s="9" t="n">
        <v>45978</v>
      </c>
      <c r="M82" s="10" t="n">
        <v>47803</v>
      </c>
    </row>
    <row r="83" customFormat="false" ht="30" hidden="true" customHeight="true" outlineLevel="0" collapsed="false">
      <c r="A83" s="4" t="s">
        <v>13</v>
      </c>
      <c r="B83" s="4" t="s">
        <v>14</v>
      </c>
      <c r="C83" s="5" t="n">
        <v>1329001634</v>
      </c>
      <c r="D83" s="6" t="s">
        <v>99</v>
      </c>
      <c r="E83" s="6"/>
      <c r="F83" s="7" t="n">
        <v>46048.3118796759</v>
      </c>
      <c r="G83" s="7" t="n">
        <v>46049.3740096644</v>
      </c>
      <c r="H83" s="8" t="n">
        <v>4</v>
      </c>
      <c r="I83" s="5" t="n">
        <v>400514</v>
      </c>
      <c r="J83" s="6" t="s">
        <v>16</v>
      </c>
      <c r="K83" s="5" t="n">
        <v>100010849</v>
      </c>
      <c r="L83" s="9" t="n">
        <v>45986</v>
      </c>
      <c r="M83" s="10" t="n">
        <v>47811</v>
      </c>
    </row>
    <row r="84" customFormat="false" ht="30" hidden="true" customHeight="true" outlineLevel="0" collapsed="false">
      <c r="A84" s="4" t="s">
        <v>13</v>
      </c>
      <c r="B84" s="4" t="s">
        <v>14</v>
      </c>
      <c r="C84" s="5" t="n">
        <v>1329001634</v>
      </c>
      <c r="D84" s="6" t="s">
        <v>100</v>
      </c>
      <c r="E84" s="6"/>
      <c r="F84" s="7" t="n">
        <v>46048.3118796759</v>
      </c>
      <c r="G84" s="7" t="n">
        <v>46049.3738179514</v>
      </c>
      <c r="H84" s="8" t="n">
        <v>4</v>
      </c>
      <c r="I84" s="5" t="n">
        <v>400514</v>
      </c>
      <c r="J84" s="6" t="s">
        <v>16</v>
      </c>
      <c r="K84" s="5" t="n">
        <v>100010755</v>
      </c>
      <c r="L84" s="9" t="n">
        <v>45978</v>
      </c>
      <c r="M84" s="10" t="n">
        <v>47803</v>
      </c>
    </row>
    <row r="85" customFormat="false" ht="30" hidden="true" customHeight="true" outlineLevel="0" collapsed="false">
      <c r="A85" s="4" t="s">
        <v>13</v>
      </c>
      <c r="B85" s="4" t="s">
        <v>14</v>
      </c>
      <c r="C85" s="5" t="n">
        <v>1329001634</v>
      </c>
      <c r="D85" s="6" t="s">
        <v>101</v>
      </c>
      <c r="E85" s="6"/>
      <c r="F85" s="7" t="n">
        <v>46048.3118796759</v>
      </c>
      <c r="G85" s="7" t="n">
        <v>46049.3736533912</v>
      </c>
      <c r="H85" s="8" t="n">
        <v>4</v>
      </c>
      <c r="I85" s="5" t="n">
        <v>400514</v>
      </c>
      <c r="J85" s="6" t="s">
        <v>16</v>
      </c>
      <c r="K85" s="5" t="n">
        <v>100010849</v>
      </c>
      <c r="L85" s="9" t="n">
        <v>45986</v>
      </c>
      <c r="M85" s="10" t="n">
        <v>47811</v>
      </c>
    </row>
    <row r="86" customFormat="false" ht="30" hidden="true" customHeight="true" outlineLevel="0" collapsed="false">
      <c r="A86" s="4" t="s">
        <v>13</v>
      </c>
      <c r="B86" s="4" t="s">
        <v>14</v>
      </c>
      <c r="C86" s="5" t="n">
        <v>1329001634</v>
      </c>
      <c r="D86" s="6" t="s">
        <v>102</v>
      </c>
      <c r="E86" s="6"/>
      <c r="F86" s="7" t="n">
        <v>46048.3118796759</v>
      </c>
      <c r="G86" s="7" t="n">
        <v>46049.3734629282</v>
      </c>
      <c r="H86" s="8" t="n">
        <v>4</v>
      </c>
      <c r="I86" s="5" t="n">
        <v>400514</v>
      </c>
      <c r="J86" s="6" t="s">
        <v>16</v>
      </c>
      <c r="K86" s="5" t="n">
        <v>100010755</v>
      </c>
      <c r="L86" s="9" t="n">
        <v>45978</v>
      </c>
      <c r="M86" s="10" t="n">
        <v>47803</v>
      </c>
    </row>
    <row r="87" customFormat="false" ht="30" hidden="true" customHeight="true" outlineLevel="0" collapsed="false">
      <c r="A87" s="4" t="s">
        <v>13</v>
      </c>
      <c r="B87" s="4" t="s">
        <v>14</v>
      </c>
      <c r="C87" s="5" t="n">
        <v>1329001634</v>
      </c>
      <c r="D87" s="6" t="s">
        <v>103</v>
      </c>
      <c r="E87" s="6"/>
      <c r="F87" s="7" t="n">
        <v>46048.3118796759</v>
      </c>
      <c r="G87" s="7" t="n">
        <v>46049.3732912269</v>
      </c>
      <c r="H87" s="8" t="n">
        <v>4</v>
      </c>
      <c r="I87" s="5" t="n">
        <v>400514</v>
      </c>
      <c r="J87" s="6" t="s">
        <v>16</v>
      </c>
      <c r="K87" s="5" t="n">
        <v>100010849</v>
      </c>
      <c r="L87" s="9" t="n">
        <v>45986</v>
      </c>
      <c r="M87" s="10" t="n">
        <v>47811</v>
      </c>
    </row>
    <row r="88" customFormat="false" ht="30" hidden="true" customHeight="true" outlineLevel="0" collapsed="false">
      <c r="A88" s="4" t="s">
        <v>13</v>
      </c>
      <c r="B88" s="4" t="s">
        <v>14</v>
      </c>
      <c r="C88" s="5" t="n">
        <v>1329001634</v>
      </c>
      <c r="D88" s="6" t="s">
        <v>104</v>
      </c>
      <c r="E88" s="6"/>
      <c r="F88" s="7" t="n">
        <v>46048.3118796759</v>
      </c>
      <c r="G88" s="7" t="n">
        <v>46049.3730963542</v>
      </c>
      <c r="H88" s="8" t="n">
        <v>4</v>
      </c>
      <c r="I88" s="5" t="n">
        <v>400514</v>
      </c>
      <c r="J88" s="6" t="s">
        <v>16</v>
      </c>
      <c r="K88" s="5" t="n">
        <v>100010849</v>
      </c>
      <c r="L88" s="9" t="n">
        <v>45986</v>
      </c>
      <c r="M88" s="10" t="n">
        <v>47811</v>
      </c>
    </row>
    <row r="89" customFormat="false" ht="30" hidden="true" customHeight="true" outlineLevel="0" collapsed="false">
      <c r="A89" s="4" t="s">
        <v>13</v>
      </c>
      <c r="B89" s="4" t="s">
        <v>14</v>
      </c>
      <c r="C89" s="5" t="n">
        <v>1329001634</v>
      </c>
      <c r="D89" s="6" t="s">
        <v>105</v>
      </c>
      <c r="E89" s="6"/>
      <c r="F89" s="7" t="n">
        <v>46048.3118796759</v>
      </c>
      <c r="G89" s="7" t="n">
        <v>46049.3726721065</v>
      </c>
      <c r="H89" s="8" t="n">
        <v>4</v>
      </c>
      <c r="I89" s="5" t="n">
        <v>400514</v>
      </c>
      <c r="J89" s="6" t="s">
        <v>16</v>
      </c>
      <c r="K89" s="5" t="n">
        <v>100010849</v>
      </c>
      <c r="L89" s="9" t="n">
        <v>45986</v>
      </c>
      <c r="M89" s="10" t="n">
        <v>47811</v>
      </c>
    </row>
    <row r="90" customFormat="false" ht="30" hidden="true" customHeight="true" outlineLevel="0" collapsed="false">
      <c r="A90" s="4" t="s">
        <v>13</v>
      </c>
      <c r="B90" s="4" t="s">
        <v>14</v>
      </c>
      <c r="C90" s="5" t="n">
        <v>1329001634</v>
      </c>
      <c r="D90" s="6" t="s">
        <v>106</v>
      </c>
      <c r="E90" s="6"/>
      <c r="F90" s="7" t="n">
        <v>46048.3118796759</v>
      </c>
      <c r="G90" s="7" t="n">
        <v>46049.3720364236</v>
      </c>
      <c r="H90" s="8" t="n">
        <v>4</v>
      </c>
      <c r="I90" s="5" t="n">
        <v>400514</v>
      </c>
      <c r="J90" s="6" t="s">
        <v>16</v>
      </c>
      <c r="K90" s="5" t="n">
        <v>100010849</v>
      </c>
      <c r="L90" s="9" t="n">
        <v>45986</v>
      </c>
      <c r="M90" s="10" t="n">
        <v>47811</v>
      </c>
    </row>
    <row r="91" customFormat="false" ht="30" hidden="true" customHeight="true" outlineLevel="0" collapsed="false">
      <c r="A91" s="4" t="s">
        <v>13</v>
      </c>
      <c r="B91" s="4" t="s">
        <v>14</v>
      </c>
      <c r="C91" s="5" t="n">
        <v>1329001634</v>
      </c>
      <c r="D91" s="6" t="s">
        <v>107</v>
      </c>
      <c r="E91" s="6"/>
      <c r="F91" s="7" t="n">
        <v>46048.3118796759</v>
      </c>
      <c r="G91" s="7" t="n">
        <v>46049.3718296875</v>
      </c>
      <c r="H91" s="8" t="n">
        <v>4</v>
      </c>
      <c r="I91" s="5" t="n">
        <v>400514</v>
      </c>
      <c r="J91" s="6" t="s">
        <v>16</v>
      </c>
      <c r="K91" s="5" t="n">
        <v>100010849</v>
      </c>
      <c r="L91" s="9" t="n">
        <v>45986</v>
      </c>
      <c r="M91" s="10" t="n">
        <v>47811</v>
      </c>
    </row>
    <row r="92" customFormat="false" ht="30" hidden="true" customHeight="true" outlineLevel="0" collapsed="false">
      <c r="A92" s="4" t="s">
        <v>13</v>
      </c>
      <c r="B92" s="4" t="s">
        <v>14</v>
      </c>
      <c r="C92" s="5" t="n">
        <v>1329001634</v>
      </c>
      <c r="D92" s="6" t="s">
        <v>108</v>
      </c>
      <c r="E92" s="6"/>
      <c r="F92" s="7" t="n">
        <v>46048.3118796759</v>
      </c>
      <c r="G92" s="7" t="n">
        <v>46049.3714338426</v>
      </c>
      <c r="H92" s="8" t="n">
        <v>4</v>
      </c>
      <c r="I92" s="5" t="n">
        <v>400514</v>
      </c>
      <c r="J92" s="6" t="s">
        <v>16</v>
      </c>
      <c r="K92" s="5" t="n">
        <v>100010778</v>
      </c>
      <c r="L92" s="9" t="n">
        <v>45981</v>
      </c>
      <c r="M92" s="10" t="n">
        <v>47806</v>
      </c>
    </row>
    <row r="93" customFormat="false" ht="30" hidden="true" customHeight="true" outlineLevel="0" collapsed="false">
      <c r="A93" s="4" t="s">
        <v>109</v>
      </c>
      <c r="B93" s="4" t="s">
        <v>14</v>
      </c>
      <c r="C93" s="5" t="n">
        <v>1329001631</v>
      </c>
      <c r="D93" s="6" t="s">
        <v>110</v>
      </c>
      <c r="E93" s="6"/>
      <c r="F93" s="7" t="n">
        <v>46049.5978947454</v>
      </c>
      <c r="G93" s="7" t="n">
        <v>46049.627605463</v>
      </c>
      <c r="H93" s="8" t="n">
        <v>4</v>
      </c>
      <c r="I93" s="5" t="n">
        <v>400514</v>
      </c>
      <c r="J93" s="6" t="s">
        <v>16</v>
      </c>
      <c r="K93" s="5" t="n">
        <v>100010755</v>
      </c>
      <c r="L93" s="9" t="n">
        <v>45978</v>
      </c>
      <c r="M93" s="10" t="n">
        <v>47803</v>
      </c>
    </row>
    <row r="94" customFormat="false" ht="30" hidden="true" customHeight="true" outlineLevel="0" collapsed="false">
      <c r="A94" s="4" t="s">
        <v>109</v>
      </c>
      <c r="B94" s="4" t="s">
        <v>14</v>
      </c>
      <c r="C94" s="5" t="n">
        <v>1329001631</v>
      </c>
      <c r="D94" s="6" t="s">
        <v>111</v>
      </c>
      <c r="E94" s="6"/>
      <c r="F94" s="7" t="n">
        <v>46049.5978947454</v>
      </c>
      <c r="G94" s="7" t="n">
        <v>46049.6434950579</v>
      </c>
      <c r="H94" s="8" t="n">
        <v>4</v>
      </c>
      <c r="I94" s="5" t="n">
        <v>400441</v>
      </c>
      <c r="J94" s="6" t="s">
        <v>80</v>
      </c>
      <c r="K94" s="5" t="n">
        <v>100011145</v>
      </c>
      <c r="L94" s="9" t="n">
        <v>46013</v>
      </c>
      <c r="M94" s="10" t="n">
        <v>47838</v>
      </c>
    </row>
    <row r="95" customFormat="false" ht="30" hidden="true" customHeight="true" outlineLevel="0" collapsed="false">
      <c r="A95" s="4" t="s">
        <v>109</v>
      </c>
      <c r="B95" s="4" t="s">
        <v>14</v>
      </c>
      <c r="C95" s="5" t="n">
        <v>1329001631</v>
      </c>
      <c r="D95" s="6" t="s">
        <v>112</v>
      </c>
      <c r="E95" s="6"/>
      <c r="F95" s="7" t="n">
        <v>46049.5978947454</v>
      </c>
      <c r="G95" s="7" t="n">
        <v>46049.6108166319</v>
      </c>
      <c r="H95" s="8" t="n">
        <v>4</v>
      </c>
      <c r="I95" s="5" t="n">
        <v>400514</v>
      </c>
      <c r="J95" s="6" t="s">
        <v>16</v>
      </c>
      <c r="K95" s="5" t="n">
        <v>100010755</v>
      </c>
      <c r="L95" s="9" t="n">
        <v>45978</v>
      </c>
      <c r="M95" s="10" t="n">
        <v>47803</v>
      </c>
    </row>
    <row r="96" customFormat="false" ht="30" hidden="true" customHeight="true" outlineLevel="0" collapsed="false">
      <c r="A96" s="4" t="s">
        <v>109</v>
      </c>
      <c r="B96" s="4" t="s">
        <v>14</v>
      </c>
      <c r="C96" s="5" t="n">
        <v>1329001631</v>
      </c>
      <c r="D96" s="6" t="s">
        <v>113</v>
      </c>
      <c r="E96" s="6"/>
      <c r="F96" s="7" t="n">
        <v>46049.5978947454</v>
      </c>
      <c r="G96" s="7" t="n">
        <v>46049.680227338</v>
      </c>
      <c r="H96" s="8" t="n">
        <v>4</v>
      </c>
      <c r="I96" s="5" t="n">
        <v>400441</v>
      </c>
      <c r="J96" s="6" t="s">
        <v>80</v>
      </c>
      <c r="K96" s="5" t="n">
        <v>100011145</v>
      </c>
      <c r="L96" s="9" t="n">
        <v>46013</v>
      </c>
      <c r="M96" s="10" t="n">
        <v>47838</v>
      </c>
    </row>
    <row r="97" customFormat="false" ht="30" hidden="true" customHeight="true" outlineLevel="0" collapsed="false">
      <c r="A97" s="4" t="s">
        <v>109</v>
      </c>
      <c r="B97" s="4" t="s">
        <v>14</v>
      </c>
      <c r="C97" s="5" t="n">
        <v>1329001631</v>
      </c>
      <c r="D97" s="6" t="s">
        <v>114</v>
      </c>
      <c r="E97" s="6"/>
      <c r="F97" s="7" t="n">
        <v>46049.5978947454</v>
      </c>
      <c r="G97" s="7" t="n">
        <v>46049.6798603588</v>
      </c>
      <c r="H97" s="8" t="n">
        <v>4</v>
      </c>
      <c r="I97" s="5" t="n">
        <v>400441</v>
      </c>
      <c r="J97" s="6" t="s">
        <v>80</v>
      </c>
      <c r="K97" s="5" t="n">
        <v>100011145</v>
      </c>
      <c r="L97" s="9" t="n">
        <v>46013</v>
      </c>
      <c r="M97" s="10" t="n">
        <v>47838</v>
      </c>
    </row>
    <row r="98" customFormat="false" ht="30" hidden="true" customHeight="true" outlineLevel="0" collapsed="false">
      <c r="A98" s="4" t="s">
        <v>109</v>
      </c>
      <c r="B98" s="4" t="s">
        <v>14</v>
      </c>
      <c r="C98" s="5" t="n">
        <v>1329001631</v>
      </c>
      <c r="D98" s="6" t="s">
        <v>115</v>
      </c>
      <c r="E98" s="6"/>
      <c r="F98" s="7" t="n">
        <v>46049.5978947454</v>
      </c>
      <c r="G98" s="7" t="n">
        <v>46049.6787805324</v>
      </c>
      <c r="H98" s="8" t="n">
        <v>4</v>
      </c>
      <c r="I98" s="5" t="n">
        <v>400441</v>
      </c>
      <c r="J98" s="6" t="s">
        <v>80</v>
      </c>
      <c r="K98" s="5" t="n">
        <v>100011145</v>
      </c>
      <c r="L98" s="9" t="n">
        <v>46013</v>
      </c>
      <c r="M98" s="10" t="n">
        <v>47838</v>
      </c>
    </row>
    <row r="99" customFormat="false" ht="30" hidden="true" customHeight="true" outlineLevel="0" collapsed="false">
      <c r="A99" s="4" t="s">
        <v>109</v>
      </c>
      <c r="B99" s="4" t="s">
        <v>14</v>
      </c>
      <c r="C99" s="5" t="n">
        <v>1329001631</v>
      </c>
      <c r="D99" s="6" t="s">
        <v>116</v>
      </c>
      <c r="E99" s="6"/>
      <c r="F99" s="7" t="n">
        <v>46049.5978947454</v>
      </c>
      <c r="G99" s="7" t="n">
        <v>46049.6777992245</v>
      </c>
      <c r="H99" s="8" t="n">
        <v>4</v>
      </c>
      <c r="I99" s="5" t="n">
        <v>400441</v>
      </c>
      <c r="J99" s="6" t="s">
        <v>80</v>
      </c>
      <c r="K99" s="5" t="n">
        <v>100011145</v>
      </c>
      <c r="L99" s="9" t="n">
        <v>46013</v>
      </c>
      <c r="M99" s="10" t="n">
        <v>47838</v>
      </c>
    </row>
    <row r="100" customFormat="false" ht="30" hidden="true" customHeight="true" outlineLevel="0" collapsed="false">
      <c r="A100" s="4" t="s">
        <v>109</v>
      </c>
      <c r="B100" s="4" t="s">
        <v>14</v>
      </c>
      <c r="C100" s="5" t="n">
        <v>1329001631</v>
      </c>
      <c r="D100" s="6" t="s">
        <v>117</v>
      </c>
      <c r="E100" s="6"/>
      <c r="F100" s="7" t="n">
        <v>46049.5978947454</v>
      </c>
      <c r="G100" s="7" t="n">
        <v>46049.6771477083</v>
      </c>
      <c r="H100" s="8" t="n">
        <v>4</v>
      </c>
      <c r="I100" s="5" t="n">
        <v>400441</v>
      </c>
      <c r="J100" s="6" t="s">
        <v>80</v>
      </c>
      <c r="K100" s="5" t="n">
        <v>100011145</v>
      </c>
      <c r="L100" s="9" t="n">
        <v>46013</v>
      </c>
      <c r="M100" s="10" t="n">
        <v>47838</v>
      </c>
    </row>
    <row r="101" customFormat="false" ht="30" hidden="true" customHeight="true" outlineLevel="0" collapsed="false">
      <c r="A101" s="4" t="s">
        <v>109</v>
      </c>
      <c r="B101" s="4" t="s">
        <v>14</v>
      </c>
      <c r="C101" s="5" t="n">
        <v>1329001631</v>
      </c>
      <c r="D101" s="6" t="s">
        <v>118</v>
      </c>
      <c r="E101" s="6"/>
      <c r="F101" s="7" t="n">
        <v>46049.5978947454</v>
      </c>
      <c r="G101" s="7" t="n">
        <v>46049.676516875</v>
      </c>
      <c r="H101" s="8" t="n">
        <v>4</v>
      </c>
      <c r="I101" s="5" t="n">
        <v>400441</v>
      </c>
      <c r="J101" s="6" t="s">
        <v>80</v>
      </c>
      <c r="K101" s="5" t="n">
        <v>100011145</v>
      </c>
      <c r="L101" s="9" t="n">
        <v>46013</v>
      </c>
      <c r="M101" s="10" t="n">
        <v>47838</v>
      </c>
    </row>
    <row r="102" customFormat="false" ht="30" hidden="true" customHeight="true" outlineLevel="0" collapsed="false">
      <c r="A102" s="4" t="s">
        <v>109</v>
      </c>
      <c r="B102" s="4" t="s">
        <v>14</v>
      </c>
      <c r="C102" s="5" t="n">
        <v>1329001631</v>
      </c>
      <c r="D102" s="6" t="s">
        <v>119</v>
      </c>
      <c r="E102" s="6"/>
      <c r="F102" s="7" t="n">
        <v>46049.5978947454</v>
      </c>
      <c r="G102" s="7" t="n">
        <v>46049.675816331</v>
      </c>
      <c r="H102" s="8" t="n">
        <v>4</v>
      </c>
      <c r="I102" s="5" t="n">
        <v>400441</v>
      </c>
      <c r="J102" s="6" t="s">
        <v>80</v>
      </c>
      <c r="K102" s="5" t="n">
        <v>100011145</v>
      </c>
      <c r="L102" s="9" t="n">
        <v>46013</v>
      </c>
      <c r="M102" s="10" t="n">
        <v>47838</v>
      </c>
    </row>
    <row r="103" customFormat="false" ht="30" hidden="true" customHeight="true" outlineLevel="0" collapsed="false">
      <c r="A103" s="4" t="s">
        <v>109</v>
      </c>
      <c r="B103" s="4" t="s">
        <v>14</v>
      </c>
      <c r="C103" s="5" t="n">
        <v>1329001631</v>
      </c>
      <c r="D103" s="6" t="s">
        <v>120</v>
      </c>
      <c r="E103" s="6"/>
      <c r="F103" s="7" t="n">
        <v>46049.5978947454</v>
      </c>
      <c r="G103" s="7" t="n">
        <v>46049.6743688194</v>
      </c>
      <c r="H103" s="8" t="n">
        <v>4</v>
      </c>
      <c r="I103" s="5" t="n">
        <v>400441</v>
      </c>
      <c r="J103" s="6" t="s">
        <v>80</v>
      </c>
      <c r="K103" s="5" t="n">
        <v>100011145</v>
      </c>
      <c r="L103" s="9" t="n">
        <v>46013</v>
      </c>
      <c r="M103" s="10" t="n">
        <v>47838</v>
      </c>
    </row>
    <row r="104" customFormat="false" ht="30" hidden="true" customHeight="true" outlineLevel="0" collapsed="false">
      <c r="A104" s="4" t="s">
        <v>109</v>
      </c>
      <c r="B104" s="4" t="s">
        <v>14</v>
      </c>
      <c r="C104" s="5" t="n">
        <v>1329001631</v>
      </c>
      <c r="D104" s="6" t="s">
        <v>121</v>
      </c>
      <c r="E104" s="6"/>
      <c r="F104" s="7" t="n">
        <v>46049.5978947454</v>
      </c>
      <c r="G104" s="7" t="n">
        <v>46049.6737310301</v>
      </c>
      <c r="H104" s="8" t="n">
        <v>4</v>
      </c>
      <c r="I104" s="5" t="n">
        <v>400441</v>
      </c>
      <c r="J104" s="6" t="s">
        <v>80</v>
      </c>
      <c r="K104" s="5" t="n">
        <v>100011145</v>
      </c>
      <c r="L104" s="9" t="n">
        <v>46013</v>
      </c>
      <c r="M104" s="10" t="n">
        <v>47838</v>
      </c>
    </row>
    <row r="105" customFormat="false" ht="30" hidden="true" customHeight="true" outlineLevel="0" collapsed="false">
      <c r="A105" s="4" t="s">
        <v>109</v>
      </c>
      <c r="B105" s="4" t="s">
        <v>14</v>
      </c>
      <c r="C105" s="5" t="n">
        <v>1329001631</v>
      </c>
      <c r="D105" s="6" t="s">
        <v>122</v>
      </c>
      <c r="E105" s="6"/>
      <c r="F105" s="7" t="n">
        <v>46049.5978947454</v>
      </c>
      <c r="G105" s="7" t="n">
        <v>46049.6730557523</v>
      </c>
      <c r="H105" s="8" t="n">
        <v>4</v>
      </c>
      <c r="I105" s="5" t="n">
        <v>400441</v>
      </c>
      <c r="J105" s="6" t="s">
        <v>80</v>
      </c>
      <c r="K105" s="5" t="n">
        <v>100011145</v>
      </c>
      <c r="L105" s="9" t="n">
        <v>46013</v>
      </c>
      <c r="M105" s="10" t="n">
        <v>47838</v>
      </c>
    </row>
    <row r="106" customFormat="false" ht="30" hidden="true" customHeight="true" outlineLevel="0" collapsed="false">
      <c r="A106" s="4" t="s">
        <v>109</v>
      </c>
      <c r="B106" s="4" t="s">
        <v>14</v>
      </c>
      <c r="C106" s="5" t="n">
        <v>1329001631</v>
      </c>
      <c r="D106" s="6" t="s">
        <v>123</v>
      </c>
      <c r="E106" s="6"/>
      <c r="F106" s="7" t="n">
        <v>46049.5978947454</v>
      </c>
      <c r="G106" s="7" t="n">
        <v>46049.6724194792</v>
      </c>
      <c r="H106" s="8" t="n">
        <v>4</v>
      </c>
      <c r="I106" s="5" t="n">
        <v>400441</v>
      </c>
      <c r="J106" s="6" t="s">
        <v>80</v>
      </c>
      <c r="K106" s="5" t="n">
        <v>100011145</v>
      </c>
      <c r="L106" s="9" t="n">
        <v>46013</v>
      </c>
      <c r="M106" s="10" t="n">
        <v>47838</v>
      </c>
    </row>
    <row r="107" customFormat="false" ht="30" hidden="true" customHeight="true" outlineLevel="0" collapsed="false">
      <c r="A107" s="4" t="s">
        <v>109</v>
      </c>
      <c r="B107" s="4" t="s">
        <v>14</v>
      </c>
      <c r="C107" s="5" t="n">
        <v>1329001631</v>
      </c>
      <c r="D107" s="6" t="s">
        <v>124</v>
      </c>
      <c r="E107" s="6"/>
      <c r="F107" s="7" t="n">
        <v>46049.5978947454</v>
      </c>
      <c r="G107" s="7" t="n">
        <v>46049.6715597454</v>
      </c>
      <c r="H107" s="8" t="n">
        <v>4</v>
      </c>
      <c r="I107" s="5" t="n">
        <v>400441</v>
      </c>
      <c r="J107" s="6" t="s">
        <v>80</v>
      </c>
      <c r="K107" s="5" t="n">
        <v>100011145</v>
      </c>
      <c r="L107" s="9" t="n">
        <v>46013</v>
      </c>
      <c r="M107" s="10" t="n">
        <v>47838</v>
      </c>
    </row>
    <row r="108" customFormat="false" ht="30" hidden="true" customHeight="true" outlineLevel="0" collapsed="false">
      <c r="A108" s="4" t="s">
        <v>109</v>
      </c>
      <c r="B108" s="4" t="s">
        <v>14</v>
      </c>
      <c r="C108" s="5" t="n">
        <v>1329001631</v>
      </c>
      <c r="D108" s="6" t="s">
        <v>125</v>
      </c>
      <c r="E108" s="6"/>
      <c r="F108" s="7" t="n">
        <v>46049.5978947454</v>
      </c>
      <c r="G108" s="7" t="n">
        <v>46049.6708987963</v>
      </c>
      <c r="H108" s="8" t="n">
        <v>4</v>
      </c>
      <c r="I108" s="5" t="n">
        <v>400441</v>
      </c>
      <c r="J108" s="6" t="s">
        <v>80</v>
      </c>
      <c r="K108" s="5" t="n">
        <v>100011145</v>
      </c>
      <c r="L108" s="9" t="n">
        <v>46013</v>
      </c>
      <c r="M108" s="10" t="n">
        <v>47838</v>
      </c>
    </row>
    <row r="109" customFormat="false" ht="30" hidden="true" customHeight="true" outlineLevel="0" collapsed="false">
      <c r="A109" s="4" t="s">
        <v>109</v>
      </c>
      <c r="B109" s="4" t="s">
        <v>14</v>
      </c>
      <c r="C109" s="5" t="n">
        <v>1329001631</v>
      </c>
      <c r="D109" s="6" t="s">
        <v>126</v>
      </c>
      <c r="E109" s="6"/>
      <c r="F109" s="7" t="n">
        <v>46049.5978947454</v>
      </c>
      <c r="G109" s="7" t="n">
        <v>46049.6678931366</v>
      </c>
      <c r="H109" s="8" t="n">
        <v>4</v>
      </c>
      <c r="I109" s="5" t="n">
        <v>400514</v>
      </c>
      <c r="J109" s="6" t="s">
        <v>16</v>
      </c>
      <c r="K109" s="5" t="n">
        <v>100010544</v>
      </c>
      <c r="L109" s="9" t="n">
        <v>45978</v>
      </c>
      <c r="M109" s="10" t="n">
        <v>47803</v>
      </c>
    </row>
    <row r="110" customFormat="false" ht="30" hidden="true" customHeight="true" outlineLevel="0" collapsed="false">
      <c r="A110" s="4" t="s">
        <v>109</v>
      </c>
      <c r="B110" s="4" t="s">
        <v>14</v>
      </c>
      <c r="C110" s="5" t="n">
        <v>1329001631</v>
      </c>
      <c r="D110" s="6" t="s">
        <v>127</v>
      </c>
      <c r="E110" s="6"/>
      <c r="F110" s="7" t="n">
        <v>46049.5978947454</v>
      </c>
      <c r="G110" s="7" t="n">
        <v>46049.6670933449</v>
      </c>
      <c r="H110" s="8" t="n">
        <v>4</v>
      </c>
      <c r="I110" s="5" t="n">
        <v>400514</v>
      </c>
      <c r="J110" s="6" t="s">
        <v>16</v>
      </c>
      <c r="K110" s="5" t="n">
        <v>100010544</v>
      </c>
      <c r="L110" s="9" t="n">
        <v>45978</v>
      </c>
      <c r="M110" s="10" t="n">
        <v>47803</v>
      </c>
    </row>
    <row r="111" customFormat="false" ht="30" hidden="true" customHeight="true" outlineLevel="0" collapsed="false">
      <c r="A111" s="4" t="s">
        <v>109</v>
      </c>
      <c r="B111" s="4" t="s">
        <v>14</v>
      </c>
      <c r="C111" s="5" t="n">
        <v>1329001631</v>
      </c>
      <c r="D111" s="6" t="s">
        <v>128</v>
      </c>
      <c r="E111" s="6"/>
      <c r="F111" s="7" t="n">
        <v>46049.5978947454</v>
      </c>
      <c r="G111" s="7" t="n">
        <v>46049.6634947454</v>
      </c>
      <c r="H111" s="8" t="n">
        <v>4</v>
      </c>
      <c r="I111" s="5" t="n">
        <v>400514</v>
      </c>
      <c r="J111" s="6" t="s">
        <v>16</v>
      </c>
      <c r="K111" s="5" t="n">
        <v>100010544</v>
      </c>
      <c r="L111" s="9" t="n">
        <v>45978</v>
      </c>
      <c r="M111" s="10" t="n">
        <v>47803</v>
      </c>
    </row>
    <row r="112" customFormat="false" ht="30" hidden="true" customHeight="true" outlineLevel="0" collapsed="false">
      <c r="A112" s="4" t="s">
        <v>109</v>
      </c>
      <c r="B112" s="4" t="s">
        <v>14</v>
      </c>
      <c r="C112" s="5" t="n">
        <v>1329001631</v>
      </c>
      <c r="D112" s="6" t="s">
        <v>129</v>
      </c>
      <c r="E112" s="6"/>
      <c r="F112" s="7" t="n">
        <v>46049.5978947454</v>
      </c>
      <c r="G112" s="7" t="n">
        <v>46049.6480382639</v>
      </c>
      <c r="H112" s="8" t="n">
        <v>4</v>
      </c>
      <c r="I112" s="5" t="n">
        <v>400514</v>
      </c>
      <c r="J112" s="6" t="s">
        <v>16</v>
      </c>
      <c r="K112" s="5" t="n">
        <v>100010544</v>
      </c>
      <c r="L112" s="9" t="n">
        <v>45978</v>
      </c>
      <c r="M112" s="10" t="n">
        <v>47803</v>
      </c>
    </row>
    <row r="113" customFormat="false" ht="30" hidden="true" customHeight="true" outlineLevel="0" collapsed="false">
      <c r="A113" s="4" t="s">
        <v>109</v>
      </c>
      <c r="B113" s="4" t="s">
        <v>14</v>
      </c>
      <c r="C113" s="5" t="n">
        <v>1329001631</v>
      </c>
      <c r="D113" s="6" t="s">
        <v>130</v>
      </c>
      <c r="E113" s="6"/>
      <c r="F113" s="7" t="n">
        <v>46049.5978947454</v>
      </c>
      <c r="G113" s="7" t="n">
        <v>46049.6664200926</v>
      </c>
      <c r="H113" s="8" t="n">
        <v>4</v>
      </c>
      <c r="I113" s="5" t="n">
        <v>400514</v>
      </c>
      <c r="J113" s="6" t="s">
        <v>16</v>
      </c>
      <c r="K113" s="5" t="n">
        <v>100010544</v>
      </c>
      <c r="L113" s="9" t="n">
        <v>45978</v>
      </c>
      <c r="M113" s="10" t="n">
        <v>47803</v>
      </c>
    </row>
    <row r="114" customFormat="false" ht="30" hidden="true" customHeight="true" outlineLevel="0" collapsed="false">
      <c r="A114" s="4" t="s">
        <v>109</v>
      </c>
      <c r="B114" s="4" t="s">
        <v>14</v>
      </c>
      <c r="C114" s="5" t="n">
        <v>1329001631</v>
      </c>
      <c r="D114" s="6" t="s">
        <v>131</v>
      </c>
      <c r="E114" s="6"/>
      <c r="F114" s="7" t="n">
        <v>46049.5978947454</v>
      </c>
      <c r="G114" s="7" t="n">
        <v>46049.6472109491</v>
      </c>
      <c r="H114" s="8" t="n">
        <v>4</v>
      </c>
      <c r="I114" s="5" t="n">
        <v>400514</v>
      </c>
      <c r="J114" s="6" t="s">
        <v>16</v>
      </c>
      <c r="K114" s="5" t="n">
        <v>100010544</v>
      </c>
      <c r="L114" s="9" t="n">
        <v>45978</v>
      </c>
      <c r="M114" s="10" t="n">
        <v>47803</v>
      </c>
    </row>
    <row r="115" customFormat="false" ht="30" hidden="true" customHeight="true" outlineLevel="0" collapsed="false">
      <c r="A115" s="4" t="s">
        <v>109</v>
      </c>
      <c r="B115" s="4" t="s">
        <v>14</v>
      </c>
      <c r="C115" s="5" t="n">
        <v>1329001631</v>
      </c>
      <c r="D115" s="6" t="s">
        <v>132</v>
      </c>
      <c r="E115" s="6"/>
      <c r="F115" s="7" t="n">
        <v>46049.5978947454</v>
      </c>
      <c r="G115" s="7" t="n">
        <v>46049.6457138773</v>
      </c>
      <c r="H115" s="8" t="n">
        <v>4</v>
      </c>
      <c r="I115" s="5" t="n">
        <v>400514</v>
      </c>
      <c r="J115" s="6" t="s">
        <v>16</v>
      </c>
      <c r="K115" s="5" t="n">
        <v>100010544</v>
      </c>
      <c r="L115" s="9" t="n">
        <v>45978</v>
      </c>
      <c r="M115" s="10" t="n">
        <v>47803</v>
      </c>
    </row>
    <row r="116" customFormat="false" ht="30" hidden="true" customHeight="true" outlineLevel="0" collapsed="false">
      <c r="A116" s="4" t="s">
        <v>109</v>
      </c>
      <c r="B116" s="4" t="s">
        <v>14</v>
      </c>
      <c r="C116" s="5" t="n">
        <v>1329001631</v>
      </c>
      <c r="D116" s="6" t="s">
        <v>133</v>
      </c>
      <c r="E116" s="6"/>
      <c r="F116" s="7" t="n">
        <v>46049.5978947454</v>
      </c>
      <c r="G116" s="7" t="n">
        <v>46049.6699714005</v>
      </c>
      <c r="H116" s="8" t="n">
        <v>4</v>
      </c>
      <c r="I116" s="5" t="n">
        <v>400441</v>
      </c>
      <c r="J116" s="6" t="s">
        <v>80</v>
      </c>
      <c r="K116" s="5" t="n">
        <v>100011145</v>
      </c>
      <c r="L116" s="9" t="n">
        <v>46013</v>
      </c>
      <c r="M116" s="10" t="n">
        <v>47838</v>
      </c>
    </row>
    <row r="117" customFormat="false" ht="30" hidden="true" customHeight="true" outlineLevel="0" collapsed="false">
      <c r="A117" s="4" t="s">
        <v>109</v>
      </c>
      <c r="B117" s="4" t="s">
        <v>14</v>
      </c>
      <c r="C117" s="5" t="n">
        <v>1329001631</v>
      </c>
      <c r="D117" s="6" t="s">
        <v>134</v>
      </c>
      <c r="E117" s="6"/>
      <c r="F117" s="7" t="n">
        <v>46049.5978947454</v>
      </c>
      <c r="G117" s="7" t="n">
        <v>46049.644493912</v>
      </c>
      <c r="H117" s="8" t="n">
        <v>4</v>
      </c>
      <c r="I117" s="5" t="n">
        <v>400514</v>
      </c>
      <c r="J117" s="6" t="s">
        <v>16</v>
      </c>
      <c r="K117" s="5" t="n">
        <v>100010544</v>
      </c>
      <c r="L117" s="9" t="n">
        <v>45978</v>
      </c>
      <c r="M117" s="10" t="n">
        <v>47803</v>
      </c>
    </row>
    <row r="118" customFormat="false" ht="30" hidden="true" customHeight="true" outlineLevel="0" collapsed="false">
      <c r="A118" s="4" t="s">
        <v>109</v>
      </c>
      <c r="B118" s="4" t="s">
        <v>14</v>
      </c>
      <c r="C118" s="5" t="n">
        <v>1329001631</v>
      </c>
      <c r="D118" s="6" t="s">
        <v>135</v>
      </c>
      <c r="E118" s="6"/>
      <c r="F118" s="7" t="n">
        <v>46049.5978947454</v>
      </c>
      <c r="G118" s="7" t="n">
        <v>46049.6399553704</v>
      </c>
      <c r="H118" s="8" t="n">
        <v>4</v>
      </c>
      <c r="I118" s="5" t="n">
        <v>400514</v>
      </c>
      <c r="J118" s="6" t="s">
        <v>16</v>
      </c>
      <c r="K118" s="5" t="n">
        <v>100010544</v>
      </c>
      <c r="L118" s="9" t="n">
        <v>45978</v>
      </c>
      <c r="M118" s="10" t="n">
        <v>47803</v>
      </c>
    </row>
    <row r="119" customFormat="false" ht="30" hidden="true" customHeight="true" outlineLevel="0" collapsed="false">
      <c r="A119" s="4" t="s">
        <v>109</v>
      </c>
      <c r="B119" s="4" t="s">
        <v>14</v>
      </c>
      <c r="C119" s="5" t="n">
        <v>1329001631</v>
      </c>
      <c r="D119" s="6" t="s">
        <v>136</v>
      </c>
      <c r="E119" s="6"/>
      <c r="F119" s="7" t="n">
        <v>46049.5978947454</v>
      </c>
      <c r="G119" s="7" t="n">
        <v>46049.6326191204</v>
      </c>
      <c r="H119" s="8" t="n">
        <v>4</v>
      </c>
      <c r="I119" s="5" t="n">
        <v>400514</v>
      </c>
      <c r="J119" s="6" t="s">
        <v>16</v>
      </c>
      <c r="K119" s="5" t="n">
        <v>100010755</v>
      </c>
      <c r="L119" s="9" t="n">
        <v>45978</v>
      </c>
      <c r="M119" s="10" t="n">
        <v>47803</v>
      </c>
    </row>
    <row r="120" customFormat="false" ht="30" hidden="true" customHeight="true" outlineLevel="0" collapsed="false">
      <c r="A120" s="4" t="s">
        <v>109</v>
      </c>
      <c r="B120" s="4" t="s">
        <v>14</v>
      </c>
      <c r="C120" s="5" t="n">
        <v>1329001631</v>
      </c>
      <c r="D120" s="6" t="s">
        <v>137</v>
      </c>
      <c r="E120" s="6"/>
      <c r="F120" s="7" t="n">
        <v>46049.5978947454</v>
      </c>
      <c r="G120" s="7" t="n">
        <v>46049.6320953704</v>
      </c>
      <c r="H120" s="8" t="n">
        <v>4</v>
      </c>
      <c r="I120" s="5" t="n">
        <v>400514</v>
      </c>
      <c r="J120" s="6" t="s">
        <v>16</v>
      </c>
      <c r="K120" s="5" t="n">
        <v>100010755</v>
      </c>
      <c r="L120" s="9" t="n">
        <v>45978</v>
      </c>
      <c r="M120" s="10" t="n">
        <v>47803</v>
      </c>
    </row>
    <row r="121" customFormat="false" ht="30" hidden="true" customHeight="true" outlineLevel="0" collapsed="false">
      <c r="A121" s="4" t="s">
        <v>109</v>
      </c>
      <c r="B121" s="4" t="s">
        <v>14</v>
      </c>
      <c r="C121" s="5" t="n">
        <v>1329001631</v>
      </c>
      <c r="D121" s="6" t="s">
        <v>138</v>
      </c>
      <c r="E121" s="6"/>
      <c r="F121" s="7" t="n">
        <v>46049.5978947454</v>
      </c>
      <c r="G121" s="7" t="n">
        <v>46049.6310281366</v>
      </c>
      <c r="H121" s="8" t="n">
        <v>4</v>
      </c>
      <c r="I121" s="5" t="n">
        <v>400514</v>
      </c>
      <c r="J121" s="6" t="s">
        <v>16</v>
      </c>
      <c r="K121" s="5" t="n">
        <v>100010755</v>
      </c>
      <c r="L121" s="9" t="n">
        <v>45978</v>
      </c>
      <c r="M121" s="10" t="n">
        <v>47803</v>
      </c>
    </row>
    <row r="122" customFormat="false" ht="30" hidden="true" customHeight="true" outlineLevel="0" collapsed="false">
      <c r="A122" s="4" t="s">
        <v>109</v>
      </c>
      <c r="B122" s="4" t="s">
        <v>14</v>
      </c>
      <c r="C122" s="5" t="n">
        <v>1329001631</v>
      </c>
      <c r="D122" s="6" t="s">
        <v>139</v>
      </c>
      <c r="E122" s="6"/>
      <c r="F122" s="7" t="n">
        <v>46049.5978947454</v>
      </c>
      <c r="G122" s="7" t="n">
        <v>46049.6289737963</v>
      </c>
      <c r="H122" s="8" t="n">
        <v>4</v>
      </c>
      <c r="I122" s="5" t="n">
        <v>400514</v>
      </c>
      <c r="J122" s="6" t="s">
        <v>16</v>
      </c>
      <c r="K122" s="5" t="n">
        <v>100010755</v>
      </c>
      <c r="L122" s="9" t="n">
        <v>45978</v>
      </c>
      <c r="M122" s="10" t="n">
        <v>47803</v>
      </c>
    </row>
    <row r="123" customFormat="false" ht="30" hidden="true" customHeight="true" outlineLevel="0" collapsed="false">
      <c r="A123" s="4" t="s">
        <v>109</v>
      </c>
      <c r="B123" s="4" t="s">
        <v>14</v>
      </c>
      <c r="C123" s="5" t="n">
        <v>1329001630</v>
      </c>
      <c r="D123" s="6" t="s">
        <v>140</v>
      </c>
      <c r="E123" s="6"/>
      <c r="F123" s="7" t="n">
        <v>46050.1822506944</v>
      </c>
      <c r="G123" s="7" t="n">
        <v>46050.2008316551</v>
      </c>
      <c r="H123" s="8" t="n">
        <v>4</v>
      </c>
      <c r="I123" s="5" t="n">
        <v>400464</v>
      </c>
      <c r="J123" s="6" t="s">
        <v>50</v>
      </c>
      <c r="K123" s="5" t="n">
        <v>100011197</v>
      </c>
      <c r="L123" s="9" t="n">
        <v>46016</v>
      </c>
      <c r="M123" s="10" t="n">
        <v>47841</v>
      </c>
    </row>
    <row r="124" customFormat="false" ht="30" hidden="true" customHeight="true" outlineLevel="0" collapsed="false">
      <c r="A124" s="4" t="s">
        <v>109</v>
      </c>
      <c r="B124" s="4" t="s">
        <v>14</v>
      </c>
      <c r="C124" s="5" t="n">
        <v>1329001630</v>
      </c>
      <c r="D124" s="6" t="s">
        <v>141</v>
      </c>
      <c r="E124" s="6"/>
      <c r="F124" s="7" t="n">
        <v>46050.1822506944</v>
      </c>
      <c r="G124" s="7" t="n">
        <v>46050.1991746875</v>
      </c>
      <c r="H124" s="8" t="n">
        <v>4</v>
      </c>
      <c r="I124" s="5" t="n">
        <v>400464</v>
      </c>
      <c r="J124" s="6" t="s">
        <v>50</v>
      </c>
      <c r="K124" s="5" t="n">
        <v>100011197</v>
      </c>
      <c r="L124" s="9" t="n">
        <v>46016</v>
      </c>
      <c r="M124" s="10" t="n">
        <v>47841</v>
      </c>
    </row>
    <row r="125" customFormat="false" ht="30" hidden="true" customHeight="true" outlineLevel="0" collapsed="false">
      <c r="A125" s="4" t="s">
        <v>109</v>
      </c>
      <c r="B125" s="4" t="s">
        <v>14</v>
      </c>
      <c r="C125" s="5" t="n">
        <v>1329001630</v>
      </c>
      <c r="D125" s="6" t="s">
        <v>142</v>
      </c>
      <c r="E125" s="6"/>
      <c r="F125" s="7" t="n">
        <v>46050.1822506944</v>
      </c>
      <c r="G125" s="7" t="n">
        <v>46050.2096234375</v>
      </c>
      <c r="H125" s="8" t="n">
        <v>4</v>
      </c>
      <c r="I125" s="5" t="n">
        <v>400432</v>
      </c>
      <c r="J125" s="6" t="s">
        <v>47</v>
      </c>
      <c r="K125" s="5" t="n">
        <v>100009431</v>
      </c>
      <c r="L125" s="9" t="n">
        <v>45858</v>
      </c>
      <c r="M125" s="10" t="n">
        <v>47683</v>
      </c>
    </row>
    <row r="126" customFormat="false" ht="30" hidden="true" customHeight="true" outlineLevel="0" collapsed="false">
      <c r="A126" s="4" t="s">
        <v>109</v>
      </c>
      <c r="B126" s="4" t="s">
        <v>14</v>
      </c>
      <c r="C126" s="5" t="n">
        <v>1329001630</v>
      </c>
      <c r="D126" s="6" t="s">
        <v>143</v>
      </c>
      <c r="E126" s="6"/>
      <c r="F126" s="7" t="n">
        <v>46050.1822506944</v>
      </c>
      <c r="G126" s="7" t="n">
        <v>46050.2236375579</v>
      </c>
      <c r="H126" s="8" t="n">
        <v>4</v>
      </c>
      <c r="I126" s="5" t="n">
        <v>400432</v>
      </c>
      <c r="J126" s="6" t="s">
        <v>47</v>
      </c>
      <c r="K126" s="5" t="n">
        <v>100009591</v>
      </c>
      <c r="L126" s="9" t="n">
        <v>45873</v>
      </c>
      <c r="M126" s="10" t="n">
        <v>47698</v>
      </c>
    </row>
    <row r="127" customFormat="false" ht="30" hidden="true" customHeight="true" outlineLevel="0" collapsed="false">
      <c r="A127" s="4" t="s">
        <v>109</v>
      </c>
      <c r="B127" s="4" t="s">
        <v>14</v>
      </c>
      <c r="C127" s="5" t="n">
        <v>1329001630</v>
      </c>
      <c r="D127" s="6" t="s">
        <v>144</v>
      </c>
      <c r="E127" s="6"/>
      <c r="F127" s="7" t="n">
        <v>46050.1822506944</v>
      </c>
      <c r="G127" s="7" t="n">
        <v>46050.2229861574</v>
      </c>
      <c r="H127" s="8" t="n">
        <v>4</v>
      </c>
      <c r="I127" s="5" t="n">
        <v>400432</v>
      </c>
      <c r="J127" s="6" t="s">
        <v>47</v>
      </c>
      <c r="K127" s="5" t="n">
        <v>100009591</v>
      </c>
      <c r="L127" s="9" t="n">
        <v>45873</v>
      </c>
      <c r="M127" s="10" t="n">
        <v>47698</v>
      </c>
    </row>
    <row r="128" customFormat="false" ht="30" hidden="true" customHeight="true" outlineLevel="0" collapsed="false">
      <c r="A128" s="4" t="s">
        <v>109</v>
      </c>
      <c r="B128" s="4" t="s">
        <v>14</v>
      </c>
      <c r="C128" s="5" t="n">
        <v>1329001630</v>
      </c>
      <c r="D128" s="6" t="s">
        <v>145</v>
      </c>
      <c r="E128" s="6"/>
      <c r="F128" s="7" t="n">
        <v>46050.1822506944</v>
      </c>
      <c r="G128" s="7" t="n">
        <v>46050.2217949769</v>
      </c>
      <c r="H128" s="8" t="n">
        <v>4</v>
      </c>
      <c r="I128" s="5" t="n">
        <v>400432</v>
      </c>
      <c r="J128" s="6" t="s">
        <v>47</v>
      </c>
      <c r="K128" s="5" t="n">
        <v>100009431</v>
      </c>
      <c r="L128" s="9" t="n">
        <v>45858</v>
      </c>
      <c r="M128" s="10" t="n">
        <v>47683</v>
      </c>
    </row>
    <row r="129" customFormat="false" ht="30" hidden="true" customHeight="true" outlineLevel="0" collapsed="false">
      <c r="A129" s="4" t="s">
        <v>109</v>
      </c>
      <c r="B129" s="4" t="s">
        <v>14</v>
      </c>
      <c r="C129" s="5" t="n">
        <v>1329001630</v>
      </c>
      <c r="D129" s="6" t="s">
        <v>146</v>
      </c>
      <c r="E129" s="6"/>
      <c r="F129" s="7" t="n">
        <v>46050.1822506944</v>
      </c>
      <c r="G129" s="7" t="n">
        <v>46050.2209861458</v>
      </c>
      <c r="H129" s="8" t="n">
        <v>4</v>
      </c>
      <c r="I129" s="5" t="n">
        <v>400432</v>
      </c>
      <c r="J129" s="6" t="s">
        <v>47</v>
      </c>
      <c r="K129" s="5" t="n">
        <v>100009431</v>
      </c>
      <c r="L129" s="9" t="n">
        <v>45858</v>
      </c>
      <c r="M129" s="10" t="n">
        <v>47683</v>
      </c>
    </row>
    <row r="130" customFormat="false" ht="30" hidden="true" customHeight="true" outlineLevel="0" collapsed="false">
      <c r="A130" s="4" t="s">
        <v>109</v>
      </c>
      <c r="B130" s="4" t="s">
        <v>14</v>
      </c>
      <c r="C130" s="5" t="n">
        <v>1329001630</v>
      </c>
      <c r="D130" s="6" t="s">
        <v>147</v>
      </c>
      <c r="E130" s="6"/>
      <c r="F130" s="7" t="n">
        <v>46050.1822506944</v>
      </c>
      <c r="G130" s="7" t="n">
        <v>46050.2202108102</v>
      </c>
      <c r="H130" s="8" t="n">
        <v>4</v>
      </c>
      <c r="I130" s="5" t="n">
        <v>400432</v>
      </c>
      <c r="J130" s="6" t="s">
        <v>47</v>
      </c>
      <c r="K130" s="5" t="n">
        <v>100009431</v>
      </c>
      <c r="L130" s="9" t="n">
        <v>45858</v>
      </c>
      <c r="M130" s="10" t="n">
        <v>47683</v>
      </c>
    </row>
    <row r="131" customFormat="false" ht="30" hidden="true" customHeight="true" outlineLevel="0" collapsed="false">
      <c r="A131" s="4" t="s">
        <v>109</v>
      </c>
      <c r="B131" s="4" t="s">
        <v>14</v>
      </c>
      <c r="C131" s="5" t="n">
        <v>1329001630</v>
      </c>
      <c r="D131" s="6" t="s">
        <v>148</v>
      </c>
      <c r="E131" s="6"/>
      <c r="F131" s="7" t="n">
        <v>46050.1822506944</v>
      </c>
      <c r="G131" s="7" t="n">
        <v>46050.2194372801</v>
      </c>
      <c r="H131" s="8" t="n">
        <v>4</v>
      </c>
      <c r="I131" s="5" t="n">
        <v>400432</v>
      </c>
      <c r="J131" s="6" t="s">
        <v>47</v>
      </c>
      <c r="K131" s="5" t="n">
        <v>100009431</v>
      </c>
      <c r="L131" s="9" t="n">
        <v>45858</v>
      </c>
      <c r="M131" s="10" t="n">
        <v>47683</v>
      </c>
    </row>
    <row r="132" customFormat="false" ht="30" hidden="true" customHeight="true" outlineLevel="0" collapsed="false">
      <c r="A132" s="4" t="s">
        <v>109</v>
      </c>
      <c r="B132" s="4" t="s">
        <v>14</v>
      </c>
      <c r="C132" s="5" t="n">
        <v>1329001630</v>
      </c>
      <c r="D132" s="6" t="s">
        <v>149</v>
      </c>
      <c r="E132" s="6"/>
      <c r="F132" s="7" t="n">
        <v>46050.1822506944</v>
      </c>
      <c r="G132" s="7" t="n">
        <v>46050.2185158333</v>
      </c>
      <c r="H132" s="8" t="n">
        <v>4</v>
      </c>
      <c r="I132" s="5" t="n">
        <v>400432</v>
      </c>
      <c r="J132" s="6" t="s">
        <v>47</v>
      </c>
      <c r="K132" s="5" t="n">
        <v>100011186</v>
      </c>
      <c r="L132" s="9" t="n">
        <v>46015</v>
      </c>
      <c r="M132" s="10" t="n">
        <v>47840</v>
      </c>
    </row>
    <row r="133" customFormat="false" ht="30" hidden="true" customHeight="true" outlineLevel="0" collapsed="false">
      <c r="A133" s="4" t="s">
        <v>109</v>
      </c>
      <c r="B133" s="4" t="s">
        <v>14</v>
      </c>
      <c r="C133" s="5" t="n">
        <v>1329001630</v>
      </c>
      <c r="D133" s="6" t="s">
        <v>150</v>
      </c>
      <c r="E133" s="6"/>
      <c r="F133" s="7" t="n">
        <v>46050.1822506944</v>
      </c>
      <c r="G133" s="7" t="n">
        <v>46050.2176191667</v>
      </c>
      <c r="H133" s="8" t="n">
        <v>4</v>
      </c>
      <c r="I133" s="5" t="n">
        <v>400432</v>
      </c>
      <c r="J133" s="6" t="s">
        <v>47</v>
      </c>
      <c r="K133" s="5" t="n">
        <v>100011186</v>
      </c>
      <c r="L133" s="9" t="n">
        <v>46015</v>
      </c>
      <c r="M133" s="10" t="n">
        <v>47840</v>
      </c>
    </row>
    <row r="134" customFormat="false" ht="30" hidden="true" customHeight="true" outlineLevel="0" collapsed="false">
      <c r="A134" s="4" t="s">
        <v>109</v>
      </c>
      <c r="B134" s="4" t="s">
        <v>14</v>
      </c>
      <c r="C134" s="5" t="n">
        <v>1329001630</v>
      </c>
      <c r="D134" s="6" t="s">
        <v>151</v>
      </c>
      <c r="E134" s="6"/>
      <c r="F134" s="7" t="n">
        <v>46050.1822506944</v>
      </c>
      <c r="G134" s="7" t="n">
        <v>46050.2153715972</v>
      </c>
      <c r="H134" s="8" t="n">
        <v>4</v>
      </c>
      <c r="I134" s="5" t="n">
        <v>400432</v>
      </c>
      <c r="J134" s="6" t="s">
        <v>47</v>
      </c>
      <c r="K134" s="5" t="n">
        <v>100011186</v>
      </c>
      <c r="L134" s="9" t="n">
        <v>46015</v>
      </c>
      <c r="M134" s="10" t="n">
        <v>47840</v>
      </c>
    </row>
    <row r="135" customFormat="false" ht="30" hidden="true" customHeight="true" outlineLevel="0" collapsed="false">
      <c r="A135" s="4" t="s">
        <v>109</v>
      </c>
      <c r="B135" s="4" t="s">
        <v>14</v>
      </c>
      <c r="C135" s="5" t="n">
        <v>1329001630</v>
      </c>
      <c r="D135" s="6" t="s">
        <v>152</v>
      </c>
      <c r="E135" s="6"/>
      <c r="F135" s="7" t="n">
        <v>46050.1822506944</v>
      </c>
      <c r="G135" s="7" t="n">
        <v>46050.2130577431</v>
      </c>
      <c r="H135" s="8" t="n">
        <v>4</v>
      </c>
      <c r="I135" s="5" t="n">
        <v>400432</v>
      </c>
      <c r="J135" s="6" t="s">
        <v>47</v>
      </c>
      <c r="K135" s="5" t="n">
        <v>100009431</v>
      </c>
      <c r="L135" s="9" t="n">
        <v>45858</v>
      </c>
      <c r="M135" s="10" t="n">
        <v>47683</v>
      </c>
    </row>
    <row r="136" customFormat="false" ht="30" hidden="true" customHeight="true" outlineLevel="0" collapsed="false">
      <c r="A136" s="4" t="s">
        <v>109</v>
      </c>
      <c r="B136" s="4" t="s">
        <v>14</v>
      </c>
      <c r="C136" s="5" t="n">
        <v>1329001630</v>
      </c>
      <c r="D136" s="6" t="s">
        <v>153</v>
      </c>
      <c r="E136" s="6"/>
      <c r="F136" s="7" t="n">
        <v>46050.1822506944</v>
      </c>
      <c r="G136" s="7" t="n">
        <v>46050.2123051273</v>
      </c>
      <c r="H136" s="8" t="n">
        <v>4</v>
      </c>
      <c r="I136" s="5" t="n">
        <v>400432</v>
      </c>
      <c r="J136" s="6" t="s">
        <v>47</v>
      </c>
      <c r="K136" s="5" t="n">
        <v>100009431</v>
      </c>
      <c r="L136" s="9" t="n">
        <v>45858</v>
      </c>
      <c r="M136" s="10" t="n">
        <v>47683</v>
      </c>
    </row>
    <row r="137" customFormat="false" ht="30" hidden="true" customHeight="true" outlineLevel="0" collapsed="false">
      <c r="A137" s="4" t="s">
        <v>109</v>
      </c>
      <c r="B137" s="4" t="s">
        <v>14</v>
      </c>
      <c r="C137" s="5" t="n">
        <v>1329001630</v>
      </c>
      <c r="D137" s="6" t="s">
        <v>154</v>
      </c>
      <c r="E137" s="6"/>
      <c r="F137" s="7" t="n">
        <v>46050.1822506944</v>
      </c>
      <c r="G137" s="7" t="n">
        <v>46050.211518831</v>
      </c>
      <c r="H137" s="8" t="n">
        <v>4</v>
      </c>
      <c r="I137" s="5" t="n">
        <v>400432</v>
      </c>
      <c r="J137" s="6" t="s">
        <v>47</v>
      </c>
      <c r="K137" s="5" t="n">
        <v>100009431</v>
      </c>
      <c r="L137" s="9" t="n">
        <v>45858</v>
      </c>
      <c r="M137" s="10" t="n">
        <v>47683</v>
      </c>
    </row>
    <row r="138" customFormat="false" ht="30" hidden="true" customHeight="true" outlineLevel="0" collapsed="false">
      <c r="A138" s="4" t="s">
        <v>109</v>
      </c>
      <c r="B138" s="4" t="s">
        <v>14</v>
      </c>
      <c r="C138" s="5" t="n">
        <v>1329001630</v>
      </c>
      <c r="D138" s="6" t="s">
        <v>155</v>
      </c>
      <c r="E138" s="6"/>
      <c r="F138" s="7" t="n">
        <v>46050.1822506944</v>
      </c>
      <c r="G138" s="7" t="n">
        <v>46050.2109071875</v>
      </c>
      <c r="H138" s="8" t="n">
        <v>4</v>
      </c>
      <c r="I138" s="5" t="n">
        <v>400432</v>
      </c>
      <c r="J138" s="6" t="s">
        <v>47</v>
      </c>
      <c r="K138" s="5" t="n">
        <v>100009431</v>
      </c>
      <c r="L138" s="9" t="n">
        <v>45858</v>
      </c>
      <c r="M138" s="10" t="n">
        <v>47683</v>
      </c>
    </row>
    <row r="139" customFormat="false" ht="30" hidden="true" customHeight="true" outlineLevel="0" collapsed="false">
      <c r="A139" s="4" t="s">
        <v>109</v>
      </c>
      <c r="B139" s="4" t="s">
        <v>14</v>
      </c>
      <c r="C139" s="5" t="n">
        <v>1329001630</v>
      </c>
      <c r="D139" s="6" t="s">
        <v>156</v>
      </c>
      <c r="E139" s="6"/>
      <c r="F139" s="7" t="n">
        <v>46050.1822506944</v>
      </c>
      <c r="G139" s="7" t="n">
        <v>46050.2102243519</v>
      </c>
      <c r="H139" s="8" t="n">
        <v>4</v>
      </c>
      <c r="I139" s="5" t="n">
        <v>400432</v>
      </c>
      <c r="J139" s="6" t="s">
        <v>47</v>
      </c>
      <c r="K139" s="5" t="n">
        <v>100009431</v>
      </c>
      <c r="L139" s="9" t="n">
        <v>45858</v>
      </c>
      <c r="M139" s="10" t="n">
        <v>47683</v>
      </c>
    </row>
    <row r="140" customFormat="false" ht="30" hidden="true" customHeight="true" outlineLevel="0" collapsed="false">
      <c r="A140" s="4" t="s">
        <v>109</v>
      </c>
      <c r="B140" s="4" t="s">
        <v>14</v>
      </c>
      <c r="C140" s="5" t="n">
        <v>1329001630</v>
      </c>
      <c r="D140" s="6" t="s">
        <v>157</v>
      </c>
      <c r="E140" s="6"/>
      <c r="F140" s="7" t="n">
        <v>46050.1822506944</v>
      </c>
      <c r="G140" s="7" t="n">
        <v>46050.207985706</v>
      </c>
      <c r="H140" s="8" t="n">
        <v>4</v>
      </c>
      <c r="I140" s="5" t="n">
        <v>400464</v>
      </c>
      <c r="J140" s="6" t="s">
        <v>50</v>
      </c>
      <c r="K140" s="5" t="n">
        <v>100011197</v>
      </c>
      <c r="L140" s="9" t="n">
        <v>46016</v>
      </c>
      <c r="M140" s="10" t="n">
        <v>47841</v>
      </c>
    </row>
    <row r="141" customFormat="false" ht="30" hidden="true" customHeight="true" outlineLevel="0" collapsed="false">
      <c r="A141" s="4" t="s">
        <v>109</v>
      </c>
      <c r="B141" s="4" t="s">
        <v>14</v>
      </c>
      <c r="C141" s="5" t="n">
        <v>1329001630</v>
      </c>
      <c r="D141" s="6" t="s">
        <v>158</v>
      </c>
      <c r="E141" s="6"/>
      <c r="F141" s="7" t="n">
        <v>46050.1822506944</v>
      </c>
      <c r="G141" s="7" t="n">
        <v>46050.20743125</v>
      </c>
      <c r="H141" s="8" t="n">
        <v>4</v>
      </c>
      <c r="I141" s="5" t="n">
        <v>400464</v>
      </c>
      <c r="J141" s="6" t="s">
        <v>50</v>
      </c>
      <c r="K141" s="5" t="n">
        <v>100011197</v>
      </c>
      <c r="L141" s="9" t="n">
        <v>46016</v>
      </c>
      <c r="M141" s="10" t="n">
        <v>47841</v>
      </c>
    </row>
    <row r="142" customFormat="false" ht="30" hidden="true" customHeight="true" outlineLevel="0" collapsed="false">
      <c r="A142" s="4" t="s">
        <v>109</v>
      </c>
      <c r="B142" s="4" t="s">
        <v>14</v>
      </c>
      <c r="C142" s="5" t="n">
        <v>1329001630</v>
      </c>
      <c r="D142" s="6" t="s">
        <v>159</v>
      </c>
      <c r="E142" s="6"/>
      <c r="F142" s="7" t="n">
        <v>46050.1822506944</v>
      </c>
      <c r="G142" s="7" t="n">
        <v>46050.2068969097</v>
      </c>
      <c r="H142" s="8" t="n">
        <v>4</v>
      </c>
      <c r="I142" s="5" t="n">
        <v>400464</v>
      </c>
      <c r="J142" s="6" t="s">
        <v>50</v>
      </c>
      <c r="K142" s="5" t="n">
        <v>100011197</v>
      </c>
      <c r="L142" s="9" t="n">
        <v>46016</v>
      </c>
      <c r="M142" s="10" t="n">
        <v>47841</v>
      </c>
    </row>
    <row r="143" customFormat="false" ht="30" hidden="true" customHeight="true" outlineLevel="0" collapsed="false">
      <c r="A143" s="4" t="s">
        <v>109</v>
      </c>
      <c r="B143" s="4" t="s">
        <v>14</v>
      </c>
      <c r="C143" s="5" t="n">
        <v>1329001630</v>
      </c>
      <c r="D143" s="6" t="s">
        <v>160</v>
      </c>
      <c r="E143" s="6"/>
      <c r="F143" s="7" t="n">
        <v>46050.1822506944</v>
      </c>
      <c r="G143" s="7" t="n">
        <v>46050.2059515625</v>
      </c>
      <c r="H143" s="8" t="n">
        <v>4</v>
      </c>
      <c r="I143" s="5" t="n">
        <v>400464</v>
      </c>
      <c r="J143" s="6" t="s">
        <v>50</v>
      </c>
      <c r="K143" s="5" t="n">
        <v>100011197</v>
      </c>
      <c r="L143" s="9" t="n">
        <v>46016</v>
      </c>
      <c r="M143" s="10" t="n">
        <v>47841</v>
      </c>
    </row>
    <row r="144" customFormat="false" ht="30" hidden="true" customHeight="true" outlineLevel="0" collapsed="false">
      <c r="A144" s="4" t="s">
        <v>109</v>
      </c>
      <c r="B144" s="4" t="s">
        <v>14</v>
      </c>
      <c r="C144" s="5" t="n">
        <v>1329001630</v>
      </c>
      <c r="D144" s="6" t="s">
        <v>161</v>
      </c>
      <c r="E144" s="6"/>
      <c r="F144" s="7" t="n">
        <v>46050.1822506944</v>
      </c>
      <c r="G144" s="7" t="n">
        <v>46050.2054659259</v>
      </c>
      <c r="H144" s="8" t="n">
        <v>4</v>
      </c>
      <c r="I144" s="5" t="n">
        <v>400464</v>
      </c>
      <c r="J144" s="6" t="s">
        <v>50</v>
      </c>
      <c r="K144" s="5" t="n">
        <v>100011197</v>
      </c>
      <c r="L144" s="9" t="n">
        <v>46016</v>
      </c>
      <c r="M144" s="10" t="n">
        <v>47841</v>
      </c>
    </row>
    <row r="145" customFormat="false" ht="30" hidden="true" customHeight="true" outlineLevel="0" collapsed="false">
      <c r="A145" s="4" t="s">
        <v>109</v>
      </c>
      <c r="B145" s="4" t="s">
        <v>14</v>
      </c>
      <c r="C145" s="5" t="n">
        <v>1329001630</v>
      </c>
      <c r="D145" s="6" t="s">
        <v>162</v>
      </c>
      <c r="E145" s="6"/>
      <c r="F145" s="7" t="n">
        <v>46050.1822506944</v>
      </c>
      <c r="G145" s="7" t="n">
        <v>46050.2046369676</v>
      </c>
      <c r="H145" s="8" t="n">
        <v>4</v>
      </c>
      <c r="I145" s="5" t="n">
        <v>400464</v>
      </c>
      <c r="J145" s="6" t="s">
        <v>50</v>
      </c>
      <c r="K145" s="5" t="n">
        <v>100011197</v>
      </c>
      <c r="L145" s="9" t="n">
        <v>46016</v>
      </c>
      <c r="M145" s="10" t="n">
        <v>47841</v>
      </c>
    </row>
    <row r="146" customFormat="false" ht="30" hidden="true" customHeight="true" outlineLevel="0" collapsed="false">
      <c r="A146" s="4" t="s">
        <v>109</v>
      </c>
      <c r="B146" s="4" t="s">
        <v>14</v>
      </c>
      <c r="C146" s="5" t="n">
        <v>1329001630</v>
      </c>
      <c r="D146" s="6" t="s">
        <v>163</v>
      </c>
      <c r="E146" s="6"/>
      <c r="F146" s="7" t="n">
        <v>46050.1822506944</v>
      </c>
      <c r="G146" s="7" t="n">
        <v>46050.2041055208</v>
      </c>
      <c r="H146" s="8" t="n">
        <v>4</v>
      </c>
      <c r="I146" s="5" t="n">
        <v>400464</v>
      </c>
      <c r="J146" s="6" t="s">
        <v>50</v>
      </c>
      <c r="K146" s="5" t="n">
        <v>100011197</v>
      </c>
      <c r="L146" s="9" t="n">
        <v>46016</v>
      </c>
      <c r="M146" s="10" t="n">
        <v>47841</v>
      </c>
    </row>
    <row r="147" customFormat="false" ht="30" hidden="true" customHeight="true" outlineLevel="0" collapsed="false">
      <c r="A147" s="4" t="s">
        <v>109</v>
      </c>
      <c r="B147" s="4" t="s">
        <v>14</v>
      </c>
      <c r="C147" s="5" t="n">
        <v>1329001630</v>
      </c>
      <c r="D147" s="6" t="s">
        <v>164</v>
      </c>
      <c r="E147" s="6"/>
      <c r="F147" s="7" t="n">
        <v>46050.1822506944</v>
      </c>
      <c r="G147" s="7" t="n">
        <v>46050.2033069907</v>
      </c>
      <c r="H147" s="8" t="n">
        <v>4</v>
      </c>
      <c r="I147" s="5" t="n">
        <v>400464</v>
      </c>
      <c r="J147" s="6" t="s">
        <v>50</v>
      </c>
      <c r="K147" s="5" t="n">
        <v>100011197</v>
      </c>
      <c r="L147" s="9" t="n">
        <v>46016</v>
      </c>
      <c r="M147" s="10" t="n">
        <v>47841</v>
      </c>
    </row>
    <row r="148" customFormat="false" ht="30" hidden="true" customHeight="true" outlineLevel="0" collapsed="false">
      <c r="A148" s="4" t="s">
        <v>109</v>
      </c>
      <c r="B148" s="4" t="s">
        <v>14</v>
      </c>
      <c r="C148" s="5" t="n">
        <v>1329001630</v>
      </c>
      <c r="D148" s="6" t="s">
        <v>165</v>
      </c>
      <c r="E148" s="6"/>
      <c r="F148" s="7" t="n">
        <v>46050.1822506944</v>
      </c>
      <c r="G148" s="7" t="n">
        <v>46050.2025143866</v>
      </c>
      <c r="H148" s="8" t="n">
        <v>4</v>
      </c>
      <c r="I148" s="5" t="n">
        <v>400464</v>
      </c>
      <c r="J148" s="6" t="s">
        <v>50</v>
      </c>
      <c r="K148" s="5" t="n">
        <v>100011197</v>
      </c>
      <c r="L148" s="9" t="n">
        <v>46016</v>
      </c>
      <c r="M148" s="10" t="n">
        <v>47841</v>
      </c>
    </row>
    <row r="149" customFormat="false" ht="30" hidden="true" customHeight="true" outlineLevel="0" collapsed="false">
      <c r="A149" s="4" t="s">
        <v>109</v>
      </c>
      <c r="B149" s="4" t="s">
        <v>14</v>
      </c>
      <c r="C149" s="5" t="n">
        <v>1329001630</v>
      </c>
      <c r="D149" s="6" t="s">
        <v>166</v>
      </c>
      <c r="E149" s="6"/>
      <c r="F149" s="7" t="n">
        <v>46050.1822506944</v>
      </c>
      <c r="G149" s="7" t="n">
        <v>46050.2014756019</v>
      </c>
      <c r="H149" s="8" t="n">
        <v>4</v>
      </c>
      <c r="I149" s="5" t="n">
        <v>400464</v>
      </c>
      <c r="J149" s="6" t="s">
        <v>50</v>
      </c>
      <c r="K149" s="5" t="n">
        <v>100011197</v>
      </c>
      <c r="L149" s="9" t="n">
        <v>46016</v>
      </c>
      <c r="M149" s="10" t="n">
        <v>47841</v>
      </c>
    </row>
    <row r="150" customFormat="false" ht="30" hidden="true" customHeight="true" outlineLevel="0" collapsed="false">
      <c r="A150" s="4" t="s">
        <v>13</v>
      </c>
      <c r="B150" s="4" t="s">
        <v>14</v>
      </c>
      <c r="C150" s="5" t="n">
        <v>1329001639</v>
      </c>
      <c r="D150" s="6" t="s">
        <v>167</v>
      </c>
      <c r="E150" s="6"/>
      <c r="F150" s="7" t="n">
        <v>46050.3104880093</v>
      </c>
      <c r="G150" s="7" t="n">
        <v>46050.3685755556</v>
      </c>
      <c r="H150" s="8" t="n">
        <v>24</v>
      </c>
      <c r="I150" s="5" t="n">
        <v>400413</v>
      </c>
      <c r="J150" s="6" t="s">
        <v>168</v>
      </c>
      <c r="K150" s="5" t="n">
        <v>100011150</v>
      </c>
      <c r="L150" s="9" t="n">
        <v>46013</v>
      </c>
      <c r="M150" s="10" t="n">
        <v>47838</v>
      </c>
    </row>
    <row r="151" customFormat="false" ht="30" hidden="true" customHeight="true" outlineLevel="0" collapsed="false">
      <c r="A151" s="4" t="s">
        <v>13</v>
      </c>
      <c r="B151" s="4" t="s">
        <v>14</v>
      </c>
      <c r="C151" s="5" t="n">
        <v>1329001639</v>
      </c>
      <c r="D151" s="6" t="s">
        <v>169</v>
      </c>
      <c r="E151" s="6"/>
      <c r="F151" s="7" t="n">
        <v>46050.3104880093</v>
      </c>
      <c r="G151" s="7" t="n">
        <v>46050.3719948264</v>
      </c>
      <c r="H151" s="8" t="n">
        <v>52</v>
      </c>
      <c r="I151" s="5" t="n">
        <v>400396</v>
      </c>
      <c r="J151" s="6" t="s">
        <v>170</v>
      </c>
      <c r="K151" s="5" t="n">
        <v>100010353</v>
      </c>
      <c r="L151" s="9"/>
      <c r="M151" s="10" t="n">
        <v>47767</v>
      </c>
    </row>
    <row r="152" customFormat="false" ht="30" hidden="true" customHeight="true" outlineLevel="0" collapsed="false">
      <c r="A152" s="4" t="s">
        <v>13</v>
      </c>
      <c r="B152" s="4" t="s">
        <v>14</v>
      </c>
      <c r="C152" s="5" t="n">
        <v>1329001639</v>
      </c>
      <c r="D152" s="6" t="s">
        <v>171</v>
      </c>
      <c r="E152" s="6"/>
      <c r="F152" s="7" t="n">
        <v>46050.3104880093</v>
      </c>
      <c r="G152" s="7" t="n">
        <v>46050.3788573495</v>
      </c>
      <c r="H152" s="8" t="n">
        <v>52</v>
      </c>
      <c r="I152" s="5" t="n">
        <v>400396</v>
      </c>
      <c r="J152" s="6" t="s">
        <v>170</v>
      </c>
      <c r="K152" s="5" t="n">
        <v>100010092</v>
      </c>
      <c r="L152" s="9"/>
      <c r="M152" s="10" t="n">
        <v>47741</v>
      </c>
    </row>
    <row r="153" customFormat="false" ht="30" hidden="true" customHeight="true" outlineLevel="0" collapsed="false">
      <c r="A153" s="4" t="s">
        <v>13</v>
      </c>
      <c r="B153" s="4" t="s">
        <v>14</v>
      </c>
      <c r="C153" s="5" t="n">
        <v>1329001639</v>
      </c>
      <c r="D153" s="6" t="s">
        <v>172</v>
      </c>
      <c r="E153" s="6"/>
      <c r="F153" s="7" t="n">
        <v>46050.3104880093</v>
      </c>
      <c r="G153" s="7" t="n">
        <v>46050.3780632292</v>
      </c>
      <c r="H153" s="8" t="n">
        <v>52</v>
      </c>
      <c r="I153" s="5" t="n">
        <v>400396</v>
      </c>
      <c r="J153" s="6" t="s">
        <v>170</v>
      </c>
      <c r="K153" s="5" t="n">
        <v>100010092</v>
      </c>
      <c r="L153" s="9"/>
      <c r="M153" s="10" t="n">
        <v>47741</v>
      </c>
    </row>
    <row r="154" customFormat="false" ht="30" hidden="true" customHeight="true" outlineLevel="0" collapsed="false">
      <c r="A154" s="4" t="s">
        <v>13</v>
      </c>
      <c r="B154" s="4" t="s">
        <v>14</v>
      </c>
      <c r="C154" s="5" t="n">
        <v>1329001639</v>
      </c>
      <c r="D154" s="6" t="s">
        <v>173</v>
      </c>
      <c r="E154" s="6"/>
      <c r="F154" s="7" t="n">
        <v>46050.3104880093</v>
      </c>
      <c r="G154" s="7" t="n">
        <v>46050.3778887963</v>
      </c>
      <c r="H154" s="8" t="n">
        <v>52</v>
      </c>
      <c r="I154" s="5" t="n">
        <v>400396</v>
      </c>
      <c r="J154" s="6" t="s">
        <v>170</v>
      </c>
      <c r="K154" s="5" t="n">
        <v>100010092</v>
      </c>
      <c r="L154" s="9"/>
      <c r="M154" s="10" t="n">
        <v>47741</v>
      </c>
    </row>
    <row r="155" customFormat="false" ht="30" hidden="true" customHeight="true" outlineLevel="0" collapsed="false">
      <c r="A155" s="4" t="s">
        <v>13</v>
      </c>
      <c r="B155" s="4" t="s">
        <v>14</v>
      </c>
      <c r="C155" s="5" t="n">
        <v>1329001639</v>
      </c>
      <c r="D155" s="6" t="s">
        <v>174</v>
      </c>
      <c r="E155" s="6"/>
      <c r="F155" s="7" t="n">
        <v>46050.3104880093</v>
      </c>
      <c r="G155" s="7" t="n">
        <v>46050.3772743403</v>
      </c>
      <c r="H155" s="8" t="n">
        <v>52</v>
      </c>
      <c r="I155" s="5" t="n">
        <v>400396</v>
      </c>
      <c r="J155" s="6" t="s">
        <v>170</v>
      </c>
      <c r="K155" s="5" t="n">
        <v>100010092</v>
      </c>
      <c r="L155" s="9"/>
      <c r="M155" s="10" t="n">
        <v>47741</v>
      </c>
    </row>
    <row r="156" customFormat="false" ht="30" hidden="true" customHeight="true" outlineLevel="0" collapsed="false">
      <c r="A156" s="4" t="s">
        <v>13</v>
      </c>
      <c r="B156" s="4" t="s">
        <v>14</v>
      </c>
      <c r="C156" s="5" t="n">
        <v>1329001639</v>
      </c>
      <c r="D156" s="6" t="s">
        <v>175</v>
      </c>
      <c r="E156" s="6"/>
      <c r="F156" s="7" t="n">
        <v>46050.3104880093</v>
      </c>
      <c r="G156" s="7" t="n">
        <v>46050.3783716782</v>
      </c>
      <c r="H156" s="8" t="n">
        <v>24</v>
      </c>
      <c r="I156" s="5" t="n">
        <v>400413</v>
      </c>
      <c r="J156" s="6" t="s">
        <v>168</v>
      </c>
      <c r="K156" s="5" t="n">
        <v>100010539</v>
      </c>
      <c r="L156" s="9"/>
      <c r="M156" s="10" t="n">
        <v>47783</v>
      </c>
    </row>
    <row r="157" customFormat="false" ht="30" hidden="true" customHeight="true" outlineLevel="0" collapsed="false">
      <c r="A157" s="4" t="s">
        <v>13</v>
      </c>
      <c r="B157" s="4" t="s">
        <v>14</v>
      </c>
      <c r="C157" s="5" t="n">
        <v>1329001639</v>
      </c>
      <c r="D157" s="6" t="s">
        <v>176</v>
      </c>
      <c r="E157" s="6"/>
      <c r="F157" s="7" t="n">
        <v>46050.3104880093</v>
      </c>
      <c r="G157" s="7" t="n">
        <v>46050.3766323495</v>
      </c>
      <c r="H157" s="8" t="n">
        <v>52</v>
      </c>
      <c r="I157" s="5" t="n">
        <v>400396</v>
      </c>
      <c r="J157" s="6" t="s">
        <v>170</v>
      </c>
      <c r="K157" s="5" t="n">
        <v>100010354</v>
      </c>
      <c r="L157" s="9"/>
      <c r="M157" s="10" t="n">
        <v>47766</v>
      </c>
    </row>
    <row r="158" customFormat="false" ht="30" hidden="true" customHeight="true" outlineLevel="0" collapsed="false">
      <c r="A158" s="4" t="s">
        <v>13</v>
      </c>
      <c r="B158" s="4" t="s">
        <v>14</v>
      </c>
      <c r="C158" s="5" t="n">
        <v>1329001639</v>
      </c>
      <c r="D158" s="6" t="s">
        <v>177</v>
      </c>
      <c r="E158" s="6"/>
      <c r="F158" s="7" t="n">
        <v>46050.3104880093</v>
      </c>
      <c r="G158" s="7" t="n">
        <v>46050.3748953935</v>
      </c>
      <c r="H158" s="8" t="n">
        <v>52</v>
      </c>
      <c r="I158" s="5" t="n">
        <v>400396</v>
      </c>
      <c r="J158" s="6" t="s">
        <v>170</v>
      </c>
      <c r="K158" s="5" t="n">
        <v>100010226</v>
      </c>
      <c r="L158" s="9"/>
      <c r="M158" s="10" t="n">
        <v>47756</v>
      </c>
    </row>
    <row r="159" customFormat="false" ht="30" hidden="true" customHeight="true" outlineLevel="0" collapsed="false">
      <c r="A159" s="4" t="s">
        <v>13</v>
      </c>
      <c r="B159" s="4" t="s">
        <v>14</v>
      </c>
      <c r="C159" s="5" t="n">
        <v>1329001639</v>
      </c>
      <c r="D159" s="6" t="s">
        <v>178</v>
      </c>
      <c r="E159" s="6"/>
      <c r="F159" s="7" t="n">
        <v>46050.3104880093</v>
      </c>
      <c r="G159" s="7" t="n">
        <v>46050.3738758912</v>
      </c>
      <c r="H159" s="8" t="n">
        <v>52</v>
      </c>
      <c r="I159" s="5" t="n">
        <v>400396</v>
      </c>
      <c r="J159" s="6" t="s">
        <v>170</v>
      </c>
      <c r="K159" s="5" t="n">
        <v>100011104</v>
      </c>
      <c r="L159" s="9"/>
      <c r="M159" s="10" t="n">
        <v>47833</v>
      </c>
    </row>
    <row r="160" customFormat="false" ht="30" hidden="true" customHeight="true" outlineLevel="0" collapsed="false">
      <c r="A160" s="4" t="s">
        <v>13</v>
      </c>
      <c r="B160" s="4" t="s">
        <v>14</v>
      </c>
      <c r="C160" s="5" t="n">
        <v>1329001639</v>
      </c>
      <c r="D160" s="6" t="s">
        <v>179</v>
      </c>
      <c r="E160" s="6"/>
      <c r="F160" s="7" t="n">
        <v>46050.3104880093</v>
      </c>
      <c r="G160" s="7" t="n">
        <v>46050.373394537</v>
      </c>
      <c r="H160" s="8" t="n">
        <v>52</v>
      </c>
      <c r="I160" s="5" t="n">
        <v>400396</v>
      </c>
      <c r="J160" s="6" t="s">
        <v>170</v>
      </c>
      <c r="K160" s="5" t="n">
        <v>100011104</v>
      </c>
      <c r="L160" s="9"/>
      <c r="M160" s="10" t="n">
        <v>47833</v>
      </c>
    </row>
    <row r="161" customFormat="false" ht="30" hidden="true" customHeight="true" outlineLevel="0" collapsed="false">
      <c r="A161" s="4" t="s">
        <v>13</v>
      </c>
      <c r="B161" s="4" t="s">
        <v>14</v>
      </c>
      <c r="C161" s="5" t="n">
        <v>1329001639</v>
      </c>
      <c r="D161" s="6" t="s">
        <v>180</v>
      </c>
      <c r="E161" s="6"/>
      <c r="F161" s="7" t="n">
        <v>46050.3104880093</v>
      </c>
      <c r="G161" s="7" t="n">
        <v>46050.3730915625</v>
      </c>
      <c r="H161" s="8" t="n">
        <v>52</v>
      </c>
      <c r="I161" s="5" t="n">
        <v>400396</v>
      </c>
      <c r="J161" s="6" t="s">
        <v>170</v>
      </c>
      <c r="K161" s="5" t="n">
        <v>100011104</v>
      </c>
      <c r="L161" s="9"/>
      <c r="M161" s="10" t="n">
        <v>47833</v>
      </c>
    </row>
    <row r="162" customFormat="false" ht="30" hidden="true" customHeight="true" outlineLevel="0" collapsed="false">
      <c r="A162" s="4" t="s">
        <v>13</v>
      </c>
      <c r="B162" s="4" t="s">
        <v>14</v>
      </c>
      <c r="C162" s="5" t="n">
        <v>1329001639</v>
      </c>
      <c r="D162" s="6" t="s">
        <v>181</v>
      </c>
      <c r="E162" s="6"/>
      <c r="F162" s="7" t="n">
        <v>46050.3104880093</v>
      </c>
      <c r="G162" s="7" t="n">
        <v>46050.3723543519</v>
      </c>
      <c r="H162" s="8" t="n">
        <v>52</v>
      </c>
      <c r="I162" s="5" t="n">
        <v>400396</v>
      </c>
      <c r="J162" s="6" t="s">
        <v>170</v>
      </c>
      <c r="K162" s="5" t="n">
        <v>100011104</v>
      </c>
      <c r="L162" s="9"/>
      <c r="M162" s="10" t="n">
        <v>47833</v>
      </c>
    </row>
    <row r="163" customFormat="false" ht="30" hidden="true" customHeight="true" outlineLevel="0" collapsed="false">
      <c r="A163" s="4" t="s">
        <v>13</v>
      </c>
      <c r="B163" s="4" t="s">
        <v>14</v>
      </c>
      <c r="C163" s="5" t="n">
        <v>1329001639</v>
      </c>
      <c r="D163" s="6" t="s">
        <v>182</v>
      </c>
      <c r="E163" s="6"/>
      <c r="F163" s="7" t="n">
        <v>46050.3104880093</v>
      </c>
      <c r="G163" s="7" t="n">
        <v>46050.3696932292</v>
      </c>
      <c r="H163" s="8" t="n">
        <v>52</v>
      </c>
      <c r="I163" s="5" t="n">
        <v>400396</v>
      </c>
      <c r="J163" s="6" t="s">
        <v>170</v>
      </c>
      <c r="K163" s="5" t="n">
        <v>100010353</v>
      </c>
      <c r="L163" s="9"/>
      <c r="M163" s="10" t="n">
        <v>47767</v>
      </c>
    </row>
    <row r="164" customFormat="false" ht="30" hidden="true" customHeight="true" outlineLevel="0" collapsed="false">
      <c r="A164" s="4" t="s">
        <v>13</v>
      </c>
      <c r="B164" s="4" t="s">
        <v>14</v>
      </c>
      <c r="C164" s="5" t="n">
        <v>1329001639</v>
      </c>
      <c r="D164" s="6" t="s">
        <v>183</v>
      </c>
      <c r="E164" s="6"/>
      <c r="F164" s="7" t="n">
        <v>46050.3104880093</v>
      </c>
      <c r="G164" s="7" t="n">
        <v>46050.3721345718</v>
      </c>
      <c r="H164" s="8" t="n">
        <v>24</v>
      </c>
      <c r="I164" s="5" t="n">
        <v>400413</v>
      </c>
      <c r="J164" s="6" t="s">
        <v>168</v>
      </c>
      <c r="K164" s="5" t="n">
        <v>100010992</v>
      </c>
      <c r="L164" s="9" t="n">
        <v>45999</v>
      </c>
      <c r="M164" s="10" t="n">
        <v>47824</v>
      </c>
    </row>
    <row r="165" customFormat="false" ht="30" hidden="true" customHeight="true" outlineLevel="0" collapsed="false">
      <c r="A165" s="4" t="s">
        <v>13</v>
      </c>
      <c r="B165" s="4" t="s">
        <v>14</v>
      </c>
      <c r="C165" s="5" t="n">
        <v>1329001639</v>
      </c>
      <c r="D165" s="6" t="s">
        <v>184</v>
      </c>
      <c r="E165" s="6"/>
      <c r="F165" s="7" t="n">
        <v>46050.3104880093</v>
      </c>
      <c r="G165" s="7" t="n">
        <v>46050.3707960069</v>
      </c>
      <c r="H165" s="8" t="n">
        <v>24</v>
      </c>
      <c r="I165" s="5" t="n">
        <v>400413</v>
      </c>
      <c r="J165" s="6" t="s">
        <v>168</v>
      </c>
      <c r="K165" s="5" t="n">
        <v>100010992</v>
      </c>
      <c r="L165" s="9" t="n">
        <v>45999</v>
      </c>
      <c r="M165" s="10" t="n">
        <v>47824</v>
      </c>
    </row>
    <row r="166" customFormat="false" ht="30" hidden="true" customHeight="true" outlineLevel="0" collapsed="false">
      <c r="A166" s="4" t="s">
        <v>13</v>
      </c>
      <c r="B166" s="4" t="s">
        <v>14</v>
      </c>
      <c r="C166" s="5" t="n">
        <v>1329001639</v>
      </c>
      <c r="D166" s="6" t="s">
        <v>185</v>
      </c>
      <c r="E166" s="6"/>
      <c r="F166" s="7" t="n">
        <v>46050.3104880093</v>
      </c>
      <c r="G166" s="7" t="n">
        <v>46050.3693686111</v>
      </c>
      <c r="H166" s="8" t="n">
        <v>24</v>
      </c>
      <c r="I166" s="5" t="n">
        <v>400413</v>
      </c>
      <c r="J166" s="6" t="s">
        <v>168</v>
      </c>
      <c r="K166" s="5" t="n">
        <v>100011150</v>
      </c>
      <c r="L166" s="9" t="n">
        <v>46013</v>
      </c>
      <c r="M166" s="10" t="n">
        <v>47838</v>
      </c>
    </row>
    <row r="167" customFormat="false" ht="30" hidden="true" customHeight="true" outlineLevel="0" collapsed="false">
      <c r="A167" s="4" t="s">
        <v>13</v>
      </c>
      <c r="B167" s="4" t="s">
        <v>14</v>
      </c>
      <c r="C167" s="5" t="n">
        <v>1329001639</v>
      </c>
      <c r="D167" s="6" t="s">
        <v>186</v>
      </c>
      <c r="E167" s="6"/>
      <c r="F167" s="7" t="n">
        <v>46050.3104880093</v>
      </c>
      <c r="G167" s="7" t="n">
        <v>46050.3789923264</v>
      </c>
      <c r="H167" s="8" t="n">
        <v>24</v>
      </c>
      <c r="I167" s="5" t="n">
        <v>400413</v>
      </c>
      <c r="J167" s="6" t="s">
        <v>168</v>
      </c>
      <c r="K167" s="5" t="n">
        <v>100010992</v>
      </c>
      <c r="L167" s="9" t="n">
        <v>45999</v>
      </c>
      <c r="M167" s="10" t="n">
        <v>47824</v>
      </c>
    </row>
    <row r="168" customFormat="false" ht="30" hidden="true" customHeight="true" outlineLevel="0" collapsed="false">
      <c r="A168" s="4" t="s">
        <v>13</v>
      </c>
      <c r="B168" s="4" t="s">
        <v>14</v>
      </c>
      <c r="C168" s="5" t="n">
        <v>1329001639</v>
      </c>
      <c r="D168" s="6" t="s">
        <v>187</v>
      </c>
      <c r="E168" s="6"/>
      <c r="F168" s="7" t="n">
        <v>46050.3104880093</v>
      </c>
      <c r="G168" s="7" t="n">
        <v>46050.3763381482</v>
      </c>
      <c r="H168" s="8" t="n">
        <v>24</v>
      </c>
      <c r="I168" s="5" t="n">
        <v>400413</v>
      </c>
      <c r="J168" s="6" t="s">
        <v>168</v>
      </c>
      <c r="K168" s="5" t="n">
        <v>100010992</v>
      </c>
      <c r="L168" s="9" t="n">
        <v>45999</v>
      </c>
      <c r="M168" s="10" t="n">
        <v>47824</v>
      </c>
    </row>
    <row r="169" customFormat="false" ht="30" hidden="true" customHeight="true" outlineLevel="0" collapsed="false">
      <c r="A169" s="4" t="s">
        <v>13</v>
      </c>
      <c r="B169" s="4" t="s">
        <v>14</v>
      </c>
      <c r="C169" s="5" t="n">
        <v>1329001639</v>
      </c>
      <c r="D169" s="6" t="s">
        <v>188</v>
      </c>
      <c r="E169" s="6"/>
      <c r="F169" s="7" t="n">
        <v>46050.3104880093</v>
      </c>
      <c r="G169" s="7" t="n">
        <v>46050.3740561227</v>
      </c>
      <c r="H169" s="8" t="n">
        <v>24</v>
      </c>
      <c r="I169" s="5" t="n">
        <v>400413</v>
      </c>
      <c r="J169" s="6" t="s">
        <v>168</v>
      </c>
      <c r="K169" s="5" t="n">
        <v>100010992</v>
      </c>
      <c r="L169" s="9" t="n">
        <v>45999</v>
      </c>
      <c r="M169" s="10" t="n">
        <v>47824</v>
      </c>
    </row>
    <row r="170" customFormat="false" ht="30" hidden="true" customHeight="true" outlineLevel="0" collapsed="false">
      <c r="A170" s="4" t="s">
        <v>13</v>
      </c>
      <c r="B170" s="4" t="s">
        <v>14</v>
      </c>
      <c r="C170" s="5" t="n">
        <v>1329001639</v>
      </c>
      <c r="D170" s="6" t="s">
        <v>189</v>
      </c>
      <c r="E170" s="6"/>
      <c r="F170" s="7" t="n">
        <v>46050.3104880093</v>
      </c>
      <c r="G170" s="7" t="n">
        <v>46050.3736734606</v>
      </c>
      <c r="H170" s="8" t="n">
        <v>24</v>
      </c>
      <c r="I170" s="5" t="n">
        <v>400413</v>
      </c>
      <c r="J170" s="6" t="s">
        <v>168</v>
      </c>
      <c r="K170" s="5" t="n">
        <v>100010992</v>
      </c>
      <c r="L170" s="9" t="n">
        <v>45999</v>
      </c>
      <c r="M170" s="10" t="n">
        <v>47824</v>
      </c>
    </row>
    <row r="171" customFormat="false" ht="30" hidden="true" customHeight="true" outlineLevel="0" collapsed="false">
      <c r="A171" s="4" t="s">
        <v>13</v>
      </c>
      <c r="B171" s="4" t="s">
        <v>14</v>
      </c>
      <c r="C171" s="5" t="n">
        <v>1329001639</v>
      </c>
      <c r="D171" s="6" t="s">
        <v>190</v>
      </c>
      <c r="E171" s="6"/>
      <c r="F171" s="7" t="n">
        <v>46050.3104880093</v>
      </c>
      <c r="G171" s="7" t="n">
        <v>46050.3735479745</v>
      </c>
      <c r="H171" s="8" t="n">
        <v>24</v>
      </c>
      <c r="I171" s="5" t="n">
        <v>400413</v>
      </c>
      <c r="J171" s="6" t="s">
        <v>168</v>
      </c>
      <c r="K171" s="5" t="n">
        <v>100010992</v>
      </c>
      <c r="L171" s="9" t="n">
        <v>45999</v>
      </c>
      <c r="M171" s="10" t="n">
        <v>47824</v>
      </c>
    </row>
    <row r="172" customFormat="false" ht="30" hidden="true" customHeight="true" outlineLevel="0" collapsed="false">
      <c r="A172" s="4" t="s">
        <v>13</v>
      </c>
      <c r="B172" s="4" t="s">
        <v>14</v>
      </c>
      <c r="C172" s="5" t="n">
        <v>1329001639</v>
      </c>
      <c r="D172" s="6" t="s">
        <v>191</v>
      </c>
      <c r="E172" s="6"/>
      <c r="F172" s="7" t="n">
        <v>46050.3104880093</v>
      </c>
      <c r="G172" s="7" t="n">
        <v>46050.3732150579</v>
      </c>
      <c r="H172" s="8" t="n">
        <v>24</v>
      </c>
      <c r="I172" s="5" t="n">
        <v>400413</v>
      </c>
      <c r="J172" s="6" t="s">
        <v>168</v>
      </c>
      <c r="K172" s="5" t="n">
        <v>100010992</v>
      </c>
      <c r="L172" s="9" t="n">
        <v>45999</v>
      </c>
      <c r="M172" s="10" t="n">
        <v>47824</v>
      </c>
    </row>
    <row r="173" customFormat="false" ht="30" hidden="true" customHeight="true" outlineLevel="0" collapsed="false">
      <c r="A173" s="4" t="s">
        <v>13</v>
      </c>
      <c r="B173" s="4" t="s">
        <v>14</v>
      </c>
      <c r="C173" s="5" t="n">
        <v>1329001639</v>
      </c>
      <c r="D173" s="6" t="s">
        <v>192</v>
      </c>
      <c r="E173" s="6"/>
      <c r="F173" s="7" t="n">
        <v>46050.3104880093</v>
      </c>
      <c r="G173" s="7" t="n">
        <v>46050.3729497338</v>
      </c>
      <c r="H173" s="8" t="n">
        <v>24</v>
      </c>
      <c r="I173" s="5" t="n">
        <v>400413</v>
      </c>
      <c r="J173" s="6" t="s">
        <v>168</v>
      </c>
      <c r="K173" s="5" t="n">
        <v>100010992</v>
      </c>
      <c r="L173" s="9" t="n">
        <v>45999</v>
      </c>
      <c r="M173" s="10" t="n">
        <v>47824</v>
      </c>
    </row>
    <row r="174" customFormat="false" ht="30" hidden="true" customHeight="true" outlineLevel="0" collapsed="false">
      <c r="A174" s="4" t="s">
        <v>13</v>
      </c>
      <c r="B174" s="4" t="s">
        <v>14</v>
      </c>
      <c r="C174" s="5" t="n">
        <v>1329001640</v>
      </c>
      <c r="D174" s="6" t="s">
        <v>193</v>
      </c>
      <c r="E174" s="6"/>
      <c r="F174" s="7" t="n">
        <v>46050.3222601505</v>
      </c>
      <c r="G174" s="7" t="n">
        <v>46050.4341759375</v>
      </c>
      <c r="H174" s="8" t="n">
        <v>24</v>
      </c>
      <c r="I174" s="5" t="n">
        <v>400932</v>
      </c>
      <c r="J174" s="6" t="s">
        <v>194</v>
      </c>
      <c r="K174" s="5" t="n">
        <v>100009226</v>
      </c>
      <c r="L174" s="9" t="n">
        <v>45838</v>
      </c>
      <c r="M174" s="10" t="n">
        <v>47663</v>
      </c>
    </row>
    <row r="175" customFormat="false" ht="30" hidden="true" customHeight="true" outlineLevel="0" collapsed="false">
      <c r="A175" s="4" t="s">
        <v>13</v>
      </c>
      <c r="B175" s="4" t="s">
        <v>14</v>
      </c>
      <c r="C175" s="5" t="n">
        <v>1329001640</v>
      </c>
      <c r="D175" s="6" t="s">
        <v>195</v>
      </c>
      <c r="E175" s="6"/>
      <c r="F175" s="7" t="n">
        <v>46050.3222601505</v>
      </c>
      <c r="G175" s="7" t="n">
        <v>46050.4338741551</v>
      </c>
      <c r="H175" s="8" t="n">
        <v>24</v>
      </c>
      <c r="I175" s="5" t="n">
        <v>400932</v>
      </c>
      <c r="J175" s="6" t="s">
        <v>194</v>
      </c>
      <c r="K175" s="5" t="n">
        <v>100009226</v>
      </c>
      <c r="L175" s="9" t="n">
        <v>45838</v>
      </c>
      <c r="M175" s="10" t="n">
        <v>47663</v>
      </c>
    </row>
    <row r="176" customFormat="false" ht="30" hidden="true" customHeight="true" outlineLevel="0" collapsed="false">
      <c r="A176" s="4" t="s">
        <v>13</v>
      </c>
      <c r="B176" s="4" t="s">
        <v>14</v>
      </c>
      <c r="C176" s="5" t="n">
        <v>1329001640</v>
      </c>
      <c r="D176" s="6" t="s">
        <v>196</v>
      </c>
      <c r="E176" s="6"/>
      <c r="F176" s="7" t="n">
        <v>46050.3222601505</v>
      </c>
      <c r="G176" s="7" t="n">
        <v>46050.4357145486</v>
      </c>
      <c r="H176" s="8" t="n">
        <v>24</v>
      </c>
      <c r="I176" s="5" t="n">
        <v>400920</v>
      </c>
      <c r="J176" s="6" t="s">
        <v>197</v>
      </c>
      <c r="K176" s="5" t="n">
        <v>100011191</v>
      </c>
      <c r="L176" s="9" t="n">
        <v>46016</v>
      </c>
      <c r="M176" s="10" t="n">
        <v>47841</v>
      </c>
    </row>
    <row r="177" customFormat="false" ht="30" hidden="true" customHeight="true" outlineLevel="0" collapsed="false">
      <c r="A177" s="4" t="s">
        <v>13</v>
      </c>
      <c r="B177" s="4" t="s">
        <v>14</v>
      </c>
      <c r="C177" s="5" t="n">
        <v>1329001640</v>
      </c>
      <c r="D177" s="6" t="s">
        <v>198</v>
      </c>
      <c r="E177" s="6"/>
      <c r="F177" s="7" t="n">
        <v>46050.3222601505</v>
      </c>
      <c r="G177" s="7" t="n">
        <v>46050.431167963</v>
      </c>
      <c r="H177" s="8" t="n">
        <v>24</v>
      </c>
      <c r="I177" s="5" t="n">
        <v>400932</v>
      </c>
      <c r="J177" s="6" t="s">
        <v>194</v>
      </c>
      <c r="K177" s="5" t="n">
        <v>10009226</v>
      </c>
      <c r="L177" s="9" t="n">
        <v>45838</v>
      </c>
      <c r="M177" s="10" t="n">
        <v>47663</v>
      </c>
    </row>
    <row r="178" customFormat="false" ht="30" hidden="true" customHeight="true" outlineLevel="0" collapsed="false">
      <c r="A178" s="4" t="s">
        <v>13</v>
      </c>
      <c r="B178" s="4" t="s">
        <v>14</v>
      </c>
      <c r="C178" s="5" t="n">
        <v>1329001640</v>
      </c>
      <c r="D178" s="6" t="s">
        <v>199</v>
      </c>
      <c r="E178" s="6"/>
      <c r="F178" s="7" t="n">
        <v>46050.3222601505</v>
      </c>
      <c r="G178" s="7" t="n">
        <v>46050.4533301852</v>
      </c>
      <c r="H178" s="8" t="n">
        <v>22</v>
      </c>
      <c r="I178" s="5" t="n">
        <v>400932</v>
      </c>
      <c r="J178" s="6" t="s">
        <v>194</v>
      </c>
      <c r="K178" s="5" t="n">
        <v>100009226</v>
      </c>
      <c r="L178" s="9" t="n">
        <v>45838</v>
      </c>
      <c r="M178" s="10" t="n">
        <v>47663</v>
      </c>
    </row>
    <row r="179" customFormat="false" ht="30" hidden="true" customHeight="true" outlineLevel="0" collapsed="false">
      <c r="A179" s="4" t="s">
        <v>13</v>
      </c>
      <c r="B179" s="4" t="s">
        <v>14</v>
      </c>
      <c r="C179" s="5" t="n">
        <v>1329001640</v>
      </c>
      <c r="D179" s="6" t="s">
        <v>200</v>
      </c>
      <c r="E179" s="6"/>
      <c r="F179" s="7" t="n">
        <v>46050.3222601505</v>
      </c>
      <c r="G179" s="7" t="n">
        <v>46050.4531042593</v>
      </c>
      <c r="H179" s="8" t="n">
        <v>22</v>
      </c>
      <c r="I179" s="5" t="n">
        <v>400932</v>
      </c>
      <c r="J179" s="6" t="s">
        <v>194</v>
      </c>
      <c r="K179" s="5" t="n">
        <v>100009495</v>
      </c>
      <c r="L179" s="9" t="n">
        <v>45862</v>
      </c>
      <c r="M179" s="10" t="n">
        <v>47687</v>
      </c>
    </row>
    <row r="180" customFormat="false" ht="30" hidden="true" customHeight="true" outlineLevel="0" collapsed="false">
      <c r="A180" s="4" t="s">
        <v>13</v>
      </c>
      <c r="B180" s="4" t="s">
        <v>14</v>
      </c>
      <c r="C180" s="5" t="n">
        <v>1329001640</v>
      </c>
      <c r="D180" s="6" t="s">
        <v>201</v>
      </c>
      <c r="E180" s="6"/>
      <c r="F180" s="7" t="n">
        <v>46050.3222601505</v>
      </c>
      <c r="G180" s="7" t="n">
        <v>46050.440171331</v>
      </c>
      <c r="H180" s="8" t="n">
        <v>2</v>
      </c>
      <c r="I180" s="5" t="n">
        <v>400932</v>
      </c>
      <c r="J180" s="6" t="s">
        <v>194</v>
      </c>
      <c r="K180" s="5" t="n">
        <v>100009495</v>
      </c>
      <c r="L180" s="9" t="n">
        <v>45862</v>
      </c>
      <c r="M180" s="10" t="n">
        <v>47687</v>
      </c>
    </row>
    <row r="181" customFormat="false" ht="30" hidden="true" customHeight="true" outlineLevel="0" collapsed="false">
      <c r="A181" s="4" t="s">
        <v>13</v>
      </c>
      <c r="B181" s="4" t="s">
        <v>14</v>
      </c>
      <c r="C181" s="5" t="n">
        <v>1329001640</v>
      </c>
      <c r="D181" s="6" t="s">
        <v>202</v>
      </c>
      <c r="E181" s="6"/>
      <c r="F181" s="7" t="n">
        <v>46050.3222601505</v>
      </c>
      <c r="G181" s="7" t="n">
        <v>46050.4400189005</v>
      </c>
      <c r="H181" s="8" t="n">
        <v>2</v>
      </c>
      <c r="I181" s="5" t="n">
        <v>400932</v>
      </c>
      <c r="J181" s="6" t="s">
        <v>194</v>
      </c>
      <c r="K181" s="5" t="n">
        <v>100009226</v>
      </c>
      <c r="L181" s="9" t="n">
        <v>45838</v>
      </c>
      <c r="M181" s="10" t="n">
        <v>47663</v>
      </c>
    </row>
    <row r="182" customFormat="false" ht="30" hidden="true" customHeight="true" outlineLevel="0" collapsed="false">
      <c r="A182" s="4" t="s">
        <v>13</v>
      </c>
      <c r="B182" s="4" t="s">
        <v>14</v>
      </c>
      <c r="C182" s="5" t="n">
        <v>1329001640</v>
      </c>
      <c r="D182" s="6" t="s">
        <v>203</v>
      </c>
      <c r="E182" s="6"/>
      <c r="F182" s="7" t="n">
        <v>46050.3222601505</v>
      </c>
      <c r="G182" s="7" t="n">
        <v>46050.4398067593</v>
      </c>
      <c r="H182" s="8" t="n">
        <v>24</v>
      </c>
      <c r="I182" s="5" t="n">
        <v>400932</v>
      </c>
      <c r="J182" s="6" t="s">
        <v>194</v>
      </c>
      <c r="K182" s="5" t="n">
        <v>100009226</v>
      </c>
      <c r="L182" s="9" t="n">
        <v>45838</v>
      </c>
      <c r="M182" s="10" t="n">
        <v>47663</v>
      </c>
    </row>
    <row r="183" customFormat="false" ht="30" hidden="true" customHeight="true" outlineLevel="0" collapsed="false">
      <c r="A183" s="4" t="s">
        <v>13</v>
      </c>
      <c r="B183" s="4" t="s">
        <v>14</v>
      </c>
      <c r="C183" s="5" t="n">
        <v>1329001640</v>
      </c>
      <c r="D183" s="6" t="s">
        <v>204</v>
      </c>
      <c r="E183" s="6"/>
      <c r="F183" s="7" t="n">
        <v>46050.3222601505</v>
      </c>
      <c r="G183" s="7" t="n">
        <v>46050.4390778819</v>
      </c>
      <c r="H183" s="8" t="n">
        <v>24</v>
      </c>
      <c r="I183" s="5" t="n">
        <v>400932</v>
      </c>
      <c r="J183" s="6" t="s">
        <v>194</v>
      </c>
      <c r="K183" s="5" t="n">
        <v>100009495</v>
      </c>
      <c r="L183" s="9" t="n">
        <v>45862</v>
      </c>
      <c r="M183" s="10" t="n">
        <v>47687</v>
      </c>
    </row>
    <row r="184" customFormat="false" ht="30" hidden="true" customHeight="true" outlineLevel="0" collapsed="false">
      <c r="A184" s="4" t="s">
        <v>13</v>
      </c>
      <c r="B184" s="4" t="s">
        <v>14</v>
      </c>
      <c r="C184" s="5" t="n">
        <v>1329001640</v>
      </c>
      <c r="D184" s="6" t="s">
        <v>205</v>
      </c>
      <c r="E184" s="6"/>
      <c r="F184" s="7" t="n">
        <v>46050.3222601505</v>
      </c>
      <c r="G184" s="7" t="n">
        <v>46050.4388496181</v>
      </c>
      <c r="H184" s="8" t="n">
        <v>24</v>
      </c>
      <c r="I184" s="5" t="n">
        <v>400932</v>
      </c>
      <c r="J184" s="6" t="s">
        <v>194</v>
      </c>
      <c r="K184" s="5" t="n">
        <v>100008855</v>
      </c>
      <c r="L184" s="9" t="n">
        <v>45802</v>
      </c>
      <c r="M184" s="10" t="n">
        <v>47627</v>
      </c>
    </row>
    <row r="185" customFormat="false" ht="30" hidden="true" customHeight="true" outlineLevel="0" collapsed="false">
      <c r="A185" s="4" t="s">
        <v>13</v>
      </c>
      <c r="B185" s="4" t="s">
        <v>14</v>
      </c>
      <c r="C185" s="5" t="n">
        <v>1329001640</v>
      </c>
      <c r="D185" s="6" t="s">
        <v>206</v>
      </c>
      <c r="E185" s="6"/>
      <c r="F185" s="7" t="n">
        <v>46050.3222601505</v>
      </c>
      <c r="G185" s="7" t="n">
        <v>46050.4386311111</v>
      </c>
      <c r="H185" s="8" t="n">
        <v>24</v>
      </c>
      <c r="I185" s="5" t="n">
        <v>400932</v>
      </c>
      <c r="J185" s="6" t="s">
        <v>194</v>
      </c>
      <c r="K185" s="5" t="n">
        <v>100009226</v>
      </c>
      <c r="L185" s="9" t="n">
        <v>45838</v>
      </c>
      <c r="M185" s="10" t="n">
        <v>47663</v>
      </c>
    </row>
    <row r="186" customFormat="false" ht="30" hidden="true" customHeight="true" outlineLevel="0" collapsed="false">
      <c r="A186" s="4" t="s">
        <v>13</v>
      </c>
      <c r="B186" s="4" t="s">
        <v>14</v>
      </c>
      <c r="C186" s="5" t="n">
        <v>1329001640</v>
      </c>
      <c r="D186" s="6" t="s">
        <v>207</v>
      </c>
      <c r="E186" s="6"/>
      <c r="F186" s="7" t="n">
        <v>46050.3222601505</v>
      </c>
      <c r="G186" s="7" t="n">
        <v>46050.438449919</v>
      </c>
      <c r="H186" s="8" t="n">
        <v>24</v>
      </c>
      <c r="I186" s="5" t="n">
        <v>400932</v>
      </c>
      <c r="J186" s="6" t="s">
        <v>194</v>
      </c>
      <c r="K186" s="5" t="n">
        <v>100009226</v>
      </c>
      <c r="L186" s="9" t="n">
        <v>45838</v>
      </c>
      <c r="M186" s="10" t="n">
        <v>47663</v>
      </c>
    </row>
    <row r="187" customFormat="false" ht="30" hidden="true" customHeight="true" outlineLevel="0" collapsed="false">
      <c r="A187" s="4" t="s">
        <v>13</v>
      </c>
      <c r="B187" s="4" t="s">
        <v>14</v>
      </c>
      <c r="C187" s="5" t="n">
        <v>1329001640</v>
      </c>
      <c r="D187" s="6" t="s">
        <v>208</v>
      </c>
      <c r="E187" s="6"/>
      <c r="F187" s="7" t="n">
        <v>46050.3222601505</v>
      </c>
      <c r="G187" s="7" t="n">
        <v>46050.4381116551</v>
      </c>
      <c r="H187" s="8" t="n">
        <v>24</v>
      </c>
      <c r="I187" s="5" t="n">
        <v>400920</v>
      </c>
      <c r="J187" s="6" t="s">
        <v>197</v>
      </c>
      <c r="K187" s="5" t="n">
        <v>100011191</v>
      </c>
      <c r="L187" s="9" t="n">
        <v>46016</v>
      </c>
      <c r="M187" s="10" t="n">
        <v>47841</v>
      </c>
    </row>
    <row r="188" customFormat="false" ht="30" hidden="true" customHeight="true" outlineLevel="0" collapsed="false">
      <c r="A188" s="4" t="s">
        <v>13</v>
      </c>
      <c r="B188" s="4" t="s">
        <v>14</v>
      </c>
      <c r="C188" s="5" t="n">
        <v>1329001640</v>
      </c>
      <c r="D188" s="6" t="s">
        <v>209</v>
      </c>
      <c r="E188" s="6"/>
      <c r="F188" s="7" t="n">
        <v>46050.3222601505</v>
      </c>
      <c r="G188" s="7" t="n">
        <v>46050.4379714699</v>
      </c>
      <c r="H188" s="8" t="n">
        <v>24</v>
      </c>
      <c r="I188" s="5" t="n">
        <v>400920</v>
      </c>
      <c r="J188" s="6" t="s">
        <v>197</v>
      </c>
      <c r="K188" s="5" t="n">
        <v>100011191</v>
      </c>
      <c r="L188" s="9" t="n">
        <v>46016</v>
      </c>
      <c r="M188" s="10" t="n">
        <v>47841</v>
      </c>
    </row>
    <row r="189" customFormat="false" ht="30" hidden="true" customHeight="true" outlineLevel="0" collapsed="false">
      <c r="A189" s="4" t="s">
        <v>13</v>
      </c>
      <c r="B189" s="4" t="s">
        <v>14</v>
      </c>
      <c r="C189" s="5" t="n">
        <v>1329001640</v>
      </c>
      <c r="D189" s="6" t="s">
        <v>210</v>
      </c>
      <c r="E189" s="6"/>
      <c r="F189" s="7" t="n">
        <v>46050.3222601505</v>
      </c>
      <c r="G189" s="7" t="n">
        <v>46050.4378532639</v>
      </c>
      <c r="H189" s="8" t="n">
        <v>24</v>
      </c>
      <c r="I189" s="5" t="n">
        <v>400920</v>
      </c>
      <c r="J189" s="6" t="s">
        <v>197</v>
      </c>
      <c r="K189" s="5" t="n">
        <v>100011191</v>
      </c>
      <c r="L189" s="9" t="n">
        <v>46016</v>
      </c>
      <c r="M189" s="10" t="n">
        <v>47841</v>
      </c>
    </row>
    <row r="190" customFormat="false" ht="30" hidden="true" customHeight="true" outlineLevel="0" collapsed="false">
      <c r="A190" s="4" t="s">
        <v>13</v>
      </c>
      <c r="B190" s="4" t="s">
        <v>14</v>
      </c>
      <c r="C190" s="5" t="n">
        <v>1329001640</v>
      </c>
      <c r="D190" s="6" t="s">
        <v>211</v>
      </c>
      <c r="E190" s="6"/>
      <c r="F190" s="7" t="n">
        <v>46050.3222601505</v>
      </c>
      <c r="G190" s="7" t="n">
        <v>46050.4377309491</v>
      </c>
      <c r="H190" s="8" t="n">
        <v>24</v>
      </c>
      <c r="I190" s="5" t="n">
        <v>400920</v>
      </c>
      <c r="J190" s="6" t="s">
        <v>197</v>
      </c>
      <c r="K190" s="5" t="n">
        <v>100011191</v>
      </c>
      <c r="L190" s="9" t="n">
        <v>46016</v>
      </c>
      <c r="M190" s="10" t="n">
        <v>47841</v>
      </c>
    </row>
    <row r="191" customFormat="false" ht="30" hidden="true" customHeight="true" outlineLevel="0" collapsed="false">
      <c r="A191" s="4" t="s">
        <v>13</v>
      </c>
      <c r="B191" s="4" t="s">
        <v>14</v>
      </c>
      <c r="C191" s="5" t="n">
        <v>1329001640</v>
      </c>
      <c r="D191" s="6" t="s">
        <v>212</v>
      </c>
      <c r="E191" s="6"/>
      <c r="F191" s="7" t="n">
        <v>46050.3222601505</v>
      </c>
      <c r="G191" s="7" t="n">
        <v>46050.4375037153</v>
      </c>
      <c r="H191" s="8" t="n">
        <v>24</v>
      </c>
      <c r="I191" s="5" t="n">
        <v>400920</v>
      </c>
      <c r="J191" s="6" t="s">
        <v>197</v>
      </c>
      <c r="K191" s="5" t="n">
        <v>100011191</v>
      </c>
      <c r="L191" s="9" t="n">
        <v>46016</v>
      </c>
      <c r="M191" s="10" t="n">
        <v>47841</v>
      </c>
    </row>
    <row r="192" customFormat="false" ht="30" hidden="true" customHeight="true" outlineLevel="0" collapsed="false">
      <c r="A192" s="4" t="s">
        <v>13</v>
      </c>
      <c r="B192" s="4" t="s">
        <v>14</v>
      </c>
      <c r="C192" s="5" t="n">
        <v>1329001640</v>
      </c>
      <c r="D192" s="6" t="s">
        <v>213</v>
      </c>
      <c r="E192" s="6"/>
      <c r="F192" s="7" t="n">
        <v>46050.3222601505</v>
      </c>
      <c r="G192" s="7" t="n">
        <v>46050.4373823495</v>
      </c>
      <c r="H192" s="8" t="n">
        <v>24</v>
      </c>
      <c r="I192" s="5" t="n">
        <v>400920</v>
      </c>
      <c r="J192" s="6" t="s">
        <v>197</v>
      </c>
      <c r="K192" s="5" t="n">
        <v>100011191</v>
      </c>
      <c r="L192" s="9" t="n">
        <v>46016</v>
      </c>
      <c r="M192" s="10" t="n">
        <v>47841</v>
      </c>
    </row>
    <row r="193" customFormat="false" ht="30" hidden="true" customHeight="true" outlineLevel="0" collapsed="false">
      <c r="A193" s="4" t="s">
        <v>13</v>
      </c>
      <c r="B193" s="4" t="s">
        <v>14</v>
      </c>
      <c r="C193" s="5" t="n">
        <v>1329001640</v>
      </c>
      <c r="D193" s="6" t="s">
        <v>214</v>
      </c>
      <c r="E193" s="6"/>
      <c r="F193" s="7" t="n">
        <v>46050.3222601505</v>
      </c>
      <c r="G193" s="7" t="n">
        <v>46050.4372336111</v>
      </c>
      <c r="H193" s="8" t="n">
        <v>24</v>
      </c>
      <c r="I193" s="5" t="n">
        <v>400920</v>
      </c>
      <c r="J193" s="6" t="s">
        <v>197</v>
      </c>
      <c r="K193" s="5" t="n">
        <v>100011191</v>
      </c>
      <c r="L193" s="9" t="n">
        <v>46016</v>
      </c>
      <c r="M193" s="10" t="n">
        <v>47841</v>
      </c>
    </row>
    <row r="194" customFormat="false" ht="30" hidden="true" customHeight="true" outlineLevel="0" collapsed="false">
      <c r="A194" s="4" t="s">
        <v>13</v>
      </c>
      <c r="B194" s="4" t="s">
        <v>14</v>
      </c>
      <c r="C194" s="5" t="n">
        <v>1329001640</v>
      </c>
      <c r="D194" s="6" t="s">
        <v>215</v>
      </c>
      <c r="E194" s="6"/>
      <c r="F194" s="7" t="n">
        <v>46050.3222601505</v>
      </c>
      <c r="G194" s="7" t="n">
        <v>46050.4371062963</v>
      </c>
      <c r="H194" s="8" t="n">
        <v>24</v>
      </c>
      <c r="I194" s="5" t="n">
        <v>400920</v>
      </c>
      <c r="J194" s="6" t="s">
        <v>197</v>
      </c>
      <c r="K194" s="5" t="n">
        <v>100011191</v>
      </c>
      <c r="L194" s="9" t="n">
        <v>46016</v>
      </c>
      <c r="M194" s="10" t="n">
        <v>47841</v>
      </c>
    </row>
    <row r="195" customFormat="false" ht="30" hidden="true" customHeight="true" outlineLevel="0" collapsed="false">
      <c r="A195" s="4" t="s">
        <v>13</v>
      </c>
      <c r="B195" s="4" t="s">
        <v>14</v>
      </c>
      <c r="C195" s="5" t="n">
        <v>1329001640</v>
      </c>
      <c r="D195" s="6" t="s">
        <v>216</v>
      </c>
      <c r="E195" s="6"/>
      <c r="F195" s="7" t="n">
        <v>46050.3222601505</v>
      </c>
      <c r="G195" s="7" t="n">
        <v>46050.4369145949</v>
      </c>
      <c r="H195" s="8" t="n">
        <v>24</v>
      </c>
      <c r="I195" s="5" t="n">
        <v>400920</v>
      </c>
      <c r="J195" s="6" t="s">
        <v>197</v>
      </c>
      <c r="K195" s="5" t="n">
        <v>100011191</v>
      </c>
      <c r="L195" s="9" t="n">
        <v>46016</v>
      </c>
      <c r="M195" s="10" t="n">
        <v>47841</v>
      </c>
    </row>
    <row r="196" customFormat="false" ht="30" hidden="true" customHeight="true" outlineLevel="0" collapsed="false">
      <c r="A196" s="4" t="s">
        <v>13</v>
      </c>
      <c r="B196" s="4" t="s">
        <v>14</v>
      </c>
      <c r="C196" s="5" t="n">
        <v>1329001640</v>
      </c>
      <c r="D196" s="6" t="s">
        <v>217</v>
      </c>
      <c r="E196" s="6"/>
      <c r="F196" s="7" t="n">
        <v>46050.3222601505</v>
      </c>
      <c r="G196" s="7" t="n">
        <v>46050.4383036806</v>
      </c>
      <c r="H196" s="8" t="n">
        <v>24</v>
      </c>
      <c r="I196" s="5" t="n">
        <v>400932</v>
      </c>
      <c r="J196" s="6" t="s">
        <v>194</v>
      </c>
      <c r="K196" s="5" t="n">
        <v>100009226</v>
      </c>
      <c r="L196" s="9" t="n">
        <v>45838</v>
      </c>
      <c r="M196" s="10" t="n">
        <v>47663</v>
      </c>
    </row>
    <row r="197" customFormat="false" ht="30" hidden="true" customHeight="true" outlineLevel="0" collapsed="false">
      <c r="A197" s="4" t="s">
        <v>13</v>
      </c>
      <c r="B197" s="4" t="s">
        <v>14</v>
      </c>
      <c r="C197" s="5" t="n">
        <v>1329001640</v>
      </c>
      <c r="D197" s="6" t="s">
        <v>218</v>
      </c>
      <c r="E197" s="6"/>
      <c r="F197" s="7" t="n">
        <v>46050.3222601505</v>
      </c>
      <c r="G197" s="7" t="n">
        <v>46050.4346129745</v>
      </c>
      <c r="H197" s="8" t="n">
        <v>24</v>
      </c>
      <c r="I197" s="5" t="n">
        <v>400932</v>
      </c>
      <c r="J197" s="6" t="s">
        <v>194</v>
      </c>
      <c r="K197" s="5" t="n">
        <v>100008855</v>
      </c>
      <c r="L197" s="9" t="n">
        <v>45802</v>
      </c>
      <c r="M197" s="10" t="n">
        <v>47627</v>
      </c>
    </row>
    <row r="198" customFormat="false" ht="30" hidden="true" customHeight="true" outlineLevel="0" collapsed="false">
      <c r="A198" s="4" t="s">
        <v>13</v>
      </c>
      <c r="B198" s="4" t="s">
        <v>14</v>
      </c>
      <c r="C198" s="5" t="n">
        <v>1329001641</v>
      </c>
      <c r="D198" s="6" t="s">
        <v>219</v>
      </c>
      <c r="E198" s="6"/>
      <c r="F198" s="7" t="n">
        <v>46050.3256821644</v>
      </c>
      <c r="G198" s="7" t="n">
        <v>46050.3460947454</v>
      </c>
      <c r="H198" s="8" t="n">
        <v>4</v>
      </c>
      <c r="I198" s="5" t="n">
        <v>400514</v>
      </c>
      <c r="J198" s="6" t="s">
        <v>16</v>
      </c>
      <c r="K198" s="5" t="n">
        <v>100010991</v>
      </c>
      <c r="L198" s="9" t="n">
        <v>46002</v>
      </c>
      <c r="M198" s="10" t="n">
        <v>47827</v>
      </c>
    </row>
    <row r="199" customFormat="false" ht="30" hidden="true" customHeight="true" outlineLevel="0" collapsed="false">
      <c r="A199" s="4" t="s">
        <v>13</v>
      </c>
      <c r="B199" s="4" t="s">
        <v>14</v>
      </c>
      <c r="C199" s="5" t="n">
        <v>1329001641</v>
      </c>
      <c r="D199" s="6" t="s">
        <v>220</v>
      </c>
      <c r="E199" s="6"/>
      <c r="F199" s="7" t="n">
        <v>46050.3256821644</v>
      </c>
      <c r="G199" s="7" t="n">
        <v>46050.3512834144</v>
      </c>
      <c r="H199" s="8" t="n">
        <v>52</v>
      </c>
      <c r="I199" s="5" t="n">
        <v>400399</v>
      </c>
      <c r="J199" s="6" t="s">
        <v>221</v>
      </c>
      <c r="K199" s="5" t="n">
        <v>100010886</v>
      </c>
      <c r="L199" s="9" t="n">
        <v>45988</v>
      </c>
      <c r="M199" s="10" t="n">
        <v>47813</v>
      </c>
    </row>
    <row r="200" customFormat="false" ht="30" hidden="true" customHeight="true" outlineLevel="0" collapsed="false">
      <c r="A200" s="4" t="s">
        <v>13</v>
      </c>
      <c r="B200" s="4" t="s">
        <v>14</v>
      </c>
      <c r="C200" s="5" t="n">
        <v>1329001641</v>
      </c>
      <c r="D200" s="6" t="s">
        <v>222</v>
      </c>
      <c r="E200" s="6"/>
      <c r="F200" s="7" t="n">
        <v>46050.3256821644</v>
      </c>
      <c r="G200" s="7" t="n">
        <v>46050.3498777778</v>
      </c>
      <c r="H200" s="8" t="n">
        <v>52</v>
      </c>
      <c r="I200" s="5" t="n">
        <v>400399</v>
      </c>
      <c r="J200" s="6" t="s">
        <v>221</v>
      </c>
      <c r="K200" s="5" t="n">
        <v>100005680</v>
      </c>
      <c r="L200" s="9" t="n">
        <v>45467</v>
      </c>
      <c r="M200" s="10" t="n">
        <v>47292</v>
      </c>
    </row>
    <row r="201" customFormat="false" ht="30" hidden="true" customHeight="true" outlineLevel="0" collapsed="false">
      <c r="A201" s="4" t="s">
        <v>13</v>
      </c>
      <c r="B201" s="4" t="s">
        <v>14</v>
      </c>
      <c r="C201" s="5" t="n">
        <v>1329001641</v>
      </c>
      <c r="D201" s="6" t="s">
        <v>223</v>
      </c>
      <c r="E201" s="6"/>
      <c r="F201" s="7" t="n">
        <v>46050.3256821644</v>
      </c>
      <c r="G201" s="7" t="n">
        <v>46050.3494452083</v>
      </c>
      <c r="H201" s="8" t="n">
        <v>52</v>
      </c>
      <c r="I201" s="5" t="n">
        <v>400399</v>
      </c>
      <c r="J201" s="6" t="s">
        <v>221</v>
      </c>
      <c r="K201" s="5" t="n">
        <v>100010886</v>
      </c>
      <c r="L201" s="9" t="n">
        <v>45988</v>
      </c>
      <c r="M201" s="10" t="n">
        <v>47813</v>
      </c>
    </row>
    <row r="202" customFormat="false" ht="30" hidden="true" customHeight="true" outlineLevel="0" collapsed="false">
      <c r="A202" s="4" t="s">
        <v>13</v>
      </c>
      <c r="B202" s="4" t="s">
        <v>14</v>
      </c>
      <c r="C202" s="5" t="n">
        <v>1329001641</v>
      </c>
      <c r="D202" s="6" t="s">
        <v>224</v>
      </c>
      <c r="E202" s="6"/>
      <c r="F202" s="7" t="n">
        <v>46050.3256821644</v>
      </c>
      <c r="G202" s="7" t="n">
        <v>46050.3478143056</v>
      </c>
      <c r="H202" s="8" t="n">
        <v>4</v>
      </c>
      <c r="I202" s="5" t="n">
        <v>400514</v>
      </c>
      <c r="J202" s="6" t="s">
        <v>16</v>
      </c>
      <c r="K202" s="5" t="n">
        <v>100010991</v>
      </c>
      <c r="L202" s="9" t="n">
        <v>46002</v>
      </c>
      <c r="M202" s="10" t="n">
        <v>47827</v>
      </c>
    </row>
    <row r="203" customFormat="false" ht="30" hidden="true" customHeight="true" outlineLevel="0" collapsed="false">
      <c r="A203" s="4" t="s">
        <v>13</v>
      </c>
      <c r="B203" s="4" t="s">
        <v>14</v>
      </c>
      <c r="C203" s="5" t="n">
        <v>1329001641</v>
      </c>
      <c r="D203" s="6" t="s">
        <v>225</v>
      </c>
      <c r="E203" s="6"/>
      <c r="F203" s="7" t="n">
        <v>46050.3256821644</v>
      </c>
      <c r="G203" s="7" t="n">
        <v>46050.3476484259</v>
      </c>
      <c r="H203" s="8" t="n">
        <v>4</v>
      </c>
      <c r="I203" s="5" t="n">
        <v>400514</v>
      </c>
      <c r="J203" s="6" t="s">
        <v>16</v>
      </c>
      <c r="K203" s="5" t="n">
        <v>100010991</v>
      </c>
      <c r="L203" s="9" t="n">
        <v>46002</v>
      </c>
      <c r="M203" s="10" t="n">
        <v>47827</v>
      </c>
    </row>
    <row r="204" customFormat="false" ht="30" hidden="true" customHeight="true" outlineLevel="0" collapsed="false">
      <c r="A204" s="4" t="s">
        <v>13</v>
      </c>
      <c r="B204" s="4" t="s">
        <v>14</v>
      </c>
      <c r="C204" s="5" t="n">
        <v>1329001641</v>
      </c>
      <c r="D204" s="6" t="s">
        <v>226</v>
      </c>
      <c r="E204" s="6"/>
      <c r="F204" s="7" t="n">
        <v>46050.3256821644</v>
      </c>
      <c r="G204" s="7" t="n">
        <v>46050.3475418403</v>
      </c>
      <c r="H204" s="8" t="n">
        <v>4</v>
      </c>
      <c r="I204" s="5" t="n">
        <v>400514</v>
      </c>
      <c r="J204" s="6" t="s">
        <v>16</v>
      </c>
      <c r="K204" s="5" t="n">
        <v>100010991</v>
      </c>
      <c r="L204" s="9" t="n">
        <v>46002</v>
      </c>
      <c r="M204" s="10" t="n">
        <v>47827</v>
      </c>
    </row>
    <row r="205" customFormat="false" ht="30" hidden="true" customHeight="true" outlineLevel="0" collapsed="false">
      <c r="A205" s="4" t="s">
        <v>13</v>
      </c>
      <c r="B205" s="4" t="s">
        <v>14</v>
      </c>
      <c r="C205" s="5" t="n">
        <v>1329001641</v>
      </c>
      <c r="D205" s="6" t="s">
        <v>227</v>
      </c>
      <c r="E205" s="6"/>
      <c r="F205" s="7" t="n">
        <v>46050.3256821644</v>
      </c>
      <c r="G205" s="7" t="n">
        <v>46050.3473834954</v>
      </c>
      <c r="H205" s="8" t="n">
        <v>4</v>
      </c>
      <c r="I205" s="5" t="n">
        <v>400514</v>
      </c>
      <c r="J205" s="6" t="s">
        <v>16</v>
      </c>
      <c r="K205" s="5" t="n">
        <v>100010991</v>
      </c>
      <c r="L205" s="9" t="n">
        <v>46002</v>
      </c>
      <c r="M205" s="10" t="n">
        <v>47827</v>
      </c>
    </row>
    <row r="206" customFormat="false" ht="30" hidden="true" customHeight="true" outlineLevel="0" collapsed="false">
      <c r="A206" s="4" t="s">
        <v>13</v>
      </c>
      <c r="B206" s="4" t="s">
        <v>14</v>
      </c>
      <c r="C206" s="5" t="n">
        <v>1329001641</v>
      </c>
      <c r="D206" s="6" t="s">
        <v>228</v>
      </c>
      <c r="E206" s="6"/>
      <c r="F206" s="7" t="n">
        <v>46050.3256821644</v>
      </c>
      <c r="G206" s="7" t="n">
        <v>46050.347215</v>
      </c>
      <c r="H206" s="8" t="n">
        <v>4</v>
      </c>
      <c r="I206" s="5" t="n">
        <v>400514</v>
      </c>
      <c r="J206" s="6" t="s">
        <v>16</v>
      </c>
      <c r="K206" s="5" t="n">
        <v>100010991</v>
      </c>
      <c r="L206" s="9" t="n">
        <v>46002</v>
      </c>
      <c r="M206" s="10" t="n">
        <v>47827</v>
      </c>
    </row>
    <row r="207" customFormat="false" ht="30" hidden="true" customHeight="true" outlineLevel="0" collapsed="false">
      <c r="A207" s="4" t="s">
        <v>13</v>
      </c>
      <c r="B207" s="4" t="s">
        <v>14</v>
      </c>
      <c r="C207" s="5" t="n">
        <v>1329001641</v>
      </c>
      <c r="D207" s="6" t="s">
        <v>229</v>
      </c>
      <c r="E207" s="6"/>
      <c r="F207" s="7" t="n">
        <v>46050.3256821644</v>
      </c>
      <c r="G207" s="7" t="n">
        <v>46050.3470711343</v>
      </c>
      <c r="H207" s="8" t="n">
        <v>4</v>
      </c>
      <c r="I207" s="5" t="n">
        <v>400514</v>
      </c>
      <c r="J207" s="6" t="s">
        <v>16</v>
      </c>
      <c r="K207" s="5" t="n">
        <v>100010991</v>
      </c>
      <c r="L207" s="9" t="n">
        <v>46002</v>
      </c>
      <c r="M207" s="10" t="n">
        <v>47827</v>
      </c>
    </row>
    <row r="208" customFormat="false" ht="30" hidden="true" customHeight="true" outlineLevel="0" collapsed="false">
      <c r="A208" s="4" t="s">
        <v>13</v>
      </c>
      <c r="B208" s="4" t="s">
        <v>14</v>
      </c>
      <c r="C208" s="5" t="n">
        <v>1329001641</v>
      </c>
      <c r="D208" s="6" t="s">
        <v>230</v>
      </c>
      <c r="E208" s="6"/>
      <c r="F208" s="7" t="n">
        <v>46050.3256821644</v>
      </c>
      <c r="G208" s="7" t="n">
        <v>46050.3469190857</v>
      </c>
      <c r="H208" s="8" t="n">
        <v>4</v>
      </c>
      <c r="I208" s="5" t="n">
        <v>400514</v>
      </c>
      <c r="J208" s="6" t="s">
        <v>16</v>
      </c>
      <c r="K208" s="5" t="n">
        <v>100010991</v>
      </c>
      <c r="L208" s="9" t="n">
        <v>46002</v>
      </c>
      <c r="M208" s="10" t="n">
        <v>47827</v>
      </c>
    </row>
    <row r="209" customFormat="false" ht="30" hidden="true" customHeight="true" outlineLevel="0" collapsed="false">
      <c r="A209" s="4" t="s">
        <v>13</v>
      </c>
      <c r="B209" s="4" t="s">
        <v>14</v>
      </c>
      <c r="C209" s="5" t="n">
        <v>1329001641</v>
      </c>
      <c r="D209" s="6" t="s">
        <v>231</v>
      </c>
      <c r="E209" s="6"/>
      <c r="F209" s="7" t="n">
        <v>46050.3256821644</v>
      </c>
      <c r="G209" s="7" t="n">
        <v>46050.3467812963</v>
      </c>
      <c r="H209" s="8" t="n">
        <v>4</v>
      </c>
      <c r="I209" s="5" t="n">
        <v>400514</v>
      </c>
      <c r="J209" s="6" t="s">
        <v>16</v>
      </c>
      <c r="K209" s="5" t="n">
        <v>100010991</v>
      </c>
      <c r="L209" s="9" t="n">
        <v>46002</v>
      </c>
      <c r="M209" s="10" t="n">
        <v>47827</v>
      </c>
    </row>
    <row r="210" customFormat="false" ht="30" hidden="true" customHeight="true" outlineLevel="0" collapsed="false">
      <c r="A210" s="4" t="s">
        <v>13</v>
      </c>
      <c r="B210" s="4" t="s">
        <v>14</v>
      </c>
      <c r="C210" s="5" t="n">
        <v>1329001641</v>
      </c>
      <c r="D210" s="6" t="s">
        <v>232</v>
      </c>
      <c r="E210" s="6"/>
      <c r="F210" s="7" t="n">
        <v>46050.3256821644</v>
      </c>
      <c r="G210" s="7" t="n">
        <v>46050.3466562732</v>
      </c>
      <c r="H210" s="8" t="n">
        <v>4</v>
      </c>
      <c r="I210" s="5" t="n">
        <v>400514</v>
      </c>
      <c r="J210" s="6" t="s">
        <v>16</v>
      </c>
      <c r="K210" s="5" t="n">
        <v>100010991</v>
      </c>
      <c r="L210" s="9" t="n">
        <v>46002</v>
      </c>
      <c r="M210" s="10" t="n">
        <v>47827</v>
      </c>
    </row>
    <row r="211" customFormat="false" ht="30" hidden="true" customHeight="true" outlineLevel="0" collapsed="false">
      <c r="A211" s="4" t="s">
        <v>13</v>
      </c>
      <c r="B211" s="4" t="s">
        <v>14</v>
      </c>
      <c r="C211" s="5" t="n">
        <v>1329001641</v>
      </c>
      <c r="D211" s="6" t="s">
        <v>233</v>
      </c>
      <c r="E211" s="6"/>
      <c r="F211" s="7" t="n">
        <v>46050.3256821644</v>
      </c>
      <c r="G211" s="7" t="n">
        <v>46050.3465292361</v>
      </c>
      <c r="H211" s="8" t="n">
        <v>4</v>
      </c>
      <c r="I211" s="5" t="n">
        <v>400514</v>
      </c>
      <c r="J211" s="6" t="s">
        <v>16</v>
      </c>
      <c r="K211" s="5" t="n">
        <v>100010991</v>
      </c>
      <c r="L211" s="9" t="n">
        <v>46002</v>
      </c>
      <c r="M211" s="10" t="n">
        <v>47827</v>
      </c>
    </row>
    <row r="212" customFormat="false" ht="30" hidden="true" customHeight="true" outlineLevel="0" collapsed="false">
      <c r="A212" s="4" t="s">
        <v>13</v>
      </c>
      <c r="B212" s="4" t="s">
        <v>14</v>
      </c>
      <c r="C212" s="5" t="n">
        <v>1329001641</v>
      </c>
      <c r="D212" s="6" t="s">
        <v>234</v>
      </c>
      <c r="E212" s="6"/>
      <c r="F212" s="7" t="n">
        <v>46050.3256821644</v>
      </c>
      <c r="G212" s="7" t="n">
        <v>46050.3462573148</v>
      </c>
      <c r="H212" s="8" t="n">
        <v>4</v>
      </c>
      <c r="I212" s="5" t="n">
        <v>400514</v>
      </c>
      <c r="J212" s="6" t="s">
        <v>16</v>
      </c>
      <c r="K212" s="5" t="n">
        <v>100010991</v>
      </c>
      <c r="L212" s="9" t="n">
        <v>46002</v>
      </c>
      <c r="M212" s="10" t="n">
        <v>47827</v>
      </c>
    </row>
    <row r="213" customFormat="false" ht="30" hidden="true" customHeight="true" outlineLevel="0" collapsed="false">
      <c r="A213" s="4" t="s">
        <v>13</v>
      </c>
      <c r="B213" s="4" t="s">
        <v>14</v>
      </c>
      <c r="C213" s="5" t="n">
        <v>1329001641</v>
      </c>
      <c r="D213" s="6" t="s">
        <v>235</v>
      </c>
      <c r="E213" s="6"/>
      <c r="F213" s="7" t="n">
        <v>46050.3256821644</v>
      </c>
      <c r="G213" s="7" t="n">
        <v>46050.3534487269</v>
      </c>
      <c r="H213" s="8" t="n">
        <v>52</v>
      </c>
      <c r="I213" s="5" t="n">
        <v>400399</v>
      </c>
      <c r="J213" s="6" t="s">
        <v>221</v>
      </c>
      <c r="K213" s="5" t="n">
        <v>100010886</v>
      </c>
      <c r="L213" s="9" t="n">
        <v>45988</v>
      </c>
      <c r="M213" s="10" t="n">
        <v>47813</v>
      </c>
    </row>
    <row r="214" customFormat="false" ht="30" hidden="true" customHeight="true" outlineLevel="0" collapsed="false">
      <c r="A214" s="4" t="s">
        <v>13</v>
      </c>
      <c r="B214" s="4" t="s">
        <v>14</v>
      </c>
      <c r="C214" s="5" t="n">
        <v>1329001641</v>
      </c>
      <c r="D214" s="6" t="s">
        <v>236</v>
      </c>
      <c r="E214" s="6"/>
      <c r="F214" s="7" t="n">
        <v>46050.3256821644</v>
      </c>
      <c r="G214" s="7" t="n">
        <v>46050.353328125</v>
      </c>
      <c r="H214" s="8" t="n">
        <v>52</v>
      </c>
      <c r="I214" s="5" t="n">
        <v>400399</v>
      </c>
      <c r="J214" s="6" t="s">
        <v>221</v>
      </c>
      <c r="K214" s="5" t="n">
        <v>100010886</v>
      </c>
      <c r="L214" s="9" t="n">
        <v>45988</v>
      </c>
      <c r="M214" s="10" t="n">
        <v>47813</v>
      </c>
    </row>
    <row r="215" customFormat="false" ht="30" hidden="true" customHeight="true" outlineLevel="0" collapsed="false">
      <c r="A215" s="4" t="s">
        <v>13</v>
      </c>
      <c r="B215" s="4" t="s">
        <v>14</v>
      </c>
      <c r="C215" s="5" t="n">
        <v>1329001641</v>
      </c>
      <c r="D215" s="6" t="s">
        <v>237</v>
      </c>
      <c r="E215" s="6"/>
      <c r="F215" s="7" t="n">
        <v>46050.3256821644</v>
      </c>
      <c r="G215" s="7" t="n">
        <v>46050.3531425926</v>
      </c>
      <c r="H215" s="8" t="n">
        <v>52</v>
      </c>
      <c r="I215" s="5" t="n">
        <v>400399</v>
      </c>
      <c r="J215" s="6" t="s">
        <v>221</v>
      </c>
      <c r="K215" s="5" t="n">
        <v>100010886</v>
      </c>
      <c r="L215" s="9" t="n">
        <v>45988</v>
      </c>
      <c r="M215" s="10" t="n">
        <v>47813</v>
      </c>
    </row>
    <row r="216" customFormat="false" ht="30" hidden="true" customHeight="true" outlineLevel="0" collapsed="false">
      <c r="A216" s="4" t="s">
        <v>13</v>
      </c>
      <c r="B216" s="4" t="s">
        <v>14</v>
      </c>
      <c r="C216" s="5" t="n">
        <v>1329001641</v>
      </c>
      <c r="D216" s="6" t="s">
        <v>238</v>
      </c>
      <c r="E216" s="6"/>
      <c r="F216" s="7" t="n">
        <v>46050.3256821644</v>
      </c>
      <c r="G216" s="7" t="n">
        <v>46050.3530046065</v>
      </c>
      <c r="H216" s="8" t="n">
        <v>52</v>
      </c>
      <c r="I216" s="5" t="n">
        <v>400399</v>
      </c>
      <c r="J216" s="6" t="s">
        <v>221</v>
      </c>
      <c r="K216" s="5" t="n">
        <v>100010886</v>
      </c>
      <c r="L216" s="9" t="n">
        <v>45988</v>
      </c>
      <c r="M216" s="10" t="n">
        <v>47813</v>
      </c>
    </row>
    <row r="217" customFormat="false" ht="30" hidden="true" customHeight="true" outlineLevel="0" collapsed="false">
      <c r="A217" s="4" t="s">
        <v>13</v>
      </c>
      <c r="B217" s="4" t="s">
        <v>14</v>
      </c>
      <c r="C217" s="5" t="n">
        <v>1329001641</v>
      </c>
      <c r="D217" s="6" t="s">
        <v>239</v>
      </c>
      <c r="E217" s="6"/>
      <c r="F217" s="7" t="n">
        <v>46050.3256821644</v>
      </c>
      <c r="G217" s="7" t="n">
        <v>46050.3527056829</v>
      </c>
      <c r="H217" s="8" t="n">
        <v>52</v>
      </c>
      <c r="I217" s="5" t="n">
        <v>400399</v>
      </c>
      <c r="J217" s="6" t="s">
        <v>221</v>
      </c>
      <c r="K217" s="5" t="n">
        <v>100010886</v>
      </c>
      <c r="L217" s="9" t="n">
        <v>45988</v>
      </c>
      <c r="M217" s="10" t="n">
        <v>47813</v>
      </c>
    </row>
    <row r="218" customFormat="false" ht="30" hidden="true" customHeight="true" outlineLevel="0" collapsed="false">
      <c r="A218" s="4" t="s">
        <v>13</v>
      </c>
      <c r="B218" s="4" t="s">
        <v>14</v>
      </c>
      <c r="C218" s="5" t="n">
        <v>1329001641</v>
      </c>
      <c r="D218" s="6" t="s">
        <v>240</v>
      </c>
      <c r="E218" s="6"/>
      <c r="F218" s="7" t="n">
        <v>46050.3256821644</v>
      </c>
      <c r="G218" s="7" t="n">
        <v>46050.3526102662</v>
      </c>
      <c r="H218" s="8" t="n">
        <v>52</v>
      </c>
      <c r="I218" s="5" t="n">
        <v>400399</v>
      </c>
      <c r="J218" s="6" t="s">
        <v>221</v>
      </c>
      <c r="K218" s="5" t="n">
        <v>100010886</v>
      </c>
      <c r="L218" s="9" t="n">
        <v>45988</v>
      </c>
      <c r="M218" s="10" t="n">
        <v>47813</v>
      </c>
    </row>
    <row r="219" customFormat="false" ht="30" hidden="true" customHeight="true" outlineLevel="0" collapsed="false">
      <c r="A219" s="4" t="s">
        <v>13</v>
      </c>
      <c r="B219" s="4" t="s">
        <v>14</v>
      </c>
      <c r="C219" s="5" t="n">
        <v>1329001641</v>
      </c>
      <c r="D219" s="6" t="s">
        <v>241</v>
      </c>
      <c r="E219" s="6"/>
      <c r="F219" s="7" t="n">
        <v>46050.3256821644</v>
      </c>
      <c r="G219" s="7" t="n">
        <v>46050.3524833565</v>
      </c>
      <c r="H219" s="8" t="n">
        <v>52</v>
      </c>
      <c r="I219" s="5" t="n">
        <v>400399</v>
      </c>
      <c r="J219" s="6" t="s">
        <v>221</v>
      </c>
      <c r="K219" s="5" t="n">
        <v>100010886</v>
      </c>
      <c r="L219" s="9" t="n">
        <v>45988</v>
      </c>
      <c r="M219" s="10" t="n">
        <v>47813</v>
      </c>
    </row>
    <row r="220" customFormat="false" ht="30" hidden="true" customHeight="true" outlineLevel="0" collapsed="false">
      <c r="A220" s="4" t="s">
        <v>13</v>
      </c>
      <c r="B220" s="4" t="s">
        <v>14</v>
      </c>
      <c r="C220" s="5" t="n">
        <v>1329001641</v>
      </c>
      <c r="D220" s="6" t="s">
        <v>242</v>
      </c>
      <c r="E220" s="6"/>
      <c r="F220" s="7" t="n">
        <v>46050.3256821644</v>
      </c>
      <c r="G220" s="7" t="n">
        <v>46050.3517436574</v>
      </c>
      <c r="H220" s="8" t="n">
        <v>52</v>
      </c>
      <c r="I220" s="5" t="n">
        <v>400399</v>
      </c>
      <c r="J220" s="6" t="s">
        <v>221</v>
      </c>
      <c r="K220" s="5" t="n">
        <v>100008733</v>
      </c>
      <c r="L220" s="9" t="n">
        <v>45791</v>
      </c>
      <c r="M220" s="10" t="n">
        <v>47616</v>
      </c>
    </row>
    <row r="221" customFormat="false" ht="30" hidden="true" customHeight="true" outlineLevel="0" collapsed="false">
      <c r="A221" s="4" t="s">
        <v>13</v>
      </c>
      <c r="B221" s="4" t="s">
        <v>14</v>
      </c>
      <c r="C221" s="5" t="n">
        <v>1329001641</v>
      </c>
      <c r="D221" s="6" t="s">
        <v>243</v>
      </c>
      <c r="E221" s="6"/>
      <c r="F221" s="7" t="n">
        <v>46050.3256821644</v>
      </c>
      <c r="G221" s="7" t="n">
        <v>46050.3487382639</v>
      </c>
      <c r="H221" s="8" t="n">
        <v>52</v>
      </c>
      <c r="I221" s="5" t="n">
        <v>400399</v>
      </c>
      <c r="J221" s="6" t="s">
        <v>221</v>
      </c>
      <c r="K221" s="5" t="n">
        <v>100010886</v>
      </c>
      <c r="L221" s="9" t="n">
        <v>45988</v>
      </c>
      <c r="M221" s="10" t="n">
        <v>47813</v>
      </c>
    </row>
    <row r="222" customFormat="false" ht="30" hidden="true" customHeight="true" outlineLevel="0" collapsed="false">
      <c r="A222" s="4" t="s">
        <v>109</v>
      </c>
      <c r="B222" s="4" t="s">
        <v>14</v>
      </c>
      <c r="C222" s="5" t="n">
        <v>1329001632</v>
      </c>
      <c r="D222" s="6" t="s">
        <v>244</v>
      </c>
      <c r="E222" s="6"/>
      <c r="F222" s="7" t="n">
        <v>46050.4439584491</v>
      </c>
      <c r="G222" s="7" t="n">
        <v>46050.4528106597</v>
      </c>
      <c r="H222" s="8" t="n">
        <v>4</v>
      </c>
      <c r="I222" s="5" t="n">
        <v>400514</v>
      </c>
      <c r="J222" s="6" t="s">
        <v>16</v>
      </c>
      <c r="K222" s="5" t="n">
        <v>100010755</v>
      </c>
      <c r="L222" s="9" t="n">
        <v>45978</v>
      </c>
      <c r="M222" s="10" t="n">
        <v>47803</v>
      </c>
    </row>
    <row r="223" customFormat="false" ht="30" hidden="true" customHeight="true" outlineLevel="0" collapsed="false">
      <c r="A223" s="4" t="s">
        <v>109</v>
      </c>
      <c r="B223" s="4" t="s">
        <v>14</v>
      </c>
      <c r="C223" s="5" t="n">
        <v>1329001632</v>
      </c>
      <c r="D223" s="6" t="s">
        <v>245</v>
      </c>
      <c r="E223" s="6"/>
      <c r="F223" s="7" t="n">
        <v>46050.4439584491</v>
      </c>
      <c r="G223" s="7" t="n">
        <v>46050.4932970486</v>
      </c>
      <c r="H223" s="8" t="n">
        <v>4</v>
      </c>
      <c r="I223" s="5" t="n">
        <v>400514</v>
      </c>
      <c r="J223" s="6" t="s">
        <v>16</v>
      </c>
      <c r="K223" s="5" t="n">
        <v>100010849</v>
      </c>
      <c r="L223" s="9" t="n">
        <v>45986</v>
      </c>
      <c r="M223" s="10" t="n">
        <v>47811</v>
      </c>
    </row>
    <row r="224" customFormat="false" ht="30" hidden="true" customHeight="true" outlineLevel="0" collapsed="false">
      <c r="A224" s="4" t="s">
        <v>109</v>
      </c>
      <c r="B224" s="4" t="s">
        <v>14</v>
      </c>
      <c r="C224" s="5" t="n">
        <v>1329001632</v>
      </c>
      <c r="D224" s="6" t="s">
        <v>246</v>
      </c>
      <c r="E224" s="6"/>
      <c r="F224" s="7" t="n">
        <v>46050.4439584491</v>
      </c>
      <c r="G224" s="7" t="n">
        <v>46050.4886805324</v>
      </c>
      <c r="H224" s="8" t="n">
        <v>4</v>
      </c>
      <c r="I224" s="5" t="n">
        <v>400514</v>
      </c>
      <c r="J224" s="6" t="s">
        <v>16</v>
      </c>
      <c r="K224" s="5" t="n">
        <v>100010849</v>
      </c>
      <c r="L224" s="9" t="n">
        <v>45986</v>
      </c>
      <c r="M224" s="10" t="n">
        <v>47811</v>
      </c>
    </row>
    <row r="225" customFormat="false" ht="30" hidden="true" customHeight="true" outlineLevel="0" collapsed="false">
      <c r="A225" s="4" t="s">
        <v>109</v>
      </c>
      <c r="B225" s="4" t="s">
        <v>14</v>
      </c>
      <c r="C225" s="5" t="n">
        <v>1329001632</v>
      </c>
      <c r="D225" s="6" t="s">
        <v>247</v>
      </c>
      <c r="E225" s="6"/>
      <c r="F225" s="7" t="n">
        <v>46050.4439584491</v>
      </c>
      <c r="G225" s="7" t="n">
        <v>46050.4881725463</v>
      </c>
      <c r="H225" s="8" t="n">
        <v>4</v>
      </c>
      <c r="I225" s="5" t="n">
        <v>400514</v>
      </c>
      <c r="J225" s="6" t="s">
        <v>16</v>
      </c>
      <c r="K225" s="5" t="n">
        <v>100010849</v>
      </c>
      <c r="L225" s="9" t="n">
        <v>45986</v>
      </c>
      <c r="M225" s="10" t="n">
        <v>47811</v>
      </c>
    </row>
    <row r="226" customFormat="false" ht="30" hidden="true" customHeight="true" outlineLevel="0" collapsed="false">
      <c r="A226" s="4" t="s">
        <v>109</v>
      </c>
      <c r="B226" s="4" t="s">
        <v>14</v>
      </c>
      <c r="C226" s="5" t="n">
        <v>1329001632</v>
      </c>
      <c r="D226" s="6" t="s">
        <v>248</v>
      </c>
      <c r="E226" s="6"/>
      <c r="F226" s="7" t="n">
        <v>46050.4439584491</v>
      </c>
      <c r="G226" s="7" t="n">
        <v>46050.4793548611</v>
      </c>
      <c r="H226" s="8" t="n">
        <v>4</v>
      </c>
      <c r="I226" s="5" t="n">
        <v>400514</v>
      </c>
      <c r="J226" s="6" t="s">
        <v>16</v>
      </c>
      <c r="K226" s="5" t="n">
        <v>100010849</v>
      </c>
      <c r="L226" s="9" t="n">
        <v>45986</v>
      </c>
      <c r="M226" s="10" t="n">
        <v>47811</v>
      </c>
    </row>
    <row r="227" customFormat="false" ht="30" hidden="true" customHeight="true" outlineLevel="0" collapsed="false">
      <c r="A227" s="4" t="s">
        <v>109</v>
      </c>
      <c r="B227" s="4" t="s">
        <v>14</v>
      </c>
      <c r="C227" s="5" t="n">
        <v>1329001632</v>
      </c>
      <c r="D227" s="6" t="s">
        <v>249</v>
      </c>
      <c r="E227" s="6"/>
      <c r="F227" s="7" t="n">
        <v>46050.4439584491</v>
      </c>
      <c r="G227" s="7" t="n">
        <v>46050.4786691551</v>
      </c>
      <c r="H227" s="8" t="n">
        <v>4</v>
      </c>
      <c r="I227" s="5" t="n">
        <v>400514</v>
      </c>
      <c r="J227" s="6" t="s">
        <v>16</v>
      </c>
      <c r="K227" s="5" t="n">
        <v>100010849</v>
      </c>
      <c r="L227" s="9" t="n">
        <v>45986</v>
      </c>
      <c r="M227" s="10" t="n">
        <v>47811</v>
      </c>
    </row>
    <row r="228" customFormat="false" ht="30" hidden="true" customHeight="true" outlineLevel="0" collapsed="false">
      <c r="A228" s="4" t="s">
        <v>109</v>
      </c>
      <c r="B228" s="4" t="s">
        <v>14</v>
      </c>
      <c r="C228" s="5" t="n">
        <v>1329001632</v>
      </c>
      <c r="D228" s="6" t="s">
        <v>250</v>
      </c>
      <c r="E228" s="6"/>
      <c r="F228" s="7" t="n">
        <v>46050.4439584491</v>
      </c>
      <c r="G228" s="7" t="n">
        <v>46050.4777984838</v>
      </c>
      <c r="H228" s="8" t="n">
        <v>4</v>
      </c>
      <c r="I228" s="5" t="n">
        <v>400514</v>
      </c>
      <c r="J228" s="6" t="s">
        <v>16</v>
      </c>
      <c r="K228" s="5" t="n">
        <v>100010849</v>
      </c>
      <c r="L228" s="9" t="n">
        <v>45986</v>
      </c>
      <c r="M228" s="10" t="n">
        <v>47811</v>
      </c>
    </row>
    <row r="229" customFormat="false" ht="30" hidden="true" customHeight="true" outlineLevel="0" collapsed="false">
      <c r="A229" s="4" t="s">
        <v>109</v>
      </c>
      <c r="B229" s="4" t="s">
        <v>14</v>
      </c>
      <c r="C229" s="5" t="n">
        <v>1329001632</v>
      </c>
      <c r="D229" s="6" t="s">
        <v>251</v>
      </c>
      <c r="E229" s="6"/>
      <c r="F229" s="7" t="n">
        <v>46050.4439584491</v>
      </c>
      <c r="G229" s="7" t="n">
        <v>46050.4698646181</v>
      </c>
      <c r="H229" s="8" t="n">
        <v>4</v>
      </c>
      <c r="I229" s="5" t="n">
        <v>400514</v>
      </c>
      <c r="J229" s="6" t="s">
        <v>16</v>
      </c>
      <c r="K229" s="5" t="n">
        <v>100010755</v>
      </c>
      <c r="L229" s="9" t="n">
        <v>45978</v>
      </c>
      <c r="M229" s="10" t="n">
        <v>47803</v>
      </c>
    </row>
    <row r="230" customFormat="false" ht="30" hidden="true" customHeight="true" outlineLevel="0" collapsed="false">
      <c r="A230" s="4" t="s">
        <v>109</v>
      </c>
      <c r="B230" s="4" t="s">
        <v>14</v>
      </c>
      <c r="C230" s="5" t="n">
        <v>1329001632</v>
      </c>
      <c r="D230" s="6" t="s">
        <v>252</v>
      </c>
      <c r="E230" s="6"/>
      <c r="F230" s="7" t="n">
        <v>46050.4439584491</v>
      </c>
      <c r="G230" s="7" t="n">
        <v>46050.4690559144</v>
      </c>
      <c r="H230" s="8" t="n">
        <v>4</v>
      </c>
      <c r="I230" s="5" t="n">
        <v>400514</v>
      </c>
      <c r="J230" s="6" t="s">
        <v>16</v>
      </c>
      <c r="K230" s="5" t="n">
        <v>100010792</v>
      </c>
      <c r="L230" s="9" t="n">
        <v>45983</v>
      </c>
      <c r="M230" s="10" t="n">
        <v>47808</v>
      </c>
    </row>
    <row r="231" customFormat="false" ht="30" hidden="true" customHeight="true" outlineLevel="0" collapsed="false">
      <c r="A231" s="4" t="s">
        <v>109</v>
      </c>
      <c r="B231" s="4" t="s">
        <v>14</v>
      </c>
      <c r="C231" s="5" t="n">
        <v>1329001632</v>
      </c>
      <c r="D231" s="6" t="s">
        <v>253</v>
      </c>
      <c r="E231" s="6"/>
      <c r="F231" s="7" t="n">
        <v>46050.4439584491</v>
      </c>
      <c r="G231" s="7" t="n">
        <v>46050.4680606366</v>
      </c>
      <c r="H231" s="8" t="n">
        <v>4</v>
      </c>
      <c r="I231" s="5" t="n">
        <v>400514</v>
      </c>
      <c r="J231" s="6" t="s">
        <v>16</v>
      </c>
      <c r="K231" s="5" t="n">
        <v>100010849</v>
      </c>
      <c r="L231" s="9" t="n">
        <v>45986</v>
      </c>
      <c r="M231" s="10" t="n">
        <v>47811</v>
      </c>
    </row>
    <row r="232" customFormat="false" ht="30" hidden="true" customHeight="true" outlineLevel="0" collapsed="false">
      <c r="A232" s="4" t="s">
        <v>109</v>
      </c>
      <c r="B232" s="4" t="s">
        <v>14</v>
      </c>
      <c r="C232" s="5" t="n">
        <v>1329001632</v>
      </c>
      <c r="D232" s="6" t="s">
        <v>254</v>
      </c>
      <c r="E232" s="6"/>
      <c r="F232" s="7" t="n">
        <v>46050.4439584491</v>
      </c>
      <c r="G232" s="7" t="n">
        <v>46050.4667053241</v>
      </c>
      <c r="H232" s="8" t="n">
        <v>4</v>
      </c>
      <c r="I232" s="5" t="n">
        <v>400514</v>
      </c>
      <c r="J232" s="6" t="s">
        <v>16</v>
      </c>
      <c r="K232" s="5" t="n">
        <v>100010849</v>
      </c>
      <c r="L232" s="9" t="n">
        <v>45986</v>
      </c>
      <c r="M232" s="10" t="n">
        <v>47811</v>
      </c>
    </row>
    <row r="233" customFormat="false" ht="30" hidden="true" customHeight="true" outlineLevel="0" collapsed="false">
      <c r="A233" s="4" t="s">
        <v>109</v>
      </c>
      <c r="B233" s="4" t="s">
        <v>14</v>
      </c>
      <c r="C233" s="5" t="n">
        <v>1329001632</v>
      </c>
      <c r="D233" s="6" t="s">
        <v>255</v>
      </c>
      <c r="E233" s="6"/>
      <c r="F233" s="7" t="n">
        <v>46050.4439584491</v>
      </c>
      <c r="G233" s="7" t="n">
        <v>46050.4655377894</v>
      </c>
      <c r="H233" s="8" t="n">
        <v>4</v>
      </c>
      <c r="I233" s="5" t="n">
        <v>400514</v>
      </c>
      <c r="J233" s="6" t="s">
        <v>16</v>
      </c>
      <c r="K233" s="5" t="n">
        <v>100010755</v>
      </c>
      <c r="L233" s="9" t="n">
        <v>45978</v>
      </c>
      <c r="M233" s="10" t="n">
        <v>47803</v>
      </c>
    </row>
    <row r="234" customFormat="false" ht="30" hidden="true" customHeight="true" outlineLevel="0" collapsed="false">
      <c r="A234" s="4" t="s">
        <v>109</v>
      </c>
      <c r="B234" s="4" t="s">
        <v>14</v>
      </c>
      <c r="C234" s="5" t="n">
        <v>1329001632</v>
      </c>
      <c r="D234" s="6" t="s">
        <v>256</v>
      </c>
      <c r="E234" s="6"/>
      <c r="F234" s="7" t="n">
        <v>46050.4439584491</v>
      </c>
      <c r="G234" s="7" t="n">
        <v>46050.4641026505</v>
      </c>
      <c r="H234" s="8" t="n">
        <v>4</v>
      </c>
      <c r="I234" s="5" t="n">
        <v>400514</v>
      </c>
      <c r="J234" s="6" t="s">
        <v>16</v>
      </c>
      <c r="K234" s="5" t="n">
        <v>100010792</v>
      </c>
      <c r="L234" s="9" t="n">
        <v>45983</v>
      </c>
      <c r="M234" s="10" t="n">
        <v>47808</v>
      </c>
    </row>
    <row r="235" customFormat="false" ht="30" hidden="true" customHeight="true" outlineLevel="0" collapsed="false">
      <c r="A235" s="4" t="s">
        <v>109</v>
      </c>
      <c r="B235" s="4" t="s">
        <v>14</v>
      </c>
      <c r="C235" s="5" t="n">
        <v>1329001632</v>
      </c>
      <c r="D235" s="6" t="s">
        <v>257</v>
      </c>
      <c r="E235" s="6"/>
      <c r="F235" s="7" t="n">
        <v>46050.4439584491</v>
      </c>
      <c r="G235" s="7" t="n">
        <v>46050.4628338426</v>
      </c>
      <c r="H235" s="8" t="n">
        <v>4</v>
      </c>
      <c r="I235" s="5" t="n">
        <v>400514</v>
      </c>
      <c r="J235" s="6" t="s">
        <v>16</v>
      </c>
      <c r="K235" s="5" t="n">
        <v>100010792</v>
      </c>
      <c r="L235" s="9" t="n">
        <v>45983</v>
      </c>
      <c r="M235" s="10" t="n">
        <v>47808</v>
      </c>
    </row>
    <row r="236" customFormat="false" ht="30" hidden="true" customHeight="true" outlineLevel="0" collapsed="false">
      <c r="A236" s="4" t="s">
        <v>109</v>
      </c>
      <c r="B236" s="4" t="s">
        <v>14</v>
      </c>
      <c r="C236" s="5" t="n">
        <v>1329001632</v>
      </c>
      <c r="D236" s="6" t="s">
        <v>258</v>
      </c>
      <c r="E236" s="6"/>
      <c r="F236" s="7" t="n">
        <v>46050.4439584491</v>
      </c>
      <c r="G236" s="7" t="n">
        <v>46050.4607110764</v>
      </c>
      <c r="H236" s="8" t="n">
        <v>4</v>
      </c>
      <c r="I236" s="5" t="n">
        <v>400514</v>
      </c>
      <c r="J236" s="6" t="s">
        <v>16</v>
      </c>
      <c r="K236" s="5" t="n">
        <v>100010755</v>
      </c>
      <c r="L236" s="9" t="n">
        <v>45978</v>
      </c>
      <c r="M236" s="10" t="n">
        <v>47803</v>
      </c>
    </row>
    <row r="237" customFormat="false" ht="30" hidden="true" customHeight="true" outlineLevel="0" collapsed="false">
      <c r="A237" s="4" t="s">
        <v>109</v>
      </c>
      <c r="B237" s="4" t="s">
        <v>14</v>
      </c>
      <c r="C237" s="5" t="n">
        <v>1329001632</v>
      </c>
      <c r="D237" s="6" t="s">
        <v>259</v>
      </c>
      <c r="E237" s="6"/>
      <c r="F237" s="7" t="n">
        <v>46050.4439584491</v>
      </c>
      <c r="G237" s="7" t="n">
        <v>46050.4620178472</v>
      </c>
      <c r="H237" s="8" t="n">
        <v>4</v>
      </c>
      <c r="I237" s="5" t="n">
        <v>400514</v>
      </c>
      <c r="J237" s="6" t="s">
        <v>16</v>
      </c>
      <c r="K237" s="5" t="n">
        <v>100010792</v>
      </c>
      <c r="L237" s="9" t="n">
        <v>45983</v>
      </c>
      <c r="M237" s="10" t="n">
        <v>47808</v>
      </c>
    </row>
    <row r="238" customFormat="false" ht="30" hidden="true" customHeight="true" outlineLevel="0" collapsed="false">
      <c r="A238" s="4" t="s">
        <v>109</v>
      </c>
      <c r="B238" s="4" t="s">
        <v>14</v>
      </c>
      <c r="C238" s="5" t="n">
        <v>1329001632</v>
      </c>
      <c r="D238" s="6" t="s">
        <v>260</v>
      </c>
      <c r="E238" s="6"/>
      <c r="F238" s="7" t="n">
        <v>46050.4439584491</v>
      </c>
      <c r="G238" s="7" t="n">
        <v>46050.4593155903</v>
      </c>
      <c r="H238" s="8" t="n">
        <v>4</v>
      </c>
      <c r="I238" s="5" t="n">
        <v>400514</v>
      </c>
      <c r="J238" s="6" t="s">
        <v>16</v>
      </c>
      <c r="K238" s="5" t="n">
        <v>100010755</v>
      </c>
      <c r="L238" s="9" t="n">
        <v>45978</v>
      </c>
      <c r="M238" s="10" t="n">
        <v>47803</v>
      </c>
    </row>
    <row r="239" customFormat="false" ht="30" hidden="true" customHeight="true" outlineLevel="0" collapsed="false">
      <c r="A239" s="4" t="s">
        <v>109</v>
      </c>
      <c r="B239" s="4" t="s">
        <v>14</v>
      </c>
      <c r="C239" s="5" t="n">
        <v>1329001632</v>
      </c>
      <c r="D239" s="6" t="s">
        <v>261</v>
      </c>
      <c r="E239" s="6"/>
      <c r="F239" s="7" t="n">
        <v>46050.4439584491</v>
      </c>
      <c r="G239" s="7" t="n">
        <v>46050.4577653357</v>
      </c>
      <c r="H239" s="8" t="n">
        <v>4</v>
      </c>
      <c r="I239" s="5" t="n">
        <v>400514</v>
      </c>
      <c r="J239" s="6" t="s">
        <v>16</v>
      </c>
      <c r="K239" s="5" t="n">
        <v>100010755</v>
      </c>
      <c r="L239" s="9" t="n">
        <v>45978</v>
      </c>
      <c r="M239" s="10" t="n">
        <v>47803</v>
      </c>
    </row>
    <row r="240" customFormat="false" ht="30" hidden="true" customHeight="true" outlineLevel="0" collapsed="false">
      <c r="A240" s="4" t="s">
        <v>109</v>
      </c>
      <c r="B240" s="4" t="s">
        <v>14</v>
      </c>
      <c r="C240" s="5" t="n">
        <v>1329001632</v>
      </c>
      <c r="D240" s="6" t="s">
        <v>262</v>
      </c>
      <c r="E240" s="6"/>
      <c r="F240" s="7" t="n">
        <v>46050.4439584491</v>
      </c>
      <c r="G240" s="7" t="n">
        <v>46050.4546789005</v>
      </c>
      <c r="H240" s="8" t="n">
        <v>4</v>
      </c>
      <c r="I240" s="5" t="n">
        <v>400514</v>
      </c>
      <c r="J240" s="6" t="s">
        <v>16</v>
      </c>
      <c r="K240" s="5" t="n">
        <v>100010377</v>
      </c>
      <c r="L240" s="9" t="n">
        <v>45978</v>
      </c>
      <c r="M240" s="10" t="n">
        <v>47803</v>
      </c>
    </row>
    <row r="241" customFormat="false" ht="30" hidden="true" customHeight="true" outlineLevel="0" collapsed="false">
      <c r="A241" s="4" t="s">
        <v>109</v>
      </c>
      <c r="B241" s="4" t="s">
        <v>14</v>
      </c>
      <c r="C241" s="5" t="n">
        <v>1329001632</v>
      </c>
      <c r="D241" s="6" t="s">
        <v>263</v>
      </c>
      <c r="E241" s="6"/>
      <c r="F241" s="7" t="n">
        <v>46050.4439584491</v>
      </c>
      <c r="G241" s="7" t="n">
        <v>46050.5052621065</v>
      </c>
      <c r="H241" s="8" t="n">
        <v>4</v>
      </c>
      <c r="I241" s="5" t="n">
        <v>400514</v>
      </c>
      <c r="J241" s="6" t="s">
        <v>16</v>
      </c>
      <c r="K241" s="5" t="n">
        <v>100010755</v>
      </c>
      <c r="L241" s="9" t="n">
        <v>45978</v>
      </c>
      <c r="M241" s="10" t="n">
        <v>47803</v>
      </c>
    </row>
    <row r="242" customFormat="false" ht="30" hidden="true" customHeight="true" outlineLevel="0" collapsed="false">
      <c r="A242" s="4" t="s">
        <v>109</v>
      </c>
      <c r="B242" s="4" t="s">
        <v>14</v>
      </c>
      <c r="C242" s="5" t="n">
        <v>1329001632</v>
      </c>
      <c r="D242" s="6" t="s">
        <v>264</v>
      </c>
      <c r="E242" s="6"/>
      <c r="F242" s="7" t="n">
        <v>46050.4439584491</v>
      </c>
      <c r="G242" s="7" t="n">
        <v>46050.5048495023</v>
      </c>
      <c r="H242" s="8" t="n">
        <v>4</v>
      </c>
      <c r="I242" s="5" t="n">
        <v>400514</v>
      </c>
      <c r="J242" s="6" t="s">
        <v>16</v>
      </c>
      <c r="K242" s="5" t="n">
        <v>100010755</v>
      </c>
      <c r="L242" s="9" t="n">
        <v>45978</v>
      </c>
      <c r="M242" s="10" t="n">
        <v>47803</v>
      </c>
    </row>
    <row r="243" customFormat="false" ht="30" hidden="true" customHeight="true" outlineLevel="0" collapsed="false">
      <c r="A243" s="4" t="s">
        <v>109</v>
      </c>
      <c r="B243" s="4" t="s">
        <v>14</v>
      </c>
      <c r="C243" s="5" t="n">
        <v>1329001632</v>
      </c>
      <c r="D243" s="6" t="s">
        <v>265</v>
      </c>
      <c r="E243" s="6"/>
      <c r="F243" s="7" t="n">
        <v>46050.4439584491</v>
      </c>
      <c r="G243" s="7" t="n">
        <v>46050.5038829977</v>
      </c>
      <c r="H243" s="8" t="n">
        <v>4</v>
      </c>
      <c r="I243" s="5" t="n">
        <v>400514</v>
      </c>
      <c r="J243" s="6" t="s">
        <v>16</v>
      </c>
      <c r="K243" s="5" t="n">
        <v>100010544</v>
      </c>
      <c r="L243" s="9" t="n">
        <v>45978</v>
      </c>
      <c r="M243" s="10" t="n">
        <v>47803</v>
      </c>
    </row>
    <row r="244" customFormat="false" ht="30" hidden="true" customHeight="true" outlineLevel="0" collapsed="false">
      <c r="A244" s="4" t="s">
        <v>109</v>
      </c>
      <c r="B244" s="4" t="s">
        <v>14</v>
      </c>
      <c r="C244" s="5" t="n">
        <v>1329001632</v>
      </c>
      <c r="D244" s="6" t="s">
        <v>266</v>
      </c>
      <c r="E244" s="6"/>
      <c r="F244" s="7" t="n">
        <v>46050.4439584491</v>
      </c>
      <c r="G244" s="7" t="n">
        <v>46050.5028914005</v>
      </c>
      <c r="H244" s="8" t="n">
        <v>4</v>
      </c>
      <c r="I244" s="5" t="n">
        <v>400514</v>
      </c>
      <c r="J244" s="6" t="s">
        <v>16</v>
      </c>
      <c r="K244" s="5" t="n">
        <v>100010544</v>
      </c>
      <c r="L244" s="9" t="n">
        <v>45978</v>
      </c>
      <c r="M244" s="10" t="n">
        <v>47803</v>
      </c>
    </row>
    <row r="245" customFormat="false" ht="30" hidden="true" customHeight="true" outlineLevel="0" collapsed="false">
      <c r="A245" s="4" t="s">
        <v>109</v>
      </c>
      <c r="B245" s="4" t="s">
        <v>14</v>
      </c>
      <c r="C245" s="5" t="n">
        <v>1329001632</v>
      </c>
      <c r="D245" s="6" t="s">
        <v>267</v>
      </c>
      <c r="E245" s="6"/>
      <c r="F245" s="7" t="n">
        <v>46050.4439584491</v>
      </c>
      <c r="G245" s="7" t="n">
        <v>46050.5017468056</v>
      </c>
      <c r="H245" s="8" t="n">
        <v>4</v>
      </c>
      <c r="I245" s="5" t="n">
        <v>400514</v>
      </c>
      <c r="J245" s="6" t="s">
        <v>16</v>
      </c>
      <c r="K245" s="5" t="n">
        <v>100010544</v>
      </c>
      <c r="L245" s="9" t="n">
        <v>45978</v>
      </c>
      <c r="M245" s="10" t="n">
        <v>47803</v>
      </c>
    </row>
    <row r="246" customFormat="false" ht="30" hidden="true" customHeight="true" outlineLevel="0" collapsed="false">
      <c r="A246" s="4" t="s">
        <v>109</v>
      </c>
      <c r="B246" s="4" t="s">
        <v>14</v>
      </c>
      <c r="C246" s="5" t="n">
        <v>1329001632</v>
      </c>
      <c r="D246" s="6" t="s">
        <v>268</v>
      </c>
      <c r="E246" s="6"/>
      <c r="F246" s="7" t="n">
        <v>46050.4439584491</v>
      </c>
      <c r="G246" s="7" t="n">
        <v>46050.5008685069</v>
      </c>
      <c r="H246" s="8" t="n">
        <v>4</v>
      </c>
      <c r="I246" s="5" t="n">
        <v>400514</v>
      </c>
      <c r="J246" s="6" t="s">
        <v>16</v>
      </c>
      <c r="K246" s="5" t="n">
        <v>100010544</v>
      </c>
      <c r="L246" s="9" t="n">
        <v>45978</v>
      </c>
      <c r="M246" s="10" t="n">
        <v>47803</v>
      </c>
    </row>
    <row r="247" customFormat="false" ht="30" hidden="true" customHeight="true" outlineLevel="0" collapsed="false">
      <c r="A247" s="4" t="s">
        <v>109</v>
      </c>
      <c r="B247" s="4" t="s">
        <v>14</v>
      </c>
      <c r="C247" s="5" t="n">
        <v>1329001632</v>
      </c>
      <c r="D247" s="6" t="s">
        <v>269</v>
      </c>
      <c r="E247" s="6"/>
      <c r="F247" s="7" t="n">
        <v>46050.4439584491</v>
      </c>
      <c r="G247" s="7" t="n">
        <v>46050.4998649306</v>
      </c>
      <c r="H247" s="8" t="n">
        <v>4</v>
      </c>
      <c r="I247" s="5" t="n">
        <v>400514</v>
      </c>
      <c r="J247" s="6" t="s">
        <v>16</v>
      </c>
      <c r="K247" s="5" t="n">
        <v>100010544</v>
      </c>
      <c r="L247" s="9" t="n">
        <v>45978</v>
      </c>
      <c r="M247" s="10" t="n">
        <v>47803</v>
      </c>
    </row>
    <row r="248" customFormat="false" ht="30" hidden="true" customHeight="true" outlineLevel="0" collapsed="false">
      <c r="A248" s="4" t="s">
        <v>109</v>
      </c>
      <c r="B248" s="4" t="s">
        <v>14</v>
      </c>
      <c r="C248" s="5" t="n">
        <v>1329001632</v>
      </c>
      <c r="D248" s="6" t="s">
        <v>270</v>
      </c>
      <c r="E248" s="6"/>
      <c r="F248" s="7" t="n">
        <v>46050.4439584491</v>
      </c>
      <c r="G248" s="7" t="n">
        <v>46050.4985188079</v>
      </c>
      <c r="H248" s="8" t="n">
        <v>4</v>
      </c>
      <c r="I248" s="5" t="n">
        <v>400514</v>
      </c>
      <c r="J248" s="6" t="s">
        <v>16</v>
      </c>
      <c r="K248" s="5" t="n">
        <v>100010544</v>
      </c>
      <c r="L248" s="9" t="n">
        <v>45978</v>
      </c>
      <c r="M248" s="10" t="n">
        <v>47803</v>
      </c>
    </row>
    <row r="249" customFormat="false" ht="30" hidden="true" customHeight="true" outlineLevel="0" collapsed="false">
      <c r="A249" s="4" t="s">
        <v>109</v>
      </c>
      <c r="B249" s="4" t="s">
        <v>14</v>
      </c>
      <c r="C249" s="5" t="n">
        <v>1329001632</v>
      </c>
      <c r="D249" s="6" t="s">
        <v>271</v>
      </c>
      <c r="E249" s="6"/>
      <c r="F249" s="7" t="n">
        <v>46050.4439584491</v>
      </c>
      <c r="G249" s="7" t="n">
        <v>46050.4969744097</v>
      </c>
      <c r="H249" s="8" t="n">
        <v>4</v>
      </c>
      <c r="I249" s="5" t="n">
        <v>400514</v>
      </c>
      <c r="J249" s="6" t="s">
        <v>16</v>
      </c>
      <c r="K249" s="5" t="n">
        <v>100010544</v>
      </c>
      <c r="L249" s="9" t="n">
        <v>45978</v>
      </c>
      <c r="M249" s="10" t="n">
        <v>47803</v>
      </c>
    </row>
    <row r="250" customFormat="false" ht="30" hidden="true" customHeight="true" outlineLevel="0" collapsed="false">
      <c r="A250" s="4" t="s">
        <v>109</v>
      </c>
      <c r="B250" s="4" t="s">
        <v>14</v>
      </c>
      <c r="C250" s="5" t="n">
        <v>1329001632</v>
      </c>
      <c r="D250" s="6" t="s">
        <v>272</v>
      </c>
      <c r="E250" s="6"/>
      <c r="F250" s="7" t="n">
        <v>46050.4439584491</v>
      </c>
      <c r="G250" s="7" t="n">
        <v>46050.4955676273</v>
      </c>
      <c r="H250" s="8" t="n">
        <v>4</v>
      </c>
      <c r="I250" s="5" t="n">
        <v>400514</v>
      </c>
      <c r="J250" s="6" t="s">
        <v>16</v>
      </c>
      <c r="K250" s="5" t="n">
        <v>100010544</v>
      </c>
      <c r="L250" s="9" t="n">
        <v>45978</v>
      </c>
      <c r="M250" s="10" t="n">
        <v>47803</v>
      </c>
    </row>
    <row r="251" customFormat="false" ht="30" hidden="true" customHeight="true" outlineLevel="0" collapsed="false">
      <c r="A251" s="4" t="s">
        <v>109</v>
      </c>
      <c r="B251" s="4" t="s">
        <v>14</v>
      </c>
      <c r="C251" s="5" t="n">
        <v>1329001632</v>
      </c>
      <c r="D251" s="6" t="s">
        <v>273</v>
      </c>
      <c r="E251" s="6"/>
      <c r="F251" s="7" t="n">
        <v>46050.4439584491</v>
      </c>
      <c r="G251" s="7" t="n">
        <v>46050.4938660417</v>
      </c>
      <c r="H251" s="8" t="n">
        <v>4</v>
      </c>
      <c r="I251" s="5" t="n">
        <v>400514</v>
      </c>
      <c r="J251" s="6" t="s">
        <v>16</v>
      </c>
      <c r="K251" s="5" t="n">
        <v>100010849</v>
      </c>
      <c r="L251" s="9" t="n">
        <v>45986</v>
      </c>
      <c r="M251" s="10" t="n">
        <v>47811</v>
      </c>
    </row>
    <row r="252" customFormat="false" ht="30" hidden="true" customHeight="true" outlineLevel="0" collapsed="false">
      <c r="A252" s="4" t="s">
        <v>109</v>
      </c>
      <c r="B252" s="4" t="s">
        <v>14</v>
      </c>
      <c r="C252" s="5" t="n">
        <v>1329001642</v>
      </c>
      <c r="D252" s="6" t="s">
        <v>274</v>
      </c>
      <c r="E252" s="6"/>
      <c r="F252" s="7" t="n">
        <v>46052.2548821528</v>
      </c>
      <c r="G252" s="7" t="n">
        <v>46052.4072413426</v>
      </c>
      <c r="H252" s="8" t="n">
        <v>24</v>
      </c>
      <c r="I252" s="5" t="n">
        <v>400413</v>
      </c>
      <c r="J252" s="6" t="s">
        <v>168</v>
      </c>
      <c r="K252" s="5" t="n">
        <v>100010677</v>
      </c>
      <c r="L252" s="9" t="n">
        <v>45977</v>
      </c>
      <c r="M252" s="10" t="n">
        <v>47802</v>
      </c>
    </row>
    <row r="253" customFormat="false" ht="30" hidden="true" customHeight="true" outlineLevel="0" collapsed="false">
      <c r="A253" s="4" t="s">
        <v>109</v>
      </c>
      <c r="B253" s="4" t="s">
        <v>14</v>
      </c>
      <c r="C253" s="5" t="n">
        <v>1329001642</v>
      </c>
      <c r="D253" s="6" t="s">
        <v>275</v>
      </c>
      <c r="E253" s="6"/>
      <c r="F253" s="7" t="n">
        <v>46052.2548821528</v>
      </c>
      <c r="G253" s="7" t="n">
        <v>46052.4004270255</v>
      </c>
      <c r="H253" s="8" t="n">
        <v>24</v>
      </c>
      <c r="I253" s="5" t="n">
        <v>400413</v>
      </c>
      <c r="J253" s="6" t="s">
        <v>168</v>
      </c>
      <c r="K253" s="5" t="n">
        <v>100010738</v>
      </c>
      <c r="L253" s="9"/>
      <c r="M253" s="10" t="n">
        <v>47802</v>
      </c>
    </row>
    <row r="254" customFormat="false" ht="30" hidden="true" customHeight="true" outlineLevel="0" collapsed="false">
      <c r="A254" s="4" t="s">
        <v>109</v>
      </c>
      <c r="B254" s="4" t="s">
        <v>14</v>
      </c>
      <c r="C254" s="5" t="n">
        <v>1329001642</v>
      </c>
      <c r="D254" s="6" t="s">
        <v>276</v>
      </c>
      <c r="E254" s="6"/>
      <c r="F254" s="7" t="n">
        <v>46052.2548821528</v>
      </c>
      <c r="G254" s="7" t="n">
        <v>46052.3987116435</v>
      </c>
      <c r="H254" s="8" t="n">
        <v>52</v>
      </c>
      <c r="I254" s="5" t="n">
        <v>400396</v>
      </c>
      <c r="J254" s="6" t="s">
        <v>170</v>
      </c>
      <c r="K254" s="5" t="n">
        <v>100010226</v>
      </c>
      <c r="L254" s="9"/>
      <c r="M254" s="10" t="n">
        <v>47756</v>
      </c>
    </row>
    <row r="255" customFormat="false" ht="30" hidden="true" customHeight="true" outlineLevel="0" collapsed="false">
      <c r="A255" s="4" t="s">
        <v>109</v>
      </c>
      <c r="B255" s="4" t="s">
        <v>14</v>
      </c>
      <c r="C255" s="5" t="n">
        <v>1329001642</v>
      </c>
      <c r="D255" s="6" t="s">
        <v>277</v>
      </c>
      <c r="E255" s="6"/>
      <c r="F255" s="7" t="n">
        <v>46052.2548821528</v>
      </c>
      <c r="G255" s="7" t="n">
        <v>46052.4681808565</v>
      </c>
      <c r="H255" s="8" t="n">
        <v>24</v>
      </c>
      <c r="I255" s="5" t="n">
        <v>400413</v>
      </c>
      <c r="J255" s="6" t="s">
        <v>168</v>
      </c>
      <c r="K255" s="5" t="n">
        <v>100010539</v>
      </c>
      <c r="L255" s="9"/>
      <c r="M255" s="10" t="n">
        <v>47802</v>
      </c>
    </row>
    <row r="256" customFormat="false" ht="30" hidden="true" customHeight="true" outlineLevel="0" collapsed="false">
      <c r="A256" s="4" t="s">
        <v>109</v>
      </c>
      <c r="B256" s="4" t="s">
        <v>14</v>
      </c>
      <c r="C256" s="5" t="n">
        <v>1329001642</v>
      </c>
      <c r="D256" s="6" t="s">
        <v>278</v>
      </c>
      <c r="E256" s="6"/>
      <c r="F256" s="7" t="n">
        <v>46052.2548821528</v>
      </c>
      <c r="G256" s="7" t="n">
        <v>46052.4675013079</v>
      </c>
      <c r="H256" s="8" t="n">
        <v>52</v>
      </c>
      <c r="I256" s="5" t="n">
        <v>400396</v>
      </c>
      <c r="J256" s="6" t="s">
        <v>170</v>
      </c>
      <c r="K256" s="5" t="n">
        <v>100011104</v>
      </c>
      <c r="L256" s="9"/>
      <c r="M256" s="10" t="n">
        <v>47833</v>
      </c>
    </row>
    <row r="257" customFormat="false" ht="30" hidden="true" customHeight="true" outlineLevel="0" collapsed="false">
      <c r="A257" s="4" t="s">
        <v>109</v>
      </c>
      <c r="B257" s="4" t="s">
        <v>14</v>
      </c>
      <c r="C257" s="5" t="n">
        <v>1329001642</v>
      </c>
      <c r="D257" s="6" t="s">
        <v>279</v>
      </c>
      <c r="E257" s="6"/>
      <c r="F257" s="7" t="n">
        <v>46052.2548821528</v>
      </c>
      <c r="G257" s="7" t="n">
        <v>46052.4656491319</v>
      </c>
      <c r="H257" s="8" t="n">
        <v>52</v>
      </c>
      <c r="I257" s="5" t="n">
        <v>400396</v>
      </c>
      <c r="J257" s="6" t="s">
        <v>170</v>
      </c>
      <c r="K257" s="5" t="n">
        <v>100011104</v>
      </c>
      <c r="L257" s="9"/>
      <c r="M257" s="10" t="n">
        <v>47833</v>
      </c>
    </row>
    <row r="258" customFormat="false" ht="30" hidden="true" customHeight="true" outlineLevel="0" collapsed="false">
      <c r="A258" s="4" t="s">
        <v>109</v>
      </c>
      <c r="B258" s="4" t="s">
        <v>14</v>
      </c>
      <c r="C258" s="5" t="n">
        <v>1329001642</v>
      </c>
      <c r="D258" s="6" t="s">
        <v>280</v>
      </c>
      <c r="E258" s="6"/>
      <c r="F258" s="7" t="n">
        <v>46052.2548821528</v>
      </c>
      <c r="G258" s="7" t="n">
        <v>46052.4666845833</v>
      </c>
      <c r="H258" s="8" t="n">
        <v>24</v>
      </c>
      <c r="I258" s="5" t="n">
        <v>400413</v>
      </c>
      <c r="J258" s="6" t="s">
        <v>168</v>
      </c>
      <c r="K258" s="5" t="n">
        <v>100010539</v>
      </c>
      <c r="L258" s="9"/>
      <c r="M258" s="10" t="n">
        <v>47802</v>
      </c>
    </row>
    <row r="259" customFormat="false" ht="30" hidden="true" customHeight="true" outlineLevel="0" collapsed="false">
      <c r="A259" s="4" t="s">
        <v>109</v>
      </c>
      <c r="B259" s="4" t="s">
        <v>14</v>
      </c>
      <c r="C259" s="5" t="n">
        <v>1329001642</v>
      </c>
      <c r="D259" s="6" t="s">
        <v>281</v>
      </c>
      <c r="E259" s="6"/>
      <c r="F259" s="7" t="n">
        <v>46052.2548821528</v>
      </c>
      <c r="G259" s="7" t="n">
        <v>46052.4637786806</v>
      </c>
      <c r="H259" s="8" t="n">
        <v>24</v>
      </c>
      <c r="I259" s="5" t="n">
        <v>400413</v>
      </c>
      <c r="J259" s="6" t="s">
        <v>168</v>
      </c>
      <c r="K259" s="5" t="n">
        <v>100010677</v>
      </c>
      <c r="L259" s="9"/>
      <c r="M259" s="10" t="n">
        <v>47802</v>
      </c>
    </row>
    <row r="260" customFormat="false" ht="30" hidden="true" customHeight="true" outlineLevel="0" collapsed="false">
      <c r="A260" s="4" t="s">
        <v>109</v>
      </c>
      <c r="B260" s="4" t="s">
        <v>14</v>
      </c>
      <c r="C260" s="5" t="n">
        <v>1329001642</v>
      </c>
      <c r="D260" s="6" t="s">
        <v>282</v>
      </c>
      <c r="E260" s="6"/>
      <c r="F260" s="7" t="n">
        <v>46052.2548821528</v>
      </c>
      <c r="G260" s="7" t="n">
        <v>46052.465051713</v>
      </c>
      <c r="H260" s="8" t="n">
        <v>52</v>
      </c>
      <c r="I260" s="5" t="n">
        <v>400396</v>
      </c>
      <c r="J260" s="6" t="s">
        <v>170</v>
      </c>
      <c r="K260" s="5" t="n">
        <v>100011104</v>
      </c>
      <c r="L260" s="9"/>
      <c r="M260" s="10" t="n">
        <v>47833</v>
      </c>
    </row>
    <row r="261" customFormat="false" ht="30" hidden="true" customHeight="true" outlineLevel="0" collapsed="false">
      <c r="A261" s="4" t="s">
        <v>109</v>
      </c>
      <c r="B261" s="4" t="s">
        <v>14</v>
      </c>
      <c r="C261" s="5" t="n">
        <v>1329001642</v>
      </c>
      <c r="D261" s="6" t="s">
        <v>283</v>
      </c>
      <c r="E261" s="6"/>
      <c r="F261" s="7" t="n">
        <v>46052.2548821528</v>
      </c>
      <c r="G261" s="7" t="n">
        <v>46052.430293831</v>
      </c>
      <c r="H261" s="8" t="n">
        <v>52</v>
      </c>
      <c r="I261" s="5" t="n">
        <v>400396</v>
      </c>
      <c r="J261" s="6" t="s">
        <v>170</v>
      </c>
      <c r="K261" s="5" t="n">
        <v>100011104</v>
      </c>
      <c r="L261" s="9"/>
      <c r="M261" s="10" t="n">
        <v>47833</v>
      </c>
    </row>
    <row r="262" customFormat="false" ht="30" hidden="true" customHeight="true" outlineLevel="0" collapsed="false">
      <c r="A262" s="4" t="s">
        <v>109</v>
      </c>
      <c r="B262" s="4" t="s">
        <v>14</v>
      </c>
      <c r="C262" s="5" t="n">
        <v>1329001642</v>
      </c>
      <c r="D262" s="6" t="s">
        <v>284</v>
      </c>
      <c r="E262" s="6"/>
      <c r="F262" s="7" t="n">
        <v>46052.2548821528</v>
      </c>
      <c r="G262" s="7" t="n">
        <v>46052.4283302894</v>
      </c>
      <c r="H262" s="8" t="n">
        <v>52</v>
      </c>
      <c r="I262" s="5" t="n">
        <v>400396</v>
      </c>
      <c r="J262" s="6" t="s">
        <v>170</v>
      </c>
      <c r="K262" s="5" t="n">
        <v>100010226</v>
      </c>
      <c r="L262" s="9"/>
      <c r="M262" s="10" t="n">
        <v>47756</v>
      </c>
    </row>
    <row r="263" customFormat="false" ht="30" hidden="true" customHeight="true" outlineLevel="0" collapsed="false">
      <c r="A263" s="4" t="s">
        <v>109</v>
      </c>
      <c r="B263" s="4" t="s">
        <v>14</v>
      </c>
      <c r="C263" s="5" t="n">
        <v>1329001642</v>
      </c>
      <c r="D263" s="6" t="s">
        <v>285</v>
      </c>
      <c r="E263" s="6"/>
      <c r="F263" s="7" t="n">
        <v>46052.2548821528</v>
      </c>
      <c r="G263" s="7" t="n">
        <v>46052.427926794</v>
      </c>
      <c r="H263" s="8" t="n">
        <v>24</v>
      </c>
      <c r="I263" s="5" t="n">
        <v>400413</v>
      </c>
      <c r="J263" s="6" t="s">
        <v>168</v>
      </c>
      <c r="K263" s="5" t="n">
        <v>100010677</v>
      </c>
      <c r="L263" s="9"/>
      <c r="M263" s="10" t="n">
        <v>47802</v>
      </c>
    </row>
    <row r="264" customFormat="false" ht="30" hidden="true" customHeight="true" outlineLevel="0" collapsed="false">
      <c r="A264" s="4" t="s">
        <v>109</v>
      </c>
      <c r="B264" s="4" t="s">
        <v>14</v>
      </c>
      <c r="C264" s="5" t="n">
        <v>1329001642</v>
      </c>
      <c r="D264" s="6" t="s">
        <v>286</v>
      </c>
      <c r="E264" s="6"/>
      <c r="F264" s="7" t="n">
        <v>46052.2548821528</v>
      </c>
      <c r="G264" s="7" t="n">
        <v>46052.4271246181</v>
      </c>
      <c r="H264" s="8" t="n">
        <v>52</v>
      </c>
      <c r="I264" s="5" t="n">
        <v>400396</v>
      </c>
      <c r="J264" s="6" t="s">
        <v>170</v>
      </c>
      <c r="K264" s="5" t="n">
        <v>100010226</v>
      </c>
      <c r="L264" s="9"/>
      <c r="M264" s="10" t="n">
        <v>47756</v>
      </c>
    </row>
    <row r="265" customFormat="false" ht="30" hidden="true" customHeight="true" outlineLevel="0" collapsed="false">
      <c r="A265" s="4" t="s">
        <v>109</v>
      </c>
      <c r="B265" s="4" t="s">
        <v>14</v>
      </c>
      <c r="C265" s="5" t="n">
        <v>1329001642</v>
      </c>
      <c r="D265" s="6" t="s">
        <v>287</v>
      </c>
      <c r="E265" s="6"/>
      <c r="F265" s="7" t="n">
        <v>46052.2548821528</v>
      </c>
      <c r="G265" s="7" t="n">
        <v>46052.4148165625</v>
      </c>
      <c r="H265" s="8" t="n">
        <v>52</v>
      </c>
      <c r="I265" s="5" t="n">
        <v>400396</v>
      </c>
      <c r="J265" s="6" t="s">
        <v>170</v>
      </c>
      <c r="K265" s="5" t="n">
        <v>10010226</v>
      </c>
      <c r="L265" s="9"/>
      <c r="M265" s="10" t="n">
        <v>47771</v>
      </c>
    </row>
    <row r="266" customFormat="false" ht="30" hidden="true" customHeight="true" outlineLevel="0" collapsed="false">
      <c r="A266" s="4" t="s">
        <v>109</v>
      </c>
      <c r="B266" s="4" t="s">
        <v>14</v>
      </c>
      <c r="C266" s="5" t="n">
        <v>1329001642</v>
      </c>
      <c r="D266" s="6" t="s">
        <v>288</v>
      </c>
      <c r="E266" s="6"/>
      <c r="F266" s="7" t="n">
        <v>46052.2548821528</v>
      </c>
      <c r="G266" s="7" t="n">
        <v>46052.4100458912</v>
      </c>
      <c r="H266" s="8" t="n">
        <v>52</v>
      </c>
      <c r="I266" s="5" t="n">
        <v>400396</v>
      </c>
      <c r="J266" s="6" t="s">
        <v>170</v>
      </c>
      <c r="K266" s="5" t="n">
        <v>100010226</v>
      </c>
      <c r="L266" s="9"/>
      <c r="M266" s="10" t="n">
        <v>47756</v>
      </c>
    </row>
    <row r="267" customFormat="false" ht="30" hidden="true" customHeight="true" outlineLevel="0" collapsed="false">
      <c r="A267" s="4" t="s">
        <v>109</v>
      </c>
      <c r="B267" s="4" t="s">
        <v>14</v>
      </c>
      <c r="C267" s="5" t="n">
        <v>1329001642</v>
      </c>
      <c r="D267" s="6" t="s">
        <v>289</v>
      </c>
      <c r="E267" s="6"/>
      <c r="F267" s="7" t="n">
        <v>46052.2548821528</v>
      </c>
      <c r="G267" s="7" t="n">
        <v>46052.409541169</v>
      </c>
      <c r="H267" s="8" t="n">
        <v>24</v>
      </c>
      <c r="I267" s="5" t="n">
        <v>400413</v>
      </c>
      <c r="J267" s="6" t="s">
        <v>168</v>
      </c>
      <c r="K267" s="5" t="n">
        <v>100010539</v>
      </c>
      <c r="L267" s="9"/>
      <c r="M267" s="10" t="n">
        <v>47802</v>
      </c>
    </row>
    <row r="268" customFormat="false" ht="30" hidden="true" customHeight="true" outlineLevel="0" collapsed="false">
      <c r="A268" s="4" t="s">
        <v>109</v>
      </c>
      <c r="B268" s="4" t="s">
        <v>14</v>
      </c>
      <c r="C268" s="5" t="n">
        <v>1329001642</v>
      </c>
      <c r="D268" s="6" t="s">
        <v>290</v>
      </c>
      <c r="E268" s="6"/>
      <c r="F268" s="7" t="n">
        <v>46052.2548821528</v>
      </c>
      <c r="G268" s="7" t="n">
        <v>46052.4080076736</v>
      </c>
      <c r="H268" s="8" t="n">
        <v>52</v>
      </c>
      <c r="I268" s="5" t="n">
        <v>400396</v>
      </c>
      <c r="J268" s="6" t="s">
        <v>170</v>
      </c>
      <c r="K268" s="5" t="n">
        <v>100010092</v>
      </c>
      <c r="L268" s="9"/>
      <c r="M268" s="10" t="n">
        <v>47756</v>
      </c>
    </row>
    <row r="269" customFormat="false" ht="30" hidden="true" customHeight="true" outlineLevel="0" collapsed="false">
      <c r="A269" s="4" t="s">
        <v>109</v>
      </c>
      <c r="B269" s="4" t="s">
        <v>14</v>
      </c>
      <c r="C269" s="5" t="n">
        <v>1329001642</v>
      </c>
      <c r="D269" s="6" t="s">
        <v>291</v>
      </c>
      <c r="E269" s="6"/>
      <c r="F269" s="7" t="n">
        <v>46052.2548821528</v>
      </c>
      <c r="G269" s="7" t="n">
        <v>46052.4054069444</v>
      </c>
      <c r="H269" s="8" t="n">
        <v>52</v>
      </c>
      <c r="I269" s="5" t="n">
        <v>400396</v>
      </c>
      <c r="J269" s="6" t="s">
        <v>170</v>
      </c>
      <c r="K269" s="5" t="n">
        <v>100010092</v>
      </c>
      <c r="L269" s="9"/>
      <c r="M269" s="10" t="n">
        <v>47756</v>
      </c>
    </row>
    <row r="270" customFormat="false" ht="30" hidden="true" customHeight="true" outlineLevel="0" collapsed="false">
      <c r="A270" s="4" t="s">
        <v>109</v>
      </c>
      <c r="B270" s="4" t="s">
        <v>14</v>
      </c>
      <c r="C270" s="5" t="n">
        <v>1329001642</v>
      </c>
      <c r="D270" s="6" t="s">
        <v>292</v>
      </c>
      <c r="E270" s="6"/>
      <c r="F270" s="7" t="n">
        <v>46052.2548821528</v>
      </c>
      <c r="G270" s="7" t="n">
        <v>46052.4028992708</v>
      </c>
      <c r="H270" s="8" t="n">
        <v>24</v>
      </c>
      <c r="I270" s="5" t="n">
        <v>400413</v>
      </c>
      <c r="J270" s="6" t="s">
        <v>168</v>
      </c>
      <c r="K270" s="5" t="n">
        <v>100010738</v>
      </c>
      <c r="L270" s="9"/>
      <c r="M270" s="10" t="n">
        <v>47802</v>
      </c>
    </row>
    <row r="271" customFormat="false" ht="30" hidden="true" customHeight="true" outlineLevel="0" collapsed="false">
      <c r="A271" s="4" t="s">
        <v>109</v>
      </c>
      <c r="B271" s="4" t="s">
        <v>14</v>
      </c>
      <c r="C271" s="5" t="n">
        <v>1329001642</v>
      </c>
      <c r="D271" s="6" t="s">
        <v>293</v>
      </c>
      <c r="E271" s="6"/>
      <c r="F271" s="7" t="n">
        <v>46052.2548821528</v>
      </c>
      <c r="G271" s="7" t="n">
        <v>46052.4011386111</v>
      </c>
      <c r="H271" s="8" t="n">
        <v>52</v>
      </c>
      <c r="I271" s="5" t="n">
        <v>400396</v>
      </c>
      <c r="J271" s="6" t="s">
        <v>170</v>
      </c>
      <c r="K271" s="5" t="n">
        <v>100010226</v>
      </c>
      <c r="L271" s="9"/>
      <c r="M271" s="10" t="n">
        <v>47756</v>
      </c>
    </row>
    <row r="272" customFormat="false" ht="30" hidden="true" customHeight="true" outlineLevel="0" collapsed="false">
      <c r="A272" s="4" t="s">
        <v>109</v>
      </c>
      <c r="B272" s="4" t="s">
        <v>14</v>
      </c>
      <c r="C272" s="5" t="n">
        <v>1329001642</v>
      </c>
      <c r="D272" s="6" t="s">
        <v>294</v>
      </c>
      <c r="E272" s="6"/>
      <c r="F272" s="7" t="n">
        <v>46052.2548821528</v>
      </c>
      <c r="G272" s="7" t="n">
        <v>46052.4631945833</v>
      </c>
      <c r="H272" s="8" t="n">
        <v>24</v>
      </c>
      <c r="I272" s="5" t="n">
        <v>400413</v>
      </c>
      <c r="J272" s="6" t="s">
        <v>168</v>
      </c>
      <c r="K272" s="5" t="n">
        <v>100010677</v>
      </c>
      <c r="L272" s="9" t="n">
        <v>45977</v>
      </c>
      <c r="M272" s="10" t="n">
        <v>47802</v>
      </c>
    </row>
    <row r="273" customFormat="false" ht="30" hidden="true" customHeight="true" outlineLevel="0" collapsed="false">
      <c r="A273" s="4" t="s">
        <v>109</v>
      </c>
      <c r="B273" s="4" t="s">
        <v>14</v>
      </c>
      <c r="C273" s="5" t="n">
        <v>1329001642</v>
      </c>
      <c r="D273" s="6" t="s">
        <v>295</v>
      </c>
      <c r="E273" s="6"/>
      <c r="F273" s="7" t="n">
        <v>46052.2548821528</v>
      </c>
      <c r="G273" s="7" t="n">
        <v>46052.4288782755</v>
      </c>
      <c r="H273" s="8" t="n">
        <v>24</v>
      </c>
      <c r="I273" s="5" t="n">
        <v>400413</v>
      </c>
      <c r="J273" s="6" t="s">
        <v>168</v>
      </c>
      <c r="K273" s="5" t="n">
        <v>100010677</v>
      </c>
      <c r="L273" s="9" t="n">
        <v>45977</v>
      </c>
      <c r="M273" s="10" t="n">
        <v>47802</v>
      </c>
    </row>
    <row r="274" customFormat="false" ht="30" hidden="true" customHeight="true" outlineLevel="0" collapsed="false">
      <c r="A274" s="4" t="s">
        <v>109</v>
      </c>
      <c r="B274" s="4" t="s">
        <v>14</v>
      </c>
      <c r="C274" s="5" t="n">
        <v>1329001642</v>
      </c>
      <c r="D274" s="6" t="s">
        <v>296</v>
      </c>
      <c r="E274" s="6"/>
      <c r="F274" s="7" t="n">
        <v>46052.2548821528</v>
      </c>
      <c r="G274" s="7" t="n">
        <v>46052.422957662</v>
      </c>
      <c r="H274" s="8" t="n">
        <v>24</v>
      </c>
      <c r="I274" s="5" t="n">
        <v>400413</v>
      </c>
      <c r="J274" s="6" t="s">
        <v>168</v>
      </c>
      <c r="K274" s="5" t="n">
        <v>100010677</v>
      </c>
      <c r="L274" s="9" t="n">
        <v>45977</v>
      </c>
      <c r="M274" s="10" t="n">
        <v>47802</v>
      </c>
    </row>
    <row r="275" customFormat="false" ht="30" hidden="true" customHeight="true" outlineLevel="0" collapsed="false">
      <c r="A275" s="4" t="s">
        <v>109</v>
      </c>
      <c r="B275" s="4" t="s">
        <v>14</v>
      </c>
      <c r="C275" s="5" t="n">
        <v>1329001642</v>
      </c>
      <c r="D275" s="6" t="s">
        <v>297</v>
      </c>
      <c r="E275" s="6"/>
      <c r="F275" s="7" t="n">
        <v>46052.2548821528</v>
      </c>
      <c r="G275" s="7" t="n">
        <v>46052.4138384607</v>
      </c>
      <c r="H275" s="8" t="n">
        <v>24</v>
      </c>
      <c r="I275" s="5" t="n">
        <v>400413</v>
      </c>
      <c r="J275" s="6" t="s">
        <v>168</v>
      </c>
      <c r="K275" s="5" t="n">
        <v>100010677</v>
      </c>
      <c r="L275" s="9" t="n">
        <v>45977</v>
      </c>
      <c r="M275" s="10" t="n">
        <v>47802</v>
      </c>
    </row>
    <row r="276" customFormat="false" ht="30" hidden="true" customHeight="true" outlineLevel="0" collapsed="false">
      <c r="A276" s="4" t="s">
        <v>13</v>
      </c>
      <c r="B276" s="4" t="s">
        <v>14</v>
      </c>
      <c r="C276" s="5" t="n">
        <v>1329001646</v>
      </c>
      <c r="D276" s="6" t="s">
        <v>298</v>
      </c>
      <c r="E276" s="6"/>
      <c r="F276" s="7" t="n">
        <v>46053.2732576968</v>
      </c>
      <c r="G276" s="7" t="n">
        <v>46053.3157257176</v>
      </c>
      <c r="H276" s="8" t="n">
        <v>24</v>
      </c>
      <c r="I276" s="5" t="n">
        <v>400413</v>
      </c>
      <c r="J276" s="6" t="s">
        <v>168</v>
      </c>
      <c r="K276" s="5" t="n">
        <v>100010754</v>
      </c>
      <c r="L276" s="9" t="n">
        <v>45978</v>
      </c>
      <c r="M276" s="10" t="n">
        <v>47803</v>
      </c>
    </row>
    <row r="277" customFormat="false" ht="30" hidden="true" customHeight="true" outlineLevel="0" collapsed="false">
      <c r="A277" s="4" t="s">
        <v>13</v>
      </c>
      <c r="B277" s="4" t="s">
        <v>14</v>
      </c>
      <c r="C277" s="5" t="n">
        <v>1329001646</v>
      </c>
      <c r="D277" s="6" t="s">
        <v>299</v>
      </c>
      <c r="E277" s="6"/>
      <c r="F277" s="7" t="n">
        <v>46053.2732576968</v>
      </c>
      <c r="G277" s="7" t="n">
        <v>46053.3269515741</v>
      </c>
      <c r="H277" s="8" t="n">
        <v>24</v>
      </c>
      <c r="I277" s="5" t="n">
        <v>400413</v>
      </c>
      <c r="J277" s="6" t="s">
        <v>168</v>
      </c>
      <c r="K277" s="5" t="n">
        <v>100010691</v>
      </c>
      <c r="L277" s="9"/>
      <c r="M277" s="10" t="n">
        <v>47797</v>
      </c>
    </row>
    <row r="278" customFormat="false" ht="30" hidden="true" customHeight="true" outlineLevel="0" collapsed="false">
      <c r="A278" s="4" t="s">
        <v>13</v>
      </c>
      <c r="B278" s="4" t="s">
        <v>14</v>
      </c>
      <c r="C278" s="5" t="n">
        <v>1329001646</v>
      </c>
      <c r="D278" s="6" t="s">
        <v>300</v>
      </c>
      <c r="E278" s="6"/>
      <c r="F278" s="7" t="n">
        <v>46053.2732576968</v>
      </c>
      <c r="G278" s="7" t="n">
        <v>46053.3261816782</v>
      </c>
      <c r="H278" s="8" t="n">
        <v>24</v>
      </c>
      <c r="I278" s="5" t="n">
        <v>400413</v>
      </c>
      <c r="J278" s="6" t="s">
        <v>168</v>
      </c>
      <c r="K278" s="5" t="n">
        <v>100010677</v>
      </c>
      <c r="L278" s="9"/>
      <c r="M278" s="10" t="n">
        <v>47796</v>
      </c>
    </row>
    <row r="279" customFormat="false" ht="30" hidden="true" customHeight="true" outlineLevel="0" collapsed="false">
      <c r="A279" s="4" t="s">
        <v>13</v>
      </c>
      <c r="B279" s="4" t="s">
        <v>14</v>
      </c>
      <c r="C279" s="5" t="n">
        <v>1329001646</v>
      </c>
      <c r="D279" s="6" t="s">
        <v>301</v>
      </c>
      <c r="E279" s="6"/>
      <c r="F279" s="7" t="n">
        <v>46053.2732576968</v>
      </c>
      <c r="G279" s="7" t="n">
        <v>46053.3258083333</v>
      </c>
      <c r="H279" s="8" t="n">
        <v>24</v>
      </c>
      <c r="I279" s="5" t="n">
        <v>400413</v>
      </c>
      <c r="J279" s="6" t="s">
        <v>168</v>
      </c>
      <c r="K279" s="5" t="n">
        <v>100010677</v>
      </c>
      <c r="L279" s="9"/>
      <c r="M279" s="10" t="n">
        <v>47796</v>
      </c>
    </row>
    <row r="280" customFormat="false" ht="30" hidden="true" customHeight="true" outlineLevel="0" collapsed="false">
      <c r="A280" s="4" t="s">
        <v>13</v>
      </c>
      <c r="B280" s="4" t="s">
        <v>14</v>
      </c>
      <c r="C280" s="5" t="n">
        <v>1329001646</v>
      </c>
      <c r="D280" s="6" t="s">
        <v>302</v>
      </c>
      <c r="E280" s="6"/>
      <c r="F280" s="7" t="n">
        <v>46053.2732576968</v>
      </c>
      <c r="G280" s="7" t="n">
        <v>46053.3256373264</v>
      </c>
      <c r="H280" s="8" t="n">
        <v>24</v>
      </c>
      <c r="I280" s="5" t="n">
        <v>400413</v>
      </c>
      <c r="J280" s="6" t="s">
        <v>168</v>
      </c>
      <c r="K280" s="5" t="n">
        <v>100010677</v>
      </c>
      <c r="L280" s="9"/>
      <c r="M280" s="10" t="n">
        <v>47796</v>
      </c>
    </row>
    <row r="281" customFormat="false" ht="30" hidden="true" customHeight="true" outlineLevel="0" collapsed="false">
      <c r="A281" s="4" t="s">
        <v>13</v>
      </c>
      <c r="B281" s="4" t="s">
        <v>14</v>
      </c>
      <c r="C281" s="5" t="n">
        <v>1329001646</v>
      </c>
      <c r="D281" s="6" t="s">
        <v>303</v>
      </c>
      <c r="E281" s="6"/>
      <c r="F281" s="7" t="n">
        <v>46053.2732576968</v>
      </c>
      <c r="G281" s="7" t="n">
        <v>46053.3205256713</v>
      </c>
      <c r="H281" s="8" t="n">
        <v>24</v>
      </c>
      <c r="I281" s="5" t="n">
        <v>400413</v>
      </c>
      <c r="J281" s="6" t="s">
        <v>168</v>
      </c>
      <c r="K281" s="5" t="n">
        <v>100010677</v>
      </c>
      <c r="L281" s="9"/>
      <c r="M281" s="10" t="n">
        <v>47796</v>
      </c>
    </row>
    <row r="282" customFormat="false" ht="30" hidden="true" customHeight="true" outlineLevel="0" collapsed="false">
      <c r="A282" s="4" t="s">
        <v>13</v>
      </c>
      <c r="B282" s="4" t="s">
        <v>14</v>
      </c>
      <c r="C282" s="5" t="n">
        <v>1329001646</v>
      </c>
      <c r="D282" s="6" t="s">
        <v>304</v>
      </c>
      <c r="E282" s="6"/>
      <c r="F282" s="7" t="n">
        <v>46053.2732576968</v>
      </c>
      <c r="G282" s="7" t="n">
        <v>46053.3187223611</v>
      </c>
      <c r="H282" s="8" t="n">
        <v>24</v>
      </c>
      <c r="I282" s="5" t="n">
        <v>400413</v>
      </c>
      <c r="J282" s="6" t="s">
        <v>168</v>
      </c>
      <c r="K282" s="5" t="n">
        <v>100010539</v>
      </c>
      <c r="L282" s="9"/>
      <c r="M282" s="10" t="n">
        <v>47783</v>
      </c>
    </row>
    <row r="283" customFormat="false" ht="30" hidden="true" customHeight="true" outlineLevel="0" collapsed="false">
      <c r="A283" s="4" t="s">
        <v>13</v>
      </c>
      <c r="B283" s="4" t="s">
        <v>14</v>
      </c>
      <c r="C283" s="5" t="n">
        <v>1329001646</v>
      </c>
      <c r="D283" s="6" t="s">
        <v>305</v>
      </c>
      <c r="E283" s="6"/>
      <c r="F283" s="7" t="n">
        <v>46053.2732576968</v>
      </c>
      <c r="G283" s="7" t="n">
        <v>46053.3180215278</v>
      </c>
      <c r="H283" s="8" t="n">
        <v>24</v>
      </c>
      <c r="I283" s="5" t="n">
        <v>400413</v>
      </c>
      <c r="J283" s="6" t="s">
        <v>168</v>
      </c>
      <c r="K283" s="5" t="n">
        <v>100010539</v>
      </c>
      <c r="L283" s="9"/>
      <c r="M283" s="10" t="n">
        <v>47783</v>
      </c>
    </row>
    <row r="284" customFormat="false" ht="30" hidden="true" customHeight="true" outlineLevel="0" collapsed="false">
      <c r="A284" s="4" t="s">
        <v>13</v>
      </c>
      <c r="B284" s="4" t="s">
        <v>14</v>
      </c>
      <c r="C284" s="5" t="n">
        <v>1329001646</v>
      </c>
      <c r="D284" s="6" t="s">
        <v>306</v>
      </c>
      <c r="E284" s="6"/>
      <c r="F284" s="7" t="n">
        <v>46053.2732576968</v>
      </c>
      <c r="G284" s="7" t="n">
        <v>46053.3146376042</v>
      </c>
      <c r="H284" s="8" t="n">
        <v>24</v>
      </c>
      <c r="I284" s="5" t="n">
        <v>400413</v>
      </c>
      <c r="J284" s="6" t="s">
        <v>168</v>
      </c>
      <c r="K284" s="5" t="n">
        <v>100011005</v>
      </c>
      <c r="L284" s="9" t="n">
        <v>45998</v>
      </c>
      <c r="M284" s="10" t="n">
        <v>47823</v>
      </c>
    </row>
    <row r="285" customFormat="false" ht="30" hidden="true" customHeight="true" outlineLevel="0" collapsed="false">
      <c r="A285" s="4" t="s">
        <v>13</v>
      </c>
      <c r="B285" s="4" t="s">
        <v>14</v>
      </c>
      <c r="C285" s="5" t="n">
        <v>1329001646</v>
      </c>
      <c r="D285" s="6" t="s">
        <v>307</v>
      </c>
      <c r="E285" s="6"/>
      <c r="F285" s="7" t="n">
        <v>46053.2732576968</v>
      </c>
      <c r="G285" s="7" t="n">
        <v>46053.3263334375</v>
      </c>
      <c r="H285" s="8" t="n">
        <v>24</v>
      </c>
      <c r="I285" s="5" t="n">
        <v>400413</v>
      </c>
      <c r="J285" s="6" t="s">
        <v>168</v>
      </c>
      <c r="K285" s="5" t="n">
        <v>100010738</v>
      </c>
      <c r="L285" s="9" t="n">
        <v>45977</v>
      </c>
      <c r="M285" s="10" t="n">
        <v>47802</v>
      </c>
    </row>
    <row r="286" customFormat="false" ht="30" hidden="true" customHeight="true" outlineLevel="0" collapsed="false">
      <c r="A286" s="4" t="s">
        <v>13</v>
      </c>
      <c r="B286" s="4" t="s">
        <v>14</v>
      </c>
      <c r="C286" s="5" t="n">
        <v>1329001646</v>
      </c>
      <c r="D286" s="6" t="s">
        <v>308</v>
      </c>
      <c r="E286" s="6"/>
      <c r="F286" s="7" t="n">
        <v>46053.2732576968</v>
      </c>
      <c r="G286" s="7" t="n">
        <v>46053.3232829861</v>
      </c>
      <c r="H286" s="8" t="n">
        <v>24</v>
      </c>
      <c r="I286" s="5" t="n">
        <v>400413</v>
      </c>
      <c r="J286" s="6" t="s">
        <v>168</v>
      </c>
      <c r="K286" s="5" t="n">
        <v>100010754</v>
      </c>
      <c r="L286" s="9" t="n">
        <v>45978</v>
      </c>
      <c r="M286" s="10" t="n">
        <v>47803</v>
      </c>
    </row>
    <row r="287" customFormat="false" ht="30" hidden="true" customHeight="true" outlineLevel="0" collapsed="false">
      <c r="A287" s="4" t="s">
        <v>13</v>
      </c>
      <c r="B287" s="4" t="s">
        <v>14</v>
      </c>
      <c r="C287" s="5" t="n">
        <v>1329001646</v>
      </c>
      <c r="D287" s="6" t="s">
        <v>309</v>
      </c>
      <c r="E287" s="6"/>
      <c r="F287" s="7" t="n">
        <v>46053.2732576968</v>
      </c>
      <c r="G287" s="7" t="n">
        <v>46053.320016412</v>
      </c>
      <c r="H287" s="8" t="n">
        <v>24</v>
      </c>
      <c r="I287" s="5" t="n">
        <v>400413</v>
      </c>
      <c r="J287" s="6" t="s">
        <v>168</v>
      </c>
      <c r="K287" s="5" t="n">
        <v>100010754</v>
      </c>
      <c r="L287" s="9" t="n">
        <v>45978</v>
      </c>
      <c r="M287" s="10" t="n">
        <v>47803</v>
      </c>
    </row>
    <row r="288" customFormat="false" ht="30" hidden="true" customHeight="true" outlineLevel="0" collapsed="false">
      <c r="A288" s="4" t="s">
        <v>13</v>
      </c>
      <c r="B288" s="4" t="s">
        <v>14</v>
      </c>
      <c r="C288" s="5" t="n">
        <v>1329001646</v>
      </c>
      <c r="D288" s="6" t="s">
        <v>310</v>
      </c>
      <c r="E288" s="6"/>
      <c r="F288" s="7" t="n">
        <v>46053.2732576968</v>
      </c>
      <c r="G288" s="7" t="n">
        <v>46053.3198815162</v>
      </c>
      <c r="H288" s="8" t="n">
        <v>24</v>
      </c>
      <c r="I288" s="5" t="n">
        <v>400413</v>
      </c>
      <c r="J288" s="6" t="s">
        <v>168</v>
      </c>
      <c r="K288" s="5" t="n">
        <v>100011006</v>
      </c>
      <c r="L288" s="9" t="n">
        <v>45998</v>
      </c>
      <c r="M288" s="10" t="n">
        <v>47823</v>
      </c>
    </row>
    <row r="289" customFormat="false" ht="30" hidden="true" customHeight="true" outlineLevel="0" collapsed="false">
      <c r="A289" s="4" t="s">
        <v>13</v>
      </c>
      <c r="B289" s="4" t="s">
        <v>14</v>
      </c>
      <c r="C289" s="5" t="n">
        <v>1329001646</v>
      </c>
      <c r="D289" s="6" t="s">
        <v>311</v>
      </c>
      <c r="E289" s="6"/>
      <c r="F289" s="7" t="n">
        <v>46053.2732576968</v>
      </c>
      <c r="G289" s="7" t="n">
        <v>46053.3197782292</v>
      </c>
      <c r="H289" s="8" t="n">
        <v>24</v>
      </c>
      <c r="I289" s="5" t="n">
        <v>400413</v>
      </c>
      <c r="J289" s="6" t="s">
        <v>168</v>
      </c>
      <c r="K289" s="5" t="n">
        <v>100010754</v>
      </c>
      <c r="L289" s="9" t="n">
        <v>45978</v>
      </c>
      <c r="M289" s="10" t="n">
        <v>47803</v>
      </c>
    </row>
    <row r="290" customFormat="false" ht="30" hidden="true" customHeight="true" outlineLevel="0" collapsed="false">
      <c r="A290" s="4" t="s">
        <v>13</v>
      </c>
      <c r="B290" s="4" t="s">
        <v>14</v>
      </c>
      <c r="C290" s="5" t="n">
        <v>1329001646</v>
      </c>
      <c r="D290" s="6" t="s">
        <v>312</v>
      </c>
      <c r="E290" s="6"/>
      <c r="F290" s="7" t="n">
        <v>46053.2732576968</v>
      </c>
      <c r="G290" s="7" t="n">
        <v>46053.3192332639</v>
      </c>
      <c r="H290" s="8" t="n">
        <v>24</v>
      </c>
      <c r="I290" s="5" t="n">
        <v>400413</v>
      </c>
      <c r="J290" s="6" t="s">
        <v>168</v>
      </c>
      <c r="K290" s="5" t="n">
        <v>100011006</v>
      </c>
      <c r="L290" s="9" t="n">
        <v>45998</v>
      </c>
      <c r="M290" s="10" t="n">
        <v>47823</v>
      </c>
    </row>
    <row r="291" customFormat="false" ht="30" hidden="true" customHeight="true" outlineLevel="0" collapsed="false">
      <c r="A291" s="4" t="s">
        <v>13</v>
      </c>
      <c r="B291" s="4" t="s">
        <v>14</v>
      </c>
      <c r="C291" s="5" t="n">
        <v>1329001646</v>
      </c>
      <c r="D291" s="6" t="s">
        <v>313</v>
      </c>
      <c r="E291" s="6"/>
      <c r="F291" s="7" t="n">
        <v>46053.2732576968</v>
      </c>
      <c r="G291" s="7" t="n">
        <v>46053.3190391088</v>
      </c>
      <c r="H291" s="8" t="n">
        <v>24</v>
      </c>
      <c r="I291" s="5" t="n">
        <v>400413</v>
      </c>
      <c r="J291" s="6" t="s">
        <v>168</v>
      </c>
      <c r="K291" s="5" t="n">
        <v>100010754</v>
      </c>
      <c r="L291" s="9" t="n">
        <v>45978</v>
      </c>
      <c r="M291" s="10" t="n">
        <v>47803</v>
      </c>
    </row>
    <row r="292" customFormat="false" ht="30" hidden="true" customHeight="true" outlineLevel="0" collapsed="false">
      <c r="A292" s="4" t="s">
        <v>13</v>
      </c>
      <c r="B292" s="4" t="s">
        <v>14</v>
      </c>
      <c r="C292" s="5" t="n">
        <v>1329001646</v>
      </c>
      <c r="D292" s="6" t="s">
        <v>314</v>
      </c>
      <c r="E292" s="6"/>
      <c r="F292" s="7" t="n">
        <v>46053.2732576968</v>
      </c>
      <c r="G292" s="7" t="n">
        <v>46053.3189052431</v>
      </c>
      <c r="H292" s="8" t="n">
        <v>24</v>
      </c>
      <c r="I292" s="5" t="n">
        <v>400413</v>
      </c>
      <c r="J292" s="6" t="s">
        <v>168</v>
      </c>
      <c r="K292" s="5" t="n">
        <v>100010754</v>
      </c>
      <c r="L292" s="9" t="n">
        <v>45978</v>
      </c>
      <c r="M292" s="10" t="n">
        <v>47803</v>
      </c>
    </row>
    <row r="293" customFormat="false" ht="30" hidden="true" customHeight="true" outlineLevel="0" collapsed="false">
      <c r="A293" s="4" t="s">
        <v>13</v>
      </c>
      <c r="B293" s="4" t="s">
        <v>14</v>
      </c>
      <c r="C293" s="5" t="n">
        <v>1329001646</v>
      </c>
      <c r="D293" s="6" t="s">
        <v>315</v>
      </c>
      <c r="E293" s="6"/>
      <c r="F293" s="7" t="n">
        <v>46053.2732576968</v>
      </c>
      <c r="G293" s="7" t="n">
        <v>46053.3178965278</v>
      </c>
      <c r="H293" s="8" t="n">
        <v>24</v>
      </c>
      <c r="I293" s="5" t="n">
        <v>400413</v>
      </c>
      <c r="J293" s="6" t="s">
        <v>168</v>
      </c>
      <c r="K293" s="5" t="n">
        <v>100010992</v>
      </c>
      <c r="L293" s="9" t="n">
        <v>45999</v>
      </c>
      <c r="M293" s="10" t="n">
        <v>47824</v>
      </c>
    </row>
    <row r="294" customFormat="false" ht="30" hidden="true" customHeight="true" outlineLevel="0" collapsed="false">
      <c r="A294" s="4" t="s">
        <v>13</v>
      </c>
      <c r="B294" s="4" t="s">
        <v>14</v>
      </c>
      <c r="C294" s="5" t="n">
        <v>1329001646</v>
      </c>
      <c r="D294" s="6" t="s">
        <v>316</v>
      </c>
      <c r="E294" s="6"/>
      <c r="F294" s="7" t="n">
        <v>46053.2732576968</v>
      </c>
      <c r="G294" s="7" t="n">
        <v>46053.3177784144</v>
      </c>
      <c r="H294" s="8" t="n">
        <v>24</v>
      </c>
      <c r="I294" s="5" t="n">
        <v>400413</v>
      </c>
      <c r="J294" s="6" t="s">
        <v>168</v>
      </c>
      <c r="K294" s="5" t="n">
        <v>100010754</v>
      </c>
      <c r="L294" s="9" t="n">
        <v>45978</v>
      </c>
      <c r="M294" s="10" t="n">
        <v>47803</v>
      </c>
    </row>
    <row r="295" customFormat="false" ht="30" hidden="true" customHeight="true" outlineLevel="0" collapsed="false">
      <c r="A295" s="4" t="s">
        <v>13</v>
      </c>
      <c r="B295" s="4" t="s">
        <v>14</v>
      </c>
      <c r="C295" s="5" t="n">
        <v>1329001646</v>
      </c>
      <c r="D295" s="6" t="s">
        <v>317</v>
      </c>
      <c r="E295" s="6"/>
      <c r="F295" s="7" t="n">
        <v>46053.2732576968</v>
      </c>
      <c r="G295" s="7" t="n">
        <v>46053.3172511921</v>
      </c>
      <c r="H295" s="8" t="n">
        <v>24</v>
      </c>
      <c r="I295" s="5" t="n">
        <v>400413</v>
      </c>
      <c r="J295" s="6" t="s">
        <v>168</v>
      </c>
      <c r="K295" s="5" t="n">
        <v>100010992</v>
      </c>
      <c r="L295" s="9" t="n">
        <v>45999</v>
      </c>
      <c r="M295" s="10" t="n">
        <v>47824</v>
      </c>
    </row>
    <row r="296" customFormat="false" ht="30" hidden="true" customHeight="true" outlineLevel="0" collapsed="false">
      <c r="A296" s="4" t="s">
        <v>13</v>
      </c>
      <c r="B296" s="4" t="s">
        <v>14</v>
      </c>
      <c r="C296" s="5" t="n">
        <v>1329001646</v>
      </c>
      <c r="D296" s="6" t="s">
        <v>318</v>
      </c>
      <c r="E296" s="6"/>
      <c r="F296" s="7" t="n">
        <v>46053.2732576968</v>
      </c>
      <c r="G296" s="7" t="n">
        <v>46053.3170816551</v>
      </c>
      <c r="H296" s="8" t="n">
        <v>24</v>
      </c>
      <c r="I296" s="5" t="n">
        <v>400413</v>
      </c>
      <c r="J296" s="6" t="s">
        <v>168</v>
      </c>
      <c r="K296" s="5" t="n">
        <v>100010754</v>
      </c>
      <c r="L296" s="9" t="n">
        <v>45978</v>
      </c>
      <c r="M296" s="10" t="n">
        <v>47803</v>
      </c>
    </row>
    <row r="297" customFormat="false" ht="30" hidden="true" customHeight="true" outlineLevel="0" collapsed="false">
      <c r="A297" s="4" t="s">
        <v>13</v>
      </c>
      <c r="B297" s="4" t="s">
        <v>14</v>
      </c>
      <c r="C297" s="5" t="n">
        <v>1329001646</v>
      </c>
      <c r="D297" s="6" t="s">
        <v>319</v>
      </c>
      <c r="E297" s="6"/>
      <c r="F297" s="7" t="n">
        <v>46053.2732576968</v>
      </c>
      <c r="G297" s="7" t="n">
        <v>46053.3169497338</v>
      </c>
      <c r="H297" s="8" t="n">
        <v>24</v>
      </c>
      <c r="I297" s="5" t="n">
        <v>400413</v>
      </c>
      <c r="J297" s="6" t="s">
        <v>168</v>
      </c>
      <c r="K297" s="5" t="n">
        <v>100011005</v>
      </c>
      <c r="L297" s="9" t="n">
        <v>45998</v>
      </c>
      <c r="M297" s="10" t="n">
        <v>47823</v>
      </c>
    </row>
    <row r="298" customFormat="false" ht="30" hidden="true" customHeight="true" outlineLevel="0" collapsed="false">
      <c r="A298" s="4" t="s">
        <v>13</v>
      </c>
      <c r="B298" s="4" t="s">
        <v>14</v>
      </c>
      <c r="C298" s="5" t="n">
        <v>1329001647</v>
      </c>
      <c r="D298" s="6" t="s">
        <v>320</v>
      </c>
      <c r="E298" s="6"/>
      <c r="F298" s="7" t="n">
        <v>46053.2743393171</v>
      </c>
      <c r="G298" s="7" t="n">
        <v>46053.3544008681</v>
      </c>
      <c r="H298" s="8" t="n">
        <v>4</v>
      </c>
      <c r="I298" s="5" t="n">
        <v>400514</v>
      </c>
      <c r="J298" s="6" t="s">
        <v>16</v>
      </c>
      <c r="K298" s="5" t="n">
        <v>100010991</v>
      </c>
      <c r="L298" s="9" t="n">
        <v>46002</v>
      </c>
      <c r="M298" s="10" t="n">
        <v>47827</v>
      </c>
    </row>
    <row r="299" customFormat="false" ht="30" hidden="true" customHeight="true" outlineLevel="0" collapsed="false">
      <c r="A299" s="4" t="s">
        <v>13</v>
      </c>
      <c r="B299" s="4" t="s">
        <v>14</v>
      </c>
      <c r="C299" s="5" t="n">
        <v>1329001647</v>
      </c>
      <c r="D299" s="6" t="s">
        <v>321</v>
      </c>
      <c r="E299" s="6"/>
      <c r="F299" s="7" t="n">
        <v>46053.2743393171</v>
      </c>
      <c r="G299" s="7" t="n">
        <v>46053.3607666088</v>
      </c>
      <c r="H299" s="8" t="n">
        <v>4</v>
      </c>
      <c r="I299" s="5" t="n">
        <v>400514</v>
      </c>
      <c r="J299" s="6" t="s">
        <v>16</v>
      </c>
      <c r="K299" s="5" t="n">
        <v>100010991</v>
      </c>
      <c r="L299" s="9" t="n">
        <v>46002</v>
      </c>
      <c r="M299" s="10" t="n">
        <v>47827</v>
      </c>
    </row>
    <row r="300" customFormat="false" ht="30" hidden="true" customHeight="true" outlineLevel="0" collapsed="false">
      <c r="A300" s="4" t="s">
        <v>13</v>
      </c>
      <c r="B300" s="4" t="s">
        <v>14</v>
      </c>
      <c r="C300" s="5" t="n">
        <v>1329001647</v>
      </c>
      <c r="D300" s="6" t="s">
        <v>322</v>
      </c>
      <c r="E300" s="6"/>
      <c r="F300" s="7" t="n">
        <v>46053.2743393171</v>
      </c>
      <c r="G300" s="7" t="n">
        <v>46053.3606595255</v>
      </c>
      <c r="H300" s="8" t="n">
        <v>4</v>
      </c>
      <c r="I300" s="5" t="n">
        <v>400514</v>
      </c>
      <c r="J300" s="6" t="s">
        <v>16</v>
      </c>
      <c r="K300" s="5" t="n">
        <v>100010991</v>
      </c>
      <c r="L300" s="9" t="n">
        <v>46002</v>
      </c>
      <c r="M300" s="10" t="n">
        <v>47827</v>
      </c>
    </row>
    <row r="301" customFormat="false" ht="30" hidden="true" customHeight="true" outlineLevel="0" collapsed="false">
      <c r="A301" s="4" t="s">
        <v>13</v>
      </c>
      <c r="B301" s="4" t="s">
        <v>14</v>
      </c>
      <c r="C301" s="5" t="n">
        <v>1329001647</v>
      </c>
      <c r="D301" s="6" t="s">
        <v>323</v>
      </c>
      <c r="E301" s="6"/>
      <c r="F301" s="7" t="n">
        <v>46053.2743393171</v>
      </c>
      <c r="G301" s="7" t="n">
        <v>46053.3605726157</v>
      </c>
      <c r="H301" s="8" t="n">
        <v>4</v>
      </c>
      <c r="I301" s="5" t="n">
        <v>400514</v>
      </c>
      <c r="J301" s="6" t="s">
        <v>16</v>
      </c>
      <c r="K301" s="5" t="n">
        <v>100010991</v>
      </c>
      <c r="L301" s="9" t="n">
        <v>46002</v>
      </c>
      <c r="M301" s="10" t="n">
        <v>47827</v>
      </c>
    </row>
    <row r="302" customFormat="false" ht="30" hidden="true" customHeight="true" outlineLevel="0" collapsed="false">
      <c r="A302" s="4" t="s">
        <v>13</v>
      </c>
      <c r="B302" s="4" t="s">
        <v>14</v>
      </c>
      <c r="C302" s="5" t="n">
        <v>1329001647</v>
      </c>
      <c r="D302" s="6" t="s">
        <v>324</v>
      </c>
      <c r="E302" s="6"/>
      <c r="F302" s="7" t="n">
        <v>46053.2743393171</v>
      </c>
      <c r="G302" s="7" t="n">
        <v>46053.3604714352</v>
      </c>
      <c r="H302" s="8" t="n">
        <v>4</v>
      </c>
      <c r="I302" s="5" t="n">
        <v>400514</v>
      </c>
      <c r="J302" s="6" t="s">
        <v>16</v>
      </c>
      <c r="K302" s="5" t="n">
        <v>100010991</v>
      </c>
      <c r="L302" s="9" t="n">
        <v>46002</v>
      </c>
      <c r="M302" s="10" t="n">
        <v>47827</v>
      </c>
    </row>
    <row r="303" customFormat="false" ht="30" hidden="true" customHeight="true" outlineLevel="0" collapsed="false">
      <c r="A303" s="4" t="s">
        <v>13</v>
      </c>
      <c r="B303" s="4" t="s">
        <v>14</v>
      </c>
      <c r="C303" s="5" t="n">
        <v>1329001647</v>
      </c>
      <c r="D303" s="6" t="s">
        <v>325</v>
      </c>
      <c r="E303" s="6"/>
      <c r="F303" s="7" t="n">
        <v>46053.2743393171</v>
      </c>
      <c r="G303" s="7" t="n">
        <v>46053.3603728819</v>
      </c>
      <c r="H303" s="8" t="n">
        <v>4</v>
      </c>
      <c r="I303" s="5" t="n">
        <v>400514</v>
      </c>
      <c r="J303" s="6" t="s">
        <v>16</v>
      </c>
      <c r="K303" s="5" t="n">
        <v>100010991</v>
      </c>
      <c r="L303" s="9" t="n">
        <v>46002</v>
      </c>
      <c r="M303" s="10" t="n">
        <v>47827</v>
      </c>
    </row>
    <row r="304" customFormat="false" ht="30" hidden="true" customHeight="true" outlineLevel="0" collapsed="false">
      <c r="A304" s="4" t="s">
        <v>13</v>
      </c>
      <c r="B304" s="4" t="s">
        <v>14</v>
      </c>
      <c r="C304" s="5" t="n">
        <v>1329001647</v>
      </c>
      <c r="D304" s="6" t="s">
        <v>326</v>
      </c>
      <c r="E304" s="6"/>
      <c r="F304" s="7" t="n">
        <v>46053.2743393171</v>
      </c>
      <c r="G304" s="7" t="n">
        <v>46053.3602847917</v>
      </c>
      <c r="H304" s="8" t="n">
        <v>4</v>
      </c>
      <c r="I304" s="5" t="n">
        <v>400514</v>
      </c>
      <c r="J304" s="6" t="s">
        <v>16</v>
      </c>
      <c r="K304" s="5" t="n">
        <v>100010991</v>
      </c>
      <c r="L304" s="9" t="n">
        <v>46002</v>
      </c>
      <c r="M304" s="10" t="n">
        <v>47827</v>
      </c>
    </row>
    <row r="305" customFormat="false" ht="30" hidden="true" customHeight="true" outlineLevel="0" collapsed="false">
      <c r="A305" s="4" t="s">
        <v>13</v>
      </c>
      <c r="B305" s="4" t="s">
        <v>14</v>
      </c>
      <c r="C305" s="5" t="n">
        <v>1329001647</v>
      </c>
      <c r="D305" s="6" t="s">
        <v>327</v>
      </c>
      <c r="E305" s="6"/>
      <c r="F305" s="7" t="n">
        <v>46053.2743393171</v>
      </c>
      <c r="G305" s="7" t="n">
        <v>46053.3601670718</v>
      </c>
      <c r="H305" s="8" t="n">
        <v>4</v>
      </c>
      <c r="I305" s="5" t="n">
        <v>400514</v>
      </c>
      <c r="J305" s="6" t="s">
        <v>16</v>
      </c>
      <c r="K305" s="5" t="n">
        <v>100010991</v>
      </c>
      <c r="L305" s="9" t="n">
        <v>46002</v>
      </c>
      <c r="M305" s="10" t="n">
        <v>47827</v>
      </c>
    </row>
    <row r="306" customFormat="false" ht="30" hidden="true" customHeight="true" outlineLevel="0" collapsed="false">
      <c r="A306" s="4" t="s">
        <v>13</v>
      </c>
      <c r="B306" s="4" t="s">
        <v>14</v>
      </c>
      <c r="C306" s="5" t="n">
        <v>1329001647</v>
      </c>
      <c r="D306" s="6" t="s">
        <v>328</v>
      </c>
      <c r="E306" s="6"/>
      <c r="F306" s="7" t="n">
        <v>46053.2743393171</v>
      </c>
      <c r="G306" s="7" t="n">
        <v>46053.3600300579</v>
      </c>
      <c r="H306" s="8" t="n">
        <v>4</v>
      </c>
      <c r="I306" s="5" t="n">
        <v>400514</v>
      </c>
      <c r="J306" s="6" t="s">
        <v>16</v>
      </c>
      <c r="K306" s="5" t="n">
        <v>100010991</v>
      </c>
      <c r="L306" s="9" t="n">
        <v>46002</v>
      </c>
      <c r="M306" s="10" t="n">
        <v>47827</v>
      </c>
    </row>
    <row r="307" customFormat="false" ht="30" hidden="true" customHeight="true" outlineLevel="0" collapsed="false">
      <c r="A307" s="4" t="s">
        <v>13</v>
      </c>
      <c r="B307" s="4" t="s">
        <v>14</v>
      </c>
      <c r="C307" s="5" t="n">
        <v>1329001647</v>
      </c>
      <c r="D307" s="6" t="s">
        <v>329</v>
      </c>
      <c r="E307" s="6"/>
      <c r="F307" s="7" t="n">
        <v>46053.2743393171</v>
      </c>
      <c r="G307" s="7" t="n">
        <v>46053.3598357986</v>
      </c>
      <c r="H307" s="8" t="n">
        <v>4</v>
      </c>
      <c r="I307" s="5" t="n">
        <v>400514</v>
      </c>
      <c r="J307" s="6" t="s">
        <v>16</v>
      </c>
      <c r="K307" s="5" t="n">
        <v>100010991</v>
      </c>
      <c r="L307" s="9" t="n">
        <v>46002</v>
      </c>
      <c r="M307" s="10" t="n">
        <v>47827</v>
      </c>
    </row>
    <row r="308" customFormat="false" ht="30" hidden="true" customHeight="true" outlineLevel="0" collapsed="false">
      <c r="A308" s="4" t="s">
        <v>13</v>
      </c>
      <c r="B308" s="4" t="s">
        <v>14</v>
      </c>
      <c r="C308" s="5" t="n">
        <v>1329001647</v>
      </c>
      <c r="D308" s="6" t="s">
        <v>330</v>
      </c>
      <c r="E308" s="6"/>
      <c r="F308" s="7" t="n">
        <v>46053.2743393171</v>
      </c>
      <c r="G308" s="7" t="n">
        <v>46053.3597163889</v>
      </c>
      <c r="H308" s="8" t="n">
        <v>4</v>
      </c>
      <c r="I308" s="5" t="n">
        <v>400514</v>
      </c>
      <c r="J308" s="6" t="s">
        <v>16</v>
      </c>
      <c r="K308" s="5" t="n">
        <v>100010991</v>
      </c>
      <c r="L308" s="9" t="n">
        <v>46002</v>
      </c>
      <c r="M308" s="10" t="n">
        <v>47827</v>
      </c>
    </row>
    <row r="309" customFormat="false" ht="30" hidden="true" customHeight="true" outlineLevel="0" collapsed="false">
      <c r="A309" s="4" t="s">
        <v>13</v>
      </c>
      <c r="B309" s="4" t="s">
        <v>14</v>
      </c>
      <c r="C309" s="5" t="n">
        <v>1329001647</v>
      </c>
      <c r="D309" s="6" t="s">
        <v>331</v>
      </c>
      <c r="E309" s="6"/>
      <c r="F309" s="7" t="n">
        <v>46053.2743393171</v>
      </c>
      <c r="G309" s="7" t="n">
        <v>46053.3595921759</v>
      </c>
      <c r="H309" s="8" t="n">
        <v>4</v>
      </c>
      <c r="I309" s="5" t="n">
        <v>400514</v>
      </c>
      <c r="J309" s="6" t="s">
        <v>16</v>
      </c>
      <c r="K309" s="5" t="n">
        <v>100010991</v>
      </c>
      <c r="L309" s="9" t="n">
        <v>46002</v>
      </c>
      <c r="M309" s="10" t="n">
        <v>47827</v>
      </c>
    </row>
    <row r="310" customFormat="false" ht="30" hidden="true" customHeight="true" outlineLevel="0" collapsed="false">
      <c r="A310" s="4" t="s">
        <v>13</v>
      </c>
      <c r="B310" s="4" t="s">
        <v>14</v>
      </c>
      <c r="C310" s="5" t="n">
        <v>1329001647</v>
      </c>
      <c r="D310" s="6" t="s">
        <v>332</v>
      </c>
      <c r="E310" s="6"/>
      <c r="F310" s="7" t="n">
        <v>46053.2743393171</v>
      </c>
      <c r="G310" s="7" t="n">
        <v>46053.3594494907</v>
      </c>
      <c r="H310" s="8" t="n">
        <v>4</v>
      </c>
      <c r="I310" s="5" t="n">
        <v>400514</v>
      </c>
      <c r="J310" s="6" t="s">
        <v>16</v>
      </c>
      <c r="K310" s="5" t="n">
        <v>100010991</v>
      </c>
      <c r="L310" s="9" t="n">
        <v>46002</v>
      </c>
      <c r="M310" s="10" t="n">
        <v>47827</v>
      </c>
    </row>
    <row r="311" customFormat="false" ht="30" hidden="true" customHeight="true" outlineLevel="0" collapsed="false">
      <c r="A311" s="4" t="s">
        <v>13</v>
      </c>
      <c r="B311" s="4" t="s">
        <v>14</v>
      </c>
      <c r="C311" s="5" t="n">
        <v>1329001647</v>
      </c>
      <c r="D311" s="6" t="s">
        <v>333</v>
      </c>
      <c r="E311" s="6"/>
      <c r="F311" s="7" t="n">
        <v>46053.2743393171</v>
      </c>
      <c r="G311" s="7" t="n">
        <v>46053.3592901736</v>
      </c>
      <c r="H311" s="8" t="n">
        <v>4</v>
      </c>
      <c r="I311" s="5" t="n">
        <v>400514</v>
      </c>
      <c r="J311" s="6" t="s">
        <v>16</v>
      </c>
      <c r="K311" s="5" t="n">
        <v>100010991</v>
      </c>
      <c r="L311" s="9" t="n">
        <v>46002</v>
      </c>
      <c r="M311" s="10" t="n">
        <v>47827</v>
      </c>
    </row>
    <row r="312" customFormat="false" ht="30" hidden="true" customHeight="true" outlineLevel="0" collapsed="false">
      <c r="A312" s="4" t="s">
        <v>13</v>
      </c>
      <c r="B312" s="4" t="s">
        <v>14</v>
      </c>
      <c r="C312" s="5" t="n">
        <v>1329001647</v>
      </c>
      <c r="D312" s="6" t="s">
        <v>334</v>
      </c>
      <c r="E312" s="6"/>
      <c r="F312" s="7" t="n">
        <v>46053.2743393171</v>
      </c>
      <c r="G312" s="7" t="n">
        <v>46053.359201956</v>
      </c>
      <c r="H312" s="8" t="n">
        <v>4</v>
      </c>
      <c r="I312" s="5" t="n">
        <v>400514</v>
      </c>
      <c r="J312" s="6" t="s">
        <v>16</v>
      </c>
      <c r="K312" s="5" t="n">
        <v>100010991</v>
      </c>
      <c r="L312" s="9" t="n">
        <v>46002</v>
      </c>
      <c r="M312" s="10" t="n">
        <v>47827</v>
      </c>
    </row>
    <row r="313" customFormat="false" ht="30" hidden="true" customHeight="true" outlineLevel="0" collapsed="false">
      <c r="A313" s="4" t="s">
        <v>13</v>
      </c>
      <c r="B313" s="4" t="s">
        <v>14</v>
      </c>
      <c r="C313" s="5" t="n">
        <v>1329001647</v>
      </c>
      <c r="D313" s="6" t="s">
        <v>335</v>
      </c>
      <c r="E313" s="6"/>
      <c r="F313" s="7" t="n">
        <v>46053.2743393171</v>
      </c>
      <c r="G313" s="7" t="n">
        <v>46053.3591115625</v>
      </c>
      <c r="H313" s="8" t="n">
        <v>4</v>
      </c>
      <c r="I313" s="5" t="n">
        <v>400514</v>
      </c>
      <c r="J313" s="6" t="s">
        <v>16</v>
      </c>
      <c r="K313" s="5" t="n">
        <v>100010991</v>
      </c>
      <c r="L313" s="9" t="n">
        <v>46002</v>
      </c>
      <c r="M313" s="10" t="n">
        <v>47827</v>
      </c>
    </row>
    <row r="314" customFormat="false" ht="30" hidden="true" customHeight="true" outlineLevel="0" collapsed="false">
      <c r="A314" s="4" t="s">
        <v>13</v>
      </c>
      <c r="B314" s="4" t="s">
        <v>14</v>
      </c>
      <c r="C314" s="5" t="n">
        <v>1329001647</v>
      </c>
      <c r="D314" s="6" t="s">
        <v>336</v>
      </c>
      <c r="E314" s="6"/>
      <c r="F314" s="7" t="n">
        <v>46053.2743393171</v>
      </c>
      <c r="G314" s="7" t="n">
        <v>46053.3590036343</v>
      </c>
      <c r="H314" s="8" t="n">
        <v>4</v>
      </c>
      <c r="I314" s="5" t="n">
        <v>400514</v>
      </c>
      <c r="J314" s="6" t="s">
        <v>16</v>
      </c>
      <c r="K314" s="5" t="n">
        <v>100010991</v>
      </c>
      <c r="L314" s="9" t="n">
        <v>46002</v>
      </c>
      <c r="M314" s="10" t="n">
        <v>47827</v>
      </c>
    </row>
    <row r="315" customFormat="false" ht="30" hidden="true" customHeight="true" outlineLevel="0" collapsed="false">
      <c r="A315" s="4" t="s">
        <v>13</v>
      </c>
      <c r="B315" s="4" t="s">
        <v>14</v>
      </c>
      <c r="C315" s="5" t="n">
        <v>1329001647</v>
      </c>
      <c r="D315" s="6" t="s">
        <v>337</v>
      </c>
      <c r="E315" s="6"/>
      <c r="F315" s="7" t="n">
        <v>46053.2743393171</v>
      </c>
      <c r="G315" s="7" t="n">
        <v>46053.3588838542</v>
      </c>
      <c r="H315" s="8" t="n">
        <v>4</v>
      </c>
      <c r="I315" s="5" t="n">
        <v>400514</v>
      </c>
      <c r="J315" s="6" t="s">
        <v>16</v>
      </c>
      <c r="K315" s="5" t="n">
        <v>100010991</v>
      </c>
      <c r="L315" s="9" t="n">
        <v>46002</v>
      </c>
      <c r="M315" s="10" t="n">
        <v>47827</v>
      </c>
    </row>
    <row r="316" customFormat="false" ht="30" hidden="true" customHeight="true" outlineLevel="0" collapsed="false">
      <c r="A316" s="4" t="s">
        <v>13</v>
      </c>
      <c r="B316" s="4" t="s">
        <v>14</v>
      </c>
      <c r="C316" s="5" t="n">
        <v>1329001647</v>
      </c>
      <c r="D316" s="6" t="s">
        <v>338</v>
      </c>
      <c r="E316" s="6"/>
      <c r="F316" s="7" t="n">
        <v>46053.2743393171</v>
      </c>
      <c r="G316" s="7" t="n">
        <v>46053.3587680671</v>
      </c>
      <c r="H316" s="8" t="n">
        <v>4</v>
      </c>
      <c r="I316" s="5" t="n">
        <v>400514</v>
      </c>
      <c r="J316" s="6" t="s">
        <v>16</v>
      </c>
      <c r="K316" s="5" t="n">
        <v>100010991</v>
      </c>
      <c r="L316" s="9" t="n">
        <v>46002</v>
      </c>
      <c r="M316" s="10" t="n">
        <v>47827</v>
      </c>
    </row>
    <row r="317" customFormat="false" ht="30" hidden="true" customHeight="true" outlineLevel="0" collapsed="false">
      <c r="A317" s="4" t="s">
        <v>13</v>
      </c>
      <c r="B317" s="4" t="s">
        <v>14</v>
      </c>
      <c r="C317" s="5" t="n">
        <v>1329001647</v>
      </c>
      <c r="D317" s="6" t="s">
        <v>339</v>
      </c>
      <c r="E317" s="6"/>
      <c r="F317" s="7" t="n">
        <v>46053.2743393171</v>
      </c>
      <c r="G317" s="7" t="n">
        <v>46053.3586565625</v>
      </c>
      <c r="H317" s="8" t="n">
        <v>4</v>
      </c>
      <c r="I317" s="5" t="n">
        <v>400514</v>
      </c>
      <c r="J317" s="6" t="s">
        <v>16</v>
      </c>
      <c r="K317" s="5" t="n">
        <v>100010991</v>
      </c>
      <c r="L317" s="9" t="n">
        <v>46002</v>
      </c>
      <c r="M317" s="10" t="n">
        <v>47827</v>
      </c>
    </row>
    <row r="318" customFormat="false" ht="30" hidden="true" customHeight="true" outlineLevel="0" collapsed="false">
      <c r="A318" s="4" t="s">
        <v>13</v>
      </c>
      <c r="B318" s="4" t="s">
        <v>14</v>
      </c>
      <c r="C318" s="5" t="n">
        <v>1329001647</v>
      </c>
      <c r="D318" s="6" t="s">
        <v>340</v>
      </c>
      <c r="E318" s="6"/>
      <c r="F318" s="7" t="n">
        <v>46053.2743393171</v>
      </c>
      <c r="G318" s="7" t="n">
        <v>46053.3585520602</v>
      </c>
      <c r="H318" s="8" t="n">
        <v>4</v>
      </c>
      <c r="I318" s="5" t="n">
        <v>400514</v>
      </c>
      <c r="J318" s="6" t="s">
        <v>16</v>
      </c>
      <c r="K318" s="5" t="n">
        <v>100010991</v>
      </c>
      <c r="L318" s="9" t="n">
        <v>46002</v>
      </c>
      <c r="M318" s="10" t="n">
        <v>47827</v>
      </c>
    </row>
    <row r="319" customFormat="false" ht="30" hidden="true" customHeight="true" outlineLevel="0" collapsed="false">
      <c r="A319" s="4" t="s">
        <v>13</v>
      </c>
      <c r="B319" s="4" t="s">
        <v>14</v>
      </c>
      <c r="C319" s="5" t="n">
        <v>1329001647</v>
      </c>
      <c r="D319" s="6" t="s">
        <v>341</v>
      </c>
      <c r="E319" s="6"/>
      <c r="F319" s="7" t="n">
        <v>46053.2743393171</v>
      </c>
      <c r="G319" s="7" t="n">
        <v>46053.3584244676</v>
      </c>
      <c r="H319" s="8" t="n">
        <v>4</v>
      </c>
      <c r="I319" s="5" t="n">
        <v>400514</v>
      </c>
      <c r="J319" s="6" t="s">
        <v>16</v>
      </c>
      <c r="K319" s="5" t="n">
        <v>100010991</v>
      </c>
      <c r="L319" s="9" t="n">
        <v>46002</v>
      </c>
      <c r="M319" s="10" t="n">
        <v>47827</v>
      </c>
    </row>
    <row r="320" customFormat="false" ht="30" hidden="true" customHeight="true" outlineLevel="0" collapsed="false">
      <c r="A320" s="4" t="s">
        <v>13</v>
      </c>
      <c r="B320" s="4" t="s">
        <v>14</v>
      </c>
      <c r="C320" s="5" t="n">
        <v>1329001647</v>
      </c>
      <c r="D320" s="6" t="s">
        <v>342</v>
      </c>
      <c r="E320" s="6"/>
      <c r="F320" s="7" t="n">
        <v>46053.2743393171</v>
      </c>
      <c r="G320" s="7" t="n">
        <v>46053.3583046065</v>
      </c>
      <c r="H320" s="8" t="n">
        <v>4</v>
      </c>
      <c r="I320" s="5" t="n">
        <v>400514</v>
      </c>
      <c r="J320" s="6" t="s">
        <v>16</v>
      </c>
      <c r="K320" s="5" t="n">
        <v>100010991</v>
      </c>
      <c r="L320" s="9" t="n">
        <v>46002</v>
      </c>
      <c r="M320" s="10" t="n">
        <v>47827</v>
      </c>
    </row>
    <row r="321" customFormat="false" ht="30" hidden="true" customHeight="true" outlineLevel="0" collapsed="false">
      <c r="A321" s="4" t="s">
        <v>13</v>
      </c>
      <c r="B321" s="4" t="s">
        <v>14</v>
      </c>
      <c r="C321" s="5" t="n">
        <v>1329001647</v>
      </c>
      <c r="D321" s="6" t="s">
        <v>343</v>
      </c>
      <c r="E321" s="6"/>
      <c r="F321" s="7" t="n">
        <v>46053.2743393171</v>
      </c>
      <c r="G321" s="7" t="n">
        <v>46053.3581051273</v>
      </c>
      <c r="H321" s="8" t="n">
        <v>4</v>
      </c>
      <c r="I321" s="5" t="n">
        <v>400514</v>
      </c>
      <c r="J321" s="6" t="s">
        <v>16</v>
      </c>
      <c r="K321" s="5" t="n">
        <v>100010991</v>
      </c>
      <c r="L321" s="9" t="n">
        <v>46002</v>
      </c>
      <c r="M321" s="10" t="n">
        <v>47827</v>
      </c>
    </row>
    <row r="322" customFormat="false" ht="30" hidden="true" customHeight="true" outlineLevel="0" collapsed="false">
      <c r="A322" s="4" t="s">
        <v>13</v>
      </c>
      <c r="B322" s="4" t="s">
        <v>14</v>
      </c>
      <c r="C322" s="5" t="n">
        <v>1329001647</v>
      </c>
      <c r="D322" s="6" t="s">
        <v>344</v>
      </c>
      <c r="E322" s="6"/>
      <c r="F322" s="7" t="n">
        <v>46053.2743393171</v>
      </c>
      <c r="G322" s="7" t="n">
        <v>46053.3579534607</v>
      </c>
      <c r="H322" s="8" t="n">
        <v>4</v>
      </c>
      <c r="I322" s="5" t="n">
        <v>400514</v>
      </c>
      <c r="J322" s="6" t="s">
        <v>16</v>
      </c>
      <c r="K322" s="5" t="n">
        <v>100010991</v>
      </c>
      <c r="L322" s="9" t="n">
        <v>46002</v>
      </c>
      <c r="M322" s="10" t="n">
        <v>47827</v>
      </c>
    </row>
    <row r="323" customFormat="false" ht="30" hidden="true" customHeight="true" outlineLevel="0" collapsed="false">
      <c r="A323" s="4" t="s">
        <v>13</v>
      </c>
      <c r="B323" s="4" t="s">
        <v>14</v>
      </c>
      <c r="C323" s="5" t="n">
        <v>1329001647</v>
      </c>
      <c r="D323" s="6" t="s">
        <v>345</v>
      </c>
      <c r="E323" s="6"/>
      <c r="F323" s="7" t="n">
        <v>46053.2743393171</v>
      </c>
      <c r="G323" s="7" t="n">
        <v>46053.3577998148</v>
      </c>
      <c r="H323" s="8" t="n">
        <v>4</v>
      </c>
      <c r="I323" s="5" t="n">
        <v>400514</v>
      </c>
      <c r="J323" s="6" t="s">
        <v>16</v>
      </c>
      <c r="K323" s="5" t="n">
        <v>100010991</v>
      </c>
      <c r="L323" s="9" t="n">
        <v>46002</v>
      </c>
      <c r="M323" s="10" t="n">
        <v>47827</v>
      </c>
    </row>
    <row r="324" customFormat="false" ht="30" hidden="true" customHeight="true" outlineLevel="0" collapsed="false">
      <c r="A324" s="4" t="s">
        <v>13</v>
      </c>
      <c r="B324" s="4" t="s">
        <v>14</v>
      </c>
      <c r="C324" s="5" t="n">
        <v>1329001647</v>
      </c>
      <c r="D324" s="6" t="s">
        <v>346</v>
      </c>
      <c r="E324" s="6"/>
      <c r="F324" s="7" t="n">
        <v>46053.2743393171</v>
      </c>
      <c r="G324" s="7" t="n">
        <v>46053.3576822107</v>
      </c>
      <c r="H324" s="8" t="n">
        <v>4</v>
      </c>
      <c r="I324" s="5" t="n">
        <v>400514</v>
      </c>
      <c r="J324" s="6" t="s">
        <v>16</v>
      </c>
      <c r="K324" s="5" t="n">
        <v>100010991</v>
      </c>
      <c r="L324" s="9" t="n">
        <v>46002</v>
      </c>
      <c r="M324" s="10" t="n">
        <v>47827</v>
      </c>
    </row>
    <row r="325" customFormat="false" ht="30" hidden="true" customHeight="true" outlineLevel="0" collapsed="false">
      <c r="A325" s="4" t="s">
        <v>13</v>
      </c>
      <c r="B325" s="4" t="s">
        <v>14</v>
      </c>
      <c r="C325" s="5" t="n">
        <v>1329001647</v>
      </c>
      <c r="D325" s="6" t="s">
        <v>347</v>
      </c>
      <c r="E325" s="6"/>
      <c r="F325" s="7" t="n">
        <v>46053.2743393171</v>
      </c>
      <c r="G325" s="7" t="n">
        <v>46053.3575800926</v>
      </c>
      <c r="H325" s="8" t="n">
        <v>4</v>
      </c>
      <c r="I325" s="5" t="n">
        <v>400514</v>
      </c>
      <c r="J325" s="6" t="s">
        <v>16</v>
      </c>
      <c r="K325" s="5" t="n">
        <v>100010991</v>
      </c>
      <c r="L325" s="9" t="n">
        <v>46002</v>
      </c>
      <c r="M325" s="10" t="n">
        <v>47827</v>
      </c>
    </row>
    <row r="326" customFormat="false" ht="30" hidden="true" customHeight="true" outlineLevel="0" collapsed="false">
      <c r="A326" s="4" t="s">
        <v>13</v>
      </c>
      <c r="B326" s="4" t="s">
        <v>14</v>
      </c>
      <c r="C326" s="5" t="n">
        <v>1329001647</v>
      </c>
      <c r="D326" s="6" t="s">
        <v>348</v>
      </c>
      <c r="E326" s="6"/>
      <c r="F326" s="7" t="n">
        <v>46053.2743393171</v>
      </c>
      <c r="G326" s="7" t="n">
        <v>46053.357405787</v>
      </c>
      <c r="H326" s="8" t="n">
        <v>4</v>
      </c>
      <c r="I326" s="5" t="n">
        <v>400514</v>
      </c>
      <c r="J326" s="6" t="s">
        <v>16</v>
      </c>
      <c r="K326" s="5" t="n">
        <v>100010991</v>
      </c>
      <c r="L326" s="9" t="n">
        <v>46002</v>
      </c>
      <c r="M326" s="10" t="n">
        <v>47827</v>
      </c>
    </row>
    <row r="327" customFormat="false" ht="30" hidden="true" customHeight="true" outlineLevel="0" collapsed="false">
      <c r="A327" s="4" t="s">
        <v>13</v>
      </c>
      <c r="B327" s="4" t="s">
        <v>14</v>
      </c>
      <c r="C327" s="5" t="n">
        <v>1329001647</v>
      </c>
      <c r="D327" s="6" t="s">
        <v>349</v>
      </c>
      <c r="E327" s="6"/>
      <c r="F327" s="7" t="n">
        <v>46053.2743393171</v>
      </c>
      <c r="G327" s="7" t="n">
        <v>46053.3573124421</v>
      </c>
      <c r="H327" s="8" t="n">
        <v>4</v>
      </c>
      <c r="I327" s="5" t="n">
        <v>400514</v>
      </c>
      <c r="J327" s="6" t="s">
        <v>16</v>
      </c>
      <c r="K327" s="5" t="n">
        <v>100010991</v>
      </c>
      <c r="L327" s="9" t="n">
        <v>46002</v>
      </c>
      <c r="M327" s="10" t="n">
        <v>47827</v>
      </c>
    </row>
    <row r="328" customFormat="false" ht="30" hidden="true" customHeight="true" outlineLevel="0" collapsed="false">
      <c r="A328" s="4" t="s">
        <v>109</v>
      </c>
      <c r="B328" s="4" t="s">
        <v>14</v>
      </c>
      <c r="C328" s="5" t="n">
        <v>1329001643</v>
      </c>
      <c r="D328" s="6" t="s">
        <v>350</v>
      </c>
      <c r="E328" s="6"/>
      <c r="F328" s="7" t="n">
        <v>46053.3022332176</v>
      </c>
      <c r="G328" s="7" t="n">
        <v>46053.3160248611</v>
      </c>
      <c r="H328" s="8" t="n">
        <v>4</v>
      </c>
      <c r="I328" s="5" t="n">
        <v>400514</v>
      </c>
      <c r="J328" s="6" t="s">
        <v>16</v>
      </c>
      <c r="K328" s="5" t="n">
        <v>100010764</v>
      </c>
      <c r="L328" s="9" t="n">
        <v>45980</v>
      </c>
      <c r="M328" s="10" t="n">
        <v>47805</v>
      </c>
    </row>
    <row r="329" customFormat="false" ht="30" hidden="true" customHeight="true" outlineLevel="0" collapsed="false">
      <c r="A329" s="4" t="s">
        <v>109</v>
      </c>
      <c r="B329" s="4" t="s">
        <v>14</v>
      </c>
      <c r="C329" s="5" t="n">
        <v>1329001643</v>
      </c>
      <c r="D329" s="6" t="s">
        <v>351</v>
      </c>
      <c r="E329" s="6"/>
      <c r="F329" s="7" t="n">
        <v>46053.3022332176</v>
      </c>
      <c r="G329" s="7" t="n">
        <v>46053.3152355787</v>
      </c>
      <c r="H329" s="8" t="n">
        <v>4</v>
      </c>
      <c r="I329" s="5" t="n">
        <v>400514</v>
      </c>
      <c r="J329" s="6" t="s">
        <v>16</v>
      </c>
      <c r="K329" s="5" t="n">
        <v>100010764</v>
      </c>
      <c r="L329" s="9" t="n">
        <v>45980</v>
      </c>
      <c r="M329" s="10" t="n">
        <v>47805</v>
      </c>
    </row>
    <row r="330" customFormat="false" ht="30" hidden="true" customHeight="true" outlineLevel="0" collapsed="false">
      <c r="A330" s="4" t="s">
        <v>109</v>
      </c>
      <c r="B330" s="4" t="s">
        <v>14</v>
      </c>
      <c r="C330" s="5" t="n">
        <v>1329001643</v>
      </c>
      <c r="D330" s="6" t="s">
        <v>352</v>
      </c>
      <c r="E330" s="6"/>
      <c r="F330" s="7" t="n">
        <v>46053.3022332176</v>
      </c>
      <c r="G330" s="7" t="n">
        <v>46053.3300722801</v>
      </c>
      <c r="H330" s="8" t="n">
        <v>4</v>
      </c>
      <c r="I330" s="5" t="n">
        <v>400514</v>
      </c>
      <c r="J330" s="6" t="s">
        <v>16</v>
      </c>
      <c r="K330" s="5" t="n">
        <v>100010764</v>
      </c>
      <c r="L330" s="9" t="n">
        <v>45980</v>
      </c>
      <c r="M330" s="10" t="n">
        <v>47805</v>
      </c>
    </row>
    <row r="331" customFormat="false" ht="30" hidden="true" customHeight="true" outlineLevel="0" collapsed="false">
      <c r="A331" s="4" t="s">
        <v>109</v>
      </c>
      <c r="B331" s="4" t="s">
        <v>14</v>
      </c>
      <c r="C331" s="5" t="n">
        <v>1329001643</v>
      </c>
      <c r="D331" s="6" t="s">
        <v>353</v>
      </c>
      <c r="E331" s="6"/>
      <c r="F331" s="7" t="n">
        <v>46053.3022332176</v>
      </c>
      <c r="G331" s="7" t="n">
        <v>46053.3292974306</v>
      </c>
      <c r="H331" s="8" t="n">
        <v>4</v>
      </c>
      <c r="I331" s="5" t="n">
        <v>400514</v>
      </c>
      <c r="J331" s="6" t="s">
        <v>16</v>
      </c>
      <c r="K331" s="5" t="n">
        <v>100010764</v>
      </c>
      <c r="L331" s="9" t="n">
        <v>45980</v>
      </c>
      <c r="M331" s="10" t="n">
        <v>47805</v>
      </c>
    </row>
    <row r="332" customFormat="false" ht="30" hidden="true" customHeight="true" outlineLevel="0" collapsed="false">
      <c r="A332" s="4" t="s">
        <v>109</v>
      </c>
      <c r="B332" s="4" t="s">
        <v>14</v>
      </c>
      <c r="C332" s="5" t="n">
        <v>1329001643</v>
      </c>
      <c r="D332" s="6" t="s">
        <v>354</v>
      </c>
      <c r="E332" s="6"/>
      <c r="F332" s="7" t="n">
        <v>46053.3022332176</v>
      </c>
      <c r="G332" s="7" t="n">
        <v>46053.3289396296</v>
      </c>
      <c r="H332" s="8" t="n">
        <v>4</v>
      </c>
      <c r="I332" s="5" t="n">
        <v>400514</v>
      </c>
      <c r="J332" s="6" t="s">
        <v>16</v>
      </c>
      <c r="K332" s="5" t="n">
        <v>100010764</v>
      </c>
      <c r="L332" s="9" t="n">
        <v>45980</v>
      </c>
      <c r="M332" s="10" t="n">
        <v>47805</v>
      </c>
    </row>
    <row r="333" customFormat="false" ht="30" hidden="true" customHeight="true" outlineLevel="0" collapsed="false">
      <c r="A333" s="4" t="s">
        <v>109</v>
      </c>
      <c r="B333" s="4" t="s">
        <v>14</v>
      </c>
      <c r="C333" s="5" t="n">
        <v>1329001643</v>
      </c>
      <c r="D333" s="6" t="s">
        <v>355</v>
      </c>
      <c r="E333" s="6"/>
      <c r="F333" s="7" t="n">
        <v>46053.3022332176</v>
      </c>
      <c r="G333" s="7" t="n">
        <v>46053.3281518056</v>
      </c>
      <c r="H333" s="8" t="n">
        <v>4</v>
      </c>
      <c r="I333" s="5" t="n">
        <v>400514</v>
      </c>
      <c r="J333" s="6" t="s">
        <v>16</v>
      </c>
      <c r="K333" s="5" t="n">
        <v>100010764</v>
      </c>
      <c r="L333" s="9" t="n">
        <v>45980</v>
      </c>
      <c r="M333" s="10" t="n">
        <v>47805</v>
      </c>
    </row>
    <row r="334" customFormat="false" ht="30" hidden="true" customHeight="true" outlineLevel="0" collapsed="false">
      <c r="A334" s="4" t="s">
        <v>109</v>
      </c>
      <c r="B334" s="4" t="s">
        <v>14</v>
      </c>
      <c r="C334" s="5" t="n">
        <v>1329001643</v>
      </c>
      <c r="D334" s="6" t="s">
        <v>356</v>
      </c>
      <c r="E334" s="6"/>
      <c r="F334" s="7" t="n">
        <v>46053.3022332176</v>
      </c>
      <c r="G334" s="7" t="n">
        <v>46053.3277914005</v>
      </c>
      <c r="H334" s="8" t="n">
        <v>4</v>
      </c>
      <c r="I334" s="5" t="n">
        <v>400514</v>
      </c>
      <c r="J334" s="6" t="s">
        <v>16</v>
      </c>
      <c r="K334" s="5" t="n">
        <v>100010764</v>
      </c>
      <c r="L334" s="9" t="n">
        <v>45980</v>
      </c>
      <c r="M334" s="10" t="n">
        <v>47805</v>
      </c>
    </row>
    <row r="335" customFormat="false" ht="30" hidden="true" customHeight="true" outlineLevel="0" collapsed="false">
      <c r="A335" s="4" t="s">
        <v>109</v>
      </c>
      <c r="B335" s="4" t="s">
        <v>14</v>
      </c>
      <c r="C335" s="5" t="n">
        <v>1329001643</v>
      </c>
      <c r="D335" s="6" t="s">
        <v>357</v>
      </c>
      <c r="E335" s="6"/>
      <c r="F335" s="7" t="n">
        <v>46053.3022332176</v>
      </c>
      <c r="G335" s="7" t="n">
        <v>46053.3274974306</v>
      </c>
      <c r="H335" s="8" t="n">
        <v>4</v>
      </c>
      <c r="I335" s="5" t="n">
        <v>400514</v>
      </c>
      <c r="J335" s="6" t="s">
        <v>16</v>
      </c>
      <c r="K335" s="5" t="n">
        <v>100010764</v>
      </c>
      <c r="L335" s="9" t="n">
        <v>45980</v>
      </c>
      <c r="M335" s="10" t="n">
        <v>47805</v>
      </c>
    </row>
    <row r="336" customFormat="false" ht="30" hidden="true" customHeight="true" outlineLevel="0" collapsed="false">
      <c r="A336" s="4" t="s">
        <v>109</v>
      </c>
      <c r="B336" s="4" t="s">
        <v>14</v>
      </c>
      <c r="C336" s="5" t="n">
        <v>1329001643</v>
      </c>
      <c r="D336" s="6" t="s">
        <v>358</v>
      </c>
      <c r="E336" s="6"/>
      <c r="F336" s="7" t="n">
        <v>46053.3022332176</v>
      </c>
      <c r="G336" s="7" t="n">
        <v>46053.3272402894</v>
      </c>
      <c r="H336" s="8" t="n">
        <v>4</v>
      </c>
      <c r="I336" s="5" t="n">
        <v>400514</v>
      </c>
      <c r="J336" s="6" t="s">
        <v>16</v>
      </c>
      <c r="K336" s="5" t="n">
        <v>100010764</v>
      </c>
      <c r="L336" s="9" t="n">
        <v>45980</v>
      </c>
      <c r="M336" s="10" t="n">
        <v>47805</v>
      </c>
    </row>
    <row r="337" customFormat="false" ht="30" hidden="true" customHeight="true" outlineLevel="0" collapsed="false">
      <c r="A337" s="4" t="s">
        <v>109</v>
      </c>
      <c r="B337" s="4" t="s">
        <v>14</v>
      </c>
      <c r="C337" s="5" t="n">
        <v>1329001643</v>
      </c>
      <c r="D337" s="6" t="s">
        <v>359</v>
      </c>
      <c r="E337" s="6"/>
      <c r="F337" s="7" t="n">
        <v>46053.3022332176</v>
      </c>
      <c r="G337" s="7" t="n">
        <v>46053.327027963</v>
      </c>
      <c r="H337" s="8" t="n">
        <v>4</v>
      </c>
      <c r="I337" s="5" t="n">
        <v>400514</v>
      </c>
      <c r="J337" s="6" t="s">
        <v>16</v>
      </c>
      <c r="K337" s="5" t="n">
        <v>100010764</v>
      </c>
      <c r="L337" s="9" t="n">
        <v>45980</v>
      </c>
      <c r="M337" s="10" t="n">
        <v>47805</v>
      </c>
    </row>
    <row r="338" customFormat="false" ht="30" hidden="true" customHeight="true" outlineLevel="0" collapsed="false">
      <c r="A338" s="4" t="s">
        <v>109</v>
      </c>
      <c r="B338" s="4" t="s">
        <v>14</v>
      </c>
      <c r="C338" s="5" t="n">
        <v>1329001643</v>
      </c>
      <c r="D338" s="6" t="s">
        <v>360</v>
      </c>
      <c r="E338" s="6"/>
      <c r="F338" s="7" t="n">
        <v>46053.3022332176</v>
      </c>
      <c r="G338" s="7" t="n">
        <v>46053.3256106134</v>
      </c>
      <c r="H338" s="8" t="n">
        <v>4</v>
      </c>
      <c r="I338" s="5" t="n">
        <v>400514</v>
      </c>
      <c r="J338" s="6" t="s">
        <v>16</v>
      </c>
      <c r="K338" s="5" t="n">
        <v>100010764</v>
      </c>
      <c r="L338" s="9" t="n">
        <v>45980</v>
      </c>
      <c r="M338" s="10" t="n">
        <v>47805</v>
      </c>
    </row>
    <row r="339" customFormat="false" ht="30" hidden="true" customHeight="true" outlineLevel="0" collapsed="false">
      <c r="A339" s="4" t="s">
        <v>109</v>
      </c>
      <c r="B339" s="4" t="s">
        <v>14</v>
      </c>
      <c r="C339" s="5" t="n">
        <v>1329001643</v>
      </c>
      <c r="D339" s="6" t="s">
        <v>361</v>
      </c>
      <c r="E339" s="6"/>
      <c r="F339" s="7" t="n">
        <v>46053.3022332176</v>
      </c>
      <c r="G339" s="7" t="n">
        <v>46053.3252664699</v>
      </c>
      <c r="H339" s="8" t="n">
        <v>4</v>
      </c>
      <c r="I339" s="5" t="n">
        <v>400514</v>
      </c>
      <c r="J339" s="6" t="s">
        <v>16</v>
      </c>
      <c r="K339" s="5" t="n">
        <v>100010764</v>
      </c>
      <c r="L339" s="9" t="n">
        <v>45980</v>
      </c>
      <c r="M339" s="10" t="n">
        <v>47805</v>
      </c>
    </row>
    <row r="340" customFormat="false" ht="30" hidden="true" customHeight="true" outlineLevel="0" collapsed="false">
      <c r="A340" s="4" t="s">
        <v>109</v>
      </c>
      <c r="B340" s="4" t="s">
        <v>14</v>
      </c>
      <c r="C340" s="5" t="n">
        <v>1329001643</v>
      </c>
      <c r="D340" s="6" t="s">
        <v>362</v>
      </c>
      <c r="E340" s="6"/>
      <c r="F340" s="7" t="n">
        <v>46053.3022332176</v>
      </c>
      <c r="G340" s="7" t="n">
        <v>46053.3248226042</v>
      </c>
      <c r="H340" s="8" t="n">
        <v>4</v>
      </c>
      <c r="I340" s="5" t="n">
        <v>400514</v>
      </c>
      <c r="J340" s="6" t="s">
        <v>16</v>
      </c>
      <c r="K340" s="5" t="n">
        <v>100010764</v>
      </c>
      <c r="L340" s="9" t="n">
        <v>45980</v>
      </c>
      <c r="M340" s="10" t="n">
        <v>47805</v>
      </c>
    </row>
    <row r="341" customFormat="false" ht="30" hidden="true" customHeight="true" outlineLevel="0" collapsed="false">
      <c r="A341" s="4" t="s">
        <v>109</v>
      </c>
      <c r="B341" s="4" t="s">
        <v>14</v>
      </c>
      <c r="C341" s="5" t="n">
        <v>1329001643</v>
      </c>
      <c r="D341" s="6" t="s">
        <v>363</v>
      </c>
      <c r="E341" s="6"/>
      <c r="F341" s="7" t="n">
        <v>46053.3022332176</v>
      </c>
      <c r="G341" s="7" t="n">
        <v>46053.3245252778</v>
      </c>
      <c r="H341" s="8" t="n">
        <v>4</v>
      </c>
      <c r="I341" s="5" t="n">
        <v>400514</v>
      </c>
      <c r="J341" s="6" t="s">
        <v>16</v>
      </c>
      <c r="K341" s="5" t="n">
        <v>100010764</v>
      </c>
      <c r="L341" s="9" t="n">
        <v>45980</v>
      </c>
      <c r="M341" s="10" t="n">
        <v>47805</v>
      </c>
    </row>
    <row r="342" customFormat="false" ht="30" hidden="true" customHeight="true" outlineLevel="0" collapsed="false">
      <c r="A342" s="4" t="s">
        <v>109</v>
      </c>
      <c r="B342" s="4" t="s">
        <v>14</v>
      </c>
      <c r="C342" s="5" t="n">
        <v>1329001643</v>
      </c>
      <c r="D342" s="6" t="s">
        <v>364</v>
      </c>
      <c r="E342" s="6"/>
      <c r="F342" s="7" t="n">
        <v>46053.3022332176</v>
      </c>
      <c r="G342" s="7" t="n">
        <v>46053.3242136227</v>
      </c>
      <c r="H342" s="8" t="n">
        <v>4</v>
      </c>
      <c r="I342" s="5" t="n">
        <v>400514</v>
      </c>
      <c r="J342" s="6" t="s">
        <v>16</v>
      </c>
      <c r="K342" s="5" t="n">
        <v>100010764</v>
      </c>
      <c r="L342" s="9" t="n">
        <v>45980</v>
      </c>
      <c r="M342" s="10" t="n">
        <v>47805</v>
      </c>
    </row>
    <row r="343" customFormat="false" ht="30" hidden="true" customHeight="true" outlineLevel="0" collapsed="false">
      <c r="A343" s="4" t="s">
        <v>109</v>
      </c>
      <c r="B343" s="4" t="s">
        <v>14</v>
      </c>
      <c r="C343" s="5" t="n">
        <v>1329001643</v>
      </c>
      <c r="D343" s="6" t="s">
        <v>365</v>
      </c>
      <c r="E343" s="6"/>
      <c r="F343" s="7" t="n">
        <v>46053.3022332176</v>
      </c>
      <c r="G343" s="7" t="n">
        <v>46053.3234210764</v>
      </c>
      <c r="H343" s="8" t="n">
        <v>4</v>
      </c>
      <c r="I343" s="5" t="n">
        <v>400514</v>
      </c>
      <c r="J343" s="6" t="s">
        <v>16</v>
      </c>
      <c r="K343" s="5" t="n">
        <v>100010764</v>
      </c>
      <c r="L343" s="9" t="n">
        <v>45980</v>
      </c>
      <c r="M343" s="10" t="n">
        <v>47805</v>
      </c>
    </row>
    <row r="344" customFormat="false" ht="30" hidden="true" customHeight="true" outlineLevel="0" collapsed="false">
      <c r="A344" s="4" t="s">
        <v>109</v>
      </c>
      <c r="B344" s="4" t="s">
        <v>14</v>
      </c>
      <c r="C344" s="5" t="n">
        <v>1329001643</v>
      </c>
      <c r="D344" s="6" t="s">
        <v>366</v>
      </c>
      <c r="E344" s="6"/>
      <c r="F344" s="7" t="n">
        <v>46053.3022332176</v>
      </c>
      <c r="G344" s="7" t="n">
        <v>46053.3231082176</v>
      </c>
      <c r="H344" s="8" t="n">
        <v>4</v>
      </c>
      <c r="I344" s="5" t="n">
        <v>400514</v>
      </c>
      <c r="J344" s="6" t="s">
        <v>16</v>
      </c>
      <c r="K344" s="5" t="n">
        <v>100010764</v>
      </c>
      <c r="L344" s="9" t="n">
        <v>45980</v>
      </c>
      <c r="M344" s="10" t="n">
        <v>47805</v>
      </c>
    </row>
    <row r="345" customFormat="false" ht="30" hidden="true" customHeight="true" outlineLevel="0" collapsed="false">
      <c r="A345" s="4" t="s">
        <v>109</v>
      </c>
      <c r="B345" s="4" t="s">
        <v>14</v>
      </c>
      <c r="C345" s="5" t="n">
        <v>1329001643</v>
      </c>
      <c r="D345" s="6" t="s">
        <v>367</v>
      </c>
      <c r="E345" s="6"/>
      <c r="F345" s="7" t="n">
        <v>46053.3022332176</v>
      </c>
      <c r="G345" s="7" t="n">
        <v>46053.3226919907</v>
      </c>
      <c r="H345" s="8" t="n">
        <v>4</v>
      </c>
      <c r="I345" s="5" t="n">
        <v>400514</v>
      </c>
      <c r="J345" s="6" t="s">
        <v>16</v>
      </c>
      <c r="K345" s="5" t="n">
        <v>100010764</v>
      </c>
      <c r="L345" s="9" t="n">
        <v>45980</v>
      </c>
      <c r="M345" s="10" t="n">
        <v>47805</v>
      </c>
    </row>
    <row r="346" customFormat="false" ht="30" hidden="true" customHeight="true" outlineLevel="0" collapsed="false">
      <c r="A346" s="4" t="s">
        <v>109</v>
      </c>
      <c r="B346" s="4" t="s">
        <v>14</v>
      </c>
      <c r="C346" s="5" t="n">
        <v>1329001643</v>
      </c>
      <c r="D346" s="6" t="s">
        <v>368</v>
      </c>
      <c r="E346" s="6"/>
      <c r="F346" s="7" t="n">
        <v>46053.3022332176</v>
      </c>
      <c r="G346" s="7" t="n">
        <v>46053.3223684259</v>
      </c>
      <c r="H346" s="8" t="n">
        <v>4</v>
      </c>
      <c r="I346" s="5" t="n">
        <v>400514</v>
      </c>
      <c r="J346" s="6" t="s">
        <v>16</v>
      </c>
      <c r="K346" s="5" t="n">
        <v>100010764</v>
      </c>
      <c r="L346" s="9" t="n">
        <v>45980</v>
      </c>
      <c r="M346" s="10" t="n">
        <v>47805</v>
      </c>
    </row>
    <row r="347" customFormat="false" ht="30" hidden="true" customHeight="true" outlineLevel="0" collapsed="false">
      <c r="A347" s="4" t="s">
        <v>109</v>
      </c>
      <c r="B347" s="4" t="s">
        <v>14</v>
      </c>
      <c r="C347" s="5" t="n">
        <v>1329001643</v>
      </c>
      <c r="D347" s="6" t="s">
        <v>369</v>
      </c>
      <c r="E347" s="6"/>
      <c r="F347" s="7" t="n">
        <v>46053.3022332176</v>
      </c>
      <c r="G347" s="7" t="n">
        <v>46053.3217132639</v>
      </c>
      <c r="H347" s="8" t="n">
        <v>4</v>
      </c>
      <c r="I347" s="5" t="n">
        <v>400514</v>
      </c>
      <c r="J347" s="6" t="s">
        <v>16</v>
      </c>
      <c r="K347" s="5" t="n">
        <v>100010764</v>
      </c>
      <c r="L347" s="9" t="n">
        <v>45980</v>
      </c>
      <c r="M347" s="10" t="n">
        <v>47805</v>
      </c>
    </row>
    <row r="348" customFormat="false" ht="30" hidden="true" customHeight="true" outlineLevel="0" collapsed="false">
      <c r="A348" s="4" t="s">
        <v>109</v>
      </c>
      <c r="B348" s="4" t="s">
        <v>14</v>
      </c>
      <c r="C348" s="5" t="n">
        <v>1329001643</v>
      </c>
      <c r="D348" s="6" t="s">
        <v>370</v>
      </c>
      <c r="E348" s="6"/>
      <c r="F348" s="7" t="n">
        <v>46053.3022332176</v>
      </c>
      <c r="G348" s="7" t="n">
        <v>46053.3205672454</v>
      </c>
      <c r="H348" s="8" t="n">
        <v>4</v>
      </c>
      <c r="I348" s="5" t="n">
        <v>400514</v>
      </c>
      <c r="J348" s="6" t="s">
        <v>16</v>
      </c>
      <c r="K348" s="5" t="n">
        <v>100010764</v>
      </c>
      <c r="L348" s="9" t="n">
        <v>45980</v>
      </c>
      <c r="M348" s="10" t="n">
        <v>47805</v>
      </c>
    </row>
    <row r="349" customFormat="false" ht="30" hidden="true" customHeight="true" outlineLevel="0" collapsed="false">
      <c r="A349" s="4" t="s">
        <v>109</v>
      </c>
      <c r="B349" s="4" t="s">
        <v>14</v>
      </c>
      <c r="C349" s="5" t="n">
        <v>1329001643</v>
      </c>
      <c r="D349" s="6" t="s">
        <v>371</v>
      </c>
      <c r="E349" s="6"/>
      <c r="F349" s="7" t="n">
        <v>46053.3022332176</v>
      </c>
      <c r="G349" s="7" t="n">
        <v>46053.3202487732</v>
      </c>
      <c r="H349" s="8" t="n">
        <v>4</v>
      </c>
      <c r="I349" s="5" t="n">
        <v>400514</v>
      </c>
      <c r="J349" s="6" t="s">
        <v>16</v>
      </c>
      <c r="K349" s="5" t="n">
        <v>100010764</v>
      </c>
      <c r="L349" s="9" t="n">
        <v>45980</v>
      </c>
      <c r="M349" s="10" t="n">
        <v>47805</v>
      </c>
    </row>
    <row r="350" customFormat="false" ht="30" hidden="true" customHeight="true" outlineLevel="0" collapsed="false">
      <c r="A350" s="4" t="s">
        <v>109</v>
      </c>
      <c r="B350" s="4" t="s">
        <v>14</v>
      </c>
      <c r="C350" s="5" t="n">
        <v>1329001643</v>
      </c>
      <c r="D350" s="6" t="s">
        <v>372</v>
      </c>
      <c r="E350" s="6"/>
      <c r="F350" s="7" t="n">
        <v>46053.3022332176</v>
      </c>
      <c r="G350" s="7" t="n">
        <v>46053.3198876042</v>
      </c>
      <c r="H350" s="8" t="n">
        <v>4</v>
      </c>
      <c r="I350" s="5" t="n">
        <v>400514</v>
      </c>
      <c r="J350" s="6" t="s">
        <v>16</v>
      </c>
      <c r="K350" s="5" t="n">
        <v>100010764</v>
      </c>
      <c r="L350" s="9" t="n">
        <v>45980</v>
      </c>
      <c r="M350" s="10" t="n">
        <v>47805</v>
      </c>
    </row>
    <row r="351" customFormat="false" ht="30" hidden="true" customHeight="true" outlineLevel="0" collapsed="false">
      <c r="A351" s="4" t="s">
        <v>109</v>
      </c>
      <c r="B351" s="4" t="s">
        <v>14</v>
      </c>
      <c r="C351" s="5" t="n">
        <v>1329001643</v>
      </c>
      <c r="D351" s="6" t="s">
        <v>373</v>
      </c>
      <c r="E351" s="6"/>
      <c r="F351" s="7" t="n">
        <v>46053.3022332176</v>
      </c>
      <c r="G351" s="7" t="n">
        <v>46053.3195636458</v>
      </c>
      <c r="H351" s="8" t="n">
        <v>4</v>
      </c>
      <c r="I351" s="5" t="n">
        <v>400514</v>
      </c>
      <c r="J351" s="6" t="s">
        <v>16</v>
      </c>
      <c r="K351" s="5" t="n">
        <v>100010764</v>
      </c>
      <c r="L351" s="9" t="n">
        <v>45980</v>
      </c>
      <c r="M351" s="10" t="n">
        <v>47805</v>
      </c>
    </row>
    <row r="352" customFormat="false" ht="30" hidden="true" customHeight="true" outlineLevel="0" collapsed="false">
      <c r="A352" s="4" t="s">
        <v>109</v>
      </c>
      <c r="B352" s="4" t="s">
        <v>14</v>
      </c>
      <c r="C352" s="5" t="n">
        <v>1329001643</v>
      </c>
      <c r="D352" s="6" t="s">
        <v>374</v>
      </c>
      <c r="E352" s="6"/>
      <c r="F352" s="7" t="n">
        <v>46053.3022332176</v>
      </c>
      <c r="G352" s="7" t="n">
        <v>46053.3192272685</v>
      </c>
      <c r="H352" s="8" t="n">
        <v>4</v>
      </c>
      <c r="I352" s="5" t="n">
        <v>400514</v>
      </c>
      <c r="J352" s="6" t="s">
        <v>16</v>
      </c>
      <c r="K352" s="5" t="n">
        <v>100010764</v>
      </c>
      <c r="L352" s="9" t="n">
        <v>45980</v>
      </c>
      <c r="M352" s="10" t="n">
        <v>47805</v>
      </c>
    </row>
    <row r="353" customFormat="false" ht="30" hidden="true" customHeight="true" outlineLevel="0" collapsed="false">
      <c r="A353" s="4" t="s">
        <v>109</v>
      </c>
      <c r="B353" s="4" t="s">
        <v>14</v>
      </c>
      <c r="C353" s="5" t="n">
        <v>1329001643</v>
      </c>
      <c r="D353" s="6" t="s">
        <v>375</v>
      </c>
      <c r="E353" s="6"/>
      <c r="F353" s="7" t="n">
        <v>46053.3022332176</v>
      </c>
      <c r="G353" s="7" t="n">
        <v>46053.3189081482</v>
      </c>
      <c r="H353" s="8" t="n">
        <v>4</v>
      </c>
      <c r="I353" s="5" t="n">
        <v>400514</v>
      </c>
      <c r="J353" s="6" t="s">
        <v>16</v>
      </c>
      <c r="K353" s="5" t="n">
        <v>100010764</v>
      </c>
      <c r="L353" s="9" t="n">
        <v>45980</v>
      </c>
      <c r="M353" s="10" t="n">
        <v>47805</v>
      </c>
    </row>
    <row r="354" customFormat="false" ht="30" hidden="true" customHeight="true" outlineLevel="0" collapsed="false">
      <c r="A354" s="4" t="s">
        <v>109</v>
      </c>
      <c r="B354" s="4" t="s">
        <v>14</v>
      </c>
      <c r="C354" s="5" t="n">
        <v>1329001643</v>
      </c>
      <c r="D354" s="6" t="s">
        <v>376</v>
      </c>
      <c r="E354" s="6"/>
      <c r="F354" s="7" t="n">
        <v>46053.3022332176</v>
      </c>
      <c r="G354" s="7" t="n">
        <v>46053.3180165278</v>
      </c>
      <c r="H354" s="8" t="n">
        <v>4</v>
      </c>
      <c r="I354" s="5" t="n">
        <v>400514</v>
      </c>
      <c r="J354" s="6" t="s">
        <v>16</v>
      </c>
      <c r="K354" s="5" t="n">
        <v>100010764</v>
      </c>
      <c r="L354" s="9" t="n">
        <v>45980</v>
      </c>
      <c r="M354" s="10" t="n">
        <v>47805</v>
      </c>
    </row>
    <row r="355" customFormat="false" ht="30" hidden="true" customHeight="true" outlineLevel="0" collapsed="false">
      <c r="A355" s="4" t="s">
        <v>109</v>
      </c>
      <c r="B355" s="4" t="s">
        <v>14</v>
      </c>
      <c r="C355" s="5" t="n">
        <v>1329001643</v>
      </c>
      <c r="D355" s="6" t="s">
        <v>377</v>
      </c>
      <c r="E355" s="6"/>
      <c r="F355" s="7" t="n">
        <v>46053.3022332176</v>
      </c>
      <c r="G355" s="7" t="n">
        <v>46053.3174881713</v>
      </c>
      <c r="H355" s="8" t="n">
        <v>4</v>
      </c>
      <c r="I355" s="5" t="n">
        <v>400514</v>
      </c>
      <c r="J355" s="6" t="s">
        <v>16</v>
      </c>
      <c r="K355" s="5" t="n">
        <v>100010764</v>
      </c>
      <c r="L355" s="9" t="n">
        <v>45980</v>
      </c>
      <c r="M355" s="10" t="n">
        <v>47805</v>
      </c>
    </row>
    <row r="356" customFormat="false" ht="30" hidden="true" customHeight="true" outlineLevel="0" collapsed="false">
      <c r="A356" s="4" t="s">
        <v>109</v>
      </c>
      <c r="B356" s="4" t="s">
        <v>14</v>
      </c>
      <c r="C356" s="5" t="n">
        <v>1329001643</v>
      </c>
      <c r="D356" s="6" t="s">
        <v>378</v>
      </c>
      <c r="E356" s="6"/>
      <c r="F356" s="7" t="n">
        <v>46053.3022332176</v>
      </c>
      <c r="G356" s="7" t="n">
        <v>46053.3169975694</v>
      </c>
      <c r="H356" s="8" t="n">
        <v>4</v>
      </c>
      <c r="I356" s="5" t="n">
        <v>400514</v>
      </c>
      <c r="J356" s="6" t="s">
        <v>16</v>
      </c>
      <c r="K356" s="5" t="n">
        <v>100010764</v>
      </c>
      <c r="L356" s="9" t="n">
        <v>45980</v>
      </c>
      <c r="M356" s="10" t="n">
        <v>47805</v>
      </c>
    </row>
    <row r="357" customFormat="false" ht="30" hidden="true" customHeight="true" outlineLevel="0" collapsed="false">
      <c r="A357" s="4" t="s">
        <v>109</v>
      </c>
      <c r="B357" s="4" t="s">
        <v>14</v>
      </c>
      <c r="C357" s="5" t="n">
        <v>1329001643</v>
      </c>
      <c r="D357" s="6" t="s">
        <v>379</v>
      </c>
      <c r="E357" s="6"/>
      <c r="F357" s="7" t="n">
        <v>46053.3022332176</v>
      </c>
      <c r="G357" s="7" t="n">
        <v>46053.3165344213</v>
      </c>
      <c r="H357" s="8" t="n">
        <v>4</v>
      </c>
      <c r="I357" s="5" t="n">
        <v>400514</v>
      </c>
      <c r="J357" s="6" t="s">
        <v>16</v>
      </c>
      <c r="K357" s="5" t="n">
        <v>100010764</v>
      </c>
      <c r="L357" s="9" t="n">
        <v>45980</v>
      </c>
      <c r="M357" s="10" t="n">
        <v>47805</v>
      </c>
    </row>
    <row r="358" customFormat="false" ht="30" hidden="true" customHeight="true" outlineLevel="0" collapsed="false">
      <c r="A358" s="4" t="s">
        <v>109</v>
      </c>
      <c r="B358" s="4" t="s">
        <v>14</v>
      </c>
      <c r="C358" s="5" t="n">
        <v>1329001644</v>
      </c>
      <c r="D358" s="6" t="s">
        <v>380</v>
      </c>
      <c r="E358" s="6"/>
      <c r="F358" s="7" t="n">
        <v>46053.3032228125</v>
      </c>
      <c r="G358" s="7" t="n">
        <v>46053.3331467824</v>
      </c>
      <c r="H358" s="8" t="n">
        <v>4</v>
      </c>
      <c r="I358" s="5" t="n">
        <v>400464</v>
      </c>
      <c r="J358" s="6" t="s">
        <v>50</v>
      </c>
      <c r="K358" s="5" t="n">
        <v>100011218</v>
      </c>
      <c r="L358" s="9" t="n">
        <v>46018</v>
      </c>
      <c r="M358" s="10" t="n">
        <v>47843</v>
      </c>
    </row>
    <row r="359" customFormat="false" ht="30" hidden="true" customHeight="true" outlineLevel="0" collapsed="false">
      <c r="A359" s="4" t="s">
        <v>109</v>
      </c>
      <c r="B359" s="4" t="s">
        <v>14</v>
      </c>
      <c r="C359" s="5" t="n">
        <v>1329001644</v>
      </c>
      <c r="D359" s="6" t="s">
        <v>381</v>
      </c>
      <c r="E359" s="6"/>
      <c r="F359" s="7" t="n">
        <v>46053.3032228125</v>
      </c>
      <c r="G359" s="7" t="n">
        <v>46053.3490078125</v>
      </c>
      <c r="H359" s="8" t="n">
        <v>4</v>
      </c>
      <c r="I359" s="5" t="n">
        <v>400464</v>
      </c>
      <c r="J359" s="6" t="s">
        <v>50</v>
      </c>
      <c r="K359" s="5" t="n">
        <v>100011197</v>
      </c>
      <c r="L359" s="9" t="n">
        <v>46016</v>
      </c>
      <c r="M359" s="10" t="n">
        <v>47841</v>
      </c>
    </row>
    <row r="360" customFormat="false" ht="30" hidden="true" customHeight="true" outlineLevel="0" collapsed="false">
      <c r="A360" s="4" t="s">
        <v>109</v>
      </c>
      <c r="B360" s="4" t="s">
        <v>14</v>
      </c>
      <c r="C360" s="5" t="n">
        <v>1329001644</v>
      </c>
      <c r="D360" s="6" t="s">
        <v>382</v>
      </c>
      <c r="E360" s="6"/>
      <c r="F360" s="7" t="n">
        <v>46053.3032228125</v>
      </c>
      <c r="G360" s="7" t="n">
        <v>46053.3487176273</v>
      </c>
      <c r="H360" s="8" t="n">
        <v>4</v>
      </c>
      <c r="I360" s="5" t="n">
        <v>400464</v>
      </c>
      <c r="J360" s="6" t="s">
        <v>50</v>
      </c>
      <c r="K360" s="5" t="n">
        <v>100011197</v>
      </c>
      <c r="L360" s="9" t="n">
        <v>46016</v>
      </c>
      <c r="M360" s="10" t="n">
        <v>47841</v>
      </c>
    </row>
    <row r="361" customFormat="false" ht="30" hidden="true" customHeight="true" outlineLevel="0" collapsed="false">
      <c r="A361" s="4" t="s">
        <v>109</v>
      </c>
      <c r="B361" s="4" t="s">
        <v>14</v>
      </c>
      <c r="C361" s="5" t="n">
        <v>1329001644</v>
      </c>
      <c r="D361" s="6" t="s">
        <v>383</v>
      </c>
      <c r="E361" s="6"/>
      <c r="F361" s="7" t="n">
        <v>46053.3032228125</v>
      </c>
      <c r="G361" s="7" t="n">
        <v>46053.3481853704</v>
      </c>
      <c r="H361" s="8" t="n">
        <v>4</v>
      </c>
      <c r="I361" s="5" t="n">
        <v>400464</v>
      </c>
      <c r="J361" s="6" t="s">
        <v>50</v>
      </c>
      <c r="K361" s="5" t="n">
        <v>100011197</v>
      </c>
      <c r="L361" s="9" t="n">
        <v>46016</v>
      </c>
      <c r="M361" s="10" t="n">
        <v>47841</v>
      </c>
    </row>
    <row r="362" customFormat="false" ht="30" hidden="true" customHeight="true" outlineLevel="0" collapsed="false">
      <c r="A362" s="4" t="s">
        <v>109</v>
      </c>
      <c r="B362" s="4" t="s">
        <v>14</v>
      </c>
      <c r="C362" s="5" t="n">
        <v>1329001644</v>
      </c>
      <c r="D362" s="6" t="s">
        <v>384</v>
      </c>
      <c r="E362" s="6"/>
      <c r="F362" s="7" t="n">
        <v>46053.3032228125</v>
      </c>
      <c r="G362" s="7" t="n">
        <v>46053.3473420718</v>
      </c>
      <c r="H362" s="8" t="n">
        <v>4</v>
      </c>
      <c r="I362" s="5" t="n">
        <v>400464</v>
      </c>
      <c r="J362" s="6" t="s">
        <v>50</v>
      </c>
      <c r="K362" s="5" t="n">
        <v>100011197</v>
      </c>
      <c r="L362" s="9" t="n">
        <v>46016</v>
      </c>
      <c r="M362" s="10" t="n">
        <v>47841</v>
      </c>
    </row>
    <row r="363" customFormat="false" ht="30" hidden="true" customHeight="true" outlineLevel="0" collapsed="false">
      <c r="A363" s="4" t="s">
        <v>109</v>
      </c>
      <c r="B363" s="4" t="s">
        <v>14</v>
      </c>
      <c r="C363" s="5" t="n">
        <v>1329001644</v>
      </c>
      <c r="D363" s="6" t="s">
        <v>385</v>
      </c>
      <c r="E363" s="6"/>
      <c r="F363" s="7" t="n">
        <v>46053.3032228125</v>
      </c>
      <c r="G363" s="7" t="n">
        <v>46053.3459951042</v>
      </c>
      <c r="H363" s="8" t="n">
        <v>4</v>
      </c>
      <c r="I363" s="5" t="n">
        <v>400464</v>
      </c>
      <c r="J363" s="6" t="s">
        <v>50</v>
      </c>
      <c r="K363" s="5" t="n">
        <v>100011197</v>
      </c>
      <c r="L363" s="9" t="n">
        <v>46016</v>
      </c>
      <c r="M363" s="10" t="n">
        <v>47841</v>
      </c>
    </row>
    <row r="364" customFormat="false" ht="30" hidden="true" customHeight="true" outlineLevel="0" collapsed="false">
      <c r="A364" s="4" t="s">
        <v>109</v>
      </c>
      <c r="B364" s="4" t="s">
        <v>14</v>
      </c>
      <c r="C364" s="5" t="n">
        <v>1329001644</v>
      </c>
      <c r="D364" s="6" t="s">
        <v>386</v>
      </c>
      <c r="E364" s="6"/>
      <c r="F364" s="7" t="n">
        <v>46053.3032228125</v>
      </c>
      <c r="G364" s="7" t="n">
        <v>46053.345598588</v>
      </c>
      <c r="H364" s="8" t="n">
        <v>4</v>
      </c>
      <c r="I364" s="5" t="n">
        <v>400464</v>
      </c>
      <c r="J364" s="6" t="s">
        <v>50</v>
      </c>
      <c r="K364" s="5" t="n">
        <v>100011197</v>
      </c>
      <c r="L364" s="9" t="n">
        <v>46016</v>
      </c>
      <c r="M364" s="10" t="n">
        <v>47841</v>
      </c>
    </row>
    <row r="365" customFormat="false" ht="30" hidden="true" customHeight="true" outlineLevel="0" collapsed="false">
      <c r="A365" s="4" t="s">
        <v>109</v>
      </c>
      <c r="B365" s="4" t="s">
        <v>14</v>
      </c>
      <c r="C365" s="5" t="n">
        <v>1329001644</v>
      </c>
      <c r="D365" s="6" t="s">
        <v>387</v>
      </c>
      <c r="E365" s="6"/>
      <c r="F365" s="7" t="n">
        <v>46053.3032228125</v>
      </c>
      <c r="G365" s="7" t="n">
        <v>46053.345135463</v>
      </c>
      <c r="H365" s="8" t="n">
        <v>4</v>
      </c>
      <c r="I365" s="5" t="n">
        <v>400464</v>
      </c>
      <c r="J365" s="6" t="s">
        <v>50</v>
      </c>
      <c r="K365" s="5" t="n">
        <v>100011197</v>
      </c>
      <c r="L365" s="9" t="n">
        <v>46016</v>
      </c>
      <c r="M365" s="10" t="n">
        <v>47841</v>
      </c>
    </row>
    <row r="366" customFormat="false" ht="30" hidden="true" customHeight="true" outlineLevel="0" collapsed="false">
      <c r="A366" s="4" t="s">
        <v>109</v>
      </c>
      <c r="B366" s="4" t="s">
        <v>14</v>
      </c>
      <c r="C366" s="5" t="n">
        <v>1329001644</v>
      </c>
      <c r="D366" s="6" t="s">
        <v>388</v>
      </c>
      <c r="E366" s="6"/>
      <c r="F366" s="7" t="n">
        <v>46053.3032228125</v>
      </c>
      <c r="G366" s="7" t="n">
        <v>46053.3447501157</v>
      </c>
      <c r="H366" s="8" t="n">
        <v>4</v>
      </c>
      <c r="I366" s="5" t="n">
        <v>400464</v>
      </c>
      <c r="J366" s="6" t="s">
        <v>50</v>
      </c>
      <c r="K366" s="5" t="n">
        <v>100011197</v>
      </c>
      <c r="L366" s="9" t="n">
        <v>46016</v>
      </c>
      <c r="M366" s="10" t="n">
        <v>47841</v>
      </c>
    </row>
    <row r="367" customFormat="false" ht="30" hidden="true" customHeight="true" outlineLevel="0" collapsed="false">
      <c r="A367" s="4" t="s">
        <v>109</v>
      </c>
      <c r="B367" s="4" t="s">
        <v>14</v>
      </c>
      <c r="C367" s="5" t="n">
        <v>1329001644</v>
      </c>
      <c r="D367" s="6" t="s">
        <v>389</v>
      </c>
      <c r="E367" s="6"/>
      <c r="F367" s="7" t="n">
        <v>46053.3032228125</v>
      </c>
      <c r="G367" s="7" t="n">
        <v>46053.3442600463</v>
      </c>
      <c r="H367" s="8" t="n">
        <v>4</v>
      </c>
      <c r="I367" s="5" t="n">
        <v>400464</v>
      </c>
      <c r="J367" s="6" t="s">
        <v>50</v>
      </c>
      <c r="K367" s="5" t="n">
        <v>100011197</v>
      </c>
      <c r="L367" s="9" t="n">
        <v>46016</v>
      </c>
      <c r="M367" s="10" t="n">
        <v>47841</v>
      </c>
    </row>
    <row r="368" customFormat="false" ht="30" hidden="true" customHeight="true" outlineLevel="0" collapsed="false">
      <c r="A368" s="4" t="s">
        <v>109</v>
      </c>
      <c r="B368" s="4" t="s">
        <v>14</v>
      </c>
      <c r="C368" s="5" t="n">
        <v>1329001644</v>
      </c>
      <c r="D368" s="6" t="s">
        <v>390</v>
      </c>
      <c r="E368" s="6"/>
      <c r="F368" s="7" t="n">
        <v>46053.3032228125</v>
      </c>
      <c r="G368" s="7" t="n">
        <v>46053.3437247801</v>
      </c>
      <c r="H368" s="8" t="n">
        <v>4</v>
      </c>
      <c r="I368" s="5" t="n">
        <v>400464</v>
      </c>
      <c r="J368" s="6" t="s">
        <v>50</v>
      </c>
      <c r="K368" s="5" t="n">
        <v>100011197</v>
      </c>
      <c r="L368" s="9" t="n">
        <v>46016</v>
      </c>
      <c r="M368" s="10" t="n">
        <v>47841</v>
      </c>
    </row>
    <row r="369" customFormat="false" ht="30" hidden="true" customHeight="true" outlineLevel="0" collapsed="false">
      <c r="A369" s="4" t="s">
        <v>109</v>
      </c>
      <c r="B369" s="4" t="s">
        <v>14</v>
      </c>
      <c r="C369" s="5" t="n">
        <v>1329001644</v>
      </c>
      <c r="D369" s="6" t="s">
        <v>391</v>
      </c>
      <c r="E369" s="6"/>
      <c r="F369" s="7" t="n">
        <v>46053.3032228125</v>
      </c>
      <c r="G369" s="7" t="n">
        <v>46053.3430277199</v>
      </c>
      <c r="H369" s="8" t="n">
        <v>4</v>
      </c>
      <c r="I369" s="5" t="n">
        <v>400464</v>
      </c>
      <c r="J369" s="6" t="s">
        <v>50</v>
      </c>
      <c r="K369" s="5" t="n">
        <v>100011197</v>
      </c>
      <c r="L369" s="9" t="n">
        <v>46016</v>
      </c>
      <c r="M369" s="10" t="n">
        <v>47841</v>
      </c>
    </row>
    <row r="370" customFormat="false" ht="30" hidden="true" customHeight="true" outlineLevel="0" collapsed="false">
      <c r="A370" s="4" t="s">
        <v>109</v>
      </c>
      <c r="B370" s="4" t="s">
        <v>14</v>
      </c>
      <c r="C370" s="5" t="n">
        <v>1329001644</v>
      </c>
      <c r="D370" s="6" t="s">
        <v>392</v>
      </c>
      <c r="E370" s="6"/>
      <c r="F370" s="7" t="n">
        <v>46053.3032228125</v>
      </c>
      <c r="G370" s="7" t="n">
        <v>46053.3425829745</v>
      </c>
      <c r="H370" s="8" t="n">
        <v>4</v>
      </c>
      <c r="I370" s="5" t="n">
        <v>400464</v>
      </c>
      <c r="J370" s="6" t="s">
        <v>50</v>
      </c>
      <c r="K370" s="5" t="n">
        <v>100011197</v>
      </c>
      <c r="L370" s="9" t="n">
        <v>46016</v>
      </c>
      <c r="M370" s="10" t="n">
        <v>47841</v>
      </c>
    </row>
    <row r="371" customFormat="false" ht="30" hidden="true" customHeight="true" outlineLevel="0" collapsed="false">
      <c r="A371" s="4" t="s">
        <v>109</v>
      </c>
      <c r="B371" s="4" t="s">
        <v>14</v>
      </c>
      <c r="C371" s="5" t="n">
        <v>1329001644</v>
      </c>
      <c r="D371" s="6" t="s">
        <v>393</v>
      </c>
      <c r="E371" s="6"/>
      <c r="F371" s="7" t="n">
        <v>46053.3032228125</v>
      </c>
      <c r="G371" s="7" t="n">
        <v>46053.3419237269</v>
      </c>
      <c r="H371" s="8" t="n">
        <v>4</v>
      </c>
      <c r="I371" s="5" t="n">
        <v>400464</v>
      </c>
      <c r="J371" s="6" t="s">
        <v>50</v>
      </c>
      <c r="K371" s="5" t="n">
        <v>100011197</v>
      </c>
      <c r="L371" s="9" t="n">
        <v>46016</v>
      </c>
      <c r="M371" s="10" t="n">
        <v>47841</v>
      </c>
    </row>
    <row r="372" customFormat="false" ht="30" hidden="true" customHeight="true" outlineLevel="0" collapsed="false">
      <c r="A372" s="4" t="s">
        <v>109</v>
      </c>
      <c r="B372" s="4" t="s">
        <v>14</v>
      </c>
      <c r="C372" s="5" t="n">
        <v>1329001644</v>
      </c>
      <c r="D372" s="6" t="s">
        <v>394</v>
      </c>
      <c r="E372" s="6"/>
      <c r="F372" s="7" t="n">
        <v>46053.3032228125</v>
      </c>
      <c r="G372" s="7" t="n">
        <v>46053.3411170255</v>
      </c>
      <c r="H372" s="8" t="n">
        <v>4</v>
      </c>
      <c r="I372" s="5" t="n">
        <v>400464</v>
      </c>
      <c r="J372" s="6" t="s">
        <v>50</v>
      </c>
      <c r="K372" s="5" t="n">
        <v>100011197</v>
      </c>
      <c r="L372" s="9" t="n">
        <v>46016</v>
      </c>
      <c r="M372" s="10" t="n">
        <v>47841</v>
      </c>
    </row>
    <row r="373" customFormat="false" ht="30" hidden="true" customHeight="true" outlineLevel="0" collapsed="false">
      <c r="A373" s="4" t="s">
        <v>109</v>
      </c>
      <c r="B373" s="4" t="s">
        <v>14</v>
      </c>
      <c r="C373" s="5" t="n">
        <v>1329001644</v>
      </c>
      <c r="D373" s="6" t="s">
        <v>395</v>
      </c>
      <c r="E373" s="6"/>
      <c r="F373" s="7" t="n">
        <v>46053.3032228125</v>
      </c>
      <c r="G373" s="7" t="n">
        <v>46053.3404924074</v>
      </c>
      <c r="H373" s="8" t="n">
        <v>4</v>
      </c>
      <c r="I373" s="5" t="n">
        <v>400464</v>
      </c>
      <c r="J373" s="6" t="s">
        <v>50</v>
      </c>
      <c r="K373" s="5" t="n">
        <v>100011197</v>
      </c>
      <c r="L373" s="9" t="n">
        <v>46016</v>
      </c>
      <c r="M373" s="10" t="n">
        <v>47841</v>
      </c>
    </row>
    <row r="374" customFormat="false" ht="30" hidden="true" customHeight="true" outlineLevel="0" collapsed="false">
      <c r="A374" s="4" t="s">
        <v>109</v>
      </c>
      <c r="B374" s="4" t="s">
        <v>14</v>
      </c>
      <c r="C374" s="5" t="n">
        <v>1329001644</v>
      </c>
      <c r="D374" s="6" t="s">
        <v>396</v>
      </c>
      <c r="E374" s="6"/>
      <c r="F374" s="7" t="n">
        <v>46053.3032228125</v>
      </c>
      <c r="G374" s="7" t="n">
        <v>46053.339872581</v>
      </c>
      <c r="H374" s="8" t="n">
        <v>4</v>
      </c>
      <c r="I374" s="5" t="n">
        <v>400464</v>
      </c>
      <c r="J374" s="6" t="s">
        <v>50</v>
      </c>
      <c r="K374" s="5" t="n">
        <v>100011197</v>
      </c>
      <c r="L374" s="9" t="n">
        <v>46016</v>
      </c>
      <c r="M374" s="10" t="n">
        <v>47841</v>
      </c>
    </row>
    <row r="375" customFormat="false" ht="30" hidden="true" customHeight="true" outlineLevel="0" collapsed="false">
      <c r="A375" s="4" t="s">
        <v>109</v>
      </c>
      <c r="B375" s="4" t="s">
        <v>14</v>
      </c>
      <c r="C375" s="5" t="n">
        <v>1329001644</v>
      </c>
      <c r="D375" s="6" t="s">
        <v>397</v>
      </c>
      <c r="E375" s="6"/>
      <c r="F375" s="7" t="n">
        <v>46053.3032228125</v>
      </c>
      <c r="G375" s="7" t="n">
        <v>46053.3393132986</v>
      </c>
      <c r="H375" s="8" t="n">
        <v>4</v>
      </c>
      <c r="I375" s="5" t="n">
        <v>400464</v>
      </c>
      <c r="J375" s="6" t="s">
        <v>50</v>
      </c>
      <c r="K375" s="5" t="n">
        <v>100011197</v>
      </c>
      <c r="L375" s="9" t="n">
        <v>46016</v>
      </c>
      <c r="M375" s="10" t="n">
        <v>47841</v>
      </c>
    </row>
    <row r="376" customFormat="false" ht="30" hidden="true" customHeight="true" outlineLevel="0" collapsed="false">
      <c r="A376" s="4" t="s">
        <v>109</v>
      </c>
      <c r="B376" s="4" t="s">
        <v>14</v>
      </c>
      <c r="C376" s="5" t="n">
        <v>1329001644</v>
      </c>
      <c r="D376" s="6" t="s">
        <v>398</v>
      </c>
      <c r="E376" s="6"/>
      <c r="F376" s="7" t="n">
        <v>46053.3032228125</v>
      </c>
      <c r="G376" s="7" t="n">
        <v>46053.3377673264</v>
      </c>
      <c r="H376" s="8" t="n">
        <v>4</v>
      </c>
      <c r="I376" s="5" t="n">
        <v>400464</v>
      </c>
      <c r="J376" s="6" t="s">
        <v>50</v>
      </c>
      <c r="K376" s="5" t="n">
        <v>100011197</v>
      </c>
      <c r="L376" s="9" t="n">
        <v>46016</v>
      </c>
      <c r="M376" s="10" t="n">
        <v>47841</v>
      </c>
    </row>
    <row r="377" customFormat="false" ht="30" hidden="true" customHeight="true" outlineLevel="0" collapsed="false">
      <c r="A377" s="4" t="s">
        <v>109</v>
      </c>
      <c r="B377" s="4" t="s">
        <v>14</v>
      </c>
      <c r="C377" s="5" t="n">
        <v>1329001644</v>
      </c>
      <c r="D377" s="6" t="s">
        <v>399</v>
      </c>
      <c r="E377" s="6"/>
      <c r="F377" s="7" t="n">
        <v>46053.3032228125</v>
      </c>
      <c r="G377" s="7" t="n">
        <v>46053.3371191551</v>
      </c>
      <c r="H377" s="8" t="n">
        <v>4</v>
      </c>
      <c r="I377" s="5" t="n">
        <v>400464</v>
      </c>
      <c r="J377" s="6" t="s">
        <v>50</v>
      </c>
      <c r="K377" s="5" t="n">
        <v>100011197</v>
      </c>
      <c r="L377" s="9" t="n">
        <v>46016</v>
      </c>
      <c r="M377" s="10" t="n">
        <v>47841</v>
      </c>
    </row>
    <row r="378" customFormat="false" ht="30" hidden="true" customHeight="true" outlineLevel="0" collapsed="false">
      <c r="A378" s="4" t="s">
        <v>109</v>
      </c>
      <c r="B378" s="4" t="s">
        <v>14</v>
      </c>
      <c r="C378" s="5" t="n">
        <v>1329001644</v>
      </c>
      <c r="D378" s="6" t="s">
        <v>400</v>
      </c>
      <c r="E378" s="6"/>
      <c r="F378" s="7" t="n">
        <v>46053.3032228125</v>
      </c>
      <c r="G378" s="7" t="n">
        <v>46053.3363523495</v>
      </c>
      <c r="H378" s="8" t="n">
        <v>4</v>
      </c>
      <c r="I378" s="5" t="n">
        <v>400464</v>
      </c>
      <c r="J378" s="6" t="s">
        <v>50</v>
      </c>
      <c r="K378" s="5" t="n">
        <v>100011197</v>
      </c>
      <c r="L378" s="9" t="n">
        <v>46016</v>
      </c>
      <c r="M378" s="10" t="n">
        <v>47841</v>
      </c>
    </row>
    <row r="379" customFormat="false" ht="30" hidden="true" customHeight="true" outlineLevel="0" collapsed="false">
      <c r="A379" s="4" t="s">
        <v>109</v>
      </c>
      <c r="B379" s="4" t="s">
        <v>14</v>
      </c>
      <c r="C379" s="5" t="n">
        <v>1329001644</v>
      </c>
      <c r="D379" s="6" t="s">
        <v>401</v>
      </c>
      <c r="E379" s="6"/>
      <c r="F379" s="7" t="n">
        <v>46053.3032228125</v>
      </c>
      <c r="G379" s="7" t="n">
        <v>46053.3357601505</v>
      </c>
      <c r="H379" s="8" t="n">
        <v>4</v>
      </c>
      <c r="I379" s="5" t="n">
        <v>400464</v>
      </c>
      <c r="J379" s="6" t="s">
        <v>50</v>
      </c>
      <c r="K379" s="5" t="n">
        <v>100011197</v>
      </c>
      <c r="L379" s="9" t="n">
        <v>46016</v>
      </c>
      <c r="M379" s="10" t="n">
        <v>47841</v>
      </c>
    </row>
    <row r="380" customFormat="false" ht="30" hidden="true" customHeight="true" outlineLevel="0" collapsed="false">
      <c r="A380" s="4" t="s">
        <v>109</v>
      </c>
      <c r="B380" s="4" t="s">
        <v>14</v>
      </c>
      <c r="C380" s="5" t="n">
        <v>1329001644</v>
      </c>
      <c r="D380" s="6" t="s">
        <v>402</v>
      </c>
      <c r="E380" s="6"/>
      <c r="F380" s="7" t="n">
        <v>46053.3032228125</v>
      </c>
      <c r="G380" s="7" t="n">
        <v>46053.3350111806</v>
      </c>
      <c r="H380" s="8" t="n">
        <v>4</v>
      </c>
      <c r="I380" s="5" t="n">
        <v>400464</v>
      </c>
      <c r="J380" s="6" t="s">
        <v>50</v>
      </c>
      <c r="K380" s="5" t="n">
        <v>100011197</v>
      </c>
      <c r="L380" s="9" t="n">
        <v>46016</v>
      </c>
      <c r="M380" s="10" t="n">
        <v>47841</v>
      </c>
    </row>
    <row r="381" customFormat="false" ht="30" hidden="true" customHeight="true" outlineLevel="0" collapsed="false">
      <c r="A381" s="4" t="s">
        <v>109</v>
      </c>
      <c r="B381" s="4" t="s">
        <v>14</v>
      </c>
      <c r="C381" s="5" t="n">
        <v>1329001644</v>
      </c>
      <c r="D381" s="6" t="s">
        <v>403</v>
      </c>
      <c r="E381" s="6"/>
      <c r="F381" s="7" t="n">
        <v>46053.3032228125</v>
      </c>
      <c r="G381" s="7" t="n">
        <v>46053.3342545833</v>
      </c>
      <c r="H381" s="8" t="n">
        <v>4</v>
      </c>
      <c r="I381" s="5" t="n">
        <v>400464</v>
      </c>
      <c r="J381" s="6" t="s">
        <v>50</v>
      </c>
      <c r="K381" s="5" t="n">
        <v>100011197</v>
      </c>
      <c r="L381" s="9" t="n">
        <v>46016</v>
      </c>
      <c r="M381" s="10" t="n">
        <v>47841</v>
      </c>
    </row>
    <row r="382" customFormat="false" ht="30" hidden="true" customHeight="true" outlineLevel="0" collapsed="false">
      <c r="A382" s="4" t="s">
        <v>109</v>
      </c>
      <c r="B382" s="4" t="s">
        <v>14</v>
      </c>
      <c r="C382" s="5" t="n">
        <v>1329001645</v>
      </c>
      <c r="D382" s="6" t="s">
        <v>404</v>
      </c>
      <c r="E382" s="6"/>
      <c r="F382" s="7" t="n">
        <v>46053.3957269792</v>
      </c>
      <c r="G382" s="7" t="n">
        <v>46053.4241632407</v>
      </c>
      <c r="H382" s="8" t="n">
        <v>32</v>
      </c>
      <c r="I382" s="5" t="n">
        <v>400902</v>
      </c>
      <c r="J382" s="6" t="s">
        <v>405</v>
      </c>
      <c r="K382" s="5" t="n">
        <v>950001222</v>
      </c>
      <c r="L382" s="9" t="n">
        <v>46049</v>
      </c>
      <c r="M382" s="10" t="n">
        <v>47874</v>
      </c>
    </row>
    <row r="383" customFormat="false" ht="30" hidden="true" customHeight="true" outlineLevel="0" collapsed="false">
      <c r="A383" s="4" t="s">
        <v>109</v>
      </c>
      <c r="B383" s="4" t="s">
        <v>14</v>
      </c>
      <c r="C383" s="5" t="n">
        <v>1329001645</v>
      </c>
      <c r="D383" s="6" t="s">
        <v>406</v>
      </c>
      <c r="E383" s="6"/>
      <c r="F383" s="7" t="n">
        <v>46053.3957269792</v>
      </c>
      <c r="G383" s="7" t="n">
        <v>46053.4230219676</v>
      </c>
      <c r="H383" s="8" t="n">
        <v>16</v>
      </c>
      <c r="I383" s="5" t="n">
        <v>400902</v>
      </c>
      <c r="J383" s="6" t="s">
        <v>405</v>
      </c>
      <c r="K383" s="5" t="n">
        <v>950001222</v>
      </c>
      <c r="L383" s="9"/>
      <c r="M383" s="10" t="n">
        <v>47874</v>
      </c>
    </row>
    <row r="384" customFormat="false" ht="30" hidden="true" customHeight="true" outlineLevel="0" collapsed="false">
      <c r="A384" s="4" t="s">
        <v>109</v>
      </c>
      <c r="B384" s="4" t="s">
        <v>14</v>
      </c>
      <c r="C384" s="5" t="n">
        <v>1329001645</v>
      </c>
      <c r="D384" s="6" t="s">
        <v>407</v>
      </c>
      <c r="E384" s="6"/>
      <c r="F384" s="7" t="n">
        <v>46053.3957269792</v>
      </c>
      <c r="G384" s="7" t="n">
        <v>46053.4353179282</v>
      </c>
      <c r="H384" s="8" t="n">
        <v>32</v>
      </c>
      <c r="I384" s="5" t="n">
        <v>400902</v>
      </c>
      <c r="J384" s="6" t="s">
        <v>405</v>
      </c>
      <c r="K384" s="5" t="n">
        <v>950001221</v>
      </c>
      <c r="L384" s="9" t="n">
        <v>46049</v>
      </c>
      <c r="M384" s="10" t="n">
        <v>47874</v>
      </c>
    </row>
    <row r="385" customFormat="false" ht="30" hidden="true" customHeight="true" outlineLevel="0" collapsed="false">
      <c r="A385" s="4" t="s">
        <v>109</v>
      </c>
      <c r="B385" s="4" t="s">
        <v>14</v>
      </c>
      <c r="C385" s="5" t="n">
        <v>1329001645</v>
      </c>
      <c r="D385" s="6" t="s">
        <v>408</v>
      </c>
      <c r="E385" s="6"/>
      <c r="F385" s="7" t="n">
        <v>46053.3957269792</v>
      </c>
      <c r="G385" s="7" t="n">
        <v>46053.434575544</v>
      </c>
      <c r="H385" s="8" t="n">
        <v>32</v>
      </c>
      <c r="I385" s="5" t="n">
        <v>400902</v>
      </c>
      <c r="J385" s="6" t="s">
        <v>405</v>
      </c>
      <c r="K385" s="5" t="n">
        <v>950001222</v>
      </c>
      <c r="L385" s="9" t="n">
        <v>46049</v>
      </c>
      <c r="M385" s="10" t="n">
        <v>47874</v>
      </c>
    </row>
    <row r="386" customFormat="false" ht="30" hidden="true" customHeight="true" outlineLevel="0" collapsed="false">
      <c r="A386" s="4" t="s">
        <v>109</v>
      </c>
      <c r="B386" s="4" t="s">
        <v>14</v>
      </c>
      <c r="C386" s="5" t="n">
        <v>1329001645</v>
      </c>
      <c r="D386" s="6" t="s">
        <v>409</v>
      </c>
      <c r="E386" s="6"/>
      <c r="F386" s="7" t="n">
        <v>46053.3957269792</v>
      </c>
      <c r="G386" s="7" t="n">
        <v>46053.4340021644</v>
      </c>
      <c r="H386" s="8" t="n">
        <v>32</v>
      </c>
      <c r="I386" s="5" t="n">
        <v>400902</v>
      </c>
      <c r="J386" s="6" t="s">
        <v>405</v>
      </c>
      <c r="K386" s="5" t="n">
        <v>950001221</v>
      </c>
      <c r="L386" s="9" t="n">
        <v>46049</v>
      </c>
      <c r="M386" s="10" t="n">
        <v>47874</v>
      </c>
    </row>
    <row r="387" customFormat="false" ht="30" hidden="true" customHeight="true" outlineLevel="0" collapsed="false">
      <c r="A387" s="4" t="s">
        <v>109</v>
      </c>
      <c r="B387" s="4" t="s">
        <v>14</v>
      </c>
      <c r="C387" s="5" t="n">
        <v>1329001645</v>
      </c>
      <c r="D387" s="6" t="s">
        <v>410</v>
      </c>
      <c r="E387" s="6"/>
      <c r="F387" s="7" t="n">
        <v>46053.3957269792</v>
      </c>
      <c r="G387" s="7" t="n">
        <v>46053.4334766898</v>
      </c>
      <c r="H387" s="8" t="n">
        <v>32</v>
      </c>
      <c r="I387" s="5" t="n">
        <v>400902</v>
      </c>
      <c r="J387" s="6" t="s">
        <v>405</v>
      </c>
      <c r="K387" s="5" t="n">
        <v>950001221</v>
      </c>
      <c r="L387" s="9" t="n">
        <v>46049</v>
      </c>
      <c r="M387" s="10" t="n">
        <v>47874</v>
      </c>
    </row>
    <row r="388" customFormat="false" ht="30" hidden="true" customHeight="true" outlineLevel="0" collapsed="false">
      <c r="A388" s="4" t="s">
        <v>109</v>
      </c>
      <c r="B388" s="4" t="s">
        <v>14</v>
      </c>
      <c r="C388" s="5" t="n">
        <v>1329001645</v>
      </c>
      <c r="D388" s="6" t="s">
        <v>411</v>
      </c>
      <c r="E388" s="6"/>
      <c r="F388" s="7" t="n">
        <v>46053.3957269792</v>
      </c>
      <c r="G388" s="7" t="n">
        <v>46053.4329523495</v>
      </c>
      <c r="H388" s="8" t="n">
        <v>32</v>
      </c>
      <c r="I388" s="5" t="n">
        <v>400902</v>
      </c>
      <c r="J388" s="6" t="s">
        <v>405</v>
      </c>
      <c r="K388" s="5" t="n">
        <v>950001221</v>
      </c>
      <c r="L388" s="9" t="n">
        <v>46049</v>
      </c>
      <c r="M388" s="10" t="n">
        <v>47874</v>
      </c>
    </row>
    <row r="389" customFormat="false" ht="30" hidden="true" customHeight="true" outlineLevel="0" collapsed="false">
      <c r="A389" s="4" t="s">
        <v>109</v>
      </c>
      <c r="B389" s="4" t="s">
        <v>14</v>
      </c>
      <c r="C389" s="5" t="n">
        <v>1329001645</v>
      </c>
      <c r="D389" s="6" t="s">
        <v>412</v>
      </c>
      <c r="E389" s="6"/>
      <c r="F389" s="7" t="n">
        <v>46053.3957269792</v>
      </c>
      <c r="G389" s="7" t="n">
        <v>46053.4314854282</v>
      </c>
      <c r="H389" s="8" t="n">
        <v>32</v>
      </c>
      <c r="I389" s="5" t="n">
        <v>400902</v>
      </c>
      <c r="J389" s="6" t="s">
        <v>405</v>
      </c>
      <c r="K389" s="5" t="n">
        <v>950001221</v>
      </c>
      <c r="L389" s="9" t="n">
        <v>46049</v>
      </c>
      <c r="M389" s="10" t="n">
        <v>47874</v>
      </c>
    </row>
    <row r="390" customFormat="false" ht="30" hidden="true" customHeight="true" outlineLevel="0" collapsed="false">
      <c r="A390" s="4" t="s">
        <v>109</v>
      </c>
      <c r="B390" s="4" t="s">
        <v>14</v>
      </c>
      <c r="C390" s="5" t="n">
        <v>1329001645</v>
      </c>
      <c r="D390" s="6" t="s">
        <v>413</v>
      </c>
      <c r="E390" s="6"/>
      <c r="F390" s="7" t="n">
        <v>46053.3957269792</v>
      </c>
      <c r="G390" s="7" t="n">
        <v>46053.4297175463</v>
      </c>
      <c r="H390" s="8" t="n">
        <v>32</v>
      </c>
      <c r="I390" s="5" t="n">
        <v>400902</v>
      </c>
      <c r="J390" s="6" t="s">
        <v>405</v>
      </c>
      <c r="K390" s="5" t="n">
        <v>950001221</v>
      </c>
      <c r="L390" s="9" t="n">
        <v>46049</v>
      </c>
      <c r="M390" s="10" t="n">
        <v>47874</v>
      </c>
    </row>
    <row r="391" customFormat="false" ht="30" hidden="true" customHeight="true" outlineLevel="0" collapsed="false">
      <c r="A391" s="4" t="s">
        <v>109</v>
      </c>
      <c r="B391" s="4" t="s">
        <v>14</v>
      </c>
      <c r="C391" s="5" t="n">
        <v>1329001645</v>
      </c>
      <c r="D391" s="6" t="s">
        <v>414</v>
      </c>
      <c r="E391" s="6"/>
      <c r="F391" s="7" t="n">
        <v>46053.3957269792</v>
      </c>
      <c r="G391" s="7" t="n">
        <v>46053.4289692708</v>
      </c>
      <c r="H391" s="8" t="n">
        <v>32</v>
      </c>
      <c r="I391" s="5" t="n">
        <v>400902</v>
      </c>
      <c r="J391" s="6" t="s">
        <v>405</v>
      </c>
      <c r="K391" s="5" t="n">
        <v>950001221</v>
      </c>
      <c r="L391" s="9" t="n">
        <v>46049</v>
      </c>
      <c r="M391" s="10" t="n">
        <v>47874</v>
      </c>
    </row>
    <row r="392" customFormat="false" ht="30" hidden="true" customHeight="true" outlineLevel="0" collapsed="false">
      <c r="A392" s="4" t="s">
        <v>109</v>
      </c>
      <c r="B392" s="4" t="s">
        <v>14</v>
      </c>
      <c r="C392" s="5" t="n">
        <v>1329001645</v>
      </c>
      <c r="D392" s="6" t="s">
        <v>415</v>
      </c>
      <c r="E392" s="6"/>
      <c r="F392" s="7" t="n">
        <v>46053.3957269792</v>
      </c>
      <c r="G392" s="7" t="n">
        <v>46053.4277734028</v>
      </c>
      <c r="H392" s="8" t="n">
        <v>32</v>
      </c>
      <c r="I392" s="5" t="n">
        <v>400902</v>
      </c>
      <c r="J392" s="6" t="s">
        <v>405</v>
      </c>
      <c r="K392" s="5" t="n">
        <v>950001221</v>
      </c>
      <c r="L392" s="9" t="n">
        <v>46049</v>
      </c>
      <c r="M392" s="10" t="n">
        <v>47874</v>
      </c>
    </row>
    <row r="393" customFormat="false" ht="30" hidden="true" customHeight="true" outlineLevel="0" collapsed="false">
      <c r="A393" s="4" t="s">
        <v>109</v>
      </c>
      <c r="B393" s="4" t="s">
        <v>14</v>
      </c>
      <c r="C393" s="5" t="n">
        <v>1329001645</v>
      </c>
      <c r="D393" s="6" t="s">
        <v>416</v>
      </c>
      <c r="E393" s="6"/>
      <c r="F393" s="7" t="n">
        <v>46053.3957269792</v>
      </c>
      <c r="G393" s="7" t="n">
        <v>46053.4269316435</v>
      </c>
      <c r="H393" s="8" t="n">
        <v>32</v>
      </c>
      <c r="I393" s="5" t="n">
        <v>400902</v>
      </c>
      <c r="J393" s="6" t="s">
        <v>405</v>
      </c>
      <c r="K393" s="5" t="n">
        <v>950001221</v>
      </c>
      <c r="L393" s="9" t="n">
        <v>46049</v>
      </c>
      <c r="M393" s="10" t="n">
        <v>47874</v>
      </c>
    </row>
    <row r="394" customFormat="false" ht="30" hidden="true" customHeight="true" outlineLevel="0" collapsed="false">
      <c r="A394" s="4" t="s">
        <v>109</v>
      </c>
      <c r="B394" s="4" t="s">
        <v>14</v>
      </c>
      <c r="C394" s="5" t="n">
        <v>1329001645</v>
      </c>
      <c r="D394" s="6" t="s">
        <v>417</v>
      </c>
      <c r="E394" s="6"/>
      <c r="F394" s="7" t="n">
        <v>46053.3957269792</v>
      </c>
      <c r="G394" s="7" t="n">
        <v>46053.4252037616</v>
      </c>
      <c r="H394" s="8" t="n">
        <v>32</v>
      </c>
      <c r="I394" s="5" t="n">
        <v>400902</v>
      </c>
      <c r="J394" s="6" t="s">
        <v>405</v>
      </c>
      <c r="K394" s="5" t="n">
        <v>950001222</v>
      </c>
      <c r="L394" s="9" t="n">
        <v>46049</v>
      </c>
      <c r="M394" s="10" t="n">
        <v>47874</v>
      </c>
    </row>
    <row r="395" customFormat="false" ht="30" hidden="true" customHeight="true" outlineLevel="0" collapsed="false">
      <c r="A395" s="4" t="s">
        <v>109</v>
      </c>
      <c r="B395" s="4" t="s">
        <v>14</v>
      </c>
      <c r="C395" s="5" t="n">
        <v>1329001648</v>
      </c>
      <c r="D395" s="6" t="s">
        <v>418</v>
      </c>
      <c r="E395" s="6"/>
      <c r="F395" s="7" t="n">
        <v>46053.5142317824</v>
      </c>
      <c r="G395" s="7" t="n">
        <v>46054.2919397454</v>
      </c>
      <c r="H395" s="8" t="n">
        <v>24</v>
      </c>
      <c r="I395" s="5" t="n">
        <v>400932</v>
      </c>
      <c r="J395" s="6" t="s">
        <v>194</v>
      </c>
      <c r="K395" s="5" t="n">
        <v>100009226</v>
      </c>
      <c r="L395" s="9" t="n">
        <v>45803</v>
      </c>
      <c r="M395" s="10" t="n">
        <v>47628</v>
      </c>
    </row>
    <row r="396" customFormat="false" ht="30" hidden="true" customHeight="true" outlineLevel="0" collapsed="false">
      <c r="A396" s="4" t="s">
        <v>109</v>
      </c>
      <c r="B396" s="4" t="s">
        <v>14</v>
      </c>
      <c r="C396" s="5" t="n">
        <v>1329001648</v>
      </c>
      <c r="D396" s="6" t="s">
        <v>419</v>
      </c>
      <c r="E396" s="6"/>
      <c r="F396" s="7" t="n">
        <v>46053.5142317824</v>
      </c>
      <c r="G396" s="7" t="n">
        <v>46054.312745081</v>
      </c>
      <c r="H396" s="8" t="n">
        <v>24</v>
      </c>
      <c r="I396" s="5" t="n">
        <v>400919</v>
      </c>
      <c r="J396" s="6" t="s">
        <v>420</v>
      </c>
      <c r="K396" s="5" t="n">
        <v>153000046</v>
      </c>
      <c r="L396" s="9"/>
      <c r="M396" s="10" t="n">
        <v>47869</v>
      </c>
    </row>
    <row r="397" customFormat="false" ht="30" hidden="true" customHeight="true" outlineLevel="0" collapsed="false">
      <c r="A397" s="4" t="s">
        <v>109</v>
      </c>
      <c r="B397" s="4" t="s">
        <v>14</v>
      </c>
      <c r="C397" s="5" t="n">
        <v>1329001648</v>
      </c>
      <c r="D397" s="6" t="s">
        <v>421</v>
      </c>
      <c r="E397" s="6"/>
      <c r="F397" s="7" t="n">
        <v>46053.5142317824</v>
      </c>
      <c r="G397" s="7" t="n">
        <v>46054.3067488657</v>
      </c>
      <c r="H397" s="8" t="n">
        <v>24</v>
      </c>
      <c r="I397" s="5" t="n">
        <v>400919</v>
      </c>
      <c r="J397" s="6" t="s">
        <v>420</v>
      </c>
      <c r="K397" s="5" t="n">
        <v>153000046</v>
      </c>
      <c r="L397" s="9"/>
      <c r="M397" s="10" t="n">
        <v>47869</v>
      </c>
    </row>
    <row r="398" customFormat="false" ht="30" hidden="true" customHeight="true" outlineLevel="0" collapsed="false">
      <c r="A398" s="4" t="s">
        <v>109</v>
      </c>
      <c r="B398" s="4" t="s">
        <v>14</v>
      </c>
      <c r="C398" s="5" t="n">
        <v>1329001648</v>
      </c>
      <c r="D398" s="6" t="s">
        <v>422</v>
      </c>
      <c r="E398" s="6"/>
      <c r="F398" s="7" t="n">
        <v>46053.5142317824</v>
      </c>
      <c r="G398" s="7" t="n">
        <v>46054.3113914005</v>
      </c>
      <c r="H398" s="8" t="n">
        <v>24</v>
      </c>
      <c r="I398" s="5" t="n">
        <v>400919</v>
      </c>
      <c r="J398" s="6" t="s">
        <v>420</v>
      </c>
      <c r="K398" s="5" t="n">
        <v>153000046</v>
      </c>
      <c r="L398" s="9" t="n">
        <v>46044</v>
      </c>
      <c r="M398" s="10" t="n">
        <v>47869</v>
      </c>
    </row>
    <row r="399" customFormat="false" ht="30" hidden="true" customHeight="true" outlineLevel="0" collapsed="false">
      <c r="A399" s="4" t="s">
        <v>109</v>
      </c>
      <c r="B399" s="4" t="s">
        <v>14</v>
      </c>
      <c r="C399" s="5" t="n">
        <v>1329001648</v>
      </c>
      <c r="D399" s="6" t="s">
        <v>423</v>
      </c>
      <c r="E399" s="6"/>
      <c r="F399" s="7" t="n">
        <v>46053.5142317824</v>
      </c>
      <c r="G399" s="7" t="n">
        <v>46054.3120514468</v>
      </c>
      <c r="H399" s="8" t="n">
        <v>24</v>
      </c>
      <c r="I399" s="5" t="n">
        <v>400932</v>
      </c>
      <c r="J399" s="6" t="s">
        <v>194</v>
      </c>
      <c r="K399" s="5" t="n">
        <v>100009226</v>
      </c>
      <c r="L399" s="9" t="n">
        <v>45803</v>
      </c>
      <c r="M399" s="10" t="n">
        <v>47628</v>
      </c>
    </row>
    <row r="400" customFormat="false" ht="30" hidden="true" customHeight="true" outlineLevel="0" collapsed="false">
      <c r="A400" s="4" t="s">
        <v>109</v>
      </c>
      <c r="B400" s="4" t="s">
        <v>14</v>
      </c>
      <c r="C400" s="5" t="n">
        <v>1329001648</v>
      </c>
      <c r="D400" s="6" t="s">
        <v>424</v>
      </c>
      <c r="E400" s="6"/>
      <c r="F400" s="7" t="n">
        <v>46053.5142317824</v>
      </c>
      <c r="G400" s="7" t="n">
        <v>46054.3102904282</v>
      </c>
      <c r="H400" s="8" t="n">
        <v>24</v>
      </c>
      <c r="I400" s="5" t="n">
        <v>400932</v>
      </c>
      <c r="J400" s="6" t="s">
        <v>194</v>
      </c>
      <c r="K400" s="5" t="n">
        <v>100008855</v>
      </c>
      <c r="L400" s="9" t="n">
        <v>45803</v>
      </c>
      <c r="M400" s="10" t="n">
        <v>47628</v>
      </c>
    </row>
    <row r="401" customFormat="false" ht="30" hidden="true" customHeight="true" outlineLevel="0" collapsed="false">
      <c r="A401" s="4" t="s">
        <v>109</v>
      </c>
      <c r="B401" s="4" t="s">
        <v>14</v>
      </c>
      <c r="C401" s="5" t="n">
        <v>1329001648</v>
      </c>
      <c r="D401" s="6" t="s">
        <v>425</v>
      </c>
      <c r="E401" s="6"/>
      <c r="F401" s="7" t="n">
        <v>46053.5142317824</v>
      </c>
      <c r="G401" s="7" t="n">
        <v>46054.3097592708</v>
      </c>
      <c r="H401" s="8" t="n">
        <v>24</v>
      </c>
      <c r="I401" s="5" t="n">
        <v>400932</v>
      </c>
      <c r="J401" s="6" t="s">
        <v>194</v>
      </c>
      <c r="K401" s="5" t="n">
        <v>100008855</v>
      </c>
      <c r="L401" s="9" t="n">
        <v>45803</v>
      </c>
      <c r="M401" s="10" t="n">
        <v>47628</v>
      </c>
    </row>
    <row r="402" customFormat="false" ht="30" hidden="true" customHeight="true" outlineLevel="0" collapsed="false">
      <c r="A402" s="4" t="s">
        <v>109</v>
      </c>
      <c r="B402" s="4" t="s">
        <v>14</v>
      </c>
      <c r="C402" s="5" t="n">
        <v>1329001648</v>
      </c>
      <c r="D402" s="6" t="s">
        <v>426</v>
      </c>
      <c r="E402" s="6"/>
      <c r="F402" s="7" t="n">
        <v>46053.5142317824</v>
      </c>
      <c r="G402" s="7" t="n">
        <v>46054.3108061227</v>
      </c>
      <c r="H402" s="8" t="n">
        <v>24</v>
      </c>
      <c r="I402" s="5" t="n">
        <v>400919</v>
      </c>
      <c r="J402" s="6" t="s">
        <v>420</v>
      </c>
      <c r="K402" s="5" t="n">
        <v>153000046</v>
      </c>
      <c r="L402" s="9" t="n">
        <v>46044</v>
      </c>
      <c r="M402" s="10" t="n">
        <v>47869</v>
      </c>
    </row>
    <row r="403" customFormat="false" ht="30" hidden="true" customHeight="true" outlineLevel="0" collapsed="false">
      <c r="A403" s="4" t="s">
        <v>109</v>
      </c>
      <c r="B403" s="4" t="s">
        <v>14</v>
      </c>
      <c r="C403" s="5" t="n">
        <v>1329001648</v>
      </c>
      <c r="D403" s="6" t="s">
        <v>427</v>
      </c>
      <c r="E403" s="6"/>
      <c r="F403" s="7" t="n">
        <v>46053.5142317824</v>
      </c>
      <c r="G403" s="7" t="n">
        <v>46054.3073264005</v>
      </c>
      <c r="H403" s="8" t="n">
        <v>24</v>
      </c>
      <c r="I403" s="5" t="n">
        <v>400919</v>
      </c>
      <c r="J403" s="6" t="s">
        <v>420</v>
      </c>
      <c r="K403" s="5" t="n">
        <v>153000046</v>
      </c>
      <c r="L403" s="9" t="n">
        <v>46044</v>
      </c>
      <c r="M403" s="10" t="n">
        <v>47869</v>
      </c>
    </row>
    <row r="404" customFormat="false" ht="30" hidden="true" customHeight="true" outlineLevel="0" collapsed="false">
      <c r="A404" s="4" t="s">
        <v>109</v>
      </c>
      <c r="B404" s="4" t="s">
        <v>14</v>
      </c>
      <c r="C404" s="5" t="n">
        <v>1329001648</v>
      </c>
      <c r="D404" s="6" t="s">
        <v>428</v>
      </c>
      <c r="E404" s="6"/>
      <c r="F404" s="7" t="n">
        <v>46053.5142317824</v>
      </c>
      <c r="G404" s="7" t="n">
        <v>46054.3082088657</v>
      </c>
      <c r="H404" s="8" t="n">
        <v>24</v>
      </c>
      <c r="I404" s="5" t="n">
        <v>400932</v>
      </c>
      <c r="J404" s="6" t="s">
        <v>194</v>
      </c>
      <c r="K404" s="5" t="n">
        <v>100009226</v>
      </c>
      <c r="L404" s="9" t="n">
        <v>45803</v>
      </c>
      <c r="M404" s="10" t="n">
        <v>47628</v>
      </c>
    </row>
    <row r="405" customFormat="false" ht="30" hidden="true" customHeight="true" outlineLevel="0" collapsed="false">
      <c r="A405" s="4" t="s">
        <v>109</v>
      </c>
      <c r="B405" s="4" t="s">
        <v>14</v>
      </c>
      <c r="C405" s="5" t="n">
        <v>1329001648</v>
      </c>
      <c r="D405" s="6" t="s">
        <v>429</v>
      </c>
      <c r="E405" s="6"/>
      <c r="F405" s="7" t="n">
        <v>46053.5142317824</v>
      </c>
      <c r="G405" s="7" t="n">
        <v>46054.3027801968</v>
      </c>
      <c r="H405" s="8" t="n">
        <v>24</v>
      </c>
      <c r="I405" s="5" t="n">
        <v>400932</v>
      </c>
      <c r="J405" s="6" t="s">
        <v>194</v>
      </c>
      <c r="K405" s="5" t="n">
        <v>100003226</v>
      </c>
      <c r="L405" s="9" t="n">
        <v>45803</v>
      </c>
      <c r="M405" s="10" t="n">
        <v>47628</v>
      </c>
    </row>
    <row r="406" customFormat="false" ht="30" hidden="true" customHeight="true" outlineLevel="0" collapsed="false">
      <c r="A406" s="4" t="s">
        <v>109</v>
      </c>
      <c r="B406" s="4" t="s">
        <v>14</v>
      </c>
      <c r="C406" s="5" t="n">
        <v>1329001648</v>
      </c>
      <c r="D406" s="6" t="s">
        <v>430</v>
      </c>
      <c r="E406" s="6"/>
      <c r="F406" s="7" t="n">
        <v>46053.5142317824</v>
      </c>
      <c r="G406" s="7" t="n">
        <v>46054.3003399769</v>
      </c>
      <c r="H406" s="8" t="n">
        <v>24</v>
      </c>
      <c r="I406" s="5" t="n">
        <v>400932</v>
      </c>
      <c r="J406" s="6" t="s">
        <v>194</v>
      </c>
      <c r="K406" s="5" t="n">
        <v>100009226</v>
      </c>
      <c r="L406" s="9" t="n">
        <v>45803</v>
      </c>
      <c r="M406" s="10" t="n">
        <v>47628</v>
      </c>
    </row>
    <row r="407" customFormat="false" ht="30" hidden="true" customHeight="true" outlineLevel="0" collapsed="false">
      <c r="A407" s="4" t="s">
        <v>109</v>
      </c>
      <c r="B407" s="4" t="s">
        <v>14</v>
      </c>
      <c r="C407" s="5" t="n">
        <v>1329001648</v>
      </c>
      <c r="D407" s="6" t="s">
        <v>431</v>
      </c>
      <c r="E407" s="6"/>
      <c r="F407" s="7" t="n">
        <v>46053.5142317824</v>
      </c>
      <c r="G407" s="7" t="n">
        <v>46054.2993235532</v>
      </c>
      <c r="H407" s="8" t="n">
        <v>24</v>
      </c>
      <c r="I407" s="5" t="n">
        <v>400919</v>
      </c>
      <c r="J407" s="6" t="s">
        <v>420</v>
      </c>
      <c r="K407" s="5" t="n">
        <v>153000046</v>
      </c>
      <c r="L407" s="9" t="n">
        <v>46044</v>
      </c>
      <c r="M407" s="10" t="n">
        <v>47869</v>
      </c>
    </row>
    <row r="408" customFormat="false" ht="30" hidden="true" customHeight="true" outlineLevel="0" collapsed="false">
      <c r="A408" s="4" t="s">
        <v>109</v>
      </c>
      <c r="B408" s="4" t="s">
        <v>14</v>
      </c>
      <c r="C408" s="5" t="n">
        <v>1329001648</v>
      </c>
      <c r="D408" s="6" t="s">
        <v>432</v>
      </c>
      <c r="E408" s="6"/>
      <c r="F408" s="7" t="n">
        <v>46053.5142317824</v>
      </c>
      <c r="G408" s="7" t="n">
        <v>46054.298777338</v>
      </c>
      <c r="H408" s="8" t="n">
        <v>24</v>
      </c>
      <c r="I408" s="5" t="n">
        <v>400932</v>
      </c>
      <c r="J408" s="6" t="s">
        <v>194</v>
      </c>
      <c r="K408" s="5" t="n">
        <v>100008855</v>
      </c>
      <c r="L408" s="9" t="n">
        <v>45803</v>
      </c>
      <c r="M408" s="10" t="n">
        <v>47628</v>
      </c>
    </row>
    <row r="409" customFormat="false" ht="30" hidden="true" customHeight="true" outlineLevel="0" collapsed="false">
      <c r="A409" s="4" t="s">
        <v>109</v>
      </c>
      <c r="B409" s="4" t="s">
        <v>14</v>
      </c>
      <c r="C409" s="5" t="n">
        <v>1329001648</v>
      </c>
      <c r="D409" s="6" t="s">
        <v>433</v>
      </c>
      <c r="E409" s="6"/>
      <c r="F409" s="7" t="n">
        <v>46053.5142317824</v>
      </c>
      <c r="G409" s="7" t="n">
        <v>46054.2976233218</v>
      </c>
      <c r="H409" s="8" t="n">
        <v>24</v>
      </c>
      <c r="I409" s="5" t="n">
        <v>400919</v>
      </c>
      <c r="J409" s="6" t="s">
        <v>420</v>
      </c>
      <c r="K409" s="5" t="n">
        <v>153000046</v>
      </c>
      <c r="L409" s="9" t="n">
        <v>46044</v>
      </c>
      <c r="M409" s="10" t="n">
        <v>47869</v>
      </c>
    </row>
    <row r="410" customFormat="false" ht="30" hidden="true" customHeight="true" outlineLevel="0" collapsed="false">
      <c r="A410" s="4" t="s">
        <v>109</v>
      </c>
      <c r="B410" s="4" t="s">
        <v>14</v>
      </c>
      <c r="C410" s="5" t="n">
        <v>1329001648</v>
      </c>
      <c r="D410" s="6" t="s">
        <v>434</v>
      </c>
      <c r="E410" s="6"/>
      <c r="F410" s="7" t="n">
        <v>46053.5142317824</v>
      </c>
      <c r="G410" s="7" t="n">
        <v>46054.2970972685</v>
      </c>
      <c r="H410" s="8" t="n">
        <v>24</v>
      </c>
      <c r="I410" s="5" t="n">
        <v>400932</v>
      </c>
      <c r="J410" s="6" t="s">
        <v>194</v>
      </c>
      <c r="K410" s="5" t="n">
        <v>100009226</v>
      </c>
      <c r="L410" s="9" t="n">
        <v>45803</v>
      </c>
      <c r="M410" s="10" t="n">
        <v>47628</v>
      </c>
    </row>
    <row r="411" customFormat="false" ht="30" hidden="true" customHeight="true" outlineLevel="0" collapsed="false">
      <c r="A411" s="4" t="s">
        <v>109</v>
      </c>
      <c r="B411" s="4" t="s">
        <v>14</v>
      </c>
      <c r="C411" s="5" t="n">
        <v>1329001648</v>
      </c>
      <c r="D411" s="6" t="s">
        <v>435</v>
      </c>
      <c r="E411" s="6"/>
      <c r="F411" s="7" t="n">
        <v>46053.5142317824</v>
      </c>
      <c r="G411" s="7" t="n">
        <v>46054.2964746296</v>
      </c>
      <c r="H411" s="8" t="n">
        <v>24</v>
      </c>
      <c r="I411" s="5" t="n">
        <v>400919</v>
      </c>
      <c r="J411" s="6" t="s">
        <v>420</v>
      </c>
      <c r="K411" s="5" t="n">
        <v>153000046</v>
      </c>
      <c r="L411" s="9" t="n">
        <v>46044</v>
      </c>
      <c r="M411" s="10" t="n">
        <v>47869</v>
      </c>
    </row>
    <row r="412" customFormat="false" ht="30" hidden="true" customHeight="true" outlineLevel="0" collapsed="false">
      <c r="A412" s="4" t="s">
        <v>109</v>
      </c>
      <c r="B412" s="4" t="s">
        <v>14</v>
      </c>
      <c r="C412" s="5" t="n">
        <v>1329001648</v>
      </c>
      <c r="D412" s="6" t="s">
        <v>436</v>
      </c>
      <c r="E412" s="6"/>
      <c r="F412" s="7" t="n">
        <v>46053.5142317824</v>
      </c>
      <c r="G412" s="7" t="n">
        <v>46054.2953320486</v>
      </c>
      <c r="H412" s="8" t="n">
        <v>24</v>
      </c>
      <c r="I412" s="5" t="n">
        <v>400932</v>
      </c>
      <c r="J412" s="6" t="s">
        <v>194</v>
      </c>
      <c r="K412" s="5" t="n">
        <v>100009226</v>
      </c>
      <c r="L412" s="9" t="n">
        <v>45803</v>
      </c>
      <c r="M412" s="10" t="n">
        <v>47628</v>
      </c>
    </row>
    <row r="413" customFormat="false" ht="30" hidden="true" customHeight="true" outlineLevel="0" collapsed="false">
      <c r="A413" s="4" t="s">
        <v>109</v>
      </c>
      <c r="B413" s="4" t="s">
        <v>14</v>
      </c>
      <c r="C413" s="5" t="n">
        <v>1329001648</v>
      </c>
      <c r="D413" s="6" t="s">
        <v>437</v>
      </c>
      <c r="E413" s="6"/>
      <c r="F413" s="7" t="n">
        <v>46053.5142317824</v>
      </c>
      <c r="G413" s="7" t="n">
        <v>46054.2948152431</v>
      </c>
      <c r="H413" s="8" t="n">
        <v>24</v>
      </c>
      <c r="I413" s="5" t="n">
        <v>400919</v>
      </c>
      <c r="J413" s="6" t="s">
        <v>420</v>
      </c>
      <c r="K413" s="5" t="n">
        <v>153000046</v>
      </c>
      <c r="L413" s="9" t="n">
        <v>46044</v>
      </c>
      <c r="M413" s="10" t="n">
        <v>47869</v>
      </c>
    </row>
    <row r="414" customFormat="false" ht="30" hidden="true" customHeight="true" outlineLevel="0" collapsed="false">
      <c r="A414" s="4" t="s">
        <v>109</v>
      </c>
      <c r="B414" s="4" t="s">
        <v>14</v>
      </c>
      <c r="C414" s="5" t="n">
        <v>1329001648</v>
      </c>
      <c r="D414" s="6" t="s">
        <v>438</v>
      </c>
      <c r="E414" s="6"/>
      <c r="F414" s="7" t="n">
        <v>46053.5142317824</v>
      </c>
      <c r="G414" s="7" t="n">
        <v>46054.2941834144</v>
      </c>
      <c r="H414" s="8" t="n">
        <v>24</v>
      </c>
      <c r="I414" s="5" t="n">
        <v>400932</v>
      </c>
      <c r="J414" s="6" t="s">
        <v>194</v>
      </c>
      <c r="K414" s="5" t="n">
        <v>100008855</v>
      </c>
      <c r="L414" s="9" t="n">
        <v>45803</v>
      </c>
      <c r="M414" s="10" t="n">
        <v>47628</v>
      </c>
    </row>
    <row r="415" customFormat="false" ht="30" hidden="true" customHeight="true" outlineLevel="0" collapsed="false">
      <c r="A415" s="4" t="s">
        <v>109</v>
      </c>
      <c r="B415" s="4" t="s">
        <v>14</v>
      </c>
      <c r="C415" s="5" t="n">
        <v>1329001648</v>
      </c>
      <c r="D415" s="6" t="s">
        <v>439</v>
      </c>
      <c r="E415" s="6"/>
      <c r="F415" s="7" t="n">
        <v>46053.5142317824</v>
      </c>
      <c r="G415" s="7" t="n">
        <v>46054.2928721644</v>
      </c>
      <c r="H415" s="8" t="n">
        <v>24</v>
      </c>
      <c r="I415" s="5" t="n">
        <v>400919</v>
      </c>
      <c r="J415" s="6" t="s">
        <v>420</v>
      </c>
      <c r="K415" s="5" t="n">
        <v>153000046</v>
      </c>
      <c r="L415" s="9" t="n">
        <v>46044</v>
      </c>
      <c r="M415" s="10" t="n">
        <v>47869</v>
      </c>
    </row>
    <row r="416" customFormat="false" ht="30" hidden="true" customHeight="true" outlineLevel="0" collapsed="false">
      <c r="A416" s="4" t="s">
        <v>109</v>
      </c>
      <c r="B416" s="4" t="s">
        <v>14</v>
      </c>
      <c r="C416" s="5" t="n">
        <v>1329001648</v>
      </c>
      <c r="D416" s="6" t="s">
        <v>440</v>
      </c>
      <c r="E416" s="6"/>
      <c r="F416" s="7" t="n">
        <v>46053.5142317824</v>
      </c>
      <c r="G416" s="7" t="n">
        <v>46054.2872209722</v>
      </c>
      <c r="H416" s="8" t="n">
        <v>24</v>
      </c>
      <c r="I416" s="5" t="n">
        <v>400919</v>
      </c>
      <c r="J416" s="6" t="s">
        <v>420</v>
      </c>
      <c r="K416" s="5" t="n">
        <v>153000046</v>
      </c>
      <c r="L416" s="9" t="n">
        <v>46044</v>
      </c>
      <c r="M416" s="10" t="n">
        <v>47869</v>
      </c>
    </row>
    <row r="417" customFormat="false" ht="30" hidden="true" customHeight="true" outlineLevel="0" collapsed="false">
      <c r="A417" s="4" t="s">
        <v>109</v>
      </c>
      <c r="B417" s="4" t="s">
        <v>14</v>
      </c>
      <c r="C417" s="5" t="n">
        <v>1329001649</v>
      </c>
      <c r="D417" s="6" t="s">
        <v>441</v>
      </c>
      <c r="E417" s="6"/>
      <c r="F417" s="7" t="n">
        <v>46054.1859033796</v>
      </c>
      <c r="G417" s="7" t="n">
        <v>46054.259836169</v>
      </c>
      <c r="H417" s="8" t="n">
        <v>4</v>
      </c>
      <c r="I417" s="5" t="n">
        <v>400441</v>
      </c>
      <c r="J417" s="6" t="s">
        <v>80</v>
      </c>
      <c r="K417" s="5" t="n">
        <v>100010247</v>
      </c>
      <c r="L417" s="9" t="n">
        <v>46013</v>
      </c>
      <c r="M417" s="10" t="n">
        <v>47838</v>
      </c>
    </row>
    <row r="418" customFormat="false" ht="30" hidden="true" customHeight="true" outlineLevel="0" collapsed="false">
      <c r="A418" s="4" t="s">
        <v>109</v>
      </c>
      <c r="B418" s="4" t="s">
        <v>14</v>
      </c>
      <c r="C418" s="5" t="n">
        <v>1329001649</v>
      </c>
      <c r="D418" s="6" t="s">
        <v>442</v>
      </c>
      <c r="E418" s="6"/>
      <c r="F418" s="7" t="n">
        <v>46054.1859033796</v>
      </c>
      <c r="G418" s="7" t="n">
        <v>46054.2800344329</v>
      </c>
      <c r="H418" s="8" t="n">
        <v>4</v>
      </c>
      <c r="I418" s="5" t="n">
        <v>400441</v>
      </c>
      <c r="J418" s="6" t="s">
        <v>80</v>
      </c>
      <c r="K418" s="5" t="n">
        <v>100011111</v>
      </c>
      <c r="L418" s="9"/>
      <c r="M418" s="10" t="n">
        <v>47838</v>
      </c>
    </row>
    <row r="419" customFormat="false" ht="30" hidden="true" customHeight="true" outlineLevel="0" collapsed="false">
      <c r="A419" s="4" t="s">
        <v>109</v>
      </c>
      <c r="B419" s="4" t="s">
        <v>14</v>
      </c>
      <c r="C419" s="5" t="n">
        <v>1329001649</v>
      </c>
      <c r="D419" s="6" t="s">
        <v>443</v>
      </c>
      <c r="E419" s="6"/>
      <c r="F419" s="7" t="n">
        <v>46054.1859033796</v>
      </c>
      <c r="G419" s="7" t="n">
        <v>46054.2791578588</v>
      </c>
      <c r="H419" s="8" t="n">
        <v>4</v>
      </c>
      <c r="I419" s="5" t="n">
        <v>400441</v>
      </c>
      <c r="J419" s="6" t="s">
        <v>80</v>
      </c>
      <c r="K419" s="5" t="n">
        <v>153000045</v>
      </c>
      <c r="L419" s="9"/>
      <c r="M419" s="10" t="n">
        <v>47838</v>
      </c>
    </row>
    <row r="420" customFormat="false" ht="30" hidden="true" customHeight="true" outlineLevel="0" collapsed="false">
      <c r="A420" s="4" t="s">
        <v>109</v>
      </c>
      <c r="B420" s="4" t="s">
        <v>14</v>
      </c>
      <c r="C420" s="5" t="n">
        <v>1329001649</v>
      </c>
      <c r="D420" s="6" t="s">
        <v>444</v>
      </c>
      <c r="E420" s="6"/>
      <c r="F420" s="7" t="n">
        <v>46054.1859033796</v>
      </c>
      <c r="G420" s="7" t="n">
        <v>46054.2737484144</v>
      </c>
      <c r="H420" s="8" t="n">
        <v>4</v>
      </c>
      <c r="I420" s="5" t="n">
        <v>400441</v>
      </c>
      <c r="J420" s="6" t="s">
        <v>80</v>
      </c>
      <c r="K420" s="5" t="n">
        <v>153000045</v>
      </c>
      <c r="L420" s="9"/>
      <c r="M420" s="10" t="n">
        <v>47838</v>
      </c>
    </row>
    <row r="421" customFormat="false" ht="30" hidden="true" customHeight="true" outlineLevel="0" collapsed="false">
      <c r="A421" s="4" t="s">
        <v>109</v>
      </c>
      <c r="B421" s="4" t="s">
        <v>14</v>
      </c>
      <c r="C421" s="5" t="n">
        <v>1329001649</v>
      </c>
      <c r="D421" s="6" t="s">
        <v>445</v>
      </c>
      <c r="E421" s="6"/>
      <c r="F421" s="7" t="n">
        <v>46054.1859033796</v>
      </c>
      <c r="G421" s="7" t="n">
        <v>46054.2708831019</v>
      </c>
      <c r="H421" s="8" t="n">
        <v>4</v>
      </c>
      <c r="I421" s="5" t="n">
        <v>400441</v>
      </c>
      <c r="J421" s="6" t="s">
        <v>80</v>
      </c>
      <c r="K421" s="5" t="n">
        <v>100011111</v>
      </c>
      <c r="L421" s="9"/>
      <c r="M421" s="10" t="n">
        <v>47838</v>
      </c>
    </row>
    <row r="422" customFormat="false" ht="30" hidden="true" customHeight="true" outlineLevel="0" collapsed="false">
      <c r="A422" s="4" t="s">
        <v>109</v>
      </c>
      <c r="B422" s="4" t="s">
        <v>14</v>
      </c>
      <c r="C422" s="5" t="n">
        <v>1329001649</v>
      </c>
      <c r="D422" s="6" t="s">
        <v>446</v>
      </c>
      <c r="E422" s="6"/>
      <c r="F422" s="7" t="n">
        <v>46054.1859033796</v>
      </c>
      <c r="G422" s="7" t="n">
        <v>46054.2690473727</v>
      </c>
      <c r="H422" s="8" t="n">
        <v>4</v>
      </c>
      <c r="I422" s="5" t="n">
        <v>400441</v>
      </c>
      <c r="J422" s="6" t="s">
        <v>80</v>
      </c>
      <c r="K422" s="5" t="n">
        <v>100011111</v>
      </c>
      <c r="L422" s="9"/>
      <c r="M422" s="10" t="n">
        <v>47838</v>
      </c>
    </row>
    <row r="423" customFormat="false" ht="30" hidden="true" customHeight="true" outlineLevel="0" collapsed="false">
      <c r="A423" s="4" t="s">
        <v>109</v>
      </c>
      <c r="B423" s="4" t="s">
        <v>14</v>
      </c>
      <c r="C423" s="5" t="n">
        <v>1329001649</v>
      </c>
      <c r="D423" s="6" t="s">
        <v>447</v>
      </c>
      <c r="E423" s="6"/>
      <c r="F423" s="7" t="n">
        <v>46054.1859033796</v>
      </c>
      <c r="G423" s="7" t="n">
        <v>46054.2813024421</v>
      </c>
      <c r="H423" s="8" t="n">
        <v>4</v>
      </c>
      <c r="I423" s="5" t="n">
        <v>400441</v>
      </c>
      <c r="J423" s="6" t="s">
        <v>80</v>
      </c>
      <c r="K423" s="5" t="n">
        <v>100010247</v>
      </c>
      <c r="L423" s="9" t="n">
        <v>46013</v>
      </c>
      <c r="M423" s="10" t="n">
        <v>47838</v>
      </c>
    </row>
    <row r="424" customFormat="false" ht="30" hidden="true" customHeight="true" outlineLevel="0" collapsed="false">
      <c r="A424" s="4" t="s">
        <v>109</v>
      </c>
      <c r="B424" s="4" t="s">
        <v>14</v>
      </c>
      <c r="C424" s="5" t="n">
        <v>1329001649</v>
      </c>
      <c r="D424" s="6" t="s">
        <v>448</v>
      </c>
      <c r="E424" s="6"/>
      <c r="F424" s="7" t="n">
        <v>46054.1859033796</v>
      </c>
      <c r="G424" s="7" t="n">
        <v>46054.2816785417</v>
      </c>
      <c r="H424" s="8" t="n">
        <v>4</v>
      </c>
      <c r="I424" s="5" t="n">
        <v>400514</v>
      </c>
      <c r="J424" s="6" t="s">
        <v>16</v>
      </c>
      <c r="K424" s="5" t="n">
        <v>100010991</v>
      </c>
      <c r="L424" s="9" t="n">
        <v>46002</v>
      </c>
      <c r="M424" s="10" t="n">
        <v>47827</v>
      </c>
    </row>
    <row r="425" customFormat="false" ht="30" hidden="true" customHeight="true" outlineLevel="0" collapsed="false">
      <c r="A425" s="4" t="s">
        <v>109</v>
      </c>
      <c r="B425" s="4" t="s">
        <v>14</v>
      </c>
      <c r="C425" s="5" t="n">
        <v>1329001649</v>
      </c>
      <c r="D425" s="6" t="s">
        <v>449</v>
      </c>
      <c r="E425" s="6"/>
      <c r="F425" s="7" t="n">
        <v>46054.1859033796</v>
      </c>
      <c r="G425" s="7" t="n">
        <v>46054.2809006134</v>
      </c>
      <c r="H425" s="8" t="n">
        <v>4</v>
      </c>
      <c r="I425" s="5" t="n">
        <v>400441</v>
      </c>
      <c r="J425" s="6" t="s">
        <v>80</v>
      </c>
      <c r="K425" s="5" t="n">
        <v>100010247</v>
      </c>
      <c r="L425" s="9" t="n">
        <v>46013</v>
      </c>
      <c r="M425" s="10" t="n">
        <v>47838</v>
      </c>
    </row>
    <row r="426" customFormat="false" ht="30" hidden="true" customHeight="true" outlineLevel="0" collapsed="false">
      <c r="A426" s="4" t="s">
        <v>109</v>
      </c>
      <c r="B426" s="4" t="s">
        <v>14</v>
      </c>
      <c r="C426" s="5" t="n">
        <v>1329001649</v>
      </c>
      <c r="D426" s="6" t="s">
        <v>450</v>
      </c>
      <c r="E426" s="6"/>
      <c r="F426" s="7" t="n">
        <v>46054.1859033796</v>
      </c>
      <c r="G426" s="7" t="n">
        <v>46054.280429919</v>
      </c>
      <c r="H426" s="8" t="n">
        <v>4</v>
      </c>
      <c r="I426" s="5" t="n">
        <v>400514</v>
      </c>
      <c r="J426" s="6" t="s">
        <v>16</v>
      </c>
      <c r="K426" s="5" t="n">
        <v>100010755</v>
      </c>
      <c r="L426" s="9" t="n">
        <v>45978</v>
      </c>
      <c r="M426" s="10" t="n">
        <v>47803</v>
      </c>
    </row>
    <row r="427" customFormat="false" ht="30" hidden="true" customHeight="true" outlineLevel="0" collapsed="false">
      <c r="A427" s="4" t="s">
        <v>109</v>
      </c>
      <c r="B427" s="4" t="s">
        <v>14</v>
      </c>
      <c r="C427" s="5" t="n">
        <v>1329001649</v>
      </c>
      <c r="D427" s="6" t="s">
        <v>451</v>
      </c>
      <c r="E427" s="6"/>
      <c r="F427" s="7" t="n">
        <v>46054.1859033796</v>
      </c>
      <c r="G427" s="7" t="n">
        <v>46054.2795928241</v>
      </c>
      <c r="H427" s="8" t="n">
        <v>4</v>
      </c>
      <c r="I427" s="5" t="n">
        <v>400514</v>
      </c>
      <c r="J427" s="6" t="s">
        <v>16</v>
      </c>
      <c r="K427" s="5" t="n">
        <v>100010991</v>
      </c>
      <c r="L427" s="9" t="n">
        <v>46002</v>
      </c>
      <c r="M427" s="10" t="n">
        <v>47827</v>
      </c>
    </row>
    <row r="428" customFormat="false" ht="30" hidden="true" customHeight="true" outlineLevel="0" collapsed="false">
      <c r="A428" s="4" t="s">
        <v>109</v>
      </c>
      <c r="B428" s="4" t="s">
        <v>14</v>
      </c>
      <c r="C428" s="5" t="n">
        <v>1329001649</v>
      </c>
      <c r="D428" s="6" t="s">
        <v>452</v>
      </c>
      <c r="E428" s="6"/>
      <c r="F428" s="7" t="n">
        <v>46054.1859033796</v>
      </c>
      <c r="G428" s="7" t="n">
        <v>46054.2786517245</v>
      </c>
      <c r="H428" s="8" t="n">
        <v>4</v>
      </c>
      <c r="I428" s="5" t="n">
        <v>400514</v>
      </c>
      <c r="J428" s="6" t="s">
        <v>16</v>
      </c>
      <c r="K428" s="5" t="n">
        <v>100010755</v>
      </c>
      <c r="L428" s="9" t="n">
        <v>45978</v>
      </c>
      <c r="M428" s="10" t="n">
        <v>47803</v>
      </c>
    </row>
    <row r="429" customFormat="false" ht="30" hidden="true" customHeight="true" outlineLevel="0" collapsed="false">
      <c r="A429" s="4" t="s">
        <v>109</v>
      </c>
      <c r="B429" s="4" t="s">
        <v>14</v>
      </c>
      <c r="C429" s="5" t="n">
        <v>1329001649</v>
      </c>
      <c r="D429" s="6" t="s">
        <v>453</v>
      </c>
      <c r="E429" s="6"/>
      <c r="F429" s="7" t="n">
        <v>46054.1859033796</v>
      </c>
      <c r="G429" s="7" t="n">
        <v>46054.2776511227</v>
      </c>
      <c r="H429" s="8" t="n">
        <v>4</v>
      </c>
      <c r="I429" s="5" t="n">
        <v>400514</v>
      </c>
      <c r="J429" s="6" t="s">
        <v>16</v>
      </c>
      <c r="K429" s="5" t="n">
        <v>100010755</v>
      </c>
      <c r="L429" s="9" t="n">
        <v>45978</v>
      </c>
      <c r="M429" s="10" t="n">
        <v>47803</v>
      </c>
    </row>
    <row r="430" customFormat="false" ht="30" hidden="true" customHeight="true" outlineLevel="0" collapsed="false">
      <c r="A430" s="4" t="s">
        <v>109</v>
      </c>
      <c r="B430" s="4" t="s">
        <v>14</v>
      </c>
      <c r="C430" s="5" t="n">
        <v>1329001649</v>
      </c>
      <c r="D430" s="6" t="s">
        <v>454</v>
      </c>
      <c r="E430" s="6"/>
      <c r="F430" s="7" t="n">
        <v>46054.1859033796</v>
      </c>
      <c r="G430" s="7" t="n">
        <v>46054.2781534607</v>
      </c>
      <c r="H430" s="8" t="n">
        <v>4</v>
      </c>
      <c r="I430" s="5" t="n">
        <v>400441</v>
      </c>
      <c r="J430" s="6" t="s">
        <v>80</v>
      </c>
      <c r="K430" s="5" t="n">
        <v>100010247</v>
      </c>
      <c r="L430" s="9" t="n">
        <v>46013</v>
      </c>
      <c r="M430" s="10" t="n">
        <v>47838</v>
      </c>
    </row>
    <row r="431" customFormat="false" ht="30" hidden="true" customHeight="true" outlineLevel="0" collapsed="false">
      <c r="A431" s="4" t="s">
        <v>109</v>
      </c>
      <c r="B431" s="4" t="s">
        <v>14</v>
      </c>
      <c r="C431" s="5" t="n">
        <v>1329001649</v>
      </c>
      <c r="D431" s="6" t="s">
        <v>455</v>
      </c>
      <c r="E431" s="6"/>
      <c r="F431" s="7" t="n">
        <v>46054.1859033796</v>
      </c>
      <c r="G431" s="7" t="n">
        <v>46054.2766099769</v>
      </c>
      <c r="H431" s="8" t="n">
        <v>4</v>
      </c>
      <c r="I431" s="5" t="n">
        <v>400441</v>
      </c>
      <c r="J431" s="6" t="s">
        <v>80</v>
      </c>
      <c r="K431" s="5" t="n">
        <v>100010247</v>
      </c>
      <c r="L431" s="9" t="n">
        <v>46013</v>
      </c>
      <c r="M431" s="10" t="n">
        <v>47838</v>
      </c>
    </row>
    <row r="432" customFormat="false" ht="30" hidden="true" customHeight="true" outlineLevel="0" collapsed="false">
      <c r="A432" s="4" t="s">
        <v>109</v>
      </c>
      <c r="B432" s="4" t="s">
        <v>14</v>
      </c>
      <c r="C432" s="5" t="n">
        <v>1329001649</v>
      </c>
      <c r="D432" s="6" t="s">
        <v>456</v>
      </c>
      <c r="E432" s="6"/>
      <c r="F432" s="7" t="n">
        <v>46054.1859033796</v>
      </c>
      <c r="G432" s="7" t="n">
        <v>46054.2769979861</v>
      </c>
      <c r="H432" s="8" t="n">
        <v>4</v>
      </c>
      <c r="I432" s="5" t="n">
        <v>400514</v>
      </c>
      <c r="J432" s="6" t="s">
        <v>16</v>
      </c>
      <c r="K432" s="5" t="n">
        <v>100010764</v>
      </c>
      <c r="L432" s="9" t="n">
        <v>45980</v>
      </c>
      <c r="M432" s="10" t="n">
        <v>47805</v>
      </c>
    </row>
    <row r="433" customFormat="false" ht="30" hidden="true" customHeight="true" outlineLevel="0" collapsed="false">
      <c r="A433" s="4" t="s">
        <v>109</v>
      </c>
      <c r="B433" s="4" t="s">
        <v>14</v>
      </c>
      <c r="C433" s="5" t="n">
        <v>1329001649</v>
      </c>
      <c r="D433" s="6" t="s">
        <v>457</v>
      </c>
      <c r="E433" s="6"/>
      <c r="F433" s="7" t="n">
        <v>46054.1859033796</v>
      </c>
      <c r="G433" s="7" t="n">
        <v>46054.2761698843</v>
      </c>
      <c r="H433" s="8" t="n">
        <v>4</v>
      </c>
      <c r="I433" s="5" t="n">
        <v>400441</v>
      </c>
      <c r="J433" s="6" t="s">
        <v>80</v>
      </c>
      <c r="K433" s="5" t="n">
        <v>100010247</v>
      </c>
      <c r="L433" s="9" t="n">
        <v>46013</v>
      </c>
      <c r="M433" s="10" t="n">
        <v>47838</v>
      </c>
    </row>
    <row r="434" customFormat="false" ht="30" hidden="true" customHeight="true" outlineLevel="0" collapsed="false">
      <c r="A434" s="4" t="s">
        <v>109</v>
      </c>
      <c r="B434" s="4" t="s">
        <v>14</v>
      </c>
      <c r="C434" s="5" t="n">
        <v>1329001649</v>
      </c>
      <c r="D434" s="6" t="s">
        <v>458</v>
      </c>
      <c r="E434" s="6"/>
      <c r="F434" s="7" t="n">
        <v>46054.1859033796</v>
      </c>
      <c r="G434" s="7" t="n">
        <v>46054.2757659606</v>
      </c>
      <c r="H434" s="8" t="n">
        <v>4</v>
      </c>
      <c r="I434" s="5" t="n">
        <v>400514</v>
      </c>
      <c r="J434" s="6" t="s">
        <v>16</v>
      </c>
      <c r="K434" s="5" t="n">
        <v>100010764</v>
      </c>
      <c r="L434" s="9" t="n">
        <v>45980</v>
      </c>
      <c r="M434" s="10" t="n">
        <v>47805</v>
      </c>
    </row>
    <row r="435" customFormat="false" ht="30" hidden="true" customHeight="true" outlineLevel="0" collapsed="false">
      <c r="A435" s="4" t="s">
        <v>109</v>
      </c>
      <c r="B435" s="4" t="s">
        <v>14</v>
      </c>
      <c r="C435" s="5" t="n">
        <v>1329001649</v>
      </c>
      <c r="D435" s="6" t="s">
        <v>459</v>
      </c>
      <c r="E435" s="6"/>
      <c r="F435" s="7" t="n">
        <v>46054.1859033796</v>
      </c>
      <c r="G435" s="7" t="n">
        <v>46054.2748983681</v>
      </c>
      <c r="H435" s="8" t="n">
        <v>4</v>
      </c>
      <c r="I435" s="5" t="n">
        <v>400514</v>
      </c>
      <c r="J435" s="6" t="s">
        <v>16</v>
      </c>
      <c r="K435" s="5" t="n">
        <v>100010764</v>
      </c>
      <c r="L435" s="9" t="n">
        <v>45980</v>
      </c>
      <c r="M435" s="10" t="n">
        <v>47805</v>
      </c>
    </row>
    <row r="436" customFormat="false" ht="30" hidden="true" customHeight="true" outlineLevel="0" collapsed="false">
      <c r="A436" s="4" t="s">
        <v>109</v>
      </c>
      <c r="B436" s="4" t="s">
        <v>14</v>
      </c>
      <c r="C436" s="5" t="n">
        <v>1329001649</v>
      </c>
      <c r="D436" s="6" t="s">
        <v>460</v>
      </c>
      <c r="E436" s="6"/>
      <c r="F436" s="7" t="n">
        <v>46054.1859033796</v>
      </c>
      <c r="G436" s="7" t="n">
        <v>46054.2753247569</v>
      </c>
      <c r="H436" s="8" t="n">
        <v>4</v>
      </c>
      <c r="I436" s="5" t="n">
        <v>400441</v>
      </c>
      <c r="J436" s="6" t="s">
        <v>80</v>
      </c>
      <c r="K436" s="5" t="n">
        <v>100010247</v>
      </c>
      <c r="L436" s="9" t="n">
        <v>46013</v>
      </c>
      <c r="M436" s="10" t="n">
        <v>47838</v>
      </c>
    </row>
    <row r="437" customFormat="false" ht="30" hidden="true" customHeight="true" outlineLevel="0" collapsed="false">
      <c r="A437" s="4" t="s">
        <v>109</v>
      </c>
      <c r="B437" s="4" t="s">
        <v>14</v>
      </c>
      <c r="C437" s="5" t="n">
        <v>1329001649</v>
      </c>
      <c r="D437" s="6" t="s">
        <v>461</v>
      </c>
      <c r="E437" s="6"/>
      <c r="F437" s="7" t="n">
        <v>46054.1859033796</v>
      </c>
      <c r="G437" s="7" t="n">
        <v>46054.2743940278</v>
      </c>
      <c r="H437" s="8" t="n">
        <v>4</v>
      </c>
      <c r="I437" s="5" t="n">
        <v>400514</v>
      </c>
      <c r="J437" s="6" t="s">
        <v>16</v>
      </c>
      <c r="K437" s="5" t="n">
        <v>100010991</v>
      </c>
      <c r="L437" s="9" t="n">
        <v>46002</v>
      </c>
      <c r="M437" s="10" t="n">
        <v>47827</v>
      </c>
    </row>
    <row r="438" customFormat="false" ht="30" hidden="true" customHeight="true" outlineLevel="0" collapsed="false">
      <c r="A438" s="4" t="s">
        <v>109</v>
      </c>
      <c r="B438" s="4" t="s">
        <v>14</v>
      </c>
      <c r="C438" s="5" t="n">
        <v>1329001649</v>
      </c>
      <c r="D438" s="6" t="s">
        <v>462</v>
      </c>
      <c r="E438" s="6"/>
      <c r="F438" s="7" t="n">
        <v>46054.1859033796</v>
      </c>
      <c r="G438" s="7" t="n">
        <v>46054.2726633796</v>
      </c>
      <c r="H438" s="8" t="n">
        <v>4</v>
      </c>
      <c r="I438" s="5" t="n">
        <v>400514</v>
      </c>
      <c r="J438" s="6" t="s">
        <v>16</v>
      </c>
      <c r="K438" s="5" t="n">
        <v>100010764</v>
      </c>
      <c r="L438" s="9" t="n">
        <v>45980</v>
      </c>
      <c r="M438" s="10" t="n">
        <v>47805</v>
      </c>
    </row>
    <row r="439" customFormat="false" ht="30" hidden="true" customHeight="true" outlineLevel="0" collapsed="false">
      <c r="A439" s="4" t="s">
        <v>109</v>
      </c>
      <c r="B439" s="4" t="s">
        <v>14</v>
      </c>
      <c r="C439" s="5" t="n">
        <v>1329001649</v>
      </c>
      <c r="D439" s="6" t="s">
        <v>463</v>
      </c>
      <c r="E439" s="6"/>
      <c r="F439" s="7" t="n">
        <v>46054.1859033796</v>
      </c>
      <c r="G439" s="7" t="n">
        <v>46054.272187963</v>
      </c>
      <c r="H439" s="8" t="n">
        <v>4</v>
      </c>
      <c r="I439" s="5" t="n">
        <v>400441</v>
      </c>
      <c r="J439" s="6" t="s">
        <v>80</v>
      </c>
      <c r="K439" s="5" t="n">
        <v>100010247</v>
      </c>
      <c r="L439" s="9" t="n">
        <v>46013</v>
      </c>
      <c r="M439" s="10" t="n">
        <v>47838</v>
      </c>
    </row>
    <row r="440" customFormat="false" ht="30" hidden="true" customHeight="true" outlineLevel="0" collapsed="false">
      <c r="A440" s="4" t="s">
        <v>109</v>
      </c>
      <c r="B440" s="4" t="s">
        <v>14</v>
      </c>
      <c r="C440" s="5" t="n">
        <v>1329001649</v>
      </c>
      <c r="D440" s="6" t="s">
        <v>464</v>
      </c>
      <c r="E440" s="6"/>
      <c r="F440" s="7" t="n">
        <v>46054.1859033796</v>
      </c>
      <c r="G440" s="7" t="n">
        <v>46054.2716996644</v>
      </c>
      <c r="H440" s="8" t="n">
        <v>4</v>
      </c>
      <c r="I440" s="5" t="n">
        <v>400514</v>
      </c>
      <c r="J440" s="6" t="s">
        <v>16</v>
      </c>
      <c r="K440" s="5" t="n">
        <v>100010991</v>
      </c>
      <c r="L440" s="9" t="n">
        <v>46002</v>
      </c>
      <c r="M440" s="10" t="n">
        <v>47827</v>
      </c>
    </row>
    <row r="441" customFormat="false" ht="30" hidden="true" customHeight="true" outlineLevel="0" collapsed="false">
      <c r="A441" s="4" t="s">
        <v>109</v>
      </c>
      <c r="B441" s="4" t="s">
        <v>14</v>
      </c>
      <c r="C441" s="5" t="n">
        <v>1329001649</v>
      </c>
      <c r="D441" s="6" t="s">
        <v>465</v>
      </c>
      <c r="E441" s="6"/>
      <c r="F441" s="7" t="n">
        <v>46054.1859033796</v>
      </c>
      <c r="G441" s="7" t="n">
        <v>46054.2696240856</v>
      </c>
      <c r="H441" s="8" t="n">
        <v>4</v>
      </c>
      <c r="I441" s="5" t="n">
        <v>400441</v>
      </c>
      <c r="J441" s="6" t="s">
        <v>80</v>
      </c>
      <c r="K441" s="5" t="n">
        <v>100010247</v>
      </c>
      <c r="L441" s="9" t="n">
        <v>46013</v>
      </c>
      <c r="M441" s="10" t="n">
        <v>47838</v>
      </c>
    </row>
    <row r="442" customFormat="false" ht="30" hidden="true" customHeight="true" outlineLevel="0" collapsed="false">
      <c r="A442" s="4" t="s">
        <v>109</v>
      </c>
      <c r="B442" s="4" t="s">
        <v>14</v>
      </c>
      <c r="C442" s="5" t="n">
        <v>1329001649</v>
      </c>
      <c r="D442" s="6" t="s">
        <v>466</v>
      </c>
      <c r="E442" s="6"/>
      <c r="F442" s="7" t="n">
        <v>46054.1859033796</v>
      </c>
      <c r="G442" s="7" t="n">
        <v>46054.270300625</v>
      </c>
      <c r="H442" s="8" t="n">
        <v>4</v>
      </c>
      <c r="I442" s="5" t="n">
        <v>400514</v>
      </c>
      <c r="J442" s="6" t="s">
        <v>16</v>
      </c>
      <c r="K442" s="5" t="n">
        <v>100010764</v>
      </c>
      <c r="L442" s="9" t="n">
        <v>45980</v>
      </c>
      <c r="M442" s="10" t="n">
        <v>47805</v>
      </c>
    </row>
    <row r="443" customFormat="false" ht="30" hidden="true" customHeight="true" outlineLevel="0" collapsed="false">
      <c r="A443" s="4" t="s">
        <v>109</v>
      </c>
      <c r="B443" s="4" t="s">
        <v>14</v>
      </c>
      <c r="C443" s="5" t="n">
        <v>1329001649</v>
      </c>
      <c r="D443" s="6" t="s">
        <v>467</v>
      </c>
      <c r="E443" s="6"/>
      <c r="F443" s="7" t="n">
        <v>46054.1859033796</v>
      </c>
      <c r="G443" s="7" t="n">
        <v>46054.2636113542</v>
      </c>
      <c r="H443" s="8" t="n">
        <v>4</v>
      </c>
      <c r="I443" s="5" t="n">
        <v>400514</v>
      </c>
      <c r="J443" s="6" t="s">
        <v>16</v>
      </c>
      <c r="K443" s="5" t="n">
        <v>100010764</v>
      </c>
      <c r="L443" s="9" t="n">
        <v>45980</v>
      </c>
      <c r="M443" s="10" t="n">
        <v>47805</v>
      </c>
    </row>
    <row r="444" customFormat="false" ht="30" hidden="true" customHeight="true" outlineLevel="0" collapsed="false">
      <c r="A444" s="4" t="s">
        <v>109</v>
      </c>
      <c r="B444" s="4" t="s">
        <v>14</v>
      </c>
      <c r="C444" s="5" t="n">
        <v>1329001649</v>
      </c>
      <c r="D444" s="6" t="s">
        <v>468</v>
      </c>
      <c r="E444" s="6"/>
      <c r="F444" s="7" t="n">
        <v>46054.1859033796</v>
      </c>
      <c r="G444" s="7" t="n">
        <v>46054.2629953356</v>
      </c>
      <c r="H444" s="8" t="n">
        <v>4</v>
      </c>
      <c r="I444" s="5" t="n">
        <v>400441</v>
      </c>
      <c r="J444" s="6" t="s">
        <v>80</v>
      </c>
      <c r="K444" s="5" t="n">
        <v>100010247</v>
      </c>
      <c r="L444" s="9" t="n">
        <v>46013</v>
      </c>
      <c r="M444" s="10" t="n">
        <v>47838</v>
      </c>
    </row>
    <row r="445" customFormat="false" ht="30" hidden="true" customHeight="true" outlineLevel="0" collapsed="false">
      <c r="A445" s="4" t="s">
        <v>109</v>
      </c>
      <c r="B445" s="4" t="s">
        <v>14</v>
      </c>
      <c r="C445" s="5" t="n">
        <v>1329001649</v>
      </c>
      <c r="D445" s="6" t="s">
        <v>469</v>
      </c>
      <c r="E445" s="6"/>
      <c r="F445" s="7" t="n">
        <v>46054.1859033796</v>
      </c>
      <c r="G445" s="7" t="n">
        <v>46054.2625028241</v>
      </c>
      <c r="H445" s="8" t="n">
        <v>4</v>
      </c>
      <c r="I445" s="5" t="n">
        <v>400514</v>
      </c>
      <c r="J445" s="6" t="s">
        <v>16</v>
      </c>
      <c r="K445" s="5" t="n">
        <v>100010764</v>
      </c>
      <c r="L445" s="9" t="n">
        <v>45980</v>
      </c>
      <c r="M445" s="10" t="n">
        <v>47805</v>
      </c>
    </row>
    <row r="446" customFormat="false" ht="30" hidden="true" customHeight="true" outlineLevel="0" collapsed="false">
      <c r="A446" s="4" t="s">
        <v>109</v>
      </c>
      <c r="B446" s="4" t="s">
        <v>14</v>
      </c>
      <c r="C446" s="5" t="n">
        <v>1329001649</v>
      </c>
      <c r="D446" s="6" t="s">
        <v>470</v>
      </c>
      <c r="E446" s="6"/>
      <c r="F446" s="7" t="n">
        <v>46054.1859033796</v>
      </c>
      <c r="G446" s="7" t="n">
        <v>46054.2534645718</v>
      </c>
      <c r="H446" s="8" t="n">
        <v>4</v>
      </c>
      <c r="I446" s="5" t="n">
        <v>400514</v>
      </c>
      <c r="J446" s="6" t="s">
        <v>16</v>
      </c>
      <c r="K446" s="5" t="n">
        <v>100010764</v>
      </c>
      <c r="L446" s="9" t="n">
        <v>45980</v>
      </c>
      <c r="M446" s="10" t="n">
        <v>47805</v>
      </c>
    </row>
    <row r="447" customFormat="false" ht="30" hidden="true" customHeight="true" outlineLevel="0" collapsed="false">
      <c r="A447" s="4" t="s">
        <v>13</v>
      </c>
      <c r="B447" s="4" t="s">
        <v>14</v>
      </c>
      <c r="C447" s="5" t="n">
        <v>1329001654</v>
      </c>
      <c r="D447" s="6" t="s">
        <v>471</v>
      </c>
      <c r="E447" s="6"/>
      <c r="F447" s="7" t="n">
        <v>46054.2895847685</v>
      </c>
      <c r="G447" s="7" t="n">
        <v>46054.3282429977</v>
      </c>
      <c r="H447" s="8" t="n">
        <v>4</v>
      </c>
      <c r="I447" s="5" t="n">
        <v>400441</v>
      </c>
      <c r="J447" s="6" t="s">
        <v>80</v>
      </c>
      <c r="K447" s="5" t="n">
        <v>153000045</v>
      </c>
      <c r="L447" s="9" t="n">
        <v>46043</v>
      </c>
      <c r="M447" s="10" t="n">
        <v>47868</v>
      </c>
    </row>
    <row r="448" customFormat="false" ht="30" hidden="true" customHeight="true" outlineLevel="0" collapsed="false">
      <c r="A448" s="4" t="s">
        <v>13</v>
      </c>
      <c r="B448" s="4" t="s">
        <v>14</v>
      </c>
      <c r="C448" s="5" t="n">
        <v>1329001654</v>
      </c>
      <c r="D448" s="6" t="s">
        <v>472</v>
      </c>
      <c r="E448" s="6"/>
      <c r="F448" s="7" t="n">
        <v>46054.2895847685</v>
      </c>
      <c r="G448" s="7" t="n">
        <v>46054.3224555787</v>
      </c>
      <c r="H448" s="8" t="n">
        <v>4</v>
      </c>
      <c r="I448" s="5" t="n">
        <v>400441</v>
      </c>
      <c r="J448" s="6" t="s">
        <v>80</v>
      </c>
      <c r="K448" s="5" t="n">
        <v>100011111</v>
      </c>
      <c r="L448" s="9"/>
      <c r="M448" s="10" t="n">
        <v>47834</v>
      </c>
    </row>
    <row r="449" customFormat="false" ht="30" hidden="true" customHeight="true" outlineLevel="0" collapsed="false">
      <c r="A449" s="4" t="s">
        <v>13</v>
      </c>
      <c r="B449" s="4" t="s">
        <v>14</v>
      </c>
      <c r="C449" s="5" t="n">
        <v>1329001654</v>
      </c>
      <c r="D449" s="6" t="s">
        <v>473</v>
      </c>
      <c r="E449" s="6"/>
      <c r="F449" s="7" t="n">
        <v>46054.2895847685</v>
      </c>
      <c r="G449" s="7" t="n">
        <v>46054.3299865278</v>
      </c>
      <c r="H449" s="8" t="n">
        <v>4</v>
      </c>
      <c r="I449" s="5" t="n">
        <v>400432</v>
      </c>
      <c r="J449" s="6" t="s">
        <v>47</v>
      </c>
      <c r="K449" s="5" t="n">
        <v>100009668</v>
      </c>
      <c r="L449" s="9" t="n">
        <v>45878</v>
      </c>
      <c r="M449" s="10" t="n">
        <v>47703</v>
      </c>
    </row>
    <row r="450" customFormat="false" ht="30" hidden="true" customHeight="true" outlineLevel="0" collapsed="false">
      <c r="A450" s="4" t="s">
        <v>13</v>
      </c>
      <c r="B450" s="4" t="s">
        <v>14</v>
      </c>
      <c r="C450" s="5" t="n">
        <v>1329001654</v>
      </c>
      <c r="D450" s="6" t="s">
        <v>474</v>
      </c>
      <c r="E450" s="6"/>
      <c r="F450" s="7" t="n">
        <v>46054.2895847685</v>
      </c>
      <c r="G450" s="7" t="n">
        <v>46054.3267965046</v>
      </c>
      <c r="H450" s="8" t="n">
        <v>4</v>
      </c>
      <c r="I450" s="5" t="n">
        <v>400432</v>
      </c>
      <c r="J450" s="6" t="s">
        <v>47</v>
      </c>
      <c r="K450" s="5" t="n">
        <v>100009431</v>
      </c>
      <c r="L450" s="9" t="n">
        <v>45858</v>
      </c>
      <c r="M450" s="10" t="n">
        <v>47683</v>
      </c>
    </row>
    <row r="451" customFormat="false" ht="30" hidden="true" customHeight="true" outlineLevel="0" collapsed="false">
      <c r="A451" s="4" t="s">
        <v>13</v>
      </c>
      <c r="B451" s="4" t="s">
        <v>14</v>
      </c>
      <c r="C451" s="5" t="n">
        <v>1329001654</v>
      </c>
      <c r="D451" s="6" t="s">
        <v>475</v>
      </c>
      <c r="E451" s="6"/>
      <c r="F451" s="7" t="n">
        <v>46054.2895847685</v>
      </c>
      <c r="G451" s="7" t="n">
        <v>46054.3284660995</v>
      </c>
      <c r="H451" s="8" t="n">
        <v>4</v>
      </c>
      <c r="I451" s="5" t="n">
        <v>400514</v>
      </c>
      <c r="J451" s="6" t="s">
        <v>16</v>
      </c>
      <c r="K451" s="5" t="n">
        <v>100010991</v>
      </c>
      <c r="L451" s="9" t="n">
        <v>46002</v>
      </c>
      <c r="M451" s="10" t="n">
        <v>47827</v>
      </c>
    </row>
    <row r="452" customFormat="false" ht="30" hidden="true" customHeight="true" outlineLevel="0" collapsed="false">
      <c r="A452" s="4" t="s">
        <v>13</v>
      </c>
      <c r="B452" s="4" t="s">
        <v>14</v>
      </c>
      <c r="C452" s="5" t="n">
        <v>1329001654</v>
      </c>
      <c r="D452" s="6" t="s">
        <v>476</v>
      </c>
      <c r="E452" s="6"/>
      <c r="F452" s="7" t="n">
        <v>46054.2895847685</v>
      </c>
      <c r="G452" s="7" t="n">
        <v>46054.3257724537</v>
      </c>
      <c r="H452" s="8" t="n">
        <v>4</v>
      </c>
      <c r="I452" s="5" t="n">
        <v>400514</v>
      </c>
      <c r="J452" s="6" t="s">
        <v>16</v>
      </c>
      <c r="K452" s="5" t="n">
        <v>100010991</v>
      </c>
      <c r="L452" s="9" t="n">
        <v>46002</v>
      </c>
      <c r="M452" s="10" t="n">
        <v>47827</v>
      </c>
    </row>
    <row r="453" customFormat="false" ht="30" hidden="true" customHeight="true" outlineLevel="0" collapsed="false">
      <c r="A453" s="4" t="s">
        <v>13</v>
      </c>
      <c r="B453" s="4" t="s">
        <v>14</v>
      </c>
      <c r="C453" s="5" t="n">
        <v>1329001654</v>
      </c>
      <c r="D453" s="6" t="s">
        <v>477</v>
      </c>
      <c r="E453" s="6"/>
      <c r="F453" s="7" t="n">
        <v>46054.2895847685</v>
      </c>
      <c r="G453" s="7" t="n">
        <v>46054.328058125</v>
      </c>
      <c r="H453" s="8" t="n">
        <v>4</v>
      </c>
      <c r="I453" s="5" t="n">
        <v>400441</v>
      </c>
      <c r="J453" s="6" t="s">
        <v>80</v>
      </c>
      <c r="K453" s="5" t="n">
        <v>153000045</v>
      </c>
      <c r="L453" s="9" t="n">
        <v>46043</v>
      </c>
      <c r="M453" s="10" t="n">
        <v>47868</v>
      </c>
    </row>
    <row r="454" customFormat="false" ht="30" hidden="true" customHeight="true" outlineLevel="0" collapsed="false">
      <c r="A454" s="4" t="s">
        <v>13</v>
      </c>
      <c r="B454" s="4" t="s">
        <v>14</v>
      </c>
      <c r="C454" s="5" t="n">
        <v>1329001654</v>
      </c>
      <c r="D454" s="6" t="s">
        <v>478</v>
      </c>
      <c r="E454" s="6"/>
      <c r="F454" s="7" t="n">
        <v>46054.2895847685</v>
      </c>
      <c r="G454" s="7" t="n">
        <v>46054.324841875</v>
      </c>
      <c r="H454" s="8" t="n">
        <v>4</v>
      </c>
      <c r="I454" s="5" t="n">
        <v>400441</v>
      </c>
      <c r="J454" s="6" t="s">
        <v>80</v>
      </c>
      <c r="K454" s="5" t="n">
        <v>153000045</v>
      </c>
      <c r="L454" s="9" t="n">
        <v>46043</v>
      </c>
      <c r="M454" s="10" t="n">
        <v>47868</v>
      </c>
    </row>
    <row r="455" customFormat="false" ht="30" hidden="true" customHeight="true" outlineLevel="0" collapsed="false">
      <c r="A455" s="4" t="s">
        <v>13</v>
      </c>
      <c r="B455" s="4" t="s">
        <v>14</v>
      </c>
      <c r="C455" s="5" t="n">
        <v>1329001654</v>
      </c>
      <c r="D455" s="6" t="s">
        <v>479</v>
      </c>
      <c r="E455" s="6"/>
      <c r="F455" s="7" t="n">
        <v>46054.2895847685</v>
      </c>
      <c r="G455" s="7" t="n">
        <v>46054.3246548611</v>
      </c>
      <c r="H455" s="8" t="n">
        <v>4</v>
      </c>
      <c r="I455" s="5" t="n">
        <v>400441</v>
      </c>
      <c r="J455" s="6" t="s">
        <v>80</v>
      </c>
      <c r="K455" s="5" t="n">
        <v>153000045</v>
      </c>
      <c r="L455" s="9" t="n">
        <v>46043</v>
      </c>
      <c r="M455" s="10" t="n">
        <v>47868</v>
      </c>
    </row>
    <row r="456" customFormat="false" ht="30" hidden="true" customHeight="true" outlineLevel="0" collapsed="false">
      <c r="A456" s="4" t="s">
        <v>13</v>
      </c>
      <c r="B456" s="4" t="s">
        <v>14</v>
      </c>
      <c r="C456" s="5" t="n">
        <v>1329001654</v>
      </c>
      <c r="D456" s="6" t="s">
        <v>480</v>
      </c>
      <c r="E456" s="6"/>
      <c r="F456" s="7" t="n">
        <v>46054.2895847685</v>
      </c>
      <c r="G456" s="7" t="n">
        <v>46054.3245165509</v>
      </c>
      <c r="H456" s="8" t="n">
        <v>4</v>
      </c>
      <c r="I456" s="5" t="n">
        <v>400441</v>
      </c>
      <c r="J456" s="6" t="s">
        <v>80</v>
      </c>
      <c r="K456" s="5" t="n">
        <v>153000045</v>
      </c>
      <c r="L456" s="9" t="n">
        <v>46043</v>
      </c>
      <c r="M456" s="10" t="n">
        <v>47868</v>
      </c>
    </row>
    <row r="457" customFormat="false" ht="30" hidden="true" customHeight="true" outlineLevel="0" collapsed="false">
      <c r="A457" s="4" t="s">
        <v>13</v>
      </c>
      <c r="B457" s="4" t="s">
        <v>14</v>
      </c>
      <c r="C457" s="5" t="n">
        <v>1329001654</v>
      </c>
      <c r="D457" s="6" t="s">
        <v>481</v>
      </c>
      <c r="E457" s="6"/>
      <c r="F457" s="7" t="n">
        <v>46054.2895847685</v>
      </c>
      <c r="G457" s="7" t="n">
        <v>46054.3243255671</v>
      </c>
      <c r="H457" s="8" t="n">
        <v>4</v>
      </c>
      <c r="I457" s="5" t="n">
        <v>400441</v>
      </c>
      <c r="J457" s="6" t="s">
        <v>80</v>
      </c>
      <c r="K457" s="5" t="n">
        <v>153000045</v>
      </c>
      <c r="L457" s="9" t="n">
        <v>46043</v>
      </c>
      <c r="M457" s="10" t="n">
        <v>47868</v>
      </c>
    </row>
    <row r="458" customFormat="false" ht="30" hidden="true" customHeight="true" outlineLevel="0" collapsed="false">
      <c r="A458" s="4" t="s">
        <v>13</v>
      </c>
      <c r="B458" s="4" t="s">
        <v>14</v>
      </c>
      <c r="C458" s="5" t="n">
        <v>1329001654</v>
      </c>
      <c r="D458" s="6" t="s">
        <v>482</v>
      </c>
      <c r="E458" s="6"/>
      <c r="F458" s="7" t="n">
        <v>46054.2895847685</v>
      </c>
      <c r="G458" s="7" t="n">
        <v>46054.323697338</v>
      </c>
      <c r="H458" s="8" t="n">
        <v>4</v>
      </c>
      <c r="I458" s="5" t="n">
        <v>400441</v>
      </c>
      <c r="J458" s="6" t="s">
        <v>80</v>
      </c>
      <c r="K458" s="5" t="n">
        <v>153000045</v>
      </c>
      <c r="L458" s="9" t="n">
        <v>46043</v>
      </c>
      <c r="M458" s="10" t="n">
        <v>47868</v>
      </c>
    </row>
    <row r="459" customFormat="false" ht="30" hidden="true" customHeight="true" outlineLevel="0" collapsed="false">
      <c r="A459" s="4" t="s">
        <v>13</v>
      </c>
      <c r="B459" s="4" t="s">
        <v>14</v>
      </c>
      <c r="C459" s="5" t="n">
        <v>1329001654</v>
      </c>
      <c r="D459" s="6" t="s">
        <v>483</v>
      </c>
      <c r="E459" s="6"/>
      <c r="F459" s="7" t="n">
        <v>46054.2895847685</v>
      </c>
      <c r="G459" s="7" t="n">
        <v>46054.3262332523</v>
      </c>
      <c r="H459" s="8" t="n">
        <v>4</v>
      </c>
      <c r="I459" s="5" t="n">
        <v>400432</v>
      </c>
      <c r="J459" s="6" t="s">
        <v>47</v>
      </c>
      <c r="K459" s="5" t="n">
        <v>100009431</v>
      </c>
      <c r="L459" s="9" t="n">
        <v>45858</v>
      </c>
      <c r="M459" s="10" t="n">
        <v>47683</v>
      </c>
    </row>
    <row r="460" customFormat="false" ht="30" hidden="true" customHeight="true" outlineLevel="0" collapsed="false">
      <c r="A460" s="4" t="s">
        <v>13</v>
      </c>
      <c r="B460" s="4" t="s">
        <v>14</v>
      </c>
      <c r="C460" s="5" t="n">
        <v>1329001654</v>
      </c>
      <c r="D460" s="6" t="s">
        <v>484</v>
      </c>
      <c r="E460" s="6"/>
      <c r="F460" s="7" t="n">
        <v>46054.2895847685</v>
      </c>
      <c r="G460" s="7" t="n">
        <v>46054.333259537</v>
      </c>
      <c r="H460" s="8" t="n">
        <v>4</v>
      </c>
      <c r="I460" s="5" t="n">
        <v>400441</v>
      </c>
      <c r="J460" s="6" t="s">
        <v>80</v>
      </c>
      <c r="K460" s="5" t="n">
        <v>153000045</v>
      </c>
      <c r="L460" s="9" t="n">
        <v>46043</v>
      </c>
      <c r="M460" s="10" t="n">
        <v>47868</v>
      </c>
    </row>
    <row r="461" customFormat="false" ht="30" hidden="true" customHeight="true" outlineLevel="0" collapsed="false">
      <c r="A461" s="4" t="s">
        <v>13</v>
      </c>
      <c r="B461" s="4" t="s">
        <v>14</v>
      </c>
      <c r="C461" s="5" t="n">
        <v>1329001654</v>
      </c>
      <c r="D461" s="6" t="s">
        <v>485</v>
      </c>
      <c r="E461" s="6"/>
      <c r="F461" s="7" t="n">
        <v>46054.2895847685</v>
      </c>
      <c r="G461" s="7" t="n">
        <v>46054.3322092477</v>
      </c>
      <c r="H461" s="8" t="n">
        <v>4</v>
      </c>
      <c r="I461" s="5" t="n">
        <v>400432</v>
      </c>
      <c r="J461" s="6" t="s">
        <v>47</v>
      </c>
      <c r="K461" s="5" t="n">
        <v>100009431</v>
      </c>
      <c r="L461" s="9" t="n">
        <v>45858</v>
      </c>
      <c r="M461" s="10" t="n">
        <v>47683</v>
      </c>
    </row>
    <row r="462" customFormat="false" ht="30" hidden="true" customHeight="true" outlineLevel="0" collapsed="false">
      <c r="A462" s="4" t="s">
        <v>13</v>
      </c>
      <c r="B462" s="4" t="s">
        <v>14</v>
      </c>
      <c r="C462" s="5" t="n">
        <v>1329001654</v>
      </c>
      <c r="D462" s="6" t="s">
        <v>486</v>
      </c>
      <c r="E462" s="6"/>
      <c r="F462" s="7" t="n">
        <v>46054.2895847685</v>
      </c>
      <c r="G462" s="7" t="n">
        <v>46054.3319916319</v>
      </c>
      <c r="H462" s="8" t="n">
        <v>4</v>
      </c>
      <c r="I462" s="5" t="n">
        <v>400432</v>
      </c>
      <c r="J462" s="6" t="s">
        <v>47</v>
      </c>
      <c r="K462" s="5" t="n">
        <v>100009431</v>
      </c>
      <c r="L462" s="9" t="n">
        <v>45858</v>
      </c>
      <c r="M462" s="10" t="n">
        <v>47683</v>
      </c>
    </row>
    <row r="463" customFormat="false" ht="30" hidden="true" customHeight="true" outlineLevel="0" collapsed="false">
      <c r="A463" s="4" t="s">
        <v>13</v>
      </c>
      <c r="B463" s="4" t="s">
        <v>14</v>
      </c>
      <c r="C463" s="5" t="n">
        <v>1329001654</v>
      </c>
      <c r="D463" s="6" t="s">
        <v>487</v>
      </c>
      <c r="E463" s="6"/>
      <c r="F463" s="7" t="n">
        <v>46054.2895847685</v>
      </c>
      <c r="G463" s="7" t="n">
        <v>46054.3317929514</v>
      </c>
      <c r="H463" s="8" t="n">
        <v>4</v>
      </c>
      <c r="I463" s="5" t="n">
        <v>400432</v>
      </c>
      <c r="J463" s="6" t="s">
        <v>47</v>
      </c>
      <c r="K463" s="5" t="n">
        <v>100009668</v>
      </c>
      <c r="L463" s="9" t="n">
        <v>45878</v>
      </c>
      <c r="M463" s="10" t="n">
        <v>47703</v>
      </c>
    </row>
    <row r="464" customFormat="false" ht="30" hidden="true" customHeight="true" outlineLevel="0" collapsed="false">
      <c r="A464" s="4" t="s">
        <v>13</v>
      </c>
      <c r="B464" s="4" t="s">
        <v>14</v>
      </c>
      <c r="C464" s="5" t="n">
        <v>1329001654</v>
      </c>
      <c r="D464" s="6" t="s">
        <v>488</v>
      </c>
      <c r="E464" s="6"/>
      <c r="F464" s="7" t="n">
        <v>46054.2895847685</v>
      </c>
      <c r="G464" s="7" t="n">
        <v>46054.3315916898</v>
      </c>
      <c r="H464" s="8" t="n">
        <v>4</v>
      </c>
      <c r="I464" s="5" t="n">
        <v>400432</v>
      </c>
      <c r="J464" s="6" t="s">
        <v>47</v>
      </c>
      <c r="K464" s="5" t="n">
        <v>100009668</v>
      </c>
      <c r="L464" s="9" t="n">
        <v>45878</v>
      </c>
      <c r="M464" s="10" t="n">
        <v>47703</v>
      </c>
    </row>
    <row r="465" customFormat="false" ht="30" hidden="true" customHeight="true" outlineLevel="0" collapsed="false">
      <c r="A465" s="4" t="s">
        <v>13</v>
      </c>
      <c r="B465" s="4" t="s">
        <v>14</v>
      </c>
      <c r="C465" s="5" t="n">
        <v>1329001654</v>
      </c>
      <c r="D465" s="6" t="s">
        <v>489</v>
      </c>
      <c r="E465" s="6"/>
      <c r="F465" s="7" t="n">
        <v>46054.2895847685</v>
      </c>
      <c r="G465" s="7" t="n">
        <v>46054.3313811227</v>
      </c>
      <c r="H465" s="8" t="n">
        <v>4</v>
      </c>
      <c r="I465" s="5" t="n">
        <v>400432</v>
      </c>
      <c r="J465" s="6" t="s">
        <v>47</v>
      </c>
      <c r="K465" s="5" t="n">
        <v>100009668</v>
      </c>
      <c r="L465" s="9" t="n">
        <v>45878</v>
      </c>
      <c r="M465" s="10" t="n">
        <v>47703</v>
      </c>
    </row>
    <row r="466" customFormat="false" ht="30" hidden="true" customHeight="true" outlineLevel="0" collapsed="false">
      <c r="A466" s="4" t="s">
        <v>13</v>
      </c>
      <c r="B466" s="4" t="s">
        <v>14</v>
      </c>
      <c r="C466" s="5" t="n">
        <v>1329001654</v>
      </c>
      <c r="D466" s="6" t="s">
        <v>490</v>
      </c>
      <c r="E466" s="6"/>
      <c r="F466" s="7" t="n">
        <v>46054.2895847685</v>
      </c>
      <c r="G466" s="7" t="n">
        <v>46054.331158125</v>
      </c>
      <c r="H466" s="8" t="n">
        <v>4</v>
      </c>
      <c r="I466" s="5" t="n">
        <v>400432</v>
      </c>
      <c r="J466" s="6" t="s">
        <v>47</v>
      </c>
      <c r="K466" s="5" t="n">
        <v>100009668</v>
      </c>
      <c r="L466" s="9" t="n">
        <v>45878</v>
      </c>
      <c r="M466" s="10" t="n">
        <v>47703</v>
      </c>
    </row>
    <row r="467" customFormat="false" ht="30" hidden="true" customHeight="true" outlineLevel="0" collapsed="false">
      <c r="A467" s="4" t="s">
        <v>13</v>
      </c>
      <c r="B467" s="4" t="s">
        <v>14</v>
      </c>
      <c r="C467" s="5" t="n">
        <v>1329001654</v>
      </c>
      <c r="D467" s="6" t="s">
        <v>491</v>
      </c>
      <c r="E467" s="6"/>
      <c r="F467" s="7" t="n">
        <v>46054.2895847685</v>
      </c>
      <c r="G467" s="7" t="n">
        <v>46054.3307896991</v>
      </c>
      <c r="H467" s="8" t="n">
        <v>4</v>
      </c>
      <c r="I467" s="5" t="n">
        <v>400514</v>
      </c>
      <c r="J467" s="6" t="s">
        <v>16</v>
      </c>
      <c r="K467" s="5" t="n">
        <v>100010778</v>
      </c>
      <c r="L467" s="9" t="n">
        <v>45981</v>
      </c>
      <c r="M467" s="10" t="n">
        <v>47806</v>
      </c>
    </row>
    <row r="468" customFormat="false" ht="30" hidden="true" customHeight="true" outlineLevel="0" collapsed="false">
      <c r="A468" s="4" t="s">
        <v>13</v>
      </c>
      <c r="B468" s="4" t="s">
        <v>14</v>
      </c>
      <c r="C468" s="5" t="n">
        <v>1329001654</v>
      </c>
      <c r="D468" s="6" t="s">
        <v>492</v>
      </c>
      <c r="E468" s="6"/>
      <c r="F468" s="7" t="n">
        <v>46054.2895847685</v>
      </c>
      <c r="G468" s="7" t="n">
        <v>46054.3309778819</v>
      </c>
      <c r="H468" s="8" t="n">
        <v>4</v>
      </c>
      <c r="I468" s="5" t="n">
        <v>400432</v>
      </c>
      <c r="J468" s="6" t="s">
        <v>47</v>
      </c>
      <c r="K468" s="5" t="n">
        <v>100009668</v>
      </c>
      <c r="L468" s="9" t="n">
        <v>45878</v>
      </c>
      <c r="M468" s="10" t="n">
        <v>47703</v>
      </c>
    </row>
    <row r="469" customFormat="false" ht="30" hidden="true" customHeight="true" outlineLevel="0" collapsed="false">
      <c r="A469" s="4" t="s">
        <v>13</v>
      </c>
      <c r="B469" s="4" t="s">
        <v>14</v>
      </c>
      <c r="C469" s="5" t="n">
        <v>1329001654</v>
      </c>
      <c r="D469" s="6" t="s">
        <v>493</v>
      </c>
      <c r="E469" s="6"/>
      <c r="F469" s="7" t="n">
        <v>46054.2895847685</v>
      </c>
      <c r="G469" s="7" t="n">
        <v>46054.3306233102</v>
      </c>
      <c r="H469" s="8" t="n">
        <v>4</v>
      </c>
      <c r="I469" s="5" t="n">
        <v>400514</v>
      </c>
      <c r="J469" s="6" t="s">
        <v>16</v>
      </c>
      <c r="K469" s="5" t="n">
        <v>100010778</v>
      </c>
      <c r="L469" s="9" t="n">
        <v>45981</v>
      </c>
      <c r="M469" s="10" t="n">
        <v>47806</v>
      </c>
    </row>
    <row r="470" customFormat="false" ht="30" hidden="true" customHeight="true" outlineLevel="0" collapsed="false">
      <c r="A470" s="4" t="s">
        <v>13</v>
      </c>
      <c r="B470" s="4" t="s">
        <v>14</v>
      </c>
      <c r="C470" s="5" t="n">
        <v>1329001654</v>
      </c>
      <c r="D470" s="6" t="s">
        <v>494</v>
      </c>
      <c r="E470" s="6"/>
      <c r="F470" s="7" t="n">
        <v>46054.2895847685</v>
      </c>
      <c r="G470" s="7" t="n">
        <v>46054.3296302199</v>
      </c>
      <c r="H470" s="8" t="n">
        <v>4</v>
      </c>
      <c r="I470" s="5" t="n">
        <v>400514</v>
      </c>
      <c r="J470" s="6" t="s">
        <v>16</v>
      </c>
      <c r="K470" s="5" t="n">
        <v>100010778</v>
      </c>
      <c r="L470" s="9" t="n">
        <v>45981</v>
      </c>
      <c r="M470" s="10" t="n">
        <v>47806</v>
      </c>
    </row>
    <row r="471" customFormat="false" ht="30" hidden="true" customHeight="true" outlineLevel="0" collapsed="false">
      <c r="A471" s="4" t="s">
        <v>13</v>
      </c>
      <c r="B471" s="4" t="s">
        <v>14</v>
      </c>
      <c r="C471" s="5" t="n">
        <v>1329001654</v>
      </c>
      <c r="D471" s="6" t="s">
        <v>495</v>
      </c>
      <c r="E471" s="6"/>
      <c r="F471" s="7" t="n">
        <v>46054.2895847685</v>
      </c>
      <c r="G471" s="7" t="n">
        <v>46054.3294923727</v>
      </c>
      <c r="H471" s="8" t="n">
        <v>4</v>
      </c>
      <c r="I471" s="5" t="n">
        <v>400514</v>
      </c>
      <c r="J471" s="6" t="s">
        <v>16</v>
      </c>
      <c r="K471" s="5" t="n">
        <v>100010778</v>
      </c>
      <c r="L471" s="9" t="n">
        <v>45981</v>
      </c>
      <c r="M471" s="10" t="n">
        <v>47806</v>
      </c>
    </row>
    <row r="472" customFormat="false" ht="30" hidden="true" customHeight="true" outlineLevel="0" collapsed="false">
      <c r="A472" s="4" t="s">
        <v>13</v>
      </c>
      <c r="B472" s="4" t="s">
        <v>14</v>
      </c>
      <c r="C472" s="5" t="n">
        <v>1329001654</v>
      </c>
      <c r="D472" s="6" t="s">
        <v>496</v>
      </c>
      <c r="E472" s="6"/>
      <c r="F472" s="7" t="n">
        <v>46054.2895847685</v>
      </c>
      <c r="G472" s="7" t="n">
        <v>46054.3293677315</v>
      </c>
      <c r="H472" s="8" t="n">
        <v>4</v>
      </c>
      <c r="I472" s="5" t="n">
        <v>400514</v>
      </c>
      <c r="J472" s="6" t="s">
        <v>16</v>
      </c>
      <c r="K472" s="5" t="n">
        <v>100010778</v>
      </c>
      <c r="L472" s="9" t="n">
        <v>45981</v>
      </c>
      <c r="M472" s="10" t="n">
        <v>47806</v>
      </c>
    </row>
    <row r="473" customFormat="false" ht="30" hidden="true" customHeight="true" outlineLevel="0" collapsed="false">
      <c r="A473" s="4" t="s">
        <v>13</v>
      </c>
      <c r="B473" s="4" t="s">
        <v>14</v>
      </c>
      <c r="C473" s="5" t="n">
        <v>1329001654</v>
      </c>
      <c r="D473" s="6" t="s">
        <v>497</v>
      </c>
      <c r="E473" s="6"/>
      <c r="F473" s="7" t="n">
        <v>46054.2895847685</v>
      </c>
      <c r="G473" s="7" t="n">
        <v>46054.3288225</v>
      </c>
      <c r="H473" s="8" t="n">
        <v>4</v>
      </c>
      <c r="I473" s="5" t="n">
        <v>400514</v>
      </c>
      <c r="J473" s="6" t="s">
        <v>16</v>
      </c>
      <c r="K473" s="5" t="n">
        <v>100010778</v>
      </c>
      <c r="L473" s="9" t="n">
        <v>45981</v>
      </c>
      <c r="M473" s="10" t="n">
        <v>47806</v>
      </c>
    </row>
    <row r="474" customFormat="false" ht="30" hidden="true" customHeight="true" outlineLevel="0" collapsed="false">
      <c r="A474" s="4" t="s">
        <v>13</v>
      </c>
      <c r="B474" s="4" t="s">
        <v>14</v>
      </c>
      <c r="C474" s="5" t="n">
        <v>1329001654</v>
      </c>
      <c r="D474" s="6" t="s">
        <v>498</v>
      </c>
      <c r="E474" s="6"/>
      <c r="F474" s="7" t="n">
        <v>46054.2895847685</v>
      </c>
      <c r="G474" s="7" t="n">
        <v>46054.3252756597</v>
      </c>
      <c r="H474" s="8" t="n">
        <v>4</v>
      </c>
      <c r="I474" s="5" t="n">
        <v>400514</v>
      </c>
      <c r="J474" s="6" t="s">
        <v>16</v>
      </c>
      <c r="K474" s="5" t="n">
        <v>100010991</v>
      </c>
      <c r="L474" s="9" t="n">
        <v>46002</v>
      </c>
      <c r="M474" s="10" t="n">
        <v>47827</v>
      </c>
    </row>
    <row r="475" customFormat="false" ht="30" hidden="true" customHeight="true" outlineLevel="0" collapsed="false">
      <c r="A475" s="4" t="s">
        <v>13</v>
      </c>
      <c r="B475" s="4" t="s">
        <v>14</v>
      </c>
      <c r="C475" s="5" t="n">
        <v>1329001654</v>
      </c>
      <c r="D475" s="6" t="s">
        <v>499</v>
      </c>
      <c r="E475" s="6"/>
      <c r="F475" s="7" t="n">
        <v>46054.2895847685</v>
      </c>
      <c r="G475" s="7" t="n">
        <v>46054.3286503009</v>
      </c>
      <c r="H475" s="8" t="n">
        <v>4</v>
      </c>
      <c r="I475" s="5" t="n">
        <v>400514</v>
      </c>
      <c r="J475" s="6" t="s">
        <v>16</v>
      </c>
      <c r="K475" s="5" t="n">
        <v>100010991</v>
      </c>
      <c r="L475" s="9" t="n">
        <v>46002</v>
      </c>
      <c r="M475" s="10" t="n">
        <v>47827</v>
      </c>
    </row>
    <row r="476" customFormat="false" ht="30" hidden="true" customHeight="true" outlineLevel="0" collapsed="false">
      <c r="A476" s="4" t="s">
        <v>13</v>
      </c>
      <c r="B476" s="4" t="s">
        <v>14</v>
      </c>
      <c r="C476" s="5" t="n">
        <v>1329001654</v>
      </c>
      <c r="D476" s="6" t="s">
        <v>500</v>
      </c>
      <c r="E476" s="6"/>
      <c r="F476" s="7" t="n">
        <v>46054.2895847685</v>
      </c>
      <c r="G476" s="7" t="n">
        <v>46054.3331036111</v>
      </c>
      <c r="H476" s="8" t="n">
        <v>4</v>
      </c>
      <c r="I476" s="5" t="n">
        <v>400441</v>
      </c>
      <c r="J476" s="6" t="s">
        <v>80</v>
      </c>
      <c r="K476" s="5" t="n">
        <v>153000045</v>
      </c>
      <c r="L476" s="9" t="n">
        <v>46043</v>
      </c>
      <c r="M476" s="10" t="n">
        <v>47868</v>
      </c>
    </row>
    <row r="477" customFormat="false" ht="30" hidden="true" customHeight="true" outlineLevel="0" collapsed="false">
      <c r="A477" s="4" t="s">
        <v>13</v>
      </c>
      <c r="B477" s="4" t="s">
        <v>14</v>
      </c>
      <c r="C477" s="5" t="n">
        <v>1329001653</v>
      </c>
      <c r="D477" s="6" t="s">
        <v>501</v>
      </c>
      <c r="E477" s="6"/>
      <c r="F477" s="7" t="n">
        <v>46054.2914961921</v>
      </c>
      <c r="G477" s="7" t="n">
        <v>46054.3366137269</v>
      </c>
      <c r="H477" s="8" t="n">
        <v>4</v>
      </c>
      <c r="I477" s="5" t="n">
        <v>400432</v>
      </c>
      <c r="J477" s="6" t="s">
        <v>47</v>
      </c>
      <c r="K477" s="5" t="n">
        <v>100009668</v>
      </c>
      <c r="L477" s="9" t="n">
        <v>45878</v>
      </c>
      <c r="M477" s="10" t="n">
        <v>47703</v>
      </c>
    </row>
    <row r="478" customFormat="false" ht="30" hidden="true" customHeight="true" outlineLevel="0" collapsed="false">
      <c r="A478" s="4" t="s">
        <v>13</v>
      </c>
      <c r="B478" s="4" t="s">
        <v>14</v>
      </c>
      <c r="C478" s="5" t="n">
        <v>1329001653</v>
      </c>
      <c r="D478" s="6" t="s">
        <v>502</v>
      </c>
      <c r="E478" s="6"/>
      <c r="F478" s="7" t="n">
        <v>46054.2914961921</v>
      </c>
      <c r="G478" s="7" t="n">
        <v>46054.3439383218</v>
      </c>
      <c r="H478" s="8" t="n">
        <v>4</v>
      </c>
      <c r="I478" s="5" t="n">
        <v>400441</v>
      </c>
      <c r="J478" s="6" t="s">
        <v>80</v>
      </c>
      <c r="K478" s="5" t="n">
        <v>100011111</v>
      </c>
      <c r="L478" s="9"/>
      <c r="M478" s="10" t="n">
        <v>47834</v>
      </c>
    </row>
    <row r="479" customFormat="false" ht="30" hidden="true" customHeight="true" outlineLevel="0" collapsed="false">
      <c r="A479" s="4" t="s">
        <v>13</v>
      </c>
      <c r="B479" s="4" t="s">
        <v>14</v>
      </c>
      <c r="C479" s="5" t="n">
        <v>1329001653</v>
      </c>
      <c r="D479" s="6" t="s">
        <v>503</v>
      </c>
      <c r="E479" s="6"/>
      <c r="F479" s="7" t="n">
        <v>46054.2914961921</v>
      </c>
      <c r="G479" s="7" t="n">
        <v>46054.3437818519</v>
      </c>
      <c r="H479" s="8" t="n">
        <v>4</v>
      </c>
      <c r="I479" s="5" t="n">
        <v>400441</v>
      </c>
      <c r="J479" s="6" t="s">
        <v>80</v>
      </c>
      <c r="K479" s="5" t="n">
        <v>100011111</v>
      </c>
      <c r="L479" s="9"/>
      <c r="M479" s="10" t="n">
        <v>47834</v>
      </c>
    </row>
    <row r="480" customFormat="false" ht="30" hidden="true" customHeight="true" outlineLevel="0" collapsed="false">
      <c r="A480" s="4" t="s">
        <v>13</v>
      </c>
      <c r="B480" s="4" t="s">
        <v>14</v>
      </c>
      <c r="C480" s="5" t="n">
        <v>1329001653</v>
      </c>
      <c r="D480" s="6" t="s">
        <v>504</v>
      </c>
      <c r="E480" s="6"/>
      <c r="F480" s="7" t="n">
        <v>46054.2914961921</v>
      </c>
      <c r="G480" s="7" t="n">
        <v>46054.3405338773</v>
      </c>
      <c r="H480" s="8" t="n">
        <v>4</v>
      </c>
      <c r="I480" s="5" t="n">
        <v>400441</v>
      </c>
      <c r="J480" s="6" t="s">
        <v>80</v>
      </c>
      <c r="K480" s="5" t="n">
        <v>153000045</v>
      </c>
      <c r="L480" s="9" t="n">
        <v>46043</v>
      </c>
      <c r="M480" s="10" t="n">
        <v>47868</v>
      </c>
    </row>
    <row r="481" customFormat="false" ht="30" hidden="true" customHeight="true" outlineLevel="0" collapsed="false">
      <c r="A481" s="4" t="s">
        <v>13</v>
      </c>
      <c r="B481" s="4" t="s">
        <v>14</v>
      </c>
      <c r="C481" s="5" t="n">
        <v>1329001653</v>
      </c>
      <c r="D481" s="6" t="s">
        <v>505</v>
      </c>
      <c r="E481" s="6"/>
      <c r="F481" s="7" t="n">
        <v>46054.2914961921</v>
      </c>
      <c r="G481" s="7" t="n">
        <v>46054.3395191088</v>
      </c>
      <c r="H481" s="8" t="n">
        <v>4</v>
      </c>
      <c r="I481" s="5" t="n">
        <v>400514</v>
      </c>
      <c r="J481" s="6" t="s">
        <v>16</v>
      </c>
      <c r="K481" s="5" t="n">
        <v>100010778</v>
      </c>
      <c r="L481" s="9" t="n">
        <v>45981</v>
      </c>
      <c r="M481" s="10" t="n">
        <v>47806</v>
      </c>
    </row>
    <row r="482" customFormat="false" ht="30" hidden="true" customHeight="true" outlineLevel="0" collapsed="false">
      <c r="A482" s="4" t="s">
        <v>13</v>
      </c>
      <c r="B482" s="4" t="s">
        <v>14</v>
      </c>
      <c r="C482" s="5" t="n">
        <v>1329001653</v>
      </c>
      <c r="D482" s="6" t="s">
        <v>506</v>
      </c>
      <c r="E482" s="6"/>
      <c r="F482" s="7" t="n">
        <v>46054.2914961921</v>
      </c>
      <c r="G482" s="7" t="n">
        <v>46054.3463815278</v>
      </c>
      <c r="H482" s="8" t="n">
        <v>4</v>
      </c>
      <c r="I482" s="5" t="n">
        <v>400514</v>
      </c>
      <c r="J482" s="6" t="s">
        <v>16</v>
      </c>
      <c r="K482" s="5" t="n">
        <v>100010778</v>
      </c>
      <c r="L482" s="9" t="n">
        <v>45981</v>
      </c>
      <c r="M482" s="10" t="n">
        <v>47806</v>
      </c>
    </row>
    <row r="483" customFormat="false" ht="30" hidden="true" customHeight="true" outlineLevel="0" collapsed="false">
      <c r="A483" s="4" t="s">
        <v>13</v>
      </c>
      <c r="B483" s="4" t="s">
        <v>14</v>
      </c>
      <c r="C483" s="5" t="n">
        <v>1329001653</v>
      </c>
      <c r="D483" s="6" t="s">
        <v>507</v>
      </c>
      <c r="E483" s="6"/>
      <c r="F483" s="7" t="n">
        <v>46054.2914961921</v>
      </c>
      <c r="G483" s="7" t="n">
        <v>46054.3459747338</v>
      </c>
      <c r="H483" s="8" t="n">
        <v>4</v>
      </c>
      <c r="I483" s="5" t="n">
        <v>400432</v>
      </c>
      <c r="J483" s="6" t="s">
        <v>47</v>
      </c>
      <c r="K483" s="5" t="n">
        <v>100009431</v>
      </c>
      <c r="L483" s="9" t="n">
        <v>45858</v>
      </c>
      <c r="M483" s="10" t="n">
        <v>47683</v>
      </c>
    </row>
    <row r="484" customFormat="false" ht="30" hidden="true" customHeight="true" outlineLevel="0" collapsed="false">
      <c r="A484" s="4" t="s">
        <v>13</v>
      </c>
      <c r="B484" s="4" t="s">
        <v>14</v>
      </c>
      <c r="C484" s="5" t="n">
        <v>1329001653</v>
      </c>
      <c r="D484" s="6" t="s">
        <v>508</v>
      </c>
      <c r="E484" s="6"/>
      <c r="F484" s="7" t="n">
        <v>46054.2914961921</v>
      </c>
      <c r="G484" s="7" t="n">
        <v>46054.3461806134</v>
      </c>
      <c r="H484" s="8" t="n">
        <v>4</v>
      </c>
      <c r="I484" s="5" t="n">
        <v>400514</v>
      </c>
      <c r="J484" s="6" t="s">
        <v>16</v>
      </c>
      <c r="K484" s="5" t="n">
        <v>100010778</v>
      </c>
      <c r="L484" s="9" t="n">
        <v>45981</v>
      </c>
      <c r="M484" s="10" t="n">
        <v>47806</v>
      </c>
    </row>
    <row r="485" customFormat="false" ht="30" hidden="true" customHeight="true" outlineLevel="0" collapsed="false">
      <c r="A485" s="4" t="s">
        <v>13</v>
      </c>
      <c r="B485" s="4" t="s">
        <v>14</v>
      </c>
      <c r="C485" s="5" t="n">
        <v>1329001653</v>
      </c>
      <c r="D485" s="6" t="s">
        <v>509</v>
      </c>
      <c r="E485" s="6"/>
      <c r="F485" s="7" t="n">
        <v>46054.2914961921</v>
      </c>
      <c r="G485" s="7" t="n">
        <v>46054.345469456</v>
      </c>
      <c r="H485" s="8" t="n">
        <v>4</v>
      </c>
      <c r="I485" s="5" t="n">
        <v>400514</v>
      </c>
      <c r="J485" s="6" t="s">
        <v>16</v>
      </c>
      <c r="K485" s="5" t="n">
        <v>100010778</v>
      </c>
      <c r="L485" s="9" t="n">
        <v>45981</v>
      </c>
      <c r="M485" s="10" t="n">
        <v>47806</v>
      </c>
    </row>
    <row r="486" customFormat="false" ht="30" hidden="true" customHeight="true" outlineLevel="0" collapsed="false">
      <c r="A486" s="4" t="s">
        <v>13</v>
      </c>
      <c r="B486" s="4" t="s">
        <v>14</v>
      </c>
      <c r="C486" s="5" t="n">
        <v>1329001653</v>
      </c>
      <c r="D486" s="6" t="s">
        <v>510</v>
      </c>
      <c r="E486" s="6"/>
      <c r="F486" s="7" t="n">
        <v>46054.2914961921</v>
      </c>
      <c r="G486" s="7" t="n">
        <v>46054.3453658912</v>
      </c>
      <c r="H486" s="8" t="n">
        <v>4</v>
      </c>
      <c r="I486" s="5" t="n">
        <v>400514</v>
      </c>
      <c r="J486" s="6" t="s">
        <v>16</v>
      </c>
      <c r="K486" s="5" t="n">
        <v>100010778</v>
      </c>
      <c r="L486" s="9" t="n">
        <v>45981</v>
      </c>
      <c r="M486" s="10" t="n">
        <v>47806</v>
      </c>
    </row>
    <row r="487" customFormat="false" ht="30" hidden="true" customHeight="true" outlineLevel="0" collapsed="false">
      <c r="A487" s="4" t="s">
        <v>13</v>
      </c>
      <c r="B487" s="4" t="s">
        <v>14</v>
      </c>
      <c r="C487" s="5" t="n">
        <v>1329001653</v>
      </c>
      <c r="D487" s="6" t="s">
        <v>511</v>
      </c>
      <c r="E487" s="6"/>
      <c r="F487" s="7" t="n">
        <v>46054.2914961921</v>
      </c>
      <c r="G487" s="7" t="n">
        <v>46054.3451743634</v>
      </c>
      <c r="H487" s="8" t="n">
        <v>4</v>
      </c>
      <c r="I487" s="5" t="n">
        <v>400514</v>
      </c>
      <c r="J487" s="6" t="s">
        <v>16</v>
      </c>
      <c r="K487" s="5" t="n">
        <v>100010778</v>
      </c>
      <c r="L487" s="9" t="n">
        <v>45981</v>
      </c>
      <c r="M487" s="10" t="n">
        <v>47806</v>
      </c>
    </row>
    <row r="488" customFormat="false" ht="30" hidden="true" customHeight="true" outlineLevel="0" collapsed="false">
      <c r="A488" s="4" t="s">
        <v>13</v>
      </c>
      <c r="B488" s="4" t="s">
        <v>14</v>
      </c>
      <c r="C488" s="5" t="n">
        <v>1329001653</v>
      </c>
      <c r="D488" s="6" t="s">
        <v>512</v>
      </c>
      <c r="E488" s="6"/>
      <c r="F488" s="7" t="n">
        <v>46054.2914961921</v>
      </c>
      <c r="G488" s="7" t="n">
        <v>46054.3450437847</v>
      </c>
      <c r="H488" s="8" t="n">
        <v>4</v>
      </c>
      <c r="I488" s="5" t="n">
        <v>400514</v>
      </c>
      <c r="J488" s="6" t="s">
        <v>16</v>
      </c>
      <c r="K488" s="5" t="n">
        <v>100010778</v>
      </c>
      <c r="L488" s="9" t="n">
        <v>45981</v>
      </c>
      <c r="M488" s="10" t="n">
        <v>47806</v>
      </c>
    </row>
    <row r="489" customFormat="false" ht="30" hidden="true" customHeight="true" outlineLevel="0" collapsed="false">
      <c r="A489" s="4" t="s">
        <v>13</v>
      </c>
      <c r="B489" s="4" t="s">
        <v>14</v>
      </c>
      <c r="C489" s="5" t="n">
        <v>1329001653</v>
      </c>
      <c r="D489" s="6" t="s">
        <v>513</v>
      </c>
      <c r="E489" s="6"/>
      <c r="F489" s="7" t="n">
        <v>46054.2914961921</v>
      </c>
      <c r="G489" s="7" t="n">
        <v>46054.3448864236</v>
      </c>
      <c r="H489" s="8" t="n">
        <v>4</v>
      </c>
      <c r="I489" s="5" t="n">
        <v>400514</v>
      </c>
      <c r="J489" s="6" t="s">
        <v>16</v>
      </c>
      <c r="K489" s="5" t="n">
        <v>100010778</v>
      </c>
      <c r="L489" s="9" t="n">
        <v>45981</v>
      </c>
      <c r="M489" s="10" t="n">
        <v>47806</v>
      </c>
    </row>
    <row r="490" customFormat="false" ht="30" hidden="true" customHeight="true" outlineLevel="0" collapsed="false">
      <c r="A490" s="4" t="s">
        <v>13</v>
      </c>
      <c r="B490" s="4" t="s">
        <v>14</v>
      </c>
      <c r="C490" s="5" t="n">
        <v>1329001653</v>
      </c>
      <c r="D490" s="6" t="s">
        <v>514</v>
      </c>
      <c r="E490" s="6"/>
      <c r="F490" s="7" t="n">
        <v>46054.2914961921</v>
      </c>
      <c r="G490" s="7" t="n">
        <v>46054.3458089583</v>
      </c>
      <c r="H490" s="8" t="n">
        <v>4</v>
      </c>
      <c r="I490" s="5" t="n">
        <v>400441</v>
      </c>
      <c r="J490" s="6" t="s">
        <v>80</v>
      </c>
      <c r="K490" s="5" t="n">
        <v>153000045</v>
      </c>
      <c r="L490" s="9" t="n">
        <v>46043</v>
      </c>
      <c r="M490" s="10" t="n">
        <v>47868</v>
      </c>
    </row>
    <row r="491" customFormat="false" ht="30" hidden="true" customHeight="true" outlineLevel="0" collapsed="false">
      <c r="A491" s="4" t="s">
        <v>13</v>
      </c>
      <c r="B491" s="4" t="s">
        <v>14</v>
      </c>
      <c r="C491" s="5" t="n">
        <v>1329001653</v>
      </c>
      <c r="D491" s="6" t="s">
        <v>515</v>
      </c>
      <c r="E491" s="6"/>
      <c r="F491" s="7" t="n">
        <v>46054.2914961921</v>
      </c>
      <c r="G491" s="7" t="n">
        <v>46054.3444189699</v>
      </c>
      <c r="H491" s="8" t="n">
        <v>4</v>
      </c>
      <c r="I491" s="5" t="n">
        <v>400441</v>
      </c>
      <c r="J491" s="6" t="s">
        <v>80</v>
      </c>
      <c r="K491" s="5" t="n">
        <v>153000045</v>
      </c>
      <c r="L491" s="9" t="n">
        <v>46043</v>
      </c>
      <c r="M491" s="10" t="n">
        <v>47868</v>
      </c>
    </row>
    <row r="492" customFormat="false" ht="30" hidden="true" customHeight="true" outlineLevel="0" collapsed="false">
      <c r="A492" s="4" t="s">
        <v>13</v>
      </c>
      <c r="B492" s="4" t="s">
        <v>14</v>
      </c>
      <c r="C492" s="5" t="n">
        <v>1329001653</v>
      </c>
      <c r="D492" s="6" t="s">
        <v>516</v>
      </c>
      <c r="E492" s="6"/>
      <c r="F492" s="7" t="n">
        <v>46054.2914961921</v>
      </c>
      <c r="G492" s="7" t="n">
        <v>46054.3435982407</v>
      </c>
      <c r="H492" s="8" t="n">
        <v>4</v>
      </c>
      <c r="I492" s="5" t="n">
        <v>400441</v>
      </c>
      <c r="J492" s="6" t="s">
        <v>80</v>
      </c>
      <c r="K492" s="5" t="n">
        <v>153000045</v>
      </c>
      <c r="L492" s="9" t="n">
        <v>46043</v>
      </c>
      <c r="M492" s="10" t="n">
        <v>47868</v>
      </c>
    </row>
    <row r="493" customFormat="false" ht="30" hidden="true" customHeight="true" outlineLevel="0" collapsed="false">
      <c r="A493" s="4" t="s">
        <v>13</v>
      </c>
      <c r="B493" s="4" t="s">
        <v>14</v>
      </c>
      <c r="C493" s="5" t="n">
        <v>1329001653</v>
      </c>
      <c r="D493" s="6" t="s">
        <v>517</v>
      </c>
      <c r="E493" s="6"/>
      <c r="F493" s="7" t="n">
        <v>46054.2914961921</v>
      </c>
      <c r="G493" s="7" t="n">
        <v>46054.3434696296</v>
      </c>
      <c r="H493" s="8" t="n">
        <v>4</v>
      </c>
      <c r="I493" s="5" t="n">
        <v>400441</v>
      </c>
      <c r="J493" s="6" t="s">
        <v>80</v>
      </c>
      <c r="K493" s="5" t="n">
        <v>153000045</v>
      </c>
      <c r="L493" s="9" t="n">
        <v>46043</v>
      </c>
      <c r="M493" s="10" t="n">
        <v>47868</v>
      </c>
    </row>
    <row r="494" customFormat="false" ht="30" hidden="true" customHeight="true" outlineLevel="0" collapsed="false">
      <c r="A494" s="4" t="s">
        <v>13</v>
      </c>
      <c r="B494" s="4" t="s">
        <v>14</v>
      </c>
      <c r="C494" s="5" t="n">
        <v>1329001653</v>
      </c>
      <c r="D494" s="6" t="s">
        <v>518</v>
      </c>
      <c r="E494" s="6"/>
      <c r="F494" s="7" t="n">
        <v>46054.2914961921</v>
      </c>
      <c r="G494" s="7" t="n">
        <v>46054.3432401968</v>
      </c>
      <c r="H494" s="8" t="n">
        <v>4</v>
      </c>
      <c r="I494" s="5" t="n">
        <v>400441</v>
      </c>
      <c r="J494" s="6" t="s">
        <v>80</v>
      </c>
      <c r="K494" s="5" t="n">
        <v>153000045</v>
      </c>
      <c r="L494" s="9" t="n">
        <v>46043</v>
      </c>
      <c r="M494" s="10" t="n">
        <v>47868</v>
      </c>
    </row>
    <row r="495" customFormat="false" ht="30" hidden="true" customHeight="true" outlineLevel="0" collapsed="false">
      <c r="A495" s="4" t="s">
        <v>13</v>
      </c>
      <c r="B495" s="4" t="s">
        <v>14</v>
      </c>
      <c r="C495" s="5" t="n">
        <v>1329001653</v>
      </c>
      <c r="D495" s="6" t="s">
        <v>519</v>
      </c>
      <c r="E495" s="6"/>
      <c r="F495" s="7" t="n">
        <v>46054.2914961921</v>
      </c>
      <c r="G495" s="7" t="n">
        <v>46054.3456534722</v>
      </c>
      <c r="H495" s="8" t="n">
        <v>4</v>
      </c>
      <c r="I495" s="5" t="n">
        <v>400432</v>
      </c>
      <c r="J495" s="6" t="s">
        <v>47</v>
      </c>
      <c r="K495" s="5" t="n">
        <v>100009635</v>
      </c>
      <c r="L495" s="9" t="n">
        <v>45875</v>
      </c>
      <c r="M495" s="10" t="n">
        <v>47700</v>
      </c>
    </row>
    <row r="496" customFormat="false" ht="30" hidden="true" customHeight="true" outlineLevel="0" collapsed="false">
      <c r="A496" s="4" t="s">
        <v>13</v>
      </c>
      <c r="B496" s="4" t="s">
        <v>14</v>
      </c>
      <c r="C496" s="5" t="n">
        <v>1329001653</v>
      </c>
      <c r="D496" s="6" t="s">
        <v>520</v>
      </c>
      <c r="E496" s="6"/>
      <c r="F496" s="7" t="n">
        <v>46054.2914961921</v>
      </c>
      <c r="G496" s="7" t="n">
        <v>46054.3428257292</v>
      </c>
      <c r="H496" s="8" t="n">
        <v>4</v>
      </c>
      <c r="I496" s="5" t="n">
        <v>400432</v>
      </c>
      <c r="J496" s="6" t="s">
        <v>47</v>
      </c>
      <c r="K496" s="5" t="n">
        <v>100009431</v>
      </c>
      <c r="L496" s="9" t="n">
        <v>45858</v>
      </c>
      <c r="M496" s="10" t="n">
        <v>47683</v>
      </c>
    </row>
    <row r="497" customFormat="false" ht="30" hidden="true" customHeight="true" outlineLevel="0" collapsed="false">
      <c r="A497" s="4" t="s">
        <v>13</v>
      </c>
      <c r="B497" s="4" t="s">
        <v>14</v>
      </c>
      <c r="C497" s="5" t="n">
        <v>1329001653</v>
      </c>
      <c r="D497" s="6" t="s">
        <v>521</v>
      </c>
      <c r="E497" s="6"/>
      <c r="F497" s="7" t="n">
        <v>46054.2914961921</v>
      </c>
      <c r="G497" s="7" t="n">
        <v>46054.3426160995</v>
      </c>
      <c r="H497" s="8" t="n">
        <v>4</v>
      </c>
      <c r="I497" s="5" t="n">
        <v>400432</v>
      </c>
      <c r="J497" s="6" t="s">
        <v>47</v>
      </c>
      <c r="K497" s="5" t="n">
        <v>100009635</v>
      </c>
      <c r="L497" s="9" t="n">
        <v>45875</v>
      </c>
      <c r="M497" s="10" t="n">
        <v>47700</v>
      </c>
    </row>
    <row r="498" customFormat="false" ht="30" hidden="true" customHeight="true" outlineLevel="0" collapsed="false">
      <c r="A498" s="4" t="s">
        <v>13</v>
      </c>
      <c r="B498" s="4" t="s">
        <v>14</v>
      </c>
      <c r="C498" s="5" t="n">
        <v>1329001653</v>
      </c>
      <c r="D498" s="6" t="s">
        <v>522</v>
      </c>
      <c r="E498" s="6"/>
      <c r="F498" s="7" t="n">
        <v>46054.2914961921</v>
      </c>
      <c r="G498" s="7" t="n">
        <v>46054.3429776852</v>
      </c>
      <c r="H498" s="8" t="n">
        <v>4</v>
      </c>
      <c r="I498" s="5" t="n">
        <v>400441</v>
      </c>
      <c r="J498" s="6" t="s">
        <v>80</v>
      </c>
      <c r="K498" s="5" t="n">
        <v>153000045</v>
      </c>
      <c r="L498" s="9" t="n">
        <v>46043</v>
      </c>
      <c r="M498" s="10" t="n">
        <v>47868</v>
      </c>
    </row>
    <row r="499" customFormat="false" ht="30" hidden="true" customHeight="true" outlineLevel="0" collapsed="false">
      <c r="A499" s="4" t="s">
        <v>13</v>
      </c>
      <c r="B499" s="4" t="s">
        <v>14</v>
      </c>
      <c r="C499" s="5" t="n">
        <v>1329001653</v>
      </c>
      <c r="D499" s="6" t="s">
        <v>523</v>
      </c>
      <c r="E499" s="6"/>
      <c r="F499" s="7" t="n">
        <v>46054.2914961921</v>
      </c>
      <c r="G499" s="7" t="n">
        <v>46054.3407061921</v>
      </c>
      <c r="H499" s="8" t="n">
        <v>4</v>
      </c>
      <c r="I499" s="5" t="n">
        <v>400441</v>
      </c>
      <c r="J499" s="6" t="s">
        <v>80</v>
      </c>
      <c r="K499" s="5" t="n">
        <v>153000045</v>
      </c>
      <c r="L499" s="9" t="n">
        <v>46043</v>
      </c>
      <c r="M499" s="10" t="n">
        <v>47868</v>
      </c>
    </row>
    <row r="500" customFormat="false" ht="30" hidden="true" customHeight="true" outlineLevel="0" collapsed="false">
      <c r="A500" s="4" t="s">
        <v>13</v>
      </c>
      <c r="B500" s="4" t="s">
        <v>14</v>
      </c>
      <c r="C500" s="5" t="n">
        <v>1329001653</v>
      </c>
      <c r="D500" s="6" t="s">
        <v>524</v>
      </c>
      <c r="E500" s="6"/>
      <c r="F500" s="7" t="n">
        <v>46054.2914961921</v>
      </c>
      <c r="G500" s="7" t="n">
        <v>46054.3446453356</v>
      </c>
      <c r="H500" s="8" t="n">
        <v>4</v>
      </c>
      <c r="I500" s="5" t="n">
        <v>400514</v>
      </c>
      <c r="J500" s="6" t="s">
        <v>16</v>
      </c>
      <c r="K500" s="5" t="n">
        <v>100010778</v>
      </c>
      <c r="L500" s="9" t="n">
        <v>45981</v>
      </c>
      <c r="M500" s="10" t="n">
        <v>47806</v>
      </c>
    </row>
    <row r="501" customFormat="false" ht="30" hidden="true" customHeight="true" outlineLevel="0" collapsed="false">
      <c r="A501" s="4" t="s">
        <v>13</v>
      </c>
      <c r="B501" s="4" t="s">
        <v>14</v>
      </c>
      <c r="C501" s="5" t="n">
        <v>1329001653</v>
      </c>
      <c r="D501" s="6" t="s">
        <v>525</v>
      </c>
      <c r="E501" s="6"/>
      <c r="F501" s="7" t="n">
        <v>46054.2914961921</v>
      </c>
      <c r="G501" s="7" t="n">
        <v>46054.3403572107</v>
      </c>
      <c r="H501" s="8" t="n">
        <v>4</v>
      </c>
      <c r="I501" s="5" t="n">
        <v>400514</v>
      </c>
      <c r="J501" s="6" t="s">
        <v>16</v>
      </c>
      <c r="K501" s="5" t="n">
        <v>100010778</v>
      </c>
      <c r="L501" s="9" t="n">
        <v>45981</v>
      </c>
      <c r="M501" s="10" t="n">
        <v>47806</v>
      </c>
    </row>
    <row r="502" customFormat="false" ht="30" hidden="true" customHeight="true" outlineLevel="0" collapsed="false">
      <c r="A502" s="4" t="s">
        <v>13</v>
      </c>
      <c r="B502" s="4" t="s">
        <v>14</v>
      </c>
      <c r="C502" s="5" t="n">
        <v>1329001653</v>
      </c>
      <c r="D502" s="6" t="s">
        <v>526</v>
      </c>
      <c r="E502" s="6"/>
      <c r="F502" s="7" t="n">
        <v>46054.2914961921</v>
      </c>
      <c r="G502" s="7" t="n">
        <v>46054.3358661227</v>
      </c>
      <c r="H502" s="8" t="n">
        <v>4</v>
      </c>
      <c r="I502" s="5" t="n">
        <v>400432</v>
      </c>
      <c r="J502" s="6" t="s">
        <v>47</v>
      </c>
      <c r="K502" s="5" t="n">
        <v>100009431</v>
      </c>
      <c r="L502" s="9" t="n">
        <v>45858</v>
      </c>
      <c r="M502" s="10" t="n">
        <v>47683</v>
      </c>
    </row>
    <row r="503" customFormat="false" ht="30" hidden="true" customHeight="true" outlineLevel="0" collapsed="false">
      <c r="A503" s="4" t="s">
        <v>13</v>
      </c>
      <c r="B503" s="4" t="s">
        <v>14</v>
      </c>
      <c r="C503" s="5" t="n">
        <v>1329001653</v>
      </c>
      <c r="D503" s="6" t="s">
        <v>527</v>
      </c>
      <c r="E503" s="6"/>
      <c r="F503" s="7" t="n">
        <v>46054.2914961921</v>
      </c>
      <c r="G503" s="7" t="n">
        <v>46054.3410814931</v>
      </c>
      <c r="H503" s="8" t="n">
        <v>4</v>
      </c>
      <c r="I503" s="5" t="n">
        <v>400432</v>
      </c>
      <c r="J503" s="6" t="s">
        <v>47</v>
      </c>
      <c r="K503" s="5" t="n">
        <v>100009468</v>
      </c>
      <c r="L503" s="9" t="n">
        <v>45860</v>
      </c>
      <c r="M503" s="10" t="n">
        <v>47685</v>
      </c>
    </row>
    <row r="504" customFormat="false" ht="30" hidden="true" customHeight="true" outlineLevel="0" collapsed="false">
      <c r="A504" s="4" t="s">
        <v>13</v>
      </c>
      <c r="B504" s="4" t="s">
        <v>14</v>
      </c>
      <c r="C504" s="5" t="n">
        <v>1329001653</v>
      </c>
      <c r="D504" s="6" t="s">
        <v>528</v>
      </c>
      <c r="E504" s="6"/>
      <c r="F504" s="7" t="n">
        <v>46054.2914961921</v>
      </c>
      <c r="G504" s="7" t="n">
        <v>46054.3376980556</v>
      </c>
      <c r="H504" s="8" t="n">
        <v>4</v>
      </c>
      <c r="I504" s="5" t="n">
        <v>400432</v>
      </c>
      <c r="J504" s="6" t="s">
        <v>47</v>
      </c>
      <c r="K504" s="5" t="n">
        <v>100011186</v>
      </c>
      <c r="L504" s="9" t="n">
        <v>46015</v>
      </c>
      <c r="M504" s="10" t="n">
        <v>47840</v>
      </c>
    </row>
    <row r="505" customFormat="false" ht="30" hidden="true" customHeight="true" outlineLevel="0" collapsed="false">
      <c r="A505" s="4" t="s">
        <v>13</v>
      </c>
      <c r="B505" s="4" t="s">
        <v>14</v>
      </c>
      <c r="C505" s="5" t="n">
        <v>1329001653</v>
      </c>
      <c r="D505" s="6" t="s">
        <v>529</v>
      </c>
      <c r="E505" s="6"/>
      <c r="F505" s="7" t="n">
        <v>46054.2914961921</v>
      </c>
      <c r="G505" s="7" t="n">
        <v>46054.3370475579</v>
      </c>
      <c r="H505" s="8" t="n">
        <v>4</v>
      </c>
      <c r="I505" s="5" t="n">
        <v>400432</v>
      </c>
      <c r="J505" s="6" t="s">
        <v>47</v>
      </c>
      <c r="K505" s="5" t="n">
        <v>100009635</v>
      </c>
      <c r="L505" s="9" t="n">
        <v>45875</v>
      </c>
      <c r="M505" s="10" t="n">
        <v>47700</v>
      </c>
    </row>
    <row r="506" customFormat="false" ht="30" hidden="true" customHeight="true" outlineLevel="0" collapsed="false">
      <c r="A506" s="4" t="s">
        <v>109</v>
      </c>
      <c r="B506" s="4" t="s">
        <v>14</v>
      </c>
      <c r="C506" s="5" t="n">
        <v>1329001650</v>
      </c>
      <c r="D506" s="6" t="s">
        <v>530</v>
      </c>
      <c r="E506" s="6"/>
      <c r="F506" s="7" t="n">
        <v>46055.4324021875</v>
      </c>
      <c r="G506" s="7" t="n">
        <v>46055.4381132755</v>
      </c>
      <c r="H506" s="8" t="n">
        <v>4</v>
      </c>
      <c r="I506" s="5" t="n">
        <v>400432</v>
      </c>
      <c r="J506" s="6" t="s">
        <v>47</v>
      </c>
      <c r="K506" s="5" t="n">
        <v>100009468</v>
      </c>
      <c r="L506" s="9" t="n">
        <v>45860</v>
      </c>
      <c r="M506" s="10" t="n">
        <v>47685</v>
      </c>
    </row>
    <row r="507" customFormat="false" ht="30" hidden="true" customHeight="true" outlineLevel="0" collapsed="false">
      <c r="A507" s="4" t="s">
        <v>109</v>
      </c>
      <c r="B507" s="4" t="s">
        <v>14</v>
      </c>
      <c r="C507" s="5" t="n">
        <v>1329001650</v>
      </c>
      <c r="D507" s="6" t="s">
        <v>531</v>
      </c>
      <c r="E507" s="6"/>
      <c r="F507" s="7" t="n">
        <v>46055.4324021875</v>
      </c>
      <c r="G507" s="7" t="n">
        <v>46055.445165625</v>
      </c>
      <c r="H507" s="8" t="n">
        <v>4</v>
      </c>
      <c r="I507" s="5" t="n">
        <v>400441</v>
      </c>
      <c r="J507" s="6" t="s">
        <v>80</v>
      </c>
      <c r="K507" s="5" t="n">
        <v>100010247</v>
      </c>
      <c r="L507" s="9"/>
      <c r="M507" s="10" t="n">
        <v>47838</v>
      </c>
    </row>
    <row r="508" customFormat="false" ht="30" hidden="true" customHeight="true" outlineLevel="0" collapsed="false">
      <c r="A508" s="4" t="s">
        <v>109</v>
      </c>
      <c r="B508" s="4" t="s">
        <v>14</v>
      </c>
      <c r="C508" s="5" t="n">
        <v>1329001650</v>
      </c>
      <c r="D508" s="6" t="s">
        <v>532</v>
      </c>
      <c r="E508" s="6"/>
      <c r="F508" s="7" t="n">
        <v>46055.4324021875</v>
      </c>
      <c r="G508" s="7" t="n">
        <v>46055.4563388773</v>
      </c>
      <c r="H508" s="8" t="n">
        <v>4</v>
      </c>
      <c r="I508" s="5" t="n">
        <v>400432</v>
      </c>
      <c r="J508" s="6" t="s">
        <v>47</v>
      </c>
      <c r="K508" s="5" t="n">
        <v>100009468</v>
      </c>
      <c r="L508" s="9" t="n">
        <v>45860</v>
      </c>
      <c r="M508" s="10" t="n">
        <v>47685</v>
      </c>
    </row>
    <row r="509" customFormat="false" ht="30" hidden="true" customHeight="true" outlineLevel="0" collapsed="false">
      <c r="A509" s="4" t="s">
        <v>109</v>
      </c>
      <c r="B509" s="4" t="s">
        <v>14</v>
      </c>
      <c r="C509" s="5" t="n">
        <v>1329001650</v>
      </c>
      <c r="D509" s="6" t="s">
        <v>533</v>
      </c>
      <c r="E509" s="6"/>
      <c r="F509" s="7" t="n">
        <v>46055.4324021875</v>
      </c>
      <c r="G509" s="7" t="n">
        <v>46055.4558419097</v>
      </c>
      <c r="H509" s="8" t="n">
        <v>4</v>
      </c>
      <c r="I509" s="5" t="n">
        <v>400432</v>
      </c>
      <c r="J509" s="6" t="s">
        <v>47</v>
      </c>
      <c r="K509" s="5" t="n">
        <v>100009431</v>
      </c>
      <c r="L509" s="9" t="n">
        <v>45858</v>
      </c>
      <c r="M509" s="10" t="n">
        <v>47683</v>
      </c>
    </row>
    <row r="510" customFormat="false" ht="30" hidden="true" customHeight="true" outlineLevel="0" collapsed="false">
      <c r="A510" s="4" t="s">
        <v>109</v>
      </c>
      <c r="B510" s="4" t="s">
        <v>14</v>
      </c>
      <c r="C510" s="5" t="n">
        <v>1329001650</v>
      </c>
      <c r="D510" s="6" t="s">
        <v>534</v>
      </c>
      <c r="E510" s="6"/>
      <c r="F510" s="7" t="n">
        <v>46055.4324021875</v>
      </c>
      <c r="G510" s="7" t="n">
        <v>46055.4546509954</v>
      </c>
      <c r="H510" s="8" t="n">
        <v>4</v>
      </c>
      <c r="I510" s="5" t="n">
        <v>400432</v>
      </c>
      <c r="J510" s="6" t="s">
        <v>47</v>
      </c>
      <c r="K510" s="5" t="n">
        <v>100009431</v>
      </c>
      <c r="L510" s="9" t="n">
        <v>45858</v>
      </c>
      <c r="M510" s="10" t="n">
        <v>47683</v>
      </c>
    </row>
    <row r="511" customFormat="false" ht="30" hidden="true" customHeight="true" outlineLevel="0" collapsed="false">
      <c r="A511" s="4" t="s">
        <v>109</v>
      </c>
      <c r="B511" s="4" t="s">
        <v>14</v>
      </c>
      <c r="C511" s="5" t="n">
        <v>1329001650</v>
      </c>
      <c r="D511" s="6" t="s">
        <v>535</v>
      </c>
      <c r="E511" s="6"/>
      <c r="F511" s="7" t="n">
        <v>46055.4324021875</v>
      </c>
      <c r="G511" s="7" t="n">
        <v>46055.4552390857</v>
      </c>
      <c r="H511" s="8" t="n">
        <v>4</v>
      </c>
      <c r="I511" s="5" t="n">
        <v>400428</v>
      </c>
      <c r="J511" s="6" t="s">
        <v>536</v>
      </c>
      <c r="K511" s="5" t="n">
        <v>100011166</v>
      </c>
      <c r="L511" s="9" t="n">
        <v>46015</v>
      </c>
      <c r="M511" s="10" t="n">
        <v>47840</v>
      </c>
    </row>
    <row r="512" customFormat="false" ht="30" hidden="true" customHeight="true" outlineLevel="0" collapsed="false">
      <c r="A512" s="4" t="s">
        <v>109</v>
      </c>
      <c r="B512" s="4" t="s">
        <v>14</v>
      </c>
      <c r="C512" s="5" t="n">
        <v>1329001650</v>
      </c>
      <c r="D512" s="6" t="s">
        <v>537</v>
      </c>
      <c r="E512" s="6"/>
      <c r="F512" s="7" t="n">
        <v>46055.4324021875</v>
      </c>
      <c r="G512" s="7" t="n">
        <v>46055.4541123495</v>
      </c>
      <c r="H512" s="8" t="n">
        <v>4</v>
      </c>
      <c r="I512" s="5" t="n">
        <v>400432</v>
      </c>
      <c r="J512" s="6" t="s">
        <v>47</v>
      </c>
      <c r="K512" s="5" t="n">
        <v>100009668</v>
      </c>
      <c r="L512" s="9" t="n">
        <v>45879</v>
      </c>
      <c r="M512" s="10" t="n">
        <v>47704</v>
      </c>
    </row>
    <row r="513" customFormat="false" ht="30" hidden="true" customHeight="true" outlineLevel="0" collapsed="false">
      <c r="A513" s="4" t="s">
        <v>109</v>
      </c>
      <c r="B513" s="4" t="s">
        <v>14</v>
      </c>
      <c r="C513" s="5" t="n">
        <v>1329001650</v>
      </c>
      <c r="D513" s="6" t="s">
        <v>538</v>
      </c>
      <c r="E513" s="6"/>
      <c r="F513" s="7" t="n">
        <v>46055.4324021875</v>
      </c>
      <c r="G513" s="7" t="n">
        <v>46055.4537332407</v>
      </c>
      <c r="H513" s="8" t="n">
        <v>4</v>
      </c>
      <c r="I513" s="5" t="n">
        <v>400428</v>
      </c>
      <c r="J513" s="6" t="s">
        <v>536</v>
      </c>
      <c r="K513" s="5" t="n">
        <v>100011166</v>
      </c>
      <c r="L513" s="9" t="n">
        <v>46015</v>
      </c>
      <c r="M513" s="10" t="n">
        <v>47840</v>
      </c>
    </row>
    <row r="514" customFormat="false" ht="30" hidden="true" customHeight="true" outlineLevel="0" collapsed="false">
      <c r="A514" s="4" t="s">
        <v>109</v>
      </c>
      <c r="B514" s="4" t="s">
        <v>14</v>
      </c>
      <c r="C514" s="5" t="n">
        <v>1329001650</v>
      </c>
      <c r="D514" s="6" t="s">
        <v>539</v>
      </c>
      <c r="E514" s="6"/>
      <c r="F514" s="7" t="n">
        <v>46055.4324021875</v>
      </c>
      <c r="G514" s="7" t="n">
        <v>46055.4532587037</v>
      </c>
      <c r="H514" s="8" t="n">
        <v>4</v>
      </c>
      <c r="I514" s="5" t="n">
        <v>400432</v>
      </c>
      <c r="J514" s="6" t="s">
        <v>47</v>
      </c>
      <c r="K514" s="5" t="n">
        <v>100009635</v>
      </c>
      <c r="L514" s="9" t="n">
        <v>45875</v>
      </c>
      <c r="M514" s="10" t="n">
        <v>47700</v>
      </c>
    </row>
    <row r="515" customFormat="false" ht="30" hidden="true" customHeight="true" outlineLevel="0" collapsed="false">
      <c r="A515" s="4" t="s">
        <v>109</v>
      </c>
      <c r="B515" s="4" t="s">
        <v>14</v>
      </c>
      <c r="C515" s="5" t="n">
        <v>1329001650</v>
      </c>
      <c r="D515" s="6" t="s">
        <v>540</v>
      </c>
      <c r="E515" s="6"/>
      <c r="F515" s="7" t="n">
        <v>46055.4324021875</v>
      </c>
      <c r="G515" s="7" t="n">
        <v>46055.4527455093</v>
      </c>
      <c r="H515" s="8" t="n">
        <v>4</v>
      </c>
      <c r="I515" s="5" t="n">
        <v>400428</v>
      </c>
      <c r="J515" s="6" t="s">
        <v>536</v>
      </c>
      <c r="K515" s="5" t="n">
        <v>100011166</v>
      </c>
      <c r="L515" s="9" t="n">
        <v>46015</v>
      </c>
      <c r="M515" s="10" t="n">
        <v>47840</v>
      </c>
    </row>
    <row r="516" customFormat="false" ht="30" hidden="true" customHeight="true" outlineLevel="0" collapsed="false">
      <c r="A516" s="4" t="s">
        <v>109</v>
      </c>
      <c r="B516" s="4" t="s">
        <v>14</v>
      </c>
      <c r="C516" s="5" t="n">
        <v>1329001650</v>
      </c>
      <c r="D516" s="6" t="s">
        <v>541</v>
      </c>
      <c r="E516" s="6"/>
      <c r="F516" s="7" t="n">
        <v>46055.4324021875</v>
      </c>
      <c r="G516" s="7" t="n">
        <v>46055.4519097106</v>
      </c>
      <c r="H516" s="8" t="n">
        <v>4</v>
      </c>
      <c r="I516" s="5" t="n">
        <v>400432</v>
      </c>
      <c r="J516" s="6" t="s">
        <v>47</v>
      </c>
      <c r="K516" s="5" t="n">
        <v>100009668</v>
      </c>
      <c r="L516" s="9" t="n">
        <v>45879</v>
      </c>
      <c r="M516" s="10" t="n">
        <v>47704</v>
      </c>
    </row>
    <row r="517" customFormat="false" ht="30" hidden="true" customHeight="true" outlineLevel="0" collapsed="false">
      <c r="A517" s="4" t="s">
        <v>109</v>
      </c>
      <c r="B517" s="4" t="s">
        <v>14</v>
      </c>
      <c r="C517" s="5" t="n">
        <v>1329001650</v>
      </c>
      <c r="D517" s="6" t="s">
        <v>542</v>
      </c>
      <c r="E517" s="6"/>
      <c r="F517" s="7" t="n">
        <v>46055.4324021875</v>
      </c>
      <c r="G517" s="7" t="n">
        <v>46055.4514224537</v>
      </c>
      <c r="H517" s="8" t="n">
        <v>4</v>
      </c>
      <c r="I517" s="5" t="n">
        <v>400428</v>
      </c>
      <c r="J517" s="6" t="s">
        <v>536</v>
      </c>
      <c r="K517" s="5" t="n">
        <v>100011166</v>
      </c>
      <c r="L517" s="9" t="n">
        <v>46015</v>
      </c>
      <c r="M517" s="10" t="n">
        <v>47840</v>
      </c>
    </row>
    <row r="518" customFormat="false" ht="30" hidden="true" customHeight="true" outlineLevel="0" collapsed="false">
      <c r="A518" s="4" t="s">
        <v>109</v>
      </c>
      <c r="B518" s="4" t="s">
        <v>14</v>
      </c>
      <c r="C518" s="5" t="n">
        <v>1329001650</v>
      </c>
      <c r="D518" s="6" t="s">
        <v>543</v>
      </c>
      <c r="E518" s="6"/>
      <c r="F518" s="7" t="n">
        <v>46055.4324021875</v>
      </c>
      <c r="G518" s="7" t="n">
        <v>46055.4506096528</v>
      </c>
      <c r="H518" s="8" t="n">
        <v>4</v>
      </c>
      <c r="I518" s="5" t="n">
        <v>400432</v>
      </c>
      <c r="J518" s="6" t="s">
        <v>47</v>
      </c>
      <c r="K518" s="5" t="n">
        <v>100009668</v>
      </c>
      <c r="L518" s="9" t="n">
        <v>45879</v>
      </c>
      <c r="M518" s="10" t="n">
        <v>47704</v>
      </c>
    </row>
    <row r="519" customFormat="false" ht="30" hidden="true" customHeight="true" outlineLevel="0" collapsed="false">
      <c r="A519" s="4" t="s">
        <v>109</v>
      </c>
      <c r="B519" s="4" t="s">
        <v>14</v>
      </c>
      <c r="C519" s="5" t="n">
        <v>1329001650</v>
      </c>
      <c r="D519" s="6" t="s">
        <v>544</v>
      </c>
      <c r="E519" s="6"/>
      <c r="F519" s="7" t="n">
        <v>46055.4324021875</v>
      </c>
      <c r="G519" s="7" t="n">
        <v>46055.45000875</v>
      </c>
      <c r="H519" s="8" t="n">
        <v>4</v>
      </c>
      <c r="I519" s="5" t="n">
        <v>400428</v>
      </c>
      <c r="J519" s="6" t="s">
        <v>536</v>
      </c>
      <c r="K519" s="5" t="n">
        <v>153000018</v>
      </c>
      <c r="L519" s="9" t="n">
        <v>45670</v>
      </c>
      <c r="M519" s="10" t="n">
        <v>47495</v>
      </c>
    </row>
    <row r="520" customFormat="false" ht="30" hidden="true" customHeight="true" outlineLevel="0" collapsed="false">
      <c r="A520" s="4" t="s">
        <v>109</v>
      </c>
      <c r="B520" s="4" t="s">
        <v>14</v>
      </c>
      <c r="C520" s="5" t="n">
        <v>1329001650</v>
      </c>
      <c r="D520" s="6" t="s">
        <v>545</v>
      </c>
      <c r="E520" s="6"/>
      <c r="F520" s="7" t="n">
        <v>46055.4324021875</v>
      </c>
      <c r="G520" s="7" t="n">
        <v>46055.4494624537</v>
      </c>
      <c r="H520" s="8" t="n">
        <v>4</v>
      </c>
      <c r="I520" s="5" t="n">
        <v>400432</v>
      </c>
      <c r="J520" s="6" t="s">
        <v>47</v>
      </c>
      <c r="K520" s="5" t="n">
        <v>100009668</v>
      </c>
      <c r="L520" s="9" t="n">
        <v>45879</v>
      </c>
      <c r="M520" s="10" t="n">
        <v>47704</v>
      </c>
    </row>
    <row r="521" customFormat="false" ht="30" hidden="true" customHeight="true" outlineLevel="0" collapsed="false">
      <c r="A521" s="4" t="s">
        <v>109</v>
      </c>
      <c r="B521" s="4" t="s">
        <v>14</v>
      </c>
      <c r="C521" s="5" t="n">
        <v>1329001650</v>
      </c>
      <c r="D521" s="6" t="s">
        <v>546</v>
      </c>
      <c r="E521" s="6"/>
      <c r="F521" s="7" t="n">
        <v>46055.4324021875</v>
      </c>
      <c r="G521" s="7" t="n">
        <v>46055.448601088</v>
      </c>
      <c r="H521" s="8" t="n">
        <v>4</v>
      </c>
      <c r="I521" s="5" t="n">
        <v>400428</v>
      </c>
      <c r="J521" s="6" t="s">
        <v>536</v>
      </c>
      <c r="K521" s="5" t="n">
        <v>153000018</v>
      </c>
      <c r="L521" s="9" t="n">
        <v>45670</v>
      </c>
      <c r="M521" s="10" t="n">
        <v>47495</v>
      </c>
    </row>
    <row r="522" customFormat="false" ht="30" hidden="true" customHeight="true" outlineLevel="0" collapsed="false">
      <c r="A522" s="4" t="s">
        <v>109</v>
      </c>
      <c r="B522" s="4" t="s">
        <v>14</v>
      </c>
      <c r="C522" s="5" t="n">
        <v>1329001650</v>
      </c>
      <c r="D522" s="6" t="s">
        <v>547</v>
      </c>
      <c r="E522" s="6"/>
      <c r="F522" s="7" t="n">
        <v>46055.4324021875</v>
      </c>
      <c r="G522" s="7" t="n">
        <v>46055.4481285648</v>
      </c>
      <c r="H522" s="8" t="n">
        <v>4</v>
      </c>
      <c r="I522" s="5" t="n">
        <v>400432</v>
      </c>
      <c r="J522" s="6" t="s">
        <v>47</v>
      </c>
      <c r="K522" s="5" t="n">
        <v>100009668</v>
      </c>
      <c r="L522" s="9" t="n">
        <v>45879</v>
      </c>
      <c r="M522" s="10" t="n">
        <v>47704</v>
      </c>
    </row>
    <row r="523" customFormat="false" ht="30" hidden="true" customHeight="true" outlineLevel="0" collapsed="false">
      <c r="A523" s="4" t="s">
        <v>109</v>
      </c>
      <c r="B523" s="4" t="s">
        <v>14</v>
      </c>
      <c r="C523" s="5" t="n">
        <v>1329001650</v>
      </c>
      <c r="D523" s="6" t="s">
        <v>548</v>
      </c>
      <c r="E523" s="6"/>
      <c r="F523" s="7" t="n">
        <v>46055.4324021875</v>
      </c>
      <c r="G523" s="7" t="n">
        <v>46055.4470453125</v>
      </c>
      <c r="H523" s="8" t="n">
        <v>4</v>
      </c>
      <c r="I523" s="5" t="n">
        <v>400432</v>
      </c>
      <c r="J523" s="6" t="s">
        <v>47</v>
      </c>
      <c r="K523" s="5" t="n">
        <v>100009635</v>
      </c>
      <c r="L523" s="9" t="n">
        <v>45875</v>
      </c>
      <c r="M523" s="10" t="n">
        <v>47700</v>
      </c>
    </row>
    <row r="524" customFormat="false" ht="30" hidden="true" customHeight="true" outlineLevel="0" collapsed="false">
      <c r="A524" s="4" t="s">
        <v>109</v>
      </c>
      <c r="B524" s="4" t="s">
        <v>14</v>
      </c>
      <c r="C524" s="5" t="n">
        <v>1329001650</v>
      </c>
      <c r="D524" s="6" t="s">
        <v>549</v>
      </c>
      <c r="E524" s="6"/>
      <c r="F524" s="7" t="n">
        <v>46055.4324021875</v>
      </c>
      <c r="G524" s="7" t="n">
        <v>46055.4466224884</v>
      </c>
      <c r="H524" s="8" t="n">
        <v>4</v>
      </c>
      <c r="I524" s="5" t="n">
        <v>400432</v>
      </c>
      <c r="J524" s="6" t="s">
        <v>47</v>
      </c>
      <c r="K524" s="5" t="n">
        <v>100009468</v>
      </c>
      <c r="L524" s="9" t="n">
        <v>45860</v>
      </c>
      <c r="M524" s="10" t="n">
        <v>47685</v>
      </c>
    </row>
    <row r="525" customFormat="false" ht="30" hidden="true" customHeight="true" outlineLevel="0" collapsed="false">
      <c r="A525" s="4" t="s">
        <v>109</v>
      </c>
      <c r="B525" s="4" t="s">
        <v>14</v>
      </c>
      <c r="C525" s="5" t="n">
        <v>1329001650</v>
      </c>
      <c r="D525" s="6" t="s">
        <v>550</v>
      </c>
      <c r="E525" s="6"/>
      <c r="F525" s="7" t="n">
        <v>46055.4324021875</v>
      </c>
      <c r="G525" s="7" t="n">
        <v>46055.4459778935</v>
      </c>
      <c r="H525" s="8" t="n">
        <v>4</v>
      </c>
      <c r="I525" s="5" t="n">
        <v>400432</v>
      </c>
      <c r="J525" s="6" t="s">
        <v>47</v>
      </c>
      <c r="K525" s="5" t="n">
        <v>100009635</v>
      </c>
      <c r="L525" s="9" t="n">
        <v>45875</v>
      </c>
      <c r="M525" s="10" t="n">
        <v>47700</v>
      </c>
    </row>
    <row r="526" customFormat="false" ht="30" hidden="true" customHeight="true" outlineLevel="0" collapsed="false">
      <c r="A526" s="4" t="s">
        <v>109</v>
      </c>
      <c r="B526" s="4" t="s">
        <v>14</v>
      </c>
      <c r="C526" s="5" t="n">
        <v>1329001650</v>
      </c>
      <c r="D526" s="6" t="s">
        <v>551</v>
      </c>
      <c r="E526" s="6"/>
      <c r="F526" s="7" t="n">
        <v>46055.4324021875</v>
      </c>
      <c r="G526" s="7" t="n">
        <v>46055.4474328704</v>
      </c>
      <c r="H526" s="8" t="n">
        <v>4</v>
      </c>
      <c r="I526" s="5" t="n">
        <v>400428</v>
      </c>
      <c r="J526" s="6" t="s">
        <v>536</v>
      </c>
      <c r="K526" s="5" t="n">
        <v>153000018</v>
      </c>
      <c r="L526" s="9" t="n">
        <v>45670</v>
      </c>
      <c r="M526" s="10" t="n">
        <v>47495</v>
      </c>
    </row>
    <row r="527" customFormat="false" ht="30" hidden="true" customHeight="true" outlineLevel="0" collapsed="false">
      <c r="A527" s="4" t="s">
        <v>109</v>
      </c>
      <c r="B527" s="4" t="s">
        <v>14</v>
      </c>
      <c r="C527" s="5" t="n">
        <v>1329001650</v>
      </c>
      <c r="D527" s="6" t="s">
        <v>552</v>
      </c>
      <c r="E527" s="6"/>
      <c r="F527" s="7" t="n">
        <v>46055.4324021875</v>
      </c>
      <c r="G527" s="7" t="n">
        <v>46055.4440306366</v>
      </c>
      <c r="H527" s="8" t="n">
        <v>4</v>
      </c>
      <c r="I527" s="5" t="n">
        <v>400428</v>
      </c>
      <c r="J527" s="6" t="s">
        <v>536</v>
      </c>
      <c r="K527" s="5" t="n">
        <v>153000018</v>
      </c>
      <c r="L527" s="9" t="n">
        <v>45670</v>
      </c>
      <c r="M527" s="10" t="n">
        <v>47495</v>
      </c>
    </row>
    <row r="528" customFormat="false" ht="30" hidden="true" customHeight="true" outlineLevel="0" collapsed="false">
      <c r="A528" s="4" t="s">
        <v>109</v>
      </c>
      <c r="B528" s="4" t="s">
        <v>14</v>
      </c>
      <c r="C528" s="5" t="n">
        <v>1329001650</v>
      </c>
      <c r="D528" s="6" t="s">
        <v>553</v>
      </c>
      <c r="E528" s="6"/>
      <c r="F528" s="7" t="n">
        <v>46055.4324021875</v>
      </c>
      <c r="G528" s="7" t="n">
        <v>46055.4445829861</v>
      </c>
      <c r="H528" s="8" t="n">
        <v>4</v>
      </c>
      <c r="I528" s="5" t="n">
        <v>400432</v>
      </c>
      <c r="J528" s="6" t="s">
        <v>47</v>
      </c>
      <c r="K528" s="5" t="n">
        <v>100009635</v>
      </c>
      <c r="L528" s="9" t="n">
        <v>45875</v>
      </c>
      <c r="M528" s="10" t="n">
        <v>47700</v>
      </c>
    </row>
    <row r="529" customFormat="false" ht="30" hidden="true" customHeight="true" outlineLevel="0" collapsed="false">
      <c r="A529" s="4" t="s">
        <v>109</v>
      </c>
      <c r="B529" s="4" t="s">
        <v>14</v>
      </c>
      <c r="C529" s="5" t="n">
        <v>1329001650</v>
      </c>
      <c r="D529" s="6" t="s">
        <v>554</v>
      </c>
      <c r="E529" s="6"/>
      <c r="F529" s="7" t="n">
        <v>46055.4324021875</v>
      </c>
      <c r="G529" s="7" t="n">
        <v>46055.4435832639</v>
      </c>
      <c r="H529" s="8" t="n">
        <v>4</v>
      </c>
      <c r="I529" s="5" t="n">
        <v>400428</v>
      </c>
      <c r="J529" s="6" t="s">
        <v>536</v>
      </c>
      <c r="K529" s="5" t="n">
        <v>153000018</v>
      </c>
      <c r="L529" s="9" t="n">
        <v>45670</v>
      </c>
      <c r="M529" s="10" t="n">
        <v>47495</v>
      </c>
    </row>
    <row r="530" customFormat="false" ht="30" hidden="true" customHeight="true" outlineLevel="0" collapsed="false">
      <c r="A530" s="4" t="s">
        <v>109</v>
      </c>
      <c r="B530" s="4" t="s">
        <v>14</v>
      </c>
      <c r="C530" s="5" t="n">
        <v>1329001650</v>
      </c>
      <c r="D530" s="6" t="s">
        <v>555</v>
      </c>
      <c r="E530" s="6"/>
      <c r="F530" s="7" t="n">
        <v>46055.4324021875</v>
      </c>
      <c r="G530" s="7" t="n">
        <v>46055.4429851968</v>
      </c>
      <c r="H530" s="8" t="n">
        <v>4</v>
      </c>
      <c r="I530" s="5" t="n">
        <v>400432</v>
      </c>
      <c r="J530" s="6" t="s">
        <v>47</v>
      </c>
      <c r="K530" s="5" t="n">
        <v>100009635</v>
      </c>
      <c r="L530" s="9" t="n">
        <v>45875</v>
      </c>
      <c r="M530" s="10" t="n">
        <v>47700</v>
      </c>
    </row>
    <row r="531" customFormat="false" ht="30" hidden="true" customHeight="true" outlineLevel="0" collapsed="false">
      <c r="A531" s="4" t="s">
        <v>109</v>
      </c>
      <c r="B531" s="4" t="s">
        <v>14</v>
      </c>
      <c r="C531" s="5" t="n">
        <v>1329001650</v>
      </c>
      <c r="D531" s="6" t="s">
        <v>556</v>
      </c>
      <c r="E531" s="6"/>
      <c r="F531" s="7" t="n">
        <v>46055.4324021875</v>
      </c>
      <c r="G531" s="7" t="n">
        <v>46055.4412621065</v>
      </c>
      <c r="H531" s="8" t="n">
        <v>4</v>
      </c>
      <c r="I531" s="5" t="n">
        <v>400432</v>
      </c>
      <c r="J531" s="6" t="s">
        <v>47</v>
      </c>
      <c r="K531" s="5" t="n">
        <v>100009468</v>
      </c>
      <c r="L531" s="9" t="n">
        <v>45860</v>
      </c>
      <c r="M531" s="10" t="n">
        <v>47685</v>
      </c>
    </row>
    <row r="532" customFormat="false" ht="30" hidden="true" customHeight="true" outlineLevel="0" collapsed="false">
      <c r="A532" s="4" t="s">
        <v>109</v>
      </c>
      <c r="B532" s="4" t="s">
        <v>14</v>
      </c>
      <c r="C532" s="5" t="n">
        <v>1329001650</v>
      </c>
      <c r="D532" s="6" t="s">
        <v>557</v>
      </c>
      <c r="E532" s="6"/>
      <c r="F532" s="7" t="n">
        <v>46055.4324021875</v>
      </c>
      <c r="G532" s="7" t="n">
        <v>46055.4403211111</v>
      </c>
      <c r="H532" s="8" t="n">
        <v>4</v>
      </c>
      <c r="I532" s="5" t="n">
        <v>400432</v>
      </c>
      <c r="J532" s="6" t="s">
        <v>47</v>
      </c>
      <c r="K532" s="5" t="n">
        <v>100011186</v>
      </c>
      <c r="L532" s="9" t="n">
        <v>46015</v>
      </c>
      <c r="M532" s="10" t="n">
        <v>47840</v>
      </c>
    </row>
    <row r="533" customFormat="false" ht="30" hidden="true" customHeight="true" outlineLevel="0" collapsed="false">
      <c r="A533" s="4" t="s">
        <v>109</v>
      </c>
      <c r="B533" s="4" t="s">
        <v>14</v>
      </c>
      <c r="C533" s="5" t="n">
        <v>1329001650</v>
      </c>
      <c r="D533" s="6" t="s">
        <v>558</v>
      </c>
      <c r="E533" s="6"/>
      <c r="F533" s="7" t="n">
        <v>46055.4324021875</v>
      </c>
      <c r="G533" s="7" t="n">
        <v>46055.4398904167</v>
      </c>
      <c r="H533" s="8" t="n">
        <v>4</v>
      </c>
      <c r="I533" s="5" t="n">
        <v>400432</v>
      </c>
      <c r="J533" s="6" t="s">
        <v>47</v>
      </c>
      <c r="K533" s="5" t="n">
        <v>100009468</v>
      </c>
      <c r="L533" s="9" t="n">
        <v>45860</v>
      </c>
      <c r="M533" s="10" t="n">
        <v>47685</v>
      </c>
    </row>
    <row r="534" customFormat="false" ht="30" hidden="true" customHeight="true" outlineLevel="0" collapsed="false">
      <c r="A534" s="4" t="s">
        <v>109</v>
      </c>
      <c r="B534" s="4" t="s">
        <v>14</v>
      </c>
      <c r="C534" s="5" t="n">
        <v>1329001650</v>
      </c>
      <c r="D534" s="6" t="s">
        <v>559</v>
      </c>
      <c r="E534" s="6"/>
      <c r="F534" s="7" t="n">
        <v>46055.4324021875</v>
      </c>
      <c r="G534" s="7" t="n">
        <v>46055.4389913079</v>
      </c>
      <c r="H534" s="8" t="n">
        <v>4</v>
      </c>
      <c r="I534" s="5" t="n">
        <v>400432</v>
      </c>
      <c r="J534" s="6" t="s">
        <v>47</v>
      </c>
      <c r="K534" s="5" t="n">
        <v>100011186</v>
      </c>
      <c r="L534" s="9" t="n">
        <v>46015</v>
      </c>
      <c r="M534" s="10" t="n">
        <v>47840</v>
      </c>
    </row>
    <row r="535" customFormat="false" ht="30" hidden="true" customHeight="true" outlineLevel="0" collapsed="false">
      <c r="A535" s="4" t="s">
        <v>109</v>
      </c>
      <c r="B535" s="4" t="s">
        <v>14</v>
      </c>
      <c r="C535" s="5" t="n">
        <v>1329001650</v>
      </c>
      <c r="D535" s="6" t="s">
        <v>560</v>
      </c>
      <c r="E535" s="6"/>
      <c r="F535" s="7" t="n">
        <v>46055.4324021875</v>
      </c>
      <c r="G535" s="7" t="n">
        <v>46055.4423263657</v>
      </c>
      <c r="H535" s="8" t="n">
        <v>4</v>
      </c>
      <c r="I535" s="5" t="n">
        <v>400428</v>
      </c>
      <c r="J535" s="6" t="s">
        <v>536</v>
      </c>
      <c r="K535" s="5" t="n">
        <v>153000018</v>
      </c>
      <c r="L535" s="9" t="n">
        <v>45670</v>
      </c>
      <c r="M535" s="10" t="n">
        <v>47495</v>
      </c>
    </row>
    <row r="536" customFormat="false" ht="30" hidden="true" customHeight="true" outlineLevel="0" collapsed="false">
      <c r="A536" s="4" t="s">
        <v>13</v>
      </c>
      <c r="B536" s="4" t="s">
        <v>14</v>
      </c>
      <c r="C536" s="5" t="n">
        <v>1329001655</v>
      </c>
      <c r="D536" s="6" t="s">
        <v>561</v>
      </c>
      <c r="E536" s="6"/>
      <c r="F536" s="7" t="n">
        <v>46056.2578912847</v>
      </c>
      <c r="G536" s="7" t="n">
        <v>46056.36504125</v>
      </c>
      <c r="H536" s="8" t="n">
        <v>4</v>
      </c>
      <c r="I536" s="5" t="n">
        <v>400903</v>
      </c>
      <c r="J536" s="6" t="s">
        <v>562</v>
      </c>
      <c r="K536" s="5" t="n">
        <v>600001026</v>
      </c>
      <c r="L536" s="9" t="n">
        <v>46043</v>
      </c>
      <c r="M536" s="10" t="n">
        <v>47868</v>
      </c>
    </row>
    <row r="537" customFormat="false" ht="30" hidden="true" customHeight="true" outlineLevel="0" collapsed="false">
      <c r="A537" s="4" t="s">
        <v>13</v>
      </c>
      <c r="B537" s="4" t="s">
        <v>14</v>
      </c>
      <c r="C537" s="5" t="n">
        <v>1329001655</v>
      </c>
      <c r="D537" s="6" t="s">
        <v>563</v>
      </c>
      <c r="E537" s="6"/>
      <c r="F537" s="7" t="n">
        <v>46056.2578912847</v>
      </c>
      <c r="G537" s="7" t="n">
        <v>46056.3649290741</v>
      </c>
      <c r="H537" s="8" t="n">
        <v>4</v>
      </c>
      <c r="I537" s="5" t="n">
        <v>400903</v>
      </c>
      <c r="J537" s="6" t="s">
        <v>562</v>
      </c>
      <c r="K537" s="5" t="n">
        <v>600001026</v>
      </c>
      <c r="L537" s="9" t="n">
        <v>46043</v>
      </c>
      <c r="M537" s="10" t="n">
        <v>47868</v>
      </c>
    </row>
    <row r="538" customFormat="false" ht="30" hidden="true" customHeight="true" outlineLevel="0" collapsed="false">
      <c r="A538" s="4" t="s">
        <v>13</v>
      </c>
      <c r="B538" s="4" t="s">
        <v>14</v>
      </c>
      <c r="C538" s="5" t="n">
        <v>1329001655</v>
      </c>
      <c r="D538" s="6" t="s">
        <v>564</v>
      </c>
      <c r="E538" s="6"/>
      <c r="F538" s="7" t="n">
        <v>46056.2578912847</v>
      </c>
      <c r="G538" s="7" t="n">
        <v>46056.3633298495</v>
      </c>
      <c r="H538" s="8" t="n">
        <v>4</v>
      </c>
      <c r="I538" s="5" t="n">
        <v>400903</v>
      </c>
      <c r="J538" s="6" t="s">
        <v>562</v>
      </c>
      <c r="K538" s="5" t="n">
        <v>600001027</v>
      </c>
      <c r="L538" s="9" t="n">
        <v>46043</v>
      </c>
      <c r="M538" s="10" t="n">
        <v>47868</v>
      </c>
    </row>
    <row r="539" customFormat="false" ht="30" hidden="true" customHeight="true" outlineLevel="0" collapsed="false">
      <c r="A539" s="4" t="s">
        <v>13</v>
      </c>
      <c r="B539" s="4" t="s">
        <v>14</v>
      </c>
      <c r="C539" s="5" t="n">
        <v>1329001655</v>
      </c>
      <c r="D539" s="6" t="s">
        <v>565</v>
      </c>
      <c r="E539" s="6"/>
      <c r="F539" s="7" t="n">
        <v>46056.2578912847</v>
      </c>
      <c r="G539" s="7" t="n">
        <v>46056.3631455787</v>
      </c>
      <c r="H539" s="8" t="n">
        <v>4</v>
      </c>
      <c r="I539" s="5" t="n">
        <v>400903</v>
      </c>
      <c r="J539" s="6" t="s">
        <v>562</v>
      </c>
      <c r="K539" s="5" t="n">
        <v>600001028</v>
      </c>
      <c r="L539" s="9" t="n">
        <v>46044</v>
      </c>
      <c r="M539" s="10" t="n">
        <v>47869</v>
      </c>
    </row>
    <row r="540" customFormat="false" ht="30" hidden="true" customHeight="true" outlineLevel="0" collapsed="false">
      <c r="A540" s="4" t="s">
        <v>13</v>
      </c>
      <c r="B540" s="4" t="s">
        <v>14</v>
      </c>
      <c r="C540" s="5" t="n">
        <v>1329001655</v>
      </c>
      <c r="D540" s="6" t="s">
        <v>566</v>
      </c>
      <c r="E540" s="6"/>
      <c r="F540" s="7" t="n">
        <v>46056.2578912847</v>
      </c>
      <c r="G540" s="7" t="n">
        <v>46056.3628790046</v>
      </c>
      <c r="H540" s="8" t="n">
        <v>4</v>
      </c>
      <c r="I540" s="5" t="n">
        <v>400903</v>
      </c>
      <c r="J540" s="6" t="s">
        <v>562</v>
      </c>
      <c r="K540" s="5" t="n">
        <v>600001027</v>
      </c>
      <c r="L540" s="9" t="n">
        <v>46043</v>
      </c>
      <c r="M540" s="10" t="n">
        <v>47868</v>
      </c>
    </row>
    <row r="541" customFormat="false" ht="30" hidden="true" customHeight="true" outlineLevel="0" collapsed="false">
      <c r="A541" s="4" t="s">
        <v>13</v>
      </c>
      <c r="B541" s="4" t="s">
        <v>14</v>
      </c>
      <c r="C541" s="5" t="n">
        <v>1329001655</v>
      </c>
      <c r="D541" s="6" t="s">
        <v>567</v>
      </c>
      <c r="E541" s="6"/>
      <c r="F541" s="7" t="n">
        <v>46056.2578912847</v>
      </c>
      <c r="G541" s="7" t="n">
        <v>46056.3617905093</v>
      </c>
      <c r="H541" s="8" t="n">
        <v>4</v>
      </c>
      <c r="I541" s="5" t="n">
        <v>400903</v>
      </c>
      <c r="J541" s="6" t="s">
        <v>562</v>
      </c>
      <c r="K541" s="5" t="n">
        <v>600001028</v>
      </c>
      <c r="L541" s="9" t="n">
        <v>46044</v>
      </c>
      <c r="M541" s="10" t="n">
        <v>47869</v>
      </c>
    </row>
    <row r="542" customFormat="false" ht="30" hidden="true" customHeight="true" outlineLevel="0" collapsed="false">
      <c r="A542" s="4" t="s">
        <v>13</v>
      </c>
      <c r="B542" s="4" t="s">
        <v>14</v>
      </c>
      <c r="C542" s="5" t="n">
        <v>1329001655</v>
      </c>
      <c r="D542" s="6" t="s">
        <v>568</v>
      </c>
      <c r="E542" s="6"/>
      <c r="F542" s="7" t="n">
        <v>46056.2578912847</v>
      </c>
      <c r="G542" s="7" t="n">
        <v>46056.3615273727</v>
      </c>
      <c r="H542" s="8" t="n">
        <v>4</v>
      </c>
      <c r="I542" s="5" t="n">
        <v>400903</v>
      </c>
      <c r="J542" s="6" t="s">
        <v>562</v>
      </c>
      <c r="K542" s="5" t="n">
        <v>600001027</v>
      </c>
      <c r="L542" s="9" t="n">
        <v>46043</v>
      </c>
      <c r="M542" s="10" t="n">
        <v>47868</v>
      </c>
    </row>
    <row r="543" customFormat="false" ht="30" hidden="true" customHeight="true" outlineLevel="0" collapsed="false">
      <c r="A543" s="4" t="s">
        <v>13</v>
      </c>
      <c r="B543" s="4" t="s">
        <v>14</v>
      </c>
      <c r="C543" s="5" t="n">
        <v>1329001655</v>
      </c>
      <c r="D543" s="6" t="s">
        <v>569</v>
      </c>
      <c r="E543" s="6"/>
      <c r="F543" s="7" t="n">
        <v>46056.2578912847</v>
      </c>
      <c r="G543" s="7" t="n">
        <v>46056.3613177778</v>
      </c>
      <c r="H543" s="8" t="n">
        <v>4</v>
      </c>
      <c r="I543" s="5" t="n">
        <v>400903</v>
      </c>
      <c r="J543" s="6" t="s">
        <v>562</v>
      </c>
      <c r="K543" s="5" t="n">
        <v>600001026</v>
      </c>
      <c r="L543" s="9" t="n">
        <v>46043</v>
      </c>
      <c r="M543" s="10" t="n">
        <v>47868</v>
      </c>
    </row>
    <row r="544" customFormat="false" ht="30" hidden="true" customHeight="true" outlineLevel="0" collapsed="false">
      <c r="A544" s="4" t="s">
        <v>13</v>
      </c>
      <c r="B544" s="4" t="s">
        <v>14</v>
      </c>
      <c r="C544" s="5" t="n">
        <v>1329001655</v>
      </c>
      <c r="D544" s="6" t="s">
        <v>570</v>
      </c>
      <c r="E544" s="6"/>
      <c r="F544" s="7" t="n">
        <v>46056.2578912847</v>
      </c>
      <c r="G544" s="7" t="n">
        <v>46056.3611431482</v>
      </c>
      <c r="H544" s="8" t="n">
        <v>4</v>
      </c>
      <c r="I544" s="5" t="n">
        <v>400903</v>
      </c>
      <c r="J544" s="6" t="s">
        <v>562</v>
      </c>
      <c r="K544" s="5" t="n">
        <v>600001027</v>
      </c>
      <c r="L544" s="9" t="n">
        <v>46043</v>
      </c>
      <c r="M544" s="10" t="n">
        <v>47868</v>
      </c>
    </row>
    <row r="545" customFormat="false" ht="30" hidden="true" customHeight="true" outlineLevel="0" collapsed="false">
      <c r="A545" s="4" t="s">
        <v>13</v>
      </c>
      <c r="B545" s="4" t="s">
        <v>14</v>
      </c>
      <c r="C545" s="5" t="n">
        <v>1329001655</v>
      </c>
      <c r="D545" s="6" t="s">
        <v>571</v>
      </c>
      <c r="E545" s="6"/>
      <c r="F545" s="7" t="n">
        <v>46056.2578912847</v>
      </c>
      <c r="G545" s="7" t="n">
        <v>46056.3603797917</v>
      </c>
      <c r="H545" s="8" t="n">
        <v>4</v>
      </c>
      <c r="I545" s="5" t="n">
        <v>400903</v>
      </c>
      <c r="J545" s="6" t="s">
        <v>562</v>
      </c>
      <c r="K545" s="5" t="n">
        <v>600001027</v>
      </c>
      <c r="L545" s="9" t="n">
        <v>46043</v>
      </c>
      <c r="M545" s="10" t="n">
        <v>47868</v>
      </c>
    </row>
    <row r="546" customFormat="false" ht="30" hidden="true" customHeight="true" outlineLevel="0" collapsed="false">
      <c r="A546" s="4" t="s">
        <v>13</v>
      </c>
      <c r="B546" s="4" t="s">
        <v>14</v>
      </c>
      <c r="C546" s="5" t="n">
        <v>1329001655</v>
      </c>
      <c r="D546" s="6" t="s">
        <v>572</v>
      </c>
      <c r="E546" s="6"/>
      <c r="F546" s="7" t="n">
        <v>46056.2578912847</v>
      </c>
      <c r="G546" s="7" t="n">
        <v>46056.3601746528</v>
      </c>
      <c r="H546" s="8" t="n">
        <v>4</v>
      </c>
      <c r="I546" s="5" t="n">
        <v>400903</v>
      </c>
      <c r="J546" s="6" t="s">
        <v>562</v>
      </c>
      <c r="K546" s="5" t="n">
        <v>600001026</v>
      </c>
      <c r="L546" s="9" t="n">
        <v>46043</v>
      </c>
      <c r="M546" s="10" t="n">
        <v>47868</v>
      </c>
    </row>
    <row r="547" customFormat="false" ht="30" hidden="true" customHeight="true" outlineLevel="0" collapsed="false">
      <c r="A547" s="4" t="s">
        <v>13</v>
      </c>
      <c r="B547" s="4" t="s">
        <v>14</v>
      </c>
      <c r="C547" s="5" t="n">
        <v>1329001655</v>
      </c>
      <c r="D547" s="6" t="s">
        <v>573</v>
      </c>
      <c r="E547" s="6"/>
      <c r="F547" s="7" t="n">
        <v>46056.2578912847</v>
      </c>
      <c r="G547" s="7" t="n">
        <v>46056.3600522222</v>
      </c>
      <c r="H547" s="8" t="n">
        <v>4</v>
      </c>
      <c r="I547" s="5" t="n">
        <v>400903</v>
      </c>
      <c r="J547" s="6" t="s">
        <v>562</v>
      </c>
      <c r="K547" s="5" t="n">
        <v>600001026</v>
      </c>
      <c r="L547" s="9" t="n">
        <v>46043</v>
      </c>
      <c r="M547" s="10" t="n">
        <v>47868</v>
      </c>
    </row>
    <row r="548" customFormat="false" ht="30" hidden="true" customHeight="true" outlineLevel="0" collapsed="false">
      <c r="A548" s="4" t="s">
        <v>13</v>
      </c>
      <c r="B548" s="4" t="s">
        <v>14</v>
      </c>
      <c r="C548" s="5" t="n">
        <v>1329001655</v>
      </c>
      <c r="D548" s="6" t="s">
        <v>574</v>
      </c>
      <c r="E548" s="6"/>
      <c r="F548" s="7" t="n">
        <v>46056.2578912847</v>
      </c>
      <c r="G548" s="7" t="n">
        <v>46056.3599281944</v>
      </c>
      <c r="H548" s="8" t="n">
        <v>4</v>
      </c>
      <c r="I548" s="5" t="n">
        <v>400903</v>
      </c>
      <c r="J548" s="6" t="s">
        <v>562</v>
      </c>
      <c r="K548" s="5" t="n">
        <v>600001026</v>
      </c>
      <c r="L548" s="9" t="n">
        <v>46043</v>
      </c>
      <c r="M548" s="10" t="n">
        <v>47868</v>
      </c>
    </row>
    <row r="549" customFormat="false" ht="30" hidden="true" customHeight="true" outlineLevel="0" collapsed="false">
      <c r="A549" s="4" t="s">
        <v>13</v>
      </c>
      <c r="B549" s="4" t="s">
        <v>14</v>
      </c>
      <c r="C549" s="5" t="n">
        <v>1329001655</v>
      </c>
      <c r="D549" s="6" t="s">
        <v>575</v>
      </c>
      <c r="E549" s="6"/>
      <c r="F549" s="7" t="n">
        <v>46056.2578912847</v>
      </c>
      <c r="G549" s="7" t="n">
        <v>46056.359760625</v>
      </c>
      <c r="H549" s="8" t="n">
        <v>4</v>
      </c>
      <c r="I549" s="5" t="n">
        <v>400903</v>
      </c>
      <c r="J549" s="6" t="s">
        <v>562</v>
      </c>
      <c r="K549" s="5" t="n">
        <v>600001026</v>
      </c>
      <c r="L549" s="9" t="n">
        <v>46043</v>
      </c>
      <c r="M549" s="10" t="n">
        <v>47868</v>
      </c>
    </row>
    <row r="550" customFormat="false" ht="30" hidden="true" customHeight="true" outlineLevel="0" collapsed="false">
      <c r="A550" s="4" t="s">
        <v>13</v>
      </c>
      <c r="B550" s="4" t="s">
        <v>14</v>
      </c>
      <c r="C550" s="5" t="n">
        <v>1329001655</v>
      </c>
      <c r="D550" s="6" t="s">
        <v>576</v>
      </c>
      <c r="E550" s="6"/>
      <c r="F550" s="7" t="n">
        <v>46056.2578912847</v>
      </c>
      <c r="G550" s="7" t="n">
        <v>46056.3596245718</v>
      </c>
      <c r="H550" s="8" t="n">
        <v>4</v>
      </c>
      <c r="I550" s="5" t="n">
        <v>400903</v>
      </c>
      <c r="J550" s="6" t="s">
        <v>562</v>
      </c>
      <c r="K550" s="5" t="n">
        <v>600001026</v>
      </c>
      <c r="L550" s="9" t="n">
        <v>46043</v>
      </c>
      <c r="M550" s="10" t="n">
        <v>47868</v>
      </c>
    </row>
    <row r="551" customFormat="false" ht="30" hidden="true" customHeight="true" outlineLevel="0" collapsed="false">
      <c r="A551" s="4" t="s">
        <v>13</v>
      </c>
      <c r="B551" s="4" t="s">
        <v>14</v>
      </c>
      <c r="C551" s="5" t="n">
        <v>1329001655</v>
      </c>
      <c r="D551" s="6" t="s">
        <v>577</v>
      </c>
      <c r="E551" s="6"/>
      <c r="F551" s="7" t="n">
        <v>46056.2578912847</v>
      </c>
      <c r="G551" s="7" t="n">
        <v>46056.3583577778</v>
      </c>
      <c r="H551" s="8" t="n">
        <v>4</v>
      </c>
      <c r="I551" s="5" t="n">
        <v>400903</v>
      </c>
      <c r="J551" s="6" t="s">
        <v>562</v>
      </c>
      <c r="K551" s="5" t="n">
        <v>600001026</v>
      </c>
      <c r="L551" s="9" t="n">
        <v>46043</v>
      </c>
      <c r="M551" s="10" t="n">
        <v>47868</v>
      </c>
    </row>
    <row r="552" customFormat="false" ht="30" hidden="true" customHeight="true" outlineLevel="0" collapsed="false">
      <c r="A552" s="4" t="s">
        <v>13</v>
      </c>
      <c r="B552" s="4" t="s">
        <v>14</v>
      </c>
      <c r="C552" s="5" t="n">
        <v>1329001655</v>
      </c>
      <c r="D552" s="6" t="s">
        <v>578</v>
      </c>
      <c r="E552" s="6"/>
      <c r="F552" s="7" t="n">
        <v>46056.2578912847</v>
      </c>
      <c r="G552" s="7" t="n">
        <v>46056.373583831</v>
      </c>
      <c r="H552" s="8" t="n">
        <v>4</v>
      </c>
      <c r="I552" s="5" t="n">
        <v>400903</v>
      </c>
      <c r="J552" s="6" t="s">
        <v>562</v>
      </c>
      <c r="K552" s="5" t="n">
        <v>600001027</v>
      </c>
      <c r="L552" s="9" t="n">
        <v>46043</v>
      </c>
      <c r="M552" s="10" t="n">
        <v>47868</v>
      </c>
    </row>
    <row r="553" customFormat="false" ht="30" hidden="true" customHeight="true" outlineLevel="0" collapsed="false">
      <c r="A553" s="4" t="s">
        <v>13</v>
      </c>
      <c r="B553" s="4" t="s">
        <v>14</v>
      </c>
      <c r="C553" s="5" t="n">
        <v>1329001655</v>
      </c>
      <c r="D553" s="6" t="s">
        <v>579</v>
      </c>
      <c r="E553" s="6"/>
      <c r="F553" s="7" t="n">
        <v>46056.2578912847</v>
      </c>
      <c r="G553" s="7" t="n">
        <v>46056.3734790046</v>
      </c>
      <c r="H553" s="8" t="n">
        <v>4</v>
      </c>
      <c r="I553" s="5" t="n">
        <v>400903</v>
      </c>
      <c r="J553" s="6" t="s">
        <v>562</v>
      </c>
      <c r="K553" s="5" t="n">
        <v>600001028</v>
      </c>
      <c r="L553" s="9" t="n">
        <v>46044</v>
      </c>
      <c r="M553" s="10" t="n">
        <v>47869</v>
      </c>
    </row>
    <row r="554" customFormat="false" ht="30" hidden="true" customHeight="true" outlineLevel="0" collapsed="false">
      <c r="A554" s="4" t="s">
        <v>13</v>
      </c>
      <c r="B554" s="4" t="s">
        <v>14</v>
      </c>
      <c r="C554" s="5" t="n">
        <v>1329001655</v>
      </c>
      <c r="D554" s="6" t="s">
        <v>580</v>
      </c>
      <c r="E554" s="6"/>
      <c r="F554" s="7" t="n">
        <v>46056.2578912847</v>
      </c>
      <c r="G554" s="7" t="n">
        <v>46056.3732180903</v>
      </c>
      <c r="H554" s="8" t="n">
        <v>4</v>
      </c>
      <c r="I554" s="5" t="n">
        <v>400903</v>
      </c>
      <c r="J554" s="6" t="s">
        <v>562</v>
      </c>
      <c r="K554" s="5" t="n">
        <v>600001028</v>
      </c>
      <c r="L554" s="9" t="n">
        <v>46044</v>
      </c>
      <c r="M554" s="10" t="n">
        <v>47869</v>
      </c>
    </row>
    <row r="555" customFormat="false" ht="30" hidden="true" customHeight="true" outlineLevel="0" collapsed="false">
      <c r="A555" s="4" t="s">
        <v>13</v>
      </c>
      <c r="B555" s="4" t="s">
        <v>14</v>
      </c>
      <c r="C555" s="5" t="n">
        <v>1329001655</v>
      </c>
      <c r="D555" s="6" t="s">
        <v>581</v>
      </c>
      <c r="E555" s="6"/>
      <c r="F555" s="7" t="n">
        <v>46056.2578912847</v>
      </c>
      <c r="G555" s="7" t="n">
        <v>46056.3730259144</v>
      </c>
      <c r="H555" s="8" t="n">
        <v>4</v>
      </c>
      <c r="I555" s="5" t="n">
        <v>400903</v>
      </c>
      <c r="J555" s="6" t="s">
        <v>562</v>
      </c>
      <c r="K555" s="5" t="n">
        <v>600001027</v>
      </c>
      <c r="L555" s="9" t="n">
        <v>46043</v>
      </c>
      <c r="M555" s="10" t="n">
        <v>47868</v>
      </c>
    </row>
    <row r="556" customFormat="false" ht="30" hidden="true" customHeight="true" outlineLevel="0" collapsed="false">
      <c r="A556" s="4" t="s">
        <v>13</v>
      </c>
      <c r="B556" s="4" t="s">
        <v>14</v>
      </c>
      <c r="C556" s="5" t="n">
        <v>1329001655</v>
      </c>
      <c r="D556" s="6" t="s">
        <v>582</v>
      </c>
      <c r="E556" s="6"/>
      <c r="F556" s="7" t="n">
        <v>46056.2578912847</v>
      </c>
      <c r="G556" s="7" t="n">
        <v>46056.3728548958</v>
      </c>
      <c r="H556" s="8" t="n">
        <v>4</v>
      </c>
      <c r="I556" s="5" t="n">
        <v>400903</v>
      </c>
      <c r="J556" s="6" t="s">
        <v>562</v>
      </c>
      <c r="K556" s="5" t="n">
        <v>600001027</v>
      </c>
      <c r="L556" s="9" t="n">
        <v>46043</v>
      </c>
      <c r="M556" s="10" t="n">
        <v>47868</v>
      </c>
    </row>
    <row r="557" customFormat="false" ht="30" hidden="true" customHeight="true" outlineLevel="0" collapsed="false">
      <c r="A557" s="4" t="s">
        <v>13</v>
      </c>
      <c r="B557" s="4" t="s">
        <v>14</v>
      </c>
      <c r="C557" s="5" t="n">
        <v>1329001655</v>
      </c>
      <c r="D557" s="6" t="s">
        <v>583</v>
      </c>
      <c r="E557" s="6"/>
      <c r="F557" s="7" t="n">
        <v>46056.2578912847</v>
      </c>
      <c r="G557" s="7" t="n">
        <v>46056.3724481944</v>
      </c>
      <c r="H557" s="8" t="n">
        <v>4</v>
      </c>
      <c r="I557" s="5" t="n">
        <v>400903</v>
      </c>
      <c r="J557" s="6" t="s">
        <v>562</v>
      </c>
      <c r="K557" s="5" t="n">
        <v>600001026</v>
      </c>
      <c r="L557" s="9" t="n">
        <v>46043</v>
      </c>
      <c r="M557" s="10" t="n">
        <v>47868</v>
      </c>
    </row>
    <row r="558" customFormat="false" ht="30" hidden="true" customHeight="true" outlineLevel="0" collapsed="false">
      <c r="A558" s="4" t="s">
        <v>13</v>
      </c>
      <c r="B558" s="4" t="s">
        <v>14</v>
      </c>
      <c r="C558" s="5" t="n">
        <v>1329001655</v>
      </c>
      <c r="D558" s="6" t="s">
        <v>584</v>
      </c>
      <c r="E558" s="6"/>
      <c r="F558" s="7" t="n">
        <v>46056.2578912847</v>
      </c>
      <c r="G558" s="7" t="n">
        <v>46056.3723204977</v>
      </c>
      <c r="H558" s="8" t="n">
        <v>4</v>
      </c>
      <c r="I558" s="5" t="n">
        <v>400903</v>
      </c>
      <c r="J558" s="6" t="s">
        <v>562</v>
      </c>
      <c r="K558" s="5" t="n">
        <v>600001027</v>
      </c>
      <c r="L558" s="9" t="n">
        <v>46043</v>
      </c>
      <c r="M558" s="10" t="n">
        <v>47868</v>
      </c>
    </row>
    <row r="559" customFormat="false" ht="30" hidden="true" customHeight="true" outlineLevel="0" collapsed="false">
      <c r="A559" s="4" t="s">
        <v>13</v>
      </c>
      <c r="B559" s="4" t="s">
        <v>14</v>
      </c>
      <c r="C559" s="5" t="n">
        <v>1329001655</v>
      </c>
      <c r="D559" s="6" t="s">
        <v>585</v>
      </c>
      <c r="E559" s="6"/>
      <c r="F559" s="7" t="n">
        <v>46056.2578912847</v>
      </c>
      <c r="G559" s="7" t="n">
        <v>46056.3721904398</v>
      </c>
      <c r="H559" s="8" t="n">
        <v>4</v>
      </c>
      <c r="I559" s="5" t="n">
        <v>400903</v>
      </c>
      <c r="J559" s="6" t="s">
        <v>562</v>
      </c>
      <c r="K559" s="5" t="n">
        <v>600001026</v>
      </c>
      <c r="L559" s="9" t="n">
        <v>46043</v>
      </c>
      <c r="M559" s="10" t="n">
        <v>47868</v>
      </c>
    </row>
    <row r="560" customFormat="false" ht="30" hidden="true" customHeight="true" outlineLevel="0" collapsed="false">
      <c r="A560" s="4" t="s">
        <v>13</v>
      </c>
      <c r="B560" s="4" t="s">
        <v>14</v>
      </c>
      <c r="C560" s="5" t="n">
        <v>1329001655</v>
      </c>
      <c r="D560" s="6" t="s">
        <v>586</v>
      </c>
      <c r="E560" s="6"/>
      <c r="F560" s="7" t="n">
        <v>46056.2578912847</v>
      </c>
      <c r="G560" s="7" t="n">
        <v>46056.372075081</v>
      </c>
      <c r="H560" s="8" t="n">
        <v>4</v>
      </c>
      <c r="I560" s="5" t="n">
        <v>400903</v>
      </c>
      <c r="J560" s="6" t="s">
        <v>562</v>
      </c>
      <c r="K560" s="5" t="n">
        <v>600001027</v>
      </c>
      <c r="L560" s="9" t="n">
        <v>46043</v>
      </c>
      <c r="M560" s="10" t="n">
        <v>47868</v>
      </c>
    </row>
    <row r="561" customFormat="false" ht="30" hidden="true" customHeight="true" outlineLevel="0" collapsed="false">
      <c r="A561" s="4" t="s">
        <v>13</v>
      </c>
      <c r="B561" s="4" t="s">
        <v>14</v>
      </c>
      <c r="C561" s="5" t="n">
        <v>1329001655</v>
      </c>
      <c r="D561" s="6" t="s">
        <v>587</v>
      </c>
      <c r="E561" s="6"/>
      <c r="F561" s="7" t="n">
        <v>46056.2578912847</v>
      </c>
      <c r="G561" s="7" t="n">
        <v>46056.3719278241</v>
      </c>
      <c r="H561" s="8" t="n">
        <v>4</v>
      </c>
      <c r="I561" s="5" t="n">
        <v>400903</v>
      </c>
      <c r="J561" s="6" t="s">
        <v>562</v>
      </c>
      <c r="K561" s="5" t="n">
        <v>600001026</v>
      </c>
      <c r="L561" s="9" t="n">
        <v>46043</v>
      </c>
      <c r="M561" s="10" t="n">
        <v>47868</v>
      </c>
    </row>
    <row r="562" customFormat="false" ht="30" hidden="true" customHeight="true" outlineLevel="0" collapsed="false">
      <c r="A562" s="4" t="s">
        <v>13</v>
      </c>
      <c r="B562" s="4" t="s">
        <v>14</v>
      </c>
      <c r="C562" s="5" t="n">
        <v>1329001655</v>
      </c>
      <c r="D562" s="6" t="s">
        <v>588</v>
      </c>
      <c r="E562" s="6"/>
      <c r="F562" s="7" t="n">
        <v>46056.2578912847</v>
      </c>
      <c r="G562" s="7" t="n">
        <v>46056.3657148148</v>
      </c>
      <c r="H562" s="8" t="n">
        <v>4</v>
      </c>
      <c r="I562" s="5" t="n">
        <v>400903</v>
      </c>
      <c r="J562" s="6" t="s">
        <v>562</v>
      </c>
      <c r="K562" s="5" t="n">
        <v>600001027</v>
      </c>
      <c r="L562" s="9" t="n">
        <v>46043</v>
      </c>
      <c r="M562" s="10" t="n">
        <v>47868</v>
      </c>
    </row>
    <row r="563" customFormat="false" ht="30" hidden="true" customHeight="true" outlineLevel="0" collapsed="false">
      <c r="A563" s="4" t="s">
        <v>13</v>
      </c>
      <c r="B563" s="4" t="s">
        <v>14</v>
      </c>
      <c r="C563" s="5" t="n">
        <v>1329001655</v>
      </c>
      <c r="D563" s="6" t="s">
        <v>589</v>
      </c>
      <c r="E563" s="6"/>
      <c r="F563" s="7" t="n">
        <v>46056.2578912847</v>
      </c>
      <c r="G563" s="7" t="n">
        <v>46056.3654489352</v>
      </c>
      <c r="H563" s="8" t="n">
        <v>4</v>
      </c>
      <c r="I563" s="5" t="n">
        <v>400903</v>
      </c>
      <c r="J563" s="6" t="s">
        <v>562</v>
      </c>
      <c r="K563" s="5" t="n">
        <v>600001026</v>
      </c>
      <c r="L563" s="9" t="n">
        <v>46043</v>
      </c>
      <c r="M563" s="10" t="n">
        <v>47868</v>
      </c>
    </row>
    <row r="564" customFormat="false" ht="30" hidden="true" customHeight="true" outlineLevel="0" collapsed="false">
      <c r="A564" s="4" t="s">
        <v>13</v>
      </c>
      <c r="B564" s="4" t="s">
        <v>14</v>
      </c>
      <c r="C564" s="5" t="n">
        <v>1329001655</v>
      </c>
      <c r="D564" s="6" t="s">
        <v>590</v>
      </c>
      <c r="E564" s="6"/>
      <c r="F564" s="7" t="n">
        <v>46056.2578912847</v>
      </c>
      <c r="G564" s="7" t="n">
        <v>46056.3653287847</v>
      </c>
      <c r="H564" s="8" t="n">
        <v>4</v>
      </c>
      <c r="I564" s="5" t="n">
        <v>400903</v>
      </c>
      <c r="J564" s="6" t="s">
        <v>562</v>
      </c>
      <c r="K564" s="5" t="n">
        <v>600001027</v>
      </c>
      <c r="L564" s="9" t="n">
        <v>46043</v>
      </c>
      <c r="M564" s="10" t="n">
        <v>47868</v>
      </c>
    </row>
    <row r="565" customFormat="false" ht="30" hidden="true" customHeight="true" outlineLevel="0" collapsed="false">
      <c r="A565" s="4" t="s">
        <v>13</v>
      </c>
      <c r="B565" s="4" t="s">
        <v>14</v>
      </c>
      <c r="C565" s="5" t="n">
        <v>1329001655</v>
      </c>
      <c r="D565" s="6" t="s">
        <v>591</v>
      </c>
      <c r="E565" s="6"/>
      <c r="F565" s="7" t="n">
        <v>46056.2578912847</v>
      </c>
      <c r="G565" s="7" t="n">
        <v>46056.3651924769</v>
      </c>
      <c r="H565" s="8" t="n">
        <v>4</v>
      </c>
      <c r="I565" s="5" t="n">
        <v>400903</v>
      </c>
      <c r="J565" s="6" t="s">
        <v>562</v>
      </c>
      <c r="K565" s="5" t="n">
        <v>600001027</v>
      </c>
      <c r="L565" s="9" t="n">
        <v>46043</v>
      </c>
      <c r="M565" s="10" t="n">
        <v>47868</v>
      </c>
    </row>
    <row r="566" customFormat="false" ht="30" hidden="true" customHeight="true" outlineLevel="0" collapsed="false">
      <c r="A566" s="4" t="s">
        <v>13</v>
      </c>
      <c r="B566" s="4" t="s">
        <v>14</v>
      </c>
      <c r="C566" s="5" t="n">
        <v>1329001656</v>
      </c>
      <c r="D566" s="6" t="s">
        <v>592</v>
      </c>
      <c r="E566" s="6"/>
      <c r="F566" s="7" t="n">
        <v>46056.2592820255</v>
      </c>
      <c r="G566" s="7" t="n">
        <v>46056.3425515046</v>
      </c>
      <c r="H566" s="8" t="n">
        <v>4</v>
      </c>
      <c r="I566" s="5" t="n">
        <v>400441</v>
      </c>
      <c r="J566" s="6" t="s">
        <v>80</v>
      </c>
      <c r="K566" s="5" t="n">
        <v>153000045</v>
      </c>
      <c r="L566" s="9" t="n">
        <v>46043</v>
      </c>
      <c r="M566" s="10" t="n">
        <v>47868</v>
      </c>
    </row>
    <row r="567" customFormat="false" ht="30" hidden="true" customHeight="true" outlineLevel="0" collapsed="false">
      <c r="A567" s="4" t="s">
        <v>13</v>
      </c>
      <c r="B567" s="4" t="s">
        <v>14</v>
      </c>
      <c r="C567" s="5" t="n">
        <v>1329001656</v>
      </c>
      <c r="D567" s="6" t="s">
        <v>593</v>
      </c>
      <c r="E567" s="6"/>
      <c r="F567" s="7" t="n">
        <v>46056.2592820255</v>
      </c>
      <c r="G567" s="7" t="n">
        <v>46056.3481237616</v>
      </c>
      <c r="H567" s="8" t="n">
        <v>4</v>
      </c>
      <c r="I567" s="5" t="n">
        <v>401047</v>
      </c>
      <c r="J567" s="6" t="s">
        <v>594</v>
      </c>
      <c r="K567" s="5" t="n">
        <v>153000041</v>
      </c>
      <c r="L567" s="9"/>
      <c r="M567" s="10" t="n">
        <v>47867</v>
      </c>
    </row>
    <row r="568" customFormat="false" ht="30" hidden="true" customHeight="true" outlineLevel="0" collapsed="false">
      <c r="A568" s="4" t="s">
        <v>13</v>
      </c>
      <c r="B568" s="4" t="s">
        <v>14</v>
      </c>
      <c r="C568" s="5" t="n">
        <v>1329001656</v>
      </c>
      <c r="D568" s="6" t="s">
        <v>595</v>
      </c>
      <c r="E568" s="6"/>
      <c r="F568" s="7" t="n">
        <v>46056.2592820255</v>
      </c>
      <c r="G568" s="7" t="n">
        <v>46056.3479410995</v>
      </c>
      <c r="H568" s="8" t="n">
        <v>4</v>
      </c>
      <c r="I568" s="5" t="n">
        <v>401047</v>
      </c>
      <c r="J568" s="6" t="s">
        <v>594</v>
      </c>
      <c r="K568" s="5" t="n">
        <v>153000041</v>
      </c>
      <c r="L568" s="9"/>
      <c r="M568" s="10" t="n">
        <v>47867</v>
      </c>
    </row>
    <row r="569" customFormat="false" ht="30" hidden="true" customHeight="true" outlineLevel="0" collapsed="false">
      <c r="A569" s="4" t="s">
        <v>13</v>
      </c>
      <c r="B569" s="4" t="s">
        <v>14</v>
      </c>
      <c r="C569" s="5" t="n">
        <v>1329001656</v>
      </c>
      <c r="D569" s="6" t="s">
        <v>596</v>
      </c>
      <c r="E569" s="6"/>
      <c r="F569" s="7" t="n">
        <v>46056.2592820255</v>
      </c>
      <c r="G569" s="7" t="n">
        <v>46056.3476183912</v>
      </c>
      <c r="H569" s="8" t="n">
        <v>4</v>
      </c>
      <c r="I569" s="5" t="n">
        <v>401047</v>
      </c>
      <c r="J569" s="6" t="s">
        <v>594</v>
      </c>
      <c r="K569" s="5" t="n">
        <v>153000041</v>
      </c>
      <c r="L569" s="9"/>
      <c r="M569" s="10" t="n">
        <v>47867</v>
      </c>
    </row>
    <row r="570" customFormat="false" ht="30" hidden="true" customHeight="true" outlineLevel="0" collapsed="false">
      <c r="A570" s="4" t="s">
        <v>13</v>
      </c>
      <c r="B570" s="4" t="s">
        <v>14</v>
      </c>
      <c r="C570" s="5" t="n">
        <v>1329001656</v>
      </c>
      <c r="D570" s="6" t="s">
        <v>597</v>
      </c>
      <c r="E570" s="6"/>
      <c r="F570" s="7" t="n">
        <v>46056.2592820255</v>
      </c>
      <c r="G570" s="7" t="n">
        <v>46056.3398645833</v>
      </c>
      <c r="H570" s="8" t="n">
        <v>4</v>
      </c>
      <c r="I570" s="5" t="n">
        <v>401047</v>
      </c>
      <c r="J570" s="6" t="s">
        <v>594</v>
      </c>
      <c r="K570" s="5" t="n">
        <v>153000041</v>
      </c>
      <c r="L570" s="9"/>
      <c r="M570" s="10" t="n">
        <v>47867</v>
      </c>
    </row>
    <row r="571" customFormat="false" ht="30" hidden="true" customHeight="true" outlineLevel="0" collapsed="false">
      <c r="A571" s="4" t="s">
        <v>13</v>
      </c>
      <c r="B571" s="4" t="s">
        <v>14</v>
      </c>
      <c r="C571" s="5" t="n">
        <v>1329001656</v>
      </c>
      <c r="D571" s="6" t="s">
        <v>598</v>
      </c>
      <c r="E571" s="6"/>
      <c r="F571" s="7" t="n">
        <v>46056.2592820255</v>
      </c>
      <c r="G571" s="7" t="n">
        <v>46056.3474129167</v>
      </c>
      <c r="H571" s="8" t="n">
        <v>4</v>
      </c>
      <c r="I571" s="5" t="n">
        <v>401047</v>
      </c>
      <c r="J571" s="6" t="s">
        <v>594</v>
      </c>
      <c r="K571" s="5" t="n">
        <v>153000041</v>
      </c>
      <c r="L571" s="9"/>
      <c r="M571" s="10" t="n">
        <v>47867</v>
      </c>
    </row>
    <row r="572" customFormat="false" ht="30" hidden="true" customHeight="true" outlineLevel="0" collapsed="false">
      <c r="A572" s="4" t="s">
        <v>13</v>
      </c>
      <c r="B572" s="4" t="s">
        <v>14</v>
      </c>
      <c r="C572" s="5" t="n">
        <v>1329001656</v>
      </c>
      <c r="D572" s="6" t="s">
        <v>599</v>
      </c>
      <c r="E572" s="6"/>
      <c r="F572" s="7" t="n">
        <v>46056.2592820255</v>
      </c>
      <c r="G572" s="7" t="n">
        <v>46056.3413100694</v>
      </c>
      <c r="H572" s="8" t="n">
        <v>4</v>
      </c>
      <c r="I572" s="5" t="n">
        <v>401047</v>
      </c>
      <c r="J572" s="6" t="s">
        <v>594</v>
      </c>
      <c r="K572" s="5" t="n">
        <v>153000041</v>
      </c>
      <c r="L572" s="9"/>
      <c r="M572" s="10" t="n">
        <v>47867</v>
      </c>
    </row>
    <row r="573" customFormat="false" ht="30" hidden="true" customHeight="true" outlineLevel="0" collapsed="false">
      <c r="A573" s="4" t="s">
        <v>13</v>
      </c>
      <c r="B573" s="4" t="s">
        <v>14</v>
      </c>
      <c r="C573" s="5" t="n">
        <v>1329001656</v>
      </c>
      <c r="D573" s="6" t="s">
        <v>600</v>
      </c>
      <c r="E573" s="6"/>
      <c r="F573" s="7" t="n">
        <v>46056.2592820255</v>
      </c>
      <c r="G573" s="7" t="n">
        <v>46056.350882338</v>
      </c>
      <c r="H573" s="8" t="n">
        <v>4</v>
      </c>
      <c r="I573" s="5" t="n">
        <v>400441</v>
      </c>
      <c r="J573" s="6" t="s">
        <v>80</v>
      </c>
      <c r="K573" s="5" t="n">
        <v>153000045</v>
      </c>
      <c r="L573" s="9" t="n">
        <v>46043</v>
      </c>
      <c r="M573" s="10" t="n">
        <v>47868</v>
      </c>
    </row>
    <row r="574" customFormat="false" ht="30" hidden="true" customHeight="true" outlineLevel="0" collapsed="false">
      <c r="A574" s="4" t="s">
        <v>13</v>
      </c>
      <c r="B574" s="4" t="s">
        <v>14</v>
      </c>
      <c r="C574" s="5" t="n">
        <v>1329001656</v>
      </c>
      <c r="D574" s="6" t="s">
        <v>601</v>
      </c>
      <c r="E574" s="6"/>
      <c r="F574" s="7" t="n">
        <v>46056.2592820255</v>
      </c>
      <c r="G574" s="7" t="n">
        <v>46056.3507196412</v>
      </c>
      <c r="H574" s="8" t="n">
        <v>4</v>
      </c>
      <c r="I574" s="5" t="n">
        <v>400441</v>
      </c>
      <c r="J574" s="6" t="s">
        <v>80</v>
      </c>
      <c r="K574" s="5" t="n">
        <v>153000045</v>
      </c>
      <c r="L574" s="9" t="n">
        <v>46043</v>
      </c>
      <c r="M574" s="10" t="n">
        <v>47868</v>
      </c>
    </row>
    <row r="575" customFormat="false" ht="30" hidden="true" customHeight="true" outlineLevel="0" collapsed="false">
      <c r="A575" s="4" t="s">
        <v>13</v>
      </c>
      <c r="B575" s="4" t="s">
        <v>14</v>
      </c>
      <c r="C575" s="5" t="n">
        <v>1329001656</v>
      </c>
      <c r="D575" s="6" t="s">
        <v>602</v>
      </c>
      <c r="E575" s="6"/>
      <c r="F575" s="7" t="n">
        <v>46056.2592820255</v>
      </c>
      <c r="G575" s="7" t="n">
        <v>46056.3504749537</v>
      </c>
      <c r="H575" s="8" t="n">
        <v>4</v>
      </c>
      <c r="I575" s="5" t="n">
        <v>400441</v>
      </c>
      <c r="J575" s="6" t="s">
        <v>80</v>
      </c>
      <c r="K575" s="5" t="n">
        <v>153000045</v>
      </c>
      <c r="L575" s="9" t="n">
        <v>46043</v>
      </c>
      <c r="M575" s="10" t="n">
        <v>47868</v>
      </c>
    </row>
    <row r="576" customFormat="false" ht="30" hidden="true" customHeight="true" outlineLevel="0" collapsed="false">
      <c r="A576" s="4" t="s">
        <v>13</v>
      </c>
      <c r="B576" s="4" t="s">
        <v>14</v>
      </c>
      <c r="C576" s="5" t="n">
        <v>1329001656</v>
      </c>
      <c r="D576" s="6" t="s">
        <v>603</v>
      </c>
      <c r="E576" s="6"/>
      <c r="F576" s="7" t="n">
        <v>46056.2592820255</v>
      </c>
      <c r="G576" s="7" t="n">
        <v>46056.3503426852</v>
      </c>
      <c r="H576" s="8" t="n">
        <v>4</v>
      </c>
      <c r="I576" s="5" t="n">
        <v>400441</v>
      </c>
      <c r="J576" s="6" t="s">
        <v>80</v>
      </c>
      <c r="K576" s="5" t="n">
        <v>153000045</v>
      </c>
      <c r="L576" s="9" t="n">
        <v>46043</v>
      </c>
      <c r="M576" s="10" t="n">
        <v>47868</v>
      </c>
    </row>
    <row r="577" customFormat="false" ht="30" hidden="true" customHeight="true" outlineLevel="0" collapsed="false">
      <c r="A577" s="4" t="s">
        <v>13</v>
      </c>
      <c r="B577" s="4" t="s">
        <v>14</v>
      </c>
      <c r="C577" s="5" t="n">
        <v>1329001656</v>
      </c>
      <c r="D577" s="6" t="s">
        <v>604</v>
      </c>
      <c r="E577" s="6"/>
      <c r="F577" s="7" t="n">
        <v>46056.2592820255</v>
      </c>
      <c r="G577" s="7" t="n">
        <v>46056.3501814931</v>
      </c>
      <c r="H577" s="8" t="n">
        <v>4</v>
      </c>
      <c r="I577" s="5" t="n">
        <v>400441</v>
      </c>
      <c r="J577" s="6" t="s">
        <v>80</v>
      </c>
      <c r="K577" s="5" t="n">
        <v>153000045</v>
      </c>
      <c r="L577" s="9" t="n">
        <v>46043</v>
      </c>
      <c r="M577" s="10" t="n">
        <v>47868</v>
      </c>
    </row>
    <row r="578" customFormat="false" ht="30" hidden="true" customHeight="true" outlineLevel="0" collapsed="false">
      <c r="A578" s="4" t="s">
        <v>13</v>
      </c>
      <c r="B578" s="4" t="s">
        <v>14</v>
      </c>
      <c r="C578" s="5" t="n">
        <v>1329001656</v>
      </c>
      <c r="D578" s="6" t="s">
        <v>605</v>
      </c>
      <c r="E578" s="6"/>
      <c r="F578" s="7" t="n">
        <v>46056.2592820255</v>
      </c>
      <c r="G578" s="7" t="n">
        <v>46056.3499433681</v>
      </c>
      <c r="H578" s="8" t="n">
        <v>4</v>
      </c>
      <c r="I578" s="5" t="n">
        <v>400441</v>
      </c>
      <c r="J578" s="6" t="s">
        <v>80</v>
      </c>
      <c r="K578" s="5" t="n">
        <v>153000045</v>
      </c>
      <c r="L578" s="9" t="n">
        <v>46043</v>
      </c>
      <c r="M578" s="10" t="n">
        <v>47868</v>
      </c>
    </row>
    <row r="579" customFormat="false" ht="30" hidden="true" customHeight="true" outlineLevel="0" collapsed="false">
      <c r="A579" s="4" t="s">
        <v>13</v>
      </c>
      <c r="B579" s="4" t="s">
        <v>14</v>
      </c>
      <c r="C579" s="5" t="n">
        <v>1329001656</v>
      </c>
      <c r="D579" s="6" t="s">
        <v>606</v>
      </c>
      <c r="E579" s="6"/>
      <c r="F579" s="7" t="n">
        <v>46056.2592820255</v>
      </c>
      <c r="G579" s="7" t="n">
        <v>46056.349821088</v>
      </c>
      <c r="H579" s="8" t="n">
        <v>4</v>
      </c>
      <c r="I579" s="5" t="n">
        <v>400441</v>
      </c>
      <c r="J579" s="6" t="s">
        <v>80</v>
      </c>
      <c r="K579" s="5" t="n">
        <v>153000045</v>
      </c>
      <c r="L579" s="9" t="n">
        <v>46043</v>
      </c>
      <c r="M579" s="10" t="n">
        <v>47868</v>
      </c>
    </row>
    <row r="580" customFormat="false" ht="30" hidden="true" customHeight="true" outlineLevel="0" collapsed="false">
      <c r="A580" s="4" t="s">
        <v>13</v>
      </c>
      <c r="B580" s="4" t="s">
        <v>14</v>
      </c>
      <c r="C580" s="5" t="n">
        <v>1329001656</v>
      </c>
      <c r="D580" s="6" t="s">
        <v>607</v>
      </c>
      <c r="E580" s="6"/>
      <c r="F580" s="7" t="n">
        <v>46056.2592820255</v>
      </c>
      <c r="G580" s="7" t="n">
        <v>46056.3496432986</v>
      </c>
      <c r="H580" s="8" t="n">
        <v>4</v>
      </c>
      <c r="I580" s="5" t="n">
        <v>400441</v>
      </c>
      <c r="J580" s="6" t="s">
        <v>80</v>
      </c>
      <c r="K580" s="5" t="n">
        <v>153000045</v>
      </c>
      <c r="L580" s="9" t="n">
        <v>46043</v>
      </c>
      <c r="M580" s="10" t="n">
        <v>47868</v>
      </c>
    </row>
    <row r="581" customFormat="false" ht="30" hidden="true" customHeight="true" outlineLevel="0" collapsed="false">
      <c r="A581" s="4" t="s">
        <v>13</v>
      </c>
      <c r="B581" s="4" t="s">
        <v>14</v>
      </c>
      <c r="C581" s="5" t="n">
        <v>1329001656</v>
      </c>
      <c r="D581" s="6" t="s">
        <v>608</v>
      </c>
      <c r="E581" s="6"/>
      <c r="F581" s="7" t="n">
        <v>46056.2592820255</v>
      </c>
      <c r="G581" s="7" t="n">
        <v>46056.3495238542</v>
      </c>
      <c r="H581" s="8" t="n">
        <v>4</v>
      </c>
      <c r="I581" s="5" t="n">
        <v>400441</v>
      </c>
      <c r="J581" s="6" t="s">
        <v>80</v>
      </c>
      <c r="K581" s="5" t="n">
        <v>153000045</v>
      </c>
      <c r="L581" s="9" t="n">
        <v>46043</v>
      </c>
      <c r="M581" s="10" t="n">
        <v>47868</v>
      </c>
    </row>
    <row r="582" customFormat="false" ht="30" hidden="true" customHeight="true" outlineLevel="0" collapsed="false">
      <c r="A582" s="4" t="s">
        <v>13</v>
      </c>
      <c r="B582" s="4" t="s">
        <v>14</v>
      </c>
      <c r="C582" s="5" t="n">
        <v>1329001656</v>
      </c>
      <c r="D582" s="6" t="s">
        <v>609</v>
      </c>
      <c r="E582" s="6"/>
      <c r="F582" s="7" t="n">
        <v>46056.2592820255</v>
      </c>
      <c r="G582" s="7" t="n">
        <v>46056.3492435185</v>
      </c>
      <c r="H582" s="8" t="n">
        <v>4</v>
      </c>
      <c r="I582" s="5" t="n">
        <v>401047</v>
      </c>
      <c r="J582" s="6" t="s">
        <v>594</v>
      </c>
      <c r="K582" s="5" t="n">
        <v>153000041</v>
      </c>
      <c r="L582" s="9" t="n">
        <v>46042</v>
      </c>
      <c r="M582" s="10" t="n">
        <v>47867</v>
      </c>
    </row>
    <row r="583" customFormat="false" ht="30" hidden="true" customHeight="true" outlineLevel="0" collapsed="false">
      <c r="A583" s="4" t="s">
        <v>13</v>
      </c>
      <c r="B583" s="4" t="s">
        <v>14</v>
      </c>
      <c r="C583" s="5" t="n">
        <v>1329001656</v>
      </c>
      <c r="D583" s="6" t="s">
        <v>610</v>
      </c>
      <c r="E583" s="6"/>
      <c r="F583" s="7" t="n">
        <v>46056.2592820255</v>
      </c>
      <c r="G583" s="7" t="n">
        <v>46056.3491239815</v>
      </c>
      <c r="H583" s="8" t="n">
        <v>4</v>
      </c>
      <c r="I583" s="5" t="n">
        <v>401047</v>
      </c>
      <c r="J583" s="6" t="s">
        <v>594</v>
      </c>
      <c r="K583" s="5" t="n">
        <v>153000041</v>
      </c>
      <c r="L583" s="9" t="n">
        <v>46042</v>
      </c>
      <c r="M583" s="10" t="n">
        <v>47867</v>
      </c>
    </row>
    <row r="584" customFormat="false" ht="30" hidden="true" customHeight="true" outlineLevel="0" collapsed="false">
      <c r="A584" s="4" t="s">
        <v>13</v>
      </c>
      <c r="B584" s="4" t="s">
        <v>14</v>
      </c>
      <c r="C584" s="5" t="n">
        <v>1329001656</v>
      </c>
      <c r="D584" s="6" t="s">
        <v>611</v>
      </c>
      <c r="E584" s="6"/>
      <c r="F584" s="7" t="n">
        <v>46056.2592820255</v>
      </c>
      <c r="G584" s="7" t="n">
        <v>46056.3489786806</v>
      </c>
      <c r="H584" s="8" t="n">
        <v>4</v>
      </c>
      <c r="I584" s="5" t="n">
        <v>401047</v>
      </c>
      <c r="J584" s="6" t="s">
        <v>594</v>
      </c>
      <c r="K584" s="5" t="n">
        <v>153000041</v>
      </c>
      <c r="L584" s="9" t="n">
        <v>46042</v>
      </c>
      <c r="M584" s="10" t="n">
        <v>47867</v>
      </c>
    </row>
    <row r="585" customFormat="false" ht="30" hidden="true" customHeight="true" outlineLevel="0" collapsed="false">
      <c r="A585" s="4" t="s">
        <v>13</v>
      </c>
      <c r="B585" s="4" t="s">
        <v>14</v>
      </c>
      <c r="C585" s="5" t="n">
        <v>1329001656</v>
      </c>
      <c r="D585" s="6" t="s">
        <v>612</v>
      </c>
      <c r="E585" s="6"/>
      <c r="F585" s="7" t="n">
        <v>46056.2592820255</v>
      </c>
      <c r="G585" s="7" t="n">
        <v>46056.3488337847</v>
      </c>
      <c r="H585" s="8" t="n">
        <v>4</v>
      </c>
      <c r="I585" s="5" t="n">
        <v>401047</v>
      </c>
      <c r="J585" s="6" t="s">
        <v>594</v>
      </c>
      <c r="K585" s="5" t="n">
        <v>153000041</v>
      </c>
      <c r="L585" s="9" t="n">
        <v>46042</v>
      </c>
      <c r="M585" s="10" t="n">
        <v>47867</v>
      </c>
    </row>
    <row r="586" customFormat="false" ht="30" hidden="true" customHeight="true" outlineLevel="0" collapsed="false">
      <c r="A586" s="4" t="s">
        <v>13</v>
      </c>
      <c r="B586" s="4" t="s">
        <v>14</v>
      </c>
      <c r="C586" s="5" t="n">
        <v>1329001656</v>
      </c>
      <c r="D586" s="6" t="s">
        <v>613</v>
      </c>
      <c r="E586" s="6"/>
      <c r="F586" s="7" t="n">
        <v>46056.2592820255</v>
      </c>
      <c r="G586" s="7" t="n">
        <v>46056.3486992245</v>
      </c>
      <c r="H586" s="8" t="n">
        <v>4</v>
      </c>
      <c r="I586" s="5" t="n">
        <v>401047</v>
      </c>
      <c r="J586" s="6" t="s">
        <v>594</v>
      </c>
      <c r="K586" s="5" t="n">
        <v>153000041</v>
      </c>
      <c r="L586" s="9" t="n">
        <v>46042</v>
      </c>
      <c r="M586" s="10" t="n">
        <v>47867</v>
      </c>
    </row>
    <row r="587" customFormat="false" ht="30" hidden="true" customHeight="true" outlineLevel="0" collapsed="false">
      <c r="A587" s="4" t="s">
        <v>13</v>
      </c>
      <c r="B587" s="4" t="s">
        <v>14</v>
      </c>
      <c r="C587" s="5" t="n">
        <v>1329001656</v>
      </c>
      <c r="D587" s="6" t="s">
        <v>614</v>
      </c>
      <c r="E587" s="6"/>
      <c r="F587" s="7" t="n">
        <v>46056.2592820255</v>
      </c>
      <c r="G587" s="7" t="n">
        <v>46056.3485557639</v>
      </c>
      <c r="H587" s="8" t="n">
        <v>4</v>
      </c>
      <c r="I587" s="5" t="n">
        <v>401047</v>
      </c>
      <c r="J587" s="6" t="s">
        <v>594</v>
      </c>
      <c r="K587" s="5" t="n">
        <v>153000041</v>
      </c>
      <c r="L587" s="9" t="n">
        <v>46042</v>
      </c>
      <c r="M587" s="10" t="n">
        <v>47867</v>
      </c>
    </row>
    <row r="588" customFormat="false" ht="30" hidden="true" customHeight="true" outlineLevel="0" collapsed="false">
      <c r="A588" s="4" t="s">
        <v>13</v>
      </c>
      <c r="B588" s="4" t="s">
        <v>14</v>
      </c>
      <c r="C588" s="5" t="n">
        <v>1329001656</v>
      </c>
      <c r="D588" s="6" t="s">
        <v>615</v>
      </c>
      <c r="E588" s="6"/>
      <c r="F588" s="7" t="n">
        <v>46056.2592820255</v>
      </c>
      <c r="G588" s="7" t="n">
        <v>46056.3484033681</v>
      </c>
      <c r="H588" s="8" t="n">
        <v>4</v>
      </c>
      <c r="I588" s="5" t="n">
        <v>401047</v>
      </c>
      <c r="J588" s="6" t="s">
        <v>594</v>
      </c>
      <c r="K588" s="5" t="n">
        <v>153000041</v>
      </c>
      <c r="L588" s="9" t="n">
        <v>46042</v>
      </c>
      <c r="M588" s="10" t="n">
        <v>47867</v>
      </c>
    </row>
    <row r="589" customFormat="false" ht="30" hidden="true" customHeight="true" outlineLevel="0" collapsed="false">
      <c r="A589" s="4" t="s">
        <v>13</v>
      </c>
      <c r="B589" s="4" t="s">
        <v>14</v>
      </c>
      <c r="C589" s="5" t="n">
        <v>1329001656</v>
      </c>
      <c r="D589" s="6" t="s">
        <v>616</v>
      </c>
      <c r="E589" s="6"/>
      <c r="F589" s="7" t="n">
        <v>46056.2592820255</v>
      </c>
      <c r="G589" s="7" t="n">
        <v>46056.3482379051</v>
      </c>
      <c r="H589" s="8" t="n">
        <v>4</v>
      </c>
      <c r="I589" s="5" t="n">
        <v>401047</v>
      </c>
      <c r="J589" s="6" t="s">
        <v>594</v>
      </c>
      <c r="K589" s="5" t="n">
        <v>153000041</v>
      </c>
      <c r="L589" s="9" t="n">
        <v>46042</v>
      </c>
      <c r="M589" s="10" t="n">
        <v>47867</v>
      </c>
    </row>
    <row r="590" customFormat="false" ht="30" hidden="true" customHeight="true" outlineLevel="0" collapsed="false">
      <c r="A590" s="4" t="s">
        <v>13</v>
      </c>
      <c r="B590" s="4" t="s">
        <v>14</v>
      </c>
      <c r="C590" s="5" t="n">
        <v>1329001656</v>
      </c>
      <c r="D590" s="6" t="s">
        <v>617</v>
      </c>
      <c r="E590" s="6"/>
      <c r="F590" s="7" t="n">
        <v>46056.2592820255</v>
      </c>
      <c r="G590" s="7" t="n">
        <v>46056.3478076505</v>
      </c>
      <c r="H590" s="8" t="n">
        <v>4</v>
      </c>
      <c r="I590" s="5" t="n">
        <v>401047</v>
      </c>
      <c r="J590" s="6" t="s">
        <v>594</v>
      </c>
      <c r="K590" s="5" t="n">
        <v>153000041</v>
      </c>
      <c r="L590" s="9" t="n">
        <v>46042</v>
      </c>
      <c r="M590" s="10" t="n">
        <v>47867</v>
      </c>
    </row>
    <row r="591" customFormat="false" ht="30" hidden="true" customHeight="true" outlineLevel="0" collapsed="false">
      <c r="A591" s="4" t="s">
        <v>13</v>
      </c>
      <c r="B591" s="4" t="s">
        <v>14</v>
      </c>
      <c r="C591" s="5" t="n">
        <v>1329001656</v>
      </c>
      <c r="D591" s="6" t="s">
        <v>618</v>
      </c>
      <c r="E591" s="6"/>
      <c r="F591" s="7" t="n">
        <v>46056.2592820255</v>
      </c>
      <c r="G591" s="7" t="n">
        <v>46056.3493745718</v>
      </c>
      <c r="H591" s="8" t="n">
        <v>4</v>
      </c>
      <c r="I591" s="5" t="n">
        <v>400441</v>
      </c>
      <c r="J591" s="6" t="s">
        <v>80</v>
      </c>
      <c r="K591" s="5" t="n">
        <v>153000045</v>
      </c>
      <c r="L591" s="9" t="n">
        <v>46043</v>
      </c>
      <c r="M591" s="10" t="n">
        <v>47868</v>
      </c>
    </row>
    <row r="592" customFormat="false" ht="30" hidden="true" customHeight="true" outlineLevel="0" collapsed="false">
      <c r="A592" s="4" t="s">
        <v>13</v>
      </c>
      <c r="B592" s="4" t="s">
        <v>14</v>
      </c>
      <c r="C592" s="5" t="n">
        <v>1329001656</v>
      </c>
      <c r="D592" s="6" t="s">
        <v>619</v>
      </c>
      <c r="E592" s="6"/>
      <c r="F592" s="7" t="n">
        <v>46056.2592820255</v>
      </c>
      <c r="G592" s="7" t="n">
        <v>46056.3443351505</v>
      </c>
      <c r="H592" s="8" t="n">
        <v>4</v>
      </c>
      <c r="I592" s="5" t="n">
        <v>400441</v>
      </c>
      <c r="J592" s="6" t="s">
        <v>80</v>
      </c>
      <c r="K592" s="5" t="n">
        <v>153000045</v>
      </c>
      <c r="L592" s="9" t="n">
        <v>46043</v>
      </c>
      <c r="M592" s="10" t="n">
        <v>47868</v>
      </c>
    </row>
    <row r="593" customFormat="false" ht="30" hidden="true" customHeight="true" outlineLevel="0" collapsed="false">
      <c r="A593" s="4" t="s">
        <v>13</v>
      </c>
      <c r="B593" s="4" t="s">
        <v>14</v>
      </c>
      <c r="C593" s="5" t="n">
        <v>1329001656</v>
      </c>
      <c r="D593" s="6" t="s">
        <v>620</v>
      </c>
      <c r="E593" s="6"/>
      <c r="F593" s="7" t="n">
        <v>46056.2592820255</v>
      </c>
      <c r="G593" s="7" t="n">
        <v>46056.3419254745</v>
      </c>
      <c r="H593" s="8" t="n">
        <v>4</v>
      </c>
      <c r="I593" s="5" t="n">
        <v>400441</v>
      </c>
      <c r="J593" s="6" t="s">
        <v>80</v>
      </c>
      <c r="K593" s="5" t="n">
        <v>153000045</v>
      </c>
      <c r="L593" s="9" t="n">
        <v>46043</v>
      </c>
      <c r="M593" s="10" t="n">
        <v>47868</v>
      </c>
    </row>
    <row r="594" customFormat="false" ht="30" hidden="true" customHeight="true" outlineLevel="0" collapsed="false">
      <c r="A594" s="4" t="s">
        <v>13</v>
      </c>
      <c r="B594" s="4" t="s">
        <v>14</v>
      </c>
      <c r="C594" s="5" t="n">
        <v>1329001656</v>
      </c>
      <c r="D594" s="6" t="s">
        <v>621</v>
      </c>
      <c r="E594" s="6"/>
      <c r="F594" s="7" t="n">
        <v>46056.2592820255</v>
      </c>
      <c r="G594" s="7" t="n">
        <v>46056.3440315972</v>
      </c>
      <c r="H594" s="8" t="n">
        <v>4</v>
      </c>
      <c r="I594" s="5" t="n">
        <v>400441</v>
      </c>
      <c r="J594" s="6" t="s">
        <v>80</v>
      </c>
      <c r="K594" s="5" t="n">
        <v>153000045</v>
      </c>
      <c r="L594" s="9" t="n">
        <v>46043</v>
      </c>
      <c r="M594" s="10" t="n">
        <v>47868</v>
      </c>
    </row>
    <row r="595" customFormat="false" ht="30" hidden="true" customHeight="true" outlineLevel="0" collapsed="false">
      <c r="A595" s="4" t="s">
        <v>13</v>
      </c>
      <c r="B595" s="4" t="s">
        <v>14</v>
      </c>
      <c r="C595" s="5" t="n">
        <v>1329001656</v>
      </c>
      <c r="D595" s="6" t="s">
        <v>622</v>
      </c>
      <c r="E595" s="6"/>
      <c r="F595" s="7" t="n">
        <v>46056.2592820255</v>
      </c>
      <c r="G595" s="7" t="n">
        <v>46056.3427616551</v>
      </c>
      <c r="H595" s="8" t="n">
        <v>4</v>
      </c>
      <c r="I595" s="5" t="n">
        <v>400441</v>
      </c>
      <c r="J595" s="6" t="s">
        <v>80</v>
      </c>
      <c r="K595" s="5" t="n">
        <v>153000045</v>
      </c>
      <c r="L595" s="9" t="n">
        <v>46043</v>
      </c>
      <c r="M595" s="10" t="n">
        <v>47868</v>
      </c>
    </row>
    <row r="596" customFormat="false" ht="30" hidden="true" customHeight="true" outlineLevel="0" collapsed="false">
      <c r="A596" s="4" t="s">
        <v>13</v>
      </c>
      <c r="B596" s="4" t="s">
        <v>14</v>
      </c>
      <c r="C596" s="5" t="n">
        <v>1329001657</v>
      </c>
      <c r="D596" s="6" t="s">
        <v>623</v>
      </c>
      <c r="E596" s="6"/>
      <c r="F596" s="7" t="n">
        <v>46056.2601958102</v>
      </c>
      <c r="G596" s="7" t="n">
        <v>46056.4176016204</v>
      </c>
      <c r="H596" s="8" t="n">
        <v>4</v>
      </c>
      <c r="I596" s="5" t="n">
        <v>400514</v>
      </c>
      <c r="J596" s="6" t="s">
        <v>16</v>
      </c>
      <c r="K596" s="5" t="n">
        <v>100010849</v>
      </c>
      <c r="L596" s="9" t="n">
        <v>45986</v>
      </c>
      <c r="M596" s="10" t="n">
        <v>47811</v>
      </c>
    </row>
    <row r="597" customFormat="false" ht="30" hidden="true" customHeight="true" outlineLevel="0" collapsed="false">
      <c r="A597" s="4" t="s">
        <v>13</v>
      </c>
      <c r="B597" s="4" t="s">
        <v>14</v>
      </c>
      <c r="C597" s="5" t="n">
        <v>1329001657</v>
      </c>
      <c r="D597" s="6" t="s">
        <v>624</v>
      </c>
      <c r="E597" s="6"/>
      <c r="F597" s="7" t="n">
        <v>46056.2601958102</v>
      </c>
      <c r="G597" s="7" t="n">
        <v>46056.4242349074</v>
      </c>
      <c r="H597" s="8" t="n">
        <v>24</v>
      </c>
      <c r="I597" s="5" t="n">
        <v>400919</v>
      </c>
      <c r="J597" s="6" t="s">
        <v>420</v>
      </c>
      <c r="K597" s="5" t="n">
        <v>153000046</v>
      </c>
      <c r="L597" s="9" t="n">
        <v>46044</v>
      </c>
      <c r="M597" s="10" t="n">
        <v>47869</v>
      </c>
    </row>
    <row r="598" customFormat="false" ht="30" hidden="true" customHeight="true" outlineLevel="0" collapsed="false">
      <c r="A598" s="4" t="s">
        <v>13</v>
      </c>
      <c r="B598" s="4" t="s">
        <v>14</v>
      </c>
      <c r="C598" s="5" t="n">
        <v>1329001657</v>
      </c>
      <c r="D598" s="6" t="s">
        <v>625</v>
      </c>
      <c r="E598" s="6"/>
      <c r="F598" s="7" t="n">
        <v>46056.2601958102</v>
      </c>
      <c r="G598" s="7" t="n">
        <v>46056.4240113079</v>
      </c>
      <c r="H598" s="8" t="n">
        <v>24</v>
      </c>
      <c r="I598" s="5" t="n">
        <v>400919</v>
      </c>
      <c r="J598" s="6" t="s">
        <v>420</v>
      </c>
      <c r="K598" s="5" t="n">
        <v>153000046</v>
      </c>
      <c r="L598" s="9" t="n">
        <v>46044</v>
      </c>
      <c r="M598" s="10" t="n">
        <v>47869</v>
      </c>
    </row>
    <row r="599" customFormat="false" ht="30" hidden="true" customHeight="true" outlineLevel="0" collapsed="false">
      <c r="A599" s="4" t="s">
        <v>13</v>
      </c>
      <c r="B599" s="4" t="s">
        <v>14</v>
      </c>
      <c r="C599" s="5" t="n">
        <v>1329001657</v>
      </c>
      <c r="D599" s="6" t="s">
        <v>626</v>
      </c>
      <c r="E599" s="6"/>
      <c r="F599" s="7" t="n">
        <v>46056.2601958102</v>
      </c>
      <c r="G599" s="7" t="n">
        <v>46056.4238678009</v>
      </c>
      <c r="H599" s="8" t="n">
        <v>24</v>
      </c>
      <c r="I599" s="5" t="n">
        <v>400919</v>
      </c>
      <c r="J599" s="6" t="s">
        <v>420</v>
      </c>
      <c r="K599" s="5" t="n">
        <v>153000046</v>
      </c>
      <c r="L599" s="9" t="n">
        <v>46044</v>
      </c>
      <c r="M599" s="10" t="n">
        <v>47869</v>
      </c>
    </row>
    <row r="600" customFormat="false" ht="30" hidden="true" customHeight="true" outlineLevel="0" collapsed="false">
      <c r="A600" s="4" t="s">
        <v>13</v>
      </c>
      <c r="B600" s="4" t="s">
        <v>14</v>
      </c>
      <c r="C600" s="5" t="n">
        <v>1329001657</v>
      </c>
      <c r="D600" s="6" t="s">
        <v>627</v>
      </c>
      <c r="E600" s="6"/>
      <c r="F600" s="7" t="n">
        <v>46056.2601958102</v>
      </c>
      <c r="G600" s="7" t="n">
        <v>46056.4237383565</v>
      </c>
      <c r="H600" s="8" t="n">
        <v>24</v>
      </c>
      <c r="I600" s="5" t="n">
        <v>400919</v>
      </c>
      <c r="J600" s="6" t="s">
        <v>420</v>
      </c>
      <c r="K600" s="5" t="n">
        <v>153000046</v>
      </c>
      <c r="L600" s="9" t="n">
        <v>46044</v>
      </c>
      <c r="M600" s="10" t="n">
        <v>47869</v>
      </c>
    </row>
    <row r="601" customFormat="false" ht="30" hidden="true" customHeight="true" outlineLevel="0" collapsed="false">
      <c r="A601" s="4" t="s">
        <v>13</v>
      </c>
      <c r="B601" s="4" t="s">
        <v>14</v>
      </c>
      <c r="C601" s="5" t="n">
        <v>1329001657</v>
      </c>
      <c r="D601" s="6" t="s">
        <v>628</v>
      </c>
      <c r="E601" s="6"/>
      <c r="F601" s="7" t="n">
        <v>46056.2601958102</v>
      </c>
      <c r="G601" s="7" t="n">
        <v>46056.4235788773</v>
      </c>
      <c r="H601" s="8" t="n">
        <v>24</v>
      </c>
      <c r="I601" s="5" t="n">
        <v>400919</v>
      </c>
      <c r="J601" s="6" t="s">
        <v>420</v>
      </c>
      <c r="K601" s="5" t="n">
        <v>153000046</v>
      </c>
      <c r="L601" s="9" t="n">
        <v>46044</v>
      </c>
      <c r="M601" s="10" t="n">
        <v>47869</v>
      </c>
    </row>
    <row r="602" customFormat="false" ht="30" hidden="true" customHeight="true" outlineLevel="0" collapsed="false">
      <c r="A602" s="4" t="s">
        <v>13</v>
      </c>
      <c r="B602" s="4" t="s">
        <v>14</v>
      </c>
      <c r="C602" s="5" t="n">
        <v>1329001657</v>
      </c>
      <c r="D602" s="6" t="s">
        <v>629</v>
      </c>
      <c r="E602" s="6"/>
      <c r="F602" s="7" t="n">
        <v>46056.2601958102</v>
      </c>
      <c r="G602" s="7" t="n">
        <v>46056.4234426042</v>
      </c>
      <c r="H602" s="8" t="n">
        <v>24</v>
      </c>
      <c r="I602" s="5" t="n">
        <v>400919</v>
      </c>
      <c r="J602" s="6" t="s">
        <v>420</v>
      </c>
      <c r="K602" s="5" t="n">
        <v>153000046</v>
      </c>
      <c r="L602" s="9" t="n">
        <v>46044</v>
      </c>
      <c r="M602" s="10" t="n">
        <v>47869</v>
      </c>
    </row>
    <row r="603" customFormat="false" ht="30" hidden="true" customHeight="true" outlineLevel="0" collapsed="false">
      <c r="A603" s="4" t="s">
        <v>13</v>
      </c>
      <c r="B603" s="4" t="s">
        <v>14</v>
      </c>
      <c r="C603" s="5" t="n">
        <v>1329001657</v>
      </c>
      <c r="D603" s="6" t="s">
        <v>630</v>
      </c>
      <c r="E603" s="6"/>
      <c r="F603" s="7" t="n">
        <v>46056.2601958102</v>
      </c>
      <c r="G603" s="7" t="n">
        <v>46056.4232353009</v>
      </c>
      <c r="H603" s="8" t="n">
        <v>24</v>
      </c>
      <c r="I603" s="5" t="n">
        <v>400919</v>
      </c>
      <c r="J603" s="6" t="s">
        <v>420</v>
      </c>
      <c r="K603" s="5" t="n">
        <v>153000046</v>
      </c>
      <c r="L603" s="9" t="n">
        <v>46044</v>
      </c>
      <c r="M603" s="10" t="n">
        <v>47869</v>
      </c>
    </row>
    <row r="604" customFormat="false" ht="30" hidden="true" customHeight="true" outlineLevel="0" collapsed="false">
      <c r="A604" s="4" t="s">
        <v>13</v>
      </c>
      <c r="B604" s="4" t="s">
        <v>14</v>
      </c>
      <c r="C604" s="5" t="n">
        <v>1329001657</v>
      </c>
      <c r="D604" s="6" t="s">
        <v>631</v>
      </c>
      <c r="E604" s="6"/>
      <c r="F604" s="7" t="n">
        <v>46056.2601958102</v>
      </c>
      <c r="G604" s="7" t="n">
        <v>46056.4231345718</v>
      </c>
      <c r="H604" s="8" t="n">
        <v>24</v>
      </c>
      <c r="I604" s="5" t="n">
        <v>400919</v>
      </c>
      <c r="J604" s="6" t="s">
        <v>420</v>
      </c>
      <c r="K604" s="5" t="n">
        <v>153000046</v>
      </c>
      <c r="L604" s="9" t="n">
        <v>46044</v>
      </c>
      <c r="M604" s="10" t="n">
        <v>47869</v>
      </c>
    </row>
    <row r="605" customFormat="false" ht="30" hidden="true" customHeight="true" outlineLevel="0" collapsed="false">
      <c r="A605" s="4" t="s">
        <v>13</v>
      </c>
      <c r="B605" s="4" t="s">
        <v>14</v>
      </c>
      <c r="C605" s="5" t="n">
        <v>1329001657</v>
      </c>
      <c r="D605" s="6" t="s">
        <v>632</v>
      </c>
      <c r="E605" s="6"/>
      <c r="F605" s="7" t="n">
        <v>46056.2601958102</v>
      </c>
      <c r="G605" s="7" t="n">
        <v>46056.4230205903</v>
      </c>
      <c r="H605" s="8" t="n">
        <v>24</v>
      </c>
      <c r="I605" s="5" t="n">
        <v>400919</v>
      </c>
      <c r="J605" s="6" t="s">
        <v>420</v>
      </c>
      <c r="K605" s="5" t="n">
        <v>153000046</v>
      </c>
      <c r="L605" s="9" t="n">
        <v>46044</v>
      </c>
      <c r="M605" s="10" t="n">
        <v>47869</v>
      </c>
    </row>
    <row r="606" customFormat="false" ht="30" hidden="true" customHeight="true" outlineLevel="0" collapsed="false">
      <c r="A606" s="4" t="s">
        <v>13</v>
      </c>
      <c r="B606" s="4" t="s">
        <v>14</v>
      </c>
      <c r="C606" s="5" t="n">
        <v>1329001657</v>
      </c>
      <c r="D606" s="6" t="s">
        <v>633</v>
      </c>
      <c r="E606" s="6"/>
      <c r="F606" s="7" t="n">
        <v>46056.2601958102</v>
      </c>
      <c r="G606" s="7" t="n">
        <v>46056.422899456</v>
      </c>
      <c r="H606" s="8" t="n">
        <v>24</v>
      </c>
      <c r="I606" s="5" t="n">
        <v>400919</v>
      </c>
      <c r="J606" s="6" t="s">
        <v>420</v>
      </c>
      <c r="K606" s="5" t="n">
        <v>153000046</v>
      </c>
      <c r="L606" s="9" t="n">
        <v>46044</v>
      </c>
      <c r="M606" s="10" t="n">
        <v>47869</v>
      </c>
    </row>
    <row r="607" customFormat="false" ht="30" hidden="true" customHeight="true" outlineLevel="0" collapsed="false">
      <c r="A607" s="4" t="s">
        <v>13</v>
      </c>
      <c r="B607" s="4" t="s">
        <v>14</v>
      </c>
      <c r="C607" s="5" t="n">
        <v>1329001657</v>
      </c>
      <c r="D607" s="6" t="s">
        <v>634</v>
      </c>
      <c r="E607" s="6"/>
      <c r="F607" s="7" t="n">
        <v>46056.2601958102</v>
      </c>
      <c r="G607" s="7" t="n">
        <v>46056.4227296412</v>
      </c>
      <c r="H607" s="8" t="n">
        <v>24</v>
      </c>
      <c r="I607" s="5" t="n">
        <v>400919</v>
      </c>
      <c r="J607" s="6" t="s">
        <v>420</v>
      </c>
      <c r="K607" s="5" t="n">
        <v>153000046</v>
      </c>
      <c r="L607" s="9" t="n">
        <v>46044</v>
      </c>
      <c r="M607" s="10" t="n">
        <v>47869</v>
      </c>
    </row>
    <row r="608" customFormat="false" ht="30" hidden="true" customHeight="true" outlineLevel="0" collapsed="false">
      <c r="A608" s="4" t="s">
        <v>13</v>
      </c>
      <c r="B608" s="4" t="s">
        <v>14</v>
      </c>
      <c r="C608" s="5" t="n">
        <v>1329001657</v>
      </c>
      <c r="D608" s="6" t="s">
        <v>635</v>
      </c>
      <c r="E608" s="6"/>
      <c r="F608" s="7" t="n">
        <v>46056.2601958102</v>
      </c>
      <c r="G608" s="7" t="n">
        <v>46056.422611412</v>
      </c>
      <c r="H608" s="8" t="n">
        <v>24</v>
      </c>
      <c r="I608" s="5" t="n">
        <v>400919</v>
      </c>
      <c r="J608" s="6" t="s">
        <v>420</v>
      </c>
      <c r="K608" s="5" t="n">
        <v>153000046</v>
      </c>
      <c r="L608" s="9" t="n">
        <v>46044</v>
      </c>
      <c r="M608" s="10" t="n">
        <v>47869</v>
      </c>
    </row>
    <row r="609" customFormat="false" ht="30" hidden="true" customHeight="true" outlineLevel="0" collapsed="false">
      <c r="A609" s="4" t="s">
        <v>13</v>
      </c>
      <c r="B609" s="4" t="s">
        <v>14</v>
      </c>
      <c r="C609" s="5" t="n">
        <v>1329001657</v>
      </c>
      <c r="D609" s="6" t="s">
        <v>636</v>
      </c>
      <c r="E609" s="6"/>
      <c r="F609" s="7" t="n">
        <v>46056.2601958102</v>
      </c>
      <c r="G609" s="7" t="n">
        <v>46056.4205782639</v>
      </c>
      <c r="H609" s="8" t="n">
        <v>4</v>
      </c>
      <c r="I609" s="5" t="n">
        <v>400514</v>
      </c>
      <c r="J609" s="6" t="s">
        <v>16</v>
      </c>
      <c r="K609" s="5" t="n">
        <v>100010849</v>
      </c>
      <c r="L609" s="9" t="n">
        <v>45986</v>
      </c>
      <c r="M609" s="10" t="n">
        <v>47811</v>
      </c>
    </row>
    <row r="610" customFormat="false" ht="30" hidden="true" customHeight="true" outlineLevel="0" collapsed="false">
      <c r="A610" s="4" t="s">
        <v>13</v>
      </c>
      <c r="B610" s="4" t="s">
        <v>14</v>
      </c>
      <c r="C610" s="5" t="n">
        <v>1329001657</v>
      </c>
      <c r="D610" s="6" t="s">
        <v>637</v>
      </c>
      <c r="E610" s="6"/>
      <c r="F610" s="7" t="n">
        <v>46056.2601958102</v>
      </c>
      <c r="G610" s="7" t="n">
        <v>46056.420470787</v>
      </c>
      <c r="H610" s="8" t="n">
        <v>4</v>
      </c>
      <c r="I610" s="5" t="n">
        <v>400514</v>
      </c>
      <c r="J610" s="6" t="s">
        <v>16</v>
      </c>
      <c r="K610" s="5" t="n">
        <v>100010849</v>
      </c>
      <c r="L610" s="9" t="n">
        <v>45986</v>
      </c>
      <c r="M610" s="10" t="n">
        <v>47811</v>
      </c>
    </row>
    <row r="611" customFormat="false" ht="30" hidden="true" customHeight="true" outlineLevel="0" collapsed="false">
      <c r="A611" s="4" t="s">
        <v>13</v>
      </c>
      <c r="B611" s="4" t="s">
        <v>14</v>
      </c>
      <c r="C611" s="5" t="n">
        <v>1329001657</v>
      </c>
      <c r="D611" s="6" t="s">
        <v>638</v>
      </c>
      <c r="E611" s="6"/>
      <c r="F611" s="7" t="n">
        <v>46056.2601958102</v>
      </c>
      <c r="G611" s="7" t="n">
        <v>46056.4202045486</v>
      </c>
      <c r="H611" s="8" t="n">
        <v>4</v>
      </c>
      <c r="I611" s="5" t="n">
        <v>400514</v>
      </c>
      <c r="J611" s="6" t="s">
        <v>16</v>
      </c>
      <c r="K611" s="5" t="n">
        <v>100010849</v>
      </c>
      <c r="L611" s="9" t="n">
        <v>45986</v>
      </c>
      <c r="M611" s="10" t="n">
        <v>47811</v>
      </c>
    </row>
    <row r="612" customFormat="false" ht="30" hidden="true" customHeight="true" outlineLevel="0" collapsed="false">
      <c r="A612" s="4" t="s">
        <v>13</v>
      </c>
      <c r="B612" s="4" t="s">
        <v>14</v>
      </c>
      <c r="C612" s="5" t="n">
        <v>1329001657</v>
      </c>
      <c r="D612" s="6" t="s">
        <v>639</v>
      </c>
      <c r="E612" s="6"/>
      <c r="F612" s="7" t="n">
        <v>46056.2601958102</v>
      </c>
      <c r="G612" s="7" t="n">
        <v>46056.4196071296</v>
      </c>
      <c r="H612" s="8" t="n">
        <v>4</v>
      </c>
      <c r="I612" s="5" t="n">
        <v>400514</v>
      </c>
      <c r="J612" s="6" t="s">
        <v>16</v>
      </c>
      <c r="K612" s="5" t="n">
        <v>100010849</v>
      </c>
      <c r="L612" s="9" t="n">
        <v>45986</v>
      </c>
      <c r="M612" s="10" t="n">
        <v>47811</v>
      </c>
    </row>
    <row r="613" customFormat="false" ht="30" hidden="true" customHeight="true" outlineLevel="0" collapsed="false">
      <c r="A613" s="4" t="s">
        <v>13</v>
      </c>
      <c r="B613" s="4" t="s">
        <v>14</v>
      </c>
      <c r="C613" s="5" t="n">
        <v>1329001657</v>
      </c>
      <c r="D613" s="6" t="s">
        <v>640</v>
      </c>
      <c r="E613" s="6"/>
      <c r="F613" s="7" t="n">
        <v>46056.2601958102</v>
      </c>
      <c r="G613" s="7" t="n">
        <v>46056.4194329514</v>
      </c>
      <c r="H613" s="8" t="n">
        <v>4</v>
      </c>
      <c r="I613" s="5" t="n">
        <v>400514</v>
      </c>
      <c r="J613" s="6" t="s">
        <v>16</v>
      </c>
      <c r="K613" s="5" t="n">
        <v>100010849</v>
      </c>
      <c r="L613" s="9" t="n">
        <v>45986</v>
      </c>
      <c r="M613" s="10" t="n">
        <v>47811</v>
      </c>
    </row>
    <row r="614" customFormat="false" ht="30" hidden="true" customHeight="true" outlineLevel="0" collapsed="false">
      <c r="A614" s="4" t="s">
        <v>13</v>
      </c>
      <c r="B614" s="4" t="s">
        <v>14</v>
      </c>
      <c r="C614" s="5" t="n">
        <v>1329001657</v>
      </c>
      <c r="D614" s="6" t="s">
        <v>641</v>
      </c>
      <c r="E614" s="6"/>
      <c r="F614" s="7" t="n">
        <v>46056.2601958102</v>
      </c>
      <c r="G614" s="7" t="n">
        <v>46056.4192210532</v>
      </c>
      <c r="H614" s="8" t="n">
        <v>4</v>
      </c>
      <c r="I614" s="5" t="n">
        <v>400514</v>
      </c>
      <c r="J614" s="6" t="s">
        <v>16</v>
      </c>
      <c r="K614" s="5" t="n">
        <v>100010849</v>
      </c>
      <c r="L614" s="9" t="n">
        <v>45986</v>
      </c>
      <c r="M614" s="10" t="n">
        <v>47811</v>
      </c>
    </row>
    <row r="615" customFormat="false" ht="30" hidden="true" customHeight="true" outlineLevel="0" collapsed="false">
      <c r="A615" s="4" t="s">
        <v>13</v>
      </c>
      <c r="B615" s="4" t="s">
        <v>14</v>
      </c>
      <c r="C615" s="5" t="n">
        <v>1329001657</v>
      </c>
      <c r="D615" s="6" t="s">
        <v>642</v>
      </c>
      <c r="E615" s="6"/>
      <c r="F615" s="7" t="n">
        <v>46056.2601958102</v>
      </c>
      <c r="G615" s="7" t="n">
        <v>46056.4187188079</v>
      </c>
      <c r="H615" s="8" t="n">
        <v>4</v>
      </c>
      <c r="I615" s="5" t="n">
        <v>400514</v>
      </c>
      <c r="J615" s="6" t="s">
        <v>16</v>
      </c>
      <c r="K615" s="5" t="n">
        <v>100010849</v>
      </c>
      <c r="L615" s="9" t="n">
        <v>45986</v>
      </c>
      <c r="M615" s="10" t="n">
        <v>47811</v>
      </c>
    </row>
    <row r="616" customFormat="false" ht="30" hidden="true" customHeight="true" outlineLevel="0" collapsed="false">
      <c r="A616" s="4" t="s">
        <v>13</v>
      </c>
      <c r="B616" s="4" t="s">
        <v>14</v>
      </c>
      <c r="C616" s="5" t="n">
        <v>1329001657</v>
      </c>
      <c r="D616" s="6" t="s">
        <v>643</v>
      </c>
      <c r="E616" s="6"/>
      <c r="F616" s="7" t="n">
        <v>46056.2601958102</v>
      </c>
      <c r="G616" s="7" t="n">
        <v>46056.4181396644</v>
      </c>
      <c r="H616" s="8" t="n">
        <v>4</v>
      </c>
      <c r="I616" s="5" t="n">
        <v>400514</v>
      </c>
      <c r="J616" s="6" t="s">
        <v>16</v>
      </c>
      <c r="K616" s="5" t="n">
        <v>100010849</v>
      </c>
      <c r="L616" s="9" t="n">
        <v>45986</v>
      </c>
      <c r="M616" s="10" t="n">
        <v>47811</v>
      </c>
    </row>
    <row r="617" customFormat="false" ht="30" hidden="true" customHeight="true" outlineLevel="0" collapsed="false">
      <c r="A617" s="4" t="s">
        <v>13</v>
      </c>
      <c r="B617" s="4" t="s">
        <v>14</v>
      </c>
      <c r="C617" s="5" t="n">
        <v>1329001657</v>
      </c>
      <c r="D617" s="6" t="s">
        <v>644</v>
      </c>
      <c r="E617" s="6"/>
      <c r="F617" s="7" t="n">
        <v>46056.2601958102</v>
      </c>
      <c r="G617" s="7" t="n">
        <v>46056.424558588</v>
      </c>
      <c r="H617" s="8" t="n">
        <v>24</v>
      </c>
      <c r="I617" s="5" t="n">
        <v>400919</v>
      </c>
      <c r="J617" s="6" t="s">
        <v>420</v>
      </c>
      <c r="K617" s="5" t="n">
        <v>153000046</v>
      </c>
      <c r="L617" s="9" t="n">
        <v>46044</v>
      </c>
      <c r="M617" s="10" t="n">
        <v>47869</v>
      </c>
    </row>
    <row r="618" customFormat="false" ht="30" hidden="true" customHeight="true" outlineLevel="0" collapsed="false">
      <c r="A618" s="4" t="s">
        <v>13</v>
      </c>
      <c r="B618" s="4" t="s">
        <v>14</v>
      </c>
      <c r="C618" s="5" t="n">
        <v>1329001657</v>
      </c>
      <c r="D618" s="6" t="s">
        <v>645</v>
      </c>
      <c r="E618" s="6"/>
      <c r="F618" s="7" t="n">
        <v>46056.2601958102</v>
      </c>
      <c r="G618" s="7" t="n">
        <v>46056.4243719329</v>
      </c>
      <c r="H618" s="8" t="n">
        <v>24</v>
      </c>
      <c r="I618" s="5" t="n">
        <v>400919</v>
      </c>
      <c r="J618" s="6" t="s">
        <v>420</v>
      </c>
      <c r="K618" s="5" t="n">
        <v>153000046</v>
      </c>
      <c r="L618" s="9" t="n">
        <v>46044</v>
      </c>
      <c r="M618" s="10" t="n">
        <v>47869</v>
      </c>
    </row>
    <row r="619" customFormat="false" ht="30" hidden="true" customHeight="true" outlineLevel="0" collapsed="false">
      <c r="A619" s="4" t="s">
        <v>13</v>
      </c>
      <c r="B619" s="4" t="s">
        <v>14</v>
      </c>
      <c r="C619" s="5" t="n">
        <v>1329001657</v>
      </c>
      <c r="D619" s="6" t="s">
        <v>646</v>
      </c>
      <c r="E619" s="6"/>
      <c r="F619" s="7" t="n">
        <v>46056.2601958102</v>
      </c>
      <c r="G619" s="7" t="n">
        <v>46056.4218065741</v>
      </c>
      <c r="H619" s="8" t="n">
        <v>24</v>
      </c>
      <c r="I619" s="5" t="n">
        <v>400919</v>
      </c>
      <c r="J619" s="6" t="s">
        <v>420</v>
      </c>
      <c r="K619" s="5" t="n">
        <v>153000046</v>
      </c>
      <c r="L619" s="9" t="n">
        <v>46044</v>
      </c>
      <c r="M619" s="10" t="n">
        <v>47869</v>
      </c>
    </row>
    <row r="620" customFormat="false" ht="30" hidden="true" customHeight="true" outlineLevel="0" collapsed="false">
      <c r="A620" s="4" t="s">
        <v>109</v>
      </c>
      <c r="B620" s="4" t="s">
        <v>14</v>
      </c>
      <c r="C620" s="5" t="n">
        <v>1329001652</v>
      </c>
      <c r="D620" s="6" t="s">
        <v>647</v>
      </c>
      <c r="E620" s="6"/>
      <c r="F620" s="7" t="n">
        <v>46056.4276783912</v>
      </c>
      <c r="G620" s="7" t="n">
        <v>46056.6558230556</v>
      </c>
      <c r="H620" s="8" t="n">
        <v>4</v>
      </c>
      <c r="I620" s="5" t="n">
        <v>400464</v>
      </c>
      <c r="J620" s="6" t="s">
        <v>50</v>
      </c>
      <c r="K620" s="5" t="n">
        <v>100011197</v>
      </c>
      <c r="L620" s="9" t="n">
        <v>46016</v>
      </c>
      <c r="M620" s="10" t="n">
        <v>47841</v>
      </c>
    </row>
    <row r="621" customFormat="false" ht="30" hidden="true" customHeight="true" outlineLevel="0" collapsed="false">
      <c r="A621" s="4" t="s">
        <v>109</v>
      </c>
      <c r="B621" s="4" t="s">
        <v>14</v>
      </c>
      <c r="C621" s="5" t="n">
        <v>1329001652</v>
      </c>
      <c r="D621" s="6" t="s">
        <v>648</v>
      </c>
      <c r="E621" s="6"/>
      <c r="F621" s="7" t="n">
        <v>46056.4276783912</v>
      </c>
      <c r="G621" s="7" t="n">
        <v>46056.4366269097</v>
      </c>
      <c r="H621" s="8" t="n">
        <v>4</v>
      </c>
      <c r="I621" s="5" t="n">
        <v>400464</v>
      </c>
      <c r="J621" s="6" t="s">
        <v>50</v>
      </c>
      <c r="K621" s="5" t="n">
        <v>100011197</v>
      </c>
      <c r="L621" s="9" t="n">
        <v>46016</v>
      </c>
      <c r="M621" s="10" t="n">
        <v>47841</v>
      </c>
    </row>
    <row r="622" customFormat="false" ht="30" hidden="true" customHeight="true" outlineLevel="0" collapsed="false">
      <c r="A622" s="4" t="s">
        <v>109</v>
      </c>
      <c r="B622" s="4" t="s">
        <v>14</v>
      </c>
      <c r="C622" s="5" t="n">
        <v>1329001652</v>
      </c>
      <c r="D622" s="6" t="s">
        <v>649</v>
      </c>
      <c r="E622" s="6"/>
      <c r="F622" s="7" t="n">
        <v>46056.4276783912</v>
      </c>
      <c r="G622" s="7" t="n">
        <v>46056.4338304514</v>
      </c>
      <c r="H622" s="8" t="n">
        <v>4</v>
      </c>
      <c r="I622" s="5" t="n">
        <v>400432</v>
      </c>
      <c r="J622" s="6" t="s">
        <v>47</v>
      </c>
      <c r="K622" s="5" t="n">
        <v>100003635</v>
      </c>
      <c r="L622" s="9" t="n">
        <v>45875</v>
      </c>
      <c r="M622" s="10" t="n">
        <v>47700</v>
      </c>
    </row>
    <row r="623" customFormat="false" ht="30" hidden="true" customHeight="true" outlineLevel="0" collapsed="false">
      <c r="A623" s="4" t="s">
        <v>109</v>
      </c>
      <c r="B623" s="4" t="s">
        <v>14</v>
      </c>
      <c r="C623" s="5" t="n">
        <v>1329001652</v>
      </c>
      <c r="D623" s="6" t="s">
        <v>650</v>
      </c>
      <c r="E623" s="6"/>
      <c r="F623" s="7" t="n">
        <v>46056.4276783912</v>
      </c>
      <c r="G623" s="7" t="n">
        <v>46056.434725081</v>
      </c>
      <c r="H623" s="8" t="n">
        <v>4</v>
      </c>
      <c r="I623" s="5" t="n">
        <v>400511</v>
      </c>
      <c r="J623" s="6" t="s">
        <v>651</v>
      </c>
      <c r="K623" s="5" t="n">
        <v>100010288</v>
      </c>
      <c r="L623" s="9" t="n">
        <v>45936</v>
      </c>
      <c r="M623" s="10" t="n">
        <v>47761</v>
      </c>
    </row>
    <row r="624" customFormat="false" ht="30" hidden="true" customHeight="true" outlineLevel="0" collapsed="false">
      <c r="A624" s="4" t="s">
        <v>109</v>
      </c>
      <c r="B624" s="4" t="s">
        <v>14</v>
      </c>
      <c r="C624" s="5" t="n">
        <v>1329001652</v>
      </c>
      <c r="D624" s="6" t="s">
        <v>652</v>
      </c>
      <c r="E624" s="6"/>
      <c r="F624" s="7" t="n">
        <v>46056.4276783912</v>
      </c>
      <c r="G624" s="7" t="n">
        <v>46056.6551862037</v>
      </c>
      <c r="H624" s="8" t="n">
        <v>4</v>
      </c>
      <c r="I624" s="5" t="n">
        <v>400511</v>
      </c>
      <c r="J624" s="6" t="s">
        <v>651</v>
      </c>
      <c r="K624" s="5" t="n">
        <v>100010032</v>
      </c>
      <c r="L624" s="9" t="n">
        <v>45936</v>
      </c>
      <c r="M624" s="10" t="n">
        <v>47761</v>
      </c>
    </row>
    <row r="625" customFormat="false" ht="30" hidden="true" customHeight="true" outlineLevel="0" collapsed="false">
      <c r="A625" s="4" t="s">
        <v>109</v>
      </c>
      <c r="B625" s="4" t="s">
        <v>14</v>
      </c>
      <c r="C625" s="5" t="n">
        <v>1329001652</v>
      </c>
      <c r="D625" s="6" t="s">
        <v>653</v>
      </c>
      <c r="E625" s="6"/>
      <c r="F625" s="7" t="n">
        <v>46056.4276783912</v>
      </c>
      <c r="G625" s="7" t="n">
        <v>46056.4476916898</v>
      </c>
      <c r="H625" s="8" t="n">
        <v>4</v>
      </c>
      <c r="I625" s="5" t="n">
        <v>400511</v>
      </c>
      <c r="J625" s="6" t="s">
        <v>651</v>
      </c>
      <c r="K625" s="5" t="n">
        <v>100010288</v>
      </c>
      <c r="L625" s="9" t="n">
        <v>45936</v>
      </c>
      <c r="M625" s="10" t="n">
        <v>47761</v>
      </c>
    </row>
    <row r="626" customFormat="false" ht="30" hidden="true" customHeight="true" outlineLevel="0" collapsed="false">
      <c r="A626" s="4" t="s">
        <v>109</v>
      </c>
      <c r="B626" s="4" t="s">
        <v>14</v>
      </c>
      <c r="C626" s="5" t="n">
        <v>1329001652</v>
      </c>
      <c r="D626" s="6" t="s">
        <v>654</v>
      </c>
      <c r="E626" s="6"/>
      <c r="F626" s="7" t="n">
        <v>46056.4276783912</v>
      </c>
      <c r="G626" s="7" t="n">
        <v>46056.4426397917</v>
      </c>
      <c r="H626" s="8" t="n">
        <v>4</v>
      </c>
      <c r="I626" s="5" t="n">
        <v>400432</v>
      </c>
      <c r="J626" s="6" t="s">
        <v>47</v>
      </c>
      <c r="K626" s="5" t="n">
        <v>100009668</v>
      </c>
      <c r="L626" s="9" t="n">
        <v>45879</v>
      </c>
      <c r="M626" s="10" t="n">
        <v>47704</v>
      </c>
    </row>
    <row r="627" customFormat="false" ht="30" hidden="true" customHeight="true" outlineLevel="0" collapsed="false">
      <c r="A627" s="4" t="s">
        <v>109</v>
      </c>
      <c r="B627" s="4" t="s">
        <v>14</v>
      </c>
      <c r="C627" s="5" t="n">
        <v>1329001652</v>
      </c>
      <c r="D627" s="6" t="s">
        <v>655</v>
      </c>
      <c r="E627" s="6"/>
      <c r="F627" s="7" t="n">
        <v>46056.4276783912</v>
      </c>
      <c r="G627" s="7" t="n">
        <v>46056.4422133333</v>
      </c>
      <c r="H627" s="8" t="n">
        <v>4</v>
      </c>
      <c r="I627" s="5" t="n">
        <v>400511</v>
      </c>
      <c r="J627" s="6" t="s">
        <v>651</v>
      </c>
      <c r="K627" s="5" t="n">
        <v>100010288</v>
      </c>
      <c r="L627" s="9" t="n">
        <v>45936</v>
      </c>
      <c r="M627" s="10" t="n">
        <v>47761</v>
      </c>
    </row>
    <row r="628" customFormat="false" ht="30" hidden="true" customHeight="true" outlineLevel="0" collapsed="false">
      <c r="A628" s="4" t="s">
        <v>109</v>
      </c>
      <c r="B628" s="4" t="s">
        <v>14</v>
      </c>
      <c r="C628" s="5" t="n">
        <v>1329001652</v>
      </c>
      <c r="D628" s="6" t="s">
        <v>656</v>
      </c>
      <c r="E628" s="6"/>
      <c r="F628" s="7" t="n">
        <v>46056.4276783912</v>
      </c>
      <c r="G628" s="7" t="n">
        <v>46056.4410703357</v>
      </c>
      <c r="H628" s="8" t="n">
        <v>4</v>
      </c>
      <c r="I628" s="5" t="n">
        <v>400432</v>
      </c>
      <c r="J628" s="6" t="s">
        <v>47</v>
      </c>
      <c r="K628" s="5" t="n">
        <v>100009668</v>
      </c>
      <c r="L628" s="9" t="n">
        <v>45879</v>
      </c>
      <c r="M628" s="10" t="n">
        <v>47704</v>
      </c>
    </row>
    <row r="629" customFormat="false" ht="30" hidden="true" customHeight="true" outlineLevel="0" collapsed="false">
      <c r="A629" s="4" t="s">
        <v>109</v>
      </c>
      <c r="B629" s="4" t="s">
        <v>14</v>
      </c>
      <c r="C629" s="5" t="n">
        <v>1329001652</v>
      </c>
      <c r="D629" s="6" t="s">
        <v>657</v>
      </c>
      <c r="E629" s="6"/>
      <c r="F629" s="7" t="n">
        <v>46056.4276783912</v>
      </c>
      <c r="G629" s="7" t="n">
        <v>46056.4406075463</v>
      </c>
      <c r="H629" s="8" t="n">
        <v>4</v>
      </c>
      <c r="I629" s="5" t="n">
        <v>400511</v>
      </c>
      <c r="J629" s="6" t="s">
        <v>651</v>
      </c>
      <c r="K629" s="5" t="n">
        <v>100010288</v>
      </c>
      <c r="L629" s="9" t="n">
        <v>45936</v>
      </c>
      <c r="M629" s="10" t="n">
        <v>47761</v>
      </c>
    </row>
    <row r="630" customFormat="false" ht="30" hidden="true" customHeight="true" outlineLevel="0" collapsed="false">
      <c r="A630" s="4" t="s">
        <v>109</v>
      </c>
      <c r="B630" s="4" t="s">
        <v>14</v>
      </c>
      <c r="C630" s="5" t="n">
        <v>1329001652</v>
      </c>
      <c r="D630" s="6" t="s">
        <v>658</v>
      </c>
      <c r="E630" s="6"/>
      <c r="F630" s="7" t="n">
        <v>46056.4276783912</v>
      </c>
      <c r="G630" s="7" t="n">
        <v>46056.4396808333</v>
      </c>
      <c r="H630" s="8" t="n">
        <v>4</v>
      </c>
      <c r="I630" s="5" t="n">
        <v>400511</v>
      </c>
      <c r="J630" s="6" t="s">
        <v>651</v>
      </c>
      <c r="K630" s="5" t="n">
        <v>100010288</v>
      </c>
      <c r="L630" s="9" t="n">
        <v>45936</v>
      </c>
      <c r="M630" s="10" t="n">
        <v>47761</v>
      </c>
    </row>
    <row r="631" customFormat="false" ht="30" hidden="true" customHeight="true" outlineLevel="0" collapsed="false">
      <c r="A631" s="4" t="s">
        <v>109</v>
      </c>
      <c r="B631" s="4" t="s">
        <v>14</v>
      </c>
      <c r="C631" s="5" t="n">
        <v>1329001652</v>
      </c>
      <c r="D631" s="6" t="s">
        <v>659</v>
      </c>
      <c r="E631" s="6"/>
      <c r="F631" s="7" t="n">
        <v>46056.4276783912</v>
      </c>
      <c r="G631" s="7" t="n">
        <v>46056.4392779861</v>
      </c>
      <c r="H631" s="8" t="n">
        <v>4</v>
      </c>
      <c r="I631" s="5" t="n">
        <v>400511</v>
      </c>
      <c r="J631" s="6" t="s">
        <v>651</v>
      </c>
      <c r="K631" s="5" t="n">
        <v>100010288</v>
      </c>
      <c r="L631" s="9" t="n">
        <v>45936</v>
      </c>
      <c r="M631" s="10" t="n">
        <v>47761</v>
      </c>
    </row>
    <row r="632" customFormat="false" ht="30" hidden="true" customHeight="true" outlineLevel="0" collapsed="false">
      <c r="A632" s="4" t="s">
        <v>109</v>
      </c>
      <c r="B632" s="4" t="s">
        <v>14</v>
      </c>
      <c r="C632" s="5" t="n">
        <v>1329001652</v>
      </c>
      <c r="D632" s="6" t="s">
        <v>660</v>
      </c>
      <c r="E632" s="6"/>
      <c r="F632" s="7" t="n">
        <v>46056.4276783912</v>
      </c>
      <c r="G632" s="7" t="n">
        <v>46056.6536113542</v>
      </c>
      <c r="H632" s="8" t="n">
        <v>4</v>
      </c>
      <c r="I632" s="5" t="n">
        <v>400464</v>
      </c>
      <c r="J632" s="6" t="s">
        <v>50</v>
      </c>
      <c r="K632" s="5" t="n">
        <v>100009359</v>
      </c>
      <c r="L632" s="9" t="n">
        <v>46018</v>
      </c>
      <c r="M632" s="10" t="n">
        <v>47843</v>
      </c>
    </row>
    <row r="633" customFormat="false" ht="30" hidden="true" customHeight="true" outlineLevel="0" collapsed="false">
      <c r="A633" s="4" t="s">
        <v>109</v>
      </c>
      <c r="B633" s="4" t="s">
        <v>14</v>
      </c>
      <c r="C633" s="5" t="n">
        <v>1329001652</v>
      </c>
      <c r="D633" s="6" t="s">
        <v>661</v>
      </c>
      <c r="E633" s="6"/>
      <c r="F633" s="7" t="n">
        <v>46056.4276783912</v>
      </c>
      <c r="G633" s="7" t="n">
        <v>46056.4388254514</v>
      </c>
      <c r="H633" s="8" t="n">
        <v>4</v>
      </c>
      <c r="I633" s="5" t="n">
        <v>400511</v>
      </c>
      <c r="J633" s="6" t="s">
        <v>651</v>
      </c>
      <c r="K633" s="5" t="n">
        <v>100010288</v>
      </c>
      <c r="L633" s="9" t="n">
        <v>45936</v>
      </c>
      <c r="M633" s="10" t="n">
        <v>47761</v>
      </c>
    </row>
    <row r="634" customFormat="false" ht="30" hidden="true" customHeight="true" outlineLevel="0" collapsed="false">
      <c r="A634" s="4" t="s">
        <v>109</v>
      </c>
      <c r="B634" s="4" t="s">
        <v>14</v>
      </c>
      <c r="C634" s="5" t="n">
        <v>1329001652</v>
      </c>
      <c r="D634" s="6" t="s">
        <v>662</v>
      </c>
      <c r="E634" s="6"/>
      <c r="F634" s="7" t="n">
        <v>46056.4276783912</v>
      </c>
      <c r="G634" s="7" t="n">
        <v>46056.4383803819</v>
      </c>
      <c r="H634" s="8" t="n">
        <v>4</v>
      </c>
      <c r="I634" s="5" t="n">
        <v>400464</v>
      </c>
      <c r="J634" s="6" t="s">
        <v>50</v>
      </c>
      <c r="K634" s="5" t="n">
        <v>100011197</v>
      </c>
      <c r="L634" s="9" t="n">
        <v>46016</v>
      </c>
      <c r="M634" s="10" t="n">
        <v>47841</v>
      </c>
    </row>
    <row r="635" customFormat="false" ht="30" hidden="true" customHeight="true" outlineLevel="0" collapsed="false">
      <c r="A635" s="4" t="s">
        <v>109</v>
      </c>
      <c r="B635" s="4" t="s">
        <v>14</v>
      </c>
      <c r="C635" s="5" t="n">
        <v>1329001652</v>
      </c>
      <c r="D635" s="6" t="s">
        <v>663</v>
      </c>
      <c r="E635" s="6"/>
      <c r="F635" s="7" t="n">
        <v>46056.4276783912</v>
      </c>
      <c r="G635" s="7" t="n">
        <v>46056.4371041435</v>
      </c>
      <c r="H635" s="8" t="n">
        <v>4</v>
      </c>
      <c r="I635" s="5" t="n">
        <v>400464</v>
      </c>
      <c r="J635" s="6" t="s">
        <v>50</v>
      </c>
      <c r="K635" s="5" t="n">
        <v>100011197</v>
      </c>
      <c r="L635" s="9" t="n">
        <v>46016</v>
      </c>
      <c r="M635" s="10" t="n">
        <v>47841</v>
      </c>
    </row>
    <row r="636" customFormat="false" ht="30" hidden="true" customHeight="true" outlineLevel="0" collapsed="false">
      <c r="A636" s="4" t="s">
        <v>109</v>
      </c>
      <c r="B636" s="4" t="s">
        <v>14</v>
      </c>
      <c r="C636" s="5" t="n">
        <v>1329001652</v>
      </c>
      <c r="D636" s="6" t="s">
        <v>664</v>
      </c>
      <c r="E636" s="6"/>
      <c r="F636" s="7" t="n">
        <v>46056.4276783912</v>
      </c>
      <c r="G636" s="7" t="n">
        <v>46056.4375303241</v>
      </c>
      <c r="H636" s="8" t="n">
        <v>4</v>
      </c>
      <c r="I636" s="5" t="n">
        <v>400511</v>
      </c>
      <c r="J636" s="6" t="s">
        <v>651</v>
      </c>
      <c r="K636" s="5" t="n">
        <v>100010288</v>
      </c>
      <c r="L636" s="9" t="n">
        <v>45936</v>
      </c>
      <c r="M636" s="10" t="n">
        <v>47761</v>
      </c>
    </row>
    <row r="637" customFormat="false" ht="30" hidden="true" customHeight="true" outlineLevel="0" collapsed="false">
      <c r="A637" s="4" t="s">
        <v>109</v>
      </c>
      <c r="B637" s="4" t="s">
        <v>14</v>
      </c>
      <c r="C637" s="5" t="n">
        <v>1329001652</v>
      </c>
      <c r="D637" s="6" t="s">
        <v>665</v>
      </c>
      <c r="E637" s="6"/>
      <c r="F637" s="7" t="n">
        <v>46056.4276783912</v>
      </c>
      <c r="G637" s="7" t="n">
        <v>46056.4401943403</v>
      </c>
      <c r="H637" s="8" t="n">
        <v>4</v>
      </c>
      <c r="I637" s="5" t="n">
        <v>400432</v>
      </c>
      <c r="J637" s="6" t="s">
        <v>47</v>
      </c>
      <c r="K637" s="5" t="n">
        <v>100009668</v>
      </c>
      <c r="L637" s="9" t="n">
        <v>45879</v>
      </c>
      <c r="M637" s="10" t="n">
        <v>47704</v>
      </c>
    </row>
    <row r="638" customFormat="false" ht="30" hidden="true" customHeight="true" outlineLevel="0" collapsed="false">
      <c r="A638" s="4" t="s">
        <v>109</v>
      </c>
      <c r="B638" s="4" t="s">
        <v>14</v>
      </c>
      <c r="C638" s="5" t="n">
        <v>1329001652</v>
      </c>
      <c r="D638" s="6" t="s">
        <v>666</v>
      </c>
      <c r="E638" s="6"/>
      <c r="F638" s="7" t="n">
        <v>46056.4276783912</v>
      </c>
      <c r="G638" s="7" t="n">
        <v>46056.4360348611</v>
      </c>
      <c r="H638" s="8" t="n">
        <v>4</v>
      </c>
      <c r="I638" s="5" t="n">
        <v>400511</v>
      </c>
      <c r="J638" s="6" t="s">
        <v>651</v>
      </c>
      <c r="K638" s="5" t="n">
        <v>100010288</v>
      </c>
      <c r="L638" s="9" t="n">
        <v>45936</v>
      </c>
      <c r="M638" s="10" t="n">
        <v>47761</v>
      </c>
    </row>
    <row r="639" customFormat="false" ht="30" hidden="true" customHeight="true" outlineLevel="0" collapsed="false">
      <c r="A639" s="4" t="s">
        <v>109</v>
      </c>
      <c r="B639" s="4" t="s">
        <v>14</v>
      </c>
      <c r="C639" s="5" t="n">
        <v>1329001652</v>
      </c>
      <c r="D639" s="6" t="s">
        <v>667</v>
      </c>
      <c r="E639" s="6"/>
      <c r="F639" s="7" t="n">
        <v>46056.4276783912</v>
      </c>
      <c r="G639" s="7" t="n">
        <v>46056.4354958449</v>
      </c>
      <c r="H639" s="8" t="n">
        <v>4</v>
      </c>
      <c r="I639" s="5" t="n">
        <v>400432</v>
      </c>
      <c r="J639" s="6" t="s">
        <v>47</v>
      </c>
      <c r="K639" s="5" t="n">
        <v>100009668</v>
      </c>
      <c r="L639" s="9" t="n">
        <v>45879</v>
      </c>
      <c r="M639" s="10" t="n">
        <v>47704</v>
      </c>
    </row>
    <row r="640" customFormat="false" ht="30" hidden="true" customHeight="true" outlineLevel="0" collapsed="false">
      <c r="A640" s="4" t="s">
        <v>109</v>
      </c>
      <c r="B640" s="4" t="s">
        <v>14</v>
      </c>
      <c r="C640" s="5" t="n">
        <v>1329001652</v>
      </c>
      <c r="D640" s="6" t="s">
        <v>668</v>
      </c>
      <c r="E640" s="6"/>
      <c r="F640" s="7" t="n">
        <v>46056.4276783912</v>
      </c>
      <c r="G640" s="7" t="n">
        <v>46056.6661942593</v>
      </c>
      <c r="H640" s="8" t="n">
        <v>4</v>
      </c>
      <c r="I640" s="5" t="n">
        <v>400511</v>
      </c>
      <c r="J640" s="6" t="s">
        <v>651</v>
      </c>
      <c r="K640" s="5" t="n">
        <v>100010288</v>
      </c>
      <c r="L640" s="9" t="n">
        <v>45936</v>
      </c>
      <c r="M640" s="10" t="n">
        <v>47761</v>
      </c>
    </row>
    <row r="641" customFormat="false" ht="30" hidden="true" customHeight="true" outlineLevel="0" collapsed="false">
      <c r="A641" s="4" t="s">
        <v>109</v>
      </c>
      <c r="B641" s="4" t="s">
        <v>14</v>
      </c>
      <c r="C641" s="5" t="n">
        <v>1329001652</v>
      </c>
      <c r="D641" s="6" t="s">
        <v>669</v>
      </c>
      <c r="E641" s="6"/>
      <c r="F641" s="7" t="n">
        <v>46056.4276783912</v>
      </c>
      <c r="G641" s="7" t="n">
        <v>46056.6653572569</v>
      </c>
      <c r="H641" s="8" t="n">
        <v>2</v>
      </c>
      <c r="I641" s="5" t="n">
        <v>400511</v>
      </c>
      <c r="J641" s="6" t="s">
        <v>651</v>
      </c>
      <c r="K641" s="5" t="n">
        <v>100010332</v>
      </c>
      <c r="L641" s="9" t="n">
        <v>45939</v>
      </c>
      <c r="M641" s="10" t="n">
        <v>47764</v>
      </c>
    </row>
    <row r="642" customFormat="false" ht="30" hidden="true" customHeight="true" outlineLevel="0" collapsed="false">
      <c r="A642" s="4" t="s">
        <v>109</v>
      </c>
      <c r="B642" s="4" t="s">
        <v>14</v>
      </c>
      <c r="C642" s="5" t="n">
        <v>1329001652</v>
      </c>
      <c r="D642" s="6" t="s">
        <v>670</v>
      </c>
      <c r="E642" s="6"/>
      <c r="F642" s="7" t="n">
        <v>46056.4276783912</v>
      </c>
      <c r="G642" s="7" t="n">
        <v>46056.6658278357</v>
      </c>
      <c r="H642" s="8" t="n">
        <v>4</v>
      </c>
      <c r="I642" s="5" t="n">
        <v>400464</v>
      </c>
      <c r="J642" s="6" t="s">
        <v>50</v>
      </c>
      <c r="K642" s="5" t="n">
        <v>100011197</v>
      </c>
      <c r="L642" s="9" t="n">
        <v>46016</v>
      </c>
      <c r="M642" s="10" t="n">
        <v>47841</v>
      </c>
    </row>
    <row r="643" customFormat="false" ht="30" hidden="true" customHeight="true" outlineLevel="0" collapsed="false">
      <c r="A643" s="4" t="s">
        <v>109</v>
      </c>
      <c r="B643" s="4" t="s">
        <v>14</v>
      </c>
      <c r="C643" s="5" t="n">
        <v>1329001652</v>
      </c>
      <c r="D643" s="6" t="s">
        <v>671</v>
      </c>
      <c r="E643" s="6"/>
      <c r="F643" s="7" t="n">
        <v>46056.4276783912</v>
      </c>
      <c r="G643" s="7" t="n">
        <v>46056.6634983218</v>
      </c>
      <c r="H643" s="8" t="n">
        <v>2</v>
      </c>
      <c r="I643" s="5" t="n">
        <v>400511</v>
      </c>
      <c r="J643" s="6" t="s">
        <v>651</v>
      </c>
      <c r="K643" s="5" t="n">
        <v>100008094</v>
      </c>
      <c r="L643" s="9" t="n">
        <v>45936</v>
      </c>
      <c r="M643" s="10" t="n">
        <v>47761</v>
      </c>
    </row>
    <row r="644" customFormat="false" ht="30" hidden="true" customHeight="true" outlineLevel="0" collapsed="false">
      <c r="A644" s="4" t="s">
        <v>109</v>
      </c>
      <c r="B644" s="4" t="s">
        <v>14</v>
      </c>
      <c r="C644" s="5" t="n">
        <v>1329001652</v>
      </c>
      <c r="D644" s="6" t="s">
        <v>672</v>
      </c>
      <c r="E644" s="6"/>
      <c r="F644" s="7" t="n">
        <v>46056.4276783912</v>
      </c>
      <c r="G644" s="7" t="n">
        <v>46056.6622547917</v>
      </c>
      <c r="H644" s="8" t="n">
        <v>4</v>
      </c>
      <c r="I644" s="5" t="n">
        <v>400464</v>
      </c>
      <c r="J644" s="6" t="s">
        <v>50</v>
      </c>
      <c r="K644" s="5" t="n">
        <v>100011197</v>
      </c>
      <c r="L644" s="9" t="n">
        <v>46016</v>
      </c>
      <c r="M644" s="10" t="n">
        <v>47841</v>
      </c>
    </row>
    <row r="645" customFormat="false" ht="30" hidden="true" customHeight="true" outlineLevel="0" collapsed="false">
      <c r="A645" s="4" t="s">
        <v>109</v>
      </c>
      <c r="B645" s="4" t="s">
        <v>14</v>
      </c>
      <c r="C645" s="5" t="n">
        <v>1329001652</v>
      </c>
      <c r="D645" s="6" t="s">
        <v>673</v>
      </c>
      <c r="E645" s="6"/>
      <c r="F645" s="7" t="n">
        <v>46056.4276783912</v>
      </c>
      <c r="G645" s="7" t="n">
        <v>46056.6612781713</v>
      </c>
      <c r="H645" s="8" t="n">
        <v>4</v>
      </c>
      <c r="I645" s="5" t="n">
        <v>400464</v>
      </c>
      <c r="J645" s="6" t="s">
        <v>50</v>
      </c>
      <c r="K645" s="5" t="n">
        <v>100011197</v>
      </c>
      <c r="L645" s="9" t="n">
        <v>46016</v>
      </c>
      <c r="M645" s="10" t="n">
        <v>47841</v>
      </c>
    </row>
    <row r="646" customFormat="false" ht="30" hidden="true" customHeight="true" outlineLevel="0" collapsed="false">
      <c r="A646" s="4" t="s">
        <v>109</v>
      </c>
      <c r="B646" s="4" t="s">
        <v>14</v>
      </c>
      <c r="C646" s="5" t="n">
        <v>1329001652</v>
      </c>
      <c r="D646" s="6" t="s">
        <v>674</v>
      </c>
      <c r="E646" s="6"/>
      <c r="F646" s="7" t="n">
        <v>46056.4276783912</v>
      </c>
      <c r="G646" s="7" t="n">
        <v>46056.6619038657</v>
      </c>
      <c r="H646" s="8" t="n">
        <v>4</v>
      </c>
      <c r="I646" s="5" t="n">
        <v>400511</v>
      </c>
      <c r="J646" s="6" t="s">
        <v>651</v>
      </c>
      <c r="K646" s="5" t="n">
        <v>100010288</v>
      </c>
      <c r="L646" s="9" t="n">
        <v>45936</v>
      </c>
      <c r="M646" s="10" t="n">
        <v>47761</v>
      </c>
    </row>
    <row r="647" customFormat="false" ht="30" hidden="true" customHeight="true" outlineLevel="0" collapsed="false">
      <c r="A647" s="4" t="s">
        <v>109</v>
      </c>
      <c r="B647" s="4" t="s">
        <v>14</v>
      </c>
      <c r="C647" s="5" t="n">
        <v>1329001652</v>
      </c>
      <c r="D647" s="6" t="s">
        <v>675</v>
      </c>
      <c r="E647" s="6"/>
      <c r="F647" s="7" t="n">
        <v>46056.4276783912</v>
      </c>
      <c r="G647" s="7" t="n">
        <v>46056.6604476389</v>
      </c>
      <c r="H647" s="8" t="n">
        <v>4</v>
      </c>
      <c r="I647" s="5" t="n">
        <v>400464</v>
      </c>
      <c r="J647" s="6" t="s">
        <v>50</v>
      </c>
      <c r="K647" s="5" t="n">
        <v>100011197</v>
      </c>
      <c r="L647" s="9" t="n">
        <v>46016</v>
      </c>
      <c r="M647" s="10" t="n">
        <v>47841</v>
      </c>
    </row>
    <row r="648" customFormat="false" ht="30" hidden="true" customHeight="true" outlineLevel="0" collapsed="false">
      <c r="A648" s="4" t="s">
        <v>109</v>
      </c>
      <c r="B648" s="4" t="s">
        <v>14</v>
      </c>
      <c r="C648" s="5" t="n">
        <v>1329001652</v>
      </c>
      <c r="D648" s="6" t="s">
        <v>676</v>
      </c>
      <c r="E648" s="6"/>
      <c r="F648" s="7" t="n">
        <v>46056.4276783912</v>
      </c>
      <c r="G648" s="7" t="n">
        <v>46056.6596658912</v>
      </c>
      <c r="H648" s="8" t="n">
        <v>4</v>
      </c>
      <c r="I648" s="5" t="n">
        <v>400511</v>
      </c>
      <c r="J648" s="6" t="s">
        <v>651</v>
      </c>
      <c r="K648" s="5" t="n">
        <v>100010288</v>
      </c>
      <c r="L648" s="9" t="n">
        <v>45936</v>
      </c>
      <c r="M648" s="10" t="n">
        <v>47761</v>
      </c>
    </row>
    <row r="649" customFormat="false" ht="30" hidden="true" customHeight="true" outlineLevel="0" collapsed="false">
      <c r="A649" s="4" t="s">
        <v>109</v>
      </c>
      <c r="B649" s="4" t="s">
        <v>14</v>
      </c>
      <c r="C649" s="5" t="n">
        <v>1329001652</v>
      </c>
      <c r="D649" s="6" t="s">
        <v>677</v>
      </c>
      <c r="E649" s="6"/>
      <c r="F649" s="7" t="n">
        <v>46056.4276783912</v>
      </c>
      <c r="G649" s="7" t="n">
        <v>46056.6583599653</v>
      </c>
      <c r="H649" s="8" t="n">
        <v>4</v>
      </c>
      <c r="I649" s="5" t="n">
        <v>400464</v>
      </c>
      <c r="J649" s="6" t="s">
        <v>50</v>
      </c>
      <c r="K649" s="5" t="n">
        <v>100011197</v>
      </c>
      <c r="L649" s="9" t="n">
        <v>46016</v>
      </c>
      <c r="M649" s="10" t="n">
        <v>47841</v>
      </c>
    </row>
    <row r="650" customFormat="false" ht="30" hidden="true" customHeight="true" outlineLevel="0" collapsed="false">
      <c r="A650" s="4" t="s">
        <v>109</v>
      </c>
      <c r="B650" s="4" t="s">
        <v>14</v>
      </c>
      <c r="C650" s="5" t="n">
        <v>1329001652</v>
      </c>
      <c r="D650" s="6" t="s">
        <v>678</v>
      </c>
      <c r="E650" s="6"/>
      <c r="F650" s="7" t="n">
        <v>46056.4276783912</v>
      </c>
      <c r="G650" s="7" t="n">
        <v>46056.656779375</v>
      </c>
      <c r="H650" s="8" t="n">
        <v>4</v>
      </c>
      <c r="I650" s="5" t="n">
        <v>400511</v>
      </c>
      <c r="J650" s="6" t="s">
        <v>651</v>
      </c>
      <c r="K650" s="5" t="n">
        <v>100010288</v>
      </c>
      <c r="L650" s="9" t="n">
        <v>45936</v>
      </c>
      <c r="M650" s="10" t="n">
        <v>47761</v>
      </c>
    </row>
    <row r="651" customFormat="false" ht="30" hidden="true" customHeight="true" outlineLevel="0" collapsed="false">
      <c r="A651" s="4" t="s">
        <v>13</v>
      </c>
      <c r="B651" s="4" t="s">
        <v>14</v>
      </c>
      <c r="C651" s="5" t="n">
        <v>1329001664</v>
      </c>
      <c r="D651" s="6" t="s">
        <v>679</v>
      </c>
      <c r="E651" s="6"/>
      <c r="F651" s="7" t="n">
        <v>46057.2698561227</v>
      </c>
      <c r="G651" s="7" t="n">
        <v>46057.3428748843</v>
      </c>
      <c r="H651" s="8" t="n">
        <v>4</v>
      </c>
      <c r="I651" s="5" t="n">
        <v>400441</v>
      </c>
      <c r="J651" s="6" t="s">
        <v>80</v>
      </c>
      <c r="K651" s="5" t="n">
        <v>153000045</v>
      </c>
      <c r="L651" s="9" t="n">
        <v>46043</v>
      </c>
      <c r="M651" s="10" t="n">
        <v>47868</v>
      </c>
    </row>
    <row r="652" customFormat="false" ht="30" hidden="true" customHeight="true" outlineLevel="0" collapsed="false">
      <c r="A652" s="4" t="s">
        <v>13</v>
      </c>
      <c r="B652" s="4" t="s">
        <v>14</v>
      </c>
      <c r="C652" s="5" t="n">
        <v>1329001664</v>
      </c>
      <c r="D652" s="6" t="s">
        <v>680</v>
      </c>
      <c r="E652" s="6"/>
      <c r="F652" s="7" t="n">
        <v>46057.2698561227</v>
      </c>
      <c r="G652" s="7" t="n">
        <v>46057.3154116898</v>
      </c>
      <c r="H652" s="8" t="n">
        <v>4</v>
      </c>
      <c r="I652" s="5" t="n">
        <v>400441</v>
      </c>
      <c r="J652" s="6" t="s">
        <v>80</v>
      </c>
      <c r="K652" s="5" t="n">
        <v>10001145</v>
      </c>
      <c r="L652" s="9"/>
      <c r="M652" s="10" t="n">
        <v>47838</v>
      </c>
    </row>
    <row r="653" customFormat="false" ht="30" hidden="true" customHeight="true" outlineLevel="0" collapsed="false">
      <c r="A653" s="4" t="s">
        <v>13</v>
      </c>
      <c r="B653" s="4" t="s">
        <v>14</v>
      </c>
      <c r="C653" s="5" t="n">
        <v>1329001664</v>
      </c>
      <c r="D653" s="6" t="s">
        <v>681</v>
      </c>
      <c r="E653" s="6"/>
      <c r="F653" s="7" t="n">
        <v>46057.2698561227</v>
      </c>
      <c r="G653" s="7" t="n">
        <v>46057.4377742824</v>
      </c>
      <c r="H653" s="8" t="n">
        <v>4</v>
      </c>
      <c r="I653" s="5" t="n">
        <v>400441</v>
      </c>
      <c r="J653" s="6" t="s">
        <v>80</v>
      </c>
      <c r="K653" s="5" t="n">
        <v>100011145</v>
      </c>
      <c r="L653" s="9"/>
      <c r="M653" s="10" t="n">
        <v>47838</v>
      </c>
    </row>
    <row r="654" customFormat="false" ht="30" hidden="true" customHeight="true" outlineLevel="0" collapsed="false">
      <c r="A654" s="4" t="s">
        <v>13</v>
      </c>
      <c r="B654" s="4" t="s">
        <v>14</v>
      </c>
      <c r="C654" s="5" t="n">
        <v>1329001664</v>
      </c>
      <c r="D654" s="6" t="s">
        <v>682</v>
      </c>
      <c r="E654" s="6"/>
      <c r="F654" s="7" t="n">
        <v>46057.2698561227</v>
      </c>
      <c r="G654" s="7" t="n">
        <v>46057.3442130787</v>
      </c>
      <c r="H654" s="8" t="n">
        <v>4</v>
      </c>
      <c r="I654" s="5" t="n">
        <v>400441</v>
      </c>
      <c r="J654" s="6" t="s">
        <v>80</v>
      </c>
      <c r="K654" s="5" t="n">
        <v>10001145</v>
      </c>
      <c r="L654" s="9"/>
      <c r="M654" s="10" t="n">
        <v>47838</v>
      </c>
    </row>
    <row r="655" customFormat="false" ht="30" hidden="true" customHeight="true" outlineLevel="0" collapsed="false">
      <c r="A655" s="4" t="s">
        <v>13</v>
      </c>
      <c r="B655" s="4" t="s">
        <v>14</v>
      </c>
      <c r="C655" s="5" t="n">
        <v>1329001664</v>
      </c>
      <c r="D655" s="6" t="s">
        <v>683</v>
      </c>
      <c r="E655" s="6"/>
      <c r="F655" s="7" t="n">
        <v>46057.2698561227</v>
      </c>
      <c r="G655" s="7" t="n">
        <v>46057.3425934491</v>
      </c>
      <c r="H655" s="8" t="n">
        <v>4</v>
      </c>
      <c r="I655" s="5" t="n">
        <v>400441</v>
      </c>
      <c r="J655" s="6" t="s">
        <v>80</v>
      </c>
      <c r="K655" s="5" t="n">
        <v>153000045</v>
      </c>
      <c r="L655" s="9" t="n">
        <v>46043</v>
      </c>
      <c r="M655" s="10" t="n">
        <v>47868</v>
      </c>
    </row>
    <row r="656" customFormat="false" ht="30" hidden="true" customHeight="true" outlineLevel="0" collapsed="false">
      <c r="A656" s="4" t="s">
        <v>13</v>
      </c>
      <c r="B656" s="4" t="s">
        <v>14</v>
      </c>
      <c r="C656" s="5" t="n">
        <v>1329001664</v>
      </c>
      <c r="D656" s="6" t="s">
        <v>684</v>
      </c>
      <c r="E656" s="6"/>
      <c r="F656" s="7" t="n">
        <v>46057.2698561227</v>
      </c>
      <c r="G656" s="7" t="n">
        <v>46057.321851794</v>
      </c>
      <c r="H656" s="8" t="n">
        <v>4</v>
      </c>
      <c r="I656" s="5" t="n">
        <v>400441</v>
      </c>
      <c r="J656" s="6" t="s">
        <v>80</v>
      </c>
      <c r="K656" s="5" t="n">
        <v>153000045</v>
      </c>
      <c r="L656" s="9" t="n">
        <v>46043</v>
      </c>
      <c r="M656" s="10" t="n">
        <v>47868</v>
      </c>
    </row>
    <row r="657" customFormat="false" ht="30" hidden="true" customHeight="true" outlineLevel="0" collapsed="false">
      <c r="A657" s="4" t="s">
        <v>13</v>
      </c>
      <c r="B657" s="4" t="s">
        <v>14</v>
      </c>
      <c r="C657" s="5" t="n">
        <v>1329001664</v>
      </c>
      <c r="D657" s="6" t="s">
        <v>685</v>
      </c>
      <c r="E657" s="6"/>
      <c r="F657" s="7" t="n">
        <v>46057.2698561227</v>
      </c>
      <c r="G657" s="7" t="n">
        <v>46057.3216746528</v>
      </c>
      <c r="H657" s="8" t="n">
        <v>4</v>
      </c>
      <c r="I657" s="5" t="n">
        <v>400441</v>
      </c>
      <c r="J657" s="6" t="s">
        <v>80</v>
      </c>
      <c r="K657" s="5" t="n">
        <v>153000045</v>
      </c>
      <c r="L657" s="9" t="n">
        <v>46043</v>
      </c>
      <c r="M657" s="10" t="n">
        <v>47868</v>
      </c>
    </row>
    <row r="658" customFormat="false" ht="30" hidden="true" customHeight="true" outlineLevel="0" collapsed="false">
      <c r="A658" s="4" t="s">
        <v>13</v>
      </c>
      <c r="B658" s="4" t="s">
        <v>14</v>
      </c>
      <c r="C658" s="5" t="n">
        <v>1329001664</v>
      </c>
      <c r="D658" s="6" t="s">
        <v>686</v>
      </c>
      <c r="E658" s="6"/>
      <c r="F658" s="7" t="n">
        <v>46057.2698561227</v>
      </c>
      <c r="G658" s="7" t="n">
        <v>46057.3194094213</v>
      </c>
      <c r="H658" s="8" t="n">
        <v>4</v>
      </c>
      <c r="I658" s="5" t="n">
        <v>400441</v>
      </c>
      <c r="J658" s="6" t="s">
        <v>80</v>
      </c>
      <c r="K658" s="5" t="n">
        <v>153000045</v>
      </c>
      <c r="L658" s="9" t="n">
        <v>46043</v>
      </c>
      <c r="M658" s="10" t="n">
        <v>47868</v>
      </c>
    </row>
    <row r="659" customFormat="false" ht="30" hidden="true" customHeight="true" outlineLevel="0" collapsed="false">
      <c r="A659" s="4" t="s">
        <v>13</v>
      </c>
      <c r="B659" s="4" t="s">
        <v>14</v>
      </c>
      <c r="C659" s="5" t="n">
        <v>1329001664</v>
      </c>
      <c r="D659" s="6" t="s">
        <v>687</v>
      </c>
      <c r="E659" s="6"/>
      <c r="F659" s="7" t="n">
        <v>46057.2698561227</v>
      </c>
      <c r="G659" s="7" t="n">
        <v>46057.315184838</v>
      </c>
      <c r="H659" s="8" t="n">
        <v>4</v>
      </c>
      <c r="I659" s="5" t="n">
        <v>400441</v>
      </c>
      <c r="J659" s="6" t="s">
        <v>80</v>
      </c>
      <c r="K659" s="5" t="n">
        <v>153000045</v>
      </c>
      <c r="L659" s="9" t="n">
        <v>46043</v>
      </c>
      <c r="M659" s="10" t="n">
        <v>47868</v>
      </c>
    </row>
    <row r="660" customFormat="false" ht="30" hidden="true" customHeight="true" outlineLevel="0" collapsed="false">
      <c r="A660" s="4" t="s">
        <v>13</v>
      </c>
      <c r="B660" s="4" t="s">
        <v>14</v>
      </c>
      <c r="C660" s="5" t="n">
        <v>1329001664</v>
      </c>
      <c r="D660" s="6" t="s">
        <v>688</v>
      </c>
      <c r="E660" s="6"/>
      <c r="F660" s="7" t="n">
        <v>46057.2698561227</v>
      </c>
      <c r="G660" s="7" t="n">
        <v>46057.3149902546</v>
      </c>
      <c r="H660" s="8" t="n">
        <v>4</v>
      </c>
      <c r="I660" s="5" t="n">
        <v>400441</v>
      </c>
      <c r="J660" s="6" t="s">
        <v>80</v>
      </c>
      <c r="K660" s="5" t="n">
        <v>153000045</v>
      </c>
      <c r="L660" s="9" t="n">
        <v>46043</v>
      </c>
      <c r="M660" s="10" t="n">
        <v>47868</v>
      </c>
    </row>
    <row r="661" customFormat="false" ht="30" hidden="true" customHeight="true" outlineLevel="0" collapsed="false">
      <c r="A661" s="4" t="s">
        <v>13</v>
      </c>
      <c r="B661" s="4" t="s">
        <v>14</v>
      </c>
      <c r="C661" s="5" t="n">
        <v>1329001664</v>
      </c>
      <c r="D661" s="6" t="s">
        <v>689</v>
      </c>
      <c r="E661" s="6"/>
      <c r="F661" s="7" t="n">
        <v>46057.2698561227</v>
      </c>
      <c r="G661" s="7" t="n">
        <v>46057.3148621528</v>
      </c>
      <c r="H661" s="8" t="n">
        <v>4</v>
      </c>
      <c r="I661" s="5" t="n">
        <v>400441</v>
      </c>
      <c r="J661" s="6" t="s">
        <v>80</v>
      </c>
      <c r="K661" s="5" t="n">
        <v>153000045</v>
      </c>
      <c r="L661" s="9" t="n">
        <v>46043</v>
      </c>
      <c r="M661" s="10" t="n">
        <v>47868</v>
      </c>
    </row>
    <row r="662" customFormat="false" ht="30" hidden="true" customHeight="true" outlineLevel="0" collapsed="false">
      <c r="A662" s="4" t="s">
        <v>13</v>
      </c>
      <c r="B662" s="4" t="s">
        <v>14</v>
      </c>
      <c r="C662" s="5" t="n">
        <v>1329001664</v>
      </c>
      <c r="D662" s="6" t="s">
        <v>690</v>
      </c>
      <c r="E662" s="6"/>
      <c r="F662" s="7" t="n">
        <v>46057.2698561227</v>
      </c>
      <c r="G662" s="7" t="n">
        <v>46057.3147177778</v>
      </c>
      <c r="H662" s="8" t="n">
        <v>4</v>
      </c>
      <c r="I662" s="5" t="n">
        <v>400441</v>
      </c>
      <c r="J662" s="6" t="s">
        <v>80</v>
      </c>
      <c r="K662" s="5" t="n">
        <v>153000045</v>
      </c>
      <c r="L662" s="9" t="n">
        <v>46043</v>
      </c>
      <c r="M662" s="10" t="n">
        <v>47868</v>
      </c>
    </row>
    <row r="663" customFormat="false" ht="30" hidden="true" customHeight="true" outlineLevel="0" collapsed="false">
      <c r="A663" s="4" t="s">
        <v>13</v>
      </c>
      <c r="B663" s="4" t="s">
        <v>14</v>
      </c>
      <c r="C663" s="5" t="n">
        <v>1329001664</v>
      </c>
      <c r="D663" s="6" t="s">
        <v>691</v>
      </c>
      <c r="E663" s="6"/>
      <c r="F663" s="7" t="n">
        <v>46057.2698561227</v>
      </c>
      <c r="G663" s="7" t="n">
        <v>46057.3145042477</v>
      </c>
      <c r="H663" s="8" t="n">
        <v>4</v>
      </c>
      <c r="I663" s="5" t="n">
        <v>400441</v>
      </c>
      <c r="J663" s="6" t="s">
        <v>80</v>
      </c>
      <c r="K663" s="5" t="n">
        <v>153000045</v>
      </c>
      <c r="L663" s="9" t="n">
        <v>46043</v>
      </c>
      <c r="M663" s="10" t="n">
        <v>47868</v>
      </c>
    </row>
    <row r="664" customFormat="false" ht="30" hidden="true" customHeight="true" outlineLevel="0" collapsed="false">
      <c r="A664" s="4" t="s">
        <v>13</v>
      </c>
      <c r="B664" s="4" t="s">
        <v>14</v>
      </c>
      <c r="C664" s="5" t="n">
        <v>1329001664</v>
      </c>
      <c r="D664" s="6" t="s">
        <v>692</v>
      </c>
      <c r="E664" s="6"/>
      <c r="F664" s="7" t="n">
        <v>46057.2698561227</v>
      </c>
      <c r="G664" s="7" t="n">
        <v>46057.345349537</v>
      </c>
      <c r="H664" s="8" t="n">
        <v>4</v>
      </c>
      <c r="I664" s="5" t="n">
        <v>400441</v>
      </c>
      <c r="J664" s="6" t="s">
        <v>80</v>
      </c>
      <c r="K664" s="5" t="n">
        <v>153000045</v>
      </c>
      <c r="L664" s="9" t="n">
        <v>46043</v>
      </c>
      <c r="M664" s="10" t="n">
        <v>47868</v>
      </c>
    </row>
    <row r="665" customFormat="false" ht="30" hidden="true" customHeight="true" outlineLevel="0" collapsed="false">
      <c r="A665" s="4" t="s">
        <v>13</v>
      </c>
      <c r="B665" s="4" t="s">
        <v>14</v>
      </c>
      <c r="C665" s="5" t="n">
        <v>1329001664</v>
      </c>
      <c r="D665" s="6" t="s">
        <v>693</v>
      </c>
      <c r="E665" s="6"/>
      <c r="F665" s="7" t="n">
        <v>46057.2698561227</v>
      </c>
      <c r="G665" s="7" t="n">
        <v>46057.3452282755</v>
      </c>
      <c r="H665" s="8" t="n">
        <v>4</v>
      </c>
      <c r="I665" s="5" t="n">
        <v>400441</v>
      </c>
      <c r="J665" s="6" t="s">
        <v>80</v>
      </c>
      <c r="K665" s="5" t="n">
        <v>153000045</v>
      </c>
      <c r="L665" s="9" t="n">
        <v>46043</v>
      </c>
      <c r="M665" s="10" t="n">
        <v>47868</v>
      </c>
    </row>
    <row r="666" customFormat="false" ht="30" hidden="true" customHeight="true" outlineLevel="0" collapsed="false">
      <c r="A666" s="4" t="s">
        <v>13</v>
      </c>
      <c r="B666" s="4" t="s">
        <v>14</v>
      </c>
      <c r="C666" s="5" t="n">
        <v>1329001664</v>
      </c>
      <c r="D666" s="6" t="s">
        <v>694</v>
      </c>
      <c r="E666" s="6"/>
      <c r="F666" s="7" t="n">
        <v>46057.2698561227</v>
      </c>
      <c r="G666" s="7" t="n">
        <v>46057.3451026273</v>
      </c>
      <c r="H666" s="8" t="n">
        <v>4</v>
      </c>
      <c r="I666" s="5" t="n">
        <v>400441</v>
      </c>
      <c r="J666" s="6" t="s">
        <v>80</v>
      </c>
      <c r="K666" s="5" t="n">
        <v>153000045</v>
      </c>
      <c r="L666" s="9" t="n">
        <v>46043</v>
      </c>
      <c r="M666" s="10" t="n">
        <v>47868</v>
      </c>
    </row>
    <row r="667" customFormat="false" ht="30" hidden="true" customHeight="true" outlineLevel="0" collapsed="false">
      <c r="A667" s="4" t="s">
        <v>13</v>
      </c>
      <c r="B667" s="4" t="s">
        <v>14</v>
      </c>
      <c r="C667" s="5" t="n">
        <v>1329001664</v>
      </c>
      <c r="D667" s="6" t="s">
        <v>695</v>
      </c>
      <c r="E667" s="6"/>
      <c r="F667" s="7" t="n">
        <v>46057.2698561227</v>
      </c>
      <c r="G667" s="7" t="n">
        <v>46057.3449783912</v>
      </c>
      <c r="H667" s="8" t="n">
        <v>4</v>
      </c>
      <c r="I667" s="5" t="n">
        <v>400441</v>
      </c>
      <c r="J667" s="6" t="s">
        <v>80</v>
      </c>
      <c r="K667" s="5" t="n">
        <v>153000045</v>
      </c>
      <c r="L667" s="9" t="n">
        <v>46043</v>
      </c>
      <c r="M667" s="10" t="n">
        <v>47868</v>
      </c>
    </row>
    <row r="668" customFormat="false" ht="30" hidden="true" customHeight="true" outlineLevel="0" collapsed="false">
      <c r="A668" s="4" t="s">
        <v>13</v>
      </c>
      <c r="B668" s="4" t="s">
        <v>14</v>
      </c>
      <c r="C668" s="5" t="n">
        <v>1329001664</v>
      </c>
      <c r="D668" s="6" t="s">
        <v>696</v>
      </c>
      <c r="E668" s="6"/>
      <c r="F668" s="7" t="n">
        <v>46057.2698561227</v>
      </c>
      <c r="G668" s="7" t="n">
        <v>46057.344860463</v>
      </c>
      <c r="H668" s="8" t="n">
        <v>4</v>
      </c>
      <c r="I668" s="5" t="n">
        <v>400441</v>
      </c>
      <c r="J668" s="6" t="s">
        <v>80</v>
      </c>
      <c r="K668" s="5" t="n">
        <v>153000045</v>
      </c>
      <c r="L668" s="9" t="n">
        <v>46043</v>
      </c>
      <c r="M668" s="10" t="n">
        <v>47868</v>
      </c>
    </row>
    <row r="669" customFormat="false" ht="30" hidden="true" customHeight="true" outlineLevel="0" collapsed="false">
      <c r="A669" s="4" t="s">
        <v>13</v>
      </c>
      <c r="B669" s="4" t="s">
        <v>14</v>
      </c>
      <c r="C669" s="5" t="n">
        <v>1329001664</v>
      </c>
      <c r="D669" s="6" t="s">
        <v>697</v>
      </c>
      <c r="E669" s="6"/>
      <c r="F669" s="7" t="n">
        <v>46057.2698561227</v>
      </c>
      <c r="G669" s="7" t="n">
        <v>46057.3447465972</v>
      </c>
      <c r="H669" s="8" t="n">
        <v>4</v>
      </c>
      <c r="I669" s="5" t="n">
        <v>400441</v>
      </c>
      <c r="J669" s="6" t="s">
        <v>80</v>
      </c>
      <c r="K669" s="5" t="n">
        <v>153000045</v>
      </c>
      <c r="L669" s="9" t="n">
        <v>46043</v>
      </c>
      <c r="M669" s="10" t="n">
        <v>47868</v>
      </c>
    </row>
    <row r="670" customFormat="false" ht="30" hidden="true" customHeight="true" outlineLevel="0" collapsed="false">
      <c r="A670" s="4" t="s">
        <v>13</v>
      </c>
      <c r="B670" s="4" t="s">
        <v>14</v>
      </c>
      <c r="C670" s="5" t="n">
        <v>1329001664</v>
      </c>
      <c r="D670" s="6" t="s">
        <v>698</v>
      </c>
      <c r="E670" s="6"/>
      <c r="F670" s="7" t="n">
        <v>46057.2698561227</v>
      </c>
      <c r="G670" s="7" t="n">
        <v>46057.3446349769</v>
      </c>
      <c r="H670" s="8" t="n">
        <v>4</v>
      </c>
      <c r="I670" s="5" t="n">
        <v>400441</v>
      </c>
      <c r="J670" s="6" t="s">
        <v>80</v>
      </c>
      <c r="K670" s="5" t="n">
        <v>153000045</v>
      </c>
      <c r="L670" s="9" t="n">
        <v>46043</v>
      </c>
      <c r="M670" s="10" t="n">
        <v>47868</v>
      </c>
    </row>
    <row r="671" customFormat="false" ht="30" hidden="true" customHeight="true" outlineLevel="0" collapsed="false">
      <c r="A671" s="4" t="s">
        <v>13</v>
      </c>
      <c r="B671" s="4" t="s">
        <v>14</v>
      </c>
      <c r="C671" s="5" t="n">
        <v>1329001664</v>
      </c>
      <c r="D671" s="6" t="s">
        <v>699</v>
      </c>
      <c r="E671" s="6"/>
      <c r="F671" s="7" t="n">
        <v>46057.2698561227</v>
      </c>
      <c r="G671" s="7" t="n">
        <v>46057.344529294</v>
      </c>
      <c r="H671" s="8" t="n">
        <v>4</v>
      </c>
      <c r="I671" s="5" t="n">
        <v>400441</v>
      </c>
      <c r="J671" s="6" t="s">
        <v>80</v>
      </c>
      <c r="K671" s="5" t="n">
        <v>153000045</v>
      </c>
      <c r="L671" s="9" t="n">
        <v>46043</v>
      </c>
      <c r="M671" s="10" t="n">
        <v>47868</v>
      </c>
    </row>
    <row r="672" customFormat="false" ht="30" hidden="true" customHeight="true" outlineLevel="0" collapsed="false">
      <c r="A672" s="4" t="s">
        <v>13</v>
      </c>
      <c r="B672" s="4" t="s">
        <v>14</v>
      </c>
      <c r="C672" s="5" t="n">
        <v>1329001664</v>
      </c>
      <c r="D672" s="6" t="s">
        <v>700</v>
      </c>
      <c r="E672" s="6"/>
      <c r="F672" s="7" t="n">
        <v>46057.2698561227</v>
      </c>
      <c r="G672" s="7" t="n">
        <v>46057.3443685301</v>
      </c>
      <c r="H672" s="8" t="n">
        <v>4</v>
      </c>
      <c r="I672" s="5" t="n">
        <v>400441</v>
      </c>
      <c r="J672" s="6" t="s">
        <v>80</v>
      </c>
      <c r="K672" s="5" t="n">
        <v>153000045</v>
      </c>
      <c r="L672" s="9" t="n">
        <v>46043</v>
      </c>
      <c r="M672" s="10" t="n">
        <v>47868</v>
      </c>
    </row>
    <row r="673" customFormat="false" ht="30" hidden="true" customHeight="true" outlineLevel="0" collapsed="false">
      <c r="A673" s="4" t="s">
        <v>13</v>
      </c>
      <c r="B673" s="4" t="s">
        <v>14</v>
      </c>
      <c r="C673" s="5" t="n">
        <v>1329001664</v>
      </c>
      <c r="D673" s="6" t="s">
        <v>701</v>
      </c>
      <c r="E673" s="6"/>
      <c r="F673" s="7" t="n">
        <v>46057.2698561227</v>
      </c>
      <c r="G673" s="7" t="n">
        <v>46057.3439804514</v>
      </c>
      <c r="H673" s="8" t="n">
        <v>4</v>
      </c>
      <c r="I673" s="5" t="n">
        <v>400441</v>
      </c>
      <c r="J673" s="6" t="s">
        <v>80</v>
      </c>
      <c r="K673" s="5" t="n">
        <v>153000045</v>
      </c>
      <c r="L673" s="9" t="n">
        <v>46043</v>
      </c>
      <c r="M673" s="10" t="n">
        <v>47868</v>
      </c>
    </row>
    <row r="674" customFormat="false" ht="30" hidden="true" customHeight="true" outlineLevel="0" collapsed="false">
      <c r="A674" s="4" t="s">
        <v>13</v>
      </c>
      <c r="B674" s="4" t="s">
        <v>14</v>
      </c>
      <c r="C674" s="5" t="n">
        <v>1329001664</v>
      </c>
      <c r="D674" s="6" t="s">
        <v>702</v>
      </c>
      <c r="E674" s="6"/>
      <c r="F674" s="7" t="n">
        <v>46057.2698561227</v>
      </c>
      <c r="G674" s="7" t="n">
        <v>46057.3438414931</v>
      </c>
      <c r="H674" s="8" t="n">
        <v>4</v>
      </c>
      <c r="I674" s="5" t="n">
        <v>400441</v>
      </c>
      <c r="J674" s="6" t="s">
        <v>80</v>
      </c>
      <c r="K674" s="5" t="n">
        <v>153000045</v>
      </c>
      <c r="L674" s="9" t="n">
        <v>46043</v>
      </c>
      <c r="M674" s="10" t="n">
        <v>47868</v>
      </c>
    </row>
    <row r="675" customFormat="false" ht="30" hidden="true" customHeight="true" outlineLevel="0" collapsed="false">
      <c r="A675" s="4" t="s">
        <v>13</v>
      </c>
      <c r="B675" s="4" t="s">
        <v>14</v>
      </c>
      <c r="C675" s="5" t="n">
        <v>1329001664</v>
      </c>
      <c r="D675" s="6" t="s">
        <v>703</v>
      </c>
      <c r="E675" s="6"/>
      <c r="F675" s="7" t="n">
        <v>46057.2698561227</v>
      </c>
      <c r="G675" s="7" t="n">
        <v>46057.3437216204</v>
      </c>
      <c r="H675" s="8" t="n">
        <v>4</v>
      </c>
      <c r="I675" s="5" t="n">
        <v>400441</v>
      </c>
      <c r="J675" s="6" t="s">
        <v>80</v>
      </c>
      <c r="K675" s="5" t="n">
        <v>153000045</v>
      </c>
      <c r="L675" s="9" t="n">
        <v>46043</v>
      </c>
      <c r="M675" s="10" t="n">
        <v>47868</v>
      </c>
    </row>
    <row r="676" customFormat="false" ht="30" hidden="true" customHeight="true" outlineLevel="0" collapsed="false">
      <c r="A676" s="4" t="s">
        <v>13</v>
      </c>
      <c r="B676" s="4" t="s">
        <v>14</v>
      </c>
      <c r="C676" s="5" t="n">
        <v>1329001664</v>
      </c>
      <c r="D676" s="6" t="s">
        <v>704</v>
      </c>
      <c r="E676" s="6"/>
      <c r="F676" s="7" t="n">
        <v>46057.2698561227</v>
      </c>
      <c r="G676" s="7" t="n">
        <v>46057.343581956</v>
      </c>
      <c r="H676" s="8" t="n">
        <v>4</v>
      </c>
      <c r="I676" s="5" t="n">
        <v>400441</v>
      </c>
      <c r="J676" s="6" t="s">
        <v>80</v>
      </c>
      <c r="K676" s="5" t="n">
        <v>153000045</v>
      </c>
      <c r="L676" s="9" t="n">
        <v>46043</v>
      </c>
      <c r="M676" s="10" t="n">
        <v>47868</v>
      </c>
    </row>
    <row r="677" customFormat="false" ht="30" hidden="true" customHeight="true" outlineLevel="0" collapsed="false">
      <c r="A677" s="4" t="s">
        <v>13</v>
      </c>
      <c r="B677" s="4" t="s">
        <v>14</v>
      </c>
      <c r="C677" s="5" t="n">
        <v>1329001664</v>
      </c>
      <c r="D677" s="6" t="s">
        <v>705</v>
      </c>
      <c r="E677" s="6"/>
      <c r="F677" s="7" t="n">
        <v>46057.2698561227</v>
      </c>
      <c r="G677" s="7" t="n">
        <v>46057.3434832755</v>
      </c>
      <c r="H677" s="8" t="n">
        <v>4</v>
      </c>
      <c r="I677" s="5" t="n">
        <v>400441</v>
      </c>
      <c r="J677" s="6" t="s">
        <v>80</v>
      </c>
      <c r="K677" s="5" t="n">
        <v>153000045</v>
      </c>
      <c r="L677" s="9" t="n">
        <v>46043</v>
      </c>
      <c r="M677" s="10" t="n">
        <v>47868</v>
      </c>
    </row>
    <row r="678" customFormat="false" ht="30" hidden="true" customHeight="true" outlineLevel="0" collapsed="false">
      <c r="A678" s="4" t="s">
        <v>13</v>
      </c>
      <c r="B678" s="4" t="s">
        <v>14</v>
      </c>
      <c r="C678" s="5" t="n">
        <v>1329001664</v>
      </c>
      <c r="D678" s="6" t="s">
        <v>706</v>
      </c>
      <c r="E678" s="6"/>
      <c r="F678" s="7" t="n">
        <v>46057.2698561227</v>
      </c>
      <c r="G678" s="7" t="n">
        <v>46057.3433142014</v>
      </c>
      <c r="H678" s="8" t="n">
        <v>4</v>
      </c>
      <c r="I678" s="5" t="n">
        <v>400441</v>
      </c>
      <c r="J678" s="6" t="s">
        <v>80</v>
      </c>
      <c r="K678" s="5" t="n">
        <v>153000045</v>
      </c>
      <c r="L678" s="9" t="n">
        <v>46043</v>
      </c>
      <c r="M678" s="10" t="n">
        <v>47868</v>
      </c>
    </row>
    <row r="679" customFormat="false" ht="30" hidden="true" customHeight="true" outlineLevel="0" collapsed="false">
      <c r="A679" s="4" t="s">
        <v>13</v>
      </c>
      <c r="B679" s="4" t="s">
        <v>14</v>
      </c>
      <c r="C679" s="5" t="n">
        <v>1329001664</v>
      </c>
      <c r="D679" s="6" t="s">
        <v>707</v>
      </c>
      <c r="E679" s="6"/>
      <c r="F679" s="7" t="n">
        <v>46057.2698561227</v>
      </c>
      <c r="G679" s="7" t="n">
        <v>46057.3431798958</v>
      </c>
      <c r="H679" s="8" t="n">
        <v>4</v>
      </c>
      <c r="I679" s="5" t="n">
        <v>400441</v>
      </c>
      <c r="J679" s="6" t="s">
        <v>80</v>
      </c>
      <c r="K679" s="5" t="n">
        <v>153000045</v>
      </c>
      <c r="L679" s="9" t="n">
        <v>46043</v>
      </c>
      <c r="M679" s="10" t="n">
        <v>47868</v>
      </c>
    </row>
    <row r="680" customFormat="false" ht="30" hidden="true" customHeight="true" outlineLevel="0" collapsed="false">
      <c r="A680" s="4" t="s">
        <v>13</v>
      </c>
      <c r="B680" s="4" t="s">
        <v>14</v>
      </c>
      <c r="C680" s="5" t="n">
        <v>1329001664</v>
      </c>
      <c r="D680" s="6" t="s">
        <v>708</v>
      </c>
      <c r="E680" s="6"/>
      <c r="F680" s="7" t="n">
        <v>46057.2698561227</v>
      </c>
      <c r="G680" s="7" t="n">
        <v>46057.3430428704</v>
      </c>
      <c r="H680" s="8" t="n">
        <v>4</v>
      </c>
      <c r="I680" s="5" t="n">
        <v>400441</v>
      </c>
      <c r="J680" s="6" t="s">
        <v>80</v>
      </c>
      <c r="K680" s="5" t="n">
        <v>153000045</v>
      </c>
      <c r="L680" s="9" t="n">
        <v>46043</v>
      </c>
      <c r="M680" s="10" t="n">
        <v>47868</v>
      </c>
    </row>
    <row r="681" customFormat="false" ht="30" hidden="true" customHeight="true" outlineLevel="0" collapsed="false">
      <c r="A681" s="4" t="s">
        <v>13</v>
      </c>
      <c r="B681" s="4" t="s">
        <v>14</v>
      </c>
      <c r="C681" s="5" t="n">
        <v>1329001665</v>
      </c>
      <c r="D681" s="6" t="s">
        <v>709</v>
      </c>
      <c r="E681" s="6"/>
      <c r="F681" s="7" t="n">
        <v>46057.3019838079</v>
      </c>
      <c r="G681" s="7" t="n">
        <v>46057.3642223495</v>
      </c>
      <c r="H681" s="8" t="n">
        <v>4</v>
      </c>
      <c r="I681" s="5" t="n">
        <v>400441</v>
      </c>
      <c r="J681" s="6" t="s">
        <v>80</v>
      </c>
      <c r="K681" s="5" t="n">
        <v>100011145</v>
      </c>
      <c r="L681" s="9" t="n">
        <v>46013</v>
      </c>
      <c r="M681" s="10" t="n">
        <v>47838</v>
      </c>
    </row>
    <row r="682" customFormat="false" ht="30" hidden="true" customHeight="true" outlineLevel="0" collapsed="false">
      <c r="A682" s="4" t="s">
        <v>13</v>
      </c>
      <c r="B682" s="4" t="s">
        <v>14</v>
      </c>
      <c r="C682" s="5" t="n">
        <v>1329001665</v>
      </c>
      <c r="D682" s="6" t="s">
        <v>710</v>
      </c>
      <c r="E682" s="6"/>
      <c r="F682" s="7" t="n">
        <v>46057.3019838079</v>
      </c>
      <c r="G682" s="7" t="n">
        <v>46057.3622302894</v>
      </c>
      <c r="H682" s="8" t="n">
        <v>4</v>
      </c>
      <c r="I682" s="5" t="n">
        <v>400441</v>
      </c>
      <c r="J682" s="6" t="s">
        <v>80</v>
      </c>
      <c r="K682" s="5" t="n">
        <v>100011145</v>
      </c>
      <c r="L682" s="9"/>
      <c r="M682" s="10" t="n">
        <v>47838</v>
      </c>
    </row>
    <row r="683" customFormat="false" ht="30" hidden="true" customHeight="true" outlineLevel="0" collapsed="false">
      <c r="A683" s="4" t="s">
        <v>13</v>
      </c>
      <c r="B683" s="4" t="s">
        <v>14</v>
      </c>
      <c r="C683" s="5" t="n">
        <v>1329001665</v>
      </c>
      <c r="D683" s="6" t="s">
        <v>711</v>
      </c>
      <c r="E683" s="6"/>
      <c r="F683" s="7" t="n">
        <v>46057.3019838079</v>
      </c>
      <c r="G683" s="7" t="n">
        <v>46057.3602008681</v>
      </c>
      <c r="H683" s="8" t="n">
        <v>4</v>
      </c>
      <c r="I683" s="5" t="n">
        <v>400441</v>
      </c>
      <c r="J683" s="6" t="s">
        <v>80</v>
      </c>
      <c r="K683" s="5" t="n">
        <v>100011145</v>
      </c>
      <c r="L683" s="9"/>
      <c r="M683" s="10" t="n">
        <v>47838</v>
      </c>
    </row>
    <row r="684" customFormat="false" ht="30" hidden="true" customHeight="true" outlineLevel="0" collapsed="false">
      <c r="A684" s="4" t="s">
        <v>13</v>
      </c>
      <c r="B684" s="4" t="s">
        <v>14</v>
      </c>
      <c r="C684" s="5" t="n">
        <v>1329001665</v>
      </c>
      <c r="D684" s="6" t="s">
        <v>712</v>
      </c>
      <c r="E684" s="6"/>
      <c r="F684" s="7" t="n">
        <v>46057.3019838079</v>
      </c>
      <c r="G684" s="7" t="n">
        <v>46057.3715668634</v>
      </c>
      <c r="H684" s="8" t="n">
        <v>4</v>
      </c>
      <c r="I684" s="5" t="n">
        <v>400441</v>
      </c>
      <c r="J684" s="6" t="s">
        <v>80</v>
      </c>
      <c r="K684" s="5" t="n">
        <v>100011111</v>
      </c>
      <c r="L684" s="9"/>
      <c r="M684" s="10" t="n">
        <v>47834</v>
      </c>
    </row>
    <row r="685" customFormat="false" ht="30" hidden="true" customHeight="true" outlineLevel="0" collapsed="false">
      <c r="A685" s="4" t="s">
        <v>13</v>
      </c>
      <c r="B685" s="4" t="s">
        <v>14</v>
      </c>
      <c r="C685" s="5" t="n">
        <v>1329001665</v>
      </c>
      <c r="D685" s="6" t="s">
        <v>713</v>
      </c>
      <c r="E685" s="6"/>
      <c r="F685" s="7" t="n">
        <v>46057.3019838079</v>
      </c>
      <c r="G685" s="7" t="n">
        <v>46057.3713876389</v>
      </c>
      <c r="H685" s="8" t="n">
        <v>4</v>
      </c>
      <c r="I685" s="5" t="n">
        <v>400441</v>
      </c>
      <c r="J685" s="6" t="s">
        <v>80</v>
      </c>
      <c r="K685" s="5" t="n">
        <v>100011145</v>
      </c>
      <c r="L685" s="9"/>
      <c r="M685" s="10" t="n">
        <v>47838</v>
      </c>
    </row>
    <row r="686" customFormat="false" ht="30" hidden="true" customHeight="true" outlineLevel="0" collapsed="false">
      <c r="A686" s="4" t="s">
        <v>13</v>
      </c>
      <c r="B686" s="4" t="s">
        <v>14</v>
      </c>
      <c r="C686" s="5" t="n">
        <v>1329001665</v>
      </c>
      <c r="D686" s="6" t="s">
        <v>714</v>
      </c>
      <c r="E686" s="6"/>
      <c r="F686" s="7" t="n">
        <v>46057.3019838079</v>
      </c>
      <c r="G686" s="7" t="n">
        <v>46057.3705365509</v>
      </c>
      <c r="H686" s="8" t="n">
        <v>4</v>
      </c>
      <c r="I686" s="5" t="n">
        <v>400441</v>
      </c>
      <c r="J686" s="6" t="s">
        <v>80</v>
      </c>
      <c r="K686" s="5" t="n">
        <v>100008637</v>
      </c>
      <c r="L686" s="9"/>
      <c r="M686" s="10" t="n">
        <v>47608</v>
      </c>
    </row>
    <row r="687" customFormat="false" ht="30" hidden="true" customHeight="true" outlineLevel="0" collapsed="false">
      <c r="A687" s="4" t="s">
        <v>13</v>
      </c>
      <c r="B687" s="4" t="s">
        <v>14</v>
      </c>
      <c r="C687" s="5" t="n">
        <v>1329001665</v>
      </c>
      <c r="D687" s="6" t="s">
        <v>715</v>
      </c>
      <c r="E687" s="6"/>
      <c r="F687" s="7" t="n">
        <v>46057.3019838079</v>
      </c>
      <c r="G687" s="7" t="n">
        <v>46057.3696940278</v>
      </c>
      <c r="H687" s="8" t="n">
        <v>4</v>
      </c>
      <c r="I687" s="5" t="n">
        <v>400441</v>
      </c>
      <c r="J687" s="6" t="s">
        <v>80</v>
      </c>
      <c r="K687" s="5" t="n">
        <v>100010276</v>
      </c>
      <c r="L687" s="9"/>
      <c r="M687" s="10" t="n">
        <v>47761</v>
      </c>
    </row>
    <row r="688" customFormat="false" ht="30" hidden="true" customHeight="true" outlineLevel="0" collapsed="false">
      <c r="A688" s="4" t="s">
        <v>13</v>
      </c>
      <c r="B688" s="4" t="s">
        <v>14</v>
      </c>
      <c r="C688" s="5" t="n">
        <v>1329001665</v>
      </c>
      <c r="D688" s="6" t="s">
        <v>716</v>
      </c>
      <c r="E688" s="6"/>
      <c r="F688" s="7" t="n">
        <v>46057.3019838079</v>
      </c>
      <c r="G688" s="7" t="n">
        <v>46057.3688885417</v>
      </c>
      <c r="H688" s="8" t="n">
        <v>4</v>
      </c>
      <c r="I688" s="5" t="n">
        <v>400441</v>
      </c>
      <c r="J688" s="6" t="s">
        <v>80</v>
      </c>
      <c r="K688" s="5" t="n">
        <v>100008638</v>
      </c>
      <c r="L688" s="9"/>
      <c r="M688" s="10" t="n">
        <v>47609</v>
      </c>
    </row>
    <row r="689" customFormat="false" ht="30" hidden="true" customHeight="true" outlineLevel="0" collapsed="false">
      <c r="A689" s="4" t="s">
        <v>13</v>
      </c>
      <c r="B689" s="4" t="s">
        <v>14</v>
      </c>
      <c r="C689" s="5" t="n">
        <v>1329001665</v>
      </c>
      <c r="D689" s="6" t="s">
        <v>717</v>
      </c>
      <c r="E689" s="6"/>
      <c r="F689" s="7" t="n">
        <v>46057.3019838079</v>
      </c>
      <c r="G689" s="7" t="n">
        <v>46057.3685261574</v>
      </c>
      <c r="H689" s="8" t="n">
        <v>4</v>
      </c>
      <c r="I689" s="5" t="n">
        <v>400441</v>
      </c>
      <c r="J689" s="6" t="s">
        <v>80</v>
      </c>
      <c r="K689" s="5" t="n">
        <v>100008637</v>
      </c>
      <c r="L689" s="9"/>
      <c r="M689" s="10" t="n">
        <v>47608</v>
      </c>
    </row>
    <row r="690" customFormat="false" ht="30" hidden="true" customHeight="true" outlineLevel="0" collapsed="false">
      <c r="A690" s="4" t="s">
        <v>13</v>
      </c>
      <c r="B690" s="4" t="s">
        <v>14</v>
      </c>
      <c r="C690" s="5" t="n">
        <v>1329001665</v>
      </c>
      <c r="D690" s="6" t="s">
        <v>718</v>
      </c>
      <c r="E690" s="6"/>
      <c r="F690" s="7" t="n">
        <v>46057.3019838079</v>
      </c>
      <c r="G690" s="7" t="n">
        <v>46057.368398669</v>
      </c>
      <c r="H690" s="8" t="n">
        <v>4</v>
      </c>
      <c r="I690" s="5" t="n">
        <v>400441</v>
      </c>
      <c r="J690" s="6" t="s">
        <v>80</v>
      </c>
      <c r="K690" s="5" t="n">
        <v>100011145</v>
      </c>
      <c r="L690" s="9"/>
      <c r="M690" s="10" t="n">
        <v>47838</v>
      </c>
    </row>
    <row r="691" customFormat="false" ht="30" hidden="true" customHeight="true" outlineLevel="0" collapsed="false">
      <c r="A691" s="4" t="s">
        <v>13</v>
      </c>
      <c r="B691" s="4" t="s">
        <v>14</v>
      </c>
      <c r="C691" s="5" t="n">
        <v>1329001665</v>
      </c>
      <c r="D691" s="6" t="s">
        <v>719</v>
      </c>
      <c r="E691" s="6"/>
      <c r="F691" s="7" t="n">
        <v>46057.3019838079</v>
      </c>
      <c r="G691" s="7" t="n">
        <v>46057.3675539236</v>
      </c>
      <c r="H691" s="8" t="n">
        <v>4</v>
      </c>
      <c r="I691" s="5" t="n">
        <v>400441</v>
      </c>
      <c r="J691" s="6" t="s">
        <v>80</v>
      </c>
      <c r="K691" s="5" t="n">
        <v>100008637</v>
      </c>
      <c r="L691" s="9"/>
      <c r="M691" s="10" t="n">
        <v>47608</v>
      </c>
    </row>
    <row r="692" customFormat="false" ht="30" hidden="true" customHeight="true" outlineLevel="0" collapsed="false">
      <c r="A692" s="4" t="s">
        <v>13</v>
      </c>
      <c r="B692" s="4" t="s">
        <v>14</v>
      </c>
      <c r="C692" s="5" t="n">
        <v>1329001665</v>
      </c>
      <c r="D692" s="6" t="s">
        <v>720</v>
      </c>
      <c r="E692" s="6"/>
      <c r="F692" s="7" t="n">
        <v>46057.3019838079</v>
      </c>
      <c r="G692" s="7" t="n">
        <v>46057.3672097685</v>
      </c>
      <c r="H692" s="8" t="n">
        <v>4</v>
      </c>
      <c r="I692" s="5" t="n">
        <v>400441</v>
      </c>
      <c r="J692" s="6" t="s">
        <v>80</v>
      </c>
      <c r="K692" s="5" t="n">
        <v>100011145</v>
      </c>
      <c r="L692" s="9"/>
      <c r="M692" s="10" t="n">
        <v>47838</v>
      </c>
    </row>
    <row r="693" customFormat="false" ht="30" hidden="true" customHeight="true" outlineLevel="0" collapsed="false">
      <c r="A693" s="4" t="s">
        <v>13</v>
      </c>
      <c r="B693" s="4" t="s">
        <v>14</v>
      </c>
      <c r="C693" s="5" t="n">
        <v>1329001665</v>
      </c>
      <c r="D693" s="6" t="s">
        <v>721</v>
      </c>
      <c r="E693" s="6"/>
      <c r="F693" s="7" t="n">
        <v>46057.3019838079</v>
      </c>
      <c r="G693" s="7" t="n">
        <v>46057.3670399769</v>
      </c>
      <c r="H693" s="8" t="n">
        <v>4</v>
      </c>
      <c r="I693" s="5" t="n">
        <v>400441</v>
      </c>
      <c r="J693" s="6" t="s">
        <v>80</v>
      </c>
      <c r="K693" s="5" t="n">
        <v>100011145</v>
      </c>
      <c r="L693" s="9"/>
      <c r="M693" s="10" t="n">
        <v>47838</v>
      </c>
    </row>
    <row r="694" customFormat="false" ht="30" hidden="true" customHeight="true" outlineLevel="0" collapsed="false">
      <c r="A694" s="4" t="s">
        <v>13</v>
      </c>
      <c r="B694" s="4" t="s">
        <v>14</v>
      </c>
      <c r="C694" s="5" t="n">
        <v>1329001665</v>
      </c>
      <c r="D694" s="6" t="s">
        <v>722</v>
      </c>
      <c r="E694" s="6"/>
      <c r="F694" s="7" t="n">
        <v>46057.3019838079</v>
      </c>
      <c r="G694" s="7" t="n">
        <v>46057.3663183796</v>
      </c>
      <c r="H694" s="8" t="n">
        <v>4</v>
      </c>
      <c r="I694" s="5" t="n">
        <v>400441</v>
      </c>
      <c r="J694" s="6" t="s">
        <v>80</v>
      </c>
      <c r="K694" s="5" t="n">
        <v>10001145</v>
      </c>
      <c r="L694" s="9"/>
      <c r="M694" s="10" t="n">
        <v>47838</v>
      </c>
    </row>
    <row r="695" customFormat="false" ht="30" hidden="true" customHeight="true" outlineLevel="0" collapsed="false">
      <c r="A695" s="4" t="s">
        <v>13</v>
      </c>
      <c r="B695" s="4" t="s">
        <v>14</v>
      </c>
      <c r="C695" s="5" t="n">
        <v>1329001665</v>
      </c>
      <c r="D695" s="6" t="s">
        <v>723</v>
      </c>
      <c r="E695" s="6"/>
      <c r="F695" s="7" t="n">
        <v>46057.3019838079</v>
      </c>
      <c r="G695" s="7" t="n">
        <v>46057.366005544</v>
      </c>
      <c r="H695" s="8" t="n">
        <v>4</v>
      </c>
      <c r="I695" s="5" t="n">
        <v>400441</v>
      </c>
      <c r="J695" s="6" t="s">
        <v>80</v>
      </c>
      <c r="K695" s="5" t="n">
        <v>100011145</v>
      </c>
      <c r="L695" s="9"/>
      <c r="M695" s="10" t="n">
        <v>47838</v>
      </c>
    </row>
    <row r="696" customForma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  <c r="D696" s="6" t="s">
        <v>724</v>
      </c>
      <c r="E696" s="6"/>
      <c r="F696" s="7" t="n">
        <v>46057.3019838079</v>
      </c>
      <c r="G696" s="7" t="n">
        <v>46057.3658322107</v>
      </c>
      <c r="H696" s="8" t="n">
        <v>4</v>
      </c>
      <c r="I696" s="5" t="n">
        <v>400441</v>
      </c>
      <c r="J696" s="6" t="s">
        <v>80</v>
      </c>
      <c r="K696" s="5" t="n">
        <v>100011145</v>
      </c>
      <c r="L696" s="9"/>
      <c r="M696" s="10" t="n">
        <v>47838</v>
      </c>
    </row>
    <row r="697" customFormat="false" ht="30" hidden="true" customHeight="true" outlineLevel="0" collapsed="false">
      <c r="A697" s="4" t="s">
        <v>13</v>
      </c>
      <c r="B697" s="4" t="s">
        <v>14</v>
      </c>
      <c r="C697" s="5" t="n">
        <v>1329001665</v>
      </c>
      <c r="D697" s="6" t="s">
        <v>725</v>
      </c>
      <c r="E697" s="6"/>
      <c r="F697" s="7" t="n">
        <v>46057.3019838079</v>
      </c>
      <c r="G697" s="7" t="n">
        <v>46057.3657047917</v>
      </c>
      <c r="H697" s="8" t="n">
        <v>4</v>
      </c>
      <c r="I697" s="5" t="n">
        <v>400441</v>
      </c>
      <c r="J697" s="6" t="s">
        <v>80</v>
      </c>
      <c r="K697" s="5" t="n">
        <v>100011145</v>
      </c>
      <c r="L697" s="9"/>
      <c r="M697" s="10" t="n">
        <v>47838</v>
      </c>
    </row>
    <row r="698" customFormat="false" ht="30" hidden="true" customHeight="true" outlineLevel="0" collapsed="false">
      <c r="A698" s="4" t="s">
        <v>13</v>
      </c>
      <c r="B698" s="4" t="s">
        <v>14</v>
      </c>
      <c r="C698" s="5" t="n">
        <v>1329001665</v>
      </c>
      <c r="D698" s="6" t="s">
        <v>726</v>
      </c>
      <c r="E698" s="6"/>
      <c r="F698" s="7" t="n">
        <v>46057.3019838079</v>
      </c>
      <c r="G698" s="7" t="n">
        <v>46057.3655717477</v>
      </c>
      <c r="H698" s="8" t="n">
        <v>4</v>
      </c>
      <c r="I698" s="5" t="n">
        <v>400441</v>
      </c>
      <c r="J698" s="6" t="s">
        <v>80</v>
      </c>
      <c r="K698" s="5" t="n">
        <v>100011145</v>
      </c>
      <c r="L698" s="9"/>
      <c r="M698" s="10" t="n">
        <v>47838</v>
      </c>
    </row>
    <row r="699" customFormat="false" ht="30" hidden="true" customHeight="true" outlineLevel="0" collapsed="false">
      <c r="A699" s="4" t="s">
        <v>13</v>
      </c>
      <c r="B699" s="4" t="s">
        <v>14</v>
      </c>
      <c r="C699" s="5" t="n">
        <v>1329001665</v>
      </c>
      <c r="D699" s="6" t="s">
        <v>727</v>
      </c>
      <c r="E699" s="6"/>
      <c r="F699" s="7" t="n">
        <v>46057.3019838079</v>
      </c>
      <c r="G699" s="7" t="n">
        <v>46057.3654159722</v>
      </c>
      <c r="H699" s="8" t="n">
        <v>4</v>
      </c>
      <c r="I699" s="5" t="n">
        <v>400441</v>
      </c>
      <c r="J699" s="6" t="s">
        <v>80</v>
      </c>
      <c r="K699" s="5" t="n">
        <v>100011145</v>
      </c>
      <c r="L699" s="9"/>
      <c r="M699" s="10" t="n">
        <v>47838</v>
      </c>
    </row>
    <row r="700" customFormat="false" ht="30" hidden="true" customHeight="true" outlineLevel="0" collapsed="false">
      <c r="A700" s="4" t="s">
        <v>13</v>
      </c>
      <c r="B700" s="4" t="s">
        <v>14</v>
      </c>
      <c r="C700" s="5" t="n">
        <v>1329001665</v>
      </c>
      <c r="D700" s="6" t="s">
        <v>728</v>
      </c>
      <c r="E700" s="6"/>
      <c r="F700" s="7" t="n">
        <v>46057.3019838079</v>
      </c>
      <c r="G700" s="7" t="n">
        <v>46057.3652325</v>
      </c>
      <c r="H700" s="8" t="n">
        <v>4</v>
      </c>
      <c r="I700" s="5" t="n">
        <v>400441</v>
      </c>
      <c r="J700" s="6" t="s">
        <v>80</v>
      </c>
      <c r="K700" s="5" t="n">
        <v>100011145</v>
      </c>
      <c r="L700" s="9"/>
      <c r="M700" s="10" t="n">
        <v>47838</v>
      </c>
    </row>
    <row r="701" customFormat="false" ht="30" hidden="true" customHeight="true" outlineLevel="0" collapsed="false">
      <c r="A701" s="4" t="s">
        <v>13</v>
      </c>
      <c r="B701" s="4" t="s">
        <v>14</v>
      </c>
      <c r="C701" s="5" t="n">
        <v>1329001665</v>
      </c>
      <c r="D701" s="6" t="s">
        <v>729</v>
      </c>
      <c r="E701" s="6"/>
      <c r="F701" s="7" t="n">
        <v>46057.3019838079</v>
      </c>
      <c r="G701" s="7" t="n">
        <v>46057.365056875</v>
      </c>
      <c r="H701" s="8" t="n">
        <v>4</v>
      </c>
      <c r="I701" s="5" t="n">
        <v>400441</v>
      </c>
      <c r="J701" s="6" t="s">
        <v>80</v>
      </c>
      <c r="K701" s="5" t="n">
        <v>100011145</v>
      </c>
      <c r="L701" s="9"/>
      <c r="M701" s="10" t="n">
        <v>47838</v>
      </c>
    </row>
    <row r="702" customFormat="false" ht="30" hidden="true" customHeight="true" outlineLevel="0" collapsed="false">
      <c r="A702" s="4" t="s">
        <v>13</v>
      </c>
      <c r="B702" s="4" t="s">
        <v>14</v>
      </c>
      <c r="C702" s="5" t="n">
        <v>1329001665</v>
      </c>
      <c r="D702" s="6" t="s">
        <v>730</v>
      </c>
      <c r="E702" s="6"/>
      <c r="F702" s="7" t="n">
        <v>46057.3019838079</v>
      </c>
      <c r="G702" s="7" t="n">
        <v>46057.364807338</v>
      </c>
      <c r="H702" s="8" t="n">
        <v>4</v>
      </c>
      <c r="I702" s="5" t="n">
        <v>400441</v>
      </c>
      <c r="J702" s="6" t="s">
        <v>80</v>
      </c>
      <c r="K702" s="5" t="n">
        <v>100011145</v>
      </c>
      <c r="L702" s="9"/>
      <c r="M702" s="10" t="n">
        <v>47838</v>
      </c>
    </row>
    <row r="703" customFormat="false" ht="30" hidden="true" customHeight="true" outlineLevel="0" collapsed="false">
      <c r="A703" s="4" t="s">
        <v>13</v>
      </c>
      <c r="B703" s="4" t="s">
        <v>14</v>
      </c>
      <c r="C703" s="5" t="n">
        <v>1329001665</v>
      </c>
      <c r="D703" s="6" t="s">
        <v>731</v>
      </c>
      <c r="E703" s="6"/>
      <c r="F703" s="7" t="n">
        <v>46057.3019838079</v>
      </c>
      <c r="G703" s="7" t="n">
        <v>46057.3646531019</v>
      </c>
      <c r="H703" s="8" t="n">
        <v>4</v>
      </c>
      <c r="I703" s="5" t="n">
        <v>400441</v>
      </c>
      <c r="J703" s="6" t="s">
        <v>80</v>
      </c>
      <c r="K703" s="5" t="n">
        <v>100011145</v>
      </c>
      <c r="L703" s="9"/>
      <c r="M703" s="10" t="n">
        <v>47838</v>
      </c>
    </row>
    <row r="704" customFormat="false" ht="30" hidden="true" customHeight="true" outlineLevel="0" collapsed="false">
      <c r="A704" s="4" t="s">
        <v>13</v>
      </c>
      <c r="B704" s="4" t="s">
        <v>14</v>
      </c>
      <c r="C704" s="5" t="n">
        <v>1329001665</v>
      </c>
      <c r="D704" s="6" t="s">
        <v>732</v>
      </c>
      <c r="E704" s="6"/>
      <c r="F704" s="7" t="n">
        <v>46057.3019838079</v>
      </c>
      <c r="G704" s="7" t="n">
        <v>46057.3644728472</v>
      </c>
      <c r="H704" s="8" t="n">
        <v>4</v>
      </c>
      <c r="I704" s="5" t="n">
        <v>400441</v>
      </c>
      <c r="J704" s="6" t="s">
        <v>80</v>
      </c>
      <c r="K704" s="5" t="n">
        <v>100011145</v>
      </c>
      <c r="L704" s="9"/>
      <c r="M704" s="10" t="n">
        <v>47838</v>
      </c>
    </row>
    <row r="705" customFormat="false" ht="30" hidden="true" customHeight="true" outlineLevel="0" collapsed="false">
      <c r="A705" s="4" t="s">
        <v>13</v>
      </c>
      <c r="B705" s="4" t="s">
        <v>14</v>
      </c>
      <c r="C705" s="5" t="n">
        <v>1329001665</v>
      </c>
      <c r="D705" s="6" t="s">
        <v>733</v>
      </c>
      <c r="E705" s="6"/>
      <c r="F705" s="7" t="n">
        <v>46057.3019838079</v>
      </c>
      <c r="G705" s="7" t="n">
        <v>46057.3640145486</v>
      </c>
      <c r="H705" s="8" t="n">
        <v>4</v>
      </c>
      <c r="I705" s="5" t="n">
        <v>400441</v>
      </c>
      <c r="J705" s="6" t="s">
        <v>80</v>
      </c>
      <c r="K705" s="5" t="n">
        <v>100011145</v>
      </c>
      <c r="L705" s="9"/>
      <c r="M705" s="10" t="n">
        <v>47838</v>
      </c>
    </row>
    <row r="706" customFormat="false" ht="30" hidden="true" customHeight="true" outlineLevel="0" collapsed="false">
      <c r="A706" s="4" t="s">
        <v>13</v>
      </c>
      <c r="B706" s="4" t="s">
        <v>14</v>
      </c>
      <c r="C706" s="5" t="n">
        <v>1329001665</v>
      </c>
      <c r="D706" s="6" t="s">
        <v>734</v>
      </c>
      <c r="E706" s="6"/>
      <c r="F706" s="7" t="n">
        <v>46057.3019838079</v>
      </c>
      <c r="G706" s="7" t="n">
        <v>46057.3637891319</v>
      </c>
      <c r="H706" s="8" t="n">
        <v>4</v>
      </c>
      <c r="I706" s="5" t="n">
        <v>400441</v>
      </c>
      <c r="J706" s="6" t="s">
        <v>80</v>
      </c>
      <c r="K706" s="5" t="n">
        <v>100011145</v>
      </c>
      <c r="L706" s="9"/>
      <c r="M706" s="10" t="n">
        <v>47838</v>
      </c>
    </row>
    <row r="707" customFormat="false" ht="30" hidden="true" customHeight="true" outlineLevel="0" collapsed="false">
      <c r="A707" s="4" t="s">
        <v>13</v>
      </c>
      <c r="B707" s="4" t="s">
        <v>14</v>
      </c>
      <c r="C707" s="5" t="n">
        <v>1329001665</v>
      </c>
      <c r="D707" s="6" t="s">
        <v>735</v>
      </c>
      <c r="E707" s="6"/>
      <c r="F707" s="7" t="n">
        <v>46057.3019838079</v>
      </c>
      <c r="G707" s="7" t="n">
        <v>46057.363528125</v>
      </c>
      <c r="H707" s="8" t="n">
        <v>4</v>
      </c>
      <c r="I707" s="5" t="n">
        <v>400441</v>
      </c>
      <c r="J707" s="6" t="s">
        <v>80</v>
      </c>
      <c r="K707" s="5" t="n">
        <v>100011145</v>
      </c>
      <c r="L707" s="9"/>
      <c r="M707" s="10" t="n">
        <v>47838</v>
      </c>
    </row>
    <row r="708" customFormat="false" ht="30" hidden="true" customHeight="true" outlineLevel="0" collapsed="false">
      <c r="A708" s="4" t="s">
        <v>13</v>
      </c>
      <c r="B708" s="4" t="s">
        <v>14</v>
      </c>
      <c r="C708" s="5" t="n">
        <v>1329001665</v>
      </c>
      <c r="D708" s="6" t="s">
        <v>736</v>
      </c>
      <c r="E708" s="6"/>
      <c r="F708" s="7" t="n">
        <v>46057.3019838079</v>
      </c>
      <c r="G708" s="7" t="n">
        <v>46057.3633099884</v>
      </c>
      <c r="H708" s="8" t="n">
        <v>4</v>
      </c>
      <c r="I708" s="5" t="n">
        <v>400441</v>
      </c>
      <c r="J708" s="6" t="s">
        <v>80</v>
      </c>
      <c r="K708" s="5" t="n">
        <v>100011145</v>
      </c>
      <c r="L708" s="9"/>
      <c r="M708" s="10" t="n">
        <v>47838</v>
      </c>
    </row>
    <row r="709" customFormat="false" ht="30" hidden="true" customHeight="true" outlineLevel="0" collapsed="false">
      <c r="A709" s="4" t="s">
        <v>13</v>
      </c>
      <c r="B709" s="4" t="s">
        <v>14</v>
      </c>
      <c r="C709" s="5" t="n">
        <v>1329001665</v>
      </c>
      <c r="D709" s="6" t="s">
        <v>737</v>
      </c>
      <c r="E709" s="6"/>
      <c r="F709" s="7" t="n">
        <v>46057.3019838079</v>
      </c>
      <c r="G709" s="7" t="n">
        <v>46057.3626642824</v>
      </c>
      <c r="H709" s="8" t="n">
        <v>4</v>
      </c>
      <c r="I709" s="5" t="n">
        <v>400441</v>
      </c>
      <c r="J709" s="6" t="s">
        <v>80</v>
      </c>
      <c r="K709" s="5" t="n">
        <v>100011145</v>
      </c>
      <c r="L709" s="9"/>
      <c r="M709" s="10" t="n">
        <v>47838</v>
      </c>
    </row>
    <row r="710" customFormat="false" ht="30" hidden="true" customHeight="true" outlineLevel="0" collapsed="false">
      <c r="A710" s="4" t="s">
        <v>13</v>
      </c>
      <c r="B710" s="4" t="s">
        <v>14</v>
      </c>
      <c r="C710" s="5" t="n">
        <v>1329001665</v>
      </c>
      <c r="D710" s="6" t="s">
        <v>738</v>
      </c>
      <c r="E710" s="6"/>
      <c r="F710" s="7" t="n">
        <v>46057.3019838079</v>
      </c>
      <c r="G710" s="7" t="n">
        <v>46057.3597343866</v>
      </c>
      <c r="H710" s="8" t="n">
        <v>4</v>
      </c>
      <c r="I710" s="5" t="n">
        <v>400441</v>
      </c>
      <c r="J710" s="6" t="s">
        <v>80</v>
      </c>
      <c r="K710" s="5" t="n">
        <v>100011145</v>
      </c>
      <c r="L710" s="9"/>
      <c r="M710" s="10" t="n">
        <v>47838</v>
      </c>
    </row>
    <row r="711" customFormat="false" ht="30" hidden="true" customHeight="true" outlineLevel="0" collapsed="false">
      <c r="A711" s="4" t="s">
        <v>109</v>
      </c>
      <c r="B711" s="4" t="s">
        <v>14</v>
      </c>
      <c r="C711" s="5" t="n">
        <v>1329001659</v>
      </c>
      <c r="D711" s="6" t="s">
        <v>739</v>
      </c>
      <c r="E711" s="6"/>
      <c r="F711" s="7" t="n">
        <v>46057.369479294</v>
      </c>
      <c r="G711" s="7" t="n">
        <v>46057.5067745949</v>
      </c>
      <c r="H711" s="8" t="n">
        <v>4</v>
      </c>
      <c r="I711" s="5" t="n">
        <v>400903</v>
      </c>
      <c r="J711" s="6" t="s">
        <v>562</v>
      </c>
      <c r="K711" s="5" t="n">
        <v>600001029</v>
      </c>
      <c r="L711" s="9" t="n">
        <v>46044</v>
      </c>
      <c r="M711" s="10" t="n">
        <v>47869</v>
      </c>
    </row>
    <row r="712" customFormat="false" ht="30" hidden="true" customHeight="true" outlineLevel="0" collapsed="false">
      <c r="A712" s="4" t="s">
        <v>109</v>
      </c>
      <c r="B712" s="4" t="s">
        <v>14</v>
      </c>
      <c r="C712" s="5" t="n">
        <v>1329001659</v>
      </c>
      <c r="D712" s="6" t="s">
        <v>740</v>
      </c>
      <c r="E712" s="6"/>
      <c r="F712" s="7" t="n">
        <v>46057.369479294</v>
      </c>
      <c r="G712" s="7" t="n">
        <v>46057.5265381713</v>
      </c>
      <c r="H712" s="8" t="n">
        <v>3</v>
      </c>
      <c r="I712" s="5" t="n">
        <v>400903</v>
      </c>
      <c r="J712" s="6" t="s">
        <v>562</v>
      </c>
      <c r="K712" s="5" t="n">
        <v>600001001</v>
      </c>
      <c r="L712" s="9" t="n">
        <v>46044</v>
      </c>
      <c r="M712" s="10" t="n">
        <v>47869</v>
      </c>
    </row>
    <row r="713" customFormat="false" ht="30" hidden="true" customHeight="true" outlineLevel="0" collapsed="false">
      <c r="A713" s="4" t="s">
        <v>109</v>
      </c>
      <c r="B713" s="4" t="s">
        <v>14</v>
      </c>
      <c r="C713" s="5" t="n">
        <v>1329001659</v>
      </c>
      <c r="D713" s="6" t="s">
        <v>741</v>
      </c>
      <c r="E713" s="6"/>
      <c r="F713" s="7" t="n">
        <v>46057.369479294</v>
      </c>
      <c r="G713" s="7" t="n">
        <v>46057.5233166435</v>
      </c>
      <c r="H713" s="8" t="n">
        <v>4</v>
      </c>
      <c r="I713" s="5" t="n">
        <v>400903</v>
      </c>
      <c r="J713" s="6" t="s">
        <v>562</v>
      </c>
      <c r="K713" s="5" t="n">
        <v>600001028</v>
      </c>
      <c r="L713" s="9" t="n">
        <v>46044</v>
      </c>
      <c r="M713" s="10" t="n">
        <v>47869</v>
      </c>
    </row>
    <row r="714" customFormat="false" ht="30" hidden="true" customHeight="true" outlineLevel="0" collapsed="false">
      <c r="A714" s="4" t="s">
        <v>109</v>
      </c>
      <c r="B714" s="4" t="s">
        <v>14</v>
      </c>
      <c r="C714" s="5" t="n">
        <v>1329001659</v>
      </c>
      <c r="D714" s="6" t="s">
        <v>742</v>
      </c>
      <c r="E714" s="6"/>
      <c r="F714" s="7" t="n">
        <v>46057.369479294</v>
      </c>
      <c r="G714" s="7" t="n">
        <v>46057.5228207755</v>
      </c>
      <c r="H714" s="8" t="n">
        <v>4</v>
      </c>
      <c r="I714" s="5" t="n">
        <v>400903</v>
      </c>
      <c r="J714" s="6" t="s">
        <v>562</v>
      </c>
      <c r="K714" s="5" t="n">
        <v>600001029</v>
      </c>
      <c r="L714" s="9" t="n">
        <v>46044</v>
      </c>
      <c r="M714" s="10" t="n">
        <v>47869</v>
      </c>
    </row>
    <row r="715" customFormat="false" ht="30" hidden="true" customHeight="true" outlineLevel="0" collapsed="false">
      <c r="A715" s="4" t="s">
        <v>109</v>
      </c>
      <c r="B715" s="4" t="s">
        <v>14</v>
      </c>
      <c r="C715" s="5" t="n">
        <v>1329001659</v>
      </c>
      <c r="D715" s="6" t="s">
        <v>743</v>
      </c>
      <c r="E715" s="6"/>
      <c r="F715" s="7" t="n">
        <v>46057.369479294</v>
      </c>
      <c r="G715" s="7" t="n">
        <v>46057.5223001157</v>
      </c>
      <c r="H715" s="8" t="n">
        <v>4</v>
      </c>
      <c r="I715" s="5" t="n">
        <v>400903</v>
      </c>
      <c r="J715" s="6" t="s">
        <v>562</v>
      </c>
      <c r="K715" s="5" t="n">
        <v>600001028</v>
      </c>
      <c r="L715" s="9" t="n">
        <v>46044</v>
      </c>
      <c r="M715" s="10" t="n">
        <v>47869</v>
      </c>
    </row>
    <row r="716" customFormat="false" ht="30" hidden="true" customHeight="true" outlineLevel="0" collapsed="false">
      <c r="A716" s="4" t="s">
        <v>109</v>
      </c>
      <c r="B716" s="4" t="s">
        <v>14</v>
      </c>
      <c r="C716" s="5" t="n">
        <v>1329001659</v>
      </c>
      <c r="D716" s="6" t="s">
        <v>744</v>
      </c>
      <c r="E716" s="6"/>
      <c r="F716" s="7" t="n">
        <v>46057.369479294</v>
      </c>
      <c r="G716" s="7" t="n">
        <v>46057.5218039236</v>
      </c>
      <c r="H716" s="8" t="n">
        <v>4</v>
      </c>
      <c r="I716" s="5" t="n">
        <v>400903</v>
      </c>
      <c r="J716" s="6" t="s">
        <v>562</v>
      </c>
      <c r="K716" s="5" t="n">
        <v>600001029</v>
      </c>
      <c r="L716" s="9" t="n">
        <v>46044</v>
      </c>
      <c r="M716" s="10" t="n">
        <v>47869</v>
      </c>
    </row>
    <row r="717" customFormat="false" ht="30" hidden="true" customHeight="true" outlineLevel="0" collapsed="false">
      <c r="A717" s="4" t="s">
        <v>109</v>
      </c>
      <c r="B717" s="4" t="s">
        <v>14</v>
      </c>
      <c r="C717" s="5" t="n">
        <v>1329001659</v>
      </c>
      <c r="D717" s="6" t="s">
        <v>745</v>
      </c>
      <c r="E717" s="6"/>
      <c r="F717" s="7" t="n">
        <v>46057.369479294</v>
      </c>
      <c r="G717" s="7" t="n">
        <v>46057.5213581134</v>
      </c>
      <c r="H717" s="8" t="n">
        <v>4</v>
      </c>
      <c r="I717" s="5" t="n">
        <v>400903</v>
      </c>
      <c r="J717" s="6" t="s">
        <v>562</v>
      </c>
      <c r="K717" s="5" t="n">
        <v>600001028</v>
      </c>
      <c r="L717" s="9" t="n">
        <v>46044</v>
      </c>
      <c r="M717" s="10" t="n">
        <v>47869</v>
      </c>
    </row>
    <row r="718" customFormat="false" ht="30" hidden="true" customHeight="true" outlineLevel="0" collapsed="false">
      <c r="A718" s="4" t="s">
        <v>109</v>
      </c>
      <c r="B718" s="4" t="s">
        <v>14</v>
      </c>
      <c r="C718" s="5" t="n">
        <v>1329001659</v>
      </c>
      <c r="D718" s="6" t="s">
        <v>746</v>
      </c>
      <c r="E718" s="6"/>
      <c r="F718" s="7" t="n">
        <v>46057.369479294</v>
      </c>
      <c r="G718" s="7" t="n">
        <v>46057.5203062963</v>
      </c>
      <c r="H718" s="8" t="n">
        <v>4</v>
      </c>
      <c r="I718" s="5" t="n">
        <v>400903</v>
      </c>
      <c r="J718" s="6" t="s">
        <v>562</v>
      </c>
      <c r="K718" s="5" t="n">
        <v>600001028</v>
      </c>
      <c r="L718" s="9" t="n">
        <v>46044</v>
      </c>
      <c r="M718" s="10" t="n">
        <v>47869</v>
      </c>
    </row>
    <row r="719" customFormat="false" ht="30" hidden="true" customHeight="true" outlineLevel="0" collapsed="false">
      <c r="A719" s="4" t="s">
        <v>109</v>
      </c>
      <c r="B719" s="4" t="s">
        <v>14</v>
      </c>
      <c r="C719" s="5" t="n">
        <v>1329001659</v>
      </c>
      <c r="D719" s="6" t="s">
        <v>747</v>
      </c>
      <c r="E719" s="6"/>
      <c r="F719" s="7" t="n">
        <v>46057.369479294</v>
      </c>
      <c r="G719" s="7" t="n">
        <v>46057.5198158102</v>
      </c>
      <c r="H719" s="8" t="n">
        <v>4</v>
      </c>
      <c r="I719" s="5" t="n">
        <v>400903</v>
      </c>
      <c r="J719" s="6" t="s">
        <v>562</v>
      </c>
      <c r="K719" s="5" t="n">
        <v>600001029</v>
      </c>
      <c r="L719" s="9" t="n">
        <v>46044</v>
      </c>
      <c r="M719" s="10" t="n">
        <v>47869</v>
      </c>
    </row>
    <row r="720" customFormat="false" ht="30" hidden="true" customHeight="true" outlineLevel="0" collapsed="false">
      <c r="A720" s="4" t="s">
        <v>109</v>
      </c>
      <c r="B720" s="4" t="s">
        <v>14</v>
      </c>
      <c r="C720" s="5" t="n">
        <v>1329001659</v>
      </c>
      <c r="D720" s="6" t="s">
        <v>748</v>
      </c>
      <c r="E720" s="6"/>
      <c r="F720" s="7" t="n">
        <v>46057.369479294</v>
      </c>
      <c r="G720" s="7" t="n">
        <v>46057.5207598264</v>
      </c>
      <c r="H720" s="8" t="n">
        <v>4</v>
      </c>
      <c r="I720" s="5" t="n">
        <v>400903</v>
      </c>
      <c r="J720" s="6" t="s">
        <v>562</v>
      </c>
      <c r="K720" s="5" t="n">
        <v>600001029</v>
      </c>
      <c r="L720" s="9" t="n">
        <v>46044</v>
      </c>
      <c r="M720" s="10" t="n">
        <v>47869</v>
      </c>
    </row>
    <row r="721" customFormat="false" ht="30" hidden="true" customHeight="true" outlineLevel="0" collapsed="false">
      <c r="A721" s="4" t="s">
        <v>109</v>
      </c>
      <c r="B721" s="4" t="s">
        <v>14</v>
      </c>
      <c r="C721" s="5" t="n">
        <v>1329001659</v>
      </c>
      <c r="D721" s="6" t="s">
        <v>749</v>
      </c>
      <c r="E721" s="6"/>
      <c r="F721" s="7" t="n">
        <v>46057.369479294</v>
      </c>
      <c r="G721" s="7" t="n">
        <v>46057.5188496296</v>
      </c>
      <c r="H721" s="8" t="n">
        <v>4</v>
      </c>
      <c r="I721" s="5" t="n">
        <v>400903</v>
      </c>
      <c r="J721" s="6" t="s">
        <v>562</v>
      </c>
      <c r="K721" s="5" t="n">
        <v>600001029</v>
      </c>
      <c r="L721" s="9" t="n">
        <v>46044</v>
      </c>
      <c r="M721" s="10" t="n">
        <v>47869</v>
      </c>
    </row>
    <row r="722" customFormat="false" ht="30" hidden="true" customHeight="true" outlineLevel="0" collapsed="false">
      <c r="A722" s="4" t="s">
        <v>109</v>
      </c>
      <c r="B722" s="4" t="s">
        <v>14</v>
      </c>
      <c r="C722" s="5" t="n">
        <v>1329001659</v>
      </c>
      <c r="D722" s="6" t="s">
        <v>750</v>
      </c>
      <c r="E722" s="6"/>
      <c r="F722" s="7" t="n">
        <v>46057.369479294</v>
      </c>
      <c r="G722" s="7" t="n">
        <v>46057.5193310185</v>
      </c>
      <c r="H722" s="8" t="n">
        <v>4</v>
      </c>
      <c r="I722" s="5" t="n">
        <v>400903</v>
      </c>
      <c r="J722" s="6" t="s">
        <v>562</v>
      </c>
      <c r="K722" s="5" t="n">
        <v>600001028</v>
      </c>
      <c r="L722" s="9" t="n">
        <v>46044</v>
      </c>
      <c r="M722" s="10" t="n">
        <v>47869</v>
      </c>
    </row>
    <row r="723" customFormat="false" ht="30" hidden="true" customHeight="true" outlineLevel="0" collapsed="false">
      <c r="A723" s="4" t="s">
        <v>109</v>
      </c>
      <c r="B723" s="4" t="s">
        <v>14</v>
      </c>
      <c r="C723" s="5" t="n">
        <v>1329001659</v>
      </c>
      <c r="D723" s="6" t="s">
        <v>751</v>
      </c>
      <c r="E723" s="6"/>
      <c r="F723" s="7" t="n">
        <v>46057.369479294</v>
      </c>
      <c r="G723" s="7" t="n">
        <v>46057.5181487269</v>
      </c>
      <c r="H723" s="8" t="n">
        <v>4</v>
      </c>
      <c r="I723" s="5" t="n">
        <v>400903</v>
      </c>
      <c r="J723" s="6" t="s">
        <v>562</v>
      </c>
      <c r="K723" s="5" t="n">
        <v>600001028</v>
      </c>
      <c r="L723" s="9" t="n">
        <v>46044</v>
      </c>
      <c r="M723" s="10" t="n">
        <v>47869</v>
      </c>
    </row>
    <row r="724" customFormat="false" ht="30" hidden="true" customHeight="true" outlineLevel="0" collapsed="false">
      <c r="A724" s="4" t="s">
        <v>109</v>
      </c>
      <c r="B724" s="4" t="s">
        <v>14</v>
      </c>
      <c r="C724" s="5" t="n">
        <v>1329001659</v>
      </c>
      <c r="D724" s="6" t="s">
        <v>752</v>
      </c>
      <c r="E724" s="6"/>
      <c r="F724" s="7" t="n">
        <v>46057.369479294</v>
      </c>
      <c r="G724" s="7" t="n">
        <v>46057.5171983912</v>
      </c>
      <c r="H724" s="8" t="n">
        <v>4</v>
      </c>
      <c r="I724" s="5" t="n">
        <v>400903</v>
      </c>
      <c r="J724" s="6" t="s">
        <v>562</v>
      </c>
      <c r="K724" s="5" t="n">
        <v>600001029</v>
      </c>
      <c r="L724" s="9" t="n">
        <v>46044</v>
      </c>
      <c r="M724" s="10" t="n">
        <v>47869</v>
      </c>
    </row>
    <row r="725" customFormat="false" ht="30" hidden="true" customHeight="true" outlineLevel="0" collapsed="false">
      <c r="A725" s="4" t="s">
        <v>109</v>
      </c>
      <c r="B725" s="4" t="s">
        <v>14</v>
      </c>
      <c r="C725" s="5" t="n">
        <v>1329001659</v>
      </c>
      <c r="D725" s="6" t="s">
        <v>753</v>
      </c>
      <c r="E725" s="6"/>
      <c r="F725" s="7" t="n">
        <v>46057.369479294</v>
      </c>
      <c r="G725" s="7" t="n">
        <v>46057.5166540278</v>
      </c>
      <c r="H725" s="8" t="n">
        <v>4</v>
      </c>
      <c r="I725" s="5" t="n">
        <v>400903</v>
      </c>
      <c r="J725" s="6" t="s">
        <v>562</v>
      </c>
      <c r="K725" s="5" t="n">
        <v>600001028</v>
      </c>
      <c r="L725" s="9" t="n">
        <v>46044</v>
      </c>
      <c r="M725" s="10" t="n">
        <v>47869</v>
      </c>
    </row>
    <row r="726" customFormat="false" ht="30" hidden="true" customHeight="true" outlineLevel="0" collapsed="false">
      <c r="A726" s="4" t="s">
        <v>109</v>
      </c>
      <c r="B726" s="4" t="s">
        <v>14</v>
      </c>
      <c r="C726" s="5" t="n">
        <v>1329001659</v>
      </c>
      <c r="D726" s="6" t="s">
        <v>754</v>
      </c>
      <c r="E726" s="6"/>
      <c r="F726" s="7" t="n">
        <v>46057.369479294</v>
      </c>
      <c r="G726" s="7" t="n">
        <v>46057.5162261111</v>
      </c>
      <c r="H726" s="8" t="n">
        <v>4</v>
      </c>
      <c r="I726" s="5" t="n">
        <v>400903</v>
      </c>
      <c r="J726" s="6" t="s">
        <v>562</v>
      </c>
      <c r="K726" s="5" t="n">
        <v>600001029</v>
      </c>
      <c r="L726" s="9" t="n">
        <v>46044</v>
      </c>
      <c r="M726" s="10" t="n">
        <v>47869</v>
      </c>
    </row>
    <row r="727" customFormat="false" ht="30" hidden="true" customHeight="true" outlineLevel="0" collapsed="false">
      <c r="A727" s="4" t="s">
        <v>109</v>
      </c>
      <c r="B727" s="4" t="s">
        <v>14</v>
      </c>
      <c r="C727" s="5" t="n">
        <v>1329001659</v>
      </c>
      <c r="D727" s="6" t="s">
        <v>755</v>
      </c>
      <c r="E727" s="6"/>
      <c r="F727" s="7" t="n">
        <v>46057.369479294</v>
      </c>
      <c r="G727" s="7" t="n">
        <v>46057.5156839815</v>
      </c>
      <c r="H727" s="8" t="n">
        <v>4</v>
      </c>
      <c r="I727" s="5" t="n">
        <v>400903</v>
      </c>
      <c r="J727" s="6" t="s">
        <v>562</v>
      </c>
      <c r="K727" s="5" t="n">
        <v>600001028</v>
      </c>
      <c r="L727" s="9" t="n">
        <v>46044</v>
      </c>
      <c r="M727" s="10" t="n">
        <v>47869</v>
      </c>
    </row>
    <row r="728" customFormat="false" ht="30" hidden="true" customHeight="true" outlineLevel="0" collapsed="false">
      <c r="A728" s="4" t="s">
        <v>109</v>
      </c>
      <c r="B728" s="4" t="s">
        <v>14</v>
      </c>
      <c r="C728" s="5" t="n">
        <v>1329001659</v>
      </c>
      <c r="D728" s="6" t="s">
        <v>756</v>
      </c>
      <c r="E728" s="6"/>
      <c r="F728" s="7" t="n">
        <v>46057.369479294</v>
      </c>
      <c r="G728" s="7" t="n">
        <v>46057.5152975232</v>
      </c>
      <c r="H728" s="8" t="n">
        <v>4</v>
      </c>
      <c r="I728" s="5" t="n">
        <v>400903</v>
      </c>
      <c r="J728" s="6" t="s">
        <v>562</v>
      </c>
      <c r="K728" s="5" t="n">
        <v>600001029</v>
      </c>
      <c r="L728" s="9" t="n">
        <v>46044</v>
      </c>
      <c r="M728" s="10" t="n">
        <v>47869</v>
      </c>
    </row>
    <row r="729" customFormat="false" ht="30" hidden="true" customHeight="true" outlineLevel="0" collapsed="false">
      <c r="A729" s="4" t="s">
        <v>109</v>
      </c>
      <c r="B729" s="4" t="s">
        <v>14</v>
      </c>
      <c r="C729" s="5" t="n">
        <v>1329001659</v>
      </c>
      <c r="D729" s="6" t="s">
        <v>757</v>
      </c>
      <c r="E729" s="6"/>
      <c r="F729" s="7" t="n">
        <v>46057.369479294</v>
      </c>
      <c r="G729" s="7" t="n">
        <v>46057.5147913542</v>
      </c>
      <c r="H729" s="8" t="n">
        <v>4</v>
      </c>
      <c r="I729" s="5" t="n">
        <v>400903</v>
      </c>
      <c r="J729" s="6" t="s">
        <v>562</v>
      </c>
      <c r="K729" s="5" t="n">
        <v>600001028</v>
      </c>
      <c r="L729" s="9" t="n">
        <v>46044</v>
      </c>
      <c r="M729" s="10" t="n">
        <v>47869</v>
      </c>
    </row>
    <row r="730" customFormat="false" ht="30" hidden="true" customHeight="true" outlineLevel="0" collapsed="false">
      <c r="A730" s="4" t="s">
        <v>109</v>
      </c>
      <c r="B730" s="4" t="s">
        <v>14</v>
      </c>
      <c r="C730" s="5" t="n">
        <v>1329001659</v>
      </c>
      <c r="D730" s="6" t="s">
        <v>758</v>
      </c>
      <c r="E730" s="6"/>
      <c r="F730" s="7" t="n">
        <v>46057.369479294</v>
      </c>
      <c r="G730" s="7" t="n">
        <v>46057.524711169</v>
      </c>
      <c r="H730" s="8" t="n">
        <v>1</v>
      </c>
      <c r="I730" s="5" t="n">
        <v>400912</v>
      </c>
      <c r="J730" s="6" t="s">
        <v>759</v>
      </c>
      <c r="K730" s="5" t="n">
        <v>400003960</v>
      </c>
      <c r="L730" s="9" t="n">
        <v>46014</v>
      </c>
      <c r="M730" s="10" t="n">
        <v>47839</v>
      </c>
    </row>
    <row r="731" customFormat="false" ht="30" hidden="true" customHeight="true" outlineLevel="0" collapsed="false">
      <c r="A731" s="4" t="s">
        <v>109</v>
      </c>
      <c r="B731" s="4" t="s">
        <v>14</v>
      </c>
      <c r="C731" s="5" t="n">
        <v>1329001659</v>
      </c>
      <c r="D731" s="6" t="s">
        <v>760</v>
      </c>
      <c r="E731" s="6"/>
      <c r="F731" s="7" t="n">
        <v>46057.369479294</v>
      </c>
      <c r="G731" s="7" t="n">
        <v>46057.5132492361</v>
      </c>
      <c r="H731" s="8" t="n">
        <v>4</v>
      </c>
      <c r="I731" s="5" t="n">
        <v>400912</v>
      </c>
      <c r="J731" s="6" t="s">
        <v>759</v>
      </c>
      <c r="K731" s="5" t="n">
        <v>400003963</v>
      </c>
      <c r="L731" s="9" t="n">
        <v>46014</v>
      </c>
      <c r="M731" s="10" t="n">
        <v>47839</v>
      </c>
    </row>
    <row r="732" customFormat="false" ht="30" hidden="true" customHeight="true" outlineLevel="0" collapsed="false">
      <c r="A732" s="4" t="s">
        <v>109</v>
      </c>
      <c r="B732" s="4" t="s">
        <v>14</v>
      </c>
      <c r="C732" s="5" t="n">
        <v>1329001659</v>
      </c>
      <c r="D732" s="6" t="s">
        <v>761</v>
      </c>
      <c r="E732" s="6"/>
      <c r="F732" s="7" t="n">
        <v>46057.369479294</v>
      </c>
      <c r="G732" s="7" t="n">
        <v>46057.5137840278</v>
      </c>
      <c r="H732" s="8" t="n">
        <v>4</v>
      </c>
      <c r="I732" s="5" t="n">
        <v>400903</v>
      </c>
      <c r="J732" s="6" t="s">
        <v>562</v>
      </c>
      <c r="K732" s="5" t="n">
        <v>600001029</v>
      </c>
      <c r="L732" s="9" t="n">
        <v>46044</v>
      </c>
      <c r="M732" s="10" t="n">
        <v>47869</v>
      </c>
    </row>
    <row r="733" customFormat="false" ht="30" hidden="true" customHeight="true" outlineLevel="0" collapsed="false">
      <c r="A733" s="4" t="s">
        <v>109</v>
      </c>
      <c r="B733" s="4" t="s">
        <v>14</v>
      </c>
      <c r="C733" s="5" t="n">
        <v>1329001659</v>
      </c>
      <c r="D733" s="6" t="s">
        <v>762</v>
      </c>
      <c r="E733" s="6"/>
      <c r="F733" s="7" t="n">
        <v>46057.369479294</v>
      </c>
      <c r="G733" s="7" t="n">
        <v>46057.5121883102</v>
      </c>
      <c r="H733" s="8" t="n">
        <v>4</v>
      </c>
      <c r="I733" s="5" t="n">
        <v>400912</v>
      </c>
      <c r="J733" s="6" t="s">
        <v>759</v>
      </c>
      <c r="K733" s="5" t="n">
        <v>400003963</v>
      </c>
      <c r="L733" s="9" t="n">
        <v>46014</v>
      </c>
      <c r="M733" s="10" t="n">
        <v>47839</v>
      </c>
    </row>
    <row r="734" customFormat="false" ht="30" hidden="true" customHeight="true" outlineLevel="0" collapsed="false">
      <c r="A734" s="4" t="s">
        <v>109</v>
      </c>
      <c r="B734" s="4" t="s">
        <v>14</v>
      </c>
      <c r="C734" s="5" t="n">
        <v>1329001659</v>
      </c>
      <c r="D734" s="6" t="s">
        <v>763</v>
      </c>
      <c r="E734" s="6"/>
      <c r="F734" s="7" t="n">
        <v>46057.369479294</v>
      </c>
      <c r="G734" s="7" t="n">
        <v>46057.5105113079</v>
      </c>
      <c r="H734" s="8" t="n">
        <v>4</v>
      </c>
      <c r="I734" s="5" t="n">
        <v>400903</v>
      </c>
      <c r="J734" s="6" t="s">
        <v>562</v>
      </c>
      <c r="K734" s="5" t="n">
        <v>600001029</v>
      </c>
      <c r="L734" s="9" t="n">
        <v>46044</v>
      </c>
      <c r="M734" s="10" t="n">
        <v>47869</v>
      </c>
    </row>
    <row r="735" customFormat="false" ht="30" hidden="true" customHeight="true" outlineLevel="0" collapsed="false">
      <c r="A735" s="4" t="s">
        <v>109</v>
      </c>
      <c r="B735" s="4" t="s">
        <v>14</v>
      </c>
      <c r="C735" s="5" t="n">
        <v>1329001659</v>
      </c>
      <c r="D735" s="6" t="s">
        <v>764</v>
      </c>
      <c r="E735" s="6"/>
      <c r="F735" s="7" t="n">
        <v>46057.369479294</v>
      </c>
      <c r="G735" s="7" t="n">
        <v>46057.5127773495</v>
      </c>
      <c r="H735" s="8" t="n">
        <v>4</v>
      </c>
      <c r="I735" s="5" t="n">
        <v>400904</v>
      </c>
      <c r="J735" s="6" t="s">
        <v>765</v>
      </c>
      <c r="K735" s="5" t="n">
        <v>400003955</v>
      </c>
      <c r="L735" s="9" t="n">
        <v>46014</v>
      </c>
      <c r="M735" s="10" t="n">
        <v>47839</v>
      </c>
    </row>
    <row r="736" customFormat="false" ht="30" hidden="true" customHeight="true" outlineLevel="0" collapsed="false">
      <c r="A736" s="4" t="s">
        <v>109</v>
      </c>
      <c r="B736" s="4" t="s">
        <v>14</v>
      </c>
      <c r="C736" s="5" t="n">
        <v>1329001659</v>
      </c>
      <c r="D736" s="6" t="s">
        <v>766</v>
      </c>
      <c r="E736" s="6"/>
      <c r="F736" s="7" t="n">
        <v>46057.369479294</v>
      </c>
      <c r="G736" s="7" t="n">
        <v>46057.5111128125</v>
      </c>
      <c r="H736" s="8" t="n">
        <v>4</v>
      </c>
      <c r="I736" s="5" t="n">
        <v>400912</v>
      </c>
      <c r="J736" s="6" t="s">
        <v>759</v>
      </c>
      <c r="K736" s="5" t="n">
        <v>400003963</v>
      </c>
      <c r="L736" s="9" t="n">
        <v>46014</v>
      </c>
      <c r="M736" s="10" t="n">
        <v>47839</v>
      </c>
    </row>
    <row r="737" customFormat="false" ht="30" hidden="true" customHeight="true" outlineLevel="0" collapsed="false">
      <c r="A737" s="4" t="s">
        <v>109</v>
      </c>
      <c r="B737" s="4" t="s">
        <v>14</v>
      </c>
      <c r="C737" s="5" t="n">
        <v>1329001659</v>
      </c>
      <c r="D737" s="6" t="s">
        <v>767</v>
      </c>
      <c r="E737" s="6"/>
      <c r="F737" s="7" t="n">
        <v>46057.369479294</v>
      </c>
      <c r="G737" s="7" t="n">
        <v>46057.5098784954</v>
      </c>
      <c r="H737" s="8" t="n">
        <v>4</v>
      </c>
      <c r="I737" s="5" t="n">
        <v>400903</v>
      </c>
      <c r="J737" s="6" t="s">
        <v>562</v>
      </c>
      <c r="K737" s="5" t="n">
        <v>600001029</v>
      </c>
      <c r="L737" s="9" t="n">
        <v>46044</v>
      </c>
      <c r="M737" s="10" t="n">
        <v>47869</v>
      </c>
    </row>
    <row r="738" customFormat="false" ht="30" hidden="true" customHeight="true" outlineLevel="0" collapsed="false">
      <c r="A738" s="4" t="s">
        <v>109</v>
      </c>
      <c r="B738" s="4" t="s">
        <v>14</v>
      </c>
      <c r="C738" s="5" t="n">
        <v>1329001659</v>
      </c>
      <c r="D738" s="6" t="s">
        <v>768</v>
      </c>
      <c r="E738" s="6"/>
      <c r="F738" s="7" t="n">
        <v>46057.369479294</v>
      </c>
      <c r="G738" s="7" t="n">
        <v>46057.5116127199</v>
      </c>
      <c r="H738" s="8" t="n">
        <v>4</v>
      </c>
      <c r="I738" s="5" t="n">
        <v>400903</v>
      </c>
      <c r="J738" s="6" t="s">
        <v>562</v>
      </c>
      <c r="K738" s="5" t="n">
        <v>600001029</v>
      </c>
      <c r="L738" s="9" t="n">
        <v>46044</v>
      </c>
      <c r="M738" s="10" t="n">
        <v>47869</v>
      </c>
    </row>
    <row r="739" customFormat="false" ht="30" hidden="true" customHeight="true" outlineLevel="0" collapsed="false">
      <c r="A739" s="4" t="s">
        <v>109</v>
      </c>
      <c r="B739" s="4" t="s">
        <v>14</v>
      </c>
      <c r="C739" s="5" t="n">
        <v>1329001659</v>
      </c>
      <c r="D739" s="6" t="s">
        <v>769</v>
      </c>
      <c r="E739" s="6"/>
      <c r="F739" s="7" t="n">
        <v>46057.369479294</v>
      </c>
      <c r="G739" s="7" t="n">
        <v>46057.5080349537</v>
      </c>
      <c r="H739" s="8" t="n">
        <v>4</v>
      </c>
      <c r="I739" s="5" t="n">
        <v>400912</v>
      </c>
      <c r="J739" s="6" t="s">
        <v>759</v>
      </c>
      <c r="K739" s="5" t="n">
        <v>400003963</v>
      </c>
      <c r="L739" s="9" t="n">
        <v>46014</v>
      </c>
      <c r="M739" s="10" t="n">
        <v>47839</v>
      </c>
    </row>
    <row r="740" customFormat="false" ht="30" hidden="true" customHeight="true" outlineLevel="0" collapsed="false">
      <c r="A740" s="4" t="s">
        <v>109</v>
      </c>
      <c r="B740" s="4" t="s">
        <v>14</v>
      </c>
      <c r="C740" s="5" t="n">
        <v>1329001659</v>
      </c>
      <c r="D740" s="6" t="s">
        <v>770</v>
      </c>
      <c r="E740" s="6"/>
      <c r="F740" s="7" t="n">
        <v>46057.369479294</v>
      </c>
      <c r="G740" s="7" t="n">
        <v>46057.5092114005</v>
      </c>
      <c r="H740" s="8" t="n">
        <v>3</v>
      </c>
      <c r="I740" s="5" t="n">
        <v>400904</v>
      </c>
      <c r="J740" s="6" t="s">
        <v>765</v>
      </c>
      <c r="K740" s="5" t="n">
        <v>400003955</v>
      </c>
      <c r="L740" s="9" t="n">
        <v>46014</v>
      </c>
      <c r="M740" s="10" t="n">
        <v>47839</v>
      </c>
    </row>
    <row r="741" customFormat="false" ht="30" hidden="true" customHeight="true" outlineLevel="0" collapsed="false">
      <c r="A741" s="4" t="s">
        <v>13</v>
      </c>
      <c r="B741" s="4" t="s">
        <v>14</v>
      </c>
      <c r="C741" s="5" t="n">
        <v>1329001666</v>
      </c>
      <c r="D741" s="6" t="s">
        <v>771</v>
      </c>
      <c r="E741" s="6"/>
      <c r="F741" s="7" t="n">
        <v>46057.4113138426</v>
      </c>
      <c r="G741" s="7" t="n">
        <v>46057.4412778472</v>
      </c>
      <c r="H741" s="8" t="n">
        <v>4</v>
      </c>
      <c r="I741" s="5" t="n">
        <v>400630</v>
      </c>
      <c r="J741" s="6" t="s">
        <v>772</v>
      </c>
      <c r="K741" s="5" t="n">
        <v>153000058</v>
      </c>
      <c r="L741" s="9" t="n">
        <v>46048</v>
      </c>
      <c r="M741" s="10" t="n">
        <v>47873</v>
      </c>
    </row>
    <row r="742" customFormat="false" ht="30" hidden="true" customHeight="true" outlineLevel="0" collapsed="false">
      <c r="A742" s="4" t="s">
        <v>13</v>
      </c>
      <c r="B742" s="4" t="s">
        <v>14</v>
      </c>
      <c r="C742" s="5" t="n">
        <v>1329001666</v>
      </c>
      <c r="D742" s="6" t="s">
        <v>773</v>
      </c>
      <c r="E742" s="6"/>
      <c r="F742" s="7" t="n">
        <v>46057.4113138426</v>
      </c>
      <c r="G742" s="7" t="n">
        <v>46057.4433128935</v>
      </c>
      <c r="H742" s="8" t="n">
        <v>4</v>
      </c>
      <c r="I742" s="5" t="n">
        <v>400630</v>
      </c>
      <c r="J742" s="6" t="s">
        <v>772</v>
      </c>
      <c r="K742" s="5" t="n">
        <v>153000058</v>
      </c>
      <c r="L742" s="9"/>
      <c r="M742" s="10" t="n">
        <v>47873</v>
      </c>
    </row>
    <row r="743" customFormat="false" ht="30" hidden="true" customHeight="true" outlineLevel="0" collapsed="false">
      <c r="A743" s="4" t="s">
        <v>13</v>
      </c>
      <c r="B743" s="4" t="s">
        <v>14</v>
      </c>
      <c r="C743" s="5" t="n">
        <v>1329001666</v>
      </c>
      <c r="D743" s="6" t="s">
        <v>774</v>
      </c>
      <c r="E743" s="6"/>
      <c r="F743" s="7" t="n">
        <v>46057.4113138426</v>
      </c>
      <c r="G743" s="7" t="n">
        <v>46057.4429828356</v>
      </c>
      <c r="H743" s="8" t="n">
        <v>4</v>
      </c>
      <c r="I743" s="5" t="n">
        <v>400630</v>
      </c>
      <c r="J743" s="6" t="s">
        <v>772</v>
      </c>
      <c r="K743" s="5" t="n">
        <v>153000058</v>
      </c>
      <c r="L743" s="9"/>
      <c r="M743" s="10" t="n">
        <v>47873</v>
      </c>
    </row>
    <row r="744" customFormat="false" ht="30" hidden="true" customHeight="true" outlineLevel="0" collapsed="false">
      <c r="A744" s="4" t="s">
        <v>13</v>
      </c>
      <c r="B744" s="4" t="s">
        <v>14</v>
      </c>
      <c r="C744" s="5" t="n">
        <v>1329001666</v>
      </c>
      <c r="D744" s="6" t="s">
        <v>775</v>
      </c>
      <c r="E744" s="6"/>
      <c r="F744" s="7" t="n">
        <v>46057.4113138426</v>
      </c>
      <c r="G744" s="7" t="n">
        <v>46057.4425268519</v>
      </c>
      <c r="H744" s="8" t="n">
        <v>4</v>
      </c>
      <c r="I744" s="5" t="n">
        <v>400630</v>
      </c>
      <c r="J744" s="6" t="s">
        <v>772</v>
      </c>
      <c r="K744" s="5" t="n">
        <v>153000058</v>
      </c>
      <c r="L744" s="9"/>
      <c r="M744" s="10" t="n">
        <v>47873</v>
      </c>
    </row>
    <row r="745" customFormat="false" ht="30" hidden="true" customHeight="true" outlineLevel="0" collapsed="false">
      <c r="A745" s="4" t="s">
        <v>13</v>
      </c>
      <c r="B745" s="4" t="s">
        <v>14</v>
      </c>
      <c r="C745" s="5" t="n">
        <v>1329001666</v>
      </c>
      <c r="D745" s="6" t="s">
        <v>776</v>
      </c>
      <c r="E745" s="6"/>
      <c r="F745" s="7" t="n">
        <v>46057.4113138426</v>
      </c>
      <c r="G745" s="7" t="n">
        <v>46057.4548035069</v>
      </c>
      <c r="H745" s="8" t="n">
        <v>4</v>
      </c>
      <c r="I745" s="5" t="n">
        <v>400436</v>
      </c>
      <c r="J745" s="6" t="s">
        <v>777</v>
      </c>
      <c r="K745" s="5" t="n">
        <v>100010939</v>
      </c>
      <c r="L745" s="9" t="n">
        <v>45993</v>
      </c>
      <c r="M745" s="10" t="n">
        <v>47818</v>
      </c>
    </row>
    <row r="746" customFormat="false" ht="30" hidden="true" customHeight="true" outlineLevel="0" collapsed="false">
      <c r="A746" s="4" t="s">
        <v>13</v>
      </c>
      <c r="B746" s="4" t="s">
        <v>14</v>
      </c>
      <c r="C746" s="5" t="n">
        <v>1329001666</v>
      </c>
      <c r="D746" s="6" t="s">
        <v>778</v>
      </c>
      <c r="E746" s="6"/>
      <c r="F746" s="7" t="n">
        <v>46057.4113138426</v>
      </c>
      <c r="G746" s="7" t="n">
        <v>46057.4546398148</v>
      </c>
      <c r="H746" s="8" t="n">
        <v>4</v>
      </c>
      <c r="I746" s="5" t="n">
        <v>400436</v>
      </c>
      <c r="J746" s="6" t="s">
        <v>777</v>
      </c>
      <c r="K746" s="5" t="n">
        <v>100010939</v>
      </c>
      <c r="L746" s="9" t="n">
        <v>45993</v>
      </c>
      <c r="M746" s="10" t="n">
        <v>47818</v>
      </c>
    </row>
    <row r="747" customFormat="false" ht="30" hidden="true" customHeight="true" outlineLevel="0" collapsed="false">
      <c r="A747" s="4" t="s">
        <v>13</v>
      </c>
      <c r="B747" s="4" t="s">
        <v>14</v>
      </c>
      <c r="C747" s="5" t="n">
        <v>1329001666</v>
      </c>
      <c r="D747" s="6" t="s">
        <v>779</v>
      </c>
      <c r="E747" s="6"/>
      <c r="F747" s="7" t="n">
        <v>46057.4113138426</v>
      </c>
      <c r="G747" s="7" t="n">
        <v>46057.4544861574</v>
      </c>
      <c r="H747" s="8" t="n">
        <v>4</v>
      </c>
      <c r="I747" s="5" t="n">
        <v>400436</v>
      </c>
      <c r="J747" s="6" t="s">
        <v>777</v>
      </c>
      <c r="K747" s="5" t="n">
        <v>100009887</v>
      </c>
      <c r="L747" s="9" t="n">
        <v>45896</v>
      </c>
      <c r="M747" s="10" t="n">
        <v>47721</v>
      </c>
    </row>
    <row r="748" customFormat="false" ht="30" hidden="true" customHeight="true" outlineLevel="0" collapsed="false">
      <c r="A748" s="4" t="s">
        <v>13</v>
      </c>
      <c r="B748" s="4" t="s">
        <v>14</v>
      </c>
      <c r="C748" s="5" t="n">
        <v>1329001666</v>
      </c>
      <c r="D748" s="6" t="s">
        <v>780</v>
      </c>
      <c r="E748" s="6"/>
      <c r="F748" s="7" t="n">
        <v>46057.4113138426</v>
      </c>
      <c r="G748" s="7" t="n">
        <v>46057.4542505324</v>
      </c>
      <c r="H748" s="8" t="n">
        <v>4</v>
      </c>
      <c r="I748" s="5" t="n">
        <v>400436</v>
      </c>
      <c r="J748" s="6" t="s">
        <v>777</v>
      </c>
      <c r="K748" s="5" t="n">
        <v>100010939</v>
      </c>
      <c r="L748" s="9" t="n">
        <v>45993</v>
      </c>
      <c r="M748" s="10" t="n">
        <v>47818</v>
      </c>
    </row>
    <row r="749" customFormat="false" ht="30" hidden="true" customHeight="true" outlineLevel="0" collapsed="false">
      <c r="A749" s="4" t="s">
        <v>13</v>
      </c>
      <c r="B749" s="4" t="s">
        <v>14</v>
      </c>
      <c r="C749" s="5" t="n">
        <v>1329001666</v>
      </c>
      <c r="D749" s="6" t="s">
        <v>781</v>
      </c>
      <c r="E749" s="6"/>
      <c r="F749" s="7" t="n">
        <v>46057.4113138426</v>
      </c>
      <c r="G749" s="7" t="n">
        <v>46057.4550408796</v>
      </c>
      <c r="H749" s="8" t="n">
        <v>4</v>
      </c>
      <c r="I749" s="5" t="n">
        <v>400630</v>
      </c>
      <c r="J749" s="6" t="s">
        <v>772</v>
      </c>
      <c r="K749" s="5" t="n">
        <v>153000058</v>
      </c>
      <c r="L749" s="9" t="n">
        <v>46048</v>
      </c>
      <c r="M749" s="10" t="n">
        <v>47873</v>
      </c>
    </row>
    <row r="750" customFormat="false" ht="30" hidden="true" customHeight="true" outlineLevel="0" collapsed="false">
      <c r="A750" s="4" t="s">
        <v>13</v>
      </c>
      <c r="B750" s="4" t="s">
        <v>14</v>
      </c>
      <c r="C750" s="5" t="n">
        <v>1329001666</v>
      </c>
      <c r="D750" s="6" t="s">
        <v>782</v>
      </c>
      <c r="E750" s="6"/>
      <c r="F750" s="7" t="n">
        <v>46057.4113138426</v>
      </c>
      <c r="G750" s="7" t="n">
        <v>46057.4524139583</v>
      </c>
      <c r="H750" s="8" t="n">
        <v>4</v>
      </c>
      <c r="I750" s="5" t="n">
        <v>400436</v>
      </c>
      <c r="J750" s="6" t="s">
        <v>777</v>
      </c>
      <c r="K750" s="5" t="n">
        <v>100009887</v>
      </c>
      <c r="L750" s="9" t="n">
        <v>45896</v>
      </c>
      <c r="M750" s="10" t="n">
        <v>47721</v>
      </c>
    </row>
    <row r="751" customFormat="false" ht="30" hidden="true" customHeight="true" outlineLevel="0" collapsed="false">
      <c r="A751" s="4" t="s">
        <v>13</v>
      </c>
      <c r="B751" s="4" t="s">
        <v>14</v>
      </c>
      <c r="C751" s="5" t="n">
        <v>1329001666</v>
      </c>
      <c r="D751" s="6" t="s">
        <v>783</v>
      </c>
      <c r="E751" s="6"/>
      <c r="F751" s="7" t="n">
        <v>46057.4113138426</v>
      </c>
      <c r="G751" s="7" t="n">
        <v>46057.4513315046</v>
      </c>
      <c r="H751" s="8" t="n">
        <v>4</v>
      </c>
      <c r="I751" s="5" t="n">
        <v>400436</v>
      </c>
      <c r="J751" s="6" t="s">
        <v>777</v>
      </c>
      <c r="K751" s="5" t="n">
        <v>100010939</v>
      </c>
      <c r="L751" s="9" t="n">
        <v>45993</v>
      </c>
      <c r="M751" s="10" t="n">
        <v>47818</v>
      </c>
    </row>
    <row r="752" customFormat="false" ht="30" hidden="true" customHeight="true" outlineLevel="0" collapsed="false">
      <c r="A752" s="4" t="s">
        <v>13</v>
      </c>
      <c r="B752" s="4" t="s">
        <v>14</v>
      </c>
      <c r="C752" s="5" t="n">
        <v>1329001666</v>
      </c>
      <c r="D752" s="6" t="s">
        <v>784</v>
      </c>
      <c r="E752" s="6"/>
      <c r="F752" s="7" t="n">
        <v>46057.4113138426</v>
      </c>
      <c r="G752" s="7" t="n">
        <v>46057.4512432986</v>
      </c>
      <c r="H752" s="8" t="n">
        <v>4</v>
      </c>
      <c r="I752" s="5" t="n">
        <v>400436</v>
      </c>
      <c r="J752" s="6" t="s">
        <v>777</v>
      </c>
      <c r="K752" s="5" t="n">
        <v>100010939</v>
      </c>
      <c r="L752" s="9" t="n">
        <v>45993</v>
      </c>
      <c r="M752" s="10" t="n">
        <v>47818</v>
      </c>
    </row>
    <row r="753" customFormat="false" ht="30" hidden="true" customHeight="true" outlineLevel="0" collapsed="false">
      <c r="A753" s="4" t="s">
        <v>13</v>
      </c>
      <c r="B753" s="4" t="s">
        <v>14</v>
      </c>
      <c r="C753" s="5" t="n">
        <v>1329001666</v>
      </c>
      <c r="D753" s="6" t="s">
        <v>785</v>
      </c>
      <c r="E753" s="6"/>
      <c r="F753" s="7" t="n">
        <v>46057.4113138426</v>
      </c>
      <c r="G753" s="7" t="n">
        <v>46057.4511096759</v>
      </c>
      <c r="H753" s="8" t="n">
        <v>4</v>
      </c>
      <c r="I753" s="5" t="n">
        <v>400436</v>
      </c>
      <c r="J753" s="6" t="s">
        <v>777</v>
      </c>
      <c r="K753" s="5" t="n">
        <v>100010939</v>
      </c>
      <c r="L753" s="9" t="n">
        <v>45993</v>
      </c>
      <c r="M753" s="10" t="n">
        <v>47818</v>
      </c>
    </row>
    <row r="754" customFormat="false" ht="30" hidden="true" customHeight="true" outlineLevel="0" collapsed="false">
      <c r="A754" s="4" t="s">
        <v>13</v>
      </c>
      <c r="B754" s="4" t="s">
        <v>14</v>
      </c>
      <c r="C754" s="5" t="n">
        <v>1329001666</v>
      </c>
      <c r="D754" s="6" t="s">
        <v>786</v>
      </c>
      <c r="E754" s="6"/>
      <c r="F754" s="7" t="n">
        <v>46057.4113138426</v>
      </c>
      <c r="G754" s="7" t="n">
        <v>46057.4518582523</v>
      </c>
      <c r="H754" s="8" t="n">
        <v>4</v>
      </c>
      <c r="I754" s="5" t="n">
        <v>400630</v>
      </c>
      <c r="J754" s="6" t="s">
        <v>772</v>
      </c>
      <c r="K754" s="5" t="n">
        <v>153000058</v>
      </c>
      <c r="L754" s="9" t="n">
        <v>46048</v>
      </c>
      <c r="M754" s="10" t="n">
        <v>47873</v>
      </c>
    </row>
    <row r="755" customFormat="false" ht="30" hidden="true" customHeight="true" outlineLevel="0" collapsed="false">
      <c r="A755" s="4" t="s">
        <v>13</v>
      </c>
      <c r="B755" s="4" t="s">
        <v>14</v>
      </c>
      <c r="C755" s="5" t="n">
        <v>1329001666</v>
      </c>
      <c r="D755" s="6" t="s">
        <v>787</v>
      </c>
      <c r="E755" s="6"/>
      <c r="F755" s="7" t="n">
        <v>46057.4113138426</v>
      </c>
      <c r="G755" s="7" t="n">
        <v>46057.4509459838</v>
      </c>
      <c r="H755" s="8" t="n">
        <v>4</v>
      </c>
      <c r="I755" s="5" t="n">
        <v>400436</v>
      </c>
      <c r="J755" s="6" t="s">
        <v>777</v>
      </c>
      <c r="K755" s="5" t="n">
        <v>100010939</v>
      </c>
      <c r="L755" s="9" t="n">
        <v>45993</v>
      </c>
      <c r="M755" s="10" t="n">
        <v>47818</v>
      </c>
    </row>
    <row r="756" customFormat="false" ht="30" hidden="true" customHeight="true" outlineLevel="0" collapsed="false">
      <c r="A756" s="4" t="s">
        <v>13</v>
      </c>
      <c r="B756" s="4" t="s">
        <v>14</v>
      </c>
      <c r="C756" s="5" t="n">
        <v>1329001666</v>
      </c>
      <c r="D756" s="6" t="s">
        <v>788</v>
      </c>
      <c r="E756" s="6"/>
      <c r="F756" s="7" t="n">
        <v>46057.4113138426</v>
      </c>
      <c r="G756" s="7" t="n">
        <v>46057.4487832523</v>
      </c>
      <c r="H756" s="8" t="n">
        <v>4</v>
      </c>
      <c r="I756" s="5" t="n">
        <v>400630</v>
      </c>
      <c r="J756" s="6" t="s">
        <v>772</v>
      </c>
      <c r="K756" s="5" t="n">
        <v>153000058</v>
      </c>
      <c r="L756" s="9" t="n">
        <v>46048</v>
      </c>
      <c r="M756" s="10" t="n">
        <v>47873</v>
      </c>
    </row>
    <row r="757" customFormat="false" ht="30" hidden="true" customHeight="true" outlineLevel="0" collapsed="false">
      <c r="A757" s="4" t="s">
        <v>13</v>
      </c>
      <c r="B757" s="4" t="s">
        <v>14</v>
      </c>
      <c r="C757" s="5" t="n">
        <v>1329001666</v>
      </c>
      <c r="D757" s="6" t="s">
        <v>789</v>
      </c>
      <c r="E757" s="6"/>
      <c r="F757" s="7" t="n">
        <v>46057.4113138426</v>
      </c>
      <c r="G757" s="7" t="n">
        <v>46057.4436067014</v>
      </c>
      <c r="H757" s="8" t="n">
        <v>4</v>
      </c>
      <c r="I757" s="5" t="n">
        <v>400630</v>
      </c>
      <c r="J757" s="6" t="s">
        <v>772</v>
      </c>
      <c r="K757" s="5" t="n">
        <v>153000058</v>
      </c>
      <c r="L757" s="9" t="n">
        <v>46048</v>
      </c>
      <c r="M757" s="10" t="n">
        <v>47873</v>
      </c>
    </row>
    <row r="758" customFormat="false" ht="30" hidden="true" customHeight="true" outlineLevel="0" collapsed="false">
      <c r="A758" s="4" t="s">
        <v>13</v>
      </c>
      <c r="B758" s="4" t="s">
        <v>14</v>
      </c>
      <c r="C758" s="5" t="n">
        <v>1329001666</v>
      </c>
      <c r="D758" s="6" t="s">
        <v>790</v>
      </c>
      <c r="E758" s="6"/>
      <c r="F758" s="7" t="n">
        <v>46057.4113138426</v>
      </c>
      <c r="G758" s="7" t="n">
        <v>46057.4434689236</v>
      </c>
      <c r="H758" s="8" t="n">
        <v>4</v>
      </c>
      <c r="I758" s="5" t="n">
        <v>400630</v>
      </c>
      <c r="J758" s="6" t="s">
        <v>772</v>
      </c>
      <c r="K758" s="5" t="n">
        <v>153000058</v>
      </c>
      <c r="L758" s="9" t="n">
        <v>46048</v>
      </c>
      <c r="M758" s="10" t="n">
        <v>47873</v>
      </c>
    </row>
    <row r="759" customFormat="false" ht="30" hidden="true" customHeight="true" outlineLevel="0" collapsed="false">
      <c r="A759" s="4" t="s">
        <v>13</v>
      </c>
      <c r="B759" s="4" t="s">
        <v>14</v>
      </c>
      <c r="C759" s="5" t="n">
        <v>1329001666</v>
      </c>
      <c r="D759" s="6" t="s">
        <v>791</v>
      </c>
      <c r="E759" s="6"/>
      <c r="F759" s="7" t="n">
        <v>46057.4113138426</v>
      </c>
      <c r="G759" s="7" t="n">
        <v>46057.4431187847</v>
      </c>
      <c r="H759" s="8" t="n">
        <v>4</v>
      </c>
      <c r="I759" s="5" t="n">
        <v>400630</v>
      </c>
      <c r="J759" s="6" t="s">
        <v>772</v>
      </c>
      <c r="K759" s="5" t="n">
        <v>153000058</v>
      </c>
      <c r="L759" s="9" t="n">
        <v>46048</v>
      </c>
      <c r="M759" s="10" t="n">
        <v>47873</v>
      </c>
    </row>
    <row r="760" customFormat="false" ht="30" hidden="true" customHeight="true" outlineLevel="0" collapsed="false">
      <c r="A760" s="4" t="s">
        <v>13</v>
      </c>
      <c r="B760" s="4" t="s">
        <v>14</v>
      </c>
      <c r="C760" s="5" t="n">
        <v>1329001666</v>
      </c>
      <c r="D760" s="6" t="s">
        <v>792</v>
      </c>
      <c r="E760" s="6"/>
      <c r="F760" s="7" t="n">
        <v>46057.4113138426</v>
      </c>
      <c r="G760" s="7" t="n">
        <v>46057.4428338079</v>
      </c>
      <c r="H760" s="8" t="n">
        <v>4</v>
      </c>
      <c r="I760" s="5" t="n">
        <v>400630</v>
      </c>
      <c r="J760" s="6" t="s">
        <v>772</v>
      </c>
      <c r="K760" s="5" t="n">
        <v>153000058</v>
      </c>
      <c r="L760" s="9" t="n">
        <v>46048</v>
      </c>
      <c r="M760" s="10" t="n">
        <v>47873</v>
      </c>
    </row>
    <row r="761" customFormat="false" ht="30" hidden="true" customHeight="true" outlineLevel="0" collapsed="false">
      <c r="A761" s="4" t="s">
        <v>13</v>
      </c>
      <c r="B761" s="4" t="s">
        <v>14</v>
      </c>
      <c r="C761" s="5" t="n">
        <v>1329001666</v>
      </c>
      <c r="D761" s="6" t="s">
        <v>793</v>
      </c>
      <c r="E761" s="6"/>
      <c r="F761" s="7" t="n">
        <v>46057.4113138426</v>
      </c>
      <c r="G761" s="7" t="n">
        <v>46057.4427101736</v>
      </c>
      <c r="H761" s="8" t="n">
        <v>4</v>
      </c>
      <c r="I761" s="5" t="n">
        <v>400630</v>
      </c>
      <c r="J761" s="6" t="s">
        <v>772</v>
      </c>
      <c r="K761" s="5" t="n">
        <v>153000058</v>
      </c>
      <c r="L761" s="9" t="n">
        <v>46048</v>
      </c>
      <c r="M761" s="10" t="n">
        <v>47873</v>
      </c>
    </row>
    <row r="762" customFormat="false" ht="30" hidden="true" customHeight="true" outlineLevel="0" collapsed="false">
      <c r="A762" s="4" t="s">
        <v>13</v>
      </c>
      <c r="B762" s="4" t="s">
        <v>14</v>
      </c>
      <c r="C762" s="5" t="n">
        <v>1329001666</v>
      </c>
      <c r="D762" s="6" t="s">
        <v>794</v>
      </c>
      <c r="E762" s="6"/>
      <c r="F762" s="7" t="n">
        <v>46057.4113138426</v>
      </c>
      <c r="G762" s="7" t="n">
        <v>46057.4423663079</v>
      </c>
      <c r="H762" s="8" t="n">
        <v>4</v>
      </c>
      <c r="I762" s="5" t="n">
        <v>400630</v>
      </c>
      <c r="J762" s="6" t="s">
        <v>772</v>
      </c>
      <c r="K762" s="5" t="n">
        <v>153000058</v>
      </c>
      <c r="L762" s="9" t="n">
        <v>46048</v>
      </c>
      <c r="M762" s="10" t="n">
        <v>47873</v>
      </c>
    </row>
    <row r="763" customFormat="false" ht="30" hidden="true" customHeight="true" outlineLevel="0" collapsed="false">
      <c r="A763" s="4" t="s">
        <v>13</v>
      </c>
      <c r="B763" s="4" t="s">
        <v>14</v>
      </c>
      <c r="C763" s="5" t="n">
        <v>1329001666</v>
      </c>
      <c r="D763" s="6" t="s">
        <v>795</v>
      </c>
      <c r="E763" s="6"/>
      <c r="F763" s="7" t="n">
        <v>46057.4113138426</v>
      </c>
      <c r="G763" s="7" t="n">
        <v>46057.4422372801</v>
      </c>
      <c r="H763" s="8" t="n">
        <v>4</v>
      </c>
      <c r="I763" s="5" t="n">
        <v>400630</v>
      </c>
      <c r="J763" s="6" t="s">
        <v>772</v>
      </c>
      <c r="K763" s="5" t="n">
        <v>153000058</v>
      </c>
      <c r="L763" s="9" t="n">
        <v>46048</v>
      </c>
      <c r="M763" s="10" t="n">
        <v>47873</v>
      </c>
    </row>
    <row r="764" customFormat="false" ht="30" hidden="true" customHeight="true" outlineLevel="0" collapsed="false">
      <c r="A764" s="4" t="s">
        <v>13</v>
      </c>
      <c r="B764" s="4" t="s">
        <v>14</v>
      </c>
      <c r="C764" s="5" t="n">
        <v>1329001666</v>
      </c>
      <c r="D764" s="6" t="s">
        <v>796</v>
      </c>
      <c r="E764" s="6"/>
      <c r="F764" s="7" t="n">
        <v>46057.4113138426</v>
      </c>
      <c r="G764" s="7" t="n">
        <v>46057.4420588426</v>
      </c>
      <c r="H764" s="8" t="n">
        <v>4</v>
      </c>
      <c r="I764" s="5" t="n">
        <v>400630</v>
      </c>
      <c r="J764" s="6" t="s">
        <v>772</v>
      </c>
      <c r="K764" s="5" t="n">
        <v>153000058</v>
      </c>
      <c r="L764" s="9" t="n">
        <v>46048</v>
      </c>
      <c r="M764" s="10" t="n">
        <v>47873</v>
      </c>
    </row>
    <row r="765" customFormat="false" ht="30" hidden="true" customHeight="true" outlineLevel="0" collapsed="false">
      <c r="A765" s="4" t="s">
        <v>13</v>
      </c>
      <c r="B765" s="4" t="s">
        <v>14</v>
      </c>
      <c r="C765" s="5" t="n">
        <v>1329001666</v>
      </c>
      <c r="D765" s="6" t="s">
        <v>797</v>
      </c>
      <c r="E765" s="6"/>
      <c r="F765" s="7" t="n">
        <v>46057.4113138426</v>
      </c>
      <c r="G765" s="7" t="n">
        <v>46057.4439402199</v>
      </c>
      <c r="H765" s="8" t="n">
        <v>4</v>
      </c>
      <c r="I765" s="5" t="n">
        <v>400436</v>
      </c>
      <c r="J765" s="6" t="s">
        <v>777</v>
      </c>
      <c r="K765" s="5" t="n">
        <v>100010939</v>
      </c>
      <c r="L765" s="9" t="n">
        <v>45993</v>
      </c>
      <c r="M765" s="10" t="n">
        <v>47818</v>
      </c>
    </row>
    <row r="766" customFormat="false" ht="30" hidden="true" customHeight="true" outlineLevel="0" collapsed="false">
      <c r="A766" s="4" t="s">
        <v>13</v>
      </c>
      <c r="B766" s="4" t="s">
        <v>14</v>
      </c>
      <c r="C766" s="5" t="n">
        <v>1329001667</v>
      </c>
      <c r="D766" s="6" t="s">
        <v>798</v>
      </c>
      <c r="E766" s="6"/>
      <c r="F766" s="7" t="n">
        <v>46057.4389018287</v>
      </c>
      <c r="G766" s="7" t="n">
        <v>46058.3354974653</v>
      </c>
      <c r="H766" s="8" t="n">
        <v>3</v>
      </c>
      <c r="I766" s="5" t="n">
        <v>401099</v>
      </c>
      <c r="J766" s="6" t="s">
        <v>799</v>
      </c>
      <c r="K766" s="5" t="n">
        <v>160000102</v>
      </c>
      <c r="L766" s="9" t="n">
        <v>46013</v>
      </c>
      <c r="M766" s="10" t="n">
        <v>47838</v>
      </c>
    </row>
    <row r="767" customFormat="false" ht="30" hidden="true" customHeight="true" outlineLevel="0" collapsed="false">
      <c r="A767" s="4" t="s">
        <v>13</v>
      </c>
      <c r="B767" s="4" t="s">
        <v>14</v>
      </c>
      <c r="C767" s="5" t="n">
        <v>1329001667</v>
      </c>
      <c r="D767" s="6" t="s">
        <v>800</v>
      </c>
      <c r="E767" s="6"/>
      <c r="F767" s="7" t="n">
        <v>46057.4389018287</v>
      </c>
      <c r="G767" s="7" t="n">
        <v>46058.3364503357</v>
      </c>
      <c r="H767" s="8" t="n">
        <v>4</v>
      </c>
      <c r="I767" s="5" t="n">
        <v>400468</v>
      </c>
      <c r="J767" s="6" t="s">
        <v>801</v>
      </c>
      <c r="K767" s="5" t="n">
        <v>100009038</v>
      </c>
      <c r="L767" s="9"/>
      <c r="M767" s="10" t="n">
        <v>47645</v>
      </c>
    </row>
    <row r="768" customFormat="false" ht="30" hidden="true" customHeight="true" outlineLevel="0" collapsed="false">
      <c r="A768" s="4" t="s">
        <v>13</v>
      </c>
      <c r="B768" s="4" t="s">
        <v>14</v>
      </c>
      <c r="C768" s="5" t="n">
        <v>1329001667</v>
      </c>
      <c r="D768" s="6" t="s">
        <v>802</v>
      </c>
      <c r="E768" s="6"/>
      <c r="F768" s="7" t="n">
        <v>46057.4389018287</v>
      </c>
      <c r="G768" s="7" t="n">
        <v>46058.3434121875</v>
      </c>
      <c r="H768" s="8" t="n">
        <v>4</v>
      </c>
      <c r="I768" s="5" t="n">
        <v>400468</v>
      </c>
      <c r="J768" s="6" t="s">
        <v>801</v>
      </c>
      <c r="K768" s="5" t="n">
        <v>153000029</v>
      </c>
      <c r="L768" s="9" t="n">
        <v>46039</v>
      </c>
      <c r="M768" s="10" t="n">
        <v>47864</v>
      </c>
    </row>
    <row r="769" customFormat="false" ht="30" hidden="true" customHeight="true" outlineLevel="0" collapsed="false">
      <c r="A769" s="4" t="s">
        <v>13</v>
      </c>
      <c r="B769" s="4" t="s">
        <v>14</v>
      </c>
      <c r="C769" s="5" t="n">
        <v>1329001667</v>
      </c>
      <c r="D769" s="6" t="s">
        <v>803</v>
      </c>
      <c r="E769" s="6"/>
      <c r="F769" s="7" t="n">
        <v>46057.4389018287</v>
      </c>
      <c r="G769" s="7" t="n">
        <v>46058.3430976852</v>
      </c>
      <c r="H769" s="8" t="n">
        <v>4</v>
      </c>
      <c r="I769" s="5" t="n">
        <v>401099</v>
      </c>
      <c r="J769" s="6" t="s">
        <v>799</v>
      </c>
      <c r="K769" s="5" t="n">
        <v>160000102</v>
      </c>
      <c r="L769" s="9" t="n">
        <v>46013</v>
      </c>
      <c r="M769" s="10" t="n">
        <v>47838</v>
      </c>
    </row>
    <row r="770" customFormat="false" ht="30" hidden="true" customHeight="true" outlineLevel="0" collapsed="false">
      <c r="A770" s="4" t="s">
        <v>13</v>
      </c>
      <c r="B770" s="4" t="s">
        <v>14</v>
      </c>
      <c r="C770" s="5" t="n">
        <v>1329001667</v>
      </c>
      <c r="D770" s="6" t="s">
        <v>804</v>
      </c>
      <c r="E770" s="6"/>
      <c r="F770" s="7" t="n">
        <v>46057.4389018287</v>
      </c>
      <c r="G770" s="7" t="n">
        <v>46058.3429502894</v>
      </c>
      <c r="H770" s="8" t="n">
        <v>4</v>
      </c>
      <c r="I770" s="5" t="n">
        <v>401099</v>
      </c>
      <c r="J770" s="6" t="s">
        <v>799</v>
      </c>
      <c r="K770" s="5" t="n">
        <v>160000102</v>
      </c>
      <c r="L770" s="9" t="n">
        <v>46013</v>
      </c>
      <c r="M770" s="10" t="n">
        <v>47838</v>
      </c>
    </row>
    <row r="771" customFormat="false" ht="30" hidden="true" customHeight="true" outlineLevel="0" collapsed="false">
      <c r="A771" s="4" t="s">
        <v>13</v>
      </c>
      <c r="B771" s="4" t="s">
        <v>14</v>
      </c>
      <c r="C771" s="5" t="n">
        <v>1329001667</v>
      </c>
      <c r="D771" s="6" t="s">
        <v>805</v>
      </c>
      <c r="E771" s="6"/>
      <c r="F771" s="7" t="n">
        <v>46057.4389018287</v>
      </c>
      <c r="G771" s="7" t="n">
        <v>46058.3428282292</v>
      </c>
      <c r="H771" s="8" t="n">
        <v>4</v>
      </c>
      <c r="I771" s="5" t="n">
        <v>401099</v>
      </c>
      <c r="J771" s="6" t="s">
        <v>799</v>
      </c>
      <c r="K771" s="5" t="n">
        <v>160000102</v>
      </c>
      <c r="L771" s="9" t="n">
        <v>46013</v>
      </c>
      <c r="M771" s="10" t="n">
        <v>47838</v>
      </c>
    </row>
    <row r="772" customFormat="false" ht="30" hidden="true" customHeight="true" outlineLevel="0" collapsed="false">
      <c r="A772" s="4" t="s">
        <v>13</v>
      </c>
      <c r="B772" s="4" t="s">
        <v>14</v>
      </c>
      <c r="C772" s="5" t="n">
        <v>1329001667</v>
      </c>
      <c r="D772" s="6" t="s">
        <v>806</v>
      </c>
      <c r="E772" s="6"/>
      <c r="F772" s="7" t="n">
        <v>46057.4389018287</v>
      </c>
      <c r="G772" s="7" t="n">
        <v>46058.3324846875</v>
      </c>
      <c r="H772" s="8" t="n">
        <v>3</v>
      </c>
      <c r="I772" s="5" t="n">
        <v>400468</v>
      </c>
      <c r="J772" s="6" t="s">
        <v>801</v>
      </c>
      <c r="K772" s="5" t="n">
        <v>100009243</v>
      </c>
      <c r="L772" s="9" t="n">
        <v>45840</v>
      </c>
      <c r="M772" s="10" t="n">
        <v>47665</v>
      </c>
    </row>
    <row r="773" customFormat="false" ht="30" hidden="true" customHeight="true" outlineLevel="0" collapsed="false">
      <c r="A773" s="4" t="s">
        <v>13</v>
      </c>
      <c r="B773" s="4" t="s">
        <v>14</v>
      </c>
      <c r="C773" s="5" t="n">
        <v>1329001667</v>
      </c>
      <c r="D773" s="6" t="s">
        <v>807</v>
      </c>
      <c r="E773" s="6"/>
      <c r="F773" s="7" t="n">
        <v>46057.4389018287</v>
      </c>
      <c r="G773" s="7" t="n">
        <v>46058.3356551273</v>
      </c>
      <c r="H773" s="8" t="n">
        <v>1</v>
      </c>
      <c r="I773" s="5" t="n">
        <v>401099</v>
      </c>
      <c r="J773" s="6" t="s">
        <v>799</v>
      </c>
      <c r="K773" s="5" t="n">
        <v>160000102</v>
      </c>
      <c r="L773" s="9" t="n">
        <v>46013</v>
      </c>
      <c r="M773" s="10" t="n">
        <v>47838</v>
      </c>
    </row>
    <row r="774" customFormat="false" ht="30" hidden="true" customHeight="true" outlineLevel="0" collapsed="false">
      <c r="A774" s="4" t="s">
        <v>13</v>
      </c>
      <c r="B774" s="4" t="s">
        <v>14</v>
      </c>
      <c r="C774" s="5" t="n">
        <v>1329001667</v>
      </c>
      <c r="D774" s="6" t="s">
        <v>808</v>
      </c>
      <c r="E774" s="6"/>
      <c r="F774" s="7" t="n">
        <v>46057.4389018287</v>
      </c>
      <c r="G774" s="7" t="n">
        <v>46058.3328505556</v>
      </c>
      <c r="H774" s="8" t="n">
        <v>1</v>
      </c>
      <c r="I774" s="5" t="n">
        <v>400468</v>
      </c>
      <c r="J774" s="6" t="s">
        <v>801</v>
      </c>
      <c r="K774" s="5" t="n">
        <v>100009038</v>
      </c>
      <c r="L774" s="9" t="n">
        <v>45820</v>
      </c>
      <c r="M774" s="10" t="n">
        <v>47645</v>
      </c>
    </row>
    <row r="775" customFormat="false" ht="30" hidden="true" customHeight="true" outlineLevel="0" collapsed="false">
      <c r="A775" s="4" t="s">
        <v>13</v>
      </c>
      <c r="B775" s="4" t="s">
        <v>14</v>
      </c>
      <c r="C775" s="5" t="n">
        <v>1329001667</v>
      </c>
      <c r="D775" s="6" t="s">
        <v>809</v>
      </c>
      <c r="E775" s="6"/>
      <c r="F775" s="7" t="n">
        <v>46057.4389018287</v>
      </c>
      <c r="G775" s="7" t="n">
        <v>46058.3426979167</v>
      </c>
      <c r="H775" s="8" t="n">
        <v>4</v>
      </c>
      <c r="I775" s="5" t="n">
        <v>401099</v>
      </c>
      <c r="J775" s="6" t="s">
        <v>799</v>
      </c>
      <c r="K775" s="5" t="n">
        <v>160000102</v>
      </c>
      <c r="L775" s="9" t="n">
        <v>46013</v>
      </c>
      <c r="M775" s="10" t="n">
        <v>47838</v>
      </c>
    </row>
    <row r="776" customFormat="false" ht="30" hidden="true" customHeight="true" outlineLevel="0" collapsed="false">
      <c r="A776" s="4" t="s">
        <v>13</v>
      </c>
      <c r="B776" s="4" t="s">
        <v>14</v>
      </c>
      <c r="C776" s="5" t="n">
        <v>1329001667</v>
      </c>
      <c r="D776" s="6" t="s">
        <v>810</v>
      </c>
      <c r="E776" s="6"/>
      <c r="F776" s="7" t="n">
        <v>46057.4389018287</v>
      </c>
      <c r="G776" s="7" t="n">
        <v>46058.3432263889</v>
      </c>
      <c r="H776" s="8" t="n">
        <v>4</v>
      </c>
      <c r="I776" s="5" t="n">
        <v>400468</v>
      </c>
      <c r="J776" s="6" t="s">
        <v>801</v>
      </c>
      <c r="K776" s="5" t="n">
        <v>153000029</v>
      </c>
      <c r="L776" s="9" t="n">
        <v>46039</v>
      </c>
      <c r="M776" s="10" t="n">
        <v>47864</v>
      </c>
    </row>
    <row r="777" customFormat="false" ht="30" hidden="true" customHeight="true" outlineLevel="0" collapsed="false">
      <c r="A777" s="4" t="s">
        <v>13</v>
      </c>
      <c r="B777" s="4" t="s">
        <v>14</v>
      </c>
      <c r="C777" s="5" t="n">
        <v>1329001667</v>
      </c>
      <c r="D777" s="6" t="s">
        <v>811</v>
      </c>
      <c r="E777" s="6"/>
      <c r="F777" s="7" t="n">
        <v>46057.4389018287</v>
      </c>
      <c r="G777" s="7" t="n">
        <v>46058.3416151736</v>
      </c>
      <c r="H777" s="8" t="n">
        <v>4</v>
      </c>
      <c r="I777" s="5" t="n">
        <v>400468</v>
      </c>
      <c r="J777" s="6" t="s">
        <v>801</v>
      </c>
      <c r="K777" s="5" t="n">
        <v>153000029</v>
      </c>
      <c r="L777" s="9" t="n">
        <v>46039</v>
      </c>
      <c r="M777" s="10" t="n">
        <v>47864</v>
      </c>
    </row>
    <row r="778" customFormat="false" ht="30" hidden="true" customHeight="true" outlineLevel="0" collapsed="false">
      <c r="A778" s="4" t="s">
        <v>13</v>
      </c>
      <c r="B778" s="4" t="s">
        <v>14</v>
      </c>
      <c r="C778" s="5" t="n">
        <v>1329001667</v>
      </c>
      <c r="D778" s="6" t="s">
        <v>812</v>
      </c>
      <c r="E778" s="6"/>
      <c r="F778" s="7" t="n">
        <v>46057.4389018287</v>
      </c>
      <c r="G778" s="7" t="n">
        <v>46058.3417839468</v>
      </c>
      <c r="H778" s="8" t="n">
        <v>4</v>
      </c>
      <c r="I778" s="5" t="n">
        <v>401099</v>
      </c>
      <c r="J778" s="6" t="s">
        <v>799</v>
      </c>
      <c r="K778" s="5" t="n">
        <v>160000105</v>
      </c>
      <c r="L778" s="9" t="n">
        <v>46013</v>
      </c>
      <c r="M778" s="10" t="n">
        <v>47838</v>
      </c>
    </row>
    <row r="779" customFormat="false" ht="30" hidden="true" customHeight="true" outlineLevel="0" collapsed="false">
      <c r="A779" s="4" t="s">
        <v>13</v>
      </c>
      <c r="B779" s="4" t="s">
        <v>14</v>
      </c>
      <c r="C779" s="5" t="n">
        <v>1329001667</v>
      </c>
      <c r="D779" s="6" t="s">
        <v>813</v>
      </c>
      <c r="E779" s="6"/>
      <c r="F779" s="7" t="n">
        <v>46057.4389018287</v>
      </c>
      <c r="G779" s="7" t="n">
        <v>46058.3414849306</v>
      </c>
      <c r="H779" s="8" t="n">
        <v>4</v>
      </c>
      <c r="I779" s="5" t="n">
        <v>400468</v>
      </c>
      <c r="J779" s="6" t="s">
        <v>801</v>
      </c>
      <c r="K779" s="5" t="n">
        <v>153000029</v>
      </c>
      <c r="L779" s="9" t="n">
        <v>46039</v>
      </c>
      <c r="M779" s="10" t="n">
        <v>47864</v>
      </c>
    </row>
    <row r="780" customFormat="false" ht="30" hidden="true" customHeight="true" outlineLevel="0" collapsed="false">
      <c r="A780" s="4" t="s">
        <v>13</v>
      </c>
      <c r="B780" s="4" t="s">
        <v>14</v>
      </c>
      <c r="C780" s="5" t="n">
        <v>1329001667</v>
      </c>
      <c r="D780" s="6" t="s">
        <v>814</v>
      </c>
      <c r="E780" s="6"/>
      <c r="F780" s="7" t="n">
        <v>46057.4389018287</v>
      </c>
      <c r="G780" s="7" t="n">
        <v>46058.3413730556</v>
      </c>
      <c r="H780" s="8" t="n">
        <v>4</v>
      </c>
      <c r="I780" s="5" t="n">
        <v>401099</v>
      </c>
      <c r="J780" s="6" t="s">
        <v>799</v>
      </c>
      <c r="K780" s="5" t="n">
        <v>160000102</v>
      </c>
      <c r="L780" s="9" t="n">
        <v>46013</v>
      </c>
      <c r="M780" s="10" t="n">
        <v>47838</v>
      </c>
    </row>
    <row r="781" customFormat="false" ht="30" hidden="true" customHeight="true" outlineLevel="0" collapsed="false">
      <c r="A781" s="4" t="s">
        <v>13</v>
      </c>
      <c r="B781" s="4" t="s">
        <v>14</v>
      </c>
      <c r="C781" s="5" t="n">
        <v>1329001667</v>
      </c>
      <c r="D781" s="6" t="s">
        <v>815</v>
      </c>
      <c r="E781" s="6"/>
      <c r="F781" s="7" t="n">
        <v>46057.4389018287</v>
      </c>
      <c r="G781" s="7" t="n">
        <v>46058.3409971065</v>
      </c>
      <c r="H781" s="8" t="n">
        <v>4</v>
      </c>
      <c r="I781" s="5" t="n">
        <v>401099</v>
      </c>
      <c r="J781" s="6" t="s">
        <v>799</v>
      </c>
      <c r="K781" s="5" t="n">
        <v>160000102</v>
      </c>
      <c r="L781" s="9" t="n">
        <v>46013</v>
      </c>
      <c r="M781" s="10" t="n">
        <v>47838</v>
      </c>
    </row>
    <row r="782" customFormat="false" ht="30" hidden="true" customHeight="true" outlineLevel="0" collapsed="false">
      <c r="A782" s="4" t="s">
        <v>13</v>
      </c>
      <c r="B782" s="4" t="s">
        <v>14</v>
      </c>
      <c r="C782" s="5" t="n">
        <v>1329001667</v>
      </c>
      <c r="D782" s="6" t="s">
        <v>816</v>
      </c>
      <c r="E782" s="6"/>
      <c r="F782" s="7" t="n">
        <v>46057.4389018287</v>
      </c>
      <c r="G782" s="7" t="n">
        <v>46058.3406673148</v>
      </c>
      <c r="H782" s="8" t="n">
        <v>4</v>
      </c>
      <c r="I782" s="5" t="n">
        <v>401099</v>
      </c>
      <c r="J782" s="6" t="s">
        <v>799</v>
      </c>
      <c r="K782" s="5" t="n">
        <v>160000105</v>
      </c>
      <c r="L782" s="9" t="n">
        <v>46013</v>
      </c>
      <c r="M782" s="10" t="n">
        <v>47838</v>
      </c>
    </row>
    <row r="783" customFormat="false" ht="30" hidden="true" customHeight="true" outlineLevel="0" collapsed="false">
      <c r="A783" s="4" t="s">
        <v>13</v>
      </c>
      <c r="B783" s="4" t="s">
        <v>14</v>
      </c>
      <c r="C783" s="5" t="n">
        <v>1329001667</v>
      </c>
      <c r="D783" s="6" t="s">
        <v>817</v>
      </c>
      <c r="E783" s="6"/>
      <c r="F783" s="7" t="n">
        <v>46057.4389018287</v>
      </c>
      <c r="G783" s="7" t="n">
        <v>46058.3411875347</v>
      </c>
      <c r="H783" s="8" t="n">
        <v>4</v>
      </c>
      <c r="I783" s="5" t="n">
        <v>400468</v>
      </c>
      <c r="J783" s="6" t="s">
        <v>801</v>
      </c>
      <c r="K783" s="5" t="n">
        <v>153000029</v>
      </c>
      <c r="L783" s="9" t="n">
        <v>46039</v>
      </c>
      <c r="M783" s="10" t="n">
        <v>47864</v>
      </c>
    </row>
    <row r="784" customFormat="false" ht="30" hidden="true" customHeight="true" outlineLevel="0" collapsed="false">
      <c r="A784" s="4" t="s">
        <v>13</v>
      </c>
      <c r="B784" s="4" t="s">
        <v>14</v>
      </c>
      <c r="C784" s="5" t="n">
        <v>1329001667</v>
      </c>
      <c r="D784" s="6" t="s">
        <v>818</v>
      </c>
      <c r="E784" s="6"/>
      <c r="F784" s="7" t="n">
        <v>46057.4389018287</v>
      </c>
      <c r="G784" s="7" t="n">
        <v>46058.3391560532</v>
      </c>
      <c r="H784" s="8" t="n">
        <v>4</v>
      </c>
      <c r="I784" s="5" t="n">
        <v>400468</v>
      </c>
      <c r="J784" s="6" t="s">
        <v>801</v>
      </c>
      <c r="K784" s="5" t="n">
        <v>153000029</v>
      </c>
      <c r="L784" s="9" t="n">
        <v>46039</v>
      </c>
      <c r="M784" s="10" t="n">
        <v>47864</v>
      </c>
    </row>
    <row r="785" customFormat="false" ht="30" hidden="true" customHeight="true" outlineLevel="0" collapsed="false">
      <c r="A785" s="4" t="s">
        <v>13</v>
      </c>
      <c r="B785" s="4" t="s">
        <v>14</v>
      </c>
      <c r="C785" s="5" t="n">
        <v>1329001667</v>
      </c>
      <c r="D785" s="6" t="s">
        <v>819</v>
      </c>
      <c r="E785" s="6"/>
      <c r="F785" s="7" t="n">
        <v>46057.4389018287</v>
      </c>
      <c r="G785" s="7" t="n">
        <v>46058.3397117708</v>
      </c>
      <c r="H785" s="8" t="n">
        <v>4</v>
      </c>
      <c r="I785" s="5" t="n">
        <v>401099</v>
      </c>
      <c r="J785" s="6" t="s">
        <v>799</v>
      </c>
      <c r="K785" s="5" t="n">
        <v>160000105</v>
      </c>
      <c r="L785" s="9" t="n">
        <v>46013</v>
      </c>
      <c r="M785" s="10" t="n">
        <v>47838</v>
      </c>
    </row>
    <row r="786" customFormat="false" ht="30" hidden="true" customHeight="true" outlineLevel="0" collapsed="false">
      <c r="A786" s="4" t="s">
        <v>13</v>
      </c>
      <c r="B786" s="4" t="s">
        <v>14</v>
      </c>
      <c r="C786" s="5" t="n">
        <v>1329001667</v>
      </c>
      <c r="D786" s="6" t="s">
        <v>820</v>
      </c>
      <c r="E786" s="6"/>
      <c r="F786" s="7" t="n">
        <v>46057.4389018287</v>
      </c>
      <c r="G786" s="7" t="n">
        <v>46058.3387821644</v>
      </c>
      <c r="H786" s="8" t="n">
        <v>4</v>
      </c>
      <c r="I786" s="5" t="n">
        <v>401099</v>
      </c>
      <c r="J786" s="6" t="s">
        <v>799</v>
      </c>
      <c r="K786" s="5" t="n">
        <v>160000102</v>
      </c>
      <c r="L786" s="9" t="n">
        <v>46013</v>
      </c>
      <c r="M786" s="10" t="n">
        <v>47838</v>
      </c>
    </row>
    <row r="787" customFormat="false" ht="30" hidden="true" customHeight="true" outlineLevel="0" collapsed="false">
      <c r="A787" s="4" t="s">
        <v>13</v>
      </c>
      <c r="B787" s="4" t="s">
        <v>14</v>
      </c>
      <c r="C787" s="5" t="n">
        <v>1329001667</v>
      </c>
      <c r="D787" s="6" t="s">
        <v>821</v>
      </c>
      <c r="E787" s="6"/>
      <c r="F787" s="7" t="n">
        <v>46057.4389018287</v>
      </c>
      <c r="G787" s="7" t="n">
        <v>46058.3389300694</v>
      </c>
      <c r="H787" s="8" t="n">
        <v>4</v>
      </c>
      <c r="I787" s="5" t="n">
        <v>400468</v>
      </c>
      <c r="J787" s="6" t="s">
        <v>801</v>
      </c>
      <c r="K787" s="5" t="n">
        <v>153000029</v>
      </c>
      <c r="L787" s="9" t="n">
        <v>46039</v>
      </c>
      <c r="M787" s="10" t="n">
        <v>47864</v>
      </c>
    </row>
    <row r="788" customFormat="false" ht="30" hidden="true" customHeight="true" outlineLevel="0" collapsed="false">
      <c r="A788" s="4" t="s">
        <v>13</v>
      </c>
      <c r="B788" s="4" t="s">
        <v>14</v>
      </c>
      <c r="C788" s="5" t="n">
        <v>1329001667</v>
      </c>
      <c r="D788" s="6" t="s">
        <v>822</v>
      </c>
      <c r="E788" s="6"/>
      <c r="F788" s="7" t="n">
        <v>46057.4389018287</v>
      </c>
      <c r="G788" s="7" t="n">
        <v>46058.338630625</v>
      </c>
      <c r="H788" s="8" t="n">
        <v>4</v>
      </c>
      <c r="I788" s="5" t="n">
        <v>401099</v>
      </c>
      <c r="J788" s="6" t="s">
        <v>799</v>
      </c>
      <c r="K788" s="5" t="n">
        <v>160000102</v>
      </c>
      <c r="L788" s="9" t="n">
        <v>46013</v>
      </c>
      <c r="M788" s="10" t="n">
        <v>47838</v>
      </c>
    </row>
    <row r="789" customFormat="false" ht="30" hidden="true" customHeight="true" outlineLevel="0" collapsed="false">
      <c r="A789" s="4" t="s">
        <v>13</v>
      </c>
      <c r="B789" s="4" t="s">
        <v>14</v>
      </c>
      <c r="C789" s="5" t="n">
        <v>1329001667</v>
      </c>
      <c r="D789" s="6" t="s">
        <v>823</v>
      </c>
      <c r="E789" s="6"/>
      <c r="F789" s="7" t="n">
        <v>46057.4389018287</v>
      </c>
      <c r="G789" s="7" t="n">
        <v>46058.3384416088</v>
      </c>
      <c r="H789" s="8" t="n">
        <v>4</v>
      </c>
      <c r="I789" s="5" t="n">
        <v>400468</v>
      </c>
      <c r="J789" s="6" t="s">
        <v>801</v>
      </c>
      <c r="K789" s="5" t="n">
        <v>153000029</v>
      </c>
      <c r="L789" s="9" t="n">
        <v>46039</v>
      </c>
      <c r="M789" s="10" t="n">
        <v>47864</v>
      </c>
    </row>
    <row r="790" customFormat="false" ht="30" hidden="true" customHeight="true" outlineLevel="0" collapsed="false">
      <c r="A790" s="4" t="s">
        <v>13</v>
      </c>
      <c r="B790" s="4" t="s">
        <v>14</v>
      </c>
      <c r="C790" s="5" t="n">
        <v>1329001667</v>
      </c>
      <c r="D790" s="6" t="s">
        <v>824</v>
      </c>
      <c r="E790" s="6"/>
      <c r="F790" s="7" t="n">
        <v>46057.4389018287</v>
      </c>
      <c r="G790" s="7" t="n">
        <v>46058.3381516319</v>
      </c>
      <c r="H790" s="8" t="n">
        <v>4</v>
      </c>
      <c r="I790" s="5" t="n">
        <v>401099</v>
      </c>
      <c r="J790" s="6" t="s">
        <v>799</v>
      </c>
      <c r="K790" s="5" t="n">
        <v>160000102</v>
      </c>
      <c r="L790" s="9" t="n">
        <v>46013</v>
      </c>
      <c r="M790" s="10" t="n">
        <v>47838</v>
      </c>
    </row>
    <row r="791" customFormat="false" ht="30" hidden="true" customHeight="true" outlineLevel="0" collapsed="false">
      <c r="A791" s="4" t="s">
        <v>13</v>
      </c>
      <c r="B791" s="4" t="s">
        <v>14</v>
      </c>
      <c r="C791" s="5" t="n">
        <v>1329001667</v>
      </c>
      <c r="D791" s="6" t="s">
        <v>825</v>
      </c>
      <c r="E791" s="6"/>
      <c r="F791" s="7" t="n">
        <v>46057.4389018287</v>
      </c>
      <c r="G791" s="7" t="n">
        <v>46058.3378428356</v>
      </c>
      <c r="H791" s="8" t="n">
        <v>4</v>
      </c>
      <c r="I791" s="5" t="n">
        <v>400468</v>
      </c>
      <c r="J791" s="6" t="s">
        <v>801</v>
      </c>
      <c r="K791" s="5" t="n">
        <v>153000029</v>
      </c>
      <c r="L791" s="9" t="n">
        <v>46039</v>
      </c>
      <c r="M791" s="10" t="n">
        <v>47864</v>
      </c>
    </row>
    <row r="792" customFormat="false" ht="30" hidden="true" customHeight="true" outlineLevel="0" collapsed="false">
      <c r="A792" s="4" t="s">
        <v>13</v>
      </c>
      <c r="B792" s="4" t="s">
        <v>14</v>
      </c>
      <c r="C792" s="5" t="n">
        <v>1329001667</v>
      </c>
      <c r="D792" s="6" t="s">
        <v>826</v>
      </c>
      <c r="E792" s="6"/>
      <c r="F792" s="7" t="n">
        <v>46057.4389018287</v>
      </c>
      <c r="G792" s="7" t="n">
        <v>46058.3376109375</v>
      </c>
      <c r="H792" s="8" t="n">
        <v>4</v>
      </c>
      <c r="I792" s="5" t="n">
        <v>401099</v>
      </c>
      <c r="J792" s="6" t="s">
        <v>799</v>
      </c>
      <c r="K792" s="5" t="n">
        <v>160000102</v>
      </c>
      <c r="L792" s="9" t="n">
        <v>46013</v>
      </c>
      <c r="M792" s="10" t="n">
        <v>47838</v>
      </c>
    </row>
    <row r="793" customFormat="false" ht="30" hidden="true" customHeight="true" outlineLevel="0" collapsed="false">
      <c r="A793" s="4" t="s">
        <v>13</v>
      </c>
      <c r="B793" s="4" t="s">
        <v>14</v>
      </c>
      <c r="C793" s="5" t="n">
        <v>1329001667</v>
      </c>
      <c r="D793" s="6" t="s">
        <v>827</v>
      </c>
      <c r="E793" s="6"/>
      <c r="F793" s="7" t="n">
        <v>46057.4389018287</v>
      </c>
      <c r="G793" s="7" t="n">
        <v>46058.3368950463</v>
      </c>
      <c r="H793" s="8" t="n">
        <v>4</v>
      </c>
      <c r="I793" s="5" t="n">
        <v>400468</v>
      </c>
      <c r="J793" s="6" t="s">
        <v>801</v>
      </c>
      <c r="K793" s="5" t="n">
        <v>153000029</v>
      </c>
      <c r="L793" s="9" t="n">
        <v>46039</v>
      </c>
      <c r="M793" s="10" t="n">
        <v>47864</v>
      </c>
    </row>
    <row r="794" customFormat="false" ht="30" hidden="true" customHeight="true" outlineLevel="0" collapsed="false">
      <c r="A794" s="4" t="s">
        <v>13</v>
      </c>
      <c r="B794" s="4" t="s">
        <v>14</v>
      </c>
      <c r="C794" s="5" t="n">
        <v>1329001667</v>
      </c>
      <c r="D794" s="6" t="s">
        <v>828</v>
      </c>
      <c r="E794" s="6"/>
      <c r="F794" s="7" t="n">
        <v>46057.4389018287</v>
      </c>
      <c r="G794" s="7" t="n">
        <v>46058.3366049421</v>
      </c>
      <c r="H794" s="8" t="n">
        <v>4</v>
      </c>
      <c r="I794" s="5" t="n">
        <v>401099</v>
      </c>
      <c r="J794" s="6" t="s">
        <v>799</v>
      </c>
      <c r="K794" s="5" t="n">
        <v>160000102</v>
      </c>
      <c r="L794" s="9" t="n">
        <v>46013</v>
      </c>
      <c r="M794" s="10" t="n">
        <v>47838</v>
      </c>
    </row>
    <row r="795" customFormat="false" ht="30" hidden="true" customHeight="true" outlineLevel="0" collapsed="false">
      <c r="A795" s="4" t="s">
        <v>13</v>
      </c>
      <c r="B795" s="4" t="s">
        <v>14</v>
      </c>
      <c r="C795" s="5" t="n">
        <v>1329001670</v>
      </c>
      <c r="D795" s="6" t="s">
        <v>829</v>
      </c>
      <c r="E795" s="6"/>
      <c r="F795" s="7" t="n">
        <v>46058.2597517361</v>
      </c>
      <c r="G795" s="7" t="n">
        <v>46058.3243987616</v>
      </c>
      <c r="H795" s="8" t="n">
        <v>24</v>
      </c>
      <c r="I795" s="5" t="n">
        <v>400413</v>
      </c>
      <c r="J795" s="6" t="s">
        <v>168</v>
      </c>
      <c r="K795" s="5" t="n">
        <v>100010754</v>
      </c>
      <c r="L795" s="9" t="n">
        <v>45978</v>
      </c>
      <c r="M795" s="10" t="n">
        <v>47803</v>
      </c>
    </row>
    <row r="796" customFormat="false" ht="30" hidden="true" customHeight="true" outlineLevel="0" collapsed="false">
      <c r="A796" s="4" t="s">
        <v>13</v>
      </c>
      <c r="B796" s="4" t="s">
        <v>14</v>
      </c>
      <c r="C796" s="5" t="n">
        <v>1329001670</v>
      </c>
      <c r="D796" s="6" t="s">
        <v>830</v>
      </c>
      <c r="E796" s="6"/>
      <c r="F796" s="7" t="n">
        <v>46058.2597517361</v>
      </c>
      <c r="G796" s="7" t="n">
        <v>46058.3222592245</v>
      </c>
      <c r="H796" s="8" t="n">
        <v>24</v>
      </c>
      <c r="I796" s="5" t="n">
        <v>400426</v>
      </c>
      <c r="J796" s="6" t="s">
        <v>831</v>
      </c>
      <c r="K796" s="5" t="n">
        <v>153000039</v>
      </c>
      <c r="L796" s="9"/>
      <c r="M796" s="10" t="n">
        <v>47868</v>
      </c>
    </row>
    <row r="797" customFormat="false" ht="30" hidden="true" customHeight="true" outlineLevel="0" collapsed="false">
      <c r="A797" s="4" t="s">
        <v>13</v>
      </c>
      <c r="B797" s="4" t="s">
        <v>14</v>
      </c>
      <c r="C797" s="5" t="n">
        <v>1329001670</v>
      </c>
      <c r="D797" s="6" t="s">
        <v>832</v>
      </c>
      <c r="E797" s="6"/>
      <c r="F797" s="7" t="n">
        <v>46058.2597517361</v>
      </c>
      <c r="G797" s="7" t="n">
        <v>46058.3295823958</v>
      </c>
      <c r="H797" s="8" t="n">
        <v>24</v>
      </c>
      <c r="I797" s="5" t="n">
        <v>400426</v>
      </c>
      <c r="J797" s="6" t="s">
        <v>831</v>
      </c>
      <c r="K797" s="5" t="n">
        <v>153000039</v>
      </c>
      <c r="L797" s="9"/>
      <c r="M797" s="10" t="n">
        <v>47868</v>
      </c>
    </row>
    <row r="798" customFormat="false" ht="30" hidden="true" customHeight="true" outlineLevel="0" collapsed="false">
      <c r="A798" s="4" t="s">
        <v>13</v>
      </c>
      <c r="B798" s="4" t="s">
        <v>14</v>
      </c>
      <c r="C798" s="5" t="n">
        <v>1329001670</v>
      </c>
      <c r="D798" s="6" t="s">
        <v>833</v>
      </c>
      <c r="E798" s="6"/>
      <c r="F798" s="7" t="n">
        <v>46058.2597517361</v>
      </c>
      <c r="G798" s="7" t="n">
        <v>46058.3297563657</v>
      </c>
      <c r="H798" s="8" t="n">
        <v>24</v>
      </c>
      <c r="I798" s="5" t="n">
        <v>400413</v>
      </c>
      <c r="J798" s="6" t="s">
        <v>168</v>
      </c>
      <c r="K798" s="5" t="n">
        <v>100010738</v>
      </c>
      <c r="L798" s="9"/>
      <c r="M798" s="10" t="n">
        <v>47802</v>
      </c>
    </row>
    <row r="799" customFormat="false" ht="30" hidden="true" customHeight="true" outlineLevel="0" collapsed="false">
      <c r="A799" s="4" t="s">
        <v>13</v>
      </c>
      <c r="B799" s="4" t="s">
        <v>14</v>
      </c>
      <c r="C799" s="5" t="n">
        <v>1329001670</v>
      </c>
      <c r="D799" s="6" t="s">
        <v>834</v>
      </c>
      <c r="E799" s="6"/>
      <c r="F799" s="7" t="n">
        <v>46058.2597517361</v>
      </c>
      <c r="G799" s="7" t="n">
        <v>46058.3294591088</v>
      </c>
      <c r="H799" s="8" t="n">
        <v>24</v>
      </c>
      <c r="I799" s="5" t="n">
        <v>400426</v>
      </c>
      <c r="J799" s="6" t="s">
        <v>831</v>
      </c>
      <c r="K799" s="5" t="n">
        <v>153000042</v>
      </c>
      <c r="L799" s="9"/>
      <c r="M799" s="10" t="n">
        <v>47868</v>
      </c>
    </row>
    <row r="800" customFormat="false" ht="30" hidden="true" customHeight="true" outlineLevel="0" collapsed="false">
      <c r="A800" s="4" t="s">
        <v>13</v>
      </c>
      <c r="B800" s="4" t="s">
        <v>14</v>
      </c>
      <c r="C800" s="5" t="n">
        <v>1329001670</v>
      </c>
      <c r="D800" s="6" t="s">
        <v>835</v>
      </c>
      <c r="E800" s="6"/>
      <c r="F800" s="7" t="n">
        <v>46058.2597517361</v>
      </c>
      <c r="G800" s="7" t="n">
        <v>46058.3290854051</v>
      </c>
      <c r="H800" s="8" t="n">
        <v>24</v>
      </c>
      <c r="I800" s="5" t="n">
        <v>400426</v>
      </c>
      <c r="J800" s="6" t="s">
        <v>831</v>
      </c>
      <c r="K800" s="5" t="n">
        <v>153000042</v>
      </c>
      <c r="L800" s="9"/>
      <c r="M800" s="10" t="n">
        <v>47868</v>
      </c>
    </row>
    <row r="801" customFormat="false" ht="30" hidden="true" customHeight="true" outlineLevel="0" collapsed="false">
      <c r="A801" s="4" t="s">
        <v>13</v>
      </c>
      <c r="B801" s="4" t="s">
        <v>14</v>
      </c>
      <c r="C801" s="5" t="n">
        <v>1329001670</v>
      </c>
      <c r="D801" s="6" t="s">
        <v>836</v>
      </c>
      <c r="E801" s="6"/>
      <c r="F801" s="7" t="n">
        <v>46058.2597517361</v>
      </c>
      <c r="G801" s="7" t="n">
        <v>46058.3264681597</v>
      </c>
      <c r="H801" s="8" t="n">
        <v>24</v>
      </c>
      <c r="I801" s="5" t="n">
        <v>400426</v>
      </c>
      <c r="J801" s="6" t="s">
        <v>831</v>
      </c>
      <c r="K801" s="5" t="n">
        <v>153000039</v>
      </c>
      <c r="L801" s="9"/>
      <c r="M801" s="10" t="n">
        <v>47868</v>
      </c>
    </row>
    <row r="802" customFormat="false" ht="30" hidden="true" customHeight="true" outlineLevel="0" collapsed="false">
      <c r="A802" s="4" t="s">
        <v>13</v>
      </c>
      <c r="B802" s="4" t="s">
        <v>14</v>
      </c>
      <c r="C802" s="5" t="n">
        <v>1329001670</v>
      </c>
      <c r="D802" s="6" t="s">
        <v>837</v>
      </c>
      <c r="E802" s="6"/>
      <c r="F802" s="7" t="n">
        <v>46058.2597517361</v>
      </c>
      <c r="G802" s="7" t="n">
        <v>46058.326270081</v>
      </c>
      <c r="H802" s="8" t="n">
        <v>24</v>
      </c>
      <c r="I802" s="5" t="n">
        <v>400426</v>
      </c>
      <c r="J802" s="6" t="s">
        <v>831</v>
      </c>
      <c r="K802" s="5" t="n">
        <v>153000039</v>
      </c>
      <c r="L802" s="9"/>
      <c r="M802" s="10" t="n">
        <v>47868</v>
      </c>
    </row>
    <row r="803" customFormat="false" ht="30" hidden="true" customHeight="true" outlineLevel="0" collapsed="false">
      <c r="A803" s="4" t="s">
        <v>13</v>
      </c>
      <c r="B803" s="4" t="s">
        <v>14</v>
      </c>
      <c r="C803" s="5" t="n">
        <v>1329001670</v>
      </c>
      <c r="D803" s="6" t="s">
        <v>838</v>
      </c>
      <c r="E803" s="6"/>
      <c r="F803" s="7" t="n">
        <v>46058.2597517361</v>
      </c>
      <c r="G803" s="7" t="n">
        <v>46058.3258709028</v>
      </c>
      <c r="H803" s="8" t="n">
        <v>24</v>
      </c>
      <c r="I803" s="5" t="n">
        <v>400426</v>
      </c>
      <c r="J803" s="6" t="s">
        <v>831</v>
      </c>
      <c r="K803" s="5" t="n">
        <v>153000039</v>
      </c>
      <c r="L803" s="9"/>
      <c r="M803" s="10" t="n">
        <v>47868</v>
      </c>
    </row>
    <row r="804" customFormat="false" ht="30" hidden="true" customHeight="true" outlineLevel="0" collapsed="false">
      <c r="A804" s="4" t="s">
        <v>13</v>
      </c>
      <c r="B804" s="4" t="s">
        <v>14</v>
      </c>
      <c r="C804" s="5" t="n">
        <v>1329001670</v>
      </c>
      <c r="D804" s="6" t="s">
        <v>839</v>
      </c>
      <c r="E804" s="6"/>
      <c r="F804" s="7" t="n">
        <v>46058.2597517361</v>
      </c>
      <c r="G804" s="7" t="n">
        <v>46058.3241291667</v>
      </c>
      <c r="H804" s="8" t="n">
        <v>24</v>
      </c>
      <c r="I804" s="5" t="n">
        <v>400426</v>
      </c>
      <c r="J804" s="6" t="s">
        <v>831</v>
      </c>
      <c r="K804" s="5" t="n">
        <v>153000039</v>
      </c>
      <c r="L804" s="9"/>
      <c r="M804" s="10" t="n">
        <v>47868</v>
      </c>
    </row>
    <row r="805" customFormat="false" ht="30" hidden="true" customHeight="true" outlineLevel="0" collapsed="false">
      <c r="A805" s="4" t="s">
        <v>13</v>
      </c>
      <c r="B805" s="4" t="s">
        <v>14</v>
      </c>
      <c r="C805" s="5" t="n">
        <v>1329001670</v>
      </c>
      <c r="D805" s="6" t="s">
        <v>840</v>
      </c>
      <c r="E805" s="6"/>
      <c r="F805" s="7" t="n">
        <v>46058.2597517361</v>
      </c>
      <c r="G805" s="7" t="n">
        <v>46058.3238826273</v>
      </c>
      <c r="H805" s="8" t="n">
        <v>24</v>
      </c>
      <c r="I805" s="5" t="n">
        <v>400413</v>
      </c>
      <c r="J805" s="6" t="s">
        <v>168</v>
      </c>
      <c r="K805" s="5" t="n">
        <v>100010539</v>
      </c>
      <c r="L805" s="9"/>
      <c r="M805" s="10" t="n">
        <v>47783</v>
      </c>
    </row>
    <row r="806" customFormat="false" ht="30" hidden="true" customHeight="true" outlineLevel="0" collapsed="false">
      <c r="A806" s="4" t="s">
        <v>13</v>
      </c>
      <c r="B806" s="4" t="s">
        <v>14</v>
      </c>
      <c r="C806" s="5" t="n">
        <v>1329001670</v>
      </c>
      <c r="D806" s="6" t="s">
        <v>841</v>
      </c>
      <c r="E806" s="6"/>
      <c r="F806" s="7" t="n">
        <v>46058.2597517361</v>
      </c>
      <c r="G806" s="7" t="n">
        <v>46058.3237157407</v>
      </c>
      <c r="H806" s="8" t="n">
        <v>24</v>
      </c>
      <c r="I806" s="5" t="n">
        <v>400426</v>
      </c>
      <c r="J806" s="6" t="s">
        <v>831</v>
      </c>
      <c r="K806" s="5" t="n">
        <v>153000039</v>
      </c>
      <c r="L806" s="9"/>
      <c r="M806" s="10" t="n">
        <v>47868</v>
      </c>
    </row>
    <row r="807" customFormat="false" ht="30" hidden="true" customHeight="true" outlineLevel="0" collapsed="false">
      <c r="A807" s="4" t="s">
        <v>13</v>
      </c>
      <c r="B807" s="4" t="s">
        <v>14</v>
      </c>
      <c r="C807" s="5" t="n">
        <v>1329001670</v>
      </c>
      <c r="D807" s="6" t="s">
        <v>842</v>
      </c>
      <c r="E807" s="6"/>
      <c r="F807" s="7" t="n">
        <v>46058.2597517361</v>
      </c>
      <c r="G807" s="7" t="n">
        <v>46058.3234295833</v>
      </c>
      <c r="H807" s="8" t="n">
        <v>24</v>
      </c>
      <c r="I807" s="5" t="n">
        <v>400413</v>
      </c>
      <c r="J807" s="6" t="s">
        <v>168</v>
      </c>
      <c r="K807" s="5" t="n">
        <v>100010539</v>
      </c>
      <c r="L807" s="9"/>
      <c r="M807" s="10" t="n">
        <v>47783</v>
      </c>
    </row>
    <row r="808" customFormat="false" ht="30" hidden="true" customHeight="true" outlineLevel="0" collapsed="false">
      <c r="A808" s="4" t="s">
        <v>13</v>
      </c>
      <c r="B808" s="4" t="s">
        <v>14</v>
      </c>
      <c r="C808" s="5" t="n">
        <v>1329001670</v>
      </c>
      <c r="D808" s="6" t="s">
        <v>843</v>
      </c>
      <c r="E808" s="6"/>
      <c r="F808" s="7" t="n">
        <v>46058.2597517361</v>
      </c>
      <c r="G808" s="7" t="n">
        <v>46058.3232481134</v>
      </c>
      <c r="H808" s="8" t="n">
        <v>24</v>
      </c>
      <c r="I808" s="5" t="n">
        <v>400426</v>
      </c>
      <c r="J808" s="6" t="s">
        <v>831</v>
      </c>
      <c r="K808" s="5" t="n">
        <v>153000039</v>
      </c>
      <c r="L808" s="9"/>
      <c r="M808" s="10" t="n">
        <v>47868</v>
      </c>
    </row>
    <row r="809" customFormat="false" ht="30" hidden="true" customHeight="true" outlineLevel="0" collapsed="false">
      <c r="A809" s="4" t="s">
        <v>13</v>
      </c>
      <c r="B809" s="4" t="s">
        <v>14</v>
      </c>
      <c r="C809" s="5" t="n">
        <v>1329001670</v>
      </c>
      <c r="D809" s="6" t="s">
        <v>844</v>
      </c>
      <c r="E809" s="6"/>
      <c r="F809" s="7" t="n">
        <v>46058.2597517361</v>
      </c>
      <c r="G809" s="7" t="n">
        <v>46058.3229966551</v>
      </c>
      <c r="H809" s="8" t="n">
        <v>24</v>
      </c>
      <c r="I809" s="5" t="n">
        <v>400413</v>
      </c>
      <c r="J809" s="6" t="s">
        <v>168</v>
      </c>
      <c r="K809" s="5" t="n">
        <v>100010754</v>
      </c>
      <c r="L809" s="9" t="n">
        <v>45978</v>
      </c>
      <c r="M809" s="10" t="n">
        <v>47803</v>
      </c>
    </row>
    <row r="810" customFormat="false" ht="30" hidden="true" customHeight="true" outlineLevel="0" collapsed="false">
      <c r="A810" s="4" t="s">
        <v>13</v>
      </c>
      <c r="B810" s="4" t="s">
        <v>14</v>
      </c>
      <c r="C810" s="5" t="n">
        <v>1329001670</v>
      </c>
      <c r="D810" s="6" t="s">
        <v>845</v>
      </c>
      <c r="E810" s="6"/>
      <c r="F810" s="7" t="n">
        <v>46058.2597517361</v>
      </c>
      <c r="G810" s="7" t="n">
        <v>46058.3293439931</v>
      </c>
      <c r="H810" s="8" t="n">
        <v>24</v>
      </c>
      <c r="I810" s="5" t="n">
        <v>400413</v>
      </c>
      <c r="J810" s="6" t="s">
        <v>168</v>
      </c>
      <c r="K810" s="5" t="n">
        <v>100010754</v>
      </c>
      <c r="L810" s="9" t="n">
        <v>45978</v>
      </c>
      <c r="M810" s="10" t="n">
        <v>47803</v>
      </c>
    </row>
    <row r="811" customFormat="false" ht="30" hidden="true" customHeight="true" outlineLevel="0" collapsed="false">
      <c r="A811" s="4" t="s">
        <v>13</v>
      </c>
      <c r="B811" s="4" t="s">
        <v>14</v>
      </c>
      <c r="C811" s="5" t="n">
        <v>1329001670</v>
      </c>
      <c r="D811" s="6" t="s">
        <v>846</v>
      </c>
      <c r="E811" s="6"/>
      <c r="F811" s="7" t="n">
        <v>46058.2597517361</v>
      </c>
      <c r="G811" s="7" t="n">
        <v>46058.3279882523</v>
      </c>
      <c r="H811" s="8" t="n">
        <v>24</v>
      </c>
      <c r="I811" s="5" t="n">
        <v>400413</v>
      </c>
      <c r="J811" s="6" t="s">
        <v>168</v>
      </c>
      <c r="K811" s="5" t="n">
        <v>100010754</v>
      </c>
      <c r="L811" s="9" t="n">
        <v>45978</v>
      </c>
      <c r="M811" s="10" t="n">
        <v>47803</v>
      </c>
    </row>
    <row r="812" customFormat="false" ht="30" hidden="true" customHeight="true" outlineLevel="0" collapsed="false">
      <c r="A812" s="4" t="s">
        <v>13</v>
      </c>
      <c r="B812" s="4" t="s">
        <v>14</v>
      </c>
      <c r="C812" s="5" t="n">
        <v>1329001670</v>
      </c>
      <c r="D812" s="6" t="s">
        <v>847</v>
      </c>
      <c r="E812" s="6"/>
      <c r="F812" s="7" t="n">
        <v>46058.2597517361</v>
      </c>
      <c r="G812" s="7" t="n">
        <v>46058.3278820833</v>
      </c>
      <c r="H812" s="8" t="n">
        <v>24</v>
      </c>
      <c r="I812" s="5" t="n">
        <v>400413</v>
      </c>
      <c r="J812" s="6" t="s">
        <v>168</v>
      </c>
      <c r="K812" s="5" t="n">
        <v>100010754</v>
      </c>
      <c r="L812" s="9" t="n">
        <v>45978</v>
      </c>
      <c r="M812" s="10" t="n">
        <v>47803</v>
      </c>
    </row>
    <row r="813" customFormat="false" ht="30" hidden="true" customHeight="true" outlineLevel="0" collapsed="false">
      <c r="A813" s="4" t="s">
        <v>13</v>
      </c>
      <c r="B813" s="4" t="s">
        <v>14</v>
      </c>
      <c r="C813" s="5" t="n">
        <v>1329001670</v>
      </c>
      <c r="D813" s="6" t="s">
        <v>848</v>
      </c>
      <c r="E813" s="6"/>
      <c r="F813" s="7" t="n">
        <v>46058.2597517361</v>
      </c>
      <c r="G813" s="7" t="n">
        <v>46058.3266826157</v>
      </c>
      <c r="H813" s="8" t="n">
        <v>24</v>
      </c>
      <c r="I813" s="5" t="n">
        <v>400426</v>
      </c>
      <c r="J813" s="6" t="s">
        <v>831</v>
      </c>
      <c r="K813" s="5" t="n">
        <v>153000042</v>
      </c>
      <c r="L813" s="9" t="n">
        <v>46043</v>
      </c>
      <c r="M813" s="10" t="n">
        <v>47868</v>
      </c>
    </row>
    <row r="814" customFormat="false" ht="30" hidden="true" customHeight="true" outlineLevel="0" collapsed="false">
      <c r="A814" s="4" t="s">
        <v>13</v>
      </c>
      <c r="B814" s="4" t="s">
        <v>14</v>
      </c>
      <c r="C814" s="5" t="n">
        <v>1329001670</v>
      </c>
      <c r="D814" s="6" t="s">
        <v>849</v>
      </c>
      <c r="E814" s="6"/>
      <c r="F814" s="7" t="n">
        <v>46058.2597517361</v>
      </c>
      <c r="G814" s="7" t="n">
        <v>46058.3276045023</v>
      </c>
      <c r="H814" s="8" t="n">
        <v>24</v>
      </c>
      <c r="I814" s="5" t="n">
        <v>400413</v>
      </c>
      <c r="J814" s="6" t="s">
        <v>168</v>
      </c>
      <c r="K814" s="5" t="n">
        <v>100010754</v>
      </c>
      <c r="L814" s="9" t="n">
        <v>45978</v>
      </c>
      <c r="M814" s="10" t="n">
        <v>47803</v>
      </c>
    </row>
    <row r="815" customFormat="false" ht="30" hidden="true" customHeight="true" outlineLevel="0" collapsed="false">
      <c r="A815" s="4" t="s">
        <v>13</v>
      </c>
      <c r="B815" s="4" t="s">
        <v>14</v>
      </c>
      <c r="C815" s="5" t="n">
        <v>1329001670</v>
      </c>
      <c r="D815" s="6" t="s">
        <v>850</v>
      </c>
      <c r="E815" s="6"/>
      <c r="F815" s="7" t="n">
        <v>46058.2597517361</v>
      </c>
      <c r="G815" s="7" t="n">
        <v>46058.3260486227</v>
      </c>
      <c r="H815" s="8" t="n">
        <v>24</v>
      </c>
      <c r="I815" s="5" t="n">
        <v>400413</v>
      </c>
      <c r="J815" s="6" t="s">
        <v>168</v>
      </c>
      <c r="K815" s="5" t="n">
        <v>100010754</v>
      </c>
      <c r="L815" s="9" t="n">
        <v>45978</v>
      </c>
      <c r="M815" s="10" t="n">
        <v>47803</v>
      </c>
    </row>
    <row r="816" customFormat="false" ht="30" hidden="true" customHeight="true" outlineLevel="0" collapsed="false">
      <c r="A816" s="4" t="s">
        <v>13</v>
      </c>
      <c r="B816" s="4" t="s">
        <v>14</v>
      </c>
      <c r="C816" s="5" t="n">
        <v>1329001670</v>
      </c>
      <c r="D816" s="6" t="s">
        <v>851</v>
      </c>
      <c r="E816" s="6"/>
      <c r="F816" s="7" t="n">
        <v>46058.2597517361</v>
      </c>
      <c r="G816" s="7" t="n">
        <v>46058.325637963</v>
      </c>
      <c r="H816" s="8" t="n">
        <v>24</v>
      </c>
      <c r="I816" s="5" t="n">
        <v>400413</v>
      </c>
      <c r="J816" s="6" t="s">
        <v>168</v>
      </c>
      <c r="K816" s="5" t="n">
        <v>100010754</v>
      </c>
      <c r="L816" s="9" t="n">
        <v>45978</v>
      </c>
      <c r="M816" s="10" t="n">
        <v>47803</v>
      </c>
    </row>
    <row r="817" customFormat="false" ht="30" hidden="true" customHeight="true" outlineLevel="0" collapsed="false">
      <c r="A817" s="4" t="s">
        <v>109</v>
      </c>
      <c r="B817" s="4" t="s">
        <v>14</v>
      </c>
      <c r="C817" s="5" t="n">
        <v>1329001658</v>
      </c>
      <c r="D817" s="6" t="s">
        <v>852</v>
      </c>
      <c r="E817" s="6"/>
      <c r="F817" s="7" t="n">
        <v>46058.2998591319</v>
      </c>
      <c r="G817" s="7" t="n">
        <v>46058.3108627315</v>
      </c>
      <c r="H817" s="8" t="n">
        <v>4</v>
      </c>
      <c r="I817" s="5" t="n">
        <v>400441</v>
      </c>
      <c r="J817" s="6" t="s">
        <v>80</v>
      </c>
      <c r="K817" s="5" t="n">
        <v>153000045</v>
      </c>
      <c r="L817" s="9" t="n">
        <v>46013</v>
      </c>
      <c r="M817" s="10" t="n">
        <v>47838</v>
      </c>
    </row>
    <row r="818" customFormat="false" ht="30" hidden="true" customHeight="true" outlineLevel="0" collapsed="false">
      <c r="A818" s="4" t="s">
        <v>109</v>
      </c>
      <c r="B818" s="4" t="s">
        <v>14</v>
      </c>
      <c r="C818" s="5" t="n">
        <v>1329001658</v>
      </c>
      <c r="D818" s="6" t="s">
        <v>853</v>
      </c>
      <c r="E818" s="6"/>
      <c r="F818" s="7" t="n">
        <v>46058.2998591319</v>
      </c>
      <c r="G818" s="7" t="n">
        <v>46058.3179634259</v>
      </c>
      <c r="H818" s="8" t="n">
        <v>4</v>
      </c>
      <c r="I818" s="5" t="n">
        <v>400441</v>
      </c>
      <c r="J818" s="6" t="s">
        <v>80</v>
      </c>
      <c r="K818" s="5" t="n">
        <v>153000045</v>
      </c>
      <c r="L818" s="9"/>
      <c r="M818" s="10" t="n">
        <v>47838</v>
      </c>
    </row>
    <row r="819" customFormat="false" ht="30" hidden="true" customHeight="true" outlineLevel="0" collapsed="false">
      <c r="A819" s="4" t="s">
        <v>109</v>
      </c>
      <c r="B819" s="4" t="s">
        <v>14</v>
      </c>
      <c r="C819" s="5" t="n">
        <v>1329001658</v>
      </c>
      <c r="D819" s="6" t="s">
        <v>854</v>
      </c>
      <c r="E819" s="6"/>
      <c r="F819" s="7" t="n">
        <v>46058.2998591319</v>
      </c>
      <c r="G819" s="7" t="n">
        <v>46058.3167477083</v>
      </c>
      <c r="H819" s="8" t="n">
        <v>4</v>
      </c>
      <c r="I819" s="5" t="n">
        <v>400441</v>
      </c>
      <c r="J819" s="6" t="s">
        <v>80</v>
      </c>
      <c r="K819" s="5" t="n">
        <v>153000045</v>
      </c>
      <c r="L819" s="9"/>
      <c r="M819" s="10" t="n">
        <v>47838</v>
      </c>
    </row>
    <row r="820" customFormat="false" ht="30" hidden="true" customHeight="true" outlineLevel="0" collapsed="false">
      <c r="A820" s="4" t="s">
        <v>109</v>
      </c>
      <c r="B820" s="4" t="s">
        <v>14</v>
      </c>
      <c r="C820" s="5" t="n">
        <v>1329001658</v>
      </c>
      <c r="D820" s="6" t="s">
        <v>855</v>
      </c>
      <c r="E820" s="6"/>
      <c r="F820" s="7" t="n">
        <v>46058.2998591319</v>
      </c>
      <c r="G820" s="7" t="n">
        <v>46058.3154764236</v>
      </c>
      <c r="H820" s="8" t="n">
        <v>4</v>
      </c>
      <c r="I820" s="5" t="n">
        <v>400441</v>
      </c>
      <c r="J820" s="6" t="s">
        <v>80</v>
      </c>
      <c r="K820" s="5" t="n">
        <v>153000045</v>
      </c>
      <c r="L820" s="9"/>
      <c r="M820" s="10" t="n">
        <v>47838</v>
      </c>
    </row>
    <row r="821" customFormat="false" ht="30" hidden="true" customHeight="true" outlineLevel="0" collapsed="false">
      <c r="A821" s="4" t="s">
        <v>109</v>
      </c>
      <c r="B821" s="4" t="s">
        <v>14</v>
      </c>
      <c r="C821" s="5" t="n">
        <v>1329001658</v>
      </c>
      <c r="D821" s="6" t="s">
        <v>856</v>
      </c>
      <c r="E821" s="6"/>
      <c r="F821" s="7" t="n">
        <v>46058.2998591319</v>
      </c>
      <c r="G821" s="7" t="n">
        <v>46058.3053952546</v>
      </c>
      <c r="H821" s="8" t="n">
        <v>4</v>
      </c>
      <c r="I821" s="5" t="n">
        <v>401047</v>
      </c>
      <c r="J821" s="6" t="s">
        <v>594</v>
      </c>
      <c r="K821" s="5" t="n">
        <v>153000041</v>
      </c>
      <c r="L821" s="9" t="n">
        <v>46042</v>
      </c>
      <c r="M821" s="10" t="n">
        <v>47867</v>
      </c>
    </row>
    <row r="822" customFormat="false" ht="30" hidden="true" customHeight="true" outlineLevel="0" collapsed="false">
      <c r="A822" s="4" t="s">
        <v>109</v>
      </c>
      <c r="B822" s="4" t="s">
        <v>14</v>
      </c>
      <c r="C822" s="5" t="n">
        <v>1329001658</v>
      </c>
      <c r="D822" s="6" t="s">
        <v>857</v>
      </c>
      <c r="E822" s="6"/>
      <c r="F822" s="7" t="n">
        <v>46058.2998591319</v>
      </c>
      <c r="G822" s="7" t="n">
        <v>46058.3063345023</v>
      </c>
      <c r="H822" s="8" t="n">
        <v>4</v>
      </c>
      <c r="I822" s="5" t="n">
        <v>400441</v>
      </c>
      <c r="J822" s="6" t="s">
        <v>80</v>
      </c>
      <c r="K822" s="5" t="n">
        <v>153000045</v>
      </c>
      <c r="L822" s="9" t="n">
        <v>46013</v>
      </c>
      <c r="M822" s="10" t="n">
        <v>47838</v>
      </c>
    </row>
    <row r="823" customFormat="false" ht="30" hidden="true" customHeight="true" outlineLevel="0" collapsed="false">
      <c r="A823" s="4" t="s">
        <v>109</v>
      </c>
      <c r="B823" s="4" t="s">
        <v>14</v>
      </c>
      <c r="C823" s="5" t="n">
        <v>1329001658</v>
      </c>
      <c r="D823" s="6" t="s">
        <v>858</v>
      </c>
      <c r="E823" s="6"/>
      <c r="F823" s="7" t="n">
        <v>46058.2998591319</v>
      </c>
      <c r="G823" s="7" t="n">
        <v>46058.3215272454</v>
      </c>
      <c r="H823" s="8" t="n">
        <v>4</v>
      </c>
      <c r="I823" s="5" t="n">
        <v>400441</v>
      </c>
      <c r="J823" s="6" t="s">
        <v>80</v>
      </c>
      <c r="K823" s="5" t="n">
        <v>153000045</v>
      </c>
      <c r="L823" s="9" t="n">
        <v>46013</v>
      </c>
      <c r="M823" s="10" t="n">
        <v>47838</v>
      </c>
    </row>
    <row r="824" customFormat="false" ht="30" hidden="true" customHeight="true" outlineLevel="0" collapsed="false">
      <c r="A824" s="4" t="s">
        <v>109</v>
      </c>
      <c r="B824" s="4" t="s">
        <v>14</v>
      </c>
      <c r="C824" s="5" t="n">
        <v>1329001658</v>
      </c>
      <c r="D824" s="6" t="s">
        <v>859</v>
      </c>
      <c r="E824" s="6"/>
      <c r="F824" s="7" t="n">
        <v>46058.2998591319</v>
      </c>
      <c r="G824" s="7" t="n">
        <v>46058.3209533449</v>
      </c>
      <c r="H824" s="8" t="n">
        <v>4</v>
      </c>
      <c r="I824" s="5" t="n">
        <v>401047</v>
      </c>
      <c r="J824" s="6" t="s">
        <v>594</v>
      </c>
      <c r="K824" s="5" t="n">
        <v>153000041</v>
      </c>
      <c r="L824" s="9" t="n">
        <v>46042</v>
      </c>
      <c r="M824" s="10" t="n">
        <v>47867</v>
      </c>
    </row>
    <row r="825" customFormat="false" ht="30" hidden="true" customHeight="true" outlineLevel="0" collapsed="false">
      <c r="A825" s="4" t="s">
        <v>109</v>
      </c>
      <c r="B825" s="4" t="s">
        <v>14</v>
      </c>
      <c r="C825" s="5" t="n">
        <v>1329001658</v>
      </c>
      <c r="D825" s="6" t="s">
        <v>860</v>
      </c>
      <c r="E825" s="6"/>
      <c r="F825" s="7" t="n">
        <v>46058.2998591319</v>
      </c>
      <c r="G825" s="7" t="n">
        <v>46058.3221133796</v>
      </c>
      <c r="H825" s="8" t="n">
        <v>4</v>
      </c>
      <c r="I825" s="5" t="n">
        <v>401047</v>
      </c>
      <c r="J825" s="6" t="s">
        <v>594</v>
      </c>
      <c r="K825" s="5" t="n">
        <v>153000041</v>
      </c>
      <c r="L825" s="9" t="n">
        <v>46042</v>
      </c>
      <c r="M825" s="10" t="n">
        <v>47867</v>
      </c>
    </row>
    <row r="826" customFormat="false" ht="30" hidden="true" customHeight="true" outlineLevel="0" collapsed="false">
      <c r="A826" s="4" t="s">
        <v>109</v>
      </c>
      <c r="B826" s="4" t="s">
        <v>14</v>
      </c>
      <c r="C826" s="5" t="n">
        <v>1329001658</v>
      </c>
      <c r="D826" s="6" t="s">
        <v>861</v>
      </c>
      <c r="E826" s="6"/>
      <c r="F826" s="7" t="n">
        <v>46058.2998591319</v>
      </c>
      <c r="G826" s="7" t="n">
        <v>46058.3241810995</v>
      </c>
      <c r="H826" s="8" t="n">
        <v>4</v>
      </c>
      <c r="I826" s="5" t="n">
        <v>400441</v>
      </c>
      <c r="J826" s="6" t="s">
        <v>80</v>
      </c>
      <c r="K826" s="5" t="n">
        <v>153000045</v>
      </c>
      <c r="L826" s="9" t="n">
        <v>46013</v>
      </c>
      <c r="M826" s="10" t="n">
        <v>47838</v>
      </c>
    </row>
    <row r="827" customFormat="false" ht="30" hidden="true" customHeight="true" outlineLevel="0" collapsed="false">
      <c r="A827" s="4" t="s">
        <v>109</v>
      </c>
      <c r="B827" s="4" t="s">
        <v>14</v>
      </c>
      <c r="C827" s="5" t="n">
        <v>1329001658</v>
      </c>
      <c r="D827" s="6" t="s">
        <v>862</v>
      </c>
      <c r="E827" s="6"/>
      <c r="F827" s="7" t="n">
        <v>46058.2998591319</v>
      </c>
      <c r="G827" s="7" t="n">
        <v>46058.3234170486</v>
      </c>
      <c r="H827" s="8" t="n">
        <v>4</v>
      </c>
      <c r="I827" s="5" t="n">
        <v>401047</v>
      </c>
      <c r="J827" s="6" t="s">
        <v>594</v>
      </c>
      <c r="K827" s="5" t="n">
        <v>153000041</v>
      </c>
      <c r="L827" s="9" t="n">
        <v>46042</v>
      </c>
      <c r="M827" s="10" t="n">
        <v>47867</v>
      </c>
    </row>
    <row r="828" customFormat="false" ht="30" hidden="true" customHeight="true" outlineLevel="0" collapsed="false">
      <c r="A828" s="4" t="s">
        <v>109</v>
      </c>
      <c r="B828" s="4" t="s">
        <v>14</v>
      </c>
      <c r="C828" s="5" t="n">
        <v>1329001658</v>
      </c>
      <c r="D828" s="6" t="s">
        <v>863</v>
      </c>
      <c r="E828" s="6"/>
      <c r="F828" s="7" t="n">
        <v>46058.2998591319</v>
      </c>
      <c r="G828" s="7" t="n">
        <v>46058.3228066319</v>
      </c>
      <c r="H828" s="8" t="n">
        <v>4</v>
      </c>
      <c r="I828" s="5" t="n">
        <v>400441</v>
      </c>
      <c r="J828" s="6" t="s">
        <v>80</v>
      </c>
      <c r="K828" s="5" t="n">
        <v>153000045</v>
      </c>
      <c r="L828" s="9" t="n">
        <v>46013</v>
      </c>
      <c r="M828" s="10" t="n">
        <v>47838</v>
      </c>
    </row>
    <row r="829" customFormat="false" ht="30" hidden="true" customHeight="true" outlineLevel="0" collapsed="false">
      <c r="A829" s="4" t="s">
        <v>109</v>
      </c>
      <c r="B829" s="4" t="s">
        <v>14</v>
      </c>
      <c r="C829" s="5" t="n">
        <v>1329001658</v>
      </c>
      <c r="D829" s="6" t="s">
        <v>864</v>
      </c>
      <c r="E829" s="6"/>
      <c r="F829" s="7" t="n">
        <v>46058.2998591319</v>
      </c>
      <c r="G829" s="7" t="n">
        <v>46058.3199115278</v>
      </c>
      <c r="H829" s="8" t="n">
        <v>4</v>
      </c>
      <c r="I829" s="5" t="n">
        <v>401047</v>
      </c>
      <c r="J829" s="6" t="s">
        <v>594</v>
      </c>
      <c r="K829" s="5" t="n">
        <v>153000041</v>
      </c>
      <c r="L829" s="9" t="n">
        <v>46042</v>
      </c>
      <c r="M829" s="10" t="n">
        <v>47867</v>
      </c>
    </row>
    <row r="830" customFormat="false" ht="30" hidden="true" customHeight="true" outlineLevel="0" collapsed="false">
      <c r="A830" s="4" t="s">
        <v>109</v>
      </c>
      <c r="B830" s="4" t="s">
        <v>14</v>
      </c>
      <c r="C830" s="5" t="n">
        <v>1329001658</v>
      </c>
      <c r="D830" s="6" t="s">
        <v>865</v>
      </c>
      <c r="E830" s="6"/>
      <c r="F830" s="7" t="n">
        <v>46058.2998591319</v>
      </c>
      <c r="G830" s="7" t="n">
        <v>46058.3194160532</v>
      </c>
      <c r="H830" s="8" t="n">
        <v>4</v>
      </c>
      <c r="I830" s="5" t="n">
        <v>400441</v>
      </c>
      <c r="J830" s="6" t="s">
        <v>80</v>
      </c>
      <c r="K830" s="5" t="n">
        <v>153000045</v>
      </c>
      <c r="L830" s="9" t="n">
        <v>46013</v>
      </c>
      <c r="M830" s="10" t="n">
        <v>47838</v>
      </c>
    </row>
    <row r="831" customFormat="false" ht="30" hidden="true" customHeight="true" outlineLevel="0" collapsed="false">
      <c r="A831" s="4" t="s">
        <v>109</v>
      </c>
      <c r="B831" s="4" t="s">
        <v>14</v>
      </c>
      <c r="C831" s="5" t="n">
        <v>1329001658</v>
      </c>
      <c r="D831" s="6" t="s">
        <v>866</v>
      </c>
      <c r="E831" s="6"/>
      <c r="F831" s="7" t="n">
        <v>46058.2998591319</v>
      </c>
      <c r="G831" s="7" t="n">
        <v>46058.3187599074</v>
      </c>
      <c r="H831" s="8" t="n">
        <v>4</v>
      </c>
      <c r="I831" s="5" t="n">
        <v>401047</v>
      </c>
      <c r="J831" s="6" t="s">
        <v>594</v>
      </c>
      <c r="K831" s="5" t="n">
        <v>153000041</v>
      </c>
      <c r="L831" s="9" t="n">
        <v>46042</v>
      </c>
      <c r="M831" s="10" t="n">
        <v>47867</v>
      </c>
    </row>
    <row r="832" customFormat="false" ht="30" hidden="true" customHeight="true" outlineLevel="0" collapsed="false">
      <c r="A832" s="4" t="s">
        <v>109</v>
      </c>
      <c r="B832" s="4" t="s">
        <v>14</v>
      </c>
      <c r="C832" s="5" t="n">
        <v>1329001658</v>
      </c>
      <c r="D832" s="6" t="s">
        <v>867</v>
      </c>
      <c r="E832" s="6"/>
      <c r="F832" s="7" t="n">
        <v>46058.2998591319</v>
      </c>
      <c r="G832" s="7" t="n">
        <v>46058.3173799306</v>
      </c>
      <c r="H832" s="8" t="n">
        <v>4</v>
      </c>
      <c r="I832" s="5" t="n">
        <v>401047</v>
      </c>
      <c r="J832" s="6" t="s">
        <v>594</v>
      </c>
      <c r="K832" s="5" t="n">
        <v>153000041</v>
      </c>
      <c r="L832" s="9" t="n">
        <v>46042</v>
      </c>
      <c r="M832" s="10" t="n">
        <v>47867</v>
      </c>
    </row>
    <row r="833" customFormat="false" ht="30" hidden="true" customHeight="true" outlineLevel="0" collapsed="false">
      <c r="A833" s="4" t="s">
        <v>109</v>
      </c>
      <c r="B833" s="4" t="s">
        <v>14</v>
      </c>
      <c r="C833" s="5" t="n">
        <v>1329001658</v>
      </c>
      <c r="D833" s="6" t="s">
        <v>868</v>
      </c>
      <c r="E833" s="6"/>
      <c r="F833" s="7" t="n">
        <v>46058.2998591319</v>
      </c>
      <c r="G833" s="7" t="n">
        <v>46058.3161766782</v>
      </c>
      <c r="H833" s="8" t="n">
        <v>4</v>
      </c>
      <c r="I833" s="5" t="n">
        <v>401047</v>
      </c>
      <c r="J833" s="6" t="s">
        <v>594</v>
      </c>
      <c r="K833" s="5" t="n">
        <v>153000041</v>
      </c>
      <c r="L833" s="9" t="n">
        <v>46042</v>
      </c>
      <c r="M833" s="10" t="n">
        <v>47867</v>
      </c>
    </row>
    <row r="834" customFormat="false" ht="30" hidden="true" customHeight="true" outlineLevel="0" collapsed="false">
      <c r="A834" s="4" t="s">
        <v>109</v>
      </c>
      <c r="B834" s="4" t="s">
        <v>14</v>
      </c>
      <c r="C834" s="5" t="n">
        <v>1329001658</v>
      </c>
      <c r="D834" s="6" t="s">
        <v>869</v>
      </c>
      <c r="E834" s="6"/>
      <c r="F834" s="7" t="n">
        <v>46058.2998591319</v>
      </c>
      <c r="G834" s="7" t="n">
        <v>46058.3095769907</v>
      </c>
      <c r="H834" s="8" t="n">
        <v>4</v>
      </c>
      <c r="I834" s="5" t="n">
        <v>400441</v>
      </c>
      <c r="J834" s="6" t="s">
        <v>80</v>
      </c>
      <c r="K834" s="5" t="n">
        <v>100011145</v>
      </c>
      <c r="L834" s="9" t="n">
        <v>46013</v>
      </c>
      <c r="M834" s="10" t="n">
        <v>47838</v>
      </c>
    </row>
    <row r="835" customFormat="false" ht="30" hidden="true" customHeight="true" outlineLevel="0" collapsed="false">
      <c r="A835" s="4" t="s">
        <v>109</v>
      </c>
      <c r="B835" s="4" t="s">
        <v>14</v>
      </c>
      <c r="C835" s="5" t="n">
        <v>1329001658</v>
      </c>
      <c r="D835" s="6" t="s">
        <v>870</v>
      </c>
      <c r="E835" s="6"/>
      <c r="F835" s="7" t="n">
        <v>46058.2998591319</v>
      </c>
      <c r="G835" s="7" t="n">
        <v>46058.3102081482</v>
      </c>
      <c r="H835" s="8" t="n">
        <v>4</v>
      </c>
      <c r="I835" s="5" t="n">
        <v>401047</v>
      </c>
      <c r="J835" s="6" t="s">
        <v>594</v>
      </c>
      <c r="K835" s="5" t="n">
        <v>153000041</v>
      </c>
      <c r="L835" s="9" t="n">
        <v>46042</v>
      </c>
      <c r="M835" s="10" t="n">
        <v>47867</v>
      </c>
    </row>
    <row r="836" customFormat="false" ht="30" hidden="true" customHeight="true" outlineLevel="0" collapsed="false">
      <c r="A836" s="4" t="s">
        <v>109</v>
      </c>
      <c r="B836" s="4" t="s">
        <v>14</v>
      </c>
      <c r="C836" s="5" t="n">
        <v>1329001658</v>
      </c>
      <c r="D836" s="6" t="s">
        <v>871</v>
      </c>
      <c r="E836" s="6"/>
      <c r="F836" s="7" t="n">
        <v>46058.2998591319</v>
      </c>
      <c r="G836" s="7" t="n">
        <v>46058.3088029514</v>
      </c>
      <c r="H836" s="8" t="n">
        <v>4</v>
      </c>
      <c r="I836" s="5" t="n">
        <v>400441</v>
      </c>
      <c r="J836" s="6" t="s">
        <v>80</v>
      </c>
      <c r="K836" s="5" t="n">
        <v>153000045</v>
      </c>
      <c r="L836" s="9" t="n">
        <v>46013</v>
      </c>
      <c r="M836" s="10" t="n">
        <v>47838</v>
      </c>
    </row>
    <row r="837" customFormat="false" ht="30" hidden="true" customHeight="true" outlineLevel="0" collapsed="false">
      <c r="A837" s="4" t="s">
        <v>109</v>
      </c>
      <c r="B837" s="4" t="s">
        <v>14</v>
      </c>
      <c r="C837" s="5" t="n">
        <v>1329001658</v>
      </c>
      <c r="D837" s="6" t="s">
        <v>872</v>
      </c>
      <c r="E837" s="6"/>
      <c r="F837" s="7" t="n">
        <v>46058.2998591319</v>
      </c>
      <c r="G837" s="7" t="n">
        <v>46058.3078421296</v>
      </c>
      <c r="H837" s="8" t="n">
        <v>4</v>
      </c>
      <c r="I837" s="5" t="n">
        <v>400441</v>
      </c>
      <c r="J837" s="6" t="s">
        <v>80</v>
      </c>
      <c r="K837" s="5" t="n">
        <v>153000045</v>
      </c>
      <c r="L837" s="9" t="n">
        <v>46013</v>
      </c>
      <c r="M837" s="10" t="n">
        <v>47838</v>
      </c>
    </row>
    <row r="838" customFormat="false" ht="30" hidden="true" customHeight="true" outlineLevel="0" collapsed="false">
      <c r="A838" s="4" t="s">
        <v>109</v>
      </c>
      <c r="B838" s="4" t="s">
        <v>14</v>
      </c>
      <c r="C838" s="5" t="n">
        <v>1329001658</v>
      </c>
      <c r="D838" s="6" t="s">
        <v>873</v>
      </c>
      <c r="E838" s="6"/>
      <c r="F838" s="7" t="n">
        <v>46058.2998591319</v>
      </c>
      <c r="G838" s="7" t="n">
        <v>46058.3069540046</v>
      </c>
      <c r="H838" s="8" t="n">
        <v>4</v>
      </c>
      <c r="I838" s="5" t="n">
        <v>401047</v>
      </c>
      <c r="J838" s="6" t="s">
        <v>594</v>
      </c>
      <c r="K838" s="5" t="n">
        <v>153000041</v>
      </c>
      <c r="L838" s="9" t="n">
        <v>46042</v>
      </c>
      <c r="M838" s="10" t="n">
        <v>47867</v>
      </c>
    </row>
    <row r="839" customFormat="false" ht="30" hidden="true" customHeight="true" outlineLevel="0" collapsed="false">
      <c r="A839" s="4" t="s">
        <v>109</v>
      </c>
      <c r="B839" s="4" t="s">
        <v>14</v>
      </c>
      <c r="C839" s="5" t="n">
        <v>1329001658</v>
      </c>
      <c r="D839" s="6" t="s">
        <v>874</v>
      </c>
      <c r="E839" s="6"/>
      <c r="F839" s="7" t="n">
        <v>46058.2998591319</v>
      </c>
      <c r="G839" s="7" t="n">
        <v>46058.3083572222</v>
      </c>
      <c r="H839" s="8" t="n">
        <v>4</v>
      </c>
      <c r="I839" s="5" t="n">
        <v>401047</v>
      </c>
      <c r="J839" s="6" t="s">
        <v>594</v>
      </c>
      <c r="K839" s="5" t="n">
        <v>153000041</v>
      </c>
      <c r="L839" s="9" t="n">
        <v>46042</v>
      </c>
      <c r="M839" s="10" t="n">
        <v>47867</v>
      </c>
    </row>
    <row r="840" customFormat="false" ht="30" hidden="true" customHeight="true" outlineLevel="0" collapsed="false">
      <c r="A840" s="4" t="s">
        <v>109</v>
      </c>
      <c r="B840" s="4" t="s">
        <v>14</v>
      </c>
      <c r="C840" s="5" t="n">
        <v>1329001658</v>
      </c>
      <c r="D840" s="6" t="s">
        <v>875</v>
      </c>
      <c r="E840" s="6"/>
      <c r="F840" s="7" t="n">
        <v>46058.2998591319</v>
      </c>
      <c r="G840" s="7" t="n">
        <v>46058.3204006829</v>
      </c>
      <c r="H840" s="8" t="n">
        <v>4</v>
      </c>
      <c r="I840" s="5" t="n">
        <v>400441</v>
      </c>
      <c r="J840" s="6" t="s">
        <v>80</v>
      </c>
      <c r="K840" s="5" t="n">
        <v>153000045</v>
      </c>
      <c r="L840" s="9" t="n">
        <v>46013</v>
      </c>
      <c r="M840" s="10" t="n">
        <v>47838</v>
      </c>
    </row>
    <row r="841" customFormat="false" ht="30" hidden="true" customHeight="true" outlineLevel="0" collapsed="false">
      <c r="A841" s="4" t="s">
        <v>109</v>
      </c>
      <c r="B841" s="4" t="s">
        <v>14</v>
      </c>
      <c r="C841" s="5" t="n">
        <v>1329001658</v>
      </c>
      <c r="D841" s="6" t="s">
        <v>876</v>
      </c>
      <c r="E841" s="6"/>
      <c r="F841" s="7" t="n">
        <v>46058.2998591319</v>
      </c>
      <c r="G841" s="7" t="n">
        <v>46058.3149084028</v>
      </c>
      <c r="H841" s="8" t="n">
        <v>4</v>
      </c>
      <c r="I841" s="5" t="n">
        <v>401047</v>
      </c>
      <c r="J841" s="6" t="s">
        <v>594</v>
      </c>
      <c r="K841" s="5" t="n">
        <v>153000041</v>
      </c>
      <c r="L841" s="9" t="n">
        <v>46042</v>
      </c>
      <c r="M841" s="10" t="n">
        <v>47867</v>
      </c>
    </row>
    <row r="842" customFormat="false" ht="30" hidden="true" customHeight="true" outlineLevel="0" collapsed="false">
      <c r="A842" s="4" t="s">
        <v>109</v>
      </c>
      <c r="B842" s="4" t="s">
        <v>14</v>
      </c>
      <c r="C842" s="5" t="n">
        <v>1329001658</v>
      </c>
      <c r="D842" s="6" t="s">
        <v>877</v>
      </c>
      <c r="E842" s="6"/>
      <c r="F842" s="7" t="n">
        <v>46058.2998591319</v>
      </c>
      <c r="G842" s="7" t="n">
        <v>46058.3137767245</v>
      </c>
      <c r="H842" s="8" t="n">
        <v>4</v>
      </c>
      <c r="I842" s="5" t="n">
        <v>401047</v>
      </c>
      <c r="J842" s="6" t="s">
        <v>594</v>
      </c>
      <c r="K842" s="5" t="n">
        <v>153000041</v>
      </c>
      <c r="L842" s="9" t="n">
        <v>46042</v>
      </c>
      <c r="M842" s="10" t="n">
        <v>47867</v>
      </c>
    </row>
    <row r="843" customFormat="false" ht="30" hidden="true" customHeight="true" outlineLevel="0" collapsed="false">
      <c r="A843" s="4" t="s">
        <v>109</v>
      </c>
      <c r="B843" s="4" t="s">
        <v>14</v>
      </c>
      <c r="C843" s="5" t="n">
        <v>1329001658</v>
      </c>
      <c r="D843" s="6" t="s">
        <v>878</v>
      </c>
      <c r="E843" s="6"/>
      <c r="F843" s="7" t="n">
        <v>46058.2998591319</v>
      </c>
      <c r="G843" s="7" t="n">
        <v>46058.314337037</v>
      </c>
      <c r="H843" s="8" t="n">
        <v>4</v>
      </c>
      <c r="I843" s="5" t="n">
        <v>400441</v>
      </c>
      <c r="J843" s="6" t="s">
        <v>80</v>
      </c>
      <c r="K843" s="5" t="n">
        <v>153000045</v>
      </c>
      <c r="L843" s="9" t="n">
        <v>46013</v>
      </c>
      <c r="M843" s="10" t="n">
        <v>47838</v>
      </c>
    </row>
    <row r="844" customFormat="false" ht="30" hidden="true" customHeight="true" outlineLevel="0" collapsed="false">
      <c r="A844" s="4" t="s">
        <v>109</v>
      </c>
      <c r="B844" s="4" t="s">
        <v>14</v>
      </c>
      <c r="C844" s="5" t="n">
        <v>1329001658</v>
      </c>
      <c r="D844" s="6" t="s">
        <v>879</v>
      </c>
      <c r="E844" s="6"/>
      <c r="F844" s="7" t="n">
        <v>46058.2998591319</v>
      </c>
      <c r="G844" s="7" t="n">
        <v>46058.3127664815</v>
      </c>
      <c r="H844" s="8" t="n">
        <v>4</v>
      </c>
      <c r="I844" s="5" t="n">
        <v>401047</v>
      </c>
      <c r="J844" s="6" t="s">
        <v>594</v>
      </c>
      <c r="K844" s="5" t="n">
        <v>153000041</v>
      </c>
      <c r="L844" s="9" t="n">
        <v>46042</v>
      </c>
      <c r="M844" s="10" t="n">
        <v>47867</v>
      </c>
    </row>
    <row r="845" customFormat="false" ht="30" hidden="true" customHeight="true" outlineLevel="0" collapsed="false">
      <c r="A845" s="4" t="s">
        <v>109</v>
      </c>
      <c r="B845" s="4" t="s">
        <v>14</v>
      </c>
      <c r="C845" s="5" t="n">
        <v>1329001658</v>
      </c>
      <c r="D845" s="6" t="s">
        <v>880</v>
      </c>
      <c r="E845" s="6"/>
      <c r="F845" s="7" t="n">
        <v>46058.2998591319</v>
      </c>
      <c r="G845" s="7" t="n">
        <v>46058.3114897569</v>
      </c>
      <c r="H845" s="8" t="n">
        <v>4</v>
      </c>
      <c r="I845" s="5" t="n">
        <v>401047</v>
      </c>
      <c r="J845" s="6" t="s">
        <v>594</v>
      </c>
      <c r="K845" s="5" t="n">
        <v>153000041</v>
      </c>
      <c r="L845" s="9" t="n">
        <v>46042</v>
      </c>
      <c r="M845" s="10" t="n">
        <v>47867</v>
      </c>
    </row>
    <row r="846" customFormat="false" ht="30" hidden="true" customHeight="true" outlineLevel="0" collapsed="false">
      <c r="A846" s="4" t="s">
        <v>109</v>
      </c>
      <c r="B846" s="4" t="s">
        <v>14</v>
      </c>
      <c r="C846" s="5" t="n">
        <v>1329001658</v>
      </c>
      <c r="D846" s="6" t="s">
        <v>881</v>
      </c>
      <c r="E846" s="6"/>
      <c r="F846" s="7" t="n">
        <v>46058.2998591319</v>
      </c>
      <c r="G846" s="7" t="n">
        <v>46058.3119956019</v>
      </c>
      <c r="H846" s="8" t="n">
        <v>4</v>
      </c>
      <c r="I846" s="5" t="n">
        <v>400441</v>
      </c>
      <c r="J846" s="6" t="s">
        <v>80</v>
      </c>
      <c r="K846" s="5" t="n">
        <v>153000045</v>
      </c>
      <c r="L846" s="9" t="n">
        <v>46013</v>
      </c>
      <c r="M846" s="10" t="n">
        <v>47838</v>
      </c>
    </row>
    <row r="847" customFormat="false" ht="30" hidden="true" customHeight="true" outlineLevel="0" collapsed="false">
      <c r="A847" s="4" t="s">
        <v>109</v>
      </c>
      <c r="B847" s="4" t="s">
        <v>14</v>
      </c>
      <c r="C847" s="5" t="n">
        <v>1329001660</v>
      </c>
      <c r="D847" s="6" t="s">
        <v>882</v>
      </c>
      <c r="E847" s="6"/>
      <c r="F847" s="7" t="n">
        <v>46058.3515590278</v>
      </c>
      <c r="G847" s="7" t="n">
        <v>46058.4606594213</v>
      </c>
      <c r="H847" s="8" t="n">
        <v>4</v>
      </c>
      <c r="I847" s="5" t="n">
        <v>400630</v>
      </c>
      <c r="J847" s="6" t="s">
        <v>772</v>
      </c>
      <c r="K847" s="5" t="n">
        <v>153000016</v>
      </c>
      <c r="L847" s="9" t="n">
        <v>45951</v>
      </c>
      <c r="M847" s="10" t="n">
        <v>47776</v>
      </c>
    </row>
    <row r="848" customFormat="false" ht="30" hidden="true" customHeight="true" outlineLevel="0" collapsed="false">
      <c r="A848" s="4" t="s">
        <v>109</v>
      </c>
      <c r="B848" s="4" t="s">
        <v>14</v>
      </c>
      <c r="C848" s="5" t="n">
        <v>1329001660</v>
      </c>
      <c r="D848" s="6" t="s">
        <v>883</v>
      </c>
      <c r="E848" s="6"/>
      <c r="F848" s="7" t="n">
        <v>46058.3515590278</v>
      </c>
      <c r="G848" s="7" t="n">
        <v>46058.4485973148</v>
      </c>
      <c r="H848" s="8" t="n">
        <v>4</v>
      </c>
      <c r="I848" s="5" t="n">
        <v>400630</v>
      </c>
      <c r="J848" s="6" t="s">
        <v>772</v>
      </c>
      <c r="K848" s="5" t="n">
        <v>153000016</v>
      </c>
      <c r="L848" s="9"/>
      <c r="M848" s="10" t="n">
        <v>47776</v>
      </c>
    </row>
    <row r="849" customFormat="false" ht="30" hidden="true" customHeight="true" outlineLevel="0" collapsed="false">
      <c r="A849" s="4" t="s">
        <v>109</v>
      </c>
      <c r="B849" s="4" t="s">
        <v>14</v>
      </c>
      <c r="C849" s="5" t="n">
        <v>1329001660</v>
      </c>
      <c r="D849" s="6" t="s">
        <v>884</v>
      </c>
      <c r="E849" s="6"/>
      <c r="F849" s="7" t="n">
        <v>46058.3515590278</v>
      </c>
      <c r="G849" s="7" t="n">
        <v>46058.4475230093</v>
      </c>
      <c r="H849" s="8" t="n">
        <v>4</v>
      </c>
      <c r="I849" s="5" t="n">
        <v>400630</v>
      </c>
      <c r="J849" s="6" t="s">
        <v>772</v>
      </c>
      <c r="K849" s="5" t="n">
        <v>153000016</v>
      </c>
      <c r="L849" s="9"/>
      <c r="M849" s="10" t="n">
        <v>47776</v>
      </c>
    </row>
    <row r="850" customFormat="false" ht="30" hidden="true" customHeight="true" outlineLevel="0" collapsed="false">
      <c r="A850" s="4" t="s">
        <v>109</v>
      </c>
      <c r="B850" s="4" t="s">
        <v>14</v>
      </c>
      <c r="C850" s="5" t="n">
        <v>1329001660</v>
      </c>
      <c r="D850" s="6" t="s">
        <v>885</v>
      </c>
      <c r="E850" s="6"/>
      <c r="F850" s="7" t="n">
        <v>46058.3515590278</v>
      </c>
      <c r="G850" s="7" t="n">
        <v>46058.4463616667</v>
      </c>
      <c r="H850" s="8" t="n">
        <v>4</v>
      </c>
      <c r="I850" s="5" t="n">
        <v>400630</v>
      </c>
      <c r="J850" s="6" t="s">
        <v>772</v>
      </c>
      <c r="K850" s="5" t="n">
        <v>153000016</v>
      </c>
      <c r="L850" s="9"/>
      <c r="M850" s="10" t="n">
        <v>47776</v>
      </c>
    </row>
    <row r="851" customFormat="false" ht="30" hidden="true" customHeight="true" outlineLevel="0" collapsed="false">
      <c r="A851" s="4" t="s">
        <v>109</v>
      </c>
      <c r="B851" s="4" t="s">
        <v>14</v>
      </c>
      <c r="C851" s="5" t="n">
        <v>1329001660</v>
      </c>
      <c r="D851" s="6" t="s">
        <v>886</v>
      </c>
      <c r="E851" s="6"/>
      <c r="F851" s="7" t="n">
        <v>46058.3515590278</v>
      </c>
      <c r="G851" s="7" t="n">
        <v>46058.444757338</v>
      </c>
      <c r="H851" s="8" t="n">
        <v>4</v>
      </c>
      <c r="I851" s="5" t="n">
        <v>400630</v>
      </c>
      <c r="J851" s="6" t="s">
        <v>772</v>
      </c>
      <c r="K851" s="5" t="n">
        <v>153000016</v>
      </c>
      <c r="L851" s="9"/>
      <c r="M851" s="10" t="n">
        <v>47776</v>
      </c>
    </row>
    <row r="852" customFormat="false" ht="30" hidden="true" customHeight="true" outlineLevel="0" collapsed="false">
      <c r="A852" s="4" t="s">
        <v>109</v>
      </c>
      <c r="B852" s="4" t="s">
        <v>14</v>
      </c>
      <c r="C852" s="5" t="n">
        <v>1329001660</v>
      </c>
      <c r="D852" s="6" t="s">
        <v>887</v>
      </c>
      <c r="E852" s="6"/>
      <c r="F852" s="7" t="n">
        <v>46058.3515590278</v>
      </c>
      <c r="G852" s="7" t="n">
        <v>46058.4432363773</v>
      </c>
      <c r="H852" s="8" t="n">
        <v>4</v>
      </c>
      <c r="I852" s="5" t="n">
        <v>400630</v>
      </c>
      <c r="J852" s="6" t="s">
        <v>772</v>
      </c>
      <c r="K852" s="5" t="n">
        <v>100010471</v>
      </c>
      <c r="L852" s="9"/>
      <c r="M852" s="10" t="n">
        <v>47776</v>
      </c>
    </row>
    <row r="853" customFormat="false" ht="30" hidden="true" customHeight="true" outlineLevel="0" collapsed="false">
      <c r="A853" s="4" t="s">
        <v>109</v>
      </c>
      <c r="B853" s="4" t="s">
        <v>14</v>
      </c>
      <c r="C853" s="5" t="n">
        <v>1329001660</v>
      </c>
      <c r="D853" s="6" t="s">
        <v>888</v>
      </c>
      <c r="E853" s="6"/>
      <c r="F853" s="7" t="n">
        <v>46058.3515590278</v>
      </c>
      <c r="G853" s="7" t="n">
        <v>46058.441787963</v>
      </c>
      <c r="H853" s="8" t="n">
        <v>4</v>
      </c>
      <c r="I853" s="5" t="n">
        <v>400630</v>
      </c>
      <c r="J853" s="6" t="s">
        <v>772</v>
      </c>
      <c r="K853" s="5" t="n">
        <v>153000016</v>
      </c>
      <c r="L853" s="9"/>
      <c r="M853" s="10" t="n">
        <v>47776</v>
      </c>
    </row>
    <row r="854" customFormat="false" ht="30" hidden="true" customHeight="true" outlineLevel="0" collapsed="false">
      <c r="A854" s="4" t="s">
        <v>109</v>
      </c>
      <c r="B854" s="4" t="s">
        <v>14</v>
      </c>
      <c r="C854" s="5" t="n">
        <v>1329001660</v>
      </c>
      <c r="D854" s="6" t="s">
        <v>889</v>
      </c>
      <c r="E854" s="6"/>
      <c r="F854" s="7" t="n">
        <v>46058.3515590278</v>
      </c>
      <c r="G854" s="7" t="n">
        <v>46058.45983375</v>
      </c>
      <c r="H854" s="8" t="n">
        <v>4</v>
      </c>
      <c r="I854" s="5" t="n">
        <v>400428</v>
      </c>
      <c r="J854" s="6" t="s">
        <v>536</v>
      </c>
      <c r="K854" s="5" t="n">
        <v>100011166</v>
      </c>
      <c r="L854" s="9" t="n">
        <v>46015</v>
      </c>
      <c r="M854" s="10" t="n">
        <v>47840</v>
      </c>
    </row>
    <row r="855" customFormat="false" ht="30" hidden="true" customHeight="true" outlineLevel="0" collapsed="false">
      <c r="A855" s="4" t="s">
        <v>109</v>
      </c>
      <c r="B855" s="4" t="s">
        <v>14</v>
      </c>
      <c r="C855" s="5" t="n">
        <v>1329001660</v>
      </c>
      <c r="D855" s="6" t="s">
        <v>890</v>
      </c>
      <c r="E855" s="6"/>
      <c r="F855" s="7" t="n">
        <v>46058.3515590278</v>
      </c>
      <c r="G855" s="7" t="n">
        <v>46058.4590932986</v>
      </c>
      <c r="H855" s="8" t="n">
        <v>4</v>
      </c>
      <c r="I855" s="5" t="n">
        <v>400630</v>
      </c>
      <c r="J855" s="6" t="s">
        <v>772</v>
      </c>
      <c r="K855" s="5" t="n">
        <v>153000016</v>
      </c>
      <c r="L855" s="9" t="n">
        <v>45951</v>
      </c>
      <c r="M855" s="10" t="n">
        <v>47776</v>
      </c>
    </row>
    <row r="856" customFormat="false" ht="30" hidden="true" customHeight="true" outlineLevel="0" collapsed="false">
      <c r="A856" s="4" t="s">
        <v>109</v>
      </c>
      <c r="B856" s="4" t="s">
        <v>14</v>
      </c>
      <c r="C856" s="5" t="n">
        <v>1329001660</v>
      </c>
      <c r="D856" s="6" t="s">
        <v>891</v>
      </c>
      <c r="E856" s="6"/>
      <c r="F856" s="7" t="n">
        <v>46058.3515590278</v>
      </c>
      <c r="G856" s="7" t="n">
        <v>46058.4584511343</v>
      </c>
      <c r="H856" s="8" t="n">
        <v>4</v>
      </c>
      <c r="I856" s="5" t="n">
        <v>400428</v>
      </c>
      <c r="J856" s="6" t="s">
        <v>536</v>
      </c>
      <c r="K856" s="5" t="n">
        <v>100011166</v>
      </c>
      <c r="L856" s="9" t="n">
        <v>46015</v>
      </c>
      <c r="M856" s="10" t="n">
        <v>47840</v>
      </c>
    </row>
    <row r="857" customFormat="false" ht="30" hidden="true" customHeight="true" outlineLevel="0" collapsed="false">
      <c r="A857" s="4" t="s">
        <v>109</v>
      </c>
      <c r="B857" s="4" t="s">
        <v>14</v>
      </c>
      <c r="C857" s="5" t="n">
        <v>1329001660</v>
      </c>
      <c r="D857" s="6" t="s">
        <v>892</v>
      </c>
      <c r="E857" s="6"/>
      <c r="F857" s="7" t="n">
        <v>46058.3515590278</v>
      </c>
      <c r="G857" s="7" t="n">
        <v>46058.4576659259</v>
      </c>
      <c r="H857" s="8" t="n">
        <v>4</v>
      </c>
      <c r="I857" s="5" t="n">
        <v>400630</v>
      </c>
      <c r="J857" s="6" t="s">
        <v>772</v>
      </c>
      <c r="K857" s="5" t="n">
        <v>153000016</v>
      </c>
      <c r="L857" s="9" t="n">
        <v>45951</v>
      </c>
      <c r="M857" s="10" t="n">
        <v>47776</v>
      </c>
    </row>
    <row r="858" customFormat="false" ht="30" hidden="true" customHeight="true" outlineLevel="0" collapsed="false">
      <c r="A858" s="4" t="s">
        <v>109</v>
      </c>
      <c r="B858" s="4" t="s">
        <v>14</v>
      </c>
      <c r="C858" s="5" t="n">
        <v>1329001660</v>
      </c>
      <c r="D858" s="6" t="s">
        <v>893</v>
      </c>
      <c r="E858" s="6"/>
      <c r="F858" s="7" t="n">
        <v>46058.3515590278</v>
      </c>
      <c r="G858" s="7" t="n">
        <v>46058.4528001389</v>
      </c>
      <c r="H858" s="8" t="n">
        <v>4</v>
      </c>
      <c r="I858" s="5" t="n">
        <v>400428</v>
      </c>
      <c r="J858" s="6" t="s">
        <v>536</v>
      </c>
      <c r="K858" s="5" t="n">
        <v>100011166</v>
      </c>
      <c r="L858" s="9" t="n">
        <v>46015</v>
      </c>
      <c r="M858" s="10" t="n">
        <v>47840</v>
      </c>
    </row>
    <row r="859" customFormat="false" ht="30" hidden="true" customHeight="true" outlineLevel="0" collapsed="false">
      <c r="A859" s="4" t="s">
        <v>109</v>
      </c>
      <c r="B859" s="4" t="s">
        <v>14</v>
      </c>
      <c r="C859" s="5" t="n">
        <v>1329001660</v>
      </c>
      <c r="D859" s="6" t="s">
        <v>894</v>
      </c>
      <c r="E859" s="6"/>
      <c r="F859" s="7" t="n">
        <v>46058.3515590278</v>
      </c>
      <c r="G859" s="7" t="n">
        <v>46058.4519209375</v>
      </c>
      <c r="H859" s="8" t="n">
        <v>4</v>
      </c>
      <c r="I859" s="5" t="n">
        <v>400630</v>
      </c>
      <c r="J859" s="6" t="s">
        <v>772</v>
      </c>
      <c r="K859" s="5" t="n">
        <v>153000016</v>
      </c>
      <c r="L859" s="9" t="n">
        <v>45951</v>
      </c>
      <c r="M859" s="10" t="n">
        <v>47776</v>
      </c>
    </row>
    <row r="860" customFormat="false" ht="30" hidden="true" customHeight="true" outlineLevel="0" collapsed="false">
      <c r="A860" s="4" t="s">
        <v>109</v>
      </c>
      <c r="B860" s="4" t="s">
        <v>14</v>
      </c>
      <c r="C860" s="5" t="n">
        <v>1329001660</v>
      </c>
      <c r="D860" s="6" t="s">
        <v>895</v>
      </c>
      <c r="E860" s="6"/>
      <c r="F860" s="7" t="n">
        <v>46058.3515590278</v>
      </c>
      <c r="G860" s="7" t="n">
        <v>46058.4510288194</v>
      </c>
      <c r="H860" s="8" t="n">
        <v>4</v>
      </c>
      <c r="I860" s="5" t="n">
        <v>400428</v>
      </c>
      <c r="J860" s="6" t="s">
        <v>536</v>
      </c>
      <c r="K860" s="5" t="n">
        <v>100011166</v>
      </c>
      <c r="L860" s="9" t="n">
        <v>46015</v>
      </c>
      <c r="M860" s="10" t="n">
        <v>47840</v>
      </c>
    </row>
    <row r="861" customFormat="false" ht="30" hidden="true" customHeight="true" outlineLevel="0" collapsed="false">
      <c r="A861" s="4" t="s">
        <v>109</v>
      </c>
      <c r="B861" s="4" t="s">
        <v>14</v>
      </c>
      <c r="C861" s="5" t="n">
        <v>1329001660</v>
      </c>
      <c r="D861" s="6" t="s">
        <v>896</v>
      </c>
      <c r="E861" s="6"/>
      <c r="F861" s="7" t="n">
        <v>46058.3515590278</v>
      </c>
      <c r="G861" s="7" t="n">
        <v>46058.4481134144</v>
      </c>
      <c r="H861" s="8" t="n">
        <v>4</v>
      </c>
      <c r="I861" s="5" t="n">
        <v>400428</v>
      </c>
      <c r="J861" s="6" t="s">
        <v>536</v>
      </c>
      <c r="K861" s="5" t="n">
        <v>100011166</v>
      </c>
      <c r="L861" s="9" t="n">
        <v>46015</v>
      </c>
      <c r="M861" s="10" t="n">
        <v>47840</v>
      </c>
    </row>
    <row r="862" customFormat="false" ht="30" hidden="true" customHeight="true" outlineLevel="0" collapsed="false">
      <c r="A862" s="4" t="s">
        <v>109</v>
      </c>
      <c r="B862" s="4" t="s">
        <v>14</v>
      </c>
      <c r="C862" s="5" t="n">
        <v>1329001660</v>
      </c>
      <c r="D862" s="6" t="s">
        <v>897</v>
      </c>
      <c r="E862" s="6"/>
      <c r="F862" s="7" t="n">
        <v>46058.3515590278</v>
      </c>
      <c r="G862" s="7" t="n">
        <v>46058.4468714699</v>
      </c>
      <c r="H862" s="8" t="n">
        <v>4</v>
      </c>
      <c r="I862" s="5" t="n">
        <v>400428</v>
      </c>
      <c r="J862" s="6" t="s">
        <v>536</v>
      </c>
      <c r="K862" s="5" t="n">
        <v>100011166</v>
      </c>
      <c r="L862" s="9" t="n">
        <v>46015</v>
      </c>
      <c r="M862" s="10" t="n">
        <v>47840</v>
      </c>
    </row>
    <row r="863" customFormat="false" ht="30" hidden="true" customHeight="true" outlineLevel="0" collapsed="false">
      <c r="A863" s="4" t="s">
        <v>109</v>
      </c>
      <c r="B863" s="4" t="s">
        <v>14</v>
      </c>
      <c r="C863" s="5" t="n">
        <v>1329001660</v>
      </c>
      <c r="D863" s="6" t="s">
        <v>898</v>
      </c>
      <c r="E863" s="6"/>
      <c r="F863" s="7" t="n">
        <v>46058.3515590278</v>
      </c>
      <c r="G863" s="7" t="n">
        <v>46058.4457727662</v>
      </c>
      <c r="H863" s="8" t="n">
        <v>4</v>
      </c>
      <c r="I863" s="5" t="n">
        <v>400428</v>
      </c>
      <c r="J863" s="6" t="s">
        <v>536</v>
      </c>
      <c r="K863" s="5" t="n">
        <v>100011166</v>
      </c>
      <c r="L863" s="9" t="n">
        <v>46015</v>
      </c>
      <c r="M863" s="10" t="n">
        <v>47840</v>
      </c>
    </row>
    <row r="864" customFormat="false" ht="30" hidden="true" customHeight="true" outlineLevel="0" collapsed="false">
      <c r="A864" s="4" t="s">
        <v>109</v>
      </c>
      <c r="B864" s="4" t="s">
        <v>14</v>
      </c>
      <c r="C864" s="5" t="n">
        <v>1329001660</v>
      </c>
      <c r="D864" s="6" t="s">
        <v>899</v>
      </c>
      <c r="E864" s="6"/>
      <c r="F864" s="7" t="n">
        <v>46058.3515590278</v>
      </c>
      <c r="G864" s="7" t="n">
        <v>46058.4452284954</v>
      </c>
      <c r="H864" s="8" t="n">
        <v>4</v>
      </c>
      <c r="I864" s="5" t="n">
        <v>400428</v>
      </c>
      <c r="J864" s="6" t="s">
        <v>536</v>
      </c>
      <c r="K864" s="5" t="n">
        <v>100011166</v>
      </c>
      <c r="L864" s="9" t="n">
        <v>46015</v>
      </c>
      <c r="M864" s="10" t="n">
        <v>47840</v>
      </c>
    </row>
    <row r="865" customFormat="false" ht="30" hidden="true" customHeight="true" outlineLevel="0" collapsed="false">
      <c r="A865" s="4" t="s">
        <v>109</v>
      </c>
      <c r="B865" s="4" t="s">
        <v>14</v>
      </c>
      <c r="C865" s="5" t="n">
        <v>1329001660</v>
      </c>
      <c r="D865" s="6" t="s">
        <v>900</v>
      </c>
      <c r="E865" s="6"/>
      <c r="F865" s="7" t="n">
        <v>46058.3515590278</v>
      </c>
      <c r="G865" s="7" t="n">
        <v>46058.4440842014</v>
      </c>
      <c r="H865" s="8" t="n">
        <v>4</v>
      </c>
      <c r="I865" s="5" t="n">
        <v>400428</v>
      </c>
      <c r="J865" s="6" t="s">
        <v>536</v>
      </c>
      <c r="K865" s="5" t="n">
        <v>100011166</v>
      </c>
      <c r="L865" s="9" t="n">
        <v>46015</v>
      </c>
      <c r="M865" s="10" t="n">
        <v>47840</v>
      </c>
    </row>
    <row r="866" customFormat="false" ht="30" hidden="true" customHeight="true" outlineLevel="0" collapsed="false">
      <c r="A866" s="4" t="s">
        <v>109</v>
      </c>
      <c r="B866" s="4" t="s">
        <v>14</v>
      </c>
      <c r="C866" s="5" t="n">
        <v>1329001660</v>
      </c>
      <c r="D866" s="6" t="s">
        <v>901</v>
      </c>
      <c r="E866" s="6"/>
      <c r="F866" s="7" t="n">
        <v>46058.3515590278</v>
      </c>
      <c r="G866" s="7" t="n">
        <v>46058.4679259954</v>
      </c>
      <c r="H866" s="8" t="n">
        <v>4</v>
      </c>
      <c r="I866" s="5" t="n">
        <v>400428</v>
      </c>
      <c r="J866" s="6" t="s">
        <v>536</v>
      </c>
      <c r="K866" s="5" t="n">
        <v>100011166</v>
      </c>
      <c r="L866" s="9" t="n">
        <v>46015</v>
      </c>
      <c r="M866" s="10" t="n">
        <v>47840</v>
      </c>
    </row>
    <row r="867" customFormat="false" ht="30" hidden="true" customHeight="true" outlineLevel="0" collapsed="false">
      <c r="A867" s="4" t="s">
        <v>109</v>
      </c>
      <c r="B867" s="4" t="s">
        <v>14</v>
      </c>
      <c r="C867" s="5" t="n">
        <v>1329001660</v>
      </c>
      <c r="D867" s="6" t="s">
        <v>902</v>
      </c>
      <c r="E867" s="6"/>
      <c r="F867" s="7" t="n">
        <v>46058.3515590278</v>
      </c>
      <c r="G867" s="7" t="n">
        <v>46058.4673273727</v>
      </c>
      <c r="H867" s="8" t="n">
        <v>4</v>
      </c>
      <c r="I867" s="5" t="n">
        <v>400630</v>
      </c>
      <c r="J867" s="6" t="s">
        <v>772</v>
      </c>
      <c r="K867" s="5" t="n">
        <v>100010471</v>
      </c>
      <c r="L867" s="9" t="n">
        <v>45951</v>
      </c>
      <c r="M867" s="10" t="n">
        <v>47776</v>
      </c>
    </row>
    <row r="868" customFormat="false" ht="30" hidden="true" customHeight="true" outlineLevel="0" collapsed="false">
      <c r="A868" s="4" t="s">
        <v>109</v>
      </c>
      <c r="B868" s="4" t="s">
        <v>14</v>
      </c>
      <c r="C868" s="5" t="n">
        <v>1329001660</v>
      </c>
      <c r="D868" s="6" t="s">
        <v>903</v>
      </c>
      <c r="E868" s="6"/>
      <c r="F868" s="7" t="n">
        <v>46058.3515590278</v>
      </c>
      <c r="G868" s="7" t="n">
        <v>46058.4666772917</v>
      </c>
      <c r="H868" s="8" t="n">
        <v>4</v>
      </c>
      <c r="I868" s="5" t="n">
        <v>400428</v>
      </c>
      <c r="J868" s="6" t="s">
        <v>536</v>
      </c>
      <c r="K868" s="5" t="n">
        <v>100011166</v>
      </c>
      <c r="L868" s="9" t="n">
        <v>46015</v>
      </c>
      <c r="M868" s="10" t="n">
        <v>47840</v>
      </c>
    </row>
    <row r="869" customFormat="false" ht="30" hidden="true" customHeight="true" outlineLevel="0" collapsed="false">
      <c r="A869" s="4" t="s">
        <v>109</v>
      </c>
      <c r="B869" s="4" t="s">
        <v>14</v>
      </c>
      <c r="C869" s="5" t="n">
        <v>1329001660</v>
      </c>
      <c r="D869" s="6" t="s">
        <v>904</v>
      </c>
      <c r="E869" s="6"/>
      <c r="F869" s="7" t="n">
        <v>46058.3515590278</v>
      </c>
      <c r="G869" s="7" t="n">
        <v>46058.4661510995</v>
      </c>
      <c r="H869" s="8" t="n">
        <v>4</v>
      </c>
      <c r="I869" s="5" t="n">
        <v>400630</v>
      </c>
      <c r="J869" s="6" t="s">
        <v>772</v>
      </c>
      <c r="K869" s="5" t="n">
        <v>153000016</v>
      </c>
      <c r="L869" s="9" t="n">
        <v>45951</v>
      </c>
      <c r="M869" s="10" t="n">
        <v>47776</v>
      </c>
    </row>
    <row r="870" customFormat="false" ht="30" hidden="true" customHeight="true" outlineLevel="0" collapsed="false">
      <c r="A870" s="4" t="s">
        <v>109</v>
      </c>
      <c r="B870" s="4" t="s">
        <v>14</v>
      </c>
      <c r="C870" s="5" t="n">
        <v>1329001660</v>
      </c>
      <c r="D870" s="6" t="s">
        <v>905</v>
      </c>
      <c r="E870" s="6"/>
      <c r="F870" s="7" t="n">
        <v>46058.3515590278</v>
      </c>
      <c r="G870" s="7" t="n">
        <v>46058.4654948264</v>
      </c>
      <c r="H870" s="8" t="n">
        <v>4</v>
      </c>
      <c r="I870" s="5" t="n">
        <v>400428</v>
      </c>
      <c r="J870" s="6" t="s">
        <v>536</v>
      </c>
      <c r="K870" s="5" t="n">
        <v>100011166</v>
      </c>
      <c r="L870" s="9" t="n">
        <v>46015</v>
      </c>
      <c r="M870" s="10" t="n">
        <v>47840</v>
      </c>
    </row>
    <row r="871" customFormat="false" ht="30" hidden="true" customHeight="true" outlineLevel="0" collapsed="false">
      <c r="A871" s="4" t="s">
        <v>109</v>
      </c>
      <c r="B871" s="4" t="s">
        <v>14</v>
      </c>
      <c r="C871" s="5" t="n">
        <v>1329001660</v>
      </c>
      <c r="D871" s="6" t="s">
        <v>906</v>
      </c>
      <c r="E871" s="6"/>
      <c r="F871" s="7" t="n">
        <v>46058.3515590278</v>
      </c>
      <c r="G871" s="7" t="n">
        <v>46058.4644115625</v>
      </c>
      <c r="H871" s="8" t="n">
        <v>4</v>
      </c>
      <c r="I871" s="5" t="n">
        <v>400428</v>
      </c>
      <c r="J871" s="6" t="s">
        <v>536</v>
      </c>
      <c r="K871" s="5" t="n">
        <v>100011166</v>
      </c>
      <c r="L871" s="9" t="n">
        <v>46015</v>
      </c>
      <c r="M871" s="10" t="n">
        <v>47840</v>
      </c>
    </row>
    <row r="872" customFormat="false" ht="30" hidden="true" customHeight="true" outlineLevel="0" collapsed="false">
      <c r="A872" s="4" t="s">
        <v>109</v>
      </c>
      <c r="B872" s="4" t="s">
        <v>14</v>
      </c>
      <c r="C872" s="5" t="n">
        <v>1329001660</v>
      </c>
      <c r="D872" s="6" t="s">
        <v>907</v>
      </c>
      <c r="E872" s="6"/>
      <c r="F872" s="7" t="n">
        <v>46058.3515590278</v>
      </c>
      <c r="G872" s="7" t="n">
        <v>46058.4649126852</v>
      </c>
      <c r="H872" s="8" t="n">
        <v>4</v>
      </c>
      <c r="I872" s="5" t="n">
        <v>400630</v>
      </c>
      <c r="J872" s="6" t="s">
        <v>772</v>
      </c>
      <c r="K872" s="5" t="n">
        <v>153000016</v>
      </c>
      <c r="L872" s="9" t="n">
        <v>45951</v>
      </c>
      <c r="M872" s="10" t="n">
        <v>47776</v>
      </c>
    </row>
    <row r="873" customFormat="false" ht="30" hidden="true" customHeight="true" outlineLevel="0" collapsed="false">
      <c r="A873" s="4" t="s">
        <v>109</v>
      </c>
      <c r="B873" s="4" t="s">
        <v>14</v>
      </c>
      <c r="C873" s="5" t="n">
        <v>1329001660</v>
      </c>
      <c r="D873" s="6" t="s">
        <v>908</v>
      </c>
      <c r="E873" s="6"/>
      <c r="F873" s="7" t="n">
        <v>46058.3515590278</v>
      </c>
      <c r="G873" s="7" t="n">
        <v>46058.4631040162</v>
      </c>
      <c r="H873" s="8" t="n">
        <v>4</v>
      </c>
      <c r="I873" s="5" t="n">
        <v>400630</v>
      </c>
      <c r="J873" s="6" t="s">
        <v>772</v>
      </c>
      <c r="K873" s="5" t="n">
        <v>153000016</v>
      </c>
      <c r="L873" s="9" t="n">
        <v>45951</v>
      </c>
      <c r="M873" s="10" t="n">
        <v>47776</v>
      </c>
    </row>
    <row r="874" customFormat="false" ht="30" hidden="true" customHeight="true" outlineLevel="0" collapsed="false">
      <c r="A874" s="4" t="s">
        <v>109</v>
      </c>
      <c r="B874" s="4" t="s">
        <v>14</v>
      </c>
      <c r="C874" s="5" t="n">
        <v>1329001660</v>
      </c>
      <c r="D874" s="6" t="s">
        <v>909</v>
      </c>
      <c r="E874" s="6"/>
      <c r="F874" s="7" t="n">
        <v>46058.3515590278</v>
      </c>
      <c r="G874" s="7" t="n">
        <v>46058.4635975347</v>
      </c>
      <c r="H874" s="8" t="n">
        <v>4</v>
      </c>
      <c r="I874" s="5" t="n">
        <v>400428</v>
      </c>
      <c r="J874" s="6" t="s">
        <v>536</v>
      </c>
      <c r="K874" s="5" t="n">
        <v>100011166</v>
      </c>
      <c r="L874" s="9" t="n">
        <v>46015</v>
      </c>
      <c r="M874" s="10" t="n">
        <v>47840</v>
      </c>
    </row>
    <row r="875" customFormat="false" ht="30" hidden="true" customHeight="true" outlineLevel="0" collapsed="false">
      <c r="A875" s="4" t="s">
        <v>109</v>
      </c>
      <c r="B875" s="4" t="s">
        <v>14</v>
      </c>
      <c r="C875" s="5" t="n">
        <v>1329001660</v>
      </c>
      <c r="D875" s="6" t="s">
        <v>910</v>
      </c>
      <c r="E875" s="6"/>
      <c r="F875" s="7" t="n">
        <v>46058.3515590278</v>
      </c>
      <c r="G875" s="7" t="n">
        <v>46058.4618296412</v>
      </c>
      <c r="H875" s="8" t="n">
        <v>4</v>
      </c>
      <c r="I875" s="5" t="n">
        <v>400630</v>
      </c>
      <c r="J875" s="6" t="s">
        <v>772</v>
      </c>
      <c r="K875" s="5" t="n">
        <v>153000016</v>
      </c>
      <c r="L875" s="9" t="n">
        <v>45951</v>
      </c>
      <c r="M875" s="10" t="n">
        <v>47776</v>
      </c>
    </row>
    <row r="876" customFormat="false" ht="30" hidden="true" customHeight="true" outlineLevel="0" collapsed="false">
      <c r="A876" s="4" t="s">
        <v>109</v>
      </c>
      <c r="B876" s="4" t="s">
        <v>14</v>
      </c>
      <c r="C876" s="5" t="n">
        <v>1329001660</v>
      </c>
      <c r="D876" s="6" t="s">
        <v>911</v>
      </c>
      <c r="E876" s="6"/>
      <c r="F876" s="7" t="n">
        <v>46058.3515590278</v>
      </c>
      <c r="G876" s="7" t="n">
        <v>46058.4613409606</v>
      </c>
      <c r="H876" s="8" t="n">
        <v>4</v>
      </c>
      <c r="I876" s="5" t="n">
        <v>400428</v>
      </c>
      <c r="J876" s="6" t="s">
        <v>536</v>
      </c>
      <c r="K876" s="5" t="n">
        <v>100011166</v>
      </c>
      <c r="L876" s="9" t="n">
        <v>46015</v>
      </c>
      <c r="M876" s="10" t="n">
        <v>47840</v>
      </c>
    </row>
    <row r="877" customFormat="false" ht="30" hidden="true" customHeight="true" outlineLevel="0" collapsed="false">
      <c r="A877" s="4" t="s">
        <v>109</v>
      </c>
      <c r="B877" s="4" t="s">
        <v>14</v>
      </c>
      <c r="C877" s="5" t="n">
        <v>1329001663</v>
      </c>
      <c r="D877" s="6" t="s">
        <v>912</v>
      </c>
      <c r="E877" s="6"/>
      <c r="F877" s="7" t="n">
        <v>46060.2002878935</v>
      </c>
      <c r="G877" s="7" t="n">
        <v>46060.2385772917</v>
      </c>
      <c r="H877" s="8" t="n">
        <v>4</v>
      </c>
      <c r="I877" s="5" t="n">
        <v>401068</v>
      </c>
      <c r="J877" s="6" t="s">
        <v>913</v>
      </c>
      <c r="K877" s="5" t="n">
        <v>100010439</v>
      </c>
      <c r="L877" s="9" t="n">
        <v>45949</v>
      </c>
      <c r="M877" s="10" t="n">
        <v>47774</v>
      </c>
    </row>
    <row r="878" customFormat="false" ht="30" hidden="true" customHeight="true" outlineLevel="0" collapsed="false">
      <c r="A878" s="4" t="s">
        <v>109</v>
      </c>
      <c r="B878" s="4" t="s">
        <v>14</v>
      </c>
      <c r="C878" s="5" t="n">
        <v>1329001663</v>
      </c>
      <c r="D878" s="6" t="s">
        <v>914</v>
      </c>
      <c r="E878" s="6"/>
      <c r="F878" s="7" t="n">
        <v>46060.2002878935</v>
      </c>
      <c r="G878" s="7" t="n">
        <v>46060.2353633681</v>
      </c>
      <c r="H878" s="8" t="n">
        <v>4</v>
      </c>
      <c r="I878" s="5" t="n">
        <v>401068</v>
      </c>
      <c r="J878" s="6" t="s">
        <v>913</v>
      </c>
      <c r="K878" s="5" t="n">
        <v>100010439</v>
      </c>
      <c r="L878" s="9" t="n">
        <v>45949</v>
      </c>
      <c r="M878" s="10" t="n">
        <v>47774</v>
      </c>
    </row>
    <row r="879" customFormat="false" ht="30" hidden="true" customHeight="true" outlineLevel="0" collapsed="false">
      <c r="A879" s="4" t="s">
        <v>109</v>
      </c>
      <c r="B879" s="4" t="s">
        <v>14</v>
      </c>
      <c r="C879" s="5" t="n">
        <v>1329001663</v>
      </c>
      <c r="D879" s="6" t="s">
        <v>915</v>
      </c>
      <c r="E879" s="6"/>
      <c r="F879" s="7" t="n">
        <v>46060.2002878935</v>
      </c>
      <c r="G879" s="7" t="n">
        <v>46060.2344266551</v>
      </c>
      <c r="H879" s="8" t="n">
        <v>4</v>
      </c>
      <c r="I879" s="5" t="n">
        <v>401068</v>
      </c>
      <c r="J879" s="6" t="s">
        <v>913</v>
      </c>
      <c r="K879" s="5" t="n">
        <v>100010439</v>
      </c>
      <c r="L879" s="9" t="n">
        <v>45949</v>
      </c>
      <c r="M879" s="10" t="n">
        <v>47774</v>
      </c>
    </row>
    <row r="880" customFormat="false" ht="30" hidden="true" customHeight="true" outlineLevel="0" collapsed="false">
      <c r="A880" s="4" t="s">
        <v>109</v>
      </c>
      <c r="B880" s="4" t="s">
        <v>14</v>
      </c>
      <c r="C880" s="5" t="n">
        <v>1329001663</v>
      </c>
      <c r="D880" s="6" t="s">
        <v>916</v>
      </c>
      <c r="E880" s="6"/>
      <c r="F880" s="7" t="n">
        <v>46060.2002878935</v>
      </c>
      <c r="G880" s="7" t="n">
        <v>46060.2369476157</v>
      </c>
      <c r="H880" s="8" t="n">
        <v>4</v>
      </c>
      <c r="I880" s="5" t="n">
        <v>400547</v>
      </c>
      <c r="J880" s="6" t="s">
        <v>917</v>
      </c>
      <c r="K880" s="5" t="n">
        <v>100011089</v>
      </c>
      <c r="L880" s="9" t="n">
        <v>46006</v>
      </c>
      <c r="M880" s="10" t="n">
        <v>47831</v>
      </c>
    </row>
    <row r="881" customFormat="false" ht="30" hidden="true" customHeight="true" outlineLevel="0" collapsed="false">
      <c r="A881" s="4" t="s">
        <v>109</v>
      </c>
      <c r="B881" s="4" t="s">
        <v>14</v>
      </c>
      <c r="C881" s="5" t="n">
        <v>1329001663</v>
      </c>
      <c r="D881" s="6" t="s">
        <v>918</v>
      </c>
      <c r="E881" s="6"/>
      <c r="F881" s="7" t="n">
        <v>46060.2002878935</v>
      </c>
      <c r="G881" s="7" t="n">
        <v>46060.2327119676</v>
      </c>
      <c r="H881" s="8" t="n">
        <v>4</v>
      </c>
      <c r="I881" s="5" t="n">
        <v>400547</v>
      </c>
      <c r="J881" s="6" t="s">
        <v>917</v>
      </c>
      <c r="K881" s="5" t="n">
        <v>100011089</v>
      </c>
      <c r="L881" s="9" t="n">
        <v>46006</v>
      </c>
      <c r="M881" s="10" t="n">
        <v>47831</v>
      </c>
    </row>
    <row r="882" customFormat="false" ht="30" hidden="true" customHeight="true" outlineLevel="0" collapsed="false">
      <c r="A882" s="4" t="s">
        <v>109</v>
      </c>
      <c r="B882" s="4" t="s">
        <v>14</v>
      </c>
      <c r="C882" s="5" t="n">
        <v>1329001663</v>
      </c>
      <c r="D882" s="6" t="s">
        <v>919</v>
      </c>
      <c r="E882" s="6"/>
      <c r="F882" s="7" t="n">
        <v>46060.2002878935</v>
      </c>
      <c r="G882" s="7" t="n">
        <v>46060.2291176042</v>
      </c>
      <c r="H882" s="8" t="n">
        <v>4</v>
      </c>
      <c r="I882" s="5" t="n">
        <v>401047</v>
      </c>
      <c r="J882" s="6" t="s">
        <v>594</v>
      </c>
      <c r="K882" s="5" t="n">
        <v>153000027</v>
      </c>
      <c r="L882" s="9" t="n">
        <v>46042</v>
      </c>
      <c r="M882" s="10" t="n">
        <v>47867</v>
      </c>
    </row>
    <row r="883" customFormat="false" ht="30" hidden="true" customHeight="true" outlineLevel="0" collapsed="false">
      <c r="A883" s="4" t="s">
        <v>109</v>
      </c>
      <c r="B883" s="4" t="s">
        <v>14</v>
      </c>
      <c r="C883" s="5" t="n">
        <v>1329001663</v>
      </c>
      <c r="D883" s="6" t="s">
        <v>920</v>
      </c>
      <c r="E883" s="6"/>
      <c r="F883" s="7" t="n">
        <v>46060.2002878935</v>
      </c>
      <c r="G883" s="7" t="n">
        <v>46060.2287167014</v>
      </c>
      <c r="H883" s="8" t="n">
        <v>4</v>
      </c>
      <c r="I883" s="5" t="n">
        <v>401047</v>
      </c>
      <c r="J883" s="6" t="s">
        <v>594</v>
      </c>
      <c r="K883" s="5" t="n">
        <v>153000027</v>
      </c>
      <c r="L883" s="9" t="n">
        <v>46042</v>
      </c>
      <c r="M883" s="10" t="n">
        <v>47867</v>
      </c>
    </row>
    <row r="884" customFormat="false" ht="30" hidden="true" customHeight="true" outlineLevel="0" collapsed="false">
      <c r="A884" s="4" t="s">
        <v>109</v>
      </c>
      <c r="B884" s="4" t="s">
        <v>14</v>
      </c>
      <c r="C884" s="5" t="n">
        <v>1329001663</v>
      </c>
      <c r="D884" s="6" t="s">
        <v>921</v>
      </c>
      <c r="E884" s="6"/>
      <c r="F884" s="7" t="n">
        <v>46060.2002878935</v>
      </c>
      <c r="G884" s="7" t="n">
        <v>46060.2282852199</v>
      </c>
      <c r="H884" s="8" t="n">
        <v>4</v>
      </c>
      <c r="I884" s="5" t="n">
        <v>401047</v>
      </c>
      <c r="J884" s="6" t="s">
        <v>594</v>
      </c>
      <c r="K884" s="5" t="n">
        <v>153000027</v>
      </c>
      <c r="L884" s="9" t="n">
        <v>46042</v>
      </c>
      <c r="M884" s="10" t="n">
        <v>47867</v>
      </c>
    </row>
    <row r="885" customFormat="false" ht="30" hidden="true" customHeight="true" outlineLevel="0" collapsed="false">
      <c r="A885" s="4" t="s">
        <v>109</v>
      </c>
      <c r="B885" s="4" t="s">
        <v>14</v>
      </c>
      <c r="C885" s="5" t="n">
        <v>1329001663</v>
      </c>
      <c r="D885" s="6" t="s">
        <v>922</v>
      </c>
      <c r="E885" s="6"/>
      <c r="F885" s="7" t="n">
        <v>46060.2002878935</v>
      </c>
      <c r="G885" s="7" t="n">
        <v>46060.2266078125</v>
      </c>
      <c r="H885" s="8" t="n">
        <v>4</v>
      </c>
      <c r="I885" s="5" t="n">
        <v>401047</v>
      </c>
      <c r="J885" s="6" t="s">
        <v>594</v>
      </c>
      <c r="K885" s="5" t="n">
        <v>153000027</v>
      </c>
      <c r="L885" s="9" t="n">
        <v>46042</v>
      </c>
      <c r="M885" s="10" t="n">
        <v>47867</v>
      </c>
    </row>
    <row r="886" customFormat="false" ht="30" hidden="true" customHeight="true" outlineLevel="0" collapsed="false">
      <c r="A886" s="4" t="s">
        <v>109</v>
      </c>
      <c r="B886" s="4" t="s">
        <v>14</v>
      </c>
      <c r="C886" s="5" t="n">
        <v>1329001663</v>
      </c>
      <c r="D886" s="6" t="s">
        <v>923</v>
      </c>
      <c r="E886" s="6"/>
      <c r="F886" s="7" t="n">
        <v>46060.2002878935</v>
      </c>
      <c r="G886" s="7" t="n">
        <v>46060.2260065972</v>
      </c>
      <c r="H886" s="8" t="n">
        <v>4</v>
      </c>
      <c r="I886" s="5" t="n">
        <v>401047</v>
      </c>
      <c r="J886" s="6" t="s">
        <v>594</v>
      </c>
      <c r="K886" s="5" t="n">
        <v>153000027</v>
      </c>
      <c r="L886" s="9" t="n">
        <v>46042</v>
      </c>
      <c r="M886" s="10" t="n">
        <v>47867</v>
      </c>
    </row>
    <row r="887" customFormat="false" ht="30" hidden="true" customHeight="true" outlineLevel="0" collapsed="false">
      <c r="A887" s="4" t="s">
        <v>109</v>
      </c>
      <c r="B887" s="4" t="s">
        <v>14</v>
      </c>
      <c r="C887" s="5" t="n">
        <v>1329001663</v>
      </c>
      <c r="D887" s="6" t="s">
        <v>924</v>
      </c>
      <c r="E887" s="6"/>
      <c r="F887" s="7" t="n">
        <v>46060.2002878935</v>
      </c>
      <c r="G887" s="7" t="n">
        <v>46060.2255535532</v>
      </c>
      <c r="H887" s="8" t="n">
        <v>4</v>
      </c>
      <c r="I887" s="5" t="n">
        <v>401047</v>
      </c>
      <c r="J887" s="6" t="s">
        <v>594</v>
      </c>
      <c r="K887" s="5" t="n">
        <v>153000027</v>
      </c>
      <c r="L887" s="9" t="n">
        <v>46042</v>
      </c>
      <c r="M887" s="10" t="n">
        <v>47867</v>
      </c>
    </row>
    <row r="888" customFormat="false" ht="30" hidden="true" customHeight="true" outlineLevel="0" collapsed="false">
      <c r="A888" s="4" t="s">
        <v>109</v>
      </c>
      <c r="B888" s="4" t="s">
        <v>14</v>
      </c>
      <c r="C888" s="5" t="n">
        <v>1329001663</v>
      </c>
      <c r="D888" s="6" t="s">
        <v>925</v>
      </c>
      <c r="E888" s="6"/>
      <c r="F888" s="7" t="n">
        <v>46060.2002878935</v>
      </c>
      <c r="G888" s="7" t="n">
        <v>46060.2250919792</v>
      </c>
      <c r="H888" s="8" t="n">
        <v>4</v>
      </c>
      <c r="I888" s="5" t="n">
        <v>401047</v>
      </c>
      <c r="J888" s="6" t="s">
        <v>594</v>
      </c>
      <c r="K888" s="5" t="n">
        <v>153000027</v>
      </c>
      <c r="L888" s="9" t="n">
        <v>46042</v>
      </c>
      <c r="M888" s="10" t="n">
        <v>47867</v>
      </c>
    </row>
    <row r="889" customFormat="false" ht="30" hidden="true" customHeight="true" outlineLevel="0" collapsed="false">
      <c r="A889" s="4" t="s">
        <v>109</v>
      </c>
      <c r="B889" s="4" t="s">
        <v>14</v>
      </c>
      <c r="C889" s="5" t="n">
        <v>1329001663</v>
      </c>
      <c r="D889" s="6" t="s">
        <v>926</v>
      </c>
      <c r="E889" s="6"/>
      <c r="F889" s="7" t="n">
        <v>46060.2002878935</v>
      </c>
      <c r="G889" s="7" t="n">
        <v>46060.2244820833</v>
      </c>
      <c r="H889" s="8" t="n">
        <v>4</v>
      </c>
      <c r="I889" s="5" t="n">
        <v>401047</v>
      </c>
      <c r="J889" s="6" t="s">
        <v>594</v>
      </c>
      <c r="K889" s="5" t="n">
        <v>153000027</v>
      </c>
      <c r="L889" s="9" t="n">
        <v>46042</v>
      </c>
      <c r="M889" s="10" t="n">
        <v>47867</v>
      </c>
    </row>
    <row r="890" customFormat="false" ht="30" hidden="true" customHeight="true" outlineLevel="0" collapsed="false">
      <c r="A890" s="4" t="s">
        <v>109</v>
      </c>
      <c r="B890" s="4" t="s">
        <v>14</v>
      </c>
      <c r="C890" s="5" t="n">
        <v>1329001663</v>
      </c>
      <c r="D890" s="6" t="s">
        <v>927</v>
      </c>
      <c r="E890" s="6"/>
      <c r="F890" s="7" t="n">
        <v>46060.2002878935</v>
      </c>
      <c r="G890" s="7" t="n">
        <v>46060.2234093403</v>
      </c>
      <c r="H890" s="8" t="n">
        <v>4</v>
      </c>
      <c r="I890" s="5" t="n">
        <v>401047</v>
      </c>
      <c r="J890" s="6" t="s">
        <v>594</v>
      </c>
      <c r="K890" s="5" t="n">
        <v>153000027</v>
      </c>
      <c r="L890" s="9" t="n">
        <v>46042</v>
      </c>
      <c r="M890" s="10" t="n">
        <v>47867</v>
      </c>
    </row>
    <row r="891" customFormat="false" ht="30" hidden="true" customHeight="true" outlineLevel="0" collapsed="false">
      <c r="A891" s="4" t="s">
        <v>109</v>
      </c>
      <c r="B891" s="4" t="s">
        <v>14</v>
      </c>
      <c r="C891" s="5" t="n">
        <v>1329001663</v>
      </c>
      <c r="D891" s="6" t="s">
        <v>928</v>
      </c>
      <c r="E891" s="6"/>
      <c r="F891" s="7" t="n">
        <v>46060.2002878935</v>
      </c>
      <c r="G891" s="7" t="n">
        <v>46060.2239614931</v>
      </c>
      <c r="H891" s="8" t="n">
        <v>4</v>
      </c>
      <c r="I891" s="5" t="n">
        <v>401047</v>
      </c>
      <c r="J891" s="6" t="s">
        <v>594</v>
      </c>
      <c r="K891" s="5" t="n">
        <v>153000027</v>
      </c>
      <c r="L891" s="9" t="n">
        <v>46042</v>
      </c>
      <c r="M891" s="10" t="n">
        <v>47867</v>
      </c>
    </row>
    <row r="892" customFormat="false" ht="30" hidden="true" customHeight="true" outlineLevel="0" collapsed="false">
      <c r="A892" s="4" t="s">
        <v>109</v>
      </c>
      <c r="B892" s="4" t="s">
        <v>14</v>
      </c>
      <c r="C892" s="5" t="n">
        <v>1329001663</v>
      </c>
      <c r="D892" s="6" t="s">
        <v>929</v>
      </c>
      <c r="E892" s="6"/>
      <c r="F892" s="7" t="n">
        <v>46060.2002878935</v>
      </c>
      <c r="G892" s="7" t="n">
        <v>46060.2228657176</v>
      </c>
      <c r="H892" s="8" t="n">
        <v>4</v>
      </c>
      <c r="I892" s="5" t="n">
        <v>401047</v>
      </c>
      <c r="J892" s="6" t="s">
        <v>594</v>
      </c>
      <c r="K892" s="5" t="n">
        <v>153000027</v>
      </c>
      <c r="L892" s="9" t="n">
        <v>46042</v>
      </c>
      <c r="M892" s="10" t="n">
        <v>47867</v>
      </c>
    </row>
    <row r="893" customFormat="false" ht="30" hidden="true" customHeight="true" outlineLevel="0" collapsed="false">
      <c r="A893" s="4" t="s">
        <v>109</v>
      </c>
      <c r="B893" s="4" t="s">
        <v>14</v>
      </c>
      <c r="C893" s="5" t="n">
        <v>1329001663</v>
      </c>
      <c r="D893" s="6" t="s">
        <v>930</v>
      </c>
      <c r="E893" s="6"/>
      <c r="F893" s="7" t="n">
        <v>46060.2002878935</v>
      </c>
      <c r="G893" s="7" t="n">
        <v>46060.2215254977</v>
      </c>
      <c r="H893" s="8" t="n">
        <v>4</v>
      </c>
      <c r="I893" s="5" t="n">
        <v>401047</v>
      </c>
      <c r="J893" s="6" t="s">
        <v>594</v>
      </c>
      <c r="K893" s="5" t="n">
        <v>153000027</v>
      </c>
      <c r="L893" s="9" t="n">
        <v>46042</v>
      </c>
      <c r="M893" s="10" t="n">
        <v>47867</v>
      </c>
    </row>
    <row r="894" customFormat="false" ht="30" hidden="true" customHeight="true" outlineLevel="0" collapsed="false">
      <c r="A894" s="4" t="s">
        <v>109</v>
      </c>
      <c r="B894" s="4" t="s">
        <v>14</v>
      </c>
      <c r="C894" s="5" t="n">
        <v>1329001663</v>
      </c>
      <c r="D894" s="6" t="s">
        <v>931</v>
      </c>
      <c r="E894" s="6"/>
      <c r="F894" s="7" t="n">
        <v>46060.2002878935</v>
      </c>
      <c r="G894" s="7" t="n">
        <v>46060.2222903935</v>
      </c>
      <c r="H894" s="8" t="n">
        <v>4</v>
      </c>
      <c r="I894" s="5" t="n">
        <v>401047</v>
      </c>
      <c r="J894" s="6" t="s">
        <v>594</v>
      </c>
      <c r="K894" s="5" t="n">
        <v>153000027</v>
      </c>
      <c r="L894" s="9" t="n">
        <v>46042</v>
      </c>
      <c r="M894" s="10" t="n">
        <v>47867</v>
      </c>
    </row>
    <row r="895" customFormat="false" ht="30" hidden="true" customHeight="true" outlineLevel="0" collapsed="false">
      <c r="A895" s="4" t="s">
        <v>109</v>
      </c>
      <c r="B895" s="4" t="s">
        <v>14</v>
      </c>
      <c r="C895" s="5" t="n">
        <v>1329001663</v>
      </c>
      <c r="D895" s="6" t="s">
        <v>932</v>
      </c>
      <c r="E895" s="6"/>
      <c r="F895" s="7" t="n">
        <v>46060.2002878935</v>
      </c>
      <c r="G895" s="7" t="n">
        <v>46060.2210773495</v>
      </c>
      <c r="H895" s="8" t="n">
        <v>4</v>
      </c>
      <c r="I895" s="5" t="n">
        <v>401047</v>
      </c>
      <c r="J895" s="6" t="s">
        <v>594</v>
      </c>
      <c r="K895" s="5" t="n">
        <v>153000027</v>
      </c>
      <c r="L895" s="9" t="n">
        <v>46042</v>
      </c>
      <c r="M895" s="10" t="n">
        <v>47867</v>
      </c>
    </row>
    <row r="896" customFormat="false" ht="30" hidden="true" customHeight="true" outlineLevel="0" collapsed="false">
      <c r="A896" s="4" t="s">
        <v>109</v>
      </c>
      <c r="B896" s="4" t="s">
        <v>14</v>
      </c>
      <c r="C896" s="5" t="n">
        <v>1329001663</v>
      </c>
      <c r="D896" s="6" t="s">
        <v>933</v>
      </c>
      <c r="E896" s="6"/>
      <c r="F896" s="7" t="n">
        <v>46060.2002878935</v>
      </c>
      <c r="G896" s="7" t="n">
        <v>46060.2198884259</v>
      </c>
      <c r="H896" s="8" t="n">
        <v>4</v>
      </c>
      <c r="I896" s="5" t="n">
        <v>401047</v>
      </c>
      <c r="J896" s="6" t="s">
        <v>594</v>
      </c>
      <c r="K896" s="5" t="n">
        <v>153000027</v>
      </c>
      <c r="L896" s="9" t="n">
        <v>46042</v>
      </c>
      <c r="M896" s="10" t="n">
        <v>47867</v>
      </c>
    </row>
    <row r="897" customFormat="false" ht="30" hidden="true" customHeight="true" outlineLevel="0" collapsed="false">
      <c r="A897" s="4" t="s">
        <v>109</v>
      </c>
      <c r="B897" s="4" t="s">
        <v>14</v>
      </c>
      <c r="C897" s="5" t="n">
        <v>1329001663</v>
      </c>
      <c r="D897" s="6" t="s">
        <v>934</v>
      </c>
      <c r="E897" s="6"/>
      <c r="F897" s="7" t="n">
        <v>46060.2002878935</v>
      </c>
      <c r="G897" s="7" t="n">
        <v>46060.2205707407</v>
      </c>
      <c r="H897" s="8" t="n">
        <v>4</v>
      </c>
      <c r="I897" s="5" t="n">
        <v>401047</v>
      </c>
      <c r="J897" s="6" t="s">
        <v>594</v>
      </c>
      <c r="K897" s="5" t="n">
        <v>153000027</v>
      </c>
      <c r="L897" s="9" t="n">
        <v>46042</v>
      </c>
      <c r="M897" s="10" t="n">
        <v>47867</v>
      </c>
    </row>
    <row r="898" customFormat="false" ht="30" hidden="true" customHeight="true" outlineLevel="0" collapsed="false">
      <c r="A898" s="4" t="s">
        <v>109</v>
      </c>
      <c r="B898" s="4" t="s">
        <v>14</v>
      </c>
      <c r="C898" s="5" t="n">
        <v>1329001663</v>
      </c>
      <c r="D898" s="6" t="s">
        <v>935</v>
      </c>
      <c r="E898" s="6"/>
      <c r="F898" s="7" t="n">
        <v>46060.2002878935</v>
      </c>
      <c r="G898" s="7" t="n">
        <v>46060.2193271065</v>
      </c>
      <c r="H898" s="8" t="n">
        <v>4</v>
      </c>
      <c r="I898" s="5" t="n">
        <v>401047</v>
      </c>
      <c r="J898" s="6" t="s">
        <v>594</v>
      </c>
      <c r="K898" s="5" t="n">
        <v>153000027</v>
      </c>
      <c r="L898" s="9" t="n">
        <v>46042</v>
      </c>
      <c r="M898" s="10" t="n">
        <v>47867</v>
      </c>
    </row>
    <row r="899" customFormat="false" ht="30" hidden="true" customHeight="true" outlineLevel="0" collapsed="false">
      <c r="A899" s="4" t="s">
        <v>109</v>
      </c>
      <c r="B899" s="4" t="s">
        <v>14</v>
      </c>
      <c r="C899" s="5" t="n">
        <v>1329001663</v>
      </c>
      <c r="D899" s="6" t="s">
        <v>936</v>
      </c>
      <c r="E899" s="6"/>
      <c r="F899" s="7" t="n">
        <v>46060.2002878935</v>
      </c>
      <c r="G899" s="7" t="n">
        <v>46060.2337395718</v>
      </c>
      <c r="H899" s="8" t="n">
        <v>4</v>
      </c>
      <c r="I899" s="5" t="n">
        <v>401068</v>
      </c>
      <c r="J899" s="6" t="s">
        <v>913</v>
      </c>
      <c r="K899" s="5" t="n">
        <v>100010439</v>
      </c>
      <c r="L899" s="9" t="n">
        <v>45949</v>
      </c>
      <c r="M899" s="10" t="n">
        <v>47774</v>
      </c>
    </row>
    <row r="900" customFormat="false" ht="30" hidden="true" customHeight="true" outlineLevel="0" collapsed="false">
      <c r="A900" s="4" t="s">
        <v>109</v>
      </c>
      <c r="B900" s="4" t="s">
        <v>14</v>
      </c>
      <c r="C900" s="5" t="n">
        <v>1329001663</v>
      </c>
      <c r="D900" s="6" t="s">
        <v>937</v>
      </c>
      <c r="E900" s="6"/>
      <c r="F900" s="7" t="n">
        <v>46060.2002878935</v>
      </c>
      <c r="G900" s="7" t="n">
        <v>46060.2318921644</v>
      </c>
      <c r="H900" s="8" t="n">
        <v>4</v>
      </c>
      <c r="I900" s="5" t="n">
        <v>400547</v>
      </c>
      <c r="J900" s="6" t="s">
        <v>917</v>
      </c>
      <c r="K900" s="5" t="n">
        <v>100011089</v>
      </c>
      <c r="L900" s="9" t="n">
        <v>46006</v>
      </c>
      <c r="M900" s="10" t="n">
        <v>47831</v>
      </c>
    </row>
    <row r="901" customFormat="false" ht="30" hidden="true" customHeight="true" outlineLevel="0" collapsed="false">
      <c r="A901" s="4" t="s">
        <v>109</v>
      </c>
      <c r="B901" s="4" t="s">
        <v>14</v>
      </c>
      <c r="C901" s="5" t="n">
        <v>1329001663</v>
      </c>
      <c r="D901" s="6" t="s">
        <v>938</v>
      </c>
      <c r="E901" s="6"/>
      <c r="F901" s="7" t="n">
        <v>46060.2002878935</v>
      </c>
      <c r="G901" s="7" t="n">
        <v>46060.2182769097</v>
      </c>
      <c r="H901" s="8" t="n">
        <v>4</v>
      </c>
      <c r="I901" s="5" t="n">
        <v>401047</v>
      </c>
      <c r="J901" s="6" t="s">
        <v>594</v>
      </c>
      <c r="K901" s="5" t="n">
        <v>153000027</v>
      </c>
      <c r="L901" s="9" t="n">
        <v>46042</v>
      </c>
      <c r="M901" s="10" t="n">
        <v>47867</v>
      </c>
    </row>
    <row r="902" customFormat="false" ht="30" hidden="true" customHeight="true" outlineLevel="0" collapsed="false">
      <c r="A902" s="4" t="s">
        <v>109</v>
      </c>
      <c r="B902" s="4" t="s">
        <v>14</v>
      </c>
      <c r="C902" s="5" t="n">
        <v>1329001663</v>
      </c>
      <c r="D902" s="6" t="s">
        <v>939</v>
      </c>
      <c r="E902" s="6"/>
      <c r="F902" s="7" t="n">
        <v>46060.2002878935</v>
      </c>
      <c r="G902" s="7" t="n">
        <v>46060.2392096296</v>
      </c>
      <c r="H902" s="8" t="n">
        <v>4</v>
      </c>
      <c r="I902" s="5" t="n">
        <v>400547</v>
      </c>
      <c r="J902" s="6" t="s">
        <v>917</v>
      </c>
      <c r="K902" s="5" t="n">
        <v>100011089</v>
      </c>
      <c r="L902" s="9" t="n">
        <v>46006</v>
      </c>
      <c r="M902" s="10" t="n">
        <v>47831</v>
      </c>
    </row>
    <row r="903" customFormat="false" ht="30" hidden="true" customHeight="true" outlineLevel="0" collapsed="false">
      <c r="A903" s="4" t="s">
        <v>109</v>
      </c>
      <c r="B903" s="4" t="s">
        <v>14</v>
      </c>
      <c r="C903" s="5" t="n">
        <v>1329001663</v>
      </c>
      <c r="D903" s="6" t="s">
        <v>940</v>
      </c>
      <c r="E903" s="6"/>
      <c r="F903" s="7" t="n">
        <v>46060.2002878935</v>
      </c>
      <c r="G903" s="7" t="n">
        <v>46060.2375389005</v>
      </c>
      <c r="H903" s="8" t="n">
        <v>4</v>
      </c>
      <c r="I903" s="5" t="n">
        <v>400547</v>
      </c>
      <c r="J903" s="6" t="s">
        <v>917</v>
      </c>
      <c r="K903" s="5" t="n">
        <v>100011089</v>
      </c>
      <c r="L903" s="9" t="n">
        <v>46006</v>
      </c>
      <c r="M903" s="10" t="n">
        <v>47831</v>
      </c>
    </row>
    <row r="904" customFormat="false" ht="30" hidden="true" customHeight="true" outlineLevel="0" collapsed="false">
      <c r="A904" s="4" t="s">
        <v>109</v>
      </c>
      <c r="B904" s="4" t="s">
        <v>14</v>
      </c>
      <c r="C904" s="5" t="n">
        <v>1329001662</v>
      </c>
      <c r="D904" s="6" t="s">
        <v>941</v>
      </c>
      <c r="E904" s="6"/>
      <c r="F904" s="7" t="n">
        <v>46060.2040342708</v>
      </c>
      <c r="G904" s="7" t="n">
        <v>46060.2481409954</v>
      </c>
      <c r="H904" s="8" t="n">
        <v>4</v>
      </c>
      <c r="I904" s="5" t="n">
        <v>401041</v>
      </c>
      <c r="J904" s="6" t="s">
        <v>942</v>
      </c>
      <c r="K904" s="5" t="n">
        <v>100010050</v>
      </c>
      <c r="L904" s="9" t="n">
        <v>45911</v>
      </c>
      <c r="M904" s="10" t="n">
        <v>47736</v>
      </c>
    </row>
    <row r="905" customFormat="false" ht="30" hidden="true" customHeight="true" outlineLevel="0" collapsed="false">
      <c r="A905" s="4" t="s">
        <v>109</v>
      </c>
      <c r="B905" s="4" t="s">
        <v>14</v>
      </c>
      <c r="C905" s="5" t="n">
        <v>1329001662</v>
      </c>
      <c r="D905" s="6" t="s">
        <v>943</v>
      </c>
      <c r="E905" s="6"/>
      <c r="F905" s="7" t="n">
        <v>46060.2040342708</v>
      </c>
      <c r="G905" s="7" t="n">
        <v>46060.2823614815</v>
      </c>
      <c r="H905" s="8" t="n">
        <v>4</v>
      </c>
      <c r="I905" s="5" t="n">
        <v>401068</v>
      </c>
      <c r="J905" s="6" t="s">
        <v>913</v>
      </c>
      <c r="K905" s="5" t="n">
        <v>100010439</v>
      </c>
      <c r="L905" s="9" t="n">
        <v>45949</v>
      </c>
      <c r="M905" s="10" t="n">
        <v>47774</v>
      </c>
    </row>
    <row r="906" customFormat="false" ht="30" hidden="true" customHeight="true" outlineLevel="0" collapsed="false">
      <c r="A906" s="4" t="s">
        <v>109</v>
      </c>
      <c r="B906" s="4" t="s">
        <v>14</v>
      </c>
      <c r="C906" s="5" t="n">
        <v>1329001662</v>
      </c>
      <c r="D906" s="6" t="s">
        <v>944</v>
      </c>
      <c r="E906" s="6"/>
      <c r="F906" s="7" t="n">
        <v>46060.2040342708</v>
      </c>
      <c r="G906" s="7" t="n">
        <v>46060.2829148148</v>
      </c>
      <c r="H906" s="8" t="n">
        <v>4</v>
      </c>
      <c r="I906" s="5" t="n">
        <v>401093</v>
      </c>
      <c r="J906" s="6" t="s">
        <v>945</v>
      </c>
      <c r="K906" s="5" t="n">
        <v>100010457</v>
      </c>
      <c r="L906" s="9" t="n">
        <v>45950</v>
      </c>
      <c r="M906" s="10" t="n">
        <v>47775</v>
      </c>
    </row>
    <row r="907" customFormat="false" ht="30" hidden="true" customHeight="true" outlineLevel="0" collapsed="false">
      <c r="A907" s="4" t="s">
        <v>109</v>
      </c>
      <c r="B907" s="4" t="s">
        <v>14</v>
      </c>
      <c r="C907" s="5" t="n">
        <v>1329001662</v>
      </c>
      <c r="D907" s="6" t="s">
        <v>946</v>
      </c>
      <c r="E907" s="6"/>
      <c r="F907" s="7" t="n">
        <v>46060.2040342708</v>
      </c>
      <c r="G907" s="7" t="n">
        <v>46060.2812591204</v>
      </c>
      <c r="H907" s="8" t="n">
        <v>4</v>
      </c>
      <c r="I907" s="5" t="n">
        <v>401093</v>
      </c>
      <c r="J907" s="6" t="s">
        <v>945</v>
      </c>
      <c r="K907" s="5" t="n">
        <v>100010457</v>
      </c>
      <c r="L907" s="9" t="n">
        <v>45950</v>
      </c>
      <c r="M907" s="10" t="n">
        <v>47775</v>
      </c>
    </row>
    <row r="908" customFormat="false" ht="30" hidden="true" customHeight="true" outlineLevel="0" collapsed="false">
      <c r="A908" s="4" t="s">
        <v>109</v>
      </c>
      <c r="B908" s="4" t="s">
        <v>14</v>
      </c>
      <c r="C908" s="5" t="n">
        <v>1329001662</v>
      </c>
      <c r="D908" s="6" t="s">
        <v>947</v>
      </c>
      <c r="E908" s="6"/>
      <c r="F908" s="7" t="n">
        <v>46060.2040342708</v>
      </c>
      <c r="G908" s="7" t="n">
        <v>46060.28169625</v>
      </c>
      <c r="H908" s="8" t="n">
        <v>4</v>
      </c>
      <c r="I908" s="5" t="n">
        <v>401068</v>
      </c>
      <c r="J908" s="6" t="s">
        <v>913</v>
      </c>
      <c r="K908" s="5" t="n">
        <v>100010439</v>
      </c>
      <c r="L908" s="9" t="n">
        <v>45949</v>
      </c>
      <c r="M908" s="10" t="n">
        <v>47774</v>
      </c>
    </row>
    <row r="909" customFormat="false" ht="30" hidden="true" customHeight="true" outlineLevel="0" collapsed="false">
      <c r="A909" s="4" t="s">
        <v>109</v>
      </c>
      <c r="B909" s="4" t="s">
        <v>14</v>
      </c>
      <c r="C909" s="5" t="n">
        <v>1329001662</v>
      </c>
      <c r="D909" s="6" t="s">
        <v>948</v>
      </c>
      <c r="E909" s="6"/>
      <c r="F909" s="7" t="n">
        <v>46060.2040342708</v>
      </c>
      <c r="G909" s="7" t="n">
        <v>46060.2789300347</v>
      </c>
      <c r="H909" s="8" t="n">
        <v>4</v>
      </c>
      <c r="I909" s="5" t="n">
        <v>401068</v>
      </c>
      <c r="J909" s="6" t="s">
        <v>913</v>
      </c>
      <c r="K909" s="5" t="n">
        <v>100010439</v>
      </c>
      <c r="L909" s="9" t="n">
        <v>45949</v>
      </c>
      <c r="M909" s="10" t="n">
        <v>47774</v>
      </c>
    </row>
    <row r="910" customFormat="false" ht="30" hidden="true" customHeight="true" outlineLevel="0" collapsed="false">
      <c r="A910" s="4" t="s">
        <v>109</v>
      </c>
      <c r="B910" s="4" t="s">
        <v>14</v>
      </c>
      <c r="C910" s="5" t="n">
        <v>1329001662</v>
      </c>
      <c r="D910" s="6" t="s">
        <v>949</v>
      </c>
      <c r="E910" s="6"/>
      <c r="F910" s="7" t="n">
        <v>46060.2040342708</v>
      </c>
      <c r="G910" s="7" t="n">
        <v>46060.2805469444</v>
      </c>
      <c r="H910" s="8" t="n">
        <v>4</v>
      </c>
      <c r="I910" s="5" t="n">
        <v>401093</v>
      </c>
      <c r="J910" s="6" t="s">
        <v>945</v>
      </c>
      <c r="K910" s="5" t="n">
        <v>100010457</v>
      </c>
      <c r="L910" s="9" t="n">
        <v>45950</v>
      </c>
      <c r="M910" s="10" t="n">
        <v>47775</v>
      </c>
    </row>
    <row r="911" customFormat="false" ht="30" hidden="true" customHeight="true" outlineLevel="0" collapsed="false">
      <c r="A911" s="4" t="s">
        <v>109</v>
      </c>
      <c r="B911" s="4" t="s">
        <v>14</v>
      </c>
      <c r="C911" s="5" t="n">
        <v>1329001662</v>
      </c>
      <c r="D911" s="6" t="s">
        <v>950</v>
      </c>
      <c r="E911" s="6"/>
      <c r="F911" s="7" t="n">
        <v>46060.2040342708</v>
      </c>
      <c r="G911" s="7" t="n">
        <v>46060.2778593982</v>
      </c>
      <c r="H911" s="8" t="n">
        <v>4</v>
      </c>
      <c r="I911" s="5" t="n">
        <v>401068</v>
      </c>
      <c r="J911" s="6" t="s">
        <v>913</v>
      </c>
      <c r="K911" s="5" t="n">
        <v>100010439</v>
      </c>
      <c r="L911" s="9" t="n">
        <v>45949</v>
      </c>
      <c r="M911" s="10" t="n">
        <v>47774</v>
      </c>
    </row>
    <row r="912" customFormat="false" ht="30" hidden="true" customHeight="true" outlineLevel="0" collapsed="false">
      <c r="A912" s="4" t="s">
        <v>109</v>
      </c>
      <c r="B912" s="4" t="s">
        <v>14</v>
      </c>
      <c r="C912" s="5" t="n">
        <v>1329001662</v>
      </c>
      <c r="D912" s="6" t="s">
        <v>951</v>
      </c>
      <c r="E912" s="6"/>
      <c r="F912" s="7" t="n">
        <v>46060.2040342708</v>
      </c>
      <c r="G912" s="7" t="n">
        <v>46060.2630312616</v>
      </c>
      <c r="H912" s="8" t="n">
        <v>4</v>
      </c>
      <c r="I912" s="5" t="n">
        <v>401093</v>
      </c>
      <c r="J912" s="6" t="s">
        <v>945</v>
      </c>
      <c r="K912" s="5" t="n">
        <v>100010457</v>
      </c>
      <c r="L912" s="9" t="n">
        <v>45950</v>
      </c>
      <c r="M912" s="10" t="n">
        <v>47775</v>
      </c>
    </row>
    <row r="913" customFormat="false" ht="30" hidden="true" customHeight="true" outlineLevel="0" collapsed="false">
      <c r="A913" s="4" t="s">
        <v>109</v>
      </c>
      <c r="B913" s="4" t="s">
        <v>14</v>
      </c>
      <c r="C913" s="5" t="n">
        <v>1329001662</v>
      </c>
      <c r="D913" s="6" t="s">
        <v>952</v>
      </c>
      <c r="E913" s="6"/>
      <c r="F913" s="7" t="n">
        <v>46060.2040342708</v>
      </c>
      <c r="G913" s="7" t="n">
        <v>46060.2624937153</v>
      </c>
      <c r="H913" s="8" t="n">
        <v>4</v>
      </c>
      <c r="I913" s="5" t="n">
        <v>401068</v>
      </c>
      <c r="J913" s="6" t="s">
        <v>913</v>
      </c>
      <c r="K913" s="5" t="n">
        <v>100010439</v>
      </c>
      <c r="L913" s="9" t="n">
        <v>45949</v>
      </c>
      <c r="M913" s="10" t="n">
        <v>47774</v>
      </c>
    </row>
    <row r="914" customFormat="false" ht="30" hidden="true" customHeight="true" outlineLevel="0" collapsed="false">
      <c r="A914" s="4" t="s">
        <v>109</v>
      </c>
      <c r="B914" s="4" t="s">
        <v>14</v>
      </c>
      <c r="C914" s="5" t="n">
        <v>1329001662</v>
      </c>
      <c r="D914" s="6" t="s">
        <v>953</v>
      </c>
      <c r="E914" s="6"/>
      <c r="F914" s="7" t="n">
        <v>46060.2040342708</v>
      </c>
      <c r="G914" s="7" t="n">
        <v>46060.2619526157</v>
      </c>
      <c r="H914" s="8" t="n">
        <v>4</v>
      </c>
      <c r="I914" s="5" t="n">
        <v>401093</v>
      </c>
      <c r="J914" s="6" t="s">
        <v>945</v>
      </c>
      <c r="K914" s="5" t="n">
        <v>100010457</v>
      </c>
      <c r="L914" s="9" t="n">
        <v>45950</v>
      </c>
      <c r="M914" s="10" t="n">
        <v>47775</v>
      </c>
    </row>
    <row r="915" customFormat="false" ht="30" hidden="true" customHeight="true" outlineLevel="0" collapsed="false">
      <c r="A915" s="4" t="s">
        <v>109</v>
      </c>
      <c r="B915" s="4" t="s">
        <v>14</v>
      </c>
      <c r="C915" s="5" t="n">
        <v>1329001662</v>
      </c>
      <c r="D915" s="6" t="s">
        <v>954</v>
      </c>
      <c r="E915" s="6"/>
      <c r="F915" s="7" t="n">
        <v>46060.2040342708</v>
      </c>
      <c r="G915" s="7" t="n">
        <v>46060.2607169907</v>
      </c>
      <c r="H915" s="8" t="n">
        <v>4</v>
      </c>
      <c r="I915" s="5" t="n">
        <v>401093</v>
      </c>
      <c r="J915" s="6" t="s">
        <v>945</v>
      </c>
      <c r="K915" s="5" t="n">
        <v>100010457</v>
      </c>
      <c r="L915" s="9" t="n">
        <v>45950</v>
      </c>
      <c r="M915" s="10" t="n">
        <v>47775</v>
      </c>
    </row>
    <row r="916" customFormat="false" ht="30" hidden="true" customHeight="true" outlineLevel="0" collapsed="false">
      <c r="A916" s="4" t="s">
        <v>109</v>
      </c>
      <c r="B916" s="4" t="s">
        <v>14</v>
      </c>
      <c r="C916" s="5" t="n">
        <v>1329001662</v>
      </c>
      <c r="D916" s="6" t="s">
        <v>955</v>
      </c>
      <c r="E916" s="6"/>
      <c r="F916" s="7" t="n">
        <v>46060.2040342708</v>
      </c>
      <c r="G916" s="7" t="n">
        <v>46060.2601451852</v>
      </c>
      <c r="H916" s="8" t="n">
        <v>2</v>
      </c>
      <c r="I916" s="5" t="n">
        <v>401093</v>
      </c>
      <c r="J916" s="6" t="s">
        <v>945</v>
      </c>
      <c r="K916" s="5" t="n">
        <v>100010457</v>
      </c>
      <c r="L916" s="9" t="n">
        <v>45950</v>
      </c>
      <c r="M916" s="10" t="n">
        <v>47775</v>
      </c>
    </row>
    <row r="917" customFormat="false" ht="30" hidden="true" customHeight="true" outlineLevel="0" collapsed="false">
      <c r="A917" s="4" t="s">
        <v>109</v>
      </c>
      <c r="B917" s="4" t="s">
        <v>14</v>
      </c>
      <c r="C917" s="5" t="n">
        <v>1329001662</v>
      </c>
      <c r="D917" s="6" t="s">
        <v>956</v>
      </c>
      <c r="E917" s="6"/>
      <c r="F917" s="7" t="n">
        <v>46060.2040342708</v>
      </c>
      <c r="G917" s="7" t="n">
        <v>46060.261415544</v>
      </c>
      <c r="H917" s="8" t="n">
        <v>4</v>
      </c>
      <c r="I917" s="5" t="n">
        <v>401068</v>
      </c>
      <c r="J917" s="6" t="s">
        <v>913</v>
      </c>
      <c r="K917" s="5" t="n">
        <v>100010439</v>
      </c>
      <c r="L917" s="9" t="n">
        <v>45949</v>
      </c>
      <c r="M917" s="10" t="n">
        <v>47774</v>
      </c>
    </row>
    <row r="918" customFormat="false" ht="30" hidden="true" customHeight="true" outlineLevel="0" collapsed="false">
      <c r="A918" s="4" t="s">
        <v>109</v>
      </c>
      <c r="B918" s="4" t="s">
        <v>14</v>
      </c>
      <c r="C918" s="5" t="n">
        <v>1329001662</v>
      </c>
      <c r="D918" s="6" t="s">
        <v>957</v>
      </c>
      <c r="E918" s="6"/>
      <c r="F918" s="7" t="n">
        <v>46060.2040342708</v>
      </c>
      <c r="G918" s="7" t="n">
        <v>46060.2568109259</v>
      </c>
      <c r="H918" s="8" t="n">
        <v>4</v>
      </c>
      <c r="I918" s="5" t="n">
        <v>401041</v>
      </c>
      <c r="J918" s="6" t="s">
        <v>942</v>
      </c>
      <c r="K918" s="5" t="n">
        <v>100010289</v>
      </c>
      <c r="L918" s="9" t="n">
        <v>45936</v>
      </c>
      <c r="M918" s="10" t="n">
        <v>47761</v>
      </c>
    </row>
    <row r="919" customFormat="false" ht="30" hidden="true" customHeight="true" outlineLevel="0" collapsed="false">
      <c r="A919" s="4" t="s">
        <v>109</v>
      </c>
      <c r="B919" s="4" t="s">
        <v>14</v>
      </c>
      <c r="C919" s="5" t="n">
        <v>1329001662</v>
      </c>
      <c r="D919" s="6" t="s">
        <v>958</v>
      </c>
      <c r="E919" s="6"/>
      <c r="F919" s="7" t="n">
        <v>46060.2040342708</v>
      </c>
      <c r="G919" s="7" t="n">
        <v>46060.2463666551</v>
      </c>
      <c r="H919" s="8" t="n">
        <v>4</v>
      </c>
      <c r="I919" s="5" t="n">
        <v>401093</v>
      </c>
      <c r="J919" s="6" t="s">
        <v>945</v>
      </c>
      <c r="K919" s="5" t="n">
        <v>100010457</v>
      </c>
      <c r="L919" s="9" t="n">
        <v>45950</v>
      </c>
      <c r="M919" s="10" t="n">
        <v>47775</v>
      </c>
    </row>
    <row r="920" customFormat="false" ht="30" hidden="true" customHeight="true" outlineLevel="0" collapsed="false">
      <c r="A920" s="4" t="s">
        <v>109</v>
      </c>
      <c r="B920" s="4" t="s">
        <v>14</v>
      </c>
      <c r="C920" s="5" t="n">
        <v>1329001662</v>
      </c>
      <c r="D920" s="6" t="s">
        <v>959</v>
      </c>
      <c r="E920" s="6"/>
      <c r="F920" s="7" t="n">
        <v>46060.2040342708</v>
      </c>
      <c r="G920" s="7" t="n">
        <v>46060.2575157176</v>
      </c>
      <c r="H920" s="8" t="n">
        <v>4</v>
      </c>
      <c r="I920" s="5" t="n">
        <v>401068</v>
      </c>
      <c r="J920" s="6" t="s">
        <v>913</v>
      </c>
      <c r="K920" s="5" t="n">
        <v>100010439</v>
      </c>
      <c r="L920" s="9" t="n">
        <v>45949</v>
      </c>
      <c r="M920" s="10" t="n">
        <v>47774</v>
      </c>
    </row>
    <row r="921" customFormat="false" ht="30" hidden="true" customHeight="true" outlineLevel="0" collapsed="false">
      <c r="A921" s="4" t="s">
        <v>109</v>
      </c>
      <c r="B921" s="4" t="s">
        <v>14</v>
      </c>
      <c r="C921" s="5" t="n">
        <v>1329001662</v>
      </c>
      <c r="D921" s="6" t="s">
        <v>960</v>
      </c>
      <c r="E921" s="6"/>
      <c r="F921" s="7" t="n">
        <v>46060.2040342708</v>
      </c>
      <c r="G921" s="7" t="n">
        <v>46060.2454814005</v>
      </c>
      <c r="H921" s="8" t="n">
        <v>3</v>
      </c>
      <c r="I921" s="5" t="n">
        <v>401041</v>
      </c>
      <c r="J921" s="6" t="s">
        <v>942</v>
      </c>
      <c r="K921" s="5" t="n">
        <v>100009837</v>
      </c>
      <c r="L921" s="9" t="n">
        <v>45892</v>
      </c>
      <c r="M921" s="10" t="n">
        <v>47717</v>
      </c>
    </row>
    <row r="922" customFormat="false" ht="30" hidden="true" customHeight="true" outlineLevel="0" collapsed="false">
      <c r="A922" s="4" t="s">
        <v>109</v>
      </c>
      <c r="B922" s="4" t="s">
        <v>14</v>
      </c>
      <c r="C922" s="5" t="n">
        <v>1329001662</v>
      </c>
      <c r="D922" s="6" t="s">
        <v>961</v>
      </c>
      <c r="E922" s="6"/>
      <c r="F922" s="7" t="n">
        <v>46060.2040342708</v>
      </c>
      <c r="G922" s="7" t="n">
        <v>46060.256139537</v>
      </c>
      <c r="H922" s="8" t="n">
        <v>4</v>
      </c>
      <c r="I922" s="5" t="n">
        <v>401041</v>
      </c>
      <c r="J922" s="6" t="s">
        <v>942</v>
      </c>
      <c r="K922" s="5" t="n">
        <v>100010289</v>
      </c>
      <c r="L922" s="9" t="n">
        <v>45936</v>
      </c>
      <c r="M922" s="10" t="n">
        <v>47761</v>
      </c>
    </row>
    <row r="923" customFormat="false" ht="30" hidden="true" customHeight="true" outlineLevel="0" collapsed="false">
      <c r="A923" s="4" t="s">
        <v>109</v>
      </c>
      <c r="B923" s="4" t="s">
        <v>14</v>
      </c>
      <c r="C923" s="5" t="n">
        <v>1329001662</v>
      </c>
      <c r="D923" s="6" t="s">
        <v>962</v>
      </c>
      <c r="E923" s="6"/>
      <c r="F923" s="7" t="n">
        <v>46060.2040342708</v>
      </c>
      <c r="G923" s="7" t="n">
        <v>46060.2553593981</v>
      </c>
      <c r="H923" s="8" t="n">
        <v>4</v>
      </c>
      <c r="I923" s="5" t="n">
        <v>401041</v>
      </c>
      <c r="J923" s="6" t="s">
        <v>942</v>
      </c>
      <c r="K923" s="5" t="n">
        <v>100010050</v>
      </c>
      <c r="L923" s="9" t="n">
        <v>45911</v>
      </c>
      <c r="M923" s="10" t="n">
        <v>47736</v>
      </c>
    </row>
    <row r="924" customFormat="false" ht="30" hidden="true" customHeight="true" outlineLevel="0" collapsed="false">
      <c r="A924" s="4" t="s">
        <v>109</v>
      </c>
      <c r="B924" s="4" t="s">
        <v>14</v>
      </c>
      <c r="C924" s="5" t="n">
        <v>1329001662</v>
      </c>
      <c r="D924" s="6" t="s">
        <v>963</v>
      </c>
      <c r="E924" s="6"/>
      <c r="F924" s="7" t="n">
        <v>46060.2040342708</v>
      </c>
      <c r="G924" s="7" t="n">
        <v>46060.2547482986</v>
      </c>
      <c r="H924" s="8" t="n">
        <v>4</v>
      </c>
      <c r="I924" s="5" t="n">
        <v>401041</v>
      </c>
      <c r="J924" s="6" t="s">
        <v>942</v>
      </c>
      <c r="K924" s="5" t="n">
        <v>100010289</v>
      </c>
      <c r="L924" s="9" t="n">
        <v>45936</v>
      </c>
      <c r="M924" s="10" t="n">
        <v>47761</v>
      </c>
    </row>
    <row r="925" customFormat="false" ht="30" hidden="true" customHeight="true" outlineLevel="0" collapsed="false">
      <c r="A925" s="4" t="s">
        <v>109</v>
      </c>
      <c r="B925" s="4" t="s">
        <v>14</v>
      </c>
      <c r="C925" s="5" t="n">
        <v>1329001662</v>
      </c>
      <c r="D925" s="6" t="s">
        <v>964</v>
      </c>
      <c r="E925" s="6"/>
      <c r="F925" s="7" t="n">
        <v>46060.2040342708</v>
      </c>
      <c r="G925" s="7" t="n">
        <v>46060.2538560995</v>
      </c>
      <c r="H925" s="8" t="n">
        <v>4</v>
      </c>
      <c r="I925" s="5" t="n">
        <v>401041</v>
      </c>
      <c r="J925" s="6" t="s">
        <v>942</v>
      </c>
      <c r="K925" s="5" t="n">
        <v>100010289</v>
      </c>
      <c r="L925" s="9" t="n">
        <v>45936</v>
      </c>
      <c r="M925" s="10" t="n">
        <v>47761</v>
      </c>
    </row>
    <row r="926" customFormat="false" ht="30" hidden="true" customHeight="true" outlineLevel="0" collapsed="false">
      <c r="A926" s="4" t="s">
        <v>109</v>
      </c>
      <c r="B926" s="4" t="s">
        <v>14</v>
      </c>
      <c r="C926" s="5" t="n">
        <v>1329001662</v>
      </c>
      <c r="D926" s="6" t="s">
        <v>965</v>
      </c>
      <c r="E926" s="6"/>
      <c r="F926" s="7" t="n">
        <v>46060.2040342708</v>
      </c>
      <c r="G926" s="7" t="n">
        <v>46060.2532498843</v>
      </c>
      <c r="H926" s="8" t="n">
        <v>4</v>
      </c>
      <c r="I926" s="5" t="n">
        <v>401041</v>
      </c>
      <c r="J926" s="6" t="s">
        <v>942</v>
      </c>
      <c r="K926" s="5" t="n">
        <v>100010050</v>
      </c>
      <c r="L926" s="9" t="n">
        <v>45911</v>
      </c>
      <c r="M926" s="10" t="n">
        <v>47736</v>
      </c>
    </row>
    <row r="927" customFormat="false" ht="30" hidden="true" customHeight="true" outlineLevel="0" collapsed="false">
      <c r="A927" s="4" t="s">
        <v>109</v>
      </c>
      <c r="B927" s="4" t="s">
        <v>14</v>
      </c>
      <c r="C927" s="5" t="n">
        <v>1329001662</v>
      </c>
      <c r="D927" s="6" t="s">
        <v>966</v>
      </c>
      <c r="E927" s="6"/>
      <c r="F927" s="7" t="n">
        <v>46060.2040342708</v>
      </c>
      <c r="G927" s="7" t="n">
        <v>46060.2528854514</v>
      </c>
      <c r="H927" s="8" t="n">
        <v>4</v>
      </c>
      <c r="I927" s="5" t="n">
        <v>401041</v>
      </c>
      <c r="J927" s="6" t="s">
        <v>942</v>
      </c>
      <c r="K927" s="5" t="n">
        <v>100010050</v>
      </c>
      <c r="L927" s="9" t="n">
        <v>45911</v>
      </c>
      <c r="M927" s="10" t="n">
        <v>47736</v>
      </c>
    </row>
    <row r="928" customFormat="false" ht="30" hidden="true" customHeight="true" outlineLevel="0" collapsed="false">
      <c r="A928" s="4" t="s">
        <v>109</v>
      </c>
      <c r="B928" s="4" t="s">
        <v>14</v>
      </c>
      <c r="C928" s="5" t="n">
        <v>1329001662</v>
      </c>
      <c r="D928" s="6" t="s">
        <v>967</v>
      </c>
      <c r="E928" s="6"/>
      <c r="F928" s="7" t="n">
        <v>46060.2040342708</v>
      </c>
      <c r="G928" s="7" t="n">
        <v>46060.2522600231</v>
      </c>
      <c r="H928" s="8" t="n">
        <v>4</v>
      </c>
      <c r="I928" s="5" t="n">
        <v>401041</v>
      </c>
      <c r="J928" s="6" t="s">
        <v>942</v>
      </c>
      <c r="K928" s="5" t="n">
        <v>100010050</v>
      </c>
      <c r="L928" s="9" t="n">
        <v>45911</v>
      </c>
      <c r="M928" s="10" t="n">
        <v>47736</v>
      </c>
    </row>
    <row r="929" customFormat="false" ht="30" hidden="true" customHeight="true" outlineLevel="0" collapsed="false">
      <c r="A929" s="4" t="s">
        <v>109</v>
      </c>
      <c r="B929" s="4" t="s">
        <v>14</v>
      </c>
      <c r="C929" s="5" t="n">
        <v>1329001662</v>
      </c>
      <c r="D929" s="6" t="s">
        <v>968</v>
      </c>
      <c r="E929" s="6"/>
      <c r="F929" s="7" t="n">
        <v>46060.2040342708</v>
      </c>
      <c r="G929" s="7" t="n">
        <v>46060.2518058102</v>
      </c>
      <c r="H929" s="8" t="n">
        <v>4</v>
      </c>
      <c r="I929" s="5" t="n">
        <v>401041</v>
      </c>
      <c r="J929" s="6" t="s">
        <v>942</v>
      </c>
      <c r="K929" s="5" t="n">
        <v>100009837</v>
      </c>
      <c r="L929" s="9" t="n">
        <v>45892</v>
      </c>
      <c r="M929" s="10" t="n">
        <v>47717</v>
      </c>
    </row>
    <row r="930" customFormat="false" ht="30" hidden="true" customHeight="true" outlineLevel="0" collapsed="false">
      <c r="A930" s="4" t="s">
        <v>109</v>
      </c>
      <c r="B930" s="4" t="s">
        <v>14</v>
      </c>
      <c r="C930" s="5" t="n">
        <v>1329001662</v>
      </c>
      <c r="D930" s="6" t="s">
        <v>969</v>
      </c>
      <c r="E930" s="6"/>
      <c r="F930" s="7" t="n">
        <v>46060.2040342708</v>
      </c>
      <c r="G930" s="7" t="n">
        <v>46060.2512770718</v>
      </c>
      <c r="H930" s="8" t="n">
        <v>4</v>
      </c>
      <c r="I930" s="5" t="n">
        <v>401041</v>
      </c>
      <c r="J930" s="6" t="s">
        <v>942</v>
      </c>
      <c r="K930" s="5" t="n">
        <v>100010050</v>
      </c>
      <c r="L930" s="9" t="n">
        <v>45911</v>
      </c>
      <c r="M930" s="10" t="n">
        <v>47736</v>
      </c>
    </row>
    <row r="931" customFormat="false" ht="30" hidden="true" customHeight="true" outlineLevel="0" collapsed="false">
      <c r="A931" s="4" t="s">
        <v>109</v>
      </c>
      <c r="B931" s="4" t="s">
        <v>14</v>
      </c>
      <c r="C931" s="5" t="n">
        <v>1329001662</v>
      </c>
      <c r="D931" s="6" t="s">
        <v>970</v>
      </c>
      <c r="E931" s="6"/>
      <c r="F931" s="7" t="n">
        <v>46060.2040342708</v>
      </c>
      <c r="G931" s="7" t="n">
        <v>46060.2505369329</v>
      </c>
      <c r="H931" s="8" t="n">
        <v>4</v>
      </c>
      <c r="I931" s="5" t="n">
        <v>401041</v>
      </c>
      <c r="J931" s="6" t="s">
        <v>942</v>
      </c>
      <c r="K931" s="5" t="n">
        <v>100010289</v>
      </c>
      <c r="L931" s="9" t="n">
        <v>45936</v>
      </c>
      <c r="M931" s="10" t="n">
        <v>47761</v>
      </c>
    </row>
    <row r="932" customFormat="false" ht="30" hidden="true" customHeight="true" outlineLevel="0" collapsed="false">
      <c r="A932" s="4" t="s">
        <v>109</v>
      </c>
      <c r="B932" s="4" t="s">
        <v>14</v>
      </c>
      <c r="C932" s="5" t="n">
        <v>1329001662</v>
      </c>
      <c r="D932" s="6" t="s">
        <v>971</v>
      </c>
      <c r="E932" s="6"/>
      <c r="F932" s="7" t="n">
        <v>46060.2040342708</v>
      </c>
      <c r="G932" s="7" t="n">
        <v>46060.2486749074</v>
      </c>
      <c r="H932" s="8" t="n">
        <v>4</v>
      </c>
      <c r="I932" s="5" t="n">
        <v>401041</v>
      </c>
      <c r="J932" s="6" t="s">
        <v>942</v>
      </c>
      <c r="K932" s="5" t="n">
        <v>100010050</v>
      </c>
      <c r="L932" s="9" t="n">
        <v>45911</v>
      </c>
      <c r="M932" s="10" t="n">
        <v>47736</v>
      </c>
    </row>
    <row r="933" customFormat="false" ht="30" hidden="true" customHeight="true" outlineLevel="0" collapsed="false">
      <c r="A933" s="4" t="s">
        <v>109</v>
      </c>
      <c r="B933" s="4" t="s">
        <v>14</v>
      </c>
      <c r="C933" s="5" t="n">
        <v>1329001662</v>
      </c>
      <c r="D933" s="6" t="s">
        <v>972</v>
      </c>
      <c r="E933" s="6"/>
      <c r="F933" s="7" t="n">
        <v>46060.2040342708</v>
      </c>
      <c r="G933" s="7" t="n">
        <v>46060.2594169676</v>
      </c>
      <c r="H933" s="8" t="n">
        <v>2</v>
      </c>
      <c r="I933" s="5" t="n">
        <v>401093</v>
      </c>
      <c r="J933" s="6" t="s">
        <v>945</v>
      </c>
      <c r="K933" s="5" t="n">
        <v>100009836</v>
      </c>
      <c r="L933" s="9" t="n">
        <v>45950</v>
      </c>
      <c r="M933" s="10" t="n">
        <v>47775</v>
      </c>
    </row>
    <row r="934" customFormat="false" ht="30" hidden="true" customHeight="true" outlineLevel="0" collapsed="false">
      <c r="A934" s="4" t="s">
        <v>13</v>
      </c>
      <c r="B934" s="4" t="s">
        <v>14</v>
      </c>
      <c r="C934" s="5" t="n">
        <v>1329001671</v>
      </c>
      <c r="D934" s="6" t="s">
        <v>973</v>
      </c>
      <c r="E934" s="6"/>
      <c r="F934" s="7" t="n">
        <v>46060.240498831</v>
      </c>
      <c r="G934" s="7" t="n">
        <v>46060.3360134144</v>
      </c>
      <c r="H934" s="8" t="n">
        <v>4</v>
      </c>
      <c r="I934" s="5" t="n">
        <v>400763</v>
      </c>
      <c r="J934" s="6" t="s">
        <v>974</v>
      </c>
      <c r="K934" s="5" t="n">
        <v>153000014</v>
      </c>
      <c r="L934" s="9" t="n">
        <v>46034</v>
      </c>
      <c r="M934" s="10" t="n">
        <v>47859</v>
      </c>
    </row>
    <row r="935" customFormat="false" ht="30" hidden="true" customHeight="true" outlineLevel="0" collapsed="false">
      <c r="A935" s="4" t="s">
        <v>13</v>
      </c>
      <c r="B935" s="4" t="s">
        <v>14</v>
      </c>
      <c r="C935" s="5" t="n">
        <v>1329001671</v>
      </c>
      <c r="D935" s="6" t="s">
        <v>975</v>
      </c>
      <c r="E935" s="6"/>
      <c r="F935" s="7" t="n">
        <v>46060.240498831</v>
      </c>
      <c r="G935" s="7" t="n">
        <v>46060.3373519676</v>
      </c>
      <c r="H935" s="8" t="n">
        <v>4</v>
      </c>
      <c r="I935" s="5" t="n">
        <v>400514</v>
      </c>
      <c r="J935" s="6" t="s">
        <v>16</v>
      </c>
      <c r="K935" s="5" t="n">
        <v>100010778</v>
      </c>
      <c r="L935" s="9" t="n">
        <v>45981</v>
      </c>
      <c r="M935" s="10" t="n">
        <v>47806</v>
      </c>
    </row>
    <row r="936" customFormat="false" ht="30" hidden="true" customHeight="true" outlineLevel="0" collapsed="false">
      <c r="A936" s="4" t="s">
        <v>13</v>
      </c>
      <c r="B936" s="4" t="s">
        <v>14</v>
      </c>
      <c r="C936" s="5" t="n">
        <v>1329001671</v>
      </c>
      <c r="D936" s="6" t="s">
        <v>976</v>
      </c>
      <c r="E936" s="6"/>
      <c r="F936" s="7" t="n">
        <v>46060.240498831</v>
      </c>
      <c r="G936" s="7" t="n">
        <v>46060.3469404861</v>
      </c>
      <c r="H936" s="8" t="n">
        <v>4</v>
      </c>
      <c r="I936" s="5" t="n">
        <v>400514</v>
      </c>
      <c r="J936" s="6" t="s">
        <v>16</v>
      </c>
      <c r="K936" s="5" t="n">
        <v>100009710</v>
      </c>
      <c r="L936" s="9" t="n">
        <v>45882</v>
      </c>
      <c r="M936" s="10" t="n">
        <v>47707</v>
      </c>
    </row>
    <row r="937" customFormat="false" ht="30" hidden="true" customHeight="true" outlineLevel="0" collapsed="false">
      <c r="A937" s="4" t="s">
        <v>13</v>
      </c>
      <c r="B937" s="4" t="s">
        <v>14</v>
      </c>
      <c r="C937" s="5" t="n">
        <v>1329001671</v>
      </c>
      <c r="D937" s="6" t="s">
        <v>977</v>
      </c>
      <c r="E937" s="6"/>
      <c r="F937" s="7" t="n">
        <v>46060.240498831</v>
      </c>
      <c r="G937" s="7" t="n">
        <v>46060.3467604282</v>
      </c>
      <c r="H937" s="8" t="n">
        <v>4</v>
      </c>
      <c r="I937" s="5" t="n">
        <v>400514</v>
      </c>
      <c r="J937" s="6" t="s">
        <v>16</v>
      </c>
      <c r="K937" s="5" t="n">
        <v>100009783</v>
      </c>
      <c r="L937" s="9" t="n">
        <v>45888</v>
      </c>
      <c r="M937" s="10" t="n">
        <v>47713</v>
      </c>
    </row>
    <row r="938" customFormat="false" ht="30" hidden="true" customHeight="true" outlineLevel="0" collapsed="false">
      <c r="A938" s="4" t="s">
        <v>13</v>
      </c>
      <c r="B938" s="4" t="s">
        <v>14</v>
      </c>
      <c r="C938" s="5" t="n">
        <v>1329001671</v>
      </c>
      <c r="D938" s="6" t="s">
        <v>978</v>
      </c>
      <c r="E938" s="6"/>
      <c r="F938" s="7" t="n">
        <v>46060.240498831</v>
      </c>
      <c r="G938" s="7" t="n">
        <v>46060.3465691551</v>
      </c>
      <c r="H938" s="8" t="n">
        <v>4</v>
      </c>
      <c r="I938" s="5" t="n">
        <v>400514</v>
      </c>
      <c r="J938" s="6" t="s">
        <v>16</v>
      </c>
      <c r="K938" s="5" t="n">
        <v>100009783</v>
      </c>
      <c r="L938" s="9" t="n">
        <v>45888</v>
      </c>
      <c r="M938" s="10" t="n">
        <v>47713</v>
      </c>
    </row>
    <row r="939" customFormat="false" ht="30" hidden="true" customHeight="true" outlineLevel="0" collapsed="false">
      <c r="A939" s="4" t="s">
        <v>13</v>
      </c>
      <c r="B939" s="4" t="s">
        <v>14</v>
      </c>
      <c r="C939" s="5" t="n">
        <v>1329001671</v>
      </c>
      <c r="D939" s="6" t="s">
        <v>979</v>
      </c>
      <c r="E939" s="6"/>
      <c r="F939" s="7" t="n">
        <v>46060.240498831</v>
      </c>
      <c r="G939" s="7" t="n">
        <v>46060.3463803819</v>
      </c>
      <c r="H939" s="8" t="n">
        <v>4</v>
      </c>
      <c r="I939" s="5" t="n">
        <v>400514</v>
      </c>
      <c r="J939" s="6" t="s">
        <v>16</v>
      </c>
      <c r="K939" s="5" t="n">
        <v>100009710</v>
      </c>
      <c r="L939" s="9" t="n">
        <v>45882</v>
      </c>
      <c r="M939" s="10" t="n">
        <v>47707</v>
      </c>
    </row>
    <row r="940" customFormat="false" ht="30" hidden="true" customHeight="true" outlineLevel="0" collapsed="false">
      <c r="A940" s="4" t="s">
        <v>13</v>
      </c>
      <c r="B940" s="4" t="s">
        <v>14</v>
      </c>
      <c r="C940" s="5" t="n">
        <v>1329001671</v>
      </c>
      <c r="D940" s="6" t="s">
        <v>980</v>
      </c>
      <c r="E940" s="6"/>
      <c r="F940" s="7" t="n">
        <v>46060.240498831</v>
      </c>
      <c r="G940" s="7" t="n">
        <v>46060.3455525694</v>
      </c>
      <c r="H940" s="8" t="n">
        <v>4</v>
      </c>
      <c r="I940" s="5" t="n">
        <v>400514</v>
      </c>
      <c r="J940" s="6" t="s">
        <v>16</v>
      </c>
      <c r="K940" s="5" t="n">
        <v>100009783</v>
      </c>
      <c r="L940" s="9" t="n">
        <v>45888</v>
      </c>
      <c r="M940" s="10" t="n">
        <v>47713</v>
      </c>
    </row>
    <row r="941" customFormat="false" ht="30" hidden="true" customHeight="true" outlineLevel="0" collapsed="false">
      <c r="A941" s="4" t="s">
        <v>13</v>
      </c>
      <c r="B941" s="4" t="s">
        <v>14</v>
      </c>
      <c r="C941" s="5" t="n">
        <v>1329001671</v>
      </c>
      <c r="D941" s="6" t="s">
        <v>981</v>
      </c>
      <c r="E941" s="6"/>
      <c r="F941" s="7" t="n">
        <v>46060.240498831</v>
      </c>
      <c r="G941" s="7" t="n">
        <v>46060.3461791204</v>
      </c>
      <c r="H941" s="8" t="n">
        <v>4</v>
      </c>
      <c r="I941" s="5" t="n">
        <v>400763</v>
      </c>
      <c r="J941" s="6" t="s">
        <v>974</v>
      </c>
      <c r="K941" s="5" t="n">
        <v>153000014</v>
      </c>
      <c r="L941" s="9" t="n">
        <v>46034</v>
      </c>
      <c r="M941" s="10" t="n">
        <v>47859</v>
      </c>
    </row>
    <row r="942" customFormat="false" ht="30" hidden="true" customHeight="true" outlineLevel="0" collapsed="false">
      <c r="A942" s="4" t="s">
        <v>13</v>
      </c>
      <c r="B942" s="4" t="s">
        <v>14</v>
      </c>
      <c r="C942" s="5" t="n">
        <v>1329001671</v>
      </c>
      <c r="D942" s="6" t="s">
        <v>982</v>
      </c>
      <c r="E942" s="6"/>
      <c r="F942" s="7" t="n">
        <v>46060.240498831</v>
      </c>
      <c r="G942" s="7" t="n">
        <v>46060.3441374653</v>
      </c>
      <c r="H942" s="8" t="n">
        <v>4</v>
      </c>
      <c r="I942" s="5" t="n">
        <v>400514</v>
      </c>
      <c r="J942" s="6" t="s">
        <v>16</v>
      </c>
      <c r="K942" s="5" t="n">
        <v>100010991</v>
      </c>
      <c r="L942" s="9" t="n">
        <v>46002</v>
      </c>
      <c r="M942" s="10" t="n">
        <v>47827</v>
      </c>
    </row>
    <row r="943" customFormat="false" ht="30" hidden="true" customHeight="true" outlineLevel="0" collapsed="false">
      <c r="A943" s="4" t="s">
        <v>13</v>
      </c>
      <c r="B943" s="4" t="s">
        <v>14</v>
      </c>
      <c r="C943" s="5" t="n">
        <v>1329001671</v>
      </c>
      <c r="D943" s="6" t="s">
        <v>983</v>
      </c>
      <c r="E943" s="6"/>
      <c r="F943" s="7" t="n">
        <v>46060.240498831</v>
      </c>
      <c r="G943" s="7" t="n">
        <v>46060.3440155556</v>
      </c>
      <c r="H943" s="8" t="n">
        <v>4</v>
      </c>
      <c r="I943" s="5" t="n">
        <v>400763</v>
      </c>
      <c r="J943" s="6" t="s">
        <v>974</v>
      </c>
      <c r="K943" s="5" t="n">
        <v>153000014</v>
      </c>
      <c r="L943" s="9" t="n">
        <v>46034</v>
      </c>
      <c r="M943" s="10" t="n">
        <v>47859</v>
      </c>
    </row>
    <row r="944" customFormat="false" ht="30" hidden="true" customHeight="true" outlineLevel="0" collapsed="false">
      <c r="A944" s="4" t="s">
        <v>13</v>
      </c>
      <c r="B944" s="4" t="s">
        <v>14</v>
      </c>
      <c r="C944" s="5" t="n">
        <v>1329001671</v>
      </c>
      <c r="D944" s="6" t="s">
        <v>984</v>
      </c>
      <c r="E944" s="6"/>
      <c r="F944" s="7" t="n">
        <v>46060.240498831</v>
      </c>
      <c r="G944" s="7" t="n">
        <v>46060.3434465509</v>
      </c>
      <c r="H944" s="8" t="n">
        <v>4</v>
      </c>
      <c r="I944" s="5" t="n">
        <v>400514</v>
      </c>
      <c r="J944" s="6" t="s">
        <v>16</v>
      </c>
      <c r="K944" s="5" t="n">
        <v>100009710</v>
      </c>
      <c r="L944" s="9" t="n">
        <v>45882</v>
      </c>
      <c r="M944" s="10" t="n">
        <v>47707</v>
      </c>
    </row>
    <row r="945" customFormat="false" ht="30" hidden="true" customHeight="true" outlineLevel="0" collapsed="false">
      <c r="A945" s="4" t="s">
        <v>13</v>
      </c>
      <c r="B945" s="4" t="s">
        <v>14</v>
      </c>
      <c r="C945" s="5" t="n">
        <v>1329001671</v>
      </c>
      <c r="D945" s="6" t="s">
        <v>985</v>
      </c>
      <c r="E945" s="6"/>
      <c r="F945" s="7" t="n">
        <v>46060.240498831</v>
      </c>
      <c r="G945" s="7" t="n">
        <v>46060.343056713</v>
      </c>
      <c r="H945" s="8" t="n">
        <v>4</v>
      </c>
      <c r="I945" s="5" t="n">
        <v>400514</v>
      </c>
      <c r="J945" s="6" t="s">
        <v>16</v>
      </c>
      <c r="K945" s="5" t="n">
        <v>100009783</v>
      </c>
      <c r="L945" s="9" t="n">
        <v>45888</v>
      </c>
      <c r="M945" s="10" t="n">
        <v>47713</v>
      </c>
    </row>
    <row r="946" customFormat="false" ht="30" hidden="true" customHeight="true" outlineLevel="0" collapsed="false">
      <c r="A946" s="4" t="s">
        <v>13</v>
      </c>
      <c r="B946" s="4" t="s">
        <v>14</v>
      </c>
      <c r="C946" s="5" t="n">
        <v>1329001671</v>
      </c>
      <c r="D946" s="6" t="s">
        <v>986</v>
      </c>
      <c r="E946" s="6"/>
      <c r="F946" s="7" t="n">
        <v>46060.240498831</v>
      </c>
      <c r="G946" s="7" t="n">
        <v>46060.3427721644</v>
      </c>
      <c r="H946" s="8" t="n">
        <v>4</v>
      </c>
      <c r="I946" s="5" t="n">
        <v>400514</v>
      </c>
      <c r="J946" s="6" t="s">
        <v>16</v>
      </c>
      <c r="K946" s="5" t="n">
        <v>100010778</v>
      </c>
      <c r="L946" s="9" t="n">
        <v>45981</v>
      </c>
      <c r="M946" s="10" t="n">
        <v>47806</v>
      </c>
    </row>
    <row r="947" customFormat="false" ht="30" hidden="true" customHeight="true" outlineLevel="0" collapsed="false">
      <c r="A947" s="4" t="s">
        <v>13</v>
      </c>
      <c r="B947" s="4" t="s">
        <v>14</v>
      </c>
      <c r="C947" s="5" t="n">
        <v>1329001671</v>
      </c>
      <c r="D947" s="6" t="s">
        <v>987</v>
      </c>
      <c r="E947" s="6"/>
      <c r="F947" s="7" t="n">
        <v>46060.240498831</v>
      </c>
      <c r="G947" s="7" t="n">
        <v>46060.3432036806</v>
      </c>
      <c r="H947" s="8" t="n">
        <v>4</v>
      </c>
      <c r="I947" s="5" t="n">
        <v>400763</v>
      </c>
      <c r="J947" s="6" t="s">
        <v>974</v>
      </c>
      <c r="K947" s="5" t="n">
        <v>153000014</v>
      </c>
      <c r="L947" s="9" t="n">
        <v>46034</v>
      </c>
      <c r="M947" s="10" t="n">
        <v>47859</v>
      </c>
    </row>
    <row r="948" customFormat="false" ht="30" hidden="true" customHeight="true" outlineLevel="0" collapsed="false">
      <c r="A948" s="4" t="s">
        <v>13</v>
      </c>
      <c r="B948" s="4" t="s">
        <v>14</v>
      </c>
      <c r="C948" s="5" t="n">
        <v>1329001671</v>
      </c>
      <c r="D948" s="6" t="s">
        <v>988</v>
      </c>
      <c r="E948" s="6"/>
      <c r="F948" s="7" t="n">
        <v>46060.240498831</v>
      </c>
      <c r="G948" s="7" t="n">
        <v>46060.3412847454</v>
      </c>
      <c r="H948" s="8" t="n">
        <v>4</v>
      </c>
      <c r="I948" s="5" t="n">
        <v>400763</v>
      </c>
      <c r="J948" s="6" t="s">
        <v>974</v>
      </c>
      <c r="K948" s="5" t="n">
        <v>153000014</v>
      </c>
      <c r="L948" s="9" t="n">
        <v>46034</v>
      </c>
      <c r="M948" s="10" t="n">
        <v>47859</v>
      </c>
    </row>
    <row r="949" customFormat="false" ht="30" hidden="true" customHeight="true" outlineLevel="0" collapsed="false">
      <c r="A949" s="4" t="s">
        <v>13</v>
      </c>
      <c r="B949" s="4" t="s">
        <v>14</v>
      </c>
      <c r="C949" s="5" t="n">
        <v>1329001671</v>
      </c>
      <c r="D949" s="6" t="s">
        <v>989</v>
      </c>
      <c r="E949" s="6"/>
      <c r="F949" s="7" t="n">
        <v>46060.240498831</v>
      </c>
      <c r="G949" s="7" t="n">
        <v>46060.341156412</v>
      </c>
      <c r="H949" s="8" t="n">
        <v>4</v>
      </c>
      <c r="I949" s="5" t="n">
        <v>400763</v>
      </c>
      <c r="J949" s="6" t="s">
        <v>974</v>
      </c>
      <c r="K949" s="5" t="n">
        <v>153000014</v>
      </c>
      <c r="L949" s="9" t="n">
        <v>46034</v>
      </c>
      <c r="M949" s="10" t="n">
        <v>47859</v>
      </c>
    </row>
    <row r="950" customFormat="false" ht="30" hidden="true" customHeight="true" outlineLevel="0" collapsed="false">
      <c r="A950" s="4" t="s">
        <v>13</v>
      </c>
      <c r="B950" s="4" t="s">
        <v>14</v>
      </c>
      <c r="C950" s="5" t="n">
        <v>1329001671</v>
      </c>
      <c r="D950" s="6" t="s">
        <v>990</v>
      </c>
      <c r="E950" s="6"/>
      <c r="F950" s="7" t="n">
        <v>46060.240498831</v>
      </c>
      <c r="G950" s="7" t="n">
        <v>46060.3410232986</v>
      </c>
      <c r="H950" s="8" t="n">
        <v>4</v>
      </c>
      <c r="I950" s="5" t="n">
        <v>400763</v>
      </c>
      <c r="J950" s="6" t="s">
        <v>974</v>
      </c>
      <c r="K950" s="5" t="n">
        <v>153000014</v>
      </c>
      <c r="L950" s="9" t="n">
        <v>46034</v>
      </c>
      <c r="M950" s="10" t="n">
        <v>47859</v>
      </c>
    </row>
    <row r="951" customFormat="false" ht="30" hidden="true" customHeight="true" outlineLevel="0" collapsed="false">
      <c r="A951" s="4" t="s">
        <v>13</v>
      </c>
      <c r="B951" s="4" t="s">
        <v>14</v>
      </c>
      <c r="C951" s="5" t="n">
        <v>1329001671</v>
      </c>
      <c r="D951" s="6" t="s">
        <v>991</v>
      </c>
      <c r="E951" s="6"/>
      <c r="F951" s="7" t="n">
        <v>46060.240498831</v>
      </c>
      <c r="G951" s="7" t="n">
        <v>46060.340897662</v>
      </c>
      <c r="H951" s="8" t="n">
        <v>4</v>
      </c>
      <c r="I951" s="5" t="n">
        <v>400763</v>
      </c>
      <c r="J951" s="6" t="s">
        <v>974</v>
      </c>
      <c r="K951" s="5" t="n">
        <v>153000014</v>
      </c>
      <c r="L951" s="9" t="n">
        <v>46034</v>
      </c>
      <c r="M951" s="10" t="n">
        <v>47859</v>
      </c>
    </row>
    <row r="952" customFormat="false" ht="30" hidden="true" customHeight="true" outlineLevel="0" collapsed="false">
      <c r="A952" s="4" t="s">
        <v>13</v>
      </c>
      <c r="B952" s="4" t="s">
        <v>14</v>
      </c>
      <c r="C952" s="5" t="n">
        <v>1329001671</v>
      </c>
      <c r="D952" s="6" t="s">
        <v>992</v>
      </c>
      <c r="E952" s="6"/>
      <c r="F952" s="7" t="n">
        <v>46060.240498831</v>
      </c>
      <c r="G952" s="7" t="n">
        <v>46060.340641794</v>
      </c>
      <c r="H952" s="8" t="n">
        <v>1</v>
      </c>
      <c r="I952" s="5" t="n">
        <v>400763</v>
      </c>
      <c r="J952" s="6" t="s">
        <v>974</v>
      </c>
      <c r="K952" s="5" t="n">
        <v>153000014</v>
      </c>
      <c r="L952" s="9" t="n">
        <v>46034</v>
      </c>
      <c r="M952" s="10" t="n">
        <v>47859</v>
      </c>
    </row>
    <row r="953" customFormat="false" ht="30" hidden="true" customHeight="true" outlineLevel="0" collapsed="false">
      <c r="A953" s="4" t="s">
        <v>13</v>
      </c>
      <c r="B953" s="4" t="s">
        <v>14</v>
      </c>
      <c r="C953" s="5" t="n">
        <v>1329001671</v>
      </c>
      <c r="D953" s="6" t="s">
        <v>993</v>
      </c>
      <c r="E953" s="6"/>
      <c r="F953" s="7" t="n">
        <v>46060.240498831</v>
      </c>
      <c r="G953" s="7" t="n">
        <v>46060.3404847106</v>
      </c>
      <c r="H953" s="8" t="n">
        <v>4</v>
      </c>
      <c r="I953" s="5" t="n">
        <v>400763</v>
      </c>
      <c r="J953" s="6" t="s">
        <v>974</v>
      </c>
      <c r="K953" s="5" t="n">
        <v>153000014</v>
      </c>
      <c r="L953" s="9" t="n">
        <v>46034</v>
      </c>
      <c r="M953" s="10" t="n">
        <v>47859</v>
      </c>
    </row>
    <row r="954" customFormat="false" ht="30" hidden="true" customHeight="true" outlineLevel="0" collapsed="false">
      <c r="A954" s="4" t="s">
        <v>13</v>
      </c>
      <c r="B954" s="4" t="s">
        <v>14</v>
      </c>
      <c r="C954" s="5" t="n">
        <v>1329001671</v>
      </c>
      <c r="D954" s="6" t="s">
        <v>994</v>
      </c>
      <c r="E954" s="6"/>
      <c r="F954" s="7" t="n">
        <v>46060.240498831</v>
      </c>
      <c r="G954" s="7" t="n">
        <v>46060.3384273148</v>
      </c>
      <c r="H954" s="8" t="n">
        <v>4</v>
      </c>
      <c r="I954" s="5" t="n">
        <v>400763</v>
      </c>
      <c r="J954" s="6" t="s">
        <v>974</v>
      </c>
      <c r="K954" s="5" t="n">
        <v>153000015</v>
      </c>
      <c r="L954" s="9" t="n">
        <v>46033</v>
      </c>
      <c r="M954" s="10" t="n">
        <v>47858</v>
      </c>
    </row>
    <row r="955" customFormat="false" ht="30" hidden="true" customHeight="true" outlineLevel="0" collapsed="false">
      <c r="A955" s="4" t="s">
        <v>13</v>
      </c>
      <c r="B955" s="4" t="s">
        <v>14</v>
      </c>
      <c r="C955" s="5" t="n">
        <v>1329001671</v>
      </c>
      <c r="D955" s="6" t="s">
        <v>995</v>
      </c>
      <c r="E955" s="6"/>
      <c r="F955" s="7" t="n">
        <v>46060.240498831</v>
      </c>
      <c r="G955" s="7" t="n">
        <v>46060.3420941667</v>
      </c>
      <c r="H955" s="8" t="n">
        <v>4</v>
      </c>
      <c r="I955" s="5" t="n">
        <v>400514</v>
      </c>
      <c r="J955" s="6" t="s">
        <v>16</v>
      </c>
      <c r="K955" s="5" t="n">
        <v>100009783</v>
      </c>
      <c r="L955" s="9" t="n">
        <v>45888</v>
      </c>
      <c r="M955" s="10" t="n">
        <v>47713</v>
      </c>
    </row>
    <row r="956" customFormat="false" ht="30" hidden="true" customHeight="true" outlineLevel="0" collapsed="false">
      <c r="A956" s="4" t="s">
        <v>13</v>
      </c>
      <c r="B956" s="4" t="s">
        <v>14</v>
      </c>
      <c r="C956" s="5" t="n">
        <v>1329001671</v>
      </c>
      <c r="D956" s="6" t="s">
        <v>996</v>
      </c>
      <c r="E956" s="6"/>
      <c r="F956" s="7" t="n">
        <v>46060.240498831</v>
      </c>
      <c r="G956" s="7" t="n">
        <v>46060.3380158218</v>
      </c>
      <c r="H956" s="8" t="n">
        <v>4</v>
      </c>
      <c r="I956" s="5" t="n">
        <v>400763</v>
      </c>
      <c r="J956" s="6" t="s">
        <v>974</v>
      </c>
      <c r="K956" s="5" t="n">
        <v>153000014</v>
      </c>
      <c r="L956" s="9" t="n">
        <v>46034</v>
      </c>
      <c r="M956" s="10" t="n">
        <v>47859</v>
      </c>
    </row>
    <row r="957" customFormat="false" ht="30" hidden="true" customHeight="true" outlineLevel="0" collapsed="false">
      <c r="A957" s="4" t="s">
        <v>13</v>
      </c>
      <c r="B957" s="4" t="s">
        <v>14</v>
      </c>
      <c r="C957" s="5" t="n">
        <v>1329001671</v>
      </c>
      <c r="D957" s="6" t="s">
        <v>997</v>
      </c>
      <c r="E957" s="6"/>
      <c r="F957" s="7" t="n">
        <v>46060.240498831</v>
      </c>
      <c r="G957" s="7" t="n">
        <v>46060.3368557407</v>
      </c>
      <c r="H957" s="8" t="n">
        <v>4</v>
      </c>
      <c r="I957" s="5" t="n">
        <v>400763</v>
      </c>
      <c r="J957" s="6" t="s">
        <v>974</v>
      </c>
      <c r="K957" s="5" t="n">
        <v>153000014</v>
      </c>
      <c r="L957" s="9" t="n">
        <v>46034</v>
      </c>
      <c r="M957" s="10" t="n">
        <v>47859</v>
      </c>
    </row>
    <row r="958" customFormat="false" ht="30" hidden="true" customHeight="true" outlineLevel="0" collapsed="false">
      <c r="A958" s="4" t="s">
        <v>13</v>
      </c>
      <c r="B958" s="4" t="s">
        <v>14</v>
      </c>
      <c r="C958" s="5" t="n">
        <v>1329001671</v>
      </c>
      <c r="D958" s="6" t="s">
        <v>998</v>
      </c>
      <c r="E958" s="6"/>
      <c r="F958" s="7" t="n">
        <v>46060.240498831</v>
      </c>
      <c r="G958" s="7" t="n">
        <v>46060.3497883796</v>
      </c>
      <c r="H958" s="8" t="n">
        <v>4</v>
      </c>
      <c r="I958" s="5" t="n">
        <v>400514</v>
      </c>
      <c r="J958" s="6" t="s">
        <v>16</v>
      </c>
      <c r="K958" s="5" t="n">
        <v>100009710</v>
      </c>
      <c r="L958" s="9" t="n">
        <v>45882</v>
      </c>
      <c r="M958" s="10" t="n">
        <v>47707</v>
      </c>
    </row>
    <row r="959" customFormat="false" ht="30" hidden="true" customHeight="true" outlineLevel="0" collapsed="false">
      <c r="A959" s="4" t="s">
        <v>13</v>
      </c>
      <c r="B959" s="4" t="s">
        <v>14</v>
      </c>
      <c r="C959" s="5" t="n">
        <v>1329001671</v>
      </c>
      <c r="D959" s="6" t="s">
        <v>999</v>
      </c>
      <c r="E959" s="6"/>
      <c r="F959" s="7" t="n">
        <v>46060.240498831</v>
      </c>
      <c r="G959" s="7" t="n">
        <v>46060.3490585764</v>
      </c>
      <c r="H959" s="8" t="n">
        <v>4</v>
      </c>
      <c r="I959" s="5" t="n">
        <v>400514</v>
      </c>
      <c r="J959" s="6" t="s">
        <v>16</v>
      </c>
      <c r="K959" s="5" t="n">
        <v>100009525</v>
      </c>
      <c r="L959" s="9" t="n">
        <v>45865</v>
      </c>
      <c r="M959" s="10" t="n">
        <v>47690</v>
      </c>
    </row>
    <row r="960" customFormat="false" ht="30" hidden="true" customHeight="true" outlineLevel="0" collapsed="false">
      <c r="A960" s="4" t="s">
        <v>13</v>
      </c>
      <c r="B960" s="4" t="s">
        <v>14</v>
      </c>
      <c r="C960" s="5" t="n">
        <v>1329001671</v>
      </c>
      <c r="D960" s="6" t="s">
        <v>1000</v>
      </c>
      <c r="E960" s="6"/>
      <c r="F960" s="7" t="n">
        <v>46060.240498831</v>
      </c>
      <c r="G960" s="7" t="n">
        <v>46060.3484099884</v>
      </c>
      <c r="H960" s="8" t="n">
        <v>4</v>
      </c>
      <c r="I960" s="5" t="n">
        <v>400514</v>
      </c>
      <c r="J960" s="6" t="s">
        <v>16</v>
      </c>
      <c r="K960" s="5" t="n">
        <v>100009783</v>
      </c>
      <c r="L960" s="9" t="n">
        <v>45888</v>
      </c>
      <c r="M960" s="10" t="n">
        <v>47713</v>
      </c>
    </row>
    <row r="961" customFormat="false" ht="30" hidden="true" customHeight="true" outlineLevel="0" collapsed="false">
      <c r="A961" s="4" t="s">
        <v>13</v>
      </c>
      <c r="B961" s="4" t="s">
        <v>14</v>
      </c>
      <c r="C961" s="5" t="n">
        <v>1329001671</v>
      </c>
      <c r="D961" s="6" t="s">
        <v>1001</v>
      </c>
      <c r="E961" s="6"/>
      <c r="F961" s="7" t="n">
        <v>46060.240498831</v>
      </c>
      <c r="G961" s="7" t="n">
        <v>46060.3479768866</v>
      </c>
      <c r="H961" s="8" t="n">
        <v>4</v>
      </c>
      <c r="I961" s="5" t="n">
        <v>400514</v>
      </c>
      <c r="J961" s="6" t="s">
        <v>16</v>
      </c>
      <c r="K961" s="5" t="n">
        <v>100009710</v>
      </c>
      <c r="L961" s="9" t="n">
        <v>45882</v>
      </c>
      <c r="M961" s="10" t="n">
        <v>47707</v>
      </c>
    </row>
    <row r="962" customFormat="false" ht="30" hidden="true" customHeight="true" outlineLevel="0" collapsed="false">
      <c r="A962" s="4" t="s">
        <v>13</v>
      </c>
      <c r="B962" s="4" t="s">
        <v>14</v>
      </c>
      <c r="C962" s="5" t="n">
        <v>1329001671</v>
      </c>
      <c r="D962" s="6" t="s">
        <v>1002</v>
      </c>
      <c r="E962" s="6"/>
      <c r="F962" s="7" t="n">
        <v>46060.240498831</v>
      </c>
      <c r="G962" s="7" t="n">
        <v>46060.3475575463</v>
      </c>
      <c r="H962" s="8" t="n">
        <v>4</v>
      </c>
      <c r="I962" s="5" t="n">
        <v>400514</v>
      </c>
      <c r="J962" s="6" t="s">
        <v>16</v>
      </c>
      <c r="K962" s="5" t="n">
        <v>100009783</v>
      </c>
      <c r="L962" s="9" t="n">
        <v>45888</v>
      </c>
      <c r="M962" s="10" t="n">
        <v>47713</v>
      </c>
    </row>
    <row r="963" customFormat="false" ht="30" hidden="true" customHeight="true" outlineLevel="0" collapsed="false">
      <c r="A963" s="4" t="s">
        <v>13</v>
      </c>
      <c r="B963" s="4" t="s">
        <v>14</v>
      </c>
      <c r="C963" s="5" t="n">
        <v>1329001671</v>
      </c>
      <c r="D963" s="6" t="s">
        <v>1003</v>
      </c>
      <c r="E963" s="6"/>
      <c r="F963" s="7" t="n">
        <v>46060.240498831</v>
      </c>
      <c r="G963" s="7" t="n">
        <v>46060.347163125</v>
      </c>
      <c r="H963" s="8" t="n">
        <v>4</v>
      </c>
      <c r="I963" s="5" t="n">
        <v>400514</v>
      </c>
      <c r="J963" s="6" t="s">
        <v>16</v>
      </c>
      <c r="K963" s="5" t="n">
        <v>100009710</v>
      </c>
      <c r="L963" s="9" t="n">
        <v>45882</v>
      </c>
      <c r="M963" s="10" t="n">
        <v>47707</v>
      </c>
    </row>
    <row r="964" customFormat="false" ht="30" hidden="true" customHeight="true" outlineLevel="0" collapsed="false">
      <c r="A964" s="4" t="s">
        <v>109</v>
      </c>
      <c r="B964" s="4" t="s">
        <v>14</v>
      </c>
      <c r="C964" s="5" t="n">
        <v>1329001661</v>
      </c>
      <c r="D964" s="6" t="s">
        <v>1004</v>
      </c>
      <c r="E964" s="6"/>
      <c r="F964" s="7" t="n">
        <v>46060.4500051968</v>
      </c>
      <c r="G964" s="7" t="n">
        <v>46060.4706547222</v>
      </c>
      <c r="H964" s="8" t="n">
        <v>4</v>
      </c>
      <c r="I964" s="5" t="n">
        <v>400541</v>
      </c>
      <c r="J964" s="6" t="s">
        <v>1005</v>
      </c>
      <c r="K964" s="5" t="n">
        <v>153000024</v>
      </c>
      <c r="L964" s="9" t="n">
        <v>46036</v>
      </c>
      <c r="M964" s="10" t="n">
        <v>47861</v>
      </c>
    </row>
    <row r="965" customFormat="false" ht="30" hidden="true" customHeight="true" outlineLevel="0" collapsed="false">
      <c r="A965" s="4" t="s">
        <v>109</v>
      </c>
      <c r="B965" s="4" t="s">
        <v>14</v>
      </c>
      <c r="C965" s="5" t="n">
        <v>1329001661</v>
      </c>
      <c r="D965" s="6" t="s">
        <v>1006</v>
      </c>
      <c r="E965" s="6"/>
      <c r="F965" s="7" t="n">
        <v>46060.4500051968</v>
      </c>
      <c r="G965" s="7" t="n">
        <v>46060.4683839468</v>
      </c>
      <c r="H965" s="8" t="n">
        <v>4</v>
      </c>
      <c r="I965" s="5" t="n">
        <v>400541</v>
      </c>
      <c r="J965" s="6" t="s">
        <v>1005</v>
      </c>
      <c r="K965" s="5" t="n">
        <v>153000024</v>
      </c>
      <c r="L965" s="9" t="n">
        <v>46036</v>
      </c>
      <c r="M965" s="10" t="n">
        <v>47861</v>
      </c>
    </row>
    <row r="966" customFormat="false" ht="30" hidden="true" customHeight="true" outlineLevel="0" collapsed="false">
      <c r="A966" s="4" t="s">
        <v>109</v>
      </c>
      <c r="B966" s="4" t="s">
        <v>14</v>
      </c>
      <c r="C966" s="5" t="n">
        <v>1329001661</v>
      </c>
      <c r="D966" s="6" t="s">
        <v>1007</v>
      </c>
      <c r="E966" s="6"/>
      <c r="F966" s="7" t="n">
        <v>46060.4500051968</v>
      </c>
      <c r="G966" s="7" t="n">
        <v>46060.4691022569</v>
      </c>
      <c r="H966" s="8" t="n">
        <v>4</v>
      </c>
      <c r="I966" s="5" t="n">
        <v>400514</v>
      </c>
      <c r="J966" s="6" t="s">
        <v>16</v>
      </c>
      <c r="K966" s="5" t="n">
        <v>100010778</v>
      </c>
      <c r="L966" s="9" t="n">
        <v>45980</v>
      </c>
      <c r="M966" s="10" t="n">
        <v>47805</v>
      </c>
    </row>
    <row r="967" customFormat="false" ht="30" hidden="true" customHeight="true" outlineLevel="0" collapsed="false">
      <c r="A967" s="4" t="s">
        <v>109</v>
      </c>
      <c r="B967" s="4" t="s">
        <v>14</v>
      </c>
      <c r="C967" s="5" t="n">
        <v>1329001661</v>
      </c>
      <c r="D967" s="6" t="s">
        <v>1008</v>
      </c>
      <c r="E967" s="6"/>
      <c r="F967" s="7" t="n">
        <v>46060.4500051968</v>
      </c>
      <c r="G967" s="7" t="n">
        <v>46060.4648213657</v>
      </c>
      <c r="H967" s="8" t="n">
        <v>4</v>
      </c>
      <c r="I967" s="5" t="n">
        <v>400541</v>
      </c>
      <c r="J967" s="6" t="s">
        <v>1005</v>
      </c>
      <c r="K967" s="5" t="n">
        <v>153000024</v>
      </c>
      <c r="L967" s="9" t="n">
        <v>46036</v>
      </c>
      <c r="M967" s="10" t="n">
        <v>47861</v>
      </c>
    </row>
    <row r="968" customFormat="false" ht="30" hidden="true" customHeight="true" outlineLevel="0" collapsed="false">
      <c r="A968" s="4" t="s">
        <v>109</v>
      </c>
      <c r="B968" s="4" t="s">
        <v>14</v>
      </c>
      <c r="C968" s="5" t="n">
        <v>1329001661</v>
      </c>
      <c r="D968" s="6" t="s">
        <v>1009</v>
      </c>
      <c r="E968" s="6"/>
      <c r="F968" s="7" t="n">
        <v>46060.4500051968</v>
      </c>
      <c r="G968" s="7" t="n">
        <v>46060.4641978588</v>
      </c>
      <c r="H968" s="8" t="n">
        <v>4</v>
      </c>
      <c r="I968" s="5" t="n">
        <v>400514</v>
      </c>
      <c r="J968" s="6" t="s">
        <v>16</v>
      </c>
      <c r="K968" s="5" t="n">
        <v>100010778</v>
      </c>
      <c r="L968" s="9" t="n">
        <v>45980</v>
      </c>
      <c r="M968" s="10" t="n">
        <v>47805</v>
      </c>
    </row>
    <row r="969" customFormat="false" ht="30" hidden="true" customHeight="true" outlineLevel="0" collapsed="false">
      <c r="A969" s="4" t="s">
        <v>109</v>
      </c>
      <c r="B969" s="4" t="s">
        <v>14</v>
      </c>
      <c r="C969" s="5" t="n">
        <v>1329001661</v>
      </c>
      <c r="D969" s="6" t="s">
        <v>1010</v>
      </c>
      <c r="E969" s="6"/>
      <c r="F969" s="7" t="n">
        <v>46060.4500051968</v>
      </c>
      <c r="G969" s="7" t="n">
        <v>46060.4626998843</v>
      </c>
      <c r="H969" s="8" t="n">
        <v>4</v>
      </c>
      <c r="I969" s="5" t="n">
        <v>400514</v>
      </c>
      <c r="J969" s="6" t="s">
        <v>16</v>
      </c>
      <c r="K969" s="5" t="n">
        <v>100010778</v>
      </c>
      <c r="L969" s="9" t="n">
        <v>45980</v>
      </c>
      <c r="M969" s="10" t="n">
        <v>47805</v>
      </c>
    </row>
    <row r="970" customFormat="false" ht="30" hidden="true" customHeight="true" outlineLevel="0" collapsed="false">
      <c r="A970" s="4" t="s">
        <v>109</v>
      </c>
      <c r="B970" s="4" t="s">
        <v>14</v>
      </c>
      <c r="C970" s="5" t="n">
        <v>1329001661</v>
      </c>
      <c r="D970" s="6" t="s">
        <v>1011</v>
      </c>
      <c r="E970" s="6"/>
      <c r="F970" s="7" t="n">
        <v>46060.4500051968</v>
      </c>
      <c r="G970" s="7" t="n">
        <v>46060.4631960995</v>
      </c>
      <c r="H970" s="8" t="n">
        <v>4</v>
      </c>
      <c r="I970" s="5" t="n">
        <v>400541</v>
      </c>
      <c r="J970" s="6" t="s">
        <v>1005</v>
      </c>
      <c r="K970" s="5" t="n">
        <v>153000024</v>
      </c>
      <c r="L970" s="9" t="n">
        <v>46036</v>
      </c>
      <c r="M970" s="10" t="n">
        <v>47861</v>
      </c>
    </row>
    <row r="971" customFormat="false" ht="30" hidden="true" customHeight="true" outlineLevel="0" collapsed="false">
      <c r="A971" s="4" t="s">
        <v>109</v>
      </c>
      <c r="B971" s="4" t="s">
        <v>14</v>
      </c>
      <c r="C971" s="5" t="n">
        <v>1329001661</v>
      </c>
      <c r="D971" s="6" t="s">
        <v>1012</v>
      </c>
      <c r="E971" s="6"/>
      <c r="F971" s="7" t="n">
        <v>46060.4500051968</v>
      </c>
      <c r="G971" s="7" t="n">
        <v>46060.4614914815</v>
      </c>
      <c r="H971" s="8" t="n">
        <v>4</v>
      </c>
      <c r="I971" s="5" t="n">
        <v>400514</v>
      </c>
      <c r="J971" s="6" t="s">
        <v>16</v>
      </c>
      <c r="K971" s="5" t="n">
        <v>100010849</v>
      </c>
      <c r="L971" s="9" t="n">
        <v>45986</v>
      </c>
      <c r="M971" s="10" t="n">
        <v>47811</v>
      </c>
    </row>
    <row r="972" customFormat="false" ht="30" hidden="true" customHeight="true" outlineLevel="0" collapsed="false">
      <c r="A972" s="4" t="s">
        <v>109</v>
      </c>
      <c r="B972" s="4" t="s">
        <v>14</v>
      </c>
      <c r="C972" s="5" t="n">
        <v>1329001661</v>
      </c>
      <c r="D972" s="6" t="s">
        <v>1013</v>
      </c>
      <c r="E972" s="6"/>
      <c r="F972" s="7" t="n">
        <v>46060.4500051968</v>
      </c>
      <c r="G972" s="7" t="n">
        <v>46060.4608372917</v>
      </c>
      <c r="H972" s="8" t="n">
        <v>4</v>
      </c>
      <c r="I972" s="5" t="n">
        <v>400541</v>
      </c>
      <c r="J972" s="6" t="s">
        <v>1005</v>
      </c>
      <c r="K972" s="5" t="n">
        <v>153000024</v>
      </c>
      <c r="L972" s="9" t="n">
        <v>46036</v>
      </c>
      <c r="M972" s="10" t="n">
        <v>47861</v>
      </c>
    </row>
    <row r="973" customFormat="false" ht="30" hidden="true" customHeight="true" outlineLevel="0" collapsed="false">
      <c r="A973" s="4" t="s">
        <v>109</v>
      </c>
      <c r="B973" s="4" t="s">
        <v>14</v>
      </c>
      <c r="C973" s="5" t="n">
        <v>1329001661</v>
      </c>
      <c r="D973" s="6" t="s">
        <v>1014</v>
      </c>
      <c r="E973" s="6"/>
      <c r="F973" s="7" t="n">
        <v>46060.4500051968</v>
      </c>
      <c r="G973" s="7" t="n">
        <v>46060.4764589236</v>
      </c>
      <c r="H973" s="8" t="n">
        <v>4</v>
      </c>
      <c r="I973" s="5" t="n">
        <v>400432</v>
      </c>
      <c r="J973" s="6" t="s">
        <v>47</v>
      </c>
      <c r="K973" s="5" t="n">
        <v>100009668</v>
      </c>
      <c r="L973" s="9" t="n">
        <v>45879</v>
      </c>
      <c r="M973" s="10" t="n">
        <v>47704</v>
      </c>
    </row>
    <row r="974" customFormat="false" ht="30" hidden="true" customHeight="true" outlineLevel="0" collapsed="false">
      <c r="A974" s="4" t="s">
        <v>109</v>
      </c>
      <c r="B974" s="4" t="s">
        <v>14</v>
      </c>
      <c r="C974" s="5" t="n">
        <v>1329001661</v>
      </c>
      <c r="D974" s="6" t="s">
        <v>1015</v>
      </c>
      <c r="E974" s="6"/>
      <c r="F974" s="7" t="n">
        <v>46060.4500051968</v>
      </c>
      <c r="G974" s="7" t="n">
        <v>46060.4594036574</v>
      </c>
      <c r="H974" s="8" t="n">
        <v>4</v>
      </c>
      <c r="I974" s="5" t="n">
        <v>400541</v>
      </c>
      <c r="J974" s="6" t="s">
        <v>1005</v>
      </c>
      <c r="K974" s="5" t="n">
        <v>153000024</v>
      </c>
      <c r="L974" s="9" t="n">
        <v>46036</v>
      </c>
      <c r="M974" s="10" t="n">
        <v>47861</v>
      </c>
    </row>
    <row r="975" customFormat="false" ht="30" hidden="true" customHeight="true" outlineLevel="0" collapsed="false">
      <c r="A975" s="4" t="s">
        <v>109</v>
      </c>
      <c r="B975" s="4" t="s">
        <v>14</v>
      </c>
      <c r="C975" s="5" t="n">
        <v>1329001661</v>
      </c>
      <c r="D975" s="6" t="s">
        <v>1016</v>
      </c>
      <c r="E975" s="6"/>
      <c r="F975" s="7" t="n">
        <v>46060.4500051968</v>
      </c>
      <c r="G975" s="7" t="n">
        <v>46060.458184213</v>
      </c>
      <c r="H975" s="8" t="n">
        <v>3</v>
      </c>
      <c r="I975" s="5" t="n">
        <v>400541</v>
      </c>
      <c r="J975" s="6" t="s">
        <v>1005</v>
      </c>
      <c r="K975" s="5" t="n">
        <v>153000024</v>
      </c>
      <c r="L975" s="9" t="n">
        <v>46036</v>
      </c>
      <c r="M975" s="10" t="n">
        <v>47861</v>
      </c>
    </row>
    <row r="976" customFormat="false" ht="30" hidden="true" customHeight="true" outlineLevel="0" collapsed="false">
      <c r="A976" s="4" t="s">
        <v>109</v>
      </c>
      <c r="B976" s="4" t="s">
        <v>14</v>
      </c>
      <c r="C976" s="5" t="n">
        <v>1329001661</v>
      </c>
      <c r="D976" s="6" t="s">
        <v>1017</v>
      </c>
      <c r="E976" s="6"/>
      <c r="F976" s="7" t="n">
        <v>46060.4500051968</v>
      </c>
      <c r="G976" s="7" t="n">
        <v>46060.4587402894</v>
      </c>
      <c r="H976" s="8" t="n">
        <v>4</v>
      </c>
      <c r="I976" s="5" t="n">
        <v>400432</v>
      </c>
      <c r="J976" s="6" t="s">
        <v>47</v>
      </c>
      <c r="K976" s="5" t="n">
        <v>100009431</v>
      </c>
      <c r="L976" s="9" t="n">
        <v>45858</v>
      </c>
      <c r="M976" s="10" t="n">
        <v>47683</v>
      </c>
    </row>
    <row r="977" customFormat="false" ht="30" hidden="true" customHeight="true" outlineLevel="0" collapsed="false">
      <c r="A977" s="4" t="s">
        <v>109</v>
      </c>
      <c r="B977" s="4" t="s">
        <v>14</v>
      </c>
      <c r="C977" s="5" t="n">
        <v>1329001661</v>
      </c>
      <c r="D977" s="6" t="s">
        <v>1018</v>
      </c>
      <c r="E977" s="6"/>
      <c r="F977" s="7" t="n">
        <v>46060.4500051968</v>
      </c>
      <c r="G977" s="7" t="n">
        <v>46060.4569351505</v>
      </c>
      <c r="H977" s="8" t="n">
        <v>1</v>
      </c>
      <c r="I977" s="5" t="n">
        <v>400541</v>
      </c>
      <c r="J977" s="6" t="s">
        <v>1005</v>
      </c>
      <c r="K977" s="5" t="n">
        <v>100010994</v>
      </c>
      <c r="L977" s="9" t="n">
        <v>45998</v>
      </c>
      <c r="M977" s="10" t="n">
        <v>47823</v>
      </c>
    </row>
    <row r="978" customFormat="false" ht="30" hidden="true" customHeight="true" outlineLevel="0" collapsed="false">
      <c r="A978" s="4" t="s">
        <v>109</v>
      </c>
      <c r="B978" s="4" t="s">
        <v>14</v>
      </c>
      <c r="C978" s="5" t="n">
        <v>1329001661</v>
      </c>
      <c r="D978" s="6" t="s">
        <v>1019</v>
      </c>
      <c r="E978" s="6"/>
      <c r="F978" s="7" t="n">
        <v>46060.4500051968</v>
      </c>
      <c r="G978" s="7" t="n">
        <v>46060.4604338657</v>
      </c>
      <c r="H978" s="8" t="n">
        <v>4</v>
      </c>
      <c r="I978" s="5" t="n">
        <v>400514</v>
      </c>
      <c r="J978" s="6" t="s">
        <v>16</v>
      </c>
      <c r="K978" s="5" t="n">
        <v>100010755</v>
      </c>
      <c r="L978" s="9" t="n">
        <v>45978</v>
      </c>
      <c r="M978" s="10" t="n">
        <v>47803</v>
      </c>
    </row>
    <row r="979" customFormat="false" ht="30" hidden="true" customHeight="true" outlineLevel="0" collapsed="false">
      <c r="A979" s="4" t="s">
        <v>109</v>
      </c>
      <c r="B979" s="4" t="s">
        <v>14</v>
      </c>
      <c r="C979" s="5" t="n">
        <v>1329001661</v>
      </c>
      <c r="D979" s="6" t="s">
        <v>1020</v>
      </c>
      <c r="E979" s="6"/>
      <c r="F979" s="7" t="n">
        <v>46060.4500051968</v>
      </c>
      <c r="G979" s="7" t="n">
        <v>46060.4547753819</v>
      </c>
      <c r="H979" s="8" t="n">
        <v>4</v>
      </c>
      <c r="I979" s="5" t="n">
        <v>400432</v>
      </c>
      <c r="J979" s="6" t="s">
        <v>47</v>
      </c>
      <c r="K979" s="5" t="n">
        <v>100009668</v>
      </c>
      <c r="L979" s="9" t="n">
        <v>45879</v>
      </c>
      <c r="M979" s="10" t="n">
        <v>47704</v>
      </c>
    </row>
    <row r="980" customFormat="false" ht="30" hidden="true" customHeight="true" outlineLevel="0" collapsed="false">
      <c r="A980" s="4" t="s">
        <v>109</v>
      </c>
      <c r="B980" s="4" t="s">
        <v>14</v>
      </c>
      <c r="C980" s="5" t="n">
        <v>1329001661</v>
      </c>
      <c r="D980" s="6" t="s">
        <v>1021</v>
      </c>
      <c r="E980" s="6"/>
      <c r="F980" s="7" t="n">
        <v>46060.4500051968</v>
      </c>
      <c r="G980" s="7" t="n">
        <v>46060.4795550463</v>
      </c>
      <c r="H980" s="8" t="n">
        <v>4</v>
      </c>
      <c r="I980" s="5" t="n">
        <v>400432</v>
      </c>
      <c r="J980" s="6" t="s">
        <v>47</v>
      </c>
      <c r="K980" s="5" t="n">
        <v>100009591</v>
      </c>
      <c r="L980" s="9" t="n">
        <v>45873</v>
      </c>
      <c r="M980" s="10" t="n">
        <v>47698</v>
      </c>
    </row>
    <row r="981" customFormat="false" ht="30" hidden="true" customHeight="true" outlineLevel="0" collapsed="false">
      <c r="A981" s="4" t="s">
        <v>109</v>
      </c>
      <c r="B981" s="4" t="s">
        <v>14</v>
      </c>
      <c r="C981" s="5" t="n">
        <v>1329001661</v>
      </c>
      <c r="D981" s="6" t="s">
        <v>1022</v>
      </c>
      <c r="E981" s="6"/>
      <c r="F981" s="7" t="n">
        <v>46060.4500051968</v>
      </c>
      <c r="G981" s="7" t="n">
        <v>46060.4788965509</v>
      </c>
      <c r="H981" s="8" t="n">
        <v>4</v>
      </c>
      <c r="I981" s="5" t="n">
        <v>400541</v>
      </c>
      <c r="J981" s="6" t="s">
        <v>1005</v>
      </c>
      <c r="K981" s="5" t="n">
        <v>100010994</v>
      </c>
      <c r="L981" s="9" t="n">
        <v>45998</v>
      </c>
      <c r="M981" s="10" t="n">
        <v>47823</v>
      </c>
    </row>
    <row r="982" customFormat="false" ht="30" hidden="true" customHeight="true" outlineLevel="0" collapsed="false">
      <c r="A982" s="4" t="s">
        <v>109</v>
      </c>
      <c r="B982" s="4" t="s">
        <v>14</v>
      </c>
      <c r="C982" s="5" t="n">
        <v>1329001661</v>
      </c>
      <c r="D982" s="6" t="s">
        <v>1023</v>
      </c>
      <c r="E982" s="6"/>
      <c r="F982" s="7" t="n">
        <v>46060.4500051968</v>
      </c>
      <c r="G982" s="7" t="n">
        <v>46060.4775651505</v>
      </c>
      <c r="H982" s="8" t="n">
        <v>4</v>
      </c>
      <c r="I982" s="5" t="n">
        <v>400541</v>
      </c>
      <c r="J982" s="6" t="s">
        <v>1005</v>
      </c>
      <c r="K982" s="5" t="n">
        <v>100010994</v>
      </c>
      <c r="L982" s="9" t="n">
        <v>45998</v>
      </c>
      <c r="M982" s="10" t="n">
        <v>47823</v>
      </c>
    </row>
    <row r="983" customFormat="false" ht="30" hidden="true" customHeight="true" outlineLevel="0" collapsed="false">
      <c r="A983" s="4" t="s">
        <v>109</v>
      </c>
      <c r="B983" s="4" t="s">
        <v>14</v>
      </c>
      <c r="C983" s="5" t="n">
        <v>1329001661</v>
      </c>
      <c r="D983" s="6" t="s">
        <v>1024</v>
      </c>
      <c r="E983" s="6"/>
      <c r="F983" s="7" t="n">
        <v>46060.4500051968</v>
      </c>
      <c r="G983" s="7" t="n">
        <v>46060.4781084606</v>
      </c>
      <c r="H983" s="8" t="n">
        <v>4</v>
      </c>
      <c r="I983" s="5" t="n">
        <v>400432</v>
      </c>
      <c r="J983" s="6" t="s">
        <v>47</v>
      </c>
      <c r="K983" s="5" t="n">
        <v>100009668</v>
      </c>
      <c r="L983" s="9" t="n">
        <v>45879</v>
      </c>
      <c r="M983" s="10" t="n">
        <v>47704</v>
      </c>
    </row>
    <row r="984" customFormat="false" ht="30" hidden="true" customHeight="true" outlineLevel="0" collapsed="false">
      <c r="A984" s="4" t="s">
        <v>109</v>
      </c>
      <c r="B984" s="4" t="s">
        <v>14</v>
      </c>
      <c r="C984" s="5" t="n">
        <v>1329001661</v>
      </c>
      <c r="D984" s="6" t="s">
        <v>1025</v>
      </c>
      <c r="E984" s="6"/>
      <c r="F984" s="7" t="n">
        <v>46060.4500051968</v>
      </c>
      <c r="G984" s="7" t="n">
        <v>46060.4770040625</v>
      </c>
      <c r="H984" s="8" t="n">
        <v>4</v>
      </c>
      <c r="I984" s="5" t="n">
        <v>400541</v>
      </c>
      <c r="J984" s="6" t="s">
        <v>1005</v>
      </c>
      <c r="K984" s="5" t="n">
        <v>100010994</v>
      </c>
      <c r="L984" s="9" t="n">
        <v>45998</v>
      </c>
      <c r="M984" s="10" t="n">
        <v>47823</v>
      </c>
    </row>
    <row r="985" customFormat="false" ht="30" hidden="true" customHeight="true" outlineLevel="0" collapsed="false">
      <c r="A985" s="4" t="s">
        <v>109</v>
      </c>
      <c r="B985" s="4" t="s">
        <v>14</v>
      </c>
      <c r="C985" s="5" t="n">
        <v>1329001661</v>
      </c>
      <c r="D985" s="6" t="s">
        <v>1026</v>
      </c>
      <c r="E985" s="6"/>
      <c r="F985" s="7" t="n">
        <v>46060.4500051968</v>
      </c>
      <c r="G985" s="7" t="n">
        <v>46060.4757542245</v>
      </c>
      <c r="H985" s="8" t="n">
        <v>4</v>
      </c>
      <c r="I985" s="5" t="n">
        <v>400541</v>
      </c>
      <c r="J985" s="6" t="s">
        <v>1005</v>
      </c>
      <c r="K985" s="5" t="n">
        <v>100010994</v>
      </c>
      <c r="L985" s="9" t="n">
        <v>45998</v>
      </c>
      <c r="M985" s="10" t="n">
        <v>47823</v>
      </c>
    </row>
    <row r="986" customFormat="false" ht="30" hidden="true" customHeight="true" outlineLevel="0" collapsed="false">
      <c r="A986" s="4" t="s">
        <v>109</v>
      </c>
      <c r="B986" s="4" t="s">
        <v>14</v>
      </c>
      <c r="C986" s="5" t="n">
        <v>1329001661</v>
      </c>
      <c r="D986" s="6" t="s">
        <v>1027</v>
      </c>
      <c r="E986" s="6"/>
      <c r="F986" s="7" t="n">
        <v>46060.4500051968</v>
      </c>
      <c r="G986" s="7" t="n">
        <v>46060.4751607407</v>
      </c>
      <c r="H986" s="8" t="n">
        <v>4</v>
      </c>
      <c r="I986" s="5" t="n">
        <v>400514</v>
      </c>
      <c r="J986" s="6" t="s">
        <v>16</v>
      </c>
      <c r="K986" s="5" t="n">
        <v>100010778</v>
      </c>
      <c r="L986" s="9" t="n">
        <v>45980</v>
      </c>
      <c r="M986" s="10" t="n">
        <v>47805</v>
      </c>
    </row>
    <row r="987" customFormat="false" ht="30" hidden="true" customHeight="true" outlineLevel="0" collapsed="false">
      <c r="A987" s="4" t="s">
        <v>109</v>
      </c>
      <c r="B987" s="4" t="s">
        <v>14</v>
      </c>
      <c r="C987" s="5" t="n">
        <v>1329001661</v>
      </c>
      <c r="D987" s="6" t="s">
        <v>1028</v>
      </c>
      <c r="E987" s="6"/>
      <c r="F987" s="7" t="n">
        <v>46060.4500051968</v>
      </c>
      <c r="G987" s="7" t="n">
        <v>46060.4746684491</v>
      </c>
      <c r="H987" s="8" t="n">
        <v>4</v>
      </c>
      <c r="I987" s="5" t="n">
        <v>400541</v>
      </c>
      <c r="J987" s="6" t="s">
        <v>1005</v>
      </c>
      <c r="K987" s="5" t="n">
        <v>100010994</v>
      </c>
      <c r="L987" s="9" t="n">
        <v>45998</v>
      </c>
      <c r="M987" s="10" t="n">
        <v>47823</v>
      </c>
    </row>
    <row r="988" customFormat="false" ht="30" hidden="true" customHeight="true" outlineLevel="0" collapsed="false">
      <c r="A988" s="4" t="s">
        <v>109</v>
      </c>
      <c r="B988" s="4" t="s">
        <v>14</v>
      </c>
      <c r="C988" s="5" t="n">
        <v>1329001661</v>
      </c>
      <c r="D988" s="6" t="s">
        <v>1029</v>
      </c>
      <c r="E988" s="6"/>
      <c r="F988" s="7" t="n">
        <v>46060.4500051968</v>
      </c>
      <c r="G988" s="7" t="n">
        <v>46060.4741186806</v>
      </c>
      <c r="H988" s="8" t="n">
        <v>4</v>
      </c>
      <c r="I988" s="5" t="n">
        <v>400514</v>
      </c>
      <c r="J988" s="6" t="s">
        <v>16</v>
      </c>
      <c r="K988" s="5" t="n">
        <v>100010778</v>
      </c>
      <c r="L988" s="9" t="n">
        <v>45980</v>
      </c>
      <c r="M988" s="10" t="n">
        <v>47805</v>
      </c>
    </row>
    <row r="989" customFormat="false" ht="30" hidden="true" customHeight="true" outlineLevel="0" collapsed="false">
      <c r="A989" s="4" t="s">
        <v>109</v>
      </c>
      <c r="B989" s="4" t="s">
        <v>14</v>
      </c>
      <c r="C989" s="5" t="n">
        <v>1329001661</v>
      </c>
      <c r="D989" s="6" t="s">
        <v>1030</v>
      </c>
      <c r="E989" s="6"/>
      <c r="F989" s="7" t="n">
        <v>46060.4500051968</v>
      </c>
      <c r="G989" s="7" t="n">
        <v>46060.473616088</v>
      </c>
      <c r="H989" s="8" t="n">
        <v>4</v>
      </c>
      <c r="I989" s="5" t="n">
        <v>400541</v>
      </c>
      <c r="J989" s="6" t="s">
        <v>1005</v>
      </c>
      <c r="K989" s="5" t="n">
        <v>100010994</v>
      </c>
      <c r="L989" s="9" t="n">
        <v>45998</v>
      </c>
      <c r="M989" s="10" t="n">
        <v>47823</v>
      </c>
    </row>
    <row r="990" customFormat="false" ht="30" hidden="true" customHeight="true" outlineLevel="0" collapsed="false">
      <c r="A990" s="4" t="s">
        <v>109</v>
      </c>
      <c r="B990" s="4" t="s">
        <v>14</v>
      </c>
      <c r="C990" s="5" t="n">
        <v>1329001661</v>
      </c>
      <c r="D990" s="6" t="s">
        <v>1031</v>
      </c>
      <c r="E990" s="6"/>
      <c r="F990" s="7" t="n">
        <v>46060.4500051968</v>
      </c>
      <c r="G990" s="7" t="n">
        <v>46060.4730390162</v>
      </c>
      <c r="H990" s="8" t="n">
        <v>4</v>
      </c>
      <c r="I990" s="5" t="n">
        <v>400514</v>
      </c>
      <c r="J990" s="6" t="s">
        <v>16</v>
      </c>
      <c r="K990" s="5" t="n">
        <v>100010778</v>
      </c>
      <c r="L990" s="9" t="n">
        <v>45980</v>
      </c>
      <c r="M990" s="10" t="n">
        <v>47805</v>
      </c>
    </row>
    <row r="991" customFormat="false" ht="30" hidden="true" customHeight="true" outlineLevel="0" collapsed="false">
      <c r="A991" s="4" t="s">
        <v>109</v>
      </c>
      <c r="B991" s="4" t="s">
        <v>14</v>
      </c>
      <c r="C991" s="5" t="n">
        <v>1329001661</v>
      </c>
      <c r="D991" s="6" t="s">
        <v>1032</v>
      </c>
      <c r="E991" s="6"/>
      <c r="F991" s="7" t="n">
        <v>46060.4500051968</v>
      </c>
      <c r="G991" s="7" t="n">
        <v>46060.472522581</v>
      </c>
      <c r="H991" s="8" t="n">
        <v>4</v>
      </c>
      <c r="I991" s="5" t="n">
        <v>400541</v>
      </c>
      <c r="J991" s="6" t="s">
        <v>1005</v>
      </c>
      <c r="K991" s="5" t="n">
        <v>153000024</v>
      </c>
      <c r="L991" s="9" t="n">
        <v>46036</v>
      </c>
      <c r="M991" s="10" t="n">
        <v>47861</v>
      </c>
    </row>
    <row r="992" customFormat="false" ht="30" hidden="true" customHeight="true" outlineLevel="0" collapsed="false">
      <c r="A992" s="4" t="s">
        <v>109</v>
      </c>
      <c r="B992" s="4" t="s">
        <v>14</v>
      </c>
      <c r="C992" s="5" t="n">
        <v>1329001661</v>
      </c>
      <c r="D992" s="6" t="s">
        <v>1033</v>
      </c>
      <c r="E992" s="6"/>
      <c r="F992" s="7" t="n">
        <v>46060.4500051968</v>
      </c>
      <c r="G992" s="7" t="n">
        <v>46060.4712031366</v>
      </c>
      <c r="H992" s="8" t="n">
        <v>4</v>
      </c>
      <c r="I992" s="5" t="n">
        <v>400541</v>
      </c>
      <c r="J992" s="6" t="s">
        <v>1005</v>
      </c>
      <c r="K992" s="5" t="n">
        <v>153000024</v>
      </c>
      <c r="L992" s="9" t="n">
        <v>46036</v>
      </c>
      <c r="M992" s="10" t="n">
        <v>47861</v>
      </c>
    </row>
    <row r="993" customFormat="false" ht="30" hidden="true" customHeight="true" outlineLevel="0" collapsed="false">
      <c r="A993" s="4" t="s">
        <v>109</v>
      </c>
      <c r="B993" s="4" t="s">
        <v>14</v>
      </c>
      <c r="C993" s="5" t="n">
        <v>1329001661</v>
      </c>
      <c r="D993" s="6" t="s">
        <v>1034</v>
      </c>
      <c r="E993" s="6"/>
      <c r="F993" s="7" t="n">
        <v>46060.4500051968</v>
      </c>
      <c r="G993" s="7" t="n">
        <v>46060.4719752778</v>
      </c>
      <c r="H993" s="8" t="n">
        <v>4</v>
      </c>
      <c r="I993" s="5" t="n">
        <v>400514</v>
      </c>
      <c r="J993" s="6" t="s">
        <v>16</v>
      </c>
      <c r="K993" s="5" t="n">
        <v>100010778</v>
      </c>
      <c r="L993" s="9" t="n">
        <v>45980</v>
      </c>
      <c r="M993" s="10" t="n">
        <v>47805</v>
      </c>
    </row>
    <row r="994" customFormat="false" ht="30" hidden="true" customHeight="true" outlineLevel="0" collapsed="false">
      <c r="A994" s="4" t="s">
        <v>109</v>
      </c>
      <c r="B994" s="4" t="s">
        <v>14</v>
      </c>
      <c r="C994" s="5" t="n">
        <v>1329001661</v>
      </c>
      <c r="D994" s="6" t="s">
        <v>1035</v>
      </c>
      <c r="E994" s="6"/>
      <c r="F994" s="7" t="n">
        <v>46060.4500051968</v>
      </c>
      <c r="G994" s="7" t="n">
        <v>46060.4698208796</v>
      </c>
      <c r="H994" s="8" t="n">
        <v>4</v>
      </c>
      <c r="I994" s="5" t="n">
        <v>400514</v>
      </c>
      <c r="J994" s="6" t="s">
        <v>16</v>
      </c>
      <c r="K994" s="5" t="n">
        <v>100010778</v>
      </c>
      <c r="L994" s="9" t="n">
        <v>45980</v>
      </c>
      <c r="M994" s="10" t="n">
        <v>47805</v>
      </c>
    </row>
    <row r="995" customFormat="false" ht="30" hidden="true" customHeight="true" outlineLevel="0" collapsed="false">
      <c r="A995" s="4" t="s">
        <v>109</v>
      </c>
      <c r="B995" s="4" t="s">
        <v>14</v>
      </c>
      <c r="C995" s="5" t="n">
        <v>1329001672</v>
      </c>
      <c r="D995" s="6" t="s">
        <v>1036</v>
      </c>
      <c r="E995" s="6"/>
      <c r="F995" s="7" t="n">
        <v>46061.2058178588</v>
      </c>
      <c r="G995" s="7" t="n">
        <v>46061.229506169</v>
      </c>
      <c r="H995" s="8" t="n">
        <v>24</v>
      </c>
      <c r="I995" s="5" t="n">
        <v>400413</v>
      </c>
      <c r="J995" s="6" t="s">
        <v>168</v>
      </c>
      <c r="K995" s="5" t="n">
        <v>100011005</v>
      </c>
      <c r="L995" s="9" t="n">
        <v>45998</v>
      </c>
      <c r="M995" s="10" t="n">
        <v>47823</v>
      </c>
    </row>
    <row r="996" customFormat="false" ht="30" hidden="true" customHeight="true" outlineLevel="0" collapsed="false">
      <c r="A996" s="4" t="s">
        <v>109</v>
      </c>
      <c r="B996" s="4" t="s">
        <v>14</v>
      </c>
      <c r="C996" s="5" t="n">
        <v>1329001672</v>
      </c>
      <c r="D996" s="6" t="s">
        <v>1037</v>
      </c>
      <c r="E996" s="6"/>
      <c r="F996" s="7" t="n">
        <v>46061.2058178588</v>
      </c>
      <c r="G996" s="7" t="n">
        <v>46061.2384627662</v>
      </c>
      <c r="H996" s="8" t="n">
        <v>24</v>
      </c>
      <c r="I996" s="5" t="n">
        <v>400426</v>
      </c>
      <c r="J996" s="6" t="s">
        <v>831</v>
      </c>
      <c r="K996" s="5" t="n">
        <v>153000039</v>
      </c>
      <c r="L996" s="9"/>
      <c r="M996" s="10" t="n">
        <v>47868</v>
      </c>
    </row>
    <row r="997" customFormat="false" ht="30" hidden="true" customHeight="true" outlineLevel="0" collapsed="false">
      <c r="A997" s="4" t="s">
        <v>109</v>
      </c>
      <c r="B997" s="4" t="s">
        <v>14</v>
      </c>
      <c r="C997" s="5" t="n">
        <v>1329001672</v>
      </c>
      <c r="D997" s="6" t="s">
        <v>1038</v>
      </c>
      <c r="E997" s="6"/>
      <c r="F997" s="7" t="n">
        <v>46061.2058178588</v>
      </c>
      <c r="G997" s="7" t="n">
        <v>46061.2349033912</v>
      </c>
      <c r="H997" s="8" t="n">
        <v>24</v>
      </c>
      <c r="I997" s="5" t="n">
        <v>400426</v>
      </c>
      <c r="J997" s="6" t="s">
        <v>831</v>
      </c>
      <c r="K997" s="5" t="n">
        <v>153000039</v>
      </c>
      <c r="L997" s="9"/>
      <c r="M997" s="10" t="n">
        <v>47868</v>
      </c>
    </row>
    <row r="998" customFormat="false" ht="30" hidden="true" customHeight="true" outlineLevel="0" collapsed="false">
      <c r="A998" s="4" t="s">
        <v>109</v>
      </c>
      <c r="B998" s="4" t="s">
        <v>14</v>
      </c>
      <c r="C998" s="5" t="n">
        <v>1329001672</v>
      </c>
      <c r="D998" s="6" t="s">
        <v>1039</v>
      </c>
      <c r="E998" s="6"/>
      <c r="F998" s="7" t="n">
        <v>46061.2058178588</v>
      </c>
      <c r="G998" s="7" t="n">
        <v>46061.2332318287</v>
      </c>
      <c r="H998" s="8" t="n">
        <v>24</v>
      </c>
      <c r="I998" s="5" t="n">
        <v>400426</v>
      </c>
      <c r="J998" s="6" t="s">
        <v>831</v>
      </c>
      <c r="K998" s="5" t="n">
        <v>153000039</v>
      </c>
      <c r="L998" s="9"/>
      <c r="M998" s="10" t="n">
        <v>47868</v>
      </c>
    </row>
    <row r="999" customFormat="false" ht="30" hidden="true" customHeight="true" outlineLevel="0" collapsed="false">
      <c r="A999" s="4" t="s">
        <v>109</v>
      </c>
      <c r="B999" s="4" t="s">
        <v>14</v>
      </c>
      <c r="C999" s="5" t="n">
        <v>1329001672</v>
      </c>
      <c r="D999" s="6" t="s">
        <v>1040</v>
      </c>
      <c r="E999" s="6"/>
      <c r="F999" s="7" t="n">
        <v>46061.2058178588</v>
      </c>
      <c r="G999" s="7" t="n">
        <v>46061.2325726389</v>
      </c>
      <c r="H999" s="8" t="n">
        <v>24</v>
      </c>
      <c r="I999" s="5" t="n">
        <v>400426</v>
      </c>
      <c r="J999" s="6" t="s">
        <v>831</v>
      </c>
      <c r="K999" s="5" t="n">
        <v>153000039</v>
      </c>
      <c r="L999" s="9"/>
      <c r="M999" s="10" t="n">
        <v>47868</v>
      </c>
    </row>
    <row r="1000" customFormat="false" ht="30" hidden="true" customHeight="true" outlineLevel="0" collapsed="false">
      <c r="A1000" s="4" t="s">
        <v>109</v>
      </c>
      <c r="B1000" s="4" t="s">
        <v>14</v>
      </c>
      <c r="C1000" s="5" t="n">
        <v>1329001672</v>
      </c>
      <c r="D1000" s="6" t="s">
        <v>1041</v>
      </c>
      <c r="E1000" s="6"/>
      <c r="F1000" s="7" t="n">
        <v>46061.2058178588</v>
      </c>
      <c r="G1000" s="7" t="n">
        <v>46061.2318762963</v>
      </c>
      <c r="H1000" s="8" t="n">
        <v>24</v>
      </c>
      <c r="I1000" s="5" t="n">
        <v>400426</v>
      </c>
      <c r="J1000" s="6" t="s">
        <v>831</v>
      </c>
      <c r="K1000" s="5" t="n">
        <v>153000039</v>
      </c>
      <c r="L1000" s="9"/>
      <c r="M1000" s="10" t="n">
        <v>47868</v>
      </c>
    </row>
    <row r="1001" customFormat="false" ht="30" hidden="true" customHeight="true" outlineLevel="0" collapsed="false">
      <c r="A1001" s="4" t="s">
        <v>109</v>
      </c>
      <c r="B1001" s="4" t="s">
        <v>14</v>
      </c>
      <c r="C1001" s="5" t="n">
        <v>1329001672</v>
      </c>
      <c r="D1001" s="6" t="s">
        <v>1042</v>
      </c>
      <c r="E1001" s="6"/>
      <c r="F1001" s="7" t="n">
        <v>46061.2058178588</v>
      </c>
      <c r="G1001" s="7" t="n">
        <v>46061.231250081</v>
      </c>
      <c r="H1001" s="8" t="n">
        <v>24</v>
      </c>
      <c r="I1001" s="5" t="n">
        <v>400426</v>
      </c>
      <c r="J1001" s="6" t="s">
        <v>831</v>
      </c>
      <c r="K1001" s="5" t="n">
        <v>153000039</v>
      </c>
      <c r="L1001" s="9"/>
      <c r="M1001" s="10" t="n">
        <v>47868</v>
      </c>
    </row>
    <row r="1002" customFormat="false" ht="30" hidden="true" customHeight="true" outlineLevel="0" collapsed="false">
      <c r="A1002" s="4" t="s">
        <v>109</v>
      </c>
      <c r="B1002" s="4" t="s">
        <v>14</v>
      </c>
      <c r="C1002" s="5" t="n">
        <v>1329001672</v>
      </c>
      <c r="D1002" s="6" t="s">
        <v>1043</v>
      </c>
      <c r="E1002" s="6"/>
      <c r="F1002" s="7" t="n">
        <v>46061.2058178588</v>
      </c>
      <c r="G1002" s="7" t="n">
        <v>46061.22853375</v>
      </c>
      <c r="H1002" s="8" t="n">
        <v>24</v>
      </c>
      <c r="I1002" s="5" t="n">
        <v>400426</v>
      </c>
      <c r="J1002" s="6" t="s">
        <v>831</v>
      </c>
      <c r="K1002" s="5" t="n">
        <v>153000039</v>
      </c>
      <c r="L1002" s="9"/>
      <c r="M1002" s="10" t="n">
        <v>47868</v>
      </c>
    </row>
    <row r="1003" customFormat="false" ht="30" hidden="true" customHeight="true" outlineLevel="0" collapsed="false">
      <c r="A1003" s="4" t="s">
        <v>109</v>
      </c>
      <c r="B1003" s="4" t="s">
        <v>14</v>
      </c>
      <c r="C1003" s="5" t="n">
        <v>1329001672</v>
      </c>
      <c r="D1003" s="6" t="s">
        <v>1044</v>
      </c>
      <c r="E1003" s="6"/>
      <c r="F1003" s="7" t="n">
        <v>46061.2058178588</v>
      </c>
      <c r="G1003" s="7" t="n">
        <v>46061.22787625</v>
      </c>
      <c r="H1003" s="8" t="n">
        <v>24</v>
      </c>
      <c r="I1003" s="5" t="n">
        <v>400413</v>
      </c>
      <c r="J1003" s="6" t="s">
        <v>168</v>
      </c>
      <c r="K1003" s="5" t="n">
        <v>100011150</v>
      </c>
      <c r="L1003" s="9"/>
      <c r="M1003" s="10" t="n">
        <v>47802</v>
      </c>
    </row>
    <row r="1004" customFormat="false" ht="30" hidden="true" customHeight="true" outlineLevel="0" collapsed="false">
      <c r="A1004" s="4" t="s">
        <v>109</v>
      </c>
      <c r="B1004" s="4" t="s">
        <v>14</v>
      </c>
      <c r="C1004" s="5" t="n">
        <v>1329001672</v>
      </c>
      <c r="D1004" s="6" t="s">
        <v>1045</v>
      </c>
      <c r="E1004" s="6"/>
      <c r="F1004" s="7" t="n">
        <v>46061.2058178588</v>
      </c>
      <c r="G1004" s="7" t="n">
        <v>46061.2265471644</v>
      </c>
      <c r="H1004" s="8" t="n">
        <v>24</v>
      </c>
      <c r="I1004" s="5" t="n">
        <v>400413</v>
      </c>
      <c r="J1004" s="6" t="s">
        <v>168</v>
      </c>
      <c r="K1004" s="5" t="n">
        <v>100011150</v>
      </c>
      <c r="L1004" s="9"/>
      <c r="M1004" s="10" t="n">
        <v>47802</v>
      </c>
    </row>
    <row r="1005" customFormat="false" ht="30" hidden="true" customHeight="true" outlineLevel="0" collapsed="false">
      <c r="A1005" s="4" t="s">
        <v>109</v>
      </c>
      <c r="B1005" s="4" t="s">
        <v>14</v>
      </c>
      <c r="C1005" s="5" t="n">
        <v>1329001672</v>
      </c>
      <c r="D1005" s="6" t="s">
        <v>1046</v>
      </c>
      <c r="E1005" s="6"/>
      <c r="F1005" s="7" t="n">
        <v>46061.2058178588</v>
      </c>
      <c r="G1005" s="7" t="n">
        <v>46061.2270690046</v>
      </c>
      <c r="H1005" s="8" t="n">
        <v>24</v>
      </c>
      <c r="I1005" s="5" t="n">
        <v>400426</v>
      </c>
      <c r="J1005" s="6" t="s">
        <v>831</v>
      </c>
      <c r="K1005" s="5" t="n">
        <v>153000039</v>
      </c>
      <c r="L1005" s="9"/>
      <c r="M1005" s="10" t="n">
        <v>47868</v>
      </c>
    </row>
    <row r="1006" customFormat="false" ht="30" hidden="true" customHeight="true" outlineLevel="0" collapsed="false">
      <c r="A1006" s="4" t="s">
        <v>109</v>
      </c>
      <c r="B1006" s="4" t="s">
        <v>14</v>
      </c>
      <c r="C1006" s="5" t="n">
        <v>1329001672</v>
      </c>
      <c r="D1006" s="6" t="s">
        <v>1047</v>
      </c>
      <c r="E1006" s="6"/>
      <c r="F1006" s="7" t="n">
        <v>46061.2058178588</v>
      </c>
      <c r="G1006" s="7" t="n">
        <v>46061.2207346528</v>
      </c>
      <c r="H1006" s="8" t="n">
        <v>24</v>
      </c>
      <c r="I1006" s="5" t="n">
        <v>400426</v>
      </c>
      <c r="J1006" s="6" t="s">
        <v>831</v>
      </c>
      <c r="K1006" s="5" t="n">
        <v>153000039</v>
      </c>
      <c r="L1006" s="9"/>
      <c r="M1006" s="10" t="n">
        <v>47868</v>
      </c>
    </row>
    <row r="1007" customFormat="false" ht="30" hidden="true" customHeight="true" outlineLevel="0" collapsed="false">
      <c r="A1007" s="4" t="s">
        <v>109</v>
      </c>
      <c r="B1007" s="4" t="s">
        <v>14</v>
      </c>
      <c r="C1007" s="5" t="n">
        <v>1329001672</v>
      </c>
      <c r="D1007" s="6" t="s">
        <v>1048</v>
      </c>
      <c r="E1007" s="6"/>
      <c r="F1007" s="7" t="n">
        <v>46061.2058178588</v>
      </c>
      <c r="G1007" s="7" t="n">
        <v>46061.2200703125</v>
      </c>
      <c r="H1007" s="8" t="n">
        <v>24</v>
      </c>
      <c r="I1007" s="5" t="n">
        <v>400426</v>
      </c>
      <c r="J1007" s="6" t="s">
        <v>831</v>
      </c>
      <c r="K1007" s="5" t="n">
        <v>153000039</v>
      </c>
      <c r="L1007" s="9"/>
      <c r="M1007" s="10" t="n">
        <v>47868</v>
      </c>
    </row>
    <row r="1008" customFormat="false" ht="30" hidden="true" customHeight="true" outlineLevel="0" collapsed="false">
      <c r="A1008" s="4" t="s">
        <v>109</v>
      </c>
      <c r="B1008" s="4" t="s">
        <v>14</v>
      </c>
      <c r="C1008" s="5" t="n">
        <v>1329001672</v>
      </c>
      <c r="D1008" s="6" t="s">
        <v>1049</v>
      </c>
      <c r="E1008" s="6"/>
      <c r="F1008" s="7" t="n">
        <v>46061.2058178588</v>
      </c>
      <c r="G1008" s="7" t="n">
        <v>46061.2193885764</v>
      </c>
      <c r="H1008" s="8" t="n">
        <v>24</v>
      </c>
      <c r="I1008" s="5" t="n">
        <v>400426</v>
      </c>
      <c r="J1008" s="6" t="s">
        <v>831</v>
      </c>
      <c r="K1008" s="5" t="n">
        <v>153000039</v>
      </c>
      <c r="L1008" s="9"/>
      <c r="M1008" s="10" t="n">
        <v>47868</v>
      </c>
    </row>
    <row r="1009" customFormat="false" ht="30" hidden="true" customHeight="true" outlineLevel="0" collapsed="false">
      <c r="A1009" s="4" t="s">
        <v>109</v>
      </c>
      <c r="B1009" s="4" t="s">
        <v>14</v>
      </c>
      <c r="C1009" s="5" t="n">
        <v>1329001672</v>
      </c>
      <c r="D1009" s="6" t="s">
        <v>1050</v>
      </c>
      <c r="E1009" s="6"/>
      <c r="F1009" s="7" t="n">
        <v>46061.2058178588</v>
      </c>
      <c r="G1009" s="7" t="n">
        <v>46061.2215866667</v>
      </c>
      <c r="H1009" s="8" t="n">
        <v>24</v>
      </c>
      <c r="I1009" s="5" t="n">
        <v>400413</v>
      </c>
      <c r="J1009" s="6" t="s">
        <v>168</v>
      </c>
      <c r="K1009" s="5" t="n">
        <v>100010539</v>
      </c>
      <c r="L1009" s="9"/>
      <c r="M1009" s="10" t="n">
        <v>47802</v>
      </c>
    </row>
    <row r="1010" customFormat="false" ht="30" hidden="true" customHeight="true" outlineLevel="0" collapsed="false">
      <c r="A1010" s="4" t="s">
        <v>109</v>
      </c>
      <c r="B1010" s="4" t="s">
        <v>14</v>
      </c>
      <c r="C1010" s="5" t="n">
        <v>1329001672</v>
      </c>
      <c r="D1010" s="6" t="s">
        <v>1051</v>
      </c>
      <c r="E1010" s="6"/>
      <c r="F1010" s="7" t="n">
        <v>46061.2058178588</v>
      </c>
      <c r="G1010" s="7" t="n">
        <v>46061.2419142245</v>
      </c>
      <c r="H1010" s="8" t="n">
        <v>24</v>
      </c>
      <c r="I1010" s="5" t="n">
        <v>400413</v>
      </c>
      <c r="J1010" s="6" t="s">
        <v>168</v>
      </c>
      <c r="K1010" s="5" t="n">
        <v>100010539</v>
      </c>
      <c r="L1010" s="9" t="n">
        <v>45977</v>
      </c>
      <c r="M1010" s="10" t="n">
        <v>47802</v>
      </c>
    </row>
    <row r="1011" customFormat="false" ht="30" hidden="true" customHeight="true" outlineLevel="0" collapsed="false">
      <c r="A1011" s="4" t="s">
        <v>109</v>
      </c>
      <c r="B1011" s="4" t="s">
        <v>14</v>
      </c>
      <c r="C1011" s="5" t="n">
        <v>1329001672</v>
      </c>
      <c r="D1011" s="6" t="s">
        <v>1052</v>
      </c>
      <c r="E1011" s="6"/>
      <c r="F1011" s="7" t="n">
        <v>46061.2058178588</v>
      </c>
      <c r="G1011" s="7" t="n">
        <v>46061.24096</v>
      </c>
      <c r="H1011" s="8" t="n">
        <v>24</v>
      </c>
      <c r="I1011" s="5" t="n">
        <v>400413</v>
      </c>
      <c r="J1011" s="6" t="s">
        <v>168</v>
      </c>
      <c r="K1011" s="5" t="n">
        <v>100010738</v>
      </c>
      <c r="L1011" s="9" t="n">
        <v>45977</v>
      </c>
      <c r="M1011" s="10" t="n">
        <v>47802</v>
      </c>
    </row>
    <row r="1012" customFormat="false" ht="30" hidden="true" customHeight="true" outlineLevel="0" collapsed="false">
      <c r="A1012" s="4" t="s">
        <v>109</v>
      </c>
      <c r="B1012" s="4" t="s">
        <v>14</v>
      </c>
      <c r="C1012" s="5" t="n">
        <v>1329001672</v>
      </c>
      <c r="D1012" s="6" t="s">
        <v>1053</v>
      </c>
      <c r="E1012" s="6"/>
      <c r="F1012" s="7" t="n">
        <v>46061.2058178588</v>
      </c>
      <c r="G1012" s="7" t="n">
        <v>46061.2397395602</v>
      </c>
      <c r="H1012" s="8" t="n">
        <v>24</v>
      </c>
      <c r="I1012" s="5" t="n">
        <v>400413</v>
      </c>
      <c r="J1012" s="6" t="s">
        <v>168</v>
      </c>
      <c r="K1012" s="5" t="n">
        <v>100010539</v>
      </c>
      <c r="L1012" s="9" t="n">
        <v>45977</v>
      </c>
      <c r="M1012" s="10" t="n">
        <v>47802</v>
      </c>
    </row>
    <row r="1013" customFormat="false" ht="30" hidden="true" customHeight="true" outlineLevel="0" collapsed="false">
      <c r="A1013" s="4" t="s">
        <v>109</v>
      </c>
      <c r="B1013" s="4" t="s">
        <v>14</v>
      </c>
      <c r="C1013" s="5" t="n">
        <v>1329001672</v>
      </c>
      <c r="D1013" s="6" t="s">
        <v>1054</v>
      </c>
      <c r="E1013" s="6"/>
      <c r="F1013" s="7" t="n">
        <v>46061.2058178588</v>
      </c>
      <c r="G1013" s="7" t="n">
        <v>46061.2403191667</v>
      </c>
      <c r="H1013" s="8" t="n">
        <v>24</v>
      </c>
      <c r="I1013" s="5" t="n">
        <v>400426</v>
      </c>
      <c r="J1013" s="6" t="s">
        <v>831</v>
      </c>
      <c r="K1013" s="5" t="n">
        <v>153000039</v>
      </c>
      <c r="L1013" s="9" t="n">
        <v>46043</v>
      </c>
      <c r="M1013" s="10" t="n">
        <v>47868</v>
      </c>
    </row>
    <row r="1014" customFormat="false" ht="30" hidden="true" customHeight="true" outlineLevel="0" collapsed="false">
      <c r="A1014" s="4" t="s">
        <v>109</v>
      </c>
      <c r="B1014" s="4" t="s">
        <v>14</v>
      </c>
      <c r="C1014" s="5" t="n">
        <v>1329001672</v>
      </c>
      <c r="D1014" s="6" t="s">
        <v>1055</v>
      </c>
      <c r="E1014" s="6"/>
      <c r="F1014" s="7" t="n">
        <v>46061.2058178588</v>
      </c>
      <c r="G1014" s="7" t="n">
        <v>46061.2391384954</v>
      </c>
      <c r="H1014" s="8" t="n">
        <v>24</v>
      </c>
      <c r="I1014" s="5" t="n">
        <v>400413</v>
      </c>
      <c r="J1014" s="6" t="s">
        <v>168</v>
      </c>
      <c r="K1014" s="5" t="n">
        <v>100010539</v>
      </c>
      <c r="L1014" s="9" t="n">
        <v>45977</v>
      </c>
      <c r="M1014" s="10" t="n">
        <v>47802</v>
      </c>
    </row>
    <row r="1015" customFormat="false" ht="30" hidden="true" customHeight="true" outlineLevel="0" collapsed="false">
      <c r="A1015" s="4" t="s">
        <v>109</v>
      </c>
      <c r="B1015" s="4" t="s">
        <v>14</v>
      </c>
      <c r="C1015" s="5" t="n">
        <v>1329001672</v>
      </c>
      <c r="D1015" s="6" t="s">
        <v>1056</v>
      </c>
      <c r="E1015" s="6"/>
      <c r="F1015" s="7" t="n">
        <v>46061.2058178588</v>
      </c>
      <c r="G1015" s="7" t="n">
        <v>46061.2378197338</v>
      </c>
      <c r="H1015" s="8" t="n">
        <v>24</v>
      </c>
      <c r="I1015" s="5" t="n">
        <v>400413</v>
      </c>
      <c r="J1015" s="6" t="s">
        <v>168</v>
      </c>
      <c r="K1015" s="5" t="n">
        <v>100010754</v>
      </c>
      <c r="L1015" s="9" t="n">
        <v>45978</v>
      </c>
      <c r="M1015" s="10" t="n">
        <v>47803</v>
      </c>
    </row>
    <row r="1016" customFormat="false" ht="30" hidden="true" customHeight="true" outlineLevel="0" collapsed="false">
      <c r="A1016" s="4" t="s">
        <v>109</v>
      </c>
      <c r="B1016" s="4" t="s">
        <v>14</v>
      </c>
      <c r="C1016" s="5" t="n">
        <v>1329001672</v>
      </c>
      <c r="D1016" s="6" t="s">
        <v>1057</v>
      </c>
      <c r="E1016" s="6"/>
      <c r="F1016" s="7" t="n">
        <v>46061.2058178588</v>
      </c>
      <c r="G1016" s="7" t="n">
        <v>46061.2365966435</v>
      </c>
      <c r="H1016" s="8" t="n">
        <v>24</v>
      </c>
      <c r="I1016" s="5" t="n">
        <v>400413</v>
      </c>
      <c r="J1016" s="6" t="s">
        <v>168</v>
      </c>
      <c r="K1016" s="5" t="n">
        <v>100010738</v>
      </c>
      <c r="L1016" s="9" t="n">
        <v>45977</v>
      </c>
      <c r="M1016" s="10" t="n">
        <v>47802</v>
      </c>
    </row>
    <row r="1017" customFormat="false" ht="30" hidden="true" customHeight="true" outlineLevel="0" collapsed="false">
      <c r="A1017" s="4" t="s">
        <v>109</v>
      </c>
      <c r="B1017" s="4" t="s">
        <v>14</v>
      </c>
      <c r="C1017" s="5" t="n">
        <v>1329001672</v>
      </c>
      <c r="D1017" s="6" t="s">
        <v>1058</v>
      </c>
      <c r="E1017" s="6"/>
      <c r="F1017" s="7" t="n">
        <v>46061.2058178588</v>
      </c>
      <c r="G1017" s="7" t="n">
        <v>46061.2341754745</v>
      </c>
      <c r="H1017" s="8" t="n">
        <v>24</v>
      </c>
      <c r="I1017" s="5" t="n">
        <v>400413</v>
      </c>
      <c r="J1017" s="6" t="s">
        <v>168</v>
      </c>
      <c r="K1017" s="5" t="n">
        <v>100010754</v>
      </c>
      <c r="L1017" s="9" t="n">
        <v>45978</v>
      </c>
      <c r="M1017" s="10" t="n">
        <v>47803</v>
      </c>
    </row>
    <row r="1018" customFormat="false" ht="30" hidden="true" customHeight="true" outlineLevel="0" collapsed="false">
      <c r="A1018" s="4" t="s">
        <v>109</v>
      </c>
      <c r="B1018" s="4" t="s">
        <v>14</v>
      </c>
      <c r="C1018" s="5" t="n">
        <v>1329001672</v>
      </c>
      <c r="D1018" s="6" t="s">
        <v>1059</v>
      </c>
      <c r="E1018" s="6"/>
      <c r="F1018" s="7" t="n">
        <v>46061.2058178588</v>
      </c>
      <c r="G1018" s="7" t="n">
        <v>46061.2304433565</v>
      </c>
      <c r="H1018" s="8" t="n">
        <v>24</v>
      </c>
      <c r="I1018" s="5" t="n">
        <v>400413</v>
      </c>
      <c r="J1018" s="6" t="s">
        <v>168</v>
      </c>
      <c r="K1018" s="5" t="n">
        <v>100011005</v>
      </c>
      <c r="L1018" s="9" t="n">
        <v>45998</v>
      </c>
      <c r="M1018" s="10" t="n">
        <v>47823</v>
      </c>
    </row>
    <row r="1019" customFormat="false" ht="30" hidden="true" customHeight="true" outlineLevel="0" collapsed="false">
      <c r="A1019" s="4" t="s">
        <v>109</v>
      </c>
      <c r="B1019" s="4" t="s">
        <v>14</v>
      </c>
      <c r="C1019" s="5" t="n">
        <v>1329001674</v>
      </c>
      <c r="D1019" s="6" t="s">
        <v>1060</v>
      </c>
      <c r="E1019" s="6"/>
      <c r="F1019" s="7" t="n">
        <v>46061.2888627662</v>
      </c>
      <c r="G1019" s="7" t="n">
        <v>46061.2923168403</v>
      </c>
      <c r="H1019" s="8" t="n">
        <v>4</v>
      </c>
      <c r="I1019" s="5" t="n">
        <v>400514</v>
      </c>
      <c r="J1019" s="6" t="s">
        <v>16</v>
      </c>
      <c r="K1019" s="5" t="n">
        <v>100010991</v>
      </c>
      <c r="L1019" s="9" t="n">
        <v>46002</v>
      </c>
      <c r="M1019" s="10" t="n">
        <v>47827</v>
      </c>
    </row>
    <row r="1020" customFormat="false" ht="30" hidden="true" customHeight="true" outlineLevel="0" collapsed="false">
      <c r="A1020" s="4" t="s">
        <v>109</v>
      </c>
      <c r="B1020" s="4" t="s">
        <v>14</v>
      </c>
      <c r="C1020" s="5" t="n">
        <v>1329001674</v>
      </c>
      <c r="D1020" s="6" t="s">
        <v>1061</v>
      </c>
      <c r="E1020" s="6"/>
      <c r="F1020" s="7" t="n">
        <v>46061.2888627662</v>
      </c>
      <c r="G1020" s="7" t="n">
        <v>46061.3090572801</v>
      </c>
      <c r="H1020" s="8" t="n">
        <v>4</v>
      </c>
      <c r="I1020" s="5" t="n">
        <v>400514</v>
      </c>
      <c r="J1020" s="6" t="s">
        <v>16</v>
      </c>
      <c r="K1020" s="5" t="n">
        <v>100010991</v>
      </c>
      <c r="L1020" s="9" t="n">
        <v>46002</v>
      </c>
      <c r="M1020" s="10" t="n">
        <v>47827</v>
      </c>
    </row>
    <row r="1021" customFormat="false" ht="30" hidden="true" customHeight="true" outlineLevel="0" collapsed="false">
      <c r="A1021" s="4" t="s">
        <v>109</v>
      </c>
      <c r="B1021" s="4" t="s">
        <v>14</v>
      </c>
      <c r="C1021" s="5" t="n">
        <v>1329001674</v>
      </c>
      <c r="D1021" s="6" t="s">
        <v>1062</v>
      </c>
      <c r="E1021" s="6"/>
      <c r="F1021" s="7" t="n">
        <v>46061.2888627662</v>
      </c>
      <c r="G1021" s="7" t="n">
        <v>46061.3086430787</v>
      </c>
      <c r="H1021" s="8" t="n">
        <v>4</v>
      </c>
      <c r="I1021" s="5" t="n">
        <v>400514</v>
      </c>
      <c r="J1021" s="6" t="s">
        <v>16</v>
      </c>
      <c r="K1021" s="5" t="n">
        <v>100010991</v>
      </c>
      <c r="L1021" s="9" t="n">
        <v>46002</v>
      </c>
      <c r="M1021" s="10" t="n">
        <v>47827</v>
      </c>
    </row>
    <row r="1022" customFormat="false" ht="30" hidden="true" customHeight="true" outlineLevel="0" collapsed="false">
      <c r="A1022" s="4" t="s">
        <v>109</v>
      </c>
      <c r="B1022" s="4" t="s">
        <v>14</v>
      </c>
      <c r="C1022" s="5" t="n">
        <v>1329001674</v>
      </c>
      <c r="D1022" s="6" t="s">
        <v>1063</v>
      </c>
      <c r="E1022" s="6"/>
      <c r="F1022" s="7" t="n">
        <v>46061.2888627662</v>
      </c>
      <c r="G1022" s="7" t="n">
        <v>46061.3082392477</v>
      </c>
      <c r="H1022" s="8" t="n">
        <v>4</v>
      </c>
      <c r="I1022" s="5" t="n">
        <v>400514</v>
      </c>
      <c r="J1022" s="6" t="s">
        <v>16</v>
      </c>
      <c r="K1022" s="5" t="n">
        <v>100010991</v>
      </c>
      <c r="L1022" s="9" t="n">
        <v>46002</v>
      </c>
      <c r="M1022" s="10" t="n">
        <v>47827</v>
      </c>
    </row>
    <row r="1023" customFormat="false" ht="30" hidden="true" customHeight="true" outlineLevel="0" collapsed="false">
      <c r="A1023" s="4" t="s">
        <v>109</v>
      </c>
      <c r="B1023" s="4" t="s">
        <v>14</v>
      </c>
      <c r="C1023" s="5" t="n">
        <v>1329001674</v>
      </c>
      <c r="D1023" s="6" t="s">
        <v>1064</v>
      </c>
      <c r="E1023" s="6"/>
      <c r="F1023" s="7" t="n">
        <v>46061.2888627662</v>
      </c>
      <c r="G1023" s="7" t="n">
        <v>46061.3079007176</v>
      </c>
      <c r="H1023" s="8" t="n">
        <v>4</v>
      </c>
      <c r="I1023" s="5" t="n">
        <v>400514</v>
      </c>
      <c r="J1023" s="6" t="s">
        <v>16</v>
      </c>
      <c r="K1023" s="5" t="n">
        <v>100010991</v>
      </c>
      <c r="L1023" s="9" t="n">
        <v>46002</v>
      </c>
      <c r="M1023" s="10" t="n">
        <v>47827</v>
      </c>
    </row>
    <row r="1024" customFormat="false" ht="30" hidden="true" customHeight="true" outlineLevel="0" collapsed="false">
      <c r="A1024" s="4" t="s">
        <v>109</v>
      </c>
      <c r="B1024" s="4" t="s">
        <v>14</v>
      </c>
      <c r="C1024" s="5" t="n">
        <v>1329001674</v>
      </c>
      <c r="D1024" s="6" t="s">
        <v>1065</v>
      </c>
      <c r="E1024" s="6"/>
      <c r="F1024" s="7" t="n">
        <v>46061.2888627662</v>
      </c>
      <c r="G1024" s="7" t="n">
        <v>46061.3075045949</v>
      </c>
      <c r="H1024" s="8" t="n">
        <v>4</v>
      </c>
      <c r="I1024" s="5" t="n">
        <v>400514</v>
      </c>
      <c r="J1024" s="6" t="s">
        <v>16</v>
      </c>
      <c r="K1024" s="5" t="n">
        <v>100010991</v>
      </c>
      <c r="L1024" s="9" t="n">
        <v>46002</v>
      </c>
      <c r="M1024" s="10" t="n">
        <v>47827</v>
      </c>
    </row>
    <row r="1025" customFormat="false" ht="30" hidden="true" customHeight="true" outlineLevel="0" collapsed="false">
      <c r="A1025" s="4" t="s">
        <v>109</v>
      </c>
      <c r="B1025" s="4" t="s">
        <v>14</v>
      </c>
      <c r="C1025" s="5" t="n">
        <v>1329001674</v>
      </c>
      <c r="D1025" s="6" t="s">
        <v>1066</v>
      </c>
      <c r="E1025" s="6"/>
      <c r="F1025" s="7" t="n">
        <v>46061.2888627662</v>
      </c>
      <c r="G1025" s="7" t="n">
        <v>46061.3070614236</v>
      </c>
      <c r="H1025" s="8" t="n">
        <v>4</v>
      </c>
      <c r="I1025" s="5" t="n">
        <v>400514</v>
      </c>
      <c r="J1025" s="6" t="s">
        <v>16</v>
      </c>
      <c r="K1025" s="5" t="n">
        <v>100010991</v>
      </c>
      <c r="L1025" s="9" t="n">
        <v>46002</v>
      </c>
      <c r="M1025" s="10" t="n">
        <v>47827</v>
      </c>
    </row>
    <row r="1026" customFormat="false" ht="30" hidden="true" customHeight="true" outlineLevel="0" collapsed="false">
      <c r="A1026" s="4" t="s">
        <v>109</v>
      </c>
      <c r="B1026" s="4" t="s">
        <v>14</v>
      </c>
      <c r="C1026" s="5" t="n">
        <v>1329001674</v>
      </c>
      <c r="D1026" s="6" t="s">
        <v>1067</v>
      </c>
      <c r="E1026" s="6"/>
      <c r="F1026" s="7" t="n">
        <v>46061.2888627662</v>
      </c>
      <c r="G1026" s="7" t="n">
        <v>46061.306492419</v>
      </c>
      <c r="H1026" s="8" t="n">
        <v>4</v>
      </c>
      <c r="I1026" s="5" t="n">
        <v>400514</v>
      </c>
      <c r="J1026" s="6" t="s">
        <v>16</v>
      </c>
      <c r="K1026" s="5" t="n">
        <v>100010991</v>
      </c>
      <c r="L1026" s="9" t="n">
        <v>46002</v>
      </c>
      <c r="M1026" s="10" t="n">
        <v>47827</v>
      </c>
    </row>
    <row r="1027" customFormat="false" ht="30" hidden="true" customHeight="true" outlineLevel="0" collapsed="false">
      <c r="A1027" s="4" t="s">
        <v>109</v>
      </c>
      <c r="B1027" s="4" t="s">
        <v>14</v>
      </c>
      <c r="C1027" s="5" t="n">
        <v>1329001674</v>
      </c>
      <c r="D1027" s="6" t="s">
        <v>1068</v>
      </c>
      <c r="E1027" s="6"/>
      <c r="F1027" s="7" t="n">
        <v>46061.2888627662</v>
      </c>
      <c r="G1027" s="7" t="n">
        <v>46061.3055562616</v>
      </c>
      <c r="H1027" s="8" t="n">
        <v>4</v>
      </c>
      <c r="I1027" s="5" t="n">
        <v>400514</v>
      </c>
      <c r="J1027" s="6" t="s">
        <v>16</v>
      </c>
      <c r="K1027" s="5" t="n">
        <v>100010991</v>
      </c>
      <c r="L1027" s="9" t="n">
        <v>46002</v>
      </c>
      <c r="M1027" s="10" t="n">
        <v>47827</v>
      </c>
    </row>
    <row r="1028" customFormat="false" ht="30" hidden="true" customHeight="true" outlineLevel="0" collapsed="false">
      <c r="A1028" s="4" t="s">
        <v>109</v>
      </c>
      <c r="B1028" s="4" t="s">
        <v>14</v>
      </c>
      <c r="C1028" s="5" t="n">
        <v>1329001674</v>
      </c>
      <c r="D1028" s="6" t="s">
        <v>1069</v>
      </c>
      <c r="E1028" s="6"/>
      <c r="F1028" s="7" t="n">
        <v>46061.2888627662</v>
      </c>
      <c r="G1028" s="7" t="n">
        <v>46061.3051276389</v>
      </c>
      <c r="H1028" s="8" t="n">
        <v>4</v>
      </c>
      <c r="I1028" s="5" t="n">
        <v>400514</v>
      </c>
      <c r="J1028" s="6" t="s">
        <v>16</v>
      </c>
      <c r="K1028" s="5" t="n">
        <v>100010991</v>
      </c>
      <c r="L1028" s="9" t="n">
        <v>46002</v>
      </c>
      <c r="M1028" s="10" t="n">
        <v>47827</v>
      </c>
    </row>
    <row r="1029" customFormat="false" ht="30" hidden="true" customHeight="true" outlineLevel="0" collapsed="false">
      <c r="A1029" s="4" t="s">
        <v>109</v>
      </c>
      <c r="B1029" s="4" t="s">
        <v>14</v>
      </c>
      <c r="C1029" s="5" t="n">
        <v>1329001674</v>
      </c>
      <c r="D1029" s="6" t="s">
        <v>1070</v>
      </c>
      <c r="E1029" s="6"/>
      <c r="F1029" s="7" t="n">
        <v>46061.2888627662</v>
      </c>
      <c r="G1029" s="7" t="n">
        <v>46061.3045760648</v>
      </c>
      <c r="H1029" s="8" t="n">
        <v>4</v>
      </c>
      <c r="I1029" s="5" t="n">
        <v>400514</v>
      </c>
      <c r="J1029" s="6" t="s">
        <v>16</v>
      </c>
      <c r="K1029" s="5" t="n">
        <v>100010991</v>
      </c>
      <c r="L1029" s="9" t="n">
        <v>46002</v>
      </c>
      <c r="M1029" s="10" t="n">
        <v>47827</v>
      </c>
    </row>
    <row r="1030" customFormat="false" ht="30" hidden="true" customHeight="true" outlineLevel="0" collapsed="false">
      <c r="A1030" s="4" t="s">
        <v>109</v>
      </c>
      <c r="B1030" s="4" t="s">
        <v>14</v>
      </c>
      <c r="C1030" s="5" t="n">
        <v>1329001674</v>
      </c>
      <c r="D1030" s="6" t="s">
        <v>1071</v>
      </c>
      <c r="E1030" s="6"/>
      <c r="F1030" s="7" t="n">
        <v>46061.2888627662</v>
      </c>
      <c r="G1030" s="7" t="n">
        <v>46061.3041444213</v>
      </c>
      <c r="H1030" s="8" t="n">
        <v>4</v>
      </c>
      <c r="I1030" s="5" t="n">
        <v>400514</v>
      </c>
      <c r="J1030" s="6" t="s">
        <v>16</v>
      </c>
      <c r="K1030" s="5" t="n">
        <v>100010991</v>
      </c>
      <c r="L1030" s="9" t="n">
        <v>46002</v>
      </c>
      <c r="M1030" s="10" t="n">
        <v>47827</v>
      </c>
    </row>
    <row r="1031" customFormat="false" ht="30" hidden="true" customHeight="true" outlineLevel="0" collapsed="false">
      <c r="A1031" s="4" t="s">
        <v>109</v>
      </c>
      <c r="B1031" s="4" t="s">
        <v>14</v>
      </c>
      <c r="C1031" s="5" t="n">
        <v>1329001674</v>
      </c>
      <c r="D1031" s="6" t="s">
        <v>1072</v>
      </c>
      <c r="E1031" s="6"/>
      <c r="F1031" s="7" t="n">
        <v>46061.2888627662</v>
      </c>
      <c r="G1031" s="7" t="n">
        <v>46061.3036823148</v>
      </c>
      <c r="H1031" s="8" t="n">
        <v>4</v>
      </c>
      <c r="I1031" s="5" t="n">
        <v>400514</v>
      </c>
      <c r="J1031" s="6" t="s">
        <v>16</v>
      </c>
      <c r="K1031" s="5" t="n">
        <v>100010991</v>
      </c>
      <c r="L1031" s="9" t="n">
        <v>46002</v>
      </c>
      <c r="M1031" s="10" t="n">
        <v>47827</v>
      </c>
    </row>
    <row r="1032" customFormat="false" ht="30" hidden="true" customHeight="true" outlineLevel="0" collapsed="false">
      <c r="A1032" s="4" t="s">
        <v>109</v>
      </c>
      <c r="B1032" s="4" t="s">
        <v>14</v>
      </c>
      <c r="C1032" s="5" t="n">
        <v>1329001674</v>
      </c>
      <c r="D1032" s="6" t="s">
        <v>1073</v>
      </c>
      <c r="E1032" s="6"/>
      <c r="F1032" s="7" t="n">
        <v>46061.2888627662</v>
      </c>
      <c r="G1032" s="7" t="n">
        <v>46061.3031229514</v>
      </c>
      <c r="H1032" s="8" t="n">
        <v>4</v>
      </c>
      <c r="I1032" s="5" t="n">
        <v>400514</v>
      </c>
      <c r="J1032" s="6" t="s">
        <v>16</v>
      </c>
      <c r="K1032" s="5" t="n">
        <v>100010755</v>
      </c>
      <c r="L1032" s="9" t="n">
        <v>45978</v>
      </c>
      <c r="M1032" s="10" t="n">
        <v>47803</v>
      </c>
    </row>
    <row r="1033" customFormat="false" ht="30" hidden="true" customHeight="true" outlineLevel="0" collapsed="false">
      <c r="A1033" s="4" t="s">
        <v>109</v>
      </c>
      <c r="B1033" s="4" t="s">
        <v>14</v>
      </c>
      <c r="C1033" s="5" t="n">
        <v>1329001674</v>
      </c>
      <c r="D1033" s="6" t="s">
        <v>1074</v>
      </c>
      <c r="E1033" s="6"/>
      <c r="F1033" s="7" t="n">
        <v>46061.2888627662</v>
      </c>
      <c r="G1033" s="7" t="n">
        <v>46061.3026616551</v>
      </c>
      <c r="H1033" s="8" t="n">
        <v>4</v>
      </c>
      <c r="I1033" s="5" t="n">
        <v>400514</v>
      </c>
      <c r="J1033" s="6" t="s">
        <v>16</v>
      </c>
      <c r="K1033" s="5" t="n">
        <v>100010991</v>
      </c>
      <c r="L1033" s="9" t="n">
        <v>46002</v>
      </c>
      <c r="M1033" s="10" t="n">
        <v>47827</v>
      </c>
    </row>
    <row r="1034" customFormat="false" ht="30" hidden="true" customHeight="true" outlineLevel="0" collapsed="false">
      <c r="A1034" s="4" t="s">
        <v>109</v>
      </c>
      <c r="B1034" s="4" t="s">
        <v>14</v>
      </c>
      <c r="C1034" s="5" t="n">
        <v>1329001674</v>
      </c>
      <c r="D1034" s="6" t="s">
        <v>1075</v>
      </c>
      <c r="E1034" s="6"/>
      <c r="F1034" s="7" t="n">
        <v>46061.2888627662</v>
      </c>
      <c r="G1034" s="7" t="n">
        <v>46061.3022122917</v>
      </c>
      <c r="H1034" s="8" t="n">
        <v>4</v>
      </c>
      <c r="I1034" s="5" t="n">
        <v>400514</v>
      </c>
      <c r="J1034" s="6" t="s">
        <v>16</v>
      </c>
      <c r="K1034" s="5" t="n">
        <v>100010755</v>
      </c>
      <c r="L1034" s="9" t="n">
        <v>45978</v>
      </c>
      <c r="M1034" s="10" t="n">
        <v>47803</v>
      </c>
    </row>
    <row r="1035" customFormat="false" ht="30" hidden="true" customHeight="true" outlineLevel="0" collapsed="false">
      <c r="A1035" s="4" t="s">
        <v>109</v>
      </c>
      <c r="B1035" s="4" t="s">
        <v>14</v>
      </c>
      <c r="C1035" s="5" t="n">
        <v>1329001674</v>
      </c>
      <c r="D1035" s="6" t="s">
        <v>1076</v>
      </c>
      <c r="E1035" s="6"/>
      <c r="F1035" s="7" t="n">
        <v>46061.2888627662</v>
      </c>
      <c r="G1035" s="7" t="n">
        <v>46061.3017408333</v>
      </c>
      <c r="H1035" s="8" t="n">
        <v>4</v>
      </c>
      <c r="I1035" s="5" t="n">
        <v>400514</v>
      </c>
      <c r="J1035" s="6" t="s">
        <v>16</v>
      </c>
      <c r="K1035" s="5" t="n">
        <v>100010991</v>
      </c>
      <c r="L1035" s="9" t="n">
        <v>46002</v>
      </c>
      <c r="M1035" s="10" t="n">
        <v>47827</v>
      </c>
    </row>
    <row r="1036" customFormat="false" ht="30" hidden="true" customHeight="true" outlineLevel="0" collapsed="false">
      <c r="A1036" s="4" t="s">
        <v>109</v>
      </c>
      <c r="B1036" s="4" t="s">
        <v>14</v>
      </c>
      <c r="C1036" s="5" t="n">
        <v>1329001674</v>
      </c>
      <c r="D1036" s="6" t="s">
        <v>1077</v>
      </c>
      <c r="E1036" s="6"/>
      <c r="F1036" s="7" t="n">
        <v>46061.2888627662</v>
      </c>
      <c r="G1036" s="7" t="n">
        <v>46061.3012841319</v>
      </c>
      <c r="H1036" s="8" t="n">
        <v>4</v>
      </c>
      <c r="I1036" s="5" t="n">
        <v>400514</v>
      </c>
      <c r="J1036" s="6" t="s">
        <v>16</v>
      </c>
      <c r="K1036" s="5" t="n">
        <v>100010755</v>
      </c>
      <c r="L1036" s="9" t="n">
        <v>45978</v>
      </c>
      <c r="M1036" s="10" t="n">
        <v>47803</v>
      </c>
    </row>
    <row r="1037" customFormat="false" ht="30" hidden="true" customHeight="true" outlineLevel="0" collapsed="false">
      <c r="A1037" s="4" t="s">
        <v>109</v>
      </c>
      <c r="B1037" s="4" t="s">
        <v>14</v>
      </c>
      <c r="C1037" s="5" t="n">
        <v>1329001674</v>
      </c>
      <c r="D1037" s="6" t="s">
        <v>1078</v>
      </c>
      <c r="E1037" s="6"/>
      <c r="F1037" s="7" t="n">
        <v>46061.2888627662</v>
      </c>
      <c r="G1037" s="7" t="n">
        <v>46061.3007920602</v>
      </c>
      <c r="H1037" s="8" t="n">
        <v>4</v>
      </c>
      <c r="I1037" s="5" t="n">
        <v>400514</v>
      </c>
      <c r="J1037" s="6" t="s">
        <v>16</v>
      </c>
      <c r="K1037" s="5" t="n">
        <v>100010991</v>
      </c>
      <c r="L1037" s="9" t="n">
        <v>46002</v>
      </c>
      <c r="M1037" s="10" t="n">
        <v>47827</v>
      </c>
    </row>
    <row r="1038" customFormat="false" ht="30" hidden="true" customHeight="true" outlineLevel="0" collapsed="false">
      <c r="A1038" s="4" t="s">
        <v>109</v>
      </c>
      <c r="B1038" s="4" t="s">
        <v>14</v>
      </c>
      <c r="C1038" s="5" t="n">
        <v>1329001674</v>
      </c>
      <c r="D1038" s="6" t="s">
        <v>1079</v>
      </c>
      <c r="E1038" s="6"/>
      <c r="F1038" s="7" t="n">
        <v>46061.2888627662</v>
      </c>
      <c r="G1038" s="7" t="n">
        <v>46061.3000130093</v>
      </c>
      <c r="H1038" s="8" t="n">
        <v>4</v>
      </c>
      <c r="I1038" s="5" t="n">
        <v>400514</v>
      </c>
      <c r="J1038" s="6" t="s">
        <v>16</v>
      </c>
      <c r="K1038" s="5" t="n">
        <v>100010755</v>
      </c>
      <c r="L1038" s="9" t="n">
        <v>45978</v>
      </c>
      <c r="M1038" s="10" t="n">
        <v>47803</v>
      </c>
    </row>
    <row r="1039" customFormat="false" ht="30" hidden="true" customHeight="true" outlineLevel="0" collapsed="false">
      <c r="A1039" s="4" t="s">
        <v>109</v>
      </c>
      <c r="B1039" s="4" t="s">
        <v>14</v>
      </c>
      <c r="C1039" s="5" t="n">
        <v>1329001674</v>
      </c>
      <c r="D1039" s="6" t="s">
        <v>1080</v>
      </c>
      <c r="E1039" s="6"/>
      <c r="F1039" s="7" t="n">
        <v>46061.2888627662</v>
      </c>
      <c r="G1039" s="7" t="n">
        <v>46061.2993954745</v>
      </c>
      <c r="H1039" s="8" t="n">
        <v>4</v>
      </c>
      <c r="I1039" s="5" t="n">
        <v>400514</v>
      </c>
      <c r="J1039" s="6" t="s">
        <v>16</v>
      </c>
      <c r="K1039" s="5" t="n">
        <v>100010991</v>
      </c>
      <c r="L1039" s="9" t="n">
        <v>46002</v>
      </c>
      <c r="M1039" s="10" t="n">
        <v>47827</v>
      </c>
    </row>
    <row r="1040" customFormat="false" ht="30" hidden="true" customHeight="true" outlineLevel="0" collapsed="false">
      <c r="A1040" s="4" t="s">
        <v>109</v>
      </c>
      <c r="B1040" s="4" t="s">
        <v>14</v>
      </c>
      <c r="C1040" s="5" t="n">
        <v>1329001674</v>
      </c>
      <c r="D1040" s="6" t="s">
        <v>1081</v>
      </c>
      <c r="E1040" s="6"/>
      <c r="F1040" s="7" t="n">
        <v>46061.2888627662</v>
      </c>
      <c r="G1040" s="7" t="n">
        <v>46061.2989719097</v>
      </c>
      <c r="H1040" s="8" t="n">
        <v>4</v>
      </c>
      <c r="I1040" s="5" t="n">
        <v>400514</v>
      </c>
      <c r="J1040" s="6" t="s">
        <v>16</v>
      </c>
      <c r="K1040" s="5" t="n">
        <v>100010991</v>
      </c>
      <c r="L1040" s="9" t="n">
        <v>46002</v>
      </c>
      <c r="M1040" s="10" t="n">
        <v>47827</v>
      </c>
    </row>
    <row r="1041" customFormat="false" ht="30" hidden="true" customHeight="true" outlineLevel="0" collapsed="false">
      <c r="A1041" s="4" t="s">
        <v>109</v>
      </c>
      <c r="B1041" s="4" t="s">
        <v>14</v>
      </c>
      <c r="C1041" s="5" t="n">
        <v>1329001674</v>
      </c>
      <c r="D1041" s="6" t="s">
        <v>1082</v>
      </c>
      <c r="E1041" s="6"/>
      <c r="F1041" s="7" t="n">
        <v>46061.2888627662</v>
      </c>
      <c r="G1041" s="7" t="n">
        <v>46061.2979427199</v>
      </c>
      <c r="H1041" s="8" t="n">
        <v>4</v>
      </c>
      <c r="I1041" s="5" t="n">
        <v>400514</v>
      </c>
      <c r="J1041" s="6" t="s">
        <v>16</v>
      </c>
      <c r="K1041" s="5" t="n">
        <v>100010991</v>
      </c>
      <c r="L1041" s="9" t="n">
        <v>46002</v>
      </c>
      <c r="M1041" s="10" t="n">
        <v>47827</v>
      </c>
    </row>
    <row r="1042" customFormat="false" ht="30" hidden="true" customHeight="true" outlineLevel="0" collapsed="false">
      <c r="A1042" s="4" t="s">
        <v>109</v>
      </c>
      <c r="B1042" s="4" t="s">
        <v>14</v>
      </c>
      <c r="C1042" s="5" t="n">
        <v>1329001674</v>
      </c>
      <c r="D1042" s="6" t="s">
        <v>1083</v>
      </c>
      <c r="E1042" s="6"/>
      <c r="F1042" s="7" t="n">
        <v>46061.2888627662</v>
      </c>
      <c r="G1042" s="7" t="n">
        <v>46061.297200081</v>
      </c>
      <c r="H1042" s="8" t="n">
        <v>4</v>
      </c>
      <c r="I1042" s="5" t="n">
        <v>400514</v>
      </c>
      <c r="J1042" s="6" t="s">
        <v>16</v>
      </c>
      <c r="K1042" s="5" t="n">
        <v>100010991</v>
      </c>
      <c r="L1042" s="9" t="n">
        <v>46002</v>
      </c>
      <c r="M1042" s="10" t="n">
        <v>47827</v>
      </c>
    </row>
    <row r="1043" customFormat="false" ht="30" hidden="true" customHeight="true" outlineLevel="0" collapsed="false">
      <c r="A1043" s="4" t="s">
        <v>109</v>
      </c>
      <c r="B1043" s="4" t="s">
        <v>14</v>
      </c>
      <c r="C1043" s="5" t="n">
        <v>1329001674</v>
      </c>
      <c r="D1043" s="6" t="s">
        <v>1084</v>
      </c>
      <c r="E1043" s="6"/>
      <c r="F1043" s="7" t="n">
        <v>46061.2888627662</v>
      </c>
      <c r="G1043" s="7" t="n">
        <v>46061.2967485995</v>
      </c>
      <c r="H1043" s="8" t="n">
        <v>4</v>
      </c>
      <c r="I1043" s="5" t="n">
        <v>400514</v>
      </c>
      <c r="J1043" s="6" t="s">
        <v>16</v>
      </c>
      <c r="K1043" s="5" t="n">
        <v>100010991</v>
      </c>
      <c r="L1043" s="9" t="n">
        <v>46002</v>
      </c>
      <c r="M1043" s="10" t="n">
        <v>47827</v>
      </c>
    </row>
    <row r="1044" customFormat="false" ht="30" hidden="true" customHeight="true" outlineLevel="0" collapsed="false">
      <c r="A1044" s="4" t="s">
        <v>109</v>
      </c>
      <c r="B1044" s="4" t="s">
        <v>14</v>
      </c>
      <c r="C1044" s="5" t="n">
        <v>1329001674</v>
      </c>
      <c r="D1044" s="6" t="s">
        <v>1085</v>
      </c>
      <c r="E1044" s="6"/>
      <c r="F1044" s="7" t="n">
        <v>46061.2888627662</v>
      </c>
      <c r="G1044" s="7" t="n">
        <v>46061.296215</v>
      </c>
      <c r="H1044" s="8" t="n">
        <v>4</v>
      </c>
      <c r="I1044" s="5" t="n">
        <v>400514</v>
      </c>
      <c r="J1044" s="6" t="s">
        <v>16</v>
      </c>
      <c r="K1044" s="5" t="n">
        <v>100010991</v>
      </c>
      <c r="L1044" s="9" t="n">
        <v>46002</v>
      </c>
      <c r="M1044" s="10" t="n">
        <v>47827</v>
      </c>
    </row>
    <row r="1045" customFormat="false" ht="30" hidden="true" customHeight="true" outlineLevel="0" collapsed="false">
      <c r="A1045" s="4" t="s">
        <v>109</v>
      </c>
      <c r="B1045" s="4" t="s">
        <v>14</v>
      </c>
      <c r="C1045" s="5" t="n">
        <v>1329001674</v>
      </c>
      <c r="D1045" s="6" t="s">
        <v>1086</v>
      </c>
      <c r="E1045" s="6"/>
      <c r="F1045" s="7" t="n">
        <v>46061.2888627662</v>
      </c>
      <c r="G1045" s="7" t="n">
        <v>46061.2950726505</v>
      </c>
      <c r="H1045" s="8" t="n">
        <v>4</v>
      </c>
      <c r="I1045" s="5" t="n">
        <v>400514</v>
      </c>
      <c r="J1045" s="6" t="s">
        <v>16</v>
      </c>
      <c r="K1045" s="5" t="n">
        <v>100010991</v>
      </c>
      <c r="L1045" s="9" t="n">
        <v>46002</v>
      </c>
      <c r="M1045" s="10" t="n">
        <v>47827</v>
      </c>
    </row>
    <row r="1046" customFormat="false" ht="30" hidden="true" customHeight="true" outlineLevel="0" collapsed="false">
      <c r="A1046" s="4" t="s">
        <v>109</v>
      </c>
      <c r="B1046" s="4" t="s">
        <v>14</v>
      </c>
      <c r="C1046" s="5" t="n">
        <v>1329001674</v>
      </c>
      <c r="D1046" s="6" t="s">
        <v>1087</v>
      </c>
      <c r="E1046" s="6"/>
      <c r="F1046" s="7" t="n">
        <v>46061.2888627662</v>
      </c>
      <c r="G1046" s="7" t="n">
        <v>46061.294558044</v>
      </c>
      <c r="H1046" s="8" t="n">
        <v>4</v>
      </c>
      <c r="I1046" s="5" t="n">
        <v>400514</v>
      </c>
      <c r="J1046" s="6" t="s">
        <v>16</v>
      </c>
      <c r="K1046" s="5" t="n">
        <v>100010991</v>
      </c>
      <c r="L1046" s="9" t="n">
        <v>46002</v>
      </c>
      <c r="M1046" s="10" t="n">
        <v>47827</v>
      </c>
    </row>
    <row r="1047" customFormat="false" ht="30" hidden="true" customHeight="true" outlineLevel="0" collapsed="false">
      <c r="A1047" s="4" t="s">
        <v>109</v>
      </c>
      <c r="B1047" s="4" t="s">
        <v>14</v>
      </c>
      <c r="C1047" s="5" t="n">
        <v>1329001674</v>
      </c>
      <c r="D1047" s="6" t="s">
        <v>1088</v>
      </c>
      <c r="E1047" s="6"/>
      <c r="F1047" s="7" t="n">
        <v>46061.2888627662</v>
      </c>
      <c r="G1047" s="7" t="n">
        <v>46061.2935358449</v>
      </c>
      <c r="H1047" s="8" t="n">
        <v>4</v>
      </c>
      <c r="I1047" s="5" t="n">
        <v>400514</v>
      </c>
      <c r="J1047" s="6" t="s">
        <v>16</v>
      </c>
      <c r="K1047" s="5" t="n">
        <v>100010991</v>
      </c>
      <c r="L1047" s="9" t="n">
        <v>46002</v>
      </c>
      <c r="M1047" s="10" t="n">
        <v>47827</v>
      </c>
    </row>
    <row r="1048" customFormat="false" ht="30" hidden="true" customHeight="true" outlineLevel="0" collapsed="false">
      <c r="A1048" s="4" t="s">
        <v>109</v>
      </c>
      <c r="B1048" s="4" t="s">
        <v>14</v>
      </c>
      <c r="C1048" s="5" t="n">
        <v>1329001674</v>
      </c>
      <c r="D1048" s="6" t="s">
        <v>1089</v>
      </c>
      <c r="E1048" s="6"/>
      <c r="F1048" s="7" t="n">
        <v>46061.2888627662</v>
      </c>
      <c r="G1048" s="7" t="n">
        <v>46061.2929342477</v>
      </c>
      <c r="H1048" s="8" t="n">
        <v>4</v>
      </c>
      <c r="I1048" s="5" t="n">
        <v>400514</v>
      </c>
      <c r="J1048" s="6" t="s">
        <v>16</v>
      </c>
      <c r="K1048" s="5" t="n">
        <v>100010991</v>
      </c>
      <c r="L1048" s="9" t="n">
        <v>46002</v>
      </c>
      <c r="M1048" s="10" t="n">
        <v>47827</v>
      </c>
    </row>
    <row r="1049" customFormat="false" ht="30" hidden="true" customHeight="true" outlineLevel="0" collapsed="false">
      <c r="A1049" s="4" t="s">
        <v>109</v>
      </c>
      <c r="B1049" s="4" t="s">
        <v>14</v>
      </c>
      <c r="C1049" s="5" t="n">
        <v>1329001675</v>
      </c>
      <c r="D1049" s="6" t="s">
        <v>1090</v>
      </c>
      <c r="E1049" s="6"/>
      <c r="F1049" s="7" t="n">
        <v>46061.4834931597</v>
      </c>
      <c r="G1049" s="7" t="n">
        <v>46061.4871685185</v>
      </c>
      <c r="H1049" s="8" t="n">
        <v>4</v>
      </c>
      <c r="I1049" s="5" t="n">
        <v>400459</v>
      </c>
      <c r="J1049" s="6" t="s">
        <v>1091</v>
      </c>
      <c r="K1049" s="5" t="n">
        <v>153000023</v>
      </c>
      <c r="L1049" s="9" t="n">
        <v>46036</v>
      </c>
      <c r="M1049" s="10" t="n">
        <v>47861</v>
      </c>
    </row>
    <row r="1050" customFormat="false" ht="30" hidden="true" customHeight="true" outlineLevel="0" collapsed="false">
      <c r="A1050" s="4" t="s">
        <v>109</v>
      </c>
      <c r="B1050" s="4" t="s">
        <v>14</v>
      </c>
      <c r="C1050" s="5" t="n">
        <v>1329001675</v>
      </c>
      <c r="D1050" s="6" t="s">
        <v>1092</v>
      </c>
      <c r="E1050" s="6"/>
      <c r="F1050" s="7" t="n">
        <v>46061.4834931597</v>
      </c>
      <c r="G1050" s="7" t="n">
        <v>46061.4864787269</v>
      </c>
      <c r="H1050" s="8" t="n">
        <v>4</v>
      </c>
      <c r="I1050" s="5" t="n">
        <v>400459</v>
      </c>
      <c r="J1050" s="6" t="s">
        <v>1091</v>
      </c>
      <c r="K1050" s="5" t="n">
        <v>153000023</v>
      </c>
      <c r="L1050" s="9" t="n">
        <v>46036</v>
      </c>
      <c r="M1050" s="10" t="n">
        <v>47861</v>
      </c>
    </row>
    <row r="1051" customFormat="false" ht="30" hidden="true" customHeight="true" outlineLevel="0" collapsed="false">
      <c r="A1051" s="4" t="s">
        <v>109</v>
      </c>
      <c r="B1051" s="4" t="s">
        <v>14</v>
      </c>
      <c r="C1051" s="5" t="n">
        <v>1329001675</v>
      </c>
      <c r="D1051" s="6" t="s">
        <v>1093</v>
      </c>
      <c r="E1051" s="6"/>
      <c r="F1051" s="7" t="n">
        <v>46061.4834931597</v>
      </c>
      <c r="G1051" s="7" t="n">
        <v>46061.4896873727</v>
      </c>
      <c r="H1051" s="8" t="n">
        <v>4</v>
      </c>
      <c r="I1051" s="5" t="n">
        <v>400398</v>
      </c>
      <c r="J1051" s="6" t="s">
        <v>1094</v>
      </c>
      <c r="K1051" s="5" t="n">
        <v>153000010</v>
      </c>
      <c r="L1051" s="9" t="n">
        <v>46032</v>
      </c>
      <c r="M1051" s="10" t="n">
        <v>47857</v>
      </c>
    </row>
    <row r="1052" customFormat="false" ht="30" hidden="true" customHeight="true" outlineLevel="0" collapsed="false">
      <c r="A1052" s="4" t="s">
        <v>109</v>
      </c>
      <c r="B1052" s="4" t="s">
        <v>14</v>
      </c>
      <c r="C1052" s="5" t="n">
        <v>1329001675</v>
      </c>
      <c r="D1052" s="6" t="s">
        <v>1095</v>
      </c>
      <c r="E1052" s="6"/>
      <c r="F1052" s="7" t="n">
        <v>46061.4834931597</v>
      </c>
      <c r="G1052" s="7" t="n">
        <v>46061.5014314583</v>
      </c>
      <c r="H1052" s="8" t="n">
        <v>4</v>
      </c>
      <c r="I1052" s="5" t="n">
        <v>400459</v>
      </c>
      <c r="J1052" s="6" t="s">
        <v>1091</v>
      </c>
      <c r="K1052" s="5" t="n">
        <v>153000023</v>
      </c>
      <c r="L1052" s="9" t="n">
        <v>46036</v>
      </c>
      <c r="M1052" s="10" t="n">
        <v>47861</v>
      </c>
    </row>
    <row r="1053" customFormat="false" ht="30" hidden="true" customHeight="true" outlineLevel="0" collapsed="false">
      <c r="A1053" s="4" t="s">
        <v>109</v>
      </c>
      <c r="B1053" s="4" t="s">
        <v>14</v>
      </c>
      <c r="C1053" s="5" t="n">
        <v>1329001675</v>
      </c>
      <c r="D1053" s="6" t="s">
        <v>1096</v>
      </c>
      <c r="E1053" s="6"/>
      <c r="F1053" s="7" t="n">
        <v>46061.4834931597</v>
      </c>
      <c r="G1053" s="7" t="n">
        <v>46061.5008808333</v>
      </c>
      <c r="H1053" s="8" t="n">
        <v>4</v>
      </c>
      <c r="I1053" s="5" t="n">
        <v>400459</v>
      </c>
      <c r="J1053" s="6" t="s">
        <v>1091</v>
      </c>
      <c r="K1053" s="5" t="n">
        <v>153000023</v>
      </c>
      <c r="L1053" s="9" t="n">
        <v>46036</v>
      </c>
      <c r="M1053" s="10" t="n">
        <v>47861</v>
      </c>
    </row>
    <row r="1054" customFormat="false" ht="30" hidden="true" customHeight="true" outlineLevel="0" collapsed="false">
      <c r="A1054" s="4" t="s">
        <v>109</v>
      </c>
      <c r="B1054" s="4" t="s">
        <v>14</v>
      </c>
      <c r="C1054" s="5" t="n">
        <v>1329001675</v>
      </c>
      <c r="D1054" s="6" t="s">
        <v>1097</v>
      </c>
      <c r="E1054" s="6"/>
      <c r="F1054" s="7" t="n">
        <v>46061.4834931597</v>
      </c>
      <c r="G1054" s="7" t="n">
        <v>46061.5003797685</v>
      </c>
      <c r="H1054" s="8" t="n">
        <v>4</v>
      </c>
      <c r="I1054" s="5" t="n">
        <v>400398</v>
      </c>
      <c r="J1054" s="6" t="s">
        <v>1094</v>
      </c>
      <c r="K1054" s="5" t="n">
        <v>153000010</v>
      </c>
      <c r="L1054" s="9" t="n">
        <v>46032</v>
      </c>
      <c r="M1054" s="10" t="n">
        <v>47857</v>
      </c>
    </row>
    <row r="1055" customFormat="false" ht="30" hidden="true" customHeight="true" outlineLevel="0" collapsed="false">
      <c r="A1055" s="4" t="s">
        <v>109</v>
      </c>
      <c r="B1055" s="4" t="s">
        <v>14</v>
      </c>
      <c r="C1055" s="5" t="n">
        <v>1329001675</v>
      </c>
      <c r="D1055" s="6" t="s">
        <v>1098</v>
      </c>
      <c r="E1055" s="6"/>
      <c r="F1055" s="7" t="n">
        <v>46061.4834931597</v>
      </c>
      <c r="G1055" s="7" t="n">
        <v>46061.4997866551</v>
      </c>
      <c r="H1055" s="8" t="n">
        <v>4</v>
      </c>
      <c r="I1055" s="5" t="n">
        <v>400459</v>
      </c>
      <c r="J1055" s="6" t="s">
        <v>1091</v>
      </c>
      <c r="K1055" s="5" t="n">
        <v>153000023</v>
      </c>
      <c r="L1055" s="9" t="n">
        <v>46036</v>
      </c>
      <c r="M1055" s="10" t="n">
        <v>47861</v>
      </c>
    </row>
    <row r="1056" customFormat="false" ht="30" hidden="true" customHeight="true" outlineLevel="0" collapsed="false">
      <c r="A1056" s="4" t="s">
        <v>109</v>
      </c>
      <c r="B1056" s="4" t="s">
        <v>14</v>
      </c>
      <c r="C1056" s="5" t="n">
        <v>1329001675</v>
      </c>
      <c r="D1056" s="6" t="s">
        <v>1099</v>
      </c>
      <c r="E1056" s="6"/>
      <c r="F1056" s="7" t="n">
        <v>46061.4834931597</v>
      </c>
      <c r="G1056" s="7" t="n">
        <v>46061.4990123495</v>
      </c>
      <c r="H1056" s="8" t="n">
        <v>4</v>
      </c>
      <c r="I1056" s="5" t="n">
        <v>400398</v>
      </c>
      <c r="J1056" s="6" t="s">
        <v>1094</v>
      </c>
      <c r="K1056" s="5" t="n">
        <v>153000010</v>
      </c>
      <c r="L1056" s="9" t="n">
        <v>46032</v>
      </c>
      <c r="M1056" s="10" t="n">
        <v>47857</v>
      </c>
    </row>
    <row r="1057" customFormat="false" ht="30" hidden="true" customHeight="true" outlineLevel="0" collapsed="false">
      <c r="A1057" s="4" t="s">
        <v>109</v>
      </c>
      <c r="B1057" s="4" t="s">
        <v>14</v>
      </c>
      <c r="C1057" s="5" t="n">
        <v>1329001675</v>
      </c>
      <c r="D1057" s="6" t="s">
        <v>1100</v>
      </c>
      <c r="E1057" s="6"/>
      <c r="F1057" s="7" t="n">
        <v>46061.4834931597</v>
      </c>
      <c r="G1057" s="7" t="n">
        <v>46061.4983740509</v>
      </c>
      <c r="H1057" s="8" t="n">
        <v>4</v>
      </c>
      <c r="I1057" s="5" t="n">
        <v>400459</v>
      </c>
      <c r="J1057" s="6" t="s">
        <v>1091</v>
      </c>
      <c r="K1057" s="5" t="n">
        <v>153000023</v>
      </c>
      <c r="L1057" s="9" t="n">
        <v>46036</v>
      </c>
      <c r="M1057" s="10" t="n">
        <v>47861</v>
      </c>
    </row>
    <row r="1058" customFormat="false" ht="30" hidden="true" customHeight="true" outlineLevel="0" collapsed="false">
      <c r="A1058" s="4" t="s">
        <v>109</v>
      </c>
      <c r="B1058" s="4" t="s">
        <v>14</v>
      </c>
      <c r="C1058" s="5" t="n">
        <v>1329001675</v>
      </c>
      <c r="D1058" s="6" t="s">
        <v>1101</v>
      </c>
      <c r="E1058" s="6"/>
      <c r="F1058" s="7" t="n">
        <v>46061.4834931597</v>
      </c>
      <c r="G1058" s="7" t="n">
        <v>46061.4979154514</v>
      </c>
      <c r="H1058" s="8" t="n">
        <v>4</v>
      </c>
      <c r="I1058" s="5" t="n">
        <v>400398</v>
      </c>
      <c r="J1058" s="6" t="s">
        <v>1094</v>
      </c>
      <c r="K1058" s="5" t="n">
        <v>153000010</v>
      </c>
      <c r="L1058" s="9" t="n">
        <v>46032</v>
      </c>
      <c r="M1058" s="10" t="n">
        <v>47857</v>
      </c>
    </row>
    <row r="1059" customFormat="false" ht="30" hidden="true" customHeight="true" outlineLevel="0" collapsed="false">
      <c r="A1059" s="4" t="s">
        <v>109</v>
      </c>
      <c r="B1059" s="4" t="s">
        <v>14</v>
      </c>
      <c r="C1059" s="5" t="n">
        <v>1329001675</v>
      </c>
      <c r="D1059" s="6" t="s">
        <v>1102</v>
      </c>
      <c r="E1059" s="6"/>
      <c r="F1059" s="7" t="n">
        <v>46061.4834931597</v>
      </c>
      <c r="G1059" s="7" t="n">
        <v>46061.4968226736</v>
      </c>
      <c r="H1059" s="8" t="n">
        <v>4</v>
      </c>
      <c r="I1059" s="5" t="n">
        <v>400398</v>
      </c>
      <c r="J1059" s="6" t="s">
        <v>1094</v>
      </c>
      <c r="K1059" s="5" t="n">
        <v>153000010</v>
      </c>
      <c r="L1059" s="9" t="n">
        <v>46032</v>
      </c>
      <c r="M1059" s="10" t="n">
        <v>47857</v>
      </c>
    </row>
    <row r="1060" customFormat="false" ht="30" hidden="true" customHeight="true" outlineLevel="0" collapsed="false">
      <c r="A1060" s="4" t="s">
        <v>109</v>
      </c>
      <c r="B1060" s="4" t="s">
        <v>14</v>
      </c>
      <c r="C1060" s="5" t="n">
        <v>1329001675</v>
      </c>
      <c r="D1060" s="6" t="s">
        <v>1103</v>
      </c>
      <c r="E1060" s="6"/>
      <c r="F1060" s="7" t="n">
        <v>46061.4834931597</v>
      </c>
      <c r="G1060" s="7" t="n">
        <v>46061.4972956019</v>
      </c>
      <c r="H1060" s="8" t="n">
        <v>4</v>
      </c>
      <c r="I1060" s="5" t="n">
        <v>400459</v>
      </c>
      <c r="J1060" s="6" t="s">
        <v>1091</v>
      </c>
      <c r="K1060" s="5" t="n">
        <v>153000023</v>
      </c>
      <c r="L1060" s="9" t="n">
        <v>46036</v>
      </c>
      <c r="M1060" s="10" t="n">
        <v>47861</v>
      </c>
    </row>
    <row r="1061" customFormat="false" ht="30" hidden="true" customHeight="true" outlineLevel="0" collapsed="false">
      <c r="A1061" s="4" t="s">
        <v>109</v>
      </c>
      <c r="B1061" s="4" t="s">
        <v>14</v>
      </c>
      <c r="C1061" s="5" t="n">
        <v>1329001675</v>
      </c>
      <c r="D1061" s="6" t="s">
        <v>1104</v>
      </c>
      <c r="E1061" s="6"/>
      <c r="F1061" s="7" t="n">
        <v>46061.4834931597</v>
      </c>
      <c r="G1061" s="7" t="n">
        <v>46061.496296713</v>
      </c>
      <c r="H1061" s="8" t="n">
        <v>4</v>
      </c>
      <c r="I1061" s="5" t="n">
        <v>400398</v>
      </c>
      <c r="J1061" s="6" t="s">
        <v>1094</v>
      </c>
      <c r="K1061" s="5" t="n">
        <v>153000010</v>
      </c>
      <c r="L1061" s="9" t="n">
        <v>46032</v>
      </c>
      <c r="M1061" s="10" t="n">
        <v>47857</v>
      </c>
    </row>
    <row r="1062" customFormat="false" ht="30" hidden="true" customHeight="true" outlineLevel="0" collapsed="false">
      <c r="A1062" s="4" t="s">
        <v>109</v>
      </c>
      <c r="B1062" s="4" t="s">
        <v>14</v>
      </c>
      <c r="C1062" s="5" t="n">
        <v>1329001675</v>
      </c>
      <c r="D1062" s="6" t="s">
        <v>1105</v>
      </c>
      <c r="E1062" s="6"/>
      <c r="F1062" s="7" t="n">
        <v>46061.4834931597</v>
      </c>
      <c r="G1062" s="7" t="n">
        <v>46061.4956563426</v>
      </c>
      <c r="H1062" s="8" t="n">
        <v>4</v>
      </c>
      <c r="I1062" s="5" t="n">
        <v>400459</v>
      </c>
      <c r="J1062" s="6" t="s">
        <v>1091</v>
      </c>
      <c r="K1062" s="5" t="n">
        <v>153000023</v>
      </c>
      <c r="L1062" s="9" t="n">
        <v>46036</v>
      </c>
      <c r="M1062" s="10" t="n">
        <v>47861</v>
      </c>
    </row>
    <row r="1063" customFormat="false" ht="30" hidden="true" customHeight="true" outlineLevel="0" collapsed="false">
      <c r="A1063" s="4" t="s">
        <v>109</v>
      </c>
      <c r="B1063" s="4" t="s">
        <v>14</v>
      </c>
      <c r="C1063" s="5" t="n">
        <v>1329001675</v>
      </c>
      <c r="D1063" s="6" t="s">
        <v>1106</v>
      </c>
      <c r="E1063" s="6"/>
      <c r="F1063" s="7" t="n">
        <v>46061.4834931597</v>
      </c>
      <c r="G1063" s="7" t="n">
        <v>46061.4950629977</v>
      </c>
      <c r="H1063" s="8" t="n">
        <v>4</v>
      </c>
      <c r="I1063" s="5" t="n">
        <v>400398</v>
      </c>
      <c r="J1063" s="6" t="s">
        <v>1094</v>
      </c>
      <c r="K1063" s="5" t="n">
        <v>153000010</v>
      </c>
      <c r="L1063" s="9" t="n">
        <v>46032</v>
      </c>
      <c r="M1063" s="10" t="n">
        <v>47857</v>
      </c>
    </row>
    <row r="1064" customFormat="false" ht="30" hidden="true" customHeight="true" outlineLevel="0" collapsed="false">
      <c r="A1064" s="4" t="s">
        <v>109</v>
      </c>
      <c r="B1064" s="4" t="s">
        <v>14</v>
      </c>
      <c r="C1064" s="5" t="n">
        <v>1329001675</v>
      </c>
      <c r="D1064" s="6" t="s">
        <v>1107</v>
      </c>
      <c r="E1064" s="6"/>
      <c r="F1064" s="7" t="n">
        <v>46061.4834931597</v>
      </c>
      <c r="G1064" s="7" t="n">
        <v>46061.4945867014</v>
      </c>
      <c r="H1064" s="8" t="n">
        <v>4</v>
      </c>
      <c r="I1064" s="5" t="n">
        <v>400459</v>
      </c>
      <c r="J1064" s="6" t="s">
        <v>1091</v>
      </c>
      <c r="K1064" s="5" t="n">
        <v>153000023</v>
      </c>
      <c r="L1064" s="9" t="n">
        <v>46036</v>
      </c>
      <c r="M1064" s="10" t="n">
        <v>47861</v>
      </c>
    </row>
    <row r="1065" customFormat="false" ht="30" hidden="true" customHeight="true" outlineLevel="0" collapsed="false">
      <c r="A1065" s="4" t="s">
        <v>109</v>
      </c>
      <c r="B1065" s="4" t="s">
        <v>14</v>
      </c>
      <c r="C1065" s="5" t="n">
        <v>1329001675</v>
      </c>
      <c r="D1065" s="6" t="s">
        <v>1108</v>
      </c>
      <c r="E1065" s="6"/>
      <c r="F1065" s="7" t="n">
        <v>46061.4834931597</v>
      </c>
      <c r="G1065" s="7" t="n">
        <v>46061.4934578125</v>
      </c>
      <c r="H1065" s="8" t="n">
        <v>4</v>
      </c>
      <c r="I1065" s="5" t="n">
        <v>400459</v>
      </c>
      <c r="J1065" s="6" t="s">
        <v>1091</v>
      </c>
      <c r="K1065" s="5" t="n">
        <v>153000023</v>
      </c>
      <c r="L1065" s="9" t="n">
        <v>46036</v>
      </c>
      <c r="M1065" s="10" t="n">
        <v>47861</v>
      </c>
    </row>
    <row r="1066" customFormat="false" ht="30" hidden="true" customHeight="true" outlineLevel="0" collapsed="false">
      <c r="A1066" s="4" t="s">
        <v>109</v>
      </c>
      <c r="B1066" s="4" t="s">
        <v>14</v>
      </c>
      <c r="C1066" s="5" t="n">
        <v>1329001675</v>
      </c>
      <c r="D1066" s="6" t="s">
        <v>1109</v>
      </c>
      <c r="E1066" s="6"/>
      <c r="F1066" s="7" t="n">
        <v>46061.4834931597</v>
      </c>
      <c r="G1066" s="7" t="n">
        <v>46061.4941211806</v>
      </c>
      <c r="H1066" s="8" t="n">
        <v>4</v>
      </c>
      <c r="I1066" s="5" t="n">
        <v>400398</v>
      </c>
      <c r="J1066" s="6" t="s">
        <v>1094</v>
      </c>
      <c r="K1066" s="5" t="n">
        <v>153000010</v>
      </c>
      <c r="L1066" s="9" t="n">
        <v>46032</v>
      </c>
      <c r="M1066" s="10" t="n">
        <v>47857</v>
      </c>
    </row>
    <row r="1067" customFormat="false" ht="30" hidden="true" customHeight="true" outlineLevel="0" collapsed="false">
      <c r="A1067" s="4" t="s">
        <v>109</v>
      </c>
      <c r="B1067" s="4" t="s">
        <v>14</v>
      </c>
      <c r="C1067" s="5" t="n">
        <v>1329001675</v>
      </c>
      <c r="D1067" s="6" t="s">
        <v>1110</v>
      </c>
      <c r="E1067" s="6"/>
      <c r="F1067" s="7" t="n">
        <v>46061.4834931597</v>
      </c>
      <c r="G1067" s="7" t="n">
        <v>46061.4923621991</v>
      </c>
      <c r="H1067" s="8" t="n">
        <v>4</v>
      </c>
      <c r="I1067" s="5" t="n">
        <v>400459</v>
      </c>
      <c r="J1067" s="6" t="s">
        <v>1091</v>
      </c>
      <c r="K1067" s="5" t="n">
        <v>153000023</v>
      </c>
      <c r="L1067" s="9" t="n">
        <v>46036</v>
      </c>
      <c r="M1067" s="10" t="n">
        <v>47861</v>
      </c>
    </row>
    <row r="1068" customFormat="false" ht="30" hidden="true" customHeight="true" outlineLevel="0" collapsed="false">
      <c r="A1068" s="4" t="s">
        <v>109</v>
      </c>
      <c r="B1068" s="4" t="s">
        <v>14</v>
      </c>
      <c r="C1068" s="5" t="n">
        <v>1329001675</v>
      </c>
      <c r="D1068" s="6" t="s">
        <v>1111</v>
      </c>
      <c r="E1068" s="6"/>
      <c r="F1068" s="7" t="n">
        <v>46061.4834931597</v>
      </c>
      <c r="G1068" s="7" t="n">
        <v>46061.4919107176</v>
      </c>
      <c r="H1068" s="8" t="n">
        <v>4</v>
      </c>
      <c r="I1068" s="5" t="n">
        <v>400398</v>
      </c>
      <c r="J1068" s="6" t="s">
        <v>1094</v>
      </c>
      <c r="K1068" s="5" t="n">
        <v>153000010</v>
      </c>
      <c r="L1068" s="9" t="n">
        <v>46032</v>
      </c>
      <c r="M1068" s="10" t="n">
        <v>47857</v>
      </c>
    </row>
    <row r="1069" customFormat="false" ht="30" hidden="true" customHeight="true" outlineLevel="0" collapsed="false">
      <c r="A1069" s="4" t="s">
        <v>109</v>
      </c>
      <c r="B1069" s="4" t="s">
        <v>14</v>
      </c>
      <c r="C1069" s="5" t="n">
        <v>1329001675</v>
      </c>
      <c r="D1069" s="6" t="s">
        <v>1112</v>
      </c>
      <c r="E1069" s="6"/>
      <c r="F1069" s="7" t="n">
        <v>46061.4834931597</v>
      </c>
      <c r="G1069" s="7" t="n">
        <v>46061.4913299074</v>
      </c>
      <c r="H1069" s="8" t="n">
        <v>4</v>
      </c>
      <c r="I1069" s="5" t="n">
        <v>400459</v>
      </c>
      <c r="J1069" s="6" t="s">
        <v>1091</v>
      </c>
      <c r="K1069" s="5" t="n">
        <v>153000023</v>
      </c>
      <c r="L1069" s="9" t="n">
        <v>46036</v>
      </c>
      <c r="M1069" s="10" t="n">
        <v>47861</v>
      </c>
    </row>
    <row r="1070" customFormat="false" ht="30" hidden="true" customHeight="true" outlineLevel="0" collapsed="false">
      <c r="A1070" s="4" t="s">
        <v>109</v>
      </c>
      <c r="B1070" s="4" t="s">
        <v>14</v>
      </c>
      <c r="C1070" s="5" t="n">
        <v>1329001675</v>
      </c>
      <c r="D1070" s="6" t="s">
        <v>1113</v>
      </c>
      <c r="E1070" s="6"/>
      <c r="F1070" s="7" t="n">
        <v>46061.4834931597</v>
      </c>
      <c r="G1070" s="7" t="n">
        <v>46061.4908525579</v>
      </c>
      <c r="H1070" s="8" t="n">
        <v>4</v>
      </c>
      <c r="I1070" s="5" t="n">
        <v>400398</v>
      </c>
      <c r="J1070" s="6" t="s">
        <v>1094</v>
      </c>
      <c r="K1070" s="5" t="n">
        <v>153000010</v>
      </c>
      <c r="L1070" s="9" t="n">
        <v>46032</v>
      </c>
      <c r="M1070" s="10" t="n">
        <v>47857</v>
      </c>
    </row>
    <row r="1071" customFormat="false" ht="30" hidden="true" customHeight="true" outlineLevel="0" collapsed="false">
      <c r="A1071" s="4" t="s">
        <v>109</v>
      </c>
      <c r="B1071" s="4" t="s">
        <v>14</v>
      </c>
      <c r="C1071" s="5" t="n">
        <v>1329001675</v>
      </c>
      <c r="D1071" s="6" t="s">
        <v>1114</v>
      </c>
      <c r="E1071" s="6"/>
      <c r="F1071" s="7" t="n">
        <v>46061.4834931597</v>
      </c>
      <c r="G1071" s="7" t="n">
        <v>46061.4903097685</v>
      </c>
      <c r="H1071" s="8" t="n">
        <v>4</v>
      </c>
      <c r="I1071" s="5" t="n">
        <v>400459</v>
      </c>
      <c r="J1071" s="6" t="s">
        <v>1091</v>
      </c>
      <c r="K1071" s="5" t="n">
        <v>153000023</v>
      </c>
      <c r="L1071" s="9" t="n">
        <v>46036</v>
      </c>
      <c r="M1071" s="10" t="n">
        <v>47861</v>
      </c>
    </row>
    <row r="1072" customFormat="false" ht="30" hidden="true" customHeight="true" outlineLevel="0" collapsed="false">
      <c r="A1072" s="4" t="s">
        <v>109</v>
      </c>
      <c r="B1072" s="4" t="s">
        <v>14</v>
      </c>
      <c r="C1072" s="5" t="n">
        <v>1329001675</v>
      </c>
      <c r="D1072" s="6" t="s">
        <v>1115</v>
      </c>
      <c r="E1072" s="6"/>
      <c r="F1072" s="7" t="n">
        <v>46061.4834931597</v>
      </c>
      <c r="G1072" s="7" t="n">
        <v>46061.4885997454</v>
      </c>
      <c r="H1072" s="8" t="n">
        <v>4</v>
      </c>
      <c r="I1072" s="5" t="n">
        <v>400459</v>
      </c>
      <c r="J1072" s="6" t="s">
        <v>1091</v>
      </c>
      <c r="K1072" s="5" t="n">
        <v>153000023</v>
      </c>
      <c r="L1072" s="9" t="n">
        <v>46036</v>
      </c>
      <c r="M1072" s="10" t="n">
        <v>47861</v>
      </c>
    </row>
    <row r="1073" customFormat="false" ht="30" hidden="true" customHeight="true" outlineLevel="0" collapsed="false">
      <c r="A1073" s="4" t="s">
        <v>109</v>
      </c>
      <c r="B1073" s="4" t="s">
        <v>14</v>
      </c>
      <c r="C1073" s="5" t="n">
        <v>1329001675</v>
      </c>
      <c r="D1073" s="6" t="s">
        <v>1116</v>
      </c>
      <c r="E1073" s="6"/>
      <c r="F1073" s="7" t="n">
        <v>46061.4834931597</v>
      </c>
      <c r="G1073" s="7" t="n">
        <v>46061.4879072454</v>
      </c>
      <c r="H1073" s="8" t="n">
        <v>4</v>
      </c>
      <c r="I1073" s="5" t="n">
        <v>400459</v>
      </c>
      <c r="J1073" s="6" t="s">
        <v>1091</v>
      </c>
      <c r="K1073" s="5" t="n">
        <v>153000023</v>
      </c>
      <c r="L1073" s="9" t="n">
        <v>46036</v>
      </c>
      <c r="M1073" s="10" t="n">
        <v>47861</v>
      </c>
    </row>
    <row r="1074" customFormat="false" ht="30" hidden="true" customHeight="true" outlineLevel="0" collapsed="false">
      <c r="A1074" s="4" t="s">
        <v>109</v>
      </c>
      <c r="B1074" s="4" t="s">
        <v>14</v>
      </c>
      <c r="C1074" s="5" t="n">
        <v>1329001673</v>
      </c>
      <c r="D1074" s="6" t="s">
        <v>1117</v>
      </c>
      <c r="E1074" s="6"/>
      <c r="F1074" s="7" t="n">
        <v>46062.2411939236</v>
      </c>
      <c r="G1074" s="7" t="n">
        <v>46062.2579222338</v>
      </c>
      <c r="H1074" s="8" t="n">
        <v>4</v>
      </c>
      <c r="I1074" s="5" t="n">
        <v>400514</v>
      </c>
      <c r="J1074" s="6" t="s">
        <v>16</v>
      </c>
      <c r="K1074" s="5" t="n">
        <v>100010778</v>
      </c>
      <c r="L1074" s="9" t="n">
        <v>45980</v>
      </c>
      <c r="M1074" s="10" t="n">
        <v>47805</v>
      </c>
    </row>
    <row r="1075" customFormat="false" ht="30" hidden="true" customHeight="true" outlineLevel="0" collapsed="false">
      <c r="A1075" s="4" t="s">
        <v>109</v>
      </c>
      <c r="B1075" s="4" t="s">
        <v>14</v>
      </c>
      <c r="C1075" s="5" t="n">
        <v>1329001673</v>
      </c>
      <c r="D1075" s="6" t="s">
        <v>1118</v>
      </c>
      <c r="E1075" s="6"/>
      <c r="F1075" s="7" t="n">
        <v>46062.2411939236</v>
      </c>
      <c r="G1075" s="7" t="n">
        <v>46062.2563987153</v>
      </c>
      <c r="H1075" s="8" t="n">
        <v>4</v>
      </c>
      <c r="I1075" s="5" t="n">
        <v>400763</v>
      </c>
      <c r="J1075" s="6" t="s">
        <v>974</v>
      </c>
      <c r="K1075" s="5" t="n">
        <v>153000067</v>
      </c>
      <c r="L1075" s="9" t="n">
        <v>46050</v>
      </c>
      <c r="M1075" s="10" t="n">
        <v>47875</v>
      </c>
    </row>
    <row r="1076" customFormat="false" ht="30" hidden="true" customHeight="true" outlineLevel="0" collapsed="false">
      <c r="A1076" s="4" t="s">
        <v>109</v>
      </c>
      <c r="B1076" s="4" t="s">
        <v>14</v>
      </c>
      <c r="C1076" s="5" t="n">
        <v>1329001673</v>
      </c>
      <c r="D1076" s="6" t="s">
        <v>1119</v>
      </c>
      <c r="E1076" s="6"/>
      <c r="F1076" s="7" t="n">
        <v>46062.2411939236</v>
      </c>
      <c r="G1076" s="7" t="n">
        <v>46062.2552028819</v>
      </c>
      <c r="H1076" s="8" t="n">
        <v>4</v>
      </c>
      <c r="I1076" s="5" t="n">
        <v>400514</v>
      </c>
      <c r="J1076" s="6" t="s">
        <v>16</v>
      </c>
      <c r="K1076" s="5" t="n">
        <v>100010778</v>
      </c>
      <c r="L1076" s="9" t="n">
        <v>45980</v>
      </c>
      <c r="M1076" s="10" t="n">
        <v>47805</v>
      </c>
    </row>
    <row r="1077" customFormat="false" ht="30" hidden="true" customHeight="true" outlineLevel="0" collapsed="false">
      <c r="A1077" s="4" t="s">
        <v>109</v>
      </c>
      <c r="B1077" s="4" t="s">
        <v>14</v>
      </c>
      <c r="C1077" s="5" t="n">
        <v>1329001673</v>
      </c>
      <c r="D1077" s="6" t="s">
        <v>1120</v>
      </c>
      <c r="E1077" s="6"/>
      <c r="F1077" s="7" t="n">
        <v>46062.2411939236</v>
      </c>
      <c r="G1077" s="7" t="n">
        <v>46062.2865345139</v>
      </c>
      <c r="H1077" s="8" t="n">
        <v>4</v>
      </c>
      <c r="I1077" s="5" t="n">
        <v>400763</v>
      </c>
      <c r="J1077" s="6" t="s">
        <v>974</v>
      </c>
      <c r="K1077" s="5" t="n">
        <v>153000015</v>
      </c>
      <c r="L1077" s="9" t="n">
        <v>46050</v>
      </c>
      <c r="M1077" s="10" t="n">
        <v>47875</v>
      </c>
    </row>
    <row r="1078" customFormat="false" ht="30" hidden="true" customHeight="true" outlineLevel="0" collapsed="false">
      <c r="A1078" s="4" t="s">
        <v>109</v>
      </c>
      <c r="B1078" s="4" t="s">
        <v>14</v>
      </c>
      <c r="C1078" s="5" t="n">
        <v>1329001673</v>
      </c>
      <c r="D1078" s="6" t="s">
        <v>1121</v>
      </c>
      <c r="E1078" s="6"/>
      <c r="F1078" s="7" t="n">
        <v>46062.2411939236</v>
      </c>
      <c r="G1078" s="7" t="n">
        <v>46062.2856972106</v>
      </c>
      <c r="H1078" s="8" t="n">
        <v>2</v>
      </c>
      <c r="I1078" s="5" t="n">
        <v>400763</v>
      </c>
      <c r="J1078" s="6" t="s">
        <v>974</v>
      </c>
      <c r="K1078" s="5" t="n">
        <v>153000015</v>
      </c>
      <c r="L1078" s="9" t="n">
        <v>46050</v>
      </c>
      <c r="M1078" s="10" t="n">
        <v>47875</v>
      </c>
    </row>
    <row r="1079" customFormat="false" ht="30" hidden="true" customHeight="true" outlineLevel="0" collapsed="false">
      <c r="A1079" s="4" t="s">
        <v>109</v>
      </c>
      <c r="B1079" s="4" t="s">
        <v>14</v>
      </c>
      <c r="C1079" s="5" t="n">
        <v>1329001673</v>
      </c>
      <c r="D1079" s="6" t="s">
        <v>1122</v>
      </c>
      <c r="E1079" s="6"/>
      <c r="F1079" s="7" t="n">
        <v>46062.2411939236</v>
      </c>
      <c r="G1079" s="7" t="n">
        <v>46062.2828365741</v>
      </c>
      <c r="H1079" s="8" t="n">
        <v>2</v>
      </c>
      <c r="I1079" s="5" t="n">
        <v>400763</v>
      </c>
      <c r="J1079" s="6" t="s">
        <v>974</v>
      </c>
      <c r="K1079" s="5" t="n">
        <v>153000067</v>
      </c>
      <c r="L1079" s="9" t="n">
        <v>46050</v>
      </c>
      <c r="M1079" s="10" t="n">
        <v>47875</v>
      </c>
    </row>
    <row r="1080" customFormat="false" ht="30" hidden="true" customHeight="true" outlineLevel="0" collapsed="false">
      <c r="A1080" s="4" t="s">
        <v>109</v>
      </c>
      <c r="B1080" s="4" t="s">
        <v>14</v>
      </c>
      <c r="C1080" s="5" t="n">
        <v>1329001673</v>
      </c>
      <c r="D1080" s="6" t="s">
        <v>1123</v>
      </c>
      <c r="E1080" s="6"/>
      <c r="F1080" s="7" t="n">
        <v>46062.2411939236</v>
      </c>
      <c r="G1080" s="7" t="n">
        <v>46062.2782871991</v>
      </c>
      <c r="H1080" s="8" t="n">
        <v>4</v>
      </c>
      <c r="I1080" s="5" t="n">
        <v>400763</v>
      </c>
      <c r="J1080" s="6" t="s">
        <v>974</v>
      </c>
      <c r="K1080" s="5" t="n">
        <v>153000014</v>
      </c>
      <c r="L1080" s="9" t="n">
        <v>46050</v>
      </c>
      <c r="M1080" s="10" t="n">
        <v>47875</v>
      </c>
    </row>
    <row r="1081" customFormat="false" ht="30" hidden="true" customHeight="true" outlineLevel="0" collapsed="false">
      <c r="A1081" s="4" t="s">
        <v>109</v>
      </c>
      <c r="B1081" s="4" t="s">
        <v>14</v>
      </c>
      <c r="C1081" s="5" t="n">
        <v>1329001673</v>
      </c>
      <c r="D1081" s="6" t="s">
        <v>1124</v>
      </c>
      <c r="E1081" s="6"/>
      <c r="F1081" s="7" t="n">
        <v>46062.2411939236</v>
      </c>
      <c r="G1081" s="7" t="n">
        <v>46062.2768816782</v>
      </c>
      <c r="H1081" s="8" t="n">
        <v>4</v>
      </c>
      <c r="I1081" s="5" t="n">
        <v>400763</v>
      </c>
      <c r="J1081" s="6" t="s">
        <v>974</v>
      </c>
      <c r="K1081" s="5" t="n">
        <v>153000014</v>
      </c>
      <c r="L1081" s="9" t="n">
        <v>46050</v>
      </c>
      <c r="M1081" s="10" t="n">
        <v>47875</v>
      </c>
    </row>
    <row r="1082" customFormat="false" ht="30" hidden="true" customHeight="true" outlineLevel="0" collapsed="false">
      <c r="A1082" s="4" t="s">
        <v>109</v>
      </c>
      <c r="B1082" s="4" t="s">
        <v>14</v>
      </c>
      <c r="C1082" s="5" t="n">
        <v>1329001673</v>
      </c>
      <c r="D1082" s="6" t="s">
        <v>1125</v>
      </c>
      <c r="E1082" s="6"/>
      <c r="F1082" s="7" t="n">
        <v>46062.2411939236</v>
      </c>
      <c r="G1082" s="7" t="n">
        <v>46062.2745807986</v>
      </c>
      <c r="H1082" s="8" t="n">
        <v>4</v>
      </c>
      <c r="I1082" s="5" t="n">
        <v>400763</v>
      </c>
      <c r="J1082" s="6" t="s">
        <v>974</v>
      </c>
      <c r="K1082" s="5" t="n">
        <v>153000014</v>
      </c>
      <c r="L1082" s="9" t="n">
        <v>46050</v>
      </c>
      <c r="M1082" s="10" t="n">
        <v>47875</v>
      </c>
    </row>
    <row r="1083" customFormat="false" ht="30" hidden="true" customHeight="true" outlineLevel="0" collapsed="false">
      <c r="A1083" s="4" t="s">
        <v>109</v>
      </c>
      <c r="B1083" s="4" t="s">
        <v>14</v>
      </c>
      <c r="C1083" s="5" t="n">
        <v>1329001673</v>
      </c>
      <c r="D1083" s="6" t="s">
        <v>1126</v>
      </c>
      <c r="E1083" s="6"/>
      <c r="F1083" s="7" t="n">
        <v>46062.2411939236</v>
      </c>
      <c r="G1083" s="7" t="n">
        <v>46062.2730428241</v>
      </c>
      <c r="H1083" s="8" t="n">
        <v>4</v>
      </c>
      <c r="I1083" s="5" t="n">
        <v>400763</v>
      </c>
      <c r="J1083" s="6" t="s">
        <v>974</v>
      </c>
      <c r="K1083" s="5" t="n">
        <v>153000014</v>
      </c>
      <c r="L1083" s="9" t="n">
        <v>46050</v>
      </c>
      <c r="M1083" s="10" t="n">
        <v>47875</v>
      </c>
    </row>
    <row r="1084" customFormat="false" ht="30" hidden="true" customHeight="true" outlineLevel="0" collapsed="false">
      <c r="A1084" s="4" t="s">
        <v>109</v>
      </c>
      <c r="B1084" s="4" t="s">
        <v>14</v>
      </c>
      <c r="C1084" s="5" t="n">
        <v>1329001673</v>
      </c>
      <c r="D1084" s="6" t="s">
        <v>1127</v>
      </c>
      <c r="E1084" s="6"/>
      <c r="F1084" s="7" t="n">
        <v>46062.2411939236</v>
      </c>
      <c r="G1084" s="7" t="n">
        <v>46062.2715780556</v>
      </c>
      <c r="H1084" s="8" t="n">
        <v>4</v>
      </c>
      <c r="I1084" s="5" t="n">
        <v>400514</v>
      </c>
      <c r="J1084" s="6" t="s">
        <v>16</v>
      </c>
      <c r="K1084" s="5" t="n">
        <v>100010778</v>
      </c>
      <c r="L1084" s="9" t="n">
        <v>45980</v>
      </c>
      <c r="M1084" s="10" t="n">
        <v>47805</v>
      </c>
    </row>
    <row r="1085" customFormat="false" ht="30" hidden="true" customHeight="true" outlineLevel="0" collapsed="false">
      <c r="A1085" s="4" t="s">
        <v>109</v>
      </c>
      <c r="B1085" s="4" t="s">
        <v>14</v>
      </c>
      <c r="C1085" s="5" t="n">
        <v>1329001673</v>
      </c>
      <c r="D1085" s="6" t="s">
        <v>1128</v>
      </c>
      <c r="E1085" s="6"/>
      <c r="F1085" s="7" t="n">
        <v>46062.2411939236</v>
      </c>
      <c r="G1085" s="7" t="n">
        <v>46062.2706857523</v>
      </c>
      <c r="H1085" s="8" t="n">
        <v>4</v>
      </c>
      <c r="I1085" s="5" t="n">
        <v>400763</v>
      </c>
      <c r="J1085" s="6" t="s">
        <v>974</v>
      </c>
      <c r="K1085" s="5" t="n">
        <v>153000014</v>
      </c>
      <c r="L1085" s="9" t="n">
        <v>46050</v>
      </c>
      <c r="M1085" s="10" t="n">
        <v>47875</v>
      </c>
    </row>
    <row r="1086" customFormat="false" ht="30" hidden="true" customHeight="true" outlineLevel="0" collapsed="false">
      <c r="A1086" s="4" t="s">
        <v>109</v>
      </c>
      <c r="B1086" s="4" t="s">
        <v>14</v>
      </c>
      <c r="C1086" s="5" t="n">
        <v>1329001673</v>
      </c>
      <c r="D1086" s="6" t="s">
        <v>1129</v>
      </c>
      <c r="E1086" s="6"/>
      <c r="F1086" s="7" t="n">
        <v>46062.2411939236</v>
      </c>
      <c r="G1086" s="7" t="n">
        <v>46062.2687090972</v>
      </c>
      <c r="H1086" s="8" t="n">
        <v>4</v>
      </c>
      <c r="I1086" s="5" t="n">
        <v>400514</v>
      </c>
      <c r="J1086" s="6" t="s">
        <v>16</v>
      </c>
      <c r="K1086" s="5" t="n">
        <v>100010764</v>
      </c>
      <c r="L1086" s="9" t="n">
        <v>45980</v>
      </c>
      <c r="M1086" s="10" t="n">
        <v>47805</v>
      </c>
    </row>
    <row r="1087" customFormat="false" ht="30" hidden="true" customHeight="true" outlineLevel="0" collapsed="false">
      <c r="A1087" s="4" t="s">
        <v>109</v>
      </c>
      <c r="B1087" s="4" t="s">
        <v>14</v>
      </c>
      <c r="C1087" s="5" t="n">
        <v>1329001673</v>
      </c>
      <c r="D1087" s="6" t="s">
        <v>1130</v>
      </c>
      <c r="E1087" s="6"/>
      <c r="F1087" s="7" t="n">
        <v>46062.2411939236</v>
      </c>
      <c r="G1087" s="7" t="n">
        <v>46062.2677555208</v>
      </c>
      <c r="H1087" s="8" t="n">
        <v>4</v>
      </c>
      <c r="I1087" s="5" t="n">
        <v>400763</v>
      </c>
      <c r="J1087" s="6" t="s">
        <v>974</v>
      </c>
      <c r="K1087" s="5" t="n">
        <v>153000014</v>
      </c>
      <c r="L1087" s="9" t="n">
        <v>46050</v>
      </c>
      <c r="M1087" s="10" t="n">
        <v>47875</v>
      </c>
    </row>
    <row r="1088" customFormat="false" ht="30" hidden="true" customHeight="true" outlineLevel="0" collapsed="false">
      <c r="A1088" s="4" t="s">
        <v>109</v>
      </c>
      <c r="B1088" s="4" t="s">
        <v>14</v>
      </c>
      <c r="C1088" s="5" t="n">
        <v>1329001673</v>
      </c>
      <c r="D1088" s="6" t="s">
        <v>1131</v>
      </c>
      <c r="E1088" s="6"/>
      <c r="F1088" s="7" t="n">
        <v>46062.2411939236</v>
      </c>
      <c r="G1088" s="7" t="n">
        <v>46062.2660680903</v>
      </c>
      <c r="H1088" s="8" t="n">
        <v>4</v>
      </c>
      <c r="I1088" s="5" t="n">
        <v>400514</v>
      </c>
      <c r="J1088" s="6" t="s">
        <v>16</v>
      </c>
      <c r="K1088" s="5" t="n">
        <v>100010764</v>
      </c>
      <c r="L1088" s="9" t="n">
        <v>45980</v>
      </c>
      <c r="M1088" s="10" t="n">
        <v>47805</v>
      </c>
    </row>
    <row r="1089" customFormat="false" ht="30" hidden="true" customHeight="true" outlineLevel="0" collapsed="false">
      <c r="A1089" s="4" t="s">
        <v>109</v>
      </c>
      <c r="B1089" s="4" t="s">
        <v>14</v>
      </c>
      <c r="C1089" s="5" t="n">
        <v>1329001673</v>
      </c>
      <c r="D1089" s="6" t="s">
        <v>1132</v>
      </c>
      <c r="E1089" s="6"/>
      <c r="F1089" s="7" t="n">
        <v>46062.2411939236</v>
      </c>
      <c r="G1089" s="7" t="n">
        <v>46062.265345544</v>
      </c>
      <c r="H1089" s="8" t="n">
        <v>4</v>
      </c>
      <c r="I1089" s="5" t="n">
        <v>400763</v>
      </c>
      <c r="J1089" s="6" t="s">
        <v>974</v>
      </c>
      <c r="K1089" s="5" t="n">
        <v>153000067</v>
      </c>
      <c r="L1089" s="9" t="n">
        <v>46050</v>
      </c>
      <c r="M1089" s="10" t="n">
        <v>47875</v>
      </c>
    </row>
    <row r="1090" customFormat="false" ht="30" hidden="true" customHeight="true" outlineLevel="0" collapsed="false">
      <c r="A1090" s="4" t="s">
        <v>109</v>
      </c>
      <c r="B1090" s="4" t="s">
        <v>14</v>
      </c>
      <c r="C1090" s="5" t="n">
        <v>1329001673</v>
      </c>
      <c r="D1090" s="6" t="s">
        <v>1133</v>
      </c>
      <c r="E1090" s="6"/>
      <c r="F1090" s="7" t="n">
        <v>46062.2411939236</v>
      </c>
      <c r="G1090" s="7" t="n">
        <v>46062.2648362384</v>
      </c>
      <c r="H1090" s="8" t="n">
        <v>4</v>
      </c>
      <c r="I1090" s="5" t="n">
        <v>400514</v>
      </c>
      <c r="J1090" s="6" t="s">
        <v>16</v>
      </c>
      <c r="K1090" s="5" t="n">
        <v>100010764</v>
      </c>
      <c r="L1090" s="9" t="n">
        <v>45980</v>
      </c>
      <c r="M1090" s="10" t="n">
        <v>47805</v>
      </c>
    </row>
    <row r="1091" customFormat="false" ht="30" hidden="true" customHeight="true" outlineLevel="0" collapsed="false">
      <c r="A1091" s="4" t="s">
        <v>109</v>
      </c>
      <c r="B1091" s="4" t="s">
        <v>14</v>
      </c>
      <c r="C1091" s="5" t="n">
        <v>1329001673</v>
      </c>
      <c r="D1091" s="6" t="s">
        <v>1134</v>
      </c>
      <c r="E1091" s="6"/>
      <c r="F1091" s="7" t="n">
        <v>46062.2411939236</v>
      </c>
      <c r="G1091" s="7" t="n">
        <v>46062.2639534838</v>
      </c>
      <c r="H1091" s="8" t="n">
        <v>4</v>
      </c>
      <c r="I1091" s="5" t="n">
        <v>400763</v>
      </c>
      <c r="J1091" s="6" t="s">
        <v>974</v>
      </c>
      <c r="K1091" s="5" t="n">
        <v>153000067</v>
      </c>
      <c r="L1091" s="9" t="n">
        <v>46050</v>
      </c>
      <c r="M1091" s="10" t="n">
        <v>47875</v>
      </c>
    </row>
    <row r="1092" customFormat="false" ht="30" hidden="true" customHeight="true" outlineLevel="0" collapsed="false">
      <c r="A1092" s="4" t="s">
        <v>109</v>
      </c>
      <c r="B1092" s="4" t="s">
        <v>14</v>
      </c>
      <c r="C1092" s="5" t="n">
        <v>1329001673</v>
      </c>
      <c r="D1092" s="6" t="s">
        <v>1135</v>
      </c>
      <c r="E1092" s="6"/>
      <c r="F1092" s="7" t="n">
        <v>46062.2411939236</v>
      </c>
      <c r="G1092" s="7" t="n">
        <v>46062.2633125579</v>
      </c>
      <c r="H1092" s="8" t="n">
        <v>4</v>
      </c>
      <c r="I1092" s="5" t="n">
        <v>400514</v>
      </c>
      <c r="J1092" s="6" t="s">
        <v>16</v>
      </c>
      <c r="K1092" s="5" t="n">
        <v>100010778</v>
      </c>
      <c r="L1092" s="9" t="n">
        <v>45980</v>
      </c>
      <c r="M1092" s="10" t="n">
        <v>47805</v>
      </c>
    </row>
    <row r="1093" customFormat="false" ht="30" hidden="true" customHeight="true" outlineLevel="0" collapsed="false">
      <c r="A1093" s="4" t="s">
        <v>109</v>
      </c>
      <c r="B1093" s="4" t="s">
        <v>14</v>
      </c>
      <c r="C1093" s="5" t="n">
        <v>1329001673</v>
      </c>
      <c r="D1093" s="6" t="s">
        <v>1136</v>
      </c>
      <c r="E1093" s="6"/>
      <c r="F1093" s="7" t="n">
        <v>46062.2411939236</v>
      </c>
      <c r="G1093" s="7" t="n">
        <v>46062.2627021065</v>
      </c>
      <c r="H1093" s="8" t="n">
        <v>4</v>
      </c>
      <c r="I1093" s="5" t="n">
        <v>400763</v>
      </c>
      <c r="J1093" s="6" t="s">
        <v>974</v>
      </c>
      <c r="K1093" s="5" t="n">
        <v>153000067</v>
      </c>
      <c r="L1093" s="9" t="n">
        <v>46050</v>
      </c>
      <c r="M1093" s="10" t="n">
        <v>47875</v>
      </c>
    </row>
    <row r="1094" customFormat="false" ht="30" hidden="true" customHeight="true" outlineLevel="0" collapsed="false">
      <c r="A1094" s="4" t="s">
        <v>109</v>
      </c>
      <c r="B1094" s="4" t="s">
        <v>14</v>
      </c>
      <c r="C1094" s="5" t="n">
        <v>1329001673</v>
      </c>
      <c r="D1094" s="6" t="s">
        <v>1137</v>
      </c>
      <c r="E1094" s="6"/>
      <c r="F1094" s="7" t="n">
        <v>46062.2411939236</v>
      </c>
      <c r="G1094" s="7" t="n">
        <v>46062.2614456366</v>
      </c>
      <c r="H1094" s="8" t="n">
        <v>4</v>
      </c>
      <c r="I1094" s="5" t="n">
        <v>400514</v>
      </c>
      <c r="J1094" s="6" t="s">
        <v>16</v>
      </c>
      <c r="K1094" s="5" t="n">
        <v>100010764</v>
      </c>
      <c r="L1094" s="9" t="n">
        <v>45980</v>
      </c>
      <c r="M1094" s="10" t="n">
        <v>47805</v>
      </c>
    </row>
    <row r="1095" customFormat="false" ht="30" hidden="true" customHeight="true" outlineLevel="0" collapsed="false">
      <c r="A1095" s="4" t="s">
        <v>109</v>
      </c>
      <c r="B1095" s="4" t="s">
        <v>14</v>
      </c>
      <c r="C1095" s="5" t="n">
        <v>1329001673</v>
      </c>
      <c r="D1095" s="6" t="s">
        <v>1138</v>
      </c>
      <c r="E1095" s="6"/>
      <c r="F1095" s="7" t="n">
        <v>46062.2411939236</v>
      </c>
      <c r="G1095" s="7" t="n">
        <v>46062.2600568981</v>
      </c>
      <c r="H1095" s="8" t="n">
        <v>4</v>
      </c>
      <c r="I1095" s="5" t="n">
        <v>400763</v>
      </c>
      <c r="J1095" s="6" t="s">
        <v>974</v>
      </c>
      <c r="K1095" s="5" t="n">
        <v>153000067</v>
      </c>
      <c r="L1095" s="9" t="n">
        <v>46050</v>
      </c>
      <c r="M1095" s="10" t="n">
        <v>47875</v>
      </c>
    </row>
    <row r="1096" customFormat="false" ht="30" hidden="true" customHeight="true" outlineLevel="0" collapsed="false">
      <c r="A1096" s="4" t="s">
        <v>109</v>
      </c>
      <c r="B1096" s="4" t="s">
        <v>14</v>
      </c>
      <c r="C1096" s="5" t="n">
        <v>1329001673</v>
      </c>
      <c r="D1096" s="6" t="s">
        <v>1139</v>
      </c>
      <c r="E1096" s="6"/>
      <c r="F1096" s="7" t="n">
        <v>46062.2411939236</v>
      </c>
      <c r="G1096" s="7" t="n">
        <v>46062.2592821875</v>
      </c>
      <c r="H1096" s="8" t="n">
        <v>4</v>
      </c>
      <c r="I1096" s="5" t="n">
        <v>400514</v>
      </c>
      <c r="J1096" s="6" t="s">
        <v>16</v>
      </c>
      <c r="K1096" s="5" t="n">
        <v>100010778</v>
      </c>
      <c r="L1096" s="9" t="n">
        <v>45980</v>
      </c>
      <c r="M1096" s="10" t="n">
        <v>47805</v>
      </c>
    </row>
    <row r="1097" customFormat="false" ht="30" hidden="true" customHeight="true" outlineLevel="0" collapsed="false">
      <c r="A1097" s="4" t="s">
        <v>109</v>
      </c>
      <c r="B1097" s="4" t="s">
        <v>14</v>
      </c>
      <c r="C1097" s="5" t="n">
        <v>1329001673</v>
      </c>
      <c r="D1097" s="6" t="s">
        <v>1140</v>
      </c>
      <c r="E1097" s="6"/>
      <c r="F1097" s="7" t="n">
        <v>46062.2411939236</v>
      </c>
      <c r="G1097" s="7" t="n">
        <v>46062.2584943519</v>
      </c>
      <c r="H1097" s="8" t="n">
        <v>4</v>
      </c>
      <c r="I1097" s="5" t="n">
        <v>400763</v>
      </c>
      <c r="J1097" s="6" t="s">
        <v>974</v>
      </c>
      <c r="K1097" s="5" t="n">
        <v>153000067</v>
      </c>
      <c r="L1097" s="9" t="n">
        <v>46050</v>
      </c>
      <c r="M1097" s="10" t="n">
        <v>47875</v>
      </c>
    </row>
    <row r="1098" customFormat="false" ht="30" hidden="true" customHeight="true" outlineLevel="0" collapsed="false">
      <c r="A1098" s="4" t="s">
        <v>109</v>
      </c>
      <c r="B1098" s="4" t="s">
        <v>14</v>
      </c>
      <c r="C1098" s="5" t="n">
        <v>1329001673</v>
      </c>
      <c r="D1098" s="6" t="s">
        <v>1141</v>
      </c>
      <c r="E1098" s="6"/>
      <c r="F1098" s="7" t="n">
        <v>46062.2411939236</v>
      </c>
      <c r="G1098" s="7" t="n">
        <v>46062.2572229977</v>
      </c>
      <c r="H1098" s="8" t="n">
        <v>4</v>
      </c>
      <c r="I1098" s="5" t="n">
        <v>400763</v>
      </c>
      <c r="J1098" s="6" t="s">
        <v>974</v>
      </c>
      <c r="K1098" s="5" t="n">
        <v>153000067</v>
      </c>
      <c r="L1098" s="9" t="n">
        <v>46050</v>
      </c>
      <c r="M1098" s="10" t="n">
        <v>47875</v>
      </c>
    </row>
    <row r="1099" customFormat="false" ht="30" hidden="true" customHeight="true" outlineLevel="0" collapsed="false">
      <c r="A1099" s="4" t="s">
        <v>13</v>
      </c>
      <c r="B1099" s="4" t="s">
        <v>14</v>
      </c>
      <c r="C1099" s="5" t="n">
        <v>1329001681</v>
      </c>
      <c r="D1099" s="6" t="s">
        <v>1142</v>
      </c>
      <c r="E1099" s="6"/>
      <c r="F1099" s="7" t="n">
        <v>46062.3031492593</v>
      </c>
      <c r="G1099" s="7" t="n">
        <v>46062.3328108102</v>
      </c>
      <c r="H1099" s="8" t="n">
        <v>52</v>
      </c>
      <c r="I1099" s="5" t="n">
        <v>400399</v>
      </c>
      <c r="J1099" s="6" t="s">
        <v>221</v>
      </c>
      <c r="K1099" s="5" t="n">
        <v>100010886</v>
      </c>
      <c r="L1099" s="9" t="n">
        <v>45988</v>
      </c>
      <c r="M1099" s="10" t="n">
        <v>47813</v>
      </c>
    </row>
    <row r="1100" customFormat="false" ht="30" hidden="true" customHeight="true" outlineLevel="0" collapsed="false">
      <c r="A1100" s="4" t="s">
        <v>13</v>
      </c>
      <c r="B1100" s="4" t="s">
        <v>14</v>
      </c>
      <c r="C1100" s="5" t="n">
        <v>1329001681</v>
      </c>
      <c r="D1100" s="6" t="s">
        <v>1143</v>
      </c>
      <c r="E1100" s="6"/>
      <c r="F1100" s="7" t="n">
        <v>46062.3031492593</v>
      </c>
      <c r="G1100" s="7" t="n">
        <v>46062.3336843287</v>
      </c>
      <c r="H1100" s="8" t="n">
        <v>52</v>
      </c>
      <c r="I1100" s="5" t="n">
        <v>400396</v>
      </c>
      <c r="J1100" s="6" t="s">
        <v>170</v>
      </c>
      <c r="K1100" s="5" t="n">
        <v>100011104</v>
      </c>
      <c r="L1100" s="9" t="n">
        <v>46008</v>
      </c>
      <c r="M1100" s="10" t="n">
        <v>47833</v>
      </c>
    </row>
    <row r="1101" customFormat="false" ht="30" hidden="true" customHeight="true" outlineLevel="0" collapsed="false">
      <c r="A1101" s="4" t="s">
        <v>13</v>
      </c>
      <c r="B1101" s="4" t="s">
        <v>14</v>
      </c>
      <c r="C1101" s="5" t="n">
        <v>1329001681</v>
      </c>
      <c r="D1101" s="6" t="s">
        <v>1144</v>
      </c>
      <c r="E1101" s="6"/>
      <c r="F1101" s="7" t="n">
        <v>46062.3031492593</v>
      </c>
      <c r="G1101" s="7" t="n">
        <v>46062.3297917245</v>
      </c>
      <c r="H1101" s="8" t="n">
        <v>4</v>
      </c>
      <c r="I1101" s="5" t="n">
        <v>400441</v>
      </c>
      <c r="J1101" s="6" t="s">
        <v>80</v>
      </c>
      <c r="K1101" s="5" t="n">
        <v>153000086</v>
      </c>
      <c r="L1101" s="9" t="n">
        <v>46060</v>
      </c>
      <c r="M1101" s="10" t="n">
        <v>47885</v>
      </c>
    </row>
    <row r="1102" customFormat="false" ht="30" hidden="true" customHeight="true" outlineLevel="0" collapsed="false">
      <c r="A1102" s="4" t="s">
        <v>13</v>
      </c>
      <c r="B1102" s="4" t="s">
        <v>14</v>
      </c>
      <c r="C1102" s="5" t="n">
        <v>1329001681</v>
      </c>
      <c r="D1102" s="6" t="s">
        <v>1145</v>
      </c>
      <c r="E1102" s="6"/>
      <c r="F1102" s="7" t="n">
        <v>46062.3031492593</v>
      </c>
      <c r="G1102" s="7" t="n">
        <v>46062.3365542593</v>
      </c>
      <c r="H1102" s="8" t="n">
        <v>4</v>
      </c>
      <c r="I1102" s="5" t="n">
        <v>400441</v>
      </c>
      <c r="J1102" s="6" t="s">
        <v>80</v>
      </c>
      <c r="K1102" s="5" t="n">
        <v>153000086</v>
      </c>
      <c r="L1102" s="9" t="n">
        <v>46060</v>
      </c>
      <c r="M1102" s="10" t="n">
        <v>47885</v>
      </c>
    </row>
    <row r="1103" customFormat="false" ht="30" hidden="true" customHeight="true" outlineLevel="0" collapsed="false">
      <c r="A1103" s="4" t="s">
        <v>13</v>
      </c>
      <c r="B1103" s="4" t="s">
        <v>14</v>
      </c>
      <c r="C1103" s="5" t="n">
        <v>1329001681</v>
      </c>
      <c r="D1103" s="6" t="s">
        <v>1146</v>
      </c>
      <c r="E1103" s="6"/>
      <c r="F1103" s="7" t="n">
        <v>46062.3031492593</v>
      </c>
      <c r="G1103" s="7" t="n">
        <v>46062.3363709607</v>
      </c>
      <c r="H1103" s="8" t="n">
        <v>4</v>
      </c>
      <c r="I1103" s="5" t="n">
        <v>400441</v>
      </c>
      <c r="J1103" s="6" t="s">
        <v>80</v>
      </c>
      <c r="K1103" s="5" t="n">
        <v>153000086</v>
      </c>
      <c r="L1103" s="9" t="n">
        <v>46060</v>
      </c>
      <c r="M1103" s="10" t="n">
        <v>47885</v>
      </c>
    </row>
    <row r="1104" customFormat="false" ht="30" hidden="true" customHeight="true" outlineLevel="0" collapsed="false">
      <c r="A1104" s="4" t="s">
        <v>13</v>
      </c>
      <c r="B1104" s="4" t="s">
        <v>14</v>
      </c>
      <c r="C1104" s="5" t="n">
        <v>1329001681</v>
      </c>
      <c r="D1104" s="6" t="s">
        <v>1147</v>
      </c>
      <c r="E1104" s="6"/>
      <c r="F1104" s="7" t="n">
        <v>46062.3031492593</v>
      </c>
      <c r="G1104" s="7" t="n">
        <v>46062.3361821412</v>
      </c>
      <c r="H1104" s="8" t="n">
        <v>4</v>
      </c>
      <c r="I1104" s="5" t="n">
        <v>400441</v>
      </c>
      <c r="J1104" s="6" t="s">
        <v>80</v>
      </c>
      <c r="K1104" s="5" t="n">
        <v>153000086</v>
      </c>
      <c r="L1104" s="9" t="n">
        <v>46060</v>
      </c>
      <c r="M1104" s="10" t="n">
        <v>47885</v>
      </c>
    </row>
    <row r="1105" customFormat="false" ht="30" hidden="true" customHeight="true" outlineLevel="0" collapsed="false">
      <c r="A1105" s="4" t="s">
        <v>13</v>
      </c>
      <c r="B1105" s="4" t="s">
        <v>14</v>
      </c>
      <c r="C1105" s="5" t="n">
        <v>1329001681</v>
      </c>
      <c r="D1105" s="6" t="s">
        <v>1148</v>
      </c>
      <c r="E1105" s="6"/>
      <c r="F1105" s="7" t="n">
        <v>46062.3031492593</v>
      </c>
      <c r="G1105" s="7" t="n">
        <v>46062.3356927662</v>
      </c>
      <c r="H1105" s="8" t="n">
        <v>4</v>
      </c>
      <c r="I1105" s="5" t="n">
        <v>400441</v>
      </c>
      <c r="J1105" s="6" t="s">
        <v>80</v>
      </c>
      <c r="K1105" s="5" t="n">
        <v>153000086</v>
      </c>
      <c r="L1105" s="9" t="n">
        <v>46060</v>
      </c>
      <c r="M1105" s="10" t="n">
        <v>47885</v>
      </c>
    </row>
    <row r="1106" customFormat="false" ht="30" hidden="true" customHeight="true" outlineLevel="0" collapsed="false">
      <c r="A1106" s="4" t="s">
        <v>13</v>
      </c>
      <c r="B1106" s="4" t="s">
        <v>14</v>
      </c>
      <c r="C1106" s="5" t="n">
        <v>1329001681</v>
      </c>
      <c r="D1106" s="6" t="s">
        <v>1149</v>
      </c>
      <c r="E1106" s="6"/>
      <c r="F1106" s="7" t="n">
        <v>46062.3031492593</v>
      </c>
      <c r="G1106" s="7" t="n">
        <v>46062.3355365278</v>
      </c>
      <c r="H1106" s="8" t="n">
        <v>4</v>
      </c>
      <c r="I1106" s="5" t="n">
        <v>400441</v>
      </c>
      <c r="J1106" s="6" t="s">
        <v>80</v>
      </c>
      <c r="K1106" s="5" t="n">
        <v>153000086</v>
      </c>
      <c r="L1106" s="9" t="n">
        <v>46060</v>
      </c>
      <c r="M1106" s="10" t="n">
        <v>47885</v>
      </c>
    </row>
    <row r="1107" customFormat="false" ht="30" hidden="true" customHeight="true" outlineLevel="0" collapsed="false">
      <c r="A1107" s="4" t="s">
        <v>13</v>
      </c>
      <c r="B1107" s="4" t="s">
        <v>14</v>
      </c>
      <c r="C1107" s="5" t="n">
        <v>1329001681</v>
      </c>
      <c r="D1107" s="6" t="s">
        <v>1150</v>
      </c>
      <c r="E1107" s="6"/>
      <c r="F1107" s="7" t="n">
        <v>46062.3031492593</v>
      </c>
      <c r="G1107" s="7" t="n">
        <v>46062.3351472222</v>
      </c>
      <c r="H1107" s="8" t="n">
        <v>4</v>
      </c>
      <c r="I1107" s="5" t="n">
        <v>400441</v>
      </c>
      <c r="J1107" s="6" t="s">
        <v>80</v>
      </c>
      <c r="K1107" s="5" t="n">
        <v>153000086</v>
      </c>
      <c r="L1107" s="9" t="n">
        <v>46060</v>
      </c>
      <c r="M1107" s="10" t="n">
        <v>47885</v>
      </c>
    </row>
    <row r="1108" customFormat="false" ht="30" hidden="true" customHeight="true" outlineLevel="0" collapsed="false">
      <c r="A1108" s="4" t="s">
        <v>13</v>
      </c>
      <c r="B1108" s="4" t="s">
        <v>14</v>
      </c>
      <c r="C1108" s="5" t="n">
        <v>1329001681</v>
      </c>
      <c r="D1108" s="6" t="s">
        <v>1151</v>
      </c>
      <c r="E1108" s="6"/>
      <c r="F1108" s="7" t="n">
        <v>46062.3031492593</v>
      </c>
      <c r="G1108" s="7" t="n">
        <v>46062.3350413773</v>
      </c>
      <c r="H1108" s="8" t="n">
        <v>4</v>
      </c>
      <c r="I1108" s="5" t="n">
        <v>400441</v>
      </c>
      <c r="J1108" s="6" t="s">
        <v>80</v>
      </c>
      <c r="K1108" s="5" t="n">
        <v>153000086</v>
      </c>
      <c r="L1108" s="9" t="n">
        <v>46060</v>
      </c>
      <c r="M1108" s="10" t="n">
        <v>47885</v>
      </c>
    </row>
    <row r="1109" customFormat="false" ht="30" hidden="true" customHeight="true" outlineLevel="0" collapsed="false">
      <c r="A1109" s="4" t="s">
        <v>13</v>
      </c>
      <c r="B1109" s="4" t="s">
        <v>14</v>
      </c>
      <c r="C1109" s="5" t="n">
        <v>1329001681</v>
      </c>
      <c r="D1109" s="6" t="s">
        <v>1152</v>
      </c>
      <c r="E1109" s="6"/>
      <c r="F1109" s="7" t="n">
        <v>46062.3031492593</v>
      </c>
      <c r="G1109" s="7" t="n">
        <v>46062.3348896759</v>
      </c>
      <c r="H1109" s="8" t="n">
        <v>4</v>
      </c>
      <c r="I1109" s="5" t="n">
        <v>400441</v>
      </c>
      <c r="J1109" s="6" t="s">
        <v>80</v>
      </c>
      <c r="K1109" s="5" t="n">
        <v>153000086</v>
      </c>
      <c r="L1109" s="9" t="n">
        <v>46060</v>
      </c>
      <c r="M1109" s="10" t="n">
        <v>47885</v>
      </c>
    </row>
    <row r="1110" customFormat="false" ht="30" hidden="true" customHeight="true" outlineLevel="0" collapsed="false">
      <c r="A1110" s="4" t="s">
        <v>13</v>
      </c>
      <c r="B1110" s="4" t="s">
        <v>14</v>
      </c>
      <c r="C1110" s="5" t="n">
        <v>1329001681</v>
      </c>
      <c r="D1110" s="6" t="s">
        <v>1153</v>
      </c>
      <c r="E1110" s="6"/>
      <c r="F1110" s="7" t="n">
        <v>46062.3031492593</v>
      </c>
      <c r="G1110" s="7" t="n">
        <v>46062.3346608218</v>
      </c>
      <c r="H1110" s="8" t="n">
        <v>4</v>
      </c>
      <c r="I1110" s="5" t="n">
        <v>400441</v>
      </c>
      <c r="J1110" s="6" t="s">
        <v>80</v>
      </c>
      <c r="K1110" s="5" t="n">
        <v>153000086</v>
      </c>
      <c r="L1110" s="9" t="n">
        <v>46060</v>
      </c>
      <c r="M1110" s="10" t="n">
        <v>47885</v>
      </c>
    </row>
    <row r="1111" customFormat="false" ht="30" hidden="true" customHeight="true" outlineLevel="0" collapsed="false">
      <c r="A1111" s="4" t="s">
        <v>13</v>
      </c>
      <c r="B1111" s="4" t="s">
        <v>14</v>
      </c>
      <c r="C1111" s="5" t="n">
        <v>1329001681</v>
      </c>
      <c r="D1111" s="6" t="s">
        <v>1154</v>
      </c>
      <c r="E1111" s="6"/>
      <c r="F1111" s="7" t="n">
        <v>46062.3031492593</v>
      </c>
      <c r="G1111" s="7" t="n">
        <v>46062.3353454861</v>
      </c>
      <c r="H1111" s="8" t="n">
        <v>4</v>
      </c>
      <c r="I1111" s="5" t="n">
        <v>401047</v>
      </c>
      <c r="J1111" s="6" t="s">
        <v>594</v>
      </c>
      <c r="K1111" s="5" t="n">
        <v>153000041</v>
      </c>
      <c r="L1111" s="9" t="n">
        <v>46042</v>
      </c>
      <c r="M1111" s="10" t="n">
        <v>47867</v>
      </c>
    </row>
    <row r="1112" customFormat="false" ht="30" hidden="true" customHeight="true" outlineLevel="0" collapsed="false">
      <c r="A1112" s="4" t="s">
        <v>13</v>
      </c>
      <c r="B1112" s="4" t="s">
        <v>14</v>
      </c>
      <c r="C1112" s="5" t="n">
        <v>1329001681</v>
      </c>
      <c r="D1112" s="6" t="s">
        <v>1155</v>
      </c>
      <c r="E1112" s="6"/>
      <c r="F1112" s="7" t="n">
        <v>46062.3031492593</v>
      </c>
      <c r="G1112" s="7" t="n">
        <v>46062.3325249306</v>
      </c>
      <c r="H1112" s="8" t="n">
        <v>4</v>
      </c>
      <c r="I1112" s="5" t="n">
        <v>401047</v>
      </c>
      <c r="J1112" s="6" t="s">
        <v>594</v>
      </c>
      <c r="K1112" s="5" t="n">
        <v>153000041</v>
      </c>
      <c r="L1112" s="9" t="n">
        <v>46042</v>
      </c>
      <c r="M1112" s="10" t="n">
        <v>47867</v>
      </c>
    </row>
    <row r="1113" customFormat="false" ht="30" hidden="true" customHeight="true" outlineLevel="0" collapsed="false">
      <c r="A1113" s="4" t="s">
        <v>13</v>
      </c>
      <c r="B1113" s="4" t="s">
        <v>14</v>
      </c>
      <c r="C1113" s="5" t="n">
        <v>1329001681</v>
      </c>
      <c r="D1113" s="6" t="s">
        <v>1156</v>
      </c>
      <c r="E1113" s="6"/>
      <c r="F1113" s="7" t="n">
        <v>46062.3031492593</v>
      </c>
      <c r="G1113" s="7" t="n">
        <v>46062.3323727315</v>
      </c>
      <c r="H1113" s="8" t="n">
        <v>4</v>
      </c>
      <c r="I1113" s="5" t="n">
        <v>401047</v>
      </c>
      <c r="J1113" s="6" t="s">
        <v>594</v>
      </c>
      <c r="K1113" s="5" t="n">
        <v>153000041</v>
      </c>
      <c r="L1113" s="9" t="n">
        <v>46042</v>
      </c>
      <c r="M1113" s="10" t="n">
        <v>47867</v>
      </c>
    </row>
    <row r="1114" customFormat="false" ht="30" hidden="true" customHeight="true" outlineLevel="0" collapsed="false">
      <c r="A1114" s="4" t="s">
        <v>13</v>
      </c>
      <c r="B1114" s="4" t="s">
        <v>14</v>
      </c>
      <c r="C1114" s="5" t="n">
        <v>1329001681</v>
      </c>
      <c r="D1114" s="6" t="s">
        <v>1157</v>
      </c>
      <c r="E1114" s="6"/>
      <c r="F1114" s="7" t="n">
        <v>46062.3031492593</v>
      </c>
      <c r="G1114" s="7" t="n">
        <v>46062.3313644329</v>
      </c>
      <c r="H1114" s="8" t="n">
        <v>4</v>
      </c>
      <c r="I1114" s="5" t="n">
        <v>401047</v>
      </c>
      <c r="J1114" s="6" t="s">
        <v>594</v>
      </c>
      <c r="K1114" s="5" t="n">
        <v>153000041</v>
      </c>
      <c r="L1114" s="9" t="n">
        <v>46042</v>
      </c>
      <c r="M1114" s="10" t="n">
        <v>47867</v>
      </c>
    </row>
    <row r="1115" customFormat="false" ht="30" hidden="true" customHeight="true" outlineLevel="0" collapsed="false">
      <c r="A1115" s="4" t="s">
        <v>13</v>
      </c>
      <c r="B1115" s="4" t="s">
        <v>14</v>
      </c>
      <c r="C1115" s="5" t="n">
        <v>1329001681</v>
      </c>
      <c r="D1115" s="6" t="s">
        <v>1158</v>
      </c>
      <c r="E1115" s="6"/>
      <c r="F1115" s="7" t="n">
        <v>46062.3031492593</v>
      </c>
      <c r="G1115" s="7" t="n">
        <v>46062.3344485764</v>
      </c>
      <c r="H1115" s="8" t="n">
        <v>4</v>
      </c>
      <c r="I1115" s="5" t="n">
        <v>400441</v>
      </c>
      <c r="J1115" s="6" t="s">
        <v>80</v>
      </c>
      <c r="K1115" s="5" t="n">
        <v>153000086</v>
      </c>
      <c r="L1115" s="9" t="n">
        <v>46060</v>
      </c>
      <c r="M1115" s="10" t="n">
        <v>47885</v>
      </c>
    </row>
    <row r="1116" customFormat="false" ht="30" hidden="true" customHeight="true" outlineLevel="0" collapsed="false">
      <c r="A1116" s="4" t="s">
        <v>13</v>
      </c>
      <c r="B1116" s="4" t="s">
        <v>14</v>
      </c>
      <c r="C1116" s="5" t="n">
        <v>1329001681</v>
      </c>
      <c r="D1116" s="6" t="s">
        <v>1159</v>
      </c>
      <c r="E1116" s="6"/>
      <c r="F1116" s="7" t="n">
        <v>46062.3031492593</v>
      </c>
      <c r="G1116" s="7" t="n">
        <v>46062.3304506134</v>
      </c>
      <c r="H1116" s="8" t="n">
        <v>4</v>
      </c>
      <c r="I1116" s="5" t="n">
        <v>400441</v>
      </c>
      <c r="J1116" s="6" t="s">
        <v>80</v>
      </c>
      <c r="K1116" s="5" t="n">
        <v>153000086</v>
      </c>
      <c r="L1116" s="9" t="n">
        <v>46060</v>
      </c>
      <c r="M1116" s="10" t="n">
        <v>47885</v>
      </c>
    </row>
    <row r="1117" customFormat="false" ht="30" hidden="true" customHeight="true" outlineLevel="0" collapsed="false">
      <c r="A1117" s="4" t="s">
        <v>13</v>
      </c>
      <c r="B1117" s="4" t="s">
        <v>14</v>
      </c>
      <c r="C1117" s="5" t="n">
        <v>1329001681</v>
      </c>
      <c r="D1117" s="6" t="s">
        <v>1160</v>
      </c>
      <c r="E1117" s="6"/>
      <c r="F1117" s="7" t="n">
        <v>46062.3031492593</v>
      </c>
      <c r="G1117" s="7" t="n">
        <v>46062.3308430671</v>
      </c>
      <c r="H1117" s="8" t="n">
        <v>4</v>
      </c>
      <c r="I1117" s="5" t="n">
        <v>401047</v>
      </c>
      <c r="J1117" s="6" t="s">
        <v>594</v>
      </c>
      <c r="K1117" s="5" t="n">
        <v>153000041</v>
      </c>
      <c r="L1117" s="9" t="n">
        <v>46042</v>
      </c>
      <c r="M1117" s="10" t="n">
        <v>47867</v>
      </c>
    </row>
    <row r="1118" customFormat="false" ht="30" hidden="true" customHeight="true" outlineLevel="0" collapsed="false">
      <c r="A1118" s="4" t="s">
        <v>13</v>
      </c>
      <c r="B1118" s="4" t="s">
        <v>14</v>
      </c>
      <c r="C1118" s="11" t="s">
        <v>1161</v>
      </c>
      <c r="D1118" s="6" t="s">
        <v>1162</v>
      </c>
      <c r="E1118" s="6"/>
      <c r="F1118" s="7" t="n">
        <v>46062.5341127894</v>
      </c>
      <c r="G1118" s="7" t="n">
        <v>46063.2659888889</v>
      </c>
      <c r="H1118" s="8" t="n">
        <v>1</v>
      </c>
      <c r="I1118" s="5" t="n">
        <v>401047</v>
      </c>
      <c r="J1118" s="6" t="s">
        <v>594</v>
      </c>
      <c r="K1118" s="5" t="n">
        <v>153000041</v>
      </c>
      <c r="L1118" s="9" t="n">
        <v>46042</v>
      </c>
      <c r="M1118" s="10" t="n">
        <v>47867</v>
      </c>
    </row>
    <row r="1119" customFormat="false" ht="30" hidden="true" customHeight="true" outlineLevel="0" collapsed="false">
      <c r="A1119" s="4" t="s">
        <v>13</v>
      </c>
      <c r="B1119" s="4" t="s">
        <v>14</v>
      </c>
      <c r="C1119" s="11" t="s">
        <v>1161</v>
      </c>
      <c r="D1119" s="6" t="s">
        <v>1163</v>
      </c>
      <c r="E1119" s="6"/>
      <c r="F1119" s="7" t="n">
        <v>46062.5341127894</v>
      </c>
      <c r="G1119" s="7" t="n">
        <v>46063.2655715394</v>
      </c>
      <c r="H1119" s="8" t="n">
        <v>4</v>
      </c>
      <c r="I1119" s="5" t="n">
        <v>401047</v>
      </c>
      <c r="J1119" s="6" t="s">
        <v>594</v>
      </c>
      <c r="K1119" s="5" t="n">
        <v>153000041</v>
      </c>
      <c r="L1119" s="9" t="n">
        <v>46042</v>
      </c>
      <c r="M1119" s="10" t="n">
        <v>47867</v>
      </c>
    </row>
    <row r="1120" customFormat="false" ht="30" hidden="true" customHeight="true" outlineLevel="0" collapsed="false">
      <c r="A1120" s="4" t="s">
        <v>13</v>
      </c>
      <c r="B1120" s="4" t="s">
        <v>14</v>
      </c>
      <c r="C1120" s="5" t="n">
        <v>1329001682</v>
      </c>
      <c r="D1120" s="6" t="s">
        <v>1164</v>
      </c>
      <c r="E1120" s="6"/>
      <c r="F1120" s="7" t="n">
        <v>46063.278581956</v>
      </c>
      <c r="G1120" s="7" t="n">
        <v>46063.341540081</v>
      </c>
      <c r="H1120" s="8" t="n">
        <v>4</v>
      </c>
      <c r="I1120" s="5" t="n">
        <v>400441</v>
      </c>
      <c r="J1120" s="6" t="s">
        <v>80</v>
      </c>
      <c r="K1120" s="5" t="n">
        <v>153000086</v>
      </c>
      <c r="L1120" s="9" t="n">
        <v>46060</v>
      </c>
      <c r="M1120" s="10" t="n">
        <v>47885</v>
      </c>
    </row>
    <row r="1121" customFormat="false" ht="30" hidden="true" customHeight="true" outlineLevel="0" collapsed="false">
      <c r="A1121" s="4" t="s">
        <v>13</v>
      </c>
      <c r="B1121" s="4" t="s">
        <v>14</v>
      </c>
      <c r="C1121" s="5" t="n">
        <v>1329001682</v>
      </c>
      <c r="D1121" s="6" t="s">
        <v>1165</v>
      </c>
      <c r="E1121" s="6"/>
      <c r="F1121" s="7" t="n">
        <v>46063.278581956</v>
      </c>
      <c r="G1121" s="7" t="n">
        <v>46063.3534495139</v>
      </c>
      <c r="H1121" s="8" t="n">
        <v>24</v>
      </c>
      <c r="I1121" s="5" t="n">
        <v>400919</v>
      </c>
      <c r="J1121" s="6" t="s">
        <v>420</v>
      </c>
      <c r="K1121" s="5" t="n">
        <v>100011193</v>
      </c>
      <c r="L1121" s="9"/>
      <c r="M1121" s="10" t="n">
        <v>47841</v>
      </c>
    </row>
    <row r="1122" customFormat="false" ht="30" hidden="true" customHeight="true" outlineLevel="0" collapsed="false">
      <c r="A1122" s="4" t="s">
        <v>13</v>
      </c>
      <c r="B1122" s="4" t="s">
        <v>14</v>
      </c>
      <c r="C1122" s="5" t="n">
        <v>1329001682</v>
      </c>
      <c r="D1122" s="6" t="s">
        <v>1166</v>
      </c>
      <c r="E1122" s="6"/>
      <c r="F1122" s="7" t="n">
        <v>46063.278581956</v>
      </c>
      <c r="G1122" s="7" t="n">
        <v>46063.3494354051</v>
      </c>
      <c r="H1122" s="8" t="n">
        <v>24</v>
      </c>
      <c r="I1122" s="5" t="n">
        <v>400413</v>
      </c>
      <c r="J1122" s="6" t="s">
        <v>168</v>
      </c>
      <c r="K1122" s="5" t="n">
        <v>100010992</v>
      </c>
      <c r="L1122" s="9" t="n">
        <v>45999</v>
      </c>
      <c r="M1122" s="10" t="n">
        <v>47824</v>
      </c>
    </row>
    <row r="1123" customFormat="false" ht="30" hidden="true" customHeight="true" outlineLevel="0" collapsed="false">
      <c r="A1123" s="4" t="s">
        <v>13</v>
      </c>
      <c r="B1123" s="4" t="s">
        <v>14</v>
      </c>
      <c r="C1123" s="5" t="n">
        <v>1329001682</v>
      </c>
      <c r="D1123" s="6" t="s">
        <v>1167</v>
      </c>
      <c r="E1123" s="6"/>
      <c r="F1123" s="7" t="n">
        <v>46063.278581956</v>
      </c>
      <c r="G1123" s="7" t="n">
        <v>46063.3429768519</v>
      </c>
      <c r="H1123" s="8" t="n">
        <v>4</v>
      </c>
      <c r="I1123" s="5" t="n">
        <v>400398</v>
      </c>
      <c r="J1123" s="6" t="s">
        <v>1094</v>
      </c>
      <c r="K1123" s="5" t="n">
        <v>100011196</v>
      </c>
      <c r="L1123" s="9" t="n">
        <v>46016</v>
      </c>
      <c r="M1123" s="10" t="n">
        <v>47841</v>
      </c>
    </row>
    <row r="1124" customFormat="false" ht="30" hidden="true" customHeight="true" outlineLevel="0" collapsed="false">
      <c r="A1124" s="4" t="s">
        <v>13</v>
      </c>
      <c r="B1124" s="4" t="s">
        <v>14</v>
      </c>
      <c r="C1124" s="5" t="n">
        <v>1329001682</v>
      </c>
      <c r="D1124" s="6" t="s">
        <v>1168</v>
      </c>
      <c r="E1124" s="6"/>
      <c r="F1124" s="7" t="n">
        <v>46063.278581956</v>
      </c>
      <c r="G1124" s="7" t="n">
        <v>46063.3537337153</v>
      </c>
      <c r="H1124" s="8" t="n">
        <v>24</v>
      </c>
      <c r="I1124" s="5" t="n">
        <v>400919</v>
      </c>
      <c r="J1124" s="6" t="s">
        <v>420</v>
      </c>
      <c r="K1124" s="5" t="n">
        <v>100011193</v>
      </c>
      <c r="L1124" s="9" t="n">
        <v>46016</v>
      </c>
      <c r="M1124" s="10" t="n">
        <v>47841</v>
      </c>
    </row>
    <row r="1125" customFormat="false" ht="30" hidden="true" customHeight="true" outlineLevel="0" collapsed="false">
      <c r="A1125" s="4" t="s">
        <v>13</v>
      </c>
      <c r="B1125" s="4" t="s">
        <v>14</v>
      </c>
      <c r="C1125" s="5" t="n">
        <v>1329001682</v>
      </c>
      <c r="D1125" s="6" t="s">
        <v>1169</v>
      </c>
      <c r="E1125" s="6"/>
      <c r="F1125" s="7" t="n">
        <v>46063.278581956</v>
      </c>
      <c r="G1125" s="7" t="n">
        <v>46063.3532230093</v>
      </c>
      <c r="H1125" s="8" t="n">
        <v>24</v>
      </c>
      <c r="I1125" s="5" t="n">
        <v>400919</v>
      </c>
      <c r="J1125" s="6" t="s">
        <v>420</v>
      </c>
      <c r="K1125" s="5" t="n">
        <v>100011193</v>
      </c>
      <c r="L1125" s="9" t="n">
        <v>46016</v>
      </c>
      <c r="M1125" s="10" t="n">
        <v>47841</v>
      </c>
    </row>
    <row r="1126" customFormat="false" ht="30" hidden="true" customHeight="true" outlineLevel="0" collapsed="false">
      <c r="A1126" s="4" t="s">
        <v>13</v>
      </c>
      <c r="B1126" s="4" t="s">
        <v>14</v>
      </c>
      <c r="C1126" s="5" t="n">
        <v>1329001682</v>
      </c>
      <c r="D1126" s="6" t="s">
        <v>1170</v>
      </c>
      <c r="E1126" s="6"/>
      <c r="F1126" s="7" t="n">
        <v>46063.278581956</v>
      </c>
      <c r="G1126" s="7" t="n">
        <v>46063.3530129977</v>
      </c>
      <c r="H1126" s="8" t="n">
        <v>24</v>
      </c>
      <c r="I1126" s="5" t="n">
        <v>400919</v>
      </c>
      <c r="J1126" s="6" t="s">
        <v>420</v>
      </c>
      <c r="K1126" s="5" t="n">
        <v>100011193</v>
      </c>
      <c r="L1126" s="9" t="n">
        <v>46016</v>
      </c>
      <c r="M1126" s="10" t="n">
        <v>47841</v>
      </c>
    </row>
    <row r="1127" customFormat="false" ht="30" hidden="true" customHeight="true" outlineLevel="0" collapsed="false">
      <c r="A1127" s="4" t="s">
        <v>13</v>
      </c>
      <c r="B1127" s="4" t="s">
        <v>14</v>
      </c>
      <c r="C1127" s="5" t="n">
        <v>1329001682</v>
      </c>
      <c r="D1127" s="6" t="s">
        <v>1171</v>
      </c>
      <c r="E1127" s="6"/>
      <c r="F1127" s="7" t="n">
        <v>46063.278581956</v>
      </c>
      <c r="G1127" s="7" t="n">
        <v>46063.3516989699</v>
      </c>
      <c r="H1127" s="8" t="n">
        <v>24</v>
      </c>
      <c r="I1127" s="5" t="n">
        <v>400413</v>
      </c>
      <c r="J1127" s="6" t="s">
        <v>168</v>
      </c>
      <c r="K1127" s="5" t="n">
        <v>100010992</v>
      </c>
      <c r="L1127" s="9" t="n">
        <v>45999</v>
      </c>
      <c r="M1127" s="10" t="n">
        <v>47824</v>
      </c>
    </row>
    <row r="1128" customFormat="false" ht="30" hidden="true" customHeight="true" outlineLevel="0" collapsed="false">
      <c r="A1128" s="4" t="s">
        <v>13</v>
      </c>
      <c r="B1128" s="4" t="s">
        <v>14</v>
      </c>
      <c r="C1128" s="5" t="n">
        <v>1329001682</v>
      </c>
      <c r="D1128" s="6" t="s">
        <v>1172</v>
      </c>
      <c r="E1128" s="6"/>
      <c r="F1128" s="7" t="n">
        <v>46063.278581956</v>
      </c>
      <c r="G1128" s="7" t="n">
        <v>46063.3515739815</v>
      </c>
      <c r="H1128" s="8" t="n">
        <v>24</v>
      </c>
      <c r="I1128" s="5" t="n">
        <v>400413</v>
      </c>
      <c r="J1128" s="6" t="s">
        <v>168</v>
      </c>
      <c r="K1128" s="5" t="n">
        <v>100011005</v>
      </c>
      <c r="L1128" s="9" t="n">
        <v>45998</v>
      </c>
      <c r="M1128" s="10" t="n">
        <v>47823</v>
      </c>
    </row>
    <row r="1129" customFormat="false" ht="30" hidden="true" customHeight="true" outlineLevel="0" collapsed="false">
      <c r="A1129" s="4" t="s">
        <v>13</v>
      </c>
      <c r="B1129" s="4" t="s">
        <v>14</v>
      </c>
      <c r="C1129" s="5" t="n">
        <v>1329001682</v>
      </c>
      <c r="D1129" s="6" t="s">
        <v>1173</v>
      </c>
      <c r="E1129" s="6"/>
      <c r="F1129" s="7" t="n">
        <v>46063.278581956</v>
      </c>
      <c r="G1129" s="7" t="n">
        <v>46063.3514604514</v>
      </c>
      <c r="H1129" s="8" t="n">
        <v>24</v>
      </c>
      <c r="I1129" s="5" t="n">
        <v>400413</v>
      </c>
      <c r="J1129" s="6" t="s">
        <v>168</v>
      </c>
      <c r="K1129" s="5" t="n">
        <v>100011005</v>
      </c>
      <c r="L1129" s="9" t="n">
        <v>45998</v>
      </c>
      <c r="M1129" s="10" t="n">
        <v>47823</v>
      </c>
    </row>
    <row r="1130" customFormat="false" ht="30" hidden="true" customHeight="true" outlineLevel="0" collapsed="false">
      <c r="A1130" s="4" t="s">
        <v>13</v>
      </c>
      <c r="B1130" s="4" t="s">
        <v>14</v>
      </c>
      <c r="C1130" s="5" t="n">
        <v>1329001682</v>
      </c>
      <c r="D1130" s="6" t="s">
        <v>1174</v>
      </c>
      <c r="E1130" s="6"/>
      <c r="F1130" s="7" t="n">
        <v>46063.278581956</v>
      </c>
      <c r="G1130" s="7" t="n">
        <v>46063.3512123727</v>
      </c>
      <c r="H1130" s="8" t="n">
        <v>24</v>
      </c>
      <c r="I1130" s="5" t="n">
        <v>400413</v>
      </c>
      <c r="J1130" s="6" t="s">
        <v>168</v>
      </c>
      <c r="K1130" s="5" t="n">
        <v>100011005</v>
      </c>
      <c r="L1130" s="9" t="n">
        <v>45998</v>
      </c>
      <c r="M1130" s="10" t="n">
        <v>47823</v>
      </c>
    </row>
    <row r="1131" customFormat="false" ht="30" hidden="true" customHeight="true" outlineLevel="0" collapsed="false">
      <c r="A1131" s="4" t="s">
        <v>13</v>
      </c>
      <c r="B1131" s="4" t="s">
        <v>14</v>
      </c>
      <c r="C1131" s="5" t="n">
        <v>1329001682</v>
      </c>
      <c r="D1131" s="6" t="s">
        <v>1175</v>
      </c>
      <c r="E1131" s="6"/>
      <c r="F1131" s="7" t="n">
        <v>46063.278581956</v>
      </c>
      <c r="G1131" s="7" t="n">
        <v>46063.3511037731</v>
      </c>
      <c r="H1131" s="8" t="n">
        <v>24</v>
      </c>
      <c r="I1131" s="5" t="n">
        <v>400413</v>
      </c>
      <c r="J1131" s="6" t="s">
        <v>168</v>
      </c>
      <c r="K1131" s="5" t="n">
        <v>100011005</v>
      </c>
      <c r="L1131" s="9" t="n">
        <v>45998</v>
      </c>
      <c r="M1131" s="10" t="n">
        <v>47823</v>
      </c>
    </row>
    <row r="1132" customFormat="false" ht="30" hidden="true" customHeight="true" outlineLevel="0" collapsed="false">
      <c r="A1132" s="4" t="s">
        <v>13</v>
      </c>
      <c r="B1132" s="4" t="s">
        <v>14</v>
      </c>
      <c r="C1132" s="5" t="n">
        <v>1329001682</v>
      </c>
      <c r="D1132" s="6" t="s">
        <v>1176</v>
      </c>
      <c r="E1132" s="6"/>
      <c r="F1132" s="7" t="n">
        <v>46063.278581956</v>
      </c>
      <c r="G1132" s="7" t="n">
        <v>46063.35095875</v>
      </c>
      <c r="H1132" s="8" t="n">
        <v>24</v>
      </c>
      <c r="I1132" s="5" t="n">
        <v>400413</v>
      </c>
      <c r="J1132" s="6" t="s">
        <v>168</v>
      </c>
      <c r="K1132" s="5" t="n">
        <v>100011005</v>
      </c>
      <c r="L1132" s="9" t="n">
        <v>45998</v>
      </c>
      <c r="M1132" s="10" t="n">
        <v>47823</v>
      </c>
    </row>
    <row r="1133" customFormat="false" ht="30" hidden="true" customHeight="true" outlineLevel="0" collapsed="false">
      <c r="A1133" s="4" t="s">
        <v>13</v>
      </c>
      <c r="B1133" s="4" t="s">
        <v>14</v>
      </c>
      <c r="C1133" s="5" t="n">
        <v>1329001682</v>
      </c>
      <c r="D1133" s="6" t="s">
        <v>1177</v>
      </c>
      <c r="E1133" s="6"/>
      <c r="F1133" s="7" t="n">
        <v>46063.278581956</v>
      </c>
      <c r="G1133" s="7" t="n">
        <v>46063.3503240509</v>
      </c>
      <c r="H1133" s="8" t="n">
        <v>24</v>
      </c>
      <c r="I1133" s="5" t="n">
        <v>400413</v>
      </c>
      <c r="J1133" s="6" t="s">
        <v>168</v>
      </c>
      <c r="K1133" s="5" t="n">
        <v>100011005</v>
      </c>
      <c r="L1133" s="9" t="n">
        <v>45998</v>
      </c>
      <c r="M1133" s="10" t="n">
        <v>47823</v>
      </c>
    </row>
    <row r="1134" customFormat="false" ht="30" hidden="true" customHeight="true" outlineLevel="0" collapsed="false">
      <c r="A1134" s="4" t="s">
        <v>13</v>
      </c>
      <c r="B1134" s="4" t="s">
        <v>14</v>
      </c>
      <c r="C1134" s="5" t="n">
        <v>1329001682</v>
      </c>
      <c r="D1134" s="6" t="s">
        <v>1178</v>
      </c>
      <c r="E1134" s="6"/>
      <c r="F1134" s="7" t="n">
        <v>46063.278581956</v>
      </c>
      <c r="G1134" s="7" t="n">
        <v>46063.3464156019</v>
      </c>
      <c r="H1134" s="8" t="n">
        <v>4</v>
      </c>
      <c r="I1134" s="5" t="n">
        <v>400398</v>
      </c>
      <c r="J1134" s="6" t="s">
        <v>1094</v>
      </c>
      <c r="K1134" s="5" t="n">
        <v>100011196</v>
      </c>
      <c r="L1134" s="9" t="n">
        <v>46016</v>
      </c>
      <c r="M1134" s="10" t="n">
        <v>47841</v>
      </c>
    </row>
    <row r="1135" customFormat="false" ht="30" hidden="true" customHeight="true" outlineLevel="0" collapsed="false">
      <c r="A1135" s="4" t="s">
        <v>13</v>
      </c>
      <c r="B1135" s="4" t="s">
        <v>14</v>
      </c>
      <c r="C1135" s="5" t="n">
        <v>1329001682</v>
      </c>
      <c r="D1135" s="6" t="s">
        <v>1179</v>
      </c>
      <c r="E1135" s="6"/>
      <c r="F1135" s="7" t="n">
        <v>46063.278581956</v>
      </c>
      <c r="G1135" s="7" t="n">
        <v>46063.3459221296</v>
      </c>
      <c r="H1135" s="8" t="n">
        <v>4</v>
      </c>
      <c r="I1135" s="5" t="n">
        <v>400441</v>
      </c>
      <c r="J1135" s="6" t="s">
        <v>80</v>
      </c>
      <c r="K1135" s="5" t="n">
        <v>153000086</v>
      </c>
      <c r="L1135" s="9" t="n">
        <v>46060</v>
      </c>
      <c r="M1135" s="10" t="n">
        <v>47885</v>
      </c>
    </row>
    <row r="1136" customFormat="false" ht="30" hidden="true" customHeight="true" outlineLevel="0" collapsed="false">
      <c r="A1136" s="4" t="s">
        <v>13</v>
      </c>
      <c r="B1136" s="4" t="s">
        <v>14</v>
      </c>
      <c r="C1136" s="5" t="n">
        <v>1329001682</v>
      </c>
      <c r="D1136" s="6" t="s">
        <v>1180</v>
      </c>
      <c r="E1136" s="6"/>
      <c r="F1136" s="7" t="n">
        <v>46063.278581956</v>
      </c>
      <c r="G1136" s="7" t="n">
        <v>46063.3456821412</v>
      </c>
      <c r="H1136" s="8" t="n">
        <v>4</v>
      </c>
      <c r="I1136" s="5" t="n">
        <v>400441</v>
      </c>
      <c r="J1136" s="6" t="s">
        <v>80</v>
      </c>
      <c r="K1136" s="5" t="n">
        <v>153000086</v>
      </c>
      <c r="L1136" s="9" t="n">
        <v>46060</v>
      </c>
      <c r="M1136" s="10" t="n">
        <v>47885</v>
      </c>
    </row>
    <row r="1137" customFormat="false" ht="30" hidden="true" customHeight="true" outlineLevel="0" collapsed="false">
      <c r="A1137" s="4" t="s">
        <v>13</v>
      </c>
      <c r="B1137" s="4" t="s">
        <v>14</v>
      </c>
      <c r="C1137" s="5" t="n">
        <v>1329001682</v>
      </c>
      <c r="D1137" s="6" t="s">
        <v>1181</v>
      </c>
      <c r="E1137" s="6"/>
      <c r="F1137" s="7" t="n">
        <v>46063.278581956</v>
      </c>
      <c r="G1137" s="7" t="n">
        <v>46063.3461412153</v>
      </c>
      <c r="H1137" s="8" t="n">
        <v>3</v>
      </c>
      <c r="I1137" s="5" t="n">
        <v>400398</v>
      </c>
      <c r="J1137" s="6" t="s">
        <v>1094</v>
      </c>
      <c r="K1137" s="5" t="n">
        <v>153000010</v>
      </c>
      <c r="L1137" s="9" t="n">
        <v>46032</v>
      </c>
      <c r="M1137" s="10" t="n">
        <v>47857</v>
      </c>
    </row>
    <row r="1138" customFormat="false" ht="30" hidden="true" customHeight="true" outlineLevel="0" collapsed="false">
      <c r="A1138" s="4" t="s">
        <v>13</v>
      </c>
      <c r="B1138" s="4" t="s">
        <v>14</v>
      </c>
      <c r="C1138" s="5" t="n">
        <v>1329001682</v>
      </c>
      <c r="D1138" s="6" t="s">
        <v>1182</v>
      </c>
      <c r="E1138" s="6"/>
      <c r="F1138" s="7" t="n">
        <v>46063.278581956</v>
      </c>
      <c r="G1138" s="7" t="n">
        <v>46063.3444238889</v>
      </c>
      <c r="H1138" s="8" t="n">
        <v>4</v>
      </c>
      <c r="I1138" s="5" t="n">
        <v>400441</v>
      </c>
      <c r="J1138" s="6" t="s">
        <v>80</v>
      </c>
      <c r="K1138" s="5" t="n">
        <v>153000086</v>
      </c>
      <c r="L1138" s="9" t="n">
        <v>46060</v>
      </c>
      <c r="M1138" s="10" t="n">
        <v>47885</v>
      </c>
    </row>
    <row r="1139" customFormat="false" ht="30" hidden="true" customHeight="true" outlineLevel="0" collapsed="false">
      <c r="A1139" s="4" t="s">
        <v>13</v>
      </c>
      <c r="B1139" s="4" t="s">
        <v>14</v>
      </c>
      <c r="C1139" s="5" t="n">
        <v>1329001682</v>
      </c>
      <c r="D1139" s="6" t="s">
        <v>1183</v>
      </c>
      <c r="E1139" s="6"/>
      <c r="F1139" s="7" t="n">
        <v>46063.278581956</v>
      </c>
      <c r="G1139" s="7" t="n">
        <v>46063.3435872917</v>
      </c>
      <c r="H1139" s="8" t="n">
        <v>4</v>
      </c>
      <c r="I1139" s="5" t="n">
        <v>400398</v>
      </c>
      <c r="J1139" s="6" t="s">
        <v>1094</v>
      </c>
      <c r="K1139" s="5" t="n">
        <v>153000010</v>
      </c>
      <c r="L1139" s="9" t="n">
        <v>46032</v>
      </c>
      <c r="M1139" s="10" t="n">
        <v>47857</v>
      </c>
    </row>
    <row r="1140" customFormat="false" ht="30" hidden="true" customHeight="true" outlineLevel="0" collapsed="false">
      <c r="A1140" s="4" t="s">
        <v>13</v>
      </c>
      <c r="B1140" s="4" t="s">
        <v>14</v>
      </c>
      <c r="C1140" s="5" t="n">
        <v>1329001682</v>
      </c>
      <c r="D1140" s="6" t="s">
        <v>1184</v>
      </c>
      <c r="E1140" s="6"/>
      <c r="F1140" s="7" t="n">
        <v>46063.278581956</v>
      </c>
      <c r="G1140" s="7" t="n">
        <v>46063.3432946528</v>
      </c>
      <c r="H1140" s="8" t="n">
        <v>4</v>
      </c>
      <c r="I1140" s="5" t="n">
        <v>400441</v>
      </c>
      <c r="J1140" s="6" t="s">
        <v>80</v>
      </c>
      <c r="K1140" s="5" t="n">
        <v>153000086</v>
      </c>
      <c r="L1140" s="9" t="n">
        <v>46060</v>
      </c>
      <c r="M1140" s="10" t="n">
        <v>47885</v>
      </c>
    </row>
    <row r="1141" customFormat="false" ht="30" hidden="true" customHeight="true" outlineLevel="0" collapsed="false">
      <c r="A1141" s="4" t="s">
        <v>13</v>
      </c>
      <c r="B1141" s="4" t="s">
        <v>14</v>
      </c>
      <c r="C1141" s="5" t="n">
        <v>1329001682</v>
      </c>
      <c r="D1141" s="6" t="s">
        <v>1185</v>
      </c>
      <c r="E1141" s="6"/>
      <c r="F1141" s="7" t="n">
        <v>46063.278581956</v>
      </c>
      <c r="G1141" s="7" t="n">
        <v>46063.3526773148</v>
      </c>
      <c r="H1141" s="8" t="n">
        <v>24</v>
      </c>
      <c r="I1141" s="5" t="n">
        <v>400919</v>
      </c>
      <c r="J1141" s="6" t="s">
        <v>420</v>
      </c>
      <c r="K1141" s="5" t="n">
        <v>100011193</v>
      </c>
      <c r="L1141" s="9" t="n">
        <v>46016</v>
      </c>
      <c r="M1141" s="10" t="n">
        <v>47841</v>
      </c>
    </row>
    <row r="1142" customFormat="false" ht="30" hidden="true" customHeight="true" outlineLevel="0" collapsed="false">
      <c r="A1142" s="4" t="s">
        <v>109</v>
      </c>
      <c r="B1142" s="4" t="s">
        <v>14</v>
      </c>
      <c r="C1142" s="5" t="n">
        <v>1329001680</v>
      </c>
      <c r="D1142" s="6" t="s">
        <v>1186</v>
      </c>
      <c r="E1142" s="6"/>
      <c r="F1142" s="7" t="n">
        <v>46064.2345499421</v>
      </c>
      <c r="G1142" s="7" t="n">
        <v>46064.2421189699</v>
      </c>
      <c r="H1142" s="8" t="n">
        <v>4</v>
      </c>
      <c r="I1142" s="5" t="n">
        <v>400479</v>
      </c>
      <c r="J1142" s="6" t="s">
        <v>1187</v>
      </c>
      <c r="K1142" s="5" t="n">
        <v>100011172</v>
      </c>
      <c r="L1142" s="9" t="n">
        <v>46014</v>
      </c>
      <c r="M1142" s="10" t="n">
        <v>47839</v>
      </c>
    </row>
    <row r="1143" customFormat="false" ht="30" hidden="true" customHeight="true" outlineLevel="0" collapsed="false">
      <c r="A1143" s="4" t="s">
        <v>109</v>
      </c>
      <c r="B1143" s="4" t="s">
        <v>14</v>
      </c>
      <c r="C1143" s="5" t="n">
        <v>1329001680</v>
      </c>
      <c r="D1143" s="6" t="s">
        <v>1188</v>
      </c>
      <c r="E1143" s="6"/>
      <c r="F1143" s="7" t="n">
        <v>46064.2345499421</v>
      </c>
      <c r="G1143" s="7" t="n">
        <v>46064.2581722801</v>
      </c>
      <c r="H1143" s="8" t="n">
        <v>52</v>
      </c>
      <c r="I1143" s="5" t="n">
        <v>400396</v>
      </c>
      <c r="J1143" s="6" t="s">
        <v>170</v>
      </c>
      <c r="K1143" s="5" t="n">
        <v>100010092</v>
      </c>
      <c r="L1143" s="9" t="n">
        <v>45931</v>
      </c>
      <c r="M1143" s="10" t="n">
        <v>47756</v>
      </c>
    </row>
    <row r="1144" customFormat="false" ht="30" hidden="true" customHeight="true" outlineLevel="0" collapsed="false">
      <c r="A1144" s="4" t="s">
        <v>109</v>
      </c>
      <c r="B1144" s="4" t="s">
        <v>14</v>
      </c>
      <c r="C1144" s="5" t="n">
        <v>1329001680</v>
      </c>
      <c r="D1144" s="6" t="s">
        <v>1189</v>
      </c>
      <c r="E1144" s="6"/>
      <c r="F1144" s="7" t="n">
        <v>46064.2345499421</v>
      </c>
      <c r="G1144" s="7" t="n">
        <v>46064.2417183333</v>
      </c>
      <c r="H1144" s="8" t="n">
        <v>4</v>
      </c>
      <c r="I1144" s="5" t="n">
        <v>400479</v>
      </c>
      <c r="J1144" s="6" t="s">
        <v>1187</v>
      </c>
      <c r="K1144" s="5" t="n">
        <v>100011172</v>
      </c>
      <c r="L1144" s="9" t="n">
        <v>46014</v>
      </c>
      <c r="M1144" s="10" t="n">
        <v>47839</v>
      </c>
    </row>
    <row r="1145" customFormat="false" ht="30" hidden="true" customHeight="true" outlineLevel="0" collapsed="false">
      <c r="A1145" s="4" t="s">
        <v>109</v>
      </c>
      <c r="B1145" s="4" t="s">
        <v>14</v>
      </c>
      <c r="C1145" s="5" t="n">
        <v>1329001680</v>
      </c>
      <c r="D1145" s="6" t="s">
        <v>1190</v>
      </c>
      <c r="E1145" s="6"/>
      <c r="F1145" s="7" t="n">
        <v>46064.2345499421</v>
      </c>
      <c r="G1145" s="7" t="n">
        <v>46064.249802581</v>
      </c>
      <c r="H1145" s="8" t="n">
        <v>4</v>
      </c>
      <c r="I1145" s="5" t="n">
        <v>401149</v>
      </c>
      <c r="J1145" s="6" t="s">
        <v>1191</v>
      </c>
      <c r="K1145" s="5" t="n">
        <v>100010270</v>
      </c>
      <c r="L1145" s="9" t="n">
        <v>45935</v>
      </c>
      <c r="M1145" s="10" t="n">
        <v>47760</v>
      </c>
    </row>
    <row r="1146" customFormat="false" ht="30" hidden="true" customHeight="true" outlineLevel="0" collapsed="false">
      <c r="A1146" s="4" t="s">
        <v>109</v>
      </c>
      <c r="B1146" s="4" t="s">
        <v>14</v>
      </c>
      <c r="C1146" s="5" t="n">
        <v>1329001680</v>
      </c>
      <c r="D1146" s="6" t="s">
        <v>1192</v>
      </c>
      <c r="E1146" s="6"/>
      <c r="F1146" s="7" t="n">
        <v>46064.2345499421</v>
      </c>
      <c r="G1146" s="7" t="n">
        <v>46064.2601028241</v>
      </c>
      <c r="H1146" s="8" t="n">
        <v>52</v>
      </c>
      <c r="I1146" s="5" t="n">
        <v>400399</v>
      </c>
      <c r="J1146" s="6" t="s">
        <v>221</v>
      </c>
      <c r="K1146" s="5" t="n">
        <v>100010886</v>
      </c>
      <c r="L1146" s="9" t="n">
        <v>45988</v>
      </c>
      <c r="M1146" s="10" t="n">
        <v>47813</v>
      </c>
    </row>
    <row r="1147" customFormat="false" ht="30" hidden="true" customHeight="true" outlineLevel="0" collapsed="false">
      <c r="A1147" s="4" t="s">
        <v>109</v>
      </c>
      <c r="B1147" s="4" t="s">
        <v>14</v>
      </c>
      <c r="C1147" s="5" t="n">
        <v>1329001680</v>
      </c>
      <c r="D1147" s="6" t="s">
        <v>1193</v>
      </c>
      <c r="E1147" s="6"/>
      <c r="F1147" s="7" t="n">
        <v>46064.2345499421</v>
      </c>
      <c r="G1147" s="7" t="n">
        <v>46064.2606601157</v>
      </c>
      <c r="H1147" s="8" t="n">
        <v>52</v>
      </c>
      <c r="I1147" s="5" t="n">
        <v>400399</v>
      </c>
      <c r="J1147" s="6" t="s">
        <v>221</v>
      </c>
      <c r="K1147" s="5" t="n">
        <v>100010886</v>
      </c>
      <c r="L1147" s="9" t="n">
        <v>45988</v>
      </c>
      <c r="M1147" s="10" t="n">
        <v>47813</v>
      </c>
    </row>
    <row r="1148" customFormat="false" ht="30" hidden="true" customHeight="true" outlineLevel="0" collapsed="false">
      <c r="A1148" s="4" t="s">
        <v>109</v>
      </c>
      <c r="B1148" s="4" t="s">
        <v>14</v>
      </c>
      <c r="C1148" s="5" t="n">
        <v>1329001680</v>
      </c>
      <c r="D1148" s="6" t="s">
        <v>1194</v>
      </c>
      <c r="E1148" s="6"/>
      <c r="F1148" s="7" t="n">
        <v>46064.2345499421</v>
      </c>
      <c r="G1148" s="7" t="n">
        <v>46064.2589155903</v>
      </c>
      <c r="H1148" s="8" t="n">
        <v>52</v>
      </c>
      <c r="I1148" s="5" t="n">
        <v>400396</v>
      </c>
      <c r="J1148" s="6" t="s">
        <v>170</v>
      </c>
      <c r="K1148" s="5" t="n">
        <v>100010092</v>
      </c>
      <c r="L1148" s="9" t="n">
        <v>45931</v>
      </c>
      <c r="M1148" s="10" t="n">
        <v>47756</v>
      </c>
    </row>
    <row r="1149" customFormat="false" ht="30" hidden="true" customHeight="true" outlineLevel="0" collapsed="false">
      <c r="A1149" s="4" t="s">
        <v>109</v>
      </c>
      <c r="B1149" s="4" t="s">
        <v>14</v>
      </c>
      <c r="C1149" s="5" t="n">
        <v>1329001680</v>
      </c>
      <c r="D1149" s="6" t="s">
        <v>1195</v>
      </c>
      <c r="E1149" s="6"/>
      <c r="F1149" s="7" t="n">
        <v>46064.2345499421</v>
      </c>
      <c r="G1149" s="7" t="n">
        <v>46064.2561160648</v>
      </c>
      <c r="H1149" s="8" t="n">
        <v>4</v>
      </c>
      <c r="I1149" s="5" t="n">
        <v>401149</v>
      </c>
      <c r="J1149" s="6" t="s">
        <v>1191</v>
      </c>
      <c r="K1149" s="5" t="n">
        <v>100011208</v>
      </c>
      <c r="L1149" s="9" t="n">
        <v>46018</v>
      </c>
      <c r="M1149" s="10" t="n">
        <v>47843</v>
      </c>
    </row>
    <row r="1150" customFormat="false" ht="30" hidden="true" customHeight="true" outlineLevel="0" collapsed="false">
      <c r="A1150" s="4" t="s">
        <v>109</v>
      </c>
      <c r="B1150" s="4" t="s">
        <v>14</v>
      </c>
      <c r="C1150" s="5" t="n">
        <v>1329001680</v>
      </c>
      <c r="D1150" s="6" t="s">
        <v>1196</v>
      </c>
      <c r="E1150" s="6"/>
      <c r="F1150" s="7" t="n">
        <v>46064.2345499421</v>
      </c>
      <c r="G1150" s="7" t="n">
        <v>46064.2554576736</v>
      </c>
      <c r="H1150" s="8" t="n">
        <v>4</v>
      </c>
      <c r="I1150" s="5" t="n">
        <v>401149</v>
      </c>
      <c r="J1150" s="6" t="s">
        <v>1191</v>
      </c>
      <c r="K1150" s="5" t="n">
        <v>100011208</v>
      </c>
      <c r="L1150" s="9" t="n">
        <v>46018</v>
      </c>
      <c r="M1150" s="10" t="n">
        <v>47843</v>
      </c>
    </row>
    <row r="1151" customFormat="false" ht="30" hidden="true" customHeight="true" outlineLevel="0" collapsed="false">
      <c r="A1151" s="4" t="s">
        <v>109</v>
      </c>
      <c r="B1151" s="4" t="s">
        <v>14</v>
      </c>
      <c r="C1151" s="5" t="n">
        <v>1329001680</v>
      </c>
      <c r="D1151" s="6" t="s">
        <v>1197</v>
      </c>
      <c r="E1151" s="6"/>
      <c r="F1151" s="7" t="n">
        <v>46064.2345499421</v>
      </c>
      <c r="G1151" s="7" t="n">
        <v>46064.2549662963</v>
      </c>
      <c r="H1151" s="8" t="n">
        <v>4</v>
      </c>
      <c r="I1151" s="5" t="n">
        <v>401149</v>
      </c>
      <c r="J1151" s="6" t="s">
        <v>1191</v>
      </c>
      <c r="K1151" s="5" t="n">
        <v>100011208</v>
      </c>
      <c r="L1151" s="9" t="n">
        <v>46018</v>
      </c>
      <c r="M1151" s="10" t="n">
        <v>47843</v>
      </c>
    </row>
    <row r="1152" customFormat="false" ht="30" hidden="true" customHeight="true" outlineLevel="0" collapsed="false">
      <c r="A1152" s="4" t="s">
        <v>109</v>
      </c>
      <c r="B1152" s="4" t="s">
        <v>14</v>
      </c>
      <c r="C1152" s="5" t="n">
        <v>1329001680</v>
      </c>
      <c r="D1152" s="6" t="s">
        <v>1198</v>
      </c>
      <c r="E1152" s="6"/>
      <c r="F1152" s="7" t="n">
        <v>46064.2345499421</v>
      </c>
      <c r="G1152" s="7" t="n">
        <v>46064.254189838</v>
      </c>
      <c r="H1152" s="8" t="n">
        <v>4</v>
      </c>
      <c r="I1152" s="5" t="n">
        <v>401149</v>
      </c>
      <c r="J1152" s="6" t="s">
        <v>1191</v>
      </c>
      <c r="K1152" s="5" t="n">
        <v>100011208</v>
      </c>
      <c r="L1152" s="9" t="n">
        <v>46018</v>
      </c>
      <c r="M1152" s="10" t="n">
        <v>47843</v>
      </c>
    </row>
    <row r="1153" customFormat="false" ht="30" hidden="true" customHeight="true" outlineLevel="0" collapsed="false">
      <c r="A1153" s="4" t="s">
        <v>109</v>
      </c>
      <c r="B1153" s="4" t="s">
        <v>14</v>
      </c>
      <c r="C1153" s="5" t="n">
        <v>1329001680</v>
      </c>
      <c r="D1153" s="6" t="s">
        <v>1199</v>
      </c>
      <c r="E1153" s="6"/>
      <c r="F1153" s="7" t="n">
        <v>46064.2345499421</v>
      </c>
      <c r="G1153" s="7" t="n">
        <v>46064.2536229167</v>
      </c>
      <c r="H1153" s="8" t="n">
        <v>4</v>
      </c>
      <c r="I1153" s="5" t="n">
        <v>401149</v>
      </c>
      <c r="J1153" s="6" t="s">
        <v>1191</v>
      </c>
      <c r="K1153" s="5" t="n">
        <v>100011208</v>
      </c>
      <c r="L1153" s="9" t="n">
        <v>46018</v>
      </c>
      <c r="M1153" s="10" t="n">
        <v>47843</v>
      </c>
    </row>
    <row r="1154" customFormat="false" ht="30" hidden="true" customHeight="true" outlineLevel="0" collapsed="false">
      <c r="A1154" s="4" t="s">
        <v>109</v>
      </c>
      <c r="B1154" s="4" t="s">
        <v>14</v>
      </c>
      <c r="C1154" s="5" t="n">
        <v>1329001680</v>
      </c>
      <c r="D1154" s="6" t="s">
        <v>1200</v>
      </c>
      <c r="E1154" s="6"/>
      <c r="F1154" s="7" t="n">
        <v>46064.2345499421</v>
      </c>
      <c r="G1154" s="7" t="n">
        <v>46064.2528692824</v>
      </c>
      <c r="H1154" s="8" t="n">
        <v>4</v>
      </c>
      <c r="I1154" s="5" t="n">
        <v>401149</v>
      </c>
      <c r="J1154" s="6" t="s">
        <v>1191</v>
      </c>
      <c r="K1154" s="5" t="n">
        <v>100011208</v>
      </c>
      <c r="L1154" s="9" t="n">
        <v>46018</v>
      </c>
      <c r="M1154" s="10" t="n">
        <v>47843</v>
      </c>
    </row>
    <row r="1155" customFormat="false" ht="30" hidden="true" customHeight="true" outlineLevel="0" collapsed="false">
      <c r="A1155" s="4" t="s">
        <v>109</v>
      </c>
      <c r="B1155" s="4" t="s">
        <v>14</v>
      </c>
      <c r="C1155" s="5" t="n">
        <v>1329001680</v>
      </c>
      <c r="D1155" s="6" t="s">
        <v>1201</v>
      </c>
      <c r="E1155" s="6"/>
      <c r="F1155" s="7" t="n">
        <v>46064.2345499421</v>
      </c>
      <c r="G1155" s="7" t="n">
        <v>46064.2522800231</v>
      </c>
      <c r="H1155" s="8" t="n">
        <v>4</v>
      </c>
      <c r="I1155" s="5" t="n">
        <v>401149</v>
      </c>
      <c r="J1155" s="6" t="s">
        <v>1191</v>
      </c>
      <c r="K1155" s="5" t="n">
        <v>100011208</v>
      </c>
      <c r="L1155" s="9" t="n">
        <v>46018</v>
      </c>
      <c r="M1155" s="10" t="n">
        <v>47843</v>
      </c>
    </row>
    <row r="1156" customFormat="false" ht="30" hidden="true" customHeight="true" outlineLevel="0" collapsed="false">
      <c r="A1156" s="4" t="s">
        <v>109</v>
      </c>
      <c r="B1156" s="4" t="s">
        <v>14</v>
      </c>
      <c r="C1156" s="5" t="n">
        <v>1329001680</v>
      </c>
      <c r="D1156" s="6" t="s">
        <v>1202</v>
      </c>
      <c r="E1156" s="6"/>
      <c r="F1156" s="7" t="n">
        <v>46064.2345499421</v>
      </c>
      <c r="G1156" s="7" t="n">
        <v>46064.2510708218</v>
      </c>
      <c r="H1156" s="8" t="n">
        <v>4</v>
      </c>
      <c r="I1156" s="5" t="n">
        <v>401149</v>
      </c>
      <c r="J1156" s="6" t="s">
        <v>1191</v>
      </c>
      <c r="K1156" s="5" t="n">
        <v>100010270</v>
      </c>
      <c r="L1156" s="9" t="n">
        <v>45935</v>
      </c>
      <c r="M1156" s="10" t="n">
        <v>47760</v>
      </c>
    </row>
    <row r="1157" customFormat="false" ht="30" hidden="true" customHeight="true" outlineLevel="0" collapsed="false">
      <c r="A1157" s="4" t="s">
        <v>109</v>
      </c>
      <c r="B1157" s="4" t="s">
        <v>14</v>
      </c>
      <c r="C1157" s="5" t="n">
        <v>1329001680</v>
      </c>
      <c r="D1157" s="6" t="s">
        <v>1203</v>
      </c>
      <c r="E1157" s="6"/>
      <c r="F1157" s="7" t="n">
        <v>46064.2345499421</v>
      </c>
      <c r="G1157" s="7" t="n">
        <v>46064.2504301968</v>
      </c>
      <c r="H1157" s="8" t="n">
        <v>4</v>
      </c>
      <c r="I1157" s="5" t="n">
        <v>401149</v>
      </c>
      <c r="J1157" s="6" t="s">
        <v>1191</v>
      </c>
      <c r="K1157" s="5" t="n">
        <v>100010270</v>
      </c>
      <c r="L1157" s="9" t="n">
        <v>45935</v>
      </c>
      <c r="M1157" s="10" t="n">
        <v>47760</v>
      </c>
    </row>
    <row r="1158" customFormat="false" ht="30" hidden="true" customHeight="true" outlineLevel="0" collapsed="false">
      <c r="A1158" s="4" t="s">
        <v>109</v>
      </c>
      <c r="B1158" s="4" t="s">
        <v>14</v>
      </c>
      <c r="C1158" s="5" t="n">
        <v>1329001680</v>
      </c>
      <c r="D1158" s="6" t="s">
        <v>1204</v>
      </c>
      <c r="E1158" s="6"/>
      <c r="F1158" s="7" t="n">
        <v>46064.2345499421</v>
      </c>
      <c r="G1158" s="7" t="n">
        <v>46064.2467288079</v>
      </c>
      <c r="H1158" s="8" t="n">
        <v>4</v>
      </c>
      <c r="I1158" s="5" t="n">
        <v>400479</v>
      </c>
      <c r="J1158" s="6" t="s">
        <v>1187</v>
      </c>
      <c r="K1158" s="5" t="n">
        <v>100011172</v>
      </c>
      <c r="L1158" s="9" t="n">
        <v>46014</v>
      </c>
      <c r="M1158" s="10" t="n">
        <v>47839</v>
      </c>
    </row>
    <row r="1159" customFormat="false" ht="30" hidden="true" customHeight="true" outlineLevel="0" collapsed="false">
      <c r="A1159" s="4" t="s">
        <v>109</v>
      </c>
      <c r="B1159" s="4" t="s">
        <v>14</v>
      </c>
      <c r="C1159" s="5" t="n">
        <v>1329001680</v>
      </c>
      <c r="D1159" s="6" t="s">
        <v>1205</v>
      </c>
      <c r="E1159" s="6"/>
      <c r="F1159" s="7" t="n">
        <v>46064.2345499421</v>
      </c>
      <c r="G1159" s="7" t="n">
        <v>46064.2462460301</v>
      </c>
      <c r="H1159" s="8" t="n">
        <v>4</v>
      </c>
      <c r="I1159" s="5" t="n">
        <v>400479</v>
      </c>
      <c r="J1159" s="6" t="s">
        <v>1187</v>
      </c>
      <c r="K1159" s="5" t="n">
        <v>100011172</v>
      </c>
      <c r="L1159" s="9" t="n">
        <v>46014</v>
      </c>
      <c r="M1159" s="10" t="n">
        <v>47839</v>
      </c>
    </row>
    <row r="1160" customFormat="false" ht="30" hidden="true" customHeight="true" outlineLevel="0" collapsed="false">
      <c r="A1160" s="4" t="s">
        <v>109</v>
      </c>
      <c r="B1160" s="4" t="s">
        <v>14</v>
      </c>
      <c r="C1160" s="5" t="n">
        <v>1329001680</v>
      </c>
      <c r="D1160" s="6" t="s">
        <v>1206</v>
      </c>
      <c r="E1160" s="6"/>
      <c r="F1160" s="7" t="n">
        <v>46064.2345499421</v>
      </c>
      <c r="G1160" s="7" t="n">
        <v>46064.245769213</v>
      </c>
      <c r="H1160" s="8" t="n">
        <v>4</v>
      </c>
      <c r="I1160" s="5" t="n">
        <v>400479</v>
      </c>
      <c r="J1160" s="6" t="s">
        <v>1187</v>
      </c>
      <c r="K1160" s="5" t="n">
        <v>100011172</v>
      </c>
      <c r="L1160" s="9" t="n">
        <v>46014</v>
      </c>
      <c r="M1160" s="10" t="n">
        <v>47839</v>
      </c>
    </row>
    <row r="1161" customFormat="false" ht="30" hidden="true" customHeight="true" outlineLevel="0" collapsed="false">
      <c r="A1161" s="4" t="s">
        <v>109</v>
      </c>
      <c r="B1161" s="4" t="s">
        <v>14</v>
      </c>
      <c r="C1161" s="5" t="n">
        <v>1329001680</v>
      </c>
      <c r="D1161" s="6" t="s">
        <v>1207</v>
      </c>
      <c r="E1161" s="6"/>
      <c r="F1161" s="7" t="n">
        <v>46064.2345499421</v>
      </c>
      <c r="G1161" s="7" t="n">
        <v>46064.2452806944</v>
      </c>
      <c r="H1161" s="8" t="n">
        <v>4</v>
      </c>
      <c r="I1161" s="5" t="n">
        <v>400479</v>
      </c>
      <c r="J1161" s="6" t="s">
        <v>1187</v>
      </c>
      <c r="K1161" s="5" t="n">
        <v>100011172</v>
      </c>
      <c r="L1161" s="9" t="n">
        <v>46014</v>
      </c>
      <c r="M1161" s="10" t="n">
        <v>47839</v>
      </c>
    </row>
    <row r="1162" customFormat="false" ht="30" hidden="true" customHeight="true" outlineLevel="0" collapsed="false">
      <c r="A1162" s="4" t="s">
        <v>109</v>
      </c>
      <c r="B1162" s="4" t="s">
        <v>14</v>
      </c>
      <c r="C1162" s="5" t="n">
        <v>1329001680</v>
      </c>
      <c r="D1162" s="6" t="s">
        <v>1208</v>
      </c>
      <c r="E1162" s="6"/>
      <c r="F1162" s="7" t="n">
        <v>46064.2345499421</v>
      </c>
      <c r="G1162" s="7" t="n">
        <v>46064.2447923495</v>
      </c>
      <c r="H1162" s="8" t="n">
        <v>4</v>
      </c>
      <c r="I1162" s="5" t="n">
        <v>400479</v>
      </c>
      <c r="J1162" s="6" t="s">
        <v>1187</v>
      </c>
      <c r="K1162" s="5" t="n">
        <v>100011172</v>
      </c>
      <c r="L1162" s="9" t="n">
        <v>46014</v>
      </c>
      <c r="M1162" s="10" t="n">
        <v>47839</v>
      </c>
    </row>
    <row r="1163" customFormat="false" ht="30" hidden="true" customHeight="true" outlineLevel="0" collapsed="false">
      <c r="A1163" s="4" t="s">
        <v>109</v>
      </c>
      <c r="B1163" s="4" t="s">
        <v>14</v>
      </c>
      <c r="C1163" s="5" t="n">
        <v>1329001680</v>
      </c>
      <c r="D1163" s="6" t="s">
        <v>1209</v>
      </c>
      <c r="E1163" s="6"/>
      <c r="F1163" s="7" t="n">
        <v>46064.2345499421</v>
      </c>
      <c r="G1163" s="7" t="n">
        <v>46064.2443248958</v>
      </c>
      <c r="H1163" s="8" t="n">
        <v>4</v>
      </c>
      <c r="I1163" s="5" t="n">
        <v>400479</v>
      </c>
      <c r="J1163" s="6" t="s">
        <v>1187</v>
      </c>
      <c r="K1163" s="5" t="n">
        <v>100011172</v>
      </c>
      <c r="L1163" s="9" t="n">
        <v>46014</v>
      </c>
      <c r="M1163" s="10" t="n">
        <v>47839</v>
      </c>
    </row>
    <row r="1164" customFormat="false" ht="30" hidden="true" customHeight="true" outlineLevel="0" collapsed="false">
      <c r="A1164" s="4" t="s">
        <v>109</v>
      </c>
      <c r="B1164" s="4" t="s">
        <v>14</v>
      </c>
      <c r="C1164" s="5" t="n">
        <v>1329001680</v>
      </c>
      <c r="D1164" s="6" t="s">
        <v>1210</v>
      </c>
      <c r="E1164" s="6"/>
      <c r="F1164" s="7" t="n">
        <v>46064.2345499421</v>
      </c>
      <c r="G1164" s="7" t="n">
        <v>46064.2438567361</v>
      </c>
      <c r="H1164" s="8" t="n">
        <v>4</v>
      </c>
      <c r="I1164" s="5" t="n">
        <v>400479</v>
      </c>
      <c r="J1164" s="6" t="s">
        <v>1187</v>
      </c>
      <c r="K1164" s="5" t="n">
        <v>100011172</v>
      </c>
      <c r="L1164" s="9" t="n">
        <v>46014</v>
      </c>
      <c r="M1164" s="10" t="n">
        <v>47839</v>
      </c>
    </row>
    <row r="1165" customFormat="false" ht="30" hidden="true" customHeight="true" outlineLevel="0" collapsed="false">
      <c r="A1165" s="4" t="s">
        <v>109</v>
      </c>
      <c r="B1165" s="4" t="s">
        <v>14</v>
      </c>
      <c r="C1165" s="5" t="n">
        <v>1329001680</v>
      </c>
      <c r="D1165" s="6" t="s">
        <v>1211</v>
      </c>
      <c r="E1165" s="6"/>
      <c r="F1165" s="7" t="n">
        <v>46064.2345499421</v>
      </c>
      <c r="G1165" s="7" t="n">
        <v>46064.2428008218</v>
      </c>
      <c r="H1165" s="8" t="n">
        <v>4</v>
      </c>
      <c r="I1165" s="5" t="n">
        <v>400479</v>
      </c>
      <c r="J1165" s="6" t="s">
        <v>1187</v>
      </c>
      <c r="K1165" s="5" t="n">
        <v>100011172</v>
      </c>
      <c r="L1165" s="9" t="n">
        <v>46014</v>
      </c>
      <c r="M1165" s="10" t="n">
        <v>47839</v>
      </c>
    </row>
    <row r="1166" customFormat="false" ht="30" hidden="true" customHeight="true" outlineLevel="0" collapsed="false">
      <c r="A1166" s="4" t="s">
        <v>13</v>
      </c>
      <c r="B1166" s="4" t="s">
        <v>14</v>
      </c>
      <c r="C1166" s="5" t="n">
        <v>1329001689</v>
      </c>
      <c r="D1166" s="6" t="s">
        <v>1212</v>
      </c>
      <c r="E1166" s="6"/>
      <c r="F1166" s="7" t="n">
        <v>46064.2667454167</v>
      </c>
      <c r="G1166" s="7" t="n">
        <v>46064.5846865625</v>
      </c>
      <c r="H1166" s="8" t="n">
        <v>52</v>
      </c>
      <c r="I1166" s="5" t="n">
        <v>401119</v>
      </c>
      <c r="J1166" s="6" t="s">
        <v>1213</v>
      </c>
      <c r="K1166" s="5" t="n">
        <v>100011164</v>
      </c>
      <c r="L1166" s="9" t="n">
        <v>46014</v>
      </c>
      <c r="M1166" s="10" t="n">
        <v>47839</v>
      </c>
    </row>
    <row r="1167" customFormat="false" ht="30" hidden="true" customHeight="true" outlineLevel="0" collapsed="false">
      <c r="A1167" s="4" t="s">
        <v>13</v>
      </c>
      <c r="B1167" s="4" t="s">
        <v>14</v>
      </c>
      <c r="C1167" s="5" t="n">
        <v>1329001689</v>
      </c>
      <c r="D1167" s="6" t="s">
        <v>1214</v>
      </c>
      <c r="E1167" s="6"/>
      <c r="F1167" s="7" t="n">
        <v>46064.2667454167</v>
      </c>
      <c r="G1167" s="7" t="n">
        <v>46064.5807460185</v>
      </c>
      <c r="H1167" s="8" t="n">
        <v>4</v>
      </c>
      <c r="I1167" s="5" t="n">
        <v>400508</v>
      </c>
      <c r="J1167" s="6" t="s">
        <v>1215</v>
      </c>
      <c r="K1167" s="5" t="n">
        <v>153000080</v>
      </c>
      <c r="L1167" s="9" t="n">
        <v>46058</v>
      </c>
      <c r="M1167" s="10" t="n">
        <v>47883</v>
      </c>
    </row>
    <row r="1168" customFormat="false" ht="30" hidden="true" customHeight="true" outlineLevel="0" collapsed="false">
      <c r="A1168" s="4" t="s">
        <v>13</v>
      </c>
      <c r="B1168" s="4" t="s">
        <v>14</v>
      </c>
      <c r="C1168" s="5" t="n">
        <v>1329001689</v>
      </c>
      <c r="D1168" s="6" t="s">
        <v>1216</v>
      </c>
      <c r="E1168" s="6"/>
      <c r="F1168" s="7" t="n">
        <v>46064.2667454167</v>
      </c>
      <c r="G1168" s="7" t="n">
        <v>46064.5863827315</v>
      </c>
      <c r="H1168" s="8" t="n">
        <v>4</v>
      </c>
      <c r="I1168" s="5" t="n">
        <v>400411</v>
      </c>
      <c r="J1168" s="6" t="s">
        <v>1217</v>
      </c>
      <c r="K1168" s="5" t="n">
        <v>153000104</v>
      </c>
      <c r="L1168" s="9" t="n">
        <v>46063</v>
      </c>
      <c r="M1168" s="10" t="n">
        <v>47888</v>
      </c>
    </row>
    <row r="1169" customFormat="false" ht="30" hidden="true" customHeight="true" outlineLevel="0" collapsed="false">
      <c r="A1169" s="4" t="s">
        <v>13</v>
      </c>
      <c r="B1169" s="4" t="s">
        <v>14</v>
      </c>
      <c r="C1169" s="5" t="n">
        <v>1329001689</v>
      </c>
      <c r="D1169" s="6" t="s">
        <v>1218</v>
      </c>
      <c r="E1169" s="6"/>
      <c r="F1169" s="7" t="n">
        <v>46064.2667454167</v>
      </c>
      <c r="G1169" s="7" t="n">
        <v>46064.586287662</v>
      </c>
      <c r="H1169" s="8" t="n">
        <v>4</v>
      </c>
      <c r="I1169" s="5" t="n">
        <v>400411</v>
      </c>
      <c r="J1169" s="6" t="s">
        <v>1217</v>
      </c>
      <c r="K1169" s="5" t="n">
        <v>153000104</v>
      </c>
      <c r="L1169" s="9" t="n">
        <v>46063</v>
      </c>
      <c r="M1169" s="10" t="n">
        <v>47888</v>
      </c>
    </row>
    <row r="1170" customFormat="false" ht="30" hidden="true" customHeight="true" outlineLevel="0" collapsed="false">
      <c r="A1170" s="4" t="s">
        <v>13</v>
      </c>
      <c r="B1170" s="4" t="s">
        <v>14</v>
      </c>
      <c r="C1170" s="5" t="n">
        <v>1329001689</v>
      </c>
      <c r="D1170" s="6" t="s">
        <v>1219</v>
      </c>
      <c r="E1170" s="6"/>
      <c r="F1170" s="7" t="n">
        <v>46064.2667454167</v>
      </c>
      <c r="G1170" s="7" t="n">
        <v>46064.5856455324</v>
      </c>
      <c r="H1170" s="8" t="n">
        <v>52</v>
      </c>
      <c r="I1170" s="5" t="n">
        <v>401119</v>
      </c>
      <c r="J1170" s="6" t="s">
        <v>1213</v>
      </c>
      <c r="K1170" s="5" t="n">
        <v>100011164</v>
      </c>
      <c r="L1170" s="9" t="n">
        <v>46014</v>
      </c>
      <c r="M1170" s="10" t="n">
        <v>47839</v>
      </c>
    </row>
    <row r="1171" customFormat="false" ht="30" hidden="true" customHeight="true" outlineLevel="0" collapsed="false">
      <c r="A1171" s="4" t="s">
        <v>13</v>
      </c>
      <c r="B1171" s="4" t="s">
        <v>14</v>
      </c>
      <c r="C1171" s="5" t="n">
        <v>1329001689</v>
      </c>
      <c r="D1171" s="6" t="s">
        <v>1220</v>
      </c>
      <c r="E1171" s="6"/>
      <c r="F1171" s="7" t="n">
        <v>46064.2667454167</v>
      </c>
      <c r="G1171" s="7" t="n">
        <v>46064.585494838</v>
      </c>
      <c r="H1171" s="8" t="n">
        <v>52</v>
      </c>
      <c r="I1171" s="5" t="n">
        <v>401119</v>
      </c>
      <c r="J1171" s="6" t="s">
        <v>1213</v>
      </c>
      <c r="K1171" s="5" t="n">
        <v>100011164</v>
      </c>
      <c r="L1171" s="9" t="n">
        <v>46014</v>
      </c>
      <c r="M1171" s="10" t="n">
        <v>47839</v>
      </c>
    </row>
    <row r="1172" customFormat="false" ht="30" hidden="true" customHeight="true" outlineLevel="0" collapsed="false">
      <c r="A1172" s="4" t="s">
        <v>13</v>
      </c>
      <c r="B1172" s="4" t="s">
        <v>14</v>
      </c>
      <c r="C1172" s="5" t="n">
        <v>1329001689</v>
      </c>
      <c r="D1172" s="6" t="s">
        <v>1221</v>
      </c>
      <c r="E1172" s="6"/>
      <c r="F1172" s="7" t="n">
        <v>46064.2667454167</v>
      </c>
      <c r="G1172" s="7" t="n">
        <v>46064.5853596991</v>
      </c>
      <c r="H1172" s="8" t="n">
        <v>52</v>
      </c>
      <c r="I1172" s="5" t="n">
        <v>401119</v>
      </c>
      <c r="J1172" s="6" t="s">
        <v>1213</v>
      </c>
      <c r="K1172" s="5" t="n">
        <v>100011164</v>
      </c>
      <c r="L1172" s="9" t="n">
        <v>46014</v>
      </c>
      <c r="M1172" s="10" t="n">
        <v>47839</v>
      </c>
    </row>
    <row r="1173" customFormat="false" ht="30" hidden="true" customHeight="true" outlineLevel="0" collapsed="false">
      <c r="A1173" s="4" t="s">
        <v>13</v>
      </c>
      <c r="B1173" s="4" t="s">
        <v>14</v>
      </c>
      <c r="C1173" s="5" t="n">
        <v>1329001689</v>
      </c>
      <c r="D1173" s="6" t="s">
        <v>1222</v>
      </c>
      <c r="E1173" s="6"/>
      <c r="F1173" s="7" t="n">
        <v>46064.2667454167</v>
      </c>
      <c r="G1173" s="7" t="n">
        <v>46064.5843250694</v>
      </c>
      <c r="H1173" s="8" t="n">
        <v>4</v>
      </c>
      <c r="I1173" s="5" t="n">
        <v>400508</v>
      </c>
      <c r="J1173" s="6" t="s">
        <v>1215</v>
      </c>
      <c r="K1173" s="5" t="n">
        <v>153000080</v>
      </c>
      <c r="L1173" s="9" t="n">
        <v>46058</v>
      </c>
      <c r="M1173" s="10" t="n">
        <v>47883</v>
      </c>
    </row>
    <row r="1174" customFormat="false" ht="30" hidden="true" customHeight="true" outlineLevel="0" collapsed="false">
      <c r="A1174" s="4" t="s">
        <v>13</v>
      </c>
      <c r="B1174" s="4" t="s">
        <v>14</v>
      </c>
      <c r="C1174" s="5" t="n">
        <v>1329001689</v>
      </c>
      <c r="D1174" s="6" t="s">
        <v>1223</v>
      </c>
      <c r="E1174" s="6"/>
      <c r="F1174" s="7" t="n">
        <v>46064.2667454167</v>
      </c>
      <c r="G1174" s="7" t="n">
        <v>46064.5842210185</v>
      </c>
      <c r="H1174" s="8" t="n">
        <v>4</v>
      </c>
      <c r="I1174" s="5" t="n">
        <v>400508</v>
      </c>
      <c r="J1174" s="6" t="s">
        <v>1215</v>
      </c>
      <c r="K1174" s="5" t="n">
        <v>153000080</v>
      </c>
      <c r="L1174" s="9" t="n">
        <v>46058</v>
      </c>
      <c r="M1174" s="10" t="n">
        <v>47883</v>
      </c>
    </row>
    <row r="1175" customFormat="false" ht="30" hidden="true" customHeight="true" outlineLevel="0" collapsed="false">
      <c r="A1175" s="4" t="s">
        <v>13</v>
      </c>
      <c r="B1175" s="4" t="s">
        <v>14</v>
      </c>
      <c r="C1175" s="5" t="n">
        <v>1329001689</v>
      </c>
      <c r="D1175" s="6" t="s">
        <v>1224</v>
      </c>
      <c r="E1175" s="6"/>
      <c r="F1175" s="7" t="n">
        <v>46064.2667454167</v>
      </c>
      <c r="G1175" s="7" t="n">
        <v>46064.5834907986</v>
      </c>
      <c r="H1175" s="8" t="n">
        <v>24</v>
      </c>
      <c r="I1175" s="5" t="n">
        <v>400920</v>
      </c>
      <c r="J1175" s="6" t="s">
        <v>197</v>
      </c>
      <c r="K1175" s="5" t="n">
        <v>100010030</v>
      </c>
      <c r="L1175" s="9" t="n">
        <v>45910</v>
      </c>
      <c r="M1175" s="10" t="n">
        <v>47735</v>
      </c>
    </row>
    <row r="1176" customFormat="false" ht="30" hidden="true" customHeight="true" outlineLevel="0" collapsed="false">
      <c r="A1176" s="4" t="s">
        <v>13</v>
      </c>
      <c r="B1176" s="4" t="s">
        <v>14</v>
      </c>
      <c r="C1176" s="5" t="n">
        <v>1329001689</v>
      </c>
      <c r="D1176" s="6" t="s">
        <v>1225</v>
      </c>
      <c r="E1176" s="6"/>
      <c r="F1176" s="7" t="n">
        <v>46064.2667454167</v>
      </c>
      <c r="G1176" s="7" t="n">
        <v>46064.583016875</v>
      </c>
      <c r="H1176" s="8" t="n">
        <v>24</v>
      </c>
      <c r="I1176" s="5" t="n">
        <v>400920</v>
      </c>
      <c r="J1176" s="6" t="s">
        <v>197</v>
      </c>
      <c r="K1176" s="5" t="n">
        <v>100011191</v>
      </c>
      <c r="L1176" s="9" t="n">
        <v>46016</v>
      </c>
      <c r="M1176" s="10" t="n">
        <v>47841</v>
      </c>
    </row>
    <row r="1177" customFormat="false" ht="30" hidden="true" customHeight="true" outlineLevel="0" collapsed="false">
      <c r="A1177" s="4" t="s">
        <v>13</v>
      </c>
      <c r="B1177" s="4" t="s">
        <v>14</v>
      </c>
      <c r="C1177" s="5" t="n">
        <v>1329001689</v>
      </c>
      <c r="D1177" s="6" t="s">
        <v>1226</v>
      </c>
      <c r="E1177" s="6"/>
      <c r="F1177" s="7" t="n">
        <v>46064.2667454167</v>
      </c>
      <c r="G1177" s="7" t="n">
        <v>46064.5828084259</v>
      </c>
      <c r="H1177" s="8" t="n">
        <v>24</v>
      </c>
      <c r="I1177" s="5" t="n">
        <v>400920</v>
      </c>
      <c r="J1177" s="6" t="s">
        <v>197</v>
      </c>
      <c r="K1177" s="5" t="n">
        <v>100011191</v>
      </c>
      <c r="L1177" s="9" t="n">
        <v>46016</v>
      </c>
      <c r="M1177" s="10" t="n">
        <v>47841</v>
      </c>
    </row>
    <row r="1178" customFormat="false" ht="30" hidden="true" customHeight="true" outlineLevel="0" collapsed="false">
      <c r="A1178" s="4" t="s">
        <v>13</v>
      </c>
      <c r="B1178" s="4" t="s">
        <v>14</v>
      </c>
      <c r="C1178" s="5" t="n">
        <v>1329001689</v>
      </c>
      <c r="D1178" s="6" t="s">
        <v>1227</v>
      </c>
      <c r="E1178" s="6"/>
      <c r="F1178" s="7" t="n">
        <v>46064.2667454167</v>
      </c>
      <c r="G1178" s="7" t="n">
        <v>46064.5826550579</v>
      </c>
      <c r="H1178" s="8" t="n">
        <v>24</v>
      </c>
      <c r="I1178" s="5" t="n">
        <v>400920</v>
      </c>
      <c r="J1178" s="6" t="s">
        <v>197</v>
      </c>
      <c r="K1178" s="5" t="n">
        <v>100011191</v>
      </c>
      <c r="L1178" s="9" t="n">
        <v>46016</v>
      </c>
      <c r="M1178" s="10" t="n">
        <v>47841</v>
      </c>
    </row>
    <row r="1179" customFormat="false" ht="30" hidden="true" customHeight="true" outlineLevel="0" collapsed="false">
      <c r="A1179" s="4" t="s">
        <v>13</v>
      </c>
      <c r="B1179" s="4" t="s">
        <v>14</v>
      </c>
      <c r="C1179" s="5" t="n">
        <v>1329001689</v>
      </c>
      <c r="D1179" s="6" t="s">
        <v>1228</v>
      </c>
      <c r="E1179" s="6"/>
      <c r="F1179" s="7" t="n">
        <v>46064.2667454167</v>
      </c>
      <c r="G1179" s="7" t="n">
        <v>46064.5841074653</v>
      </c>
      <c r="H1179" s="8" t="n">
        <v>4</v>
      </c>
      <c r="I1179" s="5" t="n">
        <v>400508</v>
      </c>
      <c r="J1179" s="6" t="s">
        <v>1215</v>
      </c>
      <c r="K1179" s="5" t="n">
        <v>153000080</v>
      </c>
      <c r="L1179" s="9" t="n">
        <v>46058</v>
      </c>
      <c r="M1179" s="10" t="n">
        <v>47883</v>
      </c>
    </row>
    <row r="1180" customFormat="false" ht="30" hidden="true" customHeight="true" outlineLevel="0" collapsed="false">
      <c r="A1180" s="4" t="s">
        <v>13</v>
      </c>
      <c r="B1180" s="4" t="s">
        <v>14</v>
      </c>
      <c r="C1180" s="5" t="n">
        <v>1329001689</v>
      </c>
      <c r="D1180" s="6" t="s">
        <v>1229</v>
      </c>
      <c r="E1180" s="6"/>
      <c r="F1180" s="7" t="n">
        <v>46064.2667454167</v>
      </c>
      <c r="G1180" s="7" t="n">
        <v>46064.5817579051</v>
      </c>
      <c r="H1180" s="8" t="n">
        <v>4</v>
      </c>
      <c r="I1180" s="5" t="n">
        <v>400508</v>
      </c>
      <c r="J1180" s="6" t="s">
        <v>1215</v>
      </c>
      <c r="K1180" s="5" t="n">
        <v>153000080</v>
      </c>
      <c r="L1180" s="9" t="n">
        <v>46058</v>
      </c>
      <c r="M1180" s="10" t="n">
        <v>47883</v>
      </c>
    </row>
    <row r="1181" customFormat="false" ht="30" hidden="true" customHeight="true" outlineLevel="0" collapsed="false">
      <c r="A1181" s="4" t="s">
        <v>13</v>
      </c>
      <c r="B1181" s="4" t="s">
        <v>14</v>
      </c>
      <c r="C1181" s="5" t="n">
        <v>1329001689</v>
      </c>
      <c r="D1181" s="6" t="s">
        <v>1230</v>
      </c>
      <c r="E1181" s="6"/>
      <c r="F1181" s="7" t="n">
        <v>46064.2667454167</v>
      </c>
      <c r="G1181" s="7" t="n">
        <v>46064.5816516435</v>
      </c>
      <c r="H1181" s="8" t="n">
        <v>4</v>
      </c>
      <c r="I1181" s="5" t="n">
        <v>400508</v>
      </c>
      <c r="J1181" s="6" t="s">
        <v>1215</v>
      </c>
      <c r="K1181" s="5" t="n">
        <v>153000080</v>
      </c>
      <c r="L1181" s="9" t="n">
        <v>46058</v>
      </c>
      <c r="M1181" s="10" t="n">
        <v>47883</v>
      </c>
    </row>
    <row r="1182" customFormat="false" ht="30" hidden="true" customHeight="true" outlineLevel="0" collapsed="false">
      <c r="A1182" s="4" t="s">
        <v>13</v>
      </c>
      <c r="B1182" s="4" t="s">
        <v>14</v>
      </c>
      <c r="C1182" s="5" t="n">
        <v>1329001689</v>
      </c>
      <c r="D1182" s="6" t="s">
        <v>1231</v>
      </c>
      <c r="E1182" s="6"/>
      <c r="F1182" s="7" t="n">
        <v>46064.2667454167</v>
      </c>
      <c r="G1182" s="7" t="n">
        <v>46064.5815465394</v>
      </c>
      <c r="H1182" s="8" t="n">
        <v>4</v>
      </c>
      <c r="I1182" s="5" t="n">
        <v>400508</v>
      </c>
      <c r="J1182" s="6" t="s">
        <v>1215</v>
      </c>
      <c r="K1182" s="5" t="n">
        <v>153000080</v>
      </c>
      <c r="L1182" s="9" t="n">
        <v>46058</v>
      </c>
      <c r="M1182" s="10" t="n">
        <v>47883</v>
      </c>
    </row>
    <row r="1183" customFormat="false" ht="30" hidden="true" customHeight="true" outlineLevel="0" collapsed="false">
      <c r="A1183" s="4" t="s">
        <v>13</v>
      </c>
      <c r="B1183" s="4" t="s">
        <v>14</v>
      </c>
      <c r="C1183" s="5" t="n">
        <v>1329001689</v>
      </c>
      <c r="D1183" s="6" t="s">
        <v>1232</v>
      </c>
      <c r="E1183" s="6"/>
      <c r="F1183" s="7" t="n">
        <v>46064.2667454167</v>
      </c>
      <c r="G1183" s="7" t="n">
        <v>46064.5814251505</v>
      </c>
      <c r="H1183" s="8" t="n">
        <v>4</v>
      </c>
      <c r="I1183" s="5" t="n">
        <v>400508</v>
      </c>
      <c r="J1183" s="6" t="s">
        <v>1215</v>
      </c>
      <c r="K1183" s="5" t="n">
        <v>153000080</v>
      </c>
      <c r="L1183" s="9" t="n">
        <v>46058</v>
      </c>
      <c r="M1183" s="10" t="n">
        <v>47883</v>
      </c>
    </row>
    <row r="1184" customFormat="false" ht="30" hidden="true" customHeight="true" outlineLevel="0" collapsed="false">
      <c r="A1184" s="4" t="s">
        <v>13</v>
      </c>
      <c r="B1184" s="4" t="s">
        <v>14</v>
      </c>
      <c r="C1184" s="5" t="n">
        <v>1329001689</v>
      </c>
      <c r="D1184" s="6" t="s">
        <v>1233</v>
      </c>
      <c r="E1184" s="6"/>
      <c r="F1184" s="7" t="n">
        <v>46064.2667454167</v>
      </c>
      <c r="G1184" s="7" t="n">
        <v>46064.5813187732</v>
      </c>
      <c r="H1184" s="8" t="n">
        <v>4</v>
      </c>
      <c r="I1184" s="5" t="n">
        <v>400508</v>
      </c>
      <c r="J1184" s="6" t="s">
        <v>1215</v>
      </c>
      <c r="K1184" s="5" t="n">
        <v>153000080</v>
      </c>
      <c r="L1184" s="9" t="n">
        <v>46058</v>
      </c>
      <c r="M1184" s="10" t="n">
        <v>47883</v>
      </c>
    </row>
    <row r="1185" customFormat="false" ht="30" hidden="true" customHeight="true" outlineLevel="0" collapsed="false">
      <c r="A1185" s="4" t="s">
        <v>13</v>
      </c>
      <c r="B1185" s="4" t="s">
        <v>14</v>
      </c>
      <c r="C1185" s="5" t="n">
        <v>1329001689</v>
      </c>
      <c r="D1185" s="6" t="s">
        <v>1234</v>
      </c>
      <c r="E1185" s="6"/>
      <c r="F1185" s="7" t="n">
        <v>46064.2667454167</v>
      </c>
      <c r="G1185" s="7" t="n">
        <v>46064.5812080093</v>
      </c>
      <c r="H1185" s="8" t="n">
        <v>4</v>
      </c>
      <c r="I1185" s="5" t="n">
        <v>400508</v>
      </c>
      <c r="J1185" s="6" t="s">
        <v>1215</v>
      </c>
      <c r="K1185" s="5" t="n">
        <v>153000080</v>
      </c>
      <c r="L1185" s="9" t="n">
        <v>46058</v>
      </c>
      <c r="M1185" s="10" t="n">
        <v>47883</v>
      </c>
    </row>
    <row r="1186" customFormat="false" ht="30" hidden="true" customHeight="true" outlineLevel="0" collapsed="false">
      <c r="A1186" s="4" t="s">
        <v>13</v>
      </c>
      <c r="B1186" s="4" t="s">
        <v>14</v>
      </c>
      <c r="C1186" s="5" t="n">
        <v>1329001689</v>
      </c>
      <c r="D1186" s="6" t="s">
        <v>1235</v>
      </c>
      <c r="E1186" s="6"/>
      <c r="F1186" s="7" t="n">
        <v>46064.2667454167</v>
      </c>
      <c r="G1186" s="7" t="n">
        <v>46064.5861446528</v>
      </c>
      <c r="H1186" s="8" t="n">
        <v>4</v>
      </c>
      <c r="I1186" s="5" t="n">
        <v>400411</v>
      </c>
      <c r="J1186" s="6" t="s">
        <v>1217</v>
      </c>
      <c r="K1186" s="5" t="n">
        <v>153000104</v>
      </c>
      <c r="L1186" s="9" t="n">
        <v>46063</v>
      </c>
      <c r="M1186" s="10" t="n">
        <v>47888</v>
      </c>
    </row>
    <row r="1187" customFormat="false" ht="30" hidden="true" customHeight="true" outlineLevel="0" collapsed="false">
      <c r="A1187" s="4" t="s">
        <v>13</v>
      </c>
      <c r="B1187" s="4" t="s">
        <v>14</v>
      </c>
      <c r="C1187" s="5" t="n">
        <v>1329001689</v>
      </c>
      <c r="D1187" s="6" t="s">
        <v>1236</v>
      </c>
      <c r="E1187" s="6"/>
      <c r="F1187" s="7" t="n">
        <v>46064.2667454167</v>
      </c>
      <c r="G1187" s="7" t="n">
        <v>46064.5819902546</v>
      </c>
      <c r="H1187" s="8" t="n">
        <v>24</v>
      </c>
      <c r="I1187" s="5" t="n">
        <v>400920</v>
      </c>
      <c r="J1187" s="6" t="s">
        <v>197</v>
      </c>
      <c r="K1187" s="5" t="n">
        <v>100011191</v>
      </c>
      <c r="L1187" s="9" t="n">
        <v>46016</v>
      </c>
      <c r="M1187" s="10" t="n">
        <v>47841</v>
      </c>
    </row>
    <row r="1188" customFormat="false" ht="30" hidden="true" customHeight="true" outlineLevel="0" collapsed="false">
      <c r="A1188" s="4" t="s">
        <v>109</v>
      </c>
      <c r="B1188" s="4" t="s">
        <v>14</v>
      </c>
      <c r="C1188" s="5" t="n">
        <v>1329001684</v>
      </c>
      <c r="D1188" s="6" t="s">
        <v>1237</v>
      </c>
      <c r="E1188" s="6"/>
      <c r="F1188" s="7" t="n">
        <v>46064.4377757407</v>
      </c>
      <c r="G1188" s="7" t="n">
        <v>46064.443480081</v>
      </c>
      <c r="H1188" s="8" t="n">
        <v>24</v>
      </c>
      <c r="I1188" s="5" t="n">
        <v>400413</v>
      </c>
      <c r="J1188" s="6" t="s">
        <v>168</v>
      </c>
      <c r="K1188" s="5" t="n">
        <v>100010992</v>
      </c>
      <c r="L1188" s="9" t="n">
        <v>45998</v>
      </c>
      <c r="M1188" s="10" t="n">
        <v>47823</v>
      </c>
    </row>
    <row r="1189" customFormat="false" ht="30" hidden="true" customHeight="true" outlineLevel="0" collapsed="false">
      <c r="A1189" s="4" t="s">
        <v>109</v>
      </c>
      <c r="B1189" s="4" t="s">
        <v>14</v>
      </c>
      <c r="C1189" s="5" t="n">
        <v>1329001684</v>
      </c>
      <c r="D1189" s="6" t="s">
        <v>1238</v>
      </c>
      <c r="E1189" s="6"/>
      <c r="F1189" s="7" t="n">
        <v>46064.4377757407</v>
      </c>
      <c r="G1189" s="7" t="n">
        <v>46064.4709146528</v>
      </c>
      <c r="H1189" s="8" t="n">
        <v>2</v>
      </c>
      <c r="I1189" s="5" t="n">
        <v>400426</v>
      </c>
      <c r="J1189" s="6" t="s">
        <v>831</v>
      </c>
      <c r="K1189" s="5" t="n">
        <v>100010498</v>
      </c>
      <c r="L1189" s="9"/>
      <c r="M1189" s="10" t="n">
        <v>47868</v>
      </c>
    </row>
    <row r="1190" customFormat="false" ht="30" hidden="true" customHeight="true" outlineLevel="0" collapsed="false">
      <c r="A1190" s="4" t="s">
        <v>109</v>
      </c>
      <c r="B1190" s="4" t="s">
        <v>14</v>
      </c>
      <c r="C1190" s="5" t="n">
        <v>1329001684</v>
      </c>
      <c r="D1190" s="6" t="s">
        <v>1239</v>
      </c>
      <c r="E1190" s="6"/>
      <c r="F1190" s="7" t="n">
        <v>46064.4377757407</v>
      </c>
      <c r="G1190" s="7" t="n">
        <v>46064.4692137269</v>
      </c>
      <c r="H1190" s="8" t="n">
        <v>6</v>
      </c>
      <c r="I1190" s="5" t="n">
        <v>400426</v>
      </c>
      <c r="J1190" s="6" t="s">
        <v>831</v>
      </c>
      <c r="K1190" s="5" t="n">
        <v>153000039</v>
      </c>
      <c r="L1190" s="9"/>
      <c r="M1190" s="10" t="n">
        <v>47868</v>
      </c>
    </row>
    <row r="1191" customFormat="false" ht="30" hidden="true" customHeight="true" outlineLevel="0" collapsed="false">
      <c r="A1191" s="4" t="s">
        <v>109</v>
      </c>
      <c r="B1191" s="4" t="s">
        <v>14</v>
      </c>
      <c r="C1191" s="5" t="n">
        <v>1329001684</v>
      </c>
      <c r="D1191" s="6" t="s">
        <v>1240</v>
      </c>
      <c r="E1191" s="6"/>
      <c r="F1191" s="7" t="n">
        <v>46064.4377757407</v>
      </c>
      <c r="G1191" s="7" t="n">
        <v>46064.4564699769</v>
      </c>
      <c r="H1191" s="8" t="n">
        <v>24</v>
      </c>
      <c r="I1191" s="5" t="n">
        <v>400413</v>
      </c>
      <c r="J1191" s="6" t="s">
        <v>168</v>
      </c>
      <c r="K1191" s="5" t="n">
        <v>100011150</v>
      </c>
      <c r="L1191" s="9"/>
      <c r="M1191" s="10" t="n">
        <v>47802</v>
      </c>
    </row>
    <row r="1192" customFormat="false" ht="30" hidden="true" customHeight="true" outlineLevel="0" collapsed="false">
      <c r="A1192" s="4" t="s">
        <v>109</v>
      </c>
      <c r="B1192" s="4" t="s">
        <v>14</v>
      </c>
      <c r="C1192" s="5" t="n">
        <v>1329001684</v>
      </c>
      <c r="D1192" s="6" t="s">
        <v>1241</v>
      </c>
      <c r="E1192" s="6"/>
      <c r="F1192" s="7" t="n">
        <v>46064.4377757407</v>
      </c>
      <c r="G1192" s="7" t="n">
        <v>46064.4544107176</v>
      </c>
      <c r="H1192" s="8" t="n">
        <v>24</v>
      </c>
      <c r="I1192" s="5" t="n">
        <v>400413</v>
      </c>
      <c r="J1192" s="6" t="s">
        <v>168</v>
      </c>
      <c r="K1192" s="5" t="n">
        <v>100010677</v>
      </c>
      <c r="L1192" s="9"/>
      <c r="M1192" s="10" t="n">
        <v>47802</v>
      </c>
    </row>
    <row r="1193" customFormat="false" ht="30" hidden="true" customHeight="true" outlineLevel="0" collapsed="false">
      <c r="A1193" s="4" t="s">
        <v>109</v>
      </c>
      <c r="B1193" s="4" t="s">
        <v>14</v>
      </c>
      <c r="C1193" s="5" t="n">
        <v>1329001684</v>
      </c>
      <c r="D1193" s="6" t="s">
        <v>1242</v>
      </c>
      <c r="E1193" s="6"/>
      <c r="F1193" s="7" t="n">
        <v>46064.4377757407</v>
      </c>
      <c r="G1193" s="7" t="n">
        <v>46064.4424429398</v>
      </c>
      <c r="H1193" s="8" t="n">
        <v>24</v>
      </c>
      <c r="I1193" s="5" t="n">
        <v>400413</v>
      </c>
      <c r="J1193" s="6" t="s">
        <v>168</v>
      </c>
      <c r="K1193" s="5" t="n">
        <v>100011005</v>
      </c>
      <c r="L1193" s="9" t="n">
        <v>45998</v>
      </c>
      <c r="M1193" s="10" t="n">
        <v>47823</v>
      </c>
    </row>
    <row r="1194" customFormat="false" ht="30" hidden="true" customHeight="true" outlineLevel="0" collapsed="false">
      <c r="A1194" s="4" t="s">
        <v>109</v>
      </c>
      <c r="B1194" s="4" t="s">
        <v>14</v>
      </c>
      <c r="C1194" s="5" t="n">
        <v>1329001684</v>
      </c>
      <c r="D1194" s="6" t="s">
        <v>1243</v>
      </c>
      <c r="E1194" s="6"/>
      <c r="F1194" s="7" t="n">
        <v>46064.4377757407</v>
      </c>
      <c r="G1194" s="7" t="n">
        <v>46064.4632350463</v>
      </c>
      <c r="H1194" s="8" t="n">
        <v>24</v>
      </c>
      <c r="I1194" s="5" t="n">
        <v>400426</v>
      </c>
      <c r="J1194" s="6" t="s">
        <v>831</v>
      </c>
      <c r="K1194" s="5" t="n">
        <v>153000042</v>
      </c>
      <c r="L1194" s="9" t="n">
        <v>46043</v>
      </c>
      <c r="M1194" s="10" t="n">
        <v>47868</v>
      </c>
    </row>
    <row r="1195" customFormat="false" ht="30" hidden="true" customHeight="true" outlineLevel="0" collapsed="false">
      <c r="A1195" s="4" t="s">
        <v>109</v>
      </c>
      <c r="B1195" s="4" t="s">
        <v>14</v>
      </c>
      <c r="C1195" s="5" t="n">
        <v>1329001684</v>
      </c>
      <c r="D1195" s="6" t="s">
        <v>1244</v>
      </c>
      <c r="E1195" s="6"/>
      <c r="F1195" s="7" t="n">
        <v>46064.4377757407</v>
      </c>
      <c r="G1195" s="7" t="n">
        <v>46064.466823287</v>
      </c>
      <c r="H1195" s="8" t="n">
        <v>4</v>
      </c>
      <c r="I1195" s="5" t="n">
        <v>400426</v>
      </c>
      <c r="J1195" s="6" t="s">
        <v>831</v>
      </c>
      <c r="K1195" s="5" t="n">
        <v>100010208</v>
      </c>
      <c r="L1195" s="9" t="n">
        <v>46057</v>
      </c>
      <c r="M1195" s="10" t="n">
        <v>47882</v>
      </c>
    </row>
    <row r="1196" customFormat="false" ht="30" hidden="true" customHeight="true" outlineLevel="0" collapsed="false">
      <c r="A1196" s="4" t="s">
        <v>109</v>
      </c>
      <c r="B1196" s="4" t="s">
        <v>14</v>
      </c>
      <c r="C1196" s="5" t="n">
        <v>1329001684</v>
      </c>
      <c r="D1196" s="6" t="s">
        <v>1245</v>
      </c>
      <c r="E1196" s="6"/>
      <c r="F1196" s="7" t="n">
        <v>46064.4377757407</v>
      </c>
      <c r="G1196" s="7" t="n">
        <v>46064.4658569676</v>
      </c>
      <c r="H1196" s="8" t="n">
        <v>12</v>
      </c>
      <c r="I1196" s="5" t="n">
        <v>400426</v>
      </c>
      <c r="J1196" s="6" t="s">
        <v>831</v>
      </c>
      <c r="K1196" s="5" t="n">
        <v>100005205</v>
      </c>
      <c r="L1196" s="9" t="n">
        <v>46053</v>
      </c>
      <c r="M1196" s="10" t="n">
        <v>47878</v>
      </c>
    </row>
    <row r="1197" customFormat="false" ht="30" hidden="true" customHeight="true" outlineLevel="0" collapsed="false">
      <c r="A1197" s="4" t="s">
        <v>109</v>
      </c>
      <c r="B1197" s="4" t="s">
        <v>14</v>
      </c>
      <c r="C1197" s="5" t="n">
        <v>1329001684</v>
      </c>
      <c r="D1197" s="6" t="s">
        <v>1246</v>
      </c>
      <c r="E1197" s="6"/>
      <c r="F1197" s="7" t="n">
        <v>46064.4377757407</v>
      </c>
      <c r="G1197" s="7" t="n">
        <v>46064.4650653935</v>
      </c>
      <c r="H1197" s="8" t="n">
        <v>24</v>
      </c>
      <c r="I1197" s="5" t="n">
        <v>400426</v>
      </c>
      <c r="J1197" s="6" t="s">
        <v>831</v>
      </c>
      <c r="K1197" s="5" t="n">
        <v>153000039</v>
      </c>
      <c r="L1197" s="9" t="n">
        <v>46043</v>
      </c>
      <c r="M1197" s="10" t="n">
        <v>47868</v>
      </c>
    </row>
    <row r="1198" customFormat="false" ht="30" hidden="true" customHeight="true" outlineLevel="0" collapsed="false">
      <c r="A1198" s="4" t="s">
        <v>109</v>
      </c>
      <c r="B1198" s="4" t="s">
        <v>14</v>
      </c>
      <c r="C1198" s="5" t="n">
        <v>1329001684</v>
      </c>
      <c r="D1198" s="6" t="s">
        <v>1247</v>
      </c>
      <c r="E1198" s="6"/>
      <c r="F1198" s="7" t="n">
        <v>46064.4377757407</v>
      </c>
      <c r="G1198" s="7" t="n">
        <v>46064.4638634375</v>
      </c>
      <c r="H1198" s="8" t="n">
        <v>24</v>
      </c>
      <c r="I1198" s="5" t="n">
        <v>400426</v>
      </c>
      <c r="J1198" s="6" t="s">
        <v>831</v>
      </c>
      <c r="K1198" s="5" t="n">
        <v>153000042</v>
      </c>
      <c r="L1198" s="9" t="n">
        <v>46043</v>
      </c>
      <c r="M1198" s="10" t="n">
        <v>47868</v>
      </c>
    </row>
    <row r="1199" customFormat="false" ht="30" hidden="true" customHeight="true" outlineLevel="0" collapsed="false">
      <c r="A1199" s="4" t="s">
        <v>109</v>
      </c>
      <c r="B1199" s="4" t="s">
        <v>14</v>
      </c>
      <c r="C1199" s="5" t="n">
        <v>1329001684</v>
      </c>
      <c r="D1199" s="6" t="s">
        <v>1248</v>
      </c>
      <c r="E1199" s="6"/>
      <c r="F1199" s="7" t="n">
        <v>46064.4377757407</v>
      </c>
      <c r="G1199" s="7" t="n">
        <v>46064.4622911921</v>
      </c>
      <c r="H1199" s="8" t="n">
        <v>24</v>
      </c>
      <c r="I1199" s="5" t="n">
        <v>400413</v>
      </c>
      <c r="J1199" s="6" t="s">
        <v>168</v>
      </c>
      <c r="K1199" s="5" t="n">
        <v>100010992</v>
      </c>
      <c r="L1199" s="9" t="n">
        <v>45998</v>
      </c>
      <c r="M1199" s="10" t="n">
        <v>47823</v>
      </c>
    </row>
    <row r="1200" customFormat="false" ht="30" hidden="true" customHeight="true" outlineLevel="0" collapsed="false">
      <c r="A1200" s="4" t="s">
        <v>109</v>
      </c>
      <c r="B1200" s="4" t="s">
        <v>14</v>
      </c>
      <c r="C1200" s="5" t="n">
        <v>1329001684</v>
      </c>
      <c r="D1200" s="6" t="s">
        <v>1249</v>
      </c>
      <c r="E1200" s="6"/>
      <c r="F1200" s="7" t="n">
        <v>46064.4377757407</v>
      </c>
      <c r="G1200" s="7" t="n">
        <v>46064.4612692824</v>
      </c>
      <c r="H1200" s="8" t="n">
        <v>24</v>
      </c>
      <c r="I1200" s="5" t="n">
        <v>400413</v>
      </c>
      <c r="J1200" s="6" t="s">
        <v>168</v>
      </c>
      <c r="K1200" s="5" t="n">
        <v>100004988</v>
      </c>
      <c r="L1200" s="9" t="n">
        <v>46057</v>
      </c>
      <c r="M1200" s="10" t="n">
        <v>47882</v>
      </c>
    </row>
    <row r="1201" customFormat="false" ht="30" hidden="true" customHeight="true" outlineLevel="0" collapsed="false">
      <c r="A1201" s="4" t="s">
        <v>109</v>
      </c>
      <c r="B1201" s="4" t="s">
        <v>14</v>
      </c>
      <c r="C1201" s="5" t="n">
        <v>1329001684</v>
      </c>
      <c r="D1201" s="6" t="s">
        <v>1250</v>
      </c>
      <c r="E1201" s="6"/>
      <c r="F1201" s="7" t="n">
        <v>46064.4377757407</v>
      </c>
      <c r="G1201" s="7" t="n">
        <v>46064.4598061574</v>
      </c>
      <c r="H1201" s="8" t="n">
        <v>24</v>
      </c>
      <c r="I1201" s="5" t="n">
        <v>400413</v>
      </c>
      <c r="J1201" s="6" t="s">
        <v>168</v>
      </c>
      <c r="K1201" s="5" t="n">
        <v>100011005</v>
      </c>
      <c r="L1201" s="9" t="n">
        <v>45998</v>
      </c>
      <c r="M1201" s="10" t="n">
        <v>47823</v>
      </c>
    </row>
    <row r="1202" customFormat="false" ht="30" hidden="true" customHeight="true" outlineLevel="0" collapsed="false">
      <c r="A1202" s="4" t="s">
        <v>109</v>
      </c>
      <c r="B1202" s="4" t="s">
        <v>14</v>
      </c>
      <c r="C1202" s="5" t="n">
        <v>1329001684</v>
      </c>
      <c r="D1202" s="6" t="s">
        <v>1251</v>
      </c>
      <c r="E1202" s="6"/>
      <c r="F1202" s="7" t="n">
        <v>46064.4377757407</v>
      </c>
      <c r="G1202" s="7" t="n">
        <v>46064.4589433449</v>
      </c>
      <c r="H1202" s="8" t="n">
        <v>24</v>
      </c>
      <c r="I1202" s="5" t="n">
        <v>400413</v>
      </c>
      <c r="J1202" s="6" t="s">
        <v>168</v>
      </c>
      <c r="K1202" s="5" t="n">
        <v>100011005</v>
      </c>
      <c r="L1202" s="9" t="n">
        <v>45998</v>
      </c>
      <c r="M1202" s="10" t="n">
        <v>47823</v>
      </c>
    </row>
    <row r="1203" customFormat="false" ht="30" hidden="true" customHeight="true" outlineLevel="0" collapsed="false">
      <c r="A1203" s="4" t="s">
        <v>109</v>
      </c>
      <c r="B1203" s="4" t="s">
        <v>14</v>
      </c>
      <c r="C1203" s="5" t="n">
        <v>1329001684</v>
      </c>
      <c r="D1203" s="6" t="s">
        <v>1252</v>
      </c>
      <c r="E1203" s="6"/>
      <c r="F1203" s="7" t="n">
        <v>46064.4377757407</v>
      </c>
      <c r="G1203" s="7" t="n">
        <v>46064.4581847338</v>
      </c>
      <c r="H1203" s="8" t="n">
        <v>24</v>
      </c>
      <c r="I1203" s="5" t="n">
        <v>400413</v>
      </c>
      <c r="J1203" s="6" t="s">
        <v>168</v>
      </c>
      <c r="K1203" s="5" t="n">
        <v>100011005</v>
      </c>
      <c r="L1203" s="9" t="n">
        <v>45998</v>
      </c>
      <c r="M1203" s="10" t="n">
        <v>47823</v>
      </c>
    </row>
    <row r="1204" customFormat="false" ht="30" hidden="true" customHeight="true" outlineLevel="0" collapsed="false">
      <c r="A1204" s="4" t="s">
        <v>109</v>
      </c>
      <c r="B1204" s="4" t="s">
        <v>14</v>
      </c>
      <c r="C1204" s="5" t="n">
        <v>1329001684</v>
      </c>
      <c r="D1204" s="6" t="s">
        <v>1253</v>
      </c>
      <c r="E1204" s="6"/>
      <c r="F1204" s="7" t="n">
        <v>46064.4377757407</v>
      </c>
      <c r="G1204" s="7" t="n">
        <v>46064.4573323495</v>
      </c>
      <c r="H1204" s="8" t="n">
        <v>24</v>
      </c>
      <c r="I1204" s="5" t="n">
        <v>400413</v>
      </c>
      <c r="J1204" s="6" t="s">
        <v>168</v>
      </c>
      <c r="K1204" s="5" t="n">
        <v>100011150</v>
      </c>
      <c r="L1204" s="9" t="n">
        <v>45977</v>
      </c>
      <c r="M1204" s="10" t="n">
        <v>47802</v>
      </c>
    </row>
    <row r="1205" customFormat="false" ht="30" hidden="true" customHeight="true" outlineLevel="0" collapsed="false">
      <c r="A1205" s="4" t="s">
        <v>109</v>
      </c>
      <c r="B1205" s="4" t="s">
        <v>14</v>
      </c>
      <c r="C1205" s="5" t="n">
        <v>1329001684</v>
      </c>
      <c r="D1205" s="6" t="s">
        <v>1254</v>
      </c>
      <c r="E1205" s="6"/>
      <c r="F1205" s="7" t="n">
        <v>46064.4377757407</v>
      </c>
      <c r="G1205" s="7" t="n">
        <v>46064.4553041319</v>
      </c>
      <c r="H1205" s="8" t="n">
        <v>24</v>
      </c>
      <c r="I1205" s="5" t="n">
        <v>400413</v>
      </c>
      <c r="J1205" s="6" t="s">
        <v>168</v>
      </c>
      <c r="K1205" s="5" t="n">
        <v>100011005</v>
      </c>
      <c r="L1205" s="9" t="n">
        <v>45998</v>
      </c>
      <c r="M1205" s="10" t="n">
        <v>47823</v>
      </c>
    </row>
    <row r="1206" customFormat="false" ht="30" hidden="true" customHeight="true" outlineLevel="0" collapsed="false">
      <c r="A1206" s="4" t="s">
        <v>109</v>
      </c>
      <c r="B1206" s="4" t="s">
        <v>14</v>
      </c>
      <c r="C1206" s="5" t="n">
        <v>1329001684</v>
      </c>
      <c r="D1206" s="6" t="s">
        <v>1255</v>
      </c>
      <c r="E1206" s="6"/>
      <c r="F1206" s="7" t="n">
        <v>46064.4377757407</v>
      </c>
      <c r="G1206" s="7" t="n">
        <v>46064.4532524653</v>
      </c>
      <c r="H1206" s="8" t="n">
        <v>24</v>
      </c>
      <c r="I1206" s="5" t="n">
        <v>400413</v>
      </c>
      <c r="J1206" s="6" t="s">
        <v>168</v>
      </c>
      <c r="K1206" s="5" t="n">
        <v>100011005</v>
      </c>
      <c r="L1206" s="9" t="n">
        <v>45998</v>
      </c>
      <c r="M1206" s="10" t="n">
        <v>47823</v>
      </c>
    </row>
    <row r="1207" customFormat="false" ht="30" hidden="true" customHeight="true" outlineLevel="0" collapsed="false">
      <c r="A1207" s="4" t="s">
        <v>109</v>
      </c>
      <c r="B1207" s="4" t="s">
        <v>14</v>
      </c>
      <c r="C1207" s="5" t="n">
        <v>1329001684</v>
      </c>
      <c r="D1207" s="6" t="s">
        <v>1256</v>
      </c>
      <c r="E1207" s="6"/>
      <c r="F1207" s="7" t="n">
        <v>46064.4377757407</v>
      </c>
      <c r="G1207" s="7" t="n">
        <v>46064.4526043981</v>
      </c>
      <c r="H1207" s="8" t="n">
        <v>24</v>
      </c>
      <c r="I1207" s="5" t="n">
        <v>400413</v>
      </c>
      <c r="J1207" s="6" t="s">
        <v>168</v>
      </c>
      <c r="K1207" s="5" t="n">
        <v>100011005</v>
      </c>
      <c r="L1207" s="9" t="n">
        <v>45998</v>
      </c>
      <c r="M1207" s="10" t="n">
        <v>47823</v>
      </c>
    </row>
    <row r="1208" customFormat="false" ht="30" hidden="true" customHeight="true" outlineLevel="0" collapsed="false">
      <c r="A1208" s="4" t="s">
        <v>109</v>
      </c>
      <c r="B1208" s="4" t="s">
        <v>14</v>
      </c>
      <c r="C1208" s="5" t="n">
        <v>1329001684</v>
      </c>
      <c r="D1208" s="6" t="s">
        <v>1257</v>
      </c>
      <c r="E1208" s="6"/>
      <c r="F1208" s="7" t="n">
        <v>46064.4377757407</v>
      </c>
      <c r="G1208" s="7" t="n">
        <v>46064.4517362732</v>
      </c>
      <c r="H1208" s="8" t="n">
        <v>24</v>
      </c>
      <c r="I1208" s="5" t="n">
        <v>400413</v>
      </c>
      <c r="J1208" s="6" t="s">
        <v>168</v>
      </c>
      <c r="K1208" s="5" t="n">
        <v>100004894</v>
      </c>
      <c r="L1208" s="9" t="n">
        <v>45998</v>
      </c>
      <c r="M1208" s="10" t="n">
        <v>47823</v>
      </c>
    </row>
    <row r="1209" customFormat="false" ht="30" hidden="true" customHeight="true" outlineLevel="0" collapsed="false">
      <c r="A1209" s="4" t="s">
        <v>109</v>
      </c>
      <c r="B1209" s="4" t="s">
        <v>14</v>
      </c>
      <c r="C1209" s="5" t="n">
        <v>1329001684</v>
      </c>
      <c r="D1209" s="6" t="s">
        <v>1258</v>
      </c>
      <c r="E1209" s="6"/>
      <c r="F1209" s="7" t="n">
        <v>46064.4377757407</v>
      </c>
      <c r="G1209" s="7" t="n">
        <v>46064.4484905903</v>
      </c>
      <c r="H1209" s="8" t="n">
        <v>24</v>
      </c>
      <c r="I1209" s="5" t="n">
        <v>400413</v>
      </c>
      <c r="J1209" s="6" t="s">
        <v>168</v>
      </c>
      <c r="K1209" s="5" t="n">
        <v>100011005</v>
      </c>
      <c r="L1209" s="9" t="n">
        <v>45998</v>
      </c>
      <c r="M1209" s="10" t="n">
        <v>47823</v>
      </c>
    </row>
    <row r="1210" customFormat="false" ht="30" hidden="true" customHeight="true" outlineLevel="0" collapsed="false">
      <c r="A1210" s="4" t="s">
        <v>109</v>
      </c>
      <c r="B1210" s="4" t="s">
        <v>14</v>
      </c>
      <c r="C1210" s="5" t="n">
        <v>1329001684</v>
      </c>
      <c r="D1210" s="6" t="s">
        <v>1259</v>
      </c>
      <c r="E1210" s="6"/>
      <c r="F1210" s="7" t="n">
        <v>46064.4377757407</v>
      </c>
      <c r="G1210" s="7" t="n">
        <v>46064.4475292824</v>
      </c>
      <c r="H1210" s="8" t="n">
        <v>24</v>
      </c>
      <c r="I1210" s="5" t="n">
        <v>400413</v>
      </c>
      <c r="J1210" s="6" t="s">
        <v>168</v>
      </c>
      <c r="K1210" s="5" t="n">
        <v>100010992</v>
      </c>
      <c r="L1210" s="9" t="n">
        <v>45998</v>
      </c>
      <c r="M1210" s="10" t="n">
        <v>47823</v>
      </c>
    </row>
    <row r="1211" customFormat="false" ht="30" hidden="true" customHeight="true" outlineLevel="0" collapsed="false">
      <c r="A1211" s="4" t="s">
        <v>109</v>
      </c>
      <c r="B1211" s="4" t="s">
        <v>14</v>
      </c>
      <c r="C1211" s="5" t="n">
        <v>1329001684</v>
      </c>
      <c r="D1211" s="6" t="s">
        <v>1260</v>
      </c>
      <c r="E1211" s="6"/>
      <c r="F1211" s="7" t="n">
        <v>46064.4377757407</v>
      </c>
      <c r="G1211" s="7" t="n">
        <v>46064.446683206</v>
      </c>
      <c r="H1211" s="8" t="n">
        <v>24</v>
      </c>
      <c r="I1211" s="5" t="n">
        <v>400413</v>
      </c>
      <c r="J1211" s="6" t="s">
        <v>168</v>
      </c>
      <c r="K1211" s="5" t="n">
        <v>100011005</v>
      </c>
      <c r="L1211" s="9" t="n">
        <v>45998</v>
      </c>
      <c r="M1211" s="10" t="n">
        <v>47823</v>
      </c>
    </row>
    <row r="1212" customFormat="false" ht="30" hidden="true" customHeight="true" outlineLevel="0" collapsed="false">
      <c r="A1212" s="4" t="s">
        <v>109</v>
      </c>
      <c r="B1212" s="4" t="s">
        <v>14</v>
      </c>
      <c r="C1212" s="5" t="n">
        <v>1329001684</v>
      </c>
      <c r="D1212" s="6" t="s">
        <v>1261</v>
      </c>
      <c r="E1212" s="6"/>
      <c r="F1212" s="7" t="n">
        <v>46064.4377757407</v>
      </c>
      <c r="G1212" s="7" t="n">
        <v>46064.4459357292</v>
      </c>
      <c r="H1212" s="8" t="n">
        <v>24</v>
      </c>
      <c r="I1212" s="5" t="n">
        <v>400413</v>
      </c>
      <c r="J1212" s="6" t="s">
        <v>168</v>
      </c>
      <c r="K1212" s="5" t="n">
        <v>100010992</v>
      </c>
      <c r="L1212" s="9" t="n">
        <v>45998</v>
      </c>
      <c r="M1212" s="10" t="n">
        <v>47823</v>
      </c>
    </row>
    <row r="1213" customFormat="false" ht="30" hidden="true" customHeight="true" outlineLevel="0" collapsed="false">
      <c r="A1213" s="4" t="s">
        <v>109</v>
      </c>
      <c r="B1213" s="4" t="s">
        <v>14</v>
      </c>
      <c r="C1213" s="5" t="n">
        <v>1329001684</v>
      </c>
      <c r="D1213" s="6" t="s">
        <v>1262</v>
      </c>
      <c r="E1213" s="6"/>
      <c r="F1213" s="7" t="n">
        <v>46064.4377757407</v>
      </c>
      <c r="G1213" s="7" t="n">
        <v>46064.4450711574</v>
      </c>
      <c r="H1213" s="8" t="n">
        <v>24</v>
      </c>
      <c r="I1213" s="5" t="n">
        <v>400413</v>
      </c>
      <c r="J1213" s="6" t="s">
        <v>168</v>
      </c>
      <c r="K1213" s="5" t="n">
        <v>100011005</v>
      </c>
      <c r="L1213" s="9" t="n">
        <v>45998</v>
      </c>
      <c r="M1213" s="10" t="n">
        <v>47823</v>
      </c>
    </row>
    <row r="1214" customFormat="false" ht="30" hidden="true" customHeight="true" outlineLevel="0" collapsed="false">
      <c r="A1214" s="4" t="s">
        <v>109</v>
      </c>
      <c r="B1214" s="4" t="s">
        <v>14</v>
      </c>
      <c r="C1214" s="5" t="n">
        <v>1329001684</v>
      </c>
      <c r="D1214" s="6" t="s">
        <v>1263</v>
      </c>
      <c r="E1214" s="6"/>
      <c r="F1214" s="7" t="n">
        <v>46064.4377757407</v>
      </c>
      <c r="G1214" s="7" t="n">
        <v>46064.4443198958</v>
      </c>
      <c r="H1214" s="8" t="n">
        <v>24</v>
      </c>
      <c r="I1214" s="5" t="n">
        <v>400413</v>
      </c>
      <c r="J1214" s="6" t="s">
        <v>168</v>
      </c>
      <c r="K1214" s="5" t="n">
        <v>100011006</v>
      </c>
      <c r="L1214" s="9" t="n">
        <v>45998</v>
      </c>
      <c r="M1214" s="10" t="n">
        <v>47823</v>
      </c>
    </row>
    <row r="1215" customFormat="false" ht="30" hidden="true" customHeight="true" outlineLevel="0" collapsed="false">
      <c r="A1215" s="4" t="s">
        <v>109</v>
      </c>
      <c r="B1215" s="4" t="s">
        <v>14</v>
      </c>
      <c r="C1215" s="5" t="n">
        <v>1329001683</v>
      </c>
      <c r="D1215" s="6" t="s">
        <v>1264</v>
      </c>
      <c r="E1215" s="6"/>
      <c r="F1215" s="7" t="n">
        <v>46065.2815245255</v>
      </c>
      <c r="G1215" s="7" t="n">
        <v>46065.4755621875</v>
      </c>
      <c r="H1215" s="8" t="n">
        <v>4</v>
      </c>
      <c r="I1215" s="5" t="n">
        <v>400441</v>
      </c>
      <c r="J1215" s="6" t="s">
        <v>80</v>
      </c>
      <c r="K1215" s="5" t="n">
        <v>153000086</v>
      </c>
      <c r="L1215" s="9" t="n">
        <v>46060</v>
      </c>
      <c r="M1215" s="10" t="n">
        <v>47885</v>
      </c>
    </row>
    <row r="1216" customFormat="false" ht="30" hidden="true" customHeight="true" outlineLevel="0" collapsed="false">
      <c r="A1216" s="4" t="s">
        <v>109</v>
      </c>
      <c r="B1216" s="4" t="s">
        <v>14</v>
      </c>
      <c r="C1216" s="5" t="n">
        <v>1329001683</v>
      </c>
      <c r="D1216" s="6" t="s">
        <v>1265</v>
      </c>
      <c r="E1216" s="6"/>
      <c r="F1216" s="7" t="n">
        <v>46065.2815245255</v>
      </c>
      <c r="G1216" s="7" t="n">
        <v>46065.4748906829</v>
      </c>
      <c r="H1216" s="8" t="n">
        <v>4</v>
      </c>
      <c r="I1216" s="5" t="n">
        <v>400441</v>
      </c>
      <c r="J1216" s="6" t="s">
        <v>80</v>
      </c>
      <c r="K1216" s="5" t="n">
        <v>153000086</v>
      </c>
      <c r="L1216" s="9" t="n">
        <v>46060</v>
      </c>
      <c r="M1216" s="10" t="n">
        <v>47885</v>
      </c>
    </row>
    <row r="1217" customFormat="false" ht="30" hidden="true" customHeight="true" outlineLevel="0" collapsed="false">
      <c r="A1217" s="4" t="s">
        <v>109</v>
      </c>
      <c r="B1217" s="4" t="s">
        <v>14</v>
      </c>
      <c r="C1217" s="5" t="n">
        <v>1329001683</v>
      </c>
      <c r="D1217" s="6" t="s">
        <v>1266</v>
      </c>
      <c r="E1217" s="6"/>
      <c r="F1217" s="7" t="n">
        <v>46065.2815245255</v>
      </c>
      <c r="G1217" s="7" t="n">
        <v>46065.4919655787</v>
      </c>
      <c r="H1217" s="8" t="n">
        <v>22</v>
      </c>
      <c r="I1217" s="5" t="n">
        <v>400932</v>
      </c>
      <c r="J1217" s="6" t="s">
        <v>194</v>
      </c>
      <c r="K1217" s="5" t="n">
        <v>100009226</v>
      </c>
      <c r="L1217" s="9" t="n">
        <v>45803</v>
      </c>
      <c r="M1217" s="10" t="n">
        <v>47628</v>
      </c>
    </row>
    <row r="1218" customFormat="false" ht="30" hidden="true" customHeight="true" outlineLevel="0" collapsed="false">
      <c r="A1218" s="4" t="s">
        <v>109</v>
      </c>
      <c r="B1218" s="4" t="s">
        <v>14</v>
      </c>
      <c r="C1218" s="5" t="n">
        <v>1329001683</v>
      </c>
      <c r="D1218" s="6" t="s">
        <v>1267</v>
      </c>
      <c r="E1218" s="6"/>
      <c r="F1218" s="7" t="n">
        <v>46065.2815245255</v>
      </c>
      <c r="G1218" s="7" t="n">
        <v>46065.4901296296</v>
      </c>
      <c r="H1218" s="8" t="n">
        <v>24</v>
      </c>
      <c r="I1218" s="5" t="n">
        <v>400919</v>
      </c>
      <c r="J1218" s="6" t="s">
        <v>420</v>
      </c>
      <c r="K1218" s="5" t="n">
        <v>100011193</v>
      </c>
      <c r="L1218" s="9" t="n">
        <v>46047</v>
      </c>
      <c r="M1218" s="10" t="n">
        <v>47872</v>
      </c>
    </row>
    <row r="1219" customFormat="false" ht="30" hidden="true" customHeight="true" outlineLevel="0" collapsed="false">
      <c r="A1219" s="4" t="s">
        <v>109</v>
      </c>
      <c r="B1219" s="4" t="s">
        <v>14</v>
      </c>
      <c r="C1219" s="5" t="n">
        <v>1329001683</v>
      </c>
      <c r="D1219" s="6" t="s">
        <v>1268</v>
      </c>
      <c r="E1219" s="6"/>
      <c r="F1219" s="7" t="n">
        <v>46065.2815245255</v>
      </c>
      <c r="G1219" s="7" t="n">
        <v>46065.4837202662</v>
      </c>
      <c r="H1219" s="8" t="n">
        <v>4</v>
      </c>
      <c r="I1219" s="5" t="n">
        <v>400398</v>
      </c>
      <c r="J1219" s="6" t="s">
        <v>1094</v>
      </c>
      <c r="K1219" s="5" t="n">
        <v>100011196</v>
      </c>
      <c r="L1219" s="9" t="n">
        <v>46032</v>
      </c>
      <c r="M1219" s="10" t="n">
        <v>47857</v>
      </c>
    </row>
    <row r="1220" customFormat="false" ht="30" hidden="true" customHeight="true" outlineLevel="0" collapsed="false">
      <c r="A1220" s="4" t="s">
        <v>109</v>
      </c>
      <c r="B1220" s="4" t="s">
        <v>14</v>
      </c>
      <c r="C1220" s="5" t="n">
        <v>1329001683</v>
      </c>
      <c r="D1220" s="6" t="s">
        <v>1269</v>
      </c>
      <c r="E1220" s="6"/>
      <c r="F1220" s="7" t="n">
        <v>46065.2815245255</v>
      </c>
      <c r="G1220" s="7" t="n">
        <v>46065.5102416782</v>
      </c>
      <c r="H1220" s="8" t="n">
        <v>24</v>
      </c>
      <c r="I1220" s="5" t="n">
        <v>400919</v>
      </c>
      <c r="J1220" s="6" t="s">
        <v>420</v>
      </c>
      <c r="K1220" s="5" t="n">
        <v>153000046</v>
      </c>
      <c r="L1220" s="9" t="n">
        <v>46044</v>
      </c>
      <c r="M1220" s="10" t="n">
        <v>47869</v>
      </c>
    </row>
    <row r="1221" customFormat="false" ht="30" hidden="true" customHeight="true" outlineLevel="0" collapsed="false">
      <c r="A1221" s="4" t="s">
        <v>109</v>
      </c>
      <c r="B1221" s="4" t="s">
        <v>14</v>
      </c>
      <c r="C1221" s="5" t="n">
        <v>1329001683</v>
      </c>
      <c r="D1221" s="6" t="s">
        <v>1270</v>
      </c>
      <c r="E1221" s="6"/>
      <c r="F1221" s="7" t="n">
        <v>46065.2815245255</v>
      </c>
      <c r="G1221" s="7" t="n">
        <v>46065.5108448148</v>
      </c>
      <c r="H1221" s="8" t="n">
        <v>24</v>
      </c>
      <c r="I1221" s="5" t="n">
        <v>400932</v>
      </c>
      <c r="J1221" s="6" t="s">
        <v>194</v>
      </c>
      <c r="K1221" s="5" t="n">
        <v>100009226</v>
      </c>
      <c r="L1221" s="9" t="n">
        <v>45803</v>
      </c>
      <c r="M1221" s="10" t="n">
        <v>47628</v>
      </c>
    </row>
    <row r="1222" customFormat="false" ht="30" hidden="true" customHeight="true" outlineLevel="0" collapsed="false">
      <c r="A1222" s="4" t="s">
        <v>109</v>
      </c>
      <c r="B1222" s="4" t="s">
        <v>14</v>
      </c>
      <c r="C1222" s="5" t="n">
        <v>1329001683</v>
      </c>
      <c r="D1222" s="6" t="s">
        <v>1271</v>
      </c>
      <c r="E1222" s="6"/>
      <c r="F1222" s="7" t="n">
        <v>46065.2815245255</v>
      </c>
      <c r="G1222" s="7" t="n">
        <v>46065.5083198727</v>
      </c>
      <c r="H1222" s="8" t="n">
        <v>24</v>
      </c>
      <c r="I1222" s="5" t="n">
        <v>400932</v>
      </c>
      <c r="J1222" s="6" t="s">
        <v>194</v>
      </c>
      <c r="K1222" s="5" t="n">
        <v>100009226</v>
      </c>
      <c r="L1222" s="9" t="n">
        <v>45803</v>
      </c>
      <c r="M1222" s="10" t="n">
        <v>47628</v>
      </c>
    </row>
    <row r="1223" customFormat="false" ht="30" hidden="true" customHeight="true" outlineLevel="0" collapsed="false">
      <c r="A1223" s="4" t="s">
        <v>109</v>
      </c>
      <c r="B1223" s="4" t="s">
        <v>14</v>
      </c>
      <c r="C1223" s="5" t="n">
        <v>1329001683</v>
      </c>
      <c r="D1223" s="6" t="s">
        <v>1272</v>
      </c>
      <c r="E1223" s="6"/>
      <c r="F1223" s="7" t="n">
        <v>46065.2815245255</v>
      </c>
      <c r="G1223" s="7" t="n">
        <v>46065.5093798495</v>
      </c>
      <c r="H1223" s="8" t="n">
        <v>24</v>
      </c>
      <c r="I1223" s="5" t="n">
        <v>400919</v>
      </c>
      <c r="J1223" s="6" t="s">
        <v>420</v>
      </c>
      <c r="K1223" s="5" t="n">
        <v>153000046</v>
      </c>
      <c r="L1223" s="9" t="n">
        <v>46044</v>
      </c>
      <c r="M1223" s="10" t="n">
        <v>47869</v>
      </c>
    </row>
    <row r="1224" customFormat="false" ht="30" hidden="true" customHeight="true" outlineLevel="0" collapsed="false">
      <c r="A1224" s="4" t="s">
        <v>109</v>
      </c>
      <c r="B1224" s="4" t="s">
        <v>14</v>
      </c>
      <c r="C1224" s="5" t="n">
        <v>1329001683</v>
      </c>
      <c r="D1224" s="6" t="s">
        <v>1273</v>
      </c>
      <c r="E1224" s="6"/>
      <c r="F1224" s="7" t="n">
        <v>46065.2815245255</v>
      </c>
      <c r="G1224" s="7" t="n">
        <v>46065.507384456</v>
      </c>
      <c r="H1224" s="8" t="n">
        <v>24</v>
      </c>
      <c r="I1224" s="5" t="n">
        <v>400932</v>
      </c>
      <c r="J1224" s="6" t="s">
        <v>194</v>
      </c>
      <c r="K1224" s="5" t="n">
        <v>100009226</v>
      </c>
      <c r="L1224" s="9" t="n">
        <v>45803</v>
      </c>
      <c r="M1224" s="10" t="n">
        <v>47628</v>
      </c>
    </row>
    <row r="1225" customFormat="false" ht="30" hidden="true" customHeight="true" outlineLevel="0" collapsed="false">
      <c r="A1225" s="4" t="s">
        <v>109</v>
      </c>
      <c r="B1225" s="4" t="s">
        <v>14</v>
      </c>
      <c r="C1225" s="5" t="n">
        <v>1329001683</v>
      </c>
      <c r="D1225" s="6" t="s">
        <v>1274</v>
      </c>
      <c r="E1225" s="6"/>
      <c r="F1225" s="7" t="n">
        <v>46065.2815245255</v>
      </c>
      <c r="G1225" s="7" t="n">
        <v>46065.5054772685</v>
      </c>
      <c r="H1225" s="8" t="n">
        <v>24</v>
      </c>
      <c r="I1225" s="5" t="n">
        <v>400932</v>
      </c>
      <c r="J1225" s="6" t="s">
        <v>194</v>
      </c>
      <c r="K1225" s="5" t="n">
        <v>100009226</v>
      </c>
      <c r="L1225" s="9" t="n">
        <v>45803</v>
      </c>
      <c r="M1225" s="10" t="n">
        <v>47628</v>
      </c>
    </row>
    <row r="1226" customFormat="false" ht="30" hidden="true" customHeight="true" outlineLevel="0" collapsed="false">
      <c r="A1226" s="4" t="s">
        <v>109</v>
      </c>
      <c r="B1226" s="4" t="s">
        <v>14</v>
      </c>
      <c r="C1226" s="5" t="n">
        <v>1329001683</v>
      </c>
      <c r="D1226" s="6" t="s">
        <v>1275</v>
      </c>
      <c r="E1226" s="6"/>
      <c r="F1226" s="7" t="n">
        <v>46065.2815245255</v>
      </c>
      <c r="G1226" s="7" t="n">
        <v>46065.5008331481</v>
      </c>
      <c r="H1226" s="8" t="n">
        <v>24</v>
      </c>
      <c r="I1226" s="5" t="n">
        <v>400932</v>
      </c>
      <c r="J1226" s="6" t="s">
        <v>194</v>
      </c>
      <c r="K1226" s="5" t="n">
        <v>100009226</v>
      </c>
      <c r="L1226" s="9" t="n">
        <v>45803</v>
      </c>
      <c r="M1226" s="10" t="n">
        <v>47628</v>
      </c>
    </row>
    <row r="1227" customFormat="false" ht="30" hidden="true" customHeight="true" outlineLevel="0" collapsed="false">
      <c r="A1227" s="4" t="s">
        <v>109</v>
      </c>
      <c r="B1227" s="4" t="s">
        <v>14</v>
      </c>
      <c r="C1227" s="5" t="n">
        <v>1329001683</v>
      </c>
      <c r="D1227" s="6" t="s">
        <v>1276</v>
      </c>
      <c r="E1227" s="6"/>
      <c r="F1227" s="7" t="n">
        <v>46065.2815245255</v>
      </c>
      <c r="G1227" s="7" t="n">
        <v>46065.5066860069</v>
      </c>
      <c r="H1227" s="8" t="n">
        <v>24</v>
      </c>
      <c r="I1227" s="5" t="n">
        <v>400919</v>
      </c>
      <c r="J1227" s="6" t="s">
        <v>420</v>
      </c>
      <c r="K1227" s="5" t="n">
        <v>153000046</v>
      </c>
      <c r="L1227" s="9" t="n">
        <v>46044</v>
      </c>
      <c r="M1227" s="10" t="n">
        <v>47869</v>
      </c>
    </row>
    <row r="1228" customFormat="false" ht="30" hidden="true" customHeight="true" outlineLevel="0" collapsed="false">
      <c r="A1228" s="4" t="s">
        <v>109</v>
      </c>
      <c r="B1228" s="4" t="s">
        <v>14</v>
      </c>
      <c r="C1228" s="5" t="n">
        <v>1329001683</v>
      </c>
      <c r="D1228" s="6" t="s">
        <v>1277</v>
      </c>
      <c r="E1228" s="6"/>
      <c r="F1228" s="7" t="n">
        <v>46065.2815245255</v>
      </c>
      <c r="G1228" s="7" t="n">
        <v>46065.4993838194</v>
      </c>
      <c r="H1228" s="8" t="n">
        <v>24</v>
      </c>
      <c r="I1228" s="5" t="n">
        <v>400932</v>
      </c>
      <c r="J1228" s="6" t="s">
        <v>194</v>
      </c>
      <c r="K1228" s="5" t="n">
        <v>100008855</v>
      </c>
      <c r="L1228" s="9" t="n">
        <v>45803</v>
      </c>
      <c r="M1228" s="10" t="n">
        <v>47628</v>
      </c>
    </row>
    <row r="1229" customFormat="false" ht="30" hidden="true" customHeight="true" outlineLevel="0" collapsed="false">
      <c r="A1229" s="4" t="s">
        <v>109</v>
      </c>
      <c r="B1229" s="4" t="s">
        <v>14</v>
      </c>
      <c r="C1229" s="5" t="n">
        <v>1329001683</v>
      </c>
      <c r="D1229" s="6" t="s">
        <v>1278</v>
      </c>
      <c r="E1229" s="6"/>
      <c r="F1229" s="7" t="n">
        <v>46065.2815245255</v>
      </c>
      <c r="G1229" s="7" t="n">
        <v>46065.4944999306</v>
      </c>
      <c r="H1229" s="8" t="n">
        <v>22</v>
      </c>
      <c r="I1229" s="5" t="n">
        <v>400932</v>
      </c>
      <c r="J1229" s="6" t="s">
        <v>194</v>
      </c>
      <c r="K1229" s="5" t="n">
        <v>100009226</v>
      </c>
      <c r="L1229" s="9" t="n">
        <v>45803</v>
      </c>
      <c r="M1229" s="10" t="n">
        <v>47628</v>
      </c>
    </row>
    <row r="1230" customFormat="false" ht="30" hidden="true" customHeight="true" outlineLevel="0" collapsed="false">
      <c r="A1230" s="4" t="s">
        <v>109</v>
      </c>
      <c r="B1230" s="4" t="s">
        <v>14</v>
      </c>
      <c r="C1230" s="5" t="n">
        <v>1329001683</v>
      </c>
      <c r="D1230" s="6" t="s">
        <v>1279</v>
      </c>
      <c r="E1230" s="6"/>
      <c r="F1230" s="7" t="n">
        <v>46065.2815245255</v>
      </c>
      <c r="G1230" s="7" t="n">
        <v>46065.4930011921</v>
      </c>
      <c r="H1230" s="8" t="n">
        <v>4</v>
      </c>
      <c r="I1230" s="5" t="n">
        <v>400932</v>
      </c>
      <c r="J1230" s="6" t="s">
        <v>194</v>
      </c>
      <c r="K1230" s="5" t="n">
        <v>100008855</v>
      </c>
      <c r="L1230" s="9" t="n">
        <v>45803</v>
      </c>
      <c r="M1230" s="10" t="n">
        <v>47628</v>
      </c>
    </row>
    <row r="1231" customFormat="false" ht="30" hidden="true" customHeight="true" outlineLevel="0" collapsed="false">
      <c r="A1231" s="4" t="s">
        <v>109</v>
      </c>
      <c r="B1231" s="4" t="s">
        <v>14</v>
      </c>
      <c r="C1231" s="5" t="n">
        <v>1329001683</v>
      </c>
      <c r="D1231" s="6" t="s">
        <v>1280</v>
      </c>
      <c r="E1231" s="6"/>
      <c r="F1231" s="7" t="n">
        <v>46065.2815245255</v>
      </c>
      <c r="G1231" s="7" t="n">
        <v>46065.4982508565</v>
      </c>
      <c r="H1231" s="8" t="n">
        <v>24</v>
      </c>
      <c r="I1231" s="5" t="n">
        <v>400919</v>
      </c>
      <c r="J1231" s="6" t="s">
        <v>420</v>
      </c>
      <c r="K1231" s="5" t="n">
        <v>100011193</v>
      </c>
      <c r="L1231" s="9" t="n">
        <v>46047</v>
      </c>
      <c r="M1231" s="10" t="n">
        <v>47872</v>
      </c>
    </row>
    <row r="1232" customFormat="false" ht="30" hidden="true" customHeight="true" outlineLevel="0" collapsed="false">
      <c r="A1232" s="4" t="s">
        <v>109</v>
      </c>
      <c r="B1232" s="4" t="s">
        <v>14</v>
      </c>
      <c r="C1232" s="5" t="n">
        <v>1329001683</v>
      </c>
      <c r="D1232" s="6" t="s">
        <v>1281</v>
      </c>
      <c r="E1232" s="6"/>
      <c r="F1232" s="7" t="n">
        <v>46065.2815245255</v>
      </c>
      <c r="G1232" s="7" t="n">
        <v>46065.4877080324</v>
      </c>
      <c r="H1232" s="8" t="n">
        <v>4</v>
      </c>
      <c r="I1232" s="5" t="n">
        <v>400398</v>
      </c>
      <c r="J1232" s="6" t="s">
        <v>1094</v>
      </c>
      <c r="K1232" s="5" t="n">
        <v>100011196</v>
      </c>
      <c r="L1232" s="9" t="n">
        <v>46032</v>
      </c>
      <c r="M1232" s="10" t="n">
        <v>47857</v>
      </c>
    </row>
    <row r="1233" customFormat="false" ht="30" hidden="true" customHeight="true" outlineLevel="0" collapsed="false">
      <c r="A1233" s="4" t="s">
        <v>109</v>
      </c>
      <c r="B1233" s="4" t="s">
        <v>14</v>
      </c>
      <c r="C1233" s="5" t="n">
        <v>1329001683</v>
      </c>
      <c r="D1233" s="6" t="s">
        <v>1282</v>
      </c>
      <c r="E1233" s="6"/>
      <c r="F1233" s="7" t="n">
        <v>46065.2815245255</v>
      </c>
      <c r="G1233" s="7" t="n">
        <v>46065.4871160069</v>
      </c>
      <c r="H1233" s="8" t="n">
        <v>4</v>
      </c>
      <c r="I1233" s="5" t="n">
        <v>400441</v>
      </c>
      <c r="J1233" s="6" t="s">
        <v>80</v>
      </c>
      <c r="K1233" s="5" t="n">
        <v>153000086</v>
      </c>
      <c r="L1233" s="9" t="n">
        <v>46060</v>
      </c>
      <c r="M1233" s="10" t="n">
        <v>47885</v>
      </c>
    </row>
    <row r="1234" customFormat="false" ht="30" hidden="true" customHeight="true" outlineLevel="0" collapsed="false">
      <c r="A1234" s="4" t="s">
        <v>109</v>
      </c>
      <c r="B1234" s="4" t="s">
        <v>14</v>
      </c>
      <c r="C1234" s="5" t="n">
        <v>1329001683</v>
      </c>
      <c r="D1234" s="6" t="s">
        <v>1283</v>
      </c>
      <c r="E1234" s="6"/>
      <c r="F1234" s="7" t="n">
        <v>46065.2815245255</v>
      </c>
      <c r="G1234" s="7" t="n">
        <v>46065.4863684259</v>
      </c>
      <c r="H1234" s="8" t="n">
        <v>4</v>
      </c>
      <c r="I1234" s="5" t="n">
        <v>400398</v>
      </c>
      <c r="J1234" s="6" t="s">
        <v>1094</v>
      </c>
      <c r="K1234" s="5" t="n">
        <v>100011196</v>
      </c>
      <c r="L1234" s="9" t="n">
        <v>46032</v>
      </c>
      <c r="M1234" s="10" t="n">
        <v>47857</v>
      </c>
    </row>
    <row r="1235" customFormat="false" ht="30" hidden="true" customHeight="true" outlineLevel="0" collapsed="false">
      <c r="A1235" s="4" t="s">
        <v>109</v>
      </c>
      <c r="B1235" s="4" t="s">
        <v>14</v>
      </c>
      <c r="C1235" s="5" t="n">
        <v>1329001683</v>
      </c>
      <c r="D1235" s="6" t="s">
        <v>1284</v>
      </c>
      <c r="E1235" s="6"/>
      <c r="F1235" s="7" t="n">
        <v>46065.2815245255</v>
      </c>
      <c r="G1235" s="7" t="n">
        <v>46065.4858053588</v>
      </c>
      <c r="H1235" s="8" t="n">
        <v>4</v>
      </c>
      <c r="I1235" s="5" t="n">
        <v>400441</v>
      </c>
      <c r="J1235" s="6" t="s">
        <v>80</v>
      </c>
      <c r="K1235" s="5" t="n">
        <v>153000086</v>
      </c>
      <c r="L1235" s="9" t="n">
        <v>46060</v>
      </c>
      <c r="M1235" s="10" t="n">
        <v>47885</v>
      </c>
    </row>
    <row r="1236" customFormat="false" ht="30" hidden="true" customHeight="true" outlineLevel="0" collapsed="false">
      <c r="A1236" s="4" t="s">
        <v>109</v>
      </c>
      <c r="B1236" s="4" t="s">
        <v>14</v>
      </c>
      <c r="C1236" s="5" t="n">
        <v>1329001683</v>
      </c>
      <c r="D1236" s="6" t="s">
        <v>1285</v>
      </c>
      <c r="E1236" s="6"/>
      <c r="F1236" s="7" t="n">
        <v>46065.2815245255</v>
      </c>
      <c r="G1236" s="7" t="n">
        <v>46065.4849738657</v>
      </c>
      <c r="H1236" s="8" t="n">
        <v>4</v>
      </c>
      <c r="I1236" s="5" t="n">
        <v>400398</v>
      </c>
      <c r="J1236" s="6" t="s">
        <v>1094</v>
      </c>
      <c r="K1236" s="5" t="n">
        <v>100011196</v>
      </c>
      <c r="L1236" s="9" t="n">
        <v>46032</v>
      </c>
      <c r="M1236" s="10" t="n">
        <v>47857</v>
      </c>
    </row>
    <row r="1237" customFormat="false" ht="30" hidden="true" customHeight="true" outlineLevel="0" collapsed="false">
      <c r="A1237" s="4" t="s">
        <v>109</v>
      </c>
      <c r="B1237" s="4" t="s">
        <v>14</v>
      </c>
      <c r="C1237" s="5" t="n">
        <v>1329001683</v>
      </c>
      <c r="D1237" s="6" t="s">
        <v>1286</v>
      </c>
      <c r="E1237" s="6"/>
      <c r="F1237" s="7" t="n">
        <v>46065.2815245255</v>
      </c>
      <c r="G1237" s="7" t="n">
        <v>46065.4843411574</v>
      </c>
      <c r="H1237" s="8" t="n">
        <v>4</v>
      </c>
      <c r="I1237" s="5" t="n">
        <v>400441</v>
      </c>
      <c r="J1237" s="6" t="s">
        <v>80</v>
      </c>
      <c r="K1237" s="5" t="n">
        <v>153000086</v>
      </c>
      <c r="L1237" s="9" t="n">
        <v>46060</v>
      </c>
      <c r="M1237" s="10" t="n">
        <v>47885</v>
      </c>
    </row>
    <row r="1238" customFormat="false" ht="30" hidden="true" customHeight="true" outlineLevel="0" collapsed="false">
      <c r="A1238" s="4" t="s">
        <v>109</v>
      </c>
      <c r="B1238" s="4" t="s">
        <v>14</v>
      </c>
      <c r="C1238" s="5" t="n">
        <v>1329001687</v>
      </c>
      <c r="D1238" s="6" t="s">
        <v>1287</v>
      </c>
      <c r="E1238" s="6"/>
      <c r="F1238" s="7" t="n">
        <v>46065.5360677546</v>
      </c>
      <c r="G1238" s="7" t="n">
        <v>46065.5524308796</v>
      </c>
      <c r="H1238" s="8" t="n">
        <v>24</v>
      </c>
      <c r="I1238" s="5" t="n">
        <v>400413</v>
      </c>
      <c r="J1238" s="6" t="s">
        <v>168</v>
      </c>
      <c r="K1238" s="5" t="n">
        <v>100010539</v>
      </c>
      <c r="L1238" s="9" t="n">
        <v>45977</v>
      </c>
      <c r="M1238" s="10" t="n">
        <v>47802</v>
      </c>
    </row>
    <row r="1239" customFormat="false" ht="30" hidden="true" customHeight="true" outlineLevel="0" collapsed="false">
      <c r="A1239" s="4" t="s">
        <v>109</v>
      </c>
      <c r="B1239" s="4" t="s">
        <v>14</v>
      </c>
      <c r="C1239" s="5" t="n">
        <v>1329001687</v>
      </c>
      <c r="D1239" s="6" t="s">
        <v>1288</v>
      </c>
      <c r="E1239" s="6"/>
      <c r="F1239" s="7" t="n">
        <v>46065.5360677546</v>
      </c>
      <c r="G1239" s="7" t="n">
        <v>46065.5441124769</v>
      </c>
      <c r="H1239" s="8" t="n">
        <v>1</v>
      </c>
      <c r="I1239" s="5" t="n">
        <v>400411</v>
      </c>
      <c r="J1239" s="6" t="s">
        <v>1217</v>
      </c>
      <c r="K1239" s="5" t="n">
        <v>153000011</v>
      </c>
      <c r="L1239" s="9"/>
      <c r="M1239" s="10" t="n">
        <v>47858</v>
      </c>
    </row>
    <row r="1240" customFormat="false" ht="30" hidden="true" customHeight="true" outlineLevel="0" collapsed="false">
      <c r="A1240" s="4" t="s">
        <v>109</v>
      </c>
      <c r="B1240" s="4" t="s">
        <v>14</v>
      </c>
      <c r="C1240" s="5" t="n">
        <v>1329001687</v>
      </c>
      <c r="D1240" s="6" t="s">
        <v>1289</v>
      </c>
      <c r="E1240" s="6"/>
      <c r="F1240" s="7" t="n">
        <v>46065.5360677546</v>
      </c>
      <c r="G1240" s="7" t="n">
        <v>46065.5630477315</v>
      </c>
      <c r="H1240" s="8" t="n">
        <v>4</v>
      </c>
      <c r="I1240" s="5" t="n">
        <v>400411</v>
      </c>
      <c r="J1240" s="6" t="s">
        <v>1217</v>
      </c>
      <c r="K1240" s="5" t="n">
        <v>153000011</v>
      </c>
      <c r="L1240" s="9"/>
      <c r="M1240" s="10" t="n">
        <v>47858</v>
      </c>
    </row>
    <row r="1241" customFormat="false" ht="30" hidden="true" customHeight="true" outlineLevel="0" collapsed="false">
      <c r="A1241" s="4" t="s">
        <v>109</v>
      </c>
      <c r="B1241" s="4" t="s">
        <v>14</v>
      </c>
      <c r="C1241" s="5" t="n">
        <v>1329001687</v>
      </c>
      <c r="D1241" s="6" t="s">
        <v>1290</v>
      </c>
      <c r="E1241" s="6"/>
      <c r="F1241" s="7" t="n">
        <v>46065.5360677546</v>
      </c>
      <c r="G1241" s="7" t="n">
        <v>46065.56243</v>
      </c>
      <c r="H1241" s="8" t="n">
        <v>4</v>
      </c>
      <c r="I1241" s="5" t="n">
        <v>400411</v>
      </c>
      <c r="J1241" s="6" t="s">
        <v>1217</v>
      </c>
      <c r="K1241" s="5" t="n">
        <v>153000011</v>
      </c>
      <c r="L1241" s="9"/>
      <c r="M1241" s="10" t="n">
        <v>47858</v>
      </c>
    </row>
    <row r="1242" customFormat="false" ht="30" hidden="true" customHeight="true" outlineLevel="0" collapsed="false">
      <c r="A1242" s="4" t="s">
        <v>109</v>
      </c>
      <c r="B1242" s="4" t="s">
        <v>14</v>
      </c>
      <c r="C1242" s="5" t="n">
        <v>1329001687</v>
      </c>
      <c r="D1242" s="6" t="s">
        <v>1291</v>
      </c>
      <c r="E1242" s="6"/>
      <c r="F1242" s="7" t="n">
        <v>46065.5360677546</v>
      </c>
      <c r="G1242" s="7" t="n">
        <v>46065.5601146528</v>
      </c>
      <c r="H1242" s="8" t="n">
        <v>24</v>
      </c>
      <c r="I1242" s="5" t="n">
        <v>400413</v>
      </c>
      <c r="J1242" s="6" t="s">
        <v>168</v>
      </c>
      <c r="K1242" s="5" t="n">
        <v>100010677</v>
      </c>
      <c r="L1242" s="9"/>
      <c r="M1242" s="10" t="n">
        <v>47802</v>
      </c>
    </row>
    <row r="1243" customFormat="false" ht="30" hidden="true" customHeight="true" outlineLevel="0" collapsed="false">
      <c r="A1243" s="4" t="s">
        <v>109</v>
      </c>
      <c r="B1243" s="4" t="s">
        <v>14</v>
      </c>
      <c r="C1243" s="5" t="n">
        <v>1329001687</v>
      </c>
      <c r="D1243" s="6" t="s">
        <v>1292</v>
      </c>
      <c r="E1243" s="6"/>
      <c r="F1243" s="7" t="n">
        <v>46065.5360677546</v>
      </c>
      <c r="G1243" s="7" t="n">
        <v>46065.5594837963</v>
      </c>
      <c r="H1243" s="8" t="n">
        <v>24</v>
      </c>
      <c r="I1243" s="5" t="n">
        <v>400413</v>
      </c>
      <c r="J1243" s="6" t="s">
        <v>168</v>
      </c>
      <c r="K1243" s="5" t="n">
        <v>100010677</v>
      </c>
      <c r="L1243" s="9"/>
      <c r="M1243" s="10" t="n">
        <v>47802</v>
      </c>
    </row>
    <row r="1244" customFormat="false" ht="30" hidden="true" customHeight="true" outlineLevel="0" collapsed="false">
      <c r="A1244" s="4" t="s">
        <v>109</v>
      </c>
      <c r="B1244" s="4" t="s">
        <v>14</v>
      </c>
      <c r="C1244" s="5" t="n">
        <v>1329001687</v>
      </c>
      <c r="D1244" s="6" t="s">
        <v>1293</v>
      </c>
      <c r="E1244" s="6"/>
      <c r="F1244" s="7" t="n">
        <v>46065.5360677546</v>
      </c>
      <c r="G1244" s="7" t="n">
        <v>46065.5585041898</v>
      </c>
      <c r="H1244" s="8" t="n">
        <v>20</v>
      </c>
      <c r="I1244" s="5" t="n">
        <v>400413</v>
      </c>
      <c r="J1244" s="6" t="s">
        <v>168</v>
      </c>
      <c r="K1244" s="5" t="n">
        <v>100010539</v>
      </c>
      <c r="L1244" s="9"/>
      <c r="M1244" s="10" t="n">
        <v>47802</v>
      </c>
    </row>
    <row r="1245" customFormat="false" ht="30" hidden="true" customHeight="true" outlineLevel="0" collapsed="false">
      <c r="A1245" s="4" t="s">
        <v>109</v>
      </c>
      <c r="B1245" s="4" t="s">
        <v>14</v>
      </c>
      <c r="C1245" s="5" t="n">
        <v>1329001687</v>
      </c>
      <c r="D1245" s="6" t="s">
        <v>1294</v>
      </c>
      <c r="E1245" s="6"/>
      <c r="F1245" s="7" t="n">
        <v>46065.5360677546</v>
      </c>
      <c r="G1245" s="7" t="n">
        <v>46065.5570970023</v>
      </c>
      <c r="H1245" s="8" t="n">
        <v>24</v>
      </c>
      <c r="I1245" s="5" t="n">
        <v>400413</v>
      </c>
      <c r="J1245" s="6" t="s">
        <v>168</v>
      </c>
      <c r="K1245" s="5" t="n">
        <v>100010677</v>
      </c>
      <c r="L1245" s="9"/>
      <c r="M1245" s="10" t="n">
        <v>47802</v>
      </c>
    </row>
    <row r="1246" customFormat="false" ht="30" hidden="true" customHeight="true" outlineLevel="0" collapsed="false">
      <c r="A1246" s="4" t="s">
        <v>109</v>
      </c>
      <c r="B1246" s="4" t="s">
        <v>14</v>
      </c>
      <c r="C1246" s="5" t="n">
        <v>1329001687</v>
      </c>
      <c r="D1246" s="6" t="s">
        <v>1295</v>
      </c>
      <c r="E1246" s="6"/>
      <c r="F1246" s="7" t="n">
        <v>46065.5360677546</v>
      </c>
      <c r="G1246" s="7" t="n">
        <v>46065.5609228472</v>
      </c>
      <c r="H1246" s="8" t="n">
        <v>4</v>
      </c>
      <c r="I1246" s="5" t="n">
        <v>400411</v>
      </c>
      <c r="J1246" s="6" t="s">
        <v>1217</v>
      </c>
      <c r="K1246" s="5" t="n">
        <v>153000011</v>
      </c>
      <c r="L1246" s="9"/>
      <c r="M1246" s="10" t="n">
        <v>47858</v>
      </c>
    </row>
    <row r="1247" customFormat="false" ht="30" hidden="true" customHeight="true" outlineLevel="0" collapsed="false">
      <c r="A1247" s="4" t="s">
        <v>109</v>
      </c>
      <c r="B1247" s="4" t="s">
        <v>14</v>
      </c>
      <c r="C1247" s="5" t="n">
        <v>1329001687</v>
      </c>
      <c r="D1247" s="6" t="s">
        <v>1296</v>
      </c>
      <c r="E1247" s="6"/>
      <c r="F1247" s="7" t="n">
        <v>46065.5360677546</v>
      </c>
      <c r="G1247" s="7" t="n">
        <v>46065.5434325926</v>
      </c>
      <c r="H1247" s="8" t="n">
        <v>4</v>
      </c>
      <c r="I1247" s="5" t="n">
        <v>400413</v>
      </c>
      <c r="J1247" s="6" t="s">
        <v>168</v>
      </c>
      <c r="K1247" s="5" t="n">
        <v>100010677</v>
      </c>
      <c r="L1247" s="9"/>
      <c r="M1247" s="10" t="n">
        <v>47802</v>
      </c>
    </row>
    <row r="1248" customFormat="false" ht="30" hidden="true" customHeight="true" outlineLevel="0" collapsed="false">
      <c r="A1248" s="4" t="s">
        <v>109</v>
      </c>
      <c r="B1248" s="4" t="s">
        <v>14</v>
      </c>
      <c r="C1248" s="5" t="n">
        <v>1329001687</v>
      </c>
      <c r="D1248" s="6" t="s">
        <v>1297</v>
      </c>
      <c r="E1248" s="6"/>
      <c r="F1248" s="7" t="n">
        <v>46065.5360677546</v>
      </c>
      <c r="G1248" s="7" t="n">
        <v>46065.542749537</v>
      </c>
      <c r="H1248" s="8" t="n">
        <v>4</v>
      </c>
      <c r="I1248" s="5" t="n">
        <v>400413</v>
      </c>
      <c r="J1248" s="6" t="s">
        <v>168</v>
      </c>
      <c r="K1248" s="5" t="n">
        <v>100004894</v>
      </c>
      <c r="L1248" s="9" t="n">
        <v>45998</v>
      </c>
      <c r="M1248" s="10" t="n">
        <v>47823</v>
      </c>
    </row>
    <row r="1249" customFormat="false" ht="30" hidden="true" customHeight="true" outlineLevel="0" collapsed="false">
      <c r="A1249" s="4" t="s">
        <v>109</v>
      </c>
      <c r="B1249" s="4" t="s">
        <v>14</v>
      </c>
      <c r="C1249" s="5" t="n">
        <v>1329001687</v>
      </c>
      <c r="D1249" s="6" t="s">
        <v>1298</v>
      </c>
      <c r="E1249" s="6"/>
      <c r="F1249" s="7" t="n">
        <v>46065.5360677546</v>
      </c>
      <c r="G1249" s="7" t="n">
        <v>46065.5455702199</v>
      </c>
      <c r="H1249" s="8" t="n">
        <v>24</v>
      </c>
      <c r="I1249" s="5" t="n">
        <v>400920</v>
      </c>
      <c r="J1249" s="6" t="s">
        <v>197</v>
      </c>
      <c r="K1249" s="5" t="n">
        <v>100011191</v>
      </c>
      <c r="L1249" s="9" t="n">
        <v>46015</v>
      </c>
      <c r="M1249" s="10" t="n">
        <v>47840</v>
      </c>
    </row>
    <row r="1250" customFormat="false" ht="30" hidden="true" customHeight="true" outlineLevel="0" collapsed="false">
      <c r="A1250" s="4" t="s">
        <v>109</v>
      </c>
      <c r="B1250" s="4" t="s">
        <v>14</v>
      </c>
      <c r="C1250" s="5" t="n">
        <v>1329001687</v>
      </c>
      <c r="D1250" s="6" t="s">
        <v>1299</v>
      </c>
      <c r="E1250" s="6"/>
      <c r="F1250" s="7" t="n">
        <v>46065.5360677546</v>
      </c>
      <c r="G1250" s="7" t="n">
        <v>46065.5491942708</v>
      </c>
      <c r="H1250" s="8" t="n">
        <v>52</v>
      </c>
      <c r="I1250" s="5" t="n">
        <v>401119</v>
      </c>
      <c r="J1250" s="6" t="s">
        <v>1213</v>
      </c>
      <c r="K1250" s="5" t="n">
        <v>100011164</v>
      </c>
      <c r="L1250" s="9" t="n">
        <v>46014</v>
      </c>
      <c r="M1250" s="10" t="n">
        <v>47839</v>
      </c>
    </row>
    <row r="1251" customFormat="false" ht="30" hidden="true" customHeight="true" outlineLevel="0" collapsed="false">
      <c r="A1251" s="4" t="s">
        <v>109</v>
      </c>
      <c r="B1251" s="4" t="s">
        <v>14</v>
      </c>
      <c r="C1251" s="5" t="n">
        <v>1329001687</v>
      </c>
      <c r="D1251" s="6" t="s">
        <v>1300</v>
      </c>
      <c r="E1251" s="6"/>
      <c r="F1251" s="7" t="n">
        <v>46065.5360677546</v>
      </c>
      <c r="G1251" s="7" t="n">
        <v>46065.5578909491</v>
      </c>
      <c r="H1251" s="8" t="n">
        <v>24</v>
      </c>
      <c r="I1251" s="5" t="n">
        <v>400413</v>
      </c>
      <c r="J1251" s="6" t="s">
        <v>168</v>
      </c>
      <c r="K1251" s="5" t="n">
        <v>100010677</v>
      </c>
      <c r="L1251" s="9" t="n">
        <v>45977</v>
      </c>
      <c r="M1251" s="10" t="n">
        <v>47802</v>
      </c>
    </row>
    <row r="1252" customFormat="false" ht="30" hidden="true" customHeight="true" outlineLevel="0" collapsed="false">
      <c r="A1252" s="4" t="s">
        <v>109</v>
      </c>
      <c r="B1252" s="4" t="s">
        <v>14</v>
      </c>
      <c r="C1252" s="5" t="n">
        <v>1329001687</v>
      </c>
      <c r="D1252" s="6" t="s">
        <v>1301</v>
      </c>
      <c r="E1252" s="6"/>
      <c r="F1252" s="7" t="n">
        <v>46065.5360677546</v>
      </c>
      <c r="G1252" s="7" t="n">
        <v>46065.5560734607</v>
      </c>
      <c r="H1252" s="8" t="n">
        <v>22</v>
      </c>
      <c r="I1252" s="5" t="n">
        <v>400413</v>
      </c>
      <c r="J1252" s="6" t="s">
        <v>168</v>
      </c>
      <c r="K1252" s="5" t="n">
        <v>100010992</v>
      </c>
      <c r="L1252" s="9" t="n">
        <v>45998</v>
      </c>
      <c r="M1252" s="10" t="n">
        <v>47823</v>
      </c>
    </row>
    <row r="1253" customFormat="false" ht="30" hidden="true" customHeight="true" outlineLevel="0" collapsed="false">
      <c r="A1253" s="4" t="s">
        <v>109</v>
      </c>
      <c r="B1253" s="4" t="s">
        <v>14</v>
      </c>
      <c r="C1253" s="5" t="n">
        <v>1329001687</v>
      </c>
      <c r="D1253" s="6" t="s">
        <v>1302</v>
      </c>
      <c r="E1253" s="6"/>
      <c r="F1253" s="7" t="n">
        <v>46065.5360677546</v>
      </c>
      <c r="G1253" s="7" t="n">
        <v>46065.5551920023</v>
      </c>
      <c r="H1253" s="8" t="n">
        <v>24</v>
      </c>
      <c r="I1253" s="5" t="n">
        <v>400413</v>
      </c>
      <c r="J1253" s="6" t="s">
        <v>168</v>
      </c>
      <c r="K1253" s="5" t="n">
        <v>100011150</v>
      </c>
      <c r="L1253" s="9" t="n">
        <v>45977</v>
      </c>
      <c r="M1253" s="10" t="n">
        <v>47802</v>
      </c>
    </row>
    <row r="1254" customFormat="false" ht="30" hidden="true" customHeight="true" outlineLevel="0" collapsed="false">
      <c r="A1254" s="4" t="s">
        <v>109</v>
      </c>
      <c r="B1254" s="4" t="s">
        <v>14</v>
      </c>
      <c r="C1254" s="5" t="n">
        <v>1329001687</v>
      </c>
      <c r="D1254" s="6" t="s">
        <v>1303</v>
      </c>
      <c r="E1254" s="6"/>
      <c r="F1254" s="7" t="n">
        <v>46065.5360677546</v>
      </c>
      <c r="G1254" s="7" t="n">
        <v>46065.5540704977</v>
      </c>
      <c r="H1254" s="8" t="n">
        <v>22</v>
      </c>
      <c r="I1254" s="5" t="n">
        <v>400413</v>
      </c>
      <c r="J1254" s="6" t="s">
        <v>168</v>
      </c>
      <c r="K1254" s="5" t="n">
        <v>100010738</v>
      </c>
      <c r="L1254" s="9" t="n">
        <v>45977</v>
      </c>
      <c r="M1254" s="10" t="n">
        <v>47802</v>
      </c>
    </row>
    <row r="1255" customFormat="false" ht="30" hidden="true" customHeight="true" outlineLevel="0" collapsed="false">
      <c r="A1255" s="4" t="s">
        <v>109</v>
      </c>
      <c r="B1255" s="4" t="s">
        <v>14</v>
      </c>
      <c r="C1255" s="5" t="n">
        <v>1329001687</v>
      </c>
      <c r="D1255" s="6" t="s">
        <v>1304</v>
      </c>
      <c r="E1255" s="6"/>
      <c r="F1255" s="7" t="n">
        <v>46065.5360677546</v>
      </c>
      <c r="G1255" s="7" t="n">
        <v>46065.5531308218</v>
      </c>
      <c r="H1255" s="8" t="n">
        <v>24</v>
      </c>
      <c r="I1255" s="5" t="n">
        <v>400413</v>
      </c>
      <c r="J1255" s="6" t="s">
        <v>168</v>
      </c>
      <c r="K1255" s="5" t="n">
        <v>100010677</v>
      </c>
      <c r="L1255" s="9" t="n">
        <v>45977</v>
      </c>
      <c r="M1255" s="10" t="n">
        <v>47802</v>
      </c>
    </row>
    <row r="1256" customFormat="false" ht="30" hidden="true" customHeight="true" outlineLevel="0" collapsed="false">
      <c r="A1256" s="4" t="s">
        <v>109</v>
      </c>
      <c r="B1256" s="4" t="s">
        <v>14</v>
      </c>
      <c r="C1256" s="5" t="n">
        <v>1329001687</v>
      </c>
      <c r="D1256" s="6" t="s">
        <v>1305</v>
      </c>
      <c r="E1256" s="6"/>
      <c r="F1256" s="7" t="n">
        <v>46065.5360677546</v>
      </c>
      <c r="G1256" s="7" t="n">
        <v>46065.551346794</v>
      </c>
      <c r="H1256" s="8" t="n">
        <v>52</v>
      </c>
      <c r="I1256" s="5" t="n">
        <v>401119</v>
      </c>
      <c r="J1256" s="6" t="s">
        <v>1213</v>
      </c>
      <c r="K1256" s="5" t="n">
        <v>100011164</v>
      </c>
      <c r="L1256" s="9" t="n">
        <v>46014</v>
      </c>
      <c r="M1256" s="10" t="n">
        <v>47839</v>
      </c>
    </row>
    <row r="1257" customFormat="false" ht="30" hidden="true" customHeight="true" outlineLevel="0" collapsed="false">
      <c r="A1257" s="4" t="s">
        <v>109</v>
      </c>
      <c r="B1257" s="4" t="s">
        <v>14</v>
      </c>
      <c r="C1257" s="5" t="n">
        <v>1329001687</v>
      </c>
      <c r="D1257" s="6" t="s">
        <v>1306</v>
      </c>
      <c r="E1257" s="6"/>
      <c r="F1257" s="7" t="n">
        <v>46065.5360677546</v>
      </c>
      <c r="G1257" s="7" t="n">
        <v>46065.5506597338</v>
      </c>
      <c r="H1257" s="8" t="n">
        <v>52</v>
      </c>
      <c r="I1257" s="5" t="n">
        <v>401119</v>
      </c>
      <c r="J1257" s="6" t="s">
        <v>1213</v>
      </c>
      <c r="K1257" s="5" t="n">
        <v>100011164</v>
      </c>
      <c r="L1257" s="9" t="n">
        <v>46014</v>
      </c>
      <c r="M1257" s="10" t="n">
        <v>47839</v>
      </c>
    </row>
    <row r="1258" customFormat="false" ht="30" hidden="true" customHeight="true" outlineLevel="0" collapsed="false">
      <c r="A1258" s="4" t="s">
        <v>109</v>
      </c>
      <c r="B1258" s="4" t="s">
        <v>14</v>
      </c>
      <c r="C1258" s="5" t="n">
        <v>1329001687</v>
      </c>
      <c r="D1258" s="6" t="s">
        <v>1307</v>
      </c>
      <c r="E1258" s="6"/>
      <c r="F1258" s="7" t="n">
        <v>46065.5360677546</v>
      </c>
      <c r="G1258" s="7" t="n">
        <v>46065.5501286111</v>
      </c>
      <c r="H1258" s="8" t="n">
        <v>52</v>
      </c>
      <c r="I1258" s="5" t="n">
        <v>401119</v>
      </c>
      <c r="J1258" s="6" t="s">
        <v>1213</v>
      </c>
      <c r="K1258" s="5" t="n">
        <v>100011164</v>
      </c>
      <c r="L1258" s="9" t="n">
        <v>46014</v>
      </c>
      <c r="M1258" s="10" t="n">
        <v>47839</v>
      </c>
    </row>
    <row r="1259" customFormat="false" ht="30" hidden="true" customHeight="true" outlineLevel="0" collapsed="false">
      <c r="A1259" s="4" t="s">
        <v>109</v>
      </c>
      <c r="B1259" s="4" t="s">
        <v>14</v>
      </c>
      <c r="C1259" s="5" t="n">
        <v>1329001687</v>
      </c>
      <c r="D1259" s="6" t="s">
        <v>1308</v>
      </c>
      <c r="E1259" s="6"/>
      <c r="F1259" s="7" t="n">
        <v>46065.5360677546</v>
      </c>
      <c r="G1259" s="7" t="n">
        <v>46065.5478755208</v>
      </c>
      <c r="H1259" s="8" t="n">
        <v>24</v>
      </c>
      <c r="I1259" s="5" t="n">
        <v>400920</v>
      </c>
      <c r="J1259" s="6" t="s">
        <v>197</v>
      </c>
      <c r="K1259" s="5" t="n">
        <v>100011191</v>
      </c>
      <c r="L1259" s="9" t="n">
        <v>46015</v>
      </c>
      <c r="M1259" s="10" t="n">
        <v>47840</v>
      </c>
    </row>
    <row r="1260" customFormat="false" ht="30" hidden="true" customHeight="true" outlineLevel="0" collapsed="false">
      <c r="A1260" s="4" t="s">
        <v>109</v>
      </c>
      <c r="B1260" s="4" t="s">
        <v>14</v>
      </c>
      <c r="C1260" s="5" t="n">
        <v>1329001687</v>
      </c>
      <c r="D1260" s="6" t="s">
        <v>1309</v>
      </c>
      <c r="E1260" s="6"/>
      <c r="F1260" s="7" t="n">
        <v>46065.5360677546</v>
      </c>
      <c r="G1260" s="7" t="n">
        <v>46065.5471155556</v>
      </c>
      <c r="H1260" s="8" t="n">
        <v>24</v>
      </c>
      <c r="I1260" s="5" t="n">
        <v>400920</v>
      </c>
      <c r="J1260" s="6" t="s">
        <v>197</v>
      </c>
      <c r="K1260" s="5" t="n">
        <v>100011191</v>
      </c>
      <c r="L1260" s="9" t="n">
        <v>46015</v>
      </c>
      <c r="M1260" s="10" t="n">
        <v>47840</v>
      </c>
    </row>
    <row r="1261" customFormat="false" ht="30" hidden="true" customHeight="true" outlineLevel="0" collapsed="false">
      <c r="A1261" s="4" t="s">
        <v>109</v>
      </c>
      <c r="B1261" s="4" t="s">
        <v>14</v>
      </c>
      <c r="C1261" s="5" t="n">
        <v>1329001687</v>
      </c>
      <c r="D1261" s="6" t="s">
        <v>1310</v>
      </c>
      <c r="E1261" s="6"/>
      <c r="F1261" s="7" t="n">
        <v>46065.5360677546</v>
      </c>
      <c r="G1261" s="7" t="n">
        <v>46065.546323669</v>
      </c>
      <c r="H1261" s="8" t="n">
        <v>24</v>
      </c>
      <c r="I1261" s="5" t="n">
        <v>400920</v>
      </c>
      <c r="J1261" s="6" t="s">
        <v>197</v>
      </c>
      <c r="K1261" s="5" t="n">
        <v>100011191</v>
      </c>
      <c r="L1261" s="9" t="n">
        <v>46015</v>
      </c>
      <c r="M1261" s="10" t="n">
        <v>47840</v>
      </c>
    </row>
    <row r="1262" customFormat="false" ht="30" hidden="true" customHeight="true" outlineLevel="0" collapsed="false">
      <c r="A1262" s="4" t="s">
        <v>109</v>
      </c>
      <c r="B1262" s="4" t="s">
        <v>14</v>
      </c>
      <c r="C1262" s="5" t="n">
        <v>1329001690</v>
      </c>
      <c r="D1262" s="6" t="s">
        <v>1311</v>
      </c>
      <c r="E1262" s="6"/>
      <c r="F1262" s="7" t="n">
        <v>46067.4362227546</v>
      </c>
      <c r="G1262" s="7" t="n">
        <v>46067.4429683796</v>
      </c>
      <c r="H1262" s="8" t="n">
        <v>4</v>
      </c>
      <c r="I1262" s="5" t="n">
        <v>400535</v>
      </c>
      <c r="J1262" s="6" t="s">
        <v>1312</v>
      </c>
      <c r="K1262" s="5" t="n">
        <v>153000047</v>
      </c>
      <c r="L1262" s="9" t="n">
        <v>46043</v>
      </c>
      <c r="M1262" s="10" t="n">
        <v>47868</v>
      </c>
    </row>
    <row r="1263" customFormat="false" ht="30" hidden="true" customHeight="true" outlineLevel="0" collapsed="false">
      <c r="A1263" s="4" t="s">
        <v>109</v>
      </c>
      <c r="B1263" s="4" t="s">
        <v>14</v>
      </c>
      <c r="C1263" s="5" t="n">
        <v>1329001690</v>
      </c>
      <c r="D1263" s="6" t="s">
        <v>1313</v>
      </c>
      <c r="E1263" s="6"/>
      <c r="F1263" s="7" t="n">
        <v>46067.4362227546</v>
      </c>
      <c r="G1263" s="7" t="n">
        <v>46067.4401731944</v>
      </c>
      <c r="H1263" s="8" t="n">
        <v>4</v>
      </c>
      <c r="I1263" s="5" t="n">
        <v>401072</v>
      </c>
      <c r="J1263" s="6" t="s">
        <v>1314</v>
      </c>
      <c r="K1263" s="5" t="n">
        <v>153000031</v>
      </c>
      <c r="L1263" s="9"/>
      <c r="M1263" s="10" t="n">
        <v>47865</v>
      </c>
    </row>
    <row r="1264" customFormat="false" ht="30" hidden="true" customHeight="true" outlineLevel="0" collapsed="false">
      <c r="A1264" s="4" t="s">
        <v>109</v>
      </c>
      <c r="B1264" s="4" t="s">
        <v>14</v>
      </c>
      <c r="C1264" s="5" t="n">
        <v>1329001690</v>
      </c>
      <c r="D1264" s="6" t="s">
        <v>1315</v>
      </c>
      <c r="E1264" s="6"/>
      <c r="F1264" s="7" t="n">
        <v>46067.4362227546</v>
      </c>
      <c r="G1264" s="7" t="n">
        <v>46067.4479908681</v>
      </c>
      <c r="H1264" s="8" t="n">
        <v>4</v>
      </c>
      <c r="I1264" s="5" t="n">
        <v>401072</v>
      </c>
      <c r="J1264" s="6" t="s">
        <v>1314</v>
      </c>
      <c r="K1264" s="5" t="n">
        <v>153000031</v>
      </c>
      <c r="L1264" s="9"/>
      <c r="M1264" s="10" t="n">
        <v>47865</v>
      </c>
    </row>
    <row r="1265" customFormat="false" ht="30" hidden="true" customHeight="true" outlineLevel="0" collapsed="false">
      <c r="A1265" s="4" t="s">
        <v>109</v>
      </c>
      <c r="B1265" s="4" t="s">
        <v>14</v>
      </c>
      <c r="C1265" s="5" t="n">
        <v>1329001690</v>
      </c>
      <c r="D1265" s="6" t="s">
        <v>1316</v>
      </c>
      <c r="E1265" s="6"/>
      <c r="F1265" s="7" t="n">
        <v>46067.4362227546</v>
      </c>
      <c r="G1265" s="7" t="n">
        <v>46067.4474498727</v>
      </c>
      <c r="H1265" s="8" t="n">
        <v>4</v>
      </c>
      <c r="I1265" s="5" t="n">
        <v>401072</v>
      </c>
      <c r="J1265" s="6" t="s">
        <v>1314</v>
      </c>
      <c r="K1265" s="5" t="n">
        <v>153000031</v>
      </c>
      <c r="L1265" s="9"/>
      <c r="M1265" s="10" t="n">
        <v>47865</v>
      </c>
    </row>
    <row r="1266" customFormat="false" ht="30" hidden="true" customHeight="true" outlineLevel="0" collapsed="false">
      <c r="A1266" s="4" t="s">
        <v>109</v>
      </c>
      <c r="B1266" s="4" t="s">
        <v>14</v>
      </c>
      <c r="C1266" s="5" t="n">
        <v>1329001690</v>
      </c>
      <c r="D1266" s="6" t="s">
        <v>1317</v>
      </c>
      <c r="E1266" s="6"/>
      <c r="F1266" s="7" t="n">
        <v>46067.4362227546</v>
      </c>
      <c r="G1266" s="7" t="n">
        <v>46067.4455572569</v>
      </c>
      <c r="H1266" s="8" t="n">
        <v>4</v>
      </c>
      <c r="I1266" s="5" t="n">
        <v>401072</v>
      </c>
      <c r="J1266" s="6" t="s">
        <v>1314</v>
      </c>
      <c r="K1266" s="5" t="n">
        <v>153000031</v>
      </c>
      <c r="L1266" s="9"/>
      <c r="M1266" s="10" t="n">
        <v>47865</v>
      </c>
    </row>
    <row r="1267" customFormat="false" ht="30" hidden="true" customHeight="true" outlineLevel="0" collapsed="false">
      <c r="A1267" s="4" t="s">
        <v>109</v>
      </c>
      <c r="B1267" s="4" t="s">
        <v>14</v>
      </c>
      <c r="C1267" s="5" t="n">
        <v>1329001690</v>
      </c>
      <c r="D1267" s="6" t="s">
        <v>1318</v>
      </c>
      <c r="E1267" s="6"/>
      <c r="F1267" s="7" t="n">
        <v>46067.4362227546</v>
      </c>
      <c r="G1267" s="7" t="n">
        <v>46067.4422550347</v>
      </c>
      <c r="H1267" s="8" t="n">
        <v>4</v>
      </c>
      <c r="I1267" s="5" t="n">
        <v>401072</v>
      </c>
      <c r="J1267" s="6" t="s">
        <v>1314</v>
      </c>
      <c r="K1267" s="5" t="n">
        <v>153000031</v>
      </c>
      <c r="L1267" s="9"/>
      <c r="M1267" s="10" t="n">
        <v>47865</v>
      </c>
    </row>
    <row r="1268" customFormat="false" ht="30" hidden="true" customHeight="true" outlineLevel="0" collapsed="false">
      <c r="A1268" s="4" t="s">
        <v>109</v>
      </c>
      <c r="B1268" s="4" t="s">
        <v>14</v>
      </c>
      <c r="C1268" s="5" t="n">
        <v>1329001690</v>
      </c>
      <c r="D1268" s="6" t="s">
        <v>1319</v>
      </c>
      <c r="E1268" s="6"/>
      <c r="F1268" s="7" t="n">
        <v>46067.4362227546</v>
      </c>
      <c r="G1268" s="7" t="n">
        <v>46067.4407099306</v>
      </c>
      <c r="H1268" s="8" t="n">
        <v>4</v>
      </c>
      <c r="I1268" s="5" t="n">
        <v>401072</v>
      </c>
      <c r="J1268" s="6" t="s">
        <v>1314</v>
      </c>
      <c r="K1268" s="5" t="n">
        <v>153000031</v>
      </c>
      <c r="L1268" s="9"/>
      <c r="M1268" s="10" t="n">
        <v>47865</v>
      </c>
    </row>
    <row r="1269" customFormat="false" ht="30" hidden="true" customHeight="true" outlineLevel="0" collapsed="false">
      <c r="A1269" s="4" t="s">
        <v>109</v>
      </c>
      <c r="B1269" s="4" t="s">
        <v>14</v>
      </c>
      <c r="C1269" s="5" t="n">
        <v>1329001690</v>
      </c>
      <c r="D1269" s="6" t="s">
        <v>1320</v>
      </c>
      <c r="E1269" s="6"/>
      <c r="F1269" s="7" t="n">
        <v>46067.4362227546</v>
      </c>
      <c r="G1269" s="7" t="n">
        <v>46067.4468242014</v>
      </c>
      <c r="H1269" s="8" t="n">
        <v>4</v>
      </c>
      <c r="I1269" s="5" t="n">
        <v>400541</v>
      </c>
      <c r="J1269" s="6" t="s">
        <v>1005</v>
      </c>
      <c r="K1269" s="5" t="n">
        <v>153000081</v>
      </c>
      <c r="L1269" s="9" t="n">
        <v>46058</v>
      </c>
      <c r="M1269" s="10" t="n">
        <v>47883</v>
      </c>
    </row>
    <row r="1270" customFormat="false" ht="30" hidden="true" customHeight="true" outlineLevel="0" collapsed="false">
      <c r="A1270" s="4" t="s">
        <v>109</v>
      </c>
      <c r="B1270" s="4" t="s">
        <v>14</v>
      </c>
      <c r="C1270" s="5" t="n">
        <v>1329001690</v>
      </c>
      <c r="D1270" s="6" t="s">
        <v>1321</v>
      </c>
      <c r="E1270" s="6"/>
      <c r="F1270" s="7" t="n">
        <v>46067.4362227546</v>
      </c>
      <c r="G1270" s="7" t="n">
        <v>46067.4416742708</v>
      </c>
      <c r="H1270" s="8" t="n">
        <v>4</v>
      </c>
      <c r="I1270" s="5" t="n">
        <v>400535</v>
      </c>
      <c r="J1270" s="6" t="s">
        <v>1312</v>
      </c>
      <c r="K1270" s="5" t="n">
        <v>153000047</v>
      </c>
      <c r="L1270" s="9" t="n">
        <v>46043</v>
      </c>
      <c r="M1270" s="10" t="n">
        <v>47868</v>
      </c>
    </row>
    <row r="1271" customFormat="false" ht="30" hidden="true" customHeight="true" outlineLevel="0" collapsed="false">
      <c r="A1271" s="4" t="s">
        <v>109</v>
      </c>
      <c r="B1271" s="4" t="s">
        <v>14</v>
      </c>
      <c r="C1271" s="5" t="n">
        <v>1329001690</v>
      </c>
      <c r="D1271" s="6" t="s">
        <v>1322</v>
      </c>
      <c r="E1271" s="6"/>
      <c r="F1271" s="7" t="n">
        <v>46067.4362227546</v>
      </c>
      <c r="G1271" s="7" t="n">
        <v>46067.4584377778</v>
      </c>
      <c r="H1271" s="8" t="n">
        <v>4</v>
      </c>
      <c r="I1271" s="5" t="n">
        <v>401096</v>
      </c>
      <c r="J1271" s="6" t="s">
        <v>1323</v>
      </c>
      <c r="K1271" s="5" t="n">
        <v>100010367</v>
      </c>
      <c r="L1271" s="9" t="n">
        <v>45941</v>
      </c>
      <c r="M1271" s="10" t="n">
        <v>47766</v>
      </c>
    </row>
    <row r="1272" customFormat="false" ht="30" hidden="true" customHeight="true" outlineLevel="0" collapsed="false">
      <c r="A1272" s="4" t="s">
        <v>109</v>
      </c>
      <c r="B1272" s="4" t="s">
        <v>14</v>
      </c>
      <c r="C1272" s="5" t="n">
        <v>1329001690</v>
      </c>
      <c r="D1272" s="6" t="s">
        <v>1324</v>
      </c>
      <c r="E1272" s="6"/>
      <c r="F1272" s="7" t="n">
        <v>46067.4362227546</v>
      </c>
      <c r="G1272" s="7" t="n">
        <v>46067.4633157407</v>
      </c>
      <c r="H1272" s="8" t="n">
        <v>4</v>
      </c>
      <c r="I1272" s="5" t="n">
        <v>401096</v>
      </c>
      <c r="J1272" s="6" t="s">
        <v>1323</v>
      </c>
      <c r="K1272" s="5" t="n">
        <v>100010367</v>
      </c>
      <c r="L1272" s="9" t="n">
        <v>45941</v>
      </c>
      <c r="M1272" s="10" t="n">
        <v>47766</v>
      </c>
    </row>
    <row r="1273" customFormat="false" ht="30" hidden="true" customHeight="true" outlineLevel="0" collapsed="false">
      <c r="A1273" s="4" t="s">
        <v>109</v>
      </c>
      <c r="B1273" s="4" t="s">
        <v>14</v>
      </c>
      <c r="C1273" s="5" t="n">
        <v>1329001690</v>
      </c>
      <c r="D1273" s="6" t="s">
        <v>1325</v>
      </c>
      <c r="E1273" s="6"/>
      <c r="F1273" s="7" t="n">
        <v>46067.4362227546</v>
      </c>
      <c r="G1273" s="7" t="n">
        <v>46067.4620130903</v>
      </c>
      <c r="H1273" s="8" t="n">
        <v>4</v>
      </c>
      <c r="I1273" s="5" t="n">
        <v>401096</v>
      </c>
      <c r="J1273" s="6" t="s">
        <v>1323</v>
      </c>
      <c r="K1273" s="5" t="n">
        <v>100010367</v>
      </c>
      <c r="L1273" s="9" t="n">
        <v>45941</v>
      </c>
      <c r="M1273" s="10" t="n">
        <v>47766</v>
      </c>
    </row>
    <row r="1274" customFormat="false" ht="30" hidden="true" customHeight="true" outlineLevel="0" collapsed="false">
      <c r="A1274" s="4" t="s">
        <v>109</v>
      </c>
      <c r="B1274" s="4" t="s">
        <v>14</v>
      </c>
      <c r="C1274" s="5" t="n">
        <v>1329001690</v>
      </c>
      <c r="D1274" s="6" t="s">
        <v>1326</v>
      </c>
      <c r="E1274" s="6"/>
      <c r="F1274" s="7" t="n">
        <v>46067.4362227546</v>
      </c>
      <c r="G1274" s="7" t="n">
        <v>46067.4609462384</v>
      </c>
      <c r="H1274" s="8" t="n">
        <v>4</v>
      </c>
      <c r="I1274" s="5" t="n">
        <v>401096</v>
      </c>
      <c r="J1274" s="6" t="s">
        <v>1323</v>
      </c>
      <c r="K1274" s="5" t="n">
        <v>100010367</v>
      </c>
      <c r="L1274" s="9" t="n">
        <v>45941</v>
      </c>
      <c r="M1274" s="10" t="n">
        <v>47766</v>
      </c>
    </row>
    <row r="1275" customFormat="false" ht="30" hidden="true" customHeight="true" outlineLevel="0" collapsed="false">
      <c r="A1275" s="4" t="s">
        <v>109</v>
      </c>
      <c r="B1275" s="4" t="s">
        <v>14</v>
      </c>
      <c r="C1275" s="5" t="n">
        <v>1329001690</v>
      </c>
      <c r="D1275" s="6" t="s">
        <v>1327</v>
      </c>
      <c r="E1275" s="6"/>
      <c r="F1275" s="7" t="n">
        <v>46067.4362227546</v>
      </c>
      <c r="G1275" s="7" t="n">
        <v>46067.4604197685</v>
      </c>
      <c r="H1275" s="8" t="n">
        <v>4</v>
      </c>
      <c r="I1275" s="5" t="n">
        <v>400541</v>
      </c>
      <c r="J1275" s="6" t="s">
        <v>1005</v>
      </c>
      <c r="K1275" s="5" t="n">
        <v>153000081</v>
      </c>
      <c r="L1275" s="9" t="n">
        <v>46058</v>
      </c>
      <c r="M1275" s="10" t="n">
        <v>47883</v>
      </c>
    </row>
    <row r="1276" customFormat="false" ht="30" hidden="true" customHeight="true" outlineLevel="0" collapsed="false">
      <c r="A1276" s="4" t="s">
        <v>109</v>
      </c>
      <c r="B1276" s="4" t="s">
        <v>14</v>
      </c>
      <c r="C1276" s="5" t="n">
        <v>1329001690</v>
      </c>
      <c r="D1276" s="6" t="s">
        <v>1328</v>
      </c>
      <c r="E1276" s="6"/>
      <c r="F1276" s="7" t="n">
        <v>46067.4362227546</v>
      </c>
      <c r="G1276" s="7" t="n">
        <v>46067.4598762732</v>
      </c>
      <c r="H1276" s="8" t="n">
        <v>4</v>
      </c>
      <c r="I1276" s="5" t="n">
        <v>401096</v>
      </c>
      <c r="J1276" s="6" t="s">
        <v>1323</v>
      </c>
      <c r="K1276" s="5" t="n">
        <v>100010367</v>
      </c>
      <c r="L1276" s="9" t="n">
        <v>45941</v>
      </c>
      <c r="M1276" s="10" t="n">
        <v>47766</v>
      </c>
    </row>
    <row r="1277" customFormat="false" ht="30" hidden="true" customHeight="true" outlineLevel="0" collapsed="false">
      <c r="A1277" s="4" t="s">
        <v>109</v>
      </c>
      <c r="B1277" s="4" t="s">
        <v>14</v>
      </c>
      <c r="C1277" s="5" t="n">
        <v>1329001690</v>
      </c>
      <c r="D1277" s="6" t="s">
        <v>1329</v>
      </c>
      <c r="E1277" s="6"/>
      <c r="F1277" s="7" t="n">
        <v>46067.4362227546</v>
      </c>
      <c r="G1277" s="7" t="n">
        <v>46067.4591265625</v>
      </c>
      <c r="H1277" s="8" t="n">
        <v>4</v>
      </c>
      <c r="I1277" s="5" t="n">
        <v>400541</v>
      </c>
      <c r="J1277" s="6" t="s">
        <v>1005</v>
      </c>
      <c r="K1277" s="5" t="n">
        <v>153000081</v>
      </c>
      <c r="L1277" s="9" t="n">
        <v>46058</v>
      </c>
      <c r="M1277" s="10" t="n">
        <v>47883</v>
      </c>
    </row>
    <row r="1278" customFormat="false" ht="30" hidden="true" customHeight="true" outlineLevel="0" collapsed="false">
      <c r="A1278" s="4" t="s">
        <v>109</v>
      </c>
      <c r="B1278" s="4" t="s">
        <v>14</v>
      </c>
      <c r="C1278" s="5" t="n">
        <v>1329001690</v>
      </c>
      <c r="D1278" s="6" t="s">
        <v>1330</v>
      </c>
      <c r="E1278" s="6"/>
      <c r="F1278" s="7" t="n">
        <v>46067.4362227546</v>
      </c>
      <c r="G1278" s="7" t="n">
        <v>46067.4572803704</v>
      </c>
      <c r="H1278" s="8" t="n">
        <v>4</v>
      </c>
      <c r="I1278" s="5" t="n">
        <v>400541</v>
      </c>
      <c r="J1278" s="6" t="s">
        <v>1005</v>
      </c>
      <c r="K1278" s="5" t="n">
        <v>153000081</v>
      </c>
      <c r="L1278" s="9" t="n">
        <v>46058</v>
      </c>
      <c r="M1278" s="10" t="n">
        <v>47883</v>
      </c>
    </row>
    <row r="1279" customFormat="false" ht="30" hidden="true" customHeight="true" outlineLevel="0" collapsed="false">
      <c r="A1279" s="4" t="s">
        <v>109</v>
      </c>
      <c r="B1279" s="4" t="s">
        <v>14</v>
      </c>
      <c r="C1279" s="5" t="n">
        <v>1329001690</v>
      </c>
      <c r="D1279" s="6" t="s">
        <v>1331</v>
      </c>
      <c r="E1279" s="6"/>
      <c r="F1279" s="7" t="n">
        <v>46067.4362227546</v>
      </c>
      <c r="G1279" s="7" t="n">
        <v>46067.4567879977</v>
      </c>
      <c r="H1279" s="8" t="n">
        <v>4</v>
      </c>
      <c r="I1279" s="5" t="n">
        <v>400541</v>
      </c>
      <c r="J1279" s="6" t="s">
        <v>1005</v>
      </c>
      <c r="K1279" s="5" t="n">
        <v>153000081</v>
      </c>
      <c r="L1279" s="9" t="n">
        <v>46058</v>
      </c>
      <c r="M1279" s="10" t="n">
        <v>47883</v>
      </c>
    </row>
    <row r="1280" customFormat="false" ht="30" hidden="true" customHeight="true" outlineLevel="0" collapsed="false">
      <c r="A1280" s="4" t="s">
        <v>109</v>
      </c>
      <c r="B1280" s="4" t="s">
        <v>14</v>
      </c>
      <c r="C1280" s="5" t="n">
        <v>1329001690</v>
      </c>
      <c r="D1280" s="6" t="s">
        <v>1332</v>
      </c>
      <c r="E1280" s="6"/>
      <c r="F1280" s="7" t="n">
        <v>46067.4362227546</v>
      </c>
      <c r="G1280" s="7" t="n">
        <v>46067.4547539931</v>
      </c>
      <c r="H1280" s="8" t="n">
        <v>4</v>
      </c>
      <c r="I1280" s="5" t="n">
        <v>400541</v>
      </c>
      <c r="J1280" s="6" t="s">
        <v>1005</v>
      </c>
      <c r="K1280" s="5" t="n">
        <v>153000081</v>
      </c>
      <c r="L1280" s="9" t="n">
        <v>46058</v>
      </c>
      <c r="M1280" s="10" t="n">
        <v>47883</v>
      </c>
    </row>
    <row r="1281" customFormat="false" ht="30" hidden="true" customHeight="true" outlineLevel="0" collapsed="false">
      <c r="A1281" s="4" t="s">
        <v>109</v>
      </c>
      <c r="B1281" s="4" t="s">
        <v>14</v>
      </c>
      <c r="C1281" s="5" t="n">
        <v>1329001690</v>
      </c>
      <c r="D1281" s="6" t="s">
        <v>1333</v>
      </c>
      <c r="E1281" s="6"/>
      <c r="F1281" s="7" t="n">
        <v>46067.4362227546</v>
      </c>
      <c r="G1281" s="7" t="n">
        <v>46067.4536665856</v>
      </c>
      <c r="H1281" s="8" t="n">
        <v>4</v>
      </c>
      <c r="I1281" s="5" t="n">
        <v>400541</v>
      </c>
      <c r="J1281" s="6" t="s">
        <v>1005</v>
      </c>
      <c r="K1281" s="5" t="n">
        <v>153000081</v>
      </c>
      <c r="L1281" s="9" t="n">
        <v>46058</v>
      </c>
      <c r="M1281" s="10" t="n">
        <v>47883</v>
      </c>
    </row>
    <row r="1282" customFormat="false" ht="30" hidden="true" customHeight="true" outlineLevel="0" collapsed="false">
      <c r="A1282" s="4" t="s">
        <v>109</v>
      </c>
      <c r="B1282" s="4" t="s">
        <v>14</v>
      </c>
      <c r="C1282" s="5" t="n">
        <v>1329001690</v>
      </c>
      <c r="D1282" s="6" t="s">
        <v>1334</v>
      </c>
      <c r="E1282" s="6"/>
      <c r="F1282" s="7" t="n">
        <v>46067.4362227546</v>
      </c>
      <c r="G1282" s="7" t="n">
        <v>46067.4532687616</v>
      </c>
      <c r="H1282" s="8" t="n">
        <v>4</v>
      </c>
      <c r="I1282" s="5" t="n">
        <v>400541</v>
      </c>
      <c r="J1282" s="6" t="s">
        <v>1005</v>
      </c>
      <c r="K1282" s="5" t="n">
        <v>153000081</v>
      </c>
      <c r="L1282" s="9" t="n">
        <v>46058</v>
      </c>
      <c r="M1282" s="10" t="n">
        <v>47883</v>
      </c>
    </row>
    <row r="1283" customFormat="false" ht="30" hidden="true" customHeight="true" outlineLevel="0" collapsed="false">
      <c r="A1283" s="4" t="s">
        <v>109</v>
      </c>
      <c r="B1283" s="4" t="s">
        <v>14</v>
      </c>
      <c r="C1283" s="5" t="n">
        <v>1329001690</v>
      </c>
      <c r="D1283" s="6" t="s">
        <v>1335</v>
      </c>
      <c r="E1283" s="6"/>
      <c r="F1283" s="7" t="n">
        <v>46067.4362227546</v>
      </c>
      <c r="G1283" s="7" t="n">
        <v>46067.4521854745</v>
      </c>
      <c r="H1283" s="8" t="n">
        <v>4</v>
      </c>
      <c r="I1283" s="5" t="n">
        <v>400541</v>
      </c>
      <c r="J1283" s="6" t="s">
        <v>1005</v>
      </c>
      <c r="K1283" s="5" t="n">
        <v>153000081</v>
      </c>
      <c r="L1283" s="9" t="n">
        <v>46058</v>
      </c>
      <c r="M1283" s="10" t="n">
        <v>47883</v>
      </c>
    </row>
    <row r="1284" customFormat="false" ht="30" hidden="true" customHeight="true" outlineLevel="0" collapsed="false">
      <c r="A1284" s="4" t="s">
        <v>109</v>
      </c>
      <c r="B1284" s="4" t="s">
        <v>14</v>
      </c>
      <c r="C1284" s="5" t="n">
        <v>1329001690</v>
      </c>
      <c r="D1284" s="6" t="s">
        <v>1336</v>
      </c>
      <c r="E1284" s="6"/>
      <c r="F1284" s="7" t="n">
        <v>46067.4362227546</v>
      </c>
      <c r="G1284" s="7" t="n">
        <v>46067.4516646875</v>
      </c>
      <c r="H1284" s="8" t="n">
        <v>4</v>
      </c>
      <c r="I1284" s="5" t="n">
        <v>400541</v>
      </c>
      <c r="J1284" s="6" t="s">
        <v>1005</v>
      </c>
      <c r="K1284" s="5" t="n">
        <v>153000081</v>
      </c>
      <c r="L1284" s="9" t="n">
        <v>46058</v>
      </c>
      <c r="M1284" s="10" t="n">
        <v>47883</v>
      </c>
    </row>
    <row r="1285" customFormat="false" ht="30" hidden="true" customHeight="true" outlineLevel="0" collapsed="false">
      <c r="A1285" s="4" t="s">
        <v>109</v>
      </c>
      <c r="B1285" s="4" t="s">
        <v>14</v>
      </c>
      <c r="C1285" s="5" t="n">
        <v>1329001690</v>
      </c>
      <c r="D1285" s="6" t="s">
        <v>1337</v>
      </c>
      <c r="E1285" s="6"/>
      <c r="F1285" s="7" t="n">
        <v>46067.4362227546</v>
      </c>
      <c r="G1285" s="7" t="n">
        <v>46067.4505732755</v>
      </c>
      <c r="H1285" s="8" t="n">
        <v>4</v>
      </c>
      <c r="I1285" s="5" t="n">
        <v>400541</v>
      </c>
      <c r="J1285" s="6" t="s">
        <v>1005</v>
      </c>
      <c r="K1285" s="5" t="n">
        <v>153000081</v>
      </c>
      <c r="L1285" s="9" t="n">
        <v>46058</v>
      </c>
      <c r="M1285" s="10" t="n">
        <v>47883</v>
      </c>
    </row>
    <row r="1286" customFormat="false" ht="30" hidden="true" customHeight="true" outlineLevel="0" collapsed="false">
      <c r="A1286" s="4" t="s">
        <v>109</v>
      </c>
      <c r="B1286" s="4" t="s">
        <v>14</v>
      </c>
      <c r="C1286" s="5" t="n">
        <v>1329001690</v>
      </c>
      <c r="D1286" s="6" t="s">
        <v>1338</v>
      </c>
      <c r="E1286" s="6"/>
      <c r="F1286" s="7" t="n">
        <v>46067.4362227546</v>
      </c>
      <c r="G1286" s="7" t="n">
        <v>46067.4499575926</v>
      </c>
      <c r="H1286" s="8" t="n">
        <v>4</v>
      </c>
      <c r="I1286" s="5" t="n">
        <v>400541</v>
      </c>
      <c r="J1286" s="6" t="s">
        <v>1005</v>
      </c>
      <c r="K1286" s="5" t="n">
        <v>153000081</v>
      </c>
      <c r="L1286" s="9" t="n">
        <v>46058</v>
      </c>
      <c r="M1286" s="10" t="n">
        <v>47883</v>
      </c>
    </row>
    <row r="1287" customFormat="false" ht="30" hidden="true" customHeight="true" outlineLevel="0" collapsed="false">
      <c r="A1287" s="4" t="s">
        <v>109</v>
      </c>
      <c r="B1287" s="4" t="s">
        <v>14</v>
      </c>
      <c r="C1287" s="5" t="n">
        <v>1329001690</v>
      </c>
      <c r="D1287" s="6" t="s">
        <v>1339</v>
      </c>
      <c r="E1287" s="6"/>
      <c r="F1287" s="7" t="n">
        <v>46067.4362227546</v>
      </c>
      <c r="G1287" s="7" t="n">
        <v>46067.4494665278</v>
      </c>
      <c r="H1287" s="8" t="n">
        <v>4</v>
      </c>
      <c r="I1287" s="5" t="n">
        <v>400541</v>
      </c>
      <c r="J1287" s="6" t="s">
        <v>1005</v>
      </c>
      <c r="K1287" s="5" t="n">
        <v>153000081</v>
      </c>
      <c r="L1287" s="9" t="n">
        <v>46058</v>
      </c>
      <c r="M1287" s="10" t="n">
        <v>47883</v>
      </c>
    </row>
    <row r="1288" customFormat="false" ht="30" hidden="true" customHeight="true" outlineLevel="0" collapsed="false">
      <c r="A1288" s="4" t="s">
        <v>109</v>
      </c>
      <c r="B1288" s="4" t="s">
        <v>14</v>
      </c>
      <c r="C1288" s="5" t="n">
        <v>1329001690</v>
      </c>
      <c r="D1288" s="6" t="s">
        <v>1340</v>
      </c>
      <c r="E1288" s="6"/>
      <c r="F1288" s="7" t="n">
        <v>46067.4362227546</v>
      </c>
      <c r="G1288" s="7" t="n">
        <v>46067.4485884491</v>
      </c>
      <c r="H1288" s="8" t="n">
        <v>4</v>
      </c>
      <c r="I1288" s="5" t="n">
        <v>400541</v>
      </c>
      <c r="J1288" s="6" t="s">
        <v>1005</v>
      </c>
      <c r="K1288" s="5" t="n">
        <v>153000081</v>
      </c>
      <c r="L1288" s="9" t="n">
        <v>46058</v>
      </c>
      <c r="M1288" s="10" t="n">
        <v>47883</v>
      </c>
    </row>
    <row r="1289" customFormat="false" ht="30" hidden="true" customHeight="true" outlineLevel="0" collapsed="false">
      <c r="A1289" s="4" t="s">
        <v>109</v>
      </c>
      <c r="B1289" s="4" t="s">
        <v>14</v>
      </c>
      <c r="C1289" s="5" t="n">
        <v>1329001690</v>
      </c>
      <c r="D1289" s="6" t="s">
        <v>1341</v>
      </c>
      <c r="E1289" s="6"/>
      <c r="F1289" s="7" t="n">
        <v>46067.4362227546</v>
      </c>
      <c r="G1289" s="7" t="n">
        <v>46067.4627493403</v>
      </c>
      <c r="H1289" s="8" t="n">
        <v>3</v>
      </c>
      <c r="I1289" s="5" t="n">
        <v>400535</v>
      </c>
      <c r="J1289" s="6" t="s">
        <v>1312</v>
      </c>
      <c r="K1289" s="5" t="n">
        <v>153000047</v>
      </c>
      <c r="L1289" s="9" t="n">
        <v>46043</v>
      </c>
      <c r="M1289" s="10" t="n">
        <v>47868</v>
      </c>
    </row>
    <row r="1290" customFormat="false" ht="30" hidden="true" customHeight="true" outlineLevel="0" collapsed="false">
      <c r="A1290" s="4" t="s">
        <v>109</v>
      </c>
      <c r="B1290" s="4" t="s">
        <v>14</v>
      </c>
      <c r="C1290" s="5" t="n">
        <v>1329001690</v>
      </c>
      <c r="D1290" s="6" t="s">
        <v>1342</v>
      </c>
      <c r="E1290" s="6"/>
      <c r="F1290" s="7" t="n">
        <v>46067.4362227546</v>
      </c>
      <c r="G1290" s="7" t="n">
        <v>46067.4447543287</v>
      </c>
      <c r="H1290" s="8" t="n">
        <v>4</v>
      </c>
      <c r="I1290" s="5" t="n">
        <v>400535</v>
      </c>
      <c r="J1290" s="6" t="s">
        <v>1312</v>
      </c>
      <c r="K1290" s="5" t="n">
        <v>153000047</v>
      </c>
      <c r="L1290" s="9" t="n">
        <v>46043</v>
      </c>
      <c r="M1290" s="10" t="n">
        <v>47868</v>
      </c>
    </row>
    <row r="1291" customFormat="false" ht="30" hidden="true" customHeight="true" outlineLevel="0" collapsed="false">
      <c r="A1291" s="4" t="s">
        <v>109</v>
      </c>
      <c r="B1291" s="4" t="s">
        <v>14</v>
      </c>
      <c r="C1291" s="5" t="n">
        <v>1329001690</v>
      </c>
      <c r="D1291" s="6" t="s">
        <v>1343</v>
      </c>
      <c r="E1291" s="6"/>
      <c r="F1291" s="7" t="n">
        <v>46067.4362227546</v>
      </c>
      <c r="G1291" s="7" t="n">
        <v>46067.4437913773</v>
      </c>
      <c r="H1291" s="8" t="n">
        <v>4</v>
      </c>
      <c r="I1291" s="5" t="n">
        <v>400535</v>
      </c>
      <c r="J1291" s="6" t="s">
        <v>1312</v>
      </c>
      <c r="K1291" s="5" t="n">
        <v>153000047</v>
      </c>
      <c r="L1291" s="9" t="n">
        <v>46043</v>
      </c>
      <c r="M1291" s="10" t="n">
        <v>47868</v>
      </c>
    </row>
    <row r="1292" customFormat="false" ht="30" hidden="true" customHeight="true" outlineLevel="0" collapsed="false">
      <c r="A1292" s="4" t="s">
        <v>109</v>
      </c>
      <c r="B1292" s="4" t="s">
        <v>14</v>
      </c>
      <c r="C1292" s="5" t="n">
        <v>1329001694</v>
      </c>
      <c r="D1292" s="6" t="s">
        <v>1344</v>
      </c>
      <c r="E1292" s="6"/>
      <c r="F1292" s="7" t="n">
        <v>46068.2049569097</v>
      </c>
      <c r="G1292" s="7" t="n">
        <v>46068.2620198032</v>
      </c>
      <c r="H1292" s="8" t="n">
        <v>4</v>
      </c>
      <c r="I1292" s="5" t="n">
        <v>400459</v>
      </c>
      <c r="J1292" s="6" t="s">
        <v>1091</v>
      </c>
      <c r="K1292" s="5" t="n">
        <v>153000094</v>
      </c>
      <c r="L1292" s="9" t="n">
        <v>46062</v>
      </c>
      <c r="M1292" s="10" t="n">
        <v>47887</v>
      </c>
    </row>
    <row r="1293" customFormat="false" ht="30" hidden="true" customHeight="true" outlineLevel="0" collapsed="false">
      <c r="A1293" s="4" t="s">
        <v>109</v>
      </c>
      <c r="B1293" s="4" t="s">
        <v>14</v>
      </c>
      <c r="C1293" s="5" t="n">
        <v>1329001694</v>
      </c>
      <c r="D1293" s="6" t="s">
        <v>1345</v>
      </c>
      <c r="E1293" s="6"/>
      <c r="F1293" s="7" t="n">
        <v>46068.2049569097</v>
      </c>
      <c r="G1293" s="7" t="n">
        <v>46068.280225706</v>
      </c>
      <c r="H1293" s="8" t="n">
        <v>4</v>
      </c>
      <c r="I1293" s="5" t="n">
        <v>400459</v>
      </c>
      <c r="J1293" s="6" t="s">
        <v>1091</v>
      </c>
      <c r="K1293" s="5" t="n">
        <v>153000094</v>
      </c>
      <c r="L1293" s="9" t="n">
        <v>46062</v>
      </c>
      <c r="M1293" s="10" t="n">
        <v>47887</v>
      </c>
    </row>
    <row r="1294" customFormat="false" ht="30" hidden="true" customHeight="true" outlineLevel="0" collapsed="false">
      <c r="A1294" s="4" t="s">
        <v>109</v>
      </c>
      <c r="B1294" s="4" t="s">
        <v>14</v>
      </c>
      <c r="C1294" s="5" t="n">
        <v>1329001694</v>
      </c>
      <c r="D1294" s="6" t="s">
        <v>1346</v>
      </c>
      <c r="E1294" s="6"/>
      <c r="F1294" s="7" t="n">
        <v>46068.2049569097</v>
      </c>
      <c r="G1294" s="7" t="n">
        <v>46068.279600162</v>
      </c>
      <c r="H1294" s="8" t="n">
        <v>4</v>
      </c>
      <c r="I1294" s="5" t="n">
        <v>400459</v>
      </c>
      <c r="J1294" s="6" t="s">
        <v>1091</v>
      </c>
      <c r="K1294" s="5" t="n">
        <v>153000094</v>
      </c>
      <c r="L1294" s="9" t="n">
        <v>46062</v>
      </c>
      <c r="M1294" s="10" t="n">
        <v>47887</v>
      </c>
    </row>
    <row r="1295" customFormat="false" ht="30" hidden="true" customHeight="true" outlineLevel="0" collapsed="false">
      <c r="A1295" s="4" t="s">
        <v>109</v>
      </c>
      <c r="B1295" s="4" t="s">
        <v>14</v>
      </c>
      <c r="C1295" s="5" t="n">
        <v>1329001694</v>
      </c>
      <c r="D1295" s="6" t="s">
        <v>1347</v>
      </c>
      <c r="E1295" s="6"/>
      <c r="F1295" s="7" t="n">
        <v>46068.2049569097</v>
      </c>
      <c r="G1295" s="7" t="n">
        <v>46068.2790534607</v>
      </c>
      <c r="H1295" s="8" t="n">
        <v>4</v>
      </c>
      <c r="I1295" s="5" t="n">
        <v>400459</v>
      </c>
      <c r="J1295" s="6" t="s">
        <v>1091</v>
      </c>
      <c r="K1295" s="5" t="n">
        <v>153000094</v>
      </c>
      <c r="L1295" s="9" t="n">
        <v>46062</v>
      </c>
      <c r="M1295" s="10" t="n">
        <v>47887</v>
      </c>
    </row>
    <row r="1296" customFormat="false" ht="30" hidden="true" customHeight="true" outlineLevel="0" collapsed="false">
      <c r="A1296" s="4" t="s">
        <v>109</v>
      </c>
      <c r="B1296" s="4" t="s">
        <v>14</v>
      </c>
      <c r="C1296" s="5" t="n">
        <v>1329001694</v>
      </c>
      <c r="D1296" s="6" t="s">
        <v>1348</v>
      </c>
      <c r="E1296" s="6"/>
      <c r="F1296" s="7" t="n">
        <v>46068.2049569097</v>
      </c>
      <c r="G1296" s="7" t="n">
        <v>46068.278576956</v>
      </c>
      <c r="H1296" s="8" t="n">
        <v>4</v>
      </c>
      <c r="I1296" s="5" t="n">
        <v>400459</v>
      </c>
      <c r="J1296" s="6" t="s">
        <v>1091</v>
      </c>
      <c r="K1296" s="5" t="n">
        <v>153000094</v>
      </c>
      <c r="L1296" s="9" t="n">
        <v>46062</v>
      </c>
      <c r="M1296" s="10" t="n">
        <v>47887</v>
      </c>
    </row>
    <row r="1297" customFormat="false" ht="30" hidden="true" customHeight="true" outlineLevel="0" collapsed="false">
      <c r="A1297" s="4" t="s">
        <v>109</v>
      </c>
      <c r="B1297" s="4" t="s">
        <v>14</v>
      </c>
      <c r="C1297" s="5" t="n">
        <v>1329001694</v>
      </c>
      <c r="D1297" s="6" t="s">
        <v>1349</v>
      </c>
      <c r="E1297" s="6"/>
      <c r="F1297" s="7" t="n">
        <v>46068.2049569097</v>
      </c>
      <c r="G1297" s="7" t="n">
        <v>46068.2782027431</v>
      </c>
      <c r="H1297" s="8" t="n">
        <v>4</v>
      </c>
      <c r="I1297" s="5" t="n">
        <v>400459</v>
      </c>
      <c r="J1297" s="6" t="s">
        <v>1091</v>
      </c>
      <c r="K1297" s="5" t="n">
        <v>153000094</v>
      </c>
      <c r="L1297" s="9" t="n">
        <v>46062</v>
      </c>
      <c r="M1297" s="10" t="n">
        <v>47887</v>
      </c>
    </row>
    <row r="1298" customFormat="false" ht="30" hidden="true" customHeight="true" outlineLevel="0" collapsed="false">
      <c r="A1298" s="4" t="s">
        <v>109</v>
      </c>
      <c r="B1298" s="4" t="s">
        <v>14</v>
      </c>
      <c r="C1298" s="5" t="n">
        <v>1329001694</v>
      </c>
      <c r="D1298" s="6" t="s">
        <v>1350</v>
      </c>
      <c r="E1298" s="6"/>
      <c r="F1298" s="7" t="n">
        <v>46068.2049569097</v>
      </c>
      <c r="G1298" s="7" t="n">
        <v>46068.2777766782</v>
      </c>
      <c r="H1298" s="8" t="n">
        <v>4</v>
      </c>
      <c r="I1298" s="5" t="n">
        <v>400459</v>
      </c>
      <c r="J1298" s="6" t="s">
        <v>1091</v>
      </c>
      <c r="K1298" s="5" t="n">
        <v>153000094</v>
      </c>
      <c r="L1298" s="9" t="n">
        <v>46062</v>
      </c>
      <c r="M1298" s="10" t="n">
        <v>47887</v>
      </c>
    </row>
    <row r="1299" customFormat="false" ht="30" hidden="true" customHeight="true" outlineLevel="0" collapsed="false">
      <c r="A1299" s="4" t="s">
        <v>109</v>
      </c>
      <c r="B1299" s="4" t="s">
        <v>14</v>
      </c>
      <c r="C1299" s="5" t="n">
        <v>1329001694</v>
      </c>
      <c r="D1299" s="6" t="s">
        <v>1351</v>
      </c>
      <c r="E1299" s="6"/>
      <c r="F1299" s="7" t="n">
        <v>46068.2049569097</v>
      </c>
      <c r="G1299" s="7" t="n">
        <v>46068.2772903356</v>
      </c>
      <c r="H1299" s="8" t="n">
        <v>4</v>
      </c>
      <c r="I1299" s="5" t="n">
        <v>400459</v>
      </c>
      <c r="J1299" s="6" t="s">
        <v>1091</v>
      </c>
      <c r="K1299" s="5" t="n">
        <v>153000094</v>
      </c>
      <c r="L1299" s="9" t="n">
        <v>46062</v>
      </c>
      <c r="M1299" s="10" t="n">
        <v>47887</v>
      </c>
    </row>
    <row r="1300" customFormat="false" ht="30" hidden="true" customHeight="true" outlineLevel="0" collapsed="false">
      <c r="A1300" s="4" t="s">
        <v>109</v>
      </c>
      <c r="B1300" s="4" t="s">
        <v>14</v>
      </c>
      <c r="C1300" s="5" t="n">
        <v>1329001694</v>
      </c>
      <c r="D1300" s="6" t="s">
        <v>1352</v>
      </c>
      <c r="E1300" s="6"/>
      <c r="F1300" s="7" t="n">
        <v>46068.2049569097</v>
      </c>
      <c r="G1300" s="7" t="n">
        <v>46068.2768921181</v>
      </c>
      <c r="H1300" s="8" t="n">
        <v>4</v>
      </c>
      <c r="I1300" s="5" t="n">
        <v>400459</v>
      </c>
      <c r="J1300" s="6" t="s">
        <v>1091</v>
      </c>
      <c r="K1300" s="5" t="n">
        <v>153000094</v>
      </c>
      <c r="L1300" s="9" t="n">
        <v>46062</v>
      </c>
      <c r="M1300" s="10" t="n">
        <v>47887</v>
      </c>
    </row>
    <row r="1301" customFormat="false" ht="30" hidden="true" customHeight="true" outlineLevel="0" collapsed="false">
      <c r="A1301" s="4" t="s">
        <v>109</v>
      </c>
      <c r="B1301" s="4" t="s">
        <v>14</v>
      </c>
      <c r="C1301" s="5" t="n">
        <v>1329001694</v>
      </c>
      <c r="D1301" s="6" t="s">
        <v>1353</v>
      </c>
      <c r="E1301" s="6"/>
      <c r="F1301" s="7" t="n">
        <v>46068.2049569097</v>
      </c>
      <c r="G1301" s="7" t="n">
        <v>46068.2764964236</v>
      </c>
      <c r="H1301" s="8" t="n">
        <v>4</v>
      </c>
      <c r="I1301" s="5" t="n">
        <v>400459</v>
      </c>
      <c r="J1301" s="6" t="s">
        <v>1091</v>
      </c>
      <c r="K1301" s="5" t="n">
        <v>153000094</v>
      </c>
      <c r="L1301" s="9" t="n">
        <v>46062</v>
      </c>
      <c r="M1301" s="10" t="n">
        <v>47887</v>
      </c>
    </row>
    <row r="1302" customFormat="false" ht="30" hidden="true" customHeight="true" outlineLevel="0" collapsed="false">
      <c r="A1302" s="4" t="s">
        <v>109</v>
      </c>
      <c r="B1302" s="4" t="s">
        <v>14</v>
      </c>
      <c r="C1302" s="5" t="n">
        <v>1329001694</v>
      </c>
      <c r="D1302" s="6" t="s">
        <v>1354</v>
      </c>
      <c r="E1302" s="6"/>
      <c r="F1302" s="7" t="n">
        <v>46068.2049569097</v>
      </c>
      <c r="G1302" s="7" t="n">
        <v>46068.2760750347</v>
      </c>
      <c r="H1302" s="8" t="n">
        <v>4</v>
      </c>
      <c r="I1302" s="5" t="n">
        <v>400459</v>
      </c>
      <c r="J1302" s="6" t="s">
        <v>1091</v>
      </c>
      <c r="K1302" s="5" t="n">
        <v>153000094</v>
      </c>
      <c r="L1302" s="9" t="n">
        <v>46062</v>
      </c>
      <c r="M1302" s="10" t="n">
        <v>47887</v>
      </c>
    </row>
    <row r="1303" customFormat="false" ht="30" hidden="true" customHeight="true" outlineLevel="0" collapsed="false">
      <c r="A1303" s="4" t="s">
        <v>109</v>
      </c>
      <c r="B1303" s="4" t="s">
        <v>14</v>
      </c>
      <c r="C1303" s="5" t="n">
        <v>1329001694</v>
      </c>
      <c r="D1303" s="6" t="s">
        <v>1355</v>
      </c>
      <c r="E1303" s="6"/>
      <c r="F1303" s="7" t="n">
        <v>46068.2049569097</v>
      </c>
      <c r="G1303" s="7" t="n">
        <v>46068.2755942824</v>
      </c>
      <c r="H1303" s="8" t="n">
        <v>4</v>
      </c>
      <c r="I1303" s="5" t="n">
        <v>400459</v>
      </c>
      <c r="J1303" s="6" t="s">
        <v>1091</v>
      </c>
      <c r="K1303" s="5" t="n">
        <v>153000094</v>
      </c>
      <c r="L1303" s="9" t="n">
        <v>46062</v>
      </c>
      <c r="M1303" s="10" t="n">
        <v>47887</v>
      </c>
    </row>
    <row r="1304" customFormat="false" ht="30" hidden="true" customHeight="true" outlineLevel="0" collapsed="false">
      <c r="A1304" s="4" t="s">
        <v>109</v>
      </c>
      <c r="B1304" s="4" t="s">
        <v>14</v>
      </c>
      <c r="C1304" s="5" t="n">
        <v>1329001694</v>
      </c>
      <c r="D1304" s="6" t="s">
        <v>1356</v>
      </c>
      <c r="E1304" s="6"/>
      <c r="F1304" s="7" t="n">
        <v>46068.2049569097</v>
      </c>
      <c r="G1304" s="7" t="n">
        <v>46068.2750925579</v>
      </c>
      <c r="H1304" s="8" t="n">
        <v>4</v>
      </c>
      <c r="I1304" s="5" t="n">
        <v>400459</v>
      </c>
      <c r="J1304" s="6" t="s">
        <v>1091</v>
      </c>
      <c r="K1304" s="5" t="n">
        <v>153000094</v>
      </c>
      <c r="L1304" s="9" t="n">
        <v>46062</v>
      </c>
      <c r="M1304" s="10" t="n">
        <v>47887</v>
      </c>
    </row>
    <row r="1305" customFormat="false" ht="30" hidden="true" customHeight="true" outlineLevel="0" collapsed="false">
      <c r="A1305" s="4" t="s">
        <v>109</v>
      </c>
      <c r="B1305" s="4" t="s">
        <v>14</v>
      </c>
      <c r="C1305" s="5" t="n">
        <v>1329001694</v>
      </c>
      <c r="D1305" s="6" t="s">
        <v>1357</v>
      </c>
      <c r="E1305" s="6"/>
      <c r="F1305" s="7" t="n">
        <v>46068.2049569097</v>
      </c>
      <c r="G1305" s="7" t="n">
        <v>46068.2745893866</v>
      </c>
      <c r="H1305" s="8" t="n">
        <v>4</v>
      </c>
      <c r="I1305" s="5" t="n">
        <v>400459</v>
      </c>
      <c r="J1305" s="6" t="s">
        <v>1091</v>
      </c>
      <c r="K1305" s="5" t="n">
        <v>153000094</v>
      </c>
      <c r="L1305" s="9" t="n">
        <v>46062</v>
      </c>
      <c r="M1305" s="10" t="n">
        <v>47887</v>
      </c>
    </row>
    <row r="1306" customFormat="false" ht="30" hidden="true" customHeight="true" outlineLevel="0" collapsed="false">
      <c r="A1306" s="4" t="s">
        <v>109</v>
      </c>
      <c r="B1306" s="4" t="s">
        <v>14</v>
      </c>
      <c r="C1306" s="5" t="n">
        <v>1329001694</v>
      </c>
      <c r="D1306" s="6" t="s">
        <v>1358</v>
      </c>
      <c r="E1306" s="6"/>
      <c r="F1306" s="7" t="n">
        <v>46068.2049569097</v>
      </c>
      <c r="G1306" s="7" t="n">
        <v>46068.2741448843</v>
      </c>
      <c r="H1306" s="8" t="n">
        <v>4</v>
      </c>
      <c r="I1306" s="5" t="n">
        <v>400459</v>
      </c>
      <c r="J1306" s="6" t="s">
        <v>1091</v>
      </c>
      <c r="K1306" s="5" t="n">
        <v>153000094</v>
      </c>
      <c r="L1306" s="9" t="n">
        <v>46062</v>
      </c>
      <c r="M1306" s="10" t="n">
        <v>47887</v>
      </c>
    </row>
    <row r="1307" customFormat="false" ht="30" hidden="true" customHeight="true" outlineLevel="0" collapsed="false">
      <c r="A1307" s="4" t="s">
        <v>109</v>
      </c>
      <c r="B1307" s="4" t="s">
        <v>14</v>
      </c>
      <c r="C1307" s="5" t="n">
        <v>1329001694</v>
      </c>
      <c r="D1307" s="6" t="s">
        <v>1359</v>
      </c>
      <c r="E1307" s="6"/>
      <c r="F1307" s="7" t="n">
        <v>46068.2049569097</v>
      </c>
      <c r="G1307" s="7" t="n">
        <v>46068.2736354398</v>
      </c>
      <c r="H1307" s="8" t="n">
        <v>4</v>
      </c>
      <c r="I1307" s="5" t="n">
        <v>400459</v>
      </c>
      <c r="J1307" s="6" t="s">
        <v>1091</v>
      </c>
      <c r="K1307" s="5" t="n">
        <v>153000094</v>
      </c>
      <c r="L1307" s="9" t="n">
        <v>46062</v>
      </c>
      <c r="M1307" s="10" t="n">
        <v>47887</v>
      </c>
    </row>
    <row r="1308" customFormat="false" ht="30" hidden="true" customHeight="true" outlineLevel="0" collapsed="false">
      <c r="A1308" s="4" t="s">
        <v>109</v>
      </c>
      <c r="B1308" s="4" t="s">
        <v>14</v>
      </c>
      <c r="C1308" s="5" t="n">
        <v>1329001694</v>
      </c>
      <c r="D1308" s="6" t="s">
        <v>1360</v>
      </c>
      <c r="E1308" s="6"/>
      <c r="F1308" s="7" t="n">
        <v>46068.2049569097</v>
      </c>
      <c r="G1308" s="7" t="n">
        <v>46068.2731255556</v>
      </c>
      <c r="H1308" s="8" t="n">
        <v>4</v>
      </c>
      <c r="I1308" s="5" t="n">
        <v>400459</v>
      </c>
      <c r="J1308" s="6" t="s">
        <v>1091</v>
      </c>
      <c r="K1308" s="5" t="n">
        <v>153000094</v>
      </c>
      <c r="L1308" s="9" t="n">
        <v>46062</v>
      </c>
      <c r="M1308" s="10" t="n">
        <v>47887</v>
      </c>
    </row>
    <row r="1309" customFormat="false" ht="30" hidden="true" customHeight="true" outlineLevel="0" collapsed="false">
      <c r="A1309" s="4" t="s">
        <v>109</v>
      </c>
      <c r="B1309" s="4" t="s">
        <v>14</v>
      </c>
      <c r="C1309" s="5" t="n">
        <v>1329001694</v>
      </c>
      <c r="D1309" s="6" t="s">
        <v>1361</v>
      </c>
      <c r="E1309" s="6"/>
      <c r="F1309" s="7" t="n">
        <v>46068.2049569097</v>
      </c>
      <c r="G1309" s="7" t="n">
        <v>46068.2711711111</v>
      </c>
      <c r="H1309" s="8" t="n">
        <v>4</v>
      </c>
      <c r="I1309" s="5" t="n">
        <v>400459</v>
      </c>
      <c r="J1309" s="6" t="s">
        <v>1091</v>
      </c>
      <c r="K1309" s="5" t="n">
        <v>153000094</v>
      </c>
      <c r="L1309" s="9" t="n">
        <v>46062</v>
      </c>
      <c r="M1309" s="10" t="n">
        <v>47887</v>
      </c>
    </row>
    <row r="1310" customFormat="false" ht="30" hidden="true" customHeight="true" outlineLevel="0" collapsed="false">
      <c r="A1310" s="4" t="s">
        <v>109</v>
      </c>
      <c r="B1310" s="4" t="s">
        <v>14</v>
      </c>
      <c r="C1310" s="5" t="n">
        <v>1329001694</v>
      </c>
      <c r="D1310" s="6" t="s">
        <v>1362</v>
      </c>
      <c r="E1310" s="6"/>
      <c r="F1310" s="7" t="n">
        <v>46068.2049569097</v>
      </c>
      <c r="G1310" s="7" t="n">
        <v>46068.2698560995</v>
      </c>
      <c r="H1310" s="8" t="n">
        <v>4</v>
      </c>
      <c r="I1310" s="5" t="n">
        <v>400459</v>
      </c>
      <c r="J1310" s="6" t="s">
        <v>1091</v>
      </c>
      <c r="K1310" s="5" t="n">
        <v>153000094</v>
      </c>
      <c r="L1310" s="9" t="n">
        <v>46062</v>
      </c>
      <c r="M1310" s="10" t="n">
        <v>47887</v>
      </c>
    </row>
    <row r="1311" customFormat="false" ht="30" hidden="true" customHeight="true" outlineLevel="0" collapsed="false">
      <c r="A1311" s="4" t="s">
        <v>109</v>
      </c>
      <c r="B1311" s="4" t="s">
        <v>14</v>
      </c>
      <c r="C1311" s="5" t="n">
        <v>1329001694</v>
      </c>
      <c r="D1311" s="6" t="s">
        <v>1363</v>
      </c>
      <c r="E1311" s="6"/>
      <c r="F1311" s="7" t="n">
        <v>46068.2049569097</v>
      </c>
      <c r="G1311" s="7" t="n">
        <v>46068.2688896065</v>
      </c>
      <c r="H1311" s="8" t="n">
        <v>4</v>
      </c>
      <c r="I1311" s="5" t="n">
        <v>400459</v>
      </c>
      <c r="J1311" s="6" t="s">
        <v>1091</v>
      </c>
      <c r="K1311" s="5" t="n">
        <v>153000094</v>
      </c>
      <c r="L1311" s="9" t="n">
        <v>46062</v>
      </c>
      <c r="M1311" s="10" t="n">
        <v>47887</v>
      </c>
    </row>
    <row r="1312" customFormat="false" ht="30" hidden="true" customHeight="true" outlineLevel="0" collapsed="false">
      <c r="A1312" s="4" t="s">
        <v>109</v>
      </c>
      <c r="B1312" s="4" t="s">
        <v>14</v>
      </c>
      <c r="C1312" s="5" t="n">
        <v>1329001694</v>
      </c>
      <c r="D1312" s="6" t="s">
        <v>1364</v>
      </c>
      <c r="E1312" s="6"/>
      <c r="F1312" s="7" t="n">
        <v>46068.2049569097</v>
      </c>
      <c r="G1312" s="7" t="n">
        <v>46068.2684082407</v>
      </c>
      <c r="H1312" s="8" t="n">
        <v>4</v>
      </c>
      <c r="I1312" s="5" t="n">
        <v>400459</v>
      </c>
      <c r="J1312" s="6" t="s">
        <v>1091</v>
      </c>
      <c r="K1312" s="5" t="n">
        <v>153000094</v>
      </c>
      <c r="L1312" s="9" t="n">
        <v>46062</v>
      </c>
      <c r="M1312" s="10" t="n">
        <v>47887</v>
      </c>
    </row>
    <row r="1313" customFormat="false" ht="30" hidden="true" customHeight="true" outlineLevel="0" collapsed="false">
      <c r="A1313" s="4" t="s">
        <v>109</v>
      </c>
      <c r="B1313" s="4" t="s">
        <v>14</v>
      </c>
      <c r="C1313" s="5" t="n">
        <v>1329001694</v>
      </c>
      <c r="D1313" s="6" t="s">
        <v>1365</v>
      </c>
      <c r="E1313" s="6"/>
      <c r="F1313" s="7" t="n">
        <v>46068.2049569097</v>
      </c>
      <c r="G1313" s="7" t="n">
        <v>46068.2680756713</v>
      </c>
      <c r="H1313" s="8" t="n">
        <v>4</v>
      </c>
      <c r="I1313" s="5" t="n">
        <v>400459</v>
      </c>
      <c r="J1313" s="6" t="s">
        <v>1091</v>
      </c>
      <c r="K1313" s="5" t="n">
        <v>153000094</v>
      </c>
      <c r="L1313" s="9" t="n">
        <v>46062</v>
      </c>
      <c r="M1313" s="10" t="n">
        <v>47887</v>
      </c>
    </row>
    <row r="1314" customFormat="false" ht="30" hidden="true" customHeight="true" outlineLevel="0" collapsed="false">
      <c r="A1314" s="4" t="s">
        <v>109</v>
      </c>
      <c r="B1314" s="4" t="s">
        <v>14</v>
      </c>
      <c r="C1314" s="5" t="n">
        <v>1329001694</v>
      </c>
      <c r="D1314" s="6" t="s">
        <v>1366</v>
      </c>
      <c r="E1314" s="6"/>
      <c r="F1314" s="7" t="n">
        <v>46068.2049569097</v>
      </c>
      <c r="G1314" s="7" t="n">
        <v>46068.2675840278</v>
      </c>
      <c r="H1314" s="8" t="n">
        <v>4</v>
      </c>
      <c r="I1314" s="5" t="n">
        <v>400459</v>
      </c>
      <c r="J1314" s="6" t="s">
        <v>1091</v>
      </c>
      <c r="K1314" s="5" t="n">
        <v>153000094</v>
      </c>
      <c r="L1314" s="9" t="n">
        <v>46062</v>
      </c>
      <c r="M1314" s="10" t="n">
        <v>47887</v>
      </c>
    </row>
    <row r="1315" customFormat="false" ht="30" hidden="true" customHeight="true" outlineLevel="0" collapsed="false">
      <c r="A1315" s="4" t="s">
        <v>109</v>
      </c>
      <c r="B1315" s="4" t="s">
        <v>14</v>
      </c>
      <c r="C1315" s="5" t="n">
        <v>1329001694</v>
      </c>
      <c r="D1315" s="6" t="s">
        <v>1367</v>
      </c>
      <c r="E1315" s="6"/>
      <c r="F1315" s="7" t="n">
        <v>46068.2049569097</v>
      </c>
      <c r="G1315" s="7" t="n">
        <v>46068.2673292708</v>
      </c>
      <c r="H1315" s="8" t="n">
        <v>4</v>
      </c>
      <c r="I1315" s="5" t="n">
        <v>400459</v>
      </c>
      <c r="J1315" s="6" t="s">
        <v>1091</v>
      </c>
      <c r="K1315" s="5" t="n">
        <v>153000094</v>
      </c>
      <c r="L1315" s="9" t="n">
        <v>46062</v>
      </c>
      <c r="M1315" s="10" t="n">
        <v>47887</v>
      </c>
    </row>
    <row r="1316" customFormat="false" ht="30" hidden="true" customHeight="true" outlineLevel="0" collapsed="false">
      <c r="A1316" s="4" t="s">
        <v>109</v>
      </c>
      <c r="B1316" s="4" t="s">
        <v>14</v>
      </c>
      <c r="C1316" s="5" t="n">
        <v>1329001694</v>
      </c>
      <c r="D1316" s="6" t="s">
        <v>1368</v>
      </c>
      <c r="E1316" s="6"/>
      <c r="F1316" s="7" t="n">
        <v>46068.2049569097</v>
      </c>
      <c r="G1316" s="7" t="n">
        <v>46068.2666072454</v>
      </c>
      <c r="H1316" s="8" t="n">
        <v>4</v>
      </c>
      <c r="I1316" s="5" t="n">
        <v>400459</v>
      </c>
      <c r="J1316" s="6" t="s">
        <v>1091</v>
      </c>
      <c r="K1316" s="5" t="n">
        <v>153000094</v>
      </c>
      <c r="L1316" s="9" t="n">
        <v>46062</v>
      </c>
      <c r="M1316" s="10" t="n">
        <v>47887</v>
      </c>
    </row>
    <row r="1317" customFormat="false" ht="30" hidden="true" customHeight="true" outlineLevel="0" collapsed="false">
      <c r="A1317" s="4" t="s">
        <v>109</v>
      </c>
      <c r="B1317" s="4" t="s">
        <v>14</v>
      </c>
      <c r="C1317" s="5" t="n">
        <v>1329001694</v>
      </c>
      <c r="D1317" s="6" t="s">
        <v>1369</v>
      </c>
      <c r="E1317" s="6"/>
      <c r="F1317" s="7" t="n">
        <v>46068.2049569097</v>
      </c>
      <c r="G1317" s="7" t="n">
        <v>46068.2651983565</v>
      </c>
      <c r="H1317" s="8" t="n">
        <v>4</v>
      </c>
      <c r="I1317" s="5" t="n">
        <v>400459</v>
      </c>
      <c r="J1317" s="6" t="s">
        <v>1091</v>
      </c>
      <c r="K1317" s="5" t="n">
        <v>153000094</v>
      </c>
      <c r="L1317" s="9" t="n">
        <v>46062</v>
      </c>
      <c r="M1317" s="10" t="n">
        <v>47887</v>
      </c>
    </row>
    <row r="1318" customFormat="false" ht="30" hidden="true" customHeight="true" outlineLevel="0" collapsed="false">
      <c r="A1318" s="4" t="s">
        <v>109</v>
      </c>
      <c r="B1318" s="4" t="s">
        <v>14</v>
      </c>
      <c r="C1318" s="5" t="n">
        <v>1329001694</v>
      </c>
      <c r="D1318" s="6" t="s">
        <v>1370</v>
      </c>
      <c r="E1318" s="6"/>
      <c r="F1318" s="7" t="n">
        <v>46068.2049569097</v>
      </c>
      <c r="G1318" s="7" t="n">
        <v>46068.2646848032</v>
      </c>
      <c r="H1318" s="8" t="n">
        <v>4</v>
      </c>
      <c r="I1318" s="5" t="n">
        <v>400459</v>
      </c>
      <c r="J1318" s="6" t="s">
        <v>1091</v>
      </c>
      <c r="K1318" s="5" t="n">
        <v>153000094</v>
      </c>
      <c r="L1318" s="9" t="n">
        <v>46062</v>
      </c>
      <c r="M1318" s="10" t="n">
        <v>47887</v>
      </c>
    </row>
    <row r="1319" customFormat="false" ht="30" hidden="true" customHeight="true" outlineLevel="0" collapsed="false">
      <c r="A1319" s="4" t="s">
        <v>109</v>
      </c>
      <c r="B1319" s="4" t="s">
        <v>14</v>
      </c>
      <c r="C1319" s="5" t="n">
        <v>1329001694</v>
      </c>
      <c r="D1319" s="6" t="s">
        <v>1371</v>
      </c>
      <c r="E1319" s="6"/>
      <c r="F1319" s="7" t="n">
        <v>46068.2049569097</v>
      </c>
      <c r="G1319" s="7" t="n">
        <v>46068.2639877431</v>
      </c>
      <c r="H1319" s="8" t="n">
        <v>4</v>
      </c>
      <c r="I1319" s="5" t="n">
        <v>400459</v>
      </c>
      <c r="J1319" s="6" t="s">
        <v>1091</v>
      </c>
      <c r="K1319" s="5" t="n">
        <v>153000094</v>
      </c>
      <c r="L1319" s="9" t="n">
        <v>46062</v>
      </c>
      <c r="M1319" s="10" t="n">
        <v>47887</v>
      </c>
    </row>
    <row r="1320" customFormat="false" ht="30" hidden="true" customHeight="true" outlineLevel="0" collapsed="false">
      <c r="A1320" s="4" t="s">
        <v>109</v>
      </c>
      <c r="B1320" s="4" t="s">
        <v>14</v>
      </c>
      <c r="C1320" s="5" t="n">
        <v>1329001694</v>
      </c>
      <c r="D1320" s="6" t="s">
        <v>1372</v>
      </c>
      <c r="E1320" s="6"/>
      <c r="F1320" s="7" t="n">
        <v>46068.2049569097</v>
      </c>
      <c r="G1320" s="7" t="n">
        <v>46068.2633780787</v>
      </c>
      <c r="H1320" s="8" t="n">
        <v>4</v>
      </c>
      <c r="I1320" s="5" t="n">
        <v>400459</v>
      </c>
      <c r="J1320" s="6" t="s">
        <v>1091</v>
      </c>
      <c r="K1320" s="5" t="n">
        <v>153000094</v>
      </c>
      <c r="L1320" s="9" t="n">
        <v>46062</v>
      </c>
      <c r="M1320" s="10" t="n">
        <v>47887</v>
      </c>
    </row>
    <row r="1321" customFormat="false" ht="30" hidden="true" customHeight="true" outlineLevel="0" collapsed="false">
      <c r="A1321" s="4" t="s">
        <v>109</v>
      </c>
      <c r="B1321" s="4" t="s">
        <v>14</v>
      </c>
      <c r="C1321" s="5" t="n">
        <v>1329001694</v>
      </c>
      <c r="D1321" s="6" t="s">
        <v>1373</v>
      </c>
      <c r="E1321" s="6"/>
      <c r="F1321" s="7" t="n">
        <v>46068.2049569097</v>
      </c>
      <c r="G1321" s="7" t="n">
        <v>46068.262796713</v>
      </c>
      <c r="H1321" s="8" t="n">
        <v>4</v>
      </c>
      <c r="I1321" s="5" t="n">
        <v>400459</v>
      </c>
      <c r="J1321" s="6" t="s">
        <v>1091</v>
      </c>
      <c r="K1321" s="5" t="n">
        <v>153000094</v>
      </c>
      <c r="L1321" s="9" t="n">
        <v>46062</v>
      </c>
      <c r="M1321" s="10" t="n">
        <v>47887</v>
      </c>
    </row>
    <row r="1322" customFormat="false" ht="30" hidden="true" customHeight="true" outlineLevel="0" collapsed="false">
      <c r="A1322" s="4" t="s">
        <v>13</v>
      </c>
      <c r="B1322" s="4" t="s">
        <v>14</v>
      </c>
      <c r="C1322" s="5" t="n">
        <v>1329001698</v>
      </c>
      <c r="D1322" s="6" t="s">
        <v>1374</v>
      </c>
      <c r="E1322" s="6"/>
      <c r="F1322" s="7" t="n">
        <v>46068.2873667014</v>
      </c>
      <c r="G1322" s="7" t="n">
        <v>46068.4299359491</v>
      </c>
      <c r="H1322" s="8" t="n">
        <v>24</v>
      </c>
      <c r="I1322" s="5" t="n">
        <v>400937</v>
      </c>
      <c r="J1322" s="6" t="s">
        <v>1375</v>
      </c>
      <c r="K1322" s="5" t="n">
        <v>100008214</v>
      </c>
      <c r="L1322" s="9" t="n">
        <v>45736</v>
      </c>
      <c r="M1322" s="10" t="n">
        <v>47561</v>
      </c>
    </row>
    <row r="1323" customFormat="false" ht="30" hidden="true" customHeight="true" outlineLevel="0" collapsed="false">
      <c r="A1323" s="4" t="s">
        <v>13</v>
      </c>
      <c r="B1323" s="4" t="s">
        <v>14</v>
      </c>
      <c r="C1323" s="5" t="n">
        <v>1329001698</v>
      </c>
      <c r="D1323" s="6" t="s">
        <v>1376</v>
      </c>
      <c r="E1323" s="6"/>
      <c r="F1323" s="7" t="n">
        <v>46068.2873667014</v>
      </c>
      <c r="G1323" s="7" t="n">
        <v>46068.4343169676</v>
      </c>
      <c r="H1323" s="8" t="n">
        <v>24</v>
      </c>
      <c r="I1323" s="5" t="n">
        <v>400919</v>
      </c>
      <c r="J1323" s="6" t="s">
        <v>420</v>
      </c>
      <c r="K1323" s="5" t="n">
        <v>100011193</v>
      </c>
      <c r="L1323" s="9"/>
      <c r="M1323" s="10" t="n">
        <v>47841</v>
      </c>
    </row>
    <row r="1324" customFormat="false" ht="30" hidden="true" customHeight="true" outlineLevel="0" collapsed="false">
      <c r="A1324" s="4" t="s">
        <v>13</v>
      </c>
      <c r="B1324" s="4" t="s">
        <v>14</v>
      </c>
      <c r="C1324" s="5" t="n">
        <v>1329001698</v>
      </c>
      <c r="D1324" s="6" t="s">
        <v>1377</v>
      </c>
      <c r="E1324" s="6"/>
      <c r="F1324" s="7" t="n">
        <v>46068.2873667014</v>
      </c>
      <c r="G1324" s="7" t="n">
        <v>46068.4350526157</v>
      </c>
      <c r="H1324" s="8" t="n">
        <v>24</v>
      </c>
      <c r="I1324" s="5" t="n">
        <v>400919</v>
      </c>
      <c r="J1324" s="6" t="s">
        <v>420</v>
      </c>
      <c r="K1324" s="5" t="n">
        <v>100011193</v>
      </c>
      <c r="L1324" s="9"/>
      <c r="M1324" s="10" t="n">
        <v>47841</v>
      </c>
    </row>
    <row r="1325" customFormat="false" ht="30" hidden="true" customHeight="true" outlineLevel="0" collapsed="false">
      <c r="A1325" s="4" t="s">
        <v>13</v>
      </c>
      <c r="B1325" s="4" t="s">
        <v>14</v>
      </c>
      <c r="C1325" s="5" t="n">
        <v>1329001698</v>
      </c>
      <c r="D1325" s="6" t="s">
        <v>1378</v>
      </c>
      <c r="E1325" s="6"/>
      <c r="F1325" s="7" t="n">
        <v>46068.2873667014</v>
      </c>
      <c r="G1325" s="7" t="n">
        <v>46068.4349084954</v>
      </c>
      <c r="H1325" s="8" t="n">
        <v>24</v>
      </c>
      <c r="I1325" s="5" t="n">
        <v>400919</v>
      </c>
      <c r="J1325" s="6" t="s">
        <v>420</v>
      </c>
      <c r="K1325" s="5" t="n">
        <v>100011193</v>
      </c>
      <c r="L1325" s="9"/>
      <c r="M1325" s="10" t="n">
        <v>47841</v>
      </c>
    </row>
    <row r="1326" customFormat="false" ht="30" hidden="true" customHeight="true" outlineLevel="0" collapsed="false">
      <c r="A1326" s="4" t="s">
        <v>13</v>
      </c>
      <c r="B1326" s="4" t="s">
        <v>14</v>
      </c>
      <c r="C1326" s="5" t="n">
        <v>1329001698</v>
      </c>
      <c r="D1326" s="6" t="s">
        <v>1379</v>
      </c>
      <c r="E1326" s="6"/>
      <c r="F1326" s="7" t="n">
        <v>46068.2873667014</v>
      </c>
      <c r="G1326" s="7" t="n">
        <v>46068.4347835764</v>
      </c>
      <c r="H1326" s="8" t="n">
        <v>24</v>
      </c>
      <c r="I1326" s="5" t="n">
        <v>400919</v>
      </c>
      <c r="J1326" s="6" t="s">
        <v>420</v>
      </c>
      <c r="K1326" s="5" t="n">
        <v>100011193</v>
      </c>
      <c r="L1326" s="9"/>
      <c r="M1326" s="10" t="n">
        <v>47841</v>
      </c>
    </row>
    <row r="1327" customFormat="false" ht="30" hidden="true" customHeight="true" outlineLevel="0" collapsed="false">
      <c r="A1327" s="4" t="s">
        <v>13</v>
      </c>
      <c r="B1327" s="4" t="s">
        <v>14</v>
      </c>
      <c r="C1327" s="5" t="n">
        <v>1329001698</v>
      </c>
      <c r="D1327" s="6" t="s">
        <v>1380</v>
      </c>
      <c r="E1327" s="6"/>
      <c r="F1327" s="7" t="n">
        <v>46068.2873667014</v>
      </c>
      <c r="G1327" s="7" t="n">
        <v>46068.4346638889</v>
      </c>
      <c r="H1327" s="8" t="n">
        <v>24</v>
      </c>
      <c r="I1327" s="5" t="n">
        <v>400919</v>
      </c>
      <c r="J1327" s="6" t="s">
        <v>420</v>
      </c>
      <c r="K1327" s="5" t="n">
        <v>100011193</v>
      </c>
      <c r="L1327" s="9"/>
      <c r="M1327" s="10" t="n">
        <v>47841</v>
      </c>
    </row>
    <row r="1328" customFormat="false" ht="30" hidden="true" customHeight="true" outlineLevel="0" collapsed="false">
      <c r="A1328" s="4" t="s">
        <v>13</v>
      </c>
      <c r="B1328" s="4" t="s">
        <v>14</v>
      </c>
      <c r="C1328" s="5" t="n">
        <v>1329001698</v>
      </c>
      <c r="D1328" s="6" t="s">
        <v>1381</v>
      </c>
      <c r="E1328" s="6"/>
      <c r="F1328" s="7" t="n">
        <v>46068.2873667014</v>
      </c>
      <c r="G1328" s="7" t="n">
        <v>46068.4345353704</v>
      </c>
      <c r="H1328" s="8" t="n">
        <v>24</v>
      </c>
      <c r="I1328" s="5" t="n">
        <v>400919</v>
      </c>
      <c r="J1328" s="6" t="s">
        <v>420</v>
      </c>
      <c r="K1328" s="5" t="n">
        <v>100011193</v>
      </c>
      <c r="L1328" s="9"/>
      <c r="M1328" s="10" t="n">
        <v>47841</v>
      </c>
    </row>
    <row r="1329" customFormat="false" ht="30" hidden="true" customHeight="true" outlineLevel="0" collapsed="false">
      <c r="A1329" s="4" t="s">
        <v>13</v>
      </c>
      <c r="B1329" s="4" t="s">
        <v>14</v>
      </c>
      <c r="C1329" s="5" t="n">
        <v>1329001698</v>
      </c>
      <c r="D1329" s="6" t="s">
        <v>1382</v>
      </c>
      <c r="E1329" s="6"/>
      <c r="F1329" s="7" t="n">
        <v>46068.2873667014</v>
      </c>
      <c r="G1329" s="7" t="n">
        <v>46068.4281570833</v>
      </c>
      <c r="H1329" s="8" t="n">
        <v>24</v>
      </c>
      <c r="I1329" s="5" t="n">
        <v>400927</v>
      </c>
      <c r="J1329" s="6" t="s">
        <v>1383</v>
      </c>
      <c r="K1329" s="5" t="n">
        <v>100011192</v>
      </c>
      <c r="L1329" s="9" t="n">
        <v>46016</v>
      </c>
      <c r="M1329" s="10" t="n">
        <v>47841</v>
      </c>
    </row>
    <row r="1330" customFormat="false" ht="30" hidden="true" customHeight="true" outlineLevel="0" collapsed="false">
      <c r="A1330" s="4" t="s">
        <v>13</v>
      </c>
      <c r="B1330" s="4" t="s">
        <v>14</v>
      </c>
      <c r="C1330" s="5" t="n">
        <v>1329001698</v>
      </c>
      <c r="D1330" s="6" t="s">
        <v>1384</v>
      </c>
      <c r="E1330" s="6"/>
      <c r="F1330" s="7" t="n">
        <v>46068.2873667014</v>
      </c>
      <c r="G1330" s="7" t="n">
        <v>46068.4271512847</v>
      </c>
      <c r="H1330" s="8" t="n">
        <v>24</v>
      </c>
      <c r="I1330" s="5" t="n">
        <v>400937</v>
      </c>
      <c r="J1330" s="6" t="s">
        <v>1375</v>
      </c>
      <c r="K1330" s="5" t="n">
        <v>100008214</v>
      </c>
      <c r="L1330" s="9" t="n">
        <v>45736</v>
      </c>
      <c r="M1330" s="10" t="n">
        <v>47561</v>
      </c>
    </row>
    <row r="1331" customFormat="false" ht="30" hidden="true" customHeight="true" outlineLevel="0" collapsed="false">
      <c r="A1331" s="4" t="s">
        <v>13</v>
      </c>
      <c r="B1331" s="4" t="s">
        <v>14</v>
      </c>
      <c r="C1331" s="5" t="n">
        <v>1329001698</v>
      </c>
      <c r="D1331" s="6" t="s">
        <v>1385</v>
      </c>
      <c r="E1331" s="6"/>
      <c r="F1331" s="7" t="n">
        <v>46068.2873667014</v>
      </c>
      <c r="G1331" s="7" t="n">
        <v>46068.4320250579</v>
      </c>
      <c r="H1331" s="8" t="n">
        <v>24</v>
      </c>
      <c r="I1331" s="5" t="n">
        <v>400922</v>
      </c>
      <c r="J1331" s="6" t="s">
        <v>1386</v>
      </c>
      <c r="K1331" s="5" t="n">
        <v>100011182</v>
      </c>
      <c r="L1331" s="9" t="n">
        <v>46015</v>
      </c>
      <c r="M1331" s="10" t="n">
        <v>47840</v>
      </c>
    </row>
    <row r="1332" customFormat="false" ht="30" hidden="true" customHeight="true" outlineLevel="0" collapsed="false">
      <c r="A1332" s="4" t="s">
        <v>13</v>
      </c>
      <c r="B1332" s="4" t="s">
        <v>14</v>
      </c>
      <c r="C1332" s="5" t="n">
        <v>1329001698</v>
      </c>
      <c r="D1332" s="6" t="s">
        <v>1387</v>
      </c>
      <c r="E1332" s="6"/>
      <c r="F1332" s="7" t="n">
        <v>46068.2873667014</v>
      </c>
      <c r="G1332" s="7" t="n">
        <v>46068.4339784144</v>
      </c>
      <c r="H1332" s="8" t="n">
        <v>1</v>
      </c>
      <c r="I1332" s="5" t="n">
        <v>400937</v>
      </c>
      <c r="J1332" s="6" t="s">
        <v>1375</v>
      </c>
      <c r="K1332" s="5" t="n">
        <v>100008214</v>
      </c>
      <c r="L1332" s="9" t="n">
        <v>45736</v>
      </c>
      <c r="M1332" s="10" t="n">
        <v>47561</v>
      </c>
    </row>
    <row r="1333" customFormat="false" ht="30" hidden="true" customHeight="true" outlineLevel="0" collapsed="false">
      <c r="A1333" s="4" t="s">
        <v>13</v>
      </c>
      <c r="B1333" s="4" t="s">
        <v>14</v>
      </c>
      <c r="C1333" s="5" t="n">
        <v>1329001698</v>
      </c>
      <c r="D1333" s="6" t="s">
        <v>1388</v>
      </c>
      <c r="E1333" s="6"/>
      <c r="F1333" s="7" t="n">
        <v>46068.2873667014</v>
      </c>
      <c r="G1333" s="7" t="n">
        <v>46068.4334093981</v>
      </c>
      <c r="H1333" s="8" t="n">
        <v>24</v>
      </c>
      <c r="I1333" s="5" t="n">
        <v>400927</v>
      </c>
      <c r="J1333" s="6" t="s">
        <v>1383</v>
      </c>
      <c r="K1333" s="5" t="n">
        <v>100011192</v>
      </c>
      <c r="L1333" s="9" t="n">
        <v>46016</v>
      </c>
      <c r="M1333" s="10" t="n">
        <v>47841</v>
      </c>
    </row>
    <row r="1334" customFormat="false" ht="30" hidden="true" customHeight="true" outlineLevel="0" collapsed="false">
      <c r="A1334" s="4" t="s">
        <v>13</v>
      </c>
      <c r="B1334" s="4" t="s">
        <v>14</v>
      </c>
      <c r="C1334" s="5" t="n">
        <v>1329001698</v>
      </c>
      <c r="D1334" s="6" t="s">
        <v>1389</v>
      </c>
      <c r="E1334" s="6"/>
      <c r="F1334" s="7" t="n">
        <v>46068.2873667014</v>
      </c>
      <c r="G1334" s="7" t="n">
        <v>46068.4330423958</v>
      </c>
      <c r="H1334" s="8" t="n">
        <v>24</v>
      </c>
      <c r="I1334" s="5" t="n">
        <v>400922</v>
      </c>
      <c r="J1334" s="6" t="s">
        <v>1386</v>
      </c>
      <c r="K1334" s="5" t="n">
        <v>100011182</v>
      </c>
      <c r="L1334" s="9" t="n">
        <v>46015</v>
      </c>
      <c r="M1334" s="10" t="n">
        <v>47840</v>
      </c>
    </row>
    <row r="1335" customFormat="false" ht="30" hidden="true" customHeight="true" outlineLevel="0" collapsed="false">
      <c r="A1335" s="4" t="s">
        <v>13</v>
      </c>
      <c r="B1335" s="4" t="s">
        <v>14</v>
      </c>
      <c r="C1335" s="5" t="n">
        <v>1329001698</v>
      </c>
      <c r="D1335" s="6" t="s">
        <v>1390</v>
      </c>
      <c r="E1335" s="6"/>
      <c r="F1335" s="7" t="n">
        <v>46068.2873667014</v>
      </c>
      <c r="G1335" s="7" t="n">
        <v>46068.4328966204</v>
      </c>
      <c r="H1335" s="8" t="n">
        <v>24</v>
      </c>
      <c r="I1335" s="5" t="n">
        <v>400922</v>
      </c>
      <c r="J1335" s="6" t="s">
        <v>1386</v>
      </c>
      <c r="K1335" s="5" t="n">
        <v>100011182</v>
      </c>
      <c r="L1335" s="9" t="n">
        <v>46015</v>
      </c>
      <c r="M1335" s="10" t="n">
        <v>47840</v>
      </c>
    </row>
    <row r="1336" customFormat="false" ht="30" hidden="true" customHeight="true" outlineLevel="0" collapsed="false">
      <c r="A1336" s="4" t="s">
        <v>13</v>
      </c>
      <c r="B1336" s="4" t="s">
        <v>14</v>
      </c>
      <c r="C1336" s="5" t="n">
        <v>1329001698</v>
      </c>
      <c r="D1336" s="6" t="s">
        <v>1391</v>
      </c>
      <c r="E1336" s="6"/>
      <c r="F1336" s="7" t="n">
        <v>46068.2873667014</v>
      </c>
      <c r="G1336" s="7" t="n">
        <v>46068.4327525</v>
      </c>
      <c r="H1336" s="8" t="n">
        <v>24</v>
      </c>
      <c r="I1336" s="5" t="n">
        <v>400922</v>
      </c>
      <c r="J1336" s="6" t="s">
        <v>1386</v>
      </c>
      <c r="K1336" s="5" t="n">
        <v>100011182</v>
      </c>
      <c r="L1336" s="9" t="n">
        <v>46015</v>
      </c>
      <c r="M1336" s="10" t="n">
        <v>47840</v>
      </c>
    </row>
    <row r="1337" customFormat="false" ht="30" hidden="true" customHeight="true" outlineLevel="0" collapsed="false">
      <c r="A1337" s="4" t="s">
        <v>13</v>
      </c>
      <c r="B1337" s="4" t="s">
        <v>14</v>
      </c>
      <c r="C1337" s="5" t="n">
        <v>1329001698</v>
      </c>
      <c r="D1337" s="6" t="s">
        <v>1392</v>
      </c>
      <c r="E1337" s="6"/>
      <c r="F1337" s="7" t="n">
        <v>46068.2873667014</v>
      </c>
      <c r="G1337" s="7" t="n">
        <v>46068.432583831</v>
      </c>
      <c r="H1337" s="8" t="n">
        <v>24</v>
      </c>
      <c r="I1337" s="5" t="n">
        <v>400922</v>
      </c>
      <c r="J1337" s="6" t="s">
        <v>1386</v>
      </c>
      <c r="K1337" s="5" t="n">
        <v>100011182</v>
      </c>
      <c r="L1337" s="9" t="n">
        <v>46015</v>
      </c>
      <c r="M1337" s="10" t="n">
        <v>47840</v>
      </c>
    </row>
    <row r="1338" customFormat="false" ht="30" hidden="true" customHeight="true" outlineLevel="0" collapsed="false">
      <c r="A1338" s="4" t="s">
        <v>13</v>
      </c>
      <c r="B1338" s="4" t="s">
        <v>14</v>
      </c>
      <c r="C1338" s="5" t="n">
        <v>1329001698</v>
      </c>
      <c r="D1338" s="6" t="s">
        <v>1393</v>
      </c>
      <c r="E1338" s="6"/>
      <c r="F1338" s="7" t="n">
        <v>46068.2873667014</v>
      </c>
      <c r="G1338" s="7" t="n">
        <v>46068.4332360185</v>
      </c>
      <c r="H1338" s="8" t="n">
        <v>24</v>
      </c>
      <c r="I1338" s="5" t="n">
        <v>400927</v>
      </c>
      <c r="J1338" s="6" t="s">
        <v>1383</v>
      </c>
      <c r="K1338" s="5" t="n">
        <v>100011192</v>
      </c>
      <c r="L1338" s="9" t="n">
        <v>46016</v>
      </c>
      <c r="M1338" s="10" t="n">
        <v>47841</v>
      </c>
    </row>
    <row r="1339" customFormat="false" ht="30" hidden="true" customHeight="true" outlineLevel="0" collapsed="false">
      <c r="A1339" s="4" t="s">
        <v>13</v>
      </c>
      <c r="B1339" s="4" t="s">
        <v>14</v>
      </c>
      <c r="C1339" s="5" t="n">
        <v>1329001698</v>
      </c>
      <c r="D1339" s="6" t="s">
        <v>1394</v>
      </c>
      <c r="E1339" s="6"/>
      <c r="F1339" s="7" t="n">
        <v>46068.2873667014</v>
      </c>
      <c r="G1339" s="7" t="n">
        <v>46068.4336067361</v>
      </c>
      <c r="H1339" s="8" t="n">
        <v>23</v>
      </c>
      <c r="I1339" s="5" t="n">
        <v>400937</v>
      </c>
      <c r="J1339" s="6" t="s">
        <v>1375</v>
      </c>
      <c r="K1339" s="5" t="n">
        <v>100008214</v>
      </c>
      <c r="L1339" s="9" t="n">
        <v>45736</v>
      </c>
      <c r="M1339" s="10" t="n">
        <v>47561</v>
      </c>
    </row>
    <row r="1340" customFormat="false" ht="30" hidden="true" customHeight="true" outlineLevel="0" collapsed="false">
      <c r="A1340" s="4" t="s">
        <v>13</v>
      </c>
      <c r="B1340" s="4" t="s">
        <v>14</v>
      </c>
      <c r="C1340" s="5" t="n">
        <v>1329001698</v>
      </c>
      <c r="D1340" s="6" t="s">
        <v>1395</v>
      </c>
      <c r="E1340" s="6"/>
      <c r="F1340" s="7" t="n">
        <v>46068.2873667014</v>
      </c>
      <c r="G1340" s="7" t="n">
        <v>46068.4315362847</v>
      </c>
      <c r="H1340" s="8" t="n">
        <v>24</v>
      </c>
      <c r="I1340" s="5" t="n">
        <v>400927</v>
      </c>
      <c r="J1340" s="6" t="s">
        <v>1383</v>
      </c>
      <c r="K1340" s="5" t="n">
        <v>100011192</v>
      </c>
      <c r="L1340" s="9" t="n">
        <v>46016</v>
      </c>
      <c r="M1340" s="10" t="n">
        <v>47841</v>
      </c>
    </row>
    <row r="1341" customFormat="false" ht="30" hidden="true" customHeight="true" outlineLevel="0" collapsed="false">
      <c r="A1341" s="4" t="s">
        <v>13</v>
      </c>
      <c r="B1341" s="4" t="s">
        <v>14</v>
      </c>
      <c r="C1341" s="5" t="n">
        <v>1329001698</v>
      </c>
      <c r="D1341" s="6" t="s">
        <v>1396</v>
      </c>
      <c r="E1341" s="6"/>
      <c r="F1341" s="7" t="n">
        <v>46068.2873667014</v>
      </c>
      <c r="G1341" s="7" t="n">
        <v>46068.4314137037</v>
      </c>
      <c r="H1341" s="8" t="n">
        <v>24</v>
      </c>
      <c r="I1341" s="5" t="n">
        <v>400937</v>
      </c>
      <c r="J1341" s="6" t="s">
        <v>1375</v>
      </c>
      <c r="K1341" s="5" t="n">
        <v>100008214</v>
      </c>
      <c r="L1341" s="9" t="n">
        <v>45736</v>
      </c>
      <c r="M1341" s="10" t="n">
        <v>47561</v>
      </c>
    </row>
    <row r="1342" customFormat="false" ht="30" hidden="true" customHeight="true" outlineLevel="0" collapsed="false">
      <c r="A1342" s="4" t="s">
        <v>13</v>
      </c>
      <c r="B1342" s="4" t="s">
        <v>14</v>
      </c>
      <c r="C1342" s="5" t="n">
        <v>1329001698</v>
      </c>
      <c r="D1342" s="6" t="s">
        <v>1397</v>
      </c>
      <c r="E1342" s="6"/>
      <c r="F1342" s="7" t="n">
        <v>46068.2873667014</v>
      </c>
      <c r="G1342" s="7" t="n">
        <v>46068.4311476157</v>
      </c>
      <c r="H1342" s="8" t="n">
        <v>24</v>
      </c>
      <c r="I1342" s="5" t="n">
        <v>400927</v>
      </c>
      <c r="J1342" s="6" t="s">
        <v>1383</v>
      </c>
      <c r="K1342" s="5" t="n">
        <v>100011192</v>
      </c>
      <c r="L1342" s="9" t="n">
        <v>46016</v>
      </c>
      <c r="M1342" s="10" t="n">
        <v>47841</v>
      </c>
    </row>
    <row r="1343" customFormat="false" ht="30" hidden="true" customHeight="true" outlineLevel="0" collapsed="false">
      <c r="A1343" s="4" t="s">
        <v>13</v>
      </c>
      <c r="B1343" s="4" t="s">
        <v>14</v>
      </c>
      <c r="C1343" s="5" t="n">
        <v>1329001698</v>
      </c>
      <c r="D1343" s="6" t="s">
        <v>1398</v>
      </c>
      <c r="E1343" s="6"/>
      <c r="F1343" s="7" t="n">
        <v>46068.2873667014</v>
      </c>
      <c r="G1343" s="7" t="n">
        <v>46068.430408588</v>
      </c>
      <c r="H1343" s="8" t="n">
        <v>24</v>
      </c>
      <c r="I1343" s="5" t="n">
        <v>400937</v>
      </c>
      <c r="J1343" s="6" t="s">
        <v>1375</v>
      </c>
      <c r="K1343" s="5" t="n">
        <v>100009177</v>
      </c>
      <c r="L1343" s="9" t="n">
        <v>45832</v>
      </c>
      <c r="M1343" s="10" t="n">
        <v>47657</v>
      </c>
    </row>
    <row r="1344" customFormat="false" ht="30" hidden="true" customHeight="true" outlineLevel="0" collapsed="false">
      <c r="A1344" s="4" t="s">
        <v>13</v>
      </c>
      <c r="B1344" s="4" t="s">
        <v>14</v>
      </c>
      <c r="C1344" s="5" t="n">
        <v>1329001698</v>
      </c>
      <c r="D1344" s="6" t="s">
        <v>1399</v>
      </c>
      <c r="E1344" s="6"/>
      <c r="F1344" s="7" t="n">
        <v>46068.2873667014</v>
      </c>
      <c r="G1344" s="7" t="n">
        <v>46068.4301422801</v>
      </c>
      <c r="H1344" s="8" t="n">
        <v>24</v>
      </c>
      <c r="I1344" s="5" t="n">
        <v>400927</v>
      </c>
      <c r="J1344" s="6" t="s">
        <v>1383</v>
      </c>
      <c r="K1344" s="5" t="n">
        <v>100011192</v>
      </c>
      <c r="L1344" s="9" t="n">
        <v>46016</v>
      </c>
      <c r="M1344" s="10" t="n">
        <v>47841</v>
      </c>
    </row>
    <row r="1345" customFormat="false" ht="30" hidden="false" customHeight="true" outlineLevel="0" collapsed="false">
      <c r="A1345" s="4" t="s">
        <v>1400</v>
      </c>
      <c r="B1345" s="4" t="s">
        <v>14</v>
      </c>
      <c r="C1345" s="5" t="n">
        <v>1329001677</v>
      </c>
      <c r="D1345" s="6" t="s">
        <v>1401</v>
      </c>
      <c r="E1345" s="6"/>
      <c r="F1345" s="7" t="n">
        <v>46068.3493168519</v>
      </c>
      <c r="G1345" s="7" t="n">
        <v>46069.2338370255</v>
      </c>
      <c r="H1345" s="8" t="n">
        <v>4</v>
      </c>
      <c r="I1345" s="5" t="n">
        <v>400567</v>
      </c>
      <c r="J1345" s="6" t="s">
        <v>1402</v>
      </c>
      <c r="K1345" s="5" t="n">
        <v>100011153</v>
      </c>
      <c r="L1345" s="9" t="n">
        <v>46014</v>
      </c>
      <c r="M1345" s="10" t="n">
        <v>47839</v>
      </c>
    </row>
    <row r="1346" customFormat="false" ht="30" hidden="false" customHeight="true" outlineLevel="0" collapsed="false">
      <c r="A1346" s="4" t="s">
        <v>1400</v>
      </c>
      <c r="B1346" s="4" t="s">
        <v>14</v>
      </c>
      <c r="C1346" s="5" t="n">
        <v>1329001677</v>
      </c>
      <c r="D1346" s="6" t="s">
        <v>1403</v>
      </c>
      <c r="E1346" s="6"/>
      <c r="F1346" s="7" t="n">
        <v>46068.3493168519</v>
      </c>
      <c r="G1346" s="7" t="n">
        <v>46069.2472494097</v>
      </c>
      <c r="H1346" s="8" t="n">
        <v>4</v>
      </c>
      <c r="I1346" s="5" t="n">
        <v>400567</v>
      </c>
      <c r="J1346" s="6" t="s">
        <v>1402</v>
      </c>
      <c r="K1346" s="5" t="n">
        <v>100011030</v>
      </c>
      <c r="L1346" s="9"/>
      <c r="M1346" s="10" t="n">
        <v>47826</v>
      </c>
    </row>
    <row r="1347" customFormat="false" ht="30" hidden="false" customHeight="true" outlineLevel="0" collapsed="false">
      <c r="A1347" s="4" t="s">
        <v>1400</v>
      </c>
      <c r="B1347" s="4" t="s">
        <v>14</v>
      </c>
      <c r="C1347" s="5" t="n">
        <v>1329001677</v>
      </c>
      <c r="D1347" s="6" t="s">
        <v>1404</v>
      </c>
      <c r="E1347" s="6"/>
      <c r="F1347" s="7" t="n">
        <v>46068.3493168519</v>
      </c>
      <c r="G1347" s="7" t="n">
        <v>46069.2469466088</v>
      </c>
      <c r="H1347" s="8" t="n">
        <v>4</v>
      </c>
      <c r="I1347" s="5" t="n">
        <v>400567</v>
      </c>
      <c r="J1347" s="6" t="s">
        <v>1402</v>
      </c>
      <c r="K1347" s="5" t="n">
        <v>100011030</v>
      </c>
      <c r="L1347" s="9"/>
      <c r="M1347" s="10" t="n">
        <v>47826</v>
      </c>
    </row>
    <row r="1348" customFormat="false" ht="30" hidden="false" customHeight="true" outlineLevel="0" collapsed="false">
      <c r="A1348" s="4" t="s">
        <v>1400</v>
      </c>
      <c r="B1348" s="4" t="s">
        <v>14</v>
      </c>
      <c r="C1348" s="5" t="n">
        <v>1329001677</v>
      </c>
      <c r="D1348" s="6" t="s">
        <v>1405</v>
      </c>
      <c r="E1348" s="6"/>
      <c r="F1348" s="7" t="n">
        <v>46068.3493168519</v>
      </c>
      <c r="G1348" s="7" t="n">
        <v>46069.2466799653</v>
      </c>
      <c r="H1348" s="8" t="n">
        <v>4</v>
      </c>
      <c r="I1348" s="5" t="n">
        <v>400567</v>
      </c>
      <c r="J1348" s="6" t="s">
        <v>1402</v>
      </c>
      <c r="K1348" s="5" t="n">
        <v>100011030</v>
      </c>
      <c r="L1348" s="9"/>
      <c r="M1348" s="10" t="n">
        <v>47826</v>
      </c>
    </row>
    <row r="1349" customFormat="false" ht="30" hidden="false" customHeight="true" outlineLevel="0" collapsed="false">
      <c r="A1349" s="4" t="s">
        <v>1400</v>
      </c>
      <c r="B1349" s="4" t="s">
        <v>14</v>
      </c>
      <c r="C1349" s="5" t="n">
        <v>1329001677</v>
      </c>
      <c r="D1349" s="6" t="s">
        <v>1406</v>
      </c>
      <c r="E1349" s="6"/>
      <c r="F1349" s="7" t="n">
        <v>46068.3493168519</v>
      </c>
      <c r="G1349" s="7" t="n">
        <v>46069.2464892708</v>
      </c>
      <c r="H1349" s="8" t="n">
        <v>4</v>
      </c>
      <c r="I1349" s="5" t="n">
        <v>400567</v>
      </c>
      <c r="J1349" s="6" t="s">
        <v>1402</v>
      </c>
      <c r="K1349" s="5" t="n">
        <v>100011030</v>
      </c>
      <c r="L1349" s="9"/>
      <c r="M1349" s="10" t="n">
        <v>47826</v>
      </c>
    </row>
    <row r="1350" customFormat="false" ht="30" hidden="false" customHeight="true" outlineLevel="0" collapsed="false">
      <c r="A1350" s="4" t="s">
        <v>1400</v>
      </c>
      <c r="B1350" s="4" t="s">
        <v>14</v>
      </c>
      <c r="C1350" s="5" t="n">
        <v>1329001677</v>
      </c>
      <c r="D1350" s="6" t="s">
        <v>1407</v>
      </c>
      <c r="E1350" s="6"/>
      <c r="F1350" s="7" t="n">
        <v>46068.3493168519</v>
      </c>
      <c r="G1350" s="7" t="n">
        <v>46069.2460119444</v>
      </c>
      <c r="H1350" s="8" t="n">
        <v>4</v>
      </c>
      <c r="I1350" s="5" t="n">
        <v>400567</v>
      </c>
      <c r="J1350" s="6" t="s">
        <v>1402</v>
      </c>
      <c r="K1350" s="5" t="n">
        <v>100011030</v>
      </c>
      <c r="L1350" s="9"/>
      <c r="M1350" s="10" t="n">
        <v>47826</v>
      </c>
    </row>
    <row r="1351" customFormat="false" ht="30" hidden="false" customHeight="true" outlineLevel="0" collapsed="false">
      <c r="A1351" s="4" t="s">
        <v>1400</v>
      </c>
      <c r="B1351" s="4" t="s">
        <v>14</v>
      </c>
      <c r="C1351" s="5" t="n">
        <v>1329001677</v>
      </c>
      <c r="D1351" s="6" t="s">
        <v>1408</v>
      </c>
      <c r="E1351" s="6"/>
      <c r="F1351" s="7" t="n">
        <v>46068.3493168519</v>
      </c>
      <c r="G1351" s="7" t="n">
        <v>46069.2457660069</v>
      </c>
      <c r="H1351" s="8" t="n">
        <v>4</v>
      </c>
      <c r="I1351" s="5" t="n">
        <v>400567</v>
      </c>
      <c r="J1351" s="6" t="s">
        <v>1402</v>
      </c>
      <c r="K1351" s="5" t="n">
        <v>100011030</v>
      </c>
      <c r="L1351" s="9"/>
      <c r="M1351" s="10" t="n">
        <v>47826</v>
      </c>
    </row>
    <row r="1352" customFormat="false" ht="30" hidden="false" customHeight="true" outlineLevel="0" collapsed="false">
      <c r="A1352" s="4" t="s">
        <v>1400</v>
      </c>
      <c r="B1352" s="4" t="s">
        <v>14</v>
      </c>
      <c r="C1352" s="5" t="n">
        <v>1329001677</v>
      </c>
      <c r="D1352" s="6" t="s">
        <v>1409</v>
      </c>
      <c r="E1352" s="6"/>
      <c r="F1352" s="7" t="n">
        <v>46068.3493168519</v>
      </c>
      <c r="G1352" s="7" t="n">
        <v>46069.2383583449</v>
      </c>
      <c r="H1352" s="8" t="n">
        <v>4</v>
      </c>
      <c r="I1352" s="5" t="n">
        <v>400567</v>
      </c>
      <c r="J1352" s="6" t="s">
        <v>1402</v>
      </c>
      <c r="K1352" s="5" t="n">
        <v>100011153</v>
      </c>
      <c r="L1352" s="9"/>
      <c r="M1352" s="10" t="n">
        <v>47839</v>
      </c>
    </row>
    <row r="1353" customFormat="false" ht="30" hidden="false" customHeight="true" outlineLevel="0" collapsed="false">
      <c r="A1353" s="4" t="s">
        <v>1400</v>
      </c>
      <c r="B1353" s="4" t="s">
        <v>14</v>
      </c>
      <c r="C1353" s="5" t="n">
        <v>1329001677</v>
      </c>
      <c r="D1353" s="6" t="s">
        <v>1410</v>
      </c>
      <c r="E1353" s="6"/>
      <c r="F1353" s="7" t="n">
        <v>46068.3493168519</v>
      </c>
      <c r="G1353" s="7" t="n">
        <v>46069.2346760532</v>
      </c>
      <c r="H1353" s="8" t="n">
        <v>4</v>
      </c>
      <c r="I1353" s="5" t="n">
        <v>400567</v>
      </c>
      <c r="J1353" s="6" t="s">
        <v>1402</v>
      </c>
      <c r="K1353" s="5" t="n">
        <v>100011153</v>
      </c>
      <c r="L1353" s="9"/>
      <c r="M1353" s="10" t="n">
        <v>47839</v>
      </c>
    </row>
    <row r="1354" customFormat="false" ht="30" hidden="false" customHeight="true" outlineLevel="0" collapsed="false">
      <c r="A1354" s="4" t="s">
        <v>1400</v>
      </c>
      <c r="B1354" s="4" t="s">
        <v>14</v>
      </c>
      <c r="C1354" s="5" t="n">
        <v>1329001677</v>
      </c>
      <c r="D1354" s="6" t="s">
        <v>1411</v>
      </c>
      <c r="E1354" s="6"/>
      <c r="F1354" s="7" t="n">
        <v>46068.3493168519</v>
      </c>
      <c r="G1354" s="7" t="n">
        <v>46069.233177963</v>
      </c>
      <c r="H1354" s="8" t="n">
        <v>4</v>
      </c>
      <c r="I1354" s="5" t="n">
        <v>400567</v>
      </c>
      <c r="J1354" s="6" t="s">
        <v>1402</v>
      </c>
      <c r="K1354" s="5" t="n">
        <v>100011153</v>
      </c>
      <c r="L1354" s="9"/>
      <c r="M1354" s="10" t="n">
        <v>47839</v>
      </c>
    </row>
    <row r="1355" customFormat="false" ht="30" hidden="false" customHeight="true" outlineLevel="0" collapsed="false">
      <c r="A1355" s="4" t="s">
        <v>1400</v>
      </c>
      <c r="B1355" s="4" t="s">
        <v>14</v>
      </c>
      <c r="C1355" s="5" t="n">
        <v>1329001677</v>
      </c>
      <c r="D1355" s="6" t="s">
        <v>1412</v>
      </c>
      <c r="E1355" s="6"/>
      <c r="F1355" s="7" t="n">
        <v>46068.3493168519</v>
      </c>
      <c r="G1355" s="7" t="n">
        <v>46069.232927662</v>
      </c>
      <c r="H1355" s="8" t="n">
        <v>4</v>
      </c>
      <c r="I1355" s="5" t="n">
        <v>400567</v>
      </c>
      <c r="J1355" s="6" t="s">
        <v>1402</v>
      </c>
      <c r="K1355" s="5" t="n">
        <v>100011153</v>
      </c>
      <c r="L1355" s="9"/>
      <c r="M1355" s="10" t="n">
        <v>47839</v>
      </c>
    </row>
    <row r="1356" customFormat="false" ht="30" hidden="false" customHeight="true" outlineLevel="0" collapsed="false">
      <c r="A1356" s="4" t="s">
        <v>1400</v>
      </c>
      <c r="B1356" s="4" t="s">
        <v>14</v>
      </c>
      <c r="C1356" s="5" t="n">
        <v>1329001677</v>
      </c>
      <c r="D1356" s="6" t="s">
        <v>1413</v>
      </c>
      <c r="E1356" s="6"/>
      <c r="F1356" s="7" t="n">
        <v>46068.3493168519</v>
      </c>
      <c r="G1356" s="7" t="n">
        <v>46069.2324087963</v>
      </c>
      <c r="H1356" s="8" t="n">
        <v>4</v>
      </c>
      <c r="I1356" s="5" t="n">
        <v>400567</v>
      </c>
      <c r="J1356" s="6" t="s">
        <v>1402</v>
      </c>
      <c r="K1356" s="5" t="n">
        <v>100011153</v>
      </c>
      <c r="L1356" s="9"/>
      <c r="M1356" s="10" t="n">
        <v>47839</v>
      </c>
    </row>
    <row r="1357" customFormat="false" ht="30" hidden="false" customHeight="true" outlineLevel="0" collapsed="false">
      <c r="A1357" s="4" t="s">
        <v>1400</v>
      </c>
      <c r="B1357" s="4" t="s">
        <v>14</v>
      </c>
      <c r="C1357" s="5" t="n">
        <v>1329001677</v>
      </c>
      <c r="D1357" s="6" t="s">
        <v>1414</v>
      </c>
      <c r="E1357" s="6"/>
      <c r="F1357" s="7" t="n">
        <v>46068.3493168519</v>
      </c>
      <c r="G1357" s="7" t="n">
        <v>46069.2443369907</v>
      </c>
      <c r="H1357" s="8" t="n">
        <v>4</v>
      </c>
      <c r="I1357" s="5" t="n">
        <v>400567</v>
      </c>
      <c r="J1357" s="6" t="s">
        <v>1402</v>
      </c>
      <c r="K1357" s="5" t="n">
        <v>100011153</v>
      </c>
      <c r="L1357" s="9" t="n">
        <v>46014</v>
      </c>
      <c r="M1357" s="10" t="n">
        <v>47839</v>
      </c>
    </row>
    <row r="1358" customFormat="false" ht="30" hidden="false" customHeight="true" outlineLevel="0" collapsed="false">
      <c r="A1358" s="4" t="s">
        <v>1400</v>
      </c>
      <c r="B1358" s="4" t="s">
        <v>14</v>
      </c>
      <c r="C1358" s="5" t="n">
        <v>1329001677</v>
      </c>
      <c r="D1358" s="6" t="s">
        <v>1415</v>
      </c>
      <c r="E1358" s="6"/>
      <c r="F1358" s="7" t="n">
        <v>46068.3493168519</v>
      </c>
      <c r="G1358" s="7" t="n">
        <v>46069.2440312847</v>
      </c>
      <c r="H1358" s="8" t="n">
        <v>4</v>
      </c>
      <c r="I1358" s="5" t="n">
        <v>400567</v>
      </c>
      <c r="J1358" s="6" t="s">
        <v>1402</v>
      </c>
      <c r="K1358" s="5" t="n">
        <v>100011153</v>
      </c>
      <c r="L1358" s="9" t="n">
        <v>46014</v>
      </c>
      <c r="M1358" s="10" t="n">
        <v>47839</v>
      </c>
    </row>
    <row r="1359" customFormat="false" ht="30" hidden="false" customHeight="true" outlineLevel="0" collapsed="false">
      <c r="A1359" s="4" t="s">
        <v>1400</v>
      </c>
      <c r="B1359" s="4" t="s">
        <v>14</v>
      </c>
      <c r="C1359" s="5" t="n">
        <v>1329001677</v>
      </c>
      <c r="D1359" s="6" t="s">
        <v>1416</v>
      </c>
      <c r="E1359" s="6"/>
      <c r="F1359" s="7" t="n">
        <v>46068.3493168519</v>
      </c>
      <c r="G1359" s="7" t="n">
        <v>46069.2437485764</v>
      </c>
      <c r="H1359" s="8" t="n">
        <v>4</v>
      </c>
      <c r="I1359" s="5" t="n">
        <v>400567</v>
      </c>
      <c r="J1359" s="6" t="s">
        <v>1402</v>
      </c>
      <c r="K1359" s="5" t="n">
        <v>100011153</v>
      </c>
      <c r="L1359" s="9" t="n">
        <v>46014</v>
      </c>
      <c r="M1359" s="10" t="n">
        <v>47839</v>
      </c>
    </row>
    <row r="1360" customFormat="false" ht="30" hidden="false" customHeight="true" outlineLevel="0" collapsed="false">
      <c r="A1360" s="4" t="s">
        <v>1400</v>
      </c>
      <c r="B1360" s="4" t="s">
        <v>14</v>
      </c>
      <c r="C1360" s="5" t="n">
        <v>1329001677</v>
      </c>
      <c r="D1360" s="6" t="s">
        <v>1417</v>
      </c>
      <c r="E1360" s="6"/>
      <c r="F1360" s="7" t="n">
        <v>46068.3493168519</v>
      </c>
      <c r="G1360" s="7" t="n">
        <v>46069.2434028009</v>
      </c>
      <c r="H1360" s="8" t="n">
        <v>4</v>
      </c>
      <c r="I1360" s="5" t="n">
        <v>400567</v>
      </c>
      <c r="J1360" s="6" t="s">
        <v>1402</v>
      </c>
      <c r="K1360" s="5" t="n">
        <v>100011153</v>
      </c>
      <c r="L1360" s="9" t="n">
        <v>46014</v>
      </c>
      <c r="M1360" s="10" t="n">
        <v>47839</v>
      </c>
    </row>
    <row r="1361" customFormat="false" ht="30" hidden="false" customHeight="true" outlineLevel="0" collapsed="false">
      <c r="A1361" s="4" t="s">
        <v>1400</v>
      </c>
      <c r="B1361" s="4" t="s">
        <v>14</v>
      </c>
      <c r="C1361" s="5" t="n">
        <v>1329001677</v>
      </c>
      <c r="D1361" s="6" t="s">
        <v>1418</v>
      </c>
      <c r="E1361" s="6"/>
      <c r="F1361" s="7" t="n">
        <v>46068.3493168519</v>
      </c>
      <c r="G1361" s="7" t="n">
        <v>46069.2430067014</v>
      </c>
      <c r="H1361" s="8" t="n">
        <v>4</v>
      </c>
      <c r="I1361" s="5" t="n">
        <v>400567</v>
      </c>
      <c r="J1361" s="6" t="s">
        <v>1402</v>
      </c>
      <c r="K1361" s="5" t="n">
        <v>100011153</v>
      </c>
      <c r="L1361" s="9" t="n">
        <v>46014</v>
      </c>
      <c r="M1361" s="10" t="n">
        <v>47839</v>
      </c>
    </row>
    <row r="1362" customFormat="false" ht="30" hidden="false" customHeight="true" outlineLevel="0" collapsed="false">
      <c r="A1362" s="4" t="s">
        <v>1400</v>
      </c>
      <c r="B1362" s="4" t="s">
        <v>14</v>
      </c>
      <c r="C1362" s="5" t="n">
        <v>1329001677</v>
      </c>
      <c r="D1362" s="6" t="s">
        <v>1419</v>
      </c>
      <c r="E1362" s="6"/>
      <c r="F1362" s="7" t="n">
        <v>46068.3493168519</v>
      </c>
      <c r="G1362" s="7" t="n">
        <v>46069.2427975463</v>
      </c>
      <c r="H1362" s="8" t="n">
        <v>4</v>
      </c>
      <c r="I1362" s="5" t="n">
        <v>400567</v>
      </c>
      <c r="J1362" s="6" t="s">
        <v>1402</v>
      </c>
      <c r="K1362" s="5" t="n">
        <v>100011153</v>
      </c>
      <c r="L1362" s="9" t="n">
        <v>46014</v>
      </c>
      <c r="M1362" s="10" t="n">
        <v>47839</v>
      </c>
    </row>
    <row r="1363" customFormat="false" ht="30" hidden="false" customHeight="true" outlineLevel="0" collapsed="false">
      <c r="A1363" s="4" t="s">
        <v>1400</v>
      </c>
      <c r="B1363" s="4" t="s">
        <v>14</v>
      </c>
      <c r="C1363" s="5" t="n">
        <v>1329001677</v>
      </c>
      <c r="D1363" s="6" t="s">
        <v>1420</v>
      </c>
      <c r="E1363" s="6"/>
      <c r="F1363" s="7" t="n">
        <v>46068.3493168519</v>
      </c>
      <c r="G1363" s="7" t="n">
        <v>46069.242324456</v>
      </c>
      <c r="H1363" s="8" t="n">
        <v>4</v>
      </c>
      <c r="I1363" s="5" t="n">
        <v>400567</v>
      </c>
      <c r="J1363" s="6" t="s">
        <v>1402</v>
      </c>
      <c r="K1363" s="5" t="n">
        <v>100011153</v>
      </c>
      <c r="L1363" s="9" t="n">
        <v>46014</v>
      </c>
      <c r="M1363" s="10" t="n">
        <v>47839</v>
      </c>
    </row>
    <row r="1364" customFormat="false" ht="30" hidden="false" customHeight="true" outlineLevel="0" collapsed="false">
      <c r="A1364" s="4" t="s">
        <v>1400</v>
      </c>
      <c r="B1364" s="4" t="s">
        <v>14</v>
      </c>
      <c r="C1364" s="5" t="n">
        <v>1329001677</v>
      </c>
      <c r="D1364" s="6" t="s">
        <v>1421</v>
      </c>
      <c r="E1364" s="6"/>
      <c r="F1364" s="7" t="n">
        <v>46068.3493168519</v>
      </c>
      <c r="G1364" s="7" t="n">
        <v>46069.2404366551</v>
      </c>
      <c r="H1364" s="8" t="n">
        <v>4</v>
      </c>
      <c r="I1364" s="5" t="n">
        <v>400567</v>
      </c>
      <c r="J1364" s="6" t="s">
        <v>1402</v>
      </c>
      <c r="K1364" s="5" t="n">
        <v>100011153</v>
      </c>
      <c r="L1364" s="9" t="n">
        <v>46014</v>
      </c>
      <c r="M1364" s="10" t="n">
        <v>47839</v>
      </c>
    </row>
    <row r="1365" customFormat="false" ht="30" hidden="false" customHeight="true" outlineLevel="0" collapsed="false">
      <c r="A1365" s="4" t="s">
        <v>1400</v>
      </c>
      <c r="B1365" s="4" t="s">
        <v>14</v>
      </c>
      <c r="C1365" s="5" t="n">
        <v>1329001677</v>
      </c>
      <c r="D1365" s="6" t="s">
        <v>1422</v>
      </c>
      <c r="E1365" s="6"/>
      <c r="F1365" s="7" t="n">
        <v>46068.3493168519</v>
      </c>
      <c r="G1365" s="7" t="n">
        <v>46069.2399469792</v>
      </c>
      <c r="H1365" s="8" t="n">
        <v>4</v>
      </c>
      <c r="I1365" s="5" t="n">
        <v>400567</v>
      </c>
      <c r="J1365" s="6" t="s">
        <v>1402</v>
      </c>
      <c r="K1365" s="5" t="n">
        <v>100011153</v>
      </c>
      <c r="L1365" s="9" t="n">
        <v>46014</v>
      </c>
      <c r="M1365" s="10" t="n">
        <v>47839</v>
      </c>
    </row>
    <row r="1366" customFormat="false" ht="30" hidden="false" customHeight="true" outlineLevel="0" collapsed="false">
      <c r="A1366" s="4" t="s">
        <v>1400</v>
      </c>
      <c r="B1366" s="4" t="s">
        <v>14</v>
      </c>
      <c r="C1366" s="5" t="n">
        <v>1329001677</v>
      </c>
      <c r="D1366" s="6" t="s">
        <v>1423</v>
      </c>
      <c r="E1366" s="6"/>
      <c r="F1366" s="7" t="n">
        <v>46068.3493168519</v>
      </c>
      <c r="G1366" s="7" t="n">
        <v>46069.2393838542</v>
      </c>
      <c r="H1366" s="8" t="n">
        <v>4</v>
      </c>
      <c r="I1366" s="5" t="n">
        <v>400567</v>
      </c>
      <c r="J1366" s="6" t="s">
        <v>1402</v>
      </c>
      <c r="K1366" s="5" t="n">
        <v>100011153</v>
      </c>
      <c r="L1366" s="9" t="n">
        <v>46014</v>
      </c>
      <c r="M1366" s="10" t="n">
        <v>47839</v>
      </c>
    </row>
    <row r="1367" customFormat="false" ht="30" hidden="false" customHeight="true" outlineLevel="0" collapsed="false">
      <c r="A1367" s="4" t="s">
        <v>1400</v>
      </c>
      <c r="B1367" s="4" t="s">
        <v>14</v>
      </c>
      <c r="C1367" s="5" t="n">
        <v>1329001677</v>
      </c>
      <c r="D1367" s="6" t="s">
        <v>1424</v>
      </c>
      <c r="E1367" s="6"/>
      <c r="F1367" s="7" t="n">
        <v>46068.3493168519</v>
      </c>
      <c r="G1367" s="7" t="n">
        <v>46069.2391437384</v>
      </c>
      <c r="H1367" s="8" t="n">
        <v>4</v>
      </c>
      <c r="I1367" s="5" t="n">
        <v>400567</v>
      </c>
      <c r="J1367" s="6" t="s">
        <v>1402</v>
      </c>
      <c r="K1367" s="5" t="n">
        <v>100011153</v>
      </c>
      <c r="L1367" s="9" t="n">
        <v>46014</v>
      </c>
      <c r="M1367" s="10" t="n">
        <v>47839</v>
      </c>
    </row>
    <row r="1368" customFormat="false" ht="30" hidden="false" customHeight="true" outlineLevel="0" collapsed="false">
      <c r="A1368" s="4" t="s">
        <v>1400</v>
      </c>
      <c r="B1368" s="4" t="s">
        <v>14</v>
      </c>
      <c r="C1368" s="5" t="n">
        <v>1329001677</v>
      </c>
      <c r="D1368" s="6" t="s">
        <v>1425</v>
      </c>
      <c r="E1368" s="6"/>
      <c r="F1368" s="7" t="n">
        <v>46068.3493168519</v>
      </c>
      <c r="G1368" s="7" t="n">
        <v>46069.2388956597</v>
      </c>
      <c r="H1368" s="8" t="n">
        <v>4</v>
      </c>
      <c r="I1368" s="5" t="n">
        <v>400567</v>
      </c>
      <c r="J1368" s="6" t="s">
        <v>1402</v>
      </c>
      <c r="K1368" s="5" t="n">
        <v>100011153</v>
      </c>
      <c r="L1368" s="9" t="n">
        <v>46014</v>
      </c>
      <c r="M1368" s="10" t="n">
        <v>47839</v>
      </c>
    </row>
    <row r="1369" customFormat="false" ht="30" hidden="false" customHeight="true" outlineLevel="0" collapsed="false">
      <c r="A1369" s="4" t="s">
        <v>1400</v>
      </c>
      <c r="B1369" s="4" t="s">
        <v>14</v>
      </c>
      <c r="C1369" s="5" t="n">
        <v>1329001677</v>
      </c>
      <c r="D1369" s="6" t="s">
        <v>1426</v>
      </c>
      <c r="E1369" s="6"/>
      <c r="F1369" s="7" t="n">
        <v>46068.3493168519</v>
      </c>
      <c r="G1369" s="7" t="n">
        <v>46069.2386705208</v>
      </c>
      <c r="H1369" s="8" t="n">
        <v>4</v>
      </c>
      <c r="I1369" s="5" t="n">
        <v>400567</v>
      </c>
      <c r="J1369" s="6" t="s">
        <v>1402</v>
      </c>
      <c r="K1369" s="5" t="n">
        <v>100011153</v>
      </c>
      <c r="L1369" s="9" t="n">
        <v>46014</v>
      </c>
      <c r="M1369" s="10" t="n">
        <v>47839</v>
      </c>
    </row>
    <row r="1370" customFormat="false" ht="30" hidden="false" customHeight="true" outlineLevel="0" collapsed="false">
      <c r="A1370" s="4" t="s">
        <v>1400</v>
      </c>
      <c r="B1370" s="4" t="s">
        <v>14</v>
      </c>
      <c r="C1370" s="5" t="n">
        <v>1329001677</v>
      </c>
      <c r="D1370" s="6" t="s">
        <v>1427</v>
      </c>
      <c r="E1370" s="6"/>
      <c r="F1370" s="7" t="n">
        <v>46068.3493168519</v>
      </c>
      <c r="G1370" s="7" t="n">
        <v>46069.2376479051</v>
      </c>
      <c r="H1370" s="8" t="n">
        <v>4</v>
      </c>
      <c r="I1370" s="5" t="n">
        <v>400567</v>
      </c>
      <c r="J1370" s="6" t="s">
        <v>1402</v>
      </c>
      <c r="K1370" s="5" t="n">
        <v>100011153</v>
      </c>
      <c r="L1370" s="9" t="n">
        <v>46014</v>
      </c>
      <c r="M1370" s="10" t="n">
        <v>47839</v>
      </c>
    </row>
    <row r="1371" customFormat="false" ht="30" hidden="false" customHeight="true" outlineLevel="0" collapsed="false">
      <c r="A1371" s="4" t="s">
        <v>1400</v>
      </c>
      <c r="B1371" s="4" t="s">
        <v>14</v>
      </c>
      <c r="C1371" s="5" t="n">
        <v>1329001677</v>
      </c>
      <c r="D1371" s="6" t="s">
        <v>1428</v>
      </c>
      <c r="E1371" s="6"/>
      <c r="F1371" s="7" t="n">
        <v>46068.3493168519</v>
      </c>
      <c r="G1371" s="7" t="n">
        <v>46069.2373814583</v>
      </c>
      <c r="H1371" s="8" t="n">
        <v>4</v>
      </c>
      <c r="I1371" s="5" t="n">
        <v>400567</v>
      </c>
      <c r="J1371" s="6" t="s">
        <v>1402</v>
      </c>
      <c r="K1371" s="5" t="n">
        <v>100011153</v>
      </c>
      <c r="L1371" s="9" t="n">
        <v>46014</v>
      </c>
      <c r="M1371" s="10" t="n">
        <v>47839</v>
      </c>
    </row>
    <row r="1372" customFormat="false" ht="30" hidden="false" customHeight="true" outlineLevel="0" collapsed="false">
      <c r="A1372" s="4" t="s">
        <v>1400</v>
      </c>
      <c r="B1372" s="4" t="s">
        <v>14</v>
      </c>
      <c r="C1372" s="5" t="n">
        <v>1329001677</v>
      </c>
      <c r="D1372" s="6" t="s">
        <v>1429</v>
      </c>
      <c r="E1372" s="6"/>
      <c r="F1372" s="7" t="n">
        <v>46068.3493168519</v>
      </c>
      <c r="G1372" s="7" t="n">
        <v>46069.2365557407</v>
      </c>
      <c r="H1372" s="8" t="n">
        <v>4</v>
      </c>
      <c r="I1372" s="5" t="n">
        <v>400567</v>
      </c>
      <c r="J1372" s="6" t="s">
        <v>1402</v>
      </c>
      <c r="K1372" s="5" t="n">
        <v>100011153</v>
      </c>
      <c r="L1372" s="9" t="n">
        <v>46014</v>
      </c>
      <c r="M1372" s="10" t="n">
        <v>47839</v>
      </c>
    </row>
    <row r="1373" customFormat="false" ht="30" hidden="false" customHeight="true" outlineLevel="0" collapsed="false">
      <c r="A1373" s="4" t="s">
        <v>1400</v>
      </c>
      <c r="B1373" s="4" t="s">
        <v>14</v>
      </c>
      <c r="C1373" s="5" t="n">
        <v>1329001677</v>
      </c>
      <c r="D1373" s="6" t="s">
        <v>1430</v>
      </c>
      <c r="E1373" s="6"/>
      <c r="F1373" s="7" t="n">
        <v>46068.3493168519</v>
      </c>
      <c r="G1373" s="7" t="n">
        <v>46069.2362841782</v>
      </c>
      <c r="H1373" s="8" t="n">
        <v>4</v>
      </c>
      <c r="I1373" s="5" t="n">
        <v>400567</v>
      </c>
      <c r="J1373" s="6" t="s">
        <v>1402</v>
      </c>
      <c r="K1373" s="5" t="n">
        <v>100011153</v>
      </c>
      <c r="L1373" s="9" t="n">
        <v>46014</v>
      </c>
      <c r="M1373" s="10" t="n">
        <v>47839</v>
      </c>
    </row>
    <row r="1374" customFormat="false" ht="30" hidden="false" customHeight="true" outlineLevel="0" collapsed="false">
      <c r="A1374" s="4" t="s">
        <v>1400</v>
      </c>
      <c r="B1374" s="4" t="s">
        <v>14</v>
      </c>
      <c r="C1374" s="5" t="n">
        <v>1329001677</v>
      </c>
      <c r="D1374" s="6" t="s">
        <v>1431</v>
      </c>
      <c r="E1374" s="6"/>
      <c r="F1374" s="7" t="n">
        <v>46068.3493168519</v>
      </c>
      <c r="G1374" s="7" t="n">
        <v>46069.2344329282</v>
      </c>
      <c r="H1374" s="8" t="n">
        <v>4</v>
      </c>
      <c r="I1374" s="5" t="n">
        <v>400567</v>
      </c>
      <c r="J1374" s="6" t="s">
        <v>1402</v>
      </c>
      <c r="K1374" s="5" t="n">
        <v>100011153</v>
      </c>
      <c r="L1374" s="9" t="n">
        <v>46014</v>
      </c>
      <c r="M1374" s="10" t="n">
        <v>47839</v>
      </c>
    </row>
    <row r="1375" customFormat="false" ht="30" hidden="false" customHeight="true" outlineLevel="0" collapsed="false">
      <c r="A1375" s="4" t="s">
        <v>1400</v>
      </c>
      <c r="B1375" s="4" t="s">
        <v>14</v>
      </c>
      <c r="C1375" s="5" t="n">
        <v>1329001676</v>
      </c>
      <c r="D1375" s="6" t="s">
        <v>1432</v>
      </c>
      <c r="E1375" s="6"/>
      <c r="F1375" s="7" t="n">
        <v>46068.3512338773</v>
      </c>
      <c r="G1375" s="7" t="n">
        <v>46069.2550521991</v>
      </c>
      <c r="H1375" s="8" t="n">
        <v>4</v>
      </c>
      <c r="I1375" s="5" t="n">
        <v>400567</v>
      </c>
      <c r="J1375" s="6" t="s">
        <v>1402</v>
      </c>
      <c r="K1375" s="5" t="n">
        <v>100011153</v>
      </c>
      <c r="L1375" s="9" t="n">
        <v>46014</v>
      </c>
      <c r="M1375" s="10" t="n">
        <v>47839</v>
      </c>
    </row>
    <row r="1376" customFormat="false" ht="30" hidden="false" customHeight="true" outlineLevel="0" collapsed="false">
      <c r="A1376" s="4" t="s">
        <v>1400</v>
      </c>
      <c r="B1376" s="4" t="s">
        <v>14</v>
      </c>
      <c r="C1376" s="5" t="n">
        <v>1329001676</v>
      </c>
      <c r="D1376" s="6" t="s">
        <v>1433</v>
      </c>
      <c r="E1376" s="6"/>
      <c r="F1376" s="7" t="n">
        <v>46068.3512338773</v>
      </c>
      <c r="G1376" s="7" t="n">
        <v>46069.2548317824</v>
      </c>
      <c r="H1376" s="8" t="n">
        <v>4</v>
      </c>
      <c r="I1376" s="5" t="n">
        <v>400567</v>
      </c>
      <c r="J1376" s="6" t="s">
        <v>1402</v>
      </c>
      <c r="K1376" s="5" t="n">
        <v>100011153</v>
      </c>
      <c r="L1376" s="9"/>
      <c r="M1376" s="10" t="n">
        <v>47839</v>
      </c>
    </row>
    <row r="1377" customFormat="false" ht="30" hidden="false" customHeight="true" outlineLevel="0" collapsed="false">
      <c r="A1377" s="4" t="s">
        <v>1400</v>
      </c>
      <c r="B1377" s="4" t="s">
        <v>14</v>
      </c>
      <c r="C1377" s="5" t="n">
        <v>1329001676</v>
      </c>
      <c r="D1377" s="6" t="s">
        <v>1434</v>
      </c>
      <c r="E1377" s="6"/>
      <c r="F1377" s="7" t="n">
        <v>46068.3512338773</v>
      </c>
      <c r="G1377" s="7" t="n">
        <v>46069.2546627778</v>
      </c>
      <c r="H1377" s="8" t="n">
        <v>4</v>
      </c>
      <c r="I1377" s="5" t="n">
        <v>400567</v>
      </c>
      <c r="J1377" s="6" t="s">
        <v>1402</v>
      </c>
      <c r="K1377" s="5" t="n">
        <v>100011153</v>
      </c>
      <c r="L1377" s="9"/>
      <c r="M1377" s="10" t="n">
        <v>47839</v>
      </c>
    </row>
    <row r="1378" customFormat="false" ht="30" hidden="false" customHeight="true" outlineLevel="0" collapsed="false">
      <c r="A1378" s="4" t="s">
        <v>1400</v>
      </c>
      <c r="B1378" s="4" t="s">
        <v>14</v>
      </c>
      <c r="C1378" s="5" t="n">
        <v>1329001676</v>
      </c>
      <c r="D1378" s="6" t="s">
        <v>1435</v>
      </c>
      <c r="E1378" s="6"/>
      <c r="F1378" s="7" t="n">
        <v>46068.3512338773</v>
      </c>
      <c r="G1378" s="7" t="n">
        <v>46069.254446412</v>
      </c>
      <c r="H1378" s="8" t="n">
        <v>4</v>
      </c>
      <c r="I1378" s="5" t="n">
        <v>400567</v>
      </c>
      <c r="J1378" s="6" t="s">
        <v>1402</v>
      </c>
      <c r="K1378" s="5" t="n">
        <v>100011153</v>
      </c>
      <c r="L1378" s="9"/>
      <c r="M1378" s="10" t="n">
        <v>47839</v>
      </c>
    </row>
    <row r="1379" customFormat="false" ht="30" hidden="false" customHeight="true" outlineLevel="0" collapsed="false">
      <c r="A1379" s="4" t="s">
        <v>1400</v>
      </c>
      <c r="B1379" s="4" t="s">
        <v>14</v>
      </c>
      <c r="C1379" s="5" t="n">
        <v>1329001676</v>
      </c>
      <c r="D1379" s="6" t="s">
        <v>1436</v>
      </c>
      <c r="E1379" s="6"/>
      <c r="F1379" s="7" t="n">
        <v>46068.3512338773</v>
      </c>
      <c r="G1379" s="7" t="n">
        <v>46069.2542777546</v>
      </c>
      <c r="H1379" s="8" t="n">
        <v>4</v>
      </c>
      <c r="I1379" s="5" t="n">
        <v>400567</v>
      </c>
      <c r="J1379" s="6" t="s">
        <v>1402</v>
      </c>
      <c r="K1379" s="5" t="n">
        <v>100011153</v>
      </c>
      <c r="L1379" s="9"/>
      <c r="M1379" s="10" t="n">
        <v>47839</v>
      </c>
    </row>
    <row r="1380" customFormat="false" ht="30" hidden="false" customHeight="true" outlineLevel="0" collapsed="false">
      <c r="A1380" s="4" t="s">
        <v>1400</v>
      </c>
      <c r="B1380" s="4" t="s">
        <v>14</v>
      </c>
      <c r="C1380" s="5" t="n">
        <v>1329001676</v>
      </c>
      <c r="D1380" s="6" t="s">
        <v>1437</v>
      </c>
      <c r="E1380" s="6"/>
      <c r="F1380" s="7" t="n">
        <v>46068.3512338773</v>
      </c>
      <c r="G1380" s="7" t="n">
        <v>46069.2539919907</v>
      </c>
      <c r="H1380" s="8" t="n">
        <v>4</v>
      </c>
      <c r="I1380" s="5" t="n">
        <v>400567</v>
      </c>
      <c r="J1380" s="6" t="s">
        <v>1402</v>
      </c>
      <c r="K1380" s="5" t="n">
        <v>100011153</v>
      </c>
      <c r="L1380" s="9"/>
      <c r="M1380" s="10" t="n">
        <v>47839</v>
      </c>
    </row>
    <row r="1381" customFormat="false" ht="30" hidden="false" customHeight="true" outlineLevel="0" collapsed="false">
      <c r="A1381" s="4" t="s">
        <v>1400</v>
      </c>
      <c r="B1381" s="4" t="s">
        <v>14</v>
      </c>
      <c r="C1381" s="5" t="n">
        <v>1329001676</v>
      </c>
      <c r="D1381" s="6" t="s">
        <v>1438</v>
      </c>
      <c r="E1381" s="6"/>
      <c r="F1381" s="7" t="n">
        <v>46068.3512338773</v>
      </c>
      <c r="G1381" s="7" t="n">
        <v>46069.2536872454</v>
      </c>
      <c r="H1381" s="8" t="n">
        <v>4</v>
      </c>
      <c r="I1381" s="5" t="n">
        <v>400567</v>
      </c>
      <c r="J1381" s="6" t="s">
        <v>1402</v>
      </c>
      <c r="K1381" s="5" t="n">
        <v>100011153</v>
      </c>
      <c r="L1381" s="9"/>
      <c r="M1381" s="10" t="n">
        <v>47839</v>
      </c>
    </row>
    <row r="1382" customFormat="false" ht="30" hidden="false" customHeight="true" outlineLevel="0" collapsed="false">
      <c r="A1382" s="4" t="s">
        <v>1400</v>
      </c>
      <c r="B1382" s="4" t="s">
        <v>14</v>
      </c>
      <c r="C1382" s="5" t="n">
        <v>1329001676</v>
      </c>
      <c r="D1382" s="6" t="s">
        <v>1439</v>
      </c>
      <c r="E1382" s="6"/>
      <c r="F1382" s="7" t="n">
        <v>46068.3512338773</v>
      </c>
      <c r="G1382" s="7" t="n">
        <v>46069.2601084722</v>
      </c>
      <c r="H1382" s="8" t="n">
        <v>4</v>
      </c>
      <c r="I1382" s="5" t="n">
        <v>400567</v>
      </c>
      <c r="J1382" s="6" t="s">
        <v>1402</v>
      </c>
      <c r="K1382" s="5" t="n">
        <v>100011153</v>
      </c>
      <c r="L1382" s="9" t="n">
        <v>46014</v>
      </c>
      <c r="M1382" s="10" t="n">
        <v>47839</v>
      </c>
    </row>
    <row r="1383" customFormat="false" ht="30" hidden="false" customHeight="true" outlineLevel="0" collapsed="false">
      <c r="A1383" s="4" t="s">
        <v>1400</v>
      </c>
      <c r="B1383" s="4" t="s">
        <v>14</v>
      </c>
      <c r="C1383" s="5" t="n">
        <v>1329001676</v>
      </c>
      <c r="D1383" s="6" t="s">
        <v>1440</v>
      </c>
      <c r="E1383" s="6"/>
      <c r="F1383" s="7" t="n">
        <v>46068.3512338773</v>
      </c>
      <c r="G1383" s="7" t="n">
        <v>46069.2598834491</v>
      </c>
      <c r="H1383" s="8" t="n">
        <v>4</v>
      </c>
      <c r="I1383" s="5" t="n">
        <v>400567</v>
      </c>
      <c r="J1383" s="6" t="s">
        <v>1402</v>
      </c>
      <c r="K1383" s="5" t="n">
        <v>100011153</v>
      </c>
      <c r="L1383" s="9" t="n">
        <v>46014</v>
      </c>
      <c r="M1383" s="10" t="n">
        <v>47839</v>
      </c>
    </row>
    <row r="1384" customFormat="false" ht="30" hidden="false" customHeight="true" outlineLevel="0" collapsed="false">
      <c r="A1384" s="4" t="s">
        <v>1400</v>
      </c>
      <c r="B1384" s="4" t="s">
        <v>14</v>
      </c>
      <c r="C1384" s="5" t="n">
        <v>1329001676</v>
      </c>
      <c r="D1384" s="6" t="s">
        <v>1441</v>
      </c>
      <c r="E1384" s="6"/>
      <c r="F1384" s="7" t="n">
        <v>46068.3512338773</v>
      </c>
      <c r="G1384" s="7" t="n">
        <v>46069.2596770486</v>
      </c>
      <c r="H1384" s="8" t="n">
        <v>4</v>
      </c>
      <c r="I1384" s="5" t="n">
        <v>400567</v>
      </c>
      <c r="J1384" s="6" t="s">
        <v>1402</v>
      </c>
      <c r="K1384" s="5" t="n">
        <v>100011153</v>
      </c>
      <c r="L1384" s="9" t="n">
        <v>46014</v>
      </c>
      <c r="M1384" s="10" t="n">
        <v>47839</v>
      </c>
    </row>
    <row r="1385" customFormat="false" ht="30" hidden="false" customHeight="true" outlineLevel="0" collapsed="false">
      <c r="A1385" s="4" t="s">
        <v>1400</v>
      </c>
      <c r="B1385" s="4" t="s">
        <v>14</v>
      </c>
      <c r="C1385" s="5" t="n">
        <v>1329001676</v>
      </c>
      <c r="D1385" s="6" t="s">
        <v>1442</v>
      </c>
      <c r="E1385" s="6"/>
      <c r="F1385" s="7" t="n">
        <v>46068.3512338773</v>
      </c>
      <c r="G1385" s="7" t="n">
        <v>46069.2594760532</v>
      </c>
      <c r="H1385" s="8" t="n">
        <v>4</v>
      </c>
      <c r="I1385" s="5" t="n">
        <v>400567</v>
      </c>
      <c r="J1385" s="6" t="s">
        <v>1402</v>
      </c>
      <c r="K1385" s="5" t="n">
        <v>100011153</v>
      </c>
      <c r="L1385" s="9" t="n">
        <v>46014</v>
      </c>
      <c r="M1385" s="10" t="n">
        <v>47839</v>
      </c>
    </row>
    <row r="1386" customFormat="false" ht="30" hidden="false" customHeight="true" outlineLevel="0" collapsed="false">
      <c r="A1386" s="4" t="s">
        <v>1400</v>
      </c>
      <c r="B1386" s="4" t="s">
        <v>14</v>
      </c>
      <c r="C1386" s="5" t="n">
        <v>1329001676</v>
      </c>
      <c r="D1386" s="6" t="s">
        <v>1443</v>
      </c>
      <c r="E1386" s="6"/>
      <c r="F1386" s="7" t="n">
        <v>46068.3512338773</v>
      </c>
      <c r="G1386" s="7" t="n">
        <v>46069.2592920023</v>
      </c>
      <c r="H1386" s="8" t="n">
        <v>4</v>
      </c>
      <c r="I1386" s="5" t="n">
        <v>400567</v>
      </c>
      <c r="J1386" s="6" t="s">
        <v>1402</v>
      </c>
      <c r="K1386" s="5" t="n">
        <v>100011153</v>
      </c>
      <c r="L1386" s="9" t="n">
        <v>46014</v>
      </c>
      <c r="M1386" s="10" t="n">
        <v>47839</v>
      </c>
    </row>
    <row r="1387" customFormat="false" ht="30" hidden="false" customHeight="true" outlineLevel="0" collapsed="false">
      <c r="A1387" s="4" t="s">
        <v>1400</v>
      </c>
      <c r="B1387" s="4" t="s">
        <v>14</v>
      </c>
      <c r="C1387" s="5" t="n">
        <v>1329001676</v>
      </c>
      <c r="D1387" s="6" t="s">
        <v>1444</v>
      </c>
      <c r="E1387" s="6"/>
      <c r="F1387" s="7" t="n">
        <v>46068.3512338773</v>
      </c>
      <c r="G1387" s="7" t="n">
        <v>46069.2591408218</v>
      </c>
      <c r="H1387" s="8" t="n">
        <v>4</v>
      </c>
      <c r="I1387" s="5" t="n">
        <v>400567</v>
      </c>
      <c r="J1387" s="6" t="s">
        <v>1402</v>
      </c>
      <c r="K1387" s="5" t="n">
        <v>100011153</v>
      </c>
      <c r="L1387" s="9" t="n">
        <v>46014</v>
      </c>
      <c r="M1387" s="10" t="n">
        <v>47839</v>
      </c>
    </row>
    <row r="1388" customFormat="false" ht="30" hidden="false" customHeight="true" outlineLevel="0" collapsed="false">
      <c r="A1388" s="4" t="s">
        <v>1400</v>
      </c>
      <c r="B1388" s="4" t="s">
        <v>14</v>
      </c>
      <c r="C1388" s="5" t="n">
        <v>1329001676</v>
      </c>
      <c r="D1388" s="6" t="s">
        <v>1445</v>
      </c>
      <c r="E1388" s="6"/>
      <c r="F1388" s="7" t="n">
        <v>46068.3512338773</v>
      </c>
      <c r="G1388" s="7" t="n">
        <v>46069.2589707292</v>
      </c>
      <c r="H1388" s="8" t="n">
        <v>4</v>
      </c>
      <c r="I1388" s="5" t="n">
        <v>400567</v>
      </c>
      <c r="J1388" s="6" t="s">
        <v>1402</v>
      </c>
      <c r="K1388" s="5" t="n">
        <v>100011153</v>
      </c>
      <c r="L1388" s="9" t="n">
        <v>46014</v>
      </c>
      <c r="M1388" s="10" t="n">
        <v>47839</v>
      </c>
    </row>
    <row r="1389" customFormat="false" ht="30" hidden="false" customHeight="true" outlineLevel="0" collapsed="false">
      <c r="A1389" s="4" t="s">
        <v>1400</v>
      </c>
      <c r="B1389" s="4" t="s">
        <v>14</v>
      </c>
      <c r="C1389" s="5" t="n">
        <v>1329001676</v>
      </c>
      <c r="D1389" s="6" t="s">
        <v>1446</v>
      </c>
      <c r="E1389" s="6"/>
      <c r="F1389" s="7" t="n">
        <v>46068.3512338773</v>
      </c>
      <c r="G1389" s="7" t="n">
        <v>46069.258799537</v>
      </c>
      <c r="H1389" s="8" t="n">
        <v>4</v>
      </c>
      <c r="I1389" s="5" t="n">
        <v>400567</v>
      </c>
      <c r="J1389" s="6" t="s">
        <v>1402</v>
      </c>
      <c r="K1389" s="5" t="n">
        <v>100011153</v>
      </c>
      <c r="L1389" s="9" t="n">
        <v>46014</v>
      </c>
      <c r="M1389" s="10" t="n">
        <v>47839</v>
      </c>
    </row>
    <row r="1390" customFormat="false" ht="30" hidden="false" customHeight="true" outlineLevel="0" collapsed="false">
      <c r="A1390" s="4" t="s">
        <v>1400</v>
      </c>
      <c r="B1390" s="4" t="s">
        <v>14</v>
      </c>
      <c r="C1390" s="5" t="n">
        <v>1329001676</v>
      </c>
      <c r="D1390" s="6" t="s">
        <v>1447</v>
      </c>
      <c r="E1390" s="6"/>
      <c r="F1390" s="7" t="n">
        <v>46068.3512338773</v>
      </c>
      <c r="G1390" s="7" t="n">
        <v>46069.2586367361</v>
      </c>
      <c r="H1390" s="8" t="n">
        <v>4</v>
      </c>
      <c r="I1390" s="5" t="n">
        <v>400567</v>
      </c>
      <c r="J1390" s="6" t="s">
        <v>1402</v>
      </c>
      <c r="K1390" s="5" t="n">
        <v>100011153</v>
      </c>
      <c r="L1390" s="9" t="n">
        <v>46014</v>
      </c>
      <c r="M1390" s="10" t="n">
        <v>47839</v>
      </c>
    </row>
    <row r="1391" customFormat="false" ht="30" hidden="false" customHeight="true" outlineLevel="0" collapsed="false">
      <c r="A1391" s="4" t="s">
        <v>1400</v>
      </c>
      <c r="B1391" s="4" t="s">
        <v>14</v>
      </c>
      <c r="C1391" s="5" t="n">
        <v>1329001676</v>
      </c>
      <c r="D1391" s="6" t="s">
        <v>1448</v>
      </c>
      <c r="E1391" s="6"/>
      <c r="F1391" s="7" t="n">
        <v>46068.3512338773</v>
      </c>
      <c r="G1391" s="7" t="n">
        <v>46069.258478831</v>
      </c>
      <c r="H1391" s="8" t="n">
        <v>4</v>
      </c>
      <c r="I1391" s="5" t="n">
        <v>400567</v>
      </c>
      <c r="J1391" s="6" t="s">
        <v>1402</v>
      </c>
      <c r="K1391" s="5" t="n">
        <v>100011153</v>
      </c>
      <c r="L1391" s="9" t="n">
        <v>46014</v>
      </c>
      <c r="M1391" s="10" t="n">
        <v>47839</v>
      </c>
    </row>
    <row r="1392" customFormat="false" ht="30" hidden="false" customHeight="true" outlineLevel="0" collapsed="false">
      <c r="A1392" s="4" t="s">
        <v>1400</v>
      </c>
      <c r="B1392" s="4" t="s">
        <v>14</v>
      </c>
      <c r="C1392" s="5" t="n">
        <v>1329001676</v>
      </c>
      <c r="D1392" s="6" t="s">
        <v>1449</v>
      </c>
      <c r="E1392" s="6"/>
      <c r="F1392" s="7" t="n">
        <v>46068.3512338773</v>
      </c>
      <c r="G1392" s="7" t="n">
        <v>46069.2582422685</v>
      </c>
      <c r="H1392" s="8" t="n">
        <v>4</v>
      </c>
      <c r="I1392" s="5" t="n">
        <v>400567</v>
      </c>
      <c r="J1392" s="6" t="s">
        <v>1402</v>
      </c>
      <c r="K1392" s="5" t="n">
        <v>100011153</v>
      </c>
      <c r="L1392" s="9" t="n">
        <v>46014</v>
      </c>
      <c r="M1392" s="10" t="n">
        <v>47839</v>
      </c>
    </row>
    <row r="1393" customFormat="false" ht="30" hidden="false" customHeight="true" outlineLevel="0" collapsed="false">
      <c r="A1393" s="4" t="s">
        <v>1400</v>
      </c>
      <c r="B1393" s="4" t="s">
        <v>14</v>
      </c>
      <c r="C1393" s="5" t="n">
        <v>1329001676</v>
      </c>
      <c r="D1393" s="6" t="s">
        <v>1450</v>
      </c>
      <c r="E1393" s="6"/>
      <c r="F1393" s="7" t="n">
        <v>46068.3512338773</v>
      </c>
      <c r="G1393" s="7" t="n">
        <v>46069.2580063426</v>
      </c>
      <c r="H1393" s="8" t="n">
        <v>4</v>
      </c>
      <c r="I1393" s="5" t="n">
        <v>400567</v>
      </c>
      <c r="J1393" s="6" t="s">
        <v>1402</v>
      </c>
      <c r="K1393" s="5" t="n">
        <v>100011153</v>
      </c>
      <c r="L1393" s="9" t="n">
        <v>46014</v>
      </c>
      <c r="M1393" s="10" t="n">
        <v>47839</v>
      </c>
    </row>
    <row r="1394" customFormat="false" ht="30" hidden="false" customHeight="true" outlineLevel="0" collapsed="false">
      <c r="A1394" s="4" t="s">
        <v>1400</v>
      </c>
      <c r="B1394" s="4" t="s">
        <v>14</v>
      </c>
      <c r="C1394" s="5" t="n">
        <v>1329001676</v>
      </c>
      <c r="D1394" s="6" t="s">
        <v>1451</v>
      </c>
      <c r="E1394" s="6"/>
      <c r="F1394" s="7" t="n">
        <v>46068.3512338773</v>
      </c>
      <c r="G1394" s="7" t="n">
        <v>46069.257821331</v>
      </c>
      <c r="H1394" s="8" t="n">
        <v>4</v>
      </c>
      <c r="I1394" s="5" t="n">
        <v>400567</v>
      </c>
      <c r="J1394" s="6" t="s">
        <v>1402</v>
      </c>
      <c r="K1394" s="5" t="n">
        <v>100011153</v>
      </c>
      <c r="L1394" s="9" t="n">
        <v>46014</v>
      </c>
      <c r="M1394" s="10" t="n">
        <v>47839</v>
      </c>
    </row>
    <row r="1395" customFormat="false" ht="30" hidden="false" customHeight="true" outlineLevel="0" collapsed="false">
      <c r="A1395" s="4" t="s">
        <v>1400</v>
      </c>
      <c r="B1395" s="4" t="s">
        <v>14</v>
      </c>
      <c r="C1395" s="5" t="n">
        <v>1329001676</v>
      </c>
      <c r="D1395" s="6" t="s">
        <v>1452</v>
      </c>
      <c r="E1395" s="6"/>
      <c r="F1395" s="7" t="n">
        <v>46068.3512338773</v>
      </c>
      <c r="G1395" s="7" t="n">
        <v>46069.2576340046</v>
      </c>
      <c r="H1395" s="8" t="n">
        <v>4</v>
      </c>
      <c r="I1395" s="5" t="n">
        <v>400567</v>
      </c>
      <c r="J1395" s="6" t="s">
        <v>1402</v>
      </c>
      <c r="K1395" s="5" t="n">
        <v>100011153</v>
      </c>
      <c r="L1395" s="9" t="n">
        <v>46014</v>
      </c>
      <c r="M1395" s="10" t="n">
        <v>47839</v>
      </c>
    </row>
    <row r="1396" customFormat="false" ht="30" hidden="false" customHeight="true" outlineLevel="0" collapsed="false">
      <c r="A1396" s="4" t="s">
        <v>1400</v>
      </c>
      <c r="B1396" s="4" t="s">
        <v>14</v>
      </c>
      <c r="C1396" s="5" t="n">
        <v>1329001676</v>
      </c>
      <c r="D1396" s="6" t="s">
        <v>1453</v>
      </c>
      <c r="E1396" s="6"/>
      <c r="F1396" s="7" t="n">
        <v>46068.3512338773</v>
      </c>
      <c r="G1396" s="7" t="n">
        <v>46069.2570449653</v>
      </c>
      <c r="H1396" s="8" t="n">
        <v>4</v>
      </c>
      <c r="I1396" s="5" t="n">
        <v>400567</v>
      </c>
      <c r="J1396" s="6" t="s">
        <v>1402</v>
      </c>
      <c r="K1396" s="5" t="n">
        <v>100011153</v>
      </c>
      <c r="L1396" s="9" t="n">
        <v>46014</v>
      </c>
      <c r="M1396" s="10" t="n">
        <v>47839</v>
      </c>
    </row>
    <row r="1397" customFormat="false" ht="30" hidden="false" customHeight="true" outlineLevel="0" collapsed="false">
      <c r="A1397" s="4" t="s">
        <v>1400</v>
      </c>
      <c r="B1397" s="4" t="s">
        <v>14</v>
      </c>
      <c r="C1397" s="5" t="n">
        <v>1329001676</v>
      </c>
      <c r="D1397" s="6" t="s">
        <v>1454</v>
      </c>
      <c r="E1397" s="6"/>
      <c r="F1397" s="7" t="n">
        <v>46068.3512338773</v>
      </c>
      <c r="G1397" s="7" t="n">
        <v>46069.2567378241</v>
      </c>
      <c r="H1397" s="8" t="n">
        <v>4</v>
      </c>
      <c r="I1397" s="5" t="n">
        <v>400567</v>
      </c>
      <c r="J1397" s="6" t="s">
        <v>1402</v>
      </c>
      <c r="K1397" s="5" t="n">
        <v>100011153</v>
      </c>
      <c r="L1397" s="9" t="n">
        <v>46014</v>
      </c>
      <c r="M1397" s="10" t="n">
        <v>47839</v>
      </c>
    </row>
    <row r="1398" customFormat="false" ht="30" hidden="false" customHeight="true" outlineLevel="0" collapsed="false">
      <c r="A1398" s="4" t="s">
        <v>1400</v>
      </c>
      <c r="B1398" s="4" t="s">
        <v>14</v>
      </c>
      <c r="C1398" s="5" t="n">
        <v>1329001676</v>
      </c>
      <c r="D1398" s="6" t="s">
        <v>1455</v>
      </c>
      <c r="E1398" s="6"/>
      <c r="F1398" s="7" t="n">
        <v>46068.3512338773</v>
      </c>
      <c r="G1398" s="7" t="n">
        <v>46069.2565415394</v>
      </c>
      <c r="H1398" s="8" t="n">
        <v>4</v>
      </c>
      <c r="I1398" s="5" t="n">
        <v>400567</v>
      </c>
      <c r="J1398" s="6" t="s">
        <v>1402</v>
      </c>
      <c r="K1398" s="5" t="n">
        <v>100011153</v>
      </c>
      <c r="L1398" s="9" t="n">
        <v>46014</v>
      </c>
      <c r="M1398" s="10" t="n">
        <v>47839</v>
      </c>
    </row>
    <row r="1399" customFormat="false" ht="30" hidden="false" customHeight="true" outlineLevel="0" collapsed="false">
      <c r="A1399" s="4" t="s">
        <v>1400</v>
      </c>
      <c r="B1399" s="4" t="s">
        <v>14</v>
      </c>
      <c r="C1399" s="5" t="n">
        <v>1329001676</v>
      </c>
      <c r="D1399" s="6" t="s">
        <v>1456</v>
      </c>
      <c r="E1399" s="6"/>
      <c r="F1399" s="7" t="n">
        <v>46068.3512338773</v>
      </c>
      <c r="G1399" s="7" t="n">
        <v>46069.2563978472</v>
      </c>
      <c r="H1399" s="8" t="n">
        <v>4</v>
      </c>
      <c r="I1399" s="5" t="n">
        <v>400567</v>
      </c>
      <c r="J1399" s="6" t="s">
        <v>1402</v>
      </c>
      <c r="K1399" s="5" t="n">
        <v>100011153</v>
      </c>
      <c r="L1399" s="9" t="n">
        <v>46014</v>
      </c>
      <c r="M1399" s="10" t="n">
        <v>47839</v>
      </c>
    </row>
    <row r="1400" customFormat="false" ht="30" hidden="false" customHeight="true" outlineLevel="0" collapsed="false">
      <c r="A1400" s="4" t="s">
        <v>1400</v>
      </c>
      <c r="B1400" s="4" t="s">
        <v>14</v>
      </c>
      <c r="C1400" s="5" t="n">
        <v>1329001676</v>
      </c>
      <c r="D1400" s="6" t="s">
        <v>1457</v>
      </c>
      <c r="E1400" s="6"/>
      <c r="F1400" s="7" t="n">
        <v>46068.3512338773</v>
      </c>
      <c r="G1400" s="7" t="n">
        <v>46069.2562213889</v>
      </c>
      <c r="H1400" s="8" t="n">
        <v>4</v>
      </c>
      <c r="I1400" s="5" t="n">
        <v>400567</v>
      </c>
      <c r="J1400" s="6" t="s">
        <v>1402</v>
      </c>
      <c r="K1400" s="5" t="n">
        <v>100011153</v>
      </c>
      <c r="L1400" s="9" t="n">
        <v>46014</v>
      </c>
      <c r="M1400" s="10" t="n">
        <v>47839</v>
      </c>
    </row>
    <row r="1401" customFormat="false" ht="30" hidden="false" customHeight="true" outlineLevel="0" collapsed="false">
      <c r="A1401" s="4" t="s">
        <v>1400</v>
      </c>
      <c r="B1401" s="4" t="s">
        <v>14</v>
      </c>
      <c r="C1401" s="5" t="n">
        <v>1329001676</v>
      </c>
      <c r="D1401" s="6" t="s">
        <v>1458</v>
      </c>
      <c r="E1401" s="6"/>
      <c r="F1401" s="7" t="n">
        <v>46068.3512338773</v>
      </c>
      <c r="G1401" s="7" t="n">
        <v>46069.2560364468</v>
      </c>
      <c r="H1401" s="8" t="n">
        <v>4</v>
      </c>
      <c r="I1401" s="5" t="n">
        <v>400567</v>
      </c>
      <c r="J1401" s="6" t="s">
        <v>1402</v>
      </c>
      <c r="K1401" s="5" t="n">
        <v>100011153</v>
      </c>
      <c r="L1401" s="9" t="n">
        <v>46014</v>
      </c>
      <c r="M1401" s="10" t="n">
        <v>47839</v>
      </c>
    </row>
    <row r="1402" customFormat="false" ht="30" hidden="false" customHeight="true" outlineLevel="0" collapsed="false">
      <c r="A1402" s="4" t="s">
        <v>1400</v>
      </c>
      <c r="B1402" s="4" t="s">
        <v>14</v>
      </c>
      <c r="C1402" s="5" t="n">
        <v>1329001676</v>
      </c>
      <c r="D1402" s="6" t="s">
        <v>1459</v>
      </c>
      <c r="E1402" s="6"/>
      <c r="F1402" s="7" t="n">
        <v>46068.3512338773</v>
      </c>
      <c r="G1402" s="7" t="n">
        <v>46069.2556497107</v>
      </c>
      <c r="H1402" s="8" t="n">
        <v>4</v>
      </c>
      <c r="I1402" s="5" t="n">
        <v>400567</v>
      </c>
      <c r="J1402" s="6" t="s">
        <v>1402</v>
      </c>
      <c r="K1402" s="5" t="n">
        <v>100011153</v>
      </c>
      <c r="L1402" s="9" t="n">
        <v>46014</v>
      </c>
      <c r="M1402" s="10" t="n">
        <v>47839</v>
      </c>
    </row>
    <row r="1403" customFormat="false" ht="30" hidden="false" customHeight="true" outlineLevel="0" collapsed="false">
      <c r="A1403" s="4" t="s">
        <v>1400</v>
      </c>
      <c r="B1403" s="4" t="s">
        <v>14</v>
      </c>
      <c r="C1403" s="5" t="n">
        <v>1329001676</v>
      </c>
      <c r="D1403" s="6" t="s">
        <v>1460</v>
      </c>
      <c r="E1403" s="6"/>
      <c r="F1403" s="7" t="n">
        <v>46068.3512338773</v>
      </c>
      <c r="G1403" s="7" t="n">
        <v>46069.2554596644</v>
      </c>
      <c r="H1403" s="8" t="n">
        <v>4</v>
      </c>
      <c r="I1403" s="5" t="n">
        <v>400567</v>
      </c>
      <c r="J1403" s="6" t="s">
        <v>1402</v>
      </c>
      <c r="K1403" s="5" t="n">
        <v>100011153</v>
      </c>
      <c r="L1403" s="9" t="n">
        <v>46014</v>
      </c>
      <c r="M1403" s="10" t="n">
        <v>47839</v>
      </c>
    </row>
    <row r="1404" customFormat="false" ht="30" hidden="false" customHeight="true" outlineLevel="0" collapsed="false">
      <c r="A1404" s="4" t="s">
        <v>1400</v>
      </c>
      <c r="B1404" s="4" t="s">
        <v>14</v>
      </c>
      <c r="C1404" s="5" t="n">
        <v>1329001676</v>
      </c>
      <c r="D1404" s="6" t="s">
        <v>1461</v>
      </c>
      <c r="E1404" s="6"/>
      <c r="F1404" s="7" t="n">
        <v>46068.3512338773</v>
      </c>
      <c r="G1404" s="7" t="n">
        <v>46069.2552732986</v>
      </c>
      <c r="H1404" s="8" t="n">
        <v>4</v>
      </c>
      <c r="I1404" s="5" t="n">
        <v>400567</v>
      </c>
      <c r="J1404" s="6" t="s">
        <v>1402</v>
      </c>
      <c r="K1404" s="5" t="n">
        <v>100011153</v>
      </c>
      <c r="L1404" s="9" t="n">
        <v>46014</v>
      </c>
      <c r="M1404" s="10" t="n">
        <v>47839</v>
      </c>
    </row>
    <row r="1405" customFormat="false" ht="30" hidden="false" customHeight="true" outlineLevel="0" collapsed="false">
      <c r="A1405" s="4" t="s">
        <v>1400</v>
      </c>
      <c r="B1405" s="4" t="s">
        <v>14</v>
      </c>
      <c r="C1405" s="5" t="n">
        <v>1329001679</v>
      </c>
      <c r="D1405" s="6" t="s">
        <v>1462</v>
      </c>
      <c r="E1405" s="6"/>
      <c r="F1405" s="7" t="n">
        <v>46068.3523301736</v>
      </c>
      <c r="G1405" s="7" t="n">
        <v>46069.2766997917</v>
      </c>
      <c r="H1405" s="8" t="n">
        <v>52</v>
      </c>
      <c r="I1405" s="5" t="n">
        <v>400399</v>
      </c>
      <c r="J1405" s="6" t="s">
        <v>221</v>
      </c>
      <c r="K1405" s="5" t="n">
        <v>100010886</v>
      </c>
      <c r="L1405" s="9" t="n">
        <v>45988</v>
      </c>
      <c r="M1405" s="10" t="n">
        <v>47813</v>
      </c>
    </row>
    <row r="1406" customFormat="false" ht="30" hidden="false" customHeight="true" outlineLevel="0" collapsed="false">
      <c r="A1406" s="4" t="s">
        <v>1400</v>
      </c>
      <c r="B1406" s="4" t="s">
        <v>14</v>
      </c>
      <c r="C1406" s="5" t="n">
        <v>1329001679</v>
      </c>
      <c r="D1406" s="6" t="s">
        <v>1463</v>
      </c>
      <c r="E1406" s="6"/>
      <c r="F1406" s="7" t="n">
        <v>46068.3523301736</v>
      </c>
      <c r="G1406" s="7" t="n">
        <v>46069.2773302431</v>
      </c>
      <c r="H1406" s="8" t="n">
        <v>4</v>
      </c>
      <c r="I1406" s="5" t="n">
        <v>400766</v>
      </c>
      <c r="J1406" s="6" t="s">
        <v>1464</v>
      </c>
      <c r="K1406" s="5" t="n">
        <v>100011167</v>
      </c>
      <c r="L1406" s="9" t="n">
        <v>46014</v>
      </c>
      <c r="M1406" s="10" t="n">
        <v>47839</v>
      </c>
    </row>
    <row r="1407" customFormat="false" ht="30" hidden="false" customHeight="true" outlineLevel="0" collapsed="false">
      <c r="A1407" s="4" t="s">
        <v>1400</v>
      </c>
      <c r="B1407" s="4" t="s">
        <v>14</v>
      </c>
      <c r="C1407" s="5" t="n">
        <v>1329001679</v>
      </c>
      <c r="D1407" s="6" t="s">
        <v>1465</v>
      </c>
      <c r="E1407" s="6"/>
      <c r="F1407" s="7" t="n">
        <v>46068.3523301736</v>
      </c>
      <c r="G1407" s="7" t="n">
        <v>46069.2769243403</v>
      </c>
      <c r="H1407" s="8" t="n">
        <v>52</v>
      </c>
      <c r="I1407" s="5" t="n">
        <v>400399</v>
      </c>
      <c r="J1407" s="6" t="s">
        <v>221</v>
      </c>
      <c r="K1407" s="5" t="n">
        <v>100010886</v>
      </c>
      <c r="L1407" s="9" t="n">
        <v>45988</v>
      </c>
      <c r="M1407" s="10" t="n">
        <v>47813</v>
      </c>
    </row>
    <row r="1408" customFormat="false" ht="30" hidden="false" customHeight="true" outlineLevel="0" collapsed="false">
      <c r="A1408" s="4" t="s">
        <v>1400</v>
      </c>
      <c r="B1408" s="4" t="s">
        <v>14</v>
      </c>
      <c r="C1408" s="5" t="n">
        <v>1329001679</v>
      </c>
      <c r="D1408" s="6" t="s">
        <v>1466</v>
      </c>
      <c r="E1408" s="6"/>
      <c r="F1408" s="7" t="n">
        <v>46068.3523301736</v>
      </c>
      <c r="G1408" s="7" t="n">
        <v>46069.2778023611</v>
      </c>
      <c r="H1408" s="8" t="n">
        <v>52</v>
      </c>
      <c r="I1408" s="5" t="n">
        <v>400396</v>
      </c>
      <c r="J1408" s="6" t="s">
        <v>170</v>
      </c>
      <c r="K1408" s="5" t="n">
        <v>100010092</v>
      </c>
      <c r="L1408" s="9" t="n">
        <v>45916</v>
      </c>
      <c r="M1408" s="10" t="n">
        <v>47741</v>
      </c>
    </row>
    <row r="1409" customFormat="false" ht="30" hidden="false" customHeight="true" outlineLevel="0" collapsed="false">
      <c r="A1409" s="4" t="s">
        <v>1400</v>
      </c>
      <c r="B1409" s="4" t="s">
        <v>14</v>
      </c>
      <c r="C1409" s="5" t="n">
        <v>1329001679</v>
      </c>
      <c r="D1409" s="6" t="s">
        <v>1467</v>
      </c>
      <c r="E1409" s="6"/>
      <c r="F1409" s="7" t="n">
        <v>46068.3523301736</v>
      </c>
      <c r="G1409" s="7" t="n">
        <v>46069.2771499653</v>
      </c>
      <c r="H1409" s="8" t="n">
        <v>4</v>
      </c>
      <c r="I1409" s="5" t="n">
        <v>400766</v>
      </c>
      <c r="J1409" s="6" t="s">
        <v>1464</v>
      </c>
      <c r="K1409" s="5" t="n">
        <v>100011167</v>
      </c>
      <c r="L1409" s="9" t="n">
        <v>46014</v>
      </c>
      <c r="M1409" s="10" t="n">
        <v>47839</v>
      </c>
    </row>
    <row r="1410" customFormat="false" ht="30" hidden="false" customHeight="true" outlineLevel="0" collapsed="false">
      <c r="A1410" s="4" t="s">
        <v>1400</v>
      </c>
      <c r="B1410" s="4" t="s">
        <v>14</v>
      </c>
      <c r="C1410" s="5" t="n">
        <v>1329001679</v>
      </c>
      <c r="D1410" s="6" t="s">
        <v>1468</v>
      </c>
      <c r="E1410" s="6"/>
      <c r="F1410" s="7" t="n">
        <v>46068.3523301736</v>
      </c>
      <c r="G1410" s="7" t="n">
        <v>46069.2780804398</v>
      </c>
      <c r="H1410" s="8" t="n">
        <v>4</v>
      </c>
      <c r="I1410" s="5" t="n">
        <v>401047</v>
      </c>
      <c r="J1410" s="6" t="s">
        <v>594</v>
      </c>
      <c r="K1410" s="5" t="n">
        <v>153000027</v>
      </c>
      <c r="L1410" s="9" t="n">
        <v>46037</v>
      </c>
      <c r="M1410" s="10" t="n">
        <v>47862</v>
      </c>
    </row>
    <row r="1411" customFormat="false" ht="30" hidden="false" customHeight="true" outlineLevel="0" collapsed="false">
      <c r="A1411" s="4" t="s">
        <v>1400</v>
      </c>
      <c r="B1411" s="4" t="s">
        <v>14</v>
      </c>
      <c r="C1411" s="5" t="n">
        <v>1329001679</v>
      </c>
      <c r="D1411" s="6" t="s">
        <v>1469</v>
      </c>
      <c r="E1411" s="6"/>
      <c r="F1411" s="7" t="n">
        <v>46068.3523301736</v>
      </c>
      <c r="G1411" s="7" t="n">
        <v>46069.2754611806</v>
      </c>
      <c r="H1411" s="8" t="n">
        <v>4</v>
      </c>
      <c r="I1411" s="5" t="n">
        <v>401047</v>
      </c>
      <c r="J1411" s="6" t="s">
        <v>594</v>
      </c>
      <c r="K1411" s="5" t="n">
        <v>153000027</v>
      </c>
      <c r="L1411" s="9" t="n">
        <v>46037</v>
      </c>
      <c r="M1411" s="10" t="n">
        <v>47862</v>
      </c>
    </row>
    <row r="1412" customFormat="false" ht="30" hidden="false" customHeight="true" outlineLevel="0" collapsed="false">
      <c r="A1412" s="4" t="s">
        <v>1400</v>
      </c>
      <c r="B1412" s="4" t="s">
        <v>14</v>
      </c>
      <c r="C1412" s="5" t="n">
        <v>1329001679</v>
      </c>
      <c r="D1412" s="6" t="s">
        <v>1470</v>
      </c>
      <c r="E1412" s="6"/>
      <c r="F1412" s="7" t="n">
        <v>46068.3523301736</v>
      </c>
      <c r="G1412" s="7" t="n">
        <v>46069.2752488194</v>
      </c>
      <c r="H1412" s="8" t="n">
        <v>4</v>
      </c>
      <c r="I1412" s="5" t="n">
        <v>401047</v>
      </c>
      <c r="J1412" s="6" t="s">
        <v>594</v>
      </c>
      <c r="K1412" s="5" t="n">
        <v>153000027</v>
      </c>
      <c r="L1412" s="9" t="n">
        <v>46037</v>
      </c>
      <c r="M1412" s="10" t="n">
        <v>47862</v>
      </c>
    </row>
    <row r="1413" customFormat="false" ht="30" hidden="false" customHeight="true" outlineLevel="0" collapsed="false">
      <c r="A1413" s="4" t="s">
        <v>1400</v>
      </c>
      <c r="B1413" s="4" t="s">
        <v>14</v>
      </c>
      <c r="C1413" s="5" t="n">
        <v>1329001679</v>
      </c>
      <c r="D1413" s="6" t="s">
        <v>1471</v>
      </c>
      <c r="E1413" s="6"/>
      <c r="F1413" s="7" t="n">
        <v>46068.3523301736</v>
      </c>
      <c r="G1413" s="7" t="n">
        <v>46069.2750196065</v>
      </c>
      <c r="H1413" s="8" t="n">
        <v>4</v>
      </c>
      <c r="I1413" s="5" t="n">
        <v>401047</v>
      </c>
      <c r="J1413" s="6" t="s">
        <v>594</v>
      </c>
      <c r="K1413" s="5" t="n">
        <v>153000027</v>
      </c>
      <c r="L1413" s="9" t="n">
        <v>46037</v>
      </c>
      <c r="M1413" s="10" t="n">
        <v>47862</v>
      </c>
    </row>
    <row r="1414" customFormat="false" ht="30" hidden="false" customHeight="true" outlineLevel="0" collapsed="false">
      <c r="A1414" s="4" t="s">
        <v>1400</v>
      </c>
      <c r="B1414" s="4" t="s">
        <v>14</v>
      </c>
      <c r="C1414" s="5" t="n">
        <v>1329001679</v>
      </c>
      <c r="D1414" s="6" t="s">
        <v>1472</v>
      </c>
      <c r="E1414" s="6"/>
      <c r="F1414" s="7" t="n">
        <v>46068.3523301736</v>
      </c>
      <c r="G1414" s="7" t="n">
        <v>46069.2757278704</v>
      </c>
      <c r="H1414" s="8" t="n">
        <v>4</v>
      </c>
      <c r="I1414" s="5" t="n">
        <v>400766</v>
      </c>
      <c r="J1414" s="6" t="s">
        <v>1464</v>
      </c>
      <c r="K1414" s="5" t="n">
        <v>100011167</v>
      </c>
      <c r="L1414" s="9" t="n">
        <v>46014</v>
      </c>
      <c r="M1414" s="10" t="n">
        <v>47839</v>
      </c>
    </row>
    <row r="1415" customFormat="false" ht="30" hidden="false" customHeight="true" outlineLevel="0" collapsed="false">
      <c r="A1415" s="4" t="s">
        <v>1400</v>
      </c>
      <c r="B1415" s="4" t="s">
        <v>14</v>
      </c>
      <c r="C1415" s="5" t="n">
        <v>1329001679</v>
      </c>
      <c r="D1415" s="6" t="s">
        <v>1473</v>
      </c>
      <c r="E1415" s="6"/>
      <c r="F1415" s="7" t="n">
        <v>46068.3523301736</v>
      </c>
      <c r="G1415" s="7" t="n">
        <v>46069.2745560764</v>
      </c>
      <c r="H1415" s="8" t="n">
        <v>4</v>
      </c>
      <c r="I1415" s="5" t="n">
        <v>400766</v>
      </c>
      <c r="J1415" s="6" t="s">
        <v>1464</v>
      </c>
      <c r="K1415" s="5" t="n">
        <v>100011167</v>
      </c>
      <c r="L1415" s="9" t="n">
        <v>46014</v>
      </c>
      <c r="M1415" s="10" t="n">
        <v>47839</v>
      </c>
    </row>
    <row r="1416" customFormat="false" ht="30" hidden="false" customHeight="true" outlineLevel="0" collapsed="false">
      <c r="A1416" s="4" t="s">
        <v>1400</v>
      </c>
      <c r="B1416" s="4" t="s">
        <v>14</v>
      </c>
      <c r="C1416" s="5" t="n">
        <v>1329001679</v>
      </c>
      <c r="D1416" s="6" t="s">
        <v>1474</v>
      </c>
      <c r="E1416" s="6"/>
      <c r="F1416" s="7" t="n">
        <v>46068.3523301736</v>
      </c>
      <c r="G1416" s="7" t="n">
        <v>46069.2748120255</v>
      </c>
      <c r="H1416" s="8" t="n">
        <v>4</v>
      </c>
      <c r="I1416" s="5" t="n">
        <v>401047</v>
      </c>
      <c r="J1416" s="6" t="s">
        <v>594</v>
      </c>
      <c r="K1416" s="5" t="n">
        <v>153000027</v>
      </c>
      <c r="L1416" s="9" t="n">
        <v>46037</v>
      </c>
      <c r="M1416" s="10" t="n">
        <v>47862</v>
      </c>
    </row>
    <row r="1417" customFormat="false" ht="30" hidden="false" customHeight="true" outlineLevel="0" collapsed="false">
      <c r="A1417" s="4" t="s">
        <v>1400</v>
      </c>
      <c r="B1417" s="4" t="s">
        <v>14</v>
      </c>
      <c r="C1417" s="5" t="n">
        <v>1329001679</v>
      </c>
      <c r="D1417" s="6" t="s">
        <v>1475</v>
      </c>
      <c r="E1417" s="6"/>
      <c r="F1417" s="7" t="n">
        <v>46068.3523301736</v>
      </c>
      <c r="G1417" s="7" t="n">
        <v>46069.273905706</v>
      </c>
      <c r="H1417" s="8" t="n">
        <v>4</v>
      </c>
      <c r="I1417" s="5" t="n">
        <v>401047</v>
      </c>
      <c r="J1417" s="6" t="s">
        <v>594</v>
      </c>
      <c r="K1417" s="5" t="n">
        <v>153000027</v>
      </c>
      <c r="L1417" s="9" t="n">
        <v>46037</v>
      </c>
      <c r="M1417" s="10" t="n">
        <v>47862</v>
      </c>
    </row>
    <row r="1418" customFormat="false" ht="30" hidden="false" customHeight="true" outlineLevel="0" collapsed="false">
      <c r="A1418" s="4" t="s">
        <v>1400</v>
      </c>
      <c r="B1418" s="4" t="s">
        <v>14</v>
      </c>
      <c r="C1418" s="5" t="n">
        <v>1329001679</v>
      </c>
      <c r="D1418" s="6" t="s">
        <v>1476</v>
      </c>
      <c r="E1418" s="6"/>
      <c r="F1418" s="7" t="n">
        <v>46068.3523301736</v>
      </c>
      <c r="G1418" s="7" t="n">
        <v>46069.2736389468</v>
      </c>
      <c r="H1418" s="8" t="n">
        <v>4</v>
      </c>
      <c r="I1418" s="5" t="n">
        <v>401047</v>
      </c>
      <c r="J1418" s="6" t="s">
        <v>594</v>
      </c>
      <c r="K1418" s="5" t="n">
        <v>153000027</v>
      </c>
      <c r="L1418" s="9" t="n">
        <v>46037</v>
      </c>
      <c r="M1418" s="10" t="n">
        <v>47862</v>
      </c>
    </row>
    <row r="1419" customFormat="false" ht="30" hidden="false" customHeight="true" outlineLevel="0" collapsed="false">
      <c r="A1419" s="4" t="s">
        <v>1400</v>
      </c>
      <c r="B1419" s="4" t="s">
        <v>14</v>
      </c>
      <c r="C1419" s="5" t="n">
        <v>1329001679</v>
      </c>
      <c r="D1419" s="6" t="s">
        <v>1477</v>
      </c>
      <c r="E1419" s="6"/>
      <c r="F1419" s="7" t="n">
        <v>46068.3523301736</v>
      </c>
      <c r="G1419" s="7" t="n">
        <v>46069.2734478704</v>
      </c>
      <c r="H1419" s="8" t="n">
        <v>4</v>
      </c>
      <c r="I1419" s="5" t="n">
        <v>401047</v>
      </c>
      <c r="J1419" s="6" t="s">
        <v>594</v>
      </c>
      <c r="K1419" s="5" t="n">
        <v>153000027</v>
      </c>
      <c r="L1419" s="9" t="n">
        <v>46037</v>
      </c>
      <c r="M1419" s="10" t="n">
        <v>47862</v>
      </c>
    </row>
    <row r="1420" customFormat="false" ht="30" hidden="false" customHeight="true" outlineLevel="0" collapsed="false">
      <c r="A1420" s="4" t="s">
        <v>1400</v>
      </c>
      <c r="B1420" s="4" t="s">
        <v>14</v>
      </c>
      <c r="C1420" s="5" t="n">
        <v>1329001679</v>
      </c>
      <c r="D1420" s="6" t="s">
        <v>1478</v>
      </c>
      <c r="E1420" s="6"/>
      <c r="F1420" s="7" t="n">
        <v>46068.3523301736</v>
      </c>
      <c r="G1420" s="7" t="n">
        <v>46069.2732386227</v>
      </c>
      <c r="H1420" s="8" t="n">
        <v>4</v>
      </c>
      <c r="I1420" s="5" t="n">
        <v>401047</v>
      </c>
      <c r="J1420" s="6" t="s">
        <v>594</v>
      </c>
      <c r="K1420" s="5" t="n">
        <v>153000027</v>
      </c>
      <c r="L1420" s="9" t="n">
        <v>46037</v>
      </c>
      <c r="M1420" s="10" t="n">
        <v>47862</v>
      </c>
    </row>
    <row r="1421" customFormat="false" ht="30" hidden="false" customHeight="true" outlineLevel="0" collapsed="false">
      <c r="A1421" s="4" t="s">
        <v>1400</v>
      </c>
      <c r="B1421" s="4" t="s">
        <v>14</v>
      </c>
      <c r="C1421" s="5" t="n">
        <v>1329001679</v>
      </c>
      <c r="D1421" s="6" t="s">
        <v>1479</v>
      </c>
      <c r="E1421" s="6"/>
      <c r="F1421" s="7" t="n">
        <v>46068.3523301736</v>
      </c>
      <c r="G1421" s="7" t="n">
        <v>46069.2729985648</v>
      </c>
      <c r="H1421" s="8" t="n">
        <v>4</v>
      </c>
      <c r="I1421" s="5" t="n">
        <v>401047</v>
      </c>
      <c r="J1421" s="6" t="s">
        <v>594</v>
      </c>
      <c r="K1421" s="5" t="n">
        <v>153000027</v>
      </c>
      <c r="L1421" s="9" t="n">
        <v>46037</v>
      </c>
      <c r="M1421" s="10" t="n">
        <v>47862</v>
      </c>
    </row>
    <row r="1422" customFormat="false" ht="30" hidden="false" customHeight="true" outlineLevel="0" collapsed="false">
      <c r="A1422" s="4" t="s">
        <v>1400</v>
      </c>
      <c r="B1422" s="4" t="s">
        <v>14</v>
      </c>
      <c r="C1422" s="5" t="n">
        <v>1329001679</v>
      </c>
      <c r="D1422" s="6" t="s">
        <v>1480</v>
      </c>
      <c r="E1422" s="6"/>
      <c r="F1422" s="7" t="n">
        <v>46068.3523301736</v>
      </c>
      <c r="G1422" s="7" t="n">
        <v>46069.2727649074</v>
      </c>
      <c r="H1422" s="8" t="n">
        <v>4</v>
      </c>
      <c r="I1422" s="5" t="n">
        <v>401047</v>
      </c>
      <c r="J1422" s="6" t="s">
        <v>594</v>
      </c>
      <c r="K1422" s="5" t="n">
        <v>153000027</v>
      </c>
      <c r="L1422" s="9" t="n">
        <v>46037</v>
      </c>
      <c r="M1422" s="10" t="n">
        <v>47862</v>
      </c>
    </row>
    <row r="1423" customFormat="false" ht="30" hidden="false" customHeight="true" outlineLevel="0" collapsed="false">
      <c r="A1423" s="4" t="s">
        <v>1400</v>
      </c>
      <c r="B1423" s="4" t="s">
        <v>14</v>
      </c>
      <c r="C1423" s="5" t="n">
        <v>1329001679</v>
      </c>
      <c r="D1423" s="6" t="s">
        <v>1481</v>
      </c>
      <c r="E1423" s="6"/>
      <c r="F1423" s="7" t="n">
        <v>46068.3523301736</v>
      </c>
      <c r="G1423" s="7" t="n">
        <v>46069.2723608681</v>
      </c>
      <c r="H1423" s="8" t="n">
        <v>4</v>
      </c>
      <c r="I1423" s="5" t="n">
        <v>401047</v>
      </c>
      <c r="J1423" s="6" t="s">
        <v>594</v>
      </c>
      <c r="K1423" s="5" t="n">
        <v>153000027</v>
      </c>
      <c r="L1423" s="9" t="n">
        <v>46037</v>
      </c>
      <c r="M1423" s="10" t="n">
        <v>47862</v>
      </c>
    </row>
    <row r="1424" customFormat="false" ht="30" hidden="false" customHeight="true" outlineLevel="0" collapsed="false">
      <c r="A1424" s="4" t="s">
        <v>1400</v>
      </c>
      <c r="B1424" s="4" t="s">
        <v>14</v>
      </c>
      <c r="C1424" s="5" t="n">
        <v>1329001679</v>
      </c>
      <c r="D1424" s="6" t="s">
        <v>1482</v>
      </c>
      <c r="E1424" s="6"/>
      <c r="F1424" s="7" t="n">
        <v>46068.3523301736</v>
      </c>
      <c r="G1424" s="7" t="n">
        <v>46069.2720670255</v>
      </c>
      <c r="H1424" s="8" t="n">
        <v>4</v>
      </c>
      <c r="I1424" s="5" t="n">
        <v>401047</v>
      </c>
      <c r="J1424" s="6" t="s">
        <v>594</v>
      </c>
      <c r="K1424" s="5" t="n">
        <v>153000027</v>
      </c>
      <c r="L1424" s="9" t="n">
        <v>46037</v>
      </c>
      <c r="M1424" s="10" t="n">
        <v>47862</v>
      </c>
    </row>
    <row r="1425" customFormat="false" ht="30" hidden="false" customHeight="true" outlineLevel="0" collapsed="false">
      <c r="A1425" s="4" t="s">
        <v>1400</v>
      </c>
      <c r="B1425" s="4" t="s">
        <v>14</v>
      </c>
      <c r="C1425" s="5" t="n">
        <v>1329001679</v>
      </c>
      <c r="D1425" s="6" t="s">
        <v>1483</v>
      </c>
      <c r="E1425" s="6"/>
      <c r="F1425" s="7" t="n">
        <v>46068.3523301736</v>
      </c>
      <c r="G1425" s="7" t="n">
        <v>46069.2717391435</v>
      </c>
      <c r="H1425" s="8" t="n">
        <v>4</v>
      </c>
      <c r="I1425" s="5" t="n">
        <v>401047</v>
      </c>
      <c r="J1425" s="6" t="s">
        <v>594</v>
      </c>
      <c r="K1425" s="5" t="n">
        <v>153000027</v>
      </c>
      <c r="L1425" s="9" t="n">
        <v>46037</v>
      </c>
      <c r="M1425" s="10" t="n">
        <v>47862</v>
      </c>
    </row>
    <row r="1426" customFormat="false" ht="30" hidden="false" customHeight="true" outlineLevel="0" collapsed="false">
      <c r="A1426" s="4" t="s">
        <v>1400</v>
      </c>
      <c r="B1426" s="4" t="s">
        <v>14</v>
      </c>
      <c r="C1426" s="5" t="n">
        <v>1329001679</v>
      </c>
      <c r="D1426" s="6" t="s">
        <v>1484</v>
      </c>
      <c r="E1426" s="6"/>
      <c r="F1426" s="7" t="n">
        <v>46068.3523301736</v>
      </c>
      <c r="G1426" s="7" t="n">
        <v>46069.2712464583</v>
      </c>
      <c r="H1426" s="8" t="n">
        <v>4</v>
      </c>
      <c r="I1426" s="5" t="n">
        <v>401047</v>
      </c>
      <c r="J1426" s="6" t="s">
        <v>594</v>
      </c>
      <c r="K1426" s="5" t="n">
        <v>153000027</v>
      </c>
      <c r="L1426" s="9" t="n">
        <v>46037</v>
      </c>
      <c r="M1426" s="10" t="n">
        <v>47862</v>
      </c>
    </row>
    <row r="1427" customFormat="false" ht="30" hidden="false" customHeight="true" outlineLevel="0" collapsed="false">
      <c r="A1427" s="4" t="s">
        <v>1400</v>
      </c>
      <c r="B1427" s="4" t="s">
        <v>14</v>
      </c>
      <c r="C1427" s="5" t="n">
        <v>1329001679</v>
      </c>
      <c r="D1427" s="6" t="s">
        <v>1485</v>
      </c>
      <c r="E1427" s="6"/>
      <c r="F1427" s="7" t="n">
        <v>46068.3523301736</v>
      </c>
      <c r="G1427" s="7" t="n">
        <v>46069.274281331</v>
      </c>
      <c r="H1427" s="8" t="n">
        <v>4</v>
      </c>
      <c r="I1427" s="5" t="n">
        <v>400766</v>
      </c>
      <c r="J1427" s="6" t="s">
        <v>1464</v>
      </c>
      <c r="K1427" s="5" t="n">
        <v>100011167</v>
      </c>
      <c r="L1427" s="9" t="n">
        <v>46014</v>
      </c>
      <c r="M1427" s="10" t="n">
        <v>47839</v>
      </c>
    </row>
    <row r="1428" customFormat="false" ht="30" hidden="false" customHeight="true" outlineLevel="0" collapsed="false">
      <c r="A1428" s="4" t="s">
        <v>1400</v>
      </c>
      <c r="B1428" s="4" t="s">
        <v>14</v>
      </c>
      <c r="C1428" s="5" t="n">
        <v>1329001679</v>
      </c>
      <c r="D1428" s="6" t="s">
        <v>1486</v>
      </c>
      <c r="E1428" s="6"/>
      <c r="F1428" s="7" t="n">
        <v>46068.3523301736</v>
      </c>
      <c r="G1428" s="7" t="n">
        <v>46069.2762960995</v>
      </c>
      <c r="H1428" s="8" t="n">
        <v>52</v>
      </c>
      <c r="I1428" s="5" t="n">
        <v>400396</v>
      </c>
      <c r="J1428" s="6" t="s">
        <v>170</v>
      </c>
      <c r="K1428" s="5" t="n">
        <v>100009256</v>
      </c>
      <c r="L1428" s="9" t="n">
        <v>45841</v>
      </c>
      <c r="M1428" s="10" t="n">
        <v>47666</v>
      </c>
    </row>
    <row r="1429" customFormat="false" ht="30" hidden="false" customHeight="true" outlineLevel="0" collapsed="false">
      <c r="A1429" s="4" t="s">
        <v>1400</v>
      </c>
      <c r="B1429" s="4" t="s">
        <v>14</v>
      </c>
      <c r="C1429" s="5" t="n">
        <v>1329001685</v>
      </c>
      <c r="D1429" s="6" t="s">
        <v>1487</v>
      </c>
      <c r="E1429" s="6"/>
      <c r="F1429" s="7" t="n">
        <v>46068.3540158565</v>
      </c>
      <c r="G1429" s="7" t="n">
        <v>46069.2870826389</v>
      </c>
      <c r="H1429" s="8" t="n">
        <v>24</v>
      </c>
      <c r="I1429" s="5" t="n">
        <v>400413</v>
      </c>
      <c r="J1429" s="6" t="s">
        <v>168</v>
      </c>
      <c r="K1429" s="5" t="n">
        <v>100011150</v>
      </c>
      <c r="L1429" s="9" t="n">
        <v>46013</v>
      </c>
      <c r="M1429" s="10" t="n">
        <v>47838</v>
      </c>
    </row>
    <row r="1430" customFormat="false" ht="30" hidden="false" customHeight="true" outlineLevel="0" collapsed="false">
      <c r="A1430" s="4" t="s">
        <v>1400</v>
      </c>
      <c r="B1430" s="4" t="s">
        <v>14</v>
      </c>
      <c r="C1430" s="5" t="n">
        <v>1329001685</v>
      </c>
      <c r="D1430" s="6" t="s">
        <v>1488</v>
      </c>
      <c r="E1430" s="6"/>
      <c r="F1430" s="7" t="n">
        <v>46068.3540158565</v>
      </c>
      <c r="G1430" s="7" t="n">
        <v>46069.2950085069</v>
      </c>
      <c r="H1430" s="8" t="n">
        <v>24</v>
      </c>
      <c r="I1430" s="5" t="n">
        <v>400413</v>
      </c>
      <c r="J1430" s="6" t="s">
        <v>168</v>
      </c>
      <c r="K1430" s="5" t="n">
        <v>100010539</v>
      </c>
      <c r="L1430" s="9" t="n">
        <v>45958</v>
      </c>
      <c r="M1430" s="10" t="n">
        <v>47783</v>
      </c>
    </row>
    <row r="1431" customFormat="false" ht="30" hidden="false" customHeight="true" outlineLevel="0" collapsed="false">
      <c r="A1431" s="4" t="s">
        <v>1400</v>
      </c>
      <c r="B1431" s="4" t="s">
        <v>14</v>
      </c>
      <c r="C1431" s="5" t="n">
        <v>1329001685</v>
      </c>
      <c r="D1431" s="6" t="s">
        <v>1489</v>
      </c>
      <c r="E1431" s="6"/>
      <c r="F1431" s="7" t="n">
        <v>46068.3540158565</v>
      </c>
      <c r="G1431" s="7" t="n">
        <v>46069.2947192361</v>
      </c>
      <c r="H1431" s="8" t="n">
        <v>24</v>
      </c>
      <c r="I1431" s="5" t="n">
        <v>400413</v>
      </c>
      <c r="J1431" s="6" t="s">
        <v>168</v>
      </c>
      <c r="K1431" s="5" t="n">
        <v>100010539</v>
      </c>
      <c r="L1431" s="9" t="n">
        <v>45958</v>
      </c>
      <c r="M1431" s="10" t="n">
        <v>47783</v>
      </c>
    </row>
    <row r="1432" customFormat="false" ht="30" hidden="false" customHeight="true" outlineLevel="0" collapsed="false">
      <c r="A1432" s="4" t="s">
        <v>1400</v>
      </c>
      <c r="B1432" s="4" t="s">
        <v>14</v>
      </c>
      <c r="C1432" s="5" t="n">
        <v>1329001685</v>
      </c>
      <c r="D1432" s="6" t="s">
        <v>1490</v>
      </c>
      <c r="E1432" s="6"/>
      <c r="F1432" s="7" t="n">
        <v>46068.3540158565</v>
      </c>
      <c r="G1432" s="7" t="n">
        <v>46069.2944136111</v>
      </c>
      <c r="H1432" s="8" t="n">
        <v>24</v>
      </c>
      <c r="I1432" s="5" t="n">
        <v>400413</v>
      </c>
      <c r="J1432" s="6" t="s">
        <v>168</v>
      </c>
      <c r="K1432" s="5" t="n">
        <v>100010539</v>
      </c>
      <c r="L1432" s="9" t="n">
        <v>45958</v>
      </c>
      <c r="M1432" s="10" t="n">
        <v>47783</v>
      </c>
    </row>
    <row r="1433" customFormat="false" ht="30" hidden="false" customHeight="true" outlineLevel="0" collapsed="false">
      <c r="A1433" s="4" t="s">
        <v>1400</v>
      </c>
      <c r="B1433" s="4" t="s">
        <v>14</v>
      </c>
      <c r="C1433" s="5" t="n">
        <v>1329001685</v>
      </c>
      <c r="D1433" s="6" t="s">
        <v>1491</v>
      </c>
      <c r="E1433" s="6"/>
      <c r="F1433" s="7" t="n">
        <v>46068.3540158565</v>
      </c>
      <c r="G1433" s="7" t="n">
        <v>46069.2941250116</v>
      </c>
      <c r="H1433" s="8" t="n">
        <v>24</v>
      </c>
      <c r="I1433" s="5" t="n">
        <v>400413</v>
      </c>
      <c r="J1433" s="6" t="s">
        <v>168</v>
      </c>
      <c r="K1433" s="5" t="n">
        <v>100010539</v>
      </c>
      <c r="L1433" s="9" t="n">
        <v>45958</v>
      </c>
      <c r="M1433" s="10" t="n">
        <v>47783</v>
      </c>
    </row>
    <row r="1434" customFormat="false" ht="30" hidden="false" customHeight="true" outlineLevel="0" collapsed="false">
      <c r="A1434" s="4" t="s">
        <v>1400</v>
      </c>
      <c r="B1434" s="4" t="s">
        <v>14</v>
      </c>
      <c r="C1434" s="5" t="n">
        <v>1329001685</v>
      </c>
      <c r="D1434" s="6" t="s">
        <v>1492</v>
      </c>
      <c r="E1434" s="6"/>
      <c r="F1434" s="7" t="n">
        <v>46068.3540158565</v>
      </c>
      <c r="G1434" s="7" t="n">
        <v>46069.2934933218</v>
      </c>
      <c r="H1434" s="8" t="n">
        <v>24</v>
      </c>
      <c r="I1434" s="5" t="n">
        <v>400413</v>
      </c>
      <c r="J1434" s="6" t="s">
        <v>168</v>
      </c>
      <c r="K1434" s="5" t="n">
        <v>100010539</v>
      </c>
      <c r="L1434" s="9" t="n">
        <v>45958</v>
      </c>
      <c r="M1434" s="10" t="n">
        <v>47783</v>
      </c>
    </row>
    <row r="1435" customFormat="false" ht="30" hidden="false" customHeight="true" outlineLevel="0" collapsed="false">
      <c r="A1435" s="4" t="s">
        <v>1400</v>
      </c>
      <c r="B1435" s="4" t="s">
        <v>14</v>
      </c>
      <c r="C1435" s="5" t="n">
        <v>1329001685</v>
      </c>
      <c r="D1435" s="6" t="s">
        <v>1493</v>
      </c>
      <c r="E1435" s="6"/>
      <c r="F1435" s="7" t="n">
        <v>46068.3540158565</v>
      </c>
      <c r="G1435" s="7" t="n">
        <v>46069.2931264352</v>
      </c>
      <c r="H1435" s="8" t="n">
        <v>24</v>
      </c>
      <c r="I1435" s="5" t="n">
        <v>400413</v>
      </c>
      <c r="J1435" s="6" t="s">
        <v>168</v>
      </c>
      <c r="K1435" s="5" t="n">
        <v>100010992</v>
      </c>
      <c r="L1435" s="9" t="n">
        <v>45998</v>
      </c>
      <c r="M1435" s="10" t="n">
        <v>47823</v>
      </c>
    </row>
    <row r="1436" customFormat="false" ht="30" hidden="false" customHeight="true" outlineLevel="0" collapsed="false">
      <c r="A1436" s="4" t="s">
        <v>1400</v>
      </c>
      <c r="B1436" s="4" t="s">
        <v>14</v>
      </c>
      <c r="C1436" s="5" t="n">
        <v>1329001685</v>
      </c>
      <c r="D1436" s="6" t="s">
        <v>1494</v>
      </c>
      <c r="E1436" s="6"/>
      <c r="F1436" s="7" t="n">
        <v>46068.3540158565</v>
      </c>
      <c r="G1436" s="7" t="n">
        <v>46069.2925935995</v>
      </c>
      <c r="H1436" s="8" t="n">
        <v>24</v>
      </c>
      <c r="I1436" s="5" t="n">
        <v>400413</v>
      </c>
      <c r="J1436" s="6" t="s">
        <v>168</v>
      </c>
      <c r="K1436" s="5" t="n">
        <v>100010539</v>
      </c>
      <c r="L1436" s="9" t="n">
        <v>45958</v>
      </c>
      <c r="M1436" s="10" t="n">
        <v>47783</v>
      </c>
    </row>
    <row r="1437" customFormat="false" ht="30" hidden="false" customHeight="true" outlineLevel="0" collapsed="false">
      <c r="A1437" s="4" t="s">
        <v>1400</v>
      </c>
      <c r="B1437" s="4" t="s">
        <v>14</v>
      </c>
      <c r="C1437" s="5" t="n">
        <v>1329001685</v>
      </c>
      <c r="D1437" s="6" t="s">
        <v>1495</v>
      </c>
      <c r="E1437" s="6"/>
      <c r="F1437" s="7" t="n">
        <v>46068.3540158565</v>
      </c>
      <c r="G1437" s="7" t="n">
        <v>46069.2922274074</v>
      </c>
      <c r="H1437" s="8" t="n">
        <v>24</v>
      </c>
      <c r="I1437" s="5" t="n">
        <v>400413</v>
      </c>
      <c r="J1437" s="6" t="s">
        <v>168</v>
      </c>
      <c r="K1437" s="5" t="n">
        <v>100010539</v>
      </c>
      <c r="L1437" s="9" t="n">
        <v>45958</v>
      </c>
      <c r="M1437" s="10" t="n">
        <v>47783</v>
      </c>
    </row>
    <row r="1438" customFormat="false" ht="30" hidden="false" customHeight="true" outlineLevel="0" collapsed="false">
      <c r="A1438" s="4" t="s">
        <v>1400</v>
      </c>
      <c r="B1438" s="4" t="s">
        <v>14</v>
      </c>
      <c r="C1438" s="5" t="n">
        <v>1329001685</v>
      </c>
      <c r="D1438" s="6" t="s">
        <v>1496</v>
      </c>
      <c r="E1438" s="6"/>
      <c r="F1438" s="7" t="n">
        <v>46068.3540158565</v>
      </c>
      <c r="G1438" s="7" t="n">
        <v>46069.2918767708</v>
      </c>
      <c r="H1438" s="8" t="n">
        <v>24</v>
      </c>
      <c r="I1438" s="5" t="n">
        <v>400413</v>
      </c>
      <c r="J1438" s="6" t="s">
        <v>168</v>
      </c>
      <c r="K1438" s="5" t="n">
        <v>100011150</v>
      </c>
      <c r="L1438" s="9" t="n">
        <v>46013</v>
      </c>
      <c r="M1438" s="10" t="n">
        <v>47838</v>
      </c>
    </row>
    <row r="1439" customFormat="false" ht="30" hidden="false" customHeight="true" outlineLevel="0" collapsed="false">
      <c r="A1439" s="4" t="s">
        <v>1400</v>
      </c>
      <c r="B1439" s="4" t="s">
        <v>14</v>
      </c>
      <c r="C1439" s="5" t="n">
        <v>1329001685</v>
      </c>
      <c r="D1439" s="6" t="s">
        <v>1497</v>
      </c>
      <c r="E1439" s="6"/>
      <c r="F1439" s="7" t="n">
        <v>46068.3540158565</v>
      </c>
      <c r="G1439" s="7" t="n">
        <v>46069.2913737153</v>
      </c>
      <c r="H1439" s="8" t="n">
        <v>24</v>
      </c>
      <c r="I1439" s="5" t="n">
        <v>400413</v>
      </c>
      <c r="J1439" s="6" t="s">
        <v>168</v>
      </c>
      <c r="K1439" s="5" t="n">
        <v>100010539</v>
      </c>
      <c r="L1439" s="9" t="n">
        <v>45958</v>
      </c>
      <c r="M1439" s="10" t="n">
        <v>47783</v>
      </c>
    </row>
    <row r="1440" customFormat="false" ht="30" hidden="false" customHeight="true" outlineLevel="0" collapsed="false">
      <c r="A1440" s="4" t="s">
        <v>1400</v>
      </c>
      <c r="B1440" s="4" t="s">
        <v>14</v>
      </c>
      <c r="C1440" s="5" t="n">
        <v>1329001685</v>
      </c>
      <c r="D1440" s="6" t="s">
        <v>1498</v>
      </c>
      <c r="E1440" s="6"/>
      <c r="F1440" s="7" t="n">
        <v>46068.3540158565</v>
      </c>
      <c r="G1440" s="7" t="n">
        <v>46069.2904713542</v>
      </c>
      <c r="H1440" s="8" t="n">
        <v>24</v>
      </c>
      <c r="I1440" s="5" t="n">
        <v>400413</v>
      </c>
      <c r="J1440" s="6" t="s">
        <v>168</v>
      </c>
      <c r="K1440" s="5" t="n">
        <v>100011150</v>
      </c>
      <c r="L1440" s="9" t="n">
        <v>46013</v>
      </c>
      <c r="M1440" s="10" t="n">
        <v>47838</v>
      </c>
    </row>
    <row r="1441" customFormat="false" ht="30" hidden="false" customHeight="true" outlineLevel="0" collapsed="false">
      <c r="A1441" s="4" t="s">
        <v>1400</v>
      </c>
      <c r="B1441" s="4" t="s">
        <v>14</v>
      </c>
      <c r="C1441" s="5" t="n">
        <v>1329001685</v>
      </c>
      <c r="D1441" s="6" t="s">
        <v>1499</v>
      </c>
      <c r="E1441" s="6"/>
      <c r="F1441" s="7" t="n">
        <v>46068.3540158565</v>
      </c>
      <c r="G1441" s="7" t="n">
        <v>46069.2900447569</v>
      </c>
      <c r="H1441" s="8" t="n">
        <v>24</v>
      </c>
      <c r="I1441" s="5" t="n">
        <v>400413</v>
      </c>
      <c r="J1441" s="6" t="s">
        <v>168</v>
      </c>
      <c r="K1441" s="5" t="n">
        <v>100011150</v>
      </c>
      <c r="L1441" s="9" t="n">
        <v>46013</v>
      </c>
      <c r="M1441" s="10" t="n">
        <v>47838</v>
      </c>
    </row>
    <row r="1442" customFormat="false" ht="30" hidden="false" customHeight="true" outlineLevel="0" collapsed="false">
      <c r="A1442" s="4" t="s">
        <v>1400</v>
      </c>
      <c r="B1442" s="4" t="s">
        <v>14</v>
      </c>
      <c r="C1442" s="5" t="n">
        <v>1329001685</v>
      </c>
      <c r="D1442" s="6" t="s">
        <v>1500</v>
      </c>
      <c r="E1442" s="6"/>
      <c r="F1442" s="7" t="n">
        <v>46068.3540158565</v>
      </c>
      <c r="G1442" s="7" t="n">
        <v>46069.289771956</v>
      </c>
      <c r="H1442" s="8" t="n">
        <v>24</v>
      </c>
      <c r="I1442" s="5" t="n">
        <v>400413</v>
      </c>
      <c r="J1442" s="6" t="s">
        <v>168</v>
      </c>
      <c r="K1442" s="5" t="n">
        <v>100011150</v>
      </c>
      <c r="L1442" s="9" t="n">
        <v>46013</v>
      </c>
      <c r="M1442" s="10" t="n">
        <v>47838</v>
      </c>
    </row>
    <row r="1443" customFormat="false" ht="30" hidden="false" customHeight="true" outlineLevel="0" collapsed="false">
      <c r="A1443" s="4" t="s">
        <v>1400</v>
      </c>
      <c r="B1443" s="4" t="s">
        <v>14</v>
      </c>
      <c r="C1443" s="5" t="n">
        <v>1329001685</v>
      </c>
      <c r="D1443" s="6" t="s">
        <v>1501</v>
      </c>
      <c r="E1443" s="6"/>
      <c r="F1443" s="7" t="n">
        <v>46068.3540158565</v>
      </c>
      <c r="G1443" s="7" t="n">
        <v>46069.2893488657</v>
      </c>
      <c r="H1443" s="8" t="n">
        <v>24</v>
      </c>
      <c r="I1443" s="5" t="n">
        <v>400413</v>
      </c>
      <c r="J1443" s="6" t="s">
        <v>168</v>
      </c>
      <c r="K1443" s="5" t="n">
        <v>100011150</v>
      </c>
      <c r="L1443" s="9" t="n">
        <v>46013</v>
      </c>
      <c r="M1443" s="10" t="n">
        <v>47838</v>
      </c>
    </row>
    <row r="1444" customFormat="false" ht="30" hidden="false" customHeight="true" outlineLevel="0" collapsed="false">
      <c r="A1444" s="4" t="s">
        <v>1400</v>
      </c>
      <c r="B1444" s="4" t="s">
        <v>14</v>
      </c>
      <c r="C1444" s="5" t="n">
        <v>1329001685</v>
      </c>
      <c r="D1444" s="6" t="s">
        <v>1502</v>
      </c>
      <c r="E1444" s="6"/>
      <c r="F1444" s="7" t="n">
        <v>46068.3540158565</v>
      </c>
      <c r="G1444" s="7" t="n">
        <v>46069.2890069792</v>
      </c>
      <c r="H1444" s="8" t="n">
        <v>24</v>
      </c>
      <c r="I1444" s="5" t="n">
        <v>400413</v>
      </c>
      <c r="J1444" s="6" t="s">
        <v>168</v>
      </c>
      <c r="K1444" s="5" t="n">
        <v>100011150</v>
      </c>
      <c r="L1444" s="9" t="n">
        <v>46013</v>
      </c>
      <c r="M1444" s="10" t="n">
        <v>47838</v>
      </c>
    </row>
    <row r="1445" customFormat="false" ht="30" hidden="false" customHeight="true" outlineLevel="0" collapsed="false">
      <c r="A1445" s="4" t="s">
        <v>1400</v>
      </c>
      <c r="B1445" s="4" t="s">
        <v>14</v>
      </c>
      <c r="C1445" s="5" t="n">
        <v>1329001685</v>
      </c>
      <c r="D1445" s="6" t="s">
        <v>1503</v>
      </c>
      <c r="E1445" s="6"/>
      <c r="F1445" s="7" t="n">
        <v>46068.3540158565</v>
      </c>
      <c r="G1445" s="7" t="n">
        <v>46069.2885738773</v>
      </c>
      <c r="H1445" s="8" t="n">
        <v>24</v>
      </c>
      <c r="I1445" s="5" t="n">
        <v>400413</v>
      </c>
      <c r="J1445" s="6" t="s">
        <v>168</v>
      </c>
      <c r="K1445" s="5" t="n">
        <v>100011150</v>
      </c>
      <c r="L1445" s="9" t="n">
        <v>46013</v>
      </c>
      <c r="M1445" s="10" t="n">
        <v>47838</v>
      </c>
    </row>
    <row r="1446" customFormat="false" ht="30" hidden="false" customHeight="true" outlineLevel="0" collapsed="false">
      <c r="A1446" s="4" t="s">
        <v>1400</v>
      </c>
      <c r="B1446" s="4" t="s">
        <v>14</v>
      </c>
      <c r="C1446" s="5" t="n">
        <v>1329001685</v>
      </c>
      <c r="D1446" s="6" t="s">
        <v>1504</v>
      </c>
      <c r="E1446" s="6"/>
      <c r="F1446" s="7" t="n">
        <v>46068.3540158565</v>
      </c>
      <c r="G1446" s="7" t="n">
        <v>46069.2882500579</v>
      </c>
      <c r="H1446" s="8" t="n">
        <v>24</v>
      </c>
      <c r="I1446" s="5" t="n">
        <v>400413</v>
      </c>
      <c r="J1446" s="6" t="s">
        <v>168</v>
      </c>
      <c r="K1446" s="5" t="n">
        <v>100011150</v>
      </c>
      <c r="L1446" s="9" t="n">
        <v>46013</v>
      </c>
      <c r="M1446" s="10" t="n">
        <v>47838</v>
      </c>
    </row>
    <row r="1447" customFormat="false" ht="30" hidden="false" customHeight="true" outlineLevel="0" collapsed="false">
      <c r="A1447" s="4" t="s">
        <v>1400</v>
      </c>
      <c r="B1447" s="4" t="s">
        <v>14</v>
      </c>
      <c r="C1447" s="5" t="n">
        <v>1329001685</v>
      </c>
      <c r="D1447" s="6" t="s">
        <v>1505</v>
      </c>
      <c r="E1447" s="6"/>
      <c r="F1447" s="7" t="n">
        <v>46068.3540158565</v>
      </c>
      <c r="G1447" s="7" t="n">
        <v>46069.2878786343</v>
      </c>
      <c r="H1447" s="8" t="n">
        <v>24</v>
      </c>
      <c r="I1447" s="5" t="n">
        <v>400413</v>
      </c>
      <c r="J1447" s="6" t="s">
        <v>168</v>
      </c>
      <c r="K1447" s="5" t="n">
        <v>100011150</v>
      </c>
      <c r="L1447" s="9" t="n">
        <v>46013</v>
      </c>
      <c r="M1447" s="10" t="n">
        <v>47838</v>
      </c>
    </row>
    <row r="1448" customFormat="false" ht="30" hidden="false" customHeight="true" outlineLevel="0" collapsed="false">
      <c r="A1448" s="4" t="s">
        <v>1400</v>
      </c>
      <c r="B1448" s="4" t="s">
        <v>14</v>
      </c>
      <c r="C1448" s="5" t="n">
        <v>1329001685</v>
      </c>
      <c r="D1448" s="6" t="s">
        <v>1506</v>
      </c>
      <c r="E1448" s="6"/>
      <c r="F1448" s="7" t="n">
        <v>46068.3540158565</v>
      </c>
      <c r="G1448" s="7" t="n">
        <v>46069.2875023032</v>
      </c>
      <c r="H1448" s="8" t="n">
        <v>24</v>
      </c>
      <c r="I1448" s="5" t="n">
        <v>400413</v>
      </c>
      <c r="J1448" s="6" t="s">
        <v>168</v>
      </c>
      <c r="K1448" s="5" t="n">
        <v>100011150</v>
      </c>
      <c r="L1448" s="9" t="n">
        <v>46013</v>
      </c>
      <c r="M1448" s="10" t="n">
        <v>47838</v>
      </c>
    </row>
    <row r="1449" customFormat="false" ht="30" hidden="false" customHeight="true" outlineLevel="0" collapsed="false">
      <c r="A1449" s="4" t="s">
        <v>1400</v>
      </c>
      <c r="B1449" s="4" t="s">
        <v>14</v>
      </c>
      <c r="C1449" s="5" t="n">
        <v>1329001691</v>
      </c>
      <c r="D1449" s="6" t="s">
        <v>1507</v>
      </c>
      <c r="E1449" s="6"/>
      <c r="F1449" s="7" t="n">
        <v>46068.3555050231</v>
      </c>
      <c r="G1449" s="7" t="n">
        <v>46069.3171140162</v>
      </c>
      <c r="H1449" s="8" t="n">
        <v>4</v>
      </c>
      <c r="I1449" s="5" t="n">
        <v>400630</v>
      </c>
      <c r="J1449" s="6" t="s">
        <v>772</v>
      </c>
      <c r="K1449" s="5" t="n">
        <v>153000083</v>
      </c>
      <c r="L1449" s="9" t="n">
        <v>46060</v>
      </c>
      <c r="M1449" s="10" t="n">
        <v>47885</v>
      </c>
    </row>
    <row r="1450" customFormat="false" ht="30" hidden="false" customHeight="true" outlineLevel="0" collapsed="false">
      <c r="A1450" s="4" t="s">
        <v>1400</v>
      </c>
      <c r="B1450" s="4" t="s">
        <v>14</v>
      </c>
      <c r="C1450" s="5" t="n">
        <v>1329001691</v>
      </c>
      <c r="D1450" s="6" t="s">
        <v>1508</v>
      </c>
      <c r="E1450" s="6"/>
      <c r="F1450" s="7" t="n">
        <v>46068.3555050231</v>
      </c>
      <c r="G1450" s="7" t="n">
        <v>46069.3166923843</v>
      </c>
      <c r="H1450" s="8" t="n">
        <v>4</v>
      </c>
      <c r="I1450" s="5" t="n">
        <v>400630</v>
      </c>
      <c r="J1450" s="6" t="s">
        <v>772</v>
      </c>
      <c r="K1450" s="5" t="n">
        <v>153000083</v>
      </c>
      <c r="L1450" s="9" t="n">
        <v>46060</v>
      </c>
      <c r="M1450" s="10" t="n">
        <v>47885</v>
      </c>
    </row>
    <row r="1451" customFormat="false" ht="30" hidden="false" customHeight="true" outlineLevel="0" collapsed="false">
      <c r="A1451" s="4" t="s">
        <v>1400</v>
      </c>
      <c r="B1451" s="4" t="s">
        <v>14</v>
      </c>
      <c r="C1451" s="5" t="n">
        <v>1329001691</v>
      </c>
      <c r="D1451" s="6" t="s">
        <v>1509</v>
      </c>
      <c r="E1451" s="6"/>
      <c r="F1451" s="7" t="n">
        <v>46068.3555050231</v>
      </c>
      <c r="G1451" s="7" t="n">
        <v>46070.2870249653</v>
      </c>
      <c r="H1451" s="8" t="n">
        <v>4</v>
      </c>
      <c r="I1451" s="5" t="n">
        <v>400630</v>
      </c>
      <c r="J1451" s="6" t="s">
        <v>772</v>
      </c>
      <c r="K1451" s="5" t="n">
        <v>153000083</v>
      </c>
      <c r="L1451" s="9" t="n">
        <v>46060</v>
      </c>
      <c r="M1451" s="10" t="n">
        <v>47885</v>
      </c>
    </row>
    <row r="1452" customFormat="false" ht="30" hidden="false" customHeight="true" outlineLevel="0" collapsed="false">
      <c r="A1452" s="4" t="s">
        <v>1400</v>
      </c>
      <c r="B1452" s="4" t="s">
        <v>14</v>
      </c>
      <c r="C1452" s="5" t="n">
        <v>1329001691</v>
      </c>
      <c r="D1452" s="6" t="s">
        <v>1510</v>
      </c>
      <c r="E1452" s="6"/>
      <c r="F1452" s="7" t="n">
        <v>46068.3555050231</v>
      </c>
      <c r="G1452" s="7" t="n">
        <v>46069.3254053819</v>
      </c>
      <c r="H1452" s="8" t="n">
        <v>4</v>
      </c>
      <c r="I1452" s="5" t="n">
        <v>400630</v>
      </c>
      <c r="J1452" s="6" t="s">
        <v>772</v>
      </c>
      <c r="K1452" s="5" t="n">
        <v>153000083</v>
      </c>
      <c r="L1452" s="9" t="n">
        <v>46060</v>
      </c>
      <c r="M1452" s="10" t="n">
        <v>47885</v>
      </c>
    </row>
    <row r="1453" customFormat="false" ht="30" hidden="false" customHeight="true" outlineLevel="0" collapsed="false">
      <c r="A1453" s="4" t="s">
        <v>1400</v>
      </c>
      <c r="B1453" s="4" t="s">
        <v>14</v>
      </c>
      <c r="C1453" s="5" t="n">
        <v>1329001691</v>
      </c>
      <c r="D1453" s="6" t="s">
        <v>1511</v>
      </c>
      <c r="E1453" s="6"/>
      <c r="F1453" s="7" t="n">
        <v>46068.3555050231</v>
      </c>
      <c r="G1453" s="7" t="n">
        <v>46069.3251997917</v>
      </c>
      <c r="H1453" s="8" t="n">
        <v>4</v>
      </c>
      <c r="I1453" s="5" t="n">
        <v>400630</v>
      </c>
      <c r="J1453" s="6" t="s">
        <v>772</v>
      </c>
      <c r="K1453" s="5" t="n">
        <v>153000083</v>
      </c>
      <c r="L1453" s="9" t="n">
        <v>46060</v>
      </c>
      <c r="M1453" s="10" t="n">
        <v>47885</v>
      </c>
    </row>
    <row r="1454" customFormat="false" ht="30" hidden="false" customHeight="true" outlineLevel="0" collapsed="false">
      <c r="A1454" s="4" t="s">
        <v>1400</v>
      </c>
      <c r="B1454" s="4" t="s">
        <v>14</v>
      </c>
      <c r="C1454" s="5" t="n">
        <v>1329001691</v>
      </c>
      <c r="D1454" s="6" t="s">
        <v>1512</v>
      </c>
      <c r="E1454" s="6"/>
      <c r="F1454" s="7" t="n">
        <v>46068.3555050231</v>
      </c>
      <c r="G1454" s="7" t="n">
        <v>46069.3250223727</v>
      </c>
      <c r="H1454" s="8" t="n">
        <v>4</v>
      </c>
      <c r="I1454" s="5" t="n">
        <v>400630</v>
      </c>
      <c r="J1454" s="6" t="s">
        <v>772</v>
      </c>
      <c r="K1454" s="5" t="n">
        <v>153000083</v>
      </c>
      <c r="L1454" s="9" t="n">
        <v>46060</v>
      </c>
      <c r="M1454" s="10" t="n">
        <v>47885</v>
      </c>
    </row>
    <row r="1455" customFormat="false" ht="30" hidden="false" customHeight="true" outlineLevel="0" collapsed="false">
      <c r="A1455" s="4" t="s">
        <v>1400</v>
      </c>
      <c r="B1455" s="4" t="s">
        <v>14</v>
      </c>
      <c r="C1455" s="5" t="n">
        <v>1329001691</v>
      </c>
      <c r="D1455" s="6" t="s">
        <v>1513</v>
      </c>
      <c r="E1455" s="6"/>
      <c r="F1455" s="7" t="n">
        <v>46068.3555050231</v>
      </c>
      <c r="G1455" s="7" t="n">
        <v>46069.3248094792</v>
      </c>
      <c r="H1455" s="8" t="n">
        <v>4</v>
      </c>
      <c r="I1455" s="5" t="n">
        <v>400630</v>
      </c>
      <c r="J1455" s="6" t="s">
        <v>772</v>
      </c>
      <c r="K1455" s="5" t="n">
        <v>153000083</v>
      </c>
      <c r="L1455" s="9" t="n">
        <v>46060</v>
      </c>
      <c r="M1455" s="10" t="n">
        <v>47885</v>
      </c>
    </row>
    <row r="1456" customFormat="false" ht="30" hidden="false" customHeight="true" outlineLevel="0" collapsed="false">
      <c r="A1456" s="4" t="s">
        <v>1400</v>
      </c>
      <c r="B1456" s="4" t="s">
        <v>14</v>
      </c>
      <c r="C1456" s="5" t="n">
        <v>1329001691</v>
      </c>
      <c r="D1456" s="6" t="s">
        <v>1514</v>
      </c>
      <c r="E1456" s="6"/>
      <c r="F1456" s="7" t="n">
        <v>46068.3555050231</v>
      </c>
      <c r="G1456" s="7" t="n">
        <v>46069.3246265856</v>
      </c>
      <c r="H1456" s="8" t="n">
        <v>4</v>
      </c>
      <c r="I1456" s="5" t="n">
        <v>400630</v>
      </c>
      <c r="J1456" s="6" t="s">
        <v>772</v>
      </c>
      <c r="K1456" s="5" t="n">
        <v>153000083</v>
      </c>
      <c r="L1456" s="9" t="n">
        <v>46060</v>
      </c>
      <c r="M1456" s="10" t="n">
        <v>47885</v>
      </c>
    </row>
    <row r="1457" customFormat="false" ht="30" hidden="false" customHeight="true" outlineLevel="0" collapsed="false">
      <c r="A1457" s="4" t="s">
        <v>1400</v>
      </c>
      <c r="B1457" s="4" t="s">
        <v>14</v>
      </c>
      <c r="C1457" s="5" t="n">
        <v>1329001691</v>
      </c>
      <c r="D1457" s="6" t="s">
        <v>1515</v>
      </c>
      <c r="E1457" s="6"/>
      <c r="F1457" s="7" t="n">
        <v>46068.3555050231</v>
      </c>
      <c r="G1457" s="7" t="n">
        <v>46069.3244453472</v>
      </c>
      <c r="H1457" s="8" t="n">
        <v>4</v>
      </c>
      <c r="I1457" s="5" t="n">
        <v>400630</v>
      </c>
      <c r="J1457" s="6" t="s">
        <v>772</v>
      </c>
      <c r="K1457" s="5" t="n">
        <v>153000083</v>
      </c>
      <c r="L1457" s="9" t="n">
        <v>46060</v>
      </c>
      <c r="M1457" s="10" t="n">
        <v>47885</v>
      </c>
    </row>
    <row r="1458" customFormat="false" ht="30" hidden="false" customHeight="true" outlineLevel="0" collapsed="false">
      <c r="A1458" s="4" t="s">
        <v>1400</v>
      </c>
      <c r="B1458" s="4" t="s">
        <v>14</v>
      </c>
      <c r="C1458" s="5" t="n">
        <v>1329001691</v>
      </c>
      <c r="D1458" s="6" t="s">
        <v>1516</v>
      </c>
      <c r="E1458" s="6"/>
      <c r="F1458" s="7" t="n">
        <v>46068.3555050231</v>
      </c>
      <c r="G1458" s="7" t="n">
        <v>46069.324274919</v>
      </c>
      <c r="H1458" s="8" t="n">
        <v>4</v>
      </c>
      <c r="I1458" s="5" t="n">
        <v>400630</v>
      </c>
      <c r="J1458" s="6" t="s">
        <v>772</v>
      </c>
      <c r="K1458" s="5" t="n">
        <v>153000083</v>
      </c>
      <c r="L1458" s="9" t="n">
        <v>46060</v>
      </c>
      <c r="M1458" s="10" t="n">
        <v>47885</v>
      </c>
    </row>
    <row r="1459" customFormat="false" ht="30" hidden="false" customHeight="true" outlineLevel="0" collapsed="false">
      <c r="A1459" s="4" t="s">
        <v>1400</v>
      </c>
      <c r="B1459" s="4" t="s">
        <v>14</v>
      </c>
      <c r="C1459" s="5" t="n">
        <v>1329001691</v>
      </c>
      <c r="D1459" s="6" t="s">
        <v>1517</v>
      </c>
      <c r="E1459" s="6"/>
      <c r="F1459" s="7" t="n">
        <v>46068.3555050231</v>
      </c>
      <c r="G1459" s="7" t="n">
        <v>46069.3240998495</v>
      </c>
      <c r="H1459" s="8" t="n">
        <v>4</v>
      </c>
      <c r="I1459" s="5" t="n">
        <v>400630</v>
      </c>
      <c r="J1459" s="6" t="s">
        <v>772</v>
      </c>
      <c r="K1459" s="5" t="n">
        <v>153000083</v>
      </c>
      <c r="L1459" s="9" t="n">
        <v>46060</v>
      </c>
      <c r="M1459" s="10" t="n">
        <v>47885</v>
      </c>
    </row>
    <row r="1460" customFormat="false" ht="30" hidden="false" customHeight="true" outlineLevel="0" collapsed="false">
      <c r="A1460" s="4" t="s">
        <v>1400</v>
      </c>
      <c r="B1460" s="4" t="s">
        <v>14</v>
      </c>
      <c r="C1460" s="5" t="n">
        <v>1329001691</v>
      </c>
      <c r="D1460" s="6" t="s">
        <v>1518</v>
      </c>
      <c r="E1460" s="6"/>
      <c r="F1460" s="7" t="n">
        <v>46068.3555050231</v>
      </c>
      <c r="G1460" s="7" t="n">
        <v>46069.323738287</v>
      </c>
      <c r="H1460" s="8" t="n">
        <v>4</v>
      </c>
      <c r="I1460" s="5" t="n">
        <v>400630</v>
      </c>
      <c r="J1460" s="6" t="s">
        <v>772</v>
      </c>
      <c r="K1460" s="5" t="n">
        <v>153000083</v>
      </c>
      <c r="L1460" s="9" t="n">
        <v>46060</v>
      </c>
      <c r="M1460" s="10" t="n">
        <v>47885</v>
      </c>
    </row>
    <row r="1461" customFormat="false" ht="30" hidden="false" customHeight="true" outlineLevel="0" collapsed="false">
      <c r="A1461" s="4" t="s">
        <v>1400</v>
      </c>
      <c r="B1461" s="4" t="s">
        <v>14</v>
      </c>
      <c r="C1461" s="5" t="n">
        <v>1329001691</v>
      </c>
      <c r="D1461" s="6" t="s">
        <v>1519</v>
      </c>
      <c r="E1461" s="6"/>
      <c r="F1461" s="7" t="n">
        <v>46068.3555050231</v>
      </c>
      <c r="G1461" s="7" t="n">
        <v>46069.3234770718</v>
      </c>
      <c r="H1461" s="8" t="n">
        <v>4</v>
      </c>
      <c r="I1461" s="5" t="n">
        <v>400630</v>
      </c>
      <c r="J1461" s="6" t="s">
        <v>772</v>
      </c>
      <c r="K1461" s="5" t="n">
        <v>153000083</v>
      </c>
      <c r="L1461" s="9" t="n">
        <v>46060</v>
      </c>
      <c r="M1461" s="10" t="n">
        <v>47885</v>
      </c>
    </row>
    <row r="1462" customFormat="false" ht="30" hidden="false" customHeight="true" outlineLevel="0" collapsed="false">
      <c r="A1462" s="4" t="s">
        <v>1400</v>
      </c>
      <c r="B1462" s="4" t="s">
        <v>14</v>
      </c>
      <c r="C1462" s="5" t="n">
        <v>1329001691</v>
      </c>
      <c r="D1462" s="6" t="s">
        <v>1520</v>
      </c>
      <c r="E1462" s="6"/>
      <c r="F1462" s="7" t="n">
        <v>46068.3555050231</v>
      </c>
      <c r="G1462" s="7" t="n">
        <v>46069.3231852662</v>
      </c>
      <c r="H1462" s="8" t="n">
        <v>4</v>
      </c>
      <c r="I1462" s="5" t="n">
        <v>400630</v>
      </c>
      <c r="J1462" s="6" t="s">
        <v>772</v>
      </c>
      <c r="K1462" s="5" t="n">
        <v>153000083</v>
      </c>
      <c r="L1462" s="9" t="n">
        <v>46060</v>
      </c>
      <c r="M1462" s="10" t="n">
        <v>47885</v>
      </c>
    </row>
    <row r="1463" customFormat="false" ht="30" hidden="false" customHeight="true" outlineLevel="0" collapsed="false">
      <c r="A1463" s="4" t="s">
        <v>1400</v>
      </c>
      <c r="B1463" s="4" t="s">
        <v>14</v>
      </c>
      <c r="C1463" s="5" t="n">
        <v>1329001691</v>
      </c>
      <c r="D1463" s="6" t="s">
        <v>1521</v>
      </c>
      <c r="E1463" s="6"/>
      <c r="F1463" s="7" t="n">
        <v>46068.3555050231</v>
      </c>
      <c r="G1463" s="7" t="n">
        <v>46069.3229717361</v>
      </c>
      <c r="H1463" s="8" t="n">
        <v>4</v>
      </c>
      <c r="I1463" s="5" t="n">
        <v>400630</v>
      </c>
      <c r="J1463" s="6" t="s">
        <v>772</v>
      </c>
      <c r="K1463" s="5" t="n">
        <v>153000083</v>
      </c>
      <c r="L1463" s="9" t="n">
        <v>46060</v>
      </c>
      <c r="M1463" s="10" t="n">
        <v>47885</v>
      </c>
    </row>
    <row r="1464" customFormat="false" ht="30" hidden="false" customHeight="true" outlineLevel="0" collapsed="false">
      <c r="A1464" s="4" t="s">
        <v>1400</v>
      </c>
      <c r="B1464" s="4" t="s">
        <v>14</v>
      </c>
      <c r="C1464" s="5" t="n">
        <v>1329001691</v>
      </c>
      <c r="D1464" s="6" t="s">
        <v>1522</v>
      </c>
      <c r="E1464" s="6"/>
      <c r="F1464" s="7" t="n">
        <v>46068.3555050231</v>
      </c>
      <c r="G1464" s="7" t="n">
        <v>46069.322748044</v>
      </c>
      <c r="H1464" s="8" t="n">
        <v>4</v>
      </c>
      <c r="I1464" s="5" t="n">
        <v>400630</v>
      </c>
      <c r="J1464" s="6" t="s">
        <v>772</v>
      </c>
      <c r="K1464" s="5" t="n">
        <v>153000083</v>
      </c>
      <c r="L1464" s="9" t="n">
        <v>46060</v>
      </c>
      <c r="M1464" s="10" t="n">
        <v>47885</v>
      </c>
    </row>
    <row r="1465" customFormat="false" ht="30" hidden="false" customHeight="true" outlineLevel="0" collapsed="false">
      <c r="A1465" s="4" t="s">
        <v>1400</v>
      </c>
      <c r="B1465" s="4" t="s">
        <v>14</v>
      </c>
      <c r="C1465" s="5" t="n">
        <v>1329001691</v>
      </c>
      <c r="D1465" s="6" t="s">
        <v>1523</v>
      </c>
      <c r="E1465" s="6"/>
      <c r="F1465" s="7" t="n">
        <v>46068.3555050231</v>
      </c>
      <c r="G1465" s="7" t="n">
        <v>46069.3225337963</v>
      </c>
      <c r="H1465" s="8" t="n">
        <v>4</v>
      </c>
      <c r="I1465" s="5" t="n">
        <v>400630</v>
      </c>
      <c r="J1465" s="6" t="s">
        <v>772</v>
      </c>
      <c r="K1465" s="5" t="n">
        <v>153000083</v>
      </c>
      <c r="L1465" s="9" t="n">
        <v>46060</v>
      </c>
      <c r="M1465" s="10" t="n">
        <v>47885</v>
      </c>
    </row>
    <row r="1466" customFormat="false" ht="30" hidden="false" customHeight="true" outlineLevel="0" collapsed="false">
      <c r="A1466" s="4" t="s">
        <v>1400</v>
      </c>
      <c r="B1466" s="4" t="s">
        <v>14</v>
      </c>
      <c r="C1466" s="5" t="n">
        <v>1329001691</v>
      </c>
      <c r="D1466" s="6" t="s">
        <v>1524</v>
      </c>
      <c r="E1466" s="6"/>
      <c r="F1466" s="7" t="n">
        <v>46068.3555050231</v>
      </c>
      <c r="G1466" s="7" t="n">
        <v>46069.3223678356</v>
      </c>
      <c r="H1466" s="8" t="n">
        <v>4</v>
      </c>
      <c r="I1466" s="5" t="n">
        <v>400630</v>
      </c>
      <c r="J1466" s="6" t="s">
        <v>772</v>
      </c>
      <c r="K1466" s="5" t="n">
        <v>153000083</v>
      </c>
      <c r="L1466" s="9" t="n">
        <v>46060</v>
      </c>
      <c r="M1466" s="10" t="n">
        <v>47885</v>
      </c>
    </row>
    <row r="1467" customFormat="false" ht="30" hidden="false" customHeight="true" outlineLevel="0" collapsed="false">
      <c r="A1467" s="4" t="s">
        <v>1400</v>
      </c>
      <c r="B1467" s="4" t="s">
        <v>14</v>
      </c>
      <c r="C1467" s="5" t="n">
        <v>1329001691</v>
      </c>
      <c r="D1467" s="6" t="s">
        <v>1525</v>
      </c>
      <c r="E1467" s="6"/>
      <c r="F1467" s="7" t="n">
        <v>46068.3555050231</v>
      </c>
      <c r="G1467" s="7" t="n">
        <v>46069.3221608333</v>
      </c>
      <c r="H1467" s="8" t="n">
        <v>4</v>
      </c>
      <c r="I1467" s="5" t="n">
        <v>400630</v>
      </c>
      <c r="J1467" s="6" t="s">
        <v>772</v>
      </c>
      <c r="K1467" s="5" t="n">
        <v>153000016</v>
      </c>
      <c r="L1467" s="9" t="n">
        <v>46034</v>
      </c>
      <c r="M1467" s="10" t="n">
        <v>47859</v>
      </c>
    </row>
    <row r="1468" customFormat="false" ht="30" hidden="false" customHeight="true" outlineLevel="0" collapsed="false">
      <c r="A1468" s="4" t="s">
        <v>1400</v>
      </c>
      <c r="B1468" s="4" t="s">
        <v>14</v>
      </c>
      <c r="C1468" s="5" t="n">
        <v>1329001691</v>
      </c>
      <c r="D1468" s="6" t="s">
        <v>1526</v>
      </c>
      <c r="E1468" s="6"/>
      <c r="F1468" s="7" t="n">
        <v>46068.3555050231</v>
      </c>
      <c r="G1468" s="7" t="n">
        <v>46069.3216798032</v>
      </c>
      <c r="H1468" s="8" t="n">
        <v>4</v>
      </c>
      <c r="I1468" s="5" t="n">
        <v>400630</v>
      </c>
      <c r="J1468" s="6" t="s">
        <v>772</v>
      </c>
      <c r="K1468" s="5" t="n">
        <v>153000083</v>
      </c>
      <c r="L1468" s="9" t="n">
        <v>46060</v>
      </c>
      <c r="M1468" s="10" t="n">
        <v>47885</v>
      </c>
    </row>
    <row r="1469" customFormat="false" ht="30" hidden="false" customHeight="true" outlineLevel="0" collapsed="false">
      <c r="A1469" s="4" t="s">
        <v>1400</v>
      </c>
      <c r="B1469" s="4" t="s">
        <v>14</v>
      </c>
      <c r="C1469" s="5" t="n">
        <v>1329001691</v>
      </c>
      <c r="D1469" s="6" t="s">
        <v>1527</v>
      </c>
      <c r="E1469" s="6"/>
      <c r="F1469" s="7" t="n">
        <v>46068.3555050231</v>
      </c>
      <c r="G1469" s="7" t="n">
        <v>46069.3212772222</v>
      </c>
      <c r="H1469" s="8" t="n">
        <v>4</v>
      </c>
      <c r="I1469" s="5" t="n">
        <v>400630</v>
      </c>
      <c r="J1469" s="6" t="s">
        <v>772</v>
      </c>
      <c r="K1469" s="5" t="n">
        <v>153000083</v>
      </c>
      <c r="L1469" s="9" t="n">
        <v>46060</v>
      </c>
      <c r="M1469" s="10" t="n">
        <v>47885</v>
      </c>
    </row>
    <row r="1470" customFormat="false" ht="30" hidden="false" customHeight="true" outlineLevel="0" collapsed="false">
      <c r="A1470" s="4" t="s">
        <v>1400</v>
      </c>
      <c r="B1470" s="4" t="s">
        <v>14</v>
      </c>
      <c r="C1470" s="5" t="n">
        <v>1329001691</v>
      </c>
      <c r="D1470" s="6" t="s">
        <v>1528</v>
      </c>
      <c r="E1470" s="6"/>
      <c r="F1470" s="7" t="n">
        <v>46068.3555050231</v>
      </c>
      <c r="G1470" s="7" t="n">
        <v>46069.3210582407</v>
      </c>
      <c r="H1470" s="8" t="n">
        <v>4</v>
      </c>
      <c r="I1470" s="5" t="n">
        <v>400630</v>
      </c>
      <c r="J1470" s="6" t="s">
        <v>772</v>
      </c>
      <c r="K1470" s="5" t="n">
        <v>153000083</v>
      </c>
      <c r="L1470" s="9" t="n">
        <v>46060</v>
      </c>
      <c r="M1470" s="10" t="n">
        <v>47885</v>
      </c>
    </row>
    <row r="1471" customFormat="false" ht="30" hidden="false" customHeight="true" outlineLevel="0" collapsed="false">
      <c r="A1471" s="4" t="s">
        <v>1400</v>
      </c>
      <c r="B1471" s="4" t="s">
        <v>14</v>
      </c>
      <c r="C1471" s="5" t="n">
        <v>1329001691</v>
      </c>
      <c r="D1471" s="6" t="s">
        <v>1529</v>
      </c>
      <c r="E1471" s="6"/>
      <c r="F1471" s="7" t="n">
        <v>46068.3555050231</v>
      </c>
      <c r="G1471" s="7" t="n">
        <v>46069.320849294</v>
      </c>
      <c r="H1471" s="8" t="n">
        <v>4</v>
      </c>
      <c r="I1471" s="5" t="n">
        <v>400630</v>
      </c>
      <c r="J1471" s="6" t="s">
        <v>772</v>
      </c>
      <c r="K1471" s="5" t="n">
        <v>153000083</v>
      </c>
      <c r="L1471" s="9" t="n">
        <v>46060</v>
      </c>
      <c r="M1471" s="10" t="n">
        <v>47885</v>
      </c>
    </row>
    <row r="1472" customFormat="false" ht="30" hidden="false" customHeight="true" outlineLevel="0" collapsed="false">
      <c r="A1472" s="4" t="s">
        <v>1400</v>
      </c>
      <c r="B1472" s="4" t="s">
        <v>14</v>
      </c>
      <c r="C1472" s="5" t="n">
        <v>1329001691</v>
      </c>
      <c r="D1472" s="6" t="s">
        <v>1530</v>
      </c>
      <c r="E1472" s="6"/>
      <c r="F1472" s="7" t="n">
        <v>46068.3555050231</v>
      </c>
      <c r="G1472" s="7" t="n">
        <v>46069.320595625</v>
      </c>
      <c r="H1472" s="8" t="n">
        <v>4</v>
      </c>
      <c r="I1472" s="5" t="n">
        <v>400630</v>
      </c>
      <c r="J1472" s="6" t="s">
        <v>772</v>
      </c>
      <c r="K1472" s="5" t="n">
        <v>153000083</v>
      </c>
      <c r="L1472" s="9" t="n">
        <v>46060</v>
      </c>
      <c r="M1472" s="10" t="n">
        <v>47885</v>
      </c>
    </row>
    <row r="1473" customFormat="false" ht="30" hidden="false" customHeight="true" outlineLevel="0" collapsed="false">
      <c r="A1473" s="4" t="s">
        <v>1400</v>
      </c>
      <c r="B1473" s="4" t="s">
        <v>14</v>
      </c>
      <c r="C1473" s="5" t="n">
        <v>1329001691</v>
      </c>
      <c r="D1473" s="6" t="s">
        <v>1531</v>
      </c>
      <c r="E1473" s="6"/>
      <c r="F1473" s="7" t="n">
        <v>46068.3555050231</v>
      </c>
      <c r="G1473" s="7" t="n">
        <v>46069.3203280324</v>
      </c>
      <c r="H1473" s="8" t="n">
        <v>4</v>
      </c>
      <c r="I1473" s="5" t="n">
        <v>400630</v>
      </c>
      <c r="J1473" s="6" t="s">
        <v>772</v>
      </c>
      <c r="K1473" s="5" t="n">
        <v>153000083</v>
      </c>
      <c r="L1473" s="9" t="n">
        <v>46060</v>
      </c>
      <c r="M1473" s="10" t="n">
        <v>47885</v>
      </c>
    </row>
    <row r="1474" customFormat="false" ht="30" hidden="false" customHeight="true" outlineLevel="0" collapsed="false">
      <c r="A1474" s="4" t="s">
        <v>1400</v>
      </c>
      <c r="B1474" s="4" t="s">
        <v>14</v>
      </c>
      <c r="C1474" s="5" t="n">
        <v>1329001691</v>
      </c>
      <c r="D1474" s="6" t="s">
        <v>1532</v>
      </c>
      <c r="E1474" s="6"/>
      <c r="F1474" s="7" t="n">
        <v>46068.3555050231</v>
      </c>
      <c r="G1474" s="7" t="n">
        <v>46069.320059537</v>
      </c>
      <c r="H1474" s="8" t="n">
        <v>4</v>
      </c>
      <c r="I1474" s="5" t="n">
        <v>400630</v>
      </c>
      <c r="J1474" s="6" t="s">
        <v>772</v>
      </c>
      <c r="K1474" s="5" t="n">
        <v>153000083</v>
      </c>
      <c r="L1474" s="9" t="n">
        <v>46060</v>
      </c>
      <c r="M1474" s="10" t="n">
        <v>47885</v>
      </c>
    </row>
    <row r="1475" customFormat="false" ht="30" hidden="false" customHeight="true" outlineLevel="0" collapsed="false">
      <c r="A1475" s="4" t="s">
        <v>1400</v>
      </c>
      <c r="B1475" s="4" t="s">
        <v>14</v>
      </c>
      <c r="C1475" s="5" t="n">
        <v>1329001691</v>
      </c>
      <c r="D1475" s="6" t="s">
        <v>1533</v>
      </c>
      <c r="E1475" s="6"/>
      <c r="F1475" s="7" t="n">
        <v>46068.3555050231</v>
      </c>
      <c r="G1475" s="7" t="n">
        <v>46069.3183567245</v>
      </c>
      <c r="H1475" s="8" t="n">
        <v>4</v>
      </c>
      <c r="I1475" s="5" t="n">
        <v>400630</v>
      </c>
      <c r="J1475" s="6" t="s">
        <v>772</v>
      </c>
      <c r="K1475" s="5" t="n">
        <v>153000083</v>
      </c>
      <c r="L1475" s="9" t="n">
        <v>46060</v>
      </c>
      <c r="M1475" s="10" t="n">
        <v>47885</v>
      </c>
    </row>
    <row r="1476" customFormat="false" ht="30" hidden="false" customHeight="true" outlineLevel="0" collapsed="false">
      <c r="A1476" s="4" t="s">
        <v>1400</v>
      </c>
      <c r="B1476" s="4" t="s">
        <v>14</v>
      </c>
      <c r="C1476" s="5" t="n">
        <v>1329001691</v>
      </c>
      <c r="D1476" s="6" t="s">
        <v>1534</v>
      </c>
      <c r="E1476" s="6"/>
      <c r="F1476" s="7" t="n">
        <v>46068.3555050231</v>
      </c>
      <c r="G1476" s="7" t="n">
        <v>46069.317851875</v>
      </c>
      <c r="H1476" s="8" t="n">
        <v>4</v>
      </c>
      <c r="I1476" s="5" t="n">
        <v>400630</v>
      </c>
      <c r="J1476" s="6" t="s">
        <v>772</v>
      </c>
      <c r="K1476" s="5" t="n">
        <v>153000083</v>
      </c>
      <c r="L1476" s="9" t="n">
        <v>46060</v>
      </c>
      <c r="M1476" s="10" t="n">
        <v>47885</v>
      </c>
    </row>
    <row r="1477" customFormat="false" ht="30" hidden="false" customHeight="true" outlineLevel="0" collapsed="false">
      <c r="A1477" s="4" t="s">
        <v>1400</v>
      </c>
      <c r="B1477" s="4" t="s">
        <v>14</v>
      </c>
      <c r="C1477" s="5" t="n">
        <v>1329001691</v>
      </c>
      <c r="D1477" s="6" t="s">
        <v>1535</v>
      </c>
      <c r="E1477" s="6"/>
      <c r="F1477" s="7" t="n">
        <v>46068.3555050231</v>
      </c>
      <c r="G1477" s="7" t="n">
        <v>46069.3176158218</v>
      </c>
      <c r="H1477" s="8" t="n">
        <v>4</v>
      </c>
      <c r="I1477" s="5" t="n">
        <v>400630</v>
      </c>
      <c r="J1477" s="6" t="s">
        <v>772</v>
      </c>
      <c r="K1477" s="5" t="n">
        <v>153000083</v>
      </c>
      <c r="L1477" s="9" t="n">
        <v>46060</v>
      </c>
      <c r="M1477" s="10" t="n">
        <v>47885</v>
      </c>
    </row>
    <row r="1478" customFormat="false" ht="30" hidden="false" customHeight="true" outlineLevel="0" collapsed="false">
      <c r="A1478" s="4" t="s">
        <v>1400</v>
      </c>
      <c r="B1478" s="4" t="s">
        <v>14</v>
      </c>
      <c r="C1478" s="5" t="n">
        <v>1329001691</v>
      </c>
      <c r="D1478" s="6" t="s">
        <v>1536</v>
      </c>
      <c r="E1478" s="6"/>
      <c r="F1478" s="7" t="n">
        <v>46068.3555050231</v>
      </c>
      <c r="G1478" s="7" t="n">
        <v>46069.3173786111</v>
      </c>
      <c r="H1478" s="8" t="n">
        <v>4</v>
      </c>
      <c r="I1478" s="5" t="n">
        <v>400630</v>
      </c>
      <c r="J1478" s="6" t="s">
        <v>772</v>
      </c>
      <c r="K1478" s="5" t="n">
        <v>153000083</v>
      </c>
      <c r="L1478" s="9" t="n">
        <v>46060</v>
      </c>
      <c r="M1478" s="10" t="n">
        <v>47885</v>
      </c>
    </row>
    <row r="1479" customFormat="false" ht="30" hidden="false" customHeight="true" outlineLevel="0" collapsed="false">
      <c r="A1479" s="4" t="s">
        <v>1400</v>
      </c>
      <c r="B1479" s="4" t="s">
        <v>14</v>
      </c>
      <c r="C1479" s="5" t="n">
        <v>1329001692</v>
      </c>
      <c r="D1479" s="6" t="s">
        <v>1537</v>
      </c>
      <c r="E1479" s="6"/>
      <c r="F1479" s="7" t="n">
        <v>46068.3571027199</v>
      </c>
      <c r="G1479" s="7" t="n">
        <v>46069.3471701042</v>
      </c>
      <c r="H1479" s="8" t="n">
        <v>2</v>
      </c>
      <c r="I1479" s="5" t="n">
        <v>400389</v>
      </c>
      <c r="J1479" s="6" t="s">
        <v>1538</v>
      </c>
      <c r="K1479" s="5" t="n">
        <v>153000093</v>
      </c>
      <c r="L1479" s="9" t="n">
        <v>46061</v>
      </c>
      <c r="M1479" s="10" t="n">
        <v>47886</v>
      </c>
    </row>
    <row r="1480" customFormat="false" ht="30" hidden="false" customHeight="true" outlineLevel="0" collapsed="false">
      <c r="A1480" s="4" t="s">
        <v>1400</v>
      </c>
      <c r="B1480" s="4" t="s">
        <v>14</v>
      </c>
      <c r="C1480" s="5" t="n">
        <v>1329001692</v>
      </c>
      <c r="D1480" s="6" t="s">
        <v>1539</v>
      </c>
      <c r="E1480" s="6"/>
      <c r="F1480" s="7" t="n">
        <v>46068.3571027199</v>
      </c>
      <c r="G1480" s="7" t="n">
        <v>46069.4429684375</v>
      </c>
      <c r="H1480" s="8" t="n">
        <v>4</v>
      </c>
      <c r="I1480" s="5" t="n">
        <v>400389</v>
      </c>
      <c r="J1480" s="6" t="s">
        <v>1538</v>
      </c>
      <c r="K1480" s="5" t="n">
        <v>153000036</v>
      </c>
      <c r="L1480" s="9"/>
      <c r="M1480" s="10" t="n">
        <v>47866</v>
      </c>
    </row>
    <row r="1481" customFormat="false" ht="30" hidden="false" customHeight="true" outlineLevel="0" collapsed="false">
      <c r="A1481" s="4" t="s">
        <v>1400</v>
      </c>
      <c r="B1481" s="4" t="s">
        <v>14</v>
      </c>
      <c r="C1481" s="5" t="n">
        <v>1329001692</v>
      </c>
      <c r="D1481" s="6" t="s">
        <v>1540</v>
      </c>
      <c r="E1481" s="6"/>
      <c r="F1481" s="7" t="n">
        <v>46068.3571027199</v>
      </c>
      <c r="G1481" s="7" t="n">
        <v>46069.3457157639</v>
      </c>
      <c r="H1481" s="8" t="n">
        <v>4</v>
      </c>
      <c r="I1481" s="5" t="n">
        <v>401072</v>
      </c>
      <c r="J1481" s="6" t="s">
        <v>1314</v>
      </c>
      <c r="K1481" s="5" t="n">
        <v>100010434</v>
      </c>
      <c r="L1481" s="9"/>
      <c r="M1481" s="10" t="n">
        <v>47773</v>
      </c>
    </row>
    <row r="1482" customFormat="false" ht="30" hidden="false" customHeight="true" outlineLevel="0" collapsed="false">
      <c r="A1482" s="4" t="s">
        <v>1400</v>
      </c>
      <c r="B1482" s="4" t="s">
        <v>14</v>
      </c>
      <c r="C1482" s="5" t="n">
        <v>1329001692</v>
      </c>
      <c r="D1482" s="6" t="s">
        <v>1541</v>
      </c>
      <c r="E1482" s="6"/>
      <c r="F1482" s="7" t="n">
        <v>46068.3571027199</v>
      </c>
      <c r="G1482" s="7" t="n">
        <v>46069.3466388889</v>
      </c>
      <c r="H1482" s="8" t="n">
        <v>2</v>
      </c>
      <c r="I1482" s="5" t="n">
        <v>400441</v>
      </c>
      <c r="J1482" s="6" t="s">
        <v>80</v>
      </c>
      <c r="K1482" s="5" t="n">
        <v>153000082</v>
      </c>
      <c r="L1482" s="9"/>
      <c r="M1482" s="10" t="n">
        <v>47883</v>
      </c>
    </row>
    <row r="1483" customFormat="false" ht="30" hidden="false" customHeight="true" outlineLevel="0" collapsed="false">
      <c r="A1483" s="4" t="s">
        <v>1400</v>
      </c>
      <c r="B1483" s="4" t="s">
        <v>14</v>
      </c>
      <c r="C1483" s="5" t="n">
        <v>1329001692</v>
      </c>
      <c r="D1483" s="6" t="s">
        <v>1542</v>
      </c>
      <c r="E1483" s="6"/>
      <c r="F1483" s="7" t="n">
        <v>46068.3571027199</v>
      </c>
      <c r="G1483" s="7" t="n">
        <v>46069.4461560301</v>
      </c>
      <c r="H1483" s="8" t="n">
        <v>4</v>
      </c>
      <c r="I1483" s="5" t="n">
        <v>401072</v>
      </c>
      <c r="J1483" s="6" t="s">
        <v>1314</v>
      </c>
      <c r="K1483" s="5" t="n">
        <v>153000031</v>
      </c>
      <c r="L1483" s="9" t="n">
        <v>46040</v>
      </c>
      <c r="M1483" s="10" t="n">
        <v>47865</v>
      </c>
    </row>
    <row r="1484" customFormat="false" ht="30" hidden="false" customHeight="true" outlineLevel="0" collapsed="false">
      <c r="A1484" s="4" t="s">
        <v>1400</v>
      </c>
      <c r="B1484" s="4" t="s">
        <v>14</v>
      </c>
      <c r="C1484" s="5" t="n">
        <v>1329001692</v>
      </c>
      <c r="D1484" s="6" t="s">
        <v>1543</v>
      </c>
      <c r="E1484" s="6"/>
      <c r="F1484" s="7" t="n">
        <v>46068.3571027199</v>
      </c>
      <c r="G1484" s="7" t="n">
        <v>46069.4456005787</v>
      </c>
      <c r="H1484" s="8" t="n">
        <v>4</v>
      </c>
      <c r="I1484" s="5" t="n">
        <v>400441</v>
      </c>
      <c r="J1484" s="6" t="s">
        <v>80</v>
      </c>
      <c r="K1484" s="5" t="n">
        <v>153000082</v>
      </c>
      <c r="L1484" s="9" t="n">
        <v>46058</v>
      </c>
      <c r="M1484" s="10" t="n">
        <v>47883</v>
      </c>
    </row>
    <row r="1485" customFormat="false" ht="30" hidden="false" customHeight="true" outlineLevel="0" collapsed="false">
      <c r="A1485" s="4" t="s">
        <v>1400</v>
      </c>
      <c r="B1485" s="4" t="s">
        <v>14</v>
      </c>
      <c r="C1485" s="5" t="n">
        <v>1329001692</v>
      </c>
      <c r="D1485" s="6" t="s">
        <v>1544</v>
      </c>
      <c r="E1485" s="6"/>
      <c r="F1485" s="7" t="n">
        <v>46068.3571027199</v>
      </c>
      <c r="G1485" s="7" t="n">
        <v>46069.4453066435</v>
      </c>
      <c r="H1485" s="8" t="n">
        <v>4</v>
      </c>
      <c r="I1485" s="5" t="n">
        <v>400441</v>
      </c>
      <c r="J1485" s="6" t="s">
        <v>80</v>
      </c>
      <c r="K1485" s="5" t="n">
        <v>153000086</v>
      </c>
      <c r="L1485" s="9" t="n">
        <v>46060</v>
      </c>
      <c r="M1485" s="10" t="n">
        <v>47885</v>
      </c>
    </row>
    <row r="1486" customFormat="false" ht="30" hidden="false" customHeight="true" outlineLevel="0" collapsed="false">
      <c r="A1486" s="4" t="s">
        <v>1400</v>
      </c>
      <c r="B1486" s="4" t="s">
        <v>14</v>
      </c>
      <c r="C1486" s="5" t="n">
        <v>1329001692</v>
      </c>
      <c r="D1486" s="6" t="s">
        <v>1545</v>
      </c>
      <c r="E1486" s="6"/>
      <c r="F1486" s="7" t="n">
        <v>46068.3571027199</v>
      </c>
      <c r="G1486" s="7" t="n">
        <v>46069.4450428935</v>
      </c>
      <c r="H1486" s="8" t="n">
        <v>4</v>
      </c>
      <c r="I1486" s="5" t="n">
        <v>400441</v>
      </c>
      <c r="J1486" s="6" t="s">
        <v>80</v>
      </c>
      <c r="K1486" s="5" t="n">
        <v>153000086</v>
      </c>
      <c r="L1486" s="9" t="n">
        <v>46060</v>
      </c>
      <c r="M1486" s="10" t="n">
        <v>47885</v>
      </c>
    </row>
    <row r="1487" customFormat="false" ht="30" hidden="false" customHeight="true" outlineLevel="0" collapsed="false">
      <c r="A1487" s="4" t="s">
        <v>1400</v>
      </c>
      <c r="B1487" s="4" t="s">
        <v>14</v>
      </c>
      <c r="C1487" s="5" t="n">
        <v>1329001692</v>
      </c>
      <c r="D1487" s="6" t="s">
        <v>1546</v>
      </c>
      <c r="E1487" s="6"/>
      <c r="F1487" s="7" t="n">
        <v>46068.3571027199</v>
      </c>
      <c r="G1487" s="7" t="n">
        <v>46069.4446091551</v>
      </c>
      <c r="H1487" s="8" t="n">
        <v>4</v>
      </c>
      <c r="I1487" s="5" t="n">
        <v>400441</v>
      </c>
      <c r="J1487" s="6" t="s">
        <v>80</v>
      </c>
      <c r="K1487" s="5" t="n">
        <v>153000082</v>
      </c>
      <c r="L1487" s="9" t="n">
        <v>46058</v>
      </c>
      <c r="M1487" s="10" t="n">
        <v>47883</v>
      </c>
    </row>
    <row r="1488" customFormat="false" ht="30" hidden="false" customHeight="true" outlineLevel="0" collapsed="false">
      <c r="A1488" s="4" t="s">
        <v>1400</v>
      </c>
      <c r="B1488" s="4" t="s">
        <v>14</v>
      </c>
      <c r="C1488" s="5" t="n">
        <v>1329001692</v>
      </c>
      <c r="D1488" s="6" t="s">
        <v>1547</v>
      </c>
      <c r="E1488" s="6"/>
      <c r="F1488" s="7" t="n">
        <v>46068.3571027199</v>
      </c>
      <c r="G1488" s="7" t="n">
        <v>46069.44405375</v>
      </c>
      <c r="H1488" s="8" t="n">
        <v>4</v>
      </c>
      <c r="I1488" s="5" t="n">
        <v>400541</v>
      </c>
      <c r="J1488" s="6" t="s">
        <v>1005</v>
      </c>
      <c r="K1488" s="5" t="n">
        <v>153000081</v>
      </c>
      <c r="L1488" s="9" t="n">
        <v>46058</v>
      </c>
      <c r="M1488" s="10" t="n">
        <v>47883</v>
      </c>
    </row>
    <row r="1489" customFormat="false" ht="30" hidden="false" customHeight="true" outlineLevel="0" collapsed="false">
      <c r="A1489" s="4" t="s">
        <v>1400</v>
      </c>
      <c r="B1489" s="4" t="s">
        <v>14</v>
      </c>
      <c r="C1489" s="5" t="n">
        <v>1329001692</v>
      </c>
      <c r="D1489" s="6" t="s">
        <v>1548</v>
      </c>
      <c r="E1489" s="6"/>
      <c r="F1489" s="7" t="n">
        <v>46068.3571027199</v>
      </c>
      <c r="G1489" s="7" t="n">
        <v>46069.4432956597</v>
      </c>
      <c r="H1489" s="8" t="n">
        <v>4</v>
      </c>
      <c r="I1489" s="5" t="n">
        <v>400389</v>
      </c>
      <c r="J1489" s="6" t="s">
        <v>1538</v>
      </c>
      <c r="K1489" s="5" t="n">
        <v>153000036</v>
      </c>
      <c r="L1489" s="9" t="n">
        <v>46041</v>
      </c>
      <c r="M1489" s="10" t="n">
        <v>47866</v>
      </c>
    </row>
    <row r="1490" customFormat="false" ht="30" hidden="false" customHeight="true" outlineLevel="0" collapsed="false">
      <c r="A1490" s="4" t="s">
        <v>1400</v>
      </c>
      <c r="B1490" s="4" t="s">
        <v>14</v>
      </c>
      <c r="C1490" s="5" t="n">
        <v>1329001692</v>
      </c>
      <c r="D1490" s="6" t="s">
        <v>1549</v>
      </c>
      <c r="E1490" s="6"/>
      <c r="F1490" s="7" t="n">
        <v>46068.3571027199</v>
      </c>
      <c r="G1490" s="7" t="n">
        <v>46069.4437222107</v>
      </c>
      <c r="H1490" s="8" t="n">
        <v>4</v>
      </c>
      <c r="I1490" s="5" t="n">
        <v>400541</v>
      </c>
      <c r="J1490" s="6" t="s">
        <v>1005</v>
      </c>
      <c r="K1490" s="5" t="n">
        <v>153000081</v>
      </c>
      <c r="L1490" s="9" t="n">
        <v>46058</v>
      </c>
      <c r="M1490" s="10" t="n">
        <v>47883</v>
      </c>
    </row>
    <row r="1491" customFormat="false" ht="30" hidden="false" customHeight="true" outlineLevel="0" collapsed="false">
      <c r="A1491" s="4" t="s">
        <v>1400</v>
      </c>
      <c r="B1491" s="4" t="s">
        <v>14</v>
      </c>
      <c r="C1491" s="5" t="n">
        <v>1329001692</v>
      </c>
      <c r="D1491" s="6" t="s">
        <v>1550</v>
      </c>
      <c r="E1491" s="6"/>
      <c r="F1491" s="7" t="n">
        <v>46068.3571027199</v>
      </c>
      <c r="G1491" s="7" t="n">
        <v>46069.4425745949</v>
      </c>
      <c r="H1491" s="8" t="n">
        <v>4</v>
      </c>
      <c r="I1491" s="5" t="n">
        <v>400541</v>
      </c>
      <c r="J1491" s="6" t="s">
        <v>1005</v>
      </c>
      <c r="K1491" s="5" t="n">
        <v>153000081</v>
      </c>
      <c r="L1491" s="9" t="n">
        <v>46058</v>
      </c>
      <c r="M1491" s="10" t="n">
        <v>47883</v>
      </c>
    </row>
    <row r="1492" customFormat="false" ht="30" hidden="false" customHeight="true" outlineLevel="0" collapsed="false">
      <c r="A1492" s="4" t="s">
        <v>1400</v>
      </c>
      <c r="B1492" s="4" t="s">
        <v>14</v>
      </c>
      <c r="C1492" s="5" t="n">
        <v>1329001692</v>
      </c>
      <c r="D1492" s="6" t="s">
        <v>1551</v>
      </c>
      <c r="E1492" s="6"/>
      <c r="F1492" s="7" t="n">
        <v>46068.3571027199</v>
      </c>
      <c r="G1492" s="7" t="n">
        <v>46069.3517526273</v>
      </c>
      <c r="H1492" s="8" t="n">
        <v>4</v>
      </c>
      <c r="I1492" s="5" t="n">
        <v>400541</v>
      </c>
      <c r="J1492" s="6" t="s">
        <v>1005</v>
      </c>
      <c r="K1492" s="5" t="n">
        <v>153000081</v>
      </c>
      <c r="L1492" s="9" t="n">
        <v>46058</v>
      </c>
      <c r="M1492" s="10" t="n">
        <v>47883</v>
      </c>
    </row>
    <row r="1493" customFormat="false" ht="30" hidden="false" customHeight="true" outlineLevel="0" collapsed="false">
      <c r="A1493" s="4" t="s">
        <v>1400</v>
      </c>
      <c r="B1493" s="4" t="s">
        <v>14</v>
      </c>
      <c r="C1493" s="5" t="n">
        <v>1329001692</v>
      </c>
      <c r="D1493" s="6" t="s">
        <v>1552</v>
      </c>
      <c r="E1493" s="6"/>
      <c r="F1493" s="7" t="n">
        <v>46068.3571027199</v>
      </c>
      <c r="G1493" s="7" t="n">
        <v>46069.3515323032</v>
      </c>
      <c r="H1493" s="8" t="n">
        <v>4</v>
      </c>
      <c r="I1493" s="5" t="n">
        <v>400541</v>
      </c>
      <c r="J1493" s="6" t="s">
        <v>1005</v>
      </c>
      <c r="K1493" s="5" t="n">
        <v>153000081</v>
      </c>
      <c r="L1493" s="9" t="n">
        <v>46058</v>
      </c>
      <c r="M1493" s="10" t="n">
        <v>47883</v>
      </c>
    </row>
    <row r="1494" customFormat="false" ht="30" hidden="false" customHeight="true" outlineLevel="0" collapsed="false">
      <c r="A1494" s="4" t="s">
        <v>1400</v>
      </c>
      <c r="B1494" s="4" t="s">
        <v>14</v>
      </c>
      <c r="C1494" s="5" t="n">
        <v>1329001692</v>
      </c>
      <c r="D1494" s="6" t="s">
        <v>1553</v>
      </c>
      <c r="E1494" s="6"/>
      <c r="F1494" s="7" t="n">
        <v>46068.3571027199</v>
      </c>
      <c r="G1494" s="7" t="n">
        <v>46069.3513276852</v>
      </c>
      <c r="H1494" s="8" t="n">
        <v>4</v>
      </c>
      <c r="I1494" s="5" t="n">
        <v>400541</v>
      </c>
      <c r="J1494" s="6" t="s">
        <v>1005</v>
      </c>
      <c r="K1494" s="5" t="n">
        <v>153000081</v>
      </c>
      <c r="L1494" s="9" t="n">
        <v>46058</v>
      </c>
      <c r="M1494" s="10" t="n">
        <v>47883</v>
      </c>
    </row>
    <row r="1495" customFormat="false" ht="30" hidden="false" customHeight="true" outlineLevel="0" collapsed="false">
      <c r="A1495" s="4" t="s">
        <v>1400</v>
      </c>
      <c r="B1495" s="4" t="s">
        <v>14</v>
      </c>
      <c r="C1495" s="5" t="n">
        <v>1329001692</v>
      </c>
      <c r="D1495" s="6" t="s">
        <v>1554</v>
      </c>
      <c r="E1495" s="6"/>
      <c r="F1495" s="7" t="n">
        <v>46068.3571027199</v>
      </c>
      <c r="G1495" s="7" t="n">
        <v>46069.3508116551</v>
      </c>
      <c r="H1495" s="8" t="n">
        <v>4</v>
      </c>
      <c r="I1495" s="5" t="n">
        <v>400389</v>
      </c>
      <c r="J1495" s="6" t="s">
        <v>1538</v>
      </c>
      <c r="K1495" s="5" t="n">
        <v>153000036</v>
      </c>
      <c r="L1495" s="9" t="n">
        <v>46041</v>
      </c>
      <c r="M1495" s="10" t="n">
        <v>47866</v>
      </c>
    </row>
    <row r="1496" customFormat="false" ht="30" hidden="false" customHeight="true" outlineLevel="0" collapsed="false">
      <c r="A1496" s="4" t="s">
        <v>1400</v>
      </c>
      <c r="B1496" s="4" t="s">
        <v>14</v>
      </c>
      <c r="C1496" s="5" t="n">
        <v>1329001692</v>
      </c>
      <c r="D1496" s="6" t="s">
        <v>1555</v>
      </c>
      <c r="E1496" s="6"/>
      <c r="F1496" s="7" t="n">
        <v>46068.3571027199</v>
      </c>
      <c r="G1496" s="7" t="n">
        <v>46069.3506097106</v>
      </c>
      <c r="H1496" s="8" t="n">
        <v>4</v>
      </c>
      <c r="I1496" s="5" t="n">
        <v>400389</v>
      </c>
      <c r="J1496" s="6" t="s">
        <v>1538</v>
      </c>
      <c r="K1496" s="5" t="n">
        <v>153000036</v>
      </c>
      <c r="L1496" s="9" t="n">
        <v>46041</v>
      </c>
      <c r="M1496" s="10" t="n">
        <v>47866</v>
      </c>
    </row>
    <row r="1497" customFormat="false" ht="30" hidden="false" customHeight="true" outlineLevel="0" collapsed="false">
      <c r="A1497" s="4" t="s">
        <v>1400</v>
      </c>
      <c r="B1497" s="4" t="s">
        <v>14</v>
      </c>
      <c r="C1497" s="5" t="n">
        <v>1329001692</v>
      </c>
      <c r="D1497" s="6" t="s">
        <v>1556</v>
      </c>
      <c r="E1497" s="6"/>
      <c r="F1497" s="7" t="n">
        <v>46068.3571027199</v>
      </c>
      <c r="G1497" s="7" t="n">
        <v>46069.3503844329</v>
      </c>
      <c r="H1497" s="8" t="n">
        <v>4</v>
      </c>
      <c r="I1497" s="5" t="n">
        <v>400389</v>
      </c>
      <c r="J1497" s="6" t="s">
        <v>1538</v>
      </c>
      <c r="K1497" s="5" t="n">
        <v>153000036</v>
      </c>
      <c r="L1497" s="9" t="n">
        <v>46041</v>
      </c>
      <c r="M1497" s="10" t="n">
        <v>47866</v>
      </c>
    </row>
    <row r="1498" customFormat="false" ht="30" hidden="false" customHeight="true" outlineLevel="0" collapsed="false">
      <c r="A1498" s="4" t="s">
        <v>1400</v>
      </c>
      <c r="B1498" s="4" t="s">
        <v>14</v>
      </c>
      <c r="C1498" s="5" t="n">
        <v>1329001692</v>
      </c>
      <c r="D1498" s="6" t="s">
        <v>1557</v>
      </c>
      <c r="E1498" s="6"/>
      <c r="F1498" s="7" t="n">
        <v>46068.3571027199</v>
      </c>
      <c r="G1498" s="7" t="n">
        <v>46069.3501463079</v>
      </c>
      <c r="H1498" s="8" t="n">
        <v>4</v>
      </c>
      <c r="I1498" s="5" t="n">
        <v>400389</v>
      </c>
      <c r="J1498" s="6" t="s">
        <v>1538</v>
      </c>
      <c r="K1498" s="5" t="n">
        <v>153000036</v>
      </c>
      <c r="L1498" s="9" t="n">
        <v>46041</v>
      </c>
      <c r="M1498" s="10" t="n">
        <v>47866</v>
      </c>
    </row>
    <row r="1499" customFormat="false" ht="30" hidden="false" customHeight="true" outlineLevel="0" collapsed="false">
      <c r="A1499" s="4" t="s">
        <v>1400</v>
      </c>
      <c r="B1499" s="4" t="s">
        <v>14</v>
      </c>
      <c r="C1499" s="5" t="n">
        <v>1329001692</v>
      </c>
      <c r="D1499" s="6" t="s">
        <v>1558</v>
      </c>
      <c r="E1499" s="6"/>
      <c r="F1499" s="7" t="n">
        <v>46068.3571027199</v>
      </c>
      <c r="G1499" s="7" t="n">
        <v>46069.4443216435</v>
      </c>
      <c r="H1499" s="8" t="n">
        <v>4</v>
      </c>
      <c r="I1499" s="5" t="n">
        <v>400441</v>
      </c>
      <c r="J1499" s="6" t="s">
        <v>80</v>
      </c>
      <c r="K1499" s="5" t="n">
        <v>153000082</v>
      </c>
      <c r="L1499" s="9" t="n">
        <v>46058</v>
      </c>
      <c r="M1499" s="10" t="n">
        <v>47883</v>
      </c>
    </row>
    <row r="1500" customFormat="false" ht="30" hidden="false" customHeight="true" outlineLevel="0" collapsed="false">
      <c r="A1500" s="4" t="s">
        <v>1400</v>
      </c>
      <c r="B1500" s="4" t="s">
        <v>14</v>
      </c>
      <c r="C1500" s="5" t="n">
        <v>1329001692</v>
      </c>
      <c r="D1500" s="6" t="s">
        <v>1559</v>
      </c>
      <c r="E1500" s="6"/>
      <c r="F1500" s="7" t="n">
        <v>46068.3571027199</v>
      </c>
      <c r="G1500" s="7" t="n">
        <v>46069.3496993519</v>
      </c>
      <c r="H1500" s="8" t="n">
        <v>4</v>
      </c>
      <c r="I1500" s="5" t="n">
        <v>400441</v>
      </c>
      <c r="J1500" s="6" t="s">
        <v>80</v>
      </c>
      <c r="K1500" s="5" t="n">
        <v>153000082</v>
      </c>
      <c r="L1500" s="9" t="n">
        <v>46058</v>
      </c>
      <c r="M1500" s="10" t="n">
        <v>47883</v>
      </c>
    </row>
    <row r="1501" customFormat="false" ht="30" hidden="false" customHeight="true" outlineLevel="0" collapsed="false">
      <c r="A1501" s="4" t="s">
        <v>1400</v>
      </c>
      <c r="B1501" s="4" t="s">
        <v>14</v>
      </c>
      <c r="C1501" s="5" t="n">
        <v>1329001692</v>
      </c>
      <c r="D1501" s="6" t="s">
        <v>1560</v>
      </c>
      <c r="E1501" s="6"/>
      <c r="F1501" s="7" t="n">
        <v>46068.3571027199</v>
      </c>
      <c r="G1501" s="7" t="n">
        <v>46069.3499164815</v>
      </c>
      <c r="H1501" s="8" t="n">
        <v>4</v>
      </c>
      <c r="I1501" s="5" t="n">
        <v>400389</v>
      </c>
      <c r="J1501" s="6" t="s">
        <v>1538</v>
      </c>
      <c r="K1501" s="5" t="n">
        <v>153000036</v>
      </c>
      <c r="L1501" s="9" t="n">
        <v>46041</v>
      </c>
      <c r="M1501" s="10" t="n">
        <v>47866</v>
      </c>
    </row>
    <row r="1502" customFormat="false" ht="30" hidden="false" customHeight="true" outlineLevel="0" collapsed="false">
      <c r="A1502" s="4" t="s">
        <v>1400</v>
      </c>
      <c r="B1502" s="4" t="s">
        <v>14</v>
      </c>
      <c r="C1502" s="5" t="n">
        <v>1329001692</v>
      </c>
      <c r="D1502" s="6" t="s">
        <v>1561</v>
      </c>
      <c r="E1502" s="6"/>
      <c r="F1502" s="7" t="n">
        <v>46068.3571027199</v>
      </c>
      <c r="G1502" s="7" t="n">
        <v>46069.3511080556</v>
      </c>
      <c r="H1502" s="8" t="n">
        <v>4</v>
      </c>
      <c r="I1502" s="5" t="n">
        <v>400541</v>
      </c>
      <c r="J1502" s="6" t="s">
        <v>1005</v>
      </c>
      <c r="K1502" s="5" t="n">
        <v>153000081</v>
      </c>
      <c r="L1502" s="9" t="n">
        <v>46058</v>
      </c>
      <c r="M1502" s="10" t="n">
        <v>47883</v>
      </c>
    </row>
    <row r="1503" customFormat="false" ht="30" hidden="false" customHeight="true" outlineLevel="0" collapsed="false">
      <c r="A1503" s="4" t="s">
        <v>1400</v>
      </c>
      <c r="B1503" s="4" t="s">
        <v>14</v>
      </c>
      <c r="C1503" s="5" t="n">
        <v>1329001692</v>
      </c>
      <c r="D1503" s="6" t="s">
        <v>1562</v>
      </c>
      <c r="E1503" s="6"/>
      <c r="F1503" s="7" t="n">
        <v>46068.3571027199</v>
      </c>
      <c r="G1503" s="7" t="n">
        <v>46069.4458862847</v>
      </c>
      <c r="H1503" s="8" t="n">
        <v>4</v>
      </c>
      <c r="I1503" s="5" t="n">
        <v>401072</v>
      </c>
      <c r="J1503" s="6" t="s">
        <v>1314</v>
      </c>
      <c r="K1503" s="5" t="n">
        <v>153000031</v>
      </c>
      <c r="L1503" s="9" t="n">
        <v>46040</v>
      </c>
      <c r="M1503" s="10" t="n">
        <v>47865</v>
      </c>
    </row>
    <row r="1504" customFormat="false" ht="30" hidden="false" customHeight="true" outlineLevel="0" collapsed="false">
      <c r="A1504" s="4" t="s">
        <v>1400</v>
      </c>
      <c r="B1504" s="4" t="s">
        <v>14</v>
      </c>
      <c r="C1504" s="5" t="n">
        <v>1329001692</v>
      </c>
      <c r="D1504" s="6" t="s">
        <v>1563</v>
      </c>
      <c r="E1504" s="6"/>
      <c r="F1504" s="7" t="n">
        <v>46068.3571027199</v>
      </c>
      <c r="G1504" s="7" t="n">
        <v>46069.3483750579</v>
      </c>
      <c r="H1504" s="8" t="n">
        <v>4</v>
      </c>
      <c r="I1504" s="5" t="n">
        <v>401072</v>
      </c>
      <c r="J1504" s="6" t="s">
        <v>1314</v>
      </c>
      <c r="K1504" s="5" t="n">
        <v>153000031</v>
      </c>
      <c r="L1504" s="9" t="n">
        <v>46040</v>
      </c>
      <c r="M1504" s="10" t="n">
        <v>47865</v>
      </c>
    </row>
    <row r="1505" customFormat="false" ht="30" hidden="false" customHeight="true" outlineLevel="0" collapsed="false">
      <c r="A1505" s="4" t="s">
        <v>1400</v>
      </c>
      <c r="B1505" s="4" t="s">
        <v>14</v>
      </c>
      <c r="C1505" s="5" t="n">
        <v>1329001692</v>
      </c>
      <c r="D1505" s="6" t="s">
        <v>1564</v>
      </c>
      <c r="E1505" s="6"/>
      <c r="F1505" s="7" t="n">
        <v>46068.3571027199</v>
      </c>
      <c r="G1505" s="7" t="n">
        <v>46069.3481159491</v>
      </c>
      <c r="H1505" s="8" t="n">
        <v>4</v>
      </c>
      <c r="I1505" s="5" t="n">
        <v>401072</v>
      </c>
      <c r="J1505" s="6" t="s">
        <v>1314</v>
      </c>
      <c r="K1505" s="5" t="n">
        <v>153000031</v>
      </c>
      <c r="L1505" s="9" t="n">
        <v>46040</v>
      </c>
      <c r="M1505" s="10" t="n">
        <v>47865</v>
      </c>
    </row>
    <row r="1506" customFormat="false" ht="30" hidden="false" customHeight="true" outlineLevel="0" collapsed="false">
      <c r="A1506" s="4" t="s">
        <v>1400</v>
      </c>
      <c r="B1506" s="4" t="s">
        <v>14</v>
      </c>
      <c r="C1506" s="5" t="n">
        <v>1329001692</v>
      </c>
      <c r="D1506" s="6" t="s">
        <v>1565</v>
      </c>
      <c r="E1506" s="6"/>
      <c r="F1506" s="7" t="n">
        <v>46068.3571027199</v>
      </c>
      <c r="G1506" s="7" t="n">
        <v>46069.3490938773</v>
      </c>
      <c r="H1506" s="8" t="n">
        <v>4</v>
      </c>
      <c r="I1506" s="5" t="n">
        <v>400389</v>
      </c>
      <c r="J1506" s="6" t="s">
        <v>1538</v>
      </c>
      <c r="K1506" s="5" t="n">
        <v>153000036</v>
      </c>
      <c r="L1506" s="9" t="n">
        <v>46041</v>
      </c>
      <c r="M1506" s="10" t="n">
        <v>47866</v>
      </c>
    </row>
    <row r="1507" customFormat="false" ht="30" hidden="false" customHeight="true" outlineLevel="0" collapsed="false">
      <c r="A1507" s="4" t="s">
        <v>1400</v>
      </c>
      <c r="B1507" s="4" t="s">
        <v>14</v>
      </c>
      <c r="C1507" s="5" t="n">
        <v>1329001692</v>
      </c>
      <c r="D1507" s="6" t="s">
        <v>1566</v>
      </c>
      <c r="E1507" s="6"/>
      <c r="F1507" s="7" t="n">
        <v>46068.3571027199</v>
      </c>
      <c r="G1507" s="7" t="n">
        <v>46069.3493760069</v>
      </c>
      <c r="H1507" s="8" t="n">
        <v>4</v>
      </c>
      <c r="I1507" s="5" t="n">
        <v>400441</v>
      </c>
      <c r="J1507" s="6" t="s">
        <v>80</v>
      </c>
      <c r="K1507" s="5" t="n">
        <v>153000082</v>
      </c>
      <c r="L1507" s="9" t="n">
        <v>46058</v>
      </c>
      <c r="M1507" s="10" t="n">
        <v>47883</v>
      </c>
    </row>
    <row r="1508" customFormat="false" ht="30" hidden="false" customHeight="true" outlineLevel="0" collapsed="false">
      <c r="A1508" s="4" t="s">
        <v>1400</v>
      </c>
      <c r="B1508" s="4" t="s">
        <v>14</v>
      </c>
      <c r="C1508" s="5" t="n">
        <v>1329001692</v>
      </c>
      <c r="D1508" s="6" t="s">
        <v>1567</v>
      </c>
      <c r="E1508" s="6"/>
      <c r="F1508" s="7" t="n">
        <v>46068.3571027199</v>
      </c>
      <c r="G1508" s="7" t="n">
        <v>46069.3477255324</v>
      </c>
      <c r="H1508" s="8" t="n">
        <v>4</v>
      </c>
      <c r="I1508" s="5" t="n">
        <v>401072</v>
      </c>
      <c r="J1508" s="6" t="s">
        <v>1314</v>
      </c>
      <c r="K1508" s="5" t="n">
        <v>153000031</v>
      </c>
      <c r="L1508" s="9" t="n">
        <v>46040</v>
      </c>
      <c r="M1508" s="10" t="n">
        <v>47865</v>
      </c>
    </row>
    <row r="1509" customFormat="false" ht="30" hidden="false" customHeight="true" outlineLevel="0" collapsed="false">
      <c r="A1509" s="4" t="s">
        <v>1400</v>
      </c>
      <c r="B1509" s="4" t="s">
        <v>14</v>
      </c>
      <c r="C1509" s="5" t="n">
        <v>1329001692</v>
      </c>
      <c r="D1509" s="6" t="s">
        <v>1568</v>
      </c>
      <c r="E1509" s="6"/>
      <c r="F1509" s="7" t="n">
        <v>46068.3571027199</v>
      </c>
      <c r="G1509" s="7" t="n">
        <v>46069.3487382755</v>
      </c>
      <c r="H1509" s="8" t="n">
        <v>4</v>
      </c>
      <c r="I1509" s="5" t="n">
        <v>400541</v>
      </c>
      <c r="J1509" s="6" t="s">
        <v>1005</v>
      </c>
      <c r="K1509" s="5" t="n">
        <v>153000081</v>
      </c>
      <c r="L1509" s="9" t="n">
        <v>46058</v>
      </c>
      <c r="M1509" s="10" t="n">
        <v>47883</v>
      </c>
    </row>
    <row r="1510" customFormat="false" ht="30" hidden="false" customHeight="true" outlineLevel="0" collapsed="false">
      <c r="A1510" s="4" t="s">
        <v>1400</v>
      </c>
      <c r="B1510" s="4" t="s">
        <v>14</v>
      </c>
      <c r="C1510" s="5" t="n">
        <v>1329001695</v>
      </c>
      <c r="D1510" s="6" t="s">
        <v>1569</v>
      </c>
      <c r="E1510" s="6"/>
      <c r="F1510" s="7" t="n">
        <v>46068.3696074537</v>
      </c>
      <c r="G1510" s="7" t="n">
        <v>46069.3393390162</v>
      </c>
      <c r="H1510" s="8" t="n">
        <v>1</v>
      </c>
      <c r="I1510" s="5" t="n">
        <v>401099</v>
      </c>
      <c r="J1510" s="6" t="s">
        <v>799</v>
      </c>
      <c r="K1510" s="5" t="n">
        <v>160000102</v>
      </c>
      <c r="L1510" s="9" t="n">
        <v>46013</v>
      </c>
      <c r="M1510" s="10" t="n">
        <v>47838</v>
      </c>
    </row>
    <row r="1511" customFormat="false" ht="30" hidden="false" customHeight="true" outlineLevel="0" collapsed="false">
      <c r="A1511" s="4" t="s">
        <v>1400</v>
      </c>
      <c r="B1511" s="4" t="s">
        <v>14</v>
      </c>
      <c r="C1511" s="5" t="n">
        <v>1329001695</v>
      </c>
      <c r="D1511" s="6" t="s">
        <v>1570</v>
      </c>
      <c r="E1511" s="6"/>
      <c r="F1511" s="7" t="n">
        <v>46068.3696074537</v>
      </c>
      <c r="G1511" s="7" t="n">
        <v>46069.3430692593</v>
      </c>
      <c r="H1511" s="8" t="n">
        <v>4</v>
      </c>
      <c r="I1511" s="5" t="n">
        <v>400459</v>
      </c>
      <c r="J1511" s="6" t="s">
        <v>1091</v>
      </c>
      <c r="K1511" s="5" t="n">
        <v>153000094</v>
      </c>
      <c r="L1511" s="9" t="n">
        <v>46062</v>
      </c>
      <c r="M1511" s="10" t="n">
        <v>47887</v>
      </c>
    </row>
    <row r="1512" customFormat="false" ht="30" hidden="false" customHeight="true" outlineLevel="0" collapsed="false">
      <c r="A1512" s="4" t="s">
        <v>1400</v>
      </c>
      <c r="B1512" s="4" t="s">
        <v>14</v>
      </c>
      <c r="C1512" s="5" t="n">
        <v>1329001695</v>
      </c>
      <c r="D1512" s="6" t="s">
        <v>1571</v>
      </c>
      <c r="E1512" s="6"/>
      <c r="F1512" s="7" t="n">
        <v>46068.3696074537</v>
      </c>
      <c r="G1512" s="7" t="n">
        <v>46069.342070706</v>
      </c>
      <c r="H1512" s="8" t="n">
        <v>4</v>
      </c>
      <c r="I1512" s="5" t="n">
        <v>400428</v>
      </c>
      <c r="J1512" s="6" t="s">
        <v>536</v>
      </c>
      <c r="K1512" s="5" t="n">
        <v>100011166</v>
      </c>
      <c r="L1512" s="9" t="n">
        <v>46015</v>
      </c>
      <c r="M1512" s="10" t="n">
        <v>47840</v>
      </c>
    </row>
    <row r="1513" customFormat="false" ht="30" hidden="false" customHeight="true" outlineLevel="0" collapsed="false">
      <c r="A1513" s="4" t="s">
        <v>1400</v>
      </c>
      <c r="B1513" s="4" t="s">
        <v>14</v>
      </c>
      <c r="C1513" s="5" t="n">
        <v>1329001695</v>
      </c>
      <c r="D1513" s="6" t="s">
        <v>1572</v>
      </c>
      <c r="E1513" s="6"/>
      <c r="F1513" s="7" t="n">
        <v>46068.3696074537</v>
      </c>
      <c r="G1513" s="7" t="n">
        <v>46069.3418593171</v>
      </c>
      <c r="H1513" s="8" t="n">
        <v>4</v>
      </c>
      <c r="I1513" s="5" t="n">
        <v>400428</v>
      </c>
      <c r="J1513" s="6" t="s">
        <v>536</v>
      </c>
      <c r="K1513" s="5" t="n">
        <v>100011166</v>
      </c>
      <c r="L1513" s="9" t="n">
        <v>46015</v>
      </c>
      <c r="M1513" s="10" t="n">
        <v>47840</v>
      </c>
    </row>
    <row r="1514" customFormat="false" ht="30" hidden="false" customHeight="true" outlineLevel="0" collapsed="false">
      <c r="A1514" s="4" t="s">
        <v>1400</v>
      </c>
      <c r="B1514" s="4" t="s">
        <v>14</v>
      </c>
      <c r="C1514" s="5" t="n">
        <v>1329001695</v>
      </c>
      <c r="D1514" s="6" t="s">
        <v>1573</v>
      </c>
      <c r="E1514" s="6"/>
      <c r="F1514" s="7" t="n">
        <v>46068.3696074537</v>
      </c>
      <c r="G1514" s="7" t="n">
        <v>46069.3414535069</v>
      </c>
      <c r="H1514" s="8" t="n">
        <v>4</v>
      </c>
      <c r="I1514" s="5" t="n">
        <v>400428</v>
      </c>
      <c r="J1514" s="6" t="s">
        <v>536</v>
      </c>
      <c r="K1514" s="5" t="n">
        <v>100011166</v>
      </c>
      <c r="L1514" s="9" t="n">
        <v>46015</v>
      </c>
      <c r="M1514" s="10" t="n">
        <v>47840</v>
      </c>
    </row>
    <row r="1515" customFormat="false" ht="30" hidden="false" customHeight="true" outlineLevel="0" collapsed="false">
      <c r="A1515" s="4" t="s">
        <v>1400</v>
      </c>
      <c r="B1515" s="4" t="s">
        <v>14</v>
      </c>
      <c r="C1515" s="5" t="n">
        <v>1329001695</v>
      </c>
      <c r="D1515" s="6" t="s">
        <v>1574</v>
      </c>
      <c r="E1515" s="6"/>
      <c r="F1515" s="7" t="n">
        <v>46068.3696074537</v>
      </c>
      <c r="G1515" s="7" t="n">
        <v>46069.3412025116</v>
      </c>
      <c r="H1515" s="8" t="n">
        <v>4</v>
      </c>
      <c r="I1515" s="5" t="n">
        <v>400428</v>
      </c>
      <c r="J1515" s="6" t="s">
        <v>536</v>
      </c>
      <c r="K1515" s="5" t="n">
        <v>100011166</v>
      </c>
      <c r="L1515" s="9" t="n">
        <v>46015</v>
      </c>
      <c r="M1515" s="10" t="n">
        <v>47840</v>
      </c>
    </row>
    <row r="1516" customFormat="false" ht="30" hidden="false" customHeight="true" outlineLevel="0" collapsed="false">
      <c r="A1516" s="4" t="s">
        <v>1400</v>
      </c>
      <c r="B1516" s="4" t="s">
        <v>14</v>
      </c>
      <c r="C1516" s="5" t="n">
        <v>1329001695</v>
      </c>
      <c r="D1516" s="6" t="s">
        <v>1575</v>
      </c>
      <c r="E1516" s="6"/>
      <c r="F1516" s="7" t="n">
        <v>46068.3696074537</v>
      </c>
      <c r="G1516" s="7" t="n">
        <v>46069.3409536574</v>
      </c>
      <c r="H1516" s="8" t="n">
        <v>2</v>
      </c>
      <c r="I1516" s="5" t="n">
        <v>400428</v>
      </c>
      <c r="J1516" s="6" t="s">
        <v>536</v>
      </c>
      <c r="K1516" s="5" t="n">
        <v>153000018</v>
      </c>
      <c r="L1516" s="9" t="n">
        <v>46035</v>
      </c>
      <c r="M1516" s="10" t="n">
        <v>47860</v>
      </c>
    </row>
    <row r="1517" customFormat="false" ht="30" hidden="false" customHeight="true" outlineLevel="0" collapsed="false">
      <c r="A1517" s="4" t="s">
        <v>1400</v>
      </c>
      <c r="B1517" s="4" t="s">
        <v>14</v>
      </c>
      <c r="C1517" s="5" t="n">
        <v>1329001695</v>
      </c>
      <c r="D1517" s="6" t="s">
        <v>1576</v>
      </c>
      <c r="E1517" s="6"/>
      <c r="F1517" s="7" t="n">
        <v>46068.3696074537</v>
      </c>
      <c r="G1517" s="7" t="n">
        <v>46069.3405510532</v>
      </c>
      <c r="H1517" s="8" t="n">
        <v>2</v>
      </c>
      <c r="I1517" s="5" t="n">
        <v>400428</v>
      </c>
      <c r="J1517" s="6" t="s">
        <v>536</v>
      </c>
      <c r="K1517" s="5" t="n">
        <v>100010722</v>
      </c>
      <c r="L1517" s="9" t="n">
        <v>45974</v>
      </c>
      <c r="M1517" s="10" t="n">
        <v>47799</v>
      </c>
    </row>
    <row r="1518" customFormat="false" ht="30" hidden="false" customHeight="true" outlineLevel="0" collapsed="false">
      <c r="A1518" s="4" t="s">
        <v>1400</v>
      </c>
      <c r="B1518" s="4" t="s">
        <v>14</v>
      </c>
      <c r="C1518" s="5" t="n">
        <v>1329001695</v>
      </c>
      <c r="D1518" s="6" t="s">
        <v>1577</v>
      </c>
      <c r="E1518" s="6"/>
      <c r="F1518" s="7" t="n">
        <v>46068.3696074537</v>
      </c>
      <c r="G1518" s="7" t="n">
        <v>46069.3400257407</v>
      </c>
      <c r="H1518" s="8" t="n">
        <v>4</v>
      </c>
      <c r="I1518" s="5" t="n">
        <v>400428</v>
      </c>
      <c r="J1518" s="6" t="s">
        <v>536</v>
      </c>
      <c r="K1518" s="5" t="n">
        <v>100011166</v>
      </c>
      <c r="L1518" s="9" t="n">
        <v>46015</v>
      </c>
      <c r="M1518" s="10" t="n">
        <v>47840</v>
      </c>
    </row>
    <row r="1519" customFormat="false" ht="30" hidden="false" customHeight="true" outlineLevel="0" collapsed="false">
      <c r="A1519" s="4" t="s">
        <v>1400</v>
      </c>
      <c r="B1519" s="4" t="s">
        <v>14</v>
      </c>
      <c r="C1519" s="5" t="n">
        <v>1329001695</v>
      </c>
      <c r="D1519" s="6" t="s">
        <v>1578</v>
      </c>
      <c r="E1519" s="6"/>
      <c r="F1519" s="7" t="n">
        <v>46068.3696074537</v>
      </c>
      <c r="G1519" s="7" t="n">
        <v>46069.3389372685</v>
      </c>
      <c r="H1519" s="8" t="n">
        <v>3</v>
      </c>
      <c r="I1519" s="5" t="n">
        <v>401099</v>
      </c>
      <c r="J1519" s="6" t="s">
        <v>799</v>
      </c>
      <c r="K1519" s="5" t="n">
        <v>160000104</v>
      </c>
      <c r="L1519" s="9" t="n">
        <v>46013</v>
      </c>
      <c r="M1519" s="10" t="n">
        <v>47838</v>
      </c>
    </row>
    <row r="1520" customFormat="false" ht="30" hidden="false" customHeight="true" outlineLevel="0" collapsed="false">
      <c r="A1520" s="4" t="s">
        <v>1400</v>
      </c>
      <c r="B1520" s="4" t="s">
        <v>14</v>
      </c>
      <c r="C1520" s="5" t="n">
        <v>1329001695</v>
      </c>
      <c r="D1520" s="6" t="s">
        <v>1579</v>
      </c>
      <c r="E1520" s="6"/>
      <c r="F1520" s="7" t="n">
        <v>46068.3696074537</v>
      </c>
      <c r="G1520" s="7" t="n">
        <v>46069.3374701389</v>
      </c>
      <c r="H1520" s="8" t="n">
        <v>1</v>
      </c>
      <c r="I1520" s="5" t="n">
        <v>401099</v>
      </c>
      <c r="J1520" s="6" t="s">
        <v>799</v>
      </c>
      <c r="K1520" s="5" t="n">
        <v>100010867</v>
      </c>
      <c r="L1520" s="9" t="n">
        <v>45987</v>
      </c>
      <c r="M1520" s="10" t="n">
        <v>47812</v>
      </c>
    </row>
    <row r="1521" customFormat="false" ht="30" hidden="false" customHeight="true" outlineLevel="0" collapsed="false">
      <c r="A1521" s="4" t="s">
        <v>1400</v>
      </c>
      <c r="B1521" s="4" t="s">
        <v>14</v>
      </c>
      <c r="C1521" s="5" t="n">
        <v>1329001695</v>
      </c>
      <c r="D1521" s="6" t="s">
        <v>1580</v>
      </c>
      <c r="E1521" s="6"/>
      <c r="F1521" s="7" t="n">
        <v>46068.3696074537</v>
      </c>
      <c r="G1521" s="7" t="n">
        <v>46069.3358515972</v>
      </c>
      <c r="H1521" s="8" t="n">
        <v>4</v>
      </c>
      <c r="I1521" s="5" t="n">
        <v>401101</v>
      </c>
      <c r="J1521" s="6" t="s">
        <v>1581</v>
      </c>
      <c r="K1521" s="5" t="n">
        <v>160000101</v>
      </c>
      <c r="L1521" s="9" t="n">
        <v>46011</v>
      </c>
      <c r="M1521" s="10" t="n">
        <v>47836</v>
      </c>
    </row>
    <row r="1522" customFormat="false" ht="30" hidden="false" customHeight="true" outlineLevel="0" collapsed="false">
      <c r="A1522" s="4" t="s">
        <v>1400</v>
      </c>
      <c r="B1522" s="4" t="s">
        <v>14</v>
      </c>
      <c r="C1522" s="5" t="n">
        <v>1329001695</v>
      </c>
      <c r="D1522" s="6" t="s">
        <v>1582</v>
      </c>
      <c r="E1522" s="6"/>
      <c r="F1522" s="7" t="n">
        <v>46068.3696074537</v>
      </c>
      <c r="G1522" s="7" t="n">
        <v>46069.3354098611</v>
      </c>
      <c r="H1522" s="8" t="n">
        <v>4</v>
      </c>
      <c r="I1522" s="5" t="n">
        <v>401101</v>
      </c>
      <c r="J1522" s="6" t="s">
        <v>1581</v>
      </c>
      <c r="K1522" s="5" t="n">
        <v>160000101</v>
      </c>
      <c r="L1522" s="9" t="n">
        <v>46011</v>
      </c>
      <c r="M1522" s="10" t="n">
        <v>47836</v>
      </c>
    </row>
    <row r="1523" customFormat="false" ht="30" hidden="false" customHeight="true" outlineLevel="0" collapsed="false">
      <c r="A1523" s="4" t="s">
        <v>1400</v>
      </c>
      <c r="B1523" s="4" t="s">
        <v>14</v>
      </c>
      <c r="C1523" s="5" t="n">
        <v>1329001695</v>
      </c>
      <c r="D1523" s="6" t="s">
        <v>1583</v>
      </c>
      <c r="E1523" s="6"/>
      <c r="F1523" s="7" t="n">
        <v>46068.3696074537</v>
      </c>
      <c r="G1523" s="7" t="n">
        <v>46069.334918669</v>
      </c>
      <c r="H1523" s="8" t="n">
        <v>4</v>
      </c>
      <c r="I1523" s="5" t="n">
        <v>401101</v>
      </c>
      <c r="J1523" s="6" t="s">
        <v>1581</v>
      </c>
      <c r="K1523" s="5" t="n">
        <v>160000101</v>
      </c>
      <c r="L1523" s="9" t="n">
        <v>46011</v>
      </c>
      <c r="M1523" s="10" t="n">
        <v>47836</v>
      </c>
    </row>
    <row r="1524" customFormat="false" ht="30" hidden="false" customHeight="true" outlineLevel="0" collapsed="false">
      <c r="A1524" s="4" t="s">
        <v>1400</v>
      </c>
      <c r="B1524" s="4" t="s">
        <v>14</v>
      </c>
      <c r="C1524" s="5" t="n">
        <v>1329001695</v>
      </c>
      <c r="D1524" s="6" t="s">
        <v>1584</v>
      </c>
      <c r="E1524" s="6"/>
      <c r="F1524" s="7" t="n">
        <v>46068.3696074537</v>
      </c>
      <c r="G1524" s="7" t="n">
        <v>46069.3344663542</v>
      </c>
      <c r="H1524" s="8" t="n">
        <v>4</v>
      </c>
      <c r="I1524" s="5" t="n">
        <v>401101</v>
      </c>
      <c r="J1524" s="6" t="s">
        <v>1581</v>
      </c>
      <c r="K1524" s="5" t="n">
        <v>160000101</v>
      </c>
      <c r="L1524" s="9" t="n">
        <v>46011</v>
      </c>
      <c r="M1524" s="10" t="n">
        <v>47836</v>
      </c>
    </row>
    <row r="1525" customFormat="false" ht="30" hidden="false" customHeight="true" outlineLevel="0" collapsed="false">
      <c r="A1525" s="4" t="s">
        <v>1400</v>
      </c>
      <c r="B1525" s="4" t="s">
        <v>14</v>
      </c>
      <c r="C1525" s="5" t="n">
        <v>1329001695</v>
      </c>
      <c r="D1525" s="6" t="s">
        <v>1585</v>
      </c>
      <c r="E1525" s="6"/>
      <c r="F1525" s="7" t="n">
        <v>46068.3696074537</v>
      </c>
      <c r="G1525" s="7" t="n">
        <v>46069.3397607639</v>
      </c>
      <c r="H1525" s="8" t="n">
        <v>4</v>
      </c>
      <c r="I1525" s="5" t="n">
        <v>400428</v>
      </c>
      <c r="J1525" s="6" t="s">
        <v>536</v>
      </c>
      <c r="K1525" s="5" t="n">
        <v>100011166</v>
      </c>
      <c r="L1525" s="9" t="n">
        <v>46015</v>
      </c>
      <c r="M1525" s="10" t="n">
        <v>47840</v>
      </c>
    </row>
    <row r="1526" customFormat="false" ht="30" hidden="false" customHeight="true" outlineLevel="0" collapsed="false">
      <c r="A1526" s="4" t="s">
        <v>1400</v>
      </c>
      <c r="B1526" s="4" t="s">
        <v>14</v>
      </c>
      <c r="C1526" s="5" t="n">
        <v>1329001695</v>
      </c>
      <c r="D1526" s="6" t="s">
        <v>1586</v>
      </c>
      <c r="E1526" s="6"/>
      <c r="F1526" s="7" t="n">
        <v>46068.3696074537</v>
      </c>
      <c r="G1526" s="7" t="n">
        <v>46069.3335709144</v>
      </c>
      <c r="H1526" s="8" t="n">
        <v>1</v>
      </c>
      <c r="I1526" s="5" t="n">
        <v>400428</v>
      </c>
      <c r="J1526" s="6" t="s">
        <v>536</v>
      </c>
      <c r="K1526" s="5" t="n">
        <v>100011166</v>
      </c>
      <c r="L1526" s="9" t="n">
        <v>46015</v>
      </c>
      <c r="M1526" s="10" t="n">
        <v>47840</v>
      </c>
    </row>
    <row r="1527" customFormat="false" ht="30" hidden="false" customHeight="true" outlineLevel="0" collapsed="false">
      <c r="A1527" s="4" t="s">
        <v>1400</v>
      </c>
      <c r="B1527" s="4" t="s">
        <v>14</v>
      </c>
      <c r="C1527" s="5" t="n">
        <v>1329001695</v>
      </c>
      <c r="D1527" s="6" t="s">
        <v>1587</v>
      </c>
      <c r="E1527" s="6"/>
      <c r="F1527" s="7" t="n">
        <v>46068.3696074537</v>
      </c>
      <c r="G1527" s="7" t="n">
        <v>46069.3339695255</v>
      </c>
      <c r="H1527" s="8" t="n">
        <v>3</v>
      </c>
      <c r="I1527" s="5" t="n">
        <v>401101</v>
      </c>
      <c r="J1527" s="6" t="s">
        <v>1581</v>
      </c>
      <c r="K1527" s="5" t="n">
        <v>160000101</v>
      </c>
      <c r="L1527" s="9" t="n">
        <v>46011</v>
      </c>
      <c r="M1527" s="10" t="n">
        <v>47836</v>
      </c>
    </row>
    <row r="1528" customFormat="false" ht="30" hidden="false" customHeight="true" outlineLevel="0" collapsed="false">
      <c r="A1528" s="4" t="s">
        <v>1400</v>
      </c>
      <c r="B1528" s="4" t="s">
        <v>14</v>
      </c>
      <c r="C1528" s="5" t="n">
        <v>1329001695</v>
      </c>
      <c r="D1528" s="6" t="s">
        <v>1588</v>
      </c>
      <c r="E1528" s="6"/>
      <c r="F1528" s="7" t="n">
        <v>46068.3696074537</v>
      </c>
      <c r="G1528" s="7" t="n">
        <v>46069.3319252546</v>
      </c>
      <c r="H1528" s="8" t="n">
        <v>4</v>
      </c>
      <c r="I1528" s="5" t="n">
        <v>401101</v>
      </c>
      <c r="J1528" s="6" t="s">
        <v>1581</v>
      </c>
      <c r="K1528" s="5" t="n">
        <v>160000101</v>
      </c>
      <c r="L1528" s="9" t="n">
        <v>46011</v>
      </c>
      <c r="M1528" s="10" t="n">
        <v>47836</v>
      </c>
    </row>
    <row r="1529" customFormat="false" ht="30" hidden="false" customHeight="true" outlineLevel="0" collapsed="false">
      <c r="A1529" s="4" t="s">
        <v>1400</v>
      </c>
      <c r="B1529" s="4" t="s">
        <v>14</v>
      </c>
      <c r="C1529" s="5" t="n">
        <v>1329001695</v>
      </c>
      <c r="D1529" s="6" t="s">
        <v>1589</v>
      </c>
      <c r="E1529" s="6"/>
      <c r="F1529" s="7" t="n">
        <v>46068.3696074537</v>
      </c>
      <c r="G1529" s="7" t="n">
        <v>46069.3441024074</v>
      </c>
      <c r="H1529" s="8" t="n">
        <v>4</v>
      </c>
      <c r="I1529" s="5" t="n">
        <v>400459</v>
      </c>
      <c r="J1529" s="6" t="s">
        <v>1091</v>
      </c>
      <c r="K1529" s="5" t="n">
        <v>153000094</v>
      </c>
      <c r="L1529" s="9" t="n">
        <v>46062</v>
      </c>
      <c r="M1529" s="10" t="n">
        <v>47887</v>
      </c>
    </row>
    <row r="1530" customFormat="false" ht="30" hidden="false" customHeight="true" outlineLevel="0" collapsed="false">
      <c r="A1530" s="4" t="s">
        <v>1400</v>
      </c>
      <c r="B1530" s="4" t="s">
        <v>14</v>
      </c>
      <c r="C1530" s="5" t="n">
        <v>1329001695</v>
      </c>
      <c r="D1530" s="6" t="s">
        <v>1590</v>
      </c>
      <c r="E1530" s="6"/>
      <c r="F1530" s="7" t="n">
        <v>46068.3696074537</v>
      </c>
      <c r="G1530" s="7" t="n">
        <v>46069.3438696759</v>
      </c>
      <c r="H1530" s="8" t="n">
        <v>4</v>
      </c>
      <c r="I1530" s="5" t="n">
        <v>400459</v>
      </c>
      <c r="J1530" s="6" t="s">
        <v>1091</v>
      </c>
      <c r="K1530" s="5" t="n">
        <v>153000094</v>
      </c>
      <c r="L1530" s="9" t="n">
        <v>46062</v>
      </c>
      <c r="M1530" s="10" t="n">
        <v>47887</v>
      </c>
    </row>
    <row r="1531" customFormat="false" ht="30" hidden="false" customHeight="true" outlineLevel="0" collapsed="false">
      <c r="A1531" s="4" t="s">
        <v>1400</v>
      </c>
      <c r="B1531" s="4" t="s">
        <v>14</v>
      </c>
      <c r="C1531" s="5" t="n">
        <v>1329001695</v>
      </c>
      <c r="D1531" s="6" t="s">
        <v>1591</v>
      </c>
      <c r="E1531" s="6"/>
      <c r="F1531" s="7" t="n">
        <v>46068.3696074537</v>
      </c>
      <c r="G1531" s="7" t="n">
        <v>46069.3436340162</v>
      </c>
      <c r="H1531" s="8" t="n">
        <v>4</v>
      </c>
      <c r="I1531" s="5" t="n">
        <v>400459</v>
      </c>
      <c r="J1531" s="6" t="s">
        <v>1091</v>
      </c>
      <c r="K1531" s="5" t="n">
        <v>153000094</v>
      </c>
      <c r="L1531" s="9" t="n">
        <v>46062</v>
      </c>
      <c r="M1531" s="10" t="n">
        <v>47887</v>
      </c>
    </row>
    <row r="1532" customFormat="false" ht="30" hidden="false" customHeight="true" outlineLevel="0" collapsed="false">
      <c r="A1532" s="4" t="s">
        <v>1400</v>
      </c>
      <c r="B1532" s="4" t="s">
        <v>14</v>
      </c>
      <c r="C1532" s="5" t="n">
        <v>1329001695</v>
      </c>
      <c r="D1532" s="6" t="s">
        <v>1592</v>
      </c>
      <c r="E1532" s="6"/>
      <c r="F1532" s="7" t="n">
        <v>46068.3696074537</v>
      </c>
      <c r="G1532" s="7" t="n">
        <v>46069.3433040278</v>
      </c>
      <c r="H1532" s="8" t="n">
        <v>4</v>
      </c>
      <c r="I1532" s="5" t="n">
        <v>400459</v>
      </c>
      <c r="J1532" s="6" t="s">
        <v>1091</v>
      </c>
      <c r="K1532" s="5" t="n">
        <v>153000094</v>
      </c>
      <c r="L1532" s="9" t="n">
        <v>46062</v>
      </c>
      <c r="M1532" s="10" t="n">
        <v>47887</v>
      </c>
    </row>
    <row r="1533" customFormat="false" ht="30" hidden="false" customHeight="true" outlineLevel="0" collapsed="false">
      <c r="A1533" s="4" t="s">
        <v>1400</v>
      </c>
      <c r="B1533" s="4" t="s">
        <v>14</v>
      </c>
      <c r="C1533" s="5" t="n">
        <v>1329001695</v>
      </c>
      <c r="D1533" s="6" t="s">
        <v>1593</v>
      </c>
      <c r="E1533" s="6"/>
      <c r="F1533" s="7" t="n">
        <v>46068.3696074537</v>
      </c>
      <c r="G1533" s="7" t="n">
        <v>46069.3428172222</v>
      </c>
      <c r="H1533" s="8" t="n">
        <v>4</v>
      </c>
      <c r="I1533" s="5" t="n">
        <v>400459</v>
      </c>
      <c r="J1533" s="6" t="s">
        <v>1091</v>
      </c>
      <c r="K1533" s="5" t="n">
        <v>153000094</v>
      </c>
      <c r="L1533" s="9" t="n">
        <v>46062</v>
      </c>
      <c r="M1533" s="10" t="n">
        <v>47887</v>
      </c>
    </row>
    <row r="1534" customFormat="false" ht="30" hidden="false" customHeight="true" outlineLevel="0" collapsed="false">
      <c r="A1534" s="4" t="s">
        <v>1400</v>
      </c>
      <c r="B1534" s="4" t="s">
        <v>14</v>
      </c>
      <c r="C1534" s="5" t="n">
        <v>1329001695</v>
      </c>
      <c r="D1534" s="6" t="s">
        <v>1594</v>
      </c>
      <c r="E1534" s="6"/>
      <c r="F1534" s="7" t="n">
        <v>46068.3696074537</v>
      </c>
      <c r="G1534" s="7" t="n">
        <v>46069.3331482176</v>
      </c>
      <c r="H1534" s="8" t="n">
        <v>1</v>
      </c>
      <c r="I1534" s="5" t="n">
        <v>400428</v>
      </c>
      <c r="J1534" s="6" t="s">
        <v>536</v>
      </c>
      <c r="K1534" s="5" t="n">
        <v>100010722</v>
      </c>
      <c r="L1534" s="9" t="n">
        <v>45974</v>
      </c>
      <c r="M1534" s="10" t="n">
        <v>47799</v>
      </c>
    </row>
    <row r="1535" customFormat="false" ht="30" hidden="false" customHeight="true" outlineLevel="0" collapsed="false">
      <c r="A1535" s="4" t="s">
        <v>1400</v>
      </c>
      <c r="B1535" s="4" t="s">
        <v>14</v>
      </c>
      <c r="C1535" s="5" t="n">
        <v>1329001695</v>
      </c>
      <c r="D1535" s="6" t="s">
        <v>1595</v>
      </c>
      <c r="E1535" s="6"/>
      <c r="F1535" s="7" t="n">
        <v>46068.3696074537</v>
      </c>
      <c r="G1535" s="7" t="n">
        <v>46069.3304402662</v>
      </c>
      <c r="H1535" s="8" t="n">
        <v>4</v>
      </c>
      <c r="I1535" s="5" t="n">
        <v>401101</v>
      </c>
      <c r="J1535" s="6" t="s">
        <v>1581</v>
      </c>
      <c r="K1535" s="5" t="n">
        <v>160000101</v>
      </c>
      <c r="L1535" s="9" t="n">
        <v>46011</v>
      </c>
      <c r="M1535" s="10" t="n">
        <v>47836</v>
      </c>
    </row>
    <row r="1536" customFormat="false" ht="30" hidden="false" customHeight="true" outlineLevel="0" collapsed="false">
      <c r="A1536" s="4" t="s">
        <v>1400</v>
      </c>
      <c r="B1536" s="4" t="s">
        <v>14</v>
      </c>
      <c r="C1536" s="5" t="n">
        <v>1329001695</v>
      </c>
      <c r="D1536" s="6" t="s">
        <v>1596</v>
      </c>
      <c r="E1536" s="6"/>
      <c r="F1536" s="7" t="n">
        <v>46068.3696074537</v>
      </c>
      <c r="G1536" s="7" t="n">
        <v>46069.3369970486</v>
      </c>
      <c r="H1536" s="8" t="n">
        <v>3</v>
      </c>
      <c r="I1536" s="5" t="n">
        <v>401099</v>
      </c>
      <c r="J1536" s="6" t="s">
        <v>799</v>
      </c>
      <c r="K1536" s="5" t="n">
        <v>160000105</v>
      </c>
      <c r="L1536" s="9" t="n">
        <v>46013</v>
      </c>
      <c r="M1536" s="10" t="n">
        <v>47838</v>
      </c>
    </row>
    <row r="1537" customFormat="false" ht="30" hidden="false" customHeight="true" outlineLevel="0" collapsed="false">
      <c r="A1537" s="4" t="s">
        <v>1400</v>
      </c>
      <c r="B1537" s="4" t="s">
        <v>14</v>
      </c>
      <c r="C1537" s="11" t="s">
        <v>1597</v>
      </c>
      <c r="D1537" s="6" t="s">
        <v>1598</v>
      </c>
      <c r="E1537" s="6"/>
      <c r="F1537" s="7" t="n">
        <v>46069.2938423727</v>
      </c>
      <c r="G1537" s="7" t="n">
        <v>46069.4541299074</v>
      </c>
      <c r="H1537" s="8" t="n">
        <v>4</v>
      </c>
      <c r="I1537" s="5" t="n">
        <v>400567</v>
      </c>
      <c r="J1537" s="6" t="s">
        <v>1402</v>
      </c>
      <c r="K1537" s="5" t="n">
        <v>100011153</v>
      </c>
      <c r="L1537" s="9" t="n">
        <v>46014</v>
      </c>
      <c r="M1537" s="10" t="n">
        <v>47839</v>
      </c>
    </row>
    <row r="1538" customFormat="false" ht="30" hidden="false" customHeight="true" outlineLevel="0" collapsed="false">
      <c r="A1538" s="4" t="s">
        <v>1400</v>
      </c>
      <c r="B1538" s="4" t="s">
        <v>14</v>
      </c>
      <c r="C1538" s="11" t="s">
        <v>1597</v>
      </c>
      <c r="D1538" s="6" t="s">
        <v>1599</v>
      </c>
      <c r="E1538" s="6"/>
      <c r="F1538" s="7" t="n">
        <v>46069.2938423727</v>
      </c>
      <c r="G1538" s="7" t="n">
        <v>46069.4501594329</v>
      </c>
      <c r="H1538" s="8" t="n">
        <v>32</v>
      </c>
      <c r="I1538" s="5" t="n">
        <v>400568</v>
      </c>
      <c r="J1538" s="6" t="s">
        <v>1600</v>
      </c>
      <c r="K1538" s="5" t="n">
        <v>153000022</v>
      </c>
      <c r="L1538" s="9"/>
      <c r="M1538" s="10" t="n">
        <v>47861</v>
      </c>
    </row>
    <row r="1539" customFormat="false" ht="30" hidden="false" customHeight="true" outlineLevel="0" collapsed="false">
      <c r="A1539" s="4" t="s">
        <v>1400</v>
      </c>
      <c r="B1539" s="4" t="s">
        <v>14</v>
      </c>
      <c r="C1539" s="11" t="s">
        <v>1597</v>
      </c>
      <c r="D1539" s="6" t="s">
        <v>1601</v>
      </c>
      <c r="E1539" s="6"/>
      <c r="F1539" s="7" t="n">
        <v>46069.2938423727</v>
      </c>
      <c r="G1539" s="7" t="n">
        <v>46069.4499144329</v>
      </c>
      <c r="H1539" s="8" t="n">
        <v>32</v>
      </c>
      <c r="I1539" s="5" t="n">
        <v>400568</v>
      </c>
      <c r="J1539" s="6" t="s">
        <v>1600</v>
      </c>
      <c r="K1539" s="5" t="n">
        <v>153000022</v>
      </c>
      <c r="L1539" s="9"/>
      <c r="M1539" s="10" t="n">
        <v>47861</v>
      </c>
    </row>
    <row r="1540" customFormat="false" ht="30" hidden="false" customHeight="true" outlineLevel="0" collapsed="false">
      <c r="A1540" s="4" t="s">
        <v>1400</v>
      </c>
      <c r="B1540" s="4" t="s">
        <v>14</v>
      </c>
      <c r="C1540" s="11" t="s">
        <v>1597</v>
      </c>
      <c r="D1540" s="6" t="s">
        <v>1602</v>
      </c>
      <c r="E1540" s="6"/>
      <c r="F1540" s="7" t="n">
        <v>46069.2938423727</v>
      </c>
      <c r="G1540" s="7" t="n">
        <v>46069.4497008796</v>
      </c>
      <c r="H1540" s="8" t="n">
        <v>32</v>
      </c>
      <c r="I1540" s="5" t="n">
        <v>400568</v>
      </c>
      <c r="J1540" s="6" t="s">
        <v>1600</v>
      </c>
      <c r="K1540" s="5" t="n">
        <v>153000022</v>
      </c>
      <c r="L1540" s="9"/>
      <c r="M1540" s="10" t="n">
        <v>47861</v>
      </c>
    </row>
    <row r="1541" customFormat="false" ht="30" hidden="false" customHeight="true" outlineLevel="0" collapsed="false">
      <c r="A1541" s="4" t="s">
        <v>1400</v>
      </c>
      <c r="B1541" s="4" t="s">
        <v>14</v>
      </c>
      <c r="C1541" s="11" t="s">
        <v>1597</v>
      </c>
      <c r="D1541" s="6" t="s">
        <v>1603</v>
      </c>
      <c r="E1541" s="6"/>
      <c r="F1541" s="7" t="n">
        <v>46069.2938423727</v>
      </c>
      <c r="G1541" s="7" t="n">
        <v>46069.4510276273</v>
      </c>
      <c r="H1541" s="8" t="n">
        <v>32</v>
      </c>
      <c r="I1541" s="5" t="n">
        <v>400568</v>
      </c>
      <c r="J1541" s="6" t="s">
        <v>1600</v>
      </c>
      <c r="K1541" s="5" t="n">
        <v>153000022</v>
      </c>
      <c r="L1541" s="9"/>
      <c r="M1541" s="10" t="n">
        <v>47861</v>
      </c>
    </row>
    <row r="1542" customFormat="false" ht="30" hidden="false" customHeight="true" outlineLevel="0" collapsed="false">
      <c r="A1542" s="4" t="s">
        <v>1400</v>
      </c>
      <c r="B1542" s="4" t="s">
        <v>14</v>
      </c>
      <c r="C1542" s="11" t="s">
        <v>1597</v>
      </c>
      <c r="D1542" s="6" t="s">
        <v>1604</v>
      </c>
      <c r="E1542" s="6"/>
      <c r="F1542" s="7" t="n">
        <v>46069.2938423727</v>
      </c>
      <c r="G1542" s="7" t="n">
        <v>46069.4506583449</v>
      </c>
      <c r="H1542" s="8" t="n">
        <v>32</v>
      </c>
      <c r="I1542" s="5" t="n">
        <v>400568</v>
      </c>
      <c r="J1542" s="6" t="s">
        <v>1600</v>
      </c>
      <c r="K1542" s="5" t="n">
        <v>153000022</v>
      </c>
      <c r="L1542" s="9"/>
      <c r="M1542" s="10" t="n">
        <v>47861</v>
      </c>
    </row>
    <row r="1543" customFormat="false" ht="30" hidden="false" customHeight="true" outlineLevel="0" collapsed="false">
      <c r="A1543" s="4" t="s">
        <v>1400</v>
      </c>
      <c r="B1543" s="4" t="s">
        <v>14</v>
      </c>
      <c r="C1543" s="11" t="s">
        <v>1597</v>
      </c>
      <c r="D1543" s="6" t="s">
        <v>1605</v>
      </c>
      <c r="E1543" s="6"/>
      <c r="F1543" s="7" t="n">
        <v>46069.2938423727</v>
      </c>
      <c r="G1543" s="7" t="n">
        <v>46069.4503757523</v>
      </c>
      <c r="H1543" s="8" t="n">
        <v>32</v>
      </c>
      <c r="I1543" s="5" t="n">
        <v>400568</v>
      </c>
      <c r="J1543" s="6" t="s">
        <v>1600</v>
      </c>
      <c r="K1543" s="5" t="n">
        <v>153000022</v>
      </c>
      <c r="L1543" s="9"/>
      <c r="M1543" s="10" t="n">
        <v>47861</v>
      </c>
    </row>
    <row r="1544" customFormat="false" ht="30" hidden="false" customHeight="true" outlineLevel="0" collapsed="false">
      <c r="A1544" s="4" t="s">
        <v>1400</v>
      </c>
      <c r="B1544" s="4" t="s">
        <v>14</v>
      </c>
      <c r="C1544" s="11" t="s">
        <v>1597</v>
      </c>
      <c r="D1544" s="6" t="s">
        <v>1606</v>
      </c>
      <c r="E1544" s="6"/>
      <c r="F1544" s="7" t="n">
        <v>46069.2938423727</v>
      </c>
      <c r="G1544" s="7" t="n">
        <v>46069.4494334028</v>
      </c>
      <c r="H1544" s="8" t="n">
        <v>32</v>
      </c>
      <c r="I1544" s="5" t="n">
        <v>400568</v>
      </c>
      <c r="J1544" s="6" t="s">
        <v>1600</v>
      </c>
      <c r="K1544" s="5" t="n">
        <v>153000022</v>
      </c>
      <c r="L1544" s="9"/>
      <c r="M1544" s="10" t="n">
        <v>47861</v>
      </c>
    </row>
    <row r="1545" customFormat="false" ht="30" hidden="false" customHeight="true" outlineLevel="0" collapsed="false">
      <c r="A1545" s="4" t="s">
        <v>1400</v>
      </c>
      <c r="B1545" s="4" t="s">
        <v>14</v>
      </c>
      <c r="C1545" s="11" t="s">
        <v>1597</v>
      </c>
      <c r="D1545" s="6" t="s">
        <v>1607</v>
      </c>
      <c r="E1545" s="6"/>
      <c r="F1545" s="7" t="n">
        <v>46069.2938423727</v>
      </c>
      <c r="G1545" s="7" t="n">
        <v>46069.4575351852</v>
      </c>
      <c r="H1545" s="8" t="n">
        <v>52</v>
      </c>
      <c r="I1545" s="5" t="n">
        <v>401119</v>
      </c>
      <c r="J1545" s="6" t="s">
        <v>1213</v>
      </c>
      <c r="K1545" s="5" t="n">
        <v>100011164</v>
      </c>
      <c r="L1545" s="9" t="n">
        <v>46014</v>
      </c>
      <c r="M1545" s="10" t="n">
        <v>47839</v>
      </c>
    </row>
    <row r="1546" customFormat="false" ht="30" hidden="false" customHeight="true" outlineLevel="0" collapsed="false">
      <c r="A1546" s="4" t="s">
        <v>1400</v>
      </c>
      <c r="B1546" s="4" t="s">
        <v>14</v>
      </c>
      <c r="C1546" s="11" t="s">
        <v>1597</v>
      </c>
      <c r="D1546" s="6" t="s">
        <v>1608</v>
      </c>
      <c r="E1546" s="6"/>
      <c r="F1546" s="7" t="n">
        <v>46069.2938423727</v>
      </c>
      <c r="G1546" s="7" t="n">
        <v>46069.4553685648</v>
      </c>
      <c r="H1546" s="8" t="n">
        <v>4</v>
      </c>
      <c r="I1546" s="5" t="n">
        <v>400567</v>
      </c>
      <c r="J1546" s="6" t="s">
        <v>1402</v>
      </c>
      <c r="K1546" s="5" t="n">
        <v>100011153</v>
      </c>
      <c r="L1546" s="9" t="n">
        <v>46014</v>
      </c>
      <c r="M1546" s="10" t="n">
        <v>47839</v>
      </c>
    </row>
    <row r="1547" customFormat="false" ht="30" hidden="false" customHeight="true" outlineLevel="0" collapsed="false">
      <c r="A1547" s="4" t="s">
        <v>1400</v>
      </c>
      <c r="B1547" s="4" t="s">
        <v>14</v>
      </c>
      <c r="C1547" s="11" t="s">
        <v>1597</v>
      </c>
      <c r="D1547" s="6" t="s">
        <v>1609</v>
      </c>
      <c r="E1547" s="6"/>
      <c r="F1547" s="7" t="n">
        <v>46069.2938423727</v>
      </c>
      <c r="G1547" s="7" t="n">
        <v>46069.455112338</v>
      </c>
      <c r="H1547" s="8" t="n">
        <v>4</v>
      </c>
      <c r="I1547" s="5" t="n">
        <v>400567</v>
      </c>
      <c r="J1547" s="6" t="s">
        <v>1402</v>
      </c>
      <c r="K1547" s="5" t="n">
        <v>100011153</v>
      </c>
      <c r="L1547" s="9" t="n">
        <v>46014</v>
      </c>
      <c r="M1547" s="10" t="n">
        <v>47839</v>
      </c>
    </row>
    <row r="1548" customFormat="false" ht="30" hidden="false" customHeight="true" outlineLevel="0" collapsed="false">
      <c r="A1548" s="4" t="s">
        <v>1400</v>
      </c>
      <c r="B1548" s="4" t="s">
        <v>14</v>
      </c>
      <c r="C1548" s="11" t="s">
        <v>1597</v>
      </c>
      <c r="D1548" s="6" t="s">
        <v>1610</v>
      </c>
      <c r="E1548" s="6"/>
      <c r="F1548" s="7" t="n">
        <v>46069.2938423727</v>
      </c>
      <c r="G1548" s="7" t="n">
        <v>46069.4547239699</v>
      </c>
      <c r="H1548" s="8" t="n">
        <v>4</v>
      </c>
      <c r="I1548" s="5" t="n">
        <v>400567</v>
      </c>
      <c r="J1548" s="6" t="s">
        <v>1402</v>
      </c>
      <c r="K1548" s="5" t="n">
        <v>100011153</v>
      </c>
      <c r="L1548" s="9" t="n">
        <v>46014</v>
      </c>
      <c r="M1548" s="10" t="n">
        <v>47839</v>
      </c>
    </row>
    <row r="1549" customFormat="false" ht="30" hidden="false" customHeight="true" outlineLevel="0" collapsed="false">
      <c r="A1549" s="4" t="s">
        <v>1400</v>
      </c>
      <c r="B1549" s="4" t="s">
        <v>14</v>
      </c>
      <c r="C1549" s="11" t="s">
        <v>1597</v>
      </c>
      <c r="D1549" s="6" t="s">
        <v>1611</v>
      </c>
      <c r="E1549" s="6"/>
      <c r="F1549" s="7" t="n">
        <v>46069.2938423727</v>
      </c>
      <c r="G1549" s="7" t="n">
        <v>46069.454407037</v>
      </c>
      <c r="H1549" s="8" t="n">
        <v>4</v>
      </c>
      <c r="I1549" s="5" t="n">
        <v>400567</v>
      </c>
      <c r="J1549" s="6" t="s">
        <v>1402</v>
      </c>
      <c r="K1549" s="5" t="n">
        <v>100011153</v>
      </c>
      <c r="L1549" s="9" t="n">
        <v>46014</v>
      </c>
      <c r="M1549" s="10" t="n">
        <v>47839</v>
      </c>
    </row>
    <row r="1550" customFormat="false" ht="30" hidden="false" customHeight="true" outlineLevel="0" collapsed="false">
      <c r="A1550" s="4" t="s">
        <v>1400</v>
      </c>
      <c r="B1550" s="4" t="s">
        <v>14</v>
      </c>
      <c r="C1550" s="11" t="s">
        <v>1597</v>
      </c>
      <c r="D1550" s="6" t="s">
        <v>1612</v>
      </c>
      <c r="E1550" s="6"/>
      <c r="F1550" s="7" t="n">
        <v>46069.2938423727</v>
      </c>
      <c r="G1550" s="7" t="n">
        <v>46069.4572227083</v>
      </c>
      <c r="H1550" s="8" t="n">
        <v>52</v>
      </c>
      <c r="I1550" s="5" t="n">
        <v>401119</v>
      </c>
      <c r="J1550" s="6" t="s">
        <v>1213</v>
      </c>
      <c r="K1550" s="5" t="n">
        <v>100011164</v>
      </c>
      <c r="L1550" s="9" t="n">
        <v>46014</v>
      </c>
      <c r="M1550" s="10" t="n">
        <v>47839</v>
      </c>
    </row>
    <row r="1551" customFormat="false" ht="30" hidden="false" customHeight="true" outlineLevel="0" collapsed="false">
      <c r="A1551" s="4" t="s">
        <v>1400</v>
      </c>
      <c r="B1551" s="4" t="s">
        <v>14</v>
      </c>
      <c r="C1551" s="11" t="s">
        <v>1597</v>
      </c>
      <c r="D1551" s="6" t="s">
        <v>1613</v>
      </c>
      <c r="E1551" s="6"/>
      <c r="F1551" s="7" t="n">
        <v>46069.2938423727</v>
      </c>
      <c r="G1551" s="7" t="n">
        <v>46069.4535320139</v>
      </c>
      <c r="H1551" s="8" t="n">
        <v>52</v>
      </c>
      <c r="I1551" s="5" t="n">
        <v>401119</v>
      </c>
      <c r="J1551" s="6" t="s">
        <v>1213</v>
      </c>
      <c r="K1551" s="5" t="n">
        <v>100011164</v>
      </c>
      <c r="L1551" s="9" t="n">
        <v>46014</v>
      </c>
      <c r="M1551" s="10" t="n">
        <v>47839</v>
      </c>
    </row>
    <row r="1552" customFormat="false" ht="30" hidden="false" customHeight="true" outlineLevel="0" collapsed="false">
      <c r="A1552" s="4" t="s">
        <v>1400</v>
      </c>
      <c r="B1552" s="4" t="s">
        <v>14</v>
      </c>
      <c r="C1552" s="11" t="s">
        <v>1597</v>
      </c>
      <c r="D1552" s="6" t="s">
        <v>1614</v>
      </c>
      <c r="E1552" s="6"/>
      <c r="F1552" s="7" t="n">
        <v>46069.2938423727</v>
      </c>
      <c r="G1552" s="7" t="n">
        <v>46070.2793718866</v>
      </c>
      <c r="H1552" s="8" t="n">
        <v>14</v>
      </c>
      <c r="I1552" s="5" t="n">
        <v>400568</v>
      </c>
      <c r="J1552" s="6" t="s">
        <v>1600</v>
      </c>
      <c r="K1552" s="5" t="n">
        <v>153000022</v>
      </c>
      <c r="L1552" s="9" t="n">
        <v>46036</v>
      </c>
      <c r="M1552" s="10" t="n">
        <v>47861</v>
      </c>
    </row>
    <row r="1553" customFormat="false" ht="30" hidden="false" customHeight="true" outlineLevel="0" collapsed="false">
      <c r="A1553" s="4" t="s">
        <v>1400</v>
      </c>
      <c r="B1553" s="4" t="s">
        <v>14</v>
      </c>
      <c r="C1553" s="11" t="s">
        <v>1597</v>
      </c>
      <c r="D1553" s="6" t="s">
        <v>1615</v>
      </c>
      <c r="E1553" s="6"/>
      <c r="F1553" s="7" t="n">
        <v>46069.2938423727</v>
      </c>
      <c r="G1553" s="7" t="n">
        <v>46069.4515188889</v>
      </c>
      <c r="H1553" s="8" t="n">
        <v>32</v>
      </c>
      <c r="I1553" s="5" t="n">
        <v>400568</v>
      </c>
      <c r="J1553" s="6" t="s">
        <v>1600</v>
      </c>
      <c r="K1553" s="5" t="n">
        <v>153000022</v>
      </c>
      <c r="L1553" s="9" t="n">
        <v>46036</v>
      </c>
      <c r="M1553" s="10" t="n">
        <v>47861</v>
      </c>
    </row>
    <row r="1554" customFormat="false" ht="30" hidden="false" customHeight="true" outlineLevel="0" collapsed="false">
      <c r="A1554" s="4" t="s">
        <v>1400</v>
      </c>
      <c r="B1554" s="4" t="s">
        <v>14</v>
      </c>
      <c r="C1554" s="11" t="s">
        <v>1597</v>
      </c>
      <c r="D1554" s="6" t="s">
        <v>1616</v>
      </c>
      <c r="E1554" s="6"/>
      <c r="F1554" s="7" t="n">
        <v>46069.2938423727</v>
      </c>
      <c r="G1554" s="7" t="n">
        <v>46069.453113912</v>
      </c>
      <c r="H1554" s="8" t="n">
        <v>52</v>
      </c>
      <c r="I1554" s="5" t="n">
        <v>401119</v>
      </c>
      <c r="J1554" s="6" t="s">
        <v>1213</v>
      </c>
      <c r="K1554" s="5" t="n">
        <v>100011164</v>
      </c>
      <c r="L1554" s="9" t="n">
        <v>46014</v>
      </c>
      <c r="M1554" s="10" t="n">
        <v>47839</v>
      </c>
    </row>
    <row r="1555" customFormat="false" ht="30" hidden="true" customHeight="true" outlineLevel="0" collapsed="false">
      <c r="A1555" s="4" t="s">
        <v>13</v>
      </c>
      <c r="B1555" s="4" t="s">
        <v>14</v>
      </c>
      <c r="C1555" s="5" t="n">
        <v>1329001701</v>
      </c>
      <c r="D1555" s="6" t="s">
        <v>1617</v>
      </c>
      <c r="E1555" s="6"/>
      <c r="F1555" s="7" t="n">
        <v>46069.3030878704</v>
      </c>
      <c r="G1555" s="7" t="n">
        <v>46069.5160644907</v>
      </c>
      <c r="H1555" s="8" t="n">
        <v>4</v>
      </c>
      <c r="I1555" s="5" t="n">
        <v>400389</v>
      </c>
      <c r="J1555" s="6" t="s">
        <v>1538</v>
      </c>
      <c r="K1555" s="5" t="n">
        <v>153000093</v>
      </c>
      <c r="L1555" s="9" t="n">
        <v>46061</v>
      </c>
      <c r="M1555" s="10" t="n">
        <v>47886</v>
      </c>
    </row>
    <row r="1556" customFormat="false" ht="30" hidden="true" customHeight="true" outlineLevel="0" collapsed="false">
      <c r="A1556" s="4" t="s">
        <v>13</v>
      </c>
      <c r="B1556" s="4" t="s">
        <v>14</v>
      </c>
      <c r="C1556" s="5" t="n">
        <v>1329001701</v>
      </c>
      <c r="D1556" s="6" t="s">
        <v>1618</v>
      </c>
      <c r="E1556" s="6"/>
      <c r="F1556" s="7" t="n">
        <v>46069.3030878704</v>
      </c>
      <c r="G1556" s="7" t="n">
        <v>46069.5149327662</v>
      </c>
      <c r="H1556" s="8" t="n">
        <v>4</v>
      </c>
      <c r="I1556" s="5" t="n">
        <v>400411</v>
      </c>
      <c r="J1556" s="6" t="s">
        <v>1217</v>
      </c>
      <c r="K1556" s="5" t="n">
        <v>153000104</v>
      </c>
      <c r="L1556" s="9" t="n">
        <v>46063</v>
      </c>
      <c r="M1556" s="10" t="n">
        <v>47888</v>
      </c>
    </row>
    <row r="1557" customFormat="false" ht="30" hidden="true" customHeight="true" outlineLevel="0" collapsed="false">
      <c r="A1557" s="4" t="s">
        <v>13</v>
      </c>
      <c r="B1557" s="4" t="s">
        <v>14</v>
      </c>
      <c r="C1557" s="5" t="n">
        <v>1329001701</v>
      </c>
      <c r="D1557" s="6" t="s">
        <v>1619</v>
      </c>
      <c r="E1557" s="6"/>
      <c r="F1557" s="7" t="n">
        <v>46069.3030878704</v>
      </c>
      <c r="G1557" s="7" t="n">
        <v>46069.5206640741</v>
      </c>
      <c r="H1557" s="8" t="n">
        <v>4</v>
      </c>
      <c r="I1557" s="5" t="n">
        <v>400459</v>
      </c>
      <c r="J1557" s="6" t="s">
        <v>1091</v>
      </c>
      <c r="K1557" s="5" t="n">
        <v>153000094</v>
      </c>
      <c r="L1557" s="9" t="n">
        <v>46062</v>
      </c>
      <c r="M1557" s="10" t="n">
        <v>47887</v>
      </c>
    </row>
    <row r="1558" customFormat="false" ht="30" hidden="true" customHeight="true" outlineLevel="0" collapsed="false">
      <c r="A1558" s="4" t="s">
        <v>13</v>
      </c>
      <c r="B1558" s="4" t="s">
        <v>14</v>
      </c>
      <c r="C1558" s="5" t="n">
        <v>1329001701</v>
      </c>
      <c r="D1558" s="6" t="s">
        <v>1620</v>
      </c>
      <c r="E1558" s="6"/>
      <c r="F1558" s="7" t="n">
        <v>46069.3030878704</v>
      </c>
      <c r="G1558" s="7" t="n">
        <v>46069.5204858333</v>
      </c>
      <c r="H1558" s="8" t="n">
        <v>4</v>
      </c>
      <c r="I1558" s="5" t="n">
        <v>400459</v>
      </c>
      <c r="J1558" s="6" t="s">
        <v>1091</v>
      </c>
      <c r="K1558" s="5" t="n">
        <v>153000094</v>
      </c>
      <c r="L1558" s="9" t="n">
        <v>46062</v>
      </c>
      <c r="M1558" s="10" t="n">
        <v>47887</v>
      </c>
    </row>
    <row r="1559" customFormat="false" ht="30" hidden="true" customHeight="true" outlineLevel="0" collapsed="false">
      <c r="A1559" s="4" t="s">
        <v>13</v>
      </c>
      <c r="B1559" s="4" t="s">
        <v>14</v>
      </c>
      <c r="C1559" s="5" t="n">
        <v>1329001701</v>
      </c>
      <c r="D1559" s="6" t="s">
        <v>1621</v>
      </c>
      <c r="E1559" s="6"/>
      <c r="F1559" s="7" t="n">
        <v>46069.3030878704</v>
      </c>
      <c r="G1559" s="7" t="n">
        <v>46069.520346794</v>
      </c>
      <c r="H1559" s="8" t="n">
        <v>4</v>
      </c>
      <c r="I1559" s="5" t="n">
        <v>400459</v>
      </c>
      <c r="J1559" s="6" t="s">
        <v>1091</v>
      </c>
      <c r="K1559" s="5" t="n">
        <v>153000094</v>
      </c>
      <c r="L1559" s="9" t="n">
        <v>46062</v>
      </c>
      <c r="M1559" s="10" t="n">
        <v>47887</v>
      </c>
    </row>
    <row r="1560" customFormat="false" ht="30" hidden="true" customHeight="true" outlineLevel="0" collapsed="false">
      <c r="A1560" s="4" t="s">
        <v>13</v>
      </c>
      <c r="B1560" s="4" t="s">
        <v>14</v>
      </c>
      <c r="C1560" s="5" t="n">
        <v>1329001701</v>
      </c>
      <c r="D1560" s="6" t="s">
        <v>1622</v>
      </c>
      <c r="E1560" s="6"/>
      <c r="F1560" s="7" t="n">
        <v>46069.3030878704</v>
      </c>
      <c r="G1560" s="7" t="n">
        <v>46069.5196801736</v>
      </c>
      <c r="H1560" s="8" t="n">
        <v>4</v>
      </c>
      <c r="I1560" s="5" t="n">
        <v>400459</v>
      </c>
      <c r="J1560" s="6" t="s">
        <v>1091</v>
      </c>
      <c r="K1560" s="5" t="n">
        <v>153000094</v>
      </c>
      <c r="L1560" s="9" t="n">
        <v>46062</v>
      </c>
      <c r="M1560" s="10" t="n">
        <v>47887</v>
      </c>
    </row>
    <row r="1561" customFormat="false" ht="30" hidden="true" customHeight="true" outlineLevel="0" collapsed="false">
      <c r="A1561" s="4" t="s">
        <v>13</v>
      </c>
      <c r="B1561" s="4" t="s">
        <v>14</v>
      </c>
      <c r="C1561" s="5" t="n">
        <v>1329001701</v>
      </c>
      <c r="D1561" s="6" t="s">
        <v>1623</v>
      </c>
      <c r="E1561" s="6"/>
      <c r="F1561" s="7" t="n">
        <v>46069.3030878704</v>
      </c>
      <c r="G1561" s="7" t="n">
        <v>46069.5194455093</v>
      </c>
      <c r="H1561" s="8" t="n">
        <v>4</v>
      </c>
      <c r="I1561" s="5" t="n">
        <v>400459</v>
      </c>
      <c r="J1561" s="6" t="s">
        <v>1091</v>
      </c>
      <c r="K1561" s="5" t="n">
        <v>153000094</v>
      </c>
      <c r="L1561" s="9" t="n">
        <v>46062</v>
      </c>
      <c r="M1561" s="10" t="n">
        <v>47887</v>
      </c>
    </row>
    <row r="1562" customFormat="false" ht="30" hidden="true" customHeight="true" outlineLevel="0" collapsed="false">
      <c r="A1562" s="4" t="s">
        <v>13</v>
      </c>
      <c r="B1562" s="4" t="s">
        <v>14</v>
      </c>
      <c r="C1562" s="5" t="n">
        <v>1329001701</v>
      </c>
      <c r="D1562" s="6" t="s">
        <v>1624</v>
      </c>
      <c r="E1562" s="6"/>
      <c r="F1562" s="7" t="n">
        <v>46069.3030878704</v>
      </c>
      <c r="G1562" s="7" t="n">
        <v>46069.5192849074</v>
      </c>
      <c r="H1562" s="8" t="n">
        <v>4</v>
      </c>
      <c r="I1562" s="5" t="n">
        <v>400459</v>
      </c>
      <c r="J1562" s="6" t="s">
        <v>1091</v>
      </c>
      <c r="K1562" s="5" t="n">
        <v>153000094</v>
      </c>
      <c r="L1562" s="9" t="n">
        <v>46062</v>
      </c>
      <c r="M1562" s="10" t="n">
        <v>47887</v>
      </c>
    </row>
    <row r="1563" customFormat="false" ht="30" hidden="true" customHeight="true" outlineLevel="0" collapsed="false">
      <c r="A1563" s="4" t="s">
        <v>13</v>
      </c>
      <c r="B1563" s="4" t="s">
        <v>14</v>
      </c>
      <c r="C1563" s="5" t="n">
        <v>1329001701</v>
      </c>
      <c r="D1563" s="6" t="s">
        <v>1625</v>
      </c>
      <c r="E1563" s="6"/>
      <c r="F1563" s="7" t="n">
        <v>46069.3030878704</v>
      </c>
      <c r="G1563" s="7" t="n">
        <v>46069.5191100579</v>
      </c>
      <c r="H1563" s="8" t="n">
        <v>4</v>
      </c>
      <c r="I1563" s="5" t="n">
        <v>400459</v>
      </c>
      <c r="J1563" s="6" t="s">
        <v>1091</v>
      </c>
      <c r="K1563" s="5" t="n">
        <v>153000094</v>
      </c>
      <c r="L1563" s="9" t="n">
        <v>46062</v>
      </c>
      <c r="M1563" s="10" t="n">
        <v>47887</v>
      </c>
    </row>
    <row r="1564" customFormat="false" ht="30" hidden="true" customHeight="true" outlineLevel="0" collapsed="false">
      <c r="A1564" s="4" t="s">
        <v>13</v>
      </c>
      <c r="B1564" s="4" t="s">
        <v>14</v>
      </c>
      <c r="C1564" s="5" t="n">
        <v>1329001701</v>
      </c>
      <c r="D1564" s="6" t="s">
        <v>1626</v>
      </c>
      <c r="E1564" s="6"/>
      <c r="F1564" s="7" t="n">
        <v>46069.3030878704</v>
      </c>
      <c r="G1564" s="7" t="n">
        <v>46069.5189212616</v>
      </c>
      <c r="H1564" s="8" t="n">
        <v>4</v>
      </c>
      <c r="I1564" s="5" t="n">
        <v>400459</v>
      </c>
      <c r="J1564" s="6" t="s">
        <v>1091</v>
      </c>
      <c r="K1564" s="5" t="n">
        <v>153000094</v>
      </c>
      <c r="L1564" s="9" t="n">
        <v>46062</v>
      </c>
      <c r="M1564" s="10" t="n">
        <v>47887</v>
      </c>
    </row>
    <row r="1565" customFormat="false" ht="30" hidden="true" customHeight="true" outlineLevel="0" collapsed="false">
      <c r="A1565" s="4" t="s">
        <v>13</v>
      </c>
      <c r="B1565" s="4" t="s">
        <v>14</v>
      </c>
      <c r="C1565" s="5" t="n">
        <v>1329001701</v>
      </c>
      <c r="D1565" s="6" t="s">
        <v>1627</v>
      </c>
      <c r="E1565" s="6"/>
      <c r="F1565" s="7" t="n">
        <v>46069.3030878704</v>
      </c>
      <c r="G1565" s="7" t="n">
        <v>46069.5186989699</v>
      </c>
      <c r="H1565" s="8" t="n">
        <v>4</v>
      </c>
      <c r="I1565" s="5" t="n">
        <v>400459</v>
      </c>
      <c r="J1565" s="6" t="s">
        <v>1091</v>
      </c>
      <c r="K1565" s="5" t="n">
        <v>153000094</v>
      </c>
      <c r="L1565" s="9" t="n">
        <v>46062</v>
      </c>
      <c r="M1565" s="10" t="n">
        <v>47887</v>
      </c>
    </row>
    <row r="1566" customFormat="false" ht="30" hidden="true" customHeight="true" outlineLevel="0" collapsed="false">
      <c r="A1566" s="4" t="s">
        <v>13</v>
      </c>
      <c r="B1566" s="4" t="s">
        <v>14</v>
      </c>
      <c r="C1566" s="5" t="n">
        <v>1329001701</v>
      </c>
      <c r="D1566" s="6" t="s">
        <v>1628</v>
      </c>
      <c r="E1566" s="6"/>
      <c r="F1566" s="7" t="n">
        <v>46069.3030878704</v>
      </c>
      <c r="G1566" s="7" t="n">
        <v>46069.5184740162</v>
      </c>
      <c r="H1566" s="8" t="n">
        <v>4</v>
      </c>
      <c r="I1566" s="5" t="n">
        <v>400459</v>
      </c>
      <c r="J1566" s="6" t="s">
        <v>1091</v>
      </c>
      <c r="K1566" s="5" t="n">
        <v>153000094</v>
      </c>
      <c r="L1566" s="9" t="n">
        <v>46062</v>
      </c>
      <c r="M1566" s="10" t="n">
        <v>47887</v>
      </c>
    </row>
    <row r="1567" customFormat="false" ht="30" hidden="true" customHeight="true" outlineLevel="0" collapsed="false">
      <c r="A1567" s="4" t="s">
        <v>13</v>
      </c>
      <c r="B1567" s="4" t="s">
        <v>14</v>
      </c>
      <c r="C1567" s="5" t="n">
        <v>1329001701</v>
      </c>
      <c r="D1567" s="6" t="s">
        <v>1629</v>
      </c>
      <c r="E1567" s="6"/>
      <c r="F1567" s="7" t="n">
        <v>46069.3030878704</v>
      </c>
      <c r="G1567" s="7" t="n">
        <v>46069.5182955903</v>
      </c>
      <c r="H1567" s="8" t="n">
        <v>4</v>
      </c>
      <c r="I1567" s="5" t="n">
        <v>400459</v>
      </c>
      <c r="J1567" s="6" t="s">
        <v>1091</v>
      </c>
      <c r="K1567" s="5" t="n">
        <v>153000094</v>
      </c>
      <c r="L1567" s="9" t="n">
        <v>46062</v>
      </c>
      <c r="M1567" s="10" t="n">
        <v>47887</v>
      </c>
    </row>
    <row r="1568" customFormat="false" ht="30" hidden="true" customHeight="true" outlineLevel="0" collapsed="false">
      <c r="A1568" s="4" t="s">
        <v>13</v>
      </c>
      <c r="B1568" s="4" t="s">
        <v>14</v>
      </c>
      <c r="C1568" s="5" t="n">
        <v>1329001701</v>
      </c>
      <c r="D1568" s="6" t="s">
        <v>1630</v>
      </c>
      <c r="E1568" s="6"/>
      <c r="F1568" s="7" t="n">
        <v>46069.3030878704</v>
      </c>
      <c r="G1568" s="7" t="n">
        <v>46069.5176247338</v>
      </c>
      <c r="H1568" s="8" t="n">
        <v>4</v>
      </c>
      <c r="I1568" s="5" t="n">
        <v>400763</v>
      </c>
      <c r="J1568" s="6" t="s">
        <v>974</v>
      </c>
      <c r="K1568" s="5" t="n">
        <v>153000098</v>
      </c>
      <c r="L1568" s="9" t="n">
        <v>46063</v>
      </c>
      <c r="M1568" s="10" t="n">
        <v>47888</v>
      </c>
    </row>
    <row r="1569" customFormat="false" ht="30" hidden="true" customHeight="true" outlineLevel="0" collapsed="false">
      <c r="A1569" s="4" t="s">
        <v>13</v>
      </c>
      <c r="B1569" s="4" t="s">
        <v>14</v>
      </c>
      <c r="C1569" s="5" t="n">
        <v>1329001701</v>
      </c>
      <c r="D1569" s="6" t="s">
        <v>1631</v>
      </c>
      <c r="E1569" s="6"/>
      <c r="F1569" s="7" t="n">
        <v>46069.3030878704</v>
      </c>
      <c r="G1569" s="7" t="n">
        <v>46069.5172935069</v>
      </c>
      <c r="H1569" s="8" t="n">
        <v>4</v>
      </c>
      <c r="I1569" s="5" t="n">
        <v>400411</v>
      </c>
      <c r="J1569" s="6" t="s">
        <v>1217</v>
      </c>
      <c r="K1569" s="5" t="n">
        <v>153000104</v>
      </c>
      <c r="L1569" s="9" t="n">
        <v>46063</v>
      </c>
      <c r="M1569" s="10" t="n">
        <v>47888</v>
      </c>
    </row>
    <row r="1570" customFormat="false" ht="30" hidden="true" customHeight="true" outlineLevel="0" collapsed="false">
      <c r="A1570" s="4" t="s">
        <v>13</v>
      </c>
      <c r="B1570" s="4" t="s">
        <v>14</v>
      </c>
      <c r="C1570" s="5" t="n">
        <v>1329001701</v>
      </c>
      <c r="D1570" s="6" t="s">
        <v>1632</v>
      </c>
      <c r="E1570" s="6"/>
      <c r="F1570" s="7" t="n">
        <v>46069.3030878704</v>
      </c>
      <c r="G1570" s="7" t="n">
        <v>46069.516278669</v>
      </c>
      <c r="H1570" s="8" t="n">
        <v>4</v>
      </c>
      <c r="I1570" s="5" t="n">
        <v>400411</v>
      </c>
      <c r="J1570" s="6" t="s">
        <v>1217</v>
      </c>
      <c r="K1570" s="5" t="n">
        <v>153000104</v>
      </c>
      <c r="L1570" s="9" t="n">
        <v>46063</v>
      </c>
      <c r="M1570" s="10" t="n">
        <v>47888</v>
      </c>
    </row>
    <row r="1571" customFormat="false" ht="30" hidden="true" customHeight="true" outlineLevel="0" collapsed="false">
      <c r="A1571" s="4" t="s">
        <v>13</v>
      </c>
      <c r="B1571" s="4" t="s">
        <v>14</v>
      </c>
      <c r="C1571" s="5" t="n">
        <v>1329001701</v>
      </c>
      <c r="D1571" s="6" t="s">
        <v>1633</v>
      </c>
      <c r="E1571" s="6"/>
      <c r="F1571" s="7" t="n">
        <v>46069.3030878704</v>
      </c>
      <c r="G1571" s="7" t="n">
        <v>46069.5170773032</v>
      </c>
      <c r="H1571" s="8" t="n">
        <v>4</v>
      </c>
      <c r="I1571" s="5" t="n">
        <v>400763</v>
      </c>
      <c r="J1571" s="6" t="s">
        <v>974</v>
      </c>
      <c r="K1571" s="5" t="n">
        <v>153000098</v>
      </c>
      <c r="L1571" s="9" t="n">
        <v>46063</v>
      </c>
      <c r="M1571" s="10" t="n">
        <v>47888</v>
      </c>
    </row>
    <row r="1572" customFormat="false" ht="30" hidden="true" customHeight="true" outlineLevel="0" collapsed="false">
      <c r="A1572" s="4" t="s">
        <v>13</v>
      </c>
      <c r="B1572" s="4" t="s">
        <v>14</v>
      </c>
      <c r="C1572" s="5" t="n">
        <v>1329001701</v>
      </c>
      <c r="D1572" s="6" t="s">
        <v>1634</v>
      </c>
      <c r="E1572" s="6"/>
      <c r="F1572" s="7" t="n">
        <v>46069.3030878704</v>
      </c>
      <c r="G1572" s="7" t="n">
        <v>46069.5157768403</v>
      </c>
      <c r="H1572" s="8" t="n">
        <v>4</v>
      </c>
      <c r="I1572" s="5" t="n">
        <v>400411</v>
      </c>
      <c r="J1572" s="6" t="s">
        <v>1217</v>
      </c>
      <c r="K1572" s="5" t="n">
        <v>153000104</v>
      </c>
      <c r="L1572" s="9" t="n">
        <v>46063</v>
      </c>
      <c r="M1572" s="10" t="n">
        <v>47888</v>
      </c>
    </row>
    <row r="1573" customFormat="false" ht="30" hidden="true" customHeight="true" outlineLevel="0" collapsed="false">
      <c r="A1573" s="4" t="s">
        <v>13</v>
      </c>
      <c r="B1573" s="4" t="s">
        <v>14</v>
      </c>
      <c r="C1573" s="5" t="n">
        <v>1329001701</v>
      </c>
      <c r="D1573" s="6" t="s">
        <v>1635</v>
      </c>
      <c r="E1573" s="6"/>
      <c r="F1573" s="7" t="n">
        <v>46069.3030878704</v>
      </c>
      <c r="G1573" s="7" t="n">
        <v>46069.5156005093</v>
      </c>
      <c r="H1573" s="8" t="n">
        <v>4</v>
      </c>
      <c r="I1573" s="5" t="n">
        <v>400763</v>
      </c>
      <c r="J1573" s="6" t="s">
        <v>974</v>
      </c>
      <c r="K1573" s="5" t="n">
        <v>153000098</v>
      </c>
      <c r="L1573" s="9" t="n">
        <v>46063</v>
      </c>
      <c r="M1573" s="10" t="n">
        <v>47888</v>
      </c>
    </row>
    <row r="1574" customFormat="false" ht="30" hidden="true" customHeight="true" outlineLevel="0" collapsed="false">
      <c r="A1574" s="4" t="s">
        <v>13</v>
      </c>
      <c r="B1574" s="4" t="s">
        <v>14</v>
      </c>
      <c r="C1574" s="5" t="n">
        <v>1329001701</v>
      </c>
      <c r="D1574" s="6" t="s">
        <v>1636</v>
      </c>
      <c r="E1574" s="6"/>
      <c r="F1574" s="7" t="n">
        <v>46069.3030878704</v>
      </c>
      <c r="G1574" s="7" t="n">
        <v>46069.5154461111</v>
      </c>
      <c r="H1574" s="8" t="n">
        <v>4</v>
      </c>
      <c r="I1574" s="5" t="n">
        <v>400411</v>
      </c>
      <c r="J1574" s="6" t="s">
        <v>1217</v>
      </c>
      <c r="K1574" s="5" t="n">
        <v>153000104</v>
      </c>
      <c r="L1574" s="9" t="n">
        <v>46063</v>
      </c>
      <c r="M1574" s="10" t="n">
        <v>47888</v>
      </c>
    </row>
    <row r="1575" customFormat="false" ht="30" hidden="true" customHeight="true" outlineLevel="0" collapsed="false">
      <c r="A1575" s="4" t="s">
        <v>13</v>
      </c>
      <c r="B1575" s="4" t="s">
        <v>14</v>
      </c>
      <c r="C1575" s="5" t="n">
        <v>1329001701</v>
      </c>
      <c r="D1575" s="6" t="s">
        <v>1637</v>
      </c>
      <c r="E1575" s="6"/>
      <c r="F1575" s="7" t="n">
        <v>46069.3030878704</v>
      </c>
      <c r="G1575" s="7" t="n">
        <v>46069.5180201389</v>
      </c>
      <c r="H1575" s="8" t="n">
        <v>4</v>
      </c>
      <c r="I1575" s="5" t="n">
        <v>400459</v>
      </c>
      <c r="J1575" s="6" t="s">
        <v>1091</v>
      </c>
      <c r="K1575" s="5" t="n">
        <v>153000094</v>
      </c>
      <c r="L1575" s="9" t="n">
        <v>46062</v>
      </c>
      <c r="M1575" s="10" t="n">
        <v>47887</v>
      </c>
    </row>
    <row r="1576" customFormat="false" ht="30" hidden="true" customHeight="true" outlineLevel="0" collapsed="false">
      <c r="A1576" s="4" t="s">
        <v>13</v>
      </c>
      <c r="B1576" s="4" t="s">
        <v>14</v>
      </c>
      <c r="C1576" s="5" t="n">
        <v>1329001701</v>
      </c>
      <c r="D1576" s="6" t="s">
        <v>1638</v>
      </c>
      <c r="E1576" s="6"/>
      <c r="F1576" s="7" t="n">
        <v>46069.3030878704</v>
      </c>
      <c r="G1576" s="7" t="n">
        <v>46069.5152823727</v>
      </c>
      <c r="H1576" s="8" t="n">
        <v>4</v>
      </c>
      <c r="I1576" s="5" t="n">
        <v>400763</v>
      </c>
      <c r="J1576" s="6" t="s">
        <v>974</v>
      </c>
      <c r="K1576" s="5" t="n">
        <v>153000098</v>
      </c>
      <c r="L1576" s="9" t="n">
        <v>46063</v>
      </c>
      <c r="M1576" s="10" t="n">
        <v>47888</v>
      </c>
    </row>
    <row r="1577" customFormat="false" ht="30" hidden="false" customHeight="true" outlineLevel="0" collapsed="false">
      <c r="A1577" s="4" t="s">
        <v>1400</v>
      </c>
      <c r="B1577" s="4" t="s">
        <v>14</v>
      </c>
      <c r="C1577" s="11" t="s">
        <v>1639</v>
      </c>
      <c r="D1577" s="6" t="s">
        <v>1640</v>
      </c>
      <c r="E1577" s="6"/>
      <c r="F1577" s="7" t="n">
        <v>46069.334366713</v>
      </c>
      <c r="G1577" s="7" t="n">
        <v>46070.283179375</v>
      </c>
      <c r="H1577" s="8" t="n">
        <v>24</v>
      </c>
      <c r="I1577" s="5" t="n">
        <v>400413</v>
      </c>
      <c r="J1577" s="6" t="s">
        <v>168</v>
      </c>
      <c r="K1577" s="5" t="n">
        <v>100010539</v>
      </c>
      <c r="L1577" s="9" t="n">
        <v>45958</v>
      </c>
      <c r="M1577" s="10" t="n">
        <v>47783</v>
      </c>
    </row>
    <row r="1578" customFormat="false" ht="30" hidden="false" customHeight="true" outlineLevel="0" collapsed="false">
      <c r="A1578" s="4" t="s">
        <v>1400</v>
      </c>
      <c r="B1578" s="4" t="s">
        <v>14</v>
      </c>
      <c r="C1578" s="11" t="s">
        <v>1639</v>
      </c>
      <c r="D1578" s="6" t="s">
        <v>1641</v>
      </c>
      <c r="E1578" s="6"/>
      <c r="F1578" s="7" t="n">
        <v>46069.334366713</v>
      </c>
      <c r="G1578" s="7" t="n">
        <v>46070.2835097222</v>
      </c>
      <c r="H1578" s="8" t="n">
        <v>24</v>
      </c>
      <c r="I1578" s="5" t="n">
        <v>400413</v>
      </c>
      <c r="J1578" s="6" t="s">
        <v>168</v>
      </c>
      <c r="K1578" s="5" t="n">
        <v>100010539</v>
      </c>
      <c r="L1578" s="9" t="n">
        <v>45958</v>
      </c>
      <c r="M1578" s="10" t="n">
        <v>47783</v>
      </c>
    </row>
    <row r="1579" customFormat="false" ht="30" hidden="false" customHeight="true" outlineLevel="0" collapsed="false">
      <c r="A1579" s="4" t="s">
        <v>1400</v>
      </c>
      <c r="B1579" s="4" t="s">
        <v>14</v>
      </c>
      <c r="C1579" s="5" t="n">
        <v>1329001686</v>
      </c>
      <c r="D1579" s="6" t="s">
        <v>1642</v>
      </c>
      <c r="E1579" s="6"/>
      <c r="F1579" s="7" t="n">
        <v>46069.3385228819</v>
      </c>
      <c r="G1579" s="7" t="n">
        <v>46070.2311571759</v>
      </c>
      <c r="H1579" s="8" t="n">
        <v>4</v>
      </c>
      <c r="I1579" s="5" t="n">
        <v>400541</v>
      </c>
      <c r="J1579" s="6" t="s">
        <v>1005</v>
      </c>
      <c r="K1579" s="5" t="n">
        <v>153000081</v>
      </c>
      <c r="L1579" s="9" t="n">
        <v>46058</v>
      </c>
      <c r="M1579" s="10" t="n">
        <v>47883</v>
      </c>
    </row>
    <row r="1580" customFormat="false" ht="30" hidden="false" customHeight="true" outlineLevel="0" collapsed="false">
      <c r="A1580" s="4" t="s">
        <v>1400</v>
      </c>
      <c r="B1580" s="4" t="s">
        <v>14</v>
      </c>
      <c r="C1580" s="5" t="n">
        <v>1329001686</v>
      </c>
      <c r="D1580" s="6" t="s">
        <v>1643</v>
      </c>
      <c r="E1580" s="6"/>
      <c r="F1580" s="7" t="n">
        <v>46069.3385228819</v>
      </c>
      <c r="G1580" s="7" t="n">
        <v>46070.2238784028</v>
      </c>
      <c r="H1580" s="8" t="n">
        <v>24</v>
      </c>
      <c r="I1580" s="5" t="n">
        <v>400426</v>
      </c>
      <c r="J1580" s="6" t="s">
        <v>831</v>
      </c>
      <c r="K1580" s="5" t="n">
        <v>100011006</v>
      </c>
      <c r="L1580" s="9"/>
      <c r="M1580" s="10" t="n">
        <v>47823</v>
      </c>
    </row>
    <row r="1581" customFormat="false" ht="30" hidden="false" customHeight="true" outlineLevel="0" collapsed="false">
      <c r="A1581" s="4" t="s">
        <v>1400</v>
      </c>
      <c r="B1581" s="4" t="s">
        <v>14</v>
      </c>
      <c r="C1581" s="5" t="n">
        <v>1329001686</v>
      </c>
      <c r="D1581" s="6" t="s">
        <v>1644</v>
      </c>
      <c r="E1581" s="6"/>
      <c r="F1581" s="7" t="n">
        <v>46069.3385228819</v>
      </c>
      <c r="G1581" s="7" t="n">
        <v>46070.2309431597</v>
      </c>
      <c r="H1581" s="8" t="n">
        <v>24</v>
      </c>
      <c r="I1581" s="5" t="n">
        <v>400426</v>
      </c>
      <c r="J1581" s="6" t="s">
        <v>831</v>
      </c>
      <c r="K1581" s="5" t="n">
        <v>100011150</v>
      </c>
      <c r="L1581" s="9"/>
      <c r="M1581" s="10" t="n">
        <v>47838</v>
      </c>
    </row>
    <row r="1582" customFormat="false" ht="30" hidden="false" customHeight="true" outlineLevel="0" collapsed="false">
      <c r="A1582" s="4" t="s">
        <v>1400</v>
      </c>
      <c r="B1582" s="4" t="s">
        <v>14</v>
      </c>
      <c r="C1582" s="5" t="n">
        <v>1329001686</v>
      </c>
      <c r="D1582" s="6" t="s">
        <v>1645</v>
      </c>
      <c r="E1582" s="6"/>
      <c r="F1582" s="7" t="n">
        <v>46069.3385228819</v>
      </c>
      <c r="G1582" s="7" t="n">
        <v>46070.2314128125</v>
      </c>
      <c r="H1582" s="8" t="n">
        <v>24</v>
      </c>
      <c r="I1582" s="5" t="n">
        <v>400426</v>
      </c>
      <c r="J1582" s="6" t="s">
        <v>831</v>
      </c>
      <c r="K1582" s="5" t="n">
        <v>100011150</v>
      </c>
      <c r="L1582" s="9"/>
      <c r="M1582" s="10" t="n">
        <v>47838</v>
      </c>
    </row>
    <row r="1583" customFormat="false" ht="30" hidden="false" customHeight="true" outlineLevel="0" collapsed="false">
      <c r="A1583" s="4" t="s">
        <v>1400</v>
      </c>
      <c r="B1583" s="4" t="s">
        <v>14</v>
      </c>
      <c r="C1583" s="5" t="n">
        <v>1329001686</v>
      </c>
      <c r="D1583" s="6" t="s">
        <v>1646</v>
      </c>
      <c r="E1583" s="6"/>
      <c r="F1583" s="7" t="n">
        <v>46069.3385228819</v>
      </c>
      <c r="G1583" s="7" t="n">
        <v>46070.2302715162</v>
      </c>
      <c r="H1583" s="8" t="n">
        <v>24</v>
      </c>
      <c r="I1583" s="5" t="n">
        <v>400426</v>
      </c>
      <c r="J1583" s="6" t="s">
        <v>831</v>
      </c>
      <c r="K1583" s="5" t="n">
        <v>100011150</v>
      </c>
      <c r="L1583" s="9"/>
      <c r="M1583" s="10" t="n">
        <v>47838</v>
      </c>
    </row>
    <row r="1584" customFormat="false" ht="30" hidden="false" customHeight="true" outlineLevel="0" collapsed="false">
      <c r="A1584" s="4" t="s">
        <v>1400</v>
      </c>
      <c r="B1584" s="4" t="s">
        <v>14</v>
      </c>
      <c r="C1584" s="5" t="n">
        <v>1329001686</v>
      </c>
      <c r="D1584" s="6" t="s">
        <v>1647</v>
      </c>
      <c r="E1584" s="6"/>
      <c r="F1584" s="7" t="n">
        <v>46069.3385228819</v>
      </c>
      <c r="G1584" s="7" t="n">
        <v>46070.2300215162</v>
      </c>
      <c r="H1584" s="8" t="n">
        <v>24</v>
      </c>
      <c r="I1584" s="5" t="n">
        <v>400426</v>
      </c>
      <c r="J1584" s="6" t="s">
        <v>831</v>
      </c>
      <c r="K1584" s="5" t="n">
        <v>100011150</v>
      </c>
      <c r="L1584" s="9"/>
      <c r="M1584" s="10" t="n">
        <v>47838</v>
      </c>
    </row>
    <row r="1585" customFormat="false" ht="30" hidden="false" customHeight="true" outlineLevel="0" collapsed="false">
      <c r="A1585" s="4" t="s">
        <v>1400</v>
      </c>
      <c r="B1585" s="4" t="s">
        <v>14</v>
      </c>
      <c r="C1585" s="5" t="n">
        <v>1329001686</v>
      </c>
      <c r="D1585" s="6" t="s">
        <v>1648</v>
      </c>
      <c r="E1585" s="6"/>
      <c r="F1585" s="7" t="n">
        <v>46069.3385228819</v>
      </c>
      <c r="G1585" s="7" t="n">
        <v>46070.2298169676</v>
      </c>
      <c r="H1585" s="8" t="n">
        <v>24</v>
      </c>
      <c r="I1585" s="5" t="n">
        <v>400426</v>
      </c>
      <c r="J1585" s="6" t="s">
        <v>831</v>
      </c>
      <c r="K1585" s="5" t="n">
        <v>100011006</v>
      </c>
      <c r="L1585" s="9"/>
      <c r="M1585" s="10" t="n">
        <v>47823</v>
      </c>
    </row>
    <row r="1586" customFormat="false" ht="30" hidden="false" customHeight="true" outlineLevel="0" collapsed="false">
      <c r="A1586" s="4" t="s">
        <v>1400</v>
      </c>
      <c r="B1586" s="4" t="s">
        <v>14</v>
      </c>
      <c r="C1586" s="5" t="n">
        <v>1329001686</v>
      </c>
      <c r="D1586" s="6" t="s">
        <v>1649</v>
      </c>
      <c r="E1586" s="6"/>
      <c r="F1586" s="7" t="n">
        <v>46069.3385228819</v>
      </c>
      <c r="G1586" s="7" t="n">
        <v>46070.2295267477</v>
      </c>
      <c r="H1586" s="8" t="n">
        <v>24</v>
      </c>
      <c r="I1586" s="5" t="n">
        <v>400426</v>
      </c>
      <c r="J1586" s="6" t="s">
        <v>831</v>
      </c>
      <c r="K1586" s="5" t="n">
        <v>100011006</v>
      </c>
      <c r="L1586" s="9"/>
      <c r="M1586" s="10" t="n">
        <v>47823</v>
      </c>
    </row>
    <row r="1587" customFormat="false" ht="30" hidden="false" customHeight="true" outlineLevel="0" collapsed="false">
      <c r="A1587" s="4" t="s">
        <v>1400</v>
      </c>
      <c r="B1587" s="4" t="s">
        <v>14</v>
      </c>
      <c r="C1587" s="5" t="n">
        <v>1329001686</v>
      </c>
      <c r="D1587" s="6" t="s">
        <v>1650</v>
      </c>
      <c r="E1587" s="6"/>
      <c r="F1587" s="7" t="n">
        <v>46069.3385228819</v>
      </c>
      <c r="G1587" s="7" t="n">
        <v>46070.2292293519</v>
      </c>
      <c r="H1587" s="8" t="n">
        <v>24</v>
      </c>
      <c r="I1587" s="5" t="n">
        <v>400426</v>
      </c>
      <c r="J1587" s="6" t="s">
        <v>831</v>
      </c>
      <c r="K1587" s="5" t="n">
        <v>100011150</v>
      </c>
      <c r="L1587" s="9"/>
      <c r="M1587" s="10" t="n">
        <v>47838</v>
      </c>
    </row>
    <row r="1588" customFormat="false" ht="30" hidden="false" customHeight="true" outlineLevel="0" collapsed="false">
      <c r="A1588" s="4" t="s">
        <v>1400</v>
      </c>
      <c r="B1588" s="4" t="s">
        <v>14</v>
      </c>
      <c r="C1588" s="5" t="n">
        <v>1329001686</v>
      </c>
      <c r="D1588" s="6" t="s">
        <v>1651</v>
      </c>
      <c r="E1588" s="6"/>
      <c r="F1588" s="7" t="n">
        <v>46069.3385228819</v>
      </c>
      <c r="G1588" s="7" t="n">
        <v>46070.2290226736</v>
      </c>
      <c r="H1588" s="8" t="n">
        <v>24</v>
      </c>
      <c r="I1588" s="5" t="n">
        <v>400426</v>
      </c>
      <c r="J1588" s="6" t="s">
        <v>831</v>
      </c>
      <c r="K1588" s="5" t="n">
        <v>100011150</v>
      </c>
      <c r="L1588" s="9"/>
      <c r="M1588" s="10" t="n">
        <v>47838</v>
      </c>
    </row>
    <row r="1589" customFormat="false" ht="30" hidden="false" customHeight="true" outlineLevel="0" collapsed="false">
      <c r="A1589" s="4" t="s">
        <v>1400</v>
      </c>
      <c r="B1589" s="4" t="s">
        <v>14</v>
      </c>
      <c r="C1589" s="5" t="n">
        <v>1329001686</v>
      </c>
      <c r="D1589" s="6" t="s">
        <v>1652</v>
      </c>
      <c r="E1589" s="6"/>
      <c r="F1589" s="7" t="n">
        <v>46069.3385228819</v>
      </c>
      <c r="G1589" s="7" t="n">
        <v>46070.2287803819</v>
      </c>
      <c r="H1589" s="8" t="n">
        <v>24</v>
      </c>
      <c r="I1589" s="5" t="n">
        <v>400426</v>
      </c>
      <c r="J1589" s="6" t="s">
        <v>831</v>
      </c>
      <c r="K1589" s="5" t="n">
        <v>100011150</v>
      </c>
      <c r="L1589" s="9"/>
      <c r="M1589" s="10" t="n">
        <v>47838</v>
      </c>
    </row>
    <row r="1590" customFormat="false" ht="30" hidden="false" customHeight="true" outlineLevel="0" collapsed="false">
      <c r="A1590" s="4" t="s">
        <v>1400</v>
      </c>
      <c r="B1590" s="4" t="s">
        <v>14</v>
      </c>
      <c r="C1590" s="5" t="n">
        <v>1329001686</v>
      </c>
      <c r="D1590" s="6" t="s">
        <v>1653</v>
      </c>
      <c r="E1590" s="6"/>
      <c r="F1590" s="7" t="n">
        <v>46069.3385228819</v>
      </c>
      <c r="G1590" s="7" t="n">
        <v>46070.2285281597</v>
      </c>
      <c r="H1590" s="8" t="n">
        <v>24</v>
      </c>
      <c r="I1590" s="5" t="n">
        <v>400426</v>
      </c>
      <c r="J1590" s="6" t="s">
        <v>831</v>
      </c>
      <c r="K1590" s="5" t="n">
        <v>100011150</v>
      </c>
      <c r="L1590" s="9"/>
      <c r="M1590" s="10" t="n">
        <v>47838</v>
      </c>
    </row>
    <row r="1591" customFormat="false" ht="30" hidden="false" customHeight="true" outlineLevel="0" collapsed="false">
      <c r="A1591" s="4" t="s">
        <v>1400</v>
      </c>
      <c r="B1591" s="4" t="s">
        <v>14</v>
      </c>
      <c r="C1591" s="5" t="n">
        <v>1329001686</v>
      </c>
      <c r="D1591" s="6" t="s">
        <v>1654</v>
      </c>
      <c r="E1591" s="6"/>
      <c r="F1591" s="7" t="n">
        <v>46069.3385228819</v>
      </c>
      <c r="G1591" s="7" t="n">
        <v>46070.2281624769</v>
      </c>
      <c r="H1591" s="8" t="n">
        <v>24</v>
      </c>
      <c r="I1591" s="5" t="n">
        <v>400426</v>
      </c>
      <c r="J1591" s="6" t="s">
        <v>831</v>
      </c>
      <c r="K1591" s="5" t="n">
        <v>100011006</v>
      </c>
      <c r="L1591" s="9"/>
      <c r="M1591" s="10" t="n">
        <v>47823</v>
      </c>
    </row>
    <row r="1592" customFormat="false" ht="30" hidden="false" customHeight="true" outlineLevel="0" collapsed="false">
      <c r="A1592" s="4" t="s">
        <v>1400</v>
      </c>
      <c r="B1592" s="4" t="s">
        <v>14</v>
      </c>
      <c r="C1592" s="5" t="n">
        <v>1329001686</v>
      </c>
      <c r="D1592" s="6" t="s">
        <v>1655</v>
      </c>
      <c r="E1592" s="6"/>
      <c r="F1592" s="7" t="n">
        <v>46069.3385228819</v>
      </c>
      <c r="G1592" s="7" t="n">
        <v>46070.2279404977</v>
      </c>
      <c r="H1592" s="8" t="n">
        <v>24</v>
      </c>
      <c r="I1592" s="5" t="n">
        <v>400426</v>
      </c>
      <c r="J1592" s="6" t="s">
        <v>831</v>
      </c>
      <c r="K1592" s="5" t="n">
        <v>100011006</v>
      </c>
      <c r="L1592" s="9"/>
      <c r="M1592" s="10" t="n">
        <v>47823</v>
      </c>
    </row>
    <row r="1593" customFormat="false" ht="30" hidden="false" customHeight="true" outlineLevel="0" collapsed="false">
      <c r="A1593" s="4" t="s">
        <v>1400</v>
      </c>
      <c r="B1593" s="4" t="s">
        <v>14</v>
      </c>
      <c r="C1593" s="5" t="n">
        <v>1329001686</v>
      </c>
      <c r="D1593" s="6" t="s">
        <v>1656</v>
      </c>
      <c r="E1593" s="6"/>
      <c r="F1593" s="7" t="n">
        <v>46069.3385228819</v>
      </c>
      <c r="G1593" s="7" t="n">
        <v>46070.2277048032</v>
      </c>
      <c r="H1593" s="8" t="n">
        <v>24</v>
      </c>
      <c r="I1593" s="5" t="n">
        <v>400426</v>
      </c>
      <c r="J1593" s="6" t="s">
        <v>831</v>
      </c>
      <c r="K1593" s="5" t="n">
        <v>100010992</v>
      </c>
      <c r="L1593" s="9"/>
      <c r="M1593" s="10" t="n">
        <v>47824</v>
      </c>
    </row>
    <row r="1594" customFormat="false" ht="30" hidden="false" customHeight="true" outlineLevel="0" collapsed="false">
      <c r="A1594" s="4" t="s">
        <v>1400</v>
      </c>
      <c r="B1594" s="4" t="s">
        <v>14</v>
      </c>
      <c r="C1594" s="5" t="n">
        <v>1329001686</v>
      </c>
      <c r="D1594" s="6" t="s">
        <v>1657</v>
      </c>
      <c r="E1594" s="6"/>
      <c r="F1594" s="7" t="n">
        <v>46069.3385228819</v>
      </c>
      <c r="G1594" s="7" t="n">
        <v>46070.2274637384</v>
      </c>
      <c r="H1594" s="8" t="n">
        <v>24</v>
      </c>
      <c r="I1594" s="5" t="n">
        <v>400426</v>
      </c>
      <c r="J1594" s="6" t="s">
        <v>831</v>
      </c>
      <c r="K1594" s="5" t="n">
        <v>100010992</v>
      </c>
      <c r="L1594" s="9"/>
      <c r="M1594" s="10" t="n">
        <v>47824</v>
      </c>
    </row>
    <row r="1595" customFormat="false" ht="30" hidden="false" customHeight="true" outlineLevel="0" collapsed="false">
      <c r="A1595" s="4" t="s">
        <v>1400</v>
      </c>
      <c r="B1595" s="4" t="s">
        <v>14</v>
      </c>
      <c r="C1595" s="5" t="n">
        <v>1329001686</v>
      </c>
      <c r="D1595" s="6" t="s">
        <v>1658</v>
      </c>
      <c r="E1595" s="6"/>
      <c r="F1595" s="7" t="n">
        <v>46069.3385228819</v>
      </c>
      <c r="G1595" s="7" t="n">
        <v>46070.2270843981</v>
      </c>
      <c r="H1595" s="8" t="n">
        <v>24</v>
      </c>
      <c r="I1595" s="5" t="n">
        <v>400426</v>
      </c>
      <c r="J1595" s="6" t="s">
        <v>831</v>
      </c>
      <c r="K1595" s="5" t="n">
        <v>100011006</v>
      </c>
      <c r="L1595" s="9"/>
      <c r="M1595" s="10" t="n">
        <v>47823</v>
      </c>
    </row>
    <row r="1596" customFormat="false" ht="30" hidden="false" customHeight="true" outlineLevel="0" collapsed="false">
      <c r="A1596" s="4" t="s">
        <v>1400</v>
      </c>
      <c r="B1596" s="4" t="s">
        <v>14</v>
      </c>
      <c r="C1596" s="5" t="n">
        <v>1329001686</v>
      </c>
      <c r="D1596" s="6" t="s">
        <v>1659</v>
      </c>
      <c r="E1596" s="6"/>
      <c r="F1596" s="7" t="n">
        <v>46069.3385228819</v>
      </c>
      <c r="G1596" s="7" t="n">
        <v>46070.2267523611</v>
      </c>
      <c r="H1596" s="8" t="n">
        <v>24</v>
      </c>
      <c r="I1596" s="5" t="n">
        <v>400426</v>
      </c>
      <c r="J1596" s="6" t="s">
        <v>831</v>
      </c>
      <c r="K1596" s="5" t="n">
        <v>100011006</v>
      </c>
      <c r="L1596" s="9"/>
      <c r="M1596" s="10" t="n">
        <v>47823</v>
      </c>
    </row>
    <row r="1597" customFormat="false" ht="30" hidden="false" customHeight="true" outlineLevel="0" collapsed="false">
      <c r="A1597" s="4" t="s">
        <v>1400</v>
      </c>
      <c r="B1597" s="4" t="s">
        <v>14</v>
      </c>
      <c r="C1597" s="5" t="n">
        <v>1329001686</v>
      </c>
      <c r="D1597" s="6" t="s">
        <v>1660</v>
      </c>
      <c r="E1597" s="6"/>
      <c r="F1597" s="7" t="n">
        <v>46069.3385228819</v>
      </c>
      <c r="G1597" s="7" t="n">
        <v>46070.2262661458</v>
      </c>
      <c r="H1597" s="8" t="n">
        <v>24</v>
      </c>
      <c r="I1597" s="5" t="n">
        <v>400426</v>
      </c>
      <c r="J1597" s="6" t="s">
        <v>831</v>
      </c>
      <c r="K1597" s="5" t="n">
        <v>100011005</v>
      </c>
      <c r="L1597" s="9"/>
      <c r="M1597" s="10" t="n">
        <v>47823</v>
      </c>
    </row>
    <row r="1598" customFormat="false" ht="30" hidden="false" customHeight="true" outlineLevel="0" collapsed="false">
      <c r="A1598" s="4" t="s">
        <v>1400</v>
      </c>
      <c r="B1598" s="4" t="s">
        <v>14</v>
      </c>
      <c r="C1598" s="5" t="n">
        <v>1329001686</v>
      </c>
      <c r="D1598" s="6" t="s">
        <v>1661</v>
      </c>
      <c r="E1598" s="6"/>
      <c r="F1598" s="7" t="n">
        <v>46069.3385228819</v>
      </c>
      <c r="G1598" s="7" t="n">
        <v>46070.2259708333</v>
      </c>
      <c r="H1598" s="8" t="n">
        <v>24</v>
      </c>
      <c r="I1598" s="5" t="n">
        <v>400426</v>
      </c>
      <c r="J1598" s="6" t="s">
        <v>831</v>
      </c>
      <c r="K1598" s="5" t="n">
        <v>100011005</v>
      </c>
      <c r="L1598" s="9"/>
      <c r="M1598" s="10" t="n">
        <v>47823</v>
      </c>
    </row>
    <row r="1599" customFormat="false" ht="30" hidden="false" customHeight="true" outlineLevel="0" collapsed="false">
      <c r="A1599" s="4" t="s">
        <v>1400</v>
      </c>
      <c r="B1599" s="4" t="s">
        <v>14</v>
      </c>
      <c r="C1599" s="5" t="n">
        <v>1329001686</v>
      </c>
      <c r="D1599" s="6" t="s">
        <v>1662</v>
      </c>
      <c r="E1599" s="6"/>
      <c r="F1599" s="7" t="n">
        <v>46069.3385228819</v>
      </c>
      <c r="G1599" s="7" t="n">
        <v>46070.2255134259</v>
      </c>
      <c r="H1599" s="8" t="n">
        <v>24</v>
      </c>
      <c r="I1599" s="5" t="n">
        <v>400426</v>
      </c>
      <c r="J1599" s="6" t="s">
        <v>831</v>
      </c>
      <c r="K1599" s="5" t="n">
        <v>100011005</v>
      </c>
      <c r="L1599" s="9"/>
      <c r="M1599" s="10" t="n">
        <v>47823</v>
      </c>
    </row>
    <row r="1600" customFormat="false" ht="30" hidden="false" customHeight="true" outlineLevel="0" collapsed="false">
      <c r="A1600" s="4" t="s">
        <v>1400</v>
      </c>
      <c r="B1600" s="4" t="s">
        <v>14</v>
      </c>
      <c r="C1600" s="5" t="n">
        <v>1329001686</v>
      </c>
      <c r="D1600" s="6" t="s">
        <v>1663</v>
      </c>
      <c r="E1600" s="6"/>
      <c r="F1600" s="7" t="n">
        <v>46069.3385228819</v>
      </c>
      <c r="G1600" s="7" t="n">
        <v>46070.2307466551</v>
      </c>
      <c r="H1600" s="8" t="n">
        <v>4</v>
      </c>
      <c r="I1600" s="5" t="n">
        <v>400541</v>
      </c>
      <c r="J1600" s="6" t="s">
        <v>1005</v>
      </c>
      <c r="K1600" s="5" t="n">
        <v>153000081</v>
      </c>
      <c r="L1600" s="9" t="n">
        <v>46058</v>
      </c>
      <c r="M1600" s="10" t="n">
        <v>47883</v>
      </c>
    </row>
    <row r="1601" customFormat="false" ht="30" hidden="true" customHeight="true" outlineLevel="0" collapsed="false">
      <c r="A1601" s="4" t="s">
        <v>109</v>
      </c>
      <c r="B1601" s="4" t="s">
        <v>14</v>
      </c>
      <c r="C1601" s="5" t="n">
        <v>1329001693</v>
      </c>
      <c r="D1601" s="6" t="s">
        <v>1664</v>
      </c>
      <c r="E1601" s="6"/>
      <c r="F1601" s="7" t="n">
        <v>46069.3538745023</v>
      </c>
      <c r="G1601" s="7" t="n">
        <v>46069.4349308796</v>
      </c>
      <c r="H1601" s="8" t="n">
        <v>4</v>
      </c>
      <c r="I1601" s="5" t="n">
        <v>401101</v>
      </c>
      <c r="J1601" s="6" t="s">
        <v>1581</v>
      </c>
      <c r="K1601" s="5" t="n">
        <v>160000101</v>
      </c>
      <c r="L1601" s="9" t="n">
        <v>46011</v>
      </c>
      <c r="M1601" s="10" t="n">
        <v>47836</v>
      </c>
    </row>
    <row r="1602" customFormat="false" ht="30" hidden="true" customHeight="true" outlineLevel="0" collapsed="false">
      <c r="A1602" s="4" t="s">
        <v>109</v>
      </c>
      <c r="B1602" s="4" t="s">
        <v>14</v>
      </c>
      <c r="C1602" s="5" t="n">
        <v>1329001693</v>
      </c>
      <c r="D1602" s="6" t="s">
        <v>1665</v>
      </c>
      <c r="E1602" s="6"/>
      <c r="F1602" s="7" t="n">
        <v>46069.3538745023</v>
      </c>
      <c r="G1602" s="7" t="n">
        <v>46069.5545439236</v>
      </c>
      <c r="H1602" s="8" t="n">
        <v>4</v>
      </c>
      <c r="I1602" s="5" t="n">
        <v>400489</v>
      </c>
      <c r="J1602" s="6" t="s">
        <v>1666</v>
      </c>
      <c r="K1602" s="5" t="n">
        <v>153000052</v>
      </c>
      <c r="L1602" s="9" t="n">
        <v>46044</v>
      </c>
      <c r="M1602" s="10" t="n">
        <v>47869</v>
      </c>
    </row>
    <row r="1603" customFormat="false" ht="30" hidden="true" customHeight="true" outlineLevel="0" collapsed="false">
      <c r="A1603" s="4" t="s">
        <v>109</v>
      </c>
      <c r="B1603" s="4" t="s">
        <v>14</v>
      </c>
      <c r="C1603" s="5" t="n">
        <v>1329001693</v>
      </c>
      <c r="D1603" s="6" t="s">
        <v>1667</v>
      </c>
      <c r="E1603" s="6"/>
      <c r="F1603" s="7" t="n">
        <v>46069.3538745023</v>
      </c>
      <c r="G1603" s="7" t="n">
        <v>46069.5539027083</v>
      </c>
      <c r="H1603" s="8" t="n">
        <v>4</v>
      </c>
      <c r="I1603" s="5" t="n">
        <v>400489</v>
      </c>
      <c r="J1603" s="6" t="s">
        <v>1666</v>
      </c>
      <c r="K1603" s="5" t="n">
        <v>153000052</v>
      </c>
      <c r="L1603" s="9" t="n">
        <v>46044</v>
      </c>
      <c r="M1603" s="10" t="n">
        <v>47869</v>
      </c>
    </row>
    <row r="1604" customFormat="false" ht="30" hidden="true" customHeight="true" outlineLevel="0" collapsed="false">
      <c r="A1604" s="4" t="s">
        <v>109</v>
      </c>
      <c r="B1604" s="4" t="s">
        <v>14</v>
      </c>
      <c r="C1604" s="5" t="n">
        <v>1329001693</v>
      </c>
      <c r="D1604" s="6" t="s">
        <v>1668</v>
      </c>
      <c r="E1604" s="6"/>
      <c r="F1604" s="7" t="n">
        <v>46069.3538745023</v>
      </c>
      <c r="G1604" s="7" t="n">
        <v>46069.5533097106</v>
      </c>
      <c r="H1604" s="8" t="n">
        <v>4</v>
      </c>
      <c r="I1604" s="5" t="n">
        <v>400538</v>
      </c>
      <c r="J1604" s="6" t="s">
        <v>1669</v>
      </c>
      <c r="K1604" s="5" t="n">
        <v>153000048</v>
      </c>
      <c r="L1604" s="9" t="n">
        <v>46044</v>
      </c>
      <c r="M1604" s="10" t="n">
        <v>47869</v>
      </c>
    </row>
    <row r="1605" customFormat="false" ht="30" hidden="true" customHeight="true" outlineLevel="0" collapsed="false">
      <c r="A1605" s="4" t="s">
        <v>109</v>
      </c>
      <c r="B1605" s="4" t="s">
        <v>14</v>
      </c>
      <c r="C1605" s="5" t="n">
        <v>1329001693</v>
      </c>
      <c r="D1605" s="6" t="s">
        <v>1670</v>
      </c>
      <c r="E1605" s="6"/>
      <c r="F1605" s="7" t="n">
        <v>46069.3538745023</v>
      </c>
      <c r="G1605" s="7" t="n">
        <v>46069.5527272801</v>
      </c>
      <c r="H1605" s="8" t="n">
        <v>4</v>
      </c>
      <c r="I1605" s="5" t="n">
        <v>400489</v>
      </c>
      <c r="J1605" s="6" t="s">
        <v>1666</v>
      </c>
      <c r="K1605" s="5" t="n">
        <v>153000052</v>
      </c>
      <c r="L1605" s="9" t="n">
        <v>46044</v>
      </c>
      <c r="M1605" s="10" t="n">
        <v>47869</v>
      </c>
    </row>
    <row r="1606" customFormat="false" ht="30" hidden="true" customHeight="true" outlineLevel="0" collapsed="false">
      <c r="A1606" s="4" t="s">
        <v>109</v>
      </c>
      <c r="B1606" s="4" t="s">
        <v>14</v>
      </c>
      <c r="C1606" s="5" t="n">
        <v>1329001693</v>
      </c>
      <c r="D1606" s="6" t="s">
        <v>1671</v>
      </c>
      <c r="E1606" s="6"/>
      <c r="F1606" s="7" t="n">
        <v>46069.3538745023</v>
      </c>
      <c r="G1606" s="7" t="n">
        <v>46069.5521606829</v>
      </c>
      <c r="H1606" s="8" t="n">
        <v>4</v>
      </c>
      <c r="I1606" s="5" t="n">
        <v>400538</v>
      </c>
      <c r="J1606" s="6" t="s">
        <v>1669</v>
      </c>
      <c r="K1606" s="5" t="n">
        <v>153000048</v>
      </c>
      <c r="L1606" s="9" t="n">
        <v>46044</v>
      </c>
      <c r="M1606" s="10" t="n">
        <v>47869</v>
      </c>
    </row>
    <row r="1607" customFormat="false" ht="30" hidden="true" customHeight="true" outlineLevel="0" collapsed="false">
      <c r="A1607" s="4" t="s">
        <v>109</v>
      </c>
      <c r="B1607" s="4" t="s">
        <v>14</v>
      </c>
      <c r="C1607" s="5" t="n">
        <v>1329001693</v>
      </c>
      <c r="D1607" s="6" t="s">
        <v>1672</v>
      </c>
      <c r="E1607" s="6"/>
      <c r="F1607" s="7" t="n">
        <v>46069.3538745023</v>
      </c>
      <c r="G1607" s="7" t="n">
        <v>46069.5497163657</v>
      </c>
      <c r="H1607" s="8" t="n">
        <v>4</v>
      </c>
      <c r="I1607" s="5" t="n">
        <v>400538</v>
      </c>
      <c r="J1607" s="6" t="s">
        <v>1669</v>
      </c>
      <c r="K1607" s="5" t="n">
        <v>153000048</v>
      </c>
      <c r="L1607" s="9" t="n">
        <v>46044</v>
      </c>
      <c r="M1607" s="10" t="n">
        <v>47869</v>
      </c>
    </row>
    <row r="1608" customFormat="false" ht="30" hidden="true" customHeight="true" outlineLevel="0" collapsed="false">
      <c r="A1608" s="4" t="s">
        <v>109</v>
      </c>
      <c r="B1608" s="4" t="s">
        <v>14</v>
      </c>
      <c r="C1608" s="5" t="n">
        <v>1329001693</v>
      </c>
      <c r="D1608" s="6" t="s">
        <v>1673</v>
      </c>
      <c r="E1608" s="6"/>
      <c r="F1608" s="7" t="n">
        <v>46069.3538745023</v>
      </c>
      <c r="G1608" s="7" t="n">
        <v>46069.5516595602</v>
      </c>
      <c r="H1608" s="8" t="n">
        <v>4</v>
      </c>
      <c r="I1608" s="5" t="n">
        <v>400489</v>
      </c>
      <c r="J1608" s="6" t="s">
        <v>1666</v>
      </c>
      <c r="K1608" s="5" t="n">
        <v>100010421</v>
      </c>
      <c r="L1608" s="9" t="n">
        <v>46044</v>
      </c>
      <c r="M1608" s="10" t="n">
        <v>47869</v>
      </c>
    </row>
    <row r="1609" customFormat="false" ht="30" hidden="true" customHeight="true" outlineLevel="0" collapsed="false">
      <c r="A1609" s="4" t="s">
        <v>109</v>
      </c>
      <c r="B1609" s="4" t="s">
        <v>14</v>
      </c>
      <c r="C1609" s="5" t="n">
        <v>1329001693</v>
      </c>
      <c r="D1609" s="6" t="s">
        <v>1674</v>
      </c>
      <c r="E1609" s="6"/>
      <c r="F1609" s="7" t="n">
        <v>46069.3538745023</v>
      </c>
      <c r="G1609" s="7" t="n">
        <v>46069.5492055208</v>
      </c>
      <c r="H1609" s="8" t="n">
        <v>4</v>
      </c>
      <c r="I1609" s="5" t="n">
        <v>400538</v>
      </c>
      <c r="J1609" s="6" t="s">
        <v>1669</v>
      </c>
      <c r="K1609" s="5" t="n">
        <v>153000048</v>
      </c>
      <c r="L1609" s="9" t="n">
        <v>46044</v>
      </c>
      <c r="M1609" s="10" t="n">
        <v>47869</v>
      </c>
    </row>
    <row r="1610" customFormat="false" ht="30" hidden="true" customHeight="true" outlineLevel="0" collapsed="false">
      <c r="A1610" s="4" t="s">
        <v>109</v>
      </c>
      <c r="B1610" s="4" t="s">
        <v>14</v>
      </c>
      <c r="C1610" s="5" t="n">
        <v>1329001693</v>
      </c>
      <c r="D1610" s="6" t="s">
        <v>1675</v>
      </c>
      <c r="E1610" s="6"/>
      <c r="F1610" s="7" t="n">
        <v>46069.3538745023</v>
      </c>
      <c r="G1610" s="7" t="n">
        <v>46069.5485884144</v>
      </c>
      <c r="H1610" s="8" t="n">
        <v>4</v>
      </c>
      <c r="I1610" s="5" t="n">
        <v>400489</v>
      </c>
      <c r="J1610" s="6" t="s">
        <v>1666</v>
      </c>
      <c r="K1610" s="5" t="n">
        <v>153000052</v>
      </c>
      <c r="L1610" s="9" t="n">
        <v>46044</v>
      </c>
      <c r="M1610" s="10" t="n">
        <v>47869</v>
      </c>
    </row>
    <row r="1611" customFormat="false" ht="30" hidden="true" customHeight="true" outlineLevel="0" collapsed="false">
      <c r="A1611" s="4" t="s">
        <v>109</v>
      </c>
      <c r="B1611" s="4" t="s">
        <v>14</v>
      </c>
      <c r="C1611" s="5" t="n">
        <v>1329001693</v>
      </c>
      <c r="D1611" s="6" t="s">
        <v>1676</v>
      </c>
      <c r="E1611" s="6"/>
      <c r="F1611" s="7" t="n">
        <v>46069.3538745023</v>
      </c>
      <c r="G1611" s="7" t="n">
        <v>46069.521593669</v>
      </c>
      <c r="H1611" s="8" t="n">
        <v>2</v>
      </c>
      <c r="I1611" s="5" t="n">
        <v>400428</v>
      </c>
      <c r="J1611" s="6" t="s">
        <v>536</v>
      </c>
      <c r="K1611" s="5" t="n">
        <v>100011166</v>
      </c>
      <c r="L1611" s="9" t="n">
        <v>46015</v>
      </c>
      <c r="M1611" s="10" t="n">
        <v>47840</v>
      </c>
    </row>
    <row r="1612" customFormat="false" ht="30" hidden="true" customHeight="true" outlineLevel="0" collapsed="false">
      <c r="A1612" s="4" t="s">
        <v>109</v>
      </c>
      <c r="B1612" s="4" t="s">
        <v>14</v>
      </c>
      <c r="C1612" s="5" t="n">
        <v>1329001693</v>
      </c>
      <c r="D1612" s="6" t="s">
        <v>1677</v>
      </c>
      <c r="E1612" s="6"/>
      <c r="F1612" s="7" t="n">
        <v>46069.3538745023</v>
      </c>
      <c r="G1612" s="7" t="n">
        <v>46069.5207691551</v>
      </c>
      <c r="H1612" s="8" t="n">
        <v>2</v>
      </c>
      <c r="I1612" s="5" t="n">
        <v>400428</v>
      </c>
      <c r="J1612" s="6" t="s">
        <v>536</v>
      </c>
      <c r="K1612" s="5" t="n">
        <v>100009969</v>
      </c>
      <c r="L1612" s="9" t="n">
        <v>45904</v>
      </c>
      <c r="M1612" s="10" t="n">
        <v>47729</v>
      </c>
    </row>
    <row r="1613" customFormat="false" ht="30" hidden="true" customHeight="true" outlineLevel="0" collapsed="false">
      <c r="A1613" s="4" t="s">
        <v>109</v>
      </c>
      <c r="B1613" s="4" t="s">
        <v>14</v>
      </c>
      <c r="C1613" s="5" t="n">
        <v>1329001693</v>
      </c>
      <c r="D1613" s="6" t="s">
        <v>1678</v>
      </c>
      <c r="E1613" s="6"/>
      <c r="F1613" s="7" t="n">
        <v>46069.3538745023</v>
      </c>
      <c r="G1613" s="7" t="n">
        <v>46069.5191778588</v>
      </c>
      <c r="H1613" s="8" t="n">
        <v>4</v>
      </c>
      <c r="I1613" s="5" t="n">
        <v>400541</v>
      </c>
      <c r="J1613" s="6" t="s">
        <v>1005</v>
      </c>
      <c r="K1613" s="5" t="n">
        <v>100010765</v>
      </c>
      <c r="L1613" s="9" t="n">
        <v>46058</v>
      </c>
      <c r="M1613" s="10" t="n">
        <v>47883</v>
      </c>
    </row>
    <row r="1614" customFormat="false" ht="30" hidden="true" customHeight="true" outlineLevel="0" collapsed="false">
      <c r="A1614" s="4" t="s">
        <v>109</v>
      </c>
      <c r="B1614" s="4" t="s">
        <v>14</v>
      </c>
      <c r="C1614" s="5" t="n">
        <v>1329001693</v>
      </c>
      <c r="D1614" s="6" t="s">
        <v>1679</v>
      </c>
      <c r="E1614" s="6"/>
      <c r="F1614" s="7" t="n">
        <v>46069.3538745023</v>
      </c>
      <c r="G1614" s="7" t="n">
        <v>46069.5196108218</v>
      </c>
      <c r="H1614" s="8" t="n">
        <v>3</v>
      </c>
      <c r="I1614" s="5" t="n">
        <v>400428</v>
      </c>
      <c r="J1614" s="6" t="s">
        <v>536</v>
      </c>
      <c r="K1614" s="5" t="n">
        <v>100011166</v>
      </c>
      <c r="L1614" s="9" t="n">
        <v>46015</v>
      </c>
      <c r="M1614" s="10" t="n">
        <v>47840</v>
      </c>
    </row>
    <row r="1615" customFormat="false" ht="30" hidden="true" customHeight="true" outlineLevel="0" collapsed="false">
      <c r="A1615" s="4" t="s">
        <v>109</v>
      </c>
      <c r="B1615" s="4" t="s">
        <v>14</v>
      </c>
      <c r="C1615" s="5" t="n">
        <v>1329001693</v>
      </c>
      <c r="D1615" s="6" t="s">
        <v>1680</v>
      </c>
      <c r="E1615" s="6"/>
      <c r="F1615" s="7" t="n">
        <v>46069.3538745023</v>
      </c>
      <c r="G1615" s="7" t="n">
        <v>46069.5450325116</v>
      </c>
      <c r="H1615" s="8" t="n">
        <v>4</v>
      </c>
      <c r="I1615" s="5" t="n">
        <v>401101</v>
      </c>
      <c r="J1615" s="6" t="s">
        <v>1581</v>
      </c>
      <c r="K1615" s="5" t="n">
        <v>160000101</v>
      </c>
      <c r="L1615" s="9" t="n">
        <v>46011</v>
      </c>
      <c r="M1615" s="10" t="n">
        <v>47836</v>
      </c>
    </row>
    <row r="1616" customFormat="false" ht="30" hidden="true" customHeight="true" outlineLevel="0" collapsed="false">
      <c r="A1616" s="4" t="s">
        <v>109</v>
      </c>
      <c r="B1616" s="4" t="s">
        <v>14</v>
      </c>
      <c r="C1616" s="5" t="n">
        <v>1329001693</v>
      </c>
      <c r="D1616" s="6" t="s">
        <v>1681</v>
      </c>
      <c r="E1616" s="6"/>
      <c r="F1616" s="7" t="n">
        <v>46069.3538745023</v>
      </c>
      <c r="G1616" s="7" t="n">
        <v>46069.5163288194</v>
      </c>
      <c r="H1616" s="8" t="n">
        <v>4</v>
      </c>
      <c r="I1616" s="5" t="n">
        <v>400428</v>
      </c>
      <c r="J1616" s="6" t="s">
        <v>536</v>
      </c>
      <c r="K1616" s="5" t="n">
        <v>100011166</v>
      </c>
      <c r="L1616" s="9" t="n">
        <v>46015</v>
      </c>
      <c r="M1616" s="10" t="n">
        <v>47840</v>
      </c>
    </row>
    <row r="1617" customFormat="false" ht="30" hidden="true" customHeight="true" outlineLevel="0" collapsed="false">
      <c r="A1617" s="4" t="s">
        <v>109</v>
      </c>
      <c r="B1617" s="4" t="s">
        <v>14</v>
      </c>
      <c r="C1617" s="5" t="n">
        <v>1329001693</v>
      </c>
      <c r="D1617" s="6" t="s">
        <v>1682</v>
      </c>
      <c r="E1617" s="6"/>
      <c r="F1617" s="7" t="n">
        <v>46069.3538745023</v>
      </c>
      <c r="G1617" s="7" t="n">
        <v>46069.5156977662</v>
      </c>
      <c r="H1617" s="8" t="n">
        <v>4</v>
      </c>
      <c r="I1617" s="5" t="n">
        <v>401101</v>
      </c>
      <c r="J1617" s="6" t="s">
        <v>1581</v>
      </c>
      <c r="K1617" s="5" t="n">
        <v>160000101</v>
      </c>
      <c r="L1617" s="9" t="n">
        <v>46011</v>
      </c>
      <c r="M1617" s="10" t="n">
        <v>47836</v>
      </c>
    </row>
    <row r="1618" customFormat="false" ht="30" hidden="true" customHeight="true" outlineLevel="0" collapsed="false">
      <c r="A1618" s="4" t="s">
        <v>109</v>
      </c>
      <c r="B1618" s="4" t="s">
        <v>14</v>
      </c>
      <c r="C1618" s="5" t="n">
        <v>1329001693</v>
      </c>
      <c r="D1618" s="6" t="s">
        <v>1683</v>
      </c>
      <c r="E1618" s="6"/>
      <c r="F1618" s="7" t="n">
        <v>46069.3538745023</v>
      </c>
      <c r="G1618" s="7" t="n">
        <v>46069.5151390625</v>
      </c>
      <c r="H1618" s="8" t="n">
        <v>4</v>
      </c>
      <c r="I1618" s="5" t="n">
        <v>400428</v>
      </c>
      <c r="J1618" s="6" t="s">
        <v>536</v>
      </c>
      <c r="K1618" s="5" t="n">
        <v>100011166</v>
      </c>
      <c r="L1618" s="9" t="n">
        <v>46015</v>
      </c>
      <c r="M1618" s="10" t="n">
        <v>47840</v>
      </c>
    </row>
    <row r="1619" customFormat="false" ht="30" hidden="true" customHeight="true" outlineLevel="0" collapsed="false">
      <c r="A1619" s="4" t="s">
        <v>109</v>
      </c>
      <c r="B1619" s="4" t="s">
        <v>14</v>
      </c>
      <c r="C1619" s="5" t="n">
        <v>1329001693</v>
      </c>
      <c r="D1619" s="6" t="s">
        <v>1684</v>
      </c>
      <c r="E1619" s="6"/>
      <c r="F1619" s="7" t="n">
        <v>46069.3538745023</v>
      </c>
      <c r="G1619" s="7" t="n">
        <v>46069.5145497107</v>
      </c>
      <c r="H1619" s="8" t="n">
        <v>4</v>
      </c>
      <c r="I1619" s="5" t="n">
        <v>401101</v>
      </c>
      <c r="J1619" s="6" t="s">
        <v>1581</v>
      </c>
      <c r="K1619" s="5" t="n">
        <v>160000101</v>
      </c>
      <c r="L1619" s="9" t="n">
        <v>46011</v>
      </c>
      <c r="M1619" s="10" t="n">
        <v>47836</v>
      </c>
    </row>
    <row r="1620" customFormat="false" ht="30" hidden="true" customHeight="true" outlineLevel="0" collapsed="false">
      <c r="A1620" s="4" t="s">
        <v>109</v>
      </c>
      <c r="B1620" s="4" t="s">
        <v>14</v>
      </c>
      <c r="C1620" s="5" t="n">
        <v>1329001693</v>
      </c>
      <c r="D1620" s="6" t="s">
        <v>1685</v>
      </c>
      <c r="E1620" s="6"/>
      <c r="F1620" s="7" t="n">
        <v>46069.3538745023</v>
      </c>
      <c r="G1620" s="7" t="n">
        <v>46069.513604213</v>
      </c>
      <c r="H1620" s="8" t="n">
        <v>4</v>
      </c>
      <c r="I1620" s="5" t="n">
        <v>400428</v>
      </c>
      <c r="J1620" s="6" t="s">
        <v>536</v>
      </c>
      <c r="K1620" s="5" t="n">
        <v>100011166</v>
      </c>
      <c r="L1620" s="9" t="n">
        <v>46015</v>
      </c>
      <c r="M1620" s="10" t="n">
        <v>47840</v>
      </c>
    </row>
    <row r="1621" customFormat="false" ht="30" hidden="true" customHeight="true" outlineLevel="0" collapsed="false">
      <c r="A1621" s="4" t="s">
        <v>109</v>
      </c>
      <c r="B1621" s="4" t="s">
        <v>14</v>
      </c>
      <c r="C1621" s="5" t="n">
        <v>1329001693</v>
      </c>
      <c r="D1621" s="6" t="s">
        <v>1686</v>
      </c>
      <c r="E1621" s="6"/>
      <c r="F1621" s="7" t="n">
        <v>46069.3538745023</v>
      </c>
      <c r="G1621" s="7" t="n">
        <v>46069.5127841667</v>
      </c>
      <c r="H1621" s="8" t="n">
        <v>4</v>
      </c>
      <c r="I1621" s="5" t="n">
        <v>401101</v>
      </c>
      <c r="J1621" s="6" t="s">
        <v>1581</v>
      </c>
      <c r="K1621" s="5" t="n">
        <v>160000101</v>
      </c>
      <c r="L1621" s="9" t="n">
        <v>46011</v>
      </c>
      <c r="M1621" s="10" t="n">
        <v>47836</v>
      </c>
    </row>
    <row r="1622" customFormat="false" ht="30" hidden="true" customHeight="true" outlineLevel="0" collapsed="false">
      <c r="A1622" s="4" t="s">
        <v>109</v>
      </c>
      <c r="B1622" s="4" t="s">
        <v>14</v>
      </c>
      <c r="C1622" s="5" t="n">
        <v>1329001693</v>
      </c>
      <c r="D1622" s="6" t="s">
        <v>1687</v>
      </c>
      <c r="E1622" s="6"/>
      <c r="F1622" s="7" t="n">
        <v>46069.3538745023</v>
      </c>
      <c r="G1622" s="7" t="n">
        <v>46069.5480172569</v>
      </c>
      <c r="H1622" s="8" t="n">
        <v>4</v>
      </c>
      <c r="I1622" s="5" t="n">
        <v>400538</v>
      </c>
      <c r="J1622" s="6" t="s">
        <v>1669</v>
      </c>
      <c r="K1622" s="5" t="n">
        <v>153000048</v>
      </c>
      <c r="L1622" s="9" t="n">
        <v>46044</v>
      </c>
      <c r="M1622" s="10" t="n">
        <v>47869</v>
      </c>
    </row>
    <row r="1623" customFormat="false" ht="30" hidden="true" customHeight="true" outlineLevel="0" collapsed="false">
      <c r="A1623" s="4" t="s">
        <v>109</v>
      </c>
      <c r="B1623" s="4" t="s">
        <v>14</v>
      </c>
      <c r="C1623" s="5" t="n">
        <v>1329001693</v>
      </c>
      <c r="D1623" s="6" t="s">
        <v>1688</v>
      </c>
      <c r="E1623" s="6"/>
      <c r="F1623" s="7" t="n">
        <v>46069.3538745023</v>
      </c>
      <c r="G1623" s="7" t="n">
        <v>46069.5121800231</v>
      </c>
      <c r="H1623" s="8" t="n">
        <v>4</v>
      </c>
      <c r="I1623" s="5" t="n">
        <v>400428</v>
      </c>
      <c r="J1623" s="6" t="s">
        <v>536</v>
      </c>
      <c r="K1623" s="5" t="n">
        <v>100011166</v>
      </c>
      <c r="L1623" s="9" t="n">
        <v>46015</v>
      </c>
      <c r="M1623" s="10" t="n">
        <v>47840</v>
      </c>
    </row>
    <row r="1624" customFormat="false" ht="30" hidden="true" customHeight="true" outlineLevel="0" collapsed="false">
      <c r="A1624" s="4" t="s">
        <v>109</v>
      </c>
      <c r="B1624" s="4" t="s">
        <v>14</v>
      </c>
      <c r="C1624" s="5" t="n">
        <v>1329001693</v>
      </c>
      <c r="D1624" s="6" t="s">
        <v>1689</v>
      </c>
      <c r="E1624" s="6"/>
      <c r="F1624" s="7" t="n">
        <v>46069.3538745023</v>
      </c>
      <c r="G1624" s="7" t="n">
        <v>46069.546815081</v>
      </c>
      <c r="H1624" s="8" t="n">
        <v>4</v>
      </c>
      <c r="I1624" s="5" t="n">
        <v>400489</v>
      </c>
      <c r="J1624" s="6" t="s">
        <v>1666</v>
      </c>
      <c r="K1624" s="5" t="n">
        <v>153000052</v>
      </c>
      <c r="L1624" s="9" t="n">
        <v>46044</v>
      </c>
      <c r="M1624" s="10" t="n">
        <v>47869</v>
      </c>
    </row>
    <row r="1625" customFormat="false" ht="30" hidden="true" customHeight="true" outlineLevel="0" collapsed="false">
      <c r="A1625" s="4" t="s">
        <v>109</v>
      </c>
      <c r="B1625" s="4" t="s">
        <v>14</v>
      </c>
      <c r="C1625" s="5" t="n">
        <v>1329001693</v>
      </c>
      <c r="D1625" s="6" t="s">
        <v>1690</v>
      </c>
      <c r="E1625" s="6"/>
      <c r="F1625" s="7" t="n">
        <v>46069.3538745023</v>
      </c>
      <c r="G1625" s="7" t="n">
        <v>46069.5169425694</v>
      </c>
      <c r="H1625" s="8" t="n">
        <v>3</v>
      </c>
      <c r="I1625" s="5" t="n">
        <v>400541</v>
      </c>
      <c r="J1625" s="6" t="s">
        <v>1005</v>
      </c>
      <c r="K1625" s="5" t="n">
        <v>153000081</v>
      </c>
      <c r="L1625" s="9" t="n">
        <v>46058</v>
      </c>
      <c r="M1625" s="10" t="n">
        <v>47883</v>
      </c>
    </row>
    <row r="1626" customFormat="false" ht="30" hidden="false" customHeight="true" outlineLevel="0" collapsed="false">
      <c r="A1626" s="4" t="s">
        <v>1400</v>
      </c>
      <c r="B1626" s="4" t="s">
        <v>14</v>
      </c>
      <c r="C1626" s="11" t="s">
        <v>1691</v>
      </c>
      <c r="D1626" s="6" t="s">
        <v>1692</v>
      </c>
      <c r="E1626" s="6"/>
      <c r="F1626" s="7" t="n">
        <v>46069.4433323264</v>
      </c>
      <c r="G1626" s="7" t="n">
        <v>46069.4793941667</v>
      </c>
      <c r="H1626" s="8" t="n">
        <v>32</v>
      </c>
      <c r="I1626" s="5" t="n">
        <v>400568</v>
      </c>
      <c r="J1626" s="6" t="s">
        <v>1600</v>
      </c>
      <c r="K1626" s="5" t="n">
        <v>153000022</v>
      </c>
      <c r="L1626" s="9" t="n">
        <v>46036</v>
      </c>
      <c r="M1626" s="10" t="n">
        <v>47861</v>
      </c>
    </row>
    <row r="1627" customFormat="false" ht="30" hidden="false" customHeight="true" outlineLevel="0" collapsed="false">
      <c r="A1627" s="4" t="s">
        <v>1400</v>
      </c>
      <c r="B1627" s="4" t="s">
        <v>14</v>
      </c>
      <c r="C1627" s="11" t="s">
        <v>1691</v>
      </c>
      <c r="D1627" s="6" t="s">
        <v>1693</v>
      </c>
      <c r="E1627" s="6"/>
      <c r="F1627" s="7" t="n">
        <v>46069.4433323264</v>
      </c>
      <c r="G1627" s="7" t="n">
        <v>46070.2799696991</v>
      </c>
      <c r="H1627" s="8" t="n">
        <v>8</v>
      </c>
      <c r="I1627" s="5" t="n">
        <v>400568</v>
      </c>
      <c r="J1627" s="6" t="s">
        <v>1600</v>
      </c>
      <c r="K1627" s="5" t="n">
        <v>153000022</v>
      </c>
      <c r="L1627" s="9" t="n">
        <v>46036</v>
      </c>
      <c r="M1627" s="10" t="n">
        <v>47861</v>
      </c>
    </row>
    <row r="1628" customFormat="false" ht="30" hidden="false" customHeight="true" outlineLevel="0" collapsed="false">
      <c r="A1628" s="4" t="s">
        <v>1400</v>
      </c>
      <c r="B1628" s="4" t="s">
        <v>14</v>
      </c>
      <c r="C1628" s="11" t="s">
        <v>1691</v>
      </c>
      <c r="D1628" s="6" t="s">
        <v>1694</v>
      </c>
      <c r="E1628" s="6"/>
      <c r="F1628" s="7" t="n">
        <v>46069.4433323264</v>
      </c>
      <c r="G1628" s="7" t="n">
        <v>46069.4807205903</v>
      </c>
      <c r="H1628" s="8" t="n">
        <v>32</v>
      </c>
      <c r="I1628" s="5" t="n">
        <v>400568</v>
      </c>
      <c r="J1628" s="6" t="s">
        <v>1600</v>
      </c>
      <c r="K1628" s="5" t="n">
        <v>153000022</v>
      </c>
      <c r="L1628" s="9" t="n">
        <v>46036</v>
      </c>
      <c r="M1628" s="10" t="n">
        <v>47861</v>
      </c>
    </row>
    <row r="1629" customFormat="false" ht="30" hidden="false" customHeight="true" outlineLevel="0" collapsed="false">
      <c r="A1629" s="4" t="s">
        <v>1400</v>
      </c>
      <c r="B1629" s="4" t="s">
        <v>14</v>
      </c>
      <c r="C1629" s="11" t="s">
        <v>1691</v>
      </c>
      <c r="D1629" s="6" t="s">
        <v>1695</v>
      </c>
      <c r="E1629" s="6"/>
      <c r="F1629" s="7" t="n">
        <v>46069.4433323264</v>
      </c>
      <c r="G1629" s="7" t="n">
        <v>46069.4804384028</v>
      </c>
      <c r="H1629" s="8" t="n">
        <v>32</v>
      </c>
      <c r="I1629" s="5" t="n">
        <v>400568</v>
      </c>
      <c r="J1629" s="6" t="s">
        <v>1600</v>
      </c>
      <c r="K1629" s="5" t="n">
        <v>153000022</v>
      </c>
      <c r="L1629" s="9" t="n">
        <v>46036</v>
      </c>
      <c r="M1629" s="10" t="n">
        <v>47861</v>
      </c>
    </row>
    <row r="1630" customFormat="false" ht="30" hidden="false" customHeight="true" outlineLevel="0" collapsed="false">
      <c r="A1630" s="4" t="s">
        <v>1400</v>
      </c>
      <c r="B1630" s="4" t="s">
        <v>14</v>
      </c>
      <c r="C1630" s="11" t="s">
        <v>1691</v>
      </c>
      <c r="D1630" s="6" t="s">
        <v>1696</v>
      </c>
      <c r="E1630" s="6"/>
      <c r="F1630" s="7" t="n">
        <v>46069.4433323264</v>
      </c>
      <c r="G1630" s="7" t="n">
        <v>46069.4802263194</v>
      </c>
      <c r="H1630" s="8" t="n">
        <v>32</v>
      </c>
      <c r="I1630" s="5" t="n">
        <v>400568</v>
      </c>
      <c r="J1630" s="6" t="s">
        <v>1600</v>
      </c>
      <c r="K1630" s="5" t="n">
        <v>153000022</v>
      </c>
      <c r="L1630" s="9" t="n">
        <v>46036</v>
      </c>
      <c r="M1630" s="10" t="n">
        <v>47861</v>
      </c>
    </row>
    <row r="1631" customFormat="false" ht="30" hidden="false" customHeight="true" outlineLevel="0" collapsed="false">
      <c r="A1631" s="4" t="s">
        <v>1400</v>
      </c>
      <c r="B1631" s="4" t="s">
        <v>14</v>
      </c>
      <c r="C1631" s="11" t="s">
        <v>1691</v>
      </c>
      <c r="D1631" s="6" t="s">
        <v>1697</v>
      </c>
      <c r="E1631" s="6"/>
      <c r="F1631" s="7" t="n">
        <v>46069.4433323264</v>
      </c>
      <c r="G1631" s="7" t="n">
        <v>46069.4799547917</v>
      </c>
      <c r="H1631" s="8" t="n">
        <v>32</v>
      </c>
      <c r="I1631" s="5" t="n">
        <v>400568</v>
      </c>
      <c r="J1631" s="6" t="s">
        <v>1600</v>
      </c>
      <c r="K1631" s="5" t="n">
        <v>153000022</v>
      </c>
      <c r="L1631" s="9" t="n">
        <v>46036</v>
      </c>
      <c r="M1631" s="10" t="n">
        <v>47861</v>
      </c>
    </row>
    <row r="1632" customFormat="false" ht="30" hidden="false" customHeight="true" outlineLevel="0" collapsed="false">
      <c r="A1632" s="4" t="s">
        <v>1400</v>
      </c>
      <c r="B1632" s="4" t="s">
        <v>14</v>
      </c>
      <c r="C1632" s="11" t="s">
        <v>1691</v>
      </c>
      <c r="D1632" s="6" t="s">
        <v>1698</v>
      </c>
      <c r="E1632" s="6"/>
      <c r="F1632" s="7" t="n">
        <v>46069.4433323264</v>
      </c>
      <c r="G1632" s="7" t="n">
        <v>46069.4796861227</v>
      </c>
      <c r="H1632" s="8" t="n">
        <v>32</v>
      </c>
      <c r="I1632" s="5" t="n">
        <v>400568</v>
      </c>
      <c r="J1632" s="6" t="s">
        <v>1600</v>
      </c>
      <c r="K1632" s="5" t="n">
        <v>153000022</v>
      </c>
      <c r="L1632" s="9" t="n">
        <v>46036</v>
      </c>
      <c r="M1632" s="10" t="n">
        <v>47861</v>
      </c>
    </row>
    <row r="1633" customFormat="false" ht="30" hidden="true" customHeight="true" outlineLevel="0" collapsed="false">
      <c r="A1633" s="4" t="s">
        <v>13</v>
      </c>
      <c r="B1633" s="4" t="s">
        <v>14</v>
      </c>
      <c r="C1633" s="5" t="n">
        <v>2502701178</v>
      </c>
      <c r="D1633" s="6" t="s">
        <v>1699</v>
      </c>
      <c r="E1633" s="6"/>
      <c r="F1633" s="7" t="n">
        <v>46069.5500979977</v>
      </c>
      <c r="G1633" s="7" t="n">
        <v>46069.6340707639</v>
      </c>
      <c r="H1633" s="8" t="n">
        <v>11</v>
      </c>
      <c r="I1633" s="5" t="n">
        <v>400445</v>
      </c>
      <c r="J1633" s="6" t="s">
        <v>1700</v>
      </c>
      <c r="K1633" s="5" t="n">
        <v>100010511</v>
      </c>
      <c r="L1633" s="9" t="n">
        <v>45956</v>
      </c>
      <c r="M1633" s="10" t="n">
        <v>47781</v>
      </c>
    </row>
    <row r="1634" customFormat="false" ht="30" hidden="true" customHeight="true" outlineLevel="0" collapsed="false">
      <c r="A1634" s="4" t="s">
        <v>13</v>
      </c>
      <c r="B1634" s="4" t="s">
        <v>14</v>
      </c>
      <c r="C1634" s="5" t="n">
        <v>2502701178</v>
      </c>
      <c r="D1634" s="6" t="s">
        <v>1701</v>
      </c>
      <c r="E1634" s="6"/>
      <c r="F1634" s="7" t="n">
        <v>46069.5500979977</v>
      </c>
      <c r="G1634" s="7" t="n">
        <v>46070.2815615278</v>
      </c>
      <c r="H1634" s="8" t="n">
        <v>4</v>
      </c>
      <c r="I1634" s="5" t="n">
        <v>400903</v>
      </c>
      <c r="J1634" s="6" t="s">
        <v>562</v>
      </c>
      <c r="K1634" s="5" t="n">
        <v>600000992</v>
      </c>
      <c r="L1634" s="9" t="n">
        <v>46008</v>
      </c>
      <c r="M1634" s="10" t="n">
        <v>47833</v>
      </c>
    </row>
    <row r="1635" customFormat="false" ht="30" hidden="true" customHeight="true" outlineLevel="0" collapsed="false">
      <c r="A1635" s="4" t="s">
        <v>13</v>
      </c>
      <c r="B1635" s="4" t="s">
        <v>14</v>
      </c>
      <c r="C1635" s="5" t="n">
        <v>2502701178</v>
      </c>
      <c r="D1635" s="6" t="s">
        <v>1702</v>
      </c>
      <c r="E1635" s="6"/>
      <c r="F1635" s="7" t="n">
        <v>46069.5500979977</v>
      </c>
      <c r="G1635" s="7" t="n">
        <v>46070.3360831829</v>
      </c>
      <c r="H1635" s="8" t="n">
        <v>2</v>
      </c>
      <c r="I1635" s="5" t="n">
        <v>400445</v>
      </c>
      <c r="J1635" s="6" t="s">
        <v>1700</v>
      </c>
      <c r="K1635" s="5" t="n">
        <v>100009700</v>
      </c>
      <c r="L1635" s="9" t="n">
        <v>45881</v>
      </c>
      <c r="M1635" s="10" t="n">
        <v>47706</v>
      </c>
    </row>
    <row r="1636" customFormat="false" ht="30" hidden="true" customHeight="true" outlineLevel="0" collapsed="false">
      <c r="A1636" s="4" t="s">
        <v>13</v>
      </c>
      <c r="B1636" s="4" t="s">
        <v>14</v>
      </c>
      <c r="C1636" s="5" t="n">
        <v>2502701178</v>
      </c>
      <c r="D1636" s="6" t="s">
        <v>1703</v>
      </c>
      <c r="E1636" s="6"/>
      <c r="F1636" s="7" t="n">
        <v>46069.5500979977</v>
      </c>
      <c r="G1636" s="7" t="n">
        <v>46069.6415079861</v>
      </c>
      <c r="H1636" s="8" t="n">
        <v>4</v>
      </c>
      <c r="I1636" s="5" t="n">
        <v>400903</v>
      </c>
      <c r="J1636" s="6" t="s">
        <v>562</v>
      </c>
      <c r="K1636" s="5" t="n">
        <v>600000992</v>
      </c>
      <c r="L1636" s="9" t="n">
        <v>46008</v>
      </c>
      <c r="M1636" s="10" t="n">
        <v>47833</v>
      </c>
    </row>
    <row r="1637" customFormat="false" ht="30" hidden="true" customHeight="true" outlineLevel="0" collapsed="false">
      <c r="A1637" s="4" t="s">
        <v>13</v>
      </c>
      <c r="B1637" s="4" t="s">
        <v>14</v>
      </c>
      <c r="C1637" s="5" t="n">
        <v>2502701178</v>
      </c>
      <c r="D1637" s="6" t="s">
        <v>1704</v>
      </c>
      <c r="E1637" s="6"/>
      <c r="F1637" s="7" t="n">
        <v>46069.5500979977</v>
      </c>
      <c r="G1637" s="7" t="n">
        <v>46069.6348429051</v>
      </c>
      <c r="H1637" s="8" t="n">
        <v>1</v>
      </c>
      <c r="I1637" s="5" t="n">
        <v>400445</v>
      </c>
      <c r="J1637" s="6" t="s">
        <v>1700</v>
      </c>
      <c r="K1637" s="5" t="n">
        <v>100010511</v>
      </c>
      <c r="L1637" s="9" t="n">
        <v>45956</v>
      </c>
      <c r="M1637" s="10" t="n">
        <v>47781</v>
      </c>
    </row>
    <row r="1638" customFormat="false" ht="30" hidden="true" customHeight="true" outlineLevel="0" collapsed="false">
      <c r="A1638" s="4" t="s">
        <v>13</v>
      </c>
      <c r="B1638" s="4" t="s">
        <v>14</v>
      </c>
      <c r="C1638" s="5" t="n">
        <v>2502701178</v>
      </c>
      <c r="D1638" s="6" t="s">
        <v>1705</v>
      </c>
      <c r="E1638" s="6"/>
      <c r="F1638" s="7" t="n">
        <v>46069.5500979977</v>
      </c>
      <c r="G1638" s="7" t="n">
        <v>46069.6342351968</v>
      </c>
      <c r="H1638" s="8" t="n">
        <v>1</v>
      </c>
      <c r="I1638" s="5" t="n">
        <v>400903</v>
      </c>
      <c r="J1638" s="6" t="s">
        <v>562</v>
      </c>
      <c r="K1638" s="5" t="n">
        <v>600000992</v>
      </c>
      <c r="L1638" s="9" t="n">
        <v>46008</v>
      </c>
      <c r="M1638" s="10" t="n">
        <v>47833</v>
      </c>
    </row>
    <row r="1639" customFormat="false" ht="30" hidden="true" customHeight="true" outlineLevel="0" collapsed="false">
      <c r="A1639" s="4" t="s">
        <v>13</v>
      </c>
      <c r="B1639" s="4" t="s">
        <v>14</v>
      </c>
      <c r="C1639" s="5" t="n">
        <v>2502701178</v>
      </c>
      <c r="D1639" s="6" t="s">
        <v>1706</v>
      </c>
      <c r="E1639" s="6"/>
      <c r="F1639" s="7" t="n">
        <v>46069.5500979977</v>
      </c>
      <c r="G1639" s="7" t="n">
        <v>46069.6337102662</v>
      </c>
      <c r="H1639" s="8" t="n">
        <v>4</v>
      </c>
      <c r="I1639" s="5" t="n">
        <v>400903</v>
      </c>
      <c r="J1639" s="6" t="s">
        <v>562</v>
      </c>
      <c r="K1639" s="5" t="n">
        <v>600000993</v>
      </c>
      <c r="L1639" s="9" t="n">
        <v>46009</v>
      </c>
      <c r="M1639" s="10" t="n">
        <v>47834</v>
      </c>
    </row>
    <row r="1640" customFormat="false" ht="30" hidden="true" customHeight="true" outlineLevel="0" collapsed="false">
      <c r="A1640" s="4" t="s">
        <v>13</v>
      </c>
      <c r="B1640" s="4" t="s">
        <v>14</v>
      </c>
      <c r="C1640" s="5" t="n">
        <v>2502701178</v>
      </c>
      <c r="D1640" s="6" t="s">
        <v>1707</v>
      </c>
      <c r="E1640" s="6"/>
      <c r="F1640" s="7" t="n">
        <v>46069.5500979977</v>
      </c>
      <c r="G1640" s="7" t="n">
        <v>46069.6334664815</v>
      </c>
      <c r="H1640" s="8" t="n">
        <v>4</v>
      </c>
      <c r="I1640" s="5" t="n">
        <v>400903</v>
      </c>
      <c r="J1640" s="6" t="s">
        <v>562</v>
      </c>
      <c r="K1640" s="5" t="n">
        <v>600000969</v>
      </c>
      <c r="L1640" s="9" t="n">
        <v>45984</v>
      </c>
      <c r="M1640" s="10" t="n">
        <v>47809</v>
      </c>
    </row>
    <row r="1641" customFormat="false" ht="30" hidden="true" customHeight="true" outlineLevel="0" collapsed="false">
      <c r="A1641" s="4" t="s">
        <v>13</v>
      </c>
      <c r="B1641" s="4" t="s">
        <v>14</v>
      </c>
      <c r="C1641" s="5" t="n">
        <v>2502701178</v>
      </c>
      <c r="D1641" s="6" t="s">
        <v>1708</v>
      </c>
      <c r="E1641" s="6"/>
      <c r="F1641" s="7" t="n">
        <v>46069.5500979977</v>
      </c>
      <c r="G1641" s="7" t="n">
        <v>46069.633066088</v>
      </c>
      <c r="H1641" s="8" t="n">
        <v>4</v>
      </c>
      <c r="I1641" s="5" t="n">
        <v>400903</v>
      </c>
      <c r="J1641" s="6" t="s">
        <v>562</v>
      </c>
      <c r="K1641" s="5" t="n">
        <v>600000992</v>
      </c>
      <c r="L1641" s="9" t="n">
        <v>46008</v>
      </c>
      <c r="M1641" s="10" t="n">
        <v>47833</v>
      </c>
    </row>
    <row r="1642" customFormat="false" ht="30" hidden="true" customHeight="true" outlineLevel="0" collapsed="false">
      <c r="A1642" s="4" t="s">
        <v>13</v>
      </c>
      <c r="B1642" s="4" t="s">
        <v>14</v>
      </c>
      <c r="C1642" s="5" t="n">
        <v>2502701178</v>
      </c>
      <c r="D1642" s="6" t="s">
        <v>1709</v>
      </c>
      <c r="E1642" s="6"/>
      <c r="F1642" s="7" t="n">
        <v>46069.5500979977</v>
      </c>
      <c r="G1642" s="7" t="n">
        <v>46069.632922037</v>
      </c>
      <c r="H1642" s="8" t="n">
        <v>4</v>
      </c>
      <c r="I1642" s="5" t="n">
        <v>400903</v>
      </c>
      <c r="J1642" s="6" t="s">
        <v>562</v>
      </c>
      <c r="K1642" s="5" t="n">
        <v>600000993</v>
      </c>
      <c r="L1642" s="9" t="n">
        <v>46009</v>
      </c>
      <c r="M1642" s="10" t="n">
        <v>47834</v>
      </c>
    </row>
    <row r="1643" customFormat="false" ht="30" hidden="true" customHeight="true" outlineLevel="0" collapsed="false">
      <c r="A1643" s="4" t="s">
        <v>13</v>
      </c>
      <c r="B1643" s="4" t="s">
        <v>14</v>
      </c>
      <c r="C1643" s="5" t="n">
        <v>2502701178</v>
      </c>
      <c r="D1643" s="6" t="s">
        <v>1710</v>
      </c>
      <c r="E1643" s="6"/>
      <c r="F1643" s="7" t="n">
        <v>46069.5500979977</v>
      </c>
      <c r="G1643" s="7" t="n">
        <v>46070.2784973032</v>
      </c>
      <c r="H1643" s="8" t="n">
        <v>1</v>
      </c>
      <c r="I1643" s="5" t="n">
        <v>400912</v>
      </c>
      <c r="J1643" s="6" t="s">
        <v>759</v>
      </c>
      <c r="K1643" s="5" t="n">
        <v>400003818</v>
      </c>
      <c r="L1643" s="9" t="n">
        <v>45986</v>
      </c>
      <c r="M1643" s="10" t="n">
        <v>47811</v>
      </c>
    </row>
    <row r="1644" customFormat="false" ht="30" hidden="true" customHeight="true" outlineLevel="0" collapsed="false">
      <c r="A1644" s="4" t="s">
        <v>13</v>
      </c>
      <c r="B1644" s="4" t="s">
        <v>14</v>
      </c>
      <c r="C1644" s="5" t="n">
        <v>2502701178</v>
      </c>
      <c r="D1644" s="6" t="s">
        <v>1711</v>
      </c>
      <c r="E1644" s="6"/>
      <c r="F1644" s="7" t="n">
        <v>46069.5500979977</v>
      </c>
      <c r="G1644" s="7" t="n">
        <v>46070.2850956597</v>
      </c>
      <c r="H1644" s="8" t="n">
        <v>4</v>
      </c>
      <c r="I1644" s="5" t="n">
        <v>400903</v>
      </c>
      <c r="J1644" s="6" t="s">
        <v>562</v>
      </c>
      <c r="K1644" s="5" t="n">
        <v>600000992</v>
      </c>
      <c r="L1644" s="9" t="n">
        <v>46008</v>
      </c>
      <c r="M1644" s="10" t="n">
        <v>47833</v>
      </c>
    </row>
    <row r="1645" customFormat="false" ht="30" hidden="true" customHeight="true" outlineLevel="0" collapsed="false">
      <c r="A1645" s="4" t="s">
        <v>13</v>
      </c>
      <c r="B1645" s="4" t="s">
        <v>14</v>
      </c>
      <c r="C1645" s="5" t="n">
        <v>2502701178</v>
      </c>
      <c r="D1645" s="6" t="s">
        <v>1712</v>
      </c>
      <c r="E1645" s="6"/>
      <c r="F1645" s="7" t="n">
        <v>46069.5500979977</v>
      </c>
      <c r="G1645" s="7" t="n">
        <v>46070.2849060417</v>
      </c>
      <c r="H1645" s="8" t="n">
        <v>4</v>
      </c>
      <c r="I1645" s="5" t="n">
        <v>400903</v>
      </c>
      <c r="J1645" s="6" t="s">
        <v>562</v>
      </c>
      <c r="K1645" s="5" t="n">
        <v>600000994</v>
      </c>
      <c r="L1645" s="9" t="n">
        <v>46009</v>
      </c>
      <c r="M1645" s="10" t="n">
        <v>47834</v>
      </c>
    </row>
    <row r="1646" customFormat="false" ht="30" hidden="true" customHeight="true" outlineLevel="0" collapsed="false">
      <c r="A1646" s="4" t="s">
        <v>13</v>
      </c>
      <c r="B1646" s="4" t="s">
        <v>14</v>
      </c>
      <c r="C1646" s="5" t="n">
        <v>2502701178</v>
      </c>
      <c r="D1646" s="6" t="s">
        <v>1713</v>
      </c>
      <c r="E1646" s="6"/>
      <c r="F1646" s="7" t="n">
        <v>46069.5500979977</v>
      </c>
      <c r="G1646" s="7" t="n">
        <v>46070.2844869097</v>
      </c>
      <c r="H1646" s="8" t="n">
        <v>4</v>
      </c>
      <c r="I1646" s="5" t="n">
        <v>400903</v>
      </c>
      <c r="J1646" s="6" t="s">
        <v>562</v>
      </c>
      <c r="K1646" s="5" t="n">
        <v>600000993</v>
      </c>
      <c r="L1646" s="9" t="n">
        <v>46009</v>
      </c>
      <c r="M1646" s="10" t="n">
        <v>47834</v>
      </c>
    </row>
    <row r="1647" customFormat="false" ht="30" hidden="true" customHeight="true" outlineLevel="0" collapsed="false">
      <c r="A1647" s="4" t="s">
        <v>13</v>
      </c>
      <c r="B1647" s="4" t="s">
        <v>14</v>
      </c>
      <c r="C1647" s="5" t="n">
        <v>2502701178</v>
      </c>
      <c r="D1647" s="6" t="s">
        <v>1714</v>
      </c>
      <c r="E1647" s="6"/>
      <c r="F1647" s="7" t="n">
        <v>46069.5500979977</v>
      </c>
      <c r="G1647" s="7" t="n">
        <v>46070.2842560185</v>
      </c>
      <c r="H1647" s="8" t="n">
        <v>4</v>
      </c>
      <c r="I1647" s="5" t="n">
        <v>400903</v>
      </c>
      <c r="J1647" s="6" t="s">
        <v>562</v>
      </c>
      <c r="K1647" s="5" t="n">
        <v>600000992</v>
      </c>
      <c r="L1647" s="9" t="n">
        <v>46008</v>
      </c>
      <c r="M1647" s="10" t="n">
        <v>47833</v>
      </c>
    </row>
    <row r="1648" customFormat="false" ht="30" hidden="true" customHeight="true" outlineLevel="0" collapsed="false">
      <c r="A1648" s="4" t="s">
        <v>13</v>
      </c>
      <c r="B1648" s="4" t="s">
        <v>14</v>
      </c>
      <c r="C1648" s="5" t="n">
        <v>2502701178</v>
      </c>
      <c r="D1648" s="6" t="s">
        <v>1715</v>
      </c>
      <c r="E1648" s="6"/>
      <c r="F1648" s="7" t="n">
        <v>46069.5500979977</v>
      </c>
      <c r="G1648" s="7" t="n">
        <v>46070.2840213773</v>
      </c>
      <c r="H1648" s="8" t="n">
        <v>4</v>
      </c>
      <c r="I1648" s="5" t="n">
        <v>400903</v>
      </c>
      <c r="J1648" s="6" t="s">
        <v>562</v>
      </c>
      <c r="K1648" s="5" t="n">
        <v>600000969</v>
      </c>
      <c r="L1648" s="9" t="n">
        <v>45984</v>
      </c>
      <c r="M1648" s="10" t="n">
        <v>47809</v>
      </c>
    </row>
    <row r="1649" customFormat="false" ht="30" hidden="true" customHeight="true" outlineLevel="0" collapsed="false">
      <c r="A1649" s="4" t="s">
        <v>13</v>
      </c>
      <c r="B1649" s="4" t="s">
        <v>14</v>
      </c>
      <c r="C1649" s="5" t="n">
        <v>2502701178</v>
      </c>
      <c r="D1649" s="6" t="s">
        <v>1716</v>
      </c>
      <c r="E1649" s="6"/>
      <c r="F1649" s="7" t="n">
        <v>46069.5500979977</v>
      </c>
      <c r="G1649" s="7" t="n">
        <v>46070.2838344792</v>
      </c>
      <c r="H1649" s="8" t="n">
        <v>4</v>
      </c>
      <c r="I1649" s="5" t="n">
        <v>400903</v>
      </c>
      <c r="J1649" s="6" t="s">
        <v>562</v>
      </c>
      <c r="K1649" s="5" t="n">
        <v>600000992</v>
      </c>
      <c r="L1649" s="9" t="n">
        <v>46008</v>
      </c>
      <c r="M1649" s="10" t="n">
        <v>47833</v>
      </c>
    </row>
    <row r="1650" customFormat="false" ht="30" hidden="true" customHeight="true" outlineLevel="0" collapsed="false">
      <c r="A1650" s="4" t="s">
        <v>13</v>
      </c>
      <c r="B1650" s="4" t="s">
        <v>14</v>
      </c>
      <c r="C1650" s="5" t="n">
        <v>2502701178</v>
      </c>
      <c r="D1650" s="6" t="s">
        <v>1717</v>
      </c>
      <c r="E1650" s="6"/>
      <c r="F1650" s="7" t="n">
        <v>46069.5500979977</v>
      </c>
      <c r="G1650" s="7" t="n">
        <v>46070.2836778704</v>
      </c>
      <c r="H1650" s="8" t="n">
        <v>4</v>
      </c>
      <c r="I1650" s="5" t="n">
        <v>400903</v>
      </c>
      <c r="J1650" s="6" t="s">
        <v>562</v>
      </c>
      <c r="K1650" s="5" t="n">
        <v>600000969</v>
      </c>
      <c r="L1650" s="9" t="n">
        <v>45984</v>
      </c>
      <c r="M1650" s="10" t="n">
        <v>47809</v>
      </c>
    </row>
    <row r="1651" customFormat="false" ht="30" hidden="true" customHeight="true" outlineLevel="0" collapsed="false">
      <c r="A1651" s="4" t="s">
        <v>13</v>
      </c>
      <c r="B1651" s="4" t="s">
        <v>14</v>
      </c>
      <c r="C1651" s="5" t="n">
        <v>2502701178</v>
      </c>
      <c r="D1651" s="6" t="s">
        <v>1718</v>
      </c>
      <c r="E1651" s="6"/>
      <c r="F1651" s="7" t="n">
        <v>46069.5500979977</v>
      </c>
      <c r="G1651" s="7" t="n">
        <v>46070.2827385995</v>
      </c>
      <c r="H1651" s="8" t="n">
        <v>4</v>
      </c>
      <c r="I1651" s="5" t="n">
        <v>400903</v>
      </c>
      <c r="J1651" s="6" t="s">
        <v>562</v>
      </c>
      <c r="K1651" s="5" t="n">
        <v>600000993</v>
      </c>
      <c r="L1651" s="9" t="n">
        <v>46009</v>
      </c>
      <c r="M1651" s="10" t="n">
        <v>47834</v>
      </c>
    </row>
    <row r="1652" customFormat="false" ht="30" hidden="true" customHeight="true" outlineLevel="0" collapsed="false">
      <c r="A1652" s="4" t="s">
        <v>13</v>
      </c>
      <c r="B1652" s="4" t="s">
        <v>14</v>
      </c>
      <c r="C1652" s="5" t="n">
        <v>2502701178</v>
      </c>
      <c r="D1652" s="6" t="s">
        <v>1719</v>
      </c>
      <c r="E1652" s="6"/>
      <c r="F1652" s="7" t="n">
        <v>46069.5500979977</v>
      </c>
      <c r="G1652" s="7" t="n">
        <v>46070.2817256019</v>
      </c>
      <c r="H1652" s="8" t="n">
        <v>4</v>
      </c>
      <c r="I1652" s="5" t="n">
        <v>400903</v>
      </c>
      <c r="J1652" s="6" t="s">
        <v>562</v>
      </c>
      <c r="K1652" s="5" t="n">
        <v>600000992</v>
      </c>
      <c r="L1652" s="9" t="n">
        <v>46008</v>
      </c>
      <c r="M1652" s="10" t="n">
        <v>47833</v>
      </c>
    </row>
    <row r="1653" customFormat="false" ht="30" hidden="true" customHeight="true" outlineLevel="0" collapsed="false">
      <c r="A1653" s="4" t="s">
        <v>13</v>
      </c>
      <c r="B1653" s="4" t="s">
        <v>14</v>
      </c>
      <c r="C1653" s="5" t="n">
        <v>2502701178</v>
      </c>
      <c r="D1653" s="6" t="s">
        <v>1720</v>
      </c>
      <c r="E1653" s="6"/>
      <c r="F1653" s="7" t="n">
        <v>46069.5500979977</v>
      </c>
      <c r="G1653" s="7" t="n">
        <v>46069.6325931944</v>
      </c>
      <c r="H1653" s="8" t="n">
        <v>4</v>
      </c>
      <c r="I1653" s="5" t="n">
        <v>400903</v>
      </c>
      <c r="J1653" s="6" t="s">
        <v>562</v>
      </c>
      <c r="K1653" s="5" t="n">
        <v>600000992</v>
      </c>
      <c r="L1653" s="9" t="n">
        <v>46008</v>
      </c>
      <c r="M1653" s="10" t="n">
        <v>47833</v>
      </c>
    </row>
    <row r="1654" customFormat="false" ht="30" hidden="true" customHeight="true" outlineLevel="0" collapsed="false">
      <c r="A1654" s="4" t="s">
        <v>13</v>
      </c>
      <c r="B1654" s="4" t="s">
        <v>14</v>
      </c>
      <c r="C1654" s="5" t="n">
        <v>2502701178</v>
      </c>
      <c r="D1654" s="6" t="s">
        <v>1721</v>
      </c>
      <c r="E1654" s="6"/>
      <c r="F1654" s="7" t="n">
        <v>46069.5500979977</v>
      </c>
      <c r="G1654" s="7" t="n">
        <v>46070.2813323958</v>
      </c>
      <c r="H1654" s="8" t="n">
        <v>4</v>
      </c>
      <c r="I1654" s="5" t="n">
        <v>400912</v>
      </c>
      <c r="J1654" s="6" t="s">
        <v>759</v>
      </c>
      <c r="K1654" s="5" t="n">
        <v>400003808</v>
      </c>
      <c r="L1654" s="9" t="n">
        <v>45984</v>
      </c>
      <c r="M1654" s="10" t="n">
        <v>47809</v>
      </c>
    </row>
    <row r="1655" customFormat="false" ht="30" hidden="true" customHeight="true" outlineLevel="0" collapsed="false">
      <c r="A1655" s="4" t="s">
        <v>13</v>
      </c>
      <c r="B1655" s="4" t="s">
        <v>14</v>
      </c>
      <c r="C1655" s="5" t="n">
        <v>2502701178</v>
      </c>
      <c r="D1655" s="6" t="s">
        <v>1722</v>
      </c>
      <c r="E1655" s="6"/>
      <c r="F1655" s="7" t="n">
        <v>46069.5500979977</v>
      </c>
      <c r="G1655" s="7" t="n">
        <v>46070.2796383333</v>
      </c>
      <c r="H1655" s="8" t="n">
        <v>4</v>
      </c>
      <c r="I1655" s="5" t="n">
        <v>400912</v>
      </c>
      <c r="J1655" s="6" t="s">
        <v>759</v>
      </c>
      <c r="K1655" s="5" t="n">
        <v>400003818</v>
      </c>
      <c r="L1655" s="9" t="n">
        <v>45986</v>
      </c>
      <c r="M1655" s="10" t="n">
        <v>47811</v>
      </c>
    </row>
    <row r="1656" customFormat="false" ht="30" hidden="true" customHeight="true" outlineLevel="0" collapsed="false">
      <c r="A1656" s="4" t="s">
        <v>13</v>
      </c>
      <c r="B1656" s="4" t="s">
        <v>14</v>
      </c>
      <c r="C1656" s="5" t="n">
        <v>2502701178</v>
      </c>
      <c r="D1656" s="6" t="s">
        <v>1723</v>
      </c>
      <c r="E1656" s="6"/>
      <c r="F1656" s="7" t="n">
        <v>46069.5500979977</v>
      </c>
      <c r="G1656" s="7" t="n">
        <v>46070.2795132292</v>
      </c>
      <c r="H1656" s="8" t="n">
        <v>4</v>
      </c>
      <c r="I1656" s="5" t="n">
        <v>400912</v>
      </c>
      <c r="J1656" s="6" t="s">
        <v>759</v>
      </c>
      <c r="K1656" s="5" t="n">
        <v>400003814</v>
      </c>
      <c r="L1656" s="9" t="n">
        <v>45985</v>
      </c>
      <c r="M1656" s="10" t="n">
        <v>47810</v>
      </c>
    </row>
    <row r="1657" customFormat="false" ht="30" hidden="true" customHeight="true" outlineLevel="0" collapsed="false">
      <c r="A1657" s="4" t="s">
        <v>13</v>
      </c>
      <c r="B1657" s="4" t="s">
        <v>14</v>
      </c>
      <c r="C1657" s="5" t="n">
        <v>2502701178</v>
      </c>
      <c r="D1657" s="6" t="s">
        <v>1724</v>
      </c>
      <c r="E1657" s="6"/>
      <c r="F1657" s="7" t="n">
        <v>46069.5500979977</v>
      </c>
      <c r="G1657" s="7" t="n">
        <v>46070.2789833333</v>
      </c>
      <c r="H1657" s="8" t="n">
        <v>4</v>
      </c>
      <c r="I1657" s="5" t="n">
        <v>400912</v>
      </c>
      <c r="J1657" s="6" t="s">
        <v>759</v>
      </c>
      <c r="K1657" s="5" t="n">
        <v>400003808</v>
      </c>
      <c r="L1657" s="9" t="n">
        <v>45984</v>
      </c>
      <c r="M1657" s="10" t="n">
        <v>47809</v>
      </c>
    </row>
    <row r="1658" customFormat="false" ht="30" hidden="true" customHeight="true" outlineLevel="0" collapsed="false">
      <c r="A1658" s="4" t="s">
        <v>13</v>
      </c>
      <c r="B1658" s="4" t="s">
        <v>14</v>
      </c>
      <c r="C1658" s="5" t="n">
        <v>2502701178</v>
      </c>
      <c r="D1658" s="6" t="s">
        <v>1725</v>
      </c>
      <c r="E1658" s="6"/>
      <c r="F1658" s="7" t="n">
        <v>46069.5500979977</v>
      </c>
      <c r="G1658" s="7" t="n">
        <v>46070.2787712384</v>
      </c>
      <c r="H1658" s="8" t="n">
        <v>3</v>
      </c>
      <c r="I1658" s="5" t="n">
        <v>400912</v>
      </c>
      <c r="J1658" s="6" t="s">
        <v>759</v>
      </c>
      <c r="K1658" s="5" t="n">
        <v>400003814</v>
      </c>
      <c r="L1658" s="9" t="n">
        <v>45985</v>
      </c>
      <c r="M1658" s="10" t="n">
        <v>47810</v>
      </c>
    </row>
    <row r="1659" customFormat="false" ht="30" hidden="true" customHeight="true" outlineLevel="0" collapsed="false">
      <c r="A1659" s="4" t="s">
        <v>13</v>
      </c>
      <c r="B1659" s="4" t="s">
        <v>14</v>
      </c>
      <c r="C1659" s="5" t="n">
        <v>2502701176</v>
      </c>
      <c r="D1659" s="6" t="s">
        <v>1726</v>
      </c>
      <c r="E1659" s="6"/>
      <c r="F1659" s="7" t="n">
        <v>46069.5511077778</v>
      </c>
      <c r="G1659" s="7" t="n">
        <v>46070.353315081</v>
      </c>
      <c r="H1659" s="8" t="n">
        <v>3</v>
      </c>
      <c r="I1659" s="5" t="n">
        <v>400445</v>
      </c>
      <c r="J1659" s="6" t="s">
        <v>1700</v>
      </c>
      <c r="K1659" s="5" t="n">
        <v>100009700</v>
      </c>
      <c r="L1659" s="9" t="n">
        <v>45881</v>
      </c>
      <c r="M1659" s="10" t="n">
        <v>47706</v>
      </c>
    </row>
    <row r="1660" customFormat="false" ht="30" hidden="true" customHeight="true" outlineLevel="0" collapsed="false">
      <c r="A1660" s="4" t="s">
        <v>13</v>
      </c>
      <c r="B1660" s="4" t="s">
        <v>14</v>
      </c>
      <c r="C1660" s="5" t="n">
        <v>2502701176</v>
      </c>
      <c r="D1660" s="6" t="s">
        <v>1727</v>
      </c>
      <c r="E1660" s="6"/>
      <c r="F1660" s="7" t="n">
        <v>46069.5511077778</v>
      </c>
      <c r="G1660" s="7" t="n">
        <v>46070.3530991319</v>
      </c>
      <c r="H1660" s="8" t="n">
        <v>1</v>
      </c>
      <c r="I1660" s="5" t="n">
        <v>400445</v>
      </c>
      <c r="J1660" s="6" t="s">
        <v>1700</v>
      </c>
      <c r="K1660" s="5" t="n">
        <v>100010511</v>
      </c>
      <c r="L1660" s="9" t="n">
        <v>45956</v>
      </c>
      <c r="M1660" s="10" t="n">
        <v>47781</v>
      </c>
    </row>
    <row r="1661" customFormat="false" ht="30" hidden="true" customHeight="true" outlineLevel="0" collapsed="false">
      <c r="A1661" s="4" t="s">
        <v>13</v>
      </c>
      <c r="B1661" s="4" t="s">
        <v>14</v>
      </c>
      <c r="C1661" s="5" t="n">
        <v>2502701176</v>
      </c>
      <c r="D1661" s="6" t="s">
        <v>1728</v>
      </c>
      <c r="E1661" s="6"/>
      <c r="F1661" s="7" t="n">
        <v>46069.5511077778</v>
      </c>
      <c r="G1661" s="7" t="n">
        <v>46070.3563867477</v>
      </c>
      <c r="H1661" s="8" t="n">
        <v>4</v>
      </c>
      <c r="I1661" s="5" t="n">
        <v>400445</v>
      </c>
      <c r="J1661" s="6" t="s">
        <v>1700</v>
      </c>
      <c r="K1661" s="5" t="n">
        <v>100010511</v>
      </c>
      <c r="L1661" s="9" t="n">
        <v>45956</v>
      </c>
      <c r="M1661" s="10" t="n">
        <v>47781</v>
      </c>
    </row>
    <row r="1662" customFormat="false" ht="30" hidden="true" customHeight="true" outlineLevel="0" collapsed="false">
      <c r="A1662" s="4" t="s">
        <v>13</v>
      </c>
      <c r="B1662" s="4" t="s">
        <v>14</v>
      </c>
      <c r="C1662" s="5" t="n">
        <v>2502701176</v>
      </c>
      <c r="D1662" s="6" t="s">
        <v>1729</v>
      </c>
      <c r="E1662" s="6"/>
      <c r="F1662" s="7" t="n">
        <v>46069.5511077778</v>
      </c>
      <c r="G1662" s="7" t="n">
        <v>46070.3562827083</v>
      </c>
      <c r="H1662" s="8" t="n">
        <v>4</v>
      </c>
      <c r="I1662" s="5" t="n">
        <v>400445</v>
      </c>
      <c r="J1662" s="6" t="s">
        <v>1700</v>
      </c>
      <c r="K1662" s="5" t="n">
        <v>100010511</v>
      </c>
      <c r="L1662" s="9" t="n">
        <v>45956</v>
      </c>
      <c r="M1662" s="10" t="n">
        <v>47781</v>
      </c>
    </row>
    <row r="1663" customFormat="false" ht="30" hidden="true" customHeight="true" outlineLevel="0" collapsed="false">
      <c r="A1663" s="4" t="s">
        <v>13</v>
      </c>
      <c r="B1663" s="4" t="s">
        <v>14</v>
      </c>
      <c r="C1663" s="5" t="n">
        <v>2502701176</v>
      </c>
      <c r="D1663" s="6" t="s">
        <v>1730</v>
      </c>
      <c r="E1663" s="6"/>
      <c r="F1663" s="7" t="n">
        <v>46069.5511077778</v>
      </c>
      <c r="G1663" s="7" t="n">
        <v>46070.3561715278</v>
      </c>
      <c r="H1663" s="8" t="n">
        <v>4</v>
      </c>
      <c r="I1663" s="5" t="n">
        <v>400445</v>
      </c>
      <c r="J1663" s="6" t="s">
        <v>1700</v>
      </c>
      <c r="K1663" s="5" t="n">
        <v>100010511</v>
      </c>
      <c r="L1663" s="9" t="n">
        <v>45956</v>
      </c>
      <c r="M1663" s="10" t="n">
        <v>47781</v>
      </c>
    </row>
    <row r="1664" customFormat="false" ht="30" hidden="true" customHeight="true" outlineLevel="0" collapsed="false">
      <c r="A1664" s="4" t="s">
        <v>13</v>
      </c>
      <c r="B1664" s="4" t="s">
        <v>14</v>
      </c>
      <c r="C1664" s="5" t="n">
        <v>2502701176</v>
      </c>
      <c r="D1664" s="6" t="s">
        <v>1731</v>
      </c>
      <c r="E1664" s="6"/>
      <c r="F1664" s="7" t="n">
        <v>46069.5511077778</v>
      </c>
      <c r="G1664" s="7" t="n">
        <v>46070.3560541782</v>
      </c>
      <c r="H1664" s="8" t="n">
        <v>4</v>
      </c>
      <c r="I1664" s="5" t="n">
        <v>400445</v>
      </c>
      <c r="J1664" s="6" t="s">
        <v>1700</v>
      </c>
      <c r="K1664" s="5" t="n">
        <v>100010175</v>
      </c>
      <c r="L1664" s="9" t="n">
        <v>45925</v>
      </c>
      <c r="M1664" s="10" t="n">
        <v>47750</v>
      </c>
    </row>
    <row r="1665" customFormat="false" ht="30" hidden="true" customHeight="true" outlineLevel="0" collapsed="false">
      <c r="A1665" s="4" t="s">
        <v>13</v>
      </c>
      <c r="B1665" s="4" t="s">
        <v>14</v>
      </c>
      <c r="C1665" s="5" t="n">
        <v>2502701176</v>
      </c>
      <c r="D1665" s="6" t="s">
        <v>1732</v>
      </c>
      <c r="E1665" s="6"/>
      <c r="F1665" s="7" t="n">
        <v>46069.5511077778</v>
      </c>
      <c r="G1665" s="7" t="n">
        <v>46070.3559547801</v>
      </c>
      <c r="H1665" s="8" t="n">
        <v>4</v>
      </c>
      <c r="I1665" s="5" t="n">
        <v>400445</v>
      </c>
      <c r="J1665" s="6" t="s">
        <v>1700</v>
      </c>
      <c r="K1665" s="5" t="n">
        <v>100010511</v>
      </c>
      <c r="L1665" s="9" t="n">
        <v>45956</v>
      </c>
      <c r="M1665" s="10" t="n">
        <v>47781</v>
      </c>
    </row>
    <row r="1666" customFormat="false" ht="30" hidden="true" customHeight="true" outlineLevel="0" collapsed="false">
      <c r="A1666" s="4" t="s">
        <v>13</v>
      </c>
      <c r="B1666" s="4" t="s">
        <v>14</v>
      </c>
      <c r="C1666" s="5" t="n">
        <v>2502701176</v>
      </c>
      <c r="D1666" s="6" t="s">
        <v>1733</v>
      </c>
      <c r="E1666" s="6"/>
      <c r="F1666" s="7" t="n">
        <v>46069.5511077778</v>
      </c>
      <c r="G1666" s="7" t="n">
        <v>46070.3558686111</v>
      </c>
      <c r="H1666" s="8" t="n">
        <v>4</v>
      </c>
      <c r="I1666" s="5" t="n">
        <v>400445</v>
      </c>
      <c r="J1666" s="6" t="s">
        <v>1700</v>
      </c>
      <c r="K1666" s="5" t="n">
        <v>100010175</v>
      </c>
      <c r="L1666" s="9" t="n">
        <v>45925</v>
      </c>
      <c r="M1666" s="10" t="n">
        <v>47750</v>
      </c>
    </row>
    <row r="1667" customFormat="false" ht="30" hidden="true" customHeight="true" outlineLevel="0" collapsed="false">
      <c r="A1667" s="4" t="s">
        <v>13</v>
      </c>
      <c r="B1667" s="4" t="s">
        <v>14</v>
      </c>
      <c r="C1667" s="5" t="n">
        <v>2502701176</v>
      </c>
      <c r="D1667" s="6" t="s">
        <v>1734</v>
      </c>
      <c r="E1667" s="6"/>
      <c r="F1667" s="7" t="n">
        <v>46069.5511077778</v>
      </c>
      <c r="G1667" s="7" t="n">
        <v>46070.3556984607</v>
      </c>
      <c r="H1667" s="8" t="n">
        <v>4</v>
      </c>
      <c r="I1667" s="5" t="n">
        <v>400445</v>
      </c>
      <c r="J1667" s="6" t="s">
        <v>1700</v>
      </c>
      <c r="K1667" s="5" t="n">
        <v>100010175</v>
      </c>
      <c r="L1667" s="9" t="n">
        <v>45925</v>
      </c>
      <c r="M1667" s="10" t="n">
        <v>47750</v>
      </c>
    </row>
    <row r="1668" customFormat="false" ht="30" hidden="true" customHeight="true" outlineLevel="0" collapsed="false">
      <c r="A1668" s="4" t="s">
        <v>13</v>
      </c>
      <c r="B1668" s="4" t="s">
        <v>14</v>
      </c>
      <c r="C1668" s="5" t="n">
        <v>2502701176</v>
      </c>
      <c r="D1668" s="6" t="s">
        <v>1735</v>
      </c>
      <c r="E1668" s="6"/>
      <c r="F1668" s="7" t="n">
        <v>46069.5511077778</v>
      </c>
      <c r="G1668" s="7" t="n">
        <v>46070.3556105787</v>
      </c>
      <c r="H1668" s="8" t="n">
        <v>4</v>
      </c>
      <c r="I1668" s="5" t="n">
        <v>400445</v>
      </c>
      <c r="J1668" s="6" t="s">
        <v>1700</v>
      </c>
      <c r="K1668" s="5" t="n">
        <v>100010175</v>
      </c>
      <c r="L1668" s="9" t="n">
        <v>45925</v>
      </c>
      <c r="M1668" s="10" t="n">
        <v>47750</v>
      </c>
    </row>
    <row r="1669" customFormat="false" ht="30" hidden="true" customHeight="true" outlineLevel="0" collapsed="false">
      <c r="A1669" s="4" t="s">
        <v>13</v>
      </c>
      <c r="B1669" s="4" t="s">
        <v>14</v>
      </c>
      <c r="C1669" s="5" t="n">
        <v>2502701176</v>
      </c>
      <c r="D1669" s="6" t="s">
        <v>1736</v>
      </c>
      <c r="E1669" s="6"/>
      <c r="F1669" s="7" t="n">
        <v>46069.5511077778</v>
      </c>
      <c r="G1669" s="7" t="n">
        <v>46070.3554794792</v>
      </c>
      <c r="H1669" s="8" t="n">
        <v>4</v>
      </c>
      <c r="I1669" s="5" t="n">
        <v>400445</v>
      </c>
      <c r="J1669" s="6" t="s">
        <v>1700</v>
      </c>
      <c r="K1669" s="5" t="n">
        <v>100010511</v>
      </c>
      <c r="L1669" s="9" t="n">
        <v>45956</v>
      </c>
      <c r="M1669" s="10" t="n">
        <v>47781</v>
      </c>
    </row>
    <row r="1670" customFormat="false" ht="30" hidden="true" customHeight="true" outlineLevel="0" collapsed="false">
      <c r="A1670" s="4" t="s">
        <v>13</v>
      </c>
      <c r="B1670" s="4" t="s">
        <v>14</v>
      </c>
      <c r="C1670" s="5" t="n">
        <v>2502701176</v>
      </c>
      <c r="D1670" s="6" t="s">
        <v>1737</v>
      </c>
      <c r="E1670" s="6"/>
      <c r="F1670" s="7" t="n">
        <v>46069.5511077778</v>
      </c>
      <c r="G1670" s="7" t="n">
        <v>46070.3553264005</v>
      </c>
      <c r="H1670" s="8" t="n">
        <v>4</v>
      </c>
      <c r="I1670" s="5" t="n">
        <v>400445</v>
      </c>
      <c r="J1670" s="6" t="s">
        <v>1700</v>
      </c>
      <c r="K1670" s="5" t="n">
        <v>100010511</v>
      </c>
      <c r="L1670" s="9" t="n">
        <v>45956</v>
      </c>
      <c r="M1670" s="10" t="n">
        <v>47781</v>
      </c>
    </row>
    <row r="1671" customFormat="false" ht="30" hidden="true" customHeight="true" outlineLevel="0" collapsed="false">
      <c r="A1671" s="4" t="s">
        <v>13</v>
      </c>
      <c r="B1671" s="4" t="s">
        <v>14</v>
      </c>
      <c r="C1671" s="5" t="n">
        <v>2502701176</v>
      </c>
      <c r="D1671" s="6" t="s">
        <v>1738</v>
      </c>
      <c r="E1671" s="6"/>
      <c r="F1671" s="7" t="n">
        <v>46069.5511077778</v>
      </c>
      <c r="G1671" s="7" t="n">
        <v>46070.3552155671</v>
      </c>
      <c r="H1671" s="8" t="n">
        <v>4</v>
      </c>
      <c r="I1671" s="5" t="n">
        <v>400445</v>
      </c>
      <c r="J1671" s="6" t="s">
        <v>1700</v>
      </c>
      <c r="K1671" s="5" t="n">
        <v>100010511</v>
      </c>
      <c r="L1671" s="9" t="n">
        <v>45956</v>
      </c>
      <c r="M1671" s="10" t="n">
        <v>47781</v>
      </c>
    </row>
    <row r="1672" customFormat="false" ht="30" hidden="true" customHeight="true" outlineLevel="0" collapsed="false">
      <c r="A1672" s="4" t="s">
        <v>13</v>
      </c>
      <c r="B1672" s="4" t="s">
        <v>14</v>
      </c>
      <c r="C1672" s="5" t="n">
        <v>2502701176</v>
      </c>
      <c r="D1672" s="6" t="s">
        <v>1739</v>
      </c>
      <c r="E1672" s="6"/>
      <c r="F1672" s="7" t="n">
        <v>46069.5511077778</v>
      </c>
      <c r="G1672" s="7" t="n">
        <v>46070.3550925116</v>
      </c>
      <c r="H1672" s="8" t="n">
        <v>4</v>
      </c>
      <c r="I1672" s="5" t="n">
        <v>400445</v>
      </c>
      <c r="J1672" s="6" t="s">
        <v>1700</v>
      </c>
      <c r="K1672" s="5" t="n">
        <v>100010031</v>
      </c>
      <c r="L1672" s="9" t="n">
        <v>45910</v>
      </c>
      <c r="M1672" s="10" t="n">
        <v>47735</v>
      </c>
    </row>
    <row r="1673" customFormat="false" ht="30" hidden="true" customHeight="true" outlineLevel="0" collapsed="false">
      <c r="A1673" s="4" t="s">
        <v>13</v>
      </c>
      <c r="B1673" s="4" t="s">
        <v>14</v>
      </c>
      <c r="C1673" s="5" t="n">
        <v>2502701176</v>
      </c>
      <c r="D1673" s="6" t="s">
        <v>1740</v>
      </c>
      <c r="E1673" s="6"/>
      <c r="F1673" s="7" t="n">
        <v>46069.5511077778</v>
      </c>
      <c r="G1673" s="7" t="n">
        <v>46070.3547949884</v>
      </c>
      <c r="H1673" s="8" t="n">
        <v>4</v>
      </c>
      <c r="I1673" s="5" t="n">
        <v>400445</v>
      </c>
      <c r="J1673" s="6" t="s">
        <v>1700</v>
      </c>
      <c r="K1673" s="5" t="n">
        <v>100009700</v>
      </c>
      <c r="L1673" s="9" t="n">
        <v>45881</v>
      </c>
      <c r="M1673" s="10" t="n">
        <v>47706</v>
      </c>
    </row>
    <row r="1674" customFormat="false" ht="30" hidden="true" customHeight="true" outlineLevel="0" collapsed="false">
      <c r="A1674" s="4" t="s">
        <v>13</v>
      </c>
      <c r="B1674" s="4" t="s">
        <v>14</v>
      </c>
      <c r="C1674" s="5" t="n">
        <v>2502701176</v>
      </c>
      <c r="D1674" s="6" t="s">
        <v>1741</v>
      </c>
      <c r="E1674" s="6"/>
      <c r="F1674" s="7" t="n">
        <v>46069.5511077778</v>
      </c>
      <c r="G1674" s="7" t="n">
        <v>46070.3546648843</v>
      </c>
      <c r="H1674" s="8" t="n">
        <v>4</v>
      </c>
      <c r="I1674" s="5" t="n">
        <v>400445</v>
      </c>
      <c r="J1674" s="6" t="s">
        <v>1700</v>
      </c>
      <c r="K1674" s="5" t="n">
        <v>100010511</v>
      </c>
      <c r="L1674" s="9" t="n">
        <v>45956</v>
      </c>
      <c r="M1674" s="10" t="n">
        <v>47781</v>
      </c>
    </row>
    <row r="1675" customFormat="false" ht="30" hidden="true" customHeight="true" outlineLevel="0" collapsed="false">
      <c r="A1675" s="4" t="s">
        <v>13</v>
      </c>
      <c r="B1675" s="4" t="s">
        <v>14</v>
      </c>
      <c r="C1675" s="5" t="n">
        <v>2502701176</v>
      </c>
      <c r="D1675" s="6" t="s">
        <v>1742</v>
      </c>
      <c r="E1675" s="6"/>
      <c r="F1675" s="7" t="n">
        <v>46069.5511077778</v>
      </c>
      <c r="G1675" s="7" t="n">
        <v>46070.3545429977</v>
      </c>
      <c r="H1675" s="8" t="n">
        <v>4</v>
      </c>
      <c r="I1675" s="5" t="n">
        <v>400445</v>
      </c>
      <c r="J1675" s="6" t="s">
        <v>1700</v>
      </c>
      <c r="K1675" s="5" t="n">
        <v>100010511</v>
      </c>
      <c r="L1675" s="9" t="n">
        <v>45956</v>
      </c>
      <c r="M1675" s="10" t="n">
        <v>47781</v>
      </c>
    </row>
    <row r="1676" customFormat="false" ht="30" hidden="true" customHeight="true" outlineLevel="0" collapsed="false">
      <c r="A1676" s="4" t="s">
        <v>13</v>
      </c>
      <c r="B1676" s="4" t="s">
        <v>14</v>
      </c>
      <c r="C1676" s="5" t="n">
        <v>2502701176</v>
      </c>
      <c r="D1676" s="6" t="s">
        <v>1743</v>
      </c>
      <c r="E1676" s="6"/>
      <c r="F1676" s="7" t="n">
        <v>46069.5511077778</v>
      </c>
      <c r="G1676" s="7" t="n">
        <v>46070.354411169</v>
      </c>
      <c r="H1676" s="8" t="n">
        <v>4</v>
      </c>
      <c r="I1676" s="5" t="n">
        <v>400445</v>
      </c>
      <c r="J1676" s="6" t="s">
        <v>1700</v>
      </c>
      <c r="K1676" s="5" t="n">
        <v>100009700</v>
      </c>
      <c r="L1676" s="9" t="n">
        <v>45881</v>
      </c>
      <c r="M1676" s="10" t="n">
        <v>47706</v>
      </c>
    </row>
    <row r="1677" customFormat="false" ht="30" hidden="true" customHeight="true" outlineLevel="0" collapsed="false">
      <c r="A1677" s="4" t="s">
        <v>13</v>
      </c>
      <c r="B1677" s="4" t="s">
        <v>14</v>
      </c>
      <c r="C1677" s="5" t="n">
        <v>2502701176</v>
      </c>
      <c r="D1677" s="6" t="s">
        <v>1744</v>
      </c>
      <c r="E1677" s="6"/>
      <c r="F1677" s="7" t="n">
        <v>46069.5511077778</v>
      </c>
      <c r="G1677" s="7" t="n">
        <v>46070.3543061227</v>
      </c>
      <c r="H1677" s="8" t="n">
        <v>4</v>
      </c>
      <c r="I1677" s="5" t="n">
        <v>400445</v>
      </c>
      <c r="J1677" s="6" t="s">
        <v>1700</v>
      </c>
      <c r="K1677" s="5" t="n">
        <v>100010511</v>
      </c>
      <c r="L1677" s="9" t="n">
        <v>45956</v>
      </c>
      <c r="M1677" s="10" t="n">
        <v>47781</v>
      </c>
    </row>
    <row r="1678" customFormat="false" ht="30" hidden="true" customHeight="true" outlineLevel="0" collapsed="false">
      <c r="A1678" s="4" t="s">
        <v>13</v>
      </c>
      <c r="B1678" s="4" t="s">
        <v>14</v>
      </c>
      <c r="C1678" s="5" t="n">
        <v>2502701176</v>
      </c>
      <c r="D1678" s="6" t="s">
        <v>1745</v>
      </c>
      <c r="E1678" s="6"/>
      <c r="F1678" s="7" t="n">
        <v>46069.5511077778</v>
      </c>
      <c r="G1678" s="7" t="n">
        <v>46070.3541996528</v>
      </c>
      <c r="H1678" s="8" t="n">
        <v>4</v>
      </c>
      <c r="I1678" s="5" t="n">
        <v>400445</v>
      </c>
      <c r="J1678" s="6" t="s">
        <v>1700</v>
      </c>
      <c r="K1678" s="5" t="n">
        <v>100010175</v>
      </c>
      <c r="L1678" s="9" t="n">
        <v>45925</v>
      </c>
      <c r="M1678" s="10" t="n">
        <v>47750</v>
      </c>
    </row>
    <row r="1679" customFormat="false" ht="30" hidden="true" customHeight="true" outlineLevel="0" collapsed="false">
      <c r="A1679" s="4" t="s">
        <v>13</v>
      </c>
      <c r="B1679" s="4" t="s">
        <v>14</v>
      </c>
      <c r="C1679" s="5" t="n">
        <v>2502701176</v>
      </c>
      <c r="D1679" s="6" t="s">
        <v>1746</v>
      </c>
      <c r="E1679" s="6"/>
      <c r="F1679" s="7" t="n">
        <v>46069.5511077778</v>
      </c>
      <c r="G1679" s="7" t="n">
        <v>46070.3540149306</v>
      </c>
      <c r="H1679" s="8" t="n">
        <v>4</v>
      </c>
      <c r="I1679" s="5" t="n">
        <v>400445</v>
      </c>
      <c r="J1679" s="6" t="s">
        <v>1700</v>
      </c>
      <c r="K1679" s="5" t="n">
        <v>100010511</v>
      </c>
      <c r="L1679" s="9" t="n">
        <v>45956</v>
      </c>
      <c r="M1679" s="10" t="n">
        <v>47781</v>
      </c>
    </row>
    <row r="1680" customFormat="false" ht="30" hidden="true" customHeight="true" outlineLevel="0" collapsed="false">
      <c r="A1680" s="4" t="s">
        <v>13</v>
      </c>
      <c r="B1680" s="4" t="s">
        <v>14</v>
      </c>
      <c r="C1680" s="5" t="n">
        <v>2502701176</v>
      </c>
      <c r="D1680" s="6" t="s">
        <v>1747</v>
      </c>
      <c r="E1680" s="6"/>
      <c r="F1680" s="7" t="n">
        <v>46069.5511077778</v>
      </c>
      <c r="G1680" s="7" t="n">
        <v>46070.3539241898</v>
      </c>
      <c r="H1680" s="8" t="n">
        <v>4</v>
      </c>
      <c r="I1680" s="5" t="n">
        <v>400445</v>
      </c>
      <c r="J1680" s="6" t="s">
        <v>1700</v>
      </c>
      <c r="K1680" s="5" t="n">
        <v>100010511</v>
      </c>
      <c r="L1680" s="9" t="n">
        <v>45956</v>
      </c>
      <c r="M1680" s="10" t="n">
        <v>47781</v>
      </c>
    </row>
    <row r="1681" customFormat="false" ht="30" hidden="true" customHeight="true" outlineLevel="0" collapsed="false">
      <c r="A1681" s="4" t="s">
        <v>13</v>
      </c>
      <c r="B1681" s="4" t="s">
        <v>14</v>
      </c>
      <c r="C1681" s="5" t="n">
        <v>2502701176</v>
      </c>
      <c r="D1681" s="6" t="s">
        <v>1748</v>
      </c>
      <c r="E1681" s="6"/>
      <c r="F1681" s="7" t="n">
        <v>46069.5511077778</v>
      </c>
      <c r="G1681" s="7" t="n">
        <v>46070.3538316435</v>
      </c>
      <c r="H1681" s="8" t="n">
        <v>4</v>
      </c>
      <c r="I1681" s="5" t="n">
        <v>400445</v>
      </c>
      <c r="J1681" s="6" t="s">
        <v>1700</v>
      </c>
      <c r="K1681" s="5" t="n">
        <v>100010511</v>
      </c>
      <c r="L1681" s="9" t="n">
        <v>45956</v>
      </c>
      <c r="M1681" s="10" t="n">
        <v>47781</v>
      </c>
    </row>
    <row r="1682" customFormat="false" ht="30" hidden="true" customHeight="true" outlineLevel="0" collapsed="false">
      <c r="A1682" s="4" t="s">
        <v>13</v>
      </c>
      <c r="B1682" s="4" t="s">
        <v>14</v>
      </c>
      <c r="C1682" s="5" t="n">
        <v>2502701176</v>
      </c>
      <c r="D1682" s="6" t="s">
        <v>1749</v>
      </c>
      <c r="E1682" s="6"/>
      <c r="F1682" s="7" t="n">
        <v>46069.5511077778</v>
      </c>
      <c r="G1682" s="7" t="n">
        <v>46070.3536963889</v>
      </c>
      <c r="H1682" s="8" t="n">
        <v>4</v>
      </c>
      <c r="I1682" s="5" t="n">
        <v>400445</v>
      </c>
      <c r="J1682" s="6" t="s">
        <v>1700</v>
      </c>
      <c r="K1682" s="5" t="n">
        <v>100009700</v>
      </c>
      <c r="L1682" s="9" t="n">
        <v>45881</v>
      </c>
      <c r="M1682" s="10" t="n">
        <v>47706</v>
      </c>
    </row>
    <row r="1683" customFormat="false" ht="30" hidden="true" customHeight="true" outlineLevel="0" collapsed="false">
      <c r="A1683" s="4" t="s">
        <v>13</v>
      </c>
      <c r="B1683" s="4" t="s">
        <v>14</v>
      </c>
      <c r="C1683" s="5" t="n">
        <v>2502701176</v>
      </c>
      <c r="D1683" s="6" t="s">
        <v>1750</v>
      </c>
      <c r="E1683" s="6"/>
      <c r="F1683" s="7" t="n">
        <v>46069.5511077778</v>
      </c>
      <c r="G1683" s="7" t="n">
        <v>46070.3535802083</v>
      </c>
      <c r="H1683" s="8" t="n">
        <v>4</v>
      </c>
      <c r="I1683" s="5" t="n">
        <v>400445</v>
      </c>
      <c r="J1683" s="6" t="s">
        <v>1700</v>
      </c>
      <c r="K1683" s="5" t="n">
        <v>100009700</v>
      </c>
      <c r="L1683" s="9" t="n">
        <v>45881</v>
      </c>
      <c r="M1683" s="10" t="n">
        <v>47706</v>
      </c>
    </row>
    <row r="1684" customFormat="false" ht="30" hidden="true" customHeight="true" outlineLevel="0" collapsed="false">
      <c r="A1684" s="4" t="s">
        <v>13</v>
      </c>
      <c r="B1684" s="4" t="s">
        <v>14</v>
      </c>
      <c r="C1684" s="5" t="n">
        <v>2502701175</v>
      </c>
      <c r="D1684" s="6" t="s">
        <v>1751</v>
      </c>
      <c r="E1684" s="6"/>
      <c r="F1684" s="7" t="n">
        <v>46069.5519387616</v>
      </c>
      <c r="G1684" s="7" t="n">
        <v>46070.4021229398</v>
      </c>
      <c r="H1684" s="8" t="n">
        <v>4</v>
      </c>
      <c r="I1684" s="5" t="n">
        <v>400912</v>
      </c>
      <c r="J1684" s="6" t="s">
        <v>759</v>
      </c>
      <c r="K1684" s="5" t="n">
        <v>400003814</v>
      </c>
      <c r="L1684" s="9" t="n">
        <v>45985</v>
      </c>
      <c r="M1684" s="10" t="n">
        <v>47810</v>
      </c>
    </row>
    <row r="1685" customFormat="false" ht="30" hidden="true" customHeight="true" outlineLevel="0" collapsed="false">
      <c r="A1685" s="4" t="s">
        <v>13</v>
      </c>
      <c r="B1685" s="4" t="s">
        <v>14</v>
      </c>
      <c r="C1685" s="5" t="n">
        <v>2502701175</v>
      </c>
      <c r="D1685" s="6" t="s">
        <v>1752</v>
      </c>
      <c r="E1685" s="6"/>
      <c r="F1685" s="7" t="n">
        <v>46069.5519387616</v>
      </c>
      <c r="G1685" s="7" t="n">
        <v>46070.4017209606</v>
      </c>
      <c r="H1685" s="8" t="n">
        <v>4</v>
      </c>
      <c r="I1685" s="5" t="n">
        <v>400445</v>
      </c>
      <c r="J1685" s="6" t="s">
        <v>1700</v>
      </c>
      <c r="K1685" s="5" t="n">
        <v>100009700</v>
      </c>
      <c r="L1685" s="9" t="n">
        <v>45881</v>
      </c>
      <c r="M1685" s="10" t="n">
        <v>47706</v>
      </c>
    </row>
    <row r="1686" customFormat="false" ht="30" hidden="true" customHeight="true" outlineLevel="0" collapsed="false">
      <c r="A1686" s="4" t="s">
        <v>13</v>
      </c>
      <c r="B1686" s="4" t="s">
        <v>14</v>
      </c>
      <c r="C1686" s="5" t="n">
        <v>2502701175</v>
      </c>
      <c r="D1686" s="6" t="s">
        <v>1753</v>
      </c>
      <c r="E1686" s="6"/>
      <c r="F1686" s="7" t="n">
        <v>46069.5519387616</v>
      </c>
      <c r="G1686" s="7" t="n">
        <v>46070.4053058912</v>
      </c>
      <c r="H1686" s="8" t="n">
        <v>4</v>
      </c>
      <c r="I1686" s="5" t="n">
        <v>400912</v>
      </c>
      <c r="J1686" s="6" t="s">
        <v>759</v>
      </c>
      <c r="K1686" s="5" t="n">
        <v>400003815</v>
      </c>
      <c r="L1686" s="9" t="n">
        <v>45986</v>
      </c>
      <c r="M1686" s="10" t="n">
        <v>47811</v>
      </c>
    </row>
    <row r="1687" customFormat="false" ht="30" hidden="true" customHeight="true" outlineLevel="0" collapsed="false">
      <c r="A1687" s="4" t="s">
        <v>13</v>
      </c>
      <c r="B1687" s="4" t="s">
        <v>14</v>
      </c>
      <c r="C1687" s="5" t="n">
        <v>2502701175</v>
      </c>
      <c r="D1687" s="6" t="s">
        <v>1754</v>
      </c>
      <c r="E1687" s="6"/>
      <c r="F1687" s="7" t="n">
        <v>46069.5519387616</v>
      </c>
      <c r="G1687" s="7" t="n">
        <v>46070.4052022685</v>
      </c>
      <c r="H1687" s="8" t="n">
        <v>4</v>
      </c>
      <c r="I1687" s="5" t="n">
        <v>400912</v>
      </c>
      <c r="J1687" s="6" t="s">
        <v>759</v>
      </c>
      <c r="K1687" s="5" t="n">
        <v>400003815</v>
      </c>
      <c r="L1687" s="9" t="n">
        <v>45986</v>
      </c>
      <c r="M1687" s="10" t="n">
        <v>47811</v>
      </c>
    </row>
    <row r="1688" customFormat="false" ht="30" hidden="true" customHeight="true" outlineLevel="0" collapsed="false">
      <c r="A1688" s="4" t="s">
        <v>13</v>
      </c>
      <c r="B1688" s="4" t="s">
        <v>14</v>
      </c>
      <c r="C1688" s="5" t="n">
        <v>2502701175</v>
      </c>
      <c r="D1688" s="6" t="s">
        <v>1755</v>
      </c>
      <c r="E1688" s="6"/>
      <c r="F1688" s="7" t="n">
        <v>46069.5519387616</v>
      </c>
      <c r="G1688" s="7" t="n">
        <v>46070.4051069444</v>
      </c>
      <c r="H1688" s="8" t="n">
        <v>4</v>
      </c>
      <c r="I1688" s="5" t="n">
        <v>400912</v>
      </c>
      <c r="J1688" s="6" t="s">
        <v>759</v>
      </c>
      <c r="K1688" s="5" t="n">
        <v>400003813</v>
      </c>
      <c r="L1688" s="9" t="n">
        <v>45985</v>
      </c>
      <c r="M1688" s="10" t="n">
        <v>47810</v>
      </c>
    </row>
    <row r="1689" customFormat="false" ht="30" hidden="true" customHeight="true" outlineLevel="0" collapsed="false">
      <c r="A1689" s="4" t="s">
        <v>13</v>
      </c>
      <c r="B1689" s="4" t="s">
        <v>14</v>
      </c>
      <c r="C1689" s="5" t="n">
        <v>2502701175</v>
      </c>
      <c r="D1689" s="6" t="s">
        <v>1756</v>
      </c>
      <c r="E1689" s="6"/>
      <c r="F1689" s="7" t="n">
        <v>46069.5519387616</v>
      </c>
      <c r="G1689" s="7" t="n">
        <v>46070.4049717361</v>
      </c>
      <c r="H1689" s="8" t="n">
        <v>4</v>
      </c>
      <c r="I1689" s="5" t="n">
        <v>400912</v>
      </c>
      <c r="J1689" s="6" t="s">
        <v>759</v>
      </c>
      <c r="K1689" s="5" t="n">
        <v>400003818</v>
      </c>
      <c r="L1689" s="9" t="n">
        <v>45986</v>
      </c>
      <c r="M1689" s="10" t="n">
        <v>47811</v>
      </c>
    </row>
    <row r="1690" customFormat="false" ht="30" hidden="true" customHeight="true" outlineLevel="0" collapsed="false">
      <c r="A1690" s="4" t="s">
        <v>13</v>
      </c>
      <c r="B1690" s="4" t="s">
        <v>14</v>
      </c>
      <c r="C1690" s="5" t="n">
        <v>2502701175</v>
      </c>
      <c r="D1690" s="6" t="s">
        <v>1757</v>
      </c>
      <c r="E1690" s="6"/>
      <c r="F1690" s="7" t="n">
        <v>46069.5519387616</v>
      </c>
      <c r="G1690" s="7" t="n">
        <v>46070.4048594213</v>
      </c>
      <c r="H1690" s="8" t="n">
        <v>4</v>
      </c>
      <c r="I1690" s="5" t="n">
        <v>400912</v>
      </c>
      <c r="J1690" s="6" t="s">
        <v>759</v>
      </c>
      <c r="K1690" s="5" t="n">
        <v>400003818</v>
      </c>
      <c r="L1690" s="9" t="n">
        <v>45986</v>
      </c>
      <c r="M1690" s="10" t="n">
        <v>47811</v>
      </c>
    </row>
    <row r="1691" customFormat="false" ht="30" hidden="true" customHeight="true" outlineLevel="0" collapsed="false">
      <c r="A1691" s="4" t="s">
        <v>13</v>
      </c>
      <c r="B1691" s="4" t="s">
        <v>14</v>
      </c>
      <c r="C1691" s="5" t="n">
        <v>2502701175</v>
      </c>
      <c r="D1691" s="6" t="s">
        <v>1758</v>
      </c>
      <c r="E1691" s="6"/>
      <c r="F1691" s="7" t="n">
        <v>46069.5519387616</v>
      </c>
      <c r="G1691" s="7" t="n">
        <v>46070.4047421181</v>
      </c>
      <c r="H1691" s="8" t="n">
        <v>4</v>
      </c>
      <c r="I1691" s="5" t="n">
        <v>400912</v>
      </c>
      <c r="J1691" s="6" t="s">
        <v>759</v>
      </c>
      <c r="K1691" s="5" t="n">
        <v>400003807</v>
      </c>
      <c r="L1691" s="9" t="n">
        <v>45984</v>
      </c>
      <c r="M1691" s="10" t="n">
        <v>47809</v>
      </c>
    </row>
    <row r="1692" customFormat="false" ht="30" hidden="true" customHeight="true" outlineLevel="0" collapsed="false">
      <c r="A1692" s="4" t="s">
        <v>13</v>
      </c>
      <c r="B1692" s="4" t="s">
        <v>14</v>
      </c>
      <c r="C1692" s="5" t="n">
        <v>2502701175</v>
      </c>
      <c r="D1692" s="6" t="s">
        <v>1759</v>
      </c>
      <c r="E1692" s="6"/>
      <c r="F1692" s="7" t="n">
        <v>46069.5519387616</v>
      </c>
      <c r="G1692" s="7" t="n">
        <v>46070.4046195718</v>
      </c>
      <c r="H1692" s="8" t="n">
        <v>4</v>
      </c>
      <c r="I1692" s="5" t="n">
        <v>400912</v>
      </c>
      <c r="J1692" s="6" t="s">
        <v>759</v>
      </c>
      <c r="K1692" s="5" t="n">
        <v>400003807</v>
      </c>
      <c r="L1692" s="9" t="n">
        <v>45984</v>
      </c>
      <c r="M1692" s="10" t="n">
        <v>47809</v>
      </c>
    </row>
    <row r="1693" customFormat="false" ht="30" hidden="true" customHeight="true" outlineLevel="0" collapsed="false">
      <c r="A1693" s="4" t="s">
        <v>13</v>
      </c>
      <c r="B1693" s="4" t="s">
        <v>14</v>
      </c>
      <c r="C1693" s="5" t="n">
        <v>2502701175</v>
      </c>
      <c r="D1693" s="6" t="s">
        <v>1760</v>
      </c>
      <c r="E1693" s="6"/>
      <c r="F1693" s="7" t="n">
        <v>46069.5519387616</v>
      </c>
      <c r="G1693" s="7" t="n">
        <v>46070.4045142593</v>
      </c>
      <c r="H1693" s="8" t="n">
        <v>4</v>
      </c>
      <c r="I1693" s="5" t="n">
        <v>400912</v>
      </c>
      <c r="J1693" s="6" t="s">
        <v>759</v>
      </c>
      <c r="K1693" s="5" t="n">
        <v>400003808</v>
      </c>
      <c r="L1693" s="9" t="n">
        <v>45984</v>
      </c>
      <c r="M1693" s="10" t="n">
        <v>47809</v>
      </c>
    </row>
    <row r="1694" customFormat="false" ht="30" hidden="true" customHeight="true" outlineLevel="0" collapsed="false">
      <c r="A1694" s="4" t="s">
        <v>13</v>
      </c>
      <c r="B1694" s="4" t="s">
        <v>14</v>
      </c>
      <c r="C1694" s="5" t="n">
        <v>2502701175</v>
      </c>
      <c r="D1694" s="6" t="s">
        <v>1761</v>
      </c>
      <c r="E1694" s="6"/>
      <c r="F1694" s="7" t="n">
        <v>46069.5519387616</v>
      </c>
      <c r="G1694" s="7" t="n">
        <v>46070.4043943634</v>
      </c>
      <c r="H1694" s="8" t="n">
        <v>4</v>
      </c>
      <c r="I1694" s="5" t="n">
        <v>400912</v>
      </c>
      <c r="J1694" s="6" t="s">
        <v>759</v>
      </c>
      <c r="K1694" s="5" t="n">
        <v>400003814</v>
      </c>
      <c r="L1694" s="9" t="n">
        <v>45985</v>
      </c>
      <c r="M1694" s="10" t="n">
        <v>47810</v>
      </c>
    </row>
    <row r="1695" customFormat="false" ht="30" hidden="true" customHeight="true" outlineLevel="0" collapsed="false">
      <c r="A1695" s="4" t="s">
        <v>13</v>
      </c>
      <c r="B1695" s="4" t="s">
        <v>14</v>
      </c>
      <c r="C1695" s="5" t="n">
        <v>2502701175</v>
      </c>
      <c r="D1695" s="6" t="s">
        <v>1762</v>
      </c>
      <c r="E1695" s="6"/>
      <c r="F1695" s="7" t="n">
        <v>46069.5519387616</v>
      </c>
      <c r="G1695" s="7" t="n">
        <v>46070.4042626157</v>
      </c>
      <c r="H1695" s="8" t="n">
        <v>4</v>
      </c>
      <c r="I1695" s="5" t="n">
        <v>400912</v>
      </c>
      <c r="J1695" s="6" t="s">
        <v>759</v>
      </c>
      <c r="K1695" s="5" t="n">
        <v>400003818</v>
      </c>
      <c r="L1695" s="9" t="n">
        <v>45986</v>
      </c>
      <c r="M1695" s="10" t="n">
        <v>47811</v>
      </c>
    </row>
    <row r="1696" customFormat="false" ht="30" hidden="true" customHeight="true" outlineLevel="0" collapsed="false">
      <c r="A1696" s="4" t="s">
        <v>13</v>
      </c>
      <c r="B1696" s="4" t="s">
        <v>14</v>
      </c>
      <c r="C1696" s="5" t="n">
        <v>2502701175</v>
      </c>
      <c r="D1696" s="6" t="s">
        <v>1763</v>
      </c>
      <c r="E1696" s="6"/>
      <c r="F1696" s="7" t="n">
        <v>46069.5519387616</v>
      </c>
      <c r="G1696" s="7" t="n">
        <v>46070.4041274884</v>
      </c>
      <c r="H1696" s="8" t="n">
        <v>4</v>
      </c>
      <c r="I1696" s="5" t="n">
        <v>400912</v>
      </c>
      <c r="J1696" s="6" t="s">
        <v>759</v>
      </c>
      <c r="K1696" s="5" t="n">
        <v>400003807</v>
      </c>
      <c r="L1696" s="9" t="n">
        <v>45984</v>
      </c>
      <c r="M1696" s="10" t="n">
        <v>47809</v>
      </c>
    </row>
    <row r="1697" customFormat="false" ht="30" hidden="true" customHeight="true" outlineLevel="0" collapsed="false">
      <c r="A1697" s="4" t="s">
        <v>13</v>
      </c>
      <c r="B1697" s="4" t="s">
        <v>14</v>
      </c>
      <c r="C1697" s="5" t="n">
        <v>2502701175</v>
      </c>
      <c r="D1697" s="6" t="s">
        <v>1764</v>
      </c>
      <c r="E1697" s="6"/>
      <c r="F1697" s="7" t="n">
        <v>46069.5519387616</v>
      </c>
      <c r="G1697" s="7" t="n">
        <v>46070.4039646181</v>
      </c>
      <c r="H1697" s="8" t="n">
        <v>4</v>
      </c>
      <c r="I1697" s="5" t="n">
        <v>400912</v>
      </c>
      <c r="J1697" s="6" t="s">
        <v>759</v>
      </c>
      <c r="K1697" s="5" t="n">
        <v>400003818</v>
      </c>
      <c r="L1697" s="9" t="n">
        <v>45986</v>
      </c>
      <c r="M1697" s="10" t="n">
        <v>47811</v>
      </c>
    </row>
    <row r="1698" customFormat="false" ht="30" hidden="true" customHeight="true" outlineLevel="0" collapsed="false">
      <c r="A1698" s="4" t="s">
        <v>13</v>
      </c>
      <c r="B1698" s="4" t="s">
        <v>14</v>
      </c>
      <c r="C1698" s="5" t="n">
        <v>2502701175</v>
      </c>
      <c r="D1698" s="6" t="s">
        <v>1765</v>
      </c>
      <c r="E1698" s="6"/>
      <c r="F1698" s="7" t="n">
        <v>46069.5519387616</v>
      </c>
      <c r="G1698" s="7" t="n">
        <v>46070.4038541667</v>
      </c>
      <c r="H1698" s="8" t="n">
        <v>4</v>
      </c>
      <c r="I1698" s="5" t="n">
        <v>400912</v>
      </c>
      <c r="J1698" s="6" t="s">
        <v>759</v>
      </c>
      <c r="K1698" s="5" t="n">
        <v>400003814</v>
      </c>
      <c r="L1698" s="9" t="n">
        <v>45985</v>
      </c>
      <c r="M1698" s="10" t="n">
        <v>47810</v>
      </c>
    </row>
    <row r="1699" customFormat="false" ht="30" hidden="true" customHeight="true" outlineLevel="0" collapsed="false">
      <c r="A1699" s="4" t="s">
        <v>13</v>
      </c>
      <c r="B1699" s="4" t="s">
        <v>14</v>
      </c>
      <c r="C1699" s="5" t="n">
        <v>2502701175</v>
      </c>
      <c r="D1699" s="6" t="s">
        <v>1766</v>
      </c>
      <c r="E1699" s="6"/>
      <c r="F1699" s="7" t="n">
        <v>46069.5519387616</v>
      </c>
      <c r="G1699" s="7" t="n">
        <v>46070.4036725</v>
      </c>
      <c r="H1699" s="8" t="n">
        <v>4</v>
      </c>
      <c r="I1699" s="5" t="n">
        <v>400912</v>
      </c>
      <c r="J1699" s="6" t="s">
        <v>759</v>
      </c>
      <c r="K1699" s="5" t="n">
        <v>400003813</v>
      </c>
      <c r="L1699" s="9" t="n">
        <v>45985</v>
      </c>
      <c r="M1699" s="10" t="n">
        <v>47810</v>
      </c>
    </row>
    <row r="1700" customFormat="false" ht="30" hidden="true" customHeight="true" outlineLevel="0" collapsed="false">
      <c r="A1700" s="4" t="s">
        <v>13</v>
      </c>
      <c r="B1700" s="4" t="s">
        <v>14</v>
      </c>
      <c r="C1700" s="5" t="n">
        <v>2502701175</v>
      </c>
      <c r="D1700" s="6" t="s">
        <v>1767</v>
      </c>
      <c r="E1700" s="6"/>
      <c r="F1700" s="7" t="n">
        <v>46069.5519387616</v>
      </c>
      <c r="G1700" s="7" t="n">
        <v>46070.4035147454</v>
      </c>
      <c r="H1700" s="8" t="n">
        <v>4</v>
      </c>
      <c r="I1700" s="5" t="n">
        <v>400912</v>
      </c>
      <c r="J1700" s="6" t="s">
        <v>759</v>
      </c>
      <c r="K1700" s="5" t="n">
        <v>400003818</v>
      </c>
      <c r="L1700" s="9" t="n">
        <v>45986</v>
      </c>
      <c r="M1700" s="10" t="n">
        <v>47811</v>
      </c>
    </row>
    <row r="1701" customFormat="false" ht="30" hidden="true" customHeight="true" outlineLevel="0" collapsed="false">
      <c r="A1701" s="4" t="s">
        <v>13</v>
      </c>
      <c r="B1701" s="4" t="s">
        <v>14</v>
      </c>
      <c r="C1701" s="5" t="n">
        <v>2502701175</v>
      </c>
      <c r="D1701" s="6" t="s">
        <v>1768</v>
      </c>
      <c r="E1701" s="6"/>
      <c r="F1701" s="7" t="n">
        <v>46069.5519387616</v>
      </c>
      <c r="G1701" s="7" t="n">
        <v>46070.4033004977</v>
      </c>
      <c r="H1701" s="8" t="n">
        <v>2</v>
      </c>
      <c r="I1701" s="5" t="n">
        <v>400912</v>
      </c>
      <c r="J1701" s="6" t="s">
        <v>759</v>
      </c>
      <c r="K1701" s="5" t="n">
        <v>400003815</v>
      </c>
      <c r="L1701" s="9" t="n">
        <v>45986</v>
      </c>
      <c r="M1701" s="10" t="n">
        <v>47811</v>
      </c>
    </row>
    <row r="1702" customFormat="false" ht="30" hidden="true" customHeight="true" outlineLevel="0" collapsed="false">
      <c r="A1702" s="4" t="s">
        <v>13</v>
      </c>
      <c r="B1702" s="4" t="s">
        <v>14</v>
      </c>
      <c r="C1702" s="5" t="n">
        <v>2502701175</v>
      </c>
      <c r="D1702" s="6" t="s">
        <v>1769</v>
      </c>
      <c r="E1702" s="6"/>
      <c r="F1702" s="7" t="n">
        <v>46069.5519387616</v>
      </c>
      <c r="G1702" s="7" t="n">
        <v>46070.4031138426</v>
      </c>
      <c r="H1702" s="8" t="n">
        <v>2</v>
      </c>
      <c r="I1702" s="5" t="n">
        <v>400912</v>
      </c>
      <c r="J1702" s="6" t="s">
        <v>759</v>
      </c>
      <c r="K1702" s="5" t="n">
        <v>400003813</v>
      </c>
      <c r="L1702" s="9" t="n">
        <v>45985</v>
      </c>
      <c r="M1702" s="10" t="n">
        <v>47810</v>
      </c>
    </row>
    <row r="1703" customFormat="false" ht="30" hidden="true" customHeight="true" outlineLevel="0" collapsed="false">
      <c r="A1703" s="4" t="s">
        <v>13</v>
      </c>
      <c r="B1703" s="4" t="s">
        <v>14</v>
      </c>
      <c r="C1703" s="5" t="n">
        <v>2502701175</v>
      </c>
      <c r="D1703" s="6" t="s">
        <v>1770</v>
      </c>
      <c r="E1703" s="6"/>
      <c r="F1703" s="7" t="n">
        <v>46069.5519387616</v>
      </c>
      <c r="G1703" s="7" t="n">
        <v>46070.4028676042</v>
      </c>
      <c r="H1703" s="8" t="n">
        <v>4</v>
      </c>
      <c r="I1703" s="5" t="n">
        <v>400912</v>
      </c>
      <c r="J1703" s="6" t="s">
        <v>759</v>
      </c>
      <c r="K1703" s="5" t="n">
        <v>400003814</v>
      </c>
      <c r="L1703" s="9" t="n">
        <v>45985</v>
      </c>
      <c r="M1703" s="10" t="n">
        <v>47810</v>
      </c>
    </row>
    <row r="1704" customFormat="false" ht="30" hidden="true" customHeight="true" outlineLevel="0" collapsed="false">
      <c r="A1704" s="4" t="s">
        <v>13</v>
      </c>
      <c r="B1704" s="4" t="s">
        <v>14</v>
      </c>
      <c r="C1704" s="5" t="n">
        <v>2502701175</v>
      </c>
      <c r="D1704" s="6" t="s">
        <v>1771</v>
      </c>
      <c r="E1704" s="6"/>
      <c r="F1704" s="7" t="n">
        <v>46069.5519387616</v>
      </c>
      <c r="G1704" s="7" t="n">
        <v>46070.4026982639</v>
      </c>
      <c r="H1704" s="8" t="n">
        <v>4</v>
      </c>
      <c r="I1704" s="5" t="n">
        <v>400445</v>
      </c>
      <c r="J1704" s="6" t="s">
        <v>1700</v>
      </c>
      <c r="K1704" s="5" t="n">
        <v>100009700</v>
      </c>
      <c r="L1704" s="9" t="n">
        <v>45881</v>
      </c>
      <c r="M1704" s="10" t="n">
        <v>47706</v>
      </c>
    </row>
    <row r="1705" customFormat="false" ht="30" hidden="true" customHeight="true" outlineLevel="0" collapsed="false">
      <c r="A1705" s="4" t="s">
        <v>13</v>
      </c>
      <c r="B1705" s="4" t="s">
        <v>14</v>
      </c>
      <c r="C1705" s="5" t="n">
        <v>2502701175</v>
      </c>
      <c r="D1705" s="6" t="s">
        <v>1772</v>
      </c>
      <c r="E1705" s="6"/>
      <c r="F1705" s="7" t="n">
        <v>46069.5519387616</v>
      </c>
      <c r="G1705" s="7" t="n">
        <v>46070.4025505556</v>
      </c>
      <c r="H1705" s="8" t="n">
        <v>4</v>
      </c>
      <c r="I1705" s="5" t="n">
        <v>400912</v>
      </c>
      <c r="J1705" s="6" t="s">
        <v>759</v>
      </c>
      <c r="K1705" s="5" t="n">
        <v>400003807</v>
      </c>
      <c r="L1705" s="9" t="n">
        <v>45984</v>
      </c>
      <c r="M1705" s="10" t="n">
        <v>47809</v>
      </c>
    </row>
    <row r="1706" customFormat="false" ht="30" hidden="true" customHeight="true" outlineLevel="0" collapsed="false">
      <c r="A1706" s="4" t="s">
        <v>13</v>
      </c>
      <c r="B1706" s="4" t="s">
        <v>14</v>
      </c>
      <c r="C1706" s="5" t="n">
        <v>2502701175</v>
      </c>
      <c r="D1706" s="6" t="s">
        <v>1773</v>
      </c>
      <c r="E1706" s="6"/>
      <c r="F1706" s="7" t="n">
        <v>46069.5519387616</v>
      </c>
      <c r="G1706" s="7" t="n">
        <v>46070.4022574537</v>
      </c>
      <c r="H1706" s="8" t="n">
        <v>4</v>
      </c>
      <c r="I1706" s="5" t="n">
        <v>400445</v>
      </c>
      <c r="J1706" s="6" t="s">
        <v>1700</v>
      </c>
      <c r="K1706" s="5" t="n">
        <v>100010511</v>
      </c>
      <c r="L1706" s="9" t="n">
        <v>45956</v>
      </c>
      <c r="M1706" s="10" t="n">
        <v>47781</v>
      </c>
    </row>
    <row r="1707" customFormat="false" ht="30" hidden="true" customHeight="true" outlineLevel="0" collapsed="false">
      <c r="A1707" s="4" t="s">
        <v>13</v>
      </c>
      <c r="B1707" s="4" t="s">
        <v>14</v>
      </c>
      <c r="C1707" s="5" t="n">
        <v>2502701175</v>
      </c>
      <c r="D1707" s="6" t="s">
        <v>1774</v>
      </c>
      <c r="E1707" s="6"/>
      <c r="F1707" s="7" t="n">
        <v>46069.5519387616</v>
      </c>
      <c r="G1707" s="7" t="n">
        <v>46070.4019888542</v>
      </c>
      <c r="H1707" s="8" t="n">
        <v>4</v>
      </c>
      <c r="I1707" s="5" t="n">
        <v>400445</v>
      </c>
      <c r="J1707" s="6" t="s">
        <v>1700</v>
      </c>
      <c r="K1707" s="5" t="n">
        <v>100009700</v>
      </c>
      <c r="L1707" s="9" t="n">
        <v>45881</v>
      </c>
      <c r="M1707" s="10" t="n">
        <v>47706</v>
      </c>
    </row>
    <row r="1708" customFormat="false" ht="30" hidden="true" customHeight="true" outlineLevel="0" collapsed="false">
      <c r="A1708" s="4" t="s">
        <v>13</v>
      </c>
      <c r="B1708" s="4" t="s">
        <v>14</v>
      </c>
      <c r="C1708" s="5" t="n">
        <v>2502701175</v>
      </c>
      <c r="D1708" s="6" t="s">
        <v>1775</v>
      </c>
      <c r="E1708" s="6"/>
      <c r="F1708" s="7" t="n">
        <v>46069.5519387616</v>
      </c>
      <c r="G1708" s="7" t="n">
        <v>46070.4018892245</v>
      </c>
      <c r="H1708" s="8" t="n">
        <v>4</v>
      </c>
      <c r="I1708" s="5" t="n">
        <v>400445</v>
      </c>
      <c r="J1708" s="6" t="s">
        <v>1700</v>
      </c>
      <c r="K1708" s="5" t="n">
        <v>100009700</v>
      </c>
      <c r="L1708" s="9" t="n">
        <v>45881</v>
      </c>
      <c r="M1708" s="10" t="n">
        <v>47706</v>
      </c>
    </row>
    <row r="1709" customFormat="false" ht="30" hidden="true" customHeight="true" outlineLevel="0" collapsed="false">
      <c r="A1709" s="4" t="s">
        <v>109</v>
      </c>
      <c r="B1709" s="4" t="s">
        <v>14</v>
      </c>
      <c r="C1709" s="5" t="n">
        <v>1329001696</v>
      </c>
      <c r="D1709" s="6" t="s">
        <v>1776</v>
      </c>
      <c r="E1709" s="6"/>
      <c r="F1709" s="7" t="n">
        <v>46070.2110486921</v>
      </c>
      <c r="G1709" s="7" t="n">
        <v>46070.2831419444</v>
      </c>
      <c r="H1709" s="8" t="n">
        <v>24</v>
      </c>
      <c r="I1709" s="5" t="n">
        <v>400919</v>
      </c>
      <c r="J1709" s="6" t="s">
        <v>420</v>
      </c>
      <c r="K1709" s="5" t="n">
        <v>100011193</v>
      </c>
      <c r="L1709" s="9" t="n">
        <v>46047</v>
      </c>
      <c r="M1709" s="10" t="n">
        <v>47872</v>
      </c>
    </row>
    <row r="1710" customFormat="false" ht="30" hidden="true" customHeight="true" outlineLevel="0" collapsed="false">
      <c r="A1710" s="4" t="s">
        <v>109</v>
      </c>
      <c r="B1710" s="4" t="s">
        <v>14</v>
      </c>
      <c r="C1710" s="5" t="n">
        <v>1329001696</v>
      </c>
      <c r="D1710" s="6" t="s">
        <v>1777</v>
      </c>
      <c r="E1710" s="6"/>
      <c r="F1710" s="7" t="n">
        <v>46070.2110486921</v>
      </c>
      <c r="G1710" s="7" t="n">
        <v>46070.2812317708</v>
      </c>
      <c r="H1710" s="8" t="n">
        <v>24</v>
      </c>
      <c r="I1710" s="5" t="n">
        <v>400919</v>
      </c>
      <c r="J1710" s="6" t="s">
        <v>420</v>
      </c>
      <c r="K1710" s="5" t="n">
        <v>100011193</v>
      </c>
      <c r="L1710" s="9" t="n">
        <v>46047</v>
      </c>
      <c r="M1710" s="10" t="n">
        <v>47872</v>
      </c>
    </row>
    <row r="1711" customFormat="false" ht="30" hidden="true" customHeight="true" outlineLevel="0" collapsed="false">
      <c r="A1711" s="4" t="s">
        <v>109</v>
      </c>
      <c r="B1711" s="4" t="s">
        <v>14</v>
      </c>
      <c r="C1711" s="5" t="n">
        <v>1329001696</v>
      </c>
      <c r="D1711" s="6" t="s">
        <v>1778</v>
      </c>
      <c r="E1711" s="6"/>
      <c r="F1711" s="7" t="n">
        <v>46070.2110486921</v>
      </c>
      <c r="G1711" s="7" t="n">
        <v>46070.2508419329</v>
      </c>
      <c r="H1711" s="8" t="n">
        <v>24</v>
      </c>
      <c r="I1711" s="5" t="n">
        <v>400919</v>
      </c>
      <c r="J1711" s="6" t="s">
        <v>420</v>
      </c>
      <c r="K1711" s="5" t="n">
        <v>100011193</v>
      </c>
      <c r="L1711" s="9" t="n">
        <v>46047</v>
      </c>
      <c r="M1711" s="10" t="n">
        <v>47872</v>
      </c>
    </row>
    <row r="1712" customFormat="false" ht="30" hidden="true" customHeight="true" outlineLevel="0" collapsed="false">
      <c r="A1712" s="4" t="s">
        <v>109</v>
      </c>
      <c r="B1712" s="4" t="s">
        <v>14</v>
      </c>
      <c r="C1712" s="5" t="n">
        <v>1329001696</v>
      </c>
      <c r="D1712" s="6" t="s">
        <v>1779</v>
      </c>
      <c r="E1712" s="6"/>
      <c r="F1712" s="7" t="n">
        <v>46070.2110486921</v>
      </c>
      <c r="G1712" s="7" t="n">
        <v>46070.292287662</v>
      </c>
      <c r="H1712" s="8" t="n">
        <v>24</v>
      </c>
      <c r="I1712" s="5" t="n">
        <v>400927</v>
      </c>
      <c r="J1712" s="6" t="s">
        <v>1383</v>
      </c>
      <c r="K1712" s="5" t="n">
        <v>100011192</v>
      </c>
      <c r="L1712" s="9" t="n">
        <v>46016</v>
      </c>
      <c r="M1712" s="10" t="n">
        <v>47841</v>
      </c>
    </row>
    <row r="1713" customFormat="false" ht="30" hidden="true" customHeight="true" outlineLevel="0" collapsed="false">
      <c r="A1713" s="4" t="s">
        <v>109</v>
      </c>
      <c r="B1713" s="4" t="s">
        <v>14</v>
      </c>
      <c r="C1713" s="5" t="n">
        <v>1329001696</v>
      </c>
      <c r="D1713" s="6" t="s">
        <v>1780</v>
      </c>
      <c r="E1713" s="6"/>
      <c r="F1713" s="7" t="n">
        <v>46070.2110486921</v>
      </c>
      <c r="G1713" s="7" t="n">
        <v>46070.2935590972</v>
      </c>
      <c r="H1713" s="8" t="n">
        <v>24</v>
      </c>
      <c r="I1713" s="5" t="n">
        <v>400922</v>
      </c>
      <c r="J1713" s="6" t="s">
        <v>1386</v>
      </c>
      <c r="K1713" s="5" t="n">
        <v>100011182</v>
      </c>
      <c r="L1713" s="9" t="n">
        <v>46015</v>
      </c>
      <c r="M1713" s="10" t="n">
        <v>47840</v>
      </c>
    </row>
    <row r="1714" customFormat="false" ht="30" hidden="true" customHeight="true" outlineLevel="0" collapsed="false">
      <c r="A1714" s="4" t="s">
        <v>109</v>
      </c>
      <c r="B1714" s="4" t="s">
        <v>14</v>
      </c>
      <c r="C1714" s="5" t="n">
        <v>1329001696</v>
      </c>
      <c r="D1714" s="6" t="s">
        <v>1781</v>
      </c>
      <c r="E1714" s="6"/>
      <c r="F1714" s="7" t="n">
        <v>46070.2110486921</v>
      </c>
      <c r="G1714" s="7" t="n">
        <v>46070.3022596181</v>
      </c>
      <c r="H1714" s="8" t="n">
        <v>24</v>
      </c>
      <c r="I1714" s="5" t="n">
        <v>400937</v>
      </c>
      <c r="J1714" s="6" t="s">
        <v>1375</v>
      </c>
      <c r="K1714" s="5" t="n">
        <v>100008831</v>
      </c>
      <c r="L1714" s="9" t="n">
        <v>45799</v>
      </c>
      <c r="M1714" s="10" t="n">
        <v>47624</v>
      </c>
    </row>
    <row r="1715" customFormat="false" ht="30" hidden="true" customHeight="true" outlineLevel="0" collapsed="false">
      <c r="A1715" s="4" t="s">
        <v>109</v>
      </c>
      <c r="B1715" s="4" t="s">
        <v>14</v>
      </c>
      <c r="C1715" s="5" t="n">
        <v>1329001696</v>
      </c>
      <c r="D1715" s="6" t="s">
        <v>1782</v>
      </c>
      <c r="E1715" s="6"/>
      <c r="F1715" s="7" t="n">
        <v>46070.2110486921</v>
      </c>
      <c r="G1715" s="7" t="n">
        <v>46070.2412622454</v>
      </c>
      <c r="H1715" s="8" t="n">
        <v>24</v>
      </c>
      <c r="I1715" s="5" t="n">
        <v>400919</v>
      </c>
      <c r="J1715" s="6" t="s">
        <v>420</v>
      </c>
      <c r="K1715" s="5" t="n">
        <v>100011193</v>
      </c>
      <c r="L1715" s="9" t="n">
        <v>46047</v>
      </c>
      <c r="M1715" s="10" t="n">
        <v>47872</v>
      </c>
    </row>
    <row r="1716" customFormat="false" ht="30" hidden="true" customHeight="true" outlineLevel="0" collapsed="false">
      <c r="A1716" s="4" t="s">
        <v>109</v>
      </c>
      <c r="B1716" s="4" t="s">
        <v>14</v>
      </c>
      <c r="C1716" s="5" t="n">
        <v>1329001696</v>
      </c>
      <c r="D1716" s="6" t="s">
        <v>1783</v>
      </c>
      <c r="E1716" s="6"/>
      <c r="F1716" s="7" t="n">
        <v>46070.2110486921</v>
      </c>
      <c r="G1716" s="7" t="n">
        <v>46070.3028460185</v>
      </c>
      <c r="H1716" s="8" t="n">
        <v>24</v>
      </c>
      <c r="I1716" s="5" t="n">
        <v>400937</v>
      </c>
      <c r="J1716" s="6" t="s">
        <v>1375</v>
      </c>
      <c r="K1716" s="5" t="n">
        <v>100009177</v>
      </c>
      <c r="L1716" s="9" t="n">
        <v>45832</v>
      </c>
      <c r="M1716" s="10" t="n">
        <v>47657</v>
      </c>
    </row>
    <row r="1717" customFormat="false" ht="30" hidden="true" customHeight="true" outlineLevel="0" collapsed="false">
      <c r="A1717" s="4" t="s">
        <v>109</v>
      </c>
      <c r="B1717" s="4" t="s">
        <v>14</v>
      </c>
      <c r="C1717" s="5" t="n">
        <v>1329001696</v>
      </c>
      <c r="D1717" s="6" t="s">
        <v>1784</v>
      </c>
      <c r="E1717" s="6"/>
      <c r="F1717" s="7" t="n">
        <v>46070.2110486921</v>
      </c>
      <c r="G1717" s="7" t="n">
        <v>46070.3011157176</v>
      </c>
      <c r="H1717" s="8" t="n">
        <v>24</v>
      </c>
      <c r="I1717" s="5" t="n">
        <v>400927</v>
      </c>
      <c r="J1717" s="6" t="s">
        <v>1383</v>
      </c>
      <c r="K1717" s="5" t="n">
        <v>100011192</v>
      </c>
      <c r="L1717" s="9" t="n">
        <v>46016</v>
      </c>
      <c r="M1717" s="10" t="n">
        <v>47841</v>
      </c>
    </row>
    <row r="1718" customFormat="false" ht="30" hidden="true" customHeight="true" outlineLevel="0" collapsed="false">
      <c r="A1718" s="4" t="s">
        <v>109</v>
      </c>
      <c r="B1718" s="4" t="s">
        <v>14</v>
      </c>
      <c r="C1718" s="5" t="n">
        <v>1329001696</v>
      </c>
      <c r="D1718" s="6" t="s">
        <v>1785</v>
      </c>
      <c r="E1718" s="6"/>
      <c r="F1718" s="7" t="n">
        <v>46070.2110486921</v>
      </c>
      <c r="G1718" s="7" t="n">
        <v>46070.300368831</v>
      </c>
      <c r="H1718" s="8" t="n">
        <v>24</v>
      </c>
      <c r="I1718" s="5" t="n">
        <v>400922</v>
      </c>
      <c r="J1718" s="6" t="s">
        <v>1386</v>
      </c>
      <c r="K1718" s="5" t="n">
        <v>100011182</v>
      </c>
      <c r="L1718" s="9" t="n">
        <v>46015</v>
      </c>
      <c r="M1718" s="10" t="n">
        <v>47840</v>
      </c>
    </row>
    <row r="1719" customFormat="false" ht="30" hidden="true" customHeight="true" outlineLevel="0" collapsed="false">
      <c r="A1719" s="4" t="s">
        <v>109</v>
      </c>
      <c r="B1719" s="4" t="s">
        <v>14</v>
      </c>
      <c r="C1719" s="5" t="n">
        <v>1329001696</v>
      </c>
      <c r="D1719" s="6" t="s">
        <v>1786</v>
      </c>
      <c r="E1719" s="6"/>
      <c r="F1719" s="7" t="n">
        <v>46070.2110486921</v>
      </c>
      <c r="G1719" s="7" t="n">
        <v>46070.2997696991</v>
      </c>
      <c r="H1719" s="8" t="n">
        <v>24</v>
      </c>
      <c r="I1719" s="5" t="n">
        <v>400927</v>
      </c>
      <c r="J1719" s="6" t="s">
        <v>1383</v>
      </c>
      <c r="K1719" s="5" t="n">
        <v>100009478</v>
      </c>
      <c r="L1719" s="9" t="n">
        <v>46016</v>
      </c>
      <c r="M1719" s="10" t="n">
        <v>47841</v>
      </c>
    </row>
    <row r="1720" customFormat="false" ht="30" hidden="true" customHeight="true" outlineLevel="0" collapsed="false">
      <c r="A1720" s="4" t="s">
        <v>109</v>
      </c>
      <c r="B1720" s="4" t="s">
        <v>14</v>
      </c>
      <c r="C1720" s="5" t="n">
        <v>1329001696</v>
      </c>
      <c r="D1720" s="6" t="s">
        <v>1787</v>
      </c>
      <c r="E1720" s="6"/>
      <c r="F1720" s="7" t="n">
        <v>46070.2110486921</v>
      </c>
      <c r="G1720" s="7" t="n">
        <v>46070.2970575463</v>
      </c>
      <c r="H1720" s="8" t="n">
        <v>24</v>
      </c>
      <c r="I1720" s="5" t="n">
        <v>400922</v>
      </c>
      <c r="J1720" s="6" t="s">
        <v>1386</v>
      </c>
      <c r="K1720" s="5" t="n">
        <v>100011182</v>
      </c>
      <c r="L1720" s="9" t="n">
        <v>46015</v>
      </c>
      <c r="M1720" s="10" t="n">
        <v>47840</v>
      </c>
    </row>
    <row r="1721" customFormat="false" ht="30" hidden="true" customHeight="true" outlineLevel="0" collapsed="false">
      <c r="A1721" s="4" t="s">
        <v>109</v>
      </c>
      <c r="B1721" s="4" t="s">
        <v>14</v>
      </c>
      <c r="C1721" s="5" t="n">
        <v>1329001696</v>
      </c>
      <c r="D1721" s="6" t="s">
        <v>1788</v>
      </c>
      <c r="E1721" s="6"/>
      <c r="F1721" s="7" t="n">
        <v>46070.2110486921</v>
      </c>
      <c r="G1721" s="7" t="n">
        <v>46070.2966249653</v>
      </c>
      <c r="H1721" s="8" t="n">
        <v>24</v>
      </c>
      <c r="I1721" s="5" t="n">
        <v>400927</v>
      </c>
      <c r="J1721" s="6" t="s">
        <v>1383</v>
      </c>
      <c r="K1721" s="5" t="n">
        <v>100011192</v>
      </c>
      <c r="L1721" s="9" t="n">
        <v>46016</v>
      </c>
      <c r="M1721" s="10" t="n">
        <v>47841</v>
      </c>
    </row>
    <row r="1722" customFormat="false" ht="30" hidden="true" customHeight="true" outlineLevel="0" collapsed="false">
      <c r="A1722" s="4" t="s">
        <v>109</v>
      </c>
      <c r="B1722" s="4" t="s">
        <v>14</v>
      </c>
      <c r="C1722" s="5" t="n">
        <v>1329001696</v>
      </c>
      <c r="D1722" s="6" t="s">
        <v>1789</v>
      </c>
      <c r="E1722" s="6"/>
      <c r="F1722" s="7" t="n">
        <v>46070.2110486921</v>
      </c>
      <c r="G1722" s="7" t="n">
        <v>46070.295763588</v>
      </c>
      <c r="H1722" s="8" t="n">
        <v>24</v>
      </c>
      <c r="I1722" s="5" t="n">
        <v>400922</v>
      </c>
      <c r="J1722" s="6" t="s">
        <v>1386</v>
      </c>
      <c r="K1722" s="5" t="n">
        <v>100011182</v>
      </c>
      <c r="L1722" s="9" t="n">
        <v>46015</v>
      </c>
      <c r="M1722" s="10" t="n">
        <v>47840</v>
      </c>
    </row>
    <row r="1723" customFormat="false" ht="30" hidden="true" customHeight="true" outlineLevel="0" collapsed="false">
      <c r="A1723" s="4" t="s">
        <v>109</v>
      </c>
      <c r="B1723" s="4" t="s">
        <v>14</v>
      </c>
      <c r="C1723" s="5" t="n">
        <v>1329001696</v>
      </c>
      <c r="D1723" s="6" t="s">
        <v>1790</v>
      </c>
      <c r="E1723" s="6"/>
      <c r="F1723" s="7" t="n">
        <v>46070.2110486921</v>
      </c>
      <c r="G1723" s="7" t="n">
        <v>46070.2940198727</v>
      </c>
      <c r="H1723" s="8" t="n">
        <v>24</v>
      </c>
      <c r="I1723" s="5" t="n">
        <v>400922</v>
      </c>
      <c r="J1723" s="6" t="s">
        <v>1386</v>
      </c>
      <c r="K1723" s="5" t="n">
        <v>100011182</v>
      </c>
      <c r="L1723" s="9" t="n">
        <v>46015</v>
      </c>
      <c r="M1723" s="10" t="n">
        <v>47840</v>
      </c>
    </row>
    <row r="1724" customFormat="false" ht="30" hidden="true" customHeight="true" outlineLevel="0" collapsed="false">
      <c r="A1724" s="4" t="s">
        <v>109</v>
      </c>
      <c r="B1724" s="4" t="s">
        <v>14</v>
      </c>
      <c r="C1724" s="5" t="n">
        <v>1329001696</v>
      </c>
      <c r="D1724" s="6" t="s">
        <v>1791</v>
      </c>
      <c r="E1724" s="6"/>
      <c r="F1724" s="7" t="n">
        <v>46070.2110486921</v>
      </c>
      <c r="G1724" s="7" t="n">
        <v>46070.2950547801</v>
      </c>
      <c r="H1724" s="8" t="n">
        <v>24</v>
      </c>
      <c r="I1724" s="5" t="n">
        <v>400927</v>
      </c>
      <c r="J1724" s="6" t="s">
        <v>1383</v>
      </c>
      <c r="K1724" s="5" t="n">
        <v>100011192</v>
      </c>
      <c r="L1724" s="9" t="n">
        <v>46016</v>
      </c>
      <c r="M1724" s="10" t="n">
        <v>47841</v>
      </c>
    </row>
    <row r="1725" customFormat="false" ht="30" hidden="true" customHeight="true" outlineLevel="0" collapsed="false">
      <c r="A1725" s="4" t="s">
        <v>109</v>
      </c>
      <c r="B1725" s="4" t="s">
        <v>14</v>
      </c>
      <c r="C1725" s="5" t="n">
        <v>1329001696</v>
      </c>
      <c r="D1725" s="6" t="s">
        <v>1792</v>
      </c>
      <c r="E1725" s="6"/>
      <c r="F1725" s="7" t="n">
        <v>46070.2110486921</v>
      </c>
      <c r="G1725" s="7" t="n">
        <v>46070.2902209028</v>
      </c>
      <c r="H1725" s="8" t="n">
        <v>24</v>
      </c>
      <c r="I1725" s="5" t="n">
        <v>400919</v>
      </c>
      <c r="J1725" s="6" t="s">
        <v>420</v>
      </c>
      <c r="K1725" s="5" t="n">
        <v>153000046</v>
      </c>
      <c r="L1725" s="9" t="n">
        <v>46044</v>
      </c>
      <c r="M1725" s="10" t="n">
        <v>47869</v>
      </c>
    </row>
    <row r="1726" customFormat="false" ht="30" hidden="true" customHeight="true" outlineLevel="0" collapsed="false">
      <c r="A1726" s="4" t="s">
        <v>109</v>
      </c>
      <c r="B1726" s="4" t="s">
        <v>14</v>
      </c>
      <c r="C1726" s="5" t="n">
        <v>1329001696</v>
      </c>
      <c r="D1726" s="6" t="s">
        <v>1793</v>
      </c>
      <c r="E1726" s="6"/>
      <c r="F1726" s="7" t="n">
        <v>46070.2110486921</v>
      </c>
      <c r="G1726" s="7" t="n">
        <v>46070.2895622222</v>
      </c>
      <c r="H1726" s="8" t="n">
        <v>24</v>
      </c>
      <c r="I1726" s="5" t="n">
        <v>400919</v>
      </c>
      <c r="J1726" s="6" t="s">
        <v>420</v>
      </c>
      <c r="K1726" s="5" t="n">
        <v>100011193</v>
      </c>
      <c r="L1726" s="9" t="n">
        <v>46047</v>
      </c>
      <c r="M1726" s="10" t="n">
        <v>47872</v>
      </c>
    </row>
    <row r="1727" customFormat="false" ht="30" hidden="true" customHeight="true" outlineLevel="0" collapsed="false">
      <c r="A1727" s="4" t="s">
        <v>109</v>
      </c>
      <c r="B1727" s="4" t="s">
        <v>14</v>
      </c>
      <c r="C1727" s="5" t="n">
        <v>1329001696</v>
      </c>
      <c r="D1727" s="6" t="s">
        <v>1794</v>
      </c>
      <c r="E1727" s="6"/>
      <c r="F1727" s="7" t="n">
        <v>46070.2110486921</v>
      </c>
      <c r="G1727" s="7" t="n">
        <v>46070.288920463</v>
      </c>
      <c r="H1727" s="8" t="n">
        <v>24</v>
      </c>
      <c r="I1727" s="5" t="n">
        <v>400919</v>
      </c>
      <c r="J1727" s="6" t="s">
        <v>420</v>
      </c>
      <c r="K1727" s="5" t="n">
        <v>100011193</v>
      </c>
      <c r="L1727" s="9" t="n">
        <v>46047</v>
      </c>
      <c r="M1727" s="10" t="n">
        <v>47872</v>
      </c>
    </row>
    <row r="1728" customFormat="false" ht="30" hidden="true" customHeight="true" outlineLevel="0" collapsed="false">
      <c r="A1728" s="4" t="s">
        <v>109</v>
      </c>
      <c r="B1728" s="4" t="s">
        <v>14</v>
      </c>
      <c r="C1728" s="5" t="n">
        <v>1329001696</v>
      </c>
      <c r="D1728" s="6" t="s">
        <v>1795</v>
      </c>
      <c r="E1728" s="6"/>
      <c r="F1728" s="7" t="n">
        <v>46070.2110486921</v>
      </c>
      <c r="G1728" s="7" t="n">
        <v>46070.2859540625</v>
      </c>
      <c r="H1728" s="8" t="n">
        <v>24</v>
      </c>
      <c r="I1728" s="5" t="n">
        <v>400919</v>
      </c>
      <c r="J1728" s="6" t="s">
        <v>420</v>
      </c>
      <c r="K1728" s="5" t="n">
        <v>100011193</v>
      </c>
      <c r="L1728" s="9" t="n">
        <v>46047</v>
      </c>
      <c r="M1728" s="10" t="n">
        <v>47872</v>
      </c>
    </row>
    <row r="1729" customFormat="false" ht="30" hidden="true" customHeight="true" outlineLevel="0" collapsed="false">
      <c r="A1729" s="4" t="s">
        <v>109</v>
      </c>
      <c r="B1729" s="4" t="s">
        <v>14</v>
      </c>
      <c r="C1729" s="5" t="n">
        <v>1329001696</v>
      </c>
      <c r="D1729" s="6" t="s">
        <v>1796</v>
      </c>
      <c r="E1729" s="6"/>
      <c r="F1729" s="7" t="n">
        <v>46070.2110486921</v>
      </c>
      <c r="G1729" s="7" t="n">
        <v>46070.2869629167</v>
      </c>
      <c r="H1729" s="8" t="n">
        <v>24</v>
      </c>
      <c r="I1729" s="5" t="n">
        <v>400919</v>
      </c>
      <c r="J1729" s="6" t="s">
        <v>420</v>
      </c>
      <c r="K1729" s="5" t="n">
        <v>100011193</v>
      </c>
      <c r="L1729" s="9" t="n">
        <v>46047</v>
      </c>
      <c r="M1729" s="10" t="n">
        <v>47872</v>
      </c>
    </row>
    <row r="1730" customFormat="false" ht="30" hidden="true" customHeight="true" outlineLevel="0" collapsed="false">
      <c r="A1730" s="4" t="s">
        <v>109</v>
      </c>
      <c r="B1730" s="4" t="s">
        <v>14</v>
      </c>
      <c r="C1730" s="5" t="n">
        <v>1329001696</v>
      </c>
      <c r="D1730" s="6" t="s">
        <v>1797</v>
      </c>
      <c r="E1730" s="6"/>
      <c r="F1730" s="7" t="n">
        <v>46070.2110486921</v>
      </c>
      <c r="G1730" s="7" t="n">
        <v>46070.2841824306</v>
      </c>
      <c r="H1730" s="8" t="n">
        <v>24</v>
      </c>
      <c r="I1730" s="5" t="n">
        <v>400919</v>
      </c>
      <c r="J1730" s="6" t="s">
        <v>420</v>
      </c>
      <c r="K1730" s="5" t="n">
        <v>100011193</v>
      </c>
      <c r="L1730" s="9" t="n">
        <v>46047</v>
      </c>
      <c r="M1730" s="10" t="n">
        <v>47872</v>
      </c>
    </row>
    <row r="1731" customFormat="false" ht="30" hidden="true" customHeight="true" outlineLevel="0" collapsed="false">
      <c r="A1731" s="4" t="s">
        <v>13</v>
      </c>
      <c r="B1731" s="4" t="s">
        <v>14</v>
      </c>
      <c r="C1731" s="5" t="n">
        <v>1329001704</v>
      </c>
      <c r="D1731" s="6" t="s">
        <v>1798</v>
      </c>
      <c r="E1731" s="6"/>
      <c r="F1731" s="7" t="n">
        <v>46070.2678773148</v>
      </c>
      <c r="G1731" s="7" t="n">
        <v>46070.4294083912</v>
      </c>
      <c r="H1731" s="8" t="n">
        <v>4</v>
      </c>
      <c r="I1731" s="5" t="n">
        <v>400630</v>
      </c>
      <c r="J1731" s="6" t="s">
        <v>772</v>
      </c>
      <c r="K1731" s="5" t="n">
        <v>153000083</v>
      </c>
      <c r="L1731" s="9" t="n">
        <v>46060</v>
      </c>
      <c r="M1731" s="10" t="n">
        <v>47885</v>
      </c>
    </row>
    <row r="1732" customFormat="false" ht="30" hidden="true" customHeight="true" outlineLevel="0" collapsed="false">
      <c r="A1732" s="4" t="s">
        <v>13</v>
      </c>
      <c r="B1732" s="4" t="s">
        <v>14</v>
      </c>
      <c r="C1732" s="5" t="n">
        <v>1329001704</v>
      </c>
      <c r="D1732" s="6" t="s">
        <v>1799</v>
      </c>
      <c r="E1732" s="6"/>
      <c r="F1732" s="7" t="n">
        <v>46070.2678773148</v>
      </c>
      <c r="G1732" s="7" t="n">
        <v>46070.4310334607</v>
      </c>
      <c r="H1732" s="8" t="n">
        <v>1</v>
      </c>
      <c r="I1732" s="5" t="n">
        <v>400630</v>
      </c>
      <c r="J1732" s="6" t="s">
        <v>772</v>
      </c>
      <c r="K1732" s="5" t="n">
        <v>100009958</v>
      </c>
      <c r="L1732" s="9"/>
      <c r="M1732" s="10" t="n">
        <v>47728</v>
      </c>
    </row>
    <row r="1733" customFormat="false" ht="30" hidden="true" customHeight="true" outlineLevel="0" collapsed="false">
      <c r="A1733" s="4" t="s">
        <v>13</v>
      </c>
      <c r="B1733" s="4" t="s">
        <v>14</v>
      </c>
      <c r="C1733" s="5" t="n">
        <v>1329001704</v>
      </c>
      <c r="D1733" s="6" t="s">
        <v>1800</v>
      </c>
      <c r="E1733" s="6"/>
      <c r="F1733" s="7" t="n">
        <v>46070.2678773148</v>
      </c>
      <c r="G1733" s="7" t="n">
        <v>46070.4307105903</v>
      </c>
      <c r="H1733" s="8" t="n">
        <v>1</v>
      </c>
      <c r="I1733" s="5" t="n">
        <v>400630</v>
      </c>
      <c r="J1733" s="6" t="s">
        <v>772</v>
      </c>
      <c r="K1733" s="5" t="n">
        <v>100010471</v>
      </c>
      <c r="L1733" s="9"/>
      <c r="M1733" s="10" t="n">
        <v>47776</v>
      </c>
    </row>
    <row r="1734" customFormat="false" ht="30" hidden="true" customHeight="true" outlineLevel="0" collapsed="false">
      <c r="A1734" s="4" t="s">
        <v>13</v>
      </c>
      <c r="B1734" s="4" t="s">
        <v>14</v>
      </c>
      <c r="C1734" s="5" t="n">
        <v>1329001704</v>
      </c>
      <c r="D1734" s="6" t="s">
        <v>1801</v>
      </c>
      <c r="E1734" s="6"/>
      <c r="F1734" s="7" t="n">
        <v>46070.2678773148</v>
      </c>
      <c r="G1734" s="7" t="n">
        <v>46070.434785081</v>
      </c>
      <c r="H1734" s="8" t="n">
        <v>4</v>
      </c>
      <c r="I1734" s="5" t="n">
        <v>400630</v>
      </c>
      <c r="J1734" s="6" t="s">
        <v>772</v>
      </c>
      <c r="K1734" s="5" t="n">
        <v>153000083</v>
      </c>
      <c r="L1734" s="9" t="n">
        <v>46060</v>
      </c>
      <c r="M1734" s="10" t="n">
        <v>47885</v>
      </c>
    </row>
    <row r="1735" customFormat="false" ht="30" hidden="true" customHeight="true" outlineLevel="0" collapsed="false">
      <c r="A1735" s="4" t="s">
        <v>13</v>
      </c>
      <c r="B1735" s="4" t="s">
        <v>14</v>
      </c>
      <c r="C1735" s="5" t="n">
        <v>1329001704</v>
      </c>
      <c r="D1735" s="6" t="s">
        <v>1802</v>
      </c>
      <c r="E1735" s="6"/>
      <c r="F1735" s="7" t="n">
        <v>46070.2678773148</v>
      </c>
      <c r="G1735" s="7" t="n">
        <v>46070.4340914815</v>
      </c>
      <c r="H1735" s="8" t="n">
        <v>4</v>
      </c>
      <c r="I1735" s="5" t="n">
        <v>400483</v>
      </c>
      <c r="J1735" s="6" t="s">
        <v>1803</v>
      </c>
      <c r="K1735" s="5" t="n">
        <v>153000100</v>
      </c>
      <c r="L1735" s="9" t="n">
        <v>46063</v>
      </c>
      <c r="M1735" s="10" t="n">
        <v>47888</v>
      </c>
    </row>
    <row r="1736" customFormat="false" ht="30" hidden="true" customHeight="true" outlineLevel="0" collapsed="false">
      <c r="A1736" s="4" t="s">
        <v>13</v>
      </c>
      <c r="B1736" s="4" t="s">
        <v>14</v>
      </c>
      <c r="C1736" s="5" t="n">
        <v>1329001704</v>
      </c>
      <c r="D1736" s="6" t="s">
        <v>1804</v>
      </c>
      <c r="E1736" s="6"/>
      <c r="F1736" s="7" t="n">
        <v>46070.2678773148</v>
      </c>
      <c r="G1736" s="7" t="n">
        <v>46070.4339552431</v>
      </c>
      <c r="H1736" s="8" t="n">
        <v>4</v>
      </c>
      <c r="I1736" s="5" t="n">
        <v>400630</v>
      </c>
      <c r="J1736" s="6" t="s">
        <v>772</v>
      </c>
      <c r="K1736" s="5" t="n">
        <v>153000083</v>
      </c>
      <c r="L1736" s="9" t="n">
        <v>46060</v>
      </c>
      <c r="M1736" s="10" t="n">
        <v>47885</v>
      </c>
    </row>
    <row r="1737" customFormat="false" ht="30" hidden="true" customHeight="true" outlineLevel="0" collapsed="false">
      <c r="A1737" s="4" t="s">
        <v>13</v>
      </c>
      <c r="B1737" s="4" t="s">
        <v>14</v>
      </c>
      <c r="C1737" s="5" t="n">
        <v>1329001704</v>
      </c>
      <c r="D1737" s="6" t="s">
        <v>1805</v>
      </c>
      <c r="E1737" s="6"/>
      <c r="F1737" s="7" t="n">
        <v>46070.2678773148</v>
      </c>
      <c r="G1737" s="7" t="n">
        <v>46070.4337414236</v>
      </c>
      <c r="H1737" s="8" t="n">
        <v>4</v>
      </c>
      <c r="I1737" s="5" t="n">
        <v>400483</v>
      </c>
      <c r="J1737" s="6" t="s">
        <v>1803</v>
      </c>
      <c r="K1737" s="5" t="n">
        <v>153000100</v>
      </c>
      <c r="L1737" s="9" t="n">
        <v>46063</v>
      </c>
      <c r="M1737" s="10" t="n">
        <v>47888</v>
      </c>
    </row>
    <row r="1738" customFormat="false" ht="30" hidden="true" customHeight="true" outlineLevel="0" collapsed="false">
      <c r="A1738" s="4" t="s">
        <v>13</v>
      </c>
      <c r="B1738" s="4" t="s">
        <v>14</v>
      </c>
      <c r="C1738" s="5" t="n">
        <v>1329001704</v>
      </c>
      <c r="D1738" s="6" t="s">
        <v>1806</v>
      </c>
      <c r="E1738" s="6"/>
      <c r="F1738" s="7" t="n">
        <v>46070.2678773148</v>
      </c>
      <c r="G1738" s="7" t="n">
        <v>46070.4335383796</v>
      </c>
      <c r="H1738" s="8" t="n">
        <v>4</v>
      </c>
      <c r="I1738" s="5" t="n">
        <v>400630</v>
      </c>
      <c r="J1738" s="6" t="s">
        <v>772</v>
      </c>
      <c r="K1738" s="5" t="n">
        <v>153000083</v>
      </c>
      <c r="L1738" s="9" t="n">
        <v>46060</v>
      </c>
      <c r="M1738" s="10" t="n">
        <v>47885</v>
      </c>
    </row>
    <row r="1739" customFormat="false" ht="30" hidden="true" customHeight="true" outlineLevel="0" collapsed="false">
      <c r="A1739" s="4" t="s">
        <v>13</v>
      </c>
      <c r="B1739" s="4" t="s">
        <v>14</v>
      </c>
      <c r="C1739" s="5" t="n">
        <v>1329001704</v>
      </c>
      <c r="D1739" s="6" t="s">
        <v>1807</v>
      </c>
      <c r="E1739" s="6"/>
      <c r="F1739" s="7" t="n">
        <v>46070.2678773148</v>
      </c>
      <c r="G1739" s="7" t="n">
        <v>46070.4334203704</v>
      </c>
      <c r="H1739" s="8" t="n">
        <v>4</v>
      </c>
      <c r="I1739" s="5" t="n">
        <v>400483</v>
      </c>
      <c r="J1739" s="6" t="s">
        <v>1803</v>
      </c>
      <c r="K1739" s="5" t="n">
        <v>153000100</v>
      </c>
      <c r="L1739" s="9" t="n">
        <v>46063</v>
      </c>
      <c r="M1739" s="10" t="n">
        <v>47888</v>
      </c>
    </row>
    <row r="1740" customFormat="false" ht="30" hidden="true" customHeight="true" outlineLevel="0" collapsed="false">
      <c r="A1740" s="4" t="s">
        <v>13</v>
      </c>
      <c r="B1740" s="4" t="s">
        <v>14</v>
      </c>
      <c r="C1740" s="5" t="n">
        <v>1329001704</v>
      </c>
      <c r="D1740" s="6" t="s">
        <v>1808</v>
      </c>
      <c r="E1740" s="6"/>
      <c r="F1740" s="7" t="n">
        <v>46070.2678773148</v>
      </c>
      <c r="G1740" s="7" t="n">
        <v>46070.4331035069</v>
      </c>
      <c r="H1740" s="8" t="n">
        <v>4</v>
      </c>
      <c r="I1740" s="5" t="n">
        <v>400483</v>
      </c>
      <c r="J1740" s="6" t="s">
        <v>1803</v>
      </c>
      <c r="K1740" s="5" t="n">
        <v>153000100</v>
      </c>
      <c r="L1740" s="9" t="n">
        <v>46063</v>
      </c>
      <c r="M1740" s="10" t="n">
        <v>47888</v>
      </c>
    </row>
    <row r="1741" customFormat="false" ht="30" hidden="true" customHeight="true" outlineLevel="0" collapsed="false">
      <c r="A1741" s="4" t="s">
        <v>13</v>
      </c>
      <c r="B1741" s="4" t="s">
        <v>14</v>
      </c>
      <c r="C1741" s="5" t="n">
        <v>1329001704</v>
      </c>
      <c r="D1741" s="6" t="s">
        <v>1809</v>
      </c>
      <c r="E1741" s="6"/>
      <c r="F1741" s="7" t="n">
        <v>46070.2678773148</v>
      </c>
      <c r="G1741" s="7" t="n">
        <v>46070.4332976157</v>
      </c>
      <c r="H1741" s="8" t="n">
        <v>4</v>
      </c>
      <c r="I1741" s="5" t="n">
        <v>400630</v>
      </c>
      <c r="J1741" s="6" t="s">
        <v>772</v>
      </c>
      <c r="K1741" s="5" t="n">
        <v>153000083</v>
      </c>
      <c r="L1741" s="9" t="n">
        <v>46060</v>
      </c>
      <c r="M1741" s="10" t="n">
        <v>47885</v>
      </c>
    </row>
    <row r="1742" customFormat="false" ht="30" hidden="true" customHeight="true" outlineLevel="0" collapsed="false">
      <c r="A1742" s="4" t="s">
        <v>13</v>
      </c>
      <c r="B1742" s="4" t="s">
        <v>14</v>
      </c>
      <c r="C1742" s="5" t="n">
        <v>1329001704</v>
      </c>
      <c r="D1742" s="6" t="s">
        <v>1810</v>
      </c>
      <c r="E1742" s="6"/>
      <c r="F1742" s="7" t="n">
        <v>46070.2678773148</v>
      </c>
      <c r="G1742" s="7" t="n">
        <v>46070.4327949884</v>
      </c>
      <c r="H1742" s="8" t="n">
        <v>4</v>
      </c>
      <c r="I1742" s="5" t="n">
        <v>400630</v>
      </c>
      <c r="J1742" s="6" t="s">
        <v>772</v>
      </c>
      <c r="K1742" s="5" t="n">
        <v>153000083</v>
      </c>
      <c r="L1742" s="9" t="n">
        <v>46060</v>
      </c>
      <c r="M1742" s="10" t="n">
        <v>47885</v>
      </c>
    </row>
    <row r="1743" customFormat="false" ht="30" hidden="true" customHeight="true" outlineLevel="0" collapsed="false">
      <c r="A1743" s="4" t="s">
        <v>13</v>
      </c>
      <c r="B1743" s="4" t="s">
        <v>14</v>
      </c>
      <c r="C1743" s="5" t="n">
        <v>1329001704</v>
      </c>
      <c r="D1743" s="6" t="s">
        <v>1811</v>
      </c>
      <c r="E1743" s="6"/>
      <c r="F1743" s="7" t="n">
        <v>46070.2678773148</v>
      </c>
      <c r="G1743" s="7" t="n">
        <v>46070.4329542593</v>
      </c>
      <c r="H1743" s="8" t="n">
        <v>4</v>
      </c>
      <c r="I1743" s="5" t="n">
        <v>400483</v>
      </c>
      <c r="J1743" s="6" t="s">
        <v>1803</v>
      </c>
      <c r="K1743" s="5" t="n">
        <v>153000066</v>
      </c>
      <c r="L1743" s="9" t="n">
        <v>46050</v>
      </c>
      <c r="M1743" s="10" t="n">
        <v>47875</v>
      </c>
    </row>
    <row r="1744" customFormat="false" ht="30" hidden="true" customHeight="true" outlineLevel="0" collapsed="false">
      <c r="A1744" s="4" t="s">
        <v>13</v>
      </c>
      <c r="B1744" s="4" t="s">
        <v>14</v>
      </c>
      <c r="C1744" s="5" t="n">
        <v>1329001704</v>
      </c>
      <c r="D1744" s="6" t="s">
        <v>1812</v>
      </c>
      <c r="E1744" s="6"/>
      <c r="F1744" s="7" t="n">
        <v>46070.2678773148</v>
      </c>
      <c r="G1744" s="7" t="n">
        <v>46070.4323511921</v>
      </c>
      <c r="H1744" s="8" t="n">
        <v>4</v>
      </c>
      <c r="I1744" s="5" t="n">
        <v>400483</v>
      </c>
      <c r="J1744" s="6" t="s">
        <v>1803</v>
      </c>
      <c r="K1744" s="5" t="n">
        <v>153000066</v>
      </c>
      <c r="L1744" s="9" t="n">
        <v>46050</v>
      </c>
      <c r="M1744" s="10" t="n">
        <v>47875</v>
      </c>
    </row>
    <row r="1745" customFormat="false" ht="30" hidden="true" customHeight="true" outlineLevel="0" collapsed="false">
      <c r="A1745" s="4" t="s">
        <v>13</v>
      </c>
      <c r="B1745" s="4" t="s">
        <v>14</v>
      </c>
      <c r="C1745" s="5" t="n">
        <v>1329001704</v>
      </c>
      <c r="D1745" s="6" t="s">
        <v>1813</v>
      </c>
      <c r="E1745" s="6"/>
      <c r="F1745" s="7" t="n">
        <v>46070.2678773148</v>
      </c>
      <c r="G1745" s="7" t="n">
        <v>46070.4324878241</v>
      </c>
      <c r="H1745" s="8" t="n">
        <v>4</v>
      </c>
      <c r="I1745" s="5" t="n">
        <v>400630</v>
      </c>
      <c r="J1745" s="6" t="s">
        <v>772</v>
      </c>
      <c r="K1745" s="5" t="n">
        <v>153000083</v>
      </c>
      <c r="L1745" s="9" t="n">
        <v>46060</v>
      </c>
      <c r="M1745" s="10" t="n">
        <v>47885</v>
      </c>
    </row>
    <row r="1746" customFormat="false" ht="30" hidden="true" customHeight="true" outlineLevel="0" collapsed="false">
      <c r="A1746" s="4" t="s">
        <v>13</v>
      </c>
      <c r="B1746" s="4" t="s">
        <v>14</v>
      </c>
      <c r="C1746" s="5" t="n">
        <v>1329001704</v>
      </c>
      <c r="D1746" s="6" t="s">
        <v>1814</v>
      </c>
      <c r="E1746" s="6"/>
      <c r="F1746" s="7" t="n">
        <v>46070.2678773148</v>
      </c>
      <c r="G1746" s="7" t="n">
        <v>46070.4321428935</v>
      </c>
      <c r="H1746" s="8" t="n">
        <v>4</v>
      </c>
      <c r="I1746" s="5" t="n">
        <v>400630</v>
      </c>
      <c r="J1746" s="6" t="s">
        <v>772</v>
      </c>
      <c r="K1746" s="5" t="n">
        <v>153000083</v>
      </c>
      <c r="L1746" s="9" t="n">
        <v>46060</v>
      </c>
      <c r="M1746" s="10" t="n">
        <v>47885</v>
      </c>
    </row>
    <row r="1747" customFormat="false" ht="30" hidden="true" customHeight="true" outlineLevel="0" collapsed="false">
      <c r="A1747" s="4" t="s">
        <v>13</v>
      </c>
      <c r="B1747" s="4" t="s">
        <v>14</v>
      </c>
      <c r="C1747" s="5" t="n">
        <v>1329001704</v>
      </c>
      <c r="D1747" s="6" t="s">
        <v>1815</v>
      </c>
      <c r="E1747" s="6"/>
      <c r="F1747" s="7" t="n">
        <v>46070.2678773148</v>
      </c>
      <c r="G1747" s="7" t="n">
        <v>46070.4322585532</v>
      </c>
      <c r="H1747" s="8" t="n">
        <v>4</v>
      </c>
      <c r="I1747" s="5" t="n">
        <v>400483</v>
      </c>
      <c r="J1747" s="6" t="s">
        <v>1803</v>
      </c>
      <c r="K1747" s="5" t="n">
        <v>153000066</v>
      </c>
      <c r="L1747" s="9" t="n">
        <v>46050</v>
      </c>
      <c r="M1747" s="10" t="n">
        <v>47875</v>
      </c>
    </row>
    <row r="1748" customFormat="false" ht="30" hidden="true" customHeight="true" outlineLevel="0" collapsed="false">
      <c r="A1748" s="4" t="s">
        <v>13</v>
      </c>
      <c r="B1748" s="4" t="s">
        <v>14</v>
      </c>
      <c r="C1748" s="5" t="n">
        <v>1329001704</v>
      </c>
      <c r="D1748" s="6" t="s">
        <v>1816</v>
      </c>
      <c r="E1748" s="6"/>
      <c r="F1748" s="7" t="n">
        <v>46070.2678773148</v>
      </c>
      <c r="G1748" s="7" t="n">
        <v>46070.4320167824</v>
      </c>
      <c r="H1748" s="8" t="n">
        <v>4</v>
      </c>
      <c r="I1748" s="5" t="n">
        <v>400630</v>
      </c>
      <c r="J1748" s="6" t="s">
        <v>772</v>
      </c>
      <c r="K1748" s="5" t="n">
        <v>153000083</v>
      </c>
      <c r="L1748" s="9" t="n">
        <v>46060</v>
      </c>
      <c r="M1748" s="10" t="n">
        <v>47885</v>
      </c>
    </row>
    <row r="1749" customFormat="false" ht="30" hidden="true" customHeight="true" outlineLevel="0" collapsed="false">
      <c r="A1749" s="4" t="s">
        <v>13</v>
      </c>
      <c r="B1749" s="4" t="s">
        <v>14</v>
      </c>
      <c r="C1749" s="5" t="n">
        <v>1329001704</v>
      </c>
      <c r="D1749" s="6" t="s">
        <v>1817</v>
      </c>
      <c r="E1749" s="6"/>
      <c r="F1749" s="7" t="n">
        <v>46070.2678773148</v>
      </c>
      <c r="G1749" s="7" t="n">
        <v>46070.4316820255</v>
      </c>
      <c r="H1749" s="8" t="n">
        <v>4</v>
      </c>
      <c r="I1749" s="5" t="n">
        <v>400630</v>
      </c>
      <c r="J1749" s="6" t="s">
        <v>772</v>
      </c>
      <c r="K1749" s="5" t="n">
        <v>153000083</v>
      </c>
      <c r="L1749" s="9" t="n">
        <v>46060</v>
      </c>
      <c r="M1749" s="10" t="n">
        <v>47885</v>
      </c>
    </row>
    <row r="1750" customFormat="false" ht="30" hidden="true" customHeight="true" outlineLevel="0" collapsed="false">
      <c r="A1750" s="4" t="s">
        <v>13</v>
      </c>
      <c r="B1750" s="4" t="s">
        <v>14</v>
      </c>
      <c r="C1750" s="5" t="n">
        <v>1329001704</v>
      </c>
      <c r="D1750" s="6" t="s">
        <v>1818</v>
      </c>
      <c r="E1750" s="6"/>
      <c r="F1750" s="7" t="n">
        <v>46070.2678773148</v>
      </c>
      <c r="G1750" s="7" t="n">
        <v>46070.4314750926</v>
      </c>
      <c r="H1750" s="8" t="n">
        <v>4</v>
      </c>
      <c r="I1750" s="5" t="n">
        <v>400630</v>
      </c>
      <c r="J1750" s="6" t="s">
        <v>772</v>
      </c>
      <c r="K1750" s="5" t="n">
        <v>153000083</v>
      </c>
      <c r="L1750" s="9" t="n">
        <v>46060</v>
      </c>
      <c r="M1750" s="10" t="n">
        <v>47885</v>
      </c>
    </row>
    <row r="1751" customFormat="false" ht="30" hidden="true" customHeight="true" outlineLevel="0" collapsed="false">
      <c r="A1751" s="4" t="s">
        <v>13</v>
      </c>
      <c r="B1751" s="4" t="s">
        <v>14</v>
      </c>
      <c r="C1751" s="5" t="n">
        <v>1329001704</v>
      </c>
      <c r="D1751" s="6" t="s">
        <v>1819</v>
      </c>
      <c r="E1751" s="6"/>
      <c r="F1751" s="7" t="n">
        <v>46070.2678773148</v>
      </c>
      <c r="G1751" s="7" t="n">
        <v>46070.431290162</v>
      </c>
      <c r="H1751" s="8" t="n">
        <v>3</v>
      </c>
      <c r="I1751" s="5" t="n">
        <v>400630</v>
      </c>
      <c r="J1751" s="6" t="s">
        <v>772</v>
      </c>
      <c r="K1751" s="5" t="n">
        <v>153000083</v>
      </c>
      <c r="L1751" s="9" t="n">
        <v>46060</v>
      </c>
      <c r="M1751" s="10" t="n">
        <v>47885</v>
      </c>
    </row>
    <row r="1752" customFormat="false" ht="30" hidden="true" customHeight="true" outlineLevel="0" collapsed="false">
      <c r="A1752" s="4" t="s">
        <v>13</v>
      </c>
      <c r="B1752" s="4" t="s">
        <v>14</v>
      </c>
      <c r="C1752" s="5" t="n">
        <v>1329001704</v>
      </c>
      <c r="D1752" s="6" t="s">
        <v>1820</v>
      </c>
      <c r="E1752" s="6"/>
      <c r="F1752" s="7" t="n">
        <v>46070.2678773148</v>
      </c>
      <c r="G1752" s="7" t="n">
        <v>46070.4318450231</v>
      </c>
      <c r="H1752" s="8" t="n">
        <v>4</v>
      </c>
      <c r="I1752" s="5" t="n">
        <v>400483</v>
      </c>
      <c r="J1752" s="6" t="s">
        <v>1803</v>
      </c>
      <c r="K1752" s="5" t="n">
        <v>153000066</v>
      </c>
      <c r="L1752" s="9" t="n">
        <v>46050</v>
      </c>
      <c r="M1752" s="10" t="n">
        <v>47875</v>
      </c>
    </row>
    <row r="1753" customFormat="false" ht="30" hidden="true" customHeight="true" outlineLevel="0" collapsed="false">
      <c r="A1753" s="4" t="s">
        <v>13</v>
      </c>
      <c r="B1753" s="4" t="s">
        <v>14</v>
      </c>
      <c r="C1753" s="5" t="n">
        <v>1329001704</v>
      </c>
      <c r="D1753" s="6" t="s">
        <v>1821</v>
      </c>
      <c r="E1753" s="6"/>
      <c r="F1753" s="7" t="n">
        <v>46070.2678773148</v>
      </c>
      <c r="G1753" s="7" t="n">
        <v>46070.4304592245</v>
      </c>
      <c r="H1753" s="8" t="n">
        <v>3</v>
      </c>
      <c r="I1753" s="5" t="n">
        <v>400483</v>
      </c>
      <c r="J1753" s="6" t="s">
        <v>1803</v>
      </c>
      <c r="K1753" s="5" t="n">
        <v>153000100</v>
      </c>
      <c r="L1753" s="9" t="n">
        <v>46063</v>
      </c>
      <c r="M1753" s="10" t="n">
        <v>47888</v>
      </c>
    </row>
    <row r="1754" customFormat="false" ht="30" hidden="true" customHeight="true" outlineLevel="0" collapsed="false">
      <c r="A1754" s="4" t="s">
        <v>13</v>
      </c>
      <c r="B1754" s="4" t="s">
        <v>14</v>
      </c>
      <c r="C1754" s="5" t="n">
        <v>1329001704</v>
      </c>
      <c r="D1754" s="6" t="s">
        <v>1822</v>
      </c>
      <c r="E1754" s="6"/>
      <c r="F1754" s="7" t="n">
        <v>46070.2678773148</v>
      </c>
      <c r="G1754" s="7" t="n">
        <v>46070.4297441204</v>
      </c>
      <c r="H1754" s="8" t="n">
        <v>4</v>
      </c>
      <c r="I1754" s="5" t="n">
        <v>400630</v>
      </c>
      <c r="J1754" s="6" t="s">
        <v>772</v>
      </c>
      <c r="K1754" s="5" t="n">
        <v>153000083</v>
      </c>
      <c r="L1754" s="9" t="n">
        <v>46060</v>
      </c>
      <c r="M1754" s="10" t="n">
        <v>47885</v>
      </c>
    </row>
    <row r="1755" customFormat="false" ht="30" hidden="true" customHeight="true" outlineLevel="0" collapsed="false">
      <c r="A1755" s="4" t="s">
        <v>13</v>
      </c>
      <c r="B1755" s="4" t="s">
        <v>14</v>
      </c>
      <c r="C1755" s="5" t="n">
        <v>1329001704</v>
      </c>
      <c r="D1755" s="6" t="s">
        <v>1823</v>
      </c>
      <c r="E1755" s="6"/>
      <c r="F1755" s="7" t="n">
        <v>46070.2678773148</v>
      </c>
      <c r="G1755" s="7" t="n">
        <v>46070.430115</v>
      </c>
      <c r="H1755" s="8" t="n">
        <v>4</v>
      </c>
      <c r="I1755" s="5" t="n">
        <v>400483</v>
      </c>
      <c r="J1755" s="6" t="s">
        <v>1803</v>
      </c>
      <c r="K1755" s="5" t="n">
        <v>153000066</v>
      </c>
      <c r="L1755" s="9" t="n">
        <v>46050</v>
      </c>
      <c r="M1755" s="10" t="n">
        <v>47875</v>
      </c>
    </row>
    <row r="1756" customFormat="false" ht="30" hidden="false" customHeight="true" outlineLevel="0" collapsed="false">
      <c r="A1756" s="4" t="s">
        <v>1400</v>
      </c>
      <c r="B1756" s="4" t="s">
        <v>14</v>
      </c>
      <c r="C1756" s="5" t="n">
        <v>1329001688</v>
      </c>
      <c r="D1756" s="6" t="s">
        <v>1824</v>
      </c>
      <c r="E1756" s="6"/>
      <c r="F1756" s="7" t="n">
        <v>46070.4363028241</v>
      </c>
      <c r="G1756" s="7" t="n">
        <v>46070.4402462616</v>
      </c>
      <c r="H1756" s="8" t="n">
        <v>52</v>
      </c>
      <c r="I1756" s="5" t="n">
        <v>401116</v>
      </c>
      <c r="J1756" s="6" t="s">
        <v>1825</v>
      </c>
      <c r="K1756" s="5" t="n">
        <v>100011242</v>
      </c>
      <c r="L1756" s="9" t="n">
        <v>46021</v>
      </c>
      <c r="M1756" s="10" t="n">
        <v>47846</v>
      </c>
    </row>
    <row r="1757" customFormat="false" ht="30" hidden="false" customHeight="true" outlineLevel="0" collapsed="false">
      <c r="A1757" s="4" t="s">
        <v>1400</v>
      </c>
      <c r="B1757" s="4" t="s">
        <v>14</v>
      </c>
      <c r="C1757" s="5" t="n">
        <v>1329001688</v>
      </c>
      <c r="D1757" s="6" t="s">
        <v>1826</v>
      </c>
      <c r="E1757" s="6"/>
      <c r="F1757" s="7" t="n">
        <v>46070.4363028241</v>
      </c>
      <c r="G1757" s="7" t="n">
        <v>46070.4388841088</v>
      </c>
      <c r="H1757" s="8" t="n">
        <v>18</v>
      </c>
      <c r="I1757" s="5" t="n">
        <v>400919</v>
      </c>
      <c r="J1757" s="6" t="s">
        <v>420</v>
      </c>
      <c r="K1757" s="5" t="n">
        <v>100011193</v>
      </c>
      <c r="L1757" s="9"/>
      <c r="M1757" s="10" t="n">
        <v>47841</v>
      </c>
    </row>
    <row r="1758" customFormat="false" ht="30" hidden="false" customHeight="true" outlineLevel="0" collapsed="false">
      <c r="A1758" s="4" t="s">
        <v>1400</v>
      </c>
      <c r="B1758" s="4" t="s">
        <v>14</v>
      </c>
      <c r="C1758" s="5" t="n">
        <v>1329001688</v>
      </c>
      <c r="D1758" s="6" t="s">
        <v>1827</v>
      </c>
      <c r="E1758" s="6"/>
      <c r="F1758" s="7" t="n">
        <v>46070.4363028241</v>
      </c>
      <c r="G1758" s="7" t="n">
        <v>46070.442087419</v>
      </c>
      <c r="H1758" s="8" t="n">
        <v>18</v>
      </c>
      <c r="I1758" s="5" t="n">
        <v>400919</v>
      </c>
      <c r="J1758" s="6" t="s">
        <v>420</v>
      </c>
      <c r="K1758" s="5" t="n">
        <v>100011193</v>
      </c>
      <c r="L1758" s="9"/>
      <c r="M1758" s="10" t="n">
        <v>47841</v>
      </c>
    </row>
    <row r="1759" customFormat="false" ht="30" hidden="false" customHeight="true" outlineLevel="0" collapsed="false">
      <c r="A1759" s="4" t="s">
        <v>1400</v>
      </c>
      <c r="B1759" s="4" t="s">
        <v>14</v>
      </c>
      <c r="C1759" s="5" t="n">
        <v>1329001688</v>
      </c>
      <c r="D1759" s="6" t="s">
        <v>1828</v>
      </c>
      <c r="E1759" s="6"/>
      <c r="F1759" s="7" t="n">
        <v>46070.4363028241</v>
      </c>
      <c r="G1759" s="7" t="n">
        <v>46070.4418260995</v>
      </c>
      <c r="H1759" s="8" t="n">
        <v>18</v>
      </c>
      <c r="I1759" s="5" t="n">
        <v>400919</v>
      </c>
      <c r="J1759" s="6" t="s">
        <v>420</v>
      </c>
      <c r="K1759" s="5" t="n">
        <v>100011193</v>
      </c>
      <c r="L1759" s="9"/>
      <c r="M1759" s="10" t="n">
        <v>47841</v>
      </c>
    </row>
    <row r="1760" customFormat="false" ht="30" hidden="false" customHeight="true" outlineLevel="0" collapsed="false">
      <c r="A1760" s="4" t="s">
        <v>1400</v>
      </c>
      <c r="B1760" s="4" t="s">
        <v>14</v>
      </c>
      <c r="C1760" s="5" t="n">
        <v>1329001688</v>
      </c>
      <c r="D1760" s="6" t="s">
        <v>1829</v>
      </c>
      <c r="E1760" s="6"/>
      <c r="F1760" s="7" t="n">
        <v>46070.4363028241</v>
      </c>
      <c r="G1760" s="7" t="n">
        <v>46070.4414548958</v>
      </c>
      <c r="H1760" s="8" t="n">
        <v>18</v>
      </c>
      <c r="I1760" s="5" t="n">
        <v>400919</v>
      </c>
      <c r="J1760" s="6" t="s">
        <v>420</v>
      </c>
      <c r="K1760" s="5" t="n">
        <v>100011193</v>
      </c>
      <c r="L1760" s="9"/>
      <c r="M1760" s="10" t="n">
        <v>47841</v>
      </c>
    </row>
    <row r="1761" customFormat="false" ht="30" hidden="false" customHeight="true" outlineLevel="0" collapsed="false">
      <c r="A1761" s="4" t="s">
        <v>1400</v>
      </c>
      <c r="B1761" s="4" t="s">
        <v>14</v>
      </c>
      <c r="C1761" s="5" t="n">
        <v>1329001688</v>
      </c>
      <c r="D1761" s="6" t="s">
        <v>1830</v>
      </c>
      <c r="E1761" s="6"/>
      <c r="F1761" s="7" t="n">
        <v>46070.4363028241</v>
      </c>
      <c r="G1761" s="7" t="n">
        <v>46070.4391882755</v>
      </c>
      <c r="H1761" s="8" t="n">
        <v>18</v>
      </c>
      <c r="I1761" s="5" t="n">
        <v>400919</v>
      </c>
      <c r="J1761" s="6" t="s">
        <v>420</v>
      </c>
      <c r="K1761" s="5" t="n">
        <v>100011193</v>
      </c>
      <c r="L1761" s="9"/>
      <c r="M1761" s="10" t="n">
        <v>47841</v>
      </c>
    </row>
    <row r="1762" customFormat="false" ht="30" hidden="false" customHeight="true" outlineLevel="0" collapsed="false">
      <c r="A1762" s="4" t="s">
        <v>1400</v>
      </c>
      <c r="B1762" s="4" t="s">
        <v>14</v>
      </c>
      <c r="C1762" s="5" t="n">
        <v>1329001688</v>
      </c>
      <c r="D1762" s="6" t="s">
        <v>1831</v>
      </c>
      <c r="E1762" s="6"/>
      <c r="F1762" s="7" t="n">
        <v>46070.4363028241</v>
      </c>
      <c r="G1762" s="7" t="n">
        <v>46070.4440590162</v>
      </c>
      <c r="H1762" s="8" t="n">
        <v>4</v>
      </c>
      <c r="I1762" s="5" t="n">
        <v>400535</v>
      </c>
      <c r="J1762" s="6" t="s">
        <v>1312</v>
      </c>
      <c r="K1762" s="5" t="n">
        <v>100011088</v>
      </c>
      <c r="L1762" s="9" t="n">
        <v>46006</v>
      </c>
      <c r="M1762" s="10" t="n">
        <v>47831</v>
      </c>
    </row>
    <row r="1763" customFormat="false" ht="30" hidden="false" customHeight="true" outlineLevel="0" collapsed="false">
      <c r="A1763" s="4" t="s">
        <v>1400</v>
      </c>
      <c r="B1763" s="4" t="s">
        <v>14</v>
      </c>
      <c r="C1763" s="5" t="n">
        <v>1329001688</v>
      </c>
      <c r="D1763" s="6" t="s">
        <v>1832</v>
      </c>
      <c r="E1763" s="6"/>
      <c r="F1763" s="7" t="n">
        <v>46070.4363028241</v>
      </c>
      <c r="G1763" s="7" t="n">
        <v>46070.4446840278</v>
      </c>
      <c r="H1763" s="8" t="n">
        <v>4</v>
      </c>
      <c r="I1763" s="5" t="n">
        <v>400411</v>
      </c>
      <c r="J1763" s="6" t="s">
        <v>1217</v>
      </c>
      <c r="K1763" s="5" t="n">
        <v>153000011</v>
      </c>
      <c r="L1763" s="9" t="n">
        <v>46033</v>
      </c>
      <c r="M1763" s="10" t="n">
        <v>47858</v>
      </c>
    </row>
    <row r="1764" customFormat="false" ht="30" hidden="false" customHeight="true" outlineLevel="0" collapsed="false">
      <c r="A1764" s="4" t="s">
        <v>1400</v>
      </c>
      <c r="B1764" s="4" t="s">
        <v>14</v>
      </c>
      <c r="C1764" s="5" t="n">
        <v>1329001688</v>
      </c>
      <c r="D1764" s="6" t="s">
        <v>1833</v>
      </c>
      <c r="E1764" s="6"/>
      <c r="F1764" s="7" t="n">
        <v>46070.4363028241</v>
      </c>
      <c r="G1764" s="7" t="n">
        <v>46070.4398756944</v>
      </c>
      <c r="H1764" s="8" t="n">
        <v>52</v>
      </c>
      <c r="I1764" s="5" t="n">
        <v>401116</v>
      </c>
      <c r="J1764" s="6" t="s">
        <v>1825</v>
      </c>
      <c r="K1764" s="5" t="n">
        <v>100011242</v>
      </c>
      <c r="L1764" s="9" t="n">
        <v>46021</v>
      </c>
      <c r="M1764" s="10" t="n">
        <v>47846</v>
      </c>
    </row>
    <row r="1765" customFormat="false" ht="30" hidden="false" customHeight="true" outlineLevel="0" collapsed="false">
      <c r="A1765" s="4" t="s">
        <v>1400</v>
      </c>
      <c r="B1765" s="4" t="s">
        <v>14</v>
      </c>
      <c r="C1765" s="5" t="n">
        <v>1329001688</v>
      </c>
      <c r="D1765" s="6" t="s">
        <v>1834</v>
      </c>
      <c r="E1765" s="6"/>
      <c r="F1765" s="7" t="n">
        <v>46070.4363028241</v>
      </c>
      <c r="G1765" s="7" t="n">
        <v>46070.4408257755</v>
      </c>
      <c r="H1765" s="8" t="n">
        <v>52</v>
      </c>
      <c r="I1765" s="5" t="n">
        <v>401119</v>
      </c>
      <c r="J1765" s="6" t="s">
        <v>1213</v>
      </c>
      <c r="K1765" s="5" t="n">
        <v>100011164</v>
      </c>
      <c r="L1765" s="9" t="n">
        <v>46014</v>
      </c>
      <c r="M1765" s="10" t="n">
        <v>47839</v>
      </c>
    </row>
    <row r="1766" customFormat="false" ht="30" hidden="false" customHeight="true" outlineLevel="0" collapsed="false">
      <c r="A1766" s="4" t="s">
        <v>1400</v>
      </c>
      <c r="B1766" s="4" t="s">
        <v>14</v>
      </c>
      <c r="C1766" s="5" t="n">
        <v>1329001688</v>
      </c>
      <c r="D1766" s="6" t="s">
        <v>1835</v>
      </c>
      <c r="E1766" s="6"/>
      <c r="F1766" s="7" t="n">
        <v>46070.4363028241</v>
      </c>
      <c r="G1766" s="7" t="n">
        <v>46070.4478966667</v>
      </c>
      <c r="H1766" s="8" t="n">
        <v>4</v>
      </c>
      <c r="I1766" s="5" t="n">
        <v>400411</v>
      </c>
      <c r="J1766" s="6" t="s">
        <v>1217</v>
      </c>
      <c r="K1766" s="5" t="n">
        <v>153000011</v>
      </c>
      <c r="L1766" s="9" t="n">
        <v>46033</v>
      </c>
      <c r="M1766" s="10" t="n">
        <v>47858</v>
      </c>
    </row>
    <row r="1767" customFormat="false" ht="30" hidden="false" customHeight="true" outlineLevel="0" collapsed="false">
      <c r="A1767" s="4" t="s">
        <v>1400</v>
      </c>
      <c r="B1767" s="4" t="s">
        <v>14</v>
      </c>
      <c r="C1767" s="5" t="n">
        <v>1329001688</v>
      </c>
      <c r="D1767" s="6" t="s">
        <v>1836</v>
      </c>
      <c r="E1767" s="6"/>
      <c r="F1767" s="7" t="n">
        <v>46070.4363028241</v>
      </c>
      <c r="G1767" s="7" t="n">
        <v>46070.4477250694</v>
      </c>
      <c r="H1767" s="8" t="n">
        <v>4</v>
      </c>
      <c r="I1767" s="5" t="n">
        <v>400411</v>
      </c>
      <c r="J1767" s="6" t="s">
        <v>1217</v>
      </c>
      <c r="K1767" s="5" t="n">
        <v>153000011</v>
      </c>
      <c r="L1767" s="9" t="n">
        <v>46033</v>
      </c>
      <c r="M1767" s="10" t="n">
        <v>47858</v>
      </c>
    </row>
    <row r="1768" customFormat="false" ht="30" hidden="false" customHeight="true" outlineLevel="0" collapsed="false">
      <c r="A1768" s="4" t="s">
        <v>1400</v>
      </c>
      <c r="B1768" s="4" t="s">
        <v>14</v>
      </c>
      <c r="C1768" s="5" t="n">
        <v>1329001688</v>
      </c>
      <c r="D1768" s="6" t="s">
        <v>1837</v>
      </c>
      <c r="E1768" s="6"/>
      <c r="F1768" s="7" t="n">
        <v>46070.4363028241</v>
      </c>
      <c r="G1768" s="7" t="n">
        <v>46070.4473449306</v>
      </c>
      <c r="H1768" s="8" t="n">
        <v>4</v>
      </c>
      <c r="I1768" s="5" t="n">
        <v>400535</v>
      </c>
      <c r="J1768" s="6" t="s">
        <v>1312</v>
      </c>
      <c r="K1768" s="5" t="n">
        <v>100011088</v>
      </c>
      <c r="L1768" s="9" t="n">
        <v>46006</v>
      </c>
      <c r="M1768" s="10" t="n">
        <v>47831</v>
      </c>
    </row>
    <row r="1769" customFormat="false" ht="30" hidden="false" customHeight="true" outlineLevel="0" collapsed="false">
      <c r="A1769" s="4" t="s">
        <v>1400</v>
      </c>
      <c r="B1769" s="4" t="s">
        <v>14</v>
      </c>
      <c r="C1769" s="5" t="n">
        <v>1329001688</v>
      </c>
      <c r="D1769" s="6" t="s">
        <v>1838</v>
      </c>
      <c r="E1769" s="6"/>
      <c r="F1769" s="7" t="n">
        <v>46070.4363028241</v>
      </c>
      <c r="G1769" s="7" t="n">
        <v>46070.4471759491</v>
      </c>
      <c r="H1769" s="8" t="n">
        <v>4</v>
      </c>
      <c r="I1769" s="5" t="n">
        <v>400535</v>
      </c>
      <c r="J1769" s="6" t="s">
        <v>1312</v>
      </c>
      <c r="K1769" s="5" t="n">
        <v>100011088</v>
      </c>
      <c r="L1769" s="9" t="n">
        <v>46006</v>
      </c>
      <c r="M1769" s="10" t="n">
        <v>47831</v>
      </c>
    </row>
    <row r="1770" customFormat="false" ht="30" hidden="false" customHeight="true" outlineLevel="0" collapsed="false">
      <c r="A1770" s="4" t="s">
        <v>1400</v>
      </c>
      <c r="B1770" s="4" t="s">
        <v>14</v>
      </c>
      <c r="C1770" s="5" t="n">
        <v>1329001688</v>
      </c>
      <c r="D1770" s="6" t="s">
        <v>1839</v>
      </c>
      <c r="E1770" s="6"/>
      <c r="F1770" s="7" t="n">
        <v>46070.4363028241</v>
      </c>
      <c r="G1770" s="7" t="n">
        <v>46070.4475377778</v>
      </c>
      <c r="H1770" s="8" t="n">
        <v>4</v>
      </c>
      <c r="I1770" s="5" t="n">
        <v>400411</v>
      </c>
      <c r="J1770" s="6" t="s">
        <v>1217</v>
      </c>
      <c r="K1770" s="5" t="n">
        <v>153000011</v>
      </c>
      <c r="L1770" s="9" t="n">
        <v>46033</v>
      </c>
      <c r="M1770" s="10" t="n">
        <v>47858</v>
      </c>
    </row>
    <row r="1771" customFormat="false" ht="30" hidden="false" customHeight="true" outlineLevel="0" collapsed="false">
      <c r="A1771" s="4" t="s">
        <v>1400</v>
      </c>
      <c r="B1771" s="4" t="s">
        <v>14</v>
      </c>
      <c r="C1771" s="5" t="n">
        <v>1329001688</v>
      </c>
      <c r="D1771" s="6" t="s">
        <v>1840</v>
      </c>
      <c r="E1771" s="6"/>
      <c r="F1771" s="7" t="n">
        <v>46070.4363028241</v>
      </c>
      <c r="G1771" s="7" t="n">
        <v>46070.4451668171</v>
      </c>
      <c r="H1771" s="8" t="n">
        <v>4</v>
      </c>
      <c r="I1771" s="5" t="n">
        <v>400411</v>
      </c>
      <c r="J1771" s="6" t="s">
        <v>1217</v>
      </c>
      <c r="K1771" s="5" t="n">
        <v>153000011</v>
      </c>
      <c r="L1771" s="9" t="n">
        <v>46033</v>
      </c>
      <c r="M1771" s="10" t="n">
        <v>47858</v>
      </c>
    </row>
    <row r="1772" customFormat="false" ht="30" hidden="false" customHeight="true" outlineLevel="0" collapsed="false">
      <c r="A1772" s="4" t="s">
        <v>1400</v>
      </c>
      <c r="B1772" s="4" t="s">
        <v>14</v>
      </c>
      <c r="C1772" s="5" t="n">
        <v>1329001688</v>
      </c>
      <c r="D1772" s="6" t="s">
        <v>1841</v>
      </c>
      <c r="E1772" s="6"/>
      <c r="F1772" s="7" t="n">
        <v>46070.4363028241</v>
      </c>
      <c r="G1772" s="7" t="n">
        <v>46070.4448962847</v>
      </c>
      <c r="H1772" s="8" t="n">
        <v>4</v>
      </c>
      <c r="I1772" s="5" t="n">
        <v>400411</v>
      </c>
      <c r="J1772" s="6" t="s">
        <v>1217</v>
      </c>
      <c r="K1772" s="5" t="n">
        <v>153000011</v>
      </c>
      <c r="L1772" s="9" t="n">
        <v>46033</v>
      </c>
      <c r="M1772" s="10" t="n">
        <v>47858</v>
      </c>
    </row>
    <row r="1773" customFormat="false" ht="30" hidden="false" customHeight="true" outlineLevel="0" collapsed="false">
      <c r="A1773" s="4" t="s">
        <v>1400</v>
      </c>
      <c r="B1773" s="4" t="s">
        <v>14</v>
      </c>
      <c r="C1773" s="5" t="n">
        <v>1329001688</v>
      </c>
      <c r="D1773" s="6" t="s">
        <v>1842</v>
      </c>
      <c r="E1773" s="6"/>
      <c r="F1773" s="7" t="n">
        <v>46070.4363028241</v>
      </c>
      <c r="G1773" s="7" t="n">
        <v>46070.4453791088</v>
      </c>
      <c r="H1773" s="8" t="n">
        <v>4</v>
      </c>
      <c r="I1773" s="5" t="n">
        <v>400535</v>
      </c>
      <c r="J1773" s="6" t="s">
        <v>1312</v>
      </c>
      <c r="K1773" s="5" t="n">
        <v>100011088</v>
      </c>
      <c r="L1773" s="9" t="n">
        <v>46006</v>
      </c>
      <c r="M1773" s="10" t="n">
        <v>47831</v>
      </c>
    </row>
    <row r="1774" customFormat="false" ht="30" hidden="false" customHeight="true" outlineLevel="0" collapsed="false">
      <c r="A1774" s="4" t="s">
        <v>1400</v>
      </c>
      <c r="B1774" s="4" t="s">
        <v>14</v>
      </c>
      <c r="C1774" s="5" t="n">
        <v>1329001688</v>
      </c>
      <c r="D1774" s="6" t="s">
        <v>1843</v>
      </c>
      <c r="E1774" s="6"/>
      <c r="F1774" s="7" t="n">
        <v>46070.4363028241</v>
      </c>
      <c r="G1774" s="7" t="n">
        <v>46070.4442805787</v>
      </c>
      <c r="H1774" s="8" t="n">
        <v>4</v>
      </c>
      <c r="I1774" s="5" t="n">
        <v>400535</v>
      </c>
      <c r="J1774" s="6" t="s">
        <v>1312</v>
      </c>
      <c r="K1774" s="5" t="n">
        <v>100011088</v>
      </c>
      <c r="L1774" s="9" t="n">
        <v>46006</v>
      </c>
      <c r="M1774" s="10" t="n">
        <v>47831</v>
      </c>
    </row>
    <row r="1775" customFormat="false" ht="30" hidden="false" customHeight="true" outlineLevel="0" collapsed="false">
      <c r="A1775" s="4" t="s">
        <v>1400</v>
      </c>
      <c r="B1775" s="4" t="s">
        <v>14</v>
      </c>
      <c r="C1775" s="5" t="n">
        <v>1329001688</v>
      </c>
      <c r="D1775" s="6" t="s">
        <v>1844</v>
      </c>
      <c r="E1775" s="6"/>
      <c r="F1775" s="7" t="n">
        <v>46070.4363028241</v>
      </c>
      <c r="G1775" s="7" t="n">
        <v>46070.4437429745</v>
      </c>
      <c r="H1775" s="8" t="n">
        <v>52</v>
      </c>
      <c r="I1775" s="5" t="n">
        <v>401119</v>
      </c>
      <c r="J1775" s="6" t="s">
        <v>1213</v>
      </c>
      <c r="K1775" s="5" t="n">
        <v>100011164</v>
      </c>
      <c r="L1775" s="9" t="n">
        <v>46014</v>
      </c>
      <c r="M1775" s="10" t="n">
        <v>47839</v>
      </c>
    </row>
    <row r="1776" customFormat="false" ht="30" hidden="false" customHeight="true" outlineLevel="0" collapsed="false">
      <c r="A1776" s="4" t="s">
        <v>1400</v>
      </c>
      <c r="B1776" s="4" t="s">
        <v>14</v>
      </c>
      <c r="C1776" s="5" t="n">
        <v>1329001688</v>
      </c>
      <c r="D1776" s="6" t="s">
        <v>1845</v>
      </c>
      <c r="E1776" s="6"/>
      <c r="F1776" s="7" t="n">
        <v>46070.4363028241</v>
      </c>
      <c r="G1776" s="7" t="n">
        <v>46070.4433496875</v>
      </c>
      <c r="H1776" s="8" t="n">
        <v>52</v>
      </c>
      <c r="I1776" s="5" t="n">
        <v>401116</v>
      </c>
      <c r="J1776" s="6" t="s">
        <v>1825</v>
      </c>
      <c r="K1776" s="5" t="n">
        <v>100011242</v>
      </c>
      <c r="L1776" s="9" t="n">
        <v>46021</v>
      </c>
      <c r="M1776" s="10" t="n">
        <v>47846</v>
      </c>
    </row>
    <row r="1777" customFormat="false" ht="30" hidden="false" customHeight="true" outlineLevel="0" collapsed="false">
      <c r="A1777" s="4" t="s">
        <v>1400</v>
      </c>
      <c r="B1777" s="4" t="s">
        <v>14</v>
      </c>
      <c r="C1777" s="5" t="n">
        <v>1329001688</v>
      </c>
      <c r="D1777" s="6" t="s">
        <v>1846</v>
      </c>
      <c r="E1777" s="6"/>
      <c r="F1777" s="7" t="n">
        <v>46070.4363028241</v>
      </c>
      <c r="G1777" s="7" t="n">
        <v>46070.4431419097</v>
      </c>
      <c r="H1777" s="8" t="n">
        <v>52</v>
      </c>
      <c r="I1777" s="5" t="n">
        <v>401116</v>
      </c>
      <c r="J1777" s="6" t="s">
        <v>1825</v>
      </c>
      <c r="K1777" s="5" t="n">
        <v>100011242</v>
      </c>
      <c r="L1777" s="9" t="n">
        <v>46021</v>
      </c>
      <c r="M1777" s="10" t="n">
        <v>47846</v>
      </c>
    </row>
    <row r="1778" customFormat="false" ht="30" hidden="false" customHeight="true" outlineLevel="0" collapsed="false">
      <c r="A1778" s="4" t="s">
        <v>1400</v>
      </c>
      <c r="B1778" s="4" t="s">
        <v>14</v>
      </c>
      <c r="C1778" s="5" t="n">
        <v>1329001688</v>
      </c>
      <c r="D1778" s="6" t="s">
        <v>1847</v>
      </c>
      <c r="E1778" s="6"/>
      <c r="F1778" s="7" t="n">
        <v>46070.4363028241</v>
      </c>
      <c r="G1778" s="7" t="n">
        <v>46070.4426795486</v>
      </c>
      <c r="H1778" s="8" t="n">
        <v>18</v>
      </c>
      <c r="I1778" s="5" t="n">
        <v>400919</v>
      </c>
      <c r="J1778" s="6" t="s">
        <v>420</v>
      </c>
      <c r="K1778" s="5" t="n">
        <v>100011193</v>
      </c>
      <c r="L1778" s="9" t="n">
        <v>46016</v>
      </c>
      <c r="M1778" s="10" t="n">
        <v>47841</v>
      </c>
    </row>
    <row r="1779" customFormat="false" ht="30" hidden="false" customHeight="true" outlineLevel="0" collapsed="false">
      <c r="A1779" s="4" t="s">
        <v>1400</v>
      </c>
      <c r="B1779" s="4" t="s">
        <v>14</v>
      </c>
      <c r="C1779" s="5" t="n">
        <v>1329001688</v>
      </c>
      <c r="D1779" s="6" t="s">
        <v>1848</v>
      </c>
      <c r="E1779" s="6"/>
      <c r="F1779" s="7" t="n">
        <v>46070.4363028241</v>
      </c>
      <c r="G1779" s="7" t="n">
        <v>46070.4424886574</v>
      </c>
      <c r="H1779" s="8" t="n">
        <v>18</v>
      </c>
      <c r="I1779" s="5" t="n">
        <v>400919</v>
      </c>
      <c r="J1779" s="6" t="s">
        <v>420</v>
      </c>
      <c r="K1779" s="5" t="n">
        <v>100011193</v>
      </c>
      <c r="L1779" s="9" t="n">
        <v>46016</v>
      </c>
      <c r="M1779" s="10" t="n">
        <v>47841</v>
      </c>
    </row>
    <row r="1780" customFormat="false" ht="30" hidden="false" customHeight="true" outlineLevel="0" collapsed="false">
      <c r="A1780" s="4" t="s">
        <v>1400</v>
      </c>
      <c r="B1780" s="4" t="s">
        <v>14</v>
      </c>
      <c r="C1780" s="5" t="n">
        <v>1329001688</v>
      </c>
      <c r="D1780" s="6" t="s">
        <v>1849</v>
      </c>
      <c r="E1780" s="6"/>
      <c r="F1780" s="7" t="n">
        <v>46070.4363028241</v>
      </c>
      <c r="G1780" s="7" t="n">
        <v>46070.4422981944</v>
      </c>
      <c r="H1780" s="8" t="n">
        <v>18</v>
      </c>
      <c r="I1780" s="5" t="n">
        <v>400919</v>
      </c>
      <c r="J1780" s="6" t="s">
        <v>420</v>
      </c>
      <c r="K1780" s="5" t="n">
        <v>100011193</v>
      </c>
      <c r="L1780" s="9" t="n">
        <v>46016</v>
      </c>
      <c r="M1780" s="10" t="n">
        <v>47841</v>
      </c>
    </row>
    <row r="1781" customFormat="false" ht="30" hidden="false" customHeight="true" outlineLevel="0" collapsed="false">
      <c r="A1781" s="4" t="s">
        <v>1400</v>
      </c>
      <c r="B1781" s="4" t="s">
        <v>14</v>
      </c>
      <c r="C1781" s="5" t="n">
        <v>1329001688</v>
      </c>
      <c r="D1781" s="6" t="s">
        <v>1850</v>
      </c>
      <c r="E1781" s="6"/>
      <c r="F1781" s="7" t="n">
        <v>46070.4363028241</v>
      </c>
      <c r="G1781" s="7" t="n">
        <v>46070.4435389236</v>
      </c>
      <c r="H1781" s="8" t="n">
        <v>52</v>
      </c>
      <c r="I1781" s="5" t="n">
        <v>401119</v>
      </c>
      <c r="J1781" s="6" t="s">
        <v>1213</v>
      </c>
      <c r="K1781" s="5" t="n">
        <v>100011164</v>
      </c>
      <c r="L1781" s="9" t="n">
        <v>46014</v>
      </c>
      <c r="M1781" s="10" t="n">
        <v>47839</v>
      </c>
    </row>
    <row r="1782" customFormat="false" ht="30" hidden="false" customHeight="true" outlineLevel="0" collapsed="false">
      <c r="A1782" s="4" t="s">
        <v>1400</v>
      </c>
      <c r="B1782" s="4" t="s">
        <v>14</v>
      </c>
      <c r="C1782" s="5" t="n">
        <v>1329001688</v>
      </c>
      <c r="D1782" s="6" t="s">
        <v>1851</v>
      </c>
      <c r="E1782" s="6"/>
      <c r="F1782" s="7" t="n">
        <v>46070.4363028241</v>
      </c>
      <c r="G1782" s="7" t="n">
        <v>46070.4411311806</v>
      </c>
      <c r="H1782" s="8" t="n">
        <v>52</v>
      </c>
      <c r="I1782" s="5" t="n">
        <v>401119</v>
      </c>
      <c r="J1782" s="6" t="s">
        <v>1213</v>
      </c>
      <c r="K1782" s="5" t="n">
        <v>100011164</v>
      </c>
      <c r="L1782" s="9" t="n">
        <v>46014</v>
      </c>
      <c r="M1782" s="10" t="n">
        <v>47839</v>
      </c>
    </row>
    <row r="1783" customFormat="false" ht="30" hidden="false" customHeight="true" outlineLevel="0" collapsed="false">
      <c r="A1783" s="4" t="s">
        <v>1400</v>
      </c>
      <c r="B1783" s="4" t="s">
        <v>14</v>
      </c>
      <c r="C1783" s="5" t="n">
        <v>1329001688</v>
      </c>
      <c r="D1783" s="6" t="s">
        <v>1852</v>
      </c>
      <c r="E1783" s="6"/>
      <c r="F1783" s="7" t="n">
        <v>46070.4363028241</v>
      </c>
      <c r="G1783" s="7" t="n">
        <v>46070.4429304051</v>
      </c>
      <c r="H1783" s="8" t="n">
        <v>52</v>
      </c>
      <c r="I1783" s="5" t="n">
        <v>401116</v>
      </c>
      <c r="J1783" s="6" t="s">
        <v>1825</v>
      </c>
      <c r="K1783" s="5" t="n">
        <v>100011242</v>
      </c>
      <c r="L1783" s="9" t="n">
        <v>46021</v>
      </c>
      <c r="M1783" s="10" t="n">
        <v>47846</v>
      </c>
    </row>
    <row r="1784" customFormat="false" ht="30" hidden="false" customHeight="true" outlineLevel="0" collapsed="false">
      <c r="A1784" s="4" t="s">
        <v>1400</v>
      </c>
      <c r="B1784" s="4" t="s">
        <v>14</v>
      </c>
      <c r="C1784" s="5" t="n">
        <v>1329001697</v>
      </c>
      <c r="D1784" s="6" t="s">
        <v>1853</v>
      </c>
      <c r="E1784" s="6"/>
      <c r="F1784" s="7" t="n">
        <v>46071.4786432407</v>
      </c>
      <c r="G1784" s="7" t="n">
        <v>46071.4956561343</v>
      </c>
      <c r="H1784" s="8" t="n">
        <v>3</v>
      </c>
      <c r="I1784" s="5" t="n">
        <v>400567</v>
      </c>
      <c r="J1784" s="6" t="s">
        <v>1402</v>
      </c>
      <c r="K1784" s="5" t="n">
        <v>100010064</v>
      </c>
      <c r="L1784" s="9" t="n">
        <v>45914</v>
      </c>
      <c r="M1784" s="10" t="n">
        <v>47739</v>
      </c>
    </row>
    <row r="1785" customFormat="false" ht="30" hidden="false" customHeight="true" outlineLevel="0" collapsed="false">
      <c r="A1785" s="4" t="s">
        <v>1400</v>
      </c>
      <c r="B1785" s="4" t="s">
        <v>14</v>
      </c>
      <c r="C1785" s="5" t="n">
        <v>1329001697</v>
      </c>
      <c r="D1785" s="6" t="s">
        <v>1854</v>
      </c>
      <c r="E1785" s="6"/>
      <c r="F1785" s="7" t="n">
        <v>46071.4786432407</v>
      </c>
      <c r="G1785" s="7" t="n">
        <v>46071.496199294</v>
      </c>
      <c r="H1785" s="8" t="n">
        <v>2</v>
      </c>
      <c r="I1785" s="5" t="n">
        <v>400567</v>
      </c>
      <c r="J1785" s="6" t="s">
        <v>1402</v>
      </c>
      <c r="K1785" s="5" t="n">
        <v>100010064</v>
      </c>
      <c r="L1785" s="9" t="n">
        <v>45914</v>
      </c>
      <c r="M1785" s="10" t="n">
        <v>47739</v>
      </c>
    </row>
    <row r="1786" customFormat="false" ht="30" hidden="false" customHeight="true" outlineLevel="0" collapsed="false">
      <c r="A1786" s="4" t="s">
        <v>1400</v>
      </c>
      <c r="B1786" s="4" t="s">
        <v>14</v>
      </c>
      <c r="C1786" s="5" t="n">
        <v>1329001697</v>
      </c>
      <c r="D1786" s="6" t="s">
        <v>1855</v>
      </c>
      <c r="E1786" s="6"/>
      <c r="F1786" s="7" t="n">
        <v>46071.4786432407</v>
      </c>
      <c r="G1786" s="7" t="n">
        <v>46071.4947719213</v>
      </c>
      <c r="H1786" s="8" t="n">
        <v>4</v>
      </c>
      <c r="I1786" s="5" t="n">
        <v>400441</v>
      </c>
      <c r="J1786" s="6" t="s">
        <v>80</v>
      </c>
      <c r="K1786" s="5" t="n">
        <v>153000115</v>
      </c>
      <c r="L1786" s="9" t="n">
        <v>46068</v>
      </c>
      <c r="M1786" s="10" t="n">
        <v>47893</v>
      </c>
    </row>
    <row r="1787" customFormat="false" ht="30" hidden="false" customHeight="true" outlineLevel="0" collapsed="false">
      <c r="A1787" s="4" t="s">
        <v>1400</v>
      </c>
      <c r="B1787" s="4" t="s">
        <v>14</v>
      </c>
      <c r="C1787" s="5" t="n">
        <v>1329001697</v>
      </c>
      <c r="D1787" s="6" t="s">
        <v>1856</v>
      </c>
      <c r="E1787" s="6"/>
      <c r="F1787" s="7" t="n">
        <v>46071.4786432407</v>
      </c>
      <c r="G1787" s="7" t="n">
        <v>46071.4943569792</v>
      </c>
      <c r="H1787" s="8" t="n">
        <v>4</v>
      </c>
      <c r="I1787" s="5" t="n">
        <v>400441</v>
      </c>
      <c r="J1787" s="6" t="s">
        <v>80</v>
      </c>
      <c r="K1787" s="5" t="n">
        <v>153000115</v>
      </c>
      <c r="L1787" s="9" t="n">
        <v>46068</v>
      </c>
      <c r="M1787" s="10" t="n">
        <v>47893</v>
      </c>
    </row>
    <row r="1788" customFormat="false" ht="30" hidden="false" customHeight="true" outlineLevel="0" collapsed="false">
      <c r="A1788" s="4" t="s">
        <v>1400</v>
      </c>
      <c r="B1788" s="4" t="s">
        <v>14</v>
      </c>
      <c r="C1788" s="5" t="n">
        <v>1329001697</v>
      </c>
      <c r="D1788" s="6" t="s">
        <v>1857</v>
      </c>
      <c r="E1788" s="6"/>
      <c r="F1788" s="7" t="n">
        <v>46071.4786432407</v>
      </c>
      <c r="G1788" s="7" t="n">
        <v>46071.4939132407</v>
      </c>
      <c r="H1788" s="8" t="n">
        <v>4</v>
      </c>
      <c r="I1788" s="5" t="n">
        <v>400441</v>
      </c>
      <c r="J1788" s="6" t="s">
        <v>80</v>
      </c>
      <c r="K1788" s="5" t="n">
        <v>153000115</v>
      </c>
      <c r="L1788" s="9" t="n">
        <v>46068</v>
      </c>
      <c r="M1788" s="10" t="n">
        <v>47893</v>
      </c>
    </row>
    <row r="1789" customFormat="false" ht="30" hidden="false" customHeight="true" outlineLevel="0" collapsed="false">
      <c r="A1789" s="4" t="s">
        <v>1400</v>
      </c>
      <c r="B1789" s="4" t="s">
        <v>14</v>
      </c>
      <c r="C1789" s="5" t="n">
        <v>1329001697</v>
      </c>
      <c r="D1789" s="6" t="s">
        <v>1858</v>
      </c>
      <c r="E1789" s="6"/>
      <c r="F1789" s="7" t="n">
        <v>46071.4786432407</v>
      </c>
      <c r="G1789" s="7" t="n">
        <v>46071.4935984838</v>
      </c>
      <c r="H1789" s="8" t="n">
        <v>4</v>
      </c>
      <c r="I1789" s="5" t="n">
        <v>400441</v>
      </c>
      <c r="J1789" s="6" t="s">
        <v>80</v>
      </c>
      <c r="K1789" s="5" t="n">
        <v>153000115</v>
      </c>
      <c r="L1789" s="9" t="n">
        <v>46068</v>
      </c>
      <c r="M1789" s="10" t="n">
        <v>47893</v>
      </c>
    </row>
    <row r="1790" customFormat="false" ht="30" hidden="false" customHeight="true" outlineLevel="0" collapsed="false">
      <c r="A1790" s="4" t="s">
        <v>1400</v>
      </c>
      <c r="B1790" s="4" t="s">
        <v>14</v>
      </c>
      <c r="C1790" s="5" t="n">
        <v>1329001697</v>
      </c>
      <c r="D1790" s="6" t="s">
        <v>1859</v>
      </c>
      <c r="E1790" s="6"/>
      <c r="F1790" s="7" t="n">
        <v>46071.4786432407</v>
      </c>
      <c r="G1790" s="7" t="n">
        <v>46071.4931850116</v>
      </c>
      <c r="H1790" s="8" t="n">
        <v>4</v>
      </c>
      <c r="I1790" s="5" t="n">
        <v>400441</v>
      </c>
      <c r="J1790" s="6" t="s">
        <v>80</v>
      </c>
      <c r="K1790" s="5" t="n">
        <v>153000115</v>
      </c>
      <c r="L1790" s="9" t="n">
        <v>46068</v>
      </c>
      <c r="M1790" s="10" t="n">
        <v>47893</v>
      </c>
    </row>
    <row r="1791" customFormat="false" ht="30" hidden="false" customHeight="true" outlineLevel="0" collapsed="false">
      <c r="A1791" s="4" t="s">
        <v>1400</v>
      </c>
      <c r="B1791" s="4" t="s">
        <v>14</v>
      </c>
      <c r="C1791" s="5" t="n">
        <v>1329001697</v>
      </c>
      <c r="D1791" s="6" t="s">
        <v>1860</v>
      </c>
      <c r="E1791" s="6"/>
      <c r="F1791" s="7" t="n">
        <v>46071.4786432407</v>
      </c>
      <c r="G1791" s="7" t="n">
        <v>46071.4928659375</v>
      </c>
      <c r="H1791" s="8" t="n">
        <v>4</v>
      </c>
      <c r="I1791" s="5" t="n">
        <v>400441</v>
      </c>
      <c r="J1791" s="6" t="s">
        <v>80</v>
      </c>
      <c r="K1791" s="5" t="n">
        <v>153000115</v>
      </c>
      <c r="L1791" s="9" t="n">
        <v>46068</v>
      </c>
      <c r="M1791" s="10" t="n">
        <v>47893</v>
      </c>
    </row>
    <row r="1792" customFormat="false" ht="30" hidden="false" customHeight="true" outlineLevel="0" collapsed="false">
      <c r="A1792" s="4" t="s">
        <v>1400</v>
      </c>
      <c r="B1792" s="4" t="s">
        <v>14</v>
      </c>
      <c r="C1792" s="5" t="n">
        <v>1329001697</v>
      </c>
      <c r="D1792" s="6" t="s">
        <v>1861</v>
      </c>
      <c r="E1792" s="6"/>
      <c r="F1792" s="7" t="n">
        <v>46071.4786432407</v>
      </c>
      <c r="G1792" s="7" t="n">
        <v>46071.4924128125</v>
      </c>
      <c r="H1792" s="8" t="n">
        <v>4</v>
      </c>
      <c r="I1792" s="5" t="n">
        <v>400441</v>
      </c>
      <c r="J1792" s="6" t="s">
        <v>80</v>
      </c>
      <c r="K1792" s="5" t="n">
        <v>153000115</v>
      </c>
      <c r="L1792" s="9" t="n">
        <v>46068</v>
      </c>
      <c r="M1792" s="10" t="n">
        <v>47893</v>
      </c>
    </row>
    <row r="1793" customFormat="false" ht="30" hidden="false" customHeight="true" outlineLevel="0" collapsed="false">
      <c r="A1793" s="4" t="s">
        <v>1400</v>
      </c>
      <c r="B1793" s="4" t="s">
        <v>14</v>
      </c>
      <c r="C1793" s="5" t="n">
        <v>1329001697</v>
      </c>
      <c r="D1793" s="6" t="s">
        <v>1862</v>
      </c>
      <c r="E1793" s="6"/>
      <c r="F1793" s="7" t="n">
        <v>46071.4786432407</v>
      </c>
      <c r="G1793" s="7" t="n">
        <v>46071.4920263542</v>
      </c>
      <c r="H1793" s="8" t="n">
        <v>4</v>
      </c>
      <c r="I1793" s="5" t="n">
        <v>400441</v>
      </c>
      <c r="J1793" s="6" t="s">
        <v>80</v>
      </c>
      <c r="K1793" s="5" t="n">
        <v>153000115</v>
      </c>
      <c r="L1793" s="9" t="n">
        <v>46068</v>
      </c>
      <c r="M1793" s="10" t="n">
        <v>47893</v>
      </c>
    </row>
    <row r="1794" customFormat="false" ht="30" hidden="false" customHeight="true" outlineLevel="0" collapsed="false">
      <c r="A1794" s="4" t="s">
        <v>1400</v>
      </c>
      <c r="B1794" s="4" t="s">
        <v>14</v>
      </c>
      <c r="C1794" s="5" t="n">
        <v>1329001697</v>
      </c>
      <c r="D1794" s="6" t="s">
        <v>1863</v>
      </c>
      <c r="E1794" s="6"/>
      <c r="F1794" s="7" t="n">
        <v>46071.4786432407</v>
      </c>
      <c r="G1794" s="7" t="n">
        <v>46071.4917398495</v>
      </c>
      <c r="H1794" s="8" t="n">
        <v>4</v>
      </c>
      <c r="I1794" s="5" t="n">
        <v>400441</v>
      </c>
      <c r="J1794" s="6" t="s">
        <v>80</v>
      </c>
      <c r="K1794" s="5" t="n">
        <v>153000082</v>
      </c>
      <c r="L1794" s="9" t="n">
        <v>46058</v>
      </c>
      <c r="M1794" s="10" t="n">
        <v>47883</v>
      </c>
    </row>
    <row r="1795" customFormat="false" ht="30" hidden="false" customHeight="true" outlineLevel="0" collapsed="false">
      <c r="A1795" s="4" t="s">
        <v>1400</v>
      </c>
      <c r="B1795" s="4" t="s">
        <v>14</v>
      </c>
      <c r="C1795" s="5" t="n">
        <v>1329001697</v>
      </c>
      <c r="D1795" s="6" t="s">
        <v>1864</v>
      </c>
      <c r="E1795" s="6"/>
      <c r="F1795" s="7" t="n">
        <v>46071.4786432407</v>
      </c>
      <c r="G1795" s="7" t="n">
        <v>46071.4913753356</v>
      </c>
      <c r="H1795" s="8" t="n">
        <v>4</v>
      </c>
      <c r="I1795" s="5" t="n">
        <v>400441</v>
      </c>
      <c r="J1795" s="6" t="s">
        <v>80</v>
      </c>
      <c r="K1795" s="5" t="n">
        <v>153000082</v>
      </c>
      <c r="L1795" s="9" t="n">
        <v>46058</v>
      </c>
      <c r="M1795" s="10" t="n">
        <v>47883</v>
      </c>
    </row>
    <row r="1796" customFormat="false" ht="30" hidden="false" customHeight="true" outlineLevel="0" collapsed="false">
      <c r="A1796" s="4" t="s">
        <v>1400</v>
      </c>
      <c r="B1796" s="4" t="s">
        <v>14</v>
      </c>
      <c r="C1796" s="5" t="n">
        <v>1329001697</v>
      </c>
      <c r="D1796" s="6" t="s">
        <v>1865</v>
      </c>
      <c r="E1796" s="6"/>
      <c r="F1796" s="7" t="n">
        <v>46071.4786432407</v>
      </c>
      <c r="G1796" s="7" t="n">
        <v>46071.4908554977</v>
      </c>
      <c r="H1796" s="8" t="n">
        <v>4</v>
      </c>
      <c r="I1796" s="5" t="n">
        <v>400441</v>
      </c>
      <c r="J1796" s="6" t="s">
        <v>80</v>
      </c>
      <c r="K1796" s="5" t="n">
        <v>153000082</v>
      </c>
      <c r="L1796" s="9" t="n">
        <v>46058</v>
      </c>
      <c r="M1796" s="10" t="n">
        <v>47883</v>
      </c>
    </row>
    <row r="1797" customFormat="false" ht="30" hidden="false" customHeight="true" outlineLevel="0" collapsed="false">
      <c r="A1797" s="4" t="s">
        <v>1400</v>
      </c>
      <c r="B1797" s="4" t="s">
        <v>14</v>
      </c>
      <c r="C1797" s="5" t="n">
        <v>1329001697</v>
      </c>
      <c r="D1797" s="6" t="s">
        <v>1866</v>
      </c>
      <c r="E1797" s="6"/>
      <c r="F1797" s="7" t="n">
        <v>46071.4786432407</v>
      </c>
      <c r="G1797" s="7" t="n">
        <v>46071.4905081366</v>
      </c>
      <c r="H1797" s="8" t="n">
        <v>4</v>
      </c>
      <c r="I1797" s="5" t="n">
        <v>400441</v>
      </c>
      <c r="J1797" s="6" t="s">
        <v>80</v>
      </c>
      <c r="K1797" s="5" t="n">
        <v>153000082</v>
      </c>
      <c r="L1797" s="9" t="n">
        <v>46058</v>
      </c>
      <c r="M1797" s="10" t="n">
        <v>47883</v>
      </c>
    </row>
    <row r="1798" customFormat="false" ht="30" hidden="false" customHeight="true" outlineLevel="0" collapsed="false">
      <c r="A1798" s="4" t="s">
        <v>1400</v>
      </c>
      <c r="B1798" s="4" t="s">
        <v>14</v>
      </c>
      <c r="C1798" s="5" t="n">
        <v>1329001697</v>
      </c>
      <c r="D1798" s="6" t="s">
        <v>1867</v>
      </c>
      <c r="E1798" s="6"/>
      <c r="F1798" s="7" t="n">
        <v>46071.4786432407</v>
      </c>
      <c r="G1798" s="7" t="n">
        <v>46071.4899741204</v>
      </c>
      <c r="H1798" s="8" t="n">
        <v>4</v>
      </c>
      <c r="I1798" s="5" t="n">
        <v>400441</v>
      </c>
      <c r="J1798" s="6" t="s">
        <v>80</v>
      </c>
      <c r="K1798" s="5" t="n">
        <v>153000115</v>
      </c>
      <c r="L1798" s="9" t="n">
        <v>46068</v>
      </c>
      <c r="M1798" s="10" t="n">
        <v>47893</v>
      </c>
    </row>
    <row r="1799" customFormat="false" ht="30" hidden="false" customHeight="true" outlineLevel="0" collapsed="false">
      <c r="A1799" s="4" t="s">
        <v>1400</v>
      </c>
      <c r="B1799" s="4" t="s">
        <v>14</v>
      </c>
      <c r="C1799" s="5" t="n">
        <v>1329001697</v>
      </c>
      <c r="D1799" s="6" t="s">
        <v>1868</v>
      </c>
      <c r="E1799" s="6"/>
      <c r="F1799" s="7" t="n">
        <v>46071.4786432407</v>
      </c>
      <c r="G1799" s="7" t="n">
        <v>46071.4897282639</v>
      </c>
      <c r="H1799" s="8" t="n">
        <v>4</v>
      </c>
      <c r="I1799" s="5" t="n">
        <v>400441</v>
      </c>
      <c r="J1799" s="6" t="s">
        <v>80</v>
      </c>
      <c r="K1799" s="5" t="n">
        <v>153000115</v>
      </c>
      <c r="L1799" s="9" t="n">
        <v>46068</v>
      </c>
      <c r="M1799" s="10" t="n">
        <v>47893</v>
      </c>
    </row>
    <row r="1800" customFormat="false" ht="30" hidden="false" customHeight="true" outlineLevel="0" collapsed="false">
      <c r="A1800" s="4" t="s">
        <v>1400</v>
      </c>
      <c r="B1800" s="4" t="s">
        <v>14</v>
      </c>
      <c r="C1800" s="5" t="n">
        <v>1329001697</v>
      </c>
      <c r="D1800" s="6" t="s">
        <v>1869</v>
      </c>
      <c r="E1800" s="6"/>
      <c r="F1800" s="7" t="n">
        <v>46071.4786432407</v>
      </c>
      <c r="G1800" s="7" t="n">
        <v>46071.4893248611</v>
      </c>
      <c r="H1800" s="8" t="n">
        <v>4</v>
      </c>
      <c r="I1800" s="5" t="n">
        <v>400441</v>
      </c>
      <c r="J1800" s="6" t="s">
        <v>80</v>
      </c>
      <c r="K1800" s="5" t="n">
        <v>153000115</v>
      </c>
      <c r="L1800" s="9" t="n">
        <v>46068</v>
      </c>
      <c r="M1800" s="10" t="n">
        <v>47893</v>
      </c>
    </row>
    <row r="1801" customFormat="false" ht="30" hidden="false" customHeight="true" outlineLevel="0" collapsed="false">
      <c r="A1801" s="4" t="s">
        <v>1400</v>
      </c>
      <c r="B1801" s="4" t="s">
        <v>14</v>
      </c>
      <c r="C1801" s="5" t="n">
        <v>1329001697</v>
      </c>
      <c r="D1801" s="6" t="s">
        <v>1870</v>
      </c>
      <c r="E1801" s="6"/>
      <c r="F1801" s="7" t="n">
        <v>46071.4786432407</v>
      </c>
      <c r="G1801" s="7" t="n">
        <v>46071.4888663426</v>
      </c>
      <c r="H1801" s="8" t="n">
        <v>4</v>
      </c>
      <c r="I1801" s="5" t="n">
        <v>400441</v>
      </c>
      <c r="J1801" s="6" t="s">
        <v>80</v>
      </c>
      <c r="K1801" s="5" t="n">
        <v>153000122</v>
      </c>
      <c r="L1801" s="9" t="n">
        <v>46071</v>
      </c>
      <c r="M1801" s="10" t="n">
        <v>1143620</v>
      </c>
    </row>
    <row r="1802" customFormat="false" ht="30" hidden="false" customHeight="true" outlineLevel="0" collapsed="false">
      <c r="A1802" s="4" t="s">
        <v>1400</v>
      </c>
      <c r="B1802" s="4" t="s">
        <v>14</v>
      </c>
      <c r="C1802" s="5" t="n">
        <v>1329001697</v>
      </c>
      <c r="D1802" s="6" t="s">
        <v>1871</v>
      </c>
      <c r="E1802" s="6"/>
      <c r="F1802" s="7" t="n">
        <v>46071.4786432407</v>
      </c>
      <c r="G1802" s="7" t="n">
        <v>46071.4885137269</v>
      </c>
      <c r="H1802" s="8" t="n">
        <v>4</v>
      </c>
      <c r="I1802" s="5" t="n">
        <v>400441</v>
      </c>
      <c r="J1802" s="6" t="s">
        <v>80</v>
      </c>
      <c r="K1802" s="5" t="n">
        <v>153000122</v>
      </c>
      <c r="L1802" s="9" t="n">
        <v>46071</v>
      </c>
      <c r="M1802" s="10" t="n">
        <v>1143620</v>
      </c>
    </row>
    <row r="1803" customFormat="false" ht="30" hidden="false" customHeight="true" outlineLevel="0" collapsed="false">
      <c r="A1803" s="4" t="s">
        <v>1400</v>
      </c>
      <c r="B1803" s="4" t="s">
        <v>14</v>
      </c>
      <c r="C1803" s="5" t="n">
        <v>1329001697</v>
      </c>
      <c r="D1803" s="6" t="s">
        <v>1872</v>
      </c>
      <c r="E1803" s="6"/>
      <c r="F1803" s="7" t="n">
        <v>46071.4786432407</v>
      </c>
      <c r="G1803" s="7" t="n">
        <v>46071.4879410417</v>
      </c>
      <c r="H1803" s="8" t="n">
        <v>4</v>
      </c>
      <c r="I1803" s="5" t="n">
        <v>400441</v>
      </c>
      <c r="J1803" s="6" t="s">
        <v>80</v>
      </c>
      <c r="K1803" s="5" t="n">
        <v>153000115</v>
      </c>
      <c r="L1803" s="9" t="n">
        <v>46068</v>
      </c>
      <c r="M1803" s="10" t="n">
        <v>47893</v>
      </c>
    </row>
    <row r="1804" customFormat="false" ht="30" hidden="false" customHeight="true" outlineLevel="0" collapsed="false">
      <c r="A1804" s="4" t="s">
        <v>1400</v>
      </c>
      <c r="B1804" s="4" t="s">
        <v>14</v>
      </c>
      <c r="C1804" s="5" t="n">
        <v>1329001697</v>
      </c>
      <c r="D1804" s="6" t="s">
        <v>1873</v>
      </c>
      <c r="E1804" s="6"/>
      <c r="F1804" s="7" t="n">
        <v>46071.4786432407</v>
      </c>
      <c r="G1804" s="7" t="n">
        <v>46071.4875477199</v>
      </c>
      <c r="H1804" s="8" t="n">
        <v>4</v>
      </c>
      <c r="I1804" s="5" t="n">
        <v>400441</v>
      </c>
      <c r="J1804" s="6" t="s">
        <v>80</v>
      </c>
      <c r="K1804" s="5" t="n">
        <v>153000115</v>
      </c>
      <c r="L1804" s="9" t="n">
        <v>46068</v>
      </c>
      <c r="M1804" s="10" t="n">
        <v>47893</v>
      </c>
    </row>
    <row r="1805" customFormat="false" ht="30" hidden="false" customHeight="true" outlineLevel="0" collapsed="false">
      <c r="A1805" s="4" t="s">
        <v>1400</v>
      </c>
      <c r="B1805" s="4" t="s">
        <v>14</v>
      </c>
      <c r="C1805" s="5" t="n">
        <v>1329001697</v>
      </c>
      <c r="D1805" s="6" t="s">
        <v>1874</v>
      </c>
      <c r="E1805" s="6"/>
      <c r="F1805" s="7" t="n">
        <v>46071.4786432407</v>
      </c>
      <c r="G1805" s="7" t="n">
        <v>46071.4872348843</v>
      </c>
      <c r="H1805" s="8" t="n">
        <v>4</v>
      </c>
      <c r="I1805" s="5" t="n">
        <v>400441</v>
      </c>
      <c r="J1805" s="6" t="s">
        <v>80</v>
      </c>
      <c r="K1805" s="5" t="n">
        <v>153000115</v>
      </c>
      <c r="L1805" s="9" t="n">
        <v>46068</v>
      </c>
      <c r="M1805" s="10" t="n">
        <v>47893</v>
      </c>
    </row>
    <row r="1806" customFormat="false" ht="30" hidden="false" customHeight="true" outlineLevel="0" collapsed="false">
      <c r="A1806" s="4" t="s">
        <v>1400</v>
      </c>
      <c r="B1806" s="4" t="s">
        <v>14</v>
      </c>
      <c r="C1806" s="5" t="n">
        <v>1329001697</v>
      </c>
      <c r="D1806" s="6" t="s">
        <v>1875</v>
      </c>
      <c r="E1806" s="6"/>
      <c r="F1806" s="7" t="n">
        <v>46071.4786432407</v>
      </c>
      <c r="G1806" s="7" t="n">
        <v>46071.4868182292</v>
      </c>
      <c r="H1806" s="8" t="n">
        <v>4</v>
      </c>
      <c r="I1806" s="5" t="n">
        <v>400441</v>
      </c>
      <c r="J1806" s="6" t="s">
        <v>80</v>
      </c>
      <c r="K1806" s="5" t="n">
        <v>153000082</v>
      </c>
      <c r="L1806" s="9" t="n">
        <v>46058</v>
      </c>
      <c r="M1806" s="10" t="n">
        <v>47883</v>
      </c>
    </row>
    <row r="1807" customFormat="false" ht="30" hidden="false" customHeight="true" outlineLevel="0" collapsed="false">
      <c r="A1807" s="4" t="s">
        <v>1400</v>
      </c>
      <c r="B1807" s="4" t="s">
        <v>14</v>
      </c>
      <c r="C1807" s="5" t="n">
        <v>1329001697</v>
      </c>
      <c r="D1807" s="6" t="s">
        <v>1876</v>
      </c>
      <c r="E1807" s="6"/>
      <c r="F1807" s="7" t="n">
        <v>46071.4786432407</v>
      </c>
      <c r="G1807" s="7" t="n">
        <v>46071.4864027662</v>
      </c>
      <c r="H1807" s="8" t="n">
        <v>4</v>
      </c>
      <c r="I1807" s="5" t="n">
        <v>400441</v>
      </c>
      <c r="J1807" s="6" t="s">
        <v>80</v>
      </c>
      <c r="K1807" s="5" t="n">
        <v>153000082</v>
      </c>
      <c r="L1807" s="9" t="n">
        <v>46058</v>
      </c>
      <c r="M1807" s="10" t="n">
        <v>47883</v>
      </c>
    </row>
    <row r="1808" customFormat="false" ht="30" hidden="false" customHeight="true" outlineLevel="0" collapsed="false">
      <c r="A1808" s="4" t="s">
        <v>1400</v>
      </c>
      <c r="B1808" s="4" t="s">
        <v>14</v>
      </c>
      <c r="C1808" s="5" t="n">
        <v>1329001697</v>
      </c>
      <c r="D1808" s="6" t="s">
        <v>1877</v>
      </c>
      <c r="E1808" s="6"/>
      <c r="F1808" s="7" t="n">
        <v>46071.4786432407</v>
      </c>
      <c r="G1808" s="7" t="n">
        <v>46071.4860165972</v>
      </c>
      <c r="H1808" s="8" t="n">
        <v>4</v>
      </c>
      <c r="I1808" s="5" t="n">
        <v>400441</v>
      </c>
      <c r="J1808" s="6" t="s">
        <v>80</v>
      </c>
      <c r="K1808" s="5" t="n">
        <v>153000082</v>
      </c>
      <c r="L1808" s="9" t="n">
        <v>46058</v>
      </c>
      <c r="M1808" s="10" t="n">
        <v>47883</v>
      </c>
    </row>
    <row r="1809" customFormat="false" ht="30" hidden="false" customHeight="true" outlineLevel="0" collapsed="false">
      <c r="A1809" s="4" t="s">
        <v>1400</v>
      </c>
      <c r="B1809" s="4" t="s">
        <v>14</v>
      </c>
      <c r="C1809" s="5" t="n">
        <v>1329001697</v>
      </c>
      <c r="D1809" s="6" t="s">
        <v>1878</v>
      </c>
      <c r="E1809" s="6"/>
      <c r="F1809" s="7" t="n">
        <v>46071.4786432407</v>
      </c>
      <c r="G1809" s="7" t="n">
        <v>46071.485520081</v>
      </c>
      <c r="H1809" s="8" t="n">
        <v>4</v>
      </c>
      <c r="I1809" s="5" t="n">
        <v>400441</v>
      </c>
      <c r="J1809" s="6" t="s">
        <v>80</v>
      </c>
      <c r="K1809" s="5" t="n">
        <v>153000082</v>
      </c>
      <c r="L1809" s="9" t="n">
        <v>46058</v>
      </c>
      <c r="M1809" s="10" t="n">
        <v>47883</v>
      </c>
    </row>
    <row r="1810" customFormat="false" ht="30" hidden="false" customHeight="true" outlineLevel="0" collapsed="false">
      <c r="A1810" s="4" t="s">
        <v>1400</v>
      </c>
      <c r="B1810" s="4" t="s">
        <v>14</v>
      </c>
      <c r="C1810" s="5" t="n">
        <v>1329001697</v>
      </c>
      <c r="D1810" s="6" t="s">
        <v>1879</v>
      </c>
      <c r="E1810" s="6"/>
      <c r="F1810" s="7" t="n">
        <v>46071.4786432407</v>
      </c>
      <c r="G1810" s="7" t="n">
        <v>46071.4838571296</v>
      </c>
      <c r="H1810" s="8" t="n">
        <v>4</v>
      </c>
      <c r="I1810" s="5" t="n">
        <v>400441</v>
      </c>
      <c r="J1810" s="6" t="s">
        <v>80</v>
      </c>
      <c r="K1810" s="5" t="n">
        <v>153000115</v>
      </c>
      <c r="L1810" s="9" t="n">
        <v>46068</v>
      </c>
      <c r="M1810" s="10" t="n">
        <v>47893</v>
      </c>
    </row>
    <row r="1811" customFormat="false" ht="30" hidden="false" customHeight="true" outlineLevel="0" collapsed="false">
      <c r="A1811" s="4" t="s">
        <v>1400</v>
      </c>
      <c r="B1811" s="4" t="s">
        <v>14</v>
      </c>
      <c r="C1811" s="5" t="n">
        <v>1329001697</v>
      </c>
      <c r="D1811" s="6" t="s">
        <v>1880</v>
      </c>
      <c r="E1811" s="6"/>
      <c r="F1811" s="7" t="n">
        <v>46071.4786432407</v>
      </c>
      <c r="G1811" s="7" t="n">
        <v>46071.4849696991</v>
      </c>
      <c r="H1811" s="8" t="n">
        <v>4</v>
      </c>
      <c r="I1811" s="5" t="n">
        <v>400441</v>
      </c>
      <c r="J1811" s="6" t="s">
        <v>80</v>
      </c>
      <c r="K1811" s="5" t="n">
        <v>153000082</v>
      </c>
      <c r="L1811" s="9" t="n">
        <v>46058</v>
      </c>
      <c r="M1811" s="10" t="n">
        <v>47883</v>
      </c>
    </row>
    <row r="1812" customFormat="false" ht="30" hidden="false" customHeight="true" outlineLevel="0" collapsed="false">
      <c r="A1812" s="4" t="s">
        <v>1400</v>
      </c>
      <c r="B1812" s="4" t="s">
        <v>14</v>
      </c>
      <c r="C1812" s="5" t="n">
        <v>1329001697</v>
      </c>
      <c r="D1812" s="6" t="s">
        <v>1881</v>
      </c>
      <c r="E1812" s="6"/>
      <c r="F1812" s="7" t="n">
        <v>46071.4786432407</v>
      </c>
      <c r="G1812" s="7" t="n">
        <v>46071.4844720023</v>
      </c>
      <c r="H1812" s="8" t="n">
        <v>4</v>
      </c>
      <c r="I1812" s="5" t="n">
        <v>400441</v>
      </c>
      <c r="J1812" s="6" t="s">
        <v>80</v>
      </c>
      <c r="K1812" s="5" t="n">
        <v>153000115</v>
      </c>
      <c r="L1812" s="9" t="n">
        <v>46068</v>
      </c>
      <c r="M1812" s="10" t="n">
        <v>47893</v>
      </c>
    </row>
    <row r="1813" customFormat="false" ht="30" hidden="false" customHeight="true" outlineLevel="0" collapsed="false">
      <c r="A1813" s="4" t="s">
        <v>1400</v>
      </c>
      <c r="B1813" s="4" t="s">
        <v>14</v>
      </c>
      <c r="C1813" s="5" t="n">
        <v>1329001697</v>
      </c>
      <c r="D1813" s="6" t="s">
        <v>1882</v>
      </c>
      <c r="E1813" s="6"/>
      <c r="F1813" s="7" t="n">
        <v>46071.4786432407</v>
      </c>
      <c r="G1813" s="7" t="n">
        <v>46071.4827672222</v>
      </c>
      <c r="H1813" s="8" t="n">
        <v>4</v>
      </c>
      <c r="I1813" s="5" t="n">
        <v>400441</v>
      </c>
      <c r="J1813" s="6" t="s">
        <v>80</v>
      </c>
      <c r="K1813" s="5" t="n">
        <v>153000082</v>
      </c>
      <c r="L1813" s="9" t="n">
        <v>46058</v>
      </c>
      <c r="M1813" s="10" t="n">
        <v>47883</v>
      </c>
    </row>
    <row r="1814" customFormat="false" ht="30" hidden="false" customHeight="true" outlineLevel="0" collapsed="false">
      <c r="A1814" s="4" t="s">
        <v>1400</v>
      </c>
      <c r="B1814" s="4" t="s">
        <v>14</v>
      </c>
      <c r="C1814" s="5" t="n">
        <v>1329001703</v>
      </c>
      <c r="D1814" s="6" t="s">
        <v>1883</v>
      </c>
      <c r="E1814" s="6"/>
      <c r="F1814" s="7" t="n">
        <v>46071.4803151042</v>
      </c>
      <c r="G1814" s="7" t="n">
        <v>46076.1846068519</v>
      </c>
      <c r="H1814" s="8" t="n">
        <v>4</v>
      </c>
      <c r="I1814" s="5" t="n">
        <v>401047</v>
      </c>
      <c r="J1814" s="6" t="s">
        <v>594</v>
      </c>
      <c r="K1814" s="5" t="n">
        <v>153000105</v>
      </c>
      <c r="L1814" s="9" t="n">
        <v>46064</v>
      </c>
      <c r="M1814" s="10" t="n">
        <v>47889</v>
      </c>
    </row>
    <row r="1815" customFormat="false" ht="30" hidden="false" customHeight="true" outlineLevel="0" collapsed="false">
      <c r="A1815" s="4" t="s">
        <v>1400</v>
      </c>
      <c r="B1815" s="4" t="s">
        <v>14</v>
      </c>
      <c r="C1815" s="5" t="n">
        <v>1329001703</v>
      </c>
      <c r="D1815" s="6" t="s">
        <v>1884</v>
      </c>
      <c r="E1815" s="6"/>
      <c r="F1815" s="7" t="n">
        <v>46071.4803151042</v>
      </c>
      <c r="G1815" s="7" t="n">
        <v>46076.1996722801</v>
      </c>
      <c r="H1815" s="8" t="n">
        <v>4</v>
      </c>
      <c r="I1815" s="5" t="n">
        <v>400483</v>
      </c>
      <c r="J1815" s="6" t="s">
        <v>1803</v>
      </c>
      <c r="K1815" s="5" t="n">
        <v>153000100</v>
      </c>
      <c r="L1815" s="9" t="n">
        <v>46063</v>
      </c>
      <c r="M1815" s="10" t="n">
        <v>47888</v>
      </c>
    </row>
    <row r="1816" customFormat="false" ht="30" hidden="false" customHeight="true" outlineLevel="0" collapsed="false">
      <c r="A1816" s="4" t="s">
        <v>1400</v>
      </c>
      <c r="B1816" s="4" t="s">
        <v>14</v>
      </c>
      <c r="C1816" s="5" t="n">
        <v>1329001703</v>
      </c>
      <c r="D1816" s="6" t="s">
        <v>1885</v>
      </c>
      <c r="E1816" s="6"/>
      <c r="F1816" s="7" t="n">
        <v>46071.4803151042</v>
      </c>
      <c r="G1816" s="7" t="n">
        <v>46076.1994157523</v>
      </c>
      <c r="H1816" s="8" t="n">
        <v>4</v>
      </c>
      <c r="I1816" s="5" t="n">
        <v>400483</v>
      </c>
      <c r="J1816" s="6" t="s">
        <v>1803</v>
      </c>
      <c r="K1816" s="5" t="n">
        <v>153000100</v>
      </c>
      <c r="L1816" s="9" t="n">
        <v>46063</v>
      </c>
      <c r="M1816" s="10" t="n">
        <v>47888</v>
      </c>
    </row>
    <row r="1817" customFormat="false" ht="30" hidden="false" customHeight="true" outlineLevel="0" collapsed="false">
      <c r="A1817" s="4" t="s">
        <v>1400</v>
      </c>
      <c r="B1817" s="4" t="s">
        <v>14</v>
      </c>
      <c r="C1817" s="5" t="n">
        <v>1329001703</v>
      </c>
      <c r="D1817" s="6" t="s">
        <v>1886</v>
      </c>
      <c r="E1817" s="6"/>
      <c r="F1817" s="7" t="n">
        <v>46071.4803151042</v>
      </c>
      <c r="G1817" s="7" t="n">
        <v>46076.2004271065</v>
      </c>
      <c r="H1817" s="8" t="n">
        <v>4</v>
      </c>
      <c r="I1817" s="5" t="n">
        <v>401047</v>
      </c>
      <c r="J1817" s="6" t="s">
        <v>594</v>
      </c>
      <c r="K1817" s="5" t="n">
        <v>153000105</v>
      </c>
      <c r="L1817" s="9" t="n">
        <v>46064</v>
      </c>
      <c r="M1817" s="10" t="n">
        <v>47889</v>
      </c>
    </row>
    <row r="1818" customFormat="false" ht="30" hidden="false" customHeight="true" outlineLevel="0" collapsed="false">
      <c r="A1818" s="4" t="s">
        <v>1400</v>
      </c>
      <c r="B1818" s="4" t="s">
        <v>14</v>
      </c>
      <c r="C1818" s="5" t="n">
        <v>1329001703</v>
      </c>
      <c r="D1818" s="6" t="s">
        <v>1887</v>
      </c>
      <c r="E1818" s="6"/>
      <c r="F1818" s="7" t="n">
        <v>46071.4803151042</v>
      </c>
      <c r="G1818" s="7" t="n">
        <v>46076.1987348727</v>
      </c>
      <c r="H1818" s="8" t="n">
        <v>4</v>
      </c>
      <c r="I1818" s="5" t="n">
        <v>401047</v>
      </c>
      <c r="J1818" s="6" t="s">
        <v>594</v>
      </c>
      <c r="K1818" s="5" t="n">
        <v>153000105</v>
      </c>
      <c r="L1818" s="9" t="n">
        <v>46064</v>
      </c>
      <c r="M1818" s="10" t="n">
        <v>47889</v>
      </c>
    </row>
    <row r="1819" customFormat="false" ht="30" hidden="false" customHeight="true" outlineLevel="0" collapsed="false">
      <c r="A1819" s="4" t="s">
        <v>1400</v>
      </c>
      <c r="B1819" s="4" t="s">
        <v>14</v>
      </c>
      <c r="C1819" s="5" t="n">
        <v>1329001703</v>
      </c>
      <c r="D1819" s="6" t="s">
        <v>1888</v>
      </c>
      <c r="E1819" s="6"/>
      <c r="F1819" s="7" t="n">
        <v>46071.4803151042</v>
      </c>
      <c r="G1819" s="7" t="n">
        <v>46076.1990869097</v>
      </c>
      <c r="H1819" s="8" t="n">
        <v>4</v>
      </c>
      <c r="I1819" s="5" t="n">
        <v>400483</v>
      </c>
      <c r="J1819" s="6" t="s">
        <v>1803</v>
      </c>
      <c r="K1819" s="5" t="n">
        <v>153000100</v>
      </c>
      <c r="L1819" s="9" t="n">
        <v>46063</v>
      </c>
      <c r="M1819" s="10" t="n">
        <v>47888</v>
      </c>
    </row>
    <row r="1820" customFormat="false" ht="30" hidden="false" customHeight="true" outlineLevel="0" collapsed="false">
      <c r="A1820" s="4" t="s">
        <v>1400</v>
      </c>
      <c r="B1820" s="4" t="s">
        <v>14</v>
      </c>
      <c r="C1820" s="5" t="n">
        <v>1329001703</v>
      </c>
      <c r="D1820" s="6" t="s">
        <v>1889</v>
      </c>
      <c r="E1820" s="6"/>
      <c r="F1820" s="7" t="n">
        <v>46071.4803151042</v>
      </c>
      <c r="G1820" s="7" t="n">
        <v>46076.198380787</v>
      </c>
      <c r="H1820" s="8" t="n">
        <v>4</v>
      </c>
      <c r="I1820" s="5" t="n">
        <v>401047</v>
      </c>
      <c r="J1820" s="6" t="s">
        <v>594</v>
      </c>
      <c r="K1820" s="5" t="n">
        <v>153000105</v>
      </c>
      <c r="L1820" s="9" t="n">
        <v>46064</v>
      </c>
      <c r="M1820" s="10" t="n">
        <v>47889</v>
      </c>
    </row>
    <row r="1821" customFormat="false" ht="30" hidden="false" customHeight="true" outlineLevel="0" collapsed="false">
      <c r="A1821" s="4" t="s">
        <v>1400</v>
      </c>
      <c r="B1821" s="4" t="s">
        <v>14</v>
      </c>
      <c r="C1821" s="5" t="n">
        <v>1329001703</v>
      </c>
      <c r="D1821" s="6" t="s">
        <v>1890</v>
      </c>
      <c r="E1821" s="6"/>
      <c r="F1821" s="7" t="n">
        <v>46071.4803151042</v>
      </c>
      <c r="G1821" s="7" t="n">
        <v>46076.1980148264</v>
      </c>
      <c r="H1821" s="8" t="n">
        <v>4</v>
      </c>
      <c r="I1821" s="5" t="n">
        <v>400483</v>
      </c>
      <c r="J1821" s="6" t="s">
        <v>1803</v>
      </c>
      <c r="K1821" s="5" t="n">
        <v>153000100</v>
      </c>
      <c r="L1821" s="9" t="n">
        <v>46063</v>
      </c>
      <c r="M1821" s="10" t="n">
        <v>47888</v>
      </c>
    </row>
    <row r="1822" customFormat="false" ht="30" hidden="false" customHeight="true" outlineLevel="0" collapsed="false">
      <c r="A1822" s="4" t="s">
        <v>1400</v>
      </c>
      <c r="B1822" s="4" t="s">
        <v>14</v>
      </c>
      <c r="C1822" s="5" t="n">
        <v>1329001703</v>
      </c>
      <c r="D1822" s="6" t="s">
        <v>1891</v>
      </c>
      <c r="E1822" s="6"/>
      <c r="F1822" s="7" t="n">
        <v>46071.4803151042</v>
      </c>
      <c r="G1822" s="7" t="n">
        <v>46076.1973133102</v>
      </c>
      <c r="H1822" s="8" t="n">
        <v>4</v>
      </c>
      <c r="I1822" s="5" t="n">
        <v>400483</v>
      </c>
      <c r="J1822" s="6" t="s">
        <v>1803</v>
      </c>
      <c r="K1822" s="5" t="n">
        <v>153000100</v>
      </c>
      <c r="L1822" s="9" t="n">
        <v>46063</v>
      </c>
      <c r="M1822" s="10" t="n">
        <v>47888</v>
      </c>
    </row>
    <row r="1823" customFormat="false" ht="30" hidden="false" customHeight="true" outlineLevel="0" collapsed="false">
      <c r="A1823" s="4" t="s">
        <v>1400</v>
      </c>
      <c r="B1823" s="4" t="s">
        <v>14</v>
      </c>
      <c r="C1823" s="5" t="n">
        <v>1329001703</v>
      </c>
      <c r="D1823" s="6" t="s">
        <v>1892</v>
      </c>
      <c r="E1823" s="6"/>
      <c r="F1823" s="7" t="n">
        <v>46071.4803151042</v>
      </c>
      <c r="G1823" s="7" t="n">
        <v>46076.1969325463</v>
      </c>
      <c r="H1823" s="8" t="n">
        <v>4</v>
      </c>
      <c r="I1823" s="5" t="n">
        <v>400483</v>
      </c>
      <c r="J1823" s="6" t="s">
        <v>1803</v>
      </c>
      <c r="K1823" s="5" t="n">
        <v>153000100</v>
      </c>
      <c r="L1823" s="9" t="n">
        <v>46063</v>
      </c>
      <c r="M1823" s="10" t="n">
        <v>47888</v>
      </c>
    </row>
    <row r="1824" customFormat="false" ht="30" hidden="false" customHeight="true" outlineLevel="0" collapsed="false">
      <c r="A1824" s="4" t="s">
        <v>1400</v>
      </c>
      <c r="B1824" s="4" t="s">
        <v>14</v>
      </c>
      <c r="C1824" s="5" t="n">
        <v>1329001703</v>
      </c>
      <c r="D1824" s="6" t="s">
        <v>1893</v>
      </c>
      <c r="E1824" s="6"/>
      <c r="F1824" s="7" t="n">
        <v>46071.4803151042</v>
      </c>
      <c r="G1824" s="7" t="n">
        <v>46076.1965696991</v>
      </c>
      <c r="H1824" s="8" t="n">
        <v>4</v>
      </c>
      <c r="I1824" s="5" t="n">
        <v>400483</v>
      </c>
      <c r="J1824" s="6" t="s">
        <v>1803</v>
      </c>
      <c r="K1824" s="5" t="n">
        <v>153000100</v>
      </c>
      <c r="L1824" s="9" t="n">
        <v>46063</v>
      </c>
      <c r="M1824" s="10" t="n">
        <v>47888</v>
      </c>
    </row>
    <row r="1825" customFormat="false" ht="30" hidden="false" customHeight="true" outlineLevel="0" collapsed="false">
      <c r="A1825" s="4" t="s">
        <v>1400</v>
      </c>
      <c r="B1825" s="4" t="s">
        <v>14</v>
      </c>
      <c r="C1825" s="5" t="n">
        <v>1329001703</v>
      </c>
      <c r="D1825" s="6" t="s">
        <v>1894</v>
      </c>
      <c r="E1825" s="6"/>
      <c r="F1825" s="7" t="n">
        <v>46071.4803151042</v>
      </c>
      <c r="G1825" s="7" t="n">
        <v>46076.1975983218</v>
      </c>
      <c r="H1825" s="8" t="n">
        <v>4</v>
      </c>
      <c r="I1825" s="5" t="n">
        <v>401047</v>
      </c>
      <c r="J1825" s="6" t="s">
        <v>594</v>
      </c>
      <c r="K1825" s="5" t="n">
        <v>153000105</v>
      </c>
      <c r="L1825" s="9" t="n">
        <v>46064</v>
      </c>
      <c r="M1825" s="10" t="n">
        <v>47889</v>
      </c>
    </row>
    <row r="1826" customFormat="false" ht="30" hidden="false" customHeight="true" outlineLevel="0" collapsed="false">
      <c r="A1826" s="4" t="s">
        <v>1400</v>
      </c>
      <c r="B1826" s="4" t="s">
        <v>14</v>
      </c>
      <c r="C1826" s="5" t="n">
        <v>1329001703</v>
      </c>
      <c r="D1826" s="6" t="s">
        <v>1895</v>
      </c>
      <c r="E1826" s="6"/>
      <c r="F1826" s="7" t="n">
        <v>46071.4803151042</v>
      </c>
      <c r="G1826" s="7" t="n">
        <v>46076.1954487269</v>
      </c>
      <c r="H1826" s="8" t="n">
        <v>4</v>
      </c>
      <c r="I1826" s="5" t="n">
        <v>401047</v>
      </c>
      <c r="J1826" s="6" t="s">
        <v>594</v>
      </c>
      <c r="K1826" s="5" t="n">
        <v>153000105</v>
      </c>
      <c r="L1826" s="9" t="n">
        <v>46064</v>
      </c>
      <c r="M1826" s="10" t="n">
        <v>47889</v>
      </c>
    </row>
    <row r="1827" customFormat="false" ht="30" hidden="false" customHeight="true" outlineLevel="0" collapsed="false">
      <c r="A1827" s="4" t="s">
        <v>1400</v>
      </c>
      <c r="B1827" s="4" t="s">
        <v>14</v>
      </c>
      <c r="C1827" s="5" t="n">
        <v>1329001703</v>
      </c>
      <c r="D1827" s="6" t="s">
        <v>1896</v>
      </c>
      <c r="E1827" s="6"/>
      <c r="F1827" s="7" t="n">
        <v>46071.4803151042</v>
      </c>
      <c r="G1827" s="7" t="n">
        <v>46076.1950968634</v>
      </c>
      <c r="H1827" s="8" t="n">
        <v>4</v>
      </c>
      <c r="I1827" s="5" t="n">
        <v>401047</v>
      </c>
      <c r="J1827" s="6" t="s">
        <v>594</v>
      </c>
      <c r="K1827" s="5" t="n">
        <v>153000105</v>
      </c>
      <c r="L1827" s="9" t="n">
        <v>46064</v>
      </c>
      <c r="M1827" s="10" t="n">
        <v>47889</v>
      </c>
    </row>
    <row r="1828" customFormat="false" ht="30" hidden="false" customHeight="true" outlineLevel="0" collapsed="false">
      <c r="A1828" s="4" t="s">
        <v>1400</v>
      </c>
      <c r="B1828" s="4" t="s">
        <v>14</v>
      </c>
      <c r="C1828" s="5" t="n">
        <v>1329001703</v>
      </c>
      <c r="D1828" s="6" t="s">
        <v>1897</v>
      </c>
      <c r="E1828" s="6"/>
      <c r="F1828" s="7" t="n">
        <v>46071.4803151042</v>
      </c>
      <c r="G1828" s="7" t="n">
        <v>46076.1946116435</v>
      </c>
      <c r="H1828" s="8" t="n">
        <v>4</v>
      </c>
      <c r="I1828" s="5" t="n">
        <v>401047</v>
      </c>
      <c r="J1828" s="6" t="s">
        <v>594</v>
      </c>
      <c r="K1828" s="5" t="n">
        <v>153000105</v>
      </c>
      <c r="L1828" s="9" t="n">
        <v>46064</v>
      </c>
      <c r="M1828" s="10" t="n">
        <v>47889</v>
      </c>
    </row>
    <row r="1829" customFormat="false" ht="30" hidden="false" customHeight="true" outlineLevel="0" collapsed="false">
      <c r="A1829" s="4" t="s">
        <v>1400</v>
      </c>
      <c r="B1829" s="4" t="s">
        <v>14</v>
      </c>
      <c r="C1829" s="5" t="n">
        <v>1329001703</v>
      </c>
      <c r="D1829" s="6" t="s">
        <v>1898</v>
      </c>
      <c r="E1829" s="6"/>
      <c r="F1829" s="7" t="n">
        <v>46071.4803151042</v>
      </c>
      <c r="G1829" s="7" t="n">
        <v>46076.1942337384</v>
      </c>
      <c r="H1829" s="8" t="n">
        <v>4</v>
      </c>
      <c r="I1829" s="5" t="n">
        <v>401047</v>
      </c>
      <c r="J1829" s="6" t="s">
        <v>594</v>
      </c>
      <c r="K1829" s="5" t="n">
        <v>153000105</v>
      </c>
      <c r="L1829" s="9" t="n">
        <v>46064</v>
      </c>
      <c r="M1829" s="10" t="n">
        <v>47889</v>
      </c>
    </row>
    <row r="1830" customFormat="false" ht="30" hidden="false" customHeight="true" outlineLevel="0" collapsed="false">
      <c r="A1830" s="4" t="s">
        <v>1400</v>
      </c>
      <c r="B1830" s="4" t="s">
        <v>14</v>
      </c>
      <c r="C1830" s="5" t="n">
        <v>1329001703</v>
      </c>
      <c r="D1830" s="6" t="s">
        <v>1899</v>
      </c>
      <c r="E1830" s="6"/>
      <c r="F1830" s="7" t="n">
        <v>46071.4803151042</v>
      </c>
      <c r="G1830" s="7" t="n">
        <v>46076.193795544</v>
      </c>
      <c r="H1830" s="8" t="n">
        <v>4</v>
      </c>
      <c r="I1830" s="5" t="n">
        <v>401047</v>
      </c>
      <c r="J1830" s="6" t="s">
        <v>594</v>
      </c>
      <c r="K1830" s="5" t="n">
        <v>153000105</v>
      </c>
      <c r="L1830" s="9" t="n">
        <v>46064</v>
      </c>
      <c r="M1830" s="10" t="n">
        <v>47889</v>
      </c>
    </row>
    <row r="1831" customFormat="false" ht="30" hidden="false" customHeight="true" outlineLevel="0" collapsed="false">
      <c r="A1831" s="4" t="s">
        <v>1400</v>
      </c>
      <c r="B1831" s="4" t="s">
        <v>14</v>
      </c>
      <c r="C1831" s="5" t="n">
        <v>1329001703</v>
      </c>
      <c r="D1831" s="6" t="s">
        <v>1900</v>
      </c>
      <c r="E1831" s="6"/>
      <c r="F1831" s="7" t="n">
        <v>46071.4803151042</v>
      </c>
      <c r="G1831" s="7" t="n">
        <v>46076.1934392245</v>
      </c>
      <c r="H1831" s="8" t="n">
        <v>4</v>
      </c>
      <c r="I1831" s="5" t="n">
        <v>401047</v>
      </c>
      <c r="J1831" s="6" t="s">
        <v>594</v>
      </c>
      <c r="K1831" s="5" t="n">
        <v>153000105</v>
      </c>
      <c r="L1831" s="9" t="n">
        <v>46064</v>
      </c>
      <c r="M1831" s="10" t="n">
        <v>47889</v>
      </c>
    </row>
    <row r="1832" customFormat="false" ht="30" hidden="false" customHeight="true" outlineLevel="0" collapsed="false">
      <c r="A1832" s="4" t="s">
        <v>1400</v>
      </c>
      <c r="B1832" s="4" t="s">
        <v>14</v>
      </c>
      <c r="C1832" s="5" t="n">
        <v>1329001703</v>
      </c>
      <c r="D1832" s="6" t="s">
        <v>1901</v>
      </c>
      <c r="E1832" s="6"/>
      <c r="F1832" s="7" t="n">
        <v>46071.4803151042</v>
      </c>
      <c r="G1832" s="7" t="n">
        <v>46076.1930800463</v>
      </c>
      <c r="H1832" s="8" t="n">
        <v>4</v>
      </c>
      <c r="I1832" s="5" t="n">
        <v>401047</v>
      </c>
      <c r="J1832" s="6" t="s">
        <v>594</v>
      </c>
      <c r="K1832" s="5" t="n">
        <v>153000105</v>
      </c>
      <c r="L1832" s="9" t="n">
        <v>46064</v>
      </c>
      <c r="M1832" s="10" t="n">
        <v>47889</v>
      </c>
    </row>
    <row r="1833" customFormat="false" ht="30" hidden="false" customHeight="true" outlineLevel="0" collapsed="false">
      <c r="A1833" s="4" t="s">
        <v>1400</v>
      </c>
      <c r="B1833" s="4" t="s">
        <v>14</v>
      </c>
      <c r="C1833" s="5" t="n">
        <v>1329001703</v>
      </c>
      <c r="D1833" s="6" t="s">
        <v>1902</v>
      </c>
      <c r="E1833" s="6"/>
      <c r="F1833" s="7" t="n">
        <v>46071.4803151042</v>
      </c>
      <c r="G1833" s="7" t="n">
        <v>46076.1926100463</v>
      </c>
      <c r="H1833" s="8" t="n">
        <v>4</v>
      </c>
      <c r="I1833" s="5" t="n">
        <v>401047</v>
      </c>
      <c r="J1833" s="6" t="s">
        <v>594</v>
      </c>
      <c r="K1833" s="5" t="n">
        <v>153000105</v>
      </c>
      <c r="L1833" s="9" t="n">
        <v>46064</v>
      </c>
      <c r="M1833" s="10" t="n">
        <v>47889</v>
      </c>
    </row>
    <row r="1834" customFormat="false" ht="30" hidden="false" customHeight="true" outlineLevel="0" collapsed="false">
      <c r="A1834" s="4" t="s">
        <v>1400</v>
      </c>
      <c r="B1834" s="4" t="s">
        <v>14</v>
      </c>
      <c r="C1834" s="5" t="n">
        <v>1329001703</v>
      </c>
      <c r="D1834" s="6" t="s">
        <v>1903</v>
      </c>
      <c r="E1834" s="6"/>
      <c r="F1834" s="7" t="n">
        <v>46071.4803151042</v>
      </c>
      <c r="G1834" s="7" t="n">
        <v>46076.1876673264</v>
      </c>
      <c r="H1834" s="8" t="n">
        <v>4</v>
      </c>
      <c r="I1834" s="5" t="n">
        <v>401047</v>
      </c>
      <c r="J1834" s="6" t="s">
        <v>594</v>
      </c>
      <c r="K1834" s="5" t="n">
        <v>153000105</v>
      </c>
      <c r="L1834" s="9" t="n">
        <v>46064</v>
      </c>
      <c r="M1834" s="10" t="n">
        <v>47889</v>
      </c>
    </row>
    <row r="1835" customFormat="false" ht="30" hidden="false" customHeight="true" outlineLevel="0" collapsed="false">
      <c r="A1835" s="4" t="s">
        <v>1400</v>
      </c>
      <c r="B1835" s="4" t="s">
        <v>14</v>
      </c>
      <c r="C1835" s="5" t="n">
        <v>1329001703</v>
      </c>
      <c r="D1835" s="6" t="s">
        <v>1904</v>
      </c>
      <c r="E1835" s="6"/>
      <c r="F1835" s="7" t="n">
        <v>46071.4803151042</v>
      </c>
      <c r="G1835" s="7" t="n">
        <v>46076.1873045718</v>
      </c>
      <c r="H1835" s="8" t="n">
        <v>4</v>
      </c>
      <c r="I1835" s="5" t="n">
        <v>401047</v>
      </c>
      <c r="J1835" s="6" t="s">
        <v>594</v>
      </c>
      <c r="K1835" s="5" t="n">
        <v>153000105</v>
      </c>
      <c r="L1835" s="9" t="n">
        <v>46064</v>
      </c>
      <c r="M1835" s="10" t="n">
        <v>47889</v>
      </c>
    </row>
    <row r="1836" customFormat="false" ht="30" hidden="false" customHeight="true" outlineLevel="0" collapsed="false">
      <c r="A1836" s="4" t="s">
        <v>1400</v>
      </c>
      <c r="B1836" s="4" t="s">
        <v>14</v>
      </c>
      <c r="C1836" s="5" t="n">
        <v>1329001703</v>
      </c>
      <c r="D1836" s="6" t="s">
        <v>1905</v>
      </c>
      <c r="E1836" s="6"/>
      <c r="F1836" s="7" t="n">
        <v>46071.4803151042</v>
      </c>
      <c r="G1836" s="7" t="n">
        <v>46076.186935463</v>
      </c>
      <c r="H1836" s="8" t="n">
        <v>4</v>
      </c>
      <c r="I1836" s="5" t="n">
        <v>401047</v>
      </c>
      <c r="J1836" s="6" t="s">
        <v>594</v>
      </c>
      <c r="K1836" s="5" t="n">
        <v>153000105</v>
      </c>
      <c r="L1836" s="9" t="n">
        <v>46064</v>
      </c>
      <c r="M1836" s="10" t="n">
        <v>47889</v>
      </c>
    </row>
    <row r="1837" customFormat="false" ht="30" hidden="false" customHeight="true" outlineLevel="0" collapsed="false">
      <c r="A1837" s="4" t="s">
        <v>1400</v>
      </c>
      <c r="B1837" s="4" t="s">
        <v>14</v>
      </c>
      <c r="C1837" s="5" t="n">
        <v>1329001703</v>
      </c>
      <c r="D1837" s="6" t="s">
        <v>1906</v>
      </c>
      <c r="E1837" s="6"/>
      <c r="F1837" s="7" t="n">
        <v>46071.4803151042</v>
      </c>
      <c r="G1837" s="7" t="n">
        <v>46076.1866327199</v>
      </c>
      <c r="H1837" s="8" t="n">
        <v>4</v>
      </c>
      <c r="I1837" s="5" t="n">
        <v>401047</v>
      </c>
      <c r="J1837" s="6" t="s">
        <v>594</v>
      </c>
      <c r="K1837" s="5" t="n">
        <v>153000105</v>
      </c>
      <c r="L1837" s="9" t="n">
        <v>46064</v>
      </c>
      <c r="M1837" s="10" t="n">
        <v>47889</v>
      </c>
    </row>
    <row r="1838" customFormat="false" ht="30" hidden="false" customHeight="true" outlineLevel="0" collapsed="false">
      <c r="A1838" s="4" t="s">
        <v>1400</v>
      </c>
      <c r="B1838" s="4" t="s">
        <v>14</v>
      </c>
      <c r="C1838" s="5" t="n">
        <v>1329001703</v>
      </c>
      <c r="D1838" s="6" t="s">
        <v>1907</v>
      </c>
      <c r="E1838" s="6"/>
      <c r="F1838" s="7" t="n">
        <v>46071.4803151042</v>
      </c>
      <c r="G1838" s="7" t="n">
        <v>46076.18613375</v>
      </c>
      <c r="H1838" s="8" t="n">
        <v>4</v>
      </c>
      <c r="I1838" s="5" t="n">
        <v>401047</v>
      </c>
      <c r="J1838" s="6" t="s">
        <v>594</v>
      </c>
      <c r="K1838" s="5" t="n">
        <v>153000105</v>
      </c>
      <c r="L1838" s="9" t="n">
        <v>46064</v>
      </c>
      <c r="M1838" s="10" t="n">
        <v>47889</v>
      </c>
    </row>
    <row r="1839" customFormat="false" ht="30" hidden="false" customHeight="true" outlineLevel="0" collapsed="false">
      <c r="A1839" s="4" t="s">
        <v>1400</v>
      </c>
      <c r="B1839" s="4" t="s">
        <v>14</v>
      </c>
      <c r="C1839" s="5" t="n">
        <v>1329001703</v>
      </c>
      <c r="D1839" s="6" t="s">
        <v>1908</v>
      </c>
      <c r="E1839" s="6"/>
      <c r="F1839" s="7" t="n">
        <v>46071.4803151042</v>
      </c>
      <c r="G1839" s="7" t="n">
        <v>46076.1856659259</v>
      </c>
      <c r="H1839" s="8" t="n">
        <v>4</v>
      </c>
      <c r="I1839" s="5" t="n">
        <v>401047</v>
      </c>
      <c r="J1839" s="6" t="s">
        <v>594</v>
      </c>
      <c r="K1839" s="5" t="n">
        <v>153000105</v>
      </c>
      <c r="L1839" s="9" t="n">
        <v>46064</v>
      </c>
      <c r="M1839" s="10" t="n">
        <v>47889</v>
      </c>
    </row>
    <row r="1840" customFormat="false" ht="30" hidden="false" customHeight="true" outlineLevel="0" collapsed="false">
      <c r="A1840" s="4" t="s">
        <v>1400</v>
      </c>
      <c r="B1840" s="4" t="s">
        <v>14</v>
      </c>
      <c r="C1840" s="5" t="n">
        <v>1329001703</v>
      </c>
      <c r="D1840" s="6" t="s">
        <v>1909</v>
      </c>
      <c r="E1840" s="6"/>
      <c r="F1840" s="7" t="n">
        <v>46071.4803151042</v>
      </c>
      <c r="G1840" s="7" t="n">
        <v>46076.185175625</v>
      </c>
      <c r="H1840" s="8" t="n">
        <v>4</v>
      </c>
      <c r="I1840" s="5" t="n">
        <v>401047</v>
      </c>
      <c r="J1840" s="6" t="s">
        <v>594</v>
      </c>
      <c r="K1840" s="5" t="n">
        <v>153000105</v>
      </c>
      <c r="L1840" s="9" t="n">
        <v>46064</v>
      </c>
      <c r="M1840" s="10" t="n">
        <v>47889</v>
      </c>
    </row>
    <row r="1841" customFormat="false" ht="30" hidden="false" customHeight="true" outlineLevel="0" collapsed="false">
      <c r="A1841" s="4" t="s">
        <v>1400</v>
      </c>
      <c r="B1841" s="4" t="s">
        <v>14</v>
      </c>
      <c r="C1841" s="5" t="n">
        <v>1329001703</v>
      </c>
      <c r="D1841" s="6" t="s">
        <v>1910</v>
      </c>
      <c r="E1841" s="6"/>
      <c r="F1841" s="7" t="n">
        <v>46071.4803151042</v>
      </c>
      <c r="G1841" s="7" t="n">
        <v>46076.2008361921</v>
      </c>
      <c r="H1841" s="8" t="n">
        <v>4</v>
      </c>
      <c r="I1841" s="5" t="n">
        <v>400483</v>
      </c>
      <c r="J1841" s="6" t="s">
        <v>1803</v>
      </c>
      <c r="K1841" s="5" t="n">
        <v>153000100</v>
      </c>
      <c r="L1841" s="9" t="n">
        <v>46063</v>
      </c>
      <c r="M1841" s="10" t="n">
        <v>47888</v>
      </c>
    </row>
    <row r="1842" customFormat="false" ht="30" hidden="false" customHeight="true" outlineLevel="0" collapsed="false">
      <c r="A1842" s="4" t="s">
        <v>1400</v>
      </c>
      <c r="B1842" s="4" t="s">
        <v>14</v>
      </c>
      <c r="C1842" s="5" t="n">
        <v>1329001703</v>
      </c>
      <c r="D1842" s="6" t="s">
        <v>1911</v>
      </c>
      <c r="E1842" s="6"/>
      <c r="F1842" s="7" t="n">
        <v>46071.4803151042</v>
      </c>
      <c r="G1842" s="7" t="n">
        <v>46076.200130081</v>
      </c>
      <c r="H1842" s="8" t="n">
        <v>4</v>
      </c>
      <c r="I1842" s="5" t="n">
        <v>400483</v>
      </c>
      <c r="J1842" s="6" t="s">
        <v>1803</v>
      </c>
      <c r="K1842" s="5" t="n">
        <v>153000100</v>
      </c>
      <c r="L1842" s="9" t="n">
        <v>46063</v>
      </c>
      <c r="M1842" s="10" t="n">
        <v>47888</v>
      </c>
    </row>
    <row r="1843" customFormat="false" ht="30" hidden="false" customHeight="true" outlineLevel="0" collapsed="false">
      <c r="A1843" s="4" t="s">
        <v>1400</v>
      </c>
      <c r="B1843" s="4" t="s">
        <v>14</v>
      </c>
      <c r="C1843" s="5" t="n">
        <v>1329001703</v>
      </c>
      <c r="D1843" s="6" t="s">
        <v>1912</v>
      </c>
      <c r="E1843" s="6"/>
      <c r="F1843" s="7" t="n">
        <v>46071.4803151042</v>
      </c>
      <c r="G1843" s="7" t="n">
        <v>46076.1960470255</v>
      </c>
      <c r="H1843" s="8" t="n">
        <v>4</v>
      </c>
      <c r="I1843" s="5" t="n">
        <v>400483</v>
      </c>
      <c r="J1843" s="6" t="s">
        <v>1803</v>
      </c>
      <c r="K1843" s="5" t="n">
        <v>153000100</v>
      </c>
      <c r="L1843" s="9" t="n">
        <v>46063</v>
      </c>
      <c r="M1843" s="10" t="n">
        <v>47888</v>
      </c>
    </row>
    <row r="1844" customFormat="false" ht="30" hidden="true" customHeight="true" outlineLevel="0" collapsed="false">
      <c r="A1844" s="4" t="s">
        <v>109</v>
      </c>
      <c r="B1844" s="4" t="s">
        <v>14</v>
      </c>
      <c r="C1844" s="5" t="n">
        <v>1329001702</v>
      </c>
      <c r="D1844" s="6" t="s">
        <v>1913</v>
      </c>
      <c r="E1844" s="6"/>
      <c r="F1844" s="7" t="n">
        <v>46072.4146958681</v>
      </c>
      <c r="G1844" s="7" t="n">
        <v>46072.4210130556</v>
      </c>
      <c r="H1844" s="8" t="n">
        <v>24</v>
      </c>
      <c r="I1844" s="5" t="n">
        <v>400918</v>
      </c>
      <c r="J1844" s="6" t="s">
        <v>1914</v>
      </c>
      <c r="K1844" s="5" t="n">
        <v>100011181</v>
      </c>
      <c r="L1844" s="9" t="n">
        <v>46015</v>
      </c>
      <c r="M1844" s="10" t="n">
        <v>47840</v>
      </c>
    </row>
    <row r="1845" customFormat="false" ht="30" hidden="true" customHeight="true" outlineLevel="0" collapsed="false">
      <c r="A1845" s="4" t="s">
        <v>109</v>
      </c>
      <c r="B1845" s="4" t="s">
        <v>14</v>
      </c>
      <c r="C1845" s="5" t="n">
        <v>1329001702</v>
      </c>
      <c r="D1845" s="6" t="s">
        <v>1915</v>
      </c>
      <c r="E1845" s="6"/>
      <c r="F1845" s="7" t="n">
        <v>46072.4146958681</v>
      </c>
      <c r="G1845" s="7" t="n">
        <v>46072.4432394329</v>
      </c>
      <c r="H1845" s="8" t="n">
        <v>52</v>
      </c>
      <c r="I1845" s="5" t="n">
        <v>400477</v>
      </c>
      <c r="J1845" s="6" t="s">
        <v>1916</v>
      </c>
      <c r="K1845" s="5" t="n">
        <v>100009584</v>
      </c>
      <c r="L1845" s="9" t="n">
        <v>45871</v>
      </c>
      <c r="M1845" s="10" t="n">
        <v>47696</v>
      </c>
    </row>
    <row r="1846" customFormat="false" ht="30" hidden="true" customHeight="true" outlineLevel="0" collapsed="false">
      <c r="A1846" s="4" t="s">
        <v>109</v>
      </c>
      <c r="B1846" s="4" t="s">
        <v>14</v>
      </c>
      <c r="C1846" s="5" t="n">
        <v>1329001702</v>
      </c>
      <c r="D1846" s="6" t="s">
        <v>1917</v>
      </c>
      <c r="E1846" s="6"/>
      <c r="F1846" s="7" t="n">
        <v>46072.4146958681</v>
      </c>
      <c r="G1846" s="7" t="n">
        <v>46072.4444082407</v>
      </c>
      <c r="H1846" s="8" t="n">
        <v>10</v>
      </c>
      <c r="I1846" s="5" t="n">
        <v>400920</v>
      </c>
      <c r="J1846" s="6" t="s">
        <v>197</v>
      </c>
      <c r="K1846" s="5" t="n">
        <v>100011191</v>
      </c>
      <c r="L1846" s="9" t="n">
        <v>46015</v>
      </c>
      <c r="M1846" s="10" t="n">
        <v>47840</v>
      </c>
    </row>
    <row r="1847" customFormat="false" ht="30" hidden="true" customHeight="true" outlineLevel="0" collapsed="false">
      <c r="A1847" s="4" t="s">
        <v>109</v>
      </c>
      <c r="B1847" s="4" t="s">
        <v>14</v>
      </c>
      <c r="C1847" s="5" t="n">
        <v>1329001702</v>
      </c>
      <c r="D1847" s="6" t="s">
        <v>1918</v>
      </c>
      <c r="E1847" s="6"/>
      <c r="F1847" s="7" t="n">
        <v>46072.4146958681</v>
      </c>
      <c r="G1847" s="7" t="n">
        <v>46072.4404435648</v>
      </c>
      <c r="H1847" s="8" t="n">
        <v>24</v>
      </c>
      <c r="I1847" s="5" t="n">
        <v>400918</v>
      </c>
      <c r="J1847" s="6" t="s">
        <v>1914</v>
      </c>
      <c r="K1847" s="5" t="n">
        <v>100011181</v>
      </c>
      <c r="L1847" s="9" t="n">
        <v>46015</v>
      </c>
      <c r="M1847" s="10" t="n">
        <v>47840</v>
      </c>
    </row>
    <row r="1848" customFormat="false" ht="30" hidden="true" customHeight="true" outlineLevel="0" collapsed="false">
      <c r="A1848" s="4" t="s">
        <v>109</v>
      </c>
      <c r="B1848" s="4" t="s">
        <v>14</v>
      </c>
      <c r="C1848" s="5" t="n">
        <v>1329001702</v>
      </c>
      <c r="D1848" s="6" t="s">
        <v>1919</v>
      </c>
      <c r="E1848" s="6"/>
      <c r="F1848" s="7" t="n">
        <v>46072.4146958681</v>
      </c>
      <c r="G1848" s="7" t="n">
        <v>46072.4396097454</v>
      </c>
      <c r="H1848" s="8" t="n">
        <v>24</v>
      </c>
      <c r="I1848" s="5" t="n">
        <v>400920</v>
      </c>
      <c r="J1848" s="6" t="s">
        <v>197</v>
      </c>
      <c r="K1848" s="5" t="n">
        <v>100010030</v>
      </c>
      <c r="L1848" s="9" t="n">
        <v>46016</v>
      </c>
      <c r="M1848" s="10" t="n">
        <v>47841</v>
      </c>
    </row>
    <row r="1849" customFormat="false" ht="30" hidden="true" customHeight="true" outlineLevel="0" collapsed="false">
      <c r="A1849" s="4" t="s">
        <v>109</v>
      </c>
      <c r="B1849" s="4" t="s">
        <v>14</v>
      </c>
      <c r="C1849" s="5" t="n">
        <v>1329001702</v>
      </c>
      <c r="D1849" s="6" t="s">
        <v>1920</v>
      </c>
      <c r="E1849" s="6"/>
      <c r="F1849" s="7" t="n">
        <v>46072.4146958681</v>
      </c>
      <c r="G1849" s="7" t="n">
        <v>46072.4365096065</v>
      </c>
      <c r="H1849" s="8" t="n">
        <v>24</v>
      </c>
      <c r="I1849" s="5" t="n">
        <v>400918</v>
      </c>
      <c r="J1849" s="6" t="s">
        <v>1914</v>
      </c>
      <c r="K1849" s="5" t="n">
        <v>100011181</v>
      </c>
      <c r="L1849" s="9" t="n">
        <v>46015</v>
      </c>
      <c r="M1849" s="10" t="n">
        <v>47840</v>
      </c>
    </row>
    <row r="1850" customFormat="false" ht="30" hidden="true" customHeight="true" outlineLevel="0" collapsed="false">
      <c r="A1850" s="4" t="s">
        <v>109</v>
      </c>
      <c r="B1850" s="4" t="s">
        <v>14</v>
      </c>
      <c r="C1850" s="5" t="n">
        <v>1329001702</v>
      </c>
      <c r="D1850" s="6" t="s">
        <v>1921</v>
      </c>
      <c r="E1850" s="6"/>
      <c r="F1850" s="7" t="n">
        <v>46072.4146958681</v>
      </c>
      <c r="G1850" s="7" t="n">
        <v>46072.4360090972</v>
      </c>
      <c r="H1850" s="8" t="n">
        <v>24</v>
      </c>
      <c r="I1850" s="5" t="n">
        <v>400920</v>
      </c>
      <c r="J1850" s="6" t="s">
        <v>197</v>
      </c>
      <c r="K1850" s="5" t="n">
        <v>100011191</v>
      </c>
      <c r="L1850" s="9" t="n">
        <v>46015</v>
      </c>
      <c r="M1850" s="10" t="n">
        <v>47840</v>
      </c>
    </row>
    <row r="1851" customFormat="false" ht="30" hidden="true" customHeight="true" outlineLevel="0" collapsed="false">
      <c r="A1851" s="4" t="s">
        <v>109</v>
      </c>
      <c r="B1851" s="4" t="s">
        <v>14</v>
      </c>
      <c r="C1851" s="5" t="n">
        <v>1329001702</v>
      </c>
      <c r="D1851" s="6" t="s">
        <v>1922</v>
      </c>
      <c r="E1851" s="6"/>
      <c r="F1851" s="7" t="n">
        <v>46072.4146958681</v>
      </c>
      <c r="G1851" s="7" t="n">
        <v>46072.4341596644</v>
      </c>
      <c r="H1851" s="8" t="n">
        <v>24</v>
      </c>
      <c r="I1851" s="5" t="n">
        <v>400918</v>
      </c>
      <c r="J1851" s="6" t="s">
        <v>1914</v>
      </c>
      <c r="K1851" s="5" t="n">
        <v>100011181</v>
      </c>
      <c r="L1851" s="9" t="n">
        <v>46015</v>
      </c>
      <c r="M1851" s="10" t="n">
        <v>47840</v>
      </c>
    </row>
    <row r="1852" customFormat="false" ht="30" hidden="true" customHeight="true" outlineLevel="0" collapsed="false">
      <c r="A1852" s="4" t="s">
        <v>109</v>
      </c>
      <c r="B1852" s="4" t="s">
        <v>14</v>
      </c>
      <c r="C1852" s="5" t="n">
        <v>1329001702</v>
      </c>
      <c r="D1852" s="6" t="s">
        <v>1923</v>
      </c>
      <c r="E1852" s="6"/>
      <c r="F1852" s="7" t="n">
        <v>46072.4146958681</v>
      </c>
      <c r="G1852" s="7" t="n">
        <v>46072.4323884144</v>
      </c>
      <c r="H1852" s="8" t="n">
        <v>24</v>
      </c>
      <c r="I1852" s="5" t="n">
        <v>400918</v>
      </c>
      <c r="J1852" s="6" t="s">
        <v>1914</v>
      </c>
      <c r="K1852" s="5" t="n">
        <v>100011181</v>
      </c>
      <c r="L1852" s="9" t="n">
        <v>46015</v>
      </c>
      <c r="M1852" s="10" t="n">
        <v>47840</v>
      </c>
    </row>
    <row r="1853" customFormat="false" ht="30" hidden="true" customHeight="true" outlineLevel="0" collapsed="false">
      <c r="A1853" s="4" t="s">
        <v>109</v>
      </c>
      <c r="B1853" s="4" t="s">
        <v>14</v>
      </c>
      <c r="C1853" s="5" t="n">
        <v>1329001702</v>
      </c>
      <c r="D1853" s="6" t="s">
        <v>1924</v>
      </c>
      <c r="E1853" s="6"/>
      <c r="F1853" s="7" t="n">
        <v>46072.4146958681</v>
      </c>
      <c r="G1853" s="7" t="n">
        <v>46072.4331321181</v>
      </c>
      <c r="H1853" s="8" t="n">
        <v>24</v>
      </c>
      <c r="I1853" s="5" t="n">
        <v>400920</v>
      </c>
      <c r="J1853" s="6" t="s">
        <v>197</v>
      </c>
      <c r="K1853" s="5" t="n">
        <v>100011191</v>
      </c>
      <c r="L1853" s="9" t="n">
        <v>46015</v>
      </c>
      <c r="M1853" s="10" t="n">
        <v>47840</v>
      </c>
    </row>
    <row r="1854" customFormat="false" ht="30" hidden="true" customHeight="true" outlineLevel="0" collapsed="false">
      <c r="A1854" s="4" t="s">
        <v>109</v>
      </c>
      <c r="B1854" s="4" t="s">
        <v>14</v>
      </c>
      <c r="C1854" s="5" t="n">
        <v>1329001702</v>
      </c>
      <c r="D1854" s="6" t="s">
        <v>1925</v>
      </c>
      <c r="E1854" s="6"/>
      <c r="F1854" s="7" t="n">
        <v>46072.4146958681</v>
      </c>
      <c r="G1854" s="7" t="n">
        <v>46072.4318632755</v>
      </c>
      <c r="H1854" s="8" t="n">
        <v>24</v>
      </c>
      <c r="I1854" s="5" t="n">
        <v>400918</v>
      </c>
      <c r="J1854" s="6" t="s">
        <v>1914</v>
      </c>
      <c r="K1854" s="5" t="n">
        <v>100011181</v>
      </c>
      <c r="L1854" s="9" t="n">
        <v>46015</v>
      </c>
      <c r="M1854" s="10" t="n">
        <v>47840</v>
      </c>
    </row>
    <row r="1855" customFormat="false" ht="30" hidden="true" customHeight="true" outlineLevel="0" collapsed="false">
      <c r="A1855" s="4" t="s">
        <v>109</v>
      </c>
      <c r="B1855" s="4" t="s">
        <v>14</v>
      </c>
      <c r="C1855" s="5" t="n">
        <v>1329001702</v>
      </c>
      <c r="D1855" s="6" t="s">
        <v>1926</v>
      </c>
      <c r="E1855" s="6"/>
      <c r="F1855" s="7" t="n">
        <v>46072.4146958681</v>
      </c>
      <c r="G1855" s="7" t="n">
        <v>46072.4312196875</v>
      </c>
      <c r="H1855" s="8" t="n">
        <v>24</v>
      </c>
      <c r="I1855" s="5" t="n">
        <v>400920</v>
      </c>
      <c r="J1855" s="6" t="s">
        <v>197</v>
      </c>
      <c r="K1855" s="5" t="n">
        <v>100011191</v>
      </c>
      <c r="L1855" s="9" t="n">
        <v>46015</v>
      </c>
      <c r="M1855" s="10" t="n">
        <v>47840</v>
      </c>
    </row>
    <row r="1856" customFormat="false" ht="30" hidden="true" customHeight="true" outlineLevel="0" collapsed="false">
      <c r="A1856" s="4" t="s">
        <v>109</v>
      </c>
      <c r="B1856" s="4" t="s">
        <v>14</v>
      </c>
      <c r="C1856" s="5" t="n">
        <v>1329001702</v>
      </c>
      <c r="D1856" s="6" t="s">
        <v>1927</v>
      </c>
      <c r="E1856" s="6"/>
      <c r="F1856" s="7" t="n">
        <v>46072.4146958681</v>
      </c>
      <c r="G1856" s="7" t="n">
        <v>46072.4302837153</v>
      </c>
      <c r="H1856" s="8" t="n">
        <v>24</v>
      </c>
      <c r="I1856" s="5" t="n">
        <v>400918</v>
      </c>
      <c r="J1856" s="6" t="s">
        <v>1914</v>
      </c>
      <c r="K1856" s="5" t="n">
        <v>100011181</v>
      </c>
      <c r="L1856" s="9" t="n">
        <v>46015</v>
      </c>
      <c r="M1856" s="10" t="n">
        <v>47840</v>
      </c>
    </row>
    <row r="1857" customFormat="false" ht="30" hidden="true" customHeight="true" outlineLevel="0" collapsed="false">
      <c r="A1857" s="4" t="s">
        <v>109</v>
      </c>
      <c r="B1857" s="4" t="s">
        <v>14</v>
      </c>
      <c r="C1857" s="5" t="n">
        <v>1329001702</v>
      </c>
      <c r="D1857" s="6" t="s">
        <v>1928</v>
      </c>
      <c r="E1857" s="6"/>
      <c r="F1857" s="7" t="n">
        <v>46072.4146958681</v>
      </c>
      <c r="G1857" s="7" t="n">
        <v>46072.4296231482</v>
      </c>
      <c r="H1857" s="8" t="n">
        <v>24</v>
      </c>
      <c r="I1857" s="5" t="n">
        <v>400920</v>
      </c>
      <c r="J1857" s="6" t="s">
        <v>197</v>
      </c>
      <c r="K1857" s="5" t="n">
        <v>100011191</v>
      </c>
      <c r="L1857" s="9" t="n">
        <v>46015</v>
      </c>
      <c r="M1857" s="10" t="n">
        <v>47840</v>
      </c>
    </row>
    <row r="1858" customFormat="false" ht="30" hidden="true" customHeight="true" outlineLevel="0" collapsed="false">
      <c r="A1858" s="4" t="s">
        <v>109</v>
      </c>
      <c r="B1858" s="4" t="s">
        <v>14</v>
      </c>
      <c r="C1858" s="5" t="n">
        <v>1329001702</v>
      </c>
      <c r="D1858" s="6" t="s">
        <v>1929</v>
      </c>
      <c r="E1858" s="6"/>
      <c r="F1858" s="7" t="n">
        <v>46072.4146958681</v>
      </c>
      <c r="G1858" s="7" t="n">
        <v>46072.4289878009</v>
      </c>
      <c r="H1858" s="8" t="n">
        <v>24</v>
      </c>
      <c r="I1858" s="5" t="n">
        <v>400918</v>
      </c>
      <c r="J1858" s="6" t="s">
        <v>1914</v>
      </c>
      <c r="K1858" s="5" t="n">
        <v>100011181</v>
      </c>
      <c r="L1858" s="9" t="n">
        <v>46015</v>
      </c>
      <c r="M1858" s="10" t="n">
        <v>47840</v>
      </c>
    </row>
    <row r="1859" customFormat="false" ht="30" hidden="true" customHeight="true" outlineLevel="0" collapsed="false">
      <c r="A1859" s="4" t="s">
        <v>109</v>
      </c>
      <c r="B1859" s="4" t="s">
        <v>14</v>
      </c>
      <c r="C1859" s="5" t="n">
        <v>1329001702</v>
      </c>
      <c r="D1859" s="6" t="s">
        <v>1930</v>
      </c>
      <c r="E1859" s="6"/>
      <c r="F1859" s="7" t="n">
        <v>46072.4146958681</v>
      </c>
      <c r="G1859" s="7" t="n">
        <v>46072.4282812269</v>
      </c>
      <c r="H1859" s="8" t="n">
        <v>24</v>
      </c>
      <c r="I1859" s="5" t="n">
        <v>400920</v>
      </c>
      <c r="J1859" s="6" t="s">
        <v>197</v>
      </c>
      <c r="K1859" s="5" t="n">
        <v>100011191</v>
      </c>
      <c r="L1859" s="9" t="n">
        <v>46015</v>
      </c>
      <c r="M1859" s="10" t="n">
        <v>47840</v>
      </c>
    </row>
    <row r="1860" customFormat="false" ht="30" hidden="true" customHeight="true" outlineLevel="0" collapsed="false">
      <c r="A1860" s="4" t="s">
        <v>109</v>
      </c>
      <c r="B1860" s="4" t="s">
        <v>14</v>
      </c>
      <c r="C1860" s="5" t="n">
        <v>1329001702</v>
      </c>
      <c r="D1860" s="6" t="s">
        <v>1931</v>
      </c>
      <c r="E1860" s="6"/>
      <c r="F1860" s="7" t="n">
        <v>46072.4146958681</v>
      </c>
      <c r="G1860" s="7" t="n">
        <v>46072.4268250463</v>
      </c>
      <c r="H1860" s="8" t="n">
        <v>24</v>
      </c>
      <c r="I1860" s="5" t="n">
        <v>400920</v>
      </c>
      <c r="J1860" s="6" t="s">
        <v>197</v>
      </c>
      <c r="K1860" s="5" t="n">
        <v>100011191</v>
      </c>
      <c r="L1860" s="9" t="n">
        <v>46015</v>
      </c>
      <c r="M1860" s="10" t="n">
        <v>47840</v>
      </c>
    </row>
    <row r="1861" customFormat="false" ht="30" hidden="true" customHeight="true" outlineLevel="0" collapsed="false">
      <c r="A1861" s="4" t="s">
        <v>109</v>
      </c>
      <c r="B1861" s="4" t="s">
        <v>14</v>
      </c>
      <c r="C1861" s="5" t="n">
        <v>1329001702</v>
      </c>
      <c r="D1861" s="12" t="n">
        <v>6285793004488</v>
      </c>
      <c r="E1861" s="6"/>
      <c r="F1861" s="7" t="n">
        <v>46072.4146958681</v>
      </c>
      <c r="G1861" s="7" t="n">
        <v>46072.4275641667</v>
      </c>
      <c r="H1861" s="8" t="n">
        <v>24</v>
      </c>
      <c r="I1861" s="5" t="n">
        <v>400918</v>
      </c>
      <c r="J1861" s="6" t="s">
        <v>1914</v>
      </c>
      <c r="K1861" s="5" t="n">
        <v>100011181</v>
      </c>
      <c r="L1861" s="9" t="n">
        <v>46015</v>
      </c>
      <c r="M1861" s="10" t="n">
        <v>47840</v>
      </c>
    </row>
    <row r="1862" customFormat="false" ht="30" hidden="true" customHeight="true" outlineLevel="0" collapsed="false">
      <c r="A1862" s="4" t="s">
        <v>109</v>
      </c>
      <c r="B1862" s="4" t="s">
        <v>14</v>
      </c>
      <c r="C1862" s="5" t="n">
        <v>1329001702</v>
      </c>
      <c r="D1862" s="6" t="s">
        <v>1932</v>
      </c>
      <c r="E1862" s="6"/>
      <c r="F1862" s="7" t="n">
        <v>46072.4146958681</v>
      </c>
      <c r="G1862" s="7" t="n">
        <v>46072.4246134144</v>
      </c>
      <c r="H1862" s="8" t="n">
        <v>24</v>
      </c>
      <c r="I1862" s="5" t="n">
        <v>400918</v>
      </c>
      <c r="J1862" s="6" t="s">
        <v>1914</v>
      </c>
      <c r="K1862" s="5" t="n">
        <v>100011181</v>
      </c>
      <c r="L1862" s="9" t="n">
        <v>46015</v>
      </c>
      <c r="M1862" s="10" t="n">
        <v>47840</v>
      </c>
    </row>
    <row r="1863" customFormat="false" ht="30" hidden="true" customHeight="true" outlineLevel="0" collapsed="false">
      <c r="A1863" s="4" t="s">
        <v>109</v>
      </c>
      <c r="B1863" s="4" t="s">
        <v>14</v>
      </c>
      <c r="C1863" s="5" t="n">
        <v>1329001702</v>
      </c>
      <c r="D1863" s="6" t="s">
        <v>1933</v>
      </c>
      <c r="E1863" s="6"/>
      <c r="F1863" s="7" t="n">
        <v>46072.4146958681</v>
      </c>
      <c r="G1863" s="7" t="n">
        <v>46072.4258830556</v>
      </c>
      <c r="H1863" s="8" t="n">
        <v>24</v>
      </c>
      <c r="I1863" s="5" t="n">
        <v>400920</v>
      </c>
      <c r="J1863" s="6" t="s">
        <v>197</v>
      </c>
      <c r="K1863" s="5" t="n">
        <v>100011191</v>
      </c>
      <c r="L1863" s="9" t="n">
        <v>46015</v>
      </c>
      <c r="M1863" s="10" t="n">
        <v>47840</v>
      </c>
    </row>
    <row r="1864" customFormat="false" ht="30" hidden="true" customHeight="true" outlineLevel="0" collapsed="false">
      <c r="A1864" s="4" t="s">
        <v>109</v>
      </c>
      <c r="B1864" s="4" t="s">
        <v>14</v>
      </c>
      <c r="C1864" s="5" t="n">
        <v>1329001702</v>
      </c>
      <c r="D1864" s="6" t="s">
        <v>1934</v>
      </c>
      <c r="E1864" s="6"/>
      <c r="F1864" s="7" t="n">
        <v>46072.4146958681</v>
      </c>
      <c r="G1864" s="7" t="n">
        <v>46072.4229364815</v>
      </c>
      <c r="H1864" s="8" t="n">
        <v>24</v>
      </c>
      <c r="I1864" s="5" t="n">
        <v>400920</v>
      </c>
      <c r="J1864" s="6" t="s">
        <v>197</v>
      </c>
      <c r="K1864" s="5" t="n">
        <v>100011191</v>
      </c>
      <c r="L1864" s="9" t="n">
        <v>46015</v>
      </c>
      <c r="M1864" s="10" t="n">
        <v>47840</v>
      </c>
    </row>
    <row r="1865" customFormat="false" ht="30" hidden="true" customHeight="true" outlineLevel="0" collapsed="false">
      <c r="A1865" s="4" t="s">
        <v>109</v>
      </c>
      <c r="B1865" s="4" t="s">
        <v>14</v>
      </c>
      <c r="C1865" s="5" t="n">
        <v>1329001702</v>
      </c>
      <c r="D1865" s="6" t="s">
        <v>1935</v>
      </c>
      <c r="E1865" s="6"/>
      <c r="F1865" s="7" t="n">
        <v>46072.4146958681</v>
      </c>
      <c r="G1865" s="7" t="n">
        <v>46072.423864213</v>
      </c>
      <c r="H1865" s="8" t="n">
        <v>24</v>
      </c>
      <c r="I1865" s="5" t="n">
        <v>400918</v>
      </c>
      <c r="J1865" s="6" t="s">
        <v>1914</v>
      </c>
      <c r="K1865" s="5" t="n">
        <v>100011181</v>
      </c>
      <c r="L1865" s="9" t="n">
        <v>46015</v>
      </c>
      <c r="M1865" s="10" t="n">
        <v>47840</v>
      </c>
    </row>
    <row r="1866" customFormat="false" ht="30" hidden="true" customHeight="true" outlineLevel="0" collapsed="false">
      <c r="A1866" s="4" t="s">
        <v>109</v>
      </c>
      <c r="B1866" s="4" t="s">
        <v>14</v>
      </c>
      <c r="C1866" s="5" t="n">
        <v>1329001702</v>
      </c>
      <c r="D1866" s="6" t="s">
        <v>1936</v>
      </c>
      <c r="E1866" s="6"/>
      <c r="F1866" s="7" t="n">
        <v>46072.4146958681</v>
      </c>
      <c r="G1866" s="7" t="n">
        <v>46072.4220898032</v>
      </c>
      <c r="H1866" s="8" t="n">
        <v>24</v>
      </c>
      <c r="I1866" s="5" t="n">
        <v>400920</v>
      </c>
      <c r="J1866" s="6" t="s">
        <v>197</v>
      </c>
      <c r="K1866" s="5" t="n">
        <v>100011191</v>
      </c>
      <c r="L1866" s="9" t="n">
        <v>46015</v>
      </c>
      <c r="M1866" s="10" t="n">
        <v>47840</v>
      </c>
    </row>
    <row r="1867" customFormat="false" ht="30" hidden="true" customHeight="true" outlineLevel="0" collapsed="false">
      <c r="A1867" s="4" t="s">
        <v>109</v>
      </c>
      <c r="B1867" s="4" t="s">
        <v>14</v>
      </c>
      <c r="C1867" s="5" t="n">
        <v>1329001702</v>
      </c>
      <c r="D1867" s="6" t="s">
        <v>1937</v>
      </c>
      <c r="E1867" s="6"/>
      <c r="F1867" s="7" t="n">
        <v>46072.4146958681</v>
      </c>
      <c r="G1867" s="7" t="n">
        <v>46072.442189537</v>
      </c>
      <c r="H1867" s="8" t="n">
        <v>52</v>
      </c>
      <c r="I1867" s="5" t="n">
        <v>400477</v>
      </c>
      <c r="J1867" s="6" t="s">
        <v>1916</v>
      </c>
      <c r="K1867" s="5" t="n">
        <v>100010153</v>
      </c>
      <c r="L1867" s="9" t="n">
        <v>45871</v>
      </c>
      <c r="M1867" s="10" t="n">
        <v>47696</v>
      </c>
    </row>
    <row r="1868" customFormat="false" ht="30" hidden="true" customHeight="true" outlineLevel="0" collapsed="false">
      <c r="A1868" s="4" t="s">
        <v>109</v>
      </c>
      <c r="B1868" s="4" t="s">
        <v>14</v>
      </c>
      <c r="C1868" s="5" t="n">
        <v>1329001699</v>
      </c>
      <c r="D1868" s="6" t="s">
        <v>1938</v>
      </c>
      <c r="E1868" s="6"/>
      <c r="F1868" s="7" t="n">
        <v>46072.4640762731</v>
      </c>
      <c r="G1868" s="7" t="n">
        <v>46072.4988939005</v>
      </c>
      <c r="H1868" s="8" t="n">
        <v>4</v>
      </c>
      <c r="I1868" s="5" t="n">
        <v>400411</v>
      </c>
      <c r="J1868" s="6" t="s">
        <v>1217</v>
      </c>
      <c r="K1868" s="5" t="n">
        <v>153000104</v>
      </c>
      <c r="L1868" s="9" t="n">
        <v>46063</v>
      </c>
      <c r="M1868" s="10" t="n">
        <v>47888</v>
      </c>
    </row>
    <row r="1869" customFormat="false" ht="30" hidden="true" customHeight="true" outlineLevel="0" collapsed="false">
      <c r="A1869" s="4" t="s">
        <v>109</v>
      </c>
      <c r="B1869" s="4" t="s">
        <v>14</v>
      </c>
      <c r="C1869" s="5" t="n">
        <v>1329001699</v>
      </c>
      <c r="D1869" s="6" t="s">
        <v>1939</v>
      </c>
      <c r="E1869" s="6"/>
      <c r="F1869" s="7" t="n">
        <v>46072.4640762731</v>
      </c>
      <c r="G1869" s="7" t="n">
        <v>46072.5155045023</v>
      </c>
      <c r="H1869" s="8" t="n">
        <v>1</v>
      </c>
      <c r="I1869" s="5" t="n">
        <v>400411</v>
      </c>
      <c r="J1869" s="6" t="s">
        <v>1217</v>
      </c>
      <c r="K1869" s="5" t="n">
        <v>100011202</v>
      </c>
      <c r="L1869" s="9" t="n">
        <v>46063</v>
      </c>
      <c r="M1869" s="10" t="n">
        <v>47888</v>
      </c>
    </row>
    <row r="1870" customFormat="false" ht="30" hidden="true" customHeight="true" outlineLevel="0" collapsed="false">
      <c r="A1870" s="4" t="s">
        <v>109</v>
      </c>
      <c r="B1870" s="4" t="s">
        <v>14</v>
      </c>
      <c r="C1870" s="5" t="n">
        <v>1329001699</v>
      </c>
      <c r="D1870" s="6" t="s">
        <v>1940</v>
      </c>
      <c r="E1870" s="6"/>
      <c r="F1870" s="7" t="n">
        <v>46072.4640762731</v>
      </c>
      <c r="G1870" s="7" t="n">
        <v>46072.5140762269</v>
      </c>
      <c r="H1870" s="8" t="n">
        <v>4</v>
      </c>
      <c r="I1870" s="5" t="n">
        <v>400411</v>
      </c>
      <c r="J1870" s="6" t="s">
        <v>1217</v>
      </c>
      <c r="K1870" s="5" t="n">
        <v>153000104</v>
      </c>
      <c r="L1870" s="9" t="n">
        <v>46063</v>
      </c>
      <c r="M1870" s="10" t="n">
        <v>47888</v>
      </c>
    </row>
    <row r="1871" customFormat="false" ht="30" hidden="true" customHeight="true" outlineLevel="0" collapsed="false">
      <c r="A1871" s="4" t="s">
        <v>109</v>
      </c>
      <c r="B1871" s="4" t="s">
        <v>14</v>
      </c>
      <c r="C1871" s="5" t="n">
        <v>1329001699</v>
      </c>
      <c r="D1871" s="6" t="s">
        <v>1941</v>
      </c>
      <c r="E1871" s="6"/>
      <c r="F1871" s="7" t="n">
        <v>46072.4640762731</v>
      </c>
      <c r="G1871" s="7" t="n">
        <v>46072.5129290509</v>
      </c>
      <c r="H1871" s="8" t="n">
        <v>4</v>
      </c>
      <c r="I1871" s="5" t="n">
        <v>400441</v>
      </c>
      <c r="J1871" s="6" t="s">
        <v>80</v>
      </c>
      <c r="K1871" s="5" t="n">
        <v>153000082</v>
      </c>
      <c r="L1871" s="9" t="n">
        <v>46058</v>
      </c>
      <c r="M1871" s="10" t="n">
        <v>47883</v>
      </c>
    </row>
    <row r="1872" customFormat="false" ht="30" hidden="true" customHeight="true" outlineLevel="0" collapsed="false">
      <c r="A1872" s="4" t="s">
        <v>109</v>
      </c>
      <c r="B1872" s="4" t="s">
        <v>14</v>
      </c>
      <c r="C1872" s="5" t="n">
        <v>1329001699</v>
      </c>
      <c r="D1872" s="6" t="s">
        <v>1942</v>
      </c>
      <c r="E1872" s="6"/>
      <c r="F1872" s="7" t="n">
        <v>46072.4640762731</v>
      </c>
      <c r="G1872" s="7" t="n">
        <v>46072.5124561111</v>
      </c>
      <c r="H1872" s="8" t="n">
        <v>4</v>
      </c>
      <c r="I1872" s="5" t="n">
        <v>400441</v>
      </c>
      <c r="J1872" s="6" t="s">
        <v>80</v>
      </c>
      <c r="K1872" s="5" t="n">
        <v>153000082</v>
      </c>
      <c r="L1872" s="9" t="n">
        <v>46058</v>
      </c>
      <c r="M1872" s="10" t="n">
        <v>47883</v>
      </c>
    </row>
    <row r="1873" customFormat="false" ht="30" hidden="true" customHeight="true" outlineLevel="0" collapsed="false">
      <c r="A1873" s="4" t="s">
        <v>109</v>
      </c>
      <c r="B1873" s="4" t="s">
        <v>14</v>
      </c>
      <c r="C1873" s="5" t="n">
        <v>1329001699</v>
      </c>
      <c r="D1873" s="6" t="s">
        <v>1943</v>
      </c>
      <c r="E1873" s="6"/>
      <c r="F1873" s="7" t="n">
        <v>46072.4640762731</v>
      </c>
      <c r="G1873" s="7" t="n">
        <v>46072.5119695949</v>
      </c>
      <c r="H1873" s="8" t="n">
        <v>4</v>
      </c>
      <c r="I1873" s="5" t="n">
        <v>400441</v>
      </c>
      <c r="J1873" s="6" t="s">
        <v>80</v>
      </c>
      <c r="K1873" s="5" t="n">
        <v>153000082</v>
      </c>
      <c r="L1873" s="9" t="n">
        <v>46058</v>
      </c>
      <c r="M1873" s="10" t="n">
        <v>47883</v>
      </c>
    </row>
    <row r="1874" customFormat="false" ht="30" hidden="true" customHeight="true" outlineLevel="0" collapsed="false">
      <c r="A1874" s="4" t="s">
        <v>109</v>
      </c>
      <c r="B1874" s="4" t="s">
        <v>14</v>
      </c>
      <c r="C1874" s="5" t="n">
        <v>1329001699</v>
      </c>
      <c r="D1874" s="6" t="s">
        <v>1944</v>
      </c>
      <c r="E1874" s="6"/>
      <c r="F1874" s="7" t="n">
        <v>46072.4640762731</v>
      </c>
      <c r="G1874" s="7" t="n">
        <v>46072.5113948843</v>
      </c>
      <c r="H1874" s="8" t="n">
        <v>4</v>
      </c>
      <c r="I1874" s="5" t="n">
        <v>400441</v>
      </c>
      <c r="J1874" s="6" t="s">
        <v>80</v>
      </c>
      <c r="K1874" s="5" t="n">
        <v>153000082</v>
      </c>
      <c r="L1874" s="9" t="n">
        <v>46058</v>
      </c>
      <c r="M1874" s="10" t="n">
        <v>47883</v>
      </c>
    </row>
    <row r="1875" customFormat="false" ht="30" hidden="true" customHeight="true" outlineLevel="0" collapsed="false">
      <c r="A1875" s="4" t="s">
        <v>109</v>
      </c>
      <c r="B1875" s="4" t="s">
        <v>14</v>
      </c>
      <c r="C1875" s="5" t="n">
        <v>1329001699</v>
      </c>
      <c r="D1875" s="6" t="s">
        <v>1945</v>
      </c>
      <c r="E1875" s="6"/>
      <c r="F1875" s="7" t="n">
        <v>46072.4640762731</v>
      </c>
      <c r="G1875" s="7" t="n">
        <v>46072.5106189583</v>
      </c>
      <c r="H1875" s="8" t="n">
        <v>4</v>
      </c>
      <c r="I1875" s="5" t="n">
        <v>400441</v>
      </c>
      <c r="J1875" s="6" t="s">
        <v>80</v>
      </c>
      <c r="K1875" s="5" t="n">
        <v>153000082</v>
      </c>
      <c r="L1875" s="9" t="n">
        <v>46058</v>
      </c>
      <c r="M1875" s="10" t="n">
        <v>47883</v>
      </c>
    </row>
    <row r="1876" customFormat="false" ht="30" hidden="true" customHeight="true" outlineLevel="0" collapsed="false">
      <c r="A1876" s="4" t="s">
        <v>109</v>
      </c>
      <c r="B1876" s="4" t="s">
        <v>14</v>
      </c>
      <c r="C1876" s="5" t="n">
        <v>1329001699</v>
      </c>
      <c r="D1876" s="6" t="s">
        <v>1946</v>
      </c>
      <c r="E1876" s="6"/>
      <c r="F1876" s="7" t="n">
        <v>46072.4640762731</v>
      </c>
      <c r="G1876" s="7" t="n">
        <v>46072.5096033681</v>
      </c>
      <c r="H1876" s="8" t="n">
        <v>4</v>
      </c>
      <c r="I1876" s="5" t="n">
        <v>400441</v>
      </c>
      <c r="J1876" s="6" t="s">
        <v>80</v>
      </c>
      <c r="K1876" s="5" t="n">
        <v>153000082</v>
      </c>
      <c r="L1876" s="9" t="n">
        <v>46058</v>
      </c>
      <c r="M1876" s="10" t="n">
        <v>47883</v>
      </c>
    </row>
    <row r="1877" customFormat="false" ht="30" hidden="true" customHeight="true" outlineLevel="0" collapsed="false">
      <c r="A1877" s="4" t="s">
        <v>109</v>
      </c>
      <c r="B1877" s="4" t="s">
        <v>14</v>
      </c>
      <c r="C1877" s="5" t="n">
        <v>1329001699</v>
      </c>
      <c r="D1877" s="6" t="s">
        <v>1947</v>
      </c>
      <c r="E1877" s="6"/>
      <c r="F1877" s="7" t="n">
        <v>46072.4640762731</v>
      </c>
      <c r="G1877" s="7" t="n">
        <v>46072.5087835995</v>
      </c>
      <c r="H1877" s="8" t="n">
        <v>4</v>
      </c>
      <c r="I1877" s="5" t="n">
        <v>400441</v>
      </c>
      <c r="J1877" s="6" t="s">
        <v>80</v>
      </c>
      <c r="K1877" s="5" t="n">
        <v>153000082</v>
      </c>
      <c r="L1877" s="9" t="n">
        <v>46058</v>
      </c>
      <c r="M1877" s="10" t="n">
        <v>47883</v>
      </c>
    </row>
    <row r="1878" customFormat="false" ht="30" hidden="true" customHeight="true" outlineLevel="0" collapsed="false">
      <c r="A1878" s="4" t="s">
        <v>109</v>
      </c>
      <c r="B1878" s="4" t="s">
        <v>14</v>
      </c>
      <c r="C1878" s="5" t="n">
        <v>1329001699</v>
      </c>
      <c r="D1878" s="6" t="s">
        <v>1948</v>
      </c>
      <c r="E1878" s="6"/>
      <c r="F1878" s="7" t="n">
        <v>46072.4640762731</v>
      </c>
      <c r="G1878" s="7" t="n">
        <v>46072.5134677431</v>
      </c>
      <c r="H1878" s="8" t="n">
        <v>4</v>
      </c>
      <c r="I1878" s="5" t="n">
        <v>400411</v>
      </c>
      <c r="J1878" s="6" t="s">
        <v>1217</v>
      </c>
      <c r="K1878" s="5" t="n">
        <v>153000104</v>
      </c>
      <c r="L1878" s="9" t="n">
        <v>46063</v>
      </c>
      <c r="M1878" s="10" t="n">
        <v>47888</v>
      </c>
    </row>
    <row r="1879" customFormat="false" ht="30" hidden="true" customHeight="true" outlineLevel="0" collapsed="false">
      <c r="A1879" s="4" t="s">
        <v>109</v>
      </c>
      <c r="B1879" s="4" t="s">
        <v>14</v>
      </c>
      <c r="C1879" s="5" t="n">
        <v>1329001699</v>
      </c>
      <c r="D1879" s="6" t="s">
        <v>1949</v>
      </c>
      <c r="E1879" s="6"/>
      <c r="F1879" s="7" t="n">
        <v>46072.4640762731</v>
      </c>
      <c r="G1879" s="7" t="n">
        <v>46072.5005330208</v>
      </c>
      <c r="H1879" s="8" t="n">
        <v>4</v>
      </c>
      <c r="I1879" s="5" t="n">
        <v>400441</v>
      </c>
      <c r="J1879" s="6" t="s">
        <v>80</v>
      </c>
      <c r="K1879" s="5" t="n">
        <v>153000082</v>
      </c>
      <c r="L1879" s="9" t="n">
        <v>46058</v>
      </c>
      <c r="M1879" s="10" t="n">
        <v>47883</v>
      </c>
    </row>
    <row r="1880" customFormat="false" ht="30" hidden="true" customHeight="true" outlineLevel="0" collapsed="false">
      <c r="A1880" s="4" t="s">
        <v>109</v>
      </c>
      <c r="B1880" s="4" t="s">
        <v>14</v>
      </c>
      <c r="C1880" s="5" t="n">
        <v>1329001699</v>
      </c>
      <c r="D1880" s="6" t="s">
        <v>1950</v>
      </c>
      <c r="E1880" s="6"/>
      <c r="F1880" s="7" t="n">
        <v>46072.4640762731</v>
      </c>
      <c r="G1880" s="7" t="n">
        <v>46072.5001551505</v>
      </c>
      <c r="H1880" s="8" t="n">
        <v>4</v>
      </c>
      <c r="I1880" s="5" t="n">
        <v>400411</v>
      </c>
      <c r="J1880" s="6" t="s">
        <v>1217</v>
      </c>
      <c r="K1880" s="5" t="n">
        <v>153000104</v>
      </c>
      <c r="L1880" s="9" t="n">
        <v>46063</v>
      </c>
      <c r="M1880" s="10" t="n">
        <v>47888</v>
      </c>
    </row>
    <row r="1881" customFormat="false" ht="30" hidden="true" customHeight="true" outlineLevel="0" collapsed="false">
      <c r="A1881" s="4" t="s">
        <v>109</v>
      </c>
      <c r="B1881" s="4" t="s">
        <v>14</v>
      </c>
      <c r="C1881" s="5" t="n">
        <v>1329001699</v>
      </c>
      <c r="D1881" s="6" t="s">
        <v>1951</v>
      </c>
      <c r="E1881" s="6"/>
      <c r="F1881" s="7" t="n">
        <v>46072.4640762731</v>
      </c>
      <c r="G1881" s="7" t="n">
        <v>46072.4985300116</v>
      </c>
      <c r="H1881" s="8" t="n">
        <v>4</v>
      </c>
      <c r="I1881" s="5" t="n">
        <v>400411</v>
      </c>
      <c r="J1881" s="6" t="s">
        <v>1217</v>
      </c>
      <c r="K1881" s="5" t="n">
        <v>153000104</v>
      </c>
      <c r="L1881" s="9" t="n">
        <v>46063</v>
      </c>
      <c r="M1881" s="10" t="n">
        <v>47888</v>
      </c>
    </row>
    <row r="1882" customFormat="false" ht="30" hidden="true" customHeight="true" outlineLevel="0" collapsed="false">
      <c r="A1882" s="4" t="s">
        <v>109</v>
      </c>
      <c r="B1882" s="4" t="s">
        <v>14</v>
      </c>
      <c r="C1882" s="5" t="n">
        <v>1329001699</v>
      </c>
      <c r="D1882" s="6" t="s">
        <v>1952</v>
      </c>
      <c r="E1882" s="6"/>
      <c r="F1882" s="7" t="n">
        <v>46072.4640762731</v>
      </c>
      <c r="G1882" s="7" t="n">
        <v>46072.4998633218</v>
      </c>
      <c r="H1882" s="8" t="n">
        <v>4</v>
      </c>
      <c r="I1882" s="5" t="n">
        <v>400441</v>
      </c>
      <c r="J1882" s="6" t="s">
        <v>80</v>
      </c>
      <c r="K1882" s="5" t="n">
        <v>153000082</v>
      </c>
      <c r="L1882" s="9" t="n">
        <v>46058</v>
      </c>
      <c r="M1882" s="10" t="n">
        <v>47883</v>
      </c>
    </row>
    <row r="1883" customFormat="false" ht="30" hidden="true" customHeight="true" outlineLevel="0" collapsed="false">
      <c r="A1883" s="4" t="s">
        <v>109</v>
      </c>
      <c r="B1883" s="4" t="s">
        <v>14</v>
      </c>
      <c r="C1883" s="5" t="n">
        <v>1329001699</v>
      </c>
      <c r="D1883" s="6" t="s">
        <v>1953</v>
      </c>
      <c r="E1883" s="6"/>
      <c r="F1883" s="7" t="n">
        <v>46072.4640762731</v>
      </c>
      <c r="G1883" s="7" t="n">
        <v>46072.4980376157</v>
      </c>
      <c r="H1883" s="8" t="n">
        <v>4</v>
      </c>
      <c r="I1883" s="5" t="n">
        <v>400411</v>
      </c>
      <c r="J1883" s="6" t="s">
        <v>1217</v>
      </c>
      <c r="K1883" s="5" t="n">
        <v>153000104</v>
      </c>
      <c r="L1883" s="9" t="n">
        <v>46063</v>
      </c>
      <c r="M1883" s="10" t="n">
        <v>47888</v>
      </c>
    </row>
    <row r="1884" customFormat="false" ht="30" hidden="true" customHeight="true" outlineLevel="0" collapsed="false">
      <c r="A1884" s="4" t="s">
        <v>109</v>
      </c>
      <c r="B1884" s="4" t="s">
        <v>14</v>
      </c>
      <c r="C1884" s="5" t="n">
        <v>1329001699</v>
      </c>
      <c r="D1884" s="6" t="s">
        <v>1954</v>
      </c>
      <c r="E1884" s="6"/>
      <c r="F1884" s="7" t="n">
        <v>46072.4640762731</v>
      </c>
      <c r="G1884" s="7" t="n">
        <v>46072.501090162</v>
      </c>
      <c r="H1884" s="8" t="n">
        <v>4</v>
      </c>
      <c r="I1884" s="5" t="n">
        <v>400441</v>
      </c>
      <c r="J1884" s="6" t="s">
        <v>80</v>
      </c>
      <c r="K1884" s="5" t="n">
        <v>153000082</v>
      </c>
      <c r="L1884" s="9" t="n">
        <v>46058</v>
      </c>
      <c r="M1884" s="10" t="n">
        <v>47883</v>
      </c>
    </row>
    <row r="1885" customFormat="false" ht="30" hidden="true" customHeight="true" outlineLevel="0" collapsed="false">
      <c r="A1885" s="4" t="s">
        <v>109</v>
      </c>
      <c r="B1885" s="4" t="s">
        <v>14</v>
      </c>
      <c r="C1885" s="5" t="n">
        <v>1329001699</v>
      </c>
      <c r="D1885" s="6" t="s">
        <v>1955</v>
      </c>
      <c r="E1885" s="6"/>
      <c r="F1885" s="7" t="n">
        <v>46072.4640762731</v>
      </c>
      <c r="G1885" s="7" t="n">
        <v>46072.5014551505</v>
      </c>
      <c r="H1885" s="8" t="n">
        <v>4</v>
      </c>
      <c r="I1885" s="5" t="n">
        <v>400441</v>
      </c>
      <c r="J1885" s="6" t="s">
        <v>80</v>
      </c>
      <c r="K1885" s="5" t="n">
        <v>153000082</v>
      </c>
      <c r="L1885" s="9" t="n">
        <v>46058</v>
      </c>
      <c r="M1885" s="10" t="n">
        <v>47883</v>
      </c>
    </row>
    <row r="1886" customFormat="false" ht="30" hidden="true" customHeight="true" outlineLevel="0" collapsed="false">
      <c r="A1886" s="4" t="s">
        <v>109</v>
      </c>
      <c r="B1886" s="4" t="s">
        <v>14</v>
      </c>
      <c r="C1886" s="5" t="n">
        <v>1329001699</v>
      </c>
      <c r="D1886" s="6" t="s">
        <v>1956</v>
      </c>
      <c r="E1886" s="6"/>
      <c r="F1886" s="7" t="n">
        <v>46072.4640762731</v>
      </c>
      <c r="G1886" s="7" t="n">
        <v>46072.5019450694</v>
      </c>
      <c r="H1886" s="8" t="n">
        <v>4</v>
      </c>
      <c r="I1886" s="5" t="n">
        <v>400441</v>
      </c>
      <c r="J1886" s="6" t="s">
        <v>80</v>
      </c>
      <c r="K1886" s="5" t="n">
        <v>153000082</v>
      </c>
      <c r="L1886" s="9" t="n">
        <v>46058</v>
      </c>
      <c r="M1886" s="10" t="n">
        <v>47883</v>
      </c>
    </row>
    <row r="1887" customFormat="false" ht="30" hidden="true" customHeight="true" outlineLevel="0" collapsed="false">
      <c r="A1887" s="4" t="s">
        <v>109</v>
      </c>
      <c r="B1887" s="4" t="s">
        <v>14</v>
      </c>
      <c r="C1887" s="5" t="n">
        <v>1329001699</v>
      </c>
      <c r="D1887" s="6" t="s">
        <v>1957</v>
      </c>
      <c r="E1887" s="6"/>
      <c r="F1887" s="7" t="n">
        <v>46072.4640762731</v>
      </c>
      <c r="G1887" s="7" t="n">
        <v>46072.5024139931</v>
      </c>
      <c r="H1887" s="8" t="n">
        <v>4</v>
      </c>
      <c r="I1887" s="5" t="n">
        <v>400441</v>
      </c>
      <c r="J1887" s="6" t="s">
        <v>80</v>
      </c>
      <c r="K1887" s="5" t="n">
        <v>153000082</v>
      </c>
      <c r="L1887" s="9" t="n">
        <v>46058</v>
      </c>
      <c r="M1887" s="10" t="n">
        <v>47883</v>
      </c>
    </row>
    <row r="1888" customFormat="false" ht="30" hidden="true" customHeight="true" outlineLevel="0" collapsed="false">
      <c r="A1888" s="4" t="s">
        <v>109</v>
      </c>
      <c r="B1888" s="4" t="s">
        <v>14</v>
      </c>
      <c r="C1888" s="5" t="n">
        <v>1329001699</v>
      </c>
      <c r="D1888" s="6" t="s">
        <v>1958</v>
      </c>
      <c r="E1888" s="6"/>
      <c r="F1888" s="7" t="n">
        <v>46072.4640762731</v>
      </c>
      <c r="G1888" s="7" t="n">
        <v>46072.5027432292</v>
      </c>
      <c r="H1888" s="8" t="n">
        <v>4</v>
      </c>
      <c r="I1888" s="5" t="n">
        <v>400441</v>
      </c>
      <c r="J1888" s="6" t="s">
        <v>80</v>
      </c>
      <c r="K1888" s="5" t="n">
        <v>153000082</v>
      </c>
      <c r="L1888" s="9" t="n">
        <v>46058</v>
      </c>
      <c r="M1888" s="10" t="n">
        <v>47883</v>
      </c>
    </row>
    <row r="1889" customFormat="false" ht="30" hidden="true" customHeight="true" outlineLevel="0" collapsed="false">
      <c r="A1889" s="4" t="s">
        <v>109</v>
      </c>
      <c r="B1889" s="4" t="s">
        <v>14</v>
      </c>
      <c r="C1889" s="5" t="n">
        <v>1329001699</v>
      </c>
      <c r="D1889" s="6" t="s">
        <v>1959</v>
      </c>
      <c r="E1889" s="6"/>
      <c r="F1889" s="7" t="n">
        <v>46072.4640762731</v>
      </c>
      <c r="G1889" s="7" t="n">
        <v>46072.503196331</v>
      </c>
      <c r="H1889" s="8" t="n">
        <v>4</v>
      </c>
      <c r="I1889" s="5" t="n">
        <v>400441</v>
      </c>
      <c r="J1889" s="6" t="s">
        <v>80</v>
      </c>
      <c r="K1889" s="5" t="n">
        <v>153000082</v>
      </c>
      <c r="L1889" s="9" t="n">
        <v>46058</v>
      </c>
      <c r="M1889" s="10" t="n">
        <v>47883</v>
      </c>
    </row>
    <row r="1890" customFormat="false" ht="30" hidden="true" customHeight="true" outlineLevel="0" collapsed="false">
      <c r="A1890" s="4" t="s">
        <v>109</v>
      </c>
      <c r="B1890" s="4" t="s">
        <v>14</v>
      </c>
      <c r="C1890" s="5" t="n">
        <v>1329001699</v>
      </c>
      <c r="D1890" s="6" t="s">
        <v>1960</v>
      </c>
      <c r="E1890" s="6"/>
      <c r="F1890" s="7" t="n">
        <v>46072.4640762731</v>
      </c>
      <c r="G1890" s="7" t="n">
        <v>46072.5047915625</v>
      </c>
      <c r="H1890" s="8" t="n">
        <v>4</v>
      </c>
      <c r="I1890" s="5" t="n">
        <v>400441</v>
      </c>
      <c r="J1890" s="6" t="s">
        <v>80</v>
      </c>
      <c r="K1890" s="5" t="n">
        <v>153000082</v>
      </c>
      <c r="L1890" s="9" t="n">
        <v>46058</v>
      </c>
      <c r="M1890" s="10" t="n">
        <v>47883</v>
      </c>
    </row>
    <row r="1891" customFormat="false" ht="30" hidden="true" customHeight="true" outlineLevel="0" collapsed="false">
      <c r="A1891" s="4" t="s">
        <v>109</v>
      </c>
      <c r="B1891" s="4" t="s">
        <v>14</v>
      </c>
      <c r="C1891" s="5" t="n">
        <v>1329001699</v>
      </c>
      <c r="D1891" s="6" t="s">
        <v>1961</v>
      </c>
      <c r="E1891" s="6"/>
      <c r="F1891" s="7" t="n">
        <v>46072.4640762731</v>
      </c>
      <c r="G1891" s="7" t="n">
        <v>46072.5053076505</v>
      </c>
      <c r="H1891" s="8" t="n">
        <v>4</v>
      </c>
      <c r="I1891" s="5" t="n">
        <v>400441</v>
      </c>
      <c r="J1891" s="6" t="s">
        <v>80</v>
      </c>
      <c r="K1891" s="5" t="n">
        <v>153000082</v>
      </c>
      <c r="L1891" s="9" t="n">
        <v>46058</v>
      </c>
      <c r="M1891" s="10" t="n">
        <v>47883</v>
      </c>
    </row>
    <row r="1892" customFormat="false" ht="30" hidden="true" customHeight="true" outlineLevel="0" collapsed="false">
      <c r="A1892" s="4" t="s">
        <v>109</v>
      </c>
      <c r="B1892" s="4" t="s">
        <v>14</v>
      </c>
      <c r="C1892" s="5" t="n">
        <v>1329001699</v>
      </c>
      <c r="D1892" s="6" t="s">
        <v>1962</v>
      </c>
      <c r="E1892" s="6"/>
      <c r="F1892" s="7" t="n">
        <v>46072.4640762731</v>
      </c>
      <c r="G1892" s="7" t="n">
        <v>46072.5060898611</v>
      </c>
      <c r="H1892" s="8" t="n">
        <v>4</v>
      </c>
      <c r="I1892" s="5" t="n">
        <v>400441</v>
      </c>
      <c r="J1892" s="6" t="s">
        <v>80</v>
      </c>
      <c r="K1892" s="5" t="n">
        <v>153000082</v>
      </c>
      <c r="L1892" s="9" t="n">
        <v>46058</v>
      </c>
      <c r="M1892" s="10" t="n">
        <v>47883</v>
      </c>
    </row>
    <row r="1893" customFormat="false" ht="30" hidden="true" customHeight="true" outlineLevel="0" collapsed="false">
      <c r="A1893" s="4" t="s">
        <v>109</v>
      </c>
      <c r="B1893" s="4" t="s">
        <v>14</v>
      </c>
      <c r="C1893" s="5" t="n">
        <v>1329001699</v>
      </c>
      <c r="D1893" s="6" t="s">
        <v>1963</v>
      </c>
      <c r="E1893" s="6"/>
      <c r="F1893" s="7" t="n">
        <v>46072.4640762731</v>
      </c>
      <c r="G1893" s="7" t="n">
        <v>46072.5068513426</v>
      </c>
      <c r="H1893" s="8" t="n">
        <v>4</v>
      </c>
      <c r="I1893" s="5" t="n">
        <v>400441</v>
      </c>
      <c r="J1893" s="6" t="s">
        <v>80</v>
      </c>
      <c r="K1893" s="5" t="n">
        <v>153000082</v>
      </c>
      <c r="L1893" s="9" t="n">
        <v>46058</v>
      </c>
      <c r="M1893" s="10" t="n">
        <v>47883</v>
      </c>
    </row>
    <row r="1894" customFormat="false" ht="30" hidden="true" customHeight="true" outlineLevel="0" collapsed="false">
      <c r="A1894" s="4" t="s">
        <v>109</v>
      </c>
      <c r="B1894" s="4" t="s">
        <v>14</v>
      </c>
      <c r="C1894" s="5" t="n">
        <v>1329001699</v>
      </c>
      <c r="D1894" s="6" t="s">
        <v>1964</v>
      </c>
      <c r="E1894" s="6"/>
      <c r="F1894" s="7" t="n">
        <v>46072.4640762731</v>
      </c>
      <c r="G1894" s="7" t="n">
        <v>46072.5073793287</v>
      </c>
      <c r="H1894" s="8" t="n">
        <v>4</v>
      </c>
      <c r="I1894" s="5" t="n">
        <v>400441</v>
      </c>
      <c r="J1894" s="6" t="s">
        <v>80</v>
      </c>
      <c r="K1894" s="5" t="n">
        <v>153000082</v>
      </c>
      <c r="L1894" s="9" t="n">
        <v>46058</v>
      </c>
      <c r="M1894" s="10" t="n">
        <v>47883</v>
      </c>
    </row>
    <row r="1895" customFormat="false" ht="30" hidden="true" customHeight="true" outlineLevel="0" collapsed="false">
      <c r="A1895" s="4" t="s">
        <v>109</v>
      </c>
      <c r="B1895" s="4" t="s">
        <v>14</v>
      </c>
      <c r="C1895" s="5" t="n">
        <v>1329001699</v>
      </c>
      <c r="D1895" s="6" t="s">
        <v>1965</v>
      </c>
      <c r="E1895" s="6"/>
      <c r="F1895" s="7" t="n">
        <v>46072.4640762731</v>
      </c>
      <c r="G1895" s="7" t="n">
        <v>46072.507712037</v>
      </c>
      <c r="H1895" s="8" t="n">
        <v>4</v>
      </c>
      <c r="I1895" s="5" t="n">
        <v>400441</v>
      </c>
      <c r="J1895" s="6" t="s">
        <v>80</v>
      </c>
      <c r="K1895" s="5" t="n">
        <v>153000082</v>
      </c>
      <c r="L1895" s="9" t="n">
        <v>46058</v>
      </c>
      <c r="M1895" s="10" t="n">
        <v>47883</v>
      </c>
    </row>
    <row r="1896" customFormat="false" ht="30" hidden="true" customHeight="true" outlineLevel="0" collapsed="false">
      <c r="A1896" s="4" t="s">
        <v>109</v>
      </c>
      <c r="B1896" s="4" t="s">
        <v>14</v>
      </c>
      <c r="C1896" s="5" t="n">
        <v>1329001699</v>
      </c>
      <c r="D1896" s="6" t="s">
        <v>1966</v>
      </c>
      <c r="E1896" s="6"/>
      <c r="F1896" s="7" t="n">
        <v>46072.4640762731</v>
      </c>
      <c r="G1896" s="7" t="n">
        <v>46072.5081882639</v>
      </c>
      <c r="H1896" s="8" t="n">
        <v>4</v>
      </c>
      <c r="I1896" s="5" t="n">
        <v>400441</v>
      </c>
      <c r="J1896" s="6" t="s">
        <v>80</v>
      </c>
      <c r="K1896" s="5" t="n">
        <v>153000082</v>
      </c>
      <c r="L1896" s="9" t="n">
        <v>46058</v>
      </c>
      <c r="M1896" s="10" t="n">
        <v>47883</v>
      </c>
    </row>
    <row r="1897" customFormat="false" ht="30" hidden="true" customHeight="true" outlineLevel="0" collapsed="false">
      <c r="A1897" s="4" t="s">
        <v>109</v>
      </c>
      <c r="B1897" s="4" t="s">
        <v>14</v>
      </c>
      <c r="C1897" s="11" t="s">
        <v>1967</v>
      </c>
      <c r="D1897" s="6" t="s">
        <v>1968</v>
      </c>
      <c r="E1897" s="6"/>
      <c r="F1897" s="7" t="n">
        <v>46072.4711731481</v>
      </c>
      <c r="G1897" s="7" t="n">
        <v>46072.4809434838</v>
      </c>
      <c r="H1897" s="8" t="n">
        <v>4</v>
      </c>
      <c r="I1897" s="5" t="n">
        <v>400441</v>
      </c>
      <c r="J1897" s="6" t="s">
        <v>80</v>
      </c>
      <c r="K1897" s="5" t="n">
        <v>100009080</v>
      </c>
      <c r="L1897" s="9" t="n">
        <v>46060</v>
      </c>
      <c r="M1897" s="10" t="n">
        <v>47885</v>
      </c>
    </row>
    <row r="1898" customFormat="false" ht="30" hidden="true" customHeight="true" outlineLevel="0" collapsed="false">
      <c r="A1898" s="4" t="s">
        <v>109</v>
      </c>
      <c r="B1898" s="4" t="s">
        <v>14</v>
      </c>
      <c r="C1898" s="11" t="s">
        <v>1967</v>
      </c>
      <c r="D1898" s="6" t="s">
        <v>1969</v>
      </c>
      <c r="E1898" s="6"/>
      <c r="F1898" s="7" t="n">
        <v>46072.4711731481</v>
      </c>
      <c r="G1898" s="7" t="n">
        <v>46072.4880093171</v>
      </c>
      <c r="H1898" s="8" t="n">
        <v>2</v>
      </c>
      <c r="I1898" s="5" t="n">
        <v>400441</v>
      </c>
      <c r="J1898" s="6" t="s">
        <v>80</v>
      </c>
      <c r="K1898" s="5" t="n">
        <v>100009408</v>
      </c>
      <c r="L1898" s="9" t="n">
        <v>46013</v>
      </c>
      <c r="M1898" s="10" t="n">
        <v>47838</v>
      </c>
    </row>
    <row r="1899" customFormat="false" ht="30" hidden="true" customHeight="true" outlineLevel="0" collapsed="false">
      <c r="A1899" s="4" t="s">
        <v>109</v>
      </c>
      <c r="B1899" s="4" t="s">
        <v>14</v>
      </c>
      <c r="C1899" s="11" t="s">
        <v>1970</v>
      </c>
      <c r="D1899" s="6" t="s">
        <v>1971</v>
      </c>
      <c r="E1899" s="6"/>
      <c r="F1899" s="7" t="n">
        <v>46074.2904869213</v>
      </c>
      <c r="G1899" s="7" t="n">
        <v>46074.2981935648</v>
      </c>
      <c r="H1899" s="8" t="n">
        <v>1</v>
      </c>
      <c r="I1899" s="5" t="n">
        <v>400630</v>
      </c>
      <c r="J1899" s="6" t="s">
        <v>772</v>
      </c>
      <c r="K1899" s="5" t="n">
        <v>100010471</v>
      </c>
      <c r="L1899" s="9" t="n">
        <v>45951</v>
      </c>
      <c r="M1899" s="10" t="n">
        <v>47776</v>
      </c>
    </row>
    <row r="1900" customFormat="false" ht="30" hidden="false" customHeight="true" outlineLevel="0" collapsed="false">
      <c r="A1900" s="4" t="s">
        <v>1400</v>
      </c>
      <c r="B1900" s="4" t="s">
        <v>14</v>
      </c>
      <c r="C1900" s="5" t="n">
        <v>1329001709</v>
      </c>
      <c r="D1900" s="6" t="s">
        <v>1972</v>
      </c>
      <c r="E1900" s="6"/>
      <c r="F1900" s="7" t="n">
        <v>46074.4400914352</v>
      </c>
      <c r="G1900" s="7" t="n">
        <v>46076.2802210185</v>
      </c>
      <c r="H1900" s="8" t="n">
        <v>52</v>
      </c>
      <c r="I1900" s="5" t="n">
        <v>400390</v>
      </c>
      <c r="J1900" s="6" t="s">
        <v>1973</v>
      </c>
      <c r="K1900" s="5" t="n">
        <v>153000126</v>
      </c>
      <c r="L1900" s="9" t="n">
        <v>46071</v>
      </c>
      <c r="M1900" s="10" t="n">
        <v>47896</v>
      </c>
    </row>
    <row r="1901" customFormat="false" ht="30" hidden="false" customHeight="true" outlineLevel="0" collapsed="false">
      <c r="A1901" s="4" t="s">
        <v>1400</v>
      </c>
      <c r="B1901" s="4" t="s">
        <v>14</v>
      </c>
      <c r="C1901" s="5" t="n">
        <v>1329001709</v>
      </c>
      <c r="D1901" s="6" t="s">
        <v>1974</v>
      </c>
      <c r="E1901" s="6"/>
      <c r="F1901" s="7" t="n">
        <v>46074.4400914352</v>
      </c>
      <c r="G1901" s="7" t="n">
        <v>46076.2863955903</v>
      </c>
      <c r="H1901" s="8" t="n">
        <v>52</v>
      </c>
      <c r="I1901" s="5" t="n">
        <v>400390</v>
      </c>
      <c r="J1901" s="6" t="s">
        <v>1973</v>
      </c>
      <c r="K1901" s="5" t="n">
        <v>153000126</v>
      </c>
      <c r="L1901" s="9" t="n">
        <v>46071</v>
      </c>
      <c r="M1901" s="10" t="n">
        <v>47896</v>
      </c>
    </row>
    <row r="1902" customFormat="false" ht="30" hidden="false" customHeight="true" outlineLevel="0" collapsed="false">
      <c r="A1902" s="4" t="s">
        <v>1400</v>
      </c>
      <c r="B1902" s="4" t="s">
        <v>14</v>
      </c>
      <c r="C1902" s="5" t="n">
        <v>1329001709</v>
      </c>
      <c r="D1902" s="6" t="s">
        <v>1975</v>
      </c>
      <c r="E1902" s="6"/>
      <c r="F1902" s="7" t="n">
        <v>46074.4400914352</v>
      </c>
      <c r="G1902" s="7" t="n">
        <v>46076.2857188542</v>
      </c>
      <c r="H1902" s="8" t="n">
        <v>52</v>
      </c>
      <c r="I1902" s="5" t="n">
        <v>400390</v>
      </c>
      <c r="J1902" s="6" t="s">
        <v>1973</v>
      </c>
      <c r="K1902" s="5" t="n">
        <v>153000126</v>
      </c>
      <c r="L1902" s="9" t="n">
        <v>46071</v>
      </c>
      <c r="M1902" s="10" t="n">
        <v>47896</v>
      </c>
    </row>
    <row r="1903" customFormat="false" ht="30" hidden="false" customHeight="true" outlineLevel="0" collapsed="false">
      <c r="A1903" s="4" t="s">
        <v>1400</v>
      </c>
      <c r="B1903" s="4" t="s">
        <v>14</v>
      </c>
      <c r="C1903" s="5" t="n">
        <v>1329001709</v>
      </c>
      <c r="D1903" s="6" t="s">
        <v>1976</v>
      </c>
      <c r="E1903" s="6"/>
      <c r="F1903" s="7" t="n">
        <v>46074.4400914352</v>
      </c>
      <c r="G1903" s="7" t="n">
        <v>46076.2872135995</v>
      </c>
      <c r="H1903" s="8" t="n">
        <v>24</v>
      </c>
      <c r="I1903" s="5" t="n">
        <v>400426</v>
      </c>
      <c r="J1903" s="6" t="s">
        <v>831</v>
      </c>
      <c r="K1903" s="5" t="n">
        <v>153000125</v>
      </c>
      <c r="L1903" s="9" t="n">
        <v>46071</v>
      </c>
      <c r="M1903" s="10" t="n">
        <v>47896</v>
      </c>
    </row>
    <row r="1904" customFormat="false" ht="30" hidden="false" customHeight="true" outlineLevel="0" collapsed="false">
      <c r="A1904" s="4" t="s">
        <v>1400</v>
      </c>
      <c r="B1904" s="4" t="s">
        <v>14</v>
      </c>
      <c r="C1904" s="5" t="n">
        <v>1329001709</v>
      </c>
      <c r="D1904" s="6" t="s">
        <v>1977</v>
      </c>
      <c r="E1904" s="6"/>
      <c r="F1904" s="7" t="n">
        <v>46074.4400914352</v>
      </c>
      <c r="G1904" s="7" t="n">
        <v>46076.2849636458</v>
      </c>
      <c r="H1904" s="8" t="n">
        <v>24</v>
      </c>
      <c r="I1904" s="5" t="n">
        <v>400426</v>
      </c>
      <c r="J1904" s="6" t="s">
        <v>831</v>
      </c>
      <c r="K1904" s="5" t="n">
        <v>153000125</v>
      </c>
      <c r="L1904" s="9" t="n">
        <v>46071</v>
      </c>
      <c r="M1904" s="10" t="n">
        <v>47896</v>
      </c>
    </row>
    <row r="1905" customFormat="false" ht="30" hidden="false" customHeight="true" outlineLevel="0" collapsed="false">
      <c r="A1905" s="4" t="s">
        <v>1400</v>
      </c>
      <c r="B1905" s="4" t="s">
        <v>14</v>
      </c>
      <c r="C1905" s="5" t="n">
        <v>1329001709</v>
      </c>
      <c r="D1905" s="6" t="s">
        <v>1978</v>
      </c>
      <c r="E1905" s="6"/>
      <c r="F1905" s="7" t="n">
        <v>46074.4400914352</v>
      </c>
      <c r="G1905" s="7" t="n">
        <v>46076.2847116204</v>
      </c>
      <c r="H1905" s="8" t="n">
        <v>24</v>
      </c>
      <c r="I1905" s="5" t="n">
        <v>400426</v>
      </c>
      <c r="J1905" s="6" t="s">
        <v>831</v>
      </c>
      <c r="K1905" s="5" t="n">
        <v>153000125</v>
      </c>
      <c r="L1905" s="9" t="n">
        <v>46071</v>
      </c>
      <c r="M1905" s="10" t="n">
        <v>47896</v>
      </c>
    </row>
    <row r="1906" customFormat="false" ht="30" hidden="false" customHeight="true" outlineLevel="0" collapsed="false">
      <c r="A1906" s="4" t="s">
        <v>1400</v>
      </c>
      <c r="B1906" s="4" t="s">
        <v>14</v>
      </c>
      <c r="C1906" s="5" t="n">
        <v>1329001709</v>
      </c>
      <c r="D1906" s="6" t="s">
        <v>1979</v>
      </c>
      <c r="E1906" s="6"/>
      <c r="F1906" s="7" t="n">
        <v>46074.4400914352</v>
      </c>
      <c r="G1906" s="7" t="n">
        <v>46076.2842480787</v>
      </c>
      <c r="H1906" s="8" t="n">
        <v>24</v>
      </c>
      <c r="I1906" s="5" t="n">
        <v>400426</v>
      </c>
      <c r="J1906" s="6" t="s">
        <v>831</v>
      </c>
      <c r="K1906" s="5" t="n">
        <v>153000125</v>
      </c>
      <c r="L1906" s="9" t="n">
        <v>46071</v>
      </c>
      <c r="M1906" s="10" t="n">
        <v>47896</v>
      </c>
    </row>
    <row r="1907" customFormat="false" ht="30" hidden="false" customHeight="true" outlineLevel="0" collapsed="false">
      <c r="A1907" s="4" t="s">
        <v>1400</v>
      </c>
      <c r="B1907" s="4" t="s">
        <v>14</v>
      </c>
      <c r="C1907" s="5" t="n">
        <v>1329001709</v>
      </c>
      <c r="D1907" s="6" t="s">
        <v>1980</v>
      </c>
      <c r="E1907" s="6"/>
      <c r="F1907" s="7" t="n">
        <v>46074.4400914352</v>
      </c>
      <c r="G1907" s="7" t="n">
        <v>46076.28537</v>
      </c>
      <c r="H1907" s="8" t="n">
        <v>52</v>
      </c>
      <c r="I1907" s="5" t="n">
        <v>400390</v>
      </c>
      <c r="J1907" s="6" t="s">
        <v>1973</v>
      </c>
      <c r="K1907" s="5" t="n">
        <v>153000126</v>
      </c>
      <c r="L1907" s="9" t="n">
        <v>46071</v>
      </c>
      <c r="M1907" s="10" t="n">
        <v>47896</v>
      </c>
    </row>
    <row r="1908" customFormat="false" ht="30" hidden="false" customHeight="true" outlineLevel="0" collapsed="false">
      <c r="A1908" s="4" t="s">
        <v>1400</v>
      </c>
      <c r="B1908" s="4" t="s">
        <v>14</v>
      </c>
      <c r="C1908" s="5" t="n">
        <v>1329001709</v>
      </c>
      <c r="D1908" s="6" t="s">
        <v>1981</v>
      </c>
      <c r="E1908" s="6"/>
      <c r="F1908" s="7" t="n">
        <v>46074.4400914352</v>
      </c>
      <c r="G1908" s="7" t="n">
        <v>46076.2839657755</v>
      </c>
      <c r="H1908" s="8" t="n">
        <v>24</v>
      </c>
      <c r="I1908" s="5" t="n">
        <v>400426</v>
      </c>
      <c r="J1908" s="6" t="s">
        <v>831</v>
      </c>
      <c r="K1908" s="5" t="n">
        <v>153000125</v>
      </c>
      <c r="L1908" s="9" t="n">
        <v>46071</v>
      </c>
      <c r="M1908" s="10" t="n">
        <v>47896</v>
      </c>
    </row>
    <row r="1909" customFormat="false" ht="30" hidden="false" customHeight="true" outlineLevel="0" collapsed="false">
      <c r="A1909" s="4" t="s">
        <v>1400</v>
      </c>
      <c r="B1909" s="4" t="s">
        <v>14</v>
      </c>
      <c r="C1909" s="5" t="n">
        <v>1329001709</v>
      </c>
      <c r="D1909" s="6" t="s">
        <v>1982</v>
      </c>
      <c r="E1909" s="6"/>
      <c r="F1909" s="7" t="n">
        <v>46074.4400914352</v>
      </c>
      <c r="G1909" s="7" t="n">
        <v>46076.2832425347</v>
      </c>
      <c r="H1909" s="8" t="n">
        <v>52</v>
      </c>
      <c r="I1909" s="5" t="n">
        <v>400390</v>
      </c>
      <c r="J1909" s="6" t="s">
        <v>1973</v>
      </c>
      <c r="K1909" s="5" t="n">
        <v>153000126</v>
      </c>
      <c r="L1909" s="9" t="n">
        <v>46071</v>
      </c>
      <c r="M1909" s="10" t="n">
        <v>47896</v>
      </c>
    </row>
    <row r="1910" customFormat="false" ht="30" hidden="false" customHeight="true" outlineLevel="0" collapsed="false">
      <c r="A1910" s="4" t="s">
        <v>1400</v>
      </c>
      <c r="B1910" s="4" t="s">
        <v>14</v>
      </c>
      <c r="C1910" s="5" t="n">
        <v>1329001709</v>
      </c>
      <c r="D1910" s="6" t="s">
        <v>1983</v>
      </c>
      <c r="E1910" s="6"/>
      <c r="F1910" s="7" t="n">
        <v>46074.4400914352</v>
      </c>
      <c r="G1910" s="7" t="n">
        <v>46076.2819993982</v>
      </c>
      <c r="H1910" s="8" t="n">
        <v>52</v>
      </c>
      <c r="I1910" s="5" t="n">
        <v>400390</v>
      </c>
      <c r="J1910" s="6" t="s">
        <v>1973</v>
      </c>
      <c r="K1910" s="5" t="n">
        <v>153000126</v>
      </c>
      <c r="L1910" s="9" t="n">
        <v>46071</v>
      </c>
      <c r="M1910" s="10" t="n">
        <v>47896</v>
      </c>
    </row>
    <row r="1911" customFormat="false" ht="30" hidden="false" customHeight="true" outlineLevel="0" collapsed="false">
      <c r="A1911" s="4" t="s">
        <v>1400</v>
      </c>
      <c r="B1911" s="4" t="s">
        <v>14</v>
      </c>
      <c r="C1911" s="5" t="n">
        <v>1329001709</v>
      </c>
      <c r="D1911" s="6" t="s">
        <v>1984</v>
      </c>
      <c r="E1911" s="6"/>
      <c r="F1911" s="7" t="n">
        <v>46074.4400914352</v>
      </c>
      <c r="G1911" s="7" t="n">
        <v>46076.2812838079</v>
      </c>
      <c r="H1911" s="8" t="n">
        <v>52</v>
      </c>
      <c r="I1911" s="5" t="n">
        <v>400390</v>
      </c>
      <c r="J1911" s="6" t="s">
        <v>1973</v>
      </c>
      <c r="K1911" s="5" t="n">
        <v>153000126</v>
      </c>
      <c r="L1911" s="9" t="n">
        <v>46071</v>
      </c>
      <c r="M1911" s="10" t="n">
        <v>47896</v>
      </c>
    </row>
    <row r="1912" customFormat="false" ht="30" hidden="false" customHeight="true" outlineLevel="0" collapsed="false">
      <c r="A1912" s="4" t="s">
        <v>1400</v>
      </c>
      <c r="B1912" s="4" t="s">
        <v>14</v>
      </c>
      <c r="C1912" s="5" t="n">
        <v>1329001709</v>
      </c>
      <c r="D1912" s="6" t="s">
        <v>1985</v>
      </c>
      <c r="E1912" s="6"/>
      <c r="F1912" s="7" t="n">
        <v>46074.4400914352</v>
      </c>
      <c r="G1912" s="7" t="n">
        <v>46076.2808334028</v>
      </c>
      <c r="H1912" s="8" t="n">
        <v>52</v>
      </c>
      <c r="I1912" s="5" t="n">
        <v>400390</v>
      </c>
      <c r="J1912" s="6" t="s">
        <v>1973</v>
      </c>
      <c r="K1912" s="5" t="n">
        <v>153000126</v>
      </c>
      <c r="L1912" s="9" t="n">
        <v>46071</v>
      </c>
      <c r="M1912" s="10" t="n">
        <v>47896</v>
      </c>
    </row>
    <row r="1913" customFormat="false" ht="30" hidden="false" customHeight="true" outlineLevel="0" collapsed="false">
      <c r="A1913" s="4" t="s">
        <v>1400</v>
      </c>
      <c r="B1913" s="4" t="s">
        <v>14</v>
      </c>
      <c r="C1913" s="5" t="n">
        <v>1329001709</v>
      </c>
      <c r="D1913" s="6" t="s">
        <v>1986</v>
      </c>
      <c r="E1913" s="6"/>
      <c r="F1913" s="7" t="n">
        <v>46074.4400914352</v>
      </c>
      <c r="G1913" s="7" t="n">
        <v>46076.2866886806</v>
      </c>
      <c r="H1913" s="8" t="n">
        <v>52</v>
      </c>
      <c r="I1913" s="5" t="n">
        <v>400390</v>
      </c>
      <c r="J1913" s="6" t="s">
        <v>1973</v>
      </c>
      <c r="K1913" s="5" t="n">
        <v>153000126</v>
      </c>
      <c r="L1913" s="9" t="n">
        <v>46071</v>
      </c>
      <c r="M1913" s="10" t="n">
        <v>47896</v>
      </c>
    </row>
    <row r="1914" customFormat="false" ht="30" hidden="false" customHeight="true" outlineLevel="0" collapsed="false">
      <c r="A1914" s="4" t="s">
        <v>1400</v>
      </c>
      <c r="B1914" s="4" t="s">
        <v>14</v>
      </c>
      <c r="C1914" s="5" t="n">
        <v>1329001709</v>
      </c>
      <c r="D1914" s="6" t="s">
        <v>1987</v>
      </c>
      <c r="E1914" s="6"/>
      <c r="F1914" s="7" t="n">
        <v>46074.4400914352</v>
      </c>
      <c r="G1914" s="7" t="n">
        <v>46076.2874926505</v>
      </c>
      <c r="H1914" s="8" t="n">
        <v>24</v>
      </c>
      <c r="I1914" s="5" t="n">
        <v>400426</v>
      </c>
      <c r="J1914" s="6" t="s">
        <v>831</v>
      </c>
      <c r="K1914" s="5" t="n">
        <v>153000125</v>
      </c>
      <c r="L1914" s="9" t="n">
        <v>46071</v>
      </c>
      <c r="M1914" s="10" t="n">
        <v>47896</v>
      </c>
    </row>
    <row r="1915" customFormat="false" ht="30" hidden="false" customHeight="true" outlineLevel="0" collapsed="false">
      <c r="A1915" s="4" t="s">
        <v>1400</v>
      </c>
      <c r="B1915" s="4" t="s">
        <v>14</v>
      </c>
      <c r="C1915" s="5" t="n">
        <v>1329001709</v>
      </c>
      <c r="D1915" s="6" t="s">
        <v>1988</v>
      </c>
      <c r="E1915" s="6"/>
      <c r="F1915" s="7" t="n">
        <v>46074.4400914352</v>
      </c>
      <c r="G1915" s="7" t="n">
        <v>46076.2880701968</v>
      </c>
      <c r="H1915" s="8" t="n">
        <v>24</v>
      </c>
      <c r="I1915" s="5" t="n">
        <v>400426</v>
      </c>
      <c r="J1915" s="6" t="s">
        <v>831</v>
      </c>
      <c r="K1915" s="5" t="n">
        <v>153000125</v>
      </c>
      <c r="L1915" s="9" t="n">
        <v>46071</v>
      </c>
      <c r="M1915" s="10" t="n">
        <v>47896</v>
      </c>
    </row>
    <row r="1916" customFormat="false" ht="30" hidden="false" customHeight="true" outlineLevel="0" collapsed="false">
      <c r="A1916" s="4" t="s">
        <v>1400</v>
      </c>
      <c r="B1916" s="4" t="s">
        <v>14</v>
      </c>
      <c r="C1916" s="5" t="n">
        <v>1329001709</v>
      </c>
      <c r="D1916" s="6" t="s">
        <v>1989</v>
      </c>
      <c r="E1916" s="6"/>
      <c r="F1916" s="7" t="n">
        <v>46074.4400914352</v>
      </c>
      <c r="G1916" s="7" t="n">
        <v>46076.2884846065</v>
      </c>
      <c r="H1916" s="8" t="n">
        <v>24</v>
      </c>
      <c r="I1916" s="5" t="n">
        <v>400426</v>
      </c>
      <c r="J1916" s="6" t="s">
        <v>831</v>
      </c>
      <c r="K1916" s="5" t="n">
        <v>153000125</v>
      </c>
      <c r="L1916" s="9" t="n">
        <v>46071</v>
      </c>
      <c r="M1916" s="10" t="n">
        <v>47896</v>
      </c>
    </row>
    <row r="1917" customFormat="false" ht="30" hidden="false" customHeight="true" outlineLevel="0" collapsed="false">
      <c r="A1917" s="4" t="s">
        <v>1400</v>
      </c>
      <c r="B1917" s="4" t="s">
        <v>14</v>
      </c>
      <c r="C1917" s="5" t="n">
        <v>1329001709</v>
      </c>
      <c r="D1917" s="6" t="s">
        <v>1990</v>
      </c>
      <c r="E1917" s="6"/>
      <c r="F1917" s="7" t="n">
        <v>46074.4400914352</v>
      </c>
      <c r="G1917" s="7" t="n">
        <v>46076.2887289005</v>
      </c>
      <c r="H1917" s="8" t="n">
        <v>24</v>
      </c>
      <c r="I1917" s="5" t="n">
        <v>400426</v>
      </c>
      <c r="J1917" s="6" t="s">
        <v>831</v>
      </c>
      <c r="K1917" s="5" t="n">
        <v>153000125</v>
      </c>
      <c r="L1917" s="9" t="n">
        <v>46071</v>
      </c>
      <c r="M1917" s="10" t="n">
        <v>47896</v>
      </c>
    </row>
    <row r="1918" customFormat="false" ht="30" hidden="false" customHeight="true" outlineLevel="0" collapsed="false">
      <c r="A1918" s="4" t="s">
        <v>1400</v>
      </c>
      <c r="B1918" s="4" t="s">
        <v>14</v>
      </c>
      <c r="C1918" s="5" t="n">
        <v>1329001709</v>
      </c>
      <c r="D1918" s="6" t="s">
        <v>1991</v>
      </c>
      <c r="E1918" s="6"/>
      <c r="F1918" s="7" t="n">
        <v>46074.4400914352</v>
      </c>
      <c r="G1918" s="7" t="n">
        <v>46076.289064456</v>
      </c>
      <c r="H1918" s="8" t="n">
        <v>24</v>
      </c>
      <c r="I1918" s="5" t="n">
        <v>400426</v>
      </c>
      <c r="J1918" s="6" t="s">
        <v>831</v>
      </c>
      <c r="K1918" s="5" t="n">
        <v>153000125</v>
      </c>
      <c r="L1918" s="9" t="n">
        <v>46071</v>
      </c>
      <c r="M1918" s="10" t="n">
        <v>47896</v>
      </c>
    </row>
    <row r="1919" customFormat="false" ht="30" hidden="false" customHeight="true" outlineLevel="0" collapsed="false">
      <c r="A1919" s="4" t="s">
        <v>1400</v>
      </c>
      <c r="B1919" s="4" t="s">
        <v>14</v>
      </c>
      <c r="C1919" s="5" t="n">
        <v>1329001709</v>
      </c>
      <c r="D1919" s="6" t="s">
        <v>1992</v>
      </c>
      <c r="E1919" s="6"/>
      <c r="F1919" s="7" t="n">
        <v>46074.4400914352</v>
      </c>
      <c r="G1919" s="7" t="n">
        <v>46076.2895928819</v>
      </c>
      <c r="H1919" s="8" t="n">
        <v>24</v>
      </c>
      <c r="I1919" s="5" t="n">
        <v>400426</v>
      </c>
      <c r="J1919" s="6" t="s">
        <v>831</v>
      </c>
      <c r="K1919" s="5" t="n">
        <v>153000113</v>
      </c>
      <c r="L1919" s="9" t="n">
        <v>46071</v>
      </c>
      <c r="M1919" s="10" t="n">
        <v>47896</v>
      </c>
    </row>
    <row r="1920" customFormat="false" ht="30" hidden="false" customHeight="true" outlineLevel="0" collapsed="false">
      <c r="A1920" s="4" t="s">
        <v>1400</v>
      </c>
      <c r="B1920" s="4" t="s">
        <v>14</v>
      </c>
      <c r="C1920" s="5" t="n">
        <v>1329001709</v>
      </c>
      <c r="D1920" s="6" t="s">
        <v>1993</v>
      </c>
      <c r="E1920" s="6"/>
      <c r="F1920" s="7" t="n">
        <v>46074.4400914352</v>
      </c>
      <c r="G1920" s="7" t="n">
        <v>46076.2792860069</v>
      </c>
      <c r="H1920" s="8" t="n">
        <v>52</v>
      </c>
      <c r="I1920" s="5" t="n">
        <v>400390</v>
      </c>
      <c r="J1920" s="6" t="s">
        <v>1973</v>
      </c>
      <c r="K1920" s="5" t="n">
        <v>153000126</v>
      </c>
      <c r="L1920" s="9" t="n">
        <v>46071</v>
      </c>
      <c r="M1920" s="10" t="n">
        <v>47896</v>
      </c>
    </row>
    <row r="1921" customFormat="false" ht="30" hidden="false" customHeight="true" outlineLevel="0" collapsed="false">
      <c r="A1921" s="4" t="s">
        <v>1400</v>
      </c>
      <c r="B1921" s="4" t="s">
        <v>14</v>
      </c>
      <c r="C1921" s="5" t="n">
        <v>1329001709</v>
      </c>
      <c r="D1921" s="6" t="s">
        <v>1994</v>
      </c>
      <c r="E1921" s="6"/>
      <c r="F1921" s="7" t="n">
        <v>46074.4400914352</v>
      </c>
      <c r="G1921" s="7" t="n">
        <v>46076.2827029282</v>
      </c>
      <c r="H1921" s="8" t="n">
        <v>24</v>
      </c>
      <c r="I1921" s="5" t="n">
        <v>400426</v>
      </c>
      <c r="J1921" s="6" t="s">
        <v>831</v>
      </c>
      <c r="K1921" s="5" t="n">
        <v>153000113</v>
      </c>
      <c r="L1921" s="9" t="n">
        <v>46071</v>
      </c>
      <c r="M1921" s="10" t="n">
        <v>47896</v>
      </c>
    </row>
    <row r="1922" customFormat="false" ht="30" hidden="true" customHeight="true" outlineLevel="0" collapsed="false">
      <c r="A1922" s="4" t="s">
        <v>13</v>
      </c>
      <c r="B1922" s="4" t="s">
        <v>14</v>
      </c>
      <c r="C1922" s="5" t="n">
        <v>1329001710</v>
      </c>
      <c r="D1922" s="6" t="s">
        <v>1995</v>
      </c>
      <c r="E1922" s="6"/>
      <c r="F1922" s="7" t="n">
        <v>46074.4681593171</v>
      </c>
      <c r="G1922" s="7" t="n">
        <v>46076.2659832986</v>
      </c>
      <c r="H1922" s="8" t="n">
        <v>24</v>
      </c>
      <c r="I1922" s="5" t="n">
        <v>400426</v>
      </c>
      <c r="J1922" s="6" t="s">
        <v>831</v>
      </c>
      <c r="K1922" s="5" t="n">
        <v>153000110</v>
      </c>
      <c r="L1922" s="9" t="n">
        <v>46064</v>
      </c>
      <c r="M1922" s="10" t="n">
        <v>47889</v>
      </c>
    </row>
    <row r="1923" customFormat="false" ht="30" hidden="true" customHeight="true" outlineLevel="0" collapsed="false">
      <c r="A1923" s="4" t="s">
        <v>13</v>
      </c>
      <c r="B1923" s="4" t="s">
        <v>14</v>
      </c>
      <c r="C1923" s="5" t="n">
        <v>1329001710</v>
      </c>
      <c r="D1923" s="6" t="s">
        <v>1996</v>
      </c>
      <c r="E1923" s="6"/>
      <c r="F1923" s="7" t="n">
        <v>46074.4681593171</v>
      </c>
      <c r="G1923" s="7" t="n">
        <v>46076.2657631019</v>
      </c>
      <c r="H1923" s="8" t="n">
        <v>24</v>
      </c>
      <c r="I1923" s="5" t="n">
        <v>400426</v>
      </c>
      <c r="J1923" s="6" t="s">
        <v>831</v>
      </c>
      <c r="K1923" s="5" t="n">
        <v>15300011</v>
      </c>
      <c r="L1923" s="9" t="n">
        <v>46064</v>
      </c>
      <c r="M1923" s="10" t="n">
        <v>47889</v>
      </c>
    </row>
    <row r="1924" customFormat="false" ht="30" hidden="true" customHeight="true" outlineLevel="0" collapsed="false">
      <c r="A1924" s="4" t="s">
        <v>13</v>
      </c>
      <c r="B1924" s="4" t="s">
        <v>14</v>
      </c>
      <c r="C1924" s="5" t="n">
        <v>1329001710</v>
      </c>
      <c r="D1924" s="6" t="s">
        <v>1997</v>
      </c>
      <c r="E1924" s="6"/>
      <c r="F1924" s="7" t="n">
        <v>46074.4681593171</v>
      </c>
      <c r="G1924" s="7" t="n">
        <v>46076.2756387269</v>
      </c>
      <c r="H1924" s="8" t="n">
        <v>24</v>
      </c>
      <c r="I1924" s="5" t="n">
        <v>400426</v>
      </c>
      <c r="J1924" s="6" t="s">
        <v>831</v>
      </c>
      <c r="K1924" s="5" t="n">
        <v>153000110</v>
      </c>
      <c r="L1924" s="9" t="n">
        <v>46064</v>
      </c>
      <c r="M1924" s="10" t="n">
        <v>47889</v>
      </c>
    </row>
    <row r="1925" customFormat="false" ht="30" hidden="true" customHeight="true" outlineLevel="0" collapsed="false">
      <c r="A1925" s="4" t="s">
        <v>13</v>
      </c>
      <c r="B1925" s="4" t="s">
        <v>14</v>
      </c>
      <c r="C1925" s="5" t="n">
        <v>1329001710</v>
      </c>
      <c r="D1925" s="6" t="s">
        <v>1998</v>
      </c>
      <c r="E1925" s="6"/>
      <c r="F1925" s="7" t="n">
        <v>46074.4681593171</v>
      </c>
      <c r="G1925" s="7" t="n">
        <v>46076.2755524421</v>
      </c>
      <c r="H1925" s="8" t="n">
        <v>24</v>
      </c>
      <c r="I1925" s="5" t="n">
        <v>400426</v>
      </c>
      <c r="J1925" s="6" t="s">
        <v>831</v>
      </c>
      <c r="K1925" s="5" t="n">
        <v>153000110</v>
      </c>
      <c r="L1925" s="9" t="n">
        <v>46064</v>
      </c>
      <c r="M1925" s="10" t="n">
        <v>47889</v>
      </c>
    </row>
    <row r="1926" customFormat="false" ht="30" hidden="true" customHeight="true" outlineLevel="0" collapsed="false">
      <c r="A1926" s="4" t="s">
        <v>13</v>
      </c>
      <c r="B1926" s="4" t="s">
        <v>14</v>
      </c>
      <c r="C1926" s="5" t="n">
        <v>1329001710</v>
      </c>
      <c r="D1926" s="6" t="s">
        <v>1999</v>
      </c>
      <c r="E1926" s="6"/>
      <c r="F1926" s="7" t="n">
        <v>46074.4681593171</v>
      </c>
      <c r="G1926" s="7" t="n">
        <v>46076.2754505903</v>
      </c>
      <c r="H1926" s="8" t="n">
        <v>24</v>
      </c>
      <c r="I1926" s="5" t="n">
        <v>400426</v>
      </c>
      <c r="J1926" s="6" t="s">
        <v>831</v>
      </c>
      <c r="K1926" s="5" t="n">
        <v>153000110</v>
      </c>
      <c r="L1926" s="9" t="n">
        <v>46064</v>
      </c>
      <c r="M1926" s="10" t="n">
        <v>47889</v>
      </c>
    </row>
    <row r="1927" customFormat="false" ht="30" hidden="true" customHeight="true" outlineLevel="0" collapsed="false">
      <c r="A1927" s="4" t="s">
        <v>13</v>
      </c>
      <c r="B1927" s="4" t="s">
        <v>14</v>
      </c>
      <c r="C1927" s="5" t="n">
        <v>1329001710</v>
      </c>
      <c r="D1927" s="6" t="s">
        <v>2000</v>
      </c>
      <c r="E1927" s="6"/>
      <c r="F1927" s="7" t="n">
        <v>46074.4681593171</v>
      </c>
      <c r="G1927" s="7" t="n">
        <v>46076.2753383333</v>
      </c>
      <c r="H1927" s="8" t="n">
        <v>24</v>
      </c>
      <c r="I1927" s="5" t="n">
        <v>400426</v>
      </c>
      <c r="J1927" s="6" t="s">
        <v>831</v>
      </c>
      <c r="K1927" s="5" t="n">
        <v>153000110</v>
      </c>
      <c r="L1927" s="9" t="n">
        <v>46064</v>
      </c>
      <c r="M1927" s="10" t="n">
        <v>47889</v>
      </c>
    </row>
    <row r="1928" customFormat="false" ht="30" hidden="true" customHeight="true" outlineLevel="0" collapsed="false">
      <c r="A1928" s="4" t="s">
        <v>13</v>
      </c>
      <c r="B1928" s="4" t="s">
        <v>14</v>
      </c>
      <c r="C1928" s="5" t="n">
        <v>1329001710</v>
      </c>
      <c r="D1928" s="6" t="s">
        <v>2001</v>
      </c>
      <c r="E1928" s="6"/>
      <c r="F1928" s="7" t="n">
        <v>46074.4681593171</v>
      </c>
      <c r="G1928" s="7" t="n">
        <v>46076.2752104282</v>
      </c>
      <c r="H1928" s="8" t="n">
        <v>24</v>
      </c>
      <c r="I1928" s="5" t="n">
        <v>400426</v>
      </c>
      <c r="J1928" s="6" t="s">
        <v>831</v>
      </c>
      <c r="K1928" s="5" t="n">
        <v>153000110</v>
      </c>
      <c r="L1928" s="9" t="n">
        <v>46064</v>
      </c>
      <c r="M1928" s="10" t="n">
        <v>47889</v>
      </c>
    </row>
    <row r="1929" customFormat="false" ht="30" hidden="true" customHeight="true" outlineLevel="0" collapsed="false">
      <c r="A1929" s="4" t="s">
        <v>13</v>
      </c>
      <c r="B1929" s="4" t="s">
        <v>14</v>
      </c>
      <c r="C1929" s="5" t="n">
        <v>1329001710</v>
      </c>
      <c r="D1929" s="6" t="s">
        <v>2002</v>
      </c>
      <c r="E1929" s="6"/>
      <c r="F1929" s="7" t="n">
        <v>46074.4681593171</v>
      </c>
      <c r="G1929" s="7" t="n">
        <v>46076.2751010764</v>
      </c>
      <c r="H1929" s="8" t="n">
        <v>24</v>
      </c>
      <c r="I1929" s="5" t="n">
        <v>400426</v>
      </c>
      <c r="J1929" s="6" t="s">
        <v>831</v>
      </c>
      <c r="K1929" s="5" t="n">
        <v>153000110</v>
      </c>
      <c r="L1929" s="9" t="n">
        <v>46064</v>
      </c>
      <c r="M1929" s="10" t="n">
        <v>47889</v>
      </c>
    </row>
    <row r="1930" customFormat="false" ht="30" hidden="true" customHeight="true" outlineLevel="0" collapsed="false">
      <c r="A1930" s="4" t="s">
        <v>13</v>
      </c>
      <c r="B1930" s="4" t="s">
        <v>14</v>
      </c>
      <c r="C1930" s="5" t="n">
        <v>1329001710</v>
      </c>
      <c r="D1930" s="6" t="s">
        <v>2003</v>
      </c>
      <c r="E1930" s="6"/>
      <c r="F1930" s="7" t="n">
        <v>46074.4681593171</v>
      </c>
      <c r="G1930" s="7" t="n">
        <v>46076.2749659838</v>
      </c>
      <c r="H1930" s="8" t="n">
        <v>24</v>
      </c>
      <c r="I1930" s="5" t="n">
        <v>400426</v>
      </c>
      <c r="J1930" s="6" t="s">
        <v>831</v>
      </c>
      <c r="K1930" s="5" t="n">
        <v>153000110</v>
      </c>
      <c r="L1930" s="9" t="n">
        <v>46064</v>
      </c>
      <c r="M1930" s="10" t="n">
        <v>47889</v>
      </c>
    </row>
    <row r="1931" customFormat="false" ht="30" hidden="true" customHeight="true" outlineLevel="0" collapsed="false">
      <c r="A1931" s="4" t="s">
        <v>13</v>
      </c>
      <c r="B1931" s="4" t="s">
        <v>14</v>
      </c>
      <c r="C1931" s="5" t="n">
        <v>1329001710</v>
      </c>
      <c r="D1931" s="6" t="s">
        <v>2004</v>
      </c>
      <c r="E1931" s="6"/>
      <c r="F1931" s="7" t="n">
        <v>46074.4681593171</v>
      </c>
      <c r="G1931" s="7" t="n">
        <v>46076.2748113657</v>
      </c>
      <c r="H1931" s="8" t="n">
        <v>24</v>
      </c>
      <c r="I1931" s="5" t="n">
        <v>400426</v>
      </c>
      <c r="J1931" s="6" t="s">
        <v>831</v>
      </c>
      <c r="K1931" s="5" t="n">
        <v>153000110</v>
      </c>
      <c r="L1931" s="9" t="n">
        <v>46064</v>
      </c>
      <c r="M1931" s="10" t="n">
        <v>47889</v>
      </c>
    </row>
    <row r="1932" customFormat="false" ht="30" hidden="true" customHeight="true" outlineLevel="0" collapsed="false">
      <c r="A1932" s="4" t="s">
        <v>13</v>
      </c>
      <c r="B1932" s="4" t="s">
        <v>14</v>
      </c>
      <c r="C1932" s="5" t="n">
        <v>1329001710</v>
      </c>
      <c r="D1932" s="6" t="s">
        <v>2005</v>
      </c>
      <c r="E1932" s="6"/>
      <c r="F1932" s="7" t="n">
        <v>46074.4681593171</v>
      </c>
      <c r="G1932" s="7" t="n">
        <v>46076.2746928704</v>
      </c>
      <c r="H1932" s="8" t="n">
        <v>24</v>
      </c>
      <c r="I1932" s="5" t="n">
        <v>400426</v>
      </c>
      <c r="J1932" s="6" t="s">
        <v>831</v>
      </c>
      <c r="K1932" s="5" t="n">
        <v>153000110</v>
      </c>
      <c r="L1932" s="9" t="n">
        <v>46064</v>
      </c>
      <c r="M1932" s="10" t="n">
        <v>47889</v>
      </c>
    </row>
    <row r="1933" customFormat="false" ht="30" hidden="true" customHeight="true" outlineLevel="0" collapsed="false">
      <c r="A1933" s="4" t="s">
        <v>13</v>
      </c>
      <c r="B1933" s="4" t="s">
        <v>14</v>
      </c>
      <c r="C1933" s="5" t="n">
        <v>1329001710</v>
      </c>
      <c r="D1933" s="6" t="s">
        <v>2006</v>
      </c>
      <c r="E1933" s="6"/>
      <c r="F1933" s="7" t="n">
        <v>46074.4681593171</v>
      </c>
      <c r="G1933" s="7" t="n">
        <v>46076.2745466088</v>
      </c>
      <c r="H1933" s="8" t="n">
        <v>24</v>
      </c>
      <c r="I1933" s="5" t="n">
        <v>400426</v>
      </c>
      <c r="J1933" s="6" t="s">
        <v>831</v>
      </c>
      <c r="K1933" s="5" t="n">
        <v>153000110</v>
      </c>
      <c r="L1933" s="9" t="n">
        <v>46064</v>
      </c>
      <c r="M1933" s="10" t="n">
        <v>47889</v>
      </c>
    </row>
    <row r="1934" customFormat="false" ht="30" hidden="true" customHeight="true" outlineLevel="0" collapsed="false">
      <c r="A1934" s="4" t="s">
        <v>13</v>
      </c>
      <c r="B1934" s="4" t="s">
        <v>14</v>
      </c>
      <c r="C1934" s="5" t="n">
        <v>1329001710</v>
      </c>
      <c r="D1934" s="6" t="s">
        <v>2007</v>
      </c>
      <c r="E1934" s="6"/>
      <c r="F1934" s="7" t="n">
        <v>46074.4681593171</v>
      </c>
      <c r="G1934" s="7" t="n">
        <v>46076.2744116319</v>
      </c>
      <c r="H1934" s="8" t="n">
        <v>24</v>
      </c>
      <c r="I1934" s="5" t="n">
        <v>400426</v>
      </c>
      <c r="J1934" s="6" t="s">
        <v>831</v>
      </c>
      <c r="K1934" s="5" t="n">
        <v>153000110</v>
      </c>
      <c r="L1934" s="9" t="n">
        <v>46064</v>
      </c>
      <c r="M1934" s="10" t="n">
        <v>47889</v>
      </c>
    </row>
    <row r="1935" customFormat="false" ht="30" hidden="true" customHeight="true" outlineLevel="0" collapsed="false">
      <c r="A1935" s="4" t="s">
        <v>13</v>
      </c>
      <c r="B1935" s="4" t="s">
        <v>14</v>
      </c>
      <c r="C1935" s="5" t="n">
        <v>1329001710</v>
      </c>
      <c r="D1935" s="6" t="s">
        <v>2008</v>
      </c>
      <c r="E1935" s="6"/>
      <c r="F1935" s="7" t="n">
        <v>46074.4681593171</v>
      </c>
      <c r="G1935" s="7" t="n">
        <v>46076.2742984259</v>
      </c>
      <c r="H1935" s="8" t="n">
        <v>24</v>
      </c>
      <c r="I1935" s="5" t="n">
        <v>400426</v>
      </c>
      <c r="J1935" s="6" t="s">
        <v>831</v>
      </c>
      <c r="K1935" s="5" t="n">
        <v>153000110</v>
      </c>
      <c r="L1935" s="9" t="n">
        <v>46064</v>
      </c>
      <c r="M1935" s="10" t="n">
        <v>47889</v>
      </c>
    </row>
    <row r="1936" customFormat="false" ht="30" hidden="true" customHeight="true" outlineLevel="0" collapsed="false">
      <c r="A1936" s="4" t="s">
        <v>13</v>
      </c>
      <c r="B1936" s="4" t="s">
        <v>14</v>
      </c>
      <c r="C1936" s="5" t="n">
        <v>1329001710</v>
      </c>
      <c r="D1936" s="6" t="s">
        <v>2009</v>
      </c>
      <c r="E1936" s="6"/>
      <c r="F1936" s="7" t="n">
        <v>46074.4681593171</v>
      </c>
      <c r="G1936" s="7" t="n">
        <v>46076.2741571875</v>
      </c>
      <c r="H1936" s="8" t="n">
        <v>24</v>
      </c>
      <c r="I1936" s="5" t="n">
        <v>400426</v>
      </c>
      <c r="J1936" s="6" t="s">
        <v>831</v>
      </c>
      <c r="K1936" s="5" t="n">
        <v>153000110</v>
      </c>
      <c r="L1936" s="9" t="n">
        <v>46064</v>
      </c>
      <c r="M1936" s="10" t="n">
        <v>47889</v>
      </c>
    </row>
    <row r="1937" customFormat="false" ht="30" hidden="true" customHeight="true" outlineLevel="0" collapsed="false">
      <c r="A1937" s="4" t="s">
        <v>13</v>
      </c>
      <c r="B1937" s="4" t="s">
        <v>14</v>
      </c>
      <c r="C1937" s="5" t="n">
        <v>1329001710</v>
      </c>
      <c r="D1937" s="6" t="s">
        <v>2010</v>
      </c>
      <c r="E1937" s="6"/>
      <c r="F1937" s="7" t="n">
        <v>46074.4681593171</v>
      </c>
      <c r="G1937" s="7" t="n">
        <v>46076.2740199074</v>
      </c>
      <c r="H1937" s="8" t="n">
        <v>24</v>
      </c>
      <c r="I1937" s="5" t="n">
        <v>400426</v>
      </c>
      <c r="J1937" s="6" t="s">
        <v>831</v>
      </c>
      <c r="K1937" s="5" t="n">
        <v>153000110</v>
      </c>
      <c r="L1937" s="9" t="n">
        <v>46064</v>
      </c>
      <c r="M1937" s="10" t="n">
        <v>47889</v>
      </c>
    </row>
    <row r="1938" customFormat="false" ht="30" hidden="true" customHeight="true" outlineLevel="0" collapsed="false">
      <c r="A1938" s="4" t="s">
        <v>13</v>
      </c>
      <c r="B1938" s="4" t="s">
        <v>14</v>
      </c>
      <c r="C1938" s="5" t="n">
        <v>1329001710</v>
      </c>
      <c r="D1938" s="6" t="s">
        <v>2011</v>
      </c>
      <c r="E1938" s="6"/>
      <c r="F1938" s="7" t="n">
        <v>46074.4681593171</v>
      </c>
      <c r="G1938" s="7" t="n">
        <v>46076.2738827662</v>
      </c>
      <c r="H1938" s="8" t="n">
        <v>24</v>
      </c>
      <c r="I1938" s="5" t="n">
        <v>400426</v>
      </c>
      <c r="J1938" s="6" t="s">
        <v>831</v>
      </c>
      <c r="K1938" s="5" t="n">
        <v>153000110</v>
      </c>
      <c r="L1938" s="9" t="n">
        <v>46064</v>
      </c>
      <c r="M1938" s="10" t="n">
        <v>47889</v>
      </c>
    </row>
    <row r="1939" customFormat="false" ht="30" hidden="true" customHeight="true" outlineLevel="0" collapsed="false">
      <c r="A1939" s="4" t="s">
        <v>13</v>
      </c>
      <c r="B1939" s="4" t="s">
        <v>14</v>
      </c>
      <c r="C1939" s="5" t="n">
        <v>1329001710</v>
      </c>
      <c r="D1939" s="6" t="s">
        <v>2012</v>
      </c>
      <c r="E1939" s="6"/>
      <c r="F1939" s="7" t="n">
        <v>46074.4681593171</v>
      </c>
      <c r="G1939" s="7" t="n">
        <v>46076.273738669</v>
      </c>
      <c r="H1939" s="8" t="n">
        <v>24</v>
      </c>
      <c r="I1939" s="5" t="n">
        <v>400426</v>
      </c>
      <c r="J1939" s="6" t="s">
        <v>831</v>
      </c>
      <c r="K1939" s="5" t="n">
        <v>153000110</v>
      </c>
      <c r="L1939" s="9" t="n">
        <v>46064</v>
      </c>
      <c r="M1939" s="10" t="n">
        <v>47889</v>
      </c>
    </row>
    <row r="1940" customFormat="false" ht="30" hidden="true" customHeight="true" outlineLevel="0" collapsed="false">
      <c r="A1940" s="4" t="s">
        <v>13</v>
      </c>
      <c r="B1940" s="4" t="s">
        <v>14</v>
      </c>
      <c r="C1940" s="5" t="n">
        <v>1329001710</v>
      </c>
      <c r="D1940" s="6" t="s">
        <v>2013</v>
      </c>
      <c r="E1940" s="6"/>
      <c r="F1940" s="7" t="n">
        <v>46074.4681593171</v>
      </c>
      <c r="G1940" s="7" t="n">
        <v>46076.2736307986</v>
      </c>
      <c r="H1940" s="8" t="n">
        <v>24</v>
      </c>
      <c r="I1940" s="5" t="n">
        <v>400426</v>
      </c>
      <c r="J1940" s="6" t="s">
        <v>831</v>
      </c>
      <c r="K1940" s="5" t="n">
        <v>153000110</v>
      </c>
      <c r="L1940" s="9" t="n">
        <v>46064</v>
      </c>
      <c r="M1940" s="10" t="n">
        <v>47889</v>
      </c>
    </row>
    <row r="1941" customFormat="false" ht="30" hidden="true" customHeight="true" outlineLevel="0" collapsed="false">
      <c r="A1941" s="4" t="s">
        <v>13</v>
      </c>
      <c r="B1941" s="4" t="s">
        <v>14</v>
      </c>
      <c r="C1941" s="5" t="n">
        <v>1329001710</v>
      </c>
      <c r="D1941" s="6" t="s">
        <v>2014</v>
      </c>
      <c r="E1941" s="6"/>
      <c r="F1941" s="7" t="n">
        <v>46074.4681593171</v>
      </c>
      <c r="G1941" s="7" t="n">
        <v>46076.2735014699</v>
      </c>
      <c r="H1941" s="8" t="n">
        <v>24</v>
      </c>
      <c r="I1941" s="5" t="n">
        <v>400426</v>
      </c>
      <c r="J1941" s="6" t="s">
        <v>831</v>
      </c>
      <c r="K1941" s="5" t="n">
        <v>153000110</v>
      </c>
      <c r="L1941" s="9" t="n">
        <v>46064</v>
      </c>
      <c r="M1941" s="10" t="n">
        <v>47889</v>
      </c>
    </row>
    <row r="1942" customFormat="false" ht="30" hidden="true" customHeight="true" outlineLevel="0" collapsed="false">
      <c r="A1942" s="4" t="s">
        <v>13</v>
      </c>
      <c r="B1942" s="4" t="s">
        <v>14</v>
      </c>
      <c r="C1942" s="5" t="n">
        <v>1329001710</v>
      </c>
      <c r="D1942" s="6" t="s">
        <v>2015</v>
      </c>
      <c r="E1942" s="6"/>
      <c r="F1942" s="7" t="n">
        <v>46074.4681593171</v>
      </c>
      <c r="G1942" s="7" t="n">
        <v>46076.2733724884</v>
      </c>
      <c r="H1942" s="8" t="n">
        <v>24</v>
      </c>
      <c r="I1942" s="5" t="n">
        <v>400426</v>
      </c>
      <c r="J1942" s="6" t="s">
        <v>831</v>
      </c>
      <c r="K1942" s="5" t="n">
        <v>153000110</v>
      </c>
      <c r="L1942" s="9" t="n">
        <v>46064</v>
      </c>
      <c r="M1942" s="10" t="n">
        <v>47889</v>
      </c>
    </row>
    <row r="1943" customFormat="false" ht="30" hidden="true" customHeight="true" outlineLevel="0" collapsed="false">
      <c r="A1943" s="4" t="s">
        <v>13</v>
      </c>
      <c r="B1943" s="4" t="s">
        <v>14</v>
      </c>
      <c r="C1943" s="5" t="n">
        <v>1329001710</v>
      </c>
      <c r="D1943" s="6" t="s">
        <v>2016</v>
      </c>
      <c r="E1943" s="6"/>
      <c r="F1943" s="7" t="n">
        <v>46074.4681593171</v>
      </c>
      <c r="G1943" s="7" t="n">
        <v>46076.2730576042</v>
      </c>
      <c r="H1943" s="8" t="n">
        <v>24</v>
      </c>
      <c r="I1943" s="5" t="n">
        <v>400426</v>
      </c>
      <c r="J1943" s="6" t="s">
        <v>831</v>
      </c>
      <c r="K1943" s="5" t="n">
        <v>153000110</v>
      </c>
      <c r="L1943" s="9" t="n">
        <v>46064</v>
      </c>
      <c r="M1943" s="10" t="n">
        <v>47889</v>
      </c>
    </row>
    <row r="1944" customFormat="false" ht="30" hidden="true" customHeight="true" outlineLevel="0" collapsed="false">
      <c r="A1944" s="4" t="s">
        <v>109</v>
      </c>
      <c r="B1944" s="4" t="s">
        <v>14</v>
      </c>
      <c r="C1944" s="5" t="n">
        <v>1329001711</v>
      </c>
      <c r="D1944" s="6" t="s">
        <v>2017</v>
      </c>
      <c r="E1944" s="6"/>
      <c r="F1944" s="7" t="n">
        <v>46076.2204137153</v>
      </c>
      <c r="G1944" s="7" t="n">
        <v>46076.2496893287</v>
      </c>
      <c r="H1944" s="8" t="n">
        <v>24</v>
      </c>
      <c r="I1944" s="5" t="n">
        <v>400426</v>
      </c>
      <c r="J1944" s="6" t="s">
        <v>831</v>
      </c>
      <c r="K1944" s="5" t="n">
        <v>153000125</v>
      </c>
      <c r="L1944" s="9" t="n">
        <v>46069</v>
      </c>
      <c r="M1944" s="10" t="n">
        <v>47894</v>
      </c>
    </row>
    <row r="1945" customFormat="false" ht="30" hidden="true" customHeight="true" outlineLevel="0" collapsed="false">
      <c r="A1945" s="4" t="s">
        <v>109</v>
      </c>
      <c r="B1945" s="4" t="s">
        <v>14</v>
      </c>
      <c r="C1945" s="5" t="n">
        <v>1329001711</v>
      </c>
      <c r="D1945" s="6" t="s">
        <v>2018</v>
      </c>
      <c r="E1945" s="6"/>
      <c r="F1945" s="7" t="n">
        <v>46076.2204137153</v>
      </c>
      <c r="G1945" s="7" t="n">
        <v>46076.2500454398</v>
      </c>
      <c r="H1945" s="8" t="n">
        <v>24</v>
      </c>
      <c r="I1945" s="5" t="n">
        <v>400426</v>
      </c>
      <c r="J1945" s="6" t="s">
        <v>831</v>
      </c>
      <c r="K1945" s="5" t="n">
        <v>153000113</v>
      </c>
      <c r="L1945" s="9" t="n">
        <v>46069</v>
      </c>
      <c r="M1945" s="10" t="n">
        <v>47894</v>
      </c>
    </row>
    <row r="1946" customFormat="false" ht="30" hidden="true" customHeight="true" outlineLevel="0" collapsed="false">
      <c r="A1946" s="4" t="s">
        <v>109</v>
      </c>
      <c r="B1946" s="4" t="s">
        <v>14</v>
      </c>
      <c r="C1946" s="5" t="n">
        <v>1329001711</v>
      </c>
      <c r="D1946" s="6" t="s">
        <v>2019</v>
      </c>
      <c r="E1946" s="6"/>
      <c r="F1946" s="7" t="n">
        <v>46076.2204137153</v>
      </c>
      <c r="G1946" s="7" t="n">
        <v>46076.2505015394</v>
      </c>
      <c r="H1946" s="8" t="n">
        <v>24</v>
      </c>
      <c r="I1946" s="5" t="n">
        <v>400426</v>
      </c>
      <c r="J1946" s="6" t="s">
        <v>831</v>
      </c>
      <c r="K1946" s="5" t="n">
        <v>153000113</v>
      </c>
      <c r="L1946" s="9" t="n">
        <v>46069</v>
      </c>
      <c r="M1946" s="10" t="n">
        <v>47894</v>
      </c>
    </row>
    <row r="1947" customFormat="false" ht="30" hidden="true" customHeight="true" outlineLevel="0" collapsed="false">
      <c r="A1947" s="4" t="s">
        <v>109</v>
      </c>
      <c r="B1947" s="4" t="s">
        <v>14</v>
      </c>
      <c r="C1947" s="5" t="n">
        <v>1329001711</v>
      </c>
      <c r="D1947" s="6" t="s">
        <v>2020</v>
      </c>
      <c r="E1947" s="6"/>
      <c r="F1947" s="7" t="n">
        <v>46076.2204137153</v>
      </c>
      <c r="G1947" s="7" t="n">
        <v>46076.2510417361</v>
      </c>
      <c r="H1947" s="8" t="n">
        <v>24</v>
      </c>
      <c r="I1947" s="5" t="n">
        <v>400426</v>
      </c>
      <c r="J1947" s="6" t="s">
        <v>831</v>
      </c>
      <c r="K1947" s="5" t="n">
        <v>153000125</v>
      </c>
      <c r="L1947" s="9" t="n">
        <v>46069</v>
      </c>
      <c r="M1947" s="10" t="n">
        <v>47894</v>
      </c>
    </row>
    <row r="1948" customFormat="false" ht="30" hidden="true" customHeight="true" outlineLevel="0" collapsed="false">
      <c r="A1948" s="4" t="s">
        <v>109</v>
      </c>
      <c r="B1948" s="4" t="s">
        <v>14</v>
      </c>
      <c r="C1948" s="5" t="n">
        <v>1329001711</v>
      </c>
      <c r="D1948" s="6" t="s">
        <v>2021</v>
      </c>
      <c r="E1948" s="6"/>
      <c r="F1948" s="7" t="n">
        <v>46076.2204137153</v>
      </c>
      <c r="G1948" s="7" t="n">
        <v>46076.2327348843</v>
      </c>
      <c r="H1948" s="8" t="n">
        <v>24</v>
      </c>
      <c r="I1948" s="5" t="n">
        <v>400426</v>
      </c>
      <c r="J1948" s="6" t="s">
        <v>831</v>
      </c>
      <c r="K1948" s="5" t="n">
        <v>153000125</v>
      </c>
      <c r="L1948" s="9" t="n">
        <v>46069</v>
      </c>
      <c r="M1948" s="10" t="n">
        <v>47894</v>
      </c>
    </row>
    <row r="1949" customFormat="false" ht="30" hidden="true" customHeight="true" outlineLevel="0" collapsed="false">
      <c r="A1949" s="4" t="s">
        <v>109</v>
      </c>
      <c r="B1949" s="4" t="s">
        <v>14</v>
      </c>
      <c r="C1949" s="5" t="n">
        <v>1329001711</v>
      </c>
      <c r="D1949" s="6" t="s">
        <v>2022</v>
      </c>
      <c r="E1949" s="6"/>
      <c r="F1949" s="7" t="n">
        <v>46076.2204137153</v>
      </c>
      <c r="G1949" s="7" t="n">
        <v>46076.2333059259</v>
      </c>
      <c r="H1949" s="8" t="n">
        <v>24</v>
      </c>
      <c r="I1949" s="5" t="n">
        <v>400426</v>
      </c>
      <c r="J1949" s="6" t="s">
        <v>831</v>
      </c>
      <c r="K1949" s="5" t="n">
        <v>153000125</v>
      </c>
      <c r="L1949" s="9" t="n">
        <v>46069</v>
      </c>
      <c r="M1949" s="10" t="n">
        <v>47894</v>
      </c>
    </row>
    <row r="1950" customFormat="false" ht="30" hidden="true" customHeight="true" outlineLevel="0" collapsed="false">
      <c r="A1950" s="4" t="s">
        <v>109</v>
      </c>
      <c r="B1950" s="4" t="s">
        <v>14</v>
      </c>
      <c r="C1950" s="5" t="n">
        <v>1329001711</v>
      </c>
      <c r="D1950" s="6" t="s">
        <v>2023</v>
      </c>
      <c r="E1950" s="6"/>
      <c r="F1950" s="7" t="n">
        <v>46076.2204137153</v>
      </c>
      <c r="G1950" s="7" t="n">
        <v>46076.233829537</v>
      </c>
      <c r="H1950" s="8" t="n">
        <v>24</v>
      </c>
      <c r="I1950" s="5" t="n">
        <v>400426</v>
      </c>
      <c r="J1950" s="6" t="s">
        <v>831</v>
      </c>
      <c r="K1950" s="5" t="n">
        <v>153000125</v>
      </c>
      <c r="L1950" s="9" t="n">
        <v>46069</v>
      </c>
      <c r="M1950" s="10" t="n">
        <v>47894</v>
      </c>
    </row>
    <row r="1951" customFormat="false" ht="30" hidden="true" customHeight="true" outlineLevel="0" collapsed="false">
      <c r="A1951" s="4" t="s">
        <v>109</v>
      </c>
      <c r="B1951" s="4" t="s">
        <v>14</v>
      </c>
      <c r="C1951" s="5" t="n">
        <v>1329001711</v>
      </c>
      <c r="D1951" s="6" t="s">
        <v>2024</v>
      </c>
      <c r="E1951" s="6"/>
      <c r="F1951" s="7" t="n">
        <v>46076.2204137153</v>
      </c>
      <c r="G1951" s="7" t="n">
        <v>46076.2344778125</v>
      </c>
      <c r="H1951" s="8" t="n">
        <v>24</v>
      </c>
      <c r="I1951" s="5" t="n">
        <v>400426</v>
      </c>
      <c r="J1951" s="6" t="s">
        <v>831</v>
      </c>
      <c r="K1951" s="5" t="n">
        <v>153000113</v>
      </c>
      <c r="L1951" s="9" t="n">
        <v>46069</v>
      </c>
      <c r="M1951" s="10" t="n">
        <v>47894</v>
      </c>
    </row>
    <row r="1952" customFormat="false" ht="30" hidden="true" customHeight="true" outlineLevel="0" collapsed="false">
      <c r="A1952" s="4" t="s">
        <v>109</v>
      </c>
      <c r="B1952" s="4" t="s">
        <v>14</v>
      </c>
      <c r="C1952" s="5" t="n">
        <v>1329001711</v>
      </c>
      <c r="D1952" s="6" t="s">
        <v>2025</v>
      </c>
      <c r="E1952" s="6"/>
      <c r="F1952" s="7" t="n">
        <v>46076.2204137153</v>
      </c>
      <c r="G1952" s="7" t="n">
        <v>46076.2352726736</v>
      </c>
      <c r="H1952" s="8" t="n">
        <v>24</v>
      </c>
      <c r="I1952" s="5" t="n">
        <v>400426</v>
      </c>
      <c r="J1952" s="6" t="s">
        <v>831</v>
      </c>
      <c r="K1952" s="5" t="n">
        <v>153000125</v>
      </c>
      <c r="L1952" s="9" t="n">
        <v>46069</v>
      </c>
      <c r="M1952" s="10" t="n">
        <v>47894</v>
      </c>
    </row>
    <row r="1953" customFormat="false" ht="30" hidden="true" customHeight="true" outlineLevel="0" collapsed="false">
      <c r="A1953" s="4" t="s">
        <v>109</v>
      </c>
      <c r="B1953" s="4" t="s">
        <v>14</v>
      </c>
      <c r="C1953" s="5" t="n">
        <v>1329001711</v>
      </c>
      <c r="D1953" s="6" t="s">
        <v>2026</v>
      </c>
      <c r="E1953" s="6"/>
      <c r="F1953" s="7" t="n">
        <v>46076.2204137153</v>
      </c>
      <c r="G1953" s="7" t="n">
        <v>46076.2358809838</v>
      </c>
      <c r="H1953" s="8" t="n">
        <v>24</v>
      </c>
      <c r="I1953" s="5" t="n">
        <v>400426</v>
      </c>
      <c r="J1953" s="6" t="s">
        <v>831</v>
      </c>
      <c r="K1953" s="5" t="n">
        <v>153000113</v>
      </c>
      <c r="L1953" s="9" t="n">
        <v>46069</v>
      </c>
      <c r="M1953" s="10" t="n">
        <v>47894</v>
      </c>
    </row>
    <row r="1954" customFormat="false" ht="30" hidden="true" customHeight="true" outlineLevel="0" collapsed="false">
      <c r="A1954" s="4" t="s">
        <v>109</v>
      </c>
      <c r="B1954" s="4" t="s">
        <v>14</v>
      </c>
      <c r="C1954" s="5" t="n">
        <v>1329001711</v>
      </c>
      <c r="D1954" s="6" t="s">
        <v>2027</v>
      </c>
      <c r="E1954" s="6"/>
      <c r="F1954" s="7" t="n">
        <v>46076.2204137153</v>
      </c>
      <c r="G1954" s="7" t="n">
        <v>46076.2364486227</v>
      </c>
      <c r="H1954" s="8" t="n">
        <v>24</v>
      </c>
      <c r="I1954" s="5" t="n">
        <v>400426</v>
      </c>
      <c r="J1954" s="6" t="s">
        <v>831</v>
      </c>
      <c r="K1954" s="5" t="n">
        <v>153000125</v>
      </c>
      <c r="L1954" s="9" t="n">
        <v>46069</v>
      </c>
      <c r="M1954" s="10" t="n">
        <v>47894</v>
      </c>
    </row>
    <row r="1955" customFormat="false" ht="30" hidden="true" customHeight="true" outlineLevel="0" collapsed="false">
      <c r="A1955" s="4" t="s">
        <v>109</v>
      </c>
      <c r="B1955" s="4" t="s">
        <v>14</v>
      </c>
      <c r="C1955" s="5" t="n">
        <v>1329001711</v>
      </c>
      <c r="D1955" s="6" t="s">
        <v>2028</v>
      </c>
      <c r="E1955" s="6"/>
      <c r="F1955" s="7" t="n">
        <v>46076.2204137153</v>
      </c>
      <c r="G1955" s="7" t="n">
        <v>46076.2291515509</v>
      </c>
      <c r="H1955" s="8" t="n">
        <v>24</v>
      </c>
      <c r="I1955" s="5" t="n">
        <v>400426</v>
      </c>
      <c r="J1955" s="6" t="s">
        <v>831</v>
      </c>
      <c r="K1955" s="5" t="n">
        <v>153000113</v>
      </c>
      <c r="L1955" s="9" t="n">
        <v>46069</v>
      </c>
      <c r="M1955" s="10" t="n">
        <v>47894</v>
      </c>
    </row>
    <row r="1956" customFormat="false" ht="30" hidden="true" customHeight="true" outlineLevel="0" collapsed="false">
      <c r="A1956" s="4" t="s">
        <v>109</v>
      </c>
      <c r="B1956" s="4" t="s">
        <v>14</v>
      </c>
      <c r="C1956" s="5" t="n">
        <v>1329001711</v>
      </c>
      <c r="D1956" s="6" t="s">
        <v>2029</v>
      </c>
      <c r="E1956" s="6"/>
      <c r="F1956" s="7" t="n">
        <v>46076.2204137153</v>
      </c>
      <c r="G1956" s="7" t="n">
        <v>46076.2300137963</v>
      </c>
      <c r="H1956" s="8" t="n">
        <v>24</v>
      </c>
      <c r="I1956" s="5" t="n">
        <v>400426</v>
      </c>
      <c r="J1956" s="6" t="s">
        <v>831</v>
      </c>
      <c r="K1956" s="5" t="n">
        <v>153000125</v>
      </c>
      <c r="L1956" s="9" t="n">
        <v>46069</v>
      </c>
      <c r="M1956" s="10" t="n">
        <v>47894</v>
      </c>
    </row>
    <row r="1957" customFormat="false" ht="30" hidden="true" customHeight="true" outlineLevel="0" collapsed="false">
      <c r="A1957" s="4" t="s">
        <v>109</v>
      </c>
      <c r="B1957" s="4" t="s">
        <v>14</v>
      </c>
      <c r="C1957" s="5" t="n">
        <v>1329001711</v>
      </c>
      <c r="D1957" s="6" t="s">
        <v>2030</v>
      </c>
      <c r="E1957" s="6"/>
      <c r="F1957" s="7" t="n">
        <v>46076.2204137153</v>
      </c>
      <c r="G1957" s="7" t="n">
        <v>46076.2306482176</v>
      </c>
      <c r="H1957" s="8" t="n">
        <v>24</v>
      </c>
      <c r="I1957" s="5" t="n">
        <v>400426</v>
      </c>
      <c r="J1957" s="6" t="s">
        <v>831</v>
      </c>
      <c r="K1957" s="5" t="n">
        <v>153000125</v>
      </c>
      <c r="L1957" s="9" t="n">
        <v>46069</v>
      </c>
      <c r="M1957" s="10" t="n">
        <v>47894</v>
      </c>
    </row>
    <row r="1958" customFormat="false" ht="30" hidden="true" customHeight="true" outlineLevel="0" collapsed="false">
      <c r="A1958" s="4" t="s">
        <v>109</v>
      </c>
      <c r="B1958" s="4" t="s">
        <v>14</v>
      </c>
      <c r="C1958" s="5" t="n">
        <v>1329001711</v>
      </c>
      <c r="D1958" s="6" t="s">
        <v>2031</v>
      </c>
      <c r="E1958" s="6"/>
      <c r="F1958" s="7" t="n">
        <v>46076.2204137153</v>
      </c>
      <c r="G1958" s="7" t="n">
        <v>46076.2311698495</v>
      </c>
      <c r="H1958" s="8" t="n">
        <v>24</v>
      </c>
      <c r="I1958" s="5" t="n">
        <v>400426</v>
      </c>
      <c r="J1958" s="6" t="s">
        <v>831</v>
      </c>
      <c r="K1958" s="5" t="n">
        <v>153000125</v>
      </c>
      <c r="L1958" s="9" t="n">
        <v>46069</v>
      </c>
      <c r="M1958" s="10" t="n">
        <v>47894</v>
      </c>
    </row>
    <row r="1959" customFormat="false" ht="30" hidden="true" customHeight="true" outlineLevel="0" collapsed="false">
      <c r="A1959" s="4" t="s">
        <v>109</v>
      </c>
      <c r="B1959" s="4" t="s">
        <v>14</v>
      </c>
      <c r="C1959" s="5" t="n">
        <v>1329001711</v>
      </c>
      <c r="D1959" s="6" t="s">
        <v>2032</v>
      </c>
      <c r="E1959" s="6"/>
      <c r="F1959" s="7" t="n">
        <v>46076.2204137153</v>
      </c>
      <c r="G1959" s="7" t="n">
        <v>46076.2317023148</v>
      </c>
      <c r="H1959" s="8" t="n">
        <v>24</v>
      </c>
      <c r="I1959" s="5" t="n">
        <v>400426</v>
      </c>
      <c r="J1959" s="6" t="s">
        <v>831</v>
      </c>
      <c r="K1959" s="5" t="n">
        <v>153000125</v>
      </c>
      <c r="L1959" s="9" t="n">
        <v>46069</v>
      </c>
      <c r="M1959" s="10" t="n">
        <v>47894</v>
      </c>
    </row>
    <row r="1960" customFormat="false" ht="30" hidden="true" customHeight="true" outlineLevel="0" collapsed="false">
      <c r="A1960" s="4" t="s">
        <v>109</v>
      </c>
      <c r="B1960" s="4" t="s">
        <v>14</v>
      </c>
      <c r="C1960" s="5" t="n">
        <v>1329001711</v>
      </c>
      <c r="D1960" s="6" t="s">
        <v>2033</v>
      </c>
      <c r="E1960" s="6"/>
      <c r="F1960" s="7" t="n">
        <v>46076.2204137153</v>
      </c>
      <c r="G1960" s="7" t="n">
        <v>46076.2322046412</v>
      </c>
      <c r="H1960" s="8" t="n">
        <v>24</v>
      </c>
      <c r="I1960" s="5" t="n">
        <v>400426</v>
      </c>
      <c r="J1960" s="6" t="s">
        <v>831</v>
      </c>
      <c r="K1960" s="5" t="n">
        <v>153000125</v>
      </c>
      <c r="L1960" s="9" t="n">
        <v>46069</v>
      </c>
      <c r="M1960" s="10" t="n">
        <v>47894</v>
      </c>
    </row>
    <row r="1961" customFormat="false" ht="30" hidden="true" customHeight="true" outlineLevel="0" collapsed="false">
      <c r="A1961" s="4" t="s">
        <v>109</v>
      </c>
      <c r="B1961" s="4" t="s">
        <v>14</v>
      </c>
      <c r="C1961" s="5" t="n">
        <v>1329001711</v>
      </c>
      <c r="D1961" s="6" t="s">
        <v>2034</v>
      </c>
      <c r="E1961" s="6"/>
      <c r="F1961" s="7" t="n">
        <v>46076.2204137153</v>
      </c>
      <c r="G1961" s="7" t="n">
        <v>46076.2370779282</v>
      </c>
      <c r="H1961" s="8" t="n">
        <v>24</v>
      </c>
      <c r="I1961" s="5" t="n">
        <v>400426</v>
      </c>
      <c r="J1961" s="6" t="s">
        <v>831</v>
      </c>
      <c r="K1961" s="5" t="n">
        <v>153000125</v>
      </c>
      <c r="L1961" s="9" t="n">
        <v>46069</v>
      </c>
      <c r="M1961" s="10" t="n">
        <v>47894</v>
      </c>
    </row>
    <row r="1962" customFormat="false" ht="30" hidden="true" customHeight="true" outlineLevel="0" collapsed="false">
      <c r="A1962" s="4" t="s">
        <v>109</v>
      </c>
      <c r="B1962" s="4" t="s">
        <v>14</v>
      </c>
      <c r="C1962" s="5" t="n">
        <v>1329001711</v>
      </c>
      <c r="D1962" s="6" t="s">
        <v>2035</v>
      </c>
      <c r="E1962" s="6"/>
      <c r="F1962" s="7" t="n">
        <v>46076.2204137153</v>
      </c>
      <c r="G1962" s="7" t="n">
        <v>46076.2375981481</v>
      </c>
      <c r="H1962" s="8" t="n">
        <v>24</v>
      </c>
      <c r="I1962" s="5" t="n">
        <v>400426</v>
      </c>
      <c r="J1962" s="6" t="s">
        <v>831</v>
      </c>
      <c r="K1962" s="5" t="n">
        <v>153000125</v>
      </c>
      <c r="L1962" s="9" t="n">
        <v>46069</v>
      </c>
      <c r="M1962" s="10" t="n">
        <v>47894</v>
      </c>
    </row>
    <row r="1963" customFormat="false" ht="30" hidden="true" customHeight="true" outlineLevel="0" collapsed="false">
      <c r="A1963" s="4" t="s">
        <v>109</v>
      </c>
      <c r="B1963" s="4" t="s">
        <v>14</v>
      </c>
      <c r="C1963" s="5" t="n">
        <v>1329001711</v>
      </c>
      <c r="D1963" s="6" t="s">
        <v>2036</v>
      </c>
      <c r="E1963" s="6"/>
      <c r="F1963" s="7" t="n">
        <v>46076.2204137153</v>
      </c>
      <c r="G1963" s="7" t="n">
        <v>46076.238155</v>
      </c>
      <c r="H1963" s="8" t="n">
        <v>24</v>
      </c>
      <c r="I1963" s="5" t="n">
        <v>400426</v>
      </c>
      <c r="J1963" s="6" t="s">
        <v>831</v>
      </c>
      <c r="K1963" s="5" t="n">
        <v>153000125</v>
      </c>
      <c r="L1963" s="9" t="n">
        <v>46069</v>
      </c>
      <c r="M1963" s="10" t="n">
        <v>47894</v>
      </c>
    </row>
    <row r="1964" customFormat="false" ht="30" hidden="true" customHeight="true" outlineLevel="0" collapsed="false">
      <c r="A1964" s="4" t="s">
        <v>109</v>
      </c>
      <c r="B1964" s="4" t="s">
        <v>14</v>
      </c>
      <c r="C1964" s="5" t="n">
        <v>1329001711</v>
      </c>
      <c r="D1964" s="6" t="s">
        <v>2037</v>
      </c>
      <c r="E1964" s="6"/>
      <c r="F1964" s="7" t="n">
        <v>46076.2204137153</v>
      </c>
      <c r="G1964" s="7" t="n">
        <v>46076.2385856713</v>
      </c>
      <c r="H1964" s="8" t="n">
        <v>24</v>
      </c>
      <c r="I1964" s="5" t="n">
        <v>400426</v>
      </c>
      <c r="J1964" s="6" t="s">
        <v>831</v>
      </c>
      <c r="K1964" s="5" t="n">
        <v>153000113</v>
      </c>
      <c r="L1964" s="9" t="n">
        <v>46069</v>
      </c>
      <c r="M1964" s="10" t="n">
        <v>47894</v>
      </c>
    </row>
    <row r="1965" customFormat="false" ht="30" hidden="true" customHeight="true" outlineLevel="0" collapsed="false">
      <c r="A1965" s="4" t="s">
        <v>109</v>
      </c>
      <c r="B1965" s="4" t="s">
        <v>14</v>
      </c>
      <c r="C1965" s="5" t="n">
        <v>1329001711</v>
      </c>
      <c r="D1965" s="6" t="s">
        <v>2038</v>
      </c>
      <c r="E1965" s="6"/>
      <c r="F1965" s="7" t="n">
        <v>46076.2204137153</v>
      </c>
      <c r="G1965" s="7" t="n">
        <v>46076.2390388889</v>
      </c>
      <c r="H1965" s="8" t="n">
        <v>24</v>
      </c>
      <c r="I1965" s="5" t="n">
        <v>400426</v>
      </c>
      <c r="J1965" s="6" t="s">
        <v>831</v>
      </c>
      <c r="K1965" s="5" t="n">
        <v>153000125</v>
      </c>
      <c r="L1965" s="9" t="n">
        <v>46069</v>
      </c>
      <c r="M1965" s="10" t="n">
        <v>47894</v>
      </c>
    </row>
  </sheetData>
  <autoFilter ref="A2:M1965">
    <filterColumn colId="0">
      <filters>
        <filter val="Riyadh"/>
      </filters>
    </filterColumn>
  </autoFilter>
  <mergeCells count="1">
    <mergeCell ref="A1:M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1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L3" activeCellId="0" sqref="L3"/>
    </sheetView>
  </sheetViews>
  <sheetFormatPr defaultColWidth="8.53515625" defaultRowHeight="15" zeroHeight="false" outlineLevelRow="0" outlineLevelCol="0"/>
  <cols>
    <col collapsed="false" customWidth="true" hidden="false" outlineLevel="0" max="1" min="1" style="1" width="17.28"/>
    <col collapsed="false" customWidth="true" hidden="false" outlineLevel="0" max="2" min="2" style="1" width="14.28"/>
    <col collapsed="false" customWidth="true" hidden="false" outlineLevel="0" max="3" min="3" style="1" width="26.14"/>
    <col collapsed="false" customWidth="true" hidden="false" outlineLevel="0" max="4" min="4" style="1" width="14.28"/>
    <col collapsed="false" customWidth="true" hidden="false" outlineLevel="0" max="5" min="5" style="1" width="16.14"/>
    <col collapsed="false" customWidth="true" hidden="false" outlineLevel="0" max="8" min="6" style="1" width="14.28"/>
    <col collapsed="false" customWidth="true" hidden="false" outlineLevel="0" max="9" min="9" style="1" width="15.85"/>
    <col collapsed="false" customWidth="true" hidden="false" outlineLevel="0" max="10" min="10" style="1" width="27.28"/>
    <col collapsed="false" customWidth="true" hidden="false" outlineLevel="0" max="13" min="11" style="1" width="14.28"/>
    <col collapsed="false" customWidth="true" hidden="false" outlineLevel="0" max="14" min="14" style="1" width="12.57"/>
    <col collapsed="false" customWidth="true" hidden="false" outlineLevel="0" max="15" min="15" style="1" width="10.57"/>
    <col collapsed="false" customWidth="true" hidden="false" outlineLevel="0" max="16" min="16" style="1" width="14.28"/>
    <col collapsed="false" customWidth="true" hidden="false" outlineLevel="0" max="17" min="17" style="1" width="24.54"/>
  </cols>
  <sheetData>
    <row r="1" customFormat="false" ht="17.25" hidden="false" customHeight="true" outlineLevel="0" collapsed="false">
      <c r="A1" s="2" t="s">
        <v>2039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13" t="s">
        <v>2040</v>
      </c>
      <c r="B2" s="13" t="s">
        <v>2</v>
      </c>
      <c r="C2" s="13" t="s">
        <v>2041</v>
      </c>
      <c r="D2" s="13" t="s">
        <v>2042</v>
      </c>
      <c r="E2" s="13" t="s">
        <v>2043</v>
      </c>
      <c r="F2" s="13" t="s">
        <v>2044</v>
      </c>
      <c r="G2" s="13" t="s">
        <v>2045</v>
      </c>
      <c r="H2" s="13" t="s">
        <v>2046</v>
      </c>
      <c r="I2" s="13" t="s">
        <v>2047</v>
      </c>
      <c r="J2" s="13" t="s">
        <v>2048</v>
      </c>
      <c r="K2" s="13" t="s">
        <v>2049</v>
      </c>
      <c r="L2" s="13" t="s">
        <v>2050</v>
      </c>
      <c r="M2" s="13" t="s">
        <v>2051</v>
      </c>
      <c r="N2" s="13" t="s">
        <v>2052</v>
      </c>
      <c r="O2" s="13" t="s">
        <v>2053</v>
      </c>
      <c r="P2" s="13" t="s">
        <v>2054</v>
      </c>
      <c r="Q2" s="13" t="s">
        <v>2055</v>
      </c>
    </row>
    <row r="3" customFormat="false" ht="24.3" hidden="false" customHeight="false" outlineLevel="0" collapsed="false">
      <c r="A3" s="14" t="s">
        <v>109</v>
      </c>
      <c r="B3" s="14" t="s">
        <v>14</v>
      </c>
      <c r="C3" s="15" t="n">
        <v>46056.5965856482</v>
      </c>
      <c r="D3" s="16" t="s">
        <v>2056</v>
      </c>
      <c r="E3" s="17" t="n">
        <v>2409717325</v>
      </c>
      <c r="F3" s="16" t="s">
        <v>2057</v>
      </c>
      <c r="G3" s="16" t="s">
        <v>2058</v>
      </c>
      <c r="H3" s="16" t="s">
        <v>109</v>
      </c>
      <c r="I3" s="17" t="n">
        <v>400396</v>
      </c>
      <c r="J3" s="16" t="s">
        <v>170</v>
      </c>
      <c r="K3" s="17" t="n">
        <v>2501715360</v>
      </c>
      <c r="L3" s="18" t="n">
        <v>52</v>
      </c>
      <c r="M3" s="18" t="n">
        <v>52</v>
      </c>
      <c r="N3" s="17" t="n">
        <v>100010092</v>
      </c>
      <c r="O3" s="19" t="n">
        <v>47756</v>
      </c>
      <c r="P3" s="19" t="n">
        <v>45931</v>
      </c>
      <c r="Q3" s="15" t="n">
        <v>46056.6543865741</v>
      </c>
    </row>
    <row r="4" customFormat="false" ht="24.3" hidden="false" customHeight="false" outlineLevel="0" collapsed="false">
      <c r="A4" s="20" t="s">
        <v>109</v>
      </c>
      <c r="B4" s="20" t="s">
        <v>14</v>
      </c>
      <c r="C4" s="21" t="n">
        <v>46056.5965856482</v>
      </c>
      <c r="D4" s="22" t="s">
        <v>2056</v>
      </c>
      <c r="E4" s="23" t="n">
        <v>2409717325</v>
      </c>
      <c r="F4" s="22" t="s">
        <v>2057</v>
      </c>
      <c r="G4" s="22" t="s">
        <v>2058</v>
      </c>
      <c r="H4" s="22" t="s">
        <v>109</v>
      </c>
      <c r="I4" s="23" t="n">
        <v>400396</v>
      </c>
      <c r="J4" s="22" t="s">
        <v>170</v>
      </c>
      <c r="K4" s="23" t="n">
        <v>2501715360</v>
      </c>
      <c r="L4" s="24" t="n">
        <v>29</v>
      </c>
      <c r="M4" s="24" t="n">
        <v>29</v>
      </c>
      <c r="N4" s="23" t="n">
        <v>100011104</v>
      </c>
      <c r="O4" s="25" t="n">
        <v>47833</v>
      </c>
      <c r="P4" s="25" t="n">
        <v>46008</v>
      </c>
      <c r="Q4" s="21" t="n">
        <v>46056.6543865741</v>
      </c>
    </row>
    <row r="5" customFormat="false" ht="24.3" hidden="false" customHeight="false" outlineLevel="0" collapsed="false">
      <c r="A5" s="14" t="s">
        <v>109</v>
      </c>
      <c r="B5" s="14" t="s">
        <v>14</v>
      </c>
      <c r="C5" s="15" t="n">
        <v>46056.5965856482</v>
      </c>
      <c r="D5" s="16" t="s">
        <v>2056</v>
      </c>
      <c r="E5" s="17" t="n">
        <v>2409717325</v>
      </c>
      <c r="F5" s="16" t="s">
        <v>2057</v>
      </c>
      <c r="G5" s="16" t="s">
        <v>2058</v>
      </c>
      <c r="H5" s="16" t="s">
        <v>109</v>
      </c>
      <c r="I5" s="17" t="n">
        <v>400396</v>
      </c>
      <c r="J5" s="16" t="s">
        <v>170</v>
      </c>
      <c r="K5" s="17" t="n">
        <v>2501715360</v>
      </c>
      <c r="L5" s="18" t="n">
        <v>52</v>
      </c>
      <c r="M5" s="18" t="n">
        <v>52</v>
      </c>
      <c r="N5" s="17" t="n">
        <v>100011104</v>
      </c>
      <c r="O5" s="19" t="n">
        <v>47833</v>
      </c>
      <c r="P5" s="19" t="n">
        <v>46008</v>
      </c>
      <c r="Q5" s="15" t="n">
        <v>46056.6543865741</v>
      </c>
    </row>
    <row r="6" customFormat="false" ht="24.3" hidden="false" customHeight="false" outlineLevel="0" collapsed="false">
      <c r="A6" s="20" t="s">
        <v>109</v>
      </c>
      <c r="B6" s="20" t="s">
        <v>14</v>
      </c>
      <c r="C6" s="21" t="n">
        <v>46056.5965856482</v>
      </c>
      <c r="D6" s="22" t="s">
        <v>2056</v>
      </c>
      <c r="E6" s="23" t="n">
        <v>2409717325</v>
      </c>
      <c r="F6" s="22" t="s">
        <v>2057</v>
      </c>
      <c r="G6" s="22" t="s">
        <v>2058</v>
      </c>
      <c r="H6" s="22" t="s">
        <v>109</v>
      </c>
      <c r="I6" s="23" t="n">
        <v>400396</v>
      </c>
      <c r="J6" s="22" t="s">
        <v>170</v>
      </c>
      <c r="K6" s="23" t="n">
        <v>2501715360</v>
      </c>
      <c r="L6" s="24" t="n">
        <v>52</v>
      </c>
      <c r="M6" s="24" t="n">
        <v>52</v>
      </c>
      <c r="N6" s="23" t="n">
        <v>100011104</v>
      </c>
      <c r="O6" s="25" t="n">
        <v>47833</v>
      </c>
      <c r="P6" s="25" t="n">
        <v>46008</v>
      </c>
      <c r="Q6" s="21" t="n">
        <v>46056.6543865741</v>
      </c>
    </row>
    <row r="7" customFormat="false" ht="24.3" hidden="false" customHeight="false" outlineLevel="0" collapsed="false">
      <c r="A7" s="14" t="s">
        <v>109</v>
      </c>
      <c r="B7" s="14" t="s">
        <v>14</v>
      </c>
      <c r="C7" s="15" t="n">
        <v>46056.5965856482</v>
      </c>
      <c r="D7" s="16" t="s">
        <v>2056</v>
      </c>
      <c r="E7" s="17" t="n">
        <v>2409717325</v>
      </c>
      <c r="F7" s="16" t="s">
        <v>2057</v>
      </c>
      <c r="G7" s="16" t="s">
        <v>2058</v>
      </c>
      <c r="H7" s="16" t="s">
        <v>109</v>
      </c>
      <c r="I7" s="17" t="n">
        <v>400396</v>
      </c>
      <c r="J7" s="16" t="s">
        <v>170</v>
      </c>
      <c r="K7" s="17" t="n">
        <v>2501715360</v>
      </c>
      <c r="L7" s="18" t="n">
        <v>52</v>
      </c>
      <c r="M7" s="18" t="n">
        <v>52</v>
      </c>
      <c r="N7" s="17" t="n">
        <v>100011104</v>
      </c>
      <c r="O7" s="19" t="n">
        <v>47833</v>
      </c>
      <c r="P7" s="19" t="n">
        <v>46008</v>
      </c>
      <c r="Q7" s="15" t="n">
        <v>46056.6543865741</v>
      </c>
    </row>
    <row r="8" customFormat="false" ht="24.3" hidden="false" customHeight="false" outlineLevel="0" collapsed="false">
      <c r="A8" s="20" t="s">
        <v>109</v>
      </c>
      <c r="B8" s="20" t="s">
        <v>14</v>
      </c>
      <c r="C8" s="21" t="n">
        <v>46056.5965856482</v>
      </c>
      <c r="D8" s="22" t="s">
        <v>2056</v>
      </c>
      <c r="E8" s="23" t="n">
        <v>2409717325</v>
      </c>
      <c r="F8" s="22" t="s">
        <v>2057</v>
      </c>
      <c r="G8" s="22" t="s">
        <v>2058</v>
      </c>
      <c r="H8" s="22" t="s">
        <v>109</v>
      </c>
      <c r="I8" s="23" t="n">
        <v>400396</v>
      </c>
      <c r="J8" s="22" t="s">
        <v>170</v>
      </c>
      <c r="K8" s="23" t="n">
        <v>2501715360</v>
      </c>
      <c r="L8" s="24" t="n">
        <v>52</v>
      </c>
      <c r="M8" s="24" t="n">
        <v>52</v>
      </c>
      <c r="N8" s="23" t="n">
        <v>10010226</v>
      </c>
      <c r="O8" s="25" t="n">
        <v>47771</v>
      </c>
      <c r="P8" s="25" t="n">
        <v>45946</v>
      </c>
      <c r="Q8" s="21" t="n">
        <v>46056.6543865741</v>
      </c>
    </row>
    <row r="9" customFormat="false" ht="24.3" hidden="false" customHeight="false" outlineLevel="0" collapsed="false">
      <c r="A9" s="14" t="s">
        <v>109</v>
      </c>
      <c r="B9" s="14" t="s">
        <v>14</v>
      </c>
      <c r="C9" s="15" t="n">
        <v>46056.5965856482</v>
      </c>
      <c r="D9" s="16" t="s">
        <v>2056</v>
      </c>
      <c r="E9" s="17" t="n">
        <v>2409717325</v>
      </c>
      <c r="F9" s="16" t="s">
        <v>2057</v>
      </c>
      <c r="G9" s="16" t="s">
        <v>2058</v>
      </c>
      <c r="H9" s="16" t="s">
        <v>109</v>
      </c>
      <c r="I9" s="17" t="n">
        <v>400396</v>
      </c>
      <c r="J9" s="16" t="s">
        <v>170</v>
      </c>
      <c r="K9" s="17" t="n">
        <v>2501715360</v>
      </c>
      <c r="L9" s="18" t="n">
        <v>52</v>
      </c>
      <c r="M9" s="18" t="n">
        <v>52</v>
      </c>
      <c r="N9" s="17" t="n">
        <v>100010226</v>
      </c>
      <c r="O9" s="19" t="n">
        <v>47756</v>
      </c>
      <c r="P9" s="19" t="n">
        <v>45931</v>
      </c>
      <c r="Q9" s="15" t="n">
        <v>46056.6543865741</v>
      </c>
    </row>
    <row r="10" customFormat="false" ht="24.3" hidden="false" customHeight="false" outlineLevel="0" collapsed="false">
      <c r="A10" s="20" t="s">
        <v>109</v>
      </c>
      <c r="B10" s="20" t="s">
        <v>14</v>
      </c>
      <c r="C10" s="21" t="n">
        <v>46056.5965856482</v>
      </c>
      <c r="D10" s="22" t="s">
        <v>2056</v>
      </c>
      <c r="E10" s="23" t="n">
        <v>2409717325</v>
      </c>
      <c r="F10" s="22" t="s">
        <v>2057</v>
      </c>
      <c r="G10" s="22" t="s">
        <v>2058</v>
      </c>
      <c r="H10" s="22" t="s">
        <v>109</v>
      </c>
      <c r="I10" s="23" t="n">
        <v>400396</v>
      </c>
      <c r="J10" s="22" t="s">
        <v>170</v>
      </c>
      <c r="K10" s="23" t="n">
        <v>2501715360</v>
      </c>
      <c r="L10" s="24" t="n">
        <v>52</v>
      </c>
      <c r="M10" s="24" t="n">
        <v>52</v>
      </c>
      <c r="N10" s="23" t="n">
        <v>100010226</v>
      </c>
      <c r="O10" s="25" t="n">
        <v>47756</v>
      </c>
      <c r="P10" s="25" t="n">
        <v>45931</v>
      </c>
      <c r="Q10" s="21" t="n">
        <v>46056.6543865741</v>
      </c>
    </row>
    <row r="11" customFormat="false" ht="24.3" hidden="false" customHeight="false" outlineLevel="0" collapsed="false">
      <c r="A11" s="14" t="s">
        <v>109</v>
      </c>
      <c r="B11" s="14" t="s">
        <v>14</v>
      </c>
      <c r="C11" s="15" t="n">
        <v>46056.5965856482</v>
      </c>
      <c r="D11" s="16" t="s">
        <v>2056</v>
      </c>
      <c r="E11" s="17" t="n">
        <v>2409717325</v>
      </c>
      <c r="F11" s="16" t="s">
        <v>2057</v>
      </c>
      <c r="G11" s="16" t="s">
        <v>2058</v>
      </c>
      <c r="H11" s="16" t="s">
        <v>109</v>
      </c>
      <c r="I11" s="17" t="n">
        <v>400396</v>
      </c>
      <c r="J11" s="16" t="s">
        <v>170</v>
      </c>
      <c r="K11" s="17" t="n">
        <v>2501715360</v>
      </c>
      <c r="L11" s="18" t="n">
        <v>52</v>
      </c>
      <c r="M11" s="18" t="n">
        <v>52</v>
      </c>
      <c r="N11" s="17" t="n">
        <v>100010226</v>
      </c>
      <c r="O11" s="19" t="n">
        <v>47756</v>
      </c>
      <c r="P11" s="19" t="n">
        <v>45931</v>
      </c>
      <c r="Q11" s="15" t="n">
        <v>46056.6543865741</v>
      </c>
    </row>
    <row r="12" customFormat="false" ht="24.3" hidden="false" customHeight="false" outlineLevel="0" collapsed="false">
      <c r="A12" s="20" t="s">
        <v>109</v>
      </c>
      <c r="B12" s="20" t="s">
        <v>14</v>
      </c>
      <c r="C12" s="21" t="n">
        <v>46056.5965856482</v>
      </c>
      <c r="D12" s="22" t="s">
        <v>2056</v>
      </c>
      <c r="E12" s="23" t="n">
        <v>2409717325</v>
      </c>
      <c r="F12" s="22" t="s">
        <v>2057</v>
      </c>
      <c r="G12" s="22" t="s">
        <v>2058</v>
      </c>
      <c r="H12" s="22" t="s">
        <v>109</v>
      </c>
      <c r="I12" s="23" t="n">
        <v>400396</v>
      </c>
      <c r="J12" s="22" t="s">
        <v>170</v>
      </c>
      <c r="K12" s="23" t="n">
        <v>2501715360</v>
      </c>
      <c r="L12" s="24" t="n">
        <v>52</v>
      </c>
      <c r="M12" s="24" t="n">
        <v>52</v>
      </c>
      <c r="N12" s="23" t="n">
        <v>100010226</v>
      </c>
      <c r="O12" s="25" t="n">
        <v>47756</v>
      </c>
      <c r="P12" s="25" t="n">
        <v>45931</v>
      </c>
      <c r="Q12" s="21" t="n">
        <v>46056.6543865741</v>
      </c>
    </row>
    <row r="13" customFormat="false" ht="24.3" hidden="false" customHeight="false" outlineLevel="0" collapsed="false">
      <c r="A13" s="14" t="s">
        <v>109</v>
      </c>
      <c r="B13" s="14" t="s">
        <v>14</v>
      </c>
      <c r="C13" s="15" t="n">
        <v>46056.5965856482</v>
      </c>
      <c r="D13" s="16" t="s">
        <v>2056</v>
      </c>
      <c r="E13" s="17" t="n">
        <v>2409717325</v>
      </c>
      <c r="F13" s="16" t="s">
        <v>2057</v>
      </c>
      <c r="G13" s="16" t="s">
        <v>2058</v>
      </c>
      <c r="H13" s="16" t="s">
        <v>109</v>
      </c>
      <c r="I13" s="17" t="n">
        <v>400396</v>
      </c>
      <c r="J13" s="16" t="s">
        <v>170</v>
      </c>
      <c r="K13" s="17" t="n">
        <v>2501715360</v>
      </c>
      <c r="L13" s="18" t="n">
        <v>52</v>
      </c>
      <c r="M13" s="18" t="n">
        <v>52</v>
      </c>
      <c r="N13" s="17" t="n">
        <v>100010226</v>
      </c>
      <c r="O13" s="19" t="n">
        <v>47756</v>
      </c>
      <c r="P13" s="19" t="n">
        <v>45931</v>
      </c>
      <c r="Q13" s="15" t="n">
        <v>46056.6543865741</v>
      </c>
    </row>
    <row r="14" customFormat="false" ht="24.3" hidden="false" customHeight="false" outlineLevel="0" collapsed="false">
      <c r="A14" s="20" t="s">
        <v>109</v>
      </c>
      <c r="B14" s="20" t="s">
        <v>14</v>
      </c>
      <c r="C14" s="21" t="n">
        <v>46056.5965856482</v>
      </c>
      <c r="D14" s="22" t="s">
        <v>2056</v>
      </c>
      <c r="E14" s="23" t="n">
        <v>2409717325</v>
      </c>
      <c r="F14" s="22" t="s">
        <v>2057</v>
      </c>
      <c r="G14" s="22" t="s">
        <v>2058</v>
      </c>
      <c r="H14" s="22" t="s">
        <v>109</v>
      </c>
      <c r="I14" s="23" t="n">
        <v>400396</v>
      </c>
      <c r="J14" s="22" t="s">
        <v>170</v>
      </c>
      <c r="K14" s="23" t="n">
        <v>2501715360</v>
      </c>
      <c r="L14" s="24" t="n">
        <v>52</v>
      </c>
      <c r="M14" s="24" t="n">
        <v>52</v>
      </c>
      <c r="N14" s="23" t="n">
        <v>100010092</v>
      </c>
      <c r="O14" s="25" t="n">
        <v>47756</v>
      </c>
      <c r="P14" s="25" t="n">
        <v>45931</v>
      </c>
      <c r="Q14" s="21" t="n">
        <v>46056.6543865741</v>
      </c>
    </row>
    <row r="15" customFormat="false" ht="35.8" hidden="false" customHeight="false" outlineLevel="0" collapsed="false">
      <c r="A15" s="14" t="s">
        <v>13</v>
      </c>
      <c r="B15" s="14" t="s">
        <v>14</v>
      </c>
      <c r="C15" s="15" t="n">
        <v>46059.5873148148</v>
      </c>
      <c r="D15" s="16" t="s">
        <v>2056</v>
      </c>
      <c r="E15" s="17" t="n">
        <v>2409717192</v>
      </c>
      <c r="F15" s="16" t="s">
        <v>2057</v>
      </c>
      <c r="G15" s="16" t="s">
        <v>2059</v>
      </c>
      <c r="H15" s="16" t="s">
        <v>2060</v>
      </c>
      <c r="I15" s="17" t="n">
        <v>401047</v>
      </c>
      <c r="J15" s="16" t="s">
        <v>594</v>
      </c>
      <c r="K15" s="17" t="n">
        <v>2501715407</v>
      </c>
      <c r="L15" s="18" t="n">
        <v>4</v>
      </c>
      <c r="M15" s="18" t="n">
        <v>4</v>
      </c>
      <c r="N15" s="17" t="n">
        <v>153000041</v>
      </c>
      <c r="O15" s="19" t="n">
        <v>47867</v>
      </c>
      <c r="P15" s="19" t="n">
        <v>46042</v>
      </c>
      <c r="Q15" s="15" t="n">
        <v>46060.3891666667</v>
      </c>
    </row>
    <row r="16" customFormat="false" ht="35.8" hidden="false" customHeight="false" outlineLevel="0" collapsed="false">
      <c r="A16" s="20" t="s">
        <v>13</v>
      </c>
      <c r="B16" s="20" t="s">
        <v>14</v>
      </c>
      <c r="C16" s="21" t="n">
        <v>46059.5873148148</v>
      </c>
      <c r="D16" s="22" t="s">
        <v>2056</v>
      </c>
      <c r="E16" s="23" t="n">
        <v>2409717192</v>
      </c>
      <c r="F16" s="22" t="s">
        <v>2057</v>
      </c>
      <c r="G16" s="22" t="s">
        <v>2059</v>
      </c>
      <c r="H16" s="22" t="s">
        <v>2060</v>
      </c>
      <c r="I16" s="23" t="n">
        <v>401047</v>
      </c>
      <c r="J16" s="22" t="s">
        <v>594</v>
      </c>
      <c r="K16" s="23" t="n">
        <v>2501715407</v>
      </c>
      <c r="L16" s="24" t="n">
        <v>3</v>
      </c>
      <c r="M16" s="24" t="n">
        <v>3</v>
      </c>
      <c r="N16" s="23" t="n">
        <v>153000041</v>
      </c>
      <c r="O16" s="25" t="n">
        <v>47867</v>
      </c>
      <c r="P16" s="25" t="n">
        <v>46042</v>
      </c>
      <c r="Q16" s="21" t="n">
        <v>46060.3891666667</v>
      </c>
    </row>
    <row r="17" customFormat="false" ht="35.8" hidden="false" customHeight="false" outlineLevel="0" collapsed="false">
      <c r="A17" s="14" t="s">
        <v>13</v>
      </c>
      <c r="B17" s="14" t="s">
        <v>14</v>
      </c>
      <c r="C17" s="15" t="n">
        <v>46059.5873148148</v>
      </c>
      <c r="D17" s="16" t="s">
        <v>2056</v>
      </c>
      <c r="E17" s="17" t="n">
        <v>2409717221</v>
      </c>
      <c r="F17" s="16" t="s">
        <v>2057</v>
      </c>
      <c r="G17" s="16" t="s">
        <v>2061</v>
      </c>
      <c r="H17" s="16" t="s">
        <v>2062</v>
      </c>
      <c r="I17" s="17" t="n">
        <v>401047</v>
      </c>
      <c r="J17" s="16" t="s">
        <v>594</v>
      </c>
      <c r="K17" s="17" t="n">
        <v>2501715389</v>
      </c>
      <c r="L17" s="18" t="n">
        <v>1</v>
      </c>
      <c r="M17" s="18" t="n">
        <v>1</v>
      </c>
      <c r="N17" s="17" t="n">
        <v>153000041</v>
      </c>
      <c r="O17" s="19" t="n">
        <v>47867</v>
      </c>
      <c r="P17" s="19" t="n">
        <v>46042</v>
      </c>
      <c r="Q17" s="15" t="n">
        <v>46060.4008333333</v>
      </c>
    </row>
    <row r="18" customFormat="false" ht="35.8" hidden="false" customHeight="false" outlineLevel="0" collapsed="false">
      <c r="A18" s="20" t="s">
        <v>13</v>
      </c>
      <c r="B18" s="20" t="s">
        <v>14</v>
      </c>
      <c r="C18" s="21" t="n">
        <v>46059.5873148148</v>
      </c>
      <c r="D18" s="22" t="s">
        <v>2056</v>
      </c>
      <c r="E18" s="23" t="n">
        <v>2409717221</v>
      </c>
      <c r="F18" s="22" t="s">
        <v>2057</v>
      </c>
      <c r="G18" s="22" t="s">
        <v>2061</v>
      </c>
      <c r="H18" s="22" t="s">
        <v>2062</v>
      </c>
      <c r="I18" s="23" t="n">
        <v>401047</v>
      </c>
      <c r="J18" s="22" t="s">
        <v>594</v>
      </c>
      <c r="K18" s="23" t="n">
        <v>2501715389</v>
      </c>
      <c r="L18" s="24" t="n">
        <v>4</v>
      </c>
      <c r="M18" s="24" t="n">
        <v>4</v>
      </c>
      <c r="N18" s="23" t="n">
        <v>153000041</v>
      </c>
      <c r="O18" s="25" t="n">
        <v>47867</v>
      </c>
      <c r="P18" s="25" t="n">
        <v>46042</v>
      </c>
      <c r="Q18" s="21" t="n">
        <v>46060.4008333333</v>
      </c>
    </row>
    <row r="19" customFormat="false" ht="35.8" hidden="false" customHeight="false" outlineLevel="0" collapsed="false">
      <c r="A19" s="14" t="s">
        <v>13</v>
      </c>
      <c r="B19" s="14" t="s">
        <v>14</v>
      </c>
      <c r="C19" s="15" t="n">
        <v>46059.5873263889</v>
      </c>
      <c r="D19" s="16" t="s">
        <v>2056</v>
      </c>
      <c r="E19" s="17" t="n">
        <v>2409717326</v>
      </c>
      <c r="F19" s="16" t="s">
        <v>2057</v>
      </c>
      <c r="G19" s="16" t="s">
        <v>2063</v>
      </c>
      <c r="H19" s="16" t="s">
        <v>2064</v>
      </c>
      <c r="I19" s="17" t="n">
        <v>401047</v>
      </c>
      <c r="J19" s="16" t="s">
        <v>594</v>
      </c>
      <c r="K19" s="17" t="n">
        <v>2501715398</v>
      </c>
      <c r="L19" s="18" t="n">
        <v>4</v>
      </c>
      <c r="M19" s="18" t="n">
        <v>4</v>
      </c>
      <c r="N19" s="17" t="n">
        <v>153000041</v>
      </c>
      <c r="O19" s="19" t="n">
        <v>47867</v>
      </c>
      <c r="P19" s="19" t="n">
        <v>46042</v>
      </c>
      <c r="Q19" s="15" t="n">
        <v>46060.4014699074</v>
      </c>
    </row>
    <row r="20" customFormat="false" ht="24.3" hidden="false" customHeight="false" outlineLevel="0" collapsed="false">
      <c r="A20" s="20" t="s">
        <v>109</v>
      </c>
      <c r="B20" s="20" t="s">
        <v>14</v>
      </c>
      <c r="C20" s="21" t="n">
        <v>46061.6399884259</v>
      </c>
      <c r="D20" s="22" t="s">
        <v>2056</v>
      </c>
      <c r="E20" s="23" t="n">
        <v>2409717387</v>
      </c>
      <c r="F20" s="22" t="s">
        <v>2057</v>
      </c>
      <c r="G20" s="22" t="s">
        <v>2065</v>
      </c>
      <c r="H20" s="22" t="s">
        <v>1400</v>
      </c>
      <c r="I20" s="23" t="n">
        <v>400426</v>
      </c>
      <c r="J20" s="22" t="s">
        <v>831</v>
      </c>
      <c r="K20" s="23" t="n">
        <v>2501715428</v>
      </c>
      <c r="L20" s="24" t="n">
        <v>10</v>
      </c>
      <c r="M20" s="24" t="n">
        <v>10</v>
      </c>
      <c r="N20" s="23" t="n">
        <v>153000039</v>
      </c>
      <c r="O20" s="25" t="n">
        <v>47868</v>
      </c>
      <c r="P20" s="25" t="n">
        <v>46043</v>
      </c>
      <c r="Q20" s="21" t="n">
        <v>46061.6565393519</v>
      </c>
    </row>
    <row r="21" customFormat="false" ht="24.3" hidden="false" customHeight="false" outlineLevel="0" collapsed="false">
      <c r="A21" s="14" t="s">
        <v>109</v>
      </c>
      <c r="B21" s="14" t="s">
        <v>14</v>
      </c>
      <c r="C21" s="15" t="n">
        <v>46061.6399884259</v>
      </c>
      <c r="D21" s="16" t="s">
        <v>2056</v>
      </c>
      <c r="E21" s="17" t="n">
        <v>2409717387</v>
      </c>
      <c r="F21" s="16" t="s">
        <v>2057</v>
      </c>
      <c r="G21" s="16" t="s">
        <v>2065</v>
      </c>
      <c r="H21" s="16" t="s">
        <v>1400</v>
      </c>
      <c r="I21" s="17" t="n">
        <v>400426</v>
      </c>
      <c r="J21" s="16" t="s">
        <v>831</v>
      </c>
      <c r="K21" s="17" t="n">
        <v>2501715428</v>
      </c>
      <c r="L21" s="18" t="n">
        <v>2</v>
      </c>
      <c r="M21" s="18" t="n">
        <v>2</v>
      </c>
      <c r="N21" s="17" t="n">
        <v>153000039</v>
      </c>
      <c r="O21" s="19" t="n">
        <v>47868</v>
      </c>
      <c r="P21" s="19" t="n">
        <v>46043</v>
      </c>
      <c r="Q21" s="15" t="n">
        <v>46061.6565393519</v>
      </c>
    </row>
    <row r="22" customFormat="false" ht="24.3" hidden="false" customHeight="false" outlineLevel="0" collapsed="false">
      <c r="A22" s="20" t="s">
        <v>13</v>
      </c>
      <c r="B22" s="20" t="s">
        <v>14</v>
      </c>
      <c r="C22" s="21" t="n">
        <v>46061.6582986111</v>
      </c>
      <c r="D22" s="22" t="s">
        <v>2056</v>
      </c>
      <c r="E22" s="23" t="n">
        <v>2409717380</v>
      </c>
      <c r="F22" s="22" t="s">
        <v>2057</v>
      </c>
      <c r="G22" s="22" t="s">
        <v>2066</v>
      </c>
      <c r="H22" s="22" t="s">
        <v>2067</v>
      </c>
      <c r="I22" s="23" t="n">
        <v>401047</v>
      </c>
      <c r="J22" s="22" t="s">
        <v>594</v>
      </c>
      <c r="K22" s="23" t="n">
        <v>2501715415</v>
      </c>
      <c r="L22" s="24" t="n">
        <v>4</v>
      </c>
      <c r="M22" s="24" t="n">
        <v>4</v>
      </c>
      <c r="N22" s="23" t="n">
        <v>153000041</v>
      </c>
      <c r="O22" s="25" t="n">
        <v>47867</v>
      </c>
      <c r="P22" s="25" t="n">
        <v>46042</v>
      </c>
      <c r="Q22" s="21" t="n">
        <v>46062.4439930556</v>
      </c>
    </row>
    <row r="23" customFormat="false" ht="24.3" hidden="false" customHeight="false" outlineLevel="0" collapsed="false">
      <c r="A23" s="14" t="s">
        <v>13</v>
      </c>
      <c r="B23" s="14" t="s">
        <v>14</v>
      </c>
      <c r="C23" s="15" t="n">
        <v>46061.6582986111</v>
      </c>
      <c r="D23" s="16" t="s">
        <v>2056</v>
      </c>
      <c r="E23" s="17" t="n">
        <v>2409717383</v>
      </c>
      <c r="F23" s="16" t="s">
        <v>2057</v>
      </c>
      <c r="G23" s="16" t="s">
        <v>2065</v>
      </c>
      <c r="H23" s="16" t="s">
        <v>13</v>
      </c>
      <c r="I23" s="17" t="n">
        <v>400630</v>
      </c>
      <c r="J23" s="16" t="s">
        <v>772</v>
      </c>
      <c r="K23" s="17" t="n">
        <v>2501715419</v>
      </c>
      <c r="L23" s="18" t="n">
        <v>1</v>
      </c>
      <c r="M23" s="18" t="n">
        <v>1</v>
      </c>
      <c r="N23" s="17" t="n">
        <v>153000058</v>
      </c>
      <c r="O23" s="19" t="n">
        <v>47873</v>
      </c>
      <c r="P23" s="19" t="n">
        <v>46048</v>
      </c>
      <c r="Q23" s="15" t="n">
        <v>46062.4446875</v>
      </c>
    </row>
    <row r="24" customFormat="false" ht="24.3" hidden="false" customHeight="false" outlineLevel="0" collapsed="false">
      <c r="A24" s="20" t="s">
        <v>13</v>
      </c>
      <c r="B24" s="20" t="s">
        <v>14</v>
      </c>
      <c r="C24" s="21" t="n">
        <v>46061.6582986111</v>
      </c>
      <c r="D24" s="22" t="s">
        <v>2056</v>
      </c>
      <c r="E24" s="23" t="n">
        <v>2409717387</v>
      </c>
      <c r="F24" s="22" t="s">
        <v>2057</v>
      </c>
      <c r="G24" s="22" t="s">
        <v>2065</v>
      </c>
      <c r="H24" s="22" t="s">
        <v>1400</v>
      </c>
      <c r="I24" s="23" t="n">
        <v>400630</v>
      </c>
      <c r="J24" s="22" t="s">
        <v>772</v>
      </c>
      <c r="K24" s="23" t="n">
        <v>2501715426</v>
      </c>
      <c r="L24" s="24" t="n">
        <v>3</v>
      </c>
      <c r="M24" s="24" t="n">
        <v>3</v>
      </c>
      <c r="N24" s="23" t="n">
        <v>153000058</v>
      </c>
      <c r="O24" s="25" t="n">
        <v>47873</v>
      </c>
      <c r="P24" s="25" t="n">
        <v>46048</v>
      </c>
      <c r="Q24" s="21" t="n">
        <v>46062.4446875</v>
      </c>
    </row>
    <row r="25" customFormat="false" ht="24.3" hidden="false" customHeight="false" outlineLevel="0" collapsed="false">
      <c r="A25" s="14" t="s">
        <v>13</v>
      </c>
      <c r="B25" s="14" t="s">
        <v>14</v>
      </c>
      <c r="C25" s="15" t="n">
        <v>46061.6582986111</v>
      </c>
      <c r="D25" s="16" t="s">
        <v>2056</v>
      </c>
      <c r="E25" s="17" t="n">
        <v>2409717387</v>
      </c>
      <c r="F25" s="16" t="s">
        <v>2057</v>
      </c>
      <c r="G25" s="16" t="s">
        <v>2065</v>
      </c>
      <c r="H25" s="16" t="s">
        <v>1400</v>
      </c>
      <c r="I25" s="17" t="n">
        <v>400630</v>
      </c>
      <c r="J25" s="16" t="s">
        <v>772</v>
      </c>
      <c r="K25" s="17" t="n">
        <v>2501715426</v>
      </c>
      <c r="L25" s="18" t="n">
        <v>1</v>
      </c>
      <c r="M25" s="18" t="n">
        <v>1</v>
      </c>
      <c r="N25" s="17" t="n">
        <v>153000058</v>
      </c>
      <c r="O25" s="19" t="n">
        <v>47873</v>
      </c>
      <c r="P25" s="19" t="n">
        <v>46048</v>
      </c>
      <c r="Q25" s="15" t="n">
        <v>46062.4446875</v>
      </c>
    </row>
    <row r="26" customFormat="false" ht="35.8" hidden="false" customHeight="false" outlineLevel="0" collapsed="false">
      <c r="A26" s="20" t="s">
        <v>13</v>
      </c>
      <c r="B26" s="20" t="s">
        <v>14</v>
      </c>
      <c r="C26" s="21" t="n">
        <v>46063.4378935185</v>
      </c>
      <c r="D26" s="22" t="s">
        <v>2056</v>
      </c>
      <c r="E26" s="23" t="n">
        <v>2409717398</v>
      </c>
      <c r="F26" s="22" t="s">
        <v>2057</v>
      </c>
      <c r="G26" s="22" t="s">
        <v>2068</v>
      </c>
      <c r="H26" s="22" t="s">
        <v>13</v>
      </c>
      <c r="I26" s="23" t="n">
        <v>400468</v>
      </c>
      <c r="J26" s="22" t="s">
        <v>801</v>
      </c>
      <c r="K26" s="23" t="n">
        <v>2501715439</v>
      </c>
      <c r="L26" s="24" t="n">
        <v>4</v>
      </c>
      <c r="M26" s="24" t="n">
        <v>4</v>
      </c>
      <c r="N26" s="23" t="n">
        <v>100009038</v>
      </c>
      <c r="O26" s="25" t="n">
        <v>47645</v>
      </c>
      <c r="P26" s="25" t="n">
        <v>45820</v>
      </c>
      <c r="Q26" s="21" t="n">
        <v>46063.4739236111</v>
      </c>
    </row>
    <row r="27" customFormat="false" ht="35.8" hidden="false" customHeight="false" outlineLevel="0" collapsed="false">
      <c r="A27" s="14" t="s">
        <v>13</v>
      </c>
      <c r="B27" s="14" t="s">
        <v>14</v>
      </c>
      <c r="C27" s="15" t="n">
        <v>46063.4378935185</v>
      </c>
      <c r="D27" s="16" t="s">
        <v>2056</v>
      </c>
      <c r="E27" s="17" t="n">
        <v>2409717398</v>
      </c>
      <c r="F27" s="16" t="s">
        <v>2057</v>
      </c>
      <c r="G27" s="16" t="s">
        <v>2068</v>
      </c>
      <c r="H27" s="16" t="s">
        <v>13</v>
      </c>
      <c r="I27" s="17" t="n">
        <v>401047</v>
      </c>
      <c r="J27" s="16" t="s">
        <v>594</v>
      </c>
      <c r="K27" s="17" t="n">
        <v>2501715439</v>
      </c>
      <c r="L27" s="18" t="n">
        <v>1</v>
      </c>
      <c r="M27" s="18" t="n">
        <v>1</v>
      </c>
      <c r="N27" s="17" t="n">
        <v>153000041</v>
      </c>
      <c r="O27" s="19" t="n">
        <v>47867</v>
      </c>
      <c r="P27" s="19" t="n">
        <v>46042</v>
      </c>
      <c r="Q27" s="15" t="n">
        <v>46063.4739236111</v>
      </c>
    </row>
    <row r="28" customFormat="false" ht="35.8" hidden="false" customHeight="false" outlineLevel="0" collapsed="false">
      <c r="A28" s="20" t="s">
        <v>13</v>
      </c>
      <c r="B28" s="20" t="s">
        <v>14</v>
      </c>
      <c r="C28" s="21" t="n">
        <v>46063.4378935185</v>
      </c>
      <c r="D28" s="22" t="s">
        <v>2056</v>
      </c>
      <c r="E28" s="23" t="n">
        <v>2409717398</v>
      </c>
      <c r="F28" s="22" t="s">
        <v>2057</v>
      </c>
      <c r="G28" s="22" t="s">
        <v>2068</v>
      </c>
      <c r="H28" s="22" t="s">
        <v>13</v>
      </c>
      <c r="I28" s="23" t="n">
        <v>401047</v>
      </c>
      <c r="J28" s="22" t="s">
        <v>594</v>
      </c>
      <c r="K28" s="23" t="n">
        <v>2501715439</v>
      </c>
      <c r="L28" s="24" t="n">
        <v>4</v>
      </c>
      <c r="M28" s="24" t="n">
        <v>4</v>
      </c>
      <c r="N28" s="23" t="n">
        <v>153000041</v>
      </c>
      <c r="O28" s="25" t="n">
        <v>47867</v>
      </c>
      <c r="P28" s="25" t="n">
        <v>46042</v>
      </c>
      <c r="Q28" s="21" t="n">
        <v>46063.4739236111</v>
      </c>
    </row>
    <row r="29" customFormat="false" ht="35.8" hidden="false" customHeight="false" outlineLevel="0" collapsed="false">
      <c r="A29" s="14" t="s">
        <v>13</v>
      </c>
      <c r="B29" s="14" t="s">
        <v>14</v>
      </c>
      <c r="C29" s="15" t="n">
        <v>46063.4378935185</v>
      </c>
      <c r="D29" s="16" t="s">
        <v>2056</v>
      </c>
      <c r="E29" s="17" t="n">
        <v>2409717398</v>
      </c>
      <c r="F29" s="16" t="s">
        <v>2057</v>
      </c>
      <c r="G29" s="16" t="s">
        <v>2068</v>
      </c>
      <c r="H29" s="16" t="s">
        <v>13</v>
      </c>
      <c r="I29" s="17" t="n">
        <v>400468</v>
      </c>
      <c r="J29" s="16" t="s">
        <v>801</v>
      </c>
      <c r="K29" s="17" t="n">
        <v>2501715439</v>
      </c>
      <c r="L29" s="18" t="n">
        <v>1</v>
      </c>
      <c r="M29" s="18" t="n">
        <v>1</v>
      </c>
      <c r="N29" s="17" t="n">
        <v>100009243</v>
      </c>
      <c r="O29" s="19" t="n">
        <v>47665</v>
      </c>
      <c r="P29" s="19" t="n">
        <v>45840</v>
      </c>
      <c r="Q29" s="15" t="n">
        <v>46063.4739236111</v>
      </c>
    </row>
    <row r="30" customFormat="false" ht="47.25" hidden="false" customHeight="false" outlineLevel="0" collapsed="false">
      <c r="A30" s="20" t="s">
        <v>13</v>
      </c>
      <c r="B30" s="20" t="s">
        <v>14</v>
      </c>
      <c r="C30" s="21" t="n">
        <v>46063.5837731481</v>
      </c>
      <c r="D30" s="22" t="s">
        <v>2056</v>
      </c>
      <c r="E30" s="23" t="n">
        <v>2409717285</v>
      </c>
      <c r="F30" s="22" t="s">
        <v>2057</v>
      </c>
      <c r="G30" s="22" t="s">
        <v>2069</v>
      </c>
      <c r="H30" s="22" t="s">
        <v>2062</v>
      </c>
      <c r="I30" s="23" t="n">
        <v>401047</v>
      </c>
      <c r="J30" s="22" t="s">
        <v>594</v>
      </c>
      <c r="K30" s="23" t="n">
        <v>2501715440</v>
      </c>
      <c r="L30" s="24" t="n">
        <v>3</v>
      </c>
      <c r="M30" s="24" t="n">
        <v>3</v>
      </c>
      <c r="N30" s="23" t="n">
        <v>153000041</v>
      </c>
      <c r="O30" s="25" t="n">
        <v>47867</v>
      </c>
      <c r="P30" s="25" t="n">
        <v>46042</v>
      </c>
      <c r="Q30" s="21" t="n">
        <v>46063.6021296296</v>
      </c>
    </row>
    <row r="31" customFormat="false" ht="24.3" hidden="false" customHeight="false" outlineLevel="0" collapsed="false">
      <c r="A31" s="14" t="s">
        <v>109</v>
      </c>
      <c r="B31" s="14" t="s">
        <v>14</v>
      </c>
      <c r="C31" s="15" t="n">
        <v>46064.2996875</v>
      </c>
      <c r="D31" s="16" t="s">
        <v>2056</v>
      </c>
      <c r="E31" s="17" t="n">
        <v>2409717390</v>
      </c>
      <c r="F31" s="16" t="s">
        <v>2057</v>
      </c>
      <c r="G31" s="16" t="s">
        <v>2065</v>
      </c>
      <c r="H31" s="16" t="s">
        <v>109</v>
      </c>
      <c r="I31" s="17" t="n">
        <v>400396</v>
      </c>
      <c r="J31" s="16" t="s">
        <v>170</v>
      </c>
      <c r="K31" s="17" t="n">
        <v>2501715449</v>
      </c>
      <c r="L31" s="18" t="n">
        <v>23</v>
      </c>
      <c r="M31" s="18" t="n">
        <v>23</v>
      </c>
      <c r="N31" s="17" t="n">
        <v>100011104</v>
      </c>
      <c r="O31" s="19" t="n">
        <v>47833</v>
      </c>
      <c r="P31" s="19" t="n">
        <v>46008</v>
      </c>
      <c r="Q31" s="15" t="n">
        <v>46064.3496643519</v>
      </c>
    </row>
    <row r="32" customFormat="false" ht="24.3" hidden="false" customHeight="false" outlineLevel="0" collapsed="false">
      <c r="A32" s="20" t="s">
        <v>109</v>
      </c>
      <c r="B32" s="20" t="s">
        <v>14</v>
      </c>
      <c r="C32" s="21" t="n">
        <v>46064.2998148148</v>
      </c>
      <c r="D32" s="22" t="s">
        <v>2056</v>
      </c>
      <c r="E32" s="23" t="n">
        <v>2409717390</v>
      </c>
      <c r="F32" s="22" t="s">
        <v>2057</v>
      </c>
      <c r="G32" s="22" t="s">
        <v>2065</v>
      </c>
      <c r="H32" s="22" t="s">
        <v>109</v>
      </c>
      <c r="I32" s="23" t="n">
        <v>400630</v>
      </c>
      <c r="J32" s="22" t="s">
        <v>772</v>
      </c>
      <c r="K32" s="23" t="n">
        <v>2501715449</v>
      </c>
      <c r="L32" s="24" t="n">
        <v>1</v>
      </c>
      <c r="M32" s="24" t="n">
        <v>1</v>
      </c>
      <c r="N32" s="23" t="n">
        <v>153000016</v>
      </c>
      <c r="O32" s="25" t="n">
        <v>47776</v>
      </c>
      <c r="P32" s="25" t="n">
        <v>45951</v>
      </c>
      <c r="Q32" s="21" t="n">
        <v>46064.3496643519</v>
      </c>
    </row>
    <row r="33" customFormat="false" ht="24.3" hidden="false" customHeight="false" outlineLevel="0" collapsed="false">
      <c r="A33" s="14" t="s">
        <v>109</v>
      </c>
      <c r="B33" s="14" t="s">
        <v>14</v>
      </c>
      <c r="C33" s="15" t="n">
        <v>46064.2998148148</v>
      </c>
      <c r="D33" s="16" t="s">
        <v>2056</v>
      </c>
      <c r="E33" s="17" t="n">
        <v>2409717390</v>
      </c>
      <c r="F33" s="16" t="s">
        <v>2057</v>
      </c>
      <c r="G33" s="16" t="s">
        <v>2065</v>
      </c>
      <c r="H33" s="16" t="s">
        <v>109</v>
      </c>
      <c r="I33" s="17" t="n">
        <v>400630</v>
      </c>
      <c r="J33" s="16" t="s">
        <v>772</v>
      </c>
      <c r="K33" s="17" t="n">
        <v>2501715449</v>
      </c>
      <c r="L33" s="18" t="n">
        <v>4</v>
      </c>
      <c r="M33" s="18" t="n">
        <v>4</v>
      </c>
      <c r="N33" s="17" t="n">
        <v>153000016</v>
      </c>
      <c r="O33" s="19" t="n">
        <v>47776</v>
      </c>
      <c r="P33" s="19" t="n">
        <v>45951</v>
      </c>
      <c r="Q33" s="15" t="n">
        <v>46064.3496643519</v>
      </c>
    </row>
    <row r="34" customFormat="false" ht="24.3" hidden="false" customHeight="false" outlineLevel="0" collapsed="false">
      <c r="A34" s="20" t="s">
        <v>109</v>
      </c>
      <c r="B34" s="20" t="s">
        <v>14</v>
      </c>
      <c r="C34" s="21" t="n">
        <v>46064.2998148148</v>
      </c>
      <c r="D34" s="22" t="s">
        <v>2056</v>
      </c>
      <c r="E34" s="23" t="n">
        <v>2409717390</v>
      </c>
      <c r="F34" s="22" t="s">
        <v>2057</v>
      </c>
      <c r="G34" s="22" t="s">
        <v>2065</v>
      </c>
      <c r="H34" s="22" t="s">
        <v>109</v>
      </c>
      <c r="I34" s="23" t="n">
        <v>400630</v>
      </c>
      <c r="J34" s="22" t="s">
        <v>772</v>
      </c>
      <c r="K34" s="23" t="n">
        <v>2501715449</v>
      </c>
      <c r="L34" s="24" t="n">
        <v>4</v>
      </c>
      <c r="M34" s="24" t="n">
        <v>4</v>
      </c>
      <c r="N34" s="23" t="n">
        <v>153000016</v>
      </c>
      <c r="O34" s="25" t="n">
        <v>47776</v>
      </c>
      <c r="P34" s="25" t="n">
        <v>45951</v>
      </c>
      <c r="Q34" s="21" t="n">
        <v>46064.3496643519</v>
      </c>
    </row>
    <row r="35" customFormat="false" ht="24.3" hidden="false" customHeight="false" outlineLevel="0" collapsed="false">
      <c r="A35" s="14" t="s">
        <v>109</v>
      </c>
      <c r="B35" s="14" t="s">
        <v>14</v>
      </c>
      <c r="C35" s="15" t="n">
        <v>46064.2998148148</v>
      </c>
      <c r="D35" s="16" t="s">
        <v>2056</v>
      </c>
      <c r="E35" s="17" t="n">
        <v>2409717390</v>
      </c>
      <c r="F35" s="16" t="s">
        <v>2057</v>
      </c>
      <c r="G35" s="16" t="s">
        <v>2065</v>
      </c>
      <c r="H35" s="16" t="s">
        <v>109</v>
      </c>
      <c r="I35" s="17" t="n">
        <v>400630</v>
      </c>
      <c r="J35" s="16" t="s">
        <v>772</v>
      </c>
      <c r="K35" s="17" t="n">
        <v>2501715449</v>
      </c>
      <c r="L35" s="18" t="n">
        <v>4</v>
      </c>
      <c r="M35" s="18" t="n">
        <v>4</v>
      </c>
      <c r="N35" s="17" t="n">
        <v>153000016</v>
      </c>
      <c r="O35" s="19" t="n">
        <v>47776</v>
      </c>
      <c r="P35" s="19" t="n">
        <v>45951</v>
      </c>
      <c r="Q35" s="15" t="n">
        <v>46064.3496643519</v>
      </c>
    </row>
    <row r="36" customFormat="false" ht="24.3" hidden="false" customHeight="false" outlineLevel="0" collapsed="false">
      <c r="A36" s="20" t="s">
        <v>109</v>
      </c>
      <c r="B36" s="20" t="s">
        <v>14</v>
      </c>
      <c r="C36" s="21" t="n">
        <v>46064.2998148148</v>
      </c>
      <c r="D36" s="22" t="s">
        <v>2056</v>
      </c>
      <c r="E36" s="23" t="n">
        <v>2409717390</v>
      </c>
      <c r="F36" s="22" t="s">
        <v>2057</v>
      </c>
      <c r="G36" s="22" t="s">
        <v>2065</v>
      </c>
      <c r="H36" s="22" t="s">
        <v>109</v>
      </c>
      <c r="I36" s="23" t="n">
        <v>400630</v>
      </c>
      <c r="J36" s="22" t="s">
        <v>772</v>
      </c>
      <c r="K36" s="23" t="n">
        <v>2501715449</v>
      </c>
      <c r="L36" s="24" t="n">
        <v>4</v>
      </c>
      <c r="M36" s="24" t="n">
        <v>4</v>
      </c>
      <c r="N36" s="23" t="n">
        <v>153000016</v>
      </c>
      <c r="O36" s="25" t="n">
        <v>47776</v>
      </c>
      <c r="P36" s="25" t="n">
        <v>45951</v>
      </c>
      <c r="Q36" s="21" t="n">
        <v>46064.3496643519</v>
      </c>
    </row>
    <row r="37" customFormat="false" ht="24.3" hidden="false" customHeight="false" outlineLevel="0" collapsed="false">
      <c r="A37" s="14" t="s">
        <v>109</v>
      </c>
      <c r="B37" s="14" t="s">
        <v>14</v>
      </c>
      <c r="C37" s="15" t="n">
        <v>46064.2998148148</v>
      </c>
      <c r="D37" s="16" t="s">
        <v>2056</v>
      </c>
      <c r="E37" s="17" t="n">
        <v>2409717390</v>
      </c>
      <c r="F37" s="16" t="s">
        <v>2057</v>
      </c>
      <c r="G37" s="16" t="s">
        <v>2065</v>
      </c>
      <c r="H37" s="16" t="s">
        <v>109</v>
      </c>
      <c r="I37" s="17" t="n">
        <v>400630</v>
      </c>
      <c r="J37" s="16" t="s">
        <v>772</v>
      </c>
      <c r="K37" s="17" t="n">
        <v>2501715449</v>
      </c>
      <c r="L37" s="18" t="n">
        <v>4</v>
      </c>
      <c r="M37" s="18" t="n">
        <v>4</v>
      </c>
      <c r="N37" s="17" t="n">
        <v>100010471</v>
      </c>
      <c r="O37" s="19" t="n">
        <v>47776</v>
      </c>
      <c r="P37" s="19" t="n">
        <v>45951</v>
      </c>
      <c r="Q37" s="15" t="n">
        <v>46064.3496643519</v>
      </c>
    </row>
    <row r="38" customFormat="false" ht="24.3" hidden="false" customHeight="false" outlineLevel="0" collapsed="false">
      <c r="A38" s="20" t="s">
        <v>109</v>
      </c>
      <c r="B38" s="20" t="s">
        <v>14</v>
      </c>
      <c r="C38" s="21" t="n">
        <v>46064.2998148148</v>
      </c>
      <c r="D38" s="22" t="s">
        <v>2056</v>
      </c>
      <c r="E38" s="23" t="n">
        <v>2409717390</v>
      </c>
      <c r="F38" s="22" t="s">
        <v>2057</v>
      </c>
      <c r="G38" s="22" t="s">
        <v>2065</v>
      </c>
      <c r="H38" s="22" t="s">
        <v>109</v>
      </c>
      <c r="I38" s="23" t="n">
        <v>400630</v>
      </c>
      <c r="J38" s="22" t="s">
        <v>772</v>
      </c>
      <c r="K38" s="23" t="n">
        <v>2501715449</v>
      </c>
      <c r="L38" s="24" t="n">
        <v>4</v>
      </c>
      <c r="M38" s="24" t="n">
        <v>4</v>
      </c>
      <c r="N38" s="23" t="n">
        <v>153000016</v>
      </c>
      <c r="O38" s="25" t="n">
        <v>47776</v>
      </c>
      <c r="P38" s="25" t="n">
        <v>45951</v>
      </c>
      <c r="Q38" s="21" t="n">
        <v>46064.3496643519</v>
      </c>
    </row>
    <row r="39" customFormat="false" ht="24.3" hidden="false" customHeight="false" outlineLevel="0" collapsed="false">
      <c r="A39" s="14" t="s">
        <v>13</v>
      </c>
      <c r="B39" s="14" t="s">
        <v>14</v>
      </c>
      <c r="C39" s="15" t="n">
        <v>46064.7349074074</v>
      </c>
      <c r="D39" s="16" t="s">
        <v>2056</v>
      </c>
      <c r="E39" s="17" t="n">
        <v>2409717411</v>
      </c>
      <c r="F39" s="16" t="s">
        <v>2057</v>
      </c>
      <c r="G39" s="16" t="s">
        <v>2070</v>
      </c>
      <c r="H39" s="16" t="s">
        <v>2071</v>
      </c>
      <c r="I39" s="17" t="n">
        <v>400630</v>
      </c>
      <c r="J39" s="16" t="s">
        <v>772</v>
      </c>
      <c r="K39" s="17" t="n">
        <v>2501715460</v>
      </c>
      <c r="L39" s="18" t="n">
        <v>3</v>
      </c>
      <c r="M39" s="18" t="n">
        <v>3</v>
      </c>
      <c r="N39" s="17" t="n">
        <v>153000058</v>
      </c>
      <c r="O39" s="19" t="n">
        <v>47873</v>
      </c>
      <c r="P39" s="19" t="n">
        <v>46048</v>
      </c>
      <c r="Q39" s="15" t="n">
        <v>46065.4263541667</v>
      </c>
    </row>
    <row r="40" customFormat="false" ht="24.3" hidden="false" customHeight="false" outlineLevel="0" collapsed="false">
      <c r="A40" s="20" t="s">
        <v>13</v>
      </c>
      <c r="B40" s="20" t="s">
        <v>14</v>
      </c>
      <c r="C40" s="21" t="n">
        <v>46064.7349074074</v>
      </c>
      <c r="D40" s="22" t="s">
        <v>2056</v>
      </c>
      <c r="E40" s="23" t="n">
        <v>2409717411</v>
      </c>
      <c r="F40" s="22" t="s">
        <v>2057</v>
      </c>
      <c r="G40" s="22" t="s">
        <v>2070</v>
      </c>
      <c r="H40" s="22" t="s">
        <v>2071</v>
      </c>
      <c r="I40" s="23" t="n">
        <v>400630</v>
      </c>
      <c r="J40" s="22" t="s">
        <v>772</v>
      </c>
      <c r="K40" s="23" t="n">
        <v>2501715460</v>
      </c>
      <c r="L40" s="24" t="n">
        <v>1</v>
      </c>
      <c r="M40" s="24" t="n">
        <v>1</v>
      </c>
      <c r="N40" s="23" t="n">
        <v>153000058</v>
      </c>
      <c r="O40" s="25" t="n">
        <v>47873</v>
      </c>
      <c r="P40" s="25" t="n">
        <v>46048</v>
      </c>
      <c r="Q40" s="21" t="n">
        <v>46065.4263541667</v>
      </c>
    </row>
    <row r="41" customFormat="false" ht="35.8" hidden="false" customHeight="false" outlineLevel="0" collapsed="false">
      <c r="A41" s="14" t="s">
        <v>13</v>
      </c>
      <c r="B41" s="14" t="s">
        <v>14</v>
      </c>
      <c r="C41" s="15" t="n">
        <v>46064.7358449074</v>
      </c>
      <c r="D41" s="16" t="s">
        <v>2056</v>
      </c>
      <c r="E41" s="17" t="n">
        <v>2409717422</v>
      </c>
      <c r="F41" s="16" t="s">
        <v>2057</v>
      </c>
      <c r="G41" s="16" t="s">
        <v>2072</v>
      </c>
      <c r="H41" s="16" t="s">
        <v>109</v>
      </c>
      <c r="I41" s="17" t="n">
        <v>400396</v>
      </c>
      <c r="J41" s="16" t="s">
        <v>170</v>
      </c>
      <c r="K41" s="17" t="n">
        <v>2501715474</v>
      </c>
      <c r="L41" s="18" t="n">
        <v>52</v>
      </c>
      <c r="M41" s="18" t="n">
        <v>52</v>
      </c>
      <c r="N41" s="17" t="n">
        <v>100010092</v>
      </c>
      <c r="O41" s="19" t="n">
        <v>47741</v>
      </c>
      <c r="P41" s="19" t="n">
        <v>45916</v>
      </c>
      <c r="Q41" s="15" t="n">
        <v>46065.4363888889</v>
      </c>
    </row>
    <row r="42" customFormat="false" ht="35.8" hidden="false" customHeight="false" outlineLevel="0" collapsed="false">
      <c r="A42" s="20" t="s">
        <v>13</v>
      </c>
      <c r="B42" s="20" t="s">
        <v>14</v>
      </c>
      <c r="C42" s="21" t="n">
        <v>46064.7359953704</v>
      </c>
      <c r="D42" s="22" t="s">
        <v>2056</v>
      </c>
      <c r="E42" s="23" t="n">
        <v>2409717422</v>
      </c>
      <c r="F42" s="22" t="s">
        <v>2057</v>
      </c>
      <c r="G42" s="22" t="s">
        <v>2072</v>
      </c>
      <c r="H42" s="22" t="s">
        <v>109</v>
      </c>
      <c r="I42" s="23" t="n">
        <v>400396</v>
      </c>
      <c r="J42" s="22" t="s">
        <v>170</v>
      </c>
      <c r="K42" s="23" t="n">
        <v>2501715474</v>
      </c>
      <c r="L42" s="24" t="n">
        <v>17</v>
      </c>
      <c r="M42" s="24" t="n">
        <v>17</v>
      </c>
      <c r="N42" s="23" t="n">
        <v>100010226</v>
      </c>
      <c r="O42" s="25" t="n">
        <v>47756</v>
      </c>
      <c r="P42" s="25" t="n">
        <v>45931</v>
      </c>
      <c r="Q42" s="21" t="n">
        <v>46065.4363888889</v>
      </c>
    </row>
    <row r="43" customFormat="false" ht="35.8" hidden="false" customHeight="false" outlineLevel="0" collapsed="false">
      <c r="A43" s="14" t="s">
        <v>13</v>
      </c>
      <c r="B43" s="14" t="s">
        <v>14</v>
      </c>
      <c r="C43" s="15" t="n">
        <v>46064.7359953704</v>
      </c>
      <c r="D43" s="16" t="s">
        <v>2056</v>
      </c>
      <c r="E43" s="17" t="n">
        <v>2409717422</v>
      </c>
      <c r="F43" s="16" t="s">
        <v>2057</v>
      </c>
      <c r="G43" s="16" t="s">
        <v>2072</v>
      </c>
      <c r="H43" s="16" t="s">
        <v>109</v>
      </c>
      <c r="I43" s="17" t="n">
        <v>400396</v>
      </c>
      <c r="J43" s="16" t="s">
        <v>170</v>
      </c>
      <c r="K43" s="17" t="n">
        <v>2501715474</v>
      </c>
      <c r="L43" s="18" t="n">
        <v>8</v>
      </c>
      <c r="M43" s="18" t="n">
        <v>8</v>
      </c>
      <c r="N43" s="17" t="n">
        <v>100010092</v>
      </c>
      <c r="O43" s="19" t="n">
        <v>47741</v>
      </c>
      <c r="P43" s="19" t="n">
        <v>45916</v>
      </c>
      <c r="Q43" s="15" t="n">
        <v>46065.4363888889</v>
      </c>
    </row>
    <row r="44" customFormat="false" ht="35.8" hidden="false" customHeight="false" outlineLevel="0" collapsed="false">
      <c r="A44" s="20" t="s">
        <v>13</v>
      </c>
      <c r="B44" s="20" t="s">
        <v>14</v>
      </c>
      <c r="C44" s="21" t="n">
        <v>46064.7358449074</v>
      </c>
      <c r="D44" s="22" t="s">
        <v>2056</v>
      </c>
      <c r="E44" s="23" t="n">
        <v>2409717422</v>
      </c>
      <c r="F44" s="22" t="s">
        <v>2057</v>
      </c>
      <c r="G44" s="22" t="s">
        <v>2072</v>
      </c>
      <c r="H44" s="22" t="s">
        <v>109</v>
      </c>
      <c r="I44" s="23" t="n">
        <v>400396</v>
      </c>
      <c r="J44" s="22" t="s">
        <v>170</v>
      </c>
      <c r="K44" s="23" t="n">
        <v>2501715474</v>
      </c>
      <c r="L44" s="24" t="n">
        <v>44</v>
      </c>
      <c r="M44" s="24" t="n">
        <v>44</v>
      </c>
      <c r="N44" s="23" t="n">
        <v>100010092</v>
      </c>
      <c r="O44" s="25" t="n">
        <v>47741</v>
      </c>
      <c r="P44" s="25" t="n">
        <v>45916</v>
      </c>
      <c r="Q44" s="21" t="n">
        <v>46065.4363888889</v>
      </c>
    </row>
    <row r="45" customFormat="false" ht="35.8" hidden="false" customHeight="false" outlineLevel="0" collapsed="false">
      <c r="A45" s="14" t="s">
        <v>13</v>
      </c>
      <c r="B45" s="14" t="s">
        <v>14</v>
      </c>
      <c r="C45" s="15" t="n">
        <v>46064.7358449074</v>
      </c>
      <c r="D45" s="16" t="s">
        <v>2056</v>
      </c>
      <c r="E45" s="17" t="n">
        <v>2409717422</v>
      </c>
      <c r="F45" s="16" t="s">
        <v>2057</v>
      </c>
      <c r="G45" s="16" t="s">
        <v>2072</v>
      </c>
      <c r="H45" s="16" t="s">
        <v>109</v>
      </c>
      <c r="I45" s="17" t="n">
        <v>400396</v>
      </c>
      <c r="J45" s="16" t="s">
        <v>170</v>
      </c>
      <c r="K45" s="17" t="n">
        <v>2501715474</v>
      </c>
      <c r="L45" s="18" t="n">
        <v>52</v>
      </c>
      <c r="M45" s="18" t="n">
        <v>52</v>
      </c>
      <c r="N45" s="17" t="n">
        <v>100010092</v>
      </c>
      <c r="O45" s="19" t="n">
        <v>47741</v>
      </c>
      <c r="P45" s="19" t="n">
        <v>45916</v>
      </c>
      <c r="Q45" s="15" t="n">
        <v>46065.4363888889</v>
      </c>
    </row>
    <row r="46" customFormat="false" ht="35.8" hidden="false" customHeight="false" outlineLevel="0" collapsed="false">
      <c r="A46" s="20" t="s">
        <v>13</v>
      </c>
      <c r="B46" s="20" t="s">
        <v>14</v>
      </c>
      <c r="C46" s="21" t="n">
        <v>46064.7358449074</v>
      </c>
      <c r="D46" s="22" t="s">
        <v>2056</v>
      </c>
      <c r="E46" s="23" t="n">
        <v>2409717422</v>
      </c>
      <c r="F46" s="22" t="s">
        <v>2057</v>
      </c>
      <c r="G46" s="22" t="s">
        <v>2072</v>
      </c>
      <c r="H46" s="22" t="s">
        <v>109</v>
      </c>
      <c r="I46" s="23" t="n">
        <v>400396</v>
      </c>
      <c r="J46" s="22" t="s">
        <v>170</v>
      </c>
      <c r="K46" s="23" t="n">
        <v>2501715474</v>
      </c>
      <c r="L46" s="24" t="n">
        <v>52</v>
      </c>
      <c r="M46" s="24" t="n">
        <v>52</v>
      </c>
      <c r="N46" s="23" t="n">
        <v>100010092</v>
      </c>
      <c r="O46" s="25" t="n">
        <v>47741</v>
      </c>
      <c r="P46" s="25" t="n">
        <v>45916</v>
      </c>
      <c r="Q46" s="21" t="n">
        <v>46065.4363888889</v>
      </c>
    </row>
    <row r="47" customFormat="false" ht="24.3" hidden="false" customHeight="false" outlineLevel="0" collapsed="false">
      <c r="A47" s="14" t="s">
        <v>109</v>
      </c>
      <c r="B47" s="14" t="s">
        <v>14</v>
      </c>
      <c r="C47" s="15" t="n">
        <v>46065.3024305556</v>
      </c>
      <c r="D47" s="16" t="s">
        <v>2056</v>
      </c>
      <c r="E47" s="17" t="n">
        <v>2409717401</v>
      </c>
      <c r="F47" s="16" t="s">
        <v>2057</v>
      </c>
      <c r="G47" s="16" t="s">
        <v>2073</v>
      </c>
      <c r="H47" s="16" t="s">
        <v>2074</v>
      </c>
      <c r="I47" s="17" t="n">
        <v>401047</v>
      </c>
      <c r="J47" s="16" t="s">
        <v>594</v>
      </c>
      <c r="K47" s="17" t="n">
        <v>2501715450</v>
      </c>
      <c r="L47" s="18" t="n">
        <v>2</v>
      </c>
      <c r="M47" s="18" t="n">
        <v>2</v>
      </c>
      <c r="N47" s="17" t="n">
        <v>153000041</v>
      </c>
      <c r="O47" s="19" t="n">
        <v>47867</v>
      </c>
      <c r="P47" s="19" t="n">
        <v>46042</v>
      </c>
      <c r="Q47" s="15" t="n">
        <v>46065.3675810185</v>
      </c>
    </row>
    <row r="48" customFormat="false" ht="35.8" hidden="false" customHeight="false" outlineLevel="0" collapsed="false">
      <c r="A48" s="20" t="s">
        <v>109</v>
      </c>
      <c r="B48" s="20" t="s">
        <v>14</v>
      </c>
      <c r="C48" s="21" t="n">
        <v>46065.3093402778</v>
      </c>
      <c r="D48" s="22" t="s">
        <v>2056</v>
      </c>
      <c r="E48" s="23" t="n">
        <v>2409717422</v>
      </c>
      <c r="F48" s="22" t="s">
        <v>2057</v>
      </c>
      <c r="G48" s="22" t="s">
        <v>2072</v>
      </c>
      <c r="H48" s="22" t="s">
        <v>109</v>
      </c>
      <c r="I48" s="23" t="n">
        <v>400398</v>
      </c>
      <c r="J48" s="22" t="s">
        <v>1094</v>
      </c>
      <c r="K48" s="23" t="n">
        <v>2501715472</v>
      </c>
      <c r="L48" s="24" t="n">
        <v>3</v>
      </c>
      <c r="M48" s="24" t="n">
        <v>3</v>
      </c>
      <c r="N48" s="23" t="n">
        <v>153000010</v>
      </c>
      <c r="O48" s="25" t="n">
        <v>47857</v>
      </c>
      <c r="P48" s="25" t="n">
        <v>46032</v>
      </c>
      <c r="Q48" s="21" t="n">
        <v>46065.3651157407</v>
      </c>
    </row>
    <row r="49" customFormat="false" ht="24.3" hidden="false" customHeight="false" outlineLevel="0" collapsed="false">
      <c r="A49" s="14" t="s">
        <v>109</v>
      </c>
      <c r="B49" s="14" t="s">
        <v>14</v>
      </c>
      <c r="C49" s="15" t="n">
        <v>46065.4678587963</v>
      </c>
      <c r="D49" s="16" t="s">
        <v>2056</v>
      </c>
      <c r="E49" s="17" t="n">
        <v>2409717409</v>
      </c>
      <c r="F49" s="16" t="s">
        <v>2057</v>
      </c>
      <c r="G49" s="16" t="s">
        <v>2065</v>
      </c>
      <c r="H49" s="16" t="s">
        <v>109</v>
      </c>
      <c r="I49" s="17" t="n">
        <v>400902</v>
      </c>
      <c r="J49" s="16" t="s">
        <v>405</v>
      </c>
      <c r="K49" s="17" t="n">
        <v>2501715489</v>
      </c>
      <c r="L49" s="18" t="n">
        <v>16</v>
      </c>
      <c r="M49" s="18" t="n">
        <v>16</v>
      </c>
      <c r="N49" s="17" t="n">
        <v>950001222</v>
      </c>
      <c r="O49" s="19" t="n">
        <v>47874</v>
      </c>
      <c r="P49" s="19" t="n">
        <v>46049</v>
      </c>
      <c r="Q49" s="15" t="n">
        <v>46065.5149421296</v>
      </c>
    </row>
    <row r="50" customFormat="false" ht="24.3" hidden="false" customHeight="false" outlineLevel="0" collapsed="false">
      <c r="A50" s="20" t="s">
        <v>109</v>
      </c>
      <c r="B50" s="20" t="s">
        <v>14</v>
      </c>
      <c r="C50" s="21" t="n">
        <v>46065.4679513889</v>
      </c>
      <c r="D50" s="22" t="s">
        <v>2056</v>
      </c>
      <c r="E50" s="23" t="n">
        <v>2409717409</v>
      </c>
      <c r="F50" s="22" t="s">
        <v>2057</v>
      </c>
      <c r="G50" s="22" t="s">
        <v>2065</v>
      </c>
      <c r="H50" s="22" t="s">
        <v>109</v>
      </c>
      <c r="I50" s="23" t="n">
        <v>400426</v>
      </c>
      <c r="J50" s="22" t="s">
        <v>831</v>
      </c>
      <c r="K50" s="23" t="n">
        <v>2501715489</v>
      </c>
      <c r="L50" s="24" t="n">
        <v>5</v>
      </c>
      <c r="M50" s="24" t="n">
        <v>5</v>
      </c>
      <c r="N50" s="23" t="n">
        <v>153000039</v>
      </c>
      <c r="O50" s="25" t="n">
        <v>47868</v>
      </c>
      <c r="P50" s="25" t="n">
        <v>46043</v>
      </c>
      <c r="Q50" s="21" t="n">
        <v>46065.5149421296</v>
      </c>
    </row>
    <row r="51" customFormat="false" ht="24.3" hidden="false" customHeight="false" outlineLevel="0" collapsed="false">
      <c r="A51" s="14" t="s">
        <v>109</v>
      </c>
      <c r="B51" s="14" t="s">
        <v>14</v>
      </c>
      <c r="C51" s="15" t="n">
        <v>46065.4679513889</v>
      </c>
      <c r="D51" s="16" t="s">
        <v>2056</v>
      </c>
      <c r="E51" s="17" t="n">
        <v>2409717409</v>
      </c>
      <c r="F51" s="16" t="s">
        <v>2057</v>
      </c>
      <c r="G51" s="16" t="s">
        <v>2065</v>
      </c>
      <c r="H51" s="16" t="s">
        <v>109</v>
      </c>
      <c r="I51" s="17" t="n">
        <v>400426</v>
      </c>
      <c r="J51" s="16" t="s">
        <v>831</v>
      </c>
      <c r="K51" s="17" t="n">
        <v>2501715489</v>
      </c>
      <c r="L51" s="18" t="n">
        <v>24</v>
      </c>
      <c r="M51" s="18" t="n">
        <v>24</v>
      </c>
      <c r="N51" s="17" t="n">
        <v>153000039</v>
      </c>
      <c r="O51" s="19" t="n">
        <v>47868</v>
      </c>
      <c r="P51" s="19" t="n">
        <v>46043</v>
      </c>
      <c r="Q51" s="15" t="n">
        <v>46065.5149421296</v>
      </c>
    </row>
    <row r="52" customFormat="false" ht="24.3" hidden="false" customHeight="false" outlineLevel="0" collapsed="false">
      <c r="A52" s="20" t="s">
        <v>109</v>
      </c>
      <c r="B52" s="20" t="s">
        <v>14</v>
      </c>
      <c r="C52" s="21" t="n">
        <v>46065.4679513889</v>
      </c>
      <c r="D52" s="22" t="s">
        <v>2056</v>
      </c>
      <c r="E52" s="23" t="n">
        <v>2409717409</v>
      </c>
      <c r="F52" s="22" t="s">
        <v>2057</v>
      </c>
      <c r="G52" s="22" t="s">
        <v>2065</v>
      </c>
      <c r="H52" s="22" t="s">
        <v>109</v>
      </c>
      <c r="I52" s="23" t="n">
        <v>400426</v>
      </c>
      <c r="J52" s="22" t="s">
        <v>831</v>
      </c>
      <c r="K52" s="23" t="n">
        <v>2501715489</v>
      </c>
      <c r="L52" s="24" t="n">
        <v>2</v>
      </c>
      <c r="M52" s="24" t="n">
        <v>2</v>
      </c>
      <c r="N52" s="23" t="n">
        <v>100010498</v>
      </c>
      <c r="O52" s="25" t="n">
        <v>47868</v>
      </c>
      <c r="P52" s="25" t="n">
        <v>46043</v>
      </c>
      <c r="Q52" s="21" t="n">
        <v>46065.5149421296</v>
      </c>
    </row>
    <row r="53" customFormat="false" ht="24.3" hidden="false" customHeight="false" outlineLevel="0" collapsed="false">
      <c r="A53" s="14" t="s">
        <v>109</v>
      </c>
      <c r="B53" s="14" t="s">
        <v>14</v>
      </c>
      <c r="C53" s="15" t="n">
        <v>46065.4679513889</v>
      </c>
      <c r="D53" s="16" t="s">
        <v>2056</v>
      </c>
      <c r="E53" s="17" t="n">
        <v>2409717409</v>
      </c>
      <c r="F53" s="16" t="s">
        <v>2057</v>
      </c>
      <c r="G53" s="16" t="s">
        <v>2065</v>
      </c>
      <c r="H53" s="16" t="s">
        <v>109</v>
      </c>
      <c r="I53" s="17" t="n">
        <v>400426</v>
      </c>
      <c r="J53" s="16" t="s">
        <v>831</v>
      </c>
      <c r="K53" s="17" t="n">
        <v>2501715489</v>
      </c>
      <c r="L53" s="18" t="n">
        <v>6</v>
      </c>
      <c r="M53" s="18" t="n">
        <v>6</v>
      </c>
      <c r="N53" s="17" t="n">
        <v>153000039</v>
      </c>
      <c r="O53" s="19" t="n">
        <v>47868</v>
      </c>
      <c r="P53" s="19" t="n">
        <v>46043</v>
      </c>
      <c r="Q53" s="15" t="n">
        <v>46065.5149421296</v>
      </c>
    </row>
    <row r="54" customFormat="false" ht="24.3" hidden="false" customHeight="false" outlineLevel="0" collapsed="false">
      <c r="A54" s="20" t="s">
        <v>109</v>
      </c>
      <c r="B54" s="20" t="s">
        <v>14</v>
      </c>
      <c r="C54" s="21" t="n">
        <v>46065.4678587963</v>
      </c>
      <c r="D54" s="22" t="s">
        <v>2056</v>
      </c>
      <c r="E54" s="23" t="n">
        <v>2409717409</v>
      </c>
      <c r="F54" s="22" t="s">
        <v>2057</v>
      </c>
      <c r="G54" s="22" t="s">
        <v>2065</v>
      </c>
      <c r="H54" s="22" t="s">
        <v>109</v>
      </c>
      <c r="I54" s="23" t="n">
        <v>400902</v>
      </c>
      <c r="J54" s="22" t="s">
        <v>405</v>
      </c>
      <c r="K54" s="23" t="n">
        <v>2501715489</v>
      </c>
      <c r="L54" s="24" t="n">
        <v>18</v>
      </c>
      <c r="M54" s="24" t="n">
        <v>18</v>
      </c>
      <c r="N54" s="23" t="n">
        <v>950001222</v>
      </c>
      <c r="O54" s="25" t="n">
        <v>47874</v>
      </c>
      <c r="P54" s="25" t="n">
        <v>46049</v>
      </c>
      <c r="Q54" s="21" t="n">
        <v>46065.5149421296</v>
      </c>
    </row>
    <row r="55" customFormat="false" ht="35.8" hidden="false" customHeight="false" outlineLevel="0" collapsed="false">
      <c r="A55" s="14" t="s">
        <v>13</v>
      </c>
      <c r="B55" s="14" t="s">
        <v>14</v>
      </c>
      <c r="C55" s="15" t="n">
        <v>46065.5949189815</v>
      </c>
      <c r="D55" s="16" t="s">
        <v>2056</v>
      </c>
      <c r="E55" s="17" t="n">
        <v>2409717432</v>
      </c>
      <c r="F55" s="16" t="s">
        <v>2057</v>
      </c>
      <c r="G55" s="16" t="s">
        <v>2075</v>
      </c>
      <c r="H55" s="16" t="s">
        <v>2076</v>
      </c>
      <c r="I55" s="17" t="n">
        <v>400630</v>
      </c>
      <c r="J55" s="16" t="s">
        <v>772</v>
      </c>
      <c r="K55" s="17" t="n">
        <v>2501715501</v>
      </c>
      <c r="L55" s="18" t="n">
        <v>3</v>
      </c>
      <c r="M55" s="18" t="n">
        <v>3</v>
      </c>
      <c r="N55" s="17" t="n">
        <v>153000058</v>
      </c>
      <c r="O55" s="19" t="n">
        <v>47873</v>
      </c>
      <c r="P55" s="19" t="n">
        <v>46048</v>
      </c>
      <c r="Q55" s="15" t="n">
        <v>46067.3975810185</v>
      </c>
    </row>
    <row r="56" customFormat="false" ht="35.8" hidden="false" customHeight="false" outlineLevel="0" collapsed="false">
      <c r="A56" s="20" t="s">
        <v>13</v>
      </c>
      <c r="B56" s="20" t="s">
        <v>14</v>
      </c>
      <c r="C56" s="21" t="n">
        <v>46065.5949189815</v>
      </c>
      <c r="D56" s="22" t="s">
        <v>2056</v>
      </c>
      <c r="E56" s="23" t="n">
        <v>2409717432</v>
      </c>
      <c r="F56" s="22" t="s">
        <v>2057</v>
      </c>
      <c r="G56" s="22" t="s">
        <v>2075</v>
      </c>
      <c r="H56" s="22" t="s">
        <v>2076</v>
      </c>
      <c r="I56" s="23" t="n">
        <v>400630</v>
      </c>
      <c r="J56" s="22" t="s">
        <v>772</v>
      </c>
      <c r="K56" s="23" t="n">
        <v>2501715501</v>
      </c>
      <c r="L56" s="24" t="n">
        <v>1</v>
      </c>
      <c r="M56" s="24" t="n">
        <v>1</v>
      </c>
      <c r="N56" s="23" t="n">
        <v>153000058</v>
      </c>
      <c r="O56" s="25" t="n">
        <v>47873</v>
      </c>
      <c r="P56" s="25" t="n">
        <v>46048</v>
      </c>
      <c r="Q56" s="21" t="n">
        <v>46067.3975810185</v>
      </c>
    </row>
    <row r="57" customFormat="false" ht="35.8" hidden="false" customHeight="false" outlineLevel="0" collapsed="false">
      <c r="A57" s="14" t="s">
        <v>13</v>
      </c>
      <c r="B57" s="14" t="s">
        <v>14</v>
      </c>
      <c r="C57" s="15" t="n">
        <v>46065.5943634259</v>
      </c>
      <c r="D57" s="16" t="s">
        <v>2056</v>
      </c>
      <c r="E57" s="17" t="n">
        <v>2409717440</v>
      </c>
      <c r="F57" s="16" t="s">
        <v>2057</v>
      </c>
      <c r="G57" s="16" t="s">
        <v>2077</v>
      </c>
      <c r="H57" s="16" t="s">
        <v>13</v>
      </c>
      <c r="I57" s="17" t="n">
        <v>400441</v>
      </c>
      <c r="J57" s="16" t="s">
        <v>80</v>
      </c>
      <c r="K57" s="17" t="n">
        <v>2501715512</v>
      </c>
      <c r="L57" s="18" t="n">
        <v>4</v>
      </c>
      <c r="M57" s="18" t="n">
        <v>4</v>
      </c>
      <c r="N57" s="17" t="n">
        <v>100011111</v>
      </c>
      <c r="O57" s="19" t="n">
        <v>47834</v>
      </c>
      <c r="P57" s="19" t="n">
        <v>46009</v>
      </c>
      <c r="Q57" s="15" t="n">
        <v>46067.3979513889</v>
      </c>
    </row>
    <row r="58" customFormat="false" ht="35.8" hidden="false" customHeight="false" outlineLevel="0" collapsed="false">
      <c r="A58" s="20" t="s">
        <v>13</v>
      </c>
      <c r="B58" s="20" t="s">
        <v>14</v>
      </c>
      <c r="C58" s="21" t="n">
        <v>46065.5943634259</v>
      </c>
      <c r="D58" s="22" t="s">
        <v>2056</v>
      </c>
      <c r="E58" s="23" t="n">
        <v>2409717440</v>
      </c>
      <c r="F58" s="22" t="s">
        <v>2057</v>
      </c>
      <c r="G58" s="22" t="s">
        <v>2077</v>
      </c>
      <c r="H58" s="22" t="s">
        <v>13</v>
      </c>
      <c r="I58" s="23" t="n">
        <v>400441</v>
      </c>
      <c r="J58" s="22" t="s">
        <v>80</v>
      </c>
      <c r="K58" s="23" t="n">
        <v>2501715512</v>
      </c>
      <c r="L58" s="24" t="n">
        <v>2</v>
      </c>
      <c r="M58" s="24" t="n">
        <v>2</v>
      </c>
      <c r="N58" s="23" t="n">
        <v>100011111</v>
      </c>
      <c r="O58" s="25" t="n">
        <v>47834</v>
      </c>
      <c r="P58" s="25" t="n">
        <v>46009</v>
      </c>
      <c r="Q58" s="21" t="n">
        <v>46067.3979513889</v>
      </c>
    </row>
    <row r="59" customFormat="false" ht="35.8" hidden="false" customHeight="false" outlineLevel="0" collapsed="false">
      <c r="A59" s="14" t="s">
        <v>13</v>
      </c>
      <c r="B59" s="14" t="s">
        <v>14</v>
      </c>
      <c r="C59" s="15" t="n">
        <v>46065.5943634259</v>
      </c>
      <c r="D59" s="16" t="s">
        <v>2056</v>
      </c>
      <c r="E59" s="17" t="n">
        <v>2409717440</v>
      </c>
      <c r="F59" s="16" t="s">
        <v>2057</v>
      </c>
      <c r="G59" s="16" t="s">
        <v>2077</v>
      </c>
      <c r="H59" s="16" t="s">
        <v>13</v>
      </c>
      <c r="I59" s="17" t="n">
        <v>400441</v>
      </c>
      <c r="J59" s="16" t="s">
        <v>80</v>
      </c>
      <c r="K59" s="17" t="n">
        <v>2501715512</v>
      </c>
      <c r="L59" s="18" t="n">
        <v>4</v>
      </c>
      <c r="M59" s="18" t="n">
        <v>4</v>
      </c>
      <c r="N59" s="17" t="n">
        <v>100011111</v>
      </c>
      <c r="O59" s="19" t="n">
        <v>47834</v>
      </c>
      <c r="P59" s="19" t="n">
        <v>46009</v>
      </c>
      <c r="Q59" s="15" t="n">
        <v>46067.3979513889</v>
      </c>
    </row>
    <row r="60" customFormat="false" ht="35.8" hidden="false" customHeight="false" outlineLevel="0" collapsed="false">
      <c r="A60" s="20" t="s">
        <v>13</v>
      </c>
      <c r="B60" s="20" t="s">
        <v>14</v>
      </c>
      <c r="C60" s="21" t="n">
        <v>46065.5943634259</v>
      </c>
      <c r="D60" s="22" t="s">
        <v>2056</v>
      </c>
      <c r="E60" s="23" t="n">
        <v>2409717440</v>
      </c>
      <c r="F60" s="22" t="s">
        <v>2057</v>
      </c>
      <c r="G60" s="22" t="s">
        <v>2077</v>
      </c>
      <c r="H60" s="22" t="s">
        <v>13</v>
      </c>
      <c r="I60" s="23" t="n">
        <v>400441</v>
      </c>
      <c r="J60" s="22" t="s">
        <v>80</v>
      </c>
      <c r="K60" s="23" t="n">
        <v>2501715512</v>
      </c>
      <c r="L60" s="24" t="n">
        <v>4</v>
      </c>
      <c r="M60" s="24" t="n">
        <v>4</v>
      </c>
      <c r="N60" s="23" t="n">
        <v>100011111</v>
      </c>
      <c r="O60" s="25" t="n">
        <v>47834</v>
      </c>
      <c r="P60" s="25" t="n">
        <v>46009</v>
      </c>
      <c r="Q60" s="21" t="n">
        <v>46067.3979513889</v>
      </c>
    </row>
    <row r="61" customFormat="false" ht="24.3" hidden="false" customHeight="false" outlineLevel="0" collapsed="false">
      <c r="A61" s="14" t="s">
        <v>13</v>
      </c>
      <c r="B61" s="14" t="s">
        <v>14</v>
      </c>
      <c r="C61" s="15" t="n">
        <v>46065.5936805556</v>
      </c>
      <c r="D61" s="16" t="s">
        <v>2056</v>
      </c>
      <c r="E61" s="17" t="n">
        <v>2409717443</v>
      </c>
      <c r="F61" s="16" t="s">
        <v>2057</v>
      </c>
      <c r="G61" s="16" t="s">
        <v>2078</v>
      </c>
      <c r="H61" s="16" t="s">
        <v>13</v>
      </c>
      <c r="I61" s="17" t="n">
        <v>400441</v>
      </c>
      <c r="J61" s="16" t="s">
        <v>80</v>
      </c>
      <c r="K61" s="17" t="n">
        <v>2501715514</v>
      </c>
      <c r="L61" s="18" t="n">
        <v>1</v>
      </c>
      <c r="M61" s="18" t="n">
        <v>1</v>
      </c>
      <c r="N61" s="17" t="n">
        <v>100008638</v>
      </c>
      <c r="O61" s="19" t="n">
        <v>47609</v>
      </c>
      <c r="P61" s="19" t="n">
        <v>45784</v>
      </c>
      <c r="Q61" s="15" t="n">
        <v>46067.3982638889</v>
      </c>
    </row>
    <row r="62" customFormat="false" ht="24.3" hidden="false" customHeight="false" outlineLevel="0" collapsed="false">
      <c r="A62" s="20" t="s">
        <v>13</v>
      </c>
      <c r="B62" s="20" t="s">
        <v>14</v>
      </c>
      <c r="C62" s="21" t="n">
        <v>46065.5936805556</v>
      </c>
      <c r="D62" s="22" t="s">
        <v>2056</v>
      </c>
      <c r="E62" s="23" t="n">
        <v>2409717443</v>
      </c>
      <c r="F62" s="22" t="s">
        <v>2057</v>
      </c>
      <c r="G62" s="22" t="s">
        <v>2078</v>
      </c>
      <c r="H62" s="22" t="s">
        <v>13</v>
      </c>
      <c r="I62" s="23" t="n">
        <v>400441</v>
      </c>
      <c r="J62" s="22" t="s">
        <v>80</v>
      </c>
      <c r="K62" s="23" t="n">
        <v>2501715514</v>
      </c>
      <c r="L62" s="24" t="n">
        <v>4</v>
      </c>
      <c r="M62" s="24" t="n">
        <v>4</v>
      </c>
      <c r="N62" s="23" t="n">
        <v>100010276</v>
      </c>
      <c r="O62" s="25" t="n">
        <v>47761</v>
      </c>
      <c r="P62" s="25" t="n">
        <v>45936</v>
      </c>
      <c r="Q62" s="21" t="n">
        <v>46067.3982638889</v>
      </c>
    </row>
    <row r="63" customFormat="false" ht="24.3" hidden="false" customHeight="false" outlineLevel="0" collapsed="false">
      <c r="A63" s="14" t="s">
        <v>13</v>
      </c>
      <c r="B63" s="14" t="s">
        <v>14</v>
      </c>
      <c r="C63" s="15" t="n">
        <v>46065.5930555556</v>
      </c>
      <c r="D63" s="16" t="s">
        <v>2056</v>
      </c>
      <c r="E63" s="17" t="n">
        <v>2409717444</v>
      </c>
      <c r="F63" s="16" t="s">
        <v>2057</v>
      </c>
      <c r="G63" s="16" t="s">
        <v>2079</v>
      </c>
      <c r="H63" s="16" t="s">
        <v>2080</v>
      </c>
      <c r="I63" s="17" t="n">
        <v>400441</v>
      </c>
      <c r="J63" s="16" t="s">
        <v>80</v>
      </c>
      <c r="K63" s="17" t="n">
        <v>2501715515</v>
      </c>
      <c r="L63" s="18" t="n">
        <v>1</v>
      </c>
      <c r="M63" s="18" t="n">
        <v>1</v>
      </c>
      <c r="N63" s="17" t="n">
        <v>100008637</v>
      </c>
      <c r="O63" s="19" t="n">
        <v>47608</v>
      </c>
      <c r="P63" s="19" t="n">
        <v>45783</v>
      </c>
      <c r="Q63" s="15" t="n">
        <v>46067.398587963</v>
      </c>
    </row>
    <row r="64" customFormat="false" ht="24.3" hidden="false" customHeight="false" outlineLevel="0" collapsed="false">
      <c r="A64" s="20" t="s">
        <v>13</v>
      </c>
      <c r="B64" s="20" t="s">
        <v>14</v>
      </c>
      <c r="C64" s="21" t="n">
        <v>46065.5930555556</v>
      </c>
      <c r="D64" s="22" t="s">
        <v>2056</v>
      </c>
      <c r="E64" s="23" t="n">
        <v>2409717444</v>
      </c>
      <c r="F64" s="22" t="s">
        <v>2057</v>
      </c>
      <c r="G64" s="22" t="s">
        <v>2079</v>
      </c>
      <c r="H64" s="22" t="s">
        <v>2080</v>
      </c>
      <c r="I64" s="23" t="n">
        <v>400441</v>
      </c>
      <c r="J64" s="22" t="s">
        <v>80</v>
      </c>
      <c r="K64" s="23" t="n">
        <v>2501715515</v>
      </c>
      <c r="L64" s="24" t="n">
        <v>3</v>
      </c>
      <c r="M64" s="24" t="n">
        <v>3</v>
      </c>
      <c r="N64" s="23" t="n">
        <v>100008638</v>
      </c>
      <c r="O64" s="25" t="n">
        <v>47609</v>
      </c>
      <c r="P64" s="25" t="n">
        <v>45784</v>
      </c>
      <c r="Q64" s="21" t="n">
        <v>46067.398587963</v>
      </c>
    </row>
    <row r="65" customFormat="false" ht="24.3" hidden="false" customHeight="false" outlineLevel="0" collapsed="false">
      <c r="A65" s="14" t="s">
        <v>13</v>
      </c>
      <c r="B65" s="14" t="s">
        <v>14</v>
      </c>
      <c r="C65" s="15" t="n">
        <v>46065.5930555556</v>
      </c>
      <c r="D65" s="16" t="s">
        <v>2056</v>
      </c>
      <c r="E65" s="17" t="n">
        <v>2409717444</v>
      </c>
      <c r="F65" s="16" t="s">
        <v>2057</v>
      </c>
      <c r="G65" s="16" t="s">
        <v>2079</v>
      </c>
      <c r="H65" s="16" t="s">
        <v>2080</v>
      </c>
      <c r="I65" s="17" t="n">
        <v>400441</v>
      </c>
      <c r="J65" s="16" t="s">
        <v>80</v>
      </c>
      <c r="K65" s="17" t="n">
        <v>2501715515</v>
      </c>
      <c r="L65" s="18" t="n">
        <v>4</v>
      </c>
      <c r="M65" s="18" t="n">
        <v>4</v>
      </c>
      <c r="N65" s="17" t="n">
        <v>100008637</v>
      </c>
      <c r="O65" s="19" t="n">
        <v>47608</v>
      </c>
      <c r="P65" s="19" t="n">
        <v>45783</v>
      </c>
      <c r="Q65" s="15" t="n">
        <v>46067.398587963</v>
      </c>
    </row>
    <row r="66" customFormat="false" ht="24.3" hidden="false" customHeight="false" outlineLevel="0" collapsed="false">
      <c r="A66" s="20" t="s">
        <v>13</v>
      </c>
      <c r="B66" s="20" t="s">
        <v>14</v>
      </c>
      <c r="C66" s="21" t="n">
        <v>46065.5930555556</v>
      </c>
      <c r="D66" s="22" t="s">
        <v>2056</v>
      </c>
      <c r="E66" s="23" t="n">
        <v>2409717444</v>
      </c>
      <c r="F66" s="22" t="s">
        <v>2057</v>
      </c>
      <c r="G66" s="22" t="s">
        <v>2079</v>
      </c>
      <c r="H66" s="22" t="s">
        <v>2080</v>
      </c>
      <c r="I66" s="23" t="n">
        <v>400441</v>
      </c>
      <c r="J66" s="22" t="s">
        <v>80</v>
      </c>
      <c r="K66" s="23" t="n">
        <v>2501715515</v>
      </c>
      <c r="L66" s="24" t="n">
        <v>4</v>
      </c>
      <c r="M66" s="24" t="n">
        <v>4</v>
      </c>
      <c r="N66" s="23" t="n">
        <v>100008637</v>
      </c>
      <c r="O66" s="25" t="n">
        <v>47608</v>
      </c>
      <c r="P66" s="25" t="n">
        <v>45783</v>
      </c>
      <c r="Q66" s="21" t="n">
        <v>46067.398587963</v>
      </c>
    </row>
    <row r="67" customFormat="false" ht="35.8" hidden="false" customHeight="false" outlineLevel="0" collapsed="false">
      <c r="A67" s="14" t="s">
        <v>13</v>
      </c>
      <c r="B67" s="14" t="s">
        <v>14</v>
      </c>
      <c r="C67" s="15" t="n">
        <v>46065.5921990741</v>
      </c>
      <c r="D67" s="16" t="s">
        <v>2056</v>
      </c>
      <c r="E67" s="17" t="n">
        <v>2409717445</v>
      </c>
      <c r="F67" s="16" t="s">
        <v>2057</v>
      </c>
      <c r="G67" s="16" t="s">
        <v>2081</v>
      </c>
      <c r="H67" s="16" t="s">
        <v>2080</v>
      </c>
      <c r="I67" s="17" t="n">
        <v>400441</v>
      </c>
      <c r="J67" s="16" t="s">
        <v>80</v>
      </c>
      <c r="K67" s="17" t="n">
        <v>2501715516</v>
      </c>
      <c r="L67" s="18" t="n">
        <v>3</v>
      </c>
      <c r="M67" s="18" t="n">
        <v>3</v>
      </c>
      <c r="N67" s="17" t="n">
        <v>100008637</v>
      </c>
      <c r="O67" s="19" t="n">
        <v>47608</v>
      </c>
      <c r="P67" s="19" t="n">
        <v>45783</v>
      </c>
      <c r="Q67" s="15" t="n">
        <v>46067.398900463</v>
      </c>
    </row>
    <row r="68" customFormat="false" ht="35.8" hidden="false" customHeight="false" outlineLevel="0" collapsed="false">
      <c r="A68" s="20" t="s">
        <v>13</v>
      </c>
      <c r="B68" s="20" t="s">
        <v>14</v>
      </c>
      <c r="C68" s="21" t="n">
        <v>46065.596875</v>
      </c>
      <c r="D68" s="22" t="s">
        <v>2056</v>
      </c>
      <c r="E68" s="26" t="s">
        <v>2082</v>
      </c>
      <c r="F68" s="22" t="s">
        <v>2057</v>
      </c>
      <c r="G68" s="22" t="s">
        <v>2072</v>
      </c>
      <c r="H68" s="22" t="s">
        <v>109</v>
      </c>
      <c r="I68" s="23" t="n">
        <v>400508</v>
      </c>
      <c r="J68" s="22" t="s">
        <v>1215</v>
      </c>
      <c r="K68" s="23" t="n">
        <v>2501715504</v>
      </c>
      <c r="L68" s="24" t="n">
        <v>3</v>
      </c>
      <c r="M68" s="24" t="n">
        <v>3</v>
      </c>
      <c r="N68" s="23" t="n">
        <v>153000080</v>
      </c>
      <c r="O68" s="25" t="n">
        <v>47883</v>
      </c>
      <c r="P68" s="25" t="n">
        <v>46058</v>
      </c>
      <c r="Q68" s="21" t="n">
        <v>46067.3972685185</v>
      </c>
    </row>
    <row r="69" customFormat="false" ht="24.3" hidden="false" customHeight="false" outlineLevel="0" collapsed="false">
      <c r="A69" s="14" t="s">
        <v>13</v>
      </c>
      <c r="B69" s="14" t="s">
        <v>14</v>
      </c>
      <c r="C69" s="15" t="n">
        <v>46065.6193634259</v>
      </c>
      <c r="D69" s="16" t="s">
        <v>2056</v>
      </c>
      <c r="E69" s="17" t="n">
        <v>2409717448</v>
      </c>
      <c r="F69" s="16" t="s">
        <v>2057</v>
      </c>
      <c r="G69" s="16" t="s">
        <v>2083</v>
      </c>
      <c r="H69" s="16" t="s">
        <v>2084</v>
      </c>
      <c r="I69" s="17" t="n">
        <v>400441</v>
      </c>
      <c r="J69" s="16" t="s">
        <v>80</v>
      </c>
      <c r="K69" s="17" t="n">
        <v>2501715518</v>
      </c>
      <c r="L69" s="18" t="n">
        <v>3</v>
      </c>
      <c r="M69" s="18" t="n">
        <v>3</v>
      </c>
      <c r="N69" s="17" t="n">
        <v>100011111</v>
      </c>
      <c r="O69" s="19" t="n">
        <v>47834</v>
      </c>
      <c r="P69" s="19" t="n">
        <v>46009</v>
      </c>
      <c r="Q69" s="15" t="n">
        <v>46067.399525463</v>
      </c>
    </row>
    <row r="70" customFormat="false" ht="24.3" hidden="false" customHeight="false" outlineLevel="0" collapsed="false">
      <c r="A70" s="20" t="s">
        <v>13</v>
      </c>
      <c r="B70" s="20" t="s">
        <v>14</v>
      </c>
      <c r="C70" s="21" t="n">
        <v>46065.6193634259</v>
      </c>
      <c r="D70" s="22" t="s">
        <v>2056</v>
      </c>
      <c r="E70" s="23" t="n">
        <v>2409717448</v>
      </c>
      <c r="F70" s="22" t="s">
        <v>2057</v>
      </c>
      <c r="G70" s="22" t="s">
        <v>2083</v>
      </c>
      <c r="H70" s="22" t="s">
        <v>2084</v>
      </c>
      <c r="I70" s="23" t="n">
        <v>400441</v>
      </c>
      <c r="J70" s="22" t="s">
        <v>80</v>
      </c>
      <c r="K70" s="23" t="n">
        <v>2501715518</v>
      </c>
      <c r="L70" s="24" t="n">
        <v>4</v>
      </c>
      <c r="M70" s="24" t="n">
        <v>4</v>
      </c>
      <c r="N70" s="23" t="n">
        <v>100011111</v>
      </c>
      <c r="O70" s="25" t="n">
        <v>47834</v>
      </c>
      <c r="P70" s="25" t="n">
        <v>46009</v>
      </c>
      <c r="Q70" s="21" t="n">
        <v>46067.399525463</v>
      </c>
    </row>
    <row r="71" customFormat="false" ht="24.3" hidden="false" customHeight="false" outlineLevel="0" collapsed="false">
      <c r="A71" s="14" t="s">
        <v>13</v>
      </c>
      <c r="B71" s="14" t="s">
        <v>14</v>
      </c>
      <c r="C71" s="15" t="n">
        <v>46065.6193634259</v>
      </c>
      <c r="D71" s="16" t="s">
        <v>2056</v>
      </c>
      <c r="E71" s="17" t="n">
        <v>2409717449</v>
      </c>
      <c r="F71" s="16" t="s">
        <v>2057</v>
      </c>
      <c r="G71" s="16" t="s">
        <v>2083</v>
      </c>
      <c r="H71" s="16" t="s">
        <v>2085</v>
      </c>
      <c r="I71" s="17" t="n">
        <v>400441</v>
      </c>
      <c r="J71" s="16" t="s">
        <v>80</v>
      </c>
      <c r="K71" s="17" t="n">
        <v>2501715519</v>
      </c>
      <c r="L71" s="18" t="n">
        <v>2</v>
      </c>
      <c r="M71" s="18" t="n">
        <v>2</v>
      </c>
      <c r="N71" s="17" t="n">
        <v>100011111</v>
      </c>
      <c r="O71" s="19" t="n">
        <v>47834</v>
      </c>
      <c r="P71" s="19" t="n">
        <v>46009</v>
      </c>
      <c r="Q71" s="15" t="n">
        <v>46067.399525463</v>
      </c>
    </row>
    <row r="72" customFormat="false" ht="24.3" hidden="false" customHeight="false" outlineLevel="0" collapsed="false">
      <c r="A72" s="20" t="s">
        <v>13</v>
      </c>
      <c r="B72" s="20" t="s">
        <v>14</v>
      </c>
      <c r="C72" s="21" t="n">
        <v>46065.6193634259</v>
      </c>
      <c r="D72" s="22" t="s">
        <v>2056</v>
      </c>
      <c r="E72" s="23" t="n">
        <v>2409717449</v>
      </c>
      <c r="F72" s="22" t="s">
        <v>2057</v>
      </c>
      <c r="G72" s="22" t="s">
        <v>2083</v>
      </c>
      <c r="H72" s="22" t="s">
        <v>2085</v>
      </c>
      <c r="I72" s="23" t="n">
        <v>400441</v>
      </c>
      <c r="J72" s="22" t="s">
        <v>80</v>
      </c>
      <c r="K72" s="23" t="n">
        <v>2501715519</v>
      </c>
      <c r="L72" s="24" t="n">
        <v>1</v>
      </c>
      <c r="M72" s="24" t="n">
        <v>1</v>
      </c>
      <c r="N72" s="23" t="n">
        <v>100011111</v>
      </c>
      <c r="O72" s="25" t="n">
        <v>47834</v>
      </c>
      <c r="P72" s="25" t="n">
        <v>46009</v>
      </c>
      <c r="Q72" s="21" t="n">
        <v>46067.399525463</v>
      </c>
    </row>
    <row r="73" customFormat="false" ht="24.3" hidden="false" customHeight="false" outlineLevel="0" collapsed="false">
      <c r="A73" s="14" t="s">
        <v>13</v>
      </c>
      <c r="B73" s="14" t="s">
        <v>14</v>
      </c>
      <c r="C73" s="15" t="n">
        <v>46065.6193634259</v>
      </c>
      <c r="D73" s="16" t="s">
        <v>2056</v>
      </c>
      <c r="E73" s="17" t="n">
        <v>2409717449</v>
      </c>
      <c r="F73" s="16" t="s">
        <v>2057</v>
      </c>
      <c r="G73" s="16" t="s">
        <v>2083</v>
      </c>
      <c r="H73" s="16" t="s">
        <v>2085</v>
      </c>
      <c r="I73" s="17" t="n">
        <v>400441</v>
      </c>
      <c r="J73" s="16" t="s">
        <v>80</v>
      </c>
      <c r="K73" s="17" t="n">
        <v>2501715519</v>
      </c>
      <c r="L73" s="18" t="n">
        <v>4</v>
      </c>
      <c r="M73" s="18" t="n">
        <v>4</v>
      </c>
      <c r="N73" s="17" t="n">
        <v>100011111</v>
      </c>
      <c r="O73" s="19" t="n">
        <v>47834</v>
      </c>
      <c r="P73" s="19" t="n">
        <v>46009</v>
      </c>
      <c r="Q73" s="15" t="n">
        <v>46067.399525463</v>
      </c>
    </row>
    <row r="74" customFormat="false" ht="24.3" hidden="false" customHeight="false" outlineLevel="0" collapsed="false">
      <c r="A74" s="20" t="s">
        <v>13</v>
      </c>
      <c r="B74" s="20" t="s">
        <v>14</v>
      </c>
      <c r="C74" s="21" t="n">
        <v>46065.6193634259</v>
      </c>
      <c r="D74" s="22" t="s">
        <v>2056</v>
      </c>
      <c r="E74" s="23" t="n">
        <v>2409717450</v>
      </c>
      <c r="F74" s="22" t="s">
        <v>2057</v>
      </c>
      <c r="G74" s="22" t="s">
        <v>2083</v>
      </c>
      <c r="H74" s="22" t="s">
        <v>2086</v>
      </c>
      <c r="I74" s="23" t="n">
        <v>400441</v>
      </c>
      <c r="J74" s="22" t="s">
        <v>80</v>
      </c>
      <c r="K74" s="23" t="n">
        <v>2501715520</v>
      </c>
      <c r="L74" s="24" t="n">
        <v>4</v>
      </c>
      <c r="M74" s="24" t="n">
        <v>4</v>
      </c>
      <c r="N74" s="23" t="n">
        <v>100011111</v>
      </c>
      <c r="O74" s="25" t="n">
        <v>47834</v>
      </c>
      <c r="P74" s="25" t="n">
        <v>46009</v>
      </c>
      <c r="Q74" s="21" t="n">
        <v>46067.399525463</v>
      </c>
    </row>
    <row r="75" customFormat="false" ht="24.3" hidden="false" customHeight="false" outlineLevel="0" collapsed="false">
      <c r="A75" s="14" t="s">
        <v>13</v>
      </c>
      <c r="B75" s="14" t="s">
        <v>14</v>
      </c>
      <c r="C75" s="15" t="n">
        <v>46065.6193634259</v>
      </c>
      <c r="D75" s="16" t="s">
        <v>2056</v>
      </c>
      <c r="E75" s="17" t="n">
        <v>2409717450</v>
      </c>
      <c r="F75" s="16" t="s">
        <v>2057</v>
      </c>
      <c r="G75" s="16" t="s">
        <v>2083</v>
      </c>
      <c r="H75" s="16" t="s">
        <v>2086</v>
      </c>
      <c r="I75" s="17" t="n">
        <v>400441</v>
      </c>
      <c r="J75" s="16" t="s">
        <v>80</v>
      </c>
      <c r="K75" s="17" t="n">
        <v>2501715520</v>
      </c>
      <c r="L75" s="18" t="n">
        <v>2</v>
      </c>
      <c r="M75" s="18" t="n">
        <v>2</v>
      </c>
      <c r="N75" s="17" t="n">
        <v>100011111</v>
      </c>
      <c r="O75" s="19" t="n">
        <v>47834</v>
      </c>
      <c r="P75" s="19" t="n">
        <v>46009</v>
      </c>
      <c r="Q75" s="15" t="n">
        <v>46067.399525463</v>
      </c>
    </row>
    <row r="76" customFormat="false" ht="24.3" hidden="false" customHeight="false" outlineLevel="0" collapsed="false">
      <c r="A76" s="20" t="s">
        <v>13</v>
      </c>
      <c r="B76" s="20" t="s">
        <v>14</v>
      </c>
      <c r="C76" s="21" t="n">
        <v>46065.6193634259</v>
      </c>
      <c r="D76" s="22" t="s">
        <v>2056</v>
      </c>
      <c r="E76" s="23" t="n">
        <v>2409717451</v>
      </c>
      <c r="F76" s="22" t="s">
        <v>2057</v>
      </c>
      <c r="G76" s="22" t="s">
        <v>2083</v>
      </c>
      <c r="H76" s="22" t="s">
        <v>2087</v>
      </c>
      <c r="I76" s="23" t="n">
        <v>400441</v>
      </c>
      <c r="J76" s="22" t="s">
        <v>80</v>
      </c>
      <c r="K76" s="23" t="n">
        <v>2501715521</v>
      </c>
      <c r="L76" s="24" t="n">
        <v>2</v>
      </c>
      <c r="M76" s="24" t="n">
        <v>2</v>
      </c>
      <c r="N76" s="23" t="n">
        <v>100011111</v>
      </c>
      <c r="O76" s="25" t="n">
        <v>47834</v>
      </c>
      <c r="P76" s="25" t="n">
        <v>46009</v>
      </c>
      <c r="Q76" s="21" t="n">
        <v>46067.399525463</v>
      </c>
    </row>
    <row r="77" customFormat="false" ht="24.3" hidden="false" customHeight="false" outlineLevel="0" collapsed="false">
      <c r="A77" s="14" t="s">
        <v>13</v>
      </c>
      <c r="B77" s="14" t="s">
        <v>14</v>
      </c>
      <c r="C77" s="15" t="n">
        <v>46065.6193634259</v>
      </c>
      <c r="D77" s="16" t="s">
        <v>2056</v>
      </c>
      <c r="E77" s="17" t="n">
        <v>2409717451</v>
      </c>
      <c r="F77" s="16" t="s">
        <v>2057</v>
      </c>
      <c r="G77" s="16" t="s">
        <v>2083</v>
      </c>
      <c r="H77" s="16" t="s">
        <v>2087</v>
      </c>
      <c r="I77" s="17" t="n">
        <v>400441</v>
      </c>
      <c r="J77" s="16" t="s">
        <v>80</v>
      </c>
      <c r="K77" s="17" t="n">
        <v>2501715521</v>
      </c>
      <c r="L77" s="18" t="n">
        <v>4</v>
      </c>
      <c r="M77" s="18" t="n">
        <v>4</v>
      </c>
      <c r="N77" s="17" t="n">
        <v>100011111</v>
      </c>
      <c r="O77" s="19" t="n">
        <v>47834</v>
      </c>
      <c r="P77" s="19" t="n">
        <v>46009</v>
      </c>
      <c r="Q77" s="15" t="n">
        <v>46067.399525463</v>
      </c>
    </row>
    <row r="78" customFormat="false" ht="24.3" hidden="false" customHeight="false" outlineLevel="0" collapsed="false">
      <c r="A78" s="20" t="s">
        <v>13</v>
      </c>
      <c r="B78" s="20" t="s">
        <v>14</v>
      </c>
      <c r="C78" s="21" t="n">
        <v>46065.619375</v>
      </c>
      <c r="D78" s="22" t="s">
        <v>2056</v>
      </c>
      <c r="E78" s="23" t="n">
        <v>2409717452</v>
      </c>
      <c r="F78" s="22" t="s">
        <v>2057</v>
      </c>
      <c r="G78" s="22" t="s">
        <v>2083</v>
      </c>
      <c r="H78" s="22" t="s">
        <v>2088</v>
      </c>
      <c r="I78" s="23" t="n">
        <v>400441</v>
      </c>
      <c r="J78" s="22" t="s">
        <v>80</v>
      </c>
      <c r="K78" s="23" t="n">
        <v>2501715522</v>
      </c>
      <c r="L78" s="24" t="n">
        <v>2</v>
      </c>
      <c r="M78" s="24" t="n">
        <v>2</v>
      </c>
      <c r="N78" s="23" t="n">
        <v>100011111</v>
      </c>
      <c r="O78" s="25" t="n">
        <v>47834</v>
      </c>
      <c r="P78" s="25" t="n">
        <v>46009</v>
      </c>
      <c r="Q78" s="21" t="n">
        <v>46067.399525463</v>
      </c>
    </row>
    <row r="79" customFormat="false" ht="24.3" hidden="false" customHeight="false" outlineLevel="0" collapsed="false">
      <c r="A79" s="14" t="s">
        <v>13</v>
      </c>
      <c r="B79" s="14" t="s">
        <v>14</v>
      </c>
      <c r="C79" s="15" t="n">
        <v>46065.619375</v>
      </c>
      <c r="D79" s="16" t="s">
        <v>2056</v>
      </c>
      <c r="E79" s="17" t="n">
        <v>2409717453</v>
      </c>
      <c r="F79" s="16" t="s">
        <v>2057</v>
      </c>
      <c r="G79" s="16" t="s">
        <v>2083</v>
      </c>
      <c r="H79" s="16" t="s">
        <v>2089</v>
      </c>
      <c r="I79" s="17" t="n">
        <v>400441</v>
      </c>
      <c r="J79" s="16" t="s">
        <v>80</v>
      </c>
      <c r="K79" s="17" t="n">
        <v>2501715523</v>
      </c>
      <c r="L79" s="18" t="n">
        <v>2</v>
      </c>
      <c r="M79" s="18" t="n">
        <v>2</v>
      </c>
      <c r="N79" s="17" t="n">
        <v>100011111</v>
      </c>
      <c r="O79" s="19" t="n">
        <v>47834</v>
      </c>
      <c r="P79" s="19" t="n">
        <v>46009</v>
      </c>
      <c r="Q79" s="15" t="n">
        <v>46067.399525463</v>
      </c>
    </row>
    <row r="80" customFormat="false" ht="35.8" hidden="false" customHeight="false" outlineLevel="0" collapsed="false">
      <c r="A80" s="20" t="s">
        <v>109</v>
      </c>
      <c r="B80" s="20" t="s">
        <v>14</v>
      </c>
      <c r="C80" s="21" t="n">
        <v>46065.668287037</v>
      </c>
      <c r="D80" s="22" t="s">
        <v>2056</v>
      </c>
      <c r="E80" s="23" t="n">
        <v>2409717428</v>
      </c>
      <c r="F80" s="22" t="s">
        <v>2057</v>
      </c>
      <c r="G80" s="22" t="s">
        <v>2072</v>
      </c>
      <c r="H80" s="22" t="s">
        <v>109</v>
      </c>
      <c r="I80" s="23" t="n">
        <v>400919</v>
      </c>
      <c r="J80" s="22" t="s">
        <v>420</v>
      </c>
      <c r="K80" s="23" t="n">
        <v>2501715496</v>
      </c>
      <c r="L80" s="24" t="n">
        <v>24</v>
      </c>
      <c r="M80" s="24" t="n">
        <v>24</v>
      </c>
      <c r="N80" s="23" t="n">
        <v>153000046</v>
      </c>
      <c r="O80" s="25" t="n">
        <v>47869</v>
      </c>
      <c r="P80" s="25" t="n">
        <v>46044</v>
      </c>
      <c r="Q80" s="21" t="n">
        <v>46067.3755902778</v>
      </c>
    </row>
    <row r="81" customFormat="false" ht="35.8" hidden="false" customHeight="false" outlineLevel="0" collapsed="false">
      <c r="A81" s="14" t="s">
        <v>109</v>
      </c>
      <c r="B81" s="14" t="s">
        <v>14</v>
      </c>
      <c r="C81" s="15" t="n">
        <v>46065.6684143519</v>
      </c>
      <c r="D81" s="16" t="s">
        <v>2056</v>
      </c>
      <c r="E81" s="17" t="n">
        <v>2409717428</v>
      </c>
      <c r="F81" s="16" t="s">
        <v>2057</v>
      </c>
      <c r="G81" s="16" t="s">
        <v>2072</v>
      </c>
      <c r="H81" s="16" t="s">
        <v>109</v>
      </c>
      <c r="I81" s="17" t="n">
        <v>400441</v>
      </c>
      <c r="J81" s="16" t="s">
        <v>80</v>
      </c>
      <c r="K81" s="17" t="n">
        <v>2501715496</v>
      </c>
      <c r="L81" s="18" t="n">
        <v>3</v>
      </c>
      <c r="M81" s="18" t="n">
        <v>3</v>
      </c>
      <c r="N81" s="17" t="n">
        <v>153000045</v>
      </c>
      <c r="O81" s="19" t="n">
        <v>47838</v>
      </c>
      <c r="P81" s="19" t="n">
        <v>46013</v>
      </c>
      <c r="Q81" s="15" t="n">
        <v>46067.3755902778</v>
      </c>
    </row>
    <row r="82" customFormat="false" ht="35.8" hidden="false" customHeight="false" outlineLevel="0" collapsed="false">
      <c r="A82" s="20" t="s">
        <v>109</v>
      </c>
      <c r="B82" s="20" t="s">
        <v>14</v>
      </c>
      <c r="C82" s="21" t="n">
        <v>46065.6684143519</v>
      </c>
      <c r="D82" s="22" t="s">
        <v>2056</v>
      </c>
      <c r="E82" s="23" t="n">
        <v>2409717428</v>
      </c>
      <c r="F82" s="22" t="s">
        <v>2057</v>
      </c>
      <c r="G82" s="22" t="s">
        <v>2072</v>
      </c>
      <c r="H82" s="22" t="s">
        <v>109</v>
      </c>
      <c r="I82" s="23" t="n">
        <v>400441</v>
      </c>
      <c r="J82" s="22" t="s">
        <v>80</v>
      </c>
      <c r="K82" s="23" t="n">
        <v>2501715496</v>
      </c>
      <c r="L82" s="24" t="n">
        <v>4</v>
      </c>
      <c r="M82" s="24" t="n">
        <v>4</v>
      </c>
      <c r="N82" s="23" t="n">
        <v>100011111</v>
      </c>
      <c r="O82" s="25" t="n">
        <v>47838</v>
      </c>
      <c r="P82" s="25" t="n">
        <v>46013</v>
      </c>
      <c r="Q82" s="21" t="n">
        <v>46067.3755902778</v>
      </c>
    </row>
    <row r="83" customFormat="false" ht="35.8" hidden="false" customHeight="false" outlineLevel="0" collapsed="false">
      <c r="A83" s="14" t="s">
        <v>109</v>
      </c>
      <c r="B83" s="14" t="s">
        <v>14</v>
      </c>
      <c r="C83" s="15" t="n">
        <v>46065.6684143519</v>
      </c>
      <c r="D83" s="16" t="s">
        <v>2056</v>
      </c>
      <c r="E83" s="17" t="n">
        <v>2409717428</v>
      </c>
      <c r="F83" s="16" t="s">
        <v>2057</v>
      </c>
      <c r="G83" s="16" t="s">
        <v>2072</v>
      </c>
      <c r="H83" s="16" t="s">
        <v>109</v>
      </c>
      <c r="I83" s="17" t="n">
        <v>400441</v>
      </c>
      <c r="J83" s="16" t="s">
        <v>80</v>
      </c>
      <c r="K83" s="17" t="n">
        <v>2501715496</v>
      </c>
      <c r="L83" s="18" t="n">
        <v>4</v>
      </c>
      <c r="M83" s="18" t="n">
        <v>4</v>
      </c>
      <c r="N83" s="17" t="n">
        <v>100011111</v>
      </c>
      <c r="O83" s="19" t="n">
        <v>47838</v>
      </c>
      <c r="P83" s="19" t="n">
        <v>46013</v>
      </c>
      <c r="Q83" s="15" t="n">
        <v>46067.3755902778</v>
      </c>
    </row>
    <row r="84" customFormat="false" ht="35.8" hidden="false" customHeight="false" outlineLevel="0" collapsed="false">
      <c r="A84" s="20" t="s">
        <v>109</v>
      </c>
      <c r="B84" s="20" t="s">
        <v>14</v>
      </c>
      <c r="C84" s="21" t="n">
        <v>46065.6684143519</v>
      </c>
      <c r="D84" s="22" t="s">
        <v>2056</v>
      </c>
      <c r="E84" s="23" t="n">
        <v>2409717428</v>
      </c>
      <c r="F84" s="22" t="s">
        <v>2057</v>
      </c>
      <c r="G84" s="22" t="s">
        <v>2072</v>
      </c>
      <c r="H84" s="22" t="s">
        <v>109</v>
      </c>
      <c r="I84" s="23" t="n">
        <v>400441</v>
      </c>
      <c r="J84" s="22" t="s">
        <v>80</v>
      </c>
      <c r="K84" s="23" t="n">
        <v>2501715496</v>
      </c>
      <c r="L84" s="24" t="n">
        <v>4</v>
      </c>
      <c r="M84" s="24" t="n">
        <v>4</v>
      </c>
      <c r="N84" s="23" t="n">
        <v>100011111</v>
      </c>
      <c r="O84" s="25" t="n">
        <v>47838</v>
      </c>
      <c r="P84" s="25" t="n">
        <v>46013</v>
      </c>
      <c r="Q84" s="21" t="n">
        <v>46067.3755902778</v>
      </c>
    </row>
    <row r="85" customFormat="false" ht="35.8" hidden="false" customHeight="false" outlineLevel="0" collapsed="false">
      <c r="A85" s="14" t="s">
        <v>109</v>
      </c>
      <c r="B85" s="14" t="s">
        <v>14</v>
      </c>
      <c r="C85" s="15" t="n">
        <v>46065.668287037</v>
      </c>
      <c r="D85" s="16" t="s">
        <v>2056</v>
      </c>
      <c r="E85" s="17" t="n">
        <v>2409717428</v>
      </c>
      <c r="F85" s="16" t="s">
        <v>2057</v>
      </c>
      <c r="G85" s="16" t="s">
        <v>2072</v>
      </c>
      <c r="H85" s="16" t="s">
        <v>109</v>
      </c>
      <c r="I85" s="17" t="n">
        <v>400919</v>
      </c>
      <c r="J85" s="16" t="s">
        <v>420</v>
      </c>
      <c r="K85" s="17" t="n">
        <v>2501715496</v>
      </c>
      <c r="L85" s="18" t="n">
        <v>7</v>
      </c>
      <c r="M85" s="18" t="n">
        <v>7</v>
      </c>
      <c r="N85" s="17" t="n">
        <v>153000046</v>
      </c>
      <c r="O85" s="19" t="n">
        <v>47869</v>
      </c>
      <c r="P85" s="19" t="n">
        <v>46044</v>
      </c>
      <c r="Q85" s="15" t="n">
        <v>46067.3755902778</v>
      </c>
    </row>
    <row r="86" customFormat="false" ht="35.8" hidden="false" customHeight="false" outlineLevel="0" collapsed="false">
      <c r="A86" s="20" t="s">
        <v>109</v>
      </c>
      <c r="B86" s="20" t="s">
        <v>14</v>
      </c>
      <c r="C86" s="21" t="n">
        <v>46065.668287037</v>
      </c>
      <c r="D86" s="22" t="s">
        <v>2056</v>
      </c>
      <c r="E86" s="23" t="n">
        <v>2409717428</v>
      </c>
      <c r="F86" s="22" t="s">
        <v>2057</v>
      </c>
      <c r="G86" s="22" t="s">
        <v>2072</v>
      </c>
      <c r="H86" s="22" t="s">
        <v>109</v>
      </c>
      <c r="I86" s="23" t="n">
        <v>400919</v>
      </c>
      <c r="J86" s="22" t="s">
        <v>420</v>
      </c>
      <c r="K86" s="23" t="n">
        <v>2501715496</v>
      </c>
      <c r="L86" s="24" t="n">
        <v>24</v>
      </c>
      <c r="M86" s="24" t="n">
        <v>24</v>
      </c>
      <c r="N86" s="23" t="n">
        <v>153000046</v>
      </c>
      <c r="O86" s="25" t="n">
        <v>47869</v>
      </c>
      <c r="P86" s="25" t="n">
        <v>46044</v>
      </c>
      <c r="Q86" s="21" t="n">
        <v>46067.3755902778</v>
      </c>
    </row>
    <row r="87" customFormat="false" ht="35.8" hidden="false" customHeight="false" outlineLevel="0" collapsed="false">
      <c r="A87" s="14" t="s">
        <v>109</v>
      </c>
      <c r="B87" s="14" t="s">
        <v>14</v>
      </c>
      <c r="C87" s="15" t="n">
        <v>46068.6374305556</v>
      </c>
      <c r="D87" s="16" t="s">
        <v>2056</v>
      </c>
      <c r="E87" s="17" t="n">
        <v>2409717460</v>
      </c>
      <c r="F87" s="16" t="s">
        <v>2057</v>
      </c>
      <c r="G87" s="16" t="s">
        <v>2090</v>
      </c>
      <c r="H87" s="16" t="s">
        <v>2091</v>
      </c>
      <c r="I87" s="17" t="n">
        <v>400441</v>
      </c>
      <c r="J87" s="16" t="s">
        <v>80</v>
      </c>
      <c r="K87" s="17" t="n">
        <v>2501715534</v>
      </c>
      <c r="L87" s="18" t="n">
        <v>1</v>
      </c>
      <c r="M87" s="18" t="n">
        <v>1</v>
      </c>
      <c r="N87" s="17" t="n">
        <v>153000045</v>
      </c>
      <c r="O87" s="19" t="n">
        <v>47838</v>
      </c>
      <c r="P87" s="19" t="n">
        <v>46013</v>
      </c>
      <c r="Q87" s="15" t="n">
        <v>46069.3945486111</v>
      </c>
    </row>
    <row r="88" customFormat="false" ht="35.8" hidden="false" customHeight="false" outlineLevel="0" collapsed="false">
      <c r="A88" s="20" t="s">
        <v>109</v>
      </c>
      <c r="B88" s="20" t="s">
        <v>14</v>
      </c>
      <c r="C88" s="21" t="n">
        <v>46068.6374305556</v>
      </c>
      <c r="D88" s="22" t="s">
        <v>2056</v>
      </c>
      <c r="E88" s="23" t="n">
        <v>2409717460</v>
      </c>
      <c r="F88" s="22" t="s">
        <v>2057</v>
      </c>
      <c r="G88" s="22" t="s">
        <v>2090</v>
      </c>
      <c r="H88" s="22" t="s">
        <v>2091</v>
      </c>
      <c r="I88" s="23" t="n">
        <v>400441</v>
      </c>
      <c r="J88" s="22" t="s">
        <v>80</v>
      </c>
      <c r="K88" s="23" t="n">
        <v>2501715534</v>
      </c>
      <c r="L88" s="24" t="n">
        <v>3</v>
      </c>
      <c r="M88" s="24" t="n">
        <v>3</v>
      </c>
      <c r="N88" s="23" t="n">
        <v>153000045</v>
      </c>
      <c r="O88" s="25" t="n">
        <v>47838</v>
      </c>
      <c r="P88" s="25" t="n">
        <v>46013</v>
      </c>
      <c r="Q88" s="21" t="n">
        <v>46069.3945486111</v>
      </c>
    </row>
    <row r="89" customFormat="false" ht="35.8" hidden="false" customHeight="false" outlineLevel="0" collapsed="false">
      <c r="A89" s="14" t="s">
        <v>109</v>
      </c>
      <c r="B89" s="14" t="s">
        <v>14</v>
      </c>
      <c r="C89" s="15" t="n">
        <v>46068.6374305556</v>
      </c>
      <c r="D89" s="16" t="s">
        <v>2056</v>
      </c>
      <c r="E89" s="17" t="n">
        <v>2409717460</v>
      </c>
      <c r="F89" s="16" t="s">
        <v>2057</v>
      </c>
      <c r="G89" s="16" t="s">
        <v>2090</v>
      </c>
      <c r="H89" s="16" t="s">
        <v>2091</v>
      </c>
      <c r="I89" s="17" t="n">
        <v>400441</v>
      </c>
      <c r="J89" s="16" t="s">
        <v>80</v>
      </c>
      <c r="K89" s="17" t="n">
        <v>2501715534</v>
      </c>
      <c r="L89" s="18" t="n">
        <v>4</v>
      </c>
      <c r="M89" s="18" t="n">
        <v>4</v>
      </c>
      <c r="N89" s="17" t="n">
        <v>100010247</v>
      </c>
      <c r="O89" s="19" t="n">
        <v>47838</v>
      </c>
      <c r="P89" s="19" t="n">
        <v>46013</v>
      </c>
      <c r="Q89" s="15" t="n">
        <v>46069.3945486111</v>
      </c>
    </row>
    <row r="90" customFormat="false" ht="35.8" hidden="false" customHeight="false" outlineLevel="0" collapsed="false">
      <c r="A90" s="20" t="s">
        <v>109</v>
      </c>
      <c r="B90" s="20" t="s">
        <v>14</v>
      </c>
      <c r="C90" s="21" t="n">
        <v>46068.6374305556</v>
      </c>
      <c r="D90" s="22" t="s">
        <v>2056</v>
      </c>
      <c r="E90" s="23" t="n">
        <v>2409717460</v>
      </c>
      <c r="F90" s="22" t="s">
        <v>2057</v>
      </c>
      <c r="G90" s="22" t="s">
        <v>2090</v>
      </c>
      <c r="H90" s="22" t="s">
        <v>2091</v>
      </c>
      <c r="I90" s="23" t="n">
        <v>400441</v>
      </c>
      <c r="J90" s="22" t="s">
        <v>80</v>
      </c>
      <c r="K90" s="23" t="n">
        <v>2501715534</v>
      </c>
      <c r="L90" s="24" t="n">
        <v>4</v>
      </c>
      <c r="M90" s="24" t="n">
        <v>4</v>
      </c>
      <c r="N90" s="23" t="n">
        <v>153000045</v>
      </c>
      <c r="O90" s="25" t="n">
        <v>47838</v>
      </c>
      <c r="P90" s="25" t="n">
        <v>46013</v>
      </c>
      <c r="Q90" s="21" t="n">
        <v>46069.3945486111</v>
      </c>
    </row>
    <row r="91" customFormat="false" ht="35.8" hidden="false" customHeight="false" outlineLevel="0" collapsed="false">
      <c r="A91" s="14" t="s">
        <v>109</v>
      </c>
      <c r="B91" s="14" t="s">
        <v>14</v>
      </c>
      <c r="C91" s="15" t="n">
        <v>46068.6374305556</v>
      </c>
      <c r="D91" s="16" t="s">
        <v>2056</v>
      </c>
      <c r="E91" s="17" t="n">
        <v>2409717465</v>
      </c>
      <c r="F91" s="16" t="s">
        <v>2057</v>
      </c>
      <c r="G91" s="16" t="s">
        <v>2092</v>
      </c>
      <c r="H91" s="16" t="s">
        <v>2093</v>
      </c>
      <c r="I91" s="17" t="n">
        <v>401072</v>
      </c>
      <c r="J91" s="16" t="s">
        <v>1314</v>
      </c>
      <c r="K91" s="17" t="n">
        <v>2501715542</v>
      </c>
      <c r="L91" s="18" t="n">
        <v>4</v>
      </c>
      <c r="M91" s="18" t="n">
        <v>4</v>
      </c>
      <c r="N91" s="17" t="n">
        <v>153000031</v>
      </c>
      <c r="O91" s="19" t="n">
        <v>47865</v>
      </c>
      <c r="P91" s="19" t="n">
        <v>46040</v>
      </c>
      <c r="Q91" s="15" t="n">
        <v>46069.3924189815</v>
      </c>
    </row>
    <row r="92" customFormat="false" ht="35.8" hidden="false" customHeight="false" outlineLevel="0" collapsed="false">
      <c r="A92" s="20" t="s">
        <v>109</v>
      </c>
      <c r="B92" s="20" t="s">
        <v>14</v>
      </c>
      <c r="C92" s="21" t="n">
        <v>46068.6374305556</v>
      </c>
      <c r="D92" s="22" t="s">
        <v>2056</v>
      </c>
      <c r="E92" s="23" t="n">
        <v>2409717465</v>
      </c>
      <c r="F92" s="22" t="s">
        <v>2057</v>
      </c>
      <c r="G92" s="22" t="s">
        <v>2092</v>
      </c>
      <c r="H92" s="22" t="s">
        <v>2093</v>
      </c>
      <c r="I92" s="23" t="n">
        <v>401072</v>
      </c>
      <c r="J92" s="22" t="s">
        <v>1314</v>
      </c>
      <c r="K92" s="23" t="n">
        <v>2501715542</v>
      </c>
      <c r="L92" s="24" t="n">
        <v>4</v>
      </c>
      <c r="M92" s="24" t="n">
        <v>4</v>
      </c>
      <c r="N92" s="23" t="n">
        <v>153000031</v>
      </c>
      <c r="O92" s="25" t="n">
        <v>47865</v>
      </c>
      <c r="P92" s="25" t="n">
        <v>46040</v>
      </c>
      <c r="Q92" s="21" t="n">
        <v>46069.3924189815</v>
      </c>
    </row>
    <row r="93" customFormat="false" ht="35.8" hidden="false" customHeight="false" outlineLevel="0" collapsed="false">
      <c r="A93" s="14" t="s">
        <v>109</v>
      </c>
      <c r="B93" s="14" t="s">
        <v>14</v>
      </c>
      <c r="C93" s="15" t="n">
        <v>46068.6374305556</v>
      </c>
      <c r="D93" s="16" t="s">
        <v>2056</v>
      </c>
      <c r="E93" s="17" t="n">
        <v>2409717465</v>
      </c>
      <c r="F93" s="16" t="s">
        <v>2057</v>
      </c>
      <c r="G93" s="16" t="s">
        <v>2092</v>
      </c>
      <c r="H93" s="16" t="s">
        <v>2093</v>
      </c>
      <c r="I93" s="17" t="n">
        <v>401072</v>
      </c>
      <c r="J93" s="16" t="s">
        <v>1314</v>
      </c>
      <c r="K93" s="17" t="n">
        <v>2501715542</v>
      </c>
      <c r="L93" s="18" t="n">
        <v>3</v>
      </c>
      <c r="M93" s="18" t="n">
        <v>3</v>
      </c>
      <c r="N93" s="17" t="n">
        <v>153000031</v>
      </c>
      <c r="O93" s="19" t="n">
        <v>47865</v>
      </c>
      <c r="P93" s="19" t="n">
        <v>46040</v>
      </c>
      <c r="Q93" s="15" t="n">
        <v>46069.3924189815</v>
      </c>
    </row>
    <row r="94" customFormat="false" ht="35.8" hidden="false" customHeight="false" outlineLevel="0" collapsed="false">
      <c r="A94" s="20" t="s">
        <v>109</v>
      </c>
      <c r="B94" s="20" t="s">
        <v>14</v>
      </c>
      <c r="C94" s="21" t="n">
        <v>46068.6374305556</v>
      </c>
      <c r="D94" s="22" t="s">
        <v>2056</v>
      </c>
      <c r="E94" s="23" t="n">
        <v>2409717470</v>
      </c>
      <c r="F94" s="22" t="s">
        <v>2057</v>
      </c>
      <c r="G94" s="22" t="s">
        <v>2092</v>
      </c>
      <c r="H94" s="22" t="s">
        <v>13</v>
      </c>
      <c r="I94" s="23" t="n">
        <v>401072</v>
      </c>
      <c r="J94" s="22" t="s">
        <v>1314</v>
      </c>
      <c r="K94" s="23" t="n">
        <v>2501715549</v>
      </c>
      <c r="L94" s="24" t="n">
        <v>4</v>
      </c>
      <c r="M94" s="24" t="n">
        <v>4</v>
      </c>
      <c r="N94" s="23" t="n">
        <v>153000031</v>
      </c>
      <c r="O94" s="25" t="n">
        <v>47865</v>
      </c>
      <c r="P94" s="25" t="n">
        <v>46040</v>
      </c>
      <c r="Q94" s="21" t="n">
        <v>46069.3924189815</v>
      </c>
    </row>
    <row r="95" customFormat="false" ht="35.8" hidden="false" customHeight="false" outlineLevel="0" collapsed="false">
      <c r="A95" s="14" t="s">
        <v>109</v>
      </c>
      <c r="B95" s="14" t="s">
        <v>14</v>
      </c>
      <c r="C95" s="15" t="n">
        <v>46068.6374305556</v>
      </c>
      <c r="D95" s="16" t="s">
        <v>2056</v>
      </c>
      <c r="E95" s="17" t="n">
        <v>2409717470</v>
      </c>
      <c r="F95" s="16" t="s">
        <v>2057</v>
      </c>
      <c r="G95" s="16" t="s">
        <v>2092</v>
      </c>
      <c r="H95" s="16" t="s">
        <v>13</v>
      </c>
      <c r="I95" s="17" t="n">
        <v>401072</v>
      </c>
      <c r="J95" s="16" t="s">
        <v>1314</v>
      </c>
      <c r="K95" s="17" t="n">
        <v>2501715549</v>
      </c>
      <c r="L95" s="18" t="n">
        <v>1</v>
      </c>
      <c r="M95" s="18" t="n">
        <v>1</v>
      </c>
      <c r="N95" s="17" t="n">
        <v>153000031</v>
      </c>
      <c r="O95" s="19" t="n">
        <v>47865</v>
      </c>
      <c r="P95" s="19" t="n">
        <v>46040</v>
      </c>
      <c r="Q95" s="15" t="n">
        <v>46069.3924189815</v>
      </c>
    </row>
    <row r="96" customFormat="false" ht="35.8" hidden="false" customHeight="false" outlineLevel="0" collapsed="false">
      <c r="A96" s="20" t="s">
        <v>109</v>
      </c>
      <c r="B96" s="20" t="s">
        <v>14</v>
      </c>
      <c r="C96" s="21" t="n">
        <v>46068.6374305556</v>
      </c>
      <c r="D96" s="22" t="s">
        <v>2056</v>
      </c>
      <c r="E96" s="23" t="n">
        <v>2409717470</v>
      </c>
      <c r="F96" s="22" t="s">
        <v>2057</v>
      </c>
      <c r="G96" s="22" t="s">
        <v>2092</v>
      </c>
      <c r="H96" s="22" t="s">
        <v>13</v>
      </c>
      <c r="I96" s="23" t="n">
        <v>401072</v>
      </c>
      <c r="J96" s="22" t="s">
        <v>1314</v>
      </c>
      <c r="K96" s="23" t="n">
        <v>2501715549</v>
      </c>
      <c r="L96" s="24" t="n">
        <v>4</v>
      </c>
      <c r="M96" s="24" t="n">
        <v>4</v>
      </c>
      <c r="N96" s="23" t="n">
        <v>153000031</v>
      </c>
      <c r="O96" s="25" t="n">
        <v>47865</v>
      </c>
      <c r="P96" s="25" t="n">
        <v>46040</v>
      </c>
      <c r="Q96" s="21" t="n">
        <v>46069.3924189815</v>
      </c>
    </row>
    <row r="97" customFormat="false" ht="35.8" hidden="false" customHeight="false" outlineLevel="0" collapsed="false">
      <c r="A97" s="14" t="s">
        <v>109</v>
      </c>
      <c r="B97" s="14" t="s">
        <v>14</v>
      </c>
      <c r="C97" s="15" t="n">
        <v>46068.6374305556</v>
      </c>
      <c r="D97" s="16" t="s">
        <v>2056</v>
      </c>
      <c r="E97" s="17" t="n">
        <v>2409717470</v>
      </c>
      <c r="F97" s="16" t="s">
        <v>2057</v>
      </c>
      <c r="G97" s="16" t="s">
        <v>2092</v>
      </c>
      <c r="H97" s="16" t="s">
        <v>13</v>
      </c>
      <c r="I97" s="17" t="n">
        <v>401072</v>
      </c>
      <c r="J97" s="16" t="s">
        <v>1314</v>
      </c>
      <c r="K97" s="17" t="n">
        <v>2501715549</v>
      </c>
      <c r="L97" s="18" t="n">
        <v>4</v>
      </c>
      <c r="M97" s="18" t="n">
        <v>4</v>
      </c>
      <c r="N97" s="17" t="n">
        <v>153000031</v>
      </c>
      <c r="O97" s="19" t="n">
        <v>47865</v>
      </c>
      <c r="P97" s="19" t="n">
        <v>46040</v>
      </c>
      <c r="Q97" s="15" t="n">
        <v>46069.3924189815</v>
      </c>
    </row>
    <row r="98" customFormat="false" ht="24.3" hidden="false" customHeight="false" outlineLevel="0" collapsed="false">
      <c r="A98" s="20" t="s">
        <v>109</v>
      </c>
      <c r="B98" s="20" t="s">
        <v>14</v>
      </c>
      <c r="C98" s="21" t="n">
        <v>46068.6406134259</v>
      </c>
      <c r="D98" s="22" t="s">
        <v>2056</v>
      </c>
      <c r="E98" s="26" t="s">
        <v>2094</v>
      </c>
      <c r="F98" s="22" t="s">
        <v>2057</v>
      </c>
      <c r="G98" s="22" t="s">
        <v>2065</v>
      </c>
      <c r="H98" s="22" t="s">
        <v>2095</v>
      </c>
      <c r="I98" s="23" t="n">
        <v>400411</v>
      </c>
      <c r="J98" s="22" t="s">
        <v>1217</v>
      </c>
      <c r="K98" s="23" t="n">
        <v>2501715531</v>
      </c>
      <c r="L98" s="24" t="n">
        <v>1</v>
      </c>
      <c r="M98" s="24" t="n">
        <v>1</v>
      </c>
      <c r="N98" s="23" t="n">
        <v>153000011</v>
      </c>
      <c r="O98" s="25" t="n">
        <v>47858</v>
      </c>
      <c r="P98" s="25" t="n">
        <v>46033</v>
      </c>
      <c r="Q98" s="21" t="n">
        <v>46069.3918171296</v>
      </c>
    </row>
    <row r="99" customFormat="false" ht="24.3" hidden="false" customHeight="false" outlineLevel="0" collapsed="false">
      <c r="A99" s="14" t="s">
        <v>109</v>
      </c>
      <c r="B99" s="14" t="s">
        <v>14</v>
      </c>
      <c r="C99" s="15" t="n">
        <v>46068.6406134259</v>
      </c>
      <c r="D99" s="16" t="s">
        <v>2056</v>
      </c>
      <c r="E99" s="27" t="s">
        <v>2094</v>
      </c>
      <c r="F99" s="16" t="s">
        <v>2057</v>
      </c>
      <c r="G99" s="16" t="s">
        <v>2065</v>
      </c>
      <c r="H99" s="16" t="s">
        <v>2095</v>
      </c>
      <c r="I99" s="17" t="n">
        <v>400411</v>
      </c>
      <c r="J99" s="16" t="s">
        <v>1217</v>
      </c>
      <c r="K99" s="17" t="n">
        <v>2501715531</v>
      </c>
      <c r="L99" s="18" t="n">
        <v>4</v>
      </c>
      <c r="M99" s="18" t="n">
        <v>4</v>
      </c>
      <c r="N99" s="17" t="n">
        <v>153000011</v>
      </c>
      <c r="O99" s="19" t="n">
        <v>47858</v>
      </c>
      <c r="P99" s="19" t="n">
        <v>46033</v>
      </c>
      <c r="Q99" s="15" t="n">
        <v>46069.3918171296</v>
      </c>
    </row>
    <row r="100" customFormat="false" ht="24.3" hidden="false" customHeight="false" outlineLevel="0" collapsed="false">
      <c r="A100" s="20" t="s">
        <v>109</v>
      </c>
      <c r="B100" s="20" t="s">
        <v>14</v>
      </c>
      <c r="C100" s="21" t="n">
        <v>46068.6406134259</v>
      </c>
      <c r="D100" s="22" t="s">
        <v>2056</v>
      </c>
      <c r="E100" s="26" t="s">
        <v>2094</v>
      </c>
      <c r="F100" s="22" t="s">
        <v>2057</v>
      </c>
      <c r="G100" s="22" t="s">
        <v>2065</v>
      </c>
      <c r="H100" s="22" t="s">
        <v>2095</v>
      </c>
      <c r="I100" s="23" t="n">
        <v>400411</v>
      </c>
      <c r="J100" s="22" t="s">
        <v>1217</v>
      </c>
      <c r="K100" s="23" t="n">
        <v>2501715531</v>
      </c>
      <c r="L100" s="24" t="n">
        <v>4</v>
      </c>
      <c r="M100" s="24" t="n">
        <v>4</v>
      </c>
      <c r="N100" s="23" t="n">
        <v>153000011</v>
      </c>
      <c r="O100" s="25" t="n">
        <v>47858</v>
      </c>
      <c r="P100" s="25" t="n">
        <v>46033</v>
      </c>
      <c r="Q100" s="21" t="n">
        <v>46069.3918171296</v>
      </c>
    </row>
    <row r="101" customFormat="false" ht="24.3" hidden="false" customHeight="false" outlineLevel="0" collapsed="false">
      <c r="A101" s="14" t="s">
        <v>109</v>
      </c>
      <c r="B101" s="14" t="s">
        <v>14</v>
      </c>
      <c r="C101" s="15" t="n">
        <v>46068.6406134259</v>
      </c>
      <c r="D101" s="16" t="s">
        <v>2056</v>
      </c>
      <c r="E101" s="27" t="s">
        <v>2094</v>
      </c>
      <c r="F101" s="16" t="s">
        <v>2057</v>
      </c>
      <c r="G101" s="16" t="s">
        <v>2065</v>
      </c>
      <c r="H101" s="16" t="s">
        <v>2095</v>
      </c>
      <c r="I101" s="17" t="n">
        <v>400411</v>
      </c>
      <c r="J101" s="16" t="s">
        <v>1217</v>
      </c>
      <c r="K101" s="17" t="n">
        <v>2501715531</v>
      </c>
      <c r="L101" s="18" t="n">
        <v>4</v>
      </c>
      <c r="M101" s="18" t="n">
        <v>4</v>
      </c>
      <c r="N101" s="17" t="n">
        <v>153000011</v>
      </c>
      <c r="O101" s="19" t="n">
        <v>47858</v>
      </c>
      <c r="P101" s="19" t="n">
        <v>46033</v>
      </c>
      <c r="Q101" s="15" t="n">
        <v>46069.3918171296</v>
      </c>
    </row>
    <row r="102" customFormat="false" ht="24.3" hidden="false" customHeight="false" outlineLevel="0" collapsed="false">
      <c r="A102" s="20" t="s">
        <v>13</v>
      </c>
      <c r="B102" s="20" t="s">
        <v>14</v>
      </c>
      <c r="C102" s="21" t="n">
        <v>46068.6718171296</v>
      </c>
      <c r="D102" s="22" t="s">
        <v>2056</v>
      </c>
      <c r="E102" s="23" t="n">
        <v>2409717457</v>
      </c>
      <c r="F102" s="22" t="s">
        <v>2057</v>
      </c>
      <c r="G102" s="22" t="s">
        <v>2079</v>
      </c>
      <c r="H102" s="22" t="s">
        <v>13</v>
      </c>
      <c r="I102" s="23" t="n">
        <v>400441</v>
      </c>
      <c r="J102" s="22" t="s">
        <v>80</v>
      </c>
      <c r="K102" s="23" t="n">
        <v>2501715529</v>
      </c>
      <c r="L102" s="24" t="n">
        <v>4</v>
      </c>
      <c r="M102" s="24" t="n">
        <v>4</v>
      </c>
      <c r="N102" s="23" t="n">
        <v>100011111</v>
      </c>
      <c r="O102" s="25" t="n">
        <v>47834</v>
      </c>
      <c r="P102" s="25" t="n">
        <v>46009</v>
      </c>
      <c r="Q102" s="21" t="n">
        <v>46069.4345717593</v>
      </c>
    </row>
    <row r="103" customFormat="false" ht="24.3" hidden="false" customHeight="false" outlineLevel="0" collapsed="false">
      <c r="A103" s="14" t="s">
        <v>13</v>
      </c>
      <c r="B103" s="14" t="s">
        <v>14</v>
      </c>
      <c r="C103" s="15" t="n">
        <v>46068.6718171296</v>
      </c>
      <c r="D103" s="16" t="s">
        <v>2056</v>
      </c>
      <c r="E103" s="17" t="n">
        <v>2409717457</v>
      </c>
      <c r="F103" s="16" t="s">
        <v>2057</v>
      </c>
      <c r="G103" s="16" t="s">
        <v>2079</v>
      </c>
      <c r="H103" s="16" t="s">
        <v>13</v>
      </c>
      <c r="I103" s="17" t="n">
        <v>400441</v>
      </c>
      <c r="J103" s="16" t="s">
        <v>80</v>
      </c>
      <c r="K103" s="17" t="n">
        <v>2501715529</v>
      </c>
      <c r="L103" s="18" t="n">
        <v>1</v>
      </c>
      <c r="M103" s="18" t="n">
        <v>1</v>
      </c>
      <c r="N103" s="17" t="n">
        <v>100011111</v>
      </c>
      <c r="O103" s="19" t="n">
        <v>47834</v>
      </c>
      <c r="P103" s="19" t="n">
        <v>46009</v>
      </c>
      <c r="Q103" s="15" t="n">
        <v>46069.4345717593</v>
      </c>
    </row>
    <row r="104" customFormat="false" ht="24.3" hidden="false" customHeight="false" outlineLevel="0" collapsed="false">
      <c r="A104" s="20" t="s">
        <v>13</v>
      </c>
      <c r="B104" s="20" t="s">
        <v>14</v>
      </c>
      <c r="C104" s="21" t="n">
        <v>46068.6718171296</v>
      </c>
      <c r="D104" s="22" t="s">
        <v>2056</v>
      </c>
      <c r="E104" s="23" t="n">
        <v>2409717457</v>
      </c>
      <c r="F104" s="22" t="s">
        <v>2057</v>
      </c>
      <c r="G104" s="22" t="s">
        <v>2079</v>
      </c>
      <c r="H104" s="22" t="s">
        <v>13</v>
      </c>
      <c r="I104" s="23" t="n">
        <v>400441</v>
      </c>
      <c r="J104" s="22" t="s">
        <v>80</v>
      </c>
      <c r="K104" s="23" t="n">
        <v>2501715529</v>
      </c>
      <c r="L104" s="24" t="n">
        <v>4</v>
      </c>
      <c r="M104" s="24" t="n">
        <v>4</v>
      </c>
      <c r="N104" s="23" t="n">
        <v>100011111</v>
      </c>
      <c r="O104" s="25" t="n">
        <v>47834</v>
      </c>
      <c r="P104" s="25" t="n">
        <v>46009</v>
      </c>
      <c r="Q104" s="21" t="n">
        <v>46069.4345717593</v>
      </c>
    </row>
    <row r="105" customFormat="false" ht="24.3" hidden="false" customHeight="false" outlineLevel="0" collapsed="false">
      <c r="A105" s="14" t="s">
        <v>13</v>
      </c>
      <c r="B105" s="14" t="s">
        <v>14</v>
      </c>
      <c r="C105" s="15" t="n">
        <v>46068.6718171296</v>
      </c>
      <c r="D105" s="16" t="s">
        <v>2056</v>
      </c>
      <c r="E105" s="17" t="n">
        <v>2409717457</v>
      </c>
      <c r="F105" s="16" t="s">
        <v>2057</v>
      </c>
      <c r="G105" s="16" t="s">
        <v>2079</v>
      </c>
      <c r="H105" s="16" t="s">
        <v>13</v>
      </c>
      <c r="I105" s="17" t="n">
        <v>400441</v>
      </c>
      <c r="J105" s="16" t="s">
        <v>80</v>
      </c>
      <c r="K105" s="17" t="n">
        <v>2501715529</v>
      </c>
      <c r="L105" s="18" t="n">
        <v>4</v>
      </c>
      <c r="M105" s="18" t="n">
        <v>4</v>
      </c>
      <c r="N105" s="17" t="n">
        <v>100011111</v>
      </c>
      <c r="O105" s="19" t="n">
        <v>47834</v>
      </c>
      <c r="P105" s="19" t="n">
        <v>46009</v>
      </c>
      <c r="Q105" s="15" t="n">
        <v>46069.4345717593</v>
      </c>
    </row>
    <row r="106" customFormat="false" ht="24.3" hidden="false" customHeight="false" outlineLevel="0" collapsed="false">
      <c r="A106" s="20" t="s">
        <v>1400</v>
      </c>
      <c r="B106" s="20" t="s">
        <v>14</v>
      </c>
      <c r="C106" s="21" t="n">
        <v>46070.3818634259</v>
      </c>
      <c r="D106" s="22" t="s">
        <v>2056</v>
      </c>
      <c r="E106" s="23" t="n">
        <v>2409717315</v>
      </c>
      <c r="F106" s="22" t="s">
        <v>2057</v>
      </c>
      <c r="G106" s="22" t="s">
        <v>2096</v>
      </c>
      <c r="H106" s="22" t="s">
        <v>1400</v>
      </c>
      <c r="I106" s="23" t="n">
        <v>400426</v>
      </c>
      <c r="J106" s="22" t="s">
        <v>831</v>
      </c>
      <c r="K106" s="23" t="n">
        <v>2501715564</v>
      </c>
      <c r="L106" s="24" t="n">
        <v>24</v>
      </c>
      <c r="M106" s="24" t="n">
        <v>24</v>
      </c>
      <c r="N106" s="23" t="n">
        <v>100011006</v>
      </c>
      <c r="O106" s="25" t="n">
        <v>47823</v>
      </c>
      <c r="P106" s="25" t="n">
        <v>45998</v>
      </c>
      <c r="Q106" s="21" t="n">
        <v>46070.6461458333</v>
      </c>
    </row>
    <row r="107" customFormat="false" ht="24.3" hidden="false" customHeight="false" outlineLevel="0" collapsed="false">
      <c r="A107" s="14" t="s">
        <v>1400</v>
      </c>
      <c r="B107" s="14" t="s">
        <v>14</v>
      </c>
      <c r="C107" s="15" t="n">
        <v>46070.3818634259</v>
      </c>
      <c r="D107" s="16" t="s">
        <v>2056</v>
      </c>
      <c r="E107" s="17" t="n">
        <v>2409717315</v>
      </c>
      <c r="F107" s="16" t="s">
        <v>2057</v>
      </c>
      <c r="G107" s="16" t="s">
        <v>2096</v>
      </c>
      <c r="H107" s="16" t="s">
        <v>1400</v>
      </c>
      <c r="I107" s="17" t="n">
        <v>400426</v>
      </c>
      <c r="J107" s="16" t="s">
        <v>831</v>
      </c>
      <c r="K107" s="17" t="n">
        <v>2501715564</v>
      </c>
      <c r="L107" s="18" t="n">
        <v>3</v>
      </c>
      <c r="M107" s="18" t="n">
        <v>3</v>
      </c>
      <c r="N107" s="17" t="n">
        <v>100011150</v>
      </c>
      <c r="O107" s="19" t="n">
        <v>47838</v>
      </c>
      <c r="P107" s="19" t="n">
        <v>46013</v>
      </c>
      <c r="Q107" s="15" t="n">
        <v>46070.6461458333</v>
      </c>
    </row>
    <row r="108" customFormat="false" ht="24.3" hidden="false" customHeight="false" outlineLevel="0" collapsed="false">
      <c r="A108" s="20" t="s">
        <v>1400</v>
      </c>
      <c r="B108" s="20" t="s">
        <v>14</v>
      </c>
      <c r="C108" s="21" t="n">
        <v>46070.3818634259</v>
      </c>
      <c r="D108" s="22" t="s">
        <v>2056</v>
      </c>
      <c r="E108" s="23" t="n">
        <v>2409717315</v>
      </c>
      <c r="F108" s="22" t="s">
        <v>2057</v>
      </c>
      <c r="G108" s="22" t="s">
        <v>2096</v>
      </c>
      <c r="H108" s="22" t="s">
        <v>1400</v>
      </c>
      <c r="I108" s="23" t="n">
        <v>400426</v>
      </c>
      <c r="J108" s="22" t="s">
        <v>831</v>
      </c>
      <c r="K108" s="23" t="n">
        <v>2501715564</v>
      </c>
      <c r="L108" s="24" t="n">
        <v>24</v>
      </c>
      <c r="M108" s="24" t="n">
        <v>24</v>
      </c>
      <c r="N108" s="23" t="n">
        <v>100011150</v>
      </c>
      <c r="O108" s="25" t="n">
        <v>47838</v>
      </c>
      <c r="P108" s="25" t="n">
        <v>46013</v>
      </c>
      <c r="Q108" s="21" t="n">
        <v>46070.6461458333</v>
      </c>
    </row>
    <row r="109" customFormat="false" ht="24.3" hidden="false" customHeight="false" outlineLevel="0" collapsed="false">
      <c r="A109" s="14" t="s">
        <v>1400</v>
      </c>
      <c r="B109" s="14" t="s">
        <v>14</v>
      </c>
      <c r="C109" s="15" t="n">
        <v>46070.3818634259</v>
      </c>
      <c r="D109" s="16" t="s">
        <v>2056</v>
      </c>
      <c r="E109" s="17" t="n">
        <v>2409717315</v>
      </c>
      <c r="F109" s="16" t="s">
        <v>2057</v>
      </c>
      <c r="G109" s="16" t="s">
        <v>2096</v>
      </c>
      <c r="H109" s="16" t="s">
        <v>1400</v>
      </c>
      <c r="I109" s="17" t="n">
        <v>400426</v>
      </c>
      <c r="J109" s="16" t="s">
        <v>831</v>
      </c>
      <c r="K109" s="17" t="n">
        <v>2501715564</v>
      </c>
      <c r="L109" s="18" t="n">
        <v>24</v>
      </c>
      <c r="M109" s="18" t="n">
        <v>24</v>
      </c>
      <c r="N109" s="17" t="n">
        <v>100011150</v>
      </c>
      <c r="O109" s="19" t="n">
        <v>47838</v>
      </c>
      <c r="P109" s="19" t="n">
        <v>46013</v>
      </c>
      <c r="Q109" s="15" t="n">
        <v>46070.6461458333</v>
      </c>
    </row>
    <row r="110" customFormat="false" ht="24.3" hidden="false" customHeight="false" outlineLevel="0" collapsed="false">
      <c r="A110" s="20" t="s">
        <v>1400</v>
      </c>
      <c r="B110" s="20" t="s">
        <v>14</v>
      </c>
      <c r="C110" s="21" t="n">
        <v>46070.3818634259</v>
      </c>
      <c r="D110" s="22" t="s">
        <v>2056</v>
      </c>
      <c r="E110" s="23" t="n">
        <v>2409717315</v>
      </c>
      <c r="F110" s="22" t="s">
        <v>2057</v>
      </c>
      <c r="G110" s="22" t="s">
        <v>2096</v>
      </c>
      <c r="H110" s="22" t="s">
        <v>1400</v>
      </c>
      <c r="I110" s="23" t="n">
        <v>400426</v>
      </c>
      <c r="J110" s="22" t="s">
        <v>831</v>
      </c>
      <c r="K110" s="23" t="n">
        <v>2501715564</v>
      </c>
      <c r="L110" s="24" t="n">
        <v>24</v>
      </c>
      <c r="M110" s="24" t="n">
        <v>24</v>
      </c>
      <c r="N110" s="23" t="n">
        <v>100011150</v>
      </c>
      <c r="O110" s="25" t="n">
        <v>47838</v>
      </c>
      <c r="P110" s="25" t="n">
        <v>46013</v>
      </c>
      <c r="Q110" s="21" t="n">
        <v>46070.6461458333</v>
      </c>
    </row>
    <row r="111" customFormat="false" ht="24.3" hidden="false" customHeight="false" outlineLevel="0" collapsed="false">
      <c r="A111" s="14" t="s">
        <v>1400</v>
      </c>
      <c r="B111" s="14" t="s">
        <v>14</v>
      </c>
      <c r="C111" s="15" t="n">
        <v>46070.3818634259</v>
      </c>
      <c r="D111" s="16" t="s">
        <v>2056</v>
      </c>
      <c r="E111" s="17" t="n">
        <v>2409717315</v>
      </c>
      <c r="F111" s="16" t="s">
        <v>2057</v>
      </c>
      <c r="G111" s="16" t="s">
        <v>2096</v>
      </c>
      <c r="H111" s="16" t="s">
        <v>1400</v>
      </c>
      <c r="I111" s="17" t="n">
        <v>400426</v>
      </c>
      <c r="J111" s="16" t="s">
        <v>831</v>
      </c>
      <c r="K111" s="17" t="n">
        <v>2501715564</v>
      </c>
      <c r="L111" s="18" t="n">
        <v>24</v>
      </c>
      <c r="M111" s="18" t="n">
        <v>24</v>
      </c>
      <c r="N111" s="17" t="n">
        <v>100010992</v>
      </c>
      <c r="O111" s="19" t="n">
        <v>47824</v>
      </c>
      <c r="P111" s="19" t="n">
        <v>45999</v>
      </c>
      <c r="Q111" s="15" t="n">
        <v>46070.6461458333</v>
      </c>
    </row>
    <row r="112" customFormat="false" ht="24.3" hidden="false" customHeight="false" outlineLevel="0" collapsed="false">
      <c r="A112" s="20" t="s">
        <v>1400</v>
      </c>
      <c r="B112" s="20" t="s">
        <v>14</v>
      </c>
      <c r="C112" s="21" t="n">
        <v>46070.3818634259</v>
      </c>
      <c r="D112" s="22" t="s">
        <v>2056</v>
      </c>
      <c r="E112" s="23" t="n">
        <v>2409717315</v>
      </c>
      <c r="F112" s="22" t="s">
        <v>2057</v>
      </c>
      <c r="G112" s="22" t="s">
        <v>2096</v>
      </c>
      <c r="H112" s="22" t="s">
        <v>1400</v>
      </c>
      <c r="I112" s="23" t="n">
        <v>400426</v>
      </c>
      <c r="J112" s="22" t="s">
        <v>831</v>
      </c>
      <c r="K112" s="23" t="n">
        <v>2501715564</v>
      </c>
      <c r="L112" s="24" t="n">
        <v>24</v>
      </c>
      <c r="M112" s="24" t="n">
        <v>24</v>
      </c>
      <c r="N112" s="23" t="n">
        <v>100010992</v>
      </c>
      <c r="O112" s="25" t="n">
        <v>47824</v>
      </c>
      <c r="P112" s="25" t="n">
        <v>45999</v>
      </c>
      <c r="Q112" s="21" t="n">
        <v>46070.6461458333</v>
      </c>
    </row>
    <row r="113" customFormat="false" ht="24.3" hidden="false" customHeight="false" outlineLevel="0" collapsed="false">
      <c r="A113" s="14" t="s">
        <v>1400</v>
      </c>
      <c r="B113" s="14" t="s">
        <v>14</v>
      </c>
      <c r="C113" s="15" t="n">
        <v>46070.3818634259</v>
      </c>
      <c r="D113" s="16" t="s">
        <v>2056</v>
      </c>
      <c r="E113" s="17" t="n">
        <v>2409717315</v>
      </c>
      <c r="F113" s="16" t="s">
        <v>2057</v>
      </c>
      <c r="G113" s="16" t="s">
        <v>2096</v>
      </c>
      <c r="H113" s="16" t="s">
        <v>1400</v>
      </c>
      <c r="I113" s="17" t="n">
        <v>400426</v>
      </c>
      <c r="J113" s="16" t="s">
        <v>831</v>
      </c>
      <c r="K113" s="17" t="n">
        <v>2501715564</v>
      </c>
      <c r="L113" s="18" t="n">
        <v>24</v>
      </c>
      <c r="M113" s="18" t="n">
        <v>24</v>
      </c>
      <c r="N113" s="17" t="n">
        <v>100011006</v>
      </c>
      <c r="O113" s="19" t="n">
        <v>47823</v>
      </c>
      <c r="P113" s="19" t="n">
        <v>45998</v>
      </c>
      <c r="Q113" s="15" t="n">
        <v>46070.6461458333</v>
      </c>
    </row>
    <row r="114" customFormat="false" ht="24.3" hidden="false" customHeight="false" outlineLevel="0" collapsed="false">
      <c r="A114" s="20" t="s">
        <v>1400</v>
      </c>
      <c r="B114" s="20" t="s">
        <v>14</v>
      </c>
      <c r="C114" s="21" t="n">
        <v>46070.3818634259</v>
      </c>
      <c r="D114" s="22" t="s">
        <v>2056</v>
      </c>
      <c r="E114" s="23" t="n">
        <v>2409717315</v>
      </c>
      <c r="F114" s="22" t="s">
        <v>2057</v>
      </c>
      <c r="G114" s="22" t="s">
        <v>2096</v>
      </c>
      <c r="H114" s="22" t="s">
        <v>1400</v>
      </c>
      <c r="I114" s="23" t="n">
        <v>400426</v>
      </c>
      <c r="J114" s="22" t="s">
        <v>831</v>
      </c>
      <c r="K114" s="23" t="n">
        <v>2501715564</v>
      </c>
      <c r="L114" s="24" t="n">
        <v>24</v>
      </c>
      <c r="M114" s="24" t="n">
        <v>24</v>
      </c>
      <c r="N114" s="23" t="n">
        <v>100011006</v>
      </c>
      <c r="O114" s="25" t="n">
        <v>47823</v>
      </c>
      <c r="P114" s="25" t="n">
        <v>45998</v>
      </c>
      <c r="Q114" s="21" t="n">
        <v>46070.6461458333</v>
      </c>
    </row>
    <row r="115" customFormat="false" ht="24.3" hidden="false" customHeight="false" outlineLevel="0" collapsed="false">
      <c r="A115" s="14" t="s">
        <v>1400</v>
      </c>
      <c r="B115" s="14" t="s">
        <v>14</v>
      </c>
      <c r="C115" s="15" t="n">
        <v>46070.3818634259</v>
      </c>
      <c r="D115" s="16" t="s">
        <v>2056</v>
      </c>
      <c r="E115" s="17" t="n">
        <v>2409717315</v>
      </c>
      <c r="F115" s="16" t="s">
        <v>2057</v>
      </c>
      <c r="G115" s="16" t="s">
        <v>2096</v>
      </c>
      <c r="H115" s="16" t="s">
        <v>1400</v>
      </c>
      <c r="I115" s="17" t="n">
        <v>400426</v>
      </c>
      <c r="J115" s="16" t="s">
        <v>831</v>
      </c>
      <c r="K115" s="17" t="n">
        <v>2501715564</v>
      </c>
      <c r="L115" s="18" t="n">
        <v>24</v>
      </c>
      <c r="M115" s="18" t="n">
        <v>24</v>
      </c>
      <c r="N115" s="17" t="n">
        <v>100011006</v>
      </c>
      <c r="O115" s="19" t="n">
        <v>47823</v>
      </c>
      <c r="P115" s="19" t="n">
        <v>45998</v>
      </c>
      <c r="Q115" s="15" t="n">
        <v>46070.6461458333</v>
      </c>
    </row>
    <row r="116" customFormat="false" ht="24.3" hidden="false" customHeight="false" outlineLevel="0" collapsed="false">
      <c r="A116" s="20" t="s">
        <v>1400</v>
      </c>
      <c r="B116" s="20" t="s">
        <v>14</v>
      </c>
      <c r="C116" s="21" t="n">
        <v>46070.3818634259</v>
      </c>
      <c r="D116" s="22" t="s">
        <v>2056</v>
      </c>
      <c r="E116" s="23" t="n">
        <v>2409717315</v>
      </c>
      <c r="F116" s="22" t="s">
        <v>2057</v>
      </c>
      <c r="G116" s="22" t="s">
        <v>2096</v>
      </c>
      <c r="H116" s="22" t="s">
        <v>1400</v>
      </c>
      <c r="I116" s="23" t="n">
        <v>400426</v>
      </c>
      <c r="J116" s="22" t="s">
        <v>831</v>
      </c>
      <c r="K116" s="23" t="n">
        <v>2501715564</v>
      </c>
      <c r="L116" s="24" t="n">
        <v>24</v>
      </c>
      <c r="M116" s="24" t="n">
        <v>24</v>
      </c>
      <c r="N116" s="23" t="n">
        <v>100011006</v>
      </c>
      <c r="O116" s="25" t="n">
        <v>47823</v>
      </c>
      <c r="P116" s="25" t="n">
        <v>45998</v>
      </c>
      <c r="Q116" s="21" t="n">
        <v>46070.6461458333</v>
      </c>
    </row>
    <row r="117" customFormat="false" ht="24.3" hidden="false" customHeight="false" outlineLevel="0" collapsed="false">
      <c r="A117" s="14" t="s">
        <v>1400</v>
      </c>
      <c r="B117" s="14" t="s">
        <v>14</v>
      </c>
      <c r="C117" s="15" t="n">
        <v>46070.3818634259</v>
      </c>
      <c r="D117" s="16" t="s">
        <v>2056</v>
      </c>
      <c r="E117" s="17" t="n">
        <v>2409717315</v>
      </c>
      <c r="F117" s="16" t="s">
        <v>2057</v>
      </c>
      <c r="G117" s="16" t="s">
        <v>2096</v>
      </c>
      <c r="H117" s="16" t="s">
        <v>1400</v>
      </c>
      <c r="I117" s="17" t="n">
        <v>400426</v>
      </c>
      <c r="J117" s="16" t="s">
        <v>831</v>
      </c>
      <c r="K117" s="17" t="n">
        <v>2501715564</v>
      </c>
      <c r="L117" s="18" t="n">
        <v>24</v>
      </c>
      <c r="M117" s="18" t="n">
        <v>24</v>
      </c>
      <c r="N117" s="17" t="n">
        <v>100011006</v>
      </c>
      <c r="O117" s="19" t="n">
        <v>47823</v>
      </c>
      <c r="P117" s="19" t="n">
        <v>45998</v>
      </c>
      <c r="Q117" s="15" t="n">
        <v>46070.6461458333</v>
      </c>
    </row>
    <row r="118" customFormat="false" ht="24.3" hidden="false" customHeight="false" outlineLevel="0" collapsed="false">
      <c r="A118" s="20" t="s">
        <v>1400</v>
      </c>
      <c r="B118" s="20" t="s">
        <v>14</v>
      </c>
      <c r="C118" s="21" t="n">
        <v>46070.3818634259</v>
      </c>
      <c r="D118" s="22" t="s">
        <v>2056</v>
      </c>
      <c r="E118" s="23" t="n">
        <v>2409717315</v>
      </c>
      <c r="F118" s="22" t="s">
        <v>2057</v>
      </c>
      <c r="G118" s="22" t="s">
        <v>2096</v>
      </c>
      <c r="H118" s="22" t="s">
        <v>1400</v>
      </c>
      <c r="I118" s="23" t="n">
        <v>400426</v>
      </c>
      <c r="J118" s="22" t="s">
        <v>831</v>
      </c>
      <c r="K118" s="23" t="n">
        <v>2501715564</v>
      </c>
      <c r="L118" s="24" t="n">
        <v>24</v>
      </c>
      <c r="M118" s="24" t="n">
        <v>24</v>
      </c>
      <c r="N118" s="23" t="n">
        <v>100011006</v>
      </c>
      <c r="O118" s="25" t="n">
        <v>47823</v>
      </c>
      <c r="P118" s="25" t="n">
        <v>45998</v>
      </c>
      <c r="Q118" s="21" t="n">
        <v>46070.6461458333</v>
      </c>
    </row>
    <row r="119" customFormat="false" ht="24.3" hidden="false" customHeight="false" outlineLevel="0" collapsed="false">
      <c r="A119" s="14" t="s">
        <v>1400</v>
      </c>
      <c r="B119" s="14" t="s">
        <v>14</v>
      </c>
      <c r="C119" s="15" t="n">
        <v>46070.3818634259</v>
      </c>
      <c r="D119" s="16" t="s">
        <v>2056</v>
      </c>
      <c r="E119" s="17" t="n">
        <v>2409717315</v>
      </c>
      <c r="F119" s="16" t="s">
        <v>2057</v>
      </c>
      <c r="G119" s="16" t="s">
        <v>2096</v>
      </c>
      <c r="H119" s="16" t="s">
        <v>1400</v>
      </c>
      <c r="I119" s="17" t="n">
        <v>400426</v>
      </c>
      <c r="J119" s="16" t="s">
        <v>831</v>
      </c>
      <c r="K119" s="17" t="n">
        <v>2501715564</v>
      </c>
      <c r="L119" s="18" t="n">
        <v>24</v>
      </c>
      <c r="M119" s="18" t="n">
        <v>24</v>
      </c>
      <c r="N119" s="17" t="n">
        <v>100011005</v>
      </c>
      <c r="O119" s="19" t="n">
        <v>47823</v>
      </c>
      <c r="P119" s="19" t="n">
        <v>45998</v>
      </c>
      <c r="Q119" s="15" t="n">
        <v>46070.6461458333</v>
      </c>
    </row>
    <row r="120" customFormat="false" ht="24.3" hidden="false" customHeight="false" outlineLevel="0" collapsed="false">
      <c r="A120" s="20" t="s">
        <v>1400</v>
      </c>
      <c r="B120" s="20" t="s">
        <v>14</v>
      </c>
      <c r="C120" s="21" t="n">
        <v>46070.3818634259</v>
      </c>
      <c r="D120" s="22" t="s">
        <v>2056</v>
      </c>
      <c r="E120" s="23" t="n">
        <v>2409717315</v>
      </c>
      <c r="F120" s="22" t="s">
        <v>2057</v>
      </c>
      <c r="G120" s="22" t="s">
        <v>2096</v>
      </c>
      <c r="H120" s="22" t="s">
        <v>1400</v>
      </c>
      <c r="I120" s="23" t="n">
        <v>400426</v>
      </c>
      <c r="J120" s="22" t="s">
        <v>831</v>
      </c>
      <c r="K120" s="23" t="n">
        <v>2501715564</v>
      </c>
      <c r="L120" s="24" t="n">
        <v>24</v>
      </c>
      <c r="M120" s="24" t="n">
        <v>24</v>
      </c>
      <c r="N120" s="23" t="n">
        <v>100011005</v>
      </c>
      <c r="O120" s="25" t="n">
        <v>47823</v>
      </c>
      <c r="P120" s="25" t="n">
        <v>45998</v>
      </c>
      <c r="Q120" s="21" t="n">
        <v>46070.6461458333</v>
      </c>
    </row>
    <row r="121" customFormat="false" ht="24.3" hidden="false" customHeight="false" outlineLevel="0" collapsed="false">
      <c r="A121" s="14" t="s">
        <v>1400</v>
      </c>
      <c r="B121" s="14" t="s">
        <v>14</v>
      </c>
      <c r="C121" s="15" t="n">
        <v>46070.3818634259</v>
      </c>
      <c r="D121" s="16" t="s">
        <v>2056</v>
      </c>
      <c r="E121" s="17" t="n">
        <v>2409717315</v>
      </c>
      <c r="F121" s="16" t="s">
        <v>2057</v>
      </c>
      <c r="G121" s="16" t="s">
        <v>2096</v>
      </c>
      <c r="H121" s="16" t="s">
        <v>1400</v>
      </c>
      <c r="I121" s="17" t="n">
        <v>400426</v>
      </c>
      <c r="J121" s="16" t="s">
        <v>831</v>
      </c>
      <c r="K121" s="17" t="n">
        <v>2501715564</v>
      </c>
      <c r="L121" s="18" t="n">
        <v>24</v>
      </c>
      <c r="M121" s="18" t="n">
        <v>24</v>
      </c>
      <c r="N121" s="17" t="n">
        <v>100011005</v>
      </c>
      <c r="O121" s="19" t="n">
        <v>47823</v>
      </c>
      <c r="P121" s="19" t="n">
        <v>45998</v>
      </c>
      <c r="Q121" s="15" t="n">
        <v>46070.6461458333</v>
      </c>
    </row>
    <row r="122" customFormat="false" ht="35.8" hidden="false" customHeight="false" outlineLevel="0" collapsed="false">
      <c r="A122" s="20" t="s">
        <v>1400</v>
      </c>
      <c r="B122" s="20" t="s">
        <v>14</v>
      </c>
      <c r="C122" s="21" t="n">
        <v>46070.3818634259</v>
      </c>
      <c r="D122" s="22" t="s">
        <v>2056</v>
      </c>
      <c r="E122" s="23" t="n">
        <v>2409717470</v>
      </c>
      <c r="F122" s="22" t="s">
        <v>2057</v>
      </c>
      <c r="G122" s="22" t="s">
        <v>2092</v>
      </c>
      <c r="H122" s="22" t="s">
        <v>13</v>
      </c>
      <c r="I122" s="23" t="n">
        <v>401072</v>
      </c>
      <c r="J122" s="22" t="s">
        <v>1314</v>
      </c>
      <c r="K122" s="23" t="n">
        <v>2501715550</v>
      </c>
      <c r="L122" s="24" t="n">
        <v>4</v>
      </c>
      <c r="M122" s="24" t="n">
        <v>4</v>
      </c>
      <c r="N122" s="23" t="n">
        <v>100010434</v>
      </c>
      <c r="O122" s="25" t="n">
        <v>47773</v>
      </c>
      <c r="P122" s="25" t="n">
        <v>45948</v>
      </c>
      <c r="Q122" s="21" t="n">
        <v>46070.644837963</v>
      </c>
    </row>
    <row r="123" customFormat="false" ht="35.8" hidden="false" customHeight="false" outlineLevel="0" collapsed="false">
      <c r="A123" s="14" t="s">
        <v>1400</v>
      </c>
      <c r="B123" s="14" t="s">
        <v>14</v>
      </c>
      <c r="C123" s="15" t="n">
        <v>46070.3818634259</v>
      </c>
      <c r="D123" s="16" t="s">
        <v>2056</v>
      </c>
      <c r="E123" s="17" t="n">
        <v>2409717470</v>
      </c>
      <c r="F123" s="16" t="s">
        <v>2057</v>
      </c>
      <c r="G123" s="16" t="s">
        <v>2092</v>
      </c>
      <c r="H123" s="16" t="s">
        <v>13</v>
      </c>
      <c r="I123" s="17" t="n">
        <v>401072</v>
      </c>
      <c r="J123" s="16" t="s">
        <v>1314</v>
      </c>
      <c r="K123" s="17" t="n">
        <v>2501715550</v>
      </c>
      <c r="L123" s="18" t="n">
        <v>3</v>
      </c>
      <c r="M123" s="18" t="n">
        <v>3</v>
      </c>
      <c r="N123" s="17" t="n">
        <v>153000031</v>
      </c>
      <c r="O123" s="19" t="n">
        <v>47865</v>
      </c>
      <c r="P123" s="19" t="n">
        <v>46040</v>
      </c>
      <c r="Q123" s="15" t="n">
        <v>46070.644837963</v>
      </c>
    </row>
    <row r="124" customFormat="false" ht="35.8" hidden="false" customHeight="false" outlineLevel="0" collapsed="false">
      <c r="A124" s="20" t="s">
        <v>1400</v>
      </c>
      <c r="B124" s="20" t="s">
        <v>14</v>
      </c>
      <c r="C124" s="21" t="n">
        <v>46070.3818634259</v>
      </c>
      <c r="D124" s="22" t="s">
        <v>2056</v>
      </c>
      <c r="E124" s="23" t="n">
        <v>2409717477</v>
      </c>
      <c r="F124" s="22" t="s">
        <v>2057</v>
      </c>
      <c r="G124" s="22" t="s">
        <v>2097</v>
      </c>
      <c r="H124" s="22" t="s">
        <v>13</v>
      </c>
      <c r="I124" s="23" t="n">
        <v>400389</v>
      </c>
      <c r="J124" s="22" t="s">
        <v>1538</v>
      </c>
      <c r="K124" s="23" t="n">
        <v>2501715547</v>
      </c>
      <c r="L124" s="24" t="n">
        <v>4</v>
      </c>
      <c r="M124" s="24" t="n">
        <v>4</v>
      </c>
      <c r="N124" s="23" t="n">
        <v>153000036</v>
      </c>
      <c r="O124" s="25" t="n">
        <v>47866</v>
      </c>
      <c r="P124" s="25" t="n">
        <v>46041</v>
      </c>
      <c r="Q124" s="21" t="n">
        <v>46070.6545023148</v>
      </c>
    </row>
    <row r="125" customFormat="false" ht="35.8" hidden="false" customHeight="false" outlineLevel="0" collapsed="false">
      <c r="A125" s="14" t="s">
        <v>1400</v>
      </c>
      <c r="B125" s="14" t="s">
        <v>14</v>
      </c>
      <c r="C125" s="15" t="n">
        <v>46070.381875</v>
      </c>
      <c r="D125" s="16" t="s">
        <v>2056</v>
      </c>
      <c r="E125" s="17" t="n">
        <v>2409717479</v>
      </c>
      <c r="F125" s="16" t="s">
        <v>2057</v>
      </c>
      <c r="G125" s="16" t="s">
        <v>2098</v>
      </c>
      <c r="H125" s="16" t="s">
        <v>1400</v>
      </c>
      <c r="I125" s="17" t="n">
        <v>400426</v>
      </c>
      <c r="J125" s="16" t="s">
        <v>831</v>
      </c>
      <c r="K125" s="17" t="n">
        <v>2501715545</v>
      </c>
      <c r="L125" s="18" t="n">
        <v>21</v>
      </c>
      <c r="M125" s="18" t="n">
        <v>21</v>
      </c>
      <c r="N125" s="17" t="n">
        <v>100011150</v>
      </c>
      <c r="O125" s="19" t="n">
        <v>47838</v>
      </c>
      <c r="P125" s="19" t="n">
        <v>46013</v>
      </c>
      <c r="Q125" s="15" t="n">
        <v>46070.6478356481</v>
      </c>
    </row>
    <row r="126" customFormat="false" ht="35.8" hidden="false" customHeight="false" outlineLevel="0" collapsed="false">
      <c r="A126" s="20" t="s">
        <v>1400</v>
      </c>
      <c r="B126" s="20" t="s">
        <v>14</v>
      </c>
      <c r="C126" s="21" t="n">
        <v>46070.381875</v>
      </c>
      <c r="D126" s="22" t="s">
        <v>2056</v>
      </c>
      <c r="E126" s="23" t="n">
        <v>2409717479</v>
      </c>
      <c r="F126" s="22" t="s">
        <v>2057</v>
      </c>
      <c r="G126" s="22" t="s">
        <v>2098</v>
      </c>
      <c r="H126" s="22" t="s">
        <v>1400</v>
      </c>
      <c r="I126" s="23" t="n">
        <v>400426</v>
      </c>
      <c r="J126" s="22" t="s">
        <v>831</v>
      </c>
      <c r="K126" s="23" t="n">
        <v>2501715545</v>
      </c>
      <c r="L126" s="24" t="n">
        <v>13</v>
      </c>
      <c r="M126" s="24" t="n">
        <v>13</v>
      </c>
      <c r="N126" s="23" t="n">
        <v>100011150</v>
      </c>
      <c r="O126" s="25" t="n">
        <v>47838</v>
      </c>
      <c r="P126" s="25" t="n">
        <v>46013</v>
      </c>
      <c r="Q126" s="21" t="n">
        <v>46070.6478356481</v>
      </c>
    </row>
    <row r="127" customFormat="false" ht="35.8" hidden="false" customHeight="false" outlineLevel="0" collapsed="false">
      <c r="A127" s="14" t="s">
        <v>1400</v>
      </c>
      <c r="B127" s="14" t="s">
        <v>14</v>
      </c>
      <c r="C127" s="15" t="n">
        <v>46070.381875</v>
      </c>
      <c r="D127" s="16" t="s">
        <v>2056</v>
      </c>
      <c r="E127" s="17" t="n">
        <v>2409717479</v>
      </c>
      <c r="F127" s="16" t="s">
        <v>2057</v>
      </c>
      <c r="G127" s="16" t="s">
        <v>2098</v>
      </c>
      <c r="H127" s="16" t="s">
        <v>1400</v>
      </c>
      <c r="I127" s="17" t="n">
        <v>400426</v>
      </c>
      <c r="J127" s="16" t="s">
        <v>831</v>
      </c>
      <c r="K127" s="17" t="n">
        <v>2501715545</v>
      </c>
      <c r="L127" s="18" t="n">
        <v>11</v>
      </c>
      <c r="M127" s="18" t="n">
        <v>11</v>
      </c>
      <c r="N127" s="17" t="n">
        <v>100011150</v>
      </c>
      <c r="O127" s="19" t="n">
        <v>47838</v>
      </c>
      <c r="P127" s="19" t="n">
        <v>46013</v>
      </c>
      <c r="Q127" s="15" t="n">
        <v>46070.6478356481</v>
      </c>
    </row>
    <row r="128" customFormat="false" ht="35.8" hidden="false" customHeight="false" outlineLevel="0" collapsed="false">
      <c r="A128" s="20" t="s">
        <v>1400</v>
      </c>
      <c r="B128" s="20" t="s">
        <v>14</v>
      </c>
      <c r="C128" s="21" t="n">
        <v>46070.381875</v>
      </c>
      <c r="D128" s="22" t="s">
        <v>2056</v>
      </c>
      <c r="E128" s="23" t="n">
        <v>2409717479</v>
      </c>
      <c r="F128" s="22" t="s">
        <v>2057</v>
      </c>
      <c r="G128" s="22" t="s">
        <v>2098</v>
      </c>
      <c r="H128" s="22" t="s">
        <v>1400</v>
      </c>
      <c r="I128" s="23" t="n">
        <v>400426</v>
      </c>
      <c r="J128" s="22" t="s">
        <v>831</v>
      </c>
      <c r="K128" s="23" t="n">
        <v>2501715545</v>
      </c>
      <c r="L128" s="24" t="n">
        <v>24</v>
      </c>
      <c r="M128" s="24" t="n">
        <v>24</v>
      </c>
      <c r="N128" s="23" t="n">
        <v>100011150</v>
      </c>
      <c r="O128" s="25" t="n">
        <v>47838</v>
      </c>
      <c r="P128" s="25" t="n">
        <v>46013</v>
      </c>
      <c r="Q128" s="21" t="n">
        <v>46070.6478356481</v>
      </c>
    </row>
    <row r="129" customFormat="false" ht="35.8" hidden="false" customHeight="false" outlineLevel="0" collapsed="false">
      <c r="A129" s="14" t="s">
        <v>1400</v>
      </c>
      <c r="B129" s="14" t="s">
        <v>14</v>
      </c>
      <c r="C129" s="15" t="n">
        <v>46070.381875</v>
      </c>
      <c r="D129" s="16" t="s">
        <v>2056</v>
      </c>
      <c r="E129" s="17" t="n">
        <v>2409717479</v>
      </c>
      <c r="F129" s="16" t="s">
        <v>2057</v>
      </c>
      <c r="G129" s="16" t="s">
        <v>2098</v>
      </c>
      <c r="H129" s="16" t="s">
        <v>1400</v>
      </c>
      <c r="I129" s="17" t="n">
        <v>400426</v>
      </c>
      <c r="J129" s="16" t="s">
        <v>831</v>
      </c>
      <c r="K129" s="17" t="n">
        <v>2501715545</v>
      </c>
      <c r="L129" s="18" t="n">
        <v>24</v>
      </c>
      <c r="M129" s="18" t="n">
        <v>24</v>
      </c>
      <c r="N129" s="17" t="n">
        <v>100011150</v>
      </c>
      <c r="O129" s="19" t="n">
        <v>47838</v>
      </c>
      <c r="P129" s="19" t="n">
        <v>46013</v>
      </c>
      <c r="Q129" s="15" t="n">
        <v>46070.6478356481</v>
      </c>
    </row>
    <row r="130" customFormat="false" ht="35.8" hidden="false" customHeight="false" outlineLevel="0" collapsed="false">
      <c r="A130" s="20" t="s">
        <v>1400</v>
      </c>
      <c r="B130" s="20" t="s">
        <v>14</v>
      </c>
      <c r="C130" s="21" t="n">
        <v>46070.381875</v>
      </c>
      <c r="D130" s="22" t="s">
        <v>2056</v>
      </c>
      <c r="E130" s="23" t="n">
        <v>2409717479</v>
      </c>
      <c r="F130" s="22" t="s">
        <v>2057</v>
      </c>
      <c r="G130" s="22" t="s">
        <v>2098</v>
      </c>
      <c r="H130" s="22" t="s">
        <v>1400</v>
      </c>
      <c r="I130" s="23" t="n">
        <v>400426</v>
      </c>
      <c r="J130" s="22" t="s">
        <v>831</v>
      </c>
      <c r="K130" s="23" t="n">
        <v>2501715545</v>
      </c>
      <c r="L130" s="24" t="n">
        <v>24</v>
      </c>
      <c r="M130" s="24" t="n">
        <v>24</v>
      </c>
      <c r="N130" s="23" t="n">
        <v>100011150</v>
      </c>
      <c r="O130" s="25" t="n">
        <v>47838</v>
      </c>
      <c r="P130" s="25" t="n">
        <v>46013</v>
      </c>
      <c r="Q130" s="21" t="n">
        <v>46070.6478356481</v>
      </c>
    </row>
    <row r="131" customFormat="false" ht="24.3" hidden="false" customHeight="false" outlineLevel="0" collapsed="false">
      <c r="A131" s="14" t="s">
        <v>1400</v>
      </c>
      <c r="B131" s="14" t="s">
        <v>14</v>
      </c>
      <c r="C131" s="15" t="n">
        <v>46070.5534143519</v>
      </c>
      <c r="D131" s="16" t="s">
        <v>2056</v>
      </c>
      <c r="E131" s="17" t="n">
        <v>2409717410</v>
      </c>
      <c r="F131" s="16" t="s">
        <v>2057</v>
      </c>
      <c r="G131" s="16" t="s">
        <v>2099</v>
      </c>
      <c r="H131" s="16" t="s">
        <v>1400</v>
      </c>
      <c r="I131" s="17" t="n">
        <v>400567</v>
      </c>
      <c r="J131" s="16" t="s">
        <v>1402</v>
      </c>
      <c r="K131" s="17" t="n">
        <v>2501715493</v>
      </c>
      <c r="L131" s="18" t="n">
        <v>4</v>
      </c>
      <c r="M131" s="18" t="n">
        <v>4</v>
      </c>
      <c r="N131" s="17" t="n">
        <v>100011030</v>
      </c>
      <c r="O131" s="19" t="n">
        <v>47826</v>
      </c>
      <c r="P131" s="19" t="n">
        <v>46001</v>
      </c>
      <c r="Q131" s="15" t="n">
        <v>46074.3985185185</v>
      </c>
    </row>
    <row r="132" customFormat="false" ht="24.3" hidden="false" customHeight="false" outlineLevel="0" collapsed="false">
      <c r="A132" s="20" t="s">
        <v>1400</v>
      </c>
      <c r="B132" s="20" t="s">
        <v>14</v>
      </c>
      <c r="C132" s="21" t="n">
        <v>46070.5534143519</v>
      </c>
      <c r="D132" s="22" t="s">
        <v>2056</v>
      </c>
      <c r="E132" s="23" t="n">
        <v>2409717410</v>
      </c>
      <c r="F132" s="22" t="s">
        <v>2057</v>
      </c>
      <c r="G132" s="22" t="s">
        <v>2099</v>
      </c>
      <c r="H132" s="22" t="s">
        <v>1400</v>
      </c>
      <c r="I132" s="23" t="n">
        <v>400568</v>
      </c>
      <c r="J132" s="22" t="s">
        <v>1600</v>
      </c>
      <c r="K132" s="23" t="n">
        <v>2501715493</v>
      </c>
      <c r="L132" s="24" t="n">
        <v>32</v>
      </c>
      <c r="M132" s="24" t="n">
        <v>32</v>
      </c>
      <c r="N132" s="23" t="n">
        <v>153000022</v>
      </c>
      <c r="O132" s="25" t="n">
        <v>47861</v>
      </c>
      <c r="P132" s="25" t="n">
        <v>46036</v>
      </c>
      <c r="Q132" s="21" t="n">
        <v>46074.3985185185</v>
      </c>
    </row>
    <row r="133" customFormat="false" ht="24.3" hidden="false" customHeight="false" outlineLevel="0" collapsed="false">
      <c r="A133" s="14" t="s">
        <v>1400</v>
      </c>
      <c r="B133" s="14" t="s">
        <v>14</v>
      </c>
      <c r="C133" s="15" t="n">
        <v>46070.5534143519</v>
      </c>
      <c r="D133" s="16" t="s">
        <v>2056</v>
      </c>
      <c r="E133" s="17" t="n">
        <v>2409717410</v>
      </c>
      <c r="F133" s="16" t="s">
        <v>2057</v>
      </c>
      <c r="G133" s="16" t="s">
        <v>2099</v>
      </c>
      <c r="H133" s="16" t="s">
        <v>1400</v>
      </c>
      <c r="I133" s="17" t="n">
        <v>400568</v>
      </c>
      <c r="J133" s="16" t="s">
        <v>1600</v>
      </c>
      <c r="K133" s="17" t="n">
        <v>2501715493</v>
      </c>
      <c r="L133" s="18" t="n">
        <v>32</v>
      </c>
      <c r="M133" s="18" t="n">
        <v>32</v>
      </c>
      <c r="N133" s="17" t="n">
        <v>153000022</v>
      </c>
      <c r="O133" s="19" t="n">
        <v>47861</v>
      </c>
      <c r="P133" s="19" t="n">
        <v>46036</v>
      </c>
      <c r="Q133" s="15" t="n">
        <v>46074.3985185185</v>
      </c>
    </row>
    <row r="134" customFormat="false" ht="24.3" hidden="false" customHeight="false" outlineLevel="0" collapsed="false">
      <c r="A134" s="20" t="s">
        <v>1400</v>
      </c>
      <c r="B134" s="20" t="s">
        <v>14</v>
      </c>
      <c r="C134" s="21" t="n">
        <v>46070.5534143519</v>
      </c>
      <c r="D134" s="22" t="s">
        <v>2056</v>
      </c>
      <c r="E134" s="23" t="n">
        <v>2409717410</v>
      </c>
      <c r="F134" s="22" t="s">
        <v>2057</v>
      </c>
      <c r="G134" s="22" t="s">
        <v>2099</v>
      </c>
      <c r="H134" s="22" t="s">
        <v>1400</v>
      </c>
      <c r="I134" s="23" t="n">
        <v>400568</v>
      </c>
      <c r="J134" s="22" t="s">
        <v>1600</v>
      </c>
      <c r="K134" s="23" t="n">
        <v>2501715493</v>
      </c>
      <c r="L134" s="24" t="n">
        <v>32</v>
      </c>
      <c r="M134" s="24" t="n">
        <v>32</v>
      </c>
      <c r="N134" s="23" t="n">
        <v>153000022</v>
      </c>
      <c r="O134" s="25" t="n">
        <v>47861</v>
      </c>
      <c r="P134" s="25" t="n">
        <v>46036</v>
      </c>
      <c r="Q134" s="21" t="n">
        <v>46074.3985185185</v>
      </c>
    </row>
    <row r="135" customFormat="false" ht="24.3" hidden="false" customHeight="false" outlineLevel="0" collapsed="false">
      <c r="A135" s="14" t="s">
        <v>1400</v>
      </c>
      <c r="B135" s="14" t="s">
        <v>14</v>
      </c>
      <c r="C135" s="15" t="n">
        <v>46070.5534143519</v>
      </c>
      <c r="D135" s="16" t="s">
        <v>2056</v>
      </c>
      <c r="E135" s="17" t="n">
        <v>2409717410</v>
      </c>
      <c r="F135" s="16" t="s">
        <v>2057</v>
      </c>
      <c r="G135" s="16" t="s">
        <v>2099</v>
      </c>
      <c r="H135" s="16" t="s">
        <v>1400</v>
      </c>
      <c r="I135" s="17" t="n">
        <v>400568</v>
      </c>
      <c r="J135" s="16" t="s">
        <v>1600</v>
      </c>
      <c r="K135" s="17" t="n">
        <v>2501715493</v>
      </c>
      <c r="L135" s="18" t="n">
        <v>32</v>
      </c>
      <c r="M135" s="18" t="n">
        <v>32</v>
      </c>
      <c r="N135" s="17" t="n">
        <v>153000022</v>
      </c>
      <c r="O135" s="19" t="n">
        <v>47861</v>
      </c>
      <c r="P135" s="19" t="n">
        <v>46036</v>
      </c>
      <c r="Q135" s="15" t="n">
        <v>46074.3985185185</v>
      </c>
    </row>
    <row r="136" customFormat="false" ht="24.3" hidden="false" customHeight="false" outlineLevel="0" collapsed="false">
      <c r="A136" s="20" t="s">
        <v>1400</v>
      </c>
      <c r="B136" s="20" t="s">
        <v>14</v>
      </c>
      <c r="C136" s="21" t="n">
        <v>46070.5534143519</v>
      </c>
      <c r="D136" s="22" t="s">
        <v>2056</v>
      </c>
      <c r="E136" s="23" t="n">
        <v>2409717410</v>
      </c>
      <c r="F136" s="22" t="s">
        <v>2057</v>
      </c>
      <c r="G136" s="22" t="s">
        <v>2099</v>
      </c>
      <c r="H136" s="22" t="s">
        <v>1400</v>
      </c>
      <c r="I136" s="23" t="n">
        <v>400568</v>
      </c>
      <c r="J136" s="22" t="s">
        <v>1600</v>
      </c>
      <c r="K136" s="23" t="n">
        <v>2501715493</v>
      </c>
      <c r="L136" s="24" t="n">
        <v>32</v>
      </c>
      <c r="M136" s="24" t="n">
        <v>32</v>
      </c>
      <c r="N136" s="23" t="n">
        <v>153000022</v>
      </c>
      <c r="O136" s="25" t="n">
        <v>47861</v>
      </c>
      <c r="P136" s="25" t="n">
        <v>46036</v>
      </c>
      <c r="Q136" s="21" t="n">
        <v>46074.3985185185</v>
      </c>
    </row>
    <row r="137" customFormat="false" ht="24.3" hidden="false" customHeight="false" outlineLevel="0" collapsed="false">
      <c r="A137" s="14" t="s">
        <v>1400</v>
      </c>
      <c r="B137" s="14" t="s">
        <v>14</v>
      </c>
      <c r="C137" s="15" t="n">
        <v>46070.5534143519</v>
      </c>
      <c r="D137" s="16" t="s">
        <v>2056</v>
      </c>
      <c r="E137" s="17" t="n">
        <v>2409717410</v>
      </c>
      <c r="F137" s="16" t="s">
        <v>2057</v>
      </c>
      <c r="G137" s="16" t="s">
        <v>2099</v>
      </c>
      <c r="H137" s="16" t="s">
        <v>1400</v>
      </c>
      <c r="I137" s="17" t="n">
        <v>400568</v>
      </c>
      <c r="J137" s="16" t="s">
        <v>1600</v>
      </c>
      <c r="K137" s="17" t="n">
        <v>2501715493</v>
      </c>
      <c r="L137" s="18" t="n">
        <v>32</v>
      </c>
      <c r="M137" s="18" t="n">
        <v>32</v>
      </c>
      <c r="N137" s="17" t="n">
        <v>153000022</v>
      </c>
      <c r="O137" s="19" t="n">
        <v>47861</v>
      </c>
      <c r="P137" s="19" t="n">
        <v>46036</v>
      </c>
      <c r="Q137" s="15" t="n">
        <v>46074.3985185185</v>
      </c>
    </row>
    <row r="138" customFormat="false" ht="24.3" hidden="false" customHeight="false" outlineLevel="0" collapsed="false">
      <c r="A138" s="20" t="s">
        <v>1400</v>
      </c>
      <c r="B138" s="20" t="s">
        <v>14</v>
      </c>
      <c r="C138" s="21" t="n">
        <v>46070.5534143519</v>
      </c>
      <c r="D138" s="22" t="s">
        <v>2056</v>
      </c>
      <c r="E138" s="23" t="n">
        <v>2409717410</v>
      </c>
      <c r="F138" s="22" t="s">
        <v>2057</v>
      </c>
      <c r="G138" s="22" t="s">
        <v>2099</v>
      </c>
      <c r="H138" s="22" t="s">
        <v>1400</v>
      </c>
      <c r="I138" s="23" t="n">
        <v>400568</v>
      </c>
      <c r="J138" s="22" t="s">
        <v>1600</v>
      </c>
      <c r="K138" s="23" t="n">
        <v>2501715493</v>
      </c>
      <c r="L138" s="24" t="n">
        <v>32</v>
      </c>
      <c r="M138" s="24" t="n">
        <v>32</v>
      </c>
      <c r="N138" s="23" t="n">
        <v>153000022</v>
      </c>
      <c r="O138" s="25" t="n">
        <v>47861</v>
      </c>
      <c r="P138" s="25" t="n">
        <v>46036</v>
      </c>
      <c r="Q138" s="21" t="n">
        <v>46074.3985185185</v>
      </c>
    </row>
    <row r="139" customFormat="false" ht="24.3" hidden="false" customHeight="false" outlineLevel="0" collapsed="false">
      <c r="A139" s="14" t="s">
        <v>1400</v>
      </c>
      <c r="B139" s="14" t="s">
        <v>14</v>
      </c>
      <c r="C139" s="15" t="n">
        <v>46070.5534143519</v>
      </c>
      <c r="D139" s="16" t="s">
        <v>2056</v>
      </c>
      <c r="E139" s="17" t="n">
        <v>2409717410</v>
      </c>
      <c r="F139" s="16" t="s">
        <v>2057</v>
      </c>
      <c r="G139" s="16" t="s">
        <v>2099</v>
      </c>
      <c r="H139" s="16" t="s">
        <v>1400</v>
      </c>
      <c r="I139" s="17" t="n">
        <v>400567</v>
      </c>
      <c r="J139" s="16" t="s">
        <v>1402</v>
      </c>
      <c r="K139" s="17" t="n">
        <v>2501715493</v>
      </c>
      <c r="L139" s="18" t="n">
        <v>4</v>
      </c>
      <c r="M139" s="18" t="n">
        <v>4</v>
      </c>
      <c r="N139" s="17" t="n">
        <v>100011153</v>
      </c>
      <c r="O139" s="19" t="n">
        <v>47839</v>
      </c>
      <c r="P139" s="19" t="n">
        <v>46014</v>
      </c>
      <c r="Q139" s="15" t="n">
        <v>46074.3985185185</v>
      </c>
    </row>
    <row r="140" customFormat="false" ht="24.3" hidden="false" customHeight="false" outlineLevel="0" collapsed="false">
      <c r="A140" s="20" t="s">
        <v>1400</v>
      </c>
      <c r="B140" s="20" t="s">
        <v>14</v>
      </c>
      <c r="C140" s="21" t="n">
        <v>46070.5534143519</v>
      </c>
      <c r="D140" s="22" t="s">
        <v>2056</v>
      </c>
      <c r="E140" s="23" t="n">
        <v>2409717410</v>
      </c>
      <c r="F140" s="22" t="s">
        <v>2057</v>
      </c>
      <c r="G140" s="22" t="s">
        <v>2099</v>
      </c>
      <c r="H140" s="22" t="s">
        <v>1400</v>
      </c>
      <c r="I140" s="23" t="n">
        <v>400567</v>
      </c>
      <c r="J140" s="22" t="s">
        <v>1402</v>
      </c>
      <c r="K140" s="23" t="n">
        <v>2501715493</v>
      </c>
      <c r="L140" s="24" t="n">
        <v>4</v>
      </c>
      <c r="M140" s="24" t="n">
        <v>4</v>
      </c>
      <c r="N140" s="23" t="n">
        <v>100011153</v>
      </c>
      <c r="O140" s="25" t="n">
        <v>47839</v>
      </c>
      <c r="P140" s="25" t="n">
        <v>46014</v>
      </c>
      <c r="Q140" s="21" t="n">
        <v>46074.3985185185</v>
      </c>
    </row>
    <row r="141" customFormat="false" ht="24.3" hidden="false" customHeight="false" outlineLevel="0" collapsed="false">
      <c r="A141" s="14" t="s">
        <v>1400</v>
      </c>
      <c r="B141" s="14" t="s">
        <v>14</v>
      </c>
      <c r="C141" s="15" t="n">
        <v>46070.5534143519</v>
      </c>
      <c r="D141" s="16" t="s">
        <v>2056</v>
      </c>
      <c r="E141" s="17" t="n">
        <v>2409717410</v>
      </c>
      <c r="F141" s="16" t="s">
        <v>2057</v>
      </c>
      <c r="G141" s="16" t="s">
        <v>2099</v>
      </c>
      <c r="H141" s="16" t="s">
        <v>1400</v>
      </c>
      <c r="I141" s="17" t="n">
        <v>400567</v>
      </c>
      <c r="J141" s="16" t="s">
        <v>1402</v>
      </c>
      <c r="K141" s="17" t="n">
        <v>2501715493</v>
      </c>
      <c r="L141" s="18" t="n">
        <v>4</v>
      </c>
      <c r="M141" s="18" t="n">
        <v>4</v>
      </c>
      <c r="N141" s="17" t="n">
        <v>100011153</v>
      </c>
      <c r="O141" s="19" t="n">
        <v>47839</v>
      </c>
      <c r="P141" s="19" t="n">
        <v>46014</v>
      </c>
      <c r="Q141" s="15" t="n">
        <v>46074.3985185185</v>
      </c>
    </row>
    <row r="142" customFormat="false" ht="24.3" hidden="false" customHeight="false" outlineLevel="0" collapsed="false">
      <c r="A142" s="20" t="s">
        <v>1400</v>
      </c>
      <c r="B142" s="20" t="s">
        <v>14</v>
      </c>
      <c r="C142" s="21" t="n">
        <v>46070.5534143519</v>
      </c>
      <c r="D142" s="22" t="s">
        <v>2056</v>
      </c>
      <c r="E142" s="23" t="n">
        <v>2409717410</v>
      </c>
      <c r="F142" s="22" t="s">
        <v>2057</v>
      </c>
      <c r="G142" s="22" t="s">
        <v>2099</v>
      </c>
      <c r="H142" s="22" t="s">
        <v>1400</v>
      </c>
      <c r="I142" s="23" t="n">
        <v>400567</v>
      </c>
      <c r="J142" s="22" t="s">
        <v>1402</v>
      </c>
      <c r="K142" s="23" t="n">
        <v>2501715493</v>
      </c>
      <c r="L142" s="24" t="n">
        <v>4</v>
      </c>
      <c r="M142" s="24" t="n">
        <v>4</v>
      </c>
      <c r="N142" s="23" t="n">
        <v>100011153</v>
      </c>
      <c r="O142" s="25" t="n">
        <v>47839</v>
      </c>
      <c r="P142" s="25" t="n">
        <v>46014</v>
      </c>
      <c r="Q142" s="21" t="n">
        <v>46074.3985185185</v>
      </c>
    </row>
    <row r="143" customFormat="false" ht="24.3" hidden="false" customHeight="false" outlineLevel="0" collapsed="false">
      <c r="A143" s="14" t="s">
        <v>1400</v>
      </c>
      <c r="B143" s="14" t="s">
        <v>14</v>
      </c>
      <c r="C143" s="15" t="n">
        <v>46070.5534143519</v>
      </c>
      <c r="D143" s="16" t="s">
        <v>2056</v>
      </c>
      <c r="E143" s="17" t="n">
        <v>2409717410</v>
      </c>
      <c r="F143" s="16" t="s">
        <v>2057</v>
      </c>
      <c r="G143" s="16" t="s">
        <v>2099</v>
      </c>
      <c r="H143" s="16" t="s">
        <v>1400</v>
      </c>
      <c r="I143" s="17" t="n">
        <v>400567</v>
      </c>
      <c r="J143" s="16" t="s">
        <v>1402</v>
      </c>
      <c r="K143" s="17" t="n">
        <v>2501715493</v>
      </c>
      <c r="L143" s="18" t="n">
        <v>4</v>
      </c>
      <c r="M143" s="18" t="n">
        <v>4</v>
      </c>
      <c r="N143" s="17" t="n">
        <v>100011153</v>
      </c>
      <c r="O143" s="19" t="n">
        <v>47839</v>
      </c>
      <c r="P143" s="19" t="n">
        <v>46014</v>
      </c>
      <c r="Q143" s="15" t="n">
        <v>46074.3985185185</v>
      </c>
    </row>
    <row r="144" customFormat="false" ht="24.3" hidden="false" customHeight="false" outlineLevel="0" collapsed="false">
      <c r="A144" s="20" t="s">
        <v>1400</v>
      </c>
      <c r="B144" s="20" t="s">
        <v>14</v>
      </c>
      <c r="C144" s="21" t="n">
        <v>46070.5534143519</v>
      </c>
      <c r="D144" s="22" t="s">
        <v>2056</v>
      </c>
      <c r="E144" s="23" t="n">
        <v>2409717410</v>
      </c>
      <c r="F144" s="22" t="s">
        <v>2057</v>
      </c>
      <c r="G144" s="22" t="s">
        <v>2099</v>
      </c>
      <c r="H144" s="22" t="s">
        <v>1400</v>
      </c>
      <c r="I144" s="23" t="n">
        <v>400567</v>
      </c>
      <c r="J144" s="22" t="s">
        <v>1402</v>
      </c>
      <c r="K144" s="23" t="n">
        <v>2501715493</v>
      </c>
      <c r="L144" s="24" t="n">
        <v>4</v>
      </c>
      <c r="M144" s="24" t="n">
        <v>4</v>
      </c>
      <c r="N144" s="23" t="n">
        <v>100011153</v>
      </c>
      <c r="O144" s="25" t="n">
        <v>47839</v>
      </c>
      <c r="P144" s="25" t="n">
        <v>46014</v>
      </c>
      <c r="Q144" s="21" t="n">
        <v>46074.3985185185</v>
      </c>
    </row>
    <row r="145" customFormat="false" ht="24.3" hidden="false" customHeight="false" outlineLevel="0" collapsed="false">
      <c r="A145" s="14" t="s">
        <v>1400</v>
      </c>
      <c r="B145" s="14" t="s">
        <v>14</v>
      </c>
      <c r="C145" s="15" t="n">
        <v>46070.5534143519</v>
      </c>
      <c r="D145" s="16" t="s">
        <v>2056</v>
      </c>
      <c r="E145" s="17" t="n">
        <v>2409717410</v>
      </c>
      <c r="F145" s="16" t="s">
        <v>2057</v>
      </c>
      <c r="G145" s="16" t="s">
        <v>2099</v>
      </c>
      <c r="H145" s="16" t="s">
        <v>1400</v>
      </c>
      <c r="I145" s="17" t="n">
        <v>400567</v>
      </c>
      <c r="J145" s="16" t="s">
        <v>1402</v>
      </c>
      <c r="K145" s="17" t="n">
        <v>2501715493</v>
      </c>
      <c r="L145" s="18" t="n">
        <v>4</v>
      </c>
      <c r="M145" s="18" t="n">
        <v>4</v>
      </c>
      <c r="N145" s="17" t="n">
        <v>100011153</v>
      </c>
      <c r="O145" s="19" t="n">
        <v>47839</v>
      </c>
      <c r="P145" s="19" t="n">
        <v>46014</v>
      </c>
      <c r="Q145" s="15" t="n">
        <v>46074.3985185185</v>
      </c>
    </row>
    <row r="146" customFormat="false" ht="24.3" hidden="false" customHeight="false" outlineLevel="0" collapsed="false">
      <c r="A146" s="20" t="s">
        <v>1400</v>
      </c>
      <c r="B146" s="20" t="s">
        <v>14</v>
      </c>
      <c r="C146" s="21" t="n">
        <v>46070.5534143519</v>
      </c>
      <c r="D146" s="22" t="s">
        <v>2056</v>
      </c>
      <c r="E146" s="23" t="n">
        <v>2409717410</v>
      </c>
      <c r="F146" s="22" t="s">
        <v>2057</v>
      </c>
      <c r="G146" s="22" t="s">
        <v>2099</v>
      </c>
      <c r="H146" s="22" t="s">
        <v>1400</v>
      </c>
      <c r="I146" s="23" t="n">
        <v>400567</v>
      </c>
      <c r="J146" s="22" t="s">
        <v>1402</v>
      </c>
      <c r="K146" s="23" t="n">
        <v>2501715493</v>
      </c>
      <c r="L146" s="24" t="n">
        <v>4</v>
      </c>
      <c r="M146" s="24" t="n">
        <v>4</v>
      </c>
      <c r="N146" s="23" t="n">
        <v>100011153</v>
      </c>
      <c r="O146" s="25" t="n">
        <v>47839</v>
      </c>
      <c r="P146" s="25" t="n">
        <v>46014</v>
      </c>
      <c r="Q146" s="21" t="n">
        <v>46074.3985185185</v>
      </c>
    </row>
    <row r="147" customFormat="false" ht="24.3" hidden="false" customHeight="false" outlineLevel="0" collapsed="false">
      <c r="A147" s="14" t="s">
        <v>1400</v>
      </c>
      <c r="B147" s="14" t="s">
        <v>14</v>
      </c>
      <c r="C147" s="15" t="n">
        <v>46070.5534143519</v>
      </c>
      <c r="D147" s="16" t="s">
        <v>2056</v>
      </c>
      <c r="E147" s="17" t="n">
        <v>2409717410</v>
      </c>
      <c r="F147" s="16" t="s">
        <v>2057</v>
      </c>
      <c r="G147" s="16" t="s">
        <v>2099</v>
      </c>
      <c r="H147" s="16" t="s">
        <v>1400</v>
      </c>
      <c r="I147" s="17" t="n">
        <v>400567</v>
      </c>
      <c r="J147" s="16" t="s">
        <v>1402</v>
      </c>
      <c r="K147" s="17" t="n">
        <v>2501715493</v>
      </c>
      <c r="L147" s="18" t="n">
        <v>4</v>
      </c>
      <c r="M147" s="18" t="n">
        <v>4</v>
      </c>
      <c r="N147" s="17" t="n">
        <v>100011153</v>
      </c>
      <c r="O147" s="19" t="n">
        <v>47839</v>
      </c>
      <c r="P147" s="19" t="n">
        <v>46014</v>
      </c>
      <c r="Q147" s="15" t="n">
        <v>46074.3985185185</v>
      </c>
    </row>
    <row r="148" customFormat="false" ht="24.3" hidden="false" customHeight="false" outlineLevel="0" collapsed="false">
      <c r="A148" s="20" t="s">
        <v>1400</v>
      </c>
      <c r="B148" s="20" t="s">
        <v>14</v>
      </c>
      <c r="C148" s="21" t="n">
        <v>46070.5534143519</v>
      </c>
      <c r="D148" s="22" t="s">
        <v>2056</v>
      </c>
      <c r="E148" s="23" t="n">
        <v>2409717410</v>
      </c>
      <c r="F148" s="22" t="s">
        <v>2057</v>
      </c>
      <c r="G148" s="22" t="s">
        <v>2099</v>
      </c>
      <c r="H148" s="22" t="s">
        <v>1400</v>
      </c>
      <c r="I148" s="23" t="n">
        <v>400567</v>
      </c>
      <c r="J148" s="22" t="s">
        <v>1402</v>
      </c>
      <c r="K148" s="23" t="n">
        <v>2501715493</v>
      </c>
      <c r="L148" s="24" t="n">
        <v>4</v>
      </c>
      <c r="M148" s="24" t="n">
        <v>4</v>
      </c>
      <c r="N148" s="23" t="n">
        <v>100011153</v>
      </c>
      <c r="O148" s="25" t="n">
        <v>47839</v>
      </c>
      <c r="P148" s="25" t="n">
        <v>46014</v>
      </c>
      <c r="Q148" s="21" t="n">
        <v>46074.3985185185</v>
      </c>
    </row>
    <row r="149" customFormat="false" ht="24.3" hidden="false" customHeight="false" outlineLevel="0" collapsed="false">
      <c r="A149" s="14" t="s">
        <v>1400</v>
      </c>
      <c r="B149" s="14" t="s">
        <v>14</v>
      </c>
      <c r="C149" s="15" t="n">
        <v>46070.5534143519</v>
      </c>
      <c r="D149" s="16" t="s">
        <v>2056</v>
      </c>
      <c r="E149" s="17" t="n">
        <v>2409717410</v>
      </c>
      <c r="F149" s="16" t="s">
        <v>2057</v>
      </c>
      <c r="G149" s="16" t="s">
        <v>2099</v>
      </c>
      <c r="H149" s="16" t="s">
        <v>1400</v>
      </c>
      <c r="I149" s="17" t="n">
        <v>400567</v>
      </c>
      <c r="J149" s="16" t="s">
        <v>1402</v>
      </c>
      <c r="K149" s="17" t="n">
        <v>2501715493</v>
      </c>
      <c r="L149" s="18" t="n">
        <v>4</v>
      </c>
      <c r="M149" s="18" t="n">
        <v>4</v>
      </c>
      <c r="N149" s="17" t="n">
        <v>100011153</v>
      </c>
      <c r="O149" s="19" t="n">
        <v>47839</v>
      </c>
      <c r="P149" s="19" t="n">
        <v>46014</v>
      </c>
      <c r="Q149" s="15" t="n">
        <v>46074.3985185185</v>
      </c>
    </row>
    <row r="150" customFormat="false" ht="24.3" hidden="false" customHeight="false" outlineLevel="0" collapsed="false">
      <c r="A150" s="20" t="s">
        <v>1400</v>
      </c>
      <c r="B150" s="20" t="s">
        <v>14</v>
      </c>
      <c r="C150" s="21" t="n">
        <v>46070.5534143519</v>
      </c>
      <c r="D150" s="22" t="s">
        <v>2056</v>
      </c>
      <c r="E150" s="23" t="n">
        <v>2409717410</v>
      </c>
      <c r="F150" s="22" t="s">
        <v>2057</v>
      </c>
      <c r="G150" s="22" t="s">
        <v>2099</v>
      </c>
      <c r="H150" s="22" t="s">
        <v>1400</v>
      </c>
      <c r="I150" s="23" t="n">
        <v>400567</v>
      </c>
      <c r="J150" s="22" t="s">
        <v>1402</v>
      </c>
      <c r="K150" s="23" t="n">
        <v>2501715493</v>
      </c>
      <c r="L150" s="24" t="n">
        <v>4</v>
      </c>
      <c r="M150" s="24" t="n">
        <v>4</v>
      </c>
      <c r="N150" s="23" t="n">
        <v>100011030</v>
      </c>
      <c r="O150" s="25" t="n">
        <v>47826</v>
      </c>
      <c r="P150" s="25" t="n">
        <v>46001</v>
      </c>
      <c r="Q150" s="21" t="n">
        <v>46074.3985185185</v>
      </c>
    </row>
    <row r="151" customFormat="false" ht="24.3" hidden="false" customHeight="false" outlineLevel="0" collapsed="false">
      <c r="A151" s="14" t="s">
        <v>1400</v>
      </c>
      <c r="B151" s="14" t="s">
        <v>14</v>
      </c>
      <c r="C151" s="15" t="n">
        <v>46070.5534143519</v>
      </c>
      <c r="D151" s="16" t="s">
        <v>2056</v>
      </c>
      <c r="E151" s="17" t="n">
        <v>2409717410</v>
      </c>
      <c r="F151" s="16" t="s">
        <v>2057</v>
      </c>
      <c r="G151" s="16" t="s">
        <v>2099</v>
      </c>
      <c r="H151" s="16" t="s">
        <v>1400</v>
      </c>
      <c r="I151" s="17" t="n">
        <v>400567</v>
      </c>
      <c r="J151" s="16" t="s">
        <v>1402</v>
      </c>
      <c r="K151" s="17" t="n">
        <v>2501715493</v>
      </c>
      <c r="L151" s="18" t="n">
        <v>4</v>
      </c>
      <c r="M151" s="18" t="n">
        <v>4</v>
      </c>
      <c r="N151" s="17" t="n">
        <v>100011030</v>
      </c>
      <c r="O151" s="19" t="n">
        <v>47826</v>
      </c>
      <c r="P151" s="19" t="n">
        <v>46001</v>
      </c>
      <c r="Q151" s="15" t="n">
        <v>46074.3985185185</v>
      </c>
    </row>
    <row r="152" customFormat="false" ht="24.3" hidden="false" customHeight="false" outlineLevel="0" collapsed="false">
      <c r="A152" s="20" t="s">
        <v>1400</v>
      </c>
      <c r="B152" s="20" t="s">
        <v>14</v>
      </c>
      <c r="C152" s="21" t="n">
        <v>46070.5534143519</v>
      </c>
      <c r="D152" s="22" t="s">
        <v>2056</v>
      </c>
      <c r="E152" s="23" t="n">
        <v>2409717410</v>
      </c>
      <c r="F152" s="22" t="s">
        <v>2057</v>
      </c>
      <c r="G152" s="22" t="s">
        <v>2099</v>
      </c>
      <c r="H152" s="22" t="s">
        <v>1400</v>
      </c>
      <c r="I152" s="23" t="n">
        <v>400567</v>
      </c>
      <c r="J152" s="22" t="s">
        <v>1402</v>
      </c>
      <c r="K152" s="23" t="n">
        <v>2501715493</v>
      </c>
      <c r="L152" s="24" t="n">
        <v>4</v>
      </c>
      <c r="M152" s="24" t="n">
        <v>4</v>
      </c>
      <c r="N152" s="23" t="n">
        <v>100011030</v>
      </c>
      <c r="O152" s="25" t="n">
        <v>47826</v>
      </c>
      <c r="P152" s="25" t="n">
        <v>46001</v>
      </c>
      <c r="Q152" s="21" t="n">
        <v>46074.3985185185</v>
      </c>
    </row>
    <row r="153" customFormat="false" ht="24.3" hidden="false" customHeight="false" outlineLevel="0" collapsed="false">
      <c r="A153" s="14" t="s">
        <v>1400</v>
      </c>
      <c r="B153" s="14" t="s">
        <v>14</v>
      </c>
      <c r="C153" s="15" t="n">
        <v>46070.5534143519</v>
      </c>
      <c r="D153" s="16" t="s">
        <v>2056</v>
      </c>
      <c r="E153" s="17" t="n">
        <v>2409717410</v>
      </c>
      <c r="F153" s="16" t="s">
        <v>2057</v>
      </c>
      <c r="G153" s="16" t="s">
        <v>2099</v>
      </c>
      <c r="H153" s="16" t="s">
        <v>1400</v>
      </c>
      <c r="I153" s="17" t="n">
        <v>400567</v>
      </c>
      <c r="J153" s="16" t="s">
        <v>1402</v>
      </c>
      <c r="K153" s="17" t="n">
        <v>2501715493</v>
      </c>
      <c r="L153" s="18" t="n">
        <v>4</v>
      </c>
      <c r="M153" s="18" t="n">
        <v>4</v>
      </c>
      <c r="N153" s="17" t="n">
        <v>100011030</v>
      </c>
      <c r="O153" s="19" t="n">
        <v>47826</v>
      </c>
      <c r="P153" s="19" t="n">
        <v>46001</v>
      </c>
      <c r="Q153" s="15" t="n">
        <v>46074.3985185185</v>
      </c>
    </row>
    <row r="154" customFormat="false" ht="24.3" hidden="false" customHeight="false" outlineLevel="0" collapsed="false">
      <c r="A154" s="20" t="s">
        <v>1400</v>
      </c>
      <c r="B154" s="20" t="s">
        <v>14</v>
      </c>
      <c r="C154" s="21" t="n">
        <v>46070.5534143519</v>
      </c>
      <c r="D154" s="22" t="s">
        <v>2056</v>
      </c>
      <c r="E154" s="23" t="n">
        <v>2409717410</v>
      </c>
      <c r="F154" s="22" t="s">
        <v>2057</v>
      </c>
      <c r="G154" s="22" t="s">
        <v>2099</v>
      </c>
      <c r="H154" s="22" t="s">
        <v>1400</v>
      </c>
      <c r="I154" s="23" t="n">
        <v>400567</v>
      </c>
      <c r="J154" s="22" t="s">
        <v>1402</v>
      </c>
      <c r="K154" s="23" t="n">
        <v>2501715493</v>
      </c>
      <c r="L154" s="24" t="n">
        <v>4</v>
      </c>
      <c r="M154" s="24" t="n">
        <v>4</v>
      </c>
      <c r="N154" s="23" t="n">
        <v>100011030</v>
      </c>
      <c r="O154" s="25" t="n">
        <v>47826</v>
      </c>
      <c r="P154" s="25" t="n">
        <v>46001</v>
      </c>
      <c r="Q154" s="21" t="n">
        <v>46074.3985185185</v>
      </c>
    </row>
    <row r="155" customFormat="false" ht="35.8" hidden="false" customHeight="false" outlineLevel="0" collapsed="false">
      <c r="A155" s="14" t="s">
        <v>109</v>
      </c>
      <c r="B155" s="14" t="s">
        <v>14</v>
      </c>
      <c r="C155" s="15" t="n">
        <v>46070.597662037</v>
      </c>
      <c r="D155" s="16" t="s">
        <v>2056</v>
      </c>
      <c r="E155" s="17" t="n">
        <v>2409717493</v>
      </c>
      <c r="F155" s="16" t="s">
        <v>2057</v>
      </c>
      <c r="G155" s="16" t="s">
        <v>2100</v>
      </c>
      <c r="H155" s="16" t="s">
        <v>1400</v>
      </c>
      <c r="I155" s="17" t="n">
        <v>400426</v>
      </c>
      <c r="J155" s="16" t="s">
        <v>831</v>
      </c>
      <c r="K155" s="17" t="n">
        <v>2501715573</v>
      </c>
      <c r="L155" s="18" t="n">
        <v>7</v>
      </c>
      <c r="M155" s="18" t="n">
        <v>7</v>
      </c>
      <c r="N155" s="17" t="n">
        <v>153000039</v>
      </c>
      <c r="O155" s="19" t="n">
        <v>47868</v>
      </c>
      <c r="P155" s="19" t="n">
        <v>46043</v>
      </c>
      <c r="Q155" s="15" t="n">
        <v>46070.6429050926</v>
      </c>
    </row>
    <row r="156" customFormat="false" ht="35.8" hidden="false" customHeight="false" outlineLevel="0" collapsed="false">
      <c r="A156" s="20" t="s">
        <v>109</v>
      </c>
      <c r="B156" s="20" t="s">
        <v>14</v>
      </c>
      <c r="C156" s="21" t="n">
        <v>46070.597662037</v>
      </c>
      <c r="D156" s="22" t="s">
        <v>2056</v>
      </c>
      <c r="E156" s="23" t="n">
        <v>2409717493</v>
      </c>
      <c r="F156" s="22" t="s">
        <v>2057</v>
      </c>
      <c r="G156" s="22" t="s">
        <v>2100</v>
      </c>
      <c r="H156" s="22" t="s">
        <v>1400</v>
      </c>
      <c r="I156" s="23" t="n">
        <v>400426</v>
      </c>
      <c r="J156" s="22" t="s">
        <v>831</v>
      </c>
      <c r="K156" s="23" t="n">
        <v>2501715573</v>
      </c>
      <c r="L156" s="24" t="n">
        <v>2</v>
      </c>
      <c r="M156" s="24" t="n">
        <v>2</v>
      </c>
      <c r="N156" s="23" t="n">
        <v>153000042</v>
      </c>
      <c r="O156" s="25" t="n">
        <v>47868</v>
      </c>
      <c r="P156" s="25" t="n">
        <v>46043</v>
      </c>
      <c r="Q156" s="21" t="n">
        <v>46070.6429050926</v>
      </c>
    </row>
    <row r="157" customFormat="false" ht="35.8" hidden="false" customHeight="false" outlineLevel="0" collapsed="false">
      <c r="A157" s="14" t="s">
        <v>109</v>
      </c>
      <c r="B157" s="14" t="s">
        <v>14</v>
      </c>
      <c r="C157" s="15" t="n">
        <v>46070.597662037</v>
      </c>
      <c r="D157" s="16" t="s">
        <v>2056</v>
      </c>
      <c r="E157" s="17" t="n">
        <v>2409717493</v>
      </c>
      <c r="F157" s="16" t="s">
        <v>2057</v>
      </c>
      <c r="G157" s="16" t="s">
        <v>2100</v>
      </c>
      <c r="H157" s="16" t="s">
        <v>1400</v>
      </c>
      <c r="I157" s="17" t="n">
        <v>400426</v>
      </c>
      <c r="J157" s="16" t="s">
        <v>831</v>
      </c>
      <c r="K157" s="17" t="n">
        <v>2501715573</v>
      </c>
      <c r="L157" s="18" t="n">
        <v>23</v>
      </c>
      <c r="M157" s="18" t="n">
        <v>23</v>
      </c>
      <c r="N157" s="17" t="n">
        <v>153000039</v>
      </c>
      <c r="O157" s="19" t="n">
        <v>47868</v>
      </c>
      <c r="P157" s="19" t="n">
        <v>46043</v>
      </c>
      <c r="Q157" s="15" t="n">
        <v>46070.6429050926</v>
      </c>
    </row>
    <row r="158" customFormat="false" ht="35.8" hidden="false" customHeight="false" outlineLevel="0" collapsed="false">
      <c r="A158" s="20" t="s">
        <v>109</v>
      </c>
      <c r="B158" s="20" t="s">
        <v>14</v>
      </c>
      <c r="C158" s="21" t="n">
        <v>46070.597662037</v>
      </c>
      <c r="D158" s="22" t="s">
        <v>2056</v>
      </c>
      <c r="E158" s="23" t="n">
        <v>2409717493</v>
      </c>
      <c r="F158" s="22" t="s">
        <v>2057</v>
      </c>
      <c r="G158" s="22" t="s">
        <v>2100</v>
      </c>
      <c r="H158" s="22" t="s">
        <v>1400</v>
      </c>
      <c r="I158" s="23" t="n">
        <v>400426</v>
      </c>
      <c r="J158" s="22" t="s">
        <v>831</v>
      </c>
      <c r="K158" s="23" t="n">
        <v>2501715573</v>
      </c>
      <c r="L158" s="24" t="n">
        <v>1</v>
      </c>
      <c r="M158" s="24" t="n">
        <v>1</v>
      </c>
      <c r="N158" s="23" t="n">
        <v>153000039</v>
      </c>
      <c r="O158" s="25" t="n">
        <v>47868</v>
      </c>
      <c r="P158" s="25" t="n">
        <v>46043</v>
      </c>
      <c r="Q158" s="21" t="n">
        <v>46070.6429050926</v>
      </c>
    </row>
    <row r="159" customFormat="false" ht="35.8" hidden="false" customHeight="false" outlineLevel="0" collapsed="false">
      <c r="A159" s="14" t="s">
        <v>109</v>
      </c>
      <c r="B159" s="14" t="s">
        <v>14</v>
      </c>
      <c r="C159" s="15" t="n">
        <v>46070.597662037</v>
      </c>
      <c r="D159" s="16" t="s">
        <v>2056</v>
      </c>
      <c r="E159" s="17" t="n">
        <v>2409717493</v>
      </c>
      <c r="F159" s="16" t="s">
        <v>2057</v>
      </c>
      <c r="G159" s="16" t="s">
        <v>2100</v>
      </c>
      <c r="H159" s="16" t="s">
        <v>1400</v>
      </c>
      <c r="I159" s="17" t="n">
        <v>400426</v>
      </c>
      <c r="J159" s="16" t="s">
        <v>831</v>
      </c>
      <c r="K159" s="17" t="n">
        <v>2501715573</v>
      </c>
      <c r="L159" s="18" t="n">
        <v>24</v>
      </c>
      <c r="M159" s="18" t="n">
        <v>24</v>
      </c>
      <c r="N159" s="17" t="n">
        <v>153000039</v>
      </c>
      <c r="O159" s="19" t="n">
        <v>47868</v>
      </c>
      <c r="P159" s="19" t="n">
        <v>46043</v>
      </c>
      <c r="Q159" s="15" t="n">
        <v>46070.6429050926</v>
      </c>
    </row>
    <row r="160" customFormat="false" ht="35.8" hidden="false" customHeight="false" outlineLevel="0" collapsed="false">
      <c r="A160" s="20" t="s">
        <v>109</v>
      </c>
      <c r="B160" s="20" t="s">
        <v>14</v>
      </c>
      <c r="C160" s="21" t="n">
        <v>46070.597662037</v>
      </c>
      <c r="D160" s="22" t="s">
        <v>2056</v>
      </c>
      <c r="E160" s="23" t="n">
        <v>2409717493</v>
      </c>
      <c r="F160" s="22" t="s">
        <v>2057</v>
      </c>
      <c r="G160" s="22" t="s">
        <v>2100</v>
      </c>
      <c r="H160" s="22" t="s">
        <v>1400</v>
      </c>
      <c r="I160" s="23" t="n">
        <v>400426</v>
      </c>
      <c r="J160" s="22" t="s">
        <v>831</v>
      </c>
      <c r="K160" s="23" t="n">
        <v>2501715573</v>
      </c>
      <c r="L160" s="24" t="n">
        <v>24</v>
      </c>
      <c r="M160" s="24" t="n">
        <v>24</v>
      </c>
      <c r="N160" s="23" t="n">
        <v>153000039</v>
      </c>
      <c r="O160" s="25" t="n">
        <v>47868</v>
      </c>
      <c r="P160" s="25" t="n">
        <v>46043</v>
      </c>
      <c r="Q160" s="21" t="n">
        <v>46070.6429050926</v>
      </c>
    </row>
    <row r="161" customFormat="false" ht="35.8" hidden="false" customHeight="false" outlineLevel="0" collapsed="false">
      <c r="A161" s="14" t="s">
        <v>109</v>
      </c>
      <c r="B161" s="14" t="s">
        <v>14</v>
      </c>
      <c r="C161" s="15" t="n">
        <v>46070.597662037</v>
      </c>
      <c r="D161" s="16" t="s">
        <v>2056</v>
      </c>
      <c r="E161" s="17" t="n">
        <v>2409717493</v>
      </c>
      <c r="F161" s="16" t="s">
        <v>2057</v>
      </c>
      <c r="G161" s="16" t="s">
        <v>2100</v>
      </c>
      <c r="H161" s="16" t="s">
        <v>1400</v>
      </c>
      <c r="I161" s="17" t="n">
        <v>400426</v>
      </c>
      <c r="J161" s="16" t="s">
        <v>831</v>
      </c>
      <c r="K161" s="17" t="n">
        <v>2501715573</v>
      </c>
      <c r="L161" s="18" t="n">
        <v>24</v>
      </c>
      <c r="M161" s="18" t="n">
        <v>24</v>
      </c>
      <c r="N161" s="17" t="n">
        <v>153000039</v>
      </c>
      <c r="O161" s="19" t="n">
        <v>47868</v>
      </c>
      <c r="P161" s="19" t="n">
        <v>46043</v>
      </c>
      <c r="Q161" s="15" t="n">
        <v>46070.6429050926</v>
      </c>
    </row>
    <row r="162" customFormat="false" ht="35.8" hidden="false" customHeight="false" outlineLevel="0" collapsed="false">
      <c r="A162" s="20" t="s">
        <v>109</v>
      </c>
      <c r="B162" s="20" t="s">
        <v>14</v>
      </c>
      <c r="C162" s="21" t="n">
        <v>46070.597662037</v>
      </c>
      <c r="D162" s="22" t="s">
        <v>2056</v>
      </c>
      <c r="E162" s="23" t="n">
        <v>2409717493</v>
      </c>
      <c r="F162" s="22" t="s">
        <v>2057</v>
      </c>
      <c r="G162" s="22" t="s">
        <v>2100</v>
      </c>
      <c r="H162" s="22" t="s">
        <v>1400</v>
      </c>
      <c r="I162" s="23" t="n">
        <v>400426</v>
      </c>
      <c r="J162" s="22" t="s">
        <v>831</v>
      </c>
      <c r="K162" s="23" t="n">
        <v>2501715573</v>
      </c>
      <c r="L162" s="24" t="n">
        <v>24</v>
      </c>
      <c r="M162" s="24" t="n">
        <v>24</v>
      </c>
      <c r="N162" s="23" t="n">
        <v>153000039</v>
      </c>
      <c r="O162" s="25" t="n">
        <v>47868</v>
      </c>
      <c r="P162" s="25" t="n">
        <v>46043</v>
      </c>
      <c r="Q162" s="21" t="n">
        <v>46070.6429050926</v>
      </c>
    </row>
    <row r="163" customFormat="false" ht="35.8" hidden="false" customHeight="false" outlineLevel="0" collapsed="false">
      <c r="A163" s="14" t="s">
        <v>109</v>
      </c>
      <c r="B163" s="14" t="s">
        <v>14</v>
      </c>
      <c r="C163" s="15" t="n">
        <v>46070.597662037</v>
      </c>
      <c r="D163" s="16" t="s">
        <v>2056</v>
      </c>
      <c r="E163" s="17" t="n">
        <v>2409717493</v>
      </c>
      <c r="F163" s="16" t="s">
        <v>2057</v>
      </c>
      <c r="G163" s="16" t="s">
        <v>2100</v>
      </c>
      <c r="H163" s="16" t="s">
        <v>1400</v>
      </c>
      <c r="I163" s="17" t="n">
        <v>400426</v>
      </c>
      <c r="J163" s="16" t="s">
        <v>831</v>
      </c>
      <c r="K163" s="17" t="n">
        <v>2501715573</v>
      </c>
      <c r="L163" s="18" t="n">
        <v>24</v>
      </c>
      <c r="M163" s="18" t="n">
        <v>24</v>
      </c>
      <c r="N163" s="17" t="n">
        <v>153000039</v>
      </c>
      <c r="O163" s="19" t="n">
        <v>47868</v>
      </c>
      <c r="P163" s="19" t="n">
        <v>46043</v>
      </c>
      <c r="Q163" s="15" t="n">
        <v>46070.6429050926</v>
      </c>
    </row>
    <row r="164" customFormat="false" ht="35.8" hidden="false" customHeight="false" outlineLevel="0" collapsed="false">
      <c r="A164" s="20" t="s">
        <v>109</v>
      </c>
      <c r="B164" s="20" t="s">
        <v>14</v>
      </c>
      <c r="C164" s="21" t="n">
        <v>46070.597662037</v>
      </c>
      <c r="D164" s="22" t="s">
        <v>2056</v>
      </c>
      <c r="E164" s="23" t="n">
        <v>2409717493</v>
      </c>
      <c r="F164" s="22" t="s">
        <v>2057</v>
      </c>
      <c r="G164" s="22" t="s">
        <v>2100</v>
      </c>
      <c r="H164" s="22" t="s">
        <v>1400</v>
      </c>
      <c r="I164" s="23" t="n">
        <v>400426</v>
      </c>
      <c r="J164" s="22" t="s">
        <v>831</v>
      </c>
      <c r="K164" s="23" t="n">
        <v>2501715573</v>
      </c>
      <c r="L164" s="24" t="n">
        <v>24</v>
      </c>
      <c r="M164" s="24" t="n">
        <v>24</v>
      </c>
      <c r="N164" s="23" t="n">
        <v>153000039</v>
      </c>
      <c r="O164" s="25" t="n">
        <v>47868</v>
      </c>
      <c r="P164" s="25" t="n">
        <v>46043</v>
      </c>
      <c r="Q164" s="21" t="n">
        <v>46070.6429050926</v>
      </c>
    </row>
    <row r="165" customFormat="false" ht="35.8" hidden="false" customHeight="false" outlineLevel="0" collapsed="false">
      <c r="A165" s="14" t="s">
        <v>109</v>
      </c>
      <c r="B165" s="14" t="s">
        <v>14</v>
      </c>
      <c r="C165" s="15" t="n">
        <v>46070.597662037</v>
      </c>
      <c r="D165" s="16" t="s">
        <v>2056</v>
      </c>
      <c r="E165" s="17" t="n">
        <v>2409717493</v>
      </c>
      <c r="F165" s="16" t="s">
        <v>2057</v>
      </c>
      <c r="G165" s="16" t="s">
        <v>2100</v>
      </c>
      <c r="H165" s="16" t="s">
        <v>1400</v>
      </c>
      <c r="I165" s="17" t="n">
        <v>400426</v>
      </c>
      <c r="J165" s="16" t="s">
        <v>831</v>
      </c>
      <c r="K165" s="17" t="n">
        <v>2501715573</v>
      </c>
      <c r="L165" s="18" t="n">
        <v>24</v>
      </c>
      <c r="M165" s="18" t="n">
        <v>24</v>
      </c>
      <c r="N165" s="17" t="n">
        <v>153000039</v>
      </c>
      <c r="O165" s="19" t="n">
        <v>47868</v>
      </c>
      <c r="P165" s="19" t="n">
        <v>46043</v>
      </c>
      <c r="Q165" s="15" t="n">
        <v>46070.6429050926</v>
      </c>
    </row>
    <row r="166" customFormat="false" ht="35.8" hidden="false" customHeight="false" outlineLevel="0" collapsed="false">
      <c r="A166" s="20" t="s">
        <v>109</v>
      </c>
      <c r="B166" s="20" t="s">
        <v>14</v>
      </c>
      <c r="C166" s="21" t="n">
        <v>46070.597662037</v>
      </c>
      <c r="D166" s="22" t="s">
        <v>2056</v>
      </c>
      <c r="E166" s="23" t="n">
        <v>2409717493</v>
      </c>
      <c r="F166" s="22" t="s">
        <v>2057</v>
      </c>
      <c r="G166" s="22" t="s">
        <v>2100</v>
      </c>
      <c r="H166" s="22" t="s">
        <v>1400</v>
      </c>
      <c r="I166" s="23" t="n">
        <v>400426</v>
      </c>
      <c r="J166" s="22" t="s">
        <v>831</v>
      </c>
      <c r="K166" s="23" t="n">
        <v>2501715573</v>
      </c>
      <c r="L166" s="24" t="n">
        <v>24</v>
      </c>
      <c r="M166" s="24" t="n">
        <v>24</v>
      </c>
      <c r="N166" s="23" t="n">
        <v>153000039</v>
      </c>
      <c r="O166" s="25" t="n">
        <v>47868</v>
      </c>
      <c r="P166" s="25" t="n">
        <v>46043</v>
      </c>
      <c r="Q166" s="21" t="n">
        <v>46070.6429050926</v>
      </c>
    </row>
    <row r="167" customFormat="false" ht="35.8" hidden="false" customHeight="false" outlineLevel="0" collapsed="false">
      <c r="A167" s="14" t="s">
        <v>13</v>
      </c>
      <c r="B167" s="14" t="s">
        <v>14</v>
      </c>
      <c r="C167" s="15" t="n">
        <v>46070.6956134259</v>
      </c>
      <c r="D167" s="16" t="s">
        <v>2056</v>
      </c>
      <c r="E167" s="17" t="n">
        <v>2409717494</v>
      </c>
      <c r="F167" s="16" t="s">
        <v>2057</v>
      </c>
      <c r="G167" s="16" t="s">
        <v>2101</v>
      </c>
      <c r="H167" s="16" t="s">
        <v>2102</v>
      </c>
      <c r="I167" s="17" t="n">
        <v>400426</v>
      </c>
      <c r="J167" s="16" t="s">
        <v>831</v>
      </c>
      <c r="K167" s="17" t="n">
        <v>2501715575</v>
      </c>
      <c r="L167" s="18" t="n">
        <v>24</v>
      </c>
      <c r="M167" s="18" t="n">
        <v>24</v>
      </c>
      <c r="N167" s="17" t="n">
        <v>153000039</v>
      </c>
      <c r="O167" s="19" t="n">
        <v>47868</v>
      </c>
      <c r="P167" s="19" t="n">
        <v>46043</v>
      </c>
      <c r="Q167" s="15" t="n">
        <v>46071.5380902778</v>
      </c>
    </row>
    <row r="168" customFormat="false" ht="35.8" hidden="false" customHeight="false" outlineLevel="0" collapsed="false">
      <c r="A168" s="20" t="s">
        <v>13</v>
      </c>
      <c r="B168" s="20" t="s">
        <v>14</v>
      </c>
      <c r="C168" s="21" t="n">
        <v>46070.6956134259</v>
      </c>
      <c r="D168" s="22" t="s">
        <v>2056</v>
      </c>
      <c r="E168" s="23" t="n">
        <v>2409717494</v>
      </c>
      <c r="F168" s="22" t="s">
        <v>2057</v>
      </c>
      <c r="G168" s="22" t="s">
        <v>2101</v>
      </c>
      <c r="H168" s="22" t="s">
        <v>2102</v>
      </c>
      <c r="I168" s="23" t="n">
        <v>400426</v>
      </c>
      <c r="J168" s="22" t="s">
        <v>831</v>
      </c>
      <c r="K168" s="23" t="n">
        <v>2501715575</v>
      </c>
      <c r="L168" s="24" t="n">
        <v>6</v>
      </c>
      <c r="M168" s="24" t="n">
        <v>6</v>
      </c>
      <c r="N168" s="23" t="n">
        <v>153000039</v>
      </c>
      <c r="O168" s="25" t="n">
        <v>47868</v>
      </c>
      <c r="P168" s="25" t="n">
        <v>46043</v>
      </c>
      <c r="Q168" s="21" t="n">
        <v>46071.5380902778</v>
      </c>
    </row>
    <row r="169" customFormat="false" ht="35.8" hidden="false" customHeight="false" outlineLevel="0" collapsed="false">
      <c r="A169" s="14" t="s">
        <v>13</v>
      </c>
      <c r="B169" s="14" t="s">
        <v>14</v>
      </c>
      <c r="C169" s="15" t="n">
        <v>46070.6956134259</v>
      </c>
      <c r="D169" s="16" t="s">
        <v>2056</v>
      </c>
      <c r="E169" s="17" t="n">
        <v>2409717494</v>
      </c>
      <c r="F169" s="16" t="s">
        <v>2057</v>
      </c>
      <c r="G169" s="16" t="s">
        <v>2101</v>
      </c>
      <c r="H169" s="16" t="s">
        <v>2102</v>
      </c>
      <c r="I169" s="17" t="n">
        <v>400426</v>
      </c>
      <c r="J169" s="16" t="s">
        <v>831</v>
      </c>
      <c r="K169" s="17" t="n">
        <v>2501715575</v>
      </c>
      <c r="L169" s="18" t="n">
        <v>24</v>
      </c>
      <c r="M169" s="18" t="n">
        <v>24</v>
      </c>
      <c r="N169" s="17" t="n">
        <v>153000039</v>
      </c>
      <c r="O169" s="19" t="n">
        <v>47868</v>
      </c>
      <c r="P169" s="19" t="n">
        <v>46043</v>
      </c>
      <c r="Q169" s="15" t="n">
        <v>46071.5380902778</v>
      </c>
    </row>
    <row r="170" customFormat="false" ht="24.3" hidden="false" customHeight="false" outlineLevel="0" collapsed="false">
      <c r="A170" s="20" t="s">
        <v>13</v>
      </c>
      <c r="B170" s="20" t="s">
        <v>14</v>
      </c>
      <c r="C170" s="21" t="n">
        <v>46070.7023958333</v>
      </c>
      <c r="D170" s="22" t="s">
        <v>2056</v>
      </c>
      <c r="E170" s="23" t="n">
        <v>2409717315</v>
      </c>
      <c r="F170" s="22" t="s">
        <v>2057</v>
      </c>
      <c r="G170" s="22" t="s">
        <v>2103</v>
      </c>
      <c r="H170" s="22" t="s">
        <v>2104</v>
      </c>
      <c r="I170" s="23" t="n">
        <v>400396</v>
      </c>
      <c r="J170" s="22" t="s">
        <v>170</v>
      </c>
      <c r="K170" s="23" t="n">
        <v>2501715587</v>
      </c>
      <c r="L170" s="24" t="n">
        <v>35</v>
      </c>
      <c r="M170" s="24" t="n">
        <v>35</v>
      </c>
      <c r="N170" s="23" t="n">
        <v>100010226</v>
      </c>
      <c r="O170" s="25" t="n">
        <v>47756</v>
      </c>
      <c r="P170" s="25" t="n">
        <v>45931</v>
      </c>
      <c r="Q170" s="21" t="n">
        <v>46071.5386342593</v>
      </c>
    </row>
    <row r="171" customFormat="false" ht="24.3" hidden="false" customHeight="false" outlineLevel="0" collapsed="false">
      <c r="A171" s="14" t="s">
        <v>13</v>
      </c>
      <c r="B171" s="14" t="s">
        <v>14</v>
      </c>
      <c r="C171" s="15" t="n">
        <v>46070.7023958333</v>
      </c>
      <c r="D171" s="16" t="s">
        <v>2056</v>
      </c>
      <c r="E171" s="17" t="n">
        <v>2409717315</v>
      </c>
      <c r="F171" s="16" t="s">
        <v>2057</v>
      </c>
      <c r="G171" s="16" t="s">
        <v>2103</v>
      </c>
      <c r="H171" s="16" t="s">
        <v>2104</v>
      </c>
      <c r="I171" s="17" t="n">
        <v>400919</v>
      </c>
      <c r="J171" s="16" t="s">
        <v>420</v>
      </c>
      <c r="K171" s="17" t="n">
        <v>2501715587</v>
      </c>
      <c r="L171" s="18" t="n">
        <v>14</v>
      </c>
      <c r="M171" s="18" t="n">
        <v>14</v>
      </c>
      <c r="N171" s="17" t="n">
        <v>100011193</v>
      </c>
      <c r="O171" s="19" t="n">
        <v>47841</v>
      </c>
      <c r="P171" s="19" t="n">
        <v>46016</v>
      </c>
      <c r="Q171" s="15" t="n">
        <v>46071.5386342593</v>
      </c>
    </row>
    <row r="172" customFormat="false" ht="24.3" hidden="false" customHeight="false" outlineLevel="0" collapsed="false">
      <c r="A172" s="20" t="s">
        <v>13</v>
      </c>
      <c r="B172" s="20" t="s">
        <v>14</v>
      </c>
      <c r="C172" s="21" t="n">
        <v>46070.7023958333</v>
      </c>
      <c r="D172" s="22" t="s">
        <v>2056</v>
      </c>
      <c r="E172" s="23" t="n">
        <v>2409717315</v>
      </c>
      <c r="F172" s="22" t="s">
        <v>2057</v>
      </c>
      <c r="G172" s="22" t="s">
        <v>2103</v>
      </c>
      <c r="H172" s="22" t="s">
        <v>2104</v>
      </c>
      <c r="I172" s="23" t="n">
        <v>400919</v>
      </c>
      <c r="J172" s="22" t="s">
        <v>420</v>
      </c>
      <c r="K172" s="23" t="n">
        <v>2501715587</v>
      </c>
      <c r="L172" s="24" t="n">
        <v>24</v>
      </c>
      <c r="M172" s="24" t="n">
        <v>24</v>
      </c>
      <c r="N172" s="23" t="n">
        <v>100011193</v>
      </c>
      <c r="O172" s="25" t="n">
        <v>47841</v>
      </c>
      <c r="P172" s="25" t="n">
        <v>46016</v>
      </c>
      <c r="Q172" s="21" t="n">
        <v>46071.5386342593</v>
      </c>
    </row>
    <row r="173" customFormat="false" ht="24.3" hidden="false" customHeight="false" outlineLevel="0" collapsed="false">
      <c r="A173" s="14" t="s">
        <v>13</v>
      </c>
      <c r="B173" s="14" t="s">
        <v>14</v>
      </c>
      <c r="C173" s="15" t="n">
        <v>46070.7023958333</v>
      </c>
      <c r="D173" s="16" t="s">
        <v>2056</v>
      </c>
      <c r="E173" s="17" t="n">
        <v>2409717315</v>
      </c>
      <c r="F173" s="16" t="s">
        <v>2057</v>
      </c>
      <c r="G173" s="16" t="s">
        <v>2103</v>
      </c>
      <c r="H173" s="16" t="s">
        <v>2104</v>
      </c>
      <c r="I173" s="17" t="n">
        <v>400919</v>
      </c>
      <c r="J173" s="16" t="s">
        <v>420</v>
      </c>
      <c r="K173" s="17" t="n">
        <v>2501715587</v>
      </c>
      <c r="L173" s="18" t="n">
        <v>24</v>
      </c>
      <c r="M173" s="18" t="n">
        <v>24</v>
      </c>
      <c r="N173" s="17" t="n">
        <v>100011193</v>
      </c>
      <c r="O173" s="19" t="n">
        <v>47841</v>
      </c>
      <c r="P173" s="19" t="n">
        <v>46016</v>
      </c>
      <c r="Q173" s="15" t="n">
        <v>46071.5386342593</v>
      </c>
    </row>
    <row r="174" customFormat="false" ht="24.3" hidden="false" customHeight="false" outlineLevel="0" collapsed="false">
      <c r="A174" s="20" t="s">
        <v>13</v>
      </c>
      <c r="B174" s="20" t="s">
        <v>14</v>
      </c>
      <c r="C174" s="21" t="n">
        <v>46070.7023958333</v>
      </c>
      <c r="D174" s="22" t="s">
        <v>2056</v>
      </c>
      <c r="E174" s="23" t="n">
        <v>2409717315</v>
      </c>
      <c r="F174" s="22" t="s">
        <v>2057</v>
      </c>
      <c r="G174" s="22" t="s">
        <v>2103</v>
      </c>
      <c r="H174" s="22" t="s">
        <v>2104</v>
      </c>
      <c r="I174" s="23" t="n">
        <v>400919</v>
      </c>
      <c r="J174" s="22" t="s">
        <v>420</v>
      </c>
      <c r="K174" s="23" t="n">
        <v>2501715587</v>
      </c>
      <c r="L174" s="24" t="n">
        <v>24</v>
      </c>
      <c r="M174" s="24" t="n">
        <v>24</v>
      </c>
      <c r="N174" s="23" t="n">
        <v>100011193</v>
      </c>
      <c r="O174" s="25" t="n">
        <v>47841</v>
      </c>
      <c r="P174" s="25" t="n">
        <v>46016</v>
      </c>
      <c r="Q174" s="21" t="n">
        <v>46071.5386342593</v>
      </c>
    </row>
    <row r="175" customFormat="false" ht="24.3" hidden="false" customHeight="false" outlineLevel="0" collapsed="false">
      <c r="A175" s="14" t="s">
        <v>13</v>
      </c>
      <c r="B175" s="14" t="s">
        <v>14</v>
      </c>
      <c r="C175" s="15" t="n">
        <v>46070.7023958333</v>
      </c>
      <c r="D175" s="16" t="s">
        <v>2056</v>
      </c>
      <c r="E175" s="17" t="n">
        <v>2409717315</v>
      </c>
      <c r="F175" s="16" t="s">
        <v>2057</v>
      </c>
      <c r="G175" s="16" t="s">
        <v>2103</v>
      </c>
      <c r="H175" s="16" t="s">
        <v>2104</v>
      </c>
      <c r="I175" s="17" t="n">
        <v>400919</v>
      </c>
      <c r="J175" s="16" t="s">
        <v>420</v>
      </c>
      <c r="K175" s="17" t="n">
        <v>2501715587</v>
      </c>
      <c r="L175" s="18" t="n">
        <v>24</v>
      </c>
      <c r="M175" s="18" t="n">
        <v>24</v>
      </c>
      <c r="N175" s="17" t="n">
        <v>100011193</v>
      </c>
      <c r="O175" s="19" t="n">
        <v>47841</v>
      </c>
      <c r="P175" s="19" t="n">
        <v>46016</v>
      </c>
      <c r="Q175" s="15" t="n">
        <v>46071.5386342593</v>
      </c>
    </row>
    <row r="176" customFormat="false" ht="24.3" hidden="false" customHeight="false" outlineLevel="0" collapsed="false">
      <c r="A176" s="20" t="s">
        <v>13</v>
      </c>
      <c r="B176" s="20" t="s">
        <v>14</v>
      </c>
      <c r="C176" s="21" t="n">
        <v>46070.7023958333</v>
      </c>
      <c r="D176" s="22" t="s">
        <v>2056</v>
      </c>
      <c r="E176" s="23" t="n">
        <v>2409717315</v>
      </c>
      <c r="F176" s="22" t="s">
        <v>2057</v>
      </c>
      <c r="G176" s="22" t="s">
        <v>2103</v>
      </c>
      <c r="H176" s="22" t="s">
        <v>2104</v>
      </c>
      <c r="I176" s="23" t="n">
        <v>400919</v>
      </c>
      <c r="J176" s="22" t="s">
        <v>420</v>
      </c>
      <c r="K176" s="23" t="n">
        <v>2501715587</v>
      </c>
      <c r="L176" s="24" t="n">
        <v>24</v>
      </c>
      <c r="M176" s="24" t="n">
        <v>24</v>
      </c>
      <c r="N176" s="23" t="n">
        <v>100011193</v>
      </c>
      <c r="O176" s="25" t="n">
        <v>47841</v>
      </c>
      <c r="P176" s="25" t="n">
        <v>46016</v>
      </c>
      <c r="Q176" s="21" t="n">
        <v>46071.5386342593</v>
      </c>
    </row>
    <row r="177" customFormat="false" ht="24.3" hidden="false" customHeight="false" outlineLevel="0" collapsed="false">
      <c r="A177" s="14" t="s">
        <v>13</v>
      </c>
      <c r="B177" s="14" t="s">
        <v>14</v>
      </c>
      <c r="C177" s="15" t="n">
        <v>46070.7023958333</v>
      </c>
      <c r="D177" s="16" t="s">
        <v>2056</v>
      </c>
      <c r="E177" s="17" t="n">
        <v>2409717315</v>
      </c>
      <c r="F177" s="16" t="s">
        <v>2057</v>
      </c>
      <c r="G177" s="16" t="s">
        <v>2103</v>
      </c>
      <c r="H177" s="16" t="s">
        <v>2104</v>
      </c>
      <c r="I177" s="17" t="n">
        <v>400919</v>
      </c>
      <c r="J177" s="16" t="s">
        <v>420</v>
      </c>
      <c r="K177" s="17" t="n">
        <v>2501715587</v>
      </c>
      <c r="L177" s="18" t="n">
        <v>24</v>
      </c>
      <c r="M177" s="18" t="n">
        <v>24</v>
      </c>
      <c r="N177" s="17" t="n">
        <v>100011193</v>
      </c>
      <c r="O177" s="19" t="n">
        <v>47841</v>
      </c>
      <c r="P177" s="19" t="n">
        <v>46016</v>
      </c>
      <c r="Q177" s="15" t="n">
        <v>46071.5386342593</v>
      </c>
    </row>
    <row r="178" customFormat="false" ht="24.3" hidden="false" customHeight="false" outlineLevel="0" collapsed="false">
      <c r="A178" s="20" t="s">
        <v>13</v>
      </c>
      <c r="B178" s="20" t="s">
        <v>14</v>
      </c>
      <c r="C178" s="21" t="n">
        <v>46070.7023958333</v>
      </c>
      <c r="D178" s="22" t="s">
        <v>2056</v>
      </c>
      <c r="E178" s="23" t="n">
        <v>2409717315</v>
      </c>
      <c r="F178" s="22" t="s">
        <v>2057</v>
      </c>
      <c r="G178" s="22" t="s">
        <v>2103</v>
      </c>
      <c r="H178" s="22" t="s">
        <v>2104</v>
      </c>
      <c r="I178" s="23" t="n">
        <v>400396</v>
      </c>
      <c r="J178" s="22" t="s">
        <v>170</v>
      </c>
      <c r="K178" s="23" t="n">
        <v>2501715587</v>
      </c>
      <c r="L178" s="24" t="n">
        <v>32</v>
      </c>
      <c r="M178" s="24" t="n">
        <v>32</v>
      </c>
      <c r="N178" s="23" t="n">
        <v>100011104</v>
      </c>
      <c r="O178" s="25" t="n">
        <v>47833</v>
      </c>
      <c r="P178" s="25" t="n">
        <v>46008</v>
      </c>
      <c r="Q178" s="21" t="n">
        <v>46071.5386342593</v>
      </c>
    </row>
    <row r="179" customFormat="false" ht="24.3" hidden="false" customHeight="false" outlineLevel="0" collapsed="false">
      <c r="A179" s="14" t="s">
        <v>13</v>
      </c>
      <c r="B179" s="14" t="s">
        <v>14</v>
      </c>
      <c r="C179" s="15" t="n">
        <v>46070.7023958333</v>
      </c>
      <c r="D179" s="16" t="s">
        <v>2056</v>
      </c>
      <c r="E179" s="17" t="n">
        <v>2409717315</v>
      </c>
      <c r="F179" s="16" t="s">
        <v>2057</v>
      </c>
      <c r="G179" s="16" t="s">
        <v>2103</v>
      </c>
      <c r="H179" s="16" t="s">
        <v>2104</v>
      </c>
      <c r="I179" s="17" t="n">
        <v>400396</v>
      </c>
      <c r="J179" s="16" t="s">
        <v>170</v>
      </c>
      <c r="K179" s="17" t="n">
        <v>2501715587</v>
      </c>
      <c r="L179" s="18" t="n">
        <v>52</v>
      </c>
      <c r="M179" s="18" t="n">
        <v>52</v>
      </c>
      <c r="N179" s="17" t="n">
        <v>100010353</v>
      </c>
      <c r="O179" s="19" t="n">
        <v>47767</v>
      </c>
      <c r="P179" s="19" t="n">
        <v>45942</v>
      </c>
      <c r="Q179" s="15" t="n">
        <v>46071.5386342593</v>
      </c>
    </row>
    <row r="180" customFormat="false" ht="24.3" hidden="false" customHeight="false" outlineLevel="0" collapsed="false">
      <c r="A180" s="20" t="s">
        <v>13</v>
      </c>
      <c r="B180" s="20" t="s">
        <v>14</v>
      </c>
      <c r="C180" s="21" t="n">
        <v>46070.7023958333</v>
      </c>
      <c r="D180" s="22" t="s">
        <v>2056</v>
      </c>
      <c r="E180" s="23" t="n">
        <v>2409717315</v>
      </c>
      <c r="F180" s="22" t="s">
        <v>2057</v>
      </c>
      <c r="G180" s="22" t="s">
        <v>2103</v>
      </c>
      <c r="H180" s="22" t="s">
        <v>2104</v>
      </c>
      <c r="I180" s="23" t="n">
        <v>400396</v>
      </c>
      <c r="J180" s="22" t="s">
        <v>170</v>
      </c>
      <c r="K180" s="23" t="n">
        <v>2501715587</v>
      </c>
      <c r="L180" s="24" t="n">
        <v>52</v>
      </c>
      <c r="M180" s="24" t="n">
        <v>52</v>
      </c>
      <c r="N180" s="23" t="n">
        <v>100010353</v>
      </c>
      <c r="O180" s="25" t="n">
        <v>47767</v>
      </c>
      <c r="P180" s="25" t="n">
        <v>45942</v>
      </c>
      <c r="Q180" s="21" t="n">
        <v>46071.5386342593</v>
      </c>
    </row>
    <row r="181" customFormat="false" ht="24.3" hidden="false" customHeight="false" outlineLevel="0" collapsed="false">
      <c r="A181" s="14" t="s">
        <v>13</v>
      </c>
      <c r="B181" s="14" t="s">
        <v>14</v>
      </c>
      <c r="C181" s="15" t="n">
        <v>46070.7023958333</v>
      </c>
      <c r="D181" s="16" t="s">
        <v>2056</v>
      </c>
      <c r="E181" s="17" t="n">
        <v>2409717315</v>
      </c>
      <c r="F181" s="16" t="s">
        <v>2057</v>
      </c>
      <c r="G181" s="16" t="s">
        <v>2103</v>
      </c>
      <c r="H181" s="16" t="s">
        <v>2104</v>
      </c>
      <c r="I181" s="17" t="n">
        <v>400396</v>
      </c>
      <c r="J181" s="16" t="s">
        <v>170</v>
      </c>
      <c r="K181" s="17" t="n">
        <v>2501715587</v>
      </c>
      <c r="L181" s="18" t="n">
        <v>52</v>
      </c>
      <c r="M181" s="18" t="n">
        <v>52</v>
      </c>
      <c r="N181" s="17" t="n">
        <v>100010354</v>
      </c>
      <c r="O181" s="19" t="n">
        <v>47766</v>
      </c>
      <c r="P181" s="19" t="n">
        <v>45941</v>
      </c>
      <c r="Q181" s="15" t="n">
        <v>46071.5386342593</v>
      </c>
    </row>
    <row r="182" customFormat="false" ht="35.8" hidden="false" customHeight="false" outlineLevel="0" collapsed="false">
      <c r="A182" s="20" t="s">
        <v>13</v>
      </c>
      <c r="B182" s="20" t="s">
        <v>14</v>
      </c>
      <c r="C182" s="21" t="n">
        <v>46070.7024074074</v>
      </c>
      <c r="D182" s="22" t="s">
        <v>2056</v>
      </c>
      <c r="E182" s="23" t="n">
        <v>2409717499</v>
      </c>
      <c r="F182" s="22" t="s">
        <v>2057</v>
      </c>
      <c r="G182" s="22" t="s">
        <v>2105</v>
      </c>
      <c r="H182" s="22" t="s">
        <v>1400</v>
      </c>
      <c r="I182" s="23" t="n">
        <v>400441</v>
      </c>
      <c r="J182" s="22" t="s">
        <v>80</v>
      </c>
      <c r="K182" s="23" t="n">
        <v>2501715589</v>
      </c>
      <c r="L182" s="24" t="n">
        <v>3</v>
      </c>
      <c r="M182" s="24" t="n">
        <v>3</v>
      </c>
      <c r="N182" s="23" t="n">
        <v>100011111</v>
      </c>
      <c r="O182" s="25" t="n">
        <v>47834</v>
      </c>
      <c r="P182" s="25" t="n">
        <v>46009</v>
      </c>
      <c r="Q182" s="21" t="n">
        <v>46071.5077199074</v>
      </c>
    </row>
    <row r="183" customFormat="false" ht="35.8" hidden="false" customHeight="false" outlineLevel="0" collapsed="false">
      <c r="A183" s="14" t="s">
        <v>13</v>
      </c>
      <c r="B183" s="14" t="s">
        <v>14</v>
      </c>
      <c r="C183" s="15" t="n">
        <v>46070.7024074074</v>
      </c>
      <c r="D183" s="16" t="s">
        <v>2056</v>
      </c>
      <c r="E183" s="17" t="n">
        <v>2409717499</v>
      </c>
      <c r="F183" s="16" t="s">
        <v>2057</v>
      </c>
      <c r="G183" s="16" t="s">
        <v>2105</v>
      </c>
      <c r="H183" s="16" t="s">
        <v>1400</v>
      </c>
      <c r="I183" s="17" t="n">
        <v>400441</v>
      </c>
      <c r="J183" s="16" t="s">
        <v>80</v>
      </c>
      <c r="K183" s="17" t="n">
        <v>2501715589</v>
      </c>
      <c r="L183" s="18" t="n">
        <v>3</v>
      </c>
      <c r="M183" s="18" t="n">
        <v>3</v>
      </c>
      <c r="N183" s="17" t="n">
        <v>100011145</v>
      </c>
      <c r="O183" s="19" t="n">
        <v>47838</v>
      </c>
      <c r="P183" s="19" t="n">
        <v>46013</v>
      </c>
      <c r="Q183" s="15" t="n">
        <v>46071.5077199074</v>
      </c>
    </row>
    <row r="184" customFormat="false" ht="35.8" hidden="false" customHeight="false" outlineLevel="0" collapsed="false">
      <c r="A184" s="20" t="s">
        <v>13</v>
      </c>
      <c r="B184" s="20" t="s">
        <v>14</v>
      </c>
      <c r="C184" s="21" t="n">
        <v>46070.7024074074</v>
      </c>
      <c r="D184" s="22" t="s">
        <v>2056</v>
      </c>
      <c r="E184" s="23" t="n">
        <v>2409717499</v>
      </c>
      <c r="F184" s="22" t="s">
        <v>2057</v>
      </c>
      <c r="G184" s="22" t="s">
        <v>2105</v>
      </c>
      <c r="H184" s="22" t="s">
        <v>1400</v>
      </c>
      <c r="I184" s="23" t="n">
        <v>400441</v>
      </c>
      <c r="J184" s="22" t="s">
        <v>80</v>
      </c>
      <c r="K184" s="23" t="n">
        <v>2501715589</v>
      </c>
      <c r="L184" s="24" t="n">
        <v>4</v>
      </c>
      <c r="M184" s="24" t="n">
        <v>4</v>
      </c>
      <c r="N184" s="23" t="n">
        <v>100011145</v>
      </c>
      <c r="O184" s="25" t="n">
        <v>47838</v>
      </c>
      <c r="P184" s="25" t="n">
        <v>46013</v>
      </c>
      <c r="Q184" s="21" t="n">
        <v>46071.5077199074</v>
      </c>
    </row>
    <row r="185" customFormat="false" ht="35.8" hidden="false" customHeight="false" outlineLevel="0" collapsed="false">
      <c r="A185" s="14" t="s">
        <v>13</v>
      </c>
      <c r="B185" s="14" t="s">
        <v>14</v>
      </c>
      <c r="C185" s="15" t="n">
        <v>46070.7024074074</v>
      </c>
      <c r="D185" s="16" t="s">
        <v>2056</v>
      </c>
      <c r="E185" s="17" t="n">
        <v>2409717499</v>
      </c>
      <c r="F185" s="16" t="s">
        <v>2057</v>
      </c>
      <c r="G185" s="16" t="s">
        <v>2105</v>
      </c>
      <c r="H185" s="16" t="s">
        <v>1400</v>
      </c>
      <c r="I185" s="17" t="n">
        <v>400441</v>
      </c>
      <c r="J185" s="16" t="s">
        <v>80</v>
      </c>
      <c r="K185" s="17" t="n">
        <v>2501715589</v>
      </c>
      <c r="L185" s="18" t="n">
        <v>4</v>
      </c>
      <c r="M185" s="18" t="n">
        <v>4</v>
      </c>
      <c r="N185" s="17" t="n">
        <v>100011145</v>
      </c>
      <c r="O185" s="19" t="n">
        <v>47838</v>
      </c>
      <c r="P185" s="19" t="n">
        <v>46013</v>
      </c>
      <c r="Q185" s="15" t="n">
        <v>46071.5077199074</v>
      </c>
    </row>
    <row r="186" customFormat="false" ht="35.8" hidden="false" customHeight="false" outlineLevel="0" collapsed="false">
      <c r="A186" s="20" t="s">
        <v>13</v>
      </c>
      <c r="B186" s="20" t="s">
        <v>14</v>
      </c>
      <c r="C186" s="21" t="n">
        <v>46070.7024074074</v>
      </c>
      <c r="D186" s="22" t="s">
        <v>2056</v>
      </c>
      <c r="E186" s="23" t="n">
        <v>2409717499</v>
      </c>
      <c r="F186" s="22" t="s">
        <v>2057</v>
      </c>
      <c r="G186" s="22" t="s">
        <v>2105</v>
      </c>
      <c r="H186" s="22" t="s">
        <v>1400</v>
      </c>
      <c r="I186" s="23" t="n">
        <v>400441</v>
      </c>
      <c r="J186" s="22" t="s">
        <v>80</v>
      </c>
      <c r="K186" s="23" t="n">
        <v>2501715589</v>
      </c>
      <c r="L186" s="24" t="n">
        <v>4</v>
      </c>
      <c r="M186" s="24" t="n">
        <v>4</v>
      </c>
      <c r="N186" s="23" t="n">
        <v>100011145</v>
      </c>
      <c r="O186" s="25" t="n">
        <v>47838</v>
      </c>
      <c r="P186" s="25" t="n">
        <v>46013</v>
      </c>
      <c r="Q186" s="21" t="n">
        <v>46071.5077199074</v>
      </c>
    </row>
    <row r="187" customFormat="false" ht="35.8" hidden="false" customHeight="false" outlineLevel="0" collapsed="false">
      <c r="A187" s="14" t="s">
        <v>13</v>
      </c>
      <c r="B187" s="14" t="s">
        <v>14</v>
      </c>
      <c r="C187" s="15" t="n">
        <v>46070.7024074074</v>
      </c>
      <c r="D187" s="16" t="s">
        <v>2056</v>
      </c>
      <c r="E187" s="17" t="n">
        <v>2409717499</v>
      </c>
      <c r="F187" s="16" t="s">
        <v>2057</v>
      </c>
      <c r="G187" s="16" t="s">
        <v>2105</v>
      </c>
      <c r="H187" s="16" t="s">
        <v>1400</v>
      </c>
      <c r="I187" s="17" t="n">
        <v>400441</v>
      </c>
      <c r="J187" s="16" t="s">
        <v>80</v>
      </c>
      <c r="K187" s="17" t="n">
        <v>2501715589</v>
      </c>
      <c r="L187" s="18" t="n">
        <v>4</v>
      </c>
      <c r="M187" s="18" t="n">
        <v>4</v>
      </c>
      <c r="N187" s="17" t="n">
        <v>100011145</v>
      </c>
      <c r="O187" s="19" t="n">
        <v>47838</v>
      </c>
      <c r="P187" s="19" t="n">
        <v>46013</v>
      </c>
      <c r="Q187" s="15" t="n">
        <v>46071.5077199074</v>
      </c>
    </row>
    <row r="188" customFormat="false" ht="35.8" hidden="false" customHeight="false" outlineLevel="0" collapsed="false">
      <c r="A188" s="20" t="s">
        <v>13</v>
      </c>
      <c r="B188" s="20" t="s">
        <v>14</v>
      </c>
      <c r="C188" s="21" t="n">
        <v>46070.7024074074</v>
      </c>
      <c r="D188" s="22" t="s">
        <v>2056</v>
      </c>
      <c r="E188" s="23" t="n">
        <v>2409717499</v>
      </c>
      <c r="F188" s="22" t="s">
        <v>2057</v>
      </c>
      <c r="G188" s="22" t="s">
        <v>2105</v>
      </c>
      <c r="H188" s="22" t="s">
        <v>1400</v>
      </c>
      <c r="I188" s="23" t="n">
        <v>400441</v>
      </c>
      <c r="J188" s="22" t="s">
        <v>80</v>
      </c>
      <c r="K188" s="23" t="n">
        <v>2501715589</v>
      </c>
      <c r="L188" s="24" t="n">
        <v>4</v>
      </c>
      <c r="M188" s="24" t="n">
        <v>4</v>
      </c>
      <c r="N188" s="23" t="n">
        <v>100011145</v>
      </c>
      <c r="O188" s="25" t="n">
        <v>47838</v>
      </c>
      <c r="P188" s="25" t="n">
        <v>46013</v>
      </c>
      <c r="Q188" s="21" t="n">
        <v>46071.5077199074</v>
      </c>
    </row>
    <row r="189" customFormat="false" ht="35.8" hidden="false" customHeight="false" outlineLevel="0" collapsed="false">
      <c r="A189" s="14" t="s">
        <v>13</v>
      </c>
      <c r="B189" s="14" t="s">
        <v>14</v>
      </c>
      <c r="C189" s="15" t="n">
        <v>46070.7024074074</v>
      </c>
      <c r="D189" s="16" t="s">
        <v>2056</v>
      </c>
      <c r="E189" s="17" t="n">
        <v>2409717499</v>
      </c>
      <c r="F189" s="16" t="s">
        <v>2057</v>
      </c>
      <c r="G189" s="16" t="s">
        <v>2105</v>
      </c>
      <c r="H189" s="16" t="s">
        <v>1400</v>
      </c>
      <c r="I189" s="17" t="n">
        <v>400441</v>
      </c>
      <c r="J189" s="16" t="s">
        <v>80</v>
      </c>
      <c r="K189" s="17" t="n">
        <v>2501715589</v>
      </c>
      <c r="L189" s="18" t="n">
        <v>4</v>
      </c>
      <c r="M189" s="18" t="n">
        <v>4</v>
      </c>
      <c r="N189" s="17" t="n">
        <v>100011145</v>
      </c>
      <c r="O189" s="19" t="n">
        <v>47838</v>
      </c>
      <c r="P189" s="19" t="n">
        <v>46013</v>
      </c>
      <c r="Q189" s="15" t="n">
        <v>46071.5077199074</v>
      </c>
    </row>
    <row r="190" customFormat="false" ht="35.8" hidden="false" customHeight="false" outlineLevel="0" collapsed="false">
      <c r="A190" s="20" t="s">
        <v>13</v>
      </c>
      <c r="B190" s="20" t="s">
        <v>14</v>
      </c>
      <c r="C190" s="21" t="n">
        <v>46070.7024074074</v>
      </c>
      <c r="D190" s="22" t="s">
        <v>2056</v>
      </c>
      <c r="E190" s="23" t="n">
        <v>2409717499</v>
      </c>
      <c r="F190" s="22" t="s">
        <v>2057</v>
      </c>
      <c r="G190" s="22" t="s">
        <v>2105</v>
      </c>
      <c r="H190" s="22" t="s">
        <v>1400</v>
      </c>
      <c r="I190" s="23" t="n">
        <v>400441</v>
      </c>
      <c r="J190" s="22" t="s">
        <v>80</v>
      </c>
      <c r="K190" s="23" t="n">
        <v>2501715589</v>
      </c>
      <c r="L190" s="24" t="n">
        <v>4</v>
      </c>
      <c r="M190" s="24" t="n">
        <v>4</v>
      </c>
      <c r="N190" s="23" t="n">
        <v>100011145</v>
      </c>
      <c r="O190" s="25" t="n">
        <v>47838</v>
      </c>
      <c r="P190" s="25" t="n">
        <v>46013</v>
      </c>
      <c r="Q190" s="21" t="n">
        <v>46071.5077199074</v>
      </c>
    </row>
    <row r="191" customFormat="false" ht="35.8" hidden="false" customHeight="false" outlineLevel="0" collapsed="false">
      <c r="A191" s="14" t="s">
        <v>13</v>
      </c>
      <c r="B191" s="14" t="s">
        <v>14</v>
      </c>
      <c r="C191" s="15" t="n">
        <v>46070.7024074074</v>
      </c>
      <c r="D191" s="16" t="s">
        <v>2056</v>
      </c>
      <c r="E191" s="17" t="n">
        <v>2409717499</v>
      </c>
      <c r="F191" s="16" t="s">
        <v>2057</v>
      </c>
      <c r="G191" s="16" t="s">
        <v>2105</v>
      </c>
      <c r="H191" s="16" t="s">
        <v>1400</v>
      </c>
      <c r="I191" s="17" t="n">
        <v>400441</v>
      </c>
      <c r="J191" s="16" t="s">
        <v>80</v>
      </c>
      <c r="K191" s="17" t="n">
        <v>2501715589</v>
      </c>
      <c r="L191" s="18" t="n">
        <v>4</v>
      </c>
      <c r="M191" s="18" t="n">
        <v>4</v>
      </c>
      <c r="N191" s="17" t="n">
        <v>100011145</v>
      </c>
      <c r="O191" s="19" t="n">
        <v>47838</v>
      </c>
      <c r="P191" s="19" t="n">
        <v>46013</v>
      </c>
      <c r="Q191" s="15" t="n">
        <v>46071.5077199074</v>
      </c>
    </row>
    <row r="192" customFormat="false" ht="35.8" hidden="false" customHeight="false" outlineLevel="0" collapsed="false">
      <c r="A192" s="20" t="s">
        <v>13</v>
      </c>
      <c r="B192" s="20" t="s">
        <v>14</v>
      </c>
      <c r="C192" s="21" t="n">
        <v>46070.7024074074</v>
      </c>
      <c r="D192" s="22" t="s">
        <v>2056</v>
      </c>
      <c r="E192" s="23" t="n">
        <v>2409717499</v>
      </c>
      <c r="F192" s="22" t="s">
        <v>2057</v>
      </c>
      <c r="G192" s="22" t="s">
        <v>2105</v>
      </c>
      <c r="H192" s="22" t="s">
        <v>1400</v>
      </c>
      <c r="I192" s="23" t="n">
        <v>400441</v>
      </c>
      <c r="J192" s="22" t="s">
        <v>80</v>
      </c>
      <c r="K192" s="23" t="n">
        <v>2501715589</v>
      </c>
      <c r="L192" s="24" t="n">
        <v>4</v>
      </c>
      <c r="M192" s="24" t="n">
        <v>4</v>
      </c>
      <c r="N192" s="23" t="n">
        <v>100011145</v>
      </c>
      <c r="O192" s="25" t="n">
        <v>47838</v>
      </c>
      <c r="P192" s="25" t="n">
        <v>46013</v>
      </c>
      <c r="Q192" s="21" t="n">
        <v>46071.5077199074</v>
      </c>
    </row>
    <row r="193" customFormat="false" ht="35.8" hidden="false" customHeight="false" outlineLevel="0" collapsed="false">
      <c r="A193" s="14" t="s">
        <v>13</v>
      </c>
      <c r="B193" s="14" t="s">
        <v>14</v>
      </c>
      <c r="C193" s="15" t="n">
        <v>46070.7024074074</v>
      </c>
      <c r="D193" s="16" t="s">
        <v>2056</v>
      </c>
      <c r="E193" s="17" t="n">
        <v>2409717499</v>
      </c>
      <c r="F193" s="16" t="s">
        <v>2057</v>
      </c>
      <c r="G193" s="16" t="s">
        <v>2105</v>
      </c>
      <c r="H193" s="16" t="s">
        <v>1400</v>
      </c>
      <c r="I193" s="17" t="n">
        <v>400441</v>
      </c>
      <c r="J193" s="16" t="s">
        <v>80</v>
      </c>
      <c r="K193" s="17" t="n">
        <v>2501715589</v>
      </c>
      <c r="L193" s="18" t="n">
        <v>4</v>
      </c>
      <c r="M193" s="18" t="n">
        <v>4</v>
      </c>
      <c r="N193" s="17" t="n">
        <v>100011145</v>
      </c>
      <c r="O193" s="19" t="n">
        <v>47838</v>
      </c>
      <c r="P193" s="19" t="n">
        <v>46013</v>
      </c>
      <c r="Q193" s="15" t="n">
        <v>46071.5077199074</v>
      </c>
    </row>
    <row r="194" customFormat="false" ht="35.8" hidden="false" customHeight="false" outlineLevel="0" collapsed="false">
      <c r="A194" s="20" t="s">
        <v>13</v>
      </c>
      <c r="B194" s="20" t="s">
        <v>14</v>
      </c>
      <c r="C194" s="21" t="n">
        <v>46070.7024074074</v>
      </c>
      <c r="D194" s="22" t="s">
        <v>2056</v>
      </c>
      <c r="E194" s="23" t="n">
        <v>2409717499</v>
      </c>
      <c r="F194" s="22" t="s">
        <v>2057</v>
      </c>
      <c r="G194" s="22" t="s">
        <v>2105</v>
      </c>
      <c r="H194" s="22" t="s">
        <v>1400</v>
      </c>
      <c r="I194" s="23" t="n">
        <v>400441</v>
      </c>
      <c r="J194" s="22" t="s">
        <v>80</v>
      </c>
      <c r="K194" s="23" t="n">
        <v>2501715589</v>
      </c>
      <c r="L194" s="24" t="n">
        <v>4</v>
      </c>
      <c r="M194" s="24" t="n">
        <v>4</v>
      </c>
      <c r="N194" s="23" t="n">
        <v>100011145</v>
      </c>
      <c r="O194" s="25" t="n">
        <v>47838</v>
      </c>
      <c r="P194" s="25" t="n">
        <v>46013</v>
      </c>
      <c r="Q194" s="21" t="n">
        <v>46071.5077199074</v>
      </c>
    </row>
    <row r="195" customFormat="false" ht="35.8" hidden="false" customHeight="false" outlineLevel="0" collapsed="false">
      <c r="A195" s="14" t="s">
        <v>13</v>
      </c>
      <c r="B195" s="14" t="s">
        <v>14</v>
      </c>
      <c r="C195" s="15" t="n">
        <v>46070.7024074074</v>
      </c>
      <c r="D195" s="16" t="s">
        <v>2056</v>
      </c>
      <c r="E195" s="17" t="n">
        <v>2409717499</v>
      </c>
      <c r="F195" s="16" t="s">
        <v>2057</v>
      </c>
      <c r="G195" s="16" t="s">
        <v>2105</v>
      </c>
      <c r="H195" s="16" t="s">
        <v>1400</v>
      </c>
      <c r="I195" s="17" t="n">
        <v>400441</v>
      </c>
      <c r="J195" s="16" t="s">
        <v>80</v>
      </c>
      <c r="K195" s="17" t="n">
        <v>2501715589</v>
      </c>
      <c r="L195" s="18" t="n">
        <v>4</v>
      </c>
      <c r="M195" s="18" t="n">
        <v>4</v>
      </c>
      <c r="N195" s="17" t="n">
        <v>100011145</v>
      </c>
      <c r="O195" s="19" t="n">
        <v>47838</v>
      </c>
      <c r="P195" s="19" t="n">
        <v>46013</v>
      </c>
      <c r="Q195" s="15" t="n">
        <v>46071.5077199074</v>
      </c>
    </row>
    <row r="196" customFormat="false" ht="35.8" hidden="false" customHeight="false" outlineLevel="0" collapsed="false">
      <c r="A196" s="20" t="s">
        <v>13</v>
      </c>
      <c r="B196" s="20" t="s">
        <v>14</v>
      </c>
      <c r="C196" s="21" t="n">
        <v>46070.7024074074</v>
      </c>
      <c r="D196" s="22" t="s">
        <v>2056</v>
      </c>
      <c r="E196" s="23" t="n">
        <v>2409717499</v>
      </c>
      <c r="F196" s="22" t="s">
        <v>2057</v>
      </c>
      <c r="G196" s="22" t="s">
        <v>2105</v>
      </c>
      <c r="H196" s="22" t="s">
        <v>1400</v>
      </c>
      <c r="I196" s="23" t="n">
        <v>400441</v>
      </c>
      <c r="J196" s="22" t="s">
        <v>80</v>
      </c>
      <c r="K196" s="23" t="n">
        <v>2501715589</v>
      </c>
      <c r="L196" s="24" t="n">
        <v>4</v>
      </c>
      <c r="M196" s="24" t="n">
        <v>4</v>
      </c>
      <c r="N196" s="23" t="n">
        <v>10001145</v>
      </c>
      <c r="O196" s="25" t="n">
        <v>47838</v>
      </c>
      <c r="P196" s="25" t="n">
        <v>46013</v>
      </c>
      <c r="Q196" s="21" t="n">
        <v>46071.5077199074</v>
      </c>
    </row>
    <row r="197" customFormat="false" ht="35.8" hidden="false" customHeight="false" outlineLevel="0" collapsed="false">
      <c r="A197" s="14" t="s">
        <v>13</v>
      </c>
      <c r="B197" s="14" t="s">
        <v>14</v>
      </c>
      <c r="C197" s="15" t="n">
        <v>46070.7024074074</v>
      </c>
      <c r="D197" s="16" t="s">
        <v>2056</v>
      </c>
      <c r="E197" s="17" t="n">
        <v>2409717499</v>
      </c>
      <c r="F197" s="16" t="s">
        <v>2057</v>
      </c>
      <c r="G197" s="16" t="s">
        <v>2105</v>
      </c>
      <c r="H197" s="16" t="s">
        <v>1400</v>
      </c>
      <c r="I197" s="17" t="n">
        <v>400441</v>
      </c>
      <c r="J197" s="16" t="s">
        <v>80</v>
      </c>
      <c r="K197" s="17" t="n">
        <v>2501715589</v>
      </c>
      <c r="L197" s="18" t="n">
        <v>4</v>
      </c>
      <c r="M197" s="18" t="n">
        <v>4</v>
      </c>
      <c r="N197" s="17" t="n">
        <v>10001145</v>
      </c>
      <c r="O197" s="19" t="n">
        <v>47838</v>
      </c>
      <c r="P197" s="19" t="n">
        <v>46013</v>
      </c>
      <c r="Q197" s="15" t="n">
        <v>46071.5077199074</v>
      </c>
    </row>
    <row r="198" customFormat="false" ht="35.8" hidden="false" customHeight="false" outlineLevel="0" collapsed="false">
      <c r="A198" s="20" t="s">
        <v>13</v>
      </c>
      <c r="B198" s="20" t="s">
        <v>14</v>
      </c>
      <c r="C198" s="21" t="n">
        <v>46070.7024074074</v>
      </c>
      <c r="D198" s="22" t="s">
        <v>2056</v>
      </c>
      <c r="E198" s="23" t="n">
        <v>2409717499</v>
      </c>
      <c r="F198" s="22" t="s">
        <v>2057</v>
      </c>
      <c r="G198" s="22" t="s">
        <v>2105</v>
      </c>
      <c r="H198" s="22" t="s">
        <v>1400</v>
      </c>
      <c r="I198" s="23" t="n">
        <v>400441</v>
      </c>
      <c r="J198" s="22" t="s">
        <v>80</v>
      </c>
      <c r="K198" s="23" t="n">
        <v>2501715589</v>
      </c>
      <c r="L198" s="24" t="n">
        <v>4</v>
      </c>
      <c r="M198" s="24" t="n">
        <v>4</v>
      </c>
      <c r="N198" s="23" t="n">
        <v>100011145</v>
      </c>
      <c r="O198" s="25" t="n">
        <v>47838</v>
      </c>
      <c r="P198" s="25" t="n">
        <v>46013</v>
      </c>
      <c r="Q198" s="21" t="n">
        <v>46071.5077199074</v>
      </c>
    </row>
    <row r="199" customFormat="false" ht="35.8" hidden="false" customHeight="false" outlineLevel="0" collapsed="false">
      <c r="A199" s="14" t="s">
        <v>13</v>
      </c>
      <c r="B199" s="14" t="s">
        <v>14</v>
      </c>
      <c r="C199" s="15" t="n">
        <v>46070.7024074074</v>
      </c>
      <c r="D199" s="16" t="s">
        <v>2056</v>
      </c>
      <c r="E199" s="17" t="n">
        <v>2409717499</v>
      </c>
      <c r="F199" s="16" t="s">
        <v>2057</v>
      </c>
      <c r="G199" s="16" t="s">
        <v>2105</v>
      </c>
      <c r="H199" s="16" t="s">
        <v>1400</v>
      </c>
      <c r="I199" s="17" t="n">
        <v>400441</v>
      </c>
      <c r="J199" s="16" t="s">
        <v>80</v>
      </c>
      <c r="K199" s="17" t="n">
        <v>2501715589</v>
      </c>
      <c r="L199" s="18" t="n">
        <v>4</v>
      </c>
      <c r="M199" s="18" t="n">
        <v>4</v>
      </c>
      <c r="N199" s="17" t="n">
        <v>10001145</v>
      </c>
      <c r="O199" s="19" t="n">
        <v>47838</v>
      </c>
      <c r="P199" s="19" t="n">
        <v>46013</v>
      </c>
      <c r="Q199" s="15" t="n">
        <v>46071.5077199074</v>
      </c>
    </row>
    <row r="200" customFormat="false" ht="35.8" hidden="false" customHeight="false" outlineLevel="0" collapsed="false">
      <c r="A200" s="20" t="s">
        <v>13</v>
      </c>
      <c r="B200" s="20" t="s">
        <v>14</v>
      </c>
      <c r="C200" s="21" t="n">
        <v>46070.7024074074</v>
      </c>
      <c r="D200" s="22" t="s">
        <v>2056</v>
      </c>
      <c r="E200" s="23" t="n">
        <v>2409717499</v>
      </c>
      <c r="F200" s="22" t="s">
        <v>2057</v>
      </c>
      <c r="G200" s="22" t="s">
        <v>2105</v>
      </c>
      <c r="H200" s="22" t="s">
        <v>1400</v>
      </c>
      <c r="I200" s="23" t="n">
        <v>400441</v>
      </c>
      <c r="J200" s="22" t="s">
        <v>80</v>
      </c>
      <c r="K200" s="23" t="n">
        <v>2501715589</v>
      </c>
      <c r="L200" s="24" t="n">
        <v>4</v>
      </c>
      <c r="M200" s="24" t="n">
        <v>4</v>
      </c>
      <c r="N200" s="23" t="n">
        <v>100011145</v>
      </c>
      <c r="O200" s="25" t="n">
        <v>47838</v>
      </c>
      <c r="P200" s="25" t="n">
        <v>46013</v>
      </c>
      <c r="Q200" s="21" t="n">
        <v>46071.5077199074</v>
      </c>
    </row>
    <row r="201" customFormat="false" ht="35.8" hidden="false" customHeight="false" outlineLevel="0" collapsed="false">
      <c r="A201" s="14" t="s">
        <v>13</v>
      </c>
      <c r="B201" s="14" t="s">
        <v>14</v>
      </c>
      <c r="C201" s="15" t="n">
        <v>46070.7024074074</v>
      </c>
      <c r="D201" s="16" t="s">
        <v>2056</v>
      </c>
      <c r="E201" s="17" t="n">
        <v>2409717499</v>
      </c>
      <c r="F201" s="16" t="s">
        <v>2057</v>
      </c>
      <c r="G201" s="16" t="s">
        <v>2105</v>
      </c>
      <c r="H201" s="16" t="s">
        <v>1400</v>
      </c>
      <c r="I201" s="17" t="n">
        <v>400441</v>
      </c>
      <c r="J201" s="16" t="s">
        <v>80</v>
      </c>
      <c r="K201" s="17" t="n">
        <v>2501715589</v>
      </c>
      <c r="L201" s="18" t="n">
        <v>4</v>
      </c>
      <c r="M201" s="18" t="n">
        <v>4</v>
      </c>
      <c r="N201" s="17" t="n">
        <v>100011145</v>
      </c>
      <c r="O201" s="19" t="n">
        <v>47838</v>
      </c>
      <c r="P201" s="19" t="n">
        <v>46013</v>
      </c>
      <c r="Q201" s="15" t="n">
        <v>46071.5077199074</v>
      </c>
    </row>
    <row r="202" customFormat="false" ht="35.8" hidden="false" customHeight="false" outlineLevel="0" collapsed="false">
      <c r="A202" s="20" t="s">
        <v>13</v>
      </c>
      <c r="B202" s="20" t="s">
        <v>14</v>
      </c>
      <c r="C202" s="21" t="n">
        <v>46070.7024074074</v>
      </c>
      <c r="D202" s="22" t="s">
        <v>2056</v>
      </c>
      <c r="E202" s="23" t="n">
        <v>2409717499</v>
      </c>
      <c r="F202" s="22" t="s">
        <v>2057</v>
      </c>
      <c r="G202" s="22" t="s">
        <v>2105</v>
      </c>
      <c r="H202" s="22" t="s">
        <v>1400</v>
      </c>
      <c r="I202" s="23" t="n">
        <v>400441</v>
      </c>
      <c r="J202" s="22" t="s">
        <v>80</v>
      </c>
      <c r="K202" s="23" t="n">
        <v>2501715589</v>
      </c>
      <c r="L202" s="24" t="n">
        <v>4</v>
      </c>
      <c r="M202" s="24" t="n">
        <v>4</v>
      </c>
      <c r="N202" s="23" t="n">
        <v>100011145</v>
      </c>
      <c r="O202" s="25" t="n">
        <v>47838</v>
      </c>
      <c r="P202" s="25" t="n">
        <v>46013</v>
      </c>
      <c r="Q202" s="21" t="n">
        <v>46071.5077199074</v>
      </c>
    </row>
    <row r="203" customFormat="false" ht="35.8" hidden="false" customHeight="false" outlineLevel="0" collapsed="false">
      <c r="A203" s="14" t="s">
        <v>13</v>
      </c>
      <c r="B203" s="14" t="s">
        <v>14</v>
      </c>
      <c r="C203" s="15" t="n">
        <v>46070.7024074074</v>
      </c>
      <c r="D203" s="16" t="s">
        <v>2056</v>
      </c>
      <c r="E203" s="17" t="n">
        <v>2409717499</v>
      </c>
      <c r="F203" s="16" t="s">
        <v>2057</v>
      </c>
      <c r="G203" s="16" t="s">
        <v>2105</v>
      </c>
      <c r="H203" s="16" t="s">
        <v>1400</v>
      </c>
      <c r="I203" s="17" t="n">
        <v>400441</v>
      </c>
      <c r="J203" s="16" t="s">
        <v>80</v>
      </c>
      <c r="K203" s="17" t="n">
        <v>2501715589</v>
      </c>
      <c r="L203" s="18" t="n">
        <v>4</v>
      </c>
      <c r="M203" s="18" t="n">
        <v>4</v>
      </c>
      <c r="N203" s="17" t="n">
        <v>100011145</v>
      </c>
      <c r="O203" s="19" t="n">
        <v>47838</v>
      </c>
      <c r="P203" s="19" t="n">
        <v>46013</v>
      </c>
      <c r="Q203" s="15" t="n">
        <v>46071.5077199074</v>
      </c>
    </row>
    <row r="204" customFormat="false" ht="35.8" hidden="false" customHeight="false" outlineLevel="0" collapsed="false">
      <c r="A204" s="20" t="s">
        <v>13</v>
      </c>
      <c r="B204" s="20" t="s">
        <v>14</v>
      </c>
      <c r="C204" s="21" t="n">
        <v>46070.7024074074</v>
      </c>
      <c r="D204" s="22" t="s">
        <v>2056</v>
      </c>
      <c r="E204" s="23" t="n">
        <v>2409717499</v>
      </c>
      <c r="F204" s="22" t="s">
        <v>2057</v>
      </c>
      <c r="G204" s="22" t="s">
        <v>2105</v>
      </c>
      <c r="H204" s="22" t="s">
        <v>1400</v>
      </c>
      <c r="I204" s="23" t="n">
        <v>400441</v>
      </c>
      <c r="J204" s="22" t="s">
        <v>80</v>
      </c>
      <c r="K204" s="23" t="n">
        <v>2501715589</v>
      </c>
      <c r="L204" s="24" t="n">
        <v>4</v>
      </c>
      <c r="M204" s="24" t="n">
        <v>4</v>
      </c>
      <c r="N204" s="23" t="n">
        <v>100011145</v>
      </c>
      <c r="O204" s="25" t="n">
        <v>47838</v>
      </c>
      <c r="P204" s="25" t="n">
        <v>46013</v>
      </c>
      <c r="Q204" s="21" t="n">
        <v>46071.5077199074</v>
      </c>
    </row>
    <row r="205" customFormat="false" ht="35.8" hidden="false" customHeight="false" outlineLevel="0" collapsed="false">
      <c r="A205" s="14" t="s">
        <v>13</v>
      </c>
      <c r="B205" s="14" t="s">
        <v>14</v>
      </c>
      <c r="C205" s="15" t="n">
        <v>46070.7024074074</v>
      </c>
      <c r="D205" s="16" t="s">
        <v>2056</v>
      </c>
      <c r="E205" s="17" t="n">
        <v>2409717499</v>
      </c>
      <c r="F205" s="16" t="s">
        <v>2057</v>
      </c>
      <c r="G205" s="16" t="s">
        <v>2105</v>
      </c>
      <c r="H205" s="16" t="s">
        <v>1400</v>
      </c>
      <c r="I205" s="17" t="n">
        <v>400441</v>
      </c>
      <c r="J205" s="16" t="s">
        <v>80</v>
      </c>
      <c r="K205" s="17" t="n">
        <v>2501715589</v>
      </c>
      <c r="L205" s="18" t="n">
        <v>4</v>
      </c>
      <c r="M205" s="18" t="n">
        <v>4</v>
      </c>
      <c r="N205" s="17" t="n">
        <v>100011145</v>
      </c>
      <c r="O205" s="19" t="n">
        <v>47838</v>
      </c>
      <c r="P205" s="19" t="n">
        <v>46013</v>
      </c>
      <c r="Q205" s="15" t="n">
        <v>46071.5077199074</v>
      </c>
    </row>
    <row r="206" customFormat="false" ht="35.8" hidden="false" customHeight="false" outlineLevel="0" collapsed="false">
      <c r="A206" s="20" t="s">
        <v>13</v>
      </c>
      <c r="B206" s="20" t="s">
        <v>14</v>
      </c>
      <c r="C206" s="21" t="n">
        <v>46070.7024074074</v>
      </c>
      <c r="D206" s="22" t="s">
        <v>2056</v>
      </c>
      <c r="E206" s="23" t="n">
        <v>2409717499</v>
      </c>
      <c r="F206" s="22" t="s">
        <v>2057</v>
      </c>
      <c r="G206" s="22" t="s">
        <v>2105</v>
      </c>
      <c r="H206" s="22" t="s">
        <v>1400</v>
      </c>
      <c r="I206" s="23" t="n">
        <v>400441</v>
      </c>
      <c r="J206" s="22" t="s">
        <v>80</v>
      </c>
      <c r="K206" s="23" t="n">
        <v>2501715589</v>
      </c>
      <c r="L206" s="24" t="n">
        <v>4</v>
      </c>
      <c r="M206" s="24" t="n">
        <v>4</v>
      </c>
      <c r="N206" s="23" t="n">
        <v>100011145</v>
      </c>
      <c r="O206" s="25" t="n">
        <v>47838</v>
      </c>
      <c r="P206" s="25" t="n">
        <v>46013</v>
      </c>
      <c r="Q206" s="21" t="n">
        <v>46071.5077199074</v>
      </c>
    </row>
    <row r="207" customFormat="false" ht="35.8" hidden="false" customHeight="false" outlineLevel="0" collapsed="false">
      <c r="A207" s="14" t="s">
        <v>13</v>
      </c>
      <c r="B207" s="14" t="s">
        <v>14</v>
      </c>
      <c r="C207" s="15" t="n">
        <v>46070.7024074074</v>
      </c>
      <c r="D207" s="16" t="s">
        <v>2056</v>
      </c>
      <c r="E207" s="17" t="n">
        <v>2409717499</v>
      </c>
      <c r="F207" s="16" t="s">
        <v>2057</v>
      </c>
      <c r="G207" s="16" t="s">
        <v>2105</v>
      </c>
      <c r="H207" s="16" t="s">
        <v>1400</v>
      </c>
      <c r="I207" s="17" t="n">
        <v>400441</v>
      </c>
      <c r="J207" s="16" t="s">
        <v>80</v>
      </c>
      <c r="K207" s="17" t="n">
        <v>2501715589</v>
      </c>
      <c r="L207" s="18" t="n">
        <v>4</v>
      </c>
      <c r="M207" s="18" t="n">
        <v>4</v>
      </c>
      <c r="N207" s="17" t="n">
        <v>100011145</v>
      </c>
      <c r="O207" s="19" t="n">
        <v>47838</v>
      </c>
      <c r="P207" s="19" t="n">
        <v>46013</v>
      </c>
      <c r="Q207" s="15" t="n">
        <v>46071.5077199074</v>
      </c>
    </row>
    <row r="208" customFormat="false" ht="35.8" hidden="false" customHeight="false" outlineLevel="0" collapsed="false">
      <c r="A208" s="20" t="s">
        <v>13</v>
      </c>
      <c r="B208" s="20" t="s">
        <v>14</v>
      </c>
      <c r="C208" s="21" t="n">
        <v>46070.7024074074</v>
      </c>
      <c r="D208" s="22" t="s">
        <v>2056</v>
      </c>
      <c r="E208" s="23" t="n">
        <v>2409717499</v>
      </c>
      <c r="F208" s="22" t="s">
        <v>2057</v>
      </c>
      <c r="G208" s="22" t="s">
        <v>2105</v>
      </c>
      <c r="H208" s="22" t="s">
        <v>1400</v>
      </c>
      <c r="I208" s="23" t="n">
        <v>400441</v>
      </c>
      <c r="J208" s="22" t="s">
        <v>80</v>
      </c>
      <c r="K208" s="23" t="n">
        <v>2501715589</v>
      </c>
      <c r="L208" s="24" t="n">
        <v>4</v>
      </c>
      <c r="M208" s="24" t="n">
        <v>4</v>
      </c>
      <c r="N208" s="23" t="n">
        <v>100011111</v>
      </c>
      <c r="O208" s="25" t="n">
        <v>47834</v>
      </c>
      <c r="P208" s="25" t="n">
        <v>46009</v>
      </c>
      <c r="Q208" s="21" t="n">
        <v>46071.5077199074</v>
      </c>
    </row>
    <row r="209" customFormat="false" ht="35.8" hidden="false" customHeight="false" outlineLevel="0" collapsed="false">
      <c r="A209" s="14" t="s">
        <v>13</v>
      </c>
      <c r="B209" s="14" t="s">
        <v>14</v>
      </c>
      <c r="C209" s="15" t="n">
        <v>46070.7024074074</v>
      </c>
      <c r="D209" s="16" t="s">
        <v>2056</v>
      </c>
      <c r="E209" s="17" t="n">
        <v>2409717499</v>
      </c>
      <c r="F209" s="16" t="s">
        <v>2057</v>
      </c>
      <c r="G209" s="16" t="s">
        <v>2105</v>
      </c>
      <c r="H209" s="16" t="s">
        <v>1400</v>
      </c>
      <c r="I209" s="17" t="n">
        <v>400441</v>
      </c>
      <c r="J209" s="16" t="s">
        <v>80</v>
      </c>
      <c r="K209" s="17" t="n">
        <v>2501715589</v>
      </c>
      <c r="L209" s="18" t="n">
        <v>4</v>
      </c>
      <c r="M209" s="18" t="n">
        <v>4</v>
      </c>
      <c r="N209" s="17" t="n">
        <v>100011111</v>
      </c>
      <c r="O209" s="19" t="n">
        <v>47834</v>
      </c>
      <c r="P209" s="19" t="n">
        <v>46009</v>
      </c>
      <c r="Q209" s="15" t="n">
        <v>46071.5077199074</v>
      </c>
    </row>
    <row r="210" customFormat="false" ht="35.8" hidden="false" customHeight="false" outlineLevel="0" collapsed="false">
      <c r="A210" s="20" t="s">
        <v>13</v>
      </c>
      <c r="B210" s="20" t="s">
        <v>14</v>
      </c>
      <c r="C210" s="21" t="n">
        <v>46070.7024074074</v>
      </c>
      <c r="D210" s="22" t="s">
        <v>2056</v>
      </c>
      <c r="E210" s="23" t="n">
        <v>2409717499</v>
      </c>
      <c r="F210" s="22" t="s">
        <v>2057</v>
      </c>
      <c r="G210" s="22" t="s">
        <v>2105</v>
      </c>
      <c r="H210" s="22" t="s">
        <v>1400</v>
      </c>
      <c r="I210" s="23" t="n">
        <v>400441</v>
      </c>
      <c r="J210" s="22" t="s">
        <v>80</v>
      </c>
      <c r="K210" s="23" t="n">
        <v>2501715589</v>
      </c>
      <c r="L210" s="24" t="n">
        <v>4</v>
      </c>
      <c r="M210" s="24" t="n">
        <v>4</v>
      </c>
      <c r="N210" s="23" t="n">
        <v>100011111</v>
      </c>
      <c r="O210" s="25" t="n">
        <v>47834</v>
      </c>
      <c r="P210" s="25" t="n">
        <v>46009</v>
      </c>
      <c r="Q210" s="21" t="n">
        <v>46071.5077199074</v>
      </c>
    </row>
    <row r="211" customFormat="false" ht="35.8" hidden="false" customHeight="false" outlineLevel="0" collapsed="false">
      <c r="A211" s="14" t="s">
        <v>13</v>
      </c>
      <c r="B211" s="14" t="s">
        <v>14</v>
      </c>
      <c r="C211" s="15" t="n">
        <v>46070.7024074074</v>
      </c>
      <c r="D211" s="16" t="s">
        <v>2056</v>
      </c>
      <c r="E211" s="17" t="n">
        <v>2409717499</v>
      </c>
      <c r="F211" s="16" t="s">
        <v>2057</v>
      </c>
      <c r="G211" s="16" t="s">
        <v>2105</v>
      </c>
      <c r="H211" s="16" t="s">
        <v>1400</v>
      </c>
      <c r="I211" s="17" t="n">
        <v>400441</v>
      </c>
      <c r="J211" s="16" t="s">
        <v>80</v>
      </c>
      <c r="K211" s="17" t="n">
        <v>2501715589</v>
      </c>
      <c r="L211" s="18" t="n">
        <v>4</v>
      </c>
      <c r="M211" s="18" t="n">
        <v>4</v>
      </c>
      <c r="N211" s="17" t="n">
        <v>100011111</v>
      </c>
      <c r="O211" s="19" t="n">
        <v>47834</v>
      </c>
      <c r="P211" s="19" t="n">
        <v>46009</v>
      </c>
      <c r="Q211" s="15" t="n">
        <v>46071.5077199074</v>
      </c>
    </row>
    <row r="212" customFormat="false" ht="24.3" hidden="false" customHeight="false" outlineLevel="0" collapsed="false">
      <c r="A212" s="20" t="s">
        <v>1400</v>
      </c>
      <c r="B212" s="20" t="s">
        <v>14</v>
      </c>
      <c r="C212" s="21" t="n">
        <v>46071.4167476852</v>
      </c>
      <c r="D212" s="22" t="s">
        <v>2056</v>
      </c>
      <c r="E212" s="23" t="n">
        <v>2403711045</v>
      </c>
      <c r="F212" s="22" t="s">
        <v>2057</v>
      </c>
      <c r="G212" s="22" t="s">
        <v>2106</v>
      </c>
      <c r="H212" s="22" t="s">
        <v>2107</v>
      </c>
      <c r="I212" s="23" t="n">
        <v>400567</v>
      </c>
      <c r="J212" s="22" t="s">
        <v>1402</v>
      </c>
      <c r="K212" s="23" t="n">
        <v>2505702807</v>
      </c>
      <c r="L212" s="24" t="n">
        <v>2</v>
      </c>
      <c r="M212" s="24" t="n">
        <v>2</v>
      </c>
      <c r="N212" s="23" t="n">
        <v>100011153</v>
      </c>
      <c r="O212" s="25" t="n">
        <v>47839</v>
      </c>
      <c r="P212" s="25" t="n">
        <v>46014</v>
      </c>
      <c r="Q212" s="21" t="n">
        <v>46074.4026851852</v>
      </c>
    </row>
    <row r="213" customFormat="false" ht="24.3" hidden="false" customHeight="false" outlineLevel="0" collapsed="false">
      <c r="A213" s="14" t="s">
        <v>1400</v>
      </c>
      <c r="B213" s="14" t="s">
        <v>14</v>
      </c>
      <c r="C213" s="15" t="n">
        <v>46071.4167592593</v>
      </c>
      <c r="D213" s="16" t="s">
        <v>2056</v>
      </c>
      <c r="E213" s="17" t="n">
        <v>2409717411</v>
      </c>
      <c r="F213" s="16" t="s">
        <v>2057</v>
      </c>
      <c r="G213" s="16" t="s">
        <v>2070</v>
      </c>
      <c r="H213" s="16" t="s">
        <v>2071</v>
      </c>
      <c r="I213" s="17" t="n">
        <v>400389</v>
      </c>
      <c r="J213" s="16" t="s">
        <v>1538</v>
      </c>
      <c r="K213" s="17" t="n">
        <v>2501715565</v>
      </c>
      <c r="L213" s="18" t="n">
        <v>2</v>
      </c>
      <c r="M213" s="18" t="n">
        <v>2</v>
      </c>
      <c r="N213" s="17" t="n">
        <v>153000036</v>
      </c>
      <c r="O213" s="19" t="n">
        <v>47866</v>
      </c>
      <c r="P213" s="19" t="n">
        <v>46041</v>
      </c>
      <c r="Q213" s="15" t="n">
        <v>46074.4112615741</v>
      </c>
    </row>
    <row r="214" customFormat="false" ht="24.3" hidden="false" customHeight="false" outlineLevel="0" collapsed="false">
      <c r="A214" s="20" t="s">
        <v>13</v>
      </c>
      <c r="B214" s="20" t="s">
        <v>14</v>
      </c>
      <c r="C214" s="21" t="n">
        <v>46071.6640509259</v>
      </c>
      <c r="D214" s="22" t="s">
        <v>2056</v>
      </c>
      <c r="E214" s="23" t="n">
        <v>2409717506</v>
      </c>
      <c r="F214" s="22" t="s">
        <v>2057</v>
      </c>
      <c r="G214" s="22" t="s">
        <v>2108</v>
      </c>
      <c r="H214" s="22" t="s">
        <v>13</v>
      </c>
      <c r="I214" s="23" t="n">
        <v>400426</v>
      </c>
      <c r="J214" s="22" t="s">
        <v>831</v>
      </c>
      <c r="K214" s="23" t="n">
        <v>2501715609</v>
      </c>
      <c r="L214" s="24" t="n">
        <v>18</v>
      </c>
      <c r="M214" s="24" t="n">
        <v>18</v>
      </c>
      <c r="N214" s="23" t="n">
        <v>153000039</v>
      </c>
      <c r="O214" s="25" t="n">
        <v>47868</v>
      </c>
      <c r="P214" s="25" t="n">
        <v>46043</v>
      </c>
      <c r="Q214" s="21" t="n">
        <v>46072.4979398148</v>
      </c>
    </row>
    <row r="215" customFormat="false" ht="24.3" hidden="false" customHeight="false" outlineLevel="0" collapsed="false">
      <c r="A215" s="14" t="s">
        <v>13</v>
      </c>
      <c r="B215" s="14" t="s">
        <v>14</v>
      </c>
      <c r="C215" s="15" t="n">
        <v>46071.6640509259</v>
      </c>
      <c r="D215" s="16" t="s">
        <v>2056</v>
      </c>
      <c r="E215" s="17" t="n">
        <v>2409717506</v>
      </c>
      <c r="F215" s="16" t="s">
        <v>2057</v>
      </c>
      <c r="G215" s="16" t="s">
        <v>2108</v>
      </c>
      <c r="H215" s="16" t="s">
        <v>13</v>
      </c>
      <c r="I215" s="17" t="n">
        <v>400426</v>
      </c>
      <c r="J215" s="16" t="s">
        <v>831</v>
      </c>
      <c r="K215" s="17" t="n">
        <v>2501715609</v>
      </c>
      <c r="L215" s="18" t="n">
        <v>24</v>
      </c>
      <c r="M215" s="18" t="n">
        <v>24</v>
      </c>
      <c r="N215" s="17" t="n">
        <v>153000039</v>
      </c>
      <c r="O215" s="19" t="n">
        <v>47868</v>
      </c>
      <c r="P215" s="19" t="n">
        <v>46043</v>
      </c>
      <c r="Q215" s="15" t="n">
        <v>46072.4979398148</v>
      </c>
    </row>
    <row r="216" customFormat="false" ht="24.3" hidden="false" customHeight="false" outlineLevel="0" collapsed="false">
      <c r="A216" s="20" t="s">
        <v>13</v>
      </c>
      <c r="B216" s="20" t="s">
        <v>14</v>
      </c>
      <c r="C216" s="21" t="n">
        <v>46071.6640509259</v>
      </c>
      <c r="D216" s="22" t="s">
        <v>2056</v>
      </c>
      <c r="E216" s="23" t="n">
        <v>2409717506</v>
      </c>
      <c r="F216" s="22" t="s">
        <v>2057</v>
      </c>
      <c r="G216" s="22" t="s">
        <v>2108</v>
      </c>
      <c r="H216" s="22" t="s">
        <v>13</v>
      </c>
      <c r="I216" s="23" t="n">
        <v>400426</v>
      </c>
      <c r="J216" s="22" t="s">
        <v>831</v>
      </c>
      <c r="K216" s="23" t="n">
        <v>2501715609</v>
      </c>
      <c r="L216" s="24" t="n">
        <v>24</v>
      </c>
      <c r="M216" s="24" t="n">
        <v>24</v>
      </c>
      <c r="N216" s="23" t="n">
        <v>153000039</v>
      </c>
      <c r="O216" s="25" t="n">
        <v>47868</v>
      </c>
      <c r="P216" s="25" t="n">
        <v>46043</v>
      </c>
      <c r="Q216" s="21" t="n">
        <v>46072.4979398148</v>
      </c>
    </row>
    <row r="217" customFormat="false" ht="24.3" hidden="false" customHeight="false" outlineLevel="0" collapsed="false">
      <c r="A217" s="14" t="s">
        <v>13</v>
      </c>
      <c r="B217" s="14" t="s">
        <v>14</v>
      </c>
      <c r="C217" s="15" t="n">
        <v>46071.6640509259</v>
      </c>
      <c r="D217" s="16" t="s">
        <v>2056</v>
      </c>
      <c r="E217" s="17" t="n">
        <v>2409717506</v>
      </c>
      <c r="F217" s="16" t="s">
        <v>2057</v>
      </c>
      <c r="G217" s="16" t="s">
        <v>2108</v>
      </c>
      <c r="H217" s="16" t="s">
        <v>13</v>
      </c>
      <c r="I217" s="17" t="n">
        <v>400426</v>
      </c>
      <c r="J217" s="16" t="s">
        <v>831</v>
      </c>
      <c r="K217" s="17" t="n">
        <v>2501715609</v>
      </c>
      <c r="L217" s="18" t="n">
        <v>24</v>
      </c>
      <c r="M217" s="18" t="n">
        <v>24</v>
      </c>
      <c r="N217" s="17" t="n">
        <v>153000042</v>
      </c>
      <c r="O217" s="19" t="n">
        <v>47868</v>
      </c>
      <c r="P217" s="19" t="n">
        <v>46043</v>
      </c>
      <c r="Q217" s="15" t="n">
        <v>46072.4979398148</v>
      </c>
    </row>
    <row r="218" customFormat="false" ht="24.3" hidden="false" customHeight="false" outlineLevel="0" collapsed="false">
      <c r="A218" s="20" t="s">
        <v>13</v>
      </c>
      <c r="B218" s="20" t="s">
        <v>14</v>
      </c>
      <c r="C218" s="21" t="n">
        <v>46071.6640509259</v>
      </c>
      <c r="D218" s="22" t="s">
        <v>2056</v>
      </c>
      <c r="E218" s="23" t="n">
        <v>2409717506</v>
      </c>
      <c r="F218" s="22" t="s">
        <v>2057</v>
      </c>
      <c r="G218" s="22" t="s">
        <v>2108</v>
      </c>
      <c r="H218" s="22" t="s">
        <v>13</v>
      </c>
      <c r="I218" s="23" t="n">
        <v>400426</v>
      </c>
      <c r="J218" s="22" t="s">
        <v>831</v>
      </c>
      <c r="K218" s="23" t="n">
        <v>2501715609</v>
      </c>
      <c r="L218" s="24" t="n">
        <v>24</v>
      </c>
      <c r="M218" s="24" t="n">
        <v>24</v>
      </c>
      <c r="N218" s="23" t="n">
        <v>153000042</v>
      </c>
      <c r="O218" s="25" t="n">
        <v>47868</v>
      </c>
      <c r="P218" s="25" t="n">
        <v>46043</v>
      </c>
      <c r="Q218" s="21" t="n">
        <v>46072.4979398148</v>
      </c>
    </row>
    <row r="219" customFormat="false" ht="24.3" hidden="false" customHeight="false" outlineLevel="0" collapsed="false">
      <c r="A219" s="14" t="s">
        <v>13</v>
      </c>
      <c r="B219" s="14" t="s">
        <v>14</v>
      </c>
      <c r="C219" s="15" t="n">
        <v>46071.6640509259</v>
      </c>
      <c r="D219" s="16" t="s">
        <v>2056</v>
      </c>
      <c r="E219" s="17" t="n">
        <v>2409717506</v>
      </c>
      <c r="F219" s="16" t="s">
        <v>2057</v>
      </c>
      <c r="G219" s="16" t="s">
        <v>2108</v>
      </c>
      <c r="H219" s="16" t="s">
        <v>13</v>
      </c>
      <c r="I219" s="17" t="n">
        <v>400426</v>
      </c>
      <c r="J219" s="16" t="s">
        <v>831</v>
      </c>
      <c r="K219" s="17" t="n">
        <v>2501715609</v>
      </c>
      <c r="L219" s="18" t="n">
        <v>24</v>
      </c>
      <c r="M219" s="18" t="n">
        <v>24</v>
      </c>
      <c r="N219" s="17" t="n">
        <v>153000039</v>
      </c>
      <c r="O219" s="19" t="n">
        <v>47868</v>
      </c>
      <c r="P219" s="19" t="n">
        <v>46043</v>
      </c>
      <c r="Q219" s="15" t="n">
        <v>46072.4979398148</v>
      </c>
    </row>
    <row r="220" customFormat="false" ht="24.3" hidden="false" customHeight="false" outlineLevel="0" collapsed="false">
      <c r="A220" s="20" t="s">
        <v>13</v>
      </c>
      <c r="B220" s="20" t="s">
        <v>14</v>
      </c>
      <c r="C220" s="21" t="n">
        <v>46071.6640509259</v>
      </c>
      <c r="D220" s="22" t="s">
        <v>2056</v>
      </c>
      <c r="E220" s="23" t="n">
        <v>2409717506</v>
      </c>
      <c r="F220" s="22" t="s">
        <v>2057</v>
      </c>
      <c r="G220" s="22" t="s">
        <v>2108</v>
      </c>
      <c r="H220" s="22" t="s">
        <v>13</v>
      </c>
      <c r="I220" s="23" t="n">
        <v>400426</v>
      </c>
      <c r="J220" s="22" t="s">
        <v>831</v>
      </c>
      <c r="K220" s="23" t="n">
        <v>2501715609</v>
      </c>
      <c r="L220" s="24" t="n">
        <v>24</v>
      </c>
      <c r="M220" s="24" t="n">
        <v>24</v>
      </c>
      <c r="N220" s="23" t="n">
        <v>153000039</v>
      </c>
      <c r="O220" s="25" t="n">
        <v>47868</v>
      </c>
      <c r="P220" s="25" t="n">
        <v>46043</v>
      </c>
      <c r="Q220" s="21" t="n">
        <v>46072.4979398148</v>
      </c>
    </row>
    <row r="221" customFormat="false" ht="24.3" hidden="false" customHeight="false" outlineLevel="0" collapsed="false">
      <c r="A221" s="14" t="s">
        <v>13</v>
      </c>
      <c r="B221" s="14" t="s">
        <v>14</v>
      </c>
      <c r="C221" s="15" t="n">
        <v>46071.6640509259</v>
      </c>
      <c r="D221" s="16" t="s">
        <v>2056</v>
      </c>
      <c r="E221" s="17" t="n">
        <v>2409717506</v>
      </c>
      <c r="F221" s="16" t="s">
        <v>2057</v>
      </c>
      <c r="G221" s="16" t="s">
        <v>2108</v>
      </c>
      <c r="H221" s="16" t="s">
        <v>13</v>
      </c>
      <c r="I221" s="17" t="n">
        <v>400426</v>
      </c>
      <c r="J221" s="16" t="s">
        <v>831</v>
      </c>
      <c r="K221" s="17" t="n">
        <v>2501715609</v>
      </c>
      <c r="L221" s="18" t="n">
        <v>24</v>
      </c>
      <c r="M221" s="18" t="n">
        <v>24</v>
      </c>
      <c r="N221" s="17" t="n">
        <v>153000039</v>
      </c>
      <c r="O221" s="19" t="n">
        <v>47868</v>
      </c>
      <c r="P221" s="19" t="n">
        <v>46043</v>
      </c>
      <c r="Q221" s="15" t="n">
        <v>46072.4979398148</v>
      </c>
    </row>
    <row r="222" customFormat="false" ht="24.3" hidden="false" customHeight="false" outlineLevel="0" collapsed="false">
      <c r="A222" s="20" t="s">
        <v>13</v>
      </c>
      <c r="B222" s="20" t="s">
        <v>14</v>
      </c>
      <c r="C222" s="21" t="n">
        <v>46071.6640509259</v>
      </c>
      <c r="D222" s="22" t="s">
        <v>2056</v>
      </c>
      <c r="E222" s="23" t="n">
        <v>2409717506</v>
      </c>
      <c r="F222" s="22" t="s">
        <v>2057</v>
      </c>
      <c r="G222" s="22" t="s">
        <v>2108</v>
      </c>
      <c r="H222" s="22" t="s">
        <v>13</v>
      </c>
      <c r="I222" s="23" t="n">
        <v>400426</v>
      </c>
      <c r="J222" s="22" t="s">
        <v>831</v>
      </c>
      <c r="K222" s="23" t="n">
        <v>2501715609</v>
      </c>
      <c r="L222" s="24" t="n">
        <v>4</v>
      </c>
      <c r="M222" s="24" t="n">
        <v>4</v>
      </c>
      <c r="N222" s="23" t="n">
        <v>153000042</v>
      </c>
      <c r="O222" s="25" t="n">
        <v>47868</v>
      </c>
      <c r="P222" s="25" t="n">
        <v>46043</v>
      </c>
      <c r="Q222" s="21" t="n">
        <v>46072.4979398148</v>
      </c>
    </row>
    <row r="223" customFormat="false" ht="24.3" hidden="false" customHeight="false" outlineLevel="0" collapsed="false">
      <c r="A223" s="14" t="s">
        <v>13</v>
      </c>
      <c r="B223" s="14" t="s">
        <v>14</v>
      </c>
      <c r="C223" s="15" t="n">
        <v>46071.6640509259</v>
      </c>
      <c r="D223" s="16" t="s">
        <v>2056</v>
      </c>
      <c r="E223" s="17" t="n">
        <v>2409717506</v>
      </c>
      <c r="F223" s="16" t="s">
        <v>2057</v>
      </c>
      <c r="G223" s="16" t="s">
        <v>2108</v>
      </c>
      <c r="H223" s="16" t="s">
        <v>13</v>
      </c>
      <c r="I223" s="17" t="n">
        <v>400413</v>
      </c>
      <c r="J223" s="16" t="s">
        <v>168</v>
      </c>
      <c r="K223" s="17" t="n">
        <v>2501715609</v>
      </c>
      <c r="L223" s="18" t="n">
        <v>24</v>
      </c>
      <c r="M223" s="18" t="n">
        <v>24</v>
      </c>
      <c r="N223" s="17" t="n">
        <v>100010539</v>
      </c>
      <c r="O223" s="19" t="n">
        <v>47783</v>
      </c>
      <c r="P223" s="19" t="n">
        <v>45958</v>
      </c>
      <c r="Q223" s="15" t="n">
        <v>46072.4979398148</v>
      </c>
    </row>
    <row r="224" customFormat="false" ht="24.3" hidden="false" customHeight="false" outlineLevel="0" collapsed="false">
      <c r="A224" s="20" t="s">
        <v>13</v>
      </c>
      <c r="B224" s="20" t="s">
        <v>14</v>
      </c>
      <c r="C224" s="21" t="n">
        <v>46071.6640509259</v>
      </c>
      <c r="D224" s="22" t="s">
        <v>2056</v>
      </c>
      <c r="E224" s="23" t="n">
        <v>2409717506</v>
      </c>
      <c r="F224" s="22" t="s">
        <v>2057</v>
      </c>
      <c r="G224" s="22" t="s">
        <v>2108</v>
      </c>
      <c r="H224" s="22" t="s">
        <v>13</v>
      </c>
      <c r="I224" s="23" t="n">
        <v>400413</v>
      </c>
      <c r="J224" s="22" t="s">
        <v>168</v>
      </c>
      <c r="K224" s="23" t="n">
        <v>2501715609</v>
      </c>
      <c r="L224" s="24" t="n">
        <v>24</v>
      </c>
      <c r="M224" s="24" t="n">
        <v>24</v>
      </c>
      <c r="N224" s="23" t="n">
        <v>100010539</v>
      </c>
      <c r="O224" s="25" t="n">
        <v>47783</v>
      </c>
      <c r="P224" s="25" t="n">
        <v>45958</v>
      </c>
      <c r="Q224" s="21" t="n">
        <v>46072.4979398148</v>
      </c>
    </row>
    <row r="225" customFormat="false" ht="24.3" hidden="false" customHeight="false" outlineLevel="0" collapsed="false">
      <c r="A225" s="14" t="s">
        <v>13</v>
      </c>
      <c r="B225" s="14" t="s">
        <v>14</v>
      </c>
      <c r="C225" s="15" t="n">
        <v>46071.6640509259</v>
      </c>
      <c r="D225" s="16" t="s">
        <v>2056</v>
      </c>
      <c r="E225" s="17" t="n">
        <v>2409717506</v>
      </c>
      <c r="F225" s="16" t="s">
        <v>2057</v>
      </c>
      <c r="G225" s="16" t="s">
        <v>2108</v>
      </c>
      <c r="H225" s="16" t="s">
        <v>13</v>
      </c>
      <c r="I225" s="17" t="n">
        <v>400413</v>
      </c>
      <c r="J225" s="16" t="s">
        <v>168</v>
      </c>
      <c r="K225" s="17" t="n">
        <v>2501715609</v>
      </c>
      <c r="L225" s="18" t="n">
        <v>24</v>
      </c>
      <c r="M225" s="18" t="n">
        <v>24</v>
      </c>
      <c r="N225" s="17" t="n">
        <v>100010539</v>
      </c>
      <c r="O225" s="19" t="n">
        <v>47783</v>
      </c>
      <c r="P225" s="19" t="n">
        <v>45958</v>
      </c>
      <c r="Q225" s="15" t="n">
        <v>46072.4979398148</v>
      </c>
    </row>
    <row r="226" customFormat="false" ht="24.3" hidden="false" customHeight="false" outlineLevel="0" collapsed="false">
      <c r="A226" s="20" t="s">
        <v>13</v>
      </c>
      <c r="B226" s="20" t="s">
        <v>14</v>
      </c>
      <c r="C226" s="21" t="n">
        <v>46071.6640509259</v>
      </c>
      <c r="D226" s="22" t="s">
        <v>2056</v>
      </c>
      <c r="E226" s="23" t="n">
        <v>2409717506</v>
      </c>
      <c r="F226" s="22" t="s">
        <v>2057</v>
      </c>
      <c r="G226" s="22" t="s">
        <v>2108</v>
      </c>
      <c r="H226" s="22" t="s">
        <v>13</v>
      </c>
      <c r="I226" s="23" t="n">
        <v>400413</v>
      </c>
      <c r="J226" s="22" t="s">
        <v>168</v>
      </c>
      <c r="K226" s="23" t="n">
        <v>2501715609</v>
      </c>
      <c r="L226" s="24" t="n">
        <v>24</v>
      </c>
      <c r="M226" s="24" t="n">
        <v>24</v>
      </c>
      <c r="N226" s="23" t="n">
        <v>100010539</v>
      </c>
      <c r="O226" s="25" t="n">
        <v>47783</v>
      </c>
      <c r="P226" s="25" t="n">
        <v>45958</v>
      </c>
      <c r="Q226" s="21" t="n">
        <v>46072.4979398148</v>
      </c>
    </row>
    <row r="227" customFormat="false" ht="24.3" hidden="false" customHeight="false" outlineLevel="0" collapsed="false">
      <c r="A227" s="14" t="s">
        <v>13</v>
      </c>
      <c r="B227" s="14" t="s">
        <v>14</v>
      </c>
      <c r="C227" s="15" t="n">
        <v>46071.6640509259</v>
      </c>
      <c r="D227" s="16" t="s">
        <v>2056</v>
      </c>
      <c r="E227" s="17" t="n">
        <v>2409717506</v>
      </c>
      <c r="F227" s="16" t="s">
        <v>2057</v>
      </c>
      <c r="G227" s="16" t="s">
        <v>2108</v>
      </c>
      <c r="H227" s="16" t="s">
        <v>13</v>
      </c>
      <c r="I227" s="17" t="n">
        <v>400413</v>
      </c>
      <c r="J227" s="16" t="s">
        <v>168</v>
      </c>
      <c r="K227" s="17" t="n">
        <v>2501715609</v>
      </c>
      <c r="L227" s="18" t="n">
        <v>24</v>
      </c>
      <c r="M227" s="18" t="n">
        <v>24</v>
      </c>
      <c r="N227" s="17" t="n">
        <v>100010539</v>
      </c>
      <c r="O227" s="19" t="n">
        <v>47783</v>
      </c>
      <c r="P227" s="19" t="n">
        <v>45958</v>
      </c>
      <c r="Q227" s="15" t="n">
        <v>46072.4979398148</v>
      </c>
    </row>
    <row r="228" customFormat="false" ht="24.3" hidden="false" customHeight="false" outlineLevel="0" collapsed="false">
      <c r="A228" s="20" t="s">
        <v>13</v>
      </c>
      <c r="B228" s="20" t="s">
        <v>14</v>
      </c>
      <c r="C228" s="21" t="n">
        <v>46071.6640509259</v>
      </c>
      <c r="D228" s="22" t="s">
        <v>2056</v>
      </c>
      <c r="E228" s="23" t="n">
        <v>2409717506</v>
      </c>
      <c r="F228" s="22" t="s">
        <v>2057</v>
      </c>
      <c r="G228" s="22" t="s">
        <v>2108</v>
      </c>
      <c r="H228" s="22" t="s">
        <v>13</v>
      </c>
      <c r="I228" s="23" t="n">
        <v>400413</v>
      </c>
      <c r="J228" s="22" t="s">
        <v>168</v>
      </c>
      <c r="K228" s="23" t="n">
        <v>2501715609</v>
      </c>
      <c r="L228" s="24" t="n">
        <v>24</v>
      </c>
      <c r="M228" s="24" t="n">
        <v>24</v>
      </c>
      <c r="N228" s="23" t="n">
        <v>100010677</v>
      </c>
      <c r="O228" s="25" t="n">
        <v>47796</v>
      </c>
      <c r="P228" s="25" t="n">
        <v>45971</v>
      </c>
      <c r="Q228" s="21" t="n">
        <v>46072.4979398148</v>
      </c>
    </row>
    <row r="229" customFormat="false" ht="24.3" hidden="false" customHeight="false" outlineLevel="0" collapsed="false">
      <c r="A229" s="14" t="s">
        <v>13</v>
      </c>
      <c r="B229" s="14" t="s">
        <v>14</v>
      </c>
      <c r="C229" s="15" t="n">
        <v>46071.6640509259</v>
      </c>
      <c r="D229" s="16" t="s">
        <v>2056</v>
      </c>
      <c r="E229" s="17" t="n">
        <v>2409717506</v>
      </c>
      <c r="F229" s="16" t="s">
        <v>2057</v>
      </c>
      <c r="G229" s="16" t="s">
        <v>2108</v>
      </c>
      <c r="H229" s="16" t="s">
        <v>13</v>
      </c>
      <c r="I229" s="17" t="n">
        <v>400413</v>
      </c>
      <c r="J229" s="16" t="s">
        <v>168</v>
      </c>
      <c r="K229" s="17" t="n">
        <v>2501715609</v>
      </c>
      <c r="L229" s="18" t="n">
        <v>24</v>
      </c>
      <c r="M229" s="18" t="n">
        <v>24</v>
      </c>
      <c r="N229" s="17" t="n">
        <v>100010677</v>
      </c>
      <c r="O229" s="19" t="n">
        <v>47796</v>
      </c>
      <c r="P229" s="19" t="n">
        <v>45971</v>
      </c>
      <c r="Q229" s="15" t="n">
        <v>46072.4979398148</v>
      </c>
    </row>
    <row r="230" customFormat="false" ht="24.3" hidden="false" customHeight="false" outlineLevel="0" collapsed="false">
      <c r="A230" s="20" t="s">
        <v>13</v>
      </c>
      <c r="B230" s="20" t="s">
        <v>14</v>
      </c>
      <c r="C230" s="21" t="n">
        <v>46071.6640509259</v>
      </c>
      <c r="D230" s="22" t="s">
        <v>2056</v>
      </c>
      <c r="E230" s="23" t="n">
        <v>2409717506</v>
      </c>
      <c r="F230" s="22" t="s">
        <v>2057</v>
      </c>
      <c r="G230" s="22" t="s">
        <v>2108</v>
      </c>
      <c r="H230" s="22" t="s">
        <v>13</v>
      </c>
      <c r="I230" s="23" t="n">
        <v>400413</v>
      </c>
      <c r="J230" s="22" t="s">
        <v>168</v>
      </c>
      <c r="K230" s="23" t="n">
        <v>2501715609</v>
      </c>
      <c r="L230" s="24" t="n">
        <v>16</v>
      </c>
      <c r="M230" s="24" t="n">
        <v>16</v>
      </c>
      <c r="N230" s="23" t="n">
        <v>100010677</v>
      </c>
      <c r="O230" s="25" t="n">
        <v>47796</v>
      </c>
      <c r="P230" s="25" t="n">
        <v>45971</v>
      </c>
      <c r="Q230" s="21" t="n">
        <v>46072.4979398148</v>
      </c>
    </row>
    <row r="231" customFormat="false" ht="35.8" hidden="false" customHeight="false" outlineLevel="0" collapsed="false">
      <c r="A231" s="14" t="s">
        <v>13</v>
      </c>
      <c r="B231" s="14" t="s">
        <v>14</v>
      </c>
      <c r="C231" s="15" t="n">
        <v>46071.672349537</v>
      </c>
      <c r="D231" s="16" t="s">
        <v>2056</v>
      </c>
      <c r="E231" s="17" t="n">
        <v>2409717486</v>
      </c>
      <c r="F231" s="16" t="s">
        <v>2057</v>
      </c>
      <c r="G231" s="16" t="s">
        <v>2075</v>
      </c>
      <c r="H231" s="16" t="s">
        <v>2109</v>
      </c>
      <c r="I231" s="17" t="n">
        <v>400483</v>
      </c>
      <c r="J231" s="16" t="s">
        <v>1803</v>
      </c>
      <c r="K231" s="17" t="n">
        <v>2501715613</v>
      </c>
      <c r="L231" s="18" t="n">
        <v>2</v>
      </c>
      <c r="M231" s="18" t="n">
        <v>2</v>
      </c>
      <c r="N231" s="17" t="n">
        <v>153000066</v>
      </c>
      <c r="O231" s="19" t="n">
        <v>47875</v>
      </c>
      <c r="P231" s="19" t="n">
        <v>46050</v>
      </c>
      <c r="Q231" s="15" t="n">
        <v>46072.4974652778</v>
      </c>
    </row>
    <row r="232" customFormat="false" ht="24" hidden="false" customHeight="false" outlineLevel="0" collapsed="false">
      <c r="A232" s="20" t="s">
        <v>13</v>
      </c>
      <c r="B232" s="20" t="s">
        <v>14</v>
      </c>
      <c r="C232" s="21" t="n">
        <v>46071.6761574074</v>
      </c>
      <c r="D232" s="22" t="s">
        <v>2056</v>
      </c>
      <c r="E232" s="23" t="n">
        <v>2409717438</v>
      </c>
      <c r="F232" s="22" t="s">
        <v>2057</v>
      </c>
      <c r="G232" s="22" t="s">
        <v>2110</v>
      </c>
      <c r="H232" s="22" t="s">
        <v>2111</v>
      </c>
      <c r="I232" s="23" t="n">
        <v>400919</v>
      </c>
      <c r="J232" s="22" t="s">
        <v>420</v>
      </c>
      <c r="K232" s="26" t="s">
        <v>2112</v>
      </c>
      <c r="L232" s="24" t="n">
        <v>10</v>
      </c>
      <c r="M232" s="24" t="n">
        <v>10</v>
      </c>
      <c r="N232" s="23" t="n">
        <v>100011193</v>
      </c>
      <c r="O232" s="25" t="n">
        <v>47841</v>
      </c>
      <c r="P232" s="25" t="n">
        <v>46016</v>
      </c>
      <c r="Q232" s="21" t="n">
        <v>46072.4953240741</v>
      </c>
    </row>
    <row r="233" customFormat="false" ht="24" hidden="false" customHeight="false" outlineLevel="0" collapsed="false">
      <c r="A233" s="14" t="s">
        <v>13</v>
      </c>
      <c r="B233" s="14" t="s">
        <v>14</v>
      </c>
      <c r="C233" s="15" t="n">
        <v>46071.6761574074</v>
      </c>
      <c r="D233" s="16" t="s">
        <v>2056</v>
      </c>
      <c r="E233" s="17" t="n">
        <v>2409717438</v>
      </c>
      <c r="F233" s="16" t="s">
        <v>2057</v>
      </c>
      <c r="G233" s="16" t="s">
        <v>2110</v>
      </c>
      <c r="H233" s="16" t="s">
        <v>2111</v>
      </c>
      <c r="I233" s="17" t="n">
        <v>400919</v>
      </c>
      <c r="J233" s="16" t="s">
        <v>420</v>
      </c>
      <c r="K233" s="27" t="s">
        <v>2112</v>
      </c>
      <c r="L233" s="18" t="n">
        <v>19</v>
      </c>
      <c r="M233" s="18" t="n">
        <v>19</v>
      </c>
      <c r="N233" s="17" t="n">
        <v>100011193</v>
      </c>
      <c r="O233" s="19" t="n">
        <v>47841</v>
      </c>
      <c r="P233" s="19" t="n">
        <v>46016</v>
      </c>
      <c r="Q233" s="15" t="n">
        <v>46072.4953240741</v>
      </c>
    </row>
    <row r="234" customFormat="false" ht="35.8" hidden="false" customHeight="false" outlineLevel="0" collapsed="false">
      <c r="A234" s="20" t="s">
        <v>13</v>
      </c>
      <c r="B234" s="20" t="s">
        <v>14</v>
      </c>
      <c r="C234" s="21" t="n">
        <v>46071.6790393519</v>
      </c>
      <c r="D234" s="22" t="s">
        <v>2056</v>
      </c>
      <c r="E234" s="23" t="n">
        <v>2409717508</v>
      </c>
      <c r="F234" s="22" t="s">
        <v>2057</v>
      </c>
      <c r="G234" s="22" t="s">
        <v>2075</v>
      </c>
      <c r="H234" s="22" t="s">
        <v>2113</v>
      </c>
      <c r="I234" s="23" t="n">
        <v>400630</v>
      </c>
      <c r="J234" s="22" t="s">
        <v>772</v>
      </c>
      <c r="K234" s="23" t="n">
        <v>2501715614</v>
      </c>
      <c r="L234" s="24" t="n">
        <v>1</v>
      </c>
      <c r="M234" s="24" t="n">
        <v>1</v>
      </c>
      <c r="N234" s="23" t="n">
        <v>100009958</v>
      </c>
      <c r="O234" s="25" t="n">
        <v>47728</v>
      </c>
      <c r="P234" s="25" t="n">
        <v>45903</v>
      </c>
      <c r="Q234" s="21" t="n">
        <v>46072.4974652778</v>
      </c>
    </row>
    <row r="235" customFormat="false" ht="35.8" hidden="false" customHeight="false" outlineLevel="0" collapsed="false">
      <c r="A235" s="14" t="s">
        <v>13</v>
      </c>
      <c r="B235" s="14" t="s">
        <v>14</v>
      </c>
      <c r="C235" s="15" t="n">
        <v>46071.6790393519</v>
      </c>
      <c r="D235" s="16" t="s">
        <v>2056</v>
      </c>
      <c r="E235" s="17" t="n">
        <v>2409717508</v>
      </c>
      <c r="F235" s="16" t="s">
        <v>2057</v>
      </c>
      <c r="G235" s="16" t="s">
        <v>2075</v>
      </c>
      <c r="H235" s="16" t="s">
        <v>2113</v>
      </c>
      <c r="I235" s="17" t="n">
        <v>400630</v>
      </c>
      <c r="J235" s="16" t="s">
        <v>772</v>
      </c>
      <c r="K235" s="17" t="n">
        <v>2501715614</v>
      </c>
      <c r="L235" s="18" t="n">
        <v>2</v>
      </c>
      <c r="M235" s="18" t="n">
        <v>2</v>
      </c>
      <c r="N235" s="17" t="n">
        <v>153000058</v>
      </c>
      <c r="O235" s="19" t="n">
        <v>47873</v>
      </c>
      <c r="P235" s="19" t="n">
        <v>46048</v>
      </c>
      <c r="Q235" s="15" t="n">
        <v>46072.4974652778</v>
      </c>
    </row>
    <row r="236" customFormat="false" ht="35.8" hidden="false" customHeight="false" outlineLevel="0" collapsed="false">
      <c r="A236" s="20" t="s">
        <v>13</v>
      </c>
      <c r="B236" s="20" t="s">
        <v>14</v>
      </c>
      <c r="C236" s="21" t="n">
        <v>46071.6790393519</v>
      </c>
      <c r="D236" s="22" t="s">
        <v>2056</v>
      </c>
      <c r="E236" s="23" t="n">
        <v>2409717508</v>
      </c>
      <c r="F236" s="22" t="s">
        <v>2057</v>
      </c>
      <c r="G236" s="22" t="s">
        <v>2075</v>
      </c>
      <c r="H236" s="22" t="s">
        <v>2113</v>
      </c>
      <c r="I236" s="23" t="n">
        <v>400630</v>
      </c>
      <c r="J236" s="22" t="s">
        <v>772</v>
      </c>
      <c r="K236" s="23" t="n">
        <v>2501715614</v>
      </c>
      <c r="L236" s="24" t="n">
        <v>1</v>
      </c>
      <c r="M236" s="24" t="n">
        <v>1</v>
      </c>
      <c r="N236" s="23" t="n">
        <v>100010471</v>
      </c>
      <c r="O236" s="25" t="n">
        <v>47776</v>
      </c>
      <c r="P236" s="25" t="n">
        <v>45951</v>
      </c>
      <c r="Q236" s="21" t="n">
        <v>46072.4974652778</v>
      </c>
    </row>
    <row r="237" customFormat="false" ht="35.8" hidden="false" customHeight="false" outlineLevel="0" collapsed="false">
      <c r="A237" s="14" t="s">
        <v>13</v>
      </c>
      <c r="B237" s="14" t="s">
        <v>14</v>
      </c>
      <c r="C237" s="15" t="n">
        <v>46071.6790393519</v>
      </c>
      <c r="D237" s="16" t="s">
        <v>2056</v>
      </c>
      <c r="E237" s="17" t="n">
        <v>2409717520</v>
      </c>
      <c r="F237" s="16" t="s">
        <v>2057</v>
      </c>
      <c r="G237" s="16" t="s">
        <v>2075</v>
      </c>
      <c r="H237" s="16" t="s">
        <v>2114</v>
      </c>
      <c r="I237" s="17" t="n">
        <v>400413</v>
      </c>
      <c r="J237" s="16" t="s">
        <v>168</v>
      </c>
      <c r="K237" s="17" t="n">
        <v>2501715622</v>
      </c>
      <c r="L237" s="18" t="n">
        <v>8</v>
      </c>
      <c r="M237" s="18" t="n">
        <v>8</v>
      </c>
      <c r="N237" s="17" t="n">
        <v>100010677</v>
      </c>
      <c r="O237" s="19" t="n">
        <v>47796</v>
      </c>
      <c r="P237" s="19" t="n">
        <v>45971</v>
      </c>
      <c r="Q237" s="15" t="n">
        <v>46072.4974652778</v>
      </c>
    </row>
    <row r="238" customFormat="false" ht="35.8" hidden="false" customHeight="false" outlineLevel="0" collapsed="false">
      <c r="A238" s="20" t="s">
        <v>13</v>
      </c>
      <c r="B238" s="20" t="s">
        <v>14</v>
      </c>
      <c r="C238" s="21" t="n">
        <v>46071.6790393519</v>
      </c>
      <c r="D238" s="22" t="s">
        <v>2056</v>
      </c>
      <c r="E238" s="23" t="n">
        <v>2409717520</v>
      </c>
      <c r="F238" s="22" t="s">
        <v>2057</v>
      </c>
      <c r="G238" s="22" t="s">
        <v>2075</v>
      </c>
      <c r="H238" s="22" t="s">
        <v>2114</v>
      </c>
      <c r="I238" s="23" t="n">
        <v>400413</v>
      </c>
      <c r="J238" s="22" t="s">
        <v>168</v>
      </c>
      <c r="K238" s="23" t="n">
        <v>2501715622</v>
      </c>
      <c r="L238" s="24" t="n">
        <v>24</v>
      </c>
      <c r="M238" s="24" t="n">
        <v>24</v>
      </c>
      <c r="N238" s="23" t="n">
        <v>100010677</v>
      </c>
      <c r="O238" s="25" t="n">
        <v>47796</v>
      </c>
      <c r="P238" s="25" t="n">
        <v>45971</v>
      </c>
      <c r="Q238" s="21" t="n">
        <v>46072.4974652778</v>
      </c>
    </row>
    <row r="239" customFormat="false" ht="35.8" hidden="false" customHeight="false" outlineLevel="0" collapsed="false">
      <c r="A239" s="14" t="s">
        <v>13</v>
      </c>
      <c r="B239" s="14" t="s">
        <v>14</v>
      </c>
      <c r="C239" s="15" t="n">
        <v>46071.6790393519</v>
      </c>
      <c r="D239" s="16" t="s">
        <v>2056</v>
      </c>
      <c r="E239" s="17" t="n">
        <v>2409717520</v>
      </c>
      <c r="F239" s="16" t="s">
        <v>2057</v>
      </c>
      <c r="G239" s="16" t="s">
        <v>2075</v>
      </c>
      <c r="H239" s="16" t="s">
        <v>2114</v>
      </c>
      <c r="I239" s="17" t="n">
        <v>400413</v>
      </c>
      <c r="J239" s="16" t="s">
        <v>168</v>
      </c>
      <c r="K239" s="17" t="n">
        <v>2501715622</v>
      </c>
      <c r="L239" s="18" t="n">
        <v>24</v>
      </c>
      <c r="M239" s="18" t="n">
        <v>24</v>
      </c>
      <c r="N239" s="17" t="n">
        <v>100010691</v>
      </c>
      <c r="O239" s="19" t="n">
        <v>47797</v>
      </c>
      <c r="P239" s="19" t="n">
        <v>45972</v>
      </c>
      <c r="Q239" s="15" t="n">
        <v>46072.4974652778</v>
      </c>
    </row>
    <row r="240" customFormat="false" ht="35.8" hidden="false" customHeight="false" outlineLevel="0" collapsed="false">
      <c r="A240" s="20" t="s">
        <v>13</v>
      </c>
      <c r="B240" s="20" t="s">
        <v>14</v>
      </c>
      <c r="C240" s="21" t="n">
        <v>46071.6790393519</v>
      </c>
      <c r="D240" s="22" t="s">
        <v>2056</v>
      </c>
      <c r="E240" s="23" t="n">
        <v>2409717520</v>
      </c>
      <c r="F240" s="22" t="s">
        <v>2057</v>
      </c>
      <c r="G240" s="22" t="s">
        <v>2075</v>
      </c>
      <c r="H240" s="22" t="s">
        <v>2114</v>
      </c>
      <c r="I240" s="23" t="n">
        <v>400413</v>
      </c>
      <c r="J240" s="22" t="s">
        <v>168</v>
      </c>
      <c r="K240" s="23" t="n">
        <v>2501715622</v>
      </c>
      <c r="L240" s="24" t="n">
        <v>24</v>
      </c>
      <c r="M240" s="24" t="n">
        <v>24</v>
      </c>
      <c r="N240" s="23" t="n">
        <v>100010738</v>
      </c>
      <c r="O240" s="25" t="n">
        <v>47802</v>
      </c>
      <c r="P240" s="25" t="n">
        <v>45977</v>
      </c>
      <c r="Q240" s="21" t="n">
        <v>46072.4974652778</v>
      </c>
    </row>
    <row r="241" customFormat="false" ht="35.8" hidden="false" customHeight="false" outlineLevel="0" collapsed="false">
      <c r="A241" s="14" t="s">
        <v>13</v>
      </c>
      <c r="B241" s="14" t="s">
        <v>14</v>
      </c>
      <c r="C241" s="15" t="n">
        <v>46071.6790393519</v>
      </c>
      <c r="D241" s="16" t="s">
        <v>2056</v>
      </c>
      <c r="E241" s="17" t="n">
        <v>2409717520</v>
      </c>
      <c r="F241" s="16" t="s">
        <v>2057</v>
      </c>
      <c r="G241" s="16" t="s">
        <v>2075</v>
      </c>
      <c r="H241" s="16" t="s">
        <v>2114</v>
      </c>
      <c r="I241" s="17" t="n">
        <v>400413</v>
      </c>
      <c r="J241" s="16" t="s">
        <v>168</v>
      </c>
      <c r="K241" s="17" t="n">
        <v>2501715622</v>
      </c>
      <c r="L241" s="18" t="n">
        <v>20</v>
      </c>
      <c r="M241" s="18" t="n">
        <v>20</v>
      </c>
      <c r="N241" s="17" t="n">
        <v>100010738</v>
      </c>
      <c r="O241" s="19" t="n">
        <v>47802</v>
      </c>
      <c r="P241" s="19" t="n">
        <v>45977</v>
      </c>
      <c r="Q241" s="15" t="n">
        <v>46072.4974652778</v>
      </c>
    </row>
    <row r="242" customFormat="false" ht="35.8" hidden="false" customHeight="false" outlineLevel="0" collapsed="false">
      <c r="A242" s="20" t="s">
        <v>13</v>
      </c>
      <c r="B242" s="20" t="s">
        <v>14</v>
      </c>
      <c r="C242" s="21" t="n">
        <v>46071.6829282407</v>
      </c>
      <c r="D242" s="22" t="s">
        <v>2056</v>
      </c>
      <c r="E242" s="23" t="n">
        <v>2409717485</v>
      </c>
      <c r="F242" s="22" t="s">
        <v>2057</v>
      </c>
      <c r="G242" s="22" t="s">
        <v>2115</v>
      </c>
      <c r="H242" s="22" t="s">
        <v>2116</v>
      </c>
      <c r="I242" s="23" t="n">
        <v>400396</v>
      </c>
      <c r="J242" s="22" t="s">
        <v>170</v>
      </c>
      <c r="K242" s="23" t="n">
        <v>2501715571</v>
      </c>
      <c r="L242" s="24" t="n">
        <v>20</v>
      </c>
      <c r="M242" s="24" t="n">
        <v>20</v>
      </c>
      <c r="N242" s="23" t="n">
        <v>100011104</v>
      </c>
      <c r="O242" s="25" t="n">
        <v>47833</v>
      </c>
      <c r="P242" s="25" t="n">
        <v>46008</v>
      </c>
      <c r="Q242" s="21" t="n">
        <v>46072.4960532407</v>
      </c>
    </row>
    <row r="243" customFormat="false" ht="35.8" hidden="false" customHeight="false" outlineLevel="0" collapsed="false">
      <c r="A243" s="14" t="s">
        <v>13</v>
      </c>
      <c r="B243" s="14" t="s">
        <v>14</v>
      </c>
      <c r="C243" s="15" t="n">
        <v>46071.6829282407</v>
      </c>
      <c r="D243" s="16" t="s">
        <v>2056</v>
      </c>
      <c r="E243" s="17" t="n">
        <v>2409717485</v>
      </c>
      <c r="F243" s="16" t="s">
        <v>2057</v>
      </c>
      <c r="G243" s="16" t="s">
        <v>2115</v>
      </c>
      <c r="H243" s="16" t="s">
        <v>2116</v>
      </c>
      <c r="I243" s="17" t="n">
        <v>400396</v>
      </c>
      <c r="J243" s="16" t="s">
        <v>170</v>
      </c>
      <c r="K243" s="17" t="n">
        <v>2501715571</v>
      </c>
      <c r="L243" s="18" t="n">
        <v>32</v>
      </c>
      <c r="M243" s="18" t="n">
        <v>32</v>
      </c>
      <c r="N243" s="17" t="n">
        <v>100011104</v>
      </c>
      <c r="O243" s="19" t="n">
        <v>47833</v>
      </c>
      <c r="P243" s="19" t="n">
        <v>46008</v>
      </c>
      <c r="Q243" s="15" t="n">
        <v>46072.4960532407</v>
      </c>
    </row>
    <row r="244" customFormat="false" ht="35.8" hidden="false" customHeight="false" outlineLevel="0" collapsed="false">
      <c r="A244" s="20" t="s">
        <v>13</v>
      </c>
      <c r="B244" s="20" t="s">
        <v>14</v>
      </c>
      <c r="C244" s="21" t="n">
        <v>46071.6829282407</v>
      </c>
      <c r="D244" s="22" t="s">
        <v>2056</v>
      </c>
      <c r="E244" s="23" t="n">
        <v>2409717485</v>
      </c>
      <c r="F244" s="22" t="s">
        <v>2057</v>
      </c>
      <c r="G244" s="22" t="s">
        <v>2115</v>
      </c>
      <c r="H244" s="22" t="s">
        <v>2116</v>
      </c>
      <c r="I244" s="23" t="n">
        <v>400396</v>
      </c>
      <c r="J244" s="22" t="s">
        <v>170</v>
      </c>
      <c r="K244" s="23" t="n">
        <v>2501715571</v>
      </c>
      <c r="L244" s="24" t="n">
        <v>52</v>
      </c>
      <c r="M244" s="24" t="n">
        <v>52</v>
      </c>
      <c r="N244" s="23" t="n">
        <v>100011104</v>
      </c>
      <c r="O244" s="25" t="n">
        <v>47833</v>
      </c>
      <c r="P244" s="25" t="n">
        <v>46008</v>
      </c>
      <c r="Q244" s="21" t="n">
        <v>46072.4960532407</v>
      </c>
    </row>
    <row r="245" customFormat="false" ht="35.8" hidden="false" customHeight="false" outlineLevel="0" collapsed="false">
      <c r="A245" s="14" t="s">
        <v>13</v>
      </c>
      <c r="B245" s="14" t="s">
        <v>14</v>
      </c>
      <c r="C245" s="15" t="n">
        <v>46071.6829282407</v>
      </c>
      <c r="D245" s="16" t="s">
        <v>2056</v>
      </c>
      <c r="E245" s="17" t="n">
        <v>2409717485</v>
      </c>
      <c r="F245" s="16" t="s">
        <v>2057</v>
      </c>
      <c r="G245" s="16" t="s">
        <v>2115</v>
      </c>
      <c r="H245" s="16" t="s">
        <v>2116</v>
      </c>
      <c r="I245" s="17" t="n">
        <v>400396</v>
      </c>
      <c r="J245" s="16" t="s">
        <v>170</v>
      </c>
      <c r="K245" s="17" t="n">
        <v>2501715571</v>
      </c>
      <c r="L245" s="18" t="n">
        <v>52</v>
      </c>
      <c r="M245" s="18" t="n">
        <v>52</v>
      </c>
      <c r="N245" s="17" t="n">
        <v>100011104</v>
      </c>
      <c r="O245" s="19" t="n">
        <v>47833</v>
      </c>
      <c r="P245" s="19" t="n">
        <v>46008</v>
      </c>
      <c r="Q245" s="15" t="n">
        <v>46072.4960532407</v>
      </c>
    </row>
    <row r="246" customFormat="false" ht="35.8" hidden="false" customHeight="false" outlineLevel="0" collapsed="false">
      <c r="A246" s="20" t="s">
        <v>13</v>
      </c>
      <c r="B246" s="20" t="s">
        <v>14</v>
      </c>
      <c r="C246" s="21" t="n">
        <v>46071.6829282407</v>
      </c>
      <c r="D246" s="22" t="s">
        <v>2056</v>
      </c>
      <c r="E246" s="23" t="n">
        <v>2409717485</v>
      </c>
      <c r="F246" s="22" t="s">
        <v>2057</v>
      </c>
      <c r="G246" s="22" t="s">
        <v>2115</v>
      </c>
      <c r="H246" s="22" t="s">
        <v>2116</v>
      </c>
      <c r="I246" s="23" t="n">
        <v>400396</v>
      </c>
      <c r="J246" s="22" t="s">
        <v>170</v>
      </c>
      <c r="K246" s="23" t="n">
        <v>2501715571</v>
      </c>
      <c r="L246" s="24" t="n">
        <v>52</v>
      </c>
      <c r="M246" s="24" t="n">
        <v>52</v>
      </c>
      <c r="N246" s="23" t="n">
        <v>100011104</v>
      </c>
      <c r="O246" s="25" t="n">
        <v>47833</v>
      </c>
      <c r="P246" s="25" t="n">
        <v>46008</v>
      </c>
      <c r="Q246" s="21" t="n">
        <v>46072.4960532407</v>
      </c>
    </row>
    <row r="247" customFormat="false" ht="35.8" hidden="false" customHeight="false" outlineLevel="0" collapsed="false">
      <c r="A247" s="14" t="s">
        <v>109</v>
      </c>
      <c r="B247" s="14" t="s">
        <v>14</v>
      </c>
      <c r="C247" s="15" t="n">
        <v>46072.3325578704</v>
      </c>
      <c r="D247" s="16" t="s">
        <v>2056</v>
      </c>
      <c r="E247" s="17" t="n">
        <v>2409717518</v>
      </c>
      <c r="F247" s="16" t="s">
        <v>2057</v>
      </c>
      <c r="G247" s="16" t="s">
        <v>2075</v>
      </c>
      <c r="H247" s="16" t="s">
        <v>109</v>
      </c>
      <c r="I247" s="17" t="n">
        <v>400413</v>
      </c>
      <c r="J247" s="16" t="s">
        <v>168</v>
      </c>
      <c r="K247" s="17" t="n">
        <v>2501715620</v>
      </c>
      <c r="L247" s="18" t="n">
        <v>20</v>
      </c>
      <c r="M247" s="18" t="n">
        <v>20</v>
      </c>
      <c r="N247" s="17" t="n">
        <v>100010539</v>
      </c>
      <c r="O247" s="19" t="n">
        <v>47802</v>
      </c>
      <c r="P247" s="19" t="n">
        <v>45977</v>
      </c>
      <c r="Q247" s="15" t="n">
        <v>46072.383900463</v>
      </c>
    </row>
    <row r="248" customFormat="false" ht="35.8" hidden="false" customHeight="false" outlineLevel="0" collapsed="false">
      <c r="A248" s="20" t="s">
        <v>109</v>
      </c>
      <c r="B248" s="20" t="s">
        <v>14</v>
      </c>
      <c r="C248" s="21" t="n">
        <v>46072.3325578704</v>
      </c>
      <c r="D248" s="22" t="s">
        <v>2056</v>
      </c>
      <c r="E248" s="23" t="n">
        <v>2409717518</v>
      </c>
      <c r="F248" s="22" t="s">
        <v>2057</v>
      </c>
      <c r="G248" s="22" t="s">
        <v>2075</v>
      </c>
      <c r="H248" s="22" t="s">
        <v>109</v>
      </c>
      <c r="I248" s="23" t="n">
        <v>400413</v>
      </c>
      <c r="J248" s="22" t="s">
        <v>168</v>
      </c>
      <c r="K248" s="23" t="n">
        <v>2501715620</v>
      </c>
      <c r="L248" s="24" t="n">
        <v>12</v>
      </c>
      <c r="M248" s="24" t="n">
        <v>12</v>
      </c>
      <c r="N248" s="23" t="n">
        <v>100011150</v>
      </c>
      <c r="O248" s="25" t="n">
        <v>47802</v>
      </c>
      <c r="P248" s="25" t="n">
        <v>45977</v>
      </c>
      <c r="Q248" s="21" t="n">
        <v>46072.383900463</v>
      </c>
    </row>
    <row r="249" customFormat="false" ht="35.8" hidden="false" customHeight="false" outlineLevel="0" collapsed="false">
      <c r="A249" s="14" t="s">
        <v>109</v>
      </c>
      <c r="B249" s="14" t="s">
        <v>14</v>
      </c>
      <c r="C249" s="15" t="n">
        <v>46072.3325578704</v>
      </c>
      <c r="D249" s="16" t="s">
        <v>2056</v>
      </c>
      <c r="E249" s="17" t="n">
        <v>2409717518</v>
      </c>
      <c r="F249" s="16" t="s">
        <v>2057</v>
      </c>
      <c r="G249" s="16" t="s">
        <v>2075</v>
      </c>
      <c r="H249" s="16" t="s">
        <v>109</v>
      </c>
      <c r="I249" s="17" t="n">
        <v>400413</v>
      </c>
      <c r="J249" s="16" t="s">
        <v>168</v>
      </c>
      <c r="K249" s="17" t="n">
        <v>2501715620</v>
      </c>
      <c r="L249" s="18" t="n">
        <v>24</v>
      </c>
      <c r="M249" s="18" t="n">
        <v>24</v>
      </c>
      <c r="N249" s="17" t="n">
        <v>100011150</v>
      </c>
      <c r="O249" s="19" t="n">
        <v>47802</v>
      </c>
      <c r="P249" s="19" t="n">
        <v>45977</v>
      </c>
      <c r="Q249" s="15" t="n">
        <v>46072.383900463</v>
      </c>
    </row>
    <row r="250" customFormat="false" ht="35.8" hidden="false" customHeight="false" outlineLevel="0" collapsed="false">
      <c r="A250" s="20" t="s">
        <v>109</v>
      </c>
      <c r="B250" s="20" t="s">
        <v>14</v>
      </c>
      <c r="C250" s="21" t="n">
        <v>46072.3325578704</v>
      </c>
      <c r="D250" s="22" t="s">
        <v>2056</v>
      </c>
      <c r="E250" s="23" t="n">
        <v>2409717518</v>
      </c>
      <c r="F250" s="22" t="s">
        <v>2057</v>
      </c>
      <c r="G250" s="22" t="s">
        <v>2075</v>
      </c>
      <c r="H250" s="22" t="s">
        <v>109</v>
      </c>
      <c r="I250" s="23" t="n">
        <v>400413</v>
      </c>
      <c r="J250" s="22" t="s">
        <v>168</v>
      </c>
      <c r="K250" s="23" t="n">
        <v>2501715620</v>
      </c>
      <c r="L250" s="24" t="n">
        <v>24</v>
      </c>
      <c r="M250" s="24" t="n">
        <v>24</v>
      </c>
      <c r="N250" s="23" t="n">
        <v>100010539</v>
      </c>
      <c r="O250" s="25" t="n">
        <v>47802</v>
      </c>
      <c r="P250" s="25" t="n">
        <v>45977</v>
      </c>
      <c r="Q250" s="21" t="n">
        <v>46072.383900463</v>
      </c>
    </row>
    <row r="251" customFormat="false" ht="35.8" hidden="false" customHeight="false" outlineLevel="0" collapsed="false">
      <c r="A251" s="14" t="s">
        <v>109</v>
      </c>
      <c r="B251" s="14" t="s">
        <v>14</v>
      </c>
      <c r="C251" s="15" t="n">
        <v>46072.3325578704</v>
      </c>
      <c r="D251" s="16" t="s">
        <v>2056</v>
      </c>
      <c r="E251" s="17" t="n">
        <v>2409717518</v>
      </c>
      <c r="F251" s="16" t="s">
        <v>2057</v>
      </c>
      <c r="G251" s="16" t="s">
        <v>2075</v>
      </c>
      <c r="H251" s="16" t="s">
        <v>109</v>
      </c>
      <c r="I251" s="17" t="n">
        <v>400413</v>
      </c>
      <c r="J251" s="16" t="s">
        <v>168</v>
      </c>
      <c r="K251" s="17" t="n">
        <v>2501715620</v>
      </c>
      <c r="L251" s="18" t="n">
        <v>24</v>
      </c>
      <c r="M251" s="18" t="n">
        <v>24</v>
      </c>
      <c r="N251" s="17" t="n">
        <v>100010539</v>
      </c>
      <c r="O251" s="19" t="n">
        <v>47802</v>
      </c>
      <c r="P251" s="19" t="n">
        <v>45977</v>
      </c>
      <c r="Q251" s="15" t="n">
        <v>46072.383900463</v>
      </c>
    </row>
    <row r="252" customFormat="false" ht="35.8" hidden="false" customHeight="false" outlineLevel="0" collapsed="false">
      <c r="A252" s="20" t="s">
        <v>109</v>
      </c>
      <c r="B252" s="20" t="s">
        <v>14</v>
      </c>
      <c r="C252" s="21" t="n">
        <v>46072.3325578704</v>
      </c>
      <c r="D252" s="22" t="s">
        <v>2056</v>
      </c>
      <c r="E252" s="23" t="n">
        <v>2409717518</v>
      </c>
      <c r="F252" s="22" t="s">
        <v>2057</v>
      </c>
      <c r="G252" s="22" t="s">
        <v>2075</v>
      </c>
      <c r="H252" s="22" t="s">
        <v>109</v>
      </c>
      <c r="I252" s="23" t="n">
        <v>400413</v>
      </c>
      <c r="J252" s="22" t="s">
        <v>168</v>
      </c>
      <c r="K252" s="23" t="n">
        <v>2501715620</v>
      </c>
      <c r="L252" s="24" t="n">
        <v>4</v>
      </c>
      <c r="M252" s="24" t="n">
        <v>4</v>
      </c>
      <c r="N252" s="23" t="n">
        <v>100010677</v>
      </c>
      <c r="O252" s="25" t="n">
        <v>47802</v>
      </c>
      <c r="P252" s="25" t="n">
        <v>45977</v>
      </c>
      <c r="Q252" s="21" t="n">
        <v>46072.383900463</v>
      </c>
    </row>
    <row r="253" customFormat="false" ht="35.8" hidden="false" customHeight="false" outlineLevel="0" collapsed="false">
      <c r="A253" s="14" t="s">
        <v>109</v>
      </c>
      <c r="B253" s="14" t="s">
        <v>14</v>
      </c>
      <c r="C253" s="15" t="n">
        <v>46072.3325578704</v>
      </c>
      <c r="D253" s="16" t="s">
        <v>2056</v>
      </c>
      <c r="E253" s="17" t="n">
        <v>2409717518</v>
      </c>
      <c r="F253" s="16" t="s">
        <v>2057</v>
      </c>
      <c r="G253" s="16" t="s">
        <v>2075</v>
      </c>
      <c r="H253" s="16" t="s">
        <v>109</v>
      </c>
      <c r="I253" s="17" t="n">
        <v>400413</v>
      </c>
      <c r="J253" s="16" t="s">
        <v>168</v>
      </c>
      <c r="K253" s="17" t="n">
        <v>2501715620</v>
      </c>
      <c r="L253" s="18" t="n">
        <v>24</v>
      </c>
      <c r="M253" s="18" t="n">
        <v>24</v>
      </c>
      <c r="N253" s="17" t="n">
        <v>100010539</v>
      </c>
      <c r="O253" s="19" t="n">
        <v>47802</v>
      </c>
      <c r="P253" s="19" t="n">
        <v>45977</v>
      </c>
      <c r="Q253" s="15" t="n">
        <v>46072.383900463</v>
      </c>
    </row>
    <row r="254" customFormat="false" ht="35.8" hidden="false" customHeight="false" outlineLevel="0" collapsed="false">
      <c r="A254" s="20" t="s">
        <v>109</v>
      </c>
      <c r="B254" s="20" t="s">
        <v>14</v>
      </c>
      <c r="C254" s="21" t="n">
        <v>46072.3325578704</v>
      </c>
      <c r="D254" s="22" t="s">
        <v>2056</v>
      </c>
      <c r="E254" s="23" t="n">
        <v>2409717518</v>
      </c>
      <c r="F254" s="22" t="s">
        <v>2057</v>
      </c>
      <c r="G254" s="22" t="s">
        <v>2075</v>
      </c>
      <c r="H254" s="22" t="s">
        <v>109</v>
      </c>
      <c r="I254" s="23" t="n">
        <v>400413</v>
      </c>
      <c r="J254" s="22" t="s">
        <v>168</v>
      </c>
      <c r="K254" s="23" t="n">
        <v>2501715620</v>
      </c>
      <c r="L254" s="24" t="n">
        <v>24</v>
      </c>
      <c r="M254" s="24" t="n">
        <v>24</v>
      </c>
      <c r="N254" s="23" t="n">
        <v>100010677</v>
      </c>
      <c r="O254" s="25" t="n">
        <v>47802</v>
      </c>
      <c r="P254" s="25" t="n">
        <v>45977</v>
      </c>
      <c r="Q254" s="21" t="n">
        <v>46072.383900463</v>
      </c>
    </row>
    <row r="255" customFormat="false" ht="35.8" hidden="false" customHeight="false" outlineLevel="0" collapsed="false">
      <c r="A255" s="14" t="s">
        <v>109</v>
      </c>
      <c r="B255" s="14" t="s">
        <v>14</v>
      </c>
      <c r="C255" s="15" t="n">
        <v>46072.3325578704</v>
      </c>
      <c r="D255" s="16" t="s">
        <v>2056</v>
      </c>
      <c r="E255" s="17" t="n">
        <v>2409717518</v>
      </c>
      <c r="F255" s="16" t="s">
        <v>2057</v>
      </c>
      <c r="G255" s="16" t="s">
        <v>2075</v>
      </c>
      <c r="H255" s="16" t="s">
        <v>109</v>
      </c>
      <c r="I255" s="17" t="n">
        <v>400413</v>
      </c>
      <c r="J255" s="16" t="s">
        <v>168</v>
      </c>
      <c r="K255" s="17" t="n">
        <v>2501715620</v>
      </c>
      <c r="L255" s="18" t="n">
        <v>24</v>
      </c>
      <c r="M255" s="18" t="n">
        <v>24</v>
      </c>
      <c r="N255" s="17" t="n">
        <v>100010539</v>
      </c>
      <c r="O255" s="19" t="n">
        <v>47802</v>
      </c>
      <c r="P255" s="19" t="n">
        <v>45977</v>
      </c>
      <c r="Q255" s="15" t="n">
        <v>46072.383900463</v>
      </c>
    </row>
    <row r="256" customFormat="false" ht="35.8" hidden="false" customHeight="false" outlineLevel="0" collapsed="false">
      <c r="A256" s="20" t="s">
        <v>109</v>
      </c>
      <c r="B256" s="20" t="s">
        <v>14</v>
      </c>
      <c r="C256" s="21" t="n">
        <v>46072.3325578704</v>
      </c>
      <c r="D256" s="22" t="s">
        <v>2056</v>
      </c>
      <c r="E256" s="23" t="n">
        <v>2409717518</v>
      </c>
      <c r="F256" s="22" t="s">
        <v>2057</v>
      </c>
      <c r="G256" s="22" t="s">
        <v>2075</v>
      </c>
      <c r="H256" s="22" t="s">
        <v>109</v>
      </c>
      <c r="I256" s="23" t="n">
        <v>400413</v>
      </c>
      <c r="J256" s="22" t="s">
        <v>168</v>
      </c>
      <c r="K256" s="23" t="n">
        <v>2501715620</v>
      </c>
      <c r="L256" s="24" t="n">
        <v>24</v>
      </c>
      <c r="M256" s="24" t="n">
        <v>24</v>
      </c>
      <c r="N256" s="23" t="n">
        <v>100010677</v>
      </c>
      <c r="O256" s="25" t="n">
        <v>47802</v>
      </c>
      <c r="P256" s="25" t="n">
        <v>45977</v>
      </c>
      <c r="Q256" s="21" t="n">
        <v>46072.383900463</v>
      </c>
    </row>
    <row r="257" customFormat="false" ht="35.8" hidden="false" customHeight="false" outlineLevel="0" collapsed="false">
      <c r="A257" s="14" t="s">
        <v>109</v>
      </c>
      <c r="B257" s="14" t="s">
        <v>14</v>
      </c>
      <c r="C257" s="15" t="n">
        <v>46072.3325578704</v>
      </c>
      <c r="D257" s="16" t="s">
        <v>2056</v>
      </c>
      <c r="E257" s="17" t="n">
        <v>2409717518</v>
      </c>
      <c r="F257" s="16" t="s">
        <v>2057</v>
      </c>
      <c r="G257" s="16" t="s">
        <v>2075</v>
      </c>
      <c r="H257" s="16" t="s">
        <v>109</v>
      </c>
      <c r="I257" s="17" t="n">
        <v>400413</v>
      </c>
      <c r="J257" s="16" t="s">
        <v>168</v>
      </c>
      <c r="K257" s="17" t="n">
        <v>2501715620</v>
      </c>
      <c r="L257" s="18" t="n">
        <v>24</v>
      </c>
      <c r="M257" s="18" t="n">
        <v>24</v>
      </c>
      <c r="N257" s="17" t="n">
        <v>100010738</v>
      </c>
      <c r="O257" s="19" t="n">
        <v>47802</v>
      </c>
      <c r="P257" s="19" t="n">
        <v>45977</v>
      </c>
      <c r="Q257" s="15" t="n">
        <v>46072.383900463</v>
      </c>
    </row>
    <row r="258" customFormat="false" ht="35.8" hidden="false" customHeight="false" outlineLevel="0" collapsed="false">
      <c r="A258" s="20" t="s">
        <v>109</v>
      </c>
      <c r="B258" s="20" t="s">
        <v>14</v>
      </c>
      <c r="C258" s="21" t="n">
        <v>46072.3325578704</v>
      </c>
      <c r="D258" s="22" t="s">
        <v>2056</v>
      </c>
      <c r="E258" s="23" t="n">
        <v>2409717518</v>
      </c>
      <c r="F258" s="22" t="s">
        <v>2057</v>
      </c>
      <c r="G258" s="22" t="s">
        <v>2075</v>
      </c>
      <c r="H258" s="22" t="s">
        <v>109</v>
      </c>
      <c r="I258" s="23" t="n">
        <v>400413</v>
      </c>
      <c r="J258" s="22" t="s">
        <v>168</v>
      </c>
      <c r="K258" s="23" t="n">
        <v>2501715620</v>
      </c>
      <c r="L258" s="24" t="n">
        <v>24</v>
      </c>
      <c r="M258" s="24" t="n">
        <v>24</v>
      </c>
      <c r="N258" s="23" t="n">
        <v>100010738</v>
      </c>
      <c r="O258" s="25" t="n">
        <v>47802</v>
      </c>
      <c r="P258" s="25" t="n">
        <v>45977</v>
      </c>
      <c r="Q258" s="21" t="n">
        <v>46072.383900463</v>
      </c>
    </row>
    <row r="259" customFormat="false" ht="35.8" hidden="false" customHeight="false" outlineLevel="0" collapsed="false">
      <c r="A259" s="14" t="s">
        <v>109</v>
      </c>
      <c r="B259" s="14" t="s">
        <v>14</v>
      </c>
      <c r="C259" s="15" t="n">
        <v>46072.3325578704</v>
      </c>
      <c r="D259" s="16" t="s">
        <v>2056</v>
      </c>
      <c r="E259" s="17" t="n">
        <v>2409717518</v>
      </c>
      <c r="F259" s="16" t="s">
        <v>2057</v>
      </c>
      <c r="G259" s="16" t="s">
        <v>2075</v>
      </c>
      <c r="H259" s="16" t="s">
        <v>109</v>
      </c>
      <c r="I259" s="17" t="n">
        <v>400413</v>
      </c>
      <c r="J259" s="16" t="s">
        <v>168</v>
      </c>
      <c r="K259" s="17" t="n">
        <v>2501715620</v>
      </c>
      <c r="L259" s="18" t="n">
        <v>24</v>
      </c>
      <c r="M259" s="18" t="n">
        <v>24</v>
      </c>
      <c r="N259" s="17" t="n">
        <v>100010677</v>
      </c>
      <c r="O259" s="19" t="n">
        <v>47802</v>
      </c>
      <c r="P259" s="19" t="n">
        <v>45977</v>
      </c>
      <c r="Q259" s="15" t="n">
        <v>46072.383900463</v>
      </c>
    </row>
    <row r="260" customFormat="false" ht="35.8" hidden="false" customHeight="false" outlineLevel="0" collapsed="false">
      <c r="A260" s="20" t="s">
        <v>109</v>
      </c>
      <c r="B260" s="20" t="s">
        <v>14</v>
      </c>
      <c r="C260" s="21" t="n">
        <v>46072.3325578704</v>
      </c>
      <c r="D260" s="22" t="s">
        <v>2056</v>
      </c>
      <c r="E260" s="23" t="n">
        <v>2409717518</v>
      </c>
      <c r="F260" s="22" t="s">
        <v>2057</v>
      </c>
      <c r="G260" s="22" t="s">
        <v>2075</v>
      </c>
      <c r="H260" s="22" t="s">
        <v>109</v>
      </c>
      <c r="I260" s="23" t="n">
        <v>400413</v>
      </c>
      <c r="J260" s="22" t="s">
        <v>168</v>
      </c>
      <c r="K260" s="23" t="n">
        <v>2501715620</v>
      </c>
      <c r="L260" s="24" t="n">
        <v>24</v>
      </c>
      <c r="M260" s="24" t="n">
        <v>24</v>
      </c>
      <c r="N260" s="23" t="n">
        <v>100010677</v>
      </c>
      <c r="O260" s="25" t="n">
        <v>47802</v>
      </c>
      <c r="P260" s="25" t="n">
        <v>45977</v>
      </c>
      <c r="Q260" s="21" t="n">
        <v>46072.383900463</v>
      </c>
    </row>
    <row r="261" customFormat="false" ht="35.8" hidden="false" customHeight="false" outlineLevel="0" collapsed="false">
      <c r="A261" s="14" t="s">
        <v>109</v>
      </c>
      <c r="B261" s="14" t="s">
        <v>14</v>
      </c>
      <c r="C261" s="15" t="n">
        <v>46072.3471759259</v>
      </c>
      <c r="D261" s="16" t="s">
        <v>2056</v>
      </c>
      <c r="E261" s="17" t="n">
        <v>2403711046</v>
      </c>
      <c r="F261" s="16" t="s">
        <v>2057</v>
      </c>
      <c r="G261" s="16" t="s">
        <v>2117</v>
      </c>
      <c r="H261" s="16" t="s">
        <v>2118</v>
      </c>
      <c r="I261" s="17" t="n">
        <v>400396</v>
      </c>
      <c r="J261" s="16" t="s">
        <v>170</v>
      </c>
      <c r="K261" s="17" t="n">
        <v>2505702809</v>
      </c>
      <c r="L261" s="18" t="n">
        <v>1</v>
      </c>
      <c r="M261" s="18" t="n">
        <v>1</v>
      </c>
      <c r="N261" s="17" t="n">
        <v>100010092</v>
      </c>
      <c r="O261" s="19" t="n">
        <v>47756</v>
      </c>
      <c r="P261" s="19" t="n">
        <v>45931</v>
      </c>
      <c r="Q261" s="15" t="n">
        <v>46072.4745717593</v>
      </c>
    </row>
    <row r="262" customFormat="false" ht="47.25" hidden="false" customHeight="false" outlineLevel="0" collapsed="false">
      <c r="A262" s="20" t="s">
        <v>109</v>
      </c>
      <c r="B262" s="20" t="s">
        <v>14</v>
      </c>
      <c r="C262" s="21" t="n">
        <v>46072.3471875</v>
      </c>
      <c r="D262" s="22" t="s">
        <v>2056</v>
      </c>
      <c r="E262" s="23" t="n">
        <v>2409717516</v>
      </c>
      <c r="F262" s="22" t="s">
        <v>2057</v>
      </c>
      <c r="G262" s="22" t="s">
        <v>2119</v>
      </c>
      <c r="H262" s="22" t="s">
        <v>2120</v>
      </c>
      <c r="I262" s="23" t="n">
        <v>400441</v>
      </c>
      <c r="J262" s="22" t="s">
        <v>80</v>
      </c>
      <c r="K262" s="23" t="n">
        <v>2501715619</v>
      </c>
      <c r="L262" s="24" t="n">
        <v>1</v>
      </c>
      <c r="M262" s="24" t="n">
        <v>1</v>
      </c>
      <c r="N262" s="23" t="n">
        <v>153000045</v>
      </c>
      <c r="O262" s="25" t="n">
        <v>47838</v>
      </c>
      <c r="P262" s="25" t="n">
        <v>46013</v>
      </c>
      <c r="Q262" s="21" t="n">
        <v>46072.4749421296</v>
      </c>
    </row>
    <row r="263" customFormat="false" ht="47.25" hidden="false" customHeight="false" outlineLevel="0" collapsed="false">
      <c r="A263" s="14" t="s">
        <v>109</v>
      </c>
      <c r="B263" s="14" t="s">
        <v>14</v>
      </c>
      <c r="C263" s="15" t="n">
        <v>46072.3471875</v>
      </c>
      <c r="D263" s="16" t="s">
        <v>2056</v>
      </c>
      <c r="E263" s="17" t="n">
        <v>2409717516</v>
      </c>
      <c r="F263" s="16" t="s">
        <v>2057</v>
      </c>
      <c r="G263" s="16" t="s">
        <v>2119</v>
      </c>
      <c r="H263" s="16" t="s">
        <v>2120</v>
      </c>
      <c r="I263" s="17" t="n">
        <v>400441</v>
      </c>
      <c r="J263" s="16" t="s">
        <v>80</v>
      </c>
      <c r="K263" s="17" t="n">
        <v>2501715619</v>
      </c>
      <c r="L263" s="18" t="n">
        <v>1</v>
      </c>
      <c r="M263" s="18" t="n">
        <v>1</v>
      </c>
      <c r="N263" s="17" t="n">
        <v>153000045</v>
      </c>
      <c r="O263" s="19" t="n">
        <v>47838</v>
      </c>
      <c r="P263" s="19" t="n">
        <v>46013</v>
      </c>
      <c r="Q263" s="15" t="n">
        <v>46072.4749421296</v>
      </c>
    </row>
    <row r="264" customFormat="false" ht="47.25" hidden="false" customHeight="false" outlineLevel="0" collapsed="false">
      <c r="A264" s="20" t="s">
        <v>109</v>
      </c>
      <c r="B264" s="20" t="s">
        <v>14</v>
      </c>
      <c r="C264" s="21" t="n">
        <v>46072.3471875</v>
      </c>
      <c r="D264" s="22" t="s">
        <v>2056</v>
      </c>
      <c r="E264" s="23" t="n">
        <v>2409717516</v>
      </c>
      <c r="F264" s="22" t="s">
        <v>2057</v>
      </c>
      <c r="G264" s="22" t="s">
        <v>2119</v>
      </c>
      <c r="H264" s="22" t="s">
        <v>2120</v>
      </c>
      <c r="I264" s="23" t="n">
        <v>400441</v>
      </c>
      <c r="J264" s="22" t="s">
        <v>80</v>
      </c>
      <c r="K264" s="23" t="n">
        <v>2501715619</v>
      </c>
      <c r="L264" s="24" t="n">
        <v>4</v>
      </c>
      <c r="M264" s="24" t="n">
        <v>4</v>
      </c>
      <c r="N264" s="23" t="n">
        <v>153000045</v>
      </c>
      <c r="O264" s="25" t="n">
        <v>47838</v>
      </c>
      <c r="P264" s="25" t="n">
        <v>46013</v>
      </c>
      <c r="Q264" s="21" t="n">
        <v>46072.4749421296</v>
      </c>
    </row>
    <row r="265" customFormat="false" ht="47.25" hidden="false" customHeight="false" outlineLevel="0" collapsed="false">
      <c r="A265" s="14" t="s">
        <v>109</v>
      </c>
      <c r="B265" s="14" t="s">
        <v>14</v>
      </c>
      <c r="C265" s="15" t="n">
        <v>46072.3471875</v>
      </c>
      <c r="D265" s="16" t="s">
        <v>2056</v>
      </c>
      <c r="E265" s="17" t="n">
        <v>2409717516</v>
      </c>
      <c r="F265" s="16" t="s">
        <v>2057</v>
      </c>
      <c r="G265" s="16" t="s">
        <v>2119</v>
      </c>
      <c r="H265" s="16" t="s">
        <v>2120</v>
      </c>
      <c r="I265" s="17" t="n">
        <v>400441</v>
      </c>
      <c r="J265" s="16" t="s">
        <v>80</v>
      </c>
      <c r="K265" s="17" t="n">
        <v>2501715619</v>
      </c>
      <c r="L265" s="18" t="n">
        <v>4</v>
      </c>
      <c r="M265" s="18" t="n">
        <v>4</v>
      </c>
      <c r="N265" s="17" t="n">
        <v>153000045</v>
      </c>
      <c r="O265" s="19" t="n">
        <v>47838</v>
      </c>
      <c r="P265" s="19" t="n">
        <v>46013</v>
      </c>
      <c r="Q265" s="15" t="n">
        <v>46072.4749421296</v>
      </c>
    </row>
    <row r="266" customFormat="false" ht="35.8" hidden="false" customHeight="false" outlineLevel="0" collapsed="false">
      <c r="A266" s="20" t="s">
        <v>109</v>
      </c>
      <c r="B266" s="20" t="s">
        <v>14</v>
      </c>
      <c r="C266" s="21" t="n">
        <v>46072.3471875</v>
      </c>
      <c r="D266" s="22" t="s">
        <v>2056</v>
      </c>
      <c r="E266" s="23" t="n">
        <v>2409717519</v>
      </c>
      <c r="F266" s="22" t="s">
        <v>2057</v>
      </c>
      <c r="G266" s="22" t="s">
        <v>2075</v>
      </c>
      <c r="H266" s="22" t="s">
        <v>2121</v>
      </c>
      <c r="I266" s="23" t="n">
        <v>400413</v>
      </c>
      <c r="J266" s="22" t="s">
        <v>168</v>
      </c>
      <c r="K266" s="23" t="n">
        <v>2501715621</v>
      </c>
      <c r="L266" s="24" t="n">
        <v>12</v>
      </c>
      <c r="M266" s="24" t="n">
        <v>12</v>
      </c>
      <c r="N266" s="23" t="n">
        <v>100011150</v>
      </c>
      <c r="O266" s="25" t="n">
        <v>47802</v>
      </c>
      <c r="P266" s="25" t="n">
        <v>45977</v>
      </c>
      <c r="Q266" s="21" t="n">
        <v>46072.4753125</v>
      </c>
    </row>
    <row r="267" customFormat="false" ht="35.8" hidden="false" customHeight="false" outlineLevel="0" collapsed="false">
      <c r="A267" s="14" t="s">
        <v>109</v>
      </c>
      <c r="B267" s="14" t="s">
        <v>14</v>
      </c>
      <c r="C267" s="15" t="n">
        <v>46072.3471875</v>
      </c>
      <c r="D267" s="16" t="s">
        <v>2056</v>
      </c>
      <c r="E267" s="17" t="n">
        <v>2409717519</v>
      </c>
      <c r="F267" s="16" t="s">
        <v>2057</v>
      </c>
      <c r="G267" s="16" t="s">
        <v>2075</v>
      </c>
      <c r="H267" s="16" t="s">
        <v>2121</v>
      </c>
      <c r="I267" s="17" t="n">
        <v>400413</v>
      </c>
      <c r="J267" s="16" t="s">
        <v>168</v>
      </c>
      <c r="K267" s="17" t="n">
        <v>2501715621</v>
      </c>
      <c r="L267" s="18" t="n">
        <v>16</v>
      </c>
      <c r="M267" s="18" t="n">
        <v>16</v>
      </c>
      <c r="N267" s="17" t="n">
        <v>100011150</v>
      </c>
      <c r="O267" s="19" t="n">
        <v>47802</v>
      </c>
      <c r="P267" s="19" t="n">
        <v>45977</v>
      </c>
      <c r="Q267" s="15" t="n">
        <v>46072.4753125</v>
      </c>
    </row>
    <row r="268" customFormat="false" ht="35.8" hidden="false" customHeight="false" outlineLevel="0" collapsed="false">
      <c r="A268" s="20" t="s">
        <v>109</v>
      </c>
      <c r="B268" s="20" t="s">
        <v>14</v>
      </c>
      <c r="C268" s="21" t="n">
        <v>46072.3471875</v>
      </c>
      <c r="D268" s="22" t="s">
        <v>2056</v>
      </c>
      <c r="E268" s="23" t="n">
        <v>2409717519</v>
      </c>
      <c r="F268" s="22" t="s">
        <v>2057</v>
      </c>
      <c r="G268" s="22" t="s">
        <v>2075</v>
      </c>
      <c r="H268" s="22" t="s">
        <v>2121</v>
      </c>
      <c r="I268" s="23" t="n">
        <v>400413</v>
      </c>
      <c r="J268" s="22" t="s">
        <v>168</v>
      </c>
      <c r="K268" s="23" t="n">
        <v>2501715621</v>
      </c>
      <c r="L268" s="24" t="n">
        <v>24</v>
      </c>
      <c r="M268" s="24" t="n">
        <v>24</v>
      </c>
      <c r="N268" s="23" t="n">
        <v>100011150</v>
      </c>
      <c r="O268" s="25" t="n">
        <v>47802</v>
      </c>
      <c r="P268" s="25" t="n">
        <v>45977</v>
      </c>
      <c r="Q268" s="21" t="n">
        <v>46072.4753125</v>
      </c>
    </row>
    <row r="269" customFormat="false" ht="35.8" hidden="false" customHeight="false" outlineLevel="0" collapsed="false">
      <c r="A269" s="14" t="s">
        <v>109</v>
      </c>
      <c r="B269" s="14" t="s">
        <v>14</v>
      </c>
      <c r="C269" s="15" t="n">
        <v>46072.3471875</v>
      </c>
      <c r="D269" s="16" t="s">
        <v>2056</v>
      </c>
      <c r="E269" s="17" t="n">
        <v>2409717519</v>
      </c>
      <c r="F269" s="16" t="s">
        <v>2057</v>
      </c>
      <c r="G269" s="16" t="s">
        <v>2075</v>
      </c>
      <c r="H269" s="16" t="s">
        <v>2121</v>
      </c>
      <c r="I269" s="17" t="n">
        <v>400413</v>
      </c>
      <c r="J269" s="16" t="s">
        <v>168</v>
      </c>
      <c r="K269" s="17" t="n">
        <v>2501715621</v>
      </c>
      <c r="L269" s="18" t="n">
        <v>24</v>
      </c>
      <c r="M269" s="18" t="n">
        <v>24</v>
      </c>
      <c r="N269" s="17" t="n">
        <v>100010677</v>
      </c>
      <c r="O269" s="19" t="n">
        <v>47802</v>
      </c>
      <c r="P269" s="19" t="n">
        <v>45977</v>
      </c>
      <c r="Q269" s="15" t="n">
        <v>46072.4753125</v>
      </c>
    </row>
    <row r="270" customFormat="false" ht="35.8" hidden="false" customHeight="false" outlineLevel="0" collapsed="false">
      <c r="A270" s="20" t="s">
        <v>109</v>
      </c>
      <c r="B270" s="20" t="s">
        <v>14</v>
      </c>
      <c r="C270" s="21" t="n">
        <v>46072.3471875</v>
      </c>
      <c r="D270" s="22" t="s">
        <v>2056</v>
      </c>
      <c r="E270" s="23" t="n">
        <v>2409717519</v>
      </c>
      <c r="F270" s="22" t="s">
        <v>2057</v>
      </c>
      <c r="G270" s="22" t="s">
        <v>2075</v>
      </c>
      <c r="H270" s="22" t="s">
        <v>2121</v>
      </c>
      <c r="I270" s="23" t="n">
        <v>400413</v>
      </c>
      <c r="J270" s="22" t="s">
        <v>168</v>
      </c>
      <c r="K270" s="23" t="n">
        <v>2501715621</v>
      </c>
      <c r="L270" s="24" t="n">
        <v>24</v>
      </c>
      <c r="M270" s="24" t="n">
        <v>24</v>
      </c>
      <c r="N270" s="23" t="n">
        <v>100010677</v>
      </c>
      <c r="O270" s="25" t="n">
        <v>47802</v>
      </c>
      <c r="P270" s="25" t="n">
        <v>45977</v>
      </c>
      <c r="Q270" s="21" t="n">
        <v>46072.4753125</v>
      </c>
    </row>
    <row r="271" customFormat="false" ht="24.3" hidden="false" customHeight="false" outlineLevel="0" collapsed="false">
      <c r="A271" s="14" t="s">
        <v>1400</v>
      </c>
      <c r="B271" s="14" t="s">
        <v>14</v>
      </c>
      <c r="C271" s="15" t="n">
        <v>46072.3973726852</v>
      </c>
      <c r="D271" s="16" t="s">
        <v>2056</v>
      </c>
      <c r="E271" s="17" t="n">
        <v>2409717506</v>
      </c>
      <c r="F271" s="16" t="s">
        <v>2057</v>
      </c>
      <c r="G271" s="16" t="s">
        <v>2108</v>
      </c>
      <c r="H271" s="16" t="s">
        <v>13</v>
      </c>
      <c r="I271" s="17" t="n">
        <v>400919</v>
      </c>
      <c r="J271" s="16" t="s">
        <v>420</v>
      </c>
      <c r="K271" s="17" t="n">
        <v>2501715612</v>
      </c>
      <c r="L271" s="18" t="n">
        <v>18</v>
      </c>
      <c r="M271" s="18" t="n">
        <v>18</v>
      </c>
      <c r="N271" s="17" t="n">
        <v>100011193</v>
      </c>
      <c r="O271" s="19" t="n">
        <v>47841</v>
      </c>
      <c r="P271" s="19" t="n">
        <v>46016</v>
      </c>
      <c r="Q271" s="15" t="n">
        <v>46074.4080092593</v>
      </c>
    </row>
    <row r="272" customFormat="false" ht="24.3" hidden="false" customHeight="false" outlineLevel="0" collapsed="false">
      <c r="A272" s="20" t="s">
        <v>1400</v>
      </c>
      <c r="B272" s="20" t="s">
        <v>14</v>
      </c>
      <c r="C272" s="21" t="n">
        <v>46072.3973726852</v>
      </c>
      <c r="D272" s="22" t="s">
        <v>2056</v>
      </c>
      <c r="E272" s="23" t="n">
        <v>2409717506</v>
      </c>
      <c r="F272" s="22" t="s">
        <v>2057</v>
      </c>
      <c r="G272" s="22" t="s">
        <v>2108</v>
      </c>
      <c r="H272" s="22" t="s">
        <v>13</v>
      </c>
      <c r="I272" s="23" t="n">
        <v>400919</v>
      </c>
      <c r="J272" s="22" t="s">
        <v>420</v>
      </c>
      <c r="K272" s="23" t="n">
        <v>2501715612</v>
      </c>
      <c r="L272" s="24" t="n">
        <v>10</v>
      </c>
      <c r="M272" s="24" t="n">
        <v>10</v>
      </c>
      <c r="N272" s="23" t="n">
        <v>100011193</v>
      </c>
      <c r="O272" s="25" t="n">
        <v>47841</v>
      </c>
      <c r="P272" s="25" t="n">
        <v>46016</v>
      </c>
      <c r="Q272" s="21" t="n">
        <v>46074.4080092593</v>
      </c>
    </row>
    <row r="273" customFormat="false" ht="24.3" hidden="false" customHeight="false" outlineLevel="0" collapsed="false">
      <c r="A273" s="14" t="s">
        <v>1400</v>
      </c>
      <c r="B273" s="14" t="s">
        <v>14</v>
      </c>
      <c r="C273" s="15" t="n">
        <v>46072.3973726852</v>
      </c>
      <c r="D273" s="16" t="s">
        <v>2056</v>
      </c>
      <c r="E273" s="17" t="n">
        <v>2409717506</v>
      </c>
      <c r="F273" s="16" t="s">
        <v>2057</v>
      </c>
      <c r="G273" s="16" t="s">
        <v>2108</v>
      </c>
      <c r="H273" s="16" t="s">
        <v>13</v>
      </c>
      <c r="I273" s="17" t="n">
        <v>400919</v>
      </c>
      <c r="J273" s="16" t="s">
        <v>420</v>
      </c>
      <c r="K273" s="17" t="n">
        <v>2501715612</v>
      </c>
      <c r="L273" s="18" t="n">
        <v>8</v>
      </c>
      <c r="M273" s="18" t="n">
        <v>8</v>
      </c>
      <c r="N273" s="17" t="n">
        <v>100011193</v>
      </c>
      <c r="O273" s="19" t="n">
        <v>47841</v>
      </c>
      <c r="P273" s="19" t="n">
        <v>46016</v>
      </c>
      <c r="Q273" s="15" t="n">
        <v>46074.4080092593</v>
      </c>
    </row>
    <row r="274" customFormat="false" ht="24.3" hidden="false" customHeight="false" outlineLevel="0" collapsed="false">
      <c r="A274" s="20" t="s">
        <v>1400</v>
      </c>
      <c r="B274" s="20" t="s">
        <v>14</v>
      </c>
      <c r="C274" s="21" t="n">
        <v>46072.3973726852</v>
      </c>
      <c r="D274" s="22" t="s">
        <v>2056</v>
      </c>
      <c r="E274" s="23" t="n">
        <v>2409717506</v>
      </c>
      <c r="F274" s="22" t="s">
        <v>2057</v>
      </c>
      <c r="G274" s="22" t="s">
        <v>2108</v>
      </c>
      <c r="H274" s="22" t="s">
        <v>13</v>
      </c>
      <c r="I274" s="23" t="n">
        <v>400919</v>
      </c>
      <c r="J274" s="22" t="s">
        <v>420</v>
      </c>
      <c r="K274" s="23" t="n">
        <v>2501715612</v>
      </c>
      <c r="L274" s="24" t="n">
        <v>18</v>
      </c>
      <c r="M274" s="24" t="n">
        <v>18</v>
      </c>
      <c r="N274" s="23" t="n">
        <v>100011193</v>
      </c>
      <c r="O274" s="25" t="n">
        <v>47841</v>
      </c>
      <c r="P274" s="25" t="n">
        <v>46016</v>
      </c>
      <c r="Q274" s="21" t="n">
        <v>46074.4080092593</v>
      </c>
    </row>
    <row r="275" customFormat="false" ht="24.3" hidden="false" customHeight="false" outlineLevel="0" collapsed="false">
      <c r="A275" s="14" t="s">
        <v>1400</v>
      </c>
      <c r="B275" s="14" t="s">
        <v>14</v>
      </c>
      <c r="C275" s="15" t="n">
        <v>46072.3973726852</v>
      </c>
      <c r="D275" s="16" t="s">
        <v>2056</v>
      </c>
      <c r="E275" s="17" t="n">
        <v>2409717506</v>
      </c>
      <c r="F275" s="16" t="s">
        <v>2057</v>
      </c>
      <c r="G275" s="16" t="s">
        <v>2108</v>
      </c>
      <c r="H275" s="16" t="s">
        <v>13</v>
      </c>
      <c r="I275" s="17" t="n">
        <v>400919</v>
      </c>
      <c r="J275" s="16" t="s">
        <v>420</v>
      </c>
      <c r="K275" s="17" t="n">
        <v>2501715612</v>
      </c>
      <c r="L275" s="18" t="n">
        <v>18</v>
      </c>
      <c r="M275" s="18" t="n">
        <v>18</v>
      </c>
      <c r="N275" s="17" t="n">
        <v>100011193</v>
      </c>
      <c r="O275" s="19" t="n">
        <v>47841</v>
      </c>
      <c r="P275" s="19" t="n">
        <v>46016</v>
      </c>
      <c r="Q275" s="15" t="n">
        <v>46074.4080092593</v>
      </c>
    </row>
    <row r="276" customFormat="false" ht="24.3" hidden="false" customHeight="false" outlineLevel="0" collapsed="false">
      <c r="A276" s="20" t="s">
        <v>1400</v>
      </c>
      <c r="B276" s="20" t="s">
        <v>14</v>
      </c>
      <c r="C276" s="21" t="n">
        <v>46072.3973726852</v>
      </c>
      <c r="D276" s="22" t="s">
        <v>2056</v>
      </c>
      <c r="E276" s="23" t="n">
        <v>2409717506</v>
      </c>
      <c r="F276" s="22" t="s">
        <v>2057</v>
      </c>
      <c r="G276" s="22" t="s">
        <v>2108</v>
      </c>
      <c r="H276" s="22" t="s">
        <v>13</v>
      </c>
      <c r="I276" s="23" t="n">
        <v>400919</v>
      </c>
      <c r="J276" s="22" t="s">
        <v>420</v>
      </c>
      <c r="K276" s="23" t="n">
        <v>2501715612</v>
      </c>
      <c r="L276" s="24" t="n">
        <v>18</v>
      </c>
      <c r="M276" s="24" t="n">
        <v>18</v>
      </c>
      <c r="N276" s="23" t="n">
        <v>100011193</v>
      </c>
      <c r="O276" s="25" t="n">
        <v>47841</v>
      </c>
      <c r="P276" s="25" t="n">
        <v>46016</v>
      </c>
      <c r="Q276" s="21" t="n">
        <v>46074.4080092593</v>
      </c>
    </row>
    <row r="277" customFormat="false" ht="35.8" hidden="false" customHeight="false" outlineLevel="0" collapsed="false">
      <c r="A277" s="14" t="s">
        <v>1400</v>
      </c>
      <c r="B277" s="14" t="s">
        <v>14</v>
      </c>
      <c r="C277" s="15" t="n">
        <v>46072.3973726852</v>
      </c>
      <c r="D277" s="16" t="s">
        <v>2056</v>
      </c>
      <c r="E277" s="17" t="n">
        <v>2409717522</v>
      </c>
      <c r="F277" s="16" t="s">
        <v>2057</v>
      </c>
      <c r="G277" s="16" t="s">
        <v>2075</v>
      </c>
      <c r="H277" s="16" t="s">
        <v>2122</v>
      </c>
      <c r="I277" s="17" t="n">
        <v>400441</v>
      </c>
      <c r="J277" s="16" t="s">
        <v>80</v>
      </c>
      <c r="K277" s="17" t="n">
        <v>2501715625</v>
      </c>
      <c r="L277" s="18" t="n">
        <v>2</v>
      </c>
      <c r="M277" s="18" t="n">
        <v>2</v>
      </c>
      <c r="N277" s="17" t="n">
        <v>153000082</v>
      </c>
      <c r="O277" s="19" t="n">
        <v>47883</v>
      </c>
      <c r="P277" s="19" t="n">
        <v>46058</v>
      </c>
      <c r="Q277" s="15" t="n">
        <v>46074.4056481481</v>
      </c>
    </row>
    <row r="278" customFormat="false" ht="35.8" hidden="false" customHeight="false" outlineLevel="0" collapsed="false">
      <c r="A278" s="20" t="s">
        <v>1400</v>
      </c>
      <c r="B278" s="20" t="s">
        <v>14</v>
      </c>
      <c r="C278" s="21" t="n">
        <v>46072.3973726852</v>
      </c>
      <c r="D278" s="22" t="s">
        <v>2056</v>
      </c>
      <c r="E278" s="23" t="n">
        <v>2409717522</v>
      </c>
      <c r="F278" s="22" t="s">
        <v>2057</v>
      </c>
      <c r="G278" s="22" t="s">
        <v>2075</v>
      </c>
      <c r="H278" s="22" t="s">
        <v>2122</v>
      </c>
      <c r="I278" s="23" t="n">
        <v>400441</v>
      </c>
      <c r="J278" s="22" t="s">
        <v>80</v>
      </c>
      <c r="K278" s="23" t="n">
        <v>2501715625</v>
      </c>
      <c r="L278" s="24" t="n">
        <v>3</v>
      </c>
      <c r="M278" s="24" t="n">
        <v>3</v>
      </c>
      <c r="N278" s="23" t="n">
        <v>153000082</v>
      </c>
      <c r="O278" s="25" t="n">
        <v>47883</v>
      </c>
      <c r="P278" s="25" t="n">
        <v>46058</v>
      </c>
      <c r="Q278" s="21" t="n">
        <v>46074.4056481481</v>
      </c>
    </row>
    <row r="279" customFormat="false" ht="24.3" hidden="false" customHeight="false" outlineLevel="0" collapsed="false">
      <c r="A279" s="14" t="s">
        <v>13</v>
      </c>
      <c r="B279" s="14" t="s">
        <v>14</v>
      </c>
      <c r="C279" s="15" t="n">
        <v>46072.4882175926</v>
      </c>
      <c r="D279" s="16" t="s">
        <v>2056</v>
      </c>
      <c r="E279" s="17" t="n">
        <v>2409717447</v>
      </c>
      <c r="F279" s="16" t="s">
        <v>2057</v>
      </c>
      <c r="G279" s="16" t="s">
        <v>2083</v>
      </c>
      <c r="H279" s="16" t="s">
        <v>2123</v>
      </c>
      <c r="I279" s="17" t="n">
        <v>400441</v>
      </c>
      <c r="J279" s="16" t="s">
        <v>80</v>
      </c>
      <c r="K279" s="17" t="n">
        <v>2501715517</v>
      </c>
      <c r="L279" s="18" t="n">
        <v>1</v>
      </c>
      <c r="M279" s="18" t="n">
        <v>1</v>
      </c>
      <c r="N279" s="17" t="n">
        <v>100011145</v>
      </c>
      <c r="O279" s="19" t="n">
        <v>47838</v>
      </c>
      <c r="P279" s="19" t="n">
        <v>46013</v>
      </c>
      <c r="Q279" s="15" t="n">
        <v>46072.5267361111</v>
      </c>
    </row>
    <row r="280" customFormat="false" ht="24.3" hidden="false" customHeight="false" outlineLevel="0" collapsed="false">
      <c r="A280" s="20" t="s">
        <v>13</v>
      </c>
      <c r="B280" s="20" t="s">
        <v>14</v>
      </c>
      <c r="C280" s="21" t="n">
        <v>46072.4882175926</v>
      </c>
      <c r="D280" s="22" t="s">
        <v>2056</v>
      </c>
      <c r="E280" s="23" t="n">
        <v>2409717447</v>
      </c>
      <c r="F280" s="22" t="s">
        <v>2057</v>
      </c>
      <c r="G280" s="22" t="s">
        <v>2083</v>
      </c>
      <c r="H280" s="22" t="s">
        <v>2123</v>
      </c>
      <c r="I280" s="23" t="n">
        <v>400441</v>
      </c>
      <c r="J280" s="22" t="s">
        <v>80</v>
      </c>
      <c r="K280" s="23" t="n">
        <v>2501715517</v>
      </c>
      <c r="L280" s="24" t="n">
        <v>4</v>
      </c>
      <c r="M280" s="24" t="n">
        <v>4</v>
      </c>
      <c r="N280" s="23" t="n">
        <v>100011145</v>
      </c>
      <c r="O280" s="25" t="n">
        <v>47838</v>
      </c>
      <c r="P280" s="25" t="n">
        <v>46013</v>
      </c>
      <c r="Q280" s="21" t="n">
        <v>46072.5267361111</v>
      </c>
    </row>
    <row r="281" customFormat="false" ht="24.3" hidden="false" customHeight="false" outlineLevel="0" collapsed="false">
      <c r="A281" s="14" t="s">
        <v>13</v>
      </c>
      <c r="B281" s="14" t="s">
        <v>14</v>
      </c>
      <c r="C281" s="15" t="n">
        <v>46072.4882175926</v>
      </c>
      <c r="D281" s="16" t="s">
        <v>2056</v>
      </c>
      <c r="E281" s="17" t="n">
        <v>2409717447</v>
      </c>
      <c r="F281" s="16" t="s">
        <v>2057</v>
      </c>
      <c r="G281" s="16" t="s">
        <v>2083</v>
      </c>
      <c r="H281" s="16" t="s">
        <v>2123</v>
      </c>
      <c r="I281" s="17" t="n">
        <v>400441</v>
      </c>
      <c r="J281" s="16" t="s">
        <v>80</v>
      </c>
      <c r="K281" s="17" t="n">
        <v>2501715517</v>
      </c>
      <c r="L281" s="18" t="n">
        <v>3</v>
      </c>
      <c r="M281" s="18" t="n">
        <v>3</v>
      </c>
      <c r="N281" s="17" t="n">
        <v>100011145</v>
      </c>
      <c r="O281" s="19" t="n">
        <v>47838</v>
      </c>
      <c r="P281" s="19" t="n">
        <v>46013</v>
      </c>
      <c r="Q281" s="15" t="n">
        <v>46072.5267361111</v>
      </c>
    </row>
  </sheetData>
  <mergeCells count="1">
    <mergeCell ref="A1:O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8.54296875" defaultRowHeight="14.25" zeroHeight="false" outlineLevelRow="0" outlineLevelCol="0"/>
  <cols>
    <col collapsed="false" customWidth="true" hidden="false" outlineLevel="0" max="1" min="1" style="28" width="11.18"/>
    <col collapsed="false" customWidth="true" hidden="false" outlineLevel="0" max="2" min="2" style="28" width="13.54"/>
    <col collapsed="false" customWidth="true" hidden="false" outlineLevel="0" max="3" min="3" style="28" width="17.45"/>
    <col collapsed="false" customWidth="true" hidden="false" outlineLevel="0" max="4" min="4" style="28" width="19.27"/>
    <col collapsed="false" customWidth="true" hidden="false" outlineLevel="0" max="5" min="5" style="28" width="9.45"/>
    <col collapsed="false" customWidth="true" hidden="false" outlineLevel="0" max="6" min="6" style="28" width="15.18"/>
    <col collapsed="false" customWidth="true" hidden="false" outlineLevel="0" max="7" min="7" style="28" width="62.54"/>
    <col collapsed="false" customWidth="true" hidden="false" outlineLevel="0" max="8" min="8" style="28" width="13.27"/>
    <col collapsed="false" customWidth="true" hidden="false" outlineLevel="0" max="9" min="9" style="28" width="11.27"/>
    <col collapsed="false" customWidth="true" hidden="false" outlineLevel="0" max="10" min="10" style="28" width="10"/>
    <col collapsed="false" customWidth="true" hidden="false" outlineLevel="0" max="11" min="11" style="28" width="10.54"/>
    <col collapsed="false" customWidth="true" hidden="false" outlineLevel="0" max="12" min="12" style="28" width="19.54"/>
    <col collapsed="false" customWidth="true" hidden="false" outlineLevel="0" max="13" min="13" style="28" width="21.45"/>
    <col collapsed="false" customWidth="true" hidden="false" outlineLevel="0" max="14" min="14" style="28" width="82.73"/>
    <col collapsed="false" customWidth="true" hidden="false" outlineLevel="0" max="15" min="15" style="28" width="16"/>
    <col collapsed="false" customWidth="true" hidden="false" outlineLevel="0" max="16" min="16" style="29" width="16.45"/>
    <col collapsed="false" customWidth="true" hidden="false" outlineLevel="0" max="17" min="17" style="28" width="23.45"/>
    <col collapsed="false" customWidth="true" hidden="false" outlineLevel="0" max="18" min="18" style="28" width="17.63"/>
    <col collapsed="false" customWidth="true" hidden="false" outlineLevel="0" max="19" min="19" style="28" width="10.45"/>
  </cols>
  <sheetData>
    <row r="1" customFormat="false" ht="16.5" hidden="false" customHeight="true" outlineLevel="0" collapsed="false">
      <c r="A1" s="30" t="s">
        <v>2124</v>
      </c>
      <c r="B1" s="30" t="s">
        <v>2125</v>
      </c>
      <c r="C1" s="30" t="s">
        <v>2126</v>
      </c>
      <c r="D1" s="30" t="s">
        <v>2043</v>
      </c>
      <c r="E1" s="30" t="s">
        <v>2127</v>
      </c>
      <c r="F1" s="30" t="s">
        <v>2047</v>
      </c>
      <c r="G1" s="30" t="s">
        <v>2048</v>
      </c>
      <c r="H1" s="30" t="s">
        <v>2128</v>
      </c>
      <c r="I1" s="30" t="s">
        <v>2129</v>
      </c>
      <c r="J1" s="30" t="s">
        <v>2051</v>
      </c>
      <c r="K1" s="30" t="s">
        <v>2130</v>
      </c>
      <c r="L1" s="30" t="s">
        <v>2131</v>
      </c>
      <c r="M1" s="30" t="s">
        <v>2132</v>
      </c>
      <c r="N1" s="30" t="s">
        <v>2045</v>
      </c>
      <c r="O1" s="30" t="s">
        <v>2133</v>
      </c>
      <c r="P1" s="31" t="s">
        <v>2134</v>
      </c>
      <c r="Q1" s="30" t="s">
        <v>2135</v>
      </c>
      <c r="R1" s="30" t="s">
        <v>2136</v>
      </c>
      <c r="S1" s="30" t="s">
        <v>2053</v>
      </c>
    </row>
    <row r="2" customFormat="false" ht="14.25" hidden="false" customHeight="false" outlineLevel="0" collapsed="false">
      <c r="A2" s="28" t="s">
        <v>2137</v>
      </c>
      <c r="B2" s="28" t="s">
        <v>14</v>
      </c>
      <c r="C2" s="28" t="s">
        <v>2138</v>
      </c>
      <c r="D2" s="28" t="s">
        <v>2139</v>
      </c>
      <c r="E2" s="28" t="s">
        <v>2057</v>
      </c>
      <c r="F2" s="28" t="s">
        <v>2140</v>
      </c>
      <c r="G2" s="28" t="s">
        <v>80</v>
      </c>
      <c r="H2" s="28" t="s">
        <v>2141</v>
      </c>
      <c r="I2" s="28" t="s">
        <v>2142</v>
      </c>
      <c r="J2" s="28" t="n">
        <v>4</v>
      </c>
      <c r="K2" s="28" t="n">
        <v>7</v>
      </c>
      <c r="L2" s="28" t="s">
        <v>2143</v>
      </c>
      <c r="M2" s="28" t="s">
        <v>2084</v>
      </c>
      <c r="N2" s="28" t="s">
        <v>2083</v>
      </c>
      <c r="O2" s="32" t="n">
        <v>46065.6305671296</v>
      </c>
      <c r="P2" s="33" t="n">
        <v>46065.6305671296</v>
      </c>
      <c r="Q2" s="32" t="n">
        <v>46065.6305671296</v>
      </c>
      <c r="R2" s="28" t="s">
        <v>2144</v>
      </c>
      <c r="S2" s="34" t="n">
        <v>47834</v>
      </c>
    </row>
    <row r="3" customFormat="false" ht="14.25" hidden="false" customHeight="false" outlineLevel="0" collapsed="false">
      <c r="A3" s="28" t="s">
        <v>2137</v>
      </c>
      <c r="B3" s="28" t="s">
        <v>14</v>
      </c>
      <c r="C3" s="28" t="s">
        <v>2138</v>
      </c>
      <c r="D3" s="28" t="s">
        <v>2139</v>
      </c>
      <c r="E3" s="28" t="s">
        <v>2057</v>
      </c>
      <c r="F3" s="28" t="s">
        <v>2140</v>
      </c>
      <c r="G3" s="28" t="s">
        <v>80</v>
      </c>
      <c r="H3" s="28" t="s">
        <v>2145</v>
      </c>
      <c r="I3" s="28" t="s">
        <v>2142</v>
      </c>
      <c r="J3" s="28" t="n">
        <v>3</v>
      </c>
      <c r="K3" s="28" t="n">
        <v>7</v>
      </c>
      <c r="L3" s="28" t="s">
        <v>2143</v>
      </c>
      <c r="M3" s="28" t="s">
        <v>2084</v>
      </c>
      <c r="N3" s="28" t="s">
        <v>2083</v>
      </c>
      <c r="O3" s="32" t="n">
        <v>46065.6306597222</v>
      </c>
      <c r="P3" s="33" t="n">
        <v>46065.6306597222</v>
      </c>
      <c r="Q3" s="32" t="n">
        <v>46065.6306597222</v>
      </c>
      <c r="R3" s="28" t="s">
        <v>2144</v>
      </c>
      <c r="S3" s="34" t="n">
        <v>47834</v>
      </c>
    </row>
    <row r="4" customFormat="false" ht="14.25" hidden="false" customHeight="false" outlineLevel="0" collapsed="false">
      <c r="A4" s="28" t="s">
        <v>2137</v>
      </c>
      <c r="B4" s="28" t="s">
        <v>14</v>
      </c>
      <c r="C4" s="28" t="s">
        <v>2146</v>
      </c>
      <c r="D4" s="28" t="s">
        <v>2147</v>
      </c>
      <c r="E4" s="28" t="s">
        <v>2057</v>
      </c>
      <c r="F4" s="28" t="s">
        <v>2140</v>
      </c>
      <c r="G4" s="28" t="s">
        <v>80</v>
      </c>
      <c r="H4" s="28" t="s">
        <v>2145</v>
      </c>
      <c r="I4" s="28" t="s">
        <v>2142</v>
      </c>
      <c r="J4" s="28" t="n">
        <v>1</v>
      </c>
      <c r="K4" s="28" t="n">
        <v>7</v>
      </c>
      <c r="L4" s="28" t="s">
        <v>2143</v>
      </c>
      <c r="M4" s="28" t="s">
        <v>2085</v>
      </c>
      <c r="N4" s="28" t="s">
        <v>2083</v>
      </c>
      <c r="O4" s="32" t="n">
        <v>46065.6357523148</v>
      </c>
      <c r="P4" s="33" t="n">
        <v>46065.6357523148</v>
      </c>
      <c r="Q4" s="32" t="n">
        <v>46065.6357523148</v>
      </c>
      <c r="R4" s="28" t="s">
        <v>2144</v>
      </c>
      <c r="S4" s="34" t="n">
        <v>47834</v>
      </c>
    </row>
    <row r="5" customFormat="false" ht="14.25" hidden="false" customHeight="false" outlineLevel="0" collapsed="false">
      <c r="A5" s="28" t="s">
        <v>2137</v>
      </c>
      <c r="B5" s="28" t="s">
        <v>14</v>
      </c>
      <c r="C5" s="28" t="s">
        <v>2146</v>
      </c>
      <c r="D5" s="28" t="s">
        <v>2147</v>
      </c>
      <c r="E5" s="28" t="s">
        <v>2057</v>
      </c>
      <c r="F5" s="28" t="s">
        <v>2140</v>
      </c>
      <c r="G5" s="28" t="s">
        <v>80</v>
      </c>
      <c r="H5" s="28" t="s">
        <v>2148</v>
      </c>
      <c r="I5" s="28" t="s">
        <v>2142</v>
      </c>
      <c r="J5" s="28" t="n">
        <v>4</v>
      </c>
      <c r="K5" s="28" t="n">
        <v>7</v>
      </c>
      <c r="L5" s="28" t="s">
        <v>2143</v>
      </c>
      <c r="M5" s="28" t="s">
        <v>2085</v>
      </c>
      <c r="N5" s="28" t="s">
        <v>2083</v>
      </c>
      <c r="O5" s="32" t="n">
        <v>46065.6346064815</v>
      </c>
      <c r="P5" s="33" t="n">
        <v>46065.6346064815</v>
      </c>
      <c r="Q5" s="32" t="n">
        <v>46065.6346064815</v>
      </c>
      <c r="R5" s="28" t="s">
        <v>2144</v>
      </c>
      <c r="S5" s="34" t="n">
        <v>47834</v>
      </c>
    </row>
    <row r="6" customFormat="false" ht="14.25" hidden="false" customHeight="false" outlineLevel="0" collapsed="false">
      <c r="A6" s="28" t="s">
        <v>2137</v>
      </c>
      <c r="B6" s="28" t="s">
        <v>14</v>
      </c>
      <c r="C6" s="28" t="s">
        <v>2146</v>
      </c>
      <c r="D6" s="28" t="s">
        <v>2147</v>
      </c>
      <c r="E6" s="28" t="s">
        <v>2057</v>
      </c>
      <c r="F6" s="28" t="s">
        <v>2140</v>
      </c>
      <c r="G6" s="28" t="s">
        <v>80</v>
      </c>
      <c r="H6" s="28" t="s">
        <v>2149</v>
      </c>
      <c r="I6" s="28" t="s">
        <v>2142</v>
      </c>
      <c r="J6" s="28" t="n">
        <v>2</v>
      </c>
      <c r="K6" s="28" t="n">
        <v>7</v>
      </c>
      <c r="L6" s="28" t="s">
        <v>2143</v>
      </c>
      <c r="M6" s="28" t="s">
        <v>2085</v>
      </c>
      <c r="N6" s="28" t="s">
        <v>2083</v>
      </c>
      <c r="O6" s="32" t="n">
        <v>46065.6356365741</v>
      </c>
      <c r="P6" s="33" t="n">
        <v>46065.6356365741</v>
      </c>
      <c r="Q6" s="32" t="n">
        <v>46065.6356365741</v>
      </c>
      <c r="R6" s="28" t="s">
        <v>2144</v>
      </c>
      <c r="S6" s="34" t="n">
        <v>47834</v>
      </c>
    </row>
    <row r="7" customFormat="false" ht="14.25" hidden="false" customHeight="false" outlineLevel="0" collapsed="false">
      <c r="A7" s="28" t="s">
        <v>2137</v>
      </c>
      <c r="B7" s="28" t="s">
        <v>14</v>
      </c>
      <c r="C7" s="28" t="s">
        <v>2150</v>
      </c>
      <c r="D7" s="28" t="s">
        <v>2151</v>
      </c>
      <c r="E7" s="28" t="s">
        <v>2057</v>
      </c>
      <c r="F7" s="28" t="s">
        <v>2140</v>
      </c>
      <c r="G7" s="28" t="s">
        <v>80</v>
      </c>
      <c r="H7" s="28" t="s">
        <v>2149</v>
      </c>
      <c r="I7" s="28" t="s">
        <v>2142</v>
      </c>
      <c r="J7" s="28" t="n">
        <v>2</v>
      </c>
      <c r="K7" s="28" t="n">
        <v>6</v>
      </c>
      <c r="L7" s="28" t="s">
        <v>2143</v>
      </c>
      <c r="M7" s="28" t="s">
        <v>2086</v>
      </c>
      <c r="N7" s="28" t="s">
        <v>2083</v>
      </c>
      <c r="O7" s="32" t="n">
        <v>46065.6373263889</v>
      </c>
      <c r="P7" s="33" t="n">
        <v>46065.6373263889</v>
      </c>
      <c r="Q7" s="32" t="n">
        <v>46065.6373263889</v>
      </c>
      <c r="R7" s="28" t="s">
        <v>2144</v>
      </c>
      <c r="S7" s="34" t="n">
        <v>47834</v>
      </c>
    </row>
    <row r="8" customFormat="false" ht="14.25" hidden="false" customHeight="false" outlineLevel="0" collapsed="false">
      <c r="A8" s="28" t="s">
        <v>2137</v>
      </c>
      <c r="B8" s="28" t="s">
        <v>14</v>
      </c>
      <c r="C8" s="28" t="s">
        <v>2150</v>
      </c>
      <c r="D8" s="28" t="s">
        <v>2151</v>
      </c>
      <c r="E8" s="28" t="s">
        <v>2057</v>
      </c>
      <c r="F8" s="28" t="s">
        <v>2140</v>
      </c>
      <c r="G8" s="28" t="s">
        <v>80</v>
      </c>
      <c r="H8" s="28" t="s">
        <v>2152</v>
      </c>
      <c r="I8" s="28" t="s">
        <v>2142</v>
      </c>
      <c r="J8" s="28" t="n">
        <v>4</v>
      </c>
      <c r="K8" s="28" t="n">
        <v>6</v>
      </c>
      <c r="L8" s="28" t="s">
        <v>2143</v>
      </c>
      <c r="M8" s="28" t="s">
        <v>2086</v>
      </c>
      <c r="N8" s="28" t="s">
        <v>2083</v>
      </c>
      <c r="O8" s="32" t="n">
        <v>46065.6371875</v>
      </c>
      <c r="P8" s="33" t="n">
        <v>46065.6371875</v>
      </c>
      <c r="Q8" s="32" t="n">
        <v>46065.6371875</v>
      </c>
      <c r="R8" s="28" t="s">
        <v>2144</v>
      </c>
      <c r="S8" s="34" t="n">
        <v>47834</v>
      </c>
    </row>
    <row r="9" customFormat="false" ht="14.25" hidden="false" customHeight="false" outlineLevel="0" collapsed="false">
      <c r="A9" s="28" t="s">
        <v>2137</v>
      </c>
      <c r="B9" s="28" t="s">
        <v>14</v>
      </c>
      <c r="C9" s="28" t="s">
        <v>2153</v>
      </c>
      <c r="D9" s="28" t="s">
        <v>2154</v>
      </c>
      <c r="E9" s="28" t="s">
        <v>2057</v>
      </c>
      <c r="F9" s="28" t="s">
        <v>2140</v>
      </c>
      <c r="G9" s="28" t="s">
        <v>80</v>
      </c>
      <c r="H9" s="28" t="s">
        <v>2155</v>
      </c>
      <c r="I9" s="28" t="s">
        <v>2142</v>
      </c>
      <c r="J9" s="28" t="n">
        <v>4</v>
      </c>
      <c r="K9" s="28" t="n">
        <v>6</v>
      </c>
      <c r="L9" s="28" t="s">
        <v>2143</v>
      </c>
      <c r="M9" s="28" t="s">
        <v>2087</v>
      </c>
      <c r="N9" s="28" t="s">
        <v>2083</v>
      </c>
      <c r="O9" s="32" t="n">
        <v>46065.639837963</v>
      </c>
      <c r="P9" s="33" t="n">
        <v>46065.639837963</v>
      </c>
      <c r="Q9" s="32" t="n">
        <v>46065.639837963</v>
      </c>
      <c r="R9" s="28" t="s">
        <v>2144</v>
      </c>
      <c r="S9" s="34" t="n">
        <v>47834</v>
      </c>
    </row>
    <row r="10" customFormat="false" ht="14.25" hidden="false" customHeight="false" outlineLevel="0" collapsed="false">
      <c r="A10" s="28" t="s">
        <v>2137</v>
      </c>
      <c r="B10" s="28" t="s">
        <v>14</v>
      </c>
      <c r="C10" s="28" t="s">
        <v>2153</v>
      </c>
      <c r="D10" s="28" t="s">
        <v>2154</v>
      </c>
      <c r="E10" s="28" t="s">
        <v>2057</v>
      </c>
      <c r="F10" s="28" t="s">
        <v>2140</v>
      </c>
      <c r="G10" s="28" t="s">
        <v>80</v>
      </c>
      <c r="H10" s="28" t="s">
        <v>2156</v>
      </c>
      <c r="I10" s="28" t="s">
        <v>2142</v>
      </c>
      <c r="J10" s="28" t="n">
        <v>2</v>
      </c>
      <c r="K10" s="28" t="n">
        <v>6</v>
      </c>
      <c r="L10" s="28" t="s">
        <v>2143</v>
      </c>
      <c r="M10" s="28" t="s">
        <v>2087</v>
      </c>
      <c r="N10" s="28" t="s">
        <v>2083</v>
      </c>
      <c r="O10" s="32" t="n">
        <v>46065.6391666667</v>
      </c>
      <c r="P10" s="33" t="n">
        <v>46065.6391666667</v>
      </c>
      <c r="Q10" s="32" t="n">
        <v>46065.6391666667</v>
      </c>
      <c r="R10" s="28" t="s">
        <v>2144</v>
      </c>
      <c r="S10" s="34" t="n">
        <v>47834</v>
      </c>
    </row>
    <row r="11" customFormat="false" ht="14.25" hidden="false" customHeight="false" outlineLevel="0" collapsed="false">
      <c r="A11" s="28" t="s">
        <v>2137</v>
      </c>
      <c r="B11" s="28" t="s">
        <v>14</v>
      </c>
      <c r="C11" s="28" t="s">
        <v>2157</v>
      </c>
      <c r="D11" s="28" t="s">
        <v>2158</v>
      </c>
      <c r="E11" s="28" t="s">
        <v>2057</v>
      </c>
      <c r="F11" s="28" t="s">
        <v>2140</v>
      </c>
      <c r="G11" s="28" t="s">
        <v>80</v>
      </c>
      <c r="H11" s="28" t="s">
        <v>2156</v>
      </c>
      <c r="I11" s="28" t="s">
        <v>2142</v>
      </c>
      <c r="J11" s="28" t="n">
        <v>2</v>
      </c>
      <c r="K11" s="28" t="n">
        <v>2</v>
      </c>
      <c r="L11" s="28" t="s">
        <v>2143</v>
      </c>
      <c r="M11" s="28" t="s">
        <v>2088</v>
      </c>
      <c r="N11" s="28" t="s">
        <v>2083</v>
      </c>
      <c r="O11" s="32" t="n">
        <v>46065.6402546296</v>
      </c>
      <c r="P11" s="33" t="n">
        <v>46065.6402546296</v>
      </c>
      <c r="Q11" s="32" t="n">
        <v>46065.6402546296</v>
      </c>
      <c r="R11" s="28" t="s">
        <v>2144</v>
      </c>
      <c r="S11" s="34" t="n">
        <v>47834</v>
      </c>
    </row>
    <row r="12" customFormat="false" ht="14.25" hidden="false" customHeight="false" outlineLevel="0" collapsed="false">
      <c r="A12" s="28" t="s">
        <v>2137</v>
      </c>
      <c r="B12" s="28" t="s">
        <v>14</v>
      </c>
      <c r="C12" s="28" t="s">
        <v>2159</v>
      </c>
      <c r="D12" s="28" t="s">
        <v>2160</v>
      </c>
      <c r="E12" s="28" t="s">
        <v>2057</v>
      </c>
      <c r="F12" s="28" t="s">
        <v>2140</v>
      </c>
      <c r="G12" s="28" t="s">
        <v>80</v>
      </c>
      <c r="H12" s="28" t="s">
        <v>2161</v>
      </c>
      <c r="I12" s="28" t="s">
        <v>2142</v>
      </c>
      <c r="J12" s="28" t="n">
        <v>2</v>
      </c>
      <c r="K12" s="28" t="n">
        <v>2</v>
      </c>
      <c r="L12" s="28" t="s">
        <v>2143</v>
      </c>
      <c r="M12" s="28" t="s">
        <v>2089</v>
      </c>
      <c r="N12" s="28" t="s">
        <v>2083</v>
      </c>
      <c r="O12" s="32" t="n">
        <v>46065.6415277778</v>
      </c>
      <c r="P12" s="33" t="n">
        <v>46065.6415277778</v>
      </c>
      <c r="Q12" s="32" t="n">
        <v>46065.6415277778</v>
      </c>
      <c r="R12" s="28" t="s">
        <v>2144</v>
      </c>
      <c r="S12" s="34" t="n">
        <v>47834</v>
      </c>
    </row>
    <row r="13" customFormat="false" ht="14.25" hidden="false" customHeight="false" outlineLevel="0" collapsed="false">
      <c r="A13" s="28" t="s">
        <v>2137</v>
      </c>
      <c r="B13" s="28" t="s">
        <v>14</v>
      </c>
      <c r="C13" s="28" t="s">
        <v>2162</v>
      </c>
      <c r="D13" s="28" t="s">
        <v>2163</v>
      </c>
      <c r="E13" s="28" t="s">
        <v>2057</v>
      </c>
      <c r="F13" s="28" t="s">
        <v>2164</v>
      </c>
      <c r="G13" s="28" t="s">
        <v>772</v>
      </c>
      <c r="H13" s="28" t="s">
        <v>2165</v>
      </c>
      <c r="I13" s="28" t="s">
        <v>2142</v>
      </c>
      <c r="J13" s="28" t="n">
        <v>1</v>
      </c>
      <c r="K13" s="28" t="n">
        <v>4</v>
      </c>
      <c r="L13" s="28" t="s">
        <v>2166</v>
      </c>
      <c r="M13" s="28" t="s">
        <v>2076</v>
      </c>
      <c r="N13" s="28" t="s">
        <v>2075</v>
      </c>
      <c r="O13" s="32" t="n">
        <v>46067.3210763889</v>
      </c>
      <c r="P13" s="33" t="n">
        <v>46067.3210763889</v>
      </c>
      <c r="Q13" s="32" t="n">
        <v>46067.3210763889</v>
      </c>
      <c r="R13" s="28" t="s">
        <v>2167</v>
      </c>
      <c r="S13" s="34" t="n">
        <v>47873</v>
      </c>
    </row>
    <row r="14" customFormat="false" ht="14.25" hidden="false" customHeight="false" outlineLevel="0" collapsed="false">
      <c r="A14" s="28" t="s">
        <v>2137</v>
      </c>
      <c r="B14" s="28" t="s">
        <v>14</v>
      </c>
      <c r="C14" s="28" t="s">
        <v>2162</v>
      </c>
      <c r="D14" s="28" t="s">
        <v>2163</v>
      </c>
      <c r="E14" s="28" t="s">
        <v>2057</v>
      </c>
      <c r="F14" s="28" t="s">
        <v>2164</v>
      </c>
      <c r="G14" s="28" t="s">
        <v>772</v>
      </c>
      <c r="H14" s="28" t="s">
        <v>2168</v>
      </c>
      <c r="I14" s="28" t="s">
        <v>2142</v>
      </c>
      <c r="J14" s="28" t="n">
        <v>3</v>
      </c>
      <c r="K14" s="28" t="n">
        <v>4</v>
      </c>
      <c r="L14" s="28" t="s">
        <v>2166</v>
      </c>
      <c r="M14" s="28" t="s">
        <v>2076</v>
      </c>
      <c r="N14" s="28" t="s">
        <v>2075</v>
      </c>
      <c r="O14" s="32" t="n">
        <v>46067.3198842593</v>
      </c>
      <c r="P14" s="33" t="n">
        <v>46067.3198842593</v>
      </c>
      <c r="Q14" s="32" t="n">
        <v>46067.3198842593</v>
      </c>
      <c r="R14" s="28" t="s">
        <v>2167</v>
      </c>
      <c r="S14" s="34" t="n">
        <v>47873</v>
      </c>
    </row>
    <row r="15" customFormat="false" ht="14.25" hidden="false" customHeight="false" outlineLevel="0" collapsed="false">
      <c r="A15" s="28" t="s">
        <v>2137</v>
      </c>
      <c r="B15" s="28" t="s">
        <v>14</v>
      </c>
      <c r="C15" s="28" t="s">
        <v>2169</v>
      </c>
      <c r="D15" s="28" t="s">
        <v>2170</v>
      </c>
      <c r="E15" s="28" t="s">
        <v>2057</v>
      </c>
      <c r="F15" s="28" t="s">
        <v>2140</v>
      </c>
      <c r="G15" s="28" t="s">
        <v>80</v>
      </c>
      <c r="H15" s="28" t="s">
        <v>2161</v>
      </c>
      <c r="I15" s="28" t="s">
        <v>2142</v>
      </c>
      <c r="J15" s="28" t="n">
        <v>2</v>
      </c>
      <c r="K15" s="28" t="n">
        <v>14</v>
      </c>
      <c r="L15" s="28" t="s">
        <v>2171</v>
      </c>
      <c r="M15" s="28" t="s">
        <v>13</v>
      </c>
      <c r="N15" s="28" t="s">
        <v>2077</v>
      </c>
      <c r="O15" s="32" t="n">
        <v>46065.6459027778</v>
      </c>
      <c r="P15" s="33" t="n">
        <v>46065.6459027778</v>
      </c>
      <c r="Q15" s="32" t="n">
        <v>46065.6459027778</v>
      </c>
      <c r="R15" s="28" t="s">
        <v>2144</v>
      </c>
      <c r="S15" s="34" t="n">
        <v>47834</v>
      </c>
    </row>
    <row r="16" customFormat="false" ht="14.25" hidden="false" customHeight="false" outlineLevel="0" collapsed="false">
      <c r="A16" s="28" t="s">
        <v>2137</v>
      </c>
      <c r="B16" s="28" t="s">
        <v>14</v>
      </c>
      <c r="C16" s="28" t="s">
        <v>2169</v>
      </c>
      <c r="D16" s="28" t="s">
        <v>2170</v>
      </c>
      <c r="E16" s="28" t="s">
        <v>2057</v>
      </c>
      <c r="F16" s="28" t="s">
        <v>2140</v>
      </c>
      <c r="G16" s="28" t="s">
        <v>80</v>
      </c>
      <c r="H16" s="28" t="s">
        <v>2172</v>
      </c>
      <c r="I16" s="28" t="s">
        <v>2142</v>
      </c>
      <c r="J16" s="28" t="n">
        <v>4</v>
      </c>
      <c r="K16" s="28" t="n">
        <v>14</v>
      </c>
      <c r="L16" s="28" t="s">
        <v>2171</v>
      </c>
      <c r="M16" s="28" t="s">
        <v>13</v>
      </c>
      <c r="N16" s="28" t="s">
        <v>2077</v>
      </c>
      <c r="O16" s="32" t="n">
        <v>46065.645787037</v>
      </c>
      <c r="P16" s="33" t="n">
        <v>46065.645787037</v>
      </c>
      <c r="Q16" s="32" t="n">
        <v>46065.645787037</v>
      </c>
      <c r="R16" s="28" t="s">
        <v>2144</v>
      </c>
      <c r="S16" s="34" t="n">
        <v>47834</v>
      </c>
    </row>
    <row r="17" customFormat="false" ht="14.25" hidden="false" customHeight="false" outlineLevel="0" collapsed="false">
      <c r="A17" s="28" t="s">
        <v>2137</v>
      </c>
      <c r="B17" s="28" t="s">
        <v>14</v>
      </c>
      <c r="C17" s="28" t="s">
        <v>2169</v>
      </c>
      <c r="D17" s="28" t="s">
        <v>2170</v>
      </c>
      <c r="E17" s="28" t="s">
        <v>2057</v>
      </c>
      <c r="F17" s="28" t="s">
        <v>2140</v>
      </c>
      <c r="G17" s="28" t="s">
        <v>80</v>
      </c>
      <c r="H17" s="28" t="s">
        <v>2173</v>
      </c>
      <c r="I17" s="28" t="s">
        <v>2142</v>
      </c>
      <c r="J17" s="28" t="n">
        <v>4</v>
      </c>
      <c r="K17" s="28" t="n">
        <v>14</v>
      </c>
      <c r="L17" s="28" t="s">
        <v>2171</v>
      </c>
      <c r="M17" s="28" t="s">
        <v>13</v>
      </c>
      <c r="N17" s="28" t="s">
        <v>2077</v>
      </c>
      <c r="O17" s="32" t="n">
        <v>46065.6448032407</v>
      </c>
      <c r="P17" s="33" t="n">
        <v>46065.6448032407</v>
      </c>
      <c r="Q17" s="32" t="n">
        <v>46065.6448032407</v>
      </c>
      <c r="R17" s="28" t="s">
        <v>2144</v>
      </c>
      <c r="S17" s="34" t="n">
        <v>47834</v>
      </c>
    </row>
    <row r="18" customFormat="false" ht="14.25" hidden="false" customHeight="false" outlineLevel="0" collapsed="false">
      <c r="A18" s="28" t="s">
        <v>2137</v>
      </c>
      <c r="B18" s="28" t="s">
        <v>14</v>
      </c>
      <c r="C18" s="28" t="s">
        <v>2169</v>
      </c>
      <c r="D18" s="28" t="s">
        <v>2170</v>
      </c>
      <c r="E18" s="28" t="s">
        <v>2057</v>
      </c>
      <c r="F18" s="28" t="s">
        <v>2140</v>
      </c>
      <c r="G18" s="28" t="s">
        <v>80</v>
      </c>
      <c r="H18" s="28" t="s">
        <v>2174</v>
      </c>
      <c r="I18" s="28" t="s">
        <v>2142</v>
      </c>
      <c r="J18" s="28" t="n">
        <v>4</v>
      </c>
      <c r="K18" s="28" t="n">
        <v>14</v>
      </c>
      <c r="L18" s="28" t="s">
        <v>2171</v>
      </c>
      <c r="M18" s="28" t="s">
        <v>13</v>
      </c>
      <c r="N18" s="28" t="s">
        <v>2077</v>
      </c>
      <c r="O18" s="32" t="n">
        <v>46065.6436458333</v>
      </c>
      <c r="P18" s="33" t="n">
        <v>46065.6436458333</v>
      </c>
      <c r="Q18" s="32" t="n">
        <v>46065.6436458333</v>
      </c>
      <c r="R18" s="28" t="s">
        <v>2144</v>
      </c>
      <c r="S18" s="34" t="n">
        <v>47834</v>
      </c>
    </row>
    <row r="19" customFormat="false" ht="14.25" hidden="false" customHeight="false" outlineLevel="0" collapsed="false">
      <c r="A19" s="28" t="s">
        <v>2137</v>
      </c>
      <c r="B19" s="28" t="s">
        <v>14</v>
      </c>
      <c r="C19" s="28" t="s">
        <v>2175</v>
      </c>
      <c r="D19" s="28" t="s">
        <v>2176</v>
      </c>
      <c r="E19" s="28" t="s">
        <v>2057</v>
      </c>
      <c r="F19" s="28" t="s">
        <v>2140</v>
      </c>
      <c r="G19" s="28" t="s">
        <v>80</v>
      </c>
      <c r="H19" s="28" t="s">
        <v>2177</v>
      </c>
      <c r="I19" s="28" t="s">
        <v>2142</v>
      </c>
      <c r="J19" s="28" t="n">
        <v>4</v>
      </c>
      <c r="K19" s="28" t="n">
        <v>4</v>
      </c>
      <c r="L19" s="28" t="s">
        <v>2178</v>
      </c>
      <c r="M19" s="28" t="s">
        <v>13</v>
      </c>
      <c r="N19" s="28" t="s">
        <v>2078</v>
      </c>
      <c r="O19" s="32" t="n">
        <v>46065.6506712963</v>
      </c>
      <c r="P19" s="33" t="n">
        <v>46065.6506712963</v>
      </c>
      <c r="Q19" s="32" t="n">
        <v>46065.6506712963</v>
      </c>
      <c r="R19" s="28" t="s">
        <v>2179</v>
      </c>
      <c r="S19" s="34" t="n">
        <v>47761</v>
      </c>
    </row>
    <row r="20" customFormat="false" ht="14.25" hidden="false" customHeight="false" outlineLevel="0" collapsed="false">
      <c r="A20" s="28" t="s">
        <v>2137</v>
      </c>
      <c r="B20" s="28" t="s">
        <v>14</v>
      </c>
      <c r="C20" s="28" t="s">
        <v>2175</v>
      </c>
      <c r="D20" s="28" t="s">
        <v>2176</v>
      </c>
      <c r="E20" s="28" t="s">
        <v>2057</v>
      </c>
      <c r="F20" s="28" t="s">
        <v>2140</v>
      </c>
      <c r="G20" s="28" t="s">
        <v>80</v>
      </c>
      <c r="H20" s="28" t="s">
        <v>2180</v>
      </c>
      <c r="I20" s="28" t="s">
        <v>2142</v>
      </c>
      <c r="J20" s="28" t="n">
        <v>1</v>
      </c>
      <c r="K20" s="28" t="n">
        <v>1</v>
      </c>
      <c r="L20" s="28" t="s">
        <v>2178</v>
      </c>
      <c r="M20" s="28" t="s">
        <v>13</v>
      </c>
      <c r="N20" s="28" t="s">
        <v>2078</v>
      </c>
      <c r="O20" s="32" t="n">
        <v>46065.6505787037</v>
      </c>
      <c r="P20" s="33" t="n">
        <v>46065.6505787037</v>
      </c>
      <c r="Q20" s="32" t="n">
        <v>46065.6505787037</v>
      </c>
      <c r="R20" s="28" t="s">
        <v>2181</v>
      </c>
      <c r="S20" s="34" t="n">
        <v>47609</v>
      </c>
    </row>
    <row r="21" customFormat="false" ht="14.25" hidden="false" customHeight="false" outlineLevel="0" collapsed="false">
      <c r="A21" s="28" t="s">
        <v>2137</v>
      </c>
      <c r="B21" s="28" t="s">
        <v>14</v>
      </c>
      <c r="C21" s="28" t="s">
        <v>2182</v>
      </c>
      <c r="D21" s="28" t="s">
        <v>2183</v>
      </c>
      <c r="E21" s="28" t="s">
        <v>2057</v>
      </c>
      <c r="F21" s="28" t="s">
        <v>2140</v>
      </c>
      <c r="G21" s="28" t="s">
        <v>80</v>
      </c>
      <c r="H21" s="28" t="s">
        <v>2180</v>
      </c>
      <c r="I21" s="28" t="s">
        <v>2142</v>
      </c>
      <c r="J21" s="28" t="n">
        <v>3</v>
      </c>
      <c r="K21" s="28" t="n">
        <v>3</v>
      </c>
      <c r="L21" s="28" t="s">
        <v>2184</v>
      </c>
      <c r="M21" s="28" t="s">
        <v>2080</v>
      </c>
      <c r="N21" s="28" t="s">
        <v>2079</v>
      </c>
      <c r="O21" s="32" t="n">
        <v>46067.3161226852</v>
      </c>
      <c r="P21" s="33" t="n">
        <v>46067.3161226852</v>
      </c>
      <c r="Q21" s="32" t="n">
        <v>46067.3161226852</v>
      </c>
      <c r="R21" s="28" t="s">
        <v>2181</v>
      </c>
      <c r="S21" s="34" t="n">
        <v>47609</v>
      </c>
    </row>
    <row r="22" customFormat="false" ht="14.25" hidden="false" customHeight="false" outlineLevel="0" collapsed="false">
      <c r="A22" s="28" t="s">
        <v>2137</v>
      </c>
      <c r="B22" s="28" t="s">
        <v>14</v>
      </c>
      <c r="C22" s="28" t="s">
        <v>2182</v>
      </c>
      <c r="D22" s="28" t="s">
        <v>2183</v>
      </c>
      <c r="E22" s="28" t="s">
        <v>2057</v>
      </c>
      <c r="F22" s="28" t="s">
        <v>2140</v>
      </c>
      <c r="G22" s="28" t="s">
        <v>80</v>
      </c>
      <c r="H22" s="28" t="s">
        <v>2185</v>
      </c>
      <c r="I22" s="28" t="s">
        <v>2142</v>
      </c>
      <c r="J22" s="28" t="n">
        <v>4</v>
      </c>
      <c r="K22" s="28" t="n">
        <v>9</v>
      </c>
      <c r="L22" s="28" t="s">
        <v>2184</v>
      </c>
      <c r="M22" s="28" t="s">
        <v>2080</v>
      </c>
      <c r="N22" s="28" t="s">
        <v>2079</v>
      </c>
      <c r="O22" s="32" t="n">
        <v>46067.3149884259</v>
      </c>
      <c r="P22" s="33" t="n">
        <v>46067.3149884259</v>
      </c>
      <c r="Q22" s="32" t="n">
        <v>46067.3149884259</v>
      </c>
      <c r="R22" s="28" t="s">
        <v>2186</v>
      </c>
      <c r="S22" s="34" t="n">
        <v>47608</v>
      </c>
    </row>
    <row r="23" customFormat="false" ht="14.25" hidden="false" customHeight="false" outlineLevel="0" collapsed="false">
      <c r="A23" s="28" t="s">
        <v>2137</v>
      </c>
      <c r="B23" s="28" t="s">
        <v>14</v>
      </c>
      <c r="C23" s="28" t="s">
        <v>2182</v>
      </c>
      <c r="D23" s="28" t="s">
        <v>2183</v>
      </c>
      <c r="E23" s="28" t="s">
        <v>2057</v>
      </c>
      <c r="F23" s="28" t="s">
        <v>2140</v>
      </c>
      <c r="G23" s="28" t="s">
        <v>80</v>
      </c>
      <c r="H23" s="28" t="s">
        <v>2187</v>
      </c>
      <c r="I23" s="28" t="s">
        <v>2142</v>
      </c>
      <c r="J23" s="28" t="n">
        <v>4</v>
      </c>
      <c r="K23" s="28" t="n">
        <v>9</v>
      </c>
      <c r="L23" s="28" t="s">
        <v>2184</v>
      </c>
      <c r="M23" s="28" t="s">
        <v>2080</v>
      </c>
      <c r="N23" s="28" t="s">
        <v>2079</v>
      </c>
      <c r="O23" s="32" t="n">
        <v>46067.3143171296</v>
      </c>
      <c r="P23" s="33" t="n">
        <v>46067.3143171296</v>
      </c>
      <c r="Q23" s="32" t="n">
        <v>46067.3143171296</v>
      </c>
      <c r="R23" s="28" t="s">
        <v>2186</v>
      </c>
      <c r="S23" s="34" t="n">
        <v>47608</v>
      </c>
    </row>
    <row r="24" customFormat="false" ht="14.25" hidden="false" customHeight="false" outlineLevel="0" collapsed="false">
      <c r="A24" s="28" t="s">
        <v>2137</v>
      </c>
      <c r="B24" s="28" t="s">
        <v>14</v>
      </c>
      <c r="C24" s="28" t="s">
        <v>2182</v>
      </c>
      <c r="D24" s="28" t="s">
        <v>2183</v>
      </c>
      <c r="E24" s="28" t="s">
        <v>2057</v>
      </c>
      <c r="F24" s="28" t="s">
        <v>2140</v>
      </c>
      <c r="G24" s="28" t="s">
        <v>80</v>
      </c>
      <c r="H24" s="28" t="s">
        <v>2188</v>
      </c>
      <c r="I24" s="28" t="s">
        <v>2142</v>
      </c>
      <c r="J24" s="28" t="n">
        <v>1</v>
      </c>
      <c r="K24" s="28" t="n">
        <v>9</v>
      </c>
      <c r="L24" s="28" t="s">
        <v>2184</v>
      </c>
      <c r="M24" s="28" t="s">
        <v>2080</v>
      </c>
      <c r="N24" s="28" t="s">
        <v>2079</v>
      </c>
      <c r="O24" s="32" t="n">
        <v>46067.3132986111</v>
      </c>
      <c r="P24" s="33" t="n">
        <v>46067.3132986111</v>
      </c>
      <c r="Q24" s="32" t="n">
        <v>46067.3132986111</v>
      </c>
      <c r="R24" s="28" t="s">
        <v>2186</v>
      </c>
      <c r="S24" s="34" t="n">
        <v>47608</v>
      </c>
    </row>
    <row r="25" customFormat="false" ht="14.25" hidden="false" customHeight="false" outlineLevel="0" collapsed="false">
      <c r="A25" s="28" t="s">
        <v>2137</v>
      </c>
      <c r="B25" s="28" t="s">
        <v>14</v>
      </c>
      <c r="C25" s="28" t="s">
        <v>2189</v>
      </c>
      <c r="D25" s="28" t="s">
        <v>2190</v>
      </c>
      <c r="E25" s="28" t="s">
        <v>2057</v>
      </c>
      <c r="F25" s="28" t="s">
        <v>2140</v>
      </c>
      <c r="G25" s="28" t="s">
        <v>80</v>
      </c>
      <c r="H25" s="28" t="s">
        <v>2188</v>
      </c>
      <c r="I25" s="28" t="s">
        <v>2142</v>
      </c>
      <c r="J25" s="28" t="n">
        <v>3</v>
      </c>
      <c r="K25" s="28" t="n">
        <v>3</v>
      </c>
      <c r="L25" s="28" t="s">
        <v>2191</v>
      </c>
      <c r="M25" s="28" t="s">
        <v>2080</v>
      </c>
      <c r="N25" s="28" t="s">
        <v>2081</v>
      </c>
      <c r="O25" s="32" t="n">
        <v>46067.3220023148</v>
      </c>
      <c r="P25" s="33" t="n">
        <v>46067.3220023148</v>
      </c>
      <c r="Q25" s="32" t="n">
        <v>46067.3220023148</v>
      </c>
      <c r="R25" s="28" t="s">
        <v>2186</v>
      </c>
      <c r="S25" s="34" t="n">
        <v>47608</v>
      </c>
    </row>
    <row r="26" customFormat="false" ht="14.25" hidden="false" customHeight="false" outlineLevel="0" collapsed="false">
      <c r="A26" s="28" t="s">
        <v>2137</v>
      </c>
      <c r="B26" s="28" t="s">
        <v>14</v>
      </c>
      <c r="C26" s="28" t="s">
        <v>2192</v>
      </c>
      <c r="D26" s="28" t="s">
        <v>2082</v>
      </c>
      <c r="E26" s="28" t="s">
        <v>2057</v>
      </c>
      <c r="F26" s="28" t="s">
        <v>2193</v>
      </c>
      <c r="G26" s="28" t="s">
        <v>1215</v>
      </c>
      <c r="H26" s="28" t="s">
        <v>2194</v>
      </c>
      <c r="I26" s="28" t="s">
        <v>2142</v>
      </c>
      <c r="J26" s="28" t="n">
        <v>3</v>
      </c>
      <c r="K26" s="28" t="n">
        <v>3</v>
      </c>
      <c r="L26" s="28" t="s">
        <v>2195</v>
      </c>
      <c r="M26" s="28" t="s">
        <v>109</v>
      </c>
      <c r="N26" s="28" t="s">
        <v>2072</v>
      </c>
      <c r="O26" s="32" t="n">
        <v>46067.3242824074</v>
      </c>
      <c r="P26" s="33" t="n">
        <v>46067.3242824074</v>
      </c>
      <c r="Q26" s="32" t="n">
        <v>46067.3242824074</v>
      </c>
      <c r="R26" s="28" t="s">
        <v>2196</v>
      </c>
      <c r="S26" s="34" t="n">
        <v>47883</v>
      </c>
    </row>
    <row r="27" customFormat="false" ht="14.25" hidden="false" customHeight="false" outlineLevel="0" collapsed="false">
      <c r="A27" s="28" t="s">
        <v>2137</v>
      </c>
      <c r="B27" s="28" t="s">
        <v>14</v>
      </c>
      <c r="C27" s="28" t="s">
        <v>2197</v>
      </c>
      <c r="D27" s="28" t="s">
        <v>2198</v>
      </c>
      <c r="E27" s="28" t="s">
        <v>2057</v>
      </c>
      <c r="F27" s="28" t="s">
        <v>2164</v>
      </c>
      <c r="G27" s="28" t="s">
        <v>772</v>
      </c>
      <c r="H27" s="28" t="s">
        <v>2168</v>
      </c>
      <c r="I27" s="28" t="s">
        <v>2142</v>
      </c>
      <c r="J27" s="28" t="n">
        <v>1</v>
      </c>
      <c r="K27" s="28" t="n">
        <v>4</v>
      </c>
      <c r="L27" s="28" t="s">
        <v>2199</v>
      </c>
      <c r="M27" s="28" t="s">
        <v>2071</v>
      </c>
      <c r="N27" s="28" t="s">
        <v>2070</v>
      </c>
      <c r="O27" s="32" t="n">
        <v>46065.4060416667</v>
      </c>
      <c r="P27" s="33" t="n">
        <v>46065.4060416667</v>
      </c>
      <c r="Q27" s="32" t="n">
        <v>46065.4060416667</v>
      </c>
      <c r="R27" s="28" t="s">
        <v>2167</v>
      </c>
      <c r="S27" s="34" t="n">
        <v>47873</v>
      </c>
    </row>
    <row r="28" customFormat="false" ht="14.25" hidden="false" customHeight="false" outlineLevel="0" collapsed="false">
      <c r="A28" s="28" t="s">
        <v>2137</v>
      </c>
      <c r="B28" s="28" t="s">
        <v>14</v>
      </c>
      <c r="C28" s="28" t="s">
        <v>2197</v>
      </c>
      <c r="D28" s="28" t="s">
        <v>2198</v>
      </c>
      <c r="E28" s="28" t="s">
        <v>2057</v>
      </c>
      <c r="F28" s="28" t="s">
        <v>2164</v>
      </c>
      <c r="G28" s="28" t="s">
        <v>772</v>
      </c>
      <c r="H28" s="28" t="s">
        <v>2200</v>
      </c>
      <c r="I28" s="28" t="s">
        <v>2142</v>
      </c>
      <c r="J28" s="28" t="n">
        <v>3</v>
      </c>
      <c r="K28" s="28" t="n">
        <v>4</v>
      </c>
      <c r="L28" s="28" t="s">
        <v>2199</v>
      </c>
      <c r="M28" s="28" t="s">
        <v>2071</v>
      </c>
      <c r="N28" s="28" t="s">
        <v>2070</v>
      </c>
      <c r="O28" s="32" t="n">
        <v>46065.4026157407</v>
      </c>
      <c r="P28" s="33" t="n">
        <v>46065.4026157407</v>
      </c>
      <c r="Q28" s="32" t="n">
        <v>46065.4026157407</v>
      </c>
      <c r="R28" s="28" t="s">
        <v>2167</v>
      </c>
      <c r="S28" s="34" t="n">
        <v>47873</v>
      </c>
    </row>
    <row r="29" customFormat="false" ht="14.25" hidden="false" customHeight="false" outlineLevel="0" collapsed="false">
      <c r="A29" s="28" t="s">
        <v>2137</v>
      </c>
      <c r="B29" s="28" t="s">
        <v>14</v>
      </c>
      <c r="C29" s="28" t="s">
        <v>2201</v>
      </c>
      <c r="D29" s="28" t="s">
        <v>2202</v>
      </c>
      <c r="E29" s="28" t="s">
        <v>2057</v>
      </c>
      <c r="F29" s="28" t="s">
        <v>2203</v>
      </c>
      <c r="G29" s="28" t="s">
        <v>170</v>
      </c>
      <c r="H29" s="28" t="s">
        <v>2204</v>
      </c>
      <c r="I29" s="28" t="s">
        <v>2205</v>
      </c>
      <c r="J29" s="28" t="n">
        <v>17</v>
      </c>
      <c r="K29" s="28" t="n">
        <v>17</v>
      </c>
      <c r="L29" s="28" t="s">
        <v>2195</v>
      </c>
      <c r="M29" s="28" t="s">
        <v>109</v>
      </c>
      <c r="N29" s="28" t="s">
        <v>2072</v>
      </c>
      <c r="O29" s="32" t="n">
        <v>46065.4287268519</v>
      </c>
      <c r="P29" s="33" t="n">
        <v>46065.4287268519</v>
      </c>
      <c r="Q29" s="32" t="n">
        <v>46065.4287268519</v>
      </c>
      <c r="R29" s="28" t="s">
        <v>2206</v>
      </c>
      <c r="S29" s="34" t="n">
        <v>47756</v>
      </c>
    </row>
    <row r="30" customFormat="false" ht="14.25" hidden="false" customHeight="false" outlineLevel="0" collapsed="false">
      <c r="A30" s="28" t="s">
        <v>2137</v>
      </c>
      <c r="B30" s="28" t="s">
        <v>14</v>
      </c>
      <c r="C30" s="28" t="s">
        <v>2201</v>
      </c>
      <c r="D30" s="28" t="s">
        <v>2202</v>
      </c>
      <c r="E30" s="28" t="s">
        <v>2057</v>
      </c>
      <c r="F30" s="28" t="s">
        <v>2203</v>
      </c>
      <c r="G30" s="28" t="s">
        <v>170</v>
      </c>
      <c r="H30" s="28" t="s">
        <v>2207</v>
      </c>
      <c r="I30" s="28" t="s">
        <v>2205</v>
      </c>
      <c r="J30" s="28" t="n">
        <v>8</v>
      </c>
      <c r="K30" s="28" t="n">
        <v>208</v>
      </c>
      <c r="L30" s="28" t="s">
        <v>2195</v>
      </c>
      <c r="M30" s="28" t="s">
        <v>109</v>
      </c>
      <c r="N30" s="28" t="s">
        <v>2072</v>
      </c>
      <c r="O30" s="32" t="n">
        <v>46065.4229513889</v>
      </c>
      <c r="P30" s="33" t="n">
        <v>46065.4229513889</v>
      </c>
      <c r="Q30" s="32" t="n">
        <v>46065.4229513889</v>
      </c>
      <c r="R30" s="28" t="s">
        <v>2208</v>
      </c>
      <c r="S30" s="34" t="n">
        <v>47741</v>
      </c>
    </row>
    <row r="31" customFormat="false" ht="14.25" hidden="false" customHeight="false" outlineLevel="0" collapsed="false">
      <c r="A31" s="28" t="s">
        <v>2137</v>
      </c>
      <c r="B31" s="28" t="s">
        <v>14</v>
      </c>
      <c r="C31" s="28" t="s">
        <v>2201</v>
      </c>
      <c r="D31" s="28" t="s">
        <v>2202</v>
      </c>
      <c r="E31" s="28" t="s">
        <v>2057</v>
      </c>
      <c r="F31" s="28" t="s">
        <v>2203</v>
      </c>
      <c r="G31" s="28" t="s">
        <v>170</v>
      </c>
      <c r="H31" s="28" t="s">
        <v>2207</v>
      </c>
      <c r="I31" s="28" t="s">
        <v>2205</v>
      </c>
      <c r="J31" s="28" t="n">
        <v>44</v>
      </c>
      <c r="K31" s="28" t="n">
        <v>208</v>
      </c>
      <c r="L31" s="28" t="s">
        <v>2195</v>
      </c>
      <c r="M31" s="28" t="s">
        <v>109</v>
      </c>
      <c r="N31" s="28" t="s">
        <v>2072</v>
      </c>
      <c r="O31" s="32" t="n">
        <v>46065.4229398148</v>
      </c>
      <c r="P31" s="33" t="n">
        <v>46065.4229398148</v>
      </c>
      <c r="Q31" s="32" t="n">
        <v>46065.4229398148</v>
      </c>
      <c r="R31" s="28" t="s">
        <v>2208</v>
      </c>
      <c r="S31" s="34" t="n">
        <v>47741</v>
      </c>
    </row>
    <row r="32" customFormat="false" ht="14.25" hidden="false" customHeight="false" outlineLevel="0" collapsed="false">
      <c r="A32" s="28" t="s">
        <v>2137</v>
      </c>
      <c r="B32" s="28" t="s">
        <v>14</v>
      </c>
      <c r="C32" s="28" t="s">
        <v>2201</v>
      </c>
      <c r="D32" s="28" t="s">
        <v>2202</v>
      </c>
      <c r="E32" s="28" t="s">
        <v>2057</v>
      </c>
      <c r="F32" s="28" t="s">
        <v>2203</v>
      </c>
      <c r="G32" s="28" t="s">
        <v>170</v>
      </c>
      <c r="H32" s="28" t="s">
        <v>2209</v>
      </c>
      <c r="I32" s="28" t="s">
        <v>2205</v>
      </c>
      <c r="J32" s="28" t="n">
        <v>52</v>
      </c>
      <c r="K32" s="28" t="n">
        <v>208</v>
      </c>
      <c r="L32" s="28" t="s">
        <v>2195</v>
      </c>
      <c r="M32" s="28" t="s">
        <v>109</v>
      </c>
      <c r="N32" s="28" t="s">
        <v>2072</v>
      </c>
      <c r="O32" s="32" t="n">
        <v>46065.4223842593</v>
      </c>
      <c r="P32" s="33" t="n">
        <v>46065.4223842593</v>
      </c>
      <c r="Q32" s="32" t="n">
        <v>46065.4223842593</v>
      </c>
      <c r="R32" s="28" t="s">
        <v>2208</v>
      </c>
      <c r="S32" s="34" t="n">
        <v>47741</v>
      </c>
    </row>
    <row r="33" customFormat="false" ht="14.25" hidden="false" customHeight="false" outlineLevel="0" collapsed="false">
      <c r="A33" s="28" t="s">
        <v>2137</v>
      </c>
      <c r="B33" s="28" t="s">
        <v>14</v>
      </c>
      <c r="C33" s="28" t="s">
        <v>2201</v>
      </c>
      <c r="D33" s="28" t="s">
        <v>2202</v>
      </c>
      <c r="E33" s="28" t="s">
        <v>2057</v>
      </c>
      <c r="F33" s="28" t="s">
        <v>2203</v>
      </c>
      <c r="G33" s="28" t="s">
        <v>170</v>
      </c>
      <c r="H33" s="28" t="s">
        <v>2210</v>
      </c>
      <c r="I33" s="28" t="s">
        <v>2205</v>
      </c>
      <c r="J33" s="28" t="n">
        <v>52</v>
      </c>
      <c r="K33" s="28" t="n">
        <v>208</v>
      </c>
      <c r="L33" s="28" t="s">
        <v>2195</v>
      </c>
      <c r="M33" s="28" t="s">
        <v>109</v>
      </c>
      <c r="N33" s="28" t="s">
        <v>2072</v>
      </c>
      <c r="O33" s="32" t="n">
        <v>46065.4218634259</v>
      </c>
      <c r="P33" s="33" t="n">
        <v>46065.4218634259</v>
      </c>
      <c r="Q33" s="32" t="n">
        <v>46065.4218634259</v>
      </c>
      <c r="R33" s="28" t="s">
        <v>2208</v>
      </c>
      <c r="S33" s="34" t="n">
        <v>47741</v>
      </c>
    </row>
    <row r="34" customFormat="false" ht="14.25" hidden="false" customHeight="false" outlineLevel="0" collapsed="false">
      <c r="A34" s="28" t="s">
        <v>2137</v>
      </c>
      <c r="B34" s="28" t="s">
        <v>14</v>
      </c>
      <c r="C34" s="28" t="s">
        <v>2201</v>
      </c>
      <c r="D34" s="28" t="s">
        <v>2202</v>
      </c>
      <c r="E34" s="28" t="s">
        <v>2057</v>
      </c>
      <c r="F34" s="28" t="s">
        <v>2203</v>
      </c>
      <c r="G34" s="28" t="s">
        <v>170</v>
      </c>
      <c r="H34" s="28" t="s">
        <v>2211</v>
      </c>
      <c r="I34" s="28" t="s">
        <v>2205</v>
      </c>
      <c r="J34" s="28" t="n">
        <v>52</v>
      </c>
      <c r="K34" s="28" t="n">
        <v>208</v>
      </c>
      <c r="L34" s="28" t="s">
        <v>2195</v>
      </c>
      <c r="M34" s="28" t="s">
        <v>109</v>
      </c>
      <c r="N34" s="28" t="s">
        <v>2072</v>
      </c>
      <c r="O34" s="32" t="n">
        <v>46065.4213194444</v>
      </c>
      <c r="P34" s="33" t="n">
        <v>46065.4213194444</v>
      </c>
      <c r="Q34" s="32" t="n">
        <v>46065.4213194444</v>
      </c>
      <c r="R34" s="28" t="s">
        <v>2208</v>
      </c>
      <c r="S34" s="34" t="n">
        <v>47741</v>
      </c>
    </row>
    <row r="35" customFormat="false" ht="14.25" hidden="false" customHeight="false" outlineLevel="0" collapsed="false">
      <c r="A35" s="28" t="s">
        <v>2137</v>
      </c>
      <c r="B35" s="28" t="s">
        <v>14</v>
      </c>
      <c r="C35" s="28" t="s">
        <v>2212</v>
      </c>
      <c r="D35" s="28" t="s">
        <v>2213</v>
      </c>
      <c r="E35" s="28" t="s">
        <v>2057</v>
      </c>
      <c r="F35" s="28" t="s">
        <v>2214</v>
      </c>
      <c r="G35" s="28" t="s">
        <v>594</v>
      </c>
      <c r="H35" s="28" t="s">
        <v>2215</v>
      </c>
      <c r="I35" s="28" t="s">
        <v>2142</v>
      </c>
      <c r="J35" s="28" t="n">
        <v>3</v>
      </c>
      <c r="K35" s="28" t="n">
        <v>3</v>
      </c>
      <c r="L35" s="28" t="s">
        <v>2216</v>
      </c>
      <c r="M35" s="28" t="s">
        <v>2062</v>
      </c>
      <c r="N35" s="28" t="s">
        <v>2069</v>
      </c>
      <c r="O35" s="32" t="n">
        <v>46063.593287037</v>
      </c>
      <c r="P35" s="33" t="n">
        <v>46063.593287037</v>
      </c>
      <c r="Q35" s="32" t="n">
        <v>46063.593287037</v>
      </c>
      <c r="R35" s="28" t="s">
        <v>2217</v>
      </c>
      <c r="S35" s="34" t="n">
        <v>47867</v>
      </c>
    </row>
    <row r="36" customFormat="false" ht="14.25" hidden="false" customHeight="false" outlineLevel="0" collapsed="false">
      <c r="A36" s="28" t="s">
        <v>2137</v>
      </c>
      <c r="B36" s="28" t="s">
        <v>14</v>
      </c>
      <c r="C36" s="28" t="s">
        <v>2218</v>
      </c>
      <c r="D36" s="28" t="s">
        <v>2219</v>
      </c>
      <c r="E36" s="28" t="s">
        <v>2057</v>
      </c>
      <c r="F36" s="28" t="s">
        <v>2214</v>
      </c>
      <c r="G36" s="28" t="s">
        <v>594</v>
      </c>
      <c r="H36" s="28" t="s">
        <v>2220</v>
      </c>
      <c r="I36" s="28" t="s">
        <v>2142</v>
      </c>
      <c r="J36" s="28" t="n">
        <v>1</v>
      </c>
      <c r="K36" s="28" t="n">
        <v>5</v>
      </c>
      <c r="L36" s="28" t="s">
        <v>2221</v>
      </c>
      <c r="M36" s="28" t="s">
        <v>13</v>
      </c>
      <c r="N36" s="28" t="s">
        <v>2068</v>
      </c>
      <c r="O36" s="32" t="n">
        <v>46063.4445717593</v>
      </c>
      <c r="P36" s="33" t="n">
        <v>46063.4445717593</v>
      </c>
      <c r="Q36" s="32" t="n">
        <v>46063.4445717593</v>
      </c>
      <c r="R36" s="28" t="s">
        <v>2217</v>
      </c>
      <c r="S36" s="34" t="n">
        <v>47867</v>
      </c>
    </row>
    <row r="37" customFormat="false" ht="14.25" hidden="false" customHeight="false" outlineLevel="0" collapsed="false">
      <c r="A37" s="28" t="s">
        <v>2137</v>
      </c>
      <c r="B37" s="28" t="s">
        <v>14</v>
      </c>
      <c r="C37" s="28" t="s">
        <v>2218</v>
      </c>
      <c r="D37" s="28" t="s">
        <v>2219</v>
      </c>
      <c r="E37" s="28" t="s">
        <v>2057</v>
      </c>
      <c r="F37" s="28" t="s">
        <v>2214</v>
      </c>
      <c r="G37" s="28" t="s">
        <v>594</v>
      </c>
      <c r="H37" s="28" t="s">
        <v>2222</v>
      </c>
      <c r="I37" s="28" t="s">
        <v>2142</v>
      </c>
      <c r="J37" s="28" t="n">
        <v>4</v>
      </c>
      <c r="K37" s="28" t="n">
        <v>5</v>
      </c>
      <c r="L37" s="28" t="s">
        <v>2221</v>
      </c>
      <c r="M37" s="28" t="s">
        <v>13</v>
      </c>
      <c r="N37" s="28" t="s">
        <v>2068</v>
      </c>
      <c r="O37" s="32" t="n">
        <v>46063.4415740741</v>
      </c>
      <c r="P37" s="33" t="n">
        <v>46063.4415740741</v>
      </c>
      <c r="Q37" s="32" t="n">
        <v>46063.4415740741</v>
      </c>
      <c r="R37" s="28" t="s">
        <v>2217</v>
      </c>
      <c r="S37" s="34" t="n">
        <v>47867</v>
      </c>
    </row>
    <row r="38" customFormat="false" ht="14.25" hidden="false" customHeight="false" outlineLevel="0" collapsed="false">
      <c r="A38" s="28" t="s">
        <v>2137</v>
      </c>
      <c r="B38" s="28" t="s">
        <v>14</v>
      </c>
      <c r="C38" s="28" t="s">
        <v>2218</v>
      </c>
      <c r="D38" s="28" t="s">
        <v>2219</v>
      </c>
      <c r="E38" s="28" t="s">
        <v>2057</v>
      </c>
      <c r="F38" s="28" t="s">
        <v>2223</v>
      </c>
      <c r="G38" s="28" t="s">
        <v>801</v>
      </c>
      <c r="H38" s="28" t="s">
        <v>2224</v>
      </c>
      <c r="I38" s="28" t="s">
        <v>2142</v>
      </c>
      <c r="J38" s="28" t="n">
        <v>1</v>
      </c>
      <c r="K38" s="28" t="n">
        <v>1</v>
      </c>
      <c r="L38" s="28" t="s">
        <v>2221</v>
      </c>
      <c r="M38" s="28" t="s">
        <v>13</v>
      </c>
      <c r="N38" s="28" t="s">
        <v>2068</v>
      </c>
      <c r="O38" s="32" t="n">
        <v>46063.4467824074</v>
      </c>
      <c r="P38" s="33" t="n">
        <v>46063.4467824074</v>
      </c>
      <c r="Q38" s="32" t="n">
        <v>46063.4467824074</v>
      </c>
      <c r="R38" s="28" t="s">
        <v>2225</v>
      </c>
      <c r="S38" s="34" t="n">
        <v>47665</v>
      </c>
    </row>
    <row r="39" customFormat="false" ht="14.25" hidden="false" customHeight="false" outlineLevel="0" collapsed="false">
      <c r="A39" s="28" t="s">
        <v>2137</v>
      </c>
      <c r="B39" s="28" t="s">
        <v>14</v>
      </c>
      <c r="C39" s="28" t="s">
        <v>2218</v>
      </c>
      <c r="D39" s="28" t="s">
        <v>2219</v>
      </c>
      <c r="E39" s="28" t="s">
        <v>2057</v>
      </c>
      <c r="F39" s="28" t="s">
        <v>2223</v>
      </c>
      <c r="G39" s="28" t="s">
        <v>801</v>
      </c>
      <c r="H39" s="28" t="s">
        <v>2226</v>
      </c>
      <c r="I39" s="28" t="s">
        <v>2142</v>
      </c>
      <c r="J39" s="28" t="n">
        <v>4</v>
      </c>
      <c r="K39" s="28" t="n">
        <v>4</v>
      </c>
      <c r="L39" s="28" t="s">
        <v>2221</v>
      </c>
      <c r="M39" s="28" t="s">
        <v>13</v>
      </c>
      <c r="N39" s="28" t="s">
        <v>2068</v>
      </c>
      <c r="O39" s="32" t="n">
        <v>46063.4403587963</v>
      </c>
      <c r="P39" s="33" t="n">
        <v>46063.4403587963</v>
      </c>
      <c r="Q39" s="32" t="n">
        <v>46063.4403587963</v>
      </c>
      <c r="R39" s="28" t="s">
        <v>2227</v>
      </c>
      <c r="S39" s="34" t="n">
        <v>47645</v>
      </c>
    </row>
    <row r="40" customFormat="false" ht="14.25" hidden="false" customHeight="false" outlineLevel="0" collapsed="false">
      <c r="A40" s="28" t="s">
        <v>2137</v>
      </c>
      <c r="B40" s="28" t="s">
        <v>14</v>
      </c>
      <c r="C40" s="28" t="s">
        <v>2228</v>
      </c>
      <c r="D40" s="28" t="s">
        <v>2229</v>
      </c>
      <c r="E40" s="28" t="s">
        <v>2057</v>
      </c>
      <c r="F40" s="28" t="s">
        <v>2164</v>
      </c>
      <c r="G40" s="28" t="s">
        <v>772</v>
      </c>
      <c r="H40" s="28" t="s">
        <v>2200</v>
      </c>
      <c r="I40" s="28" t="s">
        <v>2142</v>
      </c>
      <c r="J40" s="28" t="n">
        <v>1</v>
      </c>
      <c r="K40" s="28" t="n">
        <v>4</v>
      </c>
      <c r="L40" s="28" t="s">
        <v>2230</v>
      </c>
      <c r="M40" s="28" t="s">
        <v>1400</v>
      </c>
      <c r="N40" s="28" t="s">
        <v>2065</v>
      </c>
      <c r="O40" s="32" t="n">
        <v>46062.3693287037</v>
      </c>
      <c r="P40" s="33" t="n">
        <v>46062.3693287037</v>
      </c>
      <c r="Q40" s="32" t="n">
        <v>46062.3693287037</v>
      </c>
      <c r="R40" s="28" t="s">
        <v>2167</v>
      </c>
      <c r="S40" s="34" t="n">
        <v>47873</v>
      </c>
    </row>
    <row r="41" customFormat="false" ht="14.25" hidden="false" customHeight="false" outlineLevel="0" collapsed="false">
      <c r="A41" s="28" t="s">
        <v>2137</v>
      </c>
      <c r="B41" s="28" t="s">
        <v>14</v>
      </c>
      <c r="C41" s="28" t="s">
        <v>2228</v>
      </c>
      <c r="D41" s="28" t="s">
        <v>2229</v>
      </c>
      <c r="E41" s="28" t="s">
        <v>2057</v>
      </c>
      <c r="F41" s="28" t="s">
        <v>2164</v>
      </c>
      <c r="G41" s="28" t="s">
        <v>772</v>
      </c>
      <c r="H41" s="28" t="s">
        <v>2231</v>
      </c>
      <c r="I41" s="28" t="s">
        <v>2142</v>
      </c>
      <c r="J41" s="28" t="n">
        <v>3</v>
      </c>
      <c r="K41" s="28" t="n">
        <v>4</v>
      </c>
      <c r="L41" s="28" t="s">
        <v>2230</v>
      </c>
      <c r="M41" s="28" t="s">
        <v>1400</v>
      </c>
      <c r="N41" s="28" t="s">
        <v>2065</v>
      </c>
      <c r="O41" s="32" t="n">
        <v>46062.3691898148</v>
      </c>
      <c r="P41" s="33" t="n">
        <v>46062.3691898148</v>
      </c>
      <c r="Q41" s="32" t="n">
        <v>46062.3691898148</v>
      </c>
      <c r="R41" s="28" t="s">
        <v>2167</v>
      </c>
      <c r="S41" s="34" t="n">
        <v>47873</v>
      </c>
    </row>
    <row r="42" customFormat="false" ht="14.25" hidden="false" customHeight="false" outlineLevel="0" collapsed="false">
      <c r="A42" s="28" t="s">
        <v>2137</v>
      </c>
      <c r="B42" s="28" t="s">
        <v>14</v>
      </c>
      <c r="C42" s="28" t="s">
        <v>2232</v>
      </c>
      <c r="D42" s="28" t="s">
        <v>2233</v>
      </c>
      <c r="E42" s="28" t="s">
        <v>2057</v>
      </c>
      <c r="F42" s="28" t="s">
        <v>2164</v>
      </c>
      <c r="G42" s="28" t="s">
        <v>772</v>
      </c>
      <c r="H42" s="28" t="s">
        <v>2231</v>
      </c>
      <c r="I42" s="28" t="s">
        <v>2142</v>
      </c>
      <c r="J42" s="28" t="n">
        <v>1</v>
      </c>
      <c r="K42" s="28" t="n">
        <v>1</v>
      </c>
      <c r="L42" s="28" t="s">
        <v>2230</v>
      </c>
      <c r="M42" s="28" t="s">
        <v>13</v>
      </c>
      <c r="N42" s="28" t="s">
        <v>2065</v>
      </c>
      <c r="O42" s="32" t="n">
        <v>46062.3686805556</v>
      </c>
      <c r="P42" s="33" t="n">
        <v>46062.3686921296</v>
      </c>
      <c r="Q42" s="32" t="n">
        <v>46062.3686921296</v>
      </c>
      <c r="R42" s="28" t="s">
        <v>2167</v>
      </c>
      <c r="S42" s="34" t="n">
        <v>47873</v>
      </c>
    </row>
    <row r="43" customFormat="false" ht="14.25" hidden="false" customHeight="false" outlineLevel="0" collapsed="false">
      <c r="A43" s="28" t="s">
        <v>2137</v>
      </c>
      <c r="B43" s="28" t="s">
        <v>14</v>
      </c>
      <c r="C43" s="28" t="s">
        <v>2234</v>
      </c>
      <c r="D43" s="28" t="s">
        <v>2235</v>
      </c>
      <c r="E43" s="28" t="s">
        <v>2057</v>
      </c>
      <c r="F43" s="28" t="s">
        <v>2214</v>
      </c>
      <c r="G43" s="28" t="s">
        <v>594</v>
      </c>
      <c r="H43" s="28" t="s">
        <v>2236</v>
      </c>
      <c r="I43" s="28" t="s">
        <v>2142</v>
      </c>
      <c r="J43" s="28" t="n">
        <v>4</v>
      </c>
      <c r="K43" s="28" t="n">
        <v>4</v>
      </c>
      <c r="L43" s="28" t="s">
        <v>2237</v>
      </c>
      <c r="M43" s="28" t="s">
        <v>2067</v>
      </c>
      <c r="N43" s="28" t="s">
        <v>2066</v>
      </c>
      <c r="O43" s="32" t="n">
        <v>46062.37</v>
      </c>
      <c r="P43" s="33" t="n">
        <v>46062.37</v>
      </c>
      <c r="Q43" s="32" t="n">
        <v>46062.37</v>
      </c>
      <c r="R43" s="28" t="s">
        <v>2217</v>
      </c>
      <c r="S43" s="34" t="n">
        <v>47867</v>
      </c>
    </row>
    <row r="44" customFormat="false" ht="14.25" hidden="false" customHeight="false" outlineLevel="0" collapsed="false">
      <c r="A44" s="28" t="s">
        <v>2137</v>
      </c>
      <c r="B44" s="28" t="s">
        <v>14</v>
      </c>
      <c r="C44" s="28" t="s">
        <v>2238</v>
      </c>
      <c r="D44" s="28" t="s">
        <v>2239</v>
      </c>
      <c r="E44" s="28" t="s">
        <v>2057</v>
      </c>
      <c r="F44" s="28" t="s">
        <v>2214</v>
      </c>
      <c r="G44" s="28" t="s">
        <v>594</v>
      </c>
      <c r="H44" s="28" t="s">
        <v>2240</v>
      </c>
      <c r="I44" s="28" t="s">
        <v>2142</v>
      </c>
      <c r="J44" s="28" t="n">
        <v>4</v>
      </c>
      <c r="K44" s="28" t="n">
        <v>4</v>
      </c>
      <c r="L44" s="28" t="s">
        <v>2241</v>
      </c>
      <c r="M44" s="28" t="s">
        <v>2064</v>
      </c>
      <c r="N44" s="28" t="s">
        <v>2063</v>
      </c>
      <c r="O44" s="32" t="n">
        <v>46060.3907638889</v>
      </c>
      <c r="P44" s="33" t="n">
        <v>46060.3907638889</v>
      </c>
      <c r="Q44" s="32" t="n">
        <v>46060.3907638889</v>
      </c>
      <c r="R44" s="28" t="s">
        <v>2217</v>
      </c>
      <c r="S44" s="34" t="n">
        <v>47867</v>
      </c>
    </row>
    <row r="45" customFormat="false" ht="14.25" hidden="false" customHeight="false" outlineLevel="0" collapsed="false">
      <c r="A45" s="28" t="s">
        <v>2137</v>
      </c>
      <c r="B45" s="28" t="s">
        <v>14</v>
      </c>
      <c r="C45" s="28" t="s">
        <v>2242</v>
      </c>
      <c r="D45" s="28" t="s">
        <v>2243</v>
      </c>
      <c r="E45" s="28" t="s">
        <v>2057</v>
      </c>
      <c r="F45" s="28" t="s">
        <v>2214</v>
      </c>
      <c r="G45" s="28" t="s">
        <v>594</v>
      </c>
      <c r="H45" s="28" t="s">
        <v>2244</v>
      </c>
      <c r="I45" s="28" t="s">
        <v>2142</v>
      </c>
      <c r="J45" s="28" t="n">
        <v>4</v>
      </c>
      <c r="K45" s="28" t="n">
        <v>5</v>
      </c>
      <c r="L45" s="28" t="s">
        <v>2245</v>
      </c>
      <c r="M45" s="28" t="s">
        <v>2062</v>
      </c>
      <c r="N45" s="28" t="s">
        <v>2061</v>
      </c>
      <c r="O45" s="32" t="n">
        <v>46060.3942939815</v>
      </c>
      <c r="P45" s="33" t="n">
        <v>46060.3942939815</v>
      </c>
      <c r="Q45" s="32" t="n">
        <v>46060.3942939815</v>
      </c>
      <c r="R45" s="28" t="s">
        <v>2217</v>
      </c>
      <c r="S45" s="34" t="n">
        <v>47867</v>
      </c>
    </row>
    <row r="46" customFormat="false" ht="14.25" hidden="false" customHeight="false" outlineLevel="0" collapsed="false">
      <c r="A46" s="28" t="s">
        <v>2137</v>
      </c>
      <c r="B46" s="28" t="s">
        <v>14</v>
      </c>
      <c r="C46" s="28" t="s">
        <v>2242</v>
      </c>
      <c r="D46" s="28" t="s">
        <v>2243</v>
      </c>
      <c r="E46" s="28" t="s">
        <v>2057</v>
      </c>
      <c r="F46" s="28" t="s">
        <v>2214</v>
      </c>
      <c r="G46" s="28" t="s">
        <v>594</v>
      </c>
      <c r="H46" s="28" t="s">
        <v>2246</v>
      </c>
      <c r="I46" s="28" t="s">
        <v>2142</v>
      </c>
      <c r="J46" s="28" t="n">
        <v>1</v>
      </c>
      <c r="K46" s="28" t="n">
        <v>5</v>
      </c>
      <c r="L46" s="28" t="s">
        <v>2245</v>
      </c>
      <c r="M46" s="28" t="s">
        <v>2062</v>
      </c>
      <c r="N46" s="28" t="s">
        <v>2061</v>
      </c>
      <c r="O46" s="32" t="n">
        <v>46060.394212963</v>
      </c>
      <c r="P46" s="33" t="n">
        <v>46060.394212963</v>
      </c>
      <c r="Q46" s="32" t="n">
        <v>46060.394212963</v>
      </c>
      <c r="R46" s="28" t="s">
        <v>2217</v>
      </c>
      <c r="S46" s="34" t="n">
        <v>47867</v>
      </c>
    </row>
    <row r="47" customFormat="false" ht="14.25" hidden="false" customHeight="false" outlineLevel="0" collapsed="false">
      <c r="A47" s="28" t="s">
        <v>2137</v>
      </c>
      <c r="B47" s="28" t="s">
        <v>14</v>
      </c>
      <c r="C47" s="28" t="s">
        <v>2247</v>
      </c>
      <c r="D47" s="28" t="s">
        <v>2248</v>
      </c>
      <c r="E47" s="28" t="s">
        <v>2057</v>
      </c>
      <c r="F47" s="28" t="s">
        <v>2214</v>
      </c>
      <c r="G47" s="28" t="s">
        <v>594</v>
      </c>
      <c r="H47" s="28" t="s">
        <v>2246</v>
      </c>
      <c r="I47" s="28" t="s">
        <v>2142</v>
      </c>
      <c r="J47" s="28" t="n">
        <v>3</v>
      </c>
      <c r="K47" s="28" t="n">
        <v>7</v>
      </c>
      <c r="L47" s="28" t="s">
        <v>2249</v>
      </c>
      <c r="M47" s="28" t="s">
        <v>2060</v>
      </c>
      <c r="N47" s="28" t="s">
        <v>2059</v>
      </c>
      <c r="O47" s="32" t="n">
        <v>46060.3815046296</v>
      </c>
      <c r="P47" s="33" t="n">
        <v>46060.3815046296</v>
      </c>
      <c r="Q47" s="32" t="n">
        <v>46060.3815046296</v>
      </c>
      <c r="R47" s="28" t="s">
        <v>2217</v>
      </c>
      <c r="S47" s="34" t="n">
        <v>47867</v>
      </c>
    </row>
    <row r="48" customFormat="false" ht="14.25" hidden="false" customHeight="false" outlineLevel="0" collapsed="false">
      <c r="A48" s="28" t="s">
        <v>2137</v>
      </c>
      <c r="B48" s="28" t="s">
        <v>14</v>
      </c>
      <c r="C48" s="28" t="s">
        <v>2247</v>
      </c>
      <c r="D48" s="28" t="s">
        <v>2248</v>
      </c>
      <c r="E48" s="28" t="s">
        <v>2057</v>
      </c>
      <c r="F48" s="28" t="s">
        <v>2214</v>
      </c>
      <c r="G48" s="28" t="s">
        <v>594</v>
      </c>
      <c r="H48" s="28" t="s">
        <v>2250</v>
      </c>
      <c r="I48" s="28" t="s">
        <v>2142</v>
      </c>
      <c r="J48" s="28" t="n">
        <v>4</v>
      </c>
      <c r="K48" s="28" t="n">
        <v>7</v>
      </c>
      <c r="L48" s="28" t="s">
        <v>2249</v>
      </c>
      <c r="M48" s="28" t="s">
        <v>2060</v>
      </c>
      <c r="N48" s="28" t="s">
        <v>2059</v>
      </c>
      <c r="O48" s="32" t="n">
        <v>46060.3766782407</v>
      </c>
      <c r="P48" s="33" t="n">
        <v>46060.3766782407</v>
      </c>
      <c r="Q48" s="32" t="n">
        <v>46060.3766782407</v>
      </c>
      <c r="R48" s="28" t="s">
        <v>2217</v>
      </c>
      <c r="S48" s="34" t="n">
        <v>47867</v>
      </c>
    </row>
    <row r="49" customFormat="false" ht="14.25" hidden="false" customHeight="false" outlineLevel="0" collapsed="false">
      <c r="A49" s="28" t="s">
        <v>2251</v>
      </c>
      <c r="B49" s="28" t="s">
        <v>14</v>
      </c>
      <c r="C49" s="28" t="s">
        <v>2252</v>
      </c>
      <c r="D49" s="28" t="s">
        <v>2253</v>
      </c>
      <c r="E49" s="28" t="s">
        <v>2254</v>
      </c>
      <c r="F49" s="28" t="s">
        <v>2140</v>
      </c>
      <c r="G49" s="28" t="s">
        <v>80</v>
      </c>
      <c r="H49" s="28" t="s">
        <v>2255</v>
      </c>
      <c r="I49" s="28" t="s">
        <v>2142</v>
      </c>
      <c r="J49" s="28" t="n">
        <v>3</v>
      </c>
      <c r="K49" s="28" t="n">
        <v>8</v>
      </c>
      <c r="L49" s="28" t="s">
        <v>2256</v>
      </c>
      <c r="M49" s="28" t="s">
        <v>2091</v>
      </c>
      <c r="N49" s="28" t="s">
        <v>2090</v>
      </c>
      <c r="O49" s="32" t="n">
        <v>46069.3765625</v>
      </c>
      <c r="P49" s="33" t="n">
        <v>46069.3765625</v>
      </c>
      <c r="Q49" s="32" t="n">
        <v>46069.3765625</v>
      </c>
      <c r="R49" s="28" t="s">
        <v>2257</v>
      </c>
      <c r="S49" s="34" t="n">
        <v>47838</v>
      </c>
    </row>
    <row r="50" customFormat="false" ht="14.25" hidden="false" customHeight="false" outlineLevel="0" collapsed="false">
      <c r="A50" s="28" t="s">
        <v>2251</v>
      </c>
      <c r="B50" s="28" t="s">
        <v>14</v>
      </c>
      <c r="C50" s="28" t="s">
        <v>2252</v>
      </c>
      <c r="D50" s="28" t="s">
        <v>2253</v>
      </c>
      <c r="E50" s="28" t="s">
        <v>2254</v>
      </c>
      <c r="F50" s="28" t="s">
        <v>2140</v>
      </c>
      <c r="G50" s="28" t="s">
        <v>80</v>
      </c>
      <c r="H50" s="28" t="s">
        <v>2258</v>
      </c>
      <c r="I50" s="28" t="s">
        <v>2142</v>
      </c>
      <c r="J50" s="28" t="n">
        <v>4</v>
      </c>
      <c r="K50" s="28" t="n">
        <v>4</v>
      </c>
      <c r="L50" s="28" t="s">
        <v>2256</v>
      </c>
      <c r="M50" s="28" t="s">
        <v>2091</v>
      </c>
      <c r="N50" s="28" t="s">
        <v>2090</v>
      </c>
      <c r="O50" s="32" t="n">
        <v>46069.3763425926</v>
      </c>
      <c r="P50" s="33" t="n">
        <v>46069.3763425926</v>
      </c>
      <c r="Q50" s="32" t="n">
        <v>46069.3763425926</v>
      </c>
      <c r="R50" s="28" t="s">
        <v>2259</v>
      </c>
      <c r="S50" s="34" t="n">
        <v>47838</v>
      </c>
    </row>
    <row r="51" customFormat="false" ht="14.25" hidden="false" customHeight="false" outlineLevel="0" collapsed="false">
      <c r="A51" s="28" t="s">
        <v>2251</v>
      </c>
      <c r="B51" s="28" t="s">
        <v>14</v>
      </c>
      <c r="C51" s="28" t="s">
        <v>2252</v>
      </c>
      <c r="D51" s="28" t="s">
        <v>2253</v>
      </c>
      <c r="E51" s="28" t="s">
        <v>2254</v>
      </c>
      <c r="F51" s="28" t="s">
        <v>2140</v>
      </c>
      <c r="G51" s="28" t="s">
        <v>80</v>
      </c>
      <c r="H51" s="28" t="s">
        <v>2260</v>
      </c>
      <c r="I51" s="28" t="s">
        <v>2142</v>
      </c>
      <c r="J51" s="28" t="n">
        <v>4</v>
      </c>
      <c r="K51" s="28" t="n">
        <v>8</v>
      </c>
      <c r="L51" s="28" t="s">
        <v>2256</v>
      </c>
      <c r="M51" s="28" t="s">
        <v>2091</v>
      </c>
      <c r="N51" s="28" t="s">
        <v>2090</v>
      </c>
      <c r="O51" s="32" t="n">
        <v>46069.3762037037</v>
      </c>
      <c r="P51" s="33" t="n">
        <v>46069.3762037037</v>
      </c>
      <c r="Q51" s="32" t="n">
        <v>46069.3762037037</v>
      </c>
      <c r="R51" s="28" t="s">
        <v>2257</v>
      </c>
      <c r="S51" s="34" t="n">
        <v>47838</v>
      </c>
    </row>
    <row r="52" customFormat="false" ht="14.25" hidden="false" customHeight="false" outlineLevel="0" collapsed="false">
      <c r="A52" s="28" t="s">
        <v>2251</v>
      </c>
      <c r="B52" s="28" t="s">
        <v>14</v>
      </c>
      <c r="C52" s="28" t="s">
        <v>2252</v>
      </c>
      <c r="D52" s="28" t="s">
        <v>2253</v>
      </c>
      <c r="E52" s="28" t="s">
        <v>2254</v>
      </c>
      <c r="F52" s="28" t="s">
        <v>2140</v>
      </c>
      <c r="G52" s="28" t="s">
        <v>80</v>
      </c>
      <c r="H52" s="28" t="s">
        <v>2261</v>
      </c>
      <c r="I52" s="28" t="s">
        <v>2142</v>
      </c>
      <c r="J52" s="28" t="n">
        <v>1</v>
      </c>
      <c r="K52" s="28" t="n">
        <v>8</v>
      </c>
      <c r="L52" s="28" t="s">
        <v>2256</v>
      </c>
      <c r="M52" s="28" t="s">
        <v>2091</v>
      </c>
      <c r="N52" s="28" t="s">
        <v>2090</v>
      </c>
      <c r="O52" s="32" t="n">
        <v>46069.3758796296</v>
      </c>
      <c r="P52" s="33" t="n">
        <v>46069.3758796296</v>
      </c>
      <c r="Q52" s="32" t="n">
        <v>46069.3758796296</v>
      </c>
      <c r="R52" s="28" t="s">
        <v>2257</v>
      </c>
      <c r="S52" s="34" t="n">
        <v>47838</v>
      </c>
    </row>
    <row r="53" customFormat="false" ht="14.25" hidden="false" customHeight="false" outlineLevel="0" collapsed="false">
      <c r="A53" s="28" t="s">
        <v>2251</v>
      </c>
      <c r="B53" s="28" t="s">
        <v>14</v>
      </c>
      <c r="C53" s="28" t="s">
        <v>2262</v>
      </c>
      <c r="D53" s="28" t="s">
        <v>2094</v>
      </c>
      <c r="E53" s="28" t="s">
        <v>2254</v>
      </c>
      <c r="F53" s="28" t="s">
        <v>2263</v>
      </c>
      <c r="G53" s="28" t="s">
        <v>1217</v>
      </c>
      <c r="H53" s="28" t="s">
        <v>2264</v>
      </c>
      <c r="I53" s="28" t="s">
        <v>2142</v>
      </c>
      <c r="J53" s="28" t="n">
        <v>4</v>
      </c>
      <c r="K53" s="28" t="n">
        <v>13</v>
      </c>
      <c r="L53" s="28" t="s">
        <v>2230</v>
      </c>
      <c r="M53" s="28" t="s">
        <v>2095</v>
      </c>
      <c r="N53" s="28" t="s">
        <v>2065</v>
      </c>
      <c r="O53" s="32" t="n">
        <v>46069.3738194444</v>
      </c>
      <c r="P53" s="33" t="n">
        <v>46069.3738194444</v>
      </c>
      <c r="Q53" s="32" t="n">
        <v>46069.3738194444</v>
      </c>
      <c r="R53" s="28" t="s">
        <v>2265</v>
      </c>
      <c r="S53" s="34" t="n">
        <v>47858</v>
      </c>
    </row>
    <row r="54" customFormat="false" ht="14.25" hidden="false" customHeight="false" outlineLevel="0" collapsed="false">
      <c r="A54" s="28" t="s">
        <v>2251</v>
      </c>
      <c r="B54" s="28" t="s">
        <v>14</v>
      </c>
      <c r="C54" s="28" t="s">
        <v>2262</v>
      </c>
      <c r="D54" s="28" t="s">
        <v>2094</v>
      </c>
      <c r="E54" s="28" t="s">
        <v>2254</v>
      </c>
      <c r="F54" s="28" t="s">
        <v>2263</v>
      </c>
      <c r="G54" s="28" t="s">
        <v>1217</v>
      </c>
      <c r="H54" s="28" t="s">
        <v>2264</v>
      </c>
      <c r="I54" s="28" t="s">
        <v>2142</v>
      </c>
      <c r="J54" s="28" t="n">
        <v>4</v>
      </c>
      <c r="K54" s="28" t="n">
        <v>13</v>
      </c>
      <c r="L54" s="28" t="s">
        <v>2230</v>
      </c>
      <c r="M54" s="28" t="s">
        <v>2095</v>
      </c>
      <c r="N54" s="28" t="s">
        <v>2065</v>
      </c>
      <c r="O54" s="32" t="n">
        <v>46069.3736689815</v>
      </c>
      <c r="P54" s="33" t="n">
        <v>46069.3736689815</v>
      </c>
      <c r="Q54" s="32" t="n">
        <v>46069.3736689815</v>
      </c>
      <c r="R54" s="28" t="s">
        <v>2265</v>
      </c>
      <c r="S54" s="34" t="n">
        <v>47858</v>
      </c>
    </row>
    <row r="55" customFormat="false" ht="14.25" hidden="false" customHeight="false" outlineLevel="0" collapsed="false">
      <c r="A55" s="28" t="s">
        <v>2251</v>
      </c>
      <c r="B55" s="28" t="s">
        <v>14</v>
      </c>
      <c r="C55" s="28" t="s">
        <v>2262</v>
      </c>
      <c r="D55" s="28" t="s">
        <v>2094</v>
      </c>
      <c r="E55" s="28" t="s">
        <v>2254</v>
      </c>
      <c r="F55" s="28" t="s">
        <v>2263</v>
      </c>
      <c r="G55" s="28" t="s">
        <v>1217</v>
      </c>
      <c r="H55" s="28" t="s">
        <v>2264</v>
      </c>
      <c r="I55" s="28" t="s">
        <v>2142</v>
      </c>
      <c r="J55" s="28" t="n">
        <v>4</v>
      </c>
      <c r="K55" s="28" t="n">
        <v>13</v>
      </c>
      <c r="L55" s="28" t="s">
        <v>2230</v>
      </c>
      <c r="M55" s="28" t="s">
        <v>2095</v>
      </c>
      <c r="N55" s="28" t="s">
        <v>2065</v>
      </c>
      <c r="O55" s="32" t="n">
        <v>46069.3733101852</v>
      </c>
      <c r="P55" s="33" t="n">
        <v>46069.3733101852</v>
      </c>
      <c r="Q55" s="32" t="n">
        <v>46069.3733101852</v>
      </c>
      <c r="R55" s="28" t="s">
        <v>2265</v>
      </c>
      <c r="S55" s="34" t="n">
        <v>47858</v>
      </c>
    </row>
    <row r="56" customFormat="false" ht="14.25" hidden="false" customHeight="false" outlineLevel="0" collapsed="false">
      <c r="A56" s="28" t="s">
        <v>2251</v>
      </c>
      <c r="B56" s="28" t="s">
        <v>14</v>
      </c>
      <c r="C56" s="28" t="s">
        <v>2262</v>
      </c>
      <c r="D56" s="28" t="s">
        <v>2094</v>
      </c>
      <c r="E56" s="28" t="s">
        <v>2254</v>
      </c>
      <c r="F56" s="28" t="s">
        <v>2263</v>
      </c>
      <c r="G56" s="28" t="s">
        <v>1217</v>
      </c>
      <c r="H56" s="28" t="s">
        <v>2264</v>
      </c>
      <c r="I56" s="28" t="s">
        <v>2142</v>
      </c>
      <c r="J56" s="28" t="n">
        <v>1</v>
      </c>
      <c r="K56" s="28" t="n">
        <v>13</v>
      </c>
      <c r="L56" s="28" t="s">
        <v>2230</v>
      </c>
      <c r="M56" s="28" t="s">
        <v>2095</v>
      </c>
      <c r="N56" s="28" t="s">
        <v>2065</v>
      </c>
      <c r="O56" s="32" t="n">
        <v>46069.3727314815</v>
      </c>
      <c r="P56" s="33" t="n">
        <v>46069.3727314815</v>
      </c>
      <c r="Q56" s="32" t="n">
        <v>46069.3727314815</v>
      </c>
      <c r="R56" s="28" t="s">
        <v>2265</v>
      </c>
      <c r="S56" s="34" t="n">
        <v>47858</v>
      </c>
    </row>
    <row r="57" customFormat="false" ht="14.25" hidden="false" customHeight="false" outlineLevel="0" collapsed="false">
      <c r="A57" s="28" t="s">
        <v>2251</v>
      </c>
      <c r="B57" s="28" t="s">
        <v>14</v>
      </c>
      <c r="C57" s="28" t="s">
        <v>2266</v>
      </c>
      <c r="D57" s="28" t="s">
        <v>2267</v>
      </c>
      <c r="E57" s="28" t="s">
        <v>2057</v>
      </c>
      <c r="F57" s="28" t="s">
        <v>2140</v>
      </c>
      <c r="G57" s="28" t="s">
        <v>80</v>
      </c>
      <c r="H57" s="28" t="s">
        <v>2261</v>
      </c>
      <c r="I57" s="28" t="s">
        <v>2142</v>
      </c>
      <c r="J57" s="28" t="n">
        <v>3</v>
      </c>
      <c r="K57" s="28" t="n">
        <v>3</v>
      </c>
      <c r="L57" s="28" t="s">
        <v>2195</v>
      </c>
      <c r="M57" s="28" t="s">
        <v>109</v>
      </c>
      <c r="N57" s="28" t="s">
        <v>2072</v>
      </c>
      <c r="O57" s="32" t="n">
        <v>46067.3726967593</v>
      </c>
      <c r="P57" s="33" t="n">
        <v>46067.3726967593</v>
      </c>
      <c r="Q57" s="32" t="n">
        <v>46067.3726967593</v>
      </c>
      <c r="R57" s="28" t="s">
        <v>2257</v>
      </c>
      <c r="S57" s="34" t="n">
        <v>47838</v>
      </c>
    </row>
    <row r="58" customFormat="false" ht="14.25" hidden="false" customHeight="false" outlineLevel="0" collapsed="false">
      <c r="A58" s="28" t="s">
        <v>2251</v>
      </c>
      <c r="B58" s="28" t="s">
        <v>14</v>
      </c>
      <c r="C58" s="28" t="s">
        <v>2266</v>
      </c>
      <c r="D58" s="28" t="s">
        <v>2267</v>
      </c>
      <c r="E58" s="28" t="s">
        <v>2057</v>
      </c>
      <c r="F58" s="28" t="s">
        <v>2140</v>
      </c>
      <c r="G58" s="28" t="s">
        <v>80</v>
      </c>
      <c r="H58" s="28" t="s">
        <v>2268</v>
      </c>
      <c r="I58" s="28" t="s">
        <v>2142</v>
      </c>
      <c r="J58" s="28" t="n">
        <v>4</v>
      </c>
      <c r="K58" s="28" t="n">
        <v>12</v>
      </c>
      <c r="L58" s="28" t="s">
        <v>2195</v>
      </c>
      <c r="M58" s="28" t="s">
        <v>109</v>
      </c>
      <c r="N58" s="28" t="s">
        <v>2072</v>
      </c>
      <c r="O58" s="32" t="n">
        <v>46067.3722106482</v>
      </c>
      <c r="P58" s="33" t="n">
        <v>46067.3722106482</v>
      </c>
      <c r="Q58" s="32" t="n">
        <v>46067.3722106482</v>
      </c>
      <c r="R58" s="28" t="s">
        <v>2144</v>
      </c>
      <c r="S58" s="34" t="n">
        <v>47838</v>
      </c>
    </row>
    <row r="59" customFormat="false" ht="14.25" hidden="false" customHeight="false" outlineLevel="0" collapsed="false">
      <c r="A59" s="28" t="s">
        <v>2251</v>
      </c>
      <c r="B59" s="28" t="s">
        <v>14</v>
      </c>
      <c r="C59" s="28" t="s">
        <v>2266</v>
      </c>
      <c r="D59" s="28" t="s">
        <v>2267</v>
      </c>
      <c r="E59" s="28" t="s">
        <v>2057</v>
      </c>
      <c r="F59" s="28" t="s">
        <v>2140</v>
      </c>
      <c r="G59" s="28" t="s">
        <v>80</v>
      </c>
      <c r="H59" s="28" t="s">
        <v>2269</v>
      </c>
      <c r="I59" s="28" t="s">
        <v>2142</v>
      </c>
      <c r="J59" s="28" t="n">
        <v>4</v>
      </c>
      <c r="K59" s="28" t="n">
        <v>12</v>
      </c>
      <c r="L59" s="28" t="s">
        <v>2195</v>
      </c>
      <c r="M59" s="28" t="s">
        <v>109</v>
      </c>
      <c r="N59" s="28" t="s">
        <v>2072</v>
      </c>
      <c r="O59" s="32" t="n">
        <v>46067.3719560185</v>
      </c>
      <c r="P59" s="33" t="n">
        <v>46067.3719560185</v>
      </c>
      <c r="Q59" s="32" t="n">
        <v>46067.3719560185</v>
      </c>
      <c r="R59" s="28" t="s">
        <v>2144</v>
      </c>
      <c r="S59" s="34" t="n">
        <v>47838</v>
      </c>
    </row>
    <row r="60" customFormat="false" ht="14.25" hidden="false" customHeight="false" outlineLevel="0" collapsed="false">
      <c r="A60" s="28" t="s">
        <v>2251</v>
      </c>
      <c r="B60" s="28" t="s">
        <v>14</v>
      </c>
      <c r="C60" s="28" t="s">
        <v>2266</v>
      </c>
      <c r="D60" s="28" t="s">
        <v>2267</v>
      </c>
      <c r="E60" s="28" t="s">
        <v>2057</v>
      </c>
      <c r="F60" s="28" t="s">
        <v>2140</v>
      </c>
      <c r="G60" s="28" t="s">
        <v>80</v>
      </c>
      <c r="H60" s="28" t="s">
        <v>2270</v>
      </c>
      <c r="I60" s="28" t="s">
        <v>2142</v>
      </c>
      <c r="J60" s="28" t="n">
        <v>4</v>
      </c>
      <c r="K60" s="28" t="n">
        <v>12</v>
      </c>
      <c r="L60" s="28" t="s">
        <v>2195</v>
      </c>
      <c r="M60" s="28" t="s">
        <v>109</v>
      </c>
      <c r="N60" s="28" t="s">
        <v>2072</v>
      </c>
      <c r="O60" s="32" t="n">
        <v>46067.3717824074</v>
      </c>
      <c r="P60" s="33" t="n">
        <v>46067.3717824074</v>
      </c>
      <c r="Q60" s="32" t="n">
        <v>46067.3717824074</v>
      </c>
      <c r="R60" s="28" t="s">
        <v>2144</v>
      </c>
      <c r="S60" s="34" t="n">
        <v>47838</v>
      </c>
    </row>
    <row r="61" customFormat="false" ht="14.25" hidden="false" customHeight="false" outlineLevel="0" collapsed="false">
      <c r="A61" s="28" t="s">
        <v>2251</v>
      </c>
      <c r="B61" s="28" t="s">
        <v>14</v>
      </c>
      <c r="C61" s="28" t="s">
        <v>2266</v>
      </c>
      <c r="D61" s="28" t="s">
        <v>2267</v>
      </c>
      <c r="E61" s="28" t="s">
        <v>2057</v>
      </c>
      <c r="F61" s="28" t="s">
        <v>2271</v>
      </c>
      <c r="G61" s="28" t="s">
        <v>420</v>
      </c>
      <c r="H61" s="28" t="s">
        <v>2272</v>
      </c>
      <c r="I61" s="28" t="s">
        <v>2205</v>
      </c>
      <c r="J61" s="28" t="n">
        <v>7</v>
      </c>
      <c r="K61" s="28" t="n">
        <v>55</v>
      </c>
      <c r="L61" s="28" t="s">
        <v>2195</v>
      </c>
      <c r="M61" s="28" t="s">
        <v>109</v>
      </c>
      <c r="N61" s="28" t="s">
        <v>2072</v>
      </c>
      <c r="O61" s="32" t="n">
        <v>46067.3715162037</v>
      </c>
      <c r="P61" s="33" t="n">
        <v>46067.3715162037</v>
      </c>
      <c r="Q61" s="32" t="n">
        <v>46067.3715162037</v>
      </c>
      <c r="R61" s="28" t="s">
        <v>2273</v>
      </c>
      <c r="S61" s="34" t="n">
        <v>47869</v>
      </c>
    </row>
    <row r="62" customFormat="false" ht="14.25" hidden="false" customHeight="false" outlineLevel="0" collapsed="false">
      <c r="A62" s="28" t="s">
        <v>2251</v>
      </c>
      <c r="B62" s="28" t="s">
        <v>14</v>
      </c>
      <c r="C62" s="28" t="s">
        <v>2266</v>
      </c>
      <c r="D62" s="28" t="s">
        <v>2267</v>
      </c>
      <c r="E62" s="28" t="s">
        <v>2057</v>
      </c>
      <c r="F62" s="28" t="s">
        <v>2271</v>
      </c>
      <c r="G62" s="28" t="s">
        <v>420</v>
      </c>
      <c r="H62" s="28" t="s">
        <v>2274</v>
      </c>
      <c r="I62" s="28" t="s">
        <v>2205</v>
      </c>
      <c r="J62" s="28" t="n">
        <v>24</v>
      </c>
      <c r="K62" s="28" t="n">
        <v>55</v>
      </c>
      <c r="L62" s="28" t="s">
        <v>2195</v>
      </c>
      <c r="M62" s="28" t="s">
        <v>109</v>
      </c>
      <c r="N62" s="28" t="s">
        <v>2072</v>
      </c>
      <c r="O62" s="32" t="n">
        <v>46067.3712152778</v>
      </c>
      <c r="P62" s="33" t="n">
        <v>46067.3712152778</v>
      </c>
      <c r="Q62" s="32" t="n">
        <v>46067.3712152778</v>
      </c>
      <c r="R62" s="28" t="s">
        <v>2273</v>
      </c>
      <c r="S62" s="34" t="n">
        <v>47869</v>
      </c>
    </row>
    <row r="63" customFormat="false" ht="14.25" hidden="false" customHeight="false" outlineLevel="0" collapsed="false">
      <c r="A63" s="28" t="s">
        <v>2251</v>
      </c>
      <c r="B63" s="28" t="s">
        <v>14</v>
      </c>
      <c r="C63" s="28" t="s">
        <v>2266</v>
      </c>
      <c r="D63" s="28" t="s">
        <v>2267</v>
      </c>
      <c r="E63" s="28" t="s">
        <v>2057</v>
      </c>
      <c r="F63" s="28" t="s">
        <v>2271</v>
      </c>
      <c r="G63" s="28" t="s">
        <v>420</v>
      </c>
      <c r="H63" s="28" t="s">
        <v>2275</v>
      </c>
      <c r="I63" s="28" t="s">
        <v>2205</v>
      </c>
      <c r="J63" s="28" t="n">
        <v>24</v>
      </c>
      <c r="K63" s="28" t="n">
        <v>55</v>
      </c>
      <c r="L63" s="28" t="s">
        <v>2195</v>
      </c>
      <c r="M63" s="28" t="s">
        <v>109</v>
      </c>
      <c r="N63" s="28" t="s">
        <v>2072</v>
      </c>
      <c r="O63" s="32" t="n">
        <v>46067.3709375</v>
      </c>
      <c r="P63" s="33" t="n">
        <v>46067.3709375</v>
      </c>
      <c r="Q63" s="32" t="n">
        <v>46067.3709375</v>
      </c>
      <c r="R63" s="28" t="s">
        <v>2273</v>
      </c>
      <c r="S63" s="34" t="n">
        <v>47869</v>
      </c>
    </row>
    <row r="64" customFormat="false" ht="14.25" hidden="false" customHeight="false" outlineLevel="0" collapsed="false">
      <c r="A64" s="28" t="s">
        <v>2251</v>
      </c>
      <c r="B64" s="28" t="s">
        <v>14</v>
      </c>
      <c r="C64" s="28" t="s">
        <v>2276</v>
      </c>
      <c r="D64" s="28" t="s">
        <v>2277</v>
      </c>
      <c r="E64" s="28" t="s">
        <v>2057</v>
      </c>
      <c r="F64" s="28" t="s">
        <v>2278</v>
      </c>
      <c r="G64" s="28" t="s">
        <v>831</v>
      </c>
      <c r="H64" s="28" t="s">
        <v>2279</v>
      </c>
      <c r="I64" s="28" t="s">
        <v>2205</v>
      </c>
      <c r="J64" s="28" t="n">
        <v>5</v>
      </c>
      <c r="K64" s="28" t="n">
        <v>35</v>
      </c>
      <c r="L64" s="28" t="s">
        <v>2230</v>
      </c>
      <c r="M64" s="28" t="s">
        <v>109</v>
      </c>
      <c r="N64" s="28" t="s">
        <v>2065</v>
      </c>
      <c r="O64" s="32" t="n">
        <v>46065.5127314815</v>
      </c>
      <c r="P64" s="33" t="n">
        <v>46065.5127314815</v>
      </c>
      <c r="Q64" s="32" t="n">
        <v>46065.5127314815</v>
      </c>
      <c r="R64" s="28" t="s">
        <v>2280</v>
      </c>
      <c r="S64" s="34" t="n">
        <v>47868</v>
      </c>
    </row>
    <row r="65" customFormat="false" ht="14.25" hidden="false" customHeight="false" outlineLevel="0" collapsed="false">
      <c r="A65" s="28" t="s">
        <v>2251</v>
      </c>
      <c r="B65" s="28" t="s">
        <v>14</v>
      </c>
      <c r="C65" s="28" t="s">
        <v>2276</v>
      </c>
      <c r="D65" s="28" t="s">
        <v>2277</v>
      </c>
      <c r="E65" s="28" t="s">
        <v>2057</v>
      </c>
      <c r="F65" s="28" t="s">
        <v>2278</v>
      </c>
      <c r="G65" s="28" t="s">
        <v>831</v>
      </c>
      <c r="H65" s="28" t="s">
        <v>2281</v>
      </c>
      <c r="I65" s="28" t="s">
        <v>2205</v>
      </c>
      <c r="J65" s="28" t="n">
        <v>24</v>
      </c>
      <c r="K65" s="28" t="n">
        <v>35</v>
      </c>
      <c r="L65" s="28" t="s">
        <v>2230</v>
      </c>
      <c r="M65" s="28" t="s">
        <v>109</v>
      </c>
      <c r="N65" s="28" t="s">
        <v>2065</v>
      </c>
      <c r="O65" s="32" t="n">
        <v>46065.512650463</v>
      </c>
      <c r="P65" s="33" t="n">
        <v>46065.512650463</v>
      </c>
      <c r="Q65" s="32" t="n">
        <v>46065.512650463</v>
      </c>
      <c r="R65" s="28" t="s">
        <v>2280</v>
      </c>
      <c r="S65" s="34" t="n">
        <v>47868</v>
      </c>
    </row>
    <row r="66" customFormat="false" ht="14.25" hidden="false" customHeight="false" outlineLevel="0" collapsed="false">
      <c r="A66" s="28" t="s">
        <v>2251</v>
      </c>
      <c r="B66" s="28" t="s">
        <v>14</v>
      </c>
      <c r="C66" s="28" t="s">
        <v>2276</v>
      </c>
      <c r="D66" s="28" t="s">
        <v>2277</v>
      </c>
      <c r="E66" s="28" t="s">
        <v>2057</v>
      </c>
      <c r="F66" s="28" t="s">
        <v>2278</v>
      </c>
      <c r="G66" s="28" t="s">
        <v>831</v>
      </c>
      <c r="H66" s="28" t="s">
        <v>2282</v>
      </c>
      <c r="I66" s="28" t="s">
        <v>2205</v>
      </c>
      <c r="J66" s="28" t="n">
        <v>2</v>
      </c>
      <c r="K66" s="28" t="n">
        <v>2</v>
      </c>
      <c r="L66" s="28" t="s">
        <v>2230</v>
      </c>
      <c r="M66" s="28" t="s">
        <v>109</v>
      </c>
      <c r="N66" s="28" t="s">
        <v>2065</v>
      </c>
      <c r="O66" s="32" t="n">
        <v>46065.5125925926</v>
      </c>
      <c r="P66" s="33" t="n">
        <v>46065.5125925926</v>
      </c>
      <c r="Q66" s="32" t="n">
        <v>46065.5125925926</v>
      </c>
      <c r="R66" s="28" t="s">
        <v>2283</v>
      </c>
      <c r="S66" s="34" t="n">
        <v>47868</v>
      </c>
    </row>
    <row r="67" customFormat="false" ht="14.25" hidden="false" customHeight="false" outlineLevel="0" collapsed="false">
      <c r="A67" s="28" t="s">
        <v>2251</v>
      </c>
      <c r="B67" s="28" t="s">
        <v>14</v>
      </c>
      <c r="C67" s="28" t="s">
        <v>2276</v>
      </c>
      <c r="D67" s="28" t="s">
        <v>2277</v>
      </c>
      <c r="E67" s="28" t="s">
        <v>2057</v>
      </c>
      <c r="F67" s="28" t="s">
        <v>2278</v>
      </c>
      <c r="G67" s="28" t="s">
        <v>831</v>
      </c>
      <c r="H67" s="28" t="s">
        <v>2284</v>
      </c>
      <c r="I67" s="28" t="s">
        <v>2205</v>
      </c>
      <c r="J67" s="28" t="n">
        <v>6</v>
      </c>
      <c r="K67" s="28" t="n">
        <v>35</v>
      </c>
      <c r="L67" s="28" t="s">
        <v>2230</v>
      </c>
      <c r="M67" s="28" t="s">
        <v>109</v>
      </c>
      <c r="N67" s="28" t="s">
        <v>2065</v>
      </c>
      <c r="O67" s="32" t="n">
        <v>46065.5125347222</v>
      </c>
      <c r="P67" s="33" t="n">
        <v>46065.5125347222</v>
      </c>
      <c r="Q67" s="32" t="n">
        <v>46065.5125347222</v>
      </c>
      <c r="R67" s="28" t="s">
        <v>2280</v>
      </c>
      <c r="S67" s="34" t="n">
        <v>47868</v>
      </c>
    </row>
    <row r="68" customFormat="false" ht="14.25" hidden="false" customHeight="false" outlineLevel="0" collapsed="false">
      <c r="A68" s="28" t="s">
        <v>2251</v>
      </c>
      <c r="B68" s="28" t="s">
        <v>14</v>
      </c>
      <c r="C68" s="28" t="s">
        <v>2276</v>
      </c>
      <c r="D68" s="28" t="s">
        <v>2277</v>
      </c>
      <c r="E68" s="28" t="s">
        <v>2057</v>
      </c>
      <c r="F68" s="28" t="s">
        <v>2285</v>
      </c>
      <c r="G68" s="28" t="s">
        <v>405</v>
      </c>
      <c r="H68" s="28" t="s">
        <v>2286</v>
      </c>
      <c r="I68" s="28" t="s">
        <v>2205</v>
      </c>
      <c r="J68" s="28" t="n">
        <v>18</v>
      </c>
      <c r="K68" s="28" t="n">
        <v>34</v>
      </c>
      <c r="L68" s="28" t="s">
        <v>2230</v>
      </c>
      <c r="M68" s="28" t="s">
        <v>109</v>
      </c>
      <c r="N68" s="28" t="s">
        <v>2065</v>
      </c>
      <c r="O68" s="32" t="n">
        <v>46065.5124884259</v>
      </c>
      <c r="P68" s="33" t="n">
        <v>46065.5125</v>
      </c>
      <c r="Q68" s="32" t="n">
        <v>46065.5125</v>
      </c>
      <c r="R68" s="28" t="s">
        <v>2287</v>
      </c>
      <c r="S68" s="34" t="n">
        <v>47874</v>
      </c>
    </row>
    <row r="69" customFormat="false" ht="14.25" hidden="false" customHeight="false" outlineLevel="0" collapsed="false">
      <c r="A69" s="28" t="s">
        <v>2251</v>
      </c>
      <c r="B69" s="28" t="s">
        <v>14</v>
      </c>
      <c r="C69" s="28" t="s">
        <v>2276</v>
      </c>
      <c r="D69" s="28" t="s">
        <v>2277</v>
      </c>
      <c r="E69" s="28" t="s">
        <v>2057</v>
      </c>
      <c r="F69" s="28" t="s">
        <v>2285</v>
      </c>
      <c r="G69" s="28" t="s">
        <v>405</v>
      </c>
      <c r="H69" s="28" t="s">
        <v>2288</v>
      </c>
      <c r="I69" s="28" t="s">
        <v>2205</v>
      </c>
      <c r="J69" s="28" t="n">
        <v>16</v>
      </c>
      <c r="K69" s="28" t="n">
        <v>34</v>
      </c>
      <c r="L69" s="28" t="s">
        <v>2230</v>
      </c>
      <c r="M69" s="28" t="s">
        <v>109</v>
      </c>
      <c r="N69" s="28" t="s">
        <v>2065</v>
      </c>
      <c r="O69" s="32" t="n">
        <v>46065.5123611111</v>
      </c>
      <c r="P69" s="33" t="n">
        <v>46065.5123611111</v>
      </c>
      <c r="Q69" s="32" t="n">
        <v>46065.5123611111</v>
      </c>
      <c r="R69" s="28" t="s">
        <v>2287</v>
      </c>
      <c r="S69" s="34" t="n">
        <v>47874</v>
      </c>
    </row>
    <row r="70" customFormat="false" ht="14.25" hidden="false" customHeight="false" outlineLevel="0" collapsed="false">
      <c r="A70" s="28" t="s">
        <v>2251</v>
      </c>
      <c r="B70" s="28" t="s">
        <v>14</v>
      </c>
      <c r="C70" s="28" t="s">
        <v>2289</v>
      </c>
      <c r="D70" s="28" t="s">
        <v>2202</v>
      </c>
      <c r="E70" s="28" t="s">
        <v>2057</v>
      </c>
      <c r="F70" s="28" t="s">
        <v>2290</v>
      </c>
      <c r="G70" s="28" t="s">
        <v>1094</v>
      </c>
      <c r="H70" s="28" t="s">
        <v>2269</v>
      </c>
      <c r="I70" s="28" t="s">
        <v>2142</v>
      </c>
      <c r="J70" s="28" t="n">
        <v>3</v>
      </c>
      <c r="K70" s="28" t="n">
        <v>3</v>
      </c>
      <c r="L70" s="28" t="s">
        <v>2195</v>
      </c>
      <c r="M70" s="28" t="s">
        <v>109</v>
      </c>
      <c r="N70" s="28" t="s">
        <v>2072</v>
      </c>
      <c r="O70" s="32" t="n">
        <v>46065.3586689815</v>
      </c>
      <c r="P70" s="33" t="n">
        <v>46065.3586689815</v>
      </c>
      <c r="Q70" s="32" t="n">
        <v>46065.3586689815</v>
      </c>
      <c r="R70" s="28" t="s">
        <v>2291</v>
      </c>
      <c r="S70" s="34" t="n">
        <v>47857</v>
      </c>
    </row>
    <row r="71" customFormat="false" ht="14.25" hidden="false" customHeight="false" outlineLevel="0" collapsed="false">
      <c r="A71" s="28" t="s">
        <v>2251</v>
      </c>
      <c r="B71" s="28" t="s">
        <v>14</v>
      </c>
      <c r="C71" s="28" t="s">
        <v>2292</v>
      </c>
      <c r="D71" s="28" t="s">
        <v>2293</v>
      </c>
      <c r="E71" s="28" t="s">
        <v>2057</v>
      </c>
      <c r="F71" s="28" t="s">
        <v>2214</v>
      </c>
      <c r="G71" s="28" t="s">
        <v>594</v>
      </c>
      <c r="H71" s="28" t="s">
        <v>2294</v>
      </c>
      <c r="I71" s="28" t="s">
        <v>2142</v>
      </c>
      <c r="J71" s="28" t="n">
        <v>2</v>
      </c>
      <c r="K71" s="28" t="n">
        <v>2</v>
      </c>
      <c r="L71" s="28" t="s">
        <v>2295</v>
      </c>
      <c r="M71" s="28" t="s">
        <v>2074</v>
      </c>
      <c r="N71" s="28" t="s">
        <v>2073</v>
      </c>
      <c r="O71" s="32" t="n">
        <v>46065.3599537037</v>
      </c>
      <c r="P71" s="33" t="n">
        <v>46065.3599537037</v>
      </c>
      <c r="Q71" s="32" t="n">
        <v>46065.3599537037</v>
      </c>
      <c r="R71" s="28" t="s">
        <v>2217</v>
      </c>
      <c r="S71" s="34" t="n">
        <v>47867</v>
      </c>
    </row>
    <row r="72" customFormat="false" ht="14.25" hidden="false" customHeight="false" outlineLevel="0" collapsed="false">
      <c r="A72" s="28" t="s">
        <v>2251</v>
      </c>
      <c r="B72" s="28" t="s">
        <v>14</v>
      </c>
      <c r="C72" s="28" t="s">
        <v>2296</v>
      </c>
      <c r="D72" s="28" t="s">
        <v>2297</v>
      </c>
      <c r="E72" s="28" t="s">
        <v>2057</v>
      </c>
      <c r="F72" s="28" t="s">
        <v>2164</v>
      </c>
      <c r="G72" s="28" t="s">
        <v>772</v>
      </c>
      <c r="H72" s="28" t="s">
        <v>2298</v>
      </c>
      <c r="I72" s="28" t="s">
        <v>2142</v>
      </c>
      <c r="J72" s="28" t="n">
        <v>1</v>
      </c>
      <c r="K72" s="28" t="n">
        <v>21</v>
      </c>
      <c r="L72" s="28" t="s">
        <v>2230</v>
      </c>
      <c r="M72" s="28" t="s">
        <v>109</v>
      </c>
      <c r="N72" s="28" t="s">
        <v>2065</v>
      </c>
      <c r="O72" s="32" t="n">
        <v>46064.3473263889</v>
      </c>
      <c r="P72" s="33" t="n">
        <v>46064.3473263889</v>
      </c>
      <c r="Q72" s="32" t="n">
        <v>46064.3473263889</v>
      </c>
      <c r="R72" s="28" t="s">
        <v>2299</v>
      </c>
      <c r="S72" s="34" t="n">
        <v>47776</v>
      </c>
    </row>
    <row r="73" customFormat="false" ht="14.25" hidden="false" customHeight="false" outlineLevel="0" collapsed="false">
      <c r="A73" s="28" t="s">
        <v>2251</v>
      </c>
      <c r="B73" s="28" t="s">
        <v>14</v>
      </c>
      <c r="C73" s="28" t="s">
        <v>2296</v>
      </c>
      <c r="D73" s="28" t="s">
        <v>2297</v>
      </c>
      <c r="E73" s="28" t="s">
        <v>2057</v>
      </c>
      <c r="F73" s="28" t="s">
        <v>2164</v>
      </c>
      <c r="G73" s="28" t="s">
        <v>772</v>
      </c>
      <c r="H73" s="28" t="s">
        <v>2300</v>
      </c>
      <c r="I73" s="28" t="s">
        <v>2142</v>
      </c>
      <c r="J73" s="28" t="n">
        <v>4</v>
      </c>
      <c r="K73" s="28" t="n">
        <v>21</v>
      </c>
      <c r="L73" s="28" t="s">
        <v>2230</v>
      </c>
      <c r="M73" s="28" t="s">
        <v>109</v>
      </c>
      <c r="N73" s="28" t="s">
        <v>2065</v>
      </c>
      <c r="O73" s="32" t="n">
        <v>46064.3469328704</v>
      </c>
      <c r="P73" s="33" t="n">
        <v>46064.3469328704</v>
      </c>
      <c r="Q73" s="32" t="n">
        <v>46064.3469328704</v>
      </c>
      <c r="R73" s="28" t="s">
        <v>2299</v>
      </c>
      <c r="S73" s="34" t="n">
        <v>47776</v>
      </c>
    </row>
    <row r="74" customFormat="false" ht="14.25" hidden="false" customHeight="false" outlineLevel="0" collapsed="false">
      <c r="A74" s="28" t="s">
        <v>2251</v>
      </c>
      <c r="B74" s="28" t="s">
        <v>14</v>
      </c>
      <c r="C74" s="28" t="s">
        <v>2296</v>
      </c>
      <c r="D74" s="28" t="s">
        <v>2297</v>
      </c>
      <c r="E74" s="28" t="s">
        <v>2057</v>
      </c>
      <c r="F74" s="28" t="s">
        <v>2164</v>
      </c>
      <c r="G74" s="28" t="s">
        <v>772</v>
      </c>
      <c r="H74" s="28" t="s">
        <v>2301</v>
      </c>
      <c r="I74" s="28" t="s">
        <v>2142</v>
      </c>
      <c r="J74" s="28" t="n">
        <v>4</v>
      </c>
      <c r="K74" s="28" t="n">
        <v>21</v>
      </c>
      <c r="L74" s="28" t="s">
        <v>2230</v>
      </c>
      <c r="M74" s="28" t="s">
        <v>109</v>
      </c>
      <c r="N74" s="28" t="s">
        <v>2065</v>
      </c>
      <c r="O74" s="32" t="n">
        <v>46064.3467939815</v>
      </c>
      <c r="P74" s="33" t="n">
        <v>46064.3467939815</v>
      </c>
      <c r="Q74" s="32" t="n">
        <v>46064.3467939815</v>
      </c>
      <c r="R74" s="28" t="s">
        <v>2299</v>
      </c>
      <c r="S74" s="34" t="n">
        <v>47776</v>
      </c>
    </row>
    <row r="75" customFormat="false" ht="14.25" hidden="false" customHeight="false" outlineLevel="0" collapsed="false">
      <c r="A75" s="28" t="s">
        <v>2251</v>
      </c>
      <c r="B75" s="28" t="s">
        <v>14</v>
      </c>
      <c r="C75" s="28" t="s">
        <v>2296</v>
      </c>
      <c r="D75" s="28" t="s">
        <v>2297</v>
      </c>
      <c r="E75" s="28" t="s">
        <v>2057</v>
      </c>
      <c r="F75" s="28" t="s">
        <v>2164</v>
      </c>
      <c r="G75" s="28" t="s">
        <v>772</v>
      </c>
      <c r="H75" s="28" t="s">
        <v>2302</v>
      </c>
      <c r="I75" s="28" t="s">
        <v>2142</v>
      </c>
      <c r="J75" s="28" t="n">
        <v>4</v>
      </c>
      <c r="K75" s="28" t="n">
        <v>21</v>
      </c>
      <c r="L75" s="28" t="s">
        <v>2230</v>
      </c>
      <c r="M75" s="28" t="s">
        <v>109</v>
      </c>
      <c r="N75" s="28" t="s">
        <v>2065</v>
      </c>
      <c r="O75" s="32" t="n">
        <v>46064.3466319444</v>
      </c>
      <c r="P75" s="33" t="n">
        <v>46064.3466319444</v>
      </c>
      <c r="Q75" s="32" t="n">
        <v>46064.3466319444</v>
      </c>
      <c r="R75" s="28" t="s">
        <v>2299</v>
      </c>
      <c r="S75" s="34" t="n">
        <v>47776</v>
      </c>
    </row>
    <row r="76" customFormat="false" ht="14.25" hidden="false" customHeight="false" outlineLevel="0" collapsed="false">
      <c r="A76" s="28" t="s">
        <v>2251</v>
      </c>
      <c r="B76" s="28" t="s">
        <v>14</v>
      </c>
      <c r="C76" s="28" t="s">
        <v>2296</v>
      </c>
      <c r="D76" s="28" t="s">
        <v>2297</v>
      </c>
      <c r="E76" s="28" t="s">
        <v>2057</v>
      </c>
      <c r="F76" s="28" t="s">
        <v>2164</v>
      </c>
      <c r="G76" s="28" t="s">
        <v>772</v>
      </c>
      <c r="H76" s="28" t="s">
        <v>2303</v>
      </c>
      <c r="I76" s="28" t="s">
        <v>2142</v>
      </c>
      <c r="J76" s="28" t="n">
        <v>4</v>
      </c>
      <c r="K76" s="28" t="n">
        <v>21</v>
      </c>
      <c r="L76" s="28" t="s">
        <v>2230</v>
      </c>
      <c r="M76" s="28" t="s">
        <v>109</v>
      </c>
      <c r="N76" s="28" t="s">
        <v>2065</v>
      </c>
      <c r="O76" s="32" t="n">
        <v>46064.3463541667</v>
      </c>
      <c r="P76" s="33" t="n">
        <v>46064.3463541667</v>
      </c>
      <c r="Q76" s="32" t="n">
        <v>46064.3463541667</v>
      </c>
      <c r="R76" s="28" t="s">
        <v>2299</v>
      </c>
      <c r="S76" s="34" t="n">
        <v>47776</v>
      </c>
    </row>
    <row r="77" customFormat="false" ht="14.25" hidden="false" customHeight="false" outlineLevel="0" collapsed="false">
      <c r="A77" s="28" t="s">
        <v>2251</v>
      </c>
      <c r="B77" s="28" t="s">
        <v>14</v>
      </c>
      <c r="C77" s="28" t="s">
        <v>2296</v>
      </c>
      <c r="D77" s="28" t="s">
        <v>2297</v>
      </c>
      <c r="E77" s="28" t="s">
        <v>2057</v>
      </c>
      <c r="F77" s="28" t="s">
        <v>2164</v>
      </c>
      <c r="G77" s="28" t="s">
        <v>772</v>
      </c>
      <c r="H77" s="28" t="s">
        <v>2304</v>
      </c>
      <c r="I77" s="28" t="s">
        <v>2142</v>
      </c>
      <c r="J77" s="28" t="n">
        <v>4</v>
      </c>
      <c r="K77" s="28" t="n">
        <v>4</v>
      </c>
      <c r="L77" s="28" t="s">
        <v>2230</v>
      </c>
      <c r="M77" s="28" t="s">
        <v>109</v>
      </c>
      <c r="N77" s="28" t="s">
        <v>2065</v>
      </c>
      <c r="O77" s="32" t="n">
        <v>46064.3461689815</v>
      </c>
      <c r="P77" s="33" t="n">
        <v>46064.3461689815</v>
      </c>
      <c r="Q77" s="32" t="n">
        <v>46064.3461689815</v>
      </c>
      <c r="R77" s="28" t="s">
        <v>2305</v>
      </c>
      <c r="S77" s="34" t="n">
        <v>47776</v>
      </c>
    </row>
    <row r="78" customFormat="false" ht="14.25" hidden="false" customHeight="false" outlineLevel="0" collapsed="false">
      <c r="A78" s="28" t="s">
        <v>2251</v>
      </c>
      <c r="B78" s="28" t="s">
        <v>14</v>
      </c>
      <c r="C78" s="28" t="s">
        <v>2296</v>
      </c>
      <c r="D78" s="28" t="s">
        <v>2297</v>
      </c>
      <c r="E78" s="28" t="s">
        <v>2057</v>
      </c>
      <c r="F78" s="28" t="s">
        <v>2164</v>
      </c>
      <c r="G78" s="28" t="s">
        <v>772</v>
      </c>
      <c r="H78" s="28" t="s">
        <v>2306</v>
      </c>
      <c r="I78" s="28" t="s">
        <v>2142</v>
      </c>
      <c r="J78" s="28" t="n">
        <v>4</v>
      </c>
      <c r="K78" s="28" t="n">
        <v>21</v>
      </c>
      <c r="L78" s="28" t="s">
        <v>2230</v>
      </c>
      <c r="M78" s="28" t="s">
        <v>109</v>
      </c>
      <c r="N78" s="28" t="s">
        <v>2065</v>
      </c>
      <c r="O78" s="32" t="n">
        <v>46064.3459953704</v>
      </c>
      <c r="P78" s="33" t="n">
        <v>46064.3459953704</v>
      </c>
      <c r="Q78" s="32" t="n">
        <v>46064.3459953704</v>
      </c>
      <c r="R78" s="28" t="s">
        <v>2299</v>
      </c>
      <c r="S78" s="34" t="n">
        <v>47776</v>
      </c>
    </row>
    <row r="79" customFormat="false" ht="14.25" hidden="false" customHeight="false" outlineLevel="0" collapsed="false">
      <c r="A79" s="28" t="s">
        <v>2251</v>
      </c>
      <c r="B79" s="28" t="s">
        <v>14</v>
      </c>
      <c r="C79" s="28" t="s">
        <v>2296</v>
      </c>
      <c r="D79" s="28" t="s">
        <v>2297</v>
      </c>
      <c r="E79" s="28" t="s">
        <v>2057</v>
      </c>
      <c r="F79" s="28" t="s">
        <v>2203</v>
      </c>
      <c r="G79" s="28" t="s">
        <v>170</v>
      </c>
      <c r="H79" s="28" t="s">
        <v>2307</v>
      </c>
      <c r="I79" s="28" t="s">
        <v>2205</v>
      </c>
      <c r="J79" s="28" t="n">
        <v>23</v>
      </c>
      <c r="K79" s="28" t="n">
        <v>23</v>
      </c>
      <c r="L79" s="28" t="s">
        <v>2230</v>
      </c>
      <c r="M79" s="28" t="s">
        <v>109</v>
      </c>
      <c r="N79" s="28" t="s">
        <v>2065</v>
      </c>
      <c r="O79" s="32" t="n">
        <v>46064.3456365741</v>
      </c>
      <c r="P79" s="33" t="n">
        <v>46064.3456365741</v>
      </c>
      <c r="Q79" s="32" t="n">
        <v>46064.3456365741</v>
      </c>
      <c r="R79" s="28" t="s">
        <v>2308</v>
      </c>
      <c r="S79" s="34" t="n">
        <v>47833</v>
      </c>
    </row>
    <row r="80" customFormat="false" ht="14.25" hidden="false" customHeight="false" outlineLevel="0" collapsed="false">
      <c r="A80" s="28" t="s">
        <v>2251</v>
      </c>
      <c r="B80" s="28" t="s">
        <v>14</v>
      </c>
      <c r="C80" s="28" t="s">
        <v>2309</v>
      </c>
      <c r="D80" s="28" t="s">
        <v>2229</v>
      </c>
      <c r="E80" s="28" t="s">
        <v>2057</v>
      </c>
      <c r="F80" s="28" t="s">
        <v>2278</v>
      </c>
      <c r="G80" s="28" t="s">
        <v>831</v>
      </c>
      <c r="H80" s="28" t="s">
        <v>2279</v>
      </c>
      <c r="I80" s="28" t="s">
        <v>2205</v>
      </c>
      <c r="J80" s="28" t="n">
        <v>2</v>
      </c>
      <c r="K80" s="28" t="n">
        <v>12</v>
      </c>
      <c r="L80" s="28" t="s">
        <v>2230</v>
      </c>
      <c r="M80" s="28" t="s">
        <v>1400</v>
      </c>
      <c r="N80" s="28" t="s">
        <v>2065</v>
      </c>
      <c r="O80" s="32" t="n">
        <v>46061.6539583333</v>
      </c>
      <c r="P80" s="33" t="n">
        <v>46061.6539583333</v>
      </c>
      <c r="Q80" s="32" t="n">
        <v>46061.6539583333</v>
      </c>
      <c r="R80" s="28" t="s">
        <v>2280</v>
      </c>
      <c r="S80" s="34" t="n">
        <v>47868</v>
      </c>
    </row>
    <row r="81" customFormat="false" ht="14.25" hidden="false" customHeight="false" outlineLevel="0" collapsed="false">
      <c r="A81" s="28" t="s">
        <v>2251</v>
      </c>
      <c r="B81" s="28" t="s">
        <v>14</v>
      </c>
      <c r="C81" s="28" t="s">
        <v>2309</v>
      </c>
      <c r="D81" s="28" t="s">
        <v>2229</v>
      </c>
      <c r="E81" s="28" t="s">
        <v>2057</v>
      </c>
      <c r="F81" s="28" t="s">
        <v>2278</v>
      </c>
      <c r="G81" s="28" t="s">
        <v>831</v>
      </c>
      <c r="H81" s="28" t="s">
        <v>2279</v>
      </c>
      <c r="I81" s="28" t="s">
        <v>2205</v>
      </c>
      <c r="J81" s="28" t="n">
        <v>10</v>
      </c>
      <c r="K81" s="28" t="n">
        <v>12</v>
      </c>
      <c r="L81" s="28" t="s">
        <v>2230</v>
      </c>
      <c r="M81" s="28" t="s">
        <v>1400</v>
      </c>
      <c r="N81" s="28" t="s">
        <v>2065</v>
      </c>
      <c r="O81" s="32" t="n">
        <v>46061.6539583333</v>
      </c>
      <c r="P81" s="33" t="n">
        <v>46061.6539583333</v>
      </c>
      <c r="Q81" s="32" t="n">
        <v>46061.6539583333</v>
      </c>
      <c r="R81" s="28" t="s">
        <v>2280</v>
      </c>
      <c r="S81" s="34" t="n">
        <v>47868</v>
      </c>
    </row>
    <row r="82" customFormat="false" ht="14.25" hidden="false" customHeight="false" outlineLevel="0" collapsed="false">
      <c r="A82" s="28" t="s">
        <v>2251</v>
      </c>
      <c r="B82" s="28" t="s">
        <v>14</v>
      </c>
      <c r="C82" s="28" t="s">
        <v>2310</v>
      </c>
      <c r="D82" s="28" t="s">
        <v>2311</v>
      </c>
      <c r="E82" s="28" t="s">
        <v>2057</v>
      </c>
      <c r="F82" s="28" t="s">
        <v>2203</v>
      </c>
      <c r="G82" s="28" t="s">
        <v>170</v>
      </c>
      <c r="H82" s="28" t="s">
        <v>2307</v>
      </c>
      <c r="I82" s="28" t="s">
        <v>2205</v>
      </c>
      <c r="J82" s="28" t="n">
        <v>29</v>
      </c>
      <c r="K82" s="28" t="n">
        <v>185</v>
      </c>
      <c r="L82" s="28" t="s">
        <v>2312</v>
      </c>
      <c r="M82" s="28" t="s">
        <v>109</v>
      </c>
      <c r="N82" s="28" t="s">
        <v>2058</v>
      </c>
      <c r="O82" s="32" t="n">
        <v>46056.6479398148</v>
      </c>
      <c r="P82" s="33" t="n">
        <v>46056.6479398148</v>
      </c>
      <c r="Q82" s="32" t="n">
        <v>46056.6479398148</v>
      </c>
      <c r="R82" s="28" t="s">
        <v>2308</v>
      </c>
      <c r="S82" s="34" t="n">
        <v>47833</v>
      </c>
    </row>
    <row r="83" customFormat="false" ht="14.25" hidden="false" customHeight="false" outlineLevel="0" collapsed="false">
      <c r="A83" s="28" t="s">
        <v>2251</v>
      </c>
      <c r="B83" s="28" t="s">
        <v>14</v>
      </c>
      <c r="C83" s="28" t="s">
        <v>2310</v>
      </c>
      <c r="D83" s="28" t="s">
        <v>2311</v>
      </c>
      <c r="E83" s="28" t="s">
        <v>2057</v>
      </c>
      <c r="F83" s="28" t="s">
        <v>2203</v>
      </c>
      <c r="G83" s="28" t="s">
        <v>170</v>
      </c>
      <c r="H83" s="28" t="s">
        <v>2307</v>
      </c>
      <c r="I83" s="28" t="s">
        <v>2205</v>
      </c>
      <c r="J83" s="28" t="n">
        <v>52</v>
      </c>
      <c r="K83" s="28" t="n">
        <v>185</v>
      </c>
      <c r="L83" s="28" t="s">
        <v>2312</v>
      </c>
      <c r="M83" s="28" t="s">
        <v>109</v>
      </c>
      <c r="N83" s="28" t="s">
        <v>2058</v>
      </c>
      <c r="O83" s="32" t="n">
        <v>46056.647650463</v>
      </c>
      <c r="P83" s="33" t="n">
        <v>46056.647650463</v>
      </c>
      <c r="Q83" s="32" t="n">
        <v>46056.647650463</v>
      </c>
      <c r="R83" s="28" t="s">
        <v>2308</v>
      </c>
      <c r="S83" s="34" t="n">
        <v>47833</v>
      </c>
    </row>
    <row r="84" customFormat="false" ht="14.25" hidden="false" customHeight="false" outlineLevel="0" collapsed="false">
      <c r="A84" s="28" t="s">
        <v>2251</v>
      </c>
      <c r="B84" s="28" t="s">
        <v>14</v>
      </c>
      <c r="C84" s="28" t="s">
        <v>2310</v>
      </c>
      <c r="D84" s="28" t="s">
        <v>2311</v>
      </c>
      <c r="E84" s="28" t="s">
        <v>2057</v>
      </c>
      <c r="F84" s="28" t="s">
        <v>2203</v>
      </c>
      <c r="G84" s="28" t="s">
        <v>170</v>
      </c>
      <c r="H84" s="28" t="s">
        <v>2307</v>
      </c>
      <c r="I84" s="28" t="s">
        <v>2205</v>
      </c>
      <c r="J84" s="28" t="n">
        <v>52</v>
      </c>
      <c r="K84" s="28" t="n">
        <v>185</v>
      </c>
      <c r="L84" s="28" t="s">
        <v>2312</v>
      </c>
      <c r="M84" s="28" t="s">
        <v>109</v>
      </c>
      <c r="N84" s="28" t="s">
        <v>2058</v>
      </c>
      <c r="O84" s="32" t="n">
        <v>46056.6389699074</v>
      </c>
      <c r="P84" s="33" t="n">
        <v>46056.6389699074</v>
      </c>
      <c r="Q84" s="32" t="n">
        <v>46056.6389699074</v>
      </c>
      <c r="R84" s="28" t="s">
        <v>2308</v>
      </c>
      <c r="S84" s="34" t="n">
        <v>47833</v>
      </c>
    </row>
    <row r="85" customFormat="false" ht="14.25" hidden="false" customHeight="false" outlineLevel="0" collapsed="false">
      <c r="A85" s="28" t="s">
        <v>2251</v>
      </c>
      <c r="B85" s="28" t="s">
        <v>14</v>
      </c>
      <c r="C85" s="28" t="s">
        <v>2310</v>
      </c>
      <c r="D85" s="28" t="s">
        <v>2311</v>
      </c>
      <c r="E85" s="28" t="s">
        <v>2057</v>
      </c>
      <c r="F85" s="28" t="s">
        <v>2203</v>
      </c>
      <c r="G85" s="28" t="s">
        <v>170</v>
      </c>
      <c r="H85" s="28" t="s">
        <v>2307</v>
      </c>
      <c r="I85" s="28" t="s">
        <v>2205</v>
      </c>
      <c r="J85" s="28" t="n">
        <v>52</v>
      </c>
      <c r="K85" s="28" t="n">
        <v>185</v>
      </c>
      <c r="L85" s="28" t="s">
        <v>2312</v>
      </c>
      <c r="M85" s="28" t="s">
        <v>109</v>
      </c>
      <c r="N85" s="28" t="s">
        <v>2058</v>
      </c>
      <c r="O85" s="32" t="n">
        <v>46056.6387731481</v>
      </c>
      <c r="P85" s="33" t="n">
        <v>46056.6387731481</v>
      </c>
      <c r="Q85" s="32" t="n">
        <v>46056.6387731481</v>
      </c>
      <c r="R85" s="28" t="s">
        <v>2308</v>
      </c>
      <c r="S85" s="34" t="n">
        <v>47833</v>
      </c>
    </row>
    <row r="86" customFormat="false" ht="14.25" hidden="false" customHeight="false" outlineLevel="0" collapsed="false">
      <c r="A86" s="28" t="s">
        <v>2251</v>
      </c>
      <c r="B86" s="28" t="s">
        <v>14</v>
      </c>
      <c r="C86" s="28" t="s">
        <v>2310</v>
      </c>
      <c r="D86" s="28" t="s">
        <v>2311</v>
      </c>
      <c r="E86" s="28" t="s">
        <v>2057</v>
      </c>
      <c r="F86" s="28" t="s">
        <v>2203</v>
      </c>
      <c r="G86" s="28" t="s">
        <v>170</v>
      </c>
      <c r="H86" s="28" t="s">
        <v>2313</v>
      </c>
      <c r="I86" s="28" t="s">
        <v>2205</v>
      </c>
      <c r="J86" s="28" t="n">
        <v>52</v>
      </c>
      <c r="K86" s="28" t="n">
        <v>52</v>
      </c>
      <c r="L86" s="28" t="s">
        <v>2312</v>
      </c>
      <c r="M86" s="28" t="s">
        <v>109</v>
      </c>
      <c r="N86" s="28" t="s">
        <v>2058</v>
      </c>
      <c r="O86" s="32" t="n">
        <v>46056.6384953704</v>
      </c>
      <c r="P86" s="33" t="n">
        <v>46056.6384953704</v>
      </c>
      <c r="Q86" s="32" t="n">
        <v>46056.6384953704</v>
      </c>
      <c r="R86" s="28" t="s">
        <v>2314</v>
      </c>
      <c r="S86" s="34" t="n">
        <v>47771</v>
      </c>
    </row>
    <row r="87" customFormat="false" ht="14.25" hidden="false" customHeight="false" outlineLevel="0" collapsed="false">
      <c r="A87" s="28" t="s">
        <v>2251</v>
      </c>
      <c r="B87" s="28" t="s">
        <v>14</v>
      </c>
      <c r="C87" s="28" t="s">
        <v>2310</v>
      </c>
      <c r="D87" s="28" t="s">
        <v>2311</v>
      </c>
      <c r="E87" s="28" t="s">
        <v>2057</v>
      </c>
      <c r="F87" s="28" t="s">
        <v>2203</v>
      </c>
      <c r="G87" s="28" t="s">
        <v>170</v>
      </c>
      <c r="H87" s="28" t="s">
        <v>2313</v>
      </c>
      <c r="I87" s="28" t="s">
        <v>2205</v>
      </c>
      <c r="J87" s="28" t="n">
        <v>52</v>
      </c>
      <c r="K87" s="28" t="n">
        <v>260</v>
      </c>
      <c r="L87" s="28" t="s">
        <v>2312</v>
      </c>
      <c r="M87" s="28" t="s">
        <v>109</v>
      </c>
      <c r="N87" s="28" t="s">
        <v>2058</v>
      </c>
      <c r="O87" s="32" t="n">
        <v>46056.6380902778</v>
      </c>
      <c r="P87" s="33" t="n">
        <v>46056.6380902778</v>
      </c>
      <c r="Q87" s="32" t="n">
        <v>46056.6380902778</v>
      </c>
      <c r="R87" s="28" t="s">
        <v>2206</v>
      </c>
      <c r="S87" s="34" t="n">
        <v>47756</v>
      </c>
    </row>
    <row r="88" customFormat="false" ht="14.25" hidden="false" customHeight="false" outlineLevel="0" collapsed="false">
      <c r="A88" s="28" t="s">
        <v>2251</v>
      </c>
      <c r="B88" s="28" t="s">
        <v>14</v>
      </c>
      <c r="C88" s="28" t="s">
        <v>2310</v>
      </c>
      <c r="D88" s="28" t="s">
        <v>2311</v>
      </c>
      <c r="E88" s="28" t="s">
        <v>2057</v>
      </c>
      <c r="F88" s="28" t="s">
        <v>2203</v>
      </c>
      <c r="G88" s="28" t="s">
        <v>170</v>
      </c>
      <c r="H88" s="28" t="s">
        <v>2313</v>
      </c>
      <c r="I88" s="28" t="s">
        <v>2205</v>
      </c>
      <c r="J88" s="28" t="n">
        <v>52</v>
      </c>
      <c r="K88" s="28" t="n">
        <v>260</v>
      </c>
      <c r="L88" s="28" t="s">
        <v>2312</v>
      </c>
      <c r="M88" s="28" t="s">
        <v>109</v>
      </c>
      <c r="N88" s="28" t="s">
        <v>2058</v>
      </c>
      <c r="O88" s="32" t="n">
        <v>46056.6378125</v>
      </c>
      <c r="P88" s="33" t="n">
        <v>46056.6378125</v>
      </c>
      <c r="Q88" s="32" t="n">
        <v>46056.6378125</v>
      </c>
      <c r="R88" s="28" t="s">
        <v>2206</v>
      </c>
      <c r="S88" s="34" t="n">
        <v>47756</v>
      </c>
    </row>
    <row r="89" customFormat="false" ht="14.25" hidden="false" customHeight="false" outlineLevel="0" collapsed="false">
      <c r="A89" s="28" t="s">
        <v>2251</v>
      </c>
      <c r="B89" s="28" t="s">
        <v>14</v>
      </c>
      <c r="C89" s="28" t="s">
        <v>2310</v>
      </c>
      <c r="D89" s="28" t="s">
        <v>2311</v>
      </c>
      <c r="E89" s="28" t="s">
        <v>2057</v>
      </c>
      <c r="F89" s="28" t="s">
        <v>2203</v>
      </c>
      <c r="G89" s="28" t="s">
        <v>170</v>
      </c>
      <c r="H89" s="28" t="s">
        <v>2313</v>
      </c>
      <c r="I89" s="28" t="s">
        <v>2205</v>
      </c>
      <c r="J89" s="28" t="n">
        <v>52</v>
      </c>
      <c r="K89" s="28" t="n">
        <v>260</v>
      </c>
      <c r="L89" s="28" t="s">
        <v>2312</v>
      </c>
      <c r="M89" s="28" t="s">
        <v>109</v>
      </c>
      <c r="N89" s="28" t="s">
        <v>2058</v>
      </c>
      <c r="O89" s="32" t="n">
        <v>46056.6375925926</v>
      </c>
      <c r="P89" s="33" t="n">
        <v>46056.6375925926</v>
      </c>
      <c r="Q89" s="32" t="n">
        <v>46056.6375925926</v>
      </c>
      <c r="R89" s="28" t="s">
        <v>2206</v>
      </c>
      <c r="S89" s="34" t="n">
        <v>47756</v>
      </c>
    </row>
    <row r="90" customFormat="false" ht="14.25" hidden="false" customHeight="false" outlineLevel="0" collapsed="false">
      <c r="A90" s="28" t="s">
        <v>2251</v>
      </c>
      <c r="B90" s="28" t="s">
        <v>14</v>
      </c>
      <c r="C90" s="28" t="s">
        <v>2310</v>
      </c>
      <c r="D90" s="28" t="s">
        <v>2311</v>
      </c>
      <c r="E90" s="28" t="s">
        <v>2057</v>
      </c>
      <c r="F90" s="28" t="s">
        <v>2203</v>
      </c>
      <c r="G90" s="28" t="s">
        <v>170</v>
      </c>
      <c r="H90" s="28" t="s">
        <v>2313</v>
      </c>
      <c r="I90" s="28" t="s">
        <v>2205</v>
      </c>
      <c r="J90" s="28" t="n">
        <v>52</v>
      </c>
      <c r="K90" s="28" t="n">
        <v>260</v>
      </c>
      <c r="L90" s="28" t="s">
        <v>2312</v>
      </c>
      <c r="M90" s="28" t="s">
        <v>109</v>
      </c>
      <c r="N90" s="28" t="s">
        <v>2058</v>
      </c>
      <c r="O90" s="32" t="n">
        <v>46056.6372106482</v>
      </c>
      <c r="P90" s="33" t="n">
        <v>46056.6372106482</v>
      </c>
      <c r="Q90" s="32" t="n">
        <v>46056.6372106482</v>
      </c>
      <c r="R90" s="28" t="s">
        <v>2206</v>
      </c>
      <c r="S90" s="34" t="n">
        <v>47756</v>
      </c>
    </row>
    <row r="91" customFormat="false" ht="14.25" hidden="false" customHeight="false" outlineLevel="0" collapsed="false">
      <c r="A91" s="28" t="s">
        <v>2251</v>
      </c>
      <c r="B91" s="28" t="s">
        <v>14</v>
      </c>
      <c r="C91" s="28" t="s">
        <v>2310</v>
      </c>
      <c r="D91" s="28" t="s">
        <v>2311</v>
      </c>
      <c r="E91" s="28" t="s">
        <v>2057</v>
      </c>
      <c r="F91" s="28" t="s">
        <v>2203</v>
      </c>
      <c r="G91" s="28" t="s">
        <v>170</v>
      </c>
      <c r="H91" s="28" t="s">
        <v>2315</v>
      </c>
      <c r="I91" s="28" t="s">
        <v>2205</v>
      </c>
      <c r="J91" s="28" t="n">
        <v>52</v>
      </c>
      <c r="K91" s="28" t="n">
        <v>260</v>
      </c>
      <c r="L91" s="28" t="s">
        <v>2312</v>
      </c>
      <c r="M91" s="28" t="s">
        <v>109</v>
      </c>
      <c r="N91" s="28" t="s">
        <v>2058</v>
      </c>
      <c r="O91" s="32" t="n">
        <v>46056.6369212963</v>
      </c>
      <c r="P91" s="33" t="n">
        <v>46056.6369212963</v>
      </c>
      <c r="Q91" s="32" t="n">
        <v>46056.6369212963</v>
      </c>
      <c r="R91" s="28" t="s">
        <v>2206</v>
      </c>
      <c r="S91" s="34" t="n">
        <v>47756</v>
      </c>
    </row>
    <row r="92" customFormat="false" ht="14.25" hidden="false" customHeight="false" outlineLevel="0" collapsed="false">
      <c r="A92" s="28" t="s">
        <v>2251</v>
      </c>
      <c r="B92" s="28" t="s">
        <v>14</v>
      </c>
      <c r="C92" s="28" t="s">
        <v>2310</v>
      </c>
      <c r="D92" s="28" t="s">
        <v>2311</v>
      </c>
      <c r="E92" s="28" t="s">
        <v>2057</v>
      </c>
      <c r="F92" s="28" t="s">
        <v>2203</v>
      </c>
      <c r="G92" s="28" t="s">
        <v>170</v>
      </c>
      <c r="H92" s="28" t="s">
        <v>2279</v>
      </c>
      <c r="I92" s="28" t="s">
        <v>2205</v>
      </c>
      <c r="J92" s="28" t="n">
        <v>52</v>
      </c>
      <c r="K92" s="28" t="n">
        <v>104</v>
      </c>
      <c r="L92" s="28" t="s">
        <v>2312</v>
      </c>
      <c r="M92" s="28" t="s">
        <v>109</v>
      </c>
      <c r="N92" s="28" t="s">
        <v>2058</v>
      </c>
      <c r="O92" s="32" t="n">
        <v>46056.636712963</v>
      </c>
      <c r="P92" s="33" t="n">
        <v>46056.636712963</v>
      </c>
      <c r="Q92" s="32" t="n">
        <v>46056.636712963</v>
      </c>
      <c r="R92" s="28" t="s">
        <v>2208</v>
      </c>
      <c r="S92" s="34" t="n">
        <v>47756</v>
      </c>
    </row>
    <row r="93" customFormat="false" ht="14.25" hidden="false" customHeight="false" outlineLevel="0" collapsed="false">
      <c r="A93" s="28" t="s">
        <v>2251</v>
      </c>
      <c r="B93" s="28" t="s">
        <v>14</v>
      </c>
      <c r="C93" s="28" t="s">
        <v>2310</v>
      </c>
      <c r="D93" s="28" t="s">
        <v>2311</v>
      </c>
      <c r="E93" s="28" t="s">
        <v>2057</v>
      </c>
      <c r="F93" s="28" t="s">
        <v>2203</v>
      </c>
      <c r="G93" s="28" t="s">
        <v>170</v>
      </c>
      <c r="H93" s="28" t="s">
        <v>2281</v>
      </c>
      <c r="I93" s="28" t="s">
        <v>2205</v>
      </c>
      <c r="J93" s="28" t="n">
        <v>52</v>
      </c>
      <c r="K93" s="28" t="n">
        <v>104</v>
      </c>
      <c r="L93" s="28" t="s">
        <v>2312</v>
      </c>
      <c r="M93" s="28" t="s">
        <v>109</v>
      </c>
      <c r="N93" s="28" t="s">
        <v>2058</v>
      </c>
      <c r="O93" s="32" t="n">
        <v>46056.6363194444</v>
      </c>
      <c r="P93" s="33" t="n">
        <v>46056.6363194444</v>
      </c>
      <c r="Q93" s="32" t="n">
        <v>46056.6363194444</v>
      </c>
      <c r="R93" s="28" t="s">
        <v>2208</v>
      </c>
      <c r="S93" s="34" t="n">
        <v>47756</v>
      </c>
    </row>
    <row r="94" customFormat="false" ht="14.25" hidden="false" customHeight="false" outlineLevel="0" collapsed="false">
      <c r="O94" s="32"/>
      <c r="P94" s="33"/>
      <c r="Q94" s="32"/>
      <c r="S94" s="34"/>
    </row>
    <row r="95" customFormat="false" ht="14.25" hidden="false" customHeight="false" outlineLevel="0" collapsed="false">
      <c r="O95" s="32"/>
      <c r="P95" s="33"/>
      <c r="Q95" s="32"/>
      <c r="S95" s="34"/>
    </row>
    <row r="96" customFormat="false" ht="14.25" hidden="false" customHeight="false" outlineLevel="0" collapsed="false">
      <c r="O96" s="32"/>
      <c r="P96" s="33"/>
      <c r="Q96" s="32"/>
      <c r="S96" s="34"/>
    </row>
    <row r="97" customFormat="false" ht="14.25" hidden="false" customHeight="false" outlineLevel="0" collapsed="false">
      <c r="O97" s="32"/>
      <c r="P97" s="33"/>
      <c r="Q97" s="32"/>
      <c r="S97" s="34"/>
    </row>
    <row r="98" customFormat="false" ht="14.25" hidden="false" customHeight="false" outlineLevel="0" collapsed="false">
      <c r="O98" s="32"/>
      <c r="P98" s="33"/>
      <c r="Q98" s="32"/>
      <c r="S98" s="34"/>
    </row>
    <row r="99" customFormat="false" ht="14.25" hidden="false" customHeight="false" outlineLevel="0" collapsed="false">
      <c r="O99" s="32"/>
      <c r="P99" s="33"/>
      <c r="Q99" s="32"/>
      <c r="S99" s="34"/>
    </row>
    <row r="100" customFormat="false" ht="14.25" hidden="false" customHeight="false" outlineLevel="0" collapsed="false">
      <c r="O100" s="32"/>
      <c r="P100" s="33"/>
      <c r="Q100" s="32"/>
      <c r="S100" s="34"/>
    </row>
    <row r="101" customFormat="false" ht="14.25" hidden="false" customHeight="false" outlineLevel="0" collapsed="false">
      <c r="O101" s="32"/>
      <c r="P101" s="33"/>
      <c r="Q101" s="32"/>
      <c r="S101" s="34"/>
    </row>
    <row r="102" customFormat="false" ht="14.25" hidden="false" customHeight="false" outlineLevel="0" collapsed="false">
      <c r="O102" s="32"/>
      <c r="P102" s="33"/>
      <c r="Q102" s="32"/>
      <c r="R102" s="34"/>
      <c r="S102" s="34"/>
    </row>
    <row r="103" customFormat="false" ht="14.25" hidden="false" customHeight="false" outlineLevel="0" collapsed="false">
      <c r="O103" s="32"/>
      <c r="P103" s="33"/>
      <c r="Q103" s="32"/>
      <c r="S103" s="34"/>
    </row>
    <row r="104" customFormat="false" ht="14.25" hidden="false" customHeight="false" outlineLevel="0" collapsed="false">
      <c r="O104" s="32"/>
      <c r="P104" s="33"/>
      <c r="Q104" s="32"/>
      <c r="S104" s="34"/>
    </row>
    <row r="105" customFormat="false" ht="14.25" hidden="false" customHeight="false" outlineLevel="0" collapsed="false">
      <c r="O105" s="32"/>
      <c r="P105" s="33"/>
      <c r="Q105" s="32"/>
      <c r="S105" s="34"/>
    </row>
    <row r="106" customFormat="false" ht="14.25" hidden="false" customHeight="false" outlineLevel="0" collapsed="false">
      <c r="O106" s="32"/>
      <c r="P106" s="33"/>
      <c r="Q106" s="32"/>
      <c r="S106" s="34"/>
    </row>
    <row r="107" customFormat="false" ht="14.25" hidden="false" customHeight="false" outlineLevel="0" collapsed="false">
      <c r="O107" s="32"/>
      <c r="P107" s="33"/>
      <c r="Q107" s="32"/>
      <c r="S107" s="34"/>
    </row>
    <row r="108" customFormat="false" ht="14.25" hidden="false" customHeight="false" outlineLevel="0" collapsed="false">
      <c r="O108" s="32"/>
      <c r="P108" s="33"/>
      <c r="Q108" s="32"/>
      <c r="S108" s="34"/>
    </row>
    <row r="109" customFormat="false" ht="14.25" hidden="false" customHeight="false" outlineLevel="0" collapsed="false">
      <c r="O109" s="32"/>
      <c r="P109" s="33"/>
      <c r="Q109" s="32"/>
      <c r="S109" s="34"/>
    </row>
    <row r="110" customFormat="false" ht="14.25" hidden="false" customHeight="false" outlineLevel="0" collapsed="false">
      <c r="O110" s="32"/>
      <c r="P110" s="33"/>
      <c r="Q110" s="32"/>
      <c r="S110" s="34"/>
    </row>
    <row r="111" customFormat="false" ht="14.25" hidden="false" customHeight="false" outlineLevel="0" collapsed="false">
      <c r="O111" s="32"/>
      <c r="P111" s="33"/>
      <c r="Q111" s="32"/>
      <c r="S111" s="34"/>
    </row>
    <row r="112" customFormat="false" ht="14.25" hidden="false" customHeight="false" outlineLevel="0" collapsed="false">
      <c r="O112" s="32"/>
      <c r="P112" s="33"/>
      <c r="Q112" s="32"/>
      <c r="S112" s="34"/>
    </row>
    <row r="113" customFormat="false" ht="14.25" hidden="false" customHeight="false" outlineLevel="0" collapsed="false">
      <c r="O113" s="32"/>
      <c r="P113" s="33"/>
      <c r="Q113" s="32"/>
      <c r="S113" s="34"/>
    </row>
    <row r="114" customFormat="false" ht="14.25" hidden="false" customHeight="false" outlineLevel="0" collapsed="false">
      <c r="O114" s="32"/>
      <c r="P114" s="33"/>
      <c r="Q114" s="32"/>
      <c r="S114" s="34"/>
    </row>
    <row r="115" customFormat="false" ht="14.25" hidden="false" customHeight="false" outlineLevel="0" collapsed="false">
      <c r="O115" s="32"/>
      <c r="P115" s="33"/>
      <c r="Q115" s="32"/>
      <c r="S115" s="34"/>
    </row>
    <row r="116" customFormat="false" ht="14.25" hidden="false" customHeight="false" outlineLevel="0" collapsed="false">
      <c r="O116" s="32"/>
      <c r="P116" s="33"/>
      <c r="Q116" s="32"/>
      <c r="S116" s="34"/>
    </row>
    <row r="117" customFormat="false" ht="14.25" hidden="false" customHeight="false" outlineLevel="0" collapsed="false">
      <c r="O117" s="32"/>
      <c r="P117" s="33"/>
      <c r="Q117" s="32"/>
      <c r="S117" s="34"/>
    </row>
    <row r="118" customFormat="false" ht="14.25" hidden="false" customHeight="false" outlineLevel="0" collapsed="false">
      <c r="O118" s="32"/>
      <c r="P118" s="33"/>
      <c r="Q118" s="32"/>
      <c r="S118" s="34"/>
    </row>
    <row r="119" customFormat="false" ht="14.25" hidden="false" customHeight="false" outlineLevel="0" collapsed="false">
      <c r="O119" s="32"/>
      <c r="P119" s="33"/>
      <c r="Q119" s="32"/>
      <c r="S119" s="34"/>
    </row>
    <row r="120" customFormat="false" ht="14.25" hidden="false" customHeight="false" outlineLevel="0" collapsed="false">
      <c r="O120" s="32"/>
      <c r="P120" s="33"/>
      <c r="Q120" s="32"/>
      <c r="S120" s="34"/>
    </row>
    <row r="121" customFormat="false" ht="14.25" hidden="false" customHeight="false" outlineLevel="0" collapsed="false">
      <c r="O121" s="32"/>
      <c r="P121" s="33"/>
      <c r="Q121" s="32"/>
      <c r="S121" s="34"/>
    </row>
    <row r="122" customFormat="false" ht="14.25" hidden="false" customHeight="false" outlineLevel="0" collapsed="false">
      <c r="O122" s="32"/>
      <c r="P122" s="33"/>
      <c r="Q122" s="32"/>
      <c r="S122" s="34"/>
    </row>
    <row r="123" customFormat="false" ht="14.25" hidden="false" customHeight="false" outlineLevel="0" collapsed="false">
      <c r="O123" s="32"/>
      <c r="P123" s="33"/>
      <c r="Q123" s="32"/>
      <c r="S123" s="34"/>
    </row>
    <row r="124" customFormat="false" ht="14.25" hidden="false" customHeight="false" outlineLevel="0" collapsed="false">
      <c r="O124" s="32"/>
      <c r="P124" s="33"/>
      <c r="Q124" s="32"/>
      <c r="S124" s="34"/>
    </row>
    <row r="125" customFormat="false" ht="14.25" hidden="false" customHeight="false" outlineLevel="0" collapsed="false">
      <c r="O125" s="32"/>
      <c r="P125" s="33"/>
      <c r="Q125" s="32"/>
      <c r="S125" s="34"/>
    </row>
    <row r="126" customFormat="false" ht="14.25" hidden="false" customHeight="false" outlineLevel="0" collapsed="false">
      <c r="O126" s="32"/>
      <c r="P126" s="33"/>
      <c r="Q126" s="32"/>
      <c r="S126" s="34"/>
    </row>
    <row r="127" customFormat="false" ht="14.25" hidden="false" customHeight="false" outlineLevel="0" collapsed="false">
      <c r="O127" s="32"/>
      <c r="P127" s="33"/>
      <c r="Q127" s="32"/>
      <c r="S127" s="34"/>
    </row>
    <row r="128" customFormat="false" ht="14.25" hidden="false" customHeight="false" outlineLevel="0" collapsed="false">
      <c r="O128" s="32"/>
      <c r="P128" s="33"/>
      <c r="Q128" s="32"/>
      <c r="S128" s="34"/>
    </row>
    <row r="129" customFormat="false" ht="14.25" hidden="false" customHeight="false" outlineLevel="0" collapsed="false">
      <c r="O129" s="32"/>
      <c r="P129" s="33"/>
      <c r="Q129" s="32"/>
      <c r="S129" s="34"/>
    </row>
    <row r="130" customFormat="false" ht="14.25" hidden="false" customHeight="false" outlineLevel="0" collapsed="false">
      <c r="O130" s="32"/>
      <c r="P130" s="33"/>
      <c r="Q130" s="32"/>
      <c r="S130" s="34"/>
    </row>
    <row r="131" customFormat="false" ht="14.25" hidden="false" customHeight="false" outlineLevel="0" collapsed="false">
      <c r="O131" s="32"/>
      <c r="P131" s="33"/>
      <c r="Q131" s="32"/>
      <c r="S131" s="34"/>
    </row>
    <row r="132" customFormat="false" ht="14.25" hidden="false" customHeight="false" outlineLevel="0" collapsed="false">
      <c r="O132" s="32"/>
      <c r="P132" s="33"/>
      <c r="Q132" s="32"/>
      <c r="S132" s="34"/>
    </row>
    <row r="133" customFormat="false" ht="14.25" hidden="false" customHeight="false" outlineLevel="0" collapsed="false">
      <c r="O133" s="32"/>
      <c r="P133" s="33"/>
      <c r="Q133" s="32"/>
      <c r="S133" s="34"/>
    </row>
    <row r="134" customFormat="false" ht="14.25" hidden="false" customHeight="false" outlineLevel="0" collapsed="false">
      <c r="O134" s="32"/>
      <c r="P134" s="33"/>
      <c r="Q134" s="32"/>
      <c r="S134" s="34"/>
    </row>
    <row r="135" customFormat="false" ht="14.25" hidden="false" customHeight="false" outlineLevel="0" collapsed="false">
      <c r="O135" s="32"/>
      <c r="P135" s="33"/>
      <c r="Q135" s="32"/>
      <c r="S135" s="34"/>
    </row>
    <row r="136" customFormat="false" ht="14.25" hidden="false" customHeight="false" outlineLevel="0" collapsed="false">
      <c r="O136" s="32"/>
      <c r="P136" s="33"/>
      <c r="Q136" s="32"/>
      <c r="S136" s="34"/>
    </row>
    <row r="137" customFormat="false" ht="14.25" hidden="false" customHeight="false" outlineLevel="0" collapsed="false">
      <c r="O137" s="32"/>
      <c r="P137" s="33"/>
      <c r="Q137" s="32"/>
      <c r="S137" s="34"/>
    </row>
    <row r="138" customFormat="false" ht="14.25" hidden="false" customHeight="false" outlineLevel="0" collapsed="false">
      <c r="O138" s="32"/>
      <c r="P138" s="33"/>
      <c r="Q138" s="32"/>
      <c r="S138" s="34"/>
    </row>
    <row r="139" customFormat="false" ht="14.25" hidden="false" customHeight="false" outlineLevel="0" collapsed="false">
      <c r="O139" s="32"/>
      <c r="P139" s="33"/>
      <c r="Q139" s="32"/>
      <c r="S139" s="34"/>
    </row>
    <row r="140" customFormat="false" ht="14.25" hidden="false" customHeight="false" outlineLevel="0" collapsed="false">
      <c r="O140" s="32"/>
      <c r="P140" s="33"/>
      <c r="Q140" s="32"/>
      <c r="S140" s="34"/>
    </row>
    <row r="141" customFormat="false" ht="14.25" hidden="false" customHeight="false" outlineLevel="0" collapsed="false">
      <c r="O141" s="32"/>
      <c r="P141" s="33"/>
      <c r="Q141" s="32"/>
      <c r="S141" s="34"/>
    </row>
    <row r="142" customFormat="false" ht="14.25" hidden="false" customHeight="false" outlineLevel="0" collapsed="false">
      <c r="O142" s="32"/>
      <c r="P142" s="33"/>
      <c r="Q142" s="32"/>
      <c r="S142" s="34"/>
    </row>
    <row r="143" customFormat="false" ht="14.25" hidden="false" customHeight="false" outlineLevel="0" collapsed="false">
      <c r="O143" s="32"/>
      <c r="P143" s="33"/>
      <c r="Q143" s="32"/>
      <c r="S143" s="34"/>
    </row>
    <row r="144" customFormat="false" ht="14.25" hidden="false" customHeight="false" outlineLevel="0" collapsed="false">
      <c r="O144" s="32"/>
      <c r="P144" s="33"/>
      <c r="Q144" s="32"/>
      <c r="S144" s="34"/>
    </row>
    <row r="145" customFormat="false" ht="14.25" hidden="false" customHeight="false" outlineLevel="0" collapsed="false">
      <c r="O145" s="32"/>
      <c r="P145" s="33"/>
      <c r="Q145" s="32"/>
      <c r="S145" s="34"/>
    </row>
    <row r="146" customFormat="false" ht="14.25" hidden="false" customHeight="false" outlineLevel="0" collapsed="false">
      <c r="O146" s="32"/>
      <c r="P146" s="33"/>
      <c r="Q146" s="32"/>
      <c r="S146" s="34"/>
    </row>
    <row r="147" customFormat="false" ht="14.25" hidden="false" customHeight="false" outlineLevel="0" collapsed="false">
      <c r="O147" s="32"/>
      <c r="P147" s="33"/>
      <c r="Q147" s="32"/>
      <c r="S147" s="34"/>
    </row>
    <row r="148" customFormat="false" ht="14.25" hidden="false" customHeight="false" outlineLevel="0" collapsed="false">
      <c r="O148" s="32"/>
      <c r="P148" s="33"/>
      <c r="Q148" s="32"/>
      <c r="S148" s="34"/>
    </row>
    <row r="149" customFormat="false" ht="14.25" hidden="false" customHeight="false" outlineLevel="0" collapsed="false">
      <c r="O149" s="32"/>
      <c r="P149" s="33"/>
      <c r="Q149" s="32"/>
      <c r="S149" s="34"/>
    </row>
    <row r="150" customFormat="false" ht="14.25" hidden="false" customHeight="false" outlineLevel="0" collapsed="false">
      <c r="O150" s="32"/>
      <c r="P150" s="33"/>
      <c r="Q150" s="32"/>
      <c r="S150" s="34"/>
    </row>
    <row r="151" customFormat="false" ht="14.25" hidden="false" customHeight="false" outlineLevel="0" collapsed="false">
      <c r="O151" s="32"/>
      <c r="P151" s="33"/>
      <c r="Q151" s="32"/>
      <c r="S151" s="34"/>
    </row>
    <row r="152" customFormat="false" ht="14.25" hidden="false" customHeight="false" outlineLevel="0" collapsed="false">
      <c r="O152" s="32"/>
      <c r="P152" s="33"/>
      <c r="Q152" s="32"/>
      <c r="S152" s="34"/>
    </row>
    <row r="153" customFormat="false" ht="14.25" hidden="false" customHeight="false" outlineLevel="0" collapsed="false">
      <c r="O153" s="32"/>
      <c r="P153" s="33"/>
      <c r="Q153" s="32"/>
      <c r="S153" s="34"/>
    </row>
    <row r="154" customFormat="false" ht="14.25" hidden="false" customHeight="false" outlineLevel="0" collapsed="false">
      <c r="O154" s="32"/>
      <c r="P154" s="33"/>
      <c r="Q154" s="32"/>
      <c r="S154" s="34"/>
    </row>
    <row r="155" customFormat="false" ht="14.25" hidden="false" customHeight="false" outlineLevel="0" collapsed="false">
      <c r="O155" s="32"/>
      <c r="P155" s="33"/>
      <c r="Q155" s="32"/>
      <c r="S155" s="34"/>
    </row>
    <row r="156" customFormat="false" ht="14.25" hidden="false" customHeight="false" outlineLevel="0" collapsed="false">
      <c r="O156" s="32"/>
      <c r="P156" s="33"/>
      <c r="Q156" s="32"/>
      <c r="S156" s="34"/>
    </row>
    <row r="157" customFormat="false" ht="14.25" hidden="false" customHeight="false" outlineLevel="0" collapsed="false">
      <c r="O157" s="32"/>
      <c r="P157" s="33"/>
      <c r="Q157" s="32"/>
      <c r="R157" s="35"/>
      <c r="S157" s="34"/>
    </row>
    <row r="158" customFormat="false" ht="14.25" hidden="false" customHeight="false" outlineLevel="0" collapsed="false">
      <c r="O158" s="32"/>
      <c r="P158" s="33"/>
      <c r="Q158" s="32"/>
      <c r="S158" s="34"/>
    </row>
    <row r="159" customFormat="false" ht="14.25" hidden="false" customHeight="false" outlineLevel="0" collapsed="false">
      <c r="O159" s="32"/>
      <c r="P159" s="33"/>
      <c r="Q159" s="32"/>
      <c r="S159" s="34"/>
    </row>
    <row r="160" customFormat="false" ht="14.25" hidden="false" customHeight="false" outlineLevel="0" collapsed="false">
      <c r="O160" s="32"/>
      <c r="P160" s="33"/>
      <c r="Q160" s="32"/>
      <c r="S160" s="34"/>
    </row>
    <row r="161" customFormat="false" ht="14.25" hidden="false" customHeight="false" outlineLevel="0" collapsed="false">
      <c r="O161" s="32"/>
      <c r="P161" s="33"/>
      <c r="Q161" s="32"/>
      <c r="S161" s="34"/>
    </row>
    <row r="162" customFormat="false" ht="14.25" hidden="false" customHeight="false" outlineLevel="0" collapsed="false">
      <c r="O162" s="32"/>
      <c r="P162" s="33"/>
      <c r="Q162" s="32"/>
      <c r="S162" s="34"/>
    </row>
    <row r="163" customFormat="false" ht="14.25" hidden="false" customHeight="false" outlineLevel="0" collapsed="false">
      <c r="O163" s="32"/>
      <c r="P163" s="33"/>
      <c r="Q163" s="32"/>
      <c r="S163" s="34"/>
    </row>
    <row r="164" customFormat="false" ht="14.25" hidden="false" customHeight="false" outlineLevel="0" collapsed="false">
      <c r="O164" s="32"/>
      <c r="P164" s="33"/>
      <c r="Q164" s="32"/>
      <c r="S164" s="34"/>
    </row>
    <row r="165" customFormat="false" ht="14.25" hidden="false" customHeight="false" outlineLevel="0" collapsed="false">
      <c r="O165" s="32"/>
      <c r="P165" s="33"/>
      <c r="Q165" s="32"/>
      <c r="S165" s="34"/>
    </row>
    <row r="166" customFormat="false" ht="14.25" hidden="false" customHeight="false" outlineLevel="0" collapsed="false">
      <c r="O166" s="32"/>
      <c r="P166" s="33"/>
      <c r="Q166" s="32"/>
      <c r="S166" s="34"/>
    </row>
    <row r="167" customFormat="false" ht="14.25" hidden="false" customHeight="false" outlineLevel="0" collapsed="false">
      <c r="O167" s="32"/>
      <c r="P167" s="33"/>
      <c r="Q167" s="32"/>
      <c r="S167" s="34"/>
    </row>
    <row r="168" customFormat="false" ht="14.25" hidden="false" customHeight="false" outlineLevel="0" collapsed="false">
      <c r="O168" s="32"/>
      <c r="P168" s="33"/>
      <c r="Q168" s="32"/>
      <c r="S168" s="34"/>
    </row>
    <row r="169" customFormat="false" ht="14.25" hidden="false" customHeight="false" outlineLevel="0" collapsed="false">
      <c r="O169" s="32"/>
      <c r="P169" s="33"/>
      <c r="Q169" s="32"/>
      <c r="S169" s="34"/>
    </row>
    <row r="170" customFormat="false" ht="14.25" hidden="false" customHeight="false" outlineLevel="0" collapsed="false">
      <c r="O170" s="32"/>
      <c r="P170" s="33"/>
      <c r="Q170" s="32"/>
      <c r="R170" s="35"/>
      <c r="S170" s="34"/>
    </row>
    <row r="171" customFormat="false" ht="14.25" hidden="false" customHeight="false" outlineLevel="0" collapsed="false">
      <c r="O171" s="32"/>
      <c r="P171" s="33"/>
      <c r="Q171" s="32"/>
      <c r="S171" s="34"/>
    </row>
    <row r="172" customFormat="false" ht="14.25" hidden="false" customHeight="false" outlineLevel="0" collapsed="false">
      <c r="O172" s="32"/>
      <c r="P172" s="33"/>
      <c r="Q172" s="32"/>
      <c r="S172" s="34"/>
    </row>
    <row r="173" customFormat="false" ht="14.25" hidden="false" customHeight="false" outlineLevel="0" collapsed="false">
      <c r="O173" s="32"/>
      <c r="P173" s="33"/>
      <c r="Q173" s="32"/>
      <c r="S173" s="34"/>
    </row>
    <row r="174" customFormat="false" ht="14.25" hidden="false" customHeight="false" outlineLevel="0" collapsed="false">
      <c r="O174" s="32"/>
      <c r="P174" s="33"/>
      <c r="Q174" s="32"/>
      <c r="S174" s="34"/>
    </row>
    <row r="175" customFormat="false" ht="14.25" hidden="false" customHeight="false" outlineLevel="0" collapsed="false">
      <c r="O175" s="32"/>
      <c r="P175" s="33"/>
      <c r="Q175" s="32"/>
      <c r="S175" s="34"/>
    </row>
    <row r="176" customFormat="false" ht="14.25" hidden="false" customHeight="false" outlineLevel="0" collapsed="false">
      <c r="O176" s="32"/>
      <c r="P176" s="33"/>
      <c r="Q176" s="32"/>
      <c r="S176" s="34"/>
    </row>
    <row r="177" customFormat="false" ht="14.25" hidden="false" customHeight="false" outlineLevel="0" collapsed="false">
      <c r="O177" s="32"/>
      <c r="P177" s="33"/>
      <c r="Q177" s="32"/>
      <c r="S177" s="34"/>
    </row>
    <row r="178" customFormat="false" ht="14.25" hidden="false" customHeight="false" outlineLevel="0" collapsed="false">
      <c r="O178" s="32"/>
      <c r="P178" s="33"/>
      <c r="Q178" s="32"/>
      <c r="S178" s="34"/>
    </row>
    <row r="179" customFormat="false" ht="14.25" hidden="false" customHeight="false" outlineLevel="0" collapsed="false">
      <c r="O179" s="32"/>
      <c r="P179" s="33"/>
      <c r="Q179" s="32"/>
      <c r="S179" s="34"/>
    </row>
    <row r="180" customFormat="false" ht="14.25" hidden="false" customHeight="false" outlineLevel="0" collapsed="false">
      <c r="O180" s="32"/>
      <c r="P180" s="33"/>
      <c r="Q180" s="32"/>
      <c r="S180" s="34"/>
    </row>
    <row r="181" customFormat="false" ht="14.25" hidden="false" customHeight="false" outlineLevel="0" collapsed="false">
      <c r="O181" s="32"/>
      <c r="P181" s="33"/>
      <c r="Q181" s="32"/>
      <c r="S181" s="34"/>
    </row>
    <row r="182" customFormat="false" ht="14.25" hidden="false" customHeight="false" outlineLevel="0" collapsed="false">
      <c r="O182" s="32"/>
      <c r="P182" s="33"/>
      <c r="Q182" s="32"/>
      <c r="S182" s="34"/>
    </row>
    <row r="183" customFormat="false" ht="14.25" hidden="false" customHeight="false" outlineLevel="0" collapsed="false">
      <c r="O183" s="32"/>
      <c r="P183" s="33"/>
      <c r="Q183" s="32"/>
      <c r="S183" s="34"/>
    </row>
    <row r="184" customFormat="false" ht="14.25" hidden="false" customHeight="false" outlineLevel="0" collapsed="false">
      <c r="O184" s="32"/>
      <c r="P184" s="33"/>
      <c r="Q184" s="32"/>
      <c r="S184" s="34"/>
    </row>
    <row r="185" customFormat="false" ht="14.25" hidden="false" customHeight="false" outlineLevel="0" collapsed="false">
      <c r="O185" s="32"/>
      <c r="P185" s="33"/>
      <c r="Q185" s="32"/>
      <c r="S185" s="34"/>
    </row>
    <row r="186" customFormat="false" ht="14.25" hidden="false" customHeight="false" outlineLevel="0" collapsed="false">
      <c r="O186" s="32"/>
      <c r="P186" s="33"/>
      <c r="Q186" s="32"/>
      <c r="S186" s="34"/>
    </row>
    <row r="187" customFormat="false" ht="14.25" hidden="false" customHeight="false" outlineLevel="0" collapsed="false">
      <c r="O187" s="32"/>
      <c r="P187" s="33"/>
      <c r="Q187" s="32"/>
      <c r="S187" s="34"/>
    </row>
    <row r="188" customFormat="false" ht="14.25" hidden="false" customHeight="false" outlineLevel="0" collapsed="false">
      <c r="O188" s="32"/>
      <c r="P188" s="33"/>
      <c r="Q188" s="32"/>
      <c r="S188" s="34"/>
    </row>
    <row r="189" customFormat="false" ht="14.25" hidden="false" customHeight="false" outlineLevel="0" collapsed="false">
      <c r="O189" s="32"/>
      <c r="P189" s="33"/>
      <c r="Q189" s="32"/>
      <c r="S189" s="34"/>
    </row>
    <row r="190" customFormat="false" ht="14.25" hidden="false" customHeight="false" outlineLevel="0" collapsed="false">
      <c r="O190" s="32"/>
      <c r="P190" s="33"/>
      <c r="Q190" s="32"/>
      <c r="S190" s="34"/>
    </row>
    <row r="191" customFormat="false" ht="14.25" hidden="false" customHeight="false" outlineLevel="0" collapsed="false">
      <c r="O191" s="32"/>
      <c r="P191" s="33"/>
      <c r="Q191" s="32"/>
      <c r="S191" s="34"/>
    </row>
    <row r="192" customFormat="false" ht="14.25" hidden="false" customHeight="false" outlineLevel="0" collapsed="false">
      <c r="O192" s="32"/>
      <c r="P192" s="33"/>
      <c r="Q192" s="32"/>
      <c r="S192" s="34"/>
    </row>
    <row r="193" customFormat="false" ht="14.25" hidden="false" customHeight="false" outlineLevel="0" collapsed="false">
      <c r="O193" s="32"/>
      <c r="P193" s="33"/>
      <c r="Q193" s="32"/>
      <c r="S193" s="34"/>
    </row>
    <row r="194" customFormat="false" ht="14.25" hidden="false" customHeight="false" outlineLevel="0" collapsed="false">
      <c r="O194" s="32"/>
      <c r="P194" s="33"/>
      <c r="Q194" s="32"/>
      <c r="S194" s="34"/>
    </row>
    <row r="195" customFormat="false" ht="14.25" hidden="false" customHeight="false" outlineLevel="0" collapsed="false">
      <c r="O195" s="32"/>
      <c r="P195" s="33"/>
      <c r="Q195" s="32"/>
      <c r="S195" s="34"/>
    </row>
    <row r="196" customFormat="false" ht="14.25" hidden="false" customHeight="false" outlineLevel="0" collapsed="false">
      <c r="O196" s="32"/>
      <c r="P196" s="33"/>
      <c r="Q196" s="32"/>
      <c r="S196" s="34"/>
    </row>
    <row r="197" customFormat="false" ht="14.25" hidden="false" customHeight="false" outlineLevel="0" collapsed="false">
      <c r="O197" s="32"/>
      <c r="P197" s="33"/>
      <c r="Q197" s="32"/>
      <c r="S197" s="34"/>
    </row>
    <row r="198" customFormat="false" ht="14.25" hidden="false" customHeight="false" outlineLevel="0" collapsed="false">
      <c r="O198" s="32"/>
      <c r="P198" s="33"/>
      <c r="Q198" s="32"/>
      <c r="S198" s="34"/>
    </row>
    <row r="199" customFormat="false" ht="14.25" hidden="false" customHeight="false" outlineLevel="0" collapsed="false">
      <c r="O199" s="32"/>
      <c r="P199" s="33"/>
      <c r="Q199" s="32"/>
      <c r="S199" s="34"/>
    </row>
    <row r="200" customFormat="false" ht="14.25" hidden="false" customHeight="false" outlineLevel="0" collapsed="false">
      <c r="O200" s="32"/>
      <c r="P200" s="33"/>
      <c r="Q200" s="32"/>
      <c r="S200" s="34"/>
    </row>
    <row r="201" customFormat="false" ht="14.25" hidden="false" customHeight="false" outlineLevel="0" collapsed="false">
      <c r="O201" s="32"/>
      <c r="P201" s="33"/>
      <c r="Q201" s="32"/>
      <c r="R201" s="35"/>
      <c r="S201" s="34"/>
    </row>
    <row r="202" customFormat="false" ht="14.25" hidden="false" customHeight="false" outlineLevel="0" collapsed="false">
      <c r="O202" s="32"/>
      <c r="P202" s="33"/>
      <c r="Q202" s="32"/>
      <c r="R202" s="35"/>
      <c r="S202" s="34"/>
    </row>
    <row r="203" customFormat="false" ht="14.25" hidden="false" customHeight="false" outlineLevel="0" collapsed="false">
      <c r="O203" s="32"/>
      <c r="P203" s="33"/>
      <c r="Q203" s="32"/>
      <c r="S203" s="34"/>
    </row>
    <row r="204" customFormat="false" ht="14.25" hidden="false" customHeight="false" outlineLevel="0" collapsed="false">
      <c r="O204" s="32"/>
      <c r="P204" s="33"/>
      <c r="Q204" s="32"/>
      <c r="S204" s="34"/>
    </row>
    <row r="205" customFormat="false" ht="14.25" hidden="false" customHeight="false" outlineLevel="0" collapsed="false">
      <c r="O205" s="32"/>
      <c r="P205" s="33"/>
      <c r="Q205" s="32"/>
      <c r="S205" s="34"/>
    </row>
    <row r="206" customFormat="false" ht="14.25" hidden="false" customHeight="false" outlineLevel="0" collapsed="false">
      <c r="O206" s="32"/>
      <c r="P206" s="33"/>
      <c r="Q206" s="32"/>
      <c r="S206" s="34"/>
    </row>
    <row r="207" customFormat="false" ht="14.25" hidden="false" customHeight="false" outlineLevel="0" collapsed="false">
      <c r="O207" s="32"/>
      <c r="P207" s="33"/>
      <c r="Q207" s="32"/>
      <c r="S207" s="34"/>
    </row>
    <row r="208" customFormat="false" ht="14.25" hidden="false" customHeight="false" outlineLevel="0" collapsed="false">
      <c r="O208" s="32"/>
      <c r="P208" s="33"/>
      <c r="Q208" s="32"/>
      <c r="S208" s="34"/>
    </row>
    <row r="209" customFormat="false" ht="14.25" hidden="false" customHeight="false" outlineLevel="0" collapsed="false">
      <c r="O209" s="32"/>
      <c r="P209" s="33"/>
      <c r="Q209" s="32"/>
      <c r="S209" s="34"/>
    </row>
    <row r="210" customFormat="false" ht="14.25" hidden="false" customHeight="false" outlineLevel="0" collapsed="false">
      <c r="O210" s="32"/>
      <c r="P210" s="33"/>
      <c r="Q210" s="32"/>
      <c r="S210" s="34"/>
    </row>
    <row r="211" customFormat="false" ht="14.25" hidden="false" customHeight="false" outlineLevel="0" collapsed="false">
      <c r="O211" s="32"/>
      <c r="P211" s="33"/>
      <c r="Q211" s="32"/>
      <c r="S211" s="34"/>
    </row>
    <row r="212" customFormat="false" ht="14.25" hidden="false" customHeight="false" outlineLevel="0" collapsed="false">
      <c r="O212" s="32"/>
      <c r="P212" s="33"/>
      <c r="Q212" s="32"/>
      <c r="S212" s="34"/>
    </row>
    <row r="213" customFormat="false" ht="14.25" hidden="false" customHeight="false" outlineLevel="0" collapsed="false">
      <c r="O213" s="32"/>
      <c r="P213" s="33"/>
      <c r="Q213" s="32"/>
      <c r="S213" s="34"/>
    </row>
    <row r="214" customFormat="false" ht="14.25" hidden="false" customHeight="false" outlineLevel="0" collapsed="false">
      <c r="O214" s="32"/>
      <c r="P214" s="33"/>
      <c r="Q214" s="32"/>
      <c r="S214" s="34"/>
    </row>
    <row r="215" customFormat="false" ht="14.25" hidden="false" customHeight="false" outlineLevel="0" collapsed="false">
      <c r="O215" s="32"/>
      <c r="P215" s="33"/>
      <c r="Q215" s="32"/>
      <c r="S215" s="34"/>
    </row>
    <row r="216" customFormat="false" ht="14.25" hidden="false" customHeight="false" outlineLevel="0" collapsed="false">
      <c r="O216" s="32"/>
      <c r="P216" s="33"/>
      <c r="Q216" s="32"/>
      <c r="S216" s="34"/>
    </row>
    <row r="217" customFormat="false" ht="14.25" hidden="false" customHeight="false" outlineLevel="0" collapsed="false">
      <c r="O217" s="32"/>
      <c r="P217" s="33"/>
      <c r="Q217" s="32"/>
      <c r="S217" s="34"/>
    </row>
    <row r="218" customFormat="false" ht="14.25" hidden="false" customHeight="false" outlineLevel="0" collapsed="false">
      <c r="O218" s="32"/>
      <c r="P218" s="33"/>
      <c r="Q218" s="32"/>
      <c r="S218" s="34"/>
    </row>
    <row r="219" customFormat="false" ht="14.25" hidden="false" customHeight="false" outlineLevel="0" collapsed="false">
      <c r="O219" s="32"/>
      <c r="P219" s="33"/>
      <c r="Q219" s="32"/>
      <c r="S219" s="34"/>
    </row>
    <row r="220" customFormat="false" ht="14.25" hidden="false" customHeight="false" outlineLevel="0" collapsed="false">
      <c r="O220" s="32"/>
      <c r="P220" s="33"/>
      <c r="Q220" s="32"/>
      <c r="S220" s="34"/>
    </row>
    <row r="221" customFormat="false" ht="14.25" hidden="false" customHeight="false" outlineLevel="0" collapsed="false">
      <c r="O221" s="32"/>
      <c r="P221" s="33"/>
      <c r="Q221" s="32"/>
      <c r="S221" s="34"/>
    </row>
    <row r="222" customFormat="false" ht="14.25" hidden="false" customHeight="false" outlineLevel="0" collapsed="false">
      <c r="O222" s="32"/>
      <c r="P222" s="33"/>
      <c r="Q222" s="32"/>
      <c r="S222" s="34"/>
    </row>
    <row r="223" customFormat="false" ht="14.25" hidden="false" customHeight="false" outlineLevel="0" collapsed="false">
      <c r="O223" s="32"/>
      <c r="P223" s="33"/>
      <c r="Q223" s="32"/>
      <c r="R223" s="34"/>
      <c r="S223" s="34"/>
    </row>
    <row r="224" customFormat="false" ht="14.25" hidden="false" customHeight="false" outlineLevel="0" collapsed="false">
      <c r="O224" s="32"/>
      <c r="P224" s="33"/>
      <c r="Q224" s="32"/>
      <c r="R224" s="34"/>
      <c r="S224" s="34"/>
    </row>
    <row r="225" customFormat="false" ht="14.25" hidden="false" customHeight="false" outlineLevel="0" collapsed="false">
      <c r="O225" s="32"/>
      <c r="P225" s="33"/>
      <c r="Q225" s="32"/>
      <c r="S225" s="34"/>
    </row>
    <row r="226" customFormat="false" ht="14.25" hidden="false" customHeight="false" outlineLevel="0" collapsed="false">
      <c r="O226" s="32"/>
      <c r="P226" s="33"/>
      <c r="Q226" s="32"/>
      <c r="S226" s="34"/>
    </row>
    <row r="227" customFormat="false" ht="14.25" hidden="false" customHeight="false" outlineLevel="0" collapsed="false">
      <c r="O227" s="32"/>
      <c r="P227" s="33"/>
      <c r="Q227" s="32"/>
      <c r="S227" s="34"/>
    </row>
    <row r="228" customFormat="false" ht="14.25" hidden="false" customHeight="false" outlineLevel="0" collapsed="false">
      <c r="O228" s="32"/>
      <c r="P228" s="33"/>
      <c r="Q228" s="32"/>
      <c r="S228" s="34"/>
    </row>
    <row r="229" customFormat="false" ht="14.25" hidden="false" customHeight="false" outlineLevel="0" collapsed="false">
      <c r="O229" s="32"/>
      <c r="P229" s="33"/>
      <c r="Q229" s="32"/>
      <c r="S229" s="34"/>
    </row>
    <row r="230" customFormat="false" ht="14.25" hidden="false" customHeight="false" outlineLevel="0" collapsed="false">
      <c r="O230" s="32"/>
      <c r="P230" s="33"/>
      <c r="Q230" s="32"/>
      <c r="S230" s="34"/>
    </row>
    <row r="231" customFormat="false" ht="14.25" hidden="false" customHeight="false" outlineLevel="0" collapsed="false">
      <c r="O231" s="32"/>
      <c r="P231" s="33"/>
      <c r="Q231" s="32"/>
      <c r="S231" s="34"/>
    </row>
    <row r="232" customFormat="false" ht="14.25" hidden="false" customHeight="false" outlineLevel="0" collapsed="false">
      <c r="O232" s="32"/>
      <c r="P232" s="33"/>
      <c r="Q232" s="32"/>
      <c r="S232" s="34"/>
    </row>
    <row r="233" customFormat="false" ht="14.25" hidden="false" customHeight="false" outlineLevel="0" collapsed="false">
      <c r="O233" s="32"/>
      <c r="P233" s="33"/>
      <c r="Q233" s="32"/>
      <c r="S233" s="34"/>
    </row>
    <row r="234" customFormat="false" ht="14.25" hidden="false" customHeight="false" outlineLevel="0" collapsed="false">
      <c r="O234" s="32"/>
      <c r="P234" s="33"/>
      <c r="Q234" s="32"/>
      <c r="S234" s="34"/>
    </row>
    <row r="235" customFormat="false" ht="14.25" hidden="false" customHeight="false" outlineLevel="0" collapsed="false">
      <c r="O235" s="32"/>
      <c r="P235" s="33"/>
      <c r="Q235" s="32"/>
      <c r="S235" s="34"/>
    </row>
    <row r="236" customFormat="false" ht="14.25" hidden="false" customHeight="false" outlineLevel="0" collapsed="false">
      <c r="O236" s="32"/>
      <c r="P236" s="33"/>
      <c r="Q236" s="32"/>
      <c r="S236" s="34"/>
    </row>
    <row r="237" customFormat="false" ht="14.25" hidden="false" customHeight="false" outlineLevel="0" collapsed="false">
      <c r="O237" s="32"/>
      <c r="P237" s="33"/>
      <c r="Q237" s="32"/>
      <c r="S237" s="34"/>
    </row>
    <row r="238" customFormat="false" ht="14.25" hidden="false" customHeight="false" outlineLevel="0" collapsed="false">
      <c r="O238" s="32"/>
      <c r="P238" s="33"/>
      <c r="Q238" s="32"/>
      <c r="S238" s="34"/>
    </row>
    <row r="239" customFormat="false" ht="14.25" hidden="false" customHeight="false" outlineLevel="0" collapsed="false">
      <c r="O239" s="32"/>
      <c r="P239" s="33"/>
      <c r="Q239" s="32"/>
      <c r="S239" s="34"/>
    </row>
    <row r="240" customFormat="false" ht="14.25" hidden="false" customHeight="false" outlineLevel="0" collapsed="false">
      <c r="O240" s="32"/>
      <c r="P240" s="33"/>
      <c r="Q240" s="32"/>
      <c r="S240" s="34"/>
    </row>
    <row r="241" customFormat="false" ht="14.25" hidden="false" customHeight="false" outlineLevel="0" collapsed="false">
      <c r="O241" s="32"/>
      <c r="P241" s="33"/>
      <c r="Q241" s="32"/>
      <c r="S241" s="34"/>
    </row>
    <row r="242" customFormat="false" ht="14.25" hidden="false" customHeight="false" outlineLevel="0" collapsed="false">
      <c r="O242" s="32"/>
      <c r="P242" s="33"/>
      <c r="Q242" s="32"/>
      <c r="S242" s="34"/>
    </row>
    <row r="243" customFormat="false" ht="14.25" hidden="false" customHeight="false" outlineLevel="0" collapsed="false">
      <c r="O243" s="32"/>
      <c r="P243" s="33"/>
      <c r="Q243" s="32"/>
      <c r="S243" s="34"/>
    </row>
    <row r="244" customFormat="false" ht="14.25" hidden="false" customHeight="false" outlineLevel="0" collapsed="false">
      <c r="O244" s="32"/>
      <c r="P244" s="33"/>
      <c r="Q244" s="32"/>
      <c r="S244" s="34"/>
    </row>
    <row r="245" customFormat="false" ht="14.25" hidden="false" customHeight="false" outlineLevel="0" collapsed="false">
      <c r="O245" s="32"/>
      <c r="P245" s="33"/>
      <c r="Q245" s="32"/>
      <c r="S245" s="34"/>
    </row>
    <row r="246" customFormat="false" ht="14.25" hidden="false" customHeight="false" outlineLevel="0" collapsed="false">
      <c r="O246" s="32"/>
      <c r="P246" s="33"/>
      <c r="Q246" s="32"/>
      <c r="S246" s="34"/>
    </row>
    <row r="247" customFormat="false" ht="14.25" hidden="false" customHeight="false" outlineLevel="0" collapsed="false">
      <c r="O247" s="32"/>
      <c r="P247" s="33"/>
      <c r="Q247" s="32"/>
      <c r="S247" s="34"/>
    </row>
    <row r="248" customFormat="false" ht="14.25" hidden="false" customHeight="false" outlineLevel="0" collapsed="false">
      <c r="O248" s="32"/>
      <c r="P248" s="33"/>
      <c r="Q248" s="32"/>
      <c r="S248" s="34"/>
    </row>
    <row r="249" customFormat="false" ht="14.25" hidden="false" customHeight="false" outlineLevel="0" collapsed="false">
      <c r="O249" s="32"/>
      <c r="P249" s="33"/>
      <c r="Q249" s="32"/>
      <c r="S249" s="34"/>
    </row>
    <row r="250" customFormat="false" ht="14.25" hidden="false" customHeight="false" outlineLevel="0" collapsed="false">
      <c r="O250" s="32"/>
      <c r="P250" s="33"/>
      <c r="Q250" s="32"/>
      <c r="S250" s="34"/>
    </row>
    <row r="251" customFormat="false" ht="14.25" hidden="false" customHeight="false" outlineLevel="0" collapsed="false">
      <c r="O251" s="32"/>
      <c r="P251" s="33"/>
      <c r="Q251" s="32"/>
      <c r="S251" s="34"/>
    </row>
    <row r="252" customFormat="false" ht="14.25" hidden="false" customHeight="false" outlineLevel="0" collapsed="false">
      <c r="O252" s="32"/>
      <c r="P252" s="33"/>
      <c r="Q252" s="32"/>
      <c r="S252" s="34"/>
    </row>
    <row r="253" customFormat="false" ht="14.25" hidden="false" customHeight="false" outlineLevel="0" collapsed="false">
      <c r="O253" s="32"/>
      <c r="P253" s="33"/>
      <c r="Q253" s="32"/>
      <c r="S253" s="34"/>
    </row>
    <row r="254" customFormat="false" ht="14.25" hidden="false" customHeight="false" outlineLevel="0" collapsed="false">
      <c r="O254" s="32"/>
      <c r="P254" s="33"/>
      <c r="Q254" s="32"/>
      <c r="S254" s="34"/>
    </row>
    <row r="255" customFormat="false" ht="14.25" hidden="false" customHeight="false" outlineLevel="0" collapsed="false">
      <c r="O255" s="32"/>
      <c r="P255" s="33"/>
      <c r="Q255" s="32"/>
      <c r="S255" s="34"/>
    </row>
    <row r="256" customFormat="false" ht="14.25" hidden="false" customHeight="false" outlineLevel="0" collapsed="false">
      <c r="O256" s="32"/>
      <c r="P256" s="33"/>
      <c r="Q256" s="32"/>
      <c r="S256" s="34"/>
    </row>
    <row r="257" customFormat="false" ht="14.25" hidden="false" customHeight="false" outlineLevel="0" collapsed="false">
      <c r="O257" s="32"/>
      <c r="P257" s="33"/>
      <c r="Q257" s="32"/>
      <c r="S257" s="34"/>
    </row>
    <row r="258" customFormat="false" ht="14.25" hidden="false" customHeight="false" outlineLevel="0" collapsed="false">
      <c r="O258" s="32"/>
      <c r="P258" s="33"/>
      <c r="Q258" s="32"/>
      <c r="S258" s="34"/>
    </row>
    <row r="259" customFormat="false" ht="14.25" hidden="false" customHeight="false" outlineLevel="0" collapsed="false">
      <c r="O259" s="32"/>
      <c r="P259" s="33"/>
      <c r="Q259" s="32"/>
      <c r="S259" s="34"/>
    </row>
    <row r="260" customFormat="false" ht="14.25" hidden="false" customHeight="false" outlineLevel="0" collapsed="false">
      <c r="O260" s="32"/>
      <c r="P260" s="33"/>
      <c r="Q260" s="32"/>
      <c r="S260" s="34"/>
    </row>
    <row r="261" customFormat="false" ht="14.25" hidden="false" customHeight="false" outlineLevel="0" collapsed="false">
      <c r="O261" s="32"/>
      <c r="P261" s="33"/>
      <c r="Q261" s="32"/>
      <c r="S261" s="34"/>
    </row>
    <row r="262" customFormat="false" ht="14.25" hidden="false" customHeight="false" outlineLevel="0" collapsed="false">
      <c r="O262" s="32"/>
      <c r="P262" s="33"/>
      <c r="Q262" s="32"/>
      <c r="S262" s="34"/>
    </row>
    <row r="263" customFormat="false" ht="14.25" hidden="false" customHeight="false" outlineLevel="0" collapsed="false">
      <c r="O263" s="32"/>
      <c r="P263" s="33"/>
      <c r="Q263" s="32"/>
      <c r="S263" s="34"/>
    </row>
    <row r="264" customFormat="false" ht="14.25" hidden="false" customHeight="false" outlineLevel="0" collapsed="false">
      <c r="O264" s="32"/>
      <c r="P264" s="33"/>
      <c r="Q264" s="32"/>
      <c r="S264" s="34"/>
    </row>
    <row r="265" customFormat="false" ht="14.25" hidden="false" customHeight="false" outlineLevel="0" collapsed="false">
      <c r="O265" s="32"/>
      <c r="P265" s="33"/>
      <c r="Q265" s="32"/>
      <c r="S265" s="34"/>
    </row>
    <row r="266" customFormat="false" ht="14.25" hidden="false" customHeight="false" outlineLevel="0" collapsed="false">
      <c r="O266" s="32"/>
      <c r="P266" s="33"/>
      <c r="Q266" s="32"/>
      <c r="S266" s="34"/>
    </row>
    <row r="267" customFormat="false" ht="14.25" hidden="false" customHeight="false" outlineLevel="0" collapsed="false">
      <c r="O267" s="32"/>
      <c r="P267" s="33"/>
      <c r="Q267" s="32"/>
      <c r="S267" s="34"/>
    </row>
    <row r="268" customFormat="false" ht="14.25" hidden="false" customHeight="false" outlineLevel="0" collapsed="false">
      <c r="O268" s="32"/>
      <c r="P268" s="33"/>
      <c r="Q268" s="32"/>
      <c r="S268" s="34"/>
    </row>
    <row r="269" customFormat="false" ht="14.25" hidden="false" customHeight="false" outlineLevel="0" collapsed="false">
      <c r="O269" s="32"/>
      <c r="P269" s="33"/>
      <c r="Q269" s="32"/>
      <c r="S269" s="34"/>
    </row>
    <row r="270" customFormat="false" ht="14.25" hidden="false" customHeight="false" outlineLevel="0" collapsed="false">
      <c r="O270" s="32"/>
      <c r="P270" s="33"/>
      <c r="Q270" s="32"/>
      <c r="S270" s="34"/>
    </row>
    <row r="271" customFormat="false" ht="14.25" hidden="false" customHeight="false" outlineLevel="0" collapsed="false">
      <c r="O271" s="32"/>
      <c r="P271" s="33"/>
      <c r="Q271" s="32"/>
      <c r="S271" s="34"/>
    </row>
    <row r="272" customFormat="false" ht="14.25" hidden="false" customHeight="false" outlineLevel="0" collapsed="false">
      <c r="O272" s="32"/>
      <c r="P272" s="33"/>
      <c r="Q272" s="32"/>
      <c r="S272" s="34"/>
    </row>
    <row r="273" customFormat="false" ht="14.25" hidden="false" customHeight="false" outlineLevel="0" collapsed="false">
      <c r="O273" s="32"/>
      <c r="P273" s="33"/>
      <c r="Q273" s="32"/>
      <c r="S273" s="34"/>
    </row>
    <row r="274" customFormat="false" ht="14.25" hidden="false" customHeight="false" outlineLevel="0" collapsed="false">
      <c r="O274" s="32"/>
      <c r="P274" s="33"/>
      <c r="Q274" s="32"/>
      <c r="R274" s="34"/>
      <c r="S274" s="34"/>
    </row>
    <row r="275" customFormat="false" ht="14.25" hidden="false" customHeight="false" outlineLevel="0" collapsed="false">
      <c r="O275" s="32"/>
      <c r="P275" s="33"/>
      <c r="Q275" s="32"/>
      <c r="S275" s="34"/>
    </row>
    <row r="276" customFormat="false" ht="14.25" hidden="false" customHeight="false" outlineLevel="0" collapsed="false">
      <c r="O276" s="32"/>
      <c r="P276" s="33"/>
      <c r="Q276" s="32"/>
      <c r="S276" s="34"/>
    </row>
    <row r="277" customFormat="false" ht="14.25" hidden="false" customHeight="false" outlineLevel="0" collapsed="false">
      <c r="O277" s="32"/>
      <c r="P277" s="33"/>
      <c r="Q277" s="32"/>
      <c r="S277" s="34"/>
    </row>
    <row r="278" customFormat="false" ht="14.25" hidden="false" customHeight="false" outlineLevel="0" collapsed="false">
      <c r="O278" s="32"/>
      <c r="P278" s="33"/>
      <c r="Q278" s="32"/>
      <c r="S278" s="34"/>
    </row>
    <row r="279" customFormat="false" ht="14.25" hidden="false" customHeight="false" outlineLevel="0" collapsed="false">
      <c r="O279" s="32"/>
      <c r="P279" s="33"/>
      <c r="Q279" s="32"/>
      <c r="S279" s="34"/>
    </row>
    <row r="280" customFormat="false" ht="14.25" hidden="false" customHeight="false" outlineLevel="0" collapsed="false">
      <c r="O280" s="32"/>
      <c r="P280" s="33"/>
      <c r="Q280" s="32"/>
      <c r="S280" s="34"/>
    </row>
    <row r="281" customFormat="false" ht="14.25" hidden="false" customHeight="false" outlineLevel="0" collapsed="false">
      <c r="O281" s="32"/>
      <c r="P281" s="33"/>
      <c r="Q281" s="32"/>
      <c r="S281" s="34"/>
    </row>
    <row r="282" customFormat="false" ht="14.25" hidden="false" customHeight="false" outlineLevel="0" collapsed="false">
      <c r="O282" s="32"/>
      <c r="P282" s="33"/>
      <c r="Q282" s="32"/>
      <c r="S282" s="34"/>
    </row>
    <row r="283" customFormat="false" ht="14.25" hidden="false" customHeight="false" outlineLevel="0" collapsed="false">
      <c r="O283" s="32"/>
      <c r="P283" s="33"/>
      <c r="Q283" s="32"/>
      <c r="S283" s="34"/>
    </row>
    <row r="284" customFormat="false" ht="14.25" hidden="false" customHeight="false" outlineLevel="0" collapsed="false">
      <c r="O284" s="32"/>
      <c r="P284" s="33"/>
      <c r="Q284" s="32"/>
      <c r="S284" s="34"/>
    </row>
    <row r="285" customFormat="false" ht="14.25" hidden="false" customHeight="false" outlineLevel="0" collapsed="false">
      <c r="O285" s="32"/>
      <c r="P285" s="33"/>
      <c r="Q285" s="32"/>
      <c r="S285" s="34"/>
    </row>
    <row r="286" customFormat="false" ht="14.25" hidden="false" customHeight="false" outlineLevel="0" collapsed="false">
      <c r="O286" s="32"/>
      <c r="P286" s="33"/>
      <c r="Q286" s="32"/>
      <c r="S286" s="34"/>
    </row>
    <row r="287" customFormat="false" ht="14.25" hidden="false" customHeight="false" outlineLevel="0" collapsed="false">
      <c r="O287" s="32"/>
      <c r="P287" s="33"/>
      <c r="Q287" s="32"/>
      <c r="S287" s="34"/>
    </row>
    <row r="288" customFormat="false" ht="14.25" hidden="false" customHeight="false" outlineLevel="0" collapsed="false">
      <c r="O288" s="32"/>
      <c r="P288" s="33"/>
      <c r="Q288" s="32"/>
      <c r="S288" s="34"/>
    </row>
    <row r="289" customFormat="false" ht="14.25" hidden="false" customHeight="false" outlineLevel="0" collapsed="false">
      <c r="O289" s="32"/>
      <c r="P289" s="33"/>
      <c r="Q289" s="32"/>
      <c r="S289" s="34"/>
    </row>
    <row r="290" customFormat="false" ht="14.25" hidden="false" customHeight="false" outlineLevel="0" collapsed="false">
      <c r="O290" s="32"/>
      <c r="P290" s="33"/>
      <c r="Q290" s="32"/>
      <c r="S290" s="34"/>
    </row>
    <row r="291" customFormat="false" ht="14.25" hidden="false" customHeight="false" outlineLevel="0" collapsed="false">
      <c r="O291" s="32"/>
      <c r="P291" s="33"/>
      <c r="Q291" s="32"/>
      <c r="S291" s="34"/>
    </row>
    <row r="292" customFormat="false" ht="14.25" hidden="false" customHeight="false" outlineLevel="0" collapsed="false">
      <c r="O292" s="32"/>
      <c r="P292" s="33"/>
      <c r="Q292" s="32"/>
      <c r="S292" s="34"/>
    </row>
    <row r="293" customFormat="false" ht="14.25" hidden="false" customHeight="false" outlineLevel="0" collapsed="false">
      <c r="O293" s="32"/>
      <c r="P293" s="33"/>
      <c r="Q293" s="32"/>
      <c r="S293" s="34"/>
    </row>
    <row r="294" customFormat="false" ht="14.25" hidden="false" customHeight="false" outlineLevel="0" collapsed="false">
      <c r="O294" s="32"/>
      <c r="P294" s="33"/>
      <c r="Q294" s="32"/>
      <c r="S294" s="34"/>
    </row>
    <row r="295" customFormat="false" ht="14.25" hidden="false" customHeight="false" outlineLevel="0" collapsed="false">
      <c r="O295" s="32"/>
      <c r="P295" s="33"/>
      <c r="Q295" s="32"/>
      <c r="S295" s="34"/>
    </row>
    <row r="296" customFormat="false" ht="14.25" hidden="false" customHeight="false" outlineLevel="0" collapsed="false">
      <c r="O296" s="32"/>
      <c r="P296" s="33"/>
      <c r="Q296" s="32"/>
      <c r="S296" s="34"/>
    </row>
    <row r="297" customFormat="false" ht="14.25" hidden="false" customHeight="false" outlineLevel="0" collapsed="false">
      <c r="O297" s="32"/>
      <c r="P297" s="33"/>
      <c r="Q297" s="32"/>
      <c r="S297" s="34"/>
    </row>
    <row r="298" customFormat="false" ht="14.25" hidden="false" customHeight="false" outlineLevel="0" collapsed="false">
      <c r="O298" s="32"/>
      <c r="P298" s="33"/>
      <c r="Q298" s="32"/>
      <c r="S298" s="34"/>
    </row>
    <row r="299" customFormat="false" ht="14.25" hidden="false" customHeight="false" outlineLevel="0" collapsed="false">
      <c r="O299" s="32"/>
      <c r="P299" s="33"/>
      <c r="Q299" s="32"/>
      <c r="S299" s="34"/>
    </row>
    <row r="300" customFormat="false" ht="14.25" hidden="false" customHeight="false" outlineLevel="0" collapsed="false">
      <c r="O300" s="32"/>
      <c r="P300" s="33"/>
      <c r="Q300" s="32"/>
      <c r="S300" s="34"/>
    </row>
    <row r="301" customFormat="false" ht="14.25" hidden="false" customHeight="false" outlineLevel="0" collapsed="false">
      <c r="O301" s="32"/>
      <c r="P301" s="33"/>
      <c r="Q301" s="32"/>
      <c r="S301" s="34"/>
    </row>
    <row r="302" customFormat="false" ht="14.25" hidden="false" customHeight="false" outlineLevel="0" collapsed="false">
      <c r="O302" s="32"/>
      <c r="P302" s="33"/>
      <c r="Q302" s="32"/>
      <c r="S302" s="34"/>
    </row>
    <row r="303" customFormat="false" ht="14.25" hidden="false" customHeight="false" outlineLevel="0" collapsed="false">
      <c r="O303" s="32"/>
      <c r="P303" s="33"/>
      <c r="Q303" s="32"/>
      <c r="S303" s="34"/>
    </row>
    <row r="304" customFormat="false" ht="14.25" hidden="false" customHeight="false" outlineLevel="0" collapsed="false">
      <c r="O304" s="32"/>
      <c r="P304" s="33"/>
      <c r="Q304" s="32"/>
      <c r="S304" s="34"/>
    </row>
    <row r="305" customFormat="false" ht="14.25" hidden="false" customHeight="false" outlineLevel="0" collapsed="false">
      <c r="O305" s="32"/>
      <c r="P305" s="33"/>
      <c r="Q305" s="32"/>
      <c r="S305" s="34"/>
    </row>
    <row r="306" customFormat="false" ht="14.25" hidden="false" customHeight="false" outlineLevel="0" collapsed="false">
      <c r="O306" s="32"/>
      <c r="P306" s="33"/>
      <c r="Q306" s="32"/>
      <c r="S306" s="34"/>
    </row>
    <row r="307" customFormat="false" ht="14.25" hidden="false" customHeight="false" outlineLevel="0" collapsed="false">
      <c r="O307" s="32"/>
      <c r="P307" s="33"/>
      <c r="Q307" s="32"/>
      <c r="S307" s="34"/>
    </row>
    <row r="308" customFormat="false" ht="14.25" hidden="false" customHeight="false" outlineLevel="0" collapsed="false">
      <c r="O308" s="32"/>
      <c r="P308" s="33"/>
      <c r="Q308" s="32"/>
      <c r="S308" s="34"/>
    </row>
    <row r="309" customFormat="false" ht="14.25" hidden="false" customHeight="false" outlineLevel="0" collapsed="false">
      <c r="O309" s="32"/>
      <c r="P309" s="33"/>
      <c r="Q309" s="32"/>
      <c r="S309" s="34"/>
    </row>
    <row r="310" customFormat="false" ht="14.25" hidden="false" customHeight="false" outlineLevel="0" collapsed="false">
      <c r="O310" s="32"/>
      <c r="P310" s="33"/>
      <c r="Q310" s="32"/>
      <c r="S310" s="34"/>
    </row>
    <row r="311" customFormat="false" ht="14.25" hidden="false" customHeight="false" outlineLevel="0" collapsed="false">
      <c r="O311" s="32"/>
      <c r="P311" s="33"/>
      <c r="Q311" s="32"/>
      <c r="R311" s="34"/>
      <c r="S311" s="34"/>
    </row>
    <row r="312" customFormat="false" ht="14.25" hidden="false" customHeight="false" outlineLevel="0" collapsed="false">
      <c r="O312" s="32"/>
      <c r="P312" s="33"/>
      <c r="Q312" s="32"/>
      <c r="S312" s="34"/>
    </row>
    <row r="313" customFormat="false" ht="14.25" hidden="false" customHeight="false" outlineLevel="0" collapsed="false">
      <c r="O313" s="32"/>
      <c r="P313" s="33"/>
      <c r="Q313" s="32"/>
      <c r="S313" s="34"/>
    </row>
    <row r="314" customFormat="false" ht="14.25" hidden="false" customHeight="false" outlineLevel="0" collapsed="false">
      <c r="O314" s="32"/>
      <c r="P314" s="33"/>
      <c r="Q314" s="32"/>
      <c r="S314" s="34"/>
    </row>
    <row r="315" customFormat="false" ht="14.25" hidden="false" customHeight="false" outlineLevel="0" collapsed="false">
      <c r="O315" s="32"/>
      <c r="P315" s="33"/>
      <c r="Q315" s="32"/>
      <c r="S315" s="34"/>
    </row>
    <row r="316" customFormat="false" ht="14.25" hidden="false" customHeight="false" outlineLevel="0" collapsed="false">
      <c r="O316" s="32"/>
      <c r="P316" s="33"/>
      <c r="Q316" s="32"/>
      <c r="S316" s="34"/>
    </row>
    <row r="317" customFormat="false" ht="14.25" hidden="false" customHeight="false" outlineLevel="0" collapsed="false">
      <c r="O317" s="32"/>
      <c r="P317" s="33"/>
      <c r="Q317" s="32"/>
      <c r="S317" s="34"/>
    </row>
    <row r="318" customFormat="false" ht="14.25" hidden="false" customHeight="false" outlineLevel="0" collapsed="false">
      <c r="O318" s="32"/>
      <c r="P318" s="33"/>
      <c r="Q318" s="32"/>
      <c r="S318" s="34"/>
    </row>
    <row r="319" customFormat="false" ht="14.25" hidden="false" customHeight="false" outlineLevel="0" collapsed="false">
      <c r="O319" s="32"/>
      <c r="P319" s="33"/>
      <c r="Q319" s="32"/>
      <c r="S319" s="34"/>
    </row>
    <row r="320" customFormat="false" ht="14.25" hidden="false" customHeight="false" outlineLevel="0" collapsed="false">
      <c r="O320" s="32"/>
      <c r="P320" s="33"/>
      <c r="Q320" s="32"/>
      <c r="S320" s="34"/>
    </row>
    <row r="321" customFormat="false" ht="14.25" hidden="false" customHeight="false" outlineLevel="0" collapsed="false">
      <c r="O321" s="32"/>
      <c r="P321" s="33"/>
      <c r="Q321" s="32"/>
      <c r="S321" s="34"/>
    </row>
    <row r="322" customFormat="false" ht="14.25" hidden="false" customHeight="false" outlineLevel="0" collapsed="false">
      <c r="O322" s="32"/>
      <c r="P322" s="33"/>
      <c r="Q322" s="32"/>
      <c r="S322" s="34"/>
    </row>
    <row r="323" customFormat="false" ht="14.25" hidden="false" customHeight="false" outlineLevel="0" collapsed="false">
      <c r="O323" s="32"/>
      <c r="P323" s="33"/>
      <c r="Q323" s="32"/>
      <c r="S323" s="34"/>
    </row>
    <row r="324" customFormat="false" ht="14.25" hidden="false" customHeight="false" outlineLevel="0" collapsed="false">
      <c r="O324" s="32"/>
      <c r="P324" s="33"/>
      <c r="Q324" s="32"/>
      <c r="S324" s="34"/>
    </row>
    <row r="325" customFormat="false" ht="14.25" hidden="false" customHeight="false" outlineLevel="0" collapsed="false">
      <c r="O325" s="32"/>
      <c r="P325" s="33"/>
      <c r="Q325" s="32"/>
      <c r="S325" s="34"/>
    </row>
    <row r="326" customFormat="false" ht="14.25" hidden="false" customHeight="false" outlineLevel="0" collapsed="false">
      <c r="O326" s="32"/>
      <c r="P326" s="33"/>
      <c r="Q326" s="32"/>
      <c r="S326" s="34"/>
    </row>
    <row r="327" customFormat="false" ht="14.25" hidden="false" customHeight="false" outlineLevel="0" collapsed="false">
      <c r="O327" s="32"/>
      <c r="P327" s="33"/>
      <c r="Q327" s="32"/>
      <c r="S327" s="34"/>
    </row>
    <row r="328" customFormat="false" ht="14.25" hidden="false" customHeight="false" outlineLevel="0" collapsed="false">
      <c r="O328" s="32"/>
      <c r="P328" s="33"/>
      <c r="Q328" s="32"/>
      <c r="S328" s="34"/>
    </row>
    <row r="329" customFormat="false" ht="14.25" hidden="false" customHeight="false" outlineLevel="0" collapsed="false">
      <c r="O329" s="32"/>
      <c r="P329" s="33"/>
      <c r="Q329" s="32"/>
      <c r="S329" s="34"/>
    </row>
    <row r="330" customFormat="false" ht="14.25" hidden="false" customHeight="false" outlineLevel="0" collapsed="false">
      <c r="O330" s="32"/>
      <c r="P330" s="33"/>
      <c r="Q330" s="32"/>
      <c r="S330" s="34"/>
    </row>
    <row r="331" customFormat="false" ht="14.25" hidden="false" customHeight="false" outlineLevel="0" collapsed="false">
      <c r="O331" s="32"/>
      <c r="P331" s="33"/>
      <c r="Q331" s="32"/>
      <c r="S331" s="34"/>
    </row>
    <row r="332" customFormat="false" ht="14.25" hidden="false" customHeight="false" outlineLevel="0" collapsed="false">
      <c r="O332" s="32"/>
      <c r="P332" s="33"/>
      <c r="Q332" s="32"/>
      <c r="S332" s="34"/>
    </row>
    <row r="333" customFormat="false" ht="14.25" hidden="false" customHeight="false" outlineLevel="0" collapsed="false">
      <c r="O333" s="32"/>
      <c r="P333" s="33"/>
      <c r="Q333" s="32"/>
      <c r="S333" s="34"/>
    </row>
    <row r="334" customFormat="false" ht="14.25" hidden="false" customHeight="false" outlineLevel="0" collapsed="false">
      <c r="O334" s="32"/>
      <c r="P334" s="33"/>
      <c r="Q334" s="32"/>
      <c r="S334" s="34"/>
    </row>
    <row r="335" customFormat="false" ht="14.25" hidden="false" customHeight="false" outlineLevel="0" collapsed="false">
      <c r="O335" s="32"/>
      <c r="P335" s="33"/>
      <c r="Q335" s="32"/>
      <c r="S335" s="34"/>
    </row>
    <row r="336" customFormat="false" ht="14.25" hidden="false" customHeight="false" outlineLevel="0" collapsed="false">
      <c r="O336" s="32"/>
      <c r="P336" s="33"/>
      <c r="Q336" s="32"/>
      <c r="S336" s="34"/>
    </row>
    <row r="337" customFormat="false" ht="14.25" hidden="false" customHeight="false" outlineLevel="0" collapsed="false">
      <c r="O337" s="32"/>
      <c r="P337" s="33"/>
      <c r="Q337" s="32"/>
      <c r="S337" s="34"/>
    </row>
    <row r="338" customFormat="false" ht="14.25" hidden="false" customHeight="false" outlineLevel="0" collapsed="false">
      <c r="O338" s="32"/>
      <c r="P338" s="33"/>
      <c r="Q338" s="32"/>
      <c r="S338" s="34"/>
    </row>
    <row r="339" customFormat="false" ht="14.25" hidden="false" customHeight="false" outlineLevel="0" collapsed="false">
      <c r="O339" s="32"/>
      <c r="P339" s="33"/>
      <c r="Q339" s="32"/>
      <c r="S339" s="34"/>
    </row>
    <row r="340" customFormat="false" ht="14.25" hidden="false" customHeight="false" outlineLevel="0" collapsed="false">
      <c r="O340" s="32"/>
      <c r="P340" s="33"/>
      <c r="Q340" s="32"/>
      <c r="S340" s="34"/>
    </row>
    <row r="341" customFormat="false" ht="14.25" hidden="false" customHeight="false" outlineLevel="0" collapsed="false">
      <c r="O341" s="32"/>
      <c r="P341" s="33"/>
      <c r="Q341" s="32"/>
      <c r="S341" s="34"/>
    </row>
    <row r="342" customFormat="false" ht="14.25" hidden="false" customHeight="false" outlineLevel="0" collapsed="false">
      <c r="O342" s="32"/>
      <c r="P342" s="33"/>
      <c r="Q342" s="32"/>
      <c r="S342" s="34"/>
    </row>
    <row r="343" customFormat="false" ht="14.25" hidden="false" customHeight="false" outlineLevel="0" collapsed="false">
      <c r="O343" s="32"/>
      <c r="P343" s="33"/>
      <c r="Q343" s="32"/>
      <c r="S343" s="34"/>
    </row>
    <row r="344" customFormat="false" ht="14.25" hidden="false" customHeight="false" outlineLevel="0" collapsed="false">
      <c r="O344" s="32"/>
      <c r="P344" s="33"/>
      <c r="Q344" s="32"/>
      <c r="S344" s="34"/>
    </row>
    <row r="345" customFormat="false" ht="14.25" hidden="false" customHeight="false" outlineLevel="0" collapsed="false">
      <c r="O345" s="32"/>
      <c r="P345" s="33"/>
      <c r="Q345" s="32"/>
      <c r="S345" s="34"/>
    </row>
    <row r="346" customFormat="false" ht="14.25" hidden="false" customHeight="false" outlineLevel="0" collapsed="false">
      <c r="O346" s="32"/>
      <c r="P346" s="33"/>
      <c r="Q346" s="32"/>
      <c r="S346" s="34"/>
    </row>
    <row r="347" customFormat="false" ht="14.25" hidden="false" customHeight="false" outlineLevel="0" collapsed="false">
      <c r="O347" s="32"/>
      <c r="P347" s="33"/>
      <c r="Q347" s="32"/>
      <c r="S347" s="34"/>
    </row>
    <row r="348" customFormat="false" ht="14.25" hidden="false" customHeight="false" outlineLevel="0" collapsed="false">
      <c r="O348" s="32"/>
      <c r="P348" s="33"/>
      <c r="Q348" s="32"/>
      <c r="S348" s="34"/>
    </row>
    <row r="349" customFormat="false" ht="14.25" hidden="false" customHeight="false" outlineLevel="0" collapsed="false">
      <c r="O349" s="32"/>
      <c r="P349" s="33"/>
      <c r="Q349" s="32"/>
      <c r="S349" s="34"/>
    </row>
    <row r="350" customFormat="false" ht="14.25" hidden="false" customHeight="false" outlineLevel="0" collapsed="false">
      <c r="O350" s="32"/>
      <c r="P350" s="33"/>
      <c r="Q350" s="32"/>
      <c r="S350" s="34"/>
    </row>
    <row r="351" customFormat="false" ht="14.25" hidden="false" customHeight="false" outlineLevel="0" collapsed="false">
      <c r="O351" s="32"/>
      <c r="P351" s="33"/>
      <c r="Q351" s="32"/>
      <c r="S351" s="34"/>
    </row>
    <row r="352" customFormat="false" ht="14.25" hidden="false" customHeight="false" outlineLevel="0" collapsed="false">
      <c r="O352" s="32"/>
      <c r="P352" s="33"/>
      <c r="Q352" s="32"/>
      <c r="S352" s="34"/>
    </row>
    <row r="353" customFormat="false" ht="14.25" hidden="false" customHeight="false" outlineLevel="0" collapsed="false">
      <c r="O353" s="32"/>
      <c r="P353" s="33"/>
      <c r="Q353" s="32"/>
      <c r="S353" s="34"/>
    </row>
    <row r="354" customFormat="false" ht="14.25" hidden="false" customHeight="false" outlineLevel="0" collapsed="false">
      <c r="O354" s="32"/>
      <c r="P354" s="33"/>
      <c r="Q354" s="32"/>
      <c r="S354" s="34"/>
    </row>
    <row r="355" customFormat="false" ht="14.25" hidden="false" customHeight="false" outlineLevel="0" collapsed="false">
      <c r="O355" s="32"/>
      <c r="P355" s="33"/>
      <c r="Q355" s="32"/>
      <c r="S355" s="34"/>
    </row>
    <row r="356" customFormat="false" ht="14.25" hidden="false" customHeight="false" outlineLevel="0" collapsed="false">
      <c r="O356" s="32"/>
      <c r="P356" s="33"/>
      <c r="Q356" s="32"/>
      <c r="S356" s="34"/>
    </row>
    <row r="357" customFormat="false" ht="14.25" hidden="false" customHeight="false" outlineLevel="0" collapsed="false">
      <c r="O357" s="32"/>
      <c r="P357" s="33"/>
      <c r="Q357" s="32"/>
      <c r="S357" s="34"/>
    </row>
    <row r="358" customFormat="false" ht="14.25" hidden="false" customHeight="false" outlineLevel="0" collapsed="false">
      <c r="O358" s="32"/>
      <c r="P358" s="33"/>
      <c r="Q358" s="32"/>
      <c r="S358" s="34"/>
    </row>
    <row r="359" customFormat="false" ht="14.25" hidden="false" customHeight="false" outlineLevel="0" collapsed="false">
      <c r="O359" s="32"/>
      <c r="P359" s="33"/>
      <c r="Q359" s="32"/>
      <c r="S359" s="34"/>
    </row>
    <row r="360" customFormat="false" ht="14.25" hidden="false" customHeight="false" outlineLevel="0" collapsed="false">
      <c r="O360" s="32"/>
      <c r="P360" s="33"/>
      <c r="Q360" s="32"/>
      <c r="S360" s="34"/>
    </row>
    <row r="361" customFormat="false" ht="14.25" hidden="false" customHeight="false" outlineLevel="0" collapsed="false">
      <c r="O361" s="32"/>
      <c r="P361" s="33"/>
      <c r="Q361" s="32"/>
      <c r="S361" s="34"/>
    </row>
    <row r="362" customFormat="false" ht="14.25" hidden="false" customHeight="false" outlineLevel="0" collapsed="false">
      <c r="O362" s="32"/>
      <c r="P362" s="33"/>
      <c r="Q362" s="32"/>
      <c r="S362" s="34"/>
    </row>
    <row r="363" customFormat="false" ht="14.25" hidden="false" customHeight="false" outlineLevel="0" collapsed="false">
      <c r="O363" s="32"/>
      <c r="P363" s="33"/>
      <c r="Q363" s="32"/>
      <c r="S363" s="34"/>
    </row>
    <row r="364" customFormat="false" ht="14.25" hidden="false" customHeight="false" outlineLevel="0" collapsed="false">
      <c r="O364" s="32"/>
      <c r="P364" s="33"/>
      <c r="Q364" s="32"/>
      <c r="S364" s="34"/>
    </row>
    <row r="365" customFormat="false" ht="14.25" hidden="false" customHeight="false" outlineLevel="0" collapsed="false">
      <c r="O365" s="32"/>
      <c r="P365" s="33"/>
      <c r="Q365" s="32"/>
      <c r="S365" s="34"/>
    </row>
    <row r="366" customFormat="false" ht="14.25" hidden="false" customHeight="false" outlineLevel="0" collapsed="false">
      <c r="O366" s="32"/>
      <c r="P366" s="33"/>
      <c r="Q366" s="32"/>
      <c r="S366" s="34"/>
    </row>
    <row r="367" customFormat="false" ht="14.25" hidden="false" customHeight="false" outlineLevel="0" collapsed="false">
      <c r="O367" s="32"/>
      <c r="P367" s="33"/>
      <c r="Q367" s="32"/>
      <c r="S367" s="34"/>
    </row>
    <row r="368" customFormat="false" ht="14.25" hidden="false" customHeight="false" outlineLevel="0" collapsed="false">
      <c r="O368" s="32"/>
      <c r="P368" s="33"/>
      <c r="Q368" s="32"/>
      <c r="S368" s="34"/>
    </row>
    <row r="369" customFormat="false" ht="14.25" hidden="false" customHeight="false" outlineLevel="0" collapsed="false">
      <c r="O369" s="32"/>
      <c r="P369" s="33"/>
      <c r="Q369" s="32"/>
      <c r="R369" s="34"/>
      <c r="S369" s="34"/>
    </row>
    <row r="370" customFormat="false" ht="14.25" hidden="false" customHeight="false" outlineLevel="0" collapsed="false">
      <c r="O370" s="32"/>
      <c r="P370" s="33"/>
      <c r="Q370" s="32"/>
      <c r="S370" s="34"/>
    </row>
    <row r="371" customFormat="false" ht="14.25" hidden="false" customHeight="false" outlineLevel="0" collapsed="false">
      <c r="O371" s="32"/>
      <c r="P371" s="33"/>
      <c r="Q371" s="32"/>
      <c r="S371" s="34"/>
    </row>
    <row r="372" customFormat="false" ht="14.25" hidden="false" customHeight="false" outlineLevel="0" collapsed="false">
      <c r="O372" s="32"/>
      <c r="P372" s="33"/>
      <c r="Q372" s="32"/>
      <c r="S372" s="34"/>
    </row>
    <row r="373" customFormat="false" ht="14.25" hidden="false" customHeight="false" outlineLevel="0" collapsed="false">
      <c r="O373" s="32"/>
      <c r="P373" s="33"/>
      <c r="Q373" s="32"/>
      <c r="S373" s="34"/>
    </row>
    <row r="374" customFormat="false" ht="14.25" hidden="false" customHeight="false" outlineLevel="0" collapsed="false">
      <c r="O374" s="32"/>
      <c r="P374" s="33"/>
      <c r="Q374" s="32"/>
      <c r="S374" s="34"/>
    </row>
    <row r="375" customFormat="false" ht="14.25" hidden="false" customHeight="false" outlineLevel="0" collapsed="false">
      <c r="O375" s="32"/>
      <c r="P375" s="33"/>
      <c r="Q375" s="32"/>
      <c r="S375" s="34"/>
    </row>
    <row r="376" customFormat="false" ht="14.25" hidden="false" customHeight="false" outlineLevel="0" collapsed="false">
      <c r="O376" s="32"/>
      <c r="P376" s="33"/>
      <c r="Q376" s="32"/>
      <c r="S376" s="34"/>
    </row>
    <row r="377" customFormat="false" ht="14.25" hidden="false" customHeight="false" outlineLevel="0" collapsed="false">
      <c r="O377" s="32"/>
      <c r="P377" s="33"/>
      <c r="Q377" s="32"/>
      <c r="S377" s="34"/>
    </row>
    <row r="378" customFormat="false" ht="14.25" hidden="false" customHeight="false" outlineLevel="0" collapsed="false">
      <c r="O378" s="32"/>
      <c r="P378" s="33"/>
      <c r="Q378" s="32"/>
      <c r="S378" s="34"/>
    </row>
    <row r="379" customFormat="false" ht="14.25" hidden="false" customHeight="false" outlineLevel="0" collapsed="false">
      <c r="O379" s="32"/>
      <c r="P379" s="33"/>
      <c r="Q379" s="32"/>
      <c r="S379" s="34"/>
    </row>
    <row r="380" customFormat="false" ht="14.25" hidden="false" customHeight="false" outlineLevel="0" collapsed="false">
      <c r="O380" s="32"/>
      <c r="P380" s="33"/>
      <c r="Q380" s="32"/>
      <c r="S380" s="34"/>
    </row>
    <row r="381" customFormat="false" ht="14.25" hidden="false" customHeight="false" outlineLevel="0" collapsed="false">
      <c r="O381" s="32"/>
      <c r="P381" s="33"/>
      <c r="Q381" s="32"/>
      <c r="S381" s="34"/>
    </row>
    <row r="382" customFormat="false" ht="14.25" hidden="false" customHeight="false" outlineLevel="0" collapsed="false">
      <c r="O382" s="32"/>
      <c r="P382" s="33"/>
      <c r="Q382" s="32"/>
      <c r="S382" s="34"/>
    </row>
    <row r="383" customFormat="false" ht="14.25" hidden="false" customHeight="false" outlineLevel="0" collapsed="false">
      <c r="O383" s="32"/>
      <c r="P383" s="33"/>
      <c r="Q383" s="32"/>
      <c r="S383" s="34"/>
    </row>
    <row r="384" customFormat="false" ht="14.25" hidden="false" customHeight="false" outlineLevel="0" collapsed="false">
      <c r="O384" s="32"/>
      <c r="P384" s="33"/>
      <c r="Q384" s="32"/>
      <c r="S384" s="34"/>
    </row>
    <row r="385" customFormat="false" ht="14.25" hidden="false" customHeight="false" outlineLevel="0" collapsed="false">
      <c r="O385" s="32"/>
      <c r="P385" s="33"/>
      <c r="Q385" s="32"/>
      <c r="S385" s="34"/>
    </row>
    <row r="386" customFormat="false" ht="14.25" hidden="false" customHeight="false" outlineLevel="0" collapsed="false">
      <c r="O386" s="32"/>
      <c r="P386" s="33"/>
      <c r="Q386" s="32"/>
      <c r="S386" s="34"/>
    </row>
    <row r="387" customFormat="false" ht="14.25" hidden="false" customHeight="false" outlineLevel="0" collapsed="false">
      <c r="O387" s="32"/>
      <c r="P387" s="33"/>
      <c r="Q387" s="32"/>
      <c r="S387" s="34"/>
    </row>
    <row r="388" customFormat="false" ht="14.25" hidden="false" customHeight="false" outlineLevel="0" collapsed="false">
      <c r="O388" s="32"/>
      <c r="P388" s="33"/>
      <c r="Q388" s="32"/>
      <c r="S388" s="34"/>
    </row>
    <row r="389" customFormat="false" ht="14.25" hidden="false" customHeight="false" outlineLevel="0" collapsed="false">
      <c r="O389" s="32"/>
      <c r="P389" s="33"/>
      <c r="Q389" s="32"/>
      <c r="S389" s="34"/>
    </row>
    <row r="390" customFormat="false" ht="14.25" hidden="false" customHeight="false" outlineLevel="0" collapsed="false">
      <c r="O390" s="32"/>
      <c r="P390" s="33"/>
      <c r="Q390" s="32"/>
      <c r="R390" s="35"/>
      <c r="S390" s="34"/>
    </row>
    <row r="391" customFormat="false" ht="14.25" hidden="false" customHeight="false" outlineLevel="0" collapsed="false">
      <c r="O391" s="32"/>
      <c r="P391" s="33"/>
      <c r="Q391" s="32"/>
      <c r="S391" s="34"/>
    </row>
    <row r="392" customFormat="false" ht="14.25" hidden="false" customHeight="false" outlineLevel="0" collapsed="false">
      <c r="O392" s="32"/>
      <c r="P392" s="33"/>
      <c r="Q392" s="32"/>
      <c r="S392" s="34"/>
    </row>
    <row r="393" customFormat="false" ht="14.25" hidden="false" customHeight="false" outlineLevel="0" collapsed="false">
      <c r="O393" s="32"/>
      <c r="P393" s="33"/>
      <c r="Q393" s="32"/>
      <c r="S393" s="34"/>
    </row>
    <row r="394" customFormat="false" ht="14.25" hidden="false" customHeight="false" outlineLevel="0" collapsed="false">
      <c r="O394" s="32"/>
      <c r="P394" s="33"/>
      <c r="Q394" s="32"/>
      <c r="S394" s="34"/>
    </row>
    <row r="395" customFormat="false" ht="14.25" hidden="false" customHeight="false" outlineLevel="0" collapsed="false">
      <c r="O395" s="32"/>
      <c r="P395" s="33"/>
      <c r="Q395" s="32"/>
      <c r="S395" s="34"/>
    </row>
    <row r="396" customFormat="false" ht="14.25" hidden="false" customHeight="false" outlineLevel="0" collapsed="false">
      <c r="O396" s="32"/>
      <c r="P396" s="33"/>
      <c r="Q396" s="32"/>
      <c r="S396" s="34"/>
    </row>
    <row r="397" customFormat="false" ht="14.25" hidden="false" customHeight="false" outlineLevel="0" collapsed="false">
      <c r="O397" s="32"/>
      <c r="P397" s="33"/>
      <c r="Q397" s="32"/>
      <c r="S397" s="34"/>
    </row>
    <row r="398" customFormat="false" ht="14.25" hidden="false" customHeight="false" outlineLevel="0" collapsed="false">
      <c r="O398" s="32"/>
      <c r="P398" s="33"/>
      <c r="Q398" s="32"/>
      <c r="S398" s="34"/>
    </row>
    <row r="399" customFormat="false" ht="14.25" hidden="false" customHeight="false" outlineLevel="0" collapsed="false">
      <c r="O399" s="32"/>
      <c r="P399" s="33"/>
      <c r="Q399" s="32"/>
      <c r="S399" s="34"/>
    </row>
    <row r="400" customFormat="false" ht="14.25" hidden="false" customHeight="false" outlineLevel="0" collapsed="false">
      <c r="O400" s="32"/>
      <c r="P400" s="33"/>
      <c r="Q400" s="32"/>
      <c r="S400" s="34"/>
    </row>
    <row r="401" customFormat="false" ht="14.25" hidden="false" customHeight="false" outlineLevel="0" collapsed="false">
      <c r="O401" s="32"/>
      <c r="P401" s="33"/>
      <c r="Q401" s="32"/>
      <c r="S401" s="34"/>
    </row>
    <row r="402" customFormat="false" ht="14.25" hidden="false" customHeight="false" outlineLevel="0" collapsed="false">
      <c r="O402" s="32"/>
      <c r="P402" s="33"/>
      <c r="Q402" s="32"/>
      <c r="S402" s="34"/>
    </row>
    <row r="403" customFormat="false" ht="14.25" hidden="false" customHeight="false" outlineLevel="0" collapsed="false">
      <c r="O403" s="32"/>
      <c r="P403" s="33"/>
      <c r="Q403" s="32"/>
      <c r="S403" s="34"/>
    </row>
    <row r="404" customFormat="false" ht="14.25" hidden="false" customHeight="false" outlineLevel="0" collapsed="false">
      <c r="O404" s="32"/>
      <c r="P404" s="33"/>
      <c r="Q404" s="32"/>
      <c r="S404" s="34"/>
    </row>
    <row r="405" customFormat="false" ht="14.25" hidden="false" customHeight="false" outlineLevel="0" collapsed="false">
      <c r="O405" s="32"/>
      <c r="P405" s="33"/>
      <c r="Q405" s="32"/>
      <c r="S405" s="34"/>
    </row>
    <row r="406" customFormat="false" ht="14.25" hidden="false" customHeight="false" outlineLevel="0" collapsed="false">
      <c r="O406" s="32"/>
      <c r="P406" s="33"/>
      <c r="Q406" s="32"/>
      <c r="S406" s="34"/>
    </row>
    <row r="407" customFormat="false" ht="14.25" hidden="false" customHeight="false" outlineLevel="0" collapsed="false">
      <c r="O407" s="32"/>
      <c r="P407" s="33"/>
      <c r="Q407" s="32"/>
      <c r="S407" s="34"/>
    </row>
    <row r="408" customFormat="false" ht="14.25" hidden="false" customHeight="false" outlineLevel="0" collapsed="false">
      <c r="O408" s="32"/>
      <c r="P408" s="33"/>
      <c r="Q408" s="32"/>
      <c r="S408" s="34"/>
    </row>
    <row r="409" customFormat="false" ht="14.25" hidden="false" customHeight="false" outlineLevel="0" collapsed="false">
      <c r="O409" s="32"/>
      <c r="P409" s="33"/>
      <c r="Q409" s="32"/>
      <c r="S409" s="34"/>
    </row>
    <row r="410" customFormat="false" ht="14.25" hidden="false" customHeight="false" outlineLevel="0" collapsed="false">
      <c r="O410" s="32"/>
      <c r="P410" s="33"/>
      <c r="Q410" s="32"/>
      <c r="S410" s="34"/>
    </row>
    <row r="411" customFormat="false" ht="14.25" hidden="false" customHeight="false" outlineLevel="0" collapsed="false">
      <c r="O411" s="32"/>
      <c r="P411" s="33"/>
      <c r="Q411" s="32"/>
      <c r="S411" s="34"/>
    </row>
    <row r="412" customFormat="false" ht="14.25" hidden="false" customHeight="false" outlineLevel="0" collapsed="false">
      <c r="O412" s="32"/>
      <c r="P412" s="33"/>
      <c r="Q412" s="32"/>
      <c r="S412" s="34"/>
    </row>
    <row r="413" customFormat="false" ht="14.25" hidden="false" customHeight="false" outlineLevel="0" collapsed="false">
      <c r="O413" s="32"/>
      <c r="P413" s="33"/>
      <c r="Q413" s="32"/>
      <c r="S413" s="34"/>
    </row>
    <row r="414" customFormat="false" ht="14.25" hidden="false" customHeight="false" outlineLevel="0" collapsed="false">
      <c r="O414" s="32"/>
      <c r="P414" s="33"/>
      <c r="Q414" s="32"/>
      <c r="S414" s="34"/>
    </row>
    <row r="415" customFormat="false" ht="14.25" hidden="false" customHeight="false" outlineLevel="0" collapsed="false">
      <c r="O415" s="32"/>
      <c r="P415" s="33"/>
      <c r="Q415" s="32"/>
      <c r="S415" s="34"/>
    </row>
    <row r="416" customFormat="false" ht="14.25" hidden="false" customHeight="false" outlineLevel="0" collapsed="false">
      <c r="O416" s="32"/>
      <c r="P416" s="33"/>
      <c r="Q416" s="32"/>
      <c r="S416" s="34"/>
    </row>
    <row r="417" customFormat="false" ht="14.25" hidden="false" customHeight="false" outlineLevel="0" collapsed="false">
      <c r="O417" s="32"/>
      <c r="P417" s="33"/>
      <c r="Q417" s="32"/>
      <c r="S417" s="34"/>
    </row>
    <row r="418" customFormat="false" ht="14.25" hidden="false" customHeight="false" outlineLevel="0" collapsed="false">
      <c r="O418" s="32"/>
      <c r="P418" s="33"/>
      <c r="Q418" s="32"/>
      <c r="S418" s="34"/>
    </row>
    <row r="419" customFormat="false" ht="14.25" hidden="false" customHeight="false" outlineLevel="0" collapsed="false">
      <c r="O419" s="32"/>
      <c r="P419" s="33"/>
      <c r="Q419" s="32"/>
      <c r="S419" s="34"/>
    </row>
    <row r="420" customFormat="false" ht="14.25" hidden="false" customHeight="false" outlineLevel="0" collapsed="false">
      <c r="O420" s="32"/>
      <c r="P420" s="33"/>
      <c r="Q420" s="32"/>
      <c r="S420" s="34"/>
    </row>
    <row r="421" customFormat="false" ht="14.25" hidden="false" customHeight="false" outlineLevel="0" collapsed="false">
      <c r="O421" s="32"/>
      <c r="P421" s="33"/>
      <c r="Q421" s="32"/>
      <c r="S421" s="34"/>
    </row>
    <row r="422" customFormat="false" ht="14.25" hidden="false" customHeight="false" outlineLevel="0" collapsed="false">
      <c r="O422" s="32"/>
      <c r="P422" s="33"/>
      <c r="Q422" s="32"/>
      <c r="S422" s="34"/>
    </row>
    <row r="423" customFormat="false" ht="14.25" hidden="false" customHeight="false" outlineLevel="0" collapsed="false">
      <c r="O423" s="32"/>
      <c r="P423" s="33"/>
      <c r="Q423" s="32"/>
      <c r="S423" s="34"/>
    </row>
    <row r="424" customFormat="false" ht="14.25" hidden="false" customHeight="false" outlineLevel="0" collapsed="false">
      <c r="O424" s="32"/>
      <c r="P424" s="33"/>
      <c r="Q424" s="32"/>
      <c r="S424" s="34"/>
    </row>
    <row r="425" customFormat="false" ht="14.25" hidden="false" customHeight="false" outlineLevel="0" collapsed="false">
      <c r="O425" s="32"/>
      <c r="P425" s="33"/>
      <c r="Q425" s="32"/>
      <c r="S425" s="34"/>
    </row>
    <row r="426" customFormat="false" ht="14.25" hidden="false" customHeight="false" outlineLevel="0" collapsed="false">
      <c r="O426" s="32"/>
      <c r="P426" s="33"/>
      <c r="Q426" s="32"/>
      <c r="S426" s="34"/>
    </row>
    <row r="427" customFormat="false" ht="14.25" hidden="false" customHeight="false" outlineLevel="0" collapsed="false">
      <c r="O427" s="32"/>
      <c r="P427" s="33"/>
      <c r="Q427" s="32"/>
      <c r="S427" s="34"/>
    </row>
    <row r="428" customFormat="false" ht="14.25" hidden="false" customHeight="false" outlineLevel="0" collapsed="false">
      <c r="O428" s="32"/>
      <c r="P428" s="33"/>
      <c r="Q428" s="32"/>
      <c r="S428" s="34"/>
    </row>
    <row r="429" customFormat="false" ht="14.25" hidden="false" customHeight="false" outlineLevel="0" collapsed="false">
      <c r="O429" s="32"/>
      <c r="P429" s="33"/>
      <c r="Q429" s="32"/>
      <c r="S429" s="34"/>
    </row>
    <row r="430" customFormat="false" ht="14.25" hidden="false" customHeight="false" outlineLevel="0" collapsed="false">
      <c r="O430" s="32"/>
      <c r="P430" s="33"/>
      <c r="Q430" s="32"/>
      <c r="S430" s="34"/>
    </row>
    <row r="431" customFormat="false" ht="14.25" hidden="false" customHeight="false" outlineLevel="0" collapsed="false">
      <c r="O431" s="32"/>
      <c r="P431" s="33"/>
      <c r="Q431" s="32"/>
      <c r="S431" s="34"/>
    </row>
    <row r="432" customFormat="false" ht="14.25" hidden="false" customHeight="false" outlineLevel="0" collapsed="false">
      <c r="O432" s="32"/>
      <c r="P432" s="33"/>
      <c r="Q432" s="32"/>
      <c r="S432" s="34"/>
    </row>
    <row r="433" customFormat="false" ht="14.25" hidden="false" customHeight="false" outlineLevel="0" collapsed="false">
      <c r="O433" s="32"/>
      <c r="P433" s="33"/>
      <c r="Q433" s="32"/>
      <c r="S433" s="34"/>
    </row>
    <row r="434" customFormat="false" ht="14.25" hidden="false" customHeight="false" outlineLevel="0" collapsed="false">
      <c r="O434" s="32"/>
      <c r="P434" s="33"/>
      <c r="Q434" s="32"/>
      <c r="S434" s="34"/>
    </row>
    <row r="435" customFormat="false" ht="14.25" hidden="false" customHeight="false" outlineLevel="0" collapsed="false">
      <c r="O435" s="32"/>
      <c r="P435" s="33"/>
      <c r="Q435" s="32"/>
      <c r="S435" s="34"/>
    </row>
    <row r="436" customFormat="false" ht="14.25" hidden="false" customHeight="false" outlineLevel="0" collapsed="false">
      <c r="O436" s="32"/>
      <c r="P436" s="33"/>
      <c r="Q436" s="32"/>
      <c r="S436" s="34"/>
    </row>
    <row r="437" customFormat="false" ht="14.25" hidden="false" customHeight="false" outlineLevel="0" collapsed="false">
      <c r="O437" s="32"/>
      <c r="P437" s="33"/>
      <c r="Q437" s="32"/>
      <c r="S437" s="34"/>
    </row>
    <row r="438" customFormat="false" ht="14.25" hidden="false" customHeight="false" outlineLevel="0" collapsed="false">
      <c r="O438" s="32"/>
      <c r="P438" s="33"/>
      <c r="Q438" s="32"/>
      <c r="S438" s="34"/>
    </row>
    <row r="439" customFormat="false" ht="14.25" hidden="false" customHeight="false" outlineLevel="0" collapsed="false">
      <c r="O439" s="32"/>
      <c r="P439" s="33"/>
      <c r="Q439" s="32"/>
      <c r="S439" s="34"/>
    </row>
    <row r="440" customFormat="false" ht="14.25" hidden="false" customHeight="false" outlineLevel="0" collapsed="false">
      <c r="O440" s="32"/>
      <c r="P440" s="33"/>
      <c r="Q440" s="32"/>
      <c r="S440" s="34"/>
    </row>
    <row r="441" customFormat="false" ht="14.25" hidden="false" customHeight="false" outlineLevel="0" collapsed="false">
      <c r="O441" s="32"/>
      <c r="P441" s="33"/>
      <c r="Q441" s="32"/>
      <c r="S441" s="34"/>
    </row>
    <row r="442" customFormat="false" ht="14.25" hidden="false" customHeight="false" outlineLevel="0" collapsed="false">
      <c r="O442" s="32"/>
      <c r="P442" s="33"/>
      <c r="Q442" s="32"/>
      <c r="S442" s="34"/>
    </row>
    <row r="443" customFormat="false" ht="14.25" hidden="false" customHeight="false" outlineLevel="0" collapsed="false">
      <c r="O443" s="32"/>
      <c r="P443" s="33"/>
      <c r="Q443" s="32"/>
      <c r="S443" s="34"/>
    </row>
    <row r="444" customFormat="false" ht="14.25" hidden="false" customHeight="false" outlineLevel="0" collapsed="false">
      <c r="O444" s="32"/>
      <c r="P444" s="33"/>
      <c r="Q444" s="32"/>
      <c r="S444" s="34"/>
    </row>
    <row r="445" customFormat="false" ht="14.25" hidden="false" customHeight="false" outlineLevel="0" collapsed="false">
      <c r="O445" s="32"/>
      <c r="P445" s="33"/>
      <c r="Q445" s="32"/>
      <c r="S445" s="34"/>
    </row>
    <row r="446" customFormat="false" ht="14.25" hidden="false" customHeight="false" outlineLevel="0" collapsed="false">
      <c r="O446" s="32"/>
      <c r="P446" s="33"/>
      <c r="Q446" s="32"/>
      <c r="S446" s="34"/>
    </row>
    <row r="447" customFormat="false" ht="14.25" hidden="false" customHeight="false" outlineLevel="0" collapsed="false">
      <c r="O447" s="32"/>
      <c r="P447" s="33"/>
      <c r="Q447" s="32"/>
      <c r="S447" s="34"/>
    </row>
    <row r="448" customFormat="false" ht="14.25" hidden="false" customHeight="false" outlineLevel="0" collapsed="false">
      <c r="O448" s="32"/>
      <c r="P448" s="33"/>
      <c r="Q448" s="32"/>
      <c r="S448" s="34"/>
    </row>
    <row r="449" customFormat="false" ht="14.25" hidden="false" customHeight="false" outlineLevel="0" collapsed="false">
      <c r="O449" s="32"/>
      <c r="P449" s="33"/>
      <c r="Q449" s="32"/>
      <c r="S449" s="34"/>
    </row>
    <row r="450" customFormat="false" ht="14.25" hidden="false" customHeight="false" outlineLevel="0" collapsed="false">
      <c r="O450" s="32"/>
      <c r="P450" s="33"/>
      <c r="Q450" s="32"/>
      <c r="S450" s="34"/>
    </row>
    <row r="451" customFormat="false" ht="14.25" hidden="false" customHeight="false" outlineLevel="0" collapsed="false">
      <c r="O451" s="32"/>
      <c r="P451" s="33"/>
      <c r="Q451" s="32"/>
      <c r="S451" s="34"/>
    </row>
    <row r="452" customFormat="false" ht="14.25" hidden="false" customHeight="false" outlineLevel="0" collapsed="false">
      <c r="O452" s="32"/>
      <c r="P452" s="33"/>
      <c r="Q452" s="32"/>
      <c r="S452" s="34"/>
    </row>
    <row r="453" customFormat="false" ht="14.25" hidden="false" customHeight="false" outlineLevel="0" collapsed="false">
      <c r="O453" s="32"/>
      <c r="P453" s="33"/>
      <c r="Q453" s="32"/>
      <c r="R453" s="34"/>
      <c r="S453" s="34"/>
    </row>
    <row r="454" customFormat="false" ht="14.25" hidden="false" customHeight="false" outlineLevel="0" collapsed="false">
      <c r="O454" s="32"/>
      <c r="P454" s="33"/>
      <c r="Q454" s="32"/>
      <c r="S454" s="34"/>
    </row>
    <row r="455" customFormat="false" ht="14.25" hidden="false" customHeight="false" outlineLevel="0" collapsed="false">
      <c r="O455" s="32"/>
      <c r="P455" s="33"/>
      <c r="Q455" s="32"/>
      <c r="S455" s="34"/>
    </row>
    <row r="456" customFormat="false" ht="14.25" hidden="false" customHeight="false" outlineLevel="0" collapsed="false">
      <c r="O456" s="32"/>
      <c r="P456" s="33"/>
      <c r="Q456" s="32"/>
      <c r="S456" s="34"/>
    </row>
    <row r="457" customFormat="false" ht="14.25" hidden="false" customHeight="false" outlineLevel="0" collapsed="false">
      <c r="O457" s="32"/>
      <c r="P457" s="33"/>
      <c r="Q457" s="32"/>
      <c r="R457" s="34"/>
      <c r="S457" s="34"/>
    </row>
    <row r="458" customFormat="false" ht="14.25" hidden="false" customHeight="false" outlineLevel="0" collapsed="false">
      <c r="O458" s="32"/>
      <c r="P458" s="33"/>
      <c r="Q458" s="32"/>
      <c r="S458" s="34"/>
    </row>
    <row r="459" customFormat="false" ht="14.25" hidden="false" customHeight="false" outlineLevel="0" collapsed="false">
      <c r="O459" s="32"/>
      <c r="P459" s="33"/>
      <c r="Q459" s="32"/>
      <c r="S459" s="34"/>
    </row>
    <row r="460" customFormat="false" ht="14.25" hidden="false" customHeight="false" outlineLevel="0" collapsed="false">
      <c r="O460" s="32"/>
      <c r="P460" s="33"/>
      <c r="Q460" s="32"/>
      <c r="S460" s="34"/>
    </row>
    <row r="461" customFormat="false" ht="14.25" hidden="false" customHeight="false" outlineLevel="0" collapsed="false">
      <c r="O461" s="32"/>
      <c r="P461" s="33"/>
      <c r="Q461" s="32"/>
      <c r="S461" s="34"/>
    </row>
    <row r="462" customFormat="false" ht="14.25" hidden="false" customHeight="false" outlineLevel="0" collapsed="false">
      <c r="O462" s="32"/>
      <c r="P462" s="33"/>
      <c r="Q462" s="32"/>
      <c r="S462" s="34"/>
    </row>
    <row r="463" customFormat="false" ht="14.25" hidden="false" customHeight="false" outlineLevel="0" collapsed="false">
      <c r="O463" s="32"/>
      <c r="P463" s="33"/>
      <c r="Q463" s="32"/>
      <c r="S463" s="34"/>
    </row>
    <row r="464" customFormat="false" ht="14.25" hidden="false" customHeight="false" outlineLevel="0" collapsed="false">
      <c r="O464" s="32"/>
      <c r="P464" s="33"/>
      <c r="Q464" s="32"/>
      <c r="S464" s="34"/>
    </row>
    <row r="465" customFormat="false" ht="14.25" hidden="false" customHeight="false" outlineLevel="0" collapsed="false">
      <c r="O465" s="32"/>
      <c r="P465" s="33"/>
      <c r="Q465" s="32"/>
      <c r="S465" s="34"/>
    </row>
    <row r="466" customFormat="false" ht="14.25" hidden="false" customHeight="false" outlineLevel="0" collapsed="false">
      <c r="O466" s="32"/>
      <c r="P466" s="33"/>
      <c r="Q466" s="32"/>
      <c r="S466" s="34"/>
    </row>
    <row r="467" customFormat="false" ht="14.25" hidden="false" customHeight="false" outlineLevel="0" collapsed="false">
      <c r="O467" s="32"/>
      <c r="P467" s="33"/>
      <c r="Q467" s="32"/>
      <c r="S467" s="34"/>
    </row>
    <row r="468" customFormat="false" ht="14.25" hidden="false" customHeight="false" outlineLevel="0" collapsed="false">
      <c r="O468" s="32"/>
      <c r="P468" s="33"/>
      <c r="Q468" s="32"/>
      <c r="S468" s="34"/>
    </row>
    <row r="469" customFormat="false" ht="14.25" hidden="false" customHeight="false" outlineLevel="0" collapsed="false">
      <c r="O469" s="32"/>
      <c r="P469" s="33"/>
      <c r="Q469" s="32"/>
      <c r="S469" s="34"/>
    </row>
    <row r="470" customFormat="false" ht="14.25" hidden="false" customHeight="false" outlineLevel="0" collapsed="false">
      <c r="O470" s="32"/>
      <c r="P470" s="33"/>
      <c r="Q470" s="32"/>
      <c r="S470" s="34"/>
    </row>
    <row r="471" customFormat="false" ht="14.25" hidden="false" customHeight="false" outlineLevel="0" collapsed="false">
      <c r="O471" s="32"/>
      <c r="P471" s="33"/>
      <c r="Q471" s="32"/>
      <c r="S471" s="34"/>
    </row>
    <row r="472" customFormat="false" ht="14.25" hidden="false" customHeight="false" outlineLevel="0" collapsed="false">
      <c r="O472" s="32"/>
      <c r="P472" s="33"/>
      <c r="Q472" s="32"/>
      <c r="S472" s="34"/>
    </row>
    <row r="473" customFormat="false" ht="14.25" hidden="false" customHeight="false" outlineLevel="0" collapsed="false">
      <c r="O473" s="32"/>
      <c r="P473" s="33"/>
      <c r="Q473" s="32"/>
      <c r="S473" s="34"/>
    </row>
    <row r="474" customFormat="false" ht="14.25" hidden="false" customHeight="false" outlineLevel="0" collapsed="false">
      <c r="O474" s="32"/>
      <c r="P474" s="33"/>
      <c r="Q474" s="32"/>
      <c r="S474" s="34"/>
    </row>
    <row r="475" customFormat="false" ht="14.25" hidden="false" customHeight="false" outlineLevel="0" collapsed="false">
      <c r="O475" s="32"/>
      <c r="P475" s="33"/>
      <c r="Q475" s="32"/>
      <c r="S475" s="34"/>
    </row>
    <row r="476" customFormat="false" ht="14.25" hidden="false" customHeight="false" outlineLevel="0" collapsed="false">
      <c r="O476" s="32"/>
      <c r="P476" s="33"/>
      <c r="Q476" s="32"/>
      <c r="S476" s="34"/>
    </row>
    <row r="477" customFormat="false" ht="14.25" hidden="false" customHeight="false" outlineLevel="0" collapsed="false">
      <c r="O477" s="32"/>
      <c r="P477" s="33"/>
      <c r="Q477" s="32"/>
      <c r="S477" s="34"/>
    </row>
    <row r="478" customFormat="false" ht="14.25" hidden="false" customHeight="false" outlineLevel="0" collapsed="false">
      <c r="O478" s="32"/>
      <c r="P478" s="33"/>
      <c r="Q478" s="32"/>
      <c r="S478" s="34"/>
    </row>
    <row r="479" customFormat="false" ht="14.25" hidden="false" customHeight="false" outlineLevel="0" collapsed="false">
      <c r="O479" s="32"/>
      <c r="P479" s="33"/>
      <c r="Q479" s="32"/>
      <c r="S479" s="34"/>
    </row>
    <row r="480" customFormat="false" ht="14.25" hidden="false" customHeight="false" outlineLevel="0" collapsed="false">
      <c r="O480" s="32"/>
      <c r="P480" s="33"/>
      <c r="Q480" s="32"/>
      <c r="S480" s="34"/>
    </row>
    <row r="481" customFormat="false" ht="14.25" hidden="false" customHeight="false" outlineLevel="0" collapsed="false">
      <c r="O481" s="32"/>
      <c r="P481" s="33"/>
      <c r="Q481" s="32"/>
      <c r="S481" s="34"/>
    </row>
    <row r="482" customFormat="false" ht="14.25" hidden="false" customHeight="false" outlineLevel="0" collapsed="false">
      <c r="O482" s="32"/>
      <c r="P482" s="33"/>
      <c r="Q482" s="32"/>
      <c r="S482" s="34"/>
    </row>
    <row r="483" customFormat="false" ht="14.25" hidden="false" customHeight="false" outlineLevel="0" collapsed="false">
      <c r="O483" s="32"/>
      <c r="P483" s="33"/>
      <c r="Q483" s="32"/>
      <c r="S483" s="34"/>
    </row>
    <row r="484" customFormat="false" ht="14.25" hidden="false" customHeight="false" outlineLevel="0" collapsed="false">
      <c r="O484" s="32"/>
      <c r="P484" s="33"/>
      <c r="Q484" s="32"/>
      <c r="S484" s="34"/>
    </row>
    <row r="485" customFormat="false" ht="14.25" hidden="false" customHeight="false" outlineLevel="0" collapsed="false">
      <c r="O485" s="32"/>
      <c r="P485" s="33"/>
      <c r="Q485" s="32"/>
      <c r="S485" s="34"/>
    </row>
    <row r="486" customFormat="false" ht="14.25" hidden="false" customHeight="false" outlineLevel="0" collapsed="false">
      <c r="O486" s="32"/>
      <c r="P486" s="33"/>
      <c r="Q486" s="32"/>
      <c r="S486" s="34"/>
    </row>
    <row r="487" customFormat="false" ht="14.25" hidden="false" customHeight="false" outlineLevel="0" collapsed="false">
      <c r="O487" s="32"/>
      <c r="P487" s="33"/>
      <c r="Q487" s="32"/>
      <c r="S487" s="34"/>
    </row>
    <row r="488" customFormat="false" ht="14.25" hidden="false" customHeight="false" outlineLevel="0" collapsed="false">
      <c r="O488" s="32"/>
      <c r="P488" s="33"/>
      <c r="Q488" s="32"/>
      <c r="S488" s="34"/>
    </row>
    <row r="489" customFormat="false" ht="14.25" hidden="false" customHeight="false" outlineLevel="0" collapsed="false">
      <c r="O489" s="32"/>
      <c r="P489" s="33"/>
      <c r="Q489" s="32"/>
      <c r="S489" s="34"/>
    </row>
    <row r="490" customFormat="false" ht="14.25" hidden="false" customHeight="false" outlineLevel="0" collapsed="false">
      <c r="O490" s="32"/>
      <c r="P490" s="33"/>
      <c r="Q490" s="32"/>
      <c r="S490" s="34"/>
    </row>
    <row r="491" customFormat="false" ht="14.25" hidden="false" customHeight="false" outlineLevel="0" collapsed="false">
      <c r="O491" s="32"/>
      <c r="P491" s="33"/>
      <c r="Q491" s="32"/>
      <c r="S491" s="34"/>
    </row>
    <row r="492" customFormat="false" ht="14.25" hidden="false" customHeight="false" outlineLevel="0" collapsed="false">
      <c r="O492" s="32"/>
      <c r="P492" s="33"/>
      <c r="Q492" s="32"/>
      <c r="S492" s="34"/>
    </row>
    <row r="493" customFormat="false" ht="14.25" hidden="false" customHeight="false" outlineLevel="0" collapsed="false">
      <c r="O493" s="32"/>
      <c r="P493" s="33"/>
      <c r="Q493" s="32"/>
      <c r="S493" s="34"/>
    </row>
    <row r="494" customFormat="false" ht="14.25" hidden="false" customHeight="false" outlineLevel="0" collapsed="false">
      <c r="O494" s="32"/>
      <c r="P494" s="33"/>
      <c r="Q494" s="32"/>
      <c r="R494" s="35"/>
      <c r="S494" s="34"/>
    </row>
    <row r="495" customFormat="false" ht="14.25" hidden="false" customHeight="false" outlineLevel="0" collapsed="false">
      <c r="O495" s="32"/>
      <c r="P495" s="33"/>
      <c r="Q495" s="32"/>
      <c r="S495" s="34"/>
    </row>
    <row r="496" customFormat="false" ht="14.25" hidden="false" customHeight="false" outlineLevel="0" collapsed="false">
      <c r="O496" s="32"/>
      <c r="P496" s="33"/>
      <c r="Q496" s="32"/>
      <c r="S496" s="34"/>
    </row>
    <row r="497" customFormat="false" ht="14.25" hidden="false" customHeight="false" outlineLevel="0" collapsed="false">
      <c r="O497" s="32"/>
      <c r="P497" s="33"/>
      <c r="Q497" s="32"/>
      <c r="S497" s="34"/>
    </row>
    <row r="498" customFormat="false" ht="14.25" hidden="false" customHeight="false" outlineLevel="0" collapsed="false">
      <c r="O498" s="32"/>
      <c r="P498" s="33"/>
      <c r="Q498" s="32"/>
      <c r="S498" s="34"/>
    </row>
    <row r="499" customFormat="false" ht="14.25" hidden="false" customHeight="false" outlineLevel="0" collapsed="false">
      <c r="O499" s="32"/>
      <c r="P499" s="33"/>
      <c r="Q499" s="32"/>
      <c r="S499" s="34"/>
    </row>
    <row r="500" customFormat="false" ht="14.25" hidden="false" customHeight="false" outlineLevel="0" collapsed="false">
      <c r="O500" s="32"/>
      <c r="P500" s="33"/>
      <c r="Q500" s="32"/>
      <c r="S500" s="34"/>
    </row>
    <row r="501" customFormat="false" ht="14.25" hidden="false" customHeight="false" outlineLevel="0" collapsed="false">
      <c r="O501" s="32"/>
      <c r="P501" s="33"/>
      <c r="Q501" s="32"/>
      <c r="S501" s="34"/>
    </row>
    <row r="502" customFormat="false" ht="14.25" hidden="false" customHeight="false" outlineLevel="0" collapsed="false">
      <c r="O502" s="32"/>
      <c r="P502" s="33"/>
      <c r="Q502" s="32"/>
      <c r="S502" s="34"/>
    </row>
    <row r="503" customFormat="false" ht="14.25" hidden="false" customHeight="false" outlineLevel="0" collapsed="false">
      <c r="O503" s="32"/>
      <c r="P503" s="33"/>
      <c r="Q503" s="32"/>
      <c r="S503" s="34"/>
    </row>
    <row r="504" customFormat="false" ht="14.25" hidden="false" customHeight="false" outlineLevel="0" collapsed="false">
      <c r="O504" s="32"/>
      <c r="P504" s="33"/>
      <c r="Q504" s="32"/>
      <c r="S504" s="34"/>
    </row>
    <row r="505" customFormat="false" ht="14.25" hidden="false" customHeight="false" outlineLevel="0" collapsed="false">
      <c r="O505" s="32"/>
      <c r="P505" s="33"/>
      <c r="Q505" s="32"/>
      <c r="S505" s="34"/>
    </row>
    <row r="506" customFormat="false" ht="14.25" hidden="false" customHeight="false" outlineLevel="0" collapsed="false">
      <c r="O506" s="32"/>
      <c r="P506" s="33"/>
      <c r="Q506" s="32"/>
      <c r="S506" s="34"/>
    </row>
    <row r="507" customFormat="false" ht="14.25" hidden="false" customHeight="false" outlineLevel="0" collapsed="false">
      <c r="O507" s="32"/>
      <c r="P507" s="33"/>
      <c r="Q507" s="32"/>
      <c r="S507" s="34"/>
    </row>
    <row r="508" customFormat="false" ht="14.25" hidden="false" customHeight="false" outlineLevel="0" collapsed="false">
      <c r="O508" s="32"/>
      <c r="P508" s="33"/>
      <c r="Q508" s="32"/>
      <c r="S508" s="34"/>
    </row>
    <row r="509" customFormat="false" ht="14.25" hidden="false" customHeight="false" outlineLevel="0" collapsed="false">
      <c r="O509" s="32"/>
      <c r="P509" s="33"/>
      <c r="Q509" s="32"/>
      <c r="S509" s="34"/>
    </row>
    <row r="510" customFormat="false" ht="14.25" hidden="false" customHeight="false" outlineLevel="0" collapsed="false">
      <c r="O510" s="32"/>
      <c r="P510" s="33"/>
      <c r="Q510" s="32"/>
      <c r="S510" s="34"/>
    </row>
    <row r="511" customFormat="false" ht="14.25" hidden="false" customHeight="false" outlineLevel="0" collapsed="false">
      <c r="O511" s="32"/>
      <c r="P511" s="33"/>
      <c r="Q511" s="32"/>
      <c r="S511" s="34"/>
    </row>
    <row r="512" customFormat="false" ht="14.25" hidden="false" customHeight="false" outlineLevel="0" collapsed="false">
      <c r="O512" s="32"/>
      <c r="P512" s="33"/>
      <c r="Q512" s="32"/>
      <c r="S512" s="34"/>
    </row>
    <row r="513" customFormat="false" ht="14.25" hidden="false" customHeight="false" outlineLevel="0" collapsed="false">
      <c r="O513" s="32"/>
      <c r="P513" s="33"/>
      <c r="Q513" s="32"/>
      <c r="S513" s="34"/>
    </row>
    <row r="514" customFormat="false" ht="14.25" hidden="false" customHeight="false" outlineLevel="0" collapsed="false">
      <c r="O514" s="32"/>
      <c r="P514" s="33"/>
      <c r="Q514" s="32"/>
      <c r="S514" s="34"/>
    </row>
    <row r="515" customFormat="false" ht="14.25" hidden="false" customHeight="false" outlineLevel="0" collapsed="false">
      <c r="O515" s="32"/>
      <c r="P515" s="33"/>
      <c r="Q515" s="32"/>
      <c r="S515" s="34"/>
    </row>
    <row r="516" customFormat="false" ht="14.25" hidden="false" customHeight="false" outlineLevel="0" collapsed="false">
      <c r="O516" s="32"/>
      <c r="P516" s="33"/>
      <c r="Q516" s="32"/>
      <c r="S516" s="34"/>
    </row>
    <row r="517" customFormat="false" ht="14.25" hidden="false" customHeight="false" outlineLevel="0" collapsed="false">
      <c r="O517" s="32"/>
      <c r="P517" s="33"/>
      <c r="Q517" s="32"/>
      <c r="R517" s="34"/>
      <c r="S517" s="34"/>
    </row>
    <row r="518" customFormat="false" ht="14.25" hidden="false" customHeight="false" outlineLevel="0" collapsed="false">
      <c r="O518" s="32"/>
      <c r="P518" s="33"/>
      <c r="Q518" s="32"/>
      <c r="R518" s="34"/>
      <c r="S518" s="34"/>
    </row>
    <row r="519" customFormat="false" ht="14.25" hidden="false" customHeight="false" outlineLevel="0" collapsed="false">
      <c r="O519" s="32"/>
      <c r="P519" s="33"/>
      <c r="Q519" s="32"/>
      <c r="S519" s="34"/>
    </row>
    <row r="520" customFormat="false" ht="14.25" hidden="false" customHeight="false" outlineLevel="0" collapsed="false">
      <c r="O520" s="32"/>
      <c r="P520" s="33"/>
      <c r="Q520" s="32"/>
      <c r="S520" s="34"/>
    </row>
    <row r="521" customFormat="false" ht="14.25" hidden="false" customHeight="false" outlineLevel="0" collapsed="false">
      <c r="O521" s="32"/>
      <c r="P521" s="33"/>
      <c r="Q521" s="32"/>
      <c r="S521" s="34"/>
    </row>
    <row r="522" customFormat="false" ht="14.25" hidden="false" customHeight="false" outlineLevel="0" collapsed="false">
      <c r="O522" s="32"/>
      <c r="P522" s="33"/>
      <c r="Q522" s="32"/>
      <c r="S522" s="34"/>
    </row>
    <row r="523" customFormat="false" ht="14.25" hidden="false" customHeight="false" outlineLevel="0" collapsed="false">
      <c r="O523" s="32"/>
      <c r="P523" s="33"/>
      <c r="Q523" s="32"/>
      <c r="S523" s="34"/>
    </row>
    <row r="524" customFormat="false" ht="14.25" hidden="false" customHeight="false" outlineLevel="0" collapsed="false">
      <c r="O524" s="32"/>
      <c r="P524" s="33"/>
      <c r="Q524" s="32"/>
      <c r="S524" s="34"/>
    </row>
    <row r="525" customFormat="false" ht="14.25" hidden="false" customHeight="false" outlineLevel="0" collapsed="false">
      <c r="O525" s="32"/>
      <c r="P525" s="33"/>
      <c r="Q525" s="32"/>
      <c r="S525" s="34"/>
    </row>
    <row r="526" customFormat="false" ht="14.25" hidden="false" customHeight="false" outlineLevel="0" collapsed="false">
      <c r="O526" s="32"/>
      <c r="P526" s="33"/>
      <c r="Q526" s="32"/>
      <c r="S526" s="34"/>
    </row>
    <row r="527" customFormat="false" ht="14.25" hidden="false" customHeight="false" outlineLevel="0" collapsed="false">
      <c r="O527" s="32"/>
      <c r="P527" s="33"/>
      <c r="Q527" s="32"/>
      <c r="S527" s="34"/>
    </row>
    <row r="528" customFormat="false" ht="14.25" hidden="false" customHeight="false" outlineLevel="0" collapsed="false">
      <c r="O528" s="32"/>
      <c r="P528" s="33"/>
      <c r="Q528" s="32"/>
      <c r="S528" s="34"/>
    </row>
    <row r="529" customFormat="false" ht="14.25" hidden="false" customHeight="false" outlineLevel="0" collapsed="false">
      <c r="O529" s="32"/>
      <c r="P529" s="33"/>
      <c r="Q529" s="32"/>
      <c r="S529" s="34"/>
    </row>
    <row r="530" customFormat="false" ht="14.25" hidden="false" customHeight="false" outlineLevel="0" collapsed="false">
      <c r="O530" s="32"/>
      <c r="P530" s="33"/>
      <c r="Q530" s="32"/>
      <c r="S530" s="34"/>
    </row>
    <row r="531" customFormat="false" ht="14.25" hidden="false" customHeight="false" outlineLevel="0" collapsed="false">
      <c r="O531" s="32"/>
      <c r="P531" s="33"/>
      <c r="Q531" s="32"/>
      <c r="S531" s="34"/>
    </row>
    <row r="532" customFormat="false" ht="14.25" hidden="false" customHeight="false" outlineLevel="0" collapsed="false">
      <c r="O532" s="32"/>
      <c r="P532" s="33"/>
      <c r="Q532" s="32"/>
      <c r="S532" s="34"/>
    </row>
    <row r="533" customFormat="false" ht="14.25" hidden="false" customHeight="false" outlineLevel="0" collapsed="false">
      <c r="O533" s="32"/>
      <c r="P533" s="33"/>
      <c r="Q533" s="32"/>
      <c r="S533" s="34"/>
    </row>
    <row r="534" customFormat="false" ht="14.25" hidden="false" customHeight="false" outlineLevel="0" collapsed="false">
      <c r="O534" s="32"/>
      <c r="P534" s="33"/>
      <c r="Q534" s="32"/>
      <c r="S534" s="34"/>
    </row>
    <row r="535" customFormat="false" ht="14.25" hidden="false" customHeight="false" outlineLevel="0" collapsed="false">
      <c r="O535" s="32"/>
      <c r="P535" s="33"/>
      <c r="Q535" s="32"/>
      <c r="S535" s="34"/>
    </row>
    <row r="536" customFormat="false" ht="14.25" hidden="false" customHeight="false" outlineLevel="0" collapsed="false">
      <c r="O536" s="32"/>
      <c r="P536" s="33"/>
      <c r="Q536" s="32"/>
      <c r="S536" s="34"/>
    </row>
    <row r="537" customFormat="false" ht="14.25" hidden="false" customHeight="false" outlineLevel="0" collapsed="false">
      <c r="O537" s="32"/>
      <c r="P537" s="33"/>
      <c r="Q537" s="32"/>
      <c r="S537" s="34"/>
    </row>
    <row r="538" customFormat="false" ht="14.25" hidden="false" customHeight="false" outlineLevel="0" collapsed="false">
      <c r="O538" s="32"/>
      <c r="P538" s="33"/>
      <c r="Q538" s="32"/>
      <c r="S538" s="34"/>
    </row>
    <row r="539" customFormat="false" ht="14.25" hidden="false" customHeight="false" outlineLevel="0" collapsed="false">
      <c r="O539" s="32"/>
      <c r="P539" s="33"/>
      <c r="Q539" s="32"/>
      <c r="S539" s="34"/>
    </row>
    <row r="540" customFormat="false" ht="14.25" hidden="false" customHeight="false" outlineLevel="0" collapsed="false">
      <c r="O540" s="32"/>
      <c r="P540" s="33"/>
      <c r="Q540" s="32"/>
      <c r="S540" s="34"/>
    </row>
    <row r="541" customFormat="false" ht="14.25" hidden="false" customHeight="false" outlineLevel="0" collapsed="false">
      <c r="O541" s="32"/>
      <c r="P541" s="33"/>
      <c r="Q541" s="32"/>
      <c r="S541" s="34"/>
    </row>
    <row r="542" customFormat="false" ht="14.25" hidden="false" customHeight="false" outlineLevel="0" collapsed="false">
      <c r="O542" s="32"/>
      <c r="P542" s="33"/>
      <c r="Q542" s="32"/>
      <c r="S542" s="34"/>
    </row>
    <row r="543" customFormat="false" ht="14.25" hidden="false" customHeight="false" outlineLevel="0" collapsed="false">
      <c r="O543" s="32"/>
      <c r="P543" s="33"/>
      <c r="Q543" s="32"/>
      <c r="S543" s="34"/>
    </row>
    <row r="544" customFormat="false" ht="14.25" hidden="false" customHeight="false" outlineLevel="0" collapsed="false">
      <c r="O544" s="32"/>
      <c r="P544" s="33"/>
      <c r="Q544" s="32"/>
      <c r="S544" s="34"/>
    </row>
    <row r="545" customFormat="false" ht="14.25" hidden="false" customHeight="false" outlineLevel="0" collapsed="false">
      <c r="O545" s="32"/>
      <c r="P545" s="33"/>
      <c r="Q545" s="32"/>
      <c r="S545" s="34"/>
    </row>
    <row r="546" customFormat="false" ht="14.25" hidden="false" customHeight="false" outlineLevel="0" collapsed="false">
      <c r="O546" s="32"/>
      <c r="P546" s="33"/>
      <c r="Q546" s="32"/>
      <c r="S546" s="34"/>
    </row>
    <row r="547" customFormat="false" ht="14.25" hidden="false" customHeight="false" outlineLevel="0" collapsed="false">
      <c r="O547" s="32"/>
      <c r="P547" s="33"/>
      <c r="Q547" s="32"/>
      <c r="S547" s="34"/>
    </row>
    <row r="548" customFormat="false" ht="14.25" hidden="false" customHeight="false" outlineLevel="0" collapsed="false">
      <c r="O548" s="32"/>
      <c r="P548" s="33"/>
      <c r="Q548" s="32"/>
      <c r="S548" s="34"/>
    </row>
    <row r="549" customFormat="false" ht="14.25" hidden="false" customHeight="false" outlineLevel="0" collapsed="false">
      <c r="O549" s="32"/>
      <c r="P549" s="33"/>
      <c r="Q549" s="32"/>
      <c r="S549" s="34"/>
    </row>
    <row r="550" customFormat="false" ht="14.25" hidden="false" customHeight="false" outlineLevel="0" collapsed="false">
      <c r="O550" s="32"/>
      <c r="P550" s="33"/>
      <c r="Q550" s="32"/>
      <c r="S550" s="34"/>
    </row>
    <row r="551" customFormat="false" ht="14.25" hidden="false" customHeight="false" outlineLevel="0" collapsed="false">
      <c r="O551" s="32"/>
      <c r="P551" s="33"/>
      <c r="Q551" s="32"/>
      <c r="S551" s="34"/>
    </row>
    <row r="552" customFormat="false" ht="14.25" hidden="false" customHeight="false" outlineLevel="0" collapsed="false">
      <c r="O552" s="32"/>
      <c r="P552" s="33"/>
      <c r="Q552" s="32"/>
      <c r="S552" s="34"/>
    </row>
    <row r="553" customFormat="false" ht="14.25" hidden="false" customHeight="false" outlineLevel="0" collapsed="false">
      <c r="O553" s="32"/>
      <c r="P553" s="33"/>
      <c r="Q553" s="32"/>
      <c r="S553" s="34"/>
    </row>
    <row r="554" customFormat="false" ht="14.25" hidden="false" customHeight="false" outlineLevel="0" collapsed="false">
      <c r="O554" s="32"/>
      <c r="P554" s="33"/>
      <c r="Q554" s="32"/>
      <c r="S554" s="34"/>
    </row>
    <row r="555" customFormat="false" ht="14.25" hidden="false" customHeight="false" outlineLevel="0" collapsed="false">
      <c r="O555" s="32"/>
      <c r="P555" s="33"/>
      <c r="Q555" s="32"/>
      <c r="S555" s="34"/>
    </row>
    <row r="556" customFormat="false" ht="14.25" hidden="false" customHeight="false" outlineLevel="0" collapsed="false">
      <c r="O556" s="32"/>
      <c r="P556" s="33"/>
      <c r="Q556" s="32"/>
      <c r="S556" s="34"/>
    </row>
    <row r="557" customFormat="false" ht="14.25" hidden="false" customHeight="false" outlineLevel="0" collapsed="false">
      <c r="O557" s="32"/>
      <c r="P557" s="33"/>
      <c r="Q557" s="32"/>
      <c r="S557" s="34"/>
    </row>
    <row r="558" customFormat="false" ht="14.25" hidden="false" customHeight="false" outlineLevel="0" collapsed="false">
      <c r="O558" s="32"/>
      <c r="P558" s="33"/>
      <c r="Q558" s="32"/>
      <c r="S558" s="34"/>
    </row>
    <row r="559" customFormat="false" ht="14.25" hidden="false" customHeight="false" outlineLevel="0" collapsed="false">
      <c r="O559" s="32"/>
      <c r="P559" s="33"/>
      <c r="Q559" s="32"/>
      <c r="S559" s="34"/>
    </row>
    <row r="560" customFormat="false" ht="14.25" hidden="false" customHeight="false" outlineLevel="0" collapsed="false">
      <c r="O560" s="32"/>
      <c r="P560" s="33"/>
      <c r="Q560" s="32"/>
      <c r="S560" s="34"/>
    </row>
    <row r="561" customFormat="false" ht="14.25" hidden="false" customHeight="false" outlineLevel="0" collapsed="false">
      <c r="O561" s="32"/>
      <c r="P561" s="33"/>
      <c r="Q561" s="32"/>
      <c r="S561" s="34"/>
    </row>
    <row r="562" customFormat="false" ht="14.25" hidden="false" customHeight="false" outlineLevel="0" collapsed="false">
      <c r="O562" s="32"/>
      <c r="P562" s="33"/>
      <c r="Q562" s="32"/>
      <c r="S562" s="34"/>
    </row>
    <row r="563" customFormat="false" ht="14.25" hidden="false" customHeight="false" outlineLevel="0" collapsed="false">
      <c r="O563" s="32"/>
      <c r="P563" s="33"/>
      <c r="Q563" s="32"/>
      <c r="S563" s="34"/>
    </row>
    <row r="564" customFormat="false" ht="14.25" hidden="false" customHeight="false" outlineLevel="0" collapsed="false">
      <c r="O564" s="32"/>
      <c r="P564" s="33"/>
      <c r="Q564" s="32"/>
      <c r="S564" s="34"/>
    </row>
    <row r="565" customFormat="false" ht="14.25" hidden="false" customHeight="false" outlineLevel="0" collapsed="false">
      <c r="O565" s="32"/>
      <c r="P565" s="33"/>
      <c r="Q565" s="32"/>
      <c r="S565" s="34"/>
    </row>
    <row r="566" customFormat="false" ht="14.25" hidden="false" customHeight="false" outlineLevel="0" collapsed="false">
      <c r="O566" s="32"/>
      <c r="P566" s="33"/>
      <c r="Q566" s="32"/>
      <c r="S566" s="34"/>
    </row>
    <row r="567" customFormat="false" ht="14.25" hidden="false" customHeight="false" outlineLevel="0" collapsed="false">
      <c r="O567" s="32"/>
      <c r="P567" s="33"/>
      <c r="Q567" s="32"/>
      <c r="S567" s="34"/>
    </row>
    <row r="568" customFormat="false" ht="14.25" hidden="false" customHeight="false" outlineLevel="0" collapsed="false">
      <c r="O568" s="32"/>
      <c r="P568" s="33"/>
      <c r="Q568" s="32"/>
      <c r="S568" s="34"/>
    </row>
    <row r="569" customFormat="false" ht="14.25" hidden="false" customHeight="false" outlineLevel="0" collapsed="false">
      <c r="O569" s="32"/>
      <c r="P569" s="33"/>
      <c r="Q569" s="32"/>
      <c r="S569" s="34"/>
    </row>
    <row r="570" customFormat="false" ht="14.25" hidden="false" customHeight="false" outlineLevel="0" collapsed="false">
      <c r="O570" s="32"/>
      <c r="P570" s="33"/>
      <c r="Q570" s="32"/>
      <c r="S570" s="34"/>
    </row>
    <row r="571" customFormat="false" ht="14.25" hidden="false" customHeight="false" outlineLevel="0" collapsed="false">
      <c r="O571" s="32"/>
      <c r="P571" s="33"/>
      <c r="Q571" s="32"/>
      <c r="S571" s="34"/>
    </row>
    <row r="572" customFormat="false" ht="14.25" hidden="false" customHeight="false" outlineLevel="0" collapsed="false">
      <c r="O572" s="32"/>
      <c r="P572" s="33"/>
      <c r="Q572" s="32"/>
      <c r="S572" s="34"/>
    </row>
    <row r="573" customFormat="false" ht="14.25" hidden="false" customHeight="false" outlineLevel="0" collapsed="false">
      <c r="O573" s="32"/>
      <c r="P573" s="33"/>
      <c r="Q573" s="32"/>
      <c r="S573" s="34"/>
    </row>
    <row r="574" customFormat="false" ht="14.25" hidden="false" customHeight="false" outlineLevel="0" collapsed="false">
      <c r="O574" s="32"/>
      <c r="P574" s="33"/>
      <c r="Q574" s="32"/>
      <c r="S574" s="34"/>
    </row>
    <row r="575" customFormat="false" ht="14.25" hidden="false" customHeight="false" outlineLevel="0" collapsed="false">
      <c r="O575" s="32"/>
      <c r="P575" s="33"/>
      <c r="Q575" s="32"/>
      <c r="S575" s="34"/>
    </row>
    <row r="576" customFormat="false" ht="14.25" hidden="false" customHeight="false" outlineLevel="0" collapsed="false">
      <c r="O576" s="32"/>
      <c r="P576" s="33"/>
      <c r="Q576" s="32"/>
      <c r="S576" s="34"/>
    </row>
    <row r="577" customFormat="false" ht="14.25" hidden="false" customHeight="false" outlineLevel="0" collapsed="false">
      <c r="O577" s="32"/>
      <c r="P577" s="33"/>
      <c r="Q577" s="32"/>
      <c r="S577" s="34"/>
    </row>
    <row r="578" customFormat="false" ht="14.25" hidden="false" customHeight="false" outlineLevel="0" collapsed="false">
      <c r="O578" s="32"/>
      <c r="P578" s="33"/>
      <c r="Q578" s="32"/>
      <c r="R578" s="35"/>
      <c r="S578" s="34"/>
    </row>
    <row r="579" customFormat="false" ht="14.25" hidden="false" customHeight="false" outlineLevel="0" collapsed="false">
      <c r="O579" s="32"/>
      <c r="P579" s="33"/>
      <c r="Q579" s="32"/>
      <c r="S579" s="34"/>
    </row>
    <row r="580" customFormat="false" ht="14.25" hidden="false" customHeight="false" outlineLevel="0" collapsed="false">
      <c r="O580" s="32"/>
      <c r="P580" s="33"/>
      <c r="Q580" s="32"/>
      <c r="S580" s="34"/>
    </row>
    <row r="581" customFormat="false" ht="14.25" hidden="false" customHeight="false" outlineLevel="0" collapsed="false">
      <c r="O581" s="32"/>
      <c r="P581" s="33"/>
      <c r="Q581" s="32"/>
      <c r="S581" s="34"/>
    </row>
    <row r="582" customFormat="false" ht="14.25" hidden="false" customHeight="false" outlineLevel="0" collapsed="false">
      <c r="O582" s="32"/>
      <c r="P582" s="33"/>
      <c r="Q582" s="32"/>
      <c r="S582" s="34"/>
    </row>
    <row r="583" customFormat="false" ht="14.25" hidden="false" customHeight="false" outlineLevel="0" collapsed="false">
      <c r="O583" s="32"/>
      <c r="P583" s="33"/>
      <c r="Q583" s="32"/>
      <c r="S583" s="34"/>
    </row>
    <row r="584" customFormat="false" ht="14.25" hidden="false" customHeight="false" outlineLevel="0" collapsed="false">
      <c r="O584" s="32"/>
      <c r="P584" s="33"/>
      <c r="Q584" s="32"/>
      <c r="S584" s="34"/>
    </row>
    <row r="585" customFormat="false" ht="14.25" hidden="false" customHeight="false" outlineLevel="0" collapsed="false">
      <c r="O585" s="32"/>
      <c r="P585" s="33"/>
      <c r="Q585" s="32"/>
      <c r="S585" s="34"/>
    </row>
    <row r="586" customFormat="false" ht="14.25" hidden="false" customHeight="false" outlineLevel="0" collapsed="false">
      <c r="O586" s="32"/>
      <c r="P586" s="33"/>
      <c r="Q586" s="32"/>
      <c r="S586" s="34"/>
    </row>
    <row r="587" customFormat="false" ht="14.25" hidden="false" customHeight="false" outlineLevel="0" collapsed="false">
      <c r="O587" s="32"/>
      <c r="P587" s="33"/>
      <c r="Q587" s="32"/>
      <c r="S587" s="34"/>
    </row>
    <row r="588" customFormat="false" ht="14.25" hidden="false" customHeight="false" outlineLevel="0" collapsed="false">
      <c r="O588" s="32"/>
      <c r="P588" s="33"/>
      <c r="Q588" s="32"/>
      <c r="S588" s="34"/>
    </row>
    <row r="589" customFormat="false" ht="14.25" hidden="false" customHeight="false" outlineLevel="0" collapsed="false">
      <c r="O589" s="32"/>
      <c r="P589" s="33"/>
      <c r="Q589" s="32"/>
      <c r="S589" s="34"/>
    </row>
    <row r="590" customFormat="false" ht="14.25" hidden="false" customHeight="false" outlineLevel="0" collapsed="false">
      <c r="O590" s="32"/>
      <c r="P590" s="33"/>
      <c r="Q590" s="32"/>
      <c r="S590" s="34"/>
    </row>
    <row r="591" customFormat="false" ht="14.25" hidden="false" customHeight="false" outlineLevel="0" collapsed="false">
      <c r="O591" s="32"/>
      <c r="P591" s="33"/>
      <c r="Q591" s="32"/>
      <c r="S591" s="34"/>
    </row>
    <row r="592" customFormat="false" ht="14.25" hidden="false" customHeight="false" outlineLevel="0" collapsed="false">
      <c r="O592" s="32"/>
      <c r="P592" s="33"/>
      <c r="Q592" s="32"/>
      <c r="S592" s="34"/>
    </row>
    <row r="593" customFormat="false" ht="14.25" hidden="false" customHeight="false" outlineLevel="0" collapsed="false">
      <c r="O593" s="32"/>
      <c r="P593" s="33"/>
      <c r="Q593" s="32"/>
      <c r="S593" s="34"/>
    </row>
    <row r="594" customFormat="false" ht="14.25" hidden="false" customHeight="false" outlineLevel="0" collapsed="false">
      <c r="O594" s="32"/>
      <c r="P594" s="33"/>
      <c r="Q594" s="32"/>
      <c r="S594" s="34"/>
    </row>
    <row r="595" customFormat="false" ht="14.25" hidden="false" customHeight="false" outlineLevel="0" collapsed="false">
      <c r="O595" s="32"/>
      <c r="P595" s="33"/>
      <c r="Q595" s="32"/>
      <c r="S595" s="34"/>
    </row>
    <row r="596" customFormat="false" ht="14.25" hidden="false" customHeight="false" outlineLevel="0" collapsed="false">
      <c r="O596" s="32"/>
      <c r="P596" s="33"/>
      <c r="Q596" s="32"/>
      <c r="S596" s="34"/>
    </row>
    <row r="597" customFormat="false" ht="14.25" hidden="false" customHeight="false" outlineLevel="0" collapsed="false">
      <c r="O597" s="32"/>
      <c r="P597" s="33"/>
      <c r="Q597" s="32"/>
      <c r="S597" s="34"/>
    </row>
    <row r="598" customFormat="false" ht="14.25" hidden="false" customHeight="false" outlineLevel="0" collapsed="false">
      <c r="O598" s="32"/>
      <c r="P598" s="33"/>
      <c r="Q598" s="32"/>
      <c r="S598" s="34"/>
    </row>
    <row r="599" customFormat="false" ht="14.25" hidden="false" customHeight="false" outlineLevel="0" collapsed="false">
      <c r="O599" s="32"/>
      <c r="P599" s="33"/>
      <c r="Q599" s="32"/>
      <c r="S599" s="34"/>
    </row>
    <row r="600" customFormat="false" ht="14.25" hidden="false" customHeight="false" outlineLevel="0" collapsed="false">
      <c r="O600" s="32"/>
      <c r="P600" s="33"/>
      <c r="Q600" s="32"/>
      <c r="S600" s="34"/>
    </row>
    <row r="601" customFormat="false" ht="14.25" hidden="false" customHeight="false" outlineLevel="0" collapsed="false">
      <c r="O601" s="32"/>
      <c r="P601" s="33"/>
      <c r="Q601" s="32"/>
      <c r="S601" s="34"/>
    </row>
    <row r="602" customFormat="false" ht="14.25" hidden="false" customHeight="false" outlineLevel="0" collapsed="false">
      <c r="O602" s="32"/>
      <c r="P602" s="33"/>
      <c r="Q602" s="32"/>
      <c r="S602" s="34"/>
    </row>
    <row r="603" customFormat="false" ht="14.25" hidden="false" customHeight="false" outlineLevel="0" collapsed="false">
      <c r="O603" s="32"/>
      <c r="P603" s="33"/>
      <c r="Q603" s="32"/>
      <c r="S603" s="34"/>
    </row>
    <row r="604" customFormat="false" ht="14.25" hidden="false" customHeight="false" outlineLevel="0" collapsed="false">
      <c r="O604" s="32"/>
      <c r="P604" s="33"/>
      <c r="Q604" s="32"/>
      <c r="S604" s="34"/>
    </row>
    <row r="605" customFormat="false" ht="14.25" hidden="false" customHeight="false" outlineLevel="0" collapsed="false">
      <c r="O605" s="32"/>
      <c r="P605" s="33"/>
      <c r="Q605" s="32"/>
      <c r="S605" s="34"/>
    </row>
    <row r="606" customFormat="false" ht="14.25" hidden="false" customHeight="false" outlineLevel="0" collapsed="false">
      <c r="O606" s="32"/>
      <c r="P606" s="33"/>
      <c r="Q606" s="32"/>
      <c r="S606" s="34"/>
    </row>
    <row r="607" customFormat="false" ht="14.25" hidden="false" customHeight="false" outlineLevel="0" collapsed="false">
      <c r="O607" s="32"/>
      <c r="P607" s="33"/>
      <c r="Q607" s="32"/>
      <c r="S607" s="34"/>
    </row>
    <row r="608" customFormat="false" ht="14.25" hidden="false" customHeight="false" outlineLevel="0" collapsed="false">
      <c r="O608" s="32"/>
      <c r="P608" s="33"/>
      <c r="Q608" s="32"/>
      <c r="S608" s="34"/>
    </row>
    <row r="609" customFormat="false" ht="14.25" hidden="false" customHeight="false" outlineLevel="0" collapsed="false">
      <c r="O609" s="32"/>
      <c r="P609" s="33"/>
      <c r="Q609" s="32"/>
      <c r="S609" s="34"/>
    </row>
    <row r="610" customFormat="false" ht="14.25" hidden="false" customHeight="false" outlineLevel="0" collapsed="false">
      <c r="O610" s="32"/>
      <c r="P610" s="33"/>
      <c r="Q610" s="32"/>
      <c r="S610" s="34"/>
    </row>
    <row r="611" customFormat="false" ht="14.25" hidden="false" customHeight="false" outlineLevel="0" collapsed="false">
      <c r="O611" s="32"/>
      <c r="P611" s="33"/>
      <c r="Q611" s="32"/>
      <c r="S611" s="34"/>
    </row>
    <row r="612" customFormat="false" ht="14.25" hidden="false" customHeight="false" outlineLevel="0" collapsed="false">
      <c r="O612" s="32"/>
      <c r="P612" s="33"/>
      <c r="Q612" s="32"/>
      <c r="S612" s="34"/>
    </row>
    <row r="613" customFormat="false" ht="14.25" hidden="false" customHeight="false" outlineLevel="0" collapsed="false">
      <c r="O613" s="32"/>
      <c r="P613" s="33"/>
      <c r="Q613" s="32"/>
      <c r="S613" s="34"/>
    </row>
    <row r="614" customFormat="false" ht="14.25" hidden="false" customHeight="false" outlineLevel="0" collapsed="false">
      <c r="O614" s="32"/>
      <c r="P614" s="33"/>
      <c r="Q614" s="32"/>
      <c r="S614" s="34"/>
    </row>
    <row r="615" customFormat="false" ht="14.25" hidden="false" customHeight="false" outlineLevel="0" collapsed="false">
      <c r="O615" s="32"/>
      <c r="P615" s="33"/>
      <c r="Q615" s="32"/>
      <c r="S615" s="34"/>
    </row>
    <row r="616" customFormat="false" ht="14.25" hidden="false" customHeight="false" outlineLevel="0" collapsed="false">
      <c r="O616" s="32"/>
      <c r="P616" s="33"/>
      <c r="Q616" s="32"/>
      <c r="S616" s="34"/>
    </row>
    <row r="617" customFormat="false" ht="14.25" hidden="false" customHeight="false" outlineLevel="0" collapsed="false">
      <c r="O617" s="32"/>
      <c r="P617" s="33"/>
      <c r="Q617" s="32"/>
      <c r="S617" s="34"/>
    </row>
    <row r="618" customFormat="false" ht="14.25" hidden="false" customHeight="false" outlineLevel="0" collapsed="false">
      <c r="O618" s="32"/>
      <c r="P618" s="33"/>
      <c r="Q618" s="32"/>
      <c r="S618" s="34"/>
    </row>
    <row r="619" customFormat="false" ht="14.25" hidden="false" customHeight="false" outlineLevel="0" collapsed="false">
      <c r="O619" s="32"/>
      <c r="P619" s="33"/>
      <c r="Q619" s="32"/>
      <c r="S619" s="34"/>
    </row>
    <row r="620" customFormat="false" ht="14.25" hidden="false" customHeight="false" outlineLevel="0" collapsed="false">
      <c r="O620" s="32"/>
      <c r="P620" s="33"/>
      <c r="Q620" s="32"/>
      <c r="S620" s="34"/>
    </row>
    <row r="621" customFormat="false" ht="14.25" hidden="false" customHeight="false" outlineLevel="0" collapsed="false">
      <c r="O621" s="32"/>
      <c r="P621" s="33"/>
      <c r="Q621" s="32"/>
      <c r="S621" s="34"/>
    </row>
    <row r="622" customFormat="false" ht="14.25" hidden="false" customHeight="false" outlineLevel="0" collapsed="false">
      <c r="O622" s="32"/>
      <c r="P622" s="33"/>
      <c r="Q622" s="32"/>
      <c r="S622" s="34"/>
    </row>
    <row r="623" customFormat="false" ht="14.25" hidden="false" customHeight="false" outlineLevel="0" collapsed="false">
      <c r="O623" s="32"/>
      <c r="P623" s="33"/>
      <c r="Q623" s="32"/>
      <c r="S623" s="34"/>
    </row>
    <row r="624" customFormat="false" ht="14.25" hidden="false" customHeight="false" outlineLevel="0" collapsed="false">
      <c r="O624" s="32"/>
      <c r="P624" s="33"/>
      <c r="Q624" s="32"/>
      <c r="S624" s="34"/>
    </row>
    <row r="625" customFormat="false" ht="14.25" hidden="false" customHeight="false" outlineLevel="0" collapsed="false">
      <c r="O625" s="32"/>
      <c r="P625" s="33"/>
      <c r="Q625" s="32"/>
      <c r="S625" s="34"/>
    </row>
    <row r="626" customFormat="false" ht="14.25" hidden="false" customHeight="false" outlineLevel="0" collapsed="false">
      <c r="O626" s="32"/>
      <c r="P626" s="33"/>
      <c r="Q626" s="32"/>
      <c r="S626" s="34"/>
    </row>
    <row r="627" customFormat="false" ht="14.25" hidden="false" customHeight="false" outlineLevel="0" collapsed="false">
      <c r="O627" s="32"/>
      <c r="P627" s="33"/>
      <c r="Q627" s="32"/>
      <c r="S627" s="34"/>
    </row>
    <row r="628" customFormat="false" ht="14.25" hidden="false" customHeight="false" outlineLevel="0" collapsed="false">
      <c r="O628" s="32"/>
      <c r="P628" s="33"/>
      <c r="Q628" s="32"/>
      <c r="S628" s="34"/>
    </row>
    <row r="629" customFormat="false" ht="14.25" hidden="false" customHeight="false" outlineLevel="0" collapsed="false">
      <c r="O629" s="32"/>
      <c r="P629" s="33"/>
      <c r="Q629" s="32"/>
      <c r="S629" s="34"/>
    </row>
    <row r="630" customFormat="false" ht="14.25" hidden="false" customHeight="false" outlineLevel="0" collapsed="false">
      <c r="O630" s="32"/>
      <c r="P630" s="33"/>
      <c r="Q630" s="32"/>
      <c r="S630" s="34"/>
    </row>
    <row r="631" customFormat="false" ht="14.25" hidden="false" customHeight="false" outlineLevel="0" collapsed="false">
      <c r="O631" s="32"/>
      <c r="P631" s="33"/>
      <c r="Q631" s="32"/>
      <c r="S631" s="34"/>
    </row>
    <row r="632" customFormat="false" ht="14.25" hidden="false" customHeight="false" outlineLevel="0" collapsed="false">
      <c r="O632" s="32"/>
      <c r="P632" s="33"/>
      <c r="Q632" s="32"/>
      <c r="S632" s="34"/>
    </row>
    <row r="633" customFormat="false" ht="14.25" hidden="false" customHeight="false" outlineLevel="0" collapsed="false">
      <c r="O633" s="32"/>
      <c r="P633" s="33"/>
      <c r="Q633" s="32"/>
      <c r="S633" s="34"/>
    </row>
    <row r="634" customFormat="false" ht="14.25" hidden="false" customHeight="false" outlineLevel="0" collapsed="false">
      <c r="O634" s="32"/>
      <c r="P634" s="33"/>
      <c r="Q634" s="32"/>
      <c r="S634" s="34"/>
    </row>
    <row r="635" customFormat="false" ht="14.25" hidden="false" customHeight="false" outlineLevel="0" collapsed="false">
      <c r="O635" s="32"/>
      <c r="P635" s="33"/>
      <c r="Q635" s="32"/>
      <c r="S635" s="34"/>
    </row>
    <row r="636" customFormat="false" ht="14.25" hidden="false" customHeight="false" outlineLevel="0" collapsed="false">
      <c r="O636" s="32"/>
      <c r="P636" s="33"/>
      <c r="Q636" s="32"/>
      <c r="S636" s="34"/>
    </row>
    <row r="637" customFormat="false" ht="14.25" hidden="false" customHeight="false" outlineLevel="0" collapsed="false">
      <c r="O637" s="32"/>
      <c r="P637" s="33"/>
      <c r="Q637" s="32"/>
      <c r="S637" s="34"/>
    </row>
    <row r="638" customFormat="false" ht="14.25" hidden="false" customHeight="false" outlineLevel="0" collapsed="false">
      <c r="O638" s="32"/>
      <c r="P638" s="33"/>
      <c r="Q638" s="32"/>
      <c r="S638" s="34"/>
    </row>
    <row r="639" customFormat="false" ht="14.25" hidden="false" customHeight="false" outlineLevel="0" collapsed="false">
      <c r="O639" s="32"/>
      <c r="P639" s="33"/>
      <c r="Q639" s="32"/>
      <c r="S639" s="34"/>
    </row>
    <row r="640" customFormat="false" ht="14.25" hidden="false" customHeight="false" outlineLevel="0" collapsed="false">
      <c r="O640" s="32"/>
      <c r="P640" s="33"/>
      <c r="Q640" s="32"/>
      <c r="S640" s="34"/>
    </row>
    <row r="641" customFormat="false" ht="14.25" hidden="false" customHeight="false" outlineLevel="0" collapsed="false">
      <c r="O641" s="32"/>
      <c r="P641" s="33"/>
      <c r="Q641" s="32"/>
      <c r="S641" s="34"/>
    </row>
    <row r="642" customFormat="false" ht="14.25" hidden="false" customHeight="false" outlineLevel="0" collapsed="false">
      <c r="O642" s="32"/>
      <c r="P642" s="33"/>
      <c r="Q642" s="32"/>
      <c r="S642" s="34"/>
    </row>
    <row r="643" customFormat="false" ht="14.25" hidden="false" customHeight="false" outlineLevel="0" collapsed="false">
      <c r="O643" s="32"/>
      <c r="P643" s="33"/>
      <c r="Q643" s="32"/>
      <c r="S643" s="34"/>
    </row>
    <row r="644" customFormat="false" ht="14.25" hidden="false" customHeight="false" outlineLevel="0" collapsed="false">
      <c r="O644" s="32"/>
      <c r="P644" s="33"/>
      <c r="Q644" s="32"/>
      <c r="S644" s="34"/>
    </row>
    <row r="645" customFormat="false" ht="14.25" hidden="false" customHeight="false" outlineLevel="0" collapsed="false">
      <c r="O645" s="32"/>
      <c r="P645" s="33"/>
      <c r="Q645" s="32"/>
      <c r="S645" s="34"/>
    </row>
    <row r="646" customFormat="false" ht="14.25" hidden="false" customHeight="false" outlineLevel="0" collapsed="false">
      <c r="O646" s="32"/>
      <c r="P646" s="33"/>
      <c r="Q646" s="32"/>
      <c r="S646" s="34"/>
    </row>
    <row r="647" customFormat="false" ht="14.25" hidden="false" customHeight="false" outlineLevel="0" collapsed="false">
      <c r="O647" s="32"/>
      <c r="P647" s="33"/>
      <c r="Q647" s="32"/>
      <c r="S647" s="34"/>
    </row>
    <row r="648" customFormat="false" ht="14.25" hidden="false" customHeight="false" outlineLevel="0" collapsed="false">
      <c r="O648" s="32"/>
      <c r="P648" s="33"/>
      <c r="Q648" s="32"/>
      <c r="S648" s="34"/>
    </row>
    <row r="649" customFormat="false" ht="14.25" hidden="false" customHeight="false" outlineLevel="0" collapsed="false">
      <c r="O649" s="32"/>
      <c r="P649" s="33"/>
      <c r="Q649" s="32"/>
      <c r="S649" s="34"/>
    </row>
    <row r="650" customFormat="false" ht="14.25" hidden="false" customHeight="false" outlineLevel="0" collapsed="false">
      <c r="O650" s="32"/>
      <c r="P650" s="33"/>
      <c r="Q650" s="32"/>
      <c r="S650" s="34"/>
    </row>
    <row r="651" customFormat="false" ht="14.25" hidden="false" customHeight="false" outlineLevel="0" collapsed="false">
      <c r="O651" s="32"/>
      <c r="P651" s="33"/>
      <c r="Q651" s="32"/>
      <c r="S651" s="34"/>
    </row>
    <row r="652" customFormat="false" ht="14.25" hidden="false" customHeight="false" outlineLevel="0" collapsed="false">
      <c r="O652" s="32"/>
      <c r="P652" s="33"/>
      <c r="Q652" s="32"/>
      <c r="S652" s="34"/>
    </row>
    <row r="653" customFormat="false" ht="14.25" hidden="false" customHeight="false" outlineLevel="0" collapsed="false">
      <c r="O653" s="32"/>
      <c r="P653" s="33"/>
      <c r="Q653" s="32"/>
      <c r="S653" s="34"/>
    </row>
    <row r="654" customFormat="false" ht="14.25" hidden="false" customHeight="false" outlineLevel="0" collapsed="false">
      <c r="O654" s="32"/>
      <c r="P654" s="33"/>
      <c r="Q654" s="32"/>
      <c r="S654" s="34"/>
    </row>
    <row r="655" customFormat="false" ht="14.25" hidden="false" customHeight="false" outlineLevel="0" collapsed="false">
      <c r="O655" s="32"/>
      <c r="P655" s="33"/>
      <c r="Q655" s="32"/>
      <c r="S655" s="34"/>
    </row>
    <row r="656" customFormat="false" ht="14.25" hidden="false" customHeight="false" outlineLevel="0" collapsed="false">
      <c r="O656" s="32"/>
      <c r="P656" s="33"/>
      <c r="Q656" s="32"/>
      <c r="S656" s="34"/>
    </row>
    <row r="657" customFormat="false" ht="14.25" hidden="false" customHeight="false" outlineLevel="0" collapsed="false">
      <c r="O657" s="32"/>
      <c r="P657" s="33"/>
      <c r="Q657" s="32"/>
      <c r="S657" s="34"/>
    </row>
    <row r="658" customFormat="false" ht="14.25" hidden="false" customHeight="false" outlineLevel="0" collapsed="false">
      <c r="O658" s="32"/>
      <c r="P658" s="33"/>
      <c r="Q658" s="32"/>
      <c r="S658" s="34"/>
    </row>
    <row r="659" customFormat="false" ht="14.25" hidden="false" customHeight="false" outlineLevel="0" collapsed="false">
      <c r="O659" s="32"/>
      <c r="P659" s="33"/>
      <c r="Q659" s="32"/>
      <c r="S659" s="34"/>
    </row>
    <row r="660" customFormat="false" ht="14.25" hidden="false" customHeight="false" outlineLevel="0" collapsed="false">
      <c r="O660" s="32"/>
      <c r="P660" s="33"/>
      <c r="Q660" s="32"/>
      <c r="S660" s="34"/>
    </row>
    <row r="661" customFormat="false" ht="14.25" hidden="false" customHeight="false" outlineLevel="0" collapsed="false">
      <c r="O661" s="32"/>
      <c r="P661" s="33"/>
      <c r="Q661" s="32"/>
      <c r="S661" s="34"/>
    </row>
    <row r="662" customFormat="false" ht="14.25" hidden="false" customHeight="false" outlineLevel="0" collapsed="false">
      <c r="O662" s="32"/>
      <c r="P662" s="33"/>
      <c r="Q662" s="32"/>
      <c r="S662" s="34"/>
    </row>
    <row r="663" customFormat="false" ht="14.25" hidden="false" customHeight="false" outlineLevel="0" collapsed="false">
      <c r="O663" s="32"/>
      <c r="P663" s="33"/>
      <c r="Q663" s="32"/>
      <c r="S663" s="34"/>
    </row>
    <row r="664" customFormat="false" ht="14.25" hidden="false" customHeight="false" outlineLevel="0" collapsed="false">
      <c r="O664" s="32"/>
      <c r="P664" s="33"/>
      <c r="Q664" s="32"/>
      <c r="S664" s="34"/>
    </row>
    <row r="665" customFormat="false" ht="14.25" hidden="false" customHeight="false" outlineLevel="0" collapsed="false">
      <c r="O665" s="32"/>
      <c r="P665" s="33"/>
      <c r="Q665" s="32"/>
      <c r="S665" s="34"/>
    </row>
    <row r="666" customFormat="false" ht="14.25" hidden="false" customHeight="false" outlineLevel="0" collapsed="false">
      <c r="O666" s="32"/>
      <c r="P666" s="33"/>
      <c r="Q666" s="32"/>
      <c r="S666" s="34"/>
    </row>
    <row r="667" customFormat="false" ht="14.25" hidden="false" customHeight="false" outlineLevel="0" collapsed="false">
      <c r="O667" s="32"/>
      <c r="P667" s="33"/>
      <c r="Q667" s="32"/>
      <c r="S667" s="34"/>
    </row>
    <row r="668" customFormat="false" ht="14.25" hidden="false" customHeight="false" outlineLevel="0" collapsed="false">
      <c r="O668" s="32"/>
      <c r="P668" s="33"/>
      <c r="Q668" s="32"/>
      <c r="S668" s="34"/>
    </row>
    <row r="669" customFormat="false" ht="14.25" hidden="false" customHeight="false" outlineLevel="0" collapsed="false">
      <c r="O669" s="32"/>
      <c r="P669" s="33"/>
      <c r="Q669" s="32"/>
      <c r="S669" s="34"/>
    </row>
    <row r="670" customFormat="false" ht="14.25" hidden="false" customHeight="false" outlineLevel="0" collapsed="false">
      <c r="O670" s="32"/>
      <c r="P670" s="33"/>
      <c r="Q670" s="32"/>
      <c r="S670" s="34"/>
    </row>
    <row r="671" customFormat="false" ht="14.25" hidden="false" customHeight="false" outlineLevel="0" collapsed="false">
      <c r="O671" s="32"/>
      <c r="P671" s="33"/>
      <c r="Q671" s="32"/>
      <c r="S671" s="34"/>
    </row>
    <row r="672" customFormat="false" ht="14.25" hidden="false" customHeight="false" outlineLevel="0" collapsed="false">
      <c r="O672" s="32"/>
      <c r="P672" s="33"/>
      <c r="Q672" s="32"/>
      <c r="S672" s="34"/>
    </row>
    <row r="673" customFormat="false" ht="14.25" hidden="false" customHeight="false" outlineLevel="0" collapsed="false">
      <c r="O673" s="32"/>
      <c r="P673" s="33"/>
      <c r="Q673" s="32"/>
      <c r="S673" s="34"/>
    </row>
    <row r="674" customFormat="false" ht="14.25" hidden="false" customHeight="false" outlineLevel="0" collapsed="false">
      <c r="O674" s="32"/>
      <c r="P674" s="33"/>
      <c r="Q674" s="32"/>
      <c r="S674" s="34"/>
    </row>
    <row r="675" customFormat="false" ht="14.25" hidden="false" customHeight="false" outlineLevel="0" collapsed="false">
      <c r="O675" s="32"/>
      <c r="P675" s="33"/>
      <c r="Q675" s="32"/>
      <c r="S675" s="34"/>
    </row>
    <row r="676" customFormat="false" ht="14.25" hidden="false" customHeight="false" outlineLevel="0" collapsed="false">
      <c r="O676" s="32"/>
      <c r="P676" s="33"/>
      <c r="Q676" s="32"/>
      <c r="S676" s="34"/>
    </row>
    <row r="677" customFormat="false" ht="14.25" hidden="false" customHeight="false" outlineLevel="0" collapsed="false">
      <c r="O677" s="32"/>
      <c r="P677" s="33"/>
      <c r="Q677" s="32"/>
      <c r="S677" s="34"/>
    </row>
    <row r="678" customFormat="false" ht="14.25" hidden="false" customHeight="false" outlineLevel="0" collapsed="false">
      <c r="O678" s="32"/>
      <c r="P678" s="33"/>
      <c r="Q678" s="32"/>
      <c r="S678" s="34"/>
    </row>
    <row r="679" customFormat="false" ht="14.25" hidden="false" customHeight="false" outlineLevel="0" collapsed="false">
      <c r="O679" s="32"/>
      <c r="P679" s="33"/>
      <c r="Q679" s="32"/>
      <c r="S679" s="34"/>
    </row>
    <row r="680" customFormat="false" ht="14.25" hidden="false" customHeight="false" outlineLevel="0" collapsed="false">
      <c r="O680" s="32"/>
      <c r="P680" s="33"/>
      <c r="Q680" s="32"/>
      <c r="S680" s="34"/>
    </row>
    <row r="681" customFormat="false" ht="14.25" hidden="false" customHeight="false" outlineLevel="0" collapsed="false">
      <c r="O681" s="32"/>
      <c r="P681" s="33"/>
      <c r="Q681" s="32"/>
      <c r="S681" s="34"/>
    </row>
    <row r="682" customFormat="false" ht="14.25" hidden="false" customHeight="false" outlineLevel="0" collapsed="false">
      <c r="O682" s="32"/>
      <c r="P682" s="33"/>
      <c r="Q682" s="32"/>
      <c r="S682" s="34"/>
    </row>
    <row r="683" customFormat="false" ht="14.25" hidden="false" customHeight="false" outlineLevel="0" collapsed="false">
      <c r="O683" s="32"/>
      <c r="P683" s="33"/>
      <c r="Q683" s="32"/>
      <c r="S683" s="34"/>
    </row>
    <row r="684" customFormat="false" ht="14.25" hidden="false" customHeight="false" outlineLevel="0" collapsed="false">
      <c r="O684" s="32"/>
      <c r="P684" s="33"/>
      <c r="Q684" s="32"/>
      <c r="S684" s="34"/>
    </row>
    <row r="685" customFormat="false" ht="14.25" hidden="false" customHeight="false" outlineLevel="0" collapsed="false">
      <c r="O685" s="32"/>
      <c r="P685" s="33"/>
      <c r="Q685" s="32"/>
      <c r="S685" s="34"/>
    </row>
    <row r="686" customFormat="false" ht="14.25" hidden="false" customHeight="false" outlineLevel="0" collapsed="false">
      <c r="O686" s="32"/>
      <c r="P686" s="33"/>
      <c r="Q686" s="32"/>
      <c r="S686" s="34"/>
    </row>
    <row r="687" customFormat="false" ht="14.25" hidden="false" customHeight="false" outlineLevel="0" collapsed="false">
      <c r="O687" s="32"/>
      <c r="P687" s="33"/>
      <c r="Q687" s="32"/>
      <c r="S687" s="34"/>
    </row>
    <row r="688" customFormat="false" ht="14.25" hidden="false" customHeight="false" outlineLevel="0" collapsed="false">
      <c r="O688" s="32"/>
      <c r="P688" s="33"/>
      <c r="Q688" s="32"/>
      <c r="S688" s="34"/>
    </row>
    <row r="689" customFormat="false" ht="14.25" hidden="false" customHeight="false" outlineLevel="0" collapsed="false">
      <c r="O689" s="32"/>
      <c r="P689" s="33"/>
      <c r="Q689" s="32"/>
      <c r="S689" s="34"/>
    </row>
    <row r="690" customFormat="false" ht="14.25" hidden="false" customHeight="false" outlineLevel="0" collapsed="false">
      <c r="O690" s="32"/>
      <c r="P690" s="33"/>
      <c r="Q690" s="32"/>
      <c r="S690" s="34"/>
    </row>
    <row r="691" customFormat="false" ht="14.25" hidden="false" customHeight="false" outlineLevel="0" collapsed="false">
      <c r="O691" s="32"/>
      <c r="P691" s="33"/>
      <c r="Q691" s="32"/>
      <c r="S691" s="34"/>
    </row>
    <row r="692" customFormat="false" ht="14.25" hidden="false" customHeight="false" outlineLevel="0" collapsed="false">
      <c r="O692" s="32"/>
      <c r="P692" s="33"/>
      <c r="Q692" s="32"/>
      <c r="S692" s="34"/>
    </row>
    <row r="693" customFormat="false" ht="14.25" hidden="false" customHeight="false" outlineLevel="0" collapsed="false">
      <c r="O693" s="32"/>
      <c r="P693" s="33"/>
      <c r="Q693" s="32"/>
      <c r="S693" s="34"/>
    </row>
    <row r="694" customFormat="false" ht="14.25" hidden="false" customHeight="false" outlineLevel="0" collapsed="false">
      <c r="O694" s="32"/>
      <c r="P694" s="33"/>
      <c r="Q694" s="32"/>
      <c r="S694" s="34"/>
    </row>
    <row r="695" customFormat="false" ht="14.25" hidden="false" customHeight="false" outlineLevel="0" collapsed="false">
      <c r="O695" s="32"/>
      <c r="P695" s="33"/>
      <c r="Q695" s="32"/>
      <c r="S695" s="34"/>
    </row>
    <row r="696" customFormat="false" ht="14.25" hidden="false" customHeight="false" outlineLevel="0" collapsed="false">
      <c r="O696" s="32"/>
      <c r="P696" s="33"/>
      <c r="Q696" s="32"/>
      <c r="S696" s="34"/>
    </row>
    <row r="697" customFormat="false" ht="14.25" hidden="false" customHeight="false" outlineLevel="0" collapsed="false">
      <c r="O697" s="32"/>
      <c r="P697" s="33"/>
      <c r="Q697" s="32"/>
      <c r="S697" s="34"/>
    </row>
    <row r="698" customFormat="false" ht="14.25" hidden="false" customHeight="false" outlineLevel="0" collapsed="false">
      <c r="O698" s="32"/>
      <c r="P698" s="33"/>
      <c r="Q698" s="32"/>
      <c r="S698" s="34"/>
    </row>
    <row r="699" customFormat="false" ht="14.25" hidden="false" customHeight="false" outlineLevel="0" collapsed="false">
      <c r="O699" s="32"/>
      <c r="P699" s="33"/>
      <c r="Q699" s="32"/>
      <c r="S699" s="34"/>
    </row>
    <row r="700" customFormat="false" ht="14.25" hidden="false" customHeight="false" outlineLevel="0" collapsed="false">
      <c r="O700" s="32"/>
      <c r="P700" s="33"/>
      <c r="Q700" s="32"/>
      <c r="S700" s="34"/>
    </row>
    <row r="701" customFormat="false" ht="14.25" hidden="false" customHeight="false" outlineLevel="0" collapsed="false">
      <c r="O701" s="32"/>
      <c r="P701" s="33"/>
      <c r="Q701" s="32"/>
      <c r="S701" s="34"/>
    </row>
    <row r="702" customFormat="false" ht="14.25" hidden="false" customHeight="false" outlineLevel="0" collapsed="false">
      <c r="O702" s="32"/>
      <c r="P702" s="33"/>
      <c r="Q702" s="32"/>
      <c r="S702" s="34"/>
    </row>
    <row r="703" customFormat="false" ht="14.25" hidden="false" customHeight="false" outlineLevel="0" collapsed="false">
      <c r="O703" s="32"/>
      <c r="P703" s="33"/>
      <c r="Q703" s="32"/>
      <c r="S703" s="34"/>
    </row>
    <row r="704" customFormat="false" ht="14.25" hidden="false" customHeight="false" outlineLevel="0" collapsed="false">
      <c r="O704" s="32"/>
      <c r="P704" s="33"/>
      <c r="Q704" s="32"/>
      <c r="S704" s="34"/>
    </row>
    <row r="705" customFormat="false" ht="14.25" hidden="false" customHeight="false" outlineLevel="0" collapsed="false">
      <c r="O705" s="32"/>
      <c r="P705" s="33"/>
      <c r="Q705" s="32"/>
      <c r="S705" s="34"/>
    </row>
    <row r="706" customFormat="false" ht="14.25" hidden="false" customHeight="false" outlineLevel="0" collapsed="false">
      <c r="O706" s="32"/>
      <c r="P706" s="33"/>
      <c r="Q706" s="32"/>
      <c r="S706" s="34"/>
    </row>
    <row r="707" customFormat="false" ht="14.25" hidden="false" customHeight="false" outlineLevel="0" collapsed="false">
      <c r="O707" s="32"/>
      <c r="P707" s="33"/>
      <c r="Q707" s="32"/>
      <c r="S707" s="34"/>
    </row>
    <row r="708" customFormat="false" ht="14.25" hidden="false" customHeight="false" outlineLevel="0" collapsed="false">
      <c r="O708" s="32"/>
      <c r="P708" s="33"/>
      <c r="Q708" s="32"/>
      <c r="S708" s="34"/>
    </row>
    <row r="709" customFormat="false" ht="14.25" hidden="false" customHeight="false" outlineLevel="0" collapsed="false">
      <c r="O709" s="32"/>
      <c r="P709" s="33"/>
      <c r="Q709" s="32"/>
      <c r="S709" s="34"/>
    </row>
    <row r="710" customFormat="false" ht="14.25" hidden="false" customHeight="false" outlineLevel="0" collapsed="false">
      <c r="O710" s="32"/>
      <c r="P710" s="33"/>
      <c r="Q710" s="32"/>
      <c r="S710" s="34"/>
    </row>
    <row r="711" customFormat="false" ht="14.25" hidden="false" customHeight="false" outlineLevel="0" collapsed="false">
      <c r="O711" s="32"/>
      <c r="P711" s="33"/>
      <c r="Q711" s="32"/>
      <c r="S711" s="34"/>
    </row>
    <row r="712" customFormat="false" ht="14.25" hidden="false" customHeight="false" outlineLevel="0" collapsed="false">
      <c r="O712" s="32"/>
      <c r="P712" s="33"/>
      <c r="Q712" s="32"/>
      <c r="S712" s="34"/>
    </row>
    <row r="713" customFormat="false" ht="14.25" hidden="false" customHeight="false" outlineLevel="0" collapsed="false">
      <c r="O713" s="32"/>
      <c r="P713" s="33"/>
      <c r="Q713" s="32"/>
      <c r="R713" s="34"/>
      <c r="S713" s="34"/>
    </row>
    <row r="714" customFormat="false" ht="14.25" hidden="false" customHeight="false" outlineLevel="0" collapsed="false">
      <c r="O714" s="32"/>
      <c r="P714" s="33"/>
      <c r="Q714" s="32"/>
      <c r="S714" s="34"/>
    </row>
    <row r="715" customFormat="false" ht="14.25" hidden="false" customHeight="false" outlineLevel="0" collapsed="false">
      <c r="O715" s="32"/>
      <c r="P715" s="33"/>
      <c r="Q715" s="32"/>
      <c r="R715" s="34"/>
      <c r="S715" s="34"/>
    </row>
    <row r="716" customFormat="false" ht="14.25" hidden="false" customHeight="false" outlineLevel="0" collapsed="false">
      <c r="O716" s="32"/>
      <c r="P716" s="33"/>
      <c r="Q716" s="32"/>
      <c r="S716" s="34"/>
    </row>
    <row r="717" customFormat="false" ht="14.25" hidden="false" customHeight="false" outlineLevel="0" collapsed="false">
      <c r="O717" s="32"/>
      <c r="P717" s="33"/>
      <c r="Q717" s="32"/>
      <c r="S717" s="34"/>
    </row>
    <row r="718" customFormat="false" ht="14.25" hidden="false" customHeight="false" outlineLevel="0" collapsed="false">
      <c r="O718" s="32"/>
      <c r="P718" s="33"/>
      <c r="Q718" s="32"/>
      <c r="S718" s="34"/>
    </row>
    <row r="719" customFormat="false" ht="14.25" hidden="false" customHeight="false" outlineLevel="0" collapsed="false">
      <c r="O719" s="32"/>
      <c r="P719" s="33"/>
      <c r="Q719" s="32"/>
      <c r="S719" s="34"/>
    </row>
    <row r="720" customFormat="false" ht="14.25" hidden="false" customHeight="false" outlineLevel="0" collapsed="false">
      <c r="O720" s="32"/>
      <c r="P720" s="33"/>
      <c r="Q720" s="32"/>
      <c r="S720" s="34"/>
    </row>
    <row r="721" customFormat="false" ht="14.25" hidden="false" customHeight="false" outlineLevel="0" collapsed="false">
      <c r="O721" s="32"/>
      <c r="P721" s="33"/>
      <c r="Q721" s="32"/>
      <c r="S721" s="34"/>
    </row>
    <row r="722" customFormat="false" ht="14.25" hidden="false" customHeight="false" outlineLevel="0" collapsed="false">
      <c r="O722" s="32"/>
      <c r="P722" s="33"/>
      <c r="Q722" s="32"/>
      <c r="S722" s="34"/>
    </row>
    <row r="723" customFormat="false" ht="14.25" hidden="false" customHeight="false" outlineLevel="0" collapsed="false">
      <c r="O723" s="32"/>
      <c r="P723" s="33"/>
      <c r="Q723" s="32"/>
      <c r="S723" s="34"/>
    </row>
    <row r="724" customFormat="false" ht="14.25" hidden="false" customHeight="false" outlineLevel="0" collapsed="false">
      <c r="O724" s="32"/>
      <c r="P724" s="33"/>
      <c r="Q724" s="32"/>
      <c r="S724" s="34"/>
    </row>
    <row r="725" customFormat="false" ht="14.25" hidden="false" customHeight="false" outlineLevel="0" collapsed="false">
      <c r="O725" s="32"/>
      <c r="P725" s="33"/>
      <c r="Q725" s="32"/>
      <c r="S725" s="34"/>
    </row>
    <row r="726" customFormat="false" ht="14.25" hidden="false" customHeight="false" outlineLevel="0" collapsed="false">
      <c r="O726" s="32"/>
      <c r="P726" s="33"/>
      <c r="Q726" s="32"/>
      <c r="S726" s="34"/>
    </row>
    <row r="727" customFormat="false" ht="14.25" hidden="false" customHeight="false" outlineLevel="0" collapsed="false">
      <c r="O727" s="32"/>
      <c r="P727" s="33"/>
      <c r="Q727" s="32"/>
      <c r="S727" s="34"/>
    </row>
    <row r="728" customFormat="false" ht="14.25" hidden="false" customHeight="false" outlineLevel="0" collapsed="false">
      <c r="O728" s="32"/>
      <c r="P728" s="33"/>
      <c r="Q728" s="32"/>
      <c r="S728" s="34"/>
    </row>
    <row r="729" customFormat="false" ht="14.25" hidden="false" customHeight="false" outlineLevel="0" collapsed="false">
      <c r="O729" s="32"/>
      <c r="P729" s="33"/>
      <c r="Q729" s="32"/>
      <c r="S729" s="34"/>
    </row>
    <row r="730" customFormat="false" ht="14.25" hidden="false" customHeight="false" outlineLevel="0" collapsed="false">
      <c r="O730" s="32"/>
      <c r="P730" s="33"/>
      <c r="Q730" s="32"/>
      <c r="S730" s="34"/>
    </row>
    <row r="731" customFormat="false" ht="14.25" hidden="false" customHeight="false" outlineLevel="0" collapsed="false">
      <c r="O731" s="32"/>
      <c r="P731" s="33"/>
      <c r="Q731" s="32"/>
      <c r="S731" s="34"/>
    </row>
    <row r="732" customFormat="false" ht="14.25" hidden="false" customHeight="false" outlineLevel="0" collapsed="false">
      <c r="O732" s="32"/>
      <c r="P732" s="33"/>
      <c r="Q732" s="32"/>
      <c r="S732" s="34"/>
    </row>
    <row r="733" customFormat="false" ht="14.25" hidden="false" customHeight="false" outlineLevel="0" collapsed="false">
      <c r="O733" s="32"/>
      <c r="P733" s="33"/>
      <c r="Q733" s="32"/>
      <c r="S733" s="34"/>
    </row>
    <row r="734" customFormat="false" ht="14.25" hidden="false" customHeight="false" outlineLevel="0" collapsed="false">
      <c r="O734" s="32"/>
      <c r="P734" s="33"/>
      <c r="Q734" s="32"/>
      <c r="S734" s="34"/>
    </row>
    <row r="735" customFormat="false" ht="14.25" hidden="false" customHeight="false" outlineLevel="0" collapsed="false">
      <c r="O735" s="32"/>
      <c r="P735" s="33"/>
      <c r="Q735" s="32"/>
      <c r="S735" s="34"/>
    </row>
    <row r="736" customFormat="false" ht="14.25" hidden="false" customHeight="false" outlineLevel="0" collapsed="false">
      <c r="O736" s="32"/>
      <c r="P736" s="33"/>
      <c r="Q736" s="32"/>
      <c r="S736" s="34"/>
    </row>
    <row r="737" customFormat="false" ht="14.25" hidden="false" customHeight="false" outlineLevel="0" collapsed="false">
      <c r="O737" s="32"/>
      <c r="P737" s="33"/>
      <c r="Q737" s="32"/>
      <c r="S737" s="34"/>
    </row>
    <row r="738" customFormat="false" ht="14.25" hidden="false" customHeight="false" outlineLevel="0" collapsed="false">
      <c r="O738" s="32"/>
      <c r="P738" s="33"/>
      <c r="Q738" s="32"/>
      <c r="S738" s="34"/>
    </row>
    <row r="739" customFormat="false" ht="14.25" hidden="false" customHeight="false" outlineLevel="0" collapsed="false">
      <c r="O739" s="32"/>
      <c r="P739" s="33"/>
      <c r="Q739" s="32"/>
      <c r="S739" s="34"/>
    </row>
    <row r="740" customFormat="false" ht="14.25" hidden="false" customHeight="false" outlineLevel="0" collapsed="false">
      <c r="O740" s="32"/>
      <c r="P740" s="33"/>
      <c r="Q740" s="32"/>
      <c r="S740" s="34"/>
    </row>
    <row r="741" customFormat="false" ht="14.25" hidden="false" customHeight="false" outlineLevel="0" collapsed="false">
      <c r="O741" s="32"/>
      <c r="P741" s="33"/>
      <c r="Q741" s="32"/>
      <c r="S741" s="34"/>
    </row>
    <row r="742" customFormat="false" ht="14.25" hidden="false" customHeight="false" outlineLevel="0" collapsed="false">
      <c r="O742" s="32"/>
      <c r="P742" s="33"/>
      <c r="Q742" s="32"/>
      <c r="S742" s="34"/>
    </row>
    <row r="743" customFormat="false" ht="14.25" hidden="false" customHeight="false" outlineLevel="0" collapsed="false">
      <c r="O743" s="32"/>
      <c r="P743" s="33"/>
      <c r="Q743" s="32"/>
      <c r="S743" s="34"/>
    </row>
    <row r="744" customFormat="false" ht="14.25" hidden="false" customHeight="false" outlineLevel="0" collapsed="false">
      <c r="O744" s="32"/>
      <c r="P744" s="33"/>
      <c r="Q744" s="32"/>
      <c r="S744" s="34"/>
    </row>
    <row r="745" customFormat="false" ht="14.25" hidden="false" customHeight="false" outlineLevel="0" collapsed="false">
      <c r="O745" s="32"/>
      <c r="P745" s="33"/>
      <c r="Q745" s="32"/>
      <c r="S745" s="34"/>
    </row>
    <row r="746" customFormat="false" ht="14.25" hidden="false" customHeight="false" outlineLevel="0" collapsed="false">
      <c r="O746" s="32"/>
      <c r="P746" s="33"/>
      <c r="Q746" s="32"/>
      <c r="S746" s="34"/>
    </row>
    <row r="747" customFormat="false" ht="14.25" hidden="false" customHeight="false" outlineLevel="0" collapsed="false">
      <c r="O747" s="32"/>
      <c r="P747" s="33"/>
      <c r="Q747" s="32"/>
      <c r="S747" s="34"/>
    </row>
    <row r="748" customFormat="false" ht="14.25" hidden="false" customHeight="false" outlineLevel="0" collapsed="false">
      <c r="O748" s="32"/>
      <c r="P748" s="33"/>
      <c r="Q748" s="32"/>
      <c r="S748" s="34"/>
    </row>
    <row r="749" customFormat="false" ht="14.25" hidden="false" customHeight="false" outlineLevel="0" collapsed="false">
      <c r="O749" s="32"/>
      <c r="P749" s="33"/>
      <c r="Q749" s="32"/>
      <c r="S749" s="34"/>
    </row>
    <row r="750" customFormat="false" ht="14.25" hidden="false" customHeight="false" outlineLevel="0" collapsed="false">
      <c r="O750" s="32"/>
      <c r="P750" s="33"/>
      <c r="Q750" s="32"/>
      <c r="S750" s="34"/>
    </row>
    <row r="751" customFormat="false" ht="14.25" hidden="false" customHeight="false" outlineLevel="0" collapsed="false">
      <c r="O751" s="32"/>
      <c r="P751" s="33"/>
      <c r="Q751" s="32"/>
      <c r="S751" s="34"/>
    </row>
    <row r="752" customFormat="false" ht="14.25" hidden="false" customHeight="false" outlineLevel="0" collapsed="false">
      <c r="O752" s="32"/>
      <c r="P752" s="33"/>
      <c r="Q752" s="32"/>
      <c r="S752" s="34"/>
    </row>
    <row r="753" customFormat="false" ht="14.25" hidden="false" customHeight="false" outlineLevel="0" collapsed="false">
      <c r="O753" s="32"/>
      <c r="P753" s="33"/>
      <c r="Q753" s="32"/>
      <c r="S753" s="34"/>
    </row>
    <row r="754" customFormat="false" ht="14.25" hidden="false" customHeight="false" outlineLevel="0" collapsed="false">
      <c r="O754" s="32"/>
      <c r="P754" s="33"/>
      <c r="Q754" s="32"/>
      <c r="S754" s="34"/>
    </row>
    <row r="755" customFormat="false" ht="14.25" hidden="false" customHeight="false" outlineLevel="0" collapsed="false">
      <c r="O755" s="32"/>
      <c r="P755" s="33"/>
      <c r="Q755" s="32"/>
      <c r="S755" s="34"/>
    </row>
    <row r="756" customFormat="false" ht="14.25" hidden="false" customHeight="false" outlineLevel="0" collapsed="false">
      <c r="O756" s="32"/>
      <c r="P756" s="33"/>
      <c r="Q756" s="32"/>
      <c r="R756" s="35"/>
      <c r="S756" s="34"/>
    </row>
    <row r="757" customFormat="false" ht="14.25" hidden="false" customHeight="false" outlineLevel="0" collapsed="false">
      <c r="O757" s="32"/>
      <c r="P757" s="33"/>
      <c r="Q757" s="32"/>
      <c r="R757" s="35"/>
      <c r="S757" s="34"/>
    </row>
    <row r="758" customFormat="false" ht="14.25" hidden="false" customHeight="false" outlineLevel="0" collapsed="false">
      <c r="O758" s="32"/>
      <c r="P758" s="33"/>
      <c r="Q758" s="32"/>
      <c r="S758" s="34"/>
    </row>
    <row r="759" customFormat="false" ht="14.25" hidden="false" customHeight="false" outlineLevel="0" collapsed="false">
      <c r="O759" s="32"/>
      <c r="P759" s="33"/>
      <c r="Q759" s="32"/>
      <c r="S759" s="34"/>
    </row>
    <row r="760" customFormat="false" ht="14.25" hidden="false" customHeight="false" outlineLevel="0" collapsed="false">
      <c r="O760" s="32"/>
      <c r="P760" s="33"/>
      <c r="Q760" s="32"/>
      <c r="S760" s="34"/>
    </row>
    <row r="761" customFormat="false" ht="14.25" hidden="false" customHeight="false" outlineLevel="0" collapsed="false">
      <c r="O761" s="32"/>
      <c r="P761" s="33"/>
      <c r="Q761" s="32"/>
      <c r="S761" s="34"/>
    </row>
    <row r="762" customFormat="false" ht="14.25" hidden="false" customHeight="false" outlineLevel="0" collapsed="false">
      <c r="O762" s="32"/>
      <c r="P762" s="33"/>
      <c r="Q762" s="32"/>
      <c r="S762" s="34"/>
    </row>
    <row r="763" customFormat="false" ht="14.25" hidden="false" customHeight="false" outlineLevel="0" collapsed="false">
      <c r="O763" s="32"/>
      <c r="P763" s="33"/>
      <c r="Q763" s="32"/>
      <c r="S763" s="34"/>
    </row>
    <row r="764" customFormat="false" ht="14.25" hidden="false" customHeight="false" outlineLevel="0" collapsed="false">
      <c r="O764" s="32"/>
      <c r="P764" s="33"/>
      <c r="Q764" s="32"/>
      <c r="S764" s="34"/>
    </row>
    <row r="765" customFormat="false" ht="14.25" hidden="false" customHeight="false" outlineLevel="0" collapsed="false">
      <c r="O765" s="32"/>
      <c r="P765" s="33"/>
      <c r="Q765" s="32"/>
      <c r="S765" s="34"/>
    </row>
    <row r="766" customFormat="false" ht="14.25" hidden="false" customHeight="false" outlineLevel="0" collapsed="false">
      <c r="O766" s="32"/>
      <c r="P766" s="33"/>
      <c r="Q766" s="32"/>
      <c r="S766" s="34"/>
    </row>
    <row r="767" customFormat="false" ht="14.25" hidden="false" customHeight="false" outlineLevel="0" collapsed="false">
      <c r="O767" s="32"/>
      <c r="P767" s="33"/>
      <c r="Q767" s="32"/>
      <c r="S767" s="34"/>
    </row>
    <row r="768" customFormat="false" ht="14.25" hidden="false" customHeight="false" outlineLevel="0" collapsed="false">
      <c r="O768" s="32"/>
      <c r="P768" s="33"/>
      <c r="Q768" s="32"/>
      <c r="S768" s="34"/>
    </row>
    <row r="769" customFormat="false" ht="14.25" hidden="false" customHeight="false" outlineLevel="0" collapsed="false">
      <c r="O769" s="32"/>
      <c r="P769" s="33"/>
      <c r="Q769" s="32"/>
      <c r="S769" s="34"/>
    </row>
    <row r="770" customFormat="false" ht="14.25" hidden="false" customHeight="false" outlineLevel="0" collapsed="false">
      <c r="O770" s="32"/>
      <c r="P770" s="33"/>
      <c r="Q770" s="32"/>
      <c r="S770" s="34"/>
    </row>
    <row r="771" customFormat="false" ht="14.25" hidden="false" customHeight="false" outlineLevel="0" collapsed="false">
      <c r="O771" s="32"/>
      <c r="P771" s="33"/>
      <c r="Q771" s="32"/>
      <c r="S771" s="34"/>
    </row>
    <row r="772" customFormat="false" ht="14.25" hidden="false" customHeight="false" outlineLevel="0" collapsed="false">
      <c r="O772" s="32"/>
      <c r="P772" s="33"/>
      <c r="Q772" s="32"/>
      <c r="S772" s="34"/>
    </row>
    <row r="773" customFormat="false" ht="14.25" hidden="false" customHeight="false" outlineLevel="0" collapsed="false">
      <c r="O773" s="32"/>
      <c r="P773" s="33"/>
      <c r="Q773" s="32"/>
      <c r="S773" s="34"/>
    </row>
    <row r="774" customFormat="false" ht="14.25" hidden="false" customHeight="false" outlineLevel="0" collapsed="false">
      <c r="O774" s="32"/>
      <c r="P774" s="33"/>
      <c r="Q774" s="32"/>
      <c r="S774" s="34"/>
    </row>
    <row r="775" customFormat="false" ht="14.25" hidden="false" customHeight="false" outlineLevel="0" collapsed="false">
      <c r="O775" s="32"/>
      <c r="P775" s="33"/>
      <c r="Q775" s="32"/>
      <c r="S775" s="34"/>
    </row>
    <row r="776" customFormat="false" ht="14.25" hidden="false" customHeight="false" outlineLevel="0" collapsed="false">
      <c r="O776" s="32"/>
      <c r="P776" s="33"/>
      <c r="Q776" s="32"/>
      <c r="S776" s="34"/>
    </row>
    <row r="777" customFormat="false" ht="14.25" hidden="false" customHeight="false" outlineLevel="0" collapsed="false">
      <c r="O777" s="32"/>
      <c r="P777" s="33"/>
      <c r="Q777" s="32"/>
      <c r="R777" s="35"/>
      <c r="S777" s="34"/>
    </row>
    <row r="778" customFormat="false" ht="14.25" hidden="false" customHeight="false" outlineLevel="0" collapsed="false">
      <c r="O778" s="32"/>
      <c r="P778" s="33"/>
      <c r="Q778" s="32"/>
      <c r="S778" s="34"/>
    </row>
    <row r="779" customFormat="false" ht="14.25" hidden="false" customHeight="false" outlineLevel="0" collapsed="false">
      <c r="O779" s="32"/>
      <c r="P779" s="33"/>
      <c r="Q779" s="32"/>
      <c r="S779" s="34"/>
    </row>
    <row r="780" customFormat="false" ht="14.25" hidden="false" customHeight="false" outlineLevel="0" collapsed="false">
      <c r="O780" s="32"/>
      <c r="P780" s="33"/>
      <c r="Q780" s="32"/>
      <c r="S780" s="34"/>
    </row>
    <row r="781" customFormat="false" ht="14.25" hidden="false" customHeight="false" outlineLevel="0" collapsed="false">
      <c r="O781" s="32"/>
      <c r="P781" s="33"/>
      <c r="Q781" s="32"/>
      <c r="R781" s="35"/>
      <c r="S781" s="34"/>
    </row>
    <row r="782" customFormat="false" ht="14.25" hidden="false" customHeight="false" outlineLevel="0" collapsed="false">
      <c r="O782" s="32"/>
      <c r="P782" s="33"/>
      <c r="Q782" s="32"/>
      <c r="S782" s="34"/>
    </row>
    <row r="783" customFormat="false" ht="14.25" hidden="false" customHeight="false" outlineLevel="0" collapsed="false">
      <c r="O783" s="32"/>
      <c r="P783" s="33"/>
      <c r="Q783" s="32"/>
      <c r="S783" s="34"/>
    </row>
    <row r="784" customFormat="false" ht="14.25" hidden="false" customHeight="false" outlineLevel="0" collapsed="false">
      <c r="O784" s="32"/>
      <c r="P784" s="33"/>
      <c r="Q784" s="32"/>
      <c r="S784" s="34"/>
    </row>
    <row r="785" customFormat="false" ht="14.25" hidden="false" customHeight="false" outlineLevel="0" collapsed="false">
      <c r="O785" s="32"/>
      <c r="P785" s="33"/>
      <c r="Q785" s="32"/>
      <c r="S785" s="34"/>
    </row>
    <row r="786" customFormat="false" ht="14.25" hidden="false" customHeight="false" outlineLevel="0" collapsed="false">
      <c r="O786" s="32"/>
      <c r="P786" s="33"/>
      <c r="Q786" s="32"/>
      <c r="S786" s="34"/>
    </row>
    <row r="787" customFormat="false" ht="14.25" hidden="false" customHeight="false" outlineLevel="0" collapsed="false">
      <c r="O787" s="32"/>
      <c r="P787" s="33"/>
      <c r="Q787" s="32"/>
      <c r="S787" s="34"/>
    </row>
    <row r="788" customFormat="false" ht="14.25" hidden="false" customHeight="false" outlineLevel="0" collapsed="false">
      <c r="O788" s="32"/>
      <c r="P788" s="33"/>
      <c r="Q788" s="32"/>
      <c r="S788" s="34"/>
    </row>
    <row r="789" customFormat="false" ht="14.25" hidden="false" customHeight="false" outlineLevel="0" collapsed="false">
      <c r="O789" s="32"/>
      <c r="P789" s="33"/>
      <c r="Q789" s="32"/>
      <c r="S789" s="34"/>
    </row>
    <row r="790" customFormat="false" ht="14.25" hidden="false" customHeight="false" outlineLevel="0" collapsed="false">
      <c r="O790" s="32"/>
      <c r="P790" s="33"/>
      <c r="Q790" s="32"/>
      <c r="S790" s="34"/>
    </row>
    <row r="791" customFormat="false" ht="14.25" hidden="false" customHeight="false" outlineLevel="0" collapsed="false">
      <c r="O791" s="32"/>
      <c r="P791" s="33"/>
      <c r="Q791" s="32"/>
      <c r="S791" s="34"/>
    </row>
    <row r="792" customFormat="false" ht="14.25" hidden="false" customHeight="false" outlineLevel="0" collapsed="false">
      <c r="O792" s="32"/>
      <c r="P792" s="33"/>
      <c r="Q792" s="32"/>
      <c r="S792" s="34"/>
    </row>
    <row r="793" customFormat="false" ht="14.25" hidden="false" customHeight="false" outlineLevel="0" collapsed="false">
      <c r="O793" s="32"/>
      <c r="P793" s="33"/>
      <c r="Q793" s="32"/>
      <c r="S793" s="34"/>
    </row>
    <row r="794" customFormat="false" ht="14.25" hidden="false" customHeight="false" outlineLevel="0" collapsed="false">
      <c r="O794" s="32"/>
      <c r="P794" s="33"/>
      <c r="Q794" s="32"/>
      <c r="S794" s="34"/>
    </row>
    <row r="795" customFormat="false" ht="14.25" hidden="false" customHeight="false" outlineLevel="0" collapsed="false">
      <c r="O795" s="32"/>
      <c r="P795" s="33"/>
      <c r="Q795" s="32"/>
      <c r="S795" s="34"/>
    </row>
    <row r="796" customFormat="false" ht="14.25" hidden="false" customHeight="false" outlineLevel="0" collapsed="false">
      <c r="O796" s="32"/>
      <c r="P796" s="33"/>
      <c r="Q796" s="32"/>
      <c r="S796" s="34"/>
    </row>
    <row r="797" customFormat="false" ht="14.25" hidden="false" customHeight="false" outlineLevel="0" collapsed="false">
      <c r="O797" s="32"/>
      <c r="P797" s="33"/>
      <c r="Q797" s="32"/>
      <c r="S797" s="34"/>
    </row>
    <row r="798" customFormat="false" ht="14.25" hidden="false" customHeight="false" outlineLevel="0" collapsed="false">
      <c r="O798" s="32"/>
      <c r="P798" s="33"/>
      <c r="Q798" s="32"/>
      <c r="S798" s="34"/>
    </row>
    <row r="799" customFormat="false" ht="14.25" hidden="false" customHeight="false" outlineLevel="0" collapsed="false">
      <c r="O799" s="32"/>
      <c r="P799" s="33"/>
      <c r="Q799" s="32"/>
      <c r="S799" s="34"/>
    </row>
    <row r="800" customFormat="false" ht="14.25" hidden="false" customHeight="false" outlineLevel="0" collapsed="false">
      <c r="O800" s="32"/>
      <c r="P800" s="33"/>
      <c r="Q800" s="32"/>
      <c r="S800" s="34"/>
    </row>
    <row r="801" customFormat="false" ht="14.25" hidden="false" customHeight="false" outlineLevel="0" collapsed="false">
      <c r="O801" s="32"/>
      <c r="P801" s="33"/>
      <c r="Q801" s="32"/>
      <c r="S801" s="34"/>
    </row>
    <row r="802" customFormat="false" ht="14.25" hidden="false" customHeight="false" outlineLevel="0" collapsed="false">
      <c r="O802" s="32"/>
      <c r="P802" s="33"/>
      <c r="Q802" s="32"/>
      <c r="S802" s="34"/>
    </row>
    <row r="803" customFormat="false" ht="14.25" hidden="false" customHeight="false" outlineLevel="0" collapsed="false">
      <c r="O803" s="32"/>
      <c r="P803" s="33"/>
      <c r="Q803" s="32"/>
      <c r="S803" s="34"/>
    </row>
    <row r="804" customFormat="false" ht="14.25" hidden="false" customHeight="false" outlineLevel="0" collapsed="false">
      <c r="O804" s="32"/>
      <c r="P804" s="33"/>
      <c r="Q804" s="32"/>
      <c r="S804" s="34"/>
    </row>
    <row r="805" customFormat="false" ht="14.25" hidden="false" customHeight="false" outlineLevel="0" collapsed="false">
      <c r="O805" s="32"/>
      <c r="P805" s="33"/>
      <c r="Q805" s="32"/>
      <c r="S805" s="34"/>
    </row>
    <row r="806" customFormat="false" ht="14.25" hidden="false" customHeight="false" outlineLevel="0" collapsed="false">
      <c r="O806" s="32"/>
      <c r="P806" s="33"/>
      <c r="Q806" s="32"/>
      <c r="S806" s="34"/>
    </row>
    <row r="807" customFormat="false" ht="14.25" hidden="false" customHeight="false" outlineLevel="0" collapsed="false">
      <c r="O807" s="32"/>
      <c r="P807" s="33"/>
      <c r="Q807" s="32"/>
      <c r="S807" s="34"/>
    </row>
    <row r="808" customFormat="false" ht="14.25" hidden="false" customHeight="false" outlineLevel="0" collapsed="false">
      <c r="O808" s="32"/>
      <c r="P808" s="33"/>
      <c r="Q808" s="32"/>
      <c r="S808" s="34"/>
    </row>
    <row r="809" customFormat="false" ht="14.25" hidden="false" customHeight="false" outlineLevel="0" collapsed="false">
      <c r="O809" s="32"/>
      <c r="P809" s="33"/>
      <c r="Q809" s="32"/>
      <c r="S809" s="34"/>
    </row>
    <row r="810" customFormat="false" ht="14.25" hidden="false" customHeight="false" outlineLevel="0" collapsed="false">
      <c r="O810" s="32"/>
      <c r="P810" s="33"/>
      <c r="Q810" s="32"/>
      <c r="S810" s="34"/>
    </row>
    <row r="811" customFormat="false" ht="14.25" hidden="false" customHeight="false" outlineLevel="0" collapsed="false">
      <c r="O811" s="32"/>
      <c r="P811" s="33"/>
      <c r="Q811" s="32"/>
      <c r="S811" s="34"/>
    </row>
    <row r="812" customFormat="false" ht="14.25" hidden="false" customHeight="false" outlineLevel="0" collapsed="false">
      <c r="O812" s="32"/>
      <c r="P812" s="33"/>
      <c r="Q812" s="32"/>
      <c r="S812" s="34"/>
    </row>
    <row r="813" customFormat="false" ht="14.25" hidden="false" customHeight="false" outlineLevel="0" collapsed="false">
      <c r="O813" s="32"/>
      <c r="P813" s="33"/>
      <c r="Q813" s="32"/>
      <c r="R813" s="35"/>
      <c r="S813" s="34"/>
    </row>
    <row r="814" customFormat="false" ht="14.25" hidden="false" customHeight="false" outlineLevel="0" collapsed="false">
      <c r="O814" s="32"/>
      <c r="P814" s="33"/>
      <c r="Q814" s="32"/>
      <c r="R814" s="35"/>
      <c r="S814" s="34"/>
    </row>
    <row r="815" customFormat="false" ht="14.25" hidden="false" customHeight="false" outlineLevel="0" collapsed="false">
      <c r="O815" s="32"/>
      <c r="P815" s="33"/>
      <c r="Q815" s="32"/>
      <c r="S815" s="34"/>
    </row>
    <row r="816" customFormat="false" ht="14.25" hidden="false" customHeight="false" outlineLevel="0" collapsed="false">
      <c r="O816" s="32"/>
      <c r="P816" s="33"/>
      <c r="Q816" s="32"/>
      <c r="S816" s="34"/>
    </row>
    <row r="817" customFormat="false" ht="14.25" hidden="false" customHeight="false" outlineLevel="0" collapsed="false">
      <c r="O817" s="32"/>
      <c r="P817" s="33"/>
      <c r="Q817" s="32"/>
      <c r="S817" s="34"/>
    </row>
    <row r="818" customFormat="false" ht="14.25" hidden="false" customHeight="false" outlineLevel="0" collapsed="false">
      <c r="O818" s="32"/>
      <c r="P818" s="33"/>
      <c r="Q818" s="32"/>
      <c r="S818" s="34"/>
    </row>
    <row r="819" customFormat="false" ht="14.25" hidden="false" customHeight="false" outlineLevel="0" collapsed="false">
      <c r="O819" s="32"/>
      <c r="P819" s="33"/>
      <c r="Q819" s="32"/>
      <c r="S819" s="34"/>
    </row>
    <row r="820" customFormat="false" ht="14.25" hidden="false" customHeight="false" outlineLevel="0" collapsed="false">
      <c r="O820" s="32"/>
      <c r="P820" s="33"/>
      <c r="Q820" s="32"/>
      <c r="S820" s="34"/>
    </row>
    <row r="821" customFormat="false" ht="14.25" hidden="false" customHeight="false" outlineLevel="0" collapsed="false">
      <c r="O821" s="32"/>
      <c r="P821" s="33"/>
      <c r="Q821" s="32"/>
      <c r="S821" s="34"/>
    </row>
    <row r="822" customFormat="false" ht="14.25" hidden="false" customHeight="false" outlineLevel="0" collapsed="false">
      <c r="O822" s="32"/>
      <c r="P822" s="33"/>
      <c r="Q822" s="32"/>
      <c r="S822" s="34"/>
    </row>
    <row r="823" customFormat="false" ht="14.25" hidden="false" customHeight="false" outlineLevel="0" collapsed="false">
      <c r="O823" s="32"/>
      <c r="P823" s="33"/>
      <c r="Q823" s="32"/>
      <c r="S823" s="34"/>
    </row>
    <row r="824" customFormat="false" ht="14.25" hidden="false" customHeight="false" outlineLevel="0" collapsed="false">
      <c r="O824" s="32"/>
      <c r="P824" s="33"/>
      <c r="Q824" s="32"/>
      <c r="S824" s="34"/>
    </row>
    <row r="825" customFormat="false" ht="14.25" hidden="false" customHeight="false" outlineLevel="0" collapsed="false">
      <c r="O825" s="32"/>
      <c r="P825" s="33"/>
      <c r="Q825" s="32"/>
      <c r="S825" s="34"/>
    </row>
    <row r="826" customFormat="false" ht="14.25" hidden="false" customHeight="false" outlineLevel="0" collapsed="false">
      <c r="O826" s="32"/>
      <c r="P826" s="33"/>
      <c r="Q826" s="32"/>
      <c r="S826" s="34"/>
    </row>
    <row r="827" customFormat="false" ht="14.25" hidden="false" customHeight="false" outlineLevel="0" collapsed="false">
      <c r="O827" s="32"/>
      <c r="P827" s="33"/>
      <c r="Q827" s="32"/>
      <c r="S827" s="34"/>
    </row>
    <row r="828" customFormat="false" ht="14.25" hidden="false" customHeight="false" outlineLevel="0" collapsed="false">
      <c r="O828" s="32"/>
      <c r="P828" s="33"/>
      <c r="Q828" s="32"/>
      <c r="S828" s="34"/>
    </row>
    <row r="829" customFormat="false" ht="14.25" hidden="false" customHeight="false" outlineLevel="0" collapsed="false">
      <c r="O829" s="32"/>
      <c r="P829" s="33"/>
      <c r="Q829" s="32"/>
      <c r="S829" s="34"/>
    </row>
    <row r="830" customFormat="false" ht="14.25" hidden="false" customHeight="false" outlineLevel="0" collapsed="false">
      <c r="O830" s="32"/>
      <c r="P830" s="33"/>
      <c r="Q830" s="32"/>
      <c r="S830" s="34"/>
    </row>
    <row r="831" customFormat="false" ht="14.25" hidden="false" customHeight="false" outlineLevel="0" collapsed="false">
      <c r="O831" s="32"/>
      <c r="P831" s="33"/>
      <c r="Q831" s="32"/>
      <c r="S831" s="34"/>
    </row>
    <row r="832" customFormat="false" ht="14.25" hidden="false" customHeight="false" outlineLevel="0" collapsed="false">
      <c r="O832" s="32"/>
      <c r="P832" s="33"/>
      <c r="Q832" s="32"/>
      <c r="S832" s="34"/>
    </row>
    <row r="833" customFormat="false" ht="14.25" hidden="false" customHeight="false" outlineLevel="0" collapsed="false">
      <c r="O833" s="32"/>
      <c r="P833" s="33"/>
      <c r="Q833" s="32"/>
      <c r="S833" s="34"/>
    </row>
    <row r="834" customFormat="false" ht="14.25" hidden="false" customHeight="false" outlineLevel="0" collapsed="false">
      <c r="O834" s="32"/>
      <c r="P834" s="33"/>
      <c r="Q834" s="32"/>
      <c r="S834" s="34"/>
    </row>
    <row r="835" customFormat="false" ht="14.25" hidden="false" customHeight="false" outlineLevel="0" collapsed="false">
      <c r="O835" s="32"/>
      <c r="P835" s="33"/>
      <c r="Q835" s="32"/>
      <c r="R835" s="35"/>
      <c r="S835" s="34"/>
    </row>
    <row r="836" customFormat="false" ht="14.25" hidden="false" customHeight="false" outlineLevel="0" collapsed="false">
      <c r="O836" s="32"/>
      <c r="P836" s="33"/>
      <c r="Q836" s="32"/>
      <c r="S836" s="34"/>
    </row>
    <row r="837" customFormat="false" ht="14.25" hidden="false" customHeight="false" outlineLevel="0" collapsed="false">
      <c r="O837" s="32"/>
      <c r="P837" s="33"/>
      <c r="Q837" s="32"/>
      <c r="S837" s="34"/>
    </row>
    <row r="838" customFormat="false" ht="14.25" hidden="false" customHeight="false" outlineLevel="0" collapsed="false">
      <c r="O838" s="32"/>
      <c r="P838" s="33"/>
      <c r="Q838" s="32"/>
      <c r="S838" s="34"/>
    </row>
    <row r="839" customFormat="false" ht="14.25" hidden="false" customHeight="false" outlineLevel="0" collapsed="false">
      <c r="O839" s="32"/>
      <c r="P839" s="33"/>
      <c r="Q839" s="32"/>
      <c r="S839" s="34"/>
    </row>
    <row r="840" customFormat="false" ht="14.25" hidden="false" customHeight="false" outlineLevel="0" collapsed="false">
      <c r="O840" s="32"/>
      <c r="P840" s="33"/>
      <c r="Q840" s="32"/>
      <c r="S840" s="34"/>
    </row>
    <row r="841" customFormat="false" ht="14.25" hidden="false" customHeight="false" outlineLevel="0" collapsed="false">
      <c r="O841" s="32"/>
      <c r="P841" s="33"/>
      <c r="Q841" s="32"/>
      <c r="S841" s="34"/>
    </row>
    <row r="842" customFormat="false" ht="14.25" hidden="false" customHeight="false" outlineLevel="0" collapsed="false">
      <c r="O842" s="32"/>
      <c r="P842" s="33"/>
      <c r="Q842" s="32"/>
      <c r="S842" s="34"/>
    </row>
    <row r="843" customFormat="false" ht="14.25" hidden="false" customHeight="false" outlineLevel="0" collapsed="false">
      <c r="O843" s="32"/>
      <c r="P843" s="33"/>
      <c r="Q843" s="32"/>
      <c r="S843" s="34"/>
    </row>
    <row r="844" customFormat="false" ht="14.25" hidden="false" customHeight="false" outlineLevel="0" collapsed="false">
      <c r="O844" s="32"/>
      <c r="P844" s="33"/>
      <c r="Q844" s="32"/>
      <c r="S844" s="34"/>
    </row>
    <row r="845" customFormat="false" ht="14.25" hidden="false" customHeight="false" outlineLevel="0" collapsed="false">
      <c r="O845" s="32"/>
      <c r="P845" s="33"/>
      <c r="Q845" s="32"/>
      <c r="R845" s="35"/>
      <c r="S845" s="34"/>
    </row>
    <row r="846" customFormat="false" ht="14.25" hidden="false" customHeight="false" outlineLevel="0" collapsed="false">
      <c r="O846" s="32"/>
      <c r="P846" s="33"/>
      <c r="Q846" s="32"/>
      <c r="R846" s="35"/>
      <c r="S846" s="34"/>
    </row>
    <row r="847" customFormat="false" ht="14.25" hidden="false" customHeight="false" outlineLevel="0" collapsed="false">
      <c r="O847" s="32"/>
      <c r="P847" s="33"/>
      <c r="Q847" s="32"/>
      <c r="R847" s="35"/>
      <c r="S847" s="34"/>
    </row>
    <row r="848" customFormat="false" ht="14.25" hidden="false" customHeight="false" outlineLevel="0" collapsed="false">
      <c r="O848" s="32"/>
      <c r="P848" s="33"/>
      <c r="Q848" s="32"/>
      <c r="R848" s="35"/>
      <c r="S848" s="34"/>
    </row>
    <row r="849" customFormat="false" ht="14.25" hidden="false" customHeight="false" outlineLevel="0" collapsed="false">
      <c r="O849" s="32"/>
      <c r="P849" s="33"/>
      <c r="Q849" s="32"/>
      <c r="R849" s="35"/>
      <c r="S849" s="34"/>
    </row>
    <row r="850" customFormat="false" ht="14.25" hidden="false" customHeight="false" outlineLevel="0" collapsed="false">
      <c r="O850" s="32"/>
      <c r="P850" s="33"/>
      <c r="Q850" s="32"/>
      <c r="S850" s="34"/>
    </row>
    <row r="851" customFormat="false" ht="14.25" hidden="false" customHeight="false" outlineLevel="0" collapsed="false">
      <c r="O851" s="32"/>
      <c r="P851" s="33"/>
      <c r="Q851" s="32"/>
      <c r="S851" s="34"/>
    </row>
    <row r="852" customFormat="false" ht="14.25" hidden="false" customHeight="false" outlineLevel="0" collapsed="false">
      <c r="O852" s="32"/>
      <c r="P852" s="33"/>
      <c r="Q852" s="32"/>
      <c r="S852" s="34"/>
    </row>
    <row r="853" customFormat="false" ht="14.25" hidden="false" customHeight="false" outlineLevel="0" collapsed="false">
      <c r="O853" s="32"/>
      <c r="P853" s="33"/>
      <c r="Q853" s="32"/>
      <c r="S853" s="34"/>
    </row>
    <row r="854" customFormat="false" ht="14.25" hidden="false" customHeight="false" outlineLevel="0" collapsed="false">
      <c r="O854" s="32"/>
      <c r="P854" s="33"/>
      <c r="Q854" s="32"/>
      <c r="R854" s="34"/>
      <c r="S854" s="34"/>
    </row>
    <row r="855" customFormat="false" ht="14.25" hidden="false" customHeight="false" outlineLevel="0" collapsed="false">
      <c r="O855" s="32"/>
      <c r="P855" s="33"/>
      <c r="Q855" s="32"/>
      <c r="S855" s="34"/>
    </row>
    <row r="856" customFormat="false" ht="14.25" hidden="false" customHeight="false" outlineLevel="0" collapsed="false">
      <c r="O856" s="32"/>
      <c r="P856" s="33"/>
      <c r="Q856" s="32"/>
      <c r="S856" s="34"/>
    </row>
    <row r="857" customFormat="false" ht="14.25" hidden="false" customHeight="false" outlineLevel="0" collapsed="false">
      <c r="O857" s="32"/>
      <c r="P857" s="33"/>
      <c r="Q857" s="32"/>
      <c r="S857" s="34"/>
    </row>
    <row r="858" customFormat="false" ht="14.25" hidden="false" customHeight="false" outlineLevel="0" collapsed="false">
      <c r="O858" s="32"/>
      <c r="P858" s="33"/>
      <c r="Q858" s="32"/>
      <c r="S858" s="34"/>
    </row>
    <row r="859" customFormat="false" ht="14.25" hidden="false" customHeight="false" outlineLevel="0" collapsed="false">
      <c r="O859" s="32"/>
      <c r="P859" s="33"/>
      <c r="Q859" s="32"/>
      <c r="S859" s="34"/>
    </row>
    <row r="860" customFormat="false" ht="14.25" hidden="false" customHeight="false" outlineLevel="0" collapsed="false">
      <c r="O860" s="32"/>
      <c r="P860" s="33"/>
      <c r="Q860" s="32"/>
      <c r="S860" s="34"/>
    </row>
    <row r="861" customFormat="false" ht="14.25" hidden="false" customHeight="false" outlineLevel="0" collapsed="false">
      <c r="O861" s="32"/>
      <c r="P861" s="33"/>
      <c r="Q861" s="32"/>
      <c r="S861" s="34"/>
    </row>
    <row r="862" customFormat="false" ht="14.25" hidden="false" customHeight="false" outlineLevel="0" collapsed="false">
      <c r="O862" s="32"/>
      <c r="P862" s="33"/>
      <c r="Q862" s="32"/>
      <c r="S862" s="34"/>
    </row>
    <row r="863" customFormat="false" ht="14.25" hidden="false" customHeight="false" outlineLevel="0" collapsed="false">
      <c r="O863" s="32"/>
      <c r="P863" s="33"/>
      <c r="Q863" s="32"/>
      <c r="S863" s="34"/>
    </row>
    <row r="864" customFormat="false" ht="14.25" hidden="false" customHeight="false" outlineLevel="0" collapsed="false">
      <c r="O864" s="32"/>
      <c r="P864" s="33"/>
      <c r="Q864" s="32"/>
      <c r="S864" s="34"/>
    </row>
    <row r="865" customFormat="false" ht="14.25" hidden="false" customHeight="false" outlineLevel="0" collapsed="false">
      <c r="O865" s="32"/>
      <c r="P865" s="33"/>
      <c r="Q865" s="32"/>
      <c r="S865" s="34"/>
    </row>
    <row r="866" customFormat="false" ht="14.25" hidden="false" customHeight="false" outlineLevel="0" collapsed="false">
      <c r="O866" s="32"/>
      <c r="P866" s="33"/>
      <c r="Q866" s="32"/>
      <c r="S866" s="34"/>
    </row>
    <row r="867" customFormat="false" ht="14.25" hidden="false" customHeight="false" outlineLevel="0" collapsed="false">
      <c r="O867" s="32"/>
      <c r="P867" s="33"/>
      <c r="Q867" s="32"/>
      <c r="S867" s="34"/>
    </row>
    <row r="868" customFormat="false" ht="14.25" hidden="false" customHeight="false" outlineLevel="0" collapsed="false">
      <c r="O868" s="32"/>
      <c r="P868" s="33"/>
      <c r="Q868" s="32"/>
      <c r="S868" s="34"/>
    </row>
    <row r="869" customFormat="false" ht="14.25" hidden="false" customHeight="false" outlineLevel="0" collapsed="false">
      <c r="O869" s="32"/>
      <c r="P869" s="33"/>
      <c r="Q869" s="32"/>
      <c r="S869" s="34"/>
    </row>
    <row r="870" customFormat="false" ht="14.25" hidden="false" customHeight="false" outlineLevel="0" collapsed="false">
      <c r="O870" s="32"/>
      <c r="P870" s="33"/>
      <c r="Q870" s="32"/>
      <c r="S870" s="34"/>
    </row>
    <row r="871" customFormat="false" ht="14.25" hidden="false" customHeight="false" outlineLevel="0" collapsed="false">
      <c r="O871" s="32"/>
      <c r="P871" s="33"/>
      <c r="Q871" s="32"/>
      <c r="S871" s="34"/>
    </row>
    <row r="872" customFormat="false" ht="14.25" hidden="false" customHeight="false" outlineLevel="0" collapsed="false">
      <c r="O872" s="32"/>
      <c r="P872" s="33"/>
      <c r="Q872" s="32"/>
      <c r="S872" s="34"/>
    </row>
    <row r="873" customFormat="false" ht="14.25" hidden="false" customHeight="false" outlineLevel="0" collapsed="false">
      <c r="O873" s="32"/>
      <c r="P873" s="33"/>
      <c r="Q873" s="32"/>
      <c r="S873" s="34"/>
    </row>
    <row r="874" customFormat="false" ht="14.25" hidden="false" customHeight="false" outlineLevel="0" collapsed="false">
      <c r="O874" s="32"/>
      <c r="P874" s="33"/>
      <c r="Q874" s="32"/>
      <c r="S874" s="34"/>
    </row>
    <row r="875" customFormat="false" ht="14.25" hidden="false" customHeight="false" outlineLevel="0" collapsed="false">
      <c r="O875" s="32"/>
      <c r="P875" s="33"/>
      <c r="Q875" s="32"/>
      <c r="S875" s="34"/>
    </row>
    <row r="876" customFormat="false" ht="14.25" hidden="false" customHeight="false" outlineLevel="0" collapsed="false">
      <c r="O876" s="32"/>
      <c r="P876" s="33"/>
      <c r="Q876" s="32"/>
      <c r="S876" s="34"/>
    </row>
    <row r="877" customFormat="false" ht="14.25" hidden="false" customHeight="false" outlineLevel="0" collapsed="false">
      <c r="O877" s="32"/>
      <c r="P877" s="33"/>
      <c r="Q877" s="32"/>
      <c r="S877" s="34"/>
    </row>
    <row r="878" customFormat="false" ht="14.25" hidden="false" customHeight="false" outlineLevel="0" collapsed="false">
      <c r="O878" s="32"/>
      <c r="P878" s="33"/>
      <c r="Q878" s="32"/>
      <c r="S878" s="34"/>
    </row>
    <row r="879" customFormat="false" ht="14.25" hidden="false" customHeight="false" outlineLevel="0" collapsed="false">
      <c r="O879" s="32"/>
      <c r="P879" s="33"/>
      <c r="Q879" s="32"/>
      <c r="S879" s="34"/>
    </row>
    <row r="880" customFormat="false" ht="14.25" hidden="false" customHeight="false" outlineLevel="0" collapsed="false">
      <c r="O880" s="32"/>
      <c r="P880" s="33"/>
      <c r="Q880" s="32"/>
      <c r="S880" s="34"/>
    </row>
    <row r="881" customFormat="false" ht="14.25" hidden="false" customHeight="false" outlineLevel="0" collapsed="false">
      <c r="O881" s="32"/>
      <c r="P881" s="33"/>
      <c r="Q881" s="32"/>
      <c r="S881" s="34"/>
    </row>
    <row r="882" customFormat="false" ht="14.25" hidden="false" customHeight="false" outlineLevel="0" collapsed="false">
      <c r="O882" s="32"/>
      <c r="P882" s="33"/>
      <c r="Q882" s="32"/>
      <c r="S882" s="34"/>
    </row>
    <row r="883" customFormat="false" ht="14.25" hidden="false" customHeight="false" outlineLevel="0" collapsed="false">
      <c r="O883" s="32"/>
      <c r="P883" s="33"/>
      <c r="Q883" s="32"/>
      <c r="S883" s="34"/>
    </row>
    <row r="884" customFormat="false" ht="14.25" hidden="false" customHeight="false" outlineLevel="0" collapsed="false">
      <c r="O884" s="32"/>
      <c r="P884" s="33"/>
      <c r="Q884" s="32"/>
      <c r="S884" s="34"/>
    </row>
    <row r="885" customFormat="false" ht="14.25" hidden="false" customHeight="false" outlineLevel="0" collapsed="false">
      <c r="O885" s="32"/>
      <c r="P885" s="33"/>
      <c r="Q885" s="32"/>
      <c r="S885" s="34"/>
    </row>
    <row r="886" customFormat="false" ht="14.25" hidden="false" customHeight="false" outlineLevel="0" collapsed="false">
      <c r="O886" s="32"/>
      <c r="P886" s="33"/>
      <c r="Q886" s="32"/>
      <c r="S886" s="34"/>
    </row>
    <row r="887" customFormat="false" ht="14.25" hidden="false" customHeight="false" outlineLevel="0" collapsed="false">
      <c r="O887" s="32"/>
      <c r="P887" s="33"/>
      <c r="Q887" s="32"/>
      <c r="S887" s="34"/>
    </row>
    <row r="888" customFormat="false" ht="14.25" hidden="false" customHeight="false" outlineLevel="0" collapsed="false">
      <c r="O888" s="32"/>
      <c r="P888" s="33"/>
      <c r="Q888" s="32"/>
      <c r="S888" s="34"/>
    </row>
    <row r="889" customFormat="false" ht="14.25" hidden="false" customHeight="false" outlineLevel="0" collapsed="false">
      <c r="O889" s="32"/>
      <c r="P889" s="33"/>
      <c r="Q889" s="32"/>
      <c r="S889" s="34"/>
    </row>
    <row r="890" customFormat="false" ht="14.25" hidden="false" customHeight="false" outlineLevel="0" collapsed="false">
      <c r="O890" s="32"/>
      <c r="P890" s="33"/>
      <c r="Q890" s="32"/>
      <c r="S890" s="34"/>
    </row>
    <row r="891" customFormat="false" ht="14.25" hidden="false" customHeight="false" outlineLevel="0" collapsed="false">
      <c r="O891" s="32"/>
      <c r="P891" s="33"/>
      <c r="Q891" s="32"/>
      <c r="S891" s="34"/>
    </row>
    <row r="892" customFormat="false" ht="14.25" hidden="false" customHeight="false" outlineLevel="0" collapsed="false">
      <c r="O892" s="32"/>
      <c r="P892" s="33"/>
      <c r="Q892" s="32"/>
      <c r="S892" s="34"/>
    </row>
    <row r="893" customFormat="false" ht="14.25" hidden="false" customHeight="false" outlineLevel="0" collapsed="false">
      <c r="O893" s="32"/>
      <c r="P893" s="33"/>
      <c r="Q893" s="32"/>
      <c r="S893" s="34"/>
    </row>
    <row r="894" customFormat="false" ht="14.25" hidden="false" customHeight="false" outlineLevel="0" collapsed="false">
      <c r="O894" s="32"/>
      <c r="P894" s="33"/>
      <c r="Q894" s="32"/>
      <c r="S894" s="34"/>
    </row>
    <row r="895" customFormat="false" ht="14.25" hidden="false" customHeight="false" outlineLevel="0" collapsed="false">
      <c r="O895" s="32"/>
      <c r="P895" s="33"/>
      <c r="Q895" s="32"/>
      <c r="S895" s="34"/>
    </row>
    <row r="896" customFormat="false" ht="14.25" hidden="false" customHeight="false" outlineLevel="0" collapsed="false">
      <c r="O896" s="32"/>
      <c r="P896" s="33"/>
      <c r="Q896" s="32"/>
      <c r="S896" s="34"/>
    </row>
    <row r="897" customFormat="false" ht="14.25" hidden="false" customHeight="false" outlineLevel="0" collapsed="false">
      <c r="O897" s="32"/>
      <c r="P897" s="33"/>
      <c r="Q897" s="32"/>
      <c r="S897" s="34"/>
    </row>
    <row r="898" customFormat="false" ht="14.25" hidden="false" customHeight="false" outlineLevel="0" collapsed="false">
      <c r="O898" s="32"/>
      <c r="P898" s="33"/>
      <c r="Q898" s="32"/>
      <c r="S898" s="34"/>
    </row>
    <row r="899" customFormat="false" ht="14.25" hidden="false" customHeight="false" outlineLevel="0" collapsed="false">
      <c r="O899" s="32"/>
      <c r="P899" s="33"/>
      <c r="Q899" s="32"/>
      <c r="S899" s="34"/>
    </row>
    <row r="900" customFormat="false" ht="14.25" hidden="false" customHeight="false" outlineLevel="0" collapsed="false">
      <c r="O900" s="32"/>
      <c r="P900" s="33"/>
      <c r="Q900" s="32"/>
      <c r="S900" s="34"/>
    </row>
    <row r="901" customFormat="false" ht="14.25" hidden="false" customHeight="false" outlineLevel="0" collapsed="false">
      <c r="O901" s="32"/>
      <c r="P901" s="33"/>
      <c r="Q901" s="32"/>
      <c r="S901" s="34"/>
    </row>
    <row r="902" customFormat="false" ht="14.25" hidden="false" customHeight="false" outlineLevel="0" collapsed="false">
      <c r="O902" s="32"/>
      <c r="P902" s="33"/>
      <c r="Q902" s="32"/>
      <c r="S902" s="34"/>
    </row>
    <row r="903" customFormat="false" ht="14.25" hidden="false" customHeight="false" outlineLevel="0" collapsed="false">
      <c r="O903" s="32"/>
      <c r="P903" s="33"/>
      <c r="Q903" s="32"/>
      <c r="S903" s="34"/>
    </row>
    <row r="904" customFormat="false" ht="14.25" hidden="false" customHeight="false" outlineLevel="0" collapsed="false">
      <c r="O904" s="32"/>
      <c r="P904" s="33"/>
      <c r="Q904" s="32"/>
      <c r="S904" s="34"/>
    </row>
    <row r="905" customFormat="false" ht="14.25" hidden="false" customHeight="false" outlineLevel="0" collapsed="false">
      <c r="O905" s="32"/>
      <c r="P905" s="33"/>
      <c r="Q905" s="32"/>
      <c r="S905" s="34"/>
    </row>
    <row r="906" customFormat="false" ht="14.25" hidden="false" customHeight="false" outlineLevel="0" collapsed="false">
      <c r="O906" s="32"/>
      <c r="P906" s="33"/>
      <c r="Q906" s="32"/>
      <c r="S906" s="34"/>
    </row>
    <row r="907" customFormat="false" ht="14.25" hidden="false" customHeight="false" outlineLevel="0" collapsed="false">
      <c r="O907" s="32"/>
      <c r="P907" s="33"/>
      <c r="Q907" s="32"/>
      <c r="S907" s="34"/>
    </row>
    <row r="908" customFormat="false" ht="14.25" hidden="false" customHeight="false" outlineLevel="0" collapsed="false">
      <c r="O908" s="32"/>
      <c r="P908" s="33"/>
      <c r="Q908" s="32"/>
      <c r="S908" s="34"/>
    </row>
    <row r="909" customFormat="false" ht="14.25" hidden="false" customHeight="false" outlineLevel="0" collapsed="false">
      <c r="O909" s="32"/>
      <c r="P909" s="33"/>
      <c r="Q909" s="32"/>
      <c r="S909" s="34"/>
    </row>
    <row r="910" customFormat="false" ht="14.25" hidden="false" customHeight="false" outlineLevel="0" collapsed="false">
      <c r="O910" s="32"/>
      <c r="P910" s="33"/>
      <c r="Q910" s="32"/>
      <c r="S910" s="34"/>
    </row>
    <row r="911" customFormat="false" ht="14.25" hidden="false" customHeight="false" outlineLevel="0" collapsed="false">
      <c r="O911" s="32"/>
      <c r="P911" s="33"/>
      <c r="Q911" s="32"/>
      <c r="S911" s="34"/>
    </row>
    <row r="912" customFormat="false" ht="14.25" hidden="false" customHeight="false" outlineLevel="0" collapsed="false">
      <c r="O912" s="32"/>
      <c r="P912" s="33"/>
      <c r="Q912" s="32"/>
      <c r="S912" s="34"/>
    </row>
    <row r="913" customFormat="false" ht="14.25" hidden="false" customHeight="false" outlineLevel="0" collapsed="false">
      <c r="O913" s="32"/>
      <c r="P913" s="33"/>
      <c r="Q913" s="32"/>
      <c r="S913" s="34"/>
    </row>
    <row r="914" customFormat="false" ht="14.25" hidden="false" customHeight="false" outlineLevel="0" collapsed="false">
      <c r="O914" s="32"/>
      <c r="P914" s="33"/>
      <c r="Q914" s="32"/>
      <c r="S914" s="34"/>
    </row>
    <row r="915" customFormat="false" ht="14.25" hidden="false" customHeight="false" outlineLevel="0" collapsed="false">
      <c r="O915" s="32"/>
      <c r="P915" s="33"/>
      <c r="Q915" s="32"/>
      <c r="S915" s="34"/>
    </row>
    <row r="916" customFormat="false" ht="14.25" hidden="false" customHeight="false" outlineLevel="0" collapsed="false">
      <c r="O916" s="32"/>
      <c r="P916" s="33"/>
      <c r="Q916" s="32"/>
      <c r="S916" s="34"/>
    </row>
    <row r="917" customFormat="false" ht="14.25" hidden="false" customHeight="false" outlineLevel="0" collapsed="false">
      <c r="O917" s="32"/>
      <c r="P917" s="33"/>
      <c r="Q917" s="32"/>
      <c r="S917" s="34"/>
    </row>
    <row r="918" customFormat="false" ht="14.25" hidden="false" customHeight="false" outlineLevel="0" collapsed="false">
      <c r="O918" s="32"/>
      <c r="P918" s="33"/>
      <c r="Q918" s="32"/>
      <c r="S918" s="34"/>
    </row>
    <row r="919" customFormat="false" ht="14.25" hidden="false" customHeight="false" outlineLevel="0" collapsed="false">
      <c r="O919" s="32"/>
      <c r="P919" s="33"/>
      <c r="Q919" s="32"/>
      <c r="S919" s="34"/>
    </row>
    <row r="920" customFormat="false" ht="14.25" hidden="false" customHeight="false" outlineLevel="0" collapsed="false">
      <c r="O920" s="32"/>
      <c r="P920" s="33"/>
      <c r="Q920" s="32"/>
      <c r="S920" s="34"/>
    </row>
    <row r="921" customFormat="false" ht="14.25" hidden="false" customHeight="false" outlineLevel="0" collapsed="false">
      <c r="O921" s="32"/>
      <c r="P921" s="33"/>
      <c r="Q921" s="32"/>
      <c r="S921" s="34"/>
    </row>
    <row r="922" customFormat="false" ht="14.25" hidden="false" customHeight="false" outlineLevel="0" collapsed="false">
      <c r="O922" s="32"/>
      <c r="P922" s="33"/>
      <c r="Q922" s="32"/>
      <c r="S922" s="34"/>
    </row>
    <row r="923" customFormat="false" ht="14.25" hidden="false" customHeight="false" outlineLevel="0" collapsed="false">
      <c r="O923" s="32"/>
      <c r="P923" s="33"/>
      <c r="Q923" s="32"/>
      <c r="S923" s="34"/>
    </row>
    <row r="924" customFormat="false" ht="14.25" hidden="false" customHeight="false" outlineLevel="0" collapsed="false">
      <c r="O924" s="32"/>
      <c r="P924" s="33"/>
      <c r="Q924" s="32"/>
      <c r="S924" s="34"/>
    </row>
    <row r="925" customFormat="false" ht="14.25" hidden="false" customHeight="false" outlineLevel="0" collapsed="false">
      <c r="O925" s="32"/>
      <c r="P925" s="33"/>
      <c r="Q925" s="32"/>
      <c r="S925" s="34"/>
    </row>
    <row r="926" customFormat="false" ht="14.25" hidden="false" customHeight="false" outlineLevel="0" collapsed="false">
      <c r="O926" s="32"/>
      <c r="P926" s="33"/>
      <c r="Q926" s="32"/>
      <c r="S926" s="34"/>
    </row>
    <row r="927" customFormat="false" ht="14.25" hidden="false" customHeight="false" outlineLevel="0" collapsed="false">
      <c r="O927" s="32"/>
      <c r="P927" s="33"/>
      <c r="Q927" s="32"/>
      <c r="S927" s="34"/>
    </row>
    <row r="928" customFormat="false" ht="14.25" hidden="false" customHeight="false" outlineLevel="0" collapsed="false">
      <c r="O928" s="32"/>
      <c r="P928" s="33"/>
      <c r="Q928" s="32"/>
      <c r="S928" s="34"/>
    </row>
    <row r="929" customFormat="false" ht="14.25" hidden="false" customHeight="false" outlineLevel="0" collapsed="false">
      <c r="O929" s="32"/>
      <c r="P929" s="33"/>
      <c r="Q929" s="32"/>
      <c r="S929" s="34"/>
    </row>
    <row r="930" customFormat="false" ht="14.25" hidden="false" customHeight="false" outlineLevel="0" collapsed="false">
      <c r="O930" s="32"/>
      <c r="P930" s="33"/>
      <c r="Q930" s="32"/>
      <c r="S930" s="34"/>
    </row>
    <row r="931" customFormat="false" ht="14.25" hidden="false" customHeight="false" outlineLevel="0" collapsed="false">
      <c r="O931" s="32"/>
      <c r="P931" s="33"/>
      <c r="Q931" s="32"/>
      <c r="S931" s="34"/>
    </row>
    <row r="932" customFormat="false" ht="14.25" hidden="false" customHeight="false" outlineLevel="0" collapsed="false">
      <c r="O932" s="32"/>
      <c r="P932" s="33"/>
      <c r="Q932" s="32"/>
      <c r="S932" s="34"/>
    </row>
    <row r="933" customFormat="false" ht="14.25" hidden="false" customHeight="false" outlineLevel="0" collapsed="false">
      <c r="O933" s="32"/>
      <c r="P933" s="33"/>
      <c r="Q933" s="32"/>
      <c r="S933" s="34"/>
    </row>
    <row r="934" customFormat="false" ht="14.25" hidden="false" customHeight="false" outlineLevel="0" collapsed="false">
      <c r="O934" s="32"/>
      <c r="P934" s="33"/>
      <c r="Q934" s="32"/>
      <c r="S934" s="34"/>
    </row>
    <row r="935" customFormat="false" ht="14.25" hidden="false" customHeight="false" outlineLevel="0" collapsed="false">
      <c r="O935" s="32"/>
      <c r="P935" s="33"/>
      <c r="Q935" s="32"/>
      <c r="S935" s="34"/>
    </row>
    <row r="936" customFormat="false" ht="14.25" hidden="false" customHeight="false" outlineLevel="0" collapsed="false">
      <c r="O936" s="32"/>
      <c r="P936" s="33"/>
      <c r="Q936" s="32"/>
      <c r="S936" s="34"/>
    </row>
    <row r="937" customFormat="false" ht="14.25" hidden="false" customHeight="false" outlineLevel="0" collapsed="false">
      <c r="O937" s="32"/>
      <c r="P937" s="33"/>
      <c r="Q937" s="32"/>
      <c r="S937" s="34"/>
    </row>
    <row r="938" customFormat="false" ht="14.25" hidden="false" customHeight="false" outlineLevel="0" collapsed="false">
      <c r="O938" s="32"/>
      <c r="P938" s="33"/>
      <c r="Q938" s="32"/>
      <c r="S938" s="34"/>
    </row>
    <row r="939" customFormat="false" ht="14.25" hidden="false" customHeight="false" outlineLevel="0" collapsed="false">
      <c r="O939" s="32"/>
      <c r="P939" s="33"/>
      <c r="Q939" s="32"/>
      <c r="S939" s="34"/>
    </row>
    <row r="940" customFormat="false" ht="14.25" hidden="false" customHeight="false" outlineLevel="0" collapsed="false">
      <c r="O940" s="32"/>
      <c r="P940" s="33"/>
      <c r="Q940" s="32"/>
      <c r="S940" s="34"/>
    </row>
    <row r="941" customFormat="false" ht="14.25" hidden="false" customHeight="false" outlineLevel="0" collapsed="false">
      <c r="O941" s="32"/>
      <c r="P941" s="33"/>
      <c r="Q941" s="32"/>
      <c r="S941" s="34"/>
    </row>
    <row r="942" customFormat="false" ht="14.25" hidden="false" customHeight="false" outlineLevel="0" collapsed="false">
      <c r="O942" s="32"/>
      <c r="P942" s="33"/>
      <c r="Q942" s="32"/>
      <c r="S942" s="34"/>
    </row>
    <row r="943" customFormat="false" ht="14.25" hidden="false" customHeight="false" outlineLevel="0" collapsed="false">
      <c r="O943" s="32"/>
      <c r="P943" s="33"/>
      <c r="Q943" s="32"/>
      <c r="S943" s="34"/>
    </row>
    <row r="944" customFormat="false" ht="14.25" hidden="false" customHeight="false" outlineLevel="0" collapsed="false">
      <c r="O944" s="32"/>
      <c r="P944" s="33"/>
      <c r="Q944" s="32"/>
      <c r="S944" s="34"/>
    </row>
    <row r="945" customFormat="false" ht="14.25" hidden="false" customHeight="false" outlineLevel="0" collapsed="false">
      <c r="O945" s="32"/>
      <c r="P945" s="33"/>
      <c r="Q945" s="32"/>
      <c r="S945" s="34"/>
    </row>
    <row r="946" customFormat="false" ht="14.25" hidden="false" customHeight="false" outlineLevel="0" collapsed="false">
      <c r="O946" s="32"/>
      <c r="P946" s="33"/>
      <c r="Q946" s="32"/>
      <c r="S946" s="34"/>
    </row>
    <row r="947" customFormat="false" ht="14.25" hidden="false" customHeight="false" outlineLevel="0" collapsed="false">
      <c r="O947" s="32"/>
      <c r="P947" s="33"/>
      <c r="Q947" s="32"/>
      <c r="S947" s="34"/>
    </row>
    <row r="948" customFormat="false" ht="14.25" hidden="false" customHeight="false" outlineLevel="0" collapsed="false">
      <c r="O948" s="32"/>
      <c r="P948" s="33"/>
      <c r="Q948" s="32"/>
      <c r="S948" s="34"/>
    </row>
    <row r="949" customFormat="false" ht="14.25" hidden="false" customHeight="false" outlineLevel="0" collapsed="false">
      <c r="O949" s="32"/>
      <c r="P949" s="33"/>
      <c r="Q949" s="32"/>
      <c r="S949" s="34"/>
    </row>
    <row r="950" customFormat="false" ht="14.25" hidden="false" customHeight="false" outlineLevel="0" collapsed="false">
      <c r="O950" s="32"/>
      <c r="P950" s="33"/>
      <c r="Q950" s="32"/>
      <c r="S950" s="34"/>
    </row>
    <row r="951" customFormat="false" ht="14.25" hidden="false" customHeight="false" outlineLevel="0" collapsed="false">
      <c r="O951" s="32"/>
      <c r="P951" s="33"/>
      <c r="Q951" s="32"/>
      <c r="S951" s="34"/>
    </row>
    <row r="952" customFormat="false" ht="14.25" hidden="false" customHeight="false" outlineLevel="0" collapsed="false">
      <c r="O952" s="32"/>
      <c r="P952" s="33"/>
      <c r="Q952" s="32"/>
      <c r="S952" s="34"/>
    </row>
    <row r="953" customFormat="false" ht="14.25" hidden="false" customHeight="false" outlineLevel="0" collapsed="false">
      <c r="O953" s="32"/>
      <c r="P953" s="33"/>
      <c r="Q953" s="32"/>
      <c r="S953" s="34"/>
    </row>
    <row r="954" customFormat="false" ht="14.25" hidden="false" customHeight="false" outlineLevel="0" collapsed="false">
      <c r="O954" s="32"/>
      <c r="P954" s="33"/>
      <c r="Q954" s="32"/>
      <c r="S954" s="34"/>
    </row>
    <row r="955" customFormat="false" ht="14.25" hidden="false" customHeight="false" outlineLevel="0" collapsed="false">
      <c r="O955" s="32"/>
      <c r="P955" s="33"/>
      <c r="Q955" s="32"/>
      <c r="R955" s="34"/>
      <c r="S955" s="34"/>
    </row>
    <row r="956" customFormat="false" ht="14.25" hidden="false" customHeight="false" outlineLevel="0" collapsed="false">
      <c r="O956" s="32"/>
      <c r="P956" s="33"/>
      <c r="Q956" s="32"/>
      <c r="R956" s="34"/>
      <c r="S956" s="34"/>
    </row>
    <row r="957" customFormat="false" ht="14.25" hidden="false" customHeight="false" outlineLevel="0" collapsed="false">
      <c r="O957" s="32"/>
      <c r="P957" s="33"/>
      <c r="Q957" s="32"/>
      <c r="S957" s="34"/>
    </row>
    <row r="958" customFormat="false" ht="14.25" hidden="false" customHeight="false" outlineLevel="0" collapsed="false">
      <c r="O958" s="32"/>
      <c r="P958" s="33"/>
      <c r="Q958" s="32"/>
      <c r="S958" s="34"/>
    </row>
    <row r="959" customFormat="false" ht="14.25" hidden="false" customHeight="false" outlineLevel="0" collapsed="false">
      <c r="O959" s="32"/>
      <c r="P959" s="33"/>
      <c r="Q959" s="32"/>
      <c r="S959" s="34"/>
    </row>
    <row r="960" customFormat="false" ht="14.25" hidden="false" customHeight="false" outlineLevel="0" collapsed="false">
      <c r="O960" s="32"/>
      <c r="P960" s="33"/>
      <c r="Q960" s="32"/>
      <c r="S960" s="34"/>
    </row>
    <row r="961" customFormat="false" ht="14.25" hidden="false" customHeight="false" outlineLevel="0" collapsed="false">
      <c r="O961" s="32"/>
      <c r="P961" s="33"/>
      <c r="Q961" s="32"/>
      <c r="S961" s="34"/>
    </row>
    <row r="962" customFormat="false" ht="14.25" hidden="false" customHeight="false" outlineLevel="0" collapsed="false">
      <c r="O962" s="32"/>
      <c r="P962" s="33"/>
      <c r="Q962" s="32"/>
      <c r="S962" s="34"/>
    </row>
    <row r="963" customFormat="false" ht="14.25" hidden="false" customHeight="false" outlineLevel="0" collapsed="false">
      <c r="O963" s="32"/>
      <c r="P963" s="33"/>
      <c r="Q963" s="32"/>
      <c r="S963" s="34"/>
    </row>
    <row r="964" customFormat="false" ht="14.25" hidden="false" customHeight="false" outlineLevel="0" collapsed="false">
      <c r="O964" s="32"/>
      <c r="P964" s="33"/>
      <c r="Q964" s="32"/>
      <c r="S964" s="34"/>
    </row>
    <row r="965" customFormat="false" ht="14.25" hidden="false" customHeight="false" outlineLevel="0" collapsed="false">
      <c r="O965" s="32"/>
      <c r="P965" s="33"/>
      <c r="Q965" s="32"/>
      <c r="S965" s="34"/>
    </row>
    <row r="966" customFormat="false" ht="14.25" hidden="false" customHeight="false" outlineLevel="0" collapsed="false">
      <c r="O966" s="32"/>
      <c r="P966" s="33"/>
      <c r="Q966" s="32"/>
      <c r="S966" s="34"/>
    </row>
    <row r="967" customFormat="false" ht="14.25" hidden="false" customHeight="false" outlineLevel="0" collapsed="false">
      <c r="O967" s="32"/>
      <c r="P967" s="33"/>
      <c r="Q967" s="32"/>
      <c r="S967" s="34"/>
    </row>
    <row r="968" customFormat="false" ht="14.25" hidden="false" customHeight="false" outlineLevel="0" collapsed="false">
      <c r="O968" s="32"/>
      <c r="P968" s="33"/>
      <c r="Q968" s="32"/>
      <c r="R968" s="35"/>
      <c r="S968" s="34"/>
    </row>
    <row r="969" customFormat="false" ht="14.25" hidden="false" customHeight="false" outlineLevel="0" collapsed="false">
      <c r="O969" s="32"/>
      <c r="P969" s="33"/>
      <c r="Q969" s="32"/>
      <c r="S969" s="34"/>
    </row>
    <row r="970" customFormat="false" ht="14.25" hidden="false" customHeight="false" outlineLevel="0" collapsed="false">
      <c r="O970" s="32"/>
      <c r="P970" s="33"/>
      <c r="Q970" s="32"/>
      <c r="S970" s="34"/>
    </row>
    <row r="971" customFormat="false" ht="14.25" hidden="false" customHeight="false" outlineLevel="0" collapsed="false">
      <c r="O971" s="32"/>
      <c r="P971" s="33"/>
      <c r="Q971" s="32"/>
      <c r="S971" s="34"/>
    </row>
    <row r="972" customFormat="false" ht="14.25" hidden="false" customHeight="false" outlineLevel="0" collapsed="false">
      <c r="O972" s="32"/>
      <c r="P972" s="33"/>
      <c r="Q972" s="32"/>
      <c r="S972" s="34"/>
    </row>
    <row r="973" customFormat="false" ht="14.25" hidden="false" customHeight="false" outlineLevel="0" collapsed="false">
      <c r="O973" s="32"/>
      <c r="P973" s="33"/>
      <c r="Q973" s="32"/>
      <c r="S973" s="34"/>
    </row>
    <row r="974" customFormat="false" ht="14.25" hidden="false" customHeight="false" outlineLevel="0" collapsed="false">
      <c r="O974" s="32"/>
      <c r="P974" s="33"/>
      <c r="Q974" s="32"/>
      <c r="S974" s="34"/>
    </row>
    <row r="975" customFormat="false" ht="14.25" hidden="false" customHeight="false" outlineLevel="0" collapsed="false">
      <c r="O975" s="32"/>
      <c r="P975" s="33"/>
      <c r="Q975" s="32"/>
      <c r="S975" s="34"/>
    </row>
    <row r="976" customFormat="false" ht="14.25" hidden="false" customHeight="false" outlineLevel="0" collapsed="false">
      <c r="O976" s="32"/>
      <c r="P976" s="33"/>
      <c r="Q976" s="32"/>
      <c r="S976" s="34"/>
    </row>
    <row r="977" customFormat="false" ht="14.25" hidden="false" customHeight="false" outlineLevel="0" collapsed="false">
      <c r="O977" s="32"/>
      <c r="P977" s="33"/>
      <c r="Q977" s="32"/>
      <c r="S977" s="34"/>
    </row>
    <row r="978" customFormat="false" ht="14.25" hidden="false" customHeight="false" outlineLevel="0" collapsed="false">
      <c r="O978" s="32"/>
      <c r="P978" s="33"/>
      <c r="Q978" s="32"/>
      <c r="S978" s="34"/>
    </row>
    <row r="979" customFormat="false" ht="14.25" hidden="false" customHeight="false" outlineLevel="0" collapsed="false">
      <c r="O979" s="32"/>
      <c r="P979" s="33"/>
      <c r="Q979" s="32"/>
      <c r="S979" s="34"/>
    </row>
    <row r="980" customFormat="false" ht="14.25" hidden="false" customHeight="false" outlineLevel="0" collapsed="false">
      <c r="O980" s="32"/>
      <c r="P980" s="33"/>
      <c r="Q980" s="32"/>
      <c r="S980" s="34"/>
    </row>
    <row r="981" customFormat="false" ht="14.25" hidden="false" customHeight="false" outlineLevel="0" collapsed="false">
      <c r="O981" s="32"/>
      <c r="P981" s="33"/>
      <c r="Q981" s="32"/>
      <c r="S981" s="34"/>
    </row>
    <row r="982" customFormat="false" ht="14.25" hidden="false" customHeight="false" outlineLevel="0" collapsed="false">
      <c r="O982" s="32"/>
      <c r="P982" s="33"/>
      <c r="Q982" s="32"/>
      <c r="S982" s="34"/>
    </row>
    <row r="983" customFormat="false" ht="14.25" hidden="false" customHeight="false" outlineLevel="0" collapsed="false">
      <c r="O983" s="32"/>
      <c r="P983" s="33"/>
      <c r="Q983" s="32"/>
      <c r="S983" s="34"/>
    </row>
    <row r="984" customFormat="false" ht="14.25" hidden="false" customHeight="false" outlineLevel="0" collapsed="false">
      <c r="O984" s="32"/>
      <c r="P984" s="33"/>
      <c r="Q984" s="32"/>
      <c r="S984" s="34"/>
    </row>
    <row r="985" customFormat="false" ht="14.25" hidden="false" customHeight="false" outlineLevel="0" collapsed="false">
      <c r="O985" s="32"/>
      <c r="P985" s="33"/>
      <c r="Q985" s="32"/>
      <c r="S985" s="34"/>
    </row>
    <row r="986" customFormat="false" ht="14.25" hidden="false" customHeight="false" outlineLevel="0" collapsed="false">
      <c r="O986" s="32"/>
      <c r="P986" s="33"/>
      <c r="Q986" s="32"/>
      <c r="S986" s="34"/>
    </row>
    <row r="987" customFormat="false" ht="14.25" hidden="false" customHeight="false" outlineLevel="0" collapsed="false">
      <c r="O987" s="32"/>
      <c r="P987" s="33"/>
      <c r="Q987" s="32"/>
      <c r="S987" s="34"/>
    </row>
    <row r="988" customFormat="false" ht="14.25" hidden="false" customHeight="false" outlineLevel="0" collapsed="false">
      <c r="O988" s="32"/>
      <c r="P988" s="33"/>
      <c r="Q988" s="32"/>
      <c r="S988" s="34"/>
    </row>
    <row r="989" customFormat="false" ht="14.25" hidden="false" customHeight="false" outlineLevel="0" collapsed="false">
      <c r="O989" s="32"/>
      <c r="P989" s="33"/>
      <c r="Q989" s="32"/>
      <c r="S989" s="34"/>
    </row>
    <row r="990" customFormat="false" ht="14.25" hidden="false" customHeight="false" outlineLevel="0" collapsed="false">
      <c r="O990" s="32"/>
      <c r="P990" s="33"/>
      <c r="Q990" s="32"/>
      <c r="S990" s="34"/>
    </row>
    <row r="991" customFormat="false" ht="14.25" hidden="false" customHeight="false" outlineLevel="0" collapsed="false">
      <c r="O991" s="32"/>
      <c r="P991" s="33"/>
      <c r="Q991" s="32"/>
      <c r="S991" s="34"/>
    </row>
    <row r="992" customFormat="false" ht="14.25" hidden="false" customHeight="false" outlineLevel="0" collapsed="false">
      <c r="O992" s="32"/>
      <c r="P992" s="33"/>
      <c r="Q992" s="32"/>
      <c r="S992" s="34"/>
    </row>
    <row r="993" customFormat="false" ht="14.25" hidden="false" customHeight="false" outlineLevel="0" collapsed="false">
      <c r="O993" s="32"/>
      <c r="P993" s="33"/>
      <c r="Q993" s="32"/>
      <c r="S993" s="34"/>
    </row>
    <row r="994" customFormat="false" ht="14.25" hidden="false" customHeight="false" outlineLevel="0" collapsed="false">
      <c r="O994" s="32"/>
      <c r="P994" s="33"/>
      <c r="Q994" s="32"/>
      <c r="S994" s="34"/>
    </row>
    <row r="995" customFormat="false" ht="14.25" hidden="false" customHeight="false" outlineLevel="0" collapsed="false">
      <c r="O995" s="32"/>
      <c r="P995" s="33"/>
      <c r="Q995" s="32"/>
      <c r="S995" s="34"/>
    </row>
    <row r="996" customFormat="false" ht="14.25" hidden="false" customHeight="false" outlineLevel="0" collapsed="false">
      <c r="O996" s="32"/>
      <c r="P996" s="33"/>
      <c r="Q996" s="32"/>
      <c r="S996" s="34"/>
    </row>
    <row r="997" customFormat="false" ht="14.25" hidden="false" customHeight="false" outlineLevel="0" collapsed="false">
      <c r="O997" s="32"/>
      <c r="P997" s="33"/>
      <c r="Q997" s="32"/>
      <c r="S997" s="34"/>
    </row>
    <row r="998" customFormat="false" ht="14.25" hidden="false" customHeight="false" outlineLevel="0" collapsed="false">
      <c r="O998" s="32"/>
      <c r="P998" s="33"/>
      <c r="Q998" s="32"/>
      <c r="S998" s="34"/>
    </row>
    <row r="999" customFormat="false" ht="14.25" hidden="false" customHeight="false" outlineLevel="0" collapsed="false">
      <c r="O999" s="32"/>
      <c r="P999" s="33"/>
      <c r="Q999" s="32"/>
      <c r="S999" s="34"/>
    </row>
    <row r="1000" customFormat="false" ht="14.25" hidden="false" customHeight="false" outlineLevel="0" collapsed="false">
      <c r="O1000" s="32"/>
      <c r="P1000" s="33"/>
      <c r="Q1000" s="32"/>
      <c r="S1000" s="34"/>
    </row>
    <row r="1001" customFormat="false" ht="14.25" hidden="false" customHeight="false" outlineLevel="0" collapsed="false">
      <c r="O1001" s="32"/>
      <c r="P1001" s="33"/>
      <c r="Q1001" s="32"/>
      <c r="S1001" s="34"/>
    </row>
    <row r="1002" customFormat="false" ht="14.25" hidden="false" customHeight="false" outlineLevel="0" collapsed="false">
      <c r="O1002" s="32"/>
      <c r="P1002" s="33"/>
      <c r="Q1002" s="32"/>
      <c r="S1002" s="34"/>
    </row>
    <row r="1003" customFormat="false" ht="14.25" hidden="false" customHeight="false" outlineLevel="0" collapsed="false">
      <c r="O1003" s="32"/>
      <c r="P1003" s="33"/>
      <c r="Q1003" s="32"/>
      <c r="S1003" s="34"/>
    </row>
    <row r="1004" customFormat="false" ht="14.25" hidden="false" customHeight="false" outlineLevel="0" collapsed="false">
      <c r="O1004" s="32"/>
      <c r="P1004" s="33"/>
      <c r="Q1004" s="32"/>
      <c r="S1004" s="34"/>
    </row>
    <row r="1005" customFormat="false" ht="14.25" hidden="false" customHeight="false" outlineLevel="0" collapsed="false">
      <c r="O1005" s="32"/>
      <c r="P1005" s="33"/>
      <c r="Q1005" s="32"/>
      <c r="S1005" s="34"/>
    </row>
    <row r="1006" customFormat="false" ht="14.25" hidden="false" customHeight="false" outlineLevel="0" collapsed="false">
      <c r="O1006" s="32"/>
      <c r="P1006" s="33"/>
      <c r="Q1006" s="32"/>
      <c r="S1006" s="34"/>
    </row>
    <row r="1007" customFormat="false" ht="14.25" hidden="false" customHeight="false" outlineLevel="0" collapsed="false">
      <c r="O1007" s="32"/>
      <c r="P1007" s="33"/>
      <c r="Q1007" s="32"/>
      <c r="S1007" s="34"/>
    </row>
    <row r="1008" customFormat="false" ht="14.25" hidden="false" customHeight="false" outlineLevel="0" collapsed="false">
      <c r="O1008" s="32"/>
      <c r="P1008" s="33"/>
      <c r="Q1008" s="32"/>
      <c r="S1008" s="34"/>
    </row>
    <row r="1009" customFormat="false" ht="14.25" hidden="false" customHeight="false" outlineLevel="0" collapsed="false">
      <c r="O1009" s="32"/>
      <c r="P1009" s="33"/>
      <c r="Q1009" s="32"/>
      <c r="S1009" s="34"/>
    </row>
    <row r="1010" customFormat="false" ht="14.25" hidden="false" customHeight="false" outlineLevel="0" collapsed="false">
      <c r="O1010" s="32"/>
      <c r="P1010" s="33"/>
      <c r="Q1010" s="32"/>
    </row>
    <row r="1011" customFormat="false" ht="14.25" hidden="false" customHeight="false" outlineLevel="0" collapsed="false">
      <c r="O1011" s="32"/>
      <c r="P1011" s="33"/>
      <c r="Q1011" s="32"/>
      <c r="R1011" s="34"/>
      <c r="S1011" s="34"/>
    </row>
    <row r="1012" customFormat="false" ht="14.25" hidden="false" customHeight="false" outlineLevel="0" collapsed="false">
      <c r="O1012" s="32"/>
      <c r="P1012" s="33"/>
      <c r="Q1012" s="32"/>
      <c r="S1012" s="34"/>
    </row>
    <row r="1013" customFormat="false" ht="14.25" hidden="false" customHeight="false" outlineLevel="0" collapsed="false">
      <c r="O1013" s="32"/>
      <c r="P1013" s="33"/>
      <c r="Q1013" s="32"/>
      <c r="S1013" s="34"/>
    </row>
    <row r="1014" customFormat="false" ht="14.25" hidden="false" customHeight="false" outlineLevel="0" collapsed="false">
      <c r="O1014" s="32"/>
      <c r="P1014" s="33"/>
      <c r="Q1014" s="32"/>
      <c r="S1014" s="34"/>
    </row>
    <row r="1015" customFormat="false" ht="14.25" hidden="false" customHeight="false" outlineLevel="0" collapsed="false">
      <c r="O1015" s="32"/>
      <c r="P1015" s="33"/>
      <c r="Q1015" s="32"/>
      <c r="S1015" s="34"/>
    </row>
    <row r="1016" customFormat="false" ht="14.25" hidden="false" customHeight="false" outlineLevel="0" collapsed="false">
      <c r="O1016" s="32"/>
      <c r="P1016" s="33"/>
      <c r="Q1016" s="32"/>
      <c r="S1016" s="34"/>
    </row>
    <row r="1017" customFormat="false" ht="14.25" hidden="false" customHeight="false" outlineLevel="0" collapsed="false">
      <c r="O1017" s="32"/>
      <c r="P1017" s="33"/>
      <c r="Q1017" s="32"/>
      <c r="S1017" s="34"/>
    </row>
    <row r="1018" customFormat="false" ht="14.25" hidden="false" customHeight="false" outlineLevel="0" collapsed="false">
      <c r="O1018" s="32"/>
      <c r="P1018" s="33"/>
      <c r="Q1018" s="32"/>
      <c r="S1018" s="34"/>
    </row>
    <row r="1019" customFormat="false" ht="14.25" hidden="false" customHeight="false" outlineLevel="0" collapsed="false">
      <c r="O1019" s="32"/>
      <c r="P1019" s="33"/>
      <c r="Q1019" s="32"/>
      <c r="S1019" s="34"/>
    </row>
    <row r="1020" customFormat="false" ht="14.25" hidden="false" customHeight="false" outlineLevel="0" collapsed="false">
      <c r="O1020" s="32"/>
      <c r="P1020" s="33"/>
      <c r="Q1020" s="32"/>
      <c r="S1020" s="34"/>
    </row>
    <row r="1021" customFormat="false" ht="14.25" hidden="false" customHeight="false" outlineLevel="0" collapsed="false">
      <c r="O1021" s="32"/>
      <c r="P1021" s="33"/>
      <c r="Q1021" s="32"/>
      <c r="S1021" s="34"/>
    </row>
    <row r="1022" customFormat="false" ht="14.25" hidden="false" customHeight="false" outlineLevel="0" collapsed="false">
      <c r="O1022" s="32"/>
      <c r="P1022" s="33"/>
      <c r="Q1022" s="32"/>
      <c r="S1022" s="34"/>
    </row>
    <row r="1023" customFormat="false" ht="14.25" hidden="false" customHeight="false" outlineLevel="0" collapsed="false">
      <c r="O1023" s="32"/>
      <c r="P1023" s="33"/>
      <c r="Q1023" s="32"/>
      <c r="S1023" s="34"/>
    </row>
    <row r="1024" customFormat="false" ht="14.25" hidden="false" customHeight="false" outlineLevel="0" collapsed="false">
      <c r="O1024" s="32"/>
      <c r="P1024" s="33"/>
      <c r="Q1024" s="32"/>
      <c r="S1024" s="34"/>
    </row>
    <row r="1025" customFormat="false" ht="14.25" hidden="false" customHeight="false" outlineLevel="0" collapsed="false">
      <c r="O1025" s="32"/>
      <c r="P1025" s="33"/>
      <c r="Q1025" s="32"/>
      <c r="S1025" s="34"/>
    </row>
    <row r="1026" customFormat="false" ht="14.25" hidden="false" customHeight="false" outlineLevel="0" collapsed="false">
      <c r="O1026" s="32"/>
      <c r="P1026" s="33"/>
      <c r="Q1026" s="32"/>
      <c r="S1026" s="34"/>
    </row>
    <row r="1027" customFormat="false" ht="14.25" hidden="false" customHeight="false" outlineLevel="0" collapsed="false">
      <c r="O1027" s="32"/>
      <c r="P1027" s="33"/>
      <c r="Q1027" s="32"/>
      <c r="S1027" s="34"/>
    </row>
    <row r="1028" customFormat="false" ht="14.25" hidden="false" customHeight="false" outlineLevel="0" collapsed="false">
      <c r="O1028" s="32"/>
      <c r="P1028" s="33"/>
      <c r="Q1028" s="32"/>
      <c r="S1028" s="34"/>
    </row>
    <row r="1029" customFormat="false" ht="14.25" hidden="false" customHeight="false" outlineLevel="0" collapsed="false">
      <c r="O1029" s="32"/>
      <c r="P1029" s="33"/>
      <c r="Q1029" s="32"/>
      <c r="S1029" s="34"/>
    </row>
    <row r="1030" customFormat="false" ht="14.25" hidden="false" customHeight="false" outlineLevel="0" collapsed="false">
      <c r="O1030" s="32"/>
      <c r="P1030" s="33"/>
      <c r="Q1030" s="32"/>
      <c r="S1030" s="34"/>
    </row>
    <row r="1031" customFormat="false" ht="14.25" hidden="false" customHeight="false" outlineLevel="0" collapsed="false">
      <c r="O1031" s="32"/>
      <c r="P1031" s="33"/>
      <c r="Q1031" s="32"/>
      <c r="S1031" s="34"/>
    </row>
    <row r="1032" customFormat="false" ht="14.25" hidden="false" customHeight="false" outlineLevel="0" collapsed="false">
      <c r="O1032" s="32"/>
      <c r="P1032" s="33"/>
      <c r="Q1032" s="32"/>
      <c r="S1032" s="34"/>
    </row>
    <row r="1033" customFormat="false" ht="14.25" hidden="false" customHeight="false" outlineLevel="0" collapsed="false">
      <c r="O1033" s="32"/>
      <c r="P1033" s="33"/>
      <c r="Q1033" s="32"/>
      <c r="S1033" s="34"/>
    </row>
    <row r="1034" customFormat="false" ht="14.25" hidden="false" customHeight="false" outlineLevel="0" collapsed="false">
      <c r="O1034" s="32"/>
      <c r="P1034" s="33"/>
      <c r="Q1034" s="32"/>
      <c r="S1034" s="34"/>
    </row>
    <row r="1035" customFormat="false" ht="14.25" hidden="false" customHeight="false" outlineLevel="0" collapsed="false">
      <c r="O1035" s="32"/>
      <c r="P1035" s="33"/>
      <c r="Q1035" s="32"/>
      <c r="S1035" s="34"/>
    </row>
    <row r="1036" customFormat="false" ht="14.25" hidden="false" customHeight="false" outlineLevel="0" collapsed="false">
      <c r="O1036" s="32"/>
      <c r="P1036" s="33"/>
      <c r="Q1036" s="32"/>
      <c r="S1036" s="34"/>
    </row>
    <row r="1037" customFormat="false" ht="14.25" hidden="false" customHeight="false" outlineLevel="0" collapsed="false">
      <c r="O1037" s="32"/>
      <c r="P1037" s="33"/>
      <c r="Q1037" s="32"/>
      <c r="S1037" s="34"/>
    </row>
    <row r="1038" customFormat="false" ht="14.25" hidden="false" customHeight="false" outlineLevel="0" collapsed="false">
      <c r="O1038" s="32"/>
      <c r="P1038" s="33"/>
      <c r="Q1038" s="32"/>
      <c r="S1038" s="34"/>
    </row>
    <row r="1039" customFormat="false" ht="14.25" hidden="false" customHeight="false" outlineLevel="0" collapsed="false">
      <c r="O1039" s="32"/>
      <c r="P1039" s="33"/>
      <c r="Q1039" s="32"/>
      <c r="S1039" s="34"/>
    </row>
    <row r="1040" customFormat="false" ht="14.25" hidden="false" customHeight="false" outlineLevel="0" collapsed="false">
      <c r="O1040" s="32"/>
      <c r="P1040" s="33"/>
      <c r="Q1040" s="32"/>
      <c r="S1040" s="34"/>
    </row>
    <row r="1041" customFormat="false" ht="14.25" hidden="false" customHeight="false" outlineLevel="0" collapsed="false">
      <c r="O1041" s="32"/>
      <c r="P1041" s="33"/>
      <c r="Q1041" s="32"/>
      <c r="S1041" s="34"/>
    </row>
    <row r="1042" customFormat="false" ht="14.25" hidden="false" customHeight="false" outlineLevel="0" collapsed="false">
      <c r="O1042" s="32"/>
      <c r="P1042" s="33"/>
      <c r="Q1042" s="32"/>
      <c r="S1042" s="34"/>
    </row>
    <row r="1043" customFormat="false" ht="14.25" hidden="false" customHeight="false" outlineLevel="0" collapsed="false">
      <c r="O1043" s="32"/>
      <c r="P1043" s="33"/>
      <c r="Q1043" s="32"/>
      <c r="S1043" s="34"/>
    </row>
    <row r="1044" customFormat="false" ht="14.25" hidden="false" customHeight="false" outlineLevel="0" collapsed="false">
      <c r="O1044" s="32"/>
      <c r="P1044" s="33"/>
      <c r="Q1044" s="32"/>
      <c r="S1044" s="34"/>
    </row>
    <row r="1045" customFormat="false" ht="14.25" hidden="false" customHeight="false" outlineLevel="0" collapsed="false">
      <c r="O1045" s="32"/>
      <c r="P1045" s="33"/>
      <c r="Q1045" s="32"/>
      <c r="S1045" s="34"/>
    </row>
    <row r="1046" customFormat="false" ht="14.25" hidden="false" customHeight="false" outlineLevel="0" collapsed="false">
      <c r="O1046" s="32"/>
      <c r="P1046" s="33"/>
      <c r="Q1046" s="32"/>
      <c r="S1046" s="34"/>
    </row>
    <row r="1047" customFormat="false" ht="14.25" hidden="false" customHeight="false" outlineLevel="0" collapsed="false">
      <c r="O1047" s="32"/>
      <c r="P1047" s="33"/>
      <c r="Q1047" s="32"/>
      <c r="S1047" s="34"/>
    </row>
    <row r="1048" customFormat="false" ht="14.25" hidden="false" customHeight="false" outlineLevel="0" collapsed="false">
      <c r="O1048" s="32"/>
      <c r="P1048" s="33"/>
      <c r="Q1048" s="32"/>
      <c r="S1048" s="34"/>
    </row>
    <row r="1049" customFormat="false" ht="14.25" hidden="false" customHeight="false" outlineLevel="0" collapsed="false">
      <c r="O1049" s="32"/>
      <c r="P1049" s="33"/>
      <c r="Q1049" s="32"/>
      <c r="S1049" s="34"/>
    </row>
    <row r="1050" customFormat="false" ht="14.25" hidden="false" customHeight="false" outlineLevel="0" collapsed="false">
      <c r="O1050" s="32"/>
      <c r="P1050" s="33"/>
      <c r="Q1050" s="32"/>
      <c r="S1050" s="34"/>
    </row>
    <row r="1051" customFormat="false" ht="14.25" hidden="false" customHeight="false" outlineLevel="0" collapsed="false">
      <c r="O1051" s="32"/>
      <c r="P1051" s="33"/>
      <c r="Q1051" s="32"/>
      <c r="S1051" s="34"/>
    </row>
    <row r="1052" customFormat="false" ht="14.25" hidden="false" customHeight="false" outlineLevel="0" collapsed="false">
      <c r="O1052" s="32"/>
      <c r="P1052" s="33"/>
      <c r="Q1052" s="32"/>
      <c r="S1052" s="34"/>
    </row>
    <row r="1053" customFormat="false" ht="14.25" hidden="false" customHeight="false" outlineLevel="0" collapsed="false">
      <c r="O1053" s="32"/>
      <c r="P1053" s="33"/>
      <c r="Q1053" s="32"/>
      <c r="S1053" s="34"/>
    </row>
    <row r="1054" customFormat="false" ht="14.25" hidden="false" customHeight="false" outlineLevel="0" collapsed="false">
      <c r="O1054" s="32"/>
      <c r="P1054" s="33"/>
      <c r="Q1054" s="32"/>
      <c r="S1054" s="34"/>
    </row>
    <row r="1055" customFormat="false" ht="14.25" hidden="false" customHeight="false" outlineLevel="0" collapsed="false">
      <c r="O1055" s="32"/>
      <c r="P1055" s="33"/>
      <c r="Q1055" s="32"/>
      <c r="S1055" s="34"/>
    </row>
    <row r="1056" customFormat="false" ht="14.25" hidden="false" customHeight="false" outlineLevel="0" collapsed="false">
      <c r="O1056" s="32"/>
      <c r="P1056" s="33"/>
      <c r="Q1056" s="32"/>
      <c r="S1056" s="34"/>
    </row>
    <row r="1057" customFormat="false" ht="14.25" hidden="false" customHeight="false" outlineLevel="0" collapsed="false">
      <c r="O1057" s="32"/>
      <c r="P1057" s="33"/>
      <c r="Q1057" s="32"/>
      <c r="S1057" s="34"/>
    </row>
    <row r="1058" customFormat="false" ht="14.25" hidden="false" customHeight="false" outlineLevel="0" collapsed="false">
      <c r="O1058" s="32"/>
      <c r="P1058" s="33"/>
      <c r="Q1058" s="32"/>
      <c r="R1058" s="34"/>
      <c r="S1058" s="34"/>
    </row>
    <row r="1059" customFormat="false" ht="14.25" hidden="false" customHeight="false" outlineLevel="0" collapsed="false">
      <c r="O1059" s="32"/>
      <c r="P1059" s="33"/>
      <c r="Q1059" s="32"/>
      <c r="R1059" s="30"/>
      <c r="S1059" s="34"/>
    </row>
    <row r="1060" customFormat="false" ht="14.25" hidden="false" customHeight="false" outlineLevel="0" collapsed="false">
      <c r="O1060" s="32"/>
      <c r="P1060" s="33"/>
      <c r="Q1060" s="32"/>
      <c r="R1060" s="30"/>
      <c r="S1060" s="34"/>
    </row>
    <row r="1061" customFormat="false" ht="14.25" hidden="false" customHeight="false" outlineLevel="0" collapsed="false">
      <c r="O1061" s="32"/>
      <c r="P1061" s="33"/>
      <c r="Q1061" s="32"/>
      <c r="R1061" s="30"/>
      <c r="S1061" s="34"/>
    </row>
    <row r="1062" customFormat="false" ht="14.25" hidden="false" customHeight="false" outlineLevel="0" collapsed="false">
      <c r="O1062" s="32"/>
      <c r="P1062" s="33"/>
      <c r="Q1062" s="32"/>
      <c r="R1062" s="30"/>
      <c r="S1062" s="34"/>
    </row>
    <row r="1063" customFormat="false" ht="14.25" hidden="false" customHeight="false" outlineLevel="0" collapsed="false">
      <c r="O1063" s="32"/>
      <c r="P1063" s="33"/>
      <c r="Q1063" s="32"/>
      <c r="S1063" s="34"/>
    </row>
    <row r="1064" customFormat="false" ht="14.25" hidden="false" customHeight="false" outlineLevel="0" collapsed="false">
      <c r="O1064" s="32"/>
      <c r="P1064" s="33"/>
      <c r="Q1064" s="32"/>
      <c r="S1064" s="34"/>
    </row>
    <row r="1065" customFormat="false" ht="14.25" hidden="false" customHeight="false" outlineLevel="0" collapsed="false">
      <c r="O1065" s="32"/>
      <c r="P1065" s="33"/>
      <c r="Q1065" s="32"/>
      <c r="R1065" s="30"/>
      <c r="S1065" s="34"/>
    </row>
    <row r="1066" customFormat="false" ht="14.25" hidden="false" customHeight="false" outlineLevel="0" collapsed="false">
      <c r="O1066" s="32"/>
      <c r="P1066" s="33"/>
      <c r="Q1066" s="32"/>
      <c r="R1066" s="30"/>
      <c r="S1066" s="34"/>
    </row>
    <row r="1067" customFormat="false" ht="14.25" hidden="false" customHeight="false" outlineLevel="0" collapsed="false">
      <c r="O1067" s="32"/>
      <c r="P1067" s="33"/>
      <c r="Q1067" s="32"/>
      <c r="R1067" s="30"/>
      <c r="S1067" s="34"/>
    </row>
    <row r="1068" customFormat="false" ht="14.25" hidden="false" customHeight="false" outlineLevel="0" collapsed="false">
      <c r="O1068" s="32"/>
      <c r="P1068" s="33"/>
      <c r="Q1068" s="32"/>
      <c r="S1068" s="34"/>
    </row>
    <row r="1069" customFormat="false" ht="14.25" hidden="false" customHeight="false" outlineLevel="0" collapsed="false">
      <c r="O1069" s="32"/>
      <c r="P1069" s="33"/>
      <c r="Q1069" s="32"/>
      <c r="S1069" s="34"/>
    </row>
    <row r="1070" customFormat="false" ht="14.25" hidden="false" customHeight="false" outlineLevel="0" collapsed="false">
      <c r="O1070" s="32"/>
      <c r="P1070" s="33"/>
      <c r="Q1070" s="32"/>
      <c r="R1070" s="30"/>
      <c r="S1070" s="34"/>
    </row>
    <row r="1071" customFormat="false" ht="14.25" hidden="false" customHeight="false" outlineLevel="0" collapsed="false">
      <c r="O1071" s="32"/>
      <c r="P1071" s="33"/>
      <c r="Q1071" s="32"/>
      <c r="S1071" s="34"/>
    </row>
    <row r="1072" customFormat="false" ht="14.25" hidden="false" customHeight="false" outlineLevel="0" collapsed="false">
      <c r="O1072" s="32"/>
      <c r="P1072" s="33"/>
      <c r="Q1072" s="32"/>
      <c r="R1072" s="30"/>
      <c r="S1072" s="34"/>
    </row>
    <row r="1073" customFormat="false" ht="14.25" hidden="false" customHeight="false" outlineLevel="0" collapsed="false">
      <c r="O1073" s="32"/>
      <c r="P1073" s="33"/>
      <c r="Q1073" s="32"/>
      <c r="R1073" s="30"/>
      <c r="S1073" s="34"/>
    </row>
    <row r="1074" customFormat="false" ht="14.25" hidden="false" customHeight="false" outlineLevel="0" collapsed="false">
      <c r="O1074" s="32"/>
      <c r="P1074" s="33"/>
      <c r="Q1074" s="32"/>
      <c r="S1074" s="34"/>
    </row>
    <row r="1075" customFormat="false" ht="14.25" hidden="false" customHeight="false" outlineLevel="0" collapsed="false">
      <c r="O1075" s="32"/>
      <c r="P1075" s="33"/>
      <c r="Q1075" s="32"/>
      <c r="S1075" s="34"/>
    </row>
    <row r="1076" customFormat="false" ht="14.25" hidden="false" customHeight="false" outlineLevel="0" collapsed="false">
      <c r="O1076" s="32"/>
      <c r="P1076" s="33"/>
      <c r="Q1076" s="32"/>
      <c r="R1076" s="30"/>
      <c r="S1076" s="34"/>
    </row>
    <row r="1077" customFormat="false" ht="14.25" hidden="false" customHeight="false" outlineLevel="0" collapsed="false">
      <c r="O1077" s="32"/>
      <c r="P1077" s="33"/>
      <c r="Q1077" s="32"/>
      <c r="R1077" s="30"/>
      <c r="S1077" s="34"/>
    </row>
    <row r="1078" customFormat="false" ht="14.25" hidden="false" customHeight="false" outlineLevel="0" collapsed="false">
      <c r="O1078" s="32"/>
      <c r="P1078" s="33"/>
      <c r="Q1078" s="32"/>
      <c r="S1078" s="34"/>
    </row>
    <row r="1079" customFormat="false" ht="14.25" hidden="false" customHeight="false" outlineLevel="0" collapsed="false">
      <c r="O1079" s="32"/>
      <c r="P1079" s="33"/>
      <c r="Q1079" s="32"/>
      <c r="S1079" s="34"/>
    </row>
    <row r="1080" customFormat="false" ht="14.25" hidden="false" customHeight="false" outlineLevel="0" collapsed="false">
      <c r="O1080" s="32"/>
      <c r="P1080" s="33"/>
      <c r="Q1080" s="32"/>
      <c r="S1080" s="34"/>
    </row>
    <row r="1081" customFormat="false" ht="14.25" hidden="false" customHeight="false" outlineLevel="0" collapsed="false">
      <c r="O1081" s="32"/>
      <c r="P1081" s="33"/>
      <c r="Q1081" s="32"/>
      <c r="S1081" s="34"/>
    </row>
    <row r="1082" customFormat="false" ht="14.25" hidden="false" customHeight="false" outlineLevel="0" collapsed="false">
      <c r="O1082" s="32"/>
      <c r="P1082" s="33"/>
      <c r="Q1082" s="32"/>
      <c r="R1082" s="30"/>
      <c r="S1082" s="34"/>
    </row>
    <row r="1083" customFormat="false" ht="14.25" hidden="false" customHeight="false" outlineLevel="0" collapsed="false">
      <c r="O1083" s="32"/>
      <c r="P1083" s="33"/>
      <c r="Q1083" s="32"/>
      <c r="R1083" s="30"/>
      <c r="S1083" s="34"/>
    </row>
    <row r="1084" customFormat="false" ht="14.25" hidden="false" customHeight="false" outlineLevel="0" collapsed="false">
      <c r="O1084" s="32"/>
      <c r="P1084" s="33"/>
      <c r="Q1084" s="32"/>
      <c r="R1084" s="30"/>
      <c r="S1084" s="34"/>
    </row>
    <row r="1085" customFormat="false" ht="14.25" hidden="false" customHeight="false" outlineLevel="0" collapsed="false">
      <c r="O1085" s="32"/>
      <c r="P1085" s="33"/>
      <c r="Q1085" s="32"/>
      <c r="R1085" s="30"/>
      <c r="S1085" s="34"/>
    </row>
    <row r="1086" customFormat="false" ht="14.25" hidden="false" customHeight="false" outlineLevel="0" collapsed="false">
      <c r="O1086" s="32"/>
      <c r="P1086" s="33"/>
      <c r="Q1086" s="32"/>
      <c r="R1086" s="30"/>
      <c r="S1086" s="34"/>
    </row>
    <row r="1087" customFormat="false" ht="14.25" hidden="false" customHeight="false" outlineLevel="0" collapsed="false">
      <c r="O1087" s="32"/>
      <c r="P1087" s="33"/>
      <c r="Q1087" s="32"/>
      <c r="S1087" s="34"/>
    </row>
    <row r="1088" customFormat="false" ht="14.25" hidden="false" customHeight="false" outlineLevel="0" collapsed="false">
      <c r="O1088" s="32"/>
      <c r="P1088" s="33"/>
      <c r="Q1088" s="32"/>
      <c r="R1088" s="30"/>
      <c r="S1088" s="34"/>
    </row>
    <row r="1089" customFormat="false" ht="14.25" hidden="false" customHeight="false" outlineLevel="0" collapsed="false">
      <c r="O1089" s="32"/>
      <c r="P1089" s="33"/>
      <c r="Q1089" s="32"/>
      <c r="R1089" s="30"/>
      <c r="S1089" s="34"/>
    </row>
    <row r="1090" customFormat="false" ht="14.25" hidden="false" customHeight="false" outlineLevel="0" collapsed="false">
      <c r="O1090" s="32"/>
      <c r="P1090" s="33"/>
      <c r="Q1090" s="32"/>
      <c r="R1090" s="30"/>
      <c r="S1090" s="34"/>
    </row>
    <row r="1091" customFormat="false" ht="14.25" hidden="false" customHeight="false" outlineLevel="0" collapsed="false">
      <c r="O1091" s="32"/>
      <c r="P1091" s="33"/>
      <c r="Q1091" s="32"/>
      <c r="R1091" s="30"/>
      <c r="S1091" s="34"/>
    </row>
    <row r="1092" customFormat="false" ht="14.25" hidden="false" customHeight="false" outlineLevel="0" collapsed="false">
      <c r="O1092" s="32"/>
      <c r="P1092" s="33"/>
      <c r="Q1092" s="32"/>
      <c r="R1092" s="30"/>
      <c r="S1092" s="34"/>
    </row>
    <row r="1093" customFormat="false" ht="14.25" hidden="false" customHeight="false" outlineLevel="0" collapsed="false">
      <c r="O1093" s="32"/>
      <c r="P1093" s="33"/>
      <c r="Q1093" s="32"/>
      <c r="R1093" s="30"/>
      <c r="S1093" s="34"/>
    </row>
  </sheetData>
  <autoFilter ref="A1:S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5"/>
  <sheetViews>
    <sheetView showFormulas="false" showGridLines="true" showRowColHeaders="true" showZeros="true" rightToLeft="false" tabSelected="false" showOutlineSymbols="true" defaultGridColor="true" view="normal" topLeftCell="K1291" colorId="64" zoomScale="100" zoomScaleNormal="100" zoomScalePageLayoutView="100" workbookViewId="0">
      <selection pane="topLeft" activeCell="V1314" activeCellId="0" sqref="V1314"/>
    </sheetView>
  </sheetViews>
  <sheetFormatPr defaultColWidth="9.63671875" defaultRowHeight="14.25" zeroHeight="false" outlineLevelRow="0" outlineLevelCol="0"/>
  <cols>
    <col collapsed="false" customWidth="true" hidden="false" outlineLevel="0" max="1" min="1" style="28" width="6.73"/>
    <col collapsed="false" customWidth="true" hidden="false" outlineLevel="0" max="2" min="2" style="28" width="9.36"/>
    <col collapsed="false" customWidth="true" hidden="false" outlineLevel="0" max="3" min="3" style="28" width="9.73"/>
    <col collapsed="false" customWidth="true" hidden="false" outlineLevel="0" max="4" min="4" style="28" width="6.73"/>
    <col collapsed="false" customWidth="true" hidden="false" outlineLevel="0" max="6" min="5" style="28" width="10.27"/>
    <col collapsed="false" customWidth="true" hidden="false" outlineLevel="0" max="8" min="7" style="28" width="11.27"/>
    <col collapsed="false" customWidth="true" hidden="false" outlineLevel="0" max="9" min="9" style="28" width="11.54"/>
    <col collapsed="false" customWidth="true" hidden="false" outlineLevel="0" max="10" min="10" style="28" width="35.45"/>
    <col collapsed="false" customWidth="true" hidden="false" outlineLevel="0" max="11" min="11" style="28" width="5"/>
    <col collapsed="false" customWidth="true" hidden="false" outlineLevel="0" max="12" min="12" style="28" width="4"/>
    <col collapsed="false" customWidth="true" hidden="false" outlineLevel="0" max="13" min="13" style="28" width="13.9"/>
    <col collapsed="false" customWidth="true" hidden="false" outlineLevel="0" max="14" min="14" style="36" width="11.09"/>
    <col collapsed="false" customWidth="true" hidden="false" outlineLevel="0" max="15" min="15" style="36" width="9.82"/>
  </cols>
  <sheetData>
    <row r="1" customFormat="false" ht="14.25" hidden="false" customHeight="false" outlineLevel="0" collapsed="false">
      <c r="A1" s="37" t="s">
        <v>2316</v>
      </c>
      <c r="B1" s="37" t="s">
        <v>2317</v>
      </c>
      <c r="C1" s="37" t="s">
        <v>2318</v>
      </c>
      <c r="D1" s="37" t="s">
        <v>2319</v>
      </c>
      <c r="E1" s="38" t="s">
        <v>2320</v>
      </c>
      <c r="F1" s="39" t="s">
        <v>2321</v>
      </c>
      <c r="G1" s="40" t="s">
        <v>2322</v>
      </c>
      <c r="H1" s="40" t="s">
        <v>2323</v>
      </c>
      <c r="I1" s="41" t="s">
        <v>2324</v>
      </c>
      <c r="J1" s="41" t="s">
        <v>2325</v>
      </c>
      <c r="K1" s="41" t="s">
        <v>2326</v>
      </c>
      <c r="L1" s="41" t="s">
        <v>2327</v>
      </c>
      <c r="M1" s="42" t="s">
        <v>2328</v>
      </c>
      <c r="N1" s="43" t="s">
        <v>2329</v>
      </c>
      <c r="O1" s="43" t="s">
        <v>2330</v>
      </c>
    </row>
    <row r="2" customFormat="false" ht="14.25" hidden="false" customHeight="false" outlineLevel="0" collapsed="false">
      <c r="A2" s="44"/>
      <c r="B2" s="44"/>
      <c r="C2" s="44"/>
      <c r="D2" s="44"/>
      <c r="E2" s="45"/>
      <c r="F2" s="45"/>
      <c r="G2" s="44"/>
      <c r="H2" s="44"/>
      <c r="I2" s="44"/>
      <c r="J2" s="44"/>
      <c r="K2" s="44"/>
      <c r="L2" s="44"/>
      <c r="M2" s="46"/>
      <c r="N2" s="47"/>
      <c r="O2" s="48"/>
    </row>
    <row r="3" customFormat="false" ht="14.25" hidden="false" customHeight="false" outlineLevel="0" collapsed="false">
      <c r="A3" s="44"/>
      <c r="B3" s="44"/>
      <c r="C3" s="44"/>
      <c r="D3" s="44"/>
      <c r="E3" s="45"/>
      <c r="F3" s="45"/>
      <c r="G3" s="44"/>
      <c r="H3" s="44"/>
      <c r="I3" s="44"/>
      <c r="J3" s="44"/>
      <c r="K3" s="44"/>
      <c r="L3" s="44"/>
      <c r="M3" s="46"/>
      <c r="N3" s="47"/>
      <c r="O3" s="48"/>
    </row>
    <row r="4" customFormat="false" ht="14.25" hidden="false" customHeight="false" outlineLevel="0" collapsed="false">
      <c r="A4" s="44"/>
      <c r="B4" s="44"/>
      <c r="C4" s="44"/>
      <c r="D4" s="44"/>
      <c r="E4" s="45"/>
      <c r="F4" s="45"/>
      <c r="G4" s="44"/>
      <c r="H4" s="44"/>
      <c r="I4" s="44"/>
      <c r="J4" s="44"/>
      <c r="K4" s="44"/>
      <c r="L4" s="44"/>
      <c r="M4" s="46"/>
      <c r="N4" s="47"/>
      <c r="O4" s="48"/>
    </row>
    <row r="5" customFormat="false" ht="14.25" hidden="false" customHeight="false" outlineLevel="0" collapsed="false">
      <c r="A5" s="44"/>
      <c r="B5" s="44"/>
      <c r="C5" s="44"/>
      <c r="D5" s="44"/>
      <c r="E5" s="45"/>
      <c r="F5" s="45"/>
      <c r="G5" s="44"/>
      <c r="H5" s="44"/>
      <c r="I5" s="44"/>
      <c r="J5" s="44"/>
      <c r="K5" s="44"/>
      <c r="L5" s="44"/>
      <c r="M5" s="46"/>
      <c r="N5" s="47"/>
      <c r="O5" s="48"/>
    </row>
    <row r="6" customFormat="false" ht="14.25" hidden="false" customHeight="false" outlineLevel="0" collapsed="false">
      <c r="A6" s="44"/>
      <c r="B6" s="44"/>
      <c r="C6" s="44"/>
      <c r="D6" s="44"/>
      <c r="E6" s="45"/>
      <c r="F6" s="45"/>
      <c r="G6" s="44"/>
      <c r="H6" s="44"/>
      <c r="I6" s="44"/>
      <c r="J6" s="44"/>
      <c r="K6" s="44"/>
      <c r="L6" s="44"/>
      <c r="M6" s="46"/>
      <c r="N6" s="47"/>
      <c r="O6" s="48"/>
    </row>
    <row r="7" customFormat="false" ht="14.25" hidden="false" customHeight="false" outlineLevel="0" collapsed="false">
      <c r="A7" s="44"/>
      <c r="B7" s="44"/>
      <c r="C7" s="44"/>
      <c r="D7" s="44"/>
      <c r="E7" s="45"/>
      <c r="F7" s="45"/>
      <c r="G7" s="44"/>
      <c r="H7" s="44"/>
      <c r="I7" s="44"/>
      <c r="J7" s="44"/>
      <c r="K7" s="44"/>
      <c r="L7" s="44"/>
      <c r="M7" s="46"/>
      <c r="N7" s="47"/>
      <c r="O7" s="48"/>
    </row>
    <row r="8" customFormat="false" ht="14.25" hidden="false" customHeight="false" outlineLevel="0" collapsed="false">
      <c r="A8" s="44"/>
      <c r="B8" s="44"/>
      <c r="C8" s="44"/>
      <c r="D8" s="44"/>
      <c r="E8" s="45"/>
      <c r="F8" s="45"/>
      <c r="G8" s="44"/>
      <c r="H8" s="44"/>
      <c r="I8" s="44"/>
      <c r="J8" s="44"/>
      <c r="K8" s="44"/>
      <c r="L8" s="44"/>
      <c r="M8" s="46"/>
      <c r="N8" s="47"/>
      <c r="O8" s="48"/>
    </row>
    <row r="9" customFormat="false" ht="14.25" hidden="false" customHeight="false" outlineLevel="0" collapsed="false">
      <c r="A9" s="44"/>
      <c r="B9" s="44"/>
      <c r="C9" s="44"/>
      <c r="D9" s="44"/>
      <c r="E9" s="45"/>
      <c r="F9" s="45"/>
      <c r="G9" s="44"/>
      <c r="H9" s="44"/>
      <c r="I9" s="44"/>
      <c r="J9" s="44"/>
      <c r="K9" s="44"/>
      <c r="L9" s="44"/>
      <c r="M9" s="46"/>
      <c r="N9" s="47"/>
      <c r="O9" s="48"/>
    </row>
    <row r="10" customFormat="false" ht="14.25" hidden="false" customHeight="false" outlineLevel="0" collapsed="false">
      <c r="A10" s="44"/>
      <c r="B10" s="44"/>
      <c r="C10" s="44"/>
      <c r="D10" s="44"/>
      <c r="E10" s="45"/>
      <c r="F10" s="45"/>
      <c r="G10" s="44"/>
      <c r="H10" s="44"/>
      <c r="I10" s="44"/>
      <c r="J10" s="44"/>
      <c r="K10" s="44"/>
      <c r="L10" s="44"/>
      <c r="M10" s="46"/>
      <c r="N10" s="47"/>
      <c r="O10" s="48"/>
    </row>
    <row r="11" customFormat="false" ht="14.25" hidden="false" customHeight="false" outlineLevel="0" collapsed="false">
      <c r="A11" s="44"/>
      <c r="B11" s="44"/>
      <c r="C11" s="44"/>
      <c r="D11" s="44"/>
      <c r="E11" s="45"/>
      <c r="F11" s="45"/>
      <c r="G11" s="44"/>
      <c r="H11" s="44"/>
      <c r="I11" s="44"/>
      <c r="J11" s="44"/>
      <c r="K11" s="44"/>
      <c r="L11" s="44"/>
      <c r="M11" s="46"/>
      <c r="N11" s="47"/>
      <c r="O11" s="48"/>
    </row>
    <row r="12" customFormat="false" ht="14.25" hidden="false" customHeight="false" outlineLevel="0" collapsed="false">
      <c r="A12" s="44"/>
      <c r="B12" s="44"/>
      <c r="C12" s="44"/>
      <c r="D12" s="44"/>
      <c r="E12" s="45"/>
      <c r="F12" s="45"/>
      <c r="G12" s="44"/>
      <c r="H12" s="44"/>
      <c r="I12" s="44"/>
      <c r="J12" s="44"/>
      <c r="K12" s="44"/>
      <c r="L12" s="44"/>
      <c r="M12" s="46"/>
      <c r="N12" s="47"/>
      <c r="O12" s="48"/>
    </row>
    <row r="13" customFormat="false" ht="14.25" hidden="false" customHeight="false" outlineLevel="0" collapsed="false">
      <c r="A13" s="44"/>
      <c r="B13" s="44"/>
      <c r="C13" s="44"/>
      <c r="D13" s="44"/>
      <c r="E13" s="45"/>
      <c r="F13" s="45"/>
      <c r="G13" s="44"/>
      <c r="H13" s="44"/>
      <c r="I13" s="44"/>
      <c r="J13" s="44"/>
      <c r="K13" s="44"/>
      <c r="L13" s="44"/>
      <c r="M13" s="46"/>
      <c r="N13" s="47"/>
      <c r="O13" s="48"/>
    </row>
    <row r="14" customFormat="false" ht="14.25" hidden="false" customHeight="false" outlineLevel="0" collapsed="false">
      <c r="A14" s="44"/>
      <c r="B14" s="44"/>
      <c r="C14" s="44"/>
      <c r="D14" s="44"/>
      <c r="E14" s="45"/>
      <c r="F14" s="45"/>
      <c r="G14" s="44"/>
      <c r="H14" s="44"/>
      <c r="I14" s="44"/>
      <c r="J14" s="44"/>
      <c r="K14" s="44"/>
      <c r="L14" s="44"/>
      <c r="M14" s="46"/>
      <c r="N14" s="47"/>
      <c r="O14" s="48"/>
    </row>
    <row r="15" customFormat="false" ht="14.25" hidden="false" customHeight="false" outlineLevel="0" collapsed="false">
      <c r="A15" s="44"/>
      <c r="B15" s="44"/>
      <c r="C15" s="44"/>
      <c r="D15" s="44"/>
      <c r="E15" s="45"/>
      <c r="F15" s="45"/>
      <c r="G15" s="44"/>
      <c r="H15" s="44"/>
      <c r="I15" s="44"/>
      <c r="J15" s="44"/>
      <c r="K15" s="44"/>
      <c r="L15" s="44"/>
      <c r="M15" s="46"/>
      <c r="N15" s="47"/>
      <c r="O15" s="48"/>
    </row>
    <row r="16" customFormat="false" ht="14.25" hidden="false" customHeight="false" outlineLevel="0" collapsed="false">
      <c r="A16" s="44"/>
      <c r="B16" s="44"/>
      <c r="C16" s="44"/>
      <c r="D16" s="44"/>
      <c r="E16" s="45"/>
      <c r="F16" s="45"/>
      <c r="G16" s="44"/>
      <c r="H16" s="44"/>
      <c r="I16" s="44"/>
      <c r="J16" s="44"/>
      <c r="K16" s="44"/>
      <c r="L16" s="44"/>
      <c r="M16" s="46"/>
      <c r="N16" s="47"/>
      <c r="O16" s="48"/>
    </row>
    <row r="17" customFormat="false" ht="14.25" hidden="false" customHeight="false" outlineLevel="0" collapsed="false">
      <c r="A17" s="44"/>
      <c r="B17" s="44"/>
      <c r="C17" s="44"/>
      <c r="D17" s="44"/>
      <c r="E17" s="45"/>
      <c r="F17" s="45"/>
      <c r="G17" s="44"/>
      <c r="H17" s="44"/>
      <c r="I17" s="44"/>
      <c r="J17" s="44"/>
      <c r="K17" s="44"/>
      <c r="L17" s="44"/>
      <c r="M17" s="46"/>
      <c r="N17" s="47"/>
      <c r="O17" s="48"/>
    </row>
    <row r="18" customFormat="false" ht="14.25" hidden="false" customHeight="false" outlineLevel="0" collapsed="false">
      <c r="A18" s="44"/>
      <c r="B18" s="44"/>
      <c r="C18" s="44"/>
      <c r="D18" s="44"/>
      <c r="E18" s="45"/>
      <c r="F18" s="45"/>
      <c r="G18" s="44"/>
      <c r="H18" s="44"/>
      <c r="I18" s="44"/>
      <c r="J18" s="44"/>
      <c r="K18" s="44"/>
      <c r="L18" s="44"/>
      <c r="M18" s="46"/>
      <c r="N18" s="47"/>
      <c r="O18" s="48"/>
    </row>
    <row r="19" customFormat="false" ht="14.25" hidden="false" customHeight="false" outlineLevel="0" collapsed="false">
      <c r="A19" s="44"/>
      <c r="B19" s="44"/>
      <c r="C19" s="44"/>
      <c r="D19" s="44"/>
      <c r="E19" s="45"/>
      <c r="F19" s="45"/>
      <c r="G19" s="44"/>
      <c r="H19" s="44"/>
      <c r="I19" s="44"/>
      <c r="J19" s="44"/>
      <c r="K19" s="44"/>
      <c r="L19" s="44"/>
      <c r="M19" s="46"/>
      <c r="N19" s="47"/>
      <c r="O19" s="48"/>
    </row>
    <row r="20" customFormat="false" ht="14.25" hidden="false" customHeight="false" outlineLevel="0" collapsed="false">
      <c r="A20" s="44"/>
      <c r="B20" s="44"/>
      <c r="C20" s="44"/>
      <c r="D20" s="44"/>
      <c r="E20" s="45"/>
      <c r="F20" s="45"/>
      <c r="G20" s="44"/>
      <c r="H20" s="44"/>
      <c r="I20" s="44"/>
      <c r="J20" s="44"/>
      <c r="K20" s="44"/>
      <c r="L20" s="44"/>
      <c r="M20" s="46"/>
      <c r="N20" s="47"/>
      <c r="O20" s="48"/>
    </row>
    <row r="21" customFormat="false" ht="14.25" hidden="false" customHeight="false" outlineLevel="0" collapsed="false">
      <c r="A21" s="44"/>
      <c r="B21" s="44"/>
      <c r="C21" s="44"/>
      <c r="D21" s="44"/>
      <c r="E21" s="45"/>
      <c r="F21" s="45"/>
      <c r="G21" s="44"/>
      <c r="H21" s="44"/>
      <c r="I21" s="44"/>
      <c r="J21" s="44"/>
      <c r="K21" s="44"/>
      <c r="L21" s="44"/>
      <c r="M21" s="46"/>
      <c r="N21" s="47"/>
      <c r="O21" s="48"/>
    </row>
    <row r="22" customFormat="false" ht="14.25" hidden="false" customHeight="false" outlineLevel="0" collapsed="false">
      <c r="A22" s="44"/>
      <c r="B22" s="44"/>
      <c r="C22" s="44"/>
      <c r="D22" s="44"/>
      <c r="E22" s="45"/>
      <c r="F22" s="45"/>
      <c r="G22" s="44"/>
      <c r="H22" s="44"/>
      <c r="I22" s="44"/>
      <c r="J22" s="44"/>
      <c r="K22" s="44"/>
      <c r="L22" s="44"/>
      <c r="M22" s="46"/>
      <c r="N22" s="47"/>
      <c r="O22" s="48"/>
    </row>
    <row r="23" customFormat="false" ht="14.25" hidden="false" customHeight="false" outlineLevel="0" collapsed="false">
      <c r="A23" s="44"/>
      <c r="B23" s="44"/>
      <c r="C23" s="44"/>
      <c r="D23" s="44"/>
      <c r="E23" s="45"/>
      <c r="F23" s="45"/>
      <c r="G23" s="44"/>
      <c r="H23" s="44"/>
      <c r="I23" s="44"/>
      <c r="J23" s="44"/>
      <c r="K23" s="44"/>
      <c r="L23" s="44"/>
      <c r="M23" s="46"/>
      <c r="N23" s="47"/>
      <c r="O23" s="48"/>
    </row>
    <row r="24" customFormat="false" ht="14.25" hidden="false" customHeight="false" outlineLevel="0" collapsed="false">
      <c r="A24" s="44"/>
      <c r="B24" s="44"/>
      <c r="C24" s="44"/>
      <c r="D24" s="44"/>
      <c r="E24" s="45"/>
      <c r="F24" s="45"/>
      <c r="G24" s="44"/>
      <c r="H24" s="44"/>
      <c r="I24" s="44"/>
      <c r="J24" s="44"/>
      <c r="K24" s="44"/>
      <c r="L24" s="44"/>
      <c r="M24" s="46"/>
      <c r="N24" s="47"/>
      <c r="O24" s="48"/>
    </row>
    <row r="25" customFormat="false" ht="14.25" hidden="false" customHeight="false" outlineLevel="0" collapsed="false">
      <c r="A25" s="44"/>
      <c r="B25" s="44"/>
      <c r="C25" s="44"/>
      <c r="D25" s="44"/>
      <c r="E25" s="45"/>
      <c r="F25" s="45"/>
      <c r="G25" s="44"/>
      <c r="H25" s="44"/>
      <c r="I25" s="44"/>
      <c r="J25" s="44"/>
      <c r="K25" s="44"/>
      <c r="L25" s="44"/>
      <c r="M25" s="46"/>
      <c r="N25" s="47"/>
      <c r="O25" s="48"/>
    </row>
    <row r="26" customFormat="false" ht="14.25" hidden="false" customHeight="false" outlineLevel="0" collapsed="false">
      <c r="A26" s="44"/>
      <c r="B26" s="44"/>
      <c r="C26" s="44"/>
      <c r="D26" s="44"/>
      <c r="E26" s="45"/>
      <c r="F26" s="45"/>
      <c r="G26" s="44"/>
      <c r="H26" s="44"/>
      <c r="I26" s="44"/>
      <c r="J26" s="44"/>
      <c r="K26" s="44"/>
      <c r="L26" s="44"/>
      <c r="M26" s="46"/>
      <c r="N26" s="47"/>
      <c r="O26" s="48"/>
    </row>
    <row r="27" customFormat="false" ht="14.25" hidden="false" customHeight="false" outlineLevel="0" collapsed="false">
      <c r="A27" s="44"/>
      <c r="B27" s="44"/>
      <c r="C27" s="44"/>
      <c r="D27" s="44"/>
      <c r="E27" s="45"/>
      <c r="F27" s="45"/>
      <c r="G27" s="44"/>
      <c r="H27" s="44"/>
      <c r="I27" s="44"/>
      <c r="J27" s="44"/>
      <c r="K27" s="44"/>
      <c r="L27" s="44"/>
      <c r="M27" s="46"/>
      <c r="N27" s="47"/>
      <c r="O27" s="48"/>
    </row>
    <row r="28" customFormat="false" ht="14.25" hidden="false" customHeight="false" outlineLevel="0" collapsed="false">
      <c r="A28" s="44"/>
      <c r="B28" s="44"/>
      <c r="C28" s="44"/>
      <c r="D28" s="44"/>
      <c r="E28" s="45"/>
      <c r="F28" s="45"/>
      <c r="G28" s="44"/>
      <c r="H28" s="44"/>
      <c r="I28" s="44"/>
      <c r="J28" s="44"/>
      <c r="K28" s="44"/>
      <c r="L28" s="44"/>
      <c r="M28" s="46"/>
      <c r="N28" s="47"/>
      <c r="O28" s="48"/>
    </row>
    <row r="29" customFormat="false" ht="14.25" hidden="false" customHeight="false" outlineLevel="0" collapsed="false">
      <c r="A29" s="44"/>
      <c r="B29" s="44"/>
      <c r="C29" s="44"/>
      <c r="D29" s="44"/>
      <c r="E29" s="45"/>
      <c r="F29" s="45"/>
      <c r="G29" s="44"/>
      <c r="H29" s="44"/>
      <c r="I29" s="44"/>
      <c r="J29" s="44"/>
      <c r="K29" s="44"/>
      <c r="L29" s="44"/>
      <c r="M29" s="46"/>
      <c r="N29" s="47"/>
      <c r="O29" s="48"/>
    </row>
    <row r="30" customFormat="false" ht="14.25" hidden="false" customHeight="false" outlineLevel="0" collapsed="false">
      <c r="A30" s="44"/>
      <c r="B30" s="44"/>
      <c r="C30" s="44"/>
      <c r="D30" s="44"/>
      <c r="E30" s="45"/>
      <c r="F30" s="45"/>
      <c r="G30" s="44"/>
      <c r="H30" s="44"/>
      <c r="I30" s="44"/>
      <c r="J30" s="44"/>
      <c r="K30" s="44"/>
      <c r="L30" s="44"/>
      <c r="M30" s="46"/>
      <c r="N30" s="47"/>
      <c r="O30" s="48"/>
    </row>
    <row r="31" customFormat="false" ht="14.25" hidden="false" customHeight="false" outlineLevel="0" collapsed="false">
      <c r="A31" s="44"/>
      <c r="B31" s="44"/>
      <c r="C31" s="44"/>
      <c r="D31" s="44"/>
      <c r="E31" s="45"/>
      <c r="F31" s="45"/>
      <c r="G31" s="44"/>
      <c r="H31" s="44"/>
      <c r="I31" s="44"/>
      <c r="J31" s="44"/>
      <c r="K31" s="44"/>
      <c r="L31" s="44"/>
      <c r="M31" s="46"/>
      <c r="N31" s="47"/>
      <c r="O31" s="48"/>
    </row>
    <row r="32" customFormat="false" ht="14.25" hidden="false" customHeight="false" outlineLevel="0" collapsed="false">
      <c r="A32" s="44"/>
      <c r="B32" s="44"/>
      <c r="C32" s="44"/>
      <c r="D32" s="44"/>
      <c r="E32" s="45"/>
      <c r="F32" s="45"/>
      <c r="G32" s="44"/>
      <c r="H32" s="44"/>
      <c r="I32" s="44"/>
      <c r="J32" s="44"/>
      <c r="K32" s="44"/>
      <c r="L32" s="44"/>
      <c r="M32" s="46"/>
      <c r="N32" s="47"/>
      <c r="O32" s="48"/>
    </row>
    <row r="33" customFormat="false" ht="14.25" hidden="false" customHeight="false" outlineLevel="0" collapsed="false">
      <c r="A33" s="44"/>
      <c r="B33" s="44"/>
      <c r="C33" s="44"/>
      <c r="D33" s="44"/>
      <c r="E33" s="45"/>
      <c r="F33" s="45"/>
      <c r="G33" s="44"/>
      <c r="H33" s="44"/>
      <c r="I33" s="44"/>
      <c r="J33" s="44"/>
      <c r="K33" s="44"/>
      <c r="L33" s="44"/>
      <c r="M33" s="46"/>
      <c r="N33" s="47"/>
      <c r="O33" s="48"/>
    </row>
    <row r="34" customFormat="false" ht="14.25" hidden="false" customHeight="false" outlineLevel="0" collapsed="false">
      <c r="A34" s="44"/>
      <c r="B34" s="44"/>
      <c r="C34" s="44"/>
      <c r="D34" s="44"/>
      <c r="E34" s="45"/>
      <c r="F34" s="45"/>
      <c r="G34" s="44"/>
      <c r="H34" s="44"/>
      <c r="I34" s="44"/>
      <c r="J34" s="44"/>
      <c r="K34" s="44"/>
      <c r="L34" s="44"/>
      <c r="M34" s="46"/>
      <c r="N34" s="47"/>
      <c r="O34" s="48"/>
    </row>
    <row r="35" customFormat="false" ht="14.25" hidden="false" customHeight="false" outlineLevel="0" collapsed="false">
      <c r="A35" s="44"/>
      <c r="B35" s="44"/>
      <c r="C35" s="44"/>
      <c r="D35" s="44"/>
      <c r="E35" s="45"/>
      <c r="F35" s="45"/>
      <c r="G35" s="44"/>
      <c r="H35" s="44"/>
      <c r="I35" s="44"/>
      <c r="J35" s="44"/>
      <c r="K35" s="44"/>
      <c r="L35" s="44"/>
      <c r="M35" s="46"/>
      <c r="N35" s="47"/>
      <c r="O35" s="48"/>
    </row>
    <row r="36" customFormat="false" ht="14.25" hidden="false" customHeight="false" outlineLevel="0" collapsed="false">
      <c r="A36" s="44"/>
      <c r="B36" s="44"/>
      <c r="C36" s="44"/>
      <c r="D36" s="44"/>
      <c r="E36" s="45"/>
      <c r="F36" s="45"/>
      <c r="G36" s="44"/>
      <c r="H36" s="44"/>
      <c r="I36" s="44"/>
      <c r="J36" s="44"/>
      <c r="K36" s="44"/>
      <c r="L36" s="44"/>
      <c r="M36" s="46"/>
      <c r="N36" s="47"/>
      <c r="O36" s="48"/>
    </row>
    <row r="37" customFormat="false" ht="14.25" hidden="false" customHeight="false" outlineLevel="0" collapsed="false">
      <c r="A37" s="44"/>
      <c r="B37" s="44"/>
      <c r="C37" s="44"/>
      <c r="D37" s="44"/>
      <c r="E37" s="45"/>
      <c r="F37" s="45"/>
      <c r="G37" s="44"/>
      <c r="H37" s="44"/>
      <c r="I37" s="44"/>
      <c r="J37" s="44"/>
      <c r="K37" s="44"/>
      <c r="L37" s="44"/>
      <c r="M37" s="46"/>
      <c r="N37" s="47"/>
      <c r="O37" s="48"/>
    </row>
    <row r="38" customFormat="false" ht="14.25" hidden="false" customHeight="false" outlineLevel="0" collapsed="false">
      <c r="A38" s="44"/>
      <c r="B38" s="44"/>
      <c r="C38" s="44"/>
      <c r="D38" s="44"/>
      <c r="E38" s="45"/>
      <c r="F38" s="45"/>
      <c r="G38" s="44"/>
      <c r="H38" s="44"/>
      <c r="I38" s="44"/>
      <c r="J38" s="44"/>
      <c r="K38" s="44"/>
      <c r="L38" s="44"/>
      <c r="M38" s="46"/>
      <c r="N38" s="47"/>
      <c r="O38" s="48"/>
    </row>
    <row r="39" customFormat="false" ht="14.25" hidden="false" customHeight="false" outlineLevel="0" collapsed="false">
      <c r="A39" s="44"/>
      <c r="B39" s="44"/>
      <c r="C39" s="44"/>
      <c r="D39" s="44"/>
      <c r="E39" s="45"/>
      <c r="F39" s="45"/>
      <c r="G39" s="44"/>
      <c r="H39" s="44"/>
      <c r="I39" s="44"/>
      <c r="J39" s="44"/>
      <c r="K39" s="44"/>
      <c r="L39" s="44"/>
      <c r="M39" s="46"/>
      <c r="N39" s="47"/>
      <c r="O39" s="48"/>
    </row>
    <row r="40" customFormat="false" ht="14.25" hidden="false" customHeight="false" outlineLevel="0" collapsed="false">
      <c r="A40" s="44"/>
      <c r="B40" s="44"/>
      <c r="C40" s="44"/>
      <c r="D40" s="44"/>
      <c r="E40" s="45"/>
      <c r="F40" s="45"/>
      <c r="G40" s="44"/>
      <c r="H40" s="44"/>
      <c r="I40" s="44"/>
      <c r="J40" s="44"/>
      <c r="K40" s="44"/>
      <c r="L40" s="44"/>
      <c r="M40" s="46"/>
      <c r="N40" s="47"/>
      <c r="O40" s="48"/>
    </row>
    <row r="41" customFormat="false" ht="14.25" hidden="false" customHeight="false" outlineLevel="0" collapsed="false">
      <c r="A41" s="44"/>
      <c r="B41" s="44"/>
      <c r="C41" s="44"/>
      <c r="D41" s="44"/>
      <c r="E41" s="45"/>
      <c r="F41" s="45"/>
      <c r="G41" s="44"/>
      <c r="H41" s="44"/>
      <c r="I41" s="44"/>
      <c r="J41" s="44"/>
      <c r="K41" s="44"/>
      <c r="L41" s="44"/>
      <c r="M41" s="46"/>
      <c r="N41" s="47"/>
      <c r="O41" s="48"/>
    </row>
    <row r="42" customFormat="false" ht="14.25" hidden="false" customHeight="false" outlineLevel="0" collapsed="false">
      <c r="A42" s="44"/>
      <c r="B42" s="44"/>
      <c r="C42" s="44"/>
      <c r="D42" s="44"/>
      <c r="E42" s="45"/>
      <c r="F42" s="45"/>
      <c r="G42" s="44"/>
      <c r="H42" s="44"/>
      <c r="I42" s="44"/>
      <c r="J42" s="44"/>
      <c r="K42" s="44"/>
      <c r="L42" s="44"/>
      <c r="M42" s="46"/>
      <c r="N42" s="47"/>
      <c r="O42" s="48"/>
    </row>
    <row r="43" customFormat="false" ht="14.25" hidden="false" customHeight="false" outlineLevel="0" collapsed="false">
      <c r="A43" s="44"/>
      <c r="B43" s="44"/>
      <c r="C43" s="44"/>
      <c r="D43" s="44"/>
      <c r="E43" s="45"/>
      <c r="F43" s="45"/>
      <c r="G43" s="44"/>
      <c r="H43" s="44"/>
      <c r="I43" s="44"/>
      <c r="J43" s="44"/>
      <c r="K43" s="44"/>
      <c r="L43" s="44"/>
      <c r="M43" s="46"/>
      <c r="N43" s="47"/>
      <c r="O43" s="48"/>
    </row>
    <row r="44" customFormat="false" ht="14.25" hidden="false" customHeight="false" outlineLevel="0" collapsed="false">
      <c r="A44" s="44"/>
      <c r="B44" s="44"/>
      <c r="C44" s="44"/>
      <c r="D44" s="44"/>
      <c r="E44" s="45"/>
      <c r="F44" s="45"/>
      <c r="G44" s="44"/>
      <c r="H44" s="44"/>
      <c r="I44" s="44"/>
      <c r="J44" s="44"/>
      <c r="K44" s="44"/>
      <c r="L44" s="44"/>
      <c r="M44" s="46"/>
      <c r="N44" s="47"/>
      <c r="O44" s="48"/>
    </row>
    <row r="45" customFormat="false" ht="14.25" hidden="false" customHeight="false" outlineLevel="0" collapsed="false">
      <c r="A45" s="44"/>
      <c r="B45" s="44"/>
      <c r="C45" s="44"/>
      <c r="D45" s="44"/>
      <c r="E45" s="45"/>
      <c r="F45" s="45"/>
      <c r="G45" s="44"/>
      <c r="H45" s="44"/>
      <c r="I45" s="44"/>
      <c r="J45" s="44"/>
      <c r="K45" s="44"/>
      <c r="L45" s="44"/>
      <c r="M45" s="46"/>
      <c r="N45" s="47"/>
      <c r="O45" s="48"/>
    </row>
    <row r="46" customFormat="false" ht="14.25" hidden="false" customHeight="false" outlineLevel="0" collapsed="false">
      <c r="A46" s="44"/>
      <c r="B46" s="44"/>
      <c r="C46" s="44"/>
      <c r="D46" s="44"/>
      <c r="E46" s="45"/>
      <c r="F46" s="45"/>
      <c r="G46" s="44"/>
      <c r="H46" s="44"/>
      <c r="I46" s="44"/>
      <c r="J46" s="44"/>
      <c r="K46" s="44"/>
      <c r="L46" s="44"/>
      <c r="M46" s="46"/>
      <c r="N46" s="47"/>
      <c r="O46" s="48"/>
    </row>
    <row r="47" customFormat="false" ht="14.25" hidden="false" customHeight="false" outlineLevel="0" collapsed="false">
      <c r="A47" s="44"/>
      <c r="B47" s="44"/>
      <c r="C47" s="44"/>
      <c r="D47" s="44"/>
      <c r="E47" s="45"/>
      <c r="F47" s="45"/>
      <c r="G47" s="44"/>
      <c r="H47" s="44"/>
      <c r="I47" s="44"/>
      <c r="J47" s="44"/>
      <c r="K47" s="44"/>
      <c r="L47" s="44"/>
      <c r="M47" s="46"/>
      <c r="N47" s="47"/>
      <c r="O47" s="48"/>
    </row>
    <row r="48" customFormat="false" ht="14.25" hidden="false" customHeight="false" outlineLevel="0" collapsed="false">
      <c r="A48" s="44"/>
      <c r="B48" s="44"/>
      <c r="C48" s="44"/>
      <c r="D48" s="44"/>
      <c r="E48" s="45"/>
      <c r="F48" s="45"/>
      <c r="G48" s="44"/>
      <c r="H48" s="44"/>
      <c r="I48" s="44"/>
      <c r="J48" s="44"/>
      <c r="K48" s="44"/>
      <c r="L48" s="44"/>
      <c r="M48" s="46"/>
      <c r="N48" s="47"/>
      <c r="O48" s="48"/>
    </row>
    <row r="49" customFormat="false" ht="14.25" hidden="false" customHeight="false" outlineLevel="0" collapsed="false">
      <c r="A49" s="44"/>
      <c r="B49" s="44"/>
      <c r="C49" s="44"/>
      <c r="D49" s="44"/>
      <c r="E49" s="45"/>
      <c r="F49" s="45"/>
      <c r="G49" s="44"/>
      <c r="H49" s="44"/>
      <c r="I49" s="44"/>
      <c r="J49" s="44"/>
      <c r="K49" s="44"/>
      <c r="L49" s="44"/>
      <c r="M49" s="46"/>
      <c r="N49" s="47"/>
      <c r="O49" s="48"/>
    </row>
    <row r="50" customFormat="false" ht="14.25" hidden="false" customHeight="false" outlineLevel="0" collapsed="false">
      <c r="A50" s="44"/>
      <c r="B50" s="44"/>
      <c r="C50" s="44"/>
      <c r="D50" s="44"/>
      <c r="E50" s="45"/>
      <c r="F50" s="45"/>
      <c r="G50" s="44"/>
      <c r="H50" s="44"/>
      <c r="I50" s="44"/>
      <c r="J50" s="44"/>
      <c r="K50" s="44"/>
      <c r="L50" s="44"/>
      <c r="M50" s="46"/>
      <c r="N50" s="47"/>
      <c r="O50" s="48"/>
    </row>
    <row r="51" customFormat="false" ht="14.25" hidden="false" customHeight="false" outlineLevel="0" collapsed="false">
      <c r="A51" s="44"/>
      <c r="B51" s="44"/>
      <c r="C51" s="44"/>
      <c r="D51" s="44"/>
      <c r="E51" s="45"/>
      <c r="F51" s="45"/>
      <c r="G51" s="44"/>
      <c r="H51" s="44"/>
      <c r="I51" s="44"/>
      <c r="J51" s="44"/>
      <c r="K51" s="44"/>
      <c r="L51" s="44"/>
      <c r="M51" s="46"/>
      <c r="N51" s="47"/>
      <c r="O51" s="48"/>
    </row>
    <row r="52" customFormat="false" ht="14.25" hidden="false" customHeight="false" outlineLevel="0" collapsed="false">
      <c r="A52" s="44"/>
      <c r="B52" s="44"/>
      <c r="C52" s="44"/>
      <c r="D52" s="44"/>
      <c r="E52" s="45"/>
      <c r="F52" s="45"/>
      <c r="G52" s="44"/>
      <c r="H52" s="44"/>
      <c r="I52" s="44"/>
      <c r="J52" s="44"/>
      <c r="K52" s="44"/>
      <c r="L52" s="44"/>
      <c r="M52" s="46"/>
      <c r="N52" s="47"/>
      <c r="O52" s="48"/>
    </row>
    <row r="53" customFormat="false" ht="14.25" hidden="false" customHeight="false" outlineLevel="0" collapsed="false">
      <c r="A53" s="44"/>
      <c r="B53" s="44"/>
      <c r="C53" s="44"/>
      <c r="D53" s="44"/>
      <c r="E53" s="45"/>
      <c r="F53" s="45"/>
      <c r="G53" s="44"/>
      <c r="H53" s="44"/>
      <c r="I53" s="44"/>
      <c r="J53" s="44"/>
      <c r="K53" s="44"/>
      <c r="L53" s="44"/>
      <c r="M53" s="46"/>
      <c r="N53" s="47"/>
      <c r="O53" s="48"/>
    </row>
    <row r="54" customFormat="false" ht="14.25" hidden="false" customHeight="false" outlineLevel="0" collapsed="false">
      <c r="A54" s="44"/>
      <c r="B54" s="44"/>
      <c r="C54" s="44"/>
      <c r="D54" s="44"/>
      <c r="E54" s="45"/>
      <c r="F54" s="45"/>
      <c r="G54" s="44"/>
      <c r="H54" s="44"/>
      <c r="I54" s="44"/>
      <c r="J54" s="44"/>
      <c r="K54" s="44"/>
      <c r="L54" s="44"/>
      <c r="M54" s="46"/>
      <c r="N54" s="47"/>
      <c r="O54" s="48"/>
    </row>
    <row r="55" customFormat="false" ht="14.25" hidden="false" customHeight="false" outlineLevel="0" collapsed="false">
      <c r="A55" s="44"/>
      <c r="B55" s="44"/>
      <c r="C55" s="44"/>
      <c r="D55" s="44"/>
      <c r="E55" s="45"/>
      <c r="F55" s="45"/>
      <c r="G55" s="44"/>
      <c r="H55" s="44"/>
      <c r="I55" s="44"/>
      <c r="J55" s="44"/>
      <c r="K55" s="44"/>
      <c r="L55" s="44"/>
      <c r="M55" s="46"/>
      <c r="N55" s="47"/>
      <c r="O55" s="48"/>
    </row>
    <row r="56" customFormat="false" ht="14.25" hidden="false" customHeight="false" outlineLevel="0" collapsed="false">
      <c r="A56" s="44"/>
      <c r="B56" s="44"/>
      <c r="C56" s="44"/>
      <c r="D56" s="44"/>
      <c r="E56" s="45"/>
      <c r="F56" s="45"/>
      <c r="G56" s="44"/>
      <c r="H56" s="44"/>
      <c r="I56" s="44"/>
      <c r="J56" s="44"/>
      <c r="K56" s="44"/>
      <c r="L56" s="44"/>
      <c r="M56" s="46"/>
      <c r="N56" s="47"/>
      <c r="O56" s="48"/>
    </row>
    <row r="57" customFormat="false" ht="14.25" hidden="false" customHeight="false" outlineLevel="0" collapsed="false">
      <c r="A57" s="44"/>
      <c r="B57" s="44"/>
      <c r="C57" s="44"/>
      <c r="D57" s="44"/>
      <c r="E57" s="45"/>
      <c r="F57" s="45"/>
      <c r="G57" s="44"/>
      <c r="H57" s="44"/>
      <c r="I57" s="44"/>
      <c r="J57" s="44"/>
      <c r="K57" s="44"/>
      <c r="L57" s="44"/>
      <c r="M57" s="46"/>
      <c r="N57" s="47"/>
      <c r="O57" s="48"/>
    </row>
    <row r="58" customFormat="false" ht="14.25" hidden="false" customHeight="false" outlineLevel="0" collapsed="false">
      <c r="A58" s="44"/>
      <c r="B58" s="44"/>
      <c r="C58" s="44"/>
      <c r="D58" s="44"/>
      <c r="E58" s="45"/>
      <c r="F58" s="45"/>
      <c r="G58" s="44"/>
      <c r="H58" s="44"/>
      <c r="I58" s="44"/>
      <c r="J58" s="44"/>
      <c r="K58" s="44"/>
      <c r="L58" s="44"/>
      <c r="M58" s="46"/>
      <c r="N58" s="47"/>
      <c r="O58" s="48"/>
    </row>
    <row r="59" customFormat="false" ht="14.25" hidden="false" customHeight="false" outlineLevel="0" collapsed="false">
      <c r="A59" s="44"/>
      <c r="B59" s="44"/>
      <c r="C59" s="44"/>
      <c r="D59" s="44"/>
      <c r="E59" s="45"/>
      <c r="F59" s="45"/>
      <c r="G59" s="44"/>
      <c r="H59" s="44"/>
      <c r="I59" s="44"/>
      <c r="J59" s="44"/>
      <c r="K59" s="44"/>
      <c r="L59" s="44"/>
      <c r="M59" s="46"/>
      <c r="N59" s="47"/>
      <c r="O59" s="48"/>
    </row>
    <row r="60" customFormat="false" ht="14.25" hidden="false" customHeight="false" outlineLevel="0" collapsed="false">
      <c r="A60" s="44"/>
      <c r="B60" s="44"/>
      <c r="C60" s="44"/>
      <c r="D60" s="44"/>
      <c r="E60" s="45"/>
      <c r="F60" s="45"/>
      <c r="G60" s="44"/>
      <c r="H60" s="44"/>
      <c r="I60" s="44"/>
      <c r="J60" s="44"/>
      <c r="K60" s="44"/>
      <c r="L60" s="44"/>
      <c r="M60" s="46"/>
      <c r="N60" s="47"/>
      <c r="O60" s="48"/>
    </row>
    <row r="61" customFormat="false" ht="14.25" hidden="false" customHeight="false" outlineLevel="0" collapsed="false">
      <c r="A61" s="44"/>
      <c r="B61" s="44"/>
      <c r="C61" s="44"/>
      <c r="D61" s="44"/>
      <c r="E61" s="45"/>
      <c r="F61" s="45"/>
      <c r="G61" s="44"/>
      <c r="H61" s="44"/>
      <c r="I61" s="44"/>
      <c r="J61" s="44"/>
      <c r="K61" s="44"/>
      <c r="L61" s="44"/>
      <c r="M61" s="46"/>
      <c r="N61" s="47"/>
      <c r="O61" s="48"/>
    </row>
    <row r="62" customFormat="false" ht="14.25" hidden="false" customHeight="false" outlineLevel="0" collapsed="false">
      <c r="A62" s="44"/>
      <c r="B62" s="44"/>
      <c r="C62" s="44"/>
      <c r="D62" s="44"/>
      <c r="E62" s="45"/>
      <c r="F62" s="45"/>
      <c r="G62" s="44"/>
      <c r="H62" s="44"/>
      <c r="I62" s="44"/>
      <c r="J62" s="44"/>
      <c r="K62" s="44"/>
      <c r="L62" s="44"/>
      <c r="M62" s="46"/>
      <c r="N62" s="47"/>
      <c r="O62" s="48"/>
    </row>
    <row r="63" customFormat="false" ht="14.25" hidden="false" customHeight="false" outlineLevel="0" collapsed="false">
      <c r="A63" s="44"/>
      <c r="B63" s="44"/>
      <c r="C63" s="44"/>
      <c r="D63" s="44"/>
      <c r="E63" s="45"/>
      <c r="F63" s="45"/>
      <c r="G63" s="44"/>
      <c r="H63" s="44"/>
      <c r="I63" s="44"/>
      <c r="J63" s="44"/>
      <c r="K63" s="44"/>
      <c r="L63" s="44"/>
      <c r="M63" s="46"/>
      <c r="N63" s="47"/>
      <c r="O63" s="48"/>
    </row>
    <row r="64" customFormat="false" ht="14.25" hidden="false" customHeight="false" outlineLevel="0" collapsed="false">
      <c r="A64" s="44"/>
      <c r="B64" s="44"/>
      <c r="C64" s="44"/>
      <c r="D64" s="44"/>
      <c r="E64" s="45"/>
      <c r="F64" s="45"/>
      <c r="G64" s="44"/>
      <c r="H64" s="44"/>
      <c r="I64" s="44"/>
      <c r="J64" s="44"/>
      <c r="K64" s="44"/>
      <c r="L64" s="44"/>
      <c r="M64" s="46"/>
      <c r="N64" s="47"/>
      <c r="O64" s="48"/>
    </row>
    <row r="65" customFormat="false" ht="14.25" hidden="false" customHeight="false" outlineLevel="0" collapsed="false">
      <c r="A65" s="44"/>
      <c r="B65" s="44"/>
      <c r="C65" s="44"/>
      <c r="D65" s="44"/>
      <c r="E65" s="45"/>
      <c r="F65" s="45"/>
      <c r="G65" s="44"/>
      <c r="H65" s="44"/>
      <c r="I65" s="44"/>
      <c r="J65" s="44"/>
      <c r="K65" s="44"/>
      <c r="L65" s="44"/>
      <c r="M65" s="46"/>
      <c r="N65" s="47"/>
      <c r="O65" s="48"/>
    </row>
    <row r="66" customFormat="false" ht="14.25" hidden="false" customHeight="false" outlineLevel="0" collapsed="false">
      <c r="A66" s="44"/>
      <c r="B66" s="44"/>
      <c r="C66" s="44"/>
      <c r="D66" s="44"/>
      <c r="E66" s="45"/>
      <c r="F66" s="45"/>
      <c r="G66" s="44"/>
      <c r="H66" s="44"/>
      <c r="I66" s="44"/>
      <c r="J66" s="44"/>
      <c r="K66" s="44"/>
      <c r="L66" s="44"/>
      <c r="M66" s="46"/>
      <c r="N66" s="47"/>
      <c r="O66" s="48"/>
    </row>
    <row r="67" customFormat="false" ht="14.25" hidden="false" customHeight="false" outlineLevel="0" collapsed="false">
      <c r="A67" s="44"/>
      <c r="B67" s="44"/>
      <c r="C67" s="44"/>
      <c r="D67" s="44"/>
      <c r="E67" s="45"/>
      <c r="F67" s="45"/>
      <c r="G67" s="44"/>
      <c r="H67" s="44"/>
      <c r="I67" s="44"/>
      <c r="J67" s="44"/>
      <c r="K67" s="44"/>
      <c r="L67" s="44"/>
      <c r="M67" s="46"/>
      <c r="N67" s="47"/>
      <c r="O67" s="48"/>
    </row>
    <row r="68" customFormat="false" ht="14.25" hidden="false" customHeight="false" outlineLevel="0" collapsed="false">
      <c r="A68" s="44"/>
      <c r="B68" s="44"/>
      <c r="C68" s="44"/>
      <c r="D68" s="44"/>
      <c r="E68" s="45"/>
      <c r="F68" s="45"/>
      <c r="G68" s="44"/>
      <c r="H68" s="44"/>
      <c r="I68" s="44"/>
      <c r="J68" s="44"/>
      <c r="K68" s="44"/>
      <c r="L68" s="44"/>
      <c r="M68" s="46"/>
      <c r="N68" s="47"/>
      <c r="O68" s="48"/>
    </row>
    <row r="69" customFormat="false" ht="14.25" hidden="false" customHeight="false" outlineLevel="0" collapsed="false">
      <c r="A69" s="44"/>
      <c r="B69" s="44"/>
      <c r="C69" s="44"/>
      <c r="D69" s="44"/>
      <c r="E69" s="45"/>
      <c r="F69" s="45"/>
      <c r="G69" s="44"/>
      <c r="H69" s="44"/>
      <c r="I69" s="44"/>
      <c r="J69" s="44"/>
      <c r="K69" s="44"/>
      <c r="L69" s="44"/>
      <c r="M69" s="46"/>
      <c r="N69" s="47"/>
      <c r="O69" s="48"/>
    </row>
    <row r="70" customFormat="false" ht="14.25" hidden="false" customHeight="false" outlineLevel="0" collapsed="false">
      <c r="A70" s="44"/>
      <c r="B70" s="44"/>
      <c r="C70" s="44"/>
      <c r="D70" s="44"/>
      <c r="E70" s="45"/>
      <c r="F70" s="45"/>
      <c r="G70" s="44"/>
      <c r="H70" s="44"/>
      <c r="I70" s="44"/>
      <c r="J70" s="44"/>
      <c r="K70" s="44"/>
      <c r="L70" s="44"/>
      <c r="M70" s="46"/>
      <c r="N70" s="47"/>
      <c r="O70" s="48"/>
    </row>
    <row r="71" customFormat="false" ht="14.25" hidden="false" customHeight="false" outlineLevel="0" collapsed="false">
      <c r="A71" s="44"/>
      <c r="B71" s="44"/>
      <c r="C71" s="44"/>
      <c r="D71" s="44"/>
      <c r="E71" s="45"/>
      <c r="F71" s="45"/>
      <c r="G71" s="44"/>
      <c r="H71" s="44"/>
      <c r="I71" s="44"/>
      <c r="J71" s="44"/>
      <c r="K71" s="44"/>
      <c r="L71" s="44"/>
      <c r="M71" s="46"/>
      <c r="N71" s="47"/>
      <c r="O71" s="48"/>
    </row>
    <row r="72" customFormat="false" ht="14.25" hidden="false" customHeight="false" outlineLevel="0" collapsed="false">
      <c r="A72" s="44"/>
      <c r="B72" s="44"/>
      <c r="C72" s="44"/>
      <c r="D72" s="44"/>
      <c r="E72" s="45"/>
      <c r="F72" s="45"/>
      <c r="G72" s="44"/>
      <c r="H72" s="44"/>
      <c r="I72" s="44"/>
      <c r="J72" s="44"/>
      <c r="K72" s="44"/>
      <c r="L72" s="44"/>
      <c r="M72" s="46"/>
      <c r="N72" s="47"/>
      <c r="O72" s="48"/>
    </row>
    <row r="73" customFormat="false" ht="14.25" hidden="false" customHeight="false" outlineLevel="0" collapsed="false">
      <c r="A73" s="44"/>
      <c r="B73" s="44"/>
      <c r="C73" s="44"/>
      <c r="D73" s="44"/>
      <c r="E73" s="45"/>
      <c r="F73" s="45"/>
      <c r="G73" s="44"/>
      <c r="H73" s="44"/>
      <c r="I73" s="44"/>
      <c r="J73" s="44"/>
      <c r="K73" s="44"/>
      <c r="L73" s="44"/>
      <c r="M73" s="46"/>
      <c r="N73" s="47"/>
      <c r="O73" s="48"/>
    </row>
    <row r="74" customFormat="false" ht="14.25" hidden="false" customHeight="false" outlineLevel="0" collapsed="false">
      <c r="A74" s="44"/>
      <c r="B74" s="44"/>
      <c r="C74" s="44"/>
      <c r="D74" s="44"/>
      <c r="E74" s="45"/>
      <c r="F74" s="45"/>
      <c r="G74" s="44"/>
      <c r="H74" s="44"/>
      <c r="I74" s="44"/>
      <c r="J74" s="44"/>
      <c r="K74" s="44"/>
      <c r="L74" s="44"/>
      <c r="M74" s="46"/>
      <c r="N74" s="47"/>
      <c r="O74" s="48"/>
    </row>
    <row r="75" customFormat="false" ht="14.25" hidden="false" customHeight="false" outlineLevel="0" collapsed="false">
      <c r="A75" s="44"/>
      <c r="B75" s="44"/>
      <c r="C75" s="44"/>
      <c r="D75" s="44"/>
      <c r="E75" s="45"/>
      <c r="F75" s="45"/>
      <c r="G75" s="44"/>
      <c r="H75" s="44"/>
      <c r="I75" s="44"/>
      <c r="J75" s="44"/>
      <c r="K75" s="44"/>
      <c r="L75" s="44"/>
      <c r="M75" s="46"/>
      <c r="N75" s="47"/>
      <c r="O75" s="48"/>
    </row>
    <row r="76" customFormat="false" ht="14.25" hidden="false" customHeight="false" outlineLevel="0" collapsed="false">
      <c r="A76" s="44"/>
      <c r="B76" s="44"/>
      <c r="C76" s="44"/>
      <c r="D76" s="44"/>
      <c r="E76" s="45"/>
      <c r="F76" s="45"/>
      <c r="G76" s="44"/>
      <c r="H76" s="44"/>
      <c r="I76" s="44"/>
      <c r="J76" s="44"/>
      <c r="K76" s="44"/>
      <c r="L76" s="44"/>
      <c r="M76" s="46"/>
      <c r="N76" s="47"/>
      <c r="O76" s="48"/>
    </row>
    <row r="77" customFormat="false" ht="14.25" hidden="false" customHeight="false" outlineLevel="0" collapsed="false">
      <c r="A77" s="44"/>
      <c r="B77" s="44"/>
      <c r="C77" s="44"/>
      <c r="D77" s="44"/>
      <c r="E77" s="45"/>
      <c r="F77" s="45"/>
      <c r="G77" s="44"/>
      <c r="H77" s="44"/>
      <c r="I77" s="44"/>
      <c r="J77" s="44"/>
      <c r="K77" s="44"/>
      <c r="L77" s="44"/>
      <c r="M77" s="46"/>
      <c r="N77" s="47"/>
      <c r="O77" s="48"/>
    </row>
    <row r="78" customFormat="false" ht="14.25" hidden="false" customHeight="false" outlineLevel="0" collapsed="false">
      <c r="A78" s="44"/>
      <c r="B78" s="44"/>
      <c r="C78" s="44"/>
      <c r="D78" s="44"/>
      <c r="E78" s="45"/>
      <c r="F78" s="45"/>
      <c r="G78" s="44"/>
      <c r="H78" s="44"/>
      <c r="I78" s="44"/>
      <c r="J78" s="44"/>
      <c r="K78" s="44"/>
      <c r="L78" s="44"/>
      <c r="M78" s="46"/>
      <c r="N78" s="47"/>
      <c r="O78" s="48"/>
    </row>
    <row r="79" customFormat="false" ht="14.25" hidden="false" customHeight="false" outlineLevel="0" collapsed="false">
      <c r="A79" s="44"/>
      <c r="B79" s="44"/>
      <c r="C79" s="44"/>
      <c r="D79" s="44"/>
      <c r="E79" s="45"/>
      <c r="F79" s="45"/>
      <c r="G79" s="44"/>
      <c r="H79" s="44"/>
      <c r="I79" s="44"/>
      <c r="J79" s="44"/>
      <c r="K79" s="44"/>
      <c r="L79" s="44"/>
      <c r="M79" s="46"/>
      <c r="N79" s="47"/>
      <c r="O79" s="48"/>
    </row>
    <row r="80" customFormat="false" ht="14.25" hidden="false" customHeight="false" outlineLevel="0" collapsed="false">
      <c r="A80" s="44"/>
      <c r="B80" s="44"/>
      <c r="C80" s="44"/>
      <c r="D80" s="44"/>
      <c r="E80" s="45"/>
      <c r="F80" s="45"/>
      <c r="G80" s="44"/>
      <c r="H80" s="44"/>
      <c r="I80" s="44"/>
      <c r="J80" s="44"/>
      <c r="K80" s="44"/>
      <c r="L80" s="44"/>
      <c r="M80" s="46"/>
      <c r="N80" s="47"/>
      <c r="O80" s="48"/>
    </row>
    <row r="81" customFormat="false" ht="14.25" hidden="false" customHeight="false" outlineLevel="0" collapsed="false">
      <c r="A81" s="44"/>
      <c r="B81" s="44"/>
      <c r="C81" s="44"/>
      <c r="D81" s="44"/>
      <c r="E81" s="45"/>
      <c r="F81" s="45"/>
      <c r="G81" s="44"/>
      <c r="H81" s="44"/>
      <c r="I81" s="44"/>
      <c r="J81" s="44"/>
      <c r="K81" s="44"/>
      <c r="L81" s="44"/>
      <c r="M81" s="46"/>
      <c r="N81" s="47"/>
      <c r="O81" s="48"/>
    </row>
    <row r="82" customFormat="false" ht="14.25" hidden="false" customHeight="false" outlineLevel="0" collapsed="false">
      <c r="A82" s="44"/>
      <c r="B82" s="44"/>
      <c r="C82" s="44"/>
      <c r="D82" s="44"/>
      <c r="E82" s="45"/>
      <c r="F82" s="45"/>
      <c r="G82" s="44"/>
      <c r="H82" s="44"/>
      <c r="I82" s="44"/>
      <c r="J82" s="44"/>
      <c r="K82" s="44"/>
      <c r="L82" s="44"/>
      <c r="M82" s="46"/>
      <c r="N82" s="47"/>
      <c r="O82" s="48"/>
    </row>
    <row r="83" customFormat="false" ht="14.25" hidden="false" customHeight="false" outlineLevel="0" collapsed="false">
      <c r="A83" s="44"/>
      <c r="B83" s="44"/>
      <c r="C83" s="44"/>
      <c r="D83" s="44"/>
      <c r="E83" s="45"/>
      <c r="F83" s="45"/>
      <c r="G83" s="44"/>
      <c r="H83" s="44"/>
      <c r="I83" s="44"/>
      <c r="J83" s="44"/>
      <c r="K83" s="44"/>
      <c r="L83" s="44"/>
      <c r="M83" s="46"/>
      <c r="N83" s="47"/>
      <c r="O83" s="48"/>
    </row>
    <row r="84" customFormat="false" ht="14.25" hidden="false" customHeight="false" outlineLevel="0" collapsed="false">
      <c r="A84" s="44"/>
      <c r="B84" s="44"/>
      <c r="C84" s="44"/>
      <c r="D84" s="44"/>
      <c r="E84" s="45"/>
      <c r="F84" s="45"/>
      <c r="G84" s="44"/>
      <c r="H84" s="44"/>
      <c r="I84" s="44"/>
      <c r="J84" s="44"/>
      <c r="K84" s="44"/>
      <c r="L84" s="44"/>
      <c r="M84" s="46"/>
      <c r="N84" s="47"/>
      <c r="O84" s="48"/>
    </row>
    <row r="85" customFormat="false" ht="14.25" hidden="false" customHeight="false" outlineLevel="0" collapsed="false">
      <c r="A85" s="44"/>
      <c r="B85" s="44"/>
      <c r="C85" s="44"/>
      <c r="D85" s="44"/>
      <c r="E85" s="45"/>
      <c r="F85" s="45"/>
      <c r="G85" s="44"/>
      <c r="H85" s="44"/>
      <c r="I85" s="44"/>
      <c r="J85" s="44"/>
      <c r="K85" s="44"/>
      <c r="L85" s="44"/>
      <c r="M85" s="46"/>
      <c r="N85" s="47"/>
      <c r="O85" s="48"/>
    </row>
    <row r="86" customFormat="false" ht="14.25" hidden="false" customHeight="false" outlineLevel="0" collapsed="false">
      <c r="A86" s="44"/>
      <c r="B86" s="44"/>
      <c r="C86" s="44"/>
      <c r="D86" s="44"/>
      <c r="E86" s="45"/>
      <c r="F86" s="45"/>
      <c r="G86" s="44"/>
      <c r="H86" s="44"/>
      <c r="I86" s="44"/>
      <c r="J86" s="44"/>
      <c r="K86" s="44"/>
      <c r="L86" s="44"/>
      <c r="M86" s="46"/>
      <c r="N86" s="47"/>
      <c r="O86" s="48"/>
    </row>
    <row r="87" customFormat="false" ht="14.25" hidden="false" customHeight="false" outlineLevel="0" collapsed="false">
      <c r="A87" s="44"/>
      <c r="B87" s="44"/>
      <c r="C87" s="44"/>
      <c r="D87" s="44"/>
      <c r="E87" s="45"/>
      <c r="F87" s="45"/>
      <c r="G87" s="44"/>
      <c r="H87" s="44"/>
      <c r="I87" s="44"/>
      <c r="J87" s="44"/>
      <c r="K87" s="44"/>
      <c r="L87" s="44"/>
      <c r="M87" s="46"/>
      <c r="N87" s="47"/>
      <c r="O87" s="48"/>
    </row>
    <row r="88" customFormat="false" ht="14.25" hidden="false" customHeight="false" outlineLevel="0" collapsed="false">
      <c r="A88" s="44"/>
      <c r="B88" s="44"/>
      <c r="C88" s="44"/>
      <c r="D88" s="44"/>
      <c r="E88" s="45"/>
      <c r="F88" s="45"/>
      <c r="G88" s="44"/>
      <c r="H88" s="44"/>
      <c r="I88" s="44"/>
      <c r="J88" s="44"/>
      <c r="K88" s="44"/>
      <c r="L88" s="44"/>
      <c r="M88" s="46"/>
      <c r="N88" s="47"/>
      <c r="O88" s="48"/>
    </row>
    <row r="89" customFormat="false" ht="14.25" hidden="false" customHeight="false" outlineLevel="0" collapsed="false">
      <c r="A89" s="44"/>
      <c r="B89" s="44"/>
      <c r="C89" s="44"/>
      <c r="D89" s="44"/>
      <c r="E89" s="45"/>
      <c r="F89" s="45"/>
      <c r="G89" s="44"/>
      <c r="H89" s="44"/>
      <c r="I89" s="44"/>
      <c r="J89" s="44"/>
      <c r="K89" s="44"/>
      <c r="L89" s="44"/>
      <c r="M89" s="46"/>
      <c r="N89" s="47"/>
      <c r="O89" s="48"/>
    </row>
    <row r="90" customFormat="false" ht="14.25" hidden="false" customHeight="false" outlineLevel="0" collapsed="false">
      <c r="A90" s="44"/>
      <c r="B90" s="44"/>
      <c r="C90" s="44"/>
      <c r="D90" s="44"/>
      <c r="E90" s="45"/>
      <c r="F90" s="45"/>
      <c r="G90" s="44"/>
      <c r="H90" s="44"/>
      <c r="I90" s="44"/>
      <c r="J90" s="44"/>
      <c r="K90" s="44"/>
      <c r="L90" s="44"/>
      <c r="M90" s="46"/>
      <c r="N90" s="47"/>
      <c r="O90" s="48"/>
    </row>
    <row r="91" customFormat="false" ht="14.25" hidden="false" customHeight="false" outlineLevel="0" collapsed="false">
      <c r="A91" s="44"/>
      <c r="B91" s="44"/>
      <c r="C91" s="44"/>
      <c r="D91" s="44"/>
      <c r="E91" s="45"/>
      <c r="F91" s="45"/>
      <c r="G91" s="44"/>
      <c r="H91" s="44"/>
      <c r="I91" s="44"/>
      <c r="J91" s="44"/>
      <c r="K91" s="44"/>
      <c r="L91" s="44"/>
      <c r="M91" s="46"/>
      <c r="N91" s="47"/>
      <c r="O91" s="48"/>
    </row>
    <row r="92" customFormat="false" ht="14.25" hidden="false" customHeight="false" outlineLevel="0" collapsed="false">
      <c r="A92" s="44"/>
      <c r="B92" s="44"/>
      <c r="C92" s="44"/>
      <c r="D92" s="44"/>
      <c r="E92" s="45"/>
      <c r="F92" s="45"/>
      <c r="G92" s="44"/>
      <c r="H92" s="44"/>
      <c r="I92" s="44"/>
      <c r="J92" s="44"/>
      <c r="K92" s="44"/>
      <c r="L92" s="44"/>
      <c r="M92" s="46"/>
      <c r="N92" s="47"/>
      <c r="O92" s="48"/>
    </row>
    <row r="93" customFormat="false" ht="14.25" hidden="false" customHeight="false" outlineLevel="0" collapsed="false">
      <c r="A93" s="44"/>
      <c r="B93" s="44"/>
      <c r="C93" s="44"/>
      <c r="D93" s="44"/>
      <c r="E93" s="45"/>
      <c r="F93" s="45"/>
      <c r="G93" s="44"/>
      <c r="H93" s="44"/>
      <c r="I93" s="44"/>
      <c r="J93" s="44"/>
      <c r="K93" s="44"/>
      <c r="L93" s="44"/>
      <c r="M93" s="46"/>
      <c r="N93" s="47"/>
      <c r="O93" s="48"/>
    </row>
    <row r="94" customFormat="false" ht="14.25" hidden="false" customHeight="false" outlineLevel="0" collapsed="false">
      <c r="A94" s="44"/>
      <c r="B94" s="44"/>
      <c r="C94" s="44"/>
      <c r="D94" s="44"/>
      <c r="E94" s="45"/>
      <c r="F94" s="45"/>
      <c r="G94" s="44"/>
      <c r="H94" s="44"/>
      <c r="I94" s="44"/>
      <c r="J94" s="44"/>
      <c r="K94" s="44"/>
      <c r="L94" s="44"/>
      <c r="M94" s="46"/>
      <c r="N94" s="47"/>
      <c r="O94" s="48"/>
    </row>
    <row r="95" customFormat="false" ht="14.25" hidden="false" customHeight="false" outlineLevel="0" collapsed="false">
      <c r="A95" s="44"/>
      <c r="B95" s="44"/>
      <c r="C95" s="44"/>
      <c r="D95" s="44"/>
      <c r="E95" s="45"/>
      <c r="F95" s="45"/>
      <c r="G95" s="44"/>
      <c r="H95" s="44"/>
      <c r="I95" s="44"/>
      <c r="J95" s="44"/>
      <c r="K95" s="44"/>
      <c r="L95" s="44"/>
      <c r="M95" s="46"/>
      <c r="N95" s="47"/>
      <c r="O95" s="48"/>
    </row>
    <row r="96" customFormat="false" ht="14.25" hidden="false" customHeight="false" outlineLevel="0" collapsed="false">
      <c r="A96" s="44"/>
      <c r="B96" s="44"/>
      <c r="C96" s="44"/>
      <c r="D96" s="44"/>
      <c r="E96" s="45"/>
      <c r="F96" s="45"/>
      <c r="G96" s="44"/>
      <c r="H96" s="44"/>
      <c r="I96" s="44"/>
      <c r="J96" s="44"/>
      <c r="K96" s="44"/>
      <c r="L96" s="44"/>
      <c r="M96" s="46"/>
      <c r="N96" s="47"/>
      <c r="O96" s="48"/>
    </row>
    <row r="97" customFormat="false" ht="14.25" hidden="false" customHeight="false" outlineLevel="0" collapsed="false">
      <c r="A97" s="44"/>
      <c r="B97" s="44"/>
      <c r="C97" s="44"/>
      <c r="D97" s="44"/>
      <c r="E97" s="45"/>
      <c r="F97" s="45"/>
      <c r="G97" s="44"/>
      <c r="H97" s="44"/>
      <c r="I97" s="44"/>
      <c r="J97" s="44"/>
      <c r="K97" s="44"/>
      <c r="L97" s="44"/>
      <c r="M97" s="46"/>
      <c r="N97" s="47"/>
      <c r="O97" s="48"/>
    </row>
    <row r="98" customFormat="false" ht="14.25" hidden="false" customHeight="false" outlineLevel="0" collapsed="false">
      <c r="A98" s="44"/>
      <c r="B98" s="44"/>
      <c r="C98" s="44"/>
      <c r="D98" s="44"/>
      <c r="E98" s="45"/>
      <c r="F98" s="45"/>
      <c r="G98" s="44"/>
      <c r="H98" s="44"/>
      <c r="I98" s="44"/>
      <c r="J98" s="44"/>
      <c r="K98" s="44"/>
      <c r="L98" s="44"/>
      <c r="M98" s="46"/>
      <c r="N98" s="47"/>
      <c r="O98" s="48"/>
    </row>
    <row r="99" customFormat="false" ht="14.25" hidden="false" customHeight="false" outlineLevel="0" collapsed="false">
      <c r="A99" s="44"/>
      <c r="B99" s="44"/>
      <c r="C99" s="44"/>
      <c r="D99" s="44"/>
      <c r="E99" s="45"/>
      <c r="F99" s="45"/>
      <c r="G99" s="44"/>
      <c r="H99" s="44"/>
      <c r="I99" s="44"/>
      <c r="J99" s="44"/>
      <c r="K99" s="44"/>
      <c r="L99" s="44"/>
      <c r="M99" s="46"/>
      <c r="N99" s="47"/>
      <c r="O99" s="48"/>
    </row>
    <row r="100" customFormat="false" ht="14.25" hidden="false" customHeight="false" outlineLevel="0" collapsed="false">
      <c r="A100" s="44"/>
      <c r="B100" s="44"/>
      <c r="C100" s="44"/>
      <c r="D100" s="44"/>
      <c r="E100" s="45"/>
      <c r="F100" s="45"/>
      <c r="G100" s="44"/>
      <c r="H100" s="44"/>
      <c r="I100" s="44"/>
      <c r="J100" s="44"/>
      <c r="K100" s="44"/>
      <c r="L100" s="44"/>
      <c r="M100" s="46"/>
      <c r="N100" s="47"/>
      <c r="O100" s="48"/>
    </row>
    <row r="101" customFormat="false" ht="14.25" hidden="false" customHeight="false" outlineLevel="0" collapsed="false">
      <c r="A101" s="44"/>
      <c r="B101" s="44"/>
      <c r="C101" s="44"/>
      <c r="D101" s="44"/>
      <c r="E101" s="45"/>
      <c r="F101" s="45"/>
      <c r="G101" s="44"/>
      <c r="H101" s="44"/>
      <c r="I101" s="44"/>
      <c r="J101" s="44"/>
      <c r="K101" s="44"/>
      <c r="L101" s="44"/>
      <c r="M101" s="46"/>
      <c r="N101" s="47"/>
      <c r="O101" s="48"/>
    </row>
    <row r="102" customFormat="false" ht="14.25" hidden="false" customHeight="false" outlineLevel="0" collapsed="false">
      <c r="A102" s="44"/>
      <c r="B102" s="44"/>
      <c r="C102" s="44"/>
      <c r="D102" s="44"/>
      <c r="E102" s="45"/>
      <c r="F102" s="45"/>
      <c r="G102" s="44"/>
      <c r="H102" s="44"/>
      <c r="I102" s="44"/>
      <c r="J102" s="44"/>
      <c r="K102" s="44"/>
      <c r="L102" s="44"/>
      <c r="M102" s="46"/>
      <c r="N102" s="47"/>
      <c r="O102" s="48"/>
    </row>
    <row r="103" customFormat="false" ht="14.25" hidden="false" customHeight="false" outlineLevel="0" collapsed="false">
      <c r="A103" s="44"/>
      <c r="B103" s="44"/>
      <c r="C103" s="44"/>
      <c r="D103" s="44"/>
      <c r="E103" s="45"/>
      <c r="F103" s="45"/>
      <c r="G103" s="44"/>
      <c r="H103" s="44"/>
      <c r="I103" s="44"/>
      <c r="J103" s="44"/>
      <c r="K103" s="44"/>
      <c r="L103" s="44"/>
      <c r="M103" s="46"/>
      <c r="N103" s="47"/>
      <c r="O103" s="48"/>
    </row>
    <row r="104" customFormat="false" ht="14.25" hidden="false" customHeight="false" outlineLevel="0" collapsed="false">
      <c r="A104" s="44"/>
      <c r="B104" s="44"/>
      <c r="C104" s="44"/>
      <c r="D104" s="44"/>
      <c r="E104" s="45"/>
      <c r="F104" s="45"/>
      <c r="G104" s="44"/>
      <c r="H104" s="44"/>
      <c r="I104" s="44"/>
      <c r="J104" s="44"/>
      <c r="K104" s="44"/>
      <c r="L104" s="44"/>
      <c r="M104" s="46"/>
      <c r="N104" s="47"/>
      <c r="O104" s="48"/>
    </row>
    <row r="105" customFormat="false" ht="14.25" hidden="false" customHeight="false" outlineLevel="0" collapsed="false">
      <c r="A105" s="44"/>
      <c r="B105" s="44"/>
      <c r="C105" s="44"/>
      <c r="D105" s="44"/>
      <c r="E105" s="45"/>
      <c r="F105" s="45"/>
      <c r="G105" s="44"/>
      <c r="H105" s="44"/>
      <c r="I105" s="44"/>
      <c r="J105" s="44"/>
      <c r="K105" s="44"/>
      <c r="L105" s="44"/>
      <c r="M105" s="46"/>
      <c r="N105" s="47"/>
      <c r="O105" s="48"/>
    </row>
    <row r="106" customFormat="false" ht="14.25" hidden="false" customHeight="false" outlineLevel="0" collapsed="false">
      <c r="A106" s="44"/>
      <c r="B106" s="44"/>
      <c r="C106" s="44"/>
      <c r="D106" s="44"/>
      <c r="E106" s="45"/>
      <c r="F106" s="45"/>
      <c r="G106" s="44"/>
      <c r="H106" s="44"/>
      <c r="I106" s="44"/>
      <c r="J106" s="44"/>
      <c r="K106" s="44"/>
      <c r="L106" s="44"/>
      <c r="M106" s="46"/>
      <c r="N106" s="47"/>
      <c r="O106" s="48"/>
    </row>
    <row r="107" customFormat="false" ht="14.25" hidden="false" customHeight="false" outlineLevel="0" collapsed="false">
      <c r="A107" s="44"/>
      <c r="B107" s="44"/>
      <c r="C107" s="44"/>
      <c r="D107" s="44"/>
      <c r="E107" s="45"/>
      <c r="F107" s="45"/>
      <c r="G107" s="44"/>
      <c r="H107" s="44"/>
      <c r="I107" s="44"/>
      <c r="J107" s="44"/>
      <c r="K107" s="44"/>
      <c r="L107" s="44"/>
      <c r="M107" s="46"/>
      <c r="N107" s="47"/>
      <c r="O107" s="48"/>
    </row>
    <row r="108" customFormat="false" ht="14.25" hidden="false" customHeight="false" outlineLevel="0" collapsed="false">
      <c r="A108" s="44"/>
      <c r="B108" s="44"/>
      <c r="C108" s="44"/>
      <c r="D108" s="44"/>
      <c r="E108" s="45"/>
      <c r="F108" s="45"/>
      <c r="G108" s="44"/>
      <c r="H108" s="44"/>
      <c r="I108" s="44"/>
      <c r="J108" s="44"/>
      <c r="K108" s="44"/>
      <c r="L108" s="44"/>
      <c r="M108" s="46"/>
      <c r="N108" s="47"/>
      <c r="O108" s="48"/>
    </row>
    <row r="109" customFormat="false" ht="14.25" hidden="false" customHeight="false" outlineLevel="0" collapsed="false">
      <c r="A109" s="44"/>
      <c r="B109" s="44"/>
      <c r="C109" s="44"/>
      <c r="D109" s="44"/>
      <c r="E109" s="45"/>
      <c r="F109" s="45"/>
      <c r="G109" s="44"/>
      <c r="H109" s="44"/>
      <c r="I109" s="44"/>
      <c r="J109" s="44"/>
      <c r="K109" s="44"/>
      <c r="L109" s="44"/>
      <c r="M109" s="46"/>
      <c r="N109" s="47"/>
      <c r="O109" s="48"/>
    </row>
    <row r="110" customFormat="false" ht="14.25" hidden="false" customHeight="false" outlineLevel="0" collapsed="false">
      <c r="A110" s="44"/>
      <c r="B110" s="44"/>
      <c r="C110" s="44"/>
      <c r="D110" s="44"/>
      <c r="E110" s="45"/>
      <c r="F110" s="45"/>
      <c r="G110" s="44"/>
      <c r="H110" s="44"/>
      <c r="I110" s="44"/>
      <c r="J110" s="44"/>
      <c r="K110" s="44"/>
      <c r="L110" s="44"/>
      <c r="M110" s="46"/>
      <c r="N110" s="47"/>
      <c r="O110" s="48"/>
    </row>
    <row r="111" customFormat="false" ht="14.25" hidden="false" customHeight="false" outlineLevel="0" collapsed="false">
      <c r="A111" s="44"/>
      <c r="B111" s="44"/>
      <c r="C111" s="44"/>
      <c r="D111" s="44"/>
      <c r="E111" s="45"/>
      <c r="F111" s="45"/>
      <c r="G111" s="44"/>
      <c r="H111" s="44"/>
      <c r="I111" s="44"/>
      <c r="J111" s="44"/>
      <c r="K111" s="44"/>
      <c r="L111" s="44"/>
      <c r="M111" s="46"/>
      <c r="N111" s="47"/>
      <c r="O111" s="48"/>
    </row>
    <row r="112" customFormat="false" ht="14.25" hidden="false" customHeight="false" outlineLevel="0" collapsed="false">
      <c r="A112" s="44"/>
      <c r="B112" s="44"/>
      <c r="C112" s="44"/>
      <c r="D112" s="44"/>
      <c r="E112" s="45"/>
      <c r="F112" s="45"/>
      <c r="G112" s="44"/>
      <c r="H112" s="44"/>
      <c r="I112" s="44"/>
      <c r="J112" s="44"/>
      <c r="K112" s="44"/>
      <c r="L112" s="44"/>
      <c r="M112" s="46"/>
      <c r="N112" s="47"/>
      <c r="O112" s="48"/>
    </row>
    <row r="113" customFormat="false" ht="14.25" hidden="false" customHeight="false" outlineLevel="0" collapsed="false">
      <c r="A113" s="44"/>
      <c r="B113" s="44"/>
      <c r="C113" s="44"/>
      <c r="D113" s="44"/>
      <c r="E113" s="45"/>
      <c r="F113" s="45"/>
      <c r="G113" s="44"/>
      <c r="H113" s="44"/>
      <c r="I113" s="44"/>
      <c r="J113" s="44"/>
      <c r="K113" s="44"/>
      <c r="L113" s="44"/>
      <c r="M113" s="46"/>
      <c r="N113" s="47"/>
      <c r="O113" s="48"/>
    </row>
    <row r="114" customFormat="false" ht="14.25" hidden="false" customHeight="false" outlineLevel="0" collapsed="false">
      <c r="A114" s="44"/>
      <c r="B114" s="44"/>
      <c r="C114" s="44"/>
      <c r="D114" s="44"/>
      <c r="E114" s="45"/>
      <c r="F114" s="45"/>
      <c r="G114" s="44"/>
      <c r="H114" s="44"/>
      <c r="I114" s="44"/>
      <c r="J114" s="44"/>
      <c r="K114" s="44"/>
      <c r="L114" s="44"/>
      <c r="M114" s="46"/>
      <c r="N114" s="47"/>
      <c r="O114" s="48"/>
    </row>
    <row r="115" customFormat="false" ht="14.25" hidden="false" customHeight="false" outlineLevel="0" collapsed="false">
      <c r="A115" s="44"/>
      <c r="B115" s="44"/>
      <c r="C115" s="44"/>
      <c r="D115" s="44"/>
      <c r="E115" s="45"/>
      <c r="F115" s="45"/>
      <c r="G115" s="44"/>
      <c r="H115" s="44"/>
      <c r="I115" s="44"/>
      <c r="J115" s="44"/>
      <c r="K115" s="44"/>
      <c r="L115" s="44"/>
      <c r="M115" s="46"/>
      <c r="N115" s="47"/>
      <c r="O115" s="48"/>
    </row>
    <row r="116" customFormat="false" ht="14.25" hidden="false" customHeight="false" outlineLevel="0" collapsed="false">
      <c r="A116" s="44"/>
      <c r="B116" s="44"/>
      <c r="C116" s="44"/>
      <c r="D116" s="44"/>
      <c r="E116" s="45"/>
      <c r="F116" s="45"/>
      <c r="G116" s="44"/>
      <c r="H116" s="44"/>
      <c r="I116" s="44"/>
      <c r="J116" s="44"/>
      <c r="K116" s="44"/>
      <c r="L116" s="44"/>
      <c r="M116" s="46"/>
      <c r="N116" s="47"/>
      <c r="O116" s="48"/>
    </row>
    <row r="117" customFormat="false" ht="14.25" hidden="false" customHeight="false" outlineLevel="0" collapsed="false">
      <c r="A117" s="44"/>
      <c r="B117" s="44"/>
      <c r="C117" s="44"/>
      <c r="D117" s="44"/>
      <c r="E117" s="45"/>
      <c r="F117" s="45"/>
      <c r="G117" s="44"/>
      <c r="H117" s="44"/>
      <c r="I117" s="44"/>
      <c r="J117" s="44"/>
      <c r="K117" s="44"/>
      <c r="L117" s="44"/>
      <c r="M117" s="46"/>
      <c r="N117" s="47"/>
      <c r="O117" s="48"/>
    </row>
    <row r="118" customFormat="false" ht="14.25" hidden="false" customHeight="false" outlineLevel="0" collapsed="false">
      <c r="A118" s="44"/>
      <c r="B118" s="44"/>
      <c r="C118" s="44"/>
      <c r="D118" s="44"/>
      <c r="E118" s="45"/>
      <c r="F118" s="45"/>
      <c r="G118" s="44"/>
      <c r="H118" s="44"/>
      <c r="I118" s="44"/>
      <c r="J118" s="44"/>
      <c r="K118" s="44"/>
      <c r="L118" s="44"/>
      <c r="M118" s="46"/>
      <c r="N118" s="47"/>
      <c r="O118" s="48"/>
    </row>
    <row r="119" customFormat="false" ht="14.25" hidden="false" customHeight="false" outlineLevel="0" collapsed="false">
      <c r="A119" s="44"/>
      <c r="B119" s="44"/>
      <c r="C119" s="44"/>
      <c r="D119" s="44"/>
      <c r="E119" s="45"/>
      <c r="F119" s="45"/>
      <c r="G119" s="44"/>
      <c r="H119" s="44"/>
      <c r="I119" s="44"/>
      <c r="J119" s="44"/>
      <c r="K119" s="44"/>
      <c r="L119" s="44"/>
      <c r="M119" s="46"/>
      <c r="N119" s="47"/>
      <c r="O119" s="48"/>
    </row>
    <row r="120" customFormat="false" ht="14.25" hidden="false" customHeight="false" outlineLevel="0" collapsed="false">
      <c r="A120" s="44"/>
      <c r="B120" s="44"/>
      <c r="C120" s="44"/>
      <c r="D120" s="44"/>
      <c r="E120" s="45"/>
      <c r="F120" s="45"/>
      <c r="G120" s="44"/>
      <c r="H120" s="44"/>
      <c r="I120" s="44"/>
      <c r="J120" s="44"/>
      <c r="K120" s="44"/>
      <c r="L120" s="44"/>
      <c r="M120" s="46"/>
      <c r="N120" s="47"/>
      <c r="O120" s="48"/>
    </row>
    <row r="121" customFormat="false" ht="14.25" hidden="false" customHeight="false" outlineLevel="0" collapsed="false">
      <c r="A121" s="44"/>
      <c r="B121" s="44"/>
      <c r="C121" s="44"/>
      <c r="D121" s="44"/>
      <c r="E121" s="45"/>
      <c r="F121" s="45"/>
      <c r="G121" s="44"/>
      <c r="H121" s="44"/>
      <c r="I121" s="44"/>
      <c r="J121" s="44"/>
      <c r="K121" s="44"/>
      <c r="L121" s="44"/>
      <c r="M121" s="46"/>
      <c r="N121" s="47"/>
      <c r="O121" s="48"/>
    </row>
    <row r="122" customFormat="false" ht="14.25" hidden="false" customHeight="false" outlineLevel="0" collapsed="false">
      <c r="A122" s="44"/>
      <c r="B122" s="44"/>
      <c r="C122" s="44"/>
      <c r="D122" s="44"/>
      <c r="E122" s="45"/>
      <c r="F122" s="45"/>
      <c r="G122" s="44"/>
      <c r="H122" s="44"/>
      <c r="I122" s="44"/>
      <c r="J122" s="44"/>
      <c r="K122" s="44"/>
      <c r="L122" s="44"/>
      <c r="M122" s="46"/>
      <c r="N122" s="47"/>
      <c r="O122" s="48"/>
    </row>
    <row r="123" customFormat="false" ht="14.25" hidden="false" customHeight="false" outlineLevel="0" collapsed="false">
      <c r="A123" s="44"/>
      <c r="B123" s="44"/>
      <c r="C123" s="44"/>
      <c r="D123" s="44"/>
      <c r="E123" s="45"/>
      <c r="F123" s="45"/>
      <c r="G123" s="44"/>
      <c r="H123" s="44"/>
      <c r="I123" s="44"/>
      <c r="J123" s="44"/>
      <c r="K123" s="44"/>
      <c r="L123" s="44"/>
      <c r="M123" s="46"/>
      <c r="N123" s="47"/>
      <c r="O123" s="48"/>
    </row>
    <row r="124" customFormat="false" ht="14.25" hidden="false" customHeight="false" outlineLevel="0" collapsed="false">
      <c r="A124" s="44"/>
      <c r="B124" s="44"/>
      <c r="C124" s="44"/>
      <c r="D124" s="44"/>
      <c r="E124" s="45"/>
      <c r="F124" s="45"/>
      <c r="G124" s="44"/>
      <c r="H124" s="44"/>
      <c r="I124" s="44"/>
      <c r="J124" s="44"/>
      <c r="K124" s="44"/>
      <c r="L124" s="44"/>
      <c r="M124" s="46"/>
      <c r="N124" s="47"/>
      <c r="O124" s="48"/>
    </row>
    <row r="125" customFormat="false" ht="14.25" hidden="false" customHeight="false" outlineLevel="0" collapsed="false">
      <c r="A125" s="44"/>
      <c r="B125" s="44"/>
      <c r="C125" s="44"/>
      <c r="D125" s="44"/>
      <c r="E125" s="45"/>
      <c r="F125" s="45"/>
      <c r="G125" s="44"/>
      <c r="H125" s="44"/>
      <c r="I125" s="44"/>
      <c r="J125" s="44"/>
      <c r="K125" s="44"/>
      <c r="L125" s="44"/>
      <c r="M125" s="46"/>
      <c r="N125" s="47"/>
      <c r="O125" s="48"/>
    </row>
    <row r="126" customFormat="false" ht="14.25" hidden="false" customHeight="false" outlineLevel="0" collapsed="false">
      <c r="A126" s="44"/>
      <c r="B126" s="44"/>
      <c r="C126" s="44"/>
      <c r="D126" s="44"/>
      <c r="E126" s="45"/>
      <c r="F126" s="45"/>
      <c r="G126" s="44"/>
      <c r="H126" s="44"/>
      <c r="I126" s="44"/>
      <c r="J126" s="44"/>
      <c r="K126" s="44"/>
      <c r="L126" s="44"/>
      <c r="M126" s="46"/>
      <c r="N126" s="47"/>
      <c r="O126" s="48"/>
    </row>
    <row r="127" customFormat="false" ht="14.25" hidden="false" customHeight="false" outlineLevel="0" collapsed="false">
      <c r="A127" s="44"/>
      <c r="B127" s="44"/>
      <c r="C127" s="44"/>
      <c r="D127" s="44"/>
      <c r="E127" s="45"/>
      <c r="F127" s="45"/>
      <c r="G127" s="44"/>
      <c r="H127" s="44"/>
      <c r="I127" s="44"/>
      <c r="J127" s="44"/>
      <c r="K127" s="44"/>
      <c r="L127" s="44"/>
      <c r="M127" s="46"/>
      <c r="N127" s="47"/>
      <c r="O127" s="48"/>
    </row>
    <row r="128" customFormat="false" ht="14.25" hidden="false" customHeight="false" outlineLevel="0" collapsed="false">
      <c r="A128" s="44"/>
      <c r="B128" s="44"/>
      <c r="C128" s="44"/>
      <c r="D128" s="44"/>
      <c r="E128" s="45"/>
      <c r="F128" s="45"/>
      <c r="G128" s="44"/>
      <c r="H128" s="44"/>
      <c r="I128" s="44"/>
      <c r="J128" s="44"/>
      <c r="K128" s="44"/>
      <c r="L128" s="44"/>
      <c r="M128" s="46"/>
      <c r="N128" s="47"/>
      <c r="O128" s="48"/>
    </row>
    <row r="129" customFormat="false" ht="14.25" hidden="false" customHeight="false" outlineLevel="0" collapsed="false">
      <c r="A129" s="44"/>
      <c r="B129" s="44"/>
      <c r="C129" s="44"/>
      <c r="D129" s="44"/>
      <c r="E129" s="45"/>
      <c r="F129" s="45"/>
      <c r="G129" s="44"/>
      <c r="H129" s="44"/>
      <c r="I129" s="44"/>
      <c r="J129" s="44"/>
      <c r="K129" s="44"/>
      <c r="L129" s="44"/>
      <c r="M129" s="46"/>
      <c r="N129" s="47"/>
      <c r="O129" s="48"/>
    </row>
    <row r="130" customFormat="false" ht="14.25" hidden="false" customHeight="false" outlineLevel="0" collapsed="false">
      <c r="A130" s="44"/>
      <c r="B130" s="44"/>
      <c r="C130" s="44"/>
      <c r="D130" s="44"/>
      <c r="E130" s="45"/>
      <c r="F130" s="45"/>
      <c r="G130" s="44"/>
      <c r="H130" s="44"/>
      <c r="I130" s="44"/>
      <c r="J130" s="44"/>
      <c r="K130" s="44"/>
      <c r="L130" s="44"/>
      <c r="M130" s="46"/>
      <c r="N130" s="47"/>
      <c r="O130" s="48"/>
    </row>
    <row r="131" customFormat="false" ht="14.25" hidden="false" customHeight="false" outlineLevel="0" collapsed="false">
      <c r="A131" s="44"/>
      <c r="B131" s="44"/>
      <c r="C131" s="44"/>
      <c r="D131" s="44"/>
      <c r="E131" s="45"/>
      <c r="F131" s="45"/>
      <c r="G131" s="44"/>
      <c r="H131" s="44"/>
      <c r="I131" s="44"/>
      <c r="J131" s="44"/>
      <c r="K131" s="44"/>
      <c r="L131" s="44"/>
      <c r="M131" s="46"/>
      <c r="N131" s="47"/>
      <c r="O131" s="48"/>
    </row>
    <row r="132" customFormat="false" ht="14.25" hidden="false" customHeight="false" outlineLevel="0" collapsed="false">
      <c r="A132" s="44"/>
      <c r="B132" s="44"/>
      <c r="C132" s="44"/>
      <c r="D132" s="44"/>
      <c r="E132" s="45"/>
      <c r="F132" s="45"/>
      <c r="G132" s="44"/>
      <c r="H132" s="44"/>
      <c r="I132" s="44"/>
      <c r="J132" s="44"/>
      <c r="K132" s="44"/>
      <c r="L132" s="44"/>
      <c r="M132" s="46"/>
      <c r="N132" s="47"/>
      <c r="O132" s="48"/>
    </row>
    <row r="133" customFormat="false" ht="14.25" hidden="false" customHeight="false" outlineLevel="0" collapsed="false">
      <c r="A133" s="44"/>
      <c r="B133" s="44"/>
      <c r="C133" s="44"/>
      <c r="D133" s="44"/>
      <c r="E133" s="45"/>
      <c r="F133" s="45"/>
      <c r="G133" s="44"/>
      <c r="H133" s="44"/>
      <c r="I133" s="44"/>
      <c r="J133" s="44"/>
      <c r="K133" s="44"/>
      <c r="L133" s="44"/>
      <c r="M133" s="46"/>
      <c r="N133" s="47"/>
      <c r="O133" s="48"/>
    </row>
    <row r="134" customFormat="false" ht="14.25" hidden="false" customHeight="false" outlineLevel="0" collapsed="false">
      <c r="A134" s="44"/>
      <c r="B134" s="44"/>
      <c r="C134" s="44"/>
      <c r="D134" s="44"/>
      <c r="E134" s="45"/>
      <c r="F134" s="45"/>
      <c r="G134" s="44"/>
      <c r="H134" s="44"/>
      <c r="I134" s="44"/>
      <c r="J134" s="44"/>
      <c r="K134" s="44"/>
      <c r="L134" s="44"/>
      <c r="M134" s="46"/>
      <c r="N134" s="47"/>
      <c r="O134" s="48"/>
    </row>
    <row r="135" customFormat="false" ht="14.25" hidden="false" customHeight="false" outlineLevel="0" collapsed="false">
      <c r="A135" s="44"/>
      <c r="B135" s="44"/>
      <c r="C135" s="44"/>
      <c r="D135" s="44"/>
      <c r="E135" s="45"/>
      <c r="F135" s="45"/>
      <c r="G135" s="44"/>
      <c r="H135" s="44"/>
      <c r="I135" s="44"/>
      <c r="J135" s="44"/>
      <c r="K135" s="44"/>
      <c r="L135" s="44"/>
      <c r="M135" s="46"/>
      <c r="N135" s="47"/>
      <c r="O135" s="48"/>
    </row>
    <row r="136" customFormat="false" ht="14.25" hidden="false" customHeight="false" outlineLevel="0" collapsed="false">
      <c r="A136" s="44"/>
      <c r="B136" s="44"/>
      <c r="C136" s="44"/>
      <c r="D136" s="44"/>
      <c r="E136" s="45"/>
      <c r="F136" s="45"/>
      <c r="G136" s="44"/>
      <c r="H136" s="44"/>
      <c r="I136" s="44"/>
      <c r="J136" s="44"/>
      <c r="K136" s="44"/>
      <c r="L136" s="44"/>
      <c r="M136" s="46"/>
      <c r="N136" s="47"/>
      <c r="O136" s="48"/>
    </row>
    <row r="137" customFormat="false" ht="14.25" hidden="false" customHeight="false" outlineLevel="0" collapsed="false">
      <c r="A137" s="44"/>
      <c r="B137" s="44"/>
      <c r="C137" s="44"/>
      <c r="D137" s="44"/>
      <c r="E137" s="45"/>
      <c r="F137" s="45"/>
      <c r="G137" s="44"/>
      <c r="H137" s="44"/>
      <c r="I137" s="44"/>
      <c r="J137" s="44"/>
      <c r="K137" s="44"/>
      <c r="L137" s="44"/>
      <c r="M137" s="46"/>
      <c r="N137" s="47"/>
      <c r="O137" s="48"/>
    </row>
    <row r="138" customFormat="false" ht="14.25" hidden="false" customHeight="false" outlineLevel="0" collapsed="false">
      <c r="A138" s="44"/>
      <c r="B138" s="44"/>
      <c r="C138" s="44"/>
      <c r="D138" s="44"/>
      <c r="E138" s="45"/>
      <c r="F138" s="45"/>
      <c r="G138" s="44"/>
      <c r="H138" s="44"/>
      <c r="I138" s="44"/>
      <c r="J138" s="44"/>
      <c r="K138" s="44"/>
      <c r="L138" s="44"/>
      <c r="M138" s="46"/>
      <c r="N138" s="47"/>
      <c r="O138" s="48"/>
    </row>
    <row r="139" customFormat="false" ht="14.25" hidden="false" customHeight="false" outlineLevel="0" collapsed="false">
      <c r="A139" s="44"/>
      <c r="B139" s="44"/>
      <c r="C139" s="44"/>
      <c r="D139" s="44"/>
      <c r="E139" s="45"/>
      <c r="F139" s="45"/>
      <c r="G139" s="44"/>
      <c r="H139" s="44"/>
      <c r="I139" s="44"/>
      <c r="J139" s="44"/>
      <c r="K139" s="44"/>
      <c r="L139" s="44"/>
      <c r="M139" s="46"/>
      <c r="N139" s="47"/>
      <c r="O139" s="48"/>
    </row>
    <row r="140" customFormat="false" ht="14.25" hidden="false" customHeight="false" outlineLevel="0" collapsed="false">
      <c r="A140" s="44"/>
      <c r="B140" s="44"/>
      <c r="C140" s="44"/>
      <c r="D140" s="44"/>
      <c r="E140" s="45"/>
      <c r="F140" s="45"/>
      <c r="G140" s="44"/>
      <c r="H140" s="44"/>
      <c r="I140" s="44"/>
      <c r="J140" s="44"/>
      <c r="K140" s="44"/>
      <c r="L140" s="44"/>
      <c r="M140" s="46"/>
      <c r="N140" s="47"/>
      <c r="O140" s="48"/>
    </row>
    <row r="141" customFormat="false" ht="14.25" hidden="false" customHeight="false" outlineLevel="0" collapsed="false">
      <c r="A141" s="44"/>
      <c r="B141" s="44"/>
      <c r="C141" s="44"/>
      <c r="D141" s="44"/>
      <c r="E141" s="45"/>
      <c r="F141" s="45"/>
      <c r="G141" s="44"/>
      <c r="H141" s="44"/>
      <c r="I141" s="44"/>
      <c r="J141" s="44"/>
      <c r="K141" s="44"/>
      <c r="L141" s="44"/>
      <c r="M141" s="46"/>
      <c r="N141" s="47"/>
      <c r="O141" s="48"/>
    </row>
    <row r="142" customFormat="false" ht="14.25" hidden="false" customHeight="false" outlineLevel="0" collapsed="false">
      <c r="A142" s="44"/>
      <c r="B142" s="44"/>
      <c r="C142" s="44"/>
      <c r="D142" s="44"/>
      <c r="E142" s="45"/>
      <c r="F142" s="45"/>
      <c r="G142" s="44"/>
      <c r="H142" s="44"/>
      <c r="I142" s="44"/>
      <c r="J142" s="44"/>
      <c r="K142" s="44"/>
      <c r="L142" s="44"/>
      <c r="M142" s="46"/>
      <c r="N142" s="47"/>
      <c r="O142" s="48"/>
    </row>
    <row r="143" customFormat="false" ht="14.25" hidden="false" customHeight="false" outlineLevel="0" collapsed="false">
      <c r="A143" s="44"/>
      <c r="B143" s="44"/>
      <c r="C143" s="44"/>
      <c r="D143" s="44"/>
      <c r="E143" s="45"/>
      <c r="F143" s="45"/>
      <c r="G143" s="44"/>
      <c r="H143" s="44"/>
      <c r="I143" s="44"/>
      <c r="J143" s="44"/>
      <c r="K143" s="44"/>
      <c r="L143" s="44"/>
      <c r="M143" s="46"/>
      <c r="N143" s="47"/>
      <c r="O143" s="48"/>
    </row>
    <row r="144" customFormat="false" ht="14.25" hidden="false" customHeight="false" outlineLevel="0" collapsed="false">
      <c r="A144" s="44"/>
      <c r="B144" s="44"/>
      <c r="C144" s="44"/>
      <c r="D144" s="44"/>
      <c r="E144" s="45"/>
      <c r="F144" s="45"/>
      <c r="G144" s="44"/>
      <c r="H144" s="44"/>
      <c r="I144" s="44"/>
      <c r="J144" s="44"/>
      <c r="K144" s="44"/>
      <c r="L144" s="44"/>
      <c r="M144" s="46"/>
      <c r="N144" s="47"/>
      <c r="O144" s="48"/>
    </row>
    <row r="145" customFormat="false" ht="14.25" hidden="false" customHeight="false" outlineLevel="0" collapsed="false">
      <c r="A145" s="44"/>
      <c r="B145" s="44"/>
      <c r="C145" s="44"/>
      <c r="D145" s="44"/>
      <c r="E145" s="45"/>
      <c r="F145" s="45"/>
      <c r="G145" s="44"/>
      <c r="H145" s="44"/>
      <c r="I145" s="44"/>
      <c r="J145" s="44"/>
      <c r="K145" s="44"/>
      <c r="L145" s="44"/>
      <c r="M145" s="46"/>
      <c r="N145" s="47"/>
      <c r="O145" s="48"/>
    </row>
    <row r="146" customFormat="false" ht="14.25" hidden="false" customHeight="false" outlineLevel="0" collapsed="false">
      <c r="A146" s="44"/>
      <c r="B146" s="44"/>
      <c r="C146" s="44"/>
      <c r="D146" s="44"/>
      <c r="E146" s="45"/>
      <c r="F146" s="45"/>
      <c r="G146" s="44"/>
      <c r="H146" s="44"/>
      <c r="I146" s="44"/>
      <c r="J146" s="44"/>
      <c r="K146" s="44"/>
      <c r="L146" s="44"/>
      <c r="M146" s="46"/>
      <c r="N146" s="47"/>
      <c r="O146" s="48"/>
    </row>
    <row r="147" customFormat="false" ht="14.25" hidden="false" customHeight="false" outlineLevel="0" collapsed="false">
      <c r="A147" s="44"/>
      <c r="B147" s="44"/>
      <c r="C147" s="44"/>
      <c r="D147" s="44"/>
      <c r="E147" s="45"/>
      <c r="F147" s="45"/>
      <c r="G147" s="44"/>
      <c r="H147" s="44"/>
      <c r="I147" s="44"/>
      <c r="J147" s="44"/>
      <c r="K147" s="44"/>
      <c r="L147" s="44"/>
      <c r="M147" s="46"/>
      <c r="N147" s="47"/>
      <c r="O147" s="48"/>
    </row>
    <row r="148" customFormat="false" ht="14.25" hidden="false" customHeight="false" outlineLevel="0" collapsed="false">
      <c r="A148" s="44"/>
      <c r="B148" s="44"/>
      <c r="C148" s="44"/>
      <c r="D148" s="44"/>
      <c r="E148" s="45"/>
      <c r="F148" s="45"/>
      <c r="G148" s="44"/>
      <c r="H148" s="44"/>
      <c r="I148" s="44"/>
      <c r="J148" s="44"/>
      <c r="K148" s="44"/>
      <c r="L148" s="44"/>
      <c r="M148" s="46"/>
      <c r="N148" s="47"/>
      <c r="O148" s="48"/>
    </row>
    <row r="149" customFormat="false" ht="14.25" hidden="false" customHeight="false" outlineLevel="0" collapsed="false">
      <c r="A149" s="44"/>
      <c r="B149" s="44"/>
      <c r="C149" s="44"/>
      <c r="D149" s="44"/>
      <c r="E149" s="45"/>
      <c r="F149" s="45"/>
      <c r="G149" s="44"/>
      <c r="H149" s="44"/>
      <c r="I149" s="44"/>
      <c r="J149" s="44"/>
      <c r="K149" s="44"/>
      <c r="L149" s="44"/>
      <c r="M149" s="46"/>
      <c r="N149" s="47"/>
      <c r="O149" s="48"/>
    </row>
    <row r="150" customFormat="false" ht="14.25" hidden="false" customHeight="false" outlineLevel="0" collapsed="false">
      <c r="A150" s="44"/>
      <c r="B150" s="44"/>
      <c r="C150" s="44"/>
      <c r="D150" s="44"/>
      <c r="E150" s="45"/>
      <c r="F150" s="45"/>
      <c r="G150" s="44"/>
      <c r="H150" s="44"/>
      <c r="I150" s="44"/>
      <c r="J150" s="44"/>
      <c r="K150" s="44"/>
      <c r="L150" s="44"/>
      <c r="M150" s="46"/>
      <c r="N150" s="47"/>
      <c r="O150" s="48"/>
    </row>
    <row r="151" customFormat="false" ht="14.25" hidden="false" customHeight="false" outlineLevel="0" collapsed="false">
      <c r="A151" s="44"/>
      <c r="B151" s="44"/>
      <c r="C151" s="44"/>
      <c r="D151" s="44"/>
      <c r="E151" s="45"/>
      <c r="F151" s="45"/>
      <c r="G151" s="44"/>
      <c r="H151" s="44"/>
      <c r="I151" s="44"/>
      <c r="J151" s="44"/>
      <c r="K151" s="44"/>
      <c r="L151" s="44"/>
      <c r="M151" s="46"/>
      <c r="N151" s="47"/>
      <c r="O151" s="48"/>
    </row>
    <row r="152" customFormat="false" ht="14.25" hidden="false" customHeight="false" outlineLevel="0" collapsed="false">
      <c r="A152" s="44"/>
      <c r="B152" s="44"/>
      <c r="C152" s="44"/>
      <c r="D152" s="44"/>
      <c r="E152" s="45"/>
      <c r="F152" s="45"/>
      <c r="G152" s="44"/>
      <c r="H152" s="44"/>
      <c r="I152" s="44"/>
      <c r="J152" s="44"/>
      <c r="K152" s="44"/>
      <c r="L152" s="44"/>
      <c r="M152" s="46"/>
      <c r="N152" s="47"/>
      <c r="O152" s="48"/>
    </row>
    <row r="153" customFormat="false" ht="14.25" hidden="false" customHeight="false" outlineLevel="0" collapsed="false">
      <c r="A153" s="44"/>
      <c r="B153" s="44"/>
      <c r="C153" s="44"/>
      <c r="D153" s="44"/>
      <c r="E153" s="45"/>
      <c r="F153" s="45"/>
      <c r="G153" s="44"/>
      <c r="H153" s="44"/>
      <c r="I153" s="44"/>
      <c r="J153" s="44"/>
      <c r="K153" s="44"/>
      <c r="L153" s="44"/>
      <c r="M153" s="46"/>
      <c r="N153" s="47"/>
      <c r="O153" s="48"/>
    </row>
    <row r="154" customFormat="false" ht="14.25" hidden="false" customHeight="false" outlineLevel="0" collapsed="false">
      <c r="A154" s="44"/>
      <c r="B154" s="44"/>
      <c r="C154" s="44"/>
      <c r="D154" s="44"/>
      <c r="E154" s="45"/>
      <c r="F154" s="45"/>
      <c r="G154" s="44"/>
      <c r="H154" s="44"/>
      <c r="I154" s="44"/>
      <c r="J154" s="44"/>
      <c r="K154" s="44"/>
      <c r="L154" s="44"/>
      <c r="M154" s="46"/>
      <c r="N154" s="47"/>
      <c r="O154" s="48"/>
    </row>
    <row r="155" customFormat="false" ht="14.25" hidden="false" customHeight="false" outlineLevel="0" collapsed="false">
      <c r="A155" s="44"/>
      <c r="B155" s="44"/>
      <c r="C155" s="44"/>
      <c r="D155" s="44"/>
      <c r="E155" s="45"/>
      <c r="F155" s="45"/>
      <c r="G155" s="44"/>
      <c r="H155" s="44"/>
      <c r="I155" s="44"/>
      <c r="J155" s="44"/>
      <c r="K155" s="44"/>
      <c r="L155" s="44"/>
      <c r="M155" s="46"/>
      <c r="N155" s="47"/>
      <c r="O155" s="48"/>
    </row>
    <row r="156" customFormat="false" ht="14.25" hidden="false" customHeight="false" outlineLevel="0" collapsed="false">
      <c r="A156" s="44"/>
      <c r="B156" s="44"/>
      <c r="C156" s="44"/>
      <c r="D156" s="44"/>
      <c r="E156" s="45"/>
      <c r="F156" s="45"/>
      <c r="G156" s="44"/>
      <c r="H156" s="44"/>
      <c r="I156" s="44"/>
      <c r="J156" s="44"/>
      <c r="K156" s="44"/>
      <c r="L156" s="44"/>
      <c r="M156" s="46"/>
      <c r="N156" s="47"/>
      <c r="O156" s="48"/>
    </row>
    <row r="157" customFormat="false" ht="14.25" hidden="false" customHeight="false" outlineLevel="0" collapsed="false">
      <c r="A157" s="44"/>
      <c r="B157" s="44"/>
      <c r="C157" s="44"/>
      <c r="D157" s="44"/>
      <c r="E157" s="45"/>
      <c r="F157" s="45"/>
      <c r="G157" s="44"/>
      <c r="H157" s="44"/>
      <c r="I157" s="44"/>
      <c r="J157" s="44"/>
      <c r="K157" s="44"/>
      <c r="L157" s="44"/>
      <c r="M157" s="46"/>
      <c r="N157" s="47"/>
      <c r="O157" s="48"/>
    </row>
    <row r="158" customFormat="false" ht="14.25" hidden="false" customHeight="false" outlineLevel="0" collapsed="false">
      <c r="A158" s="44"/>
      <c r="B158" s="44"/>
      <c r="C158" s="44"/>
      <c r="D158" s="44"/>
      <c r="E158" s="45"/>
      <c r="F158" s="45"/>
      <c r="G158" s="44"/>
      <c r="H158" s="44"/>
      <c r="I158" s="44"/>
      <c r="J158" s="44"/>
      <c r="K158" s="44"/>
      <c r="L158" s="44"/>
      <c r="M158" s="46"/>
      <c r="N158" s="47"/>
      <c r="O158" s="48"/>
    </row>
    <row r="159" customFormat="false" ht="14.25" hidden="false" customHeight="false" outlineLevel="0" collapsed="false">
      <c r="A159" s="44"/>
      <c r="B159" s="44"/>
      <c r="C159" s="44"/>
      <c r="D159" s="44"/>
      <c r="E159" s="45"/>
      <c r="F159" s="45"/>
      <c r="G159" s="44"/>
      <c r="H159" s="44"/>
      <c r="I159" s="44"/>
      <c r="J159" s="44"/>
      <c r="K159" s="44"/>
      <c r="L159" s="44"/>
      <c r="M159" s="46"/>
      <c r="N159" s="47"/>
      <c r="O159" s="48"/>
    </row>
    <row r="160" customFormat="false" ht="14.25" hidden="false" customHeight="false" outlineLevel="0" collapsed="false">
      <c r="A160" s="44"/>
      <c r="B160" s="44"/>
      <c r="C160" s="44"/>
      <c r="D160" s="44"/>
      <c r="E160" s="45"/>
      <c r="F160" s="45"/>
      <c r="G160" s="44"/>
      <c r="H160" s="44"/>
      <c r="I160" s="44"/>
      <c r="J160" s="44"/>
      <c r="K160" s="44"/>
      <c r="L160" s="44"/>
      <c r="M160" s="46"/>
      <c r="N160" s="47"/>
      <c r="O160" s="48"/>
    </row>
    <row r="161" customFormat="false" ht="14.25" hidden="false" customHeight="false" outlineLevel="0" collapsed="false">
      <c r="A161" s="44"/>
      <c r="B161" s="44"/>
      <c r="C161" s="44"/>
      <c r="D161" s="44"/>
      <c r="E161" s="45"/>
      <c r="F161" s="45"/>
      <c r="G161" s="44"/>
      <c r="H161" s="44"/>
      <c r="I161" s="44"/>
      <c r="J161" s="44"/>
      <c r="K161" s="44"/>
      <c r="L161" s="44"/>
      <c r="M161" s="46"/>
      <c r="N161" s="47"/>
      <c r="O161" s="48"/>
    </row>
    <row r="162" customFormat="false" ht="14.25" hidden="false" customHeight="false" outlineLevel="0" collapsed="false">
      <c r="A162" s="44"/>
      <c r="B162" s="44"/>
      <c r="C162" s="44"/>
      <c r="D162" s="44"/>
      <c r="E162" s="45"/>
      <c r="F162" s="45"/>
      <c r="G162" s="44"/>
      <c r="H162" s="44"/>
      <c r="I162" s="44"/>
      <c r="J162" s="44"/>
      <c r="K162" s="44"/>
      <c r="L162" s="44"/>
      <c r="M162" s="46"/>
      <c r="N162" s="47"/>
      <c r="O162" s="48"/>
    </row>
    <row r="163" customFormat="false" ht="14.25" hidden="false" customHeight="false" outlineLevel="0" collapsed="false">
      <c r="A163" s="44"/>
      <c r="B163" s="44"/>
      <c r="C163" s="44"/>
      <c r="D163" s="44"/>
      <c r="E163" s="45"/>
      <c r="F163" s="45"/>
      <c r="G163" s="44"/>
      <c r="H163" s="44"/>
      <c r="I163" s="44"/>
      <c r="J163" s="44"/>
      <c r="K163" s="44"/>
      <c r="L163" s="44"/>
      <c r="M163" s="46"/>
      <c r="N163" s="47"/>
      <c r="O163" s="48"/>
    </row>
    <row r="164" customFormat="false" ht="14.25" hidden="false" customHeight="false" outlineLevel="0" collapsed="false">
      <c r="A164" s="44"/>
      <c r="B164" s="44"/>
      <c r="C164" s="44"/>
      <c r="D164" s="44"/>
      <c r="E164" s="45"/>
      <c r="F164" s="45"/>
      <c r="G164" s="44"/>
      <c r="H164" s="44"/>
      <c r="I164" s="44"/>
      <c r="J164" s="44"/>
      <c r="K164" s="44"/>
      <c r="L164" s="44"/>
      <c r="M164" s="46"/>
      <c r="N164" s="47"/>
      <c r="O164" s="48"/>
    </row>
    <row r="165" customFormat="false" ht="14.25" hidden="false" customHeight="false" outlineLevel="0" collapsed="false">
      <c r="A165" s="44"/>
      <c r="B165" s="44"/>
      <c r="C165" s="44"/>
      <c r="D165" s="44"/>
      <c r="E165" s="45"/>
      <c r="F165" s="45"/>
      <c r="G165" s="44"/>
      <c r="H165" s="44"/>
      <c r="I165" s="44"/>
      <c r="J165" s="44"/>
      <c r="K165" s="44"/>
      <c r="L165" s="44"/>
      <c r="M165" s="46"/>
      <c r="N165" s="47"/>
      <c r="O165" s="48"/>
    </row>
    <row r="166" customFormat="false" ht="14.25" hidden="false" customHeight="false" outlineLevel="0" collapsed="false">
      <c r="A166" s="44"/>
      <c r="B166" s="44"/>
      <c r="C166" s="44"/>
      <c r="D166" s="44"/>
      <c r="E166" s="45"/>
      <c r="F166" s="45"/>
      <c r="G166" s="44"/>
      <c r="H166" s="44"/>
      <c r="I166" s="44"/>
      <c r="J166" s="44"/>
      <c r="K166" s="44"/>
      <c r="L166" s="44"/>
      <c r="M166" s="46"/>
      <c r="N166" s="47"/>
      <c r="O166" s="48"/>
    </row>
    <row r="167" customFormat="false" ht="14.25" hidden="false" customHeight="false" outlineLevel="0" collapsed="false">
      <c r="A167" s="44"/>
      <c r="B167" s="44"/>
      <c r="C167" s="44"/>
      <c r="D167" s="44"/>
      <c r="E167" s="45"/>
      <c r="F167" s="45"/>
      <c r="G167" s="44"/>
      <c r="H167" s="44"/>
      <c r="I167" s="44"/>
      <c r="J167" s="44"/>
      <c r="K167" s="44"/>
      <c r="L167" s="44"/>
      <c r="M167" s="46"/>
      <c r="N167" s="47"/>
      <c r="O167" s="48"/>
    </row>
    <row r="168" customFormat="false" ht="14.25" hidden="false" customHeight="false" outlineLevel="0" collapsed="false">
      <c r="A168" s="44"/>
      <c r="B168" s="44"/>
      <c r="C168" s="44"/>
      <c r="D168" s="44"/>
      <c r="E168" s="45"/>
      <c r="F168" s="45"/>
      <c r="G168" s="44"/>
      <c r="H168" s="44"/>
      <c r="I168" s="44"/>
      <c r="J168" s="44"/>
      <c r="K168" s="44"/>
      <c r="L168" s="44"/>
      <c r="M168" s="46"/>
      <c r="N168" s="47"/>
      <c r="O168" s="48"/>
    </row>
    <row r="169" customFormat="false" ht="14.25" hidden="false" customHeight="false" outlineLevel="0" collapsed="false">
      <c r="A169" s="44"/>
      <c r="B169" s="44"/>
      <c r="C169" s="44"/>
      <c r="D169" s="44"/>
      <c r="E169" s="45"/>
      <c r="F169" s="45"/>
      <c r="G169" s="44"/>
      <c r="H169" s="44"/>
      <c r="I169" s="44"/>
      <c r="J169" s="44"/>
      <c r="K169" s="44"/>
      <c r="L169" s="44"/>
      <c r="M169" s="46"/>
      <c r="N169" s="47"/>
      <c r="O169" s="48"/>
    </row>
    <row r="170" customFormat="false" ht="14.25" hidden="false" customHeight="false" outlineLevel="0" collapsed="false">
      <c r="A170" s="44"/>
      <c r="B170" s="44"/>
      <c r="C170" s="44"/>
      <c r="D170" s="44"/>
      <c r="E170" s="45"/>
      <c r="F170" s="45"/>
      <c r="G170" s="44"/>
      <c r="H170" s="44"/>
      <c r="I170" s="44"/>
      <c r="J170" s="44"/>
      <c r="K170" s="44"/>
      <c r="L170" s="44"/>
      <c r="M170" s="46"/>
      <c r="N170" s="47"/>
      <c r="O170" s="48"/>
    </row>
    <row r="171" customFormat="false" ht="14.25" hidden="false" customHeight="false" outlineLevel="0" collapsed="false">
      <c r="A171" s="44"/>
      <c r="B171" s="44"/>
      <c r="C171" s="44"/>
      <c r="D171" s="44"/>
      <c r="E171" s="45"/>
      <c r="F171" s="45"/>
      <c r="G171" s="44"/>
      <c r="H171" s="44"/>
      <c r="I171" s="44"/>
      <c r="J171" s="44"/>
      <c r="K171" s="44"/>
      <c r="L171" s="44"/>
      <c r="M171" s="46"/>
      <c r="N171" s="47"/>
      <c r="O171" s="48"/>
    </row>
    <row r="172" customFormat="false" ht="14.25" hidden="false" customHeight="false" outlineLevel="0" collapsed="false">
      <c r="A172" s="44"/>
      <c r="B172" s="44"/>
      <c r="C172" s="44"/>
      <c r="D172" s="44"/>
      <c r="E172" s="45"/>
      <c r="F172" s="45"/>
      <c r="G172" s="44"/>
      <c r="H172" s="44"/>
      <c r="I172" s="44"/>
      <c r="J172" s="44"/>
      <c r="K172" s="44"/>
      <c r="L172" s="44"/>
      <c r="M172" s="46"/>
      <c r="N172" s="47"/>
      <c r="O172" s="48"/>
    </row>
    <row r="173" customFormat="false" ht="14.25" hidden="false" customHeight="false" outlineLevel="0" collapsed="false">
      <c r="A173" s="44"/>
      <c r="B173" s="44"/>
      <c r="C173" s="44"/>
      <c r="D173" s="44"/>
      <c r="E173" s="45"/>
      <c r="F173" s="45"/>
      <c r="G173" s="44"/>
      <c r="H173" s="44"/>
      <c r="I173" s="44"/>
      <c r="J173" s="44"/>
      <c r="K173" s="44"/>
      <c r="L173" s="44"/>
      <c r="M173" s="46"/>
      <c r="N173" s="47"/>
      <c r="O173" s="48"/>
    </row>
    <row r="174" customFormat="false" ht="14.25" hidden="false" customHeight="false" outlineLevel="0" collapsed="false">
      <c r="A174" s="44"/>
      <c r="B174" s="44"/>
      <c r="C174" s="44"/>
      <c r="D174" s="44"/>
      <c r="E174" s="45"/>
      <c r="F174" s="45"/>
      <c r="G174" s="44"/>
      <c r="H174" s="44"/>
      <c r="I174" s="44"/>
      <c r="J174" s="44"/>
      <c r="K174" s="44"/>
      <c r="L174" s="44"/>
      <c r="M174" s="46"/>
      <c r="N174" s="47"/>
      <c r="O174" s="48"/>
    </row>
    <row r="175" customFormat="false" ht="14.25" hidden="false" customHeight="false" outlineLevel="0" collapsed="false">
      <c r="A175" s="44"/>
      <c r="B175" s="44"/>
      <c r="C175" s="44"/>
      <c r="D175" s="44"/>
      <c r="E175" s="45"/>
      <c r="F175" s="45"/>
      <c r="G175" s="44"/>
      <c r="H175" s="44"/>
      <c r="I175" s="44"/>
      <c r="J175" s="44"/>
      <c r="K175" s="44"/>
      <c r="L175" s="44"/>
      <c r="M175" s="46"/>
      <c r="N175" s="47"/>
      <c r="O175" s="48"/>
    </row>
  </sheetData>
  <conditionalFormatting sqref="H2:H175">
    <cfRule type="duplicateValues" priority="2" aboveAverage="0" equalAverage="0" bottom="0" percent="0" rank="0" text="" dxfId="5"/>
    <cfRule type="duplicateValues" priority="3" aboveAverage="0" equalAverage="0" bottom="0" percent="0" rank="0" text="" dxfId="6"/>
    <cfRule type="duplicateValues" priority="4" aboveAverage="0" equalAverage="0" bottom="0" percent="0" rank="0" text="" dxfId="7"/>
  </conditionalFormatting>
  <conditionalFormatting sqref="G2:G175">
    <cfRule type="duplicateValues" priority="5" aboveAverage="0" equalAverage="0" bottom="0" percent="0" rank="0" text="" dxfId="8"/>
  </conditionalFormatting>
  <conditionalFormatting sqref="G1">
    <cfRule type="duplicateValues" priority="6" aboveAverage="0" equalAverage="0" bottom="0" percent="0" rank="0" text="" dxfId="9"/>
  </conditionalFormatting>
  <conditionalFormatting sqref="H1">
    <cfRule type="duplicateValues" priority="7" aboveAverage="0" equalAverage="0" bottom="0" percent="0" rank="0" text="" dxfId="10"/>
    <cfRule type="duplicateValues" priority="8" aboveAverage="0" equalAverage="0" bottom="0" percent="0" rank="0" text="" dxfId="11"/>
    <cfRule type="duplicateValues" priority="9" aboveAverage="0" equalAverage="0" bottom="0" percent="0" rank="0" text="" dxfId="12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B8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49" width="9.36"/>
    <col collapsed="false" customWidth="true" hidden="false" outlineLevel="0" max="2" min="2" style="49" width="8.73"/>
    <col collapsed="false" customWidth="true" hidden="false" outlineLevel="0" max="3" min="3" style="49" width="18.37"/>
    <col collapsed="false" customWidth="true" hidden="false" outlineLevel="0" max="4" min="4" style="49" width="13.82"/>
    <col collapsed="false" customWidth="true" hidden="false" outlineLevel="0" max="5" min="5" style="49" width="15.18"/>
    <col collapsed="false" customWidth="true" hidden="false" outlineLevel="0" max="6" min="6" style="49" width="62.73"/>
    <col collapsed="false" customWidth="true" hidden="false" outlineLevel="0" max="7" min="7" style="49" width="10.54"/>
    <col collapsed="false" customWidth="true" hidden="false" outlineLevel="0" max="8" min="8" style="0" width="11.91"/>
    <col collapsed="false" customWidth="true" hidden="false" outlineLevel="0" max="9" min="9" style="0" width="13.27"/>
    <col collapsed="false" customWidth="true" hidden="false" outlineLevel="0" max="10" min="10" style="49" width="17.63"/>
    <col collapsed="false" customWidth="true" hidden="false" outlineLevel="0" max="11" min="11" style="49" width="10.45"/>
    <col collapsed="false" customWidth="true" hidden="false" outlineLevel="0" max="12" min="12" style="0" width="11.54"/>
    <col collapsed="false" customWidth="true" hidden="false" outlineLevel="0" max="13" min="13" style="0" width="18.73"/>
    <col collapsed="false" customWidth="true" hidden="false" outlineLevel="0" max="14" min="14" style="0" width="11.54"/>
    <col collapsed="false" customWidth="true" hidden="false" outlineLevel="0" max="15" min="15" style="0" width="16.09"/>
    <col collapsed="false" customWidth="true" hidden="false" outlineLevel="0" max="16" min="16" style="0" width="15.54"/>
    <col collapsed="false" customWidth="true" hidden="false" outlineLevel="0" max="17" min="17" style="0" width="18.09"/>
    <col collapsed="false" customWidth="true" hidden="false" outlineLevel="0" max="18" min="18" style="0" width="8.82"/>
    <col collapsed="false" customWidth="true" hidden="false" outlineLevel="0" max="19" min="19" style="0" width="12.9"/>
    <col collapsed="false" customWidth="true" hidden="false" outlineLevel="0" max="20" min="20" style="0" width="10.54"/>
    <col collapsed="false" customWidth="true" hidden="false" outlineLevel="0" max="21" min="21" style="0" width="18.54"/>
    <col collapsed="false" customWidth="true" hidden="false" outlineLevel="0" max="22" min="22" style="0" width="11.27"/>
    <col collapsed="false" customWidth="true" hidden="false" outlineLevel="0" max="23" min="23" style="0" width="15.45"/>
    <col collapsed="false" customWidth="true" hidden="false" outlineLevel="0" max="24" min="24" style="0" width="12.36"/>
    <col collapsed="false" customWidth="true" hidden="false" outlineLevel="0" max="26" min="25" style="0" width="9.82"/>
    <col collapsed="false" customWidth="true" hidden="false" outlineLevel="0" max="27" min="27" style="0" width="10"/>
    <col collapsed="false" customWidth="true" hidden="false" outlineLevel="0" max="28" min="28" style="0" width="9.73"/>
  </cols>
  <sheetData>
    <row r="1" customFormat="false" ht="14.25" hidden="false" customHeight="false" outlineLevel="0" collapsed="false">
      <c r="A1" s="50" t="s">
        <v>2040</v>
      </c>
      <c r="B1" s="50" t="s">
        <v>2</v>
      </c>
      <c r="C1" s="50" t="s">
        <v>2126</v>
      </c>
      <c r="D1" s="50" t="s">
        <v>2331</v>
      </c>
      <c r="E1" s="50" t="s">
        <v>2047</v>
      </c>
      <c r="F1" s="50" t="s">
        <v>2048</v>
      </c>
      <c r="G1" s="50" t="s">
        <v>2130</v>
      </c>
      <c r="H1" s="51" t="s">
        <v>2050</v>
      </c>
      <c r="I1" s="51" t="s">
        <v>2332</v>
      </c>
      <c r="J1" s="50" t="s">
        <v>2136</v>
      </c>
      <c r="K1" s="50" t="s">
        <v>2053</v>
      </c>
      <c r="L1" s="51" t="s">
        <v>2333</v>
      </c>
      <c r="M1" s="51" t="s">
        <v>2334</v>
      </c>
      <c r="N1" s="51" t="s">
        <v>2335</v>
      </c>
      <c r="O1" s="51" t="s">
        <v>2336</v>
      </c>
      <c r="P1" s="51" t="s">
        <v>2337</v>
      </c>
      <c r="Q1" s="51" t="s">
        <v>2338</v>
      </c>
      <c r="R1" s="51" t="s">
        <v>2339</v>
      </c>
      <c r="S1" s="51" t="s">
        <v>2340</v>
      </c>
      <c r="T1" s="51" t="s">
        <v>2341</v>
      </c>
      <c r="U1" s="51" t="s">
        <v>2342</v>
      </c>
      <c r="V1" s="51" t="s">
        <v>2129</v>
      </c>
      <c r="W1" s="51" t="s">
        <v>2343</v>
      </c>
      <c r="X1" s="51" t="s">
        <v>2344</v>
      </c>
      <c r="Y1" s="51" t="s">
        <v>2345</v>
      </c>
      <c r="Z1" s="51" t="s">
        <v>2346</v>
      </c>
      <c r="AA1" s="51" t="s">
        <v>2347</v>
      </c>
      <c r="AB1" s="51" t="s">
        <v>2348</v>
      </c>
    </row>
    <row r="2" customFormat="false" ht="14.25" hidden="true" customHeight="false" outlineLevel="0" collapsed="false">
      <c r="A2" s="49" t="s">
        <v>2349</v>
      </c>
      <c r="B2" s="49" t="s">
        <v>2350</v>
      </c>
      <c r="C2" s="49" t="s">
        <v>2351</v>
      </c>
      <c r="D2" s="49" t="s">
        <v>2352</v>
      </c>
      <c r="E2" s="49" t="s">
        <v>2353</v>
      </c>
      <c r="F2" s="49" t="s">
        <v>2354</v>
      </c>
      <c r="G2" s="49" t="n">
        <v>0</v>
      </c>
      <c r="H2" s="0" t="n">
        <v>0</v>
      </c>
      <c r="J2" s="49" t="str">
        <f aca="false">"123526"</f>
        <v>123526</v>
      </c>
      <c r="K2" s="52" t="n">
        <v>45737</v>
      </c>
      <c r="M2" s="51" t="s">
        <v>2355</v>
      </c>
      <c r="N2" s="49" t="n">
        <v>0</v>
      </c>
      <c r="O2" s="53" t="n">
        <v>45790.4282986111</v>
      </c>
      <c r="P2" s="53" t="n">
        <v>45859.6179976852</v>
      </c>
      <c r="R2" s="0" t="n">
        <v>0</v>
      </c>
      <c r="T2" s="51" t="s">
        <v>2356</v>
      </c>
      <c r="U2" s="51" t="s">
        <v>2353</v>
      </c>
      <c r="V2" s="51" t="s">
        <v>2357</v>
      </c>
      <c r="W2" s="51" t="s">
        <v>2358</v>
      </c>
      <c r="X2" s="51" t="s">
        <v>2359</v>
      </c>
    </row>
    <row r="3" customFormat="false" ht="14.25" hidden="true" customHeight="false" outlineLevel="0" collapsed="false">
      <c r="A3" s="49" t="s">
        <v>2349</v>
      </c>
      <c r="B3" s="49" t="s">
        <v>2350</v>
      </c>
      <c r="C3" s="49" t="s">
        <v>2360</v>
      </c>
      <c r="D3" s="49" t="s">
        <v>2352</v>
      </c>
      <c r="E3" s="49" t="s">
        <v>2353</v>
      </c>
      <c r="F3" s="49" t="s">
        <v>2354</v>
      </c>
      <c r="G3" s="49" t="n">
        <v>0</v>
      </c>
      <c r="H3" s="0" t="n">
        <v>0</v>
      </c>
      <c r="J3" s="49" t="str">
        <f aca="false">"123526"</f>
        <v>123526</v>
      </c>
      <c r="K3" s="52" t="n">
        <v>45737</v>
      </c>
      <c r="N3" s="49" t="n">
        <v>0</v>
      </c>
      <c r="O3" s="53" t="n">
        <v>45859.6327546296</v>
      </c>
      <c r="P3" s="53" t="n">
        <v>45860.6504282407</v>
      </c>
      <c r="R3" s="0" t="n">
        <v>0</v>
      </c>
      <c r="S3" s="51" t="s">
        <v>2356</v>
      </c>
      <c r="T3" s="51" t="s">
        <v>2356</v>
      </c>
      <c r="U3" s="51" t="s">
        <v>2353</v>
      </c>
      <c r="V3" s="51" t="s">
        <v>2357</v>
      </c>
      <c r="W3" s="51" t="s">
        <v>2358</v>
      </c>
      <c r="X3" s="51" t="s">
        <v>2359</v>
      </c>
    </row>
    <row r="4" customFormat="false" ht="14.25" hidden="true" customHeight="false" outlineLevel="0" collapsed="false">
      <c r="A4" s="49" t="s">
        <v>2349</v>
      </c>
      <c r="B4" s="49" t="s">
        <v>2350</v>
      </c>
      <c r="C4" s="49" t="s">
        <v>2361</v>
      </c>
      <c r="D4" s="49" t="s">
        <v>2352</v>
      </c>
      <c r="E4" s="49" t="str">
        <f aca="false">"10734730076932"</f>
        <v>10734730076932</v>
      </c>
      <c r="F4" s="49" t="s">
        <v>2362</v>
      </c>
      <c r="G4" s="49" t="n">
        <v>0</v>
      </c>
      <c r="H4" s="0" t="n">
        <v>0</v>
      </c>
      <c r="J4" s="49" t="str">
        <f aca="false">"05052024"</f>
        <v>05052024</v>
      </c>
      <c r="K4" s="52" t="n">
        <v>45777</v>
      </c>
      <c r="M4" s="51" t="s">
        <v>2363</v>
      </c>
      <c r="N4" s="49" t="n">
        <v>0</v>
      </c>
      <c r="O4" s="53" t="n">
        <v>45945.4417476852</v>
      </c>
      <c r="P4" s="53" t="n">
        <v>45999.3705555556</v>
      </c>
      <c r="R4" s="0" t="n">
        <v>0</v>
      </c>
      <c r="T4" s="51" t="s">
        <v>2364</v>
      </c>
      <c r="U4" s="0" t="str">
        <f aca="false">"10734730076932"</f>
        <v>10734730076932</v>
      </c>
      <c r="V4" s="51" t="s">
        <v>2365</v>
      </c>
      <c r="W4" s="51" t="s">
        <v>2366</v>
      </c>
      <c r="X4" s="51" t="s">
        <v>2359</v>
      </c>
    </row>
    <row r="5" customFormat="false" ht="14.25" hidden="true" customHeight="false" outlineLevel="0" collapsed="false">
      <c r="A5" s="49" t="s">
        <v>2349</v>
      </c>
      <c r="B5" s="49" t="s">
        <v>2350</v>
      </c>
      <c r="C5" s="49" t="s">
        <v>2367</v>
      </c>
      <c r="D5" s="49" t="s">
        <v>2352</v>
      </c>
      <c r="E5" s="49" t="str">
        <f aca="false">"12393792"</f>
        <v>12393792</v>
      </c>
      <c r="F5" s="49" t="s">
        <v>2368</v>
      </c>
      <c r="G5" s="49" t="n">
        <v>0</v>
      </c>
      <c r="H5" s="0" t="n">
        <v>0</v>
      </c>
      <c r="J5" s="49" t="s">
        <v>2369</v>
      </c>
      <c r="K5" s="52" t="n">
        <v>45839</v>
      </c>
      <c r="M5" s="51" t="s">
        <v>2370</v>
      </c>
      <c r="N5" s="49" t="n">
        <v>1</v>
      </c>
      <c r="O5" s="53" t="n">
        <v>45706.5459490741</v>
      </c>
      <c r="P5" s="53" t="n">
        <v>45827.6275115741</v>
      </c>
      <c r="Q5" s="53" t="n">
        <v>45706.5459490741</v>
      </c>
      <c r="R5" s="0" t="n">
        <v>0</v>
      </c>
      <c r="S5" s="51" t="s">
        <v>2371</v>
      </c>
      <c r="T5" s="51" t="s">
        <v>2371</v>
      </c>
      <c r="U5" s="0" t="str">
        <f aca="false">"12393792"</f>
        <v>12393792</v>
      </c>
      <c r="V5" s="51" t="s">
        <v>2365</v>
      </c>
      <c r="W5" s="51" t="s">
        <v>2372</v>
      </c>
      <c r="X5" s="51" t="s">
        <v>2359</v>
      </c>
    </row>
    <row r="6" customFormat="false" ht="14.25" hidden="true" customHeight="false" outlineLevel="0" collapsed="false">
      <c r="A6" s="49" t="s">
        <v>2349</v>
      </c>
      <c r="B6" s="49" t="s">
        <v>2350</v>
      </c>
      <c r="C6" s="49" t="s">
        <v>2373</v>
      </c>
      <c r="D6" s="49" t="s">
        <v>2352</v>
      </c>
      <c r="E6" s="49" t="str">
        <f aca="false">"19582390577"</f>
        <v>19582390577</v>
      </c>
      <c r="F6" s="49" t="s">
        <v>2374</v>
      </c>
      <c r="G6" s="49" t="n">
        <v>0</v>
      </c>
      <c r="H6" s="0" t="n">
        <v>0</v>
      </c>
      <c r="J6" s="49" t="str">
        <f aca="false">"1703374"</f>
        <v>1703374</v>
      </c>
      <c r="K6" s="52" t="n">
        <v>45917</v>
      </c>
      <c r="M6" s="51" t="s">
        <v>2375</v>
      </c>
      <c r="N6" s="49" t="n">
        <v>1</v>
      </c>
      <c r="O6" s="53" t="n">
        <v>45740.6278356482</v>
      </c>
      <c r="P6" s="53" t="n">
        <v>45827.6267939815</v>
      </c>
      <c r="Q6" s="53" t="n">
        <v>45740.6278356482</v>
      </c>
      <c r="R6" s="0" t="n">
        <v>0</v>
      </c>
      <c r="S6" s="51" t="s">
        <v>2376</v>
      </c>
      <c r="T6" s="51" t="s">
        <v>2376</v>
      </c>
      <c r="U6" s="0" t="str">
        <f aca="false">"19582390577"</f>
        <v>19582390577</v>
      </c>
      <c r="V6" s="51" t="s">
        <v>2365</v>
      </c>
      <c r="W6" s="51" t="s">
        <v>2372</v>
      </c>
      <c r="X6" s="51" t="s">
        <v>2359</v>
      </c>
    </row>
    <row r="7" customFormat="false" ht="14.25" hidden="true" customHeight="false" outlineLevel="0" collapsed="false">
      <c r="A7" s="49" t="s">
        <v>2349</v>
      </c>
      <c r="B7" s="49" t="s">
        <v>2350</v>
      </c>
      <c r="C7" s="49" t="s">
        <v>2377</v>
      </c>
      <c r="D7" s="49" t="s">
        <v>2352</v>
      </c>
      <c r="E7" s="49" t="str">
        <f aca="false">"00041390050107"</f>
        <v>00041390050107</v>
      </c>
      <c r="F7" s="49" t="s">
        <v>2378</v>
      </c>
      <c r="G7" s="49" t="n">
        <v>0</v>
      </c>
      <c r="H7" s="0" t="n">
        <v>0</v>
      </c>
      <c r="J7" s="49" t="str">
        <f aca="false">"47800399"</f>
        <v>47800399</v>
      </c>
      <c r="K7" s="52" t="n">
        <v>45933</v>
      </c>
      <c r="M7" s="51" t="s">
        <v>2379</v>
      </c>
      <c r="N7" s="49" t="n">
        <v>0</v>
      </c>
      <c r="O7" s="53" t="n">
        <v>45753.5496527778</v>
      </c>
      <c r="P7" s="53" t="n">
        <v>45999.3715046296</v>
      </c>
      <c r="Q7" s="53" t="n">
        <v>45753.5496527778</v>
      </c>
      <c r="R7" s="0" t="n">
        <v>0</v>
      </c>
      <c r="S7" s="51" t="s">
        <v>2380</v>
      </c>
      <c r="T7" s="51" t="s">
        <v>2380</v>
      </c>
      <c r="U7" s="0" t="str">
        <f aca="false">"00041390050107"</f>
        <v>00041390050107</v>
      </c>
      <c r="V7" s="51" t="s">
        <v>2365</v>
      </c>
      <c r="W7" s="51" t="s">
        <v>2381</v>
      </c>
      <c r="X7" s="51" t="s">
        <v>2359</v>
      </c>
    </row>
    <row r="8" customFormat="false" ht="14.25" hidden="true" customHeight="false" outlineLevel="0" collapsed="false">
      <c r="A8" s="49" t="s">
        <v>2349</v>
      </c>
      <c r="B8" s="49" t="s">
        <v>2350</v>
      </c>
      <c r="C8" s="49" t="s">
        <v>2382</v>
      </c>
      <c r="D8" s="49" t="s">
        <v>2352</v>
      </c>
      <c r="E8" s="49" t="str">
        <f aca="false">"00041390050107"</f>
        <v>00041390050107</v>
      </c>
      <c r="F8" s="49" t="s">
        <v>2378</v>
      </c>
      <c r="G8" s="49" t="n">
        <v>0</v>
      </c>
      <c r="H8" s="0" t="n">
        <v>0</v>
      </c>
      <c r="J8" s="49" t="str">
        <f aca="false">"47800399"</f>
        <v>47800399</v>
      </c>
      <c r="K8" s="52" t="n">
        <v>45933</v>
      </c>
      <c r="M8" s="51" t="s">
        <v>2379</v>
      </c>
      <c r="N8" s="49" t="n">
        <v>0</v>
      </c>
      <c r="O8" s="53" t="n">
        <v>45906.3557060185</v>
      </c>
      <c r="P8" s="53" t="n">
        <v>45999.3707407407</v>
      </c>
      <c r="R8" s="0" t="n">
        <v>0</v>
      </c>
      <c r="T8" s="51" t="s">
        <v>2383</v>
      </c>
      <c r="U8" s="0" t="str">
        <f aca="false">"00041390050107"</f>
        <v>00041390050107</v>
      </c>
      <c r="V8" s="51" t="s">
        <v>2365</v>
      </c>
      <c r="W8" s="51" t="s">
        <v>2384</v>
      </c>
      <c r="X8" s="51" t="s">
        <v>2359</v>
      </c>
    </row>
    <row r="9" customFormat="false" ht="14.25" hidden="true" customHeight="false" outlineLevel="0" collapsed="false">
      <c r="A9" s="49" t="s">
        <v>2349</v>
      </c>
      <c r="B9" s="49" t="s">
        <v>2350</v>
      </c>
      <c r="C9" s="49" t="s">
        <v>2385</v>
      </c>
      <c r="D9" s="49" t="s">
        <v>2352</v>
      </c>
      <c r="E9" s="49" t="str">
        <f aca="false">"202187781202"</f>
        <v>202187781202</v>
      </c>
      <c r="F9" s="49" t="s">
        <v>2386</v>
      </c>
      <c r="G9" s="49" t="n">
        <v>0</v>
      </c>
      <c r="H9" s="0" t="n">
        <v>0</v>
      </c>
      <c r="J9" s="49" t="str">
        <f aca="false">"13112024"</f>
        <v>13112024</v>
      </c>
      <c r="K9" s="52" t="n">
        <v>45969</v>
      </c>
      <c r="M9" s="51" t="s">
        <v>2375</v>
      </c>
      <c r="N9" s="49" t="n">
        <v>2</v>
      </c>
      <c r="O9" s="53" t="n">
        <v>45740.6293402778</v>
      </c>
      <c r="P9" s="53" t="n">
        <v>45827.6270601852</v>
      </c>
      <c r="Q9" s="53" t="n">
        <v>45740.6293402778</v>
      </c>
      <c r="R9" s="0" t="n">
        <v>0</v>
      </c>
      <c r="S9" s="51" t="s">
        <v>2376</v>
      </c>
      <c r="T9" s="51" t="s">
        <v>2376</v>
      </c>
      <c r="U9" s="0" t="str">
        <f aca="false">"202187781202"</f>
        <v>202187781202</v>
      </c>
      <c r="V9" s="51" t="s">
        <v>2365</v>
      </c>
      <c r="W9" s="51" t="s">
        <v>2372</v>
      </c>
      <c r="X9" s="51" t="s">
        <v>2359</v>
      </c>
    </row>
    <row r="10" customFormat="false" ht="14.25" hidden="true" customHeight="false" outlineLevel="0" collapsed="false">
      <c r="A10" s="49" t="s">
        <v>2349</v>
      </c>
      <c r="B10" s="49" t="s">
        <v>2350</v>
      </c>
      <c r="C10" s="49" t="s">
        <v>2387</v>
      </c>
      <c r="D10" s="49" t="s">
        <v>2352</v>
      </c>
      <c r="E10" s="49" t="str">
        <f aca="false">"202187781202"</f>
        <v>202187781202</v>
      </c>
      <c r="F10" s="49" t="s">
        <v>2386</v>
      </c>
      <c r="G10" s="49" t="n">
        <v>0</v>
      </c>
      <c r="H10" s="0" t="n">
        <v>0</v>
      </c>
      <c r="J10" s="49" t="str">
        <f aca="false">"15112024"</f>
        <v>15112024</v>
      </c>
      <c r="K10" s="52" t="n">
        <v>45971</v>
      </c>
      <c r="M10" s="51" t="s">
        <v>2388</v>
      </c>
      <c r="N10" s="49" t="n">
        <v>5</v>
      </c>
      <c r="O10" s="53" t="n">
        <v>45755.6122337963</v>
      </c>
      <c r="P10" s="53" t="n">
        <v>45827.6271990741</v>
      </c>
      <c r="Q10" s="53" t="n">
        <v>45755.6122337963</v>
      </c>
      <c r="R10" s="0" t="n">
        <v>0</v>
      </c>
      <c r="S10" s="51" t="s">
        <v>2380</v>
      </c>
      <c r="T10" s="51" t="s">
        <v>2380</v>
      </c>
      <c r="U10" s="0" t="str">
        <f aca="false">"202187781202"</f>
        <v>202187781202</v>
      </c>
      <c r="V10" s="51" t="s">
        <v>2365</v>
      </c>
      <c r="W10" s="51" t="s">
        <v>2389</v>
      </c>
      <c r="X10" s="51" t="s">
        <v>2359</v>
      </c>
    </row>
    <row r="11" customFormat="false" ht="14.25" hidden="true" customHeight="false" outlineLevel="0" collapsed="false">
      <c r="A11" s="49" t="s">
        <v>2349</v>
      </c>
      <c r="B11" s="49" t="s">
        <v>2350</v>
      </c>
      <c r="C11" s="49" t="s">
        <v>2390</v>
      </c>
      <c r="D11" s="49" t="s">
        <v>2352</v>
      </c>
      <c r="E11" s="49" t="str">
        <f aca="false">"5060175133168"</f>
        <v>5060175133168</v>
      </c>
      <c r="F11" s="49" t="s">
        <v>2391</v>
      </c>
      <c r="G11" s="49" t="n">
        <v>0</v>
      </c>
      <c r="H11" s="0" t="n">
        <v>0</v>
      </c>
      <c r="J11" s="49" t="s">
        <v>2392</v>
      </c>
      <c r="K11" s="52" t="n">
        <v>45974</v>
      </c>
      <c r="M11" s="51" t="s">
        <v>2393</v>
      </c>
      <c r="N11" s="49" t="n">
        <v>0</v>
      </c>
      <c r="O11" s="53" t="n">
        <v>45919.6603472222</v>
      </c>
      <c r="P11" s="53" t="n">
        <v>45999.3738310185</v>
      </c>
      <c r="R11" s="0" t="n">
        <v>0</v>
      </c>
      <c r="T11" s="51" t="s">
        <v>2394</v>
      </c>
      <c r="U11" s="0" t="str">
        <f aca="false">"5060175133168"</f>
        <v>5060175133168</v>
      </c>
      <c r="V11" s="51" t="s">
        <v>2365</v>
      </c>
      <c r="W11" s="51" t="s">
        <v>2395</v>
      </c>
      <c r="X11" s="51" t="s">
        <v>2359</v>
      </c>
    </row>
    <row r="12" customFormat="false" ht="14.25" hidden="true" customHeight="false" outlineLevel="0" collapsed="false">
      <c r="A12" s="49" t="s">
        <v>2349</v>
      </c>
      <c r="B12" s="49" t="s">
        <v>2350</v>
      </c>
      <c r="C12" s="49" t="s">
        <v>2396</v>
      </c>
      <c r="D12" s="49" t="s">
        <v>2397</v>
      </c>
      <c r="E12" s="49" t="str">
        <f aca="false">"5060175133168"</f>
        <v>5060175133168</v>
      </c>
      <c r="F12" s="49" t="s">
        <v>2391</v>
      </c>
      <c r="G12" s="49" t="n">
        <v>0</v>
      </c>
      <c r="H12" s="0" t="n">
        <v>0</v>
      </c>
      <c r="J12" s="49" t="s">
        <v>2392</v>
      </c>
      <c r="K12" s="52" t="n">
        <v>45974</v>
      </c>
      <c r="N12" s="49" t="n">
        <v>0</v>
      </c>
      <c r="O12" s="53" t="n">
        <v>46005.4846527778</v>
      </c>
      <c r="P12" s="53" t="n">
        <v>46008.059224537</v>
      </c>
      <c r="R12" s="0" t="n">
        <v>0</v>
      </c>
      <c r="S12" s="51" t="s">
        <v>2398</v>
      </c>
      <c r="T12" s="51" t="s">
        <v>2398</v>
      </c>
      <c r="U12" s="0" t="str">
        <f aca="false">"5060175133168"</f>
        <v>5060175133168</v>
      </c>
      <c r="V12" s="51" t="s">
        <v>2365</v>
      </c>
      <c r="X12" s="51" t="s">
        <v>2359</v>
      </c>
    </row>
    <row r="13" customFormat="false" ht="14.25" hidden="true" customHeight="false" outlineLevel="0" collapsed="false">
      <c r="A13" s="49" t="s">
        <v>2349</v>
      </c>
      <c r="B13" s="49" t="s">
        <v>2350</v>
      </c>
      <c r="C13" s="49" t="s">
        <v>2399</v>
      </c>
      <c r="D13" s="49" t="s">
        <v>2352</v>
      </c>
      <c r="E13" s="49" t="str">
        <f aca="false">"5060175133168"</f>
        <v>5060175133168</v>
      </c>
      <c r="F13" s="49" t="s">
        <v>2391</v>
      </c>
      <c r="G13" s="49" t="n">
        <v>0</v>
      </c>
      <c r="H13" s="0" t="n">
        <v>0</v>
      </c>
      <c r="J13" s="49" t="s">
        <v>2392</v>
      </c>
      <c r="K13" s="52" t="n">
        <v>45974</v>
      </c>
      <c r="M13" s="51" t="s">
        <v>2400</v>
      </c>
      <c r="N13" s="49" t="n">
        <v>92</v>
      </c>
      <c r="O13" s="53" t="n">
        <v>45911.6936805556</v>
      </c>
      <c r="P13" s="53" t="n">
        <v>46005.4482175926</v>
      </c>
      <c r="Q13" s="53" t="n">
        <v>45911.6936805556</v>
      </c>
      <c r="R13" s="0" t="n">
        <v>0</v>
      </c>
      <c r="S13" s="51" t="s">
        <v>2401</v>
      </c>
      <c r="T13" s="51" t="s">
        <v>2401</v>
      </c>
      <c r="U13" s="0" t="str">
        <f aca="false">"5060175133168"</f>
        <v>5060175133168</v>
      </c>
      <c r="V13" s="51" t="s">
        <v>2365</v>
      </c>
      <c r="W13" s="51" t="s">
        <v>2402</v>
      </c>
      <c r="X13" s="51" t="s">
        <v>2359</v>
      </c>
    </row>
    <row r="14" customFormat="false" ht="14.25" hidden="true" customHeight="false" outlineLevel="0" collapsed="false">
      <c r="A14" s="49" t="s">
        <v>2349</v>
      </c>
      <c r="B14" s="49" t="s">
        <v>2350</v>
      </c>
      <c r="C14" s="49" t="s">
        <v>2403</v>
      </c>
      <c r="D14" s="49" t="s">
        <v>2352</v>
      </c>
      <c r="E14" s="49" t="str">
        <f aca="false">"5060175133168"</f>
        <v>5060175133168</v>
      </c>
      <c r="F14" s="49" t="s">
        <v>2391</v>
      </c>
      <c r="G14" s="49" t="n">
        <v>0</v>
      </c>
      <c r="H14" s="0" t="n">
        <v>0</v>
      </c>
      <c r="J14" s="49" t="s">
        <v>2392</v>
      </c>
      <c r="K14" s="52" t="n">
        <v>45974</v>
      </c>
      <c r="M14" s="51" t="s">
        <v>2400</v>
      </c>
      <c r="N14" s="49" t="n">
        <v>92</v>
      </c>
      <c r="O14" s="53" t="n">
        <v>45911.6910069444</v>
      </c>
      <c r="P14" s="53" t="n">
        <v>45999.373287037</v>
      </c>
      <c r="Q14" s="53" t="n">
        <v>45911.6910069444</v>
      </c>
      <c r="R14" s="0" t="n">
        <v>0</v>
      </c>
      <c r="S14" s="51" t="s">
        <v>2401</v>
      </c>
      <c r="T14" s="51" t="s">
        <v>2401</v>
      </c>
      <c r="U14" s="0" t="str">
        <f aca="false">"5060175133168"</f>
        <v>5060175133168</v>
      </c>
      <c r="V14" s="51" t="s">
        <v>2365</v>
      </c>
      <c r="W14" s="51" t="s">
        <v>2404</v>
      </c>
      <c r="X14" s="51" t="s">
        <v>2359</v>
      </c>
    </row>
    <row r="15" customFormat="false" ht="14.25" hidden="true" customHeight="false" outlineLevel="0" collapsed="false">
      <c r="A15" s="49" t="s">
        <v>2349</v>
      </c>
      <c r="B15" s="49" t="s">
        <v>2350</v>
      </c>
      <c r="C15" s="49" t="s">
        <v>2405</v>
      </c>
      <c r="D15" s="49" t="s">
        <v>2352</v>
      </c>
      <c r="E15" s="49" t="str">
        <f aca="false">"5060175133168"</f>
        <v>5060175133168</v>
      </c>
      <c r="F15" s="49" t="s">
        <v>2391</v>
      </c>
      <c r="G15" s="49" t="n">
        <v>0</v>
      </c>
      <c r="H15" s="0" t="n">
        <v>0</v>
      </c>
      <c r="J15" s="49" t="s">
        <v>2392</v>
      </c>
      <c r="K15" s="52" t="n">
        <v>45974</v>
      </c>
      <c r="M15" s="51" t="s">
        <v>2400</v>
      </c>
      <c r="N15" s="49" t="n">
        <v>40</v>
      </c>
      <c r="O15" s="53" t="n">
        <v>45911.6908101852</v>
      </c>
      <c r="P15" s="53" t="n">
        <v>46005.4466666667</v>
      </c>
      <c r="Q15" s="53" t="n">
        <v>45911.6908101852</v>
      </c>
      <c r="R15" s="0" t="n">
        <v>0</v>
      </c>
      <c r="S15" s="51" t="s">
        <v>2401</v>
      </c>
      <c r="T15" s="51" t="s">
        <v>2401</v>
      </c>
      <c r="U15" s="0" t="str">
        <f aca="false">"5060175133168"</f>
        <v>5060175133168</v>
      </c>
      <c r="V15" s="51" t="s">
        <v>2365</v>
      </c>
      <c r="W15" s="51" t="s">
        <v>2406</v>
      </c>
      <c r="X15" s="51" t="s">
        <v>2359</v>
      </c>
    </row>
    <row r="16" customFormat="false" ht="14.25" hidden="true" customHeight="false" outlineLevel="0" collapsed="false">
      <c r="A16" s="49" t="s">
        <v>2349</v>
      </c>
      <c r="B16" s="49" t="s">
        <v>2350</v>
      </c>
      <c r="C16" s="49" t="s">
        <v>2407</v>
      </c>
      <c r="D16" s="49" t="s">
        <v>2352</v>
      </c>
      <c r="E16" s="49" t="str">
        <f aca="false">"5060175133168"</f>
        <v>5060175133168</v>
      </c>
      <c r="F16" s="49" t="s">
        <v>2391</v>
      </c>
      <c r="G16" s="49" t="n">
        <v>0</v>
      </c>
      <c r="H16" s="0" t="n">
        <v>0</v>
      </c>
      <c r="J16" s="49" t="s">
        <v>2392</v>
      </c>
      <c r="K16" s="52" t="n">
        <v>45974</v>
      </c>
      <c r="M16" s="51" t="s">
        <v>2408</v>
      </c>
      <c r="N16" s="49" t="n">
        <v>85</v>
      </c>
      <c r="O16" s="53" t="n">
        <v>45910.6970949074</v>
      </c>
      <c r="P16" s="53" t="n">
        <v>46005.4360648148</v>
      </c>
      <c r="Q16" s="53" t="n">
        <v>45910.6970949074</v>
      </c>
      <c r="R16" s="0" t="n">
        <v>0</v>
      </c>
      <c r="S16" s="51" t="s">
        <v>2401</v>
      </c>
      <c r="T16" s="51" t="s">
        <v>2401</v>
      </c>
      <c r="U16" s="0" t="str">
        <f aca="false">"5060175133168"</f>
        <v>5060175133168</v>
      </c>
      <c r="V16" s="51" t="s">
        <v>2365</v>
      </c>
      <c r="W16" s="51" t="s">
        <v>2409</v>
      </c>
      <c r="X16" s="51" t="s">
        <v>2359</v>
      </c>
    </row>
    <row r="17" customFormat="false" ht="14.25" hidden="true" customHeight="false" outlineLevel="0" collapsed="false">
      <c r="A17" s="49" t="s">
        <v>2349</v>
      </c>
      <c r="B17" s="49" t="s">
        <v>2350</v>
      </c>
      <c r="C17" s="49" t="s">
        <v>2410</v>
      </c>
      <c r="D17" s="49" t="s">
        <v>2352</v>
      </c>
      <c r="E17" s="49" t="str">
        <f aca="false">"5060175133168"</f>
        <v>5060175133168</v>
      </c>
      <c r="F17" s="49" t="s">
        <v>2391</v>
      </c>
      <c r="G17" s="49" t="n">
        <v>0</v>
      </c>
      <c r="H17" s="0" t="n">
        <v>0</v>
      </c>
      <c r="J17" s="49" t="s">
        <v>2392</v>
      </c>
      <c r="K17" s="52" t="n">
        <v>45974</v>
      </c>
      <c r="M17" s="51" t="s">
        <v>2408</v>
      </c>
      <c r="N17" s="49" t="n">
        <v>92</v>
      </c>
      <c r="O17" s="53" t="n">
        <v>45910.6962962963</v>
      </c>
      <c r="P17" s="53" t="n">
        <v>46005.4619560185</v>
      </c>
      <c r="Q17" s="53" t="n">
        <v>45910.6962962963</v>
      </c>
      <c r="R17" s="0" t="n">
        <v>0</v>
      </c>
      <c r="S17" s="51" t="s">
        <v>2401</v>
      </c>
      <c r="T17" s="51" t="s">
        <v>2401</v>
      </c>
      <c r="U17" s="0" t="str">
        <f aca="false">"5060175133168"</f>
        <v>5060175133168</v>
      </c>
      <c r="V17" s="51" t="s">
        <v>2365</v>
      </c>
      <c r="W17" s="51" t="s">
        <v>2411</v>
      </c>
      <c r="X17" s="51" t="s">
        <v>2359</v>
      </c>
    </row>
    <row r="18" customFormat="false" ht="14.25" hidden="true" customHeight="false" outlineLevel="0" collapsed="false">
      <c r="A18" s="49" t="s">
        <v>2349</v>
      </c>
      <c r="B18" s="49" t="s">
        <v>2350</v>
      </c>
      <c r="C18" s="49" t="s">
        <v>2412</v>
      </c>
      <c r="D18" s="49" t="s">
        <v>2352</v>
      </c>
      <c r="E18" s="49" t="str">
        <f aca="false">"5060175133168"</f>
        <v>5060175133168</v>
      </c>
      <c r="F18" s="49" t="s">
        <v>2391</v>
      </c>
      <c r="G18" s="49" t="n">
        <v>0</v>
      </c>
      <c r="H18" s="0" t="n">
        <v>0</v>
      </c>
      <c r="J18" s="49" t="s">
        <v>2392</v>
      </c>
      <c r="K18" s="52" t="n">
        <v>45974</v>
      </c>
      <c r="M18" s="51" t="s">
        <v>2408</v>
      </c>
      <c r="N18" s="49" t="n">
        <v>92</v>
      </c>
      <c r="O18" s="53" t="n">
        <v>45910.6959606482</v>
      </c>
      <c r="P18" s="53" t="n">
        <v>46005.4495833333</v>
      </c>
      <c r="Q18" s="53" t="n">
        <v>45910.6959606482</v>
      </c>
      <c r="R18" s="0" t="n">
        <v>0</v>
      </c>
      <c r="S18" s="51" t="s">
        <v>2401</v>
      </c>
      <c r="T18" s="51" t="s">
        <v>2401</v>
      </c>
      <c r="U18" s="0" t="str">
        <f aca="false">"5060175133168"</f>
        <v>5060175133168</v>
      </c>
      <c r="V18" s="51" t="s">
        <v>2365</v>
      </c>
      <c r="W18" s="51" t="s">
        <v>2413</v>
      </c>
      <c r="X18" s="51" t="s">
        <v>2359</v>
      </c>
    </row>
    <row r="19" customFormat="false" ht="14.25" hidden="true" customHeight="false" outlineLevel="0" collapsed="false">
      <c r="A19" s="49" t="s">
        <v>2349</v>
      </c>
      <c r="B19" s="49" t="s">
        <v>2350</v>
      </c>
      <c r="C19" s="49" t="s">
        <v>2414</v>
      </c>
      <c r="D19" s="49" t="s">
        <v>2352</v>
      </c>
      <c r="E19" s="49" t="str">
        <f aca="false">"5060175133168"</f>
        <v>5060175133168</v>
      </c>
      <c r="F19" s="49" t="s">
        <v>2391</v>
      </c>
      <c r="G19" s="49" t="n">
        <v>0</v>
      </c>
      <c r="H19" s="0" t="n">
        <v>0</v>
      </c>
      <c r="J19" s="49" t="s">
        <v>2392</v>
      </c>
      <c r="K19" s="52" t="n">
        <v>45974</v>
      </c>
      <c r="M19" s="51" t="s">
        <v>2415</v>
      </c>
      <c r="N19" s="49" t="n">
        <v>9</v>
      </c>
      <c r="O19" s="53" t="n">
        <v>45893.567650463</v>
      </c>
      <c r="P19" s="53" t="n">
        <v>45999.3736921296</v>
      </c>
      <c r="Q19" s="53" t="n">
        <v>45893.567650463</v>
      </c>
      <c r="R19" s="0" t="n">
        <v>0</v>
      </c>
      <c r="S19" s="51" t="s">
        <v>2416</v>
      </c>
      <c r="T19" s="51" t="s">
        <v>2416</v>
      </c>
      <c r="U19" s="0" t="str">
        <f aca="false">"5060175133168"</f>
        <v>5060175133168</v>
      </c>
      <c r="V19" s="51" t="s">
        <v>2365</v>
      </c>
      <c r="W19" s="51" t="s">
        <v>2366</v>
      </c>
      <c r="X19" s="51" t="s">
        <v>2359</v>
      </c>
    </row>
    <row r="20" customFormat="false" ht="14.25" hidden="true" customHeight="false" outlineLevel="0" collapsed="false">
      <c r="A20" s="49" t="s">
        <v>2349</v>
      </c>
      <c r="B20" s="49" t="s">
        <v>2350</v>
      </c>
      <c r="C20" s="49" t="s">
        <v>2417</v>
      </c>
      <c r="D20" s="49" t="s">
        <v>2397</v>
      </c>
      <c r="E20" s="49" t="str">
        <f aca="false">"00041500831190"</f>
        <v>00041500831190</v>
      </c>
      <c r="F20" s="49" t="s">
        <v>2418</v>
      </c>
      <c r="G20" s="49" t="n">
        <v>0</v>
      </c>
      <c r="H20" s="0" t="n">
        <v>0</v>
      </c>
      <c r="J20" s="49" t="s">
        <v>2419</v>
      </c>
      <c r="K20" s="52" t="n">
        <v>45977</v>
      </c>
      <c r="M20" s="51" t="s">
        <v>2420</v>
      </c>
      <c r="N20" s="49" t="n">
        <v>72</v>
      </c>
      <c r="O20" s="53" t="n">
        <v>45757.377650463</v>
      </c>
      <c r="P20" s="53" t="n">
        <v>45918.9225578704</v>
      </c>
      <c r="Q20" s="53" t="n">
        <v>45757.377650463</v>
      </c>
      <c r="R20" s="0" t="n">
        <v>0</v>
      </c>
      <c r="S20" s="51" t="s">
        <v>2380</v>
      </c>
      <c r="T20" s="51" t="s">
        <v>2380</v>
      </c>
      <c r="U20" s="0" t="str">
        <f aca="false">"00041500831190"</f>
        <v>00041500831190</v>
      </c>
      <c r="V20" s="51" t="s">
        <v>2365</v>
      </c>
      <c r="W20" s="51" t="s">
        <v>2421</v>
      </c>
      <c r="X20" s="51" t="s">
        <v>2359</v>
      </c>
    </row>
    <row r="21" customFormat="false" ht="14.25" hidden="true" customHeight="false" outlineLevel="0" collapsed="false">
      <c r="A21" s="49" t="s">
        <v>2349</v>
      </c>
      <c r="B21" s="49" t="s">
        <v>2350</v>
      </c>
      <c r="C21" s="49" t="s">
        <v>2422</v>
      </c>
      <c r="D21" s="49" t="s">
        <v>2352</v>
      </c>
      <c r="E21" s="49" t="str">
        <f aca="false">"00041500831190"</f>
        <v>00041500831190</v>
      </c>
      <c r="F21" s="49" t="s">
        <v>2418</v>
      </c>
      <c r="G21" s="49" t="n">
        <v>0</v>
      </c>
      <c r="H21" s="0" t="n">
        <v>0</v>
      </c>
      <c r="J21" s="49" t="s">
        <v>2419</v>
      </c>
      <c r="K21" s="52" t="n">
        <v>45977</v>
      </c>
      <c r="M21" s="51" t="s">
        <v>2423</v>
      </c>
      <c r="N21" s="49" t="n">
        <v>1</v>
      </c>
      <c r="O21" s="53" t="n">
        <v>45973.5877893519</v>
      </c>
      <c r="P21" s="53" t="n">
        <v>45999.3740856481</v>
      </c>
      <c r="Q21" s="53" t="n">
        <v>45973.5877893519</v>
      </c>
      <c r="R21" s="0" t="n">
        <v>0</v>
      </c>
      <c r="S21" s="51" t="s">
        <v>2401</v>
      </c>
      <c r="T21" s="51" t="s">
        <v>2401</v>
      </c>
      <c r="U21" s="0" t="str">
        <f aca="false">"00041500831190"</f>
        <v>00041500831190</v>
      </c>
      <c r="V21" s="51" t="s">
        <v>2365</v>
      </c>
      <c r="W21" s="51" t="s">
        <v>2424</v>
      </c>
      <c r="X21" s="51" t="s">
        <v>2359</v>
      </c>
    </row>
    <row r="22" customFormat="false" ht="14.25" hidden="true" customHeight="false" outlineLevel="0" collapsed="false">
      <c r="A22" s="49" t="s">
        <v>2349</v>
      </c>
      <c r="B22" s="49" t="s">
        <v>2350</v>
      </c>
      <c r="C22" s="49" t="s">
        <v>2425</v>
      </c>
      <c r="D22" s="49" t="s">
        <v>2352</v>
      </c>
      <c r="E22" s="49" t="str">
        <f aca="false">"00041500831190"</f>
        <v>00041500831190</v>
      </c>
      <c r="F22" s="49" t="s">
        <v>2418</v>
      </c>
      <c r="G22" s="49" t="n">
        <v>0</v>
      </c>
      <c r="H22" s="0" t="n">
        <v>0</v>
      </c>
      <c r="J22" s="49" t="s">
        <v>2419</v>
      </c>
      <c r="K22" s="52" t="n">
        <v>45977</v>
      </c>
      <c r="M22" s="51" t="s">
        <v>2420</v>
      </c>
      <c r="N22" s="49" t="n">
        <v>0</v>
      </c>
      <c r="O22" s="53" t="n">
        <v>45918.9225578704</v>
      </c>
      <c r="P22" s="53" t="n">
        <v>45999.3742708333</v>
      </c>
      <c r="R22" s="0" t="n">
        <v>0</v>
      </c>
      <c r="T22" s="51" t="s">
        <v>2394</v>
      </c>
      <c r="U22" s="0" t="str">
        <f aca="false">"00041500831190"</f>
        <v>00041500831190</v>
      </c>
      <c r="V22" s="51" t="s">
        <v>2365</v>
      </c>
      <c r="W22" s="51" t="s">
        <v>2426</v>
      </c>
      <c r="X22" s="51" t="s">
        <v>2359</v>
      </c>
    </row>
    <row r="23" customFormat="false" ht="14.25" hidden="true" customHeight="false" outlineLevel="0" collapsed="false">
      <c r="A23" s="49" t="s">
        <v>2349</v>
      </c>
      <c r="B23" s="49" t="s">
        <v>2350</v>
      </c>
      <c r="C23" s="49" t="s">
        <v>2427</v>
      </c>
      <c r="D23" s="49" t="s">
        <v>2352</v>
      </c>
      <c r="E23" s="49" t="str">
        <f aca="false">"00041500831190"</f>
        <v>00041500831190</v>
      </c>
      <c r="F23" s="49" t="s">
        <v>2418</v>
      </c>
      <c r="G23" s="49" t="n">
        <v>0</v>
      </c>
      <c r="H23" s="0" t="n">
        <v>0</v>
      </c>
      <c r="J23" s="49" t="s">
        <v>2419</v>
      </c>
      <c r="K23" s="52" t="n">
        <v>45977</v>
      </c>
      <c r="M23" s="51" t="s">
        <v>2420</v>
      </c>
      <c r="N23" s="49" t="n">
        <v>72</v>
      </c>
      <c r="O23" s="53" t="n">
        <v>45757.3765856482</v>
      </c>
      <c r="P23" s="53" t="n">
        <v>45999.3743865741</v>
      </c>
      <c r="Q23" s="53" t="n">
        <v>45757.3765856482</v>
      </c>
      <c r="R23" s="0" t="n">
        <v>0</v>
      </c>
      <c r="S23" s="51" t="s">
        <v>2380</v>
      </c>
      <c r="T23" s="51" t="s">
        <v>2380</v>
      </c>
      <c r="U23" s="0" t="str">
        <f aca="false">"00041500831190"</f>
        <v>00041500831190</v>
      </c>
      <c r="V23" s="51" t="s">
        <v>2365</v>
      </c>
      <c r="W23" s="51" t="s">
        <v>2428</v>
      </c>
      <c r="X23" s="51" t="s">
        <v>2359</v>
      </c>
    </row>
    <row r="24" customFormat="false" ht="14.25" hidden="true" customHeight="false" outlineLevel="0" collapsed="false">
      <c r="A24" s="49" t="s">
        <v>2349</v>
      </c>
      <c r="B24" s="49" t="s">
        <v>2350</v>
      </c>
      <c r="C24" s="49" t="s">
        <v>2429</v>
      </c>
      <c r="D24" s="49" t="s">
        <v>2397</v>
      </c>
      <c r="E24" s="49" t="str">
        <f aca="false">"202187781202"</f>
        <v>202187781202</v>
      </c>
      <c r="F24" s="49" t="s">
        <v>2386</v>
      </c>
      <c r="G24" s="49" t="n">
        <v>0</v>
      </c>
      <c r="H24" s="0" t="n">
        <v>0</v>
      </c>
      <c r="J24" s="49" t="str">
        <f aca="false">"04122024"</f>
        <v>04122024</v>
      </c>
      <c r="K24" s="52" t="n">
        <v>45980</v>
      </c>
      <c r="M24" s="51" t="s">
        <v>2388</v>
      </c>
      <c r="N24" s="49" t="n">
        <v>64</v>
      </c>
      <c r="O24" s="53" t="n">
        <v>45755.6077777778</v>
      </c>
      <c r="P24" s="53" t="n">
        <v>45994.4703125</v>
      </c>
      <c r="Q24" s="53" t="n">
        <v>45755.6077777778</v>
      </c>
      <c r="R24" s="0" t="n">
        <v>0</v>
      </c>
      <c r="S24" s="51" t="s">
        <v>2380</v>
      </c>
      <c r="T24" s="51" t="s">
        <v>2380</v>
      </c>
      <c r="U24" s="0" t="str">
        <f aca="false">"202187781202"</f>
        <v>202187781202</v>
      </c>
      <c r="V24" s="51" t="s">
        <v>2365</v>
      </c>
      <c r="W24" s="51" t="s">
        <v>2430</v>
      </c>
      <c r="X24" s="51" t="s">
        <v>2359</v>
      </c>
    </row>
    <row r="25" customFormat="false" ht="14.25" hidden="true" customHeight="false" outlineLevel="0" collapsed="false">
      <c r="A25" s="49" t="s">
        <v>2349</v>
      </c>
      <c r="B25" s="49" t="s">
        <v>2350</v>
      </c>
      <c r="C25" s="49" t="s">
        <v>2431</v>
      </c>
      <c r="D25" s="49" t="s">
        <v>2352</v>
      </c>
      <c r="E25" s="49" t="str">
        <f aca="false">"202187781202"</f>
        <v>202187781202</v>
      </c>
      <c r="F25" s="49" t="s">
        <v>2386</v>
      </c>
      <c r="G25" s="49" t="n">
        <v>0</v>
      </c>
      <c r="H25" s="0" t="n">
        <v>0</v>
      </c>
      <c r="J25" s="49" t="str">
        <f aca="false">"04122024"</f>
        <v>04122024</v>
      </c>
      <c r="K25" s="52" t="n">
        <v>45980</v>
      </c>
      <c r="M25" s="51" t="s">
        <v>2388</v>
      </c>
      <c r="N25" s="49" t="n">
        <v>0</v>
      </c>
      <c r="O25" s="53" t="n">
        <v>45994.4703009259</v>
      </c>
      <c r="P25" s="53" t="n">
        <v>45999.3745138889</v>
      </c>
      <c r="R25" s="0" t="n">
        <v>0</v>
      </c>
      <c r="T25" s="51" t="s">
        <v>2364</v>
      </c>
      <c r="U25" s="0" t="str">
        <f aca="false">"202187781202"</f>
        <v>202187781202</v>
      </c>
      <c r="V25" s="51" t="s">
        <v>2365</v>
      </c>
      <c r="W25" s="51" t="s">
        <v>2432</v>
      </c>
      <c r="X25" s="51" t="s">
        <v>2359</v>
      </c>
    </row>
    <row r="26" customFormat="false" ht="14.25" hidden="true" customHeight="false" outlineLevel="0" collapsed="false">
      <c r="A26" s="49" t="s">
        <v>2349</v>
      </c>
      <c r="B26" s="49" t="s">
        <v>2350</v>
      </c>
      <c r="C26" s="49" t="s">
        <v>2433</v>
      </c>
      <c r="D26" s="49" t="s">
        <v>2352</v>
      </c>
      <c r="E26" s="49" t="str">
        <f aca="false">"734730225548"</f>
        <v>734730225548</v>
      </c>
      <c r="F26" s="49" t="s">
        <v>2434</v>
      </c>
      <c r="G26" s="49" t="n">
        <v>0</v>
      </c>
      <c r="H26" s="0" t="n">
        <v>0</v>
      </c>
      <c r="J26" s="49" t="str">
        <f aca="false">"3122024"</f>
        <v>3122024</v>
      </c>
      <c r="K26" s="52" t="n">
        <v>45989</v>
      </c>
      <c r="M26" s="51" t="s">
        <v>2435</v>
      </c>
      <c r="N26" s="49" t="n">
        <v>0</v>
      </c>
      <c r="O26" s="53" t="n">
        <v>45725.5831134259</v>
      </c>
      <c r="P26" s="53" t="n">
        <v>45827.6299074074</v>
      </c>
      <c r="R26" s="0" t="n">
        <v>0</v>
      </c>
      <c r="T26" s="51" t="s">
        <v>2436</v>
      </c>
      <c r="U26" s="0" t="str">
        <f aca="false">"734730225548"</f>
        <v>734730225548</v>
      </c>
      <c r="V26" s="51" t="s">
        <v>2365</v>
      </c>
      <c r="W26" s="51" t="s">
        <v>2372</v>
      </c>
      <c r="X26" s="51" t="s">
        <v>2359</v>
      </c>
    </row>
    <row r="27" customFormat="false" ht="14.25" hidden="true" customHeight="false" outlineLevel="0" collapsed="false">
      <c r="A27" s="49" t="s">
        <v>2349</v>
      </c>
      <c r="B27" s="49" t="s">
        <v>2350</v>
      </c>
      <c r="C27" s="49" t="s">
        <v>2437</v>
      </c>
      <c r="D27" s="49" t="s">
        <v>2352</v>
      </c>
      <c r="E27" s="49" t="str">
        <f aca="false">"5060175133168"</f>
        <v>5060175133168</v>
      </c>
      <c r="F27" s="49" t="s">
        <v>2391</v>
      </c>
      <c r="G27" s="49" t="n">
        <v>0</v>
      </c>
      <c r="H27" s="0" t="n">
        <v>0</v>
      </c>
      <c r="J27" s="49" t="s">
        <v>2438</v>
      </c>
      <c r="K27" s="52" t="n">
        <v>45991</v>
      </c>
      <c r="M27" s="51" t="s">
        <v>2439</v>
      </c>
      <c r="N27" s="49" t="n">
        <v>0</v>
      </c>
      <c r="O27" s="53" t="n">
        <v>45945.6288773148</v>
      </c>
      <c r="P27" s="53" t="n">
        <v>46005.4599652778</v>
      </c>
      <c r="R27" s="0" t="n">
        <v>0</v>
      </c>
      <c r="T27" s="51" t="s">
        <v>2383</v>
      </c>
      <c r="U27" s="0" t="str">
        <f aca="false">"5060175133168"</f>
        <v>5060175133168</v>
      </c>
      <c r="V27" s="51" t="s">
        <v>2365</v>
      </c>
      <c r="W27" s="51" t="s">
        <v>2440</v>
      </c>
      <c r="X27" s="51" t="s">
        <v>2359</v>
      </c>
    </row>
    <row r="28" customFormat="false" ht="14.25" hidden="false" customHeight="false" outlineLevel="0" collapsed="false">
      <c r="A28" s="49" t="s">
        <v>2137</v>
      </c>
      <c r="B28" s="49" t="s">
        <v>14</v>
      </c>
      <c r="C28" s="49" t="s">
        <v>222</v>
      </c>
      <c r="D28" s="49" t="s">
        <v>2441</v>
      </c>
      <c r="E28" s="49" t="s">
        <v>2442</v>
      </c>
      <c r="F28" s="49" t="s">
        <v>221</v>
      </c>
      <c r="G28" s="49" t="n">
        <v>52</v>
      </c>
      <c r="H28" s="0" t="n">
        <v>0</v>
      </c>
      <c r="I28" s="51" t="s">
        <v>2443</v>
      </c>
      <c r="J28" s="49" t="s">
        <v>2444</v>
      </c>
      <c r="K28" s="52" t="n">
        <v>47292</v>
      </c>
      <c r="M28" s="51" t="s">
        <v>2445</v>
      </c>
      <c r="N28" s="0" t="n">
        <v>52</v>
      </c>
      <c r="O28" s="53" t="n">
        <v>46050.4748726852</v>
      </c>
      <c r="P28" s="53" t="n">
        <v>46060.6420833333</v>
      </c>
      <c r="Q28" s="0" t="n">
        <v>46050.4748726852</v>
      </c>
      <c r="R28" s="0" t="n">
        <v>0</v>
      </c>
      <c r="S28" s="51" t="s">
        <v>2380</v>
      </c>
      <c r="T28" s="51" t="s">
        <v>2380</v>
      </c>
      <c r="U28" s="51" t="s">
        <v>2442</v>
      </c>
      <c r="V28" s="51" t="s">
        <v>2205</v>
      </c>
      <c r="W28" s="51" t="s">
        <v>2446</v>
      </c>
    </row>
    <row r="29" customFormat="false" ht="14.25" hidden="false" customHeight="false" outlineLevel="0" collapsed="false">
      <c r="A29" s="49" t="s">
        <v>2137</v>
      </c>
      <c r="B29" s="49" t="s">
        <v>14</v>
      </c>
      <c r="C29" s="49" t="s">
        <v>242</v>
      </c>
      <c r="D29" s="49" t="s">
        <v>2441</v>
      </c>
      <c r="E29" s="49" t="s">
        <v>2442</v>
      </c>
      <c r="F29" s="49" t="s">
        <v>221</v>
      </c>
      <c r="G29" s="49" t="n">
        <v>52</v>
      </c>
      <c r="H29" s="0" t="n">
        <v>0</v>
      </c>
      <c r="I29" s="51" t="s">
        <v>2447</v>
      </c>
      <c r="J29" s="49" t="s">
        <v>2448</v>
      </c>
      <c r="K29" s="52" t="n">
        <v>47616</v>
      </c>
      <c r="M29" s="51" t="s">
        <v>2445</v>
      </c>
      <c r="N29" s="0" t="n">
        <v>52</v>
      </c>
      <c r="O29" s="53" t="n">
        <v>46050.4767361111</v>
      </c>
      <c r="P29" s="53" t="n">
        <v>46061.3974652778</v>
      </c>
      <c r="Q29" s="0" t="n">
        <v>46050.4767361111</v>
      </c>
      <c r="R29" s="0" t="n">
        <v>0</v>
      </c>
      <c r="S29" s="51" t="s">
        <v>2380</v>
      </c>
      <c r="T29" s="51" t="s">
        <v>2380</v>
      </c>
      <c r="U29" s="51" t="s">
        <v>2442</v>
      </c>
      <c r="V29" s="51" t="s">
        <v>2205</v>
      </c>
      <c r="W29" s="51" t="s">
        <v>2449</v>
      </c>
    </row>
    <row r="30" customFormat="false" ht="14.25" hidden="false" customHeight="false" outlineLevel="0" collapsed="false">
      <c r="A30" s="49" t="s">
        <v>2137</v>
      </c>
      <c r="B30" s="49" t="s">
        <v>14</v>
      </c>
      <c r="C30" s="49" t="s">
        <v>205</v>
      </c>
      <c r="D30" s="49" t="s">
        <v>2441</v>
      </c>
      <c r="E30" s="49" t="s">
        <v>2450</v>
      </c>
      <c r="F30" s="49" t="s">
        <v>194</v>
      </c>
      <c r="G30" s="49" t="n">
        <v>24</v>
      </c>
      <c r="H30" s="0" t="n">
        <v>0</v>
      </c>
      <c r="I30" s="51" t="s">
        <v>2451</v>
      </c>
      <c r="J30" s="49" t="s">
        <v>2452</v>
      </c>
      <c r="K30" s="52" t="n">
        <v>47627</v>
      </c>
      <c r="M30" s="51" t="s">
        <v>2453</v>
      </c>
      <c r="N30" s="0" t="n">
        <v>24</v>
      </c>
      <c r="O30" s="53" t="n">
        <v>46050.5638425926</v>
      </c>
      <c r="P30" s="53" t="n">
        <v>46060.6192939815</v>
      </c>
      <c r="Q30" s="0" t="n">
        <v>46050.5638425926</v>
      </c>
      <c r="R30" s="0" t="n">
        <v>0</v>
      </c>
      <c r="S30" s="51" t="s">
        <v>2380</v>
      </c>
      <c r="T30" s="51" t="s">
        <v>2380</v>
      </c>
      <c r="U30" s="51" t="s">
        <v>2450</v>
      </c>
      <c r="V30" s="51" t="s">
        <v>2205</v>
      </c>
      <c r="W30" s="51" t="s">
        <v>2454</v>
      </c>
    </row>
    <row r="31" customFormat="false" ht="14.25" hidden="false" customHeight="false" outlineLevel="0" collapsed="false">
      <c r="A31" s="49" t="s">
        <v>2137</v>
      </c>
      <c r="B31" s="49" t="s">
        <v>14</v>
      </c>
      <c r="C31" s="49" t="s">
        <v>218</v>
      </c>
      <c r="D31" s="49" t="s">
        <v>2441</v>
      </c>
      <c r="E31" s="49" t="s">
        <v>2450</v>
      </c>
      <c r="F31" s="49" t="s">
        <v>194</v>
      </c>
      <c r="G31" s="49" t="n">
        <v>24</v>
      </c>
      <c r="H31" s="0" t="n">
        <v>0</v>
      </c>
      <c r="I31" s="51" t="s">
        <v>2455</v>
      </c>
      <c r="J31" s="49" t="s">
        <v>2452</v>
      </c>
      <c r="K31" s="52" t="n">
        <v>47627</v>
      </c>
      <c r="M31" s="51" t="s">
        <v>2453</v>
      </c>
      <c r="N31" s="0" t="n">
        <v>24</v>
      </c>
      <c r="O31" s="53" t="n">
        <v>46050.5596064815</v>
      </c>
      <c r="P31" s="53" t="n">
        <v>46060.6336111111</v>
      </c>
      <c r="Q31" s="0" t="n">
        <v>46050.5596064815</v>
      </c>
      <c r="R31" s="0" t="n">
        <v>0</v>
      </c>
      <c r="S31" s="51" t="s">
        <v>2380</v>
      </c>
      <c r="T31" s="51" t="s">
        <v>2380</v>
      </c>
      <c r="U31" s="51" t="s">
        <v>2450</v>
      </c>
      <c r="V31" s="51" t="s">
        <v>2205</v>
      </c>
      <c r="W31" s="51" t="s">
        <v>2456</v>
      </c>
    </row>
    <row r="32" customFormat="false" ht="14.25" hidden="true" customHeight="false" outlineLevel="0" collapsed="false">
      <c r="A32" s="49" t="s">
        <v>2137</v>
      </c>
      <c r="B32" s="49" t="s">
        <v>14</v>
      </c>
      <c r="C32" s="49" t="s">
        <v>808</v>
      </c>
      <c r="D32" s="49" t="s">
        <v>2441</v>
      </c>
      <c r="E32" s="49" t="s">
        <v>2223</v>
      </c>
      <c r="F32" s="49" t="s">
        <v>801</v>
      </c>
      <c r="G32" s="49" t="n">
        <v>1</v>
      </c>
      <c r="H32" s="0" t="n">
        <v>0</v>
      </c>
      <c r="I32" s="51" t="s">
        <v>2457</v>
      </c>
      <c r="J32" s="49" t="s">
        <v>2227</v>
      </c>
      <c r="K32" s="52" t="n">
        <v>47645</v>
      </c>
      <c r="M32" s="51" t="s">
        <v>2458</v>
      </c>
      <c r="N32" s="49" t="n">
        <v>1</v>
      </c>
      <c r="O32" s="53" t="n">
        <v>46058.4578472222</v>
      </c>
      <c r="P32" s="53" t="n">
        <v>46060.4118981482</v>
      </c>
      <c r="Q32" s="0" t="n">
        <v>46058.4578472222</v>
      </c>
      <c r="R32" s="0" t="n">
        <v>1</v>
      </c>
      <c r="S32" s="51" t="s">
        <v>2398</v>
      </c>
      <c r="T32" s="51" t="s">
        <v>2398</v>
      </c>
      <c r="U32" s="51" t="s">
        <v>2223</v>
      </c>
      <c r="V32" s="51" t="s">
        <v>2142</v>
      </c>
    </row>
    <row r="33" customFormat="false" ht="14.25" hidden="true" customHeight="false" outlineLevel="0" collapsed="false">
      <c r="A33" s="49" t="s">
        <v>2137</v>
      </c>
      <c r="B33" s="49" t="s">
        <v>14</v>
      </c>
      <c r="C33" s="49" t="s">
        <v>198</v>
      </c>
      <c r="D33" s="49" t="s">
        <v>2441</v>
      </c>
      <c r="E33" s="49" t="s">
        <v>2450</v>
      </c>
      <c r="F33" s="49" t="s">
        <v>194</v>
      </c>
      <c r="G33" s="49" t="n">
        <v>24</v>
      </c>
      <c r="H33" s="0" t="n">
        <v>0</v>
      </c>
      <c r="I33" s="51" t="s">
        <v>2459</v>
      </c>
      <c r="J33" s="49" t="s">
        <v>2460</v>
      </c>
      <c r="K33" s="52" t="n">
        <v>47663</v>
      </c>
      <c r="M33" s="51" t="s">
        <v>2453</v>
      </c>
      <c r="N33" s="49" t="n">
        <v>24</v>
      </c>
      <c r="O33" s="53" t="n">
        <v>46050.5561574074</v>
      </c>
      <c r="P33" s="53" t="n">
        <v>46060.6348148148</v>
      </c>
      <c r="Q33" s="53" t="n">
        <v>46050.5561574074</v>
      </c>
      <c r="R33" s="0" t="n">
        <v>0</v>
      </c>
      <c r="S33" s="51" t="s">
        <v>2380</v>
      </c>
      <c r="T33" s="51" t="s">
        <v>2380</v>
      </c>
      <c r="U33" s="51" t="s">
        <v>2450</v>
      </c>
      <c r="V33" s="51" t="s">
        <v>2205</v>
      </c>
      <c r="W33" s="51" t="s">
        <v>2461</v>
      </c>
      <c r="X33" s="51"/>
    </row>
    <row r="34" customFormat="false" ht="14.25" hidden="true" customHeight="false" outlineLevel="0" collapsed="false">
      <c r="A34" s="49" t="s">
        <v>2137</v>
      </c>
      <c r="B34" s="49" t="s">
        <v>14</v>
      </c>
      <c r="C34" s="49" t="s">
        <v>199</v>
      </c>
      <c r="D34" s="49" t="s">
        <v>2441</v>
      </c>
      <c r="E34" s="49" t="s">
        <v>2450</v>
      </c>
      <c r="F34" s="49" t="s">
        <v>194</v>
      </c>
      <c r="G34" s="49" t="n">
        <v>22</v>
      </c>
      <c r="H34" s="0" t="n">
        <v>0</v>
      </c>
      <c r="I34" s="51" t="s">
        <v>2462</v>
      </c>
      <c r="J34" s="49" t="s">
        <v>2463</v>
      </c>
      <c r="K34" s="52" t="n">
        <v>47663</v>
      </c>
      <c r="M34" s="51" t="s">
        <v>2453</v>
      </c>
      <c r="N34" s="49" t="n">
        <v>22</v>
      </c>
      <c r="O34" s="53" t="n">
        <v>46050.5783217593</v>
      </c>
      <c r="P34" s="53" t="n">
        <v>46061.4044328704</v>
      </c>
      <c r="Q34" s="53" t="n">
        <v>46050.5783217593</v>
      </c>
      <c r="R34" s="0" t="n">
        <v>0</v>
      </c>
      <c r="S34" s="51" t="s">
        <v>2380</v>
      </c>
      <c r="T34" s="51" t="s">
        <v>2380</v>
      </c>
      <c r="U34" s="51" t="s">
        <v>2450</v>
      </c>
      <c r="V34" s="51" t="s">
        <v>2205</v>
      </c>
      <c r="W34" s="51" t="s">
        <v>2464</v>
      </c>
      <c r="X34" s="51"/>
    </row>
    <row r="35" customFormat="false" ht="14.25" hidden="true" customHeight="false" outlineLevel="0" collapsed="false">
      <c r="A35" s="49" t="s">
        <v>2137</v>
      </c>
      <c r="B35" s="49" t="s">
        <v>14</v>
      </c>
      <c r="C35" s="49" t="s">
        <v>202</v>
      </c>
      <c r="D35" s="49" t="s">
        <v>2441</v>
      </c>
      <c r="E35" s="49" t="s">
        <v>2450</v>
      </c>
      <c r="F35" s="49" t="s">
        <v>194</v>
      </c>
      <c r="G35" s="49" t="n">
        <v>2</v>
      </c>
      <c r="H35" s="0" t="n">
        <v>0</v>
      </c>
      <c r="I35" s="51" t="s">
        <v>2465</v>
      </c>
      <c r="J35" s="49" t="s">
        <v>2463</v>
      </c>
      <c r="K35" s="52" t="n">
        <v>47663</v>
      </c>
      <c r="M35" s="51" t="s">
        <v>2453</v>
      </c>
      <c r="N35" s="49" t="n">
        <v>2</v>
      </c>
      <c r="O35" s="53" t="n">
        <v>46050.5650115741</v>
      </c>
      <c r="P35" s="53" t="n">
        <v>46055.4623842593</v>
      </c>
      <c r="Q35" s="53" t="n">
        <v>46050.5650115741</v>
      </c>
      <c r="R35" s="0" t="n">
        <v>1</v>
      </c>
      <c r="S35" s="51" t="s">
        <v>2380</v>
      </c>
      <c r="T35" s="51" t="s">
        <v>2380</v>
      </c>
      <c r="U35" s="51" t="s">
        <v>2450</v>
      </c>
      <c r="V35" s="51" t="s">
        <v>2205</v>
      </c>
      <c r="W35" s="51"/>
      <c r="X35" s="51"/>
    </row>
    <row r="36" customFormat="false" ht="14.25" hidden="true" customHeight="false" outlineLevel="0" collapsed="false">
      <c r="A36" s="49" t="s">
        <v>2137</v>
      </c>
      <c r="B36" s="49" t="s">
        <v>14</v>
      </c>
      <c r="C36" s="49" t="s">
        <v>195</v>
      </c>
      <c r="D36" s="49" t="s">
        <v>2441</v>
      </c>
      <c r="E36" s="49" t="s">
        <v>2450</v>
      </c>
      <c r="F36" s="49" t="s">
        <v>194</v>
      </c>
      <c r="G36" s="49" t="n">
        <v>24</v>
      </c>
      <c r="H36" s="0" t="n">
        <v>0</v>
      </c>
      <c r="I36" s="51" t="s">
        <v>2466</v>
      </c>
      <c r="J36" s="49" t="s">
        <v>2463</v>
      </c>
      <c r="K36" s="52" t="n">
        <v>47663</v>
      </c>
      <c r="M36" s="51" t="s">
        <v>2453</v>
      </c>
      <c r="N36" s="49" t="n">
        <v>24</v>
      </c>
      <c r="O36" s="53" t="n">
        <v>46050.5588657407</v>
      </c>
      <c r="P36" s="53" t="n">
        <v>46060.6323958333</v>
      </c>
      <c r="Q36" s="53" t="n">
        <v>46050.5588657407</v>
      </c>
      <c r="R36" s="0" t="n">
        <v>0</v>
      </c>
      <c r="S36" s="51" t="s">
        <v>2380</v>
      </c>
      <c r="T36" s="51" t="s">
        <v>2380</v>
      </c>
      <c r="U36" s="51" t="s">
        <v>2450</v>
      </c>
      <c r="V36" s="51" t="s">
        <v>2205</v>
      </c>
      <c r="W36" s="51" t="s">
        <v>2467</v>
      </c>
      <c r="X36" s="51"/>
    </row>
    <row r="37" customFormat="false" ht="14.25" hidden="true" customHeight="false" outlineLevel="0" collapsed="false">
      <c r="A37" s="49" t="s">
        <v>2137</v>
      </c>
      <c r="B37" s="49" t="s">
        <v>14</v>
      </c>
      <c r="C37" s="49" t="s">
        <v>193</v>
      </c>
      <c r="D37" s="49" t="s">
        <v>2441</v>
      </c>
      <c r="E37" s="49" t="s">
        <v>2450</v>
      </c>
      <c r="F37" s="49" t="s">
        <v>194</v>
      </c>
      <c r="G37" s="49" t="n">
        <v>24</v>
      </c>
      <c r="H37" s="0" t="n">
        <v>0</v>
      </c>
      <c r="I37" s="51" t="s">
        <v>2468</v>
      </c>
      <c r="J37" s="49" t="s">
        <v>2463</v>
      </c>
      <c r="K37" s="52" t="n">
        <v>47663</v>
      </c>
      <c r="M37" s="51" t="s">
        <v>2453</v>
      </c>
      <c r="N37" s="49" t="n">
        <v>24</v>
      </c>
      <c r="O37" s="53" t="n">
        <v>46050.5591666667</v>
      </c>
      <c r="P37" s="53" t="n">
        <v>46060.6296180556</v>
      </c>
      <c r="Q37" s="53" t="n">
        <v>46050.5591666667</v>
      </c>
      <c r="R37" s="0" t="n">
        <v>0</v>
      </c>
      <c r="S37" s="51" t="s">
        <v>2380</v>
      </c>
      <c r="T37" s="51" t="s">
        <v>2380</v>
      </c>
      <c r="U37" s="51" t="s">
        <v>2450</v>
      </c>
      <c r="V37" s="51" t="s">
        <v>2205</v>
      </c>
      <c r="W37" s="51" t="s">
        <v>2469</v>
      </c>
      <c r="X37" s="51"/>
    </row>
    <row r="38" customFormat="false" ht="14.25" hidden="true" customHeight="false" outlineLevel="0" collapsed="false">
      <c r="A38" s="49" t="s">
        <v>2137</v>
      </c>
      <c r="B38" s="49" t="s">
        <v>14</v>
      </c>
      <c r="C38" s="49" t="s">
        <v>217</v>
      </c>
      <c r="D38" s="49" t="s">
        <v>2441</v>
      </c>
      <c r="E38" s="49" t="s">
        <v>2450</v>
      </c>
      <c r="F38" s="49" t="s">
        <v>194</v>
      </c>
      <c r="G38" s="49" t="n">
        <v>24</v>
      </c>
      <c r="H38" s="0" t="n">
        <v>0</v>
      </c>
      <c r="I38" s="51" t="s">
        <v>2470</v>
      </c>
      <c r="J38" s="49" t="s">
        <v>2463</v>
      </c>
      <c r="K38" s="52" t="n">
        <v>47663</v>
      </c>
      <c r="M38" s="51" t="s">
        <v>2453</v>
      </c>
      <c r="N38" s="49" t="n">
        <v>24</v>
      </c>
      <c r="O38" s="53" t="n">
        <v>46050.5632986111</v>
      </c>
      <c r="P38" s="53" t="n">
        <v>46060.620775463</v>
      </c>
      <c r="Q38" s="53" t="n">
        <v>46050.5632986111</v>
      </c>
      <c r="R38" s="0" t="n">
        <v>0</v>
      </c>
      <c r="S38" s="51" t="s">
        <v>2380</v>
      </c>
      <c r="T38" s="51" t="s">
        <v>2380</v>
      </c>
      <c r="U38" s="51" t="s">
        <v>2450</v>
      </c>
      <c r="V38" s="51" t="s">
        <v>2205</v>
      </c>
      <c r="W38" s="51" t="s">
        <v>2471</v>
      </c>
      <c r="X38" s="51"/>
    </row>
    <row r="39" customFormat="false" ht="14.25" hidden="true" customHeight="false" outlineLevel="0" collapsed="false">
      <c r="A39" s="49" t="s">
        <v>2137</v>
      </c>
      <c r="B39" s="49" t="s">
        <v>14</v>
      </c>
      <c r="C39" s="49" t="s">
        <v>207</v>
      </c>
      <c r="D39" s="49" t="s">
        <v>2441</v>
      </c>
      <c r="E39" s="49" t="s">
        <v>2450</v>
      </c>
      <c r="F39" s="49" t="s">
        <v>194</v>
      </c>
      <c r="G39" s="49" t="n">
        <v>24</v>
      </c>
      <c r="H39" s="0" t="n">
        <v>0</v>
      </c>
      <c r="I39" s="51" t="s">
        <v>2472</v>
      </c>
      <c r="J39" s="49" t="s">
        <v>2463</v>
      </c>
      <c r="K39" s="52" t="n">
        <v>47663</v>
      </c>
      <c r="M39" s="51" t="s">
        <v>2453</v>
      </c>
      <c r="N39" s="49" t="n">
        <v>24</v>
      </c>
      <c r="O39" s="53" t="n">
        <v>46050.5634490741</v>
      </c>
      <c r="P39" s="53" t="n">
        <v>46060.624212963</v>
      </c>
      <c r="Q39" s="53" t="n">
        <v>46050.5634490741</v>
      </c>
      <c r="R39" s="0" t="n">
        <v>0</v>
      </c>
      <c r="S39" s="51" t="s">
        <v>2380</v>
      </c>
      <c r="T39" s="51" t="s">
        <v>2380</v>
      </c>
      <c r="U39" s="51" t="s">
        <v>2450</v>
      </c>
      <c r="V39" s="51" t="s">
        <v>2205</v>
      </c>
      <c r="W39" s="51" t="s">
        <v>2473</v>
      </c>
      <c r="X39" s="51"/>
    </row>
    <row r="40" customFormat="false" ht="14.25" hidden="true" customHeight="false" outlineLevel="0" collapsed="false">
      <c r="A40" s="49" t="s">
        <v>2137</v>
      </c>
      <c r="B40" s="49" t="s">
        <v>14</v>
      </c>
      <c r="C40" s="49" t="s">
        <v>206</v>
      </c>
      <c r="D40" s="49" t="s">
        <v>2441</v>
      </c>
      <c r="E40" s="49" t="s">
        <v>2450</v>
      </c>
      <c r="F40" s="49" t="s">
        <v>194</v>
      </c>
      <c r="G40" s="49" t="n">
        <v>24</v>
      </c>
      <c r="H40" s="0" t="n">
        <v>0</v>
      </c>
      <c r="I40" s="51" t="s">
        <v>2474</v>
      </c>
      <c r="J40" s="49" t="s">
        <v>2463</v>
      </c>
      <c r="K40" s="52" t="n">
        <v>47663</v>
      </c>
      <c r="M40" s="51" t="s">
        <v>2453</v>
      </c>
      <c r="N40" s="49" t="n">
        <v>24</v>
      </c>
      <c r="O40" s="53" t="n">
        <v>46050.5636226852</v>
      </c>
      <c r="P40" s="53" t="n">
        <v>46060.6179513889</v>
      </c>
      <c r="Q40" s="53" t="n">
        <v>46050.5636226852</v>
      </c>
      <c r="R40" s="0" t="n">
        <v>0</v>
      </c>
      <c r="S40" s="51" t="s">
        <v>2380</v>
      </c>
      <c r="T40" s="51" t="s">
        <v>2380</v>
      </c>
      <c r="U40" s="51" t="s">
        <v>2450</v>
      </c>
      <c r="V40" s="51" t="s">
        <v>2205</v>
      </c>
      <c r="W40" s="51" t="s">
        <v>2475</v>
      </c>
      <c r="X40" s="51"/>
    </row>
    <row r="41" customFormat="false" ht="14.25" hidden="true" customHeight="false" outlineLevel="0" collapsed="false">
      <c r="A41" s="49" t="s">
        <v>2137</v>
      </c>
      <c r="B41" s="49" t="s">
        <v>14</v>
      </c>
      <c r="C41" s="49" t="s">
        <v>203</v>
      </c>
      <c r="D41" s="49" t="s">
        <v>2441</v>
      </c>
      <c r="E41" s="49" t="s">
        <v>2450</v>
      </c>
      <c r="F41" s="49" t="s">
        <v>194</v>
      </c>
      <c r="G41" s="49" t="n">
        <v>24</v>
      </c>
      <c r="H41" s="0" t="n">
        <v>0</v>
      </c>
      <c r="I41" s="51" t="s">
        <v>2476</v>
      </c>
      <c r="J41" s="49" t="s">
        <v>2463</v>
      </c>
      <c r="K41" s="52" t="n">
        <v>47663</v>
      </c>
      <c r="M41" s="51" t="s">
        <v>2453</v>
      </c>
      <c r="N41" s="49" t="n">
        <v>24</v>
      </c>
      <c r="O41" s="53" t="n">
        <v>46050.5648032407</v>
      </c>
      <c r="P41" s="53" t="n">
        <v>46060.6153703704</v>
      </c>
      <c r="Q41" s="53" t="n">
        <v>46050.5648032407</v>
      </c>
      <c r="R41" s="0" t="n">
        <v>0</v>
      </c>
      <c r="S41" s="51" t="s">
        <v>2380</v>
      </c>
      <c r="T41" s="51" t="s">
        <v>2380</v>
      </c>
      <c r="U41" s="51" t="s">
        <v>2450</v>
      </c>
      <c r="V41" s="51" t="s">
        <v>2205</v>
      </c>
      <c r="W41" s="51" t="s">
        <v>2215</v>
      </c>
      <c r="X41" s="51"/>
    </row>
    <row r="42" customFormat="false" ht="14.25" hidden="true" customHeight="false" outlineLevel="0" collapsed="false">
      <c r="A42" s="49" t="s">
        <v>2137</v>
      </c>
      <c r="B42" s="49" t="s">
        <v>14</v>
      </c>
      <c r="C42" s="49" t="s">
        <v>806</v>
      </c>
      <c r="D42" s="49" t="s">
        <v>2441</v>
      </c>
      <c r="E42" s="49" t="s">
        <v>2223</v>
      </c>
      <c r="F42" s="49" t="s">
        <v>801</v>
      </c>
      <c r="G42" s="49" t="n">
        <v>2</v>
      </c>
      <c r="H42" s="0" t="n">
        <v>0</v>
      </c>
      <c r="I42" s="51" t="s">
        <v>2224</v>
      </c>
      <c r="J42" s="49" t="s">
        <v>2225</v>
      </c>
      <c r="K42" s="52" t="n">
        <v>47665</v>
      </c>
      <c r="M42" s="51" t="s">
        <v>2458</v>
      </c>
      <c r="N42" s="49" t="n">
        <v>3</v>
      </c>
      <c r="O42" s="53" t="n">
        <v>46058.4574768519</v>
      </c>
      <c r="P42" s="53" t="n">
        <v>46063.4467824074</v>
      </c>
      <c r="Q42" s="53" t="n">
        <v>46058.4574768519</v>
      </c>
      <c r="R42" s="0" t="n">
        <v>1</v>
      </c>
      <c r="S42" s="51" t="s">
        <v>2398</v>
      </c>
      <c r="T42" s="51" t="s">
        <v>2398</v>
      </c>
      <c r="U42" s="51" t="s">
        <v>2223</v>
      </c>
      <c r="V42" s="51" t="s">
        <v>2142</v>
      </c>
      <c r="W42" s="51"/>
      <c r="X42" s="51"/>
    </row>
    <row r="43" customFormat="false" ht="14.25" hidden="true" customHeight="false" outlineLevel="0" collapsed="false">
      <c r="A43" s="49" t="s">
        <v>2137</v>
      </c>
      <c r="B43" s="49" t="s">
        <v>14</v>
      </c>
      <c r="C43" s="49" t="s">
        <v>60</v>
      </c>
      <c r="D43" s="49" t="s">
        <v>2441</v>
      </c>
      <c r="E43" s="49" t="s">
        <v>2477</v>
      </c>
      <c r="F43" s="49" t="s">
        <v>47</v>
      </c>
      <c r="G43" s="49" t="n">
        <v>4</v>
      </c>
      <c r="H43" s="0" t="n">
        <v>0</v>
      </c>
      <c r="I43" s="51" t="s">
        <v>2478</v>
      </c>
      <c r="J43" s="49" t="s">
        <v>2479</v>
      </c>
      <c r="K43" s="52" t="n">
        <v>47683</v>
      </c>
      <c r="M43" s="51" t="s">
        <v>2480</v>
      </c>
      <c r="N43" s="49" t="n">
        <v>4</v>
      </c>
      <c r="O43" s="53" t="n">
        <v>46049.5093055556</v>
      </c>
      <c r="P43" s="53" t="n">
        <v>46052.6538194444</v>
      </c>
      <c r="Q43" s="53" t="n">
        <v>46049.5093055556</v>
      </c>
      <c r="R43" s="0" t="n">
        <v>0</v>
      </c>
      <c r="S43" s="51" t="s">
        <v>2380</v>
      </c>
      <c r="T43" s="51" t="s">
        <v>2380</v>
      </c>
      <c r="U43" s="51" t="s">
        <v>2477</v>
      </c>
      <c r="V43" s="51" t="s">
        <v>2142</v>
      </c>
      <c r="W43" s="51" t="s">
        <v>2481</v>
      </c>
      <c r="X43" s="51"/>
    </row>
    <row r="44" customFormat="false" ht="14.25" hidden="true" customHeight="false" outlineLevel="0" collapsed="false">
      <c r="A44" s="49" t="s">
        <v>2137</v>
      </c>
      <c r="B44" s="49" t="s">
        <v>14</v>
      </c>
      <c r="C44" s="49" t="s">
        <v>507</v>
      </c>
      <c r="D44" s="49" t="s">
        <v>2441</v>
      </c>
      <c r="E44" s="49" t="s">
        <v>2477</v>
      </c>
      <c r="F44" s="49" t="s">
        <v>47</v>
      </c>
      <c r="G44" s="49" t="n">
        <v>4</v>
      </c>
      <c r="H44" s="0" t="n">
        <v>0</v>
      </c>
      <c r="I44" s="51" t="s">
        <v>2482</v>
      </c>
      <c r="J44" s="49" t="s">
        <v>2479</v>
      </c>
      <c r="K44" s="52" t="n">
        <v>47683</v>
      </c>
      <c r="M44" s="51" t="s">
        <v>2483</v>
      </c>
      <c r="N44" s="49" t="n">
        <v>4</v>
      </c>
      <c r="O44" s="53" t="n">
        <v>46054.4709722222</v>
      </c>
      <c r="P44" s="53" t="n">
        <v>46054.6557523148</v>
      </c>
      <c r="Q44" s="53" t="n">
        <v>46054.4709722222</v>
      </c>
      <c r="R44" s="0" t="n">
        <v>0</v>
      </c>
      <c r="S44" s="51" t="s">
        <v>2380</v>
      </c>
      <c r="T44" s="51" t="s">
        <v>2380</v>
      </c>
      <c r="U44" s="51" t="s">
        <v>2477</v>
      </c>
      <c r="V44" s="51" t="s">
        <v>2142</v>
      </c>
      <c r="X44" s="51"/>
    </row>
    <row r="45" customFormat="false" ht="14.25" hidden="true" customHeight="false" outlineLevel="0" collapsed="false">
      <c r="A45" s="49" t="s">
        <v>2137</v>
      </c>
      <c r="B45" s="49" t="s">
        <v>14</v>
      </c>
      <c r="C45" s="49" t="s">
        <v>520</v>
      </c>
      <c r="D45" s="49" t="s">
        <v>2441</v>
      </c>
      <c r="E45" s="49" t="s">
        <v>2477</v>
      </c>
      <c r="F45" s="49" t="s">
        <v>47</v>
      </c>
      <c r="G45" s="49" t="n">
        <v>4</v>
      </c>
      <c r="H45" s="0" t="n">
        <v>0</v>
      </c>
      <c r="I45" s="51" t="s">
        <v>2484</v>
      </c>
      <c r="J45" s="49" t="s">
        <v>2479</v>
      </c>
      <c r="K45" s="52" t="n">
        <v>47683</v>
      </c>
      <c r="M45" s="51" t="s">
        <v>2483</v>
      </c>
      <c r="N45" s="49" t="n">
        <v>4</v>
      </c>
      <c r="O45" s="53" t="n">
        <v>46054.4678240741</v>
      </c>
      <c r="P45" s="53" t="n">
        <v>46054.6552893519</v>
      </c>
      <c r="Q45" s="53" t="n">
        <v>46054.4678240741</v>
      </c>
      <c r="R45" s="0" t="n">
        <v>0</v>
      </c>
      <c r="S45" s="51" t="s">
        <v>2380</v>
      </c>
      <c r="T45" s="51" t="s">
        <v>2380</v>
      </c>
      <c r="U45" s="51" t="s">
        <v>2477</v>
      </c>
      <c r="V45" s="51" t="s">
        <v>2142</v>
      </c>
      <c r="W45" s="51"/>
      <c r="X45" s="51"/>
    </row>
    <row r="46" customFormat="false" ht="14.25" hidden="true" customHeight="false" outlineLevel="0" collapsed="false">
      <c r="A46" s="49" t="s">
        <v>2137</v>
      </c>
      <c r="B46" s="49" t="s">
        <v>14</v>
      </c>
      <c r="C46" s="49" t="s">
        <v>526</v>
      </c>
      <c r="D46" s="49" t="s">
        <v>2441</v>
      </c>
      <c r="E46" s="49" t="s">
        <v>2477</v>
      </c>
      <c r="F46" s="49" t="s">
        <v>47</v>
      </c>
      <c r="G46" s="49" t="n">
        <v>4</v>
      </c>
      <c r="H46" s="0" t="n">
        <v>0</v>
      </c>
      <c r="I46" s="51" t="s">
        <v>2485</v>
      </c>
      <c r="J46" s="49" t="s">
        <v>2479</v>
      </c>
      <c r="K46" s="52" t="n">
        <v>47683</v>
      </c>
      <c r="M46" s="51" t="s">
        <v>2483</v>
      </c>
      <c r="N46" s="49" t="n">
        <v>4</v>
      </c>
      <c r="O46" s="53" t="n">
        <v>46054.4608564815</v>
      </c>
      <c r="P46" s="53" t="n">
        <v>46054.6541087963</v>
      </c>
      <c r="Q46" s="53" t="n">
        <v>46054.4608564815</v>
      </c>
      <c r="R46" s="0" t="n">
        <v>0</v>
      </c>
      <c r="S46" s="51" t="s">
        <v>2380</v>
      </c>
      <c r="T46" s="51" t="s">
        <v>2380</v>
      </c>
      <c r="U46" s="51" t="s">
        <v>2477</v>
      </c>
      <c r="V46" s="51" t="s">
        <v>2142</v>
      </c>
      <c r="X46" s="51"/>
    </row>
    <row r="47" customFormat="false" ht="14.25" hidden="false" customHeight="false" outlineLevel="0" collapsed="false">
      <c r="A47" s="49" t="s">
        <v>2137</v>
      </c>
      <c r="B47" s="49" t="s">
        <v>14</v>
      </c>
      <c r="C47" s="49" t="s">
        <v>486</v>
      </c>
      <c r="D47" s="49" t="s">
        <v>2441</v>
      </c>
      <c r="E47" s="49" t="s">
        <v>2477</v>
      </c>
      <c r="F47" s="49" t="s">
        <v>47</v>
      </c>
      <c r="G47" s="49" t="n">
        <v>4</v>
      </c>
      <c r="H47" s="0" t="n">
        <v>0</v>
      </c>
      <c r="I47" s="51" t="s">
        <v>2486</v>
      </c>
      <c r="J47" s="49" t="s">
        <v>2479</v>
      </c>
      <c r="K47" s="52" t="n">
        <v>47683</v>
      </c>
      <c r="M47" s="51" t="s">
        <v>2487</v>
      </c>
      <c r="N47" s="0" t="n">
        <v>4</v>
      </c>
      <c r="O47" s="53" t="n">
        <v>46054.4569907407</v>
      </c>
      <c r="P47" s="53" t="n">
        <v>46054.6546643519</v>
      </c>
      <c r="Q47" s="0" t="n">
        <v>46054.4569907407</v>
      </c>
      <c r="R47" s="0" t="n">
        <v>0</v>
      </c>
      <c r="S47" s="51" t="s">
        <v>2380</v>
      </c>
      <c r="T47" s="51" t="s">
        <v>2380</v>
      </c>
      <c r="U47" s="51" t="s">
        <v>2477</v>
      </c>
      <c r="V47" s="51" t="s">
        <v>2142</v>
      </c>
    </row>
    <row r="48" customFormat="false" ht="14.25" hidden="true" customHeight="false" outlineLevel="0" collapsed="false">
      <c r="A48" s="49" t="s">
        <v>2137</v>
      </c>
      <c r="B48" s="49" t="s">
        <v>14</v>
      </c>
      <c r="C48" s="49" t="s">
        <v>485</v>
      </c>
      <c r="D48" s="49" t="s">
        <v>2441</v>
      </c>
      <c r="E48" s="49" t="s">
        <v>2477</v>
      </c>
      <c r="F48" s="49" t="s">
        <v>47</v>
      </c>
      <c r="G48" s="49" t="n">
        <v>4</v>
      </c>
      <c r="H48" s="0" t="n">
        <v>0</v>
      </c>
      <c r="I48" s="51" t="s">
        <v>2488</v>
      </c>
      <c r="J48" s="49" t="s">
        <v>2479</v>
      </c>
      <c r="K48" s="52" t="n">
        <v>47683</v>
      </c>
      <c r="M48" s="51" t="s">
        <v>2487</v>
      </c>
      <c r="N48" s="49" t="n">
        <v>4</v>
      </c>
      <c r="O48" s="53" t="n">
        <v>46054.4571990741</v>
      </c>
      <c r="P48" s="53" t="n">
        <v>46054.6547453704</v>
      </c>
      <c r="Q48" s="53" t="n">
        <v>46054.4571990741</v>
      </c>
      <c r="R48" s="0" t="n">
        <v>0</v>
      </c>
      <c r="S48" s="51" t="s">
        <v>2380</v>
      </c>
      <c r="T48" s="51" t="s">
        <v>2380</v>
      </c>
      <c r="U48" s="51" t="s">
        <v>2477</v>
      </c>
      <c r="V48" s="51" t="s">
        <v>2142</v>
      </c>
      <c r="W48" s="51" t="s">
        <v>2489</v>
      </c>
      <c r="X48" s="51"/>
    </row>
    <row r="49" customFormat="false" ht="14.25" hidden="true" customHeight="false" outlineLevel="0" collapsed="false">
      <c r="A49" s="49" t="s">
        <v>2137</v>
      </c>
      <c r="B49" s="49" t="s">
        <v>14</v>
      </c>
      <c r="C49" s="49" t="s">
        <v>474</v>
      </c>
      <c r="D49" s="49" t="s">
        <v>2441</v>
      </c>
      <c r="E49" s="49" t="s">
        <v>2477</v>
      </c>
      <c r="F49" s="49" t="s">
        <v>47</v>
      </c>
      <c r="G49" s="49" t="n">
        <v>4</v>
      </c>
      <c r="H49" s="0" t="n">
        <v>0</v>
      </c>
      <c r="I49" s="51" t="s">
        <v>2490</v>
      </c>
      <c r="J49" s="49" t="s">
        <v>2479</v>
      </c>
      <c r="K49" s="52" t="n">
        <v>47683</v>
      </c>
      <c r="M49" s="51" t="s">
        <v>2487</v>
      </c>
      <c r="N49" s="49" t="n">
        <v>4</v>
      </c>
      <c r="O49" s="53" t="n">
        <v>46054.4517939815</v>
      </c>
      <c r="P49" s="53" t="n">
        <v>46054.6541666667</v>
      </c>
      <c r="Q49" s="53" t="n">
        <v>46054.4517939815</v>
      </c>
      <c r="R49" s="0" t="n">
        <v>0</v>
      </c>
      <c r="S49" s="51" t="s">
        <v>2380</v>
      </c>
      <c r="T49" s="51" t="s">
        <v>2380</v>
      </c>
      <c r="U49" s="51" t="s">
        <v>2477</v>
      </c>
      <c r="V49" s="51" t="s">
        <v>2142</v>
      </c>
      <c r="W49" s="51"/>
      <c r="X49" s="51"/>
    </row>
    <row r="50" customFormat="false" ht="14.25" hidden="true" customHeight="false" outlineLevel="0" collapsed="false">
      <c r="A50" s="49" t="s">
        <v>2137</v>
      </c>
      <c r="B50" s="49" t="s">
        <v>14</v>
      </c>
      <c r="C50" s="49" t="s">
        <v>483</v>
      </c>
      <c r="D50" s="49" t="s">
        <v>2441</v>
      </c>
      <c r="E50" s="49" t="s">
        <v>2477</v>
      </c>
      <c r="F50" s="49" t="s">
        <v>47</v>
      </c>
      <c r="G50" s="49" t="n">
        <v>4</v>
      </c>
      <c r="H50" s="0" t="n">
        <v>0</v>
      </c>
      <c r="I50" s="51" t="s">
        <v>2491</v>
      </c>
      <c r="J50" s="49" t="s">
        <v>2479</v>
      </c>
      <c r="K50" s="52" t="n">
        <v>47683</v>
      </c>
      <c r="M50" s="51" t="s">
        <v>2487</v>
      </c>
      <c r="N50" s="49" t="n">
        <v>4</v>
      </c>
      <c r="O50" s="53" t="n">
        <v>46054.4512268519</v>
      </c>
      <c r="P50" s="53" t="n">
        <v>46054.6539351852</v>
      </c>
      <c r="Q50" s="53" t="n">
        <v>46054.4512268519</v>
      </c>
      <c r="R50" s="0" t="n">
        <v>0</v>
      </c>
      <c r="S50" s="51" t="s">
        <v>2380</v>
      </c>
      <c r="T50" s="51" t="s">
        <v>2380</v>
      </c>
      <c r="U50" s="51" t="s">
        <v>2477</v>
      </c>
      <c r="V50" s="51" t="s">
        <v>2142</v>
      </c>
      <c r="W50" s="51"/>
      <c r="X50" s="51"/>
    </row>
    <row r="51" customFormat="false" ht="14.25" hidden="true" customHeight="false" outlineLevel="0" collapsed="false">
      <c r="A51" s="49" t="s">
        <v>2137</v>
      </c>
      <c r="B51" s="49" t="s">
        <v>14</v>
      </c>
      <c r="C51" s="49" t="s">
        <v>527</v>
      </c>
      <c r="D51" s="49" t="s">
        <v>2441</v>
      </c>
      <c r="E51" s="49" t="s">
        <v>2477</v>
      </c>
      <c r="F51" s="49" t="s">
        <v>47</v>
      </c>
      <c r="G51" s="49" t="n">
        <v>4</v>
      </c>
      <c r="H51" s="0" t="n">
        <v>0</v>
      </c>
      <c r="I51" s="51" t="s">
        <v>2492</v>
      </c>
      <c r="J51" s="49" t="s">
        <v>2493</v>
      </c>
      <c r="K51" s="52" t="n">
        <v>47685</v>
      </c>
      <c r="M51" s="51" t="s">
        <v>2483</v>
      </c>
      <c r="N51" s="49" t="n">
        <v>4</v>
      </c>
      <c r="O51" s="53" t="n">
        <v>46054.4660763889</v>
      </c>
      <c r="P51" s="53" t="n">
        <v>46054.6560763889</v>
      </c>
      <c r="Q51" s="53" t="n">
        <v>46054.4660763889</v>
      </c>
      <c r="R51" s="0" t="n">
        <v>0</v>
      </c>
      <c r="S51" s="51" t="s">
        <v>2380</v>
      </c>
      <c r="T51" s="51" t="s">
        <v>2380</v>
      </c>
      <c r="U51" s="51" t="s">
        <v>2477</v>
      </c>
      <c r="V51" s="51" t="s">
        <v>2142</v>
      </c>
      <c r="W51" s="51"/>
      <c r="X51" s="51"/>
    </row>
    <row r="52" customFormat="false" ht="14.25" hidden="true" customHeight="false" outlineLevel="0" collapsed="false">
      <c r="A52" s="49" t="s">
        <v>2137</v>
      </c>
      <c r="B52" s="49" t="s">
        <v>14</v>
      </c>
      <c r="C52" s="49" t="s">
        <v>204</v>
      </c>
      <c r="D52" s="49" t="s">
        <v>2441</v>
      </c>
      <c r="E52" s="49" t="s">
        <v>2450</v>
      </c>
      <c r="F52" s="49" t="s">
        <v>194</v>
      </c>
      <c r="G52" s="49" t="n">
        <v>24</v>
      </c>
      <c r="H52" s="0" t="n">
        <v>0</v>
      </c>
      <c r="I52" s="51" t="s">
        <v>2494</v>
      </c>
      <c r="J52" s="49" t="s">
        <v>2495</v>
      </c>
      <c r="K52" s="52" t="n">
        <v>47687</v>
      </c>
      <c r="M52" s="51" t="s">
        <v>2453</v>
      </c>
      <c r="N52" s="49" t="n">
        <v>24</v>
      </c>
      <c r="O52" s="53" t="n">
        <v>46050.5640740741</v>
      </c>
      <c r="P52" s="53" t="n">
        <v>46060.6165856481</v>
      </c>
      <c r="Q52" s="53" t="n">
        <v>46050.5640740741</v>
      </c>
      <c r="R52" s="0" t="n">
        <v>0</v>
      </c>
      <c r="S52" s="51" t="s">
        <v>2380</v>
      </c>
      <c r="T52" s="51" t="s">
        <v>2380</v>
      </c>
      <c r="U52" s="51" t="s">
        <v>2450</v>
      </c>
      <c r="V52" s="51" t="s">
        <v>2205</v>
      </c>
      <c r="W52" s="51" t="s">
        <v>2496</v>
      </c>
      <c r="X52" s="51"/>
    </row>
    <row r="53" customFormat="false" ht="14.25" hidden="true" customHeight="false" outlineLevel="0" collapsed="false">
      <c r="A53" s="49" t="s">
        <v>2137</v>
      </c>
      <c r="B53" s="49" t="s">
        <v>14</v>
      </c>
      <c r="C53" s="49" t="s">
        <v>200</v>
      </c>
      <c r="D53" s="49" t="s">
        <v>2441</v>
      </c>
      <c r="E53" s="49" t="s">
        <v>2450</v>
      </c>
      <c r="F53" s="49" t="s">
        <v>194</v>
      </c>
      <c r="G53" s="49" t="n">
        <v>22</v>
      </c>
      <c r="H53" s="0" t="n">
        <v>0</v>
      </c>
      <c r="I53" s="51" t="s">
        <v>2497</v>
      </c>
      <c r="J53" s="49" t="s">
        <v>2495</v>
      </c>
      <c r="K53" s="52" t="n">
        <v>47687</v>
      </c>
      <c r="M53" s="51" t="s">
        <v>2453</v>
      </c>
      <c r="N53" s="49" t="n">
        <v>22</v>
      </c>
      <c r="O53" s="53" t="n">
        <v>46050.5781018519</v>
      </c>
      <c r="P53" s="53" t="n">
        <v>46061.4069560185</v>
      </c>
      <c r="Q53" s="53" t="n">
        <v>46050.5781018519</v>
      </c>
      <c r="R53" s="0" t="n">
        <v>0</v>
      </c>
      <c r="S53" s="51" t="s">
        <v>2380</v>
      </c>
      <c r="T53" s="51" t="s">
        <v>2380</v>
      </c>
      <c r="U53" s="51" t="s">
        <v>2450</v>
      </c>
      <c r="V53" s="51" t="s">
        <v>2205</v>
      </c>
      <c r="W53" s="51" t="s">
        <v>2498</v>
      </c>
      <c r="X53" s="51"/>
    </row>
    <row r="54" customFormat="false" ht="14.25" hidden="true" customHeight="false" outlineLevel="0" collapsed="false">
      <c r="A54" s="49" t="s">
        <v>2137</v>
      </c>
      <c r="B54" s="49" t="s">
        <v>14</v>
      </c>
      <c r="C54" s="49" t="s">
        <v>201</v>
      </c>
      <c r="D54" s="49" t="s">
        <v>2441</v>
      </c>
      <c r="E54" s="49" t="s">
        <v>2450</v>
      </c>
      <c r="F54" s="49" t="s">
        <v>194</v>
      </c>
      <c r="G54" s="49" t="n">
        <v>2</v>
      </c>
      <c r="H54" s="0" t="n">
        <v>0</v>
      </c>
      <c r="I54" s="51" t="s">
        <v>2499</v>
      </c>
      <c r="J54" s="49" t="s">
        <v>2495</v>
      </c>
      <c r="K54" s="52" t="n">
        <v>47687</v>
      </c>
      <c r="M54" s="51" t="s">
        <v>2453</v>
      </c>
      <c r="N54" s="49" t="n">
        <v>2</v>
      </c>
      <c r="O54" s="53" t="n">
        <v>46050.565162037</v>
      </c>
      <c r="P54" s="53" t="n">
        <v>46055.4624421296</v>
      </c>
      <c r="Q54" s="53" t="n">
        <v>46050.565162037</v>
      </c>
      <c r="R54" s="0" t="n">
        <v>1</v>
      </c>
      <c r="S54" s="51" t="s">
        <v>2380</v>
      </c>
      <c r="T54" s="51" t="s">
        <v>2380</v>
      </c>
      <c r="U54" s="51" t="s">
        <v>2450</v>
      </c>
      <c r="V54" s="51" t="s">
        <v>2205</v>
      </c>
      <c r="X54" s="51"/>
    </row>
    <row r="55" customFormat="false" ht="14.25" hidden="true" customHeight="false" outlineLevel="0" collapsed="false">
      <c r="A55" s="49" t="s">
        <v>2137</v>
      </c>
      <c r="B55" s="49" t="s">
        <v>14</v>
      </c>
      <c r="C55" s="49" t="s">
        <v>999</v>
      </c>
      <c r="D55" s="49" t="s">
        <v>2441</v>
      </c>
      <c r="E55" s="49" t="s">
        <v>2500</v>
      </c>
      <c r="F55" s="49" t="s">
        <v>16</v>
      </c>
      <c r="G55" s="49" t="n">
        <v>4</v>
      </c>
      <c r="H55" s="0" t="n">
        <v>0</v>
      </c>
      <c r="I55" s="51" t="s">
        <v>2501</v>
      </c>
      <c r="J55" s="49" t="s">
        <v>2502</v>
      </c>
      <c r="K55" s="52" t="n">
        <v>47690</v>
      </c>
      <c r="M55" s="51" t="s">
        <v>2503</v>
      </c>
      <c r="N55" s="49" t="n">
        <v>4</v>
      </c>
      <c r="O55" s="53" t="n">
        <v>46060.4740509259</v>
      </c>
      <c r="P55" s="53" t="n">
        <v>46062.3666435185</v>
      </c>
      <c r="Q55" s="53" t="n">
        <v>46060.4740509259</v>
      </c>
      <c r="R55" s="0" t="n">
        <v>0</v>
      </c>
      <c r="S55" s="51" t="s">
        <v>2398</v>
      </c>
      <c r="T55" s="51" t="s">
        <v>2398</v>
      </c>
      <c r="U55" s="51" t="s">
        <v>2500</v>
      </c>
      <c r="V55" s="51" t="s">
        <v>2142</v>
      </c>
      <c r="W55" s="51"/>
      <c r="X55" s="51"/>
    </row>
    <row r="56" customFormat="false" ht="14.25" hidden="true" customHeight="false" outlineLevel="0" collapsed="false">
      <c r="A56" s="49" t="s">
        <v>2137</v>
      </c>
      <c r="B56" s="49" t="s">
        <v>14</v>
      </c>
      <c r="C56" s="49" t="s">
        <v>529</v>
      </c>
      <c r="D56" s="49" t="s">
        <v>2441</v>
      </c>
      <c r="E56" s="49" t="s">
        <v>2477</v>
      </c>
      <c r="F56" s="49" t="s">
        <v>47</v>
      </c>
      <c r="G56" s="49" t="n">
        <v>4</v>
      </c>
      <c r="H56" s="0" t="n">
        <v>0</v>
      </c>
      <c r="I56" s="51" t="s">
        <v>2504</v>
      </c>
      <c r="J56" s="49" t="s">
        <v>2505</v>
      </c>
      <c r="K56" s="52" t="n">
        <v>47700</v>
      </c>
      <c r="M56" s="51" t="s">
        <v>2483</v>
      </c>
      <c r="N56" s="49" t="n">
        <v>4</v>
      </c>
      <c r="O56" s="53" t="n">
        <v>46054.462037037</v>
      </c>
      <c r="P56" s="53" t="n">
        <v>46054.6569791667</v>
      </c>
      <c r="Q56" s="0" t="n">
        <v>46054.462037037</v>
      </c>
      <c r="R56" s="0" t="n">
        <v>0</v>
      </c>
      <c r="S56" s="51" t="s">
        <v>2380</v>
      </c>
      <c r="T56" s="51" t="s">
        <v>2380</v>
      </c>
      <c r="U56" s="51" t="s">
        <v>2477</v>
      </c>
      <c r="V56" s="51" t="s">
        <v>2142</v>
      </c>
    </row>
    <row r="57" customFormat="false" ht="14.25" hidden="true" customHeight="false" outlineLevel="0" collapsed="false">
      <c r="A57" s="49" t="s">
        <v>2137</v>
      </c>
      <c r="B57" s="49" t="s">
        <v>14</v>
      </c>
      <c r="C57" s="49" t="s">
        <v>519</v>
      </c>
      <c r="D57" s="49" t="s">
        <v>2441</v>
      </c>
      <c r="E57" s="49" t="s">
        <v>2477</v>
      </c>
      <c r="F57" s="49" t="s">
        <v>47</v>
      </c>
      <c r="G57" s="49" t="n">
        <v>4</v>
      </c>
      <c r="H57" s="0" t="n">
        <v>0</v>
      </c>
      <c r="I57" s="51" t="s">
        <v>2506</v>
      </c>
      <c r="J57" s="49" t="s">
        <v>2505</v>
      </c>
      <c r="K57" s="52" t="n">
        <v>47700</v>
      </c>
      <c r="M57" s="51" t="s">
        <v>2483</v>
      </c>
      <c r="N57" s="49" t="n">
        <v>4</v>
      </c>
      <c r="O57" s="53" t="n">
        <v>46054.4706481482</v>
      </c>
      <c r="P57" s="53" t="n">
        <v>46054.6555324074</v>
      </c>
      <c r="Q57" s="53" t="n">
        <v>46054.4706481482</v>
      </c>
      <c r="R57" s="0" t="n">
        <v>0</v>
      </c>
      <c r="S57" s="51" t="s">
        <v>2380</v>
      </c>
      <c r="T57" s="51" t="s">
        <v>2380</v>
      </c>
      <c r="U57" s="51" t="s">
        <v>2477</v>
      </c>
      <c r="V57" s="51" t="s">
        <v>2142</v>
      </c>
      <c r="W57" s="51"/>
      <c r="X57" s="51"/>
    </row>
    <row r="58" customFormat="false" ht="14.25" hidden="true" customHeight="false" outlineLevel="0" collapsed="false">
      <c r="A58" s="49" t="s">
        <v>2137</v>
      </c>
      <c r="B58" s="49" t="s">
        <v>14</v>
      </c>
      <c r="C58" s="49" t="s">
        <v>521</v>
      </c>
      <c r="D58" s="49" t="s">
        <v>2441</v>
      </c>
      <c r="E58" s="49" t="s">
        <v>2477</v>
      </c>
      <c r="F58" s="49" t="s">
        <v>47</v>
      </c>
      <c r="G58" s="49" t="n">
        <v>4</v>
      </c>
      <c r="H58" s="0" t="n">
        <v>0</v>
      </c>
      <c r="I58" s="51" t="s">
        <v>2507</v>
      </c>
      <c r="J58" s="49" t="s">
        <v>2505</v>
      </c>
      <c r="K58" s="52" t="n">
        <v>47700</v>
      </c>
      <c r="M58" s="51" t="s">
        <v>2483</v>
      </c>
      <c r="N58" s="49" t="n">
        <v>4</v>
      </c>
      <c r="O58" s="53" t="n">
        <v>46054.4676157407</v>
      </c>
      <c r="P58" s="53" t="n">
        <v>46054.6560532407</v>
      </c>
      <c r="Q58" s="53" t="n">
        <v>46054.4676157407</v>
      </c>
      <c r="R58" s="0" t="n">
        <v>0</v>
      </c>
      <c r="S58" s="51" t="s">
        <v>2380</v>
      </c>
      <c r="T58" s="51" t="s">
        <v>2380</v>
      </c>
      <c r="U58" s="51" t="s">
        <v>2477</v>
      </c>
      <c r="V58" s="51" t="s">
        <v>2142</v>
      </c>
      <c r="W58" s="51"/>
      <c r="X58" s="51"/>
    </row>
    <row r="59" customFormat="false" ht="14.25" hidden="true" customHeight="false" outlineLevel="0" collapsed="false">
      <c r="A59" s="49" t="s">
        <v>2137</v>
      </c>
      <c r="B59" s="49" t="s">
        <v>14</v>
      </c>
      <c r="C59" s="49" t="s">
        <v>489</v>
      </c>
      <c r="D59" s="49" t="s">
        <v>2441</v>
      </c>
      <c r="E59" s="49" t="s">
        <v>2477</v>
      </c>
      <c r="F59" s="49" t="s">
        <v>47</v>
      </c>
      <c r="G59" s="49" t="n">
        <v>4</v>
      </c>
      <c r="H59" s="0" t="n">
        <v>0</v>
      </c>
      <c r="I59" s="51" t="s">
        <v>2508</v>
      </c>
      <c r="J59" s="49" t="s">
        <v>2509</v>
      </c>
      <c r="K59" s="52" t="n">
        <v>47703</v>
      </c>
      <c r="M59" s="51" t="s">
        <v>2487</v>
      </c>
      <c r="N59" s="49" t="n">
        <v>4</v>
      </c>
      <c r="O59" s="53" t="n">
        <v>46054.4563773148</v>
      </c>
      <c r="P59" s="53" t="n">
        <v>46054.654525463</v>
      </c>
      <c r="Q59" s="53" t="n">
        <v>46054.4563773148</v>
      </c>
      <c r="R59" s="0" t="n">
        <v>0</v>
      </c>
      <c r="S59" s="51" t="s">
        <v>2380</v>
      </c>
      <c r="T59" s="51" t="s">
        <v>2380</v>
      </c>
      <c r="U59" s="51" t="s">
        <v>2477</v>
      </c>
      <c r="V59" s="51" t="s">
        <v>2142</v>
      </c>
      <c r="W59" s="51"/>
      <c r="X59" s="51"/>
    </row>
    <row r="60" customFormat="false" ht="14.25" hidden="true" customHeight="false" outlineLevel="0" collapsed="false">
      <c r="A60" s="49" t="s">
        <v>2137</v>
      </c>
      <c r="B60" s="49" t="s">
        <v>14</v>
      </c>
      <c r="C60" s="49" t="s">
        <v>501</v>
      </c>
      <c r="D60" s="49" t="s">
        <v>2441</v>
      </c>
      <c r="E60" s="49" t="s">
        <v>2477</v>
      </c>
      <c r="F60" s="49" t="s">
        <v>47</v>
      </c>
      <c r="G60" s="49" t="n">
        <v>4</v>
      </c>
      <c r="H60" s="0" t="n">
        <v>0</v>
      </c>
      <c r="I60" s="51" t="s">
        <v>2510</v>
      </c>
      <c r="J60" s="49" t="s">
        <v>2509</v>
      </c>
      <c r="K60" s="52" t="n">
        <v>47703</v>
      </c>
      <c r="M60" s="51" t="s">
        <v>2483</v>
      </c>
      <c r="N60" s="49" t="n">
        <v>4</v>
      </c>
      <c r="O60" s="53" t="n">
        <v>46054.4616087963</v>
      </c>
      <c r="P60" s="53" t="n">
        <v>46054.6538773148</v>
      </c>
      <c r="Q60" s="53" t="n">
        <v>46054.4616087963</v>
      </c>
      <c r="R60" s="0" t="n">
        <v>0</v>
      </c>
      <c r="S60" s="51" t="s">
        <v>2380</v>
      </c>
      <c r="T60" s="51" t="s">
        <v>2380</v>
      </c>
      <c r="U60" s="51" t="s">
        <v>2477</v>
      </c>
      <c r="V60" s="51" t="s">
        <v>2142</v>
      </c>
      <c r="W60" s="51"/>
      <c r="X60" s="51"/>
    </row>
    <row r="61" customFormat="false" ht="14.25" hidden="true" customHeight="false" outlineLevel="0" collapsed="false">
      <c r="A61" s="49" t="s">
        <v>2137</v>
      </c>
      <c r="B61" s="49" t="s">
        <v>14</v>
      </c>
      <c r="C61" s="49" t="s">
        <v>488</v>
      </c>
      <c r="D61" s="49" t="s">
        <v>2441</v>
      </c>
      <c r="E61" s="49" t="s">
        <v>2477</v>
      </c>
      <c r="F61" s="49" t="s">
        <v>47</v>
      </c>
      <c r="G61" s="49" t="n">
        <v>4</v>
      </c>
      <c r="H61" s="0" t="n">
        <v>0</v>
      </c>
      <c r="I61" s="51" t="s">
        <v>2511</v>
      </c>
      <c r="J61" s="49" t="s">
        <v>2509</v>
      </c>
      <c r="K61" s="52" t="n">
        <v>47703</v>
      </c>
      <c r="M61" s="51" t="s">
        <v>2487</v>
      </c>
      <c r="N61" s="49" t="n">
        <v>4</v>
      </c>
      <c r="O61" s="53" t="n">
        <v>46054.4565856482</v>
      </c>
      <c r="P61" s="53" t="n">
        <v>46054.654837963</v>
      </c>
      <c r="Q61" s="53" t="n">
        <v>46054.4565856482</v>
      </c>
      <c r="R61" s="0" t="n">
        <v>0</v>
      </c>
      <c r="S61" s="51" t="s">
        <v>2380</v>
      </c>
      <c r="T61" s="51" t="s">
        <v>2380</v>
      </c>
      <c r="U61" s="51" t="s">
        <v>2477</v>
      </c>
      <c r="V61" s="51" t="s">
        <v>2142</v>
      </c>
      <c r="W61" s="51"/>
      <c r="X61" s="51"/>
    </row>
    <row r="62" customFormat="false" ht="14.25" hidden="true" customHeight="false" outlineLevel="0" collapsed="false">
      <c r="A62" s="49" t="s">
        <v>2137</v>
      </c>
      <c r="B62" s="49" t="s">
        <v>14</v>
      </c>
      <c r="C62" s="49" t="s">
        <v>487</v>
      </c>
      <c r="D62" s="49" t="s">
        <v>2441</v>
      </c>
      <c r="E62" s="49" t="s">
        <v>2477</v>
      </c>
      <c r="F62" s="49" t="s">
        <v>47</v>
      </c>
      <c r="G62" s="49" t="n">
        <v>4</v>
      </c>
      <c r="H62" s="0" t="n">
        <v>0</v>
      </c>
      <c r="I62" s="51" t="s">
        <v>2512</v>
      </c>
      <c r="J62" s="49" t="s">
        <v>2509</v>
      </c>
      <c r="K62" s="52" t="n">
        <v>47703</v>
      </c>
      <c r="M62" s="51" t="s">
        <v>2487</v>
      </c>
      <c r="N62" s="49" t="n">
        <v>4</v>
      </c>
      <c r="O62" s="53" t="n">
        <v>46054.4567824074</v>
      </c>
      <c r="P62" s="53" t="n">
        <v>46054.6548842593</v>
      </c>
      <c r="Q62" s="53" t="n">
        <v>46054.4567824074</v>
      </c>
      <c r="R62" s="0" t="n">
        <v>0</v>
      </c>
      <c r="S62" s="51" t="s">
        <v>2380</v>
      </c>
      <c r="T62" s="51" t="s">
        <v>2380</v>
      </c>
      <c r="U62" s="51" t="s">
        <v>2477</v>
      </c>
      <c r="V62" s="51" t="s">
        <v>2142</v>
      </c>
      <c r="W62" s="51"/>
      <c r="X62" s="51"/>
    </row>
    <row r="63" customFormat="false" ht="14.25" hidden="true" customHeight="false" outlineLevel="0" collapsed="false">
      <c r="A63" s="49" t="s">
        <v>2137</v>
      </c>
      <c r="B63" s="49" t="s">
        <v>14</v>
      </c>
      <c r="C63" s="49" t="s">
        <v>473</v>
      </c>
      <c r="D63" s="49" t="s">
        <v>2441</v>
      </c>
      <c r="E63" s="49" t="s">
        <v>2477</v>
      </c>
      <c r="F63" s="49" t="s">
        <v>47</v>
      </c>
      <c r="G63" s="49" t="n">
        <v>4</v>
      </c>
      <c r="H63" s="0" t="n">
        <v>0</v>
      </c>
      <c r="I63" s="51" t="s">
        <v>2513</v>
      </c>
      <c r="J63" s="49" t="s">
        <v>2509</v>
      </c>
      <c r="K63" s="52" t="n">
        <v>47703</v>
      </c>
      <c r="M63" s="51" t="s">
        <v>2487</v>
      </c>
      <c r="N63" s="49" t="n">
        <v>4</v>
      </c>
      <c r="O63" s="53" t="n">
        <v>46054.4549768519</v>
      </c>
      <c r="P63" s="53" t="n">
        <v>46054.6543865741</v>
      </c>
      <c r="Q63" s="53" t="n">
        <v>46054.4549768519</v>
      </c>
      <c r="R63" s="0" t="n">
        <v>0</v>
      </c>
      <c r="S63" s="51" t="s">
        <v>2380</v>
      </c>
      <c r="T63" s="51" t="s">
        <v>2380</v>
      </c>
      <c r="U63" s="51" t="s">
        <v>2477</v>
      </c>
      <c r="V63" s="51" t="s">
        <v>2142</v>
      </c>
      <c r="W63" s="51"/>
      <c r="X63" s="51"/>
    </row>
    <row r="64" customFormat="false" ht="14.25" hidden="true" customHeight="false" outlineLevel="0" collapsed="false">
      <c r="A64" s="49" t="s">
        <v>2137</v>
      </c>
      <c r="B64" s="49" t="s">
        <v>14</v>
      </c>
      <c r="C64" s="49" t="s">
        <v>492</v>
      </c>
      <c r="D64" s="49" t="s">
        <v>2441</v>
      </c>
      <c r="E64" s="49" t="s">
        <v>2477</v>
      </c>
      <c r="F64" s="49" t="s">
        <v>47</v>
      </c>
      <c r="G64" s="49" t="n">
        <v>4</v>
      </c>
      <c r="H64" s="0" t="n">
        <v>0</v>
      </c>
      <c r="I64" s="51" t="s">
        <v>2514</v>
      </c>
      <c r="J64" s="49" t="s">
        <v>2509</v>
      </c>
      <c r="K64" s="52" t="n">
        <v>47703</v>
      </c>
      <c r="M64" s="51" t="s">
        <v>2487</v>
      </c>
      <c r="N64" s="49" t="n">
        <v>4</v>
      </c>
      <c r="O64" s="53" t="n">
        <v>46054.4559722222</v>
      </c>
      <c r="P64" s="53" t="n">
        <v>46054.6550462963</v>
      </c>
      <c r="Q64" s="53" t="n">
        <v>46054.4559722222</v>
      </c>
      <c r="R64" s="0" t="n">
        <v>0</v>
      </c>
      <c r="S64" s="51" t="s">
        <v>2380</v>
      </c>
      <c r="T64" s="51" t="s">
        <v>2380</v>
      </c>
      <c r="U64" s="51" t="s">
        <v>2477</v>
      </c>
      <c r="V64" s="51" t="s">
        <v>2142</v>
      </c>
      <c r="W64" s="51"/>
      <c r="X64" s="51"/>
    </row>
    <row r="65" customFormat="false" ht="14.25" hidden="true" customHeight="false" outlineLevel="0" collapsed="false">
      <c r="A65" s="49" t="s">
        <v>2137</v>
      </c>
      <c r="B65" s="49" t="s">
        <v>14</v>
      </c>
      <c r="C65" s="49" t="s">
        <v>490</v>
      </c>
      <c r="D65" s="49" t="s">
        <v>2441</v>
      </c>
      <c r="E65" s="49" t="s">
        <v>2477</v>
      </c>
      <c r="F65" s="49" t="s">
        <v>47</v>
      </c>
      <c r="G65" s="49" t="n">
        <v>4</v>
      </c>
      <c r="H65" s="0" t="n">
        <v>0</v>
      </c>
      <c r="I65" s="51" t="s">
        <v>2515</v>
      </c>
      <c r="J65" s="49" t="s">
        <v>2509</v>
      </c>
      <c r="K65" s="52" t="n">
        <v>47703</v>
      </c>
      <c r="M65" s="51" t="s">
        <v>2487</v>
      </c>
      <c r="N65" s="49" t="n">
        <v>4</v>
      </c>
      <c r="O65" s="53" t="n">
        <v>46054.4561574074</v>
      </c>
      <c r="P65" s="53" t="n">
        <v>46054.6549884259</v>
      </c>
      <c r="Q65" s="53" t="n">
        <v>46054.4561574074</v>
      </c>
      <c r="R65" s="0" t="n">
        <v>0</v>
      </c>
      <c r="S65" s="51" t="s">
        <v>2380</v>
      </c>
      <c r="T65" s="51" t="s">
        <v>2380</v>
      </c>
      <c r="U65" s="51" t="s">
        <v>2477</v>
      </c>
      <c r="V65" s="51" t="s">
        <v>2142</v>
      </c>
      <c r="W65" s="51"/>
      <c r="X65" s="51"/>
    </row>
    <row r="66" customFormat="false" ht="14.25" hidden="true" customHeight="false" outlineLevel="0" collapsed="false">
      <c r="A66" s="49" t="s">
        <v>2137</v>
      </c>
      <c r="B66" s="49" t="s">
        <v>14</v>
      </c>
      <c r="C66" s="49" t="s">
        <v>984</v>
      </c>
      <c r="D66" s="49" t="s">
        <v>2441</v>
      </c>
      <c r="E66" s="49" t="s">
        <v>2500</v>
      </c>
      <c r="F66" s="49" t="s">
        <v>16</v>
      </c>
      <c r="G66" s="49" t="n">
        <v>4</v>
      </c>
      <c r="H66" s="0" t="n">
        <v>0</v>
      </c>
      <c r="I66" s="51" t="s">
        <v>2516</v>
      </c>
      <c r="J66" s="49" t="s">
        <v>2517</v>
      </c>
      <c r="K66" s="52" t="n">
        <v>47707</v>
      </c>
      <c r="M66" s="51" t="s">
        <v>2503</v>
      </c>
      <c r="N66" s="49" t="n">
        <v>4</v>
      </c>
      <c r="O66" s="53" t="n">
        <v>46060.4684375</v>
      </c>
      <c r="P66" s="53" t="n">
        <v>46062.3670833333</v>
      </c>
      <c r="Q66" s="53" t="n">
        <v>46060.4684375</v>
      </c>
      <c r="R66" s="0" t="n">
        <v>0</v>
      </c>
      <c r="S66" s="51" t="s">
        <v>2398</v>
      </c>
      <c r="T66" s="51" t="s">
        <v>2398</v>
      </c>
      <c r="U66" s="51" t="s">
        <v>2500</v>
      </c>
      <c r="V66" s="51" t="s">
        <v>2142</v>
      </c>
      <c r="W66" s="51"/>
      <c r="X66" s="51"/>
    </row>
    <row r="67" customFormat="false" ht="14.25" hidden="true" customHeight="false" outlineLevel="0" collapsed="false">
      <c r="A67" s="49" t="s">
        <v>2137</v>
      </c>
      <c r="B67" s="49" t="s">
        <v>14</v>
      </c>
      <c r="C67" s="49" t="s">
        <v>998</v>
      </c>
      <c r="D67" s="49" t="s">
        <v>2441</v>
      </c>
      <c r="E67" s="49" t="s">
        <v>2500</v>
      </c>
      <c r="F67" s="49" t="s">
        <v>16</v>
      </c>
      <c r="G67" s="49" t="n">
        <v>4</v>
      </c>
      <c r="H67" s="0" t="n">
        <v>0</v>
      </c>
      <c r="I67" s="51" t="s">
        <v>2518</v>
      </c>
      <c r="J67" s="49" t="s">
        <v>2517</v>
      </c>
      <c r="K67" s="52" t="n">
        <v>47707</v>
      </c>
      <c r="M67" s="51" t="s">
        <v>2503</v>
      </c>
      <c r="N67" s="49" t="n">
        <v>4</v>
      </c>
      <c r="O67" s="53" t="n">
        <v>46060.4747800926</v>
      </c>
      <c r="P67" s="53" t="n">
        <v>46062.3665856481</v>
      </c>
      <c r="Q67" s="53" t="n">
        <v>46060.4747800926</v>
      </c>
      <c r="R67" s="0" t="n">
        <v>0</v>
      </c>
      <c r="S67" s="51" t="s">
        <v>2398</v>
      </c>
      <c r="T67" s="51" t="s">
        <v>2398</v>
      </c>
      <c r="U67" s="51" t="s">
        <v>2500</v>
      </c>
      <c r="V67" s="51" t="s">
        <v>2142</v>
      </c>
      <c r="W67" s="51"/>
      <c r="X67" s="51"/>
    </row>
    <row r="68" customFormat="false" ht="14.25" hidden="true" customHeight="false" outlineLevel="0" collapsed="false">
      <c r="A68" s="49" t="s">
        <v>2137</v>
      </c>
      <c r="B68" s="49" t="s">
        <v>14</v>
      </c>
      <c r="C68" s="49" t="s">
        <v>979</v>
      </c>
      <c r="D68" s="49" t="s">
        <v>2441</v>
      </c>
      <c r="E68" s="49" t="s">
        <v>2500</v>
      </c>
      <c r="F68" s="49" t="s">
        <v>16</v>
      </c>
      <c r="G68" s="49" t="n">
        <v>4</v>
      </c>
      <c r="H68" s="0" t="n">
        <v>0</v>
      </c>
      <c r="I68" s="51" t="s">
        <v>2519</v>
      </c>
      <c r="J68" s="49" t="s">
        <v>2517</v>
      </c>
      <c r="K68" s="52" t="n">
        <v>47707</v>
      </c>
      <c r="M68" s="51" t="s">
        <v>2503</v>
      </c>
      <c r="N68" s="49" t="n">
        <v>4</v>
      </c>
      <c r="O68" s="53" t="n">
        <v>46060.4713773148</v>
      </c>
      <c r="P68" s="53" t="n">
        <v>46062.3668634259</v>
      </c>
      <c r="Q68" s="53" t="n">
        <v>46060.4713773148</v>
      </c>
      <c r="R68" s="0" t="n">
        <v>0</v>
      </c>
      <c r="S68" s="51" t="s">
        <v>2398</v>
      </c>
      <c r="T68" s="51" t="s">
        <v>2398</v>
      </c>
      <c r="U68" s="51" t="s">
        <v>2500</v>
      </c>
      <c r="V68" s="51" t="s">
        <v>2142</v>
      </c>
      <c r="W68" s="51"/>
      <c r="X68" s="51"/>
    </row>
    <row r="69" customFormat="false" ht="14.25" hidden="true" customHeight="false" outlineLevel="0" collapsed="false">
      <c r="A69" s="49" t="s">
        <v>2137</v>
      </c>
      <c r="B69" s="49" t="s">
        <v>14</v>
      </c>
      <c r="C69" s="49" t="s">
        <v>976</v>
      </c>
      <c r="D69" s="49" t="s">
        <v>2441</v>
      </c>
      <c r="E69" s="49" t="s">
        <v>2500</v>
      </c>
      <c r="F69" s="49" t="s">
        <v>16</v>
      </c>
      <c r="G69" s="49" t="n">
        <v>4</v>
      </c>
      <c r="H69" s="0" t="n">
        <v>0</v>
      </c>
      <c r="I69" s="51" t="s">
        <v>2520</v>
      </c>
      <c r="J69" s="49" t="s">
        <v>2517</v>
      </c>
      <c r="K69" s="52" t="n">
        <v>47707</v>
      </c>
      <c r="M69" s="51" t="s">
        <v>2503</v>
      </c>
      <c r="N69" s="49" t="n">
        <v>4</v>
      </c>
      <c r="O69" s="53" t="n">
        <v>46060.4719328704</v>
      </c>
      <c r="P69" s="53" t="n">
        <v>46062.3667824074</v>
      </c>
      <c r="Q69" s="53" t="n">
        <v>46060.4719328704</v>
      </c>
      <c r="R69" s="0" t="n">
        <v>0</v>
      </c>
      <c r="S69" s="51" t="s">
        <v>2398</v>
      </c>
      <c r="T69" s="51" t="s">
        <v>2398</v>
      </c>
      <c r="U69" s="51" t="s">
        <v>2500</v>
      </c>
      <c r="V69" s="51" t="s">
        <v>2142</v>
      </c>
      <c r="W69" s="51"/>
      <c r="X69" s="51"/>
    </row>
    <row r="70" customFormat="false" ht="14.25" hidden="false" customHeight="false" outlineLevel="0" collapsed="false">
      <c r="A70" s="49" t="s">
        <v>2137</v>
      </c>
      <c r="B70" s="49" t="s">
        <v>14</v>
      </c>
      <c r="C70" s="49" t="s">
        <v>1003</v>
      </c>
      <c r="D70" s="49" t="s">
        <v>2441</v>
      </c>
      <c r="E70" s="49" t="s">
        <v>2500</v>
      </c>
      <c r="F70" s="49" t="s">
        <v>16</v>
      </c>
      <c r="G70" s="49" t="n">
        <v>4</v>
      </c>
      <c r="H70" s="0" t="n">
        <v>0</v>
      </c>
      <c r="I70" s="51" t="s">
        <v>2521</v>
      </c>
      <c r="J70" s="49" t="s">
        <v>2517</v>
      </c>
      <c r="K70" s="52" t="n">
        <v>47707</v>
      </c>
      <c r="M70" s="51" t="s">
        <v>2503</v>
      </c>
      <c r="N70" s="0" t="n">
        <v>4</v>
      </c>
      <c r="O70" s="53" t="n">
        <v>46060.4721527778</v>
      </c>
      <c r="P70" s="53" t="n">
        <v>46062.3666782407</v>
      </c>
      <c r="Q70" s="53" t="n">
        <v>46060.4721527778</v>
      </c>
      <c r="R70" s="0" t="n">
        <v>0</v>
      </c>
      <c r="S70" s="51" t="s">
        <v>2398</v>
      </c>
      <c r="T70" s="51" t="s">
        <v>2398</v>
      </c>
      <c r="U70" s="51" t="s">
        <v>2500</v>
      </c>
      <c r="V70" s="51" t="s">
        <v>2142</v>
      </c>
      <c r="W70" s="51"/>
      <c r="X70" s="51"/>
    </row>
    <row r="71" customFormat="false" ht="14.25" hidden="false" customHeight="false" outlineLevel="0" collapsed="false">
      <c r="A71" s="49" t="s">
        <v>2137</v>
      </c>
      <c r="B71" s="49" t="s">
        <v>14</v>
      </c>
      <c r="C71" s="49" t="s">
        <v>1001</v>
      </c>
      <c r="D71" s="49" t="s">
        <v>2441</v>
      </c>
      <c r="E71" s="49" t="s">
        <v>2500</v>
      </c>
      <c r="F71" s="49" t="s">
        <v>16</v>
      </c>
      <c r="G71" s="49" t="n">
        <v>4</v>
      </c>
      <c r="H71" s="0" t="n">
        <v>0</v>
      </c>
      <c r="I71" s="51" t="s">
        <v>2522</v>
      </c>
      <c r="J71" s="49" t="s">
        <v>2517</v>
      </c>
      <c r="K71" s="52" t="n">
        <v>47707</v>
      </c>
      <c r="M71" s="51" t="s">
        <v>2503</v>
      </c>
      <c r="N71" s="0" t="n">
        <v>4</v>
      </c>
      <c r="O71" s="53" t="n">
        <v>46060.472974537</v>
      </c>
      <c r="P71" s="53" t="n">
        <v>46062.3665046296</v>
      </c>
      <c r="Q71" s="53" t="n">
        <v>46060.472974537</v>
      </c>
      <c r="R71" s="0" t="n">
        <v>0</v>
      </c>
      <c r="S71" s="51" t="s">
        <v>2398</v>
      </c>
      <c r="T71" s="51" t="s">
        <v>2398</v>
      </c>
      <c r="U71" s="51" t="s">
        <v>2500</v>
      </c>
      <c r="V71" s="51" t="s">
        <v>2142</v>
      </c>
      <c r="W71" s="51"/>
      <c r="X71" s="51"/>
    </row>
    <row r="72" customFormat="false" ht="14.25" hidden="false" customHeight="false" outlineLevel="0" collapsed="false">
      <c r="A72" s="49" t="s">
        <v>2137</v>
      </c>
      <c r="B72" s="49" t="s">
        <v>14</v>
      </c>
      <c r="C72" s="49" t="s">
        <v>995</v>
      </c>
      <c r="D72" s="49" t="s">
        <v>2441</v>
      </c>
      <c r="E72" s="49" t="s">
        <v>2500</v>
      </c>
      <c r="F72" s="49" t="s">
        <v>16</v>
      </c>
      <c r="G72" s="49" t="n">
        <v>4</v>
      </c>
      <c r="H72" s="0" t="n">
        <v>0</v>
      </c>
      <c r="I72" s="51" t="s">
        <v>2523</v>
      </c>
      <c r="J72" s="49" t="s">
        <v>2524</v>
      </c>
      <c r="K72" s="52" t="n">
        <v>47713</v>
      </c>
      <c r="M72" s="51" t="s">
        <v>2503</v>
      </c>
      <c r="N72" s="0" t="n">
        <v>4</v>
      </c>
      <c r="O72" s="53" t="n">
        <v>46060.4670833333</v>
      </c>
      <c r="P72" s="53" t="n">
        <v>46062.367337963</v>
      </c>
      <c r="Q72" s="53" t="n">
        <v>46060.4670833333</v>
      </c>
      <c r="R72" s="0" t="n">
        <v>0</v>
      </c>
      <c r="S72" s="51" t="s">
        <v>2398</v>
      </c>
      <c r="T72" s="51" t="s">
        <v>2398</v>
      </c>
      <c r="U72" s="51" t="s">
        <v>2500</v>
      </c>
      <c r="V72" s="51" t="s">
        <v>2142</v>
      </c>
      <c r="W72" s="51"/>
      <c r="X72" s="51"/>
    </row>
    <row r="73" customFormat="false" ht="14.25" hidden="false" customHeight="false" outlineLevel="0" collapsed="false">
      <c r="A73" s="49" t="s">
        <v>2137</v>
      </c>
      <c r="B73" s="49" t="s">
        <v>14</v>
      </c>
      <c r="C73" s="49" t="s">
        <v>1000</v>
      </c>
      <c r="D73" s="49" t="s">
        <v>2441</v>
      </c>
      <c r="E73" s="49" t="s">
        <v>2500</v>
      </c>
      <c r="F73" s="49" t="s">
        <v>16</v>
      </c>
      <c r="G73" s="49" t="n">
        <v>4</v>
      </c>
      <c r="H73" s="0" t="n">
        <v>0</v>
      </c>
      <c r="I73" s="51" t="s">
        <v>2525</v>
      </c>
      <c r="J73" s="49" t="s">
        <v>2524</v>
      </c>
      <c r="K73" s="52" t="n">
        <v>47713</v>
      </c>
      <c r="M73" s="51" t="s">
        <v>2503</v>
      </c>
      <c r="N73" s="0" t="n">
        <v>4</v>
      </c>
      <c r="O73" s="53" t="n">
        <v>46060.4734027778</v>
      </c>
      <c r="P73" s="53" t="n">
        <v>46062.3665509259</v>
      </c>
      <c r="Q73" s="53" t="n">
        <v>46060.4734027778</v>
      </c>
      <c r="R73" s="0" t="n">
        <v>0</v>
      </c>
      <c r="S73" s="51" t="s">
        <v>2398</v>
      </c>
      <c r="T73" s="51" t="s">
        <v>2398</v>
      </c>
      <c r="U73" s="51" t="s">
        <v>2500</v>
      </c>
      <c r="V73" s="51" t="s">
        <v>2142</v>
      </c>
      <c r="W73" s="51"/>
      <c r="X73" s="51"/>
    </row>
    <row r="74" customFormat="false" ht="14.25" hidden="false" customHeight="false" outlineLevel="0" collapsed="false">
      <c r="A74" s="49" t="s">
        <v>2137</v>
      </c>
      <c r="B74" s="49" t="s">
        <v>14</v>
      </c>
      <c r="C74" s="49" t="s">
        <v>978</v>
      </c>
      <c r="D74" s="49" t="s">
        <v>2441</v>
      </c>
      <c r="E74" s="49" t="s">
        <v>2500</v>
      </c>
      <c r="F74" s="49" t="s">
        <v>16</v>
      </c>
      <c r="G74" s="49" t="n">
        <v>4</v>
      </c>
      <c r="H74" s="0" t="n">
        <v>0</v>
      </c>
      <c r="I74" s="51" t="s">
        <v>2526</v>
      </c>
      <c r="J74" s="49" t="s">
        <v>2524</v>
      </c>
      <c r="K74" s="52" t="n">
        <v>47713</v>
      </c>
      <c r="M74" s="51" t="s">
        <v>2503</v>
      </c>
      <c r="N74" s="0" t="n">
        <v>4</v>
      </c>
      <c r="O74" s="53" t="n">
        <v>46060.4715625</v>
      </c>
      <c r="P74" s="53" t="n">
        <v>46062.3669097222</v>
      </c>
      <c r="Q74" s="53" t="n">
        <v>46060.4715625</v>
      </c>
      <c r="R74" s="0" t="n">
        <v>0</v>
      </c>
      <c r="S74" s="51" t="s">
        <v>2398</v>
      </c>
      <c r="T74" s="51" t="s">
        <v>2398</v>
      </c>
      <c r="U74" s="51" t="s">
        <v>2500</v>
      </c>
      <c r="V74" s="51" t="s">
        <v>2142</v>
      </c>
      <c r="W74" s="51"/>
      <c r="X74" s="51"/>
    </row>
    <row r="75" customFormat="false" ht="14.25" hidden="false" customHeight="false" outlineLevel="0" collapsed="false">
      <c r="A75" s="49" t="s">
        <v>2137</v>
      </c>
      <c r="B75" s="49" t="s">
        <v>14</v>
      </c>
      <c r="C75" s="49" t="s">
        <v>977</v>
      </c>
      <c r="D75" s="49" t="s">
        <v>2441</v>
      </c>
      <c r="E75" s="49" t="s">
        <v>2500</v>
      </c>
      <c r="F75" s="49" t="s">
        <v>16</v>
      </c>
      <c r="G75" s="49" t="n">
        <v>4</v>
      </c>
      <c r="H75" s="0" t="n">
        <v>0</v>
      </c>
      <c r="I75" s="51" t="s">
        <v>2527</v>
      </c>
      <c r="J75" s="49" t="s">
        <v>2524</v>
      </c>
      <c r="K75" s="52" t="n">
        <v>47713</v>
      </c>
      <c r="M75" s="51" t="s">
        <v>2503</v>
      </c>
      <c r="N75" s="0" t="n">
        <v>4</v>
      </c>
      <c r="O75" s="53" t="n">
        <v>46060.4717592593</v>
      </c>
      <c r="P75" s="53" t="n">
        <v>46062.3668287037</v>
      </c>
      <c r="Q75" s="53" t="n">
        <v>46060.4717592593</v>
      </c>
      <c r="R75" s="0" t="n">
        <v>0</v>
      </c>
      <c r="S75" s="51" t="s">
        <v>2398</v>
      </c>
      <c r="T75" s="51" t="s">
        <v>2398</v>
      </c>
      <c r="U75" s="51" t="s">
        <v>2500</v>
      </c>
      <c r="V75" s="51" t="s">
        <v>2142</v>
      </c>
      <c r="W75" s="51"/>
      <c r="X75" s="51"/>
    </row>
    <row r="76" customFormat="false" ht="14.25" hidden="false" customHeight="false" outlineLevel="0" collapsed="false">
      <c r="A76" s="49" t="s">
        <v>2137</v>
      </c>
      <c r="B76" s="49" t="s">
        <v>14</v>
      </c>
      <c r="C76" s="49" t="s">
        <v>1002</v>
      </c>
      <c r="D76" s="49" t="s">
        <v>2441</v>
      </c>
      <c r="E76" s="49" t="s">
        <v>2500</v>
      </c>
      <c r="F76" s="49" t="s">
        <v>16</v>
      </c>
      <c r="G76" s="49" t="n">
        <v>4</v>
      </c>
      <c r="H76" s="0" t="n">
        <v>0</v>
      </c>
      <c r="I76" s="51" t="s">
        <v>2528</v>
      </c>
      <c r="J76" s="49" t="s">
        <v>2524</v>
      </c>
      <c r="K76" s="52" t="n">
        <v>47713</v>
      </c>
      <c r="M76" s="51" t="s">
        <v>2503</v>
      </c>
      <c r="N76" s="0" t="n">
        <v>4</v>
      </c>
      <c r="O76" s="53" t="n">
        <v>46060.4725462963</v>
      </c>
      <c r="P76" s="53" t="n">
        <v>46062.3667476852</v>
      </c>
      <c r="Q76" s="53" t="n">
        <v>46060.4725462963</v>
      </c>
      <c r="R76" s="0" t="n">
        <v>0</v>
      </c>
      <c r="S76" s="51" t="s">
        <v>2398</v>
      </c>
      <c r="T76" s="51" t="s">
        <v>2398</v>
      </c>
      <c r="U76" s="51" t="s">
        <v>2500</v>
      </c>
      <c r="V76" s="51" t="s">
        <v>2142</v>
      </c>
      <c r="W76" s="51"/>
      <c r="X76" s="51"/>
    </row>
    <row r="77" customFormat="false" ht="14.25" hidden="false" customHeight="false" outlineLevel="0" collapsed="false">
      <c r="A77" s="49" t="s">
        <v>2137</v>
      </c>
      <c r="B77" s="49" t="s">
        <v>14</v>
      </c>
      <c r="C77" s="49" t="s">
        <v>980</v>
      </c>
      <c r="D77" s="49" t="s">
        <v>2441</v>
      </c>
      <c r="E77" s="49" t="s">
        <v>2500</v>
      </c>
      <c r="F77" s="49" t="s">
        <v>16</v>
      </c>
      <c r="G77" s="49" t="n">
        <v>4</v>
      </c>
      <c r="H77" s="0" t="n">
        <v>0</v>
      </c>
      <c r="I77" s="51" t="s">
        <v>2529</v>
      </c>
      <c r="J77" s="49" t="s">
        <v>2524</v>
      </c>
      <c r="K77" s="52" t="n">
        <v>47713</v>
      </c>
      <c r="M77" s="51" t="s">
        <v>2503</v>
      </c>
      <c r="N77" s="0" t="n">
        <v>4</v>
      </c>
      <c r="O77" s="53" t="n">
        <v>46060.4705439815</v>
      </c>
      <c r="P77" s="53" t="n">
        <v>46062.3671180556</v>
      </c>
      <c r="Q77" s="53" t="n">
        <v>46060.4705439815</v>
      </c>
      <c r="R77" s="0" t="n">
        <v>0</v>
      </c>
      <c r="S77" s="51" t="s">
        <v>2398</v>
      </c>
      <c r="T77" s="51" t="s">
        <v>2398</v>
      </c>
      <c r="U77" s="51" t="s">
        <v>2500</v>
      </c>
      <c r="V77" s="51" t="s">
        <v>2142</v>
      </c>
      <c r="W77" s="51"/>
      <c r="X77" s="51"/>
    </row>
    <row r="78" customFormat="false" ht="14.25" hidden="true" customHeight="false" outlineLevel="0" collapsed="false">
      <c r="A78" s="49" t="s">
        <v>2137</v>
      </c>
      <c r="B78" s="49" t="s">
        <v>14</v>
      </c>
      <c r="C78" s="49" t="s">
        <v>985</v>
      </c>
      <c r="D78" s="49" t="s">
        <v>2441</v>
      </c>
      <c r="E78" s="49" t="s">
        <v>2500</v>
      </c>
      <c r="F78" s="49" t="s">
        <v>16</v>
      </c>
      <c r="G78" s="49" t="n">
        <v>4</v>
      </c>
      <c r="H78" s="0" t="n">
        <v>0</v>
      </c>
      <c r="I78" s="51" t="s">
        <v>2530</v>
      </c>
      <c r="J78" s="49" t="s">
        <v>2524</v>
      </c>
      <c r="K78" s="52" t="n">
        <v>47713</v>
      </c>
      <c r="M78" s="51" t="s">
        <v>2503</v>
      </c>
      <c r="N78" s="49" t="n">
        <v>4</v>
      </c>
      <c r="O78" s="53" t="n">
        <v>46060.4680555556</v>
      </c>
      <c r="P78" s="53" t="n">
        <v>46062.3669907407</v>
      </c>
      <c r="Q78" s="53" t="n">
        <v>46060.4680555556</v>
      </c>
      <c r="R78" s="0" t="n">
        <v>0</v>
      </c>
      <c r="S78" s="51" t="s">
        <v>2398</v>
      </c>
      <c r="T78" s="51" t="s">
        <v>2398</v>
      </c>
      <c r="U78" s="51" t="s">
        <v>2500</v>
      </c>
      <c r="V78" s="51" t="s">
        <v>2142</v>
      </c>
      <c r="W78" s="51"/>
      <c r="X78" s="51"/>
    </row>
    <row r="79" customFormat="false" ht="14.25" hidden="false" customHeight="false" outlineLevel="0" collapsed="false">
      <c r="A79" s="49" t="s">
        <v>2137</v>
      </c>
      <c r="B79" s="49" t="s">
        <v>14</v>
      </c>
      <c r="C79" s="49" t="s">
        <v>779</v>
      </c>
      <c r="D79" s="49" t="s">
        <v>2441</v>
      </c>
      <c r="E79" s="49" t="s">
        <v>2531</v>
      </c>
      <c r="F79" s="49" t="s">
        <v>777</v>
      </c>
      <c r="G79" s="49" t="n">
        <v>4</v>
      </c>
      <c r="H79" s="0" t="n">
        <v>0</v>
      </c>
      <c r="I79" s="51" t="s">
        <v>2532</v>
      </c>
      <c r="J79" s="49" t="s">
        <v>2533</v>
      </c>
      <c r="K79" s="52" t="n">
        <v>47721</v>
      </c>
      <c r="M79" s="51" t="s">
        <v>2534</v>
      </c>
      <c r="N79" s="0" t="n">
        <v>4</v>
      </c>
      <c r="O79" s="53" t="n">
        <v>46057.5794791667</v>
      </c>
      <c r="P79" s="53" t="n">
        <v>46057.6367824074</v>
      </c>
      <c r="Q79" s="53" t="n">
        <v>46057.5794791667</v>
      </c>
      <c r="R79" s="0" t="n">
        <v>0</v>
      </c>
      <c r="S79" s="51" t="s">
        <v>2398</v>
      </c>
      <c r="T79" s="51" t="s">
        <v>2398</v>
      </c>
      <c r="U79" s="51" t="s">
        <v>2531</v>
      </c>
      <c r="V79" s="51" t="s">
        <v>2142</v>
      </c>
      <c r="W79" s="51"/>
      <c r="X79" s="51"/>
    </row>
    <row r="80" customFormat="false" ht="14.25" hidden="false" customHeight="false" outlineLevel="0" collapsed="false">
      <c r="A80" s="49" t="s">
        <v>2137</v>
      </c>
      <c r="B80" s="49" t="s">
        <v>14</v>
      </c>
      <c r="C80" s="49" t="s">
        <v>782</v>
      </c>
      <c r="D80" s="49" t="s">
        <v>2441</v>
      </c>
      <c r="E80" s="49" t="s">
        <v>2531</v>
      </c>
      <c r="F80" s="49" t="s">
        <v>777</v>
      </c>
      <c r="G80" s="49" t="n">
        <v>4</v>
      </c>
      <c r="H80" s="0" t="n">
        <v>0</v>
      </c>
      <c r="I80" s="51" t="s">
        <v>2535</v>
      </c>
      <c r="J80" s="49" t="s">
        <v>2533</v>
      </c>
      <c r="K80" s="52" t="n">
        <v>47721</v>
      </c>
      <c r="M80" s="51" t="s">
        <v>2534</v>
      </c>
      <c r="N80" s="0" t="n">
        <v>4</v>
      </c>
      <c r="O80" s="53" t="n">
        <v>46057.5774074074</v>
      </c>
      <c r="P80" s="53" t="n">
        <v>46057.6365972222</v>
      </c>
      <c r="Q80" s="53" t="n">
        <v>46057.5774074074</v>
      </c>
      <c r="R80" s="0" t="n">
        <v>0</v>
      </c>
      <c r="S80" s="51" t="s">
        <v>2398</v>
      </c>
      <c r="T80" s="51" t="s">
        <v>2398</v>
      </c>
      <c r="U80" s="51" t="s">
        <v>2531</v>
      </c>
      <c r="V80" s="51" t="s">
        <v>2142</v>
      </c>
      <c r="W80" s="51"/>
      <c r="X80" s="51"/>
    </row>
    <row r="81" customFormat="false" ht="14.25" hidden="false" customHeight="false" outlineLevel="0" collapsed="false">
      <c r="A81" s="49" t="s">
        <v>2137</v>
      </c>
      <c r="B81" s="49" t="s">
        <v>14</v>
      </c>
      <c r="C81" s="49" t="s">
        <v>1224</v>
      </c>
      <c r="D81" s="49" t="s">
        <v>2441</v>
      </c>
      <c r="E81" s="49" t="s">
        <v>2536</v>
      </c>
      <c r="F81" s="49" t="s">
        <v>197</v>
      </c>
      <c r="G81" s="49" t="n">
        <v>24</v>
      </c>
      <c r="H81" s="0" t="n">
        <v>0</v>
      </c>
      <c r="I81" s="51" t="s">
        <v>2537</v>
      </c>
      <c r="J81" s="49" t="s">
        <v>2538</v>
      </c>
      <c r="K81" s="52" t="n">
        <v>47735</v>
      </c>
      <c r="M81" s="51" t="s">
        <v>2539</v>
      </c>
      <c r="N81" s="0" t="n">
        <v>24</v>
      </c>
      <c r="O81" s="53" t="n">
        <v>46064.7084837963</v>
      </c>
      <c r="P81" s="53" t="n">
        <v>46065.611712963</v>
      </c>
      <c r="Q81" s="53" t="n">
        <v>46064.7084837963</v>
      </c>
      <c r="R81" s="0" t="n">
        <v>0</v>
      </c>
      <c r="S81" s="51" t="s">
        <v>2398</v>
      </c>
      <c r="T81" s="51" t="s">
        <v>2398</v>
      </c>
      <c r="U81" s="51" t="s">
        <v>2536</v>
      </c>
      <c r="V81" s="51" t="s">
        <v>2205</v>
      </c>
      <c r="W81" s="51"/>
      <c r="X81" s="51"/>
    </row>
    <row r="82" customFormat="false" ht="14.25" hidden="false" customHeight="false" outlineLevel="0" collapsed="false">
      <c r="A82" s="49" t="s">
        <v>2137</v>
      </c>
      <c r="B82" s="49" t="s">
        <v>14</v>
      </c>
      <c r="C82" s="49" t="s">
        <v>177</v>
      </c>
      <c r="D82" s="49" t="s">
        <v>2441</v>
      </c>
      <c r="E82" s="49" t="s">
        <v>2203</v>
      </c>
      <c r="F82" s="49" t="s">
        <v>170</v>
      </c>
      <c r="G82" s="49" t="n">
        <v>35</v>
      </c>
      <c r="H82" s="0" t="n">
        <v>0</v>
      </c>
      <c r="I82" s="51" t="s">
        <v>2540</v>
      </c>
      <c r="J82" s="49" t="s">
        <v>2206</v>
      </c>
      <c r="K82" s="52" t="n">
        <v>47756</v>
      </c>
      <c r="M82" s="51" t="s">
        <v>2541</v>
      </c>
      <c r="N82" s="0" t="n">
        <v>52</v>
      </c>
      <c r="O82" s="53" t="n">
        <v>46050.4998842593</v>
      </c>
      <c r="P82" s="53" t="n">
        <v>46065.4287268519</v>
      </c>
      <c r="Q82" s="53" t="n">
        <v>46050.4998842593</v>
      </c>
      <c r="R82" s="0" t="n">
        <v>0</v>
      </c>
      <c r="S82" s="51" t="s">
        <v>2380</v>
      </c>
      <c r="T82" s="51" t="s">
        <v>2380</v>
      </c>
      <c r="U82" s="51" t="s">
        <v>2203</v>
      </c>
      <c r="V82" s="51" t="s">
        <v>2205</v>
      </c>
      <c r="W82" s="51" t="s">
        <v>2542</v>
      </c>
      <c r="X82" s="51"/>
    </row>
    <row r="83" customFormat="false" ht="14.25" hidden="false" customHeight="false" outlineLevel="0" collapsed="false">
      <c r="A83" s="49" t="s">
        <v>2137</v>
      </c>
      <c r="B83" s="49" t="s">
        <v>14</v>
      </c>
      <c r="C83" s="49" t="s">
        <v>176</v>
      </c>
      <c r="D83" s="49" t="s">
        <v>2441</v>
      </c>
      <c r="E83" s="49" t="s">
        <v>2203</v>
      </c>
      <c r="F83" s="49" t="s">
        <v>170</v>
      </c>
      <c r="G83" s="49" t="n">
        <v>52</v>
      </c>
      <c r="H83" s="0" t="n">
        <v>0</v>
      </c>
      <c r="I83" s="51" t="s">
        <v>2543</v>
      </c>
      <c r="J83" s="49" t="s">
        <v>2544</v>
      </c>
      <c r="K83" s="52" t="n">
        <v>47766</v>
      </c>
      <c r="M83" s="51" t="s">
        <v>2541</v>
      </c>
      <c r="N83" s="0" t="n">
        <v>52</v>
      </c>
      <c r="O83" s="53" t="n">
        <v>46050.5016319445</v>
      </c>
      <c r="P83" s="53" t="n">
        <v>46061.3961226852</v>
      </c>
      <c r="Q83" s="53" t="n">
        <v>46050.5016319445</v>
      </c>
      <c r="R83" s="0" t="n">
        <v>0</v>
      </c>
      <c r="S83" s="51" t="s">
        <v>2380</v>
      </c>
      <c r="T83" s="51" t="s">
        <v>2380</v>
      </c>
      <c r="U83" s="51" t="s">
        <v>2203</v>
      </c>
      <c r="V83" s="51" t="s">
        <v>2205</v>
      </c>
      <c r="W83" s="51" t="s">
        <v>2545</v>
      </c>
      <c r="X83" s="51"/>
    </row>
    <row r="84" customFormat="false" ht="14.25" hidden="false" customHeight="false" outlineLevel="0" collapsed="false">
      <c r="A84" s="49" t="s">
        <v>2137</v>
      </c>
      <c r="B84" s="49" t="s">
        <v>14</v>
      </c>
      <c r="C84" s="49" t="s">
        <v>169</v>
      </c>
      <c r="D84" s="49" t="s">
        <v>2441</v>
      </c>
      <c r="E84" s="49" t="s">
        <v>2203</v>
      </c>
      <c r="F84" s="49" t="s">
        <v>170</v>
      </c>
      <c r="G84" s="49" t="n">
        <v>52</v>
      </c>
      <c r="H84" s="0" t="n">
        <v>0</v>
      </c>
      <c r="I84" s="51" t="s">
        <v>2546</v>
      </c>
      <c r="J84" s="49" t="s">
        <v>2547</v>
      </c>
      <c r="K84" s="52" t="n">
        <v>47767</v>
      </c>
      <c r="M84" s="51" t="s">
        <v>2541</v>
      </c>
      <c r="N84" s="0" t="n">
        <v>52</v>
      </c>
      <c r="O84" s="53" t="n">
        <v>46050.4969907407</v>
      </c>
      <c r="P84" s="53" t="n">
        <v>46061.377650463</v>
      </c>
      <c r="Q84" s="53" t="n">
        <v>46050.4969907407</v>
      </c>
      <c r="R84" s="0" t="n">
        <v>0</v>
      </c>
      <c r="S84" s="51" t="s">
        <v>2380</v>
      </c>
      <c r="T84" s="51" t="s">
        <v>2380</v>
      </c>
      <c r="U84" s="51" t="s">
        <v>2203</v>
      </c>
      <c r="V84" s="51" t="s">
        <v>2205</v>
      </c>
      <c r="W84" s="51" t="s">
        <v>2548</v>
      </c>
      <c r="X84" s="51"/>
    </row>
    <row r="85" customFormat="false" ht="14.25" hidden="false" customHeight="false" outlineLevel="0" collapsed="false">
      <c r="A85" s="49" t="s">
        <v>2137</v>
      </c>
      <c r="B85" s="49" t="s">
        <v>14</v>
      </c>
      <c r="C85" s="49" t="s">
        <v>182</v>
      </c>
      <c r="D85" s="49" t="s">
        <v>2441</v>
      </c>
      <c r="E85" s="49" t="s">
        <v>2203</v>
      </c>
      <c r="F85" s="49" t="s">
        <v>170</v>
      </c>
      <c r="G85" s="49" t="n">
        <v>52</v>
      </c>
      <c r="H85" s="0" t="n">
        <v>0</v>
      </c>
      <c r="I85" s="51" t="s">
        <v>2549</v>
      </c>
      <c r="J85" s="49" t="s">
        <v>2547</v>
      </c>
      <c r="K85" s="52" t="n">
        <v>47767</v>
      </c>
      <c r="M85" s="51" t="s">
        <v>2541</v>
      </c>
      <c r="N85" s="0" t="n">
        <v>52</v>
      </c>
      <c r="O85" s="53" t="n">
        <v>46050.4946875</v>
      </c>
      <c r="P85" s="53" t="n">
        <v>46061.3796180556</v>
      </c>
      <c r="Q85" s="53" t="n">
        <v>46050.4946875</v>
      </c>
      <c r="R85" s="0" t="n">
        <v>0</v>
      </c>
      <c r="S85" s="51" t="s">
        <v>2380</v>
      </c>
      <c r="T85" s="51" t="s">
        <v>2380</v>
      </c>
      <c r="U85" s="51" t="s">
        <v>2203</v>
      </c>
      <c r="V85" s="51" t="s">
        <v>2205</v>
      </c>
      <c r="W85" s="51" t="s">
        <v>2550</v>
      </c>
      <c r="X85" s="51"/>
    </row>
    <row r="86" customFormat="false" ht="14.25" hidden="false" customHeight="false" outlineLevel="0" collapsed="false">
      <c r="A86" s="49" t="s">
        <v>2137</v>
      </c>
      <c r="B86" s="49" t="s">
        <v>14</v>
      </c>
      <c r="C86" s="49" t="s">
        <v>175</v>
      </c>
      <c r="D86" s="49" t="s">
        <v>2441</v>
      </c>
      <c r="E86" s="49" t="s">
        <v>2551</v>
      </c>
      <c r="F86" s="49" t="s">
        <v>168</v>
      </c>
      <c r="G86" s="49" t="n">
        <v>24</v>
      </c>
      <c r="H86" s="0" t="n">
        <v>0</v>
      </c>
      <c r="I86" s="51" t="s">
        <v>2552</v>
      </c>
      <c r="J86" s="49" t="s">
        <v>2553</v>
      </c>
      <c r="K86" s="52" t="n">
        <v>47783</v>
      </c>
      <c r="M86" s="51" t="s">
        <v>2541</v>
      </c>
      <c r="N86" s="0" t="n">
        <v>24</v>
      </c>
      <c r="O86" s="53" t="n">
        <v>46050.5033680556</v>
      </c>
      <c r="P86" s="53" t="n">
        <v>46061.4006134259</v>
      </c>
      <c r="Q86" s="53" t="n">
        <v>46050.5033680556</v>
      </c>
      <c r="R86" s="0" t="n">
        <v>0</v>
      </c>
      <c r="S86" s="51" t="s">
        <v>2380</v>
      </c>
      <c r="T86" s="51" t="s">
        <v>2380</v>
      </c>
      <c r="U86" s="51" t="s">
        <v>2551</v>
      </c>
      <c r="V86" s="51" t="s">
        <v>2205</v>
      </c>
      <c r="W86" s="51" t="s">
        <v>2554</v>
      </c>
      <c r="X86" s="51"/>
    </row>
    <row r="87" customFormat="false" ht="14.25" hidden="false" customHeight="false" outlineLevel="0" collapsed="false">
      <c r="A87" s="49" t="s">
        <v>2137</v>
      </c>
      <c r="B87" s="49" t="s">
        <v>14</v>
      </c>
      <c r="C87" s="49" t="s">
        <v>842</v>
      </c>
      <c r="D87" s="49" t="s">
        <v>2441</v>
      </c>
      <c r="E87" s="49" t="s">
        <v>2551</v>
      </c>
      <c r="F87" s="49" t="s">
        <v>168</v>
      </c>
      <c r="G87" s="49" t="n">
        <v>24</v>
      </c>
      <c r="H87" s="0" t="n">
        <v>0</v>
      </c>
      <c r="I87" s="51" t="s">
        <v>2555</v>
      </c>
      <c r="J87" s="49" t="s">
        <v>2553</v>
      </c>
      <c r="K87" s="52" t="n">
        <v>47783</v>
      </c>
      <c r="M87" s="51" t="s">
        <v>2556</v>
      </c>
      <c r="N87" s="0" t="n">
        <v>24</v>
      </c>
      <c r="O87" s="53" t="n">
        <v>46058.4484259259</v>
      </c>
      <c r="P87" s="53" t="n">
        <v>46060.5136689815</v>
      </c>
      <c r="Q87" s="53" t="n">
        <v>46058.4484259259</v>
      </c>
      <c r="R87" s="0" t="n">
        <v>0</v>
      </c>
      <c r="S87" s="51" t="s">
        <v>2398</v>
      </c>
      <c r="T87" s="51" t="s">
        <v>2398</v>
      </c>
      <c r="U87" s="51" t="s">
        <v>2551</v>
      </c>
      <c r="V87" s="51" t="s">
        <v>2205</v>
      </c>
      <c r="W87" s="51" t="s">
        <v>2516</v>
      </c>
      <c r="X87" s="51"/>
    </row>
    <row r="88" customFormat="false" ht="14.25" hidden="true" customHeight="false" outlineLevel="0" collapsed="false">
      <c r="A88" s="49" t="s">
        <v>2137</v>
      </c>
      <c r="B88" s="49" t="s">
        <v>14</v>
      </c>
      <c r="C88" s="49" t="s">
        <v>840</v>
      </c>
      <c r="D88" s="49" t="s">
        <v>2441</v>
      </c>
      <c r="E88" s="49" t="s">
        <v>2551</v>
      </c>
      <c r="F88" s="49" t="s">
        <v>168</v>
      </c>
      <c r="G88" s="49" t="n">
        <v>24</v>
      </c>
      <c r="H88" s="0" t="n">
        <v>0</v>
      </c>
      <c r="I88" s="51" t="s">
        <v>2557</v>
      </c>
      <c r="J88" s="49" t="s">
        <v>2553</v>
      </c>
      <c r="K88" s="52" t="n">
        <v>47783</v>
      </c>
      <c r="M88" s="51" t="s">
        <v>2556</v>
      </c>
      <c r="N88" s="49" t="n">
        <v>24</v>
      </c>
      <c r="O88" s="53" t="n">
        <v>46058.4488773148</v>
      </c>
      <c r="P88" s="53" t="n">
        <v>46063.5518402778</v>
      </c>
      <c r="Q88" s="53" t="n">
        <v>46058.4488773148</v>
      </c>
      <c r="R88" s="0" t="n">
        <v>0</v>
      </c>
      <c r="S88" s="51" t="s">
        <v>2398</v>
      </c>
      <c r="T88" s="51" t="s">
        <v>2398</v>
      </c>
      <c r="U88" s="51" t="s">
        <v>2551</v>
      </c>
      <c r="V88" s="51" t="s">
        <v>2205</v>
      </c>
      <c r="W88" s="51" t="s">
        <v>2558</v>
      </c>
      <c r="X88" s="51"/>
    </row>
    <row r="89" customFormat="false" ht="14.25" hidden="true" customHeight="false" outlineLevel="0" collapsed="false">
      <c r="A89" s="49" t="s">
        <v>2137</v>
      </c>
      <c r="B89" s="49" t="s">
        <v>14</v>
      </c>
      <c r="C89" s="49" t="s">
        <v>304</v>
      </c>
      <c r="D89" s="49" t="s">
        <v>2441</v>
      </c>
      <c r="E89" s="49" t="s">
        <v>2551</v>
      </c>
      <c r="F89" s="49" t="s">
        <v>168</v>
      </c>
      <c r="G89" s="49" t="n">
        <v>24</v>
      </c>
      <c r="H89" s="0" t="n">
        <v>0</v>
      </c>
      <c r="I89" s="51" t="s">
        <v>2559</v>
      </c>
      <c r="J89" s="49" t="s">
        <v>2553</v>
      </c>
      <c r="K89" s="52" t="n">
        <v>47783</v>
      </c>
      <c r="M89" s="51" t="s">
        <v>2560</v>
      </c>
      <c r="N89" s="49" t="n">
        <v>24</v>
      </c>
      <c r="O89" s="53" t="n">
        <v>46053.4437152778</v>
      </c>
      <c r="P89" s="53" t="n">
        <v>46060.5708101852</v>
      </c>
      <c r="Q89" s="53" t="n">
        <v>46053.4437152778</v>
      </c>
      <c r="R89" s="0" t="n">
        <v>0</v>
      </c>
      <c r="S89" s="51" t="s">
        <v>2380</v>
      </c>
      <c r="T89" s="51" t="s">
        <v>2380</v>
      </c>
      <c r="U89" s="51" t="s">
        <v>2551</v>
      </c>
      <c r="V89" s="51" t="s">
        <v>2205</v>
      </c>
      <c r="W89" s="51" t="s">
        <v>2561</v>
      </c>
      <c r="X89" s="51"/>
    </row>
    <row r="90" customFormat="false" ht="14.25" hidden="true" customHeight="false" outlineLevel="0" collapsed="false">
      <c r="A90" s="49" t="s">
        <v>2137</v>
      </c>
      <c r="B90" s="49" t="s">
        <v>14</v>
      </c>
      <c r="C90" s="49" t="s">
        <v>305</v>
      </c>
      <c r="D90" s="49" t="s">
        <v>2441</v>
      </c>
      <c r="E90" s="49" t="s">
        <v>2551</v>
      </c>
      <c r="F90" s="49" t="s">
        <v>168</v>
      </c>
      <c r="G90" s="49" t="n">
        <v>24</v>
      </c>
      <c r="H90" s="0" t="n">
        <v>0</v>
      </c>
      <c r="I90" s="51" t="s">
        <v>2562</v>
      </c>
      <c r="J90" s="49" t="s">
        <v>2553</v>
      </c>
      <c r="K90" s="52" t="n">
        <v>47783</v>
      </c>
      <c r="M90" s="51" t="s">
        <v>2560</v>
      </c>
      <c r="N90" s="49" t="n">
        <v>24</v>
      </c>
      <c r="O90" s="53" t="n">
        <v>46053.4430208333</v>
      </c>
      <c r="P90" s="53" t="n">
        <v>46060.5720486111</v>
      </c>
      <c r="Q90" s="53" t="n">
        <v>46053.4430208333</v>
      </c>
      <c r="R90" s="0" t="n">
        <v>0</v>
      </c>
      <c r="S90" s="51" t="s">
        <v>2380</v>
      </c>
      <c r="T90" s="51" t="s">
        <v>2380</v>
      </c>
      <c r="U90" s="51" t="s">
        <v>2551</v>
      </c>
      <c r="V90" s="51" t="s">
        <v>2205</v>
      </c>
      <c r="W90" s="51" t="s">
        <v>2563</v>
      </c>
      <c r="X90" s="51"/>
    </row>
    <row r="91" customFormat="false" ht="14.25" hidden="true" customHeight="false" outlineLevel="0" collapsed="false">
      <c r="A91" s="49" t="s">
        <v>2137</v>
      </c>
      <c r="B91" s="49" t="s">
        <v>14</v>
      </c>
      <c r="C91" s="49" t="s">
        <v>301</v>
      </c>
      <c r="D91" s="49" t="s">
        <v>2441</v>
      </c>
      <c r="E91" s="49" t="s">
        <v>2551</v>
      </c>
      <c r="F91" s="49" t="s">
        <v>168</v>
      </c>
      <c r="G91" s="49" t="n">
        <v>24</v>
      </c>
      <c r="H91" s="0" t="n">
        <v>0</v>
      </c>
      <c r="I91" s="51" t="s">
        <v>2564</v>
      </c>
      <c r="J91" s="49" t="s">
        <v>2565</v>
      </c>
      <c r="K91" s="52" t="n">
        <v>47796</v>
      </c>
      <c r="M91" s="51" t="s">
        <v>2560</v>
      </c>
      <c r="N91" s="49" t="n">
        <v>24</v>
      </c>
      <c r="O91" s="53" t="n">
        <v>46053.4507986111</v>
      </c>
      <c r="P91" s="53" t="n">
        <v>46060.6046412037</v>
      </c>
      <c r="Q91" s="53" t="n">
        <v>46053.4507986111</v>
      </c>
      <c r="R91" s="0" t="n">
        <v>0</v>
      </c>
      <c r="S91" s="51" t="s">
        <v>2380</v>
      </c>
      <c r="T91" s="51" t="s">
        <v>2380</v>
      </c>
      <c r="U91" s="51" t="s">
        <v>2551</v>
      </c>
      <c r="V91" s="51" t="s">
        <v>2205</v>
      </c>
      <c r="W91" s="51" t="s">
        <v>2566</v>
      </c>
      <c r="X91" s="51"/>
    </row>
    <row r="92" customFormat="false" ht="14.25" hidden="true" customHeight="false" outlineLevel="0" collapsed="false">
      <c r="A92" s="49" t="s">
        <v>2137</v>
      </c>
      <c r="B92" s="49" t="s">
        <v>14</v>
      </c>
      <c r="C92" s="49" t="s">
        <v>303</v>
      </c>
      <c r="D92" s="49" t="s">
        <v>2441</v>
      </c>
      <c r="E92" s="49" t="s">
        <v>2551</v>
      </c>
      <c r="F92" s="49" t="s">
        <v>168</v>
      </c>
      <c r="G92" s="49" t="n">
        <v>24</v>
      </c>
      <c r="H92" s="0" t="n">
        <v>0</v>
      </c>
      <c r="I92" s="51" t="s">
        <v>2567</v>
      </c>
      <c r="J92" s="49" t="s">
        <v>2565</v>
      </c>
      <c r="K92" s="52" t="n">
        <v>47796</v>
      </c>
      <c r="M92" s="51" t="s">
        <v>2560</v>
      </c>
      <c r="N92" s="49" t="n">
        <v>24</v>
      </c>
      <c r="O92" s="53" t="n">
        <v>46053.4455208333</v>
      </c>
      <c r="P92" s="53" t="n">
        <v>46060.6095717593</v>
      </c>
      <c r="Q92" s="53" t="n">
        <v>46053.4455208333</v>
      </c>
      <c r="R92" s="0" t="n">
        <v>0</v>
      </c>
      <c r="S92" s="51" t="s">
        <v>2380</v>
      </c>
      <c r="T92" s="51" t="s">
        <v>2380</v>
      </c>
      <c r="U92" s="51" t="s">
        <v>2551</v>
      </c>
      <c r="V92" s="51" t="s">
        <v>2205</v>
      </c>
      <c r="W92" s="51" t="s">
        <v>2568</v>
      </c>
      <c r="X92" s="51"/>
    </row>
    <row r="93" customFormat="false" ht="14.25" hidden="false" customHeight="false" outlineLevel="0" collapsed="false">
      <c r="A93" s="49" t="s">
        <v>2137</v>
      </c>
      <c r="B93" s="49" t="s">
        <v>14</v>
      </c>
      <c r="C93" s="49" t="s">
        <v>302</v>
      </c>
      <c r="D93" s="49" t="s">
        <v>2441</v>
      </c>
      <c r="E93" s="49" t="s">
        <v>2551</v>
      </c>
      <c r="F93" s="49" t="s">
        <v>168</v>
      </c>
      <c r="G93" s="49" t="n">
        <v>24</v>
      </c>
      <c r="H93" s="0" t="n">
        <v>0</v>
      </c>
      <c r="I93" s="51" t="s">
        <v>2569</v>
      </c>
      <c r="J93" s="49" t="s">
        <v>2565</v>
      </c>
      <c r="K93" s="52" t="n">
        <v>47796</v>
      </c>
      <c r="M93" s="51" t="s">
        <v>2560</v>
      </c>
      <c r="N93" s="0" t="n">
        <v>24</v>
      </c>
      <c r="O93" s="53" t="n">
        <v>46053.4506365741</v>
      </c>
      <c r="P93" s="53" t="n">
        <v>46060.6127662037</v>
      </c>
      <c r="Q93" s="53" t="n">
        <v>46053.4506365741</v>
      </c>
      <c r="R93" s="0" t="n">
        <v>0</v>
      </c>
      <c r="S93" s="51" t="s">
        <v>2380</v>
      </c>
      <c r="T93" s="51" t="s">
        <v>2380</v>
      </c>
      <c r="U93" s="51" t="s">
        <v>2551</v>
      </c>
      <c r="V93" s="51" t="s">
        <v>2205</v>
      </c>
      <c r="W93" s="51" t="s">
        <v>2570</v>
      </c>
      <c r="X93" s="51"/>
    </row>
    <row r="94" customFormat="false" ht="14.25" hidden="true" customHeight="false" outlineLevel="0" collapsed="false">
      <c r="A94" s="49" t="s">
        <v>2137</v>
      </c>
      <c r="B94" s="49" t="s">
        <v>14</v>
      </c>
      <c r="C94" s="49" t="s">
        <v>300</v>
      </c>
      <c r="D94" s="49" t="s">
        <v>2441</v>
      </c>
      <c r="E94" s="49" t="s">
        <v>2551</v>
      </c>
      <c r="F94" s="49" t="s">
        <v>168</v>
      </c>
      <c r="G94" s="49" t="n">
        <v>24</v>
      </c>
      <c r="H94" s="0" t="n">
        <v>0</v>
      </c>
      <c r="I94" s="51" t="s">
        <v>2571</v>
      </c>
      <c r="J94" s="49" t="s">
        <v>2565</v>
      </c>
      <c r="K94" s="52" t="n">
        <v>47796</v>
      </c>
      <c r="M94" s="51" t="s">
        <v>2560</v>
      </c>
      <c r="N94" s="49" t="n">
        <v>24</v>
      </c>
      <c r="O94" s="53" t="n">
        <v>46053.4511805556</v>
      </c>
      <c r="P94" s="53" t="n">
        <v>46060.6019097222</v>
      </c>
      <c r="Q94" s="53" t="n">
        <v>46053.4511805556</v>
      </c>
      <c r="R94" s="0" t="n">
        <v>0</v>
      </c>
      <c r="S94" s="51" t="s">
        <v>2380</v>
      </c>
      <c r="T94" s="51" t="s">
        <v>2380</v>
      </c>
      <c r="U94" s="51" t="s">
        <v>2551</v>
      </c>
      <c r="V94" s="51" t="s">
        <v>2205</v>
      </c>
      <c r="W94" s="51" t="s">
        <v>2572</v>
      </c>
      <c r="X94" s="51"/>
    </row>
    <row r="95" customFormat="false" ht="14.25" hidden="true" customHeight="false" outlineLevel="0" collapsed="false">
      <c r="A95" s="49" t="s">
        <v>2137</v>
      </c>
      <c r="B95" s="49" t="s">
        <v>14</v>
      </c>
      <c r="C95" s="49" t="s">
        <v>299</v>
      </c>
      <c r="D95" s="49" t="s">
        <v>2441</v>
      </c>
      <c r="E95" s="49" t="s">
        <v>2551</v>
      </c>
      <c r="F95" s="49" t="s">
        <v>168</v>
      </c>
      <c r="G95" s="49" t="n">
        <v>24</v>
      </c>
      <c r="H95" s="0" t="n">
        <v>0</v>
      </c>
      <c r="I95" s="51" t="s">
        <v>2573</v>
      </c>
      <c r="J95" s="49" t="s">
        <v>2574</v>
      </c>
      <c r="K95" s="52" t="n">
        <v>47797</v>
      </c>
      <c r="M95" s="51" t="s">
        <v>2560</v>
      </c>
      <c r="N95" s="49" t="n">
        <v>24</v>
      </c>
      <c r="O95" s="53" t="n">
        <v>46053.4519444444</v>
      </c>
      <c r="P95" s="53" t="n">
        <v>46060.5792013889</v>
      </c>
      <c r="Q95" s="53" t="n">
        <v>46053.4519444444</v>
      </c>
      <c r="R95" s="0" t="n">
        <v>0</v>
      </c>
      <c r="S95" s="51" t="s">
        <v>2380</v>
      </c>
      <c r="T95" s="51" t="s">
        <v>2380</v>
      </c>
      <c r="U95" s="51" t="s">
        <v>2551</v>
      </c>
      <c r="V95" s="51" t="s">
        <v>2205</v>
      </c>
      <c r="W95" s="51" t="s">
        <v>2575</v>
      </c>
      <c r="X95" s="51"/>
    </row>
    <row r="96" customFormat="false" ht="14.25" hidden="true" customHeight="false" outlineLevel="0" collapsed="false">
      <c r="A96" s="49" t="s">
        <v>2137</v>
      </c>
      <c r="B96" s="49" t="s">
        <v>14</v>
      </c>
      <c r="C96" s="49" t="s">
        <v>307</v>
      </c>
      <c r="D96" s="49" t="s">
        <v>2441</v>
      </c>
      <c r="E96" s="49" t="s">
        <v>2551</v>
      </c>
      <c r="F96" s="49" t="s">
        <v>168</v>
      </c>
      <c r="G96" s="49" t="n">
        <v>24</v>
      </c>
      <c r="H96" s="0" t="n">
        <v>0</v>
      </c>
      <c r="I96" s="51" t="s">
        <v>2576</v>
      </c>
      <c r="J96" s="49" t="s">
        <v>2577</v>
      </c>
      <c r="K96" s="52" t="n">
        <v>47802</v>
      </c>
      <c r="M96" s="51" t="s">
        <v>2560</v>
      </c>
      <c r="N96" s="49" t="n">
        <v>24</v>
      </c>
      <c r="O96" s="53" t="n">
        <v>46053.4513310185</v>
      </c>
      <c r="P96" s="53" t="n">
        <v>46060.6007291667</v>
      </c>
      <c r="Q96" s="53" t="n">
        <v>46053.4513310185</v>
      </c>
      <c r="R96" s="0" t="n">
        <v>0</v>
      </c>
      <c r="S96" s="51" t="s">
        <v>2380</v>
      </c>
      <c r="T96" s="51" t="s">
        <v>2380</v>
      </c>
      <c r="U96" s="51" t="s">
        <v>2551</v>
      </c>
      <c r="V96" s="51" t="s">
        <v>2205</v>
      </c>
      <c r="W96" s="51" t="s">
        <v>2578</v>
      </c>
      <c r="X96" s="51"/>
    </row>
    <row r="97" customFormat="false" ht="14.25" hidden="true" customHeight="false" outlineLevel="0" collapsed="false">
      <c r="A97" s="49" t="s">
        <v>2137</v>
      </c>
      <c r="B97" s="49" t="s">
        <v>14</v>
      </c>
      <c r="C97" s="49" t="s">
        <v>833</v>
      </c>
      <c r="D97" s="49" t="s">
        <v>2441</v>
      </c>
      <c r="E97" s="49" t="s">
        <v>2551</v>
      </c>
      <c r="F97" s="49" t="s">
        <v>168</v>
      </c>
      <c r="G97" s="49" t="n">
        <v>24</v>
      </c>
      <c r="H97" s="0" t="n">
        <v>0</v>
      </c>
      <c r="I97" s="51" t="s">
        <v>2579</v>
      </c>
      <c r="J97" s="49" t="s">
        <v>2577</v>
      </c>
      <c r="K97" s="52" t="n">
        <v>47802</v>
      </c>
      <c r="M97" s="51" t="s">
        <v>2556</v>
      </c>
      <c r="N97" s="49" t="n">
        <v>24</v>
      </c>
      <c r="O97" s="53" t="n">
        <v>46058.4547453704</v>
      </c>
      <c r="P97" s="53" t="n">
        <v>46060.3578472222</v>
      </c>
      <c r="Q97" s="53" t="n">
        <v>46058.4547453704</v>
      </c>
      <c r="R97" s="0" t="n">
        <v>0</v>
      </c>
      <c r="S97" s="51" t="s">
        <v>2398</v>
      </c>
      <c r="T97" s="51" t="s">
        <v>2398</v>
      </c>
      <c r="U97" s="51" t="s">
        <v>2551</v>
      </c>
      <c r="V97" s="51" t="s">
        <v>2205</v>
      </c>
      <c r="W97" s="51"/>
      <c r="X97" s="51"/>
    </row>
    <row r="98" customFormat="false" ht="14.25" hidden="true" customHeight="false" outlineLevel="0" collapsed="false">
      <c r="A98" s="49" t="s">
        <v>2137</v>
      </c>
      <c r="B98" s="49" t="s">
        <v>14</v>
      </c>
      <c r="C98" s="49" t="s">
        <v>95</v>
      </c>
      <c r="D98" s="49" t="s">
        <v>2441</v>
      </c>
      <c r="E98" s="49" t="s">
        <v>2500</v>
      </c>
      <c r="F98" s="49" t="s">
        <v>16</v>
      </c>
      <c r="G98" s="49" t="n">
        <v>4</v>
      </c>
      <c r="H98" s="0" t="n">
        <v>0</v>
      </c>
      <c r="I98" s="51" t="s">
        <v>2580</v>
      </c>
      <c r="J98" s="49" t="s">
        <v>2581</v>
      </c>
      <c r="K98" s="52" t="n">
        <v>47803</v>
      </c>
      <c r="M98" s="51" t="s">
        <v>2582</v>
      </c>
      <c r="N98" s="49" t="n">
        <v>4</v>
      </c>
      <c r="O98" s="53" t="n">
        <v>46049.4906712963</v>
      </c>
      <c r="P98" s="53" t="n">
        <v>46052.6653935185</v>
      </c>
      <c r="Q98" s="53" t="n">
        <v>46049.4906712963</v>
      </c>
      <c r="R98" s="0" t="n">
        <v>0</v>
      </c>
      <c r="S98" s="51" t="s">
        <v>2380</v>
      </c>
      <c r="T98" s="51" t="s">
        <v>2380</v>
      </c>
      <c r="U98" s="51" t="s">
        <v>2500</v>
      </c>
      <c r="V98" s="51" t="s">
        <v>2142</v>
      </c>
      <c r="W98" s="51" t="s">
        <v>2583</v>
      </c>
      <c r="X98" s="51"/>
    </row>
    <row r="99" customFormat="false" ht="14.25" hidden="true" customHeight="false" outlineLevel="0" collapsed="false">
      <c r="A99" s="49" t="s">
        <v>2137</v>
      </c>
      <c r="B99" s="49" t="s">
        <v>14</v>
      </c>
      <c r="C99" s="49" t="s">
        <v>844</v>
      </c>
      <c r="D99" s="49" t="s">
        <v>2441</v>
      </c>
      <c r="E99" s="49" t="s">
        <v>2551</v>
      </c>
      <c r="F99" s="49" t="s">
        <v>168</v>
      </c>
      <c r="G99" s="49" t="n">
        <v>24</v>
      </c>
      <c r="H99" s="0" t="n">
        <v>0</v>
      </c>
      <c r="I99" s="51" t="s">
        <v>2584</v>
      </c>
      <c r="J99" s="49" t="s">
        <v>2585</v>
      </c>
      <c r="K99" s="52" t="n">
        <v>47803</v>
      </c>
      <c r="M99" s="51" t="s">
        <v>2556</v>
      </c>
      <c r="N99" s="49" t="n">
        <v>24</v>
      </c>
      <c r="O99" s="53" t="n">
        <v>46058.4479861111</v>
      </c>
      <c r="P99" s="53" t="n">
        <v>46060.5166666667</v>
      </c>
      <c r="Q99" s="53" t="n">
        <v>46058.4479861111</v>
      </c>
      <c r="R99" s="0" t="n">
        <v>0</v>
      </c>
      <c r="S99" s="51" t="s">
        <v>2398</v>
      </c>
      <c r="T99" s="51" t="s">
        <v>2398</v>
      </c>
      <c r="U99" s="51" t="s">
        <v>2551</v>
      </c>
      <c r="V99" s="51" t="s">
        <v>2205</v>
      </c>
      <c r="W99" s="51" t="s">
        <v>2530</v>
      </c>
      <c r="X99" s="51"/>
    </row>
    <row r="100" customFormat="false" ht="14.25" hidden="true" customHeight="false" outlineLevel="0" collapsed="false">
      <c r="A100" s="49" t="s">
        <v>2137</v>
      </c>
      <c r="B100" s="49" t="s">
        <v>14</v>
      </c>
      <c r="C100" s="49" t="s">
        <v>829</v>
      </c>
      <c r="D100" s="49" t="s">
        <v>2441</v>
      </c>
      <c r="E100" s="49" t="s">
        <v>2551</v>
      </c>
      <c r="F100" s="49" t="s">
        <v>168</v>
      </c>
      <c r="G100" s="49" t="n">
        <v>24</v>
      </c>
      <c r="H100" s="0" t="n">
        <v>0</v>
      </c>
      <c r="I100" s="51" t="s">
        <v>2586</v>
      </c>
      <c r="J100" s="49" t="s">
        <v>2585</v>
      </c>
      <c r="K100" s="52" t="n">
        <v>47803</v>
      </c>
      <c r="M100" s="51" t="s">
        <v>2556</v>
      </c>
      <c r="N100" s="49" t="n">
        <v>24</v>
      </c>
      <c r="O100" s="53" t="n">
        <v>46058.4493981482</v>
      </c>
      <c r="P100" s="53" t="n">
        <v>46063.5527546296</v>
      </c>
      <c r="Q100" s="53" t="n">
        <v>46058.4493981482</v>
      </c>
      <c r="R100" s="0" t="n">
        <v>0</v>
      </c>
      <c r="S100" s="51" t="s">
        <v>2398</v>
      </c>
      <c r="T100" s="51" t="s">
        <v>2398</v>
      </c>
      <c r="U100" s="51" t="s">
        <v>2551</v>
      </c>
      <c r="V100" s="51" t="s">
        <v>2205</v>
      </c>
      <c r="W100" s="51" t="s">
        <v>2587</v>
      </c>
      <c r="X100" s="51"/>
    </row>
    <row r="101" customFormat="false" ht="14.25" hidden="true" customHeight="false" outlineLevel="0" collapsed="false">
      <c r="A101" s="49" t="s">
        <v>2137</v>
      </c>
      <c r="B101" s="49" t="s">
        <v>14</v>
      </c>
      <c r="C101" s="49" t="s">
        <v>851</v>
      </c>
      <c r="D101" s="49" t="s">
        <v>2441</v>
      </c>
      <c r="E101" s="49" t="s">
        <v>2551</v>
      </c>
      <c r="F101" s="49" t="s">
        <v>168</v>
      </c>
      <c r="G101" s="49" t="n">
        <v>24</v>
      </c>
      <c r="H101" s="0" t="n">
        <v>0</v>
      </c>
      <c r="I101" s="51" t="s">
        <v>2588</v>
      </c>
      <c r="J101" s="49" t="s">
        <v>2585</v>
      </c>
      <c r="K101" s="52" t="n">
        <v>47803</v>
      </c>
      <c r="M101" s="51" t="s">
        <v>2556</v>
      </c>
      <c r="N101" s="49" t="n">
        <v>24</v>
      </c>
      <c r="O101" s="53" t="n">
        <v>46058.4506365741</v>
      </c>
      <c r="P101" s="53" t="n">
        <v>46060.3552083333</v>
      </c>
      <c r="Q101" s="53" t="n">
        <v>46058.4506365741</v>
      </c>
      <c r="R101" s="0" t="n">
        <v>0</v>
      </c>
      <c r="S101" s="51" t="s">
        <v>2398</v>
      </c>
      <c r="T101" s="51" t="s">
        <v>2398</v>
      </c>
      <c r="U101" s="51" t="s">
        <v>2551</v>
      </c>
      <c r="V101" s="51" t="s">
        <v>2205</v>
      </c>
      <c r="W101" s="51"/>
      <c r="X101" s="51"/>
    </row>
    <row r="102" customFormat="false" ht="14.25" hidden="true" customHeight="false" outlineLevel="0" collapsed="false">
      <c r="A102" s="49" t="s">
        <v>2137</v>
      </c>
      <c r="B102" s="49" t="s">
        <v>14</v>
      </c>
      <c r="C102" s="49" t="s">
        <v>850</v>
      </c>
      <c r="D102" s="49" t="s">
        <v>2441</v>
      </c>
      <c r="E102" s="49" t="s">
        <v>2551</v>
      </c>
      <c r="F102" s="49" t="s">
        <v>168</v>
      </c>
      <c r="G102" s="49" t="n">
        <v>24</v>
      </c>
      <c r="H102" s="0" t="n">
        <v>0</v>
      </c>
      <c r="I102" s="51" t="s">
        <v>2589</v>
      </c>
      <c r="J102" s="49" t="s">
        <v>2585</v>
      </c>
      <c r="K102" s="52" t="n">
        <v>47803</v>
      </c>
      <c r="M102" s="51" t="s">
        <v>2556</v>
      </c>
      <c r="N102" s="49" t="n">
        <v>24</v>
      </c>
      <c r="O102" s="53" t="n">
        <v>46058.4510416667</v>
      </c>
      <c r="P102" s="53" t="n">
        <v>46063.4923263889</v>
      </c>
      <c r="Q102" s="53" t="n">
        <v>46058.4510416667</v>
      </c>
      <c r="R102" s="0" t="n">
        <v>0</v>
      </c>
      <c r="S102" s="51" t="s">
        <v>2398</v>
      </c>
      <c r="T102" s="51" t="s">
        <v>2398</v>
      </c>
      <c r="U102" s="51" t="s">
        <v>2551</v>
      </c>
      <c r="V102" s="51" t="s">
        <v>2205</v>
      </c>
      <c r="W102" s="51" t="s">
        <v>2590</v>
      </c>
      <c r="X102" s="51"/>
    </row>
    <row r="103" customFormat="false" ht="14.25" hidden="false" customHeight="false" outlineLevel="0" collapsed="false">
      <c r="A103" s="49" t="s">
        <v>2137</v>
      </c>
      <c r="B103" s="49" t="s">
        <v>14</v>
      </c>
      <c r="C103" s="49" t="s">
        <v>849</v>
      </c>
      <c r="D103" s="49" t="s">
        <v>2441</v>
      </c>
      <c r="E103" s="49" t="s">
        <v>2551</v>
      </c>
      <c r="F103" s="49" t="s">
        <v>168</v>
      </c>
      <c r="G103" s="49" t="n">
        <v>24</v>
      </c>
      <c r="H103" s="0" t="n">
        <v>0</v>
      </c>
      <c r="I103" s="51" t="s">
        <v>2591</v>
      </c>
      <c r="J103" s="49" t="s">
        <v>2585</v>
      </c>
      <c r="K103" s="52" t="n">
        <v>47803</v>
      </c>
      <c r="M103" s="51" t="s">
        <v>2556</v>
      </c>
      <c r="N103" s="0" t="n">
        <v>24</v>
      </c>
      <c r="O103" s="53" t="n">
        <v>46058.4526041667</v>
      </c>
      <c r="P103" s="53" t="n">
        <v>46061.4650925926</v>
      </c>
      <c r="Q103" s="0" t="n">
        <v>46058.4526041667</v>
      </c>
      <c r="R103" s="0" t="n">
        <v>0</v>
      </c>
      <c r="S103" s="51" t="s">
        <v>2398</v>
      </c>
      <c r="T103" s="51" t="s">
        <v>2398</v>
      </c>
      <c r="U103" s="51" t="s">
        <v>2551</v>
      </c>
      <c r="V103" s="51" t="s">
        <v>2205</v>
      </c>
      <c r="W103" s="51" t="s">
        <v>2592</v>
      </c>
    </row>
    <row r="104" customFormat="false" ht="14.25" hidden="true" customHeight="false" outlineLevel="0" collapsed="false">
      <c r="A104" s="49" t="s">
        <v>2137</v>
      </c>
      <c r="B104" s="49" t="s">
        <v>14</v>
      </c>
      <c r="C104" s="49" t="s">
        <v>847</v>
      </c>
      <c r="D104" s="49" t="s">
        <v>2441</v>
      </c>
      <c r="E104" s="49" t="s">
        <v>2551</v>
      </c>
      <c r="F104" s="49" t="s">
        <v>168</v>
      </c>
      <c r="G104" s="49" t="n">
        <v>24</v>
      </c>
      <c r="H104" s="0" t="n">
        <v>0</v>
      </c>
      <c r="I104" s="51" t="s">
        <v>2593</v>
      </c>
      <c r="J104" s="49" t="s">
        <v>2585</v>
      </c>
      <c r="K104" s="52" t="n">
        <v>47803</v>
      </c>
      <c r="M104" s="51" t="s">
        <v>2556</v>
      </c>
      <c r="N104" s="49" t="n">
        <v>24</v>
      </c>
      <c r="O104" s="53" t="n">
        <v>46058.4528819444</v>
      </c>
      <c r="P104" s="53" t="n">
        <v>46060.3444444445</v>
      </c>
      <c r="Q104" s="53" t="n">
        <v>46058.4528819444</v>
      </c>
      <c r="R104" s="0" t="n">
        <v>0</v>
      </c>
      <c r="S104" s="51" t="s">
        <v>2398</v>
      </c>
      <c r="T104" s="51" t="s">
        <v>2398</v>
      </c>
      <c r="U104" s="51" t="s">
        <v>2551</v>
      </c>
      <c r="V104" s="51" t="s">
        <v>2205</v>
      </c>
      <c r="W104" s="51"/>
      <c r="X104" s="51"/>
    </row>
    <row r="105" customFormat="false" ht="14.25" hidden="false" customHeight="false" outlineLevel="0" collapsed="false">
      <c r="A105" s="49" t="s">
        <v>2137</v>
      </c>
      <c r="B105" s="49" t="s">
        <v>14</v>
      </c>
      <c r="C105" s="49" t="s">
        <v>846</v>
      </c>
      <c r="D105" s="49" t="s">
        <v>2441</v>
      </c>
      <c r="E105" s="49" t="s">
        <v>2551</v>
      </c>
      <c r="F105" s="49" t="s">
        <v>168</v>
      </c>
      <c r="G105" s="49" t="n">
        <v>24</v>
      </c>
      <c r="H105" s="0" t="n">
        <v>0</v>
      </c>
      <c r="I105" s="51" t="s">
        <v>2594</v>
      </c>
      <c r="J105" s="49" t="s">
        <v>2585</v>
      </c>
      <c r="K105" s="52" t="n">
        <v>47803</v>
      </c>
      <c r="M105" s="51" t="s">
        <v>2556</v>
      </c>
      <c r="N105" s="0" t="n">
        <v>24</v>
      </c>
      <c r="O105" s="53" t="n">
        <v>46058.4529861111</v>
      </c>
      <c r="P105" s="53" t="n">
        <v>46060.3471412037</v>
      </c>
      <c r="Q105" s="53" t="n">
        <v>46058.4529861111</v>
      </c>
      <c r="R105" s="0" t="n">
        <v>0</v>
      </c>
      <c r="S105" s="51" t="s">
        <v>2398</v>
      </c>
      <c r="T105" s="51" t="s">
        <v>2398</v>
      </c>
      <c r="U105" s="51" t="s">
        <v>2551</v>
      </c>
      <c r="V105" s="51" t="s">
        <v>2205</v>
      </c>
      <c r="W105" s="51"/>
      <c r="X105" s="51"/>
    </row>
    <row r="106" customFormat="false" ht="14.25" hidden="false" customHeight="false" outlineLevel="0" collapsed="false">
      <c r="A106" s="49" t="s">
        <v>2137</v>
      </c>
      <c r="B106" s="49" t="s">
        <v>14</v>
      </c>
      <c r="C106" s="49" t="s">
        <v>845</v>
      </c>
      <c r="D106" s="49" t="s">
        <v>2441</v>
      </c>
      <c r="E106" s="49" t="s">
        <v>2551</v>
      </c>
      <c r="F106" s="49" t="s">
        <v>168</v>
      </c>
      <c r="G106" s="49" t="n">
        <v>24</v>
      </c>
      <c r="H106" s="0" t="n">
        <v>0</v>
      </c>
      <c r="I106" s="51" t="s">
        <v>2595</v>
      </c>
      <c r="J106" s="49" t="s">
        <v>2585</v>
      </c>
      <c r="K106" s="52" t="n">
        <v>47803</v>
      </c>
      <c r="M106" s="51" t="s">
        <v>2556</v>
      </c>
      <c r="N106" s="0" t="n">
        <v>24</v>
      </c>
      <c r="O106" s="53" t="n">
        <v>46058.4543402778</v>
      </c>
      <c r="P106" s="53" t="n">
        <v>46060.3510532407</v>
      </c>
      <c r="Q106" s="53" t="n">
        <v>46058.4543402778</v>
      </c>
      <c r="R106" s="0" t="n">
        <v>0</v>
      </c>
      <c r="S106" s="51" t="s">
        <v>2398</v>
      </c>
      <c r="T106" s="51" t="s">
        <v>2398</v>
      </c>
      <c r="U106" s="51" t="s">
        <v>2551</v>
      </c>
      <c r="V106" s="51" t="s">
        <v>2205</v>
      </c>
      <c r="W106" s="51"/>
      <c r="X106" s="51"/>
    </row>
    <row r="107" customFormat="false" ht="14.25" hidden="true" customHeight="false" outlineLevel="0" collapsed="false">
      <c r="A107" s="49" t="s">
        <v>2137</v>
      </c>
      <c r="B107" s="49" t="s">
        <v>14</v>
      </c>
      <c r="C107" s="49" t="s">
        <v>316</v>
      </c>
      <c r="D107" s="49" t="s">
        <v>2441</v>
      </c>
      <c r="E107" s="49" t="s">
        <v>2551</v>
      </c>
      <c r="F107" s="49" t="s">
        <v>168</v>
      </c>
      <c r="G107" s="49" t="n">
        <v>24</v>
      </c>
      <c r="H107" s="0" t="n">
        <v>0</v>
      </c>
      <c r="I107" s="51" t="s">
        <v>2596</v>
      </c>
      <c r="J107" s="49" t="s">
        <v>2585</v>
      </c>
      <c r="K107" s="52" t="n">
        <v>47803</v>
      </c>
      <c r="M107" s="51" t="s">
        <v>2560</v>
      </c>
      <c r="N107" s="49" t="n">
        <v>24</v>
      </c>
      <c r="O107" s="53" t="n">
        <v>46053.4427777778</v>
      </c>
      <c r="P107" s="53" t="n">
        <v>46060.5992939815</v>
      </c>
      <c r="Q107" s="53" t="n">
        <v>46053.4427777778</v>
      </c>
      <c r="R107" s="0" t="n">
        <v>0</v>
      </c>
      <c r="S107" s="51" t="s">
        <v>2380</v>
      </c>
      <c r="T107" s="51" t="s">
        <v>2380</v>
      </c>
      <c r="U107" s="51" t="s">
        <v>2551</v>
      </c>
      <c r="V107" s="51" t="s">
        <v>2205</v>
      </c>
      <c r="W107" s="51" t="s">
        <v>2597</v>
      </c>
      <c r="X107" s="51"/>
    </row>
    <row r="108" customFormat="false" ht="14.25" hidden="true" customHeight="false" outlineLevel="0" collapsed="false">
      <c r="A108" s="49" t="s">
        <v>2137</v>
      </c>
      <c r="B108" s="49" t="s">
        <v>14</v>
      </c>
      <c r="C108" s="49" t="s">
        <v>318</v>
      </c>
      <c r="D108" s="49" t="s">
        <v>2441</v>
      </c>
      <c r="E108" s="49" t="s">
        <v>2551</v>
      </c>
      <c r="F108" s="49" t="s">
        <v>168</v>
      </c>
      <c r="G108" s="49" t="n">
        <v>24</v>
      </c>
      <c r="H108" s="0" t="n">
        <v>0</v>
      </c>
      <c r="I108" s="51" t="s">
        <v>2598</v>
      </c>
      <c r="J108" s="49" t="s">
        <v>2585</v>
      </c>
      <c r="K108" s="52" t="n">
        <v>47803</v>
      </c>
      <c r="M108" s="51" t="s">
        <v>2560</v>
      </c>
      <c r="N108" s="49" t="n">
        <v>24</v>
      </c>
      <c r="O108" s="53" t="n">
        <v>46053.4420717593</v>
      </c>
      <c r="P108" s="53" t="n">
        <v>46060.565</v>
      </c>
      <c r="Q108" s="53" t="n">
        <v>46053.4420717593</v>
      </c>
      <c r="R108" s="0" t="n">
        <v>0</v>
      </c>
      <c r="S108" s="51" t="s">
        <v>2380</v>
      </c>
      <c r="T108" s="51" t="s">
        <v>2380</v>
      </c>
      <c r="U108" s="51" t="s">
        <v>2551</v>
      </c>
      <c r="V108" s="51" t="s">
        <v>2205</v>
      </c>
      <c r="W108" s="51" t="s">
        <v>2599</v>
      </c>
      <c r="X108" s="51"/>
    </row>
    <row r="109" customFormat="false" ht="14.25" hidden="true" customHeight="false" outlineLevel="0" collapsed="false">
      <c r="A109" s="49" t="s">
        <v>2137</v>
      </c>
      <c r="B109" s="49" t="s">
        <v>14</v>
      </c>
      <c r="C109" s="49" t="s">
        <v>298</v>
      </c>
      <c r="D109" s="49" t="s">
        <v>2441</v>
      </c>
      <c r="E109" s="49" t="s">
        <v>2551</v>
      </c>
      <c r="F109" s="49" t="s">
        <v>168</v>
      </c>
      <c r="G109" s="49" t="n">
        <v>24</v>
      </c>
      <c r="H109" s="0" t="n">
        <v>0</v>
      </c>
      <c r="I109" s="51" t="s">
        <v>2600</v>
      </c>
      <c r="J109" s="49" t="s">
        <v>2585</v>
      </c>
      <c r="K109" s="52" t="n">
        <v>47803</v>
      </c>
      <c r="M109" s="51" t="s">
        <v>2560</v>
      </c>
      <c r="N109" s="49" t="n">
        <v>24</v>
      </c>
      <c r="O109" s="53" t="n">
        <v>46053.4407175926</v>
      </c>
      <c r="P109" s="53" t="n">
        <v>46060.5624421296</v>
      </c>
      <c r="Q109" s="53" t="n">
        <v>46053.4407175926</v>
      </c>
      <c r="R109" s="0" t="n">
        <v>0</v>
      </c>
      <c r="S109" s="51" t="s">
        <v>2380</v>
      </c>
      <c r="T109" s="51" t="s">
        <v>2380</v>
      </c>
      <c r="U109" s="51" t="s">
        <v>2551</v>
      </c>
      <c r="V109" s="51" t="s">
        <v>2205</v>
      </c>
      <c r="W109" s="51" t="s">
        <v>2601</v>
      </c>
      <c r="X109" s="51"/>
    </row>
    <row r="110" customFormat="false" ht="14.25" hidden="true" customHeight="false" outlineLevel="0" collapsed="false">
      <c r="A110" s="49" t="s">
        <v>2137</v>
      </c>
      <c r="B110" s="49" t="s">
        <v>14</v>
      </c>
      <c r="C110" s="49" t="s">
        <v>314</v>
      </c>
      <c r="D110" s="49" t="s">
        <v>2441</v>
      </c>
      <c r="E110" s="49" t="s">
        <v>2551</v>
      </c>
      <c r="F110" s="49" t="s">
        <v>168</v>
      </c>
      <c r="G110" s="49" t="n">
        <v>24</v>
      </c>
      <c r="H110" s="0" t="n">
        <v>0</v>
      </c>
      <c r="I110" s="51" t="s">
        <v>2602</v>
      </c>
      <c r="J110" s="49" t="s">
        <v>2585</v>
      </c>
      <c r="K110" s="52" t="n">
        <v>47803</v>
      </c>
      <c r="M110" s="51" t="s">
        <v>2560</v>
      </c>
      <c r="N110" s="49" t="n">
        <v>24</v>
      </c>
      <c r="O110" s="53" t="n">
        <v>46053.443900463</v>
      </c>
      <c r="P110" s="53" t="n">
        <v>46060.5775810185</v>
      </c>
      <c r="Q110" s="53" t="n">
        <v>46053.443900463</v>
      </c>
      <c r="R110" s="0" t="n">
        <v>0</v>
      </c>
      <c r="S110" s="51" t="s">
        <v>2380</v>
      </c>
      <c r="T110" s="51" t="s">
        <v>2380</v>
      </c>
      <c r="U110" s="51" t="s">
        <v>2551</v>
      </c>
      <c r="V110" s="51" t="s">
        <v>2205</v>
      </c>
      <c r="W110" s="51" t="s">
        <v>2603</v>
      </c>
      <c r="X110" s="51"/>
    </row>
    <row r="111" customFormat="false" ht="14.25" hidden="true" customHeight="false" outlineLevel="0" collapsed="false">
      <c r="A111" s="49" t="s">
        <v>2137</v>
      </c>
      <c r="B111" s="49" t="s">
        <v>14</v>
      </c>
      <c r="C111" s="49" t="s">
        <v>313</v>
      </c>
      <c r="D111" s="49" t="s">
        <v>2441</v>
      </c>
      <c r="E111" s="49" t="s">
        <v>2551</v>
      </c>
      <c r="F111" s="49" t="s">
        <v>168</v>
      </c>
      <c r="G111" s="49" t="n">
        <v>24</v>
      </c>
      <c r="H111" s="0" t="n">
        <v>0</v>
      </c>
      <c r="I111" s="51" t="s">
        <v>2604</v>
      </c>
      <c r="J111" s="49" t="s">
        <v>2585</v>
      </c>
      <c r="K111" s="52" t="n">
        <v>47803</v>
      </c>
      <c r="M111" s="51" t="s">
        <v>2560</v>
      </c>
      <c r="N111" s="49" t="n">
        <v>24</v>
      </c>
      <c r="O111" s="53" t="n">
        <v>46053.4440277778</v>
      </c>
      <c r="P111" s="53" t="n">
        <v>46060.5758564815</v>
      </c>
      <c r="Q111" s="53" t="n">
        <v>46053.4440277778</v>
      </c>
      <c r="R111" s="0" t="n">
        <v>0</v>
      </c>
      <c r="S111" s="51" t="s">
        <v>2380</v>
      </c>
      <c r="T111" s="51" t="s">
        <v>2380</v>
      </c>
      <c r="U111" s="51" t="s">
        <v>2551</v>
      </c>
      <c r="V111" s="51" t="s">
        <v>2205</v>
      </c>
      <c r="W111" s="51" t="s">
        <v>2605</v>
      </c>
      <c r="X111" s="51"/>
    </row>
    <row r="112" customFormat="false" ht="14.25" hidden="false" customHeight="false" outlineLevel="0" collapsed="false">
      <c r="A112" s="49" t="s">
        <v>2137</v>
      </c>
      <c r="B112" s="49" t="s">
        <v>14</v>
      </c>
      <c r="C112" s="49" t="s">
        <v>311</v>
      </c>
      <c r="D112" s="49" t="s">
        <v>2441</v>
      </c>
      <c r="E112" s="49" t="s">
        <v>2551</v>
      </c>
      <c r="F112" s="49" t="s">
        <v>168</v>
      </c>
      <c r="G112" s="49" t="n">
        <v>24</v>
      </c>
      <c r="H112" s="0" t="n">
        <v>0</v>
      </c>
      <c r="I112" s="51" t="s">
        <v>2606</v>
      </c>
      <c r="J112" s="49" t="s">
        <v>2585</v>
      </c>
      <c r="K112" s="52" t="n">
        <v>47803</v>
      </c>
      <c r="M112" s="51" t="s">
        <v>2560</v>
      </c>
      <c r="N112" s="0" t="n">
        <v>24</v>
      </c>
      <c r="O112" s="53" t="n">
        <v>46053.4447685185</v>
      </c>
      <c r="P112" s="53" t="n">
        <v>46060.5698842593</v>
      </c>
      <c r="Q112" s="53" t="n">
        <v>46053.4447685185</v>
      </c>
      <c r="R112" s="0" t="n">
        <v>0</v>
      </c>
      <c r="S112" s="51" t="s">
        <v>2380</v>
      </c>
      <c r="T112" s="51" t="s">
        <v>2380</v>
      </c>
      <c r="U112" s="51" t="s">
        <v>2551</v>
      </c>
      <c r="V112" s="51" t="s">
        <v>2205</v>
      </c>
      <c r="W112" s="51" t="s">
        <v>2607</v>
      </c>
      <c r="X112" s="51"/>
    </row>
    <row r="113" customFormat="false" ht="14.25" hidden="false" customHeight="false" outlineLevel="0" collapsed="false">
      <c r="A113" s="49" t="s">
        <v>2137</v>
      </c>
      <c r="B113" s="49" t="s">
        <v>14</v>
      </c>
      <c r="C113" s="49" t="s">
        <v>309</v>
      </c>
      <c r="D113" s="49" t="s">
        <v>2441</v>
      </c>
      <c r="E113" s="49" t="s">
        <v>2551</v>
      </c>
      <c r="F113" s="49" t="s">
        <v>168</v>
      </c>
      <c r="G113" s="49" t="n">
        <v>24</v>
      </c>
      <c r="H113" s="0" t="n">
        <v>0</v>
      </c>
      <c r="I113" s="51" t="s">
        <v>2608</v>
      </c>
      <c r="J113" s="49" t="s">
        <v>2585</v>
      </c>
      <c r="K113" s="52" t="n">
        <v>47803</v>
      </c>
      <c r="M113" s="51" t="s">
        <v>2560</v>
      </c>
      <c r="N113" s="0" t="n">
        <v>24</v>
      </c>
      <c r="O113" s="53" t="n">
        <v>46053.4450115741</v>
      </c>
      <c r="P113" s="53" t="n">
        <v>46060.6065393519</v>
      </c>
      <c r="Q113" s="53" t="n">
        <v>46053.4450115741</v>
      </c>
      <c r="R113" s="0" t="n">
        <v>0</v>
      </c>
      <c r="S113" s="51" t="s">
        <v>2380</v>
      </c>
      <c r="T113" s="51" t="s">
        <v>2380</v>
      </c>
      <c r="U113" s="51" t="s">
        <v>2551</v>
      </c>
      <c r="V113" s="51" t="s">
        <v>2205</v>
      </c>
      <c r="W113" s="51" t="s">
        <v>2609</v>
      </c>
      <c r="X113" s="51"/>
    </row>
    <row r="114" customFormat="false" ht="14.25" hidden="true" customHeight="false" outlineLevel="0" collapsed="false">
      <c r="A114" s="49" t="s">
        <v>2137</v>
      </c>
      <c r="B114" s="49" t="s">
        <v>14</v>
      </c>
      <c r="C114" s="49" t="s">
        <v>308</v>
      </c>
      <c r="D114" s="49" t="s">
        <v>2441</v>
      </c>
      <c r="E114" s="49" t="s">
        <v>2551</v>
      </c>
      <c r="F114" s="49" t="s">
        <v>168</v>
      </c>
      <c r="G114" s="49" t="n">
        <v>24</v>
      </c>
      <c r="H114" s="0" t="n">
        <v>0</v>
      </c>
      <c r="I114" s="51" t="s">
        <v>2610</v>
      </c>
      <c r="J114" s="49" t="s">
        <v>2585</v>
      </c>
      <c r="K114" s="52" t="n">
        <v>47803</v>
      </c>
      <c r="M114" s="51" t="s">
        <v>2560</v>
      </c>
      <c r="N114" s="49" t="n">
        <v>24</v>
      </c>
      <c r="O114" s="53" t="n">
        <v>46053.448275463</v>
      </c>
      <c r="P114" s="53" t="n">
        <v>46060.6105439815</v>
      </c>
      <c r="Q114" s="53" t="n">
        <v>46053.448275463</v>
      </c>
      <c r="R114" s="0" t="n">
        <v>0</v>
      </c>
      <c r="S114" s="51" t="s">
        <v>2380</v>
      </c>
      <c r="T114" s="51" t="s">
        <v>2380</v>
      </c>
      <c r="U114" s="51" t="s">
        <v>2551</v>
      </c>
      <c r="V114" s="51" t="s">
        <v>2205</v>
      </c>
      <c r="W114" s="51" t="s">
        <v>2611</v>
      </c>
      <c r="X114" s="51"/>
    </row>
    <row r="115" customFormat="false" ht="14.25" hidden="false" customHeight="false" outlineLevel="0" collapsed="false">
      <c r="A115" s="49" t="s">
        <v>2137</v>
      </c>
      <c r="B115" s="49" t="s">
        <v>14</v>
      </c>
      <c r="C115" s="49" t="s">
        <v>45</v>
      </c>
      <c r="D115" s="49" t="s">
        <v>2441</v>
      </c>
      <c r="E115" s="49" t="s">
        <v>2500</v>
      </c>
      <c r="F115" s="49" t="s">
        <v>16</v>
      </c>
      <c r="G115" s="49" t="n">
        <v>4</v>
      </c>
      <c r="H115" s="0" t="n">
        <v>0</v>
      </c>
      <c r="I115" s="51" t="s">
        <v>2612</v>
      </c>
      <c r="J115" s="49" t="s">
        <v>2581</v>
      </c>
      <c r="K115" s="52" t="n">
        <v>47803</v>
      </c>
      <c r="M115" s="51" t="s">
        <v>2613</v>
      </c>
      <c r="N115" s="0" t="n">
        <v>4</v>
      </c>
      <c r="O115" s="53" t="n">
        <v>46049.5039814815</v>
      </c>
      <c r="P115" s="53" t="n">
        <v>46052.6664467593</v>
      </c>
      <c r="Q115" s="53" t="n">
        <v>46049.5039814815</v>
      </c>
      <c r="R115" s="0" t="n">
        <v>0</v>
      </c>
      <c r="S115" s="51" t="s">
        <v>2380</v>
      </c>
      <c r="T115" s="51" t="s">
        <v>2380</v>
      </c>
      <c r="U115" s="51" t="s">
        <v>2500</v>
      </c>
      <c r="V115" s="51" t="s">
        <v>2142</v>
      </c>
      <c r="W115" s="51" t="s">
        <v>2614</v>
      </c>
      <c r="X115" s="51"/>
    </row>
    <row r="116" customFormat="false" ht="14.25" hidden="false" customHeight="false" outlineLevel="0" collapsed="false">
      <c r="A116" s="49" t="s">
        <v>2137</v>
      </c>
      <c r="B116" s="49" t="s">
        <v>14</v>
      </c>
      <c r="C116" s="49" t="s">
        <v>43</v>
      </c>
      <c r="D116" s="49" t="s">
        <v>2441</v>
      </c>
      <c r="E116" s="49" t="s">
        <v>2500</v>
      </c>
      <c r="F116" s="49" t="s">
        <v>16</v>
      </c>
      <c r="G116" s="49" t="n">
        <v>4</v>
      </c>
      <c r="H116" s="0" t="n">
        <v>0</v>
      </c>
      <c r="I116" s="51" t="s">
        <v>2615</v>
      </c>
      <c r="J116" s="49" t="s">
        <v>2581</v>
      </c>
      <c r="K116" s="52" t="n">
        <v>47803</v>
      </c>
      <c r="M116" s="51" t="s">
        <v>2613</v>
      </c>
      <c r="N116" s="0" t="n">
        <v>4</v>
      </c>
      <c r="O116" s="53" t="n">
        <v>46049.5044328704</v>
      </c>
      <c r="P116" s="53" t="n">
        <v>46052.6640277778</v>
      </c>
      <c r="Q116" s="53" t="n">
        <v>46049.5044328704</v>
      </c>
      <c r="R116" s="0" t="n">
        <v>0</v>
      </c>
      <c r="S116" s="51" t="s">
        <v>2380</v>
      </c>
      <c r="T116" s="51" t="s">
        <v>2380</v>
      </c>
      <c r="U116" s="51" t="s">
        <v>2500</v>
      </c>
      <c r="V116" s="51" t="s">
        <v>2142</v>
      </c>
      <c r="W116" s="51" t="s">
        <v>2616</v>
      </c>
      <c r="X116" s="51"/>
    </row>
    <row r="117" customFormat="false" ht="14.25" hidden="false" customHeight="false" outlineLevel="0" collapsed="false">
      <c r="A117" s="49" t="s">
        <v>2137</v>
      </c>
      <c r="B117" s="49" t="s">
        <v>14</v>
      </c>
      <c r="C117" s="49" t="s">
        <v>42</v>
      </c>
      <c r="D117" s="49" t="s">
        <v>2441</v>
      </c>
      <c r="E117" s="49" t="s">
        <v>2500</v>
      </c>
      <c r="F117" s="49" t="s">
        <v>16</v>
      </c>
      <c r="G117" s="49" t="n">
        <v>4</v>
      </c>
      <c r="H117" s="0" t="n">
        <v>0</v>
      </c>
      <c r="I117" s="51" t="s">
        <v>2617</v>
      </c>
      <c r="J117" s="49" t="s">
        <v>2581</v>
      </c>
      <c r="K117" s="52" t="n">
        <v>47803</v>
      </c>
      <c r="M117" s="51" t="s">
        <v>2613</v>
      </c>
      <c r="N117" s="0" t="n">
        <v>4</v>
      </c>
      <c r="O117" s="53" t="n">
        <v>46049.5044675926</v>
      </c>
      <c r="P117" s="53" t="n">
        <v>46052.6645717593</v>
      </c>
      <c r="Q117" s="53" t="n">
        <v>46049.5044675926</v>
      </c>
      <c r="R117" s="0" t="n">
        <v>0</v>
      </c>
      <c r="S117" s="51" t="s">
        <v>2380</v>
      </c>
      <c r="T117" s="51" t="s">
        <v>2380</v>
      </c>
      <c r="U117" s="51" t="s">
        <v>2500</v>
      </c>
      <c r="V117" s="51" t="s">
        <v>2142</v>
      </c>
      <c r="W117" s="51" t="s">
        <v>2618</v>
      </c>
      <c r="X117" s="51"/>
    </row>
    <row r="118" customFormat="false" ht="14.25" hidden="false" customHeight="false" outlineLevel="0" collapsed="false">
      <c r="A118" s="49" t="s">
        <v>2137</v>
      </c>
      <c r="B118" s="49" t="s">
        <v>14</v>
      </c>
      <c r="C118" s="49" t="s">
        <v>44</v>
      </c>
      <c r="D118" s="49" t="s">
        <v>2441</v>
      </c>
      <c r="E118" s="49" t="s">
        <v>2500</v>
      </c>
      <c r="F118" s="49" t="s">
        <v>16</v>
      </c>
      <c r="G118" s="49" t="n">
        <v>4</v>
      </c>
      <c r="H118" s="0" t="n">
        <v>0</v>
      </c>
      <c r="I118" s="51" t="s">
        <v>2619</v>
      </c>
      <c r="J118" s="49" t="s">
        <v>2581</v>
      </c>
      <c r="K118" s="52" t="n">
        <v>47803</v>
      </c>
      <c r="M118" s="51" t="s">
        <v>2613</v>
      </c>
      <c r="N118" s="0" t="n">
        <v>4</v>
      </c>
      <c r="O118" s="53" t="n">
        <v>46049.5043055556</v>
      </c>
      <c r="P118" s="53" t="n">
        <v>46052.6558217593</v>
      </c>
      <c r="Q118" s="53" t="n">
        <v>46049.5043055556</v>
      </c>
      <c r="R118" s="0" t="n">
        <v>0</v>
      </c>
      <c r="S118" s="51" t="s">
        <v>2380</v>
      </c>
      <c r="T118" s="51" t="s">
        <v>2380</v>
      </c>
      <c r="U118" s="51" t="s">
        <v>2500</v>
      </c>
      <c r="V118" s="51" t="s">
        <v>2142</v>
      </c>
      <c r="W118" s="51" t="s">
        <v>2620</v>
      </c>
      <c r="X118" s="51"/>
    </row>
    <row r="119" customFormat="false" ht="14.25" hidden="false" customHeight="false" outlineLevel="0" collapsed="false">
      <c r="A119" s="49" t="s">
        <v>2137</v>
      </c>
      <c r="B119" s="49" t="s">
        <v>14</v>
      </c>
      <c r="C119" s="49" t="s">
        <v>15</v>
      </c>
      <c r="D119" s="49" t="s">
        <v>2441</v>
      </c>
      <c r="E119" s="49" t="s">
        <v>2500</v>
      </c>
      <c r="F119" s="49" t="s">
        <v>16</v>
      </c>
      <c r="G119" s="49" t="n">
        <v>4</v>
      </c>
      <c r="H119" s="0" t="n">
        <v>0</v>
      </c>
      <c r="I119" s="51" t="s">
        <v>2621</v>
      </c>
      <c r="J119" s="49" t="s">
        <v>2581</v>
      </c>
      <c r="K119" s="52" t="n">
        <v>47803</v>
      </c>
      <c r="M119" s="51" t="s">
        <v>2613</v>
      </c>
      <c r="N119" s="0" t="n">
        <v>4</v>
      </c>
      <c r="O119" s="53" t="n">
        <v>46049.5023032407</v>
      </c>
      <c r="P119" s="53" t="n">
        <v>46052.6538541667</v>
      </c>
      <c r="Q119" s="0" t="n">
        <v>46049.5023032407</v>
      </c>
      <c r="R119" s="0" t="n">
        <v>0</v>
      </c>
      <c r="S119" s="51" t="s">
        <v>2380</v>
      </c>
      <c r="T119" s="51" t="s">
        <v>2380</v>
      </c>
      <c r="U119" s="51" t="s">
        <v>2500</v>
      </c>
      <c r="V119" s="51" t="s">
        <v>2142</v>
      </c>
      <c r="W119" s="51" t="s">
        <v>2622</v>
      </c>
    </row>
    <row r="120" customFormat="false" ht="14.25" hidden="true" customHeight="false" outlineLevel="0" collapsed="false">
      <c r="A120" s="49" t="s">
        <v>2137</v>
      </c>
      <c r="B120" s="49" t="s">
        <v>14</v>
      </c>
      <c r="C120" s="49" t="s">
        <v>24</v>
      </c>
      <c r="D120" s="49" t="s">
        <v>2441</v>
      </c>
      <c r="E120" s="49" t="s">
        <v>2500</v>
      </c>
      <c r="F120" s="49" t="s">
        <v>16</v>
      </c>
      <c r="G120" s="49" t="n">
        <v>4</v>
      </c>
      <c r="H120" s="0" t="n">
        <v>0</v>
      </c>
      <c r="I120" s="51" t="s">
        <v>2623</v>
      </c>
      <c r="J120" s="49" t="s">
        <v>2581</v>
      </c>
      <c r="K120" s="52" t="n">
        <v>47803</v>
      </c>
      <c r="M120" s="51" t="s">
        <v>2613</v>
      </c>
      <c r="N120" s="49" t="n">
        <v>4</v>
      </c>
      <c r="O120" s="53" t="n">
        <v>46049.505162037</v>
      </c>
      <c r="P120" s="53" t="n">
        <v>46052.6639236111</v>
      </c>
      <c r="Q120" s="53" t="n">
        <v>46049.505162037</v>
      </c>
      <c r="R120" s="0" t="n">
        <v>0</v>
      </c>
      <c r="S120" s="51" t="s">
        <v>2380</v>
      </c>
      <c r="T120" s="51" t="s">
        <v>2380</v>
      </c>
      <c r="U120" s="51" t="s">
        <v>2500</v>
      </c>
      <c r="V120" s="51" t="s">
        <v>2142</v>
      </c>
      <c r="W120" s="51" t="s">
        <v>2624</v>
      </c>
      <c r="X120" s="51"/>
    </row>
    <row r="121" customFormat="false" ht="14.25" hidden="true" customHeight="false" outlineLevel="0" collapsed="false">
      <c r="A121" s="49" t="s">
        <v>2137</v>
      </c>
      <c r="B121" s="49" t="s">
        <v>14</v>
      </c>
      <c r="C121" s="49" t="s">
        <v>23</v>
      </c>
      <c r="D121" s="49" t="s">
        <v>2441</v>
      </c>
      <c r="E121" s="49" t="s">
        <v>2500</v>
      </c>
      <c r="F121" s="49" t="s">
        <v>16</v>
      </c>
      <c r="G121" s="49" t="n">
        <v>4</v>
      </c>
      <c r="H121" s="0" t="n">
        <v>0</v>
      </c>
      <c r="I121" s="51" t="s">
        <v>2625</v>
      </c>
      <c r="J121" s="49" t="s">
        <v>2581</v>
      </c>
      <c r="K121" s="52" t="n">
        <v>47803</v>
      </c>
      <c r="M121" s="51" t="s">
        <v>2613</v>
      </c>
      <c r="N121" s="49" t="n">
        <v>4</v>
      </c>
      <c r="O121" s="53" t="n">
        <v>46049.5051851852</v>
      </c>
      <c r="P121" s="53" t="n">
        <v>46052.6659259259</v>
      </c>
      <c r="Q121" s="53" t="n">
        <v>46049.5051851852</v>
      </c>
      <c r="R121" s="0" t="n">
        <v>0</v>
      </c>
      <c r="S121" s="51" t="s">
        <v>2380</v>
      </c>
      <c r="T121" s="51" t="s">
        <v>2380</v>
      </c>
      <c r="U121" s="51" t="s">
        <v>2500</v>
      </c>
      <c r="V121" s="51" t="s">
        <v>2142</v>
      </c>
      <c r="W121" s="51" t="s">
        <v>2626</v>
      </c>
      <c r="X121" s="51"/>
    </row>
    <row r="122" customFormat="false" ht="14.25" hidden="false" customHeight="false" outlineLevel="0" collapsed="false">
      <c r="A122" s="49" t="s">
        <v>2137</v>
      </c>
      <c r="B122" s="49" t="s">
        <v>14</v>
      </c>
      <c r="C122" s="49" t="s">
        <v>22</v>
      </c>
      <c r="D122" s="49" t="s">
        <v>2441</v>
      </c>
      <c r="E122" s="49" t="s">
        <v>2500</v>
      </c>
      <c r="F122" s="49" t="s">
        <v>16</v>
      </c>
      <c r="G122" s="49" t="n">
        <v>4</v>
      </c>
      <c r="H122" s="0" t="n">
        <v>0</v>
      </c>
      <c r="I122" s="51" t="s">
        <v>2627</v>
      </c>
      <c r="J122" s="49" t="s">
        <v>2581</v>
      </c>
      <c r="K122" s="52" t="n">
        <v>47803</v>
      </c>
      <c r="M122" s="51" t="s">
        <v>2613</v>
      </c>
      <c r="N122" s="0" t="n">
        <v>4</v>
      </c>
      <c r="O122" s="53" t="n">
        <v>46049.5052314815</v>
      </c>
      <c r="P122" s="53" t="n">
        <v>46052.6643981482</v>
      </c>
      <c r="Q122" s="0" t="n">
        <v>46049.5052314815</v>
      </c>
      <c r="R122" s="0" t="n">
        <v>0</v>
      </c>
      <c r="S122" s="51" t="s">
        <v>2380</v>
      </c>
      <c r="T122" s="51" t="s">
        <v>2380</v>
      </c>
      <c r="U122" s="51" t="s">
        <v>2500</v>
      </c>
      <c r="V122" s="51" t="s">
        <v>2142</v>
      </c>
      <c r="W122" s="51" t="s">
        <v>2628</v>
      </c>
    </row>
    <row r="123" customFormat="false" ht="14.25" hidden="false" customHeight="false" outlineLevel="0" collapsed="false">
      <c r="A123" s="49" t="s">
        <v>2137</v>
      </c>
      <c r="B123" s="49" t="s">
        <v>14</v>
      </c>
      <c r="C123" s="49" t="s">
        <v>25</v>
      </c>
      <c r="D123" s="49" t="s">
        <v>2441</v>
      </c>
      <c r="E123" s="49" t="s">
        <v>2500</v>
      </c>
      <c r="F123" s="49" t="s">
        <v>16</v>
      </c>
      <c r="G123" s="49" t="n">
        <v>4</v>
      </c>
      <c r="H123" s="0" t="n">
        <v>0</v>
      </c>
      <c r="I123" s="51" t="s">
        <v>2629</v>
      </c>
      <c r="J123" s="49" t="s">
        <v>2581</v>
      </c>
      <c r="K123" s="52" t="n">
        <v>47803</v>
      </c>
      <c r="L123" s="54"/>
      <c r="M123" s="51" t="s">
        <v>2613</v>
      </c>
      <c r="N123" s="0" t="n">
        <v>4</v>
      </c>
      <c r="O123" s="53" t="n">
        <v>46049.5051273148</v>
      </c>
      <c r="P123" s="53" t="n">
        <v>46052.6643634259</v>
      </c>
      <c r="Q123" s="53" t="n">
        <v>46049.5051273148</v>
      </c>
      <c r="R123" s="0" t="n">
        <v>0</v>
      </c>
      <c r="S123" s="51" t="s">
        <v>2380</v>
      </c>
      <c r="T123" s="51" t="s">
        <v>2380</v>
      </c>
      <c r="U123" s="51" t="s">
        <v>2500</v>
      </c>
      <c r="V123" s="51" t="s">
        <v>2142</v>
      </c>
      <c r="W123" s="51" t="s">
        <v>2630</v>
      </c>
      <c r="X123" s="51"/>
    </row>
    <row r="124" customFormat="false" ht="14.25" hidden="true" customHeight="false" outlineLevel="0" collapsed="false">
      <c r="A124" s="49" t="s">
        <v>2137</v>
      </c>
      <c r="B124" s="49" t="s">
        <v>14</v>
      </c>
      <c r="C124" s="49" t="s">
        <v>21</v>
      </c>
      <c r="D124" s="49" t="s">
        <v>2441</v>
      </c>
      <c r="E124" s="49" t="s">
        <v>2500</v>
      </c>
      <c r="F124" s="49" t="s">
        <v>16</v>
      </c>
      <c r="G124" s="49" t="n">
        <v>4</v>
      </c>
      <c r="H124" s="0" t="n">
        <v>0</v>
      </c>
      <c r="I124" s="51" t="s">
        <v>2631</v>
      </c>
      <c r="J124" s="49" t="s">
        <v>2581</v>
      </c>
      <c r="K124" s="52" t="n">
        <v>47803</v>
      </c>
      <c r="M124" s="51" t="s">
        <v>2613</v>
      </c>
      <c r="N124" s="49" t="n">
        <v>4</v>
      </c>
      <c r="O124" s="53" t="n">
        <v>46049.5052662037</v>
      </c>
      <c r="P124" s="53" t="n">
        <v>46052.6646527778</v>
      </c>
      <c r="Q124" s="53" t="n">
        <v>46049.5052662037</v>
      </c>
      <c r="R124" s="0" t="n">
        <v>0</v>
      </c>
      <c r="S124" s="51" t="s">
        <v>2380</v>
      </c>
      <c r="T124" s="51" t="s">
        <v>2380</v>
      </c>
      <c r="U124" s="51" t="s">
        <v>2500</v>
      </c>
      <c r="V124" s="51" t="s">
        <v>2142</v>
      </c>
      <c r="W124" s="51" t="s">
        <v>2632</v>
      </c>
      <c r="X124" s="51"/>
    </row>
    <row r="125" customFormat="false" ht="14.25" hidden="false" customHeight="false" outlineLevel="0" collapsed="false">
      <c r="A125" s="49" t="s">
        <v>2137</v>
      </c>
      <c r="B125" s="49" t="s">
        <v>14</v>
      </c>
      <c r="C125" s="49" t="s">
        <v>26</v>
      </c>
      <c r="D125" s="49" t="s">
        <v>2441</v>
      </c>
      <c r="E125" s="49" t="s">
        <v>2500</v>
      </c>
      <c r="F125" s="49" t="s">
        <v>16</v>
      </c>
      <c r="G125" s="49" t="n">
        <v>4</v>
      </c>
      <c r="H125" s="0" t="n">
        <v>0</v>
      </c>
      <c r="I125" s="51" t="s">
        <v>2633</v>
      </c>
      <c r="J125" s="49" t="s">
        <v>2581</v>
      </c>
      <c r="K125" s="52" t="n">
        <v>47803</v>
      </c>
      <c r="M125" s="51" t="s">
        <v>2613</v>
      </c>
      <c r="N125" s="0" t="n">
        <v>4</v>
      </c>
      <c r="O125" s="53" t="n">
        <v>46049.5050810185</v>
      </c>
      <c r="P125" s="53" t="n">
        <v>46052.6567592593</v>
      </c>
      <c r="Q125" s="53" t="n">
        <v>46049.5050810185</v>
      </c>
      <c r="R125" s="0" t="n">
        <v>0</v>
      </c>
      <c r="S125" s="51" t="s">
        <v>2380</v>
      </c>
      <c r="T125" s="51" t="s">
        <v>2380</v>
      </c>
      <c r="U125" s="51" t="s">
        <v>2500</v>
      </c>
      <c r="V125" s="51" t="s">
        <v>2142</v>
      </c>
      <c r="W125" s="51" t="s">
        <v>2634</v>
      </c>
      <c r="X125" s="51"/>
    </row>
    <row r="126" customFormat="false" ht="14.25" hidden="false" customHeight="false" outlineLevel="0" collapsed="false">
      <c r="A126" s="49" t="s">
        <v>2137</v>
      </c>
      <c r="B126" s="49" t="s">
        <v>14</v>
      </c>
      <c r="C126" s="49" t="s">
        <v>20</v>
      </c>
      <c r="D126" s="49" t="s">
        <v>2441</v>
      </c>
      <c r="E126" s="49" t="s">
        <v>2500</v>
      </c>
      <c r="F126" s="49" t="s">
        <v>16</v>
      </c>
      <c r="G126" s="49" t="n">
        <v>4</v>
      </c>
      <c r="H126" s="0" t="n">
        <v>0</v>
      </c>
      <c r="I126" s="51" t="s">
        <v>2635</v>
      </c>
      <c r="J126" s="49" t="s">
        <v>2581</v>
      </c>
      <c r="K126" s="52" t="n">
        <v>47803</v>
      </c>
      <c r="M126" s="51" t="s">
        <v>2613</v>
      </c>
      <c r="N126" s="0" t="n">
        <v>4</v>
      </c>
      <c r="O126" s="53" t="n">
        <v>46049.5053009259</v>
      </c>
      <c r="P126" s="53" t="n">
        <v>46052.6640625</v>
      </c>
      <c r="Q126" s="0" t="n">
        <v>46049.5053009259</v>
      </c>
      <c r="R126" s="0" t="n">
        <v>0</v>
      </c>
      <c r="S126" s="51" t="s">
        <v>2380</v>
      </c>
      <c r="T126" s="51" t="s">
        <v>2380</v>
      </c>
      <c r="U126" s="51" t="s">
        <v>2500</v>
      </c>
      <c r="V126" s="51" t="s">
        <v>2142</v>
      </c>
      <c r="W126" s="51" t="s">
        <v>2636</v>
      </c>
    </row>
    <row r="127" customFormat="false" ht="14.25" hidden="true" customHeight="false" outlineLevel="0" collapsed="false">
      <c r="A127" s="49" t="s">
        <v>2137</v>
      </c>
      <c r="B127" s="49" t="s">
        <v>14</v>
      </c>
      <c r="C127" s="49" t="s">
        <v>27</v>
      </c>
      <c r="D127" s="49" t="s">
        <v>2441</v>
      </c>
      <c r="E127" s="49" t="s">
        <v>2500</v>
      </c>
      <c r="F127" s="49" t="s">
        <v>16</v>
      </c>
      <c r="G127" s="49" t="n">
        <v>4</v>
      </c>
      <c r="H127" s="0" t="n">
        <v>0</v>
      </c>
      <c r="I127" s="51" t="s">
        <v>2637</v>
      </c>
      <c r="J127" s="49" t="s">
        <v>2581</v>
      </c>
      <c r="K127" s="52" t="n">
        <v>47803</v>
      </c>
      <c r="M127" s="51" t="s">
        <v>2613</v>
      </c>
      <c r="N127" s="49" t="n">
        <v>4</v>
      </c>
      <c r="O127" s="53" t="n">
        <v>46049.5050462963</v>
      </c>
      <c r="P127" s="53" t="n">
        <v>46052.6641435185</v>
      </c>
      <c r="Q127" s="0" t="n">
        <v>46049.5050462963</v>
      </c>
      <c r="R127" s="0" t="n">
        <v>0</v>
      </c>
      <c r="S127" s="51" t="s">
        <v>2380</v>
      </c>
      <c r="T127" s="51" t="s">
        <v>2380</v>
      </c>
      <c r="U127" s="51" t="s">
        <v>2500</v>
      </c>
      <c r="V127" s="51" t="s">
        <v>2142</v>
      </c>
      <c r="W127" s="51" t="s">
        <v>2638</v>
      </c>
    </row>
    <row r="128" customFormat="false" ht="14.25" hidden="true" customHeight="false" outlineLevel="0" collapsed="false">
      <c r="A128" s="49" t="s">
        <v>2137</v>
      </c>
      <c r="B128" s="49" t="s">
        <v>14</v>
      </c>
      <c r="C128" s="49" t="s">
        <v>19</v>
      </c>
      <c r="D128" s="49" t="s">
        <v>2441</v>
      </c>
      <c r="E128" s="49" t="s">
        <v>2500</v>
      </c>
      <c r="F128" s="49" t="s">
        <v>16</v>
      </c>
      <c r="G128" s="49" t="n">
        <v>4</v>
      </c>
      <c r="H128" s="0" t="n">
        <v>0</v>
      </c>
      <c r="I128" s="51" t="s">
        <v>2639</v>
      </c>
      <c r="J128" s="49" t="s">
        <v>2581</v>
      </c>
      <c r="K128" s="52" t="n">
        <v>47803</v>
      </c>
      <c r="M128" s="51" t="s">
        <v>2613</v>
      </c>
      <c r="N128" s="49" t="n">
        <v>4</v>
      </c>
      <c r="O128" s="53" t="n">
        <v>46049.5053472222</v>
      </c>
      <c r="P128" s="53" t="n">
        <v>46052.6641087963</v>
      </c>
      <c r="Q128" s="53" t="n">
        <v>46049.5053472222</v>
      </c>
      <c r="R128" s="0" t="n">
        <v>0</v>
      </c>
      <c r="S128" s="51" t="s">
        <v>2380</v>
      </c>
      <c r="T128" s="51" t="s">
        <v>2380</v>
      </c>
      <c r="U128" s="51" t="s">
        <v>2500</v>
      </c>
      <c r="V128" s="51" t="s">
        <v>2142</v>
      </c>
      <c r="W128" s="51" t="s">
        <v>2640</v>
      </c>
      <c r="X128" s="51"/>
    </row>
    <row r="129" customFormat="false" ht="14.25" hidden="true" customHeight="false" outlineLevel="0" collapsed="false">
      <c r="A129" s="49" t="s">
        <v>2137</v>
      </c>
      <c r="B129" s="49" t="s">
        <v>14</v>
      </c>
      <c r="C129" s="49" t="s">
        <v>28</v>
      </c>
      <c r="D129" s="49" t="s">
        <v>2441</v>
      </c>
      <c r="E129" s="49" t="s">
        <v>2500</v>
      </c>
      <c r="F129" s="49" t="s">
        <v>16</v>
      </c>
      <c r="G129" s="49" t="n">
        <v>4</v>
      </c>
      <c r="H129" s="0" t="n">
        <v>0</v>
      </c>
      <c r="I129" s="51" t="s">
        <v>2641</v>
      </c>
      <c r="J129" s="49" t="s">
        <v>2581</v>
      </c>
      <c r="K129" s="52" t="n">
        <v>47803</v>
      </c>
      <c r="M129" s="51" t="s">
        <v>2613</v>
      </c>
      <c r="N129" s="49" t="n">
        <v>4</v>
      </c>
      <c r="O129" s="53" t="n">
        <v>46049.5050231482</v>
      </c>
      <c r="P129" s="53" t="n">
        <v>46052.6660532407</v>
      </c>
      <c r="Q129" s="53" t="n">
        <v>46049.5050231482</v>
      </c>
      <c r="R129" s="0" t="n">
        <v>0</v>
      </c>
      <c r="S129" s="51" t="s">
        <v>2380</v>
      </c>
      <c r="T129" s="51" t="s">
        <v>2380</v>
      </c>
      <c r="U129" s="51" t="s">
        <v>2500</v>
      </c>
      <c r="V129" s="51" t="s">
        <v>2142</v>
      </c>
      <c r="W129" s="51" t="s">
        <v>2642</v>
      </c>
      <c r="X129" s="51"/>
    </row>
    <row r="130" customFormat="false" ht="14.25" hidden="true" customHeight="false" outlineLevel="0" collapsed="false">
      <c r="A130" s="49" t="s">
        <v>2137</v>
      </c>
      <c r="B130" s="49" t="s">
        <v>14</v>
      </c>
      <c r="C130" s="49" t="s">
        <v>17</v>
      </c>
      <c r="D130" s="49" t="s">
        <v>2441</v>
      </c>
      <c r="E130" s="49" t="s">
        <v>2500</v>
      </c>
      <c r="F130" s="49" t="s">
        <v>16</v>
      </c>
      <c r="G130" s="49" t="n">
        <v>4</v>
      </c>
      <c r="H130" s="0" t="n">
        <v>0</v>
      </c>
      <c r="I130" s="51" t="s">
        <v>2643</v>
      </c>
      <c r="J130" s="49" t="s">
        <v>2581</v>
      </c>
      <c r="K130" s="52" t="n">
        <v>47803</v>
      </c>
      <c r="M130" s="51" t="s">
        <v>2613</v>
      </c>
      <c r="N130" s="49" t="n">
        <v>4</v>
      </c>
      <c r="O130" s="53" t="n">
        <v>46049.5054166667</v>
      </c>
      <c r="P130" s="53" t="n">
        <v>46052.6662037037</v>
      </c>
      <c r="Q130" s="53" t="n">
        <v>46049.5054166667</v>
      </c>
      <c r="R130" s="0" t="n">
        <v>0</v>
      </c>
      <c r="S130" s="51" t="s">
        <v>2380</v>
      </c>
      <c r="T130" s="51" t="s">
        <v>2380</v>
      </c>
      <c r="U130" s="51" t="s">
        <v>2500</v>
      </c>
      <c r="V130" s="51" t="s">
        <v>2142</v>
      </c>
      <c r="W130" s="51" t="s">
        <v>2644</v>
      </c>
      <c r="X130" s="51"/>
    </row>
    <row r="131" customFormat="false" ht="14.25" hidden="true" customHeight="false" outlineLevel="0" collapsed="false">
      <c r="A131" s="49" t="s">
        <v>2137</v>
      </c>
      <c r="B131" s="49" t="s">
        <v>14</v>
      </c>
      <c r="C131" s="49" t="s">
        <v>31</v>
      </c>
      <c r="D131" s="49" t="s">
        <v>2441</v>
      </c>
      <c r="E131" s="49" t="s">
        <v>2500</v>
      </c>
      <c r="F131" s="49" t="s">
        <v>16</v>
      </c>
      <c r="G131" s="49" t="n">
        <v>4</v>
      </c>
      <c r="H131" s="0" t="n">
        <v>0</v>
      </c>
      <c r="I131" s="51" t="s">
        <v>2645</v>
      </c>
      <c r="J131" s="49" t="s">
        <v>2581</v>
      </c>
      <c r="K131" s="52" t="n">
        <v>47803</v>
      </c>
      <c r="M131" s="51" t="s">
        <v>2613</v>
      </c>
      <c r="N131" s="49" t="n">
        <v>4</v>
      </c>
      <c r="O131" s="53" t="n">
        <v>46049.5049074074</v>
      </c>
      <c r="P131" s="53" t="n">
        <v>46052.6665162037</v>
      </c>
      <c r="Q131" s="53" t="n">
        <v>46049.5049074074</v>
      </c>
      <c r="R131" s="0" t="n">
        <v>0</v>
      </c>
      <c r="S131" s="51" t="s">
        <v>2380</v>
      </c>
      <c r="T131" s="51" t="s">
        <v>2380</v>
      </c>
      <c r="U131" s="51" t="s">
        <v>2500</v>
      </c>
      <c r="V131" s="51" t="s">
        <v>2142</v>
      </c>
      <c r="W131" s="51" t="s">
        <v>2457</v>
      </c>
      <c r="X131" s="51"/>
    </row>
    <row r="132" customFormat="false" ht="14.25" hidden="true" customHeight="false" outlineLevel="0" collapsed="false">
      <c r="A132" s="49" t="s">
        <v>2137</v>
      </c>
      <c r="B132" s="49" t="s">
        <v>14</v>
      </c>
      <c r="C132" s="49" t="s">
        <v>32</v>
      </c>
      <c r="D132" s="49" t="s">
        <v>2441</v>
      </c>
      <c r="E132" s="49" t="s">
        <v>2500</v>
      </c>
      <c r="F132" s="49" t="s">
        <v>16</v>
      </c>
      <c r="G132" s="49" t="n">
        <v>4</v>
      </c>
      <c r="H132" s="0" t="n">
        <v>0</v>
      </c>
      <c r="I132" s="51" t="s">
        <v>2646</v>
      </c>
      <c r="J132" s="49" t="s">
        <v>2581</v>
      </c>
      <c r="K132" s="52" t="n">
        <v>47803</v>
      </c>
      <c r="M132" s="51" t="s">
        <v>2613</v>
      </c>
      <c r="N132" s="49" t="n">
        <v>4</v>
      </c>
      <c r="O132" s="53" t="n">
        <v>46049.5048263889</v>
      </c>
      <c r="P132" s="53" t="n">
        <v>46052.6656481482</v>
      </c>
      <c r="Q132" s="53" t="n">
        <v>46049.5048263889</v>
      </c>
      <c r="R132" s="0" t="n">
        <v>0</v>
      </c>
      <c r="S132" s="51" t="s">
        <v>2380</v>
      </c>
      <c r="T132" s="51" t="s">
        <v>2380</v>
      </c>
      <c r="U132" s="51" t="s">
        <v>2500</v>
      </c>
      <c r="V132" s="51" t="s">
        <v>2142</v>
      </c>
      <c r="W132" s="51" t="s">
        <v>2647</v>
      </c>
      <c r="X132" s="51"/>
    </row>
    <row r="133" customFormat="false" ht="14.25" hidden="true" customHeight="false" outlineLevel="0" collapsed="false">
      <c r="A133" s="49" t="s">
        <v>2137</v>
      </c>
      <c r="B133" s="49" t="s">
        <v>14</v>
      </c>
      <c r="C133" s="49" t="s">
        <v>33</v>
      </c>
      <c r="D133" s="49" t="s">
        <v>2441</v>
      </c>
      <c r="E133" s="49" t="s">
        <v>2500</v>
      </c>
      <c r="F133" s="49" t="s">
        <v>16</v>
      </c>
      <c r="G133" s="49" t="n">
        <v>4</v>
      </c>
      <c r="H133" s="0" t="n">
        <v>0</v>
      </c>
      <c r="I133" s="51" t="s">
        <v>2648</v>
      </c>
      <c r="J133" s="49" t="s">
        <v>2581</v>
      </c>
      <c r="K133" s="52" t="n">
        <v>47803</v>
      </c>
      <c r="M133" s="51" t="s">
        <v>2613</v>
      </c>
      <c r="N133" s="49" t="n">
        <v>4</v>
      </c>
      <c r="O133" s="53" t="n">
        <v>46049.5047800926</v>
      </c>
      <c r="P133" s="53" t="n">
        <v>46052.6664814815</v>
      </c>
      <c r="Q133" s="53" t="n">
        <v>46049.5047800926</v>
      </c>
      <c r="R133" s="0" t="n">
        <v>0</v>
      </c>
      <c r="S133" s="51" t="s">
        <v>2380</v>
      </c>
      <c r="T133" s="51" t="s">
        <v>2380</v>
      </c>
      <c r="U133" s="51" t="s">
        <v>2500</v>
      </c>
      <c r="V133" s="51" t="s">
        <v>2142</v>
      </c>
      <c r="W133" s="51" t="s">
        <v>2649</v>
      </c>
      <c r="X133" s="51"/>
    </row>
    <row r="134" customFormat="false" ht="14.25" hidden="true" customHeight="false" outlineLevel="0" collapsed="false">
      <c r="A134" s="49" t="s">
        <v>2137</v>
      </c>
      <c r="B134" s="49" t="s">
        <v>14</v>
      </c>
      <c r="C134" s="49" t="s">
        <v>35</v>
      </c>
      <c r="D134" s="49" t="s">
        <v>2441</v>
      </c>
      <c r="E134" s="49" t="s">
        <v>2500</v>
      </c>
      <c r="F134" s="49" t="s">
        <v>16</v>
      </c>
      <c r="G134" s="49" t="n">
        <v>4</v>
      </c>
      <c r="H134" s="0" t="n">
        <v>0</v>
      </c>
      <c r="I134" s="51" t="s">
        <v>2650</v>
      </c>
      <c r="J134" s="49" t="s">
        <v>2581</v>
      </c>
      <c r="K134" s="52" t="n">
        <v>47803</v>
      </c>
      <c r="M134" s="51" t="s">
        <v>2613</v>
      </c>
      <c r="N134" s="49" t="n">
        <v>4</v>
      </c>
      <c r="O134" s="53" t="n">
        <v>46049.5046875</v>
      </c>
      <c r="P134" s="53" t="n">
        <v>46052.6655439815</v>
      </c>
      <c r="Q134" s="53" t="n">
        <v>46049.5046875</v>
      </c>
      <c r="R134" s="0" t="n">
        <v>0</v>
      </c>
      <c r="S134" s="51" t="s">
        <v>2380</v>
      </c>
      <c r="T134" s="51" t="s">
        <v>2380</v>
      </c>
      <c r="U134" s="51" t="s">
        <v>2500</v>
      </c>
      <c r="V134" s="51" t="s">
        <v>2142</v>
      </c>
      <c r="W134" s="51" t="s">
        <v>2651</v>
      </c>
      <c r="X134" s="51"/>
    </row>
    <row r="135" customFormat="false" ht="14.25" hidden="true" customHeight="false" outlineLevel="0" collapsed="false">
      <c r="A135" s="49" t="s">
        <v>2137</v>
      </c>
      <c r="B135" s="49" t="s">
        <v>14</v>
      </c>
      <c r="C135" s="49" t="s">
        <v>37</v>
      </c>
      <c r="D135" s="49" t="s">
        <v>2441</v>
      </c>
      <c r="E135" s="49" t="s">
        <v>2500</v>
      </c>
      <c r="F135" s="49" t="s">
        <v>16</v>
      </c>
      <c r="G135" s="49" t="n">
        <v>4</v>
      </c>
      <c r="H135" s="0" t="n">
        <v>0</v>
      </c>
      <c r="I135" s="51" t="s">
        <v>2652</v>
      </c>
      <c r="J135" s="49" t="s">
        <v>2581</v>
      </c>
      <c r="K135" s="52" t="n">
        <v>47803</v>
      </c>
      <c r="M135" s="51" t="s">
        <v>2613</v>
      </c>
      <c r="N135" s="49" t="n">
        <v>4</v>
      </c>
      <c r="O135" s="53" t="n">
        <v>46049.5046180556</v>
      </c>
      <c r="P135" s="53" t="n">
        <v>46052.6652662037</v>
      </c>
      <c r="Q135" s="53" t="n">
        <v>46049.5046180556</v>
      </c>
      <c r="R135" s="0" t="n">
        <v>0</v>
      </c>
      <c r="S135" s="51" t="s">
        <v>2380</v>
      </c>
      <c r="T135" s="51" t="s">
        <v>2380</v>
      </c>
      <c r="U135" s="51" t="s">
        <v>2500</v>
      </c>
      <c r="V135" s="51" t="s">
        <v>2142</v>
      </c>
      <c r="W135" s="51" t="s">
        <v>2653</v>
      </c>
      <c r="X135" s="51"/>
    </row>
    <row r="136" customFormat="false" ht="14.25" hidden="true" customHeight="false" outlineLevel="0" collapsed="false">
      <c r="A136" s="49" t="s">
        <v>2137</v>
      </c>
      <c r="B136" s="49" t="s">
        <v>14</v>
      </c>
      <c r="C136" s="49" t="s">
        <v>40</v>
      </c>
      <c r="D136" s="49" t="s">
        <v>2441</v>
      </c>
      <c r="E136" s="49" t="s">
        <v>2500</v>
      </c>
      <c r="F136" s="49" t="s">
        <v>16</v>
      </c>
      <c r="G136" s="49" t="n">
        <v>4</v>
      </c>
      <c r="H136" s="0" t="n">
        <v>0</v>
      </c>
      <c r="I136" s="51" t="s">
        <v>2654</v>
      </c>
      <c r="J136" s="49" t="s">
        <v>2581</v>
      </c>
      <c r="K136" s="52" t="n">
        <v>47803</v>
      </c>
      <c r="M136" s="51" t="s">
        <v>2613</v>
      </c>
      <c r="N136" s="49" t="n">
        <v>4</v>
      </c>
      <c r="O136" s="53" t="n">
        <v>46049.504537037</v>
      </c>
      <c r="P136" s="53" t="n">
        <v>46052.6638888889</v>
      </c>
      <c r="Q136" s="53" t="n">
        <v>46049.504537037</v>
      </c>
      <c r="R136" s="0" t="n">
        <v>0</v>
      </c>
      <c r="S136" s="51" t="s">
        <v>2380</v>
      </c>
      <c r="T136" s="51" t="s">
        <v>2380</v>
      </c>
      <c r="U136" s="51" t="s">
        <v>2500</v>
      </c>
      <c r="V136" s="51" t="s">
        <v>2142</v>
      </c>
      <c r="W136" s="51" t="s">
        <v>2655</v>
      </c>
      <c r="X136" s="51"/>
    </row>
    <row r="137" customFormat="false" ht="14.25" hidden="true" customHeight="false" outlineLevel="0" collapsed="false">
      <c r="A137" s="49" t="s">
        <v>2137</v>
      </c>
      <c r="B137" s="49" t="s">
        <v>14</v>
      </c>
      <c r="C137" s="49" t="s">
        <v>98</v>
      </c>
      <c r="D137" s="49" t="s">
        <v>2441</v>
      </c>
      <c r="E137" s="49" t="s">
        <v>2500</v>
      </c>
      <c r="F137" s="49" t="s">
        <v>16</v>
      </c>
      <c r="G137" s="49" t="n">
        <v>4</v>
      </c>
      <c r="H137" s="0" t="n">
        <v>0</v>
      </c>
      <c r="I137" s="51" t="s">
        <v>2656</v>
      </c>
      <c r="J137" s="49" t="s">
        <v>2581</v>
      </c>
      <c r="K137" s="52" t="n">
        <v>47803</v>
      </c>
      <c r="M137" s="51" t="s">
        <v>2582</v>
      </c>
      <c r="N137" s="49" t="n">
        <v>4</v>
      </c>
      <c r="O137" s="53" t="n">
        <v>46049.4992013889</v>
      </c>
      <c r="P137" s="53" t="n">
        <v>46052.6542939815</v>
      </c>
      <c r="Q137" s="0" t="n">
        <v>46049.4992013889</v>
      </c>
      <c r="R137" s="0" t="n">
        <v>0</v>
      </c>
      <c r="S137" s="51" t="s">
        <v>2380</v>
      </c>
      <c r="T137" s="51" t="s">
        <v>2380</v>
      </c>
      <c r="U137" s="51" t="s">
        <v>2500</v>
      </c>
      <c r="V137" s="51" t="s">
        <v>2142</v>
      </c>
      <c r="W137" s="51" t="s">
        <v>2657</v>
      </c>
    </row>
    <row r="138" customFormat="false" ht="14.25" hidden="false" customHeight="false" outlineLevel="0" collapsed="false">
      <c r="A138" s="49" t="s">
        <v>2137</v>
      </c>
      <c r="B138" s="49" t="s">
        <v>14</v>
      </c>
      <c r="C138" s="49" t="s">
        <v>100</v>
      </c>
      <c r="D138" s="49" t="s">
        <v>2441</v>
      </c>
      <c r="E138" s="49" t="s">
        <v>2500</v>
      </c>
      <c r="F138" s="49" t="s">
        <v>16</v>
      </c>
      <c r="G138" s="49" t="n">
        <v>4</v>
      </c>
      <c r="H138" s="0" t="n">
        <v>0</v>
      </c>
      <c r="I138" s="51" t="s">
        <v>2658</v>
      </c>
      <c r="J138" s="49" t="s">
        <v>2581</v>
      </c>
      <c r="K138" s="52" t="n">
        <v>47803</v>
      </c>
      <c r="M138" s="51" t="s">
        <v>2582</v>
      </c>
      <c r="N138" s="0" t="n">
        <v>4</v>
      </c>
      <c r="O138" s="53" t="n">
        <v>46049.4988078704</v>
      </c>
      <c r="P138" s="53" t="n">
        <v>46052.6657291667</v>
      </c>
      <c r="Q138" s="53" t="n">
        <v>46049.4988078704</v>
      </c>
      <c r="R138" s="0" t="n">
        <v>0</v>
      </c>
      <c r="S138" s="51" t="s">
        <v>2380</v>
      </c>
      <c r="T138" s="51" t="s">
        <v>2380</v>
      </c>
      <c r="U138" s="51" t="s">
        <v>2500</v>
      </c>
      <c r="V138" s="51" t="s">
        <v>2142</v>
      </c>
      <c r="W138" s="51" t="s">
        <v>2659</v>
      </c>
      <c r="X138" s="51"/>
    </row>
    <row r="139" customFormat="false" ht="14.25" hidden="false" customHeight="false" outlineLevel="0" collapsed="false">
      <c r="A139" s="49" t="s">
        <v>2137</v>
      </c>
      <c r="B139" s="49" t="s">
        <v>14</v>
      </c>
      <c r="C139" s="49" t="s">
        <v>102</v>
      </c>
      <c r="D139" s="49" t="s">
        <v>2441</v>
      </c>
      <c r="E139" s="49" t="s">
        <v>2500</v>
      </c>
      <c r="F139" s="49" t="s">
        <v>16</v>
      </c>
      <c r="G139" s="49" t="n">
        <v>4</v>
      </c>
      <c r="H139" s="0" t="n">
        <v>0</v>
      </c>
      <c r="I139" s="51" t="s">
        <v>2660</v>
      </c>
      <c r="J139" s="49" t="s">
        <v>2581</v>
      </c>
      <c r="K139" s="52" t="n">
        <v>47803</v>
      </c>
      <c r="M139" s="51" t="s">
        <v>2582</v>
      </c>
      <c r="N139" s="0" t="n">
        <v>4</v>
      </c>
      <c r="O139" s="53" t="n">
        <v>46049.4984606481</v>
      </c>
      <c r="P139" s="53" t="n">
        <v>46052.6654513889</v>
      </c>
      <c r="Q139" s="53" t="n">
        <v>46049.4984606481</v>
      </c>
      <c r="R139" s="0" t="n">
        <v>0</v>
      </c>
      <c r="S139" s="51" t="s">
        <v>2380</v>
      </c>
      <c r="T139" s="51" t="s">
        <v>2380</v>
      </c>
      <c r="U139" s="51" t="s">
        <v>2500</v>
      </c>
      <c r="V139" s="51" t="s">
        <v>2142</v>
      </c>
      <c r="W139" s="51" t="s">
        <v>2661</v>
      </c>
      <c r="X139" s="51"/>
    </row>
    <row r="140" customFormat="false" ht="14.25" hidden="false" customHeight="false" outlineLevel="0" collapsed="false">
      <c r="A140" s="49" t="s">
        <v>2137</v>
      </c>
      <c r="B140" s="49" t="s">
        <v>14</v>
      </c>
      <c r="C140" s="49" t="s">
        <v>78</v>
      </c>
      <c r="D140" s="49" t="s">
        <v>2441</v>
      </c>
      <c r="E140" s="49" t="s">
        <v>2500</v>
      </c>
      <c r="F140" s="49" t="s">
        <v>16</v>
      </c>
      <c r="G140" s="49" t="n">
        <v>4</v>
      </c>
      <c r="H140" s="0" t="n">
        <v>0</v>
      </c>
      <c r="I140" s="51" t="s">
        <v>2662</v>
      </c>
      <c r="J140" s="49" t="s">
        <v>2581</v>
      </c>
      <c r="K140" s="52" t="n">
        <v>47803</v>
      </c>
      <c r="M140" s="51" t="s">
        <v>2582</v>
      </c>
      <c r="N140" s="0" t="n">
        <v>4</v>
      </c>
      <c r="O140" s="53" t="n">
        <v>46049.4959837963</v>
      </c>
      <c r="P140" s="53" t="n">
        <v>46052.6657986111</v>
      </c>
      <c r="Q140" s="0" t="n">
        <v>46049.4959837963</v>
      </c>
      <c r="R140" s="0" t="n">
        <v>0</v>
      </c>
      <c r="S140" s="51" t="s">
        <v>2380</v>
      </c>
      <c r="T140" s="51" t="s">
        <v>2380</v>
      </c>
      <c r="U140" s="51" t="s">
        <v>2500</v>
      </c>
      <c r="V140" s="51" t="s">
        <v>2142</v>
      </c>
      <c r="W140" s="51" t="s">
        <v>2663</v>
      </c>
    </row>
    <row r="141" customFormat="false" ht="14.25" hidden="false" customHeight="false" outlineLevel="0" collapsed="false">
      <c r="A141" s="49" t="s">
        <v>2137</v>
      </c>
      <c r="B141" s="49" t="s">
        <v>14</v>
      </c>
      <c r="C141" s="49" t="s">
        <v>108</v>
      </c>
      <c r="D141" s="49" t="s">
        <v>2441</v>
      </c>
      <c r="E141" s="49" t="s">
        <v>2500</v>
      </c>
      <c r="F141" s="49" t="s">
        <v>16</v>
      </c>
      <c r="G141" s="49" t="n">
        <v>4</v>
      </c>
      <c r="H141" s="0" t="n">
        <v>0</v>
      </c>
      <c r="I141" s="51" t="s">
        <v>2664</v>
      </c>
      <c r="J141" s="49" t="s">
        <v>2665</v>
      </c>
      <c r="K141" s="52" t="n">
        <v>47806</v>
      </c>
      <c r="M141" s="51" t="s">
        <v>2582</v>
      </c>
      <c r="N141" s="0" t="n">
        <v>4</v>
      </c>
      <c r="O141" s="53" t="n">
        <v>46049.4964236111</v>
      </c>
      <c r="P141" s="53" t="n">
        <v>46052.6666087963</v>
      </c>
      <c r="Q141" s="53" t="n">
        <v>46049.4964236111</v>
      </c>
      <c r="R141" s="0" t="n">
        <v>0</v>
      </c>
      <c r="S141" s="51" t="s">
        <v>2380</v>
      </c>
      <c r="T141" s="51" t="s">
        <v>2380</v>
      </c>
      <c r="U141" s="51" t="s">
        <v>2500</v>
      </c>
      <c r="V141" s="51" t="s">
        <v>2142</v>
      </c>
      <c r="W141" s="51" t="s">
        <v>2666</v>
      </c>
      <c r="X141" s="51"/>
    </row>
    <row r="142" customFormat="false" ht="14.25" hidden="false" customHeight="false" outlineLevel="0" collapsed="false">
      <c r="A142" s="49" t="s">
        <v>2137</v>
      </c>
      <c r="B142" s="49" t="s">
        <v>14</v>
      </c>
      <c r="C142" s="49" t="s">
        <v>986</v>
      </c>
      <c r="D142" s="49" t="s">
        <v>2441</v>
      </c>
      <c r="E142" s="49" t="s">
        <v>2500</v>
      </c>
      <c r="F142" s="49" t="s">
        <v>16</v>
      </c>
      <c r="G142" s="49" t="n">
        <v>4</v>
      </c>
      <c r="H142" s="0" t="n">
        <v>0</v>
      </c>
      <c r="I142" s="51" t="s">
        <v>2667</v>
      </c>
      <c r="J142" s="49" t="s">
        <v>2665</v>
      </c>
      <c r="K142" s="52" t="n">
        <v>47806</v>
      </c>
      <c r="M142" s="51" t="s">
        <v>2503</v>
      </c>
      <c r="N142" s="0" t="n">
        <v>4</v>
      </c>
      <c r="O142" s="53" t="n">
        <v>46060.4677662037</v>
      </c>
      <c r="P142" s="53" t="n">
        <v>46062.3672106481</v>
      </c>
      <c r="Q142" s="53" t="n">
        <v>46060.4677662037</v>
      </c>
      <c r="R142" s="0" t="n">
        <v>0</v>
      </c>
      <c r="S142" s="51" t="s">
        <v>2398</v>
      </c>
      <c r="T142" s="51" t="s">
        <v>2398</v>
      </c>
      <c r="U142" s="51" t="s">
        <v>2500</v>
      </c>
      <c r="V142" s="51" t="s">
        <v>2142</v>
      </c>
      <c r="W142" s="51"/>
      <c r="X142" s="51"/>
    </row>
    <row r="143" customFormat="false" ht="14.25" hidden="false" customHeight="false" outlineLevel="0" collapsed="false">
      <c r="A143" s="49" t="s">
        <v>2137</v>
      </c>
      <c r="B143" s="49" t="s">
        <v>14</v>
      </c>
      <c r="C143" s="49" t="s">
        <v>975</v>
      </c>
      <c r="D143" s="49" t="s">
        <v>2441</v>
      </c>
      <c r="E143" s="49" t="s">
        <v>2500</v>
      </c>
      <c r="F143" s="49" t="s">
        <v>16</v>
      </c>
      <c r="G143" s="49" t="n">
        <v>4</v>
      </c>
      <c r="H143" s="0" t="n">
        <v>0</v>
      </c>
      <c r="I143" s="51" t="s">
        <v>2599</v>
      </c>
      <c r="J143" s="49" t="s">
        <v>2665</v>
      </c>
      <c r="K143" s="52" t="n">
        <v>47806</v>
      </c>
      <c r="M143" s="51" t="s">
        <v>2503</v>
      </c>
      <c r="N143" s="0" t="n">
        <v>4</v>
      </c>
      <c r="O143" s="53" t="n">
        <v>46060.462349537</v>
      </c>
      <c r="P143" s="53" t="n">
        <v>46062.36625</v>
      </c>
      <c r="Q143" s="53" t="n">
        <v>46060.462349537</v>
      </c>
      <c r="R143" s="0" t="n">
        <v>0</v>
      </c>
      <c r="S143" s="51" t="s">
        <v>2398</v>
      </c>
      <c r="T143" s="51" t="s">
        <v>2398</v>
      </c>
      <c r="U143" s="51" t="s">
        <v>2500</v>
      </c>
      <c r="V143" s="51" t="s">
        <v>2142</v>
      </c>
      <c r="W143" s="51"/>
      <c r="X143" s="51"/>
    </row>
    <row r="144" customFormat="false" ht="14.25" hidden="true" customHeight="false" outlineLevel="0" collapsed="false">
      <c r="A144" s="49" t="s">
        <v>2137</v>
      </c>
      <c r="B144" s="49" t="s">
        <v>14</v>
      </c>
      <c r="C144" s="49" t="s">
        <v>506</v>
      </c>
      <c r="D144" s="49" t="s">
        <v>2441</v>
      </c>
      <c r="E144" s="49" t="s">
        <v>2500</v>
      </c>
      <c r="F144" s="49" t="s">
        <v>16</v>
      </c>
      <c r="G144" s="49" t="n">
        <v>4</v>
      </c>
      <c r="H144" s="0" t="n">
        <v>0</v>
      </c>
      <c r="I144" s="51" t="s">
        <v>2668</v>
      </c>
      <c r="J144" s="49" t="s">
        <v>2665</v>
      </c>
      <c r="K144" s="52" t="n">
        <v>47806</v>
      </c>
      <c r="M144" s="51" t="s">
        <v>2483</v>
      </c>
      <c r="N144" s="49" t="n">
        <v>4</v>
      </c>
      <c r="O144" s="53" t="n">
        <v>46054.4713773148</v>
      </c>
      <c r="P144" s="53" t="n">
        <v>46054.6556134259</v>
      </c>
      <c r="Q144" s="0" t="n">
        <v>46054.4713773148</v>
      </c>
      <c r="R144" s="0" t="n">
        <v>0</v>
      </c>
      <c r="S144" s="51" t="s">
        <v>2380</v>
      </c>
      <c r="T144" s="51" t="s">
        <v>2380</v>
      </c>
      <c r="U144" s="51" t="s">
        <v>2500</v>
      </c>
      <c r="V144" s="51" t="s">
        <v>2142</v>
      </c>
    </row>
    <row r="145" customFormat="false" ht="14.25" hidden="false" customHeight="false" outlineLevel="0" collapsed="false">
      <c r="A145" s="49" t="s">
        <v>2137</v>
      </c>
      <c r="B145" s="49" t="s">
        <v>14</v>
      </c>
      <c r="C145" s="49" t="s">
        <v>508</v>
      </c>
      <c r="D145" s="49" t="s">
        <v>2441</v>
      </c>
      <c r="E145" s="49" t="s">
        <v>2500</v>
      </c>
      <c r="F145" s="49" t="s">
        <v>16</v>
      </c>
      <c r="G145" s="49" t="n">
        <v>4</v>
      </c>
      <c r="H145" s="0" t="n">
        <v>0</v>
      </c>
      <c r="I145" s="51" t="s">
        <v>2669</v>
      </c>
      <c r="J145" s="49" t="s">
        <v>2665</v>
      </c>
      <c r="K145" s="52" t="n">
        <v>47806</v>
      </c>
      <c r="M145" s="51" t="s">
        <v>2483</v>
      </c>
      <c r="N145" s="0" t="n">
        <v>4</v>
      </c>
      <c r="O145" s="53" t="n">
        <v>46054.4711805556</v>
      </c>
      <c r="P145" s="53" t="n">
        <v>46054.6556944444</v>
      </c>
      <c r="Q145" s="53" t="n">
        <v>46054.4711805556</v>
      </c>
      <c r="R145" s="0" t="n">
        <v>0</v>
      </c>
      <c r="S145" s="51" t="s">
        <v>2380</v>
      </c>
      <c r="T145" s="51" t="s">
        <v>2380</v>
      </c>
      <c r="U145" s="51" t="s">
        <v>2500</v>
      </c>
      <c r="V145" s="51" t="s">
        <v>2142</v>
      </c>
      <c r="W145" s="51"/>
      <c r="X145" s="51"/>
    </row>
    <row r="146" customFormat="false" ht="14.25" hidden="false" customHeight="false" outlineLevel="0" collapsed="false">
      <c r="A146" s="49" t="s">
        <v>2137</v>
      </c>
      <c r="B146" s="49" t="s">
        <v>14</v>
      </c>
      <c r="C146" s="49" t="s">
        <v>509</v>
      </c>
      <c r="D146" s="49" t="s">
        <v>2441</v>
      </c>
      <c r="E146" s="49" t="s">
        <v>2500</v>
      </c>
      <c r="F146" s="49" t="s">
        <v>16</v>
      </c>
      <c r="G146" s="49" t="n">
        <v>4</v>
      </c>
      <c r="H146" s="0" t="n">
        <v>0</v>
      </c>
      <c r="I146" s="51" t="s">
        <v>2670</v>
      </c>
      <c r="J146" s="49" t="s">
        <v>2665</v>
      </c>
      <c r="K146" s="52" t="n">
        <v>47806</v>
      </c>
      <c r="M146" s="51" t="s">
        <v>2483</v>
      </c>
      <c r="N146" s="0" t="n">
        <v>4</v>
      </c>
      <c r="O146" s="53" t="n">
        <v>46054.470462963</v>
      </c>
      <c r="P146" s="53" t="n">
        <v>46054.6555787037</v>
      </c>
      <c r="Q146" s="0" t="n">
        <v>46054.470462963</v>
      </c>
      <c r="R146" s="0" t="n">
        <v>0</v>
      </c>
      <c r="S146" s="51" t="s">
        <v>2380</v>
      </c>
      <c r="T146" s="51" t="s">
        <v>2380</v>
      </c>
      <c r="U146" s="51" t="s">
        <v>2500</v>
      </c>
      <c r="V146" s="51" t="s">
        <v>2142</v>
      </c>
    </row>
    <row r="147" customFormat="false" ht="14.25" hidden="false" customHeight="false" outlineLevel="0" collapsed="false">
      <c r="A147" s="49" t="s">
        <v>2137</v>
      </c>
      <c r="B147" s="49" t="s">
        <v>14</v>
      </c>
      <c r="C147" s="49" t="s">
        <v>510</v>
      </c>
      <c r="D147" s="49" t="s">
        <v>2441</v>
      </c>
      <c r="E147" s="49" t="s">
        <v>2500</v>
      </c>
      <c r="F147" s="49" t="s">
        <v>16</v>
      </c>
      <c r="G147" s="49" t="n">
        <v>4</v>
      </c>
      <c r="H147" s="0" t="n">
        <v>0</v>
      </c>
      <c r="I147" s="51" t="s">
        <v>2671</v>
      </c>
      <c r="J147" s="49" t="s">
        <v>2665</v>
      </c>
      <c r="K147" s="52" t="n">
        <v>47806</v>
      </c>
      <c r="M147" s="51" t="s">
        <v>2483</v>
      </c>
      <c r="N147" s="0" t="n">
        <v>4</v>
      </c>
      <c r="O147" s="53" t="n">
        <v>46054.4703587963</v>
      </c>
      <c r="P147" s="53" t="n">
        <v>46054.6558796296</v>
      </c>
      <c r="Q147" s="0" t="n">
        <v>46054.4703587963</v>
      </c>
      <c r="R147" s="0" t="n">
        <v>0</v>
      </c>
      <c r="S147" s="51" t="s">
        <v>2380</v>
      </c>
      <c r="T147" s="51" t="s">
        <v>2380</v>
      </c>
      <c r="U147" s="51" t="s">
        <v>2500</v>
      </c>
      <c r="V147" s="51" t="s">
        <v>2142</v>
      </c>
    </row>
    <row r="148" customFormat="false" ht="14.25" hidden="false" customHeight="false" outlineLevel="0" collapsed="false">
      <c r="A148" s="49" t="s">
        <v>2137</v>
      </c>
      <c r="B148" s="49" t="s">
        <v>14</v>
      </c>
      <c r="C148" s="49" t="s">
        <v>511</v>
      </c>
      <c r="D148" s="49" t="s">
        <v>2441</v>
      </c>
      <c r="E148" s="49" t="s">
        <v>2500</v>
      </c>
      <c r="F148" s="49" t="s">
        <v>16</v>
      </c>
      <c r="G148" s="49" t="n">
        <v>4</v>
      </c>
      <c r="H148" s="0" t="n">
        <v>0</v>
      </c>
      <c r="I148" s="51" t="s">
        <v>2672</v>
      </c>
      <c r="J148" s="49" t="s">
        <v>2665</v>
      </c>
      <c r="K148" s="52" t="n">
        <v>47806</v>
      </c>
      <c r="M148" s="51" t="s">
        <v>2483</v>
      </c>
      <c r="N148" s="0" t="n">
        <v>4</v>
      </c>
      <c r="O148" s="53" t="n">
        <v>46054.4701736111</v>
      </c>
      <c r="P148" s="53" t="n">
        <v>46054.6554976852</v>
      </c>
      <c r="Q148" s="0" t="n">
        <v>46054.4701736111</v>
      </c>
      <c r="R148" s="0" t="n">
        <v>0</v>
      </c>
      <c r="S148" s="51" t="s">
        <v>2380</v>
      </c>
      <c r="T148" s="51" t="s">
        <v>2380</v>
      </c>
      <c r="U148" s="51" t="s">
        <v>2500</v>
      </c>
      <c r="V148" s="51" t="s">
        <v>2142</v>
      </c>
    </row>
    <row r="149" customFormat="false" ht="14.25" hidden="true" customHeight="false" outlineLevel="0" collapsed="false">
      <c r="A149" s="49" t="s">
        <v>2137</v>
      </c>
      <c r="B149" s="49" t="s">
        <v>14</v>
      </c>
      <c r="C149" s="49" t="s">
        <v>512</v>
      </c>
      <c r="D149" s="49" t="s">
        <v>2441</v>
      </c>
      <c r="E149" s="49" t="s">
        <v>2500</v>
      </c>
      <c r="F149" s="49" t="s">
        <v>16</v>
      </c>
      <c r="G149" s="49" t="n">
        <v>4</v>
      </c>
      <c r="H149" s="0" t="n">
        <v>0</v>
      </c>
      <c r="I149" s="51" t="s">
        <v>2673</v>
      </c>
      <c r="J149" s="49" t="s">
        <v>2665</v>
      </c>
      <c r="K149" s="52" t="n">
        <v>47806</v>
      </c>
      <c r="M149" s="51" t="s">
        <v>2483</v>
      </c>
      <c r="N149" s="49" t="n">
        <v>4</v>
      </c>
      <c r="O149" s="53" t="n">
        <v>46054.4700347222</v>
      </c>
      <c r="P149" s="53" t="n">
        <v>46054.6556481481</v>
      </c>
      <c r="Q149" s="53" t="n">
        <v>46054.4700347222</v>
      </c>
      <c r="R149" s="0" t="n">
        <v>0</v>
      </c>
      <c r="S149" s="51" t="s">
        <v>2380</v>
      </c>
      <c r="T149" s="51" t="s">
        <v>2380</v>
      </c>
      <c r="U149" s="51" t="s">
        <v>2500</v>
      </c>
      <c r="V149" s="51" t="s">
        <v>2142</v>
      </c>
      <c r="X149" s="51"/>
    </row>
    <row r="150" customFormat="false" ht="14.25" hidden="false" customHeight="false" outlineLevel="0" collapsed="false">
      <c r="A150" s="49" t="s">
        <v>2137</v>
      </c>
      <c r="B150" s="49" t="s">
        <v>14</v>
      </c>
      <c r="C150" s="49" t="s">
        <v>513</v>
      </c>
      <c r="D150" s="49" t="s">
        <v>2441</v>
      </c>
      <c r="E150" s="49" t="s">
        <v>2500</v>
      </c>
      <c r="F150" s="49" t="s">
        <v>16</v>
      </c>
      <c r="G150" s="49" t="n">
        <v>4</v>
      </c>
      <c r="H150" s="0" t="n">
        <v>0</v>
      </c>
      <c r="I150" s="51" t="s">
        <v>2674</v>
      </c>
      <c r="J150" s="49" t="s">
        <v>2665</v>
      </c>
      <c r="K150" s="52" t="n">
        <v>47806</v>
      </c>
      <c r="M150" s="51" t="s">
        <v>2483</v>
      </c>
      <c r="N150" s="0" t="n">
        <v>4</v>
      </c>
      <c r="O150" s="53" t="n">
        <v>46054.4698842593</v>
      </c>
      <c r="P150" s="53" t="n">
        <v>46054.6559027778</v>
      </c>
      <c r="Q150" s="53" t="n">
        <v>46054.4698842593</v>
      </c>
      <c r="R150" s="0" t="n">
        <v>0</v>
      </c>
      <c r="S150" s="51" t="s">
        <v>2380</v>
      </c>
      <c r="T150" s="51" t="s">
        <v>2380</v>
      </c>
      <c r="U150" s="51" t="s">
        <v>2500</v>
      </c>
      <c r="V150" s="51" t="s">
        <v>2142</v>
      </c>
      <c r="W150" s="51"/>
      <c r="X150" s="51"/>
    </row>
    <row r="151" customFormat="false" ht="14.25" hidden="false" customHeight="false" outlineLevel="0" collapsed="false">
      <c r="A151" s="49" t="s">
        <v>2137</v>
      </c>
      <c r="B151" s="49" t="s">
        <v>14</v>
      </c>
      <c r="C151" s="49" t="s">
        <v>524</v>
      </c>
      <c r="D151" s="49" t="s">
        <v>2441</v>
      </c>
      <c r="E151" s="49" t="s">
        <v>2500</v>
      </c>
      <c r="F151" s="49" t="s">
        <v>16</v>
      </c>
      <c r="G151" s="49" t="n">
        <v>4</v>
      </c>
      <c r="H151" s="0" t="n">
        <v>0</v>
      </c>
      <c r="I151" s="51" t="s">
        <v>2675</v>
      </c>
      <c r="J151" s="49" t="s">
        <v>2665</v>
      </c>
      <c r="K151" s="52" t="n">
        <v>47806</v>
      </c>
      <c r="M151" s="51" t="s">
        <v>2483</v>
      </c>
      <c r="N151" s="0" t="n">
        <v>4</v>
      </c>
      <c r="O151" s="53" t="n">
        <v>46054.4696412037</v>
      </c>
      <c r="P151" s="53" t="n">
        <v>46054.6554282407</v>
      </c>
      <c r="Q151" s="0" t="n">
        <v>46054.4696412037</v>
      </c>
      <c r="R151" s="0" t="n">
        <v>0</v>
      </c>
      <c r="S151" s="51" t="s">
        <v>2380</v>
      </c>
      <c r="T151" s="51" t="s">
        <v>2380</v>
      </c>
      <c r="U151" s="51" t="s">
        <v>2500</v>
      </c>
      <c r="V151" s="51" t="s">
        <v>2142</v>
      </c>
    </row>
    <row r="152" customFormat="false" ht="14.25" hidden="false" customHeight="false" outlineLevel="0" collapsed="false">
      <c r="A152" s="49" t="s">
        <v>2137</v>
      </c>
      <c r="B152" s="49" t="s">
        <v>14</v>
      </c>
      <c r="C152" s="49" t="s">
        <v>525</v>
      </c>
      <c r="D152" s="49" t="s">
        <v>2441</v>
      </c>
      <c r="E152" s="49" t="s">
        <v>2500</v>
      </c>
      <c r="F152" s="49" t="s">
        <v>16</v>
      </c>
      <c r="G152" s="49" t="n">
        <v>4</v>
      </c>
      <c r="H152" s="0" t="n">
        <v>0</v>
      </c>
      <c r="I152" s="51" t="s">
        <v>2676</v>
      </c>
      <c r="J152" s="49" t="s">
        <v>2665</v>
      </c>
      <c r="K152" s="52" t="n">
        <v>47806</v>
      </c>
      <c r="M152" s="51" t="s">
        <v>2483</v>
      </c>
      <c r="N152" s="0" t="n">
        <v>4</v>
      </c>
      <c r="O152" s="53" t="n">
        <v>46054.4653472222</v>
      </c>
      <c r="P152" s="53" t="n">
        <v>46054.6562847222</v>
      </c>
      <c r="Q152" s="0" t="n">
        <v>46054.4653472222</v>
      </c>
      <c r="R152" s="0" t="n">
        <v>0</v>
      </c>
      <c r="S152" s="51" t="s">
        <v>2380</v>
      </c>
      <c r="T152" s="51" t="s">
        <v>2380</v>
      </c>
      <c r="U152" s="51" t="s">
        <v>2500</v>
      </c>
      <c r="V152" s="51" t="s">
        <v>2142</v>
      </c>
    </row>
    <row r="153" customFormat="false" ht="14.25" hidden="false" customHeight="false" outlineLevel="0" collapsed="false">
      <c r="A153" s="49" t="s">
        <v>2137</v>
      </c>
      <c r="B153" s="49" t="s">
        <v>14</v>
      </c>
      <c r="C153" s="49" t="s">
        <v>505</v>
      </c>
      <c r="D153" s="49" t="s">
        <v>2441</v>
      </c>
      <c r="E153" s="49" t="s">
        <v>2500</v>
      </c>
      <c r="F153" s="49" t="s">
        <v>16</v>
      </c>
      <c r="G153" s="49" t="n">
        <v>4</v>
      </c>
      <c r="H153" s="0" t="n">
        <v>0</v>
      </c>
      <c r="I153" s="51" t="s">
        <v>2677</v>
      </c>
      <c r="J153" s="49" t="s">
        <v>2665</v>
      </c>
      <c r="K153" s="52" t="n">
        <v>47806</v>
      </c>
      <c r="M153" s="51" t="s">
        <v>2483</v>
      </c>
      <c r="N153" s="0" t="n">
        <v>4</v>
      </c>
      <c r="O153" s="53" t="n">
        <v>46054.4645138889</v>
      </c>
      <c r="P153" s="53" t="n">
        <v>46054.6569328704</v>
      </c>
      <c r="Q153" s="53" t="n">
        <v>46054.4645138889</v>
      </c>
      <c r="R153" s="0" t="n">
        <v>0</v>
      </c>
      <c r="S153" s="51" t="s">
        <v>2380</v>
      </c>
      <c r="T153" s="51" t="s">
        <v>2380</v>
      </c>
      <c r="U153" s="51" t="s">
        <v>2500</v>
      </c>
      <c r="V153" s="51" t="s">
        <v>2142</v>
      </c>
      <c r="W153" s="51"/>
      <c r="X153" s="51"/>
    </row>
    <row r="154" customFormat="false" ht="14.25" hidden="false" customHeight="false" outlineLevel="0" collapsed="false">
      <c r="A154" s="49" t="s">
        <v>2137</v>
      </c>
      <c r="B154" s="49" t="s">
        <v>14</v>
      </c>
      <c r="C154" s="49" t="s">
        <v>494</v>
      </c>
      <c r="D154" s="49" t="s">
        <v>2441</v>
      </c>
      <c r="E154" s="49" t="s">
        <v>2500</v>
      </c>
      <c r="F154" s="49" t="s">
        <v>16</v>
      </c>
      <c r="G154" s="49" t="n">
        <v>4</v>
      </c>
      <c r="H154" s="0" t="n">
        <v>0</v>
      </c>
      <c r="I154" s="51" t="s">
        <v>2678</v>
      </c>
      <c r="J154" s="49" t="s">
        <v>2665</v>
      </c>
      <c r="K154" s="52" t="n">
        <v>47806</v>
      </c>
      <c r="M154" s="51" t="s">
        <v>2487</v>
      </c>
      <c r="N154" s="0" t="n">
        <v>4</v>
      </c>
      <c r="O154" s="53" t="n">
        <v>46054.4546296296</v>
      </c>
      <c r="P154" s="53" t="n">
        <v>46054.6542361111</v>
      </c>
      <c r="Q154" s="53" t="n">
        <v>46054.4546296296</v>
      </c>
      <c r="R154" s="0" t="n">
        <v>0</v>
      </c>
      <c r="S154" s="51" t="s">
        <v>2380</v>
      </c>
      <c r="T154" s="51" t="s">
        <v>2380</v>
      </c>
      <c r="U154" s="51" t="s">
        <v>2500</v>
      </c>
      <c r="V154" s="51" t="s">
        <v>2142</v>
      </c>
      <c r="W154" s="51"/>
      <c r="X154" s="51"/>
    </row>
    <row r="155" customFormat="false" ht="14.25" hidden="false" customHeight="false" outlineLevel="0" collapsed="false">
      <c r="A155" s="49" t="s">
        <v>2137</v>
      </c>
      <c r="B155" s="49" t="s">
        <v>14</v>
      </c>
      <c r="C155" s="49" t="s">
        <v>495</v>
      </c>
      <c r="D155" s="49" t="s">
        <v>2441</v>
      </c>
      <c r="E155" s="49" t="s">
        <v>2500</v>
      </c>
      <c r="F155" s="49" t="s">
        <v>16</v>
      </c>
      <c r="G155" s="49" t="n">
        <v>4</v>
      </c>
      <c r="H155" s="0" t="n">
        <v>0</v>
      </c>
      <c r="I155" s="51" t="s">
        <v>2679</v>
      </c>
      <c r="J155" s="49" t="s">
        <v>2665</v>
      </c>
      <c r="K155" s="52" t="n">
        <v>47806</v>
      </c>
      <c r="M155" s="51" t="s">
        <v>2487</v>
      </c>
      <c r="N155" s="0" t="n">
        <v>4</v>
      </c>
      <c r="O155" s="53" t="n">
        <v>46054.4544907407</v>
      </c>
      <c r="P155" s="53" t="n">
        <v>46054.6542708333</v>
      </c>
      <c r="Q155" s="53" t="n">
        <v>46054.4544907407</v>
      </c>
      <c r="R155" s="0" t="n">
        <v>0</v>
      </c>
      <c r="S155" s="51" t="s">
        <v>2380</v>
      </c>
      <c r="T155" s="51" t="s">
        <v>2380</v>
      </c>
      <c r="U155" s="51" t="s">
        <v>2500</v>
      </c>
      <c r="V155" s="51" t="s">
        <v>2142</v>
      </c>
      <c r="W155" s="51"/>
      <c r="X155" s="51"/>
    </row>
    <row r="156" customFormat="false" ht="14.25" hidden="false" customHeight="false" outlineLevel="0" collapsed="false">
      <c r="A156" s="49" t="s">
        <v>2137</v>
      </c>
      <c r="B156" s="49" t="s">
        <v>14</v>
      </c>
      <c r="C156" s="49" t="s">
        <v>493</v>
      </c>
      <c r="D156" s="49" t="s">
        <v>2441</v>
      </c>
      <c r="E156" s="49" t="s">
        <v>2500</v>
      </c>
      <c r="F156" s="49" t="s">
        <v>16</v>
      </c>
      <c r="G156" s="49" t="n">
        <v>4</v>
      </c>
      <c r="H156" s="0" t="n">
        <v>0</v>
      </c>
      <c r="I156" s="51" t="s">
        <v>2680</v>
      </c>
      <c r="J156" s="49" t="s">
        <v>2665</v>
      </c>
      <c r="K156" s="52" t="n">
        <v>47806</v>
      </c>
      <c r="M156" s="51" t="s">
        <v>2487</v>
      </c>
      <c r="N156" s="0" t="n">
        <v>4</v>
      </c>
      <c r="O156" s="53" t="n">
        <v>46054.4556134259</v>
      </c>
      <c r="P156" s="53" t="n">
        <v>46054.6551157407</v>
      </c>
      <c r="Q156" s="53" t="n">
        <v>46054.4556134259</v>
      </c>
      <c r="R156" s="0" t="n">
        <v>0</v>
      </c>
      <c r="S156" s="51" t="s">
        <v>2380</v>
      </c>
      <c r="T156" s="51" t="s">
        <v>2380</v>
      </c>
      <c r="U156" s="51" t="s">
        <v>2500</v>
      </c>
      <c r="V156" s="51" t="s">
        <v>2142</v>
      </c>
      <c r="W156" s="51"/>
      <c r="X156" s="51"/>
    </row>
    <row r="157" customFormat="false" ht="14.25" hidden="false" customHeight="false" outlineLevel="0" collapsed="false">
      <c r="A157" s="49" t="s">
        <v>2137</v>
      </c>
      <c r="B157" s="49" t="s">
        <v>14</v>
      </c>
      <c r="C157" s="49" t="s">
        <v>496</v>
      </c>
      <c r="D157" s="49" t="s">
        <v>2441</v>
      </c>
      <c r="E157" s="49" t="s">
        <v>2500</v>
      </c>
      <c r="F157" s="49" t="s">
        <v>16</v>
      </c>
      <c r="G157" s="49" t="n">
        <v>4</v>
      </c>
      <c r="H157" s="0" t="n">
        <v>0</v>
      </c>
      <c r="I157" s="51" t="s">
        <v>2681</v>
      </c>
      <c r="J157" s="49" t="s">
        <v>2665</v>
      </c>
      <c r="K157" s="52" t="n">
        <v>47806</v>
      </c>
      <c r="M157" s="51" t="s">
        <v>2487</v>
      </c>
      <c r="N157" s="0" t="n">
        <v>4</v>
      </c>
      <c r="O157" s="53" t="n">
        <v>46054.4543634259</v>
      </c>
      <c r="P157" s="53" t="n">
        <v>46054.6543055556</v>
      </c>
      <c r="Q157" s="53" t="n">
        <v>46054.4543634259</v>
      </c>
      <c r="R157" s="0" t="n">
        <v>0</v>
      </c>
      <c r="S157" s="51" t="s">
        <v>2380</v>
      </c>
      <c r="T157" s="51" t="s">
        <v>2380</v>
      </c>
      <c r="U157" s="51" t="s">
        <v>2500</v>
      </c>
      <c r="V157" s="51" t="s">
        <v>2142</v>
      </c>
      <c r="W157" s="51"/>
      <c r="X157" s="51"/>
    </row>
    <row r="158" customFormat="false" ht="14.25" hidden="false" customHeight="false" outlineLevel="0" collapsed="false">
      <c r="A158" s="49" t="s">
        <v>2137</v>
      </c>
      <c r="B158" s="49" t="s">
        <v>14</v>
      </c>
      <c r="C158" s="49" t="s">
        <v>491</v>
      </c>
      <c r="D158" s="49" t="s">
        <v>2441</v>
      </c>
      <c r="E158" s="49" t="s">
        <v>2500</v>
      </c>
      <c r="F158" s="49" t="s">
        <v>16</v>
      </c>
      <c r="G158" s="49" t="n">
        <v>4</v>
      </c>
      <c r="H158" s="0" t="n">
        <v>0</v>
      </c>
      <c r="I158" s="51" t="s">
        <v>2682</v>
      </c>
      <c r="J158" s="49" t="s">
        <v>2665</v>
      </c>
      <c r="K158" s="52" t="n">
        <v>47806</v>
      </c>
      <c r="M158" s="51" t="s">
        <v>2487</v>
      </c>
      <c r="N158" s="0" t="n">
        <v>4</v>
      </c>
      <c r="O158" s="53" t="n">
        <v>46054.455787037</v>
      </c>
      <c r="P158" s="53" t="n">
        <v>46054.6550810185</v>
      </c>
      <c r="Q158" s="53" t="n">
        <v>46054.455787037</v>
      </c>
      <c r="R158" s="0" t="n">
        <v>0</v>
      </c>
      <c r="S158" s="51" t="s">
        <v>2380</v>
      </c>
      <c r="T158" s="51" t="s">
        <v>2380</v>
      </c>
      <c r="U158" s="51" t="s">
        <v>2500</v>
      </c>
      <c r="V158" s="51" t="s">
        <v>2142</v>
      </c>
      <c r="W158" s="51"/>
      <c r="X158" s="51"/>
    </row>
    <row r="159" customFormat="false" ht="14.25" hidden="false" customHeight="false" outlineLevel="0" collapsed="false">
      <c r="A159" s="49" t="s">
        <v>2137</v>
      </c>
      <c r="B159" s="49" t="s">
        <v>14</v>
      </c>
      <c r="C159" s="49" t="s">
        <v>497</v>
      </c>
      <c r="D159" s="49" t="s">
        <v>2441</v>
      </c>
      <c r="E159" s="49" t="s">
        <v>2500</v>
      </c>
      <c r="F159" s="49" t="s">
        <v>16</v>
      </c>
      <c r="G159" s="49" t="n">
        <v>4</v>
      </c>
      <c r="H159" s="0" t="n">
        <v>0</v>
      </c>
      <c r="I159" s="51" t="s">
        <v>2683</v>
      </c>
      <c r="J159" s="49" t="s">
        <v>2665</v>
      </c>
      <c r="K159" s="52" t="n">
        <v>47806</v>
      </c>
      <c r="M159" s="51" t="s">
        <v>2487</v>
      </c>
      <c r="N159" s="0" t="n">
        <v>4</v>
      </c>
      <c r="O159" s="53" t="n">
        <v>46054.4538194445</v>
      </c>
      <c r="P159" s="53" t="n">
        <v>46054.655150463</v>
      </c>
      <c r="Q159" s="53" t="n">
        <v>46054.4538194445</v>
      </c>
      <c r="R159" s="0" t="n">
        <v>0</v>
      </c>
      <c r="S159" s="51" t="s">
        <v>2380</v>
      </c>
      <c r="T159" s="51" t="s">
        <v>2380</v>
      </c>
      <c r="U159" s="51" t="s">
        <v>2500</v>
      </c>
      <c r="V159" s="51" t="s">
        <v>2142</v>
      </c>
      <c r="W159" s="51"/>
      <c r="X159" s="51"/>
    </row>
    <row r="160" customFormat="false" ht="14.25" hidden="false" customHeight="false" outlineLevel="0" collapsed="false">
      <c r="A160" s="49" t="s">
        <v>2137</v>
      </c>
      <c r="B160" s="49" t="s">
        <v>14</v>
      </c>
      <c r="C160" s="49" t="s">
        <v>97</v>
      </c>
      <c r="D160" s="49" t="s">
        <v>2441</v>
      </c>
      <c r="E160" s="49" t="s">
        <v>2500</v>
      </c>
      <c r="F160" s="49" t="s">
        <v>16</v>
      </c>
      <c r="G160" s="49" t="n">
        <v>4</v>
      </c>
      <c r="H160" s="0" t="n">
        <v>0</v>
      </c>
      <c r="I160" s="51" t="s">
        <v>2684</v>
      </c>
      <c r="J160" s="49" t="s">
        <v>2665</v>
      </c>
      <c r="K160" s="52" t="n">
        <v>47806</v>
      </c>
      <c r="M160" s="51" t="s">
        <v>2582</v>
      </c>
      <c r="N160" s="0" t="n">
        <v>4</v>
      </c>
      <c r="O160" s="53" t="n">
        <v>46049.4994444444</v>
      </c>
      <c r="P160" s="53" t="n">
        <v>46052.6558796296</v>
      </c>
      <c r="Q160" s="53" t="n">
        <v>46049.4994444444</v>
      </c>
      <c r="R160" s="0" t="n">
        <v>0</v>
      </c>
      <c r="S160" s="51" t="s">
        <v>2380</v>
      </c>
      <c r="T160" s="51" t="s">
        <v>2380</v>
      </c>
      <c r="U160" s="51" t="s">
        <v>2500</v>
      </c>
      <c r="V160" s="51" t="s">
        <v>2142</v>
      </c>
      <c r="W160" s="51" t="s">
        <v>2685</v>
      </c>
      <c r="X160" s="51"/>
    </row>
    <row r="161" customFormat="false" ht="14.25" hidden="false" customHeight="false" outlineLevel="0" collapsed="false">
      <c r="A161" s="49" t="s">
        <v>2137</v>
      </c>
      <c r="B161" s="49" t="s">
        <v>14</v>
      </c>
      <c r="C161" s="49" t="s">
        <v>107</v>
      </c>
      <c r="D161" s="49" t="s">
        <v>2441</v>
      </c>
      <c r="E161" s="49" t="s">
        <v>2500</v>
      </c>
      <c r="F161" s="49" t="s">
        <v>16</v>
      </c>
      <c r="G161" s="49" t="n">
        <v>4</v>
      </c>
      <c r="H161" s="0" t="n">
        <v>0</v>
      </c>
      <c r="I161" s="51" t="s">
        <v>2686</v>
      </c>
      <c r="J161" s="49" t="s">
        <v>2687</v>
      </c>
      <c r="K161" s="52" t="n">
        <v>47811</v>
      </c>
      <c r="M161" s="51" t="s">
        <v>2582</v>
      </c>
      <c r="N161" s="0" t="n">
        <v>4</v>
      </c>
      <c r="O161" s="53" t="n">
        <v>46049.4968287037</v>
      </c>
      <c r="P161" s="53" t="n">
        <v>46052.6657638889</v>
      </c>
      <c r="Q161" s="53" t="n">
        <v>46049.4968287037</v>
      </c>
      <c r="R161" s="0" t="n">
        <v>0</v>
      </c>
      <c r="S161" s="51" t="s">
        <v>2380</v>
      </c>
      <c r="T161" s="51" t="s">
        <v>2380</v>
      </c>
      <c r="U161" s="51" t="s">
        <v>2500</v>
      </c>
      <c r="V161" s="51" t="s">
        <v>2142</v>
      </c>
      <c r="W161" s="51" t="s">
        <v>2688</v>
      </c>
      <c r="X161" s="51"/>
    </row>
    <row r="162" customFormat="false" ht="14.25" hidden="false" customHeight="false" outlineLevel="0" collapsed="false">
      <c r="A162" s="49" t="s">
        <v>2137</v>
      </c>
      <c r="B162" s="49" t="s">
        <v>14</v>
      </c>
      <c r="C162" s="49" t="s">
        <v>623</v>
      </c>
      <c r="D162" s="49" t="s">
        <v>2441</v>
      </c>
      <c r="E162" s="49" t="s">
        <v>2500</v>
      </c>
      <c r="F162" s="49" t="s">
        <v>16</v>
      </c>
      <c r="G162" s="49" t="n">
        <v>4</v>
      </c>
      <c r="H162" s="0" t="n">
        <v>0</v>
      </c>
      <c r="I162" s="51" t="s">
        <v>2689</v>
      </c>
      <c r="J162" s="49" t="s">
        <v>2687</v>
      </c>
      <c r="K162" s="52" t="n">
        <v>47811</v>
      </c>
      <c r="M162" s="51" t="s">
        <v>2690</v>
      </c>
      <c r="N162" s="0" t="n">
        <v>4</v>
      </c>
      <c r="O162" s="53" t="n">
        <v>46056.5425925926</v>
      </c>
      <c r="P162" s="53" t="n">
        <v>46056.7046759259</v>
      </c>
      <c r="Q162" s="53" t="n">
        <v>46056.5425925926</v>
      </c>
      <c r="R162" s="0" t="n">
        <v>0</v>
      </c>
      <c r="S162" s="51" t="s">
        <v>2380</v>
      </c>
      <c r="T162" s="51" t="s">
        <v>2380</v>
      </c>
      <c r="U162" s="51" t="s">
        <v>2500</v>
      </c>
      <c r="V162" s="51" t="s">
        <v>2142</v>
      </c>
      <c r="W162" s="51"/>
      <c r="X162" s="51"/>
    </row>
    <row r="163" customFormat="false" ht="14.25" hidden="false" customHeight="false" outlineLevel="0" collapsed="false">
      <c r="A163" s="49" t="s">
        <v>2137</v>
      </c>
      <c r="B163" s="49" t="s">
        <v>14</v>
      </c>
      <c r="C163" s="49" t="s">
        <v>643</v>
      </c>
      <c r="D163" s="49" t="s">
        <v>2441</v>
      </c>
      <c r="E163" s="49" t="s">
        <v>2500</v>
      </c>
      <c r="F163" s="49" t="s">
        <v>16</v>
      </c>
      <c r="G163" s="49" t="n">
        <v>4</v>
      </c>
      <c r="H163" s="0" t="n">
        <v>0</v>
      </c>
      <c r="I163" s="51" t="s">
        <v>2691</v>
      </c>
      <c r="J163" s="49" t="s">
        <v>2687</v>
      </c>
      <c r="K163" s="52" t="n">
        <v>47811</v>
      </c>
      <c r="M163" s="51" t="s">
        <v>2690</v>
      </c>
      <c r="N163" s="0" t="n">
        <v>4</v>
      </c>
      <c r="O163" s="53" t="n">
        <v>46056.5431365741</v>
      </c>
      <c r="P163" s="53" t="n">
        <v>46056.7035185185</v>
      </c>
      <c r="Q163" s="53" t="n">
        <v>46056.5431365741</v>
      </c>
      <c r="R163" s="0" t="n">
        <v>0</v>
      </c>
      <c r="S163" s="51" t="s">
        <v>2380</v>
      </c>
      <c r="T163" s="51" t="s">
        <v>2380</v>
      </c>
      <c r="U163" s="51" t="s">
        <v>2500</v>
      </c>
      <c r="V163" s="51" t="s">
        <v>2142</v>
      </c>
      <c r="W163" s="51"/>
      <c r="X163" s="51"/>
    </row>
    <row r="164" customFormat="false" ht="14.25" hidden="true" customHeight="false" outlineLevel="0" collapsed="false">
      <c r="A164" s="49" t="s">
        <v>2137</v>
      </c>
      <c r="B164" s="49" t="s">
        <v>14</v>
      </c>
      <c r="C164" s="49" t="s">
        <v>642</v>
      </c>
      <c r="D164" s="49" t="s">
        <v>2441</v>
      </c>
      <c r="E164" s="49" t="s">
        <v>2500</v>
      </c>
      <c r="F164" s="49" t="s">
        <v>16</v>
      </c>
      <c r="G164" s="49" t="n">
        <v>4</v>
      </c>
      <c r="H164" s="0" t="n">
        <v>0</v>
      </c>
      <c r="I164" s="51" t="s">
        <v>2692</v>
      </c>
      <c r="J164" s="49" t="s">
        <v>2687</v>
      </c>
      <c r="K164" s="52" t="n">
        <v>47811</v>
      </c>
      <c r="M164" s="51" t="s">
        <v>2690</v>
      </c>
      <c r="N164" s="49" t="n">
        <v>4</v>
      </c>
      <c r="O164" s="53" t="n">
        <v>46056.5437152778</v>
      </c>
      <c r="P164" s="53" t="n">
        <v>46056.7034722222</v>
      </c>
      <c r="Q164" s="53" t="n">
        <v>46056.5437152778</v>
      </c>
      <c r="R164" s="0" t="n">
        <v>0</v>
      </c>
      <c r="S164" s="51" t="s">
        <v>2380</v>
      </c>
      <c r="T164" s="51" t="s">
        <v>2380</v>
      </c>
      <c r="U164" s="51" t="s">
        <v>2500</v>
      </c>
      <c r="V164" s="51" t="s">
        <v>2142</v>
      </c>
      <c r="X164" s="51"/>
    </row>
    <row r="165" customFormat="false" ht="14.25" hidden="true" customHeight="false" outlineLevel="0" collapsed="false">
      <c r="A165" s="49" t="s">
        <v>2137</v>
      </c>
      <c r="B165" s="49" t="s">
        <v>14</v>
      </c>
      <c r="C165" s="49" t="s">
        <v>641</v>
      </c>
      <c r="D165" s="49" t="s">
        <v>2441</v>
      </c>
      <c r="E165" s="49" t="s">
        <v>2500</v>
      </c>
      <c r="F165" s="49" t="s">
        <v>16</v>
      </c>
      <c r="G165" s="49" t="n">
        <v>4</v>
      </c>
      <c r="H165" s="0" t="n">
        <v>0</v>
      </c>
      <c r="I165" s="51" t="s">
        <v>2693</v>
      </c>
      <c r="J165" s="49" t="s">
        <v>2687</v>
      </c>
      <c r="K165" s="52" t="n">
        <v>47811</v>
      </c>
      <c r="M165" s="51" t="s">
        <v>2690</v>
      </c>
      <c r="N165" s="49" t="n">
        <v>4</v>
      </c>
      <c r="O165" s="53" t="n">
        <v>46056.544212963</v>
      </c>
      <c r="P165" s="53" t="n">
        <v>46056.7046296296</v>
      </c>
      <c r="Q165" s="53" t="n">
        <v>46056.544212963</v>
      </c>
      <c r="R165" s="0" t="n">
        <v>0</v>
      </c>
      <c r="S165" s="51" t="s">
        <v>2380</v>
      </c>
      <c r="T165" s="51" t="s">
        <v>2380</v>
      </c>
      <c r="U165" s="51" t="s">
        <v>2500</v>
      </c>
      <c r="V165" s="51" t="s">
        <v>2142</v>
      </c>
      <c r="W165" s="51"/>
      <c r="X165" s="51"/>
    </row>
    <row r="166" customFormat="false" ht="14.25" hidden="true" customHeight="false" outlineLevel="0" collapsed="false">
      <c r="A166" s="49" t="s">
        <v>2137</v>
      </c>
      <c r="B166" s="49" t="s">
        <v>14</v>
      </c>
      <c r="C166" s="49" t="s">
        <v>640</v>
      </c>
      <c r="D166" s="49" t="s">
        <v>2441</v>
      </c>
      <c r="E166" s="49" t="s">
        <v>2500</v>
      </c>
      <c r="F166" s="49" t="s">
        <v>16</v>
      </c>
      <c r="G166" s="49" t="n">
        <v>4</v>
      </c>
      <c r="H166" s="0" t="n">
        <v>0</v>
      </c>
      <c r="I166" s="51" t="s">
        <v>2694</v>
      </c>
      <c r="J166" s="49" t="s">
        <v>2687</v>
      </c>
      <c r="K166" s="52" t="n">
        <v>47811</v>
      </c>
      <c r="M166" s="51" t="s">
        <v>2690</v>
      </c>
      <c r="N166" s="49" t="n">
        <v>4</v>
      </c>
      <c r="O166" s="53" t="n">
        <v>46056.5444328704</v>
      </c>
      <c r="P166" s="53" t="n">
        <v>46056.7047569445</v>
      </c>
      <c r="Q166" s="0" t="n">
        <v>46056.5444328704</v>
      </c>
      <c r="R166" s="0" t="n">
        <v>0</v>
      </c>
      <c r="S166" s="51" t="s">
        <v>2380</v>
      </c>
      <c r="T166" s="51" t="s">
        <v>2380</v>
      </c>
      <c r="U166" s="51" t="s">
        <v>2500</v>
      </c>
      <c r="V166" s="51" t="s">
        <v>2142</v>
      </c>
    </row>
    <row r="167" customFormat="false" ht="14.25" hidden="false" customHeight="false" outlineLevel="0" collapsed="false">
      <c r="A167" s="49" t="s">
        <v>2137</v>
      </c>
      <c r="B167" s="49" t="s">
        <v>14</v>
      </c>
      <c r="C167" s="49" t="s">
        <v>639</v>
      </c>
      <c r="D167" s="49" t="s">
        <v>2441</v>
      </c>
      <c r="E167" s="49" t="s">
        <v>2500</v>
      </c>
      <c r="F167" s="49" t="s">
        <v>16</v>
      </c>
      <c r="G167" s="49" t="n">
        <v>4</v>
      </c>
      <c r="H167" s="0" t="n">
        <v>0</v>
      </c>
      <c r="I167" s="51" t="s">
        <v>2695</v>
      </c>
      <c r="J167" s="49" t="s">
        <v>2687</v>
      </c>
      <c r="K167" s="52" t="n">
        <v>47811</v>
      </c>
      <c r="M167" s="51" t="s">
        <v>2690</v>
      </c>
      <c r="N167" s="0" t="n">
        <v>4</v>
      </c>
      <c r="O167" s="53" t="n">
        <v>46056.5446064815</v>
      </c>
      <c r="P167" s="53" t="n">
        <v>46056.7047222222</v>
      </c>
      <c r="Q167" s="53" t="n">
        <v>46056.5446064815</v>
      </c>
      <c r="R167" s="0" t="n">
        <v>0</v>
      </c>
      <c r="S167" s="51" t="s">
        <v>2380</v>
      </c>
      <c r="T167" s="51" t="s">
        <v>2380</v>
      </c>
      <c r="U167" s="51" t="s">
        <v>2500</v>
      </c>
      <c r="V167" s="51" t="s">
        <v>2142</v>
      </c>
      <c r="W167" s="51"/>
      <c r="X167" s="51"/>
    </row>
    <row r="168" customFormat="false" ht="14.25" hidden="false" customHeight="false" outlineLevel="0" collapsed="false">
      <c r="A168" s="49" t="s">
        <v>2137</v>
      </c>
      <c r="B168" s="49" t="s">
        <v>14</v>
      </c>
      <c r="C168" s="49" t="s">
        <v>638</v>
      </c>
      <c r="D168" s="49" t="s">
        <v>2441</v>
      </c>
      <c r="E168" s="49" t="s">
        <v>2500</v>
      </c>
      <c r="F168" s="49" t="s">
        <v>16</v>
      </c>
      <c r="G168" s="49" t="n">
        <v>4</v>
      </c>
      <c r="H168" s="0" t="n">
        <v>0</v>
      </c>
      <c r="I168" s="51" t="s">
        <v>2696</v>
      </c>
      <c r="J168" s="49" t="s">
        <v>2687</v>
      </c>
      <c r="K168" s="52" t="n">
        <v>47811</v>
      </c>
      <c r="M168" s="51" t="s">
        <v>2690</v>
      </c>
      <c r="N168" s="0" t="n">
        <v>4</v>
      </c>
      <c r="O168" s="53" t="n">
        <v>46056.5451967593</v>
      </c>
      <c r="P168" s="53" t="n">
        <v>46056.6764351852</v>
      </c>
      <c r="Q168" s="53" t="n">
        <v>46056.5451967593</v>
      </c>
      <c r="R168" s="0" t="n">
        <v>0</v>
      </c>
      <c r="S168" s="51" t="s">
        <v>2380</v>
      </c>
      <c r="T168" s="51" t="s">
        <v>2380</v>
      </c>
      <c r="U168" s="51" t="s">
        <v>2500</v>
      </c>
      <c r="V168" s="51" t="s">
        <v>2142</v>
      </c>
      <c r="W168" s="51"/>
      <c r="X168" s="51"/>
    </row>
    <row r="169" customFormat="false" ht="14.25" hidden="false" customHeight="false" outlineLevel="0" collapsed="false">
      <c r="A169" s="49" t="s">
        <v>2137</v>
      </c>
      <c r="B169" s="49" t="s">
        <v>14</v>
      </c>
      <c r="C169" s="49" t="s">
        <v>637</v>
      </c>
      <c r="D169" s="49" t="s">
        <v>2441</v>
      </c>
      <c r="E169" s="49" t="s">
        <v>2500</v>
      </c>
      <c r="F169" s="49" t="s">
        <v>16</v>
      </c>
      <c r="G169" s="49" t="n">
        <v>4</v>
      </c>
      <c r="H169" s="0" t="n">
        <v>0</v>
      </c>
      <c r="I169" s="51" t="s">
        <v>2697</v>
      </c>
      <c r="J169" s="49" t="s">
        <v>2687</v>
      </c>
      <c r="K169" s="52" t="n">
        <v>47811</v>
      </c>
      <c r="M169" s="51" t="s">
        <v>2690</v>
      </c>
      <c r="N169" s="0" t="n">
        <v>4</v>
      </c>
      <c r="O169" s="53" t="n">
        <v>46056.545462963</v>
      </c>
      <c r="P169" s="53" t="n">
        <v>46056.6764814815</v>
      </c>
      <c r="Q169" s="53" t="n">
        <v>46056.545462963</v>
      </c>
      <c r="R169" s="0" t="n">
        <v>0</v>
      </c>
      <c r="S169" s="51" t="s">
        <v>2380</v>
      </c>
      <c r="T169" s="51" t="s">
        <v>2380</v>
      </c>
      <c r="U169" s="51" t="s">
        <v>2500</v>
      </c>
      <c r="V169" s="51" t="s">
        <v>2142</v>
      </c>
      <c r="W169" s="51"/>
      <c r="X169" s="51"/>
    </row>
    <row r="170" customFormat="false" ht="14.25" hidden="false" customHeight="false" outlineLevel="0" collapsed="false">
      <c r="A170" s="49" t="s">
        <v>2137</v>
      </c>
      <c r="B170" s="49" t="s">
        <v>14</v>
      </c>
      <c r="C170" s="49" t="s">
        <v>636</v>
      </c>
      <c r="D170" s="49" t="s">
        <v>2441</v>
      </c>
      <c r="E170" s="49" t="s">
        <v>2500</v>
      </c>
      <c r="F170" s="49" t="s">
        <v>16</v>
      </c>
      <c r="G170" s="49" t="n">
        <v>4</v>
      </c>
      <c r="H170" s="0" t="n">
        <v>0</v>
      </c>
      <c r="I170" s="51" t="s">
        <v>2698</v>
      </c>
      <c r="J170" s="49" t="s">
        <v>2687</v>
      </c>
      <c r="K170" s="52" t="n">
        <v>47811</v>
      </c>
      <c r="M170" s="51" t="s">
        <v>2690</v>
      </c>
      <c r="N170" s="0" t="n">
        <v>4</v>
      </c>
      <c r="O170" s="53" t="n">
        <v>46056.5455671296</v>
      </c>
      <c r="P170" s="53" t="n">
        <v>46056.6763657407</v>
      </c>
      <c r="Q170" s="53" t="n">
        <v>46056.5455671296</v>
      </c>
      <c r="R170" s="0" t="n">
        <v>0</v>
      </c>
      <c r="S170" s="51" t="s">
        <v>2380</v>
      </c>
      <c r="T170" s="51" t="s">
        <v>2380</v>
      </c>
      <c r="U170" s="51" t="s">
        <v>2500</v>
      </c>
      <c r="V170" s="51" t="s">
        <v>2142</v>
      </c>
      <c r="X170" s="51"/>
    </row>
    <row r="171" customFormat="false" ht="14.25" hidden="true" customHeight="false" outlineLevel="0" collapsed="false">
      <c r="A171" s="49" t="s">
        <v>2137</v>
      </c>
      <c r="B171" s="49" t="s">
        <v>14</v>
      </c>
      <c r="C171" s="49" t="s">
        <v>41</v>
      </c>
      <c r="D171" s="49" t="s">
        <v>2441</v>
      </c>
      <c r="E171" s="49" t="s">
        <v>2500</v>
      </c>
      <c r="F171" s="49" t="s">
        <v>16</v>
      </c>
      <c r="G171" s="49" t="n">
        <v>4</v>
      </c>
      <c r="H171" s="0" t="n">
        <v>0</v>
      </c>
      <c r="I171" s="51" t="s">
        <v>2699</v>
      </c>
      <c r="J171" s="49" t="s">
        <v>2687</v>
      </c>
      <c r="K171" s="52" t="n">
        <v>47811</v>
      </c>
      <c r="M171" s="51" t="s">
        <v>2613</v>
      </c>
      <c r="N171" s="49" t="n">
        <v>4</v>
      </c>
      <c r="O171" s="53" t="n">
        <v>46049.5044907407</v>
      </c>
      <c r="P171" s="53" t="n">
        <v>46052.6644907407</v>
      </c>
      <c r="Q171" s="53" t="n">
        <v>46049.5044907407</v>
      </c>
      <c r="R171" s="0" t="n">
        <v>0</v>
      </c>
      <c r="S171" s="51" t="s">
        <v>2380</v>
      </c>
      <c r="T171" s="51" t="s">
        <v>2380</v>
      </c>
      <c r="U171" s="51" t="s">
        <v>2500</v>
      </c>
      <c r="V171" s="51" t="s">
        <v>2142</v>
      </c>
      <c r="W171" s="51" t="s">
        <v>2700</v>
      </c>
      <c r="X171" s="51"/>
    </row>
    <row r="172" customFormat="false" ht="14.25" hidden="false" customHeight="false" outlineLevel="0" collapsed="false">
      <c r="A172" s="49" t="s">
        <v>2137</v>
      </c>
      <c r="B172" s="49" t="s">
        <v>14</v>
      </c>
      <c r="C172" s="49" t="s">
        <v>39</v>
      </c>
      <c r="D172" s="49" t="s">
        <v>2441</v>
      </c>
      <c r="E172" s="49" t="s">
        <v>2500</v>
      </c>
      <c r="F172" s="49" t="s">
        <v>16</v>
      </c>
      <c r="G172" s="49" t="n">
        <v>4</v>
      </c>
      <c r="H172" s="0" t="n">
        <v>0</v>
      </c>
      <c r="I172" s="51" t="s">
        <v>2701</v>
      </c>
      <c r="J172" s="49" t="s">
        <v>2687</v>
      </c>
      <c r="K172" s="52" t="n">
        <v>47811</v>
      </c>
      <c r="M172" s="51" t="s">
        <v>2613</v>
      </c>
      <c r="N172" s="0" t="n">
        <v>4</v>
      </c>
      <c r="O172" s="53" t="n">
        <v>46049.5045601852</v>
      </c>
      <c r="P172" s="53" t="n">
        <v>46052.6646180556</v>
      </c>
      <c r="Q172" s="53" t="n">
        <v>46049.5045601852</v>
      </c>
      <c r="R172" s="0" t="n">
        <v>0</v>
      </c>
      <c r="S172" s="51" t="s">
        <v>2380</v>
      </c>
      <c r="T172" s="51" t="s">
        <v>2380</v>
      </c>
      <c r="U172" s="51" t="s">
        <v>2500</v>
      </c>
      <c r="V172" s="51" t="s">
        <v>2142</v>
      </c>
      <c r="W172" s="51" t="s">
        <v>2702</v>
      </c>
      <c r="X172" s="51"/>
    </row>
    <row r="173" customFormat="false" ht="14.25" hidden="false" customHeight="false" outlineLevel="0" collapsed="false">
      <c r="A173" s="49" t="s">
        <v>2137</v>
      </c>
      <c r="B173" s="49" t="s">
        <v>14</v>
      </c>
      <c r="C173" s="49" t="s">
        <v>38</v>
      </c>
      <c r="D173" s="49" t="s">
        <v>2441</v>
      </c>
      <c r="E173" s="49" t="s">
        <v>2500</v>
      </c>
      <c r="F173" s="49" t="s">
        <v>16</v>
      </c>
      <c r="G173" s="49" t="n">
        <v>4</v>
      </c>
      <c r="H173" s="0" t="n">
        <v>0</v>
      </c>
      <c r="I173" s="51" t="s">
        <v>2703</v>
      </c>
      <c r="J173" s="49" t="s">
        <v>2687</v>
      </c>
      <c r="K173" s="52" t="n">
        <v>47811</v>
      </c>
      <c r="M173" s="51" t="s">
        <v>2613</v>
      </c>
      <c r="N173" s="0" t="n">
        <v>4</v>
      </c>
      <c r="O173" s="53" t="n">
        <v>46049.5045949074</v>
      </c>
      <c r="P173" s="53" t="n">
        <v>46052.6636342593</v>
      </c>
      <c r="Q173" s="0" t="n">
        <v>46049.5045949074</v>
      </c>
      <c r="R173" s="0" t="n">
        <v>0</v>
      </c>
      <c r="S173" s="51" t="s">
        <v>2380</v>
      </c>
      <c r="T173" s="51" t="s">
        <v>2380</v>
      </c>
      <c r="U173" s="51" t="s">
        <v>2500</v>
      </c>
      <c r="V173" s="51" t="s">
        <v>2142</v>
      </c>
      <c r="W173" s="51" t="s">
        <v>2704</v>
      </c>
    </row>
    <row r="174" customFormat="false" ht="14.25" hidden="false" customHeight="false" outlineLevel="0" collapsed="false">
      <c r="A174" s="49" t="s">
        <v>2137</v>
      </c>
      <c r="B174" s="49" t="s">
        <v>14</v>
      </c>
      <c r="C174" s="49" t="s">
        <v>36</v>
      </c>
      <c r="D174" s="49" t="s">
        <v>2441</v>
      </c>
      <c r="E174" s="49" t="s">
        <v>2500</v>
      </c>
      <c r="F174" s="49" t="s">
        <v>16</v>
      </c>
      <c r="G174" s="49" t="n">
        <v>4</v>
      </c>
      <c r="H174" s="0" t="n">
        <v>0</v>
      </c>
      <c r="I174" s="51" t="s">
        <v>2705</v>
      </c>
      <c r="J174" s="49" t="s">
        <v>2687</v>
      </c>
      <c r="K174" s="52" t="n">
        <v>47811</v>
      </c>
      <c r="M174" s="51" t="s">
        <v>2613</v>
      </c>
      <c r="N174" s="0" t="n">
        <v>4</v>
      </c>
      <c r="O174" s="53" t="n">
        <v>46049.5046643519</v>
      </c>
      <c r="P174" s="53" t="n">
        <v>46052.666724537</v>
      </c>
      <c r="Q174" s="0" t="n">
        <v>46049.5046643519</v>
      </c>
      <c r="R174" s="0" t="n">
        <v>0</v>
      </c>
      <c r="S174" s="51" t="s">
        <v>2380</v>
      </c>
      <c r="T174" s="51" t="s">
        <v>2380</v>
      </c>
      <c r="U174" s="51" t="s">
        <v>2500</v>
      </c>
      <c r="V174" s="51" t="s">
        <v>2142</v>
      </c>
      <c r="W174" s="51" t="s">
        <v>2706</v>
      </c>
    </row>
    <row r="175" customFormat="false" ht="14.25" hidden="false" customHeight="false" outlineLevel="0" collapsed="false">
      <c r="A175" s="49" t="s">
        <v>2137</v>
      </c>
      <c r="B175" s="49" t="s">
        <v>14</v>
      </c>
      <c r="C175" s="49" t="s">
        <v>34</v>
      </c>
      <c r="D175" s="49" t="s">
        <v>2441</v>
      </c>
      <c r="E175" s="49" t="s">
        <v>2500</v>
      </c>
      <c r="F175" s="49" t="s">
        <v>16</v>
      </c>
      <c r="G175" s="49" t="n">
        <v>4</v>
      </c>
      <c r="H175" s="0" t="n">
        <v>0</v>
      </c>
      <c r="I175" s="51" t="s">
        <v>2707</v>
      </c>
      <c r="J175" s="49" t="s">
        <v>2687</v>
      </c>
      <c r="K175" s="52" t="n">
        <v>47811</v>
      </c>
      <c r="M175" s="51" t="s">
        <v>2613</v>
      </c>
      <c r="N175" s="0" t="n">
        <v>4</v>
      </c>
      <c r="O175" s="53" t="n">
        <v>46049.5047337963</v>
      </c>
      <c r="P175" s="53" t="n">
        <v>46052.6663425926</v>
      </c>
      <c r="Q175" s="53" t="n">
        <v>46049.5047337963</v>
      </c>
      <c r="R175" s="0" t="n">
        <v>0</v>
      </c>
      <c r="S175" s="51" t="s">
        <v>2380</v>
      </c>
      <c r="T175" s="51" t="s">
        <v>2380</v>
      </c>
      <c r="U175" s="51" t="s">
        <v>2500</v>
      </c>
      <c r="V175" s="51" t="s">
        <v>2142</v>
      </c>
      <c r="W175" s="51" t="s">
        <v>2708</v>
      </c>
      <c r="X175" s="51"/>
    </row>
    <row r="176" customFormat="false" ht="14.25" hidden="false" customHeight="false" outlineLevel="0" collapsed="false">
      <c r="A176" s="49" t="s">
        <v>2137</v>
      </c>
      <c r="B176" s="49" t="s">
        <v>14</v>
      </c>
      <c r="C176" s="49" t="s">
        <v>30</v>
      </c>
      <c r="D176" s="49" t="s">
        <v>2441</v>
      </c>
      <c r="E176" s="49" t="s">
        <v>2500</v>
      </c>
      <c r="F176" s="49" t="s">
        <v>16</v>
      </c>
      <c r="G176" s="49" t="n">
        <v>4</v>
      </c>
      <c r="H176" s="0" t="n">
        <v>0</v>
      </c>
      <c r="I176" s="51" t="s">
        <v>2709</v>
      </c>
      <c r="J176" s="49" t="s">
        <v>2687</v>
      </c>
      <c r="K176" s="52" t="n">
        <v>47811</v>
      </c>
      <c r="M176" s="51" t="s">
        <v>2613</v>
      </c>
      <c r="N176" s="0" t="n">
        <v>4</v>
      </c>
      <c r="O176" s="53" t="n">
        <v>46049.5049305556</v>
      </c>
      <c r="P176" s="53" t="n">
        <v>46052.6659606482</v>
      </c>
      <c r="Q176" s="53" t="n">
        <v>46049.5049305556</v>
      </c>
      <c r="R176" s="0" t="n">
        <v>0</v>
      </c>
      <c r="S176" s="51" t="s">
        <v>2380</v>
      </c>
      <c r="T176" s="51" t="s">
        <v>2380</v>
      </c>
      <c r="U176" s="51" t="s">
        <v>2500</v>
      </c>
      <c r="V176" s="51" t="s">
        <v>2142</v>
      </c>
      <c r="W176" s="51" t="s">
        <v>2710</v>
      </c>
      <c r="X176" s="51"/>
    </row>
    <row r="177" customFormat="false" ht="14.25" hidden="false" customHeight="false" outlineLevel="0" collapsed="false">
      <c r="A177" s="49" t="s">
        <v>2137</v>
      </c>
      <c r="B177" s="49" t="s">
        <v>14</v>
      </c>
      <c r="C177" s="49" t="s">
        <v>18</v>
      </c>
      <c r="D177" s="49" t="s">
        <v>2441</v>
      </c>
      <c r="E177" s="49" t="s">
        <v>2500</v>
      </c>
      <c r="F177" s="49" t="s">
        <v>16</v>
      </c>
      <c r="G177" s="49" t="n">
        <v>4</v>
      </c>
      <c r="H177" s="0" t="n">
        <v>0</v>
      </c>
      <c r="I177" s="51" t="s">
        <v>2711</v>
      </c>
      <c r="J177" s="49" t="s">
        <v>2687</v>
      </c>
      <c r="K177" s="52" t="n">
        <v>47811</v>
      </c>
      <c r="M177" s="51" t="s">
        <v>2613</v>
      </c>
      <c r="N177" s="0" t="n">
        <v>4</v>
      </c>
      <c r="O177" s="53" t="n">
        <v>46049.5053819444</v>
      </c>
      <c r="P177" s="53" t="n">
        <v>46052.6665740741</v>
      </c>
      <c r="Q177" s="53" t="n">
        <v>46049.5053819444</v>
      </c>
      <c r="R177" s="0" t="n">
        <v>0</v>
      </c>
      <c r="S177" s="51" t="s">
        <v>2380</v>
      </c>
      <c r="T177" s="51" t="s">
        <v>2380</v>
      </c>
      <c r="U177" s="51" t="s">
        <v>2500</v>
      </c>
      <c r="V177" s="51" t="s">
        <v>2142</v>
      </c>
      <c r="W177" s="51" t="s">
        <v>2712</v>
      </c>
      <c r="X177" s="51"/>
    </row>
    <row r="178" customFormat="false" ht="14.25" hidden="false" customHeight="false" outlineLevel="0" collapsed="false">
      <c r="A178" s="49" t="s">
        <v>2137</v>
      </c>
      <c r="B178" s="49" t="s">
        <v>14</v>
      </c>
      <c r="C178" s="49" t="s">
        <v>29</v>
      </c>
      <c r="D178" s="49" t="s">
        <v>2441</v>
      </c>
      <c r="E178" s="49" t="s">
        <v>2500</v>
      </c>
      <c r="F178" s="49" t="s">
        <v>16</v>
      </c>
      <c r="G178" s="49" t="n">
        <v>4</v>
      </c>
      <c r="H178" s="0" t="n">
        <v>0</v>
      </c>
      <c r="I178" s="51" t="s">
        <v>2713</v>
      </c>
      <c r="J178" s="49" t="s">
        <v>2687</v>
      </c>
      <c r="K178" s="52" t="n">
        <v>47811</v>
      </c>
      <c r="M178" s="51" t="s">
        <v>2613</v>
      </c>
      <c r="N178" s="0" t="n">
        <v>4</v>
      </c>
      <c r="O178" s="53" t="n">
        <v>46049.5049884259</v>
      </c>
      <c r="P178" s="53" t="n">
        <v>46052.6659837963</v>
      </c>
      <c r="Q178" s="53" t="n">
        <v>46049.5049884259</v>
      </c>
      <c r="R178" s="0" t="n">
        <v>0</v>
      </c>
      <c r="S178" s="51" t="s">
        <v>2380</v>
      </c>
      <c r="T178" s="51" t="s">
        <v>2380</v>
      </c>
      <c r="U178" s="51" t="s">
        <v>2500</v>
      </c>
      <c r="V178" s="51" t="s">
        <v>2142</v>
      </c>
      <c r="W178" s="51" t="s">
        <v>2714</v>
      </c>
      <c r="X178" s="51"/>
    </row>
    <row r="179" customFormat="false" ht="14.25" hidden="false" customHeight="false" outlineLevel="0" collapsed="false">
      <c r="A179" s="49" t="s">
        <v>2137</v>
      </c>
      <c r="B179" s="49" t="s">
        <v>14</v>
      </c>
      <c r="C179" s="49" t="s">
        <v>96</v>
      </c>
      <c r="D179" s="49" t="s">
        <v>2441</v>
      </c>
      <c r="E179" s="49" t="s">
        <v>2500</v>
      </c>
      <c r="F179" s="49" t="s">
        <v>16</v>
      </c>
      <c r="G179" s="49" t="n">
        <v>4</v>
      </c>
      <c r="H179" s="0" t="n">
        <v>0</v>
      </c>
      <c r="I179" s="51" t="s">
        <v>2715</v>
      </c>
      <c r="J179" s="49" t="s">
        <v>2687</v>
      </c>
      <c r="K179" s="52" t="n">
        <v>47811</v>
      </c>
      <c r="M179" s="51" t="s">
        <v>2582</v>
      </c>
      <c r="N179" s="0" t="n">
        <v>4</v>
      </c>
      <c r="O179" s="53" t="n">
        <v>46049.4996527778</v>
      </c>
      <c r="P179" s="53" t="n">
        <v>46052.6542361111</v>
      </c>
      <c r="Q179" s="53" t="n">
        <v>46049.4996527778</v>
      </c>
      <c r="R179" s="0" t="n">
        <v>0</v>
      </c>
      <c r="S179" s="51" t="s">
        <v>2380</v>
      </c>
      <c r="T179" s="51" t="s">
        <v>2380</v>
      </c>
      <c r="U179" s="51" t="s">
        <v>2500</v>
      </c>
      <c r="V179" s="51" t="s">
        <v>2142</v>
      </c>
      <c r="W179" s="51" t="s">
        <v>2716</v>
      </c>
      <c r="X179" s="51"/>
    </row>
    <row r="180" customFormat="false" ht="14.25" hidden="false" customHeight="false" outlineLevel="0" collapsed="false">
      <c r="A180" s="49" t="s">
        <v>2137</v>
      </c>
      <c r="B180" s="49" t="s">
        <v>14</v>
      </c>
      <c r="C180" s="49" t="s">
        <v>99</v>
      </c>
      <c r="D180" s="49" t="s">
        <v>2441</v>
      </c>
      <c r="E180" s="49" t="s">
        <v>2500</v>
      </c>
      <c r="F180" s="49" t="s">
        <v>16</v>
      </c>
      <c r="G180" s="49" t="n">
        <v>4</v>
      </c>
      <c r="H180" s="0" t="n">
        <v>0</v>
      </c>
      <c r="I180" s="51" t="s">
        <v>2717</v>
      </c>
      <c r="J180" s="49" t="s">
        <v>2687</v>
      </c>
      <c r="K180" s="52" t="n">
        <v>47811</v>
      </c>
      <c r="M180" s="51" t="s">
        <v>2582</v>
      </c>
      <c r="N180" s="0" t="n">
        <v>4</v>
      </c>
      <c r="O180" s="53" t="n">
        <v>46049.4990046296</v>
      </c>
      <c r="P180" s="53" t="n">
        <v>46052.6669097222</v>
      </c>
      <c r="Q180" s="53" t="n">
        <v>46049.4990046296</v>
      </c>
      <c r="R180" s="0" t="n">
        <v>0</v>
      </c>
      <c r="S180" s="51" t="s">
        <v>2380</v>
      </c>
      <c r="T180" s="51" t="s">
        <v>2380</v>
      </c>
      <c r="U180" s="51" t="s">
        <v>2500</v>
      </c>
      <c r="V180" s="51" t="s">
        <v>2142</v>
      </c>
      <c r="W180" s="51" t="s">
        <v>2718</v>
      </c>
      <c r="X180" s="51"/>
    </row>
    <row r="181" customFormat="false" ht="14.25" hidden="false" customHeight="false" outlineLevel="0" collapsed="false">
      <c r="A181" s="49" t="s">
        <v>2137</v>
      </c>
      <c r="B181" s="49" t="s">
        <v>14</v>
      </c>
      <c r="C181" s="49" t="s">
        <v>101</v>
      </c>
      <c r="D181" s="49" t="s">
        <v>2441</v>
      </c>
      <c r="E181" s="49" t="s">
        <v>2500</v>
      </c>
      <c r="F181" s="49" t="s">
        <v>16</v>
      </c>
      <c r="G181" s="49" t="n">
        <v>4</v>
      </c>
      <c r="H181" s="0" t="n">
        <v>0</v>
      </c>
      <c r="I181" s="51" t="s">
        <v>2719</v>
      </c>
      <c r="J181" s="49" t="s">
        <v>2687</v>
      </c>
      <c r="K181" s="52" t="n">
        <v>47811</v>
      </c>
      <c r="M181" s="51" t="s">
        <v>2582</v>
      </c>
      <c r="N181" s="0" t="n">
        <v>4</v>
      </c>
      <c r="O181" s="53" t="n">
        <v>46049.4986458333</v>
      </c>
      <c r="P181" s="53" t="n">
        <v>46052.6666435185</v>
      </c>
      <c r="Q181" s="53" t="n">
        <v>46049.4986458333</v>
      </c>
      <c r="R181" s="0" t="n">
        <v>0</v>
      </c>
      <c r="S181" s="51" t="s">
        <v>2380</v>
      </c>
      <c r="T181" s="51" t="s">
        <v>2380</v>
      </c>
      <c r="U181" s="51" t="s">
        <v>2500</v>
      </c>
      <c r="V181" s="51" t="s">
        <v>2142</v>
      </c>
      <c r="W181" s="51" t="s">
        <v>2720</v>
      </c>
      <c r="X181" s="51"/>
    </row>
    <row r="182" customFormat="false" ht="14.25" hidden="false" customHeight="false" outlineLevel="0" collapsed="false">
      <c r="A182" s="49" t="s">
        <v>2137</v>
      </c>
      <c r="B182" s="49" t="s">
        <v>14</v>
      </c>
      <c r="C182" s="49" t="s">
        <v>103</v>
      </c>
      <c r="D182" s="49" t="s">
        <v>2441</v>
      </c>
      <c r="E182" s="49" t="s">
        <v>2500</v>
      </c>
      <c r="F182" s="49" t="s">
        <v>16</v>
      </c>
      <c r="G182" s="49" t="n">
        <v>4</v>
      </c>
      <c r="H182" s="0" t="n">
        <v>0</v>
      </c>
      <c r="I182" s="51" t="s">
        <v>2721</v>
      </c>
      <c r="J182" s="49" t="s">
        <v>2687</v>
      </c>
      <c r="K182" s="52" t="n">
        <v>47811</v>
      </c>
      <c r="M182" s="51" t="s">
        <v>2582</v>
      </c>
      <c r="N182" s="0" t="n">
        <v>4</v>
      </c>
      <c r="O182" s="53" t="n">
        <v>46049.498287037</v>
      </c>
      <c r="P182" s="53" t="n">
        <v>46052.6653356482</v>
      </c>
      <c r="Q182" s="0" t="n">
        <v>46049.498287037</v>
      </c>
      <c r="R182" s="0" t="n">
        <v>0</v>
      </c>
      <c r="S182" s="51" t="s">
        <v>2380</v>
      </c>
      <c r="T182" s="51" t="s">
        <v>2380</v>
      </c>
      <c r="U182" s="51" t="s">
        <v>2500</v>
      </c>
      <c r="V182" s="51" t="s">
        <v>2142</v>
      </c>
      <c r="W182" s="51" t="s">
        <v>2722</v>
      </c>
    </row>
    <row r="183" customFormat="false" ht="14.25" hidden="false" customHeight="false" outlineLevel="0" collapsed="false">
      <c r="A183" s="49" t="s">
        <v>2137</v>
      </c>
      <c r="B183" s="49" t="s">
        <v>14</v>
      </c>
      <c r="C183" s="49" t="s">
        <v>104</v>
      </c>
      <c r="D183" s="49" t="s">
        <v>2441</v>
      </c>
      <c r="E183" s="49" t="s">
        <v>2500</v>
      </c>
      <c r="F183" s="49" t="s">
        <v>16</v>
      </c>
      <c r="G183" s="49" t="n">
        <v>4</v>
      </c>
      <c r="H183" s="0" t="n">
        <v>0</v>
      </c>
      <c r="I183" s="51" t="s">
        <v>2723</v>
      </c>
      <c r="J183" s="49" t="s">
        <v>2687</v>
      </c>
      <c r="K183" s="52" t="n">
        <v>47811</v>
      </c>
      <c r="M183" s="51" t="s">
        <v>2582</v>
      </c>
      <c r="N183" s="0" t="n">
        <v>4</v>
      </c>
      <c r="O183" s="53" t="n">
        <v>46049.4980902778</v>
      </c>
      <c r="P183" s="53" t="n">
        <v>46052.6654976852</v>
      </c>
      <c r="Q183" s="0" t="n">
        <v>46049.4980902778</v>
      </c>
      <c r="R183" s="0" t="n">
        <v>0</v>
      </c>
      <c r="S183" s="51" t="s">
        <v>2380</v>
      </c>
      <c r="T183" s="51" t="s">
        <v>2380</v>
      </c>
      <c r="U183" s="51" t="s">
        <v>2500</v>
      </c>
      <c r="V183" s="51" t="s">
        <v>2142</v>
      </c>
      <c r="W183" s="51" t="s">
        <v>2724</v>
      </c>
    </row>
    <row r="184" customFormat="false" ht="14.25" hidden="false" customHeight="false" outlineLevel="0" collapsed="false">
      <c r="A184" s="49" t="s">
        <v>2137</v>
      </c>
      <c r="B184" s="49" t="s">
        <v>14</v>
      </c>
      <c r="C184" s="49" t="s">
        <v>105</v>
      </c>
      <c r="D184" s="49" t="s">
        <v>2441</v>
      </c>
      <c r="E184" s="49" t="s">
        <v>2500</v>
      </c>
      <c r="F184" s="49" t="s">
        <v>16</v>
      </c>
      <c r="G184" s="49" t="n">
        <v>4</v>
      </c>
      <c r="H184" s="0" t="n">
        <v>0</v>
      </c>
      <c r="I184" s="51" t="s">
        <v>2725</v>
      </c>
      <c r="J184" s="49" t="s">
        <v>2687</v>
      </c>
      <c r="K184" s="52" t="n">
        <v>47811</v>
      </c>
      <c r="M184" s="51" t="s">
        <v>2582</v>
      </c>
      <c r="N184" s="0" t="n">
        <v>4</v>
      </c>
      <c r="O184" s="53" t="n">
        <v>46049.497662037</v>
      </c>
      <c r="P184" s="53" t="n">
        <v>46052.6655787037</v>
      </c>
      <c r="Q184" s="0" t="n">
        <v>46049.497662037</v>
      </c>
      <c r="R184" s="0" t="n">
        <v>0</v>
      </c>
      <c r="S184" s="51" t="s">
        <v>2380</v>
      </c>
      <c r="T184" s="51" t="s">
        <v>2380</v>
      </c>
      <c r="U184" s="51" t="s">
        <v>2500</v>
      </c>
      <c r="V184" s="51" t="s">
        <v>2142</v>
      </c>
      <c r="W184" s="51" t="s">
        <v>2726</v>
      </c>
    </row>
    <row r="185" customFormat="false" ht="14.25" hidden="false" customHeight="false" outlineLevel="0" collapsed="false">
      <c r="A185" s="49" t="s">
        <v>2137</v>
      </c>
      <c r="B185" s="49" t="s">
        <v>14</v>
      </c>
      <c r="C185" s="49" t="s">
        <v>106</v>
      </c>
      <c r="D185" s="49" t="s">
        <v>2441</v>
      </c>
      <c r="E185" s="49" t="s">
        <v>2500</v>
      </c>
      <c r="F185" s="49" t="s">
        <v>16</v>
      </c>
      <c r="G185" s="49" t="n">
        <v>4</v>
      </c>
      <c r="H185" s="0" t="n">
        <v>0</v>
      </c>
      <c r="I185" s="51" t="s">
        <v>2727</v>
      </c>
      <c r="J185" s="49" t="s">
        <v>2687</v>
      </c>
      <c r="K185" s="52" t="n">
        <v>47811</v>
      </c>
      <c r="M185" s="51" t="s">
        <v>2582</v>
      </c>
      <c r="N185" s="0" t="n">
        <v>4</v>
      </c>
      <c r="O185" s="53" t="n">
        <v>46049.497025463</v>
      </c>
      <c r="P185" s="53" t="n">
        <v>46052.6669328704</v>
      </c>
      <c r="Q185" s="53" t="n">
        <v>46049.497025463</v>
      </c>
      <c r="R185" s="0" t="n">
        <v>0</v>
      </c>
      <c r="S185" s="51" t="s">
        <v>2380</v>
      </c>
      <c r="T185" s="51" t="s">
        <v>2380</v>
      </c>
      <c r="U185" s="51" t="s">
        <v>2500</v>
      </c>
      <c r="V185" s="51" t="s">
        <v>2142</v>
      </c>
      <c r="W185" s="51" t="s">
        <v>2728</v>
      </c>
      <c r="X185" s="51"/>
    </row>
    <row r="186" customFormat="false" ht="14.25" hidden="false" customHeight="false" outlineLevel="0" collapsed="false">
      <c r="A186" s="49" t="s">
        <v>2137</v>
      </c>
      <c r="B186" s="49" t="s">
        <v>14</v>
      </c>
      <c r="C186" s="49" t="s">
        <v>235</v>
      </c>
      <c r="D186" s="49" t="s">
        <v>2441</v>
      </c>
      <c r="E186" s="49" t="s">
        <v>2442</v>
      </c>
      <c r="F186" s="49" t="s">
        <v>221</v>
      </c>
      <c r="G186" s="49" t="n">
        <v>52</v>
      </c>
      <c r="H186" s="0" t="n">
        <v>0</v>
      </c>
      <c r="I186" s="51" t="s">
        <v>2729</v>
      </c>
      <c r="J186" s="49" t="s">
        <v>2730</v>
      </c>
      <c r="K186" s="52" t="n">
        <v>47813</v>
      </c>
      <c r="M186" s="51" t="s">
        <v>2445</v>
      </c>
      <c r="N186" s="0" t="n">
        <v>52</v>
      </c>
      <c r="O186" s="53" t="n">
        <v>46050.4784375</v>
      </c>
      <c r="P186" s="53" t="n">
        <v>46060.6370486111</v>
      </c>
      <c r="Q186" s="53" t="n">
        <v>46050.4784375</v>
      </c>
      <c r="R186" s="0" t="n">
        <v>0</v>
      </c>
      <c r="S186" s="51" t="s">
        <v>2380</v>
      </c>
      <c r="T186" s="51" t="s">
        <v>2380</v>
      </c>
      <c r="U186" s="51" t="s">
        <v>2442</v>
      </c>
      <c r="V186" s="51" t="s">
        <v>2205</v>
      </c>
      <c r="W186" s="51" t="s">
        <v>2731</v>
      </c>
      <c r="X186" s="51"/>
    </row>
    <row r="187" customFormat="false" ht="14.25" hidden="false" customHeight="false" outlineLevel="0" collapsed="false">
      <c r="A187" s="49" t="s">
        <v>2137</v>
      </c>
      <c r="B187" s="49" t="s">
        <v>14</v>
      </c>
      <c r="C187" s="49" t="s">
        <v>1142</v>
      </c>
      <c r="D187" s="49" t="s">
        <v>2441</v>
      </c>
      <c r="E187" s="49" t="s">
        <v>2442</v>
      </c>
      <c r="F187" s="49" t="s">
        <v>221</v>
      </c>
      <c r="G187" s="49" t="n">
        <v>52</v>
      </c>
      <c r="H187" s="0" t="n">
        <v>0</v>
      </c>
      <c r="I187" s="51" t="s">
        <v>2732</v>
      </c>
      <c r="J187" s="49" t="s">
        <v>2730</v>
      </c>
      <c r="K187" s="52" t="n">
        <v>47813</v>
      </c>
      <c r="M187" s="51" t="s">
        <v>2733</v>
      </c>
      <c r="N187" s="0" t="n">
        <v>52</v>
      </c>
      <c r="O187" s="53" t="n">
        <v>46062.4578009259</v>
      </c>
      <c r="P187" s="53" t="n">
        <v>46063.4683333333</v>
      </c>
      <c r="Q187" s="0" t="n">
        <v>46062.4578009259</v>
      </c>
      <c r="R187" s="0" t="n">
        <v>0</v>
      </c>
      <c r="S187" s="51" t="s">
        <v>2398</v>
      </c>
      <c r="T187" s="51" t="s">
        <v>2398</v>
      </c>
      <c r="U187" s="51" t="s">
        <v>2442</v>
      </c>
      <c r="V187" s="51" t="s">
        <v>2205</v>
      </c>
    </row>
    <row r="188" customFormat="false" ht="14.25" hidden="false" customHeight="false" outlineLevel="0" collapsed="false">
      <c r="A188" s="49" t="s">
        <v>2137</v>
      </c>
      <c r="B188" s="49" t="s">
        <v>14</v>
      </c>
      <c r="C188" s="49" t="s">
        <v>243</v>
      </c>
      <c r="D188" s="49" t="s">
        <v>2441</v>
      </c>
      <c r="E188" s="49" t="s">
        <v>2442</v>
      </c>
      <c r="F188" s="49" t="s">
        <v>221</v>
      </c>
      <c r="G188" s="49" t="n">
        <v>52</v>
      </c>
      <c r="H188" s="0" t="n">
        <v>0</v>
      </c>
      <c r="I188" s="51" t="s">
        <v>2734</v>
      </c>
      <c r="J188" s="49" t="s">
        <v>2730</v>
      </c>
      <c r="K188" s="52" t="n">
        <v>47813</v>
      </c>
      <c r="M188" s="51" t="s">
        <v>2445</v>
      </c>
      <c r="N188" s="0" t="n">
        <v>52</v>
      </c>
      <c r="O188" s="53" t="n">
        <v>46050.4737268519</v>
      </c>
      <c r="P188" s="53" t="n">
        <v>46060.6383912037</v>
      </c>
      <c r="Q188" s="0" t="n">
        <v>46050.4737268519</v>
      </c>
      <c r="R188" s="0" t="n">
        <v>0</v>
      </c>
      <c r="S188" s="51" t="s">
        <v>2380</v>
      </c>
      <c r="T188" s="51" t="s">
        <v>2380</v>
      </c>
      <c r="U188" s="51" t="s">
        <v>2442</v>
      </c>
      <c r="V188" s="51" t="s">
        <v>2205</v>
      </c>
      <c r="W188" s="51" t="s">
        <v>2735</v>
      </c>
    </row>
    <row r="189" customFormat="false" ht="14.25" hidden="false" customHeight="false" outlineLevel="0" collapsed="false">
      <c r="A189" s="49" t="s">
        <v>2137</v>
      </c>
      <c r="B189" s="49" t="s">
        <v>14</v>
      </c>
      <c r="C189" s="49" t="s">
        <v>223</v>
      </c>
      <c r="D189" s="49" t="s">
        <v>2441</v>
      </c>
      <c r="E189" s="49" t="s">
        <v>2442</v>
      </c>
      <c r="F189" s="49" t="s">
        <v>221</v>
      </c>
      <c r="G189" s="49" t="n">
        <v>52</v>
      </c>
      <c r="H189" s="0" t="n">
        <v>0</v>
      </c>
      <c r="I189" s="51" t="s">
        <v>2736</v>
      </c>
      <c r="J189" s="49" t="s">
        <v>2730</v>
      </c>
      <c r="K189" s="52" t="n">
        <v>47813</v>
      </c>
      <c r="M189" s="51" t="s">
        <v>2445</v>
      </c>
      <c r="N189" s="0" t="n">
        <v>52</v>
      </c>
      <c r="O189" s="53" t="n">
        <v>46050.4744444444</v>
      </c>
      <c r="P189" s="53" t="n">
        <v>46060.6406018519</v>
      </c>
      <c r="Q189" s="53" t="n">
        <v>46050.4744444444</v>
      </c>
      <c r="R189" s="0" t="n">
        <v>0</v>
      </c>
      <c r="S189" s="51" t="s">
        <v>2380</v>
      </c>
      <c r="T189" s="51" t="s">
        <v>2380</v>
      </c>
      <c r="U189" s="51" t="s">
        <v>2442</v>
      </c>
      <c r="V189" s="51" t="s">
        <v>2205</v>
      </c>
      <c r="W189" s="51" t="s">
        <v>2737</v>
      </c>
      <c r="X189" s="51"/>
    </row>
    <row r="190" customFormat="false" ht="14.25" hidden="false" customHeight="false" outlineLevel="0" collapsed="false">
      <c r="A190" s="49" t="s">
        <v>2137</v>
      </c>
      <c r="B190" s="49" t="s">
        <v>14</v>
      </c>
      <c r="C190" s="49" t="s">
        <v>220</v>
      </c>
      <c r="D190" s="49" t="s">
        <v>2441</v>
      </c>
      <c r="E190" s="49" t="s">
        <v>2442</v>
      </c>
      <c r="F190" s="49" t="s">
        <v>221</v>
      </c>
      <c r="G190" s="49" t="n">
        <v>52</v>
      </c>
      <c r="H190" s="0" t="n">
        <v>0</v>
      </c>
      <c r="I190" s="51" t="s">
        <v>2738</v>
      </c>
      <c r="J190" s="49" t="s">
        <v>2730</v>
      </c>
      <c r="K190" s="52" t="n">
        <v>47813</v>
      </c>
      <c r="M190" s="51" t="s">
        <v>2445</v>
      </c>
      <c r="N190" s="0" t="n">
        <v>52</v>
      </c>
      <c r="O190" s="53" t="n">
        <v>46050.4762731481</v>
      </c>
      <c r="P190" s="53" t="n">
        <v>46061.4019675926</v>
      </c>
      <c r="Q190" s="0" t="n">
        <v>46050.4762731481</v>
      </c>
      <c r="R190" s="0" t="n">
        <v>0</v>
      </c>
      <c r="S190" s="51" t="s">
        <v>2380</v>
      </c>
      <c r="T190" s="51" t="s">
        <v>2380</v>
      </c>
      <c r="U190" s="51" t="s">
        <v>2442</v>
      </c>
      <c r="V190" s="51" t="s">
        <v>2205</v>
      </c>
      <c r="W190" s="51" t="s">
        <v>2739</v>
      </c>
    </row>
    <row r="191" customFormat="false" ht="14.25" hidden="true" customHeight="false" outlineLevel="0" collapsed="false">
      <c r="A191" s="49" t="s">
        <v>2137</v>
      </c>
      <c r="B191" s="49" t="s">
        <v>14</v>
      </c>
      <c r="C191" s="49" t="s">
        <v>241</v>
      </c>
      <c r="D191" s="49" t="s">
        <v>2441</v>
      </c>
      <c r="E191" s="49" t="s">
        <v>2442</v>
      </c>
      <c r="F191" s="49" t="s">
        <v>221</v>
      </c>
      <c r="G191" s="49" t="n">
        <v>52</v>
      </c>
      <c r="H191" s="0" t="n">
        <v>0</v>
      </c>
      <c r="I191" s="51" t="s">
        <v>2740</v>
      </c>
      <c r="J191" s="49" t="s">
        <v>2730</v>
      </c>
      <c r="K191" s="52" t="n">
        <v>47813</v>
      </c>
      <c r="M191" s="51" t="s">
        <v>2445</v>
      </c>
      <c r="N191" s="49" t="n">
        <v>52</v>
      </c>
      <c r="O191" s="53" t="n">
        <v>46050.4774768519</v>
      </c>
      <c r="P191" s="53" t="n">
        <v>46061.3980439815</v>
      </c>
      <c r="Q191" s="0" t="n">
        <v>46050.4774768519</v>
      </c>
      <c r="R191" s="0" t="n">
        <v>0</v>
      </c>
      <c r="S191" s="51" t="s">
        <v>2380</v>
      </c>
      <c r="T191" s="51" t="s">
        <v>2380</v>
      </c>
      <c r="U191" s="51" t="s">
        <v>2442</v>
      </c>
      <c r="V191" s="51" t="s">
        <v>2205</v>
      </c>
      <c r="W191" s="51" t="s">
        <v>2741</v>
      </c>
    </row>
    <row r="192" customFormat="false" ht="14.25" hidden="false" customHeight="false" outlineLevel="0" collapsed="false">
      <c r="A192" s="49" t="s">
        <v>2137</v>
      </c>
      <c r="B192" s="49" t="s">
        <v>14</v>
      </c>
      <c r="C192" s="49" t="s">
        <v>240</v>
      </c>
      <c r="D192" s="49" t="s">
        <v>2441</v>
      </c>
      <c r="E192" s="49" t="s">
        <v>2442</v>
      </c>
      <c r="F192" s="49" t="s">
        <v>221</v>
      </c>
      <c r="G192" s="49" t="n">
        <v>52</v>
      </c>
      <c r="H192" s="0" t="n">
        <v>0</v>
      </c>
      <c r="I192" s="51" t="s">
        <v>2742</v>
      </c>
      <c r="J192" s="49" t="s">
        <v>2730</v>
      </c>
      <c r="K192" s="52" t="n">
        <v>47813</v>
      </c>
      <c r="M192" s="51" t="s">
        <v>2445</v>
      </c>
      <c r="N192" s="0" t="n">
        <v>52</v>
      </c>
      <c r="O192" s="53" t="n">
        <v>46050.4776041667</v>
      </c>
      <c r="P192" s="53" t="n">
        <v>46060.6140046296</v>
      </c>
      <c r="Q192" s="53" t="n">
        <v>46050.4776041667</v>
      </c>
      <c r="R192" s="0" t="n">
        <v>0</v>
      </c>
      <c r="S192" s="51" t="s">
        <v>2380</v>
      </c>
      <c r="T192" s="51" t="s">
        <v>2380</v>
      </c>
      <c r="U192" s="51" t="s">
        <v>2442</v>
      </c>
      <c r="V192" s="51" t="s">
        <v>2205</v>
      </c>
      <c r="W192" s="51" t="s">
        <v>2194</v>
      </c>
      <c r="X192" s="51"/>
    </row>
    <row r="193" customFormat="false" ht="14.25" hidden="false" customHeight="false" outlineLevel="0" collapsed="false">
      <c r="A193" s="49" t="s">
        <v>2137</v>
      </c>
      <c r="B193" s="49" t="s">
        <v>14</v>
      </c>
      <c r="C193" s="49" t="s">
        <v>239</v>
      </c>
      <c r="D193" s="49" t="s">
        <v>2441</v>
      </c>
      <c r="E193" s="49" t="s">
        <v>2442</v>
      </c>
      <c r="F193" s="49" t="s">
        <v>221</v>
      </c>
      <c r="G193" s="49" t="n">
        <v>52</v>
      </c>
      <c r="H193" s="0" t="n">
        <v>0</v>
      </c>
      <c r="I193" s="51" t="s">
        <v>2743</v>
      </c>
      <c r="J193" s="49" t="s">
        <v>2730</v>
      </c>
      <c r="K193" s="52" t="n">
        <v>47813</v>
      </c>
      <c r="M193" s="51" t="s">
        <v>2445</v>
      </c>
      <c r="N193" s="0" t="n">
        <v>52</v>
      </c>
      <c r="O193" s="53" t="n">
        <v>46050.4776967593</v>
      </c>
      <c r="P193" s="53" t="n">
        <v>46060.6394560185</v>
      </c>
      <c r="Q193" s="53" t="n">
        <v>46050.4776967593</v>
      </c>
      <c r="R193" s="0" t="n">
        <v>0</v>
      </c>
      <c r="S193" s="51" t="s">
        <v>2380</v>
      </c>
      <c r="T193" s="51" t="s">
        <v>2380</v>
      </c>
      <c r="U193" s="51" t="s">
        <v>2442</v>
      </c>
      <c r="V193" s="51" t="s">
        <v>2205</v>
      </c>
      <c r="W193" s="51" t="s">
        <v>2744</v>
      </c>
      <c r="X193" s="51"/>
    </row>
    <row r="194" customFormat="false" ht="14.25" hidden="false" customHeight="false" outlineLevel="0" collapsed="false">
      <c r="A194" s="49" t="s">
        <v>2137</v>
      </c>
      <c r="B194" s="49" t="s">
        <v>14</v>
      </c>
      <c r="C194" s="49" t="s">
        <v>238</v>
      </c>
      <c r="D194" s="49" t="s">
        <v>2441</v>
      </c>
      <c r="E194" s="49" t="s">
        <v>2442</v>
      </c>
      <c r="F194" s="49" t="s">
        <v>221</v>
      </c>
      <c r="G194" s="49" t="n">
        <v>52</v>
      </c>
      <c r="H194" s="0" t="n">
        <v>0</v>
      </c>
      <c r="I194" s="51" t="s">
        <v>2745</v>
      </c>
      <c r="J194" s="49" t="s">
        <v>2730</v>
      </c>
      <c r="K194" s="52" t="n">
        <v>47813</v>
      </c>
      <c r="M194" s="51" t="s">
        <v>2445</v>
      </c>
      <c r="N194" s="0" t="n">
        <v>52</v>
      </c>
      <c r="O194" s="53" t="n">
        <v>46050.4779976852</v>
      </c>
      <c r="P194" s="53" t="n">
        <v>46060.6359953704</v>
      </c>
      <c r="Q194" s="53" t="n">
        <v>46050.4779976852</v>
      </c>
      <c r="R194" s="0" t="n">
        <v>0</v>
      </c>
      <c r="S194" s="51" t="s">
        <v>2380</v>
      </c>
      <c r="T194" s="51" t="s">
        <v>2380</v>
      </c>
      <c r="U194" s="51" t="s">
        <v>2442</v>
      </c>
      <c r="V194" s="51" t="s">
        <v>2205</v>
      </c>
      <c r="W194" s="51" t="s">
        <v>2746</v>
      </c>
      <c r="X194" s="51"/>
    </row>
    <row r="195" customFormat="false" ht="14.25" hidden="false" customHeight="false" outlineLevel="0" collapsed="false">
      <c r="A195" s="49" t="s">
        <v>2137</v>
      </c>
      <c r="B195" s="49" t="s">
        <v>14</v>
      </c>
      <c r="C195" s="49" t="s">
        <v>237</v>
      </c>
      <c r="D195" s="49" t="s">
        <v>2441</v>
      </c>
      <c r="E195" s="49" t="s">
        <v>2442</v>
      </c>
      <c r="F195" s="49" t="s">
        <v>221</v>
      </c>
      <c r="G195" s="49" t="n">
        <v>52</v>
      </c>
      <c r="H195" s="0" t="n">
        <v>0</v>
      </c>
      <c r="I195" s="51" t="s">
        <v>2747</v>
      </c>
      <c r="J195" s="49" t="s">
        <v>2730</v>
      </c>
      <c r="K195" s="52" t="n">
        <v>47813</v>
      </c>
      <c r="M195" s="51" t="s">
        <v>2445</v>
      </c>
      <c r="N195" s="0" t="n">
        <v>52</v>
      </c>
      <c r="O195" s="53" t="n">
        <v>46050.4781365741</v>
      </c>
      <c r="P195" s="53" t="n">
        <v>46061.4029282407</v>
      </c>
      <c r="Q195" s="53" t="n">
        <v>46050.4781365741</v>
      </c>
      <c r="R195" s="0" t="n">
        <v>0</v>
      </c>
      <c r="S195" s="51" t="s">
        <v>2380</v>
      </c>
      <c r="T195" s="51" t="s">
        <v>2380</v>
      </c>
      <c r="U195" s="51" t="s">
        <v>2442</v>
      </c>
      <c r="V195" s="51" t="s">
        <v>2205</v>
      </c>
      <c r="W195" s="51" t="s">
        <v>2748</v>
      </c>
      <c r="X195" s="51"/>
    </row>
    <row r="196" customFormat="false" ht="14.25" hidden="false" customHeight="false" outlineLevel="0" collapsed="false">
      <c r="A196" s="49" t="s">
        <v>2137</v>
      </c>
      <c r="B196" s="49" t="s">
        <v>14</v>
      </c>
      <c r="C196" s="49" t="s">
        <v>236</v>
      </c>
      <c r="D196" s="49" t="s">
        <v>2441</v>
      </c>
      <c r="E196" s="49" t="s">
        <v>2442</v>
      </c>
      <c r="F196" s="49" t="s">
        <v>221</v>
      </c>
      <c r="G196" s="49" t="n">
        <v>52</v>
      </c>
      <c r="H196" s="0" t="n">
        <v>0</v>
      </c>
      <c r="I196" s="51" t="s">
        <v>2749</v>
      </c>
      <c r="J196" s="49" t="s">
        <v>2730</v>
      </c>
      <c r="K196" s="52" t="n">
        <v>47813</v>
      </c>
      <c r="M196" s="51" t="s">
        <v>2445</v>
      </c>
      <c r="N196" s="0" t="n">
        <v>52</v>
      </c>
      <c r="O196" s="53" t="n">
        <v>46050.4783217593</v>
      </c>
      <c r="P196" s="53" t="n">
        <v>46061.403599537</v>
      </c>
      <c r="Q196" s="53" t="n">
        <v>46050.4783217593</v>
      </c>
      <c r="R196" s="0" t="n">
        <v>0</v>
      </c>
      <c r="S196" s="51" t="s">
        <v>2380</v>
      </c>
      <c r="T196" s="51" t="s">
        <v>2380</v>
      </c>
      <c r="U196" s="51" t="s">
        <v>2442</v>
      </c>
      <c r="V196" s="51" t="s">
        <v>2205</v>
      </c>
      <c r="W196" s="51" t="s">
        <v>2750</v>
      </c>
      <c r="X196" s="51"/>
    </row>
    <row r="197" customFormat="false" ht="14.25" hidden="false" customHeight="false" outlineLevel="0" collapsed="false">
      <c r="A197" s="49" t="s">
        <v>2137</v>
      </c>
      <c r="B197" s="49" t="s">
        <v>14</v>
      </c>
      <c r="C197" s="49" t="s">
        <v>776</v>
      </c>
      <c r="D197" s="49" t="s">
        <v>2441</v>
      </c>
      <c r="E197" s="49" t="s">
        <v>2531</v>
      </c>
      <c r="F197" s="49" t="s">
        <v>777</v>
      </c>
      <c r="G197" s="49" t="n">
        <v>4</v>
      </c>
      <c r="H197" s="0" t="n">
        <v>0</v>
      </c>
      <c r="I197" s="51" t="s">
        <v>2751</v>
      </c>
      <c r="J197" s="49" t="s">
        <v>2752</v>
      </c>
      <c r="K197" s="52" t="n">
        <v>47818</v>
      </c>
      <c r="M197" s="51" t="s">
        <v>2534</v>
      </c>
      <c r="N197" s="0" t="n">
        <v>4</v>
      </c>
      <c r="O197" s="53" t="n">
        <v>46057.5798032407</v>
      </c>
      <c r="P197" s="53" t="n">
        <v>46057.6368981482</v>
      </c>
      <c r="Q197" s="53" t="n">
        <v>46057.5798032407</v>
      </c>
      <c r="R197" s="0" t="n">
        <v>0</v>
      </c>
      <c r="S197" s="51" t="s">
        <v>2398</v>
      </c>
      <c r="T197" s="51" t="s">
        <v>2398</v>
      </c>
      <c r="U197" s="51" t="s">
        <v>2531</v>
      </c>
      <c r="V197" s="51" t="s">
        <v>2142</v>
      </c>
      <c r="X197" s="51"/>
    </row>
    <row r="198" customFormat="false" ht="14.25" hidden="false" customHeight="false" outlineLevel="0" collapsed="false">
      <c r="A198" s="49" t="s">
        <v>2137</v>
      </c>
      <c r="B198" s="49" t="s">
        <v>14</v>
      </c>
      <c r="C198" s="49" t="s">
        <v>797</v>
      </c>
      <c r="D198" s="49" t="s">
        <v>2441</v>
      </c>
      <c r="E198" s="49" t="s">
        <v>2531</v>
      </c>
      <c r="F198" s="49" t="s">
        <v>777</v>
      </c>
      <c r="G198" s="49" t="n">
        <v>4</v>
      </c>
      <c r="H198" s="0" t="n">
        <v>0</v>
      </c>
      <c r="I198" s="51" t="s">
        <v>2753</v>
      </c>
      <c r="J198" s="49" t="s">
        <v>2752</v>
      </c>
      <c r="K198" s="52" t="n">
        <v>47818</v>
      </c>
      <c r="M198" s="51" t="s">
        <v>2534</v>
      </c>
      <c r="N198" s="0" t="n">
        <v>4</v>
      </c>
      <c r="O198" s="53" t="n">
        <v>46057.5689351852</v>
      </c>
      <c r="P198" s="53" t="n">
        <v>46057.6371875</v>
      </c>
      <c r="Q198" s="53" t="n">
        <v>46057.5689351852</v>
      </c>
      <c r="R198" s="0" t="n">
        <v>0</v>
      </c>
      <c r="S198" s="51" t="s">
        <v>2398</v>
      </c>
      <c r="T198" s="51" t="s">
        <v>2398</v>
      </c>
      <c r="U198" s="51" t="s">
        <v>2531</v>
      </c>
      <c r="V198" s="51" t="s">
        <v>2142</v>
      </c>
      <c r="X198" s="51"/>
    </row>
    <row r="199" customFormat="false" ht="14.25" hidden="false" customHeight="false" outlineLevel="0" collapsed="false">
      <c r="A199" s="49" t="s">
        <v>2137</v>
      </c>
      <c r="B199" s="49" t="s">
        <v>14</v>
      </c>
      <c r="C199" s="49" t="s">
        <v>787</v>
      </c>
      <c r="D199" s="49" t="s">
        <v>2441</v>
      </c>
      <c r="E199" s="49" t="s">
        <v>2531</v>
      </c>
      <c r="F199" s="49" t="s">
        <v>777</v>
      </c>
      <c r="G199" s="49" t="n">
        <v>4</v>
      </c>
      <c r="H199" s="0" t="n">
        <v>0</v>
      </c>
      <c r="I199" s="51" t="s">
        <v>2754</v>
      </c>
      <c r="J199" s="49" t="s">
        <v>2752</v>
      </c>
      <c r="K199" s="52" t="n">
        <v>47818</v>
      </c>
      <c r="M199" s="51" t="s">
        <v>2534</v>
      </c>
      <c r="N199" s="0" t="n">
        <v>4</v>
      </c>
      <c r="O199" s="53" t="n">
        <v>46057.5759375</v>
      </c>
      <c r="P199" s="53" t="n">
        <v>46057.6371064815</v>
      </c>
      <c r="Q199" s="53" t="n">
        <v>46057.5759375</v>
      </c>
      <c r="R199" s="0" t="n">
        <v>0</v>
      </c>
      <c r="S199" s="51" t="s">
        <v>2398</v>
      </c>
      <c r="T199" s="51" t="s">
        <v>2398</v>
      </c>
      <c r="U199" s="51" t="s">
        <v>2531</v>
      </c>
      <c r="V199" s="51" t="s">
        <v>2142</v>
      </c>
      <c r="X199" s="51"/>
    </row>
    <row r="200" customFormat="false" ht="14.25" hidden="false" customHeight="false" outlineLevel="0" collapsed="false">
      <c r="A200" s="49" t="s">
        <v>2137</v>
      </c>
      <c r="B200" s="49" t="s">
        <v>14</v>
      </c>
      <c r="C200" s="49" t="s">
        <v>785</v>
      </c>
      <c r="D200" s="49" t="s">
        <v>2441</v>
      </c>
      <c r="E200" s="49" t="s">
        <v>2531</v>
      </c>
      <c r="F200" s="49" t="s">
        <v>777</v>
      </c>
      <c r="G200" s="49" t="n">
        <v>4</v>
      </c>
      <c r="H200" s="0" t="n">
        <v>0</v>
      </c>
      <c r="I200" s="51" t="s">
        <v>2755</v>
      </c>
      <c r="J200" s="49" t="s">
        <v>2752</v>
      </c>
      <c r="K200" s="52" t="n">
        <v>47818</v>
      </c>
      <c r="M200" s="51" t="s">
        <v>2534</v>
      </c>
      <c r="N200" s="0" t="n">
        <v>4</v>
      </c>
      <c r="O200" s="53" t="n">
        <v>46057.576099537</v>
      </c>
      <c r="P200" s="53" t="n">
        <v>46057.6369907407</v>
      </c>
      <c r="Q200" s="53" t="n">
        <v>46057.576099537</v>
      </c>
      <c r="R200" s="0" t="n">
        <v>0</v>
      </c>
      <c r="S200" s="51" t="s">
        <v>2398</v>
      </c>
      <c r="T200" s="51" t="s">
        <v>2398</v>
      </c>
      <c r="U200" s="51" t="s">
        <v>2531</v>
      </c>
      <c r="V200" s="51" t="s">
        <v>2142</v>
      </c>
      <c r="X200" s="51"/>
    </row>
    <row r="201" customFormat="false" ht="14.25" hidden="false" customHeight="false" outlineLevel="0" collapsed="false">
      <c r="A201" s="49" t="s">
        <v>2137</v>
      </c>
      <c r="B201" s="49" t="s">
        <v>14</v>
      </c>
      <c r="C201" s="49" t="s">
        <v>784</v>
      </c>
      <c r="D201" s="49" t="s">
        <v>2441</v>
      </c>
      <c r="E201" s="49" t="s">
        <v>2531</v>
      </c>
      <c r="F201" s="49" t="s">
        <v>777</v>
      </c>
      <c r="G201" s="49" t="n">
        <v>4</v>
      </c>
      <c r="H201" s="0" t="n">
        <v>0</v>
      </c>
      <c r="I201" s="51" t="s">
        <v>2756</v>
      </c>
      <c r="J201" s="49" t="s">
        <v>2752</v>
      </c>
      <c r="K201" s="52" t="n">
        <v>47818</v>
      </c>
      <c r="M201" s="51" t="s">
        <v>2534</v>
      </c>
      <c r="N201" s="0" t="n">
        <v>4</v>
      </c>
      <c r="O201" s="53" t="n">
        <v>46057.5762384259</v>
      </c>
      <c r="P201" s="53" t="n">
        <v>46057.637025463</v>
      </c>
      <c r="Q201" s="53" t="n">
        <v>46057.5762384259</v>
      </c>
      <c r="R201" s="0" t="n">
        <v>0</v>
      </c>
      <c r="S201" s="51" t="s">
        <v>2398</v>
      </c>
      <c r="T201" s="51" t="s">
        <v>2398</v>
      </c>
      <c r="U201" s="51" t="s">
        <v>2531</v>
      </c>
      <c r="V201" s="51" t="s">
        <v>2142</v>
      </c>
      <c r="X201" s="51"/>
    </row>
    <row r="202" customFormat="false" ht="14.25" hidden="true" customHeight="false" outlineLevel="0" collapsed="false">
      <c r="A202" s="49" t="s">
        <v>2137</v>
      </c>
      <c r="B202" s="49" t="s">
        <v>14</v>
      </c>
      <c r="C202" s="49" t="s">
        <v>783</v>
      </c>
      <c r="D202" s="49" t="s">
        <v>2441</v>
      </c>
      <c r="E202" s="49" t="s">
        <v>2531</v>
      </c>
      <c r="F202" s="49" t="s">
        <v>777</v>
      </c>
      <c r="G202" s="49" t="n">
        <v>4</v>
      </c>
      <c r="H202" s="0" t="n">
        <v>0</v>
      </c>
      <c r="I202" s="51" t="s">
        <v>2757</v>
      </c>
      <c r="J202" s="49" t="s">
        <v>2752</v>
      </c>
      <c r="K202" s="52" t="n">
        <v>47818</v>
      </c>
      <c r="M202" s="51" t="s">
        <v>2534</v>
      </c>
      <c r="N202" s="49" t="n">
        <v>4</v>
      </c>
      <c r="O202" s="53" t="n">
        <v>46057.5763310185</v>
      </c>
      <c r="P202" s="53" t="n">
        <v>46057.6369444444</v>
      </c>
      <c r="Q202" s="0" t="n">
        <v>46057.5763310185</v>
      </c>
      <c r="R202" s="0" t="n">
        <v>0</v>
      </c>
      <c r="S202" s="51" t="s">
        <v>2398</v>
      </c>
      <c r="T202" s="51" t="s">
        <v>2398</v>
      </c>
      <c r="U202" s="51" t="s">
        <v>2531</v>
      </c>
      <c r="V202" s="51" t="s">
        <v>2142</v>
      </c>
    </row>
    <row r="203" customFormat="false" ht="14.25" hidden="false" customHeight="false" outlineLevel="0" collapsed="false">
      <c r="A203" s="49" t="s">
        <v>2137</v>
      </c>
      <c r="B203" s="49" t="s">
        <v>14</v>
      </c>
      <c r="C203" s="49" t="s">
        <v>780</v>
      </c>
      <c r="D203" s="49" t="s">
        <v>2441</v>
      </c>
      <c r="E203" s="49" t="s">
        <v>2531</v>
      </c>
      <c r="F203" s="49" t="s">
        <v>777</v>
      </c>
      <c r="G203" s="49" t="n">
        <v>4</v>
      </c>
      <c r="H203" s="0" t="n">
        <v>0</v>
      </c>
      <c r="I203" s="51" t="s">
        <v>2758</v>
      </c>
      <c r="J203" s="49" t="s">
        <v>2752</v>
      </c>
      <c r="K203" s="52" t="n">
        <v>47818</v>
      </c>
      <c r="M203" s="51" t="s">
        <v>2534</v>
      </c>
      <c r="N203" s="0" t="n">
        <v>4</v>
      </c>
      <c r="O203" s="53" t="n">
        <v>46057.5792476852</v>
      </c>
      <c r="P203" s="53" t="n">
        <v>46057.6366666667</v>
      </c>
      <c r="Q203" s="0" t="n">
        <v>46057.5792476852</v>
      </c>
      <c r="R203" s="0" t="n">
        <v>0</v>
      </c>
      <c r="S203" s="51" t="s">
        <v>2398</v>
      </c>
      <c r="T203" s="51" t="s">
        <v>2398</v>
      </c>
      <c r="U203" s="51" t="s">
        <v>2531</v>
      </c>
      <c r="V203" s="51" t="s">
        <v>2142</v>
      </c>
    </row>
    <row r="204" customFormat="false" ht="14.25" hidden="false" customHeight="false" outlineLevel="0" collapsed="false">
      <c r="A204" s="49" t="s">
        <v>2137</v>
      </c>
      <c r="B204" s="49" t="s">
        <v>14</v>
      </c>
      <c r="C204" s="49" t="s">
        <v>778</v>
      </c>
      <c r="D204" s="49" t="s">
        <v>2441</v>
      </c>
      <c r="E204" s="49" t="s">
        <v>2531</v>
      </c>
      <c r="F204" s="49" t="s">
        <v>777</v>
      </c>
      <c r="G204" s="49" t="n">
        <v>4</v>
      </c>
      <c r="H204" s="0" t="n">
        <v>0</v>
      </c>
      <c r="I204" s="51" t="s">
        <v>2759</v>
      </c>
      <c r="J204" s="49" t="s">
        <v>2752</v>
      </c>
      <c r="K204" s="52" t="n">
        <v>47818</v>
      </c>
      <c r="M204" s="51" t="s">
        <v>2534</v>
      </c>
      <c r="N204" s="0" t="n">
        <v>4</v>
      </c>
      <c r="O204" s="53" t="n">
        <v>46057.5796296296</v>
      </c>
      <c r="P204" s="53" t="n">
        <v>46057.6367476852</v>
      </c>
      <c r="Q204" s="53" t="n">
        <v>46057.5796296296</v>
      </c>
      <c r="R204" s="0" t="n">
        <v>0</v>
      </c>
      <c r="S204" s="51" t="s">
        <v>2398</v>
      </c>
      <c r="T204" s="51" t="s">
        <v>2398</v>
      </c>
      <c r="U204" s="51" t="s">
        <v>2531</v>
      </c>
      <c r="V204" s="51" t="s">
        <v>2142</v>
      </c>
      <c r="X204" s="51"/>
    </row>
    <row r="205" customFormat="false" ht="14.25" hidden="true" customHeight="false" outlineLevel="0" collapsed="false">
      <c r="A205" s="49" t="s">
        <v>2137</v>
      </c>
      <c r="B205" s="49" t="s">
        <v>14</v>
      </c>
      <c r="C205" s="49" t="s">
        <v>310</v>
      </c>
      <c r="D205" s="49" t="s">
        <v>2441</v>
      </c>
      <c r="E205" s="49" t="s">
        <v>2551</v>
      </c>
      <c r="F205" s="49" t="s">
        <v>168</v>
      </c>
      <c r="G205" s="49" t="n">
        <v>24</v>
      </c>
      <c r="H205" s="0" t="n">
        <v>0</v>
      </c>
      <c r="I205" s="51" t="s">
        <v>2760</v>
      </c>
      <c r="J205" s="49" t="s">
        <v>2761</v>
      </c>
      <c r="K205" s="52" t="n">
        <v>47823</v>
      </c>
      <c r="M205" s="51" t="s">
        <v>2560</v>
      </c>
      <c r="N205" s="49" t="n">
        <v>24</v>
      </c>
      <c r="O205" s="53" t="n">
        <v>46053.4448726852</v>
      </c>
      <c r="P205" s="53" t="n">
        <v>46060.603125</v>
      </c>
      <c r="Q205" s="53" t="n">
        <v>46053.4448726852</v>
      </c>
      <c r="R205" s="0" t="n">
        <v>0</v>
      </c>
      <c r="S205" s="51" t="s">
        <v>2380</v>
      </c>
      <c r="T205" s="51" t="s">
        <v>2380</v>
      </c>
      <c r="U205" s="51" t="s">
        <v>2551</v>
      </c>
      <c r="V205" s="51" t="s">
        <v>2205</v>
      </c>
      <c r="W205" s="51" t="s">
        <v>2762</v>
      </c>
      <c r="X205" s="51"/>
    </row>
    <row r="206" customFormat="false" ht="14.25" hidden="false" customHeight="false" outlineLevel="0" collapsed="false">
      <c r="A206" s="49" t="s">
        <v>2137</v>
      </c>
      <c r="B206" s="49" t="s">
        <v>14</v>
      </c>
      <c r="C206" s="49" t="s">
        <v>1172</v>
      </c>
      <c r="D206" s="49" t="s">
        <v>2441</v>
      </c>
      <c r="E206" s="49" t="s">
        <v>2551</v>
      </c>
      <c r="F206" s="49" t="s">
        <v>168</v>
      </c>
      <c r="G206" s="49" t="n">
        <v>24</v>
      </c>
      <c r="H206" s="0" t="n">
        <v>0</v>
      </c>
      <c r="I206" s="51" t="s">
        <v>2763</v>
      </c>
      <c r="J206" s="49" t="s">
        <v>2764</v>
      </c>
      <c r="K206" s="52" t="n">
        <v>47823</v>
      </c>
      <c r="M206" s="51" t="s">
        <v>2765</v>
      </c>
      <c r="N206" s="0" t="n">
        <v>24</v>
      </c>
      <c r="O206" s="53" t="n">
        <v>46063.4765625</v>
      </c>
      <c r="P206" s="53" t="n">
        <v>46063.4889583333</v>
      </c>
      <c r="Q206" s="53" t="n">
        <v>46063.4765625</v>
      </c>
      <c r="R206" s="0" t="n">
        <v>0</v>
      </c>
      <c r="S206" s="51" t="s">
        <v>2398</v>
      </c>
      <c r="T206" s="51" t="s">
        <v>2398</v>
      </c>
      <c r="U206" s="51" t="s">
        <v>2551</v>
      </c>
      <c r="V206" s="51" t="s">
        <v>2205</v>
      </c>
      <c r="W206" s="51"/>
      <c r="X206" s="51"/>
    </row>
    <row r="207" customFormat="false" ht="14.25" hidden="false" customHeight="false" outlineLevel="0" collapsed="false">
      <c r="A207" s="49" t="s">
        <v>2137</v>
      </c>
      <c r="B207" s="49" t="s">
        <v>14</v>
      </c>
      <c r="C207" s="49" t="s">
        <v>1173</v>
      </c>
      <c r="D207" s="49" t="s">
        <v>2441</v>
      </c>
      <c r="E207" s="49" t="s">
        <v>2551</v>
      </c>
      <c r="F207" s="49" t="s">
        <v>168</v>
      </c>
      <c r="G207" s="49" t="n">
        <v>24</v>
      </c>
      <c r="H207" s="0" t="n">
        <v>0</v>
      </c>
      <c r="I207" s="51" t="s">
        <v>2766</v>
      </c>
      <c r="J207" s="49" t="s">
        <v>2764</v>
      </c>
      <c r="K207" s="52" t="n">
        <v>47823</v>
      </c>
      <c r="M207" s="51" t="s">
        <v>2765</v>
      </c>
      <c r="N207" s="0" t="n">
        <v>24</v>
      </c>
      <c r="O207" s="53" t="n">
        <v>46063.4764583333</v>
      </c>
      <c r="P207" s="53" t="n">
        <v>46063.4887962963</v>
      </c>
      <c r="Q207" s="53" t="n">
        <v>46063.4764583333</v>
      </c>
      <c r="R207" s="0" t="n">
        <v>0</v>
      </c>
      <c r="S207" s="51" t="s">
        <v>2398</v>
      </c>
      <c r="T207" s="51" t="s">
        <v>2398</v>
      </c>
      <c r="U207" s="51" t="s">
        <v>2551</v>
      </c>
      <c r="V207" s="51" t="s">
        <v>2205</v>
      </c>
      <c r="W207" s="51"/>
      <c r="X207" s="51"/>
    </row>
    <row r="208" customFormat="false" ht="14.25" hidden="true" customHeight="false" outlineLevel="0" collapsed="false">
      <c r="A208" s="49" t="s">
        <v>2137</v>
      </c>
      <c r="B208" s="49" t="s">
        <v>14</v>
      </c>
      <c r="C208" s="49" t="s">
        <v>1174</v>
      </c>
      <c r="D208" s="49" t="s">
        <v>2441</v>
      </c>
      <c r="E208" s="49" t="s">
        <v>2551</v>
      </c>
      <c r="F208" s="49" t="s">
        <v>168</v>
      </c>
      <c r="G208" s="49" t="n">
        <v>24</v>
      </c>
      <c r="H208" s="0" t="n">
        <v>0</v>
      </c>
      <c r="I208" s="51" t="s">
        <v>2767</v>
      </c>
      <c r="J208" s="49" t="s">
        <v>2764</v>
      </c>
      <c r="K208" s="52" t="n">
        <v>47823</v>
      </c>
      <c r="M208" s="51" t="s">
        <v>2765</v>
      </c>
      <c r="N208" s="49" t="n">
        <v>24</v>
      </c>
      <c r="O208" s="53" t="n">
        <v>46063.4762037037</v>
      </c>
      <c r="P208" s="53" t="n">
        <v>46063.4899074074</v>
      </c>
      <c r="Q208" s="53" t="n">
        <v>46063.4762037037</v>
      </c>
      <c r="R208" s="0" t="n">
        <v>0</v>
      </c>
      <c r="S208" s="51" t="s">
        <v>2398</v>
      </c>
      <c r="T208" s="51" t="s">
        <v>2398</v>
      </c>
      <c r="U208" s="51" t="s">
        <v>2551</v>
      </c>
      <c r="V208" s="51" t="s">
        <v>2205</v>
      </c>
      <c r="W208" s="51"/>
      <c r="X208" s="51"/>
    </row>
    <row r="209" customFormat="false" ht="14.25" hidden="true" customHeight="false" outlineLevel="0" collapsed="false">
      <c r="A209" s="49" t="s">
        <v>2137</v>
      </c>
      <c r="B209" s="49" t="s">
        <v>14</v>
      </c>
      <c r="C209" s="49" t="s">
        <v>1175</v>
      </c>
      <c r="D209" s="49" t="s">
        <v>2441</v>
      </c>
      <c r="E209" s="49" t="s">
        <v>2551</v>
      </c>
      <c r="F209" s="49" t="s">
        <v>168</v>
      </c>
      <c r="G209" s="49" t="n">
        <v>24</v>
      </c>
      <c r="H209" s="0" t="n">
        <v>0</v>
      </c>
      <c r="I209" s="51" t="s">
        <v>2768</v>
      </c>
      <c r="J209" s="49" t="s">
        <v>2764</v>
      </c>
      <c r="K209" s="52" t="n">
        <v>47823</v>
      </c>
      <c r="M209" s="51" t="s">
        <v>2765</v>
      </c>
      <c r="N209" s="49" t="n">
        <v>24</v>
      </c>
      <c r="O209" s="53" t="n">
        <v>46063.476099537</v>
      </c>
      <c r="P209" s="53" t="n">
        <v>46063.4894212963</v>
      </c>
      <c r="Q209" s="53" t="n">
        <v>46063.476099537</v>
      </c>
      <c r="R209" s="0" t="n">
        <v>0</v>
      </c>
      <c r="S209" s="51" t="s">
        <v>2398</v>
      </c>
      <c r="T209" s="51" t="s">
        <v>2398</v>
      </c>
      <c r="U209" s="51" t="s">
        <v>2551</v>
      </c>
      <c r="V209" s="51" t="s">
        <v>2205</v>
      </c>
      <c r="W209" s="51"/>
      <c r="X209" s="51"/>
    </row>
    <row r="210" customFormat="false" ht="14.25" hidden="true" customHeight="false" outlineLevel="0" collapsed="false">
      <c r="A210" s="49" t="s">
        <v>2137</v>
      </c>
      <c r="B210" s="49" t="s">
        <v>14</v>
      </c>
      <c r="C210" s="49" t="s">
        <v>1176</v>
      </c>
      <c r="D210" s="49" t="s">
        <v>2441</v>
      </c>
      <c r="E210" s="49" t="s">
        <v>2551</v>
      </c>
      <c r="F210" s="49" t="s">
        <v>168</v>
      </c>
      <c r="G210" s="49" t="n">
        <v>24</v>
      </c>
      <c r="H210" s="0" t="n">
        <v>0</v>
      </c>
      <c r="I210" s="51" t="s">
        <v>2769</v>
      </c>
      <c r="J210" s="49" t="s">
        <v>2764</v>
      </c>
      <c r="K210" s="52" t="n">
        <v>47823</v>
      </c>
      <c r="M210" s="51" t="s">
        <v>2765</v>
      </c>
      <c r="N210" s="49" t="n">
        <v>24</v>
      </c>
      <c r="O210" s="53" t="n">
        <v>46063.4759490741</v>
      </c>
      <c r="P210" s="53" t="n">
        <v>46063.4897337963</v>
      </c>
      <c r="Q210" s="53" t="n">
        <v>46063.4759490741</v>
      </c>
      <c r="R210" s="0" t="n">
        <v>0</v>
      </c>
      <c r="S210" s="51" t="s">
        <v>2398</v>
      </c>
      <c r="T210" s="51" t="s">
        <v>2398</v>
      </c>
      <c r="U210" s="51" t="s">
        <v>2551</v>
      </c>
      <c r="V210" s="51" t="s">
        <v>2205</v>
      </c>
      <c r="W210" s="51"/>
      <c r="X210" s="51"/>
    </row>
    <row r="211" customFormat="false" ht="14.25" hidden="false" customHeight="false" outlineLevel="0" collapsed="false">
      <c r="A211" s="49" t="s">
        <v>2137</v>
      </c>
      <c r="B211" s="49" t="s">
        <v>14</v>
      </c>
      <c r="C211" s="49" t="s">
        <v>1177</v>
      </c>
      <c r="D211" s="49" t="s">
        <v>2441</v>
      </c>
      <c r="E211" s="49" t="s">
        <v>2551</v>
      </c>
      <c r="F211" s="49" t="s">
        <v>168</v>
      </c>
      <c r="G211" s="49" t="n">
        <v>24</v>
      </c>
      <c r="H211" s="0" t="n">
        <v>0</v>
      </c>
      <c r="I211" s="51" t="s">
        <v>2770</v>
      </c>
      <c r="J211" s="49" t="s">
        <v>2764</v>
      </c>
      <c r="K211" s="52" t="n">
        <v>47823</v>
      </c>
      <c r="M211" s="51" t="s">
        <v>2765</v>
      </c>
      <c r="N211" s="0" t="n">
        <v>24</v>
      </c>
      <c r="O211" s="53" t="n">
        <v>46063.4753125</v>
      </c>
      <c r="P211" s="53" t="n">
        <v>46063.4891319444</v>
      </c>
      <c r="Q211" s="53" t="n">
        <v>46063.4753125</v>
      </c>
      <c r="R211" s="0" t="n">
        <v>0</v>
      </c>
      <c r="S211" s="51" t="s">
        <v>2398</v>
      </c>
      <c r="T211" s="51" t="s">
        <v>2398</v>
      </c>
      <c r="U211" s="51" t="s">
        <v>2551</v>
      </c>
      <c r="V211" s="51" t="s">
        <v>2205</v>
      </c>
      <c r="X211" s="51"/>
    </row>
    <row r="212" customFormat="false" ht="14.25" hidden="false" customHeight="false" outlineLevel="0" collapsed="false">
      <c r="A212" s="49" t="s">
        <v>2137</v>
      </c>
      <c r="B212" s="49" t="s">
        <v>14</v>
      </c>
      <c r="C212" s="49" t="s">
        <v>319</v>
      </c>
      <c r="D212" s="49" t="s">
        <v>2441</v>
      </c>
      <c r="E212" s="49" t="s">
        <v>2551</v>
      </c>
      <c r="F212" s="49" t="s">
        <v>168</v>
      </c>
      <c r="G212" s="49" t="n">
        <v>24</v>
      </c>
      <c r="H212" s="0" t="n">
        <v>0</v>
      </c>
      <c r="I212" s="51" t="s">
        <v>2771</v>
      </c>
      <c r="J212" s="49" t="s">
        <v>2764</v>
      </c>
      <c r="K212" s="52" t="n">
        <v>47823</v>
      </c>
      <c r="M212" s="51" t="s">
        <v>2560</v>
      </c>
      <c r="N212" s="0" t="n">
        <v>24</v>
      </c>
      <c r="O212" s="53" t="n">
        <v>46053.4419444444</v>
      </c>
      <c r="P212" s="53" t="n">
        <v>46060.5637615741</v>
      </c>
      <c r="Q212" s="53" t="n">
        <v>46053.4419444444</v>
      </c>
      <c r="R212" s="0" t="n">
        <v>0</v>
      </c>
      <c r="S212" s="51" t="s">
        <v>2380</v>
      </c>
      <c r="T212" s="51" t="s">
        <v>2380</v>
      </c>
      <c r="U212" s="51" t="s">
        <v>2551</v>
      </c>
      <c r="V212" s="51" t="s">
        <v>2205</v>
      </c>
      <c r="W212" s="51" t="s">
        <v>2772</v>
      </c>
      <c r="X212" s="51"/>
    </row>
    <row r="213" customFormat="false" ht="14.25" hidden="true" customHeight="false" outlineLevel="0" collapsed="false">
      <c r="A213" s="49" t="s">
        <v>2137</v>
      </c>
      <c r="B213" s="49" t="s">
        <v>14</v>
      </c>
      <c r="C213" s="49" t="s">
        <v>306</v>
      </c>
      <c r="D213" s="49" t="s">
        <v>2441</v>
      </c>
      <c r="E213" s="49" t="s">
        <v>2551</v>
      </c>
      <c r="F213" s="49" t="s">
        <v>168</v>
      </c>
      <c r="G213" s="49" t="n">
        <v>24</v>
      </c>
      <c r="H213" s="0" t="n">
        <v>0</v>
      </c>
      <c r="I213" s="51" t="s">
        <v>2773</v>
      </c>
      <c r="J213" s="49" t="s">
        <v>2764</v>
      </c>
      <c r="K213" s="52" t="n">
        <v>47823</v>
      </c>
      <c r="M213" s="51" t="s">
        <v>2560</v>
      </c>
      <c r="N213" s="49" t="n">
        <v>24</v>
      </c>
      <c r="O213" s="53" t="n">
        <v>46053.4396296296</v>
      </c>
      <c r="P213" s="53" t="n">
        <v>46060.5605787037</v>
      </c>
      <c r="Q213" s="53" t="n">
        <v>46053.4396296296</v>
      </c>
      <c r="R213" s="0" t="n">
        <v>0</v>
      </c>
      <c r="S213" s="51" t="s">
        <v>2380</v>
      </c>
      <c r="T213" s="51" t="s">
        <v>2380</v>
      </c>
      <c r="U213" s="51" t="s">
        <v>2551</v>
      </c>
      <c r="V213" s="51" t="s">
        <v>2205</v>
      </c>
      <c r="W213" s="51" t="s">
        <v>2774</v>
      </c>
      <c r="X213" s="51"/>
    </row>
    <row r="214" customFormat="false" ht="14.25" hidden="false" customHeight="false" outlineLevel="0" collapsed="false">
      <c r="A214" s="49" t="s">
        <v>2137</v>
      </c>
      <c r="B214" s="49" t="s">
        <v>14</v>
      </c>
      <c r="C214" s="49" t="s">
        <v>312</v>
      </c>
      <c r="D214" s="49" t="s">
        <v>2441</v>
      </c>
      <c r="E214" s="49" t="s">
        <v>2551</v>
      </c>
      <c r="F214" s="49" t="s">
        <v>168</v>
      </c>
      <c r="G214" s="49" t="n">
        <v>24</v>
      </c>
      <c r="H214" s="0" t="n">
        <v>0</v>
      </c>
      <c r="I214" s="51" t="s">
        <v>2775</v>
      </c>
      <c r="J214" s="49" t="s">
        <v>2761</v>
      </c>
      <c r="K214" s="52" t="n">
        <v>47823</v>
      </c>
      <c r="M214" s="51" t="s">
        <v>2560</v>
      </c>
      <c r="N214" s="0" t="n">
        <v>24</v>
      </c>
      <c r="O214" s="53" t="n">
        <v>46053.444224537</v>
      </c>
      <c r="P214" s="53" t="n">
        <v>46060.5732407407</v>
      </c>
      <c r="Q214" s="53" t="n">
        <v>46053.444224537</v>
      </c>
      <c r="R214" s="0" t="n">
        <v>0</v>
      </c>
      <c r="S214" s="51" t="s">
        <v>2380</v>
      </c>
      <c r="T214" s="51" t="s">
        <v>2380</v>
      </c>
      <c r="U214" s="51" t="s">
        <v>2551</v>
      </c>
      <c r="V214" s="51" t="s">
        <v>2205</v>
      </c>
      <c r="W214" s="51" t="s">
        <v>2776</v>
      </c>
      <c r="X214" s="51"/>
    </row>
    <row r="215" customFormat="false" ht="14.25" hidden="false" customHeight="false" outlineLevel="0" collapsed="false">
      <c r="A215" s="49" t="s">
        <v>2137</v>
      </c>
      <c r="B215" s="49" t="s">
        <v>14</v>
      </c>
      <c r="C215" s="49" t="s">
        <v>186</v>
      </c>
      <c r="D215" s="49" t="s">
        <v>2441</v>
      </c>
      <c r="E215" s="49" t="s">
        <v>2551</v>
      </c>
      <c r="F215" s="49" t="s">
        <v>168</v>
      </c>
      <c r="G215" s="49" t="n">
        <v>24</v>
      </c>
      <c r="H215" s="0" t="n">
        <v>0</v>
      </c>
      <c r="I215" s="51" t="s">
        <v>2777</v>
      </c>
      <c r="J215" s="49" t="s">
        <v>2778</v>
      </c>
      <c r="K215" s="52" t="n">
        <v>47824</v>
      </c>
      <c r="M215" s="51" t="s">
        <v>2541</v>
      </c>
      <c r="N215" s="0" t="n">
        <v>24</v>
      </c>
      <c r="O215" s="53" t="n">
        <v>46050.5039814815</v>
      </c>
      <c r="P215" s="53" t="n">
        <v>46061.4074652778</v>
      </c>
      <c r="Q215" s="0" t="n">
        <v>46050.5039814815</v>
      </c>
      <c r="R215" s="0" t="n">
        <v>0</v>
      </c>
      <c r="S215" s="51" t="s">
        <v>2380</v>
      </c>
      <c r="T215" s="51" t="s">
        <v>2380</v>
      </c>
      <c r="U215" s="51" t="s">
        <v>2551</v>
      </c>
      <c r="V215" s="51" t="s">
        <v>2205</v>
      </c>
      <c r="W215" s="51" t="s">
        <v>2779</v>
      </c>
    </row>
    <row r="216" customFormat="false" ht="14.25" hidden="true" customHeight="false" outlineLevel="0" collapsed="false">
      <c r="A216" s="49" t="s">
        <v>2137</v>
      </c>
      <c r="B216" s="49" t="s">
        <v>14</v>
      </c>
      <c r="C216" s="49" t="s">
        <v>1171</v>
      </c>
      <c r="D216" s="49" t="s">
        <v>2441</v>
      </c>
      <c r="E216" s="49" t="s">
        <v>2551</v>
      </c>
      <c r="F216" s="49" t="s">
        <v>168</v>
      </c>
      <c r="G216" s="49" t="n">
        <v>24</v>
      </c>
      <c r="H216" s="0" t="n">
        <v>0</v>
      </c>
      <c r="I216" s="51" t="s">
        <v>2780</v>
      </c>
      <c r="J216" s="49" t="s">
        <v>2778</v>
      </c>
      <c r="K216" s="52" t="n">
        <v>47824</v>
      </c>
      <c r="M216" s="51" t="s">
        <v>2765</v>
      </c>
      <c r="N216" s="49" t="n">
        <v>24</v>
      </c>
      <c r="O216" s="53" t="n">
        <v>46063.4766898148</v>
      </c>
      <c r="P216" s="53" t="n">
        <v>46063.4884606482</v>
      </c>
      <c r="Q216" s="53" t="n">
        <v>46063.4766898148</v>
      </c>
      <c r="R216" s="0" t="n">
        <v>0</v>
      </c>
      <c r="S216" s="51" t="s">
        <v>2398</v>
      </c>
      <c r="T216" s="51" t="s">
        <v>2398</v>
      </c>
      <c r="U216" s="51" t="s">
        <v>2551</v>
      </c>
      <c r="V216" s="51" t="s">
        <v>2205</v>
      </c>
      <c r="W216" s="51"/>
      <c r="X216" s="51"/>
    </row>
    <row r="217" customFormat="false" ht="14.25" hidden="false" customHeight="false" outlineLevel="0" collapsed="false">
      <c r="A217" s="49" t="s">
        <v>2137</v>
      </c>
      <c r="B217" s="49" t="s">
        <v>14</v>
      </c>
      <c r="C217" s="49" t="s">
        <v>1166</v>
      </c>
      <c r="D217" s="49" t="s">
        <v>2441</v>
      </c>
      <c r="E217" s="49" t="s">
        <v>2551</v>
      </c>
      <c r="F217" s="49" t="s">
        <v>168</v>
      </c>
      <c r="G217" s="49" t="n">
        <v>24</v>
      </c>
      <c r="H217" s="0" t="n">
        <v>0</v>
      </c>
      <c r="I217" s="51" t="s">
        <v>2781</v>
      </c>
      <c r="J217" s="49" t="s">
        <v>2778</v>
      </c>
      <c r="K217" s="52" t="n">
        <v>47824</v>
      </c>
      <c r="M217" s="51" t="s">
        <v>2765</v>
      </c>
      <c r="N217" s="0" t="n">
        <v>24</v>
      </c>
      <c r="O217" s="53" t="n">
        <v>46063.4744328704</v>
      </c>
      <c r="P217" s="53" t="n">
        <v>46063.4892824074</v>
      </c>
      <c r="Q217" s="53" t="n">
        <v>46063.4744328704</v>
      </c>
      <c r="R217" s="0" t="n">
        <v>0</v>
      </c>
      <c r="S217" s="51" t="s">
        <v>2398</v>
      </c>
      <c r="T217" s="51" t="s">
        <v>2398</v>
      </c>
      <c r="U217" s="51" t="s">
        <v>2551</v>
      </c>
      <c r="V217" s="51" t="s">
        <v>2205</v>
      </c>
      <c r="W217" s="51"/>
      <c r="X217" s="51"/>
    </row>
    <row r="218" customFormat="false" ht="14.25" hidden="false" customHeight="false" outlineLevel="0" collapsed="false">
      <c r="A218" s="49" t="s">
        <v>2137</v>
      </c>
      <c r="B218" s="49" t="s">
        <v>14</v>
      </c>
      <c r="C218" s="49" t="s">
        <v>315</v>
      </c>
      <c r="D218" s="49" t="s">
        <v>2441</v>
      </c>
      <c r="E218" s="49" t="s">
        <v>2551</v>
      </c>
      <c r="F218" s="49" t="s">
        <v>168</v>
      </c>
      <c r="G218" s="49" t="n">
        <v>24</v>
      </c>
      <c r="H218" s="0" t="n">
        <v>0</v>
      </c>
      <c r="I218" s="51" t="s">
        <v>2782</v>
      </c>
      <c r="J218" s="49" t="s">
        <v>2778</v>
      </c>
      <c r="K218" s="52" t="n">
        <v>47824</v>
      </c>
      <c r="M218" s="51" t="s">
        <v>2560</v>
      </c>
      <c r="N218" s="0" t="n">
        <v>24</v>
      </c>
      <c r="O218" s="53" t="n">
        <v>46053.4428935185</v>
      </c>
      <c r="P218" s="53" t="n">
        <v>46060.5679976852</v>
      </c>
      <c r="Q218" s="53" t="n">
        <v>46053.4428935185</v>
      </c>
      <c r="R218" s="0" t="n">
        <v>0</v>
      </c>
      <c r="S218" s="51" t="s">
        <v>2380</v>
      </c>
      <c r="T218" s="51" t="s">
        <v>2380</v>
      </c>
      <c r="U218" s="51" t="s">
        <v>2551</v>
      </c>
      <c r="V218" s="51" t="s">
        <v>2205</v>
      </c>
      <c r="W218" s="51" t="s">
        <v>2783</v>
      </c>
      <c r="X218" s="51"/>
    </row>
    <row r="219" customFormat="false" ht="14.25" hidden="false" customHeight="false" outlineLevel="0" collapsed="false">
      <c r="A219" s="49" t="s">
        <v>2137</v>
      </c>
      <c r="B219" s="49" t="s">
        <v>14</v>
      </c>
      <c r="C219" s="49" t="s">
        <v>317</v>
      </c>
      <c r="D219" s="49" t="s">
        <v>2441</v>
      </c>
      <c r="E219" s="49" t="s">
        <v>2551</v>
      </c>
      <c r="F219" s="49" t="s">
        <v>168</v>
      </c>
      <c r="G219" s="49" t="n">
        <v>24</v>
      </c>
      <c r="H219" s="0" t="n">
        <v>0</v>
      </c>
      <c r="I219" s="51" t="s">
        <v>2784</v>
      </c>
      <c r="J219" s="49" t="s">
        <v>2778</v>
      </c>
      <c r="K219" s="52" t="n">
        <v>47824</v>
      </c>
      <c r="M219" s="51" t="s">
        <v>2560</v>
      </c>
      <c r="N219" s="0" t="n">
        <v>24</v>
      </c>
      <c r="O219" s="53" t="n">
        <v>46053.4422453704</v>
      </c>
      <c r="P219" s="53" t="n">
        <v>46060.566087963</v>
      </c>
      <c r="Q219" s="53" t="n">
        <v>46053.4422453704</v>
      </c>
      <c r="R219" s="0" t="n">
        <v>0</v>
      </c>
      <c r="S219" s="51" t="s">
        <v>2380</v>
      </c>
      <c r="T219" s="51" t="s">
        <v>2380</v>
      </c>
      <c r="U219" s="51" t="s">
        <v>2551</v>
      </c>
      <c r="V219" s="51" t="s">
        <v>2205</v>
      </c>
      <c r="W219" s="51" t="s">
        <v>2785</v>
      </c>
      <c r="X219" s="51"/>
    </row>
    <row r="220" customFormat="false" ht="14.25" hidden="false" customHeight="false" outlineLevel="0" collapsed="false">
      <c r="A220" s="49" t="s">
        <v>2137</v>
      </c>
      <c r="B220" s="49" t="s">
        <v>14</v>
      </c>
      <c r="C220" s="49" t="s">
        <v>184</v>
      </c>
      <c r="D220" s="49" t="s">
        <v>2441</v>
      </c>
      <c r="E220" s="49" t="s">
        <v>2551</v>
      </c>
      <c r="F220" s="49" t="s">
        <v>168</v>
      </c>
      <c r="G220" s="49" t="n">
        <v>24</v>
      </c>
      <c r="H220" s="0" t="n">
        <v>0</v>
      </c>
      <c r="I220" s="51" t="s">
        <v>2786</v>
      </c>
      <c r="J220" s="49" t="s">
        <v>2778</v>
      </c>
      <c r="K220" s="52" t="n">
        <v>47824</v>
      </c>
      <c r="M220" s="51" t="s">
        <v>2541</v>
      </c>
      <c r="N220" s="0" t="n">
        <v>24</v>
      </c>
      <c r="O220" s="53" t="n">
        <v>46050.495787037</v>
      </c>
      <c r="P220" s="53" t="n">
        <v>46061.3763657407</v>
      </c>
      <c r="Q220" s="53" t="n">
        <v>46050.495787037</v>
      </c>
      <c r="R220" s="0" t="n">
        <v>0</v>
      </c>
      <c r="S220" s="51" t="s">
        <v>2380</v>
      </c>
      <c r="T220" s="51" t="s">
        <v>2380</v>
      </c>
      <c r="U220" s="51" t="s">
        <v>2551</v>
      </c>
      <c r="V220" s="51" t="s">
        <v>2205</v>
      </c>
      <c r="W220" s="51" t="s">
        <v>2787</v>
      </c>
      <c r="X220" s="51"/>
    </row>
    <row r="221" customFormat="false" ht="14.25" hidden="false" customHeight="false" outlineLevel="0" collapsed="false">
      <c r="A221" s="49" t="s">
        <v>2137</v>
      </c>
      <c r="B221" s="49" t="s">
        <v>14</v>
      </c>
      <c r="C221" s="49" t="s">
        <v>183</v>
      </c>
      <c r="D221" s="49" t="s">
        <v>2441</v>
      </c>
      <c r="E221" s="49" t="s">
        <v>2551</v>
      </c>
      <c r="F221" s="49" t="s">
        <v>168</v>
      </c>
      <c r="G221" s="49" t="n">
        <v>24</v>
      </c>
      <c r="H221" s="0" t="n">
        <v>0</v>
      </c>
      <c r="I221" s="51" t="s">
        <v>2788</v>
      </c>
      <c r="J221" s="49" t="s">
        <v>2778</v>
      </c>
      <c r="K221" s="52" t="n">
        <v>47824</v>
      </c>
      <c r="M221" s="51" t="s">
        <v>2541</v>
      </c>
      <c r="N221" s="0" t="n">
        <v>24</v>
      </c>
      <c r="O221" s="53" t="n">
        <v>46050.4971296296</v>
      </c>
      <c r="P221" s="53" t="n">
        <v>46061.3786921296</v>
      </c>
      <c r="Q221" s="53" t="n">
        <v>46050.4971296296</v>
      </c>
      <c r="R221" s="0" t="n">
        <v>0</v>
      </c>
      <c r="S221" s="51" t="s">
        <v>2380</v>
      </c>
      <c r="T221" s="51" t="s">
        <v>2380</v>
      </c>
      <c r="U221" s="51" t="s">
        <v>2551</v>
      </c>
      <c r="V221" s="51" t="s">
        <v>2205</v>
      </c>
      <c r="W221" s="51" t="s">
        <v>2789</v>
      </c>
      <c r="X221" s="51"/>
    </row>
    <row r="222" customFormat="false" ht="14.25" hidden="false" customHeight="false" outlineLevel="0" collapsed="false">
      <c r="A222" s="49" t="s">
        <v>2137</v>
      </c>
      <c r="B222" s="49" t="s">
        <v>14</v>
      </c>
      <c r="C222" s="49" t="s">
        <v>192</v>
      </c>
      <c r="D222" s="49" t="s">
        <v>2441</v>
      </c>
      <c r="E222" s="49" t="s">
        <v>2551</v>
      </c>
      <c r="F222" s="49" t="s">
        <v>168</v>
      </c>
      <c r="G222" s="49" t="n">
        <v>24</v>
      </c>
      <c r="H222" s="0" t="n">
        <v>0</v>
      </c>
      <c r="I222" s="51" t="s">
        <v>2790</v>
      </c>
      <c r="J222" s="49" t="s">
        <v>2778</v>
      </c>
      <c r="K222" s="52" t="n">
        <v>47824</v>
      </c>
      <c r="M222" s="51" t="s">
        <v>2541</v>
      </c>
      <c r="N222" s="0" t="n">
        <v>24</v>
      </c>
      <c r="O222" s="53" t="n">
        <v>46050.4979398148</v>
      </c>
      <c r="P222" s="53" t="n">
        <v>46061.3817476852</v>
      </c>
      <c r="Q222" s="53" t="n">
        <v>46050.4979398148</v>
      </c>
      <c r="R222" s="0" t="n">
        <v>0</v>
      </c>
      <c r="S222" s="51" t="s">
        <v>2380</v>
      </c>
      <c r="T222" s="51" t="s">
        <v>2380</v>
      </c>
      <c r="U222" s="51" t="s">
        <v>2551</v>
      </c>
      <c r="V222" s="51" t="s">
        <v>2205</v>
      </c>
      <c r="W222" s="51" t="s">
        <v>2791</v>
      </c>
      <c r="X222" s="51"/>
    </row>
    <row r="223" customFormat="false" ht="14.25" hidden="false" customHeight="false" outlineLevel="0" collapsed="false">
      <c r="A223" s="49" t="s">
        <v>2137</v>
      </c>
      <c r="B223" s="49" t="s">
        <v>14</v>
      </c>
      <c r="C223" s="49" t="s">
        <v>191</v>
      </c>
      <c r="D223" s="49" t="s">
        <v>2441</v>
      </c>
      <c r="E223" s="49" t="s">
        <v>2551</v>
      </c>
      <c r="F223" s="49" t="s">
        <v>168</v>
      </c>
      <c r="G223" s="49" t="n">
        <v>24</v>
      </c>
      <c r="H223" s="0" t="n">
        <v>0</v>
      </c>
      <c r="I223" s="51" t="s">
        <v>2790</v>
      </c>
      <c r="J223" s="49" t="s">
        <v>2778</v>
      </c>
      <c r="K223" s="52" t="n">
        <v>47824</v>
      </c>
      <c r="M223" s="51" t="s">
        <v>2541</v>
      </c>
      <c r="N223" s="0" t="n">
        <v>24</v>
      </c>
      <c r="O223" s="53" t="n">
        <v>46050.4982060185</v>
      </c>
      <c r="P223" s="53" t="n">
        <v>46061.380787037</v>
      </c>
      <c r="Q223" s="53" t="n">
        <v>46050.4982060185</v>
      </c>
      <c r="R223" s="0" t="n">
        <v>0</v>
      </c>
      <c r="S223" s="51" t="s">
        <v>2380</v>
      </c>
      <c r="T223" s="51" t="s">
        <v>2380</v>
      </c>
      <c r="U223" s="51" t="s">
        <v>2551</v>
      </c>
      <c r="V223" s="51" t="s">
        <v>2205</v>
      </c>
      <c r="W223" s="51" t="s">
        <v>2792</v>
      </c>
      <c r="X223" s="51"/>
    </row>
    <row r="224" customFormat="false" ht="14.25" hidden="false" customHeight="false" outlineLevel="0" collapsed="false">
      <c r="A224" s="49" t="s">
        <v>2137</v>
      </c>
      <c r="B224" s="49" t="s">
        <v>14</v>
      </c>
      <c r="C224" s="49" t="s">
        <v>190</v>
      </c>
      <c r="D224" s="49" t="s">
        <v>2441</v>
      </c>
      <c r="E224" s="49" t="s">
        <v>2551</v>
      </c>
      <c r="F224" s="49" t="s">
        <v>168</v>
      </c>
      <c r="G224" s="49" t="n">
        <v>24</v>
      </c>
      <c r="H224" s="0" t="n">
        <v>0</v>
      </c>
      <c r="I224" s="51" t="s">
        <v>2793</v>
      </c>
      <c r="J224" s="49" t="s">
        <v>2778</v>
      </c>
      <c r="K224" s="52" t="n">
        <v>47824</v>
      </c>
      <c r="M224" s="51" t="s">
        <v>2541</v>
      </c>
      <c r="N224" s="0" t="n">
        <v>24</v>
      </c>
      <c r="O224" s="53" t="n">
        <v>46050.4985416667</v>
      </c>
      <c r="P224" s="53" t="n">
        <v>46061.4013194444</v>
      </c>
      <c r="Q224" s="53" t="n">
        <v>46050.4985416667</v>
      </c>
      <c r="R224" s="0" t="n">
        <v>0</v>
      </c>
      <c r="S224" s="51" t="s">
        <v>2380</v>
      </c>
      <c r="T224" s="51" t="s">
        <v>2380</v>
      </c>
      <c r="U224" s="51" t="s">
        <v>2551</v>
      </c>
      <c r="V224" s="51" t="s">
        <v>2205</v>
      </c>
      <c r="W224" s="51" t="s">
        <v>2794</v>
      </c>
      <c r="X224" s="51"/>
    </row>
    <row r="225" customFormat="false" ht="14.25" hidden="false" customHeight="false" outlineLevel="0" collapsed="false">
      <c r="A225" s="49" t="s">
        <v>2137</v>
      </c>
      <c r="B225" s="49" t="s">
        <v>14</v>
      </c>
      <c r="C225" s="49" t="s">
        <v>189</v>
      </c>
      <c r="D225" s="49" t="s">
        <v>2441</v>
      </c>
      <c r="E225" s="49" t="s">
        <v>2551</v>
      </c>
      <c r="F225" s="49" t="s">
        <v>168</v>
      </c>
      <c r="G225" s="49" t="n">
        <v>24</v>
      </c>
      <c r="H225" s="0" t="n">
        <v>0</v>
      </c>
      <c r="I225" s="51" t="s">
        <v>2795</v>
      </c>
      <c r="J225" s="49" t="s">
        <v>2778</v>
      </c>
      <c r="K225" s="52" t="n">
        <v>47824</v>
      </c>
      <c r="M225" s="51" t="s">
        <v>2541</v>
      </c>
      <c r="N225" s="0" t="n">
        <v>24</v>
      </c>
      <c r="O225" s="53" t="n">
        <v>46050.4986689815</v>
      </c>
      <c r="P225" s="53" t="n">
        <v>46061.3940740741</v>
      </c>
      <c r="Q225" s="53" t="n">
        <v>46050.4986689815</v>
      </c>
      <c r="R225" s="0" t="n">
        <v>0</v>
      </c>
      <c r="S225" s="51" t="s">
        <v>2380</v>
      </c>
      <c r="T225" s="51" t="s">
        <v>2380</v>
      </c>
      <c r="U225" s="51" t="s">
        <v>2551</v>
      </c>
      <c r="V225" s="51" t="s">
        <v>2205</v>
      </c>
      <c r="W225" s="51" t="s">
        <v>2796</v>
      </c>
      <c r="X225" s="51"/>
    </row>
    <row r="226" customFormat="false" ht="14.25" hidden="false" customHeight="false" outlineLevel="0" collapsed="false">
      <c r="A226" s="49" t="s">
        <v>2137</v>
      </c>
      <c r="B226" s="49" t="s">
        <v>14</v>
      </c>
      <c r="C226" s="49" t="s">
        <v>188</v>
      </c>
      <c r="D226" s="49" t="s">
        <v>2441</v>
      </c>
      <c r="E226" s="49" t="s">
        <v>2551</v>
      </c>
      <c r="F226" s="49" t="s">
        <v>168</v>
      </c>
      <c r="G226" s="49" t="n">
        <v>24</v>
      </c>
      <c r="H226" s="0" t="n">
        <v>0</v>
      </c>
      <c r="I226" s="51" t="s">
        <v>2797</v>
      </c>
      <c r="J226" s="49" t="s">
        <v>2778</v>
      </c>
      <c r="K226" s="52" t="n">
        <v>47824</v>
      </c>
      <c r="M226" s="51" t="s">
        <v>2541</v>
      </c>
      <c r="N226" s="0" t="n">
        <v>24</v>
      </c>
      <c r="O226" s="53" t="n">
        <v>46050.4990509259</v>
      </c>
      <c r="P226" s="53" t="n">
        <v>46061.3927546296</v>
      </c>
      <c r="Q226" s="53" t="n">
        <v>46050.4990509259</v>
      </c>
      <c r="R226" s="0" t="n">
        <v>0</v>
      </c>
      <c r="S226" s="51" t="s">
        <v>2380</v>
      </c>
      <c r="T226" s="51" t="s">
        <v>2380</v>
      </c>
      <c r="U226" s="51" t="s">
        <v>2551</v>
      </c>
      <c r="V226" s="51" t="s">
        <v>2205</v>
      </c>
      <c r="W226" s="51" t="s">
        <v>2540</v>
      </c>
      <c r="X226" s="51"/>
    </row>
    <row r="227" customFormat="false" ht="14.25" hidden="false" customHeight="false" outlineLevel="0" collapsed="false">
      <c r="A227" s="49" t="s">
        <v>2137</v>
      </c>
      <c r="B227" s="49" t="s">
        <v>14</v>
      </c>
      <c r="C227" s="49" t="s">
        <v>187</v>
      </c>
      <c r="D227" s="49" t="s">
        <v>2441</v>
      </c>
      <c r="E227" s="49" t="s">
        <v>2551</v>
      </c>
      <c r="F227" s="49" t="s">
        <v>168</v>
      </c>
      <c r="G227" s="49" t="n">
        <v>24</v>
      </c>
      <c r="H227" s="0" t="n">
        <v>0</v>
      </c>
      <c r="I227" s="51" t="s">
        <v>2798</v>
      </c>
      <c r="J227" s="49" t="s">
        <v>2778</v>
      </c>
      <c r="K227" s="52" t="n">
        <v>47824</v>
      </c>
      <c r="M227" s="51" t="s">
        <v>2541</v>
      </c>
      <c r="N227" s="0" t="n">
        <v>24</v>
      </c>
      <c r="O227" s="53" t="n">
        <v>46050.5013310185</v>
      </c>
      <c r="P227" s="53" t="n">
        <v>46061.3845717593</v>
      </c>
      <c r="Q227" s="53" t="n">
        <v>46050.5013310185</v>
      </c>
      <c r="R227" s="0" t="n">
        <v>0</v>
      </c>
      <c r="S227" s="51" t="s">
        <v>2380</v>
      </c>
      <c r="T227" s="51" t="s">
        <v>2380</v>
      </c>
      <c r="U227" s="51" t="s">
        <v>2551</v>
      </c>
      <c r="V227" s="51" t="s">
        <v>2205</v>
      </c>
      <c r="W227" s="51" t="s">
        <v>2799</v>
      </c>
      <c r="X227" s="51"/>
    </row>
    <row r="228" customFormat="false" ht="14.25" hidden="false" customHeight="false" outlineLevel="0" collapsed="false">
      <c r="A228" s="49" t="s">
        <v>2137</v>
      </c>
      <c r="B228" s="49" t="s">
        <v>14</v>
      </c>
      <c r="C228" s="49" t="s">
        <v>224</v>
      </c>
      <c r="D228" s="49" t="s">
        <v>2441</v>
      </c>
      <c r="E228" s="49" t="s">
        <v>2500</v>
      </c>
      <c r="F228" s="49" t="s">
        <v>16</v>
      </c>
      <c r="G228" s="49" t="n">
        <v>4</v>
      </c>
      <c r="H228" s="0" t="n">
        <v>0</v>
      </c>
      <c r="I228" s="51" t="s">
        <v>2800</v>
      </c>
      <c r="J228" s="49" t="s">
        <v>2801</v>
      </c>
      <c r="K228" s="52" t="n">
        <v>47827</v>
      </c>
      <c r="M228" s="51" t="s">
        <v>2445</v>
      </c>
      <c r="N228" s="0" t="n">
        <v>4</v>
      </c>
      <c r="O228" s="53" t="n">
        <v>46050.4728125</v>
      </c>
      <c r="P228" s="53" t="n">
        <v>46052.6660185185</v>
      </c>
      <c r="Q228" s="53" t="n">
        <v>46050.4728125</v>
      </c>
      <c r="R228" s="0" t="n">
        <v>0</v>
      </c>
      <c r="S228" s="51" t="s">
        <v>2380</v>
      </c>
      <c r="T228" s="51" t="s">
        <v>2380</v>
      </c>
      <c r="U228" s="51" t="s">
        <v>2500</v>
      </c>
      <c r="V228" s="51" t="s">
        <v>2142</v>
      </c>
      <c r="W228" s="51"/>
      <c r="X228" s="51"/>
    </row>
    <row r="229" customFormat="false" ht="14.25" hidden="false" customHeight="false" outlineLevel="0" collapsed="false">
      <c r="A229" s="49" t="s">
        <v>2137</v>
      </c>
      <c r="B229" s="49" t="s">
        <v>14</v>
      </c>
      <c r="C229" s="49" t="s">
        <v>982</v>
      </c>
      <c r="D229" s="49" t="s">
        <v>2441</v>
      </c>
      <c r="E229" s="49" t="s">
        <v>2500</v>
      </c>
      <c r="F229" s="49" t="s">
        <v>16</v>
      </c>
      <c r="G229" s="49" t="n">
        <v>4</v>
      </c>
      <c r="H229" s="0" t="n">
        <v>0</v>
      </c>
      <c r="I229" s="51" t="s">
        <v>2802</v>
      </c>
      <c r="J229" s="49" t="s">
        <v>2801</v>
      </c>
      <c r="K229" s="52" t="n">
        <v>47827</v>
      </c>
      <c r="M229" s="51" t="s">
        <v>2503</v>
      </c>
      <c r="N229" s="0" t="n">
        <v>4</v>
      </c>
      <c r="O229" s="53" t="n">
        <v>46060.4691319445</v>
      </c>
      <c r="P229" s="53" t="n">
        <v>46062.3671643519</v>
      </c>
      <c r="Q229" s="53" t="n">
        <v>46060.4691319445</v>
      </c>
      <c r="R229" s="0" t="n">
        <v>0</v>
      </c>
      <c r="S229" s="51" t="s">
        <v>2398</v>
      </c>
      <c r="T229" s="51" t="s">
        <v>2398</v>
      </c>
      <c r="U229" s="51" t="s">
        <v>2500</v>
      </c>
      <c r="V229" s="51" t="s">
        <v>2142</v>
      </c>
      <c r="W229" s="51"/>
      <c r="X229" s="51"/>
    </row>
    <row r="230" customFormat="false" ht="14.25" hidden="false" customHeight="false" outlineLevel="0" collapsed="false">
      <c r="A230" s="49" t="s">
        <v>2137</v>
      </c>
      <c r="B230" s="49" t="s">
        <v>14</v>
      </c>
      <c r="C230" s="49" t="s">
        <v>499</v>
      </c>
      <c r="D230" s="49" t="s">
        <v>2441</v>
      </c>
      <c r="E230" s="49" t="s">
        <v>2500</v>
      </c>
      <c r="F230" s="49" t="s">
        <v>16</v>
      </c>
      <c r="G230" s="49" t="n">
        <v>4</v>
      </c>
      <c r="H230" s="0" t="n">
        <v>0</v>
      </c>
      <c r="I230" s="51" t="s">
        <v>2803</v>
      </c>
      <c r="J230" s="49" t="s">
        <v>2801</v>
      </c>
      <c r="K230" s="52" t="n">
        <v>47827</v>
      </c>
      <c r="M230" s="51" t="s">
        <v>2487</v>
      </c>
      <c r="N230" s="0" t="n">
        <v>4</v>
      </c>
      <c r="O230" s="53" t="n">
        <v>46054.4536458333</v>
      </c>
      <c r="P230" s="53" t="n">
        <v>46054.6543402778</v>
      </c>
      <c r="Q230" s="53" t="n">
        <v>46054.4536458333</v>
      </c>
      <c r="R230" s="0" t="n">
        <v>0</v>
      </c>
      <c r="S230" s="51" t="s">
        <v>2380</v>
      </c>
      <c r="T230" s="51" t="s">
        <v>2380</v>
      </c>
      <c r="U230" s="51" t="s">
        <v>2500</v>
      </c>
      <c r="V230" s="51" t="s">
        <v>2142</v>
      </c>
      <c r="W230" s="51"/>
      <c r="X230" s="51"/>
    </row>
    <row r="231" customFormat="false" ht="14.25" hidden="false" customHeight="false" outlineLevel="0" collapsed="false">
      <c r="A231" s="49" t="s">
        <v>2137</v>
      </c>
      <c r="B231" s="49" t="s">
        <v>14</v>
      </c>
      <c r="C231" s="49" t="s">
        <v>475</v>
      </c>
      <c r="D231" s="49" t="s">
        <v>2441</v>
      </c>
      <c r="E231" s="49" t="s">
        <v>2500</v>
      </c>
      <c r="F231" s="49" t="s">
        <v>16</v>
      </c>
      <c r="G231" s="49" t="n">
        <v>4</v>
      </c>
      <c r="H231" s="0" t="n">
        <v>0</v>
      </c>
      <c r="I231" s="51" t="s">
        <v>2804</v>
      </c>
      <c r="J231" s="49" t="s">
        <v>2801</v>
      </c>
      <c r="K231" s="52" t="n">
        <v>47827</v>
      </c>
      <c r="M231" s="51" t="s">
        <v>2487</v>
      </c>
      <c r="N231" s="0" t="n">
        <v>4</v>
      </c>
      <c r="O231" s="53" t="n">
        <v>46054.4534606482</v>
      </c>
      <c r="P231" s="53" t="n">
        <v>46054.6544097222</v>
      </c>
      <c r="Q231" s="53" t="n">
        <v>46054.4534606482</v>
      </c>
      <c r="R231" s="0" t="n">
        <v>0</v>
      </c>
      <c r="S231" s="51" t="s">
        <v>2380</v>
      </c>
      <c r="T231" s="51" t="s">
        <v>2380</v>
      </c>
      <c r="U231" s="51" t="s">
        <v>2500</v>
      </c>
      <c r="V231" s="51" t="s">
        <v>2142</v>
      </c>
      <c r="W231" s="51"/>
      <c r="X231" s="51"/>
    </row>
    <row r="232" customFormat="false" ht="14.25" hidden="false" customHeight="false" outlineLevel="0" collapsed="false">
      <c r="A232" s="49" t="s">
        <v>2137</v>
      </c>
      <c r="B232" s="49" t="s">
        <v>14</v>
      </c>
      <c r="C232" s="49" t="s">
        <v>476</v>
      </c>
      <c r="D232" s="49" t="s">
        <v>2441</v>
      </c>
      <c r="E232" s="49" t="s">
        <v>2500</v>
      </c>
      <c r="F232" s="49" t="s">
        <v>16</v>
      </c>
      <c r="G232" s="49" t="n">
        <v>4</v>
      </c>
      <c r="H232" s="0" t="n">
        <v>0</v>
      </c>
      <c r="I232" s="51" t="s">
        <v>2805</v>
      </c>
      <c r="J232" s="49" t="s">
        <v>2801</v>
      </c>
      <c r="K232" s="52" t="n">
        <v>47827</v>
      </c>
      <c r="M232" s="51" t="s">
        <v>2487</v>
      </c>
      <c r="N232" s="0" t="n">
        <v>4</v>
      </c>
      <c r="O232" s="53" t="n">
        <v>46054.4507638889</v>
      </c>
      <c r="P232" s="53" t="n">
        <v>46054.6537847222</v>
      </c>
      <c r="Q232" s="53" t="n">
        <v>46054.4507638889</v>
      </c>
      <c r="R232" s="0" t="n">
        <v>0</v>
      </c>
      <c r="S232" s="51" t="s">
        <v>2380</v>
      </c>
      <c r="T232" s="51" t="s">
        <v>2380</v>
      </c>
      <c r="U232" s="51" t="s">
        <v>2500</v>
      </c>
      <c r="V232" s="51" t="s">
        <v>2142</v>
      </c>
      <c r="W232" s="51"/>
      <c r="X232" s="51"/>
    </row>
    <row r="233" customFormat="false" ht="14.25" hidden="false" customHeight="false" outlineLevel="0" collapsed="false">
      <c r="A233" s="49" t="s">
        <v>2137</v>
      </c>
      <c r="B233" s="49" t="s">
        <v>14</v>
      </c>
      <c r="C233" s="49" t="s">
        <v>498</v>
      </c>
      <c r="D233" s="49" t="s">
        <v>2441</v>
      </c>
      <c r="E233" s="49" t="s">
        <v>2500</v>
      </c>
      <c r="F233" s="49" t="s">
        <v>16</v>
      </c>
      <c r="G233" s="49" t="n">
        <v>4</v>
      </c>
      <c r="H233" s="0" t="n">
        <v>0</v>
      </c>
      <c r="I233" s="51" t="s">
        <v>2806</v>
      </c>
      <c r="J233" s="49" t="s">
        <v>2801</v>
      </c>
      <c r="K233" s="52" t="n">
        <v>47827</v>
      </c>
      <c r="M233" s="51" t="s">
        <v>2487</v>
      </c>
      <c r="N233" s="0" t="n">
        <v>4</v>
      </c>
      <c r="O233" s="53" t="n">
        <v>46054.4502662037</v>
      </c>
      <c r="P233" s="53" t="n">
        <v>46054.6570138889</v>
      </c>
      <c r="Q233" s="53" t="n">
        <v>46054.4502662037</v>
      </c>
      <c r="R233" s="0" t="n">
        <v>0</v>
      </c>
      <c r="S233" s="51" t="s">
        <v>2380</v>
      </c>
      <c r="T233" s="51" t="s">
        <v>2380</v>
      </c>
      <c r="U233" s="51" t="s">
        <v>2500</v>
      </c>
      <c r="V233" s="51" t="s">
        <v>2142</v>
      </c>
      <c r="W233" s="51"/>
      <c r="X233" s="51"/>
    </row>
    <row r="234" customFormat="false" ht="14.25" hidden="false" customHeight="false" outlineLevel="0" collapsed="false">
      <c r="A234" s="49" t="s">
        <v>2137</v>
      </c>
      <c r="B234" s="49" t="s">
        <v>14</v>
      </c>
      <c r="C234" s="49" t="s">
        <v>320</v>
      </c>
      <c r="D234" s="49" t="s">
        <v>2441</v>
      </c>
      <c r="E234" s="49" t="s">
        <v>2500</v>
      </c>
      <c r="F234" s="49" t="s">
        <v>16</v>
      </c>
      <c r="G234" s="49" t="n">
        <v>4</v>
      </c>
      <c r="H234" s="0" t="n">
        <v>0</v>
      </c>
      <c r="I234" s="51" t="s">
        <v>2807</v>
      </c>
      <c r="J234" s="49" t="s">
        <v>2801</v>
      </c>
      <c r="K234" s="52" t="n">
        <v>47827</v>
      </c>
      <c r="M234" s="51" t="s">
        <v>2808</v>
      </c>
      <c r="N234" s="0" t="n">
        <v>4</v>
      </c>
      <c r="O234" s="53" t="n">
        <v>46053.4793981482</v>
      </c>
      <c r="P234" s="53" t="n">
        <v>46053.5741087963</v>
      </c>
      <c r="Q234" s="53" t="n">
        <v>46053.4793981482</v>
      </c>
      <c r="R234" s="0" t="n">
        <v>0</v>
      </c>
      <c r="S234" s="51" t="s">
        <v>2380</v>
      </c>
      <c r="T234" s="51" t="s">
        <v>2380</v>
      </c>
      <c r="U234" s="51" t="s">
        <v>2500</v>
      </c>
      <c r="V234" s="51" t="s">
        <v>2142</v>
      </c>
      <c r="W234" s="51"/>
      <c r="X234" s="51"/>
    </row>
    <row r="235" customFormat="false" ht="14.25" hidden="false" customHeight="false" outlineLevel="0" collapsed="false">
      <c r="A235" s="49" t="s">
        <v>2137</v>
      </c>
      <c r="B235" s="49" t="s">
        <v>14</v>
      </c>
      <c r="C235" s="49" t="s">
        <v>349</v>
      </c>
      <c r="D235" s="49" t="s">
        <v>2441</v>
      </c>
      <c r="E235" s="49" t="s">
        <v>2500</v>
      </c>
      <c r="F235" s="49" t="s">
        <v>16</v>
      </c>
      <c r="G235" s="49" t="n">
        <v>4</v>
      </c>
      <c r="H235" s="0" t="n">
        <v>0</v>
      </c>
      <c r="I235" s="51" t="s">
        <v>2809</v>
      </c>
      <c r="J235" s="49" t="s">
        <v>2801</v>
      </c>
      <c r="K235" s="52" t="n">
        <v>47827</v>
      </c>
      <c r="M235" s="51" t="s">
        <v>2808</v>
      </c>
      <c r="N235" s="0" t="n">
        <v>4</v>
      </c>
      <c r="O235" s="53" t="n">
        <v>46053.4823032407</v>
      </c>
      <c r="P235" s="53" t="n">
        <v>46053.5739583333</v>
      </c>
      <c r="Q235" s="53" t="n">
        <v>46053.4823032407</v>
      </c>
      <c r="R235" s="0" t="n">
        <v>0</v>
      </c>
      <c r="S235" s="51" t="s">
        <v>2380</v>
      </c>
      <c r="T235" s="51" t="s">
        <v>2380</v>
      </c>
      <c r="U235" s="51" t="s">
        <v>2500</v>
      </c>
      <c r="V235" s="51" t="s">
        <v>2142</v>
      </c>
      <c r="W235" s="51"/>
      <c r="X235" s="51"/>
    </row>
    <row r="236" customFormat="false" ht="14.25" hidden="false" customHeight="false" outlineLevel="0" collapsed="false">
      <c r="A236" s="49" t="s">
        <v>2137</v>
      </c>
      <c r="B236" s="49" t="s">
        <v>14</v>
      </c>
      <c r="C236" s="49" t="s">
        <v>348</v>
      </c>
      <c r="D236" s="49" t="s">
        <v>2441</v>
      </c>
      <c r="E236" s="49" t="s">
        <v>2500</v>
      </c>
      <c r="F236" s="49" t="s">
        <v>16</v>
      </c>
      <c r="G236" s="49" t="n">
        <v>4</v>
      </c>
      <c r="H236" s="0" t="n">
        <v>0</v>
      </c>
      <c r="I236" s="51" t="s">
        <v>2810</v>
      </c>
      <c r="J236" s="49" t="s">
        <v>2801</v>
      </c>
      <c r="K236" s="52" t="n">
        <v>47827</v>
      </c>
      <c r="M236" s="51" t="s">
        <v>2808</v>
      </c>
      <c r="N236" s="0" t="n">
        <v>4</v>
      </c>
      <c r="O236" s="53" t="n">
        <v>46053.4823958333</v>
      </c>
      <c r="P236" s="53" t="n">
        <v>46053.5738541667</v>
      </c>
      <c r="Q236" s="53" t="n">
        <v>46053.4823958333</v>
      </c>
      <c r="R236" s="0" t="n">
        <v>0</v>
      </c>
      <c r="S236" s="51" t="s">
        <v>2380</v>
      </c>
      <c r="T236" s="51" t="s">
        <v>2380</v>
      </c>
      <c r="U236" s="51" t="s">
        <v>2500</v>
      </c>
      <c r="V236" s="51" t="s">
        <v>2142</v>
      </c>
      <c r="W236" s="51"/>
      <c r="X236" s="51"/>
    </row>
    <row r="237" customFormat="false" ht="14.25" hidden="false" customHeight="false" outlineLevel="0" collapsed="false">
      <c r="A237" s="49" t="s">
        <v>2137</v>
      </c>
      <c r="B237" s="49" t="s">
        <v>14</v>
      </c>
      <c r="C237" s="49" t="s">
        <v>347</v>
      </c>
      <c r="D237" s="49" t="s">
        <v>2441</v>
      </c>
      <c r="E237" s="49" t="s">
        <v>2500</v>
      </c>
      <c r="F237" s="49" t="s">
        <v>16</v>
      </c>
      <c r="G237" s="49" t="n">
        <v>4</v>
      </c>
      <c r="H237" s="0" t="n">
        <v>0</v>
      </c>
      <c r="I237" s="51" t="s">
        <v>2811</v>
      </c>
      <c r="J237" s="49" t="s">
        <v>2801</v>
      </c>
      <c r="K237" s="52" t="n">
        <v>47827</v>
      </c>
      <c r="M237" s="51" t="s">
        <v>2808</v>
      </c>
      <c r="N237" s="0" t="n">
        <v>4</v>
      </c>
      <c r="O237" s="53" t="n">
        <v>46053.4825694444</v>
      </c>
      <c r="P237" s="53" t="n">
        <v>46053.5737731482</v>
      </c>
      <c r="Q237" s="53" t="n">
        <v>46053.4825694444</v>
      </c>
      <c r="R237" s="0" t="n">
        <v>0</v>
      </c>
      <c r="S237" s="51" t="s">
        <v>2380</v>
      </c>
      <c r="T237" s="51" t="s">
        <v>2380</v>
      </c>
      <c r="U237" s="51" t="s">
        <v>2500</v>
      </c>
      <c r="V237" s="51" t="s">
        <v>2142</v>
      </c>
      <c r="W237" s="51"/>
      <c r="X237" s="51"/>
    </row>
    <row r="238" customFormat="false" ht="14.25" hidden="false" customHeight="false" outlineLevel="0" collapsed="false">
      <c r="A238" s="49" t="s">
        <v>2137</v>
      </c>
      <c r="B238" s="49" t="s">
        <v>14</v>
      </c>
      <c r="C238" s="49" t="s">
        <v>346</v>
      </c>
      <c r="D238" s="49" t="s">
        <v>2441</v>
      </c>
      <c r="E238" s="49" t="s">
        <v>2500</v>
      </c>
      <c r="F238" s="49" t="s">
        <v>16</v>
      </c>
      <c r="G238" s="49" t="n">
        <v>4</v>
      </c>
      <c r="H238" s="0" t="n">
        <v>0</v>
      </c>
      <c r="I238" s="51" t="s">
        <v>2812</v>
      </c>
      <c r="J238" s="49" t="s">
        <v>2801</v>
      </c>
      <c r="K238" s="52" t="n">
        <v>47827</v>
      </c>
      <c r="M238" s="51" t="s">
        <v>2808</v>
      </c>
      <c r="N238" s="0" t="n">
        <v>4</v>
      </c>
      <c r="O238" s="53" t="n">
        <v>46053.4826736111</v>
      </c>
      <c r="P238" s="53" t="n">
        <v>46053.5736805556</v>
      </c>
      <c r="Q238" s="53" t="n">
        <v>46053.4826736111</v>
      </c>
      <c r="R238" s="0" t="n">
        <v>0</v>
      </c>
      <c r="S238" s="51" t="s">
        <v>2380</v>
      </c>
      <c r="T238" s="51" t="s">
        <v>2380</v>
      </c>
      <c r="U238" s="51" t="s">
        <v>2500</v>
      </c>
      <c r="V238" s="51" t="s">
        <v>2142</v>
      </c>
      <c r="W238" s="51"/>
      <c r="X238" s="51"/>
    </row>
    <row r="239" customFormat="false" ht="14.25" hidden="false" customHeight="false" outlineLevel="0" collapsed="false">
      <c r="A239" s="49" t="s">
        <v>2137</v>
      </c>
      <c r="B239" s="49" t="s">
        <v>14</v>
      </c>
      <c r="C239" s="49" t="s">
        <v>345</v>
      </c>
      <c r="D239" s="49" t="s">
        <v>2441</v>
      </c>
      <c r="E239" s="49" t="s">
        <v>2500</v>
      </c>
      <c r="F239" s="49" t="s">
        <v>16</v>
      </c>
      <c r="G239" s="49" t="n">
        <v>4</v>
      </c>
      <c r="H239" s="0" t="n">
        <v>0</v>
      </c>
      <c r="I239" s="51" t="s">
        <v>2813</v>
      </c>
      <c r="J239" s="49" t="s">
        <v>2801</v>
      </c>
      <c r="K239" s="52" t="n">
        <v>47827</v>
      </c>
      <c r="M239" s="51" t="s">
        <v>2808</v>
      </c>
      <c r="N239" s="0" t="n">
        <v>4</v>
      </c>
      <c r="O239" s="53" t="n">
        <v>46053.4827893519</v>
      </c>
      <c r="P239" s="53" t="n">
        <v>46053.5735532407</v>
      </c>
      <c r="Q239" s="53" t="n">
        <v>46053.4827893519</v>
      </c>
      <c r="R239" s="0" t="n">
        <v>0</v>
      </c>
      <c r="S239" s="51" t="s">
        <v>2380</v>
      </c>
      <c r="T239" s="51" t="s">
        <v>2380</v>
      </c>
      <c r="U239" s="51" t="s">
        <v>2500</v>
      </c>
      <c r="V239" s="51" t="s">
        <v>2142</v>
      </c>
      <c r="W239" s="51"/>
      <c r="X239" s="51"/>
    </row>
    <row r="240" customFormat="false" ht="14.25" hidden="false" customHeight="false" outlineLevel="0" collapsed="false">
      <c r="A240" s="49" t="s">
        <v>2137</v>
      </c>
      <c r="B240" s="49" t="s">
        <v>14</v>
      </c>
      <c r="C240" s="49" t="s">
        <v>344</v>
      </c>
      <c r="D240" s="49" t="s">
        <v>2441</v>
      </c>
      <c r="E240" s="49" t="s">
        <v>2500</v>
      </c>
      <c r="F240" s="49" t="s">
        <v>16</v>
      </c>
      <c r="G240" s="49" t="n">
        <v>4</v>
      </c>
      <c r="H240" s="0" t="n">
        <v>0</v>
      </c>
      <c r="I240" s="51" t="s">
        <v>2814</v>
      </c>
      <c r="J240" s="49" t="s">
        <v>2801</v>
      </c>
      <c r="K240" s="52" t="n">
        <v>47827</v>
      </c>
      <c r="M240" s="51" t="s">
        <v>2808</v>
      </c>
      <c r="N240" s="0" t="n">
        <v>4</v>
      </c>
      <c r="O240" s="53" t="n">
        <v>46053.4829513889</v>
      </c>
      <c r="P240" s="53" t="n">
        <v>46053.5736226852</v>
      </c>
      <c r="Q240" s="53" t="n">
        <v>46053.4829513889</v>
      </c>
      <c r="R240" s="0" t="n">
        <v>0</v>
      </c>
      <c r="S240" s="51" t="s">
        <v>2380</v>
      </c>
      <c r="T240" s="51" t="s">
        <v>2380</v>
      </c>
      <c r="U240" s="51" t="s">
        <v>2500</v>
      </c>
      <c r="V240" s="51" t="s">
        <v>2142</v>
      </c>
      <c r="W240" s="51"/>
      <c r="X240" s="51"/>
    </row>
    <row r="241" customFormat="false" ht="14.25" hidden="false" customHeight="false" outlineLevel="0" collapsed="false">
      <c r="A241" s="49" t="s">
        <v>2137</v>
      </c>
      <c r="B241" s="49" t="s">
        <v>14</v>
      </c>
      <c r="C241" s="49" t="s">
        <v>343</v>
      </c>
      <c r="D241" s="49" t="s">
        <v>2441</v>
      </c>
      <c r="E241" s="49" t="s">
        <v>2500</v>
      </c>
      <c r="F241" s="49" t="s">
        <v>16</v>
      </c>
      <c r="G241" s="49" t="n">
        <v>4</v>
      </c>
      <c r="H241" s="0" t="n">
        <v>0</v>
      </c>
      <c r="I241" s="51" t="s">
        <v>2815</v>
      </c>
      <c r="J241" s="49" t="s">
        <v>2801</v>
      </c>
      <c r="K241" s="52" t="n">
        <v>47827</v>
      </c>
      <c r="M241" s="51" t="s">
        <v>2808</v>
      </c>
      <c r="N241" s="0" t="n">
        <v>4</v>
      </c>
      <c r="O241" s="53" t="n">
        <v>46053.4831018519</v>
      </c>
      <c r="P241" s="53" t="n">
        <v>46053.5737268519</v>
      </c>
      <c r="Q241" s="53" t="n">
        <v>46053.4831018519</v>
      </c>
      <c r="R241" s="0" t="n">
        <v>0</v>
      </c>
      <c r="S241" s="51" t="s">
        <v>2380</v>
      </c>
      <c r="T241" s="51" t="s">
        <v>2380</v>
      </c>
      <c r="U241" s="51" t="s">
        <v>2500</v>
      </c>
      <c r="V241" s="51" t="s">
        <v>2142</v>
      </c>
      <c r="W241" s="51"/>
      <c r="X241" s="51"/>
    </row>
    <row r="242" customFormat="false" ht="14.25" hidden="false" customHeight="false" outlineLevel="0" collapsed="false">
      <c r="A242" s="49" t="s">
        <v>2137</v>
      </c>
      <c r="B242" s="49" t="s">
        <v>14</v>
      </c>
      <c r="C242" s="49" t="s">
        <v>342</v>
      </c>
      <c r="D242" s="49" t="s">
        <v>2441</v>
      </c>
      <c r="E242" s="49" t="s">
        <v>2500</v>
      </c>
      <c r="F242" s="49" t="s">
        <v>16</v>
      </c>
      <c r="G242" s="49" t="n">
        <v>4</v>
      </c>
      <c r="H242" s="0" t="n">
        <v>0</v>
      </c>
      <c r="I242" s="51" t="s">
        <v>2816</v>
      </c>
      <c r="J242" s="49" t="s">
        <v>2801</v>
      </c>
      <c r="K242" s="52" t="n">
        <v>47827</v>
      </c>
      <c r="M242" s="51" t="s">
        <v>2808</v>
      </c>
      <c r="N242" s="0" t="n">
        <v>4</v>
      </c>
      <c r="O242" s="53" t="n">
        <v>46053.4832986111</v>
      </c>
      <c r="P242" s="53" t="n">
        <v>46053.573900463</v>
      </c>
      <c r="Q242" s="53" t="n">
        <v>46053.4832986111</v>
      </c>
      <c r="R242" s="0" t="n">
        <v>0</v>
      </c>
      <c r="S242" s="51" t="s">
        <v>2380</v>
      </c>
      <c r="T242" s="51" t="s">
        <v>2380</v>
      </c>
      <c r="U242" s="51" t="s">
        <v>2500</v>
      </c>
      <c r="V242" s="51" t="s">
        <v>2142</v>
      </c>
      <c r="W242" s="51"/>
      <c r="X242" s="51"/>
    </row>
    <row r="243" customFormat="false" ht="14.25" hidden="false" customHeight="false" outlineLevel="0" collapsed="false">
      <c r="A243" s="49" t="s">
        <v>2137</v>
      </c>
      <c r="B243" s="49" t="s">
        <v>14</v>
      </c>
      <c r="C243" s="49" t="s">
        <v>341</v>
      </c>
      <c r="D243" s="49" t="s">
        <v>2441</v>
      </c>
      <c r="E243" s="49" t="s">
        <v>2500</v>
      </c>
      <c r="F243" s="49" t="s">
        <v>16</v>
      </c>
      <c r="G243" s="49" t="n">
        <v>4</v>
      </c>
      <c r="H243" s="0" t="n">
        <v>0</v>
      </c>
      <c r="I243" s="51" t="s">
        <v>2817</v>
      </c>
      <c r="J243" s="49" t="s">
        <v>2801</v>
      </c>
      <c r="K243" s="52" t="n">
        <v>47827</v>
      </c>
      <c r="M243" s="51" t="s">
        <v>2808</v>
      </c>
      <c r="N243" s="0" t="n">
        <v>4</v>
      </c>
      <c r="O243" s="53" t="n">
        <v>46053.4834143519</v>
      </c>
      <c r="P243" s="53" t="n">
        <v>46053.5740046296</v>
      </c>
      <c r="Q243" s="53" t="n">
        <v>46053.4834143519</v>
      </c>
      <c r="R243" s="0" t="n">
        <v>0</v>
      </c>
      <c r="S243" s="51" t="s">
        <v>2380</v>
      </c>
      <c r="T243" s="51" t="s">
        <v>2380</v>
      </c>
      <c r="U243" s="51" t="s">
        <v>2500</v>
      </c>
      <c r="V243" s="51" t="s">
        <v>2142</v>
      </c>
      <c r="W243" s="51"/>
      <c r="X243" s="51"/>
    </row>
    <row r="244" customFormat="false" ht="14.25" hidden="false" customHeight="false" outlineLevel="0" collapsed="false">
      <c r="A244" s="49" t="s">
        <v>2137</v>
      </c>
      <c r="B244" s="49" t="s">
        <v>14</v>
      </c>
      <c r="C244" s="49" t="s">
        <v>340</v>
      </c>
      <c r="D244" s="49" t="s">
        <v>2441</v>
      </c>
      <c r="E244" s="49" t="s">
        <v>2500</v>
      </c>
      <c r="F244" s="49" t="s">
        <v>16</v>
      </c>
      <c r="G244" s="49" t="n">
        <v>4</v>
      </c>
      <c r="H244" s="0" t="n">
        <v>0</v>
      </c>
      <c r="I244" s="51" t="s">
        <v>2818</v>
      </c>
      <c r="J244" s="49" t="s">
        <v>2801</v>
      </c>
      <c r="K244" s="52" t="n">
        <v>47827</v>
      </c>
      <c r="M244" s="51" t="s">
        <v>2808</v>
      </c>
      <c r="N244" s="0" t="n">
        <v>4</v>
      </c>
      <c r="O244" s="53" t="n">
        <v>46053.4835416667</v>
      </c>
      <c r="P244" s="53" t="n">
        <v>46053.5740509259</v>
      </c>
      <c r="Q244" s="53" t="n">
        <v>46053.4835416667</v>
      </c>
      <c r="R244" s="0" t="n">
        <v>0</v>
      </c>
      <c r="S244" s="51" t="s">
        <v>2380</v>
      </c>
      <c r="T244" s="51" t="s">
        <v>2380</v>
      </c>
      <c r="U244" s="51" t="s">
        <v>2500</v>
      </c>
      <c r="V244" s="51" t="s">
        <v>2142</v>
      </c>
      <c r="W244" s="51"/>
      <c r="X244" s="51"/>
    </row>
    <row r="245" customFormat="false" ht="14.25" hidden="false" customHeight="false" outlineLevel="0" collapsed="false">
      <c r="A245" s="49" t="s">
        <v>2137</v>
      </c>
      <c r="B245" s="49" t="s">
        <v>14</v>
      </c>
      <c r="C245" s="49" t="s">
        <v>339</v>
      </c>
      <c r="D245" s="49" t="s">
        <v>2441</v>
      </c>
      <c r="E245" s="49" t="s">
        <v>2500</v>
      </c>
      <c r="F245" s="49" t="s">
        <v>16</v>
      </c>
      <c r="G245" s="49" t="n">
        <v>4</v>
      </c>
      <c r="H245" s="0" t="n">
        <v>0</v>
      </c>
      <c r="I245" s="51" t="s">
        <v>2819</v>
      </c>
      <c r="J245" s="49" t="s">
        <v>2801</v>
      </c>
      <c r="K245" s="52" t="n">
        <v>47827</v>
      </c>
      <c r="M245" s="51" t="s">
        <v>2808</v>
      </c>
      <c r="N245" s="0" t="n">
        <v>4</v>
      </c>
      <c r="O245" s="53" t="n">
        <v>46053.4836458333</v>
      </c>
      <c r="P245" s="53" t="n">
        <v>46053.5527314815</v>
      </c>
      <c r="Q245" s="53" t="n">
        <v>46053.4836458333</v>
      </c>
      <c r="R245" s="0" t="n">
        <v>0</v>
      </c>
      <c r="S245" s="51" t="s">
        <v>2380</v>
      </c>
      <c r="T245" s="51" t="s">
        <v>2380</v>
      </c>
      <c r="U245" s="51" t="s">
        <v>2500</v>
      </c>
      <c r="V245" s="51" t="s">
        <v>2142</v>
      </c>
      <c r="W245" s="51"/>
      <c r="X245" s="51"/>
    </row>
    <row r="246" customFormat="false" ht="14.25" hidden="false" customHeight="false" outlineLevel="0" collapsed="false">
      <c r="A246" s="49" t="s">
        <v>2137</v>
      </c>
      <c r="B246" s="49" t="s">
        <v>14</v>
      </c>
      <c r="C246" s="49" t="s">
        <v>338</v>
      </c>
      <c r="D246" s="49" t="s">
        <v>2441</v>
      </c>
      <c r="E246" s="49" t="s">
        <v>2500</v>
      </c>
      <c r="F246" s="49" t="s">
        <v>16</v>
      </c>
      <c r="G246" s="49" t="n">
        <v>4</v>
      </c>
      <c r="H246" s="0" t="n">
        <v>0</v>
      </c>
      <c r="I246" s="51" t="s">
        <v>2820</v>
      </c>
      <c r="J246" s="49" t="s">
        <v>2801</v>
      </c>
      <c r="K246" s="52" t="n">
        <v>47827</v>
      </c>
      <c r="M246" s="51" t="s">
        <v>2808</v>
      </c>
      <c r="N246" s="0" t="n">
        <v>4</v>
      </c>
      <c r="O246" s="53" t="n">
        <v>46053.4837615741</v>
      </c>
      <c r="P246" s="53" t="n">
        <v>46053.5523958333</v>
      </c>
      <c r="Q246" s="53" t="n">
        <v>46053.4837615741</v>
      </c>
      <c r="R246" s="0" t="n">
        <v>0</v>
      </c>
      <c r="S246" s="51" t="s">
        <v>2380</v>
      </c>
      <c r="T246" s="51" t="s">
        <v>2380</v>
      </c>
      <c r="U246" s="51" t="s">
        <v>2500</v>
      </c>
      <c r="V246" s="51" t="s">
        <v>2142</v>
      </c>
      <c r="X246" s="51"/>
    </row>
    <row r="247" customFormat="false" ht="14.25" hidden="false" customHeight="false" outlineLevel="0" collapsed="false">
      <c r="A247" s="49" t="s">
        <v>2137</v>
      </c>
      <c r="B247" s="49" t="s">
        <v>14</v>
      </c>
      <c r="C247" s="49" t="s">
        <v>337</v>
      </c>
      <c r="D247" s="49" t="s">
        <v>2441</v>
      </c>
      <c r="E247" s="49" t="s">
        <v>2500</v>
      </c>
      <c r="F247" s="49" t="s">
        <v>16</v>
      </c>
      <c r="G247" s="49" t="n">
        <v>4</v>
      </c>
      <c r="H247" s="0" t="n">
        <v>0</v>
      </c>
      <c r="I247" s="51" t="s">
        <v>2821</v>
      </c>
      <c r="J247" s="49" t="s">
        <v>2801</v>
      </c>
      <c r="K247" s="52" t="n">
        <v>47827</v>
      </c>
      <c r="M247" s="51" t="s">
        <v>2808</v>
      </c>
      <c r="N247" s="0" t="n">
        <v>4</v>
      </c>
      <c r="O247" s="53" t="n">
        <v>46053.4838773148</v>
      </c>
      <c r="P247" s="53" t="n">
        <v>46053.5522337963</v>
      </c>
      <c r="Q247" s="53" t="n">
        <v>46053.4838773148</v>
      </c>
      <c r="R247" s="0" t="n">
        <v>0</v>
      </c>
      <c r="S247" s="51" t="s">
        <v>2380</v>
      </c>
      <c r="T247" s="51" t="s">
        <v>2380</v>
      </c>
      <c r="U247" s="51" t="s">
        <v>2500</v>
      </c>
      <c r="V247" s="51" t="s">
        <v>2142</v>
      </c>
      <c r="X247" s="51"/>
    </row>
    <row r="248" customFormat="false" ht="14.25" hidden="false" customHeight="false" outlineLevel="0" collapsed="false">
      <c r="A248" s="49" t="s">
        <v>2137</v>
      </c>
      <c r="B248" s="49" t="s">
        <v>14</v>
      </c>
      <c r="C248" s="49" t="s">
        <v>336</v>
      </c>
      <c r="D248" s="49" t="s">
        <v>2441</v>
      </c>
      <c r="E248" s="49" t="s">
        <v>2500</v>
      </c>
      <c r="F248" s="49" t="s">
        <v>16</v>
      </c>
      <c r="G248" s="49" t="n">
        <v>4</v>
      </c>
      <c r="H248" s="0" t="n">
        <v>0</v>
      </c>
      <c r="I248" s="51" t="s">
        <v>2822</v>
      </c>
      <c r="J248" s="49" t="s">
        <v>2801</v>
      </c>
      <c r="K248" s="52" t="n">
        <v>47827</v>
      </c>
      <c r="M248" s="51" t="s">
        <v>2808</v>
      </c>
      <c r="N248" s="0" t="n">
        <v>4</v>
      </c>
      <c r="O248" s="53" t="n">
        <v>46053.4839930556</v>
      </c>
      <c r="P248" s="53" t="n">
        <v>46053.5744212963</v>
      </c>
      <c r="Q248" s="53" t="n">
        <v>46053.4839930556</v>
      </c>
      <c r="R248" s="0" t="n">
        <v>0</v>
      </c>
      <c r="S248" s="51" t="s">
        <v>2380</v>
      </c>
      <c r="T248" s="51" t="s">
        <v>2380</v>
      </c>
      <c r="U248" s="51" t="s">
        <v>2500</v>
      </c>
      <c r="V248" s="51" t="s">
        <v>2142</v>
      </c>
      <c r="W248" s="51"/>
      <c r="X248" s="51"/>
    </row>
    <row r="249" customFormat="false" ht="14.25" hidden="false" customHeight="false" outlineLevel="0" collapsed="false">
      <c r="A249" s="49" t="s">
        <v>2137</v>
      </c>
      <c r="B249" s="49" t="s">
        <v>14</v>
      </c>
      <c r="C249" s="49" t="s">
        <v>335</v>
      </c>
      <c r="D249" s="49" t="s">
        <v>2441</v>
      </c>
      <c r="E249" s="49" t="s">
        <v>2500</v>
      </c>
      <c r="F249" s="49" t="s">
        <v>16</v>
      </c>
      <c r="G249" s="49" t="n">
        <v>4</v>
      </c>
      <c r="H249" s="0" t="n">
        <v>0</v>
      </c>
      <c r="I249" s="51" t="s">
        <v>2823</v>
      </c>
      <c r="J249" s="49" t="s">
        <v>2801</v>
      </c>
      <c r="K249" s="52" t="n">
        <v>47827</v>
      </c>
      <c r="M249" s="51" t="s">
        <v>2808</v>
      </c>
      <c r="N249" s="0" t="n">
        <v>4</v>
      </c>
      <c r="O249" s="53" t="n">
        <v>46053.4841087963</v>
      </c>
      <c r="P249" s="53" t="n">
        <v>46053.5744675926</v>
      </c>
      <c r="Q249" s="53" t="n">
        <v>46053.4841087963</v>
      </c>
      <c r="R249" s="0" t="n">
        <v>0</v>
      </c>
      <c r="S249" s="51" t="s">
        <v>2380</v>
      </c>
      <c r="T249" s="51" t="s">
        <v>2380</v>
      </c>
      <c r="U249" s="51" t="s">
        <v>2500</v>
      </c>
      <c r="V249" s="51" t="s">
        <v>2142</v>
      </c>
      <c r="W249" s="51"/>
      <c r="X249" s="51"/>
    </row>
    <row r="250" customFormat="false" ht="14.25" hidden="false" customHeight="false" outlineLevel="0" collapsed="false">
      <c r="A250" s="49" t="s">
        <v>2137</v>
      </c>
      <c r="B250" s="49" t="s">
        <v>14</v>
      </c>
      <c r="C250" s="49" t="s">
        <v>334</v>
      </c>
      <c r="D250" s="49" t="s">
        <v>2441</v>
      </c>
      <c r="E250" s="49" t="s">
        <v>2500</v>
      </c>
      <c r="F250" s="49" t="s">
        <v>16</v>
      </c>
      <c r="G250" s="49" t="n">
        <v>4</v>
      </c>
      <c r="H250" s="0" t="n">
        <v>0</v>
      </c>
      <c r="I250" s="51" t="s">
        <v>2824</v>
      </c>
      <c r="J250" s="49" t="s">
        <v>2801</v>
      </c>
      <c r="K250" s="52" t="n">
        <v>47827</v>
      </c>
      <c r="M250" s="51" t="s">
        <v>2808</v>
      </c>
      <c r="N250" s="0" t="n">
        <v>4</v>
      </c>
      <c r="O250" s="53" t="n">
        <v>46053.4842013889</v>
      </c>
      <c r="P250" s="53" t="n">
        <v>46053.574212963</v>
      </c>
      <c r="Q250" s="53" t="n">
        <v>46053.4842013889</v>
      </c>
      <c r="R250" s="0" t="n">
        <v>0</v>
      </c>
      <c r="S250" s="51" t="s">
        <v>2380</v>
      </c>
      <c r="T250" s="51" t="s">
        <v>2380</v>
      </c>
      <c r="U250" s="51" t="s">
        <v>2500</v>
      </c>
      <c r="V250" s="51" t="s">
        <v>2142</v>
      </c>
      <c r="W250" s="51"/>
      <c r="X250" s="51"/>
    </row>
    <row r="251" customFormat="false" ht="14.25" hidden="true" customHeight="false" outlineLevel="0" collapsed="false">
      <c r="A251" s="49" t="s">
        <v>2137</v>
      </c>
      <c r="B251" s="49" t="s">
        <v>14</v>
      </c>
      <c r="C251" s="49" t="s">
        <v>333</v>
      </c>
      <c r="D251" s="49" t="s">
        <v>2441</v>
      </c>
      <c r="E251" s="49" t="s">
        <v>2500</v>
      </c>
      <c r="F251" s="49" t="s">
        <v>16</v>
      </c>
      <c r="G251" s="49" t="n">
        <v>4</v>
      </c>
      <c r="H251" s="0" t="n">
        <v>0</v>
      </c>
      <c r="I251" s="51" t="s">
        <v>2825</v>
      </c>
      <c r="J251" s="49" t="s">
        <v>2801</v>
      </c>
      <c r="K251" s="52" t="n">
        <v>47827</v>
      </c>
      <c r="M251" s="51" t="s">
        <v>2808</v>
      </c>
      <c r="N251" s="49" t="n">
        <v>4</v>
      </c>
      <c r="O251" s="53" t="n">
        <v>46053.4842824074</v>
      </c>
      <c r="P251" s="53" t="n">
        <v>46053.5741550926</v>
      </c>
      <c r="Q251" s="53" t="n">
        <v>46053.4842824074</v>
      </c>
      <c r="R251" s="0" t="n">
        <v>0</v>
      </c>
      <c r="S251" s="51" t="s">
        <v>2380</v>
      </c>
      <c r="T251" s="51" t="s">
        <v>2380</v>
      </c>
      <c r="U251" s="51" t="s">
        <v>2500</v>
      </c>
      <c r="V251" s="51" t="s">
        <v>2142</v>
      </c>
      <c r="W251" s="51"/>
      <c r="X251" s="51"/>
    </row>
    <row r="252" customFormat="false" ht="14.25" hidden="true" customHeight="false" outlineLevel="0" collapsed="false">
      <c r="A252" s="49" t="s">
        <v>2137</v>
      </c>
      <c r="B252" s="49" t="s">
        <v>14</v>
      </c>
      <c r="C252" s="49" t="s">
        <v>332</v>
      </c>
      <c r="D252" s="49" t="s">
        <v>2441</v>
      </c>
      <c r="E252" s="49" t="s">
        <v>2500</v>
      </c>
      <c r="F252" s="49" t="s">
        <v>16</v>
      </c>
      <c r="G252" s="49" t="n">
        <v>4</v>
      </c>
      <c r="H252" s="0" t="n">
        <v>0</v>
      </c>
      <c r="I252" s="51" t="s">
        <v>2826</v>
      </c>
      <c r="J252" s="49" t="s">
        <v>2801</v>
      </c>
      <c r="K252" s="52" t="n">
        <v>47827</v>
      </c>
      <c r="M252" s="51" t="s">
        <v>2808</v>
      </c>
      <c r="N252" s="49" t="n">
        <v>4</v>
      </c>
      <c r="O252" s="53" t="n">
        <v>46053.4844444444</v>
      </c>
      <c r="P252" s="53" t="n">
        <v>46053.5742824074</v>
      </c>
      <c r="Q252" s="53" t="n">
        <v>46053.4844444444</v>
      </c>
      <c r="R252" s="0" t="n">
        <v>0</v>
      </c>
      <c r="S252" s="51" t="s">
        <v>2380</v>
      </c>
      <c r="T252" s="51" t="s">
        <v>2380</v>
      </c>
      <c r="U252" s="51" t="s">
        <v>2500</v>
      </c>
      <c r="V252" s="51" t="s">
        <v>2142</v>
      </c>
      <c r="W252" s="51"/>
      <c r="X252" s="51"/>
    </row>
    <row r="253" customFormat="false" ht="14.25" hidden="false" customHeight="false" outlineLevel="0" collapsed="false">
      <c r="A253" s="49" t="s">
        <v>2137</v>
      </c>
      <c r="B253" s="49" t="s">
        <v>14</v>
      </c>
      <c r="C253" s="49" t="s">
        <v>331</v>
      </c>
      <c r="D253" s="49" t="s">
        <v>2441</v>
      </c>
      <c r="E253" s="49" t="s">
        <v>2500</v>
      </c>
      <c r="F253" s="49" t="s">
        <v>16</v>
      </c>
      <c r="G253" s="49" t="n">
        <v>4</v>
      </c>
      <c r="H253" s="0" t="n">
        <v>0</v>
      </c>
      <c r="I253" s="51" t="s">
        <v>2827</v>
      </c>
      <c r="J253" s="49" t="s">
        <v>2801</v>
      </c>
      <c r="K253" s="52" t="n">
        <v>47827</v>
      </c>
      <c r="M253" s="51" t="s">
        <v>2808</v>
      </c>
      <c r="N253" s="0" t="n">
        <v>4</v>
      </c>
      <c r="O253" s="53" t="n">
        <v>46053.4845833333</v>
      </c>
      <c r="P253" s="53" t="n">
        <v>46053.5743287037</v>
      </c>
      <c r="Q253" s="53" t="n">
        <v>46053.4845833333</v>
      </c>
      <c r="R253" s="0" t="n">
        <v>0</v>
      </c>
      <c r="S253" s="51" t="s">
        <v>2380</v>
      </c>
      <c r="T253" s="51" t="s">
        <v>2380</v>
      </c>
      <c r="U253" s="51" t="s">
        <v>2500</v>
      </c>
      <c r="V253" s="51" t="s">
        <v>2142</v>
      </c>
      <c r="X253" s="51"/>
    </row>
    <row r="254" customFormat="false" ht="14.25" hidden="true" customHeight="false" outlineLevel="0" collapsed="false">
      <c r="A254" s="49" t="s">
        <v>2137</v>
      </c>
      <c r="B254" s="49" t="s">
        <v>14</v>
      </c>
      <c r="C254" s="49" t="s">
        <v>330</v>
      </c>
      <c r="D254" s="49" t="s">
        <v>2441</v>
      </c>
      <c r="E254" s="49" t="s">
        <v>2500</v>
      </c>
      <c r="F254" s="49" t="s">
        <v>16</v>
      </c>
      <c r="G254" s="49" t="n">
        <v>4</v>
      </c>
      <c r="H254" s="0" t="n">
        <v>0</v>
      </c>
      <c r="I254" s="51" t="s">
        <v>2828</v>
      </c>
      <c r="J254" s="49" t="s">
        <v>2801</v>
      </c>
      <c r="K254" s="52" t="n">
        <v>47827</v>
      </c>
      <c r="M254" s="51" t="s">
        <v>2808</v>
      </c>
      <c r="N254" s="49" t="n">
        <v>4</v>
      </c>
      <c r="O254" s="53" t="n">
        <v>46053.4847106482</v>
      </c>
      <c r="P254" s="53" t="n">
        <v>46053.574525463</v>
      </c>
      <c r="Q254" s="53" t="n">
        <v>46053.4847106482</v>
      </c>
      <c r="R254" s="0" t="n">
        <v>0</v>
      </c>
      <c r="S254" s="51" t="s">
        <v>2380</v>
      </c>
      <c r="T254" s="51" t="s">
        <v>2380</v>
      </c>
      <c r="U254" s="51" t="s">
        <v>2500</v>
      </c>
      <c r="V254" s="51" t="s">
        <v>2142</v>
      </c>
      <c r="W254" s="51"/>
      <c r="X254" s="51"/>
    </row>
    <row r="255" customFormat="false" ht="14.25" hidden="true" customHeight="false" outlineLevel="0" collapsed="false">
      <c r="A255" s="49" t="s">
        <v>2137</v>
      </c>
      <c r="B255" s="49" t="s">
        <v>14</v>
      </c>
      <c r="C255" s="49" t="s">
        <v>329</v>
      </c>
      <c r="D255" s="49" t="s">
        <v>2441</v>
      </c>
      <c r="E255" s="49" t="s">
        <v>2500</v>
      </c>
      <c r="F255" s="49" t="s">
        <v>16</v>
      </c>
      <c r="G255" s="49" t="n">
        <v>4</v>
      </c>
      <c r="H255" s="0" t="n">
        <v>0</v>
      </c>
      <c r="I255" s="51" t="s">
        <v>2829</v>
      </c>
      <c r="J255" s="49" t="s">
        <v>2801</v>
      </c>
      <c r="K255" s="52" t="n">
        <v>47827</v>
      </c>
      <c r="M255" s="51" t="s">
        <v>2808</v>
      </c>
      <c r="N255" s="49" t="n">
        <v>4</v>
      </c>
      <c r="O255" s="53" t="n">
        <v>46053.4848263889</v>
      </c>
      <c r="P255" s="53" t="n">
        <v>46053.5745601852</v>
      </c>
      <c r="Q255" s="53" t="n">
        <v>46053.4848263889</v>
      </c>
      <c r="R255" s="0" t="n">
        <v>0</v>
      </c>
      <c r="S255" s="51" t="s">
        <v>2380</v>
      </c>
      <c r="T255" s="51" t="s">
        <v>2380</v>
      </c>
      <c r="U255" s="51" t="s">
        <v>2500</v>
      </c>
      <c r="V255" s="51" t="s">
        <v>2142</v>
      </c>
      <c r="W255" s="51"/>
      <c r="X255" s="51"/>
    </row>
    <row r="256" customFormat="false" ht="14.25" hidden="false" customHeight="false" outlineLevel="0" collapsed="false">
      <c r="A256" s="49" t="s">
        <v>2137</v>
      </c>
      <c r="B256" s="49" t="s">
        <v>14</v>
      </c>
      <c r="C256" s="49" t="s">
        <v>328</v>
      </c>
      <c r="D256" s="49" t="s">
        <v>2441</v>
      </c>
      <c r="E256" s="49" t="s">
        <v>2500</v>
      </c>
      <c r="F256" s="49" t="s">
        <v>16</v>
      </c>
      <c r="G256" s="49" t="n">
        <v>4</v>
      </c>
      <c r="H256" s="0" t="n">
        <v>0</v>
      </c>
      <c r="I256" s="51" t="s">
        <v>2830</v>
      </c>
      <c r="J256" s="49" t="s">
        <v>2801</v>
      </c>
      <c r="K256" s="52" t="n">
        <v>47827</v>
      </c>
      <c r="M256" s="51" t="s">
        <v>2808</v>
      </c>
      <c r="N256" s="0" t="n">
        <v>4</v>
      </c>
      <c r="O256" s="53" t="n">
        <v>46053.4850231482</v>
      </c>
      <c r="P256" s="53" t="n">
        <v>46053.5523032407</v>
      </c>
      <c r="Q256" s="53" t="n">
        <v>46053.4850231482</v>
      </c>
      <c r="R256" s="0" t="n">
        <v>0</v>
      </c>
      <c r="S256" s="51" t="s">
        <v>2380</v>
      </c>
      <c r="T256" s="51" t="s">
        <v>2380</v>
      </c>
      <c r="U256" s="51" t="s">
        <v>2500</v>
      </c>
      <c r="V256" s="51" t="s">
        <v>2142</v>
      </c>
      <c r="X256" s="51"/>
    </row>
    <row r="257" customFormat="false" ht="14.25" hidden="false" customHeight="false" outlineLevel="0" collapsed="false">
      <c r="A257" s="49" t="s">
        <v>2137</v>
      </c>
      <c r="B257" s="49" t="s">
        <v>14</v>
      </c>
      <c r="C257" s="49" t="s">
        <v>327</v>
      </c>
      <c r="D257" s="49" t="s">
        <v>2441</v>
      </c>
      <c r="E257" s="49" t="s">
        <v>2500</v>
      </c>
      <c r="F257" s="49" t="s">
        <v>16</v>
      </c>
      <c r="G257" s="49" t="n">
        <v>4</v>
      </c>
      <c r="H257" s="0" t="n">
        <v>0</v>
      </c>
      <c r="I257" s="51" t="s">
        <v>2831</v>
      </c>
      <c r="J257" s="49" t="s">
        <v>2801</v>
      </c>
      <c r="K257" s="52" t="n">
        <v>47827</v>
      </c>
      <c r="M257" s="51" t="s">
        <v>2808</v>
      </c>
      <c r="N257" s="0" t="n">
        <v>4</v>
      </c>
      <c r="O257" s="53" t="n">
        <v>46053.485162037</v>
      </c>
      <c r="P257" s="53" t="n">
        <v>46053.5524421296</v>
      </c>
      <c r="Q257" s="53" t="n">
        <v>46053.485162037</v>
      </c>
      <c r="R257" s="0" t="n">
        <v>0</v>
      </c>
      <c r="S257" s="51" t="s">
        <v>2380</v>
      </c>
      <c r="T257" s="51" t="s">
        <v>2380</v>
      </c>
      <c r="U257" s="51" t="s">
        <v>2500</v>
      </c>
      <c r="V257" s="51" t="s">
        <v>2142</v>
      </c>
      <c r="W257" s="51"/>
      <c r="X257" s="51"/>
    </row>
    <row r="258" customFormat="false" ht="14.25" hidden="false" customHeight="false" outlineLevel="0" collapsed="false">
      <c r="A258" s="49" t="s">
        <v>2137</v>
      </c>
      <c r="B258" s="49" t="s">
        <v>14</v>
      </c>
      <c r="C258" s="49" t="s">
        <v>321</v>
      </c>
      <c r="D258" s="49" t="s">
        <v>2441</v>
      </c>
      <c r="E258" s="49" t="s">
        <v>2500</v>
      </c>
      <c r="F258" s="49" t="s">
        <v>16</v>
      </c>
      <c r="G258" s="49" t="n">
        <v>4</v>
      </c>
      <c r="H258" s="0" t="n">
        <v>0</v>
      </c>
      <c r="I258" s="51" t="s">
        <v>2832</v>
      </c>
      <c r="J258" s="49" t="s">
        <v>2801</v>
      </c>
      <c r="K258" s="52" t="n">
        <v>47827</v>
      </c>
      <c r="M258" s="51" t="s">
        <v>2808</v>
      </c>
      <c r="N258" s="0" t="n">
        <v>4</v>
      </c>
      <c r="O258" s="53" t="n">
        <v>46053.4857638889</v>
      </c>
      <c r="P258" s="53" t="n">
        <v>46053.5525115741</v>
      </c>
      <c r="Q258" s="53" t="n">
        <v>46053.4857638889</v>
      </c>
      <c r="R258" s="0" t="n">
        <v>0</v>
      </c>
      <c r="S258" s="51" t="s">
        <v>2380</v>
      </c>
      <c r="T258" s="51" t="s">
        <v>2380</v>
      </c>
      <c r="U258" s="51" t="s">
        <v>2500</v>
      </c>
      <c r="V258" s="51" t="s">
        <v>2142</v>
      </c>
      <c r="W258" s="51"/>
      <c r="X258" s="51"/>
    </row>
    <row r="259" customFormat="false" ht="14.25" hidden="false" customHeight="false" outlineLevel="0" collapsed="false">
      <c r="A259" s="49" t="s">
        <v>2137</v>
      </c>
      <c r="B259" s="49" t="s">
        <v>14</v>
      </c>
      <c r="C259" s="49" t="s">
        <v>322</v>
      </c>
      <c r="D259" s="49" t="s">
        <v>2441</v>
      </c>
      <c r="E259" s="49" t="s">
        <v>2500</v>
      </c>
      <c r="F259" s="49" t="s">
        <v>16</v>
      </c>
      <c r="G259" s="49" t="n">
        <v>4</v>
      </c>
      <c r="H259" s="0" t="n">
        <v>0</v>
      </c>
      <c r="I259" s="51" t="s">
        <v>2833</v>
      </c>
      <c r="J259" s="49" t="s">
        <v>2801</v>
      </c>
      <c r="K259" s="52" t="n">
        <v>47827</v>
      </c>
      <c r="M259" s="51" t="s">
        <v>2808</v>
      </c>
      <c r="N259" s="0" t="n">
        <v>4</v>
      </c>
      <c r="O259" s="53" t="n">
        <v>46053.4856481482</v>
      </c>
      <c r="P259" s="53" t="n">
        <v>46053.5524768519</v>
      </c>
      <c r="Q259" s="53" t="n">
        <v>46053.4856481482</v>
      </c>
      <c r="R259" s="0" t="n">
        <v>0</v>
      </c>
      <c r="S259" s="51" t="s">
        <v>2380</v>
      </c>
      <c r="T259" s="51" t="s">
        <v>2380</v>
      </c>
      <c r="U259" s="51" t="s">
        <v>2500</v>
      </c>
      <c r="V259" s="51" t="s">
        <v>2142</v>
      </c>
      <c r="W259" s="51"/>
      <c r="X259" s="51"/>
    </row>
    <row r="260" customFormat="false" ht="14.25" hidden="false" customHeight="false" outlineLevel="0" collapsed="false">
      <c r="A260" s="49" t="s">
        <v>2137</v>
      </c>
      <c r="B260" s="49" t="s">
        <v>14</v>
      </c>
      <c r="C260" s="49" t="s">
        <v>323</v>
      </c>
      <c r="D260" s="49" t="s">
        <v>2441</v>
      </c>
      <c r="E260" s="49" t="s">
        <v>2500</v>
      </c>
      <c r="F260" s="49" t="s">
        <v>16</v>
      </c>
      <c r="G260" s="49" t="n">
        <v>4</v>
      </c>
      <c r="H260" s="0" t="n">
        <v>0</v>
      </c>
      <c r="I260" s="51" t="s">
        <v>2834</v>
      </c>
      <c r="J260" s="49" t="s">
        <v>2801</v>
      </c>
      <c r="K260" s="52" t="n">
        <v>47827</v>
      </c>
      <c r="M260" s="51" t="s">
        <v>2808</v>
      </c>
      <c r="N260" s="0" t="n">
        <v>4</v>
      </c>
      <c r="O260" s="53" t="n">
        <v>46053.4855671296</v>
      </c>
      <c r="P260" s="53" t="n">
        <v>46053.5525578704</v>
      </c>
      <c r="Q260" s="53" t="n">
        <v>46053.4855671296</v>
      </c>
      <c r="R260" s="0" t="n">
        <v>0</v>
      </c>
      <c r="S260" s="51" t="s">
        <v>2380</v>
      </c>
      <c r="T260" s="51" t="s">
        <v>2380</v>
      </c>
      <c r="U260" s="51" t="s">
        <v>2500</v>
      </c>
      <c r="V260" s="51" t="s">
        <v>2142</v>
      </c>
      <c r="W260" s="51"/>
      <c r="X260" s="51"/>
    </row>
    <row r="261" customFormat="false" ht="14.25" hidden="false" customHeight="false" outlineLevel="0" collapsed="false">
      <c r="A261" s="49" t="s">
        <v>2137</v>
      </c>
      <c r="B261" s="49" t="s">
        <v>14</v>
      </c>
      <c r="C261" s="49" t="s">
        <v>324</v>
      </c>
      <c r="D261" s="49" t="s">
        <v>2441</v>
      </c>
      <c r="E261" s="49" t="s">
        <v>2500</v>
      </c>
      <c r="F261" s="49" t="s">
        <v>16</v>
      </c>
      <c r="G261" s="49" t="n">
        <v>4</v>
      </c>
      <c r="H261" s="0" t="n">
        <v>0</v>
      </c>
      <c r="I261" s="51" t="s">
        <v>2835</v>
      </c>
      <c r="J261" s="49" t="s">
        <v>2801</v>
      </c>
      <c r="K261" s="52" t="n">
        <v>47827</v>
      </c>
      <c r="M261" s="51" t="s">
        <v>2808</v>
      </c>
      <c r="N261" s="0" t="n">
        <v>4</v>
      </c>
      <c r="O261" s="53" t="n">
        <v>46053.485462963</v>
      </c>
      <c r="P261" s="53" t="n">
        <v>46053.5526041667</v>
      </c>
      <c r="Q261" s="53" t="n">
        <v>46053.485462963</v>
      </c>
      <c r="R261" s="0" t="n">
        <v>0</v>
      </c>
      <c r="S261" s="51" t="s">
        <v>2380</v>
      </c>
      <c r="T261" s="51" t="s">
        <v>2380</v>
      </c>
      <c r="U261" s="51" t="s">
        <v>2500</v>
      </c>
      <c r="V261" s="51" t="s">
        <v>2142</v>
      </c>
      <c r="W261" s="51"/>
      <c r="X261" s="51"/>
    </row>
    <row r="262" customFormat="false" ht="14.25" hidden="false" customHeight="false" outlineLevel="0" collapsed="false">
      <c r="A262" s="49" t="s">
        <v>2137</v>
      </c>
      <c r="B262" s="49" t="s">
        <v>14</v>
      </c>
      <c r="C262" s="49" t="s">
        <v>325</v>
      </c>
      <c r="D262" s="49" t="s">
        <v>2441</v>
      </c>
      <c r="E262" s="49" t="s">
        <v>2500</v>
      </c>
      <c r="F262" s="49" t="s">
        <v>16</v>
      </c>
      <c r="G262" s="49" t="n">
        <v>4</v>
      </c>
      <c r="H262" s="0" t="n">
        <v>0</v>
      </c>
      <c r="I262" s="51" t="s">
        <v>2836</v>
      </c>
      <c r="J262" s="49" t="s">
        <v>2801</v>
      </c>
      <c r="K262" s="52" t="n">
        <v>47827</v>
      </c>
      <c r="M262" s="51" t="s">
        <v>2808</v>
      </c>
      <c r="N262" s="0" t="n">
        <v>4</v>
      </c>
      <c r="O262" s="53" t="n">
        <v>46053.4853703704</v>
      </c>
      <c r="P262" s="53" t="n">
        <v>46053.5526736111</v>
      </c>
      <c r="Q262" s="53" t="n">
        <v>46053.4853703704</v>
      </c>
      <c r="R262" s="0" t="n">
        <v>0</v>
      </c>
      <c r="S262" s="51" t="s">
        <v>2380</v>
      </c>
      <c r="T262" s="51" t="s">
        <v>2380</v>
      </c>
      <c r="U262" s="51" t="s">
        <v>2500</v>
      </c>
      <c r="V262" s="51" t="s">
        <v>2142</v>
      </c>
      <c r="W262" s="51"/>
      <c r="X262" s="51"/>
    </row>
    <row r="263" customFormat="false" ht="14.25" hidden="false" customHeight="false" outlineLevel="0" collapsed="false">
      <c r="A263" s="49" t="s">
        <v>2137</v>
      </c>
      <c r="B263" s="49" t="s">
        <v>14</v>
      </c>
      <c r="C263" s="49" t="s">
        <v>326</v>
      </c>
      <c r="D263" s="49" t="s">
        <v>2441</v>
      </c>
      <c r="E263" s="49" t="s">
        <v>2500</v>
      </c>
      <c r="F263" s="49" t="s">
        <v>16</v>
      </c>
      <c r="G263" s="49" t="n">
        <v>4</v>
      </c>
      <c r="H263" s="0" t="n">
        <v>0</v>
      </c>
      <c r="I263" s="51" t="s">
        <v>2837</v>
      </c>
      <c r="J263" s="49" t="s">
        <v>2801</v>
      </c>
      <c r="K263" s="52" t="n">
        <v>47827</v>
      </c>
      <c r="M263" s="51" t="s">
        <v>2808</v>
      </c>
      <c r="N263" s="0" t="n">
        <v>4</v>
      </c>
      <c r="O263" s="53" t="n">
        <v>46053.4852777778</v>
      </c>
      <c r="P263" s="53" t="n">
        <v>46053.5522569444</v>
      </c>
      <c r="Q263" s="53" t="n">
        <v>46053.4852777778</v>
      </c>
      <c r="R263" s="0" t="n">
        <v>0</v>
      </c>
      <c r="S263" s="51" t="s">
        <v>2380</v>
      </c>
      <c r="T263" s="51" t="s">
        <v>2380</v>
      </c>
      <c r="U263" s="51" t="s">
        <v>2500</v>
      </c>
      <c r="V263" s="51" t="s">
        <v>2142</v>
      </c>
      <c r="X263" s="51"/>
    </row>
    <row r="264" customFormat="false" ht="14.25" hidden="true" customHeight="false" outlineLevel="0" collapsed="false">
      <c r="A264" s="49" t="s">
        <v>2137</v>
      </c>
      <c r="B264" s="49" t="s">
        <v>14</v>
      </c>
      <c r="C264" s="49" t="s">
        <v>219</v>
      </c>
      <c r="D264" s="49" t="s">
        <v>2441</v>
      </c>
      <c r="E264" s="49" t="s">
        <v>2500</v>
      </c>
      <c r="F264" s="49" t="s">
        <v>16</v>
      </c>
      <c r="G264" s="49" t="n">
        <v>4</v>
      </c>
      <c r="H264" s="0" t="n">
        <v>0</v>
      </c>
      <c r="I264" s="51" t="s">
        <v>2838</v>
      </c>
      <c r="J264" s="49" t="s">
        <v>2801</v>
      </c>
      <c r="K264" s="52" t="n">
        <v>47827</v>
      </c>
      <c r="M264" s="51" t="s">
        <v>2445</v>
      </c>
      <c r="N264" s="49" t="n">
        <v>4</v>
      </c>
      <c r="O264" s="53" t="n">
        <v>46050.471087963</v>
      </c>
      <c r="P264" s="53" t="n">
        <v>46052.6642824074</v>
      </c>
      <c r="Q264" s="53" t="n">
        <v>46050.471087963</v>
      </c>
      <c r="R264" s="0" t="n">
        <v>0</v>
      </c>
      <c r="S264" s="51" t="s">
        <v>2380</v>
      </c>
      <c r="T264" s="51" t="s">
        <v>2380</v>
      </c>
      <c r="U264" s="51" t="s">
        <v>2500</v>
      </c>
      <c r="V264" s="51" t="s">
        <v>2142</v>
      </c>
      <c r="W264" s="51"/>
      <c r="X264" s="51"/>
    </row>
    <row r="265" customFormat="false" ht="14.25" hidden="true" customHeight="false" outlineLevel="0" collapsed="false">
      <c r="A265" s="49" t="s">
        <v>2137</v>
      </c>
      <c r="B265" s="49" t="s">
        <v>14</v>
      </c>
      <c r="C265" s="49" t="s">
        <v>234</v>
      </c>
      <c r="D265" s="49" t="s">
        <v>2441</v>
      </c>
      <c r="E265" s="49" t="s">
        <v>2500</v>
      </c>
      <c r="F265" s="49" t="s">
        <v>16</v>
      </c>
      <c r="G265" s="49" t="n">
        <v>4</v>
      </c>
      <c r="H265" s="0" t="n">
        <v>0</v>
      </c>
      <c r="I265" s="51" t="s">
        <v>2839</v>
      </c>
      <c r="J265" s="49" t="s">
        <v>2801</v>
      </c>
      <c r="K265" s="52" t="n">
        <v>47827</v>
      </c>
      <c r="M265" s="51" t="s">
        <v>2445</v>
      </c>
      <c r="N265" s="49" t="n">
        <v>4</v>
      </c>
      <c r="O265" s="53" t="n">
        <v>46050.47125</v>
      </c>
      <c r="P265" s="53" t="n">
        <v>46052.6669675926</v>
      </c>
      <c r="Q265" s="0" t="n">
        <v>46050.47125</v>
      </c>
      <c r="R265" s="0" t="n">
        <v>0</v>
      </c>
      <c r="S265" s="51" t="s">
        <v>2380</v>
      </c>
      <c r="T265" s="51" t="s">
        <v>2380</v>
      </c>
      <c r="U265" s="51" t="s">
        <v>2500</v>
      </c>
      <c r="V265" s="51" t="s">
        <v>2142</v>
      </c>
    </row>
    <row r="266" customFormat="false" ht="14.25" hidden="false" customHeight="false" outlineLevel="0" collapsed="false">
      <c r="A266" s="49" t="s">
        <v>2137</v>
      </c>
      <c r="B266" s="49" t="s">
        <v>14</v>
      </c>
      <c r="C266" s="49" t="s">
        <v>233</v>
      </c>
      <c r="D266" s="49" t="s">
        <v>2441</v>
      </c>
      <c r="E266" s="49" t="s">
        <v>2500</v>
      </c>
      <c r="F266" s="49" t="s">
        <v>16</v>
      </c>
      <c r="G266" s="49" t="n">
        <v>4</v>
      </c>
      <c r="H266" s="0" t="n">
        <v>0</v>
      </c>
      <c r="I266" s="51" t="s">
        <v>2840</v>
      </c>
      <c r="J266" s="49" t="s">
        <v>2801</v>
      </c>
      <c r="K266" s="52" t="n">
        <v>47827</v>
      </c>
      <c r="M266" s="51" t="s">
        <v>2445</v>
      </c>
      <c r="N266" s="0" t="n">
        <v>4</v>
      </c>
      <c r="O266" s="53" t="n">
        <v>46050.4715277778</v>
      </c>
      <c r="P266" s="53" t="n">
        <v>46052.6643171296</v>
      </c>
      <c r="Q266" s="53" t="n">
        <v>46050.4715277778</v>
      </c>
      <c r="R266" s="0" t="n">
        <v>0</v>
      </c>
      <c r="S266" s="51" t="s">
        <v>2380</v>
      </c>
      <c r="T266" s="51" t="s">
        <v>2380</v>
      </c>
      <c r="U266" s="51" t="s">
        <v>2500</v>
      </c>
      <c r="V266" s="51" t="s">
        <v>2142</v>
      </c>
      <c r="W266" s="51"/>
      <c r="X266" s="51"/>
    </row>
    <row r="267" customFormat="false" ht="14.25" hidden="false" customHeight="false" outlineLevel="0" collapsed="false">
      <c r="A267" s="49" t="s">
        <v>2137</v>
      </c>
      <c r="B267" s="49" t="s">
        <v>14</v>
      </c>
      <c r="C267" s="49" t="s">
        <v>232</v>
      </c>
      <c r="D267" s="49" t="s">
        <v>2441</v>
      </c>
      <c r="E267" s="49" t="s">
        <v>2500</v>
      </c>
      <c r="F267" s="49" t="s">
        <v>16</v>
      </c>
      <c r="G267" s="49" t="n">
        <v>4</v>
      </c>
      <c r="H267" s="0" t="n">
        <v>0</v>
      </c>
      <c r="I267" s="51" t="s">
        <v>2841</v>
      </c>
      <c r="J267" s="49" t="s">
        <v>2801</v>
      </c>
      <c r="K267" s="52" t="n">
        <v>47827</v>
      </c>
      <c r="M267" s="51" t="s">
        <v>2445</v>
      </c>
      <c r="N267" s="0" t="n">
        <v>4</v>
      </c>
      <c r="O267" s="53" t="n">
        <v>46050.4716550926</v>
      </c>
      <c r="P267" s="53" t="n">
        <v>46052.666412037</v>
      </c>
      <c r="Q267" s="53" t="n">
        <v>46050.4716550926</v>
      </c>
      <c r="R267" s="0" t="n">
        <v>0</v>
      </c>
      <c r="S267" s="51" t="s">
        <v>2380</v>
      </c>
      <c r="T267" s="51" t="s">
        <v>2380</v>
      </c>
      <c r="U267" s="51" t="s">
        <v>2500</v>
      </c>
      <c r="V267" s="51" t="s">
        <v>2142</v>
      </c>
      <c r="X267" s="51"/>
    </row>
    <row r="268" customFormat="false" ht="14.25" hidden="true" customHeight="false" outlineLevel="0" collapsed="false">
      <c r="A268" s="49" t="s">
        <v>2137</v>
      </c>
      <c r="B268" s="49" t="s">
        <v>14</v>
      </c>
      <c r="C268" s="49" t="s">
        <v>231</v>
      </c>
      <c r="D268" s="49" t="s">
        <v>2441</v>
      </c>
      <c r="E268" s="49" t="s">
        <v>2500</v>
      </c>
      <c r="F268" s="49" t="s">
        <v>16</v>
      </c>
      <c r="G268" s="49" t="n">
        <v>4</v>
      </c>
      <c r="H268" s="0" t="n">
        <v>0</v>
      </c>
      <c r="I268" s="51" t="s">
        <v>2842</v>
      </c>
      <c r="J268" s="49" t="s">
        <v>2801</v>
      </c>
      <c r="K268" s="52" t="n">
        <v>47827</v>
      </c>
      <c r="M268" s="51" t="s">
        <v>2445</v>
      </c>
      <c r="N268" s="49" t="n">
        <v>4</v>
      </c>
      <c r="O268" s="53" t="n">
        <v>46050.4717708333</v>
      </c>
      <c r="P268" s="53" t="n">
        <v>46052.6661689815</v>
      </c>
      <c r="Q268" s="53" t="n">
        <v>46050.4717708333</v>
      </c>
      <c r="R268" s="0" t="n">
        <v>0</v>
      </c>
      <c r="S268" s="51" t="s">
        <v>2380</v>
      </c>
      <c r="T268" s="51" t="s">
        <v>2380</v>
      </c>
      <c r="U268" s="51" t="s">
        <v>2500</v>
      </c>
      <c r="V268" s="51" t="s">
        <v>2142</v>
      </c>
      <c r="X268" s="51"/>
    </row>
    <row r="269" customFormat="false" ht="14.25" hidden="true" customHeight="false" outlineLevel="0" collapsed="false">
      <c r="A269" s="49" t="s">
        <v>2137</v>
      </c>
      <c r="B269" s="49" t="s">
        <v>14</v>
      </c>
      <c r="C269" s="49" t="s">
        <v>230</v>
      </c>
      <c r="D269" s="49" t="s">
        <v>2441</v>
      </c>
      <c r="E269" s="49" t="s">
        <v>2500</v>
      </c>
      <c r="F269" s="49" t="s">
        <v>16</v>
      </c>
      <c r="G269" s="49" t="n">
        <v>4</v>
      </c>
      <c r="H269" s="0" t="n">
        <v>0</v>
      </c>
      <c r="I269" s="51" t="s">
        <v>2843</v>
      </c>
      <c r="J269" s="49" t="s">
        <v>2801</v>
      </c>
      <c r="K269" s="52" t="n">
        <v>47827</v>
      </c>
      <c r="M269" s="51" t="s">
        <v>2445</v>
      </c>
      <c r="N269" s="49" t="n">
        <v>4</v>
      </c>
      <c r="O269" s="53" t="n">
        <v>46050.4719097222</v>
      </c>
      <c r="P269" s="53" t="n">
        <v>46052.6644560185</v>
      </c>
      <c r="Q269" s="53" t="n">
        <v>46050.4719097222</v>
      </c>
      <c r="R269" s="0" t="n">
        <v>0</v>
      </c>
      <c r="S269" s="51" t="s">
        <v>2380</v>
      </c>
      <c r="T269" s="51" t="s">
        <v>2380</v>
      </c>
      <c r="U269" s="51" t="s">
        <v>2500</v>
      </c>
      <c r="V269" s="51" t="s">
        <v>2142</v>
      </c>
      <c r="W269" s="51"/>
      <c r="X269" s="51"/>
    </row>
    <row r="270" customFormat="false" ht="14.25" hidden="true" customHeight="false" outlineLevel="0" collapsed="false">
      <c r="A270" s="49" t="s">
        <v>2137</v>
      </c>
      <c r="B270" s="49" t="s">
        <v>14</v>
      </c>
      <c r="C270" s="49" t="s">
        <v>229</v>
      </c>
      <c r="D270" s="49" t="s">
        <v>2441</v>
      </c>
      <c r="E270" s="49" t="s">
        <v>2500</v>
      </c>
      <c r="F270" s="49" t="s">
        <v>16</v>
      </c>
      <c r="G270" s="49" t="n">
        <v>4</v>
      </c>
      <c r="H270" s="0" t="n">
        <v>0</v>
      </c>
      <c r="I270" s="51" t="s">
        <v>2844</v>
      </c>
      <c r="J270" s="49" t="s">
        <v>2801</v>
      </c>
      <c r="K270" s="52" t="n">
        <v>47827</v>
      </c>
      <c r="M270" s="51" t="s">
        <v>2445</v>
      </c>
      <c r="N270" s="49" t="n">
        <v>4</v>
      </c>
      <c r="O270" s="53" t="n">
        <v>46050.4720601852</v>
      </c>
      <c r="P270" s="53" t="n">
        <v>46052.6663773148</v>
      </c>
      <c r="Q270" s="53" t="n">
        <v>46050.4720601852</v>
      </c>
      <c r="R270" s="0" t="n">
        <v>0</v>
      </c>
      <c r="S270" s="51" t="s">
        <v>2380</v>
      </c>
      <c r="T270" s="51" t="s">
        <v>2380</v>
      </c>
      <c r="U270" s="51" t="s">
        <v>2500</v>
      </c>
      <c r="V270" s="51" t="s">
        <v>2142</v>
      </c>
      <c r="W270" s="51"/>
      <c r="X270" s="51"/>
    </row>
    <row r="271" customFormat="false" ht="14.25" hidden="false" customHeight="false" outlineLevel="0" collapsed="false">
      <c r="A271" s="49" t="s">
        <v>2137</v>
      </c>
      <c r="B271" s="49" t="s">
        <v>14</v>
      </c>
      <c r="C271" s="49" t="s">
        <v>228</v>
      </c>
      <c r="D271" s="49" t="s">
        <v>2441</v>
      </c>
      <c r="E271" s="49" t="s">
        <v>2500</v>
      </c>
      <c r="F271" s="49" t="s">
        <v>16</v>
      </c>
      <c r="G271" s="49" t="n">
        <v>4</v>
      </c>
      <c r="H271" s="0" t="n">
        <v>0</v>
      </c>
      <c r="I271" s="51" t="s">
        <v>2845</v>
      </c>
      <c r="J271" s="49" t="s">
        <v>2801</v>
      </c>
      <c r="K271" s="52" t="n">
        <v>47827</v>
      </c>
      <c r="M271" s="51" t="s">
        <v>2445</v>
      </c>
      <c r="N271" s="0" t="n">
        <v>4</v>
      </c>
      <c r="O271" s="53" t="n">
        <v>46050.4722106482</v>
      </c>
      <c r="P271" s="53" t="n">
        <v>46052.6662731482</v>
      </c>
      <c r="Q271" s="53" t="n">
        <v>46050.4722106482</v>
      </c>
      <c r="R271" s="0" t="n">
        <v>0</v>
      </c>
      <c r="S271" s="51" t="s">
        <v>2380</v>
      </c>
      <c r="T271" s="51" t="s">
        <v>2380</v>
      </c>
      <c r="U271" s="51" t="s">
        <v>2500</v>
      </c>
      <c r="V271" s="51" t="s">
        <v>2142</v>
      </c>
      <c r="W271" s="51"/>
      <c r="X271" s="51"/>
    </row>
    <row r="272" customFormat="false" ht="14.25" hidden="true" customHeight="false" outlineLevel="0" collapsed="false">
      <c r="A272" s="49" t="s">
        <v>2137</v>
      </c>
      <c r="B272" s="49" t="s">
        <v>14</v>
      </c>
      <c r="C272" s="49" t="s">
        <v>227</v>
      </c>
      <c r="D272" s="49" t="s">
        <v>2441</v>
      </c>
      <c r="E272" s="49" t="s">
        <v>2500</v>
      </c>
      <c r="F272" s="49" t="s">
        <v>16</v>
      </c>
      <c r="G272" s="49" t="n">
        <v>4</v>
      </c>
      <c r="H272" s="0" t="n">
        <v>0</v>
      </c>
      <c r="I272" s="51" t="s">
        <v>2846</v>
      </c>
      <c r="J272" s="49" t="s">
        <v>2801</v>
      </c>
      <c r="K272" s="52" t="n">
        <v>47827</v>
      </c>
      <c r="M272" s="51" t="s">
        <v>2445</v>
      </c>
      <c r="N272" s="49" t="n">
        <v>4</v>
      </c>
      <c r="O272" s="53" t="n">
        <v>46050.4723726852</v>
      </c>
      <c r="P272" s="53" t="n">
        <v>46052.664525463</v>
      </c>
      <c r="Q272" s="53" t="n">
        <v>46050.4723726852</v>
      </c>
      <c r="R272" s="0" t="n">
        <v>0</v>
      </c>
      <c r="S272" s="51" t="s">
        <v>2380</v>
      </c>
      <c r="T272" s="51" t="s">
        <v>2380</v>
      </c>
      <c r="U272" s="51" t="s">
        <v>2500</v>
      </c>
      <c r="V272" s="51" t="s">
        <v>2142</v>
      </c>
      <c r="W272" s="51"/>
      <c r="X272" s="51"/>
    </row>
    <row r="273" customFormat="false" ht="14.25" hidden="false" customHeight="false" outlineLevel="0" collapsed="false">
      <c r="A273" s="49" t="s">
        <v>2137</v>
      </c>
      <c r="B273" s="49" t="s">
        <v>14</v>
      </c>
      <c r="C273" s="49" t="s">
        <v>226</v>
      </c>
      <c r="D273" s="49" t="s">
        <v>2441</v>
      </c>
      <c r="E273" s="49" t="s">
        <v>2500</v>
      </c>
      <c r="F273" s="49" t="s">
        <v>16</v>
      </c>
      <c r="G273" s="49" t="n">
        <v>4</v>
      </c>
      <c r="H273" s="0" t="n">
        <v>0</v>
      </c>
      <c r="I273" s="51" t="s">
        <v>2847</v>
      </c>
      <c r="J273" s="49" t="s">
        <v>2801</v>
      </c>
      <c r="K273" s="52" t="n">
        <v>47827</v>
      </c>
      <c r="M273" s="51" t="s">
        <v>2445</v>
      </c>
      <c r="N273" s="0" t="n">
        <v>4</v>
      </c>
      <c r="O273" s="53" t="n">
        <v>46050.4725347222</v>
      </c>
      <c r="P273" s="53" t="n">
        <v>46052.6641782407</v>
      </c>
      <c r="Q273" s="53" t="n">
        <v>46050.4725347222</v>
      </c>
      <c r="R273" s="0" t="n">
        <v>0</v>
      </c>
      <c r="S273" s="51" t="s">
        <v>2380</v>
      </c>
      <c r="T273" s="51" t="s">
        <v>2380</v>
      </c>
      <c r="U273" s="51" t="s">
        <v>2500</v>
      </c>
      <c r="V273" s="51" t="s">
        <v>2142</v>
      </c>
      <c r="X273" s="51"/>
    </row>
    <row r="274" customFormat="false" ht="14.25" hidden="false" customHeight="false" outlineLevel="0" collapsed="false">
      <c r="A274" s="49" t="s">
        <v>2137</v>
      </c>
      <c r="B274" s="49" t="s">
        <v>14</v>
      </c>
      <c r="C274" s="49" t="s">
        <v>225</v>
      </c>
      <c r="D274" s="49" t="s">
        <v>2441</v>
      </c>
      <c r="E274" s="49" t="s">
        <v>2500</v>
      </c>
      <c r="F274" s="49" t="s">
        <v>16</v>
      </c>
      <c r="G274" s="49" t="n">
        <v>4</v>
      </c>
      <c r="H274" s="0" t="n">
        <v>0</v>
      </c>
      <c r="I274" s="51" t="s">
        <v>2848</v>
      </c>
      <c r="J274" s="49" t="s">
        <v>2801</v>
      </c>
      <c r="K274" s="52" t="n">
        <v>47827</v>
      </c>
      <c r="M274" s="51" t="s">
        <v>2445</v>
      </c>
      <c r="N274" s="0" t="n">
        <v>4</v>
      </c>
      <c r="O274" s="53" t="n">
        <v>46050.4726388889</v>
      </c>
      <c r="P274" s="53" t="n">
        <v>46052.666099537</v>
      </c>
      <c r="Q274" s="53" t="n">
        <v>46050.4726388889</v>
      </c>
      <c r="R274" s="0" t="n">
        <v>0</v>
      </c>
      <c r="S274" s="51" t="s">
        <v>2380</v>
      </c>
      <c r="T274" s="51" t="s">
        <v>2380</v>
      </c>
      <c r="U274" s="51" t="s">
        <v>2500</v>
      </c>
      <c r="V274" s="51" t="s">
        <v>2142</v>
      </c>
      <c r="W274" s="51"/>
      <c r="X274" s="51"/>
    </row>
    <row r="275" customFormat="false" ht="14.25" hidden="false" customHeight="false" outlineLevel="0" collapsed="false">
      <c r="A275" s="49" t="s">
        <v>2137</v>
      </c>
      <c r="B275" s="49" t="s">
        <v>14</v>
      </c>
      <c r="C275" s="49" t="s">
        <v>178</v>
      </c>
      <c r="D275" s="49" t="s">
        <v>2441</v>
      </c>
      <c r="E275" s="49" t="s">
        <v>2203</v>
      </c>
      <c r="F275" s="49" t="s">
        <v>170</v>
      </c>
      <c r="G275" s="49" t="n">
        <v>52</v>
      </c>
      <c r="H275" s="0" t="n">
        <v>0</v>
      </c>
      <c r="I275" s="51" t="s">
        <v>2849</v>
      </c>
      <c r="J275" s="49" t="s">
        <v>2308</v>
      </c>
      <c r="K275" s="52" t="n">
        <v>47833</v>
      </c>
      <c r="M275" s="51" t="s">
        <v>2541</v>
      </c>
      <c r="N275" s="0" t="n">
        <v>52</v>
      </c>
      <c r="O275" s="53" t="n">
        <v>46050.4988657407</v>
      </c>
      <c r="P275" s="53" t="n">
        <v>46061.3933564815</v>
      </c>
      <c r="Q275" s="53" t="n">
        <v>46050.4988657407</v>
      </c>
      <c r="R275" s="0" t="n">
        <v>0</v>
      </c>
      <c r="S275" s="51" t="s">
        <v>2380</v>
      </c>
      <c r="T275" s="51" t="s">
        <v>2380</v>
      </c>
      <c r="U275" s="51" t="s">
        <v>2203</v>
      </c>
      <c r="V275" s="51" t="s">
        <v>2205</v>
      </c>
      <c r="W275" s="51" t="s">
        <v>2850</v>
      </c>
      <c r="X275" s="51"/>
    </row>
    <row r="276" customFormat="false" ht="14.25" hidden="false" customHeight="false" outlineLevel="0" collapsed="false">
      <c r="A276" s="49" t="s">
        <v>2137</v>
      </c>
      <c r="B276" s="49" t="s">
        <v>14</v>
      </c>
      <c r="C276" s="49" t="s">
        <v>1143</v>
      </c>
      <c r="D276" s="49" t="s">
        <v>2441</v>
      </c>
      <c r="E276" s="49" t="s">
        <v>2203</v>
      </c>
      <c r="F276" s="49" t="s">
        <v>170</v>
      </c>
      <c r="G276" s="49" t="n">
        <v>52</v>
      </c>
      <c r="H276" s="0" t="n">
        <v>0</v>
      </c>
      <c r="I276" s="51" t="s">
        <v>2851</v>
      </c>
      <c r="J276" s="49" t="s">
        <v>2308</v>
      </c>
      <c r="K276" s="52" t="n">
        <v>47833</v>
      </c>
      <c r="M276" s="51" t="s">
        <v>2733</v>
      </c>
      <c r="N276" s="0" t="n">
        <v>52</v>
      </c>
      <c r="O276" s="53" t="n">
        <v>46062.4586805556</v>
      </c>
      <c r="P276" s="53" t="n">
        <v>46063.4669791667</v>
      </c>
      <c r="Q276" s="53" t="n">
        <v>46062.4586805556</v>
      </c>
      <c r="R276" s="0" t="n">
        <v>0</v>
      </c>
      <c r="S276" s="51" t="s">
        <v>2398</v>
      </c>
      <c r="T276" s="51" t="s">
        <v>2398</v>
      </c>
      <c r="U276" s="51" t="s">
        <v>2203</v>
      </c>
      <c r="V276" s="51" t="s">
        <v>2205</v>
      </c>
      <c r="W276" s="51"/>
      <c r="X276" s="51"/>
    </row>
    <row r="277" customFormat="false" ht="14.25" hidden="false" customHeight="false" outlineLevel="0" collapsed="false">
      <c r="A277" s="49" t="s">
        <v>2137</v>
      </c>
      <c r="B277" s="49" t="s">
        <v>14</v>
      </c>
      <c r="C277" s="49" t="s">
        <v>181</v>
      </c>
      <c r="D277" s="49" t="s">
        <v>2441</v>
      </c>
      <c r="E277" s="49" t="s">
        <v>2203</v>
      </c>
      <c r="F277" s="49" t="s">
        <v>170</v>
      </c>
      <c r="G277" s="49" t="n">
        <v>52</v>
      </c>
      <c r="H277" s="0" t="n">
        <v>0</v>
      </c>
      <c r="I277" s="51" t="s">
        <v>2852</v>
      </c>
      <c r="J277" s="49" t="s">
        <v>2308</v>
      </c>
      <c r="K277" s="52" t="n">
        <v>47833</v>
      </c>
      <c r="M277" s="51" t="s">
        <v>2541</v>
      </c>
      <c r="N277" s="0" t="n">
        <v>52</v>
      </c>
      <c r="O277" s="53" t="n">
        <v>46050.497349537</v>
      </c>
      <c r="P277" s="53" t="n">
        <v>46061.3834027778</v>
      </c>
      <c r="Q277" s="53" t="n">
        <v>46050.497349537</v>
      </c>
      <c r="R277" s="0" t="n">
        <v>0</v>
      </c>
      <c r="S277" s="51" t="s">
        <v>2380</v>
      </c>
      <c r="T277" s="51" t="s">
        <v>2380</v>
      </c>
      <c r="U277" s="51" t="s">
        <v>2203</v>
      </c>
      <c r="V277" s="51" t="s">
        <v>2205</v>
      </c>
      <c r="W277" s="51" t="s">
        <v>2853</v>
      </c>
      <c r="X277" s="51"/>
    </row>
    <row r="278" customFormat="false" ht="14.25" hidden="false" customHeight="false" outlineLevel="0" collapsed="false">
      <c r="A278" s="49" t="s">
        <v>2137</v>
      </c>
      <c r="B278" s="49" t="s">
        <v>14</v>
      </c>
      <c r="C278" s="49" t="s">
        <v>180</v>
      </c>
      <c r="D278" s="49" t="s">
        <v>2441</v>
      </c>
      <c r="E278" s="49" t="s">
        <v>2203</v>
      </c>
      <c r="F278" s="49" t="s">
        <v>170</v>
      </c>
      <c r="G278" s="49" t="n">
        <v>52</v>
      </c>
      <c r="H278" s="0" t="n">
        <v>0</v>
      </c>
      <c r="I278" s="51" t="s">
        <v>2854</v>
      </c>
      <c r="J278" s="49" t="s">
        <v>2308</v>
      </c>
      <c r="K278" s="52" t="n">
        <v>47833</v>
      </c>
      <c r="M278" s="51" t="s">
        <v>2541</v>
      </c>
      <c r="N278" s="0" t="n">
        <v>52</v>
      </c>
      <c r="O278" s="53" t="n">
        <v>46050.4980902778</v>
      </c>
      <c r="P278" s="53" t="n">
        <v>46061.3871759259</v>
      </c>
      <c r="Q278" s="53" t="n">
        <v>46050.4980902778</v>
      </c>
      <c r="R278" s="0" t="n">
        <v>0</v>
      </c>
      <c r="S278" s="51" t="s">
        <v>2380</v>
      </c>
      <c r="T278" s="51" t="s">
        <v>2380</v>
      </c>
      <c r="U278" s="51" t="s">
        <v>2203</v>
      </c>
      <c r="V278" s="51" t="s">
        <v>2205</v>
      </c>
      <c r="W278" s="51" t="s">
        <v>2855</v>
      </c>
      <c r="X278" s="51"/>
    </row>
    <row r="279" customFormat="false" ht="14.25" hidden="false" customHeight="false" outlineLevel="0" collapsed="false">
      <c r="A279" s="49" t="s">
        <v>2137</v>
      </c>
      <c r="B279" s="49" t="s">
        <v>14</v>
      </c>
      <c r="C279" s="49" t="s">
        <v>179</v>
      </c>
      <c r="D279" s="49" t="s">
        <v>2441</v>
      </c>
      <c r="E279" s="49" t="s">
        <v>2203</v>
      </c>
      <c r="F279" s="49" t="s">
        <v>170</v>
      </c>
      <c r="G279" s="49" t="n">
        <v>52</v>
      </c>
      <c r="H279" s="0" t="n">
        <v>0</v>
      </c>
      <c r="I279" s="51" t="s">
        <v>2856</v>
      </c>
      <c r="J279" s="49" t="s">
        <v>2308</v>
      </c>
      <c r="K279" s="52" t="n">
        <v>47833</v>
      </c>
      <c r="M279" s="51" t="s">
        <v>2541</v>
      </c>
      <c r="N279" s="0" t="n">
        <v>52</v>
      </c>
      <c r="O279" s="53" t="n">
        <v>46050.4983912037</v>
      </c>
      <c r="P279" s="53" t="n">
        <v>46061.3967476852</v>
      </c>
      <c r="Q279" s="53" t="n">
        <v>46050.4983912037</v>
      </c>
      <c r="R279" s="0" t="n">
        <v>0</v>
      </c>
      <c r="S279" s="51" t="s">
        <v>2380</v>
      </c>
      <c r="T279" s="51" t="s">
        <v>2380</v>
      </c>
      <c r="U279" s="51" t="s">
        <v>2203</v>
      </c>
      <c r="V279" s="51" t="s">
        <v>2205</v>
      </c>
      <c r="W279" s="51" t="s">
        <v>2857</v>
      </c>
      <c r="X279" s="51"/>
    </row>
    <row r="280" customFormat="false" ht="14.25" hidden="true" customHeight="false" outlineLevel="0" collapsed="false">
      <c r="A280" s="49" t="s">
        <v>2137</v>
      </c>
      <c r="B280" s="49" t="s">
        <v>14</v>
      </c>
      <c r="C280" s="49" t="s">
        <v>84</v>
      </c>
      <c r="D280" s="49" t="s">
        <v>2441</v>
      </c>
      <c r="E280" s="49" t="s">
        <v>2140</v>
      </c>
      <c r="F280" s="49" t="s">
        <v>80</v>
      </c>
      <c r="G280" s="49" t="n">
        <v>4</v>
      </c>
      <c r="H280" s="0" t="n">
        <v>0</v>
      </c>
      <c r="I280" s="51" t="s">
        <v>2858</v>
      </c>
      <c r="J280" s="49" t="s">
        <v>2144</v>
      </c>
      <c r="K280" s="52" t="n">
        <v>47834</v>
      </c>
      <c r="M280" s="51" t="s">
        <v>2582</v>
      </c>
      <c r="N280" s="49" t="n">
        <v>4</v>
      </c>
      <c r="O280" s="53" t="n">
        <v>46049.4954282407</v>
      </c>
      <c r="P280" s="53" t="n">
        <v>46065.6131018519</v>
      </c>
      <c r="Q280" s="53" t="n">
        <v>46049.4954282407</v>
      </c>
      <c r="R280" s="0" t="n">
        <v>0</v>
      </c>
      <c r="S280" s="51" t="s">
        <v>2380</v>
      </c>
      <c r="T280" s="51" t="s">
        <v>2380</v>
      </c>
      <c r="U280" s="51" t="s">
        <v>2140</v>
      </c>
      <c r="V280" s="51" t="s">
        <v>2142</v>
      </c>
      <c r="W280" s="51" t="s">
        <v>2859</v>
      </c>
      <c r="X280" s="51"/>
    </row>
    <row r="281" customFormat="false" ht="14.25" hidden="true" customHeight="false" outlineLevel="0" collapsed="false">
      <c r="A281" s="49" t="s">
        <v>2137</v>
      </c>
      <c r="B281" s="49" t="s">
        <v>14</v>
      </c>
      <c r="C281" s="49" t="s">
        <v>712</v>
      </c>
      <c r="D281" s="49" t="s">
        <v>2441</v>
      </c>
      <c r="E281" s="49" t="s">
        <v>2140</v>
      </c>
      <c r="F281" s="49" t="s">
        <v>80</v>
      </c>
      <c r="G281" s="49" t="n">
        <v>4</v>
      </c>
      <c r="H281" s="0" t="n">
        <v>0</v>
      </c>
      <c r="I281" s="51" t="s">
        <v>2860</v>
      </c>
      <c r="J281" s="49" t="s">
        <v>2144</v>
      </c>
      <c r="K281" s="52" t="n">
        <v>47834</v>
      </c>
      <c r="M281" s="51" t="s">
        <v>2861</v>
      </c>
      <c r="N281" s="49" t="n">
        <v>4</v>
      </c>
      <c r="O281" s="53" t="n">
        <v>46057.4965625</v>
      </c>
      <c r="P281" s="53" t="n">
        <v>46057.638275463</v>
      </c>
      <c r="Q281" s="53" t="n">
        <v>46057.4965625</v>
      </c>
      <c r="R281" s="0" t="n">
        <v>0</v>
      </c>
      <c r="S281" s="51" t="s">
        <v>2398</v>
      </c>
      <c r="T281" s="51" t="s">
        <v>2398</v>
      </c>
      <c r="U281" s="51" t="s">
        <v>2140</v>
      </c>
      <c r="V281" s="51" t="s">
        <v>2142</v>
      </c>
      <c r="W281" s="51"/>
      <c r="X281" s="51"/>
    </row>
    <row r="282" customFormat="false" ht="14.25" hidden="true" customHeight="false" outlineLevel="0" collapsed="false">
      <c r="A282" s="49" t="s">
        <v>2137</v>
      </c>
      <c r="B282" s="49" t="s">
        <v>14</v>
      </c>
      <c r="C282" s="49" t="s">
        <v>502</v>
      </c>
      <c r="D282" s="49" t="s">
        <v>2441</v>
      </c>
      <c r="E282" s="49" t="s">
        <v>2140</v>
      </c>
      <c r="F282" s="49" t="s">
        <v>80</v>
      </c>
      <c r="G282" s="49" t="n">
        <v>4</v>
      </c>
      <c r="H282" s="0" t="n">
        <v>0</v>
      </c>
      <c r="I282" s="51" t="s">
        <v>2862</v>
      </c>
      <c r="J282" s="49" t="s">
        <v>2144</v>
      </c>
      <c r="K282" s="52" t="n">
        <v>47834</v>
      </c>
      <c r="M282" s="51" t="s">
        <v>2483</v>
      </c>
      <c r="N282" s="49" t="n">
        <v>4</v>
      </c>
      <c r="O282" s="53" t="n">
        <v>46054.4689351852</v>
      </c>
      <c r="P282" s="53" t="n">
        <v>46054.655462963</v>
      </c>
      <c r="Q282" s="53" t="n">
        <v>46054.4689351852</v>
      </c>
      <c r="R282" s="0" t="n">
        <v>0</v>
      </c>
      <c r="S282" s="51" t="s">
        <v>2380</v>
      </c>
      <c r="T282" s="51" t="s">
        <v>2380</v>
      </c>
      <c r="U282" s="51" t="s">
        <v>2140</v>
      </c>
      <c r="V282" s="51" t="s">
        <v>2142</v>
      </c>
      <c r="W282" s="51"/>
      <c r="X282" s="51"/>
    </row>
    <row r="283" customFormat="false" ht="14.25" hidden="true" customHeight="false" outlineLevel="0" collapsed="false">
      <c r="A283" s="49" t="s">
        <v>2137</v>
      </c>
      <c r="B283" s="49" t="s">
        <v>14</v>
      </c>
      <c r="C283" s="49" t="s">
        <v>503</v>
      </c>
      <c r="D283" s="49" t="s">
        <v>2441</v>
      </c>
      <c r="E283" s="49" t="s">
        <v>2140</v>
      </c>
      <c r="F283" s="49" t="s">
        <v>80</v>
      </c>
      <c r="G283" s="49" t="n">
        <v>4</v>
      </c>
      <c r="H283" s="0" t="n">
        <v>0</v>
      </c>
      <c r="I283" s="51" t="s">
        <v>2863</v>
      </c>
      <c r="J283" s="49" t="s">
        <v>2144</v>
      </c>
      <c r="K283" s="52" t="n">
        <v>47834</v>
      </c>
      <c r="M283" s="51" t="s">
        <v>2483</v>
      </c>
      <c r="N283" s="49" t="n">
        <v>4</v>
      </c>
      <c r="O283" s="53" t="n">
        <v>46054.4687731481</v>
      </c>
      <c r="P283" s="53" t="n">
        <v>46054.6559953704</v>
      </c>
      <c r="Q283" s="53" t="n">
        <v>46054.4687731481</v>
      </c>
      <c r="R283" s="0" t="n">
        <v>0</v>
      </c>
      <c r="S283" s="51" t="s">
        <v>2380</v>
      </c>
      <c r="T283" s="51" t="s">
        <v>2380</v>
      </c>
      <c r="U283" s="51" t="s">
        <v>2140</v>
      </c>
      <c r="V283" s="51" t="s">
        <v>2142</v>
      </c>
      <c r="W283" s="51"/>
      <c r="X283" s="51"/>
    </row>
    <row r="284" customFormat="false" ht="14.25" hidden="false" customHeight="false" outlineLevel="0" collapsed="false">
      <c r="A284" s="49" t="s">
        <v>2137</v>
      </c>
      <c r="B284" s="49" t="s">
        <v>14</v>
      </c>
      <c r="C284" s="49" t="s">
        <v>472</v>
      </c>
      <c r="D284" s="49" t="s">
        <v>2441</v>
      </c>
      <c r="E284" s="49" t="s">
        <v>2140</v>
      </c>
      <c r="F284" s="49" t="s">
        <v>80</v>
      </c>
      <c r="G284" s="49" t="n">
        <v>4</v>
      </c>
      <c r="H284" s="0" t="n">
        <v>0</v>
      </c>
      <c r="I284" s="51" t="s">
        <v>2864</v>
      </c>
      <c r="J284" s="49" t="s">
        <v>2144</v>
      </c>
      <c r="K284" s="52" t="n">
        <v>47834</v>
      </c>
      <c r="M284" s="51" t="s">
        <v>2487</v>
      </c>
      <c r="N284" s="0" t="n">
        <v>4</v>
      </c>
      <c r="O284" s="53" t="n">
        <v>46054.4474537037</v>
      </c>
      <c r="P284" s="53" t="n">
        <v>46054.6542013889</v>
      </c>
      <c r="Q284" s="53" t="n">
        <v>46054.4474537037</v>
      </c>
      <c r="R284" s="0" t="n">
        <v>0</v>
      </c>
      <c r="S284" s="51" t="s">
        <v>2380</v>
      </c>
      <c r="T284" s="51" t="s">
        <v>2380</v>
      </c>
      <c r="U284" s="51" t="s">
        <v>2140</v>
      </c>
      <c r="V284" s="51" t="s">
        <v>2142</v>
      </c>
      <c r="X284" s="51"/>
    </row>
    <row r="285" customFormat="false" ht="14.25" hidden="true" customHeight="false" outlineLevel="0" collapsed="false">
      <c r="A285" s="49" t="s">
        <v>2137</v>
      </c>
      <c r="B285" s="49" t="s">
        <v>14</v>
      </c>
      <c r="C285" s="49" t="s">
        <v>79</v>
      </c>
      <c r="D285" s="49" t="s">
        <v>2441</v>
      </c>
      <c r="E285" s="49" t="s">
        <v>2140</v>
      </c>
      <c r="F285" s="49" t="s">
        <v>80</v>
      </c>
      <c r="G285" s="49" t="n">
        <v>4</v>
      </c>
      <c r="H285" s="0" t="n">
        <v>0</v>
      </c>
      <c r="I285" s="51" t="s">
        <v>2865</v>
      </c>
      <c r="J285" s="49" t="s">
        <v>2144</v>
      </c>
      <c r="K285" s="52" t="n">
        <v>47834</v>
      </c>
      <c r="M285" s="51" t="s">
        <v>2582</v>
      </c>
      <c r="N285" s="49" t="n">
        <v>4</v>
      </c>
      <c r="O285" s="53" t="n">
        <v>46049.4978703704</v>
      </c>
      <c r="P285" s="53" t="n">
        <v>46052.6658564815</v>
      </c>
      <c r="Q285" s="53" t="n">
        <v>46049.4978703704</v>
      </c>
      <c r="R285" s="0" t="n">
        <v>0</v>
      </c>
      <c r="S285" s="51" t="s">
        <v>2380</v>
      </c>
      <c r="T285" s="51" t="s">
        <v>2380</v>
      </c>
      <c r="U285" s="51" t="s">
        <v>2140</v>
      </c>
      <c r="V285" s="51" t="s">
        <v>2142</v>
      </c>
      <c r="W285" s="51" t="s">
        <v>2866</v>
      </c>
      <c r="X285" s="51"/>
    </row>
    <row r="286" customFormat="false" ht="14.25" hidden="true" customHeight="false" outlineLevel="0" collapsed="false">
      <c r="A286" s="49" t="s">
        <v>2137</v>
      </c>
      <c r="B286" s="49" t="s">
        <v>14</v>
      </c>
      <c r="C286" s="49" t="s">
        <v>81</v>
      </c>
      <c r="D286" s="49" t="s">
        <v>2441</v>
      </c>
      <c r="E286" s="49" t="s">
        <v>2140</v>
      </c>
      <c r="F286" s="49" t="s">
        <v>80</v>
      </c>
      <c r="G286" s="49" t="n">
        <v>4</v>
      </c>
      <c r="H286" s="0" t="n">
        <v>0</v>
      </c>
      <c r="I286" s="51" t="s">
        <v>2867</v>
      </c>
      <c r="J286" s="49" t="s">
        <v>2144</v>
      </c>
      <c r="K286" s="52" t="n">
        <v>47834</v>
      </c>
      <c r="M286" s="51" t="s">
        <v>2582</v>
      </c>
      <c r="N286" s="49" t="n">
        <v>4</v>
      </c>
      <c r="O286" s="53" t="n">
        <v>46049.4974537037</v>
      </c>
      <c r="P286" s="53" t="n">
        <v>46052.6666782407</v>
      </c>
      <c r="Q286" s="53" t="n">
        <v>46049.4974537037</v>
      </c>
      <c r="R286" s="0" t="n">
        <v>0</v>
      </c>
      <c r="S286" s="51" t="s">
        <v>2380</v>
      </c>
      <c r="T286" s="51" t="s">
        <v>2380</v>
      </c>
      <c r="U286" s="51" t="s">
        <v>2140</v>
      </c>
      <c r="V286" s="51" t="s">
        <v>2142</v>
      </c>
      <c r="W286" s="51" t="s">
        <v>2868</v>
      </c>
      <c r="X286" s="51"/>
    </row>
    <row r="287" customFormat="false" ht="14.25" hidden="true" customHeight="false" outlineLevel="0" collapsed="false">
      <c r="A287" s="49" t="s">
        <v>2137</v>
      </c>
      <c r="B287" s="49" t="s">
        <v>14</v>
      </c>
      <c r="C287" s="49" t="s">
        <v>82</v>
      </c>
      <c r="D287" s="49" t="s">
        <v>2441</v>
      </c>
      <c r="E287" s="49" t="s">
        <v>2140</v>
      </c>
      <c r="F287" s="49" t="s">
        <v>80</v>
      </c>
      <c r="G287" s="49" t="n">
        <v>4</v>
      </c>
      <c r="H287" s="0" t="n">
        <v>0</v>
      </c>
      <c r="I287" s="51" t="s">
        <v>2869</v>
      </c>
      <c r="J287" s="49" t="s">
        <v>2144</v>
      </c>
      <c r="K287" s="52" t="n">
        <v>47834</v>
      </c>
      <c r="M287" s="51" t="s">
        <v>2582</v>
      </c>
      <c r="N287" s="49" t="n">
        <v>4</v>
      </c>
      <c r="O287" s="53" t="n">
        <v>46049.4972685185</v>
      </c>
      <c r="P287" s="53" t="n">
        <v>46052.6658796296</v>
      </c>
      <c r="Q287" s="53" t="n">
        <v>46049.4972685185</v>
      </c>
      <c r="R287" s="0" t="n">
        <v>0</v>
      </c>
      <c r="S287" s="51" t="s">
        <v>2380</v>
      </c>
      <c r="T287" s="51" t="s">
        <v>2380</v>
      </c>
      <c r="U287" s="51" t="s">
        <v>2140</v>
      </c>
      <c r="V287" s="51" t="s">
        <v>2142</v>
      </c>
      <c r="W287" s="51" t="s">
        <v>2870</v>
      </c>
      <c r="X287" s="51"/>
    </row>
    <row r="288" customFormat="false" ht="14.25" hidden="false" customHeight="false" outlineLevel="0" collapsed="false">
      <c r="A288" s="49" t="s">
        <v>2137</v>
      </c>
      <c r="B288" s="49" t="s">
        <v>14</v>
      </c>
      <c r="C288" s="49" t="s">
        <v>185</v>
      </c>
      <c r="D288" s="49" t="s">
        <v>2441</v>
      </c>
      <c r="E288" s="49" t="s">
        <v>2551</v>
      </c>
      <c r="F288" s="49" t="s">
        <v>168</v>
      </c>
      <c r="G288" s="49" t="n">
        <v>24</v>
      </c>
      <c r="H288" s="0" t="n">
        <v>0</v>
      </c>
      <c r="I288" s="51" t="s">
        <v>2871</v>
      </c>
      <c r="J288" s="49" t="s">
        <v>2872</v>
      </c>
      <c r="K288" s="52" t="n">
        <v>47838</v>
      </c>
      <c r="M288" s="51" t="s">
        <v>2541</v>
      </c>
      <c r="N288" s="0" t="n">
        <v>24</v>
      </c>
      <c r="O288" s="53" t="n">
        <v>46050.4943634259</v>
      </c>
      <c r="P288" s="53" t="n">
        <v>46061.3752430556</v>
      </c>
      <c r="Q288" s="0" t="n">
        <v>46050.4943634259</v>
      </c>
      <c r="R288" s="0" t="n">
        <v>0</v>
      </c>
      <c r="S288" s="51" t="s">
        <v>2380</v>
      </c>
      <c r="T288" s="51" t="s">
        <v>2380</v>
      </c>
      <c r="U288" s="51" t="s">
        <v>2551</v>
      </c>
      <c r="V288" s="51" t="s">
        <v>2205</v>
      </c>
      <c r="W288" s="51" t="s">
        <v>2873</v>
      </c>
    </row>
    <row r="289" customFormat="false" ht="14.25" hidden="true" customHeight="false" outlineLevel="0" collapsed="false">
      <c r="A289" s="49" t="s">
        <v>2137</v>
      </c>
      <c r="B289" s="49" t="s">
        <v>14</v>
      </c>
      <c r="C289" s="49" t="s">
        <v>713</v>
      </c>
      <c r="D289" s="49" t="s">
        <v>2441</v>
      </c>
      <c r="E289" s="49" t="s">
        <v>2140</v>
      </c>
      <c r="F289" s="49" t="s">
        <v>80</v>
      </c>
      <c r="G289" s="49" t="n">
        <v>4</v>
      </c>
      <c r="H289" s="0" t="n">
        <v>0</v>
      </c>
      <c r="I289" s="51" t="s">
        <v>2874</v>
      </c>
      <c r="J289" s="49" t="s">
        <v>2875</v>
      </c>
      <c r="K289" s="52" t="n">
        <v>47838</v>
      </c>
      <c r="M289" s="51" t="s">
        <v>2861</v>
      </c>
      <c r="N289" s="49" t="n">
        <v>4</v>
      </c>
      <c r="O289" s="53" t="n">
        <v>46057.4963773148</v>
      </c>
      <c r="P289" s="53" t="n">
        <v>46057.6380555556</v>
      </c>
      <c r="Q289" s="53" t="n">
        <v>46057.4963773148</v>
      </c>
      <c r="R289" s="0" t="n">
        <v>0</v>
      </c>
      <c r="S289" s="51" t="s">
        <v>2398</v>
      </c>
      <c r="T289" s="51" t="s">
        <v>2398</v>
      </c>
      <c r="U289" s="51" t="s">
        <v>2140</v>
      </c>
      <c r="V289" s="51" t="s">
        <v>2142</v>
      </c>
      <c r="W289" s="51"/>
      <c r="X289" s="51"/>
    </row>
    <row r="290" customFormat="false" ht="14.25" hidden="false" customHeight="false" outlineLevel="0" collapsed="false">
      <c r="A290" s="49" t="s">
        <v>2137</v>
      </c>
      <c r="B290" s="49" t="s">
        <v>14</v>
      </c>
      <c r="C290" s="49" t="s">
        <v>803</v>
      </c>
      <c r="D290" s="49" t="s">
        <v>2441</v>
      </c>
      <c r="E290" s="49" t="s">
        <v>2876</v>
      </c>
      <c r="F290" s="49" t="s">
        <v>799</v>
      </c>
      <c r="G290" s="49" t="n">
        <v>4</v>
      </c>
      <c r="H290" s="0" t="n">
        <v>0</v>
      </c>
      <c r="I290" s="51" t="s">
        <v>2877</v>
      </c>
      <c r="J290" s="49" t="s">
        <v>2878</v>
      </c>
      <c r="K290" s="52" t="n">
        <v>47838</v>
      </c>
      <c r="M290" s="51" t="s">
        <v>2458</v>
      </c>
      <c r="N290" s="0" t="n">
        <v>4</v>
      </c>
      <c r="O290" s="53" t="n">
        <v>46058.4680902778</v>
      </c>
      <c r="P290" s="53" t="n">
        <v>46058.6366666667</v>
      </c>
      <c r="Q290" s="53" t="n">
        <v>46058.4680902778</v>
      </c>
      <c r="R290" s="0" t="n">
        <v>0</v>
      </c>
      <c r="S290" s="51" t="s">
        <v>2398</v>
      </c>
      <c r="T290" s="51" t="s">
        <v>2398</v>
      </c>
      <c r="U290" s="51" t="s">
        <v>2876</v>
      </c>
      <c r="V290" s="51" t="s">
        <v>2365</v>
      </c>
      <c r="W290" s="51"/>
      <c r="X290" s="51"/>
    </row>
    <row r="291" customFormat="false" ht="14.25" hidden="true" customHeight="false" outlineLevel="0" collapsed="false">
      <c r="A291" s="49" t="s">
        <v>2137</v>
      </c>
      <c r="B291" s="49" t="s">
        <v>14</v>
      </c>
      <c r="C291" s="49" t="s">
        <v>804</v>
      </c>
      <c r="D291" s="49" t="s">
        <v>2441</v>
      </c>
      <c r="E291" s="49" t="s">
        <v>2876</v>
      </c>
      <c r="F291" s="49" t="s">
        <v>799</v>
      </c>
      <c r="G291" s="49" t="n">
        <v>4</v>
      </c>
      <c r="H291" s="0" t="n">
        <v>0</v>
      </c>
      <c r="I291" s="51" t="s">
        <v>2879</v>
      </c>
      <c r="J291" s="49" t="s">
        <v>2878</v>
      </c>
      <c r="K291" s="52" t="n">
        <v>47838</v>
      </c>
      <c r="M291" s="51" t="s">
        <v>2458</v>
      </c>
      <c r="N291" s="49" t="n">
        <v>4</v>
      </c>
      <c r="O291" s="53" t="n">
        <v>46058.4679398148</v>
      </c>
      <c r="P291" s="53" t="n">
        <v>46058.636724537</v>
      </c>
      <c r="Q291" s="53" t="n">
        <v>46058.4679398148</v>
      </c>
      <c r="R291" s="0" t="n">
        <v>0</v>
      </c>
      <c r="S291" s="51" t="s">
        <v>2398</v>
      </c>
      <c r="T291" s="51" t="s">
        <v>2398</v>
      </c>
      <c r="U291" s="51" t="s">
        <v>2876</v>
      </c>
      <c r="V291" s="51" t="s">
        <v>2365</v>
      </c>
      <c r="W291" s="51"/>
      <c r="X291" s="51"/>
    </row>
    <row r="292" customFormat="false" ht="14.25" hidden="true" customHeight="false" outlineLevel="0" collapsed="false">
      <c r="A292" s="49" t="s">
        <v>2137</v>
      </c>
      <c r="B292" s="49" t="s">
        <v>14</v>
      </c>
      <c r="C292" s="49" t="s">
        <v>805</v>
      </c>
      <c r="D292" s="49" t="s">
        <v>2441</v>
      </c>
      <c r="E292" s="49" t="s">
        <v>2876</v>
      </c>
      <c r="F292" s="49" t="s">
        <v>799</v>
      </c>
      <c r="G292" s="49" t="n">
        <v>4</v>
      </c>
      <c r="H292" s="0" t="n">
        <v>0</v>
      </c>
      <c r="I292" s="51" t="s">
        <v>2880</v>
      </c>
      <c r="J292" s="49" t="s">
        <v>2878</v>
      </c>
      <c r="K292" s="52" t="n">
        <v>47838</v>
      </c>
      <c r="M292" s="51" t="s">
        <v>2458</v>
      </c>
      <c r="N292" s="49" t="n">
        <v>4</v>
      </c>
      <c r="O292" s="53" t="n">
        <v>46058.4678240741</v>
      </c>
      <c r="P292" s="53" t="n">
        <v>46058.6365972222</v>
      </c>
      <c r="Q292" s="53" t="n">
        <v>46058.4678240741</v>
      </c>
      <c r="R292" s="0" t="n">
        <v>0</v>
      </c>
      <c r="S292" s="51" t="s">
        <v>2398</v>
      </c>
      <c r="T292" s="51" t="s">
        <v>2398</v>
      </c>
      <c r="U292" s="51" t="s">
        <v>2876</v>
      </c>
      <c r="V292" s="51" t="s">
        <v>2365</v>
      </c>
      <c r="W292" s="51"/>
      <c r="X292" s="51"/>
    </row>
    <row r="293" customFormat="false" ht="14.25" hidden="true" customHeight="false" outlineLevel="0" collapsed="false">
      <c r="A293" s="49" t="s">
        <v>2137</v>
      </c>
      <c r="B293" s="49" t="s">
        <v>14</v>
      </c>
      <c r="C293" s="49" t="s">
        <v>809</v>
      </c>
      <c r="D293" s="49" t="s">
        <v>2441</v>
      </c>
      <c r="E293" s="49" t="s">
        <v>2876</v>
      </c>
      <c r="F293" s="49" t="s">
        <v>799</v>
      </c>
      <c r="G293" s="49" t="n">
        <v>4</v>
      </c>
      <c r="H293" s="0" t="n">
        <v>0</v>
      </c>
      <c r="I293" s="51" t="s">
        <v>2881</v>
      </c>
      <c r="J293" s="49" t="s">
        <v>2878</v>
      </c>
      <c r="K293" s="52" t="n">
        <v>47838</v>
      </c>
      <c r="M293" s="51" t="s">
        <v>2458</v>
      </c>
      <c r="N293" s="49" t="n">
        <v>4</v>
      </c>
      <c r="O293" s="53" t="n">
        <v>46058.4676967593</v>
      </c>
      <c r="P293" s="53" t="n">
        <v>46058.6366319444</v>
      </c>
      <c r="Q293" s="53" t="n">
        <v>46058.4676967593</v>
      </c>
      <c r="R293" s="0" t="n">
        <v>0</v>
      </c>
      <c r="S293" s="51" t="s">
        <v>2398</v>
      </c>
      <c r="T293" s="51" t="s">
        <v>2398</v>
      </c>
      <c r="U293" s="51" t="s">
        <v>2876</v>
      </c>
      <c r="V293" s="51" t="s">
        <v>2365</v>
      </c>
      <c r="W293" s="51"/>
      <c r="X293" s="51"/>
    </row>
    <row r="294" customFormat="false" ht="14.25" hidden="true" customHeight="false" outlineLevel="0" collapsed="false">
      <c r="A294" s="49" t="s">
        <v>2137</v>
      </c>
      <c r="B294" s="49" t="s">
        <v>14</v>
      </c>
      <c r="C294" s="49" t="s">
        <v>815</v>
      </c>
      <c r="D294" s="49" t="s">
        <v>2441</v>
      </c>
      <c r="E294" s="49" t="s">
        <v>2876</v>
      </c>
      <c r="F294" s="49" t="s">
        <v>799</v>
      </c>
      <c r="G294" s="49" t="n">
        <v>4</v>
      </c>
      <c r="H294" s="0" t="n">
        <v>0</v>
      </c>
      <c r="I294" s="51" t="s">
        <v>2882</v>
      </c>
      <c r="J294" s="49" t="s">
        <v>2878</v>
      </c>
      <c r="K294" s="52" t="n">
        <v>47838</v>
      </c>
      <c r="M294" s="51" t="s">
        <v>2458</v>
      </c>
      <c r="N294" s="49" t="n">
        <v>4</v>
      </c>
      <c r="O294" s="53" t="n">
        <v>46058.4659953704</v>
      </c>
      <c r="P294" s="53" t="n">
        <v>46058.6365162037</v>
      </c>
      <c r="Q294" s="53" t="n">
        <v>46058.4659953704</v>
      </c>
      <c r="R294" s="0" t="n">
        <v>0</v>
      </c>
      <c r="S294" s="51" t="s">
        <v>2398</v>
      </c>
      <c r="T294" s="51" t="s">
        <v>2398</v>
      </c>
      <c r="U294" s="51" t="s">
        <v>2876</v>
      </c>
      <c r="V294" s="51" t="s">
        <v>2365</v>
      </c>
      <c r="W294" s="51"/>
      <c r="X294" s="51"/>
    </row>
    <row r="295" customFormat="false" ht="14.25" hidden="true" customHeight="false" outlineLevel="0" collapsed="false">
      <c r="A295" s="49" t="s">
        <v>2137</v>
      </c>
      <c r="B295" s="49" t="s">
        <v>14</v>
      </c>
      <c r="C295" s="49" t="s">
        <v>814</v>
      </c>
      <c r="D295" s="49" t="s">
        <v>2441</v>
      </c>
      <c r="E295" s="49" t="s">
        <v>2876</v>
      </c>
      <c r="F295" s="49" t="s">
        <v>799</v>
      </c>
      <c r="G295" s="49" t="n">
        <v>4</v>
      </c>
      <c r="H295" s="0" t="n">
        <v>0</v>
      </c>
      <c r="I295" s="51" t="s">
        <v>2883</v>
      </c>
      <c r="J295" s="49" t="s">
        <v>2878</v>
      </c>
      <c r="K295" s="52" t="n">
        <v>47838</v>
      </c>
      <c r="M295" s="51" t="s">
        <v>2458</v>
      </c>
      <c r="N295" s="49" t="n">
        <v>4</v>
      </c>
      <c r="O295" s="53" t="n">
        <v>46058.4663657407</v>
      </c>
      <c r="P295" s="53" t="n">
        <v>46058.6364814815</v>
      </c>
      <c r="Q295" s="53" t="n">
        <v>46058.4663657407</v>
      </c>
      <c r="R295" s="0" t="n">
        <v>0</v>
      </c>
      <c r="S295" s="51" t="s">
        <v>2398</v>
      </c>
      <c r="T295" s="51" t="s">
        <v>2398</v>
      </c>
      <c r="U295" s="51" t="s">
        <v>2876</v>
      </c>
      <c r="V295" s="51" t="s">
        <v>2365</v>
      </c>
      <c r="W295" s="51"/>
      <c r="X295" s="51"/>
    </row>
    <row r="296" customFormat="false" ht="14.25" hidden="true" customHeight="false" outlineLevel="0" collapsed="false">
      <c r="A296" s="49" t="s">
        <v>2137</v>
      </c>
      <c r="B296" s="49" t="s">
        <v>14</v>
      </c>
      <c r="C296" s="49" t="s">
        <v>812</v>
      </c>
      <c r="D296" s="49" t="s">
        <v>2441</v>
      </c>
      <c r="E296" s="49" t="s">
        <v>2876</v>
      </c>
      <c r="F296" s="49" t="s">
        <v>799</v>
      </c>
      <c r="G296" s="49" t="n">
        <v>4</v>
      </c>
      <c r="H296" s="0" t="n">
        <v>0</v>
      </c>
      <c r="I296" s="51" t="s">
        <v>2884</v>
      </c>
      <c r="J296" s="49" t="s">
        <v>2885</v>
      </c>
      <c r="K296" s="52" t="n">
        <v>47838</v>
      </c>
      <c r="M296" s="51" t="s">
        <v>2458</v>
      </c>
      <c r="N296" s="49" t="n">
        <v>4</v>
      </c>
      <c r="O296" s="53" t="n">
        <v>46058.4667824074</v>
      </c>
      <c r="P296" s="53" t="n">
        <v>46058.6362731482</v>
      </c>
      <c r="Q296" s="53" t="n">
        <v>46058.4667824074</v>
      </c>
      <c r="R296" s="0" t="n">
        <v>0</v>
      </c>
      <c r="S296" s="51" t="s">
        <v>2398</v>
      </c>
      <c r="T296" s="51" t="s">
        <v>2398</v>
      </c>
      <c r="U296" s="51" t="s">
        <v>2876</v>
      </c>
      <c r="V296" s="51" t="s">
        <v>2365</v>
      </c>
      <c r="W296" s="51"/>
      <c r="X296" s="51"/>
    </row>
    <row r="297" customFormat="false" ht="14.25" hidden="true" customHeight="false" outlineLevel="0" collapsed="false">
      <c r="A297" s="49" t="s">
        <v>2137</v>
      </c>
      <c r="B297" s="49" t="s">
        <v>14</v>
      </c>
      <c r="C297" s="49" t="s">
        <v>828</v>
      </c>
      <c r="D297" s="49" t="s">
        <v>2441</v>
      </c>
      <c r="E297" s="49" t="s">
        <v>2876</v>
      </c>
      <c r="F297" s="49" t="s">
        <v>799</v>
      </c>
      <c r="G297" s="49" t="n">
        <v>4</v>
      </c>
      <c r="H297" s="0" t="n">
        <v>0</v>
      </c>
      <c r="I297" s="51" t="s">
        <v>2886</v>
      </c>
      <c r="J297" s="49" t="s">
        <v>2878</v>
      </c>
      <c r="K297" s="52" t="n">
        <v>47838</v>
      </c>
      <c r="M297" s="51" t="s">
        <v>2458</v>
      </c>
      <c r="N297" s="49" t="n">
        <v>4</v>
      </c>
      <c r="O297" s="53" t="n">
        <v>46058.4615972222</v>
      </c>
      <c r="P297" s="53" t="n">
        <v>46058.6363194444</v>
      </c>
      <c r="Q297" s="53" t="n">
        <v>46058.4615972222</v>
      </c>
      <c r="R297" s="0" t="n">
        <v>0</v>
      </c>
      <c r="S297" s="51" t="s">
        <v>2398</v>
      </c>
      <c r="T297" s="51" t="s">
        <v>2398</v>
      </c>
      <c r="U297" s="51" t="s">
        <v>2876</v>
      </c>
      <c r="V297" s="51" t="s">
        <v>2365</v>
      </c>
      <c r="W297" s="51"/>
      <c r="X297" s="51"/>
    </row>
    <row r="298" customFormat="false" ht="14.25" hidden="true" customHeight="false" outlineLevel="0" collapsed="false">
      <c r="A298" s="49" t="s">
        <v>2137</v>
      </c>
      <c r="B298" s="49" t="s">
        <v>14</v>
      </c>
      <c r="C298" s="49" t="s">
        <v>820</v>
      </c>
      <c r="D298" s="49" t="s">
        <v>2441</v>
      </c>
      <c r="E298" s="49" t="s">
        <v>2876</v>
      </c>
      <c r="F298" s="49" t="s">
        <v>799</v>
      </c>
      <c r="G298" s="49" t="n">
        <v>4</v>
      </c>
      <c r="H298" s="0" t="n">
        <v>0</v>
      </c>
      <c r="I298" s="51" t="s">
        <v>2887</v>
      </c>
      <c r="J298" s="49" t="s">
        <v>2878</v>
      </c>
      <c r="K298" s="52" t="n">
        <v>47838</v>
      </c>
      <c r="M298" s="51" t="s">
        <v>2458</v>
      </c>
      <c r="N298" s="49" t="n">
        <v>4</v>
      </c>
      <c r="O298" s="53" t="n">
        <v>46058.4637731482</v>
      </c>
      <c r="P298" s="53" t="n">
        <v>46063.4965393519</v>
      </c>
      <c r="Q298" s="53" t="n">
        <v>46058.4637731482</v>
      </c>
      <c r="R298" s="0" t="n">
        <v>0</v>
      </c>
      <c r="S298" s="51" t="s">
        <v>2398</v>
      </c>
      <c r="T298" s="51" t="s">
        <v>2398</v>
      </c>
      <c r="U298" s="51" t="s">
        <v>2876</v>
      </c>
      <c r="V298" s="51" t="s">
        <v>2365</v>
      </c>
      <c r="W298" s="51" t="s">
        <v>2649</v>
      </c>
      <c r="X298" s="51"/>
    </row>
    <row r="299" customFormat="false" ht="14.25" hidden="true" customHeight="false" outlineLevel="0" collapsed="false">
      <c r="A299" s="49" t="s">
        <v>2137</v>
      </c>
      <c r="B299" s="49" t="s">
        <v>14</v>
      </c>
      <c r="C299" s="49" t="s">
        <v>826</v>
      </c>
      <c r="D299" s="49" t="s">
        <v>2441</v>
      </c>
      <c r="E299" s="49" t="s">
        <v>2876</v>
      </c>
      <c r="F299" s="49" t="s">
        <v>799</v>
      </c>
      <c r="G299" s="49" t="n">
        <v>4</v>
      </c>
      <c r="H299" s="0" t="n">
        <v>0</v>
      </c>
      <c r="I299" s="51" t="s">
        <v>2888</v>
      </c>
      <c r="J299" s="49" t="s">
        <v>2878</v>
      </c>
      <c r="K299" s="52" t="n">
        <v>47838</v>
      </c>
      <c r="M299" s="51" t="s">
        <v>2458</v>
      </c>
      <c r="N299" s="49" t="n">
        <v>4</v>
      </c>
      <c r="O299" s="53" t="n">
        <v>46058.4626041667</v>
      </c>
      <c r="P299" s="53" t="n">
        <v>46058.6360300926</v>
      </c>
      <c r="Q299" s="53" t="n">
        <v>46058.4626041667</v>
      </c>
      <c r="R299" s="0" t="n">
        <v>0</v>
      </c>
      <c r="S299" s="51" t="s">
        <v>2398</v>
      </c>
      <c r="T299" s="51" t="s">
        <v>2398</v>
      </c>
      <c r="U299" s="51" t="s">
        <v>2876</v>
      </c>
      <c r="V299" s="51" t="s">
        <v>2365</v>
      </c>
      <c r="W299" s="51"/>
      <c r="X299" s="51"/>
    </row>
    <row r="300" customFormat="false" ht="14.25" hidden="true" customHeight="false" outlineLevel="0" collapsed="false">
      <c r="A300" s="49" t="s">
        <v>2137</v>
      </c>
      <c r="B300" s="49" t="s">
        <v>14</v>
      </c>
      <c r="C300" s="49" t="s">
        <v>824</v>
      </c>
      <c r="D300" s="49" t="s">
        <v>2441</v>
      </c>
      <c r="E300" s="49" t="s">
        <v>2876</v>
      </c>
      <c r="F300" s="49" t="s">
        <v>799</v>
      </c>
      <c r="G300" s="49" t="n">
        <v>4</v>
      </c>
      <c r="H300" s="0" t="n">
        <v>0</v>
      </c>
      <c r="I300" s="51" t="s">
        <v>2889</v>
      </c>
      <c r="J300" s="49" t="s">
        <v>2878</v>
      </c>
      <c r="K300" s="52" t="n">
        <v>47838</v>
      </c>
      <c r="M300" s="51" t="s">
        <v>2458</v>
      </c>
      <c r="N300" s="49" t="n">
        <v>4</v>
      </c>
      <c r="O300" s="53" t="n">
        <v>46058.4631481482</v>
      </c>
      <c r="P300" s="53" t="n">
        <v>46058.6359259259</v>
      </c>
      <c r="Q300" s="53" t="n">
        <v>46058.4631481482</v>
      </c>
      <c r="R300" s="0" t="n">
        <v>0</v>
      </c>
      <c r="S300" s="51" t="s">
        <v>2398</v>
      </c>
      <c r="T300" s="51" t="s">
        <v>2398</v>
      </c>
      <c r="U300" s="51" t="s">
        <v>2876</v>
      </c>
      <c r="V300" s="51" t="s">
        <v>2365</v>
      </c>
      <c r="W300" s="51"/>
      <c r="X300" s="51"/>
    </row>
    <row r="301" customFormat="false" ht="14.25" hidden="true" customHeight="false" outlineLevel="0" collapsed="false">
      <c r="A301" s="49" t="s">
        <v>2137</v>
      </c>
      <c r="B301" s="49" t="s">
        <v>14</v>
      </c>
      <c r="C301" s="49" t="s">
        <v>822</v>
      </c>
      <c r="D301" s="49" t="s">
        <v>2441</v>
      </c>
      <c r="E301" s="49" t="s">
        <v>2876</v>
      </c>
      <c r="F301" s="49" t="s">
        <v>799</v>
      </c>
      <c r="G301" s="49" t="n">
        <v>4</v>
      </c>
      <c r="H301" s="0" t="n">
        <v>0</v>
      </c>
      <c r="I301" s="51" t="s">
        <v>2890</v>
      </c>
      <c r="J301" s="49" t="s">
        <v>2878</v>
      </c>
      <c r="K301" s="52" t="n">
        <v>47838</v>
      </c>
      <c r="M301" s="51" t="s">
        <v>2458</v>
      </c>
      <c r="N301" s="49" t="n">
        <v>4</v>
      </c>
      <c r="O301" s="53" t="n">
        <v>46058.4636226852</v>
      </c>
      <c r="P301" s="53" t="n">
        <v>46058.6359606482</v>
      </c>
      <c r="Q301" s="53" t="n">
        <v>46058.4636226852</v>
      </c>
      <c r="R301" s="0" t="n">
        <v>0</v>
      </c>
      <c r="S301" s="51" t="s">
        <v>2398</v>
      </c>
      <c r="T301" s="51" t="s">
        <v>2398</v>
      </c>
      <c r="U301" s="51" t="s">
        <v>2876</v>
      </c>
      <c r="V301" s="51" t="s">
        <v>2365</v>
      </c>
      <c r="W301" s="51"/>
      <c r="X301" s="51"/>
    </row>
    <row r="302" customFormat="false" ht="14.25" hidden="true" customHeight="false" outlineLevel="0" collapsed="false">
      <c r="A302" s="49" t="s">
        <v>2137</v>
      </c>
      <c r="B302" s="49" t="s">
        <v>14</v>
      </c>
      <c r="C302" s="49" t="s">
        <v>816</v>
      </c>
      <c r="D302" s="49" t="s">
        <v>2441</v>
      </c>
      <c r="E302" s="49" t="s">
        <v>2876</v>
      </c>
      <c r="F302" s="49" t="s">
        <v>799</v>
      </c>
      <c r="G302" s="49" t="n">
        <v>4</v>
      </c>
      <c r="H302" s="0" t="n">
        <v>0</v>
      </c>
      <c r="I302" s="51" t="s">
        <v>2891</v>
      </c>
      <c r="J302" s="49" t="s">
        <v>2885</v>
      </c>
      <c r="K302" s="52" t="n">
        <v>47838</v>
      </c>
      <c r="M302" s="51" t="s">
        <v>2458</v>
      </c>
      <c r="N302" s="49" t="n">
        <v>4</v>
      </c>
      <c r="O302" s="53" t="n">
        <v>46058.4656597222</v>
      </c>
      <c r="P302" s="53" t="n">
        <v>46058.636087963</v>
      </c>
      <c r="Q302" s="53" t="n">
        <v>46058.4656597222</v>
      </c>
      <c r="R302" s="0" t="n">
        <v>0</v>
      </c>
      <c r="S302" s="51" t="s">
        <v>2398</v>
      </c>
      <c r="T302" s="51" t="s">
        <v>2398</v>
      </c>
      <c r="U302" s="51" t="s">
        <v>2876</v>
      </c>
      <c r="V302" s="51" t="s">
        <v>2365</v>
      </c>
      <c r="W302" s="51"/>
      <c r="X302" s="51"/>
    </row>
    <row r="303" customFormat="false" ht="14.25" hidden="true" customHeight="false" outlineLevel="0" collapsed="false">
      <c r="A303" s="49" t="s">
        <v>2137</v>
      </c>
      <c r="B303" s="49" t="s">
        <v>14</v>
      </c>
      <c r="C303" s="49" t="s">
        <v>819</v>
      </c>
      <c r="D303" s="49" t="s">
        <v>2441</v>
      </c>
      <c r="E303" s="49" t="s">
        <v>2876</v>
      </c>
      <c r="F303" s="49" t="s">
        <v>799</v>
      </c>
      <c r="G303" s="49" t="n">
        <v>4</v>
      </c>
      <c r="H303" s="0" t="n">
        <v>0</v>
      </c>
      <c r="I303" s="51" t="s">
        <v>2892</v>
      </c>
      <c r="J303" s="49" t="s">
        <v>2885</v>
      </c>
      <c r="K303" s="52" t="n">
        <v>47838</v>
      </c>
      <c r="M303" s="51" t="s">
        <v>2458</v>
      </c>
      <c r="N303" s="49" t="n">
        <v>4</v>
      </c>
      <c r="O303" s="53" t="n">
        <v>46058.4647106482</v>
      </c>
      <c r="P303" s="53" t="n">
        <v>46058.6390509259</v>
      </c>
      <c r="Q303" s="53" t="n">
        <v>46058.4647106482</v>
      </c>
      <c r="R303" s="0" t="n">
        <v>0</v>
      </c>
      <c r="S303" s="51" t="s">
        <v>2398</v>
      </c>
      <c r="T303" s="51" t="s">
        <v>2398</v>
      </c>
      <c r="U303" s="51" t="s">
        <v>2876</v>
      </c>
      <c r="V303" s="51" t="s">
        <v>2365</v>
      </c>
      <c r="W303" s="51"/>
      <c r="X303" s="51"/>
    </row>
    <row r="304" customFormat="false" ht="14.25" hidden="true" customHeight="false" outlineLevel="0" collapsed="false">
      <c r="A304" s="49" t="s">
        <v>2137</v>
      </c>
      <c r="B304" s="49" t="s">
        <v>14</v>
      </c>
      <c r="C304" s="49" t="s">
        <v>798</v>
      </c>
      <c r="D304" s="49" t="s">
        <v>2441</v>
      </c>
      <c r="E304" s="49" t="s">
        <v>2876</v>
      </c>
      <c r="F304" s="49" t="s">
        <v>799</v>
      </c>
      <c r="G304" s="49" t="n">
        <v>3</v>
      </c>
      <c r="H304" s="0" t="n">
        <v>0</v>
      </c>
      <c r="I304" s="51" t="s">
        <v>2893</v>
      </c>
      <c r="J304" s="49" t="s">
        <v>2878</v>
      </c>
      <c r="K304" s="52" t="n">
        <v>47838</v>
      </c>
      <c r="M304" s="51" t="s">
        <v>2458</v>
      </c>
      <c r="N304" s="49" t="n">
        <v>3</v>
      </c>
      <c r="O304" s="53" t="n">
        <v>46058.4604861111</v>
      </c>
      <c r="P304" s="53" t="n">
        <v>46058.6365625</v>
      </c>
      <c r="Q304" s="53" t="n">
        <v>46058.4604861111</v>
      </c>
      <c r="R304" s="0" t="n">
        <v>0</v>
      </c>
      <c r="S304" s="51" t="s">
        <v>2398</v>
      </c>
      <c r="T304" s="51" t="s">
        <v>2398</v>
      </c>
      <c r="U304" s="51" t="s">
        <v>2876</v>
      </c>
      <c r="V304" s="51" t="s">
        <v>2365</v>
      </c>
      <c r="W304" s="51"/>
      <c r="X304" s="51"/>
    </row>
    <row r="305" customFormat="false" ht="14.25" hidden="true" customHeight="false" outlineLevel="0" collapsed="false">
      <c r="A305" s="49" t="s">
        <v>2137</v>
      </c>
      <c r="B305" s="49" t="s">
        <v>14</v>
      </c>
      <c r="C305" s="49" t="s">
        <v>807</v>
      </c>
      <c r="D305" s="49" t="s">
        <v>2441</v>
      </c>
      <c r="E305" s="49" t="s">
        <v>2876</v>
      </c>
      <c r="F305" s="49" t="s">
        <v>799</v>
      </c>
      <c r="G305" s="49" t="n">
        <v>1</v>
      </c>
      <c r="H305" s="0" t="n">
        <v>0</v>
      </c>
      <c r="I305" s="51" t="s">
        <v>2647</v>
      </c>
      <c r="J305" s="49" t="s">
        <v>2878</v>
      </c>
      <c r="K305" s="52" t="n">
        <v>47838</v>
      </c>
      <c r="M305" s="51" t="s">
        <v>2458</v>
      </c>
      <c r="N305" s="49" t="n">
        <v>1</v>
      </c>
      <c r="O305" s="53" t="n">
        <v>46058.4606481481</v>
      </c>
      <c r="P305" s="53" t="n">
        <v>46060.4141435185</v>
      </c>
      <c r="Q305" s="53" t="n">
        <v>46058.4606481481</v>
      </c>
      <c r="R305" s="0" t="n">
        <v>1</v>
      </c>
      <c r="S305" s="51" t="s">
        <v>2398</v>
      </c>
      <c r="T305" s="51" t="s">
        <v>2398</v>
      </c>
      <c r="U305" s="51" t="s">
        <v>2876</v>
      </c>
      <c r="V305" s="51" t="s">
        <v>2365</v>
      </c>
      <c r="W305" s="51"/>
      <c r="X305" s="51"/>
    </row>
    <row r="306" customFormat="false" ht="14.25" hidden="true" customHeight="false" outlineLevel="0" collapsed="false">
      <c r="A306" s="49" t="s">
        <v>2137</v>
      </c>
      <c r="B306" s="49" t="s">
        <v>14</v>
      </c>
      <c r="C306" s="49" t="s">
        <v>680</v>
      </c>
      <c r="D306" s="49" t="s">
        <v>2441</v>
      </c>
      <c r="E306" s="49" t="s">
        <v>2140</v>
      </c>
      <c r="F306" s="49" t="s">
        <v>80</v>
      </c>
      <c r="G306" s="49" t="n">
        <v>4</v>
      </c>
      <c r="H306" s="0" t="n">
        <v>0</v>
      </c>
      <c r="I306" s="51" t="s">
        <v>2700</v>
      </c>
      <c r="J306" s="49" t="s">
        <v>2894</v>
      </c>
      <c r="K306" s="52" t="n">
        <v>47838</v>
      </c>
      <c r="M306" s="51" t="s">
        <v>2895</v>
      </c>
      <c r="N306" s="49" t="n">
        <v>4</v>
      </c>
      <c r="O306" s="53" t="n">
        <v>46057.4404050926</v>
      </c>
      <c r="P306" s="53" t="n">
        <v>46057.6397106481</v>
      </c>
      <c r="Q306" s="53" t="n">
        <v>46057.4404050926</v>
      </c>
      <c r="R306" s="0" t="n">
        <v>0</v>
      </c>
      <c r="S306" s="51" t="s">
        <v>2380</v>
      </c>
      <c r="T306" s="51" t="s">
        <v>2380</v>
      </c>
      <c r="U306" s="51" t="s">
        <v>2140</v>
      </c>
      <c r="V306" s="51" t="s">
        <v>2142</v>
      </c>
      <c r="W306" s="51"/>
      <c r="X306" s="51"/>
    </row>
    <row r="307" customFormat="false" ht="14.25" hidden="true" customHeight="false" outlineLevel="0" collapsed="false">
      <c r="A307" s="49" t="s">
        <v>2137</v>
      </c>
      <c r="B307" s="49" t="s">
        <v>14</v>
      </c>
      <c r="C307" s="49" t="s">
        <v>681</v>
      </c>
      <c r="D307" s="49" t="s">
        <v>2441</v>
      </c>
      <c r="E307" s="49" t="s">
        <v>2140</v>
      </c>
      <c r="F307" s="49" t="s">
        <v>80</v>
      </c>
      <c r="G307" s="49" t="n">
        <v>4</v>
      </c>
      <c r="H307" s="0" t="n">
        <v>0</v>
      </c>
      <c r="I307" s="51" t="s">
        <v>2636</v>
      </c>
      <c r="J307" s="49" t="s">
        <v>2875</v>
      </c>
      <c r="K307" s="52" t="n">
        <v>47838</v>
      </c>
      <c r="M307" s="51" t="s">
        <v>2895</v>
      </c>
      <c r="N307" s="49" t="n">
        <v>4</v>
      </c>
      <c r="O307" s="53" t="n">
        <v>46057.5627662037</v>
      </c>
      <c r="P307" s="53" t="n">
        <v>46057.6401736111</v>
      </c>
      <c r="Q307" s="53" t="n">
        <v>46057.5627662037</v>
      </c>
      <c r="R307" s="0" t="n">
        <v>0</v>
      </c>
      <c r="S307" s="51" t="s">
        <v>2398</v>
      </c>
      <c r="T307" s="51" t="s">
        <v>2398</v>
      </c>
      <c r="U307" s="51" t="s">
        <v>2140</v>
      </c>
      <c r="V307" s="51" t="s">
        <v>2142</v>
      </c>
      <c r="W307" s="51"/>
      <c r="X307" s="51"/>
    </row>
    <row r="308" customFormat="false" ht="14.25" hidden="true" customHeight="false" outlineLevel="0" collapsed="false">
      <c r="A308" s="49" t="s">
        <v>2137</v>
      </c>
      <c r="B308" s="49" t="s">
        <v>14</v>
      </c>
      <c r="C308" s="49" t="s">
        <v>682</v>
      </c>
      <c r="D308" s="49" t="s">
        <v>2441</v>
      </c>
      <c r="E308" s="49" t="s">
        <v>2140</v>
      </c>
      <c r="F308" s="49" t="s">
        <v>80</v>
      </c>
      <c r="G308" s="49" t="n">
        <v>4</v>
      </c>
      <c r="H308" s="0" t="n">
        <v>0</v>
      </c>
      <c r="I308" s="51" t="s">
        <v>2655</v>
      </c>
      <c r="J308" s="49" t="s">
        <v>2894</v>
      </c>
      <c r="K308" s="52" t="n">
        <v>47838</v>
      </c>
      <c r="M308" s="51" t="s">
        <v>2895</v>
      </c>
      <c r="N308" s="49" t="n">
        <v>4</v>
      </c>
      <c r="O308" s="53" t="n">
        <v>46057.469212963</v>
      </c>
      <c r="P308" s="53" t="n">
        <v>46057.6396527778</v>
      </c>
      <c r="Q308" s="53" t="n">
        <v>46057.469212963</v>
      </c>
      <c r="R308" s="0" t="n">
        <v>0</v>
      </c>
      <c r="S308" s="51" t="s">
        <v>2398</v>
      </c>
      <c r="T308" s="51" t="s">
        <v>2398</v>
      </c>
      <c r="U308" s="51" t="s">
        <v>2140</v>
      </c>
      <c r="V308" s="51" t="s">
        <v>2142</v>
      </c>
      <c r="W308" s="51"/>
      <c r="X308" s="51"/>
    </row>
    <row r="309" customFormat="false" ht="14.25" hidden="true" customHeight="false" outlineLevel="0" collapsed="false">
      <c r="A309" s="49" t="s">
        <v>2137</v>
      </c>
      <c r="B309" s="49" t="s">
        <v>14</v>
      </c>
      <c r="C309" s="49" t="s">
        <v>738</v>
      </c>
      <c r="D309" s="49" t="s">
        <v>2441</v>
      </c>
      <c r="E309" s="49" t="s">
        <v>2140</v>
      </c>
      <c r="F309" s="49" t="s">
        <v>80</v>
      </c>
      <c r="G309" s="49" t="n">
        <v>4</v>
      </c>
      <c r="H309" s="0" t="n">
        <v>0</v>
      </c>
      <c r="I309" s="51" t="s">
        <v>2616</v>
      </c>
      <c r="J309" s="49" t="s">
        <v>2875</v>
      </c>
      <c r="K309" s="52" t="n">
        <v>47838</v>
      </c>
      <c r="M309" s="51" t="s">
        <v>2861</v>
      </c>
      <c r="N309" s="49" t="n">
        <v>4</v>
      </c>
      <c r="O309" s="53" t="n">
        <v>46057.4847337963</v>
      </c>
      <c r="P309" s="53" t="n">
        <v>46057.6398032407</v>
      </c>
      <c r="Q309" s="53" t="n">
        <v>46057.4847337963</v>
      </c>
      <c r="R309" s="0" t="n">
        <v>0</v>
      </c>
      <c r="S309" s="51" t="s">
        <v>2398</v>
      </c>
      <c r="T309" s="51" t="s">
        <v>2398</v>
      </c>
      <c r="U309" s="51" t="s">
        <v>2140</v>
      </c>
      <c r="V309" s="51" t="s">
        <v>2142</v>
      </c>
      <c r="W309" s="51"/>
      <c r="X309" s="51"/>
    </row>
    <row r="310" customFormat="false" ht="14.25" hidden="true" customHeight="false" outlineLevel="0" collapsed="false">
      <c r="A310" s="49" t="s">
        <v>2137</v>
      </c>
      <c r="B310" s="49" t="s">
        <v>14</v>
      </c>
      <c r="C310" s="49" t="s">
        <v>710</v>
      </c>
      <c r="D310" s="49" t="s">
        <v>2441</v>
      </c>
      <c r="E310" s="49" t="s">
        <v>2140</v>
      </c>
      <c r="F310" s="49" t="s">
        <v>80</v>
      </c>
      <c r="G310" s="49" t="n">
        <v>4</v>
      </c>
      <c r="H310" s="0" t="n">
        <v>0</v>
      </c>
      <c r="I310" s="51" t="s">
        <v>2614</v>
      </c>
      <c r="J310" s="49" t="s">
        <v>2875</v>
      </c>
      <c r="K310" s="52" t="n">
        <v>47838</v>
      </c>
      <c r="M310" s="51" t="s">
        <v>2861</v>
      </c>
      <c r="N310" s="49" t="n">
        <v>4</v>
      </c>
      <c r="O310" s="53" t="n">
        <v>46057.4872222222</v>
      </c>
      <c r="P310" s="53" t="n">
        <v>46057.6401273148</v>
      </c>
      <c r="Q310" s="53" t="n">
        <v>46057.4872222222</v>
      </c>
      <c r="R310" s="0" t="n">
        <v>0</v>
      </c>
      <c r="S310" s="51" t="s">
        <v>2398</v>
      </c>
      <c r="T310" s="51" t="s">
        <v>2398</v>
      </c>
      <c r="U310" s="51" t="s">
        <v>2140</v>
      </c>
      <c r="V310" s="51" t="s">
        <v>2142</v>
      </c>
      <c r="W310" s="51"/>
      <c r="X310" s="51"/>
    </row>
    <row r="311" customFormat="false" ht="14.25" hidden="true" customHeight="false" outlineLevel="0" collapsed="false">
      <c r="A311" s="49" t="s">
        <v>2137</v>
      </c>
      <c r="B311" s="49" t="s">
        <v>14</v>
      </c>
      <c r="C311" s="49" t="s">
        <v>711</v>
      </c>
      <c r="D311" s="49" t="s">
        <v>2441</v>
      </c>
      <c r="E311" s="49" t="s">
        <v>2140</v>
      </c>
      <c r="F311" s="49" t="s">
        <v>80</v>
      </c>
      <c r="G311" s="49" t="n">
        <v>4</v>
      </c>
      <c r="H311" s="0" t="n">
        <v>0</v>
      </c>
      <c r="I311" s="51" t="s">
        <v>2624</v>
      </c>
      <c r="J311" s="49" t="s">
        <v>2875</v>
      </c>
      <c r="K311" s="52" t="n">
        <v>47838</v>
      </c>
      <c r="M311" s="51" t="s">
        <v>2861</v>
      </c>
      <c r="N311" s="49" t="n">
        <v>4</v>
      </c>
      <c r="O311" s="53" t="n">
        <v>46057.4851967593</v>
      </c>
      <c r="P311" s="53" t="n">
        <v>46057.6400462963</v>
      </c>
      <c r="Q311" s="53" t="n">
        <v>46057.4851967593</v>
      </c>
      <c r="R311" s="0" t="n">
        <v>0</v>
      </c>
      <c r="S311" s="51" t="s">
        <v>2398</v>
      </c>
      <c r="T311" s="51" t="s">
        <v>2398</v>
      </c>
      <c r="U311" s="51" t="s">
        <v>2140</v>
      </c>
      <c r="V311" s="51" t="s">
        <v>2142</v>
      </c>
      <c r="W311" s="51"/>
      <c r="X311" s="51"/>
    </row>
    <row r="312" customFormat="false" ht="14.25" hidden="true" customHeight="false" outlineLevel="0" collapsed="false">
      <c r="A312" s="49" t="s">
        <v>2137</v>
      </c>
      <c r="B312" s="49" t="s">
        <v>14</v>
      </c>
      <c r="C312" s="49" t="s">
        <v>737</v>
      </c>
      <c r="D312" s="49" t="s">
        <v>2441</v>
      </c>
      <c r="E312" s="49" t="s">
        <v>2140</v>
      </c>
      <c r="F312" s="49" t="s">
        <v>80</v>
      </c>
      <c r="G312" s="49" t="n">
        <v>4</v>
      </c>
      <c r="H312" s="0" t="n">
        <v>0</v>
      </c>
      <c r="I312" s="51" t="s">
        <v>2640</v>
      </c>
      <c r="J312" s="49" t="s">
        <v>2875</v>
      </c>
      <c r="K312" s="52" t="n">
        <v>47838</v>
      </c>
      <c r="M312" s="51" t="s">
        <v>2861</v>
      </c>
      <c r="N312" s="49" t="n">
        <v>4</v>
      </c>
      <c r="O312" s="53" t="n">
        <v>46057.487662037</v>
      </c>
      <c r="P312" s="53" t="n">
        <v>46057.6402199074</v>
      </c>
      <c r="Q312" s="53" t="n">
        <v>46057.487662037</v>
      </c>
      <c r="R312" s="0" t="n">
        <v>0</v>
      </c>
      <c r="S312" s="51" t="s">
        <v>2398</v>
      </c>
      <c r="T312" s="51" t="s">
        <v>2398</v>
      </c>
      <c r="U312" s="51" t="s">
        <v>2140</v>
      </c>
      <c r="V312" s="51" t="s">
        <v>2142</v>
      </c>
      <c r="W312" s="51"/>
      <c r="X312" s="51"/>
    </row>
    <row r="313" customFormat="false" ht="14.25" hidden="true" customHeight="false" outlineLevel="0" collapsed="false">
      <c r="A313" s="49" t="s">
        <v>2137</v>
      </c>
      <c r="B313" s="49" t="s">
        <v>14</v>
      </c>
      <c r="C313" s="49" t="s">
        <v>734</v>
      </c>
      <c r="D313" s="49" t="s">
        <v>2441</v>
      </c>
      <c r="E313" s="49" t="s">
        <v>2140</v>
      </c>
      <c r="F313" s="49" t="s">
        <v>80</v>
      </c>
      <c r="G313" s="49" t="n">
        <v>4</v>
      </c>
      <c r="H313" s="0" t="n">
        <v>0</v>
      </c>
      <c r="I313" s="51" t="s">
        <v>2896</v>
      </c>
      <c r="J313" s="49" t="s">
        <v>2875</v>
      </c>
      <c r="K313" s="52" t="n">
        <v>47838</v>
      </c>
      <c r="M313" s="51" t="s">
        <v>2861</v>
      </c>
      <c r="N313" s="49" t="n">
        <v>4</v>
      </c>
      <c r="O313" s="53" t="n">
        <v>46057.4887847222</v>
      </c>
      <c r="P313" s="53" t="n">
        <v>46057.6376041667</v>
      </c>
      <c r="Q313" s="53" t="n">
        <v>46057.4887847222</v>
      </c>
      <c r="R313" s="0" t="n">
        <v>0</v>
      </c>
      <c r="S313" s="51" t="s">
        <v>2398</v>
      </c>
      <c r="T313" s="51" t="s">
        <v>2398</v>
      </c>
      <c r="U313" s="51" t="s">
        <v>2140</v>
      </c>
      <c r="V313" s="51" t="s">
        <v>2142</v>
      </c>
      <c r="W313" s="51"/>
      <c r="X313" s="51"/>
    </row>
    <row r="314" customFormat="false" ht="14.25" hidden="true" customHeight="false" outlineLevel="0" collapsed="false">
      <c r="A314" s="49" t="s">
        <v>2137</v>
      </c>
      <c r="B314" s="49" t="s">
        <v>14</v>
      </c>
      <c r="C314" s="49" t="s">
        <v>736</v>
      </c>
      <c r="D314" s="49" t="s">
        <v>2441</v>
      </c>
      <c r="E314" s="49" t="s">
        <v>2140</v>
      </c>
      <c r="F314" s="49" t="s">
        <v>80</v>
      </c>
      <c r="G314" s="49" t="n">
        <v>4</v>
      </c>
      <c r="H314" s="0" t="n">
        <v>0</v>
      </c>
      <c r="I314" s="51" t="s">
        <v>2644</v>
      </c>
      <c r="J314" s="49" t="s">
        <v>2875</v>
      </c>
      <c r="K314" s="52" t="n">
        <v>47838</v>
      </c>
      <c r="M314" s="51" t="s">
        <v>2861</v>
      </c>
      <c r="N314" s="49" t="n">
        <v>4</v>
      </c>
      <c r="O314" s="53" t="n">
        <v>46057.4882986111</v>
      </c>
      <c r="P314" s="53" t="n">
        <v>46057.6403356481</v>
      </c>
      <c r="Q314" s="53" t="n">
        <v>46057.4882986111</v>
      </c>
      <c r="R314" s="0" t="n">
        <v>0</v>
      </c>
      <c r="S314" s="51" t="s">
        <v>2398</v>
      </c>
      <c r="T314" s="51" t="s">
        <v>2398</v>
      </c>
      <c r="U314" s="51" t="s">
        <v>2140</v>
      </c>
      <c r="V314" s="51" t="s">
        <v>2142</v>
      </c>
      <c r="W314" s="51"/>
      <c r="X314" s="51"/>
    </row>
    <row r="315" customFormat="false" ht="14.25" hidden="true" customHeight="false" outlineLevel="0" collapsed="false">
      <c r="A315" s="49" t="s">
        <v>2137</v>
      </c>
      <c r="B315" s="49" t="s">
        <v>14</v>
      </c>
      <c r="C315" s="49" t="s">
        <v>735</v>
      </c>
      <c r="D315" s="49" t="s">
        <v>2441</v>
      </c>
      <c r="E315" s="49" t="s">
        <v>2140</v>
      </c>
      <c r="F315" s="49" t="s">
        <v>80</v>
      </c>
      <c r="G315" s="49" t="n">
        <v>4</v>
      </c>
      <c r="H315" s="0" t="n">
        <v>0</v>
      </c>
      <c r="I315" s="51" t="s">
        <v>2642</v>
      </c>
      <c r="J315" s="49" t="s">
        <v>2875</v>
      </c>
      <c r="K315" s="52" t="n">
        <v>47838</v>
      </c>
      <c r="M315" s="51" t="s">
        <v>2861</v>
      </c>
      <c r="N315" s="49" t="n">
        <v>4</v>
      </c>
      <c r="O315" s="53" t="n">
        <v>46057.4885185185</v>
      </c>
      <c r="P315" s="53" t="n">
        <v>46057.6404282407</v>
      </c>
      <c r="Q315" s="53" t="n">
        <v>46057.4885185185</v>
      </c>
      <c r="R315" s="0" t="n">
        <v>0</v>
      </c>
      <c r="S315" s="51" t="s">
        <v>2398</v>
      </c>
      <c r="T315" s="51" t="s">
        <v>2398</v>
      </c>
      <c r="U315" s="51" t="s">
        <v>2140</v>
      </c>
      <c r="V315" s="51" t="s">
        <v>2142</v>
      </c>
      <c r="W315" s="51"/>
    </row>
    <row r="316" customFormat="false" ht="14.25" hidden="false" customHeight="false" outlineLevel="0" collapsed="false">
      <c r="A316" s="49" t="s">
        <v>2137</v>
      </c>
      <c r="B316" s="49" t="s">
        <v>14</v>
      </c>
      <c r="C316" s="49" t="s">
        <v>733</v>
      </c>
      <c r="D316" s="49" t="s">
        <v>2441</v>
      </c>
      <c r="E316" s="49" t="s">
        <v>2140</v>
      </c>
      <c r="F316" s="49" t="s">
        <v>80</v>
      </c>
      <c r="G316" s="49" t="n">
        <v>4</v>
      </c>
      <c r="H316" s="0" t="n">
        <v>0</v>
      </c>
      <c r="I316" s="51" t="s">
        <v>2897</v>
      </c>
      <c r="J316" s="49" t="s">
        <v>2875</v>
      </c>
      <c r="K316" s="52" t="n">
        <v>47838</v>
      </c>
      <c r="M316" s="51" t="s">
        <v>2861</v>
      </c>
      <c r="N316" s="0" t="n">
        <v>4</v>
      </c>
      <c r="O316" s="53" t="n">
        <v>46057.4890046296</v>
      </c>
      <c r="P316" s="53" t="n">
        <v>46057.6405787037</v>
      </c>
      <c r="Q316" s="53" t="n">
        <v>46057.4890046296</v>
      </c>
      <c r="R316" s="0" t="n">
        <v>0</v>
      </c>
      <c r="S316" s="51" t="s">
        <v>2398</v>
      </c>
      <c r="T316" s="51" t="s">
        <v>2398</v>
      </c>
      <c r="U316" s="51" t="s">
        <v>2140</v>
      </c>
      <c r="V316" s="51" t="s">
        <v>2142</v>
      </c>
      <c r="W316" s="51"/>
      <c r="X316" s="51"/>
    </row>
    <row r="317" customFormat="false" ht="14.25" hidden="false" customHeight="false" outlineLevel="0" collapsed="false">
      <c r="A317" s="49" t="s">
        <v>2137</v>
      </c>
      <c r="B317" s="49" t="s">
        <v>14</v>
      </c>
      <c r="C317" s="49" t="s">
        <v>732</v>
      </c>
      <c r="D317" s="49" t="s">
        <v>2441</v>
      </c>
      <c r="E317" s="49" t="s">
        <v>2140</v>
      </c>
      <c r="F317" s="49" t="s">
        <v>80</v>
      </c>
      <c r="G317" s="49" t="n">
        <v>4</v>
      </c>
      <c r="H317" s="0" t="n">
        <v>0</v>
      </c>
      <c r="I317" s="51" t="s">
        <v>2710</v>
      </c>
      <c r="J317" s="49" t="s">
        <v>2875</v>
      </c>
      <c r="K317" s="52" t="n">
        <v>47838</v>
      </c>
      <c r="M317" s="51" t="s">
        <v>2861</v>
      </c>
      <c r="N317" s="0" t="n">
        <v>4</v>
      </c>
      <c r="O317" s="53" t="n">
        <v>46057.4894675926</v>
      </c>
      <c r="P317" s="53" t="n">
        <v>46057.6405439815</v>
      </c>
      <c r="Q317" s="0" t="n">
        <v>46057.4894675926</v>
      </c>
      <c r="R317" s="0" t="n">
        <v>0</v>
      </c>
      <c r="S317" s="51" t="s">
        <v>2398</v>
      </c>
      <c r="T317" s="51" t="s">
        <v>2398</v>
      </c>
      <c r="U317" s="51" t="s">
        <v>2140</v>
      </c>
      <c r="V317" s="51" t="s">
        <v>2142</v>
      </c>
    </row>
    <row r="318" customFormat="false" ht="14.25" hidden="false" customHeight="false" outlineLevel="0" collapsed="false">
      <c r="A318" s="49" t="s">
        <v>2137</v>
      </c>
      <c r="B318" s="49" t="s">
        <v>14</v>
      </c>
      <c r="C318" s="49" t="s">
        <v>709</v>
      </c>
      <c r="D318" s="49" t="s">
        <v>2441</v>
      </c>
      <c r="E318" s="49" t="s">
        <v>2140</v>
      </c>
      <c r="F318" s="49" t="s">
        <v>80</v>
      </c>
      <c r="G318" s="49" t="n">
        <v>4</v>
      </c>
      <c r="H318" s="0" t="n">
        <v>0</v>
      </c>
      <c r="I318" s="51" t="s">
        <v>2898</v>
      </c>
      <c r="J318" s="49" t="s">
        <v>2875</v>
      </c>
      <c r="K318" s="52" t="n">
        <v>47838</v>
      </c>
      <c r="M318" s="51" t="s">
        <v>2861</v>
      </c>
      <c r="N318" s="0" t="n">
        <v>4</v>
      </c>
      <c r="O318" s="53" t="n">
        <v>46057.489212963</v>
      </c>
      <c r="P318" s="53" t="n">
        <v>46057.640625</v>
      </c>
      <c r="Q318" s="0" t="n">
        <v>46057.489212963</v>
      </c>
      <c r="R318" s="0" t="n">
        <v>0</v>
      </c>
      <c r="S318" s="51" t="s">
        <v>2398</v>
      </c>
      <c r="T318" s="51" t="s">
        <v>2398</v>
      </c>
      <c r="U318" s="51" t="s">
        <v>2140</v>
      </c>
      <c r="V318" s="51" t="s">
        <v>2142</v>
      </c>
    </row>
    <row r="319" customFormat="false" ht="14.25" hidden="true" customHeight="false" outlineLevel="0" collapsed="false">
      <c r="A319" s="49" t="s">
        <v>2137</v>
      </c>
      <c r="B319" s="49" t="s">
        <v>14</v>
      </c>
      <c r="C319" s="49" t="s">
        <v>731</v>
      </c>
      <c r="D319" s="49" t="s">
        <v>2441</v>
      </c>
      <c r="E319" s="49" t="s">
        <v>2140</v>
      </c>
      <c r="F319" s="49" t="s">
        <v>80</v>
      </c>
      <c r="G319" s="49" t="n">
        <v>4</v>
      </c>
      <c r="H319" s="0" t="n">
        <v>0</v>
      </c>
      <c r="I319" s="51" t="s">
        <v>2630</v>
      </c>
      <c r="J319" s="49" t="s">
        <v>2875</v>
      </c>
      <c r="K319" s="52" t="n">
        <v>47838</v>
      </c>
      <c r="M319" s="51" t="s">
        <v>2861</v>
      </c>
      <c r="N319" s="49" t="n">
        <v>4</v>
      </c>
      <c r="O319" s="53" t="n">
        <v>46057.4896527778</v>
      </c>
      <c r="P319" s="53" t="n">
        <v>46057.6400810185</v>
      </c>
      <c r="Q319" s="0" t="n">
        <v>46057.4896527778</v>
      </c>
      <c r="R319" s="0" t="n">
        <v>0</v>
      </c>
      <c r="S319" s="51" t="s">
        <v>2398</v>
      </c>
      <c r="T319" s="51" t="s">
        <v>2398</v>
      </c>
      <c r="U319" s="51" t="s">
        <v>2140</v>
      </c>
      <c r="V319" s="51" t="s">
        <v>2142</v>
      </c>
    </row>
    <row r="320" customFormat="false" ht="14.25" hidden="false" customHeight="false" outlineLevel="0" collapsed="false">
      <c r="A320" s="49" t="s">
        <v>2137</v>
      </c>
      <c r="B320" s="49" t="s">
        <v>14</v>
      </c>
      <c r="C320" s="49" t="s">
        <v>730</v>
      </c>
      <c r="D320" s="49" t="s">
        <v>2441</v>
      </c>
      <c r="E320" s="49" t="s">
        <v>2140</v>
      </c>
      <c r="F320" s="49" t="s">
        <v>80</v>
      </c>
      <c r="G320" s="49" t="n">
        <v>4</v>
      </c>
      <c r="H320" s="0" t="n">
        <v>0</v>
      </c>
      <c r="I320" s="51" t="s">
        <v>2628</v>
      </c>
      <c r="J320" s="49" t="s">
        <v>2875</v>
      </c>
      <c r="K320" s="52" t="n">
        <v>47838</v>
      </c>
      <c r="M320" s="51" t="s">
        <v>2861</v>
      </c>
      <c r="N320" s="0" t="n">
        <v>4</v>
      </c>
      <c r="O320" s="53" t="n">
        <v>46057.4898032407</v>
      </c>
      <c r="P320" s="53" t="n">
        <v>46057.64</v>
      </c>
      <c r="Q320" s="0" t="n">
        <v>46057.4898032407</v>
      </c>
      <c r="R320" s="0" t="n">
        <v>0</v>
      </c>
      <c r="S320" s="51" t="s">
        <v>2398</v>
      </c>
      <c r="T320" s="51" t="s">
        <v>2398</v>
      </c>
      <c r="U320" s="51" t="s">
        <v>2140</v>
      </c>
      <c r="V320" s="51" t="s">
        <v>2142</v>
      </c>
    </row>
    <row r="321" customFormat="false" ht="14.25" hidden="false" customHeight="false" outlineLevel="0" collapsed="false">
      <c r="A321" s="49" t="s">
        <v>2137</v>
      </c>
      <c r="B321" s="49" t="s">
        <v>14</v>
      </c>
      <c r="C321" s="49" t="s">
        <v>729</v>
      </c>
      <c r="D321" s="49" t="s">
        <v>2441</v>
      </c>
      <c r="E321" s="49" t="s">
        <v>2140</v>
      </c>
      <c r="F321" s="49" t="s">
        <v>80</v>
      </c>
      <c r="G321" s="49" t="n">
        <v>4</v>
      </c>
      <c r="H321" s="0" t="n">
        <v>0</v>
      </c>
      <c r="I321" s="51" t="s">
        <v>2638</v>
      </c>
      <c r="J321" s="49" t="s">
        <v>2875</v>
      </c>
      <c r="K321" s="52" t="n">
        <v>47838</v>
      </c>
      <c r="M321" s="51" t="s">
        <v>2861</v>
      </c>
      <c r="N321" s="0" t="n">
        <v>4</v>
      </c>
      <c r="O321" s="53" t="n">
        <v>46057.4900462963</v>
      </c>
      <c r="P321" s="53" t="n">
        <v>46057.6402662037</v>
      </c>
      <c r="Q321" s="0" t="n">
        <v>46057.4900462963</v>
      </c>
      <c r="R321" s="0" t="n">
        <v>0</v>
      </c>
      <c r="S321" s="51" t="s">
        <v>2398</v>
      </c>
      <c r="T321" s="51" t="s">
        <v>2398</v>
      </c>
      <c r="U321" s="51" t="s">
        <v>2140</v>
      </c>
      <c r="V321" s="51" t="s">
        <v>2142</v>
      </c>
    </row>
    <row r="322" customFormat="false" ht="14.25" hidden="true" customHeight="false" outlineLevel="0" collapsed="false">
      <c r="A322" s="49" t="s">
        <v>2137</v>
      </c>
      <c r="B322" s="49" t="s">
        <v>14</v>
      </c>
      <c r="C322" s="49" t="s">
        <v>727</v>
      </c>
      <c r="D322" s="49" t="s">
        <v>2441</v>
      </c>
      <c r="E322" s="49" t="s">
        <v>2140</v>
      </c>
      <c r="F322" s="49" t="s">
        <v>80</v>
      </c>
      <c r="G322" s="49" t="n">
        <v>4</v>
      </c>
      <c r="H322" s="0" t="n">
        <v>0</v>
      </c>
      <c r="I322" s="51" t="s">
        <v>2481</v>
      </c>
      <c r="J322" s="49" t="s">
        <v>2875</v>
      </c>
      <c r="K322" s="52" t="n">
        <v>47838</v>
      </c>
      <c r="L322" s="54"/>
      <c r="M322" s="51" t="s">
        <v>2861</v>
      </c>
      <c r="N322" s="49" t="n">
        <v>4</v>
      </c>
      <c r="O322" s="53" t="n">
        <v>46057.4904050926</v>
      </c>
      <c r="P322" s="53" t="n">
        <v>46057.6377430556</v>
      </c>
      <c r="Q322" s="53" t="n">
        <v>46057.4904050926</v>
      </c>
      <c r="R322" s="0" t="n">
        <v>0</v>
      </c>
      <c r="S322" s="51" t="s">
        <v>2398</v>
      </c>
      <c r="T322" s="51" t="s">
        <v>2398</v>
      </c>
      <c r="U322" s="51" t="s">
        <v>2140</v>
      </c>
      <c r="V322" s="51" t="s">
        <v>2142</v>
      </c>
      <c r="X322" s="51"/>
    </row>
    <row r="323" customFormat="false" ht="14.25" hidden="false" customHeight="false" outlineLevel="0" collapsed="false">
      <c r="A323" s="49" t="s">
        <v>2137</v>
      </c>
      <c r="B323" s="49" t="s">
        <v>14</v>
      </c>
      <c r="C323" s="49" t="s">
        <v>726</v>
      </c>
      <c r="D323" s="49" t="s">
        <v>2441</v>
      </c>
      <c r="E323" s="49" t="s">
        <v>2140</v>
      </c>
      <c r="F323" s="49" t="s">
        <v>80</v>
      </c>
      <c r="G323" s="49" t="n">
        <v>4</v>
      </c>
      <c r="H323" s="0" t="n">
        <v>0</v>
      </c>
      <c r="I323" s="51" t="s">
        <v>2899</v>
      </c>
      <c r="J323" s="49" t="s">
        <v>2875</v>
      </c>
      <c r="K323" s="52" t="n">
        <v>47838</v>
      </c>
      <c r="L323" s="54"/>
      <c r="M323" s="51" t="s">
        <v>2861</v>
      </c>
      <c r="N323" s="0" t="n">
        <v>4</v>
      </c>
      <c r="O323" s="53" t="n">
        <v>46057.4905671296</v>
      </c>
      <c r="P323" s="53" t="n">
        <v>46057.6378240741</v>
      </c>
      <c r="Q323" s="0" t="n">
        <v>46057.4905671296</v>
      </c>
      <c r="R323" s="0" t="n">
        <v>0</v>
      </c>
      <c r="S323" s="51" t="s">
        <v>2398</v>
      </c>
      <c r="T323" s="51" t="s">
        <v>2398</v>
      </c>
      <c r="U323" s="51" t="s">
        <v>2140</v>
      </c>
      <c r="V323" s="51" t="s">
        <v>2142</v>
      </c>
    </row>
    <row r="324" customFormat="false" ht="14.25" hidden="true" customHeight="false" outlineLevel="0" collapsed="false">
      <c r="A324" s="49" t="s">
        <v>2137</v>
      </c>
      <c r="B324" s="49" t="s">
        <v>14</v>
      </c>
      <c r="C324" s="49" t="s">
        <v>728</v>
      </c>
      <c r="D324" s="49" t="s">
        <v>2441</v>
      </c>
      <c r="E324" s="49" t="s">
        <v>2140</v>
      </c>
      <c r="F324" s="49" t="s">
        <v>80</v>
      </c>
      <c r="G324" s="49" t="n">
        <v>4</v>
      </c>
      <c r="H324" s="0" t="n">
        <v>0</v>
      </c>
      <c r="I324" s="51" t="s">
        <v>2712</v>
      </c>
      <c r="J324" s="49" t="s">
        <v>2875</v>
      </c>
      <c r="K324" s="52" t="n">
        <v>47838</v>
      </c>
      <c r="M324" s="51" t="s">
        <v>2861</v>
      </c>
      <c r="N324" s="49" t="n">
        <v>4</v>
      </c>
      <c r="O324" s="53" t="n">
        <v>46057.4902314815</v>
      </c>
      <c r="P324" s="53" t="n">
        <v>46057.6403703704</v>
      </c>
      <c r="Q324" s="0" t="n">
        <v>46057.4902314815</v>
      </c>
      <c r="R324" s="0" t="n">
        <v>0</v>
      </c>
      <c r="S324" s="51" t="s">
        <v>2398</v>
      </c>
      <c r="T324" s="51" t="s">
        <v>2398</v>
      </c>
      <c r="U324" s="51" t="s">
        <v>2140</v>
      </c>
      <c r="V324" s="51" t="s">
        <v>2142</v>
      </c>
    </row>
    <row r="325" customFormat="false" ht="14.25" hidden="true" customHeight="false" outlineLevel="0" collapsed="false">
      <c r="A325" s="49" t="s">
        <v>2137</v>
      </c>
      <c r="B325" s="49" t="s">
        <v>14</v>
      </c>
      <c r="C325" s="49" t="s">
        <v>725</v>
      </c>
      <c r="D325" s="49" t="s">
        <v>2441</v>
      </c>
      <c r="E325" s="49" t="s">
        <v>2140</v>
      </c>
      <c r="F325" s="49" t="s">
        <v>80</v>
      </c>
      <c r="G325" s="49" t="n">
        <v>4</v>
      </c>
      <c r="H325" s="0" t="n">
        <v>0</v>
      </c>
      <c r="I325" s="51" t="s">
        <v>2900</v>
      </c>
      <c r="J325" s="49" t="s">
        <v>2875</v>
      </c>
      <c r="K325" s="52" t="n">
        <v>47838</v>
      </c>
      <c r="M325" s="51" t="s">
        <v>2861</v>
      </c>
      <c r="N325" s="49" t="n">
        <v>4</v>
      </c>
      <c r="O325" s="53" t="n">
        <v>46057.4906944444</v>
      </c>
      <c r="P325" s="53" t="n">
        <v>46057.6379513889</v>
      </c>
      <c r="Q325" s="53" t="n">
        <v>46057.4906944444</v>
      </c>
      <c r="R325" s="0" t="n">
        <v>0</v>
      </c>
      <c r="S325" s="51" t="s">
        <v>2398</v>
      </c>
      <c r="T325" s="51" t="s">
        <v>2398</v>
      </c>
      <c r="U325" s="51" t="s">
        <v>2140</v>
      </c>
      <c r="V325" s="51" t="s">
        <v>2142</v>
      </c>
      <c r="W325" s="51"/>
      <c r="X325" s="51"/>
    </row>
    <row r="326" customFormat="false" ht="14.25" hidden="true" customHeight="false" outlineLevel="0" collapsed="false">
      <c r="A326" s="49" t="s">
        <v>2137</v>
      </c>
      <c r="B326" s="49" t="s">
        <v>14</v>
      </c>
      <c r="C326" s="49" t="s">
        <v>718</v>
      </c>
      <c r="D326" s="49" t="s">
        <v>2441</v>
      </c>
      <c r="E326" s="49" t="s">
        <v>2140</v>
      </c>
      <c r="F326" s="49" t="s">
        <v>80</v>
      </c>
      <c r="G326" s="49" t="n">
        <v>4</v>
      </c>
      <c r="H326" s="0" t="n">
        <v>0</v>
      </c>
      <c r="I326" s="51" t="s">
        <v>2714</v>
      </c>
      <c r="J326" s="49" t="s">
        <v>2875</v>
      </c>
      <c r="K326" s="52" t="n">
        <v>47838</v>
      </c>
      <c r="M326" s="51" t="s">
        <v>2861</v>
      </c>
      <c r="N326" s="49" t="n">
        <v>4</v>
      </c>
      <c r="O326" s="53" t="n">
        <v>46057.4933912037</v>
      </c>
      <c r="P326" s="53" t="n">
        <v>46057.6404861111</v>
      </c>
      <c r="Q326" s="0" t="n">
        <v>46057.4933912037</v>
      </c>
      <c r="R326" s="0" t="n">
        <v>0</v>
      </c>
      <c r="S326" s="51" t="s">
        <v>2398</v>
      </c>
      <c r="T326" s="51" t="s">
        <v>2398</v>
      </c>
      <c r="U326" s="51" t="s">
        <v>2140</v>
      </c>
      <c r="V326" s="51" t="s">
        <v>2142</v>
      </c>
    </row>
    <row r="327" customFormat="false" ht="14.25" hidden="false" customHeight="false" outlineLevel="0" collapsed="false">
      <c r="A327" s="49" t="s">
        <v>2137</v>
      </c>
      <c r="B327" s="49" t="s">
        <v>14</v>
      </c>
      <c r="C327" s="49" t="s">
        <v>720</v>
      </c>
      <c r="D327" s="49" t="s">
        <v>2441</v>
      </c>
      <c r="E327" s="49" t="s">
        <v>2140</v>
      </c>
      <c r="F327" s="49" t="s">
        <v>80</v>
      </c>
      <c r="G327" s="49" t="n">
        <v>4</v>
      </c>
      <c r="H327" s="0" t="n">
        <v>0</v>
      </c>
      <c r="I327" s="51" t="s">
        <v>2901</v>
      </c>
      <c r="J327" s="49" t="s">
        <v>2875</v>
      </c>
      <c r="K327" s="52" t="n">
        <v>47838</v>
      </c>
      <c r="M327" s="51" t="s">
        <v>2861</v>
      </c>
      <c r="N327" s="0" t="n">
        <v>4</v>
      </c>
      <c r="O327" s="53" t="n">
        <v>46057.4921990741</v>
      </c>
      <c r="P327" s="53" t="n">
        <v>46057.6376851852</v>
      </c>
      <c r="Q327" s="0" t="n">
        <v>46057.4921990741</v>
      </c>
      <c r="R327" s="0" t="n">
        <v>0</v>
      </c>
      <c r="S327" s="51" t="s">
        <v>2398</v>
      </c>
      <c r="T327" s="51" t="s">
        <v>2398</v>
      </c>
      <c r="U327" s="51" t="s">
        <v>2140</v>
      </c>
      <c r="V327" s="51" t="s">
        <v>2142</v>
      </c>
    </row>
    <row r="328" customFormat="false" ht="14.25" hidden="false" customHeight="false" outlineLevel="0" collapsed="false">
      <c r="A328" s="49" t="s">
        <v>2137</v>
      </c>
      <c r="B328" s="49" t="s">
        <v>14</v>
      </c>
      <c r="C328" s="49" t="s">
        <v>722</v>
      </c>
      <c r="D328" s="49" t="s">
        <v>2441</v>
      </c>
      <c r="E328" s="49" t="s">
        <v>2140</v>
      </c>
      <c r="F328" s="49" t="s">
        <v>80</v>
      </c>
      <c r="G328" s="49" t="n">
        <v>4</v>
      </c>
      <c r="H328" s="0" t="n">
        <v>0</v>
      </c>
      <c r="I328" s="51" t="s">
        <v>2902</v>
      </c>
      <c r="J328" s="49" t="s">
        <v>2894</v>
      </c>
      <c r="K328" s="52" t="n">
        <v>47838</v>
      </c>
      <c r="M328" s="51" t="s">
        <v>2861</v>
      </c>
      <c r="N328" s="0" t="n">
        <v>4</v>
      </c>
      <c r="O328" s="53" t="n">
        <v>46057.4913078704</v>
      </c>
      <c r="P328" s="53" t="n">
        <v>46057.6381134259</v>
      </c>
      <c r="Q328" s="0" t="n">
        <v>46057.4913078704</v>
      </c>
      <c r="R328" s="0" t="n">
        <v>0</v>
      </c>
      <c r="S328" s="51" t="s">
        <v>2398</v>
      </c>
      <c r="T328" s="51" t="s">
        <v>2398</v>
      </c>
      <c r="U328" s="51" t="s">
        <v>2140</v>
      </c>
      <c r="V328" s="51" t="s">
        <v>2142</v>
      </c>
    </row>
    <row r="329" customFormat="false" ht="14.25" hidden="false" customHeight="false" outlineLevel="0" collapsed="false">
      <c r="A329" s="49" t="s">
        <v>2137</v>
      </c>
      <c r="B329" s="49" t="s">
        <v>14</v>
      </c>
      <c r="C329" s="49" t="s">
        <v>723</v>
      </c>
      <c r="D329" s="49" t="s">
        <v>2441</v>
      </c>
      <c r="E329" s="49" t="s">
        <v>2140</v>
      </c>
      <c r="F329" s="49" t="s">
        <v>80</v>
      </c>
      <c r="G329" s="49" t="n">
        <v>4</v>
      </c>
      <c r="H329" s="0" t="n">
        <v>0</v>
      </c>
      <c r="I329" s="51" t="s">
        <v>2903</v>
      </c>
      <c r="J329" s="49" t="s">
        <v>2875</v>
      </c>
      <c r="K329" s="52" t="n">
        <v>47838</v>
      </c>
      <c r="M329" s="51" t="s">
        <v>2861</v>
      </c>
      <c r="N329" s="0" t="n">
        <v>4</v>
      </c>
      <c r="O329" s="53" t="n">
        <v>46057.4909953704</v>
      </c>
      <c r="P329" s="53" t="n">
        <v>46057.6381712963</v>
      </c>
      <c r="Q329" s="53" t="n">
        <v>46057.4909953704</v>
      </c>
      <c r="R329" s="0" t="n">
        <v>0</v>
      </c>
      <c r="S329" s="51" t="s">
        <v>2398</v>
      </c>
      <c r="T329" s="51" t="s">
        <v>2398</v>
      </c>
      <c r="U329" s="51" t="s">
        <v>2140</v>
      </c>
      <c r="V329" s="51" t="s">
        <v>2142</v>
      </c>
      <c r="W329" s="51"/>
      <c r="X329" s="51"/>
    </row>
    <row r="330" customFormat="false" ht="14.25" hidden="true" customHeight="false" outlineLevel="0" collapsed="false">
      <c r="A330" s="49" t="s">
        <v>2137</v>
      </c>
      <c r="B330" s="49" t="s">
        <v>14</v>
      </c>
      <c r="C330" s="49" t="s">
        <v>724</v>
      </c>
      <c r="D330" s="49" t="s">
        <v>2441</v>
      </c>
      <c r="E330" s="49" t="s">
        <v>2140</v>
      </c>
      <c r="F330" s="49" t="s">
        <v>80</v>
      </c>
      <c r="G330" s="49" t="n">
        <v>4</v>
      </c>
      <c r="H330" s="0" t="n">
        <v>0</v>
      </c>
      <c r="I330" s="51" t="s">
        <v>2904</v>
      </c>
      <c r="J330" s="49" t="s">
        <v>2875</v>
      </c>
      <c r="K330" s="52" t="n">
        <v>47838</v>
      </c>
      <c r="M330" s="51" t="s">
        <v>2861</v>
      </c>
      <c r="N330" s="49" t="n">
        <v>4</v>
      </c>
      <c r="O330" s="53" t="n">
        <v>46057.4908217593</v>
      </c>
      <c r="P330" s="53" t="n">
        <v>46057.6379976852</v>
      </c>
      <c r="Q330" s="0" t="n">
        <v>46057.4908217593</v>
      </c>
      <c r="R330" s="0" t="n">
        <v>0</v>
      </c>
      <c r="S330" s="51" t="s">
        <v>2398</v>
      </c>
      <c r="T330" s="51" t="s">
        <v>2398</v>
      </c>
      <c r="U330" s="51" t="s">
        <v>2140</v>
      </c>
      <c r="V330" s="51" t="s">
        <v>2142</v>
      </c>
    </row>
    <row r="331" customFormat="false" ht="14.25" hidden="false" customHeight="false" outlineLevel="0" collapsed="false">
      <c r="A331" s="49" t="s">
        <v>2137</v>
      </c>
      <c r="B331" s="49" t="s">
        <v>14</v>
      </c>
      <c r="C331" s="49" t="s">
        <v>721</v>
      </c>
      <c r="D331" s="49" t="s">
        <v>2441</v>
      </c>
      <c r="E331" s="49" t="s">
        <v>2140</v>
      </c>
      <c r="F331" s="49" t="s">
        <v>80</v>
      </c>
      <c r="G331" s="49" t="n">
        <v>4</v>
      </c>
      <c r="H331" s="0" t="n">
        <v>0</v>
      </c>
      <c r="I331" s="51" t="s">
        <v>2905</v>
      </c>
      <c r="J331" s="49" t="s">
        <v>2875</v>
      </c>
      <c r="K331" s="52" t="n">
        <v>47838</v>
      </c>
      <c r="L331" s="54"/>
      <c r="M331" s="51" t="s">
        <v>2861</v>
      </c>
      <c r="N331" s="0" t="n">
        <v>4</v>
      </c>
      <c r="O331" s="53" t="n">
        <v>46057.492037037</v>
      </c>
      <c r="P331" s="53" t="n">
        <v>46057.6378587963</v>
      </c>
      <c r="Q331" s="53" t="n">
        <v>46057.492037037</v>
      </c>
      <c r="R331" s="0" t="n">
        <v>0</v>
      </c>
      <c r="S331" s="51" t="s">
        <v>2398</v>
      </c>
      <c r="T331" s="51" t="s">
        <v>2398</v>
      </c>
      <c r="U331" s="51" t="s">
        <v>2140</v>
      </c>
      <c r="V331" s="51" t="s">
        <v>2142</v>
      </c>
      <c r="W331" s="51"/>
      <c r="X331" s="51"/>
    </row>
    <row r="332" customFormat="false" ht="14.25" hidden="false" customHeight="false" outlineLevel="0" collapsed="false">
      <c r="A332" s="49" t="s">
        <v>2137</v>
      </c>
      <c r="B332" s="49" t="s">
        <v>14</v>
      </c>
      <c r="C332" s="49" t="s">
        <v>167</v>
      </c>
      <c r="D332" s="49" t="s">
        <v>2441</v>
      </c>
      <c r="E332" s="49" t="s">
        <v>2551</v>
      </c>
      <c r="F332" s="49" t="s">
        <v>168</v>
      </c>
      <c r="G332" s="49" t="n">
        <v>24</v>
      </c>
      <c r="H332" s="0" t="n">
        <v>0</v>
      </c>
      <c r="I332" s="51" t="s">
        <v>2906</v>
      </c>
      <c r="J332" s="49" t="s">
        <v>2872</v>
      </c>
      <c r="K332" s="52" t="n">
        <v>47838</v>
      </c>
      <c r="L332" s="54"/>
      <c r="M332" s="51" t="s">
        <v>2541</v>
      </c>
      <c r="N332" s="0" t="n">
        <v>24</v>
      </c>
      <c r="O332" s="53" t="n">
        <v>46050.4935648148</v>
      </c>
      <c r="P332" s="53" t="n">
        <v>46060.6589236111</v>
      </c>
      <c r="Q332" s="53" t="n">
        <v>46050.4935648148</v>
      </c>
      <c r="R332" s="0" t="n">
        <v>0</v>
      </c>
      <c r="S332" s="51" t="s">
        <v>2380</v>
      </c>
      <c r="T332" s="51" t="s">
        <v>2380</v>
      </c>
      <c r="U332" s="51" t="s">
        <v>2551</v>
      </c>
      <c r="V332" s="51" t="s">
        <v>2205</v>
      </c>
      <c r="W332" s="51" t="s">
        <v>2907</v>
      </c>
      <c r="X332" s="51"/>
    </row>
    <row r="333" customFormat="false" ht="14.25" hidden="false" customHeight="false" outlineLevel="0" collapsed="false">
      <c r="A333" s="49" t="s">
        <v>2137</v>
      </c>
      <c r="B333" s="49" t="s">
        <v>14</v>
      </c>
      <c r="C333" s="49" t="s">
        <v>1219</v>
      </c>
      <c r="D333" s="49" t="s">
        <v>2441</v>
      </c>
      <c r="E333" s="49" t="s">
        <v>2908</v>
      </c>
      <c r="F333" s="49" t="s">
        <v>1213</v>
      </c>
      <c r="G333" s="49" t="n">
        <v>52</v>
      </c>
      <c r="H333" s="0" t="n">
        <v>0</v>
      </c>
      <c r="I333" s="51" t="s">
        <v>2909</v>
      </c>
      <c r="J333" s="49" t="s">
        <v>2910</v>
      </c>
      <c r="K333" s="52" t="n">
        <v>47839</v>
      </c>
      <c r="L333" s="54"/>
      <c r="M333" s="51" t="s">
        <v>2539</v>
      </c>
      <c r="N333" s="0" t="n">
        <v>52</v>
      </c>
      <c r="O333" s="53" t="n">
        <v>46064.7106365741</v>
      </c>
      <c r="P333" s="53" t="n">
        <v>46065.6200694444</v>
      </c>
      <c r="Q333" s="53" t="n">
        <v>46064.7106365741</v>
      </c>
      <c r="R333" s="0" t="n">
        <v>0</v>
      </c>
      <c r="S333" s="51" t="s">
        <v>2398</v>
      </c>
      <c r="T333" s="51" t="s">
        <v>2398</v>
      </c>
      <c r="U333" s="51" t="s">
        <v>2908</v>
      </c>
      <c r="V333" s="51" t="s">
        <v>2365</v>
      </c>
      <c r="W333" s="51"/>
      <c r="X333" s="51"/>
    </row>
    <row r="334" customFormat="false" ht="14.25" hidden="false" customHeight="false" outlineLevel="0" collapsed="false">
      <c r="A334" s="49" t="s">
        <v>2137</v>
      </c>
      <c r="B334" s="49" t="s">
        <v>14</v>
      </c>
      <c r="C334" s="49" t="s">
        <v>1212</v>
      </c>
      <c r="D334" s="49" t="s">
        <v>2441</v>
      </c>
      <c r="E334" s="49" t="s">
        <v>2908</v>
      </c>
      <c r="F334" s="49" t="s">
        <v>1213</v>
      </c>
      <c r="G334" s="49" t="n">
        <v>52</v>
      </c>
      <c r="H334" s="0" t="n">
        <v>0</v>
      </c>
      <c r="I334" s="51" t="s">
        <v>2911</v>
      </c>
      <c r="J334" s="49" t="s">
        <v>2910</v>
      </c>
      <c r="K334" s="52" t="n">
        <v>47839</v>
      </c>
      <c r="L334" s="54"/>
      <c r="M334" s="51" t="s">
        <v>2539</v>
      </c>
      <c r="N334" s="0" t="n">
        <v>52</v>
      </c>
      <c r="O334" s="53" t="n">
        <v>46064.7096759259</v>
      </c>
      <c r="P334" s="53" t="n">
        <v>46065.6167592593</v>
      </c>
      <c r="Q334" s="53" t="n">
        <v>46064.7096759259</v>
      </c>
      <c r="R334" s="0" t="n">
        <v>0</v>
      </c>
      <c r="S334" s="51" t="s">
        <v>2398</v>
      </c>
      <c r="T334" s="51" t="s">
        <v>2398</v>
      </c>
      <c r="U334" s="51" t="s">
        <v>2908</v>
      </c>
      <c r="V334" s="51" t="s">
        <v>2365</v>
      </c>
      <c r="W334" s="51"/>
      <c r="X334" s="51"/>
    </row>
    <row r="335" customFormat="false" ht="14.25" hidden="false" customHeight="false" outlineLevel="0" collapsed="false">
      <c r="A335" s="49" t="s">
        <v>2137</v>
      </c>
      <c r="B335" s="49" t="s">
        <v>14</v>
      </c>
      <c r="C335" s="49" t="s">
        <v>1221</v>
      </c>
      <c r="D335" s="49" t="s">
        <v>2441</v>
      </c>
      <c r="E335" s="49" t="s">
        <v>2908</v>
      </c>
      <c r="F335" s="49" t="s">
        <v>1213</v>
      </c>
      <c r="G335" s="49" t="n">
        <v>52</v>
      </c>
      <c r="H335" s="0" t="n">
        <v>0</v>
      </c>
      <c r="I335" s="51" t="s">
        <v>2912</v>
      </c>
      <c r="J335" s="49" t="s">
        <v>2910</v>
      </c>
      <c r="K335" s="52" t="n">
        <v>47839</v>
      </c>
      <c r="L335" s="54"/>
      <c r="M335" s="51" t="s">
        <v>2539</v>
      </c>
      <c r="N335" s="0" t="n">
        <v>52</v>
      </c>
      <c r="O335" s="53" t="n">
        <v>46064.7103587963</v>
      </c>
      <c r="P335" s="53" t="n">
        <v>46065.6182523148</v>
      </c>
      <c r="Q335" s="53" t="n">
        <v>46064.7103587963</v>
      </c>
      <c r="R335" s="0" t="n">
        <v>0</v>
      </c>
      <c r="S335" s="51" t="s">
        <v>2398</v>
      </c>
      <c r="T335" s="51" t="s">
        <v>2398</v>
      </c>
      <c r="U335" s="51" t="s">
        <v>2908</v>
      </c>
      <c r="V335" s="51" t="s">
        <v>2365</v>
      </c>
      <c r="W335" s="51"/>
      <c r="X335" s="51"/>
    </row>
    <row r="336" customFormat="false" ht="14.25" hidden="false" customHeight="false" outlineLevel="0" collapsed="false">
      <c r="A336" s="49" t="s">
        <v>2137</v>
      </c>
      <c r="B336" s="49" t="s">
        <v>14</v>
      </c>
      <c r="C336" s="49" t="s">
        <v>1220</v>
      </c>
      <c r="D336" s="49" t="s">
        <v>2441</v>
      </c>
      <c r="E336" s="49" t="s">
        <v>2908</v>
      </c>
      <c r="F336" s="49" t="s">
        <v>1213</v>
      </c>
      <c r="G336" s="49" t="n">
        <v>52</v>
      </c>
      <c r="H336" s="0" t="n">
        <v>0</v>
      </c>
      <c r="I336" s="51" t="s">
        <v>2913</v>
      </c>
      <c r="J336" s="49" t="s">
        <v>2910</v>
      </c>
      <c r="K336" s="52" t="n">
        <v>47839</v>
      </c>
      <c r="L336" s="54"/>
      <c r="M336" s="51" t="s">
        <v>2539</v>
      </c>
      <c r="N336" s="0" t="n">
        <v>52</v>
      </c>
      <c r="O336" s="53" t="n">
        <v>46064.7104861111</v>
      </c>
      <c r="P336" s="53" t="n">
        <v>46065.6190972222</v>
      </c>
      <c r="Q336" s="53" t="n">
        <v>46064.7104861111</v>
      </c>
      <c r="R336" s="0" t="n">
        <v>0</v>
      </c>
      <c r="S336" s="51" t="s">
        <v>2398</v>
      </c>
      <c r="T336" s="51" t="s">
        <v>2398</v>
      </c>
      <c r="U336" s="51" t="s">
        <v>2908</v>
      </c>
      <c r="V336" s="51" t="s">
        <v>2365</v>
      </c>
      <c r="X336" s="51"/>
    </row>
    <row r="337" customFormat="false" ht="14.25" hidden="false" customHeight="false" outlineLevel="0" collapsed="false">
      <c r="A337" s="49" t="s">
        <v>2137</v>
      </c>
      <c r="B337" s="49" t="s">
        <v>14</v>
      </c>
      <c r="C337" s="49" t="s">
        <v>54</v>
      </c>
      <c r="D337" s="49" t="s">
        <v>2441</v>
      </c>
      <c r="E337" s="49" t="s">
        <v>2477</v>
      </c>
      <c r="F337" s="49" t="s">
        <v>47</v>
      </c>
      <c r="G337" s="49" t="n">
        <v>4</v>
      </c>
      <c r="H337" s="0" t="n">
        <v>0</v>
      </c>
      <c r="I337" s="51" t="s">
        <v>2914</v>
      </c>
      <c r="J337" s="49" t="s">
        <v>2915</v>
      </c>
      <c r="K337" s="52" t="n">
        <v>47840</v>
      </c>
      <c r="L337" s="54"/>
      <c r="M337" s="51" t="s">
        <v>2480</v>
      </c>
      <c r="N337" s="0" t="n">
        <v>0</v>
      </c>
      <c r="O337" s="53" t="n">
        <v>46049.5094907407</v>
      </c>
      <c r="P337" s="53" t="n">
        <v>46052.6639583333</v>
      </c>
      <c r="Q337" s="53" t="n">
        <v>46049.5094907407</v>
      </c>
      <c r="R337" s="0" t="n">
        <v>0</v>
      </c>
      <c r="S337" s="51" t="s">
        <v>2380</v>
      </c>
      <c r="T337" s="51" t="s">
        <v>2380</v>
      </c>
      <c r="U337" s="51" t="s">
        <v>2477</v>
      </c>
      <c r="V337" s="51" t="s">
        <v>2142</v>
      </c>
      <c r="W337" s="51" t="s">
        <v>2916</v>
      </c>
      <c r="X337" s="51"/>
    </row>
    <row r="338" customFormat="false" ht="14.25" hidden="false" customHeight="false" outlineLevel="0" collapsed="false">
      <c r="A338" s="49" t="s">
        <v>2137</v>
      </c>
      <c r="B338" s="49" t="s">
        <v>14</v>
      </c>
      <c r="C338" s="49" t="s">
        <v>528</v>
      </c>
      <c r="D338" s="49" t="s">
        <v>2441</v>
      </c>
      <c r="E338" s="49" t="s">
        <v>2477</v>
      </c>
      <c r="F338" s="49" t="s">
        <v>47</v>
      </c>
      <c r="G338" s="49" t="n">
        <v>4</v>
      </c>
      <c r="H338" s="0" t="n">
        <v>0</v>
      </c>
      <c r="I338" s="51" t="s">
        <v>2917</v>
      </c>
      <c r="J338" s="49" t="s">
        <v>2915</v>
      </c>
      <c r="K338" s="52" t="n">
        <v>47840</v>
      </c>
      <c r="L338" s="54"/>
      <c r="M338" s="51" t="s">
        <v>2483</v>
      </c>
      <c r="N338" s="0" t="n">
        <v>4</v>
      </c>
      <c r="O338" s="53" t="n">
        <v>46054.4626967593</v>
      </c>
      <c r="P338" s="53" t="n">
        <v>46054.6568981482</v>
      </c>
      <c r="Q338" s="53" t="n">
        <v>46054.4626967593</v>
      </c>
      <c r="R338" s="0" t="n">
        <v>0</v>
      </c>
      <c r="S338" s="51" t="s">
        <v>2380</v>
      </c>
      <c r="T338" s="51" t="s">
        <v>2380</v>
      </c>
      <c r="U338" s="51" t="s">
        <v>2477</v>
      </c>
      <c r="V338" s="51" t="s">
        <v>2142</v>
      </c>
      <c r="W338" s="51"/>
      <c r="X338" s="51"/>
    </row>
    <row r="339" customFormat="false" ht="14.25" hidden="false" customHeight="false" outlineLevel="0" collapsed="false">
      <c r="A339" s="49" t="s">
        <v>2137</v>
      </c>
      <c r="B339" s="49" t="s">
        <v>14</v>
      </c>
      <c r="C339" s="49" t="s">
        <v>46</v>
      </c>
      <c r="D339" s="49" t="s">
        <v>2441</v>
      </c>
      <c r="E339" s="49" t="s">
        <v>2477</v>
      </c>
      <c r="F339" s="49" t="s">
        <v>47</v>
      </c>
      <c r="G339" s="49" t="n">
        <v>4</v>
      </c>
      <c r="H339" s="0" t="n">
        <v>0</v>
      </c>
      <c r="I339" s="51" t="s">
        <v>2918</v>
      </c>
      <c r="J339" s="49" t="s">
        <v>2915</v>
      </c>
      <c r="K339" s="52" t="n">
        <v>47840</v>
      </c>
      <c r="L339" s="54"/>
      <c r="M339" s="51" t="s">
        <v>2480</v>
      </c>
      <c r="N339" s="0" t="n">
        <v>0</v>
      </c>
      <c r="O339" s="53" t="n">
        <v>46049.5070833333</v>
      </c>
      <c r="P339" s="53" t="n">
        <v>46052.664212963</v>
      </c>
      <c r="Q339" s="53" t="n">
        <v>46049.5070833333</v>
      </c>
      <c r="R339" s="0" t="n">
        <v>0</v>
      </c>
      <c r="S339" s="51" t="s">
        <v>2380</v>
      </c>
      <c r="T339" s="51" t="s">
        <v>2380</v>
      </c>
      <c r="U339" s="51" t="s">
        <v>2477</v>
      </c>
      <c r="V339" s="51" t="s">
        <v>2142</v>
      </c>
      <c r="W339" s="51" t="s">
        <v>2897</v>
      </c>
      <c r="X339" s="51"/>
    </row>
    <row r="340" customFormat="false" ht="14.25" hidden="false" customHeight="false" outlineLevel="0" collapsed="false">
      <c r="A340" s="49" t="s">
        <v>2137</v>
      </c>
      <c r="B340" s="49" t="s">
        <v>14</v>
      </c>
      <c r="C340" s="49" t="s">
        <v>76</v>
      </c>
      <c r="D340" s="49" t="s">
        <v>2441</v>
      </c>
      <c r="E340" s="49" t="s">
        <v>2477</v>
      </c>
      <c r="F340" s="49" t="s">
        <v>47</v>
      </c>
      <c r="G340" s="49" t="n">
        <v>4</v>
      </c>
      <c r="H340" s="0" t="n">
        <v>0</v>
      </c>
      <c r="I340" s="51" t="s">
        <v>2919</v>
      </c>
      <c r="J340" s="49" t="s">
        <v>2915</v>
      </c>
      <c r="K340" s="52" t="n">
        <v>47840</v>
      </c>
      <c r="L340" s="54"/>
      <c r="M340" s="51" t="s">
        <v>2480</v>
      </c>
      <c r="N340" s="0" t="n">
        <v>4</v>
      </c>
      <c r="O340" s="53" t="n">
        <v>46049.5075810185</v>
      </c>
      <c r="P340" s="53" t="n">
        <v>46052.6570833333</v>
      </c>
      <c r="Q340" s="53" t="n">
        <v>46049.5075810185</v>
      </c>
      <c r="R340" s="0" t="n">
        <v>0</v>
      </c>
      <c r="S340" s="51" t="s">
        <v>2380</v>
      </c>
      <c r="T340" s="51" t="s">
        <v>2380</v>
      </c>
      <c r="U340" s="51" t="s">
        <v>2477</v>
      </c>
      <c r="V340" s="51" t="s">
        <v>2142</v>
      </c>
      <c r="W340" s="51" t="s">
        <v>2902</v>
      </c>
      <c r="X340" s="51"/>
    </row>
    <row r="341" customFormat="false" ht="14.25" hidden="false" customHeight="false" outlineLevel="0" collapsed="false">
      <c r="A341" s="49" t="s">
        <v>2137</v>
      </c>
      <c r="B341" s="49" t="s">
        <v>14</v>
      </c>
      <c r="C341" s="49" t="s">
        <v>74</v>
      </c>
      <c r="D341" s="49" t="s">
        <v>2441</v>
      </c>
      <c r="E341" s="49" t="s">
        <v>2477</v>
      </c>
      <c r="F341" s="49" t="s">
        <v>47</v>
      </c>
      <c r="G341" s="49" t="n">
        <v>4</v>
      </c>
      <c r="H341" s="0" t="n">
        <v>0</v>
      </c>
      <c r="I341" s="51" t="s">
        <v>2920</v>
      </c>
      <c r="J341" s="49" t="s">
        <v>2915</v>
      </c>
      <c r="K341" s="52" t="n">
        <v>47840</v>
      </c>
      <c r="L341" s="54"/>
      <c r="M341" s="51" t="s">
        <v>2480</v>
      </c>
      <c r="N341" s="0" t="n">
        <v>4</v>
      </c>
      <c r="O341" s="53" t="n">
        <v>46049.5077662037</v>
      </c>
      <c r="P341" s="53" t="n">
        <v>46052.6543287037</v>
      </c>
      <c r="Q341" s="53" t="n">
        <v>46049.5077662037</v>
      </c>
      <c r="R341" s="0" t="n">
        <v>0</v>
      </c>
      <c r="S341" s="51" t="s">
        <v>2380</v>
      </c>
      <c r="T341" s="51" t="s">
        <v>2380</v>
      </c>
      <c r="U341" s="51" t="s">
        <v>2477</v>
      </c>
      <c r="V341" s="51" t="s">
        <v>2142</v>
      </c>
      <c r="W341" s="51" t="s">
        <v>2200</v>
      </c>
      <c r="X341" s="51"/>
    </row>
    <row r="342" customFormat="false" ht="14.25" hidden="false" customHeight="false" outlineLevel="0" collapsed="false">
      <c r="A342" s="49" t="s">
        <v>2137</v>
      </c>
      <c r="B342" s="49" t="s">
        <v>14</v>
      </c>
      <c r="C342" s="49" t="s">
        <v>71</v>
      </c>
      <c r="D342" s="49" t="s">
        <v>2441</v>
      </c>
      <c r="E342" s="49" t="s">
        <v>2477</v>
      </c>
      <c r="F342" s="49" t="s">
        <v>47</v>
      </c>
      <c r="G342" s="49" t="n">
        <v>4</v>
      </c>
      <c r="H342" s="0" t="n">
        <v>0</v>
      </c>
      <c r="I342" s="51" t="s">
        <v>2921</v>
      </c>
      <c r="J342" s="49" t="s">
        <v>2915</v>
      </c>
      <c r="K342" s="52" t="n">
        <v>47840</v>
      </c>
      <c r="L342" s="54"/>
      <c r="M342" s="51" t="s">
        <v>2480</v>
      </c>
      <c r="N342" s="0" t="n">
        <v>4</v>
      </c>
      <c r="O342" s="53" t="n">
        <v>46049.5078935185</v>
      </c>
      <c r="P342" s="53" t="n">
        <v>46052.6574305556</v>
      </c>
      <c r="Q342" s="53" t="n">
        <v>46049.5078935185</v>
      </c>
      <c r="R342" s="0" t="n">
        <v>0</v>
      </c>
      <c r="S342" s="51" t="s">
        <v>2380</v>
      </c>
      <c r="T342" s="51" t="s">
        <v>2380</v>
      </c>
      <c r="U342" s="51" t="s">
        <v>2477</v>
      </c>
      <c r="V342" s="51" t="s">
        <v>2142</v>
      </c>
      <c r="W342" s="51" t="s">
        <v>2904</v>
      </c>
      <c r="X342" s="51"/>
    </row>
    <row r="343" customFormat="false" ht="14.25" hidden="false" customHeight="false" outlineLevel="0" collapsed="false">
      <c r="A343" s="49" t="s">
        <v>2137</v>
      </c>
      <c r="B343" s="49" t="s">
        <v>14</v>
      </c>
      <c r="C343" s="49" t="s">
        <v>70</v>
      </c>
      <c r="D343" s="49" t="s">
        <v>2441</v>
      </c>
      <c r="E343" s="49" t="s">
        <v>2477</v>
      </c>
      <c r="F343" s="49" t="s">
        <v>47</v>
      </c>
      <c r="G343" s="49" t="n">
        <v>4</v>
      </c>
      <c r="H343" s="0" t="n">
        <v>0</v>
      </c>
      <c r="I343" s="51" t="s">
        <v>2922</v>
      </c>
      <c r="J343" s="49" t="s">
        <v>2915</v>
      </c>
      <c r="K343" s="52" t="n">
        <v>47840</v>
      </c>
      <c r="L343" s="54"/>
      <c r="M343" s="51" t="s">
        <v>2480</v>
      </c>
      <c r="N343" s="0" t="n">
        <v>4</v>
      </c>
      <c r="O343" s="53" t="n">
        <v>46049.5079282407</v>
      </c>
      <c r="P343" s="53" t="n">
        <v>46052.6535185185</v>
      </c>
      <c r="Q343" s="53" t="n">
        <v>46049.5079282407</v>
      </c>
      <c r="R343" s="0" t="n">
        <v>0</v>
      </c>
      <c r="S343" s="51" t="s">
        <v>2380</v>
      </c>
      <c r="T343" s="51" t="s">
        <v>2380</v>
      </c>
      <c r="U343" s="51" t="s">
        <v>2477</v>
      </c>
      <c r="V343" s="51" t="s">
        <v>2142</v>
      </c>
      <c r="W343" s="51" t="s">
        <v>2905</v>
      </c>
      <c r="X343" s="51"/>
    </row>
    <row r="344" customFormat="false" ht="14.25" hidden="false" customHeight="false" outlineLevel="0" collapsed="false">
      <c r="A344" s="49" t="s">
        <v>2137</v>
      </c>
      <c r="B344" s="49" t="s">
        <v>14</v>
      </c>
      <c r="C344" s="49" t="s">
        <v>68</v>
      </c>
      <c r="D344" s="49" t="s">
        <v>2441</v>
      </c>
      <c r="E344" s="49" t="s">
        <v>2477</v>
      </c>
      <c r="F344" s="49" t="s">
        <v>47</v>
      </c>
      <c r="G344" s="49" t="n">
        <v>4</v>
      </c>
      <c r="H344" s="0" t="n">
        <v>0</v>
      </c>
      <c r="I344" s="51" t="s">
        <v>2923</v>
      </c>
      <c r="J344" s="49" t="s">
        <v>2915</v>
      </c>
      <c r="K344" s="52" t="n">
        <v>47840</v>
      </c>
      <c r="L344" s="54"/>
      <c r="M344" s="51" t="s">
        <v>2480</v>
      </c>
      <c r="N344" s="0" t="n">
        <v>4</v>
      </c>
      <c r="O344" s="53" t="n">
        <v>46049.5080208333</v>
      </c>
      <c r="P344" s="53" t="n">
        <v>46052.6561574074</v>
      </c>
      <c r="Q344" s="53" t="n">
        <v>46049.5080208333</v>
      </c>
      <c r="R344" s="0" t="n">
        <v>0</v>
      </c>
      <c r="S344" s="51" t="s">
        <v>2380</v>
      </c>
      <c r="T344" s="51" t="s">
        <v>2380</v>
      </c>
      <c r="U344" s="51" t="s">
        <v>2477</v>
      </c>
      <c r="V344" s="51" t="s">
        <v>2142</v>
      </c>
      <c r="W344" s="51" t="s">
        <v>2177</v>
      </c>
      <c r="X344" s="51"/>
    </row>
    <row r="345" customFormat="false" ht="14.25" hidden="true" customHeight="false" outlineLevel="0" collapsed="false">
      <c r="A345" s="49" t="s">
        <v>2137</v>
      </c>
      <c r="B345" s="49" t="s">
        <v>14</v>
      </c>
      <c r="C345" s="49" t="s">
        <v>65</v>
      </c>
      <c r="D345" s="49" t="s">
        <v>2441</v>
      </c>
      <c r="E345" s="49" t="s">
        <v>2477</v>
      </c>
      <c r="F345" s="49" t="s">
        <v>47</v>
      </c>
      <c r="G345" s="49" t="n">
        <v>4</v>
      </c>
      <c r="H345" s="0" t="n">
        <v>0</v>
      </c>
      <c r="I345" s="51" t="s">
        <v>2924</v>
      </c>
      <c r="J345" s="49" t="s">
        <v>2915</v>
      </c>
      <c r="K345" s="52" t="n">
        <v>47840</v>
      </c>
      <c r="M345" s="51" t="s">
        <v>2480</v>
      </c>
      <c r="N345" s="49" t="n">
        <v>0</v>
      </c>
      <c r="O345" s="53" t="n">
        <v>46049.5081365741</v>
      </c>
      <c r="P345" s="53" t="n">
        <v>46052.6534375</v>
      </c>
      <c r="Q345" s="53" t="n">
        <v>46049.5081365741</v>
      </c>
      <c r="R345" s="0" t="n">
        <v>0</v>
      </c>
      <c r="S345" s="51" t="s">
        <v>2380</v>
      </c>
      <c r="T345" s="51" t="s">
        <v>2380</v>
      </c>
      <c r="U345" s="51" t="s">
        <v>2477</v>
      </c>
      <c r="V345" s="51" t="s">
        <v>2142</v>
      </c>
      <c r="W345" s="51" t="s">
        <v>2180</v>
      </c>
      <c r="X345" s="51"/>
    </row>
    <row r="346" customFormat="false" ht="14.25" hidden="true" customHeight="false" outlineLevel="0" collapsed="false">
      <c r="A346" s="49" t="s">
        <v>2137</v>
      </c>
      <c r="B346" s="49" t="s">
        <v>14</v>
      </c>
      <c r="C346" s="49" t="s">
        <v>62</v>
      </c>
      <c r="D346" s="49" t="s">
        <v>2441</v>
      </c>
      <c r="E346" s="49" t="s">
        <v>2477</v>
      </c>
      <c r="F346" s="49" t="s">
        <v>47</v>
      </c>
      <c r="G346" s="49" t="n">
        <v>4</v>
      </c>
      <c r="H346" s="0" t="n">
        <v>0</v>
      </c>
      <c r="I346" s="51" t="s">
        <v>2925</v>
      </c>
      <c r="J346" s="49" t="s">
        <v>2915</v>
      </c>
      <c r="K346" s="52" t="n">
        <v>47840</v>
      </c>
      <c r="M346" s="51" t="s">
        <v>2480</v>
      </c>
      <c r="N346" s="49" t="n">
        <v>4</v>
      </c>
      <c r="O346" s="53" t="n">
        <v>46049.5092476852</v>
      </c>
      <c r="P346" s="53" t="n">
        <v>46052.6537384259</v>
      </c>
      <c r="Q346" s="53" t="n">
        <v>46049.5092476852</v>
      </c>
      <c r="R346" s="0" t="n">
        <v>0</v>
      </c>
      <c r="S346" s="51" t="s">
        <v>2380</v>
      </c>
      <c r="T346" s="51" t="s">
        <v>2380</v>
      </c>
      <c r="U346" s="51" t="s">
        <v>2477</v>
      </c>
      <c r="V346" s="51" t="s">
        <v>2142</v>
      </c>
      <c r="W346" s="51" t="s">
        <v>2187</v>
      </c>
      <c r="X346" s="51"/>
    </row>
    <row r="347" customFormat="false" ht="14.25" hidden="true" customHeight="false" outlineLevel="0" collapsed="false">
      <c r="A347" s="49" t="s">
        <v>2137</v>
      </c>
      <c r="B347" s="49" t="s">
        <v>14</v>
      </c>
      <c r="C347" s="49" t="s">
        <v>61</v>
      </c>
      <c r="D347" s="49" t="s">
        <v>2441</v>
      </c>
      <c r="E347" s="49" t="s">
        <v>2477</v>
      </c>
      <c r="F347" s="49" t="s">
        <v>47</v>
      </c>
      <c r="G347" s="49" t="n">
        <v>4</v>
      </c>
      <c r="H347" s="0" t="n">
        <v>0</v>
      </c>
      <c r="I347" s="51" t="s">
        <v>2926</v>
      </c>
      <c r="J347" s="49" t="s">
        <v>2915</v>
      </c>
      <c r="K347" s="52" t="n">
        <v>47840</v>
      </c>
      <c r="M347" s="51" t="s">
        <v>2480</v>
      </c>
      <c r="N347" s="49" t="n">
        <v>0</v>
      </c>
      <c r="O347" s="53" t="n">
        <v>46049.5092708333</v>
      </c>
      <c r="P347" s="53" t="n">
        <v>46052.6565856482</v>
      </c>
      <c r="Q347" s="0" t="n">
        <v>46049.5092708333</v>
      </c>
      <c r="R347" s="0" t="n">
        <v>0</v>
      </c>
      <c r="S347" s="51" t="s">
        <v>2380</v>
      </c>
      <c r="T347" s="51" t="s">
        <v>2380</v>
      </c>
      <c r="U347" s="51" t="s">
        <v>2477</v>
      </c>
      <c r="V347" s="51" t="s">
        <v>2142</v>
      </c>
      <c r="W347" s="51" t="s">
        <v>2927</v>
      </c>
    </row>
    <row r="348" customFormat="false" ht="14.25" hidden="true" customHeight="false" outlineLevel="0" collapsed="false">
      <c r="A348" s="49" t="s">
        <v>2137</v>
      </c>
      <c r="B348" s="49" t="s">
        <v>14</v>
      </c>
      <c r="C348" s="49" t="s">
        <v>52</v>
      </c>
      <c r="D348" s="49" t="s">
        <v>2441</v>
      </c>
      <c r="E348" s="49" t="s">
        <v>2477</v>
      </c>
      <c r="F348" s="49" t="s">
        <v>47</v>
      </c>
      <c r="G348" s="49" t="n">
        <v>4</v>
      </c>
      <c r="H348" s="0" t="n">
        <v>0</v>
      </c>
      <c r="I348" s="51" t="s">
        <v>2928</v>
      </c>
      <c r="J348" s="49" t="s">
        <v>2915</v>
      </c>
      <c r="K348" s="52" t="n">
        <v>47840</v>
      </c>
      <c r="M348" s="51" t="s">
        <v>2480</v>
      </c>
      <c r="N348" s="49" t="n">
        <v>4</v>
      </c>
      <c r="O348" s="53" t="n">
        <v>46049.5095833333</v>
      </c>
      <c r="P348" s="53" t="n">
        <v>46052.6577430556</v>
      </c>
      <c r="Q348" s="53" t="n">
        <v>46049.5095833333</v>
      </c>
      <c r="R348" s="0" t="n">
        <v>0</v>
      </c>
      <c r="S348" s="51" t="s">
        <v>2380</v>
      </c>
      <c r="T348" s="51" t="s">
        <v>2380</v>
      </c>
      <c r="U348" s="51" t="s">
        <v>2477</v>
      </c>
      <c r="V348" s="51" t="s">
        <v>2142</v>
      </c>
      <c r="W348" s="51" t="s">
        <v>2929</v>
      </c>
      <c r="X348" s="51"/>
    </row>
    <row r="349" customFormat="false" ht="14.25" hidden="false" customHeight="false" outlineLevel="0" collapsed="false">
      <c r="A349" s="49" t="s">
        <v>2137</v>
      </c>
      <c r="B349" s="49" t="s">
        <v>14</v>
      </c>
      <c r="C349" s="49" t="s">
        <v>48</v>
      </c>
      <c r="D349" s="49" t="s">
        <v>2441</v>
      </c>
      <c r="E349" s="49" t="s">
        <v>2477</v>
      </c>
      <c r="F349" s="49" t="s">
        <v>47</v>
      </c>
      <c r="G349" s="49" t="n">
        <v>4</v>
      </c>
      <c r="H349" s="0" t="n">
        <v>0</v>
      </c>
      <c r="I349" s="51" t="s">
        <v>2930</v>
      </c>
      <c r="J349" s="49" t="s">
        <v>2915</v>
      </c>
      <c r="K349" s="52" t="n">
        <v>47840</v>
      </c>
      <c r="M349" s="51" t="s">
        <v>2480</v>
      </c>
      <c r="N349" s="0" t="n">
        <v>4</v>
      </c>
      <c r="O349" s="53" t="n">
        <v>46049.5097800926</v>
      </c>
      <c r="P349" s="53" t="n">
        <v>46052.6540509259</v>
      </c>
      <c r="Q349" s="53" t="n">
        <v>46049.5097800926</v>
      </c>
      <c r="R349" s="0" t="n">
        <v>0</v>
      </c>
      <c r="S349" s="51" t="s">
        <v>2380</v>
      </c>
      <c r="T349" s="51" t="s">
        <v>2380</v>
      </c>
      <c r="U349" s="51" t="s">
        <v>2477</v>
      </c>
      <c r="V349" s="51" t="s">
        <v>2142</v>
      </c>
      <c r="W349" s="51" t="s">
        <v>2931</v>
      </c>
      <c r="X349" s="51"/>
    </row>
    <row r="350" customFormat="false" ht="14.25" hidden="false" customHeight="false" outlineLevel="0" collapsed="false">
      <c r="A350" s="49" t="s">
        <v>2137</v>
      </c>
      <c r="B350" s="49" t="s">
        <v>14</v>
      </c>
      <c r="C350" s="49" t="s">
        <v>57</v>
      </c>
      <c r="D350" s="49" t="s">
        <v>2441</v>
      </c>
      <c r="E350" s="49" t="s">
        <v>2477</v>
      </c>
      <c r="F350" s="49" t="s">
        <v>47</v>
      </c>
      <c r="G350" s="49" t="n">
        <v>4</v>
      </c>
      <c r="H350" s="0" t="n">
        <v>0</v>
      </c>
      <c r="I350" s="51" t="s">
        <v>2932</v>
      </c>
      <c r="J350" s="49" t="s">
        <v>2915</v>
      </c>
      <c r="K350" s="52" t="n">
        <v>47840</v>
      </c>
      <c r="M350" s="51" t="s">
        <v>2480</v>
      </c>
      <c r="N350" s="0" t="n">
        <v>4</v>
      </c>
      <c r="O350" s="53" t="n">
        <v>46049.509375</v>
      </c>
      <c r="P350" s="53" t="n">
        <v>46052.6564699074</v>
      </c>
      <c r="Q350" s="53" t="n">
        <v>46049.509375</v>
      </c>
      <c r="R350" s="0" t="n">
        <v>0</v>
      </c>
      <c r="S350" s="51" t="s">
        <v>2380</v>
      </c>
      <c r="T350" s="51" t="s">
        <v>2380</v>
      </c>
      <c r="U350" s="51" t="s">
        <v>2477</v>
      </c>
      <c r="V350" s="51" t="s">
        <v>2142</v>
      </c>
      <c r="W350" s="51" t="s">
        <v>2860</v>
      </c>
      <c r="X350" s="51"/>
    </row>
    <row r="351" customFormat="false" ht="14.25" hidden="false" customHeight="false" outlineLevel="0" collapsed="false">
      <c r="A351" s="49" t="s">
        <v>2137</v>
      </c>
      <c r="B351" s="49" t="s">
        <v>14</v>
      </c>
      <c r="C351" s="49" t="s">
        <v>58</v>
      </c>
      <c r="D351" s="49" t="s">
        <v>2441</v>
      </c>
      <c r="E351" s="49" t="s">
        <v>2477</v>
      </c>
      <c r="F351" s="49" t="s">
        <v>47</v>
      </c>
      <c r="G351" s="49" t="n">
        <v>4</v>
      </c>
      <c r="H351" s="0" t="n">
        <v>0</v>
      </c>
      <c r="I351" s="51" t="s">
        <v>2933</v>
      </c>
      <c r="J351" s="49" t="s">
        <v>2915</v>
      </c>
      <c r="K351" s="52" t="n">
        <v>47840</v>
      </c>
      <c r="M351" s="51" t="s">
        <v>2480</v>
      </c>
      <c r="N351" s="0" t="n">
        <v>4</v>
      </c>
      <c r="O351" s="53" t="n">
        <v>46049.5093518519</v>
      </c>
      <c r="P351" s="53" t="n">
        <v>46052.6559722222</v>
      </c>
      <c r="Q351" s="53" t="n">
        <v>46049.5093518519</v>
      </c>
      <c r="R351" s="0" t="n">
        <v>0</v>
      </c>
      <c r="S351" s="51" t="s">
        <v>2380</v>
      </c>
      <c r="T351" s="51" t="s">
        <v>2380</v>
      </c>
      <c r="U351" s="51" t="s">
        <v>2477</v>
      </c>
      <c r="V351" s="51" t="s">
        <v>2142</v>
      </c>
      <c r="W351" s="51" t="s">
        <v>2901</v>
      </c>
      <c r="X351" s="51"/>
    </row>
    <row r="352" customFormat="false" ht="14.25" hidden="false" customHeight="false" outlineLevel="0" collapsed="false">
      <c r="A352" s="49" t="s">
        <v>2137</v>
      </c>
      <c r="B352" s="49" t="s">
        <v>14</v>
      </c>
      <c r="C352" s="49" t="s">
        <v>77</v>
      </c>
      <c r="D352" s="49" t="s">
        <v>2441</v>
      </c>
      <c r="E352" s="49" t="s">
        <v>2934</v>
      </c>
      <c r="F352" s="49" t="s">
        <v>50</v>
      </c>
      <c r="G352" s="49" t="n">
        <v>4</v>
      </c>
      <c r="H352" s="0" t="n">
        <v>0</v>
      </c>
      <c r="I352" s="51" t="s">
        <v>2935</v>
      </c>
      <c r="J352" s="49" t="s">
        <v>2936</v>
      </c>
      <c r="K352" s="52" t="n">
        <v>47841</v>
      </c>
      <c r="M352" s="51" t="s">
        <v>2480</v>
      </c>
      <c r="N352" s="0" t="n">
        <v>0</v>
      </c>
      <c r="O352" s="53" t="n">
        <v>46049.5075115741</v>
      </c>
      <c r="P352" s="53" t="n">
        <v>46052.6569907407</v>
      </c>
      <c r="Q352" s="53" t="n">
        <v>46049.5075115741</v>
      </c>
      <c r="R352" s="0" t="n">
        <v>0</v>
      </c>
      <c r="S352" s="51" t="s">
        <v>2380</v>
      </c>
      <c r="T352" s="51" t="s">
        <v>2380</v>
      </c>
      <c r="U352" s="51" t="s">
        <v>2934</v>
      </c>
      <c r="V352" s="51" t="s">
        <v>2142</v>
      </c>
      <c r="W352" s="51" t="s">
        <v>2903</v>
      </c>
      <c r="X352" s="51"/>
    </row>
    <row r="353" customFormat="false" ht="14.25" hidden="false" customHeight="false" outlineLevel="0" collapsed="false">
      <c r="A353" s="49" t="s">
        <v>2137</v>
      </c>
      <c r="B353" s="49" t="s">
        <v>14</v>
      </c>
      <c r="C353" s="49" t="s">
        <v>1167</v>
      </c>
      <c r="D353" s="49" t="s">
        <v>2441</v>
      </c>
      <c r="E353" s="49" t="s">
        <v>2290</v>
      </c>
      <c r="F353" s="49" t="s">
        <v>1094</v>
      </c>
      <c r="G353" s="49" t="n">
        <v>4</v>
      </c>
      <c r="H353" s="0" t="n">
        <v>0</v>
      </c>
      <c r="I353" s="51" t="s">
        <v>2240</v>
      </c>
      <c r="J353" s="49" t="s">
        <v>2937</v>
      </c>
      <c r="K353" s="52" t="n">
        <v>47841</v>
      </c>
      <c r="M353" s="51" t="s">
        <v>2765</v>
      </c>
      <c r="N353" s="0" t="n">
        <v>4</v>
      </c>
      <c r="O353" s="53" t="n">
        <v>46063.467974537</v>
      </c>
      <c r="P353" s="53" t="n">
        <v>46063.4750694444</v>
      </c>
      <c r="Q353" s="53" t="n">
        <v>46063.467974537</v>
      </c>
      <c r="R353" s="0" t="n">
        <v>0</v>
      </c>
      <c r="S353" s="51" t="s">
        <v>2398</v>
      </c>
      <c r="T353" s="51" t="s">
        <v>2398</v>
      </c>
      <c r="U353" s="51" t="s">
        <v>2290</v>
      </c>
      <c r="V353" s="51" t="s">
        <v>2142</v>
      </c>
      <c r="W353" s="51"/>
      <c r="X353" s="51"/>
    </row>
    <row r="354" customFormat="false" ht="14.25" hidden="true" customHeight="false" outlineLevel="0" collapsed="false">
      <c r="A354" s="49" t="s">
        <v>2137</v>
      </c>
      <c r="B354" s="49" t="s">
        <v>14</v>
      </c>
      <c r="C354" s="49" t="s">
        <v>1178</v>
      </c>
      <c r="D354" s="49" t="s">
        <v>2441</v>
      </c>
      <c r="E354" s="49" t="s">
        <v>2290</v>
      </c>
      <c r="F354" s="49" t="s">
        <v>1094</v>
      </c>
      <c r="G354" s="49" t="n">
        <v>4</v>
      </c>
      <c r="H354" s="0" t="n">
        <v>0</v>
      </c>
      <c r="I354" s="51" t="s">
        <v>2222</v>
      </c>
      <c r="J354" s="49" t="s">
        <v>2937</v>
      </c>
      <c r="K354" s="52" t="n">
        <v>47841</v>
      </c>
      <c r="M354" s="51" t="s">
        <v>2765</v>
      </c>
      <c r="N354" s="49" t="n">
        <v>4</v>
      </c>
      <c r="O354" s="53" t="n">
        <v>46063.471412037</v>
      </c>
      <c r="P354" s="53" t="n">
        <v>46063.4770601852</v>
      </c>
      <c r="Q354" s="53" t="n">
        <v>46063.471412037</v>
      </c>
      <c r="R354" s="0" t="n">
        <v>0</v>
      </c>
      <c r="S354" s="51" t="s">
        <v>2398</v>
      </c>
      <c r="T354" s="51" t="s">
        <v>2398</v>
      </c>
      <c r="U354" s="51" t="s">
        <v>2290</v>
      </c>
      <c r="V354" s="51" t="s">
        <v>2142</v>
      </c>
      <c r="W354" s="51"/>
      <c r="X354" s="51"/>
    </row>
    <row r="355" customFormat="false" ht="14.25" hidden="false" customHeight="false" outlineLevel="0" collapsed="false">
      <c r="A355" s="49" t="s">
        <v>2137</v>
      </c>
      <c r="B355" s="49" t="s">
        <v>14</v>
      </c>
      <c r="C355" s="49" t="s">
        <v>1168</v>
      </c>
      <c r="D355" s="49" t="s">
        <v>2441</v>
      </c>
      <c r="E355" s="49" t="s">
        <v>2271</v>
      </c>
      <c r="F355" s="49" t="s">
        <v>420</v>
      </c>
      <c r="G355" s="49" t="n">
        <v>24</v>
      </c>
      <c r="H355" s="0" t="n">
        <v>0</v>
      </c>
      <c r="I355" s="51" t="s">
        <v>2938</v>
      </c>
      <c r="J355" s="49" t="s">
        <v>2939</v>
      </c>
      <c r="K355" s="52" t="n">
        <v>47841</v>
      </c>
      <c r="M355" s="51" t="s">
        <v>2765</v>
      </c>
      <c r="N355" s="0" t="n">
        <v>24</v>
      </c>
      <c r="O355" s="53" t="n">
        <v>46063.4787268519</v>
      </c>
      <c r="P355" s="53" t="n">
        <v>46063.4880208333</v>
      </c>
      <c r="Q355" s="0" t="n">
        <v>46063.4787268519</v>
      </c>
      <c r="R355" s="0" t="n">
        <v>0</v>
      </c>
      <c r="S355" s="51" t="s">
        <v>2398</v>
      </c>
      <c r="T355" s="51" t="s">
        <v>2398</v>
      </c>
      <c r="U355" s="51" t="s">
        <v>2271</v>
      </c>
      <c r="V355" s="51" t="s">
        <v>2205</v>
      </c>
    </row>
    <row r="356" customFormat="false" ht="14.25" hidden="false" customHeight="false" outlineLevel="0" collapsed="false">
      <c r="A356" s="49" t="s">
        <v>2137</v>
      </c>
      <c r="B356" s="49" t="s">
        <v>14</v>
      </c>
      <c r="C356" s="49" t="s">
        <v>1165</v>
      </c>
      <c r="D356" s="49" t="s">
        <v>2441</v>
      </c>
      <c r="E356" s="49" t="s">
        <v>2271</v>
      </c>
      <c r="F356" s="49" t="s">
        <v>420</v>
      </c>
      <c r="G356" s="49" t="n">
        <v>24</v>
      </c>
      <c r="H356" s="0" t="n">
        <v>0</v>
      </c>
      <c r="I356" s="51" t="s">
        <v>2940</v>
      </c>
      <c r="J356" s="49" t="s">
        <v>2939</v>
      </c>
      <c r="K356" s="52" t="n">
        <v>47841</v>
      </c>
      <c r="M356" s="51" t="s">
        <v>2765</v>
      </c>
      <c r="N356" s="0" t="n">
        <v>24</v>
      </c>
      <c r="O356" s="53" t="n">
        <v>46063.4784490741</v>
      </c>
      <c r="P356" s="53" t="n">
        <v>46063.4878935185</v>
      </c>
      <c r="Q356" s="53" t="n">
        <v>46063.4784490741</v>
      </c>
      <c r="R356" s="0" t="n">
        <v>0</v>
      </c>
      <c r="S356" s="51" t="s">
        <v>2398</v>
      </c>
      <c r="T356" s="51" t="s">
        <v>2398</v>
      </c>
      <c r="U356" s="51" t="s">
        <v>2271</v>
      </c>
      <c r="V356" s="51" t="s">
        <v>2205</v>
      </c>
      <c r="W356" s="51"/>
      <c r="X356" s="51"/>
    </row>
    <row r="357" customFormat="false" ht="14.25" hidden="false" customHeight="false" outlineLevel="0" collapsed="false">
      <c r="A357" s="49" t="s">
        <v>2137</v>
      </c>
      <c r="B357" s="49" t="s">
        <v>14</v>
      </c>
      <c r="C357" s="49" t="s">
        <v>1169</v>
      </c>
      <c r="D357" s="49" t="s">
        <v>2441</v>
      </c>
      <c r="E357" s="49" t="s">
        <v>2271</v>
      </c>
      <c r="F357" s="49" t="s">
        <v>420</v>
      </c>
      <c r="G357" s="49" t="n">
        <v>24</v>
      </c>
      <c r="H357" s="0" t="n">
        <v>0</v>
      </c>
      <c r="I357" s="51" t="s">
        <v>2941</v>
      </c>
      <c r="J357" s="49" t="s">
        <v>2939</v>
      </c>
      <c r="K357" s="52" t="n">
        <v>47841</v>
      </c>
      <c r="M357" s="51" t="s">
        <v>2765</v>
      </c>
      <c r="N357" s="0" t="n">
        <v>24</v>
      </c>
      <c r="O357" s="53" t="n">
        <v>46063.4782175926</v>
      </c>
      <c r="P357" s="53" t="n">
        <v>46063.488287037</v>
      </c>
      <c r="Q357" s="53" t="n">
        <v>46063.4782175926</v>
      </c>
      <c r="R357" s="0" t="n">
        <v>0</v>
      </c>
      <c r="S357" s="51" t="s">
        <v>2398</v>
      </c>
      <c r="T357" s="51" t="s">
        <v>2398</v>
      </c>
      <c r="U357" s="51" t="s">
        <v>2271</v>
      </c>
      <c r="V357" s="51" t="s">
        <v>2205</v>
      </c>
      <c r="W357" s="51"/>
      <c r="X357" s="51"/>
    </row>
    <row r="358" customFormat="false" ht="14.25" hidden="false" customHeight="false" outlineLevel="0" collapsed="false">
      <c r="A358" s="49" t="s">
        <v>2137</v>
      </c>
      <c r="B358" s="49" t="s">
        <v>14</v>
      </c>
      <c r="C358" s="49" t="s">
        <v>1170</v>
      </c>
      <c r="D358" s="49" t="s">
        <v>2441</v>
      </c>
      <c r="E358" s="49" t="s">
        <v>2271</v>
      </c>
      <c r="F358" s="49" t="s">
        <v>420</v>
      </c>
      <c r="G358" s="49" t="n">
        <v>24</v>
      </c>
      <c r="H358" s="0" t="n">
        <v>0</v>
      </c>
      <c r="I358" s="51" t="s">
        <v>2942</v>
      </c>
      <c r="J358" s="49" t="s">
        <v>2939</v>
      </c>
      <c r="K358" s="52" t="n">
        <v>47841</v>
      </c>
      <c r="M358" s="51" t="s">
        <v>2765</v>
      </c>
      <c r="N358" s="0" t="n">
        <v>24</v>
      </c>
      <c r="O358" s="53" t="n">
        <v>46063.4780092593</v>
      </c>
      <c r="P358" s="53" t="n">
        <v>46063.4882060185</v>
      </c>
      <c r="Q358" s="53" t="n">
        <v>46063.4780092593</v>
      </c>
      <c r="R358" s="0" t="n">
        <v>0</v>
      </c>
      <c r="S358" s="51" t="s">
        <v>2398</v>
      </c>
      <c r="T358" s="51" t="s">
        <v>2398</v>
      </c>
      <c r="U358" s="51" t="s">
        <v>2271</v>
      </c>
      <c r="V358" s="51" t="s">
        <v>2205</v>
      </c>
      <c r="W358" s="51"/>
    </row>
    <row r="359" customFormat="false" ht="14.25" hidden="false" customHeight="false" outlineLevel="0" collapsed="false">
      <c r="A359" s="49" t="s">
        <v>2137</v>
      </c>
      <c r="B359" s="49" t="s">
        <v>14</v>
      </c>
      <c r="C359" s="49" t="s">
        <v>1185</v>
      </c>
      <c r="D359" s="49" t="s">
        <v>2441</v>
      </c>
      <c r="E359" s="49" t="s">
        <v>2271</v>
      </c>
      <c r="F359" s="49" t="s">
        <v>420</v>
      </c>
      <c r="G359" s="49" t="n">
        <v>24</v>
      </c>
      <c r="H359" s="0" t="n">
        <v>0</v>
      </c>
      <c r="I359" s="51" t="s">
        <v>2943</v>
      </c>
      <c r="J359" s="49" t="s">
        <v>2939</v>
      </c>
      <c r="K359" s="52" t="n">
        <v>47841</v>
      </c>
      <c r="M359" s="51" t="s">
        <v>2765</v>
      </c>
      <c r="N359" s="0" t="n">
        <v>24</v>
      </c>
      <c r="O359" s="53" t="n">
        <v>46063.4776736111</v>
      </c>
      <c r="P359" s="53" t="n">
        <v>46063.488587963</v>
      </c>
      <c r="Q359" s="53" t="n">
        <v>46063.4776736111</v>
      </c>
      <c r="R359" s="0" t="n">
        <v>0</v>
      </c>
      <c r="S359" s="51" t="s">
        <v>2398</v>
      </c>
      <c r="T359" s="51" t="s">
        <v>2398</v>
      </c>
      <c r="U359" s="51" t="s">
        <v>2271</v>
      </c>
      <c r="V359" s="51" t="s">
        <v>2205</v>
      </c>
      <c r="W359" s="51"/>
      <c r="X359" s="51"/>
    </row>
    <row r="360" customFormat="false" ht="14.25" hidden="false" customHeight="false" outlineLevel="0" collapsed="false">
      <c r="A360" s="49" t="s">
        <v>2137</v>
      </c>
      <c r="B360" s="49" t="s">
        <v>14</v>
      </c>
      <c r="C360" s="49" t="s">
        <v>1236</v>
      </c>
      <c r="D360" s="49" t="s">
        <v>2441</v>
      </c>
      <c r="E360" s="49" t="s">
        <v>2536</v>
      </c>
      <c r="F360" s="49" t="s">
        <v>197</v>
      </c>
      <c r="G360" s="49" t="n">
        <v>24</v>
      </c>
      <c r="H360" s="0" t="n">
        <v>0</v>
      </c>
      <c r="I360" s="51" t="s">
        <v>2944</v>
      </c>
      <c r="J360" s="49" t="s">
        <v>2945</v>
      </c>
      <c r="K360" s="52" t="n">
        <v>47841</v>
      </c>
      <c r="M360" s="51" t="s">
        <v>2539</v>
      </c>
      <c r="N360" s="0" t="n">
        <v>24</v>
      </c>
      <c r="O360" s="53" t="n">
        <v>46064.7069791667</v>
      </c>
      <c r="P360" s="53" t="n">
        <v>46065.6159143519</v>
      </c>
      <c r="Q360" s="0" t="n">
        <v>46064.7069791667</v>
      </c>
      <c r="R360" s="0" t="n">
        <v>0</v>
      </c>
      <c r="S360" s="51" t="s">
        <v>2398</v>
      </c>
      <c r="T360" s="51" t="s">
        <v>2398</v>
      </c>
      <c r="U360" s="51" t="s">
        <v>2536</v>
      </c>
      <c r="V360" s="51" t="s">
        <v>2205</v>
      </c>
    </row>
    <row r="361" customFormat="false" ht="14.25" hidden="false" customHeight="false" outlineLevel="0" collapsed="false">
      <c r="A361" s="49" t="s">
        <v>2137</v>
      </c>
      <c r="B361" s="49" t="s">
        <v>14</v>
      </c>
      <c r="C361" s="49" t="s">
        <v>1227</v>
      </c>
      <c r="D361" s="49" t="s">
        <v>2441</v>
      </c>
      <c r="E361" s="49" t="s">
        <v>2536</v>
      </c>
      <c r="F361" s="49" t="s">
        <v>197</v>
      </c>
      <c r="G361" s="49" t="n">
        <v>24</v>
      </c>
      <c r="H361" s="0" t="n">
        <v>0</v>
      </c>
      <c r="I361" s="51" t="s">
        <v>2946</v>
      </c>
      <c r="J361" s="49" t="s">
        <v>2945</v>
      </c>
      <c r="K361" s="52" t="n">
        <v>47841</v>
      </c>
      <c r="M361" s="51" t="s">
        <v>2539</v>
      </c>
      <c r="N361" s="0" t="n">
        <v>24</v>
      </c>
      <c r="O361" s="53" t="n">
        <v>46064.707650463</v>
      </c>
      <c r="P361" s="53" t="n">
        <v>46065.6149189815</v>
      </c>
      <c r="Q361" s="53" t="n">
        <v>46064.707650463</v>
      </c>
      <c r="R361" s="0" t="n">
        <v>0</v>
      </c>
      <c r="S361" s="51" t="s">
        <v>2398</v>
      </c>
      <c r="T361" s="51" t="s">
        <v>2398</v>
      </c>
      <c r="U361" s="51" t="s">
        <v>2536</v>
      </c>
      <c r="V361" s="51" t="s">
        <v>2205</v>
      </c>
      <c r="W361" s="51"/>
    </row>
    <row r="362" customFormat="false" ht="14.25" hidden="false" customHeight="false" outlineLevel="0" collapsed="false">
      <c r="A362" s="49" t="s">
        <v>2137</v>
      </c>
      <c r="B362" s="49" t="s">
        <v>14</v>
      </c>
      <c r="C362" s="49" t="s">
        <v>1226</v>
      </c>
      <c r="D362" s="49" t="s">
        <v>2441</v>
      </c>
      <c r="E362" s="49" t="s">
        <v>2536</v>
      </c>
      <c r="F362" s="49" t="s">
        <v>197</v>
      </c>
      <c r="G362" s="49" t="n">
        <v>24</v>
      </c>
      <c r="H362" s="0" t="n">
        <v>0</v>
      </c>
      <c r="I362" s="51" t="s">
        <v>2947</v>
      </c>
      <c r="J362" s="49" t="s">
        <v>2945</v>
      </c>
      <c r="K362" s="52" t="n">
        <v>47841</v>
      </c>
      <c r="L362" s="54"/>
      <c r="M362" s="51" t="s">
        <v>2539</v>
      </c>
      <c r="N362" s="0" t="n">
        <v>24</v>
      </c>
      <c r="O362" s="53" t="n">
        <v>46064.7078009259</v>
      </c>
      <c r="P362" s="53" t="n">
        <v>46065.6139699074</v>
      </c>
      <c r="Q362" s="53" t="n">
        <v>46064.7078009259</v>
      </c>
      <c r="R362" s="0" t="n">
        <v>0</v>
      </c>
      <c r="S362" s="51" t="s">
        <v>2398</v>
      </c>
      <c r="T362" s="51" t="s">
        <v>2398</v>
      </c>
      <c r="U362" s="51" t="s">
        <v>2536</v>
      </c>
      <c r="V362" s="51" t="s">
        <v>2205</v>
      </c>
      <c r="X362" s="51"/>
    </row>
    <row r="363" customFormat="false" ht="14.25" hidden="false" customHeight="false" outlineLevel="0" collapsed="false">
      <c r="A363" s="49" t="s">
        <v>2137</v>
      </c>
      <c r="B363" s="49" t="s">
        <v>14</v>
      </c>
      <c r="C363" s="49" t="s">
        <v>1225</v>
      </c>
      <c r="D363" s="49" t="s">
        <v>2441</v>
      </c>
      <c r="E363" s="49" t="s">
        <v>2536</v>
      </c>
      <c r="F363" s="49" t="s">
        <v>197</v>
      </c>
      <c r="G363" s="49" t="n">
        <v>24</v>
      </c>
      <c r="H363" s="0" t="n">
        <v>0</v>
      </c>
      <c r="I363" s="51" t="s">
        <v>2948</v>
      </c>
      <c r="J363" s="49" t="s">
        <v>2945</v>
      </c>
      <c r="K363" s="52" t="n">
        <v>47841</v>
      </c>
      <c r="L363" s="54"/>
      <c r="M363" s="51" t="s">
        <v>2539</v>
      </c>
      <c r="N363" s="0" t="n">
        <v>24</v>
      </c>
      <c r="O363" s="53" t="n">
        <v>46064.7080092593</v>
      </c>
      <c r="P363" s="53" t="n">
        <v>46065.6126388889</v>
      </c>
      <c r="Q363" s="53" t="n">
        <v>46064.7080092593</v>
      </c>
      <c r="R363" s="0" t="n">
        <v>0</v>
      </c>
      <c r="S363" s="51" t="s">
        <v>2398</v>
      </c>
      <c r="T363" s="51" t="s">
        <v>2398</v>
      </c>
      <c r="U363" s="51" t="s">
        <v>2536</v>
      </c>
      <c r="V363" s="51" t="s">
        <v>2205</v>
      </c>
      <c r="X363" s="51"/>
    </row>
    <row r="364" customFormat="false" ht="14.25" hidden="false" customHeight="false" outlineLevel="0" collapsed="false">
      <c r="A364" s="49" t="s">
        <v>2137</v>
      </c>
      <c r="B364" s="49" t="s">
        <v>14</v>
      </c>
      <c r="C364" s="49" t="s">
        <v>2949</v>
      </c>
      <c r="D364" s="49" t="s">
        <v>2441</v>
      </c>
      <c r="E364" s="49" t="s">
        <v>2536</v>
      </c>
      <c r="F364" s="49" t="s">
        <v>197</v>
      </c>
      <c r="G364" s="49" t="n">
        <v>8</v>
      </c>
      <c r="H364" s="0" t="n">
        <v>0</v>
      </c>
      <c r="I364" s="51" t="s">
        <v>2950</v>
      </c>
      <c r="J364" s="49" t="s">
        <v>2945</v>
      </c>
      <c r="K364" s="52" t="n">
        <v>47841</v>
      </c>
      <c r="L364" s="54"/>
      <c r="M364" s="51" t="s">
        <v>2453</v>
      </c>
      <c r="N364" s="0" t="n">
        <v>0</v>
      </c>
      <c r="O364" s="53" t="n">
        <v>46056.605474537</v>
      </c>
      <c r="P364" s="53" t="n">
        <v>46056.7236921296</v>
      </c>
      <c r="Q364" s="53"/>
      <c r="R364" s="0" t="n">
        <v>1</v>
      </c>
      <c r="S364" s="51"/>
      <c r="T364" s="51" t="s">
        <v>2364</v>
      </c>
      <c r="U364" s="51" t="s">
        <v>2536</v>
      </c>
      <c r="V364" s="51" t="s">
        <v>2205</v>
      </c>
      <c r="W364" s="51"/>
      <c r="X364" s="51"/>
    </row>
    <row r="365" customFormat="false" ht="14.25" hidden="false" customHeight="false" outlineLevel="0" collapsed="false">
      <c r="A365" s="49" t="s">
        <v>2137</v>
      </c>
      <c r="B365" s="49" t="s">
        <v>14</v>
      </c>
      <c r="C365" s="49" t="s">
        <v>196</v>
      </c>
      <c r="D365" s="49" t="s">
        <v>2441</v>
      </c>
      <c r="E365" s="49" t="s">
        <v>2536</v>
      </c>
      <c r="F365" s="49" t="s">
        <v>197</v>
      </c>
      <c r="G365" s="49" t="n">
        <v>24</v>
      </c>
      <c r="H365" s="0" t="n">
        <v>0</v>
      </c>
      <c r="I365" s="51" t="s">
        <v>2951</v>
      </c>
      <c r="J365" s="49" t="s">
        <v>2945</v>
      </c>
      <c r="K365" s="52" t="n">
        <v>47841</v>
      </c>
      <c r="L365" s="54"/>
      <c r="M365" s="51" t="s">
        <v>2453</v>
      </c>
      <c r="N365" s="0" t="n">
        <v>24</v>
      </c>
      <c r="O365" s="53" t="n">
        <v>46050.5607060185</v>
      </c>
      <c r="P365" s="53" t="n">
        <v>46060.652349537</v>
      </c>
      <c r="Q365" s="53" t="n">
        <v>46050.5607060185</v>
      </c>
      <c r="R365" s="0" t="n">
        <v>0</v>
      </c>
      <c r="S365" s="51" t="s">
        <v>2380</v>
      </c>
      <c r="T365" s="51" t="s">
        <v>2380</v>
      </c>
      <c r="U365" s="51" t="s">
        <v>2536</v>
      </c>
      <c r="V365" s="51" t="s">
        <v>2205</v>
      </c>
      <c r="W365" s="51" t="s">
        <v>2952</v>
      </c>
      <c r="X365" s="51"/>
    </row>
    <row r="366" customFormat="false" ht="14.25" hidden="false" customHeight="false" outlineLevel="0" collapsed="false">
      <c r="A366" s="49" t="s">
        <v>2137</v>
      </c>
      <c r="B366" s="49" t="s">
        <v>14</v>
      </c>
      <c r="C366" s="49" t="s">
        <v>216</v>
      </c>
      <c r="D366" s="49" t="s">
        <v>2441</v>
      </c>
      <c r="E366" s="49" t="s">
        <v>2536</v>
      </c>
      <c r="F366" s="49" t="s">
        <v>197</v>
      </c>
      <c r="G366" s="49" t="n">
        <v>24</v>
      </c>
      <c r="H366" s="0" t="n">
        <v>0</v>
      </c>
      <c r="I366" s="51" t="s">
        <v>2953</v>
      </c>
      <c r="J366" s="49" t="s">
        <v>2945</v>
      </c>
      <c r="K366" s="52" t="n">
        <v>47841</v>
      </c>
      <c r="L366" s="54"/>
      <c r="M366" s="51" t="s">
        <v>2453</v>
      </c>
      <c r="N366" s="0" t="n">
        <v>24</v>
      </c>
      <c r="O366" s="53" t="n">
        <v>46050.5619097222</v>
      </c>
      <c r="P366" s="53" t="n">
        <v>46060.6534953704</v>
      </c>
      <c r="Q366" s="53" t="n">
        <v>46050.5619097222</v>
      </c>
      <c r="R366" s="0" t="n">
        <v>0</v>
      </c>
      <c r="S366" s="51" t="s">
        <v>2380</v>
      </c>
      <c r="T366" s="51" t="s">
        <v>2380</v>
      </c>
      <c r="U366" s="51" t="s">
        <v>2536</v>
      </c>
      <c r="V366" s="51" t="s">
        <v>2205</v>
      </c>
      <c r="W366" s="51" t="s">
        <v>2954</v>
      </c>
      <c r="X366" s="51"/>
    </row>
    <row r="367" customFormat="false" ht="14.25" hidden="false" customHeight="false" outlineLevel="0" collapsed="false">
      <c r="A367" s="49" t="s">
        <v>2137</v>
      </c>
      <c r="B367" s="49" t="s">
        <v>14</v>
      </c>
      <c r="C367" s="49" t="s">
        <v>215</v>
      </c>
      <c r="D367" s="49" t="s">
        <v>2441</v>
      </c>
      <c r="E367" s="49" t="s">
        <v>2536</v>
      </c>
      <c r="F367" s="49" t="s">
        <v>197</v>
      </c>
      <c r="G367" s="49" t="n">
        <v>24</v>
      </c>
      <c r="H367" s="0" t="n">
        <v>0</v>
      </c>
      <c r="I367" s="51" t="s">
        <v>2955</v>
      </c>
      <c r="J367" s="49" t="s">
        <v>2945</v>
      </c>
      <c r="K367" s="52" t="n">
        <v>47841</v>
      </c>
      <c r="L367" s="54"/>
      <c r="M367" s="51" t="s">
        <v>2453</v>
      </c>
      <c r="N367" s="0" t="n">
        <v>24</v>
      </c>
      <c r="O367" s="53" t="n">
        <v>46050.5620949074</v>
      </c>
      <c r="P367" s="53" t="n">
        <v>46060.6547569444</v>
      </c>
      <c r="Q367" s="53" t="n">
        <v>46050.5620949074</v>
      </c>
      <c r="R367" s="0" t="n">
        <v>0</v>
      </c>
      <c r="S367" s="51" t="s">
        <v>2380</v>
      </c>
      <c r="T367" s="51" t="s">
        <v>2380</v>
      </c>
      <c r="U367" s="51" t="s">
        <v>2536</v>
      </c>
      <c r="V367" s="51" t="s">
        <v>2205</v>
      </c>
      <c r="W367" s="51" t="s">
        <v>2956</v>
      </c>
      <c r="X367" s="51"/>
    </row>
    <row r="368" customFormat="false" ht="14.25" hidden="true" customHeight="false" outlineLevel="0" collapsed="false">
      <c r="A368" s="49" t="s">
        <v>2137</v>
      </c>
      <c r="B368" s="49" t="s">
        <v>14</v>
      </c>
      <c r="C368" s="49" t="s">
        <v>214</v>
      </c>
      <c r="D368" s="49" t="s">
        <v>2441</v>
      </c>
      <c r="E368" s="49" t="s">
        <v>2536</v>
      </c>
      <c r="F368" s="49" t="s">
        <v>197</v>
      </c>
      <c r="G368" s="49" t="n">
        <v>24</v>
      </c>
      <c r="H368" s="0" t="n">
        <v>0</v>
      </c>
      <c r="I368" s="51" t="s">
        <v>2957</v>
      </c>
      <c r="J368" s="49" t="s">
        <v>2945</v>
      </c>
      <c r="K368" s="52" t="n">
        <v>47841</v>
      </c>
      <c r="M368" s="51" t="s">
        <v>2453</v>
      </c>
      <c r="N368" s="49" t="n">
        <v>24</v>
      </c>
      <c r="O368" s="53" t="n">
        <v>46050.5622222222</v>
      </c>
      <c r="P368" s="53" t="n">
        <v>46060.6560532407</v>
      </c>
      <c r="Q368" s="0" t="n">
        <v>46050.5622222222</v>
      </c>
      <c r="R368" s="0" t="n">
        <v>0</v>
      </c>
      <c r="S368" s="51" t="s">
        <v>2380</v>
      </c>
      <c r="T368" s="51" t="s">
        <v>2380</v>
      </c>
      <c r="U368" s="51" t="s">
        <v>2536</v>
      </c>
      <c r="V368" s="51" t="s">
        <v>2205</v>
      </c>
      <c r="W368" s="51" t="s">
        <v>2958</v>
      </c>
    </row>
    <row r="369" customFormat="false" ht="14.25" hidden="false" customHeight="false" outlineLevel="0" collapsed="false">
      <c r="A369" s="49" t="s">
        <v>2137</v>
      </c>
      <c r="B369" s="49" t="s">
        <v>14</v>
      </c>
      <c r="C369" s="49" t="s">
        <v>213</v>
      </c>
      <c r="D369" s="49" t="s">
        <v>2441</v>
      </c>
      <c r="E369" s="49" t="s">
        <v>2536</v>
      </c>
      <c r="F369" s="49" t="s">
        <v>197</v>
      </c>
      <c r="G369" s="49" t="n">
        <v>24</v>
      </c>
      <c r="H369" s="0" t="n">
        <v>0</v>
      </c>
      <c r="I369" s="51" t="s">
        <v>2959</v>
      </c>
      <c r="J369" s="49" t="s">
        <v>2945</v>
      </c>
      <c r="K369" s="52" t="n">
        <v>47841</v>
      </c>
      <c r="M369" s="51" t="s">
        <v>2453</v>
      </c>
      <c r="N369" s="0" t="n">
        <v>24</v>
      </c>
      <c r="O369" s="53" t="n">
        <v>46050.5623726852</v>
      </c>
      <c r="P369" s="53" t="n">
        <v>46060.657962963</v>
      </c>
      <c r="Q369" s="53" t="n">
        <v>46050.5623726852</v>
      </c>
      <c r="R369" s="0" t="n">
        <v>0</v>
      </c>
      <c r="S369" s="51" t="s">
        <v>2380</v>
      </c>
      <c r="T369" s="51" t="s">
        <v>2380</v>
      </c>
      <c r="U369" s="51" t="s">
        <v>2536</v>
      </c>
      <c r="V369" s="51" t="s">
        <v>2205</v>
      </c>
      <c r="W369" s="51" t="s">
        <v>2960</v>
      </c>
    </row>
    <row r="370" customFormat="false" ht="14.25" hidden="false" customHeight="false" outlineLevel="0" collapsed="false">
      <c r="A370" s="49" t="s">
        <v>2137</v>
      </c>
      <c r="B370" s="49" t="s">
        <v>14</v>
      </c>
      <c r="C370" s="49" t="s">
        <v>212</v>
      </c>
      <c r="D370" s="49" t="s">
        <v>2441</v>
      </c>
      <c r="E370" s="49" t="s">
        <v>2536</v>
      </c>
      <c r="F370" s="49" t="s">
        <v>197</v>
      </c>
      <c r="G370" s="49" t="n">
        <v>24</v>
      </c>
      <c r="H370" s="0" t="n">
        <v>0</v>
      </c>
      <c r="I370" s="51" t="s">
        <v>2961</v>
      </c>
      <c r="J370" s="49" t="s">
        <v>2945</v>
      </c>
      <c r="K370" s="52" t="n">
        <v>47841</v>
      </c>
      <c r="M370" s="51" t="s">
        <v>2453</v>
      </c>
      <c r="N370" s="0" t="n">
        <v>24</v>
      </c>
      <c r="O370" s="53" t="n">
        <v>46050.5625</v>
      </c>
      <c r="P370" s="53" t="n">
        <v>46060.6570023148</v>
      </c>
      <c r="Q370" s="53" t="n">
        <v>46050.5625</v>
      </c>
      <c r="R370" s="0" t="n">
        <v>0</v>
      </c>
      <c r="S370" s="51" t="s">
        <v>2380</v>
      </c>
      <c r="T370" s="51" t="s">
        <v>2380</v>
      </c>
      <c r="U370" s="51" t="s">
        <v>2536</v>
      </c>
      <c r="V370" s="51" t="s">
        <v>2205</v>
      </c>
      <c r="W370" s="51" t="s">
        <v>2962</v>
      </c>
      <c r="X370" s="51"/>
    </row>
    <row r="371" customFormat="false" ht="14.25" hidden="false" customHeight="false" outlineLevel="0" collapsed="false">
      <c r="A371" s="49" t="s">
        <v>2137</v>
      </c>
      <c r="B371" s="49" t="s">
        <v>14</v>
      </c>
      <c r="C371" s="49" t="s">
        <v>211</v>
      </c>
      <c r="D371" s="49" t="s">
        <v>2441</v>
      </c>
      <c r="E371" s="49" t="s">
        <v>2536</v>
      </c>
      <c r="F371" s="49" t="s">
        <v>197</v>
      </c>
      <c r="G371" s="49" t="n">
        <v>24</v>
      </c>
      <c r="H371" s="0" t="n">
        <v>0</v>
      </c>
      <c r="I371" s="51" t="s">
        <v>2963</v>
      </c>
      <c r="J371" s="49" t="s">
        <v>2945</v>
      </c>
      <c r="K371" s="52" t="n">
        <v>47841</v>
      </c>
      <c r="M371" s="51" t="s">
        <v>2453</v>
      </c>
      <c r="N371" s="0" t="n">
        <v>24</v>
      </c>
      <c r="O371" s="53" t="n">
        <v>46050.5627199074</v>
      </c>
      <c r="P371" s="53" t="n">
        <v>46060.6285069444</v>
      </c>
      <c r="Q371" s="53" t="n">
        <v>46050.5627199074</v>
      </c>
      <c r="R371" s="0" t="n">
        <v>0</v>
      </c>
      <c r="S371" s="51" t="s">
        <v>2380</v>
      </c>
      <c r="T371" s="51" t="s">
        <v>2380</v>
      </c>
      <c r="U371" s="51" t="s">
        <v>2536</v>
      </c>
      <c r="V371" s="51" t="s">
        <v>2205</v>
      </c>
      <c r="W371" s="51" t="s">
        <v>2964</v>
      </c>
      <c r="X371" s="51"/>
    </row>
    <row r="372" customFormat="false" ht="14.25" hidden="false" customHeight="false" outlineLevel="0" collapsed="false">
      <c r="A372" s="49" t="s">
        <v>2137</v>
      </c>
      <c r="B372" s="49" t="s">
        <v>14</v>
      </c>
      <c r="C372" s="49" t="s">
        <v>210</v>
      </c>
      <c r="D372" s="49" t="s">
        <v>2441</v>
      </c>
      <c r="E372" s="49" t="s">
        <v>2536</v>
      </c>
      <c r="F372" s="49" t="s">
        <v>197</v>
      </c>
      <c r="G372" s="49" t="n">
        <v>24</v>
      </c>
      <c r="H372" s="0" t="n">
        <v>0</v>
      </c>
      <c r="I372" s="51" t="s">
        <v>2965</v>
      </c>
      <c r="J372" s="49" t="s">
        <v>2945</v>
      </c>
      <c r="K372" s="52" t="n">
        <v>47841</v>
      </c>
      <c r="M372" s="51" t="s">
        <v>2453</v>
      </c>
      <c r="N372" s="0" t="n">
        <v>24</v>
      </c>
      <c r="O372" s="53" t="n">
        <v>46050.5628472222</v>
      </c>
      <c r="P372" s="53" t="n">
        <v>46060.6258333333</v>
      </c>
      <c r="Q372" s="53" t="n">
        <v>46050.5628472222</v>
      </c>
      <c r="R372" s="0" t="n">
        <v>0</v>
      </c>
      <c r="S372" s="51" t="s">
        <v>2380</v>
      </c>
      <c r="T372" s="51" t="s">
        <v>2380</v>
      </c>
      <c r="U372" s="51" t="s">
        <v>2536</v>
      </c>
      <c r="V372" s="51" t="s">
        <v>2205</v>
      </c>
      <c r="W372" s="51" t="s">
        <v>2966</v>
      </c>
      <c r="X372" s="51"/>
    </row>
    <row r="373" customFormat="false" ht="14.25" hidden="false" customHeight="false" outlineLevel="0" collapsed="false">
      <c r="A373" s="49" t="s">
        <v>2137</v>
      </c>
      <c r="B373" s="49" t="s">
        <v>14</v>
      </c>
      <c r="C373" s="49" t="s">
        <v>209</v>
      </c>
      <c r="D373" s="49" t="s">
        <v>2441</v>
      </c>
      <c r="E373" s="49" t="s">
        <v>2536</v>
      </c>
      <c r="F373" s="49" t="s">
        <v>197</v>
      </c>
      <c r="G373" s="49" t="n">
        <v>16</v>
      </c>
      <c r="H373" s="0" t="n">
        <v>0</v>
      </c>
      <c r="I373" s="51" t="s">
        <v>2967</v>
      </c>
      <c r="J373" s="49" t="s">
        <v>2945</v>
      </c>
      <c r="K373" s="52" t="n">
        <v>47841</v>
      </c>
      <c r="M373" s="51" t="s">
        <v>2453</v>
      </c>
      <c r="N373" s="0" t="n">
        <v>24</v>
      </c>
      <c r="O373" s="53" t="n">
        <v>46050.562962963</v>
      </c>
      <c r="P373" s="53" t="n">
        <v>46056.7217939815</v>
      </c>
      <c r="Q373" s="53" t="n">
        <v>46050.562962963</v>
      </c>
      <c r="R373" s="0" t="n">
        <v>0</v>
      </c>
      <c r="S373" s="51" t="s">
        <v>2380</v>
      </c>
      <c r="T373" s="51" t="s">
        <v>2380</v>
      </c>
      <c r="U373" s="51" t="s">
        <v>2536</v>
      </c>
      <c r="V373" s="51" t="s">
        <v>2205</v>
      </c>
      <c r="W373" s="51"/>
      <c r="X373" s="51"/>
    </row>
    <row r="374" customFormat="false" ht="14.25" hidden="false" customHeight="false" outlineLevel="0" collapsed="false">
      <c r="A374" s="49" t="s">
        <v>2137</v>
      </c>
      <c r="B374" s="49" t="s">
        <v>14</v>
      </c>
      <c r="C374" s="49" t="s">
        <v>208</v>
      </c>
      <c r="D374" s="49" t="s">
        <v>2441</v>
      </c>
      <c r="E374" s="49" t="s">
        <v>2536</v>
      </c>
      <c r="F374" s="49" t="s">
        <v>197</v>
      </c>
      <c r="G374" s="49" t="n">
        <v>24</v>
      </c>
      <c r="H374" s="0" t="n">
        <v>0</v>
      </c>
      <c r="I374" s="51" t="s">
        <v>2968</v>
      </c>
      <c r="J374" s="49" t="s">
        <v>2945</v>
      </c>
      <c r="K374" s="52" t="n">
        <v>47841</v>
      </c>
      <c r="M374" s="51" t="s">
        <v>2453</v>
      </c>
      <c r="N374" s="0" t="n">
        <v>24</v>
      </c>
      <c r="O374" s="53" t="n">
        <v>46050.5631018519</v>
      </c>
      <c r="P374" s="53" t="n">
        <v>46060.6221412037</v>
      </c>
      <c r="Q374" s="53" t="n">
        <v>46050.5631018519</v>
      </c>
      <c r="R374" s="0" t="n">
        <v>0</v>
      </c>
      <c r="S374" s="51" t="s">
        <v>2380</v>
      </c>
      <c r="T374" s="51" t="s">
        <v>2380</v>
      </c>
      <c r="U374" s="51" t="s">
        <v>2536</v>
      </c>
      <c r="V374" s="51" t="s">
        <v>2205</v>
      </c>
      <c r="W374" s="51" t="s">
        <v>2969</v>
      </c>
      <c r="X374" s="51"/>
    </row>
    <row r="375" customFormat="false" ht="14.25" hidden="true" customHeight="false" outlineLevel="0" collapsed="false">
      <c r="A375" s="49" t="s">
        <v>2137</v>
      </c>
      <c r="B375" s="49" t="s">
        <v>14</v>
      </c>
      <c r="C375" s="49" t="s">
        <v>55</v>
      </c>
      <c r="D375" s="49" t="s">
        <v>2441</v>
      </c>
      <c r="E375" s="49" t="s">
        <v>2934</v>
      </c>
      <c r="F375" s="49" t="s">
        <v>50</v>
      </c>
      <c r="G375" s="49" t="n">
        <v>4</v>
      </c>
      <c r="H375" s="0" t="n">
        <v>0</v>
      </c>
      <c r="I375" s="51" t="s">
        <v>2970</v>
      </c>
      <c r="J375" s="52" t="s">
        <v>2936</v>
      </c>
      <c r="K375" s="52" t="n">
        <v>47841</v>
      </c>
      <c r="M375" s="51" t="s">
        <v>2480</v>
      </c>
      <c r="N375" s="49" t="n">
        <v>0</v>
      </c>
      <c r="O375" s="53" t="n">
        <v>46049.5094097222</v>
      </c>
      <c r="P375" s="53" t="n">
        <v>46052.6560416667</v>
      </c>
      <c r="Q375" s="53" t="n">
        <v>46049.5094097222</v>
      </c>
      <c r="R375" s="0" t="n">
        <v>0</v>
      </c>
      <c r="S375" s="51" t="s">
        <v>2380</v>
      </c>
      <c r="T375" s="51" t="s">
        <v>2380</v>
      </c>
      <c r="U375" s="51" t="s">
        <v>2934</v>
      </c>
      <c r="V375" s="51" t="s">
        <v>2142</v>
      </c>
      <c r="W375" s="51" t="s">
        <v>2971</v>
      </c>
      <c r="X375" s="51"/>
    </row>
    <row r="376" customFormat="false" ht="14.25" hidden="true" customHeight="false" outlineLevel="0" collapsed="false">
      <c r="A376" s="49" t="s">
        <v>2137</v>
      </c>
      <c r="B376" s="49" t="s">
        <v>14</v>
      </c>
      <c r="C376" s="49" t="s">
        <v>56</v>
      </c>
      <c r="D376" s="49" t="s">
        <v>2441</v>
      </c>
      <c r="E376" s="49" t="s">
        <v>2934</v>
      </c>
      <c r="F376" s="49" t="s">
        <v>50</v>
      </c>
      <c r="G376" s="49" t="n">
        <v>4</v>
      </c>
      <c r="H376" s="0" t="n">
        <v>0</v>
      </c>
      <c r="I376" s="51" t="s">
        <v>2972</v>
      </c>
      <c r="J376" s="49" t="s">
        <v>2936</v>
      </c>
      <c r="K376" s="52" t="n">
        <v>47841</v>
      </c>
      <c r="M376" s="51" t="s">
        <v>2480</v>
      </c>
      <c r="N376" s="49" t="n">
        <v>0</v>
      </c>
      <c r="O376" s="53" t="n">
        <v>46049.5093981482</v>
      </c>
      <c r="P376" s="53" t="n">
        <v>46052.6536226852</v>
      </c>
      <c r="Q376" s="53" t="n">
        <v>46049.5093981482</v>
      </c>
      <c r="R376" s="0" t="n">
        <v>0</v>
      </c>
      <c r="S376" s="51" t="s">
        <v>2380</v>
      </c>
      <c r="T376" s="51" t="s">
        <v>2380</v>
      </c>
      <c r="U376" s="51" t="s">
        <v>2934</v>
      </c>
      <c r="V376" s="51" t="s">
        <v>2142</v>
      </c>
      <c r="W376" s="51" t="s">
        <v>2899</v>
      </c>
      <c r="X376" s="51"/>
    </row>
    <row r="377" customFormat="false" ht="14.25" hidden="true" customHeight="false" outlineLevel="0" collapsed="false">
      <c r="A377" s="49" t="s">
        <v>2137</v>
      </c>
      <c r="B377" s="49" t="s">
        <v>14</v>
      </c>
      <c r="C377" s="49" t="s">
        <v>53</v>
      </c>
      <c r="D377" s="49" t="s">
        <v>2441</v>
      </c>
      <c r="E377" s="49" t="s">
        <v>2934</v>
      </c>
      <c r="F377" s="49" t="s">
        <v>50</v>
      </c>
      <c r="G377" s="49" t="n">
        <v>4</v>
      </c>
      <c r="H377" s="0" t="n">
        <v>0</v>
      </c>
      <c r="I377" s="51" t="s">
        <v>2973</v>
      </c>
      <c r="J377" s="49" t="s">
        <v>2936</v>
      </c>
      <c r="K377" s="52" t="n">
        <v>47841</v>
      </c>
      <c r="M377" s="51" t="s">
        <v>2480</v>
      </c>
      <c r="N377" s="49" t="n">
        <v>0</v>
      </c>
      <c r="O377" s="53" t="n">
        <v>46049.509537037</v>
      </c>
      <c r="P377" s="53" t="n">
        <v>46052.6638541667</v>
      </c>
      <c r="Q377" s="53" t="n">
        <v>46049.509537037</v>
      </c>
      <c r="R377" s="0" t="n">
        <v>0</v>
      </c>
      <c r="S377" s="51" t="s">
        <v>2380</v>
      </c>
      <c r="T377" s="51" t="s">
        <v>2380</v>
      </c>
      <c r="U377" s="51" t="s">
        <v>2934</v>
      </c>
      <c r="V377" s="51" t="s">
        <v>2142</v>
      </c>
      <c r="W377" s="51" t="s">
        <v>2974</v>
      </c>
      <c r="X377" s="51"/>
    </row>
    <row r="378" customFormat="false" ht="14.25" hidden="true" customHeight="false" outlineLevel="0" collapsed="false">
      <c r="A378" s="49" t="s">
        <v>2137</v>
      </c>
      <c r="B378" s="49" t="s">
        <v>14</v>
      </c>
      <c r="C378" s="49" t="s">
        <v>49</v>
      </c>
      <c r="D378" s="49" t="s">
        <v>2441</v>
      </c>
      <c r="E378" s="49" t="s">
        <v>2934</v>
      </c>
      <c r="F378" s="49" t="s">
        <v>50</v>
      </c>
      <c r="G378" s="49" t="n">
        <v>4</v>
      </c>
      <c r="H378" s="0" t="n">
        <v>0</v>
      </c>
      <c r="I378" s="51" t="s">
        <v>2975</v>
      </c>
      <c r="J378" s="49" t="s">
        <v>2936</v>
      </c>
      <c r="K378" s="52" t="n">
        <v>47841</v>
      </c>
      <c r="M378" s="51" t="s">
        <v>2480</v>
      </c>
      <c r="N378" s="49" t="n">
        <v>0</v>
      </c>
      <c r="O378" s="53" t="n">
        <v>46049.5096759259</v>
      </c>
      <c r="P378" s="53" t="n">
        <v>46052.6576273148</v>
      </c>
      <c r="Q378" s="53" t="n">
        <v>46049.5096759259</v>
      </c>
      <c r="R378" s="0" t="n">
        <v>0</v>
      </c>
      <c r="S378" s="51" t="s">
        <v>2380</v>
      </c>
      <c r="T378" s="51" t="s">
        <v>2380</v>
      </c>
      <c r="U378" s="51" t="s">
        <v>2934</v>
      </c>
      <c r="V378" s="51" t="s">
        <v>2142</v>
      </c>
      <c r="W378" s="51" t="s">
        <v>2976</v>
      </c>
      <c r="X378" s="51"/>
    </row>
    <row r="379" customFormat="false" ht="14.25" hidden="true" customHeight="false" outlineLevel="0" collapsed="false">
      <c r="A379" s="49" t="s">
        <v>2137</v>
      </c>
      <c r="B379" s="49" t="s">
        <v>14</v>
      </c>
      <c r="C379" s="49" t="s">
        <v>51</v>
      </c>
      <c r="D379" s="49" t="s">
        <v>2441</v>
      </c>
      <c r="E379" s="49" t="s">
        <v>2934</v>
      </c>
      <c r="F379" s="49" t="s">
        <v>50</v>
      </c>
      <c r="G379" s="49" t="n">
        <v>4</v>
      </c>
      <c r="H379" s="0" t="n">
        <v>0</v>
      </c>
      <c r="I379" s="51" t="s">
        <v>2977</v>
      </c>
      <c r="J379" s="49" t="s">
        <v>2936</v>
      </c>
      <c r="K379" s="52" t="n">
        <v>47841</v>
      </c>
      <c r="M379" s="51" t="s">
        <v>2480</v>
      </c>
      <c r="N379" s="49" t="n">
        <v>0</v>
      </c>
      <c r="O379" s="53" t="n">
        <v>46049.5096180556</v>
      </c>
      <c r="P379" s="53" t="n">
        <v>46052.6557407407</v>
      </c>
      <c r="Q379" s="53" t="n">
        <v>46049.5096180556</v>
      </c>
      <c r="R379" s="0" t="n">
        <v>0</v>
      </c>
      <c r="S379" s="51" t="s">
        <v>2380</v>
      </c>
      <c r="T379" s="51" t="s">
        <v>2380</v>
      </c>
      <c r="U379" s="51" t="s">
        <v>2934</v>
      </c>
      <c r="V379" s="51" t="s">
        <v>2142</v>
      </c>
      <c r="W379" s="51" t="s">
        <v>2978</v>
      </c>
      <c r="X379" s="51"/>
    </row>
    <row r="380" customFormat="false" ht="14.25" hidden="false" customHeight="false" outlineLevel="0" collapsed="false">
      <c r="A380" s="49" t="s">
        <v>2137</v>
      </c>
      <c r="B380" s="49" t="s">
        <v>14</v>
      </c>
      <c r="C380" s="49" t="s">
        <v>64</v>
      </c>
      <c r="D380" s="49" t="s">
        <v>2441</v>
      </c>
      <c r="E380" s="49" t="s">
        <v>2934</v>
      </c>
      <c r="F380" s="49" t="s">
        <v>50</v>
      </c>
      <c r="G380" s="49" t="n">
        <v>4</v>
      </c>
      <c r="H380" s="0" t="n">
        <v>0</v>
      </c>
      <c r="I380" s="51" t="s">
        <v>2979</v>
      </c>
      <c r="J380" s="49" t="s">
        <v>2936</v>
      </c>
      <c r="K380" s="52" t="n">
        <v>47841</v>
      </c>
      <c r="M380" s="51" t="s">
        <v>2480</v>
      </c>
      <c r="N380" s="0" t="n">
        <v>0</v>
      </c>
      <c r="O380" s="53" t="n">
        <v>46049.5081597222</v>
      </c>
      <c r="P380" s="53" t="n">
        <v>46052.6529398148</v>
      </c>
      <c r="Q380" s="53" t="n">
        <v>46049.5081597222</v>
      </c>
      <c r="R380" s="0" t="n">
        <v>0</v>
      </c>
      <c r="S380" s="51" t="s">
        <v>2380</v>
      </c>
      <c r="T380" s="51" t="s">
        <v>2380</v>
      </c>
      <c r="U380" s="51" t="s">
        <v>2934</v>
      </c>
      <c r="V380" s="51" t="s">
        <v>2142</v>
      </c>
      <c r="W380" s="51" t="s">
        <v>2188</v>
      </c>
    </row>
    <row r="381" customFormat="false" ht="14.25" hidden="false" customHeight="false" outlineLevel="0" collapsed="false">
      <c r="A381" s="49" t="s">
        <v>2137</v>
      </c>
      <c r="B381" s="49" t="s">
        <v>14</v>
      </c>
      <c r="C381" s="49" t="s">
        <v>63</v>
      </c>
      <c r="D381" s="49" t="s">
        <v>2441</v>
      </c>
      <c r="E381" s="49" t="s">
        <v>2934</v>
      </c>
      <c r="F381" s="49" t="s">
        <v>50</v>
      </c>
      <c r="G381" s="49" t="n">
        <v>4</v>
      </c>
      <c r="H381" s="0" t="n">
        <v>0</v>
      </c>
      <c r="I381" s="51" t="s">
        <v>2980</v>
      </c>
      <c r="J381" s="49" t="s">
        <v>2936</v>
      </c>
      <c r="K381" s="52" t="n">
        <v>47841</v>
      </c>
      <c r="L381" s="54"/>
      <c r="M381" s="51" t="s">
        <v>2480</v>
      </c>
      <c r="N381" s="0" t="n">
        <v>0</v>
      </c>
      <c r="O381" s="53" t="n">
        <v>46049.5091319445</v>
      </c>
      <c r="P381" s="53" t="n">
        <v>46052.6562152778</v>
      </c>
      <c r="Q381" s="53" t="n">
        <v>46049.5091319445</v>
      </c>
      <c r="R381" s="0" t="n">
        <v>0</v>
      </c>
      <c r="S381" s="51" t="s">
        <v>2380</v>
      </c>
      <c r="T381" s="51" t="s">
        <v>2380</v>
      </c>
      <c r="U381" s="51" t="s">
        <v>2934</v>
      </c>
      <c r="V381" s="51" t="s">
        <v>2142</v>
      </c>
      <c r="W381" s="51" t="s">
        <v>2896</v>
      </c>
      <c r="X381" s="51"/>
    </row>
    <row r="382" customFormat="false" ht="14.25" hidden="false" customHeight="false" outlineLevel="0" collapsed="false">
      <c r="A382" s="49" t="s">
        <v>2137</v>
      </c>
      <c r="B382" s="49" t="s">
        <v>14</v>
      </c>
      <c r="C382" s="49" t="s">
        <v>59</v>
      </c>
      <c r="D382" s="49" t="s">
        <v>2441</v>
      </c>
      <c r="E382" s="49" t="s">
        <v>2934</v>
      </c>
      <c r="F382" s="49" t="s">
        <v>50</v>
      </c>
      <c r="G382" s="49" t="n">
        <v>4</v>
      </c>
      <c r="H382" s="0" t="n">
        <v>0</v>
      </c>
      <c r="I382" s="51" t="s">
        <v>2981</v>
      </c>
      <c r="J382" s="49" t="s">
        <v>2936</v>
      </c>
      <c r="K382" s="52" t="n">
        <v>47841</v>
      </c>
      <c r="L382" s="54"/>
      <c r="M382" s="51" t="s">
        <v>2480</v>
      </c>
      <c r="N382" s="0" t="n">
        <v>0</v>
      </c>
      <c r="O382" s="53" t="n">
        <v>46049.5093287037</v>
      </c>
      <c r="P382" s="53" t="n">
        <v>46052.656400463</v>
      </c>
      <c r="Q382" s="53" t="n">
        <v>46049.5093287037</v>
      </c>
      <c r="R382" s="0" t="n">
        <v>0</v>
      </c>
      <c r="S382" s="51" t="s">
        <v>2380</v>
      </c>
      <c r="T382" s="51" t="s">
        <v>2380</v>
      </c>
      <c r="U382" s="51" t="s">
        <v>2934</v>
      </c>
      <c r="V382" s="51" t="s">
        <v>2142</v>
      </c>
      <c r="W382" s="51" t="s">
        <v>2982</v>
      </c>
      <c r="X382" s="51"/>
    </row>
    <row r="383" customFormat="false" ht="14.25" hidden="false" customHeight="false" outlineLevel="0" collapsed="false">
      <c r="A383" s="49" t="s">
        <v>2137</v>
      </c>
      <c r="B383" s="49" t="s">
        <v>14</v>
      </c>
      <c r="C383" s="49" t="s">
        <v>66</v>
      </c>
      <c r="D383" s="49" t="s">
        <v>2441</v>
      </c>
      <c r="E383" s="49" t="s">
        <v>2934</v>
      </c>
      <c r="F383" s="49" t="s">
        <v>50</v>
      </c>
      <c r="G383" s="49" t="n">
        <v>4</v>
      </c>
      <c r="H383" s="0" t="n">
        <v>0</v>
      </c>
      <c r="I383" s="51" t="s">
        <v>2983</v>
      </c>
      <c r="J383" s="49" t="s">
        <v>2936</v>
      </c>
      <c r="K383" s="52" t="n">
        <v>47841</v>
      </c>
      <c r="M383" s="51" t="s">
        <v>2480</v>
      </c>
      <c r="N383" s="0" t="n">
        <v>0</v>
      </c>
      <c r="O383" s="53" t="n">
        <v>46049.5081134259</v>
      </c>
      <c r="P383" s="53" t="n">
        <v>46052.6565277778</v>
      </c>
      <c r="Q383" s="0" t="n">
        <v>46049.5081134259</v>
      </c>
      <c r="R383" s="0" t="n">
        <v>0</v>
      </c>
      <c r="S383" s="51" t="s">
        <v>2380</v>
      </c>
      <c r="T383" s="51" t="s">
        <v>2380</v>
      </c>
      <c r="U383" s="51" t="s">
        <v>2934</v>
      </c>
      <c r="V383" s="51" t="s">
        <v>2142</v>
      </c>
      <c r="W383" s="51" t="s">
        <v>2984</v>
      </c>
    </row>
    <row r="384" customFormat="false" ht="14.25" hidden="false" customHeight="false" outlineLevel="0" collapsed="false">
      <c r="A384" s="49" t="s">
        <v>2137</v>
      </c>
      <c r="B384" s="49" t="s">
        <v>14</v>
      </c>
      <c r="C384" s="49" t="s">
        <v>67</v>
      </c>
      <c r="D384" s="49" t="s">
        <v>2441</v>
      </c>
      <c r="E384" s="49" t="s">
        <v>2934</v>
      </c>
      <c r="F384" s="49" t="s">
        <v>50</v>
      </c>
      <c r="G384" s="49" t="n">
        <v>4</v>
      </c>
      <c r="H384" s="0" t="n">
        <v>0</v>
      </c>
      <c r="I384" s="51" t="s">
        <v>2985</v>
      </c>
      <c r="J384" s="49" t="s">
        <v>2936</v>
      </c>
      <c r="K384" s="52" t="n">
        <v>47841</v>
      </c>
      <c r="M384" s="51" t="s">
        <v>2480</v>
      </c>
      <c r="N384" s="0" t="n">
        <v>0</v>
      </c>
      <c r="O384" s="53" t="n">
        <v>46049.5080555556</v>
      </c>
      <c r="P384" s="53" t="n">
        <v>46052.6642476852</v>
      </c>
      <c r="Q384" s="0" t="n">
        <v>46049.5080555556</v>
      </c>
      <c r="R384" s="0" t="n">
        <v>0</v>
      </c>
      <c r="S384" s="51" t="s">
        <v>2380</v>
      </c>
      <c r="T384" s="51" t="s">
        <v>2380</v>
      </c>
      <c r="U384" s="51" t="s">
        <v>2934</v>
      </c>
      <c r="V384" s="51" t="s">
        <v>2142</v>
      </c>
      <c r="W384" s="51" t="s">
        <v>2898</v>
      </c>
    </row>
    <row r="385" customFormat="false" ht="14.25" hidden="false" customHeight="false" outlineLevel="0" collapsed="false">
      <c r="A385" s="49" t="s">
        <v>2137</v>
      </c>
      <c r="B385" s="49" t="s">
        <v>14</v>
      </c>
      <c r="C385" s="49" t="s">
        <v>69</v>
      </c>
      <c r="D385" s="49" t="s">
        <v>2441</v>
      </c>
      <c r="E385" s="49" t="s">
        <v>2934</v>
      </c>
      <c r="F385" s="49" t="s">
        <v>50</v>
      </c>
      <c r="G385" s="49" t="n">
        <v>4</v>
      </c>
      <c r="H385" s="0" t="n">
        <v>0</v>
      </c>
      <c r="I385" s="51" t="s">
        <v>2986</v>
      </c>
      <c r="J385" s="49" t="s">
        <v>2936</v>
      </c>
      <c r="K385" s="52" t="n">
        <v>47841</v>
      </c>
      <c r="M385" s="51" t="s">
        <v>2480</v>
      </c>
      <c r="N385" s="0" t="n">
        <v>0</v>
      </c>
      <c r="O385" s="53" t="n">
        <v>46049.507974537</v>
      </c>
      <c r="P385" s="53" t="n">
        <v>46052.6541087963</v>
      </c>
      <c r="Q385" s="53" t="n">
        <v>46049.507974537</v>
      </c>
      <c r="R385" s="0" t="n">
        <v>0</v>
      </c>
      <c r="S385" s="51" t="s">
        <v>2380</v>
      </c>
      <c r="T385" s="51" t="s">
        <v>2380</v>
      </c>
      <c r="U385" s="51" t="s">
        <v>2934</v>
      </c>
      <c r="V385" s="51" t="s">
        <v>2142</v>
      </c>
      <c r="W385" s="51" t="s">
        <v>2185</v>
      </c>
      <c r="X385" s="51"/>
    </row>
    <row r="386" customFormat="false" ht="14.25" hidden="false" customHeight="false" outlineLevel="0" collapsed="false">
      <c r="A386" s="49" t="s">
        <v>2137</v>
      </c>
      <c r="B386" s="49" t="s">
        <v>14</v>
      </c>
      <c r="C386" s="49" t="s">
        <v>72</v>
      </c>
      <c r="D386" s="49" t="s">
        <v>2441</v>
      </c>
      <c r="E386" s="49" t="s">
        <v>2934</v>
      </c>
      <c r="F386" s="49" t="s">
        <v>50</v>
      </c>
      <c r="G386" s="49" t="n">
        <v>4</v>
      </c>
      <c r="H386" s="0" t="n">
        <v>0</v>
      </c>
      <c r="I386" s="51" t="s">
        <v>2987</v>
      </c>
      <c r="J386" s="49" t="s">
        <v>2936</v>
      </c>
      <c r="K386" s="52" t="n">
        <v>47841</v>
      </c>
      <c r="L386" s="54"/>
      <c r="M386" s="51" t="s">
        <v>2480</v>
      </c>
      <c r="N386" s="0" t="n">
        <v>0</v>
      </c>
      <c r="O386" s="53" t="n">
        <v>46049.5078472222</v>
      </c>
      <c r="P386" s="53" t="n">
        <v>46052.6569328704</v>
      </c>
      <c r="Q386" s="53" t="n">
        <v>46049.5078472222</v>
      </c>
      <c r="R386" s="0" t="n">
        <v>0</v>
      </c>
      <c r="S386" s="51" t="s">
        <v>2380</v>
      </c>
      <c r="T386" s="51" t="s">
        <v>2380</v>
      </c>
      <c r="U386" s="51" t="s">
        <v>2934</v>
      </c>
      <c r="V386" s="51" t="s">
        <v>2142</v>
      </c>
      <c r="W386" s="51" t="s">
        <v>2900</v>
      </c>
      <c r="X386" s="51"/>
    </row>
    <row r="387" customFormat="false" ht="14.25" hidden="false" customHeight="false" outlineLevel="0" collapsed="false">
      <c r="A387" s="49" t="s">
        <v>2137</v>
      </c>
      <c r="B387" s="49" t="s">
        <v>14</v>
      </c>
      <c r="C387" s="49" t="s">
        <v>73</v>
      </c>
      <c r="D387" s="49" t="s">
        <v>2441</v>
      </c>
      <c r="E387" s="49" t="s">
        <v>2934</v>
      </c>
      <c r="F387" s="49" t="s">
        <v>50</v>
      </c>
      <c r="G387" s="49" t="n">
        <v>4</v>
      </c>
      <c r="H387" s="0" t="n">
        <v>0</v>
      </c>
      <c r="I387" s="51" t="s">
        <v>2988</v>
      </c>
      <c r="J387" s="49" t="s">
        <v>2936</v>
      </c>
      <c r="K387" s="52" t="n">
        <v>47841</v>
      </c>
      <c r="L387" s="54"/>
      <c r="M387" s="51" t="s">
        <v>2480</v>
      </c>
      <c r="N387" s="0" t="n">
        <v>0</v>
      </c>
      <c r="O387" s="53" t="n">
        <v>46049.5078009259</v>
      </c>
      <c r="P387" s="53" t="n">
        <v>46052.6577083333</v>
      </c>
      <c r="Q387" s="53" t="n">
        <v>46049.5078009259</v>
      </c>
      <c r="R387" s="0" t="n">
        <v>0</v>
      </c>
      <c r="S387" s="51" t="s">
        <v>2380</v>
      </c>
      <c r="T387" s="51" t="s">
        <v>2380</v>
      </c>
      <c r="U387" s="51" t="s">
        <v>2934</v>
      </c>
      <c r="V387" s="51" t="s">
        <v>2142</v>
      </c>
      <c r="W387" s="51" t="s">
        <v>2231</v>
      </c>
      <c r="X387" s="51"/>
    </row>
    <row r="388" customFormat="false" ht="14.25" hidden="false" customHeight="false" outlineLevel="0" collapsed="false">
      <c r="A388" s="49" t="s">
        <v>2137</v>
      </c>
      <c r="B388" s="49" t="s">
        <v>14</v>
      </c>
      <c r="C388" s="49" t="s">
        <v>75</v>
      </c>
      <c r="D388" s="49" t="s">
        <v>2441</v>
      </c>
      <c r="E388" s="49" t="s">
        <v>2934</v>
      </c>
      <c r="F388" s="49" t="s">
        <v>50</v>
      </c>
      <c r="G388" s="49" t="n">
        <v>4</v>
      </c>
      <c r="H388" s="0" t="n">
        <v>0</v>
      </c>
      <c r="I388" s="51" t="s">
        <v>2989</v>
      </c>
      <c r="J388" s="49" t="s">
        <v>2936</v>
      </c>
      <c r="K388" s="52" t="n">
        <v>47841</v>
      </c>
      <c r="L388" s="54"/>
      <c r="M388" s="51" t="s">
        <v>2480</v>
      </c>
      <c r="N388" s="0" t="n">
        <v>0</v>
      </c>
      <c r="O388" s="53" t="n">
        <v>46049.5077199074</v>
      </c>
      <c r="P388" s="53" t="n">
        <v>46052.6571412037</v>
      </c>
      <c r="Q388" s="53" t="n">
        <v>46049.5077199074</v>
      </c>
      <c r="R388" s="0" t="n">
        <v>0</v>
      </c>
      <c r="S388" s="51" t="s">
        <v>2380</v>
      </c>
      <c r="T388" s="51" t="s">
        <v>2380</v>
      </c>
      <c r="U388" s="51" t="s">
        <v>2934</v>
      </c>
      <c r="V388" s="51" t="s">
        <v>2142</v>
      </c>
      <c r="W388" s="51" t="s">
        <v>2874</v>
      </c>
      <c r="X388" s="51"/>
    </row>
    <row r="389" customFormat="false" ht="14.25" hidden="false" customHeight="false" outlineLevel="0" collapsed="false">
      <c r="A389" s="49" t="s">
        <v>2137</v>
      </c>
      <c r="B389" s="49" t="s">
        <v>14</v>
      </c>
      <c r="C389" s="49" t="s">
        <v>1181</v>
      </c>
      <c r="D389" s="49" t="s">
        <v>2441</v>
      </c>
      <c r="E389" s="49" t="s">
        <v>2290</v>
      </c>
      <c r="F389" s="49" t="s">
        <v>1094</v>
      </c>
      <c r="G389" s="49" t="n">
        <v>3</v>
      </c>
      <c r="H389" s="0" t="n">
        <v>0</v>
      </c>
      <c r="I389" s="51" t="s">
        <v>2561</v>
      </c>
      <c r="J389" s="49" t="s">
        <v>2291</v>
      </c>
      <c r="K389" s="52" t="n">
        <v>47857</v>
      </c>
      <c r="L389" s="54"/>
      <c r="M389" s="51" t="s">
        <v>2765</v>
      </c>
      <c r="N389" s="0" t="n">
        <v>3</v>
      </c>
      <c r="O389" s="53" t="n">
        <v>46063.4711342593</v>
      </c>
      <c r="P389" s="53" t="n">
        <v>46063.479837963</v>
      </c>
      <c r="Q389" s="53" t="n">
        <v>46063.4711342593</v>
      </c>
      <c r="R389" s="0" t="n">
        <v>0</v>
      </c>
      <c r="S389" s="51" t="s">
        <v>2398</v>
      </c>
      <c r="T389" s="51" t="s">
        <v>2398</v>
      </c>
      <c r="U389" s="51" t="s">
        <v>2290</v>
      </c>
      <c r="V389" s="51" t="s">
        <v>2142</v>
      </c>
      <c r="W389" s="51"/>
      <c r="X389" s="51"/>
    </row>
    <row r="390" customFormat="false" ht="14.25" hidden="true" customHeight="false" outlineLevel="0" collapsed="false">
      <c r="A390" s="49" t="s">
        <v>2137</v>
      </c>
      <c r="B390" s="49" t="s">
        <v>14</v>
      </c>
      <c r="C390" s="49" t="s">
        <v>1183</v>
      </c>
      <c r="D390" s="49" t="s">
        <v>2441</v>
      </c>
      <c r="E390" s="49" t="s">
        <v>2290</v>
      </c>
      <c r="F390" s="49" t="s">
        <v>1094</v>
      </c>
      <c r="G390" s="49" t="n">
        <v>4</v>
      </c>
      <c r="H390" s="0" t="n">
        <v>0</v>
      </c>
      <c r="I390" s="51" t="s">
        <v>2246</v>
      </c>
      <c r="J390" s="49" t="s">
        <v>2291</v>
      </c>
      <c r="K390" s="52" t="n">
        <v>47857</v>
      </c>
      <c r="M390" s="51" t="s">
        <v>2765</v>
      </c>
      <c r="N390" s="49" t="n">
        <v>4</v>
      </c>
      <c r="O390" s="53" t="n">
        <v>46063.4685763889</v>
      </c>
      <c r="P390" s="53" t="n">
        <v>46063.4763541667</v>
      </c>
      <c r="Q390" s="53" t="n">
        <v>46063.4685763889</v>
      </c>
      <c r="R390" s="0" t="n">
        <v>0</v>
      </c>
      <c r="S390" s="51" t="s">
        <v>2398</v>
      </c>
      <c r="T390" s="51" t="s">
        <v>2398</v>
      </c>
      <c r="U390" s="51" t="s">
        <v>2290</v>
      </c>
      <c r="V390" s="51" t="s">
        <v>2142</v>
      </c>
      <c r="W390" s="51"/>
      <c r="X390" s="51"/>
    </row>
    <row r="391" customFormat="false" ht="14.25" hidden="true" customHeight="false" outlineLevel="0" collapsed="false">
      <c r="A391" s="49" t="s">
        <v>2137</v>
      </c>
      <c r="B391" s="49" t="s">
        <v>14</v>
      </c>
      <c r="C391" s="49" t="s">
        <v>994</v>
      </c>
      <c r="D391" s="49" t="s">
        <v>2441</v>
      </c>
      <c r="E391" s="49" t="s">
        <v>2990</v>
      </c>
      <c r="F391" s="49" t="s">
        <v>974</v>
      </c>
      <c r="G391" s="49" t="n">
        <v>4</v>
      </c>
      <c r="H391" s="0" t="n">
        <v>0</v>
      </c>
      <c r="I391" s="51" t="s">
        <v>2783</v>
      </c>
      <c r="J391" s="49" t="s">
        <v>2991</v>
      </c>
      <c r="K391" s="52" t="n">
        <v>47858</v>
      </c>
      <c r="M391" s="51" t="s">
        <v>2503</v>
      </c>
      <c r="N391" s="49" t="n">
        <v>4</v>
      </c>
      <c r="O391" s="53" t="n">
        <v>46060.4634259259</v>
      </c>
      <c r="P391" s="53" t="n">
        <v>46062.3661458333</v>
      </c>
      <c r="Q391" s="53" t="n">
        <v>46060.4634259259</v>
      </c>
      <c r="R391" s="0" t="n">
        <v>0</v>
      </c>
      <c r="S391" s="51" t="s">
        <v>2398</v>
      </c>
      <c r="T391" s="51" t="s">
        <v>2398</v>
      </c>
      <c r="U391" s="51" t="s">
        <v>2990</v>
      </c>
      <c r="V391" s="51" t="s">
        <v>2365</v>
      </c>
      <c r="W391" s="51"/>
      <c r="X391" s="51"/>
    </row>
    <row r="392" customFormat="false" ht="14.25" hidden="true" customHeight="false" outlineLevel="0" collapsed="false">
      <c r="A392" s="49" t="s">
        <v>2137</v>
      </c>
      <c r="B392" s="49" t="s">
        <v>14</v>
      </c>
      <c r="C392" s="49" t="s">
        <v>973</v>
      </c>
      <c r="D392" s="49" t="s">
        <v>2441</v>
      </c>
      <c r="E392" s="49" t="s">
        <v>2990</v>
      </c>
      <c r="F392" s="49" t="s">
        <v>974</v>
      </c>
      <c r="G392" s="49" t="n">
        <v>4</v>
      </c>
      <c r="H392" s="0" t="n">
        <v>0</v>
      </c>
      <c r="I392" s="51" t="s">
        <v>2601</v>
      </c>
      <c r="J392" s="49" t="s">
        <v>2992</v>
      </c>
      <c r="K392" s="52" t="n">
        <v>47859</v>
      </c>
      <c r="M392" s="51" t="s">
        <v>2503</v>
      </c>
      <c r="N392" s="49" t="n">
        <v>4</v>
      </c>
      <c r="O392" s="53" t="n">
        <v>46060.4610069444</v>
      </c>
      <c r="P392" s="53" t="n">
        <v>46062.3663541667</v>
      </c>
      <c r="Q392" s="0" t="n">
        <v>46060.4610069444</v>
      </c>
      <c r="R392" s="0" t="n">
        <v>0</v>
      </c>
      <c r="S392" s="51" t="s">
        <v>2398</v>
      </c>
      <c r="T392" s="51" t="s">
        <v>2398</v>
      </c>
      <c r="U392" s="51" t="s">
        <v>2990</v>
      </c>
      <c r="V392" s="51" t="s">
        <v>2365</v>
      </c>
    </row>
    <row r="393" customFormat="false" ht="14.25" hidden="true" customHeight="false" outlineLevel="0" collapsed="false">
      <c r="A393" s="49" t="s">
        <v>2137</v>
      </c>
      <c r="B393" s="49" t="s">
        <v>14</v>
      </c>
      <c r="C393" s="49" t="s">
        <v>992</v>
      </c>
      <c r="D393" s="49" t="s">
        <v>2441</v>
      </c>
      <c r="E393" s="49" t="s">
        <v>2990</v>
      </c>
      <c r="F393" s="49" t="s">
        <v>974</v>
      </c>
      <c r="G393" s="49" t="n">
        <v>1</v>
      </c>
      <c r="H393" s="0" t="n">
        <v>0</v>
      </c>
      <c r="I393" s="51" t="s">
        <v>2607</v>
      </c>
      <c r="J393" s="49" t="s">
        <v>2992</v>
      </c>
      <c r="K393" s="52" t="n">
        <v>47859</v>
      </c>
      <c r="M393" s="51" t="s">
        <v>2503</v>
      </c>
      <c r="N393" s="49" t="n">
        <v>1</v>
      </c>
      <c r="O393" s="53" t="n">
        <v>46060.4656365741</v>
      </c>
      <c r="P393" s="53" t="n">
        <v>46062.3660069444</v>
      </c>
      <c r="Q393" s="53" t="n">
        <v>46060.4656365741</v>
      </c>
      <c r="R393" s="0" t="n">
        <v>0</v>
      </c>
      <c r="S393" s="51" t="s">
        <v>2398</v>
      </c>
      <c r="T393" s="51" t="s">
        <v>2398</v>
      </c>
      <c r="U393" s="51" t="s">
        <v>2990</v>
      </c>
      <c r="V393" s="51" t="s">
        <v>2365</v>
      </c>
      <c r="W393" s="51"/>
      <c r="X393" s="51"/>
    </row>
    <row r="394" customFormat="false" ht="14.25" hidden="true" customHeight="false" outlineLevel="0" collapsed="false">
      <c r="A394" s="49" t="s">
        <v>2137</v>
      </c>
      <c r="B394" s="49" t="s">
        <v>14</v>
      </c>
      <c r="C394" s="49" t="s">
        <v>981</v>
      </c>
      <c r="D394" s="49" t="s">
        <v>2441</v>
      </c>
      <c r="E394" s="49" t="s">
        <v>2990</v>
      </c>
      <c r="F394" s="49" t="s">
        <v>974</v>
      </c>
      <c r="G394" s="49" t="n">
        <v>4</v>
      </c>
      <c r="H394" s="0" t="n">
        <v>0</v>
      </c>
      <c r="I394" s="51" t="s">
        <v>2993</v>
      </c>
      <c r="J394" s="49" t="s">
        <v>2992</v>
      </c>
      <c r="K394" s="52" t="n">
        <v>47859</v>
      </c>
      <c r="M394" s="51" t="s">
        <v>2503</v>
      </c>
      <c r="N394" s="49" t="n">
        <v>4</v>
      </c>
      <c r="O394" s="53" t="n">
        <v>46060.4711689815</v>
      </c>
      <c r="P394" s="53" t="n">
        <v>46062.3672569444</v>
      </c>
      <c r="Q394" s="53" t="n">
        <v>46060.4711689815</v>
      </c>
      <c r="R394" s="0" t="n">
        <v>0</v>
      </c>
      <c r="S394" s="51" t="s">
        <v>2398</v>
      </c>
      <c r="T394" s="51" t="s">
        <v>2398</v>
      </c>
      <c r="U394" s="51" t="s">
        <v>2990</v>
      </c>
      <c r="V394" s="51" t="s">
        <v>2365</v>
      </c>
      <c r="W394" s="51"/>
      <c r="X394" s="51"/>
    </row>
    <row r="395" customFormat="false" ht="14.25" hidden="true" customHeight="false" outlineLevel="0" collapsed="false">
      <c r="A395" s="49" t="s">
        <v>2137</v>
      </c>
      <c r="B395" s="49" t="s">
        <v>14</v>
      </c>
      <c r="C395" s="49" t="s">
        <v>983</v>
      </c>
      <c r="D395" s="49" t="s">
        <v>2441</v>
      </c>
      <c r="E395" s="49" t="s">
        <v>2990</v>
      </c>
      <c r="F395" s="49" t="s">
        <v>974</v>
      </c>
      <c r="G395" s="49" t="n">
        <v>4</v>
      </c>
      <c r="H395" s="0" t="n">
        <v>0</v>
      </c>
      <c r="I395" s="51" t="s">
        <v>2994</v>
      </c>
      <c r="J395" s="49" t="s">
        <v>2992</v>
      </c>
      <c r="K395" s="52" t="n">
        <v>47859</v>
      </c>
      <c r="M395" s="51" t="s">
        <v>2503</v>
      </c>
      <c r="N395" s="49" t="n">
        <v>4</v>
      </c>
      <c r="O395" s="53" t="n">
        <v>46060.4690046296</v>
      </c>
      <c r="P395" s="53" t="n">
        <v>46062.367037037</v>
      </c>
      <c r="Q395" s="53" t="n">
        <v>46060.4690046296</v>
      </c>
      <c r="R395" s="0" t="n">
        <v>0</v>
      </c>
      <c r="S395" s="51" t="s">
        <v>2398</v>
      </c>
      <c r="T395" s="51" t="s">
        <v>2398</v>
      </c>
      <c r="U395" s="51" t="s">
        <v>2990</v>
      </c>
      <c r="V395" s="51" t="s">
        <v>2365</v>
      </c>
      <c r="W395" s="51"/>
      <c r="X395" s="51"/>
    </row>
    <row r="396" customFormat="false" ht="14.25" hidden="true" customHeight="false" outlineLevel="0" collapsed="false">
      <c r="A396" s="49" t="s">
        <v>2137</v>
      </c>
      <c r="B396" s="49" t="s">
        <v>14</v>
      </c>
      <c r="C396" s="49" t="s">
        <v>987</v>
      </c>
      <c r="D396" s="49" t="s">
        <v>2441</v>
      </c>
      <c r="E396" s="49" t="s">
        <v>2990</v>
      </c>
      <c r="F396" s="49" t="s">
        <v>974</v>
      </c>
      <c r="G396" s="49" t="n">
        <v>4</v>
      </c>
      <c r="H396" s="0" t="n">
        <v>0</v>
      </c>
      <c r="I396" s="51" t="s">
        <v>2995</v>
      </c>
      <c r="J396" s="49" t="s">
        <v>2992</v>
      </c>
      <c r="K396" s="52" t="n">
        <v>47859</v>
      </c>
      <c r="M396" s="51" t="s">
        <v>2503</v>
      </c>
      <c r="N396" s="49" t="n">
        <v>4</v>
      </c>
      <c r="O396" s="53" t="n">
        <v>46060.4681944444</v>
      </c>
      <c r="P396" s="53" t="n">
        <v>46062.3669444444</v>
      </c>
      <c r="Q396" s="53" t="n">
        <v>46060.4681944444</v>
      </c>
      <c r="R396" s="0" t="n">
        <v>0</v>
      </c>
      <c r="S396" s="51" t="s">
        <v>2398</v>
      </c>
      <c r="T396" s="51" t="s">
        <v>2398</v>
      </c>
      <c r="U396" s="51" t="s">
        <v>2990</v>
      </c>
      <c r="V396" s="51" t="s">
        <v>2365</v>
      </c>
      <c r="W396" s="51"/>
      <c r="X396" s="51"/>
    </row>
    <row r="397" customFormat="false" ht="14.25" hidden="true" customHeight="false" outlineLevel="0" collapsed="false">
      <c r="A397" s="49" t="s">
        <v>2137</v>
      </c>
      <c r="B397" s="49" t="s">
        <v>14</v>
      </c>
      <c r="C397" s="49" t="s">
        <v>991</v>
      </c>
      <c r="D397" s="49" t="s">
        <v>2441</v>
      </c>
      <c r="E397" s="49" t="s">
        <v>2990</v>
      </c>
      <c r="F397" s="49" t="s">
        <v>974</v>
      </c>
      <c r="G397" s="49" t="n">
        <v>4</v>
      </c>
      <c r="H397" s="0" t="n">
        <v>0</v>
      </c>
      <c r="I397" s="51" t="s">
        <v>2774</v>
      </c>
      <c r="J397" s="49" t="s">
        <v>2992</v>
      </c>
      <c r="K397" s="52" t="n">
        <v>47859</v>
      </c>
      <c r="M397" s="51" t="s">
        <v>2503</v>
      </c>
      <c r="N397" s="49" t="n">
        <v>4</v>
      </c>
      <c r="O397" s="53" t="n">
        <v>46060.4658912037</v>
      </c>
      <c r="P397" s="53" t="n">
        <v>46062.3664583333</v>
      </c>
      <c r="Q397" s="53" t="n">
        <v>46060.4658912037</v>
      </c>
      <c r="R397" s="0" t="n">
        <v>0</v>
      </c>
      <c r="S397" s="51" t="s">
        <v>2398</v>
      </c>
      <c r="T397" s="51" t="s">
        <v>2398</v>
      </c>
      <c r="U397" s="51" t="s">
        <v>2990</v>
      </c>
      <c r="V397" s="51" t="s">
        <v>2365</v>
      </c>
      <c r="W397" s="51"/>
      <c r="X397" s="51"/>
    </row>
    <row r="398" customFormat="false" ht="14.25" hidden="false" customHeight="false" outlineLevel="0" collapsed="false">
      <c r="A398" s="49" t="s">
        <v>2137</v>
      </c>
      <c r="B398" s="49" t="s">
        <v>14</v>
      </c>
      <c r="C398" s="49" t="s">
        <v>990</v>
      </c>
      <c r="D398" s="49" t="s">
        <v>2441</v>
      </c>
      <c r="E398" s="49" t="s">
        <v>2990</v>
      </c>
      <c r="F398" s="49" t="s">
        <v>974</v>
      </c>
      <c r="G398" s="49" t="n">
        <v>4</v>
      </c>
      <c r="H398" s="0" t="n">
        <v>0</v>
      </c>
      <c r="I398" s="51" t="s">
        <v>2996</v>
      </c>
      <c r="J398" s="49" t="s">
        <v>2992</v>
      </c>
      <c r="K398" s="52" t="n">
        <v>47859</v>
      </c>
      <c r="M398" s="51" t="s">
        <v>2503</v>
      </c>
      <c r="N398" s="0" t="n">
        <v>4</v>
      </c>
      <c r="O398" s="53" t="n">
        <v>46060.4660185185</v>
      </c>
      <c r="P398" s="53" t="n">
        <v>46062.3673726852</v>
      </c>
      <c r="Q398" s="53" t="n">
        <v>46060.4660185185</v>
      </c>
      <c r="R398" s="0" t="n">
        <v>0</v>
      </c>
      <c r="S398" s="51" t="s">
        <v>2398</v>
      </c>
      <c r="T398" s="51" t="s">
        <v>2398</v>
      </c>
      <c r="U398" s="51" t="s">
        <v>2990</v>
      </c>
      <c r="V398" s="51" t="s">
        <v>2365</v>
      </c>
      <c r="W398" s="51"/>
      <c r="X398" s="51"/>
    </row>
    <row r="399" customFormat="false" ht="14.25" hidden="true" customHeight="false" outlineLevel="0" collapsed="false">
      <c r="A399" s="49" t="s">
        <v>2137</v>
      </c>
      <c r="B399" s="49" t="s">
        <v>14</v>
      </c>
      <c r="C399" s="49" t="s">
        <v>989</v>
      </c>
      <c r="D399" s="49" t="s">
        <v>2441</v>
      </c>
      <c r="E399" s="49" t="s">
        <v>2990</v>
      </c>
      <c r="F399" s="49" t="s">
        <v>974</v>
      </c>
      <c r="G399" s="49" t="n">
        <v>4</v>
      </c>
      <c r="H399" s="0" t="n">
        <v>0</v>
      </c>
      <c r="I399" s="51" t="s">
        <v>2997</v>
      </c>
      <c r="J399" s="49" t="s">
        <v>2992</v>
      </c>
      <c r="K399" s="52" t="n">
        <v>47859</v>
      </c>
      <c r="M399" s="51" t="s">
        <v>2503</v>
      </c>
      <c r="N399" s="49" t="n">
        <v>4</v>
      </c>
      <c r="O399" s="53" t="n">
        <v>46060.4661458333</v>
      </c>
      <c r="P399" s="53" t="n">
        <v>46062.3674189815</v>
      </c>
      <c r="Q399" s="53" t="n">
        <v>46060.4661458333</v>
      </c>
      <c r="R399" s="0" t="n">
        <v>0</v>
      </c>
      <c r="S399" s="51" t="s">
        <v>2398</v>
      </c>
      <c r="T399" s="51" t="s">
        <v>2398</v>
      </c>
      <c r="U399" s="51" t="s">
        <v>2990</v>
      </c>
      <c r="V399" s="51" t="s">
        <v>2365</v>
      </c>
      <c r="W399" s="51"/>
      <c r="X399" s="51"/>
    </row>
    <row r="400" customFormat="false" ht="14.25" hidden="true" customHeight="false" outlineLevel="0" collapsed="false">
      <c r="A400" s="49" t="s">
        <v>2137</v>
      </c>
      <c r="B400" s="49" t="s">
        <v>14</v>
      </c>
      <c r="C400" s="49" t="s">
        <v>988</v>
      </c>
      <c r="D400" s="49" t="s">
        <v>2441</v>
      </c>
      <c r="E400" s="49" t="s">
        <v>2990</v>
      </c>
      <c r="F400" s="49" t="s">
        <v>974</v>
      </c>
      <c r="G400" s="49" t="n">
        <v>4</v>
      </c>
      <c r="H400" s="0" t="n">
        <v>0</v>
      </c>
      <c r="I400" s="51" t="s">
        <v>2998</v>
      </c>
      <c r="J400" s="49" t="s">
        <v>2992</v>
      </c>
      <c r="K400" s="52" t="n">
        <v>47859</v>
      </c>
      <c r="M400" s="51" t="s">
        <v>2503</v>
      </c>
      <c r="N400" s="49" t="n">
        <v>4</v>
      </c>
      <c r="O400" s="53" t="n">
        <v>46060.4662847222</v>
      </c>
      <c r="P400" s="53" t="n">
        <v>46062.3672800926</v>
      </c>
      <c r="Q400" s="53" t="n">
        <v>46060.4662847222</v>
      </c>
      <c r="R400" s="0" t="n">
        <v>0</v>
      </c>
      <c r="S400" s="51" t="s">
        <v>2398</v>
      </c>
      <c r="T400" s="51" t="s">
        <v>2398</v>
      </c>
      <c r="U400" s="51" t="s">
        <v>2990</v>
      </c>
      <c r="V400" s="51" t="s">
        <v>2365</v>
      </c>
      <c r="W400" s="51"/>
      <c r="X400" s="51"/>
    </row>
    <row r="401" customFormat="false" ht="14.25" hidden="true" customHeight="false" outlineLevel="0" collapsed="false">
      <c r="A401" s="49" t="s">
        <v>2137</v>
      </c>
      <c r="B401" s="49" t="s">
        <v>14</v>
      </c>
      <c r="C401" s="49" t="s">
        <v>993</v>
      </c>
      <c r="D401" s="49" t="s">
        <v>2441</v>
      </c>
      <c r="E401" s="49" t="s">
        <v>2990</v>
      </c>
      <c r="F401" s="49" t="s">
        <v>974</v>
      </c>
      <c r="G401" s="49" t="n">
        <v>4</v>
      </c>
      <c r="H401" s="0" t="n">
        <v>0</v>
      </c>
      <c r="I401" s="51" t="s">
        <v>2563</v>
      </c>
      <c r="J401" s="49" t="s">
        <v>2992</v>
      </c>
      <c r="K401" s="52" t="n">
        <v>47859</v>
      </c>
      <c r="M401" s="51" t="s">
        <v>2503</v>
      </c>
      <c r="N401" s="49" t="n">
        <v>4</v>
      </c>
      <c r="O401" s="53" t="n">
        <v>46060.465474537</v>
      </c>
      <c r="P401" s="53" t="n">
        <v>46062.3661111111</v>
      </c>
      <c r="Q401" s="53" t="n">
        <v>46060.465474537</v>
      </c>
      <c r="R401" s="0" t="n">
        <v>0</v>
      </c>
      <c r="S401" s="51" t="s">
        <v>2398</v>
      </c>
      <c r="T401" s="51" t="s">
        <v>2398</v>
      </c>
      <c r="U401" s="51" t="s">
        <v>2990</v>
      </c>
      <c r="V401" s="51" t="s">
        <v>2365</v>
      </c>
      <c r="W401" s="51"/>
      <c r="X401" s="51"/>
    </row>
    <row r="402" customFormat="false" ht="14.25" hidden="true" customHeight="false" outlineLevel="0" collapsed="false">
      <c r="A402" s="49" t="s">
        <v>2137</v>
      </c>
      <c r="B402" s="49" t="s">
        <v>14</v>
      </c>
      <c r="C402" s="49" t="s">
        <v>996</v>
      </c>
      <c r="D402" s="49" t="s">
        <v>2441</v>
      </c>
      <c r="E402" s="49" t="s">
        <v>2990</v>
      </c>
      <c r="F402" s="49" t="s">
        <v>974</v>
      </c>
      <c r="G402" s="49" t="n">
        <v>4</v>
      </c>
      <c r="H402" s="0" t="n">
        <v>0</v>
      </c>
      <c r="I402" s="51" t="s">
        <v>2785</v>
      </c>
      <c r="J402" s="49" t="s">
        <v>2992</v>
      </c>
      <c r="K402" s="52" t="n">
        <v>47859</v>
      </c>
      <c r="M402" s="51" t="s">
        <v>2503</v>
      </c>
      <c r="N402" s="49" t="n">
        <v>4</v>
      </c>
      <c r="O402" s="53" t="n">
        <v>46060.4630092593</v>
      </c>
      <c r="P402" s="53" t="n">
        <v>46062.3662037037</v>
      </c>
      <c r="Q402" s="53" t="n">
        <v>46060.4630092593</v>
      </c>
      <c r="R402" s="0" t="n">
        <v>0</v>
      </c>
      <c r="S402" s="51" t="s">
        <v>2398</v>
      </c>
      <c r="T402" s="51" t="s">
        <v>2398</v>
      </c>
      <c r="U402" s="51" t="s">
        <v>2990</v>
      </c>
      <c r="V402" s="51" t="s">
        <v>2365</v>
      </c>
      <c r="W402" s="51"/>
      <c r="X402" s="51"/>
    </row>
    <row r="403" customFormat="false" ht="14.25" hidden="true" customHeight="false" outlineLevel="0" collapsed="false">
      <c r="A403" s="49" t="s">
        <v>2137</v>
      </c>
      <c r="B403" s="49" t="s">
        <v>14</v>
      </c>
      <c r="C403" s="49" t="s">
        <v>997</v>
      </c>
      <c r="D403" s="49" t="s">
        <v>2441</v>
      </c>
      <c r="E403" s="49" t="s">
        <v>2990</v>
      </c>
      <c r="F403" s="49" t="s">
        <v>974</v>
      </c>
      <c r="G403" s="49" t="n">
        <v>4</v>
      </c>
      <c r="H403" s="0" t="n">
        <v>0</v>
      </c>
      <c r="I403" s="51" t="s">
        <v>2772</v>
      </c>
      <c r="J403" s="49" t="s">
        <v>2992</v>
      </c>
      <c r="K403" s="52" t="n">
        <v>47859</v>
      </c>
      <c r="M403" s="51" t="s">
        <v>2503</v>
      </c>
      <c r="N403" s="49" t="n">
        <v>4</v>
      </c>
      <c r="O403" s="53" t="n">
        <v>46060.4618518519</v>
      </c>
      <c r="P403" s="53" t="n">
        <v>46062.3662962963</v>
      </c>
      <c r="Q403" s="53" t="n">
        <v>46060.4618518519</v>
      </c>
      <c r="R403" s="0" t="n">
        <v>0</v>
      </c>
      <c r="S403" s="51" t="s">
        <v>2398</v>
      </c>
      <c r="T403" s="51" t="s">
        <v>2398</v>
      </c>
      <c r="U403" s="51" t="s">
        <v>2990</v>
      </c>
      <c r="V403" s="51" t="s">
        <v>2365</v>
      </c>
      <c r="W403" s="51"/>
      <c r="X403" s="51"/>
    </row>
    <row r="404" customFormat="false" ht="14.25" hidden="true" customHeight="false" outlineLevel="0" collapsed="false">
      <c r="A404" s="49" t="s">
        <v>2137</v>
      </c>
      <c r="B404" s="49" t="s">
        <v>14</v>
      </c>
      <c r="C404" s="49" t="s">
        <v>818</v>
      </c>
      <c r="D404" s="49" t="s">
        <v>2441</v>
      </c>
      <c r="E404" s="49" t="s">
        <v>2223</v>
      </c>
      <c r="F404" s="49" t="s">
        <v>801</v>
      </c>
      <c r="G404" s="49" t="n">
        <v>4</v>
      </c>
      <c r="H404" s="0" t="n">
        <v>0</v>
      </c>
      <c r="I404" s="51" t="s">
        <v>2999</v>
      </c>
      <c r="J404" s="49" t="s">
        <v>3000</v>
      </c>
      <c r="K404" s="52" t="n">
        <v>47864</v>
      </c>
      <c r="M404" s="51" t="s">
        <v>2458</v>
      </c>
      <c r="N404" s="49" t="n">
        <v>4</v>
      </c>
      <c r="O404" s="53" t="n">
        <v>46058.4641550926</v>
      </c>
      <c r="P404" s="53" t="n">
        <v>46058.6402083333</v>
      </c>
      <c r="Q404" s="53" t="n">
        <v>46058.4641550926</v>
      </c>
      <c r="R404" s="0" t="n">
        <v>0</v>
      </c>
      <c r="S404" s="51" t="s">
        <v>2398</v>
      </c>
      <c r="T404" s="51" t="s">
        <v>2398</v>
      </c>
      <c r="U404" s="51" t="s">
        <v>2223</v>
      </c>
      <c r="V404" s="51" t="s">
        <v>2142</v>
      </c>
      <c r="W404" s="51"/>
      <c r="X404" s="51"/>
    </row>
    <row r="405" customFormat="false" ht="14.25" hidden="true" customHeight="false" outlineLevel="0" collapsed="false">
      <c r="A405" s="49" t="s">
        <v>2137</v>
      </c>
      <c r="B405" s="49" t="s">
        <v>14</v>
      </c>
      <c r="C405" s="49" t="s">
        <v>802</v>
      </c>
      <c r="D405" s="49" t="s">
        <v>2441</v>
      </c>
      <c r="E405" s="49" t="s">
        <v>2223</v>
      </c>
      <c r="F405" s="49" t="s">
        <v>801</v>
      </c>
      <c r="G405" s="49" t="n">
        <v>4</v>
      </c>
      <c r="H405" s="0" t="n">
        <v>0</v>
      </c>
      <c r="I405" s="51" t="s">
        <v>3001</v>
      </c>
      <c r="J405" s="49" t="s">
        <v>3000</v>
      </c>
      <c r="K405" s="52" t="n">
        <v>47864</v>
      </c>
      <c r="M405" s="51" t="s">
        <v>2458</v>
      </c>
      <c r="N405" s="49" t="n">
        <v>4</v>
      </c>
      <c r="O405" s="53" t="n">
        <v>46058.4684027778</v>
      </c>
      <c r="P405" s="53" t="n">
        <v>46058.6367592593</v>
      </c>
      <c r="Q405" s="53" t="n">
        <v>46058.4684027778</v>
      </c>
      <c r="R405" s="0" t="n">
        <v>0</v>
      </c>
      <c r="S405" s="51" t="s">
        <v>2398</v>
      </c>
      <c r="T405" s="51" t="s">
        <v>2398</v>
      </c>
      <c r="U405" s="51" t="s">
        <v>2223</v>
      </c>
      <c r="V405" s="51" t="s">
        <v>2142</v>
      </c>
      <c r="W405" s="51"/>
      <c r="X405" s="51"/>
    </row>
    <row r="406" customFormat="false" ht="14.25" hidden="true" customHeight="false" outlineLevel="0" collapsed="false">
      <c r="A406" s="49" t="s">
        <v>2137</v>
      </c>
      <c r="B406" s="49" t="s">
        <v>14</v>
      </c>
      <c r="C406" s="49" t="s">
        <v>810</v>
      </c>
      <c r="D406" s="49" t="s">
        <v>2441</v>
      </c>
      <c r="E406" s="49" t="s">
        <v>2223</v>
      </c>
      <c r="F406" s="49" t="s">
        <v>801</v>
      </c>
      <c r="G406" s="49" t="n">
        <v>4</v>
      </c>
      <c r="H406" s="0" t="n">
        <v>0</v>
      </c>
      <c r="I406" s="51" t="s">
        <v>3002</v>
      </c>
      <c r="J406" s="49" t="s">
        <v>3000</v>
      </c>
      <c r="K406" s="52" t="n">
        <v>47864</v>
      </c>
      <c r="M406" s="51" t="s">
        <v>2458</v>
      </c>
      <c r="N406" s="49" t="n">
        <v>4</v>
      </c>
      <c r="O406" s="53" t="n">
        <v>46058.4682175926</v>
      </c>
      <c r="P406" s="53" t="n">
        <v>46058.6367939815</v>
      </c>
      <c r="Q406" s="53" t="n">
        <v>46058.4682175926</v>
      </c>
      <c r="R406" s="0" t="n">
        <v>0</v>
      </c>
      <c r="S406" s="51" t="s">
        <v>2398</v>
      </c>
      <c r="T406" s="51" t="s">
        <v>2398</v>
      </c>
      <c r="U406" s="51" t="s">
        <v>2223</v>
      </c>
      <c r="V406" s="51" t="s">
        <v>2142</v>
      </c>
      <c r="W406" s="51"/>
      <c r="X406" s="51"/>
    </row>
    <row r="407" customFormat="false" ht="14.25" hidden="true" customHeight="false" outlineLevel="0" collapsed="false">
      <c r="A407" s="49" t="s">
        <v>2137</v>
      </c>
      <c r="B407" s="49" t="s">
        <v>14</v>
      </c>
      <c r="C407" s="49" t="s">
        <v>817</v>
      </c>
      <c r="D407" s="49" t="s">
        <v>2441</v>
      </c>
      <c r="E407" s="49" t="s">
        <v>2223</v>
      </c>
      <c r="F407" s="49" t="s">
        <v>801</v>
      </c>
      <c r="G407" s="49" t="n">
        <v>4</v>
      </c>
      <c r="H407" s="0" t="n">
        <v>0</v>
      </c>
      <c r="I407" s="51" t="s">
        <v>3003</v>
      </c>
      <c r="J407" s="49" t="s">
        <v>3000</v>
      </c>
      <c r="K407" s="52" t="n">
        <v>47864</v>
      </c>
      <c r="M407" s="51" t="s">
        <v>2458</v>
      </c>
      <c r="N407" s="49" t="n">
        <v>4</v>
      </c>
      <c r="O407" s="53" t="n">
        <v>46058.4661805556</v>
      </c>
      <c r="P407" s="53" t="n">
        <v>46058.6364351852</v>
      </c>
      <c r="Q407" s="53" t="n">
        <v>46058.4661805556</v>
      </c>
      <c r="R407" s="0" t="n">
        <v>0</v>
      </c>
      <c r="S407" s="51" t="s">
        <v>2398</v>
      </c>
      <c r="T407" s="51" t="s">
        <v>2398</v>
      </c>
      <c r="U407" s="51" t="s">
        <v>2223</v>
      </c>
      <c r="V407" s="51" t="s">
        <v>2142</v>
      </c>
      <c r="W407" s="51"/>
      <c r="X407" s="51"/>
    </row>
    <row r="408" customFormat="false" ht="14.25" hidden="true" customHeight="false" outlineLevel="0" collapsed="false">
      <c r="A408" s="49" t="s">
        <v>2137</v>
      </c>
      <c r="B408" s="49" t="s">
        <v>14</v>
      </c>
      <c r="C408" s="49" t="s">
        <v>813</v>
      </c>
      <c r="D408" s="49" t="s">
        <v>2441</v>
      </c>
      <c r="E408" s="49" t="s">
        <v>2223</v>
      </c>
      <c r="F408" s="49" t="s">
        <v>801</v>
      </c>
      <c r="G408" s="49" t="n">
        <v>4</v>
      </c>
      <c r="H408" s="0" t="n">
        <v>0</v>
      </c>
      <c r="I408" s="51" t="s">
        <v>3004</v>
      </c>
      <c r="J408" s="49" t="s">
        <v>3000</v>
      </c>
      <c r="K408" s="52" t="n">
        <v>47864</v>
      </c>
      <c r="M408" s="51" t="s">
        <v>2458</v>
      </c>
      <c r="N408" s="49" t="n">
        <v>4</v>
      </c>
      <c r="O408" s="53" t="n">
        <v>46058.4664814815</v>
      </c>
      <c r="P408" s="53" t="n">
        <v>46058.6363657407</v>
      </c>
      <c r="Q408" s="53" t="n">
        <v>46058.4664814815</v>
      </c>
      <c r="R408" s="0" t="n">
        <v>0</v>
      </c>
      <c r="S408" s="51" t="s">
        <v>2398</v>
      </c>
      <c r="T408" s="51" t="s">
        <v>2398</v>
      </c>
      <c r="U408" s="51" t="s">
        <v>2223</v>
      </c>
      <c r="V408" s="51" t="s">
        <v>2142</v>
      </c>
      <c r="W408" s="51"/>
      <c r="X408" s="51"/>
    </row>
    <row r="409" customFormat="false" ht="14.25" hidden="true" customHeight="false" outlineLevel="0" collapsed="false">
      <c r="A409" s="49" t="s">
        <v>2137</v>
      </c>
      <c r="B409" s="49" t="s">
        <v>14</v>
      </c>
      <c r="C409" s="49" t="s">
        <v>811</v>
      </c>
      <c r="D409" s="49" t="s">
        <v>2441</v>
      </c>
      <c r="E409" s="49" t="s">
        <v>2223</v>
      </c>
      <c r="F409" s="49" t="s">
        <v>801</v>
      </c>
      <c r="G409" s="49" t="n">
        <v>4</v>
      </c>
      <c r="H409" s="0" t="n">
        <v>0</v>
      </c>
      <c r="I409" s="51" t="s">
        <v>3005</v>
      </c>
      <c r="J409" s="49" t="s">
        <v>3000</v>
      </c>
      <c r="K409" s="52" t="n">
        <v>47864</v>
      </c>
      <c r="M409" s="51" t="s">
        <v>2458</v>
      </c>
      <c r="N409" s="49" t="n">
        <v>4</v>
      </c>
      <c r="O409" s="53" t="n">
        <v>46058.4666087963</v>
      </c>
      <c r="P409" s="53" t="n">
        <v>46058.636412037</v>
      </c>
      <c r="Q409" s="53" t="n">
        <v>46058.4666087963</v>
      </c>
      <c r="R409" s="0" t="n">
        <v>0</v>
      </c>
      <c r="S409" s="51" t="s">
        <v>2398</v>
      </c>
      <c r="T409" s="51" t="s">
        <v>2398</v>
      </c>
      <c r="U409" s="51" t="s">
        <v>2223</v>
      </c>
      <c r="V409" s="51" t="s">
        <v>2142</v>
      </c>
      <c r="W409" s="51"/>
      <c r="X409" s="51"/>
    </row>
    <row r="410" customFormat="false" ht="14.25" hidden="true" customHeight="false" outlineLevel="0" collapsed="false">
      <c r="A410" s="49" t="s">
        <v>2137</v>
      </c>
      <c r="B410" s="49" t="s">
        <v>14</v>
      </c>
      <c r="C410" s="49" t="s">
        <v>827</v>
      </c>
      <c r="D410" s="49" t="s">
        <v>2441</v>
      </c>
      <c r="E410" s="49" t="s">
        <v>2223</v>
      </c>
      <c r="F410" s="49" t="s">
        <v>801</v>
      </c>
      <c r="G410" s="49" t="n">
        <v>4</v>
      </c>
      <c r="H410" s="0" t="n">
        <v>0</v>
      </c>
      <c r="I410" s="51" t="s">
        <v>3006</v>
      </c>
      <c r="J410" s="49" t="s">
        <v>3000</v>
      </c>
      <c r="K410" s="52" t="n">
        <v>47864</v>
      </c>
      <c r="M410" s="51" t="s">
        <v>2458</v>
      </c>
      <c r="N410" s="49" t="n">
        <v>4</v>
      </c>
      <c r="O410" s="53" t="n">
        <v>46058.4618865741</v>
      </c>
      <c r="P410" s="53" t="n">
        <v>46058.6361574074</v>
      </c>
      <c r="Q410" s="53" t="n">
        <v>46058.4618865741</v>
      </c>
      <c r="R410" s="0" t="n">
        <v>0</v>
      </c>
      <c r="S410" s="51" t="s">
        <v>2398</v>
      </c>
      <c r="T410" s="51" t="s">
        <v>2398</v>
      </c>
      <c r="U410" s="51" t="s">
        <v>2223</v>
      </c>
      <c r="V410" s="51" t="s">
        <v>2142</v>
      </c>
      <c r="W410" s="51"/>
      <c r="X410" s="51"/>
    </row>
    <row r="411" customFormat="false" ht="14.25" hidden="true" customHeight="false" outlineLevel="0" collapsed="false">
      <c r="A411" s="49" t="s">
        <v>2137</v>
      </c>
      <c r="B411" s="49" t="s">
        <v>14</v>
      </c>
      <c r="C411" s="49" t="s">
        <v>825</v>
      </c>
      <c r="D411" s="49" t="s">
        <v>2441</v>
      </c>
      <c r="E411" s="49" t="s">
        <v>2223</v>
      </c>
      <c r="F411" s="49" t="s">
        <v>801</v>
      </c>
      <c r="G411" s="49" t="n">
        <v>4</v>
      </c>
      <c r="H411" s="0" t="n">
        <v>0</v>
      </c>
      <c r="I411" s="51" t="s">
        <v>3007</v>
      </c>
      <c r="J411" s="49" t="s">
        <v>3000</v>
      </c>
      <c r="K411" s="52" t="n">
        <v>47864</v>
      </c>
      <c r="M411" s="51" t="s">
        <v>2458</v>
      </c>
      <c r="N411" s="49" t="n">
        <v>4</v>
      </c>
      <c r="O411" s="53" t="n">
        <v>46058.4628356482</v>
      </c>
      <c r="P411" s="53" t="n">
        <v>46058.6360648148</v>
      </c>
      <c r="Q411" s="53" t="n">
        <v>46058.4628356482</v>
      </c>
      <c r="R411" s="0" t="n">
        <v>0</v>
      </c>
      <c r="S411" s="51" t="s">
        <v>2398</v>
      </c>
      <c r="T411" s="51" t="s">
        <v>2398</v>
      </c>
      <c r="U411" s="51" t="s">
        <v>2223</v>
      </c>
      <c r="V411" s="51" t="s">
        <v>2142</v>
      </c>
      <c r="W411" s="51"/>
      <c r="X411" s="51"/>
    </row>
    <row r="412" customFormat="false" ht="14.25" hidden="true" customHeight="false" outlineLevel="0" collapsed="false">
      <c r="A412" s="49" t="s">
        <v>2137</v>
      </c>
      <c r="B412" s="49" t="s">
        <v>14</v>
      </c>
      <c r="C412" s="49" t="s">
        <v>823</v>
      </c>
      <c r="D412" s="49" t="s">
        <v>2441</v>
      </c>
      <c r="E412" s="49" t="s">
        <v>2223</v>
      </c>
      <c r="F412" s="49" t="s">
        <v>801</v>
      </c>
      <c r="G412" s="49" t="n">
        <v>4</v>
      </c>
      <c r="H412" s="0" t="n">
        <v>0</v>
      </c>
      <c r="I412" s="51" t="s">
        <v>3008</v>
      </c>
      <c r="J412" s="49" t="s">
        <v>3000</v>
      </c>
      <c r="K412" s="52" t="n">
        <v>47864</v>
      </c>
      <c r="M412" s="51" t="s">
        <v>2458</v>
      </c>
      <c r="N412" s="49" t="n">
        <v>4</v>
      </c>
      <c r="O412" s="53" t="n">
        <v>46058.4634375</v>
      </c>
      <c r="P412" s="53" t="n">
        <v>46058.6379050926</v>
      </c>
      <c r="Q412" s="53" t="n">
        <v>46058.4634375</v>
      </c>
      <c r="R412" s="0" t="n">
        <v>0</v>
      </c>
      <c r="S412" s="51" t="s">
        <v>2398</v>
      </c>
      <c r="T412" s="51" t="s">
        <v>2398</v>
      </c>
      <c r="U412" s="51" t="s">
        <v>2223</v>
      </c>
      <c r="V412" s="51" t="s">
        <v>2142</v>
      </c>
      <c r="W412" s="51"/>
      <c r="X412" s="51"/>
    </row>
    <row r="413" customFormat="false" ht="14.25" hidden="true" customHeight="false" outlineLevel="0" collapsed="false">
      <c r="A413" s="49" t="s">
        <v>2137</v>
      </c>
      <c r="B413" s="49" t="s">
        <v>14</v>
      </c>
      <c r="C413" s="49" t="s">
        <v>821</v>
      </c>
      <c r="D413" s="49" t="s">
        <v>2441</v>
      </c>
      <c r="E413" s="49" t="s">
        <v>2223</v>
      </c>
      <c r="F413" s="49" t="s">
        <v>801</v>
      </c>
      <c r="G413" s="49" t="n">
        <v>4</v>
      </c>
      <c r="H413" s="0" t="n">
        <v>0</v>
      </c>
      <c r="I413" s="51" t="s">
        <v>2575</v>
      </c>
      <c r="J413" s="49" t="s">
        <v>3000</v>
      </c>
      <c r="K413" s="52" t="n">
        <v>47864</v>
      </c>
      <c r="M413" s="51" t="s">
        <v>2458</v>
      </c>
      <c r="N413" s="49" t="n">
        <v>4</v>
      </c>
      <c r="O413" s="53" t="n">
        <v>46058.4639236111</v>
      </c>
      <c r="P413" s="53" t="n">
        <v>46063.4972916667</v>
      </c>
      <c r="Q413" s="53" t="n">
        <v>46058.4639236111</v>
      </c>
      <c r="R413" s="0" t="n">
        <v>0</v>
      </c>
      <c r="S413" s="51" t="s">
        <v>2398</v>
      </c>
      <c r="T413" s="51" t="s">
        <v>2398</v>
      </c>
      <c r="U413" s="51" t="s">
        <v>2223</v>
      </c>
      <c r="V413" s="51" t="s">
        <v>2142</v>
      </c>
      <c r="W413" s="51" t="s">
        <v>2708</v>
      </c>
      <c r="X413" s="51"/>
    </row>
    <row r="414" customFormat="false" ht="14.25" hidden="true" customHeight="false" outlineLevel="0" collapsed="false">
      <c r="A414" s="49" t="s">
        <v>2137</v>
      </c>
      <c r="B414" s="49" t="s">
        <v>14</v>
      </c>
      <c r="C414" s="49" t="s">
        <v>614</v>
      </c>
      <c r="D414" s="49" t="s">
        <v>2441</v>
      </c>
      <c r="E414" s="49" t="s">
        <v>2214</v>
      </c>
      <c r="F414" s="49" t="s">
        <v>594</v>
      </c>
      <c r="G414" s="49" t="n">
        <v>4</v>
      </c>
      <c r="H414" s="0" t="n">
        <v>0</v>
      </c>
      <c r="I414" s="51" t="s">
        <v>2706</v>
      </c>
      <c r="J414" s="49" t="s">
        <v>2217</v>
      </c>
      <c r="K414" s="52" t="n">
        <v>47867</v>
      </c>
      <c r="M414" s="51" t="s">
        <v>3009</v>
      </c>
      <c r="N414" s="49" t="n">
        <v>4</v>
      </c>
      <c r="O414" s="53" t="n">
        <v>46056.4735532407</v>
      </c>
      <c r="P414" s="53" t="n">
        <v>46056.7015393519</v>
      </c>
      <c r="Q414" s="53" t="n">
        <v>46056.4735532407</v>
      </c>
      <c r="R414" s="0" t="n">
        <v>0</v>
      </c>
      <c r="S414" s="51" t="s">
        <v>2380</v>
      </c>
      <c r="T414" s="51" t="s">
        <v>2380</v>
      </c>
      <c r="U414" s="51" t="s">
        <v>2214</v>
      </c>
      <c r="V414" s="51" t="s">
        <v>2142</v>
      </c>
      <c r="W414" s="51"/>
      <c r="X414" s="51"/>
    </row>
    <row r="415" customFormat="false" ht="14.25" hidden="false" customHeight="false" outlineLevel="0" collapsed="false">
      <c r="A415" s="49" t="s">
        <v>2137</v>
      </c>
      <c r="B415" s="49" t="s">
        <v>14</v>
      </c>
      <c r="C415" s="49" t="s">
        <v>1162</v>
      </c>
      <c r="D415" s="49" t="s">
        <v>2441</v>
      </c>
      <c r="E415" s="49" t="s">
        <v>2214</v>
      </c>
      <c r="F415" s="49" t="s">
        <v>594</v>
      </c>
      <c r="G415" s="49" t="n">
        <v>1</v>
      </c>
      <c r="H415" s="0" t="n">
        <v>0</v>
      </c>
      <c r="I415" s="51" t="s">
        <v>2964</v>
      </c>
      <c r="J415" s="49" t="s">
        <v>2217</v>
      </c>
      <c r="K415" s="52" t="n">
        <v>47867</v>
      </c>
      <c r="M415" s="51" t="s">
        <v>1161</v>
      </c>
      <c r="N415" s="0" t="n">
        <v>1</v>
      </c>
      <c r="O415" s="53" t="n">
        <v>46063.3909837963</v>
      </c>
      <c r="P415" s="53" t="n">
        <v>46063.4644444444</v>
      </c>
      <c r="Q415" s="53" t="n">
        <v>46063.3909837963</v>
      </c>
      <c r="R415" s="0" t="n">
        <v>0</v>
      </c>
      <c r="S415" s="51" t="s">
        <v>2398</v>
      </c>
      <c r="T415" s="51" t="s">
        <v>2398</v>
      </c>
      <c r="U415" s="51" t="s">
        <v>2214</v>
      </c>
      <c r="V415" s="51" t="s">
        <v>2142</v>
      </c>
      <c r="X415" s="51"/>
    </row>
    <row r="416" customFormat="false" ht="14.25" hidden="false" customHeight="false" outlineLevel="0" collapsed="false">
      <c r="A416" s="49" t="s">
        <v>2137</v>
      </c>
      <c r="B416" s="49" t="s">
        <v>14</v>
      </c>
      <c r="C416" s="49" t="s">
        <v>1163</v>
      </c>
      <c r="D416" s="49" t="s">
        <v>2441</v>
      </c>
      <c r="E416" s="49" t="s">
        <v>2214</v>
      </c>
      <c r="F416" s="49" t="s">
        <v>594</v>
      </c>
      <c r="G416" s="49" t="n">
        <v>4</v>
      </c>
      <c r="H416" s="0" t="n">
        <v>0</v>
      </c>
      <c r="I416" s="51" t="s">
        <v>2461</v>
      </c>
      <c r="J416" s="49" t="s">
        <v>2217</v>
      </c>
      <c r="K416" s="52" t="n">
        <v>47867</v>
      </c>
      <c r="M416" s="51" t="s">
        <v>1161</v>
      </c>
      <c r="N416" s="0" t="n">
        <v>4</v>
      </c>
      <c r="O416" s="53" t="n">
        <v>46063.3905671296</v>
      </c>
      <c r="P416" s="53" t="n">
        <v>46063.464375</v>
      </c>
      <c r="Q416" s="53" t="n">
        <v>46063.3905671296</v>
      </c>
      <c r="R416" s="0" t="n">
        <v>0</v>
      </c>
      <c r="S416" s="51" t="s">
        <v>2398</v>
      </c>
      <c r="T416" s="51" t="s">
        <v>2398</v>
      </c>
      <c r="U416" s="51" t="s">
        <v>2214</v>
      </c>
      <c r="V416" s="51" t="s">
        <v>2142</v>
      </c>
      <c r="W416" s="51"/>
      <c r="X416" s="51"/>
    </row>
    <row r="417" customFormat="false" ht="14.25" hidden="false" customHeight="false" outlineLevel="0" collapsed="false">
      <c r="A417" s="49" t="s">
        <v>2137</v>
      </c>
      <c r="B417" s="49" t="s">
        <v>14</v>
      </c>
      <c r="C417" s="49" t="s">
        <v>1154</v>
      </c>
      <c r="D417" s="49" t="s">
        <v>2441</v>
      </c>
      <c r="E417" s="49" t="s">
        <v>2214</v>
      </c>
      <c r="F417" s="49" t="s">
        <v>594</v>
      </c>
      <c r="G417" s="49" t="n">
        <v>4</v>
      </c>
      <c r="H417" s="0" t="n">
        <v>0</v>
      </c>
      <c r="I417" s="51" t="s">
        <v>2471</v>
      </c>
      <c r="J417" s="49" t="s">
        <v>2217</v>
      </c>
      <c r="K417" s="52" t="n">
        <v>47867</v>
      </c>
      <c r="M417" s="51" t="s">
        <v>2733</v>
      </c>
      <c r="N417" s="0" t="n">
        <v>4</v>
      </c>
      <c r="O417" s="53" t="n">
        <v>46062.4603356481</v>
      </c>
      <c r="P417" s="53" t="n">
        <v>46063.4646990741</v>
      </c>
      <c r="Q417" s="53" t="n">
        <v>46062.4603356481</v>
      </c>
      <c r="R417" s="0" t="n">
        <v>0</v>
      </c>
      <c r="S417" s="51" t="s">
        <v>2398</v>
      </c>
      <c r="T417" s="51" t="s">
        <v>2398</v>
      </c>
      <c r="U417" s="51" t="s">
        <v>2214</v>
      </c>
      <c r="V417" s="51" t="s">
        <v>2142</v>
      </c>
      <c r="W417" s="51"/>
      <c r="X417" s="51"/>
    </row>
    <row r="418" customFormat="false" ht="14.25" hidden="false" customHeight="false" outlineLevel="0" collapsed="false">
      <c r="A418" s="49" t="s">
        <v>2137</v>
      </c>
      <c r="B418" s="49" t="s">
        <v>14</v>
      </c>
      <c r="C418" s="49" t="s">
        <v>1155</v>
      </c>
      <c r="D418" s="49" t="s">
        <v>2441</v>
      </c>
      <c r="E418" s="49" t="s">
        <v>2214</v>
      </c>
      <c r="F418" s="49" t="s">
        <v>594</v>
      </c>
      <c r="G418" s="49" t="n">
        <v>4</v>
      </c>
      <c r="H418" s="0" t="n">
        <v>0</v>
      </c>
      <c r="I418" s="51" t="s">
        <v>2966</v>
      </c>
      <c r="J418" s="49" t="s">
        <v>2217</v>
      </c>
      <c r="K418" s="52" t="n">
        <v>47867</v>
      </c>
      <c r="M418" s="51" t="s">
        <v>2733</v>
      </c>
      <c r="N418" s="0" t="n">
        <v>4</v>
      </c>
      <c r="O418" s="53" t="n">
        <v>46062.4575231482</v>
      </c>
      <c r="P418" s="53" t="n">
        <v>46063.4644791667</v>
      </c>
      <c r="Q418" s="53" t="n">
        <v>46062.4575231482</v>
      </c>
      <c r="R418" s="0" t="n">
        <v>0</v>
      </c>
      <c r="S418" s="51" t="s">
        <v>2398</v>
      </c>
      <c r="T418" s="51" t="s">
        <v>2398</v>
      </c>
      <c r="U418" s="51" t="s">
        <v>2214</v>
      </c>
      <c r="V418" s="51" t="s">
        <v>2142</v>
      </c>
      <c r="X418" s="51"/>
    </row>
    <row r="419" customFormat="false" ht="14.25" hidden="false" customHeight="false" outlineLevel="0" collapsed="false">
      <c r="A419" s="49" t="s">
        <v>2137</v>
      </c>
      <c r="B419" s="49" t="s">
        <v>14</v>
      </c>
      <c r="C419" s="49" t="s">
        <v>1156</v>
      </c>
      <c r="D419" s="49" t="s">
        <v>2441</v>
      </c>
      <c r="E419" s="49" t="s">
        <v>2214</v>
      </c>
      <c r="F419" s="49" t="s">
        <v>594</v>
      </c>
      <c r="G419" s="49" t="n">
        <v>4</v>
      </c>
      <c r="H419" s="0" t="n">
        <v>0</v>
      </c>
      <c r="I419" s="51" t="s">
        <v>2969</v>
      </c>
      <c r="J419" s="49" t="s">
        <v>2217</v>
      </c>
      <c r="K419" s="52" t="n">
        <v>47867</v>
      </c>
      <c r="M419" s="51" t="s">
        <v>2733</v>
      </c>
      <c r="N419" s="0" t="n">
        <v>4</v>
      </c>
      <c r="O419" s="53" t="n">
        <v>46062.4573726852</v>
      </c>
      <c r="P419" s="53" t="n">
        <v>46063.4646064815</v>
      </c>
      <c r="Q419" s="53" t="n">
        <v>46062.4573726852</v>
      </c>
      <c r="R419" s="0" t="n">
        <v>0</v>
      </c>
      <c r="S419" s="51" t="s">
        <v>2398</v>
      </c>
      <c r="T419" s="51" t="s">
        <v>2398</v>
      </c>
      <c r="U419" s="51" t="s">
        <v>2214</v>
      </c>
      <c r="V419" s="51" t="s">
        <v>2142</v>
      </c>
      <c r="W419" s="51"/>
      <c r="X419" s="51"/>
    </row>
    <row r="420" customFormat="false" ht="14.25" hidden="false" customHeight="false" outlineLevel="0" collapsed="false">
      <c r="A420" s="49" t="s">
        <v>2137</v>
      </c>
      <c r="B420" s="49" t="s">
        <v>14</v>
      </c>
      <c r="C420" s="49" t="s">
        <v>1157</v>
      </c>
      <c r="D420" s="49" t="s">
        <v>2441</v>
      </c>
      <c r="E420" s="49" t="s">
        <v>2214</v>
      </c>
      <c r="F420" s="49" t="s">
        <v>594</v>
      </c>
      <c r="G420" s="49" t="n">
        <v>4</v>
      </c>
      <c r="H420" s="0" t="n">
        <v>0</v>
      </c>
      <c r="I420" s="51" t="s">
        <v>2496</v>
      </c>
      <c r="J420" s="49" t="s">
        <v>2217</v>
      </c>
      <c r="K420" s="52" t="n">
        <v>47867</v>
      </c>
      <c r="M420" s="51" t="s">
        <v>2733</v>
      </c>
      <c r="N420" s="0" t="n">
        <v>4</v>
      </c>
      <c r="O420" s="53" t="n">
        <v>46062.4563541667</v>
      </c>
      <c r="P420" s="53" t="n">
        <v>46063.464837963</v>
      </c>
      <c r="Q420" s="53" t="n">
        <v>46062.4563541667</v>
      </c>
      <c r="R420" s="0" t="n">
        <v>0</v>
      </c>
      <c r="S420" s="51" t="s">
        <v>2398</v>
      </c>
      <c r="T420" s="51" t="s">
        <v>2398</v>
      </c>
      <c r="U420" s="51" t="s">
        <v>2214</v>
      </c>
      <c r="V420" s="51" t="s">
        <v>2142</v>
      </c>
      <c r="W420" s="51"/>
      <c r="X420" s="51"/>
    </row>
    <row r="421" customFormat="false" ht="14.25" hidden="false" customHeight="false" outlineLevel="0" collapsed="false">
      <c r="A421" s="49" t="s">
        <v>2137</v>
      </c>
      <c r="B421" s="49" t="s">
        <v>14</v>
      </c>
      <c r="C421" s="49" t="s">
        <v>1160</v>
      </c>
      <c r="D421" s="49" t="s">
        <v>2441</v>
      </c>
      <c r="E421" s="49" t="s">
        <v>2214</v>
      </c>
      <c r="F421" s="49" t="s">
        <v>594</v>
      </c>
      <c r="G421" s="49" t="n">
        <v>1</v>
      </c>
      <c r="H421" s="0" t="n">
        <v>0</v>
      </c>
      <c r="I421" s="51" t="s">
        <v>2215</v>
      </c>
      <c r="J421" s="49" t="s">
        <v>2217</v>
      </c>
      <c r="K421" s="52" t="n">
        <v>47867</v>
      </c>
      <c r="M421" s="51" t="s">
        <v>2733</v>
      </c>
      <c r="N421" s="0" t="n">
        <v>4</v>
      </c>
      <c r="O421" s="53" t="n">
        <v>46062.4558333333</v>
      </c>
      <c r="P421" s="53" t="n">
        <v>46063.593287037</v>
      </c>
      <c r="Q421" s="53" t="n">
        <v>46062.4558333333</v>
      </c>
      <c r="R421" s="0" t="n">
        <v>0</v>
      </c>
      <c r="S421" s="51" t="s">
        <v>2398</v>
      </c>
      <c r="T421" s="51" t="s">
        <v>2398</v>
      </c>
      <c r="U421" s="51" t="s">
        <v>2214</v>
      </c>
      <c r="V421" s="51" t="s">
        <v>2142</v>
      </c>
      <c r="W421" s="51"/>
      <c r="X421" s="51"/>
    </row>
    <row r="422" customFormat="false" ht="14.25" hidden="false" customHeight="false" outlineLevel="0" collapsed="false">
      <c r="A422" s="49" t="s">
        <v>2137</v>
      </c>
      <c r="B422" s="49" t="s">
        <v>14</v>
      </c>
      <c r="C422" s="49" t="s">
        <v>615</v>
      </c>
      <c r="D422" s="49" t="s">
        <v>2441</v>
      </c>
      <c r="E422" s="49" t="s">
        <v>2214</v>
      </c>
      <c r="F422" s="49" t="s">
        <v>594</v>
      </c>
      <c r="G422" s="49" t="n">
        <v>4</v>
      </c>
      <c r="H422" s="0" t="n">
        <v>0</v>
      </c>
      <c r="I422" s="51" t="s">
        <v>2626</v>
      </c>
      <c r="J422" s="49" t="s">
        <v>2217</v>
      </c>
      <c r="K422" s="52" t="n">
        <v>47867</v>
      </c>
      <c r="M422" s="51" t="s">
        <v>3009</v>
      </c>
      <c r="N422" s="0" t="n">
        <v>4</v>
      </c>
      <c r="O422" s="53" t="n">
        <v>46056.4734027778</v>
      </c>
      <c r="P422" s="53" t="n">
        <v>46056.7024074074</v>
      </c>
      <c r="Q422" s="53" t="n">
        <v>46056.4733912037</v>
      </c>
      <c r="R422" s="0" t="n">
        <v>0</v>
      </c>
      <c r="S422" s="51" t="s">
        <v>2380</v>
      </c>
      <c r="T422" s="51" t="s">
        <v>2380</v>
      </c>
      <c r="U422" s="51" t="s">
        <v>2214</v>
      </c>
      <c r="V422" s="51" t="s">
        <v>2142</v>
      </c>
      <c r="X422" s="51"/>
    </row>
    <row r="423" customFormat="false" ht="14.25" hidden="false" customHeight="false" outlineLevel="0" collapsed="false">
      <c r="A423" s="49" t="s">
        <v>2137</v>
      </c>
      <c r="B423" s="49" t="s">
        <v>14</v>
      </c>
      <c r="C423" s="49" t="s">
        <v>616</v>
      </c>
      <c r="D423" s="49" t="s">
        <v>2441</v>
      </c>
      <c r="E423" s="49" t="s">
        <v>2214</v>
      </c>
      <c r="F423" s="49" t="s">
        <v>594</v>
      </c>
      <c r="G423" s="49" t="n">
        <v>4</v>
      </c>
      <c r="H423" s="0" t="n">
        <v>0</v>
      </c>
      <c r="I423" s="51" t="s">
        <v>2653</v>
      </c>
      <c r="J423" s="49" t="s">
        <v>2217</v>
      </c>
      <c r="K423" s="52" t="n">
        <v>47867</v>
      </c>
      <c r="M423" s="51" t="s">
        <v>3009</v>
      </c>
      <c r="N423" s="0" t="n">
        <v>4</v>
      </c>
      <c r="O423" s="53" t="n">
        <v>46056.4732291667</v>
      </c>
      <c r="P423" s="53" t="n">
        <v>46056.702349537</v>
      </c>
      <c r="Q423" s="53" t="n">
        <v>46056.4732291667</v>
      </c>
      <c r="R423" s="0" t="n">
        <v>0</v>
      </c>
      <c r="S423" s="51" t="s">
        <v>2380</v>
      </c>
      <c r="T423" s="51" t="s">
        <v>2380</v>
      </c>
      <c r="U423" s="51" t="s">
        <v>2214</v>
      </c>
      <c r="V423" s="51" t="s">
        <v>2142</v>
      </c>
      <c r="X423" s="51"/>
    </row>
    <row r="424" customFormat="false" ht="14.25" hidden="false" customHeight="false" outlineLevel="0" collapsed="false">
      <c r="A424" s="49" t="s">
        <v>2137</v>
      </c>
      <c r="B424" s="49" t="s">
        <v>14</v>
      </c>
      <c r="C424" s="49" t="s">
        <v>617</v>
      </c>
      <c r="D424" s="49" t="s">
        <v>2441</v>
      </c>
      <c r="E424" s="49" t="s">
        <v>2214</v>
      </c>
      <c r="F424" s="49" t="s">
        <v>594</v>
      </c>
      <c r="G424" s="49" t="n">
        <v>3</v>
      </c>
      <c r="H424" s="0" t="n">
        <v>0</v>
      </c>
      <c r="I424" s="51" t="s">
        <v>2220</v>
      </c>
      <c r="J424" s="49" t="s">
        <v>2217</v>
      </c>
      <c r="K424" s="52" t="n">
        <v>47867</v>
      </c>
      <c r="M424" s="51" t="s">
        <v>3009</v>
      </c>
      <c r="N424" s="0" t="n">
        <v>4</v>
      </c>
      <c r="O424" s="53" t="n">
        <v>46056.4728009259</v>
      </c>
      <c r="P424" s="53" t="n">
        <v>46063.4445717593</v>
      </c>
      <c r="Q424" s="53" t="n">
        <v>46056.4728009259</v>
      </c>
      <c r="R424" s="0" t="n">
        <v>0</v>
      </c>
      <c r="S424" s="51" t="s">
        <v>2380</v>
      </c>
      <c r="T424" s="51" t="s">
        <v>2380</v>
      </c>
      <c r="U424" s="51" t="s">
        <v>2214</v>
      </c>
      <c r="V424" s="51" t="s">
        <v>2142</v>
      </c>
      <c r="X424" s="51"/>
    </row>
    <row r="425" customFormat="false" ht="14.25" hidden="false" customHeight="false" outlineLevel="0" collapsed="false">
      <c r="A425" s="49" t="s">
        <v>2137</v>
      </c>
      <c r="B425" s="49" t="s">
        <v>14</v>
      </c>
      <c r="C425" s="49" t="s">
        <v>609</v>
      </c>
      <c r="D425" s="49" t="s">
        <v>2441</v>
      </c>
      <c r="E425" s="49" t="s">
        <v>2214</v>
      </c>
      <c r="F425" s="49" t="s">
        <v>594</v>
      </c>
      <c r="G425" s="49" t="n">
        <v>4</v>
      </c>
      <c r="H425" s="0" t="n">
        <v>0</v>
      </c>
      <c r="I425" s="51" t="s">
        <v>2663</v>
      </c>
      <c r="J425" s="49" t="s">
        <v>2217</v>
      </c>
      <c r="K425" s="52" t="n">
        <v>47867</v>
      </c>
      <c r="M425" s="51" t="s">
        <v>3009</v>
      </c>
      <c r="N425" s="0" t="n">
        <v>4</v>
      </c>
      <c r="O425" s="53" t="n">
        <v>46056.4742361111</v>
      </c>
      <c r="P425" s="53" t="n">
        <v>46056.7023032407</v>
      </c>
      <c r="Q425" s="53" t="n">
        <v>46056.4742361111</v>
      </c>
      <c r="R425" s="0" t="n">
        <v>0</v>
      </c>
      <c r="S425" s="51" t="s">
        <v>2380</v>
      </c>
      <c r="T425" s="51" t="s">
        <v>2380</v>
      </c>
      <c r="U425" s="51" t="s">
        <v>2214</v>
      </c>
      <c r="V425" s="51" t="s">
        <v>2142</v>
      </c>
      <c r="X425" s="51"/>
    </row>
    <row r="426" customFormat="false" ht="14.25" hidden="false" customHeight="false" outlineLevel="0" collapsed="false">
      <c r="A426" s="49" t="s">
        <v>2137</v>
      </c>
      <c r="B426" s="49" t="s">
        <v>14</v>
      </c>
      <c r="C426" s="49" t="s">
        <v>610</v>
      </c>
      <c r="D426" s="49" t="s">
        <v>2441</v>
      </c>
      <c r="E426" s="49" t="s">
        <v>2214</v>
      </c>
      <c r="F426" s="49" t="s">
        <v>594</v>
      </c>
      <c r="G426" s="49" t="n">
        <v>4</v>
      </c>
      <c r="H426" s="0" t="n">
        <v>0</v>
      </c>
      <c r="I426" s="51" t="s">
        <v>2720</v>
      </c>
      <c r="J426" s="49" t="s">
        <v>2217</v>
      </c>
      <c r="K426" s="52" t="n">
        <v>47867</v>
      </c>
      <c r="M426" s="51" t="s">
        <v>3009</v>
      </c>
      <c r="N426" s="0" t="n">
        <v>4</v>
      </c>
      <c r="O426" s="53" t="n">
        <v>46056.4741203704</v>
      </c>
      <c r="P426" s="53" t="n">
        <v>46056.7021296296</v>
      </c>
      <c r="Q426" s="53" t="n">
        <v>46056.4741203704</v>
      </c>
      <c r="R426" s="0" t="n">
        <v>0</v>
      </c>
      <c r="S426" s="51" t="s">
        <v>2380</v>
      </c>
      <c r="T426" s="51" t="s">
        <v>2380</v>
      </c>
      <c r="U426" s="51" t="s">
        <v>2214</v>
      </c>
      <c r="V426" s="51" t="s">
        <v>2142</v>
      </c>
      <c r="X426" s="51"/>
    </row>
    <row r="427" customFormat="false" ht="14.25" hidden="false" customHeight="false" outlineLevel="0" collapsed="false">
      <c r="A427" s="49" t="s">
        <v>2137</v>
      </c>
      <c r="B427" s="49" t="s">
        <v>14</v>
      </c>
      <c r="C427" s="49" t="s">
        <v>611</v>
      </c>
      <c r="D427" s="49" t="s">
        <v>2441</v>
      </c>
      <c r="E427" s="49" t="s">
        <v>2214</v>
      </c>
      <c r="F427" s="49" t="s">
        <v>594</v>
      </c>
      <c r="G427" s="49" t="n">
        <v>4</v>
      </c>
      <c r="H427" s="0" t="n">
        <v>0</v>
      </c>
      <c r="I427" s="51" t="s">
        <v>2688</v>
      </c>
      <c r="J427" s="49" t="s">
        <v>2217</v>
      </c>
      <c r="K427" s="52" t="n">
        <v>47867</v>
      </c>
      <c r="M427" s="51" t="s">
        <v>3009</v>
      </c>
      <c r="N427" s="0" t="n">
        <v>4</v>
      </c>
      <c r="O427" s="53" t="n">
        <v>46056.4739699074</v>
      </c>
      <c r="P427" s="53" t="n">
        <v>46056.7021875</v>
      </c>
      <c r="Q427" s="53" t="n">
        <v>46056.4739699074</v>
      </c>
      <c r="R427" s="0" t="n">
        <v>0</v>
      </c>
      <c r="S427" s="51" t="s">
        <v>2380</v>
      </c>
      <c r="T427" s="51" t="s">
        <v>2380</v>
      </c>
      <c r="U427" s="51" t="s">
        <v>2214</v>
      </c>
      <c r="V427" s="51" t="s">
        <v>2142</v>
      </c>
      <c r="W427" s="51"/>
      <c r="X427" s="51"/>
    </row>
    <row r="428" customFormat="false" ht="14.25" hidden="false" customHeight="false" outlineLevel="0" collapsed="false">
      <c r="A428" s="49" t="s">
        <v>2137</v>
      </c>
      <c r="B428" s="49" t="s">
        <v>14</v>
      </c>
      <c r="C428" s="49" t="s">
        <v>612</v>
      </c>
      <c r="D428" s="49" t="s">
        <v>2441</v>
      </c>
      <c r="E428" s="49" t="s">
        <v>2214</v>
      </c>
      <c r="F428" s="49" t="s">
        <v>594</v>
      </c>
      <c r="G428" s="49" t="n">
        <v>4</v>
      </c>
      <c r="H428" s="0" t="n">
        <v>0</v>
      </c>
      <c r="I428" s="51" t="s">
        <v>2870</v>
      </c>
      <c r="J428" s="49" t="s">
        <v>2217</v>
      </c>
      <c r="K428" s="52" t="n">
        <v>47867</v>
      </c>
      <c r="M428" s="51" t="s">
        <v>3009</v>
      </c>
      <c r="N428" s="0" t="n">
        <v>4</v>
      </c>
      <c r="O428" s="53" t="n">
        <v>46056.4738310185</v>
      </c>
      <c r="P428" s="53" t="n">
        <v>46056.702037037</v>
      </c>
      <c r="Q428" s="53" t="n">
        <v>46056.4738310185</v>
      </c>
      <c r="R428" s="0" t="n">
        <v>0</v>
      </c>
      <c r="S428" s="51" t="s">
        <v>2380</v>
      </c>
      <c r="T428" s="51" t="s">
        <v>2380</v>
      </c>
      <c r="U428" s="51" t="s">
        <v>2214</v>
      </c>
      <c r="V428" s="51" t="s">
        <v>2142</v>
      </c>
      <c r="W428" s="51"/>
      <c r="X428" s="51"/>
    </row>
    <row r="429" customFormat="false" ht="14.25" hidden="true" customHeight="false" outlineLevel="0" collapsed="false">
      <c r="A429" s="49" t="s">
        <v>2137</v>
      </c>
      <c r="B429" s="49" t="s">
        <v>14</v>
      </c>
      <c r="C429" s="49" t="s">
        <v>613</v>
      </c>
      <c r="D429" s="49" t="s">
        <v>2441</v>
      </c>
      <c r="E429" s="49" t="s">
        <v>2214</v>
      </c>
      <c r="F429" s="49" t="s">
        <v>594</v>
      </c>
      <c r="G429" s="49" t="n">
        <v>4</v>
      </c>
      <c r="H429" s="0" t="n">
        <v>0</v>
      </c>
      <c r="I429" s="51" t="s">
        <v>2661</v>
      </c>
      <c r="J429" s="49" t="s">
        <v>2217</v>
      </c>
      <c r="K429" s="52" t="n">
        <v>47867</v>
      </c>
      <c r="M429" s="51" t="s">
        <v>3009</v>
      </c>
      <c r="N429" s="49" t="n">
        <v>4</v>
      </c>
      <c r="O429" s="53" t="n">
        <v>46056.4736921296</v>
      </c>
      <c r="P429" s="53" t="n">
        <v>46056.7020833333</v>
      </c>
      <c r="Q429" s="0" t="n">
        <v>46056.4736921296</v>
      </c>
      <c r="R429" s="0" t="n">
        <v>0</v>
      </c>
      <c r="S429" s="51" t="s">
        <v>2380</v>
      </c>
      <c r="T429" s="51" t="s">
        <v>2380</v>
      </c>
      <c r="U429" s="51" t="s">
        <v>2214</v>
      </c>
      <c r="V429" s="51" t="s">
        <v>2142</v>
      </c>
    </row>
    <row r="430" customFormat="false" ht="14.25" hidden="false" customHeight="false" outlineLevel="0" collapsed="false">
      <c r="A430" s="49" t="s">
        <v>2137</v>
      </c>
      <c r="B430" s="49" t="s">
        <v>14</v>
      </c>
      <c r="C430" s="49" t="s">
        <v>482</v>
      </c>
      <c r="D430" s="49" t="s">
        <v>2441</v>
      </c>
      <c r="E430" s="49" t="s">
        <v>2140</v>
      </c>
      <c r="F430" s="49" t="s">
        <v>80</v>
      </c>
      <c r="G430" s="49" t="n">
        <v>4</v>
      </c>
      <c r="H430" s="0" t="n">
        <v>0</v>
      </c>
      <c r="I430" s="51" t="s">
        <v>3010</v>
      </c>
      <c r="J430" s="49" t="s">
        <v>2257</v>
      </c>
      <c r="K430" s="52" t="n">
        <v>47868</v>
      </c>
      <c r="M430" s="51" t="s">
        <v>2487</v>
      </c>
      <c r="N430" s="0" t="n">
        <v>4</v>
      </c>
      <c r="O430" s="53" t="n">
        <v>46054.4486921296</v>
      </c>
      <c r="P430" s="53" t="n">
        <v>46054.653900463</v>
      </c>
      <c r="Q430" s="53" t="n">
        <v>46054.4486921296</v>
      </c>
      <c r="R430" s="0" t="n">
        <v>0</v>
      </c>
      <c r="S430" s="51" t="s">
        <v>2380</v>
      </c>
      <c r="T430" s="51" t="s">
        <v>2380</v>
      </c>
      <c r="U430" s="51" t="s">
        <v>2140</v>
      </c>
      <c r="V430" s="51" t="s">
        <v>2142</v>
      </c>
      <c r="X430" s="51"/>
    </row>
    <row r="431" customFormat="false" ht="14.25" hidden="false" customHeight="false" outlineLevel="0" collapsed="false">
      <c r="A431" s="49" t="s">
        <v>2137</v>
      </c>
      <c r="B431" s="49" t="s">
        <v>14</v>
      </c>
      <c r="C431" s="49" t="s">
        <v>830</v>
      </c>
      <c r="D431" s="49" t="s">
        <v>2441</v>
      </c>
      <c r="E431" s="49" t="s">
        <v>2278</v>
      </c>
      <c r="F431" s="49" t="s">
        <v>831</v>
      </c>
      <c r="G431" s="49" t="n">
        <v>24</v>
      </c>
      <c r="H431" s="0" t="n">
        <v>0</v>
      </c>
      <c r="I431" s="51" t="s">
        <v>3011</v>
      </c>
      <c r="J431" s="49" t="s">
        <v>2280</v>
      </c>
      <c r="K431" s="52" t="n">
        <v>47868</v>
      </c>
      <c r="M431" s="51" t="s">
        <v>2556</v>
      </c>
      <c r="N431" s="0" t="n">
        <v>24</v>
      </c>
      <c r="O431" s="53" t="n">
        <v>46058.4472569445</v>
      </c>
      <c r="P431" s="53" t="n">
        <v>46060.5185416667</v>
      </c>
      <c r="Q431" s="53" t="n">
        <v>46058.4472569445</v>
      </c>
      <c r="R431" s="0" t="n">
        <v>0</v>
      </c>
      <c r="S431" s="51" t="s">
        <v>2398</v>
      </c>
      <c r="T431" s="51" t="s">
        <v>2398</v>
      </c>
      <c r="U431" s="51" t="s">
        <v>2278</v>
      </c>
      <c r="V431" s="51" t="s">
        <v>2205</v>
      </c>
      <c r="W431" s="51" t="s">
        <v>2995</v>
      </c>
      <c r="X431" s="51"/>
    </row>
    <row r="432" customFormat="false" ht="14.25" hidden="false" customHeight="false" outlineLevel="0" collapsed="false">
      <c r="A432" s="49" t="s">
        <v>2137</v>
      </c>
      <c r="B432" s="49" t="s">
        <v>14</v>
      </c>
      <c r="C432" s="49" t="s">
        <v>843</v>
      </c>
      <c r="D432" s="49" t="s">
        <v>2441</v>
      </c>
      <c r="E432" s="49" t="s">
        <v>2278</v>
      </c>
      <c r="F432" s="49" t="s">
        <v>831</v>
      </c>
      <c r="G432" s="49" t="n">
        <v>24</v>
      </c>
      <c r="H432" s="0" t="n">
        <v>0</v>
      </c>
      <c r="I432" s="51" t="s">
        <v>3012</v>
      </c>
      <c r="J432" s="49" t="s">
        <v>2280</v>
      </c>
      <c r="K432" s="52" t="n">
        <v>47868</v>
      </c>
      <c r="M432" s="51" t="s">
        <v>2556</v>
      </c>
      <c r="N432" s="0" t="n">
        <v>24</v>
      </c>
      <c r="O432" s="53" t="n">
        <v>46058.4482407407</v>
      </c>
      <c r="P432" s="53" t="n">
        <v>46060.5153009259</v>
      </c>
      <c r="Q432" s="53" t="n">
        <v>46058.4482407407</v>
      </c>
      <c r="R432" s="0" t="n">
        <v>0</v>
      </c>
      <c r="S432" s="51" t="s">
        <v>2398</v>
      </c>
      <c r="T432" s="51" t="s">
        <v>2398</v>
      </c>
      <c r="U432" s="51" t="s">
        <v>2278</v>
      </c>
      <c r="V432" s="51" t="s">
        <v>2205</v>
      </c>
      <c r="W432" s="51" t="s">
        <v>2994</v>
      </c>
      <c r="X432" s="51"/>
    </row>
    <row r="433" customFormat="false" ht="14.25" hidden="false" customHeight="false" outlineLevel="0" collapsed="false">
      <c r="A433" s="49" t="s">
        <v>2137</v>
      </c>
      <c r="B433" s="49" t="s">
        <v>14</v>
      </c>
      <c r="C433" s="49" t="s">
        <v>841</v>
      </c>
      <c r="D433" s="49" t="s">
        <v>2441</v>
      </c>
      <c r="E433" s="49" t="s">
        <v>2278</v>
      </c>
      <c r="F433" s="49" t="s">
        <v>831</v>
      </c>
      <c r="G433" s="49" t="n">
        <v>24</v>
      </c>
      <c r="H433" s="0" t="n">
        <v>0</v>
      </c>
      <c r="I433" s="51" t="s">
        <v>3013</v>
      </c>
      <c r="J433" s="49" t="s">
        <v>2280</v>
      </c>
      <c r="K433" s="52" t="n">
        <v>47868</v>
      </c>
      <c r="M433" s="51" t="s">
        <v>2556</v>
      </c>
      <c r="N433" s="0" t="n">
        <v>24</v>
      </c>
      <c r="O433" s="53" t="n">
        <v>46058.4487152778</v>
      </c>
      <c r="P433" s="53" t="n">
        <v>46063.5508101852</v>
      </c>
      <c r="Q433" s="53" t="n">
        <v>46058.4487152778</v>
      </c>
      <c r="R433" s="0" t="n">
        <v>0</v>
      </c>
      <c r="S433" s="51" t="s">
        <v>2398</v>
      </c>
      <c r="T433" s="51" t="s">
        <v>2398</v>
      </c>
      <c r="U433" s="51" t="s">
        <v>2278</v>
      </c>
      <c r="V433" s="51" t="s">
        <v>2205</v>
      </c>
      <c r="W433" s="51" t="s">
        <v>3014</v>
      </c>
      <c r="X433" s="51"/>
    </row>
    <row r="434" customFormat="false" ht="14.25" hidden="false" customHeight="false" outlineLevel="0" collapsed="false">
      <c r="A434" s="49" t="s">
        <v>2137</v>
      </c>
      <c r="B434" s="49" t="s">
        <v>14</v>
      </c>
      <c r="C434" s="49" t="s">
        <v>839</v>
      </c>
      <c r="D434" s="49" t="s">
        <v>2441</v>
      </c>
      <c r="E434" s="49" t="s">
        <v>2278</v>
      </c>
      <c r="F434" s="49" t="s">
        <v>831</v>
      </c>
      <c r="G434" s="49" t="n">
        <v>24</v>
      </c>
      <c r="H434" s="0" t="n">
        <v>0</v>
      </c>
      <c r="I434" s="51" t="s">
        <v>3015</v>
      </c>
      <c r="J434" s="49" t="s">
        <v>2280</v>
      </c>
      <c r="K434" s="52" t="n">
        <v>47868</v>
      </c>
      <c r="M434" s="51" t="s">
        <v>2556</v>
      </c>
      <c r="N434" s="0" t="n">
        <v>24</v>
      </c>
      <c r="O434" s="53" t="n">
        <v>46058.4491203704</v>
      </c>
      <c r="P434" s="53" t="n">
        <v>46063.5540162037</v>
      </c>
      <c r="Q434" s="53" t="n">
        <v>46058.4491203704</v>
      </c>
      <c r="R434" s="0" t="n">
        <v>0</v>
      </c>
      <c r="S434" s="51" t="s">
        <v>2398</v>
      </c>
      <c r="T434" s="51" t="s">
        <v>2398</v>
      </c>
      <c r="U434" s="51" t="s">
        <v>2278</v>
      </c>
      <c r="V434" s="51" t="s">
        <v>2205</v>
      </c>
      <c r="W434" s="51" t="s">
        <v>3016</v>
      </c>
      <c r="X434" s="51"/>
    </row>
    <row r="435" customFormat="false" ht="14.25" hidden="true" customHeight="false" outlineLevel="0" collapsed="false">
      <c r="A435" s="49" t="s">
        <v>2137</v>
      </c>
      <c r="B435" s="49" t="s">
        <v>14</v>
      </c>
      <c r="C435" s="49" t="s">
        <v>838</v>
      </c>
      <c r="D435" s="49" t="s">
        <v>2441</v>
      </c>
      <c r="E435" s="49" t="s">
        <v>2278</v>
      </c>
      <c r="F435" s="49" t="s">
        <v>831</v>
      </c>
      <c r="G435" s="49" t="n">
        <v>24</v>
      </c>
      <c r="H435" s="0" t="n">
        <v>0</v>
      </c>
      <c r="I435" s="51" t="s">
        <v>3017</v>
      </c>
      <c r="J435" s="49" t="s">
        <v>2280</v>
      </c>
      <c r="K435" s="52" t="n">
        <v>47868</v>
      </c>
      <c r="M435" s="51" t="s">
        <v>2556</v>
      </c>
      <c r="N435" s="49" t="n">
        <v>24</v>
      </c>
      <c r="O435" s="53" t="n">
        <v>46058.4508680556</v>
      </c>
      <c r="P435" s="53" t="n">
        <v>46060.3534027778</v>
      </c>
      <c r="Q435" s="53" t="n">
        <v>46058.4508680556</v>
      </c>
      <c r="R435" s="0" t="n">
        <v>0</v>
      </c>
      <c r="S435" s="51" t="s">
        <v>2398</v>
      </c>
      <c r="T435" s="51" t="s">
        <v>2398</v>
      </c>
      <c r="U435" s="51" t="s">
        <v>2278</v>
      </c>
      <c r="V435" s="51" t="s">
        <v>2205</v>
      </c>
      <c r="X435" s="51"/>
    </row>
    <row r="436" customFormat="false" ht="14.25" hidden="false" customHeight="false" outlineLevel="0" collapsed="false">
      <c r="A436" s="49" t="s">
        <v>2137</v>
      </c>
      <c r="B436" s="49" t="s">
        <v>14</v>
      </c>
      <c r="C436" s="49" t="s">
        <v>837</v>
      </c>
      <c r="D436" s="49" t="s">
        <v>2441</v>
      </c>
      <c r="E436" s="49" t="s">
        <v>2278</v>
      </c>
      <c r="F436" s="49" t="s">
        <v>831</v>
      </c>
      <c r="G436" s="49" t="n">
        <v>24</v>
      </c>
      <c r="H436" s="0" t="n">
        <v>0</v>
      </c>
      <c r="I436" s="51" t="s">
        <v>3018</v>
      </c>
      <c r="J436" s="49" t="s">
        <v>2280</v>
      </c>
      <c r="K436" s="52" t="n">
        <v>47868</v>
      </c>
      <c r="L436" s="54"/>
      <c r="M436" s="51" t="s">
        <v>2556</v>
      </c>
      <c r="N436" s="0" t="n">
        <v>24</v>
      </c>
      <c r="O436" s="53" t="n">
        <v>46058.4512615741</v>
      </c>
      <c r="P436" s="53" t="n">
        <v>46063.4934490741</v>
      </c>
      <c r="Q436" s="53" t="n">
        <v>46058.4512615741</v>
      </c>
      <c r="R436" s="0" t="n">
        <v>0</v>
      </c>
      <c r="S436" s="51" t="s">
        <v>2398</v>
      </c>
      <c r="T436" s="51" t="s">
        <v>2398</v>
      </c>
      <c r="U436" s="51" t="s">
        <v>2278</v>
      </c>
      <c r="V436" s="51" t="s">
        <v>2205</v>
      </c>
      <c r="W436" s="51" t="s">
        <v>3019</v>
      </c>
      <c r="X436" s="51"/>
    </row>
    <row r="437" customFormat="false" ht="14.25" hidden="false" customHeight="false" outlineLevel="0" collapsed="false">
      <c r="A437" s="49" t="s">
        <v>2137</v>
      </c>
      <c r="B437" s="49" t="s">
        <v>14</v>
      </c>
      <c r="C437" s="49" t="s">
        <v>836</v>
      </c>
      <c r="D437" s="49" t="s">
        <v>2441</v>
      </c>
      <c r="E437" s="49" t="s">
        <v>2278</v>
      </c>
      <c r="F437" s="49" t="s">
        <v>831</v>
      </c>
      <c r="G437" s="49" t="n">
        <v>24</v>
      </c>
      <c r="H437" s="0" t="n">
        <v>0</v>
      </c>
      <c r="I437" s="51" t="s">
        <v>3020</v>
      </c>
      <c r="J437" s="49" t="s">
        <v>2280</v>
      </c>
      <c r="K437" s="52" t="n">
        <v>47868</v>
      </c>
      <c r="L437" s="54"/>
      <c r="M437" s="51" t="s">
        <v>2556</v>
      </c>
      <c r="N437" s="0" t="n">
        <v>24</v>
      </c>
      <c r="O437" s="53" t="n">
        <v>46058.4514583333</v>
      </c>
      <c r="P437" s="53" t="n">
        <v>46060.5388657407</v>
      </c>
      <c r="Q437" s="53" t="n">
        <v>46058.4514583333</v>
      </c>
      <c r="R437" s="0" t="n">
        <v>0</v>
      </c>
      <c r="S437" s="51" t="s">
        <v>2398</v>
      </c>
      <c r="T437" s="51" t="s">
        <v>2398</v>
      </c>
      <c r="U437" s="51" t="s">
        <v>2278</v>
      </c>
      <c r="V437" s="51" t="s">
        <v>2205</v>
      </c>
      <c r="W437" s="51" t="s">
        <v>2526</v>
      </c>
      <c r="X437" s="51"/>
    </row>
    <row r="438" customFormat="false" ht="14.25" hidden="false" customHeight="false" outlineLevel="0" collapsed="false">
      <c r="A438" s="49" t="s">
        <v>2137</v>
      </c>
      <c r="B438" s="49" t="s">
        <v>14</v>
      </c>
      <c r="C438" s="49" t="s">
        <v>848</v>
      </c>
      <c r="D438" s="49" t="s">
        <v>2441</v>
      </c>
      <c r="E438" s="49" t="s">
        <v>2278</v>
      </c>
      <c r="F438" s="49" t="s">
        <v>831</v>
      </c>
      <c r="G438" s="49" t="n">
        <v>24</v>
      </c>
      <c r="H438" s="0" t="n">
        <v>0</v>
      </c>
      <c r="I438" s="51" t="s">
        <v>3021</v>
      </c>
      <c r="J438" s="49" t="s">
        <v>3022</v>
      </c>
      <c r="K438" s="52" t="n">
        <v>47868</v>
      </c>
      <c r="L438" s="54"/>
      <c r="M438" s="51" t="s">
        <v>2556</v>
      </c>
      <c r="N438" s="0" t="n">
        <v>24</v>
      </c>
      <c r="O438" s="53" t="n">
        <v>46058.4516782407</v>
      </c>
      <c r="P438" s="53" t="n">
        <v>46061.4652546296</v>
      </c>
      <c r="Q438" s="53" t="n">
        <v>46058.4516782407</v>
      </c>
      <c r="R438" s="0" t="n">
        <v>0</v>
      </c>
      <c r="S438" s="51" t="s">
        <v>2398</v>
      </c>
      <c r="T438" s="51" t="s">
        <v>2398</v>
      </c>
      <c r="U438" s="51" t="s">
        <v>2278</v>
      </c>
      <c r="V438" s="51" t="s">
        <v>2205</v>
      </c>
      <c r="W438" s="51" t="s">
        <v>3023</v>
      </c>
      <c r="X438" s="51"/>
    </row>
    <row r="439" customFormat="false" ht="14.25" hidden="false" customHeight="false" outlineLevel="0" collapsed="false">
      <c r="A439" s="49" t="s">
        <v>2137</v>
      </c>
      <c r="B439" s="49" t="s">
        <v>14</v>
      </c>
      <c r="C439" s="49" t="s">
        <v>835</v>
      </c>
      <c r="D439" s="49" t="s">
        <v>2441</v>
      </c>
      <c r="E439" s="49" t="s">
        <v>2278</v>
      </c>
      <c r="F439" s="49" t="s">
        <v>831</v>
      </c>
      <c r="G439" s="49" t="n">
        <v>24</v>
      </c>
      <c r="H439" s="0" t="n">
        <v>0</v>
      </c>
      <c r="I439" s="51" t="s">
        <v>3024</v>
      </c>
      <c r="J439" s="49" t="s">
        <v>3022</v>
      </c>
      <c r="K439" s="52" t="n">
        <v>47868</v>
      </c>
      <c r="L439" s="54"/>
      <c r="M439" s="51" t="s">
        <v>2556</v>
      </c>
      <c r="N439" s="0" t="n">
        <v>24</v>
      </c>
      <c r="O439" s="53" t="n">
        <v>46058.4540740741</v>
      </c>
      <c r="P439" s="53" t="n">
        <v>46060.349849537</v>
      </c>
      <c r="Q439" s="53" t="n">
        <v>46058.4540740741</v>
      </c>
      <c r="R439" s="0" t="n">
        <v>0</v>
      </c>
      <c r="S439" s="51" t="s">
        <v>2398</v>
      </c>
      <c r="T439" s="51" t="s">
        <v>2398</v>
      </c>
      <c r="U439" s="51" t="s">
        <v>2278</v>
      </c>
      <c r="V439" s="51" t="s">
        <v>2205</v>
      </c>
      <c r="X439" s="51"/>
    </row>
    <row r="440" customFormat="false" ht="14.25" hidden="false" customHeight="false" outlineLevel="0" collapsed="false">
      <c r="A440" s="49" t="s">
        <v>2137</v>
      </c>
      <c r="B440" s="49" t="s">
        <v>14</v>
      </c>
      <c r="C440" s="49" t="s">
        <v>834</v>
      </c>
      <c r="D440" s="49" t="s">
        <v>2441</v>
      </c>
      <c r="E440" s="49" t="s">
        <v>2278</v>
      </c>
      <c r="F440" s="49" t="s">
        <v>831</v>
      </c>
      <c r="G440" s="49" t="n">
        <v>24</v>
      </c>
      <c r="H440" s="0" t="n">
        <v>0</v>
      </c>
      <c r="I440" s="51" t="s">
        <v>3025</v>
      </c>
      <c r="J440" s="49" t="s">
        <v>3022</v>
      </c>
      <c r="K440" s="52" t="n">
        <v>47868</v>
      </c>
      <c r="M440" s="51" t="s">
        <v>2556</v>
      </c>
      <c r="N440" s="0" t="n">
        <v>24</v>
      </c>
      <c r="O440" s="53" t="n">
        <v>46058.4544560185</v>
      </c>
      <c r="P440" s="53" t="n">
        <v>46060.3524537037</v>
      </c>
      <c r="Q440" s="0" t="n">
        <v>46058.4544560185</v>
      </c>
      <c r="R440" s="0" t="n">
        <v>0</v>
      </c>
      <c r="S440" s="51" t="s">
        <v>2398</v>
      </c>
      <c r="T440" s="51" t="s">
        <v>2398</v>
      </c>
      <c r="U440" s="51" t="s">
        <v>2278</v>
      </c>
      <c r="V440" s="51" t="s">
        <v>2205</v>
      </c>
    </row>
    <row r="441" customFormat="false" ht="14.25" hidden="false" customHeight="false" outlineLevel="0" collapsed="false">
      <c r="A441" s="49" t="s">
        <v>2137</v>
      </c>
      <c r="B441" s="49" t="s">
        <v>14</v>
      </c>
      <c r="C441" s="49" t="s">
        <v>832</v>
      </c>
      <c r="D441" s="49" t="s">
        <v>2441</v>
      </c>
      <c r="E441" s="49" t="s">
        <v>2278</v>
      </c>
      <c r="F441" s="49" t="s">
        <v>831</v>
      </c>
      <c r="G441" s="49" t="n">
        <v>24</v>
      </c>
      <c r="H441" s="0" t="n">
        <v>0</v>
      </c>
      <c r="I441" s="51" t="s">
        <v>3026</v>
      </c>
      <c r="J441" s="49" t="s">
        <v>2280</v>
      </c>
      <c r="K441" s="52" t="n">
        <v>47868</v>
      </c>
      <c r="L441" s="54"/>
      <c r="M441" s="51" t="s">
        <v>2556</v>
      </c>
      <c r="N441" s="0" t="n">
        <v>24</v>
      </c>
      <c r="O441" s="53" t="n">
        <v>46058.4545717593</v>
      </c>
      <c r="P441" s="53" t="n">
        <v>46060.3564467593</v>
      </c>
      <c r="Q441" s="53" t="n">
        <v>46058.4545717593</v>
      </c>
      <c r="R441" s="0" t="n">
        <v>0</v>
      </c>
      <c r="S441" s="51" t="s">
        <v>2398</v>
      </c>
      <c r="T441" s="51" t="s">
        <v>2398</v>
      </c>
      <c r="U441" s="51" t="s">
        <v>2278</v>
      </c>
      <c r="V441" s="51" t="s">
        <v>2205</v>
      </c>
      <c r="X441" s="51"/>
    </row>
    <row r="442" customFormat="false" ht="14.25" hidden="false" customHeight="false" outlineLevel="0" collapsed="false">
      <c r="A442" s="49" t="s">
        <v>2137</v>
      </c>
      <c r="B442" s="49" t="s">
        <v>14</v>
      </c>
      <c r="C442" s="49" t="s">
        <v>620</v>
      </c>
      <c r="D442" s="49" t="s">
        <v>2441</v>
      </c>
      <c r="E442" s="49" t="s">
        <v>2140</v>
      </c>
      <c r="F442" s="49" t="s">
        <v>80</v>
      </c>
      <c r="G442" s="49" t="n">
        <v>4</v>
      </c>
      <c r="H442" s="0" t="n">
        <v>0</v>
      </c>
      <c r="I442" s="51" t="s">
        <v>3027</v>
      </c>
      <c r="J442" s="49" t="s">
        <v>2257</v>
      </c>
      <c r="K442" s="52" t="n">
        <v>47868</v>
      </c>
      <c r="L442" s="54"/>
      <c r="M442" s="51" t="s">
        <v>3009</v>
      </c>
      <c r="N442" s="0" t="n">
        <v>4</v>
      </c>
      <c r="O442" s="53" t="n">
        <v>46056.4669212963</v>
      </c>
      <c r="P442" s="53" t="n">
        <v>46056.7032291667</v>
      </c>
      <c r="Q442" s="53" t="n">
        <v>46056.4669212963</v>
      </c>
      <c r="R442" s="0" t="n">
        <v>0</v>
      </c>
      <c r="S442" s="51" t="s">
        <v>2380</v>
      </c>
      <c r="T442" s="51" t="s">
        <v>2380</v>
      </c>
      <c r="U442" s="51" t="s">
        <v>2140</v>
      </c>
      <c r="V442" s="51" t="s">
        <v>2142</v>
      </c>
      <c r="X442" s="51"/>
    </row>
    <row r="443" customFormat="false" ht="14.25" hidden="false" customHeight="false" outlineLevel="0" collapsed="false">
      <c r="A443" s="49" t="s">
        <v>2137</v>
      </c>
      <c r="B443" s="49" t="s">
        <v>14</v>
      </c>
      <c r="C443" s="49" t="s">
        <v>592</v>
      </c>
      <c r="D443" s="49" t="s">
        <v>2441</v>
      </c>
      <c r="E443" s="49" t="s">
        <v>2140</v>
      </c>
      <c r="F443" s="49" t="s">
        <v>80</v>
      </c>
      <c r="G443" s="49" t="n">
        <v>4</v>
      </c>
      <c r="H443" s="0" t="n">
        <v>0</v>
      </c>
      <c r="I443" s="51" t="s">
        <v>3028</v>
      </c>
      <c r="J443" s="49" t="s">
        <v>2257</v>
      </c>
      <c r="K443" s="52" t="n">
        <v>47868</v>
      </c>
      <c r="L443" s="54"/>
      <c r="M443" s="51" t="s">
        <v>3009</v>
      </c>
      <c r="N443" s="0" t="n">
        <v>4</v>
      </c>
      <c r="O443" s="53" t="n">
        <v>46056.4675462963</v>
      </c>
      <c r="P443" s="53" t="n">
        <v>46056.7029050926</v>
      </c>
      <c r="Q443" s="53" t="n">
        <v>46056.4675462963</v>
      </c>
      <c r="R443" s="0" t="n">
        <v>0</v>
      </c>
      <c r="S443" s="51" t="s">
        <v>2380</v>
      </c>
      <c r="T443" s="51" t="s">
        <v>2380</v>
      </c>
      <c r="U443" s="51" t="s">
        <v>2140</v>
      </c>
      <c r="V443" s="51" t="s">
        <v>2142</v>
      </c>
      <c r="X443" s="51"/>
    </row>
    <row r="444" customFormat="false" ht="14.25" hidden="false" customHeight="false" outlineLevel="0" collapsed="false">
      <c r="A444" s="49" t="s">
        <v>2137</v>
      </c>
      <c r="B444" s="49" t="s">
        <v>14</v>
      </c>
      <c r="C444" s="49" t="s">
        <v>622</v>
      </c>
      <c r="D444" s="49" t="s">
        <v>2441</v>
      </c>
      <c r="E444" s="49" t="s">
        <v>2140</v>
      </c>
      <c r="F444" s="49" t="s">
        <v>80</v>
      </c>
      <c r="G444" s="49" t="n">
        <v>4</v>
      </c>
      <c r="H444" s="0" t="n">
        <v>0</v>
      </c>
      <c r="I444" s="51" t="s">
        <v>3029</v>
      </c>
      <c r="J444" s="49" t="s">
        <v>2257</v>
      </c>
      <c r="K444" s="52" t="n">
        <v>47868</v>
      </c>
      <c r="L444" s="54"/>
      <c r="M444" s="51" t="s">
        <v>3009</v>
      </c>
      <c r="N444" s="0" t="n">
        <v>4</v>
      </c>
      <c r="O444" s="53" t="n">
        <v>46056.4677546296</v>
      </c>
      <c r="P444" s="53" t="n">
        <v>46056.7033796296</v>
      </c>
      <c r="Q444" s="53" t="n">
        <v>46056.4677546296</v>
      </c>
      <c r="R444" s="0" t="n">
        <v>0</v>
      </c>
      <c r="S444" s="51" t="s">
        <v>2380</v>
      </c>
      <c r="T444" s="51" t="s">
        <v>2380</v>
      </c>
      <c r="U444" s="51" t="s">
        <v>2140</v>
      </c>
      <c r="V444" s="51" t="s">
        <v>2142</v>
      </c>
      <c r="X444" s="51"/>
    </row>
    <row r="445" customFormat="false" ht="14.25" hidden="false" customHeight="false" outlineLevel="0" collapsed="false">
      <c r="A445" s="49" t="s">
        <v>2137</v>
      </c>
      <c r="B445" s="49" t="s">
        <v>14</v>
      </c>
      <c r="C445" s="49" t="s">
        <v>621</v>
      </c>
      <c r="D445" s="49" t="s">
        <v>2441</v>
      </c>
      <c r="E445" s="49" t="s">
        <v>2140</v>
      </c>
      <c r="F445" s="49" t="s">
        <v>80</v>
      </c>
      <c r="G445" s="49" t="n">
        <v>4</v>
      </c>
      <c r="H445" s="0" t="n">
        <v>0</v>
      </c>
      <c r="I445" s="51" t="s">
        <v>3030</v>
      </c>
      <c r="J445" s="49" t="s">
        <v>2257</v>
      </c>
      <c r="K445" s="52" t="n">
        <v>47868</v>
      </c>
      <c r="L445" s="54"/>
      <c r="M445" s="51" t="s">
        <v>3009</v>
      </c>
      <c r="N445" s="0" t="n">
        <v>4</v>
      </c>
      <c r="O445" s="53" t="n">
        <v>46056.4690277778</v>
      </c>
      <c r="P445" s="53" t="n">
        <v>46056.7028009259</v>
      </c>
      <c r="Q445" s="53" t="n">
        <v>46056.4690277778</v>
      </c>
      <c r="R445" s="0" t="n">
        <v>0</v>
      </c>
      <c r="S445" s="51" t="s">
        <v>2380</v>
      </c>
      <c r="T445" s="51" t="s">
        <v>2380</v>
      </c>
      <c r="U445" s="51" t="s">
        <v>2140</v>
      </c>
      <c r="V445" s="51" t="s">
        <v>2142</v>
      </c>
      <c r="X445" s="51"/>
    </row>
    <row r="446" customFormat="false" ht="14.25" hidden="false" customHeight="false" outlineLevel="0" collapsed="false">
      <c r="A446" s="49" t="s">
        <v>2137</v>
      </c>
      <c r="B446" s="49" t="s">
        <v>14</v>
      </c>
      <c r="C446" s="49" t="s">
        <v>619</v>
      </c>
      <c r="D446" s="49" t="s">
        <v>2441</v>
      </c>
      <c r="E446" s="49" t="s">
        <v>2140</v>
      </c>
      <c r="F446" s="49" t="s">
        <v>80</v>
      </c>
      <c r="G446" s="49" t="n">
        <v>4</v>
      </c>
      <c r="H446" s="0" t="n">
        <v>0</v>
      </c>
      <c r="I446" s="51" t="s">
        <v>3031</v>
      </c>
      <c r="J446" s="49" t="s">
        <v>2257</v>
      </c>
      <c r="K446" s="52" t="n">
        <v>47868</v>
      </c>
      <c r="L446" s="54"/>
      <c r="M446" s="51" t="s">
        <v>3009</v>
      </c>
      <c r="N446" s="0" t="n">
        <v>4</v>
      </c>
      <c r="O446" s="53" t="n">
        <v>46056.4693287037</v>
      </c>
      <c r="P446" s="53" t="n">
        <v>46056.7028472222</v>
      </c>
      <c r="Q446" s="53" t="n">
        <v>46056.4693287037</v>
      </c>
      <c r="R446" s="0" t="n">
        <v>0</v>
      </c>
      <c r="S446" s="51" t="s">
        <v>2380</v>
      </c>
      <c r="T446" s="51" t="s">
        <v>2380</v>
      </c>
      <c r="U446" s="51" t="s">
        <v>2140</v>
      </c>
      <c r="V446" s="51" t="s">
        <v>2142</v>
      </c>
      <c r="X446" s="51"/>
    </row>
    <row r="447" customFormat="false" ht="14.25" hidden="false" customHeight="false" outlineLevel="0" collapsed="false">
      <c r="A447" s="49" t="s">
        <v>2137</v>
      </c>
      <c r="B447" s="49" t="s">
        <v>14</v>
      </c>
      <c r="C447" s="49" t="s">
        <v>618</v>
      </c>
      <c r="D447" s="49" t="s">
        <v>2441</v>
      </c>
      <c r="E447" s="49" t="s">
        <v>2140</v>
      </c>
      <c r="F447" s="49" t="s">
        <v>80</v>
      </c>
      <c r="G447" s="49" t="n">
        <v>4</v>
      </c>
      <c r="H447" s="0" t="n">
        <v>0</v>
      </c>
      <c r="I447" s="51" t="s">
        <v>2666</v>
      </c>
      <c r="J447" s="49" t="s">
        <v>2257</v>
      </c>
      <c r="K447" s="52" t="n">
        <v>47868</v>
      </c>
      <c r="L447" s="54"/>
      <c r="M447" s="51" t="s">
        <v>3009</v>
      </c>
      <c r="N447" s="0" t="n">
        <v>4</v>
      </c>
      <c r="O447" s="53" t="n">
        <v>46056.4743634259</v>
      </c>
      <c r="P447" s="53" t="n">
        <v>46056.7022453704</v>
      </c>
      <c r="Q447" s="53" t="n">
        <v>46056.4743634259</v>
      </c>
      <c r="R447" s="0" t="n">
        <v>0</v>
      </c>
      <c r="S447" s="51" t="s">
        <v>2380</v>
      </c>
      <c r="T447" s="51" t="s">
        <v>2380</v>
      </c>
      <c r="U447" s="51" t="s">
        <v>2140</v>
      </c>
      <c r="V447" s="51" t="s">
        <v>2142</v>
      </c>
      <c r="X447" s="51"/>
    </row>
    <row r="448" customFormat="false" ht="14.25" hidden="false" customHeight="false" outlineLevel="0" collapsed="false">
      <c r="A448" s="49" t="s">
        <v>2137</v>
      </c>
      <c r="B448" s="49" t="s">
        <v>14</v>
      </c>
      <c r="C448" s="49" t="s">
        <v>608</v>
      </c>
      <c r="D448" s="49" t="s">
        <v>2441</v>
      </c>
      <c r="E448" s="49" t="s">
        <v>2140</v>
      </c>
      <c r="F448" s="49" t="s">
        <v>80</v>
      </c>
      <c r="G448" s="49" t="n">
        <v>4</v>
      </c>
      <c r="H448" s="0" t="n">
        <v>0</v>
      </c>
      <c r="I448" s="51" t="s">
        <v>2724</v>
      </c>
      <c r="J448" s="49" t="s">
        <v>2257</v>
      </c>
      <c r="K448" s="52" t="n">
        <v>47868</v>
      </c>
      <c r="L448" s="54"/>
      <c r="M448" s="51" t="s">
        <v>3009</v>
      </c>
      <c r="N448" s="0" t="n">
        <v>4</v>
      </c>
      <c r="O448" s="53" t="n">
        <v>46056.4745138889</v>
      </c>
      <c r="P448" s="53" t="n">
        <v>46056.7019328704</v>
      </c>
      <c r="Q448" s="53" t="n">
        <v>46056.4745138889</v>
      </c>
      <c r="R448" s="0" t="n">
        <v>0</v>
      </c>
      <c r="S448" s="51" t="s">
        <v>2380</v>
      </c>
      <c r="T448" s="51" t="s">
        <v>2380</v>
      </c>
      <c r="U448" s="51" t="s">
        <v>2140</v>
      </c>
      <c r="V448" s="51" t="s">
        <v>2142</v>
      </c>
      <c r="X448" s="51"/>
    </row>
    <row r="449" customFormat="false" ht="14.25" hidden="false" customHeight="false" outlineLevel="0" collapsed="false">
      <c r="A449" s="49" t="s">
        <v>2137</v>
      </c>
      <c r="B449" s="49" t="s">
        <v>14</v>
      </c>
      <c r="C449" s="49" t="s">
        <v>607</v>
      </c>
      <c r="D449" s="49" t="s">
        <v>2441</v>
      </c>
      <c r="E449" s="49" t="s">
        <v>2140</v>
      </c>
      <c r="F449" s="49" t="s">
        <v>80</v>
      </c>
      <c r="G449" s="49" t="n">
        <v>4</v>
      </c>
      <c r="H449" s="0" t="n">
        <v>0</v>
      </c>
      <c r="I449" s="51" t="s">
        <v>2726</v>
      </c>
      <c r="J449" s="49" t="s">
        <v>2257</v>
      </c>
      <c r="K449" s="52" t="n">
        <v>47868</v>
      </c>
      <c r="L449" s="54"/>
      <c r="M449" s="51" t="s">
        <v>3009</v>
      </c>
      <c r="N449" s="0" t="n">
        <v>4</v>
      </c>
      <c r="O449" s="53" t="n">
        <v>46056.4746412037</v>
      </c>
      <c r="P449" s="53" t="n">
        <v>46056.7017939815</v>
      </c>
      <c r="Q449" s="53" t="n">
        <v>46056.4746412037</v>
      </c>
      <c r="R449" s="0" t="n">
        <v>0</v>
      </c>
      <c r="S449" s="51" t="s">
        <v>2380</v>
      </c>
      <c r="T449" s="51" t="s">
        <v>2380</v>
      </c>
      <c r="U449" s="51" t="s">
        <v>2140</v>
      </c>
      <c r="V449" s="51" t="s">
        <v>2142</v>
      </c>
      <c r="X449" s="51"/>
    </row>
    <row r="450" customFormat="false" ht="14.25" hidden="false" customHeight="false" outlineLevel="0" collapsed="false">
      <c r="A450" s="49" t="s">
        <v>2137</v>
      </c>
      <c r="B450" s="49" t="s">
        <v>14</v>
      </c>
      <c r="C450" s="49" t="s">
        <v>606</v>
      </c>
      <c r="D450" s="49" t="s">
        <v>2441</v>
      </c>
      <c r="E450" s="49" t="s">
        <v>2140</v>
      </c>
      <c r="F450" s="49" t="s">
        <v>80</v>
      </c>
      <c r="G450" s="49" t="n">
        <v>4</v>
      </c>
      <c r="H450" s="0" t="n">
        <v>0</v>
      </c>
      <c r="I450" s="51" t="s">
        <v>2728</v>
      </c>
      <c r="J450" s="49" t="s">
        <v>2257</v>
      </c>
      <c r="K450" s="52" t="n">
        <v>47868</v>
      </c>
      <c r="L450" s="54"/>
      <c r="M450" s="51" t="s">
        <v>3009</v>
      </c>
      <c r="N450" s="0" t="n">
        <v>4</v>
      </c>
      <c r="O450" s="53" t="n">
        <v>46056.4748148148</v>
      </c>
      <c r="P450" s="53" t="n">
        <v>46056.701712963</v>
      </c>
      <c r="Q450" s="53" t="n">
        <v>46056.4748148148</v>
      </c>
      <c r="R450" s="0" t="n">
        <v>0</v>
      </c>
      <c r="S450" s="51" t="s">
        <v>2380</v>
      </c>
      <c r="T450" s="51" t="s">
        <v>2380</v>
      </c>
      <c r="U450" s="51" t="s">
        <v>2140</v>
      </c>
      <c r="V450" s="51" t="s">
        <v>2142</v>
      </c>
      <c r="X450" s="51"/>
    </row>
    <row r="451" customFormat="false" ht="14.25" hidden="false" customHeight="false" outlineLevel="0" collapsed="false">
      <c r="A451" s="49" t="s">
        <v>2137</v>
      </c>
      <c r="B451" s="49" t="s">
        <v>14</v>
      </c>
      <c r="C451" s="49" t="s">
        <v>605</v>
      </c>
      <c r="D451" s="49" t="s">
        <v>2441</v>
      </c>
      <c r="E451" s="49" t="s">
        <v>2140</v>
      </c>
      <c r="F451" s="49" t="s">
        <v>80</v>
      </c>
      <c r="G451" s="49" t="n">
        <v>4</v>
      </c>
      <c r="H451" s="0" t="n">
        <v>0</v>
      </c>
      <c r="I451" s="51" t="s">
        <v>2868</v>
      </c>
      <c r="J451" s="49" t="s">
        <v>2257</v>
      </c>
      <c r="K451" s="52" t="n">
        <v>47868</v>
      </c>
      <c r="L451" s="54"/>
      <c r="M451" s="51" t="s">
        <v>3009</v>
      </c>
      <c r="N451" s="0" t="n">
        <v>4</v>
      </c>
      <c r="O451" s="53" t="n">
        <v>46056.4749421296</v>
      </c>
      <c r="P451" s="53" t="n">
        <v>46056.7017592593</v>
      </c>
      <c r="Q451" s="53" t="n">
        <v>46056.4749421296</v>
      </c>
      <c r="R451" s="0" t="n">
        <v>0</v>
      </c>
      <c r="S451" s="51" t="s">
        <v>2380</v>
      </c>
      <c r="T451" s="51" t="s">
        <v>2380</v>
      </c>
      <c r="U451" s="51" t="s">
        <v>2140</v>
      </c>
      <c r="V451" s="51" t="s">
        <v>2142</v>
      </c>
      <c r="X451" s="51"/>
    </row>
    <row r="452" customFormat="false" ht="14.25" hidden="false" customHeight="false" outlineLevel="0" collapsed="false">
      <c r="A452" s="49" t="s">
        <v>2137</v>
      </c>
      <c r="B452" s="49" t="s">
        <v>14</v>
      </c>
      <c r="C452" s="49" t="s">
        <v>604</v>
      </c>
      <c r="D452" s="49" t="s">
        <v>2441</v>
      </c>
      <c r="E452" s="49" t="s">
        <v>2140</v>
      </c>
      <c r="F452" s="49" t="s">
        <v>80</v>
      </c>
      <c r="G452" s="49" t="n">
        <v>4</v>
      </c>
      <c r="H452" s="0" t="n">
        <v>0</v>
      </c>
      <c r="I452" s="51" t="s">
        <v>2718</v>
      </c>
      <c r="J452" s="49" t="s">
        <v>2257</v>
      </c>
      <c r="K452" s="52" t="n">
        <v>47868</v>
      </c>
      <c r="L452" s="54"/>
      <c r="M452" s="51" t="s">
        <v>3009</v>
      </c>
      <c r="N452" s="0" t="n">
        <v>4</v>
      </c>
      <c r="O452" s="53" t="n">
        <v>46056.4751736111</v>
      </c>
      <c r="P452" s="53" t="n">
        <v>46056.7015972222</v>
      </c>
      <c r="Q452" s="53" t="n">
        <v>46056.4751736111</v>
      </c>
      <c r="R452" s="0" t="n">
        <v>0</v>
      </c>
      <c r="S452" s="51" t="s">
        <v>2380</v>
      </c>
      <c r="T452" s="51" t="s">
        <v>2380</v>
      </c>
      <c r="U452" s="51" t="s">
        <v>2140</v>
      </c>
      <c r="V452" s="51" t="s">
        <v>2142</v>
      </c>
      <c r="W452" s="51"/>
      <c r="X452" s="51"/>
    </row>
    <row r="453" customFormat="false" ht="14.25" hidden="false" customHeight="false" outlineLevel="0" collapsed="false">
      <c r="A453" s="49" t="s">
        <v>2137</v>
      </c>
      <c r="B453" s="49" t="s">
        <v>14</v>
      </c>
      <c r="C453" s="49" t="s">
        <v>603</v>
      </c>
      <c r="D453" s="49" t="s">
        <v>2441</v>
      </c>
      <c r="E453" s="49" t="s">
        <v>2140</v>
      </c>
      <c r="F453" s="49" t="s">
        <v>80</v>
      </c>
      <c r="G453" s="49" t="n">
        <v>4</v>
      </c>
      <c r="H453" s="0" t="n">
        <v>0</v>
      </c>
      <c r="I453" s="51" t="s">
        <v>2659</v>
      </c>
      <c r="J453" s="49" t="s">
        <v>2257</v>
      </c>
      <c r="K453" s="52" t="n">
        <v>47868</v>
      </c>
      <c r="L453" s="54"/>
      <c r="M453" s="51" t="s">
        <v>3009</v>
      </c>
      <c r="N453" s="0" t="n">
        <v>4</v>
      </c>
      <c r="O453" s="53" t="n">
        <v>46056.4753356481</v>
      </c>
      <c r="P453" s="53" t="n">
        <v>46056.7016550926</v>
      </c>
      <c r="Q453" s="53" t="n">
        <v>46056.4753356481</v>
      </c>
      <c r="R453" s="0" t="n">
        <v>0</v>
      </c>
      <c r="S453" s="51" t="s">
        <v>2380</v>
      </c>
      <c r="T453" s="51" t="s">
        <v>2380</v>
      </c>
      <c r="U453" s="51" t="s">
        <v>2140</v>
      </c>
      <c r="V453" s="51" t="s">
        <v>2142</v>
      </c>
      <c r="W453" s="51"/>
      <c r="X453" s="51"/>
    </row>
    <row r="454" customFormat="false" ht="14.25" hidden="false" customHeight="false" outlineLevel="0" collapsed="false">
      <c r="A454" s="49" t="s">
        <v>2137</v>
      </c>
      <c r="B454" s="49" t="s">
        <v>14</v>
      </c>
      <c r="C454" s="49" t="s">
        <v>602</v>
      </c>
      <c r="D454" s="49" t="s">
        <v>2441</v>
      </c>
      <c r="E454" s="49" t="s">
        <v>2140</v>
      </c>
      <c r="F454" s="49" t="s">
        <v>80</v>
      </c>
      <c r="G454" s="49" t="n">
        <v>4</v>
      </c>
      <c r="H454" s="0" t="n">
        <v>0</v>
      </c>
      <c r="I454" s="51" t="s">
        <v>2651</v>
      </c>
      <c r="J454" s="49" t="s">
        <v>2257</v>
      </c>
      <c r="K454" s="52" t="n">
        <v>47868</v>
      </c>
      <c r="L454" s="54"/>
      <c r="M454" s="51" t="s">
        <v>3009</v>
      </c>
      <c r="N454" s="0" t="n">
        <v>4</v>
      </c>
      <c r="O454" s="53" t="n">
        <v>46056.475474537</v>
      </c>
      <c r="P454" s="53" t="n">
        <v>46056.7014583333</v>
      </c>
      <c r="Q454" s="53" t="n">
        <v>46056.475474537</v>
      </c>
      <c r="R454" s="0" t="n">
        <v>0</v>
      </c>
      <c r="S454" s="51" t="s">
        <v>2380</v>
      </c>
      <c r="T454" s="51" t="s">
        <v>2380</v>
      </c>
      <c r="U454" s="51" t="s">
        <v>2140</v>
      </c>
      <c r="V454" s="51" t="s">
        <v>2142</v>
      </c>
      <c r="W454" s="51"/>
      <c r="X454" s="51"/>
    </row>
    <row r="455" customFormat="false" ht="14.25" hidden="false" customHeight="false" outlineLevel="0" collapsed="false">
      <c r="A455" s="49" t="s">
        <v>2137</v>
      </c>
      <c r="B455" s="49" t="s">
        <v>14</v>
      </c>
      <c r="C455" s="49" t="s">
        <v>601</v>
      </c>
      <c r="D455" s="49" t="s">
        <v>2441</v>
      </c>
      <c r="E455" s="49" t="s">
        <v>2140</v>
      </c>
      <c r="F455" s="49" t="s">
        <v>80</v>
      </c>
      <c r="G455" s="49" t="n">
        <v>4</v>
      </c>
      <c r="H455" s="0" t="n">
        <v>0</v>
      </c>
      <c r="I455" s="51" t="s">
        <v>2866</v>
      </c>
      <c r="J455" s="49" t="s">
        <v>2257</v>
      </c>
      <c r="K455" s="52" t="n">
        <v>47868</v>
      </c>
      <c r="L455" s="54"/>
      <c r="M455" s="51" t="s">
        <v>3009</v>
      </c>
      <c r="N455" s="0" t="n">
        <v>4</v>
      </c>
      <c r="O455" s="53" t="n">
        <v>46056.4757175926</v>
      </c>
      <c r="P455" s="53" t="n">
        <v>46056.701875</v>
      </c>
      <c r="Q455" s="53" t="n">
        <v>46056.4757175926</v>
      </c>
      <c r="R455" s="0" t="n">
        <v>0</v>
      </c>
      <c r="S455" s="51" t="s">
        <v>2380</v>
      </c>
      <c r="T455" s="51" t="s">
        <v>2380</v>
      </c>
      <c r="U455" s="51" t="s">
        <v>2140</v>
      </c>
      <c r="V455" s="51" t="s">
        <v>2142</v>
      </c>
      <c r="X455" s="51"/>
    </row>
    <row r="456" customFormat="false" ht="14.25" hidden="false" customHeight="false" outlineLevel="0" collapsed="false">
      <c r="A456" s="49" t="s">
        <v>2137</v>
      </c>
      <c r="B456" s="49" t="s">
        <v>14</v>
      </c>
      <c r="C456" s="49" t="s">
        <v>600</v>
      </c>
      <c r="D456" s="49" t="s">
        <v>2441</v>
      </c>
      <c r="E456" s="49" t="s">
        <v>2140</v>
      </c>
      <c r="F456" s="49" t="s">
        <v>80</v>
      </c>
      <c r="G456" s="49" t="n">
        <v>4</v>
      </c>
      <c r="H456" s="0" t="n">
        <v>0</v>
      </c>
      <c r="I456" s="51" t="s">
        <v>2722</v>
      </c>
      <c r="J456" s="49" t="s">
        <v>2257</v>
      </c>
      <c r="K456" s="52" t="n">
        <v>47868</v>
      </c>
      <c r="L456" s="54"/>
      <c r="M456" s="51" t="s">
        <v>3009</v>
      </c>
      <c r="N456" s="0" t="n">
        <v>4</v>
      </c>
      <c r="O456" s="53" t="n">
        <v>46056.4758796296</v>
      </c>
      <c r="P456" s="53" t="n">
        <v>46056.7019675926</v>
      </c>
      <c r="Q456" s="53" t="n">
        <v>46056.4758796296</v>
      </c>
      <c r="R456" s="0" t="n">
        <v>0</v>
      </c>
      <c r="S456" s="51" t="s">
        <v>2380</v>
      </c>
      <c r="T456" s="51" t="s">
        <v>2380</v>
      </c>
      <c r="U456" s="51" t="s">
        <v>2140</v>
      </c>
      <c r="V456" s="51" t="s">
        <v>2142</v>
      </c>
      <c r="W456" s="51"/>
      <c r="X456" s="51"/>
    </row>
    <row r="457" customFormat="false" ht="14.25" hidden="false" customHeight="false" outlineLevel="0" collapsed="false">
      <c r="A457" s="49" t="s">
        <v>2137</v>
      </c>
      <c r="B457" s="49" t="s">
        <v>14</v>
      </c>
      <c r="C457" s="49" t="s">
        <v>577</v>
      </c>
      <c r="D457" s="49" t="s">
        <v>2441</v>
      </c>
      <c r="E457" s="49" t="s">
        <v>3032</v>
      </c>
      <c r="F457" s="49" t="s">
        <v>562</v>
      </c>
      <c r="G457" s="49" t="n">
        <v>4</v>
      </c>
      <c r="H457" s="0" t="n">
        <v>0</v>
      </c>
      <c r="I457" s="51" t="s">
        <v>3033</v>
      </c>
      <c r="J457" s="49" t="s">
        <v>3034</v>
      </c>
      <c r="K457" s="52" t="n">
        <v>47868</v>
      </c>
      <c r="L457" s="54"/>
      <c r="M457" s="51" t="s">
        <v>3035</v>
      </c>
      <c r="N457" s="0" t="n">
        <v>4</v>
      </c>
      <c r="O457" s="53" t="n">
        <v>46056.4833564815</v>
      </c>
      <c r="P457" s="53" t="n">
        <v>46056.7032638889</v>
      </c>
      <c r="Q457" s="53" t="n">
        <v>46056.4833564815</v>
      </c>
      <c r="R457" s="0" t="n">
        <v>0</v>
      </c>
      <c r="S457" s="51" t="s">
        <v>2380</v>
      </c>
      <c r="T457" s="51" t="s">
        <v>2380</v>
      </c>
      <c r="U457" s="51" t="s">
        <v>3032</v>
      </c>
      <c r="V457" s="51" t="s">
        <v>2142</v>
      </c>
      <c r="X457" s="51"/>
    </row>
    <row r="458" customFormat="false" ht="14.25" hidden="false" customHeight="false" outlineLevel="0" collapsed="false">
      <c r="A458" s="49" t="s">
        <v>2137</v>
      </c>
      <c r="B458" s="49" t="s">
        <v>14</v>
      </c>
      <c r="C458" s="49" t="s">
        <v>576</v>
      </c>
      <c r="D458" s="49" t="s">
        <v>2441</v>
      </c>
      <c r="E458" s="49" t="s">
        <v>3032</v>
      </c>
      <c r="F458" s="49" t="s">
        <v>562</v>
      </c>
      <c r="G458" s="49" t="n">
        <v>4</v>
      </c>
      <c r="H458" s="0" t="n">
        <v>0</v>
      </c>
      <c r="I458" s="51" t="s">
        <v>3036</v>
      </c>
      <c r="J458" s="49" t="s">
        <v>3034</v>
      </c>
      <c r="K458" s="52" t="n">
        <v>47868</v>
      </c>
      <c r="L458" s="54"/>
      <c r="M458" s="51" t="s">
        <v>3035</v>
      </c>
      <c r="N458" s="0" t="n">
        <v>4</v>
      </c>
      <c r="O458" s="53" t="n">
        <v>46056.4846180556</v>
      </c>
      <c r="P458" s="53" t="n">
        <v>46056.7031944444</v>
      </c>
      <c r="Q458" s="53" t="n">
        <v>46056.4846180556</v>
      </c>
      <c r="R458" s="0" t="n">
        <v>0</v>
      </c>
      <c r="S458" s="51" t="s">
        <v>2380</v>
      </c>
      <c r="T458" s="51" t="s">
        <v>2380</v>
      </c>
      <c r="U458" s="51" t="s">
        <v>3032</v>
      </c>
      <c r="V458" s="51" t="s">
        <v>2142</v>
      </c>
      <c r="X458" s="51"/>
    </row>
    <row r="459" customFormat="false" ht="14.25" hidden="false" customHeight="false" outlineLevel="0" collapsed="false">
      <c r="A459" s="49" t="s">
        <v>2137</v>
      </c>
      <c r="B459" s="49" t="s">
        <v>14</v>
      </c>
      <c r="C459" s="49" t="s">
        <v>575</v>
      </c>
      <c r="D459" s="49" t="s">
        <v>2441</v>
      </c>
      <c r="E459" s="49" t="s">
        <v>3032</v>
      </c>
      <c r="F459" s="49" t="s">
        <v>562</v>
      </c>
      <c r="G459" s="49" t="n">
        <v>4</v>
      </c>
      <c r="H459" s="0" t="n">
        <v>0</v>
      </c>
      <c r="I459" s="51" t="s">
        <v>3037</v>
      </c>
      <c r="J459" s="49" t="s">
        <v>3034</v>
      </c>
      <c r="K459" s="52" t="n">
        <v>47868</v>
      </c>
      <c r="M459" s="51" t="s">
        <v>3035</v>
      </c>
      <c r="N459" s="0" t="n">
        <v>4</v>
      </c>
      <c r="O459" s="53" t="n">
        <v>46056.4847569445</v>
      </c>
      <c r="P459" s="53" t="n">
        <v>46056.7033449074</v>
      </c>
      <c r="Q459" s="53" t="n">
        <v>46056.4847569445</v>
      </c>
      <c r="R459" s="0" t="n">
        <v>0</v>
      </c>
      <c r="S459" s="51" t="s">
        <v>2380</v>
      </c>
      <c r="T459" s="51" t="s">
        <v>2380</v>
      </c>
      <c r="U459" s="51" t="s">
        <v>3032</v>
      </c>
      <c r="V459" s="51" t="s">
        <v>2142</v>
      </c>
      <c r="X459" s="51"/>
    </row>
    <row r="460" customFormat="false" ht="14.25" hidden="false" customHeight="false" outlineLevel="0" collapsed="false">
      <c r="A460" s="49" t="s">
        <v>2137</v>
      </c>
      <c r="B460" s="49" t="s">
        <v>14</v>
      </c>
      <c r="C460" s="49" t="s">
        <v>574</v>
      </c>
      <c r="D460" s="49" t="s">
        <v>2441</v>
      </c>
      <c r="E460" s="49" t="s">
        <v>3032</v>
      </c>
      <c r="F460" s="49" t="s">
        <v>562</v>
      </c>
      <c r="G460" s="49" t="n">
        <v>4</v>
      </c>
      <c r="H460" s="0" t="n">
        <v>0</v>
      </c>
      <c r="I460" s="51" t="s">
        <v>3038</v>
      </c>
      <c r="J460" s="49" t="s">
        <v>3034</v>
      </c>
      <c r="K460" s="52" t="n">
        <v>47868</v>
      </c>
      <c r="M460" s="51" t="s">
        <v>3035</v>
      </c>
      <c r="N460" s="0" t="n">
        <v>4</v>
      </c>
      <c r="O460" s="53" t="n">
        <v>46056.4849189815</v>
      </c>
      <c r="P460" s="53" t="n">
        <v>46056.7025347222</v>
      </c>
      <c r="Q460" s="53" t="n">
        <v>46056.4849189815</v>
      </c>
      <c r="R460" s="0" t="n">
        <v>0</v>
      </c>
      <c r="S460" s="51" t="s">
        <v>2380</v>
      </c>
      <c r="T460" s="51" t="s">
        <v>2380</v>
      </c>
      <c r="U460" s="51" t="s">
        <v>3032</v>
      </c>
      <c r="V460" s="51" t="s">
        <v>2142</v>
      </c>
      <c r="X460" s="51"/>
    </row>
    <row r="461" customFormat="false" ht="14.25" hidden="false" customHeight="false" outlineLevel="0" collapsed="false">
      <c r="A461" s="49" t="s">
        <v>2137</v>
      </c>
      <c r="B461" s="49" t="s">
        <v>14</v>
      </c>
      <c r="C461" s="49" t="s">
        <v>573</v>
      </c>
      <c r="D461" s="49" t="s">
        <v>2441</v>
      </c>
      <c r="E461" s="49" t="s">
        <v>3032</v>
      </c>
      <c r="F461" s="49" t="s">
        <v>562</v>
      </c>
      <c r="G461" s="49" t="n">
        <v>4</v>
      </c>
      <c r="H461" s="0" t="n">
        <v>0</v>
      </c>
      <c r="I461" s="51" t="s">
        <v>3039</v>
      </c>
      <c r="J461" s="49" t="s">
        <v>3034</v>
      </c>
      <c r="K461" s="52" t="n">
        <v>47868</v>
      </c>
      <c r="M461" s="51" t="s">
        <v>3035</v>
      </c>
      <c r="N461" s="0" t="n">
        <v>4</v>
      </c>
      <c r="O461" s="53" t="n">
        <v>46056.4850462963</v>
      </c>
      <c r="P461" s="53" t="n">
        <v>46056.7029398148</v>
      </c>
      <c r="Q461" s="0" t="n">
        <v>46056.4850462963</v>
      </c>
      <c r="R461" s="0" t="n">
        <v>0</v>
      </c>
      <c r="S461" s="51" t="s">
        <v>2380</v>
      </c>
      <c r="T461" s="51" t="s">
        <v>2380</v>
      </c>
      <c r="U461" s="51" t="s">
        <v>3032</v>
      </c>
      <c r="V461" s="51" t="s">
        <v>2142</v>
      </c>
    </row>
    <row r="462" customFormat="false" ht="14.25" hidden="false" customHeight="false" outlineLevel="0" collapsed="false">
      <c r="A462" s="49" t="s">
        <v>2137</v>
      </c>
      <c r="B462" s="49" t="s">
        <v>14</v>
      </c>
      <c r="C462" s="49" t="s">
        <v>572</v>
      </c>
      <c r="D462" s="49" t="s">
        <v>2441</v>
      </c>
      <c r="E462" s="49" t="s">
        <v>3032</v>
      </c>
      <c r="F462" s="49" t="s">
        <v>562</v>
      </c>
      <c r="G462" s="49" t="n">
        <v>4</v>
      </c>
      <c r="H462" s="0" t="n">
        <v>0</v>
      </c>
      <c r="I462" s="51" t="s">
        <v>3040</v>
      </c>
      <c r="J462" s="49" t="s">
        <v>3034</v>
      </c>
      <c r="K462" s="52" t="n">
        <v>47868</v>
      </c>
      <c r="M462" s="51" t="s">
        <v>3035</v>
      </c>
      <c r="N462" s="0" t="n">
        <v>4</v>
      </c>
      <c r="O462" s="53" t="n">
        <v>46056.4851736111</v>
      </c>
      <c r="P462" s="53" t="n">
        <v>46056.7025925926</v>
      </c>
      <c r="Q462" s="0" t="n">
        <v>46056.4851736111</v>
      </c>
      <c r="R462" s="0" t="n">
        <v>0</v>
      </c>
      <c r="S462" s="51" t="s">
        <v>2380</v>
      </c>
      <c r="T462" s="51" t="s">
        <v>2380</v>
      </c>
      <c r="U462" s="51" t="s">
        <v>3032</v>
      </c>
      <c r="V462" s="51" t="s">
        <v>2142</v>
      </c>
    </row>
    <row r="463" customFormat="false" ht="14.25" hidden="false" customHeight="false" outlineLevel="0" collapsed="false">
      <c r="A463" s="49" t="s">
        <v>2137</v>
      </c>
      <c r="B463" s="49" t="s">
        <v>14</v>
      </c>
      <c r="C463" s="49" t="s">
        <v>571</v>
      </c>
      <c r="D463" s="49" t="s">
        <v>2441</v>
      </c>
      <c r="E463" s="49" t="s">
        <v>3032</v>
      </c>
      <c r="F463" s="49" t="s">
        <v>562</v>
      </c>
      <c r="G463" s="49" t="n">
        <v>4</v>
      </c>
      <c r="H463" s="0" t="n">
        <v>0</v>
      </c>
      <c r="I463" s="51" t="s">
        <v>3041</v>
      </c>
      <c r="J463" s="49" t="s">
        <v>3042</v>
      </c>
      <c r="K463" s="52" t="n">
        <v>47868</v>
      </c>
      <c r="M463" s="51" t="s">
        <v>3035</v>
      </c>
      <c r="N463" s="0" t="n">
        <v>4</v>
      </c>
      <c r="O463" s="53" t="n">
        <v>46056.4853703704</v>
      </c>
      <c r="P463" s="53" t="n">
        <v>46056.7026388889</v>
      </c>
      <c r="Q463" s="0" t="n">
        <v>46056.4853703704</v>
      </c>
      <c r="R463" s="0" t="n">
        <v>0</v>
      </c>
      <c r="S463" s="51" t="s">
        <v>2380</v>
      </c>
      <c r="T463" s="51" t="s">
        <v>2380</v>
      </c>
      <c r="U463" s="51" t="s">
        <v>3032</v>
      </c>
      <c r="V463" s="51" t="s">
        <v>2142</v>
      </c>
    </row>
    <row r="464" customFormat="false" ht="14.25" hidden="true" customHeight="false" outlineLevel="0" collapsed="false">
      <c r="A464" s="49" t="s">
        <v>2137</v>
      </c>
      <c r="B464" s="49" t="s">
        <v>14</v>
      </c>
      <c r="C464" s="49" t="s">
        <v>570</v>
      </c>
      <c r="D464" s="49" t="s">
        <v>2441</v>
      </c>
      <c r="E464" s="49" t="s">
        <v>3032</v>
      </c>
      <c r="F464" s="49" t="s">
        <v>562</v>
      </c>
      <c r="G464" s="49" t="n">
        <v>4</v>
      </c>
      <c r="H464" s="0" t="n">
        <v>0</v>
      </c>
      <c r="I464" s="51" t="s">
        <v>3043</v>
      </c>
      <c r="J464" s="49" t="s">
        <v>3042</v>
      </c>
      <c r="K464" s="52" t="n">
        <v>47868</v>
      </c>
      <c r="M464" s="51" t="s">
        <v>3035</v>
      </c>
      <c r="N464" s="49" t="n">
        <v>4</v>
      </c>
      <c r="O464" s="53" t="n">
        <v>46056.4861342593</v>
      </c>
      <c r="P464" s="53" t="n">
        <v>46056.7031134259</v>
      </c>
      <c r="Q464" s="53" t="n">
        <v>46056.4861342593</v>
      </c>
      <c r="R464" s="0" t="n">
        <v>0</v>
      </c>
      <c r="S464" s="51" t="s">
        <v>2380</v>
      </c>
      <c r="T464" s="51" t="s">
        <v>2380</v>
      </c>
      <c r="U464" s="51" t="s">
        <v>3032</v>
      </c>
      <c r="V464" s="51" t="s">
        <v>2142</v>
      </c>
      <c r="W464" s="51"/>
      <c r="X464" s="51"/>
    </row>
    <row r="465" customFormat="false" ht="14.25" hidden="false" customHeight="false" outlineLevel="0" collapsed="false">
      <c r="A465" s="49" t="s">
        <v>2137</v>
      </c>
      <c r="B465" s="49" t="s">
        <v>14</v>
      </c>
      <c r="C465" s="49" t="s">
        <v>569</v>
      </c>
      <c r="D465" s="49" t="s">
        <v>2441</v>
      </c>
      <c r="E465" s="49" t="s">
        <v>3032</v>
      </c>
      <c r="F465" s="49" t="s">
        <v>562</v>
      </c>
      <c r="G465" s="49" t="n">
        <v>4</v>
      </c>
      <c r="H465" s="0" t="n">
        <v>0</v>
      </c>
      <c r="I465" s="51" t="s">
        <v>3044</v>
      </c>
      <c r="J465" s="49" t="s">
        <v>3034</v>
      </c>
      <c r="K465" s="52" t="n">
        <v>47868</v>
      </c>
      <c r="M465" s="51" t="s">
        <v>3035</v>
      </c>
      <c r="N465" s="0" t="n">
        <v>4</v>
      </c>
      <c r="O465" s="53" t="n">
        <v>46056.4863078704</v>
      </c>
      <c r="P465" s="53" t="n">
        <v>46056.7031597222</v>
      </c>
      <c r="Q465" s="53" t="n">
        <v>46056.4863078704</v>
      </c>
      <c r="R465" s="0" t="n">
        <v>0</v>
      </c>
      <c r="S465" s="51" t="s">
        <v>2380</v>
      </c>
      <c r="T465" s="51" t="s">
        <v>2380</v>
      </c>
      <c r="U465" s="51" t="s">
        <v>3032</v>
      </c>
      <c r="V465" s="51" t="s">
        <v>2142</v>
      </c>
      <c r="W465" s="51"/>
      <c r="X465" s="51"/>
    </row>
    <row r="466" customFormat="false" ht="14.25" hidden="false" customHeight="false" outlineLevel="0" collapsed="false">
      <c r="A466" s="49" t="s">
        <v>2137</v>
      </c>
      <c r="B466" s="49" t="s">
        <v>14</v>
      </c>
      <c r="C466" s="49" t="s">
        <v>568</v>
      </c>
      <c r="D466" s="49" t="s">
        <v>2441</v>
      </c>
      <c r="E466" s="49" t="s">
        <v>3032</v>
      </c>
      <c r="F466" s="49" t="s">
        <v>562</v>
      </c>
      <c r="G466" s="49" t="n">
        <v>4</v>
      </c>
      <c r="H466" s="0" t="n">
        <v>0</v>
      </c>
      <c r="I466" s="51" t="s">
        <v>3045</v>
      </c>
      <c r="J466" s="49" t="s">
        <v>3042</v>
      </c>
      <c r="K466" s="52" t="n">
        <v>47868</v>
      </c>
      <c r="M466" s="51" t="s">
        <v>3035</v>
      </c>
      <c r="N466" s="0" t="n">
        <v>4</v>
      </c>
      <c r="O466" s="53" t="n">
        <v>46056.4865162037</v>
      </c>
      <c r="P466" s="53" t="n">
        <v>46056.7044791667</v>
      </c>
      <c r="Q466" s="53" t="n">
        <v>46056.4865162037</v>
      </c>
      <c r="R466" s="0" t="n">
        <v>0</v>
      </c>
      <c r="S466" s="51" t="s">
        <v>2380</v>
      </c>
      <c r="T466" s="51" t="s">
        <v>2380</v>
      </c>
      <c r="U466" s="51" t="s">
        <v>3032</v>
      </c>
      <c r="V466" s="51" t="s">
        <v>2142</v>
      </c>
      <c r="W466" s="51"/>
      <c r="X466" s="51"/>
    </row>
    <row r="467" customFormat="false" ht="14.25" hidden="false" customHeight="false" outlineLevel="0" collapsed="false">
      <c r="A467" s="49" t="s">
        <v>2137</v>
      </c>
      <c r="B467" s="49" t="s">
        <v>14</v>
      </c>
      <c r="C467" s="49" t="s">
        <v>566</v>
      </c>
      <c r="D467" s="49" t="s">
        <v>2441</v>
      </c>
      <c r="E467" s="49" t="s">
        <v>3032</v>
      </c>
      <c r="F467" s="49" t="s">
        <v>562</v>
      </c>
      <c r="G467" s="49" t="n">
        <v>4</v>
      </c>
      <c r="H467" s="0" t="n">
        <v>0</v>
      </c>
      <c r="I467" s="51" t="s">
        <v>3046</v>
      </c>
      <c r="J467" s="49" t="s">
        <v>3042</v>
      </c>
      <c r="K467" s="52" t="n">
        <v>47868</v>
      </c>
      <c r="M467" s="51" t="s">
        <v>3035</v>
      </c>
      <c r="N467" s="0" t="n">
        <v>4</v>
      </c>
      <c r="O467" s="53" t="n">
        <v>46056.4878703704</v>
      </c>
      <c r="P467" s="53" t="n">
        <v>46056.7043981482</v>
      </c>
      <c r="Q467" s="53" t="n">
        <v>46056.4878703704</v>
      </c>
      <c r="R467" s="0" t="n">
        <v>0</v>
      </c>
      <c r="S467" s="51" t="s">
        <v>2380</v>
      </c>
      <c r="T467" s="51" t="s">
        <v>2380</v>
      </c>
      <c r="U467" s="51" t="s">
        <v>3032</v>
      </c>
      <c r="V467" s="51" t="s">
        <v>2142</v>
      </c>
      <c r="W467" s="51"/>
      <c r="X467" s="51"/>
    </row>
    <row r="468" customFormat="false" ht="14.25" hidden="true" customHeight="false" outlineLevel="0" collapsed="false">
      <c r="A468" s="49" t="s">
        <v>2137</v>
      </c>
      <c r="B468" s="49" t="s">
        <v>14</v>
      </c>
      <c r="C468" s="49" t="s">
        <v>564</v>
      </c>
      <c r="D468" s="49" t="s">
        <v>2441</v>
      </c>
      <c r="E468" s="49" t="s">
        <v>3032</v>
      </c>
      <c r="F468" s="49" t="s">
        <v>562</v>
      </c>
      <c r="G468" s="49" t="n">
        <v>4</v>
      </c>
      <c r="H468" s="0" t="n">
        <v>0</v>
      </c>
      <c r="I468" s="51" t="s">
        <v>3047</v>
      </c>
      <c r="J468" s="49" t="s">
        <v>3042</v>
      </c>
      <c r="K468" s="52" t="n">
        <v>47868</v>
      </c>
      <c r="M468" s="51" t="s">
        <v>3035</v>
      </c>
      <c r="N468" s="49" t="n">
        <v>4</v>
      </c>
      <c r="O468" s="53" t="n">
        <v>46056.4883217593</v>
      </c>
      <c r="P468" s="53" t="n">
        <v>46056.7043055556</v>
      </c>
      <c r="Q468" s="53" t="n">
        <v>46056.4883217593</v>
      </c>
      <c r="R468" s="0" t="n">
        <v>0</v>
      </c>
      <c r="S468" s="51" t="s">
        <v>2380</v>
      </c>
      <c r="T468" s="51" t="s">
        <v>2380</v>
      </c>
      <c r="U468" s="51" t="s">
        <v>3032</v>
      </c>
      <c r="V468" s="51" t="s">
        <v>2142</v>
      </c>
      <c r="X468" s="51"/>
    </row>
    <row r="469" customFormat="false" ht="14.25" hidden="false" customHeight="false" outlineLevel="0" collapsed="false">
      <c r="A469" s="49" t="s">
        <v>2137</v>
      </c>
      <c r="B469" s="49" t="s">
        <v>14</v>
      </c>
      <c r="C469" s="49" t="s">
        <v>563</v>
      </c>
      <c r="D469" s="49" t="s">
        <v>2441</v>
      </c>
      <c r="E469" s="49" t="s">
        <v>3032</v>
      </c>
      <c r="F469" s="49" t="s">
        <v>562</v>
      </c>
      <c r="G469" s="49" t="n">
        <v>4</v>
      </c>
      <c r="H469" s="0" t="n">
        <v>0</v>
      </c>
      <c r="I469" s="51" t="s">
        <v>3048</v>
      </c>
      <c r="J469" s="49" t="s">
        <v>3034</v>
      </c>
      <c r="K469" s="52" t="n">
        <v>47868</v>
      </c>
      <c r="M469" s="51" t="s">
        <v>3035</v>
      </c>
      <c r="N469" s="0" t="n">
        <v>4</v>
      </c>
      <c r="O469" s="53" t="n">
        <v>46056.4899189815</v>
      </c>
      <c r="P469" s="53" t="n">
        <v>46056.7040393519</v>
      </c>
      <c r="Q469" s="53" t="n">
        <v>46056.4899189815</v>
      </c>
      <c r="R469" s="0" t="n">
        <v>0</v>
      </c>
      <c r="S469" s="51" t="s">
        <v>2380</v>
      </c>
      <c r="T469" s="51" t="s">
        <v>2380</v>
      </c>
      <c r="U469" s="51" t="s">
        <v>3032</v>
      </c>
      <c r="V469" s="51" t="s">
        <v>2142</v>
      </c>
      <c r="W469" s="51"/>
      <c r="X469" s="51"/>
    </row>
    <row r="470" customFormat="false" ht="14.25" hidden="false" customHeight="false" outlineLevel="0" collapsed="false">
      <c r="A470" s="49" t="s">
        <v>2137</v>
      </c>
      <c r="B470" s="49" t="s">
        <v>14</v>
      </c>
      <c r="C470" s="49" t="s">
        <v>561</v>
      </c>
      <c r="D470" s="49" t="s">
        <v>2441</v>
      </c>
      <c r="E470" s="49" t="s">
        <v>3032</v>
      </c>
      <c r="F470" s="49" t="s">
        <v>562</v>
      </c>
      <c r="G470" s="49" t="n">
        <v>4</v>
      </c>
      <c r="H470" s="0" t="n">
        <v>0</v>
      </c>
      <c r="I470" s="51" t="s">
        <v>3049</v>
      </c>
      <c r="J470" s="49" t="s">
        <v>3034</v>
      </c>
      <c r="K470" s="52" t="n">
        <v>47868</v>
      </c>
      <c r="M470" s="51" t="s">
        <v>3035</v>
      </c>
      <c r="N470" s="0" t="n">
        <v>4</v>
      </c>
      <c r="O470" s="53" t="n">
        <v>46056.4900347222</v>
      </c>
      <c r="P470" s="53" t="n">
        <v>46056.7041898148</v>
      </c>
      <c r="Q470" s="0" t="n">
        <v>46056.4900347222</v>
      </c>
      <c r="R470" s="0" t="n">
        <v>0</v>
      </c>
      <c r="S470" s="51" t="s">
        <v>2380</v>
      </c>
      <c r="T470" s="51" t="s">
        <v>2380</v>
      </c>
      <c r="U470" s="51" t="s">
        <v>3032</v>
      </c>
      <c r="V470" s="51" t="s">
        <v>2142</v>
      </c>
    </row>
    <row r="471" customFormat="false" ht="14.25" hidden="false" customHeight="false" outlineLevel="0" collapsed="false">
      <c r="A471" s="49" t="s">
        <v>2137</v>
      </c>
      <c r="B471" s="49" t="s">
        <v>14</v>
      </c>
      <c r="C471" s="49" t="s">
        <v>591</v>
      </c>
      <c r="D471" s="49" t="s">
        <v>2441</v>
      </c>
      <c r="E471" s="49" t="s">
        <v>3032</v>
      </c>
      <c r="F471" s="49" t="s">
        <v>562</v>
      </c>
      <c r="G471" s="49" t="n">
        <v>4</v>
      </c>
      <c r="H471" s="0" t="n">
        <v>0</v>
      </c>
      <c r="I471" s="51" t="s">
        <v>3050</v>
      </c>
      <c r="J471" s="49" t="s">
        <v>3042</v>
      </c>
      <c r="K471" s="52" t="n">
        <v>47868</v>
      </c>
      <c r="M471" s="51" t="s">
        <v>3035</v>
      </c>
      <c r="N471" s="0" t="n">
        <v>4</v>
      </c>
      <c r="O471" s="53" t="n">
        <v>46056.4901851852</v>
      </c>
      <c r="P471" s="53" t="n">
        <v>46056.7041435185</v>
      </c>
      <c r="Q471" s="53" t="n">
        <v>46056.4901851852</v>
      </c>
      <c r="R471" s="0" t="n">
        <v>0</v>
      </c>
      <c r="S471" s="51" t="s">
        <v>2380</v>
      </c>
      <c r="T471" s="51" t="s">
        <v>2380</v>
      </c>
      <c r="U471" s="51" t="s">
        <v>3032</v>
      </c>
      <c r="V471" s="51" t="s">
        <v>2142</v>
      </c>
      <c r="X471" s="51"/>
    </row>
    <row r="472" customFormat="false" ht="14.25" hidden="false" customHeight="false" outlineLevel="0" collapsed="false">
      <c r="A472" s="49" t="s">
        <v>2137</v>
      </c>
      <c r="B472" s="49" t="s">
        <v>14</v>
      </c>
      <c r="C472" s="49" t="s">
        <v>590</v>
      </c>
      <c r="D472" s="49" t="s">
        <v>2441</v>
      </c>
      <c r="E472" s="49" t="s">
        <v>3032</v>
      </c>
      <c r="F472" s="49" t="s">
        <v>562</v>
      </c>
      <c r="G472" s="49" t="n">
        <v>4</v>
      </c>
      <c r="H472" s="0" t="n">
        <v>0</v>
      </c>
      <c r="I472" s="51" t="s">
        <v>3051</v>
      </c>
      <c r="J472" s="49" t="s">
        <v>3042</v>
      </c>
      <c r="K472" s="52" t="n">
        <v>47868</v>
      </c>
      <c r="M472" s="51" t="s">
        <v>3035</v>
      </c>
      <c r="N472" s="0" t="n">
        <v>4</v>
      </c>
      <c r="O472" s="53" t="n">
        <v>46056.4903240741</v>
      </c>
      <c r="P472" s="53" t="n">
        <v>46056.7042708333</v>
      </c>
      <c r="Q472" s="53" t="n">
        <v>46056.4903240741</v>
      </c>
      <c r="R472" s="0" t="n">
        <v>0</v>
      </c>
      <c r="S472" s="51" t="s">
        <v>2380</v>
      </c>
      <c r="T472" s="51" t="s">
        <v>2380</v>
      </c>
      <c r="U472" s="51" t="s">
        <v>3032</v>
      </c>
      <c r="V472" s="51" t="s">
        <v>2142</v>
      </c>
      <c r="X472" s="51"/>
    </row>
    <row r="473" customFormat="false" ht="14.25" hidden="false" customHeight="false" outlineLevel="0" collapsed="false">
      <c r="A473" s="49" t="s">
        <v>2137</v>
      </c>
      <c r="B473" s="49" t="s">
        <v>14</v>
      </c>
      <c r="C473" s="49" t="s">
        <v>589</v>
      </c>
      <c r="D473" s="49" t="s">
        <v>2441</v>
      </c>
      <c r="E473" s="49" t="s">
        <v>3032</v>
      </c>
      <c r="F473" s="49" t="s">
        <v>562</v>
      </c>
      <c r="G473" s="49" t="n">
        <v>4</v>
      </c>
      <c r="H473" s="0" t="n">
        <v>0</v>
      </c>
      <c r="I473" s="51" t="s">
        <v>3052</v>
      </c>
      <c r="J473" s="49" t="s">
        <v>3034</v>
      </c>
      <c r="K473" s="52" t="n">
        <v>47868</v>
      </c>
      <c r="M473" s="51" t="s">
        <v>3035</v>
      </c>
      <c r="N473" s="0" t="n">
        <v>4</v>
      </c>
      <c r="O473" s="53" t="n">
        <v>46056.4904398148</v>
      </c>
      <c r="P473" s="53" t="n">
        <v>46056.704224537</v>
      </c>
      <c r="Q473" s="53" t="n">
        <v>46056.4904398148</v>
      </c>
      <c r="R473" s="0" t="n">
        <v>0</v>
      </c>
      <c r="S473" s="51" t="s">
        <v>2380</v>
      </c>
      <c r="T473" s="51" t="s">
        <v>2380</v>
      </c>
      <c r="U473" s="51" t="s">
        <v>3032</v>
      </c>
      <c r="V473" s="51" t="s">
        <v>2142</v>
      </c>
      <c r="X473" s="51"/>
    </row>
    <row r="474" customFormat="false" ht="14.25" hidden="false" customHeight="false" outlineLevel="0" collapsed="false">
      <c r="A474" s="49" t="s">
        <v>2137</v>
      </c>
      <c r="B474" s="49" t="s">
        <v>14</v>
      </c>
      <c r="C474" s="49" t="s">
        <v>588</v>
      </c>
      <c r="D474" s="49" t="s">
        <v>2441</v>
      </c>
      <c r="E474" s="49" t="s">
        <v>3032</v>
      </c>
      <c r="F474" s="49" t="s">
        <v>562</v>
      </c>
      <c r="G474" s="49" t="n">
        <v>4</v>
      </c>
      <c r="H474" s="0" t="n">
        <v>0</v>
      </c>
      <c r="I474" s="51" t="s">
        <v>3053</v>
      </c>
      <c r="J474" s="49" t="s">
        <v>3042</v>
      </c>
      <c r="K474" s="52" t="n">
        <v>47868</v>
      </c>
      <c r="M474" s="51" t="s">
        <v>3035</v>
      </c>
      <c r="N474" s="0" t="n">
        <v>4</v>
      </c>
      <c r="O474" s="53" t="n">
        <v>46056.4907060185</v>
      </c>
      <c r="P474" s="53" t="n">
        <v>46056.7043634259</v>
      </c>
      <c r="Q474" s="53" t="n">
        <v>46056.4907060185</v>
      </c>
      <c r="R474" s="0" t="n">
        <v>0</v>
      </c>
      <c r="S474" s="51" t="s">
        <v>2380</v>
      </c>
      <c r="T474" s="51" t="s">
        <v>2380</v>
      </c>
      <c r="U474" s="51" t="s">
        <v>3032</v>
      </c>
      <c r="V474" s="51" t="s">
        <v>2142</v>
      </c>
      <c r="X474" s="51"/>
    </row>
    <row r="475" customFormat="false" ht="14.25" hidden="false" customHeight="false" outlineLevel="0" collapsed="false">
      <c r="A475" s="49" t="s">
        <v>2137</v>
      </c>
      <c r="B475" s="49" t="s">
        <v>14</v>
      </c>
      <c r="C475" s="49" t="s">
        <v>586</v>
      </c>
      <c r="D475" s="49" t="s">
        <v>2441</v>
      </c>
      <c r="E475" s="49" t="s">
        <v>3032</v>
      </c>
      <c r="F475" s="49" t="s">
        <v>562</v>
      </c>
      <c r="G475" s="49" t="n">
        <v>4</v>
      </c>
      <c r="H475" s="0" t="n">
        <v>0</v>
      </c>
      <c r="I475" s="51" t="s">
        <v>3054</v>
      </c>
      <c r="J475" s="49" t="s">
        <v>3042</v>
      </c>
      <c r="K475" s="52" t="n">
        <v>47868</v>
      </c>
      <c r="M475" s="51" t="s">
        <v>3035</v>
      </c>
      <c r="N475" s="0" t="n">
        <v>4</v>
      </c>
      <c r="O475" s="53" t="n">
        <v>46056.4970717593</v>
      </c>
      <c r="P475" s="53" t="n">
        <v>46056.7040972222</v>
      </c>
      <c r="Q475" s="53" t="n">
        <v>46056.4970717593</v>
      </c>
      <c r="R475" s="0" t="n">
        <v>0</v>
      </c>
      <c r="S475" s="51" t="s">
        <v>2380</v>
      </c>
      <c r="T475" s="51" t="s">
        <v>2380</v>
      </c>
      <c r="U475" s="51" t="s">
        <v>3032</v>
      </c>
      <c r="V475" s="51" t="s">
        <v>2142</v>
      </c>
      <c r="X475" s="51"/>
    </row>
    <row r="476" customFormat="false" ht="14.25" hidden="false" customHeight="false" outlineLevel="0" collapsed="false">
      <c r="A476" s="49" t="s">
        <v>2137</v>
      </c>
      <c r="B476" s="49" t="s">
        <v>14</v>
      </c>
      <c r="C476" s="49" t="s">
        <v>585</v>
      </c>
      <c r="D476" s="49" t="s">
        <v>2441</v>
      </c>
      <c r="E476" s="49" t="s">
        <v>3032</v>
      </c>
      <c r="F476" s="49" t="s">
        <v>562</v>
      </c>
      <c r="G476" s="49" t="n">
        <v>4</v>
      </c>
      <c r="H476" s="0" t="n">
        <v>0</v>
      </c>
      <c r="I476" s="51" t="s">
        <v>3055</v>
      </c>
      <c r="J476" s="49" t="s">
        <v>3034</v>
      </c>
      <c r="K476" s="52" t="n">
        <v>47868</v>
      </c>
      <c r="M476" s="51" t="s">
        <v>3035</v>
      </c>
      <c r="N476" s="0" t="n">
        <v>4</v>
      </c>
      <c r="O476" s="53" t="n">
        <v>46056.4971875</v>
      </c>
      <c r="P476" s="53" t="n">
        <v>46056.703900463</v>
      </c>
      <c r="Q476" s="53" t="n">
        <v>46056.4971875</v>
      </c>
      <c r="R476" s="0" t="n">
        <v>0</v>
      </c>
      <c r="S476" s="51" t="s">
        <v>2380</v>
      </c>
      <c r="T476" s="51" t="s">
        <v>2380</v>
      </c>
      <c r="U476" s="51" t="s">
        <v>3032</v>
      </c>
      <c r="V476" s="51" t="s">
        <v>2142</v>
      </c>
      <c r="X476" s="51"/>
    </row>
    <row r="477" customFormat="false" ht="14.25" hidden="false" customHeight="false" outlineLevel="0" collapsed="false">
      <c r="A477" s="49" t="s">
        <v>2137</v>
      </c>
      <c r="B477" s="49" t="s">
        <v>14</v>
      </c>
      <c r="C477" s="49" t="s">
        <v>584</v>
      </c>
      <c r="D477" s="49" t="s">
        <v>2441</v>
      </c>
      <c r="E477" s="49" t="s">
        <v>3032</v>
      </c>
      <c r="F477" s="49" t="s">
        <v>562</v>
      </c>
      <c r="G477" s="49" t="n">
        <v>4</v>
      </c>
      <c r="H477" s="0" t="n">
        <v>0</v>
      </c>
      <c r="I477" s="51" t="s">
        <v>3056</v>
      </c>
      <c r="J477" s="49" t="s">
        <v>3042</v>
      </c>
      <c r="K477" s="52" t="n">
        <v>47868</v>
      </c>
      <c r="M477" s="51" t="s">
        <v>3035</v>
      </c>
      <c r="N477" s="0" t="n">
        <v>4</v>
      </c>
      <c r="O477" s="53" t="n">
        <v>46056.4973148148</v>
      </c>
      <c r="P477" s="53" t="n">
        <v>46056.7039814815</v>
      </c>
      <c r="Q477" s="53" t="n">
        <v>46056.4973148148</v>
      </c>
      <c r="R477" s="0" t="n">
        <v>0</v>
      </c>
      <c r="S477" s="51" t="s">
        <v>2380</v>
      </c>
      <c r="T477" s="51" t="s">
        <v>2380</v>
      </c>
      <c r="U477" s="51" t="s">
        <v>3032</v>
      </c>
      <c r="V477" s="51" t="s">
        <v>2142</v>
      </c>
      <c r="X477" s="51"/>
    </row>
    <row r="478" customFormat="false" ht="14.25" hidden="false" customHeight="false" outlineLevel="0" collapsed="false">
      <c r="A478" s="49" t="s">
        <v>2137</v>
      </c>
      <c r="B478" s="49" t="s">
        <v>14</v>
      </c>
      <c r="C478" s="49" t="s">
        <v>583</v>
      </c>
      <c r="D478" s="49" t="s">
        <v>2441</v>
      </c>
      <c r="E478" s="49" t="s">
        <v>3032</v>
      </c>
      <c r="F478" s="49" t="s">
        <v>562</v>
      </c>
      <c r="G478" s="49" t="n">
        <v>4</v>
      </c>
      <c r="H478" s="0" t="n">
        <v>0</v>
      </c>
      <c r="I478" s="51" t="s">
        <v>3057</v>
      </c>
      <c r="J478" s="49" t="s">
        <v>3034</v>
      </c>
      <c r="K478" s="52" t="n">
        <v>47868</v>
      </c>
      <c r="M478" s="51" t="s">
        <v>3035</v>
      </c>
      <c r="N478" s="0" t="n">
        <v>4</v>
      </c>
      <c r="O478" s="53" t="n">
        <v>46056.4974421296</v>
      </c>
      <c r="P478" s="53" t="n">
        <v>46056.7037962963</v>
      </c>
      <c r="Q478" s="53" t="n">
        <v>46056.4974421296</v>
      </c>
      <c r="R478" s="0" t="n">
        <v>0</v>
      </c>
      <c r="S478" s="51" t="s">
        <v>2380</v>
      </c>
      <c r="T478" s="51" t="s">
        <v>2380</v>
      </c>
      <c r="U478" s="51" t="s">
        <v>3032</v>
      </c>
      <c r="V478" s="51" t="s">
        <v>2142</v>
      </c>
      <c r="X478" s="51"/>
    </row>
    <row r="479" customFormat="false" ht="14.25" hidden="false" customHeight="false" outlineLevel="0" collapsed="false">
      <c r="A479" s="49" t="s">
        <v>2137</v>
      </c>
      <c r="B479" s="49" t="s">
        <v>14</v>
      </c>
      <c r="C479" s="49" t="s">
        <v>582</v>
      </c>
      <c r="D479" s="49" t="s">
        <v>2441</v>
      </c>
      <c r="E479" s="49" t="s">
        <v>3032</v>
      </c>
      <c r="F479" s="49" t="s">
        <v>562</v>
      </c>
      <c r="G479" s="49" t="n">
        <v>4</v>
      </c>
      <c r="H479" s="0" t="n">
        <v>0</v>
      </c>
      <c r="I479" s="51" t="s">
        <v>3058</v>
      </c>
      <c r="J479" s="49" t="s">
        <v>3042</v>
      </c>
      <c r="K479" s="52" t="n">
        <v>47868</v>
      </c>
      <c r="M479" s="51" t="s">
        <v>3035</v>
      </c>
      <c r="N479" s="0" t="n">
        <v>4</v>
      </c>
      <c r="O479" s="53" t="n">
        <v>46056.4978472222</v>
      </c>
      <c r="P479" s="53" t="n">
        <v>46056.7038425926</v>
      </c>
      <c r="Q479" s="53" t="n">
        <v>46056.4978472222</v>
      </c>
      <c r="R479" s="0" t="n">
        <v>0</v>
      </c>
      <c r="S479" s="51" t="s">
        <v>2380</v>
      </c>
      <c r="T479" s="51" t="s">
        <v>2380</v>
      </c>
      <c r="U479" s="51" t="s">
        <v>3032</v>
      </c>
      <c r="V479" s="51" t="s">
        <v>2142</v>
      </c>
      <c r="X479" s="51"/>
    </row>
    <row r="480" customFormat="false" ht="14.25" hidden="false" customHeight="false" outlineLevel="0" collapsed="false">
      <c r="A480" s="49" t="s">
        <v>2137</v>
      </c>
      <c r="B480" s="49" t="s">
        <v>14</v>
      </c>
      <c r="C480" s="49" t="s">
        <v>581</v>
      </c>
      <c r="D480" s="49" t="s">
        <v>2441</v>
      </c>
      <c r="E480" s="49" t="s">
        <v>3032</v>
      </c>
      <c r="F480" s="49" t="s">
        <v>562</v>
      </c>
      <c r="G480" s="49" t="n">
        <v>4</v>
      </c>
      <c r="H480" s="0" t="n">
        <v>0</v>
      </c>
      <c r="I480" s="51" t="s">
        <v>3059</v>
      </c>
      <c r="J480" s="49" t="s">
        <v>3042</v>
      </c>
      <c r="K480" s="52" t="n">
        <v>47868</v>
      </c>
      <c r="M480" s="51" t="s">
        <v>3035</v>
      </c>
      <c r="N480" s="0" t="n">
        <v>4</v>
      </c>
      <c r="O480" s="53" t="n">
        <v>46056.4980208333</v>
      </c>
      <c r="P480" s="53" t="n">
        <v>46056.7037152778</v>
      </c>
      <c r="Q480" s="53" t="n">
        <v>46056.4980208333</v>
      </c>
      <c r="R480" s="0" t="n">
        <v>0</v>
      </c>
      <c r="S480" s="51" t="s">
        <v>2380</v>
      </c>
      <c r="T480" s="51" t="s">
        <v>2380</v>
      </c>
      <c r="U480" s="51" t="s">
        <v>3032</v>
      </c>
      <c r="V480" s="51" t="s">
        <v>2142</v>
      </c>
      <c r="X480" s="51"/>
    </row>
    <row r="481" customFormat="false" ht="14.25" hidden="true" customHeight="false" outlineLevel="0" collapsed="false">
      <c r="A481" s="49" t="s">
        <v>2137</v>
      </c>
      <c r="B481" s="49" t="s">
        <v>14</v>
      </c>
      <c r="C481" s="49" t="s">
        <v>578</v>
      </c>
      <c r="D481" s="49" t="s">
        <v>2441</v>
      </c>
      <c r="E481" s="49" t="s">
        <v>3032</v>
      </c>
      <c r="F481" s="49" t="s">
        <v>562</v>
      </c>
      <c r="G481" s="49" t="n">
        <v>4</v>
      </c>
      <c r="H481" s="0" t="n">
        <v>0</v>
      </c>
      <c r="I481" s="51" t="s">
        <v>3060</v>
      </c>
      <c r="J481" s="49" t="s">
        <v>3042</v>
      </c>
      <c r="K481" s="52" t="n">
        <v>47868</v>
      </c>
      <c r="M481" s="51" t="s">
        <v>3035</v>
      </c>
      <c r="N481" s="49" t="n">
        <v>4</v>
      </c>
      <c r="O481" s="53" t="n">
        <v>46056.4985763889</v>
      </c>
      <c r="P481" s="53" t="n">
        <v>46056.7036226852</v>
      </c>
      <c r="Q481" s="53" t="n">
        <v>46056.4985763889</v>
      </c>
      <c r="R481" s="0" t="n">
        <v>0</v>
      </c>
      <c r="S481" s="51" t="s">
        <v>2380</v>
      </c>
      <c r="T481" s="51" t="s">
        <v>2380</v>
      </c>
      <c r="U481" s="51" t="s">
        <v>3032</v>
      </c>
      <c r="V481" s="51" t="s">
        <v>2142</v>
      </c>
      <c r="W481" s="51"/>
      <c r="X481" s="51"/>
    </row>
    <row r="482" customFormat="false" ht="14.25" hidden="false" customHeight="false" outlineLevel="0" collapsed="false">
      <c r="A482" s="49" t="s">
        <v>2137</v>
      </c>
      <c r="B482" s="49" t="s">
        <v>14</v>
      </c>
      <c r="C482" s="49" t="s">
        <v>587</v>
      </c>
      <c r="D482" s="49" t="s">
        <v>2441</v>
      </c>
      <c r="E482" s="49" t="s">
        <v>3032</v>
      </c>
      <c r="F482" s="49" t="s">
        <v>562</v>
      </c>
      <c r="G482" s="49" t="n">
        <v>4</v>
      </c>
      <c r="H482" s="0" t="n">
        <v>0</v>
      </c>
      <c r="I482" s="51" t="s">
        <v>3061</v>
      </c>
      <c r="J482" s="49" t="s">
        <v>3034</v>
      </c>
      <c r="K482" s="52" t="n">
        <v>47868</v>
      </c>
      <c r="L482" s="54"/>
      <c r="M482" s="51" t="s">
        <v>3035</v>
      </c>
      <c r="N482" s="0" t="n">
        <v>4</v>
      </c>
      <c r="O482" s="53" t="n">
        <v>46056.4969212963</v>
      </c>
      <c r="P482" s="53" t="n">
        <v>46056.7044328704</v>
      </c>
      <c r="Q482" s="0" t="n">
        <v>46056.4969212963</v>
      </c>
      <c r="R482" s="0" t="n">
        <v>0</v>
      </c>
      <c r="S482" s="51" t="s">
        <v>2380</v>
      </c>
      <c r="T482" s="51" t="s">
        <v>2380</v>
      </c>
      <c r="U482" s="51" t="s">
        <v>3032</v>
      </c>
      <c r="V482" s="51" t="s">
        <v>2142</v>
      </c>
    </row>
    <row r="483" customFormat="false" ht="14.25" hidden="true" customHeight="false" outlineLevel="0" collapsed="false">
      <c r="A483" s="49" t="s">
        <v>2137</v>
      </c>
      <c r="B483" s="49" t="s">
        <v>14</v>
      </c>
      <c r="C483" s="49" t="s">
        <v>691</v>
      </c>
      <c r="D483" s="49" t="s">
        <v>2441</v>
      </c>
      <c r="E483" s="49" t="s">
        <v>2140</v>
      </c>
      <c r="F483" s="49" t="s">
        <v>80</v>
      </c>
      <c r="G483" s="49" t="n">
        <v>4</v>
      </c>
      <c r="H483" s="0" t="n">
        <v>0</v>
      </c>
      <c r="I483" s="51" t="s">
        <v>3062</v>
      </c>
      <c r="J483" s="49" t="s">
        <v>2257</v>
      </c>
      <c r="K483" s="52" t="n">
        <v>47868</v>
      </c>
      <c r="L483" s="54"/>
      <c r="M483" s="51" t="s">
        <v>2895</v>
      </c>
      <c r="N483" s="49" t="n">
        <v>4</v>
      </c>
      <c r="O483" s="53" t="n">
        <v>46057.4395023148</v>
      </c>
      <c r="P483" s="53" t="n">
        <v>46057.63875</v>
      </c>
      <c r="Q483" s="53" t="n">
        <v>46057.4395023148</v>
      </c>
      <c r="R483" s="0" t="n">
        <v>0</v>
      </c>
      <c r="S483" s="51" t="s">
        <v>2380</v>
      </c>
      <c r="T483" s="51" t="s">
        <v>2380</v>
      </c>
      <c r="U483" s="51" t="s">
        <v>2140</v>
      </c>
      <c r="V483" s="51" t="s">
        <v>2142</v>
      </c>
      <c r="X483" s="51"/>
    </row>
    <row r="484" customFormat="false" ht="14.25" hidden="true" customHeight="false" outlineLevel="0" collapsed="false">
      <c r="A484" s="49" t="s">
        <v>2137</v>
      </c>
      <c r="B484" s="49" t="s">
        <v>14</v>
      </c>
      <c r="C484" s="49" t="s">
        <v>690</v>
      </c>
      <c r="D484" s="49" t="s">
        <v>2441</v>
      </c>
      <c r="E484" s="49" t="s">
        <v>2140</v>
      </c>
      <c r="F484" s="49" t="s">
        <v>80</v>
      </c>
      <c r="G484" s="49" t="n">
        <v>4</v>
      </c>
      <c r="H484" s="0" t="n">
        <v>0</v>
      </c>
      <c r="I484" s="51" t="s">
        <v>3063</v>
      </c>
      <c r="J484" s="49" t="s">
        <v>2257</v>
      </c>
      <c r="K484" s="52" t="n">
        <v>47868</v>
      </c>
      <c r="M484" s="51" t="s">
        <v>2895</v>
      </c>
      <c r="N484" s="49" t="n">
        <v>4</v>
      </c>
      <c r="O484" s="53" t="n">
        <v>46057.4397106482</v>
      </c>
      <c r="P484" s="53" t="n">
        <v>46057.6387152778</v>
      </c>
      <c r="Q484" s="53" t="n">
        <v>46057.4397106482</v>
      </c>
      <c r="R484" s="0" t="n">
        <v>0</v>
      </c>
      <c r="S484" s="51" t="s">
        <v>2380</v>
      </c>
      <c r="T484" s="51" t="s">
        <v>2380</v>
      </c>
      <c r="U484" s="51" t="s">
        <v>2140</v>
      </c>
      <c r="V484" s="51" t="s">
        <v>2142</v>
      </c>
      <c r="X484" s="51"/>
    </row>
    <row r="485" customFormat="false" ht="14.25" hidden="false" customHeight="false" outlineLevel="0" collapsed="false">
      <c r="A485" s="49" t="s">
        <v>2137</v>
      </c>
      <c r="B485" s="49" t="s">
        <v>14</v>
      </c>
      <c r="C485" s="49" t="s">
        <v>689</v>
      </c>
      <c r="D485" s="49" t="s">
        <v>2441</v>
      </c>
      <c r="E485" s="49" t="s">
        <v>2140</v>
      </c>
      <c r="F485" s="49" t="s">
        <v>80</v>
      </c>
      <c r="G485" s="49" t="n">
        <v>4</v>
      </c>
      <c r="H485" s="0" t="n">
        <v>0</v>
      </c>
      <c r="I485" s="51" t="s">
        <v>2632</v>
      </c>
      <c r="J485" s="49" t="s">
        <v>2257</v>
      </c>
      <c r="K485" s="52" t="n">
        <v>47868</v>
      </c>
      <c r="L485" s="54"/>
      <c r="M485" s="51" t="s">
        <v>2895</v>
      </c>
      <c r="N485" s="0" t="n">
        <v>4</v>
      </c>
      <c r="O485" s="53" t="n">
        <v>46057.4398611111</v>
      </c>
      <c r="P485" s="53" t="n">
        <v>46057.639537037</v>
      </c>
      <c r="Q485" s="53" t="n">
        <v>46057.4398611111</v>
      </c>
      <c r="R485" s="0" t="n">
        <v>0</v>
      </c>
      <c r="S485" s="51" t="s">
        <v>2380</v>
      </c>
      <c r="T485" s="51" t="s">
        <v>2380</v>
      </c>
      <c r="U485" s="51" t="s">
        <v>2140</v>
      </c>
      <c r="V485" s="51" t="s">
        <v>2142</v>
      </c>
      <c r="X485" s="51"/>
    </row>
    <row r="486" customFormat="false" ht="14.25" hidden="false" customHeight="false" outlineLevel="0" collapsed="false">
      <c r="A486" s="49" t="s">
        <v>2137</v>
      </c>
      <c r="B486" s="49" t="s">
        <v>14</v>
      </c>
      <c r="C486" s="49" t="s">
        <v>688</v>
      </c>
      <c r="D486" s="49" t="s">
        <v>2441</v>
      </c>
      <c r="E486" s="49" t="s">
        <v>2140</v>
      </c>
      <c r="F486" s="49" t="s">
        <v>80</v>
      </c>
      <c r="G486" s="49" t="n">
        <v>4</v>
      </c>
      <c r="H486" s="0" t="n">
        <v>0</v>
      </c>
      <c r="I486" s="51" t="s">
        <v>2634</v>
      </c>
      <c r="J486" s="49" t="s">
        <v>2257</v>
      </c>
      <c r="K486" s="52" t="n">
        <v>47868</v>
      </c>
      <c r="L486" s="54"/>
      <c r="M486" s="51" t="s">
        <v>2895</v>
      </c>
      <c r="N486" s="0" t="n">
        <v>4</v>
      </c>
      <c r="O486" s="53" t="n">
        <v>46057.4399884259</v>
      </c>
      <c r="P486" s="53" t="n">
        <v>46057.6394907407</v>
      </c>
      <c r="Q486" s="53" t="n">
        <v>46057.4399884259</v>
      </c>
      <c r="R486" s="0" t="n">
        <v>0</v>
      </c>
      <c r="S486" s="51" t="s">
        <v>2380</v>
      </c>
      <c r="T486" s="51" t="s">
        <v>2380</v>
      </c>
      <c r="U486" s="51" t="s">
        <v>2140</v>
      </c>
      <c r="V486" s="51" t="s">
        <v>2142</v>
      </c>
      <c r="X486" s="51"/>
    </row>
    <row r="487" customFormat="false" ht="14.25" hidden="false" customHeight="false" outlineLevel="0" collapsed="false">
      <c r="A487" s="49" t="s">
        <v>2137</v>
      </c>
      <c r="B487" s="49" t="s">
        <v>14</v>
      </c>
      <c r="C487" s="49" t="s">
        <v>687</v>
      </c>
      <c r="D487" s="49" t="s">
        <v>2441</v>
      </c>
      <c r="E487" s="49" t="s">
        <v>2140</v>
      </c>
      <c r="F487" s="49" t="s">
        <v>80</v>
      </c>
      <c r="G487" s="49" t="n">
        <v>4</v>
      </c>
      <c r="H487" s="0" t="n">
        <v>0</v>
      </c>
      <c r="I487" s="51" t="s">
        <v>2704</v>
      </c>
      <c r="J487" s="49" t="s">
        <v>2257</v>
      </c>
      <c r="K487" s="52" t="n">
        <v>47868</v>
      </c>
      <c r="L487" s="54"/>
      <c r="M487" s="51" t="s">
        <v>2895</v>
      </c>
      <c r="N487" s="0" t="n">
        <v>4</v>
      </c>
      <c r="O487" s="53" t="n">
        <v>46057.4401736111</v>
      </c>
      <c r="P487" s="53" t="n">
        <v>46057.6395717593</v>
      </c>
      <c r="Q487" s="53" t="n">
        <v>46057.4401736111</v>
      </c>
      <c r="R487" s="0" t="n">
        <v>0</v>
      </c>
      <c r="S487" s="51" t="s">
        <v>2380</v>
      </c>
      <c r="T487" s="51" t="s">
        <v>2380</v>
      </c>
      <c r="U487" s="51" t="s">
        <v>2140</v>
      </c>
      <c r="V487" s="51" t="s">
        <v>2142</v>
      </c>
      <c r="X487" s="51"/>
    </row>
    <row r="488" customFormat="false" ht="14.25" hidden="true" customHeight="false" outlineLevel="0" collapsed="false">
      <c r="A488" s="49" t="s">
        <v>2137</v>
      </c>
      <c r="B488" s="49" t="s">
        <v>14</v>
      </c>
      <c r="C488" s="49" t="s">
        <v>686</v>
      </c>
      <c r="D488" s="49" t="s">
        <v>2441</v>
      </c>
      <c r="E488" s="49" t="s">
        <v>2140</v>
      </c>
      <c r="F488" s="49" t="s">
        <v>80</v>
      </c>
      <c r="G488" s="49" t="n">
        <v>4</v>
      </c>
      <c r="H488" s="0" t="n">
        <v>0</v>
      </c>
      <c r="I488" s="51" t="s">
        <v>2618</v>
      </c>
      <c r="J488" s="49" t="s">
        <v>2257</v>
      </c>
      <c r="K488" s="52" t="n">
        <v>47868</v>
      </c>
      <c r="M488" s="51" t="s">
        <v>2895</v>
      </c>
      <c r="N488" s="49" t="n">
        <v>4</v>
      </c>
      <c r="O488" s="53" t="n">
        <v>46057.4443981481</v>
      </c>
      <c r="P488" s="53" t="n">
        <v>46057.6397569444</v>
      </c>
      <c r="Q488" s="53" t="n">
        <v>46057.4443981481</v>
      </c>
      <c r="R488" s="0" t="n">
        <v>0</v>
      </c>
      <c r="S488" s="51" t="s">
        <v>2380</v>
      </c>
      <c r="T488" s="51" t="s">
        <v>2380</v>
      </c>
      <c r="U488" s="51" t="s">
        <v>2140</v>
      </c>
      <c r="V488" s="51" t="s">
        <v>2142</v>
      </c>
      <c r="W488" s="51"/>
      <c r="X488" s="51"/>
    </row>
    <row r="489" customFormat="false" ht="14.25" hidden="true" customHeight="false" outlineLevel="0" collapsed="false">
      <c r="A489" s="49" t="s">
        <v>2137</v>
      </c>
      <c r="B489" s="49" t="s">
        <v>14</v>
      </c>
      <c r="C489" s="49" t="s">
        <v>685</v>
      </c>
      <c r="D489" s="49" t="s">
        <v>2441</v>
      </c>
      <c r="E489" s="49" t="s">
        <v>2140</v>
      </c>
      <c r="F489" s="49" t="s">
        <v>80</v>
      </c>
      <c r="G489" s="49" t="n">
        <v>4</v>
      </c>
      <c r="H489" s="0" t="n">
        <v>0</v>
      </c>
      <c r="I489" s="51" t="s">
        <v>2702</v>
      </c>
      <c r="J489" s="49" t="s">
        <v>2257</v>
      </c>
      <c r="K489" s="52" t="n">
        <v>47868</v>
      </c>
      <c r="M489" s="51" t="s">
        <v>2895</v>
      </c>
      <c r="N489" s="49" t="n">
        <v>4</v>
      </c>
      <c r="O489" s="53" t="n">
        <v>46057.4466666667</v>
      </c>
      <c r="P489" s="53" t="n">
        <v>46057.6396064815</v>
      </c>
      <c r="Q489" s="53" t="n">
        <v>46057.4466666667</v>
      </c>
      <c r="R489" s="0" t="n">
        <v>0</v>
      </c>
      <c r="S489" s="51" t="s">
        <v>2380</v>
      </c>
      <c r="T489" s="51" t="s">
        <v>2380</v>
      </c>
      <c r="U489" s="51" t="s">
        <v>2140</v>
      </c>
      <c r="V489" s="51" t="s">
        <v>2142</v>
      </c>
      <c r="W489" s="51"/>
      <c r="X489" s="51"/>
    </row>
    <row r="490" customFormat="false" ht="14.25" hidden="true" customHeight="false" outlineLevel="0" collapsed="false">
      <c r="A490" s="49" t="s">
        <v>2137</v>
      </c>
      <c r="B490" s="49" t="s">
        <v>14</v>
      </c>
      <c r="C490" s="49" t="s">
        <v>684</v>
      </c>
      <c r="D490" s="49" t="s">
        <v>2441</v>
      </c>
      <c r="E490" s="49" t="s">
        <v>2140</v>
      </c>
      <c r="F490" s="49" t="s">
        <v>80</v>
      </c>
      <c r="G490" s="49" t="n">
        <v>4</v>
      </c>
      <c r="H490" s="0" t="n">
        <v>0</v>
      </c>
      <c r="I490" s="51" t="s">
        <v>3064</v>
      </c>
      <c r="J490" s="49" t="s">
        <v>2257</v>
      </c>
      <c r="K490" s="52" t="n">
        <v>47868</v>
      </c>
      <c r="M490" s="51" t="s">
        <v>2895</v>
      </c>
      <c r="N490" s="49" t="n">
        <v>4</v>
      </c>
      <c r="O490" s="53" t="n">
        <v>46057.4468402778</v>
      </c>
      <c r="P490" s="53" t="n">
        <v>46057.6386342593</v>
      </c>
      <c r="Q490" s="53" t="n">
        <v>46057.4468402778</v>
      </c>
      <c r="R490" s="0" t="n">
        <v>0</v>
      </c>
      <c r="S490" s="51" t="s">
        <v>2380</v>
      </c>
      <c r="T490" s="51" t="s">
        <v>2380</v>
      </c>
      <c r="U490" s="51" t="s">
        <v>2140</v>
      </c>
      <c r="V490" s="51" t="s">
        <v>2142</v>
      </c>
      <c r="W490" s="51"/>
      <c r="X490" s="51"/>
    </row>
    <row r="491" customFormat="false" ht="14.25" hidden="true" customHeight="false" outlineLevel="0" collapsed="false">
      <c r="A491" s="49" t="s">
        <v>2137</v>
      </c>
      <c r="B491" s="49" t="s">
        <v>14</v>
      </c>
      <c r="C491" s="49" t="s">
        <v>683</v>
      </c>
      <c r="D491" s="49" t="s">
        <v>2441</v>
      </c>
      <c r="E491" s="49" t="s">
        <v>2140</v>
      </c>
      <c r="F491" s="49" t="s">
        <v>80</v>
      </c>
      <c r="G491" s="49" t="n">
        <v>4</v>
      </c>
      <c r="H491" s="0" t="n">
        <v>0</v>
      </c>
      <c r="I491" s="51" t="s">
        <v>3065</v>
      </c>
      <c r="J491" s="49" t="s">
        <v>2257</v>
      </c>
      <c r="K491" s="52" t="n">
        <v>47868</v>
      </c>
      <c r="M491" s="51" t="s">
        <v>2895</v>
      </c>
      <c r="N491" s="49" t="n">
        <v>4</v>
      </c>
      <c r="O491" s="53" t="n">
        <v>46057.4675925926</v>
      </c>
      <c r="P491" s="53" t="n">
        <v>46057.6386805556</v>
      </c>
      <c r="Q491" s="53" t="n">
        <v>46057.4675925926</v>
      </c>
      <c r="R491" s="0" t="n">
        <v>0</v>
      </c>
      <c r="S491" s="51" t="s">
        <v>2398</v>
      </c>
      <c r="T491" s="51" t="s">
        <v>2398</v>
      </c>
      <c r="U491" s="51" t="s">
        <v>2140</v>
      </c>
      <c r="V491" s="51" t="s">
        <v>2142</v>
      </c>
      <c r="W491" s="51"/>
      <c r="X491" s="51"/>
    </row>
    <row r="492" customFormat="false" ht="14.25" hidden="true" customHeight="false" outlineLevel="0" collapsed="false">
      <c r="A492" s="49" t="s">
        <v>2137</v>
      </c>
      <c r="B492" s="49" t="s">
        <v>14</v>
      </c>
      <c r="C492" s="49" t="s">
        <v>679</v>
      </c>
      <c r="D492" s="49" t="s">
        <v>2441</v>
      </c>
      <c r="E492" s="49" t="s">
        <v>2140</v>
      </c>
      <c r="F492" s="49" t="s">
        <v>80</v>
      </c>
      <c r="G492" s="49" t="n">
        <v>4</v>
      </c>
      <c r="H492" s="0" t="n">
        <v>0</v>
      </c>
      <c r="I492" s="51" t="s">
        <v>3066</v>
      </c>
      <c r="J492" s="49" t="s">
        <v>2257</v>
      </c>
      <c r="K492" s="52" t="n">
        <v>47868</v>
      </c>
      <c r="M492" s="51" t="s">
        <v>2895</v>
      </c>
      <c r="N492" s="49" t="n">
        <v>4</v>
      </c>
      <c r="O492" s="53" t="n">
        <v>46057.4678703704</v>
      </c>
      <c r="P492" s="53" t="n">
        <v>46057.6387847222</v>
      </c>
      <c r="Q492" s="53" t="n">
        <v>46057.4678703704</v>
      </c>
      <c r="R492" s="0" t="n">
        <v>0</v>
      </c>
      <c r="S492" s="51" t="s">
        <v>2398</v>
      </c>
      <c r="T492" s="51" t="s">
        <v>2398</v>
      </c>
      <c r="U492" s="51" t="s">
        <v>2140</v>
      </c>
      <c r="V492" s="51" t="s">
        <v>2142</v>
      </c>
      <c r="W492" s="51"/>
      <c r="X492" s="51"/>
    </row>
    <row r="493" customFormat="false" ht="14.25" hidden="true" customHeight="false" outlineLevel="0" collapsed="false">
      <c r="A493" s="49" t="s">
        <v>2137</v>
      </c>
      <c r="B493" s="49" t="s">
        <v>14</v>
      </c>
      <c r="C493" s="49" t="s">
        <v>708</v>
      </c>
      <c r="D493" s="49" t="s">
        <v>2441</v>
      </c>
      <c r="E493" s="49" t="s">
        <v>2140</v>
      </c>
      <c r="F493" s="49" t="s">
        <v>80</v>
      </c>
      <c r="G493" s="49" t="n">
        <v>4</v>
      </c>
      <c r="H493" s="0" t="n">
        <v>0</v>
      </c>
      <c r="I493" s="51" t="s">
        <v>3067</v>
      </c>
      <c r="J493" s="49" t="s">
        <v>2257</v>
      </c>
      <c r="K493" s="52" t="n">
        <v>47868</v>
      </c>
      <c r="M493" s="51" t="s">
        <v>2895</v>
      </c>
      <c r="N493" s="49" t="n">
        <v>4</v>
      </c>
      <c r="O493" s="53" t="n">
        <v>46057.4680324074</v>
      </c>
      <c r="P493" s="53" t="n">
        <v>46057.6388425926</v>
      </c>
      <c r="Q493" s="53" t="n">
        <v>46057.4680324074</v>
      </c>
      <c r="R493" s="0" t="n">
        <v>0</v>
      </c>
      <c r="S493" s="51" t="s">
        <v>2398</v>
      </c>
      <c r="T493" s="51" t="s">
        <v>2398</v>
      </c>
      <c r="U493" s="51" t="s">
        <v>2140</v>
      </c>
      <c r="V493" s="51" t="s">
        <v>2142</v>
      </c>
      <c r="W493" s="51"/>
      <c r="X493" s="51"/>
    </row>
    <row r="494" customFormat="false" ht="14.25" hidden="true" customHeight="false" outlineLevel="0" collapsed="false">
      <c r="A494" s="49" t="s">
        <v>2137</v>
      </c>
      <c r="B494" s="49" t="s">
        <v>14</v>
      </c>
      <c r="C494" s="49" t="s">
        <v>707</v>
      </c>
      <c r="D494" s="49" t="s">
        <v>2441</v>
      </c>
      <c r="E494" s="49" t="s">
        <v>2140</v>
      </c>
      <c r="F494" s="49" t="s">
        <v>80</v>
      </c>
      <c r="G494" s="49" t="n">
        <v>4</v>
      </c>
      <c r="H494" s="0" t="n">
        <v>0</v>
      </c>
      <c r="I494" s="51" t="s">
        <v>3068</v>
      </c>
      <c r="J494" s="49" t="s">
        <v>2257</v>
      </c>
      <c r="K494" s="52" t="n">
        <v>47868</v>
      </c>
      <c r="M494" s="51" t="s">
        <v>2895</v>
      </c>
      <c r="N494" s="49" t="n">
        <v>4</v>
      </c>
      <c r="O494" s="53" t="n">
        <v>46057.4681712963</v>
      </c>
      <c r="P494" s="53" t="n">
        <v>46057.6388888889</v>
      </c>
      <c r="Q494" s="53" t="n">
        <v>46057.4681712963</v>
      </c>
      <c r="R494" s="0" t="n">
        <v>0</v>
      </c>
      <c r="S494" s="51" t="s">
        <v>2398</v>
      </c>
      <c r="T494" s="51" t="s">
        <v>2398</v>
      </c>
      <c r="U494" s="51" t="s">
        <v>2140</v>
      </c>
      <c r="V494" s="51" t="s">
        <v>2142</v>
      </c>
      <c r="W494" s="51"/>
      <c r="X494" s="51"/>
    </row>
    <row r="495" customFormat="false" ht="14.25" hidden="true" customHeight="false" outlineLevel="0" collapsed="false">
      <c r="A495" s="49" t="s">
        <v>2137</v>
      </c>
      <c r="B495" s="49" t="s">
        <v>14</v>
      </c>
      <c r="C495" s="49" t="s">
        <v>706</v>
      </c>
      <c r="D495" s="49" t="s">
        <v>2441</v>
      </c>
      <c r="E495" s="49" t="s">
        <v>2140</v>
      </c>
      <c r="F495" s="49" t="s">
        <v>80</v>
      </c>
      <c r="G495" s="49" t="n">
        <v>4</v>
      </c>
      <c r="H495" s="0" t="n">
        <v>0</v>
      </c>
      <c r="I495" s="51" t="s">
        <v>2716</v>
      </c>
      <c r="J495" s="49" t="s">
        <v>2257</v>
      </c>
      <c r="K495" s="52" t="n">
        <v>47868</v>
      </c>
      <c r="M495" s="51" t="s">
        <v>2895</v>
      </c>
      <c r="N495" s="49" t="n">
        <v>4</v>
      </c>
      <c r="O495" s="53" t="n">
        <v>46057.4683101852</v>
      </c>
      <c r="P495" s="53" t="n">
        <v>46057.6392824074</v>
      </c>
      <c r="Q495" s="53" t="n">
        <v>46057.4683101852</v>
      </c>
      <c r="R495" s="0" t="n">
        <v>0</v>
      </c>
      <c r="S495" s="51" t="s">
        <v>2398</v>
      </c>
      <c r="T495" s="51" t="s">
        <v>2398</v>
      </c>
      <c r="U495" s="51" t="s">
        <v>2140</v>
      </c>
      <c r="V495" s="51" t="s">
        <v>2142</v>
      </c>
      <c r="W495" s="51"/>
      <c r="X495" s="51"/>
    </row>
    <row r="496" customFormat="false" ht="14.25" hidden="true" customHeight="false" outlineLevel="0" collapsed="false">
      <c r="A496" s="49" t="s">
        <v>2137</v>
      </c>
      <c r="B496" s="49" t="s">
        <v>14</v>
      </c>
      <c r="C496" s="49" t="s">
        <v>694</v>
      </c>
      <c r="D496" s="49" t="s">
        <v>2441</v>
      </c>
      <c r="E496" s="49" t="s">
        <v>2140</v>
      </c>
      <c r="F496" s="49" t="s">
        <v>80</v>
      </c>
      <c r="G496" s="49" t="n">
        <v>4</v>
      </c>
      <c r="H496" s="0" t="n">
        <v>0</v>
      </c>
      <c r="I496" s="51" t="s">
        <v>2685</v>
      </c>
      <c r="J496" s="49" t="s">
        <v>2257</v>
      </c>
      <c r="K496" s="52" t="n">
        <v>47868</v>
      </c>
      <c r="M496" s="51" t="s">
        <v>2895</v>
      </c>
      <c r="N496" s="49" t="n">
        <v>4</v>
      </c>
      <c r="O496" s="53" t="n">
        <v>46057.4700925926</v>
      </c>
      <c r="P496" s="53" t="n">
        <v>46057.6393287037</v>
      </c>
      <c r="Q496" s="53" t="n">
        <v>46057.4700925926</v>
      </c>
      <c r="R496" s="0" t="n">
        <v>0</v>
      </c>
      <c r="S496" s="51" t="s">
        <v>2398</v>
      </c>
      <c r="T496" s="51" t="s">
        <v>2398</v>
      </c>
      <c r="U496" s="51" t="s">
        <v>2140</v>
      </c>
      <c r="V496" s="51" t="s">
        <v>2142</v>
      </c>
      <c r="W496" s="51"/>
      <c r="X496" s="51"/>
    </row>
    <row r="497" customFormat="false" ht="14.25" hidden="true" customHeight="false" outlineLevel="0" collapsed="false">
      <c r="A497" s="49" t="s">
        <v>2137</v>
      </c>
      <c r="B497" s="49" t="s">
        <v>14</v>
      </c>
      <c r="C497" s="49" t="s">
        <v>695</v>
      </c>
      <c r="D497" s="49" t="s">
        <v>2441</v>
      </c>
      <c r="E497" s="49" t="s">
        <v>2140</v>
      </c>
      <c r="F497" s="49" t="s">
        <v>80</v>
      </c>
      <c r="G497" s="49" t="n">
        <v>4</v>
      </c>
      <c r="H497" s="0" t="n">
        <v>0</v>
      </c>
      <c r="I497" s="51" t="s">
        <v>2620</v>
      </c>
      <c r="J497" s="49" t="s">
        <v>2257</v>
      </c>
      <c r="K497" s="52" t="n">
        <v>47868</v>
      </c>
      <c r="M497" s="51" t="s">
        <v>2895</v>
      </c>
      <c r="N497" s="49" t="n">
        <v>4</v>
      </c>
      <c r="O497" s="53" t="n">
        <v>46057.4699768519</v>
      </c>
      <c r="P497" s="53" t="n">
        <v>46057.6392592593</v>
      </c>
      <c r="Q497" s="53" t="n">
        <v>46057.4699768519</v>
      </c>
      <c r="R497" s="0" t="n">
        <v>0</v>
      </c>
      <c r="S497" s="51" t="s">
        <v>2398</v>
      </c>
      <c r="T497" s="51" t="s">
        <v>2398</v>
      </c>
      <c r="U497" s="51" t="s">
        <v>2140</v>
      </c>
      <c r="V497" s="51" t="s">
        <v>2142</v>
      </c>
      <c r="W497" s="51"/>
      <c r="X497" s="51"/>
    </row>
    <row r="498" customFormat="false" ht="14.25" hidden="true" customHeight="false" outlineLevel="0" collapsed="false">
      <c r="A498" s="49" t="s">
        <v>2137</v>
      </c>
      <c r="B498" s="49" t="s">
        <v>14</v>
      </c>
      <c r="C498" s="49" t="s">
        <v>705</v>
      </c>
      <c r="D498" s="49" t="s">
        <v>2441</v>
      </c>
      <c r="E498" s="49" t="s">
        <v>2140</v>
      </c>
      <c r="F498" s="49" t="s">
        <v>80</v>
      </c>
      <c r="G498" s="49" t="n">
        <v>4</v>
      </c>
      <c r="H498" s="0" t="n">
        <v>0</v>
      </c>
      <c r="I498" s="51" t="s">
        <v>3069</v>
      </c>
      <c r="J498" s="49" t="s">
        <v>2257</v>
      </c>
      <c r="K498" s="52" t="n">
        <v>47868</v>
      </c>
      <c r="M498" s="51" t="s">
        <v>2895</v>
      </c>
      <c r="N498" s="49" t="n">
        <v>4</v>
      </c>
      <c r="O498" s="53" t="n">
        <v>46057.4684722222</v>
      </c>
      <c r="P498" s="53" t="n">
        <v>46057.639212963</v>
      </c>
      <c r="Q498" s="53" t="n">
        <v>46057.4684722222</v>
      </c>
      <c r="R498" s="0" t="n">
        <v>0</v>
      </c>
      <c r="S498" s="51" t="s">
        <v>2398</v>
      </c>
      <c r="T498" s="51" t="s">
        <v>2398</v>
      </c>
      <c r="U498" s="51" t="s">
        <v>2140</v>
      </c>
      <c r="V498" s="51" t="s">
        <v>2142</v>
      </c>
      <c r="W498" s="51"/>
      <c r="X498" s="51"/>
    </row>
    <row r="499" customFormat="false" ht="14.25" hidden="true" customHeight="false" outlineLevel="0" collapsed="false">
      <c r="A499" s="49" t="s">
        <v>2137</v>
      </c>
      <c r="B499" s="49" t="s">
        <v>14</v>
      </c>
      <c r="C499" s="49" t="s">
        <v>696</v>
      </c>
      <c r="D499" s="49" t="s">
        <v>2441</v>
      </c>
      <c r="E499" s="49" t="s">
        <v>2140</v>
      </c>
      <c r="F499" s="49" t="s">
        <v>80</v>
      </c>
      <c r="G499" s="49" t="n">
        <v>4</v>
      </c>
      <c r="H499" s="0" t="n">
        <v>0</v>
      </c>
      <c r="I499" s="51" t="s">
        <v>3070</v>
      </c>
      <c r="J499" s="49" t="s">
        <v>2257</v>
      </c>
      <c r="K499" s="52" t="n">
        <v>47868</v>
      </c>
      <c r="M499" s="51" t="s">
        <v>2895</v>
      </c>
      <c r="N499" s="49" t="n">
        <v>4</v>
      </c>
      <c r="O499" s="53" t="n">
        <v>46057.469849537</v>
      </c>
      <c r="P499" s="53" t="n">
        <v>46057.6391782407</v>
      </c>
      <c r="Q499" s="53" t="n">
        <v>46057.469849537</v>
      </c>
      <c r="R499" s="0" t="n">
        <v>0</v>
      </c>
      <c r="S499" s="51" t="s">
        <v>2398</v>
      </c>
      <c r="T499" s="51" t="s">
        <v>2398</v>
      </c>
      <c r="U499" s="51" t="s">
        <v>2140</v>
      </c>
      <c r="V499" s="51" t="s">
        <v>2142</v>
      </c>
      <c r="W499" s="51"/>
      <c r="X499" s="51"/>
    </row>
    <row r="500" customFormat="false" ht="14.25" hidden="true" customHeight="false" outlineLevel="0" collapsed="false">
      <c r="A500" s="49" t="s">
        <v>2137</v>
      </c>
      <c r="B500" s="49" t="s">
        <v>14</v>
      </c>
      <c r="C500" s="49" t="s">
        <v>704</v>
      </c>
      <c r="D500" s="49" t="s">
        <v>2441</v>
      </c>
      <c r="E500" s="49" t="s">
        <v>2140</v>
      </c>
      <c r="F500" s="49" t="s">
        <v>80</v>
      </c>
      <c r="G500" s="49" t="n">
        <v>4</v>
      </c>
      <c r="H500" s="0" t="n">
        <v>0</v>
      </c>
      <c r="I500" s="51" t="s">
        <v>2859</v>
      </c>
      <c r="J500" s="49" t="s">
        <v>2257</v>
      </c>
      <c r="K500" s="52" t="n">
        <v>47868</v>
      </c>
      <c r="M500" s="51" t="s">
        <v>2895</v>
      </c>
      <c r="N500" s="49" t="n">
        <v>4</v>
      </c>
      <c r="O500" s="53" t="n">
        <v>46057.4685763889</v>
      </c>
      <c r="P500" s="53" t="n">
        <v>46057.6391319444</v>
      </c>
      <c r="Q500" s="53" t="n">
        <v>46057.4685763889</v>
      </c>
      <c r="R500" s="0" t="n">
        <v>0</v>
      </c>
      <c r="S500" s="51" t="s">
        <v>2398</v>
      </c>
      <c r="T500" s="51" t="s">
        <v>2398</v>
      </c>
      <c r="U500" s="51" t="s">
        <v>2140</v>
      </c>
      <c r="V500" s="51" t="s">
        <v>2142</v>
      </c>
      <c r="W500" s="51"/>
      <c r="X500" s="51"/>
    </row>
    <row r="501" customFormat="false" ht="14.25" hidden="true" customHeight="false" outlineLevel="0" collapsed="false">
      <c r="A501" s="49" t="s">
        <v>2137</v>
      </c>
      <c r="B501" s="49" t="s">
        <v>14</v>
      </c>
      <c r="C501" s="49" t="s">
        <v>697</v>
      </c>
      <c r="D501" s="49" t="s">
        <v>2441</v>
      </c>
      <c r="E501" s="49" t="s">
        <v>2140</v>
      </c>
      <c r="F501" s="49" t="s">
        <v>80</v>
      </c>
      <c r="G501" s="49" t="n">
        <v>4</v>
      </c>
      <c r="H501" s="0" t="n">
        <v>0</v>
      </c>
      <c r="I501" s="51" t="s">
        <v>2931</v>
      </c>
      <c r="J501" s="49" t="s">
        <v>2257</v>
      </c>
      <c r="K501" s="52" t="n">
        <v>47868</v>
      </c>
      <c r="M501" s="51" t="s">
        <v>2895</v>
      </c>
      <c r="N501" s="49" t="n">
        <v>4</v>
      </c>
      <c r="O501" s="53" t="n">
        <v>46057.4697453704</v>
      </c>
      <c r="P501" s="53" t="n">
        <v>46057.6390972222</v>
      </c>
      <c r="Q501" s="53" t="n">
        <v>46057.4697453704</v>
      </c>
      <c r="R501" s="0" t="n">
        <v>0</v>
      </c>
      <c r="S501" s="51" t="s">
        <v>2398</v>
      </c>
      <c r="T501" s="51" t="s">
        <v>2398</v>
      </c>
      <c r="U501" s="51" t="s">
        <v>2140</v>
      </c>
      <c r="V501" s="51" t="s">
        <v>2142</v>
      </c>
      <c r="W501" s="51"/>
      <c r="X501" s="51"/>
    </row>
    <row r="502" customFormat="false" ht="14.25" hidden="true" customHeight="false" outlineLevel="0" collapsed="false">
      <c r="A502" s="49" t="s">
        <v>2137</v>
      </c>
      <c r="B502" s="49" t="s">
        <v>14</v>
      </c>
      <c r="C502" s="49" t="s">
        <v>703</v>
      </c>
      <c r="D502" s="49" t="s">
        <v>2441</v>
      </c>
      <c r="E502" s="49" t="s">
        <v>2140</v>
      </c>
      <c r="F502" s="49" t="s">
        <v>80</v>
      </c>
      <c r="G502" s="49" t="n">
        <v>4</v>
      </c>
      <c r="H502" s="0" t="n">
        <v>0</v>
      </c>
      <c r="I502" s="51" t="s">
        <v>3071</v>
      </c>
      <c r="J502" s="49" t="s">
        <v>2257</v>
      </c>
      <c r="K502" s="52" t="n">
        <v>47868</v>
      </c>
      <c r="M502" s="51" t="s">
        <v>2895</v>
      </c>
      <c r="N502" s="49" t="n">
        <v>4</v>
      </c>
      <c r="O502" s="53" t="n">
        <v>46057.4687152778</v>
      </c>
      <c r="P502" s="53" t="n">
        <v>46057.6390625</v>
      </c>
      <c r="Q502" s="53" t="n">
        <v>46057.4687152778</v>
      </c>
      <c r="R502" s="0" t="n">
        <v>0</v>
      </c>
      <c r="S502" s="51" t="s">
        <v>2398</v>
      </c>
      <c r="T502" s="51" t="s">
        <v>2398</v>
      </c>
      <c r="U502" s="51" t="s">
        <v>2140</v>
      </c>
      <c r="V502" s="51" t="s">
        <v>2142</v>
      </c>
      <c r="W502" s="51"/>
      <c r="X502" s="51"/>
    </row>
    <row r="503" customFormat="false" ht="14.25" hidden="false" customHeight="false" outlineLevel="0" collapsed="false">
      <c r="A503" s="49" t="s">
        <v>2137</v>
      </c>
      <c r="B503" s="49" t="s">
        <v>14</v>
      </c>
      <c r="C503" s="49" t="s">
        <v>698</v>
      </c>
      <c r="D503" s="49" t="s">
        <v>2441</v>
      </c>
      <c r="E503" s="49" t="s">
        <v>2140</v>
      </c>
      <c r="F503" s="49" t="s">
        <v>80</v>
      </c>
      <c r="G503" s="49" t="n">
        <v>4</v>
      </c>
      <c r="H503" s="0" t="n">
        <v>0</v>
      </c>
      <c r="I503" s="51" t="s">
        <v>2976</v>
      </c>
      <c r="J503" s="49" t="s">
        <v>2257</v>
      </c>
      <c r="K503" s="52" t="n">
        <v>47868</v>
      </c>
      <c r="M503" s="51" t="s">
        <v>2895</v>
      </c>
      <c r="N503" s="0" t="n">
        <v>4</v>
      </c>
      <c r="O503" s="53" t="n">
        <v>46057.4696296296</v>
      </c>
      <c r="P503" s="53" t="n">
        <v>46057.6390277778</v>
      </c>
      <c r="Q503" s="53" t="n">
        <v>46057.4696296296</v>
      </c>
      <c r="R503" s="0" t="n">
        <v>0</v>
      </c>
      <c r="S503" s="51" t="s">
        <v>2398</v>
      </c>
      <c r="T503" s="51" t="s">
        <v>2398</v>
      </c>
      <c r="U503" s="51" t="s">
        <v>2140</v>
      </c>
      <c r="V503" s="51" t="s">
        <v>2142</v>
      </c>
      <c r="W503" s="51"/>
      <c r="X503" s="51"/>
    </row>
    <row r="504" customFormat="false" ht="14.25" hidden="true" customHeight="false" outlineLevel="0" collapsed="false">
      <c r="A504" s="49" t="s">
        <v>2137</v>
      </c>
      <c r="B504" s="49" t="s">
        <v>14</v>
      </c>
      <c r="C504" s="49" t="s">
        <v>702</v>
      </c>
      <c r="D504" s="49" t="s">
        <v>2441</v>
      </c>
      <c r="E504" s="49" t="s">
        <v>2140</v>
      </c>
      <c r="F504" s="49" t="s">
        <v>80</v>
      </c>
      <c r="G504" s="49" t="n">
        <v>4</v>
      </c>
      <c r="H504" s="0" t="n">
        <v>0</v>
      </c>
      <c r="I504" s="51" t="s">
        <v>2929</v>
      </c>
      <c r="J504" s="49" t="s">
        <v>2257</v>
      </c>
      <c r="K504" s="52" t="n">
        <v>47868</v>
      </c>
      <c r="M504" s="51" t="s">
        <v>2895</v>
      </c>
      <c r="N504" s="49" t="n">
        <v>4</v>
      </c>
      <c r="O504" s="53" t="n">
        <v>46057.4688310185</v>
      </c>
      <c r="P504" s="53" t="n">
        <v>46057.6389930556</v>
      </c>
      <c r="Q504" s="53" t="n">
        <v>46057.4688310185</v>
      </c>
      <c r="R504" s="0" t="n">
        <v>0</v>
      </c>
      <c r="S504" s="51" t="s">
        <v>2398</v>
      </c>
      <c r="T504" s="51" t="s">
        <v>2398</v>
      </c>
      <c r="U504" s="51" t="s">
        <v>2140</v>
      </c>
      <c r="V504" s="51" t="s">
        <v>2142</v>
      </c>
      <c r="W504" s="51"/>
      <c r="X504" s="51"/>
    </row>
    <row r="505" customFormat="false" ht="14.25" hidden="true" customHeight="false" outlineLevel="0" collapsed="false">
      <c r="A505" s="49" t="s">
        <v>2137</v>
      </c>
      <c r="B505" s="49" t="s">
        <v>14</v>
      </c>
      <c r="C505" s="49" t="s">
        <v>699</v>
      </c>
      <c r="D505" s="49" t="s">
        <v>2441</v>
      </c>
      <c r="E505" s="49" t="s">
        <v>2140</v>
      </c>
      <c r="F505" s="49" t="s">
        <v>80</v>
      </c>
      <c r="G505" s="49" t="n">
        <v>4</v>
      </c>
      <c r="H505" s="0" t="n">
        <v>0</v>
      </c>
      <c r="I505" s="51" t="s">
        <v>2978</v>
      </c>
      <c r="J505" s="49" t="s">
        <v>2257</v>
      </c>
      <c r="K505" s="52" t="n">
        <v>47868</v>
      </c>
      <c r="M505" s="51" t="s">
        <v>2895</v>
      </c>
      <c r="N505" s="49" t="n">
        <v>4</v>
      </c>
      <c r="O505" s="53" t="n">
        <v>46057.469525463</v>
      </c>
      <c r="P505" s="53" t="n">
        <v>46057.6389583333</v>
      </c>
      <c r="Q505" s="53" t="n">
        <v>46057.469525463</v>
      </c>
      <c r="R505" s="0" t="n">
        <v>0</v>
      </c>
      <c r="S505" s="51" t="s">
        <v>2398</v>
      </c>
      <c r="T505" s="51" t="s">
        <v>2398</v>
      </c>
      <c r="U505" s="51" t="s">
        <v>2140</v>
      </c>
      <c r="V505" s="51" t="s">
        <v>2142</v>
      </c>
      <c r="W505" s="51"/>
      <c r="X505" s="51"/>
    </row>
    <row r="506" customFormat="false" ht="14.25" hidden="false" customHeight="false" outlineLevel="0" collapsed="false">
      <c r="A506" s="49" t="s">
        <v>2137</v>
      </c>
      <c r="B506" s="49" t="s">
        <v>14</v>
      </c>
      <c r="C506" s="49" t="s">
        <v>701</v>
      </c>
      <c r="D506" s="49" t="s">
        <v>2441</v>
      </c>
      <c r="E506" s="49" t="s">
        <v>2140</v>
      </c>
      <c r="F506" s="49" t="s">
        <v>80</v>
      </c>
      <c r="G506" s="49" t="n">
        <v>4</v>
      </c>
      <c r="H506" s="0" t="n">
        <v>0</v>
      </c>
      <c r="I506" s="51" t="s">
        <v>2583</v>
      </c>
      <c r="J506" s="49" t="s">
        <v>2257</v>
      </c>
      <c r="K506" s="52" t="n">
        <v>47868</v>
      </c>
      <c r="M506" s="51" t="s">
        <v>2895</v>
      </c>
      <c r="N506" s="0" t="n">
        <v>4</v>
      </c>
      <c r="O506" s="53" t="n">
        <v>46057.4689699074</v>
      </c>
      <c r="P506" s="53" t="n">
        <v>46057.638587963</v>
      </c>
      <c r="Q506" s="53" t="n">
        <v>46057.4689699074</v>
      </c>
      <c r="R506" s="0" t="n">
        <v>0</v>
      </c>
      <c r="S506" s="51" t="s">
        <v>2398</v>
      </c>
      <c r="T506" s="51" t="s">
        <v>2398</v>
      </c>
      <c r="U506" s="51" t="s">
        <v>2140</v>
      </c>
      <c r="V506" s="51" t="s">
        <v>2142</v>
      </c>
      <c r="W506" s="51"/>
      <c r="X506" s="51"/>
    </row>
    <row r="507" customFormat="false" ht="14.25" hidden="true" customHeight="false" outlineLevel="0" collapsed="false">
      <c r="A507" s="49" t="s">
        <v>2137</v>
      </c>
      <c r="B507" s="49" t="s">
        <v>14</v>
      </c>
      <c r="C507" s="49" t="s">
        <v>700</v>
      </c>
      <c r="D507" s="49" t="s">
        <v>2441</v>
      </c>
      <c r="E507" s="49" t="s">
        <v>2140</v>
      </c>
      <c r="F507" s="49" t="s">
        <v>80</v>
      </c>
      <c r="G507" s="49" t="n">
        <v>4</v>
      </c>
      <c r="H507" s="0" t="n">
        <v>0</v>
      </c>
      <c r="I507" s="51" t="s">
        <v>3072</v>
      </c>
      <c r="J507" s="49" t="s">
        <v>2257</v>
      </c>
      <c r="K507" s="52" t="n">
        <v>47868</v>
      </c>
      <c r="M507" s="51" t="s">
        <v>2895</v>
      </c>
      <c r="N507" s="49" t="n">
        <v>4</v>
      </c>
      <c r="O507" s="53" t="n">
        <v>46057.4693634259</v>
      </c>
      <c r="P507" s="53" t="n">
        <v>46057.6389236111</v>
      </c>
      <c r="Q507" s="53" t="n">
        <v>46057.4693634259</v>
      </c>
      <c r="R507" s="0" t="n">
        <v>0</v>
      </c>
      <c r="S507" s="51" t="s">
        <v>2398</v>
      </c>
      <c r="T507" s="51" t="s">
        <v>2398</v>
      </c>
      <c r="U507" s="51" t="s">
        <v>2140</v>
      </c>
      <c r="V507" s="51" t="s">
        <v>2142</v>
      </c>
      <c r="W507" s="51"/>
      <c r="X507" s="51"/>
    </row>
    <row r="508" customFormat="false" ht="14.25" hidden="true" customHeight="false" outlineLevel="0" collapsed="false">
      <c r="A508" s="49" t="s">
        <v>2137</v>
      </c>
      <c r="B508" s="49" t="s">
        <v>14</v>
      </c>
      <c r="C508" s="49" t="s">
        <v>692</v>
      </c>
      <c r="D508" s="49" t="s">
        <v>2441</v>
      </c>
      <c r="E508" s="49" t="s">
        <v>2140</v>
      </c>
      <c r="F508" s="49" t="s">
        <v>80</v>
      </c>
      <c r="G508" s="49" t="n">
        <v>4</v>
      </c>
      <c r="H508" s="0" t="n">
        <v>0</v>
      </c>
      <c r="I508" s="51" t="s">
        <v>2657</v>
      </c>
      <c r="J508" s="49" t="s">
        <v>2257</v>
      </c>
      <c r="K508" s="52" t="n">
        <v>47868</v>
      </c>
      <c r="M508" s="51" t="s">
        <v>2895</v>
      </c>
      <c r="N508" s="49" t="n">
        <v>4</v>
      </c>
      <c r="O508" s="53" t="n">
        <v>46057.4703472222</v>
      </c>
      <c r="P508" s="53" t="n">
        <v>46057.6393981481</v>
      </c>
      <c r="Q508" s="53" t="n">
        <v>46057.4703472222</v>
      </c>
      <c r="R508" s="0" t="n">
        <v>0</v>
      </c>
      <c r="S508" s="51" t="s">
        <v>2398</v>
      </c>
      <c r="T508" s="51" t="s">
        <v>2398</v>
      </c>
      <c r="U508" s="51" t="s">
        <v>2140</v>
      </c>
      <c r="V508" s="51" t="s">
        <v>2142</v>
      </c>
      <c r="W508" s="51"/>
      <c r="X508" s="51"/>
    </row>
    <row r="509" customFormat="false" ht="14.25" hidden="true" customHeight="false" outlineLevel="0" collapsed="false">
      <c r="A509" s="49" t="s">
        <v>2137</v>
      </c>
      <c r="B509" s="49" t="s">
        <v>14</v>
      </c>
      <c r="C509" s="49" t="s">
        <v>693</v>
      </c>
      <c r="D509" s="49" t="s">
        <v>2441</v>
      </c>
      <c r="E509" s="49" t="s">
        <v>2140</v>
      </c>
      <c r="F509" s="49" t="s">
        <v>80</v>
      </c>
      <c r="G509" s="49" t="n">
        <v>4</v>
      </c>
      <c r="H509" s="0" t="n">
        <v>0</v>
      </c>
      <c r="I509" s="51" t="s">
        <v>2622</v>
      </c>
      <c r="J509" s="49" t="s">
        <v>2257</v>
      </c>
      <c r="K509" s="52" t="n">
        <v>47868</v>
      </c>
      <c r="M509" s="51" t="s">
        <v>2895</v>
      </c>
      <c r="N509" s="49" t="n">
        <v>4</v>
      </c>
      <c r="O509" s="53" t="n">
        <v>46057.4702199074</v>
      </c>
      <c r="P509" s="53" t="n">
        <v>46057.6393634259</v>
      </c>
      <c r="Q509" s="53" t="n">
        <v>46057.4702199074</v>
      </c>
      <c r="R509" s="0" t="n">
        <v>0</v>
      </c>
      <c r="S509" s="51" t="s">
        <v>2398</v>
      </c>
      <c r="T509" s="51" t="s">
        <v>2398</v>
      </c>
      <c r="U509" s="51" t="s">
        <v>2140</v>
      </c>
      <c r="V509" s="51" t="s">
        <v>2142</v>
      </c>
      <c r="W509" s="51"/>
      <c r="X509" s="51"/>
    </row>
    <row r="510" customFormat="false" ht="14.25" hidden="true" customHeight="false" outlineLevel="0" collapsed="false">
      <c r="A510" s="49" t="s">
        <v>2137</v>
      </c>
      <c r="B510" s="49" t="s">
        <v>14</v>
      </c>
      <c r="C510" s="49" t="s">
        <v>514</v>
      </c>
      <c r="D510" s="49" t="s">
        <v>2441</v>
      </c>
      <c r="E510" s="49" t="s">
        <v>2140</v>
      </c>
      <c r="F510" s="49" t="s">
        <v>80</v>
      </c>
      <c r="G510" s="49" t="n">
        <v>4</v>
      </c>
      <c r="H510" s="0" t="n">
        <v>0</v>
      </c>
      <c r="I510" s="51" t="s">
        <v>3073</v>
      </c>
      <c r="J510" s="49" t="s">
        <v>2257</v>
      </c>
      <c r="K510" s="52" t="n">
        <v>47868</v>
      </c>
      <c r="M510" s="51" t="s">
        <v>2483</v>
      </c>
      <c r="N510" s="49" t="n">
        <v>4</v>
      </c>
      <c r="O510" s="53" t="n">
        <v>46054.4707986111</v>
      </c>
      <c r="P510" s="53" t="n">
        <v>46054.6557175926</v>
      </c>
      <c r="Q510" s="53" t="n">
        <v>46054.4707986111</v>
      </c>
      <c r="R510" s="0" t="n">
        <v>0</v>
      </c>
      <c r="S510" s="51" t="s">
        <v>2380</v>
      </c>
      <c r="T510" s="51" t="s">
        <v>2380</v>
      </c>
      <c r="U510" s="51" t="s">
        <v>2140</v>
      </c>
      <c r="V510" s="51" t="s">
        <v>2142</v>
      </c>
      <c r="W510" s="51"/>
      <c r="X510" s="51"/>
    </row>
    <row r="511" customFormat="false" ht="14.25" hidden="true" customHeight="false" outlineLevel="0" collapsed="false">
      <c r="A511" s="49" t="s">
        <v>2137</v>
      </c>
      <c r="B511" s="49" t="s">
        <v>14</v>
      </c>
      <c r="C511" s="49" t="s">
        <v>515</v>
      </c>
      <c r="D511" s="49" t="s">
        <v>2441</v>
      </c>
      <c r="E511" s="49" t="s">
        <v>2140</v>
      </c>
      <c r="F511" s="49" t="s">
        <v>80</v>
      </c>
      <c r="G511" s="49" t="n">
        <v>4</v>
      </c>
      <c r="H511" s="0" t="n">
        <v>0</v>
      </c>
      <c r="I511" s="51" t="s">
        <v>3074</v>
      </c>
      <c r="J511" s="49" t="s">
        <v>2257</v>
      </c>
      <c r="K511" s="52" t="n">
        <v>47868</v>
      </c>
      <c r="M511" s="51" t="s">
        <v>2483</v>
      </c>
      <c r="N511" s="49" t="n">
        <v>4</v>
      </c>
      <c r="O511" s="53" t="n">
        <v>46054.4694097222</v>
      </c>
      <c r="P511" s="53" t="n">
        <v>46054.6559375</v>
      </c>
      <c r="Q511" s="53" t="n">
        <v>46054.4694097222</v>
      </c>
      <c r="R511" s="0" t="n">
        <v>0</v>
      </c>
      <c r="S511" s="51" t="s">
        <v>2380</v>
      </c>
      <c r="T511" s="51" t="s">
        <v>2380</v>
      </c>
      <c r="U511" s="51" t="s">
        <v>2140</v>
      </c>
      <c r="V511" s="51" t="s">
        <v>2142</v>
      </c>
      <c r="W511" s="51"/>
      <c r="X511" s="51"/>
    </row>
    <row r="512" customFormat="false" ht="14.25" hidden="true" customHeight="false" outlineLevel="0" collapsed="false">
      <c r="A512" s="49" t="s">
        <v>2137</v>
      </c>
      <c r="B512" s="49" t="s">
        <v>14</v>
      </c>
      <c r="C512" s="49" t="s">
        <v>516</v>
      </c>
      <c r="D512" s="49" t="s">
        <v>2441</v>
      </c>
      <c r="E512" s="49" t="s">
        <v>2140</v>
      </c>
      <c r="F512" s="49" t="s">
        <v>80</v>
      </c>
      <c r="G512" s="49" t="n">
        <v>4</v>
      </c>
      <c r="H512" s="0" t="n">
        <v>0</v>
      </c>
      <c r="I512" s="51" t="s">
        <v>3075</v>
      </c>
      <c r="J512" s="49" t="s">
        <v>2257</v>
      </c>
      <c r="K512" s="52" t="n">
        <v>47868</v>
      </c>
      <c r="M512" s="51" t="s">
        <v>2483</v>
      </c>
      <c r="N512" s="49" t="n">
        <v>4</v>
      </c>
      <c r="O512" s="53" t="n">
        <v>46054.468587963</v>
      </c>
      <c r="P512" s="53" t="n">
        <v>46054.6553587963</v>
      </c>
      <c r="Q512" s="53" t="n">
        <v>46054.468587963</v>
      </c>
      <c r="R512" s="0" t="n">
        <v>0</v>
      </c>
      <c r="S512" s="51" t="s">
        <v>2380</v>
      </c>
      <c r="T512" s="51" t="s">
        <v>2380</v>
      </c>
      <c r="U512" s="51" t="s">
        <v>2140</v>
      </c>
      <c r="V512" s="51" t="s">
        <v>2142</v>
      </c>
      <c r="W512" s="51"/>
      <c r="X512" s="51"/>
    </row>
    <row r="513" customFormat="false" ht="14.25" hidden="true" customHeight="false" outlineLevel="0" collapsed="false">
      <c r="A513" s="49" t="s">
        <v>2137</v>
      </c>
      <c r="B513" s="49" t="s">
        <v>14</v>
      </c>
      <c r="C513" s="49" t="s">
        <v>517</v>
      </c>
      <c r="D513" s="49" t="s">
        <v>2441</v>
      </c>
      <c r="E513" s="49" t="s">
        <v>2140</v>
      </c>
      <c r="F513" s="49" t="s">
        <v>80</v>
      </c>
      <c r="G513" s="49" t="n">
        <v>4</v>
      </c>
      <c r="H513" s="0" t="n">
        <v>0</v>
      </c>
      <c r="I513" s="51" t="s">
        <v>3076</v>
      </c>
      <c r="J513" s="49" t="s">
        <v>2257</v>
      </c>
      <c r="K513" s="52" t="n">
        <v>47868</v>
      </c>
      <c r="M513" s="51" t="s">
        <v>2483</v>
      </c>
      <c r="N513" s="49" t="n">
        <v>4</v>
      </c>
      <c r="O513" s="53" t="n">
        <v>46054.4684606481</v>
      </c>
      <c r="P513" s="53" t="n">
        <v>46054.6553935185</v>
      </c>
      <c r="Q513" s="53" t="n">
        <v>46054.4684606481</v>
      </c>
      <c r="R513" s="0" t="n">
        <v>0</v>
      </c>
      <c r="S513" s="51" t="s">
        <v>2380</v>
      </c>
      <c r="T513" s="51" t="s">
        <v>2380</v>
      </c>
      <c r="U513" s="51" t="s">
        <v>2140</v>
      </c>
      <c r="V513" s="51" t="s">
        <v>2142</v>
      </c>
      <c r="W513" s="51"/>
      <c r="X513" s="51"/>
    </row>
    <row r="514" customFormat="false" ht="14.25" hidden="true" customHeight="false" outlineLevel="0" collapsed="false">
      <c r="A514" s="49" t="s">
        <v>2137</v>
      </c>
      <c r="B514" s="49" t="s">
        <v>14</v>
      </c>
      <c r="C514" s="49" t="s">
        <v>518</v>
      </c>
      <c r="D514" s="49" t="s">
        <v>2441</v>
      </c>
      <c r="E514" s="49" t="s">
        <v>2140</v>
      </c>
      <c r="F514" s="49" t="s">
        <v>80</v>
      </c>
      <c r="G514" s="49" t="n">
        <v>4</v>
      </c>
      <c r="H514" s="0" t="n">
        <v>0</v>
      </c>
      <c r="I514" s="51" t="s">
        <v>3077</v>
      </c>
      <c r="J514" s="49" t="s">
        <v>2257</v>
      </c>
      <c r="K514" s="52" t="n">
        <v>47868</v>
      </c>
      <c r="M514" s="51" t="s">
        <v>2483</v>
      </c>
      <c r="N514" s="49" t="n">
        <v>4</v>
      </c>
      <c r="O514" s="53" t="n">
        <v>46054.4682291667</v>
      </c>
      <c r="P514" s="53" t="n">
        <v>46054.6561111111</v>
      </c>
      <c r="Q514" s="53" t="n">
        <v>46054.4682291667</v>
      </c>
      <c r="R514" s="0" t="n">
        <v>0</v>
      </c>
      <c r="S514" s="51" t="s">
        <v>2380</v>
      </c>
      <c r="T514" s="51" t="s">
        <v>2380</v>
      </c>
      <c r="U514" s="51" t="s">
        <v>2140</v>
      </c>
      <c r="V514" s="51" t="s">
        <v>2142</v>
      </c>
      <c r="W514" s="51"/>
      <c r="X514" s="51"/>
    </row>
    <row r="515" customFormat="false" ht="14.25" hidden="false" customHeight="false" outlineLevel="0" collapsed="false">
      <c r="A515" s="49" t="s">
        <v>2137</v>
      </c>
      <c r="B515" s="49" t="s">
        <v>14</v>
      </c>
      <c r="C515" s="49" t="s">
        <v>522</v>
      </c>
      <c r="D515" s="49" t="s">
        <v>2441</v>
      </c>
      <c r="E515" s="49" t="s">
        <v>2140</v>
      </c>
      <c r="F515" s="49" t="s">
        <v>80</v>
      </c>
      <c r="G515" s="49" t="n">
        <v>4</v>
      </c>
      <c r="H515" s="0" t="n">
        <v>0</v>
      </c>
      <c r="I515" s="51" t="s">
        <v>3078</v>
      </c>
      <c r="J515" s="49" t="s">
        <v>2257</v>
      </c>
      <c r="K515" s="52" t="n">
        <v>47868</v>
      </c>
      <c r="M515" s="51" t="s">
        <v>2483</v>
      </c>
      <c r="N515" s="0" t="n">
        <v>4</v>
      </c>
      <c r="O515" s="53" t="n">
        <v>46054.467974537</v>
      </c>
      <c r="P515" s="53" t="n">
        <v>46054.6570486111</v>
      </c>
      <c r="Q515" s="53" t="n">
        <v>46054.467974537</v>
      </c>
      <c r="R515" s="0" t="n">
        <v>0</v>
      </c>
      <c r="S515" s="51" t="s">
        <v>2380</v>
      </c>
      <c r="T515" s="51" t="s">
        <v>2380</v>
      </c>
      <c r="U515" s="51" t="s">
        <v>2140</v>
      </c>
      <c r="V515" s="51" t="s">
        <v>2142</v>
      </c>
      <c r="X515" s="51"/>
    </row>
    <row r="516" customFormat="false" ht="14.25" hidden="false" customHeight="false" outlineLevel="0" collapsed="false">
      <c r="A516" s="49" t="s">
        <v>2137</v>
      </c>
      <c r="B516" s="49" t="s">
        <v>14</v>
      </c>
      <c r="C516" s="49" t="s">
        <v>523</v>
      </c>
      <c r="D516" s="49" t="s">
        <v>2441</v>
      </c>
      <c r="E516" s="49" t="s">
        <v>2140</v>
      </c>
      <c r="F516" s="49" t="s">
        <v>80</v>
      </c>
      <c r="G516" s="49" t="n">
        <v>4</v>
      </c>
      <c r="H516" s="0" t="n">
        <v>0</v>
      </c>
      <c r="I516" s="51" t="s">
        <v>3079</v>
      </c>
      <c r="J516" s="49" t="s">
        <v>2257</v>
      </c>
      <c r="K516" s="52" t="n">
        <v>47868</v>
      </c>
      <c r="M516" s="51" t="s">
        <v>2483</v>
      </c>
      <c r="N516" s="0" t="n">
        <v>4</v>
      </c>
      <c r="O516" s="53" t="n">
        <v>46054.4657060185</v>
      </c>
      <c r="P516" s="53" t="n">
        <v>46054.6560185185</v>
      </c>
      <c r="Q516" s="53" t="n">
        <v>46054.4657060185</v>
      </c>
      <c r="R516" s="0" t="n">
        <v>0</v>
      </c>
      <c r="S516" s="51" t="s">
        <v>2380</v>
      </c>
      <c r="T516" s="51" t="s">
        <v>2380</v>
      </c>
      <c r="U516" s="51" t="s">
        <v>2140</v>
      </c>
      <c r="V516" s="51" t="s">
        <v>2142</v>
      </c>
      <c r="X516" s="51"/>
    </row>
    <row r="517" customFormat="false" ht="14.25" hidden="false" customHeight="false" outlineLevel="0" collapsed="false">
      <c r="A517" s="49" t="s">
        <v>2137</v>
      </c>
      <c r="B517" s="49" t="s">
        <v>14</v>
      </c>
      <c r="C517" s="49" t="s">
        <v>504</v>
      </c>
      <c r="D517" s="49" t="s">
        <v>2441</v>
      </c>
      <c r="E517" s="49" t="s">
        <v>2140</v>
      </c>
      <c r="F517" s="49" t="s">
        <v>80</v>
      </c>
      <c r="G517" s="49" t="n">
        <v>4</v>
      </c>
      <c r="H517" s="0" t="n">
        <v>0</v>
      </c>
      <c r="I517" s="51" t="s">
        <v>3080</v>
      </c>
      <c r="J517" s="49" t="s">
        <v>2257</v>
      </c>
      <c r="K517" s="52" t="n">
        <v>47868</v>
      </c>
      <c r="M517" s="51" t="s">
        <v>2483</v>
      </c>
      <c r="N517" s="0" t="n">
        <v>4</v>
      </c>
      <c r="O517" s="53" t="n">
        <v>46054.4655324074</v>
      </c>
      <c r="P517" s="53" t="n">
        <v>46054.6559606481</v>
      </c>
      <c r="Q517" s="53" t="n">
        <v>46054.4655324074</v>
      </c>
      <c r="R517" s="0" t="n">
        <v>0</v>
      </c>
      <c r="S517" s="51" t="s">
        <v>2380</v>
      </c>
      <c r="T517" s="51" t="s">
        <v>2380</v>
      </c>
      <c r="U517" s="51" t="s">
        <v>2140</v>
      </c>
      <c r="V517" s="51" t="s">
        <v>2142</v>
      </c>
      <c r="X517" s="51"/>
    </row>
    <row r="518" customFormat="false" ht="14.25" hidden="true" customHeight="false" outlineLevel="0" collapsed="false">
      <c r="A518" s="49" t="s">
        <v>2137</v>
      </c>
      <c r="B518" s="49" t="s">
        <v>14</v>
      </c>
      <c r="C518" s="49" t="s">
        <v>500</v>
      </c>
      <c r="D518" s="49" t="s">
        <v>2441</v>
      </c>
      <c r="E518" s="49" t="s">
        <v>2140</v>
      </c>
      <c r="F518" s="49" t="s">
        <v>80</v>
      </c>
      <c r="G518" s="49" t="n">
        <v>4</v>
      </c>
      <c r="H518" s="0" t="n">
        <v>0</v>
      </c>
      <c r="I518" s="51" t="s">
        <v>3081</v>
      </c>
      <c r="J518" s="49" t="s">
        <v>2257</v>
      </c>
      <c r="K518" s="52" t="n">
        <v>47868</v>
      </c>
      <c r="M518" s="51" t="s">
        <v>2487</v>
      </c>
      <c r="N518" s="49" t="n">
        <v>4</v>
      </c>
      <c r="O518" s="53" t="n">
        <v>46054.4581018519</v>
      </c>
      <c r="P518" s="53" t="n">
        <v>46054.6546412037</v>
      </c>
      <c r="Q518" s="53" t="n">
        <v>46054.4581018519</v>
      </c>
      <c r="R518" s="0" t="n">
        <v>0</v>
      </c>
      <c r="S518" s="51" t="s">
        <v>2380</v>
      </c>
      <c r="T518" s="51" t="s">
        <v>2380</v>
      </c>
      <c r="U518" s="51" t="s">
        <v>2140</v>
      </c>
      <c r="V518" s="51" t="s">
        <v>2142</v>
      </c>
      <c r="W518" s="51"/>
      <c r="X518" s="51"/>
    </row>
    <row r="519" customFormat="false" ht="14.25" hidden="true" customHeight="false" outlineLevel="0" collapsed="false">
      <c r="A519" s="49" t="s">
        <v>2137</v>
      </c>
      <c r="B519" s="49" t="s">
        <v>14</v>
      </c>
      <c r="C519" s="49" t="s">
        <v>484</v>
      </c>
      <c r="D519" s="49" t="s">
        <v>2441</v>
      </c>
      <c r="E519" s="49" t="s">
        <v>2140</v>
      </c>
      <c r="F519" s="49" t="s">
        <v>80</v>
      </c>
      <c r="G519" s="49" t="n">
        <v>4</v>
      </c>
      <c r="H519" s="0" t="n">
        <v>0</v>
      </c>
      <c r="I519" s="51" t="s">
        <v>3082</v>
      </c>
      <c r="J519" s="49" t="s">
        <v>2257</v>
      </c>
      <c r="K519" s="52" t="n">
        <v>47868</v>
      </c>
      <c r="M519" s="51" t="s">
        <v>2487</v>
      </c>
      <c r="N519" s="49" t="n">
        <v>4</v>
      </c>
      <c r="O519" s="53" t="n">
        <v>46054.4582523148</v>
      </c>
      <c r="P519" s="53" t="n">
        <v>46054.6545949074</v>
      </c>
      <c r="Q519" s="53" t="n">
        <v>46054.4582523148</v>
      </c>
      <c r="R519" s="0" t="n">
        <v>0</v>
      </c>
      <c r="S519" s="51" t="s">
        <v>2380</v>
      </c>
      <c r="T519" s="51" t="s">
        <v>2380</v>
      </c>
      <c r="U519" s="51" t="s">
        <v>2140</v>
      </c>
      <c r="V519" s="51" t="s">
        <v>2142</v>
      </c>
      <c r="W519" s="51"/>
      <c r="X519" s="51"/>
    </row>
    <row r="520" customFormat="false" ht="14.25" hidden="true" customHeight="false" outlineLevel="0" collapsed="false">
      <c r="A520" s="49" t="s">
        <v>2137</v>
      </c>
      <c r="B520" s="49" t="s">
        <v>14</v>
      </c>
      <c r="C520" s="49" t="s">
        <v>471</v>
      </c>
      <c r="D520" s="49" t="s">
        <v>2441</v>
      </c>
      <c r="E520" s="49" t="s">
        <v>2140</v>
      </c>
      <c r="F520" s="49" t="s">
        <v>80</v>
      </c>
      <c r="G520" s="49" t="n">
        <v>4</v>
      </c>
      <c r="H520" s="0" t="n">
        <v>0</v>
      </c>
      <c r="I520" s="51" t="s">
        <v>3083</v>
      </c>
      <c r="J520" s="49" t="s">
        <v>2257</v>
      </c>
      <c r="K520" s="52" t="n">
        <v>47868</v>
      </c>
      <c r="M520" s="51" t="s">
        <v>2487</v>
      </c>
      <c r="N520" s="49" t="n">
        <v>4</v>
      </c>
      <c r="O520" s="53" t="n">
        <v>46054.4532407407</v>
      </c>
      <c r="P520" s="53" t="n">
        <v>46054.6545717593</v>
      </c>
      <c r="Q520" s="53" t="n">
        <v>46054.4532407407</v>
      </c>
      <c r="R520" s="0" t="n">
        <v>0</v>
      </c>
      <c r="S520" s="51" t="s">
        <v>2380</v>
      </c>
      <c r="T520" s="51" t="s">
        <v>2380</v>
      </c>
      <c r="U520" s="51" t="s">
        <v>2140</v>
      </c>
      <c r="V520" s="51" t="s">
        <v>2142</v>
      </c>
      <c r="W520" s="51"/>
      <c r="X520" s="51"/>
    </row>
    <row r="521" customFormat="false" ht="14.25" hidden="true" customHeight="false" outlineLevel="0" collapsed="false">
      <c r="A521" s="49" t="s">
        <v>2137</v>
      </c>
      <c r="B521" s="49" t="s">
        <v>14</v>
      </c>
      <c r="C521" s="49" t="s">
        <v>477</v>
      </c>
      <c r="D521" s="49" t="s">
        <v>2441</v>
      </c>
      <c r="E521" s="49" t="s">
        <v>2140</v>
      </c>
      <c r="F521" s="49" t="s">
        <v>80</v>
      </c>
      <c r="G521" s="49" t="n">
        <v>4</v>
      </c>
      <c r="H521" s="0" t="n">
        <v>0</v>
      </c>
      <c r="I521" s="51" t="s">
        <v>3084</v>
      </c>
      <c r="J521" s="49" t="s">
        <v>2257</v>
      </c>
      <c r="K521" s="52" t="n">
        <v>47868</v>
      </c>
      <c r="M521" s="51" t="s">
        <v>2487</v>
      </c>
      <c r="N521" s="49" t="n">
        <v>4</v>
      </c>
      <c r="O521" s="53" t="n">
        <v>46054.4530555556</v>
      </c>
      <c r="P521" s="53" t="n">
        <v>46054.6544560185</v>
      </c>
      <c r="Q521" s="53" t="n">
        <v>46054.4530555556</v>
      </c>
      <c r="R521" s="0" t="n">
        <v>0</v>
      </c>
      <c r="S521" s="51" t="s">
        <v>2380</v>
      </c>
      <c r="T521" s="51" t="s">
        <v>2380</v>
      </c>
      <c r="U521" s="51" t="s">
        <v>2140</v>
      </c>
      <c r="V521" s="51" t="s">
        <v>2142</v>
      </c>
      <c r="W521" s="51"/>
      <c r="X521" s="51"/>
    </row>
    <row r="522" customFormat="false" ht="14.25" hidden="false" customHeight="false" outlineLevel="0" collapsed="false">
      <c r="A522" s="49" t="s">
        <v>2137</v>
      </c>
      <c r="B522" s="49" t="s">
        <v>14</v>
      </c>
      <c r="C522" s="49" t="s">
        <v>478</v>
      </c>
      <c r="D522" s="49" t="s">
        <v>2441</v>
      </c>
      <c r="E522" s="49" t="s">
        <v>2140</v>
      </c>
      <c r="F522" s="49" t="s">
        <v>80</v>
      </c>
      <c r="G522" s="49" t="n">
        <v>4</v>
      </c>
      <c r="H522" s="0" t="n">
        <v>0</v>
      </c>
      <c r="I522" s="51" t="s">
        <v>3085</v>
      </c>
      <c r="J522" s="49" t="s">
        <v>2257</v>
      </c>
      <c r="K522" s="52" t="n">
        <v>47868</v>
      </c>
      <c r="M522" s="51" t="s">
        <v>2487</v>
      </c>
      <c r="N522" s="0" t="n">
        <v>4</v>
      </c>
      <c r="O522" s="53" t="n">
        <v>46054.449837963</v>
      </c>
      <c r="P522" s="53" t="n">
        <v>46054.6553240741</v>
      </c>
      <c r="Q522" s="53" t="n">
        <v>46054.449837963</v>
      </c>
      <c r="R522" s="0" t="n">
        <v>0</v>
      </c>
      <c r="S522" s="51" t="s">
        <v>2380</v>
      </c>
      <c r="T522" s="51" t="s">
        <v>2380</v>
      </c>
      <c r="U522" s="51" t="s">
        <v>2140</v>
      </c>
      <c r="V522" s="51" t="s">
        <v>2142</v>
      </c>
      <c r="X522" s="51"/>
    </row>
    <row r="523" customFormat="false" ht="14.25" hidden="false" customHeight="false" outlineLevel="0" collapsed="false">
      <c r="A523" s="49" t="s">
        <v>2137</v>
      </c>
      <c r="B523" s="49" t="s">
        <v>14</v>
      </c>
      <c r="C523" s="49" t="s">
        <v>479</v>
      </c>
      <c r="D523" s="49" t="s">
        <v>2441</v>
      </c>
      <c r="E523" s="49" t="s">
        <v>2140</v>
      </c>
      <c r="F523" s="49" t="s">
        <v>80</v>
      </c>
      <c r="G523" s="49" t="n">
        <v>4</v>
      </c>
      <c r="H523" s="0" t="n">
        <v>0</v>
      </c>
      <c r="I523" s="51" t="s">
        <v>3086</v>
      </c>
      <c r="J523" s="49" t="s">
        <v>2257</v>
      </c>
      <c r="K523" s="52" t="n">
        <v>47868</v>
      </c>
      <c r="M523" s="51" t="s">
        <v>2487</v>
      </c>
      <c r="N523" s="0" t="n">
        <v>4</v>
      </c>
      <c r="O523" s="53" t="n">
        <v>46054.4496527778</v>
      </c>
      <c r="P523" s="53" t="n">
        <v>46054.6552199074</v>
      </c>
      <c r="Q523" s="53" t="n">
        <v>46054.4496527778</v>
      </c>
      <c r="R523" s="0" t="n">
        <v>0</v>
      </c>
      <c r="S523" s="51" t="s">
        <v>2380</v>
      </c>
      <c r="T523" s="51" t="s">
        <v>2380</v>
      </c>
      <c r="U523" s="51" t="s">
        <v>2140</v>
      </c>
      <c r="V523" s="51" t="s">
        <v>2142</v>
      </c>
      <c r="X523" s="51"/>
    </row>
    <row r="524" customFormat="false" ht="14.25" hidden="false" customHeight="false" outlineLevel="0" collapsed="false">
      <c r="A524" s="49" t="s">
        <v>2137</v>
      </c>
      <c r="B524" s="49" t="s">
        <v>14</v>
      </c>
      <c r="C524" s="49" t="s">
        <v>480</v>
      </c>
      <c r="D524" s="49" t="s">
        <v>2441</v>
      </c>
      <c r="E524" s="49" t="s">
        <v>2140</v>
      </c>
      <c r="F524" s="49" t="s">
        <v>80</v>
      </c>
      <c r="G524" s="49" t="n">
        <v>4</v>
      </c>
      <c r="H524" s="0" t="n">
        <v>0</v>
      </c>
      <c r="I524" s="51" t="s">
        <v>3087</v>
      </c>
      <c r="J524" s="49" t="s">
        <v>2257</v>
      </c>
      <c r="K524" s="52" t="n">
        <v>47868</v>
      </c>
      <c r="M524" s="51" t="s">
        <v>2487</v>
      </c>
      <c r="N524" s="0" t="n">
        <v>4</v>
      </c>
      <c r="O524" s="53" t="n">
        <v>46054.4495138889</v>
      </c>
      <c r="P524" s="53" t="n">
        <v>46054.6551851852</v>
      </c>
      <c r="Q524" s="53" t="n">
        <v>46054.4495138889</v>
      </c>
      <c r="R524" s="0" t="n">
        <v>0</v>
      </c>
      <c r="S524" s="51" t="s">
        <v>2380</v>
      </c>
      <c r="T524" s="51" t="s">
        <v>2380</v>
      </c>
      <c r="U524" s="51" t="s">
        <v>2140</v>
      </c>
      <c r="V524" s="51" t="s">
        <v>2142</v>
      </c>
      <c r="X524" s="51"/>
    </row>
    <row r="525" customFormat="false" ht="14.25" hidden="true" customHeight="false" outlineLevel="0" collapsed="false">
      <c r="A525" s="49" t="s">
        <v>2137</v>
      </c>
      <c r="B525" s="49" t="s">
        <v>14</v>
      </c>
      <c r="C525" s="49" t="s">
        <v>481</v>
      </c>
      <c r="D525" s="49" t="s">
        <v>2441</v>
      </c>
      <c r="E525" s="49" t="s">
        <v>2140</v>
      </c>
      <c r="F525" s="49" t="s">
        <v>80</v>
      </c>
      <c r="G525" s="49" t="n">
        <v>4</v>
      </c>
      <c r="H525" s="0" t="n">
        <v>0</v>
      </c>
      <c r="I525" s="51" t="s">
        <v>3088</v>
      </c>
      <c r="J525" s="49" t="s">
        <v>2257</v>
      </c>
      <c r="K525" s="52" t="n">
        <v>47868</v>
      </c>
      <c r="M525" s="51" t="s">
        <v>2487</v>
      </c>
      <c r="N525" s="49" t="n">
        <v>4</v>
      </c>
      <c r="O525" s="53" t="n">
        <v>46054.4493171296</v>
      </c>
      <c r="P525" s="53" t="n">
        <v>46054.6552546296</v>
      </c>
      <c r="Q525" s="53" t="n">
        <v>46054.4493171296</v>
      </c>
      <c r="R525" s="0" t="n">
        <v>0</v>
      </c>
      <c r="S525" s="51" t="s">
        <v>2380</v>
      </c>
      <c r="T525" s="51" t="s">
        <v>2380</v>
      </c>
      <c r="U525" s="51" t="s">
        <v>2140</v>
      </c>
      <c r="V525" s="51" t="s">
        <v>2142</v>
      </c>
      <c r="W525" s="51"/>
      <c r="X525" s="51"/>
    </row>
    <row r="526" customFormat="false" ht="14.25" hidden="true" customHeight="false" outlineLevel="0" collapsed="false">
      <c r="A526" s="49" t="s">
        <v>2137</v>
      </c>
      <c r="B526" s="49" t="s">
        <v>14</v>
      </c>
      <c r="C526" s="49" t="s">
        <v>635</v>
      </c>
      <c r="D526" s="49" t="s">
        <v>2441</v>
      </c>
      <c r="E526" s="49" t="s">
        <v>2271</v>
      </c>
      <c r="F526" s="49" t="s">
        <v>420</v>
      </c>
      <c r="G526" s="49" t="n">
        <v>24</v>
      </c>
      <c r="H526" s="0" t="n">
        <v>0</v>
      </c>
      <c r="I526" s="51" t="s">
        <v>3089</v>
      </c>
      <c r="J526" s="49" t="s">
        <v>2273</v>
      </c>
      <c r="K526" s="52" t="n">
        <v>47869</v>
      </c>
      <c r="M526" s="51" t="s">
        <v>2690</v>
      </c>
      <c r="N526" s="49" t="n">
        <v>24</v>
      </c>
      <c r="O526" s="53" t="n">
        <v>46056.5476041667</v>
      </c>
      <c r="P526" s="53" t="n">
        <v>46060.5203125</v>
      </c>
      <c r="Q526" s="53" t="n">
        <v>46056.5476041667</v>
      </c>
      <c r="R526" s="0" t="n">
        <v>0</v>
      </c>
      <c r="S526" s="51" t="s">
        <v>2380</v>
      </c>
      <c r="T526" s="51" t="s">
        <v>2380</v>
      </c>
      <c r="U526" s="51" t="s">
        <v>2271</v>
      </c>
      <c r="V526" s="51" t="s">
        <v>2205</v>
      </c>
      <c r="W526" s="51" t="s">
        <v>2522</v>
      </c>
      <c r="X526" s="51"/>
    </row>
    <row r="527" customFormat="false" ht="14.25" hidden="true" customHeight="false" outlineLevel="0" collapsed="false">
      <c r="A527" s="49" t="s">
        <v>2137</v>
      </c>
      <c r="B527" s="49" t="s">
        <v>14</v>
      </c>
      <c r="C527" s="49" t="s">
        <v>3090</v>
      </c>
      <c r="D527" s="49" t="s">
        <v>2441</v>
      </c>
      <c r="E527" s="49" t="s">
        <v>3032</v>
      </c>
      <c r="F527" s="49" t="s">
        <v>562</v>
      </c>
      <c r="G527" s="49" t="n">
        <v>1</v>
      </c>
      <c r="H527" s="0" t="n">
        <v>0</v>
      </c>
      <c r="I527" s="51" t="s">
        <v>3091</v>
      </c>
      <c r="J527" s="49" t="s">
        <v>3092</v>
      </c>
      <c r="K527" s="52" t="n">
        <v>47869</v>
      </c>
      <c r="M527" s="51" t="s">
        <v>3035</v>
      </c>
      <c r="N527" s="49" t="n">
        <v>0</v>
      </c>
      <c r="O527" s="53" t="n">
        <v>46060.3667824074</v>
      </c>
      <c r="P527" s="53" t="n">
        <v>46060.3667939815</v>
      </c>
      <c r="Q527" s="53"/>
      <c r="R527" s="0" t="n">
        <v>1</v>
      </c>
      <c r="S527" s="51"/>
      <c r="T527" s="51" t="s">
        <v>2364</v>
      </c>
      <c r="U527" s="51" t="s">
        <v>3032</v>
      </c>
      <c r="V527" s="51" t="s">
        <v>2142</v>
      </c>
      <c r="W527" s="51"/>
      <c r="X527" s="51"/>
    </row>
    <row r="528" customFormat="false" ht="14.25" hidden="true" customHeight="false" outlineLevel="0" collapsed="false">
      <c r="A528" s="49" t="s">
        <v>2137</v>
      </c>
      <c r="B528" s="49" t="s">
        <v>14</v>
      </c>
      <c r="C528" s="49" t="s">
        <v>567</v>
      </c>
      <c r="D528" s="49" t="s">
        <v>2441</v>
      </c>
      <c r="E528" s="49" t="s">
        <v>3032</v>
      </c>
      <c r="F528" s="49" t="s">
        <v>562</v>
      </c>
      <c r="G528" s="49" t="n">
        <v>4</v>
      </c>
      <c r="H528" s="0" t="n">
        <v>0</v>
      </c>
      <c r="I528" s="51" t="s">
        <v>3093</v>
      </c>
      <c r="J528" s="49" t="s">
        <v>3092</v>
      </c>
      <c r="K528" s="52" t="n">
        <v>47869</v>
      </c>
      <c r="M528" s="51" t="s">
        <v>3035</v>
      </c>
      <c r="N528" s="49" t="n">
        <v>4</v>
      </c>
      <c r="O528" s="53" t="n">
        <v>46056.4867824074</v>
      </c>
      <c r="P528" s="53" t="n">
        <v>46056.7025</v>
      </c>
      <c r="Q528" s="53" t="n">
        <v>46056.4867824074</v>
      </c>
      <c r="R528" s="0" t="n">
        <v>0</v>
      </c>
      <c r="S528" s="51" t="s">
        <v>2380</v>
      </c>
      <c r="T528" s="51" t="s">
        <v>2380</v>
      </c>
      <c r="U528" s="51" t="s">
        <v>3032</v>
      </c>
      <c r="V528" s="51" t="s">
        <v>2142</v>
      </c>
      <c r="W528" s="51"/>
      <c r="X528" s="51"/>
    </row>
    <row r="529" customFormat="false" ht="14.25" hidden="true" customHeight="false" outlineLevel="0" collapsed="false">
      <c r="A529" s="49" t="s">
        <v>2137</v>
      </c>
      <c r="B529" s="49" t="s">
        <v>14</v>
      </c>
      <c r="C529" s="49" t="s">
        <v>565</v>
      </c>
      <c r="D529" s="49" t="s">
        <v>2441</v>
      </c>
      <c r="E529" s="49" t="s">
        <v>3032</v>
      </c>
      <c r="F529" s="49" t="s">
        <v>562</v>
      </c>
      <c r="G529" s="49" t="n">
        <v>4</v>
      </c>
      <c r="H529" s="0" t="n">
        <v>0</v>
      </c>
      <c r="I529" s="51" t="s">
        <v>3094</v>
      </c>
      <c r="J529" s="49" t="s">
        <v>3092</v>
      </c>
      <c r="K529" s="52" t="n">
        <v>47869</v>
      </c>
      <c r="M529" s="51" t="s">
        <v>3035</v>
      </c>
      <c r="N529" s="49" t="n">
        <v>4</v>
      </c>
      <c r="O529" s="53" t="n">
        <v>46056.4881365741</v>
      </c>
      <c r="P529" s="53" t="n">
        <v>46056.704525463</v>
      </c>
      <c r="Q529" s="53" t="n">
        <v>46056.4881365741</v>
      </c>
      <c r="R529" s="0" t="n">
        <v>0</v>
      </c>
      <c r="S529" s="51" t="s">
        <v>2380</v>
      </c>
      <c r="T529" s="51" t="s">
        <v>2380</v>
      </c>
      <c r="U529" s="51" t="s">
        <v>3032</v>
      </c>
      <c r="V529" s="51" t="s">
        <v>2142</v>
      </c>
      <c r="W529" s="51"/>
      <c r="X529" s="51"/>
    </row>
    <row r="530" customFormat="false" ht="14.25" hidden="true" customHeight="false" outlineLevel="0" collapsed="false">
      <c r="A530" s="49" t="s">
        <v>2137</v>
      </c>
      <c r="B530" s="49" t="s">
        <v>14</v>
      </c>
      <c r="C530" s="49" t="s">
        <v>580</v>
      </c>
      <c r="D530" s="49" t="s">
        <v>2441</v>
      </c>
      <c r="E530" s="49" t="s">
        <v>3032</v>
      </c>
      <c r="F530" s="49" t="s">
        <v>562</v>
      </c>
      <c r="G530" s="49" t="n">
        <v>4</v>
      </c>
      <c r="H530" s="0" t="n">
        <v>0</v>
      </c>
      <c r="I530" s="51" t="s">
        <v>3095</v>
      </c>
      <c r="J530" s="49" t="s">
        <v>3092</v>
      </c>
      <c r="K530" s="52" t="n">
        <v>47869</v>
      </c>
      <c r="M530" s="51" t="s">
        <v>3035</v>
      </c>
      <c r="N530" s="49" t="n">
        <v>4</v>
      </c>
      <c r="O530" s="53" t="n">
        <v>46056.4982175926</v>
      </c>
      <c r="P530" s="53" t="n">
        <v>46056.7037615741</v>
      </c>
      <c r="Q530" s="53" t="n">
        <v>46056.4982175926</v>
      </c>
      <c r="R530" s="0" t="n">
        <v>0</v>
      </c>
      <c r="S530" s="51" t="s">
        <v>2380</v>
      </c>
      <c r="T530" s="51" t="s">
        <v>2380</v>
      </c>
      <c r="U530" s="51" t="s">
        <v>3032</v>
      </c>
      <c r="V530" s="51" t="s">
        <v>2142</v>
      </c>
      <c r="W530" s="51"/>
      <c r="X530" s="51"/>
    </row>
    <row r="531" customFormat="false" ht="14.25" hidden="true" customHeight="false" outlineLevel="0" collapsed="false">
      <c r="A531" s="49" t="s">
        <v>2137</v>
      </c>
      <c r="B531" s="49" t="s">
        <v>14</v>
      </c>
      <c r="C531" s="49" t="s">
        <v>579</v>
      </c>
      <c r="D531" s="49" t="s">
        <v>2441</v>
      </c>
      <c r="E531" s="49" t="s">
        <v>3032</v>
      </c>
      <c r="F531" s="49" t="s">
        <v>562</v>
      </c>
      <c r="G531" s="49" t="n">
        <v>3</v>
      </c>
      <c r="H531" s="0" t="n">
        <v>0</v>
      </c>
      <c r="I531" s="51" t="s">
        <v>3091</v>
      </c>
      <c r="J531" s="49" t="s">
        <v>3092</v>
      </c>
      <c r="K531" s="52" t="n">
        <v>47869</v>
      </c>
      <c r="M531" s="51" t="s">
        <v>3035</v>
      </c>
      <c r="N531" s="49" t="n">
        <v>4</v>
      </c>
      <c r="O531" s="53" t="n">
        <v>46056.4984722222</v>
      </c>
      <c r="P531" s="53" t="n">
        <v>46060.3667939815</v>
      </c>
      <c r="Q531" s="53" t="n">
        <v>46056.4984722222</v>
      </c>
      <c r="R531" s="0" t="n">
        <v>0</v>
      </c>
      <c r="S531" s="51" t="s">
        <v>2380</v>
      </c>
      <c r="T531" s="51" t="s">
        <v>2380</v>
      </c>
      <c r="U531" s="51" t="s">
        <v>3032</v>
      </c>
      <c r="V531" s="51" t="s">
        <v>2142</v>
      </c>
      <c r="W531" s="51"/>
      <c r="X531" s="51"/>
    </row>
    <row r="532" customFormat="false" ht="14.25" hidden="false" customHeight="false" outlineLevel="0" collapsed="false">
      <c r="A532" s="49" t="s">
        <v>2137</v>
      </c>
      <c r="B532" s="49" t="s">
        <v>14</v>
      </c>
      <c r="C532" s="49" t="s">
        <v>646</v>
      </c>
      <c r="D532" s="49" t="s">
        <v>2441</v>
      </c>
      <c r="E532" s="49" t="s">
        <v>2271</v>
      </c>
      <c r="F532" s="49" t="s">
        <v>420</v>
      </c>
      <c r="G532" s="49" t="n">
        <v>24</v>
      </c>
      <c r="H532" s="0" t="n">
        <v>0</v>
      </c>
      <c r="I532" s="51" t="s">
        <v>3096</v>
      </c>
      <c r="J532" s="49" t="s">
        <v>2273</v>
      </c>
      <c r="K532" s="52" t="n">
        <v>47869</v>
      </c>
      <c r="M532" s="51" t="s">
        <v>2690</v>
      </c>
      <c r="N532" s="0" t="n">
        <v>24</v>
      </c>
      <c r="O532" s="53" t="n">
        <v>46056.5468055556</v>
      </c>
      <c r="P532" s="53" t="n">
        <v>46060.5880208333</v>
      </c>
      <c r="Q532" s="53" t="n">
        <v>46056.5468055556</v>
      </c>
      <c r="R532" s="0" t="n">
        <v>0</v>
      </c>
      <c r="S532" s="51" t="s">
        <v>2380</v>
      </c>
      <c r="T532" s="51" t="s">
        <v>2380</v>
      </c>
      <c r="U532" s="51" t="s">
        <v>2271</v>
      </c>
      <c r="V532" s="51" t="s">
        <v>2205</v>
      </c>
      <c r="W532" s="51" t="s">
        <v>3097</v>
      </c>
      <c r="X532" s="51"/>
    </row>
    <row r="533" customFormat="false" ht="14.25" hidden="false" customHeight="false" outlineLevel="0" collapsed="false">
      <c r="A533" s="49" t="s">
        <v>2137</v>
      </c>
      <c r="B533" s="49" t="s">
        <v>14</v>
      </c>
      <c r="C533" s="49" t="s">
        <v>644</v>
      </c>
      <c r="D533" s="49" t="s">
        <v>2441</v>
      </c>
      <c r="E533" s="49" t="s">
        <v>2271</v>
      </c>
      <c r="F533" s="49" t="s">
        <v>420</v>
      </c>
      <c r="G533" s="49" t="n">
        <v>24</v>
      </c>
      <c r="H533" s="0" t="n">
        <v>0</v>
      </c>
      <c r="I533" s="51" t="s">
        <v>3098</v>
      </c>
      <c r="J533" s="49" t="s">
        <v>2273</v>
      </c>
      <c r="K533" s="52" t="n">
        <v>47869</v>
      </c>
      <c r="M533" s="51" t="s">
        <v>2690</v>
      </c>
      <c r="N533" s="0" t="n">
        <v>24</v>
      </c>
      <c r="O533" s="53" t="n">
        <v>46056.5495486111</v>
      </c>
      <c r="P533" s="53" t="n">
        <v>46060.5819907407</v>
      </c>
      <c r="Q533" s="53" t="n">
        <v>46056.5495486111</v>
      </c>
      <c r="R533" s="0" t="n">
        <v>0</v>
      </c>
      <c r="S533" s="51" t="s">
        <v>2380</v>
      </c>
      <c r="T533" s="51" t="s">
        <v>2380</v>
      </c>
      <c r="U533" s="51" t="s">
        <v>2271</v>
      </c>
      <c r="V533" s="51" t="s">
        <v>2205</v>
      </c>
      <c r="W533" s="51" t="s">
        <v>2887</v>
      </c>
      <c r="X533" s="51"/>
    </row>
    <row r="534" customFormat="false" ht="14.25" hidden="false" customHeight="false" outlineLevel="0" collapsed="false">
      <c r="A534" s="49" t="s">
        <v>2137</v>
      </c>
      <c r="B534" s="49" t="s">
        <v>14</v>
      </c>
      <c r="C534" s="49" t="s">
        <v>645</v>
      </c>
      <c r="D534" s="49" t="s">
        <v>2441</v>
      </c>
      <c r="E534" s="49" t="s">
        <v>2271</v>
      </c>
      <c r="F534" s="49" t="s">
        <v>420</v>
      </c>
      <c r="G534" s="49" t="n">
        <v>24</v>
      </c>
      <c r="H534" s="0" t="n">
        <v>0</v>
      </c>
      <c r="I534" s="51" t="s">
        <v>3099</v>
      </c>
      <c r="J534" s="49" t="s">
        <v>2273</v>
      </c>
      <c r="K534" s="52" t="n">
        <v>47869</v>
      </c>
      <c r="M534" s="51" t="s">
        <v>2690</v>
      </c>
      <c r="N534" s="0" t="n">
        <v>24</v>
      </c>
      <c r="O534" s="53" t="n">
        <v>46056.5493634259</v>
      </c>
      <c r="P534" s="53" t="n">
        <v>46060.589224537</v>
      </c>
      <c r="Q534" s="53" t="n">
        <v>46056.5493634259</v>
      </c>
      <c r="R534" s="0" t="n">
        <v>0</v>
      </c>
      <c r="S534" s="51" t="s">
        <v>2380</v>
      </c>
      <c r="T534" s="51" t="s">
        <v>2380</v>
      </c>
      <c r="U534" s="51" t="s">
        <v>2271</v>
      </c>
      <c r="V534" s="51" t="s">
        <v>2205</v>
      </c>
      <c r="W534" s="51" t="s">
        <v>3100</v>
      </c>
      <c r="X534" s="51"/>
    </row>
    <row r="535" customFormat="false" ht="14.25" hidden="true" customHeight="false" outlineLevel="0" collapsed="false">
      <c r="A535" s="49" t="s">
        <v>2137</v>
      </c>
      <c r="B535" s="49" t="s">
        <v>14</v>
      </c>
      <c r="C535" s="49" t="s">
        <v>624</v>
      </c>
      <c r="D535" s="49" t="s">
        <v>2441</v>
      </c>
      <c r="E535" s="49" t="s">
        <v>2271</v>
      </c>
      <c r="F535" s="49" t="s">
        <v>420</v>
      </c>
      <c r="G535" s="49" t="n">
        <v>24</v>
      </c>
      <c r="H535" s="0" t="n">
        <v>0</v>
      </c>
      <c r="I535" s="51" t="s">
        <v>3101</v>
      </c>
      <c r="J535" s="49" t="s">
        <v>2273</v>
      </c>
      <c r="K535" s="52" t="n">
        <v>47869</v>
      </c>
      <c r="M535" s="51" t="s">
        <v>2690</v>
      </c>
      <c r="N535" s="49" t="n">
        <v>24</v>
      </c>
      <c r="O535" s="53" t="n">
        <v>46056.549224537</v>
      </c>
      <c r="P535" s="53" t="n">
        <v>46060.5905555556</v>
      </c>
      <c r="Q535" s="53" t="n">
        <v>46056.549224537</v>
      </c>
      <c r="R535" s="0" t="n">
        <v>0</v>
      </c>
      <c r="S535" s="51" t="s">
        <v>2380</v>
      </c>
      <c r="T535" s="51" t="s">
        <v>2380</v>
      </c>
      <c r="U535" s="51" t="s">
        <v>2271</v>
      </c>
      <c r="V535" s="51" t="s">
        <v>2205</v>
      </c>
      <c r="W535" s="51" t="s">
        <v>3102</v>
      </c>
      <c r="X535" s="51"/>
    </row>
    <row r="536" customFormat="false" ht="14.25" hidden="true" customHeight="false" outlineLevel="0" collapsed="false">
      <c r="A536" s="49" t="s">
        <v>2137</v>
      </c>
      <c r="B536" s="49" t="s">
        <v>14</v>
      </c>
      <c r="C536" s="49" t="s">
        <v>625</v>
      </c>
      <c r="D536" s="49" t="s">
        <v>2441</v>
      </c>
      <c r="E536" s="49" t="s">
        <v>2271</v>
      </c>
      <c r="F536" s="49" t="s">
        <v>420</v>
      </c>
      <c r="G536" s="49" t="n">
        <v>24</v>
      </c>
      <c r="H536" s="0" t="n">
        <v>0</v>
      </c>
      <c r="I536" s="51" t="s">
        <v>3103</v>
      </c>
      <c r="J536" s="49" t="s">
        <v>2273</v>
      </c>
      <c r="K536" s="52" t="n">
        <v>47869</v>
      </c>
      <c r="M536" s="51" t="s">
        <v>2690</v>
      </c>
      <c r="N536" s="49" t="n">
        <v>24</v>
      </c>
      <c r="O536" s="53" t="n">
        <v>46056.5490046296</v>
      </c>
      <c r="P536" s="53" t="n">
        <v>46060.5927314815</v>
      </c>
      <c r="Q536" s="0" t="n">
        <v>46056.5490046296</v>
      </c>
      <c r="R536" s="0" t="n">
        <v>0</v>
      </c>
      <c r="S536" s="51" t="s">
        <v>2380</v>
      </c>
      <c r="T536" s="51" t="s">
        <v>2380</v>
      </c>
      <c r="U536" s="51" t="s">
        <v>2271</v>
      </c>
      <c r="V536" s="51" t="s">
        <v>2205</v>
      </c>
      <c r="W536" s="51" t="s">
        <v>3104</v>
      </c>
    </row>
    <row r="537" customFormat="false" ht="14.25" hidden="true" customHeight="false" outlineLevel="0" collapsed="false">
      <c r="A537" s="49" t="s">
        <v>2137</v>
      </c>
      <c r="B537" s="49" t="s">
        <v>14</v>
      </c>
      <c r="C537" s="49" t="s">
        <v>626</v>
      </c>
      <c r="D537" s="49" t="s">
        <v>2441</v>
      </c>
      <c r="E537" s="49" t="s">
        <v>2271</v>
      </c>
      <c r="F537" s="49" t="s">
        <v>420</v>
      </c>
      <c r="G537" s="49" t="n">
        <v>24</v>
      </c>
      <c r="H537" s="0" t="n">
        <v>0</v>
      </c>
      <c r="I537" s="51" t="s">
        <v>3105</v>
      </c>
      <c r="J537" s="49" t="s">
        <v>2273</v>
      </c>
      <c r="K537" s="52" t="n">
        <v>47869</v>
      </c>
      <c r="M537" s="51" t="s">
        <v>2690</v>
      </c>
      <c r="N537" s="49" t="n">
        <v>24</v>
      </c>
      <c r="O537" s="53" t="n">
        <v>46056.5488657407</v>
      </c>
      <c r="P537" s="53" t="n">
        <v>46060.5942361111</v>
      </c>
      <c r="Q537" s="53" t="n">
        <v>46056.5488657407</v>
      </c>
      <c r="R537" s="0" t="n">
        <v>0</v>
      </c>
      <c r="S537" s="51" t="s">
        <v>2380</v>
      </c>
      <c r="T537" s="51" t="s">
        <v>2380</v>
      </c>
      <c r="U537" s="51" t="s">
        <v>2271</v>
      </c>
      <c r="V537" s="51" t="s">
        <v>2205</v>
      </c>
      <c r="W537" s="51" t="s">
        <v>3106</v>
      </c>
      <c r="X537" s="51"/>
    </row>
    <row r="538" customFormat="false" ht="14.25" hidden="true" customHeight="false" outlineLevel="0" collapsed="false">
      <c r="A538" s="49" t="s">
        <v>2137</v>
      </c>
      <c r="B538" s="49" t="s">
        <v>14</v>
      </c>
      <c r="C538" s="49" t="s">
        <v>627</v>
      </c>
      <c r="D538" s="49" t="s">
        <v>2441</v>
      </c>
      <c r="E538" s="49" t="s">
        <v>2271</v>
      </c>
      <c r="F538" s="49" t="s">
        <v>420</v>
      </c>
      <c r="G538" s="49" t="n">
        <v>24</v>
      </c>
      <c r="H538" s="0" t="n">
        <v>0</v>
      </c>
      <c r="I538" s="51" t="s">
        <v>3107</v>
      </c>
      <c r="J538" s="49" t="s">
        <v>2273</v>
      </c>
      <c r="K538" s="52" t="n">
        <v>47869</v>
      </c>
      <c r="M538" s="51" t="s">
        <v>2690</v>
      </c>
      <c r="N538" s="49" t="n">
        <v>24</v>
      </c>
      <c r="O538" s="53" t="n">
        <v>46056.5487268519</v>
      </c>
      <c r="P538" s="53" t="n">
        <v>46060.5372685185</v>
      </c>
      <c r="Q538" s="53" t="n">
        <v>46056.5487268519</v>
      </c>
      <c r="R538" s="0" t="n">
        <v>0</v>
      </c>
      <c r="S538" s="51" t="s">
        <v>2380</v>
      </c>
      <c r="T538" s="51" t="s">
        <v>2380</v>
      </c>
      <c r="U538" s="51" t="s">
        <v>2271</v>
      </c>
      <c r="V538" s="51" t="s">
        <v>2205</v>
      </c>
      <c r="W538" s="51" t="s">
        <v>2527</v>
      </c>
      <c r="X538" s="51"/>
    </row>
    <row r="539" customFormat="false" ht="14.25" hidden="false" customHeight="false" outlineLevel="0" collapsed="false">
      <c r="A539" s="49" t="s">
        <v>2137</v>
      </c>
      <c r="B539" s="49" t="s">
        <v>14</v>
      </c>
      <c r="C539" s="49" t="s">
        <v>628</v>
      </c>
      <c r="D539" s="49" t="s">
        <v>2441</v>
      </c>
      <c r="E539" s="49" t="s">
        <v>2271</v>
      </c>
      <c r="F539" s="49" t="s">
        <v>420</v>
      </c>
      <c r="G539" s="49" t="n">
        <v>24</v>
      </c>
      <c r="H539" s="0" t="n">
        <v>0</v>
      </c>
      <c r="I539" s="51" t="s">
        <v>3108</v>
      </c>
      <c r="J539" s="49" t="s">
        <v>2273</v>
      </c>
      <c r="K539" s="52" t="n">
        <v>47869</v>
      </c>
      <c r="M539" s="51" t="s">
        <v>2690</v>
      </c>
      <c r="N539" s="0" t="n">
        <v>24</v>
      </c>
      <c r="O539" s="53" t="n">
        <v>46056.5485763889</v>
      </c>
      <c r="P539" s="53" t="n">
        <v>46060.521875</v>
      </c>
      <c r="Q539" s="0" t="n">
        <v>46056.5485763889</v>
      </c>
      <c r="R539" s="0" t="n">
        <v>0</v>
      </c>
      <c r="S539" s="51" t="s">
        <v>2380</v>
      </c>
      <c r="T539" s="51" t="s">
        <v>2380</v>
      </c>
      <c r="U539" s="51" t="s">
        <v>2271</v>
      </c>
      <c r="V539" s="51" t="s">
        <v>2205</v>
      </c>
      <c r="W539" s="51" t="s">
        <v>2525</v>
      </c>
    </row>
    <row r="540" customFormat="false" ht="14.25" hidden="false" customHeight="false" outlineLevel="0" collapsed="false">
      <c r="A540" s="49" t="s">
        <v>2137</v>
      </c>
      <c r="B540" s="49" t="s">
        <v>14</v>
      </c>
      <c r="C540" s="49" t="s">
        <v>629</v>
      </c>
      <c r="D540" s="49" t="s">
        <v>2441</v>
      </c>
      <c r="E540" s="49" t="s">
        <v>2271</v>
      </c>
      <c r="F540" s="49" t="s">
        <v>420</v>
      </c>
      <c r="G540" s="49" t="n">
        <v>24</v>
      </c>
      <c r="H540" s="0" t="n">
        <v>0</v>
      </c>
      <c r="I540" s="51" t="s">
        <v>3109</v>
      </c>
      <c r="J540" s="49" t="s">
        <v>2273</v>
      </c>
      <c r="K540" s="52" t="n">
        <v>47869</v>
      </c>
      <c r="M540" s="51" t="s">
        <v>2690</v>
      </c>
      <c r="N540" s="0" t="n">
        <v>24</v>
      </c>
      <c r="O540" s="53" t="n">
        <v>46056.5484375</v>
      </c>
      <c r="P540" s="53" t="n">
        <v>46060.5382523148</v>
      </c>
      <c r="Q540" s="53" t="n">
        <v>46056.5484375</v>
      </c>
      <c r="R540" s="0" t="n">
        <v>0</v>
      </c>
      <c r="S540" s="51" t="s">
        <v>2380</v>
      </c>
      <c r="T540" s="51" t="s">
        <v>2380</v>
      </c>
      <c r="U540" s="51" t="s">
        <v>2271</v>
      </c>
      <c r="V540" s="51" t="s">
        <v>2205</v>
      </c>
      <c r="W540" s="51" t="s">
        <v>2519</v>
      </c>
      <c r="X540" s="51"/>
    </row>
    <row r="541" customFormat="false" ht="14.25" hidden="false" customHeight="false" outlineLevel="0" collapsed="false">
      <c r="A541" s="49" t="s">
        <v>2137</v>
      </c>
      <c r="B541" s="49" t="s">
        <v>14</v>
      </c>
      <c r="C541" s="49" t="s">
        <v>630</v>
      </c>
      <c r="D541" s="49" t="s">
        <v>2441</v>
      </c>
      <c r="E541" s="49" t="s">
        <v>2271</v>
      </c>
      <c r="F541" s="49" t="s">
        <v>420</v>
      </c>
      <c r="G541" s="49" t="n">
        <v>24</v>
      </c>
      <c r="H541" s="0" t="n">
        <v>0</v>
      </c>
      <c r="I541" s="51" t="s">
        <v>3110</v>
      </c>
      <c r="J541" s="49" t="s">
        <v>2273</v>
      </c>
      <c r="K541" s="52" t="n">
        <v>47869</v>
      </c>
      <c r="M541" s="51" t="s">
        <v>2690</v>
      </c>
      <c r="N541" s="0" t="n">
        <v>24</v>
      </c>
      <c r="O541" s="53" t="n">
        <v>46056.5482291667</v>
      </c>
      <c r="P541" s="53" t="n">
        <v>46060.5352893519</v>
      </c>
      <c r="Q541" s="53" t="n">
        <v>46056.5482291667</v>
      </c>
      <c r="R541" s="0" t="n">
        <v>0</v>
      </c>
      <c r="S541" s="51" t="s">
        <v>2380</v>
      </c>
      <c r="T541" s="51" t="s">
        <v>2380</v>
      </c>
      <c r="U541" s="51" t="s">
        <v>2271</v>
      </c>
      <c r="V541" s="51" t="s">
        <v>2205</v>
      </c>
      <c r="W541" s="51" t="s">
        <v>2520</v>
      </c>
      <c r="X541" s="51"/>
    </row>
    <row r="542" customFormat="false" ht="14.25" hidden="false" customHeight="false" outlineLevel="0" collapsed="false">
      <c r="A542" s="49" t="s">
        <v>2137</v>
      </c>
      <c r="B542" s="49" t="s">
        <v>14</v>
      </c>
      <c r="C542" s="49" t="s">
        <v>631</v>
      </c>
      <c r="D542" s="49" t="s">
        <v>2441</v>
      </c>
      <c r="E542" s="49" t="s">
        <v>2271</v>
      </c>
      <c r="F542" s="49" t="s">
        <v>420</v>
      </c>
      <c r="G542" s="49" t="n">
        <v>24</v>
      </c>
      <c r="H542" s="0" t="n">
        <v>0</v>
      </c>
      <c r="I542" s="51" t="s">
        <v>3111</v>
      </c>
      <c r="J542" s="49" t="s">
        <v>2273</v>
      </c>
      <c r="K542" s="52" t="n">
        <v>47869</v>
      </c>
      <c r="M542" s="51" t="s">
        <v>2690</v>
      </c>
      <c r="N542" s="0" t="n">
        <v>24</v>
      </c>
      <c r="O542" s="53" t="n">
        <v>46056.548125</v>
      </c>
      <c r="P542" s="53" t="n">
        <v>46060.5325462963</v>
      </c>
      <c r="Q542" s="53" t="n">
        <v>46056.548125</v>
      </c>
      <c r="R542" s="0" t="n">
        <v>0</v>
      </c>
      <c r="S542" s="51" t="s">
        <v>2380</v>
      </c>
      <c r="T542" s="51" t="s">
        <v>2380</v>
      </c>
      <c r="U542" s="51" t="s">
        <v>2271</v>
      </c>
      <c r="V542" s="51" t="s">
        <v>2205</v>
      </c>
      <c r="W542" s="51" t="s">
        <v>2528</v>
      </c>
      <c r="X542" s="51"/>
    </row>
    <row r="543" customFormat="false" ht="14.25" hidden="false" customHeight="false" outlineLevel="0" collapsed="false">
      <c r="A543" s="49" t="s">
        <v>2137</v>
      </c>
      <c r="B543" s="49" t="s">
        <v>14</v>
      </c>
      <c r="C543" s="49" t="s">
        <v>632</v>
      </c>
      <c r="D543" s="49" t="s">
        <v>2441</v>
      </c>
      <c r="E543" s="49" t="s">
        <v>2271</v>
      </c>
      <c r="F543" s="49" t="s">
        <v>420</v>
      </c>
      <c r="G543" s="49" t="n">
        <v>24</v>
      </c>
      <c r="H543" s="0" t="n">
        <v>0</v>
      </c>
      <c r="I543" s="51" t="s">
        <v>3112</v>
      </c>
      <c r="J543" s="49" t="s">
        <v>2273</v>
      </c>
      <c r="K543" s="52" t="n">
        <v>47869</v>
      </c>
      <c r="M543" s="51" t="s">
        <v>2690</v>
      </c>
      <c r="N543" s="0" t="n">
        <v>24</v>
      </c>
      <c r="O543" s="53" t="n">
        <v>46056.5480092593</v>
      </c>
      <c r="P543" s="53" t="n">
        <v>46060.5296875</v>
      </c>
      <c r="Q543" s="53" t="n">
        <v>46056.5480092593</v>
      </c>
      <c r="R543" s="0" t="n">
        <v>0</v>
      </c>
      <c r="S543" s="51" t="s">
        <v>2380</v>
      </c>
      <c r="T543" s="51" t="s">
        <v>2380</v>
      </c>
      <c r="U543" s="51" t="s">
        <v>2271</v>
      </c>
      <c r="V543" s="51" t="s">
        <v>2205</v>
      </c>
      <c r="W543" s="51" t="s">
        <v>2521</v>
      </c>
      <c r="X543" s="51"/>
    </row>
    <row r="544" customFormat="false" ht="14.25" hidden="false" customHeight="false" outlineLevel="0" collapsed="false">
      <c r="A544" s="49" t="s">
        <v>2137</v>
      </c>
      <c r="B544" s="49" t="s">
        <v>14</v>
      </c>
      <c r="C544" s="49" t="s">
        <v>633</v>
      </c>
      <c r="D544" s="49" t="s">
        <v>2441</v>
      </c>
      <c r="E544" s="49" t="s">
        <v>2271</v>
      </c>
      <c r="F544" s="49" t="s">
        <v>420</v>
      </c>
      <c r="G544" s="49" t="n">
        <v>24</v>
      </c>
      <c r="H544" s="0" t="n">
        <v>0</v>
      </c>
      <c r="I544" s="51" t="s">
        <v>3113</v>
      </c>
      <c r="J544" s="49" t="s">
        <v>2273</v>
      </c>
      <c r="K544" s="52" t="n">
        <v>47869</v>
      </c>
      <c r="M544" s="51" t="s">
        <v>2690</v>
      </c>
      <c r="N544" s="0" t="n">
        <v>24</v>
      </c>
      <c r="O544" s="53" t="n">
        <v>46056.5478935185</v>
      </c>
      <c r="P544" s="53" t="n">
        <v>46060.5239351852</v>
      </c>
      <c r="Q544" s="53" t="n">
        <v>46056.5478935185</v>
      </c>
      <c r="R544" s="0" t="n">
        <v>0</v>
      </c>
      <c r="S544" s="51" t="s">
        <v>2380</v>
      </c>
      <c r="T544" s="51" t="s">
        <v>2380</v>
      </c>
      <c r="U544" s="51" t="s">
        <v>2271</v>
      </c>
      <c r="V544" s="51" t="s">
        <v>2205</v>
      </c>
      <c r="W544" s="51" t="s">
        <v>2518</v>
      </c>
      <c r="X544" s="51"/>
    </row>
    <row r="545" customFormat="false" ht="14.25" hidden="false" customHeight="false" outlineLevel="0" collapsed="false">
      <c r="A545" s="49" t="s">
        <v>2137</v>
      </c>
      <c r="B545" s="49" t="s">
        <v>14</v>
      </c>
      <c r="C545" s="49" t="s">
        <v>634</v>
      </c>
      <c r="D545" s="49" t="s">
        <v>2441</v>
      </c>
      <c r="E545" s="49" t="s">
        <v>2271</v>
      </c>
      <c r="F545" s="49" t="s">
        <v>420</v>
      </c>
      <c r="G545" s="49" t="n">
        <v>24</v>
      </c>
      <c r="H545" s="0" t="n">
        <v>0</v>
      </c>
      <c r="I545" s="51" t="s">
        <v>3114</v>
      </c>
      <c r="J545" s="49" t="s">
        <v>2273</v>
      </c>
      <c r="K545" s="52" t="n">
        <v>47869</v>
      </c>
      <c r="M545" s="51" t="s">
        <v>2690</v>
      </c>
      <c r="N545" s="0" t="n">
        <v>24</v>
      </c>
      <c r="O545" s="53" t="n">
        <v>46056.5477199074</v>
      </c>
      <c r="P545" s="53" t="n">
        <v>46060.5265277778</v>
      </c>
      <c r="Q545" s="53" t="n">
        <v>46056.5477199074</v>
      </c>
      <c r="R545" s="0" t="n">
        <v>0</v>
      </c>
      <c r="S545" s="51" t="s">
        <v>2380</v>
      </c>
      <c r="T545" s="51" t="s">
        <v>2380</v>
      </c>
      <c r="U545" s="51" t="s">
        <v>2271</v>
      </c>
      <c r="V545" s="51" t="s">
        <v>2205</v>
      </c>
      <c r="W545" s="51" t="s">
        <v>2501</v>
      </c>
      <c r="X545" s="51"/>
    </row>
    <row r="546" customFormat="false" ht="14.25" hidden="true" customHeight="false" outlineLevel="0" collapsed="false">
      <c r="A546" s="49" t="s">
        <v>2137</v>
      </c>
      <c r="B546" s="49" t="s">
        <v>14</v>
      </c>
      <c r="C546" s="49" t="s">
        <v>781</v>
      </c>
      <c r="D546" s="49" t="s">
        <v>2441</v>
      </c>
      <c r="E546" s="49" t="s">
        <v>2164</v>
      </c>
      <c r="F546" s="49" t="s">
        <v>772</v>
      </c>
      <c r="G546" s="49" t="n">
        <v>4</v>
      </c>
      <c r="H546" s="0" t="n">
        <v>0</v>
      </c>
      <c r="I546" s="51" t="s">
        <v>3115</v>
      </c>
      <c r="J546" s="49" t="s">
        <v>2167</v>
      </c>
      <c r="K546" s="52" t="n">
        <v>47873</v>
      </c>
      <c r="M546" s="51" t="s">
        <v>2534</v>
      </c>
      <c r="N546" s="49" t="n">
        <v>4</v>
      </c>
      <c r="O546" s="53" t="n">
        <v>46057.5800347222</v>
      </c>
      <c r="P546" s="53" t="n">
        <v>46057.6368518519</v>
      </c>
      <c r="Q546" s="53" t="n">
        <v>46057.5800347222</v>
      </c>
      <c r="R546" s="0" t="n">
        <v>0</v>
      </c>
      <c r="S546" s="51" t="s">
        <v>2398</v>
      </c>
      <c r="T546" s="51" t="s">
        <v>2398</v>
      </c>
      <c r="U546" s="51" t="s">
        <v>2164</v>
      </c>
      <c r="V546" s="51" t="s">
        <v>2142</v>
      </c>
      <c r="W546" s="51"/>
      <c r="X546" s="51"/>
    </row>
    <row r="547" customFormat="false" ht="14.25" hidden="true" customHeight="false" outlineLevel="0" collapsed="false">
      <c r="A547" s="49" t="s">
        <v>2137</v>
      </c>
      <c r="B547" s="49" t="s">
        <v>14</v>
      </c>
      <c r="C547" s="49" t="s">
        <v>771</v>
      </c>
      <c r="D547" s="49" t="s">
        <v>2441</v>
      </c>
      <c r="E547" s="49" t="s">
        <v>2164</v>
      </c>
      <c r="F547" s="49" t="s">
        <v>772</v>
      </c>
      <c r="G547" s="49" t="n">
        <v>4</v>
      </c>
      <c r="H547" s="0" t="n">
        <v>0</v>
      </c>
      <c r="I547" s="51" t="s">
        <v>2927</v>
      </c>
      <c r="J547" s="49" t="s">
        <v>2167</v>
      </c>
      <c r="K547" s="52" t="n">
        <v>47873</v>
      </c>
      <c r="M547" s="51" t="s">
        <v>2534</v>
      </c>
      <c r="N547" s="49" t="n">
        <v>4</v>
      </c>
      <c r="O547" s="53" t="n">
        <v>46057.5662731482</v>
      </c>
      <c r="P547" s="53" t="n">
        <v>46057.6383796296</v>
      </c>
      <c r="Q547" s="53" t="n">
        <v>46057.5662731482</v>
      </c>
      <c r="R547" s="0" t="n">
        <v>0</v>
      </c>
      <c r="S547" s="51" t="s">
        <v>2398</v>
      </c>
      <c r="T547" s="51" t="s">
        <v>2398</v>
      </c>
      <c r="U547" s="51" t="s">
        <v>2164</v>
      </c>
      <c r="V547" s="51" t="s">
        <v>2142</v>
      </c>
      <c r="W547" s="51"/>
      <c r="X547" s="51"/>
    </row>
    <row r="548" customFormat="false" ht="14.25" hidden="true" customHeight="false" outlineLevel="0" collapsed="false">
      <c r="A548" s="49" t="s">
        <v>2137</v>
      </c>
      <c r="B548" s="49" t="s">
        <v>14</v>
      </c>
      <c r="C548" s="49" t="s">
        <v>796</v>
      </c>
      <c r="D548" s="49" t="s">
        <v>2441</v>
      </c>
      <c r="E548" s="49" t="s">
        <v>2164</v>
      </c>
      <c r="F548" s="49" t="s">
        <v>772</v>
      </c>
      <c r="G548" s="49" t="n">
        <v>4</v>
      </c>
      <c r="H548" s="0" t="n">
        <v>0</v>
      </c>
      <c r="I548" s="51" t="s">
        <v>2916</v>
      </c>
      <c r="J548" s="49" t="s">
        <v>2167</v>
      </c>
      <c r="K548" s="52" t="n">
        <v>47873</v>
      </c>
      <c r="M548" s="51" t="s">
        <v>2534</v>
      </c>
      <c r="N548" s="49" t="n">
        <v>4</v>
      </c>
      <c r="O548" s="53" t="n">
        <v>46057.5670486111</v>
      </c>
      <c r="P548" s="53" t="n">
        <v>46057.6384837963</v>
      </c>
      <c r="Q548" s="53" t="n">
        <v>46057.5670486111</v>
      </c>
      <c r="R548" s="0" t="n">
        <v>0</v>
      </c>
      <c r="S548" s="51" t="s">
        <v>2398</v>
      </c>
      <c r="T548" s="51" t="s">
        <v>2398</v>
      </c>
      <c r="U548" s="51" t="s">
        <v>2164</v>
      </c>
      <c r="V548" s="51" t="s">
        <v>2142</v>
      </c>
      <c r="W548" s="51"/>
      <c r="X548" s="51"/>
    </row>
    <row r="549" customFormat="false" ht="14.25" hidden="true" customHeight="false" outlineLevel="0" collapsed="false">
      <c r="A549" s="49" t="s">
        <v>2137</v>
      </c>
      <c r="B549" s="49" t="s">
        <v>14</v>
      </c>
      <c r="C549" s="49" t="s">
        <v>795</v>
      </c>
      <c r="D549" s="49" t="s">
        <v>2441</v>
      </c>
      <c r="E549" s="49" t="s">
        <v>2164</v>
      </c>
      <c r="F549" s="49" t="s">
        <v>772</v>
      </c>
      <c r="G549" s="49" t="n">
        <v>4</v>
      </c>
      <c r="H549" s="0" t="n">
        <v>0</v>
      </c>
      <c r="I549" s="51" t="s">
        <v>2984</v>
      </c>
      <c r="J549" s="49" t="s">
        <v>2167</v>
      </c>
      <c r="K549" s="52" t="n">
        <v>47873</v>
      </c>
      <c r="M549" s="51" t="s">
        <v>2534</v>
      </c>
      <c r="N549" s="49" t="n">
        <v>4</v>
      </c>
      <c r="O549" s="53" t="n">
        <v>46057.5672337963</v>
      </c>
      <c r="P549" s="53" t="n">
        <v>46057.6384375</v>
      </c>
      <c r="Q549" s="53" t="n">
        <v>46057.5672337963</v>
      </c>
      <c r="R549" s="0" t="n">
        <v>0</v>
      </c>
      <c r="S549" s="51" t="s">
        <v>2398</v>
      </c>
      <c r="T549" s="51" t="s">
        <v>2398</v>
      </c>
      <c r="U549" s="51" t="s">
        <v>2164</v>
      </c>
      <c r="V549" s="51" t="s">
        <v>2142</v>
      </c>
      <c r="W549" s="51"/>
      <c r="X549" s="51"/>
    </row>
    <row r="550" customFormat="false" ht="14.25" hidden="true" customHeight="false" outlineLevel="0" collapsed="false">
      <c r="A550" s="49" t="s">
        <v>2137</v>
      </c>
      <c r="B550" s="49" t="s">
        <v>14</v>
      </c>
      <c r="C550" s="49" t="s">
        <v>794</v>
      </c>
      <c r="D550" s="49" t="s">
        <v>2441</v>
      </c>
      <c r="E550" s="49" t="s">
        <v>2164</v>
      </c>
      <c r="F550" s="49" t="s">
        <v>772</v>
      </c>
      <c r="G550" s="49" t="n">
        <v>4</v>
      </c>
      <c r="H550" s="0" t="n">
        <v>0</v>
      </c>
      <c r="I550" s="51" t="s">
        <v>2974</v>
      </c>
      <c r="J550" s="49" t="s">
        <v>2167</v>
      </c>
      <c r="K550" s="52" t="n">
        <v>47873</v>
      </c>
      <c r="M550" s="51" t="s">
        <v>2534</v>
      </c>
      <c r="N550" s="49" t="n">
        <v>4</v>
      </c>
      <c r="O550" s="53" t="n">
        <v>46057.5673611111</v>
      </c>
      <c r="P550" s="53" t="n">
        <v>46057.6385416667</v>
      </c>
      <c r="Q550" s="53" t="n">
        <v>46057.5673611111</v>
      </c>
      <c r="R550" s="0" t="n">
        <v>0</v>
      </c>
      <c r="S550" s="51" t="s">
        <v>2398</v>
      </c>
      <c r="T550" s="51" t="s">
        <v>2398</v>
      </c>
      <c r="U550" s="51" t="s">
        <v>2164</v>
      </c>
      <c r="V550" s="51" t="s">
        <v>2142</v>
      </c>
      <c r="W550" s="51"/>
      <c r="X550" s="51"/>
    </row>
    <row r="551" customFormat="false" ht="14.25" hidden="false" customHeight="false" outlineLevel="0" collapsed="false">
      <c r="A551" s="49" t="s">
        <v>2137</v>
      </c>
      <c r="B551" s="49" t="s">
        <v>14</v>
      </c>
      <c r="C551" s="49" t="s">
        <v>793</v>
      </c>
      <c r="D551" s="49" t="s">
        <v>2441</v>
      </c>
      <c r="E551" s="49" t="s">
        <v>2164</v>
      </c>
      <c r="F551" s="49" t="s">
        <v>772</v>
      </c>
      <c r="G551" s="49" t="n">
        <v>4</v>
      </c>
      <c r="H551" s="0" t="n">
        <v>0</v>
      </c>
      <c r="I551" s="51" t="s">
        <v>3116</v>
      </c>
      <c r="J551" s="52" t="s">
        <v>2167</v>
      </c>
      <c r="K551" s="52" t="n">
        <v>47873</v>
      </c>
      <c r="M551" s="51" t="s">
        <v>2534</v>
      </c>
      <c r="N551" s="0" t="n">
        <v>4</v>
      </c>
      <c r="O551" s="53" t="n">
        <v>46057.5677083333</v>
      </c>
      <c r="P551" s="53" t="n">
        <v>46057.6371527778</v>
      </c>
      <c r="Q551" s="53" t="n">
        <v>46057.5677083333</v>
      </c>
      <c r="R551" s="0" t="n">
        <v>0</v>
      </c>
      <c r="S551" s="51" t="s">
        <v>2398</v>
      </c>
      <c r="T551" s="51" t="s">
        <v>2398</v>
      </c>
      <c r="U551" s="51" t="s">
        <v>2164</v>
      </c>
      <c r="V551" s="51" t="s">
        <v>2142</v>
      </c>
      <c r="W551" s="51"/>
      <c r="X551" s="51"/>
    </row>
    <row r="552" customFormat="false" ht="14.25" hidden="false" customHeight="false" outlineLevel="0" collapsed="false">
      <c r="A552" s="49" t="s">
        <v>2137</v>
      </c>
      <c r="B552" s="49" t="s">
        <v>14</v>
      </c>
      <c r="C552" s="49" t="s">
        <v>792</v>
      </c>
      <c r="D552" s="49" t="s">
        <v>2441</v>
      </c>
      <c r="E552" s="49" t="s">
        <v>2164</v>
      </c>
      <c r="F552" s="49" t="s">
        <v>772</v>
      </c>
      <c r="G552" s="49" t="n">
        <v>4</v>
      </c>
      <c r="H552" s="0" t="n">
        <v>0</v>
      </c>
      <c r="I552" s="51" t="s">
        <v>3117</v>
      </c>
      <c r="J552" s="49" t="s">
        <v>2167</v>
      </c>
      <c r="K552" s="52" t="n">
        <v>47873</v>
      </c>
      <c r="M552" s="51" t="s">
        <v>2534</v>
      </c>
      <c r="N552" s="0" t="n">
        <v>4</v>
      </c>
      <c r="O552" s="53" t="n">
        <v>46057.5678240741</v>
      </c>
      <c r="P552" s="53" t="n">
        <v>46065.6137268519</v>
      </c>
      <c r="Q552" s="0" t="n">
        <v>46057.5678240741</v>
      </c>
      <c r="R552" s="0" t="n">
        <v>0</v>
      </c>
      <c r="S552" s="51" t="s">
        <v>2398</v>
      </c>
      <c r="T552" s="51" t="s">
        <v>2398</v>
      </c>
      <c r="U552" s="51" t="s">
        <v>2164</v>
      </c>
      <c r="V552" s="51" t="s">
        <v>2142</v>
      </c>
    </row>
    <row r="553" customFormat="false" ht="14.25" hidden="false" customHeight="false" outlineLevel="0" collapsed="false">
      <c r="A553" s="49" t="s">
        <v>2137</v>
      </c>
      <c r="B553" s="49" t="s">
        <v>14</v>
      </c>
      <c r="C553" s="49" t="s">
        <v>791</v>
      </c>
      <c r="D553" s="49" t="s">
        <v>2441</v>
      </c>
      <c r="E553" s="49" t="s">
        <v>2164</v>
      </c>
      <c r="F553" s="49" t="s">
        <v>772</v>
      </c>
      <c r="G553" s="49" t="n">
        <v>3</v>
      </c>
      <c r="H553" s="0" t="n">
        <v>0</v>
      </c>
      <c r="I553" s="51" t="s">
        <v>2165</v>
      </c>
      <c r="J553" s="49" t="s">
        <v>2167</v>
      </c>
      <c r="K553" s="52" t="n">
        <v>47873</v>
      </c>
      <c r="M553" s="51" t="s">
        <v>2534</v>
      </c>
      <c r="N553" s="0" t="n">
        <v>4</v>
      </c>
      <c r="O553" s="53" t="n">
        <v>46057.5681134259</v>
      </c>
      <c r="P553" s="53" t="n">
        <v>46067.3210763889</v>
      </c>
      <c r="Q553" s="53" t="n">
        <v>46057.5681134259</v>
      </c>
      <c r="R553" s="0" t="n">
        <v>0</v>
      </c>
      <c r="S553" s="51" t="s">
        <v>2398</v>
      </c>
      <c r="T553" s="51" t="s">
        <v>2398</v>
      </c>
      <c r="U553" s="51" t="s">
        <v>2164</v>
      </c>
      <c r="V553" s="51" t="s">
        <v>2142</v>
      </c>
      <c r="W553" s="51"/>
      <c r="X553" s="51"/>
    </row>
    <row r="554" customFormat="false" ht="14.25" hidden="false" customHeight="false" outlineLevel="0" collapsed="false">
      <c r="A554" s="49" t="s">
        <v>2137</v>
      </c>
      <c r="B554" s="49" t="s">
        <v>14</v>
      </c>
      <c r="C554" s="49" t="s">
        <v>790</v>
      </c>
      <c r="D554" s="49" t="s">
        <v>2441</v>
      </c>
      <c r="E554" s="49" t="s">
        <v>2164</v>
      </c>
      <c r="F554" s="49" t="s">
        <v>772</v>
      </c>
      <c r="G554" s="49" t="n">
        <v>4</v>
      </c>
      <c r="H554" s="0" t="n">
        <v>0</v>
      </c>
      <c r="I554" s="51" t="s">
        <v>2982</v>
      </c>
      <c r="J554" s="49" t="s">
        <v>2167</v>
      </c>
      <c r="K554" s="52" t="n">
        <v>47873</v>
      </c>
      <c r="M554" s="51" t="s">
        <v>2534</v>
      </c>
      <c r="N554" s="0" t="n">
        <v>4</v>
      </c>
      <c r="O554" s="53" t="n">
        <v>46057.5684606481</v>
      </c>
      <c r="P554" s="53" t="n">
        <v>46057.6383333333</v>
      </c>
      <c r="Q554" s="0" t="n">
        <v>46057.5684606481</v>
      </c>
      <c r="R554" s="0" t="n">
        <v>0</v>
      </c>
      <c r="S554" s="51" t="s">
        <v>2398</v>
      </c>
      <c r="T554" s="51" t="s">
        <v>2398</v>
      </c>
      <c r="U554" s="51" t="s">
        <v>2164</v>
      </c>
      <c r="V554" s="51" t="s">
        <v>2142</v>
      </c>
    </row>
    <row r="555" customFormat="false" ht="14.25" hidden="false" customHeight="false" outlineLevel="0" collapsed="false">
      <c r="A555" s="49" t="s">
        <v>2137</v>
      </c>
      <c r="B555" s="49" t="s">
        <v>14</v>
      </c>
      <c r="C555" s="49" t="s">
        <v>789</v>
      </c>
      <c r="D555" s="49" t="s">
        <v>2441</v>
      </c>
      <c r="E555" s="49" t="s">
        <v>2164</v>
      </c>
      <c r="F555" s="49" t="s">
        <v>772</v>
      </c>
      <c r="G555" s="49" t="n">
        <v>4</v>
      </c>
      <c r="H555" s="0" t="n">
        <v>0</v>
      </c>
      <c r="I555" s="51" t="s">
        <v>2971</v>
      </c>
      <c r="J555" s="49" t="s">
        <v>2167</v>
      </c>
      <c r="K555" s="52" t="n">
        <v>47873</v>
      </c>
      <c r="M555" s="51" t="s">
        <v>2534</v>
      </c>
      <c r="N555" s="0" t="n">
        <v>4</v>
      </c>
      <c r="O555" s="53" t="n">
        <v>46057.568599537</v>
      </c>
      <c r="P555" s="53" t="n">
        <v>46057.6382291667</v>
      </c>
      <c r="Q555" s="0" t="n">
        <v>46057.568599537</v>
      </c>
      <c r="R555" s="0" t="n">
        <v>0</v>
      </c>
      <c r="S555" s="51" t="s">
        <v>2398</v>
      </c>
      <c r="T555" s="51" t="s">
        <v>2398</v>
      </c>
      <c r="U555" s="51" t="s">
        <v>2164</v>
      </c>
      <c r="V555" s="51" t="s">
        <v>2142</v>
      </c>
    </row>
    <row r="556" customFormat="false" ht="14.25" hidden="false" customHeight="false" outlineLevel="0" collapsed="false">
      <c r="A556" s="49" t="s">
        <v>2137</v>
      </c>
      <c r="B556" s="49" t="s">
        <v>14</v>
      </c>
      <c r="C556" s="49" t="s">
        <v>788</v>
      </c>
      <c r="D556" s="49" t="s">
        <v>2441</v>
      </c>
      <c r="E556" s="49" t="s">
        <v>2164</v>
      </c>
      <c r="F556" s="49" t="s">
        <v>772</v>
      </c>
      <c r="G556" s="49" t="n">
        <v>4</v>
      </c>
      <c r="H556" s="0" t="n">
        <v>0</v>
      </c>
      <c r="I556" s="51" t="s">
        <v>3118</v>
      </c>
      <c r="J556" s="49" t="s">
        <v>2167</v>
      </c>
      <c r="K556" s="52" t="n">
        <v>47873</v>
      </c>
      <c r="M556" s="51" t="s">
        <v>2534</v>
      </c>
      <c r="N556" s="0" t="n">
        <v>4</v>
      </c>
      <c r="O556" s="53" t="n">
        <v>46057.5737731482</v>
      </c>
      <c r="P556" s="53" t="n">
        <v>46057.6370717593</v>
      </c>
      <c r="Q556" s="53" t="n">
        <v>46057.5737731482</v>
      </c>
      <c r="R556" s="0" t="n">
        <v>0</v>
      </c>
      <c r="S556" s="51" t="s">
        <v>2398</v>
      </c>
      <c r="T556" s="51" t="s">
        <v>2398</v>
      </c>
      <c r="U556" s="51" t="s">
        <v>2164</v>
      </c>
      <c r="V556" s="51" t="s">
        <v>2142</v>
      </c>
      <c r="W556" s="51"/>
      <c r="X556" s="51"/>
    </row>
    <row r="557" customFormat="false" ht="14.25" hidden="false" customHeight="false" outlineLevel="0" collapsed="false">
      <c r="A557" s="49" t="s">
        <v>2137</v>
      </c>
      <c r="B557" s="49" t="s">
        <v>14</v>
      </c>
      <c r="C557" s="49" t="s">
        <v>786</v>
      </c>
      <c r="D557" s="49" t="s">
        <v>2441</v>
      </c>
      <c r="E557" s="49" t="s">
        <v>2164</v>
      </c>
      <c r="F557" s="49" t="s">
        <v>772</v>
      </c>
      <c r="G557" s="49" t="n">
        <v>4</v>
      </c>
      <c r="H557" s="0" t="n">
        <v>0</v>
      </c>
      <c r="I557" s="51" t="s">
        <v>3119</v>
      </c>
      <c r="J557" s="49" t="s">
        <v>2167</v>
      </c>
      <c r="K557" s="52" t="n">
        <v>47873</v>
      </c>
      <c r="M557" s="51" t="s">
        <v>2534</v>
      </c>
      <c r="N557" s="0" t="n">
        <v>4</v>
      </c>
      <c r="O557" s="53" t="n">
        <v>46057.5768518519</v>
      </c>
      <c r="P557" s="53" t="n">
        <v>46057.6368171296</v>
      </c>
      <c r="Q557" s="53" t="n">
        <v>46057.5768518519</v>
      </c>
      <c r="R557" s="0" t="n">
        <v>0</v>
      </c>
      <c r="S557" s="51" t="s">
        <v>2398</v>
      </c>
      <c r="T557" s="51" t="s">
        <v>2398</v>
      </c>
      <c r="U557" s="51" t="s">
        <v>2164</v>
      </c>
      <c r="V557" s="51" t="s">
        <v>2142</v>
      </c>
      <c r="W557" s="51"/>
      <c r="X557" s="51"/>
    </row>
    <row r="558" customFormat="false" ht="14.25" hidden="false" customHeight="false" outlineLevel="0" collapsed="false">
      <c r="A558" s="49" t="s">
        <v>2137</v>
      </c>
      <c r="B558" s="49" t="s">
        <v>14</v>
      </c>
      <c r="C558" s="49" t="s">
        <v>1222</v>
      </c>
      <c r="D558" s="49" t="s">
        <v>2441</v>
      </c>
      <c r="E558" s="49" t="s">
        <v>2193</v>
      </c>
      <c r="F558" s="49" t="s">
        <v>1215</v>
      </c>
      <c r="G558" s="49" t="n">
        <v>4</v>
      </c>
      <c r="H558" s="0" t="n">
        <v>0</v>
      </c>
      <c r="I558" s="51" t="s">
        <v>2952</v>
      </c>
      <c r="J558" s="49" t="s">
        <v>2196</v>
      </c>
      <c r="K558" s="52" t="n">
        <v>47883</v>
      </c>
      <c r="M558" s="51" t="s">
        <v>2539</v>
      </c>
      <c r="N558" s="0" t="n">
        <v>4</v>
      </c>
      <c r="O558" s="53" t="n">
        <v>46064.7093171296</v>
      </c>
      <c r="P558" s="53" t="n">
        <v>46065.6046064815</v>
      </c>
      <c r="Q558" s="0" t="n">
        <v>46064.7093171296</v>
      </c>
      <c r="R558" s="0" t="n">
        <v>0</v>
      </c>
      <c r="S558" s="51" t="s">
        <v>2398</v>
      </c>
      <c r="T558" s="51" t="s">
        <v>2398</v>
      </c>
      <c r="U558" s="51" t="s">
        <v>2193</v>
      </c>
      <c r="V558" s="51" t="s">
        <v>2142</v>
      </c>
    </row>
    <row r="559" customFormat="false" ht="14.25" hidden="false" customHeight="false" outlineLevel="0" collapsed="false">
      <c r="A559" s="49" t="s">
        <v>2137</v>
      </c>
      <c r="B559" s="49" t="s">
        <v>14</v>
      </c>
      <c r="C559" s="49" t="s">
        <v>1214</v>
      </c>
      <c r="D559" s="49" t="s">
        <v>2441</v>
      </c>
      <c r="E559" s="49" t="s">
        <v>2193</v>
      </c>
      <c r="F559" s="49" t="s">
        <v>1215</v>
      </c>
      <c r="G559" s="49" t="n">
        <v>4</v>
      </c>
      <c r="H559" s="0" t="n">
        <v>0</v>
      </c>
      <c r="I559" s="51" t="s">
        <v>3120</v>
      </c>
      <c r="J559" s="49" t="s">
        <v>2196</v>
      </c>
      <c r="K559" s="52" t="n">
        <v>47883</v>
      </c>
      <c r="M559" s="51" t="s">
        <v>2539</v>
      </c>
      <c r="N559" s="0" t="n">
        <v>4</v>
      </c>
      <c r="O559" s="53" t="n">
        <v>46064.7057407407</v>
      </c>
      <c r="P559" s="53" t="n">
        <v>46065.6054513889</v>
      </c>
      <c r="Q559" s="0" t="n">
        <v>46064.7057407407</v>
      </c>
      <c r="R559" s="0" t="n">
        <v>0</v>
      </c>
      <c r="S559" s="51" t="s">
        <v>2398</v>
      </c>
      <c r="T559" s="51" t="s">
        <v>2398</v>
      </c>
      <c r="U559" s="51" t="s">
        <v>2193</v>
      </c>
      <c r="V559" s="51" t="s">
        <v>2142</v>
      </c>
    </row>
    <row r="560" customFormat="false" ht="14.25" hidden="false" customHeight="false" outlineLevel="0" collapsed="false">
      <c r="A560" s="49" t="s">
        <v>2137</v>
      </c>
      <c r="B560" s="49" t="s">
        <v>14</v>
      </c>
      <c r="C560" s="49" t="s">
        <v>1234</v>
      </c>
      <c r="D560" s="49" t="s">
        <v>2441</v>
      </c>
      <c r="E560" s="49" t="s">
        <v>2193</v>
      </c>
      <c r="F560" s="49" t="s">
        <v>1215</v>
      </c>
      <c r="G560" s="49" t="n">
        <v>4</v>
      </c>
      <c r="H560" s="0" t="n">
        <v>0</v>
      </c>
      <c r="I560" s="51" t="s">
        <v>3121</v>
      </c>
      <c r="J560" s="49" t="s">
        <v>2196</v>
      </c>
      <c r="K560" s="52" t="n">
        <v>47883</v>
      </c>
      <c r="M560" s="51" t="s">
        <v>2539</v>
      </c>
      <c r="N560" s="0" t="n">
        <v>4</v>
      </c>
      <c r="O560" s="53" t="n">
        <v>46064.7062037037</v>
      </c>
      <c r="P560" s="53" t="n">
        <v>46065.6033217593</v>
      </c>
      <c r="Q560" s="0" t="n">
        <v>46064.7062037037</v>
      </c>
      <c r="R560" s="0" t="n">
        <v>0</v>
      </c>
      <c r="S560" s="51" t="s">
        <v>2398</v>
      </c>
      <c r="T560" s="51" t="s">
        <v>2398</v>
      </c>
      <c r="U560" s="51" t="s">
        <v>2193</v>
      </c>
      <c r="V560" s="51" t="s">
        <v>2142</v>
      </c>
    </row>
    <row r="561" customFormat="false" ht="14.25" hidden="false" customHeight="false" outlineLevel="0" collapsed="false">
      <c r="A561" s="49" t="s">
        <v>2137</v>
      </c>
      <c r="B561" s="49" t="s">
        <v>14</v>
      </c>
      <c r="C561" s="49" t="s">
        <v>1233</v>
      </c>
      <c r="D561" s="49" t="s">
        <v>2441</v>
      </c>
      <c r="E561" s="49" t="s">
        <v>2193</v>
      </c>
      <c r="F561" s="49" t="s">
        <v>1215</v>
      </c>
      <c r="G561" s="49" t="n">
        <v>4</v>
      </c>
      <c r="H561" s="0" t="n">
        <v>0</v>
      </c>
      <c r="I561" s="51" t="s">
        <v>2958</v>
      </c>
      <c r="J561" s="49" t="s">
        <v>2196</v>
      </c>
      <c r="K561" s="52" t="n">
        <v>47883</v>
      </c>
      <c r="M561" s="51" t="s">
        <v>2539</v>
      </c>
      <c r="N561" s="0" t="n">
        <v>4</v>
      </c>
      <c r="O561" s="53" t="n">
        <v>46064.7063078704</v>
      </c>
      <c r="P561" s="53" t="n">
        <v>46065.6147916667</v>
      </c>
      <c r="Q561" s="0" t="n">
        <v>46064.7063078704</v>
      </c>
      <c r="R561" s="0" t="n">
        <v>0</v>
      </c>
      <c r="S561" s="51" t="s">
        <v>2398</v>
      </c>
      <c r="T561" s="51" t="s">
        <v>2398</v>
      </c>
      <c r="U561" s="51" t="s">
        <v>2193</v>
      </c>
      <c r="V561" s="51" t="s">
        <v>2142</v>
      </c>
    </row>
    <row r="562" customFormat="false" ht="14.25" hidden="true" customHeight="false" outlineLevel="0" collapsed="false">
      <c r="A562" s="49" t="s">
        <v>2137</v>
      </c>
      <c r="B562" s="49" t="s">
        <v>14</v>
      </c>
      <c r="C562" s="49" t="s">
        <v>1232</v>
      </c>
      <c r="D562" s="49" t="s">
        <v>2441</v>
      </c>
      <c r="E562" s="49" t="s">
        <v>2193</v>
      </c>
      <c r="F562" s="49" t="s">
        <v>1215</v>
      </c>
      <c r="G562" s="49" t="n">
        <v>1</v>
      </c>
      <c r="H562" s="0" t="n">
        <v>0</v>
      </c>
      <c r="I562" s="51" t="s">
        <v>2194</v>
      </c>
      <c r="J562" s="49" t="s">
        <v>2196</v>
      </c>
      <c r="K562" s="52" t="n">
        <v>47883</v>
      </c>
      <c r="M562" s="51" t="s">
        <v>2539</v>
      </c>
      <c r="N562" s="49" t="n">
        <v>4</v>
      </c>
      <c r="O562" s="53" t="n">
        <v>46064.7064236111</v>
      </c>
      <c r="P562" s="53" t="n">
        <v>46067.3242824074</v>
      </c>
      <c r="Q562" s="0" t="n">
        <v>46064.7064236111</v>
      </c>
      <c r="R562" s="0" t="n">
        <v>0</v>
      </c>
      <c r="S562" s="51" t="s">
        <v>2398</v>
      </c>
      <c r="T562" s="51" t="s">
        <v>2398</v>
      </c>
      <c r="U562" s="51" t="s">
        <v>2193</v>
      </c>
      <c r="V562" s="51" t="s">
        <v>2142</v>
      </c>
    </row>
    <row r="563" customFormat="false" ht="14.25" hidden="true" customHeight="false" outlineLevel="0" collapsed="false">
      <c r="A563" s="49" t="s">
        <v>2137</v>
      </c>
      <c r="B563" s="49" t="s">
        <v>14</v>
      </c>
      <c r="C563" s="49" t="s">
        <v>1231</v>
      </c>
      <c r="D563" s="49" t="s">
        <v>2441</v>
      </c>
      <c r="E563" s="49" t="s">
        <v>2193</v>
      </c>
      <c r="F563" s="49" t="s">
        <v>1215</v>
      </c>
      <c r="G563" s="49" t="n">
        <v>4</v>
      </c>
      <c r="H563" s="0" t="n">
        <v>0</v>
      </c>
      <c r="I563" s="51" t="s">
        <v>2960</v>
      </c>
      <c r="J563" s="49" t="s">
        <v>2196</v>
      </c>
      <c r="K563" s="52" t="n">
        <v>47883</v>
      </c>
      <c r="M563" s="51" t="s">
        <v>2539</v>
      </c>
      <c r="N563" s="49" t="n">
        <v>4</v>
      </c>
      <c r="O563" s="53" t="n">
        <v>46064.7065393519</v>
      </c>
      <c r="P563" s="53" t="n">
        <v>46065.6076273148</v>
      </c>
      <c r="Q563" s="53" t="n">
        <v>46064.7065393519</v>
      </c>
      <c r="R563" s="0" t="n">
        <v>0</v>
      </c>
      <c r="S563" s="51" t="s">
        <v>2398</v>
      </c>
      <c r="T563" s="51" t="s">
        <v>2398</v>
      </c>
      <c r="U563" s="51" t="s">
        <v>2193</v>
      </c>
      <c r="V563" s="51" t="s">
        <v>2142</v>
      </c>
      <c r="W563" s="51"/>
      <c r="X563" s="51"/>
    </row>
    <row r="564" customFormat="false" ht="14.25" hidden="false" customHeight="false" outlineLevel="0" collapsed="false">
      <c r="A564" s="49" t="s">
        <v>2137</v>
      </c>
      <c r="B564" s="49" t="s">
        <v>14</v>
      </c>
      <c r="C564" s="49" t="s">
        <v>1230</v>
      </c>
      <c r="D564" s="49" t="s">
        <v>2441</v>
      </c>
      <c r="E564" s="49" t="s">
        <v>2193</v>
      </c>
      <c r="F564" s="49" t="s">
        <v>1215</v>
      </c>
      <c r="G564" s="49" t="n">
        <v>4</v>
      </c>
      <c r="H564" s="0" t="n">
        <v>0</v>
      </c>
      <c r="I564" s="51" t="s">
        <v>2954</v>
      </c>
      <c r="J564" s="49" t="s">
        <v>2196</v>
      </c>
      <c r="K564" s="52" t="n">
        <v>47883</v>
      </c>
      <c r="M564" s="51" t="s">
        <v>2539</v>
      </c>
      <c r="N564" s="0" t="n">
        <v>4</v>
      </c>
      <c r="O564" s="53" t="n">
        <v>46064.7066435185</v>
      </c>
      <c r="P564" s="53" t="n">
        <v>46065.608912037</v>
      </c>
      <c r="Q564" s="53" t="n">
        <v>46064.7066435185</v>
      </c>
      <c r="R564" s="0" t="n">
        <v>0</v>
      </c>
      <c r="S564" s="51" t="s">
        <v>2398</v>
      </c>
      <c r="T564" s="51" t="s">
        <v>2398</v>
      </c>
      <c r="U564" s="51" t="s">
        <v>2193</v>
      </c>
      <c r="V564" s="51" t="s">
        <v>2142</v>
      </c>
      <c r="W564" s="51"/>
      <c r="X564" s="51"/>
    </row>
    <row r="565" customFormat="false" ht="14.25" hidden="false" customHeight="false" outlineLevel="0" collapsed="false">
      <c r="A565" s="49" t="s">
        <v>2137</v>
      </c>
      <c r="B565" s="49" t="s">
        <v>14</v>
      </c>
      <c r="C565" s="49" t="s">
        <v>1229</v>
      </c>
      <c r="D565" s="49" t="s">
        <v>2441</v>
      </c>
      <c r="E565" s="49" t="s">
        <v>2193</v>
      </c>
      <c r="F565" s="49" t="s">
        <v>1215</v>
      </c>
      <c r="G565" s="49" t="n">
        <v>4</v>
      </c>
      <c r="H565" s="0" t="n">
        <v>0</v>
      </c>
      <c r="I565" s="51" t="s">
        <v>2907</v>
      </c>
      <c r="J565" s="49" t="s">
        <v>2196</v>
      </c>
      <c r="K565" s="52" t="n">
        <v>47883</v>
      </c>
      <c r="M565" s="51" t="s">
        <v>2539</v>
      </c>
      <c r="N565" s="0" t="n">
        <v>4</v>
      </c>
      <c r="O565" s="53" t="n">
        <v>46064.7067476852</v>
      </c>
      <c r="P565" s="53" t="n">
        <v>46065.610150463</v>
      </c>
      <c r="Q565" s="53" t="n">
        <v>46064.7067476852</v>
      </c>
      <c r="R565" s="0" t="n">
        <v>0</v>
      </c>
      <c r="S565" s="51" t="s">
        <v>2398</v>
      </c>
      <c r="T565" s="51" t="s">
        <v>2398</v>
      </c>
      <c r="U565" s="51" t="s">
        <v>2193</v>
      </c>
      <c r="V565" s="51" t="s">
        <v>2142</v>
      </c>
      <c r="W565" s="51"/>
      <c r="X565" s="51"/>
    </row>
    <row r="566" customFormat="false" ht="14.25" hidden="false" customHeight="false" outlineLevel="0" collapsed="false">
      <c r="A566" s="49" t="s">
        <v>2137</v>
      </c>
      <c r="B566" s="49" t="s">
        <v>14</v>
      </c>
      <c r="C566" s="49" t="s">
        <v>1228</v>
      </c>
      <c r="D566" s="49" t="s">
        <v>2441</v>
      </c>
      <c r="E566" s="49" t="s">
        <v>2193</v>
      </c>
      <c r="F566" s="49" t="s">
        <v>1215</v>
      </c>
      <c r="G566" s="49" t="n">
        <v>4</v>
      </c>
      <c r="H566" s="0" t="n">
        <v>0</v>
      </c>
      <c r="I566" s="51" t="s">
        <v>2962</v>
      </c>
      <c r="J566" s="49" t="s">
        <v>2196</v>
      </c>
      <c r="K566" s="52" t="n">
        <v>47883</v>
      </c>
      <c r="M566" s="51" t="s">
        <v>2539</v>
      </c>
      <c r="N566" s="0" t="n">
        <v>4</v>
      </c>
      <c r="O566" s="53" t="n">
        <v>46064.7090972222</v>
      </c>
      <c r="P566" s="53" t="n">
        <v>46065.604375</v>
      </c>
      <c r="Q566" s="53" t="n">
        <v>46064.7090972222</v>
      </c>
      <c r="R566" s="0" t="n">
        <v>0</v>
      </c>
      <c r="S566" s="51" t="s">
        <v>2398</v>
      </c>
      <c r="T566" s="51" t="s">
        <v>2398</v>
      </c>
      <c r="U566" s="51" t="s">
        <v>2193</v>
      </c>
      <c r="V566" s="51" t="s">
        <v>2142</v>
      </c>
      <c r="W566" s="51"/>
      <c r="X566" s="51"/>
    </row>
    <row r="567" customFormat="false" ht="14.25" hidden="false" customHeight="false" outlineLevel="0" collapsed="false">
      <c r="A567" s="49" t="s">
        <v>2137</v>
      </c>
      <c r="B567" s="49" t="s">
        <v>14</v>
      </c>
      <c r="C567" s="49" t="s">
        <v>1223</v>
      </c>
      <c r="D567" s="49" t="s">
        <v>2441</v>
      </c>
      <c r="E567" s="49" t="s">
        <v>2193</v>
      </c>
      <c r="F567" s="49" t="s">
        <v>1215</v>
      </c>
      <c r="G567" s="49" t="n">
        <v>4</v>
      </c>
      <c r="H567" s="0" t="n">
        <v>0</v>
      </c>
      <c r="I567" s="51" t="s">
        <v>2956</v>
      </c>
      <c r="J567" s="49" t="s">
        <v>2196</v>
      </c>
      <c r="K567" s="52" t="n">
        <v>47883</v>
      </c>
      <c r="M567" s="51" t="s">
        <v>2539</v>
      </c>
      <c r="N567" s="0" t="n">
        <v>4</v>
      </c>
      <c r="O567" s="53" t="n">
        <v>46064.709212963</v>
      </c>
      <c r="P567" s="53" t="n">
        <v>46065.6147916667</v>
      </c>
      <c r="Q567" s="53" t="n">
        <v>46064.709212963</v>
      </c>
      <c r="R567" s="0" t="n">
        <v>0</v>
      </c>
      <c r="S567" s="51" t="s">
        <v>2398</v>
      </c>
      <c r="T567" s="51" t="s">
        <v>2398</v>
      </c>
      <c r="U567" s="51" t="s">
        <v>2193</v>
      </c>
      <c r="V567" s="51" t="s">
        <v>2142</v>
      </c>
      <c r="W567" s="51"/>
      <c r="X567" s="51"/>
    </row>
    <row r="568" customFormat="false" ht="14.25" hidden="false" customHeight="false" outlineLevel="0" collapsed="false">
      <c r="A568" s="49" t="s">
        <v>2137</v>
      </c>
      <c r="B568" s="49" t="s">
        <v>14</v>
      </c>
      <c r="C568" s="49" t="s">
        <v>1179</v>
      </c>
      <c r="D568" s="49" t="s">
        <v>2441</v>
      </c>
      <c r="E568" s="49" t="s">
        <v>2140</v>
      </c>
      <c r="F568" s="49" t="s">
        <v>80</v>
      </c>
      <c r="G568" s="49" t="n">
        <v>4</v>
      </c>
      <c r="H568" s="0" t="n">
        <v>0</v>
      </c>
      <c r="I568" s="51" t="s">
        <v>2603</v>
      </c>
      <c r="J568" s="49" t="s">
        <v>3122</v>
      </c>
      <c r="K568" s="52" t="n">
        <v>47885</v>
      </c>
      <c r="M568" s="51" t="s">
        <v>2765</v>
      </c>
      <c r="N568" s="0" t="n">
        <v>4</v>
      </c>
      <c r="O568" s="53" t="n">
        <v>46063.4709143519</v>
      </c>
      <c r="P568" s="53" t="n">
        <v>46063.4804166667</v>
      </c>
      <c r="Q568" s="53" t="n">
        <v>46063.4709143519</v>
      </c>
      <c r="R568" s="0" t="n">
        <v>0</v>
      </c>
      <c r="S568" s="51" t="s">
        <v>2398</v>
      </c>
      <c r="T568" s="51" t="s">
        <v>2398</v>
      </c>
      <c r="U568" s="51" t="s">
        <v>2140</v>
      </c>
      <c r="V568" s="51" t="s">
        <v>2142</v>
      </c>
      <c r="X568" s="51"/>
    </row>
    <row r="569" customFormat="false" ht="14.25" hidden="false" customHeight="false" outlineLevel="0" collapsed="false">
      <c r="A569" s="49" t="s">
        <v>2137</v>
      </c>
      <c r="B569" s="49" t="s">
        <v>14</v>
      </c>
      <c r="C569" s="49" t="s">
        <v>1164</v>
      </c>
      <c r="D569" s="49" t="s">
        <v>2441</v>
      </c>
      <c r="E569" s="49" t="s">
        <v>2140</v>
      </c>
      <c r="F569" s="49" t="s">
        <v>80</v>
      </c>
      <c r="G569" s="49" t="n">
        <v>4</v>
      </c>
      <c r="H569" s="0" t="n">
        <v>0</v>
      </c>
      <c r="I569" s="51" t="s">
        <v>2250</v>
      </c>
      <c r="J569" s="49" t="s">
        <v>3122</v>
      </c>
      <c r="K569" s="52" t="n">
        <v>47885</v>
      </c>
      <c r="M569" s="51" t="s">
        <v>2765</v>
      </c>
      <c r="N569" s="0" t="n">
        <v>4</v>
      </c>
      <c r="O569" s="53" t="n">
        <v>46063.4665393519</v>
      </c>
      <c r="P569" s="53" t="n">
        <v>46063.4690046296</v>
      </c>
      <c r="Q569" s="53" t="n">
        <v>46063.4665393519</v>
      </c>
      <c r="R569" s="0" t="n">
        <v>0</v>
      </c>
      <c r="S569" s="51" t="s">
        <v>2398</v>
      </c>
      <c r="T569" s="51" t="s">
        <v>2398</v>
      </c>
      <c r="U569" s="51" t="s">
        <v>2140</v>
      </c>
      <c r="V569" s="51" t="s">
        <v>2142</v>
      </c>
      <c r="X569" s="51"/>
    </row>
    <row r="570" customFormat="false" ht="14.25" hidden="false" customHeight="false" outlineLevel="0" collapsed="false">
      <c r="A570" s="49" t="s">
        <v>2137</v>
      </c>
      <c r="B570" s="49" t="s">
        <v>14</v>
      </c>
      <c r="C570" s="49" t="s">
        <v>1158</v>
      </c>
      <c r="D570" s="49" t="s">
        <v>2441</v>
      </c>
      <c r="E570" s="49" t="s">
        <v>2140</v>
      </c>
      <c r="F570" s="49" t="s">
        <v>80</v>
      </c>
      <c r="G570" s="49" t="n">
        <v>4</v>
      </c>
      <c r="H570" s="0" t="n">
        <v>0</v>
      </c>
      <c r="I570" s="51" t="s">
        <v>2597</v>
      </c>
      <c r="J570" s="49" t="s">
        <v>3122</v>
      </c>
      <c r="K570" s="52" t="n">
        <v>47885</v>
      </c>
      <c r="M570" s="51" t="s">
        <v>2733</v>
      </c>
      <c r="N570" s="0" t="n">
        <v>4</v>
      </c>
      <c r="O570" s="53" t="n">
        <v>46062.4594444444</v>
      </c>
      <c r="P570" s="53" t="n">
        <v>46063.4652546296</v>
      </c>
      <c r="Q570" s="53" t="n">
        <v>46062.4594444444</v>
      </c>
      <c r="R570" s="0" t="n">
        <v>0</v>
      </c>
      <c r="S570" s="51" t="s">
        <v>2398</v>
      </c>
      <c r="T570" s="51" t="s">
        <v>2398</v>
      </c>
      <c r="U570" s="51" t="s">
        <v>2140</v>
      </c>
      <c r="V570" s="51" t="s">
        <v>2142</v>
      </c>
      <c r="X570" s="51"/>
    </row>
    <row r="571" customFormat="false" ht="14.25" hidden="false" customHeight="false" outlineLevel="0" collapsed="false">
      <c r="A571" s="49" t="s">
        <v>2137</v>
      </c>
      <c r="B571" s="49" t="s">
        <v>14</v>
      </c>
      <c r="C571" s="49" t="s">
        <v>1153</v>
      </c>
      <c r="D571" s="49" t="s">
        <v>2441</v>
      </c>
      <c r="E571" s="49" t="s">
        <v>2140</v>
      </c>
      <c r="F571" s="49" t="s">
        <v>80</v>
      </c>
      <c r="G571" s="49" t="n">
        <v>4</v>
      </c>
      <c r="H571" s="0" t="n">
        <v>0</v>
      </c>
      <c r="I571" s="51" t="s">
        <v>2762</v>
      </c>
      <c r="J571" s="49" t="s">
        <v>3122</v>
      </c>
      <c r="K571" s="52" t="n">
        <v>47885</v>
      </c>
      <c r="M571" s="51" t="s">
        <v>2733</v>
      </c>
      <c r="N571" s="0" t="n">
        <v>4</v>
      </c>
      <c r="O571" s="53" t="n">
        <v>46062.4596527778</v>
      </c>
      <c r="P571" s="53" t="n">
        <v>46063.465150463</v>
      </c>
      <c r="Q571" s="53" t="n">
        <v>46062.4596527778</v>
      </c>
      <c r="R571" s="0" t="n">
        <v>0</v>
      </c>
      <c r="S571" s="51" t="s">
        <v>2398</v>
      </c>
      <c r="T571" s="51" t="s">
        <v>2398</v>
      </c>
      <c r="U571" s="51" t="s">
        <v>2140</v>
      </c>
      <c r="V571" s="51" t="s">
        <v>2142</v>
      </c>
      <c r="X571" s="51"/>
    </row>
    <row r="572" customFormat="false" ht="14.25" hidden="false" customHeight="false" outlineLevel="0" collapsed="false">
      <c r="A572" s="49" t="s">
        <v>2137</v>
      </c>
      <c r="B572" s="49" t="s">
        <v>14</v>
      </c>
      <c r="C572" s="49" t="s">
        <v>1145</v>
      </c>
      <c r="D572" s="49" t="s">
        <v>2441</v>
      </c>
      <c r="E572" s="49" t="s">
        <v>2140</v>
      </c>
      <c r="F572" s="49" t="s">
        <v>80</v>
      </c>
      <c r="G572" s="49" t="n">
        <v>4</v>
      </c>
      <c r="H572" s="0" t="n">
        <v>0</v>
      </c>
      <c r="I572" s="51" t="s">
        <v>2572</v>
      </c>
      <c r="J572" s="49" t="s">
        <v>3122</v>
      </c>
      <c r="K572" s="52" t="n">
        <v>47885</v>
      </c>
      <c r="M572" s="51" t="s">
        <v>2733</v>
      </c>
      <c r="N572" s="0" t="n">
        <v>4</v>
      </c>
      <c r="O572" s="53" t="n">
        <v>46062.4615509259</v>
      </c>
      <c r="P572" s="53" t="n">
        <v>46063.4651851852</v>
      </c>
      <c r="Q572" s="53" t="n">
        <v>46062.4615509259</v>
      </c>
      <c r="R572" s="0" t="n">
        <v>0</v>
      </c>
      <c r="S572" s="51" t="s">
        <v>2398</v>
      </c>
      <c r="T572" s="51" t="s">
        <v>2398</v>
      </c>
      <c r="U572" s="51" t="s">
        <v>2140</v>
      </c>
      <c r="V572" s="51" t="s">
        <v>2142</v>
      </c>
      <c r="X572" s="51"/>
    </row>
    <row r="573" customFormat="false" ht="14.25" hidden="false" customHeight="false" outlineLevel="0" collapsed="false">
      <c r="A573" s="49" t="s">
        <v>2137</v>
      </c>
      <c r="B573" s="49" t="s">
        <v>14</v>
      </c>
      <c r="C573" s="49" t="s">
        <v>1152</v>
      </c>
      <c r="D573" s="49" t="s">
        <v>2441</v>
      </c>
      <c r="E573" s="49" t="s">
        <v>2140</v>
      </c>
      <c r="F573" s="49" t="s">
        <v>80</v>
      </c>
      <c r="G573" s="49" t="n">
        <v>4</v>
      </c>
      <c r="H573" s="0" t="n">
        <v>0</v>
      </c>
      <c r="I573" s="51" t="s">
        <v>2568</v>
      </c>
      <c r="J573" s="49" t="s">
        <v>3122</v>
      </c>
      <c r="K573" s="52" t="n">
        <v>47885</v>
      </c>
      <c r="M573" s="51" t="s">
        <v>2733</v>
      </c>
      <c r="N573" s="0" t="n">
        <v>4</v>
      </c>
      <c r="O573" s="53" t="n">
        <v>46062.4598842593</v>
      </c>
      <c r="P573" s="53" t="n">
        <v>46063.4650231482</v>
      </c>
      <c r="Q573" s="53" t="n">
        <v>46062.4598842593</v>
      </c>
      <c r="R573" s="0" t="n">
        <v>0</v>
      </c>
      <c r="S573" s="51" t="s">
        <v>2398</v>
      </c>
      <c r="T573" s="51" t="s">
        <v>2398</v>
      </c>
      <c r="U573" s="51" t="s">
        <v>2140</v>
      </c>
      <c r="V573" s="51" t="s">
        <v>2142</v>
      </c>
      <c r="X573" s="51"/>
    </row>
    <row r="574" customFormat="false" ht="14.25" hidden="false" customHeight="false" outlineLevel="0" collapsed="false">
      <c r="A574" s="49" t="s">
        <v>2137</v>
      </c>
      <c r="B574" s="49" t="s">
        <v>14</v>
      </c>
      <c r="C574" s="49" t="s">
        <v>1146</v>
      </c>
      <c r="D574" s="49" t="s">
        <v>2441</v>
      </c>
      <c r="E574" s="49" t="s">
        <v>2140</v>
      </c>
      <c r="F574" s="49" t="s">
        <v>80</v>
      </c>
      <c r="G574" s="49" t="n">
        <v>4</v>
      </c>
      <c r="H574" s="0" t="n">
        <v>0</v>
      </c>
      <c r="I574" s="51" t="s">
        <v>2566</v>
      </c>
      <c r="J574" s="49" t="s">
        <v>3122</v>
      </c>
      <c r="K574" s="52" t="n">
        <v>47885</v>
      </c>
      <c r="M574" s="51" t="s">
        <v>2733</v>
      </c>
      <c r="N574" s="0" t="n">
        <v>4</v>
      </c>
      <c r="O574" s="53" t="n">
        <v>46062.4613657407</v>
      </c>
      <c r="P574" s="53" t="n">
        <v>46063.4651041667</v>
      </c>
      <c r="Q574" s="53" t="n">
        <v>46062.4613657407</v>
      </c>
      <c r="R574" s="0" t="n">
        <v>0</v>
      </c>
      <c r="S574" s="51" t="s">
        <v>2398</v>
      </c>
      <c r="T574" s="51" t="s">
        <v>2398</v>
      </c>
      <c r="U574" s="51" t="s">
        <v>2140</v>
      </c>
      <c r="V574" s="51" t="s">
        <v>2142</v>
      </c>
      <c r="X574" s="51"/>
    </row>
    <row r="575" customFormat="false" ht="14.25" hidden="false" customHeight="false" outlineLevel="0" collapsed="false">
      <c r="A575" s="49" t="s">
        <v>2137</v>
      </c>
      <c r="B575" s="49" t="s">
        <v>14</v>
      </c>
      <c r="C575" s="49" t="s">
        <v>1151</v>
      </c>
      <c r="D575" s="49" t="s">
        <v>2441</v>
      </c>
      <c r="E575" s="49" t="s">
        <v>2140</v>
      </c>
      <c r="F575" s="49" t="s">
        <v>80</v>
      </c>
      <c r="G575" s="49" t="n">
        <v>4</v>
      </c>
      <c r="H575" s="0" t="n">
        <v>0</v>
      </c>
      <c r="I575" s="51" t="s">
        <v>2475</v>
      </c>
      <c r="J575" s="49" t="s">
        <v>3122</v>
      </c>
      <c r="K575" s="52" t="n">
        <v>47885</v>
      </c>
      <c r="M575" s="51" t="s">
        <v>2733</v>
      </c>
      <c r="N575" s="0" t="n">
        <v>4</v>
      </c>
      <c r="O575" s="53" t="n">
        <v>46062.4600347222</v>
      </c>
      <c r="P575" s="53" t="n">
        <v>46063.4648032407</v>
      </c>
      <c r="Q575" s="53" t="n">
        <v>46062.4600347222</v>
      </c>
      <c r="R575" s="0" t="n">
        <v>0</v>
      </c>
      <c r="S575" s="51" t="s">
        <v>2398</v>
      </c>
      <c r="T575" s="51" t="s">
        <v>2398</v>
      </c>
      <c r="U575" s="51" t="s">
        <v>2140</v>
      </c>
      <c r="V575" s="51" t="s">
        <v>2142</v>
      </c>
      <c r="W575" s="51"/>
      <c r="X575" s="51"/>
    </row>
    <row r="576" customFormat="false" ht="14.25" hidden="false" customHeight="false" outlineLevel="0" collapsed="false">
      <c r="A576" s="49" t="s">
        <v>2137</v>
      </c>
      <c r="B576" s="49" t="s">
        <v>14</v>
      </c>
      <c r="C576" s="49" t="s">
        <v>1147</v>
      </c>
      <c r="D576" s="49" t="s">
        <v>2441</v>
      </c>
      <c r="E576" s="49" t="s">
        <v>2140</v>
      </c>
      <c r="F576" s="49" t="s">
        <v>80</v>
      </c>
      <c r="G576" s="49" t="n">
        <v>4</v>
      </c>
      <c r="H576" s="0" t="n">
        <v>0</v>
      </c>
      <c r="I576" s="51" t="s">
        <v>2609</v>
      </c>
      <c r="J576" s="49" t="s">
        <v>3122</v>
      </c>
      <c r="K576" s="52" t="n">
        <v>47885</v>
      </c>
      <c r="M576" s="51" t="s">
        <v>2733</v>
      </c>
      <c r="N576" s="0" t="n">
        <v>4</v>
      </c>
      <c r="O576" s="53" t="n">
        <v>46062.4611805556</v>
      </c>
      <c r="P576" s="53" t="n">
        <v>46063.4650578704</v>
      </c>
      <c r="Q576" s="53" t="n">
        <v>46062.4611805556</v>
      </c>
      <c r="R576" s="0" t="n">
        <v>0</v>
      </c>
      <c r="S576" s="51" t="s">
        <v>2398</v>
      </c>
      <c r="T576" s="51" t="s">
        <v>2398</v>
      </c>
      <c r="U576" s="51" t="s">
        <v>2140</v>
      </c>
      <c r="V576" s="51" t="s">
        <v>2142</v>
      </c>
      <c r="X576" s="51"/>
    </row>
    <row r="577" customFormat="false" ht="14.25" hidden="false" customHeight="false" outlineLevel="0" collapsed="false">
      <c r="A577" s="49" t="s">
        <v>2137</v>
      </c>
      <c r="B577" s="49" t="s">
        <v>14</v>
      </c>
      <c r="C577" s="49" t="s">
        <v>1150</v>
      </c>
      <c r="D577" s="49" t="s">
        <v>2441</v>
      </c>
      <c r="E577" s="49" t="s">
        <v>2140</v>
      </c>
      <c r="F577" s="49" t="s">
        <v>80</v>
      </c>
      <c r="G577" s="49" t="n">
        <v>4</v>
      </c>
      <c r="H577" s="0" t="n">
        <v>0</v>
      </c>
      <c r="I577" s="51" t="s">
        <v>2454</v>
      </c>
      <c r="J577" s="49" t="s">
        <v>3122</v>
      </c>
      <c r="K577" s="52" t="n">
        <v>47885</v>
      </c>
      <c r="M577" s="51" t="s">
        <v>2733</v>
      </c>
      <c r="N577" s="0" t="n">
        <v>4</v>
      </c>
      <c r="O577" s="53" t="n">
        <v>46062.4601388889</v>
      </c>
      <c r="P577" s="53" t="n">
        <v>46063.4647569444</v>
      </c>
      <c r="Q577" s="53" t="n">
        <v>46062.4601388889</v>
      </c>
      <c r="R577" s="0" t="n">
        <v>0</v>
      </c>
      <c r="S577" s="51" t="s">
        <v>2398</v>
      </c>
      <c r="T577" s="51" t="s">
        <v>2398</v>
      </c>
      <c r="U577" s="51" t="s">
        <v>2140</v>
      </c>
      <c r="V577" s="51" t="s">
        <v>2142</v>
      </c>
      <c r="X577" s="51"/>
    </row>
    <row r="578" customFormat="false" ht="14.25" hidden="false" customHeight="false" outlineLevel="0" collapsed="false">
      <c r="A578" s="49" t="s">
        <v>2137</v>
      </c>
      <c r="B578" s="49" t="s">
        <v>14</v>
      </c>
      <c r="C578" s="49" t="s">
        <v>1148</v>
      </c>
      <c r="D578" s="49" t="s">
        <v>2441</v>
      </c>
      <c r="E578" s="49" t="s">
        <v>2140</v>
      </c>
      <c r="F578" s="49" t="s">
        <v>80</v>
      </c>
      <c r="G578" s="49" t="n">
        <v>4</v>
      </c>
      <c r="H578" s="0" t="n">
        <v>0</v>
      </c>
      <c r="I578" s="51" t="s">
        <v>2570</v>
      </c>
      <c r="J578" s="49" t="s">
        <v>3122</v>
      </c>
      <c r="K578" s="52" t="n">
        <v>47885</v>
      </c>
      <c r="M578" s="51" t="s">
        <v>2733</v>
      </c>
      <c r="N578" s="0" t="n">
        <v>4</v>
      </c>
      <c r="O578" s="53" t="n">
        <v>46062.4606828704</v>
      </c>
      <c r="P578" s="53" t="n">
        <v>46063.4649189815</v>
      </c>
      <c r="Q578" s="53" t="n">
        <v>46062.4606828704</v>
      </c>
      <c r="R578" s="0" t="n">
        <v>0</v>
      </c>
      <c r="S578" s="51" t="s">
        <v>2398</v>
      </c>
      <c r="T578" s="51" t="s">
        <v>2398</v>
      </c>
      <c r="U578" s="51" t="s">
        <v>2140</v>
      </c>
      <c r="V578" s="51" t="s">
        <v>2142</v>
      </c>
      <c r="X578" s="51"/>
    </row>
    <row r="579" customFormat="false" ht="14.25" hidden="false" customHeight="false" outlineLevel="0" collapsed="false">
      <c r="A579" s="49" t="s">
        <v>2137</v>
      </c>
      <c r="B579" s="49" t="s">
        <v>14</v>
      </c>
      <c r="C579" s="49" t="s">
        <v>1149</v>
      </c>
      <c r="D579" s="49" t="s">
        <v>2441</v>
      </c>
      <c r="E579" s="49" t="s">
        <v>2140</v>
      </c>
      <c r="F579" s="49" t="s">
        <v>80</v>
      </c>
      <c r="G579" s="49" t="n">
        <v>4</v>
      </c>
      <c r="H579" s="0" t="n">
        <v>0</v>
      </c>
      <c r="I579" s="51" t="s">
        <v>2473</v>
      </c>
      <c r="J579" s="49" t="s">
        <v>3122</v>
      </c>
      <c r="K579" s="52" t="n">
        <v>47885</v>
      </c>
      <c r="M579" s="51" t="s">
        <v>2733</v>
      </c>
      <c r="N579" s="0" t="n">
        <v>4</v>
      </c>
      <c r="O579" s="53" t="n">
        <v>46062.4605324074</v>
      </c>
      <c r="P579" s="53" t="n">
        <v>46063.4645601852</v>
      </c>
      <c r="Q579" s="53" t="n">
        <v>46062.4605324074</v>
      </c>
      <c r="R579" s="0" t="n">
        <v>0</v>
      </c>
      <c r="S579" s="51" t="s">
        <v>2398</v>
      </c>
      <c r="T579" s="51" t="s">
        <v>2398</v>
      </c>
      <c r="U579" s="51" t="s">
        <v>2140</v>
      </c>
      <c r="V579" s="51" t="s">
        <v>2142</v>
      </c>
      <c r="X579" s="51"/>
    </row>
    <row r="580" customFormat="false" ht="14.25" hidden="false" customHeight="false" outlineLevel="0" collapsed="false">
      <c r="A580" s="49" t="s">
        <v>2137</v>
      </c>
      <c r="B580" s="49" t="s">
        <v>14</v>
      </c>
      <c r="C580" s="49" t="s">
        <v>1159</v>
      </c>
      <c r="D580" s="49" t="s">
        <v>2441</v>
      </c>
      <c r="E580" s="49" t="s">
        <v>2140</v>
      </c>
      <c r="F580" s="49" t="s">
        <v>80</v>
      </c>
      <c r="G580" s="49" t="n">
        <v>4</v>
      </c>
      <c r="H580" s="0" t="n">
        <v>0</v>
      </c>
      <c r="I580" s="51" t="s">
        <v>2611</v>
      </c>
      <c r="J580" s="49" t="s">
        <v>3122</v>
      </c>
      <c r="K580" s="52" t="n">
        <v>47885</v>
      </c>
      <c r="M580" s="51" t="s">
        <v>2733</v>
      </c>
      <c r="N580" s="0" t="n">
        <v>4</v>
      </c>
      <c r="O580" s="53" t="n">
        <v>46062.4554398148</v>
      </c>
      <c r="P580" s="53" t="n">
        <v>46063.4649652778</v>
      </c>
      <c r="Q580" s="53" t="n">
        <v>46062.4554398148</v>
      </c>
      <c r="R580" s="0" t="n">
        <v>0</v>
      </c>
      <c r="S580" s="51" t="s">
        <v>2398</v>
      </c>
      <c r="T580" s="51" t="s">
        <v>2398</v>
      </c>
      <c r="U580" s="51" t="s">
        <v>2140</v>
      </c>
      <c r="V580" s="51" t="s">
        <v>2142</v>
      </c>
      <c r="X580" s="51"/>
    </row>
    <row r="581" customFormat="false" ht="14.25" hidden="false" customHeight="false" outlineLevel="0" collapsed="false">
      <c r="A581" s="49" t="s">
        <v>2137</v>
      </c>
      <c r="B581" s="49" t="s">
        <v>14</v>
      </c>
      <c r="C581" s="49" t="s">
        <v>1144</v>
      </c>
      <c r="D581" s="49" t="s">
        <v>2441</v>
      </c>
      <c r="E581" s="49" t="s">
        <v>2140</v>
      </c>
      <c r="F581" s="49" t="s">
        <v>80</v>
      </c>
      <c r="G581" s="49" t="n">
        <v>4</v>
      </c>
      <c r="H581" s="0" t="n">
        <v>0</v>
      </c>
      <c r="I581" s="51" t="s">
        <v>2578</v>
      </c>
      <c r="J581" s="49" t="s">
        <v>3122</v>
      </c>
      <c r="K581" s="52" t="n">
        <v>47885</v>
      </c>
      <c r="M581" s="51" t="s">
        <v>2733</v>
      </c>
      <c r="N581" s="0" t="n">
        <v>4</v>
      </c>
      <c r="O581" s="53" t="n">
        <v>46062.4547916667</v>
      </c>
      <c r="P581" s="53" t="n">
        <v>46063.4652199074</v>
      </c>
      <c r="Q581" s="53" t="n">
        <v>46062.4547916667</v>
      </c>
      <c r="R581" s="0" t="n">
        <v>0</v>
      </c>
      <c r="S581" s="51" t="s">
        <v>2398</v>
      </c>
      <c r="T581" s="51" t="s">
        <v>2398</v>
      </c>
      <c r="U581" s="51" t="s">
        <v>2140</v>
      </c>
      <c r="V581" s="51" t="s">
        <v>2142</v>
      </c>
      <c r="X581" s="51"/>
    </row>
    <row r="582" customFormat="false" ht="14.25" hidden="false" customHeight="false" outlineLevel="0" collapsed="false">
      <c r="A582" s="49" t="s">
        <v>2137</v>
      </c>
      <c r="B582" s="49" t="s">
        <v>14</v>
      </c>
      <c r="C582" s="49" t="s">
        <v>1184</v>
      </c>
      <c r="D582" s="49" t="s">
        <v>2441</v>
      </c>
      <c r="E582" s="49" t="s">
        <v>2140</v>
      </c>
      <c r="F582" s="49" t="s">
        <v>80</v>
      </c>
      <c r="G582" s="49" t="n">
        <v>4</v>
      </c>
      <c r="H582" s="0" t="n">
        <v>0</v>
      </c>
      <c r="I582" s="51" t="s">
        <v>2244</v>
      </c>
      <c r="J582" s="49" t="s">
        <v>3122</v>
      </c>
      <c r="K582" s="52" t="n">
        <v>47885</v>
      </c>
      <c r="M582" s="51" t="s">
        <v>2765</v>
      </c>
      <c r="N582" s="0" t="n">
        <v>4</v>
      </c>
      <c r="O582" s="53" t="n">
        <v>46063.468287037</v>
      </c>
      <c r="P582" s="53" t="n">
        <v>46063.4756712963</v>
      </c>
      <c r="Q582" s="53" t="n">
        <v>46063.468287037</v>
      </c>
      <c r="R582" s="0" t="n">
        <v>0</v>
      </c>
      <c r="S582" s="51" t="s">
        <v>2398</v>
      </c>
      <c r="T582" s="51" t="s">
        <v>2398</v>
      </c>
      <c r="U582" s="51" t="s">
        <v>2140</v>
      </c>
      <c r="V582" s="51" t="s">
        <v>2142</v>
      </c>
      <c r="W582" s="51"/>
      <c r="X582" s="51"/>
    </row>
    <row r="583" customFormat="false" ht="14.25" hidden="false" customHeight="false" outlineLevel="0" collapsed="false">
      <c r="A583" s="49" t="s">
        <v>2137</v>
      </c>
      <c r="B583" s="49" t="s">
        <v>14</v>
      </c>
      <c r="C583" s="49" t="s">
        <v>1182</v>
      </c>
      <c r="D583" s="49" t="s">
        <v>2441</v>
      </c>
      <c r="E583" s="49" t="s">
        <v>2140</v>
      </c>
      <c r="F583" s="49" t="s">
        <v>80</v>
      </c>
      <c r="G583" s="49" t="n">
        <v>4</v>
      </c>
      <c r="H583" s="0" t="n">
        <v>0</v>
      </c>
      <c r="I583" s="51" t="s">
        <v>2236</v>
      </c>
      <c r="J583" s="49" t="s">
        <v>3122</v>
      </c>
      <c r="K583" s="52" t="n">
        <v>47885</v>
      </c>
      <c r="M583" s="51" t="s">
        <v>2765</v>
      </c>
      <c r="N583" s="0" t="n">
        <v>4</v>
      </c>
      <c r="O583" s="53" t="n">
        <v>46063.4694212963</v>
      </c>
      <c r="P583" s="53" t="n">
        <v>46063.4777893519</v>
      </c>
      <c r="Q583" s="53" t="n">
        <v>46063.4694212963</v>
      </c>
      <c r="R583" s="0" t="n">
        <v>0</v>
      </c>
      <c r="S583" s="51" t="s">
        <v>2398</v>
      </c>
      <c r="T583" s="51" t="s">
        <v>2398</v>
      </c>
      <c r="U583" s="51" t="s">
        <v>2140</v>
      </c>
      <c r="V583" s="51" t="s">
        <v>2142</v>
      </c>
      <c r="W583" s="51"/>
      <c r="X583" s="51"/>
    </row>
    <row r="584" customFormat="false" ht="14.25" hidden="true" customHeight="false" outlineLevel="0" collapsed="false">
      <c r="A584" s="49" t="s">
        <v>2137</v>
      </c>
      <c r="B584" s="49" t="s">
        <v>14</v>
      </c>
      <c r="C584" s="49" t="s">
        <v>1180</v>
      </c>
      <c r="D584" s="49" t="s">
        <v>2441</v>
      </c>
      <c r="E584" s="49" t="s">
        <v>2140</v>
      </c>
      <c r="F584" s="49" t="s">
        <v>80</v>
      </c>
      <c r="G584" s="49" t="n">
        <v>4</v>
      </c>
      <c r="H584" s="0" t="n">
        <v>0</v>
      </c>
      <c r="I584" s="51" t="s">
        <v>2776</v>
      </c>
      <c r="J584" s="49" t="s">
        <v>3122</v>
      </c>
      <c r="K584" s="52" t="n">
        <v>47885</v>
      </c>
      <c r="M584" s="51" t="s">
        <v>2765</v>
      </c>
      <c r="N584" s="49" t="n">
        <v>4</v>
      </c>
      <c r="O584" s="53" t="n">
        <v>46063.4706712963</v>
      </c>
      <c r="P584" s="53" t="n">
        <v>46063.4798842593</v>
      </c>
      <c r="Q584" s="53" t="n">
        <v>46063.4706712963</v>
      </c>
      <c r="R584" s="0" t="n">
        <v>0</v>
      </c>
      <c r="S584" s="51" t="s">
        <v>2398</v>
      </c>
      <c r="T584" s="51" t="s">
        <v>2398</v>
      </c>
      <c r="U584" s="51" t="s">
        <v>2140</v>
      </c>
      <c r="V584" s="51" t="s">
        <v>2142</v>
      </c>
      <c r="W584" s="51"/>
      <c r="X584" s="51"/>
    </row>
    <row r="585" customFormat="false" ht="14.25" hidden="false" customHeight="false" outlineLevel="0" collapsed="false">
      <c r="A585" s="49" t="s">
        <v>2137</v>
      </c>
      <c r="B585" s="49" t="s">
        <v>14</v>
      </c>
      <c r="C585" s="49" t="s">
        <v>1216</v>
      </c>
      <c r="D585" s="49" t="s">
        <v>2441</v>
      </c>
      <c r="E585" s="49" t="s">
        <v>2263</v>
      </c>
      <c r="F585" s="49" t="s">
        <v>1217</v>
      </c>
      <c r="G585" s="49" t="n">
        <v>4</v>
      </c>
      <c r="H585" s="0" t="n">
        <v>0</v>
      </c>
      <c r="I585" s="51" t="s">
        <v>2789</v>
      </c>
      <c r="J585" s="49" t="s">
        <v>3123</v>
      </c>
      <c r="K585" s="52" t="n">
        <v>47888</v>
      </c>
      <c r="M585" s="51" t="s">
        <v>2539</v>
      </c>
      <c r="N585" s="0" t="n">
        <v>4</v>
      </c>
      <c r="O585" s="53" t="n">
        <v>46064.7113773148</v>
      </c>
      <c r="P585" s="53" t="n">
        <v>46065.6241550926</v>
      </c>
      <c r="Q585" s="53" t="n">
        <v>46064.7113773148</v>
      </c>
      <c r="R585" s="0" t="n">
        <v>0</v>
      </c>
      <c r="S585" s="51" t="s">
        <v>2398</v>
      </c>
      <c r="T585" s="51" t="s">
        <v>2398</v>
      </c>
      <c r="U585" s="51" t="s">
        <v>2263</v>
      </c>
      <c r="V585" s="51" t="s">
        <v>2142</v>
      </c>
      <c r="W585" s="51" t="s">
        <v>3124</v>
      </c>
      <c r="X585" s="51"/>
    </row>
    <row r="586" customFormat="false" ht="14.25" hidden="false" customHeight="false" outlineLevel="0" collapsed="false">
      <c r="A586" s="49" t="s">
        <v>2137</v>
      </c>
      <c r="B586" s="49" t="s">
        <v>14</v>
      </c>
      <c r="C586" s="49" t="s">
        <v>1235</v>
      </c>
      <c r="D586" s="49" t="s">
        <v>2441</v>
      </c>
      <c r="E586" s="49" t="s">
        <v>2263</v>
      </c>
      <c r="F586" s="49" t="s">
        <v>1217</v>
      </c>
      <c r="G586" s="49" t="n">
        <v>4</v>
      </c>
      <c r="H586" s="0" t="n">
        <v>0</v>
      </c>
      <c r="I586" s="51" t="s">
        <v>2873</v>
      </c>
      <c r="J586" s="49" t="s">
        <v>3123</v>
      </c>
      <c r="K586" s="52" t="n">
        <v>47888</v>
      </c>
      <c r="M586" s="51" t="s">
        <v>2539</v>
      </c>
      <c r="N586" s="0" t="n">
        <v>4</v>
      </c>
      <c r="O586" s="53" t="n">
        <v>46064.7111342593</v>
      </c>
      <c r="P586" s="53" t="n">
        <v>46065.6223032407</v>
      </c>
      <c r="Q586" s="53" t="n">
        <v>46064.7111342593</v>
      </c>
      <c r="R586" s="0" t="n">
        <v>0</v>
      </c>
      <c r="S586" s="51" t="s">
        <v>2398</v>
      </c>
      <c r="T586" s="51" t="s">
        <v>2398</v>
      </c>
      <c r="U586" s="51" t="s">
        <v>2263</v>
      </c>
      <c r="V586" s="51" t="s">
        <v>2142</v>
      </c>
      <c r="X586" s="51"/>
    </row>
    <row r="587" customFormat="false" ht="14.25" hidden="false" customHeight="false" outlineLevel="0" collapsed="false">
      <c r="A587" s="49" t="s">
        <v>2137</v>
      </c>
      <c r="B587" s="49" t="s">
        <v>14</v>
      </c>
      <c r="C587" s="49" t="s">
        <v>1218</v>
      </c>
      <c r="D587" s="49" t="s">
        <v>2441</v>
      </c>
      <c r="E587" s="49" t="s">
        <v>2263</v>
      </c>
      <c r="F587" s="49" t="s">
        <v>1217</v>
      </c>
      <c r="G587" s="49" t="n">
        <v>4</v>
      </c>
      <c r="H587" s="0" t="n">
        <v>0</v>
      </c>
      <c r="I587" s="51" t="s">
        <v>2787</v>
      </c>
      <c r="J587" s="49" t="s">
        <v>3123</v>
      </c>
      <c r="K587" s="52" t="n">
        <v>47888</v>
      </c>
      <c r="M587" s="51" t="s">
        <v>2539</v>
      </c>
      <c r="N587" s="0" t="n">
        <v>4</v>
      </c>
      <c r="O587" s="53" t="n">
        <v>46064.7112847222</v>
      </c>
      <c r="P587" s="53" t="n">
        <v>46065.6222222222</v>
      </c>
      <c r="Q587" s="53" t="n">
        <v>46064.7112847222</v>
      </c>
      <c r="R587" s="0" t="n">
        <v>0</v>
      </c>
      <c r="S587" s="51" t="s">
        <v>2398</v>
      </c>
      <c r="T587" s="51" t="s">
        <v>2398</v>
      </c>
      <c r="U587" s="51" t="s">
        <v>2263</v>
      </c>
      <c r="V587" s="51" t="s">
        <v>2142</v>
      </c>
      <c r="X587" s="51"/>
    </row>
    <row r="588" customFormat="false" ht="14.25" hidden="false" customHeight="false" outlineLevel="0" collapsed="false">
      <c r="A588" s="49" t="s">
        <v>2137</v>
      </c>
      <c r="B588" s="49" t="s">
        <v>14</v>
      </c>
      <c r="C588" s="49" t="s">
        <v>172</v>
      </c>
      <c r="D588" s="49" t="s">
        <v>2352</v>
      </c>
      <c r="E588" s="49" t="s">
        <v>2203</v>
      </c>
      <c r="F588" s="49" t="s">
        <v>170</v>
      </c>
      <c r="G588" s="49" t="n">
        <v>0</v>
      </c>
      <c r="H588" s="0" t="n">
        <v>0</v>
      </c>
      <c r="I588" s="51"/>
      <c r="K588" s="52"/>
      <c r="M588" s="51" t="s">
        <v>2541</v>
      </c>
      <c r="N588" s="0" t="n">
        <v>0</v>
      </c>
      <c r="O588" s="53" t="n">
        <v>46050.5030555556</v>
      </c>
      <c r="P588" s="53" t="n">
        <v>46065.4223842593</v>
      </c>
      <c r="Q588" s="53" t="n">
        <v>46050.5030555556</v>
      </c>
      <c r="R588" s="0" t="n">
        <v>0</v>
      </c>
      <c r="S588" s="51" t="s">
        <v>2380</v>
      </c>
      <c r="T588" s="51" t="s">
        <v>2380</v>
      </c>
      <c r="U588" s="51" t="s">
        <v>2203</v>
      </c>
      <c r="V588" s="51" t="s">
        <v>2205</v>
      </c>
      <c r="W588" s="51" t="s">
        <v>2209</v>
      </c>
      <c r="X588" s="51"/>
    </row>
    <row r="589" customFormat="false" ht="14.25" hidden="false" customHeight="false" outlineLevel="0" collapsed="false">
      <c r="A589" s="49" t="s">
        <v>2137</v>
      </c>
      <c r="B589" s="49" t="s">
        <v>14</v>
      </c>
      <c r="C589" s="49" t="s">
        <v>171</v>
      </c>
      <c r="D589" s="49" t="s">
        <v>2352</v>
      </c>
      <c r="E589" s="49" t="s">
        <v>2203</v>
      </c>
      <c r="F589" s="49" t="s">
        <v>170</v>
      </c>
      <c r="G589" s="49" t="n">
        <v>0</v>
      </c>
      <c r="H589" s="0" t="n">
        <v>0</v>
      </c>
      <c r="I589" s="51"/>
      <c r="K589" s="52"/>
      <c r="M589" s="51" t="s">
        <v>2541</v>
      </c>
      <c r="N589" s="0" t="n">
        <v>0</v>
      </c>
      <c r="O589" s="53" t="n">
        <v>46050.5038541667</v>
      </c>
      <c r="P589" s="53" t="n">
        <v>46065.4229513889</v>
      </c>
      <c r="Q589" s="53" t="n">
        <v>46050.5038541667</v>
      </c>
      <c r="R589" s="0" t="n">
        <v>0</v>
      </c>
      <c r="S589" s="51" t="s">
        <v>2380</v>
      </c>
      <c r="T589" s="51" t="s">
        <v>2380</v>
      </c>
      <c r="U589" s="51" t="s">
        <v>2203</v>
      </c>
      <c r="V589" s="51" t="s">
        <v>2205</v>
      </c>
      <c r="W589" s="51" t="s">
        <v>2207</v>
      </c>
      <c r="X589" s="51"/>
    </row>
    <row r="590" customFormat="false" ht="14.25" hidden="false" customHeight="false" outlineLevel="0" collapsed="false">
      <c r="A590" s="49" t="s">
        <v>2137</v>
      </c>
      <c r="B590" s="49" t="s">
        <v>14</v>
      </c>
      <c r="C590" s="49" t="s">
        <v>173</v>
      </c>
      <c r="D590" s="49" t="s">
        <v>2352</v>
      </c>
      <c r="E590" s="49" t="s">
        <v>2203</v>
      </c>
      <c r="F590" s="49" t="s">
        <v>170</v>
      </c>
      <c r="G590" s="49" t="n">
        <v>0</v>
      </c>
      <c r="H590" s="0" t="n">
        <v>0</v>
      </c>
      <c r="I590" s="51"/>
      <c r="K590" s="52"/>
      <c r="M590" s="51" t="s">
        <v>2541</v>
      </c>
      <c r="N590" s="0" t="n">
        <v>0</v>
      </c>
      <c r="O590" s="53" t="n">
        <v>46050.5028819444</v>
      </c>
      <c r="P590" s="53" t="n">
        <v>46065.4218634259</v>
      </c>
      <c r="Q590" s="53" t="n">
        <v>46050.5028819444</v>
      </c>
      <c r="R590" s="0" t="n">
        <v>0</v>
      </c>
      <c r="S590" s="51" t="s">
        <v>2380</v>
      </c>
      <c r="T590" s="51" t="s">
        <v>2380</v>
      </c>
      <c r="U590" s="51" t="s">
        <v>2203</v>
      </c>
      <c r="V590" s="51" t="s">
        <v>2205</v>
      </c>
      <c r="W590" s="51" t="s">
        <v>2210</v>
      </c>
      <c r="X590" s="51"/>
    </row>
    <row r="591" customFormat="false" ht="14.25" hidden="false" customHeight="false" outlineLevel="0" collapsed="false">
      <c r="A591" s="49" t="s">
        <v>2137</v>
      </c>
      <c r="B591" s="49" t="s">
        <v>14</v>
      </c>
      <c r="C591" s="49" t="s">
        <v>94</v>
      </c>
      <c r="D591" s="49" t="s">
        <v>2352</v>
      </c>
      <c r="E591" s="49" t="s">
        <v>2140</v>
      </c>
      <c r="F591" s="49" t="s">
        <v>80</v>
      </c>
      <c r="G591" s="49" t="n">
        <v>0</v>
      </c>
      <c r="H591" s="0" t="n">
        <v>0</v>
      </c>
      <c r="I591" s="51"/>
      <c r="K591" s="52"/>
      <c r="M591" s="51" t="s">
        <v>2582</v>
      </c>
      <c r="N591" s="0" t="n">
        <v>0</v>
      </c>
      <c r="O591" s="53" t="n">
        <v>46049.4915162037</v>
      </c>
      <c r="P591" s="53" t="n">
        <v>46065.6459027778</v>
      </c>
      <c r="Q591" s="53" t="n">
        <v>46049.4915162037</v>
      </c>
      <c r="R591" s="0" t="n">
        <v>0</v>
      </c>
      <c r="S591" s="51" t="s">
        <v>2380</v>
      </c>
      <c r="T591" s="51" t="s">
        <v>2380</v>
      </c>
      <c r="U591" s="51" t="s">
        <v>2140</v>
      </c>
      <c r="V591" s="51" t="s">
        <v>2142</v>
      </c>
      <c r="W591" s="51" t="s">
        <v>2161</v>
      </c>
      <c r="X591" s="51"/>
    </row>
    <row r="592" customFormat="false" ht="14.25" hidden="false" customHeight="false" outlineLevel="0" collapsed="false">
      <c r="A592" s="49" t="s">
        <v>2137</v>
      </c>
      <c r="B592" s="49" t="s">
        <v>14</v>
      </c>
      <c r="C592" s="49" t="s">
        <v>93</v>
      </c>
      <c r="D592" s="49" t="s">
        <v>2352</v>
      </c>
      <c r="E592" s="49" t="s">
        <v>2140</v>
      </c>
      <c r="F592" s="49" t="s">
        <v>80</v>
      </c>
      <c r="G592" s="49" t="n">
        <v>0</v>
      </c>
      <c r="H592" s="0" t="n">
        <v>0</v>
      </c>
      <c r="I592" s="51"/>
      <c r="K592" s="52"/>
      <c r="M592" s="51" t="s">
        <v>2582</v>
      </c>
      <c r="N592" s="0" t="n">
        <v>0</v>
      </c>
      <c r="O592" s="53" t="n">
        <v>46049.4919097222</v>
      </c>
      <c r="P592" s="53" t="n">
        <v>46065.639837963</v>
      </c>
      <c r="Q592" s="53" t="n">
        <v>46049.4919097222</v>
      </c>
      <c r="R592" s="0" t="n">
        <v>0</v>
      </c>
      <c r="S592" s="51" t="s">
        <v>2380</v>
      </c>
      <c r="T592" s="51" t="s">
        <v>2380</v>
      </c>
      <c r="U592" s="51" t="s">
        <v>2140</v>
      </c>
      <c r="V592" s="51" t="s">
        <v>2142</v>
      </c>
      <c r="W592" s="51" t="s">
        <v>2155</v>
      </c>
      <c r="X592" s="51"/>
    </row>
    <row r="593" customFormat="false" ht="14.25" hidden="false" customHeight="false" outlineLevel="0" collapsed="false">
      <c r="A593" s="49" t="s">
        <v>2137</v>
      </c>
      <c r="B593" s="49" t="s">
        <v>14</v>
      </c>
      <c r="C593" s="49" t="s">
        <v>92</v>
      </c>
      <c r="D593" s="49" t="s">
        <v>2352</v>
      </c>
      <c r="E593" s="49" t="s">
        <v>2140</v>
      </c>
      <c r="F593" s="49" t="s">
        <v>80</v>
      </c>
      <c r="G593" s="49" t="n">
        <v>0</v>
      </c>
      <c r="H593" s="0" t="n">
        <v>0</v>
      </c>
      <c r="I593" s="51"/>
      <c r="K593" s="52"/>
      <c r="M593" s="51" t="s">
        <v>2582</v>
      </c>
      <c r="N593" s="0" t="n">
        <v>0</v>
      </c>
      <c r="O593" s="53" t="n">
        <v>46049.4927546296</v>
      </c>
      <c r="P593" s="53" t="n">
        <v>46065.6402546296</v>
      </c>
      <c r="Q593" s="53" t="n">
        <v>46049.4927546296</v>
      </c>
      <c r="R593" s="0" t="n">
        <v>0</v>
      </c>
      <c r="S593" s="51" t="s">
        <v>2380</v>
      </c>
      <c r="T593" s="51" t="s">
        <v>2380</v>
      </c>
      <c r="U593" s="51" t="s">
        <v>2140</v>
      </c>
      <c r="V593" s="51" t="s">
        <v>2142</v>
      </c>
      <c r="W593" s="51" t="s">
        <v>2156</v>
      </c>
      <c r="X593" s="51"/>
    </row>
    <row r="594" customFormat="false" ht="14.25" hidden="false" customHeight="false" outlineLevel="0" collapsed="false">
      <c r="A594" s="49" t="s">
        <v>2137</v>
      </c>
      <c r="B594" s="49" t="s">
        <v>14</v>
      </c>
      <c r="C594" s="49" t="s">
        <v>91</v>
      </c>
      <c r="D594" s="49" t="s">
        <v>2352</v>
      </c>
      <c r="E594" s="49" t="s">
        <v>2140</v>
      </c>
      <c r="F594" s="49" t="s">
        <v>80</v>
      </c>
      <c r="G594" s="49" t="n">
        <v>0</v>
      </c>
      <c r="H594" s="0" t="n">
        <v>0</v>
      </c>
      <c r="I594" s="51"/>
      <c r="K594" s="52"/>
      <c r="M594" s="51" t="s">
        <v>2582</v>
      </c>
      <c r="N594" s="0" t="n">
        <v>0</v>
      </c>
      <c r="O594" s="53" t="n">
        <v>46049.4931481482</v>
      </c>
      <c r="P594" s="53" t="n">
        <v>46065.6357523148</v>
      </c>
      <c r="Q594" s="53" t="n">
        <v>46049.4931481482</v>
      </c>
      <c r="R594" s="0" t="n">
        <v>0</v>
      </c>
      <c r="S594" s="51" t="s">
        <v>2380</v>
      </c>
      <c r="T594" s="51" t="s">
        <v>2380</v>
      </c>
      <c r="U594" s="51" t="s">
        <v>2140</v>
      </c>
      <c r="V594" s="51" t="s">
        <v>2142</v>
      </c>
      <c r="W594" s="51" t="s">
        <v>2145</v>
      </c>
      <c r="X594" s="51"/>
    </row>
    <row r="595" customFormat="false" ht="14.25" hidden="false" customHeight="false" outlineLevel="0" collapsed="false">
      <c r="A595" s="49" t="s">
        <v>2137</v>
      </c>
      <c r="B595" s="49" t="s">
        <v>14</v>
      </c>
      <c r="C595" s="49" t="s">
        <v>90</v>
      </c>
      <c r="D595" s="49" t="s">
        <v>2352</v>
      </c>
      <c r="E595" s="49" t="s">
        <v>2140</v>
      </c>
      <c r="F595" s="49" t="s">
        <v>80</v>
      </c>
      <c r="G595" s="49" t="n">
        <v>0</v>
      </c>
      <c r="H595" s="0" t="n">
        <v>0</v>
      </c>
      <c r="I595" s="51"/>
      <c r="K595" s="52"/>
      <c r="M595" s="51" t="s">
        <v>2582</v>
      </c>
      <c r="N595" s="0" t="n">
        <v>0</v>
      </c>
      <c r="O595" s="53" t="n">
        <v>46049.4933564815</v>
      </c>
      <c r="P595" s="53" t="n">
        <v>46065.6373263889</v>
      </c>
      <c r="Q595" s="53" t="n">
        <v>46049.4933564815</v>
      </c>
      <c r="R595" s="0" t="n">
        <v>0</v>
      </c>
      <c r="S595" s="51" t="s">
        <v>2380</v>
      </c>
      <c r="T595" s="51" t="s">
        <v>2380</v>
      </c>
      <c r="U595" s="51" t="s">
        <v>2140</v>
      </c>
      <c r="V595" s="51" t="s">
        <v>2142</v>
      </c>
      <c r="W595" s="51" t="s">
        <v>2149</v>
      </c>
      <c r="X595" s="51"/>
    </row>
    <row r="596" customFormat="false" ht="14.25" hidden="false" customHeight="false" outlineLevel="0" collapsed="false">
      <c r="A596" s="49" t="s">
        <v>2137</v>
      </c>
      <c r="B596" s="49" t="s">
        <v>14</v>
      </c>
      <c r="C596" s="49" t="s">
        <v>89</v>
      </c>
      <c r="D596" s="49" t="s">
        <v>2352</v>
      </c>
      <c r="E596" s="49" t="s">
        <v>2140</v>
      </c>
      <c r="F596" s="49" t="s">
        <v>80</v>
      </c>
      <c r="G596" s="49" t="n">
        <v>0</v>
      </c>
      <c r="H596" s="0" t="n">
        <v>0</v>
      </c>
      <c r="I596" s="51"/>
      <c r="K596" s="52"/>
      <c r="M596" s="51" t="s">
        <v>2582</v>
      </c>
      <c r="N596" s="0" t="n">
        <v>0</v>
      </c>
      <c r="O596" s="53" t="n">
        <v>46049.4935763889</v>
      </c>
      <c r="P596" s="53" t="n">
        <v>46065.6305671296</v>
      </c>
      <c r="Q596" s="53" t="n">
        <v>46049.4935763889</v>
      </c>
      <c r="R596" s="0" t="n">
        <v>0</v>
      </c>
      <c r="S596" s="51" t="s">
        <v>2380</v>
      </c>
      <c r="T596" s="51" t="s">
        <v>2380</v>
      </c>
      <c r="U596" s="51" t="s">
        <v>2140</v>
      </c>
      <c r="V596" s="51" t="s">
        <v>2142</v>
      </c>
      <c r="W596" s="51" t="s">
        <v>2141</v>
      </c>
      <c r="X596" s="51"/>
    </row>
    <row r="597" customFormat="false" ht="14.25" hidden="false" customHeight="false" outlineLevel="0" collapsed="false">
      <c r="A597" s="49" t="s">
        <v>2137</v>
      </c>
      <c r="B597" s="49" t="s">
        <v>14</v>
      </c>
      <c r="C597" s="49" t="s">
        <v>88</v>
      </c>
      <c r="D597" s="49" t="s">
        <v>2352</v>
      </c>
      <c r="E597" s="49" t="s">
        <v>2140</v>
      </c>
      <c r="F597" s="49" t="s">
        <v>80</v>
      </c>
      <c r="G597" s="49" t="n">
        <v>0</v>
      </c>
      <c r="H597" s="0" t="n">
        <v>0</v>
      </c>
      <c r="I597" s="51"/>
      <c r="K597" s="52"/>
      <c r="M597" s="51" t="s">
        <v>2582</v>
      </c>
      <c r="N597" s="0" t="n">
        <v>0</v>
      </c>
      <c r="O597" s="53" t="n">
        <v>46049.4937731482</v>
      </c>
      <c r="P597" s="53" t="n">
        <v>46065.6346064815</v>
      </c>
      <c r="Q597" s="53" t="n">
        <v>46049.4937731482</v>
      </c>
      <c r="R597" s="0" t="n">
        <v>0</v>
      </c>
      <c r="S597" s="51" t="s">
        <v>2380</v>
      </c>
      <c r="T597" s="51" t="s">
        <v>2380</v>
      </c>
      <c r="U597" s="51" t="s">
        <v>2140</v>
      </c>
      <c r="V597" s="51" t="s">
        <v>2142</v>
      </c>
      <c r="W597" s="51" t="s">
        <v>2148</v>
      </c>
      <c r="X597" s="51"/>
    </row>
    <row r="598" customFormat="false" ht="14.25" hidden="false" customHeight="false" outlineLevel="0" collapsed="false">
      <c r="A598" s="49" t="s">
        <v>2137</v>
      </c>
      <c r="B598" s="49" t="s">
        <v>14</v>
      </c>
      <c r="C598" s="49" t="s">
        <v>87</v>
      </c>
      <c r="D598" s="49" t="s">
        <v>2352</v>
      </c>
      <c r="E598" s="49" t="s">
        <v>2140</v>
      </c>
      <c r="F598" s="49" t="s">
        <v>80</v>
      </c>
      <c r="G598" s="49" t="n">
        <v>0</v>
      </c>
      <c r="H598" s="0" t="n">
        <v>0</v>
      </c>
      <c r="I598" s="51"/>
      <c r="K598" s="52"/>
      <c r="M598" s="51" t="s">
        <v>2582</v>
      </c>
      <c r="N598" s="0" t="n">
        <v>0</v>
      </c>
      <c r="O598" s="53" t="n">
        <v>46049.4939699074</v>
      </c>
      <c r="P598" s="53" t="n">
        <v>46065.6371875</v>
      </c>
      <c r="Q598" s="53" t="n">
        <v>46049.4939699074</v>
      </c>
      <c r="R598" s="0" t="n">
        <v>0</v>
      </c>
      <c r="S598" s="51" t="s">
        <v>2380</v>
      </c>
      <c r="T598" s="51" t="s">
        <v>2380</v>
      </c>
      <c r="U598" s="51" t="s">
        <v>2140</v>
      </c>
      <c r="V598" s="51" t="s">
        <v>2142</v>
      </c>
      <c r="W598" s="51" t="s">
        <v>2152</v>
      </c>
      <c r="X598" s="51"/>
    </row>
    <row r="599" customFormat="false" ht="14.25" hidden="false" customHeight="false" outlineLevel="0" collapsed="false">
      <c r="A599" s="49" t="s">
        <v>2137</v>
      </c>
      <c r="B599" s="49" t="s">
        <v>14</v>
      </c>
      <c r="C599" s="49" t="s">
        <v>85</v>
      </c>
      <c r="D599" s="49" t="s">
        <v>2352</v>
      </c>
      <c r="E599" s="49" t="s">
        <v>2140</v>
      </c>
      <c r="F599" s="49" t="s">
        <v>80</v>
      </c>
      <c r="G599" s="49" t="n">
        <v>0</v>
      </c>
      <c r="H599" s="0" t="n">
        <v>0</v>
      </c>
      <c r="I599" s="51"/>
      <c r="K599" s="52"/>
      <c r="M599" s="51" t="s">
        <v>2582</v>
      </c>
      <c r="N599" s="0" t="n">
        <v>0</v>
      </c>
      <c r="O599" s="53" t="n">
        <v>46049.4952083333</v>
      </c>
      <c r="P599" s="53" t="n">
        <v>46065.6436458333</v>
      </c>
      <c r="Q599" s="53" t="n">
        <v>46049.4952083333</v>
      </c>
      <c r="R599" s="0" t="n">
        <v>0</v>
      </c>
      <c r="S599" s="51" t="s">
        <v>2380</v>
      </c>
      <c r="T599" s="51" t="s">
        <v>2380</v>
      </c>
      <c r="U599" s="51" t="s">
        <v>2140</v>
      </c>
      <c r="V599" s="51" t="s">
        <v>2142</v>
      </c>
      <c r="W599" s="51" t="s">
        <v>2174</v>
      </c>
      <c r="X599" s="51"/>
    </row>
    <row r="600" customFormat="false" ht="14.25" hidden="false" customHeight="false" outlineLevel="0" collapsed="false">
      <c r="A600" s="49" t="s">
        <v>2137</v>
      </c>
      <c r="B600" s="49" t="s">
        <v>14</v>
      </c>
      <c r="C600" s="49" t="s">
        <v>83</v>
      </c>
      <c r="D600" s="49" t="s">
        <v>2352</v>
      </c>
      <c r="E600" s="49" t="s">
        <v>2140</v>
      </c>
      <c r="F600" s="49" t="s">
        <v>80</v>
      </c>
      <c r="G600" s="49" t="n">
        <v>0</v>
      </c>
      <c r="H600" s="0" t="n">
        <v>0</v>
      </c>
      <c r="I600" s="51"/>
      <c r="K600" s="52"/>
      <c r="M600" s="51" t="s">
        <v>2582</v>
      </c>
      <c r="N600" s="0" t="n">
        <v>0</v>
      </c>
      <c r="O600" s="53" t="n">
        <v>46049.4957060185</v>
      </c>
      <c r="P600" s="53" t="n">
        <v>46065.645787037</v>
      </c>
      <c r="Q600" s="53" t="n">
        <v>46049.4957060185</v>
      </c>
      <c r="R600" s="0" t="n">
        <v>0</v>
      </c>
      <c r="S600" s="51" t="s">
        <v>2380</v>
      </c>
      <c r="T600" s="51" t="s">
        <v>2380</v>
      </c>
      <c r="U600" s="51" t="s">
        <v>2140</v>
      </c>
      <c r="V600" s="51" t="s">
        <v>2142</v>
      </c>
      <c r="W600" s="51" t="s">
        <v>2172</v>
      </c>
      <c r="X600" s="51"/>
    </row>
    <row r="601" customFormat="false" ht="14.25" hidden="false" customHeight="false" outlineLevel="0" collapsed="false">
      <c r="A601" s="49" t="s">
        <v>2137</v>
      </c>
      <c r="B601" s="49" t="s">
        <v>14</v>
      </c>
      <c r="C601" s="49" t="s">
        <v>719</v>
      </c>
      <c r="D601" s="49" t="s">
        <v>2352</v>
      </c>
      <c r="E601" s="49" t="s">
        <v>2140</v>
      </c>
      <c r="F601" s="49" t="s">
        <v>80</v>
      </c>
      <c r="G601" s="49" t="n">
        <v>0</v>
      </c>
      <c r="H601" s="0" t="n">
        <v>0</v>
      </c>
      <c r="I601" s="51"/>
      <c r="K601" s="52"/>
      <c r="M601" s="51" t="s">
        <v>2861</v>
      </c>
      <c r="N601" s="0" t="n">
        <v>0</v>
      </c>
      <c r="O601" s="53" t="n">
        <v>46057.4925462963</v>
      </c>
      <c r="P601" s="53" t="n">
        <v>46067.3143171296</v>
      </c>
      <c r="Q601" s="53" t="n">
        <v>46057.4925462963</v>
      </c>
      <c r="R601" s="0" t="n">
        <v>0</v>
      </c>
      <c r="S601" s="51" t="s">
        <v>2398</v>
      </c>
      <c r="T601" s="51" t="s">
        <v>2398</v>
      </c>
      <c r="U601" s="51" t="s">
        <v>2140</v>
      </c>
      <c r="V601" s="51" t="s">
        <v>2142</v>
      </c>
      <c r="W601" s="51" t="s">
        <v>2187</v>
      </c>
      <c r="X601" s="51"/>
    </row>
    <row r="602" customFormat="false" ht="14.25" hidden="false" customHeight="false" outlineLevel="0" collapsed="false">
      <c r="A602" s="49" t="s">
        <v>2137</v>
      </c>
      <c r="B602" s="49" t="s">
        <v>14</v>
      </c>
      <c r="C602" s="49" t="s">
        <v>715</v>
      </c>
      <c r="D602" s="49" t="s">
        <v>2352</v>
      </c>
      <c r="E602" s="49" t="s">
        <v>2140</v>
      </c>
      <c r="F602" s="49" t="s">
        <v>80</v>
      </c>
      <c r="G602" s="49" t="n">
        <v>0</v>
      </c>
      <c r="H602" s="0" t="n">
        <v>0</v>
      </c>
      <c r="I602" s="51"/>
      <c r="K602" s="52"/>
      <c r="M602" s="51" t="s">
        <v>2861</v>
      </c>
      <c r="N602" s="0" t="n">
        <v>0</v>
      </c>
      <c r="O602" s="53" t="n">
        <v>46057.4946875</v>
      </c>
      <c r="P602" s="53" t="n">
        <v>46065.6506712963</v>
      </c>
      <c r="Q602" s="53" t="n">
        <v>46057.4946875</v>
      </c>
      <c r="R602" s="0" t="n">
        <v>0</v>
      </c>
      <c r="S602" s="51" t="s">
        <v>2398</v>
      </c>
      <c r="T602" s="51" t="s">
        <v>2398</v>
      </c>
      <c r="U602" s="51" t="s">
        <v>2140</v>
      </c>
      <c r="V602" s="51" t="s">
        <v>2142</v>
      </c>
      <c r="W602" s="51" t="s">
        <v>2177</v>
      </c>
      <c r="X602" s="51"/>
    </row>
    <row r="603" customFormat="false" ht="14.25" hidden="false" customHeight="false" outlineLevel="0" collapsed="false">
      <c r="A603" s="49" t="s">
        <v>2137</v>
      </c>
      <c r="B603" s="49" t="s">
        <v>14</v>
      </c>
      <c r="C603" s="49" t="s">
        <v>714</v>
      </c>
      <c r="D603" s="49" t="s">
        <v>2352</v>
      </c>
      <c r="E603" s="49" t="s">
        <v>2140</v>
      </c>
      <c r="F603" s="49" t="s">
        <v>80</v>
      </c>
      <c r="G603" s="49" t="n">
        <v>0</v>
      </c>
      <c r="H603" s="0" t="n">
        <v>0</v>
      </c>
      <c r="I603" s="51"/>
      <c r="K603" s="52"/>
      <c r="M603" s="51" t="s">
        <v>2861</v>
      </c>
      <c r="N603" s="0" t="n">
        <v>0</v>
      </c>
      <c r="O603" s="53" t="n">
        <v>46057.4955324074</v>
      </c>
      <c r="P603" s="53" t="n">
        <v>46067.3149884259</v>
      </c>
      <c r="Q603" s="53" t="n">
        <v>46057.4955324074</v>
      </c>
      <c r="R603" s="0" t="n">
        <v>0</v>
      </c>
      <c r="S603" s="51" t="s">
        <v>2398</v>
      </c>
      <c r="T603" s="51" t="s">
        <v>2398</v>
      </c>
      <c r="U603" s="51" t="s">
        <v>2140</v>
      </c>
      <c r="V603" s="51" t="s">
        <v>2142</v>
      </c>
      <c r="W603" s="51" t="s">
        <v>2185</v>
      </c>
      <c r="X603" s="51"/>
    </row>
    <row r="604" customFormat="false" ht="14.25" hidden="false" customHeight="false" outlineLevel="0" collapsed="false">
      <c r="A604" s="49" t="s">
        <v>2137</v>
      </c>
      <c r="B604" s="49" t="s">
        <v>14</v>
      </c>
      <c r="C604" s="49" t="s">
        <v>716</v>
      </c>
      <c r="D604" s="49" t="s">
        <v>2352</v>
      </c>
      <c r="E604" s="49" t="s">
        <v>2140</v>
      </c>
      <c r="F604" s="49" t="s">
        <v>80</v>
      </c>
      <c r="G604" s="49" t="n">
        <v>0</v>
      </c>
      <c r="H604" s="0" t="n">
        <v>0</v>
      </c>
      <c r="I604" s="51"/>
      <c r="K604" s="52"/>
      <c r="M604" s="51" t="s">
        <v>2861</v>
      </c>
      <c r="N604" s="0" t="n">
        <v>0</v>
      </c>
      <c r="O604" s="53" t="n">
        <v>46057.4938773148</v>
      </c>
      <c r="P604" s="53" t="n">
        <v>46067.3161226852</v>
      </c>
      <c r="Q604" s="53" t="n">
        <v>46057.4938773148</v>
      </c>
      <c r="R604" s="0" t="n">
        <v>0</v>
      </c>
      <c r="S604" s="51" t="s">
        <v>2398</v>
      </c>
      <c r="T604" s="51" t="s">
        <v>2398</v>
      </c>
      <c r="U604" s="51" t="s">
        <v>2140</v>
      </c>
      <c r="V604" s="51" t="s">
        <v>2142</v>
      </c>
      <c r="W604" s="51" t="s">
        <v>2180</v>
      </c>
      <c r="X604" s="51"/>
    </row>
    <row r="605" customFormat="false" ht="14.25" hidden="false" customHeight="false" outlineLevel="0" collapsed="false">
      <c r="A605" s="49" t="s">
        <v>2137</v>
      </c>
      <c r="B605" s="49" t="s">
        <v>14</v>
      </c>
      <c r="C605" s="49" t="s">
        <v>717</v>
      </c>
      <c r="D605" s="49" t="s">
        <v>2352</v>
      </c>
      <c r="E605" s="49" t="s">
        <v>2140</v>
      </c>
      <c r="F605" s="49" t="s">
        <v>80</v>
      </c>
      <c r="G605" s="49" t="n">
        <v>0</v>
      </c>
      <c r="H605" s="0" t="n">
        <v>0</v>
      </c>
      <c r="I605" s="51"/>
      <c r="K605" s="52"/>
      <c r="M605" s="51" t="s">
        <v>2861</v>
      </c>
      <c r="N605" s="0" t="n">
        <v>0</v>
      </c>
      <c r="O605" s="53" t="n">
        <v>46057.4935185185</v>
      </c>
      <c r="P605" s="53" t="n">
        <v>46067.3220023148</v>
      </c>
      <c r="Q605" s="53" t="n">
        <v>46057.4935185185</v>
      </c>
      <c r="R605" s="0" t="n">
        <v>0</v>
      </c>
      <c r="S605" s="51" t="s">
        <v>2398</v>
      </c>
      <c r="T605" s="51" t="s">
        <v>2398</v>
      </c>
      <c r="U605" s="51" t="s">
        <v>2140</v>
      </c>
      <c r="V605" s="51" t="s">
        <v>2142</v>
      </c>
      <c r="W605" s="51" t="s">
        <v>2188</v>
      </c>
      <c r="X605" s="51"/>
    </row>
    <row r="606" customFormat="false" ht="14.25" hidden="false" customHeight="false" outlineLevel="0" collapsed="false">
      <c r="A606" s="49" t="s">
        <v>2137</v>
      </c>
      <c r="B606" s="49" t="s">
        <v>14</v>
      </c>
      <c r="C606" s="49" t="s">
        <v>598</v>
      </c>
      <c r="D606" s="49" t="s">
        <v>2352</v>
      </c>
      <c r="E606" s="49" t="s">
        <v>2214</v>
      </c>
      <c r="F606" s="49" t="s">
        <v>594</v>
      </c>
      <c r="G606" s="49" t="n">
        <v>0</v>
      </c>
      <c r="H606" s="0" t="n">
        <v>0</v>
      </c>
      <c r="I606" s="51"/>
      <c r="K606" s="52"/>
      <c r="M606" s="51" t="s">
        <v>3009</v>
      </c>
      <c r="N606" s="0" t="n">
        <v>0</v>
      </c>
      <c r="O606" s="53" t="n">
        <v>46056.4724074074</v>
      </c>
      <c r="P606" s="53" t="n">
        <v>46060.3942939815</v>
      </c>
      <c r="Q606" s="53" t="n">
        <v>46056.4724074074</v>
      </c>
      <c r="R606" s="0" t="n">
        <v>0</v>
      </c>
      <c r="S606" s="51" t="s">
        <v>2380</v>
      </c>
      <c r="T606" s="51" t="s">
        <v>2380</v>
      </c>
      <c r="U606" s="51" t="s">
        <v>2214</v>
      </c>
      <c r="V606" s="51" t="s">
        <v>2142</v>
      </c>
      <c r="W606" s="51" t="s">
        <v>2244</v>
      </c>
      <c r="X606" s="51"/>
    </row>
    <row r="607" customFormat="false" ht="14.25" hidden="false" customHeight="false" outlineLevel="0" collapsed="false">
      <c r="A607" s="49" t="s">
        <v>2137</v>
      </c>
      <c r="B607" s="49" t="s">
        <v>14</v>
      </c>
      <c r="C607" s="49" t="s">
        <v>596</v>
      </c>
      <c r="D607" s="49" t="s">
        <v>2352</v>
      </c>
      <c r="E607" s="49" t="s">
        <v>2214</v>
      </c>
      <c r="F607" s="49" t="s">
        <v>594</v>
      </c>
      <c r="G607" s="49" t="n">
        <v>0</v>
      </c>
      <c r="H607" s="0" t="n">
        <v>0</v>
      </c>
      <c r="I607" s="51"/>
      <c r="K607" s="52"/>
      <c r="L607" s="54"/>
      <c r="M607" s="51" t="s">
        <v>3009</v>
      </c>
      <c r="N607" s="0" t="n">
        <v>0</v>
      </c>
      <c r="O607" s="53" t="n">
        <v>46056.4726157407</v>
      </c>
      <c r="P607" s="53" t="n">
        <v>46060.3907638889</v>
      </c>
      <c r="Q607" s="53" t="n">
        <v>46056.4726157407</v>
      </c>
      <c r="R607" s="0" t="n">
        <v>0</v>
      </c>
      <c r="S607" s="51" t="s">
        <v>2380</v>
      </c>
      <c r="T607" s="51" t="s">
        <v>2380</v>
      </c>
      <c r="U607" s="51" t="s">
        <v>2214</v>
      </c>
      <c r="V607" s="51" t="s">
        <v>2142</v>
      </c>
      <c r="W607" s="51" t="s">
        <v>2240</v>
      </c>
      <c r="X607" s="51"/>
    </row>
    <row r="608" customFormat="false" ht="14.25" hidden="false" customHeight="false" outlineLevel="0" collapsed="false">
      <c r="A608" s="49" t="s">
        <v>2137</v>
      </c>
      <c r="B608" s="49" t="s">
        <v>14</v>
      </c>
      <c r="C608" s="49" t="s">
        <v>595</v>
      </c>
      <c r="D608" s="49" t="s">
        <v>2352</v>
      </c>
      <c r="E608" s="49" t="s">
        <v>2214</v>
      </c>
      <c r="F608" s="49" t="s">
        <v>594</v>
      </c>
      <c r="G608" s="49" t="n">
        <v>0</v>
      </c>
      <c r="H608" s="0" t="n">
        <v>0</v>
      </c>
      <c r="I608" s="51"/>
      <c r="K608" s="52"/>
      <c r="L608" s="54"/>
      <c r="M608" s="51" t="s">
        <v>3009</v>
      </c>
      <c r="N608" s="0" t="n">
        <v>0</v>
      </c>
      <c r="O608" s="53" t="n">
        <v>46056.4729398148</v>
      </c>
      <c r="P608" s="53" t="n">
        <v>46063.4415740741</v>
      </c>
      <c r="Q608" s="53" t="n">
        <v>46056.4729398148</v>
      </c>
      <c r="R608" s="0" t="n">
        <v>0</v>
      </c>
      <c r="S608" s="51" t="s">
        <v>2380</v>
      </c>
      <c r="T608" s="51" t="s">
        <v>2380</v>
      </c>
      <c r="U608" s="51" t="s">
        <v>2214</v>
      </c>
      <c r="V608" s="51" t="s">
        <v>2142</v>
      </c>
      <c r="W608" s="51" t="s">
        <v>2222</v>
      </c>
      <c r="X608" s="51"/>
    </row>
    <row r="609" customFormat="false" ht="14.25" hidden="true" customHeight="false" outlineLevel="0" collapsed="false">
      <c r="A609" s="49" t="s">
        <v>2137</v>
      </c>
      <c r="B609" s="49" t="s">
        <v>14</v>
      </c>
      <c r="C609" s="49" t="s">
        <v>593</v>
      </c>
      <c r="D609" s="49" t="s">
        <v>2352</v>
      </c>
      <c r="E609" s="49" t="s">
        <v>2214</v>
      </c>
      <c r="F609" s="49" t="s">
        <v>594</v>
      </c>
      <c r="G609" s="49" t="n">
        <v>0</v>
      </c>
      <c r="H609" s="0" t="n">
        <v>0</v>
      </c>
      <c r="K609" s="52"/>
      <c r="M609" s="51" t="s">
        <v>3009</v>
      </c>
      <c r="N609" s="49" t="n">
        <v>0</v>
      </c>
      <c r="O609" s="53" t="n">
        <v>46056.4731134259</v>
      </c>
      <c r="P609" s="53" t="n">
        <v>46062.37</v>
      </c>
      <c r="Q609" s="53" t="n">
        <v>46056.4731134259</v>
      </c>
      <c r="R609" s="0" t="n">
        <v>0</v>
      </c>
      <c r="S609" s="51" t="s">
        <v>2380</v>
      </c>
      <c r="T609" s="51" t="s">
        <v>2380</v>
      </c>
      <c r="U609" s="51" t="s">
        <v>2214</v>
      </c>
      <c r="V609" s="51" t="s">
        <v>2142</v>
      </c>
      <c r="W609" s="51" t="s">
        <v>2236</v>
      </c>
      <c r="X609" s="51"/>
    </row>
    <row r="610" customFormat="false" ht="14.25" hidden="false" customHeight="false" outlineLevel="0" collapsed="false">
      <c r="A610" s="49" t="s">
        <v>2137</v>
      </c>
      <c r="B610" s="49" t="s">
        <v>14</v>
      </c>
      <c r="C610" s="49" t="s">
        <v>599</v>
      </c>
      <c r="D610" s="49" t="s">
        <v>2352</v>
      </c>
      <c r="E610" s="49" t="s">
        <v>2214</v>
      </c>
      <c r="F610" s="49" t="s">
        <v>594</v>
      </c>
      <c r="G610" s="49" t="n">
        <v>0</v>
      </c>
      <c r="H610" s="0" t="n">
        <v>0</v>
      </c>
      <c r="I610" s="51"/>
      <c r="K610" s="52"/>
      <c r="M610" s="51" t="s">
        <v>3009</v>
      </c>
      <c r="N610" s="0" t="n">
        <v>0</v>
      </c>
      <c r="O610" s="53" t="n">
        <v>46056.4663078704</v>
      </c>
      <c r="P610" s="53" t="n">
        <v>46060.394212963</v>
      </c>
      <c r="Q610" s="53" t="n">
        <v>46056.4663078704</v>
      </c>
      <c r="R610" s="0" t="n">
        <v>0</v>
      </c>
      <c r="S610" s="51" t="s">
        <v>2380</v>
      </c>
      <c r="T610" s="51" t="s">
        <v>2380</v>
      </c>
      <c r="U610" s="51" t="s">
        <v>2214</v>
      </c>
      <c r="V610" s="51" t="s">
        <v>2142</v>
      </c>
      <c r="W610" s="51" t="s">
        <v>2246</v>
      </c>
      <c r="X610" s="51"/>
    </row>
    <row r="611" customFormat="false" ht="14.25" hidden="false" customHeight="false" outlineLevel="0" collapsed="false">
      <c r="A611" s="49" t="s">
        <v>2137</v>
      </c>
      <c r="B611" s="49" t="s">
        <v>14</v>
      </c>
      <c r="C611" s="49" t="s">
        <v>597</v>
      </c>
      <c r="D611" s="49" t="s">
        <v>2352</v>
      </c>
      <c r="E611" s="49" t="s">
        <v>2214</v>
      </c>
      <c r="F611" s="49" t="s">
        <v>594</v>
      </c>
      <c r="G611" s="49" t="n">
        <v>0</v>
      </c>
      <c r="H611" s="0" t="n">
        <v>0</v>
      </c>
      <c r="I611" s="51"/>
      <c r="K611" s="52"/>
      <c r="M611" s="51" t="s">
        <v>3009</v>
      </c>
      <c r="N611" s="0" t="n">
        <v>0</v>
      </c>
      <c r="O611" s="53" t="n">
        <v>46056.4648611111</v>
      </c>
      <c r="P611" s="53" t="n">
        <v>46060.3766782407</v>
      </c>
      <c r="Q611" s="53" t="n">
        <v>46056.4648611111</v>
      </c>
      <c r="R611" s="0" t="n">
        <v>0</v>
      </c>
      <c r="S611" s="51" t="s">
        <v>2380</v>
      </c>
      <c r="T611" s="51" t="s">
        <v>2380</v>
      </c>
      <c r="U611" s="51" t="s">
        <v>2214</v>
      </c>
      <c r="V611" s="51" t="s">
        <v>2142</v>
      </c>
      <c r="W611" s="51" t="s">
        <v>2250</v>
      </c>
      <c r="X611" s="51"/>
    </row>
    <row r="612" customFormat="false" ht="14.25" hidden="false" customHeight="false" outlineLevel="0" collapsed="false">
      <c r="A612" s="49" t="s">
        <v>2137</v>
      </c>
      <c r="B612" s="49" t="s">
        <v>14</v>
      </c>
      <c r="C612" s="49" t="s">
        <v>800</v>
      </c>
      <c r="D612" s="49" t="s">
        <v>2352</v>
      </c>
      <c r="E612" s="49" t="s">
        <v>2223</v>
      </c>
      <c r="F612" s="49" t="s">
        <v>801</v>
      </c>
      <c r="G612" s="49" t="n">
        <v>0</v>
      </c>
      <c r="H612" s="0" t="n">
        <v>0</v>
      </c>
      <c r="I612" s="51"/>
      <c r="K612" s="52"/>
      <c r="M612" s="51" t="s">
        <v>2458</v>
      </c>
      <c r="N612" s="0" t="n">
        <v>0</v>
      </c>
      <c r="O612" s="53" t="n">
        <v>46058.4614467593</v>
      </c>
      <c r="P612" s="53" t="n">
        <v>46063.4403587963</v>
      </c>
      <c r="Q612" s="53" t="n">
        <v>46058.4614467593</v>
      </c>
      <c r="R612" s="0" t="n">
        <v>0</v>
      </c>
      <c r="S612" s="51" t="s">
        <v>2398</v>
      </c>
      <c r="T612" s="51" t="s">
        <v>2398</v>
      </c>
      <c r="U612" s="51" t="s">
        <v>2223</v>
      </c>
      <c r="V612" s="51" t="s">
        <v>2142</v>
      </c>
      <c r="W612" s="51" t="s">
        <v>2226</v>
      </c>
      <c r="X612" s="51"/>
    </row>
    <row r="613" customFormat="false" ht="14.25" hidden="false" customHeight="false" outlineLevel="0" collapsed="false">
      <c r="A613" s="49" t="s">
        <v>2137</v>
      </c>
      <c r="B613" s="49" t="s">
        <v>14</v>
      </c>
      <c r="C613" s="49" t="s">
        <v>773</v>
      </c>
      <c r="D613" s="49" t="s">
        <v>2352</v>
      </c>
      <c r="E613" s="49" t="s">
        <v>2164</v>
      </c>
      <c r="F613" s="49" t="s">
        <v>772</v>
      </c>
      <c r="G613" s="49" t="n">
        <v>0</v>
      </c>
      <c r="H613" s="0" t="n">
        <v>0</v>
      </c>
      <c r="I613" s="51"/>
      <c r="K613" s="52"/>
      <c r="M613" s="51" t="s">
        <v>2534</v>
      </c>
      <c r="N613" s="0" t="n">
        <v>0</v>
      </c>
      <c r="O613" s="53" t="n">
        <v>46057.5683101852</v>
      </c>
      <c r="P613" s="53" t="n">
        <v>46065.4026273148</v>
      </c>
      <c r="Q613" s="53" t="n">
        <v>46057.5683101852</v>
      </c>
      <c r="R613" s="0" t="n">
        <v>0</v>
      </c>
      <c r="S613" s="51" t="s">
        <v>2398</v>
      </c>
      <c r="T613" s="51" t="s">
        <v>2398</v>
      </c>
      <c r="U613" s="51" t="s">
        <v>2164</v>
      </c>
      <c r="V613" s="51" t="s">
        <v>2142</v>
      </c>
      <c r="W613" s="51" t="s">
        <v>2200</v>
      </c>
      <c r="X613" s="51"/>
    </row>
    <row r="614" customFormat="false" ht="14.25" hidden="false" customHeight="false" outlineLevel="0" collapsed="false">
      <c r="A614" s="49" t="s">
        <v>2137</v>
      </c>
      <c r="B614" s="49" t="s">
        <v>14</v>
      </c>
      <c r="C614" s="49" t="s">
        <v>774</v>
      </c>
      <c r="D614" s="49" t="s">
        <v>2352</v>
      </c>
      <c r="E614" s="49" t="s">
        <v>2164</v>
      </c>
      <c r="F614" s="49" t="s">
        <v>772</v>
      </c>
      <c r="G614" s="49" t="n">
        <v>0</v>
      </c>
      <c r="H614" s="0" t="n">
        <v>0</v>
      </c>
      <c r="I614" s="51"/>
      <c r="K614" s="52"/>
      <c r="M614" s="51" t="s">
        <v>2534</v>
      </c>
      <c r="N614" s="0" t="n">
        <v>0</v>
      </c>
      <c r="O614" s="53" t="n">
        <v>46057.567974537</v>
      </c>
      <c r="P614" s="53" t="n">
        <v>46067.3198842593</v>
      </c>
      <c r="Q614" s="53" t="n">
        <v>46057.567974537</v>
      </c>
      <c r="R614" s="0" t="n">
        <v>0</v>
      </c>
      <c r="S614" s="51" t="s">
        <v>2398</v>
      </c>
      <c r="T614" s="51" t="s">
        <v>2398</v>
      </c>
      <c r="U614" s="51" t="s">
        <v>2164</v>
      </c>
      <c r="V614" s="51" t="s">
        <v>2142</v>
      </c>
      <c r="W614" s="51" t="s">
        <v>2168</v>
      </c>
      <c r="X614" s="51"/>
    </row>
    <row r="615" customFormat="false" ht="14.25" hidden="false" customHeight="false" outlineLevel="0" collapsed="false">
      <c r="A615" s="49" t="s">
        <v>2137</v>
      </c>
      <c r="B615" s="49" t="s">
        <v>14</v>
      </c>
      <c r="C615" s="49" t="s">
        <v>775</v>
      </c>
      <c r="D615" s="49" t="s">
        <v>2352</v>
      </c>
      <c r="E615" s="49" t="s">
        <v>2164</v>
      </c>
      <c r="F615" s="49" t="s">
        <v>772</v>
      </c>
      <c r="G615" s="49" t="n">
        <v>0</v>
      </c>
      <c r="H615" s="0" t="n">
        <v>0</v>
      </c>
      <c r="I615" s="51"/>
      <c r="K615" s="52"/>
      <c r="M615" s="51" t="s">
        <v>2534</v>
      </c>
      <c r="N615" s="0" t="n">
        <v>0</v>
      </c>
      <c r="O615" s="53" t="n">
        <v>46057.5675231482</v>
      </c>
      <c r="P615" s="53" t="n">
        <v>46062.3691898148</v>
      </c>
      <c r="Q615" s="53" t="n">
        <v>46057.5675231482</v>
      </c>
      <c r="R615" s="0" t="n">
        <v>0</v>
      </c>
      <c r="S615" s="51" t="s">
        <v>2398</v>
      </c>
      <c r="T615" s="51" t="s">
        <v>2398</v>
      </c>
      <c r="U615" s="51" t="s">
        <v>2164</v>
      </c>
      <c r="V615" s="51" t="s">
        <v>2142</v>
      </c>
      <c r="W615" s="51" t="s">
        <v>2231</v>
      </c>
      <c r="X615" s="51"/>
    </row>
    <row r="616" customFormat="false" ht="14.25" hidden="true" customHeight="false" outlineLevel="0" collapsed="false">
      <c r="A616" s="49" t="s">
        <v>2137</v>
      </c>
      <c r="B616" s="49" t="s">
        <v>14</v>
      </c>
      <c r="C616" s="49" t="s">
        <v>86</v>
      </c>
      <c r="D616" s="49" t="s">
        <v>2352</v>
      </c>
      <c r="E616" s="49" t="s">
        <v>2140</v>
      </c>
      <c r="F616" s="49" t="s">
        <v>80</v>
      </c>
      <c r="G616" s="49" t="n">
        <v>0</v>
      </c>
      <c r="H616" s="0" t="n">
        <v>0</v>
      </c>
      <c r="K616" s="52"/>
      <c r="M616" s="51" t="s">
        <v>2582</v>
      </c>
      <c r="N616" s="49" t="n">
        <v>0</v>
      </c>
      <c r="O616" s="53" t="n">
        <v>46049.4950231482</v>
      </c>
      <c r="P616" s="53" t="n">
        <v>46065.6448032407</v>
      </c>
      <c r="Q616" s="53" t="n">
        <v>46049.4950231482</v>
      </c>
      <c r="R616" s="0" t="n">
        <v>0</v>
      </c>
      <c r="S616" s="51" t="s">
        <v>2380</v>
      </c>
      <c r="T616" s="51" t="s">
        <v>2380</v>
      </c>
      <c r="U616" s="51" t="s">
        <v>2140</v>
      </c>
      <c r="V616" s="51" t="s">
        <v>2142</v>
      </c>
      <c r="W616" s="51" t="s">
        <v>2173</v>
      </c>
      <c r="X616" s="51"/>
    </row>
    <row r="617" customFormat="false" ht="14.25" hidden="false" customHeight="false" outlineLevel="0" collapsed="false">
      <c r="A617" s="49" t="s">
        <v>2137</v>
      </c>
      <c r="B617" s="49" t="s">
        <v>14</v>
      </c>
      <c r="C617" s="49" t="s">
        <v>174</v>
      </c>
      <c r="D617" s="49" t="s">
        <v>2352</v>
      </c>
      <c r="E617" s="49" t="s">
        <v>2203</v>
      </c>
      <c r="F617" s="49" t="s">
        <v>170</v>
      </c>
      <c r="G617" s="49" t="n">
        <v>0</v>
      </c>
      <c r="H617" s="0" t="n">
        <v>0</v>
      </c>
      <c r="I617" s="51"/>
      <c r="K617" s="52"/>
      <c r="L617" s="54"/>
      <c r="M617" s="51" t="s">
        <v>2541</v>
      </c>
      <c r="N617" s="0" t="n">
        <v>0</v>
      </c>
      <c r="O617" s="53" t="n">
        <v>46050.5022685185</v>
      </c>
      <c r="P617" s="53" t="n">
        <v>46065.4213194444</v>
      </c>
      <c r="Q617" s="53" t="n">
        <v>46050.5022685185</v>
      </c>
      <c r="R617" s="0" t="n">
        <v>0</v>
      </c>
      <c r="S617" s="51" t="s">
        <v>2380</v>
      </c>
      <c r="T617" s="51" t="s">
        <v>2380</v>
      </c>
      <c r="U617" s="51" t="s">
        <v>2203</v>
      </c>
      <c r="V617" s="51" t="s">
        <v>2205</v>
      </c>
      <c r="W617" s="51" t="s">
        <v>2211</v>
      </c>
      <c r="X617" s="51"/>
    </row>
    <row r="618" customFormat="false" ht="14.25" hidden="false" customHeight="false" outlineLevel="0" collapsed="false">
      <c r="A618" s="49" t="s">
        <v>2251</v>
      </c>
      <c r="B618" s="49" t="s">
        <v>14</v>
      </c>
      <c r="C618" s="49" t="s">
        <v>544</v>
      </c>
      <c r="D618" s="49" t="s">
        <v>2441</v>
      </c>
      <c r="E618" s="49" t="s">
        <v>3125</v>
      </c>
      <c r="F618" s="49" t="s">
        <v>536</v>
      </c>
      <c r="G618" s="49" t="n">
        <v>4</v>
      </c>
      <c r="H618" s="0" t="n">
        <v>0</v>
      </c>
      <c r="I618" s="51" t="s">
        <v>3126</v>
      </c>
      <c r="J618" s="49" t="s">
        <v>3127</v>
      </c>
      <c r="K618" s="52" t="n">
        <v>47495</v>
      </c>
      <c r="L618" s="54"/>
      <c r="M618" s="51" t="s">
        <v>3128</v>
      </c>
      <c r="N618" s="0" t="n">
        <v>4</v>
      </c>
      <c r="O618" s="53" t="n">
        <v>46055.575</v>
      </c>
      <c r="P618" s="53" t="n">
        <v>46056.3884375</v>
      </c>
      <c r="Q618" s="53" t="n">
        <v>46055.575</v>
      </c>
      <c r="R618" s="0" t="n">
        <v>0</v>
      </c>
      <c r="S618" s="51" t="s">
        <v>3129</v>
      </c>
      <c r="T618" s="51" t="s">
        <v>3129</v>
      </c>
      <c r="U618" s="51" t="s">
        <v>3125</v>
      </c>
      <c r="V618" s="51" t="s">
        <v>2142</v>
      </c>
      <c r="X618" s="51"/>
    </row>
    <row r="619" customFormat="false" ht="14.25" hidden="true" customHeight="false" outlineLevel="0" collapsed="false">
      <c r="A619" s="49" t="s">
        <v>2251</v>
      </c>
      <c r="B619" s="49" t="s">
        <v>14</v>
      </c>
      <c r="C619" s="49" t="s">
        <v>560</v>
      </c>
      <c r="D619" s="49" t="s">
        <v>2441</v>
      </c>
      <c r="E619" s="49" t="s">
        <v>3125</v>
      </c>
      <c r="F619" s="49" t="s">
        <v>536</v>
      </c>
      <c r="G619" s="49" t="n">
        <v>4</v>
      </c>
      <c r="H619" s="0" t="n">
        <v>0</v>
      </c>
      <c r="I619" s="51" t="s">
        <v>3130</v>
      </c>
      <c r="J619" s="49" t="s">
        <v>3127</v>
      </c>
      <c r="K619" s="52" t="n">
        <v>47495</v>
      </c>
      <c r="L619" s="54"/>
      <c r="M619" s="51" t="s">
        <v>3128</v>
      </c>
      <c r="N619" s="49" t="n">
        <v>4</v>
      </c>
      <c r="O619" s="53" t="n">
        <v>46055.5673148148</v>
      </c>
      <c r="P619" s="53" t="n">
        <v>46056.4247106482</v>
      </c>
      <c r="Q619" s="53" t="n">
        <v>46055.5673148148</v>
      </c>
      <c r="R619" s="0" t="n">
        <v>0</v>
      </c>
      <c r="S619" s="51" t="s">
        <v>3129</v>
      </c>
      <c r="T619" s="51" t="s">
        <v>3129</v>
      </c>
      <c r="U619" s="51" t="s">
        <v>3125</v>
      </c>
      <c r="V619" s="51" t="s">
        <v>2142</v>
      </c>
      <c r="W619" s="51" t="s">
        <v>2298</v>
      </c>
      <c r="X619" s="51"/>
    </row>
    <row r="620" customFormat="false" ht="14.25" hidden="true" customHeight="false" outlineLevel="0" collapsed="false">
      <c r="A620" s="49" t="s">
        <v>2251</v>
      </c>
      <c r="B620" s="49" t="s">
        <v>14</v>
      </c>
      <c r="C620" s="49" t="s">
        <v>554</v>
      </c>
      <c r="D620" s="49" t="s">
        <v>2441</v>
      </c>
      <c r="E620" s="49" t="s">
        <v>3125</v>
      </c>
      <c r="F620" s="49" t="s">
        <v>536</v>
      </c>
      <c r="G620" s="49" t="n">
        <v>4</v>
      </c>
      <c r="H620" s="0" t="n">
        <v>0</v>
      </c>
      <c r="I620" s="51" t="s">
        <v>3126</v>
      </c>
      <c r="J620" s="49" t="s">
        <v>3127</v>
      </c>
      <c r="K620" s="52" t="n">
        <v>47495</v>
      </c>
      <c r="M620" s="51" t="s">
        <v>3128</v>
      </c>
      <c r="N620" s="49" t="n">
        <v>4</v>
      </c>
      <c r="O620" s="53" t="n">
        <v>46055.5685763889</v>
      </c>
      <c r="P620" s="53" t="n">
        <v>46056.3636689815</v>
      </c>
      <c r="Q620" s="53" t="n">
        <v>46055.5685763889</v>
      </c>
      <c r="R620" s="0" t="n">
        <v>0</v>
      </c>
      <c r="S620" s="51" t="s">
        <v>3129</v>
      </c>
      <c r="T620" s="51" t="s">
        <v>3129</v>
      </c>
      <c r="U620" s="51" t="s">
        <v>3125</v>
      </c>
      <c r="V620" s="51" t="s">
        <v>2142</v>
      </c>
      <c r="W620" s="51"/>
      <c r="X620" s="51"/>
    </row>
    <row r="621" customFormat="false" ht="14.25" hidden="true" customHeight="false" outlineLevel="0" collapsed="false">
      <c r="A621" s="49" t="s">
        <v>2251</v>
      </c>
      <c r="B621" s="49" t="s">
        <v>14</v>
      </c>
      <c r="C621" s="49" t="s">
        <v>552</v>
      </c>
      <c r="D621" s="49" t="s">
        <v>2441</v>
      </c>
      <c r="E621" s="49" t="s">
        <v>3125</v>
      </c>
      <c r="F621" s="49" t="s">
        <v>536</v>
      </c>
      <c r="G621" s="49" t="n">
        <v>4</v>
      </c>
      <c r="H621" s="0" t="n">
        <v>0</v>
      </c>
      <c r="I621" s="51" t="s">
        <v>3126</v>
      </c>
      <c r="J621" s="49" t="s">
        <v>3127</v>
      </c>
      <c r="K621" s="52" t="n">
        <v>47495</v>
      </c>
      <c r="M621" s="51" t="s">
        <v>3128</v>
      </c>
      <c r="N621" s="49" t="n">
        <v>4</v>
      </c>
      <c r="O621" s="53" t="n">
        <v>46055.5690277778</v>
      </c>
      <c r="P621" s="53" t="n">
        <v>46067.6822916667</v>
      </c>
      <c r="Q621" s="53" t="n">
        <v>46055.5690277778</v>
      </c>
      <c r="R621" s="0" t="n">
        <v>0</v>
      </c>
      <c r="S621" s="51" t="s">
        <v>3129</v>
      </c>
      <c r="T621" s="51" t="s">
        <v>3129</v>
      </c>
      <c r="U621" s="51" t="s">
        <v>3125</v>
      </c>
      <c r="V621" s="51" t="s">
        <v>2142</v>
      </c>
      <c r="W621" s="51" t="s">
        <v>3131</v>
      </c>
      <c r="X621" s="51"/>
    </row>
    <row r="622" customFormat="false" ht="14.25" hidden="false" customHeight="false" outlineLevel="0" collapsed="false">
      <c r="A622" s="49" t="s">
        <v>2251</v>
      </c>
      <c r="B622" s="49" t="s">
        <v>14</v>
      </c>
      <c r="C622" s="49" t="s">
        <v>551</v>
      </c>
      <c r="D622" s="49" t="s">
        <v>2441</v>
      </c>
      <c r="E622" s="49" t="s">
        <v>3125</v>
      </c>
      <c r="F622" s="49" t="s">
        <v>536</v>
      </c>
      <c r="G622" s="49" t="n">
        <v>4</v>
      </c>
      <c r="H622" s="0" t="n">
        <v>0</v>
      </c>
      <c r="I622" s="51" t="s">
        <v>3126</v>
      </c>
      <c r="J622" s="49" t="s">
        <v>3127</v>
      </c>
      <c r="K622" s="52" t="n">
        <v>47495</v>
      </c>
      <c r="M622" s="51" t="s">
        <v>3128</v>
      </c>
      <c r="N622" s="0" t="n">
        <v>4</v>
      </c>
      <c r="O622" s="53" t="n">
        <v>46055.5724305556</v>
      </c>
      <c r="P622" s="53" t="n">
        <v>46056.3694328704</v>
      </c>
      <c r="Q622" s="53" t="n">
        <v>46055.5724305556</v>
      </c>
      <c r="R622" s="0" t="n">
        <v>0</v>
      </c>
      <c r="S622" s="51" t="s">
        <v>3129</v>
      </c>
      <c r="T622" s="51" t="s">
        <v>3129</v>
      </c>
      <c r="U622" s="51" t="s">
        <v>3125</v>
      </c>
      <c r="V622" s="51" t="s">
        <v>2142</v>
      </c>
      <c r="X622" s="51"/>
    </row>
    <row r="623" customFormat="false" ht="14.25" hidden="false" customHeight="false" outlineLevel="0" collapsed="false">
      <c r="A623" s="49" t="s">
        <v>2251</v>
      </c>
      <c r="B623" s="49" t="s">
        <v>14</v>
      </c>
      <c r="C623" s="49" t="s">
        <v>546</v>
      </c>
      <c r="D623" s="49" t="s">
        <v>2441</v>
      </c>
      <c r="E623" s="49" t="s">
        <v>3125</v>
      </c>
      <c r="F623" s="49" t="s">
        <v>536</v>
      </c>
      <c r="G623" s="49" t="n">
        <v>4</v>
      </c>
      <c r="H623" s="0" t="n">
        <v>0</v>
      </c>
      <c r="I623" s="51" t="s">
        <v>3126</v>
      </c>
      <c r="J623" s="49" t="s">
        <v>3127</v>
      </c>
      <c r="K623" s="52" t="n">
        <v>47495</v>
      </c>
      <c r="M623" s="51" t="s">
        <v>3128</v>
      </c>
      <c r="N623" s="0" t="n">
        <v>4</v>
      </c>
      <c r="O623" s="53" t="n">
        <v>46055.573599537</v>
      </c>
      <c r="P623" s="53" t="n">
        <v>46056.3739814815</v>
      </c>
      <c r="Q623" s="53" t="n">
        <v>46055.573599537</v>
      </c>
      <c r="R623" s="0" t="n">
        <v>0</v>
      </c>
      <c r="S623" s="51" t="s">
        <v>3129</v>
      </c>
      <c r="T623" s="51" t="s">
        <v>3129</v>
      </c>
      <c r="U623" s="51" t="s">
        <v>3125</v>
      </c>
      <c r="V623" s="51" t="s">
        <v>2142</v>
      </c>
      <c r="X623" s="51"/>
    </row>
    <row r="624" customFormat="false" ht="14.25" hidden="false" customHeight="false" outlineLevel="0" collapsed="false">
      <c r="A624" s="49" t="s">
        <v>2251</v>
      </c>
      <c r="B624" s="49" t="s">
        <v>14</v>
      </c>
      <c r="C624" s="49" t="s">
        <v>424</v>
      </c>
      <c r="D624" s="49" t="s">
        <v>2441</v>
      </c>
      <c r="E624" s="49" t="s">
        <v>2450</v>
      </c>
      <c r="F624" s="49" t="s">
        <v>194</v>
      </c>
      <c r="G624" s="49" t="n">
        <v>24</v>
      </c>
      <c r="H624" s="0" t="n">
        <v>0</v>
      </c>
      <c r="I624" s="51" t="s">
        <v>3132</v>
      </c>
      <c r="J624" s="49" t="s">
        <v>2452</v>
      </c>
      <c r="K624" s="52" t="n">
        <v>47628</v>
      </c>
      <c r="M624" s="51" t="s">
        <v>3133</v>
      </c>
      <c r="N624" s="0" t="n">
        <v>24</v>
      </c>
      <c r="O624" s="53" t="n">
        <v>46054.4352893519</v>
      </c>
      <c r="P624" s="53" t="n">
        <v>46068.7104513889</v>
      </c>
      <c r="Q624" s="53" t="n">
        <v>46054.4352893519</v>
      </c>
      <c r="R624" s="0" t="n">
        <v>0</v>
      </c>
      <c r="S624" s="51" t="s">
        <v>3129</v>
      </c>
      <c r="T624" s="51" t="s">
        <v>3129</v>
      </c>
      <c r="U624" s="51" t="s">
        <v>2450</v>
      </c>
      <c r="V624" s="51" t="s">
        <v>2205</v>
      </c>
      <c r="W624" s="51" t="s">
        <v>3134</v>
      </c>
      <c r="X624" s="51"/>
    </row>
    <row r="625" customFormat="false" ht="14.25" hidden="false" customHeight="false" outlineLevel="0" collapsed="false">
      <c r="A625" s="49" t="s">
        <v>2251</v>
      </c>
      <c r="B625" s="49" t="s">
        <v>14</v>
      </c>
      <c r="C625" s="49" t="s">
        <v>1277</v>
      </c>
      <c r="D625" s="49" t="s">
        <v>2441</v>
      </c>
      <c r="E625" s="49" t="s">
        <v>2450</v>
      </c>
      <c r="F625" s="49" t="s">
        <v>194</v>
      </c>
      <c r="G625" s="49" t="n">
        <v>24</v>
      </c>
      <c r="H625" s="0" t="n">
        <v>0</v>
      </c>
      <c r="I625" s="51" t="s">
        <v>2315</v>
      </c>
      <c r="J625" s="49" t="s">
        <v>2452</v>
      </c>
      <c r="K625" s="52" t="n">
        <v>47628</v>
      </c>
      <c r="M625" s="51" t="s">
        <v>3135</v>
      </c>
      <c r="N625" s="0" t="n">
        <v>24</v>
      </c>
      <c r="O625" s="53" t="n">
        <v>46065.624375</v>
      </c>
      <c r="P625" s="53" t="n">
        <v>46065.6996643519</v>
      </c>
      <c r="Q625" s="53" t="n">
        <v>46065.624375</v>
      </c>
      <c r="R625" s="0" t="n">
        <v>0</v>
      </c>
      <c r="S625" s="51" t="s">
        <v>3129</v>
      </c>
      <c r="T625" s="51" t="s">
        <v>3129</v>
      </c>
      <c r="U625" s="51" t="s">
        <v>2450</v>
      </c>
      <c r="V625" s="51" t="s">
        <v>2205</v>
      </c>
      <c r="X625" s="51"/>
    </row>
    <row r="626" customFormat="false" ht="14.25" hidden="false" customHeight="false" outlineLevel="0" collapsed="false">
      <c r="A626" s="49" t="s">
        <v>2251</v>
      </c>
      <c r="B626" s="49" t="s">
        <v>14</v>
      </c>
      <c r="C626" s="49" t="s">
        <v>1274</v>
      </c>
      <c r="D626" s="49" t="s">
        <v>2441</v>
      </c>
      <c r="E626" s="49" t="s">
        <v>2450</v>
      </c>
      <c r="F626" s="49" t="s">
        <v>194</v>
      </c>
      <c r="G626" s="49" t="n">
        <v>24</v>
      </c>
      <c r="H626" s="0" t="n">
        <v>0</v>
      </c>
      <c r="I626" s="51" t="s">
        <v>3136</v>
      </c>
      <c r="J626" s="49" t="s">
        <v>2463</v>
      </c>
      <c r="K626" s="52" t="n">
        <v>47628</v>
      </c>
      <c r="M626" s="51" t="s">
        <v>3135</v>
      </c>
      <c r="N626" s="0" t="n">
        <v>24</v>
      </c>
      <c r="O626" s="53" t="n">
        <v>46065.630474537</v>
      </c>
      <c r="P626" s="53" t="n">
        <v>46065.7598032407</v>
      </c>
      <c r="Q626" s="53" t="n">
        <v>46065.630474537</v>
      </c>
      <c r="R626" s="0" t="n">
        <v>0</v>
      </c>
      <c r="S626" s="51" t="s">
        <v>3129</v>
      </c>
      <c r="T626" s="51" t="s">
        <v>3129</v>
      </c>
      <c r="U626" s="51" t="s">
        <v>2450</v>
      </c>
      <c r="V626" s="51" t="s">
        <v>2205</v>
      </c>
      <c r="X626" s="51"/>
    </row>
    <row r="627" customFormat="false" ht="14.25" hidden="false" customHeight="false" outlineLevel="0" collapsed="false">
      <c r="A627" s="49" t="s">
        <v>2251</v>
      </c>
      <c r="B627" s="49" t="s">
        <v>14</v>
      </c>
      <c r="C627" s="49" t="s">
        <v>1271</v>
      </c>
      <c r="D627" s="49" t="s">
        <v>2441</v>
      </c>
      <c r="E627" s="49" t="s">
        <v>2450</v>
      </c>
      <c r="F627" s="49" t="s">
        <v>194</v>
      </c>
      <c r="G627" s="49" t="n">
        <v>24</v>
      </c>
      <c r="H627" s="0" t="n">
        <v>0</v>
      </c>
      <c r="I627" s="51" t="s">
        <v>3137</v>
      </c>
      <c r="J627" s="49" t="s">
        <v>2463</v>
      </c>
      <c r="K627" s="52" t="n">
        <v>47628</v>
      </c>
      <c r="M627" s="51" t="s">
        <v>3135</v>
      </c>
      <c r="N627" s="0" t="n">
        <v>24</v>
      </c>
      <c r="O627" s="53" t="n">
        <v>46065.6333101852</v>
      </c>
      <c r="P627" s="53" t="n">
        <v>46065.7355324074</v>
      </c>
      <c r="Q627" s="53" t="n">
        <v>46065.6333101852</v>
      </c>
      <c r="R627" s="0" t="n">
        <v>0</v>
      </c>
      <c r="S627" s="51" t="s">
        <v>3129</v>
      </c>
      <c r="T627" s="51" t="s">
        <v>3129</v>
      </c>
      <c r="U627" s="51" t="s">
        <v>2450</v>
      </c>
      <c r="V627" s="51" t="s">
        <v>2205</v>
      </c>
      <c r="X627" s="51"/>
    </row>
    <row r="628" customFormat="false" ht="14.25" hidden="false" customHeight="false" outlineLevel="0" collapsed="false">
      <c r="A628" s="49" t="s">
        <v>2251</v>
      </c>
      <c r="B628" s="49" t="s">
        <v>14</v>
      </c>
      <c r="C628" s="49" t="s">
        <v>1273</v>
      </c>
      <c r="D628" s="49" t="s">
        <v>2441</v>
      </c>
      <c r="E628" s="49" t="s">
        <v>2450</v>
      </c>
      <c r="F628" s="49" t="s">
        <v>194</v>
      </c>
      <c r="G628" s="49" t="n">
        <v>24</v>
      </c>
      <c r="H628" s="0" t="n">
        <v>0</v>
      </c>
      <c r="I628" s="51" t="s">
        <v>3138</v>
      </c>
      <c r="J628" s="49" t="s">
        <v>2463</v>
      </c>
      <c r="K628" s="52" t="n">
        <v>47628</v>
      </c>
      <c r="M628" s="51" t="s">
        <v>3135</v>
      </c>
      <c r="N628" s="0" t="n">
        <v>24</v>
      </c>
      <c r="O628" s="53" t="n">
        <v>46065.6323842593</v>
      </c>
      <c r="P628" s="53" t="n">
        <v>46065.7378356482</v>
      </c>
      <c r="Q628" s="53" t="n">
        <v>46065.6323842593</v>
      </c>
      <c r="R628" s="0" t="n">
        <v>0</v>
      </c>
      <c r="S628" s="51" t="s">
        <v>3129</v>
      </c>
      <c r="T628" s="51" t="s">
        <v>3129</v>
      </c>
      <c r="U628" s="51" t="s">
        <v>2450</v>
      </c>
      <c r="V628" s="51" t="s">
        <v>2205</v>
      </c>
      <c r="X628" s="51"/>
    </row>
    <row r="629" customFormat="false" ht="14.25" hidden="false" customHeight="false" outlineLevel="0" collapsed="false">
      <c r="A629" s="49" t="s">
        <v>2251</v>
      </c>
      <c r="B629" s="49" t="s">
        <v>14</v>
      </c>
      <c r="C629" s="49" t="s">
        <v>1279</v>
      </c>
      <c r="D629" s="49" t="s">
        <v>2441</v>
      </c>
      <c r="E629" s="49" t="s">
        <v>2450</v>
      </c>
      <c r="F629" s="49" t="s">
        <v>194</v>
      </c>
      <c r="G629" s="49" t="n">
        <v>4</v>
      </c>
      <c r="H629" s="0" t="n">
        <v>0</v>
      </c>
      <c r="I629" s="51" t="s">
        <v>3139</v>
      </c>
      <c r="J629" s="49" t="s">
        <v>2452</v>
      </c>
      <c r="K629" s="52" t="n">
        <v>47628</v>
      </c>
      <c r="M629" s="51" t="s">
        <v>3135</v>
      </c>
      <c r="N629" s="0" t="n">
        <v>4</v>
      </c>
      <c r="O629" s="53" t="n">
        <v>46065.6179976852</v>
      </c>
      <c r="P629" s="53" t="n">
        <v>46065.6943287037</v>
      </c>
      <c r="Q629" s="53" t="n">
        <v>46065.6179976852</v>
      </c>
      <c r="R629" s="0" t="n">
        <v>0</v>
      </c>
      <c r="S629" s="51" t="s">
        <v>3129</v>
      </c>
      <c r="T629" s="51" t="s">
        <v>3129</v>
      </c>
      <c r="U629" s="51" t="s">
        <v>2450</v>
      </c>
      <c r="V629" s="51" t="s">
        <v>2205</v>
      </c>
      <c r="X629" s="51"/>
    </row>
    <row r="630" customFormat="false" ht="14.25" hidden="false" customHeight="false" outlineLevel="0" collapsed="false">
      <c r="A630" s="49" t="s">
        <v>2251</v>
      </c>
      <c r="B630" s="49" t="s">
        <v>14</v>
      </c>
      <c r="C630" s="49" t="s">
        <v>1266</v>
      </c>
      <c r="D630" s="49" t="s">
        <v>2441</v>
      </c>
      <c r="E630" s="49" t="s">
        <v>2450</v>
      </c>
      <c r="F630" s="49" t="s">
        <v>194</v>
      </c>
      <c r="G630" s="49" t="n">
        <v>22</v>
      </c>
      <c r="H630" s="0" t="n">
        <v>0</v>
      </c>
      <c r="I630" s="51" t="s">
        <v>2284</v>
      </c>
      <c r="J630" s="49" t="s">
        <v>2463</v>
      </c>
      <c r="K630" s="52" t="n">
        <v>47628</v>
      </c>
      <c r="M630" s="51" t="s">
        <v>3135</v>
      </c>
      <c r="N630" s="0" t="n">
        <v>22</v>
      </c>
      <c r="O630" s="53" t="n">
        <v>46065.6169560185</v>
      </c>
      <c r="P630" s="53" t="n">
        <v>46065.6915046296</v>
      </c>
      <c r="Q630" s="53" t="n">
        <v>46065.6169560185</v>
      </c>
      <c r="R630" s="0" t="n">
        <v>0</v>
      </c>
      <c r="S630" s="51" t="s">
        <v>3129</v>
      </c>
      <c r="T630" s="51" t="s">
        <v>3129</v>
      </c>
      <c r="U630" s="51" t="s">
        <v>2450</v>
      </c>
      <c r="V630" s="51" t="s">
        <v>2205</v>
      </c>
      <c r="X630" s="51"/>
    </row>
    <row r="631" customFormat="false" ht="14.25" hidden="false" customHeight="false" outlineLevel="0" collapsed="false">
      <c r="A631" s="49" t="s">
        <v>2251</v>
      </c>
      <c r="B631" s="49" t="s">
        <v>14</v>
      </c>
      <c r="C631" s="49" t="s">
        <v>1278</v>
      </c>
      <c r="D631" s="49" t="s">
        <v>2441</v>
      </c>
      <c r="E631" s="49" t="s">
        <v>2450</v>
      </c>
      <c r="F631" s="49" t="s">
        <v>194</v>
      </c>
      <c r="G631" s="49" t="n">
        <v>22</v>
      </c>
      <c r="H631" s="0" t="n">
        <v>0</v>
      </c>
      <c r="I631" s="51" t="s">
        <v>3140</v>
      </c>
      <c r="J631" s="49" t="s">
        <v>2463</v>
      </c>
      <c r="K631" s="52" t="n">
        <v>47628</v>
      </c>
      <c r="M631" s="51" t="s">
        <v>3135</v>
      </c>
      <c r="N631" s="0" t="n">
        <v>22</v>
      </c>
      <c r="O631" s="53" t="n">
        <v>46065.6194907407</v>
      </c>
      <c r="P631" s="53" t="n">
        <v>46065.7041550926</v>
      </c>
      <c r="Q631" s="53" t="n">
        <v>46065.6194907407</v>
      </c>
      <c r="R631" s="0" t="n">
        <v>0</v>
      </c>
      <c r="S631" s="51" t="s">
        <v>3129</v>
      </c>
      <c r="T631" s="51" t="s">
        <v>3129</v>
      </c>
      <c r="U631" s="51" t="s">
        <v>2450</v>
      </c>
      <c r="V631" s="51" t="s">
        <v>2205</v>
      </c>
      <c r="X631" s="51"/>
    </row>
    <row r="632" customFormat="false" ht="14.25" hidden="false" customHeight="false" outlineLevel="0" collapsed="false">
      <c r="A632" s="49" t="s">
        <v>2251</v>
      </c>
      <c r="B632" s="49" t="s">
        <v>14</v>
      </c>
      <c r="C632" s="49" t="s">
        <v>1275</v>
      </c>
      <c r="D632" s="49" t="s">
        <v>2441</v>
      </c>
      <c r="E632" s="49" t="s">
        <v>2450</v>
      </c>
      <c r="F632" s="49" t="s">
        <v>194</v>
      </c>
      <c r="G632" s="49" t="n">
        <v>24</v>
      </c>
      <c r="H632" s="0" t="n">
        <v>0</v>
      </c>
      <c r="I632" s="51" t="s">
        <v>2281</v>
      </c>
      <c r="J632" s="49" t="s">
        <v>2463</v>
      </c>
      <c r="K632" s="52" t="n">
        <v>47628</v>
      </c>
      <c r="M632" s="51" t="s">
        <v>3135</v>
      </c>
      <c r="N632" s="0" t="n">
        <v>24</v>
      </c>
      <c r="O632" s="53" t="n">
        <v>46065.6258217593</v>
      </c>
      <c r="P632" s="53" t="n">
        <v>46065.6965162037</v>
      </c>
      <c r="Q632" s="53" t="n">
        <v>46065.6258217593</v>
      </c>
      <c r="R632" s="0" t="n">
        <v>0</v>
      </c>
      <c r="S632" s="51" t="s">
        <v>3129</v>
      </c>
      <c r="T632" s="51" t="s">
        <v>3129</v>
      </c>
      <c r="U632" s="51" t="s">
        <v>2450</v>
      </c>
      <c r="V632" s="51" t="s">
        <v>2205</v>
      </c>
      <c r="X632" s="51"/>
    </row>
    <row r="633" customFormat="false" ht="14.25" hidden="false" customHeight="false" outlineLevel="0" collapsed="false">
      <c r="A633" s="49" t="s">
        <v>2251</v>
      </c>
      <c r="B633" s="49" t="s">
        <v>14</v>
      </c>
      <c r="C633" s="49" t="s">
        <v>1270</v>
      </c>
      <c r="D633" s="49" t="s">
        <v>2441</v>
      </c>
      <c r="E633" s="49" t="s">
        <v>2450</v>
      </c>
      <c r="F633" s="49" t="s">
        <v>194</v>
      </c>
      <c r="G633" s="49" t="n">
        <v>24</v>
      </c>
      <c r="H633" s="0" t="n">
        <v>0</v>
      </c>
      <c r="I633" s="51" t="s">
        <v>3141</v>
      </c>
      <c r="J633" s="49" t="s">
        <v>2463</v>
      </c>
      <c r="K633" s="52" t="n">
        <v>47628</v>
      </c>
      <c r="M633" s="51" t="s">
        <v>3135</v>
      </c>
      <c r="N633" s="0" t="n">
        <v>24</v>
      </c>
      <c r="O633" s="53" t="n">
        <v>46065.6358333333</v>
      </c>
      <c r="P633" s="53" t="n">
        <v>46065.7158217593</v>
      </c>
      <c r="Q633" s="53" t="n">
        <v>46065.6358333333</v>
      </c>
      <c r="R633" s="0" t="n">
        <v>0</v>
      </c>
      <c r="S633" s="51" t="s">
        <v>3129</v>
      </c>
      <c r="T633" s="51" t="s">
        <v>3129</v>
      </c>
      <c r="U633" s="51" t="s">
        <v>2450</v>
      </c>
      <c r="V633" s="51" t="s">
        <v>2205</v>
      </c>
      <c r="X633" s="51"/>
    </row>
    <row r="634" customFormat="false" ht="14.25" hidden="false" customHeight="false" outlineLevel="0" collapsed="false">
      <c r="A634" s="49" t="s">
        <v>2251</v>
      </c>
      <c r="B634" s="49" t="s">
        <v>14</v>
      </c>
      <c r="C634" s="49" t="s">
        <v>423</v>
      </c>
      <c r="D634" s="49" t="s">
        <v>2441</v>
      </c>
      <c r="E634" s="49" t="s">
        <v>2450</v>
      </c>
      <c r="F634" s="49" t="s">
        <v>194</v>
      </c>
      <c r="G634" s="49" t="n">
        <v>24</v>
      </c>
      <c r="H634" s="0" t="n">
        <v>0</v>
      </c>
      <c r="I634" s="51" t="s">
        <v>3142</v>
      </c>
      <c r="J634" s="49" t="s">
        <v>2463</v>
      </c>
      <c r="K634" s="52" t="n">
        <v>47628</v>
      </c>
      <c r="M634" s="51" t="s">
        <v>3133</v>
      </c>
      <c r="N634" s="0" t="n">
        <v>24</v>
      </c>
      <c r="O634" s="53" t="n">
        <v>46054.4370486111</v>
      </c>
      <c r="P634" s="53" t="n">
        <v>46068.7548842593</v>
      </c>
      <c r="Q634" s="53" t="n">
        <v>46054.4370486111</v>
      </c>
      <c r="R634" s="0" t="n">
        <v>0</v>
      </c>
      <c r="S634" s="51" t="s">
        <v>3129</v>
      </c>
      <c r="T634" s="51" t="s">
        <v>3129</v>
      </c>
      <c r="U634" s="51" t="s">
        <v>2450</v>
      </c>
      <c r="V634" s="51" t="s">
        <v>2205</v>
      </c>
      <c r="W634" s="51" t="s">
        <v>3143</v>
      </c>
      <c r="X634" s="51"/>
    </row>
    <row r="635" customFormat="false" ht="14.25" hidden="false" customHeight="false" outlineLevel="0" collapsed="false">
      <c r="A635" s="49" t="s">
        <v>2251</v>
      </c>
      <c r="B635" s="49" t="s">
        <v>14</v>
      </c>
      <c r="C635" s="49" t="s">
        <v>418</v>
      </c>
      <c r="D635" s="49" t="s">
        <v>2441</v>
      </c>
      <c r="E635" s="49" t="s">
        <v>2450</v>
      </c>
      <c r="F635" s="49" t="s">
        <v>194</v>
      </c>
      <c r="G635" s="49" t="n">
        <v>24</v>
      </c>
      <c r="H635" s="0" t="n">
        <v>0</v>
      </c>
      <c r="I635" s="51" t="s">
        <v>3144</v>
      </c>
      <c r="J635" s="49" t="s">
        <v>2463</v>
      </c>
      <c r="K635" s="52" t="n">
        <v>47628</v>
      </c>
      <c r="M635" s="51" t="s">
        <v>3133</v>
      </c>
      <c r="N635" s="0" t="n">
        <v>24</v>
      </c>
      <c r="O635" s="53" t="n">
        <v>46054.4169328704</v>
      </c>
      <c r="P635" s="53" t="n">
        <v>46056.3410069444</v>
      </c>
      <c r="Q635" s="53" t="n">
        <v>46054.4169328704</v>
      </c>
      <c r="R635" s="0" t="n">
        <v>0</v>
      </c>
      <c r="S635" s="51" t="s">
        <v>3129</v>
      </c>
      <c r="T635" s="51" t="s">
        <v>3129</v>
      </c>
      <c r="U635" s="51" t="s">
        <v>2450</v>
      </c>
      <c r="V635" s="51" t="s">
        <v>2205</v>
      </c>
      <c r="X635" s="51"/>
    </row>
    <row r="636" customFormat="false" ht="14.25" hidden="false" customHeight="false" outlineLevel="0" collapsed="false">
      <c r="A636" s="49" t="s">
        <v>2251</v>
      </c>
      <c r="B636" s="49" t="s">
        <v>14</v>
      </c>
      <c r="C636" s="49" t="s">
        <v>438</v>
      </c>
      <c r="D636" s="49" t="s">
        <v>2441</v>
      </c>
      <c r="E636" s="49" t="s">
        <v>2450</v>
      </c>
      <c r="F636" s="49" t="s">
        <v>194</v>
      </c>
      <c r="G636" s="49" t="n">
        <v>24</v>
      </c>
      <c r="H636" s="0" t="n">
        <v>0</v>
      </c>
      <c r="I636" s="51" t="s">
        <v>2275</v>
      </c>
      <c r="J636" s="49" t="s">
        <v>2452</v>
      </c>
      <c r="K636" s="52" t="n">
        <v>47628</v>
      </c>
      <c r="M636" s="51" t="s">
        <v>3133</v>
      </c>
      <c r="N636" s="0" t="n">
        <v>24</v>
      </c>
      <c r="O636" s="53" t="n">
        <v>46054.4191782407</v>
      </c>
      <c r="P636" s="53" t="n">
        <v>46068.7209259259</v>
      </c>
      <c r="Q636" s="53" t="n">
        <v>46054.4191782407</v>
      </c>
      <c r="R636" s="0" t="n">
        <v>0</v>
      </c>
      <c r="S636" s="51" t="s">
        <v>3129</v>
      </c>
      <c r="T636" s="51" t="s">
        <v>3129</v>
      </c>
      <c r="U636" s="51" t="s">
        <v>2450</v>
      </c>
      <c r="V636" s="51" t="s">
        <v>2205</v>
      </c>
      <c r="W636" s="51" t="s">
        <v>3134</v>
      </c>
      <c r="X636" s="51"/>
    </row>
    <row r="637" customFormat="false" ht="14.25" hidden="false" customHeight="false" outlineLevel="0" collapsed="false">
      <c r="A637" s="49" t="s">
        <v>2251</v>
      </c>
      <c r="B637" s="49" t="s">
        <v>14</v>
      </c>
      <c r="C637" s="49" t="s">
        <v>436</v>
      </c>
      <c r="D637" s="49" t="s">
        <v>2441</v>
      </c>
      <c r="E637" s="49" t="s">
        <v>2450</v>
      </c>
      <c r="F637" s="49" t="s">
        <v>194</v>
      </c>
      <c r="G637" s="49" t="n">
        <v>24</v>
      </c>
      <c r="H637" s="0" t="n">
        <v>0</v>
      </c>
      <c r="I637" s="51" t="s">
        <v>3145</v>
      </c>
      <c r="J637" s="49" t="s">
        <v>2463</v>
      </c>
      <c r="K637" s="52" t="n">
        <v>47628</v>
      </c>
      <c r="M637" s="51" t="s">
        <v>3133</v>
      </c>
      <c r="N637" s="0" t="n">
        <v>24</v>
      </c>
      <c r="O637" s="53" t="n">
        <v>46054.4203240741</v>
      </c>
      <c r="P637" s="53" t="n">
        <v>46068.7540972222</v>
      </c>
      <c r="Q637" s="53" t="n">
        <v>46054.4203240741</v>
      </c>
      <c r="R637" s="0" t="n">
        <v>0</v>
      </c>
      <c r="S637" s="51" t="s">
        <v>3129</v>
      </c>
      <c r="T637" s="51" t="s">
        <v>3129</v>
      </c>
      <c r="U637" s="51" t="s">
        <v>2450</v>
      </c>
      <c r="V637" s="51" t="s">
        <v>2205</v>
      </c>
      <c r="W637" s="51" t="s">
        <v>3143</v>
      </c>
      <c r="X637" s="51"/>
    </row>
    <row r="638" customFormat="false" ht="14.25" hidden="false" customHeight="false" outlineLevel="0" collapsed="false">
      <c r="A638" s="49" t="s">
        <v>2251</v>
      </c>
      <c r="B638" s="49" t="s">
        <v>14</v>
      </c>
      <c r="C638" s="49" t="s">
        <v>434</v>
      </c>
      <c r="D638" s="49" t="s">
        <v>2441</v>
      </c>
      <c r="E638" s="49" t="s">
        <v>2450</v>
      </c>
      <c r="F638" s="49" t="s">
        <v>194</v>
      </c>
      <c r="G638" s="49" t="n">
        <v>24</v>
      </c>
      <c r="H638" s="0" t="n">
        <v>0</v>
      </c>
      <c r="I638" s="51" t="s">
        <v>3146</v>
      </c>
      <c r="J638" s="49" t="s">
        <v>2463</v>
      </c>
      <c r="K638" s="52" t="n">
        <v>47628</v>
      </c>
      <c r="M638" s="51" t="s">
        <v>3133</v>
      </c>
      <c r="N638" s="0" t="n">
        <v>24</v>
      </c>
      <c r="O638" s="53" t="n">
        <v>46054.4220949074</v>
      </c>
      <c r="P638" s="53" t="n">
        <v>46068.7564814815</v>
      </c>
      <c r="Q638" s="53" t="n">
        <v>46054.4220949074</v>
      </c>
      <c r="R638" s="0" t="n">
        <v>0</v>
      </c>
      <c r="S638" s="51" t="s">
        <v>3129</v>
      </c>
      <c r="T638" s="51" t="s">
        <v>3129</v>
      </c>
      <c r="U638" s="51" t="s">
        <v>2450</v>
      </c>
      <c r="V638" s="51" t="s">
        <v>2205</v>
      </c>
      <c r="W638" s="51" t="s">
        <v>3143</v>
      </c>
      <c r="X638" s="51"/>
    </row>
    <row r="639" customFormat="false" ht="14.25" hidden="false" customHeight="false" outlineLevel="0" collapsed="false">
      <c r="A639" s="49" t="s">
        <v>2251</v>
      </c>
      <c r="B639" s="49" t="s">
        <v>14</v>
      </c>
      <c r="C639" s="49" t="s">
        <v>432</v>
      </c>
      <c r="D639" s="49" t="s">
        <v>2441</v>
      </c>
      <c r="E639" s="49" t="s">
        <v>2450</v>
      </c>
      <c r="F639" s="49" t="s">
        <v>194</v>
      </c>
      <c r="G639" s="49" t="n">
        <v>24</v>
      </c>
      <c r="H639" s="0" t="n">
        <v>0</v>
      </c>
      <c r="I639" s="51" t="s">
        <v>3147</v>
      </c>
      <c r="J639" s="49" t="s">
        <v>2452</v>
      </c>
      <c r="K639" s="52" t="n">
        <v>47628</v>
      </c>
      <c r="M639" s="51" t="s">
        <v>3133</v>
      </c>
      <c r="N639" s="0" t="n">
        <v>24</v>
      </c>
      <c r="O639" s="53" t="n">
        <v>46054.4237731482</v>
      </c>
      <c r="P639" s="53" t="n">
        <v>46068.7390972222</v>
      </c>
      <c r="Q639" s="53" t="n">
        <v>46054.4237731482</v>
      </c>
      <c r="R639" s="0" t="n">
        <v>0</v>
      </c>
      <c r="S639" s="51" t="s">
        <v>3129</v>
      </c>
      <c r="T639" s="51" t="s">
        <v>3129</v>
      </c>
      <c r="U639" s="51" t="s">
        <v>2450</v>
      </c>
      <c r="V639" s="51" t="s">
        <v>2205</v>
      </c>
      <c r="W639" s="51" t="s">
        <v>3134</v>
      </c>
      <c r="X639" s="51"/>
    </row>
    <row r="640" customFormat="false" ht="14.25" hidden="false" customHeight="false" outlineLevel="0" collapsed="false">
      <c r="A640" s="49" t="s">
        <v>2251</v>
      </c>
      <c r="B640" s="49" t="s">
        <v>14</v>
      </c>
      <c r="C640" s="49" t="s">
        <v>430</v>
      </c>
      <c r="D640" s="49" t="s">
        <v>2441</v>
      </c>
      <c r="E640" s="49" t="s">
        <v>2450</v>
      </c>
      <c r="F640" s="49" t="s">
        <v>194</v>
      </c>
      <c r="G640" s="49" t="n">
        <v>24</v>
      </c>
      <c r="H640" s="0" t="n">
        <v>0</v>
      </c>
      <c r="I640" s="51" t="s">
        <v>3148</v>
      </c>
      <c r="J640" s="49" t="s">
        <v>2463</v>
      </c>
      <c r="K640" s="52" t="n">
        <v>47628</v>
      </c>
      <c r="M640" s="51" t="s">
        <v>3133</v>
      </c>
      <c r="N640" s="0" t="n">
        <v>24</v>
      </c>
      <c r="O640" s="53" t="n">
        <v>46054.4253356482</v>
      </c>
      <c r="P640" s="53" t="n">
        <v>46068.7576157407</v>
      </c>
      <c r="Q640" s="53" t="n">
        <v>46054.4253356482</v>
      </c>
      <c r="R640" s="0" t="n">
        <v>0</v>
      </c>
      <c r="S640" s="51" t="s">
        <v>3129</v>
      </c>
      <c r="T640" s="51" t="s">
        <v>3129</v>
      </c>
      <c r="U640" s="51" t="s">
        <v>2450</v>
      </c>
      <c r="V640" s="51" t="s">
        <v>2205</v>
      </c>
      <c r="W640" s="51" t="s">
        <v>3143</v>
      </c>
      <c r="X640" s="51"/>
    </row>
    <row r="641" customFormat="false" ht="14.25" hidden="false" customHeight="false" outlineLevel="0" collapsed="false">
      <c r="A641" s="49" t="s">
        <v>2251</v>
      </c>
      <c r="B641" s="49" t="s">
        <v>14</v>
      </c>
      <c r="C641" s="49" t="s">
        <v>429</v>
      </c>
      <c r="D641" s="49" t="s">
        <v>2441</v>
      </c>
      <c r="E641" s="49" t="s">
        <v>2450</v>
      </c>
      <c r="F641" s="49" t="s">
        <v>194</v>
      </c>
      <c r="G641" s="49" t="n">
        <v>24</v>
      </c>
      <c r="H641" s="0" t="n">
        <v>0</v>
      </c>
      <c r="I641" s="51" t="s">
        <v>3149</v>
      </c>
      <c r="J641" s="49" t="s">
        <v>3150</v>
      </c>
      <c r="K641" s="52" t="n">
        <v>47628</v>
      </c>
      <c r="M641" s="51" t="s">
        <v>3133</v>
      </c>
      <c r="N641" s="0" t="n">
        <v>24</v>
      </c>
      <c r="O641" s="53" t="n">
        <v>46054.4277777778</v>
      </c>
      <c r="P641" s="53" t="n">
        <v>46057.7909490741</v>
      </c>
      <c r="Q641" s="53" t="n">
        <v>46054.4277777778</v>
      </c>
      <c r="R641" s="0" t="n">
        <v>0</v>
      </c>
      <c r="S641" s="51" t="s">
        <v>3129</v>
      </c>
      <c r="T641" s="51" t="s">
        <v>3129</v>
      </c>
      <c r="U641" s="51" t="s">
        <v>2450</v>
      </c>
      <c r="V641" s="51" t="s">
        <v>2205</v>
      </c>
      <c r="W641" s="51" t="s">
        <v>3151</v>
      </c>
      <c r="X641" s="51"/>
    </row>
    <row r="642" customFormat="false" ht="14.25" hidden="false" customHeight="false" outlineLevel="0" collapsed="false">
      <c r="A642" s="49" t="s">
        <v>2251</v>
      </c>
      <c r="B642" s="49" t="s">
        <v>14</v>
      </c>
      <c r="C642" s="49" t="s">
        <v>428</v>
      </c>
      <c r="D642" s="49" t="s">
        <v>2441</v>
      </c>
      <c r="E642" s="49" t="s">
        <v>2450</v>
      </c>
      <c r="F642" s="49" t="s">
        <v>194</v>
      </c>
      <c r="G642" s="49" t="n">
        <v>24</v>
      </c>
      <c r="H642" s="0" t="n">
        <v>0</v>
      </c>
      <c r="I642" s="51" t="s">
        <v>3152</v>
      </c>
      <c r="J642" s="49" t="s">
        <v>2463</v>
      </c>
      <c r="K642" s="52" t="n">
        <v>47628</v>
      </c>
      <c r="M642" s="51" t="s">
        <v>3133</v>
      </c>
      <c r="N642" s="0" t="n">
        <v>24</v>
      </c>
      <c r="O642" s="53" t="n">
        <v>46054.4332060185</v>
      </c>
      <c r="P642" s="53" t="n">
        <v>46068.7228125</v>
      </c>
      <c r="Q642" s="53" t="n">
        <v>46054.4332060185</v>
      </c>
      <c r="R642" s="0" t="n">
        <v>0</v>
      </c>
      <c r="S642" s="51" t="s">
        <v>3129</v>
      </c>
      <c r="T642" s="51" t="s">
        <v>3129</v>
      </c>
      <c r="U642" s="51" t="s">
        <v>2450</v>
      </c>
      <c r="V642" s="51" t="s">
        <v>2205</v>
      </c>
      <c r="W642" s="51" t="s">
        <v>3143</v>
      </c>
      <c r="X642" s="51"/>
    </row>
    <row r="643" customFormat="false" ht="14.25" hidden="false" customHeight="false" outlineLevel="0" collapsed="false">
      <c r="A643" s="49" t="s">
        <v>2251</v>
      </c>
      <c r="B643" s="49" t="s">
        <v>14</v>
      </c>
      <c r="C643" s="49" t="s">
        <v>425</v>
      </c>
      <c r="D643" s="49" t="s">
        <v>2441</v>
      </c>
      <c r="E643" s="49" t="s">
        <v>2450</v>
      </c>
      <c r="F643" s="49" t="s">
        <v>194</v>
      </c>
      <c r="G643" s="49" t="n">
        <v>24</v>
      </c>
      <c r="H643" s="0" t="n">
        <v>0</v>
      </c>
      <c r="I643" s="51" t="s">
        <v>3153</v>
      </c>
      <c r="J643" s="49" t="s">
        <v>2452</v>
      </c>
      <c r="K643" s="52" t="n">
        <v>47628</v>
      </c>
      <c r="M643" s="51" t="s">
        <v>3133</v>
      </c>
      <c r="N643" s="0" t="n">
        <v>24</v>
      </c>
      <c r="O643" s="53" t="n">
        <v>46054.4347569444</v>
      </c>
      <c r="P643" s="53" t="n">
        <v>46068.3749189815</v>
      </c>
      <c r="Q643" s="53" t="n">
        <v>46054.4347569444</v>
      </c>
      <c r="R643" s="0" t="n">
        <v>0</v>
      </c>
      <c r="S643" s="51" t="s">
        <v>3129</v>
      </c>
      <c r="T643" s="51" t="s">
        <v>3129</v>
      </c>
      <c r="U643" s="51" t="s">
        <v>2450</v>
      </c>
      <c r="V643" s="51" t="s">
        <v>2205</v>
      </c>
      <c r="W643" s="51" t="s">
        <v>3134</v>
      </c>
      <c r="X643" s="51"/>
    </row>
    <row r="644" customFormat="false" ht="14.25" hidden="false" customHeight="false" outlineLevel="0" collapsed="false">
      <c r="A644" s="49" t="s">
        <v>2251</v>
      </c>
      <c r="B644" s="49" t="s">
        <v>14</v>
      </c>
      <c r="C644" s="49" t="s">
        <v>146</v>
      </c>
      <c r="D644" s="49" t="s">
        <v>2441</v>
      </c>
      <c r="E644" s="49" t="s">
        <v>2477</v>
      </c>
      <c r="F644" s="49" t="s">
        <v>47</v>
      </c>
      <c r="G644" s="49" t="n">
        <v>4</v>
      </c>
      <c r="H644" s="0" t="n">
        <v>0</v>
      </c>
      <c r="I644" s="51" t="s">
        <v>3154</v>
      </c>
      <c r="J644" s="49" t="s">
        <v>2479</v>
      </c>
      <c r="K644" s="52" t="n">
        <v>47683</v>
      </c>
      <c r="M644" s="51" t="s">
        <v>3155</v>
      </c>
      <c r="N644" s="0" t="n">
        <v>4</v>
      </c>
      <c r="O644" s="53" t="n">
        <v>46050.3459837963</v>
      </c>
      <c r="P644" s="53" t="n">
        <v>46056.6971296296</v>
      </c>
      <c r="Q644" s="53" t="n">
        <v>46050.3459837963</v>
      </c>
      <c r="R644" s="0" t="n">
        <v>0</v>
      </c>
      <c r="S644" s="51" t="s">
        <v>3129</v>
      </c>
      <c r="T644" s="51" t="s">
        <v>3129</v>
      </c>
      <c r="U644" s="51" t="s">
        <v>2477</v>
      </c>
      <c r="V644" s="51" t="s">
        <v>2142</v>
      </c>
      <c r="X644" s="51"/>
    </row>
    <row r="645" customFormat="false" ht="14.25" hidden="false" customHeight="false" outlineLevel="0" collapsed="false">
      <c r="A645" s="49" t="s">
        <v>2251</v>
      </c>
      <c r="B645" s="49" t="s">
        <v>14</v>
      </c>
      <c r="C645" s="49" t="s">
        <v>1017</v>
      </c>
      <c r="D645" s="49" t="s">
        <v>2441</v>
      </c>
      <c r="E645" s="49" t="s">
        <v>2477</v>
      </c>
      <c r="F645" s="49" t="s">
        <v>47</v>
      </c>
      <c r="G645" s="49" t="n">
        <v>4</v>
      </c>
      <c r="H645" s="0" t="n">
        <v>0</v>
      </c>
      <c r="I645" s="51" t="s">
        <v>3156</v>
      </c>
      <c r="J645" s="49" t="s">
        <v>2479</v>
      </c>
      <c r="K645" s="52" t="n">
        <v>47683</v>
      </c>
      <c r="M645" s="51" t="s">
        <v>3157</v>
      </c>
      <c r="N645" s="0" t="n">
        <v>4</v>
      </c>
      <c r="O645" s="53" t="n">
        <v>46060.5837384259</v>
      </c>
      <c r="P645" s="53" t="n">
        <v>46061.4552430556</v>
      </c>
      <c r="Q645" s="53" t="n">
        <v>46060.5837384259</v>
      </c>
      <c r="R645" s="0" t="n">
        <v>0</v>
      </c>
      <c r="S645" s="51" t="s">
        <v>3129</v>
      </c>
      <c r="T645" s="51" t="s">
        <v>3129</v>
      </c>
      <c r="U645" s="51" t="s">
        <v>2477</v>
      </c>
      <c r="V645" s="51" t="s">
        <v>2142</v>
      </c>
      <c r="X645" s="51"/>
    </row>
    <row r="646" customFormat="false" ht="14.25" hidden="true" customHeight="false" outlineLevel="0" collapsed="false">
      <c r="A646" s="49" t="s">
        <v>2251</v>
      </c>
      <c r="B646" s="49" t="s">
        <v>14</v>
      </c>
      <c r="C646" s="49" t="s">
        <v>534</v>
      </c>
      <c r="D646" s="49" t="s">
        <v>2441</v>
      </c>
      <c r="E646" s="49" t="s">
        <v>2477</v>
      </c>
      <c r="F646" s="49" t="s">
        <v>47</v>
      </c>
      <c r="G646" s="49" t="n">
        <v>4</v>
      </c>
      <c r="H646" s="0" t="n">
        <v>0</v>
      </c>
      <c r="I646" s="51" t="s">
        <v>3158</v>
      </c>
      <c r="J646" s="49" t="s">
        <v>2479</v>
      </c>
      <c r="K646" s="52" t="n">
        <v>47683</v>
      </c>
      <c r="M646" s="51" t="s">
        <v>3128</v>
      </c>
      <c r="N646" s="49" t="n">
        <v>4</v>
      </c>
      <c r="O646" s="53" t="n">
        <v>46055.5796412037</v>
      </c>
      <c r="P646" s="53" t="n">
        <v>46056.4329861111</v>
      </c>
      <c r="Q646" s="53" t="n">
        <v>46055.5796412037</v>
      </c>
      <c r="R646" s="0" t="n">
        <v>0</v>
      </c>
      <c r="S646" s="51" t="s">
        <v>3129</v>
      </c>
      <c r="T646" s="51" t="s">
        <v>3129</v>
      </c>
      <c r="U646" s="51" t="s">
        <v>2477</v>
      </c>
      <c r="V646" s="51" t="s">
        <v>2142</v>
      </c>
      <c r="W646" s="51"/>
      <c r="X646" s="51"/>
    </row>
    <row r="647" customFormat="false" ht="14.25" hidden="true" customHeight="false" outlineLevel="0" collapsed="false">
      <c r="A647" s="49" t="s">
        <v>2251</v>
      </c>
      <c r="B647" s="49" t="s">
        <v>14</v>
      </c>
      <c r="C647" s="49" t="s">
        <v>533</v>
      </c>
      <c r="D647" s="49" t="s">
        <v>2441</v>
      </c>
      <c r="E647" s="49" t="s">
        <v>2477</v>
      </c>
      <c r="F647" s="49" t="s">
        <v>47</v>
      </c>
      <c r="G647" s="49" t="n">
        <v>4</v>
      </c>
      <c r="H647" s="0" t="n">
        <v>0</v>
      </c>
      <c r="I647" s="51" t="s">
        <v>3159</v>
      </c>
      <c r="J647" s="49" t="s">
        <v>2479</v>
      </c>
      <c r="K647" s="52" t="n">
        <v>47683</v>
      </c>
      <c r="M647" s="51" t="s">
        <v>3128</v>
      </c>
      <c r="N647" s="49" t="n">
        <v>4</v>
      </c>
      <c r="O647" s="53" t="n">
        <v>46055.5808333333</v>
      </c>
      <c r="P647" s="53" t="n">
        <v>46056.4316782407</v>
      </c>
      <c r="Q647" s="53" t="n">
        <v>46055.5808333333</v>
      </c>
      <c r="R647" s="0" t="n">
        <v>0</v>
      </c>
      <c r="S647" s="51" t="s">
        <v>3129</v>
      </c>
      <c r="T647" s="51" t="s">
        <v>3129</v>
      </c>
      <c r="U647" s="51" t="s">
        <v>2477</v>
      </c>
      <c r="V647" s="51" t="s">
        <v>2142</v>
      </c>
      <c r="W647" s="51" t="s">
        <v>3160</v>
      </c>
      <c r="X647" s="51"/>
    </row>
    <row r="648" customFormat="false" ht="14.25" hidden="true" customHeight="false" outlineLevel="0" collapsed="false">
      <c r="A648" s="49" t="s">
        <v>2251</v>
      </c>
      <c r="B648" s="49" t="s">
        <v>14</v>
      </c>
      <c r="C648" s="49" t="s">
        <v>156</v>
      </c>
      <c r="D648" s="49" t="s">
        <v>2441</v>
      </c>
      <c r="E648" s="49" t="s">
        <v>2477</v>
      </c>
      <c r="F648" s="49" t="s">
        <v>47</v>
      </c>
      <c r="G648" s="49" t="n">
        <v>4</v>
      </c>
      <c r="H648" s="0" t="n">
        <v>0</v>
      </c>
      <c r="I648" s="51" t="s">
        <v>3161</v>
      </c>
      <c r="J648" s="49" t="s">
        <v>2479</v>
      </c>
      <c r="K648" s="52" t="n">
        <v>47683</v>
      </c>
      <c r="M648" s="51" t="s">
        <v>3155</v>
      </c>
      <c r="N648" s="49" t="n">
        <v>4</v>
      </c>
      <c r="O648" s="53" t="n">
        <v>46050.3352199074</v>
      </c>
      <c r="P648" s="53" t="n">
        <v>46056.7473263889</v>
      </c>
      <c r="Q648" s="53" t="n">
        <v>46050.3352199074</v>
      </c>
      <c r="R648" s="0" t="n">
        <v>0</v>
      </c>
      <c r="S648" s="51" t="s">
        <v>3129</v>
      </c>
      <c r="T648" s="51" t="s">
        <v>3129</v>
      </c>
      <c r="U648" s="51" t="s">
        <v>2477</v>
      </c>
      <c r="V648" s="51" t="s">
        <v>2142</v>
      </c>
      <c r="W648" s="51"/>
      <c r="X648" s="51"/>
    </row>
    <row r="649" customFormat="false" ht="14.25" hidden="true" customHeight="false" outlineLevel="0" collapsed="false">
      <c r="A649" s="49" t="s">
        <v>2251</v>
      </c>
      <c r="B649" s="49" t="s">
        <v>14</v>
      </c>
      <c r="C649" s="49" t="s">
        <v>155</v>
      </c>
      <c r="D649" s="49" t="s">
        <v>2441</v>
      </c>
      <c r="E649" s="49" t="s">
        <v>2477</v>
      </c>
      <c r="F649" s="49" t="s">
        <v>47</v>
      </c>
      <c r="G649" s="49" t="n">
        <v>4</v>
      </c>
      <c r="H649" s="0" t="n">
        <v>0</v>
      </c>
      <c r="I649" s="51" t="s">
        <v>3161</v>
      </c>
      <c r="J649" s="49" t="s">
        <v>2479</v>
      </c>
      <c r="K649" s="52" t="n">
        <v>47683</v>
      </c>
      <c r="M649" s="51" t="s">
        <v>3155</v>
      </c>
      <c r="N649" s="49" t="n">
        <v>4</v>
      </c>
      <c r="O649" s="53" t="n">
        <v>46050.3359027778</v>
      </c>
      <c r="P649" s="53" t="n">
        <v>46056.748275463</v>
      </c>
      <c r="Q649" s="53" t="n">
        <v>46050.3359027778</v>
      </c>
      <c r="R649" s="0" t="n">
        <v>0</v>
      </c>
      <c r="S649" s="51" t="s">
        <v>3129</v>
      </c>
      <c r="T649" s="51" t="s">
        <v>3129</v>
      </c>
      <c r="U649" s="51" t="s">
        <v>2477</v>
      </c>
      <c r="V649" s="51" t="s">
        <v>2142</v>
      </c>
      <c r="W649" s="51"/>
      <c r="X649" s="51"/>
    </row>
    <row r="650" customFormat="false" ht="14.25" hidden="true" customHeight="false" outlineLevel="0" collapsed="false">
      <c r="A650" s="49" t="s">
        <v>2251</v>
      </c>
      <c r="B650" s="49" t="s">
        <v>14</v>
      </c>
      <c r="C650" s="49" t="s">
        <v>154</v>
      </c>
      <c r="D650" s="49" t="s">
        <v>2441</v>
      </c>
      <c r="E650" s="49" t="s">
        <v>2477</v>
      </c>
      <c r="F650" s="49" t="s">
        <v>47</v>
      </c>
      <c r="G650" s="49" t="n">
        <v>4</v>
      </c>
      <c r="H650" s="0" t="n">
        <v>0</v>
      </c>
      <c r="I650" s="51" t="s">
        <v>3161</v>
      </c>
      <c r="J650" s="49" t="s">
        <v>2479</v>
      </c>
      <c r="K650" s="52" t="n">
        <v>47683</v>
      </c>
      <c r="M650" s="51" t="s">
        <v>3155</v>
      </c>
      <c r="N650" s="49" t="n">
        <v>4</v>
      </c>
      <c r="O650" s="53" t="n">
        <v>46050.3365162037</v>
      </c>
      <c r="P650" s="53" t="n">
        <v>46056.7735185185</v>
      </c>
      <c r="Q650" s="53" t="n">
        <v>46050.3365162037</v>
      </c>
      <c r="R650" s="0" t="n">
        <v>0</v>
      </c>
      <c r="S650" s="51" t="s">
        <v>3129</v>
      </c>
      <c r="T650" s="51" t="s">
        <v>3129</v>
      </c>
      <c r="U650" s="51" t="s">
        <v>2477</v>
      </c>
      <c r="V650" s="51" t="s">
        <v>2142</v>
      </c>
      <c r="W650" s="51"/>
      <c r="X650" s="51"/>
    </row>
    <row r="651" customFormat="false" ht="14.25" hidden="true" customHeight="false" outlineLevel="0" collapsed="false">
      <c r="A651" s="49" t="s">
        <v>2251</v>
      </c>
      <c r="B651" s="49" t="s">
        <v>14</v>
      </c>
      <c r="C651" s="49" t="s">
        <v>153</v>
      </c>
      <c r="D651" s="49" t="s">
        <v>2441</v>
      </c>
      <c r="E651" s="49" t="s">
        <v>2477</v>
      </c>
      <c r="F651" s="49" t="s">
        <v>47</v>
      </c>
      <c r="G651" s="49" t="n">
        <v>4</v>
      </c>
      <c r="H651" s="0" t="n">
        <v>0</v>
      </c>
      <c r="I651" s="51" t="s">
        <v>3154</v>
      </c>
      <c r="J651" s="49" t="s">
        <v>2479</v>
      </c>
      <c r="K651" s="52" t="n">
        <v>47683</v>
      </c>
      <c r="M651" s="51" t="s">
        <v>3155</v>
      </c>
      <c r="N651" s="49" t="n">
        <v>4</v>
      </c>
      <c r="O651" s="53" t="n">
        <v>46050.3373032407</v>
      </c>
      <c r="P651" s="53" t="n">
        <v>46056.6974074074</v>
      </c>
      <c r="Q651" s="53" t="n">
        <v>46050.3373032407</v>
      </c>
      <c r="R651" s="0" t="n">
        <v>0</v>
      </c>
      <c r="S651" s="51" t="s">
        <v>3129</v>
      </c>
      <c r="T651" s="51" t="s">
        <v>3129</v>
      </c>
      <c r="U651" s="51" t="s">
        <v>2477</v>
      </c>
      <c r="V651" s="51" t="s">
        <v>2142</v>
      </c>
      <c r="W651" s="51"/>
      <c r="X651" s="51"/>
    </row>
    <row r="652" customFormat="false" ht="14.25" hidden="true" customHeight="false" outlineLevel="0" collapsed="false">
      <c r="A652" s="49" t="s">
        <v>2251</v>
      </c>
      <c r="B652" s="49" t="s">
        <v>14</v>
      </c>
      <c r="C652" s="49" t="s">
        <v>152</v>
      </c>
      <c r="D652" s="49" t="s">
        <v>2441</v>
      </c>
      <c r="E652" s="49" t="s">
        <v>2477</v>
      </c>
      <c r="F652" s="49" t="s">
        <v>47</v>
      </c>
      <c r="G652" s="49" t="n">
        <v>4</v>
      </c>
      <c r="H652" s="0" t="n">
        <v>0</v>
      </c>
      <c r="I652" s="51" t="s">
        <v>3154</v>
      </c>
      <c r="J652" s="49" t="s">
        <v>2479</v>
      </c>
      <c r="K652" s="52" t="n">
        <v>47683</v>
      </c>
      <c r="M652" s="51" t="s">
        <v>3155</v>
      </c>
      <c r="N652" s="49" t="n">
        <v>4</v>
      </c>
      <c r="O652" s="53" t="n">
        <v>46050.3380555556</v>
      </c>
      <c r="P652" s="53" t="n">
        <v>46056.6963657407</v>
      </c>
      <c r="Q652" s="53" t="n">
        <v>46050.3380555556</v>
      </c>
      <c r="R652" s="0" t="n">
        <v>0</v>
      </c>
      <c r="S652" s="51" t="s">
        <v>3129</v>
      </c>
      <c r="T652" s="51" t="s">
        <v>3129</v>
      </c>
      <c r="U652" s="51" t="s">
        <v>2477</v>
      </c>
      <c r="V652" s="51" t="s">
        <v>2142</v>
      </c>
      <c r="W652" s="51"/>
      <c r="X652" s="51"/>
    </row>
    <row r="653" customFormat="false" ht="14.25" hidden="false" customHeight="false" outlineLevel="0" collapsed="false">
      <c r="A653" s="49" t="s">
        <v>2251</v>
      </c>
      <c r="B653" s="49" t="s">
        <v>14</v>
      </c>
      <c r="C653" s="49" t="s">
        <v>148</v>
      </c>
      <c r="D653" s="49" t="s">
        <v>2441</v>
      </c>
      <c r="E653" s="49" t="s">
        <v>2477</v>
      </c>
      <c r="F653" s="49" t="s">
        <v>47</v>
      </c>
      <c r="G653" s="49" t="n">
        <v>4</v>
      </c>
      <c r="H653" s="0" t="n">
        <v>0</v>
      </c>
      <c r="I653" s="51" t="s">
        <v>3154</v>
      </c>
      <c r="J653" s="49" t="s">
        <v>2479</v>
      </c>
      <c r="K653" s="52" t="n">
        <v>47683</v>
      </c>
      <c r="M653" s="51" t="s">
        <v>3155</v>
      </c>
      <c r="N653" s="0" t="n">
        <v>4</v>
      </c>
      <c r="O653" s="53" t="n">
        <v>46050.3444328704</v>
      </c>
      <c r="P653" s="53" t="n">
        <v>46056.6966550926</v>
      </c>
      <c r="Q653" s="53" t="n">
        <v>46050.3444328704</v>
      </c>
      <c r="R653" s="0" t="n">
        <v>0</v>
      </c>
      <c r="S653" s="51" t="s">
        <v>3129</v>
      </c>
      <c r="T653" s="51" t="s">
        <v>3129</v>
      </c>
      <c r="U653" s="51" t="s">
        <v>2477</v>
      </c>
      <c r="V653" s="51" t="s">
        <v>2142</v>
      </c>
      <c r="X653" s="51"/>
    </row>
    <row r="654" customFormat="false" ht="14.25" hidden="false" customHeight="false" outlineLevel="0" collapsed="false">
      <c r="A654" s="49" t="s">
        <v>2251</v>
      </c>
      <c r="B654" s="49" t="s">
        <v>14</v>
      </c>
      <c r="C654" s="49" t="s">
        <v>147</v>
      </c>
      <c r="D654" s="49" t="s">
        <v>2441</v>
      </c>
      <c r="E654" s="49" t="s">
        <v>2477</v>
      </c>
      <c r="F654" s="49" t="s">
        <v>47</v>
      </c>
      <c r="G654" s="49" t="n">
        <v>4</v>
      </c>
      <c r="H654" s="0" t="n">
        <v>0</v>
      </c>
      <c r="I654" s="51" t="s">
        <v>3154</v>
      </c>
      <c r="J654" s="49" t="s">
        <v>2479</v>
      </c>
      <c r="K654" s="52" t="n">
        <v>47683</v>
      </c>
      <c r="M654" s="51" t="s">
        <v>3155</v>
      </c>
      <c r="N654" s="0" t="n">
        <v>4</v>
      </c>
      <c r="O654" s="53" t="n">
        <v>46050.3452083333</v>
      </c>
      <c r="P654" s="53" t="n">
        <v>46056.6978356482</v>
      </c>
      <c r="Q654" s="0" t="n">
        <v>46050.3452083333</v>
      </c>
      <c r="R654" s="0" t="n">
        <v>0</v>
      </c>
      <c r="S654" s="51" t="s">
        <v>3129</v>
      </c>
      <c r="T654" s="51" t="s">
        <v>3129</v>
      </c>
      <c r="U654" s="51" t="s">
        <v>2477</v>
      </c>
      <c r="V654" s="51" t="s">
        <v>2142</v>
      </c>
    </row>
    <row r="655" customFormat="false" ht="14.25" hidden="true" customHeight="false" outlineLevel="0" collapsed="false">
      <c r="A655" s="49" t="s">
        <v>2251</v>
      </c>
      <c r="B655" s="49" t="s">
        <v>14</v>
      </c>
      <c r="C655" s="49" t="s">
        <v>145</v>
      </c>
      <c r="D655" s="49" t="s">
        <v>2441</v>
      </c>
      <c r="E655" s="49" t="s">
        <v>2477</v>
      </c>
      <c r="F655" s="49" t="s">
        <v>47</v>
      </c>
      <c r="G655" s="49" t="n">
        <v>4</v>
      </c>
      <c r="H655" s="0" t="n">
        <v>0</v>
      </c>
      <c r="I655" s="51" t="s">
        <v>3161</v>
      </c>
      <c r="J655" s="49" t="s">
        <v>2479</v>
      </c>
      <c r="K655" s="52" t="n">
        <v>47683</v>
      </c>
      <c r="M655" s="51" t="s">
        <v>3155</v>
      </c>
      <c r="N655" s="49" t="n">
        <v>4</v>
      </c>
      <c r="O655" s="53" t="n">
        <v>46050.3467939815</v>
      </c>
      <c r="P655" s="53" t="n">
        <v>46056.7455787037</v>
      </c>
      <c r="Q655" s="53" t="n">
        <v>46050.3467939815</v>
      </c>
      <c r="R655" s="0" t="n">
        <v>0</v>
      </c>
      <c r="S655" s="51" t="s">
        <v>3129</v>
      </c>
      <c r="T655" s="51" t="s">
        <v>3129</v>
      </c>
      <c r="U655" s="51" t="s">
        <v>2477</v>
      </c>
      <c r="V655" s="51" t="s">
        <v>2142</v>
      </c>
      <c r="W655" s="51"/>
      <c r="X655" s="51"/>
    </row>
    <row r="656" customFormat="false" ht="14.25" hidden="true" customHeight="false" outlineLevel="0" collapsed="false">
      <c r="A656" s="49" t="s">
        <v>2251</v>
      </c>
      <c r="B656" s="49" t="s">
        <v>14</v>
      </c>
      <c r="C656" s="49" t="s">
        <v>142</v>
      </c>
      <c r="D656" s="49" t="s">
        <v>2441</v>
      </c>
      <c r="E656" s="49" t="s">
        <v>2477</v>
      </c>
      <c r="F656" s="49" t="s">
        <v>47</v>
      </c>
      <c r="G656" s="49" t="n">
        <v>4</v>
      </c>
      <c r="H656" s="0" t="n">
        <v>0</v>
      </c>
      <c r="I656" s="51" t="s">
        <v>3161</v>
      </c>
      <c r="J656" s="49" t="s">
        <v>2479</v>
      </c>
      <c r="K656" s="52" t="n">
        <v>47683</v>
      </c>
      <c r="M656" s="51" t="s">
        <v>3155</v>
      </c>
      <c r="N656" s="49" t="n">
        <v>4</v>
      </c>
      <c r="O656" s="53" t="n">
        <v>46050.3346180556</v>
      </c>
      <c r="P656" s="53" t="n">
        <v>46056.7486458333</v>
      </c>
      <c r="Q656" s="53" t="n">
        <v>46050.3346180556</v>
      </c>
      <c r="R656" s="0" t="n">
        <v>0</v>
      </c>
      <c r="S656" s="51" t="s">
        <v>3129</v>
      </c>
      <c r="T656" s="51" t="s">
        <v>3129</v>
      </c>
      <c r="U656" s="51" t="s">
        <v>2477</v>
      </c>
      <c r="V656" s="51" t="s">
        <v>2142</v>
      </c>
      <c r="W656" s="51"/>
      <c r="X656" s="51"/>
    </row>
    <row r="657" customFormat="false" ht="14.25" hidden="true" customHeight="false" outlineLevel="0" collapsed="false">
      <c r="A657" s="49" t="s">
        <v>2251</v>
      </c>
      <c r="B657" s="49" t="s">
        <v>14</v>
      </c>
      <c r="C657" s="49" t="s">
        <v>558</v>
      </c>
      <c r="D657" s="49" t="s">
        <v>2441</v>
      </c>
      <c r="E657" s="49" t="s">
        <v>2477</v>
      </c>
      <c r="F657" s="49" t="s">
        <v>47</v>
      </c>
      <c r="G657" s="49" t="n">
        <v>4</v>
      </c>
      <c r="H657" s="0" t="n">
        <v>0</v>
      </c>
      <c r="I657" s="51" t="s">
        <v>3162</v>
      </c>
      <c r="J657" s="49" t="s">
        <v>2493</v>
      </c>
      <c r="K657" s="52" t="n">
        <v>47685</v>
      </c>
      <c r="M657" s="51" t="s">
        <v>3128</v>
      </c>
      <c r="N657" s="49" t="n">
        <v>4</v>
      </c>
      <c r="O657" s="53" t="n">
        <v>46055.5648842593</v>
      </c>
      <c r="P657" s="53" t="n">
        <v>46056.3447916667</v>
      </c>
      <c r="Q657" s="53" t="n">
        <v>46055.5648842593</v>
      </c>
      <c r="R657" s="0" t="n">
        <v>0</v>
      </c>
      <c r="S657" s="51" t="s">
        <v>3129</v>
      </c>
      <c r="T657" s="51" t="s">
        <v>3129</v>
      </c>
      <c r="U657" s="51" t="s">
        <v>2477</v>
      </c>
      <c r="V657" s="51" t="s">
        <v>2142</v>
      </c>
      <c r="W657" s="51"/>
      <c r="X657" s="51"/>
    </row>
    <row r="658" customFormat="false" ht="14.25" hidden="true" customHeight="false" outlineLevel="0" collapsed="false">
      <c r="A658" s="49" t="s">
        <v>2251</v>
      </c>
      <c r="B658" s="49" t="s">
        <v>14</v>
      </c>
      <c r="C658" s="49" t="s">
        <v>549</v>
      </c>
      <c r="D658" s="49" t="s">
        <v>2441</v>
      </c>
      <c r="E658" s="49" t="s">
        <v>2477</v>
      </c>
      <c r="F658" s="49" t="s">
        <v>47</v>
      </c>
      <c r="G658" s="49" t="n">
        <v>4</v>
      </c>
      <c r="H658" s="0" t="n">
        <v>0</v>
      </c>
      <c r="I658" s="51" t="s">
        <v>3162</v>
      </c>
      <c r="J658" s="49" t="s">
        <v>2493</v>
      </c>
      <c r="K658" s="52" t="n">
        <v>47685</v>
      </c>
      <c r="M658" s="51" t="s">
        <v>3128</v>
      </c>
      <c r="N658" s="49" t="n">
        <v>4</v>
      </c>
      <c r="O658" s="53" t="n">
        <v>46055.5716203704</v>
      </c>
      <c r="P658" s="53" t="n">
        <v>46056.3505787037</v>
      </c>
      <c r="Q658" s="53" t="n">
        <v>46055.5716203704</v>
      </c>
      <c r="R658" s="0" t="n">
        <v>0</v>
      </c>
      <c r="S658" s="51" t="s">
        <v>3129</v>
      </c>
      <c r="T658" s="51" t="s">
        <v>3129</v>
      </c>
      <c r="U658" s="51" t="s">
        <v>2477</v>
      </c>
      <c r="V658" s="51" t="s">
        <v>2142</v>
      </c>
      <c r="W658" s="51"/>
      <c r="X658" s="51"/>
    </row>
    <row r="659" customFormat="false" ht="14.25" hidden="false" customHeight="false" outlineLevel="0" collapsed="false">
      <c r="A659" s="49" t="s">
        <v>2251</v>
      </c>
      <c r="B659" s="49" t="s">
        <v>14</v>
      </c>
      <c r="C659" s="49" t="s">
        <v>532</v>
      </c>
      <c r="D659" s="49" t="s">
        <v>2441</v>
      </c>
      <c r="E659" s="49" t="s">
        <v>2477</v>
      </c>
      <c r="F659" s="49" t="s">
        <v>47</v>
      </c>
      <c r="G659" s="49" t="n">
        <v>4</v>
      </c>
      <c r="H659" s="0" t="n">
        <v>0</v>
      </c>
      <c r="I659" s="51" t="s">
        <v>3162</v>
      </c>
      <c r="J659" s="49" t="s">
        <v>2493</v>
      </c>
      <c r="K659" s="52" t="n">
        <v>47685</v>
      </c>
      <c r="M659" s="51" t="s">
        <v>3128</v>
      </c>
      <c r="N659" s="0" t="n">
        <v>4</v>
      </c>
      <c r="O659" s="53" t="n">
        <v>46055.5813310185</v>
      </c>
      <c r="P659" s="53" t="n">
        <v>46056.3573263889</v>
      </c>
      <c r="Q659" s="53" t="n">
        <v>46055.5813310185</v>
      </c>
      <c r="R659" s="0" t="n">
        <v>0</v>
      </c>
      <c r="S659" s="51" t="s">
        <v>3129</v>
      </c>
      <c r="T659" s="51" t="s">
        <v>3129</v>
      </c>
      <c r="U659" s="51" t="s">
        <v>2477</v>
      </c>
      <c r="V659" s="51" t="s">
        <v>2142</v>
      </c>
      <c r="X659" s="51"/>
    </row>
    <row r="660" customFormat="false" ht="14.25" hidden="false" customHeight="false" outlineLevel="0" collapsed="false">
      <c r="A660" s="49" t="s">
        <v>2251</v>
      </c>
      <c r="B660" s="49" t="s">
        <v>14</v>
      </c>
      <c r="C660" s="49" t="s">
        <v>556</v>
      </c>
      <c r="D660" s="49" t="s">
        <v>2441</v>
      </c>
      <c r="E660" s="49" t="s">
        <v>2477</v>
      </c>
      <c r="F660" s="49" t="s">
        <v>47</v>
      </c>
      <c r="G660" s="49" t="n">
        <v>4</v>
      </c>
      <c r="H660" s="0" t="n">
        <v>0</v>
      </c>
      <c r="I660" s="51" t="s">
        <v>3162</v>
      </c>
      <c r="J660" s="49" t="s">
        <v>2493</v>
      </c>
      <c r="K660" s="52" t="n">
        <v>47685</v>
      </c>
      <c r="M660" s="51" t="s">
        <v>3128</v>
      </c>
      <c r="N660" s="0" t="n">
        <v>4</v>
      </c>
      <c r="O660" s="53" t="n">
        <v>46055.5662615741</v>
      </c>
      <c r="P660" s="53" t="n">
        <v>46056.3483449074</v>
      </c>
      <c r="Q660" s="53" t="n">
        <v>46055.5662615741</v>
      </c>
      <c r="R660" s="0" t="n">
        <v>0</v>
      </c>
      <c r="S660" s="51" t="s">
        <v>3129</v>
      </c>
      <c r="T660" s="51" t="s">
        <v>3129</v>
      </c>
      <c r="U660" s="51" t="s">
        <v>2477</v>
      </c>
      <c r="V660" s="51" t="s">
        <v>2142</v>
      </c>
      <c r="X660" s="51"/>
    </row>
    <row r="661" customFormat="false" ht="14.25" hidden="false" customHeight="false" outlineLevel="0" collapsed="false">
      <c r="A661" s="49" t="s">
        <v>2251</v>
      </c>
      <c r="B661" s="49" t="s">
        <v>14</v>
      </c>
      <c r="C661" s="49" t="s">
        <v>530</v>
      </c>
      <c r="D661" s="49" t="s">
        <v>2441</v>
      </c>
      <c r="E661" s="49" t="s">
        <v>2477</v>
      </c>
      <c r="F661" s="49" t="s">
        <v>47</v>
      </c>
      <c r="G661" s="49" t="n">
        <v>4</v>
      </c>
      <c r="H661" s="0" t="n">
        <v>0</v>
      </c>
      <c r="I661" s="51" t="s">
        <v>3162</v>
      </c>
      <c r="J661" s="49" t="s">
        <v>2493</v>
      </c>
      <c r="K661" s="52" t="n">
        <v>47685</v>
      </c>
      <c r="M661" s="51" t="s">
        <v>3128</v>
      </c>
      <c r="N661" s="0" t="n">
        <v>4</v>
      </c>
      <c r="O661" s="53" t="n">
        <v>46055.5631018519</v>
      </c>
      <c r="P661" s="53" t="n">
        <v>46056.3296527778</v>
      </c>
      <c r="Q661" s="53" t="n">
        <v>46055.5631018519</v>
      </c>
      <c r="R661" s="0" t="n">
        <v>0</v>
      </c>
      <c r="S661" s="51" t="s">
        <v>3129</v>
      </c>
      <c r="T661" s="51" t="s">
        <v>3129</v>
      </c>
      <c r="U661" s="51" t="s">
        <v>2477</v>
      </c>
      <c r="V661" s="51" t="s">
        <v>2142</v>
      </c>
      <c r="X661" s="51"/>
    </row>
    <row r="662" customFormat="false" ht="14.25" hidden="false" customHeight="false" outlineLevel="0" collapsed="false">
      <c r="A662" s="49" t="s">
        <v>2251</v>
      </c>
      <c r="B662" s="49" t="s">
        <v>14</v>
      </c>
      <c r="C662" s="49" t="s">
        <v>144</v>
      </c>
      <c r="D662" s="49" t="s">
        <v>2441</v>
      </c>
      <c r="E662" s="49" t="s">
        <v>2477</v>
      </c>
      <c r="F662" s="49" t="s">
        <v>47</v>
      </c>
      <c r="G662" s="49" t="n">
        <v>4</v>
      </c>
      <c r="H662" s="0" t="n">
        <v>0</v>
      </c>
      <c r="I662" s="51" t="s">
        <v>3163</v>
      </c>
      <c r="J662" s="49" t="s">
        <v>3164</v>
      </c>
      <c r="K662" s="52" t="n">
        <v>47698</v>
      </c>
      <c r="M662" s="51" t="s">
        <v>3155</v>
      </c>
      <c r="N662" s="0" t="n">
        <v>4</v>
      </c>
      <c r="O662" s="53" t="n">
        <v>46050.3479861111</v>
      </c>
      <c r="P662" s="53" t="n">
        <v>46057.3240740741</v>
      </c>
      <c r="Q662" s="53" t="n">
        <v>46050.3479861111</v>
      </c>
      <c r="R662" s="0" t="n">
        <v>0</v>
      </c>
      <c r="S662" s="51" t="s">
        <v>3129</v>
      </c>
      <c r="T662" s="51" t="s">
        <v>3129</v>
      </c>
      <c r="U662" s="51" t="s">
        <v>2477</v>
      </c>
      <c r="V662" s="51" t="s">
        <v>2142</v>
      </c>
      <c r="X662" s="51"/>
    </row>
    <row r="663" customFormat="false" ht="14.25" hidden="false" customHeight="false" outlineLevel="0" collapsed="false">
      <c r="A663" s="49" t="s">
        <v>2251</v>
      </c>
      <c r="B663" s="49" t="s">
        <v>14</v>
      </c>
      <c r="C663" s="49" t="s">
        <v>1021</v>
      </c>
      <c r="D663" s="49" t="s">
        <v>2441</v>
      </c>
      <c r="E663" s="49" t="s">
        <v>2477</v>
      </c>
      <c r="F663" s="49" t="s">
        <v>47</v>
      </c>
      <c r="G663" s="49" t="n">
        <v>4</v>
      </c>
      <c r="H663" s="0" t="n">
        <v>0</v>
      </c>
      <c r="I663" s="51" t="s">
        <v>3165</v>
      </c>
      <c r="J663" s="49" t="s">
        <v>3164</v>
      </c>
      <c r="K663" s="52" t="n">
        <v>47698</v>
      </c>
      <c r="M663" s="51" t="s">
        <v>3157</v>
      </c>
      <c r="N663" s="0" t="n">
        <v>4</v>
      </c>
      <c r="O663" s="53" t="n">
        <v>46060.6045486111</v>
      </c>
      <c r="P663" s="53" t="n">
        <v>46061.4902199074</v>
      </c>
      <c r="Q663" s="53" t="n">
        <v>46060.6045486111</v>
      </c>
      <c r="R663" s="0" t="n">
        <v>0</v>
      </c>
      <c r="S663" s="51" t="s">
        <v>3129</v>
      </c>
      <c r="T663" s="51" t="s">
        <v>3129</v>
      </c>
      <c r="U663" s="51" t="s">
        <v>2477</v>
      </c>
      <c r="V663" s="51" t="s">
        <v>2142</v>
      </c>
      <c r="X663" s="51"/>
    </row>
    <row r="664" customFormat="false" ht="14.25" hidden="false" customHeight="false" outlineLevel="0" collapsed="false">
      <c r="A664" s="49" t="s">
        <v>2251</v>
      </c>
      <c r="B664" s="49" t="s">
        <v>14</v>
      </c>
      <c r="C664" s="49" t="s">
        <v>143</v>
      </c>
      <c r="D664" s="49" t="s">
        <v>2441</v>
      </c>
      <c r="E664" s="49" t="s">
        <v>2477</v>
      </c>
      <c r="F664" s="49" t="s">
        <v>47</v>
      </c>
      <c r="G664" s="49" t="n">
        <v>4</v>
      </c>
      <c r="H664" s="0" t="n">
        <v>0</v>
      </c>
      <c r="I664" s="51" t="s">
        <v>3166</v>
      </c>
      <c r="J664" s="49" t="s">
        <v>3164</v>
      </c>
      <c r="K664" s="52" t="n">
        <v>47698</v>
      </c>
      <c r="M664" s="51" t="s">
        <v>3155</v>
      </c>
      <c r="N664" s="0" t="n">
        <v>4</v>
      </c>
      <c r="O664" s="53" t="n">
        <v>46050.3486342593</v>
      </c>
      <c r="P664" s="53" t="n">
        <v>46057.3276273148</v>
      </c>
      <c r="Q664" s="53" t="n">
        <v>46050.3486342593</v>
      </c>
      <c r="R664" s="0" t="n">
        <v>0</v>
      </c>
      <c r="S664" s="51" t="s">
        <v>3129</v>
      </c>
      <c r="T664" s="51" t="s">
        <v>3129</v>
      </c>
      <c r="U664" s="51" t="s">
        <v>2477</v>
      </c>
      <c r="V664" s="51" t="s">
        <v>2142</v>
      </c>
      <c r="X664" s="51"/>
    </row>
    <row r="665" customFormat="false" ht="14.25" hidden="true" customHeight="false" outlineLevel="0" collapsed="false">
      <c r="A665" s="49" t="s">
        <v>2251</v>
      </c>
      <c r="B665" s="49" t="s">
        <v>14</v>
      </c>
      <c r="C665" s="49" t="s">
        <v>539</v>
      </c>
      <c r="D665" s="49" t="s">
        <v>2441</v>
      </c>
      <c r="E665" s="49" t="s">
        <v>2477</v>
      </c>
      <c r="F665" s="49" t="s">
        <v>47</v>
      </c>
      <c r="G665" s="49" t="n">
        <v>4</v>
      </c>
      <c r="H665" s="0" t="n">
        <v>0</v>
      </c>
      <c r="I665" s="51" t="s">
        <v>3167</v>
      </c>
      <c r="J665" s="49" t="s">
        <v>2505</v>
      </c>
      <c r="K665" s="52" t="n">
        <v>47700</v>
      </c>
      <c r="M665" s="51" t="s">
        <v>3128</v>
      </c>
      <c r="N665" s="49" t="n">
        <v>4</v>
      </c>
      <c r="O665" s="53" t="n">
        <v>46055.5782523148</v>
      </c>
      <c r="P665" s="53" t="n">
        <v>46056.4294791667</v>
      </c>
      <c r="Q665" s="53" t="n">
        <v>46055.5782523148</v>
      </c>
      <c r="R665" s="0" t="n">
        <v>0</v>
      </c>
      <c r="S665" s="51" t="s">
        <v>3129</v>
      </c>
      <c r="T665" s="51" t="s">
        <v>3129</v>
      </c>
      <c r="U665" s="51" t="s">
        <v>2477</v>
      </c>
      <c r="V665" s="51" t="s">
        <v>2142</v>
      </c>
      <c r="W665" s="51"/>
      <c r="X665" s="51"/>
    </row>
    <row r="666" customFormat="false" ht="14.25" hidden="true" customHeight="false" outlineLevel="0" collapsed="false">
      <c r="A666" s="49" t="s">
        <v>2251</v>
      </c>
      <c r="B666" s="49" t="s">
        <v>14</v>
      </c>
      <c r="C666" s="49" t="s">
        <v>649</v>
      </c>
      <c r="D666" s="49" t="s">
        <v>2441</v>
      </c>
      <c r="E666" s="49" t="s">
        <v>2477</v>
      </c>
      <c r="F666" s="49" t="s">
        <v>47</v>
      </c>
      <c r="G666" s="49" t="n">
        <v>4</v>
      </c>
      <c r="H666" s="0" t="n">
        <v>0</v>
      </c>
      <c r="I666" s="51" t="s">
        <v>3168</v>
      </c>
      <c r="J666" s="49" t="s">
        <v>3169</v>
      </c>
      <c r="K666" s="52" t="n">
        <v>47700</v>
      </c>
      <c r="M666" s="51" t="s">
        <v>3170</v>
      </c>
      <c r="N666" s="49" t="n">
        <v>4</v>
      </c>
      <c r="O666" s="53" t="n">
        <v>46056.5588194444</v>
      </c>
      <c r="P666" s="53" t="n">
        <v>46057.6971527778</v>
      </c>
      <c r="Q666" s="53" t="n">
        <v>46056.5588194444</v>
      </c>
      <c r="R666" s="0" t="n">
        <v>0</v>
      </c>
      <c r="S666" s="51" t="s">
        <v>3129</v>
      </c>
      <c r="T666" s="51" t="s">
        <v>3129</v>
      </c>
      <c r="U666" s="51" t="s">
        <v>2477</v>
      </c>
      <c r="V666" s="51" t="s">
        <v>2142</v>
      </c>
      <c r="W666" s="51"/>
      <c r="X666" s="51"/>
    </row>
    <row r="667" customFormat="false" ht="14.25" hidden="true" customHeight="false" outlineLevel="0" collapsed="false">
      <c r="A667" s="49" t="s">
        <v>2251</v>
      </c>
      <c r="B667" s="49" t="s">
        <v>14</v>
      </c>
      <c r="C667" s="49" t="s">
        <v>555</v>
      </c>
      <c r="D667" s="49" t="s">
        <v>2441</v>
      </c>
      <c r="E667" s="49" t="s">
        <v>2477</v>
      </c>
      <c r="F667" s="49" t="s">
        <v>47</v>
      </c>
      <c r="G667" s="49" t="n">
        <v>4</v>
      </c>
      <c r="H667" s="0" t="n">
        <v>0</v>
      </c>
      <c r="I667" s="51" t="s">
        <v>3167</v>
      </c>
      <c r="J667" s="49" t="s">
        <v>2505</v>
      </c>
      <c r="K667" s="52" t="n">
        <v>47700</v>
      </c>
      <c r="M667" s="51" t="s">
        <v>3128</v>
      </c>
      <c r="N667" s="49" t="n">
        <v>4</v>
      </c>
      <c r="O667" s="53" t="n">
        <v>46055.567974537</v>
      </c>
      <c r="P667" s="53" t="n">
        <v>46056.4153703704</v>
      </c>
      <c r="Q667" s="53" t="n">
        <v>46055.567974537</v>
      </c>
      <c r="R667" s="0" t="n">
        <v>0</v>
      </c>
      <c r="S667" s="51" t="s">
        <v>3129</v>
      </c>
      <c r="T667" s="51" t="s">
        <v>3129</v>
      </c>
      <c r="U667" s="51" t="s">
        <v>2477</v>
      </c>
      <c r="V667" s="51" t="s">
        <v>2142</v>
      </c>
      <c r="W667" s="51"/>
      <c r="X667" s="51"/>
    </row>
    <row r="668" customFormat="false" ht="14.25" hidden="true" customHeight="false" outlineLevel="0" collapsed="false">
      <c r="A668" s="49" t="s">
        <v>2251</v>
      </c>
      <c r="B668" s="49" t="s">
        <v>14</v>
      </c>
      <c r="C668" s="49" t="s">
        <v>553</v>
      </c>
      <c r="D668" s="49" t="s">
        <v>2441</v>
      </c>
      <c r="E668" s="49" t="s">
        <v>2477</v>
      </c>
      <c r="F668" s="49" t="s">
        <v>47</v>
      </c>
      <c r="G668" s="49" t="n">
        <v>4</v>
      </c>
      <c r="H668" s="0" t="n">
        <v>0</v>
      </c>
      <c r="I668" s="51" t="s">
        <v>3167</v>
      </c>
      <c r="J668" s="49" t="s">
        <v>2505</v>
      </c>
      <c r="K668" s="52" t="n">
        <v>47700</v>
      </c>
      <c r="M668" s="51" t="s">
        <v>3128</v>
      </c>
      <c r="N668" s="49" t="n">
        <v>4</v>
      </c>
      <c r="O668" s="53" t="n">
        <v>46055.5695717593</v>
      </c>
      <c r="P668" s="53" t="n">
        <v>46056.4120717593</v>
      </c>
      <c r="Q668" s="53" t="n">
        <v>46055.5695717593</v>
      </c>
      <c r="R668" s="0" t="n">
        <v>0</v>
      </c>
      <c r="S668" s="51" t="s">
        <v>3129</v>
      </c>
      <c r="T668" s="51" t="s">
        <v>3129</v>
      </c>
      <c r="U668" s="51" t="s">
        <v>2477</v>
      </c>
      <c r="V668" s="51" t="s">
        <v>2142</v>
      </c>
      <c r="W668" s="51"/>
      <c r="X668" s="51"/>
    </row>
    <row r="669" customFormat="false" ht="14.25" hidden="true" customHeight="false" outlineLevel="0" collapsed="false">
      <c r="A669" s="49" t="s">
        <v>2251</v>
      </c>
      <c r="B669" s="49" t="s">
        <v>14</v>
      </c>
      <c r="C669" s="49" t="s">
        <v>550</v>
      </c>
      <c r="D669" s="49" t="s">
        <v>2441</v>
      </c>
      <c r="E669" s="49" t="s">
        <v>2477</v>
      </c>
      <c r="F669" s="49" t="s">
        <v>47</v>
      </c>
      <c r="G669" s="49" t="n">
        <v>4</v>
      </c>
      <c r="H669" s="0" t="n">
        <v>0</v>
      </c>
      <c r="I669" s="51" t="s">
        <v>3167</v>
      </c>
      <c r="J669" s="49" t="s">
        <v>2505</v>
      </c>
      <c r="K669" s="52" t="n">
        <v>47700</v>
      </c>
      <c r="M669" s="51" t="s">
        <v>3128</v>
      </c>
      <c r="N669" s="49" t="n">
        <v>4</v>
      </c>
      <c r="O669" s="53" t="n">
        <v>46055.5709722222</v>
      </c>
      <c r="P669" s="53" t="n">
        <v>46056.4190740741</v>
      </c>
      <c r="Q669" s="53" t="n">
        <v>46055.5709722222</v>
      </c>
      <c r="R669" s="0" t="n">
        <v>0</v>
      </c>
      <c r="S669" s="51" t="s">
        <v>3129</v>
      </c>
      <c r="T669" s="51" t="s">
        <v>3129</v>
      </c>
      <c r="U669" s="51" t="s">
        <v>2477</v>
      </c>
      <c r="V669" s="51" t="s">
        <v>2142</v>
      </c>
      <c r="W669" s="51"/>
      <c r="X669" s="51"/>
    </row>
    <row r="670" customFormat="false" ht="14.25" hidden="true" customHeight="false" outlineLevel="0" collapsed="false">
      <c r="A670" s="49" t="s">
        <v>2251</v>
      </c>
      <c r="B670" s="49" t="s">
        <v>14</v>
      </c>
      <c r="C670" s="49" t="s">
        <v>548</v>
      </c>
      <c r="D670" s="49" t="s">
        <v>2441</v>
      </c>
      <c r="E670" s="49" t="s">
        <v>2477</v>
      </c>
      <c r="F670" s="49" t="s">
        <v>47</v>
      </c>
      <c r="G670" s="49" t="n">
        <v>4</v>
      </c>
      <c r="H670" s="0" t="n">
        <v>0</v>
      </c>
      <c r="I670" s="51" t="s">
        <v>3167</v>
      </c>
      <c r="J670" s="49" t="s">
        <v>2505</v>
      </c>
      <c r="K670" s="52" t="n">
        <v>47700</v>
      </c>
      <c r="M670" s="51" t="s">
        <v>3128</v>
      </c>
      <c r="N670" s="49" t="n">
        <v>4</v>
      </c>
      <c r="O670" s="53" t="n">
        <v>46055.572037037</v>
      </c>
      <c r="P670" s="53" t="n">
        <v>46056.4223958333</v>
      </c>
      <c r="Q670" s="53" t="n">
        <v>46055.572037037</v>
      </c>
      <c r="R670" s="0" t="n">
        <v>0</v>
      </c>
      <c r="S670" s="51" t="s">
        <v>3129</v>
      </c>
      <c r="T670" s="51" t="s">
        <v>3129</v>
      </c>
      <c r="U670" s="51" t="s">
        <v>2477</v>
      </c>
      <c r="V670" s="51" t="s">
        <v>2142</v>
      </c>
      <c r="W670" s="51"/>
      <c r="X670" s="51"/>
    </row>
    <row r="671" customFormat="false" ht="14.25" hidden="true" customHeight="false" outlineLevel="0" collapsed="false">
      <c r="A671" s="49" t="s">
        <v>2251</v>
      </c>
      <c r="B671" s="49" t="s">
        <v>14</v>
      </c>
      <c r="C671" s="49" t="s">
        <v>537</v>
      </c>
      <c r="D671" s="49" t="s">
        <v>2441</v>
      </c>
      <c r="E671" s="49" t="s">
        <v>2477</v>
      </c>
      <c r="F671" s="49" t="s">
        <v>47</v>
      </c>
      <c r="G671" s="49" t="n">
        <v>4</v>
      </c>
      <c r="H671" s="0" t="n">
        <v>0</v>
      </c>
      <c r="I671" s="51" t="s">
        <v>3171</v>
      </c>
      <c r="J671" s="49" t="s">
        <v>2509</v>
      </c>
      <c r="K671" s="52" t="n">
        <v>47704</v>
      </c>
      <c r="M671" s="51" t="s">
        <v>3128</v>
      </c>
      <c r="N671" s="49" t="n">
        <v>4</v>
      </c>
      <c r="O671" s="53" t="n">
        <v>46055.5791087963</v>
      </c>
      <c r="P671" s="53" t="n">
        <v>46056.410150463</v>
      </c>
      <c r="Q671" s="53" t="n">
        <v>46055.5791087963</v>
      </c>
      <c r="R671" s="0" t="n">
        <v>0</v>
      </c>
      <c r="S671" s="51" t="s">
        <v>3129</v>
      </c>
      <c r="T671" s="51" t="s">
        <v>3129</v>
      </c>
      <c r="U671" s="51" t="s">
        <v>2477</v>
      </c>
      <c r="V671" s="51" t="s">
        <v>2142</v>
      </c>
      <c r="W671" s="51"/>
      <c r="X671" s="51"/>
    </row>
    <row r="672" customFormat="false" ht="14.25" hidden="true" customHeight="false" outlineLevel="0" collapsed="false">
      <c r="A672" s="49" t="s">
        <v>2251</v>
      </c>
      <c r="B672" s="49" t="s">
        <v>14</v>
      </c>
      <c r="C672" s="49" t="s">
        <v>1014</v>
      </c>
      <c r="D672" s="49" t="s">
        <v>2441</v>
      </c>
      <c r="E672" s="49" t="s">
        <v>2477</v>
      </c>
      <c r="F672" s="49" t="s">
        <v>47</v>
      </c>
      <c r="G672" s="49" t="n">
        <v>4</v>
      </c>
      <c r="H672" s="0" t="n">
        <v>0</v>
      </c>
      <c r="I672" s="51" t="s">
        <v>3172</v>
      </c>
      <c r="J672" s="49" t="s">
        <v>2509</v>
      </c>
      <c r="K672" s="52" t="n">
        <v>47704</v>
      </c>
      <c r="M672" s="51" t="s">
        <v>3157</v>
      </c>
      <c r="N672" s="49" t="n">
        <v>4</v>
      </c>
      <c r="O672" s="53" t="n">
        <v>46060.6014583333</v>
      </c>
      <c r="P672" s="53" t="n">
        <v>46061.4700578704</v>
      </c>
      <c r="Q672" s="53" t="n">
        <v>46060.6014583333</v>
      </c>
      <c r="R672" s="0" t="n">
        <v>0</v>
      </c>
      <c r="S672" s="51" t="s">
        <v>3129</v>
      </c>
      <c r="T672" s="51" t="s">
        <v>3129</v>
      </c>
      <c r="U672" s="51" t="s">
        <v>2477</v>
      </c>
      <c r="V672" s="51" t="s">
        <v>2142</v>
      </c>
      <c r="W672" s="51"/>
      <c r="X672" s="51"/>
    </row>
    <row r="673" customFormat="false" ht="14.25" hidden="true" customHeight="false" outlineLevel="0" collapsed="false">
      <c r="A673" s="49" t="s">
        <v>2251</v>
      </c>
      <c r="B673" s="49" t="s">
        <v>14</v>
      </c>
      <c r="C673" s="49" t="s">
        <v>1024</v>
      </c>
      <c r="D673" s="49" t="s">
        <v>2441</v>
      </c>
      <c r="E673" s="49" t="s">
        <v>2477</v>
      </c>
      <c r="F673" s="49" t="s">
        <v>47</v>
      </c>
      <c r="G673" s="49" t="n">
        <v>4</v>
      </c>
      <c r="H673" s="0" t="n">
        <v>0</v>
      </c>
      <c r="I673" s="51" t="s">
        <v>3173</v>
      </c>
      <c r="J673" s="49" t="s">
        <v>2509</v>
      </c>
      <c r="K673" s="52" t="n">
        <v>47704</v>
      </c>
      <c r="M673" s="51" t="s">
        <v>3157</v>
      </c>
      <c r="N673" s="49" t="n">
        <v>4</v>
      </c>
      <c r="O673" s="53" t="n">
        <v>46060.6031018519</v>
      </c>
      <c r="P673" s="53" t="n">
        <v>46061.4634953704</v>
      </c>
      <c r="Q673" s="53" t="n">
        <v>46060.6031018519</v>
      </c>
      <c r="R673" s="0" t="n">
        <v>0</v>
      </c>
      <c r="S673" s="51" t="s">
        <v>3129</v>
      </c>
      <c r="T673" s="51" t="s">
        <v>3129</v>
      </c>
      <c r="U673" s="51" t="s">
        <v>2477</v>
      </c>
      <c r="V673" s="51" t="s">
        <v>2142</v>
      </c>
      <c r="W673" s="51"/>
      <c r="X673" s="51"/>
    </row>
    <row r="674" customFormat="false" ht="14.25" hidden="true" customHeight="false" outlineLevel="0" collapsed="false">
      <c r="A674" s="49" t="s">
        <v>2251</v>
      </c>
      <c r="B674" s="49" t="s">
        <v>14</v>
      </c>
      <c r="C674" s="49" t="s">
        <v>1020</v>
      </c>
      <c r="D674" s="49" t="s">
        <v>2441</v>
      </c>
      <c r="E674" s="49" t="s">
        <v>2477</v>
      </c>
      <c r="F674" s="49" t="s">
        <v>47</v>
      </c>
      <c r="G674" s="49" t="n">
        <v>4</v>
      </c>
      <c r="H674" s="0" t="n">
        <v>0</v>
      </c>
      <c r="I674" s="51" t="s">
        <v>3174</v>
      </c>
      <c r="J674" s="49" t="s">
        <v>2509</v>
      </c>
      <c r="K674" s="52" t="n">
        <v>47704</v>
      </c>
      <c r="M674" s="51" t="s">
        <v>3157</v>
      </c>
      <c r="N674" s="49" t="n">
        <v>4</v>
      </c>
      <c r="O674" s="53" t="n">
        <v>46060.5797685185</v>
      </c>
      <c r="P674" s="53" t="n">
        <v>46061.4549421296</v>
      </c>
      <c r="Q674" s="53" t="n">
        <v>46060.5797685185</v>
      </c>
      <c r="R674" s="0" t="n">
        <v>0</v>
      </c>
      <c r="S674" s="51" t="s">
        <v>3129</v>
      </c>
      <c r="T674" s="51" t="s">
        <v>3129</v>
      </c>
      <c r="U674" s="51" t="s">
        <v>2477</v>
      </c>
      <c r="V674" s="51" t="s">
        <v>2142</v>
      </c>
      <c r="W674" s="51"/>
      <c r="X674" s="51"/>
    </row>
    <row r="675" customFormat="false" ht="14.25" hidden="true" customHeight="false" outlineLevel="0" collapsed="false">
      <c r="A675" s="49" t="s">
        <v>2251</v>
      </c>
      <c r="B675" s="49" t="s">
        <v>14</v>
      </c>
      <c r="C675" s="49" t="s">
        <v>665</v>
      </c>
      <c r="D675" s="49" t="s">
        <v>2441</v>
      </c>
      <c r="E675" s="49" t="s">
        <v>2477</v>
      </c>
      <c r="F675" s="49" t="s">
        <v>47</v>
      </c>
      <c r="G675" s="49" t="n">
        <v>4</v>
      </c>
      <c r="H675" s="0" t="n">
        <v>0</v>
      </c>
      <c r="I675" s="51" t="s">
        <v>3175</v>
      </c>
      <c r="J675" s="49" t="s">
        <v>2509</v>
      </c>
      <c r="K675" s="52" t="n">
        <v>47704</v>
      </c>
      <c r="M675" s="51" t="s">
        <v>3170</v>
      </c>
      <c r="N675" s="49" t="n">
        <v>4</v>
      </c>
      <c r="O675" s="53" t="n">
        <v>46056.5651851852</v>
      </c>
      <c r="P675" s="53" t="n">
        <v>46057.6788078704</v>
      </c>
      <c r="Q675" s="53" t="n">
        <v>46056.5651851852</v>
      </c>
      <c r="R675" s="0" t="n">
        <v>0</v>
      </c>
      <c r="S675" s="51" t="s">
        <v>3129</v>
      </c>
      <c r="T675" s="51" t="s">
        <v>3129</v>
      </c>
      <c r="U675" s="51" t="s">
        <v>2477</v>
      </c>
      <c r="V675" s="51" t="s">
        <v>2142</v>
      </c>
      <c r="W675" s="51"/>
      <c r="X675" s="51"/>
    </row>
    <row r="676" customFormat="false" ht="14.25" hidden="true" customHeight="false" outlineLevel="0" collapsed="false">
      <c r="A676" s="49" t="s">
        <v>2251</v>
      </c>
      <c r="B676" s="49" t="s">
        <v>14</v>
      </c>
      <c r="C676" s="49" t="s">
        <v>667</v>
      </c>
      <c r="D676" s="49" t="s">
        <v>2441</v>
      </c>
      <c r="E676" s="49" t="s">
        <v>2477</v>
      </c>
      <c r="F676" s="49" t="s">
        <v>47</v>
      </c>
      <c r="G676" s="49" t="n">
        <v>4</v>
      </c>
      <c r="H676" s="0" t="n">
        <v>0</v>
      </c>
      <c r="I676" s="51" t="s">
        <v>3175</v>
      </c>
      <c r="J676" s="49" t="s">
        <v>2509</v>
      </c>
      <c r="K676" s="52" t="n">
        <v>47704</v>
      </c>
      <c r="M676" s="51" t="s">
        <v>3170</v>
      </c>
      <c r="N676" s="49" t="n">
        <v>4</v>
      </c>
      <c r="O676" s="53" t="n">
        <v>46056.5604861111</v>
      </c>
      <c r="P676" s="53" t="n">
        <v>46057.6771643519</v>
      </c>
      <c r="Q676" s="53" t="n">
        <v>46056.5604861111</v>
      </c>
      <c r="R676" s="0" t="n">
        <v>0</v>
      </c>
      <c r="S676" s="51" t="s">
        <v>3129</v>
      </c>
      <c r="T676" s="51" t="s">
        <v>3129</v>
      </c>
      <c r="U676" s="51" t="s">
        <v>2477</v>
      </c>
      <c r="V676" s="51" t="s">
        <v>2142</v>
      </c>
      <c r="W676" s="51"/>
      <c r="X676" s="51"/>
    </row>
    <row r="677" customFormat="false" ht="14.25" hidden="true" customHeight="false" outlineLevel="0" collapsed="false">
      <c r="A677" s="49" t="s">
        <v>2251</v>
      </c>
      <c r="B677" s="49" t="s">
        <v>14</v>
      </c>
      <c r="C677" s="49" t="s">
        <v>656</v>
      </c>
      <c r="D677" s="49" t="s">
        <v>2441</v>
      </c>
      <c r="E677" s="49" t="s">
        <v>2477</v>
      </c>
      <c r="F677" s="49" t="s">
        <v>47</v>
      </c>
      <c r="G677" s="49" t="n">
        <v>4</v>
      </c>
      <c r="H677" s="0" t="n">
        <v>0</v>
      </c>
      <c r="I677" s="51" t="s">
        <v>3175</v>
      </c>
      <c r="J677" s="49" t="s">
        <v>2509</v>
      </c>
      <c r="K677" s="52" t="n">
        <v>47704</v>
      </c>
      <c r="M677" s="51" t="s">
        <v>3170</v>
      </c>
      <c r="N677" s="49" t="n">
        <v>4</v>
      </c>
      <c r="O677" s="53" t="n">
        <v>46056.5660648148</v>
      </c>
      <c r="P677" s="53" t="n">
        <v>46057.6822106482</v>
      </c>
      <c r="Q677" s="53" t="n">
        <v>46056.5660648148</v>
      </c>
      <c r="R677" s="0" t="n">
        <v>0</v>
      </c>
      <c r="S677" s="51" t="s">
        <v>3129</v>
      </c>
      <c r="T677" s="51" t="s">
        <v>3129</v>
      </c>
      <c r="U677" s="51" t="s">
        <v>2477</v>
      </c>
      <c r="V677" s="51" t="s">
        <v>2142</v>
      </c>
      <c r="W677" s="51"/>
      <c r="X677" s="51"/>
    </row>
    <row r="678" customFormat="false" ht="14.25" hidden="true" customHeight="false" outlineLevel="0" collapsed="false">
      <c r="A678" s="49" t="s">
        <v>2251</v>
      </c>
      <c r="B678" s="49" t="s">
        <v>14</v>
      </c>
      <c r="C678" s="49" t="s">
        <v>654</v>
      </c>
      <c r="D678" s="49" t="s">
        <v>2441</v>
      </c>
      <c r="E678" s="49" t="s">
        <v>2477</v>
      </c>
      <c r="F678" s="49" t="s">
        <v>47</v>
      </c>
      <c r="G678" s="49" t="n">
        <v>4</v>
      </c>
      <c r="H678" s="0" t="n">
        <v>0</v>
      </c>
      <c r="I678" s="51" t="s">
        <v>3175</v>
      </c>
      <c r="J678" s="49" t="s">
        <v>2509</v>
      </c>
      <c r="K678" s="52" t="n">
        <v>47704</v>
      </c>
      <c r="M678" s="51" t="s">
        <v>3170</v>
      </c>
      <c r="N678" s="49" t="n">
        <v>4</v>
      </c>
      <c r="O678" s="53" t="n">
        <v>46056.5676388889</v>
      </c>
      <c r="P678" s="53" t="n">
        <v>46057.6822916667</v>
      </c>
      <c r="Q678" s="53" t="n">
        <v>46056.5676388889</v>
      </c>
      <c r="R678" s="0" t="n">
        <v>0</v>
      </c>
      <c r="S678" s="51" t="s">
        <v>3129</v>
      </c>
      <c r="T678" s="51" t="s">
        <v>3129</v>
      </c>
      <c r="U678" s="51" t="s">
        <v>2477</v>
      </c>
      <c r="V678" s="51" t="s">
        <v>2142</v>
      </c>
      <c r="W678" s="51"/>
      <c r="X678" s="51"/>
    </row>
    <row r="679" customFormat="false" ht="14.25" hidden="true" customHeight="false" outlineLevel="0" collapsed="false">
      <c r="A679" s="49" t="s">
        <v>2251</v>
      </c>
      <c r="B679" s="49" t="s">
        <v>14</v>
      </c>
      <c r="C679" s="49" t="s">
        <v>547</v>
      </c>
      <c r="D679" s="49" t="s">
        <v>2441</v>
      </c>
      <c r="E679" s="49" t="s">
        <v>2477</v>
      </c>
      <c r="F679" s="49" t="s">
        <v>47</v>
      </c>
      <c r="G679" s="49" t="n">
        <v>4</v>
      </c>
      <c r="H679" s="0" t="n">
        <v>0</v>
      </c>
      <c r="I679" s="51" t="s">
        <v>3171</v>
      </c>
      <c r="J679" s="49" t="s">
        <v>2509</v>
      </c>
      <c r="K679" s="52" t="n">
        <v>47704</v>
      </c>
      <c r="M679" s="51" t="s">
        <v>3128</v>
      </c>
      <c r="N679" s="49" t="n">
        <v>4</v>
      </c>
      <c r="O679" s="53" t="n">
        <v>46055.573125</v>
      </c>
      <c r="P679" s="53" t="n">
        <v>46056.3914814815</v>
      </c>
      <c r="Q679" s="53" t="n">
        <v>46055.573125</v>
      </c>
      <c r="R679" s="0" t="n">
        <v>0</v>
      </c>
      <c r="S679" s="51" t="s">
        <v>3129</v>
      </c>
      <c r="T679" s="51" t="s">
        <v>3129</v>
      </c>
      <c r="U679" s="51" t="s">
        <v>2477</v>
      </c>
      <c r="V679" s="51" t="s">
        <v>2142</v>
      </c>
      <c r="W679" s="51"/>
      <c r="X679" s="51"/>
    </row>
    <row r="680" customFormat="false" ht="14.25" hidden="true" customHeight="false" outlineLevel="0" collapsed="false">
      <c r="A680" s="49" t="s">
        <v>2251</v>
      </c>
      <c r="B680" s="49" t="s">
        <v>14</v>
      </c>
      <c r="C680" s="49" t="s">
        <v>545</v>
      </c>
      <c r="D680" s="49" t="s">
        <v>2441</v>
      </c>
      <c r="E680" s="49" t="s">
        <v>2477</v>
      </c>
      <c r="F680" s="49" t="s">
        <v>47</v>
      </c>
      <c r="G680" s="49" t="n">
        <v>4</v>
      </c>
      <c r="H680" s="0" t="n">
        <v>0</v>
      </c>
      <c r="I680" s="51" t="s">
        <v>3171</v>
      </c>
      <c r="J680" s="49" t="s">
        <v>2509</v>
      </c>
      <c r="K680" s="52" t="n">
        <v>47704</v>
      </c>
      <c r="M680" s="51" t="s">
        <v>3128</v>
      </c>
      <c r="N680" s="49" t="n">
        <v>4</v>
      </c>
      <c r="O680" s="53" t="n">
        <v>46055.5744560185</v>
      </c>
      <c r="P680" s="53" t="n">
        <v>46056.3944791667</v>
      </c>
      <c r="Q680" s="53" t="n">
        <v>46055.5744560185</v>
      </c>
      <c r="R680" s="0" t="n">
        <v>0</v>
      </c>
      <c r="S680" s="51" t="s">
        <v>3129</v>
      </c>
      <c r="T680" s="51" t="s">
        <v>3129</v>
      </c>
      <c r="U680" s="51" t="s">
        <v>2477</v>
      </c>
      <c r="V680" s="51" t="s">
        <v>2142</v>
      </c>
      <c r="W680" s="51"/>
      <c r="X680" s="51"/>
    </row>
    <row r="681" customFormat="false" ht="14.25" hidden="true" customHeight="false" outlineLevel="0" collapsed="false">
      <c r="A681" s="49" t="s">
        <v>2251</v>
      </c>
      <c r="B681" s="49" t="s">
        <v>14</v>
      </c>
      <c r="C681" s="49" t="s">
        <v>543</v>
      </c>
      <c r="D681" s="49" t="s">
        <v>2441</v>
      </c>
      <c r="E681" s="49" t="s">
        <v>2477</v>
      </c>
      <c r="F681" s="49" t="s">
        <v>47</v>
      </c>
      <c r="G681" s="49" t="n">
        <v>4</v>
      </c>
      <c r="H681" s="0" t="n">
        <v>0</v>
      </c>
      <c r="I681" s="51" t="s">
        <v>3171</v>
      </c>
      <c r="J681" s="49" t="s">
        <v>2509</v>
      </c>
      <c r="K681" s="52" t="n">
        <v>47704</v>
      </c>
      <c r="M681" s="51" t="s">
        <v>3128</v>
      </c>
      <c r="N681" s="49" t="n">
        <v>4</v>
      </c>
      <c r="O681" s="53" t="n">
        <v>46055.5756018519</v>
      </c>
      <c r="P681" s="53" t="n">
        <v>46056.4010300926</v>
      </c>
      <c r="Q681" s="53" t="n">
        <v>46055.5756018519</v>
      </c>
      <c r="R681" s="0" t="n">
        <v>0</v>
      </c>
      <c r="S681" s="51" t="s">
        <v>3129</v>
      </c>
      <c r="T681" s="51" t="s">
        <v>3129</v>
      </c>
      <c r="U681" s="51" t="s">
        <v>2477</v>
      </c>
      <c r="V681" s="51" t="s">
        <v>2142</v>
      </c>
      <c r="W681" s="51"/>
      <c r="X681" s="51"/>
    </row>
    <row r="682" customFormat="false" ht="14.25" hidden="true" customHeight="false" outlineLevel="0" collapsed="false">
      <c r="A682" s="49" t="s">
        <v>2251</v>
      </c>
      <c r="B682" s="49" t="s">
        <v>14</v>
      </c>
      <c r="C682" s="49" t="s">
        <v>541</v>
      </c>
      <c r="D682" s="49" t="s">
        <v>2441</v>
      </c>
      <c r="E682" s="49" t="s">
        <v>2477</v>
      </c>
      <c r="F682" s="49" t="s">
        <v>47</v>
      </c>
      <c r="G682" s="49" t="n">
        <v>4</v>
      </c>
      <c r="H682" s="0" t="n">
        <v>0</v>
      </c>
      <c r="I682" s="51" t="s">
        <v>3171</v>
      </c>
      <c r="J682" s="49" t="s">
        <v>2509</v>
      </c>
      <c r="K682" s="52" t="n">
        <v>47704</v>
      </c>
      <c r="M682" s="51" t="s">
        <v>3128</v>
      </c>
      <c r="N682" s="49" t="n">
        <v>4</v>
      </c>
      <c r="O682" s="53" t="n">
        <v>46055.5768981481</v>
      </c>
      <c r="P682" s="53" t="n">
        <v>46056.4037268519</v>
      </c>
      <c r="Q682" s="53" t="n">
        <v>46055.5768981481</v>
      </c>
      <c r="R682" s="0" t="n">
        <v>0</v>
      </c>
      <c r="S682" s="51" t="s">
        <v>3129</v>
      </c>
      <c r="T682" s="51" t="s">
        <v>3129</v>
      </c>
      <c r="U682" s="51" t="s">
        <v>2477</v>
      </c>
      <c r="V682" s="51" t="s">
        <v>2142</v>
      </c>
      <c r="W682" s="51"/>
      <c r="X682" s="51"/>
    </row>
    <row r="683" customFormat="false" ht="14.25" hidden="true" customHeight="false" outlineLevel="0" collapsed="false">
      <c r="A683" s="49" t="s">
        <v>2251</v>
      </c>
      <c r="B683" s="49" t="s">
        <v>14</v>
      </c>
      <c r="C683" s="49" t="s">
        <v>960</v>
      </c>
      <c r="D683" s="49" t="s">
        <v>2441</v>
      </c>
      <c r="E683" s="49" t="s">
        <v>3176</v>
      </c>
      <c r="F683" s="49" t="s">
        <v>942</v>
      </c>
      <c r="G683" s="49" t="n">
        <v>3</v>
      </c>
      <c r="H683" s="0" t="n">
        <v>0</v>
      </c>
      <c r="I683" s="51" t="s">
        <v>3177</v>
      </c>
      <c r="J683" s="49" t="s">
        <v>3178</v>
      </c>
      <c r="K683" s="52" t="n">
        <v>47717</v>
      </c>
      <c r="M683" s="51" t="s">
        <v>3179</v>
      </c>
      <c r="N683" s="49" t="n">
        <v>3</v>
      </c>
      <c r="O683" s="53" t="n">
        <v>46060.370474537</v>
      </c>
      <c r="P683" s="53" t="n">
        <v>46061.466099537</v>
      </c>
      <c r="Q683" s="53" t="n">
        <v>46060.370474537</v>
      </c>
      <c r="R683" s="0" t="n">
        <v>0</v>
      </c>
      <c r="S683" s="51" t="s">
        <v>3129</v>
      </c>
      <c r="T683" s="51" t="s">
        <v>3129</v>
      </c>
      <c r="U683" s="51" t="s">
        <v>3176</v>
      </c>
      <c r="V683" s="51" t="s">
        <v>2142</v>
      </c>
      <c r="W683" s="51"/>
      <c r="X683" s="51"/>
    </row>
    <row r="684" customFormat="false" ht="14.25" hidden="true" customHeight="false" outlineLevel="0" collapsed="false">
      <c r="A684" s="49" t="s">
        <v>2251</v>
      </c>
      <c r="B684" s="49" t="s">
        <v>14</v>
      </c>
      <c r="C684" s="49" t="s">
        <v>968</v>
      </c>
      <c r="D684" s="49" t="s">
        <v>2441</v>
      </c>
      <c r="E684" s="49" t="s">
        <v>3176</v>
      </c>
      <c r="F684" s="49" t="s">
        <v>942</v>
      </c>
      <c r="G684" s="49" t="n">
        <v>4</v>
      </c>
      <c r="H684" s="0" t="n">
        <v>0</v>
      </c>
      <c r="I684" s="51" t="s">
        <v>3180</v>
      </c>
      <c r="J684" s="49" t="s">
        <v>3178</v>
      </c>
      <c r="K684" s="52" t="n">
        <v>47717</v>
      </c>
      <c r="M684" s="51" t="s">
        <v>3179</v>
      </c>
      <c r="N684" s="49" t="n">
        <v>4</v>
      </c>
      <c r="O684" s="53" t="n">
        <v>46060.3768055556</v>
      </c>
      <c r="P684" s="53" t="n">
        <v>46061.4665625</v>
      </c>
      <c r="Q684" s="53" t="n">
        <v>46060.3768055556</v>
      </c>
      <c r="R684" s="0" t="n">
        <v>0</v>
      </c>
      <c r="S684" s="51" t="s">
        <v>3129</v>
      </c>
      <c r="T684" s="51" t="s">
        <v>3129</v>
      </c>
      <c r="U684" s="51" t="s">
        <v>3176</v>
      </c>
      <c r="V684" s="51" t="s">
        <v>2142</v>
      </c>
      <c r="W684" s="51"/>
      <c r="X684" s="51"/>
    </row>
    <row r="685" customFormat="false" ht="14.25" hidden="true" customHeight="false" outlineLevel="0" collapsed="false">
      <c r="A685" s="49" t="s">
        <v>2251</v>
      </c>
      <c r="B685" s="49" t="s">
        <v>14</v>
      </c>
      <c r="C685" s="49" t="s">
        <v>941</v>
      </c>
      <c r="D685" s="49" t="s">
        <v>2441</v>
      </c>
      <c r="E685" s="49" t="s">
        <v>3176</v>
      </c>
      <c r="F685" s="49" t="s">
        <v>942</v>
      </c>
      <c r="G685" s="49" t="n">
        <v>4</v>
      </c>
      <c r="H685" s="0" t="n">
        <v>0</v>
      </c>
      <c r="I685" s="51" t="s">
        <v>3181</v>
      </c>
      <c r="J685" s="49" t="s">
        <v>3182</v>
      </c>
      <c r="K685" s="52" t="n">
        <v>47736</v>
      </c>
      <c r="M685" s="51" t="s">
        <v>3179</v>
      </c>
      <c r="N685" s="49" t="n">
        <v>4</v>
      </c>
      <c r="O685" s="53" t="n">
        <v>46060.3731365741</v>
      </c>
      <c r="P685" s="53" t="n">
        <v>46061.4662268519</v>
      </c>
      <c r="Q685" s="53" t="n">
        <v>46060.3731365741</v>
      </c>
      <c r="R685" s="0" t="n">
        <v>0</v>
      </c>
      <c r="S685" s="51" t="s">
        <v>3129</v>
      </c>
      <c r="T685" s="51" t="s">
        <v>3129</v>
      </c>
      <c r="U685" s="51" t="s">
        <v>3176</v>
      </c>
      <c r="V685" s="51" t="s">
        <v>2142</v>
      </c>
      <c r="W685" s="51"/>
      <c r="X685" s="51"/>
    </row>
    <row r="686" customFormat="false" ht="14.25" hidden="true" customHeight="false" outlineLevel="0" collapsed="false">
      <c r="A686" s="49" t="s">
        <v>2251</v>
      </c>
      <c r="B686" s="49" t="s">
        <v>14</v>
      </c>
      <c r="C686" s="49" t="s">
        <v>962</v>
      </c>
      <c r="D686" s="49" t="s">
        <v>2441</v>
      </c>
      <c r="E686" s="49" t="s">
        <v>3176</v>
      </c>
      <c r="F686" s="49" t="s">
        <v>942</v>
      </c>
      <c r="G686" s="49" t="n">
        <v>4</v>
      </c>
      <c r="H686" s="0" t="n">
        <v>0</v>
      </c>
      <c r="I686" s="51" t="s">
        <v>3183</v>
      </c>
      <c r="J686" s="49" t="s">
        <v>3182</v>
      </c>
      <c r="K686" s="52" t="n">
        <v>47736</v>
      </c>
      <c r="M686" s="51" t="s">
        <v>3179</v>
      </c>
      <c r="N686" s="49" t="n">
        <v>4</v>
      </c>
      <c r="O686" s="53" t="n">
        <v>46060.3803587963</v>
      </c>
      <c r="P686" s="53" t="n">
        <v>46061.4679050926</v>
      </c>
      <c r="Q686" s="53" t="n">
        <v>46060.3803587963</v>
      </c>
      <c r="R686" s="0" t="n">
        <v>0</v>
      </c>
      <c r="S686" s="51" t="s">
        <v>3129</v>
      </c>
      <c r="T686" s="51" t="s">
        <v>3129</v>
      </c>
      <c r="U686" s="51" t="s">
        <v>3176</v>
      </c>
      <c r="V686" s="51" t="s">
        <v>2142</v>
      </c>
      <c r="W686" s="51"/>
      <c r="X686" s="51"/>
    </row>
    <row r="687" customFormat="false" ht="14.25" hidden="true" customHeight="false" outlineLevel="0" collapsed="false">
      <c r="A687" s="49" t="s">
        <v>2251</v>
      </c>
      <c r="B687" s="49" t="s">
        <v>14</v>
      </c>
      <c r="C687" s="49" t="s">
        <v>965</v>
      </c>
      <c r="D687" s="49" t="s">
        <v>2441</v>
      </c>
      <c r="E687" s="49" t="s">
        <v>3176</v>
      </c>
      <c r="F687" s="49" t="s">
        <v>942</v>
      </c>
      <c r="G687" s="49" t="n">
        <v>4</v>
      </c>
      <c r="H687" s="0" t="n">
        <v>0</v>
      </c>
      <c r="I687" s="51" t="s">
        <v>3184</v>
      </c>
      <c r="J687" s="49" t="s">
        <v>3182</v>
      </c>
      <c r="K687" s="52" t="n">
        <v>47736</v>
      </c>
      <c r="M687" s="51" t="s">
        <v>3179</v>
      </c>
      <c r="N687" s="49" t="n">
        <v>4</v>
      </c>
      <c r="O687" s="53" t="n">
        <v>46060.3782407407</v>
      </c>
      <c r="P687" s="53" t="n">
        <v>46061.4667824074</v>
      </c>
      <c r="Q687" s="53" t="n">
        <v>46060.3782407407</v>
      </c>
      <c r="R687" s="0" t="n">
        <v>0</v>
      </c>
      <c r="S687" s="51" t="s">
        <v>3129</v>
      </c>
      <c r="T687" s="51" t="s">
        <v>3129</v>
      </c>
      <c r="U687" s="51" t="s">
        <v>3176</v>
      </c>
      <c r="V687" s="51" t="s">
        <v>2142</v>
      </c>
      <c r="W687" s="51"/>
      <c r="X687" s="51"/>
    </row>
    <row r="688" customFormat="false" ht="14.25" hidden="true" customHeight="false" outlineLevel="0" collapsed="false">
      <c r="A688" s="49" t="s">
        <v>2251</v>
      </c>
      <c r="B688" s="49" t="s">
        <v>14</v>
      </c>
      <c r="C688" s="49" t="s">
        <v>966</v>
      </c>
      <c r="D688" s="49" t="s">
        <v>2441</v>
      </c>
      <c r="E688" s="49" t="s">
        <v>3176</v>
      </c>
      <c r="F688" s="49" t="s">
        <v>942</v>
      </c>
      <c r="G688" s="49" t="n">
        <v>4</v>
      </c>
      <c r="H688" s="0" t="n">
        <v>0</v>
      </c>
      <c r="I688" s="51" t="s">
        <v>3185</v>
      </c>
      <c r="J688" s="49" t="s">
        <v>3182</v>
      </c>
      <c r="K688" s="52" t="n">
        <v>47736</v>
      </c>
      <c r="M688" s="51" t="s">
        <v>3179</v>
      </c>
      <c r="N688" s="49" t="n">
        <v>4</v>
      </c>
      <c r="O688" s="53" t="n">
        <v>46060.3778819444</v>
      </c>
      <c r="P688" s="53" t="n">
        <v>46061.466724537</v>
      </c>
      <c r="Q688" s="53" t="n">
        <v>46060.3778819444</v>
      </c>
      <c r="R688" s="0" t="n">
        <v>0</v>
      </c>
      <c r="S688" s="51" t="s">
        <v>3129</v>
      </c>
      <c r="T688" s="51" t="s">
        <v>3129</v>
      </c>
      <c r="U688" s="51" t="s">
        <v>3176</v>
      </c>
      <c r="V688" s="51" t="s">
        <v>2142</v>
      </c>
      <c r="W688" s="51"/>
      <c r="X688" s="51"/>
    </row>
    <row r="689" customFormat="false" ht="14.25" hidden="true" customHeight="false" outlineLevel="0" collapsed="false">
      <c r="A689" s="49" t="s">
        <v>2251</v>
      </c>
      <c r="B689" s="49" t="s">
        <v>14</v>
      </c>
      <c r="C689" s="49" t="s">
        <v>967</v>
      </c>
      <c r="D689" s="49" t="s">
        <v>2441</v>
      </c>
      <c r="E689" s="49" t="s">
        <v>3176</v>
      </c>
      <c r="F689" s="49" t="s">
        <v>942</v>
      </c>
      <c r="G689" s="49" t="n">
        <v>4</v>
      </c>
      <c r="H689" s="0" t="n">
        <v>0</v>
      </c>
      <c r="I689" s="51" t="s">
        <v>3186</v>
      </c>
      <c r="J689" s="49" t="s">
        <v>3182</v>
      </c>
      <c r="K689" s="52" t="n">
        <v>47736</v>
      </c>
      <c r="M689" s="51" t="s">
        <v>3179</v>
      </c>
      <c r="N689" s="49" t="n">
        <v>4</v>
      </c>
      <c r="O689" s="53" t="n">
        <v>46060.3772569444</v>
      </c>
      <c r="P689" s="53" t="n">
        <v>46061.4666435185</v>
      </c>
      <c r="Q689" s="53" t="n">
        <v>46060.3772569444</v>
      </c>
      <c r="R689" s="0" t="n">
        <v>0</v>
      </c>
      <c r="S689" s="51" t="s">
        <v>3129</v>
      </c>
      <c r="T689" s="51" t="s">
        <v>3129</v>
      </c>
      <c r="U689" s="51" t="s">
        <v>3176</v>
      </c>
      <c r="V689" s="51" t="s">
        <v>2142</v>
      </c>
      <c r="W689" s="51"/>
      <c r="X689" s="51"/>
    </row>
    <row r="690" customFormat="false" ht="14.25" hidden="true" customHeight="false" outlineLevel="0" collapsed="false">
      <c r="A690" s="49" t="s">
        <v>2251</v>
      </c>
      <c r="B690" s="49" t="s">
        <v>14</v>
      </c>
      <c r="C690" s="49" t="s">
        <v>969</v>
      </c>
      <c r="D690" s="49" t="s">
        <v>2441</v>
      </c>
      <c r="E690" s="49" t="s">
        <v>3176</v>
      </c>
      <c r="F690" s="49" t="s">
        <v>942</v>
      </c>
      <c r="G690" s="49" t="n">
        <v>4</v>
      </c>
      <c r="H690" s="0" t="n">
        <v>0</v>
      </c>
      <c r="I690" s="51" t="s">
        <v>3187</v>
      </c>
      <c r="J690" s="49" t="s">
        <v>3182</v>
      </c>
      <c r="K690" s="52" t="n">
        <v>47736</v>
      </c>
      <c r="M690" s="51" t="s">
        <v>3179</v>
      </c>
      <c r="N690" s="49" t="n">
        <v>4</v>
      </c>
      <c r="O690" s="53" t="n">
        <v>46060.3762731482</v>
      </c>
      <c r="P690" s="53" t="n">
        <v>46061.4664814815</v>
      </c>
      <c r="Q690" s="53" t="n">
        <v>46060.3762731482</v>
      </c>
      <c r="R690" s="0" t="n">
        <v>0</v>
      </c>
      <c r="S690" s="51" t="s">
        <v>3129</v>
      </c>
      <c r="T690" s="51" t="s">
        <v>3129</v>
      </c>
      <c r="U690" s="51" t="s">
        <v>3176</v>
      </c>
      <c r="V690" s="51" t="s">
        <v>2142</v>
      </c>
      <c r="W690" s="51"/>
      <c r="X690" s="51"/>
    </row>
    <row r="691" customFormat="false" ht="14.25" hidden="true" customHeight="false" outlineLevel="0" collapsed="false">
      <c r="A691" s="49" t="s">
        <v>2251</v>
      </c>
      <c r="B691" s="49" t="s">
        <v>14</v>
      </c>
      <c r="C691" s="49" t="s">
        <v>971</v>
      </c>
      <c r="D691" s="49" t="s">
        <v>2441</v>
      </c>
      <c r="E691" s="49" t="s">
        <v>3176</v>
      </c>
      <c r="F691" s="49" t="s">
        <v>942</v>
      </c>
      <c r="G691" s="49" t="n">
        <v>4</v>
      </c>
      <c r="H691" s="0" t="n">
        <v>0</v>
      </c>
      <c r="I691" s="51" t="s">
        <v>3188</v>
      </c>
      <c r="J691" s="49" t="s">
        <v>3182</v>
      </c>
      <c r="K691" s="52" t="n">
        <v>47736</v>
      </c>
      <c r="M691" s="51" t="s">
        <v>3179</v>
      </c>
      <c r="N691" s="49" t="n">
        <v>4</v>
      </c>
      <c r="O691" s="53" t="n">
        <v>46060.3736689815</v>
      </c>
      <c r="P691" s="53" t="n">
        <v>46061.4662962963</v>
      </c>
      <c r="Q691" s="53" t="n">
        <v>46060.3736689815</v>
      </c>
      <c r="R691" s="0" t="n">
        <v>0</v>
      </c>
      <c r="S691" s="51" t="s">
        <v>3129</v>
      </c>
      <c r="T691" s="51" t="s">
        <v>3129</v>
      </c>
      <c r="U691" s="51" t="s">
        <v>3176</v>
      </c>
      <c r="V691" s="51" t="s">
        <v>2142</v>
      </c>
      <c r="W691" s="51"/>
      <c r="X691" s="51"/>
    </row>
    <row r="692" customFormat="false" ht="14.25" hidden="true" customHeight="false" outlineLevel="0" collapsed="false">
      <c r="A692" s="49" t="s">
        <v>2251</v>
      </c>
      <c r="B692" s="49" t="s">
        <v>14</v>
      </c>
      <c r="C692" s="49" t="s">
        <v>1194</v>
      </c>
      <c r="D692" s="49" t="s">
        <v>2441</v>
      </c>
      <c r="E692" s="49" t="s">
        <v>2203</v>
      </c>
      <c r="F692" s="49" t="s">
        <v>170</v>
      </c>
      <c r="G692" s="49" t="n">
        <v>52</v>
      </c>
      <c r="H692" s="0" t="n">
        <v>0</v>
      </c>
      <c r="I692" s="51" t="s">
        <v>3189</v>
      </c>
      <c r="J692" s="49" t="s">
        <v>2208</v>
      </c>
      <c r="K692" s="52" t="n">
        <v>47756</v>
      </c>
      <c r="M692" s="51" t="s">
        <v>3190</v>
      </c>
      <c r="N692" s="49" t="n">
        <v>52</v>
      </c>
      <c r="O692" s="53" t="n">
        <v>46064.383912037</v>
      </c>
      <c r="P692" s="53" t="n">
        <v>46064.4063888889</v>
      </c>
      <c r="Q692" s="53" t="n">
        <v>46064.383912037</v>
      </c>
      <c r="R692" s="0" t="n">
        <v>0</v>
      </c>
      <c r="S692" s="51" t="s">
        <v>3129</v>
      </c>
      <c r="T692" s="51" t="s">
        <v>3129</v>
      </c>
      <c r="U692" s="51" t="s">
        <v>2203</v>
      </c>
      <c r="V692" s="51" t="s">
        <v>2205</v>
      </c>
      <c r="W692" s="51"/>
      <c r="X692" s="51"/>
    </row>
    <row r="693" customFormat="false" ht="14.25" hidden="false" customHeight="false" outlineLevel="0" collapsed="false">
      <c r="A693" s="49" t="s">
        <v>2251</v>
      </c>
      <c r="B693" s="49" t="s">
        <v>14</v>
      </c>
      <c r="C693" s="49" t="s">
        <v>1188</v>
      </c>
      <c r="D693" s="49" t="s">
        <v>2441</v>
      </c>
      <c r="E693" s="49" t="s">
        <v>2203</v>
      </c>
      <c r="F693" s="49" t="s">
        <v>170</v>
      </c>
      <c r="G693" s="49" t="n">
        <v>52</v>
      </c>
      <c r="H693" s="0" t="n">
        <v>0</v>
      </c>
      <c r="I693" s="51" t="s">
        <v>3191</v>
      </c>
      <c r="J693" s="49" t="s">
        <v>2208</v>
      </c>
      <c r="K693" s="52" t="n">
        <v>47756</v>
      </c>
      <c r="M693" s="51" t="s">
        <v>3190</v>
      </c>
      <c r="N693" s="0" t="n">
        <v>52</v>
      </c>
      <c r="O693" s="53" t="n">
        <v>46064.3831712963</v>
      </c>
      <c r="P693" s="53" t="n">
        <v>46064.4041319444</v>
      </c>
      <c r="Q693" s="53" t="n">
        <v>46064.3831712963</v>
      </c>
      <c r="R693" s="0" t="n">
        <v>0</v>
      </c>
      <c r="S693" s="51" t="s">
        <v>3129</v>
      </c>
      <c r="T693" s="51" t="s">
        <v>3129</v>
      </c>
      <c r="U693" s="51" t="s">
        <v>2203</v>
      </c>
      <c r="V693" s="51" t="s">
        <v>2205</v>
      </c>
      <c r="X693" s="51"/>
    </row>
    <row r="694" customFormat="false" ht="14.25" hidden="true" customHeight="false" outlineLevel="0" collapsed="false">
      <c r="A694" s="49" t="s">
        <v>2251</v>
      </c>
      <c r="B694" s="49" t="s">
        <v>14</v>
      </c>
      <c r="C694" s="49" t="s">
        <v>1190</v>
      </c>
      <c r="D694" s="49" t="s">
        <v>2441</v>
      </c>
      <c r="E694" s="49" t="s">
        <v>3192</v>
      </c>
      <c r="F694" s="49" t="s">
        <v>1191</v>
      </c>
      <c r="G694" s="49" t="n">
        <v>4</v>
      </c>
      <c r="H694" s="0" t="n">
        <v>0</v>
      </c>
      <c r="I694" s="51" t="s">
        <v>3193</v>
      </c>
      <c r="J694" s="49" t="s">
        <v>3194</v>
      </c>
      <c r="K694" s="52" t="n">
        <v>47760</v>
      </c>
      <c r="M694" s="51" t="s">
        <v>3190</v>
      </c>
      <c r="N694" s="49" t="n">
        <v>4</v>
      </c>
      <c r="O694" s="53" t="n">
        <v>46064.3747916667</v>
      </c>
      <c r="P694" s="53" t="n">
        <v>46067.6045601852</v>
      </c>
      <c r="Q694" s="0" t="n">
        <v>46064.3747916667</v>
      </c>
      <c r="R694" s="0" t="n">
        <v>0</v>
      </c>
      <c r="S694" s="51" t="s">
        <v>3129</v>
      </c>
      <c r="T694" s="51" t="s">
        <v>3129</v>
      </c>
      <c r="U694" s="51" t="s">
        <v>3192</v>
      </c>
      <c r="V694" s="51" t="s">
        <v>2142</v>
      </c>
    </row>
    <row r="695" customFormat="false" ht="14.25" hidden="true" customHeight="false" outlineLevel="0" collapsed="false">
      <c r="A695" s="49" t="s">
        <v>2251</v>
      </c>
      <c r="B695" s="49" t="s">
        <v>14</v>
      </c>
      <c r="C695" s="49" t="s">
        <v>1202</v>
      </c>
      <c r="D695" s="49" t="s">
        <v>2441</v>
      </c>
      <c r="E695" s="49" t="s">
        <v>3192</v>
      </c>
      <c r="F695" s="49" t="s">
        <v>1191</v>
      </c>
      <c r="G695" s="49" t="n">
        <v>4</v>
      </c>
      <c r="H695" s="0" t="n">
        <v>0</v>
      </c>
      <c r="I695" s="51" t="s">
        <v>3195</v>
      </c>
      <c r="J695" s="49" t="s">
        <v>3194</v>
      </c>
      <c r="K695" s="52" t="n">
        <v>47760</v>
      </c>
      <c r="M695" s="51" t="s">
        <v>3190</v>
      </c>
      <c r="N695" s="49" t="n">
        <v>4</v>
      </c>
      <c r="O695" s="53" t="n">
        <v>46064.3760648148</v>
      </c>
      <c r="P695" s="53" t="n">
        <v>46067.6266898148</v>
      </c>
      <c r="Q695" s="0" t="n">
        <v>46064.3760648148</v>
      </c>
      <c r="R695" s="0" t="n">
        <v>0</v>
      </c>
      <c r="S695" s="51" t="s">
        <v>3129</v>
      </c>
      <c r="T695" s="51" t="s">
        <v>3129</v>
      </c>
      <c r="U695" s="51" t="s">
        <v>3192</v>
      </c>
      <c r="V695" s="51" t="s">
        <v>2142</v>
      </c>
    </row>
    <row r="696" customFormat="false" ht="14.25" hidden="true" customHeight="false" outlineLevel="0" collapsed="false">
      <c r="A696" s="49" t="s">
        <v>2251</v>
      </c>
      <c r="B696" s="49" t="s">
        <v>14</v>
      </c>
      <c r="C696" s="49" t="s">
        <v>1203</v>
      </c>
      <c r="D696" s="49" t="s">
        <v>2441</v>
      </c>
      <c r="E696" s="49" t="s">
        <v>3192</v>
      </c>
      <c r="F696" s="49" t="s">
        <v>1191</v>
      </c>
      <c r="G696" s="49" t="n">
        <v>4</v>
      </c>
      <c r="H696" s="0" t="n">
        <v>0</v>
      </c>
      <c r="I696" s="51" t="s">
        <v>3193</v>
      </c>
      <c r="J696" s="49" t="s">
        <v>3194</v>
      </c>
      <c r="K696" s="52" t="n">
        <v>47760</v>
      </c>
      <c r="M696" s="51" t="s">
        <v>3190</v>
      </c>
      <c r="N696" s="49" t="n">
        <v>4</v>
      </c>
      <c r="O696" s="53" t="n">
        <v>46064.3754282407</v>
      </c>
      <c r="P696" s="53" t="n">
        <v>46067.6084027778</v>
      </c>
      <c r="Q696" s="53" t="n">
        <v>46064.3754282407</v>
      </c>
      <c r="R696" s="0" t="n">
        <v>0</v>
      </c>
      <c r="S696" s="51" t="s">
        <v>3129</v>
      </c>
      <c r="T696" s="51" t="s">
        <v>3129</v>
      </c>
      <c r="U696" s="51" t="s">
        <v>3192</v>
      </c>
      <c r="V696" s="51" t="s">
        <v>2142</v>
      </c>
      <c r="W696" s="51"/>
      <c r="X696" s="51"/>
    </row>
    <row r="697" customFormat="false" ht="14.25" hidden="true" customHeight="false" outlineLevel="0" collapsed="false">
      <c r="A697" s="49" t="s">
        <v>2251</v>
      </c>
      <c r="B697" s="49" t="s">
        <v>14</v>
      </c>
      <c r="C697" s="49" t="s">
        <v>668</v>
      </c>
      <c r="D697" s="49" t="s">
        <v>2441</v>
      </c>
      <c r="E697" s="49" t="s">
        <v>3196</v>
      </c>
      <c r="F697" s="49" t="s">
        <v>651</v>
      </c>
      <c r="G697" s="49" t="n">
        <v>4</v>
      </c>
      <c r="H697" s="0" t="n">
        <v>0</v>
      </c>
      <c r="I697" s="51" t="s">
        <v>3197</v>
      </c>
      <c r="J697" s="49" t="s">
        <v>3198</v>
      </c>
      <c r="K697" s="52" t="n">
        <v>47761</v>
      </c>
      <c r="M697" s="51" t="s">
        <v>3170</v>
      </c>
      <c r="N697" s="49" t="n">
        <v>4</v>
      </c>
      <c r="O697" s="53" t="n">
        <v>46056.7911921296</v>
      </c>
      <c r="P697" s="53" t="n">
        <v>46057.5588425926</v>
      </c>
      <c r="Q697" s="53" t="n">
        <v>46056.7911921296</v>
      </c>
      <c r="R697" s="0" t="n">
        <v>0</v>
      </c>
      <c r="S697" s="51" t="s">
        <v>3129</v>
      </c>
      <c r="T697" s="51" t="s">
        <v>3129</v>
      </c>
      <c r="U697" s="51" t="s">
        <v>3196</v>
      </c>
      <c r="V697" s="51" t="s">
        <v>2142</v>
      </c>
      <c r="W697" s="51"/>
      <c r="X697" s="51"/>
    </row>
    <row r="698" customFormat="false" ht="14.25" hidden="true" customHeight="false" outlineLevel="0" collapsed="false">
      <c r="A698" s="49" t="s">
        <v>2251</v>
      </c>
      <c r="B698" s="49" t="s">
        <v>14</v>
      </c>
      <c r="C698" s="49" t="s">
        <v>957</v>
      </c>
      <c r="D698" s="49" t="s">
        <v>2441</v>
      </c>
      <c r="E698" s="49" t="s">
        <v>3176</v>
      </c>
      <c r="F698" s="49" t="s">
        <v>942</v>
      </c>
      <c r="G698" s="49" t="n">
        <v>4</v>
      </c>
      <c r="H698" s="0" t="n">
        <v>0</v>
      </c>
      <c r="I698" s="51" t="s">
        <v>3199</v>
      </c>
      <c r="J698" s="49" t="s">
        <v>3200</v>
      </c>
      <c r="K698" s="52" t="n">
        <v>47761</v>
      </c>
      <c r="M698" s="51" t="s">
        <v>3179</v>
      </c>
      <c r="N698" s="49" t="n">
        <v>4</v>
      </c>
      <c r="O698" s="53" t="n">
        <v>46060.3818055556</v>
      </c>
      <c r="P698" s="53" t="n">
        <v>46061.4692939815</v>
      </c>
      <c r="Q698" s="53" t="n">
        <v>46060.3818055556</v>
      </c>
      <c r="R698" s="0" t="n">
        <v>0</v>
      </c>
      <c r="S698" s="51" t="s">
        <v>3129</v>
      </c>
      <c r="T698" s="51" t="s">
        <v>3129</v>
      </c>
      <c r="U698" s="51" t="s">
        <v>3176</v>
      </c>
      <c r="V698" s="51" t="s">
        <v>2142</v>
      </c>
      <c r="W698" s="51"/>
      <c r="X698" s="51"/>
    </row>
    <row r="699" customFormat="false" ht="14.25" hidden="true" customHeight="false" outlineLevel="0" collapsed="false">
      <c r="A699" s="49" t="s">
        <v>2251</v>
      </c>
      <c r="B699" s="49" t="s">
        <v>14</v>
      </c>
      <c r="C699" s="49" t="s">
        <v>961</v>
      </c>
      <c r="D699" s="49" t="s">
        <v>2441</v>
      </c>
      <c r="E699" s="49" t="s">
        <v>3176</v>
      </c>
      <c r="F699" s="49" t="s">
        <v>942</v>
      </c>
      <c r="G699" s="49" t="n">
        <v>4</v>
      </c>
      <c r="H699" s="0" t="n">
        <v>0</v>
      </c>
      <c r="I699" s="51" t="s">
        <v>3201</v>
      </c>
      <c r="J699" s="49" t="s">
        <v>3200</v>
      </c>
      <c r="K699" s="52" t="n">
        <v>47761</v>
      </c>
      <c r="M699" s="51" t="s">
        <v>3179</v>
      </c>
      <c r="N699" s="49" t="n">
        <v>4</v>
      </c>
      <c r="O699" s="53" t="n">
        <v>46060.3811342593</v>
      </c>
      <c r="P699" s="53" t="n">
        <v>46061.4691203704</v>
      </c>
      <c r="Q699" s="53" t="n">
        <v>46060.3811342593</v>
      </c>
      <c r="R699" s="0" t="n">
        <v>0</v>
      </c>
      <c r="S699" s="51" t="s">
        <v>3129</v>
      </c>
      <c r="T699" s="51" t="s">
        <v>3129</v>
      </c>
      <c r="U699" s="51" t="s">
        <v>3176</v>
      </c>
      <c r="V699" s="51" t="s">
        <v>2142</v>
      </c>
      <c r="W699" s="51"/>
      <c r="X699" s="51"/>
    </row>
    <row r="700" customFormat="false" ht="14.25" hidden="true" customHeight="false" outlineLevel="0" collapsed="false">
      <c r="A700" s="49" t="s">
        <v>2251</v>
      </c>
      <c r="B700" s="49" t="s">
        <v>14</v>
      </c>
      <c r="C700" s="49" t="s">
        <v>963</v>
      </c>
      <c r="D700" s="49" t="s">
        <v>2441</v>
      </c>
      <c r="E700" s="49" t="s">
        <v>3176</v>
      </c>
      <c r="F700" s="49" t="s">
        <v>942</v>
      </c>
      <c r="G700" s="49" t="n">
        <v>4</v>
      </c>
      <c r="H700" s="0" t="n">
        <v>0</v>
      </c>
      <c r="I700" s="51" t="s">
        <v>3202</v>
      </c>
      <c r="J700" s="49" t="s">
        <v>3200</v>
      </c>
      <c r="K700" s="52" t="n">
        <v>47761</v>
      </c>
      <c r="M700" s="51" t="s">
        <v>3179</v>
      </c>
      <c r="N700" s="49" t="n">
        <v>4</v>
      </c>
      <c r="O700" s="53" t="n">
        <v>46060.3797453704</v>
      </c>
      <c r="P700" s="53" t="n">
        <v>46061.4669212963</v>
      </c>
      <c r="Q700" s="53" t="n">
        <v>46060.3797453704</v>
      </c>
      <c r="R700" s="0" t="n">
        <v>0</v>
      </c>
      <c r="S700" s="51" t="s">
        <v>3129</v>
      </c>
      <c r="T700" s="51" t="s">
        <v>3129</v>
      </c>
      <c r="U700" s="51" t="s">
        <v>3176</v>
      </c>
      <c r="V700" s="51" t="s">
        <v>2142</v>
      </c>
      <c r="W700" s="51"/>
      <c r="X700" s="51"/>
    </row>
    <row r="701" customFormat="false" ht="14.25" hidden="true" customHeight="false" outlineLevel="0" collapsed="false">
      <c r="A701" s="49" t="s">
        <v>2251</v>
      </c>
      <c r="B701" s="49" t="s">
        <v>14</v>
      </c>
      <c r="C701" s="49" t="s">
        <v>964</v>
      </c>
      <c r="D701" s="49" t="s">
        <v>2441</v>
      </c>
      <c r="E701" s="49" t="s">
        <v>3176</v>
      </c>
      <c r="F701" s="49" t="s">
        <v>942</v>
      </c>
      <c r="G701" s="49" t="n">
        <v>4</v>
      </c>
      <c r="H701" s="0" t="n">
        <v>0</v>
      </c>
      <c r="I701" s="51" t="s">
        <v>3203</v>
      </c>
      <c r="J701" s="49" t="s">
        <v>3200</v>
      </c>
      <c r="K701" s="52" t="n">
        <v>47761</v>
      </c>
      <c r="M701" s="51" t="s">
        <v>3179</v>
      </c>
      <c r="N701" s="49" t="n">
        <v>4</v>
      </c>
      <c r="O701" s="53" t="n">
        <v>46060.3788541667</v>
      </c>
      <c r="P701" s="53" t="n">
        <v>46061.4668634259</v>
      </c>
      <c r="Q701" s="53" t="n">
        <v>46060.3788541667</v>
      </c>
      <c r="R701" s="0" t="n">
        <v>0</v>
      </c>
      <c r="S701" s="51" t="s">
        <v>3129</v>
      </c>
      <c r="T701" s="51" t="s">
        <v>3129</v>
      </c>
      <c r="U701" s="51" t="s">
        <v>3176</v>
      </c>
      <c r="V701" s="51" t="s">
        <v>2142</v>
      </c>
      <c r="W701" s="51"/>
      <c r="X701" s="51"/>
    </row>
    <row r="702" customFormat="false" ht="14.25" hidden="true" customHeight="false" outlineLevel="0" collapsed="false">
      <c r="A702" s="49" t="s">
        <v>2251</v>
      </c>
      <c r="B702" s="49" t="s">
        <v>14</v>
      </c>
      <c r="C702" s="49" t="s">
        <v>970</v>
      </c>
      <c r="D702" s="49" t="s">
        <v>2441</v>
      </c>
      <c r="E702" s="49" t="s">
        <v>3176</v>
      </c>
      <c r="F702" s="49" t="s">
        <v>942</v>
      </c>
      <c r="G702" s="49" t="n">
        <v>4</v>
      </c>
      <c r="H702" s="0" t="n">
        <v>0</v>
      </c>
      <c r="I702" s="51" t="s">
        <v>3204</v>
      </c>
      <c r="J702" s="49" t="s">
        <v>3200</v>
      </c>
      <c r="K702" s="52" t="n">
        <v>47761</v>
      </c>
      <c r="M702" s="51" t="s">
        <v>3179</v>
      </c>
      <c r="N702" s="49" t="n">
        <v>4</v>
      </c>
      <c r="O702" s="53" t="n">
        <v>46060.3755324074</v>
      </c>
      <c r="P702" s="53" t="n">
        <v>46061.4663888889</v>
      </c>
      <c r="Q702" s="53" t="n">
        <v>46060.3755324074</v>
      </c>
      <c r="R702" s="0" t="n">
        <v>0</v>
      </c>
      <c r="S702" s="51" t="s">
        <v>3129</v>
      </c>
      <c r="T702" s="51" t="s">
        <v>3129</v>
      </c>
      <c r="U702" s="51" t="s">
        <v>3176</v>
      </c>
      <c r="V702" s="51" t="s">
        <v>2142</v>
      </c>
      <c r="W702" s="51"/>
      <c r="X702" s="51"/>
    </row>
    <row r="703" customFormat="false" ht="14.25" hidden="true" customHeight="false" outlineLevel="0" collapsed="false">
      <c r="A703" s="49" t="s">
        <v>2251</v>
      </c>
      <c r="B703" s="49" t="s">
        <v>14</v>
      </c>
      <c r="C703" s="49" t="s">
        <v>650</v>
      </c>
      <c r="D703" s="49" t="s">
        <v>2441</v>
      </c>
      <c r="E703" s="49" t="s">
        <v>3196</v>
      </c>
      <c r="F703" s="49" t="s">
        <v>651</v>
      </c>
      <c r="G703" s="49" t="n">
        <v>4</v>
      </c>
      <c r="H703" s="0" t="n">
        <v>0</v>
      </c>
      <c r="I703" s="51" t="s">
        <v>3197</v>
      </c>
      <c r="J703" s="49" t="s">
        <v>3198</v>
      </c>
      <c r="K703" s="52" t="n">
        <v>47761</v>
      </c>
      <c r="M703" s="51" t="s">
        <v>3170</v>
      </c>
      <c r="N703" s="49" t="n">
        <v>4</v>
      </c>
      <c r="O703" s="53" t="n">
        <v>46056.5597222222</v>
      </c>
      <c r="P703" s="53" t="n">
        <v>46057.5650462963</v>
      </c>
      <c r="Q703" s="53" t="n">
        <v>46056.5597222222</v>
      </c>
      <c r="R703" s="0" t="n">
        <v>0</v>
      </c>
      <c r="S703" s="51" t="s">
        <v>3129</v>
      </c>
      <c r="T703" s="51" t="s">
        <v>3129</v>
      </c>
      <c r="U703" s="51" t="s">
        <v>3196</v>
      </c>
      <c r="V703" s="51" t="s">
        <v>2142</v>
      </c>
      <c r="W703" s="51"/>
      <c r="X703" s="51"/>
    </row>
    <row r="704" customFormat="false" ht="14.25" hidden="true" customHeight="false" outlineLevel="0" collapsed="false">
      <c r="A704" s="49" t="s">
        <v>2251</v>
      </c>
      <c r="B704" s="49" t="s">
        <v>14</v>
      </c>
      <c r="C704" s="49" t="s">
        <v>671</v>
      </c>
      <c r="D704" s="49" t="s">
        <v>2441</v>
      </c>
      <c r="E704" s="49" t="s">
        <v>3196</v>
      </c>
      <c r="F704" s="49" t="s">
        <v>651</v>
      </c>
      <c r="G704" s="49" t="n">
        <v>2</v>
      </c>
      <c r="H704" s="0" t="n">
        <v>0</v>
      </c>
      <c r="I704" s="51" t="s">
        <v>3205</v>
      </c>
      <c r="J704" s="49" t="s">
        <v>3206</v>
      </c>
      <c r="K704" s="52" t="n">
        <v>47761</v>
      </c>
      <c r="M704" s="51" t="s">
        <v>3170</v>
      </c>
      <c r="N704" s="49" t="n">
        <v>2</v>
      </c>
      <c r="O704" s="53" t="n">
        <v>46056.7884953704</v>
      </c>
      <c r="P704" s="53" t="n">
        <v>46057.6926388889</v>
      </c>
      <c r="Q704" s="53" t="n">
        <v>46056.7884953704</v>
      </c>
      <c r="R704" s="0" t="n">
        <v>0</v>
      </c>
      <c r="S704" s="51" t="s">
        <v>3129</v>
      </c>
      <c r="T704" s="51" t="s">
        <v>3129</v>
      </c>
      <c r="U704" s="51" t="s">
        <v>3196</v>
      </c>
      <c r="V704" s="51" t="s">
        <v>2142</v>
      </c>
      <c r="W704" s="51"/>
      <c r="X704" s="51"/>
    </row>
    <row r="705" customFormat="false" ht="14.25" hidden="true" customHeight="false" outlineLevel="0" collapsed="false">
      <c r="A705" s="49" t="s">
        <v>2251</v>
      </c>
      <c r="B705" s="49" t="s">
        <v>14</v>
      </c>
      <c r="C705" s="49" t="s">
        <v>666</v>
      </c>
      <c r="D705" s="49" t="s">
        <v>2441</v>
      </c>
      <c r="E705" s="49" t="s">
        <v>3196</v>
      </c>
      <c r="F705" s="49" t="s">
        <v>651</v>
      </c>
      <c r="G705" s="49" t="n">
        <v>4</v>
      </c>
      <c r="H705" s="0" t="n">
        <v>0</v>
      </c>
      <c r="I705" s="51" t="s">
        <v>3197</v>
      </c>
      <c r="J705" s="49" t="s">
        <v>3198</v>
      </c>
      <c r="K705" s="52" t="n">
        <v>47761</v>
      </c>
      <c r="M705" s="51" t="s">
        <v>3170</v>
      </c>
      <c r="N705" s="49" t="n">
        <v>4</v>
      </c>
      <c r="O705" s="53" t="n">
        <v>46056.5610300926</v>
      </c>
      <c r="P705" s="53" t="n">
        <v>46057.5719907407</v>
      </c>
      <c r="Q705" s="53" t="n">
        <v>46056.5610300926</v>
      </c>
      <c r="R705" s="0" t="n">
        <v>0</v>
      </c>
      <c r="S705" s="51" t="s">
        <v>3129</v>
      </c>
      <c r="T705" s="51" t="s">
        <v>3129</v>
      </c>
      <c r="U705" s="51" t="s">
        <v>3196</v>
      </c>
      <c r="V705" s="51" t="s">
        <v>2142</v>
      </c>
      <c r="W705" s="51"/>
      <c r="X705" s="51"/>
    </row>
    <row r="706" customFormat="false" ht="14.25" hidden="true" customHeight="false" outlineLevel="0" collapsed="false">
      <c r="A706" s="49" t="s">
        <v>2251</v>
      </c>
      <c r="B706" s="49" t="s">
        <v>14</v>
      </c>
      <c r="C706" s="49" t="s">
        <v>664</v>
      </c>
      <c r="D706" s="49" t="s">
        <v>2441</v>
      </c>
      <c r="E706" s="49" t="s">
        <v>3196</v>
      </c>
      <c r="F706" s="49" t="s">
        <v>651</v>
      </c>
      <c r="G706" s="49" t="n">
        <v>4</v>
      </c>
      <c r="H706" s="0" t="n">
        <v>0</v>
      </c>
      <c r="I706" s="51" t="s">
        <v>3207</v>
      </c>
      <c r="J706" s="49" t="s">
        <v>3198</v>
      </c>
      <c r="K706" s="52" t="n">
        <v>47761</v>
      </c>
      <c r="M706" s="51" t="s">
        <v>3170</v>
      </c>
      <c r="N706" s="49" t="n">
        <v>4</v>
      </c>
      <c r="O706" s="53" t="n">
        <v>46056.5625231481</v>
      </c>
      <c r="P706" s="53" t="n">
        <v>46057.4155902778</v>
      </c>
      <c r="Q706" s="53" t="n">
        <v>46056.5625231481</v>
      </c>
      <c r="R706" s="0" t="n">
        <v>0</v>
      </c>
      <c r="S706" s="51" t="s">
        <v>3129</v>
      </c>
      <c r="T706" s="51" t="s">
        <v>3129</v>
      </c>
      <c r="U706" s="51" t="s">
        <v>3196</v>
      </c>
      <c r="V706" s="51" t="s">
        <v>2142</v>
      </c>
      <c r="W706" s="51"/>
      <c r="X706" s="51"/>
    </row>
    <row r="707" customFormat="false" ht="14.25" hidden="true" customHeight="false" outlineLevel="0" collapsed="false">
      <c r="A707" s="49" t="s">
        <v>2251</v>
      </c>
      <c r="B707" s="49" t="s">
        <v>14</v>
      </c>
      <c r="C707" s="49" t="s">
        <v>661</v>
      </c>
      <c r="D707" s="49" t="s">
        <v>2441</v>
      </c>
      <c r="E707" s="49" t="s">
        <v>3196</v>
      </c>
      <c r="F707" s="49" t="s">
        <v>651</v>
      </c>
      <c r="G707" s="49" t="n">
        <v>4</v>
      </c>
      <c r="H707" s="0" t="n">
        <v>0</v>
      </c>
      <c r="I707" s="51" t="s">
        <v>3208</v>
      </c>
      <c r="J707" s="49" t="s">
        <v>3198</v>
      </c>
      <c r="K707" s="52" t="n">
        <v>47761</v>
      </c>
      <c r="M707" s="51" t="s">
        <v>3170</v>
      </c>
      <c r="N707" s="49" t="n">
        <v>4</v>
      </c>
      <c r="O707" s="53" t="n">
        <v>46056.5638194445</v>
      </c>
      <c r="P707" s="53" t="n">
        <v>46058.3651273148</v>
      </c>
      <c r="Q707" s="53" t="n">
        <v>46056.5638194445</v>
      </c>
      <c r="R707" s="0" t="n">
        <v>0</v>
      </c>
      <c r="S707" s="51" t="s">
        <v>3129</v>
      </c>
      <c r="T707" s="51" t="s">
        <v>3129</v>
      </c>
      <c r="U707" s="51" t="s">
        <v>3196</v>
      </c>
      <c r="V707" s="51" t="s">
        <v>2142</v>
      </c>
      <c r="W707" s="51" t="s">
        <v>3174</v>
      </c>
      <c r="X707" s="51"/>
    </row>
    <row r="708" customFormat="false" ht="14.25" hidden="true" customHeight="false" outlineLevel="0" collapsed="false">
      <c r="A708" s="49" t="s">
        <v>2251</v>
      </c>
      <c r="B708" s="49" t="s">
        <v>14</v>
      </c>
      <c r="C708" s="49" t="s">
        <v>659</v>
      </c>
      <c r="D708" s="49" t="s">
        <v>2441</v>
      </c>
      <c r="E708" s="49" t="s">
        <v>3196</v>
      </c>
      <c r="F708" s="49" t="s">
        <v>651</v>
      </c>
      <c r="G708" s="49" t="n">
        <v>4</v>
      </c>
      <c r="H708" s="0" t="n">
        <v>0</v>
      </c>
      <c r="I708" s="51" t="s">
        <v>3207</v>
      </c>
      <c r="J708" s="49" t="s">
        <v>3198</v>
      </c>
      <c r="K708" s="52" t="n">
        <v>47761</v>
      </c>
      <c r="M708" s="51" t="s">
        <v>3170</v>
      </c>
      <c r="N708" s="49" t="n">
        <v>4</v>
      </c>
      <c r="O708" s="53" t="n">
        <v>46056.5642708333</v>
      </c>
      <c r="P708" s="53" t="n">
        <v>46057.4289351852</v>
      </c>
      <c r="Q708" s="53" t="n">
        <v>46056.5642708333</v>
      </c>
      <c r="R708" s="0" t="n">
        <v>0</v>
      </c>
      <c r="S708" s="51" t="s">
        <v>3129</v>
      </c>
      <c r="T708" s="51" t="s">
        <v>3129</v>
      </c>
      <c r="U708" s="51" t="s">
        <v>3196</v>
      </c>
      <c r="V708" s="51" t="s">
        <v>2142</v>
      </c>
      <c r="W708" s="51"/>
      <c r="X708" s="51"/>
    </row>
    <row r="709" customFormat="false" ht="14.25" hidden="true" customHeight="false" outlineLevel="0" collapsed="false">
      <c r="A709" s="49" t="s">
        <v>2251</v>
      </c>
      <c r="B709" s="49" t="s">
        <v>14</v>
      </c>
      <c r="C709" s="49" t="s">
        <v>658</v>
      </c>
      <c r="D709" s="49" t="s">
        <v>2441</v>
      </c>
      <c r="E709" s="49" t="s">
        <v>3196</v>
      </c>
      <c r="F709" s="49" t="s">
        <v>651</v>
      </c>
      <c r="G709" s="49" t="n">
        <v>4</v>
      </c>
      <c r="H709" s="0" t="n">
        <v>0</v>
      </c>
      <c r="I709" s="51" t="s">
        <v>3209</v>
      </c>
      <c r="J709" s="49" t="s">
        <v>3198</v>
      </c>
      <c r="K709" s="52" t="n">
        <v>47761</v>
      </c>
      <c r="M709" s="51" t="s">
        <v>3170</v>
      </c>
      <c r="N709" s="49" t="n">
        <v>4</v>
      </c>
      <c r="O709" s="53" t="n">
        <v>46056.5646759259</v>
      </c>
      <c r="P709" s="53" t="n">
        <v>46057.6915972222</v>
      </c>
      <c r="Q709" s="53" t="n">
        <v>46056.5646759259</v>
      </c>
      <c r="R709" s="0" t="n">
        <v>0</v>
      </c>
      <c r="S709" s="51" t="s">
        <v>3129</v>
      </c>
      <c r="T709" s="51" t="s">
        <v>3129</v>
      </c>
      <c r="U709" s="51" t="s">
        <v>3196</v>
      </c>
      <c r="V709" s="51" t="s">
        <v>2142</v>
      </c>
      <c r="W709" s="51"/>
      <c r="X709" s="51"/>
    </row>
    <row r="710" customFormat="false" ht="14.25" hidden="true" customHeight="false" outlineLevel="0" collapsed="false">
      <c r="A710" s="49" t="s">
        <v>2251</v>
      </c>
      <c r="B710" s="49" t="s">
        <v>14</v>
      </c>
      <c r="C710" s="49" t="s">
        <v>657</v>
      </c>
      <c r="D710" s="49" t="s">
        <v>2441</v>
      </c>
      <c r="E710" s="49" t="s">
        <v>3196</v>
      </c>
      <c r="F710" s="49" t="s">
        <v>651</v>
      </c>
      <c r="G710" s="49" t="n">
        <v>4</v>
      </c>
      <c r="H710" s="0" t="n">
        <v>0</v>
      </c>
      <c r="I710" s="51" t="s">
        <v>3207</v>
      </c>
      <c r="J710" s="49" t="s">
        <v>3198</v>
      </c>
      <c r="K710" s="52" t="n">
        <v>47761</v>
      </c>
      <c r="M710" s="51" t="s">
        <v>3170</v>
      </c>
      <c r="N710" s="49" t="n">
        <v>4</v>
      </c>
      <c r="O710" s="53" t="n">
        <v>46056.5656018519</v>
      </c>
      <c r="P710" s="53" t="n">
        <v>46057.4247685185</v>
      </c>
      <c r="Q710" s="53" t="n">
        <v>46056.5656018519</v>
      </c>
      <c r="R710" s="0" t="n">
        <v>0</v>
      </c>
      <c r="S710" s="51" t="s">
        <v>3129</v>
      </c>
      <c r="T710" s="51" t="s">
        <v>3129</v>
      </c>
      <c r="U710" s="51" t="s">
        <v>3196</v>
      </c>
      <c r="V710" s="51" t="s">
        <v>2142</v>
      </c>
      <c r="W710" s="51"/>
      <c r="X710" s="51"/>
    </row>
    <row r="711" customFormat="false" ht="14.25" hidden="true" customHeight="false" outlineLevel="0" collapsed="false">
      <c r="A711" s="49" t="s">
        <v>2251</v>
      </c>
      <c r="B711" s="49" t="s">
        <v>14</v>
      </c>
      <c r="C711" s="49" t="s">
        <v>655</v>
      </c>
      <c r="D711" s="49" t="s">
        <v>2441</v>
      </c>
      <c r="E711" s="49" t="s">
        <v>3196</v>
      </c>
      <c r="F711" s="49" t="s">
        <v>651</v>
      </c>
      <c r="G711" s="49" t="n">
        <v>4</v>
      </c>
      <c r="H711" s="0" t="n">
        <v>0</v>
      </c>
      <c r="I711" s="51" t="s">
        <v>3207</v>
      </c>
      <c r="J711" s="49" t="s">
        <v>3198</v>
      </c>
      <c r="K711" s="52" t="n">
        <v>47761</v>
      </c>
      <c r="M711" s="51" t="s">
        <v>3170</v>
      </c>
      <c r="N711" s="49" t="n">
        <v>4</v>
      </c>
      <c r="O711" s="53" t="n">
        <v>46056.5672106482</v>
      </c>
      <c r="P711" s="53" t="n">
        <v>46057.4231712963</v>
      </c>
      <c r="Q711" s="53" t="n">
        <v>46056.5672106482</v>
      </c>
      <c r="R711" s="0" t="n">
        <v>0</v>
      </c>
      <c r="S711" s="51" t="s">
        <v>3129</v>
      </c>
      <c r="T711" s="51" t="s">
        <v>3129</v>
      </c>
      <c r="U711" s="51" t="s">
        <v>3196</v>
      </c>
      <c r="V711" s="51" t="s">
        <v>2142</v>
      </c>
      <c r="X711" s="51"/>
    </row>
    <row r="712" customFormat="false" ht="14.25" hidden="true" customHeight="false" outlineLevel="0" collapsed="false">
      <c r="A712" s="49" t="s">
        <v>2251</v>
      </c>
      <c r="B712" s="49" t="s">
        <v>14</v>
      </c>
      <c r="C712" s="49" t="s">
        <v>653</v>
      </c>
      <c r="D712" s="49" t="s">
        <v>2441</v>
      </c>
      <c r="E712" s="49" t="s">
        <v>3196</v>
      </c>
      <c r="F712" s="49" t="s">
        <v>651</v>
      </c>
      <c r="G712" s="49" t="n">
        <v>4</v>
      </c>
      <c r="H712" s="0" t="n">
        <v>0</v>
      </c>
      <c r="I712" s="51" t="s">
        <v>3207</v>
      </c>
      <c r="J712" s="49" t="s">
        <v>3198</v>
      </c>
      <c r="K712" s="52" t="n">
        <v>47761</v>
      </c>
      <c r="M712" s="51" t="s">
        <v>3170</v>
      </c>
      <c r="N712" s="49" t="n">
        <v>4</v>
      </c>
      <c r="O712" s="53" t="n">
        <v>46056.5726851852</v>
      </c>
      <c r="P712" s="53" t="n">
        <v>46057.4191782407</v>
      </c>
      <c r="Q712" s="53" t="n">
        <v>46056.5726851852</v>
      </c>
      <c r="R712" s="0" t="n">
        <v>0</v>
      </c>
      <c r="S712" s="51" t="s">
        <v>3129</v>
      </c>
      <c r="T712" s="51" t="s">
        <v>3129</v>
      </c>
      <c r="U712" s="51" t="s">
        <v>3196</v>
      </c>
      <c r="V712" s="51" t="s">
        <v>2142</v>
      </c>
      <c r="W712" s="51"/>
      <c r="X712" s="51"/>
    </row>
    <row r="713" customFormat="false" ht="14.25" hidden="true" customHeight="false" outlineLevel="0" collapsed="false">
      <c r="A713" s="49" t="s">
        <v>2251</v>
      </c>
      <c r="B713" s="49" t="s">
        <v>14</v>
      </c>
      <c r="C713" s="49" t="s">
        <v>652</v>
      </c>
      <c r="D713" s="49" t="s">
        <v>2441</v>
      </c>
      <c r="E713" s="49" t="s">
        <v>3196</v>
      </c>
      <c r="F713" s="49" t="s">
        <v>651</v>
      </c>
      <c r="G713" s="49" t="n">
        <v>4</v>
      </c>
      <c r="H713" s="0" t="n">
        <v>0</v>
      </c>
      <c r="I713" s="51" t="s">
        <v>3210</v>
      </c>
      <c r="J713" s="49" t="s">
        <v>3211</v>
      </c>
      <c r="K713" s="52" t="n">
        <v>47761</v>
      </c>
      <c r="M713" s="51" t="s">
        <v>3170</v>
      </c>
      <c r="N713" s="49" t="n">
        <v>4</v>
      </c>
      <c r="O713" s="53" t="n">
        <v>46056.7801851852</v>
      </c>
      <c r="P713" s="53" t="n">
        <v>46057.7081712963</v>
      </c>
      <c r="Q713" s="53" t="n">
        <v>46056.7801851852</v>
      </c>
      <c r="R713" s="0" t="n">
        <v>0</v>
      </c>
      <c r="S713" s="51" t="s">
        <v>3129</v>
      </c>
      <c r="T713" s="51" t="s">
        <v>3129</v>
      </c>
      <c r="U713" s="51" t="s">
        <v>3196</v>
      </c>
      <c r="V713" s="51" t="s">
        <v>2142</v>
      </c>
      <c r="W713" s="51"/>
      <c r="X713" s="51"/>
    </row>
    <row r="714" customFormat="false" ht="14.25" hidden="true" customHeight="false" outlineLevel="0" collapsed="false">
      <c r="A714" s="49" t="s">
        <v>2251</v>
      </c>
      <c r="B714" s="49" t="s">
        <v>14</v>
      </c>
      <c r="C714" s="49" t="s">
        <v>678</v>
      </c>
      <c r="D714" s="49" t="s">
        <v>2441</v>
      </c>
      <c r="E714" s="49" t="s">
        <v>3196</v>
      </c>
      <c r="F714" s="49" t="s">
        <v>651</v>
      </c>
      <c r="G714" s="49" t="n">
        <v>4</v>
      </c>
      <c r="H714" s="0" t="n">
        <v>0</v>
      </c>
      <c r="I714" s="51" t="s">
        <v>3212</v>
      </c>
      <c r="J714" s="49" t="s">
        <v>3198</v>
      </c>
      <c r="K714" s="52" t="n">
        <v>47761</v>
      </c>
      <c r="M714" s="51" t="s">
        <v>3170</v>
      </c>
      <c r="N714" s="49" t="n">
        <v>4</v>
      </c>
      <c r="O714" s="53" t="n">
        <v>46056.7817708333</v>
      </c>
      <c r="P714" s="53" t="n">
        <v>46057.7899305556</v>
      </c>
      <c r="Q714" s="53" t="n">
        <v>46056.7817708333</v>
      </c>
      <c r="R714" s="0" t="n">
        <v>0</v>
      </c>
      <c r="S714" s="51" t="s">
        <v>3129</v>
      </c>
      <c r="T714" s="51" t="s">
        <v>3129</v>
      </c>
      <c r="U714" s="51" t="s">
        <v>3196</v>
      </c>
      <c r="V714" s="51" t="s">
        <v>2142</v>
      </c>
      <c r="W714" s="51"/>
      <c r="X714" s="51"/>
    </row>
    <row r="715" customFormat="false" ht="14.25" hidden="true" customHeight="false" outlineLevel="0" collapsed="false">
      <c r="A715" s="49" t="s">
        <v>2251</v>
      </c>
      <c r="B715" s="49" t="s">
        <v>14</v>
      </c>
      <c r="C715" s="49" t="s">
        <v>676</v>
      </c>
      <c r="D715" s="49" t="s">
        <v>2441</v>
      </c>
      <c r="E715" s="49" t="s">
        <v>3196</v>
      </c>
      <c r="F715" s="49" t="s">
        <v>651</v>
      </c>
      <c r="G715" s="49" t="n">
        <v>4</v>
      </c>
      <c r="H715" s="0" t="n">
        <v>0</v>
      </c>
      <c r="I715" s="51" t="s">
        <v>3197</v>
      </c>
      <c r="J715" s="49" t="s">
        <v>3198</v>
      </c>
      <c r="K715" s="52" t="n">
        <v>47761</v>
      </c>
      <c r="M715" s="51" t="s">
        <v>3170</v>
      </c>
      <c r="N715" s="49" t="n">
        <v>4</v>
      </c>
      <c r="O715" s="53" t="n">
        <v>46056.7846643519</v>
      </c>
      <c r="P715" s="53" t="n">
        <v>46057.5684027778</v>
      </c>
      <c r="Q715" s="53" t="n">
        <v>46056.7846643519</v>
      </c>
      <c r="R715" s="0" t="n">
        <v>0</v>
      </c>
      <c r="S715" s="51" t="s">
        <v>3129</v>
      </c>
      <c r="T715" s="51" t="s">
        <v>3129</v>
      </c>
      <c r="U715" s="51" t="s">
        <v>3196</v>
      </c>
      <c r="V715" s="51" t="s">
        <v>2142</v>
      </c>
      <c r="W715" s="51"/>
      <c r="X715" s="51"/>
    </row>
    <row r="716" customFormat="false" ht="14.25" hidden="true" customHeight="false" outlineLevel="0" collapsed="false">
      <c r="A716" s="49" t="s">
        <v>2251</v>
      </c>
      <c r="B716" s="49" t="s">
        <v>14</v>
      </c>
      <c r="C716" s="49" t="s">
        <v>674</v>
      </c>
      <c r="D716" s="49" t="s">
        <v>2441</v>
      </c>
      <c r="E716" s="49" t="s">
        <v>3196</v>
      </c>
      <c r="F716" s="49" t="s">
        <v>651</v>
      </c>
      <c r="G716" s="49" t="n">
        <v>4</v>
      </c>
      <c r="H716" s="0" t="n">
        <v>0</v>
      </c>
      <c r="I716" s="51" t="s">
        <v>3197</v>
      </c>
      <c r="J716" s="49" t="s">
        <v>3198</v>
      </c>
      <c r="K716" s="52" t="n">
        <v>47761</v>
      </c>
      <c r="M716" s="51" t="s">
        <v>3170</v>
      </c>
      <c r="N716" s="49" t="n">
        <v>4</v>
      </c>
      <c r="O716" s="53" t="n">
        <v>46056.7868981482</v>
      </c>
      <c r="P716" s="53" t="n">
        <v>46057.5612152778</v>
      </c>
      <c r="Q716" s="0" t="n">
        <v>46056.7868981482</v>
      </c>
      <c r="R716" s="0" t="n">
        <v>0</v>
      </c>
      <c r="S716" s="51" t="s">
        <v>3129</v>
      </c>
      <c r="T716" s="51" t="s">
        <v>3129</v>
      </c>
      <c r="U716" s="51" t="s">
        <v>3196</v>
      </c>
      <c r="V716" s="51" t="s">
        <v>2142</v>
      </c>
    </row>
    <row r="717" customFormat="false" ht="14.25" hidden="false" customHeight="false" outlineLevel="0" collapsed="false">
      <c r="A717" s="49" t="s">
        <v>2251</v>
      </c>
      <c r="B717" s="49" t="s">
        <v>14</v>
      </c>
      <c r="C717" s="49" t="s">
        <v>669</v>
      </c>
      <c r="D717" s="49" t="s">
        <v>2441</v>
      </c>
      <c r="E717" s="49" t="s">
        <v>3196</v>
      </c>
      <c r="F717" s="49" t="s">
        <v>651</v>
      </c>
      <c r="G717" s="49" t="n">
        <v>2</v>
      </c>
      <c r="H717" s="0" t="n">
        <v>0</v>
      </c>
      <c r="I717" s="51" t="s">
        <v>3213</v>
      </c>
      <c r="J717" s="49" t="s">
        <v>3214</v>
      </c>
      <c r="K717" s="52" t="n">
        <v>47764</v>
      </c>
      <c r="M717" s="51" t="s">
        <v>3170</v>
      </c>
      <c r="N717" s="0" t="n">
        <v>2</v>
      </c>
      <c r="O717" s="53" t="n">
        <v>46056.7903472222</v>
      </c>
      <c r="P717" s="53" t="n">
        <v>46057.6927777778</v>
      </c>
      <c r="Q717" s="53" t="n">
        <v>46056.7903472222</v>
      </c>
      <c r="R717" s="0" t="n">
        <v>0</v>
      </c>
      <c r="S717" s="51" t="s">
        <v>3129</v>
      </c>
      <c r="T717" s="51" t="s">
        <v>3129</v>
      </c>
      <c r="U717" s="51" t="s">
        <v>3196</v>
      </c>
      <c r="V717" s="51" t="s">
        <v>2142</v>
      </c>
      <c r="W717" s="51"/>
      <c r="X717" s="51"/>
    </row>
    <row r="718" customFormat="false" ht="14.25" hidden="true" customHeight="false" outlineLevel="0" collapsed="false">
      <c r="A718" s="49" t="s">
        <v>2251</v>
      </c>
      <c r="B718" s="49" t="s">
        <v>14</v>
      </c>
      <c r="C718" s="49" t="s">
        <v>1324</v>
      </c>
      <c r="D718" s="49" t="s">
        <v>2441</v>
      </c>
      <c r="E718" s="49" t="s">
        <v>3215</v>
      </c>
      <c r="F718" s="49" t="s">
        <v>1323</v>
      </c>
      <c r="G718" s="49" t="n">
        <v>4</v>
      </c>
      <c r="H718" s="0" t="n">
        <v>0</v>
      </c>
      <c r="I718" s="51" t="s">
        <v>3216</v>
      </c>
      <c r="J718" s="49" t="s">
        <v>3217</v>
      </c>
      <c r="K718" s="52" t="n">
        <v>47766</v>
      </c>
      <c r="M718" s="51" t="s">
        <v>3218</v>
      </c>
      <c r="N718" s="49" t="n">
        <v>4</v>
      </c>
      <c r="O718" s="53" t="n">
        <v>46067.5883101852</v>
      </c>
      <c r="P718" s="53" t="n">
        <v>46067.7377546296</v>
      </c>
      <c r="Q718" s="53" t="n">
        <v>46067.5883101852</v>
      </c>
      <c r="R718" s="0" t="n">
        <v>0</v>
      </c>
      <c r="S718" s="51" t="s">
        <v>3129</v>
      </c>
      <c r="T718" s="51" t="s">
        <v>3129</v>
      </c>
      <c r="U718" s="51" t="s">
        <v>3215</v>
      </c>
      <c r="V718" s="51" t="s">
        <v>2142</v>
      </c>
      <c r="W718" s="51"/>
      <c r="X718" s="51"/>
    </row>
    <row r="719" customFormat="false" ht="14.25" hidden="true" customHeight="false" outlineLevel="0" collapsed="false">
      <c r="A719" s="49" t="s">
        <v>2251</v>
      </c>
      <c r="B719" s="49" t="s">
        <v>14</v>
      </c>
      <c r="C719" s="49" t="s">
        <v>1322</v>
      </c>
      <c r="D719" s="49" t="s">
        <v>2441</v>
      </c>
      <c r="E719" s="49" t="s">
        <v>3215</v>
      </c>
      <c r="F719" s="49" t="s">
        <v>1323</v>
      </c>
      <c r="G719" s="49" t="n">
        <v>4</v>
      </c>
      <c r="H719" s="0" t="n">
        <v>0</v>
      </c>
      <c r="I719" s="51" t="s">
        <v>3216</v>
      </c>
      <c r="J719" s="49" t="s">
        <v>3217</v>
      </c>
      <c r="K719" s="52" t="n">
        <v>47766</v>
      </c>
      <c r="M719" s="51" t="s">
        <v>3218</v>
      </c>
      <c r="N719" s="49" t="n">
        <v>4</v>
      </c>
      <c r="O719" s="53" t="n">
        <v>46067.5834375</v>
      </c>
      <c r="P719" s="53" t="n">
        <v>46067.7511226852</v>
      </c>
      <c r="Q719" s="53" t="n">
        <v>46067.5834375</v>
      </c>
      <c r="R719" s="0" t="n">
        <v>0</v>
      </c>
      <c r="S719" s="51" t="s">
        <v>3129</v>
      </c>
      <c r="T719" s="51" t="s">
        <v>3129</v>
      </c>
      <c r="U719" s="51" t="s">
        <v>3215</v>
      </c>
      <c r="V719" s="51" t="s">
        <v>2142</v>
      </c>
      <c r="W719" s="51"/>
      <c r="X719" s="51"/>
    </row>
    <row r="720" customFormat="false" ht="14.25" hidden="true" customHeight="false" outlineLevel="0" collapsed="false">
      <c r="A720" s="49" t="s">
        <v>2251</v>
      </c>
      <c r="B720" s="49" t="s">
        <v>14</v>
      </c>
      <c r="C720" s="49" t="s">
        <v>1328</v>
      </c>
      <c r="D720" s="49" t="s">
        <v>2441</v>
      </c>
      <c r="E720" s="49" t="s">
        <v>3215</v>
      </c>
      <c r="F720" s="49" t="s">
        <v>1323</v>
      </c>
      <c r="G720" s="49" t="n">
        <v>4</v>
      </c>
      <c r="H720" s="0" t="n">
        <v>0</v>
      </c>
      <c r="I720" s="51" t="s">
        <v>3216</v>
      </c>
      <c r="J720" s="49" t="s">
        <v>3217</v>
      </c>
      <c r="K720" s="52" t="n">
        <v>47766</v>
      </c>
      <c r="M720" s="51" t="s">
        <v>3218</v>
      </c>
      <c r="N720" s="49" t="n">
        <v>4</v>
      </c>
      <c r="O720" s="53" t="n">
        <v>46067.5848726852</v>
      </c>
      <c r="P720" s="53" t="n">
        <v>46067.7471990741</v>
      </c>
      <c r="Q720" s="53" t="n">
        <v>46067.5848726852</v>
      </c>
      <c r="R720" s="0" t="n">
        <v>0</v>
      </c>
      <c r="S720" s="51" t="s">
        <v>3129</v>
      </c>
      <c r="T720" s="51" t="s">
        <v>3129</v>
      </c>
      <c r="U720" s="51" t="s">
        <v>3215</v>
      </c>
      <c r="V720" s="51" t="s">
        <v>2142</v>
      </c>
      <c r="W720" s="51"/>
      <c r="X720" s="51"/>
    </row>
    <row r="721" customFormat="false" ht="14.25" hidden="true" customHeight="false" outlineLevel="0" collapsed="false">
      <c r="A721" s="49" t="s">
        <v>2251</v>
      </c>
      <c r="B721" s="49" t="s">
        <v>14</v>
      </c>
      <c r="C721" s="49" t="s">
        <v>1326</v>
      </c>
      <c r="D721" s="49" t="s">
        <v>2441</v>
      </c>
      <c r="E721" s="49" t="s">
        <v>3215</v>
      </c>
      <c r="F721" s="49" t="s">
        <v>1323</v>
      </c>
      <c r="G721" s="49" t="n">
        <v>4</v>
      </c>
      <c r="H721" s="0" t="n">
        <v>0</v>
      </c>
      <c r="I721" s="51" t="s">
        <v>3216</v>
      </c>
      <c r="J721" s="49" t="s">
        <v>3217</v>
      </c>
      <c r="K721" s="52" t="n">
        <v>47766</v>
      </c>
      <c r="M721" s="51" t="s">
        <v>3218</v>
      </c>
      <c r="N721" s="49" t="n">
        <v>4</v>
      </c>
      <c r="O721" s="53" t="n">
        <v>46067.5859375</v>
      </c>
      <c r="P721" s="53" t="n">
        <v>46067.7447685185</v>
      </c>
      <c r="Q721" s="53" t="n">
        <v>46067.5859375</v>
      </c>
      <c r="R721" s="0" t="n">
        <v>0</v>
      </c>
      <c r="S721" s="51" t="s">
        <v>3129</v>
      </c>
      <c r="T721" s="51" t="s">
        <v>3129</v>
      </c>
      <c r="U721" s="51" t="s">
        <v>3215</v>
      </c>
      <c r="V721" s="51" t="s">
        <v>2142</v>
      </c>
      <c r="W721" s="51"/>
      <c r="X721" s="51"/>
    </row>
    <row r="722" customFormat="false" ht="14.25" hidden="true" customHeight="false" outlineLevel="0" collapsed="false">
      <c r="A722" s="49" t="s">
        <v>2251</v>
      </c>
      <c r="B722" s="49" t="s">
        <v>14</v>
      </c>
      <c r="C722" s="49" t="s">
        <v>1325</v>
      </c>
      <c r="D722" s="49" t="s">
        <v>2441</v>
      </c>
      <c r="E722" s="49" t="s">
        <v>3215</v>
      </c>
      <c r="F722" s="49" t="s">
        <v>1323</v>
      </c>
      <c r="G722" s="49" t="n">
        <v>4</v>
      </c>
      <c r="H722" s="0" t="n">
        <v>0</v>
      </c>
      <c r="I722" s="51" t="s">
        <v>3216</v>
      </c>
      <c r="J722" s="49" t="s">
        <v>3217</v>
      </c>
      <c r="K722" s="52" t="n">
        <v>47766</v>
      </c>
      <c r="M722" s="51" t="s">
        <v>3218</v>
      </c>
      <c r="N722" s="49" t="n">
        <v>4</v>
      </c>
      <c r="O722" s="53" t="n">
        <v>46067.5870023148</v>
      </c>
      <c r="P722" s="53" t="n">
        <v>46067.7414583333</v>
      </c>
      <c r="Q722" s="53" t="n">
        <v>46067.5870023148</v>
      </c>
      <c r="R722" s="0" t="n">
        <v>0</v>
      </c>
      <c r="S722" s="51" t="s">
        <v>3129</v>
      </c>
      <c r="T722" s="51" t="s">
        <v>3129</v>
      </c>
      <c r="U722" s="51" t="s">
        <v>3215</v>
      </c>
      <c r="V722" s="51" t="s">
        <v>2142</v>
      </c>
      <c r="W722" s="51"/>
      <c r="X722" s="51"/>
    </row>
    <row r="723" customFormat="false" ht="14.25" hidden="true" customHeight="false" outlineLevel="0" collapsed="false">
      <c r="A723" s="49" t="s">
        <v>2251</v>
      </c>
      <c r="B723" s="49" t="s">
        <v>14</v>
      </c>
      <c r="C723" s="49" t="s">
        <v>936</v>
      </c>
      <c r="D723" s="49" t="s">
        <v>2441</v>
      </c>
      <c r="E723" s="49" t="s">
        <v>3219</v>
      </c>
      <c r="F723" s="49" t="s">
        <v>913</v>
      </c>
      <c r="G723" s="49" t="n">
        <v>4</v>
      </c>
      <c r="H723" s="0" t="n">
        <v>0</v>
      </c>
      <c r="I723" s="51" t="s">
        <v>3220</v>
      </c>
      <c r="J723" s="49" t="s">
        <v>3221</v>
      </c>
      <c r="K723" s="52" t="n">
        <v>47774</v>
      </c>
      <c r="M723" s="51" t="s">
        <v>3222</v>
      </c>
      <c r="N723" s="49" t="n">
        <v>4</v>
      </c>
      <c r="O723" s="53" t="n">
        <v>46060.3587384259</v>
      </c>
      <c r="P723" s="53" t="n">
        <v>46060.4463425926</v>
      </c>
      <c r="Q723" s="53" t="n">
        <v>46060.3587384259</v>
      </c>
      <c r="R723" s="0" t="n">
        <v>0</v>
      </c>
      <c r="S723" s="51" t="s">
        <v>3129</v>
      </c>
      <c r="T723" s="51" t="s">
        <v>3129</v>
      </c>
      <c r="U723" s="51" t="s">
        <v>3219</v>
      </c>
      <c r="V723" s="51" t="s">
        <v>2142</v>
      </c>
      <c r="W723" s="51"/>
      <c r="X723" s="51"/>
    </row>
    <row r="724" customFormat="false" ht="14.25" hidden="true" customHeight="false" outlineLevel="0" collapsed="false">
      <c r="A724" s="49" t="s">
        <v>2251</v>
      </c>
      <c r="B724" s="49" t="s">
        <v>14</v>
      </c>
      <c r="C724" s="49" t="s">
        <v>943</v>
      </c>
      <c r="D724" s="49" t="s">
        <v>2441</v>
      </c>
      <c r="E724" s="49" t="s">
        <v>3219</v>
      </c>
      <c r="F724" s="49" t="s">
        <v>913</v>
      </c>
      <c r="G724" s="49" t="n">
        <v>4</v>
      </c>
      <c r="H724" s="0" t="n">
        <v>0</v>
      </c>
      <c r="I724" s="51" t="s">
        <v>3223</v>
      </c>
      <c r="J724" s="49" t="s">
        <v>3221</v>
      </c>
      <c r="K724" s="52" t="n">
        <v>47774</v>
      </c>
      <c r="M724" s="51" t="s">
        <v>3179</v>
      </c>
      <c r="N724" s="49" t="n">
        <v>4</v>
      </c>
      <c r="O724" s="53" t="n">
        <v>46060.4073611111</v>
      </c>
      <c r="P724" s="53" t="n">
        <v>46060.5590393519</v>
      </c>
      <c r="Q724" s="53" t="n">
        <v>46060.4073611111</v>
      </c>
      <c r="R724" s="0" t="n">
        <v>0</v>
      </c>
      <c r="S724" s="51" t="s">
        <v>3129</v>
      </c>
      <c r="T724" s="51" t="s">
        <v>3129</v>
      </c>
      <c r="U724" s="51" t="s">
        <v>3219</v>
      </c>
      <c r="V724" s="51" t="s">
        <v>2142</v>
      </c>
      <c r="W724" s="51"/>
      <c r="X724" s="51"/>
    </row>
    <row r="725" customFormat="false" ht="14.25" hidden="true" customHeight="false" outlineLevel="0" collapsed="false">
      <c r="A725" s="49" t="s">
        <v>2251</v>
      </c>
      <c r="B725" s="49" t="s">
        <v>14</v>
      </c>
      <c r="C725" s="49" t="s">
        <v>947</v>
      </c>
      <c r="D725" s="49" t="s">
        <v>2441</v>
      </c>
      <c r="E725" s="49" t="s">
        <v>3219</v>
      </c>
      <c r="F725" s="49" t="s">
        <v>913</v>
      </c>
      <c r="G725" s="49" t="n">
        <v>4</v>
      </c>
      <c r="H725" s="0" t="n">
        <v>0</v>
      </c>
      <c r="I725" s="51" t="s">
        <v>3224</v>
      </c>
      <c r="J725" s="49" t="s">
        <v>3221</v>
      </c>
      <c r="K725" s="52" t="n">
        <v>47774</v>
      </c>
      <c r="M725" s="51" t="s">
        <v>3179</v>
      </c>
      <c r="N725" s="49" t="n">
        <v>4</v>
      </c>
      <c r="O725" s="53" t="n">
        <v>46060.4066898148</v>
      </c>
      <c r="P725" s="53" t="n">
        <v>46061.4698611111</v>
      </c>
      <c r="Q725" s="53" t="n">
        <v>46060.4066898148</v>
      </c>
      <c r="R725" s="0" t="n">
        <v>0</v>
      </c>
      <c r="S725" s="51" t="s">
        <v>3129</v>
      </c>
      <c r="T725" s="51" t="s">
        <v>3129</v>
      </c>
      <c r="U725" s="51" t="s">
        <v>3219</v>
      </c>
      <c r="V725" s="51" t="s">
        <v>2142</v>
      </c>
      <c r="W725" s="51"/>
      <c r="X725" s="51"/>
    </row>
    <row r="726" customFormat="false" ht="14.25" hidden="true" customHeight="false" outlineLevel="0" collapsed="false">
      <c r="A726" s="49" t="s">
        <v>2251</v>
      </c>
      <c r="B726" s="49" t="s">
        <v>14</v>
      </c>
      <c r="C726" s="49" t="s">
        <v>948</v>
      </c>
      <c r="D726" s="49" t="s">
        <v>2441</v>
      </c>
      <c r="E726" s="49" t="s">
        <v>3219</v>
      </c>
      <c r="F726" s="49" t="s">
        <v>913</v>
      </c>
      <c r="G726" s="49" t="n">
        <v>4</v>
      </c>
      <c r="H726" s="0" t="n">
        <v>0</v>
      </c>
      <c r="I726" s="51" t="s">
        <v>3225</v>
      </c>
      <c r="J726" s="49" t="s">
        <v>3221</v>
      </c>
      <c r="K726" s="52" t="n">
        <v>47774</v>
      </c>
      <c r="M726" s="51" t="s">
        <v>3179</v>
      </c>
      <c r="N726" s="49" t="n">
        <v>4</v>
      </c>
      <c r="O726" s="53" t="n">
        <v>46060.4039236111</v>
      </c>
      <c r="P726" s="53" t="n">
        <v>46060.5486342593</v>
      </c>
      <c r="Q726" s="53" t="n">
        <v>46060.4039236111</v>
      </c>
      <c r="R726" s="0" t="n">
        <v>0</v>
      </c>
      <c r="S726" s="51" t="s">
        <v>3129</v>
      </c>
      <c r="T726" s="51" t="s">
        <v>3129</v>
      </c>
      <c r="U726" s="51" t="s">
        <v>3219</v>
      </c>
      <c r="V726" s="51" t="s">
        <v>2142</v>
      </c>
      <c r="W726" s="51"/>
      <c r="X726" s="51"/>
    </row>
    <row r="727" customFormat="false" ht="14.25" hidden="true" customHeight="false" outlineLevel="0" collapsed="false">
      <c r="A727" s="49" t="s">
        <v>2251</v>
      </c>
      <c r="B727" s="49" t="s">
        <v>14</v>
      </c>
      <c r="C727" s="49" t="s">
        <v>950</v>
      </c>
      <c r="D727" s="49" t="s">
        <v>2441</v>
      </c>
      <c r="E727" s="49" t="s">
        <v>3219</v>
      </c>
      <c r="F727" s="49" t="s">
        <v>913</v>
      </c>
      <c r="G727" s="49" t="n">
        <v>4</v>
      </c>
      <c r="H727" s="0" t="n">
        <v>0</v>
      </c>
      <c r="I727" s="51" t="s">
        <v>3226</v>
      </c>
      <c r="J727" s="49" t="s">
        <v>3221</v>
      </c>
      <c r="K727" s="52" t="n">
        <v>47774</v>
      </c>
      <c r="M727" s="51" t="s">
        <v>3179</v>
      </c>
      <c r="N727" s="49" t="n">
        <v>4</v>
      </c>
      <c r="O727" s="53" t="n">
        <v>46060.4028587963</v>
      </c>
      <c r="P727" s="53" t="n">
        <v>46060.5471643519</v>
      </c>
      <c r="Q727" s="53" t="n">
        <v>46060.4028587963</v>
      </c>
      <c r="R727" s="0" t="n">
        <v>0</v>
      </c>
      <c r="S727" s="51" t="s">
        <v>3129</v>
      </c>
      <c r="T727" s="51" t="s">
        <v>3129</v>
      </c>
      <c r="U727" s="51" t="s">
        <v>3219</v>
      </c>
      <c r="V727" s="51" t="s">
        <v>2142</v>
      </c>
      <c r="W727" s="51"/>
      <c r="X727" s="51"/>
    </row>
    <row r="728" customFormat="false" ht="14.25" hidden="true" customHeight="false" outlineLevel="0" collapsed="false">
      <c r="A728" s="49" t="s">
        <v>2251</v>
      </c>
      <c r="B728" s="49" t="s">
        <v>14</v>
      </c>
      <c r="C728" s="49" t="s">
        <v>952</v>
      </c>
      <c r="D728" s="49" t="s">
        <v>2441</v>
      </c>
      <c r="E728" s="49" t="s">
        <v>3219</v>
      </c>
      <c r="F728" s="49" t="s">
        <v>913</v>
      </c>
      <c r="G728" s="49" t="n">
        <v>4</v>
      </c>
      <c r="H728" s="0" t="n">
        <v>0</v>
      </c>
      <c r="I728" s="51" t="s">
        <v>3227</v>
      </c>
      <c r="J728" s="49" t="s">
        <v>3221</v>
      </c>
      <c r="K728" s="52" t="n">
        <v>47774</v>
      </c>
      <c r="M728" s="51" t="s">
        <v>3179</v>
      </c>
      <c r="N728" s="49" t="n">
        <v>4</v>
      </c>
      <c r="O728" s="53" t="n">
        <v>46060.3874884259</v>
      </c>
      <c r="P728" s="53" t="n">
        <v>46060.5637037037</v>
      </c>
      <c r="Q728" s="53" t="n">
        <v>46060.3874884259</v>
      </c>
      <c r="R728" s="0" t="n">
        <v>0</v>
      </c>
      <c r="S728" s="51" t="s">
        <v>3129</v>
      </c>
      <c r="T728" s="51" t="s">
        <v>3129</v>
      </c>
      <c r="U728" s="51" t="s">
        <v>3219</v>
      </c>
      <c r="V728" s="51" t="s">
        <v>2142</v>
      </c>
      <c r="W728" s="51"/>
      <c r="X728" s="51"/>
    </row>
    <row r="729" customFormat="false" ht="14.25" hidden="true" customHeight="false" outlineLevel="0" collapsed="false">
      <c r="A729" s="49" t="s">
        <v>2251</v>
      </c>
      <c r="B729" s="49" t="s">
        <v>14</v>
      </c>
      <c r="C729" s="49" t="s">
        <v>956</v>
      </c>
      <c r="D729" s="49" t="s">
        <v>2441</v>
      </c>
      <c r="E729" s="49" t="s">
        <v>3219</v>
      </c>
      <c r="F729" s="49" t="s">
        <v>913</v>
      </c>
      <c r="G729" s="49" t="n">
        <v>4</v>
      </c>
      <c r="H729" s="0" t="n">
        <v>0</v>
      </c>
      <c r="I729" s="51" t="s">
        <v>3228</v>
      </c>
      <c r="J729" s="49" t="s">
        <v>3221</v>
      </c>
      <c r="K729" s="52" t="n">
        <v>47774</v>
      </c>
      <c r="M729" s="51" t="s">
        <v>3179</v>
      </c>
      <c r="N729" s="49" t="n">
        <v>4</v>
      </c>
      <c r="O729" s="53" t="n">
        <v>46060.386412037</v>
      </c>
      <c r="P729" s="53" t="n">
        <v>46061.4696412037</v>
      </c>
      <c r="Q729" s="53" t="n">
        <v>46060.386412037</v>
      </c>
      <c r="R729" s="0" t="n">
        <v>0</v>
      </c>
      <c r="S729" s="51" t="s">
        <v>3129</v>
      </c>
      <c r="T729" s="51" t="s">
        <v>3129</v>
      </c>
      <c r="U729" s="51" t="s">
        <v>3219</v>
      </c>
      <c r="V729" s="51" t="s">
        <v>2142</v>
      </c>
      <c r="W729" s="51" t="s">
        <v>3229</v>
      </c>
      <c r="X729" s="51"/>
    </row>
    <row r="730" customFormat="false" ht="14.25" hidden="true" customHeight="false" outlineLevel="0" collapsed="false">
      <c r="A730" s="49" t="s">
        <v>2251</v>
      </c>
      <c r="B730" s="49" t="s">
        <v>14</v>
      </c>
      <c r="C730" s="49" t="s">
        <v>959</v>
      </c>
      <c r="D730" s="49" t="s">
        <v>2441</v>
      </c>
      <c r="E730" s="49" t="s">
        <v>3219</v>
      </c>
      <c r="F730" s="49" t="s">
        <v>913</v>
      </c>
      <c r="G730" s="49" t="n">
        <v>4</v>
      </c>
      <c r="H730" s="0" t="n">
        <v>0</v>
      </c>
      <c r="I730" s="51" t="s">
        <v>3230</v>
      </c>
      <c r="J730" s="49" t="s">
        <v>3221</v>
      </c>
      <c r="K730" s="52" t="n">
        <v>47774</v>
      </c>
      <c r="M730" s="51" t="s">
        <v>3179</v>
      </c>
      <c r="N730" s="49" t="n">
        <v>4</v>
      </c>
      <c r="O730" s="53" t="n">
        <v>46060.3825115741</v>
      </c>
      <c r="P730" s="53" t="n">
        <v>46061.4693518519</v>
      </c>
      <c r="Q730" s="53" t="n">
        <v>46060.3825115741</v>
      </c>
      <c r="R730" s="0" t="n">
        <v>0</v>
      </c>
      <c r="S730" s="51" t="s">
        <v>3129</v>
      </c>
      <c r="T730" s="51" t="s">
        <v>3129</v>
      </c>
      <c r="U730" s="51" t="s">
        <v>3219</v>
      </c>
      <c r="V730" s="51" t="s">
        <v>2142</v>
      </c>
      <c r="W730" s="51"/>
      <c r="X730" s="51"/>
    </row>
    <row r="731" customFormat="false" ht="14.25" hidden="true" customHeight="false" outlineLevel="0" collapsed="false">
      <c r="A731" s="49" t="s">
        <v>2251</v>
      </c>
      <c r="B731" s="49" t="s">
        <v>14</v>
      </c>
      <c r="C731" s="49" t="s">
        <v>912</v>
      </c>
      <c r="D731" s="49" t="s">
        <v>2441</v>
      </c>
      <c r="E731" s="49" t="s">
        <v>3219</v>
      </c>
      <c r="F731" s="49" t="s">
        <v>913</v>
      </c>
      <c r="G731" s="49" t="n">
        <v>4</v>
      </c>
      <c r="H731" s="0" t="n">
        <v>0</v>
      </c>
      <c r="I731" s="51" t="s">
        <v>3231</v>
      </c>
      <c r="J731" s="49" t="s">
        <v>3221</v>
      </c>
      <c r="K731" s="52" t="n">
        <v>47774</v>
      </c>
      <c r="M731" s="51" t="s">
        <v>3222</v>
      </c>
      <c r="N731" s="49" t="n">
        <v>4</v>
      </c>
      <c r="O731" s="53" t="n">
        <v>46060.3635763889</v>
      </c>
      <c r="P731" s="53" t="n">
        <v>46060.4628356482</v>
      </c>
      <c r="Q731" s="53" t="n">
        <v>46060.3635763889</v>
      </c>
      <c r="R731" s="0" t="n">
        <v>0</v>
      </c>
      <c r="S731" s="51" t="s">
        <v>3129</v>
      </c>
      <c r="T731" s="51" t="s">
        <v>3129</v>
      </c>
      <c r="U731" s="51" t="s">
        <v>3219</v>
      </c>
      <c r="V731" s="51" t="s">
        <v>2142</v>
      </c>
      <c r="W731" s="51"/>
      <c r="X731" s="51"/>
    </row>
    <row r="732" customFormat="false" ht="14.25" hidden="true" customHeight="false" outlineLevel="0" collapsed="false">
      <c r="A732" s="49" t="s">
        <v>2251</v>
      </c>
      <c r="B732" s="49" t="s">
        <v>14</v>
      </c>
      <c r="C732" s="49" t="s">
        <v>915</v>
      </c>
      <c r="D732" s="49" t="s">
        <v>2441</v>
      </c>
      <c r="E732" s="49" t="s">
        <v>3219</v>
      </c>
      <c r="F732" s="49" t="s">
        <v>913</v>
      </c>
      <c r="G732" s="49" t="n">
        <v>4</v>
      </c>
      <c r="H732" s="0" t="n">
        <v>0</v>
      </c>
      <c r="I732" s="51" t="s">
        <v>3232</v>
      </c>
      <c r="J732" s="49" t="s">
        <v>3221</v>
      </c>
      <c r="K732" s="52" t="n">
        <v>47774</v>
      </c>
      <c r="M732" s="51" t="s">
        <v>3222</v>
      </c>
      <c r="N732" s="49" t="n">
        <v>4</v>
      </c>
      <c r="O732" s="53" t="n">
        <v>46060.3594212963</v>
      </c>
      <c r="P732" s="53" t="n">
        <v>46060.4553819444</v>
      </c>
      <c r="Q732" s="53" t="n">
        <v>46060.3594212963</v>
      </c>
      <c r="R732" s="0" t="n">
        <v>0</v>
      </c>
      <c r="S732" s="51" t="s">
        <v>3129</v>
      </c>
      <c r="T732" s="51" t="s">
        <v>3129</v>
      </c>
      <c r="U732" s="51" t="s">
        <v>3219</v>
      </c>
      <c r="V732" s="51" t="s">
        <v>2142</v>
      </c>
      <c r="W732" s="51"/>
      <c r="X732" s="51"/>
    </row>
    <row r="733" customFormat="false" ht="14.25" hidden="true" customHeight="false" outlineLevel="0" collapsed="false">
      <c r="A733" s="49" t="s">
        <v>2251</v>
      </c>
      <c r="B733" s="49" t="s">
        <v>14</v>
      </c>
      <c r="C733" s="49" t="s">
        <v>914</v>
      </c>
      <c r="D733" s="49" t="s">
        <v>2441</v>
      </c>
      <c r="E733" s="49" t="s">
        <v>3219</v>
      </c>
      <c r="F733" s="49" t="s">
        <v>913</v>
      </c>
      <c r="G733" s="49" t="n">
        <v>4</v>
      </c>
      <c r="H733" s="0" t="n">
        <v>0</v>
      </c>
      <c r="I733" s="51" t="s">
        <v>3233</v>
      </c>
      <c r="J733" s="49" t="s">
        <v>3221</v>
      </c>
      <c r="K733" s="52" t="n">
        <v>47774</v>
      </c>
      <c r="M733" s="51" t="s">
        <v>3222</v>
      </c>
      <c r="N733" s="49" t="n">
        <v>4</v>
      </c>
      <c r="O733" s="53" t="n">
        <v>46060.3603587963</v>
      </c>
      <c r="P733" s="53" t="n">
        <v>46060.4590972222</v>
      </c>
      <c r="Q733" s="53" t="n">
        <v>46060.3603587963</v>
      </c>
      <c r="R733" s="0" t="n">
        <v>0</v>
      </c>
      <c r="S733" s="51" t="s">
        <v>3129</v>
      </c>
      <c r="T733" s="51" t="s">
        <v>3129</v>
      </c>
      <c r="U733" s="51" t="s">
        <v>3219</v>
      </c>
      <c r="V733" s="51" t="s">
        <v>2142</v>
      </c>
      <c r="W733" s="51"/>
      <c r="X733" s="51"/>
    </row>
    <row r="734" customFormat="false" ht="14.25" hidden="false" customHeight="false" outlineLevel="0" collapsed="false">
      <c r="A734" s="49" t="s">
        <v>2251</v>
      </c>
      <c r="B734" s="49" t="s">
        <v>14</v>
      </c>
      <c r="C734" s="49" t="s">
        <v>958</v>
      </c>
      <c r="D734" s="49" t="s">
        <v>2441</v>
      </c>
      <c r="E734" s="49" t="s">
        <v>3234</v>
      </c>
      <c r="F734" s="49" t="s">
        <v>945</v>
      </c>
      <c r="G734" s="49" t="n">
        <v>4</v>
      </c>
      <c r="H734" s="0" t="n">
        <v>0</v>
      </c>
      <c r="I734" s="51" t="s">
        <v>3235</v>
      </c>
      <c r="J734" s="49" t="s">
        <v>3236</v>
      </c>
      <c r="K734" s="52" t="n">
        <v>47775</v>
      </c>
      <c r="M734" s="51" t="s">
        <v>3179</v>
      </c>
      <c r="N734" s="0" t="n">
        <v>4</v>
      </c>
      <c r="O734" s="53" t="n">
        <v>46060.3713657407</v>
      </c>
      <c r="P734" s="53" t="n">
        <v>46061.4661458333</v>
      </c>
      <c r="Q734" s="53" t="n">
        <v>46060.3713657407</v>
      </c>
      <c r="R734" s="0" t="n">
        <v>0</v>
      </c>
      <c r="S734" s="51" t="s">
        <v>3129</v>
      </c>
      <c r="T734" s="51" t="s">
        <v>3129</v>
      </c>
      <c r="U734" s="51" t="s">
        <v>3234</v>
      </c>
      <c r="V734" s="51" t="s">
        <v>2142</v>
      </c>
      <c r="W734" s="51"/>
      <c r="X734" s="51"/>
    </row>
    <row r="735" customFormat="false" ht="14.25" hidden="true" customHeight="false" outlineLevel="0" collapsed="false">
      <c r="A735" s="49" t="s">
        <v>2251</v>
      </c>
      <c r="B735" s="49" t="s">
        <v>14</v>
      </c>
      <c r="C735" s="49" t="s">
        <v>944</v>
      </c>
      <c r="D735" s="49" t="s">
        <v>2441</v>
      </c>
      <c r="E735" s="49" t="s">
        <v>3234</v>
      </c>
      <c r="F735" s="49" t="s">
        <v>945</v>
      </c>
      <c r="G735" s="49" t="n">
        <v>4</v>
      </c>
      <c r="H735" s="0" t="n">
        <v>0</v>
      </c>
      <c r="I735" s="51" t="s">
        <v>3237</v>
      </c>
      <c r="J735" s="49" t="s">
        <v>3236</v>
      </c>
      <c r="K735" s="52" t="n">
        <v>47775</v>
      </c>
      <c r="M735" s="51" t="s">
        <v>3179</v>
      </c>
      <c r="N735" s="49" t="n">
        <v>4</v>
      </c>
      <c r="O735" s="53" t="n">
        <v>46060.4079050926</v>
      </c>
      <c r="P735" s="53" t="n">
        <v>46060.5577314815</v>
      </c>
      <c r="Q735" s="53" t="n">
        <v>46060.4079050926</v>
      </c>
      <c r="R735" s="0" t="n">
        <v>0</v>
      </c>
      <c r="S735" s="51" t="s">
        <v>3129</v>
      </c>
      <c r="T735" s="51" t="s">
        <v>3129</v>
      </c>
      <c r="U735" s="51" t="s">
        <v>3234</v>
      </c>
      <c r="V735" s="51" t="s">
        <v>2142</v>
      </c>
      <c r="W735" s="51"/>
      <c r="X735" s="51"/>
    </row>
    <row r="736" customFormat="false" ht="14.25" hidden="true" customHeight="false" outlineLevel="0" collapsed="false">
      <c r="A736" s="49" t="s">
        <v>2251</v>
      </c>
      <c r="B736" s="49" t="s">
        <v>14</v>
      </c>
      <c r="C736" s="49" t="s">
        <v>946</v>
      </c>
      <c r="D736" s="49" t="s">
        <v>2441</v>
      </c>
      <c r="E736" s="49" t="s">
        <v>3234</v>
      </c>
      <c r="F736" s="49" t="s">
        <v>945</v>
      </c>
      <c r="G736" s="49" t="n">
        <v>4</v>
      </c>
      <c r="H736" s="0" t="n">
        <v>0</v>
      </c>
      <c r="I736" s="51" t="s">
        <v>3238</v>
      </c>
      <c r="J736" s="49" t="s">
        <v>3236</v>
      </c>
      <c r="K736" s="52" t="n">
        <v>47775</v>
      </c>
      <c r="M736" s="51" t="s">
        <v>3179</v>
      </c>
      <c r="N736" s="49" t="n">
        <v>4</v>
      </c>
      <c r="O736" s="53" t="n">
        <v>46060.40625</v>
      </c>
      <c r="P736" s="53" t="n">
        <v>46060.5521643519</v>
      </c>
      <c r="Q736" s="53" t="n">
        <v>46060.40625</v>
      </c>
      <c r="R736" s="0" t="n">
        <v>0</v>
      </c>
      <c r="S736" s="51" t="s">
        <v>3129</v>
      </c>
      <c r="T736" s="51" t="s">
        <v>3129</v>
      </c>
      <c r="U736" s="51" t="s">
        <v>3234</v>
      </c>
      <c r="V736" s="51" t="s">
        <v>2142</v>
      </c>
      <c r="W736" s="51"/>
      <c r="X736" s="51"/>
    </row>
    <row r="737" customFormat="false" ht="14.25" hidden="true" customHeight="false" outlineLevel="0" collapsed="false">
      <c r="A737" s="49" t="s">
        <v>2251</v>
      </c>
      <c r="B737" s="49" t="s">
        <v>14</v>
      </c>
      <c r="C737" s="49" t="s">
        <v>949</v>
      </c>
      <c r="D737" s="49" t="s">
        <v>2441</v>
      </c>
      <c r="E737" s="49" t="s">
        <v>3234</v>
      </c>
      <c r="F737" s="49" t="s">
        <v>945</v>
      </c>
      <c r="G737" s="49" t="n">
        <v>4</v>
      </c>
      <c r="H737" s="0" t="n">
        <v>0</v>
      </c>
      <c r="I737" s="51" t="s">
        <v>3239</v>
      </c>
      <c r="J737" s="49" t="s">
        <v>3236</v>
      </c>
      <c r="K737" s="52" t="n">
        <v>47775</v>
      </c>
      <c r="M737" s="51" t="s">
        <v>3179</v>
      </c>
      <c r="N737" s="49" t="n">
        <v>4</v>
      </c>
      <c r="O737" s="53" t="n">
        <v>46060.4055439815</v>
      </c>
      <c r="P737" s="53" t="n">
        <v>46060.5503819444</v>
      </c>
      <c r="Q737" s="53" t="n">
        <v>46060.4055439815</v>
      </c>
      <c r="R737" s="0" t="n">
        <v>0</v>
      </c>
      <c r="S737" s="51" t="s">
        <v>3129</v>
      </c>
      <c r="T737" s="51" t="s">
        <v>3129</v>
      </c>
      <c r="U737" s="51" t="s">
        <v>3234</v>
      </c>
      <c r="V737" s="51" t="s">
        <v>2142</v>
      </c>
      <c r="W737" s="51"/>
      <c r="X737" s="51"/>
    </row>
    <row r="738" customFormat="false" ht="14.25" hidden="true" customHeight="false" outlineLevel="0" collapsed="false">
      <c r="A738" s="49" t="s">
        <v>2251</v>
      </c>
      <c r="B738" s="49" t="s">
        <v>14</v>
      </c>
      <c r="C738" s="49" t="s">
        <v>951</v>
      </c>
      <c r="D738" s="49" t="s">
        <v>2441</v>
      </c>
      <c r="E738" s="49" t="s">
        <v>3234</v>
      </c>
      <c r="F738" s="49" t="s">
        <v>945</v>
      </c>
      <c r="G738" s="49" t="n">
        <v>4</v>
      </c>
      <c r="H738" s="0" t="n">
        <v>0</v>
      </c>
      <c r="I738" s="51" t="s">
        <v>3240</v>
      </c>
      <c r="J738" s="49" t="s">
        <v>3236</v>
      </c>
      <c r="K738" s="52" t="n">
        <v>47775</v>
      </c>
      <c r="M738" s="51" t="s">
        <v>3179</v>
      </c>
      <c r="N738" s="49" t="n">
        <v>4</v>
      </c>
      <c r="O738" s="53" t="n">
        <v>46060.3880208333</v>
      </c>
      <c r="P738" s="53" t="n">
        <v>46060.5619675926</v>
      </c>
      <c r="Q738" s="53" t="n">
        <v>46060.3880208333</v>
      </c>
      <c r="R738" s="0" t="n">
        <v>0</v>
      </c>
      <c r="S738" s="51" t="s">
        <v>3129</v>
      </c>
      <c r="T738" s="51" t="s">
        <v>3129</v>
      </c>
      <c r="U738" s="51" t="s">
        <v>3234</v>
      </c>
      <c r="V738" s="51" t="s">
        <v>2142</v>
      </c>
      <c r="W738" s="51"/>
      <c r="X738" s="51"/>
    </row>
    <row r="739" customFormat="false" ht="14.25" hidden="true" customHeight="false" outlineLevel="0" collapsed="false">
      <c r="A739" s="49" t="s">
        <v>2251</v>
      </c>
      <c r="B739" s="49" t="s">
        <v>14</v>
      </c>
      <c r="C739" s="49" t="s">
        <v>953</v>
      </c>
      <c r="D739" s="49" t="s">
        <v>2441</v>
      </c>
      <c r="E739" s="49" t="s">
        <v>3234</v>
      </c>
      <c r="F739" s="49" t="s">
        <v>945</v>
      </c>
      <c r="G739" s="49" t="n">
        <v>4</v>
      </c>
      <c r="H739" s="0" t="n">
        <v>0</v>
      </c>
      <c r="I739" s="51" t="s">
        <v>3241</v>
      </c>
      <c r="J739" s="49" t="s">
        <v>3236</v>
      </c>
      <c r="K739" s="52" t="n">
        <v>47775</v>
      </c>
      <c r="M739" s="51" t="s">
        <v>3179</v>
      </c>
      <c r="N739" s="49" t="n">
        <v>4</v>
      </c>
      <c r="O739" s="53" t="n">
        <v>46060.3869444444</v>
      </c>
      <c r="P739" s="53" t="n">
        <v>46061.4697222222</v>
      </c>
      <c r="Q739" s="53" t="n">
        <v>46060.3869444444</v>
      </c>
      <c r="R739" s="0" t="n">
        <v>0</v>
      </c>
      <c r="S739" s="51" t="s">
        <v>3129</v>
      </c>
      <c r="T739" s="51" t="s">
        <v>3129</v>
      </c>
      <c r="U739" s="51" t="s">
        <v>3234</v>
      </c>
      <c r="V739" s="51" t="s">
        <v>2142</v>
      </c>
      <c r="W739" s="51"/>
      <c r="X739" s="51"/>
    </row>
    <row r="740" customFormat="false" ht="14.25" hidden="true" customHeight="false" outlineLevel="0" collapsed="false">
      <c r="A740" s="49" t="s">
        <v>2251</v>
      </c>
      <c r="B740" s="49" t="s">
        <v>14</v>
      </c>
      <c r="C740" s="49" t="s">
        <v>954</v>
      </c>
      <c r="D740" s="49" t="s">
        <v>2441</v>
      </c>
      <c r="E740" s="49" t="s">
        <v>3234</v>
      </c>
      <c r="F740" s="49" t="s">
        <v>945</v>
      </c>
      <c r="G740" s="49" t="n">
        <v>4</v>
      </c>
      <c r="H740" s="0" t="n">
        <v>0</v>
      </c>
      <c r="I740" s="51" t="s">
        <v>3242</v>
      </c>
      <c r="J740" s="49" t="s">
        <v>3236</v>
      </c>
      <c r="K740" s="52" t="n">
        <v>47775</v>
      </c>
      <c r="M740" s="51" t="s">
        <v>3179</v>
      </c>
      <c r="N740" s="49" t="n">
        <v>4</v>
      </c>
      <c r="O740" s="53" t="n">
        <v>46060.3857060185</v>
      </c>
      <c r="P740" s="53" t="n">
        <v>46061.4694791667</v>
      </c>
      <c r="Q740" s="53" t="n">
        <v>46060.3857060185</v>
      </c>
      <c r="R740" s="0" t="n">
        <v>0</v>
      </c>
      <c r="S740" s="51" t="s">
        <v>3129</v>
      </c>
      <c r="T740" s="51" t="s">
        <v>3129</v>
      </c>
      <c r="U740" s="51" t="s">
        <v>3234</v>
      </c>
      <c r="V740" s="51" t="s">
        <v>2142</v>
      </c>
      <c r="W740" s="51"/>
      <c r="X740" s="51"/>
    </row>
    <row r="741" customFormat="false" ht="14.25" hidden="true" customHeight="false" outlineLevel="0" collapsed="false">
      <c r="A741" s="49" t="s">
        <v>2251</v>
      </c>
      <c r="B741" s="49" t="s">
        <v>14</v>
      </c>
      <c r="C741" s="49" t="s">
        <v>955</v>
      </c>
      <c r="D741" s="49" t="s">
        <v>2441</v>
      </c>
      <c r="E741" s="49" t="s">
        <v>3234</v>
      </c>
      <c r="F741" s="49" t="s">
        <v>945</v>
      </c>
      <c r="G741" s="49" t="n">
        <v>2</v>
      </c>
      <c r="H741" s="0" t="n">
        <v>0</v>
      </c>
      <c r="I741" s="51" t="s">
        <v>3243</v>
      </c>
      <c r="J741" s="49" t="s">
        <v>3236</v>
      </c>
      <c r="K741" s="52" t="n">
        <v>47775</v>
      </c>
      <c r="M741" s="51" t="s">
        <v>3179</v>
      </c>
      <c r="N741" s="49" t="n">
        <v>2</v>
      </c>
      <c r="O741" s="53" t="n">
        <v>46060.3851388889</v>
      </c>
      <c r="P741" s="53" t="n">
        <v>46060.5666898148</v>
      </c>
      <c r="Q741" s="53" t="n">
        <v>46060.3851388889</v>
      </c>
      <c r="R741" s="0" t="n">
        <v>0</v>
      </c>
      <c r="S741" s="51" t="s">
        <v>3129</v>
      </c>
      <c r="T741" s="51" t="s">
        <v>3129</v>
      </c>
      <c r="U741" s="51" t="s">
        <v>3234</v>
      </c>
      <c r="V741" s="51" t="s">
        <v>2142</v>
      </c>
      <c r="W741" s="51"/>
      <c r="X741" s="51"/>
    </row>
    <row r="742" customFormat="false" ht="14.25" hidden="true" customHeight="false" outlineLevel="0" collapsed="false">
      <c r="A742" s="49" t="s">
        <v>2251</v>
      </c>
      <c r="B742" s="49" t="s">
        <v>14</v>
      </c>
      <c r="C742" s="49" t="s">
        <v>972</v>
      </c>
      <c r="D742" s="49" t="s">
        <v>2441</v>
      </c>
      <c r="E742" s="49" t="s">
        <v>3234</v>
      </c>
      <c r="F742" s="49" t="s">
        <v>945</v>
      </c>
      <c r="G742" s="49" t="n">
        <v>2</v>
      </c>
      <c r="H742" s="0" t="n">
        <v>0</v>
      </c>
      <c r="I742" s="51" t="s">
        <v>3244</v>
      </c>
      <c r="J742" s="49" t="s">
        <v>3245</v>
      </c>
      <c r="K742" s="52" t="n">
        <v>47775</v>
      </c>
      <c r="M742" s="51" t="s">
        <v>3179</v>
      </c>
      <c r="N742" s="49" t="n">
        <v>2</v>
      </c>
      <c r="O742" s="53" t="n">
        <v>46060.3844097222</v>
      </c>
      <c r="P742" s="53" t="n">
        <v>46060.5667824074</v>
      </c>
      <c r="Q742" s="0" t="n">
        <v>46060.3844097222</v>
      </c>
      <c r="R742" s="0" t="n">
        <v>0</v>
      </c>
      <c r="S742" s="51" t="s">
        <v>3129</v>
      </c>
      <c r="T742" s="51" t="s">
        <v>3129</v>
      </c>
      <c r="U742" s="51" t="s">
        <v>3234</v>
      </c>
      <c r="V742" s="51" t="s">
        <v>2142</v>
      </c>
    </row>
    <row r="743" customFormat="false" ht="14.25" hidden="true" customHeight="false" outlineLevel="0" collapsed="false">
      <c r="A743" s="49" t="s">
        <v>2251</v>
      </c>
      <c r="B743" s="49" t="s">
        <v>14</v>
      </c>
      <c r="C743" s="49" t="s">
        <v>902</v>
      </c>
      <c r="D743" s="49" t="s">
        <v>2441</v>
      </c>
      <c r="E743" s="49" t="s">
        <v>2164</v>
      </c>
      <c r="F743" s="49" t="s">
        <v>772</v>
      </c>
      <c r="G743" s="49" t="n">
        <v>4</v>
      </c>
      <c r="H743" s="0" t="n">
        <v>0</v>
      </c>
      <c r="I743" s="51" t="s">
        <v>3246</v>
      </c>
      <c r="J743" s="49" t="s">
        <v>2305</v>
      </c>
      <c r="K743" s="52" t="n">
        <v>47776</v>
      </c>
      <c r="M743" s="51" t="s">
        <v>3247</v>
      </c>
      <c r="N743" s="49" t="n">
        <v>4</v>
      </c>
      <c r="O743" s="53" t="n">
        <v>46058.5923263889</v>
      </c>
      <c r="P743" s="53" t="n">
        <v>46060.6535185185</v>
      </c>
      <c r="Q743" s="0" t="n">
        <v>46058.5923263889</v>
      </c>
      <c r="R743" s="0" t="n">
        <v>0</v>
      </c>
      <c r="S743" s="51" t="s">
        <v>3129</v>
      </c>
      <c r="T743" s="51" t="s">
        <v>3129</v>
      </c>
      <c r="U743" s="51" t="s">
        <v>2164</v>
      </c>
      <c r="V743" s="51" t="s">
        <v>2142</v>
      </c>
    </row>
    <row r="744" customFormat="false" ht="14.25" hidden="true" customHeight="false" outlineLevel="0" collapsed="false">
      <c r="A744" s="49" t="s">
        <v>2251</v>
      </c>
      <c r="B744" s="49" t="s">
        <v>14</v>
      </c>
      <c r="C744" s="49" t="s">
        <v>894</v>
      </c>
      <c r="D744" s="49" t="s">
        <v>2441</v>
      </c>
      <c r="E744" s="49" t="s">
        <v>2164</v>
      </c>
      <c r="F744" s="49" t="s">
        <v>772</v>
      </c>
      <c r="G744" s="49" t="n">
        <v>3</v>
      </c>
      <c r="H744" s="0" t="n">
        <v>0</v>
      </c>
      <c r="I744" s="51" t="s">
        <v>2298</v>
      </c>
      <c r="J744" s="49" t="s">
        <v>2299</v>
      </c>
      <c r="K744" s="52" t="n">
        <v>47776</v>
      </c>
      <c r="M744" s="51" t="s">
        <v>3247</v>
      </c>
      <c r="N744" s="49" t="n">
        <v>4</v>
      </c>
      <c r="O744" s="53" t="n">
        <v>46058.5769097222</v>
      </c>
      <c r="P744" s="53" t="n">
        <v>46064.3473263889</v>
      </c>
      <c r="Q744" s="53" t="n">
        <v>46058.5769097222</v>
      </c>
      <c r="R744" s="0" t="n">
        <v>0</v>
      </c>
      <c r="S744" s="51" t="s">
        <v>3129</v>
      </c>
      <c r="T744" s="51" t="s">
        <v>3129</v>
      </c>
      <c r="U744" s="51" t="s">
        <v>2164</v>
      </c>
      <c r="V744" s="51" t="s">
        <v>2142</v>
      </c>
      <c r="W744" s="51"/>
      <c r="X744" s="51"/>
    </row>
    <row r="745" customFormat="false" ht="14.25" hidden="true" customHeight="false" outlineLevel="0" collapsed="false">
      <c r="A745" s="49" t="s">
        <v>2251</v>
      </c>
      <c r="B745" s="49" t="s">
        <v>14</v>
      </c>
      <c r="C745" s="49" t="s">
        <v>892</v>
      </c>
      <c r="D745" s="49" t="s">
        <v>2441</v>
      </c>
      <c r="E745" s="49" t="s">
        <v>2164</v>
      </c>
      <c r="F745" s="49" t="s">
        <v>772</v>
      </c>
      <c r="G745" s="49" t="n">
        <v>4</v>
      </c>
      <c r="H745" s="0" t="n">
        <v>0</v>
      </c>
      <c r="I745" s="51" t="s">
        <v>3248</v>
      </c>
      <c r="J745" s="49" t="s">
        <v>2299</v>
      </c>
      <c r="K745" s="52" t="n">
        <v>47776</v>
      </c>
      <c r="M745" s="51" t="s">
        <v>3247</v>
      </c>
      <c r="N745" s="49" t="n">
        <v>4</v>
      </c>
      <c r="O745" s="53" t="n">
        <v>46058.582662037</v>
      </c>
      <c r="P745" s="53" t="n">
        <v>46060.6502662037</v>
      </c>
      <c r="Q745" s="53" t="n">
        <v>46058.582662037</v>
      </c>
      <c r="R745" s="0" t="n">
        <v>0</v>
      </c>
      <c r="S745" s="51" t="s">
        <v>3129</v>
      </c>
      <c r="T745" s="51" t="s">
        <v>3129</v>
      </c>
      <c r="U745" s="51" t="s">
        <v>2164</v>
      </c>
      <c r="V745" s="51" t="s">
        <v>2142</v>
      </c>
      <c r="W745" s="51"/>
      <c r="X745" s="51"/>
    </row>
    <row r="746" customFormat="false" ht="14.25" hidden="true" customHeight="false" outlineLevel="0" collapsed="false">
      <c r="A746" s="49" t="s">
        <v>2251</v>
      </c>
      <c r="B746" s="49" t="s">
        <v>14</v>
      </c>
      <c r="C746" s="49" t="s">
        <v>890</v>
      </c>
      <c r="D746" s="49" t="s">
        <v>2441</v>
      </c>
      <c r="E746" s="49" t="s">
        <v>2164</v>
      </c>
      <c r="F746" s="49" t="s">
        <v>772</v>
      </c>
      <c r="G746" s="49" t="n">
        <v>4</v>
      </c>
      <c r="H746" s="0" t="n">
        <v>0</v>
      </c>
      <c r="I746" s="51" t="s">
        <v>3249</v>
      </c>
      <c r="J746" s="49" t="s">
        <v>2299</v>
      </c>
      <c r="K746" s="52" t="n">
        <v>47776</v>
      </c>
      <c r="M746" s="51" t="s">
        <v>3247</v>
      </c>
      <c r="N746" s="49" t="n">
        <v>4</v>
      </c>
      <c r="O746" s="53" t="n">
        <v>46058.5840856481</v>
      </c>
      <c r="P746" s="53" t="n">
        <v>46060.6505092593</v>
      </c>
      <c r="Q746" s="53" t="n">
        <v>46058.5840856481</v>
      </c>
      <c r="R746" s="0" t="n">
        <v>0</v>
      </c>
      <c r="S746" s="51" t="s">
        <v>3129</v>
      </c>
      <c r="T746" s="51" t="s">
        <v>3129</v>
      </c>
      <c r="U746" s="51" t="s">
        <v>2164</v>
      </c>
      <c r="V746" s="51" t="s">
        <v>2142</v>
      </c>
      <c r="W746" s="51"/>
      <c r="X746" s="51"/>
    </row>
    <row r="747" customFormat="false" ht="14.25" hidden="true" customHeight="false" outlineLevel="0" collapsed="false">
      <c r="A747" s="49" t="s">
        <v>2251</v>
      </c>
      <c r="B747" s="49" t="s">
        <v>14</v>
      </c>
      <c r="C747" s="49" t="s">
        <v>882</v>
      </c>
      <c r="D747" s="49" t="s">
        <v>2441</v>
      </c>
      <c r="E747" s="49" t="s">
        <v>2164</v>
      </c>
      <c r="F747" s="49" t="s">
        <v>772</v>
      </c>
      <c r="G747" s="49" t="n">
        <v>4</v>
      </c>
      <c r="H747" s="0" t="n">
        <v>0</v>
      </c>
      <c r="I747" s="51" t="s">
        <v>3250</v>
      </c>
      <c r="J747" s="49" t="s">
        <v>2299</v>
      </c>
      <c r="K747" s="52" t="n">
        <v>47776</v>
      </c>
      <c r="M747" s="51" t="s">
        <v>3247</v>
      </c>
      <c r="N747" s="49" t="n">
        <v>4</v>
      </c>
      <c r="O747" s="53" t="n">
        <v>46058.5856481481</v>
      </c>
      <c r="P747" s="53" t="n">
        <v>46060.6506828704</v>
      </c>
      <c r="Q747" s="53" t="n">
        <v>46058.5856481481</v>
      </c>
      <c r="R747" s="0" t="n">
        <v>0</v>
      </c>
      <c r="S747" s="51" t="s">
        <v>3129</v>
      </c>
      <c r="T747" s="51" t="s">
        <v>3129</v>
      </c>
      <c r="U747" s="51" t="s">
        <v>2164</v>
      </c>
      <c r="V747" s="51" t="s">
        <v>2142</v>
      </c>
      <c r="W747" s="51"/>
      <c r="X747" s="51"/>
    </row>
    <row r="748" customFormat="false" ht="14.25" hidden="true" customHeight="false" outlineLevel="0" collapsed="false">
      <c r="A748" s="49" t="s">
        <v>2251</v>
      </c>
      <c r="B748" s="49" t="s">
        <v>14</v>
      </c>
      <c r="C748" s="49" t="s">
        <v>910</v>
      </c>
      <c r="D748" s="49" t="s">
        <v>2441</v>
      </c>
      <c r="E748" s="49" t="s">
        <v>2164</v>
      </c>
      <c r="F748" s="49" t="s">
        <v>772</v>
      </c>
      <c r="G748" s="49" t="n">
        <v>4</v>
      </c>
      <c r="H748" s="0" t="n">
        <v>0</v>
      </c>
      <c r="I748" s="51" t="s">
        <v>3251</v>
      </c>
      <c r="J748" s="49" t="s">
        <v>2299</v>
      </c>
      <c r="K748" s="52" t="n">
        <v>47776</v>
      </c>
      <c r="M748" s="51" t="s">
        <v>3247</v>
      </c>
      <c r="N748" s="49" t="n">
        <v>4</v>
      </c>
      <c r="O748" s="53" t="n">
        <v>46058.5868287037</v>
      </c>
      <c r="P748" s="53" t="n">
        <v>46060.6509375</v>
      </c>
      <c r="Q748" s="53" t="n">
        <v>46058.5868287037</v>
      </c>
      <c r="R748" s="0" t="n">
        <v>0</v>
      </c>
      <c r="S748" s="51" t="s">
        <v>3129</v>
      </c>
      <c r="T748" s="51" t="s">
        <v>3129</v>
      </c>
      <c r="U748" s="51" t="s">
        <v>2164</v>
      </c>
      <c r="V748" s="51" t="s">
        <v>2142</v>
      </c>
      <c r="W748" s="51"/>
      <c r="X748" s="51"/>
    </row>
    <row r="749" customFormat="false" ht="14.25" hidden="true" customHeight="false" outlineLevel="0" collapsed="false">
      <c r="A749" s="49" t="s">
        <v>2251</v>
      </c>
      <c r="B749" s="49" t="s">
        <v>14</v>
      </c>
      <c r="C749" s="49" t="s">
        <v>908</v>
      </c>
      <c r="D749" s="49" t="s">
        <v>2441</v>
      </c>
      <c r="E749" s="49" t="s">
        <v>2164</v>
      </c>
      <c r="F749" s="49" t="s">
        <v>772</v>
      </c>
      <c r="G749" s="49" t="n">
        <v>4</v>
      </c>
      <c r="H749" s="0" t="n">
        <v>0</v>
      </c>
      <c r="I749" s="51" t="s">
        <v>3252</v>
      </c>
      <c r="J749" s="49" t="s">
        <v>2299</v>
      </c>
      <c r="K749" s="52" t="n">
        <v>47776</v>
      </c>
      <c r="M749" s="51" t="s">
        <v>3247</v>
      </c>
      <c r="N749" s="49" t="n">
        <v>4</v>
      </c>
      <c r="O749" s="53" t="n">
        <v>46058.5881018519</v>
      </c>
      <c r="P749" s="53" t="n">
        <v>46060.6510763889</v>
      </c>
      <c r="Q749" s="53" t="n">
        <v>46058.5881018519</v>
      </c>
      <c r="R749" s="0" t="n">
        <v>0</v>
      </c>
      <c r="S749" s="51" t="s">
        <v>3129</v>
      </c>
      <c r="T749" s="51" t="s">
        <v>3129</v>
      </c>
      <c r="U749" s="51" t="s">
        <v>2164</v>
      </c>
      <c r="V749" s="51" t="s">
        <v>2142</v>
      </c>
      <c r="W749" s="51"/>
      <c r="X749" s="51"/>
    </row>
    <row r="750" customFormat="false" ht="14.25" hidden="true" customHeight="false" outlineLevel="0" collapsed="false">
      <c r="A750" s="49" t="s">
        <v>2251</v>
      </c>
      <c r="B750" s="49" t="s">
        <v>14</v>
      </c>
      <c r="C750" s="49" t="s">
        <v>907</v>
      </c>
      <c r="D750" s="49" t="s">
        <v>2441</v>
      </c>
      <c r="E750" s="49" t="s">
        <v>2164</v>
      </c>
      <c r="F750" s="49" t="s">
        <v>772</v>
      </c>
      <c r="G750" s="49" t="n">
        <v>4</v>
      </c>
      <c r="H750" s="0" t="n">
        <v>0</v>
      </c>
      <c r="I750" s="51" t="s">
        <v>3253</v>
      </c>
      <c r="J750" s="49" t="s">
        <v>2299</v>
      </c>
      <c r="K750" s="52" t="n">
        <v>47776</v>
      </c>
      <c r="M750" s="51" t="s">
        <v>3247</v>
      </c>
      <c r="N750" s="49" t="n">
        <v>4</v>
      </c>
      <c r="O750" s="53" t="n">
        <v>46058.5899074074</v>
      </c>
      <c r="P750" s="53" t="n">
        <v>46060.6514236111</v>
      </c>
      <c r="Q750" s="53" t="n">
        <v>46058.5899074074</v>
      </c>
      <c r="R750" s="0" t="n">
        <v>0</v>
      </c>
      <c r="S750" s="51" t="s">
        <v>3129</v>
      </c>
      <c r="T750" s="51" t="s">
        <v>3129</v>
      </c>
      <c r="U750" s="51" t="s">
        <v>2164</v>
      </c>
      <c r="V750" s="51" t="s">
        <v>2142</v>
      </c>
      <c r="W750" s="51"/>
      <c r="X750" s="51"/>
    </row>
    <row r="751" customFormat="false" ht="14.25" hidden="true" customHeight="false" outlineLevel="0" collapsed="false">
      <c r="A751" s="49" t="s">
        <v>2251</v>
      </c>
      <c r="B751" s="49" t="s">
        <v>14</v>
      </c>
      <c r="C751" s="49" t="s">
        <v>904</v>
      </c>
      <c r="D751" s="49" t="s">
        <v>2441</v>
      </c>
      <c r="E751" s="49" t="s">
        <v>2164</v>
      </c>
      <c r="F751" s="49" t="s">
        <v>772</v>
      </c>
      <c r="G751" s="49" t="n">
        <v>4</v>
      </c>
      <c r="H751" s="0" t="n">
        <v>0</v>
      </c>
      <c r="I751" s="51" t="s">
        <v>3254</v>
      </c>
      <c r="J751" s="49" t="s">
        <v>2299</v>
      </c>
      <c r="K751" s="52" t="n">
        <v>47776</v>
      </c>
      <c r="M751" s="51" t="s">
        <v>3247</v>
      </c>
      <c r="N751" s="49" t="n">
        <v>4</v>
      </c>
      <c r="O751" s="53" t="n">
        <v>46058.5911458333</v>
      </c>
      <c r="P751" s="53" t="n">
        <v>46060.6529398148</v>
      </c>
      <c r="Q751" s="0" t="n">
        <v>46058.5911458333</v>
      </c>
      <c r="R751" s="0" t="n">
        <v>0</v>
      </c>
      <c r="S751" s="51" t="s">
        <v>3129</v>
      </c>
      <c r="T751" s="51" t="s">
        <v>3129</v>
      </c>
      <c r="U751" s="51" t="s">
        <v>2164</v>
      </c>
      <c r="V751" s="51" t="s">
        <v>2142</v>
      </c>
    </row>
    <row r="752" customFormat="false" ht="14.25" hidden="true" customHeight="false" outlineLevel="0" collapsed="false">
      <c r="A752" s="49" t="s">
        <v>2251</v>
      </c>
      <c r="B752" s="49" t="s">
        <v>14</v>
      </c>
      <c r="C752" s="49" t="s">
        <v>275</v>
      </c>
      <c r="D752" s="49" t="s">
        <v>2441</v>
      </c>
      <c r="E752" s="49" t="s">
        <v>2551</v>
      </c>
      <c r="F752" s="49" t="s">
        <v>168</v>
      </c>
      <c r="G752" s="49" t="n">
        <v>24</v>
      </c>
      <c r="H752" s="0" t="n">
        <v>0</v>
      </c>
      <c r="I752" s="51" t="s">
        <v>3255</v>
      </c>
      <c r="J752" s="49" t="s">
        <v>2577</v>
      </c>
      <c r="K752" s="52" t="n">
        <v>47802</v>
      </c>
      <c r="M752" s="51" t="s">
        <v>3256</v>
      </c>
      <c r="N752" s="49" t="n">
        <v>24</v>
      </c>
      <c r="O752" s="53" t="n">
        <v>46052.5254166667</v>
      </c>
      <c r="P752" s="53" t="n">
        <v>46055.4203819444</v>
      </c>
      <c r="Q752" s="0" t="n">
        <v>46052.5254166667</v>
      </c>
      <c r="R752" s="0" t="n">
        <v>0</v>
      </c>
      <c r="S752" s="51" t="s">
        <v>3129</v>
      </c>
      <c r="T752" s="51" t="s">
        <v>3129</v>
      </c>
      <c r="U752" s="51" t="s">
        <v>2551</v>
      </c>
      <c r="V752" s="51" t="s">
        <v>2205</v>
      </c>
    </row>
    <row r="753" customFormat="false" ht="14.25" hidden="true" customHeight="false" outlineLevel="0" collapsed="false">
      <c r="A753" s="49" t="s">
        <v>2251</v>
      </c>
      <c r="B753" s="49" t="s">
        <v>14</v>
      </c>
      <c r="C753" s="49" t="s">
        <v>1253</v>
      </c>
      <c r="D753" s="49" t="s">
        <v>2441</v>
      </c>
      <c r="E753" s="49" t="s">
        <v>2551</v>
      </c>
      <c r="F753" s="49" t="s">
        <v>168</v>
      </c>
      <c r="G753" s="49" t="n">
        <v>24</v>
      </c>
      <c r="H753" s="0" t="n">
        <v>0</v>
      </c>
      <c r="I753" s="51" t="s">
        <v>3257</v>
      </c>
      <c r="J753" s="49" t="s">
        <v>2872</v>
      </c>
      <c r="K753" s="52" t="n">
        <v>47802</v>
      </c>
      <c r="M753" s="51" t="s">
        <v>3258</v>
      </c>
      <c r="N753" s="49" t="n">
        <v>24</v>
      </c>
      <c r="O753" s="53" t="n">
        <v>46064.5823263889</v>
      </c>
      <c r="P753" s="53" t="n">
        <v>46064.6803935185</v>
      </c>
      <c r="Q753" s="53" t="n">
        <v>46064.5823263889</v>
      </c>
      <c r="R753" s="0" t="n">
        <v>0</v>
      </c>
      <c r="S753" s="51" t="s">
        <v>3129</v>
      </c>
      <c r="T753" s="51" t="s">
        <v>3129</v>
      </c>
      <c r="U753" s="51" t="s">
        <v>2551</v>
      </c>
      <c r="V753" s="51" t="s">
        <v>2205</v>
      </c>
      <c r="W753" s="51" t="s">
        <v>3259</v>
      </c>
      <c r="X753" s="51"/>
    </row>
    <row r="754" customFormat="false" ht="14.25" hidden="true" customHeight="false" outlineLevel="0" collapsed="false">
      <c r="A754" s="49" t="s">
        <v>2251</v>
      </c>
      <c r="B754" s="49" t="s">
        <v>14</v>
      </c>
      <c r="C754" s="49" t="s">
        <v>1240</v>
      </c>
      <c r="D754" s="49" t="s">
        <v>2441</v>
      </c>
      <c r="E754" s="49" t="s">
        <v>2551</v>
      </c>
      <c r="F754" s="49" t="s">
        <v>168</v>
      </c>
      <c r="G754" s="49" t="n">
        <v>24</v>
      </c>
      <c r="H754" s="0" t="n">
        <v>0</v>
      </c>
      <c r="I754" s="51" t="s">
        <v>3260</v>
      </c>
      <c r="J754" s="49" t="s">
        <v>2872</v>
      </c>
      <c r="K754" s="52" t="n">
        <v>47802</v>
      </c>
      <c r="M754" s="51" t="s">
        <v>3258</v>
      </c>
      <c r="N754" s="49" t="n">
        <v>24</v>
      </c>
      <c r="O754" s="53" t="n">
        <v>46064.5814699074</v>
      </c>
      <c r="P754" s="53" t="n">
        <v>46064.6783796296</v>
      </c>
      <c r="Q754" s="53" t="n">
        <v>46064.5814699074</v>
      </c>
      <c r="R754" s="0" t="n">
        <v>0</v>
      </c>
      <c r="S754" s="51" t="s">
        <v>3129</v>
      </c>
      <c r="T754" s="51" t="s">
        <v>3129</v>
      </c>
      <c r="U754" s="51" t="s">
        <v>2551</v>
      </c>
      <c r="V754" s="51" t="s">
        <v>2205</v>
      </c>
      <c r="W754" s="51"/>
      <c r="X754" s="51"/>
    </row>
    <row r="755" customFormat="false" ht="14.25" hidden="true" customHeight="false" outlineLevel="0" collapsed="false">
      <c r="A755" s="49" t="s">
        <v>2251</v>
      </c>
      <c r="B755" s="49" t="s">
        <v>14</v>
      </c>
      <c r="C755" s="49" t="s">
        <v>1241</v>
      </c>
      <c r="D755" s="49" t="s">
        <v>2441</v>
      </c>
      <c r="E755" s="49" t="s">
        <v>2551</v>
      </c>
      <c r="F755" s="49" t="s">
        <v>168</v>
      </c>
      <c r="G755" s="49" t="n">
        <v>24</v>
      </c>
      <c r="H755" s="0" t="n">
        <v>0</v>
      </c>
      <c r="I755" s="51" t="s">
        <v>3261</v>
      </c>
      <c r="J755" s="49" t="s">
        <v>2565</v>
      </c>
      <c r="K755" s="52" t="n">
        <v>47802</v>
      </c>
      <c r="M755" s="51" t="s">
        <v>3258</v>
      </c>
      <c r="N755" s="49" t="n">
        <v>24</v>
      </c>
      <c r="O755" s="53" t="n">
        <v>46064.5794097222</v>
      </c>
      <c r="P755" s="53" t="n">
        <v>46064.675462963</v>
      </c>
      <c r="Q755" s="53" t="n">
        <v>46064.5794097222</v>
      </c>
      <c r="R755" s="0" t="n">
        <v>0</v>
      </c>
      <c r="S755" s="51" t="s">
        <v>3129</v>
      </c>
      <c r="T755" s="51" t="s">
        <v>3129</v>
      </c>
      <c r="U755" s="51" t="s">
        <v>2551</v>
      </c>
      <c r="V755" s="51" t="s">
        <v>2205</v>
      </c>
      <c r="W755" s="51"/>
      <c r="X755" s="51"/>
    </row>
    <row r="756" customFormat="false" ht="14.25" hidden="true" customHeight="false" outlineLevel="0" collapsed="false">
      <c r="A756" s="49" t="s">
        <v>2251</v>
      </c>
      <c r="B756" s="49" t="s">
        <v>14</v>
      </c>
      <c r="C756" s="49" t="s">
        <v>1291</v>
      </c>
      <c r="D756" s="49" t="s">
        <v>2441</v>
      </c>
      <c r="E756" s="49" t="s">
        <v>2551</v>
      </c>
      <c r="F756" s="49" t="s">
        <v>168</v>
      </c>
      <c r="G756" s="49" t="n">
        <v>24</v>
      </c>
      <c r="H756" s="0" t="n">
        <v>0</v>
      </c>
      <c r="I756" s="51" t="s">
        <v>3262</v>
      </c>
      <c r="J756" s="49" t="s">
        <v>2565</v>
      </c>
      <c r="K756" s="52" t="n">
        <v>47802</v>
      </c>
      <c r="M756" s="51" t="s">
        <v>3263</v>
      </c>
      <c r="N756" s="49" t="n">
        <v>24</v>
      </c>
      <c r="O756" s="53" t="n">
        <v>46065.6851041667</v>
      </c>
      <c r="P756" s="53" t="n">
        <v>46065.8053819445</v>
      </c>
      <c r="Q756" s="53" t="n">
        <v>46065.6851041667</v>
      </c>
      <c r="R756" s="0" t="n">
        <v>0</v>
      </c>
      <c r="S756" s="51" t="s">
        <v>3129</v>
      </c>
      <c r="T756" s="51" t="s">
        <v>3129</v>
      </c>
      <c r="U756" s="51" t="s">
        <v>2551</v>
      </c>
      <c r="V756" s="51" t="s">
        <v>2205</v>
      </c>
      <c r="W756" s="51"/>
      <c r="X756" s="51"/>
    </row>
    <row r="757" customFormat="false" ht="14.25" hidden="true" customHeight="false" outlineLevel="0" collapsed="false">
      <c r="A757" s="49" t="s">
        <v>2251</v>
      </c>
      <c r="B757" s="49" t="s">
        <v>14</v>
      </c>
      <c r="C757" s="49" t="s">
        <v>1292</v>
      </c>
      <c r="D757" s="49" t="s">
        <v>2441</v>
      </c>
      <c r="E757" s="49" t="s">
        <v>2551</v>
      </c>
      <c r="F757" s="49" t="s">
        <v>168</v>
      </c>
      <c r="G757" s="49" t="n">
        <v>24</v>
      </c>
      <c r="H757" s="0" t="n">
        <v>0</v>
      </c>
      <c r="I757" s="51" t="s">
        <v>2303</v>
      </c>
      <c r="J757" s="49" t="s">
        <v>2565</v>
      </c>
      <c r="K757" s="52" t="n">
        <v>47802</v>
      </c>
      <c r="M757" s="51" t="s">
        <v>3263</v>
      </c>
      <c r="N757" s="49" t="n">
        <v>24</v>
      </c>
      <c r="O757" s="53" t="n">
        <v>46065.6844791667</v>
      </c>
      <c r="P757" s="53" t="n">
        <v>46067.3808217593</v>
      </c>
      <c r="Q757" s="53" t="n">
        <v>46065.6844791667</v>
      </c>
      <c r="R757" s="0" t="n">
        <v>0</v>
      </c>
      <c r="S757" s="51" t="s">
        <v>3129</v>
      </c>
      <c r="T757" s="51" t="s">
        <v>3129</v>
      </c>
      <c r="U757" s="51" t="s">
        <v>2551</v>
      </c>
      <c r="V757" s="51" t="s">
        <v>2205</v>
      </c>
      <c r="W757" s="51" t="s">
        <v>3264</v>
      </c>
      <c r="X757" s="51"/>
    </row>
    <row r="758" customFormat="false" ht="14.25" hidden="true" customHeight="false" outlineLevel="0" collapsed="false">
      <c r="A758" s="49" t="s">
        <v>2251</v>
      </c>
      <c r="B758" s="49" t="s">
        <v>14</v>
      </c>
      <c r="C758" s="49" t="s">
        <v>1293</v>
      </c>
      <c r="D758" s="49" t="s">
        <v>2441</v>
      </c>
      <c r="E758" s="49" t="s">
        <v>2551</v>
      </c>
      <c r="F758" s="49" t="s">
        <v>168</v>
      </c>
      <c r="G758" s="49" t="n">
        <v>20</v>
      </c>
      <c r="H758" s="0" t="n">
        <v>0</v>
      </c>
      <c r="I758" s="51" t="s">
        <v>3265</v>
      </c>
      <c r="J758" s="49" t="s">
        <v>2553</v>
      </c>
      <c r="K758" s="52" t="n">
        <v>47802</v>
      </c>
      <c r="M758" s="51" t="s">
        <v>3263</v>
      </c>
      <c r="N758" s="49" t="n">
        <v>20</v>
      </c>
      <c r="O758" s="53" t="n">
        <v>46065.6834953704</v>
      </c>
      <c r="P758" s="53" t="n">
        <v>46065.8022106482</v>
      </c>
      <c r="Q758" s="53" t="n">
        <v>46065.6834953704</v>
      </c>
      <c r="R758" s="0" t="n">
        <v>0</v>
      </c>
      <c r="S758" s="51" t="s">
        <v>3129</v>
      </c>
      <c r="T758" s="51" t="s">
        <v>3129</v>
      </c>
      <c r="U758" s="51" t="s">
        <v>2551</v>
      </c>
      <c r="V758" s="51" t="s">
        <v>2205</v>
      </c>
      <c r="W758" s="51"/>
      <c r="X758" s="51"/>
    </row>
    <row r="759" customFormat="false" ht="14.25" hidden="true" customHeight="false" outlineLevel="0" collapsed="false">
      <c r="A759" s="49" t="s">
        <v>2251</v>
      </c>
      <c r="B759" s="49" t="s">
        <v>14</v>
      </c>
      <c r="C759" s="49" t="s">
        <v>1300</v>
      </c>
      <c r="D759" s="49" t="s">
        <v>2441</v>
      </c>
      <c r="E759" s="49" t="s">
        <v>2551</v>
      </c>
      <c r="F759" s="49" t="s">
        <v>168</v>
      </c>
      <c r="G759" s="49" t="n">
        <v>24</v>
      </c>
      <c r="H759" s="0" t="n">
        <v>0</v>
      </c>
      <c r="I759" s="51" t="s">
        <v>3266</v>
      </c>
      <c r="J759" s="49" t="s">
        <v>2565</v>
      </c>
      <c r="K759" s="52" t="n">
        <v>47802</v>
      </c>
      <c r="M759" s="51" t="s">
        <v>3263</v>
      </c>
      <c r="N759" s="49" t="n">
        <v>24</v>
      </c>
      <c r="O759" s="53" t="n">
        <v>46065.6828819444</v>
      </c>
      <c r="P759" s="53" t="n">
        <v>46065.7952777778</v>
      </c>
      <c r="Q759" s="53" t="n">
        <v>46065.6828819444</v>
      </c>
      <c r="R759" s="0" t="n">
        <v>0</v>
      </c>
      <c r="S759" s="51" t="s">
        <v>3129</v>
      </c>
      <c r="T759" s="51" t="s">
        <v>3129</v>
      </c>
      <c r="U759" s="51" t="s">
        <v>2551</v>
      </c>
      <c r="V759" s="51" t="s">
        <v>2205</v>
      </c>
      <c r="W759" s="51"/>
      <c r="X759" s="51"/>
    </row>
    <row r="760" customFormat="false" ht="14.25" hidden="true" customHeight="false" outlineLevel="0" collapsed="false">
      <c r="A760" s="49" t="s">
        <v>2251</v>
      </c>
      <c r="B760" s="49" t="s">
        <v>14</v>
      </c>
      <c r="C760" s="49" t="s">
        <v>1294</v>
      </c>
      <c r="D760" s="49" t="s">
        <v>2441</v>
      </c>
      <c r="E760" s="49" t="s">
        <v>2551</v>
      </c>
      <c r="F760" s="49" t="s">
        <v>168</v>
      </c>
      <c r="G760" s="49" t="n">
        <v>24</v>
      </c>
      <c r="H760" s="0" t="n">
        <v>0</v>
      </c>
      <c r="I760" s="51" t="s">
        <v>3267</v>
      </c>
      <c r="J760" s="49" t="s">
        <v>2565</v>
      </c>
      <c r="K760" s="52" t="n">
        <v>47802</v>
      </c>
      <c r="M760" s="51" t="s">
        <v>3263</v>
      </c>
      <c r="N760" s="49" t="n">
        <v>24</v>
      </c>
      <c r="O760" s="53" t="n">
        <v>46065.6820949074</v>
      </c>
      <c r="P760" s="53" t="n">
        <v>46065.7934027778</v>
      </c>
      <c r="Q760" s="53" t="n">
        <v>46065.6820949074</v>
      </c>
      <c r="R760" s="0" t="n">
        <v>0</v>
      </c>
      <c r="S760" s="51" t="s">
        <v>3129</v>
      </c>
      <c r="T760" s="51" t="s">
        <v>3129</v>
      </c>
      <c r="U760" s="51" t="s">
        <v>2551</v>
      </c>
      <c r="V760" s="51" t="s">
        <v>2205</v>
      </c>
      <c r="W760" s="51"/>
      <c r="X760" s="51"/>
    </row>
    <row r="761" customFormat="false" ht="14.25" hidden="true" customHeight="false" outlineLevel="0" collapsed="false">
      <c r="A761" s="49" t="s">
        <v>2251</v>
      </c>
      <c r="B761" s="49" t="s">
        <v>14</v>
      </c>
      <c r="C761" s="49" t="s">
        <v>1302</v>
      </c>
      <c r="D761" s="49" t="s">
        <v>2441</v>
      </c>
      <c r="E761" s="49" t="s">
        <v>2551</v>
      </c>
      <c r="F761" s="49" t="s">
        <v>168</v>
      </c>
      <c r="G761" s="49" t="n">
        <v>24</v>
      </c>
      <c r="H761" s="0" t="n">
        <v>0</v>
      </c>
      <c r="I761" s="51" t="s">
        <v>3268</v>
      </c>
      <c r="J761" s="49" t="s">
        <v>2872</v>
      </c>
      <c r="K761" s="52" t="n">
        <v>47802</v>
      </c>
      <c r="M761" s="51" t="s">
        <v>3263</v>
      </c>
      <c r="N761" s="49" t="n">
        <v>24</v>
      </c>
      <c r="O761" s="53" t="n">
        <v>46065.6801851852</v>
      </c>
      <c r="P761" s="53" t="n">
        <v>46065.7872337963</v>
      </c>
      <c r="Q761" s="53" t="n">
        <v>46065.6801851852</v>
      </c>
      <c r="R761" s="0" t="n">
        <v>0</v>
      </c>
      <c r="S761" s="51" t="s">
        <v>3129</v>
      </c>
      <c r="T761" s="51" t="s">
        <v>3129</v>
      </c>
      <c r="U761" s="51" t="s">
        <v>2551</v>
      </c>
      <c r="V761" s="51" t="s">
        <v>2205</v>
      </c>
      <c r="W761" s="51"/>
      <c r="X761" s="51"/>
    </row>
    <row r="762" customFormat="false" ht="14.25" hidden="true" customHeight="false" outlineLevel="0" collapsed="false">
      <c r="A762" s="49" t="s">
        <v>2251</v>
      </c>
      <c r="B762" s="49" t="s">
        <v>14</v>
      </c>
      <c r="C762" s="49" t="s">
        <v>1303</v>
      </c>
      <c r="D762" s="49" t="s">
        <v>2441</v>
      </c>
      <c r="E762" s="49" t="s">
        <v>2551</v>
      </c>
      <c r="F762" s="49" t="s">
        <v>168</v>
      </c>
      <c r="G762" s="49" t="n">
        <v>22</v>
      </c>
      <c r="H762" s="0" t="n">
        <v>0</v>
      </c>
      <c r="I762" s="51" t="s">
        <v>3229</v>
      </c>
      <c r="J762" s="49" t="s">
        <v>2577</v>
      </c>
      <c r="K762" s="52" t="n">
        <v>47802</v>
      </c>
      <c r="M762" s="51" t="s">
        <v>3263</v>
      </c>
      <c r="N762" s="49" t="n">
        <v>22</v>
      </c>
      <c r="O762" s="53" t="n">
        <v>46065.6790625</v>
      </c>
      <c r="P762" s="53" t="n">
        <v>46065.7850925926</v>
      </c>
      <c r="Q762" s="53" t="n">
        <v>46065.6790625</v>
      </c>
      <c r="R762" s="0" t="n">
        <v>0</v>
      </c>
      <c r="S762" s="51" t="s">
        <v>3129</v>
      </c>
      <c r="T762" s="51" t="s">
        <v>3129</v>
      </c>
      <c r="U762" s="51" t="s">
        <v>2551</v>
      </c>
      <c r="V762" s="51" t="s">
        <v>2205</v>
      </c>
      <c r="W762" s="51"/>
      <c r="X762" s="51"/>
    </row>
    <row r="763" customFormat="false" ht="14.25" hidden="true" customHeight="false" outlineLevel="0" collapsed="false">
      <c r="A763" s="49" t="s">
        <v>2251</v>
      </c>
      <c r="B763" s="49" t="s">
        <v>14</v>
      </c>
      <c r="C763" s="49" t="s">
        <v>1304</v>
      </c>
      <c r="D763" s="49" t="s">
        <v>2441</v>
      </c>
      <c r="E763" s="49" t="s">
        <v>2551</v>
      </c>
      <c r="F763" s="49" t="s">
        <v>168</v>
      </c>
      <c r="G763" s="49" t="n">
        <v>24</v>
      </c>
      <c r="H763" s="0" t="n">
        <v>0</v>
      </c>
      <c r="I763" s="51" t="s">
        <v>3269</v>
      </c>
      <c r="J763" s="49" t="s">
        <v>2565</v>
      </c>
      <c r="K763" s="52" t="n">
        <v>47802</v>
      </c>
      <c r="M763" s="51" t="s">
        <v>3263</v>
      </c>
      <c r="N763" s="49" t="n">
        <v>24</v>
      </c>
      <c r="O763" s="53" t="n">
        <v>46065.678125</v>
      </c>
      <c r="P763" s="53" t="n">
        <v>46065.7813888889</v>
      </c>
      <c r="Q763" s="53" t="n">
        <v>46065.678125</v>
      </c>
      <c r="R763" s="0" t="n">
        <v>0</v>
      </c>
      <c r="S763" s="51" t="s">
        <v>3129</v>
      </c>
      <c r="T763" s="51" t="s">
        <v>3129</v>
      </c>
      <c r="U763" s="51" t="s">
        <v>2551</v>
      </c>
      <c r="V763" s="51" t="s">
        <v>2205</v>
      </c>
      <c r="W763" s="51"/>
      <c r="X763" s="51"/>
    </row>
    <row r="764" customFormat="false" ht="14.25" hidden="true" customHeight="false" outlineLevel="0" collapsed="false">
      <c r="A764" s="49" t="s">
        <v>2251</v>
      </c>
      <c r="B764" s="49" t="s">
        <v>14</v>
      </c>
      <c r="C764" s="49" t="s">
        <v>1287</v>
      </c>
      <c r="D764" s="49" t="s">
        <v>2441</v>
      </c>
      <c r="E764" s="49" t="s">
        <v>2551</v>
      </c>
      <c r="F764" s="49" t="s">
        <v>168</v>
      </c>
      <c r="G764" s="49" t="n">
        <v>24</v>
      </c>
      <c r="H764" s="0" t="n">
        <v>0</v>
      </c>
      <c r="I764" s="51" t="s">
        <v>3270</v>
      </c>
      <c r="J764" s="49" t="s">
        <v>2553</v>
      </c>
      <c r="K764" s="52" t="n">
        <v>47802</v>
      </c>
      <c r="M764" s="51" t="s">
        <v>3263</v>
      </c>
      <c r="N764" s="49" t="n">
        <v>24</v>
      </c>
      <c r="O764" s="53" t="n">
        <v>46065.6774305556</v>
      </c>
      <c r="P764" s="53" t="n">
        <v>46065.7799305556</v>
      </c>
      <c r="Q764" s="53" t="n">
        <v>46065.6774305556</v>
      </c>
      <c r="R764" s="0" t="n">
        <v>0</v>
      </c>
      <c r="S764" s="51" t="s">
        <v>3129</v>
      </c>
      <c r="T764" s="51" t="s">
        <v>3129</v>
      </c>
      <c r="U764" s="51" t="s">
        <v>2551</v>
      </c>
      <c r="V764" s="51" t="s">
        <v>2205</v>
      </c>
      <c r="W764" s="51"/>
      <c r="X764" s="51"/>
    </row>
    <row r="765" customFormat="false" ht="14.25" hidden="true" customHeight="false" outlineLevel="0" collapsed="false">
      <c r="A765" s="49" t="s">
        <v>2251</v>
      </c>
      <c r="B765" s="49" t="s">
        <v>14</v>
      </c>
      <c r="C765" s="49" t="s">
        <v>1296</v>
      </c>
      <c r="D765" s="49" t="s">
        <v>2441</v>
      </c>
      <c r="E765" s="49" t="s">
        <v>2551</v>
      </c>
      <c r="F765" s="49" t="s">
        <v>168</v>
      </c>
      <c r="G765" s="49" t="n">
        <v>4</v>
      </c>
      <c r="H765" s="0" t="n">
        <v>0</v>
      </c>
      <c r="I765" s="51" t="s">
        <v>3271</v>
      </c>
      <c r="J765" s="49" t="s">
        <v>2565</v>
      </c>
      <c r="K765" s="52" t="n">
        <v>47802</v>
      </c>
      <c r="M765" s="51" t="s">
        <v>3263</v>
      </c>
      <c r="N765" s="49" t="n">
        <v>4</v>
      </c>
      <c r="O765" s="53" t="n">
        <v>46065.6684259259</v>
      </c>
      <c r="P765" s="53" t="n">
        <v>46065.7607291667</v>
      </c>
      <c r="Q765" s="53" t="n">
        <v>46065.6684259259</v>
      </c>
      <c r="R765" s="0" t="n">
        <v>0</v>
      </c>
      <c r="S765" s="51" t="s">
        <v>3129</v>
      </c>
      <c r="T765" s="51" t="s">
        <v>3129</v>
      </c>
      <c r="U765" s="51" t="s">
        <v>2551</v>
      </c>
      <c r="V765" s="51" t="s">
        <v>2205</v>
      </c>
      <c r="W765" s="51"/>
      <c r="X765" s="51"/>
    </row>
    <row r="766" customFormat="false" ht="14.25" hidden="true" customHeight="false" outlineLevel="0" collapsed="false">
      <c r="A766" s="49" t="s">
        <v>2251</v>
      </c>
      <c r="B766" s="49" t="s">
        <v>14</v>
      </c>
      <c r="C766" s="49" t="s">
        <v>1051</v>
      </c>
      <c r="D766" s="49" t="s">
        <v>2441</v>
      </c>
      <c r="E766" s="49" t="s">
        <v>2551</v>
      </c>
      <c r="F766" s="49" t="s">
        <v>168</v>
      </c>
      <c r="G766" s="49" t="n">
        <v>24</v>
      </c>
      <c r="H766" s="0" t="n">
        <v>0</v>
      </c>
      <c r="I766" s="51" t="s">
        <v>3272</v>
      </c>
      <c r="J766" s="49" t="s">
        <v>2553</v>
      </c>
      <c r="K766" s="52" t="n">
        <v>47802</v>
      </c>
      <c r="M766" s="51" t="s">
        <v>3273</v>
      </c>
      <c r="N766" s="49" t="n">
        <v>24</v>
      </c>
      <c r="O766" s="53" t="n">
        <v>46061.3669097222</v>
      </c>
      <c r="P766" s="53" t="n">
        <v>46064.699212963</v>
      </c>
      <c r="Q766" s="53" t="n">
        <v>46061.3669097222</v>
      </c>
      <c r="R766" s="0" t="n">
        <v>0</v>
      </c>
      <c r="S766" s="51" t="s">
        <v>3129</v>
      </c>
      <c r="T766" s="51" t="s">
        <v>3129</v>
      </c>
      <c r="U766" s="51" t="s">
        <v>2551</v>
      </c>
      <c r="V766" s="51" t="s">
        <v>2205</v>
      </c>
      <c r="W766" s="51" t="s">
        <v>3274</v>
      </c>
      <c r="X766" s="51"/>
    </row>
    <row r="767" customFormat="false" ht="14.25" hidden="true" customHeight="false" outlineLevel="0" collapsed="false">
      <c r="A767" s="49" t="s">
        <v>2251</v>
      </c>
      <c r="B767" s="49" t="s">
        <v>14</v>
      </c>
      <c r="C767" s="49" t="s">
        <v>1052</v>
      </c>
      <c r="D767" s="49" t="s">
        <v>2441</v>
      </c>
      <c r="E767" s="49" t="s">
        <v>2551</v>
      </c>
      <c r="F767" s="49" t="s">
        <v>168</v>
      </c>
      <c r="G767" s="49" t="n">
        <v>24</v>
      </c>
      <c r="H767" s="0" t="n">
        <v>0</v>
      </c>
      <c r="I767" s="51" t="s">
        <v>3275</v>
      </c>
      <c r="J767" s="49" t="s">
        <v>2577</v>
      </c>
      <c r="K767" s="52" t="n">
        <v>47802</v>
      </c>
      <c r="M767" s="51" t="s">
        <v>3273</v>
      </c>
      <c r="N767" s="49" t="n">
        <v>24</v>
      </c>
      <c r="O767" s="53" t="n">
        <v>46061.3659490741</v>
      </c>
      <c r="P767" s="53" t="n">
        <v>46064.7025347222</v>
      </c>
      <c r="Q767" s="53" t="n">
        <v>46061.3659490741</v>
      </c>
      <c r="R767" s="0" t="n">
        <v>0</v>
      </c>
      <c r="S767" s="51" t="s">
        <v>3129</v>
      </c>
      <c r="T767" s="51" t="s">
        <v>3129</v>
      </c>
      <c r="U767" s="51" t="s">
        <v>2551</v>
      </c>
      <c r="V767" s="51" t="s">
        <v>2205</v>
      </c>
      <c r="W767" s="51" t="s">
        <v>3276</v>
      </c>
      <c r="X767" s="51"/>
    </row>
    <row r="768" customFormat="false" ht="14.25" hidden="true" customHeight="false" outlineLevel="0" collapsed="false">
      <c r="A768" s="49" t="s">
        <v>2251</v>
      </c>
      <c r="B768" s="49" t="s">
        <v>14</v>
      </c>
      <c r="C768" s="49" t="s">
        <v>1053</v>
      </c>
      <c r="D768" s="49" t="s">
        <v>2441</v>
      </c>
      <c r="E768" s="49" t="s">
        <v>2551</v>
      </c>
      <c r="F768" s="49" t="s">
        <v>168</v>
      </c>
      <c r="G768" s="49" t="n">
        <v>24</v>
      </c>
      <c r="H768" s="0" t="n">
        <v>0</v>
      </c>
      <c r="I768" s="51" t="s">
        <v>3277</v>
      </c>
      <c r="J768" s="49" t="s">
        <v>2553</v>
      </c>
      <c r="K768" s="52" t="n">
        <v>47802</v>
      </c>
      <c r="M768" s="51" t="s">
        <v>3273</v>
      </c>
      <c r="N768" s="49" t="n">
        <v>24</v>
      </c>
      <c r="O768" s="53" t="n">
        <v>46061.3647337963</v>
      </c>
      <c r="P768" s="53" t="n">
        <v>46064.735474537</v>
      </c>
      <c r="Q768" s="53" t="n">
        <v>46061.3647337963</v>
      </c>
      <c r="R768" s="0" t="n">
        <v>0</v>
      </c>
      <c r="S768" s="51" t="s">
        <v>3129</v>
      </c>
      <c r="T768" s="51" t="s">
        <v>3129</v>
      </c>
      <c r="U768" s="51" t="s">
        <v>2551</v>
      </c>
      <c r="V768" s="51" t="s">
        <v>2205</v>
      </c>
      <c r="W768" s="51" t="s">
        <v>3278</v>
      </c>
      <c r="X768" s="51"/>
    </row>
    <row r="769" customFormat="false" ht="14.25" hidden="true" customHeight="false" outlineLevel="0" collapsed="false">
      <c r="A769" s="49" t="s">
        <v>2251</v>
      </c>
      <c r="B769" s="49" t="s">
        <v>14</v>
      </c>
      <c r="C769" s="49" t="s">
        <v>1055</v>
      </c>
      <c r="D769" s="49" t="s">
        <v>2441</v>
      </c>
      <c r="E769" s="49" t="s">
        <v>2551</v>
      </c>
      <c r="F769" s="49" t="s">
        <v>168</v>
      </c>
      <c r="G769" s="49" t="n">
        <v>24</v>
      </c>
      <c r="H769" s="0" t="n">
        <v>0</v>
      </c>
      <c r="I769" s="51" t="s">
        <v>3279</v>
      </c>
      <c r="J769" s="49" t="s">
        <v>2553</v>
      </c>
      <c r="K769" s="52" t="n">
        <v>47802</v>
      </c>
      <c r="M769" s="51" t="s">
        <v>3273</v>
      </c>
      <c r="N769" s="49" t="n">
        <v>24</v>
      </c>
      <c r="O769" s="53" t="n">
        <v>46061.3641319444</v>
      </c>
      <c r="P769" s="53" t="n">
        <v>46064.7332986111</v>
      </c>
      <c r="Q769" s="53" t="n">
        <v>46061.3641319444</v>
      </c>
      <c r="R769" s="0" t="n">
        <v>0</v>
      </c>
      <c r="S769" s="51" t="s">
        <v>3129</v>
      </c>
      <c r="T769" s="51" t="s">
        <v>3129</v>
      </c>
      <c r="U769" s="51" t="s">
        <v>2551</v>
      </c>
      <c r="V769" s="51" t="s">
        <v>2205</v>
      </c>
      <c r="W769" s="51" t="s">
        <v>3280</v>
      </c>
      <c r="X769" s="51"/>
    </row>
    <row r="770" customFormat="false" ht="14.25" hidden="true" customHeight="false" outlineLevel="0" collapsed="false">
      <c r="A770" s="49" t="s">
        <v>2251</v>
      </c>
      <c r="B770" s="49" t="s">
        <v>14</v>
      </c>
      <c r="C770" s="49" t="s">
        <v>1057</v>
      </c>
      <c r="D770" s="49" t="s">
        <v>2441</v>
      </c>
      <c r="E770" s="49" t="s">
        <v>2551</v>
      </c>
      <c r="F770" s="49" t="s">
        <v>168</v>
      </c>
      <c r="G770" s="49" t="n">
        <v>24</v>
      </c>
      <c r="H770" s="0" t="n">
        <v>0</v>
      </c>
      <c r="I770" s="51" t="s">
        <v>3281</v>
      </c>
      <c r="J770" s="49" t="s">
        <v>2577</v>
      </c>
      <c r="K770" s="52" t="n">
        <v>47802</v>
      </c>
      <c r="M770" s="51" t="s">
        <v>3273</v>
      </c>
      <c r="N770" s="49" t="n">
        <v>24</v>
      </c>
      <c r="O770" s="53" t="n">
        <v>46061.3615856482</v>
      </c>
      <c r="P770" s="53" t="n">
        <v>46064.7305555556</v>
      </c>
      <c r="Q770" s="53" t="n">
        <v>46061.3615856482</v>
      </c>
      <c r="R770" s="0" t="n">
        <v>0</v>
      </c>
      <c r="S770" s="51" t="s">
        <v>3129</v>
      </c>
      <c r="T770" s="51" t="s">
        <v>3129</v>
      </c>
      <c r="U770" s="51" t="s">
        <v>2551</v>
      </c>
      <c r="V770" s="51" t="s">
        <v>2205</v>
      </c>
      <c r="W770" s="51" t="s">
        <v>3282</v>
      </c>
      <c r="X770" s="51"/>
    </row>
    <row r="771" customFormat="false" ht="14.25" hidden="true" customHeight="false" outlineLevel="0" collapsed="false">
      <c r="A771" s="49" t="s">
        <v>2251</v>
      </c>
      <c r="B771" s="49" t="s">
        <v>14</v>
      </c>
      <c r="C771" s="49" t="s">
        <v>1044</v>
      </c>
      <c r="D771" s="49" t="s">
        <v>2441</v>
      </c>
      <c r="E771" s="49" t="s">
        <v>2551</v>
      </c>
      <c r="F771" s="49" t="s">
        <v>168</v>
      </c>
      <c r="G771" s="49" t="n">
        <v>24</v>
      </c>
      <c r="H771" s="0" t="n">
        <v>0</v>
      </c>
      <c r="I771" s="51" t="s">
        <v>3283</v>
      </c>
      <c r="J771" s="49" t="s">
        <v>2872</v>
      </c>
      <c r="K771" s="52" t="n">
        <v>47802</v>
      </c>
      <c r="M771" s="51" t="s">
        <v>3273</v>
      </c>
      <c r="N771" s="49" t="n">
        <v>24</v>
      </c>
      <c r="O771" s="53" t="n">
        <v>46061.3528703704</v>
      </c>
      <c r="P771" s="53" t="n">
        <v>46064.7141203704</v>
      </c>
      <c r="Q771" s="53" t="n">
        <v>46061.3528703704</v>
      </c>
      <c r="R771" s="0" t="n">
        <v>0</v>
      </c>
      <c r="S771" s="51" t="s">
        <v>3129</v>
      </c>
      <c r="T771" s="51" t="s">
        <v>3129</v>
      </c>
      <c r="U771" s="51" t="s">
        <v>2551</v>
      </c>
      <c r="V771" s="51" t="s">
        <v>2205</v>
      </c>
      <c r="W771" s="51" t="s">
        <v>3284</v>
      </c>
      <c r="X771" s="51"/>
    </row>
    <row r="772" customFormat="false" ht="14.25" hidden="true" customHeight="false" outlineLevel="0" collapsed="false">
      <c r="A772" s="49" t="s">
        <v>2251</v>
      </c>
      <c r="B772" s="49" t="s">
        <v>14</v>
      </c>
      <c r="C772" s="49" t="s">
        <v>1045</v>
      </c>
      <c r="D772" s="49" t="s">
        <v>2441</v>
      </c>
      <c r="E772" s="49" t="s">
        <v>2551</v>
      </c>
      <c r="F772" s="49" t="s">
        <v>168</v>
      </c>
      <c r="G772" s="49" t="n">
        <v>24</v>
      </c>
      <c r="H772" s="0" t="n">
        <v>0</v>
      </c>
      <c r="I772" s="51" t="s">
        <v>3285</v>
      </c>
      <c r="J772" s="49" t="s">
        <v>2872</v>
      </c>
      <c r="K772" s="52" t="n">
        <v>47802</v>
      </c>
      <c r="M772" s="51" t="s">
        <v>3273</v>
      </c>
      <c r="N772" s="49" t="n">
        <v>24</v>
      </c>
      <c r="O772" s="53" t="n">
        <v>46061.3515393519</v>
      </c>
      <c r="P772" s="53" t="n">
        <v>46064.710625</v>
      </c>
      <c r="Q772" s="53" t="n">
        <v>46061.3515393519</v>
      </c>
      <c r="R772" s="0" t="n">
        <v>0</v>
      </c>
      <c r="S772" s="51" t="s">
        <v>3129</v>
      </c>
      <c r="T772" s="51" t="s">
        <v>3129</v>
      </c>
      <c r="U772" s="51" t="s">
        <v>2551</v>
      </c>
      <c r="V772" s="51" t="s">
        <v>2205</v>
      </c>
      <c r="W772" s="51" t="s">
        <v>3286</v>
      </c>
      <c r="X772" s="51"/>
    </row>
    <row r="773" customFormat="false" ht="14.25" hidden="true" customHeight="false" outlineLevel="0" collapsed="false">
      <c r="A773" s="49" t="s">
        <v>2251</v>
      </c>
      <c r="B773" s="49" t="s">
        <v>14</v>
      </c>
      <c r="C773" s="49" t="s">
        <v>1050</v>
      </c>
      <c r="D773" s="49" t="s">
        <v>2441</v>
      </c>
      <c r="E773" s="49" t="s">
        <v>2551</v>
      </c>
      <c r="F773" s="49" t="s">
        <v>168</v>
      </c>
      <c r="G773" s="49" t="n">
        <v>24</v>
      </c>
      <c r="H773" s="0" t="n">
        <v>0</v>
      </c>
      <c r="I773" s="51" t="s">
        <v>3287</v>
      </c>
      <c r="J773" s="49" t="s">
        <v>2553</v>
      </c>
      <c r="K773" s="52" t="n">
        <v>47802</v>
      </c>
      <c r="M773" s="51" t="s">
        <v>3273</v>
      </c>
      <c r="N773" s="49" t="n">
        <v>24</v>
      </c>
      <c r="O773" s="53" t="n">
        <v>46061.3465856482</v>
      </c>
      <c r="P773" s="53" t="n">
        <v>46064.7080555556</v>
      </c>
      <c r="Q773" s="53" t="n">
        <v>46061.3465856482</v>
      </c>
      <c r="R773" s="0" t="n">
        <v>0</v>
      </c>
      <c r="S773" s="51" t="s">
        <v>3129</v>
      </c>
      <c r="T773" s="51" t="s">
        <v>3129</v>
      </c>
      <c r="U773" s="51" t="s">
        <v>2551</v>
      </c>
      <c r="V773" s="51" t="s">
        <v>2205</v>
      </c>
      <c r="W773" s="51" t="s">
        <v>3288</v>
      </c>
      <c r="X773" s="51"/>
    </row>
    <row r="774" customFormat="false" ht="14.25" hidden="true" customHeight="false" outlineLevel="0" collapsed="false">
      <c r="A774" s="49" t="s">
        <v>2251</v>
      </c>
      <c r="B774" s="49" t="s">
        <v>14</v>
      </c>
      <c r="C774" s="49" t="s">
        <v>277</v>
      </c>
      <c r="D774" s="49" t="s">
        <v>2441</v>
      </c>
      <c r="E774" s="49" t="s">
        <v>2551</v>
      </c>
      <c r="F774" s="49" t="s">
        <v>168</v>
      </c>
      <c r="G774" s="49" t="n">
        <v>24</v>
      </c>
      <c r="H774" s="0" t="n">
        <v>0</v>
      </c>
      <c r="I774" s="51" t="s">
        <v>3289</v>
      </c>
      <c r="J774" s="49" t="s">
        <v>2553</v>
      </c>
      <c r="K774" s="52" t="n">
        <v>47802</v>
      </c>
      <c r="M774" s="51" t="s">
        <v>3256</v>
      </c>
      <c r="N774" s="49" t="n">
        <v>24</v>
      </c>
      <c r="O774" s="53" t="n">
        <v>46052.5931712963</v>
      </c>
      <c r="P774" s="53" t="n">
        <v>46055.4393518519</v>
      </c>
      <c r="Q774" s="53" t="n">
        <v>46052.5931712963</v>
      </c>
      <c r="R774" s="0" t="n">
        <v>0</v>
      </c>
      <c r="S774" s="51" t="s">
        <v>3129</v>
      </c>
      <c r="T774" s="51" t="s">
        <v>3129</v>
      </c>
      <c r="U774" s="51" t="s">
        <v>2551</v>
      </c>
      <c r="V774" s="51" t="s">
        <v>2205</v>
      </c>
      <c r="W774" s="51"/>
      <c r="X774" s="51"/>
    </row>
    <row r="775" customFormat="false" ht="14.25" hidden="true" customHeight="false" outlineLevel="0" collapsed="false">
      <c r="A775" s="49" t="s">
        <v>2251</v>
      </c>
      <c r="B775" s="49" t="s">
        <v>14</v>
      </c>
      <c r="C775" s="49" t="s">
        <v>280</v>
      </c>
      <c r="D775" s="49" t="s">
        <v>2441</v>
      </c>
      <c r="E775" s="49" t="s">
        <v>2551</v>
      </c>
      <c r="F775" s="49" t="s">
        <v>168</v>
      </c>
      <c r="G775" s="49" t="n">
        <v>24</v>
      </c>
      <c r="H775" s="0" t="n">
        <v>0</v>
      </c>
      <c r="I775" s="51" t="s">
        <v>3290</v>
      </c>
      <c r="J775" s="49" t="s">
        <v>2553</v>
      </c>
      <c r="K775" s="52" t="n">
        <v>47802</v>
      </c>
      <c r="M775" s="51" t="s">
        <v>3256</v>
      </c>
      <c r="N775" s="49" t="n">
        <v>24</v>
      </c>
      <c r="O775" s="53" t="n">
        <v>46052.5916782407</v>
      </c>
      <c r="P775" s="53" t="n">
        <v>46055.4357986111</v>
      </c>
      <c r="Q775" s="53" t="n">
        <v>46052.5916782407</v>
      </c>
      <c r="R775" s="0" t="n">
        <v>0</v>
      </c>
      <c r="S775" s="51" t="s">
        <v>3129</v>
      </c>
      <c r="T775" s="51" t="s">
        <v>3129</v>
      </c>
      <c r="U775" s="51" t="s">
        <v>2551</v>
      </c>
      <c r="V775" s="51" t="s">
        <v>2205</v>
      </c>
      <c r="W775" s="51"/>
      <c r="X775" s="51"/>
    </row>
    <row r="776" customFormat="false" ht="14.25" hidden="false" customHeight="false" outlineLevel="0" collapsed="false">
      <c r="A776" s="49" t="s">
        <v>2251</v>
      </c>
      <c r="B776" s="49" t="s">
        <v>14</v>
      </c>
      <c r="C776" s="49" t="s">
        <v>281</v>
      </c>
      <c r="D776" s="49" t="s">
        <v>2441</v>
      </c>
      <c r="E776" s="49" t="s">
        <v>2551</v>
      </c>
      <c r="F776" s="49" t="s">
        <v>168</v>
      </c>
      <c r="G776" s="49" t="n">
        <v>24</v>
      </c>
      <c r="H776" s="0" t="n">
        <v>0</v>
      </c>
      <c r="I776" s="51" t="s">
        <v>3291</v>
      </c>
      <c r="J776" s="49" t="s">
        <v>2565</v>
      </c>
      <c r="K776" s="52" t="n">
        <v>47802</v>
      </c>
      <c r="M776" s="51" t="s">
        <v>3256</v>
      </c>
      <c r="N776" s="0" t="n">
        <v>24</v>
      </c>
      <c r="O776" s="53" t="n">
        <v>46052.5887731482</v>
      </c>
      <c r="P776" s="53" t="n">
        <v>46057.7912615741</v>
      </c>
      <c r="Q776" s="53" t="n">
        <v>46052.5887731482</v>
      </c>
      <c r="R776" s="0" t="n">
        <v>0</v>
      </c>
      <c r="S776" s="51" t="s">
        <v>3129</v>
      </c>
      <c r="T776" s="51" t="s">
        <v>3129</v>
      </c>
      <c r="U776" s="51" t="s">
        <v>2551</v>
      </c>
      <c r="V776" s="51" t="s">
        <v>2205</v>
      </c>
      <c r="W776" s="51"/>
      <c r="X776" s="51"/>
    </row>
    <row r="777" customFormat="false" ht="14.25" hidden="true" customHeight="false" outlineLevel="0" collapsed="false">
      <c r="A777" s="49" t="s">
        <v>2251</v>
      </c>
      <c r="B777" s="49" t="s">
        <v>14</v>
      </c>
      <c r="C777" s="49" t="s">
        <v>294</v>
      </c>
      <c r="D777" s="49" t="s">
        <v>2441</v>
      </c>
      <c r="E777" s="49" t="s">
        <v>2551</v>
      </c>
      <c r="F777" s="49" t="s">
        <v>168</v>
      </c>
      <c r="G777" s="49" t="n">
        <v>24</v>
      </c>
      <c r="H777" s="0" t="n">
        <v>0</v>
      </c>
      <c r="I777" s="51" t="s">
        <v>3292</v>
      </c>
      <c r="J777" s="49" t="s">
        <v>2565</v>
      </c>
      <c r="K777" s="52" t="n">
        <v>47802</v>
      </c>
      <c r="M777" s="51" t="s">
        <v>3256</v>
      </c>
      <c r="N777" s="49" t="n">
        <v>24</v>
      </c>
      <c r="O777" s="53" t="n">
        <v>46052.5881944444</v>
      </c>
      <c r="P777" s="53" t="n">
        <v>46055.3757523148</v>
      </c>
      <c r="Q777" s="53" t="n">
        <v>46052.5881944444</v>
      </c>
      <c r="R777" s="0" t="n">
        <v>0</v>
      </c>
      <c r="S777" s="51" t="s">
        <v>3129</v>
      </c>
      <c r="T777" s="51" t="s">
        <v>3129</v>
      </c>
      <c r="U777" s="51" t="s">
        <v>2551</v>
      </c>
      <c r="V777" s="51" t="s">
        <v>2205</v>
      </c>
      <c r="W777" s="51"/>
      <c r="X777" s="51"/>
    </row>
    <row r="778" customFormat="false" ht="14.25" hidden="true" customHeight="false" outlineLevel="0" collapsed="false">
      <c r="A778" s="49" t="s">
        <v>2251</v>
      </c>
      <c r="B778" s="49" t="s">
        <v>14</v>
      </c>
      <c r="C778" s="49" t="s">
        <v>295</v>
      </c>
      <c r="D778" s="49" t="s">
        <v>2441</v>
      </c>
      <c r="E778" s="49" t="s">
        <v>2551</v>
      </c>
      <c r="F778" s="49" t="s">
        <v>168</v>
      </c>
      <c r="G778" s="49" t="n">
        <v>24</v>
      </c>
      <c r="H778" s="0" t="n">
        <v>0</v>
      </c>
      <c r="I778" s="51" t="s">
        <v>3292</v>
      </c>
      <c r="J778" s="49" t="s">
        <v>2565</v>
      </c>
      <c r="K778" s="52" t="n">
        <v>47802</v>
      </c>
      <c r="M778" s="51" t="s">
        <v>3256</v>
      </c>
      <c r="N778" s="49" t="n">
        <v>24</v>
      </c>
      <c r="O778" s="53" t="n">
        <v>46052.5538773148</v>
      </c>
      <c r="P778" s="53" t="n">
        <v>46055.3721875</v>
      </c>
      <c r="Q778" s="53" t="n">
        <v>46052.5538773148</v>
      </c>
      <c r="R778" s="0" t="n">
        <v>0</v>
      </c>
      <c r="S778" s="51" t="s">
        <v>3129</v>
      </c>
      <c r="T778" s="51" t="s">
        <v>3129</v>
      </c>
      <c r="U778" s="51" t="s">
        <v>2551</v>
      </c>
      <c r="V778" s="51" t="s">
        <v>2205</v>
      </c>
      <c r="W778" s="51"/>
      <c r="X778" s="51"/>
    </row>
    <row r="779" customFormat="false" ht="14.25" hidden="true" customHeight="false" outlineLevel="0" collapsed="false">
      <c r="A779" s="49" t="s">
        <v>2251</v>
      </c>
      <c r="B779" s="49" t="s">
        <v>14</v>
      </c>
      <c r="C779" s="49" t="s">
        <v>285</v>
      </c>
      <c r="D779" s="49" t="s">
        <v>2441</v>
      </c>
      <c r="E779" s="49" t="s">
        <v>2551</v>
      </c>
      <c r="F779" s="49" t="s">
        <v>168</v>
      </c>
      <c r="G779" s="49" t="n">
        <v>24</v>
      </c>
      <c r="H779" s="0" t="n">
        <v>0</v>
      </c>
      <c r="I779" s="51" t="s">
        <v>3293</v>
      </c>
      <c r="J779" s="49" t="s">
        <v>2565</v>
      </c>
      <c r="K779" s="52" t="n">
        <v>47802</v>
      </c>
      <c r="M779" s="51" t="s">
        <v>3256</v>
      </c>
      <c r="N779" s="49" t="n">
        <v>24</v>
      </c>
      <c r="O779" s="53" t="n">
        <v>46052.5529166667</v>
      </c>
      <c r="P779" s="53" t="n">
        <v>46055.4302430556</v>
      </c>
      <c r="Q779" s="53" t="n">
        <v>46052.5529166667</v>
      </c>
      <c r="R779" s="0" t="n">
        <v>0</v>
      </c>
      <c r="S779" s="51" t="s">
        <v>3129</v>
      </c>
      <c r="T779" s="51" t="s">
        <v>3129</v>
      </c>
      <c r="U779" s="51" t="s">
        <v>2551</v>
      </c>
      <c r="V779" s="51" t="s">
        <v>2205</v>
      </c>
      <c r="W779" s="51"/>
      <c r="X779" s="51"/>
    </row>
    <row r="780" customFormat="false" ht="14.25" hidden="true" customHeight="false" outlineLevel="0" collapsed="false">
      <c r="A780" s="49" t="s">
        <v>2251</v>
      </c>
      <c r="B780" s="49" t="s">
        <v>14</v>
      </c>
      <c r="C780" s="49" t="s">
        <v>296</v>
      </c>
      <c r="D780" s="49" t="s">
        <v>2441</v>
      </c>
      <c r="E780" s="49" t="s">
        <v>2551</v>
      </c>
      <c r="F780" s="49" t="s">
        <v>168</v>
      </c>
      <c r="G780" s="49" t="n">
        <v>24</v>
      </c>
      <c r="H780" s="0" t="n">
        <v>0</v>
      </c>
      <c r="I780" s="51" t="s">
        <v>3292</v>
      </c>
      <c r="J780" s="49" t="s">
        <v>2565</v>
      </c>
      <c r="K780" s="52" t="n">
        <v>47802</v>
      </c>
      <c r="M780" s="51" t="s">
        <v>3256</v>
      </c>
      <c r="N780" s="49" t="n">
        <v>24</v>
      </c>
      <c r="O780" s="53" t="n">
        <v>46052.5479513889</v>
      </c>
      <c r="P780" s="53" t="n">
        <v>46057.7442476852</v>
      </c>
      <c r="Q780" s="53" t="n">
        <v>46052.5479513889</v>
      </c>
      <c r="R780" s="0" t="n">
        <v>0</v>
      </c>
      <c r="S780" s="51" t="s">
        <v>3129</v>
      </c>
      <c r="T780" s="51" t="s">
        <v>3129</v>
      </c>
      <c r="U780" s="51" t="s">
        <v>2551</v>
      </c>
      <c r="V780" s="51" t="s">
        <v>2205</v>
      </c>
      <c r="W780" s="51"/>
      <c r="X780" s="51"/>
    </row>
    <row r="781" customFormat="false" ht="14.25" hidden="true" customHeight="false" outlineLevel="0" collapsed="false">
      <c r="A781" s="49" t="s">
        <v>2251</v>
      </c>
      <c r="B781" s="49" t="s">
        <v>14</v>
      </c>
      <c r="C781" s="49" t="s">
        <v>297</v>
      </c>
      <c r="D781" s="49" t="s">
        <v>2441</v>
      </c>
      <c r="E781" s="49" t="s">
        <v>2551</v>
      </c>
      <c r="F781" s="49" t="s">
        <v>168</v>
      </c>
      <c r="G781" s="49" t="n">
        <v>24</v>
      </c>
      <c r="H781" s="0" t="n">
        <v>0</v>
      </c>
      <c r="I781" s="51" t="s">
        <v>3292</v>
      </c>
      <c r="J781" s="49" t="s">
        <v>2565</v>
      </c>
      <c r="K781" s="52" t="n">
        <v>47802</v>
      </c>
      <c r="M781" s="51" t="s">
        <v>3256</v>
      </c>
      <c r="N781" s="49" t="n">
        <v>24</v>
      </c>
      <c r="O781" s="53" t="n">
        <v>46052.5388310185</v>
      </c>
      <c r="P781" s="53" t="n">
        <v>46055.3644675926</v>
      </c>
      <c r="Q781" s="53" t="n">
        <v>46052.5388310185</v>
      </c>
      <c r="R781" s="0" t="n">
        <v>0</v>
      </c>
      <c r="S781" s="51" t="s">
        <v>3129</v>
      </c>
      <c r="T781" s="51" t="s">
        <v>3129</v>
      </c>
      <c r="U781" s="51" t="s">
        <v>2551</v>
      </c>
      <c r="V781" s="51" t="s">
        <v>2205</v>
      </c>
      <c r="W781" s="51"/>
      <c r="X781" s="51"/>
    </row>
    <row r="782" customFormat="false" ht="14.25" hidden="true" customHeight="false" outlineLevel="0" collapsed="false">
      <c r="A782" s="49" t="s">
        <v>2251</v>
      </c>
      <c r="B782" s="49" t="s">
        <v>14</v>
      </c>
      <c r="C782" s="49" t="s">
        <v>289</v>
      </c>
      <c r="D782" s="49" t="s">
        <v>2441</v>
      </c>
      <c r="E782" s="49" t="s">
        <v>2551</v>
      </c>
      <c r="F782" s="49" t="s">
        <v>168</v>
      </c>
      <c r="G782" s="49" t="n">
        <v>24</v>
      </c>
      <c r="H782" s="0" t="n">
        <v>0</v>
      </c>
      <c r="I782" s="51" t="s">
        <v>3294</v>
      </c>
      <c r="J782" s="49" t="s">
        <v>2553</v>
      </c>
      <c r="K782" s="52" t="n">
        <v>47802</v>
      </c>
      <c r="M782" s="51" t="s">
        <v>3256</v>
      </c>
      <c r="N782" s="49" t="n">
        <v>24</v>
      </c>
      <c r="O782" s="53" t="n">
        <v>46052.534537037</v>
      </c>
      <c r="P782" s="53" t="n">
        <v>46055.4258564815</v>
      </c>
      <c r="Q782" s="53" t="n">
        <v>46052.534537037</v>
      </c>
      <c r="R782" s="0" t="n">
        <v>0</v>
      </c>
      <c r="S782" s="51" t="s">
        <v>3129</v>
      </c>
      <c r="T782" s="51" t="s">
        <v>3129</v>
      </c>
      <c r="U782" s="51" t="s">
        <v>2551</v>
      </c>
      <c r="V782" s="51" t="s">
        <v>2205</v>
      </c>
      <c r="W782" s="51"/>
      <c r="X782" s="51"/>
    </row>
    <row r="783" customFormat="false" ht="14.25" hidden="true" customHeight="false" outlineLevel="0" collapsed="false">
      <c r="A783" s="49" t="s">
        <v>2251</v>
      </c>
      <c r="B783" s="49" t="s">
        <v>14</v>
      </c>
      <c r="C783" s="49" t="s">
        <v>274</v>
      </c>
      <c r="D783" s="49" t="s">
        <v>2441</v>
      </c>
      <c r="E783" s="49" t="s">
        <v>2551</v>
      </c>
      <c r="F783" s="49" t="s">
        <v>168</v>
      </c>
      <c r="G783" s="49" t="n">
        <v>24</v>
      </c>
      <c r="H783" s="0" t="n">
        <v>0</v>
      </c>
      <c r="I783" s="51" t="s">
        <v>3292</v>
      </c>
      <c r="J783" s="49" t="s">
        <v>2565</v>
      </c>
      <c r="K783" s="52" t="n">
        <v>47802</v>
      </c>
      <c r="M783" s="51" t="s">
        <v>3256</v>
      </c>
      <c r="N783" s="49" t="n">
        <v>24</v>
      </c>
      <c r="O783" s="53" t="n">
        <v>46052.5322337963</v>
      </c>
      <c r="P783" s="53" t="n">
        <v>46055.3616898148</v>
      </c>
      <c r="Q783" s="53" t="n">
        <v>46052.5322337963</v>
      </c>
      <c r="R783" s="0" t="n">
        <v>0</v>
      </c>
      <c r="S783" s="51" t="s">
        <v>3129</v>
      </c>
      <c r="T783" s="51" t="s">
        <v>3129</v>
      </c>
      <c r="U783" s="51" t="s">
        <v>2551</v>
      </c>
      <c r="V783" s="51" t="s">
        <v>2205</v>
      </c>
      <c r="W783" s="51"/>
      <c r="X783" s="51"/>
    </row>
    <row r="784" customFormat="false" ht="14.25" hidden="true" customHeight="false" outlineLevel="0" collapsed="false">
      <c r="A784" s="49" t="s">
        <v>2251</v>
      </c>
      <c r="B784" s="49" t="s">
        <v>14</v>
      </c>
      <c r="C784" s="49" t="s">
        <v>292</v>
      </c>
      <c r="D784" s="49" t="s">
        <v>2441</v>
      </c>
      <c r="E784" s="49" t="s">
        <v>2551</v>
      </c>
      <c r="F784" s="49" t="s">
        <v>168</v>
      </c>
      <c r="G784" s="49" t="n">
        <v>24</v>
      </c>
      <c r="H784" s="0" t="n">
        <v>0</v>
      </c>
      <c r="I784" s="51" t="s">
        <v>3295</v>
      </c>
      <c r="J784" s="49" t="s">
        <v>2577</v>
      </c>
      <c r="K784" s="52" t="n">
        <v>47802</v>
      </c>
      <c r="M784" s="51" t="s">
        <v>3256</v>
      </c>
      <c r="N784" s="49" t="n">
        <v>24</v>
      </c>
      <c r="O784" s="53" t="n">
        <v>46052.5278935185</v>
      </c>
      <c r="P784" s="53" t="n">
        <v>46055.4216435185</v>
      </c>
      <c r="Q784" s="53" t="n">
        <v>46052.5278935185</v>
      </c>
      <c r="R784" s="0" t="n">
        <v>0</v>
      </c>
      <c r="S784" s="51" t="s">
        <v>3129</v>
      </c>
      <c r="T784" s="51" t="s">
        <v>3129</v>
      </c>
      <c r="U784" s="51" t="s">
        <v>2551</v>
      </c>
      <c r="V784" s="51" t="s">
        <v>2205</v>
      </c>
      <c r="W784" s="51"/>
      <c r="X784" s="51"/>
    </row>
    <row r="785" customFormat="false" ht="14.25" hidden="true" customHeight="false" outlineLevel="0" collapsed="false">
      <c r="A785" s="49" t="s">
        <v>2251</v>
      </c>
      <c r="B785" s="49" t="s">
        <v>14</v>
      </c>
      <c r="C785" s="49" t="s">
        <v>137</v>
      </c>
      <c r="D785" s="49" t="s">
        <v>2441</v>
      </c>
      <c r="E785" s="49" t="s">
        <v>2500</v>
      </c>
      <c r="F785" s="49" t="s">
        <v>16</v>
      </c>
      <c r="G785" s="49" t="n">
        <v>4</v>
      </c>
      <c r="H785" s="0" t="n">
        <v>0</v>
      </c>
      <c r="I785" s="51" t="s">
        <v>3296</v>
      </c>
      <c r="J785" s="49" t="s">
        <v>2581</v>
      </c>
      <c r="K785" s="52" t="n">
        <v>47803</v>
      </c>
      <c r="M785" s="51" t="s">
        <v>3297</v>
      </c>
      <c r="N785" s="49" t="n">
        <v>4</v>
      </c>
      <c r="O785" s="53" t="n">
        <v>46049.7570949074</v>
      </c>
      <c r="P785" s="53" t="n">
        <v>46056.7214930556</v>
      </c>
      <c r="Q785" s="53" t="n">
        <v>46049.7570949074</v>
      </c>
      <c r="R785" s="0" t="n">
        <v>0</v>
      </c>
      <c r="S785" s="51" t="s">
        <v>3129</v>
      </c>
      <c r="T785" s="51" t="s">
        <v>3129</v>
      </c>
      <c r="U785" s="51" t="s">
        <v>2500</v>
      </c>
      <c r="V785" s="51" t="s">
        <v>2142</v>
      </c>
      <c r="W785" s="51"/>
      <c r="X785" s="51"/>
    </row>
    <row r="786" customFormat="false" ht="14.25" hidden="false" customHeight="false" outlineLevel="0" collapsed="false">
      <c r="A786" s="49" t="s">
        <v>2251</v>
      </c>
      <c r="B786" s="49" t="s">
        <v>14</v>
      </c>
      <c r="C786" s="49" t="s">
        <v>1056</v>
      </c>
      <c r="D786" s="49" t="s">
        <v>2441</v>
      </c>
      <c r="E786" s="49" t="s">
        <v>2551</v>
      </c>
      <c r="F786" s="49" t="s">
        <v>168</v>
      </c>
      <c r="G786" s="49" t="n">
        <v>24</v>
      </c>
      <c r="H786" s="0" t="n">
        <v>0</v>
      </c>
      <c r="I786" s="51" t="s">
        <v>3298</v>
      </c>
      <c r="J786" s="49" t="s">
        <v>2585</v>
      </c>
      <c r="K786" s="52" t="n">
        <v>47803</v>
      </c>
      <c r="M786" s="51" t="s">
        <v>3273</v>
      </c>
      <c r="N786" s="0" t="n">
        <v>24</v>
      </c>
      <c r="O786" s="53" t="n">
        <v>46061.3628125</v>
      </c>
      <c r="P786" s="53" t="n">
        <v>46064.6977777778</v>
      </c>
      <c r="Q786" s="53" t="n">
        <v>46061.3628125</v>
      </c>
      <c r="R786" s="0" t="n">
        <v>0</v>
      </c>
      <c r="S786" s="51" t="s">
        <v>3129</v>
      </c>
      <c r="T786" s="51" t="s">
        <v>3129</v>
      </c>
      <c r="U786" s="51" t="s">
        <v>2551</v>
      </c>
      <c r="V786" s="51" t="s">
        <v>2205</v>
      </c>
      <c r="W786" s="51" t="s">
        <v>3299</v>
      </c>
      <c r="X786" s="51"/>
    </row>
    <row r="787" customFormat="false" ht="14.25" hidden="false" customHeight="false" outlineLevel="0" collapsed="false">
      <c r="A787" s="49" t="s">
        <v>2251</v>
      </c>
      <c r="B787" s="49" t="s">
        <v>14</v>
      </c>
      <c r="C787" s="49" t="s">
        <v>1058</v>
      </c>
      <c r="D787" s="49" t="s">
        <v>2441</v>
      </c>
      <c r="E787" s="49" t="s">
        <v>2551</v>
      </c>
      <c r="F787" s="49" t="s">
        <v>168</v>
      </c>
      <c r="G787" s="49" t="n">
        <v>24</v>
      </c>
      <c r="H787" s="0" t="n">
        <v>0</v>
      </c>
      <c r="I787" s="51" t="s">
        <v>3300</v>
      </c>
      <c r="J787" s="49" t="s">
        <v>2585</v>
      </c>
      <c r="K787" s="52" t="n">
        <v>47803</v>
      </c>
      <c r="M787" s="51" t="s">
        <v>3273</v>
      </c>
      <c r="N787" s="0" t="n">
        <v>24</v>
      </c>
      <c r="O787" s="53" t="n">
        <v>46061.3591666667</v>
      </c>
      <c r="P787" s="53" t="n">
        <v>46064.7271643519</v>
      </c>
      <c r="Q787" s="53" t="n">
        <v>46061.3591666667</v>
      </c>
      <c r="R787" s="0" t="n">
        <v>0</v>
      </c>
      <c r="S787" s="51" t="s">
        <v>3129</v>
      </c>
      <c r="T787" s="51" t="s">
        <v>3129</v>
      </c>
      <c r="U787" s="51" t="s">
        <v>2551</v>
      </c>
      <c r="V787" s="51" t="s">
        <v>2205</v>
      </c>
      <c r="W787" s="51" t="s">
        <v>3301</v>
      </c>
      <c r="X787" s="51"/>
    </row>
    <row r="788" customFormat="false" ht="14.25" hidden="false" customHeight="false" outlineLevel="0" collapsed="false">
      <c r="A788" s="49" t="s">
        <v>2251</v>
      </c>
      <c r="B788" s="49" t="s">
        <v>14</v>
      </c>
      <c r="C788" s="49" t="s">
        <v>1073</v>
      </c>
      <c r="D788" s="49" t="s">
        <v>2441</v>
      </c>
      <c r="E788" s="49" t="s">
        <v>2500</v>
      </c>
      <c r="F788" s="49" t="s">
        <v>16</v>
      </c>
      <c r="G788" s="49" t="n">
        <v>4</v>
      </c>
      <c r="H788" s="0" t="n">
        <v>0</v>
      </c>
      <c r="I788" s="51" t="s">
        <v>3151</v>
      </c>
      <c r="J788" s="49" t="s">
        <v>2581</v>
      </c>
      <c r="K788" s="52" t="n">
        <v>47803</v>
      </c>
      <c r="M788" s="51" t="s">
        <v>3302</v>
      </c>
      <c r="N788" s="0" t="n">
        <v>4</v>
      </c>
      <c r="O788" s="53" t="n">
        <v>46061.4281134259</v>
      </c>
      <c r="P788" s="53" t="n">
        <v>46061.6275578704</v>
      </c>
      <c r="Q788" s="53" t="n">
        <v>46061.4281134259</v>
      </c>
      <c r="R788" s="0" t="n">
        <v>0</v>
      </c>
      <c r="S788" s="51" t="s">
        <v>3129</v>
      </c>
      <c r="T788" s="51" t="s">
        <v>3129</v>
      </c>
      <c r="U788" s="51" t="s">
        <v>2500</v>
      </c>
      <c r="V788" s="51" t="s">
        <v>2142</v>
      </c>
      <c r="W788" s="51"/>
      <c r="X788" s="51"/>
    </row>
    <row r="789" customFormat="false" ht="14.25" hidden="false" customHeight="false" outlineLevel="0" collapsed="false">
      <c r="A789" s="49" t="s">
        <v>2251</v>
      </c>
      <c r="B789" s="49" t="s">
        <v>14</v>
      </c>
      <c r="C789" s="49" t="s">
        <v>1075</v>
      </c>
      <c r="D789" s="49" t="s">
        <v>2441</v>
      </c>
      <c r="E789" s="49" t="s">
        <v>2500</v>
      </c>
      <c r="F789" s="49" t="s">
        <v>16</v>
      </c>
      <c r="G789" s="49" t="n">
        <v>4</v>
      </c>
      <c r="H789" s="0" t="n">
        <v>0</v>
      </c>
      <c r="I789" s="51" t="s">
        <v>3303</v>
      </c>
      <c r="J789" s="49" t="s">
        <v>2581</v>
      </c>
      <c r="K789" s="52" t="n">
        <v>47803</v>
      </c>
      <c r="M789" s="51" t="s">
        <v>3302</v>
      </c>
      <c r="N789" s="0" t="n">
        <v>4</v>
      </c>
      <c r="O789" s="53" t="n">
        <v>46061.4272106482</v>
      </c>
      <c r="P789" s="53" t="n">
        <v>46061.6268402778</v>
      </c>
      <c r="Q789" s="53" t="n">
        <v>46061.4272106482</v>
      </c>
      <c r="R789" s="0" t="n">
        <v>0</v>
      </c>
      <c r="S789" s="51" t="s">
        <v>3129</v>
      </c>
      <c r="T789" s="51" t="s">
        <v>3129</v>
      </c>
      <c r="U789" s="51" t="s">
        <v>2500</v>
      </c>
      <c r="V789" s="51" t="s">
        <v>2142</v>
      </c>
      <c r="W789" s="51"/>
      <c r="X789" s="51"/>
    </row>
    <row r="790" customFormat="false" ht="14.25" hidden="false" customHeight="false" outlineLevel="0" collapsed="false">
      <c r="A790" s="49" t="s">
        <v>2251</v>
      </c>
      <c r="B790" s="49" t="s">
        <v>14</v>
      </c>
      <c r="C790" s="49" t="s">
        <v>1077</v>
      </c>
      <c r="D790" s="49" t="s">
        <v>2441</v>
      </c>
      <c r="E790" s="49" t="s">
        <v>2500</v>
      </c>
      <c r="F790" s="49" t="s">
        <v>16</v>
      </c>
      <c r="G790" s="49" t="n">
        <v>4</v>
      </c>
      <c r="H790" s="0" t="n">
        <v>0</v>
      </c>
      <c r="I790" s="51" t="s">
        <v>3304</v>
      </c>
      <c r="J790" s="49" t="s">
        <v>2581</v>
      </c>
      <c r="K790" s="52" t="n">
        <v>47803</v>
      </c>
      <c r="M790" s="51" t="s">
        <v>3302</v>
      </c>
      <c r="N790" s="0" t="n">
        <v>4</v>
      </c>
      <c r="O790" s="53" t="n">
        <v>46061.4262731482</v>
      </c>
      <c r="P790" s="53" t="n">
        <v>46061.6006597222</v>
      </c>
      <c r="Q790" s="53" t="n">
        <v>46061.4262731482</v>
      </c>
      <c r="R790" s="0" t="n">
        <v>0</v>
      </c>
      <c r="S790" s="51" t="s">
        <v>3129</v>
      </c>
      <c r="T790" s="51" t="s">
        <v>3129</v>
      </c>
      <c r="U790" s="51" t="s">
        <v>2500</v>
      </c>
      <c r="V790" s="51" t="s">
        <v>2142</v>
      </c>
      <c r="W790" s="51"/>
      <c r="X790" s="51"/>
    </row>
    <row r="791" customFormat="false" ht="14.25" hidden="false" customHeight="false" outlineLevel="0" collapsed="false">
      <c r="A791" s="49" t="s">
        <v>2251</v>
      </c>
      <c r="B791" s="49" t="s">
        <v>14</v>
      </c>
      <c r="C791" s="49" t="s">
        <v>1079</v>
      </c>
      <c r="D791" s="49" t="s">
        <v>2441</v>
      </c>
      <c r="E791" s="49" t="s">
        <v>2500</v>
      </c>
      <c r="F791" s="49" t="s">
        <v>16</v>
      </c>
      <c r="G791" s="49" t="n">
        <v>4</v>
      </c>
      <c r="H791" s="0" t="n">
        <v>0</v>
      </c>
      <c r="I791" s="51" t="s">
        <v>3305</v>
      </c>
      <c r="J791" s="49" t="s">
        <v>2581</v>
      </c>
      <c r="K791" s="52" t="n">
        <v>47803</v>
      </c>
      <c r="M791" s="51" t="s">
        <v>3302</v>
      </c>
      <c r="N791" s="0" t="n">
        <v>4</v>
      </c>
      <c r="O791" s="53" t="n">
        <v>46061.4250115741</v>
      </c>
      <c r="P791" s="53" t="n">
        <v>46061.5991782407</v>
      </c>
      <c r="Q791" s="53" t="n">
        <v>46061.4250115741</v>
      </c>
      <c r="R791" s="0" t="n">
        <v>0</v>
      </c>
      <c r="S791" s="51" t="s">
        <v>3129</v>
      </c>
      <c r="T791" s="51" t="s">
        <v>3129</v>
      </c>
      <c r="U791" s="51" t="s">
        <v>2500</v>
      </c>
      <c r="V791" s="51" t="s">
        <v>2142</v>
      </c>
      <c r="W791" s="51"/>
      <c r="X791" s="51"/>
    </row>
    <row r="792" customFormat="false" ht="14.25" hidden="false" customHeight="false" outlineLevel="0" collapsed="false">
      <c r="A792" s="49" t="s">
        <v>2251</v>
      </c>
      <c r="B792" s="49" t="s">
        <v>14</v>
      </c>
      <c r="C792" s="49" t="s">
        <v>1019</v>
      </c>
      <c r="D792" s="49" t="s">
        <v>2441</v>
      </c>
      <c r="E792" s="49" t="s">
        <v>2500</v>
      </c>
      <c r="F792" s="49" t="s">
        <v>16</v>
      </c>
      <c r="G792" s="49" t="n">
        <v>4</v>
      </c>
      <c r="H792" s="0" t="n">
        <v>0</v>
      </c>
      <c r="I792" s="51" t="s">
        <v>3306</v>
      </c>
      <c r="J792" s="49" t="s">
        <v>2581</v>
      </c>
      <c r="K792" s="52" t="n">
        <v>47803</v>
      </c>
      <c r="M792" s="51" t="s">
        <v>3157</v>
      </c>
      <c r="N792" s="0" t="n">
        <v>4</v>
      </c>
      <c r="O792" s="53" t="n">
        <v>46060.5854282407</v>
      </c>
      <c r="P792" s="53" t="n">
        <v>46061.4555671296</v>
      </c>
      <c r="Q792" s="53" t="n">
        <v>46060.5854282407</v>
      </c>
      <c r="R792" s="0" t="n">
        <v>0</v>
      </c>
      <c r="S792" s="51" t="s">
        <v>3129</v>
      </c>
      <c r="T792" s="51" t="s">
        <v>3129</v>
      </c>
      <c r="U792" s="51" t="s">
        <v>2500</v>
      </c>
      <c r="V792" s="51" t="s">
        <v>2142</v>
      </c>
      <c r="W792" s="51"/>
      <c r="X792" s="51"/>
    </row>
    <row r="793" customFormat="false" ht="14.25" hidden="false" customHeight="false" outlineLevel="0" collapsed="false">
      <c r="A793" s="49" t="s">
        <v>2251</v>
      </c>
      <c r="B793" s="49" t="s">
        <v>14</v>
      </c>
      <c r="C793" s="49" t="s">
        <v>450</v>
      </c>
      <c r="D793" s="49" t="s">
        <v>2441</v>
      </c>
      <c r="E793" s="49" t="s">
        <v>2500</v>
      </c>
      <c r="F793" s="49" t="s">
        <v>16</v>
      </c>
      <c r="G793" s="49" t="n">
        <v>4</v>
      </c>
      <c r="H793" s="0" t="n">
        <v>0</v>
      </c>
      <c r="I793" s="51" t="s">
        <v>3307</v>
      </c>
      <c r="J793" s="49" t="s">
        <v>2581</v>
      </c>
      <c r="K793" s="52" t="n">
        <v>47803</v>
      </c>
      <c r="M793" s="51" t="s">
        <v>3308</v>
      </c>
      <c r="N793" s="0" t="n">
        <v>4</v>
      </c>
      <c r="O793" s="53" t="n">
        <v>46054.4054282407</v>
      </c>
      <c r="P793" s="53" t="n">
        <v>46055.4162268519</v>
      </c>
      <c r="Q793" s="53" t="n">
        <v>46054.4054282407</v>
      </c>
      <c r="R793" s="0" t="n">
        <v>0</v>
      </c>
      <c r="S793" s="51" t="s">
        <v>3129</v>
      </c>
      <c r="T793" s="51" t="s">
        <v>3129</v>
      </c>
      <c r="U793" s="51" t="s">
        <v>2500</v>
      </c>
      <c r="V793" s="51" t="s">
        <v>2142</v>
      </c>
      <c r="W793" s="51"/>
      <c r="X793" s="51"/>
    </row>
    <row r="794" customFormat="false" ht="14.25" hidden="false" customHeight="false" outlineLevel="0" collapsed="false">
      <c r="A794" s="49" t="s">
        <v>2251</v>
      </c>
      <c r="B794" s="49" t="s">
        <v>14</v>
      </c>
      <c r="C794" s="49" t="s">
        <v>453</v>
      </c>
      <c r="D794" s="49" t="s">
        <v>2441</v>
      </c>
      <c r="E794" s="49" t="s">
        <v>2500</v>
      </c>
      <c r="F794" s="49" t="s">
        <v>16</v>
      </c>
      <c r="G794" s="49" t="n">
        <v>4</v>
      </c>
      <c r="H794" s="0" t="n">
        <v>0</v>
      </c>
      <c r="I794" s="51" t="s">
        <v>3309</v>
      </c>
      <c r="J794" s="49" t="s">
        <v>2581</v>
      </c>
      <c r="K794" s="52" t="n">
        <v>47803</v>
      </c>
      <c r="M794" s="51" t="s">
        <v>3308</v>
      </c>
      <c r="N794" s="0" t="n">
        <v>4</v>
      </c>
      <c r="O794" s="53" t="n">
        <v>46054.402650463</v>
      </c>
      <c r="P794" s="53" t="n">
        <v>46055.4161458333</v>
      </c>
      <c r="Q794" s="53" t="n">
        <v>46054.402650463</v>
      </c>
      <c r="R794" s="0" t="n">
        <v>0</v>
      </c>
      <c r="S794" s="51" t="s">
        <v>3129</v>
      </c>
      <c r="T794" s="51" t="s">
        <v>3129</v>
      </c>
      <c r="U794" s="51" t="s">
        <v>2500</v>
      </c>
      <c r="V794" s="51" t="s">
        <v>2142</v>
      </c>
      <c r="W794" s="51"/>
      <c r="X794" s="51"/>
    </row>
    <row r="795" customFormat="false" ht="14.25" hidden="false" customHeight="false" outlineLevel="0" collapsed="false">
      <c r="A795" s="49" t="s">
        <v>2251</v>
      </c>
      <c r="B795" s="49" t="s">
        <v>14</v>
      </c>
      <c r="C795" s="49" t="s">
        <v>452</v>
      </c>
      <c r="D795" s="49" t="s">
        <v>2441</v>
      </c>
      <c r="E795" s="49" t="s">
        <v>2500</v>
      </c>
      <c r="F795" s="49" t="s">
        <v>16</v>
      </c>
      <c r="G795" s="49" t="n">
        <v>4</v>
      </c>
      <c r="H795" s="0" t="n">
        <v>0</v>
      </c>
      <c r="I795" s="51" t="s">
        <v>3310</v>
      </c>
      <c r="J795" s="49" t="s">
        <v>2581</v>
      </c>
      <c r="K795" s="52" t="n">
        <v>47803</v>
      </c>
      <c r="M795" s="51" t="s">
        <v>3308</v>
      </c>
      <c r="N795" s="0" t="n">
        <v>4</v>
      </c>
      <c r="O795" s="53" t="n">
        <v>46054.4036458333</v>
      </c>
      <c r="P795" s="53" t="n">
        <v>46055.4165277778</v>
      </c>
      <c r="Q795" s="53" t="n">
        <v>46054.4036458333</v>
      </c>
      <c r="R795" s="0" t="n">
        <v>0</v>
      </c>
      <c r="S795" s="51" t="s">
        <v>3129</v>
      </c>
      <c r="T795" s="51" t="s">
        <v>3129</v>
      </c>
      <c r="U795" s="51" t="s">
        <v>2500</v>
      </c>
      <c r="V795" s="51" t="s">
        <v>2142</v>
      </c>
      <c r="W795" s="51"/>
      <c r="X795" s="51"/>
    </row>
    <row r="796" customFormat="false" ht="14.25" hidden="true" customHeight="false" outlineLevel="0" collapsed="false">
      <c r="A796" s="49" t="s">
        <v>2251</v>
      </c>
      <c r="B796" s="49" t="s">
        <v>14</v>
      </c>
      <c r="C796" s="49" t="s">
        <v>244</v>
      </c>
      <c r="D796" s="49" t="s">
        <v>2441</v>
      </c>
      <c r="E796" s="49" t="s">
        <v>2500</v>
      </c>
      <c r="F796" s="49" t="s">
        <v>16</v>
      </c>
      <c r="G796" s="49" t="n">
        <v>4</v>
      </c>
      <c r="H796" s="0" t="n">
        <v>0</v>
      </c>
      <c r="I796" s="51" t="s">
        <v>3311</v>
      </c>
      <c r="J796" s="49" t="s">
        <v>2581</v>
      </c>
      <c r="K796" s="52" t="n">
        <v>47803</v>
      </c>
      <c r="M796" s="51" t="s">
        <v>3312</v>
      </c>
      <c r="N796" s="49" t="n">
        <v>4</v>
      </c>
      <c r="O796" s="53" t="n">
        <v>46050.5778009259</v>
      </c>
      <c r="P796" s="53" t="n">
        <v>46056.6746643519</v>
      </c>
      <c r="Q796" s="53" t="n">
        <v>46050.5778009259</v>
      </c>
      <c r="R796" s="0" t="n">
        <v>0</v>
      </c>
      <c r="S796" s="51" t="s">
        <v>3129</v>
      </c>
      <c r="T796" s="51" t="s">
        <v>3129</v>
      </c>
      <c r="U796" s="51" t="s">
        <v>2500</v>
      </c>
      <c r="V796" s="51" t="s">
        <v>2142</v>
      </c>
      <c r="W796" s="51" t="s">
        <v>3313</v>
      </c>
      <c r="X796" s="51"/>
    </row>
    <row r="797" customFormat="false" ht="14.25" hidden="true" customHeight="false" outlineLevel="0" collapsed="false">
      <c r="A797" s="49" t="s">
        <v>2251</v>
      </c>
      <c r="B797" s="49" t="s">
        <v>14</v>
      </c>
      <c r="C797" s="49" t="s">
        <v>262</v>
      </c>
      <c r="D797" s="49" t="s">
        <v>2441</v>
      </c>
      <c r="E797" s="49" t="s">
        <v>2500</v>
      </c>
      <c r="F797" s="49" t="s">
        <v>16</v>
      </c>
      <c r="G797" s="49" t="n">
        <v>4</v>
      </c>
      <c r="H797" s="0" t="n">
        <v>0</v>
      </c>
      <c r="I797" s="51" t="s">
        <v>3314</v>
      </c>
      <c r="J797" s="49" t="s">
        <v>3315</v>
      </c>
      <c r="K797" s="52" t="n">
        <v>47803</v>
      </c>
      <c r="M797" s="51" t="s">
        <v>3312</v>
      </c>
      <c r="N797" s="49" t="n">
        <v>4</v>
      </c>
      <c r="O797" s="53" t="n">
        <v>46050.5796759259</v>
      </c>
      <c r="P797" s="53" t="n">
        <v>46057.3200115741</v>
      </c>
      <c r="Q797" s="53" t="n">
        <v>46050.5796759259</v>
      </c>
      <c r="R797" s="0" t="n">
        <v>0</v>
      </c>
      <c r="S797" s="51" t="s">
        <v>3129</v>
      </c>
      <c r="T797" s="51" t="s">
        <v>3129</v>
      </c>
      <c r="U797" s="51" t="s">
        <v>2500</v>
      </c>
      <c r="V797" s="51" t="s">
        <v>2142</v>
      </c>
      <c r="W797" s="51"/>
      <c r="X797" s="51"/>
    </row>
    <row r="798" customFormat="false" ht="14.25" hidden="true" customHeight="false" outlineLevel="0" collapsed="false">
      <c r="A798" s="49" t="s">
        <v>2251</v>
      </c>
      <c r="B798" s="49" t="s">
        <v>14</v>
      </c>
      <c r="C798" s="49" t="s">
        <v>261</v>
      </c>
      <c r="D798" s="49" t="s">
        <v>2441</v>
      </c>
      <c r="E798" s="49" t="s">
        <v>2500</v>
      </c>
      <c r="F798" s="49" t="s">
        <v>16</v>
      </c>
      <c r="G798" s="49" t="n">
        <v>4</v>
      </c>
      <c r="H798" s="0" t="n">
        <v>0</v>
      </c>
      <c r="I798" s="51" t="s">
        <v>3296</v>
      </c>
      <c r="J798" s="49" t="s">
        <v>2581</v>
      </c>
      <c r="K798" s="52" t="n">
        <v>47803</v>
      </c>
      <c r="M798" s="51" t="s">
        <v>3312</v>
      </c>
      <c r="N798" s="49" t="n">
        <v>4</v>
      </c>
      <c r="O798" s="53" t="n">
        <v>46050.5827546296</v>
      </c>
      <c r="P798" s="53" t="n">
        <v>46056.7235300926</v>
      </c>
      <c r="Q798" s="53" t="n">
        <v>46050.5827546296</v>
      </c>
      <c r="R798" s="0" t="n">
        <v>0</v>
      </c>
      <c r="S798" s="51" t="s">
        <v>3129</v>
      </c>
      <c r="T798" s="51" t="s">
        <v>3129</v>
      </c>
      <c r="U798" s="51" t="s">
        <v>2500</v>
      </c>
      <c r="V798" s="51" t="s">
        <v>2142</v>
      </c>
      <c r="W798" s="51"/>
      <c r="X798" s="51"/>
    </row>
    <row r="799" customFormat="false" ht="14.25" hidden="true" customHeight="false" outlineLevel="0" collapsed="false">
      <c r="A799" s="49" t="s">
        <v>2251</v>
      </c>
      <c r="B799" s="49" t="s">
        <v>14</v>
      </c>
      <c r="C799" s="49" t="s">
        <v>260</v>
      </c>
      <c r="D799" s="49" t="s">
        <v>2441</v>
      </c>
      <c r="E799" s="49" t="s">
        <v>2500</v>
      </c>
      <c r="F799" s="49" t="s">
        <v>16</v>
      </c>
      <c r="G799" s="49" t="n">
        <v>4</v>
      </c>
      <c r="H799" s="0" t="n">
        <v>0</v>
      </c>
      <c r="I799" s="51" t="s">
        <v>3296</v>
      </c>
      <c r="J799" s="49" t="s">
        <v>2581</v>
      </c>
      <c r="K799" s="52" t="n">
        <v>47803</v>
      </c>
      <c r="M799" s="51" t="s">
        <v>3312</v>
      </c>
      <c r="N799" s="49" t="n">
        <v>4</v>
      </c>
      <c r="O799" s="53" t="n">
        <v>46050.5843055556</v>
      </c>
      <c r="P799" s="53" t="n">
        <v>46056.7237615741</v>
      </c>
      <c r="Q799" s="53" t="n">
        <v>46050.5843055556</v>
      </c>
      <c r="R799" s="0" t="n">
        <v>0</v>
      </c>
      <c r="S799" s="51" t="s">
        <v>3129</v>
      </c>
      <c r="T799" s="51" t="s">
        <v>3129</v>
      </c>
      <c r="U799" s="51" t="s">
        <v>2500</v>
      </c>
      <c r="V799" s="51" t="s">
        <v>2142</v>
      </c>
      <c r="W799" s="51"/>
      <c r="X799" s="51"/>
    </row>
    <row r="800" customFormat="false" ht="14.25" hidden="true" customHeight="false" outlineLevel="0" collapsed="false">
      <c r="A800" s="49" t="s">
        <v>2251</v>
      </c>
      <c r="B800" s="49" t="s">
        <v>14</v>
      </c>
      <c r="C800" s="49" t="s">
        <v>258</v>
      </c>
      <c r="D800" s="49" t="s">
        <v>2441</v>
      </c>
      <c r="E800" s="49" t="s">
        <v>2500</v>
      </c>
      <c r="F800" s="49" t="s">
        <v>16</v>
      </c>
      <c r="G800" s="49" t="n">
        <v>4</v>
      </c>
      <c r="H800" s="0" t="n">
        <v>0</v>
      </c>
      <c r="I800" s="51" t="s">
        <v>3296</v>
      </c>
      <c r="J800" s="49" t="s">
        <v>2581</v>
      </c>
      <c r="K800" s="52" t="n">
        <v>47803</v>
      </c>
      <c r="M800" s="51" t="s">
        <v>3312</v>
      </c>
      <c r="N800" s="49" t="n">
        <v>4</v>
      </c>
      <c r="O800" s="53" t="n">
        <v>46050.5857060185</v>
      </c>
      <c r="P800" s="53" t="n">
        <v>46056.7223958333</v>
      </c>
      <c r="Q800" s="53" t="n">
        <v>46050.5857060185</v>
      </c>
      <c r="R800" s="0" t="n">
        <v>0</v>
      </c>
      <c r="S800" s="51" t="s">
        <v>3129</v>
      </c>
      <c r="T800" s="51" t="s">
        <v>3129</v>
      </c>
      <c r="U800" s="51" t="s">
        <v>2500</v>
      </c>
      <c r="V800" s="51" t="s">
        <v>2142</v>
      </c>
      <c r="W800" s="51"/>
      <c r="X800" s="51"/>
    </row>
    <row r="801" customFormat="false" ht="14.25" hidden="false" customHeight="false" outlineLevel="0" collapsed="false">
      <c r="A801" s="49" t="s">
        <v>2251</v>
      </c>
      <c r="B801" s="49" t="s">
        <v>14</v>
      </c>
      <c r="C801" s="49" t="s">
        <v>266</v>
      </c>
      <c r="D801" s="49" t="s">
        <v>2441</v>
      </c>
      <c r="E801" s="49" t="s">
        <v>2500</v>
      </c>
      <c r="F801" s="49" t="s">
        <v>16</v>
      </c>
      <c r="G801" s="49" t="n">
        <v>4</v>
      </c>
      <c r="H801" s="0" t="n">
        <v>0</v>
      </c>
      <c r="I801" s="51" t="s">
        <v>3316</v>
      </c>
      <c r="J801" s="49" t="s">
        <v>3317</v>
      </c>
      <c r="K801" s="52" t="n">
        <v>47803</v>
      </c>
      <c r="M801" s="51" t="s">
        <v>3312</v>
      </c>
      <c r="N801" s="0" t="n">
        <v>4</v>
      </c>
      <c r="O801" s="53" t="n">
        <v>46050.6278819444</v>
      </c>
      <c r="P801" s="53" t="n">
        <v>46056.6955208333</v>
      </c>
      <c r="Q801" s="53" t="n">
        <v>46050.6278819444</v>
      </c>
      <c r="R801" s="0" t="n">
        <v>0</v>
      </c>
      <c r="S801" s="51" t="s">
        <v>3129</v>
      </c>
      <c r="T801" s="51" t="s">
        <v>3129</v>
      </c>
      <c r="U801" s="51" t="s">
        <v>2500</v>
      </c>
      <c r="V801" s="51" t="s">
        <v>2142</v>
      </c>
      <c r="X801" s="51"/>
    </row>
    <row r="802" customFormat="false" ht="14.25" hidden="false" customHeight="false" outlineLevel="0" collapsed="false">
      <c r="A802" s="49" t="s">
        <v>2251</v>
      </c>
      <c r="B802" s="49" t="s">
        <v>14</v>
      </c>
      <c r="C802" s="49" t="s">
        <v>267</v>
      </c>
      <c r="D802" s="49" t="s">
        <v>2441</v>
      </c>
      <c r="E802" s="49" t="s">
        <v>2500</v>
      </c>
      <c r="F802" s="49" t="s">
        <v>16</v>
      </c>
      <c r="G802" s="49" t="n">
        <v>4</v>
      </c>
      <c r="H802" s="0" t="n">
        <v>0</v>
      </c>
      <c r="I802" s="51" t="s">
        <v>3318</v>
      </c>
      <c r="J802" s="49" t="s">
        <v>3317</v>
      </c>
      <c r="K802" s="52" t="n">
        <v>47803</v>
      </c>
      <c r="M802" s="51" t="s">
        <v>3312</v>
      </c>
      <c r="N802" s="0" t="n">
        <v>4</v>
      </c>
      <c r="O802" s="53" t="n">
        <v>46050.6267361111</v>
      </c>
      <c r="P802" s="53" t="n">
        <v>46056.6988194444</v>
      </c>
      <c r="Q802" s="53" t="n">
        <v>46050.6267361111</v>
      </c>
      <c r="R802" s="0" t="n">
        <v>0</v>
      </c>
      <c r="S802" s="51" t="s">
        <v>3129</v>
      </c>
      <c r="T802" s="51" t="s">
        <v>3129</v>
      </c>
      <c r="U802" s="51" t="s">
        <v>2500</v>
      </c>
      <c r="V802" s="51" t="s">
        <v>2142</v>
      </c>
      <c r="X802" s="51"/>
    </row>
    <row r="803" customFormat="false" ht="14.25" hidden="false" customHeight="false" outlineLevel="0" collapsed="false">
      <c r="A803" s="49" t="s">
        <v>2251</v>
      </c>
      <c r="B803" s="49" t="s">
        <v>14</v>
      </c>
      <c r="C803" s="49" t="s">
        <v>268</v>
      </c>
      <c r="D803" s="49" t="s">
        <v>2441</v>
      </c>
      <c r="E803" s="49" t="s">
        <v>2500</v>
      </c>
      <c r="F803" s="49" t="s">
        <v>16</v>
      </c>
      <c r="G803" s="49" t="n">
        <v>4</v>
      </c>
      <c r="H803" s="0" t="n">
        <v>0</v>
      </c>
      <c r="I803" s="51" t="s">
        <v>3316</v>
      </c>
      <c r="J803" s="49" t="s">
        <v>3317</v>
      </c>
      <c r="K803" s="52" t="n">
        <v>47803</v>
      </c>
      <c r="M803" s="51" t="s">
        <v>3312</v>
      </c>
      <c r="N803" s="0" t="n">
        <v>4</v>
      </c>
      <c r="O803" s="53" t="n">
        <v>46050.6258680556</v>
      </c>
      <c r="P803" s="53" t="n">
        <v>46056.6951157407</v>
      </c>
      <c r="Q803" s="0" t="n">
        <v>46050.6258564815</v>
      </c>
      <c r="R803" s="0" t="n">
        <v>0</v>
      </c>
      <c r="S803" s="51" t="s">
        <v>3129</v>
      </c>
      <c r="T803" s="51" t="s">
        <v>3129</v>
      </c>
      <c r="U803" s="51" t="s">
        <v>2500</v>
      </c>
      <c r="V803" s="51" t="s">
        <v>2142</v>
      </c>
    </row>
    <row r="804" customFormat="false" ht="14.25" hidden="false" customHeight="false" outlineLevel="0" collapsed="false">
      <c r="A804" s="49" t="s">
        <v>2251</v>
      </c>
      <c r="B804" s="49" t="s">
        <v>14</v>
      </c>
      <c r="C804" s="49" t="s">
        <v>269</v>
      </c>
      <c r="D804" s="49" t="s">
        <v>2441</v>
      </c>
      <c r="E804" s="49" t="s">
        <v>2500</v>
      </c>
      <c r="F804" s="49" t="s">
        <v>16</v>
      </c>
      <c r="G804" s="49" t="n">
        <v>4</v>
      </c>
      <c r="H804" s="0" t="n">
        <v>0</v>
      </c>
      <c r="I804" s="51" t="s">
        <v>3316</v>
      </c>
      <c r="J804" s="49" t="s">
        <v>3317</v>
      </c>
      <c r="K804" s="52" t="n">
        <v>47803</v>
      </c>
      <c r="M804" s="51" t="s">
        <v>3312</v>
      </c>
      <c r="N804" s="0" t="n">
        <v>4</v>
      </c>
      <c r="O804" s="53" t="n">
        <v>46050.6248611111</v>
      </c>
      <c r="P804" s="53" t="n">
        <v>46056.6941203704</v>
      </c>
      <c r="Q804" s="0" t="n">
        <v>46050.6248611111</v>
      </c>
      <c r="R804" s="0" t="n">
        <v>0</v>
      </c>
      <c r="S804" s="51" t="s">
        <v>3129</v>
      </c>
      <c r="T804" s="51" t="s">
        <v>3129</v>
      </c>
      <c r="U804" s="51" t="s">
        <v>2500</v>
      </c>
      <c r="V804" s="51" t="s">
        <v>2142</v>
      </c>
    </row>
    <row r="805" customFormat="false" ht="14.25" hidden="false" customHeight="false" outlineLevel="0" collapsed="false">
      <c r="A805" s="49" t="s">
        <v>2251</v>
      </c>
      <c r="B805" s="49" t="s">
        <v>14</v>
      </c>
      <c r="C805" s="49" t="s">
        <v>270</v>
      </c>
      <c r="D805" s="49" t="s">
        <v>2441</v>
      </c>
      <c r="E805" s="49" t="s">
        <v>2500</v>
      </c>
      <c r="F805" s="49" t="s">
        <v>16</v>
      </c>
      <c r="G805" s="49" t="n">
        <v>4</v>
      </c>
      <c r="H805" s="0" t="n">
        <v>0</v>
      </c>
      <c r="I805" s="51" t="s">
        <v>3318</v>
      </c>
      <c r="J805" s="49" t="s">
        <v>3317</v>
      </c>
      <c r="K805" s="52" t="n">
        <v>47803</v>
      </c>
      <c r="M805" s="51" t="s">
        <v>3312</v>
      </c>
      <c r="N805" s="0" t="n">
        <v>4</v>
      </c>
      <c r="O805" s="53" t="n">
        <v>46050.6235185185</v>
      </c>
      <c r="P805" s="53" t="n">
        <v>46056.6986111111</v>
      </c>
      <c r="Q805" s="53" t="n">
        <v>46050.6235185185</v>
      </c>
      <c r="R805" s="0" t="n">
        <v>0</v>
      </c>
      <c r="S805" s="51" t="s">
        <v>3129</v>
      </c>
      <c r="T805" s="51" t="s">
        <v>3129</v>
      </c>
      <c r="U805" s="51" t="s">
        <v>2500</v>
      </c>
      <c r="V805" s="51" t="s">
        <v>2142</v>
      </c>
      <c r="W805" s="51"/>
      <c r="X805" s="51"/>
    </row>
    <row r="806" customFormat="false" ht="14.25" hidden="false" customHeight="false" outlineLevel="0" collapsed="false">
      <c r="A806" s="49" t="s">
        <v>2251</v>
      </c>
      <c r="B806" s="49" t="s">
        <v>14</v>
      </c>
      <c r="C806" s="49" t="s">
        <v>263</v>
      </c>
      <c r="D806" s="49" t="s">
        <v>2441</v>
      </c>
      <c r="E806" s="49" t="s">
        <v>2500</v>
      </c>
      <c r="F806" s="49" t="s">
        <v>16</v>
      </c>
      <c r="G806" s="49" t="n">
        <v>4</v>
      </c>
      <c r="H806" s="0" t="n">
        <v>0</v>
      </c>
      <c r="I806" s="51" t="s">
        <v>3311</v>
      </c>
      <c r="J806" s="49" t="s">
        <v>2581</v>
      </c>
      <c r="K806" s="52" t="n">
        <v>47803</v>
      </c>
      <c r="M806" s="51" t="s">
        <v>3312</v>
      </c>
      <c r="N806" s="0" t="n">
        <v>4</v>
      </c>
      <c r="O806" s="53" t="n">
        <v>46050.6302546296</v>
      </c>
      <c r="P806" s="53" t="n">
        <v>46056.6722337963</v>
      </c>
      <c r="Q806" s="53" t="n">
        <v>46050.6302546296</v>
      </c>
      <c r="R806" s="0" t="n">
        <v>0</v>
      </c>
      <c r="S806" s="51" t="s">
        <v>3129</v>
      </c>
      <c r="T806" s="51" t="s">
        <v>3129</v>
      </c>
      <c r="U806" s="51" t="s">
        <v>2500</v>
      </c>
      <c r="V806" s="51" t="s">
        <v>2142</v>
      </c>
      <c r="W806" s="51"/>
      <c r="X806" s="51"/>
    </row>
    <row r="807" customFormat="false" ht="14.25" hidden="false" customHeight="false" outlineLevel="0" collapsed="false">
      <c r="A807" s="49" t="s">
        <v>2251</v>
      </c>
      <c r="B807" s="49" t="s">
        <v>14</v>
      </c>
      <c r="C807" s="49" t="s">
        <v>272</v>
      </c>
      <c r="D807" s="49" t="s">
        <v>2441</v>
      </c>
      <c r="E807" s="49" t="s">
        <v>2500</v>
      </c>
      <c r="F807" s="49" t="s">
        <v>16</v>
      </c>
      <c r="G807" s="49" t="n">
        <v>4</v>
      </c>
      <c r="H807" s="0" t="n">
        <v>0</v>
      </c>
      <c r="I807" s="51" t="s">
        <v>3318</v>
      </c>
      <c r="J807" s="49" t="s">
        <v>3317</v>
      </c>
      <c r="K807" s="52" t="n">
        <v>47803</v>
      </c>
      <c r="M807" s="51" t="s">
        <v>3312</v>
      </c>
      <c r="N807" s="0" t="n">
        <v>4</v>
      </c>
      <c r="O807" s="53" t="n">
        <v>46050.6205671296</v>
      </c>
      <c r="P807" s="53" t="n">
        <v>46056.699837963</v>
      </c>
      <c r="Q807" s="53" t="n">
        <v>46050.6205671296</v>
      </c>
      <c r="R807" s="0" t="n">
        <v>0</v>
      </c>
      <c r="S807" s="51" t="s">
        <v>3129</v>
      </c>
      <c r="T807" s="51" t="s">
        <v>3129</v>
      </c>
      <c r="U807" s="51" t="s">
        <v>2500</v>
      </c>
      <c r="V807" s="51" t="s">
        <v>2142</v>
      </c>
      <c r="W807" s="51"/>
      <c r="X807" s="51"/>
    </row>
    <row r="808" customFormat="false" ht="14.25" hidden="false" customHeight="false" outlineLevel="0" collapsed="false">
      <c r="A808" s="49" t="s">
        <v>2251</v>
      </c>
      <c r="B808" s="49" t="s">
        <v>14</v>
      </c>
      <c r="C808" s="49" t="s">
        <v>251</v>
      </c>
      <c r="D808" s="49" t="s">
        <v>2441</v>
      </c>
      <c r="E808" s="49" t="s">
        <v>2500</v>
      </c>
      <c r="F808" s="49" t="s">
        <v>16</v>
      </c>
      <c r="G808" s="49" t="n">
        <v>4</v>
      </c>
      <c r="H808" s="0" t="n">
        <v>0</v>
      </c>
      <c r="I808" s="51" t="s">
        <v>3311</v>
      </c>
      <c r="J808" s="49" t="s">
        <v>2581</v>
      </c>
      <c r="K808" s="52" t="n">
        <v>47803</v>
      </c>
      <c r="M808" s="51" t="s">
        <v>3312</v>
      </c>
      <c r="N808" s="0" t="n">
        <v>4</v>
      </c>
      <c r="O808" s="53" t="n">
        <v>46050.5948611111</v>
      </c>
      <c r="P808" s="53" t="n">
        <v>46056.6719328704</v>
      </c>
      <c r="Q808" s="53" t="n">
        <v>46050.5948611111</v>
      </c>
      <c r="R808" s="0" t="n">
        <v>0</v>
      </c>
      <c r="S808" s="51" t="s">
        <v>3129</v>
      </c>
      <c r="T808" s="51" t="s">
        <v>3129</v>
      </c>
      <c r="U808" s="51" t="s">
        <v>2500</v>
      </c>
      <c r="V808" s="51" t="s">
        <v>2142</v>
      </c>
      <c r="W808" s="51"/>
      <c r="X808" s="51"/>
    </row>
    <row r="809" customFormat="false" ht="14.25" hidden="false" customHeight="false" outlineLevel="0" collapsed="false">
      <c r="A809" s="49" t="s">
        <v>2251</v>
      </c>
      <c r="B809" s="49" t="s">
        <v>14</v>
      </c>
      <c r="C809" s="49" t="s">
        <v>265</v>
      </c>
      <c r="D809" s="49" t="s">
        <v>2441</v>
      </c>
      <c r="E809" s="49" t="s">
        <v>2500</v>
      </c>
      <c r="F809" s="49" t="s">
        <v>16</v>
      </c>
      <c r="G809" s="49" t="n">
        <v>4</v>
      </c>
      <c r="H809" s="0" t="n">
        <v>0</v>
      </c>
      <c r="I809" s="51" t="s">
        <v>3316</v>
      </c>
      <c r="J809" s="49" t="s">
        <v>3317</v>
      </c>
      <c r="K809" s="52" t="n">
        <v>47803</v>
      </c>
      <c r="M809" s="51" t="s">
        <v>3312</v>
      </c>
      <c r="N809" s="0" t="n">
        <v>4</v>
      </c>
      <c r="O809" s="53" t="n">
        <v>46050.6288773148</v>
      </c>
      <c r="P809" s="53" t="n">
        <v>46056.6939351852</v>
      </c>
      <c r="Q809" s="0" t="n">
        <v>46050.6288773148</v>
      </c>
      <c r="R809" s="0" t="n">
        <v>0</v>
      </c>
      <c r="S809" s="51" t="s">
        <v>3129</v>
      </c>
      <c r="T809" s="51" t="s">
        <v>3129</v>
      </c>
      <c r="U809" s="51" t="s">
        <v>2500</v>
      </c>
      <c r="V809" s="51" t="s">
        <v>2142</v>
      </c>
    </row>
    <row r="810" customFormat="false" ht="14.25" hidden="false" customHeight="false" outlineLevel="0" collapsed="false">
      <c r="A810" s="49" t="s">
        <v>2251</v>
      </c>
      <c r="B810" s="49" t="s">
        <v>14</v>
      </c>
      <c r="C810" s="49" t="s">
        <v>264</v>
      </c>
      <c r="D810" s="49" t="s">
        <v>2441</v>
      </c>
      <c r="E810" s="49" t="s">
        <v>2500</v>
      </c>
      <c r="F810" s="49" t="s">
        <v>16</v>
      </c>
      <c r="G810" s="49" t="n">
        <v>4</v>
      </c>
      <c r="H810" s="0" t="n">
        <v>0</v>
      </c>
      <c r="I810" s="51" t="s">
        <v>3311</v>
      </c>
      <c r="J810" s="49" t="s">
        <v>2581</v>
      </c>
      <c r="K810" s="52" t="n">
        <v>47803</v>
      </c>
      <c r="M810" s="51" t="s">
        <v>3312</v>
      </c>
      <c r="N810" s="0" t="n">
        <v>4</v>
      </c>
      <c r="O810" s="53" t="n">
        <v>46050.629837963</v>
      </c>
      <c r="P810" s="53" t="n">
        <v>46056.672025463</v>
      </c>
      <c r="Q810" s="0" t="n">
        <v>46050.629837963</v>
      </c>
      <c r="R810" s="0" t="n">
        <v>0</v>
      </c>
      <c r="S810" s="51" t="s">
        <v>3129</v>
      </c>
      <c r="T810" s="51" t="s">
        <v>3129</v>
      </c>
      <c r="U810" s="51" t="s">
        <v>2500</v>
      </c>
      <c r="V810" s="51" t="s">
        <v>2142</v>
      </c>
    </row>
    <row r="811" customFormat="false" ht="14.25" hidden="false" customHeight="false" outlineLevel="0" collapsed="false">
      <c r="A811" s="49" t="s">
        <v>2251</v>
      </c>
      <c r="B811" s="49" t="s">
        <v>14</v>
      </c>
      <c r="C811" s="49" t="s">
        <v>271</v>
      </c>
      <c r="D811" s="49" t="s">
        <v>2441</v>
      </c>
      <c r="E811" s="49" t="s">
        <v>2500</v>
      </c>
      <c r="F811" s="49" t="s">
        <v>16</v>
      </c>
      <c r="G811" s="49" t="n">
        <v>4</v>
      </c>
      <c r="H811" s="0" t="n">
        <v>0</v>
      </c>
      <c r="I811" s="51" t="s">
        <v>3316</v>
      </c>
      <c r="J811" s="49" t="s">
        <v>3317</v>
      </c>
      <c r="K811" s="52" t="n">
        <v>47803</v>
      </c>
      <c r="M811" s="51" t="s">
        <v>3312</v>
      </c>
      <c r="N811" s="0" t="n">
        <v>4</v>
      </c>
      <c r="O811" s="53" t="n">
        <v>46050.6219675926</v>
      </c>
      <c r="P811" s="53" t="n">
        <v>46056.6947685185</v>
      </c>
      <c r="Q811" s="0" t="n">
        <v>46050.6219675926</v>
      </c>
      <c r="R811" s="0" t="n">
        <v>0</v>
      </c>
      <c r="S811" s="51" t="s">
        <v>3129</v>
      </c>
      <c r="T811" s="51" t="s">
        <v>3129</v>
      </c>
      <c r="U811" s="51" t="s">
        <v>2500</v>
      </c>
      <c r="V811" s="51" t="s">
        <v>2142</v>
      </c>
    </row>
    <row r="812" customFormat="false" ht="14.25" hidden="true" customHeight="false" outlineLevel="0" collapsed="false">
      <c r="A812" s="49" t="s">
        <v>2251</v>
      </c>
      <c r="B812" s="49" t="s">
        <v>14</v>
      </c>
      <c r="C812" s="49" t="s">
        <v>255</v>
      </c>
      <c r="D812" s="49" t="s">
        <v>2441</v>
      </c>
      <c r="E812" s="49" t="s">
        <v>2500</v>
      </c>
      <c r="F812" s="49" t="s">
        <v>16</v>
      </c>
      <c r="G812" s="49" t="n">
        <v>4</v>
      </c>
      <c r="H812" s="0" t="n">
        <v>0</v>
      </c>
      <c r="I812" s="51" t="s">
        <v>3311</v>
      </c>
      <c r="J812" s="49" t="s">
        <v>2581</v>
      </c>
      <c r="K812" s="52" t="n">
        <v>47803</v>
      </c>
      <c r="M812" s="51" t="s">
        <v>3312</v>
      </c>
      <c r="N812" s="49" t="n">
        <v>4</v>
      </c>
      <c r="O812" s="53" t="n">
        <v>46050.5905324074</v>
      </c>
      <c r="P812" s="53" t="n">
        <v>46056.6750347222</v>
      </c>
      <c r="Q812" s="53" t="n">
        <v>46050.5905324074</v>
      </c>
      <c r="R812" s="0" t="n">
        <v>0</v>
      </c>
      <c r="S812" s="51" t="s">
        <v>3129</v>
      </c>
      <c r="T812" s="51" t="s">
        <v>3129</v>
      </c>
      <c r="U812" s="51" t="s">
        <v>2500</v>
      </c>
      <c r="V812" s="51" t="s">
        <v>2142</v>
      </c>
      <c r="W812" s="51" t="s">
        <v>3313</v>
      </c>
      <c r="X812" s="51"/>
    </row>
    <row r="813" customFormat="false" ht="14.25" hidden="false" customHeight="false" outlineLevel="0" collapsed="false">
      <c r="A813" s="49" t="s">
        <v>2251</v>
      </c>
      <c r="B813" s="49" t="s">
        <v>14</v>
      </c>
      <c r="C813" s="49" t="s">
        <v>112</v>
      </c>
      <c r="D813" s="49" t="s">
        <v>2441</v>
      </c>
      <c r="E813" s="49" t="s">
        <v>2500</v>
      </c>
      <c r="F813" s="49" t="s">
        <v>16</v>
      </c>
      <c r="G813" s="49" t="n">
        <v>4</v>
      </c>
      <c r="H813" s="0" t="n">
        <v>0</v>
      </c>
      <c r="I813" s="51" t="s">
        <v>3319</v>
      </c>
      <c r="J813" s="49" t="s">
        <v>2581</v>
      </c>
      <c r="K813" s="52" t="n">
        <v>47803</v>
      </c>
      <c r="M813" s="51" t="s">
        <v>3297</v>
      </c>
      <c r="N813" s="0" t="n">
        <v>4</v>
      </c>
      <c r="O813" s="53" t="n">
        <v>46049.7358101852</v>
      </c>
      <c r="P813" s="53" t="n">
        <v>46056.7050925926</v>
      </c>
      <c r="Q813" s="53" t="n">
        <v>46049.7358101852</v>
      </c>
      <c r="R813" s="0" t="n">
        <v>0</v>
      </c>
      <c r="S813" s="51" t="s">
        <v>3129</v>
      </c>
      <c r="T813" s="51" t="s">
        <v>3129</v>
      </c>
      <c r="U813" s="51" t="s">
        <v>2500</v>
      </c>
      <c r="V813" s="51" t="s">
        <v>2142</v>
      </c>
      <c r="W813" s="51"/>
      <c r="X813" s="51"/>
    </row>
    <row r="814" customFormat="false" ht="14.25" hidden="false" customHeight="false" outlineLevel="0" collapsed="false">
      <c r="A814" s="49" t="s">
        <v>2251</v>
      </c>
      <c r="B814" s="49" t="s">
        <v>14</v>
      </c>
      <c r="C814" s="49" t="s">
        <v>110</v>
      </c>
      <c r="D814" s="49" t="s">
        <v>2441</v>
      </c>
      <c r="E814" s="49" t="s">
        <v>2500</v>
      </c>
      <c r="F814" s="49" t="s">
        <v>16</v>
      </c>
      <c r="G814" s="49" t="n">
        <v>4</v>
      </c>
      <c r="H814" s="0" t="n">
        <v>0</v>
      </c>
      <c r="I814" s="51" t="s">
        <v>3319</v>
      </c>
      <c r="J814" s="49" t="s">
        <v>2581</v>
      </c>
      <c r="K814" s="52" t="n">
        <v>47803</v>
      </c>
      <c r="M814" s="51" t="s">
        <v>3297</v>
      </c>
      <c r="N814" s="0" t="n">
        <v>4</v>
      </c>
      <c r="O814" s="53" t="n">
        <v>46049.7526041667</v>
      </c>
      <c r="P814" s="53" t="n">
        <v>46056.7045717593</v>
      </c>
      <c r="Q814" s="53" t="n">
        <v>46049.7526041667</v>
      </c>
      <c r="R814" s="0" t="n">
        <v>0</v>
      </c>
      <c r="S814" s="51" t="s">
        <v>3129</v>
      </c>
      <c r="T814" s="51" t="s">
        <v>3129</v>
      </c>
      <c r="U814" s="51" t="s">
        <v>2500</v>
      </c>
      <c r="V814" s="51" t="s">
        <v>2142</v>
      </c>
      <c r="W814" s="51"/>
      <c r="X814" s="51"/>
    </row>
    <row r="815" customFormat="false" ht="14.25" hidden="true" customHeight="false" outlineLevel="0" collapsed="false">
      <c r="A815" s="49" t="s">
        <v>2251</v>
      </c>
      <c r="B815" s="49" t="s">
        <v>14</v>
      </c>
      <c r="C815" s="49" t="s">
        <v>139</v>
      </c>
      <c r="D815" s="49" t="s">
        <v>2441</v>
      </c>
      <c r="E815" s="49" t="s">
        <v>2500</v>
      </c>
      <c r="F815" s="49" t="s">
        <v>16</v>
      </c>
      <c r="G815" s="49" t="n">
        <v>4</v>
      </c>
      <c r="H815" s="0" t="n">
        <v>0</v>
      </c>
      <c r="I815" s="51" t="s">
        <v>3319</v>
      </c>
      <c r="J815" s="49" t="s">
        <v>2581</v>
      </c>
      <c r="K815" s="52" t="n">
        <v>47803</v>
      </c>
      <c r="M815" s="51" t="s">
        <v>3297</v>
      </c>
      <c r="N815" s="49" t="n">
        <v>4</v>
      </c>
      <c r="O815" s="53" t="n">
        <v>46049.7539699074</v>
      </c>
      <c r="P815" s="53" t="n">
        <v>46056.7057523148</v>
      </c>
      <c r="Q815" s="53" t="n">
        <v>46049.7539699074</v>
      </c>
      <c r="R815" s="0" t="n">
        <v>0</v>
      </c>
      <c r="S815" s="51" t="s">
        <v>3129</v>
      </c>
      <c r="T815" s="51" t="s">
        <v>3129</v>
      </c>
      <c r="U815" s="51" t="s">
        <v>2500</v>
      </c>
      <c r="V815" s="51" t="s">
        <v>2142</v>
      </c>
      <c r="W815" s="51"/>
      <c r="X815" s="51"/>
    </row>
    <row r="816" customFormat="false" ht="14.25" hidden="true" customHeight="false" outlineLevel="0" collapsed="false">
      <c r="A816" s="49" t="s">
        <v>2251</v>
      </c>
      <c r="B816" s="49" t="s">
        <v>14</v>
      </c>
      <c r="C816" s="49" t="s">
        <v>138</v>
      </c>
      <c r="D816" s="49" t="s">
        <v>2441</v>
      </c>
      <c r="E816" s="49" t="s">
        <v>2500</v>
      </c>
      <c r="F816" s="49" t="s">
        <v>16</v>
      </c>
      <c r="G816" s="49" t="n">
        <v>4</v>
      </c>
      <c r="H816" s="0" t="n">
        <v>0</v>
      </c>
      <c r="I816" s="51" t="s">
        <v>3319</v>
      </c>
      <c r="J816" s="49" t="s">
        <v>2581</v>
      </c>
      <c r="K816" s="52" t="n">
        <v>47803</v>
      </c>
      <c r="M816" s="51" t="s">
        <v>3297</v>
      </c>
      <c r="N816" s="49" t="n">
        <v>4</v>
      </c>
      <c r="O816" s="53" t="n">
        <v>46049.7560185185</v>
      </c>
      <c r="P816" s="53" t="n">
        <v>46056.7043518519</v>
      </c>
      <c r="Q816" s="53" t="n">
        <v>46049.7560185185</v>
      </c>
      <c r="R816" s="0" t="n">
        <v>0</v>
      </c>
      <c r="S816" s="51" t="s">
        <v>3129</v>
      </c>
      <c r="T816" s="51" t="s">
        <v>3129</v>
      </c>
      <c r="U816" s="51" t="s">
        <v>2500</v>
      </c>
      <c r="V816" s="51" t="s">
        <v>2142</v>
      </c>
      <c r="W816" s="51"/>
      <c r="X816" s="51"/>
    </row>
    <row r="817" customFormat="false" ht="14.25" hidden="true" customHeight="false" outlineLevel="0" collapsed="false">
      <c r="A817" s="49" t="s">
        <v>2251</v>
      </c>
      <c r="B817" s="49" t="s">
        <v>14</v>
      </c>
      <c r="C817" s="49" t="s">
        <v>132</v>
      </c>
      <c r="D817" s="49" t="s">
        <v>2441</v>
      </c>
      <c r="E817" s="49" t="s">
        <v>2500</v>
      </c>
      <c r="F817" s="49" t="s">
        <v>16</v>
      </c>
      <c r="G817" s="49" t="n">
        <v>4</v>
      </c>
      <c r="H817" s="0" t="n">
        <v>0</v>
      </c>
      <c r="I817" s="51" t="s">
        <v>3320</v>
      </c>
      <c r="J817" s="49" t="s">
        <v>3317</v>
      </c>
      <c r="K817" s="52" t="n">
        <v>47803</v>
      </c>
      <c r="M817" s="51" t="s">
        <v>3297</v>
      </c>
      <c r="N817" s="49" t="n">
        <v>4</v>
      </c>
      <c r="O817" s="53" t="n">
        <v>46049.7707060185</v>
      </c>
      <c r="P817" s="53" t="n">
        <v>46056.7011226852</v>
      </c>
      <c r="Q817" s="53" t="n">
        <v>46049.7707060185</v>
      </c>
      <c r="R817" s="0" t="n">
        <v>0</v>
      </c>
      <c r="S817" s="51" t="s">
        <v>3129</v>
      </c>
      <c r="T817" s="51" t="s">
        <v>3129</v>
      </c>
      <c r="U817" s="51" t="s">
        <v>2500</v>
      </c>
      <c r="V817" s="51" t="s">
        <v>2142</v>
      </c>
      <c r="W817" s="51"/>
      <c r="X817" s="51"/>
    </row>
    <row r="818" customFormat="false" ht="14.25" hidden="true" customHeight="false" outlineLevel="0" collapsed="false">
      <c r="A818" s="49" t="s">
        <v>2251</v>
      </c>
      <c r="B818" s="49" t="s">
        <v>14</v>
      </c>
      <c r="C818" s="49" t="s">
        <v>131</v>
      </c>
      <c r="D818" s="49" t="s">
        <v>2441</v>
      </c>
      <c r="E818" s="49" t="s">
        <v>2500</v>
      </c>
      <c r="F818" s="49" t="s">
        <v>16</v>
      </c>
      <c r="G818" s="49" t="n">
        <v>4</v>
      </c>
      <c r="H818" s="0" t="n">
        <v>0</v>
      </c>
      <c r="I818" s="51" t="s">
        <v>3318</v>
      </c>
      <c r="J818" s="49" t="s">
        <v>3317</v>
      </c>
      <c r="K818" s="52" t="n">
        <v>47803</v>
      </c>
      <c r="M818" s="51" t="s">
        <v>3297</v>
      </c>
      <c r="N818" s="49" t="n">
        <v>4</v>
      </c>
      <c r="O818" s="53" t="n">
        <v>46049.7722106481</v>
      </c>
      <c r="P818" s="53" t="n">
        <v>46056.6980208333</v>
      </c>
      <c r="Q818" s="53" t="n">
        <v>46049.7722106481</v>
      </c>
      <c r="R818" s="0" t="n">
        <v>0</v>
      </c>
      <c r="S818" s="51" t="s">
        <v>3129</v>
      </c>
      <c r="T818" s="51" t="s">
        <v>3129</v>
      </c>
      <c r="U818" s="51" t="s">
        <v>2500</v>
      </c>
      <c r="V818" s="51" t="s">
        <v>2142</v>
      </c>
      <c r="W818" s="51"/>
      <c r="X818" s="51"/>
    </row>
    <row r="819" customFormat="false" ht="14.25" hidden="true" customHeight="false" outlineLevel="0" collapsed="false">
      <c r="A819" s="49" t="s">
        <v>2251</v>
      </c>
      <c r="B819" s="49" t="s">
        <v>14</v>
      </c>
      <c r="C819" s="49" t="s">
        <v>129</v>
      </c>
      <c r="D819" s="49" t="s">
        <v>2441</v>
      </c>
      <c r="E819" s="49" t="s">
        <v>2500</v>
      </c>
      <c r="F819" s="49" t="s">
        <v>16</v>
      </c>
      <c r="G819" s="49" t="n">
        <v>4</v>
      </c>
      <c r="H819" s="0" t="n">
        <v>0</v>
      </c>
      <c r="I819" s="51" t="s">
        <v>3318</v>
      </c>
      <c r="J819" s="49" t="s">
        <v>3317</v>
      </c>
      <c r="K819" s="52" t="n">
        <v>47803</v>
      </c>
      <c r="M819" s="51" t="s">
        <v>3297</v>
      </c>
      <c r="N819" s="49" t="n">
        <v>4</v>
      </c>
      <c r="O819" s="53" t="n">
        <v>46049.7730324074</v>
      </c>
      <c r="P819" s="53" t="n">
        <v>46056.7004050926</v>
      </c>
      <c r="Q819" s="53" t="n">
        <v>46049.7730324074</v>
      </c>
      <c r="R819" s="0" t="n">
        <v>0</v>
      </c>
      <c r="S819" s="51" t="s">
        <v>3129</v>
      </c>
      <c r="T819" s="51" t="s">
        <v>3129</v>
      </c>
      <c r="U819" s="51" t="s">
        <v>2500</v>
      </c>
      <c r="V819" s="51" t="s">
        <v>2142</v>
      </c>
      <c r="W819" s="51"/>
      <c r="X819" s="51"/>
    </row>
    <row r="820" customFormat="false" ht="14.25" hidden="true" customHeight="false" outlineLevel="0" collapsed="false">
      <c r="A820" s="49" t="s">
        <v>2251</v>
      </c>
      <c r="B820" s="49" t="s">
        <v>14</v>
      </c>
      <c r="C820" s="49" t="s">
        <v>128</v>
      </c>
      <c r="D820" s="49" t="s">
        <v>2441</v>
      </c>
      <c r="E820" s="49" t="s">
        <v>2500</v>
      </c>
      <c r="F820" s="49" t="s">
        <v>16</v>
      </c>
      <c r="G820" s="49" t="n">
        <v>4</v>
      </c>
      <c r="H820" s="0" t="n">
        <v>0</v>
      </c>
      <c r="I820" s="51" t="s">
        <v>3320</v>
      </c>
      <c r="J820" s="49" t="s">
        <v>3317</v>
      </c>
      <c r="K820" s="52" t="n">
        <v>47803</v>
      </c>
      <c r="M820" s="51" t="s">
        <v>3297</v>
      </c>
      <c r="N820" s="49" t="n">
        <v>4</v>
      </c>
      <c r="O820" s="53" t="n">
        <v>46049.7884837963</v>
      </c>
      <c r="P820" s="53" t="n">
        <v>46057.7445486111</v>
      </c>
      <c r="Q820" s="53" t="n">
        <v>46049.7884837963</v>
      </c>
      <c r="R820" s="0" t="n">
        <v>0</v>
      </c>
      <c r="S820" s="51" t="s">
        <v>3129</v>
      </c>
      <c r="T820" s="51" t="s">
        <v>3129</v>
      </c>
      <c r="U820" s="51" t="s">
        <v>2500</v>
      </c>
      <c r="V820" s="51" t="s">
        <v>2142</v>
      </c>
      <c r="W820" s="51"/>
      <c r="X820" s="51"/>
    </row>
    <row r="821" customFormat="false" ht="14.25" hidden="true" customHeight="false" outlineLevel="0" collapsed="false">
      <c r="A821" s="49" t="s">
        <v>2251</v>
      </c>
      <c r="B821" s="49" t="s">
        <v>14</v>
      </c>
      <c r="C821" s="49" t="s">
        <v>130</v>
      </c>
      <c r="D821" s="49" t="s">
        <v>2441</v>
      </c>
      <c r="E821" s="49" t="s">
        <v>2500</v>
      </c>
      <c r="F821" s="49" t="s">
        <v>16</v>
      </c>
      <c r="G821" s="49" t="n">
        <v>4</v>
      </c>
      <c r="H821" s="0" t="n">
        <v>0</v>
      </c>
      <c r="I821" s="51" t="s">
        <v>3320</v>
      </c>
      <c r="J821" s="49" t="s">
        <v>3317</v>
      </c>
      <c r="K821" s="52" t="n">
        <v>47803</v>
      </c>
      <c r="M821" s="51" t="s">
        <v>3297</v>
      </c>
      <c r="N821" s="49" t="n">
        <v>4</v>
      </c>
      <c r="O821" s="53" t="n">
        <v>46049.791412037</v>
      </c>
      <c r="P821" s="53" t="n">
        <v>46056.7028356481</v>
      </c>
      <c r="Q821" s="53" t="n">
        <v>46049.791412037</v>
      </c>
      <c r="R821" s="0" t="n">
        <v>0</v>
      </c>
      <c r="S821" s="51" t="s">
        <v>3129</v>
      </c>
      <c r="T821" s="51" t="s">
        <v>3129</v>
      </c>
      <c r="U821" s="51" t="s">
        <v>2500</v>
      </c>
      <c r="V821" s="51" t="s">
        <v>2142</v>
      </c>
      <c r="W821" s="51"/>
      <c r="X821" s="51"/>
    </row>
    <row r="822" customFormat="false" ht="14.25" hidden="true" customHeight="false" outlineLevel="0" collapsed="false">
      <c r="A822" s="49" t="s">
        <v>2251</v>
      </c>
      <c r="B822" s="49" t="s">
        <v>14</v>
      </c>
      <c r="C822" s="49" t="s">
        <v>127</v>
      </c>
      <c r="D822" s="49" t="s">
        <v>2441</v>
      </c>
      <c r="E822" s="49" t="s">
        <v>2500</v>
      </c>
      <c r="F822" s="49" t="s">
        <v>16</v>
      </c>
      <c r="G822" s="49" t="n">
        <v>4</v>
      </c>
      <c r="H822" s="0" t="n">
        <v>0</v>
      </c>
      <c r="I822" s="51" t="s">
        <v>3320</v>
      </c>
      <c r="J822" s="49" t="s">
        <v>3317</v>
      </c>
      <c r="K822" s="52" t="n">
        <v>47803</v>
      </c>
      <c r="M822" s="51" t="s">
        <v>3297</v>
      </c>
      <c r="N822" s="49" t="n">
        <v>4</v>
      </c>
      <c r="O822" s="53" t="n">
        <v>46049.7920833333</v>
      </c>
      <c r="P822" s="53" t="n">
        <v>46056.7036342593</v>
      </c>
      <c r="Q822" s="53" t="n">
        <v>46049.7920833333</v>
      </c>
      <c r="R822" s="0" t="n">
        <v>0</v>
      </c>
      <c r="S822" s="51" t="s">
        <v>3129</v>
      </c>
      <c r="T822" s="51" t="s">
        <v>3129</v>
      </c>
      <c r="U822" s="51" t="s">
        <v>2500</v>
      </c>
      <c r="V822" s="51" t="s">
        <v>2142</v>
      </c>
      <c r="W822" s="51"/>
      <c r="X822" s="51"/>
    </row>
    <row r="823" customFormat="false" ht="14.25" hidden="true" customHeight="false" outlineLevel="0" collapsed="false">
      <c r="A823" s="49" t="s">
        <v>2251</v>
      </c>
      <c r="B823" s="49" t="s">
        <v>14</v>
      </c>
      <c r="C823" s="49" t="s">
        <v>126</v>
      </c>
      <c r="D823" s="49" t="s">
        <v>2441</v>
      </c>
      <c r="E823" s="49" t="s">
        <v>2500</v>
      </c>
      <c r="F823" s="49" t="s">
        <v>16</v>
      </c>
      <c r="G823" s="49" t="n">
        <v>4</v>
      </c>
      <c r="H823" s="0" t="n">
        <v>0</v>
      </c>
      <c r="I823" s="51" t="s">
        <v>3321</v>
      </c>
      <c r="J823" s="49" t="s">
        <v>3317</v>
      </c>
      <c r="K823" s="52" t="n">
        <v>47803</v>
      </c>
      <c r="M823" s="51" t="s">
        <v>3297</v>
      </c>
      <c r="N823" s="49" t="n">
        <v>4</v>
      </c>
      <c r="O823" s="53" t="n">
        <v>46049.7928819444</v>
      </c>
      <c r="P823" s="53" t="n">
        <v>46057.3669791667</v>
      </c>
      <c r="Q823" s="53" t="n">
        <v>46049.7928819444</v>
      </c>
      <c r="R823" s="0" t="n">
        <v>0</v>
      </c>
      <c r="S823" s="51" t="s">
        <v>3129</v>
      </c>
      <c r="T823" s="51" t="s">
        <v>3129</v>
      </c>
      <c r="U823" s="51" t="s">
        <v>2500</v>
      </c>
      <c r="V823" s="51" t="s">
        <v>2142</v>
      </c>
      <c r="W823" s="51" t="s">
        <v>3207</v>
      </c>
      <c r="X823" s="51"/>
    </row>
    <row r="824" customFormat="false" ht="14.25" hidden="false" customHeight="false" outlineLevel="0" collapsed="false">
      <c r="A824" s="49" t="s">
        <v>2251</v>
      </c>
      <c r="B824" s="49" t="s">
        <v>14</v>
      </c>
      <c r="C824" s="49" t="s">
        <v>134</v>
      </c>
      <c r="D824" s="49" t="s">
        <v>2441</v>
      </c>
      <c r="E824" s="49" t="s">
        <v>2500</v>
      </c>
      <c r="F824" s="49" t="s">
        <v>16</v>
      </c>
      <c r="G824" s="49" t="n">
        <v>4</v>
      </c>
      <c r="H824" s="0" t="n">
        <v>0</v>
      </c>
      <c r="I824" s="51" t="s">
        <v>3320</v>
      </c>
      <c r="J824" s="49" t="s">
        <v>3317</v>
      </c>
      <c r="K824" s="52" t="n">
        <v>47803</v>
      </c>
      <c r="L824" s="54"/>
      <c r="M824" s="51" t="s">
        <v>3297</v>
      </c>
      <c r="N824" s="0" t="n">
        <v>4</v>
      </c>
      <c r="O824" s="53" t="n">
        <v>46049.7694907407</v>
      </c>
      <c r="P824" s="53" t="n">
        <v>46056.7024884259</v>
      </c>
      <c r="Q824" s="53" t="n">
        <v>46049.7694907407</v>
      </c>
      <c r="R824" s="0" t="n">
        <v>0</v>
      </c>
      <c r="S824" s="51" t="s">
        <v>3129</v>
      </c>
      <c r="T824" s="51" t="s">
        <v>3129</v>
      </c>
      <c r="U824" s="51" t="s">
        <v>2500</v>
      </c>
      <c r="V824" s="51" t="s">
        <v>2142</v>
      </c>
      <c r="X824" s="51"/>
    </row>
    <row r="825" customFormat="false" ht="14.25" hidden="false" customHeight="false" outlineLevel="0" collapsed="false">
      <c r="A825" s="49" t="s">
        <v>2251</v>
      </c>
      <c r="B825" s="49" t="s">
        <v>14</v>
      </c>
      <c r="C825" s="49" t="s">
        <v>135</v>
      </c>
      <c r="D825" s="49" t="s">
        <v>2441</v>
      </c>
      <c r="E825" s="49" t="s">
        <v>2500</v>
      </c>
      <c r="F825" s="49" t="s">
        <v>16</v>
      </c>
      <c r="G825" s="49" t="n">
        <v>4</v>
      </c>
      <c r="H825" s="0" t="n">
        <v>0</v>
      </c>
      <c r="I825" s="51" t="s">
        <v>3322</v>
      </c>
      <c r="J825" s="49" t="s">
        <v>3317</v>
      </c>
      <c r="K825" s="52" t="n">
        <v>47803</v>
      </c>
      <c r="L825" s="54"/>
      <c r="M825" s="51" t="s">
        <v>3297</v>
      </c>
      <c r="N825" s="0" t="n">
        <v>4</v>
      </c>
      <c r="O825" s="53" t="n">
        <v>46049.7649537037</v>
      </c>
      <c r="P825" s="53" t="n">
        <v>46057.3608101852</v>
      </c>
      <c r="Q825" s="53" t="n">
        <v>46049.7649537037</v>
      </c>
      <c r="R825" s="0" t="n">
        <v>0</v>
      </c>
      <c r="S825" s="51" t="s">
        <v>3129</v>
      </c>
      <c r="T825" s="51" t="s">
        <v>3129</v>
      </c>
      <c r="U825" s="51" t="s">
        <v>2500</v>
      </c>
      <c r="V825" s="51" t="s">
        <v>2142</v>
      </c>
      <c r="W825" s="51" t="s">
        <v>3207</v>
      </c>
      <c r="X825" s="51"/>
    </row>
    <row r="826" customFormat="false" ht="14.25" hidden="true" customHeight="false" outlineLevel="0" collapsed="false">
      <c r="A826" s="49" t="s">
        <v>2251</v>
      </c>
      <c r="B826" s="49" t="s">
        <v>14</v>
      </c>
      <c r="C826" s="49" t="s">
        <v>136</v>
      </c>
      <c r="D826" s="49" t="s">
        <v>2441</v>
      </c>
      <c r="E826" s="49" t="s">
        <v>2500</v>
      </c>
      <c r="F826" s="49" t="s">
        <v>16</v>
      </c>
      <c r="G826" s="49" t="n">
        <v>4</v>
      </c>
      <c r="H826" s="0" t="n">
        <v>0</v>
      </c>
      <c r="I826" s="51" t="s">
        <v>3319</v>
      </c>
      <c r="J826" s="49" t="s">
        <v>2581</v>
      </c>
      <c r="K826" s="52" t="n">
        <v>47803</v>
      </c>
      <c r="M826" s="51" t="s">
        <v>3297</v>
      </c>
      <c r="N826" s="49" t="n">
        <v>4</v>
      </c>
      <c r="O826" s="53" t="n">
        <v>46049.7576157407</v>
      </c>
      <c r="P826" s="53" t="n">
        <v>46056.7053935185</v>
      </c>
      <c r="Q826" s="53" t="n">
        <v>46049.7576157407</v>
      </c>
      <c r="R826" s="0" t="n">
        <v>0</v>
      </c>
      <c r="S826" s="51" t="s">
        <v>3129</v>
      </c>
      <c r="T826" s="51" t="s">
        <v>3129</v>
      </c>
      <c r="U826" s="51" t="s">
        <v>2500</v>
      </c>
      <c r="V826" s="51" t="s">
        <v>2142</v>
      </c>
      <c r="W826" s="51"/>
      <c r="X826" s="51"/>
    </row>
    <row r="827" customFormat="false" ht="14.25" hidden="true" customHeight="false" outlineLevel="0" collapsed="false">
      <c r="A827" s="49" t="s">
        <v>2251</v>
      </c>
      <c r="B827" s="49" t="s">
        <v>14</v>
      </c>
      <c r="C827" s="49" t="s">
        <v>351</v>
      </c>
      <c r="D827" s="49" t="s">
        <v>2441</v>
      </c>
      <c r="E827" s="49" t="s">
        <v>2500</v>
      </c>
      <c r="F827" s="49" t="s">
        <v>16</v>
      </c>
      <c r="G827" s="49" t="n">
        <v>4</v>
      </c>
      <c r="H827" s="0" t="n">
        <v>0</v>
      </c>
      <c r="I827" s="51" t="s">
        <v>3323</v>
      </c>
      <c r="J827" s="49" t="s">
        <v>3324</v>
      </c>
      <c r="K827" s="52" t="n">
        <v>47805</v>
      </c>
      <c r="M827" s="51" t="s">
        <v>3325</v>
      </c>
      <c r="N827" s="49" t="n">
        <v>4</v>
      </c>
      <c r="O827" s="53" t="n">
        <v>46053.4402314815</v>
      </c>
      <c r="P827" s="53" t="n">
        <v>46056.7669791667</v>
      </c>
      <c r="Q827" s="53" t="n">
        <v>46053.4402314815</v>
      </c>
      <c r="R827" s="0" t="n">
        <v>0</v>
      </c>
      <c r="S827" s="51" t="s">
        <v>3129</v>
      </c>
      <c r="T827" s="51" t="s">
        <v>3129</v>
      </c>
      <c r="U827" s="51" t="s">
        <v>2500</v>
      </c>
      <c r="V827" s="51" t="s">
        <v>2142</v>
      </c>
      <c r="W827" s="51"/>
      <c r="X827" s="51"/>
    </row>
    <row r="828" customFormat="false" ht="14.25" hidden="true" customHeight="false" outlineLevel="0" collapsed="false">
      <c r="A828" s="49" t="s">
        <v>2251</v>
      </c>
      <c r="B828" s="49" t="s">
        <v>14</v>
      </c>
      <c r="C828" s="49" t="s">
        <v>1127</v>
      </c>
      <c r="D828" s="49" t="s">
        <v>3326</v>
      </c>
      <c r="E828" s="49" t="s">
        <v>2500</v>
      </c>
      <c r="F828" s="49" t="s">
        <v>16</v>
      </c>
      <c r="G828" s="49" t="n">
        <v>4</v>
      </c>
      <c r="H828" s="0" t="n">
        <v>0</v>
      </c>
      <c r="J828" s="49" t="s">
        <v>2665</v>
      </c>
      <c r="K828" s="52" t="n">
        <v>47805</v>
      </c>
      <c r="M828" s="51" t="s">
        <v>3327</v>
      </c>
      <c r="N828" s="49" t="n">
        <v>4</v>
      </c>
      <c r="O828" s="53" t="n">
        <v>46062.3965740741</v>
      </c>
      <c r="P828" s="53" t="n">
        <v>46062.3965740741</v>
      </c>
      <c r="Q828" s="53" t="n">
        <v>46062.3965740741</v>
      </c>
      <c r="R828" s="0" t="n">
        <v>0</v>
      </c>
      <c r="S828" s="51" t="s">
        <v>3129</v>
      </c>
      <c r="T828" s="51" t="s">
        <v>3129</v>
      </c>
      <c r="U828" s="51" t="s">
        <v>2500</v>
      </c>
      <c r="V828" s="51" t="s">
        <v>2142</v>
      </c>
      <c r="W828" s="51"/>
      <c r="X828" s="51"/>
    </row>
    <row r="829" customFormat="false" ht="14.25" hidden="true" customHeight="false" outlineLevel="0" collapsed="false">
      <c r="A829" s="49" t="s">
        <v>2251</v>
      </c>
      <c r="B829" s="49" t="s">
        <v>14</v>
      </c>
      <c r="C829" s="49" t="s">
        <v>1129</v>
      </c>
      <c r="D829" s="49" t="s">
        <v>2441</v>
      </c>
      <c r="E829" s="49" t="s">
        <v>2500</v>
      </c>
      <c r="F829" s="49" t="s">
        <v>16</v>
      </c>
      <c r="G829" s="49" t="n">
        <v>4</v>
      </c>
      <c r="H829" s="0" t="n">
        <v>0</v>
      </c>
      <c r="I829" s="51" t="s">
        <v>2270</v>
      </c>
      <c r="J829" s="49" t="s">
        <v>3324</v>
      </c>
      <c r="K829" s="52" t="n">
        <v>47805</v>
      </c>
      <c r="M829" s="51" t="s">
        <v>3327</v>
      </c>
      <c r="N829" s="49" t="n">
        <v>4</v>
      </c>
      <c r="O829" s="53" t="n">
        <v>46062.3937037037</v>
      </c>
      <c r="P829" s="53" t="n">
        <v>46068.5687615741</v>
      </c>
      <c r="Q829" s="53" t="n">
        <v>46062.3937037037</v>
      </c>
      <c r="R829" s="0" t="n">
        <v>0</v>
      </c>
      <c r="S829" s="51" t="s">
        <v>3129</v>
      </c>
      <c r="T829" s="51" t="s">
        <v>3129</v>
      </c>
      <c r="U829" s="51" t="s">
        <v>2500</v>
      </c>
      <c r="V829" s="51" t="s">
        <v>2142</v>
      </c>
      <c r="W829" s="51"/>
      <c r="X829" s="51"/>
    </row>
    <row r="830" customFormat="false" ht="14.25" hidden="true" customHeight="false" outlineLevel="0" collapsed="false">
      <c r="A830" s="49" t="s">
        <v>2251</v>
      </c>
      <c r="B830" s="49" t="s">
        <v>14</v>
      </c>
      <c r="C830" s="49" t="s">
        <v>1131</v>
      </c>
      <c r="D830" s="49" t="s">
        <v>2441</v>
      </c>
      <c r="E830" s="49" t="s">
        <v>2500</v>
      </c>
      <c r="F830" s="49" t="s">
        <v>16</v>
      </c>
      <c r="G830" s="49" t="n">
        <v>4</v>
      </c>
      <c r="H830" s="0" t="n">
        <v>0</v>
      </c>
      <c r="I830" s="51" t="s">
        <v>3328</v>
      </c>
      <c r="J830" s="49" t="s">
        <v>3324</v>
      </c>
      <c r="K830" s="52" t="n">
        <v>47805</v>
      </c>
      <c r="M830" s="51" t="s">
        <v>3327</v>
      </c>
      <c r="N830" s="49" t="n">
        <v>4</v>
      </c>
      <c r="O830" s="53" t="n">
        <v>46062.3910648148</v>
      </c>
      <c r="P830" s="53" t="n">
        <v>46067.6770717593</v>
      </c>
      <c r="Q830" s="53" t="n">
        <v>46062.3910648148</v>
      </c>
      <c r="R830" s="0" t="n">
        <v>0</v>
      </c>
      <c r="S830" s="51" t="s">
        <v>3129</v>
      </c>
      <c r="T830" s="51" t="s">
        <v>3129</v>
      </c>
      <c r="U830" s="51" t="s">
        <v>2500</v>
      </c>
      <c r="V830" s="51" t="s">
        <v>2142</v>
      </c>
      <c r="W830" s="51"/>
      <c r="X830" s="51"/>
    </row>
    <row r="831" customFormat="false" ht="14.25" hidden="false" customHeight="false" outlineLevel="0" collapsed="false">
      <c r="A831" s="49" t="s">
        <v>2251</v>
      </c>
      <c r="B831" s="49" t="s">
        <v>14</v>
      </c>
      <c r="C831" s="49" t="s">
        <v>1133</v>
      </c>
      <c r="D831" s="49" t="s">
        <v>2441</v>
      </c>
      <c r="E831" s="49" t="s">
        <v>2500</v>
      </c>
      <c r="F831" s="49" t="s">
        <v>16</v>
      </c>
      <c r="G831" s="49" t="n">
        <v>4</v>
      </c>
      <c r="H831" s="0" t="n">
        <v>0</v>
      </c>
      <c r="I831" s="51" t="s">
        <v>3328</v>
      </c>
      <c r="J831" s="49" t="s">
        <v>3324</v>
      </c>
      <c r="K831" s="52" t="n">
        <v>47805</v>
      </c>
      <c r="M831" s="51" t="s">
        <v>3327</v>
      </c>
      <c r="N831" s="0" t="n">
        <v>4</v>
      </c>
      <c r="O831" s="53" t="n">
        <v>46062.3898263889</v>
      </c>
      <c r="P831" s="53" t="n">
        <v>46067.6597685185</v>
      </c>
      <c r="Q831" s="53" t="n">
        <v>46062.3898263889</v>
      </c>
      <c r="R831" s="0" t="n">
        <v>0</v>
      </c>
      <c r="S831" s="51" t="s">
        <v>3129</v>
      </c>
      <c r="T831" s="51" t="s">
        <v>3129</v>
      </c>
      <c r="U831" s="51" t="s">
        <v>2500</v>
      </c>
      <c r="V831" s="51" t="s">
        <v>2142</v>
      </c>
      <c r="W831" s="51"/>
      <c r="X831" s="51"/>
    </row>
    <row r="832" customFormat="false" ht="14.25" hidden="false" customHeight="false" outlineLevel="0" collapsed="false">
      <c r="A832" s="49" t="s">
        <v>2251</v>
      </c>
      <c r="B832" s="49" t="s">
        <v>14</v>
      </c>
      <c r="C832" s="49" t="s">
        <v>1135</v>
      </c>
      <c r="D832" s="49" t="s">
        <v>2441</v>
      </c>
      <c r="E832" s="49" t="s">
        <v>2500</v>
      </c>
      <c r="F832" s="49" t="s">
        <v>16</v>
      </c>
      <c r="G832" s="49" t="n">
        <v>4</v>
      </c>
      <c r="H832" s="0" t="n">
        <v>0</v>
      </c>
      <c r="I832" s="51" t="s">
        <v>3328</v>
      </c>
      <c r="J832" s="49" t="s">
        <v>2665</v>
      </c>
      <c r="K832" s="52" t="n">
        <v>47805</v>
      </c>
      <c r="M832" s="51" t="s">
        <v>3327</v>
      </c>
      <c r="N832" s="0" t="n">
        <v>4</v>
      </c>
      <c r="O832" s="53" t="n">
        <v>46062.3883101852</v>
      </c>
      <c r="P832" s="53" t="n">
        <v>46067.6559490741</v>
      </c>
      <c r="Q832" s="53" t="n">
        <v>46062.3883101852</v>
      </c>
      <c r="R832" s="0" t="n">
        <v>0</v>
      </c>
      <c r="S832" s="51" t="s">
        <v>3129</v>
      </c>
      <c r="T832" s="51" t="s">
        <v>3129</v>
      </c>
      <c r="U832" s="51" t="s">
        <v>2500</v>
      </c>
      <c r="V832" s="51" t="s">
        <v>2142</v>
      </c>
      <c r="W832" s="51"/>
      <c r="X832" s="51"/>
    </row>
    <row r="833" customFormat="false" ht="14.25" hidden="false" customHeight="false" outlineLevel="0" collapsed="false">
      <c r="A833" s="49" t="s">
        <v>2251</v>
      </c>
      <c r="B833" s="49" t="s">
        <v>14</v>
      </c>
      <c r="C833" s="49" t="s">
        <v>1137</v>
      </c>
      <c r="D833" s="49" t="s">
        <v>2441</v>
      </c>
      <c r="E833" s="49" t="s">
        <v>2500</v>
      </c>
      <c r="F833" s="49" t="s">
        <v>16</v>
      </c>
      <c r="G833" s="49" t="n">
        <v>4</v>
      </c>
      <c r="H833" s="0" t="n">
        <v>0</v>
      </c>
      <c r="I833" s="51" t="s">
        <v>3328</v>
      </c>
      <c r="J833" s="49" t="s">
        <v>3324</v>
      </c>
      <c r="K833" s="52" t="n">
        <v>47805</v>
      </c>
      <c r="M833" s="51" t="s">
        <v>3327</v>
      </c>
      <c r="N833" s="0" t="n">
        <v>4</v>
      </c>
      <c r="O833" s="53" t="n">
        <v>46062.3864351852</v>
      </c>
      <c r="P833" s="53" t="n">
        <v>46067.6535648148</v>
      </c>
      <c r="Q833" s="0" t="n">
        <v>46062.3864351852</v>
      </c>
      <c r="R833" s="0" t="n">
        <v>0</v>
      </c>
      <c r="S833" s="51" t="s">
        <v>3129</v>
      </c>
      <c r="T833" s="51" t="s">
        <v>3129</v>
      </c>
      <c r="U833" s="51" t="s">
        <v>2500</v>
      </c>
      <c r="V833" s="51" t="s">
        <v>2142</v>
      </c>
    </row>
    <row r="834" customFormat="false" ht="14.25" hidden="true" customHeight="false" outlineLevel="0" collapsed="false">
      <c r="A834" s="49" t="s">
        <v>2251</v>
      </c>
      <c r="B834" s="49" t="s">
        <v>14</v>
      </c>
      <c r="C834" s="49" t="s">
        <v>1139</v>
      </c>
      <c r="D834" s="49" t="s">
        <v>2441</v>
      </c>
      <c r="E834" s="49" t="s">
        <v>2500</v>
      </c>
      <c r="F834" s="49" t="s">
        <v>16</v>
      </c>
      <c r="G834" s="49" t="n">
        <v>4</v>
      </c>
      <c r="H834" s="0" t="n">
        <v>0</v>
      </c>
      <c r="I834" s="51" t="s">
        <v>3328</v>
      </c>
      <c r="J834" s="49" t="s">
        <v>2665</v>
      </c>
      <c r="K834" s="52" t="n">
        <v>47805</v>
      </c>
      <c r="M834" s="51" t="s">
        <v>3327</v>
      </c>
      <c r="N834" s="49" t="n">
        <v>4</v>
      </c>
      <c r="O834" s="53" t="n">
        <v>46062.3842708333</v>
      </c>
      <c r="P834" s="53" t="n">
        <v>46067.632962963</v>
      </c>
      <c r="Q834" s="53" t="n">
        <v>46062.3842708333</v>
      </c>
      <c r="R834" s="0" t="n">
        <v>0</v>
      </c>
      <c r="S834" s="51" t="s">
        <v>3129</v>
      </c>
      <c r="T834" s="51" t="s">
        <v>3129</v>
      </c>
      <c r="U834" s="51" t="s">
        <v>2500</v>
      </c>
      <c r="V834" s="51" t="s">
        <v>2142</v>
      </c>
      <c r="W834" s="51"/>
      <c r="X834" s="51"/>
    </row>
    <row r="835" customFormat="false" ht="14.25" hidden="true" customHeight="false" outlineLevel="0" collapsed="false">
      <c r="A835" s="49" t="s">
        <v>2251</v>
      </c>
      <c r="B835" s="49" t="s">
        <v>14</v>
      </c>
      <c r="C835" s="49" t="s">
        <v>1117</v>
      </c>
      <c r="D835" s="49" t="s">
        <v>2441</v>
      </c>
      <c r="E835" s="49" t="s">
        <v>2500</v>
      </c>
      <c r="F835" s="49" t="s">
        <v>16</v>
      </c>
      <c r="G835" s="49" t="n">
        <v>4</v>
      </c>
      <c r="H835" s="0" t="n">
        <v>0</v>
      </c>
      <c r="I835" s="51" t="s">
        <v>2304</v>
      </c>
      <c r="J835" s="49" t="s">
        <v>2665</v>
      </c>
      <c r="K835" s="52" t="n">
        <v>47805</v>
      </c>
      <c r="M835" s="51" t="s">
        <v>3327</v>
      </c>
      <c r="N835" s="49" t="n">
        <v>4</v>
      </c>
      <c r="O835" s="53" t="n">
        <v>46062.3829166667</v>
      </c>
      <c r="P835" s="53" t="n">
        <v>46064.3571296296</v>
      </c>
      <c r="Q835" s="53" t="n">
        <v>46062.3829166667</v>
      </c>
      <c r="R835" s="0" t="n">
        <v>0</v>
      </c>
      <c r="S835" s="51" t="s">
        <v>3129</v>
      </c>
      <c r="T835" s="51" t="s">
        <v>3129</v>
      </c>
      <c r="U835" s="51" t="s">
        <v>2500</v>
      </c>
      <c r="V835" s="51" t="s">
        <v>2142</v>
      </c>
      <c r="W835" s="51" t="s">
        <v>2306</v>
      </c>
      <c r="X835" s="51"/>
    </row>
    <row r="836" customFormat="false" ht="14.25" hidden="true" customHeight="false" outlineLevel="0" collapsed="false">
      <c r="A836" s="49" t="s">
        <v>2251</v>
      </c>
      <c r="B836" s="49" t="s">
        <v>14</v>
      </c>
      <c r="C836" s="49" t="s">
        <v>1119</v>
      </c>
      <c r="D836" s="49" t="s">
        <v>2441</v>
      </c>
      <c r="E836" s="49" t="s">
        <v>2500</v>
      </c>
      <c r="F836" s="49" t="s">
        <v>16</v>
      </c>
      <c r="G836" s="49" t="n">
        <v>4</v>
      </c>
      <c r="H836" s="0" t="n">
        <v>0</v>
      </c>
      <c r="I836" s="51" t="s">
        <v>2300</v>
      </c>
      <c r="J836" s="49" t="s">
        <v>2665</v>
      </c>
      <c r="K836" s="52" t="n">
        <v>47805</v>
      </c>
      <c r="M836" s="51" t="s">
        <v>3327</v>
      </c>
      <c r="N836" s="49" t="n">
        <v>4</v>
      </c>
      <c r="O836" s="53" t="n">
        <v>46062.3801967593</v>
      </c>
      <c r="P836" s="53" t="n">
        <v>46064.3501388889</v>
      </c>
      <c r="Q836" s="53" t="n">
        <v>46062.3801967593</v>
      </c>
      <c r="R836" s="0" t="n">
        <v>0</v>
      </c>
      <c r="S836" s="51" t="s">
        <v>3129</v>
      </c>
      <c r="T836" s="51" t="s">
        <v>3129</v>
      </c>
      <c r="U836" s="51" t="s">
        <v>2500</v>
      </c>
      <c r="V836" s="51" t="s">
        <v>2142</v>
      </c>
      <c r="W836" s="51"/>
      <c r="X836" s="51"/>
    </row>
    <row r="837" customFormat="false" ht="14.25" hidden="true" customHeight="false" outlineLevel="0" collapsed="false">
      <c r="A837" s="49" t="s">
        <v>2251</v>
      </c>
      <c r="B837" s="49" t="s">
        <v>14</v>
      </c>
      <c r="C837" s="49" t="s">
        <v>1031</v>
      </c>
      <c r="D837" s="49" t="s">
        <v>2441</v>
      </c>
      <c r="E837" s="49" t="s">
        <v>2500</v>
      </c>
      <c r="F837" s="49" t="s">
        <v>16</v>
      </c>
      <c r="G837" s="49" t="n">
        <v>4</v>
      </c>
      <c r="H837" s="0" t="n">
        <v>0</v>
      </c>
      <c r="I837" s="51" t="s">
        <v>3329</v>
      </c>
      <c r="J837" s="49" t="s">
        <v>2665</v>
      </c>
      <c r="K837" s="52" t="n">
        <v>47805</v>
      </c>
      <c r="M837" s="51" t="s">
        <v>3157</v>
      </c>
      <c r="N837" s="49" t="n">
        <v>4</v>
      </c>
      <c r="O837" s="53" t="n">
        <v>46060.5980324074</v>
      </c>
      <c r="P837" s="53" t="n">
        <v>46061.4597800926</v>
      </c>
      <c r="Q837" s="53" t="n">
        <v>46060.5980324074</v>
      </c>
      <c r="R837" s="0" t="n">
        <v>0</v>
      </c>
      <c r="S837" s="51" t="s">
        <v>3129</v>
      </c>
      <c r="T837" s="51" t="s">
        <v>3129</v>
      </c>
      <c r="U837" s="51" t="s">
        <v>2500</v>
      </c>
      <c r="V837" s="51" t="s">
        <v>2142</v>
      </c>
      <c r="W837" s="51"/>
      <c r="X837" s="51"/>
    </row>
    <row r="838" customFormat="false" ht="14.25" hidden="true" customHeight="false" outlineLevel="0" collapsed="false">
      <c r="A838" s="49" t="s">
        <v>2251</v>
      </c>
      <c r="B838" s="49" t="s">
        <v>14</v>
      </c>
      <c r="C838" s="49" t="s">
        <v>1034</v>
      </c>
      <c r="D838" s="49" t="s">
        <v>2441</v>
      </c>
      <c r="E838" s="49" t="s">
        <v>2500</v>
      </c>
      <c r="F838" s="49" t="s">
        <v>16</v>
      </c>
      <c r="G838" s="49" t="n">
        <v>4</v>
      </c>
      <c r="H838" s="0" t="n">
        <v>0</v>
      </c>
      <c r="I838" s="51" t="s">
        <v>3330</v>
      </c>
      <c r="J838" s="49" t="s">
        <v>2665</v>
      </c>
      <c r="K838" s="52" t="n">
        <v>47805</v>
      </c>
      <c r="M838" s="51" t="s">
        <v>3157</v>
      </c>
      <c r="N838" s="49" t="n">
        <v>4</v>
      </c>
      <c r="O838" s="53" t="n">
        <v>46060.5969675926</v>
      </c>
      <c r="P838" s="53" t="n">
        <v>46061.4591898148</v>
      </c>
      <c r="Q838" s="53" t="n">
        <v>46060.5969675926</v>
      </c>
      <c r="R838" s="0" t="n">
        <v>0</v>
      </c>
      <c r="S838" s="51" t="s">
        <v>3129</v>
      </c>
      <c r="T838" s="51" t="s">
        <v>3129</v>
      </c>
      <c r="U838" s="51" t="s">
        <v>2500</v>
      </c>
      <c r="V838" s="51" t="s">
        <v>2142</v>
      </c>
      <c r="W838" s="51"/>
      <c r="X838" s="51"/>
    </row>
    <row r="839" customFormat="false" ht="14.25" hidden="true" customHeight="false" outlineLevel="0" collapsed="false">
      <c r="A839" s="49" t="s">
        <v>2251</v>
      </c>
      <c r="B839" s="49" t="s">
        <v>14</v>
      </c>
      <c r="C839" s="49" t="s">
        <v>1035</v>
      </c>
      <c r="D839" s="49" t="s">
        <v>2441</v>
      </c>
      <c r="E839" s="49" t="s">
        <v>2500</v>
      </c>
      <c r="F839" s="49" t="s">
        <v>16</v>
      </c>
      <c r="G839" s="49" t="n">
        <v>4</v>
      </c>
      <c r="H839" s="0" t="n">
        <v>0</v>
      </c>
      <c r="I839" s="51" t="s">
        <v>3331</v>
      </c>
      <c r="J839" s="49" t="s">
        <v>2665</v>
      </c>
      <c r="K839" s="52" t="n">
        <v>47805</v>
      </c>
      <c r="M839" s="51" t="s">
        <v>3157</v>
      </c>
      <c r="N839" s="49" t="n">
        <v>4</v>
      </c>
      <c r="O839" s="53" t="n">
        <v>46060.5948148148</v>
      </c>
      <c r="P839" s="53" t="n">
        <v>46068.463599537</v>
      </c>
      <c r="Q839" s="53" t="n">
        <v>46060.5948148148</v>
      </c>
      <c r="R839" s="0" t="n">
        <v>0</v>
      </c>
      <c r="S839" s="51" t="s">
        <v>3129</v>
      </c>
      <c r="T839" s="51" t="s">
        <v>3129</v>
      </c>
      <c r="U839" s="51" t="s">
        <v>2500</v>
      </c>
      <c r="V839" s="51" t="s">
        <v>2142</v>
      </c>
      <c r="W839" s="51" t="s">
        <v>3332</v>
      </c>
      <c r="X839" s="51"/>
    </row>
    <row r="840" customFormat="false" ht="14.25" hidden="true" customHeight="false" outlineLevel="0" collapsed="false">
      <c r="A840" s="49" t="s">
        <v>2251</v>
      </c>
      <c r="B840" s="49" t="s">
        <v>14</v>
      </c>
      <c r="C840" s="49" t="s">
        <v>1007</v>
      </c>
      <c r="D840" s="49" t="s">
        <v>2441</v>
      </c>
      <c r="E840" s="49" t="s">
        <v>2500</v>
      </c>
      <c r="F840" s="49" t="s">
        <v>16</v>
      </c>
      <c r="G840" s="49" t="n">
        <v>4</v>
      </c>
      <c r="H840" s="0" t="n">
        <v>0</v>
      </c>
      <c r="I840" s="51" t="s">
        <v>3333</v>
      </c>
      <c r="J840" s="49" t="s">
        <v>2665</v>
      </c>
      <c r="K840" s="52" t="n">
        <v>47805</v>
      </c>
      <c r="M840" s="51" t="s">
        <v>3157</v>
      </c>
      <c r="N840" s="49" t="n">
        <v>4</v>
      </c>
      <c r="O840" s="53" t="n">
        <v>46060.5940972222</v>
      </c>
      <c r="P840" s="53" t="n">
        <v>46061.4586111111</v>
      </c>
      <c r="Q840" s="53" t="n">
        <v>46060.5940972222</v>
      </c>
      <c r="R840" s="0" t="n">
        <v>0</v>
      </c>
      <c r="S840" s="51" t="s">
        <v>3129</v>
      </c>
      <c r="T840" s="51" t="s">
        <v>3129</v>
      </c>
      <c r="U840" s="51" t="s">
        <v>2500</v>
      </c>
      <c r="V840" s="51" t="s">
        <v>2142</v>
      </c>
      <c r="W840" s="51"/>
      <c r="X840" s="51"/>
    </row>
    <row r="841" customFormat="false" ht="14.25" hidden="true" customHeight="false" outlineLevel="0" collapsed="false">
      <c r="A841" s="49" t="s">
        <v>2251</v>
      </c>
      <c r="B841" s="49" t="s">
        <v>14</v>
      </c>
      <c r="C841" s="49" t="s">
        <v>1009</v>
      </c>
      <c r="D841" s="49" t="s">
        <v>2441</v>
      </c>
      <c r="E841" s="49" t="s">
        <v>2500</v>
      </c>
      <c r="F841" s="49" t="s">
        <v>16</v>
      </c>
      <c r="G841" s="49" t="n">
        <v>4</v>
      </c>
      <c r="H841" s="0" t="n">
        <v>0</v>
      </c>
      <c r="I841" s="51" t="s">
        <v>3334</v>
      </c>
      <c r="J841" s="49" t="s">
        <v>2665</v>
      </c>
      <c r="K841" s="52" t="n">
        <v>47805</v>
      </c>
      <c r="M841" s="51" t="s">
        <v>3157</v>
      </c>
      <c r="N841" s="49" t="n">
        <v>4</v>
      </c>
      <c r="O841" s="53" t="n">
        <v>46060.5891898148</v>
      </c>
      <c r="P841" s="53" t="n">
        <v>46061.4571527778</v>
      </c>
      <c r="Q841" s="53" t="n">
        <v>46060.5891898148</v>
      </c>
      <c r="R841" s="0" t="n">
        <v>0</v>
      </c>
      <c r="S841" s="51" t="s">
        <v>3129</v>
      </c>
      <c r="T841" s="51" t="s">
        <v>3129</v>
      </c>
      <c r="U841" s="51" t="s">
        <v>2500</v>
      </c>
      <c r="V841" s="51" t="s">
        <v>2142</v>
      </c>
      <c r="W841" s="51"/>
      <c r="X841" s="51"/>
    </row>
    <row r="842" customFormat="false" ht="14.25" hidden="true" customHeight="false" outlineLevel="0" collapsed="false">
      <c r="A842" s="49" t="s">
        <v>2251</v>
      </c>
      <c r="B842" s="49" t="s">
        <v>14</v>
      </c>
      <c r="C842" s="49" t="s">
        <v>1010</v>
      </c>
      <c r="D842" s="49" t="s">
        <v>2441</v>
      </c>
      <c r="E842" s="49" t="s">
        <v>2500</v>
      </c>
      <c r="F842" s="49" t="s">
        <v>16</v>
      </c>
      <c r="G842" s="49" t="n">
        <v>4</v>
      </c>
      <c r="H842" s="0" t="n">
        <v>0</v>
      </c>
      <c r="I842" s="51" t="s">
        <v>3335</v>
      </c>
      <c r="J842" s="49" t="s">
        <v>2665</v>
      </c>
      <c r="K842" s="52" t="n">
        <v>47805</v>
      </c>
      <c r="M842" s="51" t="s">
        <v>3157</v>
      </c>
      <c r="N842" s="49" t="n">
        <v>4</v>
      </c>
      <c r="O842" s="53" t="n">
        <v>46060.5876967593</v>
      </c>
      <c r="P842" s="53" t="n">
        <v>46061.4569675926</v>
      </c>
      <c r="Q842" s="53" t="n">
        <v>46060.5876967593</v>
      </c>
      <c r="R842" s="0" t="n">
        <v>0</v>
      </c>
      <c r="S842" s="51" t="s">
        <v>3129</v>
      </c>
      <c r="T842" s="51" t="s">
        <v>3129</v>
      </c>
      <c r="U842" s="51" t="s">
        <v>2500</v>
      </c>
      <c r="V842" s="51" t="s">
        <v>2142</v>
      </c>
      <c r="W842" s="51"/>
      <c r="X842" s="51"/>
    </row>
    <row r="843" customFormat="false" ht="14.25" hidden="true" customHeight="false" outlineLevel="0" collapsed="false">
      <c r="A843" s="49" t="s">
        <v>2251</v>
      </c>
      <c r="B843" s="49" t="s">
        <v>14</v>
      </c>
      <c r="C843" s="49" t="s">
        <v>1029</v>
      </c>
      <c r="D843" s="49" t="s">
        <v>2441</v>
      </c>
      <c r="E843" s="49" t="s">
        <v>2500</v>
      </c>
      <c r="F843" s="49" t="s">
        <v>16</v>
      </c>
      <c r="G843" s="49" t="n">
        <v>4</v>
      </c>
      <c r="H843" s="0" t="n">
        <v>0</v>
      </c>
      <c r="I843" s="51" t="s">
        <v>3336</v>
      </c>
      <c r="J843" s="49" t="s">
        <v>2665</v>
      </c>
      <c r="K843" s="52" t="n">
        <v>47805</v>
      </c>
      <c r="M843" s="51" t="s">
        <v>3157</v>
      </c>
      <c r="N843" s="49" t="n">
        <v>4</v>
      </c>
      <c r="O843" s="53" t="n">
        <v>46060.5991087963</v>
      </c>
      <c r="P843" s="53" t="n">
        <v>46061.4601967593</v>
      </c>
      <c r="Q843" s="53" t="n">
        <v>46060.5991087963</v>
      </c>
      <c r="R843" s="0" t="n">
        <v>0</v>
      </c>
      <c r="S843" s="51" t="s">
        <v>3129</v>
      </c>
      <c r="T843" s="51" t="s">
        <v>3129</v>
      </c>
      <c r="U843" s="51" t="s">
        <v>2500</v>
      </c>
      <c r="V843" s="51" t="s">
        <v>2142</v>
      </c>
      <c r="W843" s="51"/>
      <c r="X843" s="51"/>
    </row>
    <row r="844" customFormat="false" ht="14.25" hidden="true" customHeight="false" outlineLevel="0" collapsed="false">
      <c r="A844" s="49" t="s">
        <v>2251</v>
      </c>
      <c r="B844" s="49" t="s">
        <v>14</v>
      </c>
      <c r="C844" s="49" t="s">
        <v>1027</v>
      </c>
      <c r="D844" s="49" t="s">
        <v>2441</v>
      </c>
      <c r="E844" s="49" t="s">
        <v>2500</v>
      </c>
      <c r="F844" s="49" t="s">
        <v>16</v>
      </c>
      <c r="G844" s="49" t="n">
        <v>4</v>
      </c>
      <c r="H844" s="0" t="n">
        <v>0</v>
      </c>
      <c r="I844" s="51" t="s">
        <v>3337</v>
      </c>
      <c r="J844" s="49" t="s">
        <v>2665</v>
      </c>
      <c r="K844" s="52" t="n">
        <v>47805</v>
      </c>
      <c r="M844" s="51" t="s">
        <v>3157</v>
      </c>
      <c r="N844" s="49" t="n">
        <v>4</v>
      </c>
      <c r="O844" s="53" t="n">
        <v>46060.600150463</v>
      </c>
      <c r="P844" s="53" t="n">
        <v>46061.4699537037</v>
      </c>
      <c r="Q844" s="53" t="n">
        <v>46060.600150463</v>
      </c>
      <c r="R844" s="0" t="n">
        <v>0</v>
      </c>
      <c r="S844" s="51" t="s">
        <v>3129</v>
      </c>
      <c r="T844" s="51" t="s">
        <v>3129</v>
      </c>
      <c r="U844" s="51" t="s">
        <v>2500</v>
      </c>
      <c r="V844" s="51" t="s">
        <v>2142</v>
      </c>
      <c r="W844" s="51"/>
      <c r="X844" s="51"/>
    </row>
    <row r="845" customFormat="false" ht="14.25" hidden="true" customHeight="false" outlineLevel="0" collapsed="false">
      <c r="A845" s="49" t="s">
        <v>2251</v>
      </c>
      <c r="B845" s="49" t="s">
        <v>14</v>
      </c>
      <c r="C845" s="49" t="s">
        <v>469</v>
      </c>
      <c r="D845" s="49" t="s">
        <v>2441</v>
      </c>
      <c r="E845" s="49" t="s">
        <v>2500</v>
      </c>
      <c r="F845" s="49" t="s">
        <v>16</v>
      </c>
      <c r="G845" s="49" t="n">
        <v>4</v>
      </c>
      <c r="H845" s="0" t="n">
        <v>0</v>
      </c>
      <c r="I845" s="51" t="s">
        <v>3338</v>
      </c>
      <c r="J845" s="49" t="s">
        <v>3324</v>
      </c>
      <c r="K845" s="52" t="n">
        <v>47805</v>
      </c>
      <c r="M845" s="51" t="s">
        <v>3308</v>
      </c>
      <c r="N845" s="49" t="n">
        <v>4</v>
      </c>
      <c r="O845" s="53" t="n">
        <v>46054.3875</v>
      </c>
      <c r="P845" s="53" t="n">
        <v>46055.4164814815</v>
      </c>
      <c r="Q845" s="53" t="n">
        <v>46054.3875</v>
      </c>
      <c r="R845" s="0" t="n">
        <v>0</v>
      </c>
      <c r="S845" s="51" t="s">
        <v>3129</v>
      </c>
      <c r="T845" s="51" t="s">
        <v>3129</v>
      </c>
      <c r="U845" s="51" t="s">
        <v>2500</v>
      </c>
      <c r="V845" s="51" t="s">
        <v>2142</v>
      </c>
      <c r="W845" s="51"/>
      <c r="X845" s="51"/>
    </row>
    <row r="846" customFormat="false" ht="14.25" hidden="true" customHeight="false" outlineLevel="0" collapsed="false">
      <c r="A846" s="49" t="s">
        <v>2251</v>
      </c>
      <c r="B846" s="49" t="s">
        <v>14</v>
      </c>
      <c r="C846" s="49" t="s">
        <v>467</v>
      </c>
      <c r="D846" s="49" t="s">
        <v>2441</v>
      </c>
      <c r="E846" s="49" t="s">
        <v>2500</v>
      </c>
      <c r="F846" s="49" t="s">
        <v>16</v>
      </c>
      <c r="G846" s="49" t="n">
        <v>4</v>
      </c>
      <c r="H846" s="0" t="n">
        <v>0</v>
      </c>
      <c r="I846" s="51" t="s">
        <v>3339</v>
      </c>
      <c r="J846" s="49" t="s">
        <v>3324</v>
      </c>
      <c r="K846" s="52" t="n">
        <v>47805</v>
      </c>
      <c r="M846" s="51" t="s">
        <v>3308</v>
      </c>
      <c r="N846" s="49" t="n">
        <v>4</v>
      </c>
      <c r="O846" s="53" t="n">
        <v>46054.3886111111</v>
      </c>
      <c r="P846" s="53" t="n">
        <v>46055.416400463</v>
      </c>
      <c r="Q846" s="53" t="n">
        <v>46054.3886111111</v>
      </c>
      <c r="R846" s="0" t="n">
        <v>0</v>
      </c>
      <c r="S846" s="51" t="s">
        <v>3129</v>
      </c>
      <c r="T846" s="51" t="s">
        <v>3129</v>
      </c>
      <c r="U846" s="51" t="s">
        <v>2500</v>
      </c>
      <c r="V846" s="51" t="s">
        <v>2142</v>
      </c>
      <c r="W846" s="51"/>
      <c r="X846" s="51"/>
    </row>
    <row r="847" customFormat="false" ht="14.25" hidden="true" customHeight="false" outlineLevel="0" collapsed="false">
      <c r="A847" s="49" t="s">
        <v>2251</v>
      </c>
      <c r="B847" s="49" t="s">
        <v>14</v>
      </c>
      <c r="C847" s="49" t="s">
        <v>466</v>
      </c>
      <c r="D847" s="49" t="s">
        <v>2441</v>
      </c>
      <c r="E847" s="49" t="s">
        <v>2500</v>
      </c>
      <c r="F847" s="49" t="s">
        <v>16</v>
      </c>
      <c r="G847" s="49" t="n">
        <v>4</v>
      </c>
      <c r="H847" s="0" t="n">
        <v>0</v>
      </c>
      <c r="I847" s="51" t="s">
        <v>3340</v>
      </c>
      <c r="J847" s="49" t="s">
        <v>3324</v>
      </c>
      <c r="K847" s="52" t="n">
        <v>47805</v>
      </c>
      <c r="M847" s="51" t="s">
        <v>3308</v>
      </c>
      <c r="N847" s="49" t="n">
        <v>4</v>
      </c>
      <c r="O847" s="53" t="n">
        <v>46054.3952893519</v>
      </c>
      <c r="P847" s="53" t="n">
        <v>46054.4720023148</v>
      </c>
      <c r="Q847" s="53" t="n">
        <v>46054.3952893519</v>
      </c>
      <c r="R847" s="0" t="n">
        <v>0</v>
      </c>
      <c r="S847" s="51" t="s">
        <v>3129</v>
      </c>
      <c r="T847" s="51" t="s">
        <v>3129</v>
      </c>
      <c r="U847" s="51" t="s">
        <v>2500</v>
      </c>
      <c r="V847" s="51" t="s">
        <v>2142</v>
      </c>
      <c r="W847" s="51"/>
      <c r="X847" s="51"/>
    </row>
    <row r="848" customFormat="false" ht="14.25" hidden="true" customHeight="false" outlineLevel="0" collapsed="false">
      <c r="A848" s="49" t="s">
        <v>2251</v>
      </c>
      <c r="B848" s="49" t="s">
        <v>14</v>
      </c>
      <c r="C848" s="49" t="s">
        <v>462</v>
      </c>
      <c r="D848" s="49" t="s">
        <v>2441</v>
      </c>
      <c r="E848" s="49" t="s">
        <v>2500</v>
      </c>
      <c r="F848" s="49" t="s">
        <v>16</v>
      </c>
      <c r="G848" s="49" t="n">
        <v>4</v>
      </c>
      <c r="H848" s="0" t="n">
        <v>0</v>
      </c>
      <c r="I848" s="51" t="s">
        <v>3340</v>
      </c>
      <c r="J848" s="49" t="s">
        <v>3324</v>
      </c>
      <c r="K848" s="52" t="n">
        <v>47805</v>
      </c>
      <c r="M848" s="51" t="s">
        <v>3308</v>
      </c>
      <c r="N848" s="49" t="n">
        <v>4</v>
      </c>
      <c r="O848" s="53" t="n">
        <v>46054.397662037</v>
      </c>
      <c r="P848" s="53" t="n">
        <v>46054.4674652778</v>
      </c>
      <c r="Q848" s="53" t="n">
        <v>46054.397662037</v>
      </c>
      <c r="R848" s="0" t="n">
        <v>0</v>
      </c>
      <c r="S848" s="51" t="s">
        <v>3129</v>
      </c>
      <c r="T848" s="51" t="s">
        <v>3129</v>
      </c>
      <c r="U848" s="51" t="s">
        <v>2500</v>
      </c>
      <c r="V848" s="51" t="s">
        <v>2142</v>
      </c>
      <c r="W848" s="51"/>
      <c r="X848" s="51"/>
    </row>
    <row r="849" customFormat="false" ht="14.25" hidden="true" customHeight="false" outlineLevel="0" collapsed="false">
      <c r="A849" s="49" t="s">
        <v>2251</v>
      </c>
      <c r="B849" s="49" t="s">
        <v>14</v>
      </c>
      <c r="C849" s="49" t="s">
        <v>459</v>
      </c>
      <c r="D849" s="49" t="s">
        <v>2441</v>
      </c>
      <c r="E849" s="49" t="s">
        <v>2500</v>
      </c>
      <c r="F849" s="49" t="s">
        <v>16</v>
      </c>
      <c r="G849" s="49" t="n">
        <v>4</v>
      </c>
      <c r="H849" s="0" t="n">
        <v>0</v>
      </c>
      <c r="I849" s="51" t="s">
        <v>3340</v>
      </c>
      <c r="J849" s="49" t="s">
        <v>3324</v>
      </c>
      <c r="K849" s="52" t="n">
        <v>47805</v>
      </c>
      <c r="M849" s="51" t="s">
        <v>3308</v>
      </c>
      <c r="N849" s="49" t="n">
        <v>4</v>
      </c>
      <c r="O849" s="53" t="n">
        <v>46054.3998958333</v>
      </c>
      <c r="P849" s="53" t="n">
        <v>46054.4647222222</v>
      </c>
      <c r="Q849" s="53" t="n">
        <v>46054.3998958333</v>
      </c>
      <c r="R849" s="0" t="n">
        <v>0</v>
      </c>
      <c r="S849" s="51" t="s">
        <v>3129</v>
      </c>
      <c r="T849" s="51" t="s">
        <v>3129</v>
      </c>
      <c r="U849" s="51" t="s">
        <v>2500</v>
      </c>
      <c r="V849" s="51" t="s">
        <v>2142</v>
      </c>
      <c r="W849" s="51"/>
      <c r="X849" s="51"/>
    </row>
    <row r="850" customFormat="false" ht="14.25" hidden="true" customHeight="false" outlineLevel="0" collapsed="false">
      <c r="A850" s="49" t="s">
        <v>2251</v>
      </c>
      <c r="B850" s="49" t="s">
        <v>14</v>
      </c>
      <c r="C850" s="49" t="s">
        <v>470</v>
      </c>
      <c r="D850" s="49" t="s">
        <v>2441</v>
      </c>
      <c r="E850" s="49" t="s">
        <v>2500</v>
      </c>
      <c r="F850" s="49" t="s">
        <v>16</v>
      </c>
      <c r="G850" s="49" t="n">
        <v>4</v>
      </c>
      <c r="H850" s="0" t="n">
        <v>0</v>
      </c>
      <c r="I850" s="51" t="s">
        <v>3341</v>
      </c>
      <c r="J850" s="49" t="s">
        <v>3324</v>
      </c>
      <c r="K850" s="52" t="n">
        <v>47805</v>
      </c>
      <c r="M850" s="51" t="s">
        <v>3308</v>
      </c>
      <c r="N850" s="49" t="n">
        <v>4</v>
      </c>
      <c r="O850" s="53" t="n">
        <v>46054.3784606482</v>
      </c>
      <c r="P850" s="53" t="n">
        <v>46055.4157060185</v>
      </c>
      <c r="Q850" s="53" t="n">
        <v>46054.3784606482</v>
      </c>
      <c r="R850" s="0" t="n">
        <v>0</v>
      </c>
      <c r="S850" s="51" t="s">
        <v>3129</v>
      </c>
      <c r="T850" s="51" t="s">
        <v>3129</v>
      </c>
      <c r="U850" s="51" t="s">
        <v>2500</v>
      </c>
      <c r="V850" s="51" t="s">
        <v>2142</v>
      </c>
      <c r="W850" s="51"/>
      <c r="X850" s="51"/>
    </row>
    <row r="851" customFormat="false" ht="14.25" hidden="true" customHeight="false" outlineLevel="0" collapsed="false">
      <c r="A851" s="49" t="s">
        <v>2251</v>
      </c>
      <c r="B851" s="49" t="s">
        <v>14</v>
      </c>
      <c r="C851" s="49" t="s">
        <v>458</v>
      </c>
      <c r="D851" s="49" t="s">
        <v>2441</v>
      </c>
      <c r="E851" s="49" t="s">
        <v>2500</v>
      </c>
      <c r="F851" s="49" t="s">
        <v>16</v>
      </c>
      <c r="G851" s="49" t="n">
        <v>4</v>
      </c>
      <c r="H851" s="0" t="n">
        <v>0</v>
      </c>
      <c r="I851" s="51" t="s">
        <v>3340</v>
      </c>
      <c r="J851" s="49" t="s">
        <v>3324</v>
      </c>
      <c r="K851" s="52" t="n">
        <v>47805</v>
      </c>
      <c r="M851" s="51" t="s">
        <v>3308</v>
      </c>
      <c r="N851" s="49" t="n">
        <v>4</v>
      </c>
      <c r="O851" s="53" t="n">
        <v>46054.4007638889</v>
      </c>
      <c r="P851" s="53" t="n">
        <v>46054.4611458333</v>
      </c>
      <c r="Q851" s="53" t="n">
        <v>46054.4007638889</v>
      </c>
      <c r="R851" s="0" t="n">
        <v>0</v>
      </c>
      <c r="S851" s="51" t="s">
        <v>3129</v>
      </c>
      <c r="T851" s="51" t="s">
        <v>3129</v>
      </c>
      <c r="U851" s="51" t="s">
        <v>2500</v>
      </c>
      <c r="V851" s="51" t="s">
        <v>2142</v>
      </c>
      <c r="W851" s="51"/>
      <c r="X851" s="51"/>
    </row>
    <row r="852" customFormat="false" ht="14.25" hidden="true" customHeight="false" outlineLevel="0" collapsed="false">
      <c r="A852" s="49" t="s">
        <v>2251</v>
      </c>
      <c r="B852" s="49" t="s">
        <v>14</v>
      </c>
      <c r="C852" s="49" t="s">
        <v>456</v>
      </c>
      <c r="D852" s="49" t="s">
        <v>2441</v>
      </c>
      <c r="E852" s="49" t="s">
        <v>2500</v>
      </c>
      <c r="F852" s="49" t="s">
        <v>16</v>
      </c>
      <c r="G852" s="49" t="n">
        <v>4</v>
      </c>
      <c r="H852" s="0" t="n">
        <v>0</v>
      </c>
      <c r="I852" s="51" t="s">
        <v>3340</v>
      </c>
      <c r="J852" s="49" t="s">
        <v>3324</v>
      </c>
      <c r="K852" s="52" t="n">
        <v>47805</v>
      </c>
      <c r="M852" s="51" t="s">
        <v>3308</v>
      </c>
      <c r="N852" s="49" t="n">
        <v>4</v>
      </c>
      <c r="O852" s="53" t="n">
        <v>46054.4019907407</v>
      </c>
      <c r="P852" s="53" t="n">
        <v>46054.4506018519</v>
      </c>
      <c r="Q852" s="53" t="n">
        <v>46054.4019907407</v>
      </c>
      <c r="R852" s="0" t="n">
        <v>0</v>
      </c>
      <c r="S852" s="51" t="s">
        <v>3129</v>
      </c>
      <c r="T852" s="51" t="s">
        <v>3129</v>
      </c>
      <c r="U852" s="51" t="s">
        <v>2500</v>
      </c>
      <c r="V852" s="51" t="s">
        <v>2142</v>
      </c>
      <c r="W852" s="51"/>
      <c r="X852" s="51"/>
    </row>
    <row r="853" customFormat="false" ht="14.25" hidden="true" customHeight="false" outlineLevel="0" collapsed="false">
      <c r="A853" s="49" t="s">
        <v>2251</v>
      </c>
      <c r="B853" s="49" t="s">
        <v>14</v>
      </c>
      <c r="C853" s="49" t="s">
        <v>366</v>
      </c>
      <c r="D853" s="49" t="s">
        <v>2441</v>
      </c>
      <c r="E853" s="49" t="s">
        <v>2500</v>
      </c>
      <c r="F853" s="49" t="s">
        <v>16</v>
      </c>
      <c r="G853" s="49" t="n">
        <v>4</v>
      </c>
      <c r="H853" s="0" t="n">
        <v>0</v>
      </c>
      <c r="I853" s="51" t="s">
        <v>3342</v>
      </c>
      <c r="J853" s="49" t="s">
        <v>3324</v>
      </c>
      <c r="K853" s="52" t="n">
        <v>47805</v>
      </c>
      <c r="M853" s="51" t="s">
        <v>3325</v>
      </c>
      <c r="N853" s="49" t="n">
        <v>4</v>
      </c>
      <c r="O853" s="53" t="n">
        <v>46053.4481018519</v>
      </c>
      <c r="P853" s="53" t="n">
        <v>46056.7125115741</v>
      </c>
      <c r="Q853" s="53" t="n">
        <v>46053.4481018519</v>
      </c>
      <c r="R853" s="0" t="n">
        <v>0</v>
      </c>
      <c r="S853" s="51" t="s">
        <v>3129</v>
      </c>
      <c r="T853" s="51" t="s">
        <v>3129</v>
      </c>
      <c r="U853" s="51" t="s">
        <v>2500</v>
      </c>
      <c r="V853" s="51" t="s">
        <v>2142</v>
      </c>
      <c r="W853" s="51"/>
      <c r="X853" s="51"/>
    </row>
    <row r="854" customFormat="false" ht="14.25" hidden="true" customHeight="false" outlineLevel="0" collapsed="false">
      <c r="A854" s="49" t="s">
        <v>2251</v>
      </c>
      <c r="B854" s="49" t="s">
        <v>14</v>
      </c>
      <c r="C854" s="49" t="s">
        <v>365</v>
      </c>
      <c r="D854" s="49" t="s">
        <v>2441</v>
      </c>
      <c r="E854" s="49" t="s">
        <v>2500</v>
      </c>
      <c r="F854" s="49" t="s">
        <v>16</v>
      </c>
      <c r="G854" s="49" t="n">
        <v>4</v>
      </c>
      <c r="H854" s="0" t="n">
        <v>0</v>
      </c>
      <c r="I854" s="51" t="s">
        <v>3342</v>
      </c>
      <c r="J854" s="49" t="s">
        <v>3324</v>
      </c>
      <c r="K854" s="52" t="n">
        <v>47805</v>
      </c>
      <c r="M854" s="51" t="s">
        <v>3325</v>
      </c>
      <c r="N854" s="49" t="n">
        <v>4</v>
      </c>
      <c r="O854" s="53" t="n">
        <v>46053.4484143519</v>
      </c>
      <c r="P854" s="53" t="n">
        <v>46056.7122453704</v>
      </c>
      <c r="Q854" s="53" t="n">
        <v>46053.4484143519</v>
      </c>
      <c r="R854" s="0" t="n">
        <v>0</v>
      </c>
      <c r="S854" s="51" t="s">
        <v>3129</v>
      </c>
      <c r="T854" s="51" t="s">
        <v>3129</v>
      </c>
      <c r="U854" s="51" t="s">
        <v>2500</v>
      </c>
      <c r="V854" s="51" t="s">
        <v>2142</v>
      </c>
      <c r="W854" s="51"/>
      <c r="X854" s="51"/>
    </row>
    <row r="855" customFormat="false" ht="14.25" hidden="true" customHeight="false" outlineLevel="0" collapsed="false">
      <c r="A855" s="49" t="s">
        <v>2251</v>
      </c>
      <c r="B855" s="49" t="s">
        <v>14</v>
      </c>
      <c r="C855" s="49" t="s">
        <v>364</v>
      </c>
      <c r="D855" s="49" t="s">
        <v>2441</v>
      </c>
      <c r="E855" s="49" t="s">
        <v>2500</v>
      </c>
      <c r="F855" s="49" t="s">
        <v>16</v>
      </c>
      <c r="G855" s="49" t="n">
        <v>4</v>
      </c>
      <c r="H855" s="0" t="n">
        <v>0</v>
      </c>
      <c r="I855" s="51" t="s">
        <v>3342</v>
      </c>
      <c r="J855" s="49" t="s">
        <v>3324</v>
      </c>
      <c r="K855" s="52" t="n">
        <v>47805</v>
      </c>
      <c r="M855" s="51" t="s">
        <v>3325</v>
      </c>
      <c r="N855" s="49" t="n">
        <v>4</v>
      </c>
      <c r="O855" s="53" t="n">
        <v>46053.449212963</v>
      </c>
      <c r="P855" s="53" t="n">
        <v>46056.712037037</v>
      </c>
      <c r="Q855" s="53" t="n">
        <v>46053.449212963</v>
      </c>
      <c r="R855" s="0" t="n">
        <v>0</v>
      </c>
      <c r="S855" s="51" t="s">
        <v>3129</v>
      </c>
      <c r="T855" s="51" t="s">
        <v>3129</v>
      </c>
      <c r="U855" s="51" t="s">
        <v>2500</v>
      </c>
      <c r="V855" s="51" t="s">
        <v>2142</v>
      </c>
      <c r="W855" s="51"/>
      <c r="X855" s="51"/>
    </row>
    <row r="856" customFormat="false" ht="14.25" hidden="true" customHeight="false" outlineLevel="0" collapsed="false">
      <c r="A856" s="49" t="s">
        <v>2251</v>
      </c>
      <c r="B856" s="49" t="s">
        <v>14</v>
      </c>
      <c r="C856" s="49" t="s">
        <v>363</v>
      </c>
      <c r="D856" s="49" t="s">
        <v>2441</v>
      </c>
      <c r="E856" s="49" t="s">
        <v>2500</v>
      </c>
      <c r="F856" s="49" t="s">
        <v>16</v>
      </c>
      <c r="G856" s="49" t="n">
        <v>4</v>
      </c>
      <c r="H856" s="0" t="n">
        <v>0</v>
      </c>
      <c r="I856" s="51" t="s">
        <v>3342</v>
      </c>
      <c r="J856" s="49" t="s">
        <v>3324</v>
      </c>
      <c r="K856" s="52" t="n">
        <v>47805</v>
      </c>
      <c r="M856" s="51" t="s">
        <v>3325</v>
      </c>
      <c r="N856" s="49" t="n">
        <v>4</v>
      </c>
      <c r="O856" s="53" t="n">
        <v>46053.4495138889</v>
      </c>
      <c r="P856" s="53" t="n">
        <v>46056.7113541667</v>
      </c>
      <c r="Q856" s="53" t="n">
        <v>46053.4495138889</v>
      </c>
      <c r="R856" s="0" t="n">
        <v>0</v>
      </c>
      <c r="S856" s="51" t="s">
        <v>3129</v>
      </c>
      <c r="T856" s="51" t="s">
        <v>3129</v>
      </c>
      <c r="U856" s="51" t="s">
        <v>2500</v>
      </c>
      <c r="V856" s="51" t="s">
        <v>2142</v>
      </c>
      <c r="W856" s="51"/>
      <c r="X856" s="51"/>
    </row>
    <row r="857" customFormat="false" ht="14.25" hidden="true" customHeight="false" outlineLevel="0" collapsed="false">
      <c r="A857" s="49" t="s">
        <v>2251</v>
      </c>
      <c r="B857" s="49" t="s">
        <v>14</v>
      </c>
      <c r="C857" s="49" t="s">
        <v>362</v>
      </c>
      <c r="D857" s="49" t="s">
        <v>2441</v>
      </c>
      <c r="E857" s="49" t="s">
        <v>2500</v>
      </c>
      <c r="F857" s="49" t="s">
        <v>16</v>
      </c>
      <c r="G857" s="49" t="n">
        <v>4</v>
      </c>
      <c r="H857" s="0" t="n">
        <v>0</v>
      </c>
      <c r="I857" s="51" t="s">
        <v>3342</v>
      </c>
      <c r="J857" s="49" t="s">
        <v>3324</v>
      </c>
      <c r="K857" s="52" t="n">
        <v>47805</v>
      </c>
      <c r="M857" s="51" t="s">
        <v>3325</v>
      </c>
      <c r="N857" s="49" t="n">
        <v>4</v>
      </c>
      <c r="O857" s="53" t="n">
        <v>46053.4498148148</v>
      </c>
      <c r="P857" s="53" t="n">
        <v>46056.7112615741</v>
      </c>
      <c r="Q857" s="53" t="n">
        <v>46053.4498148148</v>
      </c>
      <c r="R857" s="0" t="n">
        <v>0</v>
      </c>
      <c r="S857" s="51" t="s">
        <v>3129</v>
      </c>
      <c r="T857" s="51" t="s">
        <v>3129</v>
      </c>
      <c r="U857" s="51" t="s">
        <v>2500</v>
      </c>
      <c r="V857" s="51" t="s">
        <v>2142</v>
      </c>
      <c r="W857" s="51"/>
      <c r="X857" s="51"/>
    </row>
    <row r="858" customFormat="false" ht="14.25" hidden="true" customHeight="false" outlineLevel="0" collapsed="false">
      <c r="A858" s="49" t="s">
        <v>2251</v>
      </c>
      <c r="B858" s="49" t="s">
        <v>14</v>
      </c>
      <c r="C858" s="49" t="s">
        <v>361</v>
      </c>
      <c r="D858" s="49" t="s">
        <v>2441</v>
      </c>
      <c r="E858" s="49" t="s">
        <v>2500</v>
      </c>
      <c r="F858" s="49" t="s">
        <v>16</v>
      </c>
      <c r="G858" s="49" t="n">
        <v>4</v>
      </c>
      <c r="H858" s="0" t="n">
        <v>0</v>
      </c>
      <c r="I858" s="51" t="s">
        <v>3343</v>
      </c>
      <c r="J858" s="49" t="s">
        <v>3324</v>
      </c>
      <c r="K858" s="52" t="n">
        <v>47805</v>
      </c>
      <c r="M858" s="51" t="s">
        <v>3325</v>
      </c>
      <c r="N858" s="49" t="n">
        <v>4</v>
      </c>
      <c r="O858" s="53" t="n">
        <v>46053.4502662037</v>
      </c>
      <c r="P858" s="53" t="n">
        <v>46056.7248958333</v>
      </c>
      <c r="Q858" s="53" t="n">
        <v>46053.4502662037</v>
      </c>
      <c r="R858" s="0" t="n">
        <v>0</v>
      </c>
      <c r="S858" s="51" t="s">
        <v>3129</v>
      </c>
      <c r="T858" s="51" t="s">
        <v>3129</v>
      </c>
      <c r="U858" s="51" t="s">
        <v>2500</v>
      </c>
      <c r="V858" s="51" t="s">
        <v>2142</v>
      </c>
      <c r="W858" s="51"/>
      <c r="X858" s="51"/>
    </row>
    <row r="859" customFormat="false" ht="14.25" hidden="true" customHeight="false" outlineLevel="0" collapsed="false">
      <c r="A859" s="49" t="s">
        <v>2251</v>
      </c>
      <c r="B859" s="49" t="s">
        <v>14</v>
      </c>
      <c r="C859" s="49" t="s">
        <v>360</v>
      </c>
      <c r="D859" s="49" t="s">
        <v>2441</v>
      </c>
      <c r="E859" s="49" t="s">
        <v>2500</v>
      </c>
      <c r="F859" s="49" t="s">
        <v>16</v>
      </c>
      <c r="G859" s="49" t="n">
        <v>4</v>
      </c>
      <c r="H859" s="0" t="n">
        <v>0</v>
      </c>
      <c r="I859" s="51" t="s">
        <v>3343</v>
      </c>
      <c r="J859" s="49" t="s">
        <v>3324</v>
      </c>
      <c r="K859" s="52" t="n">
        <v>47805</v>
      </c>
      <c r="M859" s="51" t="s">
        <v>3325</v>
      </c>
      <c r="N859" s="49" t="n">
        <v>4</v>
      </c>
      <c r="O859" s="53" t="n">
        <v>46053.4506018519</v>
      </c>
      <c r="P859" s="53" t="n">
        <v>46056.7251851852</v>
      </c>
      <c r="Q859" s="53" t="n">
        <v>46053.4506018519</v>
      </c>
      <c r="R859" s="0" t="n">
        <v>0</v>
      </c>
      <c r="S859" s="51" t="s">
        <v>3129</v>
      </c>
      <c r="T859" s="51" t="s">
        <v>3129</v>
      </c>
      <c r="U859" s="51" t="s">
        <v>2500</v>
      </c>
      <c r="V859" s="51" t="s">
        <v>2142</v>
      </c>
      <c r="W859" s="51"/>
      <c r="X859" s="51"/>
    </row>
    <row r="860" customFormat="false" ht="14.25" hidden="true" customHeight="false" outlineLevel="0" collapsed="false">
      <c r="A860" s="49" t="s">
        <v>2251</v>
      </c>
      <c r="B860" s="49" t="s">
        <v>14</v>
      </c>
      <c r="C860" s="49" t="s">
        <v>359</v>
      </c>
      <c r="D860" s="49" t="s">
        <v>2441</v>
      </c>
      <c r="E860" s="49" t="s">
        <v>2500</v>
      </c>
      <c r="F860" s="49" t="s">
        <v>16</v>
      </c>
      <c r="G860" s="49" t="n">
        <v>4</v>
      </c>
      <c r="H860" s="0" t="n">
        <v>0</v>
      </c>
      <c r="I860" s="51" t="s">
        <v>3343</v>
      </c>
      <c r="J860" s="49" t="s">
        <v>3324</v>
      </c>
      <c r="K860" s="52" t="n">
        <v>47805</v>
      </c>
      <c r="M860" s="51" t="s">
        <v>3325</v>
      </c>
      <c r="N860" s="49" t="n">
        <v>4</v>
      </c>
      <c r="O860" s="53" t="n">
        <v>46053.452025463</v>
      </c>
      <c r="P860" s="53" t="n">
        <v>46056.7297916667</v>
      </c>
      <c r="Q860" s="53" t="n">
        <v>46053.452025463</v>
      </c>
      <c r="R860" s="0" t="n">
        <v>0</v>
      </c>
      <c r="S860" s="51" t="s">
        <v>3129</v>
      </c>
      <c r="T860" s="51" t="s">
        <v>3129</v>
      </c>
      <c r="U860" s="51" t="s">
        <v>2500</v>
      </c>
      <c r="V860" s="51" t="s">
        <v>2142</v>
      </c>
      <c r="W860" s="51"/>
      <c r="X860" s="51"/>
    </row>
    <row r="861" customFormat="false" ht="14.25" hidden="true" customHeight="false" outlineLevel="0" collapsed="false">
      <c r="A861" s="49" t="s">
        <v>2251</v>
      </c>
      <c r="B861" s="49" t="s">
        <v>14</v>
      </c>
      <c r="C861" s="49" t="s">
        <v>358</v>
      </c>
      <c r="D861" s="49" t="s">
        <v>2441</v>
      </c>
      <c r="E861" s="49" t="s">
        <v>2500</v>
      </c>
      <c r="F861" s="49" t="s">
        <v>16</v>
      </c>
      <c r="G861" s="49" t="n">
        <v>4</v>
      </c>
      <c r="H861" s="0" t="n">
        <v>0</v>
      </c>
      <c r="I861" s="51" t="s">
        <v>3343</v>
      </c>
      <c r="J861" s="49" t="s">
        <v>3324</v>
      </c>
      <c r="K861" s="52" t="n">
        <v>47805</v>
      </c>
      <c r="M861" s="51" t="s">
        <v>3325</v>
      </c>
      <c r="N861" s="49" t="n">
        <v>4</v>
      </c>
      <c r="O861" s="53" t="n">
        <v>46053.4522337963</v>
      </c>
      <c r="P861" s="53" t="n">
        <v>46056.7309375</v>
      </c>
      <c r="Q861" s="53" t="n">
        <v>46053.4522337963</v>
      </c>
      <c r="R861" s="0" t="n">
        <v>0</v>
      </c>
      <c r="S861" s="51" t="s">
        <v>3129</v>
      </c>
      <c r="T861" s="51" t="s">
        <v>3129</v>
      </c>
      <c r="U861" s="51" t="s">
        <v>2500</v>
      </c>
      <c r="V861" s="51" t="s">
        <v>2142</v>
      </c>
      <c r="W861" s="51"/>
      <c r="X861" s="51"/>
    </row>
    <row r="862" customFormat="false" ht="14.25" hidden="true" customHeight="false" outlineLevel="0" collapsed="false">
      <c r="A862" s="49" t="s">
        <v>2251</v>
      </c>
      <c r="B862" s="49" t="s">
        <v>14</v>
      </c>
      <c r="C862" s="49" t="s">
        <v>357</v>
      </c>
      <c r="D862" s="49" t="s">
        <v>2441</v>
      </c>
      <c r="E862" s="49" t="s">
        <v>2500</v>
      </c>
      <c r="F862" s="49" t="s">
        <v>16</v>
      </c>
      <c r="G862" s="49" t="n">
        <v>4</v>
      </c>
      <c r="H862" s="0" t="n">
        <v>0</v>
      </c>
      <c r="I862" s="51" t="s">
        <v>3343</v>
      </c>
      <c r="J862" s="49" t="s">
        <v>3324</v>
      </c>
      <c r="K862" s="52" t="n">
        <v>47805</v>
      </c>
      <c r="M862" s="51" t="s">
        <v>3325</v>
      </c>
      <c r="N862" s="49" t="n">
        <v>4</v>
      </c>
      <c r="O862" s="53" t="n">
        <v>46053.4524884259</v>
      </c>
      <c r="P862" s="53" t="n">
        <v>46056.7313657407</v>
      </c>
      <c r="Q862" s="53" t="n">
        <v>46053.4524884259</v>
      </c>
      <c r="R862" s="0" t="n">
        <v>0</v>
      </c>
      <c r="S862" s="51" t="s">
        <v>3129</v>
      </c>
      <c r="T862" s="51" t="s">
        <v>3129</v>
      </c>
      <c r="U862" s="51" t="s">
        <v>2500</v>
      </c>
      <c r="V862" s="51" t="s">
        <v>2142</v>
      </c>
      <c r="W862" s="51"/>
      <c r="X862" s="51"/>
    </row>
    <row r="863" customFormat="false" ht="14.25" hidden="true" customHeight="false" outlineLevel="0" collapsed="false">
      <c r="A863" s="49" t="s">
        <v>2251</v>
      </c>
      <c r="B863" s="49" t="s">
        <v>14</v>
      </c>
      <c r="C863" s="49" t="s">
        <v>356</v>
      </c>
      <c r="D863" s="49" t="s">
        <v>2441</v>
      </c>
      <c r="E863" s="49" t="s">
        <v>2500</v>
      </c>
      <c r="F863" s="49" t="s">
        <v>16</v>
      </c>
      <c r="G863" s="49" t="n">
        <v>4</v>
      </c>
      <c r="H863" s="0" t="n">
        <v>0</v>
      </c>
      <c r="I863" s="51" t="s">
        <v>3344</v>
      </c>
      <c r="J863" s="49" t="s">
        <v>3324</v>
      </c>
      <c r="K863" s="52" t="n">
        <v>47805</v>
      </c>
      <c r="M863" s="51" t="s">
        <v>3325</v>
      </c>
      <c r="N863" s="49" t="n">
        <v>4</v>
      </c>
      <c r="O863" s="53" t="n">
        <v>46053.4527893519</v>
      </c>
      <c r="P863" s="53" t="n">
        <v>46056.7134722222</v>
      </c>
      <c r="Q863" s="53" t="n">
        <v>46053.4527893519</v>
      </c>
      <c r="R863" s="0" t="n">
        <v>0</v>
      </c>
      <c r="S863" s="51" t="s">
        <v>3129</v>
      </c>
      <c r="T863" s="51" t="s">
        <v>3129</v>
      </c>
      <c r="U863" s="51" t="s">
        <v>2500</v>
      </c>
      <c r="V863" s="51" t="s">
        <v>2142</v>
      </c>
      <c r="W863" s="51"/>
      <c r="X863" s="51"/>
    </row>
    <row r="864" customFormat="false" ht="14.25" hidden="true" customHeight="false" outlineLevel="0" collapsed="false">
      <c r="A864" s="49" t="s">
        <v>2251</v>
      </c>
      <c r="B864" s="49" t="s">
        <v>14</v>
      </c>
      <c r="C864" s="49" t="s">
        <v>355</v>
      </c>
      <c r="D864" s="49" t="s">
        <v>2441</v>
      </c>
      <c r="E864" s="49" t="s">
        <v>2500</v>
      </c>
      <c r="F864" s="49" t="s">
        <v>16</v>
      </c>
      <c r="G864" s="49" t="n">
        <v>4</v>
      </c>
      <c r="H864" s="0" t="n">
        <v>0</v>
      </c>
      <c r="I864" s="51" t="s">
        <v>3344</v>
      </c>
      <c r="J864" s="49" t="s">
        <v>3324</v>
      </c>
      <c r="K864" s="52" t="n">
        <v>47805</v>
      </c>
      <c r="M864" s="51" t="s">
        <v>3325</v>
      </c>
      <c r="N864" s="49" t="n">
        <v>4</v>
      </c>
      <c r="O864" s="53" t="n">
        <v>46053.4531481481</v>
      </c>
      <c r="P864" s="53" t="n">
        <v>46056.7142592593</v>
      </c>
      <c r="Q864" s="53" t="n">
        <v>46053.4531481481</v>
      </c>
      <c r="R864" s="0" t="n">
        <v>0</v>
      </c>
      <c r="S864" s="51" t="s">
        <v>3129</v>
      </c>
      <c r="T864" s="51" t="s">
        <v>3129</v>
      </c>
      <c r="U864" s="51" t="s">
        <v>2500</v>
      </c>
      <c r="V864" s="51" t="s">
        <v>2142</v>
      </c>
      <c r="W864" s="51"/>
      <c r="X864" s="51"/>
    </row>
    <row r="865" customFormat="false" ht="14.25" hidden="true" customHeight="false" outlineLevel="0" collapsed="false">
      <c r="A865" s="49" t="s">
        <v>2251</v>
      </c>
      <c r="B865" s="49" t="s">
        <v>14</v>
      </c>
      <c r="C865" s="49" t="s">
        <v>354</v>
      </c>
      <c r="D865" s="49" t="s">
        <v>2441</v>
      </c>
      <c r="E865" s="49" t="s">
        <v>2500</v>
      </c>
      <c r="F865" s="49" t="s">
        <v>16</v>
      </c>
      <c r="G865" s="49" t="n">
        <v>4</v>
      </c>
      <c r="H865" s="0" t="n">
        <v>0</v>
      </c>
      <c r="I865" s="51" t="s">
        <v>3344</v>
      </c>
      <c r="J865" s="49" t="s">
        <v>3324</v>
      </c>
      <c r="K865" s="52" t="n">
        <v>47805</v>
      </c>
      <c r="M865" s="51" t="s">
        <v>3325</v>
      </c>
      <c r="N865" s="49" t="n">
        <v>4</v>
      </c>
      <c r="O865" s="53" t="n">
        <v>46053.4539351852</v>
      </c>
      <c r="P865" s="53" t="n">
        <v>46056.7131828704</v>
      </c>
      <c r="Q865" s="53" t="n">
        <v>46053.4539351852</v>
      </c>
      <c r="R865" s="0" t="n">
        <v>0</v>
      </c>
      <c r="S865" s="51" t="s">
        <v>3129</v>
      </c>
      <c r="T865" s="51" t="s">
        <v>3129</v>
      </c>
      <c r="U865" s="51" t="s">
        <v>2500</v>
      </c>
      <c r="V865" s="51" t="s">
        <v>2142</v>
      </c>
      <c r="W865" s="51"/>
      <c r="X865" s="51"/>
    </row>
    <row r="866" customFormat="false" ht="14.25" hidden="true" customHeight="false" outlineLevel="0" collapsed="false">
      <c r="A866" s="49" t="s">
        <v>2251</v>
      </c>
      <c r="B866" s="49" t="s">
        <v>14</v>
      </c>
      <c r="C866" s="49" t="s">
        <v>353</v>
      </c>
      <c r="D866" s="49" t="s">
        <v>2441</v>
      </c>
      <c r="E866" s="49" t="s">
        <v>2500</v>
      </c>
      <c r="F866" s="49" t="s">
        <v>16</v>
      </c>
      <c r="G866" s="49" t="n">
        <v>4</v>
      </c>
      <c r="H866" s="0" t="n">
        <v>0</v>
      </c>
      <c r="I866" s="51" t="s">
        <v>3344</v>
      </c>
      <c r="J866" s="49" t="s">
        <v>3324</v>
      </c>
      <c r="K866" s="52" t="n">
        <v>47805</v>
      </c>
      <c r="M866" s="51" t="s">
        <v>3325</v>
      </c>
      <c r="N866" s="49" t="n">
        <v>4</v>
      </c>
      <c r="O866" s="53" t="n">
        <v>46053.4542939815</v>
      </c>
      <c r="P866" s="53" t="n">
        <v>46056.7141087963</v>
      </c>
      <c r="Q866" s="53" t="n">
        <v>46053.4542939815</v>
      </c>
      <c r="R866" s="0" t="n">
        <v>0</v>
      </c>
      <c r="S866" s="51" t="s">
        <v>3129</v>
      </c>
      <c r="T866" s="51" t="s">
        <v>3129</v>
      </c>
      <c r="U866" s="51" t="s">
        <v>2500</v>
      </c>
      <c r="V866" s="51" t="s">
        <v>2142</v>
      </c>
      <c r="W866" s="51"/>
      <c r="X866" s="51"/>
    </row>
    <row r="867" customFormat="false" ht="14.25" hidden="true" customHeight="false" outlineLevel="0" collapsed="false">
      <c r="A867" s="49" t="s">
        <v>2251</v>
      </c>
      <c r="B867" s="49" t="s">
        <v>14</v>
      </c>
      <c r="C867" s="49" t="s">
        <v>352</v>
      </c>
      <c r="D867" s="49" t="s">
        <v>2441</v>
      </c>
      <c r="E867" s="49" t="s">
        <v>2500</v>
      </c>
      <c r="F867" s="49" t="s">
        <v>16</v>
      </c>
      <c r="G867" s="49" t="n">
        <v>4</v>
      </c>
      <c r="H867" s="0" t="n">
        <v>0</v>
      </c>
      <c r="I867" s="51" t="s">
        <v>3344</v>
      </c>
      <c r="J867" s="49" t="s">
        <v>3324</v>
      </c>
      <c r="K867" s="52" t="n">
        <v>47805</v>
      </c>
      <c r="M867" s="51" t="s">
        <v>3325</v>
      </c>
      <c r="N867" s="49" t="n">
        <v>4</v>
      </c>
      <c r="O867" s="53" t="n">
        <v>46053.4550694445</v>
      </c>
      <c r="P867" s="53" t="n">
        <v>46056.7138425926</v>
      </c>
      <c r="Q867" s="53" t="n">
        <v>46053.4550694445</v>
      </c>
      <c r="R867" s="0" t="n">
        <v>0</v>
      </c>
      <c r="S867" s="51" t="s">
        <v>3129</v>
      </c>
      <c r="T867" s="51" t="s">
        <v>3129</v>
      </c>
      <c r="U867" s="51" t="s">
        <v>2500</v>
      </c>
      <c r="V867" s="51" t="s">
        <v>2142</v>
      </c>
      <c r="W867" s="51"/>
      <c r="X867" s="51"/>
    </row>
    <row r="868" customFormat="false" ht="14.25" hidden="true" customHeight="false" outlineLevel="0" collapsed="false">
      <c r="A868" s="49" t="s">
        <v>2251</v>
      </c>
      <c r="B868" s="49" t="s">
        <v>14</v>
      </c>
      <c r="C868" s="49" t="s">
        <v>374</v>
      </c>
      <c r="D868" s="49" t="s">
        <v>2441</v>
      </c>
      <c r="E868" s="49" t="s">
        <v>2500</v>
      </c>
      <c r="F868" s="49" t="s">
        <v>16</v>
      </c>
      <c r="G868" s="49" t="n">
        <v>4</v>
      </c>
      <c r="H868" s="0" t="n">
        <v>0</v>
      </c>
      <c r="I868" s="51" t="s">
        <v>3345</v>
      </c>
      <c r="J868" s="49" t="s">
        <v>3324</v>
      </c>
      <c r="K868" s="52" t="n">
        <v>47805</v>
      </c>
      <c r="M868" s="51" t="s">
        <v>3325</v>
      </c>
      <c r="N868" s="49" t="n">
        <v>4</v>
      </c>
      <c r="O868" s="53" t="n">
        <v>46053.444224537</v>
      </c>
      <c r="P868" s="53" t="n">
        <v>46056.7686805556</v>
      </c>
      <c r="Q868" s="53" t="n">
        <v>46053.444224537</v>
      </c>
      <c r="R868" s="0" t="n">
        <v>0</v>
      </c>
      <c r="S868" s="51" t="s">
        <v>3129</v>
      </c>
      <c r="T868" s="51" t="s">
        <v>3129</v>
      </c>
      <c r="U868" s="51" t="s">
        <v>2500</v>
      </c>
      <c r="V868" s="51" t="s">
        <v>2142</v>
      </c>
      <c r="W868" s="51"/>
      <c r="X868" s="51"/>
    </row>
    <row r="869" customFormat="false" ht="14.25" hidden="true" customHeight="false" outlineLevel="0" collapsed="false">
      <c r="A869" s="49" t="s">
        <v>2251</v>
      </c>
      <c r="B869" s="49" t="s">
        <v>14</v>
      </c>
      <c r="C869" s="49" t="s">
        <v>373</v>
      </c>
      <c r="D869" s="49" t="s">
        <v>2441</v>
      </c>
      <c r="E869" s="49" t="s">
        <v>2500</v>
      </c>
      <c r="F869" s="49" t="s">
        <v>16</v>
      </c>
      <c r="G869" s="49" t="n">
        <v>4</v>
      </c>
      <c r="H869" s="0" t="n">
        <v>0</v>
      </c>
      <c r="I869" s="51" t="s">
        <v>3345</v>
      </c>
      <c r="J869" s="49" t="s">
        <v>3324</v>
      </c>
      <c r="K869" s="52" t="n">
        <v>47805</v>
      </c>
      <c r="M869" s="51" t="s">
        <v>3325</v>
      </c>
      <c r="N869" s="49" t="n">
        <v>4</v>
      </c>
      <c r="O869" s="53" t="n">
        <v>46053.4445601852</v>
      </c>
      <c r="P869" s="53" t="n">
        <v>46056.7695717593</v>
      </c>
      <c r="Q869" s="53" t="n">
        <v>46053.4445601852</v>
      </c>
      <c r="R869" s="0" t="n">
        <v>0</v>
      </c>
      <c r="S869" s="51" t="s">
        <v>3129</v>
      </c>
      <c r="T869" s="51" t="s">
        <v>3129</v>
      </c>
      <c r="U869" s="51" t="s">
        <v>2500</v>
      </c>
      <c r="V869" s="51" t="s">
        <v>2142</v>
      </c>
      <c r="W869" s="51"/>
      <c r="X869" s="51"/>
    </row>
    <row r="870" customFormat="false" ht="14.25" hidden="true" customHeight="false" outlineLevel="0" collapsed="false">
      <c r="A870" s="49" t="s">
        <v>2251</v>
      </c>
      <c r="B870" s="49" t="s">
        <v>14</v>
      </c>
      <c r="C870" s="49" t="s">
        <v>372</v>
      </c>
      <c r="D870" s="49" t="s">
        <v>2441</v>
      </c>
      <c r="E870" s="49" t="s">
        <v>2500</v>
      </c>
      <c r="F870" s="49" t="s">
        <v>16</v>
      </c>
      <c r="G870" s="49" t="n">
        <v>4</v>
      </c>
      <c r="H870" s="0" t="n">
        <v>0</v>
      </c>
      <c r="I870" s="51" t="s">
        <v>3345</v>
      </c>
      <c r="J870" s="49" t="s">
        <v>3324</v>
      </c>
      <c r="K870" s="52" t="n">
        <v>47805</v>
      </c>
      <c r="M870" s="51" t="s">
        <v>3325</v>
      </c>
      <c r="N870" s="49" t="n">
        <v>4</v>
      </c>
      <c r="O870" s="53" t="n">
        <v>46053.4448842593</v>
      </c>
      <c r="P870" s="53" t="n">
        <v>46056.7719444444</v>
      </c>
      <c r="Q870" s="53" t="n">
        <v>46053.4448842593</v>
      </c>
      <c r="R870" s="0" t="n">
        <v>0</v>
      </c>
      <c r="S870" s="51" t="s">
        <v>3129</v>
      </c>
      <c r="T870" s="51" t="s">
        <v>3129</v>
      </c>
      <c r="U870" s="51" t="s">
        <v>2500</v>
      </c>
      <c r="V870" s="51" t="s">
        <v>2142</v>
      </c>
      <c r="W870" s="51"/>
      <c r="X870" s="51"/>
    </row>
    <row r="871" customFormat="false" ht="14.25" hidden="true" customHeight="false" outlineLevel="0" collapsed="false">
      <c r="A871" s="49" t="s">
        <v>2251</v>
      </c>
      <c r="B871" s="49" t="s">
        <v>14</v>
      </c>
      <c r="C871" s="49" t="s">
        <v>371</v>
      </c>
      <c r="D871" s="49" t="s">
        <v>2441</v>
      </c>
      <c r="E871" s="49" t="s">
        <v>2500</v>
      </c>
      <c r="F871" s="49" t="s">
        <v>16</v>
      </c>
      <c r="G871" s="49" t="n">
        <v>4</v>
      </c>
      <c r="H871" s="0" t="n">
        <v>0</v>
      </c>
      <c r="I871" s="51" t="s">
        <v>3346</v>
      </c>
      <c r="J871" s="49" t="s">
        <v>3324</v>
      </c>
      <c r="K871" s="52" t="n">
        <v>47805</v>
      </c>
      <c r="M871" s="51" t="s">
        <v>3325</v>
      </c>
      <c r="N871" s="49" t="n">
        <v>4</v>
      </c>
      <c r="O871" s="53" t="n">
        <v>46053.4452430556</v>
      </c>
      <c r="P871" s="53" t="n">
        <v>46056.7680324074</v>
      </c>
      <c r="Q871" s="0" t="n">
        <v>46053.4452430556</v>
      </c>
      <c r="R871" s="0" t="n">
        <v>0</v>
      </c>
      <c r="S871" s="51" t="s">
        <v>3129</v>
      </c>
      <c r="T871" s="51" t="s">
        <v>3129</v>
      </c>
      <c r="U871" s="51" t="s">
        <v>2500</v>
      </c>
      <c r="V871" s="51" t="s">
        <v>2142</v>
      </c>
    </row>
    <row r="872" customFormat="false" ht="14.25" hidden="true" customHeight="false" outlineLevel="0" collapsed="false">
      <c r="A872" s="49" t="s">
        <v>2251</v>
      </c>
      <c r="B872" s="49" t="s">
        <v>14</v>
      </c>
      <c r="C872" s="49" t="s">
        <v>370</v>
      </c>
      <c r="D872" s="49" t="s">
        <v>2441</v>
      </c>
      <c r="E872" s="49" t="s">
        <v>2500</v>
      </c>
      <c r="F872" s="49" t="s">
        <v>16</v>
      </c>
      <c r="G872" s="49" t="n">
        <v>4</v>
      </c>
      <c r="H872" s="0" t="n">
        <v>0</v>
      </c>
      <c r="I872" s="51" t="s">
        <v>3346</v>
      </c>
      <c r="J872" s="49" t="s">
        <v>3324</v>
      </c>
      <c r="K872" s="52" t="n">
        <v>47805</v>
      </c>
      <c r="M872" s="51" t="s">
        <v>3325</v>
      </c>
      <c r="N872" s="49" t="n">
        <v>4</v>
      </c>
      <c r="O872" s="53" t="n">
        <v>46053.4455671296</v>
      </c>
      <c r="P872" s="53" t="n">
        <v>46056.7682638889</v>
      </c>
      <c r="Q872" s="53" t="n">
        <v>46053.4455671296</v>
      </c>
      <c r="R872" s="0" t="n">
        <v>0</v>
      </c>
      <c r="S872" s="51" t="s">
        <v>3129</v>
      </c>
      <c r="T872" s="51" t="s">
        <v>3129</v>
      </c>
      <c r="U872" s="51" t="s">
        <v>2500</v>
      </c>
      <c r="V872" s="51" t="s">
        <v>2142</v>
      </c>
      <c r="X872" s="51"/>
    </row>
    <row r="873" customFormat="false" ht="14.25" hidden="true" customHeight="false" outlineLevel="0" collapsed="false">
      <c r="A873" s="49" t="s">
        <v>2251</v>
      </c>
      <c r="B873" s="49" t="s">
        <v>14</v>
      </c>
      <c r="C873" s="49" t="s">
        <v>367</v>
      </c>
      <c r="D873" s="49" t="s">
        <v>2441</v>
      </c>
      <c r="E873" s="49" t="s">
        <v>2500</v>
      </c>
      <c r="F873" s="49" t="s">
        <v>16</v>
      </c>
      <c r="G873" s="49" t="n">
        <v>4</v>
      </c>
      <c r="H873" s="0" t="n">
        <v>0</v>
      </c>
      <c r="I873" s="51" t="s">
        <v>3346</v>
      </c>
      <c r="J873" s="49" t="s">
        <v>3324</v>
      </c>
      <c r="K873" s="52" t="n">
        <v>47805</v>
      </c>
      <c r="M873" s="51" t="s">
        <v>3325</v>
      </c>
      <c r="N873" s="49" t="n">
        <v>4</v>
      </c>
      <c r="O873" s="53" t="n">
        <v>46053.4476851852</v>
      </c>
      <c r="P873" s="53" t="n">
        <v>46056.7693055556</v>
      </c>
      <c r="Q873" s="53" t="n">
        <v>46053.4476851852</v>
      </c>
      <c r="R873" s="0" t="n">
        <v>0</v>
      </c>
      <c r="S873" s="51" t="s">
        <v>3129</v>
      </c>
      <c r="T873" s="51" t="s">
        <v>3129</v>
      </c>
      <c r="U873" s="51" t="s">
        <v>2500</v>
      </c>
      <c r="V873" s="51" t="s">
        <v>2142</v>
      </c>
      <c r="W873" s="51"/>
      <c r="X873" s="51"/>
    </row>
    <row r="874" customFormat="false" ht="14.25" hidden="true" customHeight="false" outlineLevel="0" collapsed="false">
      <c r="A874" s="49" t="s">
        <v>2251</v>
      </c>
      <c r="B874" s="49" t="s">
        <v>14</v>
      </c>
      <c r="C874" s="49" t="s">
        <v>368</v>
      </c>
      <c r="D874" s="49" t="s">
        <v>2441</v>
      </c>
      <c r="E874" s="49" t="s">
        <v>2500</v>
      </c>
      <c r="F874" s="49" t="s">
        <v>16</v>
      </c>
      <c r="G874" s="49" t="n">
        <v>4</v>
      </c>
      <c r="H874" s="0" t="n">
        <v>0</v>
      </c>
      <c r="I874" s="51" t="s">
        <v>3346</v>
      </c>
      <c r="J874" s="49" t="s">
        <v>3324</v>
      </c>
      <c r="K874" s="52" t="n">
        <v>47805</v>
      </c>
      <c r="M874" s="51" t="s">
        <v>3325</v>
      </c>
      <c r="N874" s="49" t="n">
        <v>4</v>
      </c>
      <c r="O874" s="53" t="n">
        <v>46053.4473611111</v>
      </c>
      <c r="P874" s="53" t="n">
        <v>46056.7691087963</v>
      </c>
      <c r="Q874" s="53" t="n">
        <v>46053.4473611111</v>
      </c>
      <c r="R874" s="0" t="n">
        <v>0</v>
      </c>
      <c r="S874" s="51" t="s">
        <v>3129</v>
      </c>
      <c r="T874" s="51" t="s">
        <v>3129</v>
      </c>
      <c r="U874" s="51" t="s">
        <v>2500</v>
      </c>
      <c r="V874" s="51" t="s">
        <v>2142</v>
      </c>
      <c r="W874" s="51"/>
      <c r="X874" s="51"/>
    </row>
    <row r="875" customFormat="false" ht="14.25" hidden="true" customHeight="false" outlineLevel="0" collapsed="false">
      <c r="A875" s="49" t="s">
        <v>2251</v>
      </c>
      <c r="B875" s="49" t="s">
        <v>14</v>
      </c>
      <c r="C875" s="49" t="s">
        <v>369</v>
      </c>
      <c r="D875" s="49" t="s">
        <v>2441</v>
      </c>
      <c r="E875" s="49" t="s">
        <v>2500</v>
      </c>
      <c r="F875" s="49" t="s">
        <v>16</v>
      </c>
      <c r="G875" s="49" t="n">
        <v>4</v>
      </c>
      <c r="H875" s="0" t="n">
        <v>0</v>
      </c>
      <c r="I875" s="51" t="s">
        <v>3346</v>
      </c>
      <c r="J875" s="49" t="s">
        <v>3324</v>
      </c>
      <c r="K875" s="52" t="n">
        <v>47805</v>
      </c>
      <c r="M875" s="51" t="s">
        <v>3325</v>
      </c>
      <c r="N875" s="49" t="n">
        <v>4</v>
      </c>
      <c r="O875" s="53" t="n">
        <v>46053.446712963</v>
      </c>
      <c r="P875" s="53" t="n">
        <v>46058.3208912037</v>
      </c>
      <c r="Q875" s="53" t="n">
        <v>46053.446712963</v>
      </c>
      <c r="R875" s="0" t="n">
        <v>0</v>
      </c>
      <c r="S875" s="51" t="s">
        <v>3129</v>
      </c>
      <c r="T875" s="51" t="s">
        <v>3129</v>
      </c>
      <c r="U875" s="51" t="s">
        <v>2500</v>
      </c>
      <c r="V875" s="51" t="s">
        <v>2142</v>
      </c>
      <c r="W875" s="51" t="s">
        <v>3345</v>
      </c>
      <c r="X875" s="51"/>
    </row>
    <row r="876" customFormat="false" ht="14.25" hidden="true" customHeight="false" outlineLevel="0" collapsed="false">
      <c r="A876" s="49" t="s">
        <v>2251</v>
      </c>
      <c r="B876" s="49" t="s">
        <v>14</v>
      </c>
      <c r="C876" s="49" t="s">
        <v>375</v>
      </c>
      <c r="D876" s="49" t="s">
        <v>2441</v>
      </c>
      <c r="E876" s="49" t="s">
        <v>2500</v>
      </c>
      <c r="F876" s="49" t="s">
        <v>16</v>
      </c>
      <c r="G876" s="49" t="n">
        <v>4</v>
      </c>
      <c r="H876" s="0" t="n">
        <v>0</v>
      </c>
      <c r="I876" s="51" t="s">
        <v>3345</v>
      </c>
      <c r="J876" s="49" t="s">
        <v>3324</v>
      </c>
      <c r="K876" s="52" t="n">
        <v>47805</v>
      </c>
      <c r="M876" s="51" t="s">
        <v>3325</v>
      </c>
      <c r="N876" s="49" t="n">
        <v>4</v>
      </c>
      <c r="O876" s="53" t="n">
        <v>46053.443900463</v>
      </c>
      <c r="P876" s="53" t="n">
        <v>46056.7678587963</v>
      </c>
      <c r="Q876" s="53" t="n">
        <v>46053.443900463</v>
      </c>
      <c r="R876" s="0" t="n">
        <v>0</v>
      </c>
      <c r="S876" s="51" t="s">
        <v>3129</v>
      </c>
      <c r="T876" s="51" t="s">
        <v>3129</v>
      </c>
      <c r="U876" s="51" t="s">
        <v>2500</v>
      </c>
      <c r="V876" s="51" t="s">
        <v>2142</v>
      </c>
      <c r="W876" s="51"/>
      <c r="X876" s="51"/>
    </row>
    <row r="877" customFormat="false" ht="14.25" hidden="true" customHeight="false" outlineLevel="0" collapsed="false">
      <c r="A877" s="49" t="s">
        <v>2251</v>
      </c>
      <c r="B877" s="49" t="s">
        <v>14</v>
      </c>
      <c r="C877" s="49" t="s">
        <v>376</v>
      </c>
      <c r="D877" s="49" t="s">
        <v>2441</v>
      </c>
      <c r="E877" s="49" t="s">
        <v>2500</v>
      </c>
      <c r="F877" s="49" t="s">
        <v>16</v>
      </c>
      <c r="G877" s="49" t="n">
        <v>4</v>
      </c>
      <c r="H877" s="0" t="n">
        <v>0</v>
      </c>
      <c r="I877" s="51" t="s">
        <v>3345</v>
      </c>
      <c r="J877" s="49" t="s">
        <v>3324</v>
      </c>
      <c r="K877" s="52" t="n">
        <v>47805</v>
      </c>
      <c r="M877" s="51" t="s">
        <v>3325</v>
      </c>
      <c r="N877" s="49" t="n">
        <v>4</v>
      </c>
      <c r="O877" s="53" t="n">
        <v>46053.4430092593</v>
      </c>
      <c r="P877" s="53" t="n">
        <v>46056.767650463</v>
      </c>
      <c r="Q877" s="53" t="n">
        <v>46053.4430092593</v>
      </c>
      <c r="R877" s="0" t="n">
        <v>0</v>
      </c>
      <c r="S877" s="51" t="s">
        <v>3129</v>
      </c>
      <c r="T877" s="51" t="s">
        <v>3129</v>
      </c>
      <c r="U877" s="51" t="s">
        <v>2500</v>
      </c>
      <c r="V877" s="51" t="s">
        <v>2142</v>
      </c>
      <c r="W877" s="51"/>
      <c r="X877" s="51"/>
    </row>
    <row r="878" customFormat="false" ht="14.25" hidden="true" customHeight="false" outlineLevel="0" collapsed="false">
      <c r="A878" s="49" t="s">
        <v>2251</v>
      </c>
      <c r="B878" s="49" t="s">
        <v>14</v>
      </c>
      <c r="C878" s="49" t="s">
        <v>377</v>
      </c>
      <c r="D878" s="49" t="s">
        <v>2441</v>
      </c>
      <c r="E878" s="49" t="s">
        <v>2500</v>
      </c>
      <c r="F878" s="49" t="s">
        <v>16</v>
      </c>
      <c r="G878" s="49" t="n">
        <v>4</v>
      </c>
      <c r="H878" s="0" t="n">
        <v>0</v>
      </c>
      <c r="I878" s="51" t="s">
        <v>3323</v>
      </c>
      <c r="J878" s="49" t="s">
        <v>3324</v>
      </c>
      <c r="K878" s="52" t="n">
        <v>47805</v>
      </c>
      <c r="M878" s="51" t="s">
        <v>3325</v>
      </c>
      <c r="N878" s="49" t="n">
        <v>4</v>
      </c>
      <c r="O878" s="53" t="n">
        <v>46053.4424768519</v>
      </c>
      <c r="P878" s="53" t="n">
        <v>46056.7721759259</v>
      </c>
      <c r="Q878" s="53" t="n">
        <v>46053.4424768519</v>
      </c>
      <c r="R878" s="0" t="n">
        <v>0</v>
      </c>
      <c r="S878" s="51" t="s">
        <v>3129</v>
      </c>
      <c r="T878" s="51" t="s">
        <v>3129</v>
      </c>
      <c r="U878" s="51" t="s">
        <v>2500</v>
      </c>
      <c r="V878" s="51" t="s">
        <v>2142</v>
      </c>
      <c r="W878" s="51"/>
      <c r="X878" s="51"/>
    </row>
    <row r="879" customFormat="false" ht="14.25" hidden="true" customHeight="false" outlineLevel="0" collapsed="false">
      <c r="A879" s="49" t="s">
        <v>2251</v>
      </c>
      <c r="B879" s="49" t="s">
        <v>14</v>
      </c>
      <c r="C879" s="49" t="s">
        <v>378</v>
      </c>
      <c r="D879" s="49" t="s">
        <v>2441</v>
      </c>
      <c r="E879" s="49" t="s">
        <v>2500</v>
      </c>
      <c r="F879" s="49" t="s">
        <v>16</v>
      </c>
      <c r="G879" s="49" t="n">
        <v>4</v>
      </c>
      <c r="H879" s="0" t="n">
        <v>0</v>
      </c>
      <c r="I879" s="51" t="s">
        <v>3323</v>
      </c>
      <c r="J879" s="49" t="s">
        <v>3324</v>
      </c>
      <c r="K879" s="52" t="n">
        <v>47805</v>
      </c>
      <c r="M879" s="51" t="s">
        <v>3325</v>
      </c>
      <c r="N879" s="49" t="n">
        <v>4</v>
      </c>
      <c r="O879" s="53" t="n">
        <v>46053.4419907407</v>
      </c>
      <c r="P879" s="53" t="n">
        <v>46056.7665856482</v>
      </c>
      <c r="Q879" s="53" t="n">
        <v>46053.4419907407</v>
      </c>
      <c r="R879" s="0" t="n">
        <v>0</v>
      </c>
      <c r="S879" s="51" t="s">
        <v>3129</v>
      </c>
      <c r="T879" s="51" t="s">
        <v>3129</v>
      </c>
      <c r="U879" s="51" t="s">
        <v>2500</v>
      </c>
      <c r="V879" s="51" t="s">
        <v>2142</v>
      </c>
      <c r="W879" s="51"/>
      <c r="X879" s="51"/>
    </row>
    <row r="880" customFormat="false" ht="14.25" hidden="true" customHeight="false" outlineLevel="0" collapsed="false">
      <c r="A880" s="49" t="s">
        <v>2251</v>
      </c>
      <c r="B880" s="49" t="s">
        <v>14</v>
      </c>
      <c r="C880" s="49" t="s">
        <v>379</v>
      </c>
      <c r="D880" s="49" t="s">
        <v>2441</v>
      </c>
      <c r="E880" s="49" t="s">
        <v>2500</v>
      </c>
      <c r="F880" s="49" t="s">
        <v>16</v>
      </c>
      <c r="G880" s="49" t="n">
        <v>4</v>
      </c>
      <c r="H880" s="0" t="n">
        <v>0</v>
      </c>
      <c r="I880" s="51" t="s">
        <v>3323</v>
      </c>
      <c r="J880" s="49" t="s">
        <v>3324</v>
      </c>
      <c r="K880" s="52" t="n">
        <v>47805</v>
      </c>
      <c r="M880" s="51" t="s">
        <v>3325</v>
      </c>
      <c r="N880" s="49" t="n">
        <v>4</v>
      </c>
      <c r="O880" s="53" t="n">
        <v>46053.4415277778</v>
      </c>
      <c r="P880" s="53" t="n">
        <v>46056.7667013889</v>
      </c>
      <c r="Q880" s="53" t="n">
        <v>46053.4415277778</v>
      </c>
      <c r="R880" s="0" t="n">
        <v>0</v>
      </c>
      <c r="S880" s="51" t="s">
        <v>3129</v>
      </c>
      <c r="T880" s="51" t="s">
        <v>3129</v>
      </c>
      <c r="U880" s="51" t="s">
        <v>2500</v>
      </c>
      <c r="V880" s="51" t="s">
        <v>2142</v>
      </c>
      <c r="W880" s="51"/>
      <c r="X880" s="51"/>
    </row>
    <row r="881" customFormat="false" ht="14.25" hidden="true" customHeight="false" outlineLevel="0" collapsed="false">
      <c r="A881" s="49" t="s">
        <v>2251</v>
      </c>
      <c r="B881" s="49" t="s">
        <v>14</v>
      </c>
      <c r="C881" s="49" t="s">
        <v>350</v>
      </c>
      <c r="D881" s="49" t="s">
        <v>2441</v>
      </c>
      <c r="E881" s="49" t="s">
        <v>2500</v>
      </c>
      <c r="F881" s="49" t="s">
        <v>16</v>
      </c>
      <c r="G881" s="49" t="n">
        <v>4</v>
      </c>
      <c r="H881" s="0" t="n">
        <v>0</v>
      </c>
      <c r="I881" s="51" t="s">
        <v>3323</v>
      </c>
      <c r="J881" s="49" t="s">
        <v>3324</v>
      </c>
      <c r="K881" s="52" t="n">
        <v>47805</v>
      </c>
      <c r="M881" s="51" t="s">
        <v>3325</v>
      </c>
      <c r="N881" s="49" t="n">
        <v>4</v>
      </c>
      <c r="O881" s="53" t="n">
        <v>46053.4410185185</v>
      </c>
      <c r="P881" s="53" t="n">
        <v>46056.7674421296</v>
      </c>
      <c r="Q881" s="53" t="n">
        <v>46053.4410185185</v>
      </c>
      <c r="R881" s="0" t="n">
        <v>0</v>
      </c>
      <c r="S881" s="51" t="s">
        <v>3129</v>
      </c>
      <c r="T881" s="51" t="s">
        <v>3129</v>
      </c>
      <c r="U881" s="51" t="s">
        <v>2500</v>
      </c>
      <c r="V881" s="51" t="s">
        <v>2142</v>
      </c>
      <c r="W881" s="51"/>
      <c r="X881" s="51"/>
    </row>
    <row r="882" customFormat="false" ht="14.25" hidden="true" customHeight="false" outlineLevel="0" collapsed="false">
      <c r="A882" s="49" t="s">
        <v>2251</v>
      </c>
      <c r="B882" s="49" t="s">
        <v>14</v>
      </c>
      <c r="C882" s="49" t="s">
        <v>259</v>
      </c>
      <c r="D882" s="49" t="s">
        <v>2441</v>
      </c>
      <c r="E882" s="49" t="s">
        <v>2500</v>
      </c>
      <c r="F882" s="49" t="s">
        <v>16</v>
      </c>
      <c r="G882" s="49" t="n">
        <v>4</v>
      </c>
      <c r="H882" s="0" t="n">
        <v>0</v>
      </c>
      <c r="I882" s="51" t="s">
        <v>3347</v>
      </c>
      <c r="J882" s="49" t="s">
        <v>3348</v>
      </c>
      <c r="K882" s="52" t="n">
        <v>47808</v>
      </c>
      <c r="M882" s="51" t="s">
        <v>3312</v>
      </c>
      <c r="N882" s="49" t="n">
        <v>4</v>
      </c>
      <c r="O882" s="53" t="n">
        <v>46050.5870138889</v>
      </c>
      <c r="P882" s="53" t="n">
        <v>46056.6309722222</v>
      </c>
      <c r="Q882" s="53" t="n">
        <v>46050.5870138889</v>
      </c>
      <c r="R882" s="0" t="n">
        <v>0</v>
      </c>
      <c r="S882" s="51" t="s">
        <v>3129</v>
      </c>
      <c r="T882" s="51" t="s">
        <v>3129</v>
      </c>
      <c r="U882" s="51" t="s">
        <v>2500</v>
      </c>
      <c r="V882" s="51" t="s">
        <v>2142</v>
      </c>
      <c r="W882" s="51"/>
      <c r="X882" s="51"/>
    </row>
    <row r="883" customFormat="false" ht="14.25" hidden="true" customHeight="false" outlineLevel="0" collapsed="false">
      <c r="A883" s="49" t="s">
        <v>2251</v>
      </c>
      <c r="B883" s="49" t="s">
        <v>14</v>
      </c>
      <c r="C883" s="49" t="s">
        <v>252</v>
      </c>
      <c r="D883" s="49" t="s">
        <v>2441</v>
      </c>
      <c r="E883" s="49" t="s">
        <v>2500</v>
      </c>
      <c r="F883" s="49" t="s">
        <v>16</v>
      </c>
      <c r="G883" s="49" t="n">
        <v>4</v>
      </c>
      <c r="H883" s="0" t="n">
        <v>0</v>
      </c>
      <c r="I883" s="51" t="s">
        <v>3347</v>
      </c>
      <c r="J883" s="49" t="s">
        <v>3348</v>
      </c>
      <c r="K883" s="52" t="n">
        <v>47808</v>
      </c>
      <c r="M883" s="51" t="s">
        <v>3312</v>
      </c>
      <c r="N883" s="49" t="n">
        <v>4</v>
      </c>
      <c r="O883" s="53" t="n">
        <v>46050.5940509259</v>
      </c>
      <c r="P883" s="53" t="n">
        <v>46056.63125</v>
      </c>
      <c r="Q883" s="53" t="n">
        <v>46050.5940509259</v>
      </c>
      <c r="R883" s="0" t="n">
        <v>0</v>
      </c>
      <c r="S883" s="51" t="s">
        <v>3129</v>
      </c>
      <c r="T883" s="51" t="s">
        <v>3129</v>
      </c>
      <c r="U883" s="51" t="s">
        <v>2500</v>
      </c>
      <c r="V883" s="51" t="s">
        <v>2142</v>
      </c>
      <c r="W883" s="51"/>
      <c r="X883" s="51"/>
    </row>
    <row r="884" customFormat="false" ht="14.25" hidden="true" customHeight="false" outlineLevel="0" collapsed="false">
      <c r="A884" s="49" t="s">
        <v>2251</v>
      </c>
      <c r="B884" s="49" t="s">
        <v>14</v>
      </c>
      <c r="C884" s="49" t="s">
        <v>256</v>
      </c>
      <c r="D884" s="49" t="s">
        <v>2441</v>
      </c>
      <c r="E884" s="49" t="s">
        <v>2500</v>
      </c>
      <c r="F884" s="49" t="s">
        <v>16</v>
      </c>
      <c r="G884" s="49" t="n">
        <v>4</v>
      </c>
      <c r="H884" s="0" t="n">
        <v>0</v>
      </c>
      <c r="I884" s="51" t="s">
        <v>3347</v>
      </c>
      <c r="J884" s="49" t="s">
        <v>3348</v>
      </c>
      <c r="K884" s="52" t="n">
        <v>47808</v>
      </c>
      <c r="M884" s="51" t="s">
        <v>3312</v>
      </c>
      <c r="N884" s="49" t="n">
        <v>4</v>
      </c>
      <c r="O884" s="53" t="n">
        <v>46050.5890972222</v>
      </c>
      <c r="P884" s="53" t="n">
        <v>46056.6303587963</v>
      </c>
      <c r="Q884" s="53" t="n">
        <v>46050.5890972222</v>
      </c>
      <c r="R884" s="0" t="n">
        <v>0</v>
      </c>
      <c r="S884" s="51" t="s">
        <v>3129</v>
      </c>
      <c r="T884" s="51" t="s">
        <v>3129</v>
      </c>
      <c r="U884" s="51" t="s">
        <v>2500</v>
      </c>
      <c r="V884" s="51" t="s">
        <v>2142</v>
      </c>
      <c r="W884" s="51"/>
      <c r="X884" s="51"/>
    </row>
    <row r="885" customFormat="false" ht="14.25" hidden="true" customHeight="false" outlineLevel="0" collapsed="false">
      <c r="A885" s="49" t="s">
        <v>2251</v>
      </c>
      <c r="B885" s="49" t="s">
        <v>14</v>
      </c>
      <c r="C885" s="49" t="s">
        <v>257</v>
      </c>
      <c r="D885" s="49" t="s">
        <v>2441</v>
      </c>
      <c r="E885" s="49" t="s">
        <v>2500</v>
      </c>
      <c r="F885" s="49" t="s">
        <v>16</v>
      </c>
      <c r="G885" s="49" t="n">
        <v>4</v>
      </c>
      <c r="H885" s="0" t="n">
        <v>0</v>
      </c>
      <c r="I885" s="51" t="s">
        <v>3347</v>
      </c>
      <c r="J885" s="49" t="s">
        <v>3348</v>
      </c>
      <c r="K885" s="52" t="n">
        <v>47808</v>
      </c>
      <c r="M885" s="51" t="s">
        <v>3312</v>
      </c>
      <c r="N885" s="49" t="n">
        <v>4</v>
      </c>
      <c r="O885" s="53" t="n">
        <v>46050.5878240741</v>
      </c>
      <c r="P885" s="53" t="n">
        <v>46056.6294097222</v>
      </c>
      <c r="Q885" s="53" t="n">
        <v>46050.5878240741</v>
      </c>
      <c r="R885" s="0" t="n">
        <v>0</v>
      </c>
      <c r="S885" s="51" t="s">
        <v>3129</v>
      </c>
      <c r="T885" s="51" t="s">
        <v>3129</v>
      </c>
      <c r="U885" s="51" t="s">
        <v>2500</v>
      </c>
      <c r="V885" s="51" t="s">
        <v>2142</v>
      </c>
      <c r="W885" s="51"/>
      <c r="X885" s="51"/>
    </row>
    <row r="886" customFormat="false" ht="14.25" hidden="true" customHeight="false" outlineLevel="0" collapsed="false">
      <c r="A886" s="49" t="s">
        <v>2251</v>
      </c>
      <c r="B886" s="49" t="s">
        <v>14</v>
      </c>
      <c r="C886" s="49" t="s">
        <v>253</v>
      </c>
      <c r="D886" s="49" t="s">
        <v>2441</v>
      </c>
      <c r="E886" s="49" t="s">
        <v>2500</v>
      </c>
      <c r="F886" s="49" t="s">
        <v>16</v>
      </c>
      <c r="G886" s="49" t="n">
        <v>4</v>
      </c>
      <c r="H886" s="0" t="n">
        <v>0</v>
      </c>
      <c r="I886" s="51" t="s">
        <v>3313</v>
      </c>
      <c r="J886" s="49" t="s">
        <v>2687</v>
      </c>
      <c r="K886" s="52" t="n">
        <v>47811</v>
      </c>
      <c r="M886" s="51" t="s">
        <v>3312</v>
      </c>
      <c r="N886" s="49" t="n">
        <v>4</v>
      </c>
      <c r="O886" s="53" t="n">
        <v>46050.5930555556</v>
      </c>
      <c r="P886" s="53" t="n">
        <v>46056.6675462963</v>
      </c>
      <c r="Q886" s="53" t="n">
        <v>46050.5930555556</v>
      </c>
      <c r="R886" s="0" t="n">
        <v>0</v>
      </c>
      <c r="S886" s="51" t="s">
        <v>3129</v>
      </c>
      <c r="T886" s="51" t="s">
        <v>3129</v>
      </c>
      <c r="U886" s="51" t="s">
        <v>2500</v>
      </c>
      <c r="V886" s="51" t="s">
        <v>2142</v>
      </c>
      <c r="W886" s="51"/>
      <c r="X886" s="51"/>
    </row>
    <row r="887" customFormat="false" ht="14.25" hidden="true" customHeight="false" outlineLevel="0" collapsed="false">
      <c r="A887" s="49" t="s">
        <v>2251</v>
      </c>
      <c r="B887" s="49" t="s">
        <v>14</v>
      </c>
      <c r="C887" s="49" t="s">
        <v>1012</v>
      </c>
      <c r="D887" s="49" t="s">
        <v>2441</v>
      </c>
      <c r="E887" s="49" t="s">
        <v>2500</v>
      </c>
      <c r="F887" s="49" t="s">
        <v>16</v>
      </c>
      <c r="G887" s="49" t="n">
        <v>4</v>
      </c>
      <c r="H887" s="0" t="n">
        <v>0</v>
      </c>
      <c r="I887" s="51" t="s">
        <v>3349</v>
      </c>
      <c r="J887" s="49" t="s">
        <v>2687</v>
      </c>
      <c r="K887" s="52" t="n">
        <v>47811</v>
      </c>
      <c r="M887" s="51" t="s">
        <v>3157</v>
      </c>
      <c r="N887" s="49" t="n">
        <v>4</v>
      </c>
      <c r="O887" s="53" t="n">
        <v>46060.5864814815</v>
      </c>
      <c r="P887" s="53" t="n">
        <v>46061.4560185185</v>
      </c>
      <c r="Q887" s="53" t="n">
        <v>46060.5864814815</v>
      </c>
      <c r="R887" s="0" t="n">
        <v>0</v>
      </c>
      <c r="S887" s="51" t="s">
        <v>3129</v>
      </c>
      <c r="T887" s="51" t="s">
        <v>3129</v>
      </c>
      <c r="U887" s="51" t="s">
        <v>2500</v>
      </c>
      <c r="V887" s="51" t="s">
        <v>2142</v>
      </c>
      <c r="W887" s="51"/>
      <c r="X887" s="51"/>
    </row>
    <row r="888" customFormat="false" ht="14.25" hidden="false" customHeight="false" outlineLevel="0" collapsed="false">
      <c r="A888" s="49" t="s">
        <v>2251</v>
      </c>
      <c r="B888" s="49" t="s">
        <v>14</v>
      </c>
      <c r="C888" s="49" t="s">
        <v>250</v>
      </c>
      <c r="D888" s="49" t="s">
        <v>2441</v>
      </c>
      <c r="E888" s="49" t="s">
        <v>2500</v>
      </c>
      <c r="F888" s="49" t="s">
        <v>16</v>
      </c>
      <c r="G888" s="49" t="n">
        <v>4</v>
      </c>
      <c r="H888" s="0" t="n">
        <v>0</v>
      </c>
      <c r="I888" s="51" t="s">
        <v>3313</v>
      </c>
      <c r="J888" s="49" t="s">
        <v>2687</v>
      </c>
      <c r="K888" s="52" t="n">
        <v>47811</v>
      </c>
      <c r="M888" s="51" t="s">
        <v>3312</v>
      </c>
      <c r="N888" s="0" t="n">
        <v>4</v>
      </c>
      <c r="O888" s="53" t="n">
        <v>46050.6027893519</v>
      </c>
      <c r="P888" s="53" t="n">
        <v>46056.6686805556</v>
      </c>
      <c r="Q888" s="53" t="n">
        <v>46050.6027893519</v>
      </c>
      <c r="R888" s="0" t="n">
        <v>0</v>
      </c>
      <c r="S888" s="51" t="s">
        <v>3129</v>
      </c>
      <c r="T888" s="51" t="s">
        <v>3129</v>
      </c>
      <c r="U888" s="51" t="s">
        <v>2500</v>
      </c>
      <c r="V888" s="51" t="s">
        <v>2142</v>
      </c>
      <c r="W888" s="51"/>
      <c r="X888" s="51"/>
    </row>
    <row r="889" customFormat="false" ht="14.25" hidden="false" customHeight="false" outlineLevel="0" collapsed="false">
      <c r="A889" s="49" t="s">
        <v>2251</v>
      </c>
      <c r="B889" s="49" t="s">
        <v>14</v>
      </c>
      <c r="C889" s="49" t="s">
        <v>248</v>
      </c>
      <c r="D889" s="49" t="s">
        <v>2441</v>
      </c>
      <c r="E889" s="49" t="s">
        <v>2500</v>
      </c>
      <c r="F889" s="49" t="s">
        <v>16</v>
      </c>
      <c r="G889" s="49" t="n">
        <v>4</v>
      </c>
      <c r="H889" s="0" t="n">
        <v>0</v>
      </c>
      <c r="I889" s="51" t="s">
        <v>3313</v>
      </c>
      <c r="J889" s="49" t="s">
        <v>2687</v>
      </c>
      <c r="K889" s="52" t="n">
        <v>47811</v>
      </c>
      <c r="M889" s="51" t="s">
        <v>3312</v>
      </c>
      <c r="N889" s="0" t="n">
        <v>4</v>
      </c>
      <c r="O889" s="53" t="n">
        <v>46050.6043518519</v>
      </c>
      <c r="P889" s="53" t="n">
        <v>46056.6656134259</v>
      </c>
      <c r="Q889" s="53" t="n">
        <v>46050.6043518519</v>
      </c>
      <c r="R889" s="0" t="n">
        <v>0</v>
      </c>
      <c r="S889" s="51" t="s">
        <v>3129</v>
      </c>
      <c r="T889" s="51" t="s">
        <v>3129</v>
      </c>
      <c r="U889" s="51" t="s">
        <v>2500</v>
      </c>
      <c r="V889" s="51" t="s">
        <v>2142</v>
      </c>
      <c r="W889" s="51"/>
      <c r="X889" s="51"/>
    </row>
    <row r="890" customFormat="false" ht="14.25" hidden="false" customHeight="false" outlineLevel="0" collapsed="false">
      <c r="A890" s="49" t="s">
        <v>2251</v>
      </c>
      <c r="B890" s="49" t="s">
        <v>14</v>
      </c>
      <c r="C890" s="49" t="s">
        <v>249</v>
      </c>
      <c r="D890" s="49" t="s">
        <v>2441</v>
      </c>
      <c r="E890" s="49" t="s">
        <v>2500</v>
      </c>
      <c r="F890" s="49" t="s">
        <v>16</v>
      </c>
      <c r="G890" s="49" t="n">
        <v>4</v>
      </c>
      <c r="H890" s="0" t="n">
        <v>0</v>
      </c>
      <c r="I890" s="51" t="s">
        <v>3350</v>
      </c>
      <c r="J890" s="49" t="s">
        <v>2687</v>
      </c>
      <c r="K890" s="52" t="n">
        <v>47811</v>
      </c>
      <c r="M890" s="51" t="s">
        <v>3312</v>
      </c>
      <c r="N890" s="0" t="n">
        <v>4</v>
      </c>
      <c r="O890" s="53" t="n">
        <v>46050.6036689815</v>
      </c>
      <c r="P890" s="53" t="n">
        <v>46056.6771296296</v>
      </c>
      <c r="Q890" s="53" t="n">
        <v>46050.6036689815</v>
      </c>
      <c r="R890" s="0" t="n">
        <v>0</v>
      </c>
      <c r="S890" s="51" t="s">
        <v>3129</v>
      </c>
      <c r="T890" s="51" t="s">
        <v>3129</v>
      </c>
      <c r="U890" s="51" t="s">
        <v>2500</v>
      </c>
      <c r="V890" s="51" t="s">
        <v>2142</v>
      </c>
      <c r="W890" s="51"/>
      <c r="X890" s="51"/>
    </row>
    <row r="891" customFormat="false" ht="14.25" hidden="false" customHeight="false" outlineLevel="0" collapsed="false">
      <c r="A891" s="49" t="s">
        <v>2251</v>
      </c>
      <c r="B891" s="49" t="s">
        <v>14</v>
      </c>
      <c r="C891" s="49" t="s">
        <v>273</v>
      </c>
      <c r="D891" s="49" t="s">
        <v>2441</v>
      </c>
      <c r="E891" s="49" t="s">
        <v>2500</v>
      </c>
      <c r="F891" s="49" t="s">
        <v>16</v>
      </c>
      <c r="G891" s="49" t="n">
        <v>4</v>
      </c>
      <c r="H891" s="0" t="n">
        <v>0</v>
      </c>
      <c r="I891" s="51" t="s">
        <v>3350</v>
      </c>
      <c r="J891" s="49" t="s">
        <v>2687</v>
      </c>
      <c r="K891" s="52" t="n">
        <v>47811</v>
      </c>
      <c r="M891" s="51" t="s">
        <v>3312</v>
      </c>
      <c r="N891" s="0" t="n">
        <v>4</v>
      </c>
      <c r="O891" s="53" t="n">
        <v>46050.6188657407</v>
      </c>
      <c r="P891" s="53" t="n">
        <v>46056.6763773148</v>
      </c>
      <c r="Q891" s="53" t="n">
        <v>46050.6188657407</v>
      </c>
      <c r="R891" s="0" t="n">
        <v>0</v>
      </c>
      <c r="S891" s="51" t="s">
        <v>3129</v>
      </c>
      <c r="T891" s="51" t="s">
        <v>3129</v>
      </c>
      <c r="U891" s="51" t="s">
        <v>2500</v>
      </c>
      <c r="V891" s="51" t="s">
        <v>2142</v>
      </c>
      <c r="W891" s="51"/>
      <c r="X891" s="51"/>
    </row>
    <row r="892" customFormat="false" ht="14.25" hidden="false" customHeight="false" outlineLevel="0" collapsed="false">
      <c r="A892" s="49" t="s">
        <v>2251</v>
      </c>
      <c r="B892" s="49" t="s">
        <v>14</v>
      </c>
      <c r="C892" s="49" t="s">
        <v>245</v>
      </c>
      <c r="D892" s="49" t="s">
        <v>2441</v>
      </c>
      <c r="E892" s="49" t="s">
        <v>2500</v>
      </c>
      <c r="F892" s="49" t="s">
        <v>16</v>
      </c>
      <c r="G892" s="49" t="n">
        <v>4</v>
      </c>
      <c r="H892" s="0" t="n">
        <v>0</v>
      </c>
      <c r="I892" s="51" t="s">
        <v>3350</v>
      </c>
      <c r="J892" s="49" t="s">
        <v>2687</v>
      </c>
      <c r="K892" s="52" t="n">
        <v>47811</v>
      </c>
      <c r="M892" s="51" t="s">
        <v>3312</v>
      </c>
      <c r="N892" s="0" t="n">
        <v>4</v>
      </c>
      <c r="O892" s="53" t="n">
        <v>46050.618287037</v>
      </c>
      <c r="P892" s="53" t="n">
        <v>46056.6753935185</v>
      </c>
      <c r="Q892" s="53" t="n">
        <v>46050.618287037</v>
      </c>
      <c r="R892" s="0" t="n">
        <v>0</v>
      </c>
      <c r="S892" s="51" t="s">
        <v>3129</v>
      </c>
      <c r="T892" s="51" t="s">
        <v>3129</v>
      </c>
      <c r="U892" s="51" t="s">
        <v>2500</v>
      </c>
      <c r="V892" s="51" t="s">
        <v>2142</v>
      </c>
      <c r="W892" s="51" t="s">
        <v>3311</v>
      </c>
      <c r="X892" s="51"/>
    </row>
    <row r="893" customFormat="false" ht="14.25" hidden="false" customHeight="false" outlineLevel="0" collapsed="false">
      <c r="A893" s="49" t="s">
        <v>2251</v>
      </c>
      <c r="B893" s="49" t="s">
        <v>14</v>
      </c>
      <c r="C893" s="49" t="s">
        <v>246</v>
      </c>
      <c r="D893" s="49" t="s">
        <v>2441</v>
      </c>
      <c r="E893" s="49" t="s">
        <v>2500</v>
      </c>
      <c r="F893" s="49" t="s">
        <v>16</v>
      </c>
      <c r="G893" s="49" t="n">
        <v>4</v>
      </c>
      <c r="H893" s="0" t="n">
        <v>0</v>
      </c>
      <c r="I893" s="51" t="s">
        <v>3350</v>
      </c>
      <c r="J893" s="49" t="s">
        <v>2687</v>
      </c>
      <c r="K893" s="52" t="n">
        <v>47811</v>
      </c>
      <c r="M893" s="51" t="s">
        <v>3312</v>
      </c>
      <c r="N893" s="0" t="n">
        <v>4</v>
      </c>
      <c r="O893" s="53" t="n">
        <v>46050.6136689815</v>
      </c>
      <c r="P893" s="53" t="n">
        <v>46056.676099537</v>
      </c>
      <c r="Q893" s="53" t="n">
        <v>46050.6136689815</v>
      </c>
      <c r="R893" s="0" t="n">
        <v>0</v>
      </c>
      <c r="S893" s="51" t="s">
        <v>3129</v>
      </c>
      <c r="T893" s="51" t="s">
        <v>3129</v>
      </c>
      <c r="U893" s="51" t="s">
        <v>2500</v>
      </c>
      <c r="V893" s="51" t="s">
        <v>2142</v>
      </c>
      <c r="W893" s="51"/>
      <c r="X893" s="51"/>
    </row>
    <row r="894" customFormat="false" ht="14.25" hidden="false" customHeight="false" outlineLevel="0" collapsed="false">
      <c r="A894" s="49" t="s">
        <v>2251</v>
      </c>
      <c r="B894" s="49" t="s">
        <v>14</v>
      </c>
      <c r="C894" s="49" t="s">
        <v>247</v>
      </c>
      <c r="D894" s="49" t="s">
        <v>2441</v>
      </c>
      <c r="E894" s="49" t="s">
        <v>2500</v>
      </c>
      <c r="F894" s="49" t="s">
        <v>16</v>
      </c>
      <c r="G894" s="49" t="n">
        <v>4</v>
      </c>
      <c r="H894" s="0" t="n">
        <v>0</v>
      </c>
      <c r="I894" s="51" t="s">
        <v>3350</v>
      </c>
      <c r="J894" s="49" t="s">
        <v>2687</v>
      </c>
      <c r="K894" s="52" t="n">
        <v>47811</v>
      </c>
      <c r="M894" s="51" t="s">
        <v>3312</v>
      </c>
      <c r="N894" s="0" t="n">
        <v>4</v>
      </c>
      <c r="O894" s="53" t="n">
        <v>46050.6131712963</v>
      </c>
      <c r="P894" s="53" t="n">
        <v>46056.6768518519</v>
      </c>
      <c r="Q894" s="53" t="n">
        <v>46050.6131712963</v>
      </c>
      <c r="R894" s="0" t="n">
        <v>0</v>
      </c>
      <c r="S894" s="51" t="s">
        <v>3129</v>
      </c>
      <c r="T894" s="51" t="s">
        <v>3129</v>
      </c>
      <c r="U894" s="51" t="s">
        <v>2500</v>
      </c>
      <c r="V894" s="51" t="s">
        <v>2142</v>
      </c>
      <c r="W894" s="51"/>
      <c r="X894" s="51"/>
    </row>
    <row r="895" customFormat="false" ht="14.25" hidden="false" customHeight="false" outlineLevel="0" collapsed="false">
      <c r="A895" s="49" t="s">
        <v>2251</v>
      </c>
      <c r="B895" s="49" t="s">
        <v>14</v>
      </c>
      <c r="C895" s="49" t="s">
        <v>254</v>
      </c>
      <c r="D895" s="49" t="s">
        <v>2441</v>
      </c>
      <c r="E895" s="49" t="s">
        <v>2500</v>
      </c>
      <c r="F895" s="49" t="s">
        <v>16</v>
      </c>
      <c r="G895" s="49" t="n">
        <v>4</v>
      </c>
      <c r="H895" s="0" t="n">
        <v>0</v>
      </c>
      <c r="I895" s="51" t="s">
        <v>3313</v>
      </c>
      <c r="J895" s="49" t="s">
        <v>2687</v>
      </c>
      <c r="K895" s="52" t="n">
        <v>47811</v>
      </c>
      <c r="M895" s="51" t="s">
        <v>3312</v>
      </c>
      <c r="N895" s="0" t="n">
        <v>4</v>
      </c>
      <c r="O895" s="53" t="n">
        <v>46050.5917013889</v>
      </c>
      <c r="P895" s="53" t="n">
        <v>46056.6665162037</v>
      </c>
      <c r="Q895" s="53" t="n">
        <v>46050.5917013889</v>
      </c>
      <c r="R895" s="0" t="n">
        <v>0</v>
      </c>
      <c r="S895" s="51" t="s">
        <v>3129</v>
      </c>
      <c r="T895" s="51" t="s">
        <v>3129</v>
      </c>
      <c r="U895" s="51" t="s">
        <v>2500</v>
      </c>
      <c r="V895" s="51" t="s">
        <v>2142</v>
      </c>
      <c r="W895" s="51"/>
      <c r="X895" s="51"/>
    </row>
    <row r="896" customFormat="false" ht="14.25" hidden="false" customHeight="false" outlineLevel="0" collapsed="false">
      <c r="A896" s="49" t="s">
        <v>2251</v>
      </c>
      <c r="B896" s="49" t="s">
        <v>14</v>
      </c>
      <c r="C896" s="49" t="s">
        <v>1193</v>
      </c>
      <c r="D896" s="49" t="s">
        <v>2441</v>
      </c>
      <c r="E896" s="49" t="s">
        <v>2442</v>
      </c>
      <c r="F896" s="49" t="s">
        <v>221</v>
      </c>
      <c r="G896" s="49" t="n">
        <v>52</v>
      </c>
      <c r="H896" s="0" t="n">
        <v>0</v>
      </c>
      <c r="I896" s="51" t="s">
        <v>3351</v>
      </c>
      <c r="J896" s="49" t="s">
        <v>2730</v>
      </c>
      <c r="K896" s="52" t="n">
        <v>47813</v>
      </c>
      <c r="M896" s="51" t="s">
        <v>3190</v>
      </c>
      <c r="N896" s="0" t="n">
        <v>52</v>
      </c>
      <c r="O896" s="53" t="n">
        <v>46064.3856597222</v>
      </c>
      <c r="P896" s="53" t="n">
        <v>46064.4116203704</v>
      </c>
      <c r="Q896" s="53" t="n">
        <v>46064.3856597222</v>
      </c>
      <c r="R896" s="0" t="n">
        <v>0</v>
      </c>
      <c r="S896" s="51" t="s">
        <v>3129</v>
      </c>
      <c r="T896" s="51" t="s">
        <v>3129</v>
      </c>
      <c r="U896" s="51" t="s">
        <v>2442</v>
      </c>
      <c r="V896" s="51" t="s">
        <v>2205</v>
      </c>
      <c r="W896" s="51"/>
      <c r="X896" s="51"/>
    </row>
    <row r="897" customFormat="false" ht="14.25" hidden="true" customHeight="false" outlineLevel="0" collapsed="false">
      <c r="A897" s="49" t="s">
        <v>2251</v>
      </c>
      <c r="B897" s="49" t="s">
        <v>14</v>
      </c>
      <c r="C897" s="49" t="s">
        <v>1192</v>
      </c>
      <c r="D897" s="49" t="s">
        <v>2441</v>
      </c>
      <c r="E897" s="49" t="s">
        <v>2442</v>
      </c>
      <c r="F897" s="49" t="s">
        <v>221</v>
      </c>
      <c r="G897" s="49" t="n">
        <v>52</v>
      </c>
      <c r="H897" s="0" t="n">
        <v>0</v>
      </c>
      <c r="I897" s="51" t="s">
        <v>3352</v>
      </c>
      <c r="J897" s="49" t="s">
        <v>2730</v>
      </c>
      <c r="K897" s="52" t="n">
        <v>47813</v>
      </c>
      <c r="M897" s="51" t="s">
        <v>3190</v>
      </c>
      <c r="N897" s="49" t="n">
        <v>52</v>
      </c>
      <c r="O897" s="53" t="n">
        <v>46064.3850925926</v>
      </c>
      <c r="P897" s="53" t="n">
        <v>46064.408900463</v>
      </c>
      <c r="Q897" s="53" t="n">
        <v>46064.3850925926</v>
      </c>
      <c r="R897" s="0" t="n">
        <v>0</v>
      </c>
      <c r="S897" s="51" t="s">
        <v>3129</v>
      </c>
      <c r="T897" s="51" t="s">
        <v>3129</v>
      </c>
      <c r="U897" s="51" t="s">
        <v>2442</v>
      </c>
      <c r="V897" s="51" t="s">
        <v>2205</v>
      </c>
      <c r="W897" s="51"/>
      <c r="X897" s="51"/>
    </row>
    <row r="898" customFormat="false" ht="14.25" hidden="false" customHeight="false" outlineLevel="0" collapsed="false">
      <c r="A898" s="49" t="s">
        <v>2251</v>
      </c>
      <c r="B898" s="49" t="s">
        <v>14</v>
      </c>
      <c r="C898" s="49" t="s">
        <v>1022</v>
      </c>
      <c r="D898" s="49" t="s">
        <v>2441</v>
      </c>
      <c r="E898" s="49" t="s">
        <v>3353</v>
      </c>
      <c r="F898" s="49" t="s">
        <v>1005</v>
      </c>
      <c r="G898" s="49" t="n">
        <v>4</v>
      </c>
      <c r="H898" s="0" t="n">
        <v>0</v>
      </c>
      <c r="I898" s="51" t="s">
        <v>3354</v>
      </c>
      <c r="J898" s="49" t="s">
        <v>3355</v>
      </c>
      <c r="K898" s="52" t="n">
        <v>47823</v>
      </c>
      <c r="M898" s="51" t="s">
        <v>3157</v>
      </c>
      <c r="N898" s="0" t="n">
        <v>4</v>
      </c>
      <c r="O898" s="53" t="n">
        <v>46060.6038888889</v>
      </c>
      <c r="P898" s="53" t="n">
        <v>46061.4892013889</v>
      </c>
      <c r="Q898" s="53" t="n">
        <v>46060.6038888889</v>
      </c>
      <c r="R898" s="0" t="n">
        <v>0</v>
      </c>
      <c r="S898" s="51" t="s">
        <v>3129</v>
      </c>
      <c r="T898" s="51" t="s">
        <v>3129</v>
      </c>
      <c r="U898" s="51" t="s">
        <v>3353</v>
      </c>
      <c r="V898" s="51" t="s">
        <v>2142</v>
      </c>
      <c r="W898" s="51"/>
      <c r="X898" s="51"/>
    </row>
    <row r="899" customFormat="false" ht="14.25" hidden="true" customHeight="false" outlineLevel="0" collapsed="false">
      <c r="A899" s="49" t="s">
        <v>2251</v>
      </c>
      <c r="B899" s="49" t="s">
        <v>14</v>
      </c>
      <c r="C899" s="49" t="s">
        <v>1248</v>
      </c>
      <c r="D899" s="49" t="s">
        <v>2441</v>
      </c>
      <c r="E899" s="49" t="s">
        <v>2551</v>
      </c>
      <c r="F899" s="49" t="s">
        <v>168</v>
      </c>
      <c r="G899" s="49" t="n">
        <v>24</v>
      </c>
      <c r="H899" s="0" t="n">
        <v>0</v>
      </c>
      <c r="I899" s="51" t="s">
        <v>3356</v>
      </c>
      <c r="J899" s="49" t="s">
        <v>2778</v>
      </c>
      <c r="K899" s="52" t="n">
        <v>47823</v>
      </c>
      <c r="M899" s="51" t="s">
        <v>3258</v>
      </c>
      <c r="N899" s="49" t="n">
        <v>24</v>
      </c>
      <c r="O899" s="53" t="n">
        <v>46064.5872800926</v>
      </c>
      <c r="P899" s="53" t="n">
        <v>46064.6909722222</v>
      </c>
      <c r="Q899" s="53" t="n">
        <v>46064.5872800926</v>
      </c>
      <c r="R899" s="0" t="n">
        <v>0</v>
      </c>
      <c r="S899" s="51" t="s">
        <v>3129</v>
      </c>
      <c r="T899" s="51" t="s">
        <v>3129</v>
      </c>
      <c r="U899" s="51" t="s">
        <v>2551</v>
      </c>
      <c r="V899" s="51" t="s">
        <v>2205</v>
      </c>
      <c r="W899" s="51"/>
      <c r="X899" s="51"/>
    </row>
    <row r="900" customFormat="false" ht="14.25" hidden="true" customHeight="false" outlineLevel="0" collapsed="false">
      <c r="A900" s="49" t="s">
        <v>2251</v>
      </c>
      <c r="B900" s="49" t="s">
        <v>14</v>
      </c>
      <c r="C900" s="49" t="s">
        <v>1252</v>
      </c>
      <c r="D900" s="49" t="s">
        <v>2441</v>
      </c>
      <c r="E900" s="49" t="s">
        <v>2551</v>
      </c>
      <c r="F900" s="49" t="s">
        <v>168</v>
      </c>
      <c r="G900" s="49" t="n">
        <v>24</v>
      </c>
      <c r="H900" s="0" t="n">
        <v>0</v>
      </c>
      <c r="I900" s="51" t="s">
        <v>3357</v>
      </c>
      <c r="J900" s="49" t="s">
        <v>2764</v>
      </c>
      <c r="K900" s="52" t="n">
        <v>47823</v>
      </c>
      <c r="M900" s="51" t="s">
        <v>3258</v>
      </c>
      <c r="N900" s="49" t="n">
        <v>24</v>
      </c>
      <c r="O900" s="53" t="n">
        <v>46064.5831828704</v>
      </c>
      <c r="P900" s="53" t="n">
        <v>46064.6822106482</v>
      </c>
      <c r="Q900" s="53" t="n">
        <v>46064.5831828704</v>
      </c>
      <c r="R900" s="0" t="n">
        <v>0</v>
      </c>
      <c r="S900" s="51" t="s">
        <v>3129</v>
      </c>
      <c r="T900" s="51" t="s">
        <v>3129</v>
      </c>
      <c r="U900" s="51" t="s">
        <v>2551</v>
      </c>
      <c r="V900" s="51" t="s">
        <v>2205</v>
      </c>
      <c r="W900" s="51" t="s">
        <v>3358</v>
      </c>
      <c r="X900" s="51"/>
    </row>
    <row r="901" customFormat="false" ht="14.25" hidden="true" customHeight="false" outlineLevel="0" collapsed="false">
      <c r="A901" s="49" t="s">
        <v>2251</v>
      </c>
      <c r="B901" s="49" t="s">
        <v>14</v>
      </c>
      <c r="C901" s="49" t="s">
        <v>1254</v>
      </c>
      <c r="D901" s="49" t="s">
        <v>2441</v>
      </c>
      <c r="E901" s="49" t="s">
        <v>2551</v>
      </c>
      <c r="F901" s="49" t="s">
        <v>168</v>
      </c>
      <c r="G901" s="49" t="n">
        <v>24</v>
      </c>
      <c r="H901" s="0" t="n">
        <v>0</v>
      </c>
      <c r="I901" s="51" t="s">
        <v>3359</v>
      </c>
      <c r="J901" s="49" t="s">
        <v>2764</v>
      </c>
      <c r="K901" s="52" t="n">
        <v>47823</v>
      </c>
      <c r="M901" s="51" t="s">
        <v>3258</v>
      </c>
      <c r="N901" s="49" t="n">
        <v>24</v>
      </c>
      <c r="O901" s="53" t="n">
        <v>46064.5803009259</v>
      </c>
      <c r="P901" s="53" t="n">
        <v>46064.6771990741</v>
      </c>
      <c r="Q901" s="53" t="n">
        <v>46064.5803009259</v>
      </c>
      <c r="R901" s="0" t="n">
        <v>0</v>
      </c>
      <c r="S901" s="51" t="s">
        <v>3129</v>
      </c>
      <c r="T901" s="51" t="s">
        <v>3129</v>
      </c>
      <c r="U901" s="51" t="s">
        <v>2551</v>
      </c>
      <c r="V901" s="51" t="s">
        <v>2205</v>
      </c>
      <c r="W901" s="51"/>
      <c r="X901" s="51"/>
    </row>
    <row r="902" customFormat="false" ht="14.25" hidden="false" customHeight="false" outlineLevel="0" collapsed="false">
      <c r="A902" s="49" t="s">
        <v>2251</v>
      </c>
      <c r="B902" s="49" t="s">
        <v>14</v>
      </c>
      <c r="C902" s="49" t="s">
        <v>1258</v>
      </c>
      <c r="D902" s="49" t="s">
        <v>2441</v>
      </c>
      <c r="E902" s="49" t="s">
        <v>2551</v>
      </c>
      <c r="F902" s="49" t="s">
        <v>168</v>
      </c>
      <c r="G902" s="49" t="n">
        <v>24</v>
      </c>
      <c r="H902" s="0" t="n">
        <v>0</v>
      </c>
      <c r="I902" s="51" t="s">
        <v>3360</v>
      </c>
      <c r="J902" s="49" t="s">
        <v>2764</v>
      </c>
      <c r="K902" s="52" t="n">
        <v>47823</v>
      </c>
      <c r="M902" s="51" t="s">
        <v>3258</v>
      </c>
      <c r="N902" s="0" t="n">
        <v>24</v>
      </c>
      <c r="O902" s="53" t="n">
        <v>46064.5734837963</v>
      </c>
      <c r="P902" s="53" t="n">
        <v>46064.6687615741</v>
      </c>
      <c r="Q902" s="53" t="n">
        <v>46064.5734837963</v>
      </c>
      <c r="R902" s="0" t="n">
        <v>0</v>
      </c>
      <c r="S902" s="51" t="s">
        <v>3129</v>
      </c>
      <c r="T902" s="51" t="s">
        <v>3129</v>
      </c>
      <c r="U902" s="51" t="s">
        <v>2551</v>
      </c>
      <c r="V902" s="51" t="s">
        <v>2205</v>
      </c>
      <c r="X902" s="51"/>
    </row>
    <row r="903" customFormat="false" ht="14.25" hidden="false" customHeight="false" outlineLevel="0" collapsed="false">
      <c r="A903" s="49" t="s">
        <v>2251</v>
      </c>
      <c r="B903" s="49" t="s">
        <v>14</v>
      </c>
      <c r="C903" s="49" t="s">
        <v>1259</v>
      </c>
      <c r="D903" s="49" t="s">
        <v>2441</v>
      </c>
      <c r="E903" s="49" t="s">
        <v>2551</v>
      </c>
      <c r="F903" s="49" t="s">
        <v>168</v>
      </c>
      <c r="G903" s="49" t="n">
        <v>24</v>
      </c>
      <c r="H903" s="0" t="n">
        <v>0</v>
      </c>
      <c r="I903" s="51" t="s">
        <v>3361</v>
      </c>
      <c r="J903" s="49" t="s">
        <v>2778</v>
      </c>
      <c r="K903" s="52" t="n">
        <v>47823</v>
      </c>
      <c r="M903" s="51" t="s">
        <v>3258</v>
      </c>
      <c r="N903" s="0" t="n">
        <v>24</v>
      </c>
      <c r="O903" s="53" t="n">
        <v>46064.5725231482</v>
      </c>
      <c r="P903" s="53" t="n">
        <v>46064.6674189815</v>
      </c>
      <c r="Q903" s="53" t="n">
        <v>46064.5725231482</v>
      </c>
      <c r="R903" s="0" t="n">
        <v>0</v>
      </c>
      <c r="S903" s="51" t="s">
        <v>3129</v>
      </c>
      <c r="T903" s="51" t="s">
        <v>3129</v>
      </c>
      <c r="U903" s="51" t="s">
        <v>2551</v>
      </c>
      <c r="V903" s="51" t="s">
        <v>2205</v>
      </c>
      <c r="X903" s="51"/>
    </row>
    <row r="904" customFormat="false" ht="14.25" hidden="false" customHeight="false" outlineLevel="0" collapsed="false">
      <c r="A904" s="49" t="s">
        <v>2251</v>
      </c>
      <c r="B904" s="49" t="s">
        <v>14</v>
      </c>
      <c r="C904" s="49" t="s">
        <v>1250</v>
      </c>
      <c r="D904" s="49" t="s">
        <v>2441</v>
      </c>
      <c r="E904" s="49" t="s">
        <v>2551</v>
      </c>
      <c r="F904" s="49" t="s">
        <v>168</v>
      </c>
      <c r="G904" s="49" t="n">
        <v>24</v>
      </c>
      <c r="H904" s="0" t="n">
        <v>0</v>
      </c>
      <c r="I904" s="51" t="s">
        <v>3362</v>
      </c>
      <c r="J904" s="49" t="s">
        <v>2764</v>
      </c>
      <c r="K904" s="52" t="n">
        <v>47823</v>
      </c>
      <c r="M904" s="51" t="s">
        <v>3258</v>
      </c>
      <c r="N904" s="0" t="n">
        <v>24</v>
      </c>
      <c r="O904" s="53" t="n">
        <v>46064.5848032407</v>
      </c>
      <c r="P904" s="53" t="n">
        <v>46064.6870486111</v>
      </c>
      <c r="Q904" s="53" t="n">
        <v>46064.5848032407</v>
      </c>
      <c r="R904" s="0" t="n">
        <v>0</v>
      </c>
      <c r="S904" s="51" t="s">
        <v>3129</v>
      </c>
      <c r="T904" s="51" t="s">
        <v>3129</v>
      </c>
      <c r="U904" s="51" t="s">
        <v>2551</v>
      </c>
      <c r="V904" s="51" t="s">
        <v>2205</v>
      </c>
      <c r="X904" s="51"/>
    </row>
    <row r="905" customFormat="false" ht="14.25" hidden="false" customHeight="false" outlineLevel="0" collapsed="false">
      <c r="A905" s="49" t="s">
        <v>2251</v>
      </c>
      <c r="B905" s="49" t="s">
        <v>14</v>
      </c>
      <c r="C905" s="49" t="s">
        <v>1251</v>
      </c>
      <c r="D905" s="49" t="s">
        <v>2441</v>
      </c>
      <c r="E905" s="49" t="s">
        <v>2551</v>
      </c>
      <c r="F905" s="49" t="s">
        <v>168</v>
      </c>
      <c r="G905" s="49" t="n">
        <v>24</v>
      </c>
      <c r="H905" s="0" t="n">
        <v>0</v>
      </c>
      <c r="I905" s="51" t="s">
        <v>3363</v>
      </c>
      <c r="J905" s="49" t="s">
        <v>2764</v>
      </c>
      <c r="K905" s="52" t="n">
        <v>47823</v>
      </c>
      <c r="M905" s="51" t="s">
        <v>3258</v>
      </c>
      <c r="N905" s="0" t="n">
        <v>24</v>
      </c>
      <c r="O905" s="53" t="n">
        <v>46064.5839351852</v>
      </c>
      <c r="P905" s="53" t="n">
        <v>46064.6837962963</v>
      </c>
      <c r="Q905" s="53" t="n">
        <v>46064.5839351852</v>
      </c>
      <c r="R905" s="0" t="n">
        <v>0</v>
      </c>
      <c r="S905" s="51" t="s">
        <v>3129</v>
      </c>
      <c r="T905" s="51" t="s">
        <v>3129</v>
      </c>
      <c r="U905" s="51" t="s">
        <v>2551</v>
      </c>
      <c r="V905" s="51" t="s">
        <v>2205</v>
      </c>
      <c r="X905" s="51"/>
    </row>
    <row r="906" customFormat="false" ht="14.25" hidden="true" customHeight="false" outlineLevel="0" collapsed="false">
      <c r="A906" s="49" t="s">
        <v>2251</v>
      </c>
      <c r="B906" s="49" t="s">
        <v>14</v>
      </c>
      <c r="C906" s="49" t="s">
        <v>1255</v>
      </c>
      <c r="D906" s="49" t="s">
        <v>2441</v>
      </c>
      <c r="E906" s="49" t="s">
        <v>2551</v>
      </c>
      <c r="F906" s="49" t="s">
        <v>168</v>
      </c>
      <c r="G906" s="49" t="n">
        <v>24</v>
      </c>
      <c r="H906" s="0" t="n">
        <v>0</v>
      </c>
      <c r="I906" s="51" t="s">
        <v>3364</v>
      </c>
      <c r="J906" s="49" t="s">
        <v>2764</v>
      </c>
      <c r="K906" s="52" t="n">
        <v>47823</v>
      </c>
      <c r="M906" s="51" t="s">
        <v>3258</v>
      </c>
      <c r="N906" s="49" t="n">
        <v>24</v>
      </c>
      <c r="O906" s="53" t="n">
        <v>46064.5782523148</v>
      </c>
      <c r="P906" s="53" t="n">
        <v>46064.674849537</v>
      </c>
      <c r="Q906" s="53" t="n">
        <v>46064.5782523148</v>
      </c>
      <c r="R906" s="0" t="n">
        <v>0</v>
      </c>
      <c r="S906" s="51" t="s">
        <v>3129</v>
      </c>
      <c r="T906" s="51" t="s">
        <v>3129</v>
      </c>
      <c r="U906" s="51" t="s">
        <v>2551</v>
      </c>
      <c r="V906" s="51" t="s">
        <v>2205</v>
      </c>
      <c r="W906" s="51"/>
      <c r="X906" s="51"/>
    </row>
    <row r="907" customFormat="false" ht="14.25" hidden="true" customHeight="false" outlineLevel="0" collapsed="false">
      <c r="A907" s="49" t="s">
        <v>2251</v>
      </c>
      <c r="B907" s="49" t="s">
        <v>14</v>
      </c>
      <c r="C907" s="49" t="s">
        <v>1256</v>
      </c>
      <c r="D907" s="49" t="s">
        <v>2441</v>
      </c>
      <c r="E907" s="49" t="s">
        <v>2551</v>
      </c>
      <c r="F907" s="49" t="s">
        <v>168</v>
      </c>
      <c r="G907" s="49" t="n">
        <v>24</v>
      </c>
      <c r="H907" s="0" t="n">
        <v>0</v>
      </c>
      <c r="I907" s="51" t="s">
        <v>3365</v>
      </c>
      <c r="J907" s="49" t="s">
        <v>2764</v>
      </c>
      <c r="K907" s="52" t="n">
        <v>47823</v>
      </c>
      <c r="M907" s="51" t="s">
        <v>3258</v>
      </c>
      <c r="N907" s="49" t="n">
        <v>24</v>
      </c>
      <c r="O907" s="53" t="n">
        <v>46064.5776041667</v>
      </c>
      <c r="P907" s="53" t="n">
        <v>46064.6723032407</v>
      </c>
      <c r="Q907" s="53" t="n">
        <v>46064.5776041667</v>
      </c>
      <c r="R907" s="0" t="n">
        <v>0</v>
      </c>
      <c r="S907" s="51" t="s">
        <v>3129</v>
      </c>
      <c r="T907" s="51" t="s">
        <v>3129</v>
      </c>
      <c r="U907" s="51" t="s">
        <v>2551</v>
      </c>
      <c r="V907" s="51" t="s">
        <v>2205</v>
      </c>
      <c r="W907" s="51"/>
      <c r="X907" s="51"/>
    </row>
    <row r="908" customFormat="false" ht="14.25" hidden="true" customHeight="false" outlineLevel="0" collapsed="false">
      <c r="A908" s="49" t="s">
        <v>2251</v>
      </c>
      <c r="B908" s="49" t="s">
        <v>14</v>
      </c>
      <c r="C908" s="49" t="s">
        <v>1257</v>
      </c>
      <c r="D908" s="49" t="s">
        <v>2441</v>
      </c>
      <c r="E908" s="49" t="s">
        <v>2551</v>
      </c>
      <c r="F908" s="49" t="s">
        <v>168</v>
      </c>
      <c r="G908" s="49" t="n">
        <v>24</v>
      </c>
      <c r="H908" s="0" t="n">
        <v>0</v>
      </c>
      <c r="I908" s="51" t="s">
        <v>3366</v>
      </c>
      <c r="J908" s="49" t="s">
        <v>3367</v>
      </c>
      <c r="K908" s="52" t="n">
        <v>47823</v>
      </c>
      <c r="M908" s="51" t="s">
        <v>3258</v>
      </c>
      <c r="N908" s="49" t="n">
        <v>24</v>
      </c>
      <c r="O908" s="53" t="n">
        <v>46064.5767361111</v>
      </c>
      <c r="P908" s="53" t="n">
        <v>46064.6702777778</v>
      </c>
      <c r="Q908" s="53" t="n">
        <v>46064.5767361111</v>
      </c>
      <c r="R908" s="0" t="n">
        <v>0</v>
      </c>
      <c r="S908" s="51" t="s">
        <v>3129</v>
      </c>
      <c r="T908" s="51" t="s">
        <v>3129</v>
      </c>
      <c r="U908" s="51" t="s">
        <v>2551</v>
      </c>
      <c r="V908" s="51" t="s">
        <v>2205</v>
      </c>
      <c r="W908" s="51"/>
      <c r="X908" s="51"/>
    </row>
    <row r="909" customFormat="false" ht="14.25" hidden="true" customHeight="false" outlineLevel="0" collapsed="false">
      <c r="A909" s="49" t="s">
        <v>2251</v>
      </c>
      <c r="B909" s="49" t="s">
        <v>14</v>
      </c>
      <c r="C909" s="49" t="s">
        <v>1260</v>
      </c>
      <c r="D909" s="49" t="s">
        <v>2441</v>
      </c>
      <c r="E909" s="49" t="s">
        <v>2551</v>
      </c>
      <c r="F909" s="49" t="s">
        <v>168</v>
      </c>
      <c r="G909" s="49" t="n">
        <v>24</v>
      </c>
      <c r="H909" s="0" t="n">
        <v>0</v>
      </c>
      <c r="I909" s="51" t="s">
        <v>3368</v>
      </c>
      <c r="J909" s="49" t="s">
        <v>2764</v>
      </c>
      <c r="K909" s="52" t="n">
        <v>47823</v>
      </c>
      <c r="M909" s="51" t="s">
        <v>3258</v>
      </c>
      <c r="N909" s="49" t="n">
        <v>24</v>
      </c>
      <c r="O909" s="53" t="n">
        <v>46064.5716782407</v>
      </c>
      <c r="P909" s="53" t="n">
        <v>46064.665775463</v>
      </c>
      <c r="Q909" s="53" t="n">
        <v>46064.5716782407</v>
      </c>
      <c r="R909" s="0" t="n">
        <v>0</v>
      </c>
      <c r="S909" s="51" t="s">
        <v>3129</v>
      </c>
      <c r="T909" s="51" t="s">
        <v>3129</v>
      </c>
      <c r="U909" s="51" t="s">
        <v>2551</v>
      </c>
      <c r="V909" s="51" t="s">
        <v>2205</v>
      </c>
      <c r="W909" s="51"/>
      <c r="X909" s="51"/>
    </row>
    <row r="910" customFormat="false" ht="14.25" hidden="true" customHeight="false" outlineLevel="0" collapsed="false">
      <c r="A910" s="49" t="s">
        <v>2251</v>
      </c>
      <c r="B910" s="49" t="s">
        <v>14</v>
      </c>
      <c r="C910" s="49" t="s">
        <v>1261</v>
      </c>
      <c r="D910" s="49" t="s">
        <v>2441</v>
      </c>
      <c r="E910" s="49" t="s">
        <v>2551</v>
      </c>
      <c r="F910" s="49" t="s">
        <v>168</v>
      </c>
      <c r="G910" s="49" t="n">
        <v>24</v>
      </c>
      <c r="H910" s="0" t="n">
        <v>0</v>
      </c>
      <c r="I910" s="51" t="s">
        <v>3369</v>
      </c>
      <c r="J910" s="49" t="s">
        <v>2778</v>
      </c>
      <c r="K910" s="52" t="n">
        <v>47823</v>
      </c>
      <c r="M910" s="51" t="s">
        <v>3258</v>
      </c>
      <c r="N910" s="49" t="n">
        <v>24</v>
      </c>
      <c r="O910" s="53" t="n">
        <v>46064.5709259259</v>
      </c>
      <c r="P910" s="53" t="n">
        <v>46064.6641203704</v>
      </c>
      <c r="Q910" s="53" t="n">
        <v>46064.5709259259</v>
      </c>
      <c r="R910" s="0" t="n">
        <v>0</v>
      </c>
      <c r="S910" s="51" t="s">
        <v>3129</v>
      </c>
      <c r="T910" s="51" t="s">
        <v>3129</v>
      </c>
      <c r="U910" s="51" t="s">
        <v>2551</v>
      </c>
      <c r="V910" s="51" t="s">
        <v>2205</v>
      </c>
      <c r="W910" s="51"/>
      <c r="X910" s="51"/>
    </row>
    <row r="911" customFormat="false" ht="14.25" hidden="true" customHeight="false" outlineLevel="0" collapsed="false">
      <c r="A911" s="49" t="s">
        <v>2251</v>
      </c>
      <c r="B911" s="49" t="s">
        <v>14</v>
      </c>
      <c r="C911" s="49" t="s">
        <v>1262</v>
      </c>
      <c r="D911" s="49" t="s">
        <v>2441</v>
      </c>
      <c r="E911" s="49" t="s">
        <v>2551</v>
      </c>
      <c r="F911" s="49" t="s">
        <v>168</v>
      </c>
      <c r="G911" s="49" t="n">
        <v>24</v>
      </c>
      <c r="H911" s="0" t="n">
        <v>0</v>
      </c>
      <c r="I911" s="51" t="s">
        <v>3370</v>
      </c>
      <c r="J911" s="49" t="s">
        <v>2764</v>
      </c>
      <c r="K911" s="52" t="n">
        <v>47823</v>
      </c>
      <c r="M911" s="51" t="s">
        <v>3258</v>
      </c>
      <c r="N911" s="49" t="n">
        <v>24</v>
      </c>
      <c r="O911" s="53" t="n">
        <v>46064.5700694444</v>
      </c>
      <c r="P911" s="53" t="n">
        <v>46064.6626967593</v>
      </c>
      <c r="Q911" s="53" t="n">
        <v>46064.5700694444</v>
      </c>
      <c r="R911" s="0" t="n">
        <v>0</v>
      </c>
      <c r="S911" s="51" t="s">
        <v>3129</v>
      </c>
      <c r="T911" s="51" t="s">
        <v>3129</v>
      </c>
      <c r="U911" s="51" t="s">
        <v>2551</v>
      </c>
      <c r="V911" s="51" t="s">
        <v>2205</v>
      </c>
      <c r="W911" s="51"/>
      <c r="X911" s="51"/>
    </row>
    <row r="912" customFormat="false" ht="14.25" hidden="true" customHeight="false" outlineLevel="0" collapsed="false">
      <c r="A912" s="49" t="s">
        <v>2251</v>
      </c>
      <c r="B912" s="49" t="s">
        <v>14</v>
      </c>
      <c r="C912" s="49" t="s">
        <v>1263</v>
      </c>
      <c r="D912" s="49" t="s">
        <v>2441</v>
      </c>
      <c r="E912" s="49" t="s">
        <v>2551</v>
      </c>
      <c r="F912" s="49" t="s">
        <v>168</v>
      </c>
      <c r="G912" s="49" t="n">
        <v>24</v>
      </c>
      <c r="H912" s="0" t="n">
        <v>0</v>
      </c>
      <c r="I912" s="51" t="s">
        <v>3371</v>
      </c>
      <c r="J912" s="49" t="s">
        <v>2761</v>
      </c>
      <c r="K912" s="52" t="n">
        <v>47823</v>
      </c>
      <c r="M912" s="51" t="s">
        <v>3258</v>
      </c>
      <c r="N912" s="49" t="n">
        <v>24</v>
      </c>
      <c r="O912" s="53" t="n">
        <v>46064.5693171296</v>
      </c>
      <c r="P912" s="53" t="n">
        <v>46064.6613194444</v>
      </c>
      <c r="Q912" s="53" t="n">
        <v>46064.5693171296</v>
      </c>
      <c r="R912" s="0" t="n">
        <v>0</v>
      </c>
      <c r="S912" s="51" t="s">
        <v>3129</v>
      </c>
      <c r="T912" s="51" t="s">
        <v>3129</v>
      </c>
      <c r="U912" s="51" t="s">
        <v>2551</v>
      </c>
      <c r="V912" s="51" t="s">
        <v>2205</v>
      </c>
      <c r="W912" s="51"/>
      <c r="X912" s="51"/>
    </row>
    <row r="913" customFormat="false" ht="14.25" hidden="true" customHeight="false" outlineLevel="0" collapsed="false">
      <c r="A913" s="49" t="s">
        <v>2251</v>
      </c>
      <c r="B913" s="49" t="s">
        <v>14</v>
      </c>
      <c r="C913" s="49" t="s">
        <v>1237</v>
      </c>
      <c r="D913" s="49" t="s">
        <v>2441</v>
      </c>
      <c r="E913" s="49" t="s">
        <v>2551</v>
      </c>
      <c r="F913" s="49" t="s">
        <v>168</v>
      </c>
      <c r="G913" s="49" t="n">
        <v>24</v>
      </c>
      <c r="H913" s="0" t="n">
        <v>0</v>
      </c>
      <c r="I913" s="51" t="s">
        <v>3372</v>
      </c>
      <c r="J913" s="49" t="s">
        <v>2778</v>
      </c>
      <c r="K913" s="52" t="n">
        <v>47823</v>
      </c>
      <c r="M913" s="51" t="s">
        <v>3258</v>
      </c>
      <c r="N913" s="49" t="n">
        <v>24</v>
      </c>
      <c r="O913" s="53" t="n">
        <v>46064.5684722222</v>
      </c>
      <c r="P913" s="53" t="n">
        <v>46064.6598263889</v>
      </c>
      <c r="Q913" s="53" t="n">
        <v>46064.5684722222</v>
      </c>
      <c r="R913" s="0" t="n">
        <v>0</v>
      </c>
      <c r="S913" s="51" t="s">
        <v>3129</v>
      </c>
      <c r="T913" s="51" t="s">
        <v>3129</v>
      </c>
      <c r="U913" s="51" t="s">
        <v>2551</v>
      </c>
      <c r="V913" s="51" t="s">
        <v>2205</v>
      </c>
      <c r="W913" s="51"/>
      <c r="X913" s="51"/>
    </row>
    <row r="914" customFormat="false" ht="14.25" hidden="true" customHeight="false" outlineLevel="0" collapsed="false">
      <c r="A914" s="49" t="s">
        <v>2251</v>
      </c>
      <c r="B914" s="49" t="s">
        <v>14</v>
      </c>
      <c r="C914" s="49" t="s">
        <v>1242</v>
      </c>
      <c r="D914" s="49" t="s">
        <v>2441</v>
      </c>
      <c r="E914" s="49" t="s">
        <v>2551</v>
      </c>
      <c r="F914" s="49" t="s">
        <v>168</v>
      </c>
      <c r="G914" s="49" t="n">
        <v>24</v>
      </c>
      <c r="H914" s="0" t="n">
        <v>0</v>
      </c>
      <c r="I914" s="51" t="s">
        <v>3373</v>
      </c>
      <c r="J914" s="49" t="s">
        <v>2764</v>
      </c>
      <c r="K914" s="52" t="n">
        <v>47823</v>
      </c>
      <c r="M914" s="51" t="s">
        <v>3258</v>
      </c>
      <c r="N914" s="49" t="n">
        <v>24</v>
      </c>
      <c r="O914" s="53" t="n">
        <v>46064.5674421296</v>
      </c>
      <c r="P914" s="53" t="n">
        <v>46064.6581134259</v>
      </c>
      <c r="Q914" s="53" t="n">
        <v>46064.5674421296</v>
      </c>
      <c r="R914" s="0" t="n">
        <v>0</v>
      </c>
      <c r="S914" s="51" t="s">
        <v>3129</v>
      </c>
      <c r="T914" s="51" t="s">
        <v>3129</v>
      </c>
      <c r="U914" s="51" t="s">
        <v>2551</v>
      </c>
      <c r="V914" s="51" t="s">
        <v>2205</v>
      </c>
      <c r="W914" s="51"/>
      <c r="X914" s="51"/>
    </row>
    <row r="915" customFormat="false" ht="14.25" hidden="true" customHeight="false" outlineLevel="0" collapsed="false">
      <c r="A915" s="49" t="s">
        <v>2251</v>
      </c>
      <c r="B915" s="49" t="s">
        <v>14</v>
      </c>
      <c r="C915" s="49" t="s">
        <v>1301</v>
      </c>
      <c r="D915" s="49" t="s">
        <v>2441</v>
      </c>
      <c r="E915" s="49" t="s">
        <v>2551</v>
      </c>
      <c r="F915" s="49" t="s">
        <v>168</v>
      </c>
      <c r="G915" s="49" t="n">
        <v>22</v>
      </c>
      <c r="H915" s="0" t="n">
        <v>0</v>
      </c>
      <c r="I915" s="51" t="s">
        <v>3374</v>
      </c>
      <c r="J915" s="49" t="s">
        <v>2778</v>
      </c>
      <c r="K915" s="52" t="n">
        <v>47823</v>
      </c>
      <c r="M915" s="51" t="s">
        <v>3263</v>
      </c>
      <c r="N915" s="49" t="n">
        <v>22</v>
      </c>
      <c r="O915" s="53" t="n">
        <v>46065.6810648148</v>
      </c>
      <c r="P915" s="53" t="n">
        <v>46065.7899537037</v>
      </c>
      <c r="Q915" s="53" t="n">
        <v>46065.6810648148</v>
      </c>
      <c r="R915" s="0" t="n">
        <v>0</v>
      </c>
      <c r="S915" s="51" t="s">
        <v>3129</v>
      </c>
      <c r="T915" s="51" t="s">
        <v>3129</v>
      </c>
      <c r="U915" s="51" t="s">
        <v>2551</v>
      </c>
      <c r="V915" s="51" t="s">
        <v>2205</v>
      </c>
      <c r="W915" s="51"/>
      <c r="X915" s="51"/>
    </row>
    <row r="916" customFormat="false" ht="14.25" hidden="true" customHeight="false" outlineLevel="0" collapsed="false">
      <c r="A916" s="49" t="s">
        <v>2251</v>
      </c>
      <c r="B916" s="49" t="s">
        <v>14</v>
      </c>
      <c r="C916" s="49" t="s">
        <v>1297</v>
      </c>
      <c r="D916" s="49" t="s">
        <v>2441</v>
      </c>
      <c r="E916" s="49" t="s">
        <v>2551</v>
      </c>
      <c r="F916" s="49" t="s">
        <v>168</v>
      </c>
      <c r="G916" s="49" t="n">
        <v>4</v>
      </c>
      <c r="H916" s="0" t="n">
        <v>0</v>
      </c>
      <c r="I916" s="51" t="s">
        <v>3375</v>
      </c>
      <c r="J916" s="49" t="s">
        <v>3367</v>
      </c>
      <c r="K916" s="52" t="n">
        <v>47823</v>
      </c>
      <c r="M916" s="51" t="s">
        <v>3263</v>
      </c>
      <c r="N916" s="49" t="n">
        <v>4</v>
      </c>
      <c r="O916" s="53" t="n">
        <v>46065.6677430556</v>
      </c>
      <c r="P916" s="53" t="n">
        <v>46065.7614351852</v>
      </c>
      <c r="Q916" s="53" t="n">
        <v>46065.6677430556</v>
      </c>
      <c r="R916" s="0" t="n">
        <v>0</v>
      </c>
      <c r="S916" s="51" t="s">
        <v>3129</v>
      </c>
      <c r="T916" s="51" t="s">
        <v>3129</v>
      </c>
      <c r="U916" s="51" t="s">
        <v>2551</v>
      </c>
      <c r="V916" s="51" t="s">
        <v>2205</v>
      </c>
      <c r="W916" s="51"/>
      <c r="X916" s="51"/>
    </row>
    <row r="917" customFormat="false" ht="14.25" hidden="true" customHeight="false" outlineLevel="0" collapsed="false">
      <c r="A917" s="49" t="s">
        <v>2251</v>
      </c>
      <c r="B917" s="49" t="s">
        <v>14</v>
      </c>
      <c r="C917" s="49" t="s">
        <v>1059</v>
      </c>
      <c r="D917" s="49" t="s">
        <v>2441</v>
      </c>
      <c r="E917" s="49" t="s">
        <v>2551</v>
      </c>
      <c r="F917" s="49" t="s">
        <v>168</v>
      </c>
      <c r="G917" s="49" t="n">
        <v>24</v>
      </c>
      <c r="H917" s="0" t="n">
        <v>0</v>
      </c>
      <c r="I917" s="51" t="s">
        <v>3376</v>
      </c>
      <c r="J917" s="49" t="s">
        <v>2764</v>
      </c>
      <c r="K917" s="52" t="n">
        <v>47823</v>
      </c>
      <c r="M917" s="51" t="s">
        <v>3273</v>
      </c>
      <c r="N917" s="49" t="n">
        <v>24</v>
      </c>
      <c r="O917" s="53" t="n">
        <v>46061.3554398148</v>
      </c>
      <c r="P917" s="53" t="n">
        <v>46064.7202662037</v>
      </c>
      <c r="Q917" s="53" t="n">
        <v>46061.3554398148</v>
      </c>
      <c r="R917" s="0" t="n">
        <v>0</v>
      </c>
      <c r="S917" s="51" t="s">
        <v>3129</v>
      </c>
      <c r="T917" s="51" t="s">
        <v>3129</v>
      </c>
      <c r="U917" s="51" t="s">
        <v>2551</v>
      </c>
      <c r="V917" s="51" t="s">
        <v>2205</v>
      </c>
      <c r="W917" s="51" t="s">
        <v>3377</v>
      </c>
      <c r="X917" s="51"/>
    </row>
    <row r="918" customFormat="false" ht="14.25" hidden="false" customHeight="false" outlineLevel="0" collapsed="false">
      <c r="A918" s="49" t="s">
        <v>2251</v>
      </c>
      <c r="B918" s="49" t="s">
        <v>14</v>
      </c>
      <c r="C918" s="49" t="s">
        <v>1036</v>
      </c>
      <c r="D918" s="49" t="s">
        <v>2441</v>
      </c>
      <c r="E918" s="49" t="s">
        <v>2551</v>
      </c>
      <c r="F918" s="49" t="s">
        <v>168</v>
      </c>
      <c r="G918" s="49" t="n">
        <v>24</v>
      </c>
      <c r="H918" s="0" t="n">
        <v>0</v>
      </c>
      <c r="I918" s="51" t="s">
        <v>3378</v>
      </c>
      <c r="J918" s="49" t="s">
        <v>2764</v>
      </c>
      <c r="K918" s="52" t="n">
        <v>47823</v>
      </c>
      <c r="M918" s="51" t="s">
        <v>3273</v>
      </c>
      <c r="N918" s="0" t="n">
        <v>24</v>
      </c>
      <c r="O918" s="53" t="n">
        <v>46061.3545023148</v>
      </c>
      <c r="P918" s="53" t="n">
        <v>46064.7180787037</v>
      </c>
      <c r="Q918" s="0" t="n">
        <v>46061.3545023148</v>
      </c>
      <c r="R918" s="0" t="n">
        <v>0</v>
      </c>
      <c r="S918" s="51" t="s">
        <v>3129</v>
      </c>
      <c r="T918" s="51" t="s">
        <v>3129</v>
      </c>
      <c r="U918" s="51" t="s">
        <v>2551</v>
      </c>
      <c r="V918" s="51" t="s">
        <v>2205</v>
      </c>
      <c r="W918" s="51" t="s">
        <v>3262</v>
      </c>
    </row>
    <row r="919" customFormat="false" ht="14.25" hidden="true" customHeight="false" outlineLevel="0" collapsed="false">
      <c r="A919" s="49" t="s">
        <v>2251</v>
      </c>
      <c r="B919" s="49" t="s">
        <v>14</v>
      </c>
      <c r="C919" s="49" t="s">
        <v>1018</v>
      </c>
      <c r="D919" s="49" t="s">
        <v>2441</v>
      </c>
      <c r="E919" s="49" t="s">
        <v>3353</v>
      </c>
      <c r="F919" s="49" t="s">
        <v>1005</v>
      </c>
      <c r="G919" s="49" t="n">
        <v>1</v>
      </c>
      <c r="H919" s="0" t="n">
        <v>0</v>
      </c>
      <c r="I919" s="51" t="s">
        <v>3379</v>
      </c>
      <c r="J919" s="49" t="s">
        <v>3355</v>
      </c>
      <c r="K919" s="52" t="n">
        <v>47823</v>
      </c>
      <c r="M919" s="51" t="s">
        <v>3157</v>
      </c>
      <c r="N919" s="49" t="n">
        <v>1</v>
      </c>
      <c r="O919" s="53" t="n">
        <v>46060.5819328704</v>
      </c>
      <c r="P919" s="53" t="n">
        <v>46061.6011458333</v>
      </c>
      <c r="Q919" s="0" t="n">
        <v>46060.5819328704</v>
      </c>
      <c r="R919" s="0" t="n">
        <v>0</v>
      </c>
      <c r="S919" s="51" t="s">
        <v>3129</v>
      </c>
      <c r="T919" s="51" t="s">
        <v>3129</v>
      </c>
      <c r="U919" s="51" t="s">
        <v>3353</v>
      </c>
      <c r="V919" s="51" t="s">
        <v>2142</v>
      </c>
    </row>
    <row r="920" customFormat="false" ht="14.25" hidden="true" customHeight="false" outlineLevel="0" collapsed="false">
      <c r="A920" s="49" t="s">
        <v>2251</v>
      </c>
      <c r="B920" s="49" t="s">
        <v>14</v>
      </c>
      <c r="C920" s="49" t="s">
        <v>1030</v>
      </c>
      <c r="D920" s="49" t="s">
        <v>2441</v>
      </c>
      <c r="E920" s="49" t="s">
        <v>3353</v>
      </c>
      <c r="F920" s="49" t="s">
        <v>1005</v>
      </c>
      <c r="G920" s="49" t="n">
        <v>4</v>
      </c>
      <c r="H920" s="0" t="n">
        <v>0</v>
      </c>
      <c r="I920" s="51" t="s">
        <v>3380</v>
      </c>
      <c r="J920" s="49" t="s">
        <v>3355</v>
      </c>
      <c r="K920" s="52" t="n">
        <v>47823</v>
      </c>
      <c r="M920" s="51" t="s">
        <v>3157</v>
      </c>
      <c r="N920" s="49" t="n">
        <v>4</v>
      </c>
      <c r="O920" s="53" t="n">
        <v>46060.5986111111</v>
      </c>
      <c r="P920" s="53" t="n">
        <v>46061.460150463</v>
      </c>
      <c r="Q920" s="53" t="n">
        <v>46060.5986111111</v>
      </c>
      <c r="R920" s="0" t="n">
        <v>0</v>
      </c>
      <c r="S920" s="51" t="s">
        <v>3129</v>
      </c>
      <c r="T920" s="51" t="s">
        <v>3129</v>
      </c>
      <c r="U920" s="51" t="s">
        <v>3353</v>
      </c>
      <c r="V920" s="51" t="s">
        <v>2142</v>
      </c>
      <c r="W920" s="51"/>
      <c r="X920" s="51"/>
    </row>
    <row r="921" customFormat="false" ht="14.25" hidden="true" customHeight="false" outlineLevel="0" collapsed="false">
      <c r="A921" s="49" t="s">
        <v>2251</v>
      </c>
      <c r="B921" s="49" t="s">
        <v>14</v>
      </c>
      <c r="C921" s="49" t="s">
        <v>1028</v>
      </c>
      <c r="D921" s="49" t="s">
        <v>2441</v>
      </c>
      <c r="E921" s="49" t="s">
        <v>3353</v>
      </c>
      <c r="F921" s="49" t="s">
        <v>1005</v>
      </c>
      <c r="G921" s="49" t="n">
        <v>4</v>
      </c>
      <c r="H921" s="0" t="n">
        <v>0</v>
      </c>
      <c r="I921" s="51" t="s">
        <v>3381</v>
      </c>
      <c r="J921" s="49" t="s">
        <v>3355</v>
      </c>
      <c r="K921" s="52" t="n">
        <v>47823</v>
      </c>
      <c r="M921" s="51" t="s">
        <v>3157</v>
      </c>
      <c r="N921" s="49" t="n">
        <v>4</v>
      </c>
      <c r="O921" s="53" t="n">
        <v>46060.5996643519</v>
      </c>
      <c r="P921" s="53" t="n">
        <v>46061.4603125</v>
      </c>
      <c r="Q921" s="53" t="n">
        <v>46060.5996643519</v>
      </c>
      <c r="R921" s="0" t="n">
        <v>0</v>
      </c>
      <c r="S921" s="51" t="s">
        <v>3129</v>
      </c>
      <c r="T921" s="51" t="s">
        <v>3129</v>
      </c>
      <c r="U921" s="51" t="s">
        <v>3353</v>
      </c>
      <c r="V921" s="51" t="s">
        <v>2142</v>
      </c>
      <c r="W921" s="51"/>
      <c r="X921" s="51"/>
    </row>
    <row r="922" customFormat="false" ht="14.25" hidden="true" customHeight="false" outlineLevel="0" collapsed="false">
      <c r="A922" s="49" t="s">
        <v>2251</v>
      </c>
      <c r="B922" s="49" t="s">
        <v>14</v>
      </c>
      <c r="C922" s="49" t="s">
        <v>1026</v>
      </c>
      <c r="D922" s="49" t="s">
        <v>2441</v>
      </c>
      <c r="E922" s="49" t="s">
        <v>3353</v>
      </c>
      <c r="F922" s="49" t="s">
        <v>1005</v>
      </c>
      <c r="G922" s="49" t="n">
        <v>4</v>
      </c>
      <c r="H922" s="0" t="n">
        <v>0</v>
      </c>
      <c r="I922" s="51" t="s">
        <v>3382</v>
      </c>
      <c r="J922" s="49" t="s">
        <v>3355</v>
      </c>
      <c r="K922" s="52" t="n">
        <v>47823</v>
      </c>
      <c r="M922" s="51" t="s">
        <v>3157</v>
      </c>
      <c r="N922" s="49" t="n">
        <v>4</v>
      </c>
      <c r="O922" s="53" t="n">
        <v>46060.6007523148</v>
      </c>
      <c r="P922" s="53" t="n">
        <v>46061.4605208333</v>
      </c>
      <c r="Q922" s="53" t="n">
        <v>46060.6007523148</v>
      </c>
      <c r="R922" s="0" t="n">
        <v>0</v>
      </c>
      <c r="S922" s="51" t="s">
        <v>3129</v>
      </c>
      <c r="T922" s="51" t="s">
        <v>3129</v>
      </c>
      <c r="U922" s="51" t="s">
        <v>3353</v>
      </c>
      <c r="V922" s="51" t="s">
        <v>2142</v>
      </c>
      <c r="W922" s="51"/>
      <c r="X922" s="51"/>
    </row>
    <row r="923" customFormat="false" ht="14.25" hidden="false" customHeight="false" outlineLevel="0" collapsed="false">
      <c r="A923" s="49" t="s">
        <v>2251</v>
      </c>
      <c r="B923" s="49" t="s">
        <v>14</v>
      </c>
      <c r="C923" s="49" t="s">
        <v>1025</v>
      </c>
      <c r="D923" s="49" t="s">
        <v>2441</v>
      </c>
      <c r="E923" s="49" t="s">
        <v>3353</v>
      </c>
      <c r="F923" s="49" t="s">
        <v>1005</v>
      </c>
      <c r="G923" s="49" t="n">
        <v>4</v>
      </c>
      <c r="H923" s="0" t="n">
        <v>0</v>
      </c>
      <c r="I923" s="51" t="s">
        <v>3383</v>
      </c>
      <c r="J923" s="49" t="s">
        <v>3355</v>
      </c>
      <c r="K923" s="52" t="n">
        <v>47823</v>
      </c>
      <c r="M923" s="51" t="s">
        <v>3157</v>
      </c>
      <c r="N923" s="0" t="n">
        <v>4</v>
      </c>
      <c r="O923" s="53" t="n">
        <v>46060.6020023148</v>
      </c>
      <c r="P923" s="53" t="n">
        <v>46061.4701157407</v>
      </c>
      <c r="Q923" s="0" t="n">
        <v>46060.6020023148</v>
      </c>
      <c r="R923" s="0" t="n">
        <v>0</v>
      </c>
      <c r="S923" s="51" t="s">
        <v>3129</v>
      </c>
      <c r="T923" s="51" t="s">
        <v>3129</v>
      </c>
      <c r="U923" s="51" t="s">
        <v>3353</v>
      </c>
      <c r="V923" s="51" t="s">
        <v>2142</v>
      </c>
    </row>
    <row r="924" customFormat="false" ht="14.25" hidden="false" customHeight="false" outlineLevel="0" collapsed="false">
      <c r="A924" s="49" t="s">
        <v>2251</v>
      </c>
      <c r="B924" s="49" t="s">
        <v>14</v>
      </c>
      <c r="C924" s="49" t="s">
        <v>1023</v>
      </c>
      <c r="D924" s="49" t="s">
        <v>2441</v>
      </c>
      <c r="E924" s="49" t="s">
        <v>3353</v>
      </c>
      <c r="F924" s="49" t="s">
        <v>1005</v>
      </c>
      <c r="G924" s="49" t="n">
        <v>4</v>
      </c>
      <c r="H924" s="0" t="n">
        <v>0</v>
      </c>
      <c r="I924" s="51" t="s">
        <v>3384</v>
      </c>
      <c r="J924" s="49" t="s">
        <v>3355</v>
      </c>
      <c r="K924" s="52" t="n">
        <v>47823</v>
      </c>
      <c r="M924" s="51" t="s">
        <v>3157</v>
      </c>
      <c r="N924" s="0" t="n">
        <v>4</v>
      </c>
      <c r="O924" s="53" t="n">
        <v>46060.6025578704</v>
      </c>
      <c r="P924" s="53" t="n">
        <v>46061.4609375</v>
      </c>
      <c r="Q924" s="53" t="n">
        <v>46060.6025578704</v>
      </c>
      <c r="R924" s="0" t="n">
        <v>0</v>
      </c>
      <c r="S924" s="51" t="s">
        <v>3129</v>
      </c>
      <c r="T924" s="51" t="s">
        <v>3129</v>
      </c>
      <c r="U924" s="51" t="s">
        <v>3353</v>
      </c>
      <c r="V924" s="51" t="s">
        <v>2142</v>
      </c>
      <c r="W924" s="51"/>
      <c r="X924" s="51"/>
    </row>
    <row r="925" customFormat="false" ht="14.25" hidden="false" customHeight="false" outlineLevel="0" collapsed="false">
      <c r="A925" s="49" t="s">
        <v>2251</v>
      </c>
      <c r="B925" s="49" t="s">
        <v>14</v>
      </c>
      <c r="C925" s="49" t="s">
        <v>451</v>
      </c>
      <c r="D925" s="49" t="s">
        <v>2441</v>
      </c>
      <c r="E925" s="49" t="s">
        <v>2500</v>
      </c>
      <c r="F925" s="49" t="s">
        <v>16</v>
      </c>
      <c r="G925" s="49" t="n">
        <v>4</v>
      </c>
      <c r="H925" s="0" t="n">
        <v>0</v>
      </c>
      <c r="I925" s="51" t="s">
        <v>3385</v>
      </c>
      <c r="J925" s="49" t="s">
        <v>2801</v>
      </c>
      <c r="K925" s="52" t="n">
        <v>47827</v>
      </c>
      <c r="M925" s="51" t="s">
        <v>3308</v>
      </c>
      <c r="N925" s="0" t="n">
        <v>4</v>
      </c>
      <c r="O925" s="53" t="n">
        <v>46054.4045833333</v>
      </c>
      <c r="P925" s="53" t="n">
        <v>46054.5597916667</v>
      </c>
      <c r="Q925" s="53" t="n">
        <v>46054.4045833333</v>
      </c>
      <c r="R925" s="0" t="n">
        <v>0</v>
      </c>
      <c r="S925" s="51" t="s">
        <v>3129</v>
      </c>
      <c r="T925" s="51" t="s">
        <v>3129</v>
      </c>
      <c r="U925" s="51" t="s">
        <v>2500</v>
      </c>
      <c r="V925" s="51" t="s">
        <v>2142</v>
      </c>
      <c r="W925" s="51"/>
      <c r="X925" s="51"/>
    </row>
    <row r="926" customFormat="false" ht="14.25" hidden="true" customHeight="false" outlineLevel="0" collapsed="false">
      <c r="A926" s="49" t="s">
        <v>2251</v>
      </c>
      <c r="B926" s="49" t="s">
        <v>14</v>
      </c>
      <c r="C926" s="49" t="s">
        <v>1061</v>
      </c>
      <c r="D926" s="49" t="s">
        <v>3326</v>
      </c>
      <c r="E926" s="49" t="s">
        <v>2500</v>
      </c>
      <c r="F926" s="49" t="s">
        <v>16</v>
      </c>
      <c r="G926" s="49" t="n">
        <v>4</v>
      </c>
      <c r="H926" s="0" t="n">
        <v>0</v>
      </c>
      <c r="J926" s="49" t="s">
        <v>2801</v>
      </c>
      <c r="K926" s="52" t="n">
        <v>47827</v>
      </c>
      <c r="M926" s="51" t="s">
        <v>3302</v>
      </c>
      <c r="N926" s="49" t="n">
        <v>4</v>
      </c>
      <c r="O926" s="53" t="n">
        <v>46061.4340509259</v>
      </c>
      <c r="P926" s="53" t="n">
        <v>46061.4340509259</v>
      </c>
      <c r="Q926" s="53" t="n">
        <v>46061.4340509259</v>
      </c>
      <c r="R926" s="0" t="n">
        <v>0</v>
      </c>
      <c r="S926" s="51" t="s">
        <v>3129</v>
      </c>
      <c r="T926" s="51" t="s">
        <v>3129</v>
      </c>
      <c r="U926" s="51" t="s">
        <v>2500</v>
      </c>
      <c r="V926" s="51" t="s">
        <v>2142</v>
      </c>
      <c r="W926" s="51"/>
      <c r="X926" s="51"/>
    </row>
    <row r="927" customFormat="false" ht="14.25" hidden="true" customHeight="false" outlineLevel="0" collapsed="false">
      <c r="A927" s="49" t="s">
        <v>2251</v>
      </c>
      <c r="B927" s="49" t="s">
        <v>14</v>
      </c>
      <c r="C927" s="49" t="s">
        <v>1062</v>
      </c>
      <c r="D927" s="49" t="s">
        <v>2441</v>
      </c>
      <c r="E927" s="49" t="s">
        <v>2500</v>
      </c>
      <c r="F927" s="49" t="s">
        <v>16</v>
      </c>
      <c r="G927" s="49" t="n">
        <v>4</v>
      </c>
      <c r="H927" s="0" t="n">
        <v>0</v>
      </c>
      <c r="I927" s="51" t="s">
        <v>3386</v>
      </c>
      <c r="J927" s="49" t="s">
        <v>2801</v>
      </c>
      <c r="K927" s="52" t="n">
        <v>47827</v>
      </c>
      <c r="M927" s="51" t="s">
        <v>3302</v>
      </c>
      <c r="N927" s="49" t="n">
        <v>4</v>
      </c>
      <c r="O927" s="53" t="n">
        <v>46061.4336342593</v>
      </c>
      <c r="P927" s="53" t="n">
        <v>46062.3604166667</v>
      </c>
      <c r="Q927" s="53" t="n">
        <v>46061.4336342593</v>
      </c>
      <c r="R927" s="0" t="n">
        <v>0</v>
      </c>
      <c r="S927" s="51" t="s">
        <v>3129</v>
      </c>
      <c r="T927" s="51" t="s">
        <v>3129</v>
      </c>
      <c r="U927" s="51" t="s">
        <v>2500</v>
      </c>
      <c r="V927" s="51" t="s">
        <v>2142</v>
      </c>
      <c r="W927" s="51"/>
      <c r="X927" s="51"/>
    </row>
    <row r="928" customFormat="false" ht="14.25" hidden="true" customHeight="false" outlineLevel="0" collapsed="false">
      <c r="A928" s="49" t="s">
        <v>2251</v>
      </c>
      <c r="B928" s="49" t="s">
        <v>14</v>
      </c>
      <c r="C928" s="49" t="s">
        <v>1063</v>
      </c>
      <c r="D928" s="49" t="s">
        <v>2441</v>
      </c>
      <c r="E928" s="49" t="s">
        <v>2500</v>
      </c>
      <c r="F928" s="49" t="s">
        <v>16</v>
      </c>
      <c r="G928" s="49" t="n">
        <v>4</v>
      </c>
      <c r="H928" s="0" t="n">
        <v>0</v>
      </c>
      <c r="I928" s="51" t="s">
        <v>3296</v>
      </c>
      <c r="J928" s="49" t="s">
        <v>2801</v>
      </c>
      <c r="K928" s="52" t="n">
        <v>47827</v>
      </c>
      <c r="M928" s="51" t="s">
        <v>3302</v>
      </c>
      <c r="N928" s="49" t="n">
        <v>4</v>
      </c>
      <c r="O928" s="53" t="n">
        <v>46061.4332291667</v>
      </c>
      <c r="P928" s="53" t="n">
        <v>46062.3569791667</v>
      </c>
      <c r="Q928" s="53" t="n">
        <v>46061.4332291667</v>
      </c>
      <c r="R928" s="0" t="n">
        <v>0</v>
      </c>
      <c r="S928" s="51" t="s">
        <v>3129</v>
      </c>
      <c r="T928" s="51" t="s">
        <v>3129</v>
      </c>
      <c r="U928" s="51" t="s">
        <v>2500</v>
      </c>
      <c r="V928" s="51" t="s">
        <v>2142</v>
      </c>
      <c r="W928" s="51"/>
      <c r="X928" s="51"/>
    </row>
    <row r="929" customFormat="false" ht="14.25" hidden="true" customHeight="false" outlineLevel="0" collapsed="false">
      <c r="A929" s="49" t="s">
        <v>2251</v>
      </c>
      <c r="B929" s="49" t="s">
        <v>14</v>
      </c>
      <c r="C929" s="49" t="s">
        <v>1064</v>
      </c>
      <c r="D929" s="49" t="s">
        <v>2441</v>
      </c>
      <c r="E929" s="49" t="s">
        <v>2500</v>
      </c>
      <c r="F929" s="49" t="s">
        <v>16</v>
      </c>
      <c r="G929" s="49" t="n">
        <v>4</v>
      </c>
      <c r="H929" s="0" t="n">
        <v>0</v>
      </c>
      <c r="I929" s="51" t="s">
        <v>3385</v>
      </c>
      <c r="J929" s="49" t="s">
        <v>2801</v>
      </c>
      <c r="K929" s="52" t="n">
        <v>47827</v>
      </c>
      <c r="M929" s="51" t="s">
        <v>3302</v>
      </c>
      <c r="N929" s="49" t="n">
        <v>4</v>
      </c>
      <c r="O929" s="53" t="n">
        <v>46061.4328935185</v>
      </c>
      <c r="P929" s="53" t="n">
        <v>46062.3446412037</v>
      </c>
      <c r="Q929" s="53" t="n">
        <v>46061.4328935185</v>
      </c>
      <c r="R929" s="0" t="n">
        <v>0</v>
      </c>
      <c r="S929" s="51" t="s">
        <v>3129</v>
      </c>
      <c r="T929" s="51" t="s">
        <v>3129</v>
      </c>
      <c r="U929" s="51" t="s">
        <v>2500</v>
      </c>
      <c r="V929" s="51" t="s">
        <v>2142</v>
      </c>
      <c r="W929" s="51"/>
      <c r="X929" s="51"/>
    </row>
    <row r="930" customFormat="false" ht="14.25" hidden="true" customHeight="false" outlineLevel="0" collapsed="false">
      <c r="A930" s="49" t="s">
        <v>2251</v>
      </c>
      <c r="B930" s="49" t="s">
        <v>14</v>
      </c>
      <c r="C930" s="49" t="s">
        <v>1065</v>
      </c>
      <c r="D930" s="49" t="s">
        <v>2441</v>
      </c>
      <c r="E930" s="49" t="s">
        <v>2500</v>
      </c>
      <c r="F930" s="49" t="s">
        <v>16</v>
      </c>
      <c r="G930" s="49" t="n">
        <v>4</v>
      </c>
      <c r="H930" s="0" t="n">
        <v>0</v>
      </c>
      <c r="I930" s="51" t="s">
        <v>3313</v>
      </c>
      <c r="J930" s="49" t="s">
        <v>2801</v>
      </c>
      <c r="K930" s="52" t="n">
        <v>47827</v>
      </c>
      <c r="M930" s="51" t="s">
        <v>3302</v>
      </c>
      <c r="N930" s="49" t="n">
        <v>4</v>
      </c>
      <c r="O930" s="53" t="n">
        <v>46061.4325</v>
      </c>
      <c r="P930" s="53" t="n">
        <v>46062.3384143519</v>
      </c>
      <c r="Q930" s="53" t="n">
        <v>46061.4325</v>
      </c>
      <c r="R930" s="0" t="n">
        <v>0</v>
      </c>
      <c r="S930" s="51" t="s">
        <v>3129</v>
      </c>
      <c r="T930" s="51" t="s">
        <v>3129</v>
      </c>
      <c r="U930" s="51" t="s">
        <v>2500</v>
      </c>
      <c r="V930" s="51" t="s">
        <v>2142</v>
      </c>
      <c r="W930" s="51"/>
      <c r="X930" s="51"/>
    </row>
    <row r="931" customFormat="false" ht="14.25" hidden="true" customHeight="false" outlineLevel="0" collapsed="false">
      <c r="A931" s="49" t="s">
        <v>2251</v>
      </c>
      <c r="B931" s="49" t="s">
        <v>14</v>
      </c>
      <c r="C931" s="49" t="s">
        <v>1060</v>
      </c>
      <c r="D931" s="49" t="s">
        <v>2441</v>
      </c>
      <c r="E931" s="49" t="s">
        <v>2500</v>
      </c>
      <c r="F931" s="49" t="s">
        <v>16</v>
      </c>
      <c r="G931" s="49" t="n">
        <v>4</v>
      </c>
      <c r="H931" s="0" t="n">
        <v>0</v>
      </c>
      <c r="I931" s="51" t="s">
        <v>3387</v>
      </c>
      <c r="J931" s="49" t="s">
        <v>2801</v>
      </c>
      <c r="K931" s="52" t="n">
        <v>47827</v>
      </c>
      <c r="M931" s="51" t="s">
        <v>3302</v>
      </c>
      <c r="N931" s="49" t="n">
        <v>4</v>
      </c>
      <c r="O931" s="53" t="n">
        <v>46061.4173148148</v>
      </c>
      <c r="P931" s="53" t="n">
        <v>46061.5713773148</v>
      </c>
      <c r="Q931" s="53" t="n">
        <v>46061.4173148148</v>
      </c>
      <c r="R931" s="0" t="n">
        <v>0</v>
      </c>
      <c r="S931" s="51" t="s">
        <v>3129</v>
      </c>
      <c r="T931" s="51" t="s">
        <v>3129</v>
      </c>
      <c r="U931" s="51" t="s">
        <v>2500</v>
      </c>
      <c r="V931" s="51" t="s">
        <v>2142</v>
      </c>
      <c r="W931" s="51"/>
      <c r="X931" s="51"/>
    </row>
    <row r="932" customFormat="false" ht="14.25" hidden="true" customHeight="false" outlineLevel="0" collapsed="false">
      <c r="A932" s="49" t="s">
        <v>2251</v>
      </c>
      <c r="B932" s="49" t="s">
        <v>14</v>
      </c>
      <c r="C932" s="49" t="s">
        <v>1066</v>
      </c>
      <c r="D932" s="49" t="s">
        <v>2441</v>
      </c>
      <c r="E932" s="49" t="s">
        <v>2500</v>
      </c>
      <c r="F932" s="49" t="s">
        <v>16</v>
      </c>
      <c r="G932" s="49" t="n">
        <v>4</v>
      </c>
      <c r="H932" s="0" t="n">
        <v>0</v>
      </c>
      <c r="I932" s="51" t="s">
        <v>3347</v>
      </c>
      <c r="J932" s="49" t="s">
        <v>2801</v>
      </c>
      <c r="K932" s="52" t="n">
        <v>47827</v>
      </c>
      <c r="M932" s="51" t="s">
        <v>3302</v>
      </c>
      <c r="N932" s="49" t="n">
        <v>4</v>
      </c>
      <c r="O932" s="53" t="n">
        <v>46061.4320601852</v>
      </c>
      <c r="P932" s="53" t="n">
        <v>46062.3360416667</v>
      </c>
      <c r="Q932" s="53" t="n">
        <v>46061.4320601852</v>
      </c>
      <c r="R932" s="0" t="n">
        <v>0</v>
      </c>
      <c r="S932" s="51" t="s">
        <v>3129</v>
      </c>
      <c r="T932" s="51" t="s">
        <v>3129</v>
      </c>
      <c r="U932" s="51" t="s">
        <v>2500</v>
      </c>
      <c r="V932" s="51" t="s">
        <v>2142</v>
      </c>
      <c r="W932" s="51"/>
      <c r="X932" s="51"/>
    </row>
    <row r="933" customFormat="false" ht="14.25" hidden="true" customHeight="false" outlineLevel="0" collapsed="false">
      <c r="A933" s="49" t="s">
        <v>2251</v>
      </c>
      <c r="B933" s="49" t="s">
        <v>14</v>
      </c>
      <c r="C933" s="49" t="s">
        <v>1067</v>
      </c>
      <c r="D933" s="49" t="s">
        <v>2441</v>
      </c>
      <c r="E933" s="49" t="s">
        <v>2500</v>
      </c>
      <c r="F933" s="49" t="s">
        <v>16</v>
      </c>
      <c r="G933" s="49" t="n">
        <v>4</v>
      </c>
      <c r="H933" s="0" t="n">
        <v>0</v>
      </c>
      <c r="I933" s="51" t="s">
        <v>3388</v>
      </c>
      <c r="J933" s="49" t="s">
        <v>2801</v>
      </c>
      <c r="K933" s="52" t="n">
        <v>47827</v>
      </c>
      <c r="M933" s="51" t="s">
        <v>3302</v>
      </c>
      <c r="N933" s="49" t="n">
        <v>4</v>
      </c>
      <c r="O933" s="53" t="n">
        <v>46061.4314814815</v>
      </c>
      <c r="P933" s="53" t="n">
        <v>46062.3327777778</v>
      </c>
      <c r="Q933" s="53" t="n">
        <v>46061.4314814815</v>
      </c>
      <c r="R933" s="0" t="n">
        <v>0</v>
      </c>
      <c r="S933" s="51" t="s">
        <v>3129</v>
      </c>
      <c r="T933" s="51" t="s">
        <v>3129</v>
      </c>
      <c r="U933" s="51" t="s">
        <v>2500</v>
      </c>
      <c r="V933" s="51" t="s">
        <v>2142</v>
      </c>
      <c r="W933" s="51"/>
      <c r="X933" s="51"/>
    </row>
    <row r="934" customFormat="false" ht="14.25" hidden="false" customHeight="false" outlineLevel="0" collapsed="false">
      <c r="A934" s="49" t="s">
        <v>2251</v>
      </c>
      <c r="B934" s="49" t="s">
        <v>14</v>
      </c>
      <c r="C934" s="49" t="s">
        <v>1068</v>
      </c>
      <c r="D934" s="49" t="s">
        <v>2441</v>
      </c>
      <c r="E934" s="49" t="s">
        <v>2500</v>
      </c>
      <c r="F934" s="49" t="s">
        <v>16</v>
      </c>
      <c r="G934" s="49" t="n">
        <v>4</v>
      </c>
      <c r="H934" s="0" t="n">
        <v>0</v>
      </c>
      <c r="I934" s="51" t="s">
        <v>3389</v>
      </c>
      <c r="J934" s="49" t="s">
        <v>2801</v>
      </c>
      <c r="K934" s="52" t="n">
        <v>47827</v>
      </c>
      <c r="M934" s="51" t="s">
        <v>3302</v>
      </c>
      <c r="N934" s="0" t="n">
        <v>4</v>
      </c>
      <c r="O934" s="53" t="n">
        <v>46061.4305555556</v>
      </c>
      <c r="P934" s="53" t="n">
        <v>46062.3327777778</v>
      </c>
      <c r="Q934" s="53" t="n">
        <v>46061.4305555556</v>
      </c>
      <c r="R934" s="0" t="n">
        <v>0</v>
      </c>
      <c r="S934" s="51" t="s">
        <v>3129</v>
      </c>
      <c r="T934" s="51" t="s">
        <v>3129</v>
      </c>
      <c r="U934" s="51" t="s">
        <v>2500</v>
      </c>
      <c r="V934" s="51" t="s">
        <v>2142</v>
      </c>
      <c r="W934" s="51"/>
      <c r="X934" s="51"/>
    </row>
    <row r="935" customFormat="false" ht="14.25" hidden="true" customHeight="false" outlineLevel="0" collapsed="false">
      <c r="A935" s="49" t="s">
        <v>2251</v>
      </c>
      <c r="B935" s="49" t="s">
        <v>14</v>
      </c>
      <c r="C935" s="49" t="s">
        <v>1069</v>
      </c>
      <c r="D935" s="49" t="s">
        <v>2441</v>
      </c>
      <c r="E935" s="49" t="s">
        <v>2500</v>
      </c>
      <c r="F935" s="49" t="s">
        <v>16</v>
      </c>
      <c r="G935" s="49" t="n">
        <v>4</v>
      </c>
      <c r="H935" s="0" t="n">
        <v>0</v>
      </c>
      <c r="I935" s="51" t="s">
        <v>3390</v>
      </c>
      <c r="J935" s="49" t="s">
        <v>2801</v>
      </c>
      <c r="K935" s="52" t="n">
        <v>47827</v>
      </c>
      <c r="M935" s="51" t="s">
        <v>3302</v>
      </c>
      <c r="N935" s="49" t="n">
        <v>4</v>
      </c>
      <c r="O935" s="53" t="n">
        <v>46061.4301273148</v>
      </c>
      <c r="P935" s="53" t="n">
        <v>46062.326724537</v>
      </c>
      <c r="Q935" s="53" t="n">
        <v>46061.4301273148</v>
      </c>
      <c r="R935" s="0" t="n">
        <v>0</v>
      </c>
      <c r="S935" s="51" t="s">
        <v>3129</v>
      </c>
      <c r="T935" s="51" t="s">
        <v>3129</v>
      </c>
      <c r="U935" s="51" t="s">
        <v>2500</v>
      </c>
      <c r="V935" s="51" t="s">
        <v>2142</v>
      </c>
      <c r="W935" s="51"/>
      <c r="X935" s="51"/>
    </row>
    <row r="936" customFormat="false" ht="14.25" hidden="true" customHeight="false" outlineLevel="0" collapsed="false">
      <c r="A936" s="49" t="s">
        <v>2251</v>
      </c>
      <c r="B936" s="49" t="s">
        <v>14</v>
      </c>
      <c r="C936" s="49" t="s">
        <v>1088</v>
      </c>
      <c r="D936" s="49" t="s">
        <v>2441</v>
      </c>
      <c r="E936" s="49" t="s">
        <v>2500</v>
      </c>
      <c r="F936" s="49" t="s">
        <v>16</v>
      </c>
      <c r="G936" s="49" t="n">
        <v>4</v>
      </c>
      <c r="H936" s="0" t="n">
        <v>0</v>
      </c>
      <c r="I936" s="51" t="s">
        <v>3387</v>
      </c>
      <c r="J936" s="49" t="s">
        <v>2801</v>
      </c>
      <c r="K936" s="52" t="n">
        <v>47827</v>
      </c>
      <c r="M936" s="51" t="s">
        <v>3302</v>
      </c>
      <c r="N936" s="49" t="n">
        <v>4</v>
      </c>
      <c r="O936" s="53" t="n">
        <v>46061.4185300926</v>
      </c>
      <c r="P936" s="53" t="n">
        <v>46061.5760416667</v>
      </c>
      <c r="Q936" s="53" t="n">
        <v>46061.4185300926</v>
      </c>
      <c r="R936" s="0" t="n">
        <v>0</v>
      </c>
      <c r="S936" s="51" t="s">
        <v>3129</v>
      </c>
      <c r="T936" s="51" t="s">
        <v>3129</v>
      </c>
      <c r="U936" s="51" t="s">
        <v>2500</v>
      </c>
      <c r="V936" s="51" t="s">
        <v>2142</v>
      </c>
      <c r="W936" s="51"/>
      <c r="X936" s="51"/>
    </row>
    <row r="937" customFormat="false" ht="14.25" hidden="true" customHeight="false" outlineLevel="0" collapsed="false">
      <c r="A937" s="49" t="s">
        <v>2251</v>
      </c>
      <c r="B937" s="49" t="s">
        <v>14</v>
      </c>
      <c r="C937" s="49" t="s">
        <v>1089</v>
      </c>
      <c r="D937" s="49" t="s">
        <v>2441</v>
      </c>
      <c r="E937" s="49" t="s">
        <v>2500</v>
      </c>
      <c r="F937" s="49" t="s">
        <v>16</v>
      </c>
      <c r="G937" s="49" t="n">
        <v>4</v>
      </c>
      <c r="H937" s="0" t="n">
        <v>0</v>
      </c>
      <c r="I937" s="51" t="s">
        <v>3387</v>
      </c>
      <c r="J937" s="49" t="s">
        <v>2801</v>
      </c>
      <c r="K937" s="52" t="n">
        <v>47827</v>
      </c>
      <c r="M937" s="51" t="s">
        <v>3302</v>
      </c>
      <c r="N937" s="49" t="n">
        <v>4</v>
      </c>
      <c r="O937" s="53" t="n">
        <v>46061.4179282407</v>
      </c>
      <c r="P937" s="53" t="n">
        <v>46061.5739583333</v>
      </c>
      <c r="Q937" s="53" t="n">
        <v>46061.4179282407</v>
      </c>
      <c r="R937" s="0" t="n">
        <v>0</v>
      </c>
      <c r="S937" s="51" t="s">
        <v>3129</v>
      </c>
      <c r="T937" s="51" t="s">
        <v>3129</v>
      </c>
      <c r="U937" s="51" t="s">
        <v>2500</v>
      </c>
      <c r="V937" s="51" t="s">
        <v>2142</v>
      </c>
      <c r="W937" s="51"/>
      <c r="X937" s="51"/>
    </row>
    <row r="938" customFormat="false" ht="14.25" hidden="true" customHeight="false" outlineLevel="0" collapsed="false">
      <c r="A938" s="49" t="s">
        <v>2251</v>
      </c>
      <c r="B938" s="49" t="s">
        <v>14</v>
      </c>
      <c r="C938" s="49" t="s">
        <v>1070</v>
      </c>
      <c r="D938" s="49" t="s">
        <v>2441</v>
      </c>
      <c r="E938" s="49" t="s">
        <v>2500</v>
      </c>
      <c r="F938" s="49" t="s">
        <v>16</v>
      </c>
      <c r="G938" s="49" t="n">
        <v>4</v>
      </c>
      <c r="H938" s="0" t="n">
        <v>0</v>
      </c>
      <c r="I938" s="51" t="s">
        <v>3391</v>
      </c>
      <c r="J938" s="49" t="s">
        <v>2801</v>
      </c>
      <c r="K938" s="52" t="n">
        <v>47827</v>
      </c>
      <c r="M938" s="51" t="s">
        <v>3302</v>
      </c>
      <c r="N938" s="49" t="n">
        <v>4</v>
      </c>
      <c r="O938" s="53" t="n">
        <v>46061.4295717593</v>
      </c>
      <c r="P938" s="53" t="n">
        <v>46062.3230787037</v>
      </c>
      <c r="Q938" s="53" t="n">
        <v>46061.4295717593</v>
      </c>
      <c r="R938" s="0" t="n">
        <v>0</v>
      </c>
      <c r="S938" s="51" t="s">
        <v>3129</v>
      </c>
      <c r="T938" s="51" t="s">
        <v>3129</v>
      </c>
      <c r="U938" s="51" t="s">
        <v>2500</v>
      </c>
      <c r="V938" s="51" t="s">
        <v>2142</v>
      </c>
      <c r="W938" s="51"/>
      <c r="X938" s="51"/>
    </row>
    <row r="939" customFormat="false" ht="14.25" hidden="true" customHeight="false" outlineLevel="0" collapsed="false">
      <c r="A939" s="49" t="s">
        <v>2251</v>
      </c>
      <c r="B939" s="49" t="s">
        <v>14</v>
      </c>
      <c r="C939" s="49" t="s">
        <v>1071</v>
      </c>
      <c r="D939" s="49" t="s">
        <v>2441</v>
      </c>
      <c r="E939" s="49" t="s">
        <v>2500</v>
      </c>
      <c r="F939" s="49" t="s">
        <v>16</v>
      </c>
      <c r="G939" s="49" t="n">
        <v>4</v>
      </c>
      <c r="H939" s="0" t="n">
        <v>0</v>
      </c>
      <c r="I939" s="51" t="s">
        <v>3392</v>
      </c>
      <c r="J939" s="49" t="s">
        <v>2801</v>
      </c>
      <c r="K939" s="52" t="n">
        <v>47827</v>
      </c>
      <c r="M939" s="51" t="s">
        <v>3302</v>
      </c>
      <c r="N939" s="49" t="n">
        <v>4</v>
      </c>
      <c r="O939" s="53" t="n">
        <v>46061.4291435185</v>
      </c>
      <c r="P939" s="53" t="n">
        <v>46062.3110300926</v>
      </c>
      <c r="Q939" s="53" t="n">
        <v>46061.4291435185</v>
      </c>
      <c r="R939" s="0" t="n">
        <v>0</v>
      </c>
      <c r="S939" s="51" t="s">
        <v>3129</v>
      </c>
      <c r="T939" s="51" t="s">
        <v>3129</v>
      </c>
      <c r="U939" s="51" t="s">
        <v>2500</v>
      </c>
      <c r="V939" s="51" t="s">
        <v>2142</v>
      </c>
      <c r="W939" s="51"/>
      <c r="X939" s="51"/>
    </row>
    <row r="940" customFormat="false" ht="14.25" hidden="true" customHeight="false" outlineLevel="0" collapsed="false">
      <c r="A940" s="49" t="s">
        <v>2251</v>
      </c>
      <c r="B940" s="49" t="s">
        <v>14</v>
      </c>
      <c r="C940" s="49" t="s">
        <v>1072</v>
      </c>
      <c r="D940" s="49" t="s">
        <v>2441</v>
      </c>
      <c r="E940" s="49" t="s">
        <v>2500</v>
      </c>
      <c r="F940" s="49" t="s">
        <v>16</v>
      </c>
      <c r="G940" s="49" t="n">
        <v>4</v>
      </c>
      <c r="H940" s="0" t="n">
        <v>0</v>
      </c>
      <c r="I940" s="51" t="s">
        <v>3393</v>
      </c>
      <c r="J940" s="49" t="s">
        <v>2801</v>
      </c>
      <c r="K940" s="52" t="n">
        <v>47827</v>
      </c>
      <c r="M940" s="51" t="s">
        <v>3302</v>
      </c>
      <c r="N940" s="49" t="n">
        <v>4</v>
      </c>
      <c r="O940" s="53" t="n">
        <v>46061.4286805556</v>
      </c>
      <c r="P940" s="53" t="n">
        <v>46062.3107407407</v>
      </c>
      <c r="Q940" s="53" t="n">
        <v>46061.4286805556</v>
      </c>
      <c r="R940" s="0" t="n">
        <v>0</v>
      </c>
      <c r="S940" s="51" t="s">
        <v>3129</v>
      </c>
      <c r="T940" s="51" t="s">
        <v>3129</v>
      </c>
      <c r="U940" s="51" t="s">
        <v>2500</v>
      </c>
      <c r="V940" s="51" t="s">
        <v>2142</v>
      </c>
      <c r="W940" s="51"/>
      <c r="X940" s="51"/>
    </row>
    <row r="941" customFormat="false" ht="14.25" hidden="true" customHeight="false" outlineLevel="0" collapsed="false">
      <c r="A941" s="49" t="s">
        <v>2251</v>
      </c>
      <c r="B941" s="49" t="s">
        <v>14</v>
      </c>
      <c r="C941" s="49" t="s">
        <v>1074</v>
      </c>
      <c r="D941" s="49" t="s">
        <v>2441</v>
      </c>
      <c r="E941" s="49" t="s">
        <v>2500</v>
      </c>
      <c r="F941" s="49" t="s">
        <v>16</v>
      </c>
      <c r="G941" s="49" t="n">
        <v>4</v>
      </c>
      <c r="H941" s="0" t="n">
        <v>0</v>
      </c>
      <c r="I941" s="51" t="s">
        <v>3394</v>
      </c>
      <c r="J941" s="49" t="s">
        <v>2801</v>
      </c>
      <c r="K941" s="52" t="n">
        <v>47827</v>
      </c>
      <c r="M941" s="51" t="s">
        <v>3302</v>
      </c>
      <c r="N941" s="49" t="n">
        <v>4</v>
      </c>
      <c r="O941" s="53" t="n">
        <v>46061.427650463</v>
      </c>
      <c r="P941" s="53" t="n">
        <v>46061.6266666667</v>
      </c>
      <c r="Q941" s="53" t="n">
        <v>46061.427650463</v>
      </c>
      <c r="R941" s="0" t="n">
        <v>0</v>
      </c>
      <c r="S941" s="51" t="s">
        <v>3129</v>
      </c>
      <c r="T941" s="51" t="s">
        <v>3129</v>
      </c>
      <c r="U941" s="51" t="s">
        <v>2500</v>
      </c>
      <c r="V941" s="51" t="s">
        <v>2142</v>
      </c>
      <c r="W941" s="51"/>
      <c r="X941" s="51"/>
    </row>
    <row r="942" customFormat="false" ht="14.25" hidden="true" customHeight="false" outlineLevel="0" collapsed="false">
      <c r="A942" s="49" t="s">
        <v>2251</v>
      </c>
      <c r="B942" s="49" t="s">
        <v>14</v>
      </c>
      <c r="C942" s="49" t="s">
        <v>1076</v>
      </c>
      <c r="D942" s="49" t="s">
        <v>2441</v>
      </c>
      <c r="E942" s="49" t="s">
        <v>2500</v>
      </c>
      <c r="F942" s="49" t="s">
        <v>16</v>
      </c>
      <c r="G942" s="49" t="n">
        <v>4</v>
      </c>
      <c r="H942" s="0" t="n">
        <v>0</v>
      </c>
      <c r="I942" s="51" t="s">
        <v>3395</v>
      </c>
      <c r="J942" s="49" t="s">
        <v>2801</v>
      </c>
      <c r="K942" s="52" t="n">
        <v>47827</v>
      </c>
      <c r="M942" s="51" t="s">
        <v>3302</v>
      </c>
      <c r="N942" s="49" t="n">
        <v>4</v>
      </c>
      <c r="O942" s="53" t="n">
        <v>46061.4267361111</v>
      </c>
      <c r="P942" s="53" t="n">
        <v>46061.6267708333</v>
      </c>
      <c r="Q942" s="53" t="n">
        <v>46061.4267361111</v>
      </c>
      <c r="R942" s="0" t="n">
        <v>0</v>
      </c>
      <c r="S942" s="51" t="s">
        <v>3129</v>
      </c>
      <c r="T942" s="51" t="s">
        <v>3129</v>
      </c>
      <c r="U942" s="51" t="s">
        <v>2500</v>
      </c>
      <c r="V942" s="51" t="s">
        <v>2142</v>
      </c>
      <c r="W942" s="51"/>
      <c r="X942" s="51"/>
    </row>
    <row r="943" customFormat="false" ht="14.25" hidden="true" customHeight="false" outlineLevel="0" collapsed="false">
      <c r="A943" s="49" t="s">
        <v>2251</v>
      </c>
      <c r="B943" s="49" t="s">
        <v>14</v>
      </c>
      <c r="C943" s="49" t="s">
        <v>1078</v>
      </c>
      <c r="D943" s="49" t="s">
        <v>2441</v>
      </c>
      <c r="E943" s="49" t="s">
        <v>2500</v>
      </c>
      <c r="F943" s="49" t="s">
        <v>16</v>
      </c>
      <c r="G943" s="49" t="n">
        <v>4</v>
      </c>
      <c r="H943" s="0" t="n">
        <v>0</v>
      </c>
      <c r="I943" s="51" t="s">
        <v>3396</v>
      </c>
      <c r="J943" s="49" t="s">
        <v>2801</v>
      </c>
      <c r="K943" s="52" t="n">
        <v>47827</v>
      </c>
      <c r="M943" s="51" t="s">
        <v>3302</v>
      </c>
      <c r="N943" s="49" t="n">
        <v>4</v>
      </c>
      <c r="O943" s="53" t="n">
        <v>46061.425787037</v>
      </c>
      <c r="P943" s="53" t="n">
        <v>46061.5987615741</v>
      </c>
      <c r="Q943" s="53" t="n">
        <v>46061.425787037</v>
      </c>
      <c r="R943" s="0" t="n">
        <v>0</v>
      </c>
      <c r="S943" s="51" t="s">
        <v>3129</v>
      </c>
      <c r="T943" s="51" t="s">
        <v>3129</v>
      </c>
      <c r="U943" s="51" t="s">
        <v>2500</v>
      </c>
      <c r="V943" s="51" t="s">
        <v>2142</v>
      </c>
      <c r="W943" s="51"/>
      <c r="X943" s="51"/>
    </row>
    <row r="944" customFormat="false" ht="14.25" hidden="true" customHeight="false" outlineLevel="0" collapsed="false">
      <c r="A944" s="49" t="s">
        <v>2251</v>
      </c>
      <c r="B944" s="49" t="s">
        <v>14</v>
      </c>
      <c r="C944" s="49" t="s">
        <v>1080</v>
      </c>
      <c r="D944" s="49" t="s">
        <v>2441</v>
      </c>
      <c r="E944" s="49" t="s">
        <v>2500</v>
      </c>
      <c r="F944" s="49" t="s">
        <v>16</v>
      </c>
      <c r="G944" s="49" t="n">
        <v>4</v>
      </c>
      <c r="H944" s="0" t="n">
        <v>0</v>
      </c>
      <c r="I944" s="51" t="s">
        <v>3397</v>
      </c>
      <c r="J944" s="49" t="s">
        <v>2801</v>
      </c>
      <c r="K944" s="52" t="n">
        <v>47827</v>
      </c>
      <c r="M944" s="51" t="s">
        <v>3302</v>
      </c>
      <c r="N944" s="49" t="n">
        <v>4</v>
      </c>
      <c r="O944" s="53" t="n">
        <v>46061.4243865741</v>
      </c>
      <c r="P944" s="53" t="n">
        <v>46061.609224537</v>
      </c>
      <c r="Q944" s="53" t="n">
        <v>46061.4243865741</v>
      </c>
      <c r="R944" s="0" t="n">
        <v>0</v>
      </c>
      <c r="S944" s="51" t="s">
        <v>3129</v>
      </c>
      <c r="T944" s="51" t="s">
        <v>3129</v>
      </c>
      <c r="U944" s="51" t="s">
        <v>2500</v>
      </c>
      <c r="V944" s="51" t="s">
        <v>2142</v>
      </c>
      <c r="W944" s="51"/>
      <c r="X944" s="51"/>
    </row>
    <row r="945" customFormat="false" ht="14.25" hidden="true" customHeight="false" outlineLevel="0" collapsed="false">
      <c r="A945" s="49" t="s">
        <v>2251</v>
      </c>
      <c r="B945" s="49" t="s">
        <v>14</v>
      </c>
      <c r="C945" s="49" t="s">
        <v>1081</v>
      </c>
      <c r="D945" s="49" t="s">
        <v>2441</v>
      </c>
      <c r="E945" s="49" t="s">
        <v>2500</v>
      </c>
      <c r="F945" s="49" t="s">
        <v>16</v>
      </c>
      <c r="G945" s="49" t="n">
        <v>4</v>
      </c>
      <c r="H945" s="0" t="n">
        <v>0</v>
      </c>
      <c r="I945" s="51" t="s">
        <v>3398</v>
      </c>
      <c r="J945" s="49" t="s">
        <v>2801</v>
      </c>
      <c r="K945" s="52" t="n">
        <v>47827</v>
      </c>
      <c r="M945" s="51" t="s">
        <v>3302</v>
      </c>
      <c r="N945" s="49" t="n">
        <v>4</v>
      </c>
      <c r="O945" s="53" t="n">
        <v>46061.4239699074</v>
      </c>
      <c r="P945" s="53" t="n">
        <v>46061.5961689815</v>
      </c>
      <c r="Q945" s="53" t="n">
        <v>46061.4239699074</v>
      </c>
      <c r="R945" s="0" t="n">
        <v>0</v>
      </c>
      <c r="S945" s="51" t="s">
        <v>3129</v>
      </c>
      <c r="T945" s="51" t="s">
        <v>3129</v>
      </c>
      <c r="U945" s="51" t="s">
        <v>2500</v>
      </c>
      <c r="V945" s="51" t="s">
        <v>2142</v>
      </c>
      <c r="W945" s="51"/>
      <c r="X945" s="51"/>
    </row>
    <row r="946" customFormat="false" ht="14.25" hidden="true" customHeight="false" outlineLevel="0" collapsed="false">
      <c r="A946" s="49" t="s">
        <v>2251</v>
      </c>
      <c r="B946" s="49" t="s">
        <v>14</v>
      </c>
      <c r="C946" s="49" t="s">
        <v>1082</v>
      </c>
      <c r="D946" s="49" t="s">
        <v>2441</v>
      </c>
      <c r="E946" s="49" t="s">
        <v>2500</v>
      </c>
      <c r="F946" s="49" t="s">
        <v>16</v>
      </c>
      <c r="G946" s="49" t="n">
        <v>4</v>
      </c>
      <c r="H946" s="0" t="n">
        <v>0</v>
      </c>
      <c r="I946" s="51" t="s">
        <v>3398</v>
      </c>
      <c r="J946" s="49" t="s">
        <v>2801</v>
      </c>
      <c r="K946" s="52" t="n">
        <v>47827</v>
      </c>
      <c r="M946" s="51" t="s">
        <v>3302</v>
      </c>
      <c r="N946" s="49" t="n">
        <v>4</v>
      </c>
      <c r="O946" s="53" t="n">
        <v>46061.4229398148</v>
      </c>
      <c r="P946" s="53" t="n">
        <v>46061.5925578704</v>
      </c>
      <c r="Q946" s="53" t="n">
        <v>46061.4229398148</v>
      </c>
      <c r="R946" s="0" t="n">
        <v>0</v>
      </c>
      <c r="S946" s="51" t="s">
        <v>3129</v>
      </c>
      <c r="T946" s="51" t="s">
        <v>3129</v>
      </c>
      <c r="U946" s="51" t="s">
        <v>2500</v>
      </c>
      <c r="V946" s="51" t="s">
        <v>2142</v>
      </c>
      <c r="W946" s="51"/>
      <c r="X946" s="51"/>
    </row>
    <row r="947" customFormat="false" ht="14.25" hidden="true" customHeight="false" outlineLevel="0" collapsed="false">
      <c r="A947" s="49" t="s">
        <v>2251</v>
      </c>
      <c r="B947" s="49" t="s">
        <v>14</v>
      </c>
      <c r="C947" s="49" t="s">
        <v>1083</v>
      </c>
      <c r="D947" s="49" t="s">
        <v>2441</v>
      </c>
      <c r="E947" s="49" t="s">
        <v>2500</v>
      </c>
      <c r="F947" s="49" t="s">
        <v>16</v>
      </c>
      <c r="G947" s="49" t="n">
        <v>4</v>
      </c>
      <c r="H947" s="0" t="n">
        <v>0</v>
      </c>
      <c r="I947" s="51" t="s">
        <v>3398</v>
      </c>
      <c r="J947" s="49" t="s">
        <v>2801</v>
      </c>
      <c r="K947" s="52" t="n">
        <v>47827</v>
      </c>
      <c r="M947" s="51" t="s">
        <v>3302</v>
      </c>
      <c r="N947" s="49" t="n">
        <v>4</v>
      </c>
      <c r="O947" s="53" t="n">
        <v>46061.4221990741</v>
      </c>
      <c r="P947" s="53" t="n">
        <v>46061.590150463</v>
      </c>
      <c r="Q947" s="53" t="n">
        <v>46061.4221990741</v>
      </c>
      <c r="R947" s="0" t="n">
        <v>0</v>
      </c>
      <c r="S947" s="51" t="s">
        <v>3129</v>
      </c>
      <c r="T947" s="51" t="s">
        <v>3129</v>
      </c>
      <c r="U947" s="51" t="s">
        <v>2500</v>
      </c>
      <c r="V947" s="51" t="s">
        <v>2142</v>
      </c>
      <c r="W947" s="51"/>
      <c r="X947" s="51"/>
    </row>
    <row r="948" customFormat="false" ht="14.25" hidden="true" customHeight="false" outlineLevel="0" collapsed="false">
      <c r="A948" s="49" t="s">
        <v>2251</v>
      </c>
      <c r="B948" s="49" t="s">
        <v>14</v>
      </c>
      <c r="C948" s="49" t="s">
        <v>1084</v>
      </c>
      <c r="D948" s="49" t="s">
        <v>2441</v>
      </c>
      <c r="E948" s="49" t="s">
        <v>2500</v>
      </c>
      <c r="F948" s="49" t="s">
        <v>16</v>
      </c>
      <c r="G948" s="49" t="n">
        <v>4</v>
      </c>
      <c r="H948" s="0" t="n">
        <v>0</v>
      </c>
      <c r="I948" s="51" t="s">
        <v>3398</v>
      </c>
      <c r="J948" s="49" t="s">
        <v>2801</v>
      </c>
      <c r="K948" s="52" t="n">
        <v>47827</v>
      </c>
      <c r="M948" s="51" t="s">
        <v>3302</v>
      </c>
      <c r="N948" s="49" t="n">
        <v>4</v>
      </c>
      <c r="O948" s="53" t="n">
        <v>46061.4217476852</v>
      </c>
      <c r="P948" s="53" t="n">
        <v>46061.5874768519</v>
      </c>
      <c r="Q948" s="53" t="n">
        <v>46061.4217476852</v>
      </c>
      <c r="R948" s="0" t="n">
        <v>0</v>
      </c>
      <c r="S948" s="51" t="s">
        <v>3129</v>
      </c>
      <c r="T948" s="51" t="s">
        <v>3129</v>
      </c>
      <c r="U948" s="51" t="s">
        <v>2500</v>
      </c>
      <c r="V948" s="51" t="s">
        <v>2142</v>
      </c>
      <c r="W948" s="51"/>
      <c r="X948" s="51"/>
    </row>
    <row r="949" customFormat="false" ht="14.25" hidden="true" customHeight="false" outlineLevel="0" collapsed="false">
      <c r="A949" s="49" t="s">
        <v>2251</v>
      </c>
      <c r="B949" s="49" t="s">
        <v>14</v>
      </c>
      <c r="C949" s="49" t="s">
        <v>1085</v>
      </c>
      <c r="D949" s="49" t="s">
        <v>2441</v>
      </c>
      <c r="E949" s="49" t="s">
        <v>2500</v>
      </c>
      <c r="F949" s="49" t="s">
        <v>16</v>
      </c>
      <c r="G949" s="49" t="n">
        <v>4</v>
      </c>
      <c r="H949" s="0" t="n">
        <v>0</v>
      </c>
      <c r="I949" s="51" t="s">
        <v>3398</v>
      </c>
      <c r="J949" s="49" t="s">
        <v>2801</v>
      </c>
      <c r="K949" s="52" t="n">
        <v>47827</v>
      </c>
      <c r="M949" s="51" t="s">
        <v>3302</v>
      </c>
      <c r="N949" s="49" t="n">
        <v>4</v>
      </c>
      <c r="O949" s="53" t="n">
        <v>46061.4212037037</v>
      </c>
      <c r="P949" s="53" t="n">
        <v>46061.5841666667</v>
      </c>
      <c r="Q949" s="53" t="n">
        <v>46061.4212037037</v>
      </c>
      <c r="R949" s="0" t="n">
        <v>0</v>
      </c>
      <c r="S949" s="51" t="s">
        <v>3129</v>
      </c>
      <c r="T949" s="51" t="s">
        <v>3129</v>
      </c>
      <c r="U949" s="51" t="s">
        <v>2500</v>
      </c>
      <c r="V949" s="51" t="s">
        <v>2142</v>
      </c>
      <c r="W949" s="51"/>
      <c r="X949" s="51"/>
    </row>
    <row r="950" customFormat="false" ht="14.25" hidden="false" customHeight="false" outlineLevel="0" collapsed="false">
      <c r="A950" s="49" t="s">
        <v>2251</v>
      </c>
      <c r="B950" s="49" t="s">
        <v>14</v>
      </c>
      <c r="C950" s="49" t="s">
        <v>1086</v>
      </c>
      <c r="D950" s="49" t="s">
        <v>2441</v>
      </c>
      <c r="E950" s="49" t="s">
        <v>2500</v>
      </c>
      <c r="F950" s="49" t="s">
        <v>16</v>
      </c>
      <c r="G950" s="49" t="n">
        <v>4</v>
      </c>
      <c r="H950" s="0" t="n">
        <v>0</v>
      </c>
      <c r="I950" s="51" t="s">
        <v>3387</v>
      </c>
      <c r="J950" s="49" t="s">
        <v>2801</v>
      </c>
      <c r="K950" s="52" t="n">
        <v>47827</v>
      </c>
      <c r="M950" s="51" t="s">
        <v>3302</v>
      </c>
      <c r="N950" s="0" t="n">
        <v>4</v>
      </c>
      <c r="O950" s="53" t="n">
        <v>46061.4200694444</v>
      </c>
      <c r="P950" s="53" t="n">
        <v>46061.5820601852</v>
      </c>
      <c r="Q950" s="53" t="n">
        <v>46061.4200694444</v>
      </c>
      <c r="R950" s="0" t="n">
        <v>0</v>
      </c>
      <c r="S950" s="51" t="s">
        <v>3129</v>
      </c>
      <c r="T950" s="51" t="s">
        <v>3129</v>
      </c>
      <c r="U950" s="51" t="s">
        <v>2500</v>
      </c>
      <c r="V950" s="51" t="s">
        <v>2142</v>
      </c>
      <c r="W950" s="51"/>
      <c r="X950" s="51"/>
    </row>
    <row r="951" customFormat="false" ht="14.25" hidden="false" customHeight="false" outlineLevel="0" collapsed="false">
      <c r="A951" s="49" t="s">
        <v>2251</v>
      </c>
      <c r="B951" s="49" t="s">
        <v>14</v>
      </c>
      <c r="C951" s="49" t="s">
        <v>1087</v>
      </c>
      <c r="D951" s="49" t="s">
        <v>2441</v>
      </c>
      <c r="E951" s="49" t="s">
        <v>2500</v>
      </c>
      <c r="F951" s="49" t="s">
        <v>16</v>
      </c>
      <c r="G951" s="49" t="n">
        <v>4</v>
      </c>
      <c r="H951" s="0" t="n">
        <v>0</v>
      </c>
      <c r="I951" s="51" t="s">
        <v>3387</v>
      </c>
      <c r="J951" s="49" t="s">
        <v>2801</v>
      </c>
      <c r="K951" s="52" t="n">
        <v>47827</v>
      </c>
      <c r="M951" s="51" t="s">
        <v>3302</v>
      </c>
      <c r="N951" s="0" t="n">
        <v>4</v>
      </c>
      <c r="O951" s="53" t="n">
        <v>46061.4195486111</v>
      </c>
      <c r="P951" s="53" t="n">
        <v>46061.5786458333</v>
      </c>
      <c r="Q951" s="53" t="n">
        <v>46061.4195486111</v>
      </c>
      <c r="R951" s="0" t="n">
        <v>0</v>
      </c>
      <c r="S951" s="51" t="s">
        <v>3129</v>
      </c>
      <c r="T951" s="51" t="s">
        <v>3129</v>
      </c>
      <c r="U951" s="51" t="s">
        <v>2500</v>
      </c>
      <c r="V951" s="51" t="s">
        <v>2142</v>
      </c>
      <c r="W951" s="51"/>
      <c r="X951" s="51"/>
    </row>
    <row r="952" customFormat="false" ht="14.25" hidden="true" customHeight="false" outlineLevel="0" collapsed="false">
      <c r="A952" s="49" t="s">
        <v>2251</v>
      </c>
      <c r="B952" s="49" t="s">
        <v>14</v>
      </c>
      <c r="C952" s="49" t="s">
        <v>464</v>
      </c>
      <c r="D952" s="49" t="s">
        <v>2441</v>
      </c>
      <c r="E952" s="49" t="s">
        <v>2500</v>
      </c>
      <c r="F952" s="49" t="s">
        <v>16</v>
      </c>
      <c r="G952" s="49" t="n">
        <v>4</v>
      </c>
      <c r="H952" s="0" t="n">
        <v>0</v>
      </c>
      <c r="I952" s="51" t="s">
        <v>3385</v>
      </c>
      <c r="J952" s="49" t="s">
        <v>2801</v>
      </c>
      <c r="K952" s="52" t="n">
        <v>47827</v>
      </c>
      <c r="M952" s="51" t="s">
        <v>3308</v>
      </c>
      <c r="N952" s="49" t="n">
        <v>4</v>
      </c>
      <c r="O952" s="53" t="n">
        <v>46054.3966898148</v>
      </c>
      <c r="P952" s="53" t="n">
        <v>46054.5674421296</v>
      </c>
      <c r="Q952" s="53" t="n">
        <v>46054.3966898148</v>
      </c>
      <c r="R952" s="0" t="n">
        <v>0</v>
      </c>
      <c r="S952" s="51" t="s">
        <v>3129</v>
      </c>
      <c r="T952" s="51" t="s">
        <v>3129</v>
      </c>
      <c r="U952" s="51" t="s">
        <v>2500</v>
      </c>
      <c r="V952" s="51" t="s">
        <v>2142</v>
      </c>
      <c r="W952" s="51"/>
      <c r="X952" s="51"/>
    </row>
    <row r="953" customFormat="false" ht="14.25" hidden="true" customHeight="false" outlineLevel="0" collapsed="false">
      <c r="A953" s="49" t="s">
        <v>2251</v>
      </c>
      <c r="B953" s="49" t="s">
        <v>14</v>
      </c>
      <c r="C953" s="49" t="s">
        <v>461</v>
      </c>
      <c r="D953" s="49" t="s">
        <v>2441</v>
      </c>
      <c r="E953" s="49" t="s">
        <v>2500</v>
      </c>
      <c r="F953" s="49" t="s">
        <v>16</v>
      </c>
      <c r="G953" s="49" t="n">
        <v>4</v>
      </c>
      <c r="H953" s="0" t="n">
        <v>0</v>
      </c>
      <c r="I953" s="51" t="s">
        <v>3385</v>
      </c>
      <c r="J953" s="49" t="s">
        <v>2801</v>
      </c>
      <c r="K953" s="52" t="n">
        <v>47827</v>
      </c>
      <c r="M953" s="51" t="s">
        <v>3308</v>
      </c>
      <c r="N953" s="49" t="n">
        <v>4</v>
      </c>
      <c r="O953" s="53" t="n">
        <v>46054.3993865741</v>
      </c>
      <c r="P953" s="53" t="n">
        <v>46054.5623958333</v>
      </c>
      <c r="Q953" s="53" t="n">
        <v>46054.3993865741</v>
      </c>
      <c r="R953" s="0" t="n">
        <v>0</v>
      </c>
      <c r="S953" s="51" t="s">
        <v>3129</v>
      </c>
      <c r="T953" s="51" t="s">
        <v>3129</v>
      </c>
      <c r="U953" s="51" t="s">
        <v>2500</v>
      </c>
      <c r="V953" s="51" t="s">
        <v>2142</v>
      </c>
      <c r="W953" s="51"/>
      <c r="X953" s="51"/>
    </row>
    <row r="954" customFormat="false" ht="14.25" hidden="true" customHeight="false" outlineLevel="0" collapsed="false">
      <c r="A954" s="49" t="s">
        <v>2251</v>
      </c>
      <c r="B954" s="49" t="s">
        <v>14</v>
      </c>
      <c r="C954" s="49" t="s">
        <v>448</v>
      </c>
      <c r="D954" s="49" t="s">
        <v>2441</v>
      </c>
      <c r="E954" s="49" t="s">
        <v>2500</v>
      </c>
      <c r="F954" s="49" t="s">
        <v>16</v>
      </c>
      <c r="G954" s="49" t="n">
        <v>4</v>
      </c>
      <c r="H954" s="0" t="n">
        <v>0</v>
      </c>
      <c r="I954" s="51" t="s">
        <v>3385</v>
      </c>
      <c r="J954" s="49" t="s">
        <v>2801</v>
      </c>
      <c r="K954" s="52" t="n">
        <v>47827</v>
      </c>
      <c r="M954" s="51" t="s">
        <v>3308</v>
      </c>
      <c r="N954" s="49" t="n">
        <v>4</v>
      </c>
      <c r="O954" s="53" t="n">
        <v>46054.4066782407</v>
      </c>
      <c r="P954" s="53" t="n">
        <v>46054.5641203704</v>
      </c>
      <c r="Q954" s="53" t="n">
        <v>46054.4066782407</v>
      </c>
      <c r="R954" s="0" t="n">
        <v>0</v>
      </c>
      <c r="S954" s="51" t="s">
        <v>3129</v>
      </c>
      <c r="T954" s="51" t="s">
        <v>3129</v>
      </c>
      <c r="U954" s="51" t="s">
        <v>2500</v>
      </c>
      <c r="V954" s="51" t="s">
        <v>2142</v>
      </c>
      <c r="W954" s="51"/>
      <c r="X954" s="51"/>
    </row>
    <row r="955" customFormat="false" ht="14.25" hidden="true" customHeight="false" outlineLevel="0" collapsed="false">
      <c r="A955" s="49" t="s">
        <v>2251</v>
      </c>
      <c r="B955" s="49" t="s">
        <v>14</v>
      </c>
      <c r="C955" s="49" t="s">
        <v>937</v>
      </c>
      <c r="D955" s="49" t="s">
        <v>2441</v>
      </c>
      <c r="E955" s="49" t="s">
        <v>3399</v>
      </c>
      <c r="F955" s="49" t="s">
        <v>917</v>
      </c>
      <c r="G955" s="49" t="n">
        <v>4</v>
      </c>
      <c r="H955" s="0" t="n">
        <v>0</v>
      </c>
      <c r="I955" s="51" t="s">
        <v>3400</v>
      </c>
      <c r="J955" s="49" t="s">
        <v>3401</v>
      </c>
      <c r="K955" s="52" t="n">
        <v>47831</v>
      </c>
      <c r="M955" s="51" t="s">
        <v>3222</v>
      </c>
      <c r="N955" s="49" t="n">
        <v>4</v>
      </c>
      <c r="O955" s="53" t="n">
        <v>46060.3568865741</v>
      </c>
      <c r="P955" s="53" t="n">
        <v>46060.4503356482</v>
      </c>
      <c r="Q955" s="53" t="n">
        <v>46060.3568865741</v>
      </c>
      <c r="R955" s="0" t="n">
        <v>0</v>
      </c>
      <c r="S955" s="51" t="s">
        <v>3129</v>
      </c>
      <c r="T955" s="51" t="s">
        <v>3129</v>
      </c>
      <c r="U955" s="51" t="s">
        <v>3399</v>
      </c>
      <c r="V955" s="51" t="s">
        <v>2142</v>
      </c>
      <c r="W955" s="51"/>
      <c r="X955" s="51"/>
    </row>
    <row r="956" customFormat="false" ht="14.25" hidden="true" customHeight="false" outlineLevel="0" collapsed="false">
      <c r="A956" s="49" t="s">
        <v>2251</v>
      </c>
      <c r="B956" s="49" t="s">
        <v>14</v>
      </c>
      <c r="C956" s="49" t="s">
        <v>916</v>
      </c>
      <c r="D956" s="49" t="s">
        <v>2441</v>
      </c>
      <c r="E956" s="49" t="s">
        <v>3399</v>
      </c>
      <c r="F956" s="49" t="s">
        <v>917</v>
      </c>
      <c r="G956" s="49" t="n">
        <v>4</v>
      </c>
      <c r="H956" s="0" t="n">
        <v>0</v>
      </c>
      <c r="I956" s="51" t="s">
        <v>3402</v>
      </c>
      <c r="J956" s="49" t="s">
        <v>3401</v>
      </c>
      <c r="K956" s="52" t="n">
        <v>47831</v>
      </c>
      <c r="M956" s="51" t="s">
        <v>3222</v>
      </c>
      <c r="N956" s="49" t="n">
        <v>4</v>
      </c>
      <c r="O956" s="53" t="n">
        <v>46060.3619444444</v>
      </c>
      <c r="P956" s="53" t="n">
        <v>46060.4567708333</v>
      </c>
      <c r="Q956" s="53" t="n">
        <v>46060.3619444444</v>
      </c>
      <c r="R956" s="0" t="n">
        <v>0</v>
      </c>
      <c r="S956" s="51" t="s">
        <v>3129</v>
      </c>
      <c r="T956" s="51" t="s">
        <v>3129</v>
      </c>
      <c r="U956" s="51" t="s">
        <v>3399</v>
      </c>
      <c r="V956" s="51" t="s">
        <v>2142</v>
      </c>
      <c r="W956" s="51"/>
      <c r="X956" s="51"/>
    </row>
    <row r="957" customFormat="false" ht="14.25" hidden="true" customHeight="false" outlineLevel="0" collapsed="false">
      <c r="A957" s="49" t="s">
        <v>2251</v>
      </c>
      <c r="B957" s="49" t="s">
        <v>14</v>
      </c>
      <c r="C957" s="49" t="s">
        <v>939</v>
      </c>
      <c r="D957" s="49" t="s">
        <v>2441</v>
      </c>
      <c r="E957" s="49" t="s">
        <v>3399</v>
      </c>
      <c r="F957" s="49" t="s">
        <v>917</v>
      </c>
      <c r="G957" s="49" t="n">
        <v>4</v>
      </c>
      <c r="H957" s="0" t="n">
        <v>0</v>
      </c>
      <c r="I957" s="51" t="s">
        <v>3403</v>
      </c>
      <c r="J957" s="49" t="s">
        <v>3401</v>
      </c>
      <c r="K957" s="52" t="n">
        <v>47831</v>
      </c>
      <c r="M957" s="51" t="s">
        <v>3222</v>
      </c>
      <c r="N957" s="49" t="n">
        <v>4</v>
      </c>
      <c r="O957" s="53" t="n">
        <v>46060.3642013889</v>
      </c>
      <c r="P957" s="53" t="n">
        <v>46060.4657407407</v>
      </c>
      <c r="Q957" s="53" t="n">
        <v>46060.3642013889</v>
      </c>
      <c r="R957" s="0" t="n">
        <v>0</v>
      </c>
      <c r="S957" s="51" t="s">
        <v>3129</v>
      </c>
      <c r="T957" s="51" t="s">
        <v>3129</v>
      </c>
      <c r="U957" s="51" t="s">
        <v>3399</v>
      </c>
      <c r="V957" s="51" t="s">
        <v>2142</v>
      </c>
      <c r="W957" s="51"/>
      <c r="X957" s="51"/>
    </row>
    <row r="958" customFormat="false" ht="14.25" hidden="false" customHeight="false" outlineLevel="0" collapsed="false">
      <c r="A958" s="49" t="s">
        <v>2251</v>
      </c>
      <c r="B958" s="49" t="s">
        <v>14</v>
      </c>
      <c r="C958" s="49" t="s">
        <v>940</v>
      </c>
      <c r="D958" s="49" t="s">
        <v>2441</v>
      </c>
      <c r="E958" s="49" t="s">
        <v>3399</v>
      </c>
      <c r="F958" s="49" t="s">
        <v>917</v>
      </c>
      <c r="G958" s="49" t="n">
        <v>4</v>
      </c>
      <c r="H958" s="0" t="n">
        <v>0</v>
      </c>
      <c r="I958" s="51" t="s">
        <v>3404</v>
      </c>
      <c r="J958" s="49" t="s">
        <v>3401</v>
      </c>
      <c r="K958" s="52" t="n">
        <v>47831</v>
      </c>
      <c r="M958" s="51" t="s">
        <v>3222</v>
      </c>
      <c r="N958" s="0" t="n">
        <v>4</v>
      </c>
      <c r="O958" s="53" t="n">
        <v>46060.3625347222</v>
      </c>
      <c r="P958" s="53" t="n">
        <v>46060.4605555556</v>
      </c>
      <c r="Q958" s="53" t="n">
        <v>46060.3625347222</v>
      </c>
      <c r="R958" s="0" t="n">
        <v>0</v>
      </c>
      <c r="S958" s="51" t="s">
        <v>3129</v>
      </c>
      <c r="T958" s="51" t="s">
        <v>3129</v>
      </c>
      <c r="U958" s="51" t="s">
        <v>3399</v>
      </c>
      <c r="V958" s="51" t="s">
        <v>2142</v>
      </c>
      <c r="X958" s="51"/>
    </row>
    <row r="959" customFormat="false" ht="14.25" hidden="false" customHeight="false" outlineLevel="0" collapsed="false">
      <c r="A959" s="49" t="s">
        <v>2251</v>
      </c>
      <c r="B959" s="49" t="s">
        <v>14</v>
      </c>
      <c r="C959" s="49" t="s">
        <v>918</v>
      </c>
      <c r="D959" s="49" t="s">
        <v>2441</v>
      </c>
      <c r="E959" s="49" t="s">
        <v>3399</v>
      </c>
      <c r="F959" s="49" t="s">
        <v>917</v>
      </c>
      <c r="G959" s="49" t="n">
        <v>4</v>
      </c>
      <c r="H959" s="0" t="n">
        <v>0</v>
      </c>
      <c r="I959" s="51" t="s">
        <v>3405</v>
      </c>
      <c r="J959" s="49" t="s">
        <v>3401</v>
      </c>
      <c r="K959" s="52" t="n">
        <v>47831</v>
      </c>
      <c r="M959" s="51" t="s">
        <v>3222</v>
      </c>
      <c r="N959" s="0" t="n">
        <v>4</v>
      </c>
      <c r="O959" s="53" t="n">
        <v>46060.3577083333</v>
      </c>
      <c r="P959" s="53" t="n">
        <v>46060.4534953704</v>
      </c>
      <c r="Q959" s="53" t="n">
        <v>46060.3577083333</v>
      </c>
      <c r="R959" s="0" t="n">
        <v>0</v>
      </c>
      <c r="S959" s="51" t="s">
        <v>3129</v>
      </c>
      <c r="T959" s="51" t="s">
        <v>3129</v>
      </c>
      <c r="U959" s="51" t="s">
        <v>3399</v>
      </c>
      <c r="V959" s="51" t="s">
        <v>2142</v>
      </c>
      <c r="X959" s="51"/>
    </row>
    <row r="960" customFormat="false" ht="14.25" hidden="false" customHeight="false" outlineLevel="0" collapsed="false">
      <c r="A960" s="49" t="s">
        <v>2251</v>
      </c>
      <c r="B960" s="49" t="s">
        <v>14</v>
      </c>
      <c r="C960" s="49" t="s">
        <v>133</v>
      </c>
      <c r="D960" s="49" t="s">
        <v>2441</v>
      </c>
      <c r="E960" s="49" t="s">
        <v>2140</v>
      </c>
      <c r="F960" s="49" t="s">
        <v>80</v>
      </c>
      <c r="G960" s="49" t="n">
        <v>4</v>
      </c>
      <c r="H960" s="0" t="n">
        <v>0</v>
      </c>
      <c r="I960" s="51" t="s">
        <v>3406</v>
      </c>
      <c r="J960" s="49" t="s">
        <v>2875</v>
      </c>
      <c r="K960" s="52" t="n">
        <v>47838</v>
      </c>
      <c r="M960" s="51" t="s">
        <v>3297</v>
      </c>
      <c r="N960" s="0" t="n">
        <v>4</v>
      </c>
      <c r="O960" s="53" t="n">
        <v>46049.7949652778</v>
      </c>
      <c r="P960" s="53" t="n">
        <v>46056.7356365741</v>
      </c>
      <c r="Q960" s="53" t="n">
        <v>46049.7949652778</v>
      </c>
      <c r="R960" s="0" t="n">
        <v>0</v>
      </c>
      <c r="S960" s="51" t="s">
        <v>3129</v>
      </c>
      <c r="T960" s="51" t="s">
        <v>3129</v>
      </c>
      <c r="U960" s="51" t="s">
        <v>2140</v>
      </c>
      <c r="V960" s="51" t="s">
        <v>2142</v>
      </c>
      <c r="X960" s="51"/>
    </row>
    <row r="961" customFormat="false" ht="14.25" hidden="false" customHeight="false" outlineLevel="0" collapsed="false">
      <c r="A961" s="49" t="s">
        <v>2251</v>
      </c>
      <c r="B961" s="49" t="s">
        <v>14</v>
      </c>
      <c r="C961" s="49" t="s">
        <v>869</v>
      </c>
      <c r="D961" s="49" t="s">
        <v>2441</v>
      </c>
      <c r="E961" s="49" t="s">
        <v>2140</v>
      </c>
      <c r="F961" s="49" t="s">
        <v>80</v>
      </c>
      <c r="G961" s="49" t="n">
        <v>4</v>
      </c>
      <c r="H961" s="0" t="n">
        <v>0</v>
      </c>
      <c r="I961" s="51" t="s">
        <v>3407</v>
      </c>
      <c r="J961" s="49" t="s">
        <v>2875</v>
      </c>
      <c r="K961" s="52" t="n">
        <v>47838</v>
      </c>
      <c r="M961" s="51" t="s">
        <v>3408</v>
      </c>
      <c r="N961" s="0" t="n">
        <v>4</v>
      </c>
      <c r="O961" s="53" t="n">
        <v>46058.4345717593</v>
      </c>
      <c r="P961" s="53" t="n">
        <v>46058.4849884259</v>
      </c>
      <c r="Q961" s="53" t="n">
        <v>46058.4345717593</v>
      </c>
      <c r="R961" s="0" t="n">
        <v>0</v>
      </c>
      <c r="S961" s="51" t="s">
        <v>3129</v>
      </c>
      <c r="T961" s="51" t="s">
        <v>3129</v>
      </c>
      <c r="U961" s="51" t="s">
        <v>2140</v>
      </c>
      <c r="V961" s="51" t="s">
        <v>2142</v>
      </c>
      <c r="X961" s="51"/>
    </row>
    <row r="962" customFormat="false" ht="14.25" hidden="false" customHeight="false" outlineLevel="0" collapsed="false">
      <c r="A962" s="49" t="s">
        <v>2251</v>
      </c>
      <c r="B962" s="49" t="s">
        <v>14</v>
      </c>
      <c r="C962" s="49" t="s">
        <v>857</v>
      </c>
      <c r="D962" s="49" t="s">
        <v>2441</v>
      </c>
      <c r="E962" s="49" t="s">
        <v>2140</v>
      </c>
      <c r="F962" s="49" t="s">
        <v>80</v>
      </c>
      <c r="G962" s="49" t="n">
        <v>4</v>
      </c>
      <c r="H962" s="0" t="n">
        <v>0</v>
      </c>
      <c r="I962" s="51" t="s">
        <v>3409</v>
      </c>
      <c r="J962" s="49" t="s">
        <v>2257</v>
      </c>
      <c r="K962" s="52" t="n">
        <v>47838</v>
      </c>
      <c r="M962" s="51" t="s">
        <v>3408</v>
      </c>
      <c r="N962" s="0" t="n">
        <v>4</v>
      </c>
      <c r="O962" s="53" t="n">
        <v>46058.4313310185</v>
      </c>
      <c r="P962" s="53" t="n">
        <v>46065.5921296296</v>
      </c>
      <c r="Q962" s="53" t="n">
        <v>46058.4313310185</v>
      </c>
      <c r="R962" s="0" t="n">
        <v>0</v>
      </c>
      <c r="S962" s="51" t="s">
        <v>3129</v>
      </c>
      <c r="T962" s="51" t="s">
        <v>3129</v>
      </c>
      <c r="U962" s="51" t="s">
        <v>2140</v>
      </c>
      <c r="V962" s="51" t="s">
        <v>2142</v>
      </c>
      <c r="W962" s="51" t="s">
        <v>3410</v>
      </c>
      <c r="X962" s="51"/>
    </row>
    <row r="963" customFormat="false" ht="14.25" hidden="false" customHeight="false" outlineLevel="0" collapsed="false">
      <c r="A963" s="49" t="s">
        <v>2251</v>
      </c>
      <c r="B963" s="49" t="s">
        <v>14</v>
      </c>
      <c r="C963" s="49" t="s">
        <v>872</v>
      </c>
      <c r="D963" s="49" t="s">
        <v>2441</v>
      </c>
      <c r="E963" s="49" t="s">
        <v>2140</v>
      </c>
      <c r="F963" s="49" t="s">
        <v>80</v>
      </c>
      <c r="G963" s="49" t="n">
        <v>4</v>
      </c>
      <c r="H963" s="0" t="n">
        <v>0</v>
      </c>
      <c r="I963" s="51" t="s">
        <v>3411</v>
      </c>
      <c r="J963" s="49" t="s">
        <v>2257</v>
      </c>
      <c r="K963" s="52" t="n">
        <v>47838</v>
      </c>
      <c r="M963" s="51" t="s">
        <v>3408</v>
      </c>
      <c r="N963" s="0" t="n">
        <v>4</v>
      </c>
      <c r="O963" s="53" t="n">
        <v>46058.4328356482</v>
      </c>
      <c r="P963" s="53" t="n">
        <v>46065.3224421296</v>
      </c>
      <c r="Q963" s="53" t="n">
        <v>46058.4328356482</v>
      </c>
      <c r="R963" s="0" t="n">
        <v>0</v>
      </c>
      <c r="S963" s="51" t="s">
        <v>3129</v>
      </c>
      <c r="T963" s="51" t="s">
        <v>3129</v>
      </c>
      <c r="U963" s="51" t="s">
        <v>2140</v>
      </c>
      <c r="V963" s="51" t="s">
        <v>2142</v>
      </c>
      <c r="W963" s="51" t="s">
        <v>3412</v>
      </c>
      <c r="X963" s="51"/>
    </row>
    <row r="964" customFormat="false" ht="14.25" hidden="true" customHeight="false" outlineLevel="0" collapsed="false">
      <c r="A964" s="49" t="s">
        <v>2251</v>
      </c>
      <c r="B964" s="49" t="s">
        <v>14</v>
      </c>
      <c r="C964" s="49" t="s">
        <v>871</v>
      </c>
      <c r="D964" s="49" t="s">
        <v>2441</v>
      </c>
      <c r="E964" s="49" t="s">
        <v>2140</v>
      </c>
      <c r="F964" s="49" t="s">
        <v>80</v>
      </c>
      <c r="G964" s="49" t="n">
        <v>4</v>
      </c>
      <c r="H964" s="0" t="n">
        <v>0</v>
      </c>
      <c r="I964" s="51" t="s">
        <v>3413</v>
      </c>
      <c r="J964" s="49" t="s">
        <v>2257</v>
      </c>
      <c r="K964" s="52" t="n">
        <v>47838</v>
      </c>
      <c r="M964" s="51" t="s">
        <v>3408</v>
      </c>
      <c r="N964" s="49" t="n">
        <v>4</v>
      </c>
      <c r="O964" s="53" t="n">
        <v>46058.4337962963</v>
      </c>
      <c r="P964" s="53" t="n">
        <v>46058.4819560185</v>
      </c>
      <c r="Q964" s="53" t="n">
        <v>46058.4337962963</v>
      </c>
      <c r="R964" s="0" t="n">
        <v>0</v>
      </c>
      <c r="S964" s="51" t="s">
        <v>3129</v>
      </c>
      <c r="T964" s="51" t="s">
        <v>3129</v>
      </c>
      <c r="U964" s="51" t="s">
        <v>2140</v>
      </c>
      <c r="V964" s="51" t="s">
        <v>2142</v>
      </c>
      <c r="W964" s="51" t="s">
        <v>3414</v>
      </c>
      <c r="X964" s="51"/>
    </row>
    <row r="965" customFormat="false" ht="14.25" hidden="true" customHeight="false" outlineLevel="0" collapsed="false">
      <c r="A965" s="49" t="s">
        <v>2251</v>
      </c>
      <c r="B965" s="49" t="s">
        <v>14</v>
      </c>
      <c r="C965" s="49" t="s">
        <v>852</v>
      </c>
      <c r="D965" s="49" t="s">
        <v>2441</v>
      </c>
      <c r="E965" s="49" t="s">
        <v>2140</v>
      </c>
      <c r="F965" s="49" t="s">
        <v>80</v>
      </c>
      <c r="G965" s="49" t="n">
        <v>4</v>
      </c>
      <c r="H965" s="0" t="n">
        <v>0</v>
      </c>
      <c r="I965" s="51" t="s">
        <v>3415</v>
      </c>
      <c r="J965" s="49" t="s">
        <v>2257</v>
      </c>
      <c r="K965" s="52" t="n">
        <v>47838</v>
      </c>
      <c r="M965" s="51" t="s">
        <v>3408</v>
      </c>
      <c r="N965" s="49" t="n">
        <v>4</v>
      </c>
      <c r="O965" s="53" t="n">
        <v>46058.4358564815</v>
      </c>
      <c r="P965" s="53" t="n">
        <v>46058.4875694444</v>
      </c>
      <c r="Q965" s="53" t="n">
        <v>46058.4358564815</v>
      </c>
      <c r="R965" s="0" t="n">
        <v>0</v>
      </c>
      <c r="S965" s="51" t="s">
        <v>3129</v>
      </c>
      <c r="T965" s="51" t="s">
        <v>3129</v>
      </c>
      <c r="U965" s="51" t="s">
        <v>2140</v>
      </c>
      <c r="V965" s="51" t="s">
        <v>2142</v>
      </c>
      <c r="W965" s="51"/>
      <c r="X965" s="51"/>
    </row>
    <row r="966" customFormat="false" ht="14.25" hidden="true" customHeight="false" outlineLevel="0" collapsed="false">
      <c r="A966" s="49" t="s">
        <v>2251</v>
      </c>
      <c r="B966" s="49" t="s">
        <v>14</v>
      </c>
      <c r="C966" s="49" t="s">
        <v>878</v>
      </c>
      <c r="D966" s="49" t="s">
        <v>2441</v>
      </c>
      <c r="E966" s="49" t="s">
        <v>2140</v>
      </c>
      <c r="F966" s="49" t="s">
        <v>80</v>
      </c>
      <c r="G966" s="49" t="n">
        <v>4</v>
      </c>
      <c r="H966" s="0" t="n">
        <v>0</v>
      </c>
      <c r="I966" s="51" t="s">
        <v>3416</v>
      </c>
      <c r="J966" s="49" t="s">
        <v>2257</v>
      </c>
      <c r="K966" s="52" t="n">
        <v>47838</v>
      </c>
      <c r="M966" s="51" t="s">
        <v>3408</v>
      </c>
      <c r="N966" s="49" t="n">
        <v>4</v>
      </c>
      <c r="O966" s="53" t="n">
        <v>46058.4393287037</v>
      </c>
      <c r="P966" s="53" t="n">
        <v>46058.5531018519</v>
      </c>
      <c r="Q966" s="53" t="n">
        <v>46058.4393287037</v>
      </c>
      <c r="R966" s="0" t="n">
        <v>0</v>
      </c>
      <c r="S966" s="51" t="s">
        <v>3129</v>
      </c>
      <c r="T966" s="51" t="s">
        <v>3129</v>
      </c>
      <c r="U966" s="51" t="s">
        <v>2140</v>
      </c>
      <c r="V966" s="51" t="s">
        <v>2142</v>
      </c>
      <c r="W966" s="51"/>
      <c r="X966" s="51"/>
    </row>
    <row r="967" customFormat="false" ht="14.25" hidden="true" customHeight="false" outlineLevel="0" collapsed="false">
      <c r="A967" s="49" t="s">
        <v>2251</v>
      </c>
      <c r="B967" s="49" t="s">
        <v>14</v>
      </c>
      <c r="C967" s="49" t="s">
        <v>881</v>
      </c>
      <c r="D967" s="49" t="s">
        <v>2441</v>
      </c>
      <c r="E967" s="49" t="s">
        <v>2140</v>
      </c>
      <c r="F967" s="49" t="s">
        <v>80</v>
      </c>
      <c r="G967" s="49" t="n">
        <v>4</v>
      </c>
      <c r="H967" s="0" t="n">
        <v>0</v>
      </c>
      <c r="I967" s="51" t="s">
        <v>3417</v>
      </c>
      <c r="J967" s="49" t="s">
        <v>2257</v>
      </c>
      <c r="K967" s="52" t="n">
        <v>47838</v>
      </c>
      <c r="M967" s="51" t="s">
        <v>3408</v>
      </c>
      <c r="N967" s="49" t="n">
        <v>4</v>
      </c>
      <c r="O967" s="53" t="n">
        <v>46058.4369907407</v>
      </c>
      <c r="P967" s="53" t="n">
        <v>46058.4907407407</v>
      </c>
      <c r="Q967" s="53" t="n">
        <v>46058.4369907407</v>
      </c>
      <c r="R967" s="0" t="n">
        <v>0</v>
      </c>
      <c r="S967" s="51" t="s">
        <v>3129</v>
      </c>
      <c r="T967" s="51" t="s">
        <v>3129</v>
      </c>
      <c r="U967" s="51" t="s">
        <v>2140</v>
      </c>
      <c r="V967" s="51" t="s">
        <v>2142</v>
      </c>
      <c r="W967" s="51" t="s">
        <v>3418</v>
      </c>
      <c r="X967" s="51"/>
    </row>
    <row r="968" customFormat="false" ht="14.25" hidden="true" customHeight="false" outlineLevel="0" collapsed="false">
      <c r="A968" s="49" t="s">
        <v>2251</v>
      </c>
      <c r="B968" s="49" t="s">
        <v>14</v>
      </c>
      <c r="C968" s="49" t="s">
        <v>855</v>
      </c>
      <c r="D968" s="49" t="s">
        <v>2441</v>
      </c>
      <c r="E968" s="49" t="s">
        <v>2140</v>
      </c>
      <c r="F968" s="49" t="s">
        <v>80</v>
      </c>
      <c r="G968" s="49" t="n">
        <v>1</v>
      </c>
      <c r="H968" s="0" t="n">
        <v>0</v>
      </c>
      <c r="I968" s="51" t="s">
        <v>2255</v>
      </c>
      <c r="J968" s="49" t="s">
        <v>2257</v>
      </c>
      <c r="K968" s="52" t="n">
        <v>47838</v>
      </c>
      <c r="M968" s="51" t="s">
        <v>3408</v>
      </c>
      <c r="N968" s="49" t="n">
        <v>4</v>
      </c>
      <c r="O968" s="53" t="n">
        <v>46058.440474537</v>
      </c>
      <c r="P968" s="53" t="n">
        <v>46069.3765625</v>
      </c>
      <c r="Q968" s="53" t="n">
        <v>46058.440474537</v>
      </c>
      <c r="R968" s="0" t="n">
        <v>0</v>
      </c>
      <c r="S968" s="51" t="s">
        <v>3129</v>
      </c>
      <c r="T968" s="51" t="s">
        <v>3129</v>
      </c>
      <c r="U968" s="51" t="s">
        <v>2140</v>
      </c>
      <c r="V968" s="51" t="s">
        <v>2142</v>
      </c>
      <c r="W968" s="51"/>
      <c r="X968" s="51"/>
    </row>
    <row r="969" customFormat="false" ht="14.25" hidden="true" customHeight="false" outlineLevel="0" collapsed="false">
      <c r="A969" s="49" t="s">
        <v>2251</v>
      </c>
      <c r="B969" s="49" t="s">
        <v>14</v>
      </c>
      <c r="C969" s="49" t="s">
        <v>861</v>
      </c>
      <c r="D969" s="49" t="s">
        <v>2441</v>
      </c>
      <c r="E969" s="49" t="s">
        <v>2140</v>
      </c>
      <c r="F969" s="49" t="s">
        <v>80</v>
      </c>
      <c r="G969" s="49" t="n">
        <v>4</v>
      </c>
      <c r="H969" s="0" t="n">
        <v>0</v>
      </c>
      <c r="I969" s="51" t="s">
        <v>3419</v>
      </c>
      <c r="J969" s="49" t="s">
        <v>2257</v>
      </c>
      <c r="K969" s="52" t="n">
        <v>47838</v>
      </c>
      <c r="M969" s="51" t="s">
        <v>3408</v>
      </c>
      <c r="N969" s="49" t="n">
        <v>4</v>
      </c>
      <c r="O969" s="53" t="n">
        <v>46058.4491782407</v>
      </c>
      <c r="P969" s="53" t="n">
        <v>46061.4676967593</v>
      </c>
      <c r="Q969" s="53" t="n">
        <v>46058.4491782407</v>
      </c>
      <c r="R969" s="0" t="n">
        <v>0</v>
      </c>
      <c r="S969" s="51" t="s">
        <v>3129</v>
      </c>
      <c r="T969" s="51" t="s">
        <v>3129</v>
      </c>
      <c r="U969" s="51" t="s">
        <v>2140</v>
      </c>
      <c r="V969" s="51" t="s">
        <v>2142</v>
      </c>
      <c r="W969" s="51" t="s">
        <v>3183</v>
      </c>
      <c r="X969" s="51"/>
    </row>
    <row r="970" customFormat="false" ht="14.25" hidden="true" customHeight="false" outlineLevel="0" collapsed="false">
      <c r="A970" s="49" t="s">
        <v>2251</v>
      </c>
      <c r="B970" s="49" t="s">
        <v>14</v>
      </c>
      <c r="C970" s="49" t="s">
        <v>863</v>
      </c>
      <c r="D970" s="49" t="s">
        <v>2441</v>
      </c>
      <c r="E970" s="49" t="s">
        <v>2140</v>
      </c>
      <c r="F970" s="49" t="s">
        <v>80</v>
      </c>
      <c r="G970" s="49" t="n">
        <v>4</v>
      </c>
      <c r="H970" s="0" t="n">
        <v>0</v>
      </c>
      <c r="I970" s="51" t="s">
        <v>3420</v>
      </c>
      <c r="J970" s="49" t="s">
        <v>2257</v>
      </c>
      <c r="K970" s="52" t="n">
        <v>47838</v>
      </c>
      <c r="M970" s="51" t="s">
        <v>3408</v>
      </c>
      <c r="N970" s="49" t="n">
        <v>4</v>
      </c>
      <c r="O970" s="53" t="n">
        <v>46058.4478009259</v>
      </c>
      <c r="P970" s="53" t="n">
        <v>46058.6524305556</v>
      </c>
      <c r="Q970" s="53" t="n">
        <v>46058.4478009259</v>
      </c>
      <c r="R970" s="0" t="n">
        <v>0</v>
      </c>
      <c r="S970" s="51" t="s">
        <v>3129</v>
      </c>
      <c r="T970" s="51" t="s">
        <v>3129</v>
      </c>
      <c r="U970" s="51" t="s">
        <v>2140</v>
      </c>
      <c r="V970" s="51" t="s">
        <v>2142</v>
      </c>
      <c r="W970" s="51"/>
      <c r="X970" s="51"/>
    </row>
    <row r="971" customFormat="false" ht="14.25" hidden="false" customHeight="false" outlineLevel="0" collapsed="false">
      <c r="A971" s="49" t="s">
        <v>2251</v>
      </c>
      <c r="B971" s="49" t="s">
        <v>14</v>
      </c>
      <c r="C971" s="49" t="s">
        <v>858</v>
      </c>
      <c r="D971" s="49" t="s">
        <v>2441</v>
      </c>
      <c r="E971" s="49" t="s">
        <v>2140</v>
      </c>
      <c r="F971" s="49" t="s">
        <v>80</v>
      </c>
      <c r="G971" s="49" t="n">
        <v>4</v>
      </c>
      <c r="H971" s="0" t="n">
        <v>0</v>
      </c>
      <c r="I971" s="51" t="s">
        <v>3421</v>
      </c>
      <c r="J971" s="49" t="s">
        <v>2257</v>
      </c>
      <c r="K971" s="52" t="n">
        <v>47838</v>
      </c>
      <c r="M971" s="51" t="s">
        <v>3408</v>
      </c>
      <c r="N971" s="0" t="n">
        <v>4</v>
      </c>
      <c r="O971" s="53" t="n">
        <v>46058.4465162037</v>
      </c>
      <c r="P971" s="53" t="n">
        <v>46058.6410763889</v>
      </c>
      <c r="Q971" s="53" t="n">
        <v>46058.4465162037</v>
      </c>
      <c r="R971" s="0" t="n">
        <v>0</v>
      </c>
      <c r="S971" s="51" t="s">
        <v>3129</v>
      </c>
      <c r="T971" s="51" t="s">
        <v>3129</v>
      </c>
      <c r="U971" s="51" t="s">
        <v>2140</v>
      </c>
      <c r="V971" s="51" t="s">
        <v>2142</v>
      </c>
      <c r="W971" s="51"/>
      <c r="X971" s="51"/>
    </row>
    <row r="972" customFormat="false" ht="14.25" hidden="true" customHeight="false" outlineLevel="0" collapsed="false">
      <c r="A972" s="49" t="s">
        <v>2251</v>
      </c>
      <c r="B972" s="49" t="s">
        <v>14</v>
      </c>
      <c r="C972" s="49" t="s">
        <v>875</v>
      </c>
      <c r="D972" s="49" t="s">
        <v>2441</v>
      </c>
      <c r="E972" s="49" t="s">
        <v>2140</v>
      </c>
      <c r="F972" s="49" t="s">
        <v>80</v>
      </c>
      <c r="G972" s="49" t="n">
        <v>4</v>
      </c>
      <c r="H972" s="0" t="n">
        <v>0</v>
      </c>
      <c r="I972" s="51" t="s">
        <v>3422</v>
      </c>
      <c r="J972" s="49" t="s">
        <v>2257</v>
      </c>
      <c r="K972" s="52" t="n">
        <v>47838</v>
      </c>
      <c r="M972" s="51" t="s">
        <v>3408</v>
      </c>
      <c r="N972" s="49" t="n">
        <v>4</v>
      </c>
      <c r="O972" s="53" t="n">
        <v>46058.4453935185</v>
      </c>
      <c r="P972" s="53" t="n">
        <v>46058.6345949074</v>
      </c>
      <c r="Q972" s="53" t="n">
        <v>46058.4453935185</v>
      </c>
      <c r="R972" s="0" t="n">
        <v>0</v>
      </c>
      <c r="S972" s="51" t="s">
        <v>3129</v>
      </c>
      <c r="T972" s="51" t="s">
        <v>3129</v>
      </c>
      <c r="U972" s="51" t="s">
        <v>2140</v>
      </c>
      <c r="V972" s="51" t="s">
        <v>2142</v>
      </c>
      <c r="W972" s="51"/>
      <c r="X972" s="51"/>
    </row>
    <row r="973" customFormat="false" ht="14.25" hidden="false" customHeight="false" outlineLevel="0" collapsed="false">
      <c r="A973" s="49" t="s">
        <v>2251</v>
      </c>
      <c r="B973" s="49" t="s">
        <v>14</v>
      </c>
      <c r="C973" s="49" t="s">
        <v>865</v>
      </c>
      <c r="D973" s="49" t="s">
        <v>2441</v>
      </c>
      <c r="E973" s="49" t="s">
        <v>2140</v>
      </c>
      <c r="F973" s="49" t="s">
        <v>80</v>
      </c>
      <c r="G973" s="49" t="n">
        <v>4</v>
      </c>
      <c r="H973" s="0" t="n">
        <v>0</v>
      </c>
      <c r="I973" s="51" t="s">
        <v>3423</v>
      </c>
      <c r="J973" s="49" t="s">
        <v>2257</v>
      </c>
      <c r="K973" s="52" t="n">
        <v>47838</v>
      </c>
      <c r="M973" s="51" t="s">
        <v>3408</v>
      </c>
      <c r="N973" s="0" t="n">
        <v>4</v>
      </c>
      <c r="O973" s="53" t="n">
        <v>46058.4444097222</v>
      </c>
      <c r="P973" s="53" t="n">
        <v>46058.626724537</v>
      </c>
      <c r="Q973" s="53" t="n">
        <v>46058.4444097222</v>
      </c>
      <c r="R973" s="0" t="n">
        <v>0</v>
      </c>
      <c r="S973" s="51" t="s">
        <v>3129</v>
      </c>
      <c r="T973" s="51" t="s">
        <v>3129</v>
      </c>
      <c r="U973" s="51" t="s">
        <v>2140</v>
      </c>
      <c r="V973" s="51" t="s">
        <v>2142</v>
      </c>
      <c r="W973" s="51"/>
      <c r="X973" s="51"/>
    </row>
    <row r="974" customFormat="false" ht="14.25" hidden="false" customHeight="false" outlineLevel="0" collapsed="false">
      <c r="A974" s="49" t="s">
        <v>2251</v>
      </c>
      <c r="B974" s="49" t="s">
        <v>14</v>
      </c>
      <c r="C974" s="49" t="s">
        <v>853</v>
      </c>
      <c r="D974" s="49" t="s">
        <v>2441</v>
      </c>
      <c r="E974" s="49" t="s">
        <v>2140</v>
      </c>
      <c r="F974" s="49" t="s">
        <v>80</v>
      </c>
      <c r="G974" s="49" t="n">
        <v>4</v>
      </c>
      <c r="H974" s="0" t="n">
        <v>0</v>
      </c>
      <c r="I974" s="51" t="s">
        <v>3424</v>
      </c>
      <c r="J974" s="49" t="s">
        <v>2257</v>
      </c>
      <c r="K974" s="52" t="n">
        <v>47838</v>
      </c>
      <c r="M974" s="51" t="s">
        <v>3408</v>
      </c>
      <c r="N974" s="0" t="n">
        <v>4</v>
      </c>
      <c r="O974" s="53" t="n">
        <v>46058.442962963</v>
      </c>
      <c r="P974" s="53" t="n">
        <v>46058.6205555556</v>
      </c>
      <c r="Q974" s="53" t="n">
        <v>46058.442962963</v>
      </c>
      <c r="R974" s="0" t="n">
        <v>0</v>
      </c>
      <c r="S974" s="51" t="s">
        <v>3129</v>
      </c>
      <c r="T974" s="51" t="s">
        <v>3129</v>
      </c>
      <c r="U974" s="51" t="s">
        <v>2140</v>
      </c>
      <c r="V974" s="51" t="s">
        <v>2142</v>
      </c>
      <c r="X974" s="51"/>
    </row>
    <row r="975" customFormat="false" ht="14.25" hidden="false" customHeight="false" outlineLevel="0" collapsed="false">
      <c r="A975" s="49" t="s">
        <v>2251</v>
      </c>
      <c r="B975" s="49" t="s">
        <v>14</v>
      </c>
      <c r="C975" s="49" t="s">
        <v>854</v>
      </c>
      <c r="D975" s="49" t="s">
        <v>2441</v>
      </c>
      <c r="E975" s="49" t="s">
        <v>2140</v>
      </c>
      <c r="F975" s="49" t="s">
        <v>80</v>
      </c>
      <c r="G975" s="49" t="n">
        <v>4</v>
      </c>
      <c r="H975" s="0" t="n">
        <v>0</v>
      </c>
      <c r="I975" s="51" t="s">
        <v>3425</v>
      </c>
      <c r="J975" s="49" t="s">
        <v>2257</v>
      </c>
      <c r="K975" s="52" t="n">
        <v>47838</v>
      </c>
      <c r="M975" s="51" t="s">
        <v>3408</v>
      </c>
      <c r="N975" s="0" t="n">
        <v>4</v>
      </c>
      <c r="O975" s="53" t="n">
        <v>46058.4417476852</v>
      </c>
      <c r="P975" s="53" t="n">
        <v>46058.6140740741</v>
      </c>
      <c r="Q975" s="53" t="n">
        <v>46058.4417476852</v>
      </c>
      <c r="R975" s="0" t="n">
        <v>0</v>
      </c>
      <c r="S975" s="51" t="s">
        <v>3129</v>
      </c>
      <c r="T975" s="51" t="s">
        <v>3129</v>
      </c>
      <c r="U975" s="51" t="s">
        <v>2140</v>
      </c>
      <c r="V975" s="51" t="s">
        <v>2142</v>
      </c>
      <c r="X975" s="51"/>
    </row>
    <row r="976" customFormat="false" ht="14.25" hidden="false" customHeight="false" outlineLevel="0" collapsed="false">
      <c r="A976" s="49" t="s">
        <v>2251</v>
      </c>
      <c r="B976" s="49" t="s">
        <v>14</v>
      </c>
      <c r="C976" s="49" t="s">
        <v>468</v>
      </c>
      <c r="D976" s="49" t="s">
        <v>2441</v>
      </c>
      <c r="E976" s="49" t="s">
        <v>2140</v>
      </c>
      <c r="F976" s="49" t="s">
        <v>80</v>
      </c>
      <c r="G976" s="49" t="n">
        <v>4</v>
      </c>
      <c r="H976" s="0" t="n">
        <v>0</v>
      </c>
      <c r="I976" s="51" t="s">
        <v>3426</v>
      </c>
      <c r="J976" s="49" t="s">
        <v>2259</v>
      </c>
      <c r="K976" s="52" t="n">
        <v>47838</v>
      </c>
      <c r="M976" s="51" t="s">
        <v>3308</v>
      </c>
      <c r="N976" s="0" t="n">
        <v>4</v>
      </c>
      <c r="O976" s="53" t="n">
        <v>46054.3879861111</v>
      </c>
      <c r="P976" s="53" t="n">
        <v>46054.4977430556</v>
      </c>
      <c r="Q976" s="53" t="n">
        <v>46054.3879861111</v>
      </c>
      <c r="R976" s="0" t="n">
        <v>0</v>
      </c>
      <c r="S976" s="51" t="s">
        <v>3129</v>
      </c>
      <c r="T976" s="51" t="s">
        <v>3129</v>
      </c>
      <c r="U976" s="51" t="s">
        <v>2140</v>
      </c>
      <c r="V976" s="51" t="s">
        <v>2142</v>
      </c>
      <c r="X976" s="51"/>
    </row>
    <row r="977" customFormat="false" ht="14.25" hidden="false" customHeight="false" outlineLevel="0" collapsed="false">
      <c r="A977" s="49" t="s">
        <v>2251</v>
      </c>
      <c r="B977" s="49" t="s">
        <v>14</v>
      </c>
      <c r="C977" s="49" t="s">
        <v>465</v>
      </c>
      <c r="D977" s="49" t="s">
        <v>2441</v>
      </c>
      <c r="E977" s="49" t="s">
        <v>2140</v>
      </c>
      <c r="F977" s="49" t="s">
        <v>80</v>
      </c>
      <c r="G977" s="49" t="n">
        <v>4</v>
      </c>
      <c r="H977" s="0" t="n">
        <v>0</v>
      </c>
      <c r="I977" s="51" t="s">
        <v>3427</v>
      </c>
      <c r="J977" s="49" t="s">
        <v>2259</v>
      </c>
      <c r="K977" s="52" t="n">
        <v>47838</v>
      </c>
      <c r="M977" s="51" t="s">
        <v>3308</v>
      </c>
      <c r="N977" s="0" t="n">
        <v>4</v>
      </c>
      <c r="O977" s="53" t="n">
        <v>46054.3946180556</v>
      </c>
      <c r="P977" s="53" t="n">
        <v>46054.486400463</v>
      </c>
      <c r="Q977" s="53" t="n">
        <v>46054.3946180556</v>
      </c>
      <c r="R977" s="0" t="n">
        <v>0</v>
      </c>
      <c r="S977" s="51" t="s">
        <v>3129</v>
      </c>
      <c r="T977" s="51" t="s">
        <v>3129</v>
      </c>
      <c r="U977" s="51" t="s">
        <v>2140</v>
      </c>
      <c r="V977" s="51" t="s">
        <v>2142</v>
      </c>
      <c r="X977" s="51"/>
    </row>
    <row r="978" customFormat="false" ht="14.25" hidden="false" customHeight="false" outlineLevel="0" collapsed="false">
      <c r="A978" s="49" t="s">
        <v>2251</v>
      </c>
      <c r="B978" s="49" t="s">
        <v>14</v>
      </c>
      <c r="C978" s="49" t="s">
        <v>463</v>
      </c>
      <c r="D978" s="49" t="s">
        <v>2441</v>
      </c>
      <c r="E978" s="49" t="s">
        <v>2140</v>
      </c>
      <c r="F978" s="49" t="s">
        <v>80</v>
      </c>
      <c r="G978" s="49" t="n">
        <v>4</v>
      </c>
      <c r="H978" s="0" t="n">
        <v>0</v>
      </c>
      <c r="I978" s="51" t="s">
        <v>3427</v>
      </c>
      <c r="J978" s="49" t="s">
        <v>2259</v>
      </c>
      <c r="K978" s="52" t="n">
        <v>47838</v>
      </c>
      <c r="M978" s="51" t="s">
        <v>3308</v>
      </c>
      <c r="N978" s="0" t="n">
        <v>4</v>
      </c>
      <c r="O978" s="53" t="n">
        <v>46054.3971875</v>
      </c>
      <c r="P978" s="53" t="n">
        <v>46054.4837962963</v>
      </c>
      <c r="Q978" s="53" t="n">
        <v>46054.3971875</v>
      </c>
      <c r="R978" s="0" t="n">
        <v>0</v>
      </c>
      <c r="S978" s="51" t="s">
        <v>3129</v>
      </c>
      <c r="T978" s="51" t="s">
        <v>3129</v>
      </c>
      <c r="U978" s="51" t="s">
        <v>2140</v>
      </c>
      <c r="V978" s="51" t="s">
        <v>2142</v>
      </c>
      <c r="X978" s="51"/>
    </row>
    <row r="979" customFormat="false" ht="14.25" hidden="false" customHeight="false" outlineLevel="0" collapsed="false">
      <c r="A979" s="49" t="s">
        <v>2251</v>
      </c>
      <c r="B979" s="49" t="s">
        <v>14</v>
      </c>
      <c r="C979" s="49" t="s">
        <v>441</v>
      </c>
      <c r="D979" s="49" t="s">
        <v>2441</v>
      </c>
      <c r="E979" s="49" t="s">
        <v>2140</v>
      </c>
      <c r="F979" s="49" t="s">
        <v>80</v>
      </c>
      <c r="G979" s="49" t="n">
        <v>4</v>
      </c>
      <c r="H979" s="0" t="n">
        <v>0</v>
      </c>
      <c r="I979" s="51" t="s">
        <v>3426</v>
      </c>
      <c r="J979" s="49" t="s">
        <v>2259</v>
      </c>
      <c r="K979" s="52" t="n">
        <v>47838</v>
      </c>
      <c r="M979" s="51" t="s">
        <v>3308</v>
      </c>
      <c r="N979" s="0" t="n">
        <v>4</v>
      </c>
      <c r="O979" s="53" t="n">
        <v>46054.3848263889</v>
      </c>
      <c r="P979" s="53" t="n">
        <v>46054.5540162037</v>
      </c>
      <c r="Q979" s="53" t="n">
        <v>46054.3848263889</v>
      </c>
      <c r="R979" s="0" t="n">
        <v>0</v>
      </c>
      <c r="S979" s="51" t="s">
        <v>3129</v>
      </c>
      <c r="T979" s="51" t="s">
        <v>3129</v>
      </c>
      <c r="U979" s="51" t="s">
        <v>2140</v>
      </c>
      <c r="V979" s="51" t="s">
        <v>2142</v>
      </c>
      <c r="X979" s="51"/>
    </row>
    <row r="980" customFormat="false" ht="14.25" hidden="false" customHeight="false" outlineLevel="0" collapsed="false">
      <c r="A980" s="49" t="s">
        <v>2251</v>
      </c>
      <c r="B980" s="49" t="s">
        <v>14</v>
      </c>
      <c r="C980" s="49" t="s">
        <v>460</v>
      </c>
      <c r="D980" s="49" t="s">
        <v>2441</v>
      </c>
      <c r="E980" s="49" t="s">
        <v>2140</v>
      </c>
      <c r="F980" s="49" t="s">
        <v>80</v>
      </c>
      <c r="G980" s="49" t="n">
        <v>4</v>
      </c>
      <c r="H980" s="0" t="n">
        <v>0</v>
      </c>
      <c r="I980" s="51" t="s">
        <v>3427</v>
      </c>
      <c r="J980" s="49" t="s">
        <v>2259</v>
      </c>
      <c r="K980" s="52" t="n">
        <v>47838</v>
      </c>
      <c r="M980" s="51" t="s">
        <v>3308</v>
      </c>
      <c r="N980" s="0" t="n">
        <v>4</v>
      </c>
      <c r="O980" s="53" t="n">
        <v>46054.4003240741</v>
      </c>
      <c r="P980" s="53" t="n">
        <v>46054.4789467593</v>
      </c>
      <c r="Q980" s="53" t="n">
        <v>46054.4003240741</v>
      </c>
      <c r="R980" s="0" t="n">
        <v>0</v>
      </c>
      <c r="S980" s="51" t="s">
        <v>3129</v>
      </c>
      <c r="T980" s="51" t="s">
        <v>3129</v>
      </c>
      <c r="U980" s="51" t="s">
        <v>2140</v>
      </c>
      <c r="V980" s="51" t="s">
        <v>2142</v>
      </c>
      <c r="X980" s="51"/>
    </row>
    <row r="981" customFormat="false" ht="14.25" hidden="false" customHeight="false" outlineLevel="0" collapsed="false">
      <c r="A981" s="49" t="s">
        <v>2251</v>
      </c>
      <c r="B981" s="49" t="s">
        <v>14</v>
      </c>
      <c r="C981" s="49" t="s">
        <v>457</v>
      </c>
      <c r="D981" s="49" t="s">
        <v>2441</v>
      </c>
      <c r="E981" s="49" t="s">
        <v>2140</v>
      </c>
      <c r="F981" s="49" t="s">
        <v>80</v>
      </c>
      <c r="G981" s="49" t="n">
        <v>4</v>
      </c>
      <c r="H981" s="0" t="n">
        <v>0</v>
      </c>
      <c r="I981" s="51" t="s">
        <v>3427</v>
      </c>
      <c r="J981" s="49" t="s">
        <v>2259</v>
      </c>
      <c r="K981" s="52" t="n">
        <v>47838</v>
      </c>
      <c r="M981" s="51" t="s">
        <v>3308</v>
      </c>
      <c r="N981" s="0" t="n">
        <v>4</v>
      </c>
      <c r="O981" s="53" t="n">
        <v>46054.4011689815</v>
      </c>
      <c r="P981" s="53" t="n">
        <v>46054.4810416667</v>
      </c>
      <c r="Q981" s="53" t="n">
        <v>46054.4011689815</v>
      </c>
      <c r="R981" s="0" t="n">
        <v>0</v>
      </c>
      <c r="S981" s="51" t="s">
        <v>3129</v>
      </c>
      <c r="T981" s="51" t="s">
        <v>3129</v>
      </c>
      <c r="U981" s="51" t="s">
        <v>2140</v>
      </c>
      <c r="V981" s="51" t="s">
        <v>2142</v>
      </c>
      <c r="X981" s="51"/>
    </row>
    <row r="982" customFormat="false" ht="14.25" hidden="false" customHeight="false" outlineLevel="0" collapsed="false">
      <c r="A982" s="49" t="s">
        <v>2251</v>
      </c>
      <c r="B982" s="49" t="s">
        <v>14</v>
      </c>
      <c r="C982" s="49" t="s">
        <v>455</v>
      </c>
      <c r="D982" s="49" t="s">
        <v>2441</v>
      </c>
      <c r="E982" s="49" t="s">
        <v>2140</v>
      </c>
      <c r="F982" s="49" t="s">
        <v>80</v>
      </c>
      <c r="G982" s="49" t="n">
        <v>4</v>
      </c>
      <c r="H982" s="0" t="n">
        <v>0</v>
      </c>
      <c r="I982" s="51" t="s">
        <v>3427</v>
      </c>
      <c r="J982" s="49" t="s">
        <v>2259</v>
      </c>
      <c r="K982" s="52" t="n">
        <v>47838</v>
      </c>
      <c r="M982" s="51" t="s">
        <v>3308</v>
      </c>
      <c r="N982" s="0" t="n">
        <v>4</v>
      </c>
      <c r="O982" s="53" t="n">
        <v>46054.4016087963</v>
      </c>
      <c r="P982" s="53" t="n">
        <v>46054.4745833333</v>
      </c>
      <c r="Q982" s="53" t="n">
        <v>46054.4016087963</v>
      </c>
      <c r="R982" s="0" t="n">
        <v>0</v>
      </c>
      <c r="S982" s="51" t="s">
        <v>3129</v>
      </c>
      <c r="T982" s="51" t="s">
        <v>3129</v>
      </c>
      <c r="U982" s="51" t="s">
        <v>2140</v>
      </c>
      <c r="V982" s="51" t="s">
        <v>2142</v>
      </c>
      <c r="X982" s="51"/>
    </row>
    <row r="983" customFormat="false" ht="14.25" hidden="false" customHeight="false" outlineLevel="0" collapsed="false">
      <c r="A983" s="49" t="s">
        <v>2251</v>
      </c>
      <c r="B983" s="49" t="s">
        <v>14</v>
      </c>
      <c r="C983" s="49" t="s">
        <v>447</v>
      </c>
      <c r="D983" s="49" t="s">
        <v>2441</v>
      </c>
      <c r="E983" s="49" t="s">
        <v>2140</v>
      </c>
      <c r="F983" s="49" t="s">
        <v>80</v>
      </c>
      <c r="G983" s="49" t="n">
        <v>4</v>
      </c>
      <c r="H983" s="0" t="n">
        <v>0</v>
      </c>
      <c r="I983" s="51" t="s">
        <v>3426</v>
      </c>
      <c r="J983" s="49" t="s">
        <v>2259</v>
      </c>
      <c r="K983" s="52" t="n">
        <v>47838</v>
      </c>
      <c r="M983" s="51" t="s">
        <v>3308</v>
      </c>
      <c r="N983" s="0" t="n">
        <v>4</v>
      </c>
      <c r="O983" s="53" t="n">
        <v>46054.4062962963</v>
      </c>
      <c r="P983" s="53" t="n">
        <v>46054.4919791667</v>
      </c>
      <c r="Q983" s="53" t="n">
        <v>46054.4062962963</v>
      </c>
      <c r="R983" s="0" t="n">
        <v>0</v>
      </c>
      <c r="S983" s="51" t="s">
        <v>3129</v>
      </c>
      <c r="T983" s="51" t="s">
        <v>3129</v>
      </c>
      <c r="U983" s="51" t="s">
        <v>2140</v>
      </c>
      <c r="V983" s="51" t="s">
        <v>2142</v>
      </c>
      <c r="X983" s="51"/>
    </row>
    <row r="984" customFormat="false" ht="14.25" hidden="false" customHeight="false" outlineLevel="0" collapsed="false">
      <c r="A984" s="49" t="s">
        <v>2251</v>
      </c>
      <c r="B984" s="49" t="s">
        <v>14</v>
      </c>
      <c r="C984" s="49" t="s">
        <v>449</v>
      </c>
      <c r="D984" s="49" t="s">
        <v>2441</v>
      </c>
      <c r="E984" s="49" t="s">
        <v>2140</v>
      </c>
      <c r="F984" s="49" t="s">
        <v>80</v>
      </c>
      <c r="G984" s="49" t="n">
        <v>4</v>
      </c>
      <c r="H984" s="0" t="n">
        <v>0</v>
      </c>
      <c r="I984" s="51" t="s">
        <v>3426</v>
      </c>
      <c r="J984" s="49" t="s">
        <v>2259</v>
      </c>
      <c r="K984" s="52" t="n">
        <v>47838</v>
      </c>
      <c r="M984" s="51" t="s">
        <v>3308</v>
      </c>
      <c r="N984" s="0" t="n">
        <v>4</v>
      </c>
      <c r="O984" s="53" t="n">
        <v>46054.4058912037</v>
      </c>
      <c r="P984" s="53" t="n">
        <v>46054.4891203704</v>
      </c>
      <c r="Q984" s="53" t="n">
        <v>46054.4058912037</v>
      </c>
      <c r="R984" s="0" t="n">
        <v>0</v>
      </c>
      <c r="S984" s="51" t="s">
        <v>3129</v>
      </c>
      <c r="T984" s="51" t="s">
        <v>3129</v>
      </c>
      <c r="U984" s="51" t="s">
        <v>2140</v>
      </c>
      <c r="V984" s="51" t="s">
        <v>2142</v>
      </c>
      <c r="X984" s="51"/>
    </row>
    <row r="985" customFormat="false" ht="14.25" hidden="false" customHeight="false" outlineLevel="0" collapsed="false">
      <c r="A985" s="49" t="s">
        <v>2251</v>
      </c>
      <c r="B985" s="49" t="s">
        <v>14</v>
      </c>
      <c r="C985" s="49" t="s">
        <v>454</v>
      </c>
      <c r="D985" s="49" t="s">
        <v>2441</v>
      </c>
      <c r="E985" s="49" t="s">
        <v>2140</v>
      </c>
      <c r="F985" s="49" t="s">
        <v>80</v>
      </c>
      <c r="G985" s="49" t="n">
        <v>4</v>
      </c>
      <c r="H985" s="0" t="n">
        <v>0</v>
      </c>
      <c r="I985" s="51" t="s">
        <v>3426</v>
      </c>
      <c r="J985" s="49" t="s">
        <v>2259</v>
      </c>
      <c r="K985" s="52" t="n">
        <v>47838</v>
      </c>
      <c r="M985" s="51" t="s">
        <v>3308</v>
      </c>
      <c r="N985" s="0" t="n">
        <v>4</v>
      </c>
      <c r="O985" s="53" t="n">
        <v>46054.4031481482</v>
      </c>
      <c r="P985" s="53" t="n">
        <v>46054.4948726852</v>
      </c>
      <c r="Q985" s="53" t="n">
        <v>46054.4031481482</v>
      </c>
      <c r="R985" s="0" t="n">
        <v>0</v>
      </c>
      <c r="S985" s="51" t="s">
        <v>3129</v>
      </c>
      <c r="T985" s="51" t="s">
        <v>3129</v>
      </c>
      <c r="U985" s="51" t="s">
        <v>2140</v>
      </c>
      <c r="V985" s="51" t="s">
        <v>2142</v>
      </c>
      <c r="W985" s="51" t="s">
        <v>3385</v>
      </c>
      <c r="X985" s="51"/>
    </row>
    <row r="986" customFormat="false" ht="14.25" hidden="false" customHeight="false" outlineLevel="0" collapsed="false">
      <c r="A986" s="49" t="s">
        <v>2251</v>
      </c>
      <c r="B986" s="49" t="s">
        <v>14</v>
      </c>
      <c r="C986" s="49" t="s">
        <v>111</v>
      </c>
      <c r="D986" s="49" t="s">
        <v>2441</v>
      </c>
      <c r="E986" s="49" t="s">
        <v>2140</v>
      </c>
      <c r="F986" s="49" t="s">
        <v>80</v>
      </c>
      <c r="G986" s="49" t="n">
        <v>4</v>
      </c>
      <c r="H986" s="0" t="n">
        <v>0</v>
      </c>
      <c r="I986" s="51" t="s">
        <v>3406</v>
      </c>
      <c r="J986" s="49" t="s">
        <v>2875</v>
      </c>
      <c r="K986" s="52" t="n">
        <v>47838</v>
      </c>
      <c r="M986" s="51" t="s">
        <v>3297</v>
      </c>
      <c r="N986" s="0" t="n">
        <v>4</v>
      </c>
      <c r="O986" s="53" t="n">
        <v>46049.7684837963</v>
      </c>
      <c r="P986" s="53" t="n">
        <v>46056.7363888889</v>
      </c>
      <c r="Q986" s="53" t="n">
        <v>46049.7684837963</v>
      </c>
      <c r="R986" s="0" t="n">
        <v>0</v>
      </c>
      <c r="S986" s="51" t="s">
        <v>3129</v>
      </c>
      <c r="T986" s="51" t="s">
        <v>3129</v>
      </c>
      <c r="U986" s="51" t="s">
        <v>2140</v>
      </c>
      <c r="V986" s="51" t="s">
        <v>2142</v>
      </c>
      <c r="X986" s="51"/>
    </row>
    <row r="987" customFormat="false" ht="14.25" hidden="false" customHeight="false" outlineLevel="0" collapsed="false">
      <c r="A987" s="49" t="s">
        <v>2251</v>
      </c>
      <c r="B987" s="49" t="s">
        <v>14</v>
      </c>
      <c r="C987" s="49" t="s">
        <v>125</v>
      </c>
      <c r="D987" s="49" t="s">
        <v>2441</v>
      </c>
      <c r="E987" s="49" t="s">
        <v>2140</v>
      </c>
      <c r="F987" s="49" t="s">
        <v>80</v>
      </c>
      <c r="G987" s="49" t="n">
        <v>4</v>
      </c>
      <c r="H987" s="0" t="n">
        <v>0</v>
      </c>
      <c r="I987" s="51" t="s">
        <v>3406</v>
      </c>
      <c r="J987" s="49" t="s">
        <v>2875</v>
      </c>
      <c r="K987" s="52" t="n">
        <v>47838</v>
      </c>
      <c r="M987" s="51" t="s">
        <v>3297</v>
      </c>
      <c r="N987" s="0" t="n">
        <v>4</v>
      </c>
      <c r="O987" s="53" t="n">
        <v>46049.7958912037</v>
      </c>
      <c r="P987" s="53" t="n">
        <v>46056.7351967593</v>
      </c>
      <c r="Q987" s="53" t="n">
        <v>46049.7958912037</v>
      </c>
      <c r="R987" s="0" t="n">
        <v>0</v>
      </c>
      <c r="S987" s="51" t="s">
        <v>3129</v>
      </c>
      <c r="T987" s="51" t="s">
        <v>3129</v>
      </c>
      <c r="U987" s="51" t="s">
        <v>2140</v>
      </c>
      <c r="V987" s="51" t="s">
        <v>2142</v>
      </c>
      <c r="X987" s="51"/>
    </row>
    <row r="988" customFormat="false" ht="14.25" hidden="false" customHeight="false" outlineLevel="0" collapsed="false">
      <c r="A988" s="49" t="s">
        <v>2251</v>
      </c>
      <c r="B988" s="49" t="s">
        <v>14</v>
      </c>
      <c r="C988" s="49" t="s">
        <v>124</v>
      </c>
      <c r="D988" s="49" t="s">
        <v>2441</v>
      </c>
      <c r="E988" s="49" t="s">
        <v>2140</v>
      </c>
      <c r="F988" s="49" t="s">
        <v>80</v>
      </c>
      <c r="G988" s="49" t="n">
        <v>4</v>
      </c>
      <c r="H988" s="0" t="n">
        <v>0</v>
      </c>
      <c r="I988" s="51" t="s">
        <v>3428</v>
      </c>
      <c r="J988" s="49" t="s">
        <v>2875</v>
      </c>
      <c r="K988" s="52" t="n">
        <v>47838</v>
      </c>
      <c r="M988" s="51" t="s">
        <v>3297</v>
      </c>
      <c r="N988" s="0" t="n">
        <v>4</v>
      </c>
      <c r="O988" s="53" t="n">
        <v>46049.7965509259</v>
      </c>
      <c r="P988" s="53" t="n">
        <v>46056.7304166667</v>
      </c>
      <c r="Q988" s="53" t="n">
        <v>46049.7965509259</v>
      </c>
      <c r="R988" s="0" t="n">
        <v>0</v>
      </c>
      <c r="S988" s="51" t="s">
        <v>3129</v>
      </c>
      <c r="T988" s="51" t="s">
        <v>3129</v>
      </c>
      <c r="U988" s="51" t="s">
        <v>2140</v>
      </c>
      <c r="V988" s="51" t="s">
        <v>2142</v>
      </c>
      <c r="X988" s="51"/>
    </row>
    <row r="989" customFormat="false" ht="14.25" hidden="false" customHeight="false" outlineLevel="0" collapsed="false">
      <c r="A989" s="49" t="s">
        <v>2251</v>
      </c>
      <c r="B989" s="49" t="s">
        <v>14</v>
      </c>
      <c r="C989" s="49" t="s">
        <v>123</v>
      </c>
      <c r="D989" s="49" t="s">
        <v>2441</v>
      </c>
      <c r="E989" s="49" t="s">
        <v>2140</v>
      </c>
      <c r="F989" s="49" t="s">
        <v>80</v>
      </c>
      <c r="G989" s="49" t="n">
        <v>4</v>
      </c>
      <c r="H989" s="0" t="n">
        <v>0</v>
      </c>
      <c r="I989" s="51" t="s">
        <v>3428</v>
      </c>
      <c r="J989" s="49" t="s">
        <v>2875</v>
      </c>
      <c r="K989" s="52" t="n">
        <v>47838</v>
      </c>
      <c r="M989" s="51" t="s">
        <v>3297</v>
      </c>
      <c r="N989" s="0" t="n">
        <v>4</v>
      </c>
      <c r="O989" s="53" t="n">
        <v>46049.7974189815</v>
      </c>
      <c r="P989" s="53" t="n">
        <v>46056.7245949074</v>
      </c>
      <c r="Q989" s="53" t="n">
        <v>46049.7974189815</v>
      </c>
      <c r="R989" s="0" t="n">
        <v>0</v>
      </c>
      <c r="S989" s="51" t="s">
        <v>3129</v>
      </c>
      <c r="T989" s="51" t="s">
        <v>3129</v>
      </c>
      <c r="U989" s="51" t="s">
        <v>2140</v>
      </c>
      <c r="V989" s="51" t="s">
        <v>2142</v>
      </c>
      <c r="X989" s="51"/>
    </row>
    <row r="990" customFormat="false" ht="14.25" hidden="false" customHeight="false" outlineLevel="0" collapsed="false">
      <c r="A990" s="49" t="s">
        <v>2251</v>
      </c>
      <c r="B990" s="49" t="s">
        <v>14</v>
      </c>
      <c r="C990" s="49" t="s">
        <v>122</v>
      </c>
      <c r="D990" s="49" t="s">
        <v>2441</v>
      </c>
      <c r="E990" s="49" t="s">
        <v>2140</v>
      </c>
      <c r="F990" s="49" t="s">
        <v>80</v>
      </c>
      <c r="G990" s="49" t="n">
        <v>4</v>
      </c>
      <c r="H990" s="0" t="n">
        <v>0</v>
      </c>
      <c r="I990" s="51" t="s">
        <v>3428</v>
      </c>
      <c r="J990" s="49" t="s">
        <v>2875</v>
      </c>
      <c r="K990" s="52" t="n">
        <v>47838</v>
      </c>
      <c r="M990" s="51" t="s">
        <v>3297</v>
      </c>
      <c r="N990" s="0" t="n">
        <v>4</v>
      </c>
      <c r="O990" s="53" t="n">
        <v>46049.7980555556</v>
      </c>
      <c r="P990" s="53" t="n">
        <v>46056.7316898148</v>
      </c>
      <c r="Q990" s="53" t="n">
        <v>46049.7980555556</v>
      </c>
      <c r="R990" s="0" t="n">
        <v>0</v>
      </c>
      <c r="S990" s="51" t="s">
        <v>3129</v>
      </c>
      <c r="T990" s="51" t="s">
        <v>3129</v>
      </c>
      <c r="U990" s="51" t="s">
        <v>2140</v>
      </c>
      <c r="V990" s="51" t="s">
        <v>2142</v>
      </c>
      <c r="X990" s="51"/>
    </row>
    <row r="991" customFormat="false" ht="14.25" hidden="false" customHeight="false" outlineLevel="0" collapsed="false">
      <c r="A991" s="49" t="s">
        <v>2251</v>
      </c>
      <c r="B991" s="49" t="s">
        <v>14</v>
      </c>
      <c r="C991" s="49" t="s">
        <v>121</v>
      </c>
      <c r="D991" s="49" t="s">
        <v>2441</v>
      </c>
      <c r="E991" s="49" t="s">
        <v>2140</v>
      </c>
      <c r="F991" s="49" t="s">
        <v>80</v>
      </c>
      <c r="G991" s="49" t="n">
        <v>4</v>
      </c>
      <c r="H991" s="0" t="n">
        <v>0</v>
      </c>
      <c r="I991" s="51" t="s">
        <v>3429</v>
      </c>
      <c r="J991" s="49" t="s">
        <v>2875</v>
      </c>
      <c r="K991" s="52" t="n">
        <v>47838</v>
      </c>
      <c r="M991" s="51" t="s">
        <v>3297</v>
      </c>
      <c r="N991" s="0" t="n">
        <v>4</v>
      </c>
      <c r="O991" s="53" t="n">
        <v>46049.7987268519</v>
      </c>
      <c r="P991" s="53" t="n">
        <v>46056.7155439815</v>
      </c>
      <c r="Q991" s="53" t="n">
        <v>46049.7987268519</v>
      </c>
      <c r="R991" s="0" t="n">
        <v>0</v>
      </c>
      <c r="S991" s="51" t="s">
        <v>3129</v>
      </c>
      <c r="T991" s="51" t="s">
        <v>3129</v>
      </c>
      <c r="U991" s="51" t="s">
        <v>2140</v>
      </c>
      <c r="V991" s="51" t="s">
        <v>2142</v>
      </c>
      <c r="X991" s="51"/>
    </row>
    <row r="992" customFormat="false" ht="14.25" hidden="false" customHeight="false" outlineLevel="0" collapsed="false">
      <c r="A992" s="49" t="s">
        <v>2251</v>
      </c>
      <c r="B992" s="49" t="s">
        <v>14</v>
      </c>
      <c r="C992" s="49" t="s">
        <v>113</v>
      </c>
      <c r="D992" s="49" t="s">
        <v>2441</v>
      </c>
      <c r="E992" s="49" t="s">
        <v>2140</v>
      </c>
      <c r="F992" s="49" t="s">
        <v>80</v>
      </c>
      <c r="G992" s="49" t="n">
        <v>4</v>
      </c>
      <c r="H992" s="0" t="n">
        <v>0</v>
      </c>
      <c r="I992" s="51" t="s">
        <v>3406</v>
      </c>
      <c r="J992" s="49" t="s">
        <v>2875</v>
      </c>
      <c r="K992" s="52" t="n">
        <v>47838</v>
      </c>
      <c r="M992" s="51" t="s">
        <v>3297</v>
      </c>
      <c r="N992" s="0" t="n">
        <v>4</v>
      </c>
      <c r="O992" s="53" t="n">
        <v>46049.8052199074</v>
      </c>
      <c r="P992" s="53" t="n">
        <v>46056.7361805556</v>
      </c>
      <c r="Q992" s="53" t="n">
        <v>46049.8052199074</v>
      </c>
      <c r="R992" s="0" t="n">
        <v>0</v>
      </c>
      <c r="S992" s="51" t="s">
        <v>3129</v>
      </c>
      <c r="T992" s="51" t="s">
        <v>3129</v>
      </c>
      <c r="U992" s="51" t="s">
        <v>2140</v>
      </c>
      <c r="V992" s="51" t="s">
        <v>2142</v>
      </c>
      <c r="X992" s="51"/>
    </row>
    <row r="993" customFormat="false" ht="14.25" hidden="false" customHeight="false" outlineLevel="0" collapsed="false">
      <c r="A993" s="49" t="s">
        <v>2251</v>
      </c>
      <c r="B993" s="49" t="s">
        <v>14</v>
      </c>
      <c r="C993" s="49" t="s">
        <v>114</v>
      </c>
      <c r="D993" s="49" t="s">
        <v>2441</v>
      </c>
      <c r="E993" s="49" t="s">
        <v>2140</v>
      </c>
      <c r="F993" s="49" t="s">
        <v>80</v>
      </c>
      <c r="G993" s="49" t="n">
        <v>4</v>
      </c>
      <c r="H993" s="0" t="n">
        <v>0</v>
      </c>
      <c r="I993" s="51" t="s">
        <v>3406</v>
      </c>
      <c r="J993" s="49" t="s">
        <v>2875</v>
      </c>
      <c r="K993" s="52" t="n">
        <v>47838</v>
      </c>
      <c r="M993" s="51" t="s">
        <v>3297</v>
      </c>
      <c r="N993" s="0" t="n">
        <v>4</v>
      </c>
      <c r="O993" s="53" t="n">
        <v>46049.804849537</v>
      </c>
      <c r="P993" s="53" t="n">
        <v>46056.7365972222</v>
      </c>
      <c r="Q993" s="53" t="n">
        <v>46049.804849537</v>
      </c>
      <c r="R993" s="0" t="n">
        <v>0</v>
      </c>
      <c r="S993" s="51" t="s">
        <v>3129</v>
      </c>
      <c r="T993" s="51" t="s">
        <v>3129</v>
      </c>
      <c r="U993" s="51" t="s">
        <v>2140</v>
      </c>
      <c r="V993" s="51" t="s">
        <v>2142</v>
      </c>
      <c r="X993" s="51"/>
    </row>
    <row r="994" customFormat="false" ht="14.25" hidden="false" customHeight="false" outlineLevel="0" collapsed="false">
      <c r="A994" s="49" t="s">
        <v>2251</v>
      </c>
      <c r="B994" s="49" t="s">
        <v>14</v>
      </c>
      <c r="C994" s="49" t="s">
        <v>115</v>
      </c>
      <c r="D994" s="49" t="s">
        <v>2441</v>
      </c>
      <c r="E994" s="49" t="s">
        <v>2140</v>
      </c>
      <c r="F994" s="49" t="s">
        <v>80</v>
      </c>
      <c r="G994" s="49" t="n">
        <v>4</v>
      </c>
      <c r="H994" s="0" t="n">
        <v>0</v>
      </c>
      <c r="I994" s="51" t="s">
        <v>3428</v>
      </c>
      <c r="J994" s="49" t="s">
        <v>2875</v>
      </c>
      <c r="K994" s="52" t="n">
        <v>47838</v>
      </c>
      <c r="M994" s="51" t="s">
        <v>3297</v>
      </c>
      <c r="N994" s="0" t="n">
        <v>4</v>
      </c>
      <c r="O994" s="53" t="n">
        <v>46049.8037731481</v>
      </c>
      <c r="P994" s="53" t="n">
        <v>46056.7294791667</v>
      </c>
      <c r="Q994" s="53" t="n">
        <v>46049.8037731481</v>
      </c>
      <c r="R994" s="0" t="n">
        <v>0</v>
      </c>
      <c r="S994" s="51" t="s">
        <v>3129</v>
      </c>
      <c r="T994" s="51" t="s">
        <v>3129</v>
      </c>
      <c r="U994" s="51" t="s">
        <v>2140</v>
      </c>
      <c r="V994" s="51" t="s">
        <v>2142</v>
      </c>
      <c r="X994" s="51"/>
    </row>
    <row r="995" customFormat="false" ht="14.25" hidden="false" customHeight="false" outlineLevel="0" collapsed="false">
      <c r="A995" s="49" t="s">
        <v>2251</v>
      </c>
      <c r="B995" s="49" t="s">
        <v>14</v>
      </c>
      <c r="C995" s="49" t="s">
        <v>116</v>
      </c>
      <c r="D995" s="49" t="s">
        <v>2441</v>
      </c>
      <c r="E995" s="49" t="s">
        <v>2140</v>
      </c>
      <c r="F995" s="49" t="s">
        <v>80</v>
      </c>
      <c r="G995" s="49" t="n">
        <v>4</v>
      </c>
      <c r="H995" s="0" t="n">
        <v>0</v>
      </c>
      <c r="I995" s="51" t="s">
        <v>3428</v>
      </c>
      <c r="J995" s="49" t="s">
        <v>2875</v>
      </c>
      <c r="K995" s="52" t="n">
        <v>47838</v>
      </c>
      <c r="M995" s="51" t="s">
        <v>3297</v>
      </c>
      <c r="N995" s="0" t="n">
        <v>4</v>
      </c>
      <c r="O995" s="53" t="n">
        <v>46049.8027893519</v>
      </c>
      <c r="P995" s="53" t="n">
        <v>46056.7300231482</v>
      </c>
      <c r="Q995" s="53" t="n">
        <v>46049.8027893519</v>
      </c>
      <c r="R995" s="0" t="n">
        <v>0</v>
      </c>
      <c r="S995" s="51" t="s">
        <v>3129</v>
      </c>
      <c r="T995" s="51" t="s">
        <v>3129</v>
      </c>
      <c r="U995" s="51" t="s">
        <v>2140</v>
      </c>
      <c r="V995" s="51" t="s">
        <v>2142</v>
      </c>
      <c r="X995" s="51"/>
    </row>
    <row r="996" customFormat="false" ht="14.25" hidden="false" customHeight="false" outlineLevel="0" collapsed="false">
      <c r="A996" s="49" t="s">
        <v>2251</v>
      </c>
      <c r="B996" s="49" t="s">
        <v>14</v>
      </c>
      <c r="C996" s="49" t="s">
        <v>117</v>
      </c>
      <c r="D996" s="49" t="s">
        <v>2441</v>
      </c>
      <c r="E996" s="49" t="s">
        <v>2140</v>
      </c>
      <c r="F996" s="49" t="s">
        <v>80</v>
      </c>
      <c r="G996" s="49" t="n">
        <v>4</v>
      </c>
      <c r="H996" s="0" t="n">
        <v>0</v>
      </c>
      <c r="I996" s="51" t="s">
        <v>3429</v>
      </c>
      <c r="J996" s="49" t="s">
        <v>2875</v>
      </c>
      <c r="K996" s="52" t="n">
        <v>47838</v>
      </c>
      <c r="M996" s="51" t="s">
        <v>3297</v>
      </c>
      <c r="N996" s="0" t="n">
        <v>4</v>
      </c>
      <c r="O996" s="53" t="n">
        <v>46049.8021412037</v>
      </c>
      <c r="P996" s="53" t="n">
        <v>46056.7159375</v>
      </c>
      <c r="Q996" s="53" t="n">
        <v>46049.8021412037</v>
      </c>
      <c r="R996" s="0" t="n">
        <v>0</v>
      </c>
      <c r="S996" s="51" t="s">
        <v>3129</v>
      </c>
      <c r="T996" s="51" t="s">
        <v>3129</v>
      </c>
      <c r="U996" s="51" t="s">
        <v>2140</v>
      </c>
      <c r="V996" s="51" t="s">
        <v>2142</v>
      </c>
      <c r="X996" s="51"/>
    </row>
    <row r="997" customFormat="false" ht="14.25" hidden="false" customHeight="false" outlineLevel="0" collapsed="false">
      <c r="A997" s="49" t="s">
        <v>2251</v>
      </c>
      <c r="B997" s="49" t="s">
        <v>14</v>
      </c>
      <c r="C997" s="49" t="s">
        <v>118</v>
      </c>
      <c r="D997" s="49" t="s">
        <v>2441</v>
      </c>
      <c r="E997" s="49" t="s">
        <v>2140</v>
      </c>
      <c r="F997" s="49" t="s">
        <v>80</v>
      </c>
      <c r="G997" s="49" t="n">
        <v>4</v>
      </c>
      <c r="H997" s="0" t="n">
        <v>0</v>
      </c>
      <c r="I997" s="51" t="s">
        <v>3429</v>
      </c>
      <c r="J997" s="49" t="s">
        <v>2875</v>
      </c>
      <c r="K997" s="52" t="n">
        <v>47838</v>
      </c>
      <c r="M997" s="51" t="s">
        <v>3297</v>
      </c>
      <c r="N997" s="0" t="n">
        <v>4</v>
      </c>
      <c r="O997" s="53" t="n">
        <v>46049.8015162037</v>
      </c>
      <c r="P997" s="53" t="n">
        <v>46056.7144212963</v>
      </c>
      <c r="Q997" s="53" t="n">
        <v>46049.8015162037</v>
      </c>
      <c r="R997" s="0" t="n">
        <v>0</v>
      </c>
      <c r="S997" s="51" t="s">
        <v>3129</v>
      </c>
      <c r="T997" s="51" t="s">
        <v>3129</v>
      </c>
      <c r="U997" s="51" t="s">
        <v>2140</v>
      </c>
      <c r="V997" s="51" t="s">
        <v>2142</v>
      </c>
      <c r="X997" s="51"/>
    </row>
    <row r="998" customFormat="false" ht="14.25" hidden="false" customHeight="false" outlineLevel="0" collapsed="false">
      <c r="A998" s="49" t="s">
        <v>2251</v>
      </c>
      <c r="B998" s="49" t="s">
        <v>14</v>
      </c>
      <c r="C998" s="49" t="s">
        <v>119</v>
      </c>
      <c r="D998" s="49" t="s">
        <v>2441</v>
      </c>
      <c r="E998" s="49" t="s">
        <v>2140</v>
      </c>
      <c r="F998" s="49" t="s">
        <v>80</v>
      </c>
      <c r="G998" s="49" t="n">
        <v>4</v>
      </c>
      <c r="H998" s="0" t="n">
        <v>0</v>
      </c>
      <c r="I998" s="51" t="s">
        <v>3429</v>
      </c>
      <c r="J998" s="49" t="s">
        <v>2875</v>
      </c>
      <c r="K998" s="52" t="n">
        <v>47838</v>
      </c>
      <c r="M998" s="51" t="s">
        <v>3297</v>
      </c>
      <c r="N998" s="0" t="n">
        <v>4</v>
      </c>
      <c r="O998" s="53" t="n">
        <v>46049.8008101852</v>
      </c>
      <c r="P998" s="53" t="n">
        <v>46056.7164467593</v>
      </c>
      <c r="Q998" s="53" t="n">
        <v>46049.8008101852</v>
      </c>
      <c r="R998" s="0" t="n">
        <v>0</v>
      </c>
      <c r="S998" s="51" t="s">
        <v>3129</v>
      </c>
      <c r="T998" s="51" t="s">
        <v>3129</v>
      </c>
      <c r="U998" s="51" t="s">
        <v>2140</v>
      </c>
      <c r="V998" s="51" t="s">
        <v>2142</v>
      </c>
      <c r="X998" s="51"/>
    </row>
    <row r="999" customFormat="false" ht="14.25" hidden="false" customHeight="false" outlineLevel="0" collapsed="false">
      <c r="A999" s="49" t="s">
        <v>2251</v>
      </c>
      <c r="B999" s="49" t="s">
        <v>14</v>
      </c>
      <c r="C999" s="49" t="s">
        <v>120</v>
      </c>
      <c r="D999" s="49" t="s">
        <v>2441</v>
      </c>
      <c r="E999" s="49" t="s">
        <v>2140</v>
      </c>
      <c r="F999" s="49" t="s">
        <v>80</v>
      </c>
      <c r="G999" s="49" t="n">
        <v>4</v>
      </c>
      <c r="H999" s="0" t="n">
        <v>0</v>
      </c>
      <c r="I999" s="51" t="s">
        <v>3429</v>
      </c>
      <c r="J999" s="49" t="s">
        <v>2875</v>
      </c>
      <c r="K999" s="52" t="n">
        <v>47838</v>
      </c>
      <c r="M999" s="51" t="s">
        <v>3297</v>
      </c>
      <c r="N999" s="0" t="n">
        <v>4</v>
      </c>
      <c r="O999" s="53" t="n">
        <v>46049.7993634259</v>
      </c>
      <c r="P999" s="53" t="n">
        <v>46056.7144907407</v>
      </c>
      <c r="Q999" s="53" t="n">
        <v>46049.7993634259</v>
      </c>
      <c r="R999" s="0" t="n">
        <v>0</v>
      </c>
      <c r="S999" s="51" t="s">
        <v>3129</v>
      </c>
      <c r="T999" s="51" t="s">
        <v>3129</v>
      </c>
      <c r="U999" s="51" t="s">
        <v>2140</v>
      </c>
      <c r="V999" s="51" t="s">
        <v>2142</v>
      </c>
      <c r="X999" s="51"/>
    </row>
    <row r="1000" customFormat="false" ht="14.25" hidden="false" customHeight="false" outlineLevel="0" collapsed="false">
      <c r="A1000" s="49" t="s">
        <v>2251</v>
      </c>
      <c r="B1000" s="49" t="s">
        <v>14</v>
      </c>
      <c r="C1000" s="49" t="s">
        <v>758</v>
      </c>
      <c r="D1000" s="49" t="s">
        <v>2441</v>
      </c>
      <c r="E1000" s="49" t="s">
        <v>3430</v>
      </c>
      <c r="F1000" s="49" t="s">
        <v>759</v>
      </c>
      <c r="G1000" s="49" t="n">
        <v>1</v>
      </c>
      <c r="H1000" s="0" t="n">
        <v>0</v>
      </c>
      <c r="I1000" s="51" t="s">
        <v>3431</v>
      </c>
      <c r="J1000" s="49" t="s">
        <v>3432</v>
      </c>
      <c r="K1000" s="52" t="n">
        <v>47839</v>
      </c>
      <c r="M1000" s="51" t="s">
        <v>3433</v>
      </c>
      <c r="N1000" s="0" t="n">
        <v>1</v>
      </c>
      <c r="O1000" s="53" t="n">
        <v>46057.6497106482</v>
      </c>
      <c r="P1000" s="53" t="n">
        <v>46057.7660300926</v>
      </c>
      <c r="Q1000" s="53" t="n">
        <v>46057.6497106482</v>
      </c>
      <c r="R1000" s="0" t="n">
        <v>0</v>
      </c>
      <c r="S1000" s="51" t="s">
        <v>3129</v>
      </c>
      <c r="T1000" s="51" t="s">
        <v>3129</v>
      </c>
      <c r="U1000" s="51" t="s">
        <v>3430</v>
      </c>
      <c r="V1000" s="51" t="s">
        <v>2142</v>
      </c>
      <c r="X1000" s="51"/>
    </row>
    <row r="1001" customFormat="false" ht="14.25" hidden="false" customHeight="false" outlineLevel="0" collapsed="false">
      <c r="A1001" s="49" t="s">
        <v>2251</v>
      </c>
      <c r="B1001" s="49" t="s">
        <v>14</v>
      </c>
      <c r="C1001" s="49" t="s">
        <v>1305</v>
      </c>
      <c r="D1001" s="49" t="s">
        <v>2441</v>
      </c>
      <c r="E1001" s="49" t="s">
        <v>2908</v>
      </c>
      <c r="F1001" s="49" t="s">
        <v>1213</v>
      </c>
      <c r="G1001" s="49" t="n">
        <v>52</v>
      </c>
      <c r="H1001" s="0" t="n">
        <v>0</v>
      </c>
      <c r="I1001" s="51" t="s">
        <v>3434</v>
      </c>
      <c r="J1001" s="49" t="s">
        <v>2910</v>
      </c>
      <c r="K1001" s="52" t="n">
        <v>47839</v>
      </c>
      <c r="M1001" s="51" t="s">
        <v>3263</v>
      </c>
      <c r="N1001" s="0" t="n">
        <v>52</v>
      </c>
      <c r="O1001" s="53" t="n">
        <v>46065.6763425926</v>
      </c>
      <c r="P1001" s="53" t="n">
        <v>46065.7770486111</v>
      </c>
      <c r="Q1001" s="53" t="n">
        <v>46065.6763425926</v>
      </c>
      <c r="R1001" s="0" t="n">
        <v>0</v>
      </c>
      <c r="S1001" s="51" t="s">
        <v>3129</v>
      </c>
      <c r="T1001" s="51" t="s">
        <v>3129</v>
      </c>
      <c r="U1001" s="51" t="s">
        <v>2908</v>
      </c>
      <c r="V1001" s="51" t="s">
        <v>2365</v>
      </c>
      <c r="X1001" s="51"/>
    </row>
    <row r="1002" customFormat="false" ht="14.25" hidden="false" customHeight="false" outlineLevel="0" collapsed="false">
      <c r="A1002" s="49" t="s">
        <v>2251</v>
      </c>
      <c r="B1002" s="49" t="s">
        <v>14</v>
      </c>
      <c r="C1002" s="49" t="s">
        <v>1306</v>
      </c>
      <c r="D1002" s="49" t="s">
        <v>2441</v>
      </c>
      <c r="E1002" s="49" t="s">
        <v>2908</v>
      </c>
      <c r="F1002" s="49" t="s">
        <v>1213</v>
      </c>
      <c r="G1002" s="49" t="n">
        <v>52</v>
      </c>
      <c r="H1002" s="0" t="n">
        <v>0</v>
      </c>
      <c r="I1002" s="51" t="s">
        <v>3284</v>
      </c>
      <c r="J1002" s="49" t="s">
        <v>2910</v>
      </c>
      <c r="K1002" s="52" t="n">
        <v>47839</v>
      </c>
      <c r="M1002" s="51" t="s">
        <v>3263</v>
      </c>
      <c r="N1002" s="0" t="n">
        <v>52</v>
      </c>
      <c r="O1002" s="53" t="n">
        <v>46065.6756597222</v>
      </c>
      <c r="P1002" s="53" t="n">
        <v>46065.7755902778</v>
      </c>
      <c r="Q1002" s="53" t="n">
        <v>46065.6756597222</v>
      </c>
      <c r="R1002" s="0" t="n">
        <v>0</v>
      </c>
      <c r="S1002" s="51" t="s">
        <v>3129</v>
      </c>
      <c r="T1002" s="51" t="s">
        <v>3129</v>
      </c>
      <c r="U1002" s="51" t="s">
        <v>2908</v>
      </c>
      <c r="V1002" s="51" t="s">
        <v>2365</v>
      </c>
      <c r="X1002" s="51"/>
    </row>
    <row r="1003" customFormat="false" ht="14.25" hidden="false" customHeight="false" outlineLevel="0" collapsed="false">
      <c r="A1003" s="49" t="s">
        <v>2251</v>
      </c>
      <c r="B1003" s="49" t="s">
        <v>14</v>
      </c>
      <c r="C1003" s="49" t="s">
        <v>1307</v>
      </c>
      <c r="D1003" s="49" t="s">
        <v>2441</v>
      </c>
      <c r="E1003" s="49" t="s">
        <v>2908</v>
      </c>
      <c r="F1003" s="49" t="s">
        <v>1213</v>
      </c>
      <c r="G1003" s="49" t="n">
        <v>52</v>
      </c>
      <c r="H1003" s="0" t="n">
        <v>0</v>
      </c>
      <c r="I1003" s="51" t="s">
        <v>3414</v>
      </c>
      <c r="J1003" s="49" t="s">
        <v>2910</v>
      </c>
      <c r="K1003" s="52" t="n">
        <v>47839</v>
      </c>
      <c r="M1003" s="51" t="s">
        <v>3263</v>
      </c>
      <c r="N1003" s="0" t="n">
        <v>52</v>
      </c>
      <c r="O1003" s="53" t="n">
        <v>46065.6751273148</v>
      </c>
      <c r="P1003" s="53" t="n">
        <v>46065.7744097222</v>
      </c>
      <c r="Q1003" s="53" t="n">
        <v>46065.6751273148</v>
      </c>
      <c r="R1003" s="0" t="n">
        <v>0</v>
      </c>
      <c r="S1003" s="51" t="s">
        <v>3129</v>
      </c>
      <c r="T1003" s="51" t="s">
        <v>3129</v>
      </c>
      <c r="U1003" s="51" t="s">
        <v>2908</v>
      </c>
      <c r="V1003" s="51" t="s">
        <v>2365</v>
      </c>
      <c r="X1003" s="51"/>
    </row>
    <row r="1004" customFormat="false" ht="14.25" hidden="false" customHeight="false" outlineLevel="0" collapsed="false">
      <c r="A1004" s="49" t="s">
        <v>2251</v>
      </c>
      <c r="B1004" s="49" t="s">
        <v>14</v>
      </c>
      <c r="C1004" s="49" t="s">
        <v>1299</v>
      </c>
      <c r="D1004" s="49" t="s">
        <v>2441</v>
      </c>
      <c r="E1004" s="49" t="s">
        <v>2908</v>
      </c>
      <c r="F1004" s="49" t="s">
        <v>1213</v>
      </c>
      <c r="G1004" s="49" t="n">
        <v>52</v>
      </c>
      <c r="H1004" s="0" t="n">
        <v>0</v>
      </c>
      <c r="I1004" s="51" t="s">
        <v>3435</v>
      </c>
      <c r="J1004" s="49" t="s">
        <v>2910</v>
      </c>
      <c r="K1004" s="52" t="n">
        <v>47839</v>
      </c>
      <c r="M1004" s="51" t="s">
        <v>3263</v>
      </c>
      <c r="N1004" s="0" t="n">
        <v>52</v>
      </c>
      <c r="O1004" s="53" t="n">
        <v>46065.6741898148</v>
      </c>
      <c r="P1004" s="53" t="n">
        <v>46065.7738773148</v>
      </c>
      <c r="Q1004" s="53" t="n">
        <v>46065.6741898148</v>
      </c>
      <c r="R1004" s="0" t="n">
        <v>0</v>
      </c>
      <c r="S1004" s="51" t="s">
        <v>3129</v>
      </c>
      <c r="T1004" s="51" t="s">
        <v>3129</v>
      </c>
      <c r="U1004" s="51" t="s">
        <v>2908</v>
      </c>
      <c r="V1004" s="51" t="s">
        <v>2365</v>
      </c>
      <c r="X1004" s="51"/>
    </row>
    <row r="1005" customFormat="false" ht="14.25" hidden="false" customHeight="false" outlineLevel="0" collapsed="false">
      <c r="A1005" s="49" t="s">
        <v>2251</v>
      </c>
      <c r="B1005" s="49" t="s">
        <v>14</v>
      </c>
      <c r="C1005" s="49" t="s">
        <v>1204</v>
      </c>
      <c r="D1005" s="49" t="s">
        <v>2441</v>
      </c>
      <c r="E1005" s="49" t="s">
        <v>3436</v>
      </c>
      <c r="F1005" s="49" t="s">
        <v>1187</v>
      </c>
      <c r="G1005" s="49" t="n">
        <v>4</v>
      </c>
      <c r="H1005" s="0" t="n">
        <v>0</v>
      </c>
      <c r="I1005" s="51" t="s">
        <v>3437</v>
      </c>
      <c r="J1005" s="49" t="s">
        <v>3438</v>
      </c>
      <c r="K1005" s="52" t="n">
        <v>47839</v>
      </c>
      <c r="M1005" s="51" t="s">
        <v>3190</v>
      </c>
      <c r="N1005" s="0" t="n">
        <v>4</v>
      </c>
      <c r="O1005" s="53" t="n">
        <v>46064.371724537</v>
      </c>
      <c r="P1005" s="53" t="n">
        <v>46067.4381944445</v>
      </c>
      <c r="Q1005" s="53" t="n">
        <v>46064.371724537</v>
      </c>
      <c r="R1005" s="0" t="n">
        <v>0</v>
      </c>
      <c r="S1005" s="51" t="s">
        <v>3129</v>
      </c>
      <c r="T1005" s="51" t="s">
        <v>3129</v>
      </c>
      <c r="U1005" s="51" t="s">
        <v>3436</v>
      </c>
      <c r="V1005" s="51" t="s">
        <v>2142</v>
      </c>
      <c r="X1005" s="51"/>
    </row>
    <row r="1006" customFormat="false" ht="14.25" hidden="false" customHeight="false" outlineLevel="0" collapsed="false">
      <c r="A1006" s="49" t="s">
        <v>2251</v>
      </c>
      <c r="B1006" s="49" t="s">
        <v>14</v>
      </c>
      <c r="C1006" s="49" t="s">
        <v>1205</v>
      </c>
      <c r="D1006" s="49" t="s">
        <v>2441</v>
      </c>
      <c r="E1006" s="49" t="s">
        <v>3436</v>
      </c>
      <c r="F1006" s="49" t="s">
        <v>1187</v>
      </c>
      <c r="G1006" s="49" t="n">
        <v>4</v>
      </c>
      <c r="H1006" s="0" t="n">
        <v>0</v>
      </c>
      <c r="I1006" s="51" t="s">
        <v>3437</v>
      </c>
      <c r="J1006" s="49" t="s">
        <v>3438</v>
      </c>
      <c r="K1006" s="52" t="n">
        <v>47839</v>
      </c>
      <c r="M1006" s="51" t="s">
        <v>3190</v>
      </c>
      <c r="N1006" s="0" t="n">
        <v>4</v>
      </c>
      <c r="O1006" s="53" t="n">
        <v>46064.3712384259</v>
      </c>
      <c r="P1006" s="53" t="n">
        <v>46067.4210648148</v>
      </c>
      <c r="Q1006" s="53" t="n">
        <v>46064.3712384259</v>
      </c>
      <c r="R1006" s="0" t="n">
        <v>0</v>
      </c>
      <c r="S1006" s="51" t="s">
        <v>3129</v>
      </c>
      <c r="T1006" s="51" t="s">
        <v>3129</v>
      </c>
      <c r="U1006" s="51" t="s">
        <v>3436</v>
      </c>
      <c r="V1006" s="51" t="s">
        <v>2142</v>
      </c>
      <c r="X1006" s="51"/>
    </row>
    <row r="1007" customFormat="false" ht="14.25" hidden="false" customHeight="false" outlineLevel="0" collapsed="false">
      <c r="A1007" s="49" t="s">
        <v>2251</v>
      </c>
      <c r="B1007" s="49" t="s">
        <v>14</v>
      </c>
      <c r="C1007" s="49" t="s">
        <v>1206</v>
      </c>
      <c r="D1007" s="49" t="s">
        <v>2441</v>
      </c>
      <c r="E1007" s="49" t="s">
        <v>3436</v>
      </c>
      <c r="F1007" s="49" t="s">
        <v>1187</v>
      </c>
      <c r="G1007" s="49" t="n">
        <v>4</v>
      </c>
      <c r="H1007" s="0" t="n">
        <v>0</v>
      </c>
      <c r="I1007" s="51" t="s">
        <v>3437</v>
      </c>
      <c r="J1007" s="49" t="s">
        <v>3438</v>
      </c>
      <c r="K1007" s="52" t="n">
        <v>47839</v>
      </c>
      <c r="M1007" s="51" t="s">
        <v>3190</v>
      </c>
      <c r="N1007" s="0" t="n">
        <v>4</v>
      </c>
      <c r="O1007" s="53" t="n">
        <v>46064.3707638889</v>
      </c>
      <c r="P1007" s="53" t="n">
        <v>46067.4180902778</v>
      </c>
      <c r="Q1007" s="53" t="n">
        <v>46064.3707638889</v>
      </c>
      <c r="R1007" s="0" t="n">
        <v>0</v>
      </c>
      <c r="S1007" s="51" t="s">
        <v>3129</v>
      </c>
      <c r="T1007" s="51" t="s">
        <v>3129</v>
      </c>
      <c r="U1007" s="51" t="s">
        <v>3436</v>
      </c>
      <c r="V1007" s="51" t="s">
        <v>2142</v>
      </c>
      <c r="X1007" s="51"/>
    </row>
    <row r="1008" customFormat="false" ht="14.25" hidden="false" customHeight="false" outlineLevel="0" collapsed="false">
      <c r="A1008" s="49" t="s">
        <v>2251</v>
      </c>
      <c r="B1008" s="49" t="s">
        <v>14</v>
      </c>
      <c r="C1008" s="49" t="s">
        <v>1207</v>
      </c>
      <c r="D1008" s="49" t="s">
        <v>2441</v>
      </c>
      <c r="E1008" s="49" t="s">
        <v>3436</v>
      </c>
      <c r="F1008" s="49" t="s">
        <v>1187</v>
      </c>
      <c r="G1008" s="49" t="n">
        <v>4</v>
      </c>
      <c r="H1008" s="0" t="n">
        <v>0</v>
      </c>
      <c r="I1008" s="51" t="s">
        <v>3439</v>
      </c>
      <c r="J1008" s="49" t="s">
        <v>3438</v>
      </c>
      <c r="K1008" s="52" t="n">
        <v>47839</v>
      </c>
      <c r="M1008" s="51" t="s">
        <v>3190</v>
      </c>
      <c r="N1008" s="0" t="n">
        <v>4</v>
      </c>
      <c r="O1008" s="53" t="n">
        <v>46064.3702777778</v>
      </c>
      <c r="P1008" s="53" t="n">
        <v>46067.4447569444</v>
      </c>
      <c r="Q1008" s="53" t="n">
        <v>46064.3702777778</v>
      </c>
      <c r="R1008" s="0" t="n">
        <v>0</v>
      </c>
      <c r="S1008" s="51" t="s">
        <v>3129</v>
      </c>
      <c r="T1008" s="51" t="s">
        <v>3129</v>
      </c>
      <c r="U1008" s="51" t="s">
        <v>3436</v>
      </c>
      <c r="V1008" s="51" t="s">
        <v>2142</v>
      </c>
      <c r="X1008" s="51"/>
    </row>
    <row r="1009" customFormat="false" ht="14.25" hidden="false" customHeight="false" outlineLevel="0" collapsed="false">
      <c r="A1009" s="49" t="s">
        <v>2251</v>
      </c>
      <c r="B1009" s="49" t="s">
        <v>14</v>
      </c>
      <c r="C1009" s="49" t="s">
        <v>1208</v>
      </c>
      <c r="D1009" s="49" t="s">
        <v>2441</v>
      </c>
      <c r="E1009" s="49" t="s">
        <v>3436</v>
      </c>
      <c r="F1009" s="49" t="s">
        <v>1187</v>
      </c>
      <c r="G1009" s="49" t="n">
        <v>4</v>
      </c>
      <c r="H1009" s="0" t="n">
        <v>0</v>
      </c>
      <c r="I1009" s="51" t="s">
        <v>3437</v>
      </c>
      <c r="J1009" s="49" t="s">
        <v>3438</v>
      </c>
      <c r="K1009" s="52" t="n">
        <v>47839</v>
      </c>
      <c r="M1009" s="51" t="s">
        <v>3190</v>
      </c>
      <c r="N1009" s="0" t="n">
        <v>4</v>
      </c>
      <c r="O1009" s="53" t="n">
        <v>46064.3697916667</v>
      </c>
      <c r="P1009" s="53" t="n">
        <v>46067.4111689815</v>
      </c>
      <c r="Q1009" s="53" t="n">
        <v>46064.3697916667</v>
      </c>
      <c r="R1009" s="0" t="n">
        <v>0</v>
      </c>
      <c r="S1009" s="51" t="s">
        <v>3129</v>
      </c>
      <c r="T1009" s="51" t="s">
        <v>3129</v>
      </c>
      <c r="U1009" s="51" t="s">
        <v>3436</v>
      </c>
      <c r="V1009" s="51" t="s">
        <v>2142</v>
      </c>
      <c r="X1009" s="51"/>
    </row>
    <row r="1010" customFormat="false" ht="14.25" hidden="false" customHeight="false" outlineLevel="0" collapsed="false">
      <c r="A1010" s="49" t="s">
        <v>2251</v>
      </c>
      <c r="B1010" s="49" t="s">
        <v>14</v>
      </c>
      <c r="C1010" s="49" t="s">
        <v>1209</v>
      </c>
      <c r="D1010" s="49" t="s">
        <v>2441</v>
      </c>
      <c r="E1010" s="49" t="s">
        <v>3436</v>
      </c>
      <c r="F1010" s="49" t="s">
        <v>1187</v>
      </c>
      <c r="G1010" s="49" t="n">
        <v>4</v>
      </c>
      <c r="H1010" s="0" t="n">
        <v>0</v>
      </c>
      <c r="I1010" s="51" t="s">
        <v>3439</v>
      </c>
      <c r="J1010" s="49" t="s">
        <v>3438</v>
      </c>
      <c r="K1010" s="52" t="n">
        <v>47839</v>
      </c>
      <c r="M1010" s="51" t="s">
        <v>3190</v>
      </c>
      <c r="N1010" s="0" t="n">
        <v>4</v>
      </c>
      <c r="O1010" s="53" t="n">
        <v>46064.3693171296</v>
      </c>
      <c r="P1010" s="53" t="n">
        <v>46067.4458796296</v>
      </c>
      <c r="Q1010" s="53" t="n">
        <v>46064.3693171296</v>
      </c>
      <c r="R1010" s="0" t="n">
        <v>0</v>
      </c>
      <c r="S1010" s="51" t="s">
        <v>3129</v>
      </c>
      <c r="T1010" s="51" t="s">
        <v>3129</v>
      </c>
      <c r="U1010" s="51" t="s">
        <v>3436</v>
      </c>
      <c r="V1010" s="51" t="s">
        <v>2142</v>
      </c>
      <c r="X1010" s="51"/>
    </row>
    <row r="1011" customFormat="false" ht="14.25" hidden="false" customHeight="false" outlineLevel="0" collapsed="false">
      <c r="A1011" s="49" t="s">
        <v>2251</v>
      </c>
      <c r="B1011" s="49" t="s">
        <v>14</v>
      </c>
      <c r="C1011" s="49" t="s">
        <v>1210</v>
      </c>
      <c r="D1011" s="49" t="s">
        <v>2441</v>
      </c>
      <c r="E1011" s="49" t="s">
        <v>3436</v>
      </c>
      <c r="F1011" s="49" t="s">
        <v>1187</v>
      </c>
      <c r="G1011" s="49" t="n">
        <v>4</v>
      </c>
      <c r="H1011" s="0" t="n">
        <v>0</v>
      </c>
      <c r="I1011" s="51" t="s">
        <v>3439</v>
      </c>
      <c r="J1011" s="49" t="s">
        <v>3438</v>
      </c>
      <c r="K1011" s="52" t="n">
        <v>47839</v>
      </c>
      <c r="M1011" s="51" t="s">
        <v>3190</v>
      </c>
      <c r="N1011" s="0" t="n">
        <v>4</v>
      </c>
      <c r="O1011" s="53" t="n">
        <v>46064.3688541667</v>
      </c>
      <c r="P1011" s="53" t="n">
        <v>46067.4516898148</v>
      </c>
      <c r="Q1011" s="53" t="n">
        <v>46064.3688541667</v>
      </c>
      <c r="R1011" s="0" t="n">
        <v>0</v>
      </c>
      <c r="S1011" s="51" t="s">
        <v>3129</v>
      </c>
      <c r="T1011" s="51" t="s">
        <v>3129</v>
      </c>
      <c r="U1011" s="51" t="s">
        <v>3436</v>
      </c>
      <c r="V1011" s="51" t="s">
        <v>2142</v>
      </c>
      <c r="X1011" s="51"/>
    </row>
    <row r="1012" customFormat="false" ht="14.25" hidden="false" customHeight="false" outlineLevel="0" collapsed="false">
      <c r="A1012" s="49" t="s">
        <v>2251</v>
      </c>
      <c r="B1012" s="49" t="s">
        <v>14</v>
      </c>
      <c r="C1012" s="49" t="s">
        <v>1211</v>
      </c>
      <c r="D1012" s="49" t="s">
        <v>2441</v>
      </c>
      <c r="E1012" s="49" t="s">
        <v>3436</v>
      </c>
      <c r="F1012" s="49" t="s">
        <v>1187</v>
      </c>
      <c r="G1012" s="49" t="n">
        <v>4</v>
      </c>
      <c r="H1012" s="0" t="n">
        <v>0</v>
      </c>
      <c r="I1012" s="51" t="s">
        <v>3439</v>
      </c>
      <c r="J1012" s="49" t="s">
        <v>3438</v>
      </c>
      <c r="K1012" s="52" t="n">
        <v>47839</v>
      </c>
      <c r="M1012" s="51" t="s">
        <v>3190</v>
      </c>
      <c r="N1012" s="0" t="n">
        <v>4</v>
      </c>
      <c r="O1012" s="53" t="n">
        <v>46064.3677893519</v>
      </c>
      <c r="P1012" s="53" t="n">
        <v>46067.4549652778</v>
      </c>
      <c r="Q1012" s="53" t="n">
        <v>46064.3677893519</v>
      </c>
      <c r="R1012" s="0" t="n">
        <v>0</v>
      </c>
      <c r="S1012" s="51" t="s">
        <v>3129</v>
      </c>
      <c r="T1012" s="51" t="s">
        <v>3129</v>
      </c>
      <c r="U1012" s="51" t="s">
        <v>3436</v>
      </c>
      <c r="V1012" s="51" t="s">
        <v>2142</v>
      </c>
      <c r="X1012" s="51"/>
    </row>
    <row r="1013" customFormat="false" ht="14.25" hidden="false" customHeight="false" outlineLevel="0" collapsed="false">
      <c r="A1013" s="49" t="s">
        <v>2251</v>
      </c>
      <c r="B1013" s="49" t="s">
        <v>14</v>
      </c>
      <c r="C1013" s="49" t="s">
        <v>1186</v>
      </c>
      <c r="D1013" s="49" t="s">
        <v>2441</v>
      </c>
      <c r="E1013" s="49" t="s">
        <v>3436</v>
      </c>
      <c r="F1013" s="49" t="s">
        <v>1187</v>
      </c>
      <c r="G1013" s="49" t="n">
        <v>4</v>
      </c>
      <c r="H1013" s="0" t="n">
        <v>0</v>
      </c>
      <c r="I1013" s="51" t="s">
        <v>3439</v>
      </c>
      <c r="J1013" s="49" t="s">
        <v>3438</v>
      </c>
      <c r="K1013" s="52" t="n">
        <v>47839</v>
      </c>
      <c r="M1013" s="51" t="s">
        <v>3190</v>
      </c>
      <c r="N1013" s="0" t="n">
        <v>4</v>
      </c>
      <c r="O1013" s="53" t="n">
        <v>46064.3671180556</v>
      </c>
      <c r="P1013" s="53" t="n">
        <v>46067.4394791667</v>
      </c>
      <c r="Q1013" s="53" t="n">
        <v>46064.3671180556</v>
      </c>
      <c r="R1013" s="0" t="n">
        <v>0</v>
      </c>
      <c r="S1013" s="51" t="s">
        <v>3129</v>
      </c>
      <c r="T1013" s="51" t="s">
        <v>3129</v>
      </c>
      <c r="U1013" s="51" t="s">
        <v>3436</v>
      </c>
      <c r="V1013" s="51" t="s">
        <v>2142</v>
      </c>
      <c r="X1013" s="51"/>
    </row>
    <row r="1014" customFormat="false" ht="14.25" hidden="true" customHeight="false" outlineLevel="0" collapsed="false">
      <c r="A1014" s="49" t="s">
        <v>2251</v>
      </c>
      <c r="B1014" s="49" t="s">
        <v>14</v>
      </c>
      <c r="C1014" s="49" t="s">
        <v>1189</v>
      </c>
      <c r="D1014" s="49" t="s">
        <v>2441</v>
      </c>
      <c r="E1014" s="49" t="s">
        <v>3436</v>
      </c>
      <c r="F1014" s="49" t="s">
        <v>1187</v>
      </c>
      <c r="G1014" s="49" t="n">
        <v>4</v>
      </c>
      <c r="H1014" s="0" t="n">
        <v>0</v>
      </c>
      <c r="I1014" s="51" t="s">
        <v>3437</v>
      </c>
      <c r="J1014" s="49" t="s">
        <v>3438</v>
      </c>
      <c r="K1014" s="52" t="n">
        <v>47839</v>
      </c>
      <c r="M1014" s="51" t="s">
        <v>3190</v>
      </c>
      <c r="N1014" s="49" t="n">
        <v>4</v>
      </c>
      <c r="O1014" s="53" t="n">
        <v>46064.366712963</v>
      </c>
      <c r="P1014" s="53" t="n">
        <v>46067.4351157407</v>
      </c>
      <c r="Q1014" s="53" t="n">
        <v>46064.366712963</v>
      </c>
      <c r="R1014" s="0" t="n">
        <v>0</v>
      </c>
      <c r="S1014" s="51" t="s">
        <v>3129</v>
      </c>
      <c r="T1014" s="51" t="s">
        <v>3129</v>
      </c>
      <c r="U1014" s="51" t="s">
        <v>3436</v>
      </c>
      <c r="V1014" s="51" t="s">
        <v>2142</v>
      </c>
      <c r="W1014" s="51"/>
      <c r="X1014" s="51"/>
    </row>
    <row r="1015" customFormat="false" ht="14.25" hidden="true" customHeight="false" outlineLevel="0" collapsed="false">
      <c r="A1015" s="49" t="s">
        <v>2251</v>
      </c>
      <c r="B1015" s="49" t="s">
        <v>14</v>
      </c>
      <c r="C1015" s="49" t="s">
        <v>760</v>
      </c>
      <c r="D1015" s="49" t="s">
        <v>2441</v>
      </c>
      <c r="E1015" s="49" t="s">
        <v>3430</v>
      </c>
      <c r="F1015" s="49" t="s">
        <v>759</v>
      </c>
      <c r="G1015" s="49" t="n">
        <v>4</v>
      </c>
      <c r="H1015" s="0" t="n">
        <v>0</v>
      </c>
      <c r="I1015" s="51" t="s">
        <v>3440</v>
      </c>
      <c r="J1015" s="49" t="s">
        <v>3441</v>
      </c>
      <c r="K1015" s="52" t="n">
        <v>47839</v>
      </c>
      <c r="M1015" s="51" t="s">
        <v>3433</v>
      </c>
      <c r="N1015" s="49" t="n">
        <v>4</v>
      </c>
      <c r="O1015" s="53" t="n">
        <v>46057.6382407407</v>
      </c>
      <c r="P1015" s="53" t="n">
        <v>46057.7779282407</v>
      </c>
      <c r="Q1015" s="53" t="n">
        <v>46057.6382407407</v>
      </c>
      <c r="R1015" s="0" t="n">
        <v>0</v>
      </c>
      <c r="S1015" s="51" t="s">
        <v>3129</v>
      </c>
      <c r="T1015" s="51" t="s">
        <v>3129</v>
      </c>
      <c r="U1015" s="51" t="s">
        <v>3430</v>
      </c>
      <c r="V1015" s="51" t="s">
        <v>2142</v>
      </c>
      <c r="W1015" s="51"/>
      <c r="X1015" s="51"/>
    </row>
    <row r="1016" customFormat="false" ht="14.25" hidden="true" customHeight="false" outlineLevel="0" collapsed="false">
      <c r="A1016" s="49" t="s">
        <v>2251</v>
      </c>
      <c r="B1016" s="49" t="s">
        <v>14</v>
      </c>
      <c r="C1016" s="49" t="s">
        <v>762</v>
      </c>
      <c r="D1016" s="49" t="s">
        <v>2441</v>
      </c>
      <c r="E1016" s="49" t="s">
        <v>3430</v>
      </c>
      <c r="F1016" s="49" t="s">
        <v>759</v>
      </c>
      <c r="G1016" s="49" t="n">
        <v>4</v>
      </c>
      <c r="H1016" s="0" t="n">
        <v>0</v>
      </c>
      <c r="I1016" s="51" t="s">
        <v>3442</v>
      </c>
      <c r="J1016" s="49" t="s">
        <v>3441</v>
      </c>
      <c r="K1016" s="52" t="n">
        <v>47839</v>
      </c>
      <c r="M1016" s="51" t="s">
        <v>3433</v>
      </c>
      <c r="N1016" s="49" t="n">
        <v>4</v>
      </c>
      <c r="O1016" s="53" t="n">
        <v>46057.6371875</v>
      </c>
      <c r="P1016" s="53" t="n">
        <v>46057.7729166667</v>
      </c>
      <c r="Q1016" s="53" t="n">
        <v>46057.6371875</v>
      </c>
      <c r="R1016" s="0" t="n">
        <v>0</v>
      </c>
      <c r="S1016" s="51" t="s">
        <v>3129</v>
      </c>
      <c r="T1016" s="51" t="s">
        <v>3129</v>
      </c>
      <c r="U1016" s="51" t="s">
        <v>3430</v>
      </c>
      <c r="V1016" s="51" t="s">
        <v>2142</v>
      </c>
      <c r="W1016" s="51" t="s">
        <v>3443</v>
      </c>
      <c r="X1016" s="51"/>
    </row>
    <row r="1017" customFormat="false" ht="14.25" hidden="true" customHeight="false" outlineLevel="0" collapsed="false">
      <c r="A1017" s="49" t="s">
        <v>2251</v>
      </c>
      <c r="B1017" s="49" t="s">
        <v>14</v>
      </c>
      <c r="C1017" s="49" t="s">
        <v>764</v>
      </c>
      <c r="D1017" s="49" t="s">
        <v>2441</v>
      </c>
      <c r="E1017" s="49" t="s">
        <v>3444</v>
      </c>
      <c r="F1017" s="49" t="s">
        <v>765</v>
      </c>
      <c r="G1017" s="49" t="n">
        <v>4</v>
      </c>
      <c r="H1017" s="0" t="n">
        <v>0</v>
      </c>
      <c r="I1017" s="51" t="s">
        <v>3445</v>
      </c>
      <c r="J1017" s="49" t="s">
        <v>3446</v>
      </c>
      <c r="K1017" s="52" t="n">
        <v>47839</v>
      </c>
      <c r="M1017" s="51" t="s">
        <v>3433</v>
      </c>
      <c r="N1017" s="49" t="n">
        <v>4</v>
      </c>
      <c r="O1017" s="53" t="n">
        <v>46057.6377662037</v>
      </c>
      <c r="P1017" s="53" t="n">
        <v>46057.7759143519</v>
      </c>
      <c r="Q1017" s="53" t="n">
        <v>46057.6377662037</v>
      </c>
      <c r="R1017" s="0" t="n">
        <v>0</v>
      </c>
      <c r="S1017" s="51" t="s">
        <v>3129</v>
      </c>
      <c r="T1017" s="51" t="s">
        <v>3129</v>
      </c>
      <c r="U1017" s="51" t="s">
        <v>3444</v>
      </c>
      <c r="V1017" s="51" t="s">
        <v>2142</v>
      </c>
      <c r="W1017" s="51"/>
      <c r="X1017" s="51"/>
    </row>
    <row r="1018" customFormat="false" ht="14.25" hidden="false" customHeight="false" outlineLevel="0" collapsed="false">
      <c r="A1018" s="49" t="s">
        <v>2251</v>
      </c>
      <c r="B1018" s="49" t="s">
        <v>14</v>
      </c>
      <c r="C1018" s="49" t="s">
        <v>766</v>
      </c>
      <c r="D1018" s="49" t="s">
        <v>2441</v>
      </c>
      <c r="E1018" s="49" t="s">
        <v>3430</v>
      </c>
      <c r="F1018" s="49" t="s">
        <v>759</v>
      </c>
      <c r="G1018" s="49" t="n">
        <v>4</v>
      </c>
      <c r="H1018" s="0" t="n">
        <v>0</v>
      </c>
      <c r="I1018" s="51" t="s">
        <v>3447</v>
      </c>
      <c r="J1018" s="49" t="s">
        <v>3441</v>
      </c>
      <c r="K1018" s="52" t="n">
        <v>47839</v>
      </c>
      <c r="M1018" s="51" t="s">
        <v>3433</v>
      </c>
      <c r="N1018" s="0" t="n">
        <v>4</v>
      </c>
      <c r="O1018" s="53" t="n">
        <v>46057.6361111111</v>
      </c>
      <c r="P1018" s="53" t="n">
        <v>46057.7705902778</v>
      </c>
      <c r="Q1018" s="53" t="n">
        <v>46057.6361111111</v>
      </c>
      <c r="R1018" s="0" t="n">
        <v>0</v>
      </c>
      <c r="S1018" s="51" t="s">
        <v>3129</v>
      </c>
      <c r="T1018" s="51" t="s">
        <v>3129</v>
      </c>
      <c r="U1018" s="51" t="s">
        <v>3430</v>
      </c>
      <c r="V1018" s="51" t="s">
        <v>2142</v>
      </c>
      <c r="X1018" s="51"/>
    </row>
    <row r="1019" customFormat="false" ht="14.25" hidden="false" customHeight="false" outlineLevel="0" collapsed="false">
      <c r="A1019" s="49" t="s">
        <v>2251</v>
      </c>
      <c r="B1019" s="49" t="s">
        <v>14</v>
      </c>
      <c r="C1019" s="49" t="s">
        <v>770</v>
      </c>
      <c r="D1019" s="49" t="s">
        <v>2441</v>
      </c>
      <c r="E1019" s="49" t="s">
        <v>3444</v>
      </c>
      <c r="F1019" s="49" t="s">
        <v>765</v>
      </c>
      <c r="G1019" s="49" t="n">
        <v>3</v>
      </c>
      <c r="H1019" s="0" t="n">
        <v>0</v>
      </c>
      <c r="I1019" s="51" t="s">
        <v>3448</v>
      </c>
      <c r="J1019" s="49" t="s">
        <v>3446</v>
      </c>
      <c r="K1019" s="52" t="n">
        <v>47839</v>
      </c>
      <c r="M1019" s="51" t="s">
        <v>3433</v>
      </c>
      <c r="N1019" s="0" t="n">
        <v>3</v>
      </c>
      <c r="O1019" s="53" t="n">
        <v>46057.6342013889</v>
      </c>
      <c r="P1019" s="53" t="n">
        <v>46057.7691087963</v>
      </c>
      <c r="Q1019" s="53" t="n">
        <v>46057.6342013889</v>
      </c>
      <c r="R1019" s="0" t="n">
        <v>0</v>
      </c>
      <c r="S1019" s="51" t="s">
        <v>3129</v>
      </c>
      <c r="T1019" s="51" t="s">
        <v>3129</v>
      </c>
      <c r="U1019" s="51" t="s">
        <v>3444</v>
      </c>
      <c r="V1019" s="51" t="s">
        <v>2142</v>
      </c>
      <c r="X1019" s="51"/>
    </row>
    <row r="1020" customFormat="false" ht="14.25" hidden="false" customHeight="false" outlineLevel="0" collapsed="false">
      <c r="A1020" s="49" t="s">
        <v>2251</v>
      </c>
      <c r="B1020" s="49" t="s">
        <v>14</v>
      </c>
      <c r="C1020" s="49" t="s">
        <v>769</v>
      </c>
      <c r="D1020" s="49" t="s">
        <v>2441</v>
      </c>
      <c r="E1020" s="49" t="s">
        <v>3430</v>
      </c>
      <c r="F1020" s="49" t="s">
        <v>759</v>
      </c>
      <c r="G1020" s="49" t="n">
        <v>4</v>
      </c>
      <c r="H1020" s="0" t="n">
        <v>0</v>
      </c>
      <c r="I1020" s="51" t="s">
        <v>3449</v>
      </c>
      <c r="J1020" s="49" t="s">
        <v>3441</v>
      </c>
      <c r="K1020" s="52" t="n">
        <v>47839</v>
      </c>
      <c r="M1020" s="51" t="s">
        <v>3433</v>
      </c>
      <c r="N1020" s="0" t="n">
        <v>4</v>
      </c>
      <c r="O1020" s="53" t="n">
        <v>46057.6330324074</v>
      </c>
      <c r="P1020" s="53" t="n">
        <v>46057.7672222222</v>
      </c>
      <c r="Q1020" s="53" t="n">
        <v>46057.6330324074</v>
      </c>
      <c r="R1020" s="0" t="n">
        <v>0</v>
      </c>
      <c r="S1020" s="51" t="s">
        <v>3129</v>
      </c>
      <c r="T1020" s="51" t="s">
        <v>3129</v>
      </c>
      <c r="U1020" s="51" t="s">
        <v>3430</v>
      </c>
      <c r="V1020" s="51" t="s">
        <v>2142</v>
      </c>
      <c r="X1020" s="51"/>
    </row>
    <row r="1021" customFormat="false" ht="14.25" hidden="false" customHeight="false" outlineLevel="0" collapsed="false">
      <c r="A1021" s="49" t="s">
        <v>2251</v>
      </c>
      <c r="B1021" s="49" t="s">
        <v>14</v>
      </c>
      <c r="C1021" s="49" t="s">
        <v>149</v>
      </c>
      <c r="D1021" s="49" t="s">
        <v>2441</v>
      </c>
      <c r="E1021" s="49" t="s">
        <v>2477</v>
      </c>
      <c r="F1021" s="49" t="s">
        <v>47</v>
      </c>
      <c r="G1021" s="49" t="n">
        <v>4</v>
      </c>
      <c r="H1021" s="0" t="n">
        <v>0</v>
      </c>
      <c r="I1021" s="51" t="s">
        <v>3450</v>
      </c>
      <c r="J1021" s="49" t="s">
        <v>2915</v>
      </c>
      <c r="K1021" s="52" t="n">
        <v>47840</v>
      </c>
      <c r="M1021" s="51" t="s">
        <v>3155</v>
      </c>
      <c r="N1021" s="0" t="n">
        <v>4</v>
      </c>
      <c r="O1021" s="53" t="n">
        <v>46050.3435069444</v>
      </c>
      <c r="P1021" s="53" t="n">
        <v>46056.7231481482</v>
      </c>
      <c r="Q1021" s="53" t="n">
        <v>46050.3435069444</v>
      </c>
      <c r="R1021" s="0" t="n">
        <v>0</v>
      </c>
      <c r="S1021" s="51" t="s">
        <v>3129</v>
      </c>
      <c r="T1021" s="51" t="s">
        <v>3129</v>
      </c>
      <c r="U1021" s="51" t="s">
        <v>2477</v>
      </c>
      <c r="V1021" s="51" t="s">
        <v>2142</v>
      </c>
      <c r="X1021" s="51"/>
    </row>
    <row r="1022" customFormat="false" ht="14.25" hidden="false" customHeight="false" outlineLevel="0" collapsed="false">
      <c r="A1022" s="49" t="s">
        <v>2251</v>
      </c>
      <c r="B1022" s="49" t="s">
        <v>14</v>
      </c>
      <c r="C1022" s="49" t="s">
        <v>1308</v>
      </c>
      <c r="D1022" s="49" t="s">
        <v>2441</v>
      </c>
      <c r="E1022" s="49" t="s">
        <v>2536</v>
      </c>
      <c r="F1022" s="49" t="s">
        <v>197</v>
      </c>
      <c r="G1022" s="49" t="n">
        <v>24</v>
      </c>
      <c r="H1022" s="0" t="n">
        <v>0</v>
      </c>
      <c r="I1022" s="51" t="s">
        <v>3288</v>
      </c>
      <c r="J1022" s="49" t="s">
        <v>2945</v>
      </c>
      <c r="K1022" s="52" t="n">
        <v>47840</v>
      </c>
      <c r="M1022" s="51" t="s">
        <v>3263</v>
      </c>
      <c r="N1022" s="0" t="n">
        <v>24</v>
      </c>
      <c r="O1022" s="53" t="n">
        <v>46065.6728703704</v>
      </c>
      <c r="P1022" s="53" t="n">
        <v>46065.7711111111</v>
      </c>
      <c r="Q1022" s="53" t="n">
        <v>46065.6728703704</v>
      </c>
      <c r="R1022" s="0" t="n">
        <v>0</v>
      </c>
      <c r="S1022" s="51" t="s">
        <v>3129</v>
      </c>
      <c r="T1022" s="51" t="s">
        <v>3129</v>
      </c>
      <c r="U1022" s="51" t="s">
        <v>2536</v>
      </c>
      <c r="V1022" s="51" t="s">
        <v>2205</v>
      </c>
      <c r="X1022" s="51"/>
    </row>
    <row r="1023" customFormat="false" ht="14.25" hidden="false" customHeight="false" outlineLevel="0" collapsed="false">
      <c r="A1023" s="49" t="s">
        <v>2251</v>
      </c>
      <c r="B1023" s="49" t="s">
        <v>14</v>
      </c>
      <c r="C1023" s="49" t="s">
        <v>1309</v>
      </c>
      <c r="D1023" s="49" t="s">
        <v>2441</v>
      </c>
      <c r="E1023" s="49" t="s">
        <v>2536</v>
      </c>
      <c r="F1023" s="49" t="s">
        <v>197</v>
      </c>
      <c r="G1023" s="49" t="n">
        <v>24</v>
      </c>
      <c r="H1023" s="0" t="n">
        <v>0</v>
      </c>
      <c r="I1023" s="51" t="s">
        <v>3451</v>
      </c>
      <c r="J1023" s="49" t="s">
        <v>2945</v>
      </c>
      <c r="K1023" s="52" t="n">
        <v>47840</v>
      </c>
      <c r="M1023" s="51" t="s">
        <v>3263</v>
      </c>
      <c r="N1023" s="0" t="n">
        <v>24</v>
      </c>
      <c r="O1023" s="53" t="n">
        <v>46065.6721064815</v>
      </c>
      <c r="P1023" s="53" t="n">
        <v>46065.766087963</v>
      </c>
      <c r="Q1023" s="53" t="n">
        <v>46065.6721064815</v>
      </c>
      <c r="R1023" s="0" t="n">
        <v>0</v>
      </c>
      <c r="S1023" s="51" t="s">
        <v>3129</v>
      </c>
      <c r="T1023" s="51" t="s">
        <v>3129</v>
      </c>
      <c r="U1023" s="51" t="s">
        <v>2536</v>
      </c>
      <c r="V1023" s="51" t="s">
        <v>2205</v>
      </c>
      <c r="X1023" s="51"/>
    </row>
    <row r="1024" customFormat="false" ht="14.25" hidden="false" customHeight="false" outlineLevel="0" collapsed="false">
      <c r="A1024" s="49" t="s">
        <v>2251</v>
      </c>
      <c r="B1024" s="49" t="s">
        <v>14</v>
      </c>
      <c r="C1024" s="49" t="s">
        <v>1310</v>
      </c>
      <c r="D1024" s="49" t="s">
        <v>2441</v>
      </c>
      <c r="E1024" s="49" t="s">
        <v>2536</v>
      </c>
      <c r="F1024" s="49" t="s">
        <v>197</v>
      </c>
      <c r="G1024" s="49" t="n">
        <v>24</v>
      </c>
      <c r="H1024" s="0" t="n">
        <v>0</v>
      </c>
      <c r="I1024" s="51" t="s">
        <v>3452</v>
      </c>
      <c r="J1024" s="49" t="s">
        <v>2945</v>
      </c>
      <c r="K1024" s="52" t="n">
        <v>47840</v>
      </c>
      <c r="M1024" s="51" t="s">
        <v>3263</v>
      </c>
      <c r="N1024" s="0" t="n">
        <v>24</v>
      </c>
      <c r="O1024" s="53" t="n">
        <v>46065.6713194444</v>
      </c>
      <c r="P1024" s="53" t="n">
        <v>46065.7651041667</v>
      </c>
      <c r="Q1024" s="53" t="n">
        <v>46065.6713194444</v>
      </c>
      <c r="R1024" s="0" t="n">
        <v>0</v>
      </c>
      <c r="S1024" s="51" t="s">
        <v>3129</v>
      </c>
      <c r="T1024" s="51" t="s">
        <v>3129</v>
      </c>
      <c r="U1024" s="51" t="s">
        <v>2536</v>
      </c>
      <c r="V1024" s="51" t="s">
        <v>2205</v>
      </c>
      <c r="X1024" s="51"/>
    </row>
    <row r="1025" customFormat="false" ht="14.25" hidden="false" customHeight="false" outlineLevel="0" collapsed="false">
      <c r="A1025" s="49" t="s">
        <v>2251</v>
      </c>
      <c r="B1025" s="49" t="s">
        <v>14</v>
      </c>
      <c r="C1025" s="49" t="s">
        <v>1298</v>
      </c>
      <c r="D1025" s="49" t="s">
        <v>2441</v>
      </c>
      <c r="E1025" s="49" t="s">
        <v>2536</v>
      </c>
      <c r="F1025" s="49" t="s">
        <v>197</v>
      </c>
      <c r="G1025" s="49" t="n">
        <v>24</v>
      </c>
      <c r="H1025" s="0" t="n">
        <v>0</v>
      </c>
      <c r="I1025" s="51" t="s">
        <v>3453</v>
      </c>
      <c r="J1025" s="49" t="s">
        <v>2945</v>
      </c>
      <c r="K1025" s="52" t="n">
        <v>47840</v>
      </c>
      <c r="M1025" s="51" t="s">
        <v>3263</v>
      </c>
      <c r="N1025" s="0" t="n">
        <v>24</v>
      </c>
      <c r="O1025" s="53" t="n">
        <v>46065.6705671296</v>
      </c>
      <c r="P1025" s="53" t="n">
        <v>46065.7632986111</v>
      </c>
      <c r="Q1025" s="53" t="n">
        <v>46065.6705671296</v>
      </c>
      <c r="R1025" s="0" t="n">
        <v>0</v>
      </c>
      <c r="S1025" s="51" t="s">
        <v>3129</v>
      </c>
      <c r="T1025" s="51" t="s">
        <v>3129</v>
      </c>
      <c r="U1025" s="51" t="s">
        <v>2536</v>
      </c>
      <c r="V1025" s="51" t="s">
        <v>2205</v>
      </c>
      <c r="W1025" s="51" t="s">
        <v>3454</v>
      </c>
      <c r="X1025" s="51"/>
    </row>
    <row r="1026" customFormat="false" ht="14.25" hidden="false" customHeight="false" outlineLevel="0" collapsed="false">
      <c r="A1026" s="49" t="s">
        <v>2251</v>
      </c>
      <c r="B1026" s="49" t="s">
        <v>14</v>
      </c>
      <c r="C1026" s="49" t="s">
        <v>900</v>
      </c>
      <c r="D1026" s="49" t="s">
        <v>2441</v>
      </c>
      <c r="E1026" s="49" t="s">
        <v>3125</v>
      </c>
      <c r="F1026" s="49" t="s">
        <v>536</v>
      </c>
      <c r="G1026" s="49" t="n">
        <v>4</v>
      </c>
      <c r="H1026" s="0" t="n">
        <v>0</v>
      </c>
      <c r="I1026" s="51" t="s">
        <v>3455</v>
      </c>
      <c r="J1026" s="49" t="s">
        <v>3456</v>
      </c>
      <c r="K1026" s="52" t="n">
        <v>47840</v>
      </c>
      <c r="M1026" s="51" t="s">
        <v>3247</v>
      </c>
      <c r="N1026" s="0" t="n">
        <v>4</v>
      </c>
      <c r="O1026" s="53" t="n">
        <v>46058.5690740741</v>
      </c>
      <c r="P1026" s="53" t="n">
        <v>46060.648287037</v>
      </c>
      <c r="Q1026" s="53" t="n">
        <v>46058.5690740741</v>
      </c>
      <c r="R1026" s="0" t="n">
        <v>0</v>
      </c>
      <c r="S1026" s="51" t="s">
        <v>3129</v>
      </c>
      <c r="T1026" s="51" t="s">
        <v>3129</v>
      </c>
      <c r="U1026" s="51" t="s">
        <v>3125</v>
      </c>
      <c r="V1026" s="51" t="s">
        <v>2142</v>
      </c>
      <c r="X1026" s="51"/>
    </row>
    <row r="1027" customFormat="false" ht="14.25" hidden="false" customHeight="false" outlineLevel="0" collapsed="false">
      <c r="A1027" s="49" t="s">
        <v>2251</v>
      </c>
      <c r="B1027" s="49" t="s">
        <v>14</v>
      </c>
      <c r="C1027" s="49" t="s">
        <v>899</v>
      </c>
      <c r="D1027" s="49" t="s">
        <v>2441</v>
      </c>
      <c r="E1027" s="49" t="s">
        <v>3125</v>
      </c>
      <c r="F1027" s="49" t="s">
        <v>536</v>
      </c>
      <c r="G1027" s="49" t="n">
        <v>4</v>
      </c>
      <c r="H1027" s="0" t="n">
        <v>0</v>
      </c>
      <c r="I1027" s="51" t="s">
        <v>3457</v>
      </c>
      <c r="J1027" s="49" t="s">
        <v>3456</v>
      </c>
      <c r="K1027" s="52" t="n">
        <v>47840</v>
      </c>
      <c r="M1027" s="51" t="s">
        <v>3247</v>
      </c>
      <c r="N1027" s="0" t="n">
        <v>4</v>
      </c>
      <c r="O1027" s="53" t="n">
        <v>46058.5702199074</v>
      </c>
      <c r="P1027" s="53" t="n">
        <v>46060.6484606481</v>
      </c>
      <c r="Q1027" s="53" t="n">
        <v>46058.5702199074</v>
      </c>
      <c r="R1027" s="0" t="n">
        <v>0</v>
      </c>
      <c r="S1027" s="51" t="s">
        <v>3129</v>
      </c>
      <c r="T1027" s="51" t="s">
        <v>3129</v>
      </c>
      <c r="U1027" s="51" t="s">
        <v>3125</v>
      </c>
      <c r="V1027" s="51" t="s">
        <v>2142</v>
      </c>
      <c r="X1027" s="51"/>
    </row>
    <row r="1028" customFormat="false" ht="14.25" hidden="false" customHeight="false" outlineLevel="0" collapsed="false">
      <c r="A1028" s="49" t="s">
        <v>2251</v>
      </c>
      <c r="B1028" s="49" t="s">
        <v>14</v>
      </c>
      <c r="C1028" s="49" t="s">
        <v>898</v>
      </c>
      <c r="D1028" s="49" t="s">
        <v>2441</v>
      </c>
      <c r="E1028" s="49" t="s">
        <v>3125</v>
      </c>
      <c r="F1028" s="49" t="s">
        <v>536</v>
      </c>
      <c r="G1028" s="49" t="n">
        <v>4</v>
      </c>
      <c r="H1028" s="0" t="n">
        <v>0</v>
      </c>
      <c r="I1028" s="51" t="s">
        <v>3458</v>
      </c>
      <c r="J1028" s="49" t="s">
        <v>3456</v>
      </c>
      <c r="K1028" s="52" t="n">
        <v>47840</v>
      </c>
      <c r="M1028" s="51" t="s">
        <v>3247</v>
      </c>
      <c r="N1028" s="0" t="n">
        <v>4</v>
      </c>
      <c r="O1028" s="53" t="n">
        <v>46058.5707638889</v>
      </c>
      <c r="P1028" s="53" t="n">
        <v>46060.6486342593</v>
      </c>
      <c r="Q1028" s="53" t="n">
        <v>46058.5707638889</v>
      </c>
      <c r="R1028" s="0" t="n">
        <v>0</v>
      </c>
      <c r="S1028" s="51" t="s">
        <v>3129</v>
      </c>
      <c r="T1028" s="51" t="s">
        <v>3129</v>
      </c>
      <c r="U1028" s="51" t="s">
        <v>3125</v>
      </c>
      <c r="V1028" s="51" t="s">
        <v>2142</v>
      </c>
      <c r="X1028" s="51"/>
    </row>
    <row r="1029" customFormat="false" ht="14.25" hidden="false" customHeight="false" outlineLevel="0" collapsed="false">
      <c r="A1029" s="49" t="s">
        <v>2251</v>
      </c>
      <c r="B1029" s="49" t="s">
        <v>14</v>
      </c>
      <c r="C1029" s="49" t="s">
        <v>897</v>
      </c>
      <c r="D1029" s="49" t="s">
        <v>2441</v>
      </c>
      <c r="E1029" s="49" t="s">
        <v>3125</v>
      </c>
      <c r="F1029" s="49" t="s">
        <v>536</v>
      </c>
      <c r="G1029" s="49" t="n">
        <v>4</v>
      </c>
      <c r="H1029" s="0" t="n">
        <v>0</v>
      </c>
      <c r="I1029" s="51" t="s">
        <v>2268</v>
      </c>
      <c r="J1029" s="49" t="s">
        <v>3456</v>
      </c>
      <c r="K1029" s="52" t="n">
        <v>47840</v>
      </c>
      <c r="M1029" s="51" t="s">
        <v>3247</v>
      </c>
      <c r="N1029" s="0" t="n">
        <v>4</v>
      </c>
      <c r="O1029" s="53" t="n">
        <v>46058.5718634259</v>
      </c>
      <c r="P1029" s="53" t="n">
        <v>46067.3791435185</v>
      </c>
      <c r="Q1029" s="53" t="n">
        <v>46058.5718634259</v>
      </c>
      <c r="R1029" s="0" t="n">
        <v>0</v>
      </c>
      <c r="S1029" s="51" t="s">
        <v>3129</v>
      </c>
      <c r="T1029" s="51" t="s">
        <v>3129</v>
      </c>
      <c r="U1029" s="51" t="s">
        <v>3125</v>
      </c>
      <c r="V1029" s="51" t="s">
        <v>2142</v>
      </c>
      <c r="W1029" s="51" t="s">
        <v>2261</v>
      </c>
      <c r="X1029" s="51"/>
    </row>
    <row r="1030" customFormat="false" ht="14.25" hidden="false" customHeight="false" outlineLevel="0" collapsed="false">
      <c r="A1030" s="49" t="s">
        <v>2251</v>
      </c>
      <c r="B1030" s="49" t="s">
        <v>14</v>
      </c>
      <c r="C1030" s="49" t="s">
        <v>896</v>
      </c>
      <c r="D1030" s="49" t="s">
        <v>2441</v>
      </c>
      <c r="E1030" s="49" t="s">
        <v>3125</v>
      </c>
      <c r="F1030" s="49" t="s">
        <v>536</v>
      </c>
      <c r="G1030" s="49" t="n">
        <v>4</v>
      </c>
      <c r="H1030" s="0" t="n">
        <v>0</v>
      </c>
      <c r="I1030" s="51" t="s">
        <v>3459</v>
      </c>
      <c r="J1030" s="49" t="s">
        <v>3456</v>
      </c>
      <c r="K1030" s="52" t="n">
        <v>47840</v>
      </c>
      <c r="M1030" s="51" t="s">
        <v>3247</v>
      </c>
      <c r="N1030" s="0" t="n">
        <v>4</v>
      </c>
      <c r="O1030" s="53" t="n">
        <v>46058.5731018519</v>
      </c>
      <c r="P1030" s="53" t="n">
        <v>46060.6491435185</v>
      </c>
      <c r="Q1030" s="53" t="n">
        <v>46058.5731018519</v>
      </c>
      <c r="R1030" s="0" t="n">
        <v>0</v>
      </c>
      <c r="S1030" s="51" t="s">
        <v>3129</v>
      </c>
      <c r="T1030" s="51" t="s">
        <v>3129</v>
      </c>
      <c r="U1030" s="51" t="s">
        <v>3125</v>
      </c>
      <c r="V1030" s="51" t="s">
        <v>2142</v>
      </c>
      <c r="X1030" s="51"/>
    </row>
    <row r="1031" customFormat="false" ht="14.25" hidden="false" customHeight="false" outlineLevel="0" collapsed="false">
      <c r="A1031" s="49" t="s">
        <v>2251</v>
      </c>
      <c r="B1031" s="49" t="s">
        <v>14</v>
      </c>
      <c r="C1031" s="49" t="s">
        <v>895</v>
      </c>
      <c r="D1031" s="49" t="s">
        <v>2441</v>
      </c>
      <c r="E1031" s="49" t="s">
        <v>3125</v>
      </c>
      <c r="F1031" s="49" t="s">
        <v>536</v>
      </c>
      <c r="G1031" s="49" t="n">
        <v>4</v>
      </c>
      <c r="H1031" s="0" t="n">
        <v>0</v>
      </c>
      <c r="I1031" s="51" t="s">
        <v>3460</v>
      </c>
      <c r="J1031" s="49" t="s">
        <v>3456</v>
      </c>
      <c r="K1031" s="52" t="n">
        <v>47840</v>
      </c>
      <c r="M1031" s="51" t="s">
        <v>3247</v>
      </c>
      <c r="N1031" s="0" t="n">
        <v>4</v>
      </c>
      <c r="O1031" s="53" t="n">
        <v>46058.5760185185</v>
      </c>
      <c r="P1031" s="53" t="n">
        <v>46060.6494328704</v>
      </c>
      <c r="Q1031" s="53" t="n">
        <v>46058.5760185185</v>
      </c>
      <c r="R1031" s="0" t="n">
        <v>0</v>
      </c>
      <c r="S1031" s="51" t="s">
        <v>3129</v>
      </c>
      <c r="T1031" s="51" t="s">
        <v>3129</v>
      </c>
      <c r="U1031" s="51" t="s">
        <v>3125</v>
      </c>
      <c r="V1031" s="51" t="s">
        <v>2142</v>
      </c>
      <c r="X1031" s="51"/>
    </row>
    <row r="1032" customFormat="false" ht="14.25" hidden="true" customHeight="false" outlineLevel="0" collapsed="false">
      <c r="A1032" s="49" t="s">
        <v>2251</v>
      </c>
      <c r="B1032" s="49" t="s">
        <v>14</v>
      </c>
      <c r="C1032" s="49" t="s">
        <v>893</v>
      </c>
      <c r="D1032" s="49" t="s">
        <v>2441</v>
      </c>
      <c r="E1032" s="49" t="s">
        <v>3125</v>
      </c>
      <c r="F1032" s="49" t="s">
        <v>536</v>
      </c>
      <c r="G1032" s="49" t="n">
        <v>4</v>
      </c>
      <c r="H1032" s="0" t="n">
        <v>0</v>
      </c>
      <c r="I1032" s="51" t="s">
        <v>3461</v>
      </c>
      <c r="J1032" s="49" t="s">
        <v>3456</v>
      </c>
      <c r="K1032" s="52" t="n">
        <v>47840</v>
      </c>
      <c r="M1032" s="51" t="s">
        <v>3247</v>
      </c>
      <c r="N1032" s="49" t="n">
        <v>4</v>
      </c>
      <c r="O1032" s="53" t="n">
        <v>46058.5777893519</v>
      </c>
      <c r="P1032" s="53" t="n">
        <v>46060.6495717593</v>
      </c>
      <c r="Q1032" s="53" t="n">
        <v>46058.5777893519</v>
      </c>
      <c r="R1032" s="0" t="n">
        <v>0</v>
      </c>
      <c r="S1032" s="51" t="s">
        <v>3129</v>
      </c>
      <c r="T1032" s="51" t="s">
        <v>3129</v>
      </c>
      <c r="U1032" s="51" t="s">
        <v>3125</v>
      </c>
      <c r="V1032" s="51" t="s">
        <v>2142</v>
      </c>
      <c r="W1032" s="51"/>
      <c r="X1032" s="51"/>
    </row>
    <row r="1033" customFormat="false" ht="14.25" hidden="true" customHeight="false" outlineLevel="0" collapsed="false">
      <c r="A1033" s="49" t="s">
        <v>2251</v>
      </c>
      <c r="B1033" s="49" t="s">
        <v>14</v>
      </c>
      <c r="C1033" s="49" t="s">
        <v>891</v>
      </c>
      <c r="D1033" s="49" t="s">
        <v>2441</v>
      </c>
      <c r="E1033" s="49" t="s">
        <v>3125</v>
      </c>
      <c r="F1033" s="49" t="s">
        <v>536</v>
      </c>
      <c r="G1033" s="49" t="n">
        <v>4</v>
      </c>
      <c r="H1033" s="0" t="n">
        <v>0</v>
      </c>
      <c r="I1033" s="51" t="s">
        <v>3462</v>
      </c>
      <c r="J1033" s="49" t="s">
        <v>3456</v>
      </c>
      <c r="K1033" s="52" t="n">
        <v>47840</v>
      </c>
      <c r="M1033" s="51" t="s">
        <v>3247</v>
      </c>
      <c r="N1033" s="49" t="n">
        <v>4</v>
      </c>
      <c r="O1033" s="53" t="n">
        <v>46058.5834490741</v>
      </c>
      <c r="P1033" s="53" t="n">
        <v>46060.6503240741</v>
      </c>
      <c r="Q1033" s="53" t="n">
        <v>46058.5834490741</v>
      </c>
      <c r="R1033" s="0" t="n">
        <v>0</v>
      </c>
      <c r="S1033" s="51" t="s">
        <v>3129</v>
      </c>
      <c r="T1033" s="51" t="s">
        <v>3129</v>
      </c>
      <c r="U1033" s="51" t="s">
        <v>3125</v>
      </c>
      <c r="V1033" s="51" t="s">
        <v>2142</v>
      </c>
      <c r="W1033" s="51"/>
      <c r="X1033" s="51"/>
    </row>
    <row r="1034" customFormat="false" ht="14.25" hidden="true" customHeight="false" outlineLevel="0" collapsed="false">
      <c r="A1034" s="49" t="s">
        <v>2251</v>
      </c>
      <c r="B1034" s="49" t="s">
        <v>14</v>
      </c>
      <c r="C1034" s="49" t="s">
        <v>889</v>
      </c>
      <c r="D1034" s="49" t="s">
        <v>2441</v>
      </c>
      <c r="E1034" s="49" t="s">
        <v>3125</v>
      </c>
      <c r="F1034" s="49" t="s">
        <v>536</v>
      </c>
      <c r="G1034" s="49" t="n">
        <v>4</v>
      </c>
      <c r="H1034" s="0" t="n">
        <v>0</v>
      </c>
      <c r="I1034" s="51" t="s">
        <v>3463</v>
      </c>
      <c r="J1034" s="49" t="s">
        <v>3456</v>
      </c>
      <c r="K1034" s="52" t="n">
        <v>47840</v>
      </c>
      <c r="M1034" s="51" t="s">
        <v>3247</v>
      </c>
      <c r="N1034" s="49" t="n">
        <v>4</v>
      </c>
      <c r="O1034" s="53" t="n">
        <v>46058.5848263889</v>
      </c>
      <c r="P1034" s="53" t="n">
        <v>46060.6505555556</v>
      </c>
      <c r="Q1034" s="53" t="n">
        <v>46058.5848263889</v>
      </c>
      <c r="R1034" s="0" t="n">
        <v>0</v>
      </c>
      <c r="S1034" s="51" t="s">
        <v>3129</v>
      </c>
      <c r="T1034" s="51" t="s">
        <v>3129</v>
      </c>
      <c r="U1034" s="51" t="s">
        <v>3125</v>
      </c>
      <c r="V1034" s="51" t="s">
        <v>2142</v>
      </c>
      <c r="W1034" s="51"/>
      <c r="X1034" s="51"/>
    </row>
    <row r="1035" customFormat="false" ht="14.25" hidden="true" customHeight="false" outlineLevel="0" collapsed="false">
      <c r="A1035" s="49" t="s">
        <v>2251</v>
      </c>
      <c r="B1035" s="49" t="s">
        <v>14</v>
      </c>
      <c r="C1035" s="49" t="s">
        <v>911</v>
      </c>
      <c r="D1035" s="49" t="s">
        <v>2441</v>
      </c>
      <c r="E1035" s="49" t="s">
        <v>3125</v>
      </c>
      <c r="F1035" s="49" t="s">
        <v>536</v>
      </c>
      <c r="G1035" s="49" t="n">
        <v>4</v>
      </c>
      <c r="H1035" s="0" t="n">
        <v>0</v>
      </c>
      <c r="I1035" s="51" t="s">
        <v>3464</v>
      </c>
      <c r="J1035" s="49" t="s">
        <v>3456</v>
      </c>
      <c r="K1035" s="52" t="n">
        <v>47840</v>
      </c>
      <c r="M1035" s="51" t="s">
        <v>3247</v>
      </c>
      <c r="N1035" s="49" t="n">
        <v>4</v>
      </c>
      <c r="O1035" s="53" t="n">
        <v>46058.5863310185</v>
      </c>
      <c r="P1035" s="53" t="n">
        <v>46060.6507291667</v>
      </c>
      <c r="Q1035" s="53" t="n">
        <v>46058.5863310185</v>
      </c>
      <c r="R1035" s="0" t="n">
        <v>0</v>
      </c>
      <c r="S1035" s="51" t="s">
        <v>3129</v>
      </c>
      <c r="T1035" s="51" t="s">
        <v>3129</v>
      </c>
      <c r="U1035" s="51" t="s">
        <v>3125</v>
      </c>
      <c r="V1035" s="51" t="s">
        <v>2142</v>
      </c>
      <c r="W1035" s="51"/>
      <c r="X1035" s="51"/>
    </row>
    <row r="1036" customFormat="false" ht="14.25" hidden="true" customHeight="false" outlineLevel="0" collapsed="false">
      <c r="A1036" s="49" t="s">
        <v>2251</v>
      </c>
      <c r="B1036" s="49" t="s">
        <v>14</v>
      </c>
      <c r="C1036" s="49" t="s">
        <v>909</v>
      </c>
      <c r="D1036" s="49" t="s">
        <v>2441</v>
      </c>
      <c r="E1036" s="49" t="s">
        <v>3125</v>
      </c>
      <c r="F1036" s="49" t="s">
        <v>536</v>
      </c>
      <c r="G1036" s="49" t="n">
        <v>4</v>
      </c>
      <c r="H1036" s="0" t="n">
        <v>0</v>
      </c>
      <c r="I1036" s="51" t="s">
        <v>3465</v>
      </c>
      <c r="J1036" s="49" t="s">
        <v>3456</v>
      </c>
      <c r="K1036" s="52" t="n">
        <v>47840</v>
      </c>
      <c r="M1036" s="51" t="s">
        <v>3247</v>
      </c>
      <c r="N1036" s="49" t="n">
        <v>4</v>
      </c>
      <c r="O1036" s="53" t="n">
        <v>46058.588587963</v>
      </c>
      <c r="P1036" s="53" t="n">
        <v>46060.6512384259</v>
      </c>
      <c r="Q1036" s="53" t="n">
        <v>46058.588587963</v>
      </c>
      <c r="R1036" s="0" t="n">
        <v>0</v>
      </c>
      <c r="S1036" s="51" t="s">
        <v>3129</v>
      </c>
      <c r="T1036" s="51" t="s">
        <v>3129</v>
      </c>
      <c r="U1036" s="51" t="s">
        <v>3125</v>
      </c>
      <c r="V1036" s="51" t="s">
        <v>2142</v>
      </c>
      <c r="W1036" s="51"/>
      <c r="X1036" s="51"/>
    </row>
    <row r="1037" customFormat="false" ht="14.25" hidden="true" customHeight="false" outlineLevel="0" collapsed="false">
      <c r="A1037" s="49" t="s">
        <v>2251</v>
      </c>
      <c r="B1037" s="49" t="s">
        <v>14</v>
      </c>
      <c r="C1037" s="49" t="s">
        <v>906</v>
      </c>
      <c r="D1037" s="49" t="s">
        <v>2441</v>
      </c>
      <c r="E1037" s="49" t="s">
        <v>3125</v>
      </c>
      <c r="F1037" s="49" t="s">
        <v>536</v>
      </c>
      <c r="G1037" s="49" t="n">
        <v>4</v>
      </c>
      <c r="H1037" s="0" t="n">
        <v>0</v>
      </c>
      <c r="I1037" s="51" t="s">
        <v>3466</v>
      </c>
      <c r="J1037" s="49" t="s">
        <v>3456</v>
      </c>
      <c r="K1037" s="52" t="n">
        <v>47840</v>
      </c>
      <c r="M1037" s="51" t="s">
        <v>3247</v>
      </c>
      <c r="N1037" s="49" t="n">
        <v>4</v>
      </c>
      <c r="O1037" s="53" t="n">
        <v>46058.5894097222</v>
      </c>
      <c r="P1037" s="53" t="n">
        <v>46060.6512847222</v>
      </c>
      <c r="Q1037" s="53" t="n">
        <v>46058.5894097222</v>
      </c>
      <c r="R1037" s="0" t="n">
        <v>0</v>
      </c>
      <c r="S1037" s="51" t="s">
        <v>3129</v>
      </c>
      <c r="T1037" s="51" t="s">
        <v>3129</v>
      </c>
      <c r="U1037" s="51" t="s">
        <v>3125</v>
      </c>
      <c r="V1037" s="51" t="s">
        <v>2142</v>
      </c>
      <c r="W1037" s="51"/>
      <c r="X1037" s="51"/>
    </row>
    <row r="1038" customFormat="false" ht="14.25" hidden="true" customHeight="false" outlineLevel="0" collapsed="false">
      <c r="A1038" s="49" t="s">
        <v>2251</v>
      </c>
      <c r="B1038" s="49" t="s">
        <v>14</v>
      </c>
      <c r="C1038" s="49" t="s">
        <v>905</v>
      </c>
      <c r="D1038" s="49" t="s">
        <v>2441</v>
      </c>
      <c r="E1038" s="49" t="s">
        <v>3125</v>
      </c>
      <c r="F1038" s="49" t="s">
        <v>536</v>
      </c>
      <c r="G1038" s="49" t="n">
        <v>4</v>
      </c>
      <c r="H1038" s="0" t="n">
        <v>0</v>
      </c>
      <c r="I1038" s="51" t="s">
        <v>3467</v>
      </c>
      <c r="J1038" s="49" t="s">
        <v>3456</v>
      </c>
      <c r="K1038" s="52" t="n">
        <v>47840</v>
      </c>
      <c r="M1038" s="51" t="s">
        <v>3247</v>
      </c>
      <c r="N1038" s="49" t="n">
        <v>4</v>
      </c>
      <c r="O1038" s="53" t="n">
        <v>46058.5904861111</v>
      </c>
      <c r="P1038" s="53" t="n">
        <v>46060.6514814815</v>
      </c>
      <c r="Q1038" s="53" t="n">
        <v>46058.5904861111</v>
      </c>
      <c r="R1038" s="0" t="n">
        <v>0</v>
      </c>
      <c r="S1038" s="51" t="s">
        <v>3129</v>
      </c>
      <c r="T1038" s="51" t="s">
        <v>3129</v>
      </c>
      <c r="U1038" s="51" t="s">
        <v>3125</v>
      </c>
      <c r="V1038" s="51" t="s">
        <v>2142</v>
      </c>
      <c r="W1038" s="51"/>
      <c r="X1038" s="51"/>
    </row>
    <row r="1039" customFormat="false" ht="14.25" hidden="true" customHeight="false" outlineLevel="0" collapsed="false">
      <c r="A1039" s="49" t="s">
        <v>2251</v>
      </c>
      <c r="B1039" s="49" t="s">
        <v>14</v>
      </c>
      <c r="C1039" s="49" t="s">
        <v>903</v>
      </c>
      <c r="D1039" s="49" t="s">
        <v>2441</v>
      </c>
      <c r="E1039" s="49" t="s">
        <v>3125</v>
      </c>
      <c r="F1039" s="49" t="s">
        <v>536</v>
      </c>
      <c r="G1039" s="49" t="n">
        <v>4</v>
      </c>
      <c r="H1039" s="0" t="n">
        <v>0</v>
      </c>
      <c r="I1039" s="51" t="s">
        <v>3468</v>
      </c>
      <c r="J1039" s="49" t="s">
        <v>3456</v>
      </c>
      <c r="K1039" s="52" t="n">
        <v>47840</v>
      </c>
      <c r="M1039" s="51" t="s">
        <v>3247</v>
      </c>
      <c r="N1039" s="49" t="n">
        <v>4</v>
      </c>
      <c r="O1039" s="53" t="n">
        <v>46058.5916666667</v>
      </c>
      <c r="P1039" s="53" t="n">
        <v>46060.6533217593</v>
      </c>
      <c r="Q1039" s="53" t="n">
        <v>46058.5916666667</v>
      </c>
      <c r="R1039" s="0" t="n">
        <v>0</v>
      </c>
      <c r="S1039" s="51" t="s">
        <v>3129</v>
      </c>
      <c r="T1039" s="51" t="s">
        <v>3129</v>
      </c>
      <c r="U1039" s="51" t="s">
        <v>3125</v>
      </c>
      <c r="V1039" s="51" t="s">
        <v>2142</v>
      </c>
      <c r="W1039" s="51"/>
      <c r="X1039" s="51"/>
    </row>
    <row r="1040" customFormat="false" ht="14.25" hidden="true" customHeight="false" outlineLevel="0" collapsed="false">
      <c r="A1040" s="49" t="s">
        <v>2251</v>
      </c>
      <c r="B1040" s="49" t="s">
        <v>14</v>
      </c>
      <c r="C1040" s="49" t="s">
        <v>901</v>
      </c>
      <c r="D1040" s="49" t="s">
        <v>2441</v>
      </c>
      <c r="E1040" s="49" t="s">
        <v>3125</v>
      </c>
      <c r="F1040" s="49" t="s">
        <v>536</v>
      </c>
      <c r="G1040" s="49" t="n">
        <v>4</v>
      </c>
      <c r="H1040" s="0" t="n">
        <v>0</v>
      </c>
      <c r="I1040" s="51" t="s">
        <v>3469</v>
      </c>
      <c r="J1040" s="49" t="s">
        <v>3456</v>
      </c>
      <c r="K1040" s="52" t="n">
        <v>47840</v>
      </c>
      <c r="M1040" s="51" t="s">
        <v>3247</v>
      </c>
      <c r="N1040" s="49" t="n">
        <v>4</v>
      </c>
      <c r="O1040" s="53" t="n">
        <v>46058.5929166667</v>
      </c>
      <c r="P1040" s="53" t="n">
        <v>46060.6535648148</v>
      </c>
      <c r="Q1040" s="53" t="n">
        <v>46058.5929166667</v>
      </c>
      <c r="R1040" s="0" t="n">
        <v>0</v>
      </c>
      <c r="S1040" s="51" t="s">
        <v>3129</v>
      </c>
      <c r="T1040" s="51" t="s">
        <v>3129</v>
      </c>
      <c r="U1040" s="51" t="s">
        <v>3125</v>
      </c>
      <c r="V1040" s="51" t="s">
        <v>2142</v>
      </c>
      <c r="W1040" s="51"/>
      <c r="X1040" s="51"/>
    </row>
    <row r="1041" customFormat="false" ht="14.25" hidden="true" customHeight="false" outlineLevel="0" collapsed="false">
      <c r="A1041" s="49" t="s">
        <v>2251</v>
      </c>
      <c r="B1041" s="49" t="s">
        <v>14</v>
      </c>
      <c r="C1041" s="49" t="s">
        <v>542</v>
      </c>
      <c r="D1041" s="49" t="s">
        <v>2441</v>
      </c>
      <c r="E1041" s="49" t="s">
        <v>3125</v>
      </c>
      <c r="F1041" s="49" t="s">
        <v>536</v>
      </c>
      <c r="G1041" s="49" t="n">
        <v>4</v>
      </c>
      <c r="H1041" s="0" t="n">
        <v>0</v>
      </c>
      <c r="I1041" s="51" t="s">
        <v>3470</v>
      </c>
      <c r="J1041" s="49" t="s">
        <v>3456</v>
      </c>
      <c r="K1041" s="52" t="n">
        <v>47840</v>
      </c>
      <c r="M1041" s="51" t="s">
        <v>3128</v>
      </c>
      <c r="N1041" s="49" t="n">
        <v>4</v>
      </c>
      <c r="O1041" s="53" t="n">
        <v>46055.576412037</v>
      </c>
      <c r="P1041" s="53" t="n">
        <v>46056.4344328704</v>
      </c>
      <c r="Q1041" s="53" t="n">
        <v>46055.576412037</v>
      </c>
      <c r="R1041" s="0" t="n">
        <v>0</v>
      </c>
      <c r="S1041" s="51" t="s">
        <v>3129</v>
      </c>
      <c r="T1041" s="51" t="s">
        <v>3129</v>
      </c>
      <c r="U1041" s="51" t="s">
        <v>3125</v>
      </c>
      <c r="V1041" s="51" t="s">
        <v>2142</v>
      </c>
      <c r="W1041" s="51"/>
      <c r="X1041" s="51"/>
    </row>
    <row r="1042" customFormat="false" ht="14.25" hidden="true" customHeight="false" outlineLevel="0" collapsed="false">
      <c r="A1042" s="49" t="s">
        <v>2251</v>
      </c>
      <c r="B1042" s="49" t="s">
        <v>14</v>
      </c>
      <c r="C1042" s="49" t="s">
        <v>540</v>
      </c>
      <c r="D1042" s="49" t="s">
        <v>2441</v>
      </c>
      <c r="E1042" s="49" t="s">
        <v>3125</v>
      </c>
      <c r="F1042" s="49" t="s">
        <v>536</v>
      </c>
      <c r="G1042" s="49" t="n">
        <v>4</v>
      </c>
      <c r="H1042" s="0" t="n">
        <v>0</v>
      </c>
      <c r="I1042" s="51" t="s">
        <v>3470</v>
      </c>
      <c r="J1042" s="49" t="s">
        <v>3456</v>
      </c>
      <c r="K1042" s="52" t="n">
        <v>47840</v>
      </c>
      <c r="M1042" s="51" t="s">
        <v>3128</v>
      </c>
      <c r="N1042" s="49" t="n">
        <v>4</v>
      </c>
      <c r="O1042" s="53" t="n">
        <v>46055.5777430556</v>
      </c>
      <c r="P1042" s="53" t="n">
        <v>46056.4371643519</v>
      </c>
      <c r="Q1042" s="53" t="n">
        <v>46055.5777430556</v>
      </c>
      <c r="R1042" s="0" t="n">
        <v>0</v>
      </c>
      <c r="S1042" s="51" t="s">
        <v>3129</v>
      </c>
      <c r="T1042" s="51" t="s">
        <v>3129</v>
      </c>
      <c r="U1042" s="51" t="s">
        <v>3125</v>
      </c>
      <c r="V1042" s="51" t="s">
        <v>2142</v>
      </c>
      <c r="W1042" s="51"/>
      <c r="X1042" s="51"/>
    </row>
    <row r="1043" customFormat="false" ht="14.25" hidden="true" customHeight="false" outlineLevel="0" collapsed="false">
      <c r="A1043" s="49" t="s">
        <v>2251</v>
      </c>
      <c r="B1043" s="49" t="s">
        <v>14</v>
      </c>
      <c r="C1043" s="49" t="s">
        <v>538</v>
      </c>
      <c r="D1043" s="49" t="s">
        <v>2441</v>
      </c>
      <c r="E1043" s="49" t="s">
        <v>3125</v>
      </c>
      <c r="F1043" s="49" t="s">
        <v>536</v>
      </c>
      <c r="G1043" s="49" t="n">
        <v>4</v>
      </c>
      <c r="H1043" s="0" t="n">
        <v>0</v>
      </c>
      <c r="I1043" s="51" t="s">
        <v>3470</v>
      </c>
      <c r="J1043" s="49" t="s">
        <v>3456</v>
      </c>
      <c r="K1043" s="52" t="n">
        <v>47840</v>
      </c>
      <c r="M1043" s="51" t="s">
        <v>3128</v>
      </c>
      <c r="N1043" s="49" t="n">
        <v>4</v>
      </c>
      <c r="O1043" s="53" t="n">
        <v>46055.5787268519</v>
      </c>
      <c r="P1043" s="53" t="n">
        <v>46056.4398611111</v>
      </c>
      <c r="Q1043" s="53" t="n">
        <v>46055.5787268519</v>
      </c>
      <c r="R1043" s="0" t="n">
        <v>0</v>
      </c>
      <c r="S1043" s="51" t="s">
        <v>3129</v>
      </c>
      <c r="T1043" s="51" t="s">
        <v>3129</v>
      </c>
      <c r="U1043" s="51" t="s">
        <v>3125</v>
      </c>
      <c r="V1043" s="51" t="s">
        <v>2142</v>
      </c>
      <c r="W1043" s="51"/>
      <c r="X1043" s="51"/>
    </row>
    <row r="1044" customFormat="false" ht="14.25" hidden="true" customHeight="false" outlineLevel="0" collapsed="false">
      <c r="A1044" s="49" t="s">
        <v>2251</v>
      </c>
      <c r="B1044" s="49" t="s">
        <v>14</v>
      </c>
      <c r="C1044" s="49" t="s">
        <v>535</v>
      </c>
      <c r="D1044" s="49" t="s">
        <v>2441</v>
      </c>
      <c r="E1044" s="49" t="s">
        <v>3125</v>
      </c>
      <c r="F1044" s="49" t="s">
        <v>536</v>
      </c>
      <c r="G1044" s="49" t="n">
        <v>4</v>
      </c>
      <c r="H1044" s="0" t="n">
        <v>0</v>
      </c>
      <c r="I1044" s="51" t="s">
        <v>3470</v>
      </c>
      <c r="J1044" s="49" t="s">
        <v>3456</v>
      </c>
      <c r="K1044" s="52" t="n">
        <v>47840</v>
      </c>
      <c r="M1044" s="51" t="s">
        <v>3128</v>
      </c>
      <c r="N1044" s="49" t="n">
        <v>4</v>
      </c>
      <c r="O1044" s="53" t="n">
        <v>46055.5802314815</v>
      </c>
      <c r="P1044" s="53" t="n">
        <v>46056.4433217593</v>
      </c>
      <c r="Q1044" s="53" t="n">
        <v>46055.5802314815</v>
      </c>
      <c r="R1044" s="0" t="n">
        <v>0</v>
      </c>
      <c r="S1044" s="51" t="s">
        <v>3129</v>
      </c>
      <c r="T1044" s="51" t="s">
        <v>3129</v>
      </c>
      <c r="U1044" s="51" t="s">
        <v>3125</v>
      </c>
      <c r="V1044" s="51" t="s">
        <v>2142</v>
      </c>
      <c r="W1044" s="51"/>
      <c r="X1044" s="51"/>
    </row>
    <row r="1045" customFormat="false" ht="14.25" hidden="true" customHeight="false" outlineLevel="0" collapsed="false">
      <c r="A1045" s="49" t="s">
        <v>2251</v>
      </c>
      <c r="B1045" s="49" t="s">
        <v>14</v>
      </c>
      <c r="C1045" s="49" t="s">
        <v>557</v>
      </c>
      <c r="D1045" s="49" t="s">
        <v>2441</v>
      </c>
      <c r="E1045" s="49" t="s">
        <v>2477</v>
      </c>
      <c r="F1045" s="49" t="s">
        <v>47</v>
      </c>
      <c r="G1045" s="49" t="n">
        <v>4</v>
      </c>
      <c r="H1045" s="0" t="n">
        <v>0</v>
      </c>
      <c r="I1045" s="51" t="s">
        <v>3471</v>
      </c>
      <c r="J1045" s="49" t="s">
        <v>2915</v>
      </c>
      <c r="K1045" s="52" t="n">
        <v>47840</v>
      </c>
      <c r="M1045" s="51" t="s">
        <v>3128</v>
      </c>
      <c r="N1045" s="49" t="n">
        <v>4</v>
      </c>
      <c r="O1045" s="53" t="n">
        <v>46055.5653125</v>
      </c>
      <c r="P1045" s="53" t="n">
        <v>46056.3985532407</v>
      </c>
      <c r="Q1045" s="53" t="n">
        <v>46055.5653125</v>
      </c>
      <c r="R1045" s="0" t="n">
        <v>0</v>
      </c>
      <c r="S1045" s="51" t="s">
        <v>3129</v>
      </c>
      <c r="T1045" s="51" t="s">
        <v>3129</v>
      </c>
      <c r="U1045" s="51" t="s">
        <v>2477</v>
      </c>
      <c r="V1045" s="51" t="s">
        <v>2142</v>
      </c>
      <c r="W1045" s="51"/>
      <c r="X1045" s="51"/>
    </row>
    <row r="1046" customFormat="false" ht="14.25" hidden="true" customHeight="false" outlineLevel="0" collapsed="false">
      <c r="A1046" s="49" t="s">
        <v>2251</v>
      </c>
      <c r="B1046" s="49" t="s">
        <v>14</v>
      </c>
      <c r="C1046" s="49" t="s">
        <v>559</v>
      </c>
      <c r="D1046" s="49" t="s">
        <v>2441</v>
      </c>
      <c r="E1046" s="49" t="s">
        <v>2477</v>
      </c>
      <c r="F1046" s="49" t="s">
        <v>47</v>
      </c>
      <c r="G1046" s="49" t="n">
        <v>4</v>
      </c>
      <c r="H1046" s="0" t="n">
        <v>0</v>
      </c>
      <c r="I1046" s="51" t="s">
        <v>3472</v>
      </c>
      <c r="J1046" s="49" t="s">
        <v>2915</v>
      </c>
      <c r="K1046" s="52" t="n">
        <v>47840</v>
      </c>
      <c r="M1046" s="51" t="s">
        <v>3128</v>
      </c>
      <c r="N1046" s="49" t="n">
        <v>4</v>
      </c>
      <c r="O1046" s="53" t="n">
        <v>46055.5639814815</v>
      </c>
      <c r="P1046" s="53" t="n">
        <v>46056.3969328704</v>
      </c>
      <c r="Q1046" s="53" t="n">
        <v>46055.5639814815</v>
      </c>
      <c r="R1046" s="0" t="n">
        <v>0</v>
      </c>
      <c r="S1046" s="51" t="s">
        <v>3129</v>
      </c>
      <c r="T1046" s="51" t="s">
        <v>3129</v>
      </c>
      <c r="U1046" s="51" t="s">
        <v>2477</v>
      </c>
      <c r="V1046" s="51" t="s">
        <v>2142</v>
      </c>
      <c r="W1046" s="51"/>
      <c r="X1046" s="51"/>
    </row>
    <row r="1047" customFormat="false" ht="14.25" hidden="true" customHeight="false" outlineLevel="0" collapsed="false">
      <c r="A1047" s="49" t="s">
        <v>2251</v>
      </c>
      <c r="B1047" s="49" t="s">
        <v>14</v>
      </c>
      <c r="C1047" s="49" t="s">
        <v>151</v>
      </c>
      <c r="D1047" s="49" t="s">
        <v>2441</v>
      </c>
      <c r="E1047" s="49" t="s">
        <v>2477</v>
      </c>
      <c r="F1047" s="49" t="s">
        <v>47</v>
      </c>
      <c r="G1047" s="49" t="n">
        <v>4</v>
      </c>
      <c r="H1047" s="0" t="n">
        <v>0</v>
      </c>
      <c r="I1047" s="51" t="s">
        <v>3450</v>
      </c>
      <c r="J1047" s="49" t="s">
        <v>2915</v>
      </c>
      <c r="K1047" s="52" t="n">
        <v>47840</v>
      </c>
      <c r="M1047" s="51" t="s">
        <v>3155</v>
      </c>
      <c r="N1047" s="49" t="n">
        <v>4</v>
      </c>
      <c r="O1047" s="53" t="n">
        <v>46050.3403703704</v>
      </c>
      <c r="P1047" s="53" t="n">
        <v>46056.7209722222</v>
      </c>
      <c r="Q1047" s="53" t="n">
        <v>46050.3403703704</v>
      </c>
      <c r="R1047" s="0" t="n">
        <v>0</v>
      </c>
      <c r="S1047" s="51" t="s">
        <v>3129</v>
      </c>
      <c r="T1047" s="51" t="s">
        <v>3129</v>
      </c>
      <c r="U1047" s="51" t="s">
        <v>2477</v>
      </c>
      <c r="V1047" s="51" t="s">
        <v>2142</v>
      </c>
      <c r="W1047" s="51"/>
      <c r="X1047" s="51"/>
    </row>
    <row r="1048" customFormat="false" ht="14.25" hidden="true" customHeight="false" outlineLevel="0" collapsed="false">
      <c r="A1048" s="49" t="s">
        <v>2251</v>
      </c>
      <c r="B1048" s="49" t="s">
        <v>14</v>
      </c>
      <c r="C1048" s="49" t="s">
        <v>150</v>
      </c>
      <c r="D1048" s="49" t="s">
        <v>2441</v>
      </c>
      <c r="E1048" s="49" t="s">
        <v>2477</v>
      </c>
      <c r="F1048" s="49" t="s">
        <v>47</v>
      </c>
      <c r="G1048" s="49" t="n">
        <v>4</v>
      </c>
      <c r="H1048" s="0" t="n">
        <v>0</v>
      </c>
      <c r="I1048" s="51" t="s">
        <v>3450</v>
      </c>
      <c r="J1048" s="49" t="s">
        <v>2915</v>
      </c>
      <c r="K1048" s="52" t="n">
        <v>47840</v>
      </c>
      <c r="M1048" s="51" t="s">
        <v>3155</v>
      </c>
      <c r="N1048" s="49" t="n">
        <v>4</v>
      </c>
      <c r="O1048" s="53" t="n">
        <v>46050.3426157407</v>
      </c>
      <c r="P1048" s="53" t="n">
        <v>46056.7220717593</v>
      </c>
      <c r="Q1048" s="53" t="n">
        <v>46050.3426157407</v>
      </c>
      <c r="R1048" s="0" t="n">
        <v>0</v>
      </c>
      <c r="S1048" s="51" t="s">
        <v>3129</v>
      </c>
      <c r="T1048" s="51" t="s">
        <v>3129</v>
      </c>
      <c r="U1048" s="51" t="s">
        <v>2477</v>
      </c>
      <c r="V1048" s="51" t="s">
        <v>2142</v>
      </c>
      <c r="W1048" s="51"/>
      <c r="X1048" s="51"/>
    </row>
    <row r="1049" customFormat="false" ht="14.25" hidden="true" customHeight="false" outlineLevel="0" collapsed="false">
      <c r="A1049" s="49" t="s">
        <v>2251</v>
      </c>
      <c r="B1049" s="49" t="s">
        <v>14</v>
      </c>
      <c r="C1049" s="49" t="s">
        <v>141</v>
      </c>
      <c r="D1049" s="49" t="s">
        <v>2441</v>
      </c>
      <c r="E1049" s="49" t="s">
        <v>2934</v>
      </c>
      <c r="F1049" s="49" t="s">
        <v>50</v>
      </c>
      <c r="G1049" s="49" t="n">
        <v>4</v>
      </c>
      <c r="H1049" s="0" t="n">
        <v>0</v>
      </c>
      <c r="I1049" s="51" t="s">
        <v>3473</v>
      </c>
      <c r="J1049" s="49" t="s">
        <v>2936</v>
      </c>
      <c r="K1049" s="52" t="n">
        <v>47841</v>
      </c>
      <c r="M1049" s="51" t="s">
        <v>3155</v>
      </c>
      <c r="N1049" s="49" t="n">
        <v>4</v>
      </c>
      <c r="O1049" s="53" t="n">
        <v>46050.3241666667</v>
      </c>
      <c r="P1049" s="53" t="n">
        <v>46056.7433449074</v>
      </c>
      <c r="Q1049" s="53" t="n">
        <v>46050.3241666667</v>
      </c>
      <c r="R1049" s="0" t="n">
        <v>0</v>
      </c>
      <c r="S1049" s="51" t="s">
        <v>3129</v>
      </c>
      <c r="T1049" s="51" t="s">
        <v>3129</v>
      </c>
      <c r="U1049" s="51" t="s">
        <v>2934</v>
      </c>
      <c r="V1049" s="51" t="s">
        <v>2142</v>
      </c>
      <c r="W1049" s="51"/>
      <c r="X1049" s="51"/>
    </row>
    <row r="1050" customFormat="false" ht="14.25" hidden="true" customHeight="false" outlineLevel="0" collapsed="false">
      <c r="A1050" s="49" t="s">
        <v>2251</v>
      </c>
      <c r="B1050" s="49" t="s">
        <v>14</v>
      </c>
      <c r="C1050" s="49" t="s">
        <v>670</v>
      </c>
      <c r="D1050" s="49" t="s">
        <v>2441</v>
      </c>
      <c r="E1050" s="49" t="s">
        <v>2934</v>
      </c>
      <c r="F1050" s="49" t="s">
        <v>50</v>
      </c>
      <c r="G1050" s="49" t="n">
        <v>4</v>
      </c>
      <c r="H1050" s="0" t="n">
        <v>0</v>
      </c>
      <c r="I1050" s="51" t="s">
        <v>3474</v>
      </c>
      <c r="J1050" s="49" t="s">
        <v>2936</v>
      </c>
      <c r="K1050" s="52" t="n">
        <v>47841</v>
      </c>
      <c r="M1050" s="51" t="s">
        <v>3170</v>
      </c>
      <c r="N1050" s="49" t="n">
        <v>4</v>
      </c>
      <c r="O1050" s="53" t="n">
        <v>46056.7908217593</v>
      </c>
      <c r="P1050" s="53" t="n">
        <v>46057.5787847222</v>
      </c>
      <c r="Q1050" s="53" t="n">
        <v>46056.7908217593</v>
      </c>
      <c r="R1050" s="0" t="n">
        <v>0</v>
      </c>
      <c r="S1050" s="51" t="s">
        <v>3129</v>
      </c>
      <c r="T1050" s="51" t="s">
        <v>3129</v>
      </c>
      <c r="U1050" s="51" t="s">
        <v>2934</v>
      </c>
      <c r="V1050" s="51" t="s">
        <v>2142</v>
      </c>
      <c r="W1050" s="51"/>
      <c r="X1050" s="51"/>
    </row>
    <row r="1051" customFormat="false" ht="14.25" hidden="true" customHeight="false" outlineLevel="0" collapsed="false">
      <c r="A1051" s="49" t="s">
        <v>2251</v>
      </c>
      <c r="B1051" s="49" t="s">
        <v>14</v>
      </c>
      <c r="C1051" s="49" t="s">
        <v>648</v>
      </c>
      <c r="D1051" s="49" t="s">
        <v>2441</v>
      </c>
      <c r="E1051" s="49" t="s">
        <v>2934</v>
      </c>
      <c r="F1051" s="49" t="s">
        <v>50</v>
      </c>
      <c r="G1051" s="49" t="n">
        <v>4</v>
      </c>
      <c r="H1051" s="0" t="n">
        <v>0</v>
      </c>
      <c r="I1051" s="51" t="s">
        <v>3475</v>
      </c>
      <c r="J1051" s="49" t="s">
        <v>2936</v>
      </c>
      <c r="K1051" s="52" t="n">
        <v>47841</v>
      </c>
      <c r="M1051" s="51" t="s">
        <v>3170</v>
      </c>
      <c r="N1051" s="49" t="n">
        <v>4</v>
      </c>
      <c r="O1051" s="53" t="n">
        <v>46056.5616203704</v>
      </c>
      <c r="P1051" s="53" t="n">
        <v>46057.4040509259</v>
      </c>
      <c r="Q1051" s="53" t="n">
        <v>46056.5616203704</v>
      </c>
      <c r="R1051" s="0" t="n">
        <v>0</v>
      </c>
      <c r="S1051" s="51" t="s">
        <v>3129</v>
      </c>
      <c r="T1051" s="51" t="s">
        <v>3129</v>
      </c>
      <c r="U1051" s="51" t="s">
        <v>2934</v>
      </c>
      <c r="V1051" s="51" t="s">
        <v>2142</v>
      </c>
      <c r="W1051" s="51"/>
      <c r="X1051" s="51"/>
    </row>
    <row r="1052" customFormat="false" ht="14.25" hidden="true" customHeight="false" outlineLevel="0" collapsed="false">
      <c r="A1052" s="49" t="s">
        <v>2251</v>
      </c>
      <c r="B1052" s="49" t="s">
        <v>14</v>
      </c>
      <c r="C1052" s="49" t="s">
        <v>663</v>
      </c>
      <c r="D1052" s="49" t="s">
        <v>2441</v>
      </c>
      <c r="E1052" s="49" t="s">
        <v>2934</v>
      </c>
      <c r="F1052" s="49" t="s">
        <v>50</v>
      </c>
      <c r="G1052" s="49" t="n">
        <v>4</v>
      </c>
      <c r="H1052" s="0" t="n">
        <v>0</v>
      </c>
      <c r="I1052" s="51" t="s">
        <v>3474</v>
      </c>
      <c r="J1052" s="49" t="s">
        <v>2936</v>
      </c>
      <c r="K1052" s="52" t="n">
        <v>47841</v>
      </c>
      <c r="M1052" s="51" t="s">
        <v>3170</v>
      </c>
      <c r="N1052" s="49" t="n">
        <v>4</v>
      </c>
      <c r="O1052" s="53" t="n">
        <v>46056.5620949074</v>
      </c>
      <c r="P1052" s="53" t="n">
        <v>46057.6732638889</v>
      </c>
      <c r="Q1052" s="53" t="n">
        <v>46056.5620949074</v>
      </c>
      <c r="R1052" s="0" t="n">
        <v>0</v>
      </c>
      <c r="S1052" s="51" t="s">
        <v>3129</v>
      </c>
      <c r="T1052" s="51" t="s">
        <v>3129</v>
      </c>
      <c r="U1052" s="51" t="s">
        <v>2934</v>
      </c>
      <c r="V1052" s="51" t="s">
        <v>2142</v>
      </c>
      <c r="W1052" s="51"/>
      <c r="X1052" s="51"/>
    </row>
    <row r="1053" customFormat="false" ht="14.25" hidden="true" customHeight="false" outlineLevel="0" collapsed="false">
      <c r="A1053" s="49" t="s">
        <v>2251</v>
      </c>
      <c r="B1053" s="49" t="s">
        <v>14</v>
      </c>
      <c r="C1053" s="49" t="s">
        <v>662</v>
      </c>
      <c r="D1053" s="49" t="s">
        <v>2441</v>
      </c>
      <c r="E1053" s="49" t="s">
        <v>2934</v>
      </c>
      <c r="F1053" s="49" t="s">
        <v>50</v>
      </c>
      <c r="G1053" s="49" t="n">
        <v>4</v>
      </c>
      <c r="H1053" s="0" t="n">
        <v>0</v>
      </c>
      <c r="I1053" s="51" t="s">
        <v>3474</v>
      </c>
      <c r="J1053" s="49" t="s">
        <v>2936</v>
      </c>
      <c r="K1053" s="52" t="n">
        <v>47841</v>
      </c>
      <c r="M1053" s="51" t="s">
        <v>3170</v>
      </c>
      <c r="N1053" s="49" t="n">
        <v>4</v>
      </c>
      <c r="O1053" s="53" t="n">
        <v>46056.5633796296</v>
      </c>
      <c r="P1053" s="53" t="n">
        <v>46057.6742476852</v>
      </c>
      <c r="Q1053" s="53" t="n">
        <v>46056.5633796296</v>
      </c>
      <c r="R1053" s="0" t="n">
        <v>0</v>
      </c>
      <c r="S1053" s="51" t="s">
        <v>3129</v>
      </c>
      <c r="T1053" s="51" t="s">
        <v>3129</v>
      </c>
      <c r="U1053" s="51" t="s">
        <v>2934</v>
      </c>
      <c r="V1053" s="51" t="s">
        <v>2142</v>
      </c>
      <c r="W1053" s="51"/>
      <c r="X1053" s="51"/>
    </row>
    <row r="1054" customFormat="false" ht="14.25" hidden="true" customHeight="false" outlineLevel="0" collapsed="false">
      <c r="A1054" s="49" t="s">
        <v>2251</v>
      </c>
      <c r="B1054" s="49" t="s">
        <v>14</v>
      </c>
      <c r="C1054" s="49" t="s">
        <v>647</v>
      </c>
      <c r="D1054" s="49" t="s">
        <v>2441</v>
      </c>
      <c r="E1054" s="49" t="s">
        <v>2934</v>
      </c>
      <c r="F1054" s="49" t="s">
        <v>50</v>
      </c>
      <c r="G1054" s="49" t="n">
        <v>4</v>
      </c>
      <c r="H1054" s="0" t="n">
        <v>0</v>
      </c>
      <c r="I1054" s="51" t="s">
        <v>3475</v>
      </c>
      <c r="J1054" s="49" t="s">
        <v>2936</v>
      </c>
      <c r="K1054" s="52" t="n">
        <v>47841</v>
      </c>
      <c r="M1054" s="51" t="s">
        <v>3170</v>
      </c>
      <c r="N1054" s="49" t="n">
        <v>4</v>
      </c>
      <c r="O1054" s="53" t="n">
        <v>46056.7808217593</v>
      </c>
      <c r="P1054" s="53" t="n">
        <v>46057.4004166667</v>
      </c>
      <c r="Q1054" s="53" t="n">
        <v>46056.7808217593</v>
      </c>
      <c r="R1054" s="0" t="n">
        <v>0</v>
      </c>
      <c r="S1054" s="51" t="s">
        <v>3129</v>
      </c>
      <c r="T1054" s="51" t="s">
        <v>3129</v>
      </c>
      <c r="U1054" s="51" t="s">
        <v>2934</v>
      </c>
      <c r="V1054" s="51" t="s">
        <v>2142</v>
      </c>
      <c r="W1054" s="51"/>
      <c r="X1054" s="51"/>
    </row>
    <row r="1055" customFormat="false" ht="14.25" hidden="true" customHeight="false" outlineLevel="0" collapsed="false">
      <c r="A1055" s="49" t="s">
        <v>2251</v>
      </c>
      <c r="B1055" s="49" t="s">
        <v>14</v>
      </c>
      <c r="C1055" s="49" t="s">
        <v>677</v>
      </c>
      <c r="D1055" s="49" t="s">
        <v>2441</v>
      </c>
      <c r="E1055" s="49" t="s">
        <v>2934</v>
      </c>
      <c r="F1055" s="49" t="s">
        <v>50</v>
      </c>
      <c r="G1055" s="49" t="n">
        <v>4</v>
      </c>
      <c r="H1055" s="0" t="n">
        <v>0</v>
      </c>
      <c r="I1055" s="51" t="s">
        <v>3475</v>
      </c>
      <c r="J1055" s="49" t="s">
        <v>2936</v>
      </c>
      <c r="K1055" s="52" t="n">
        <v>47841</v>
      </c>
      <c r="M1055" s="51" t="s">
        <v>3170</v>
      </c>
      <c r="N1055" s="49" t="n">
        <v>4</v>
      </c>
      <c r="O1055" s="53" t="n">
        <v>46056.7833564815</v>
      </c>
      <c r="P1055" s="53" t="n">
        <v>46057.3837037037</v>
      </c>
      <c r="Q1055" s="53" t="n">
        <v>46056.7833564815</v>
      </c>
      <c r="R1055" s="0" t="n">
        <v>0</v>
      </c>
      <c r="S1055" s="51" t="s">
        <v>3129</v>
      </c>
      <c r="T1055" s="51" t="s">
        <v>3129</v>
      </c>
      <c r="U1055" s="51" t="s">
        <v>2934</v>
      </c>
      <c r="V1055" s="51" t="s">
        <v>2142</v>
      </c>
      <c r="W1055" s="51"/>
      <c r="X1055" s="51"/>
    </row>
    <row r="1056" customFormat="false" ht="14.25" hidden="true" customHeight="false" outlineLevel="0" collapsed="false">
      <c r="A1056" s="49" t="s">
        <v>2251</v>
      </c>
      <c r="B1056" s="49" t="s">
        <v>14</v>
      </c>
      <c r="C1056" s="49" t="s">
        <v>675</v>
      </c>
      <c r="D1056" s="49" t="s">
        <v>2441</v>
      </c>
      <c r="E1056" s="49" t="s">
        <v>2934</v>
      </c>
      <c r="F1056" s="49" t="s">
        <v>50</v>
      </c>
      <c r="G1056" s="49" t="n">
        <v>4</v>
      </c>
      <c r="H1056" s="0" t="n">
        <v>0</v>
      </c>
      <c r="I1056" s="51" t="s">
        <v>3475</v>
      </c>
      <c r="J1056" s="49" t="s">
        <v>2936</v>
      </c>
      <c r="K1056" s="52" t="n">
        <v>47841</v>
      </c>
      <c r="M1056" s="51" t="s">
        <v>3170</v>
      </c>
      <c r="N1056" s="49" t="n">
        <v>4</v>
      </c>
      <c r="O1056" s="53" t="n">
        <v>46056.7854398148</v>
      </c>
      <c r="P1056" s="53" t="n">
        <v>46057.3946412037</v>
      </c>
      <c r="Q1056" s="53" t="n">
        <v>46056.7854398148</v>
      </c>
      <c r="R1056" s="0" t="n">
        <v>0</v>
      </c>
      <c r="S1056" s="51" t="s">
        <v>3129</v>
      </c>
      <c r="T1056" s="51" t="s">
        <v>3129</v>
      </c>
      <c r="U1056" s="51" t="s">
        <v>2934</v>
      </c>
      <c r="V1056" s="51" t="s">
        <v>2142</v>
      </c>
      <c r="W1056" s="51"/>
      <c r="X1056" s="51"/>
    </row>
    <row r="1057" customFormat="false" ht="14.25" hidden="true" customHeight="false" outlineLevel="0" collapsed="false">
      <c r="A1057" s="49" t="s">
        <v>2251</v>
      </c>
      <c r="B1057" s="49" t="s">
        <v>14</v>
      </c>
      <c r="C1057" s="49" t="s">
        <v>673</v>
      </c>
      <c r="D1057" s="49" t="s">
        <v>2441</v>
      </c>
      <c r="E1057" s="49" t="s">
        <v>2934</v>
      </c>
      <c r="F1057" s="49" t="s">
        <v>50</v>
      </c>
      <c r="G1057" s="49" t="n">
        <v>4</v>
      </c>
      <c r="H1057" s="0" t="n">
        <v>0</v>
      </c>
      <c r="I1057" s="51" t="s">
        <v>3475</v>
      </c>
      <c r="J1057" s="49" t="s">
        <v>2936</v>
      </c>
      <c r="K1057" s="52" t="n">
        <v>47841</v>
      </c>
      <c r="M1057" s="51" t="s">
        <v>3170</v>
      </c>
      <c r="N1057" s="49" t="n">
        <v>4</v>
      </c>
      <c r="O1057" s="53" t="n">
        <v>46056.7862731482</v>
      </c>
      <c r="P1057" s="53" t="n">
        <v>46057.396875</v>
      </c>
      <c r="Q1057" s="53" t="n">
        <v>46056.7862731482</v>
      </c>
      <c r="R1057" s="0" t="n">
        <v>0</v>
      </c>
      <c r="S1057" s="51" t="s">
        <v>3129</v>
      </c>
      <c r="T1057" s="51" t="s">
        <v>3129</v>
      </c>
      <c r="U1057" s="51" t="s">
        <v>2934</v>
      </c>
      <c r="V1057" s="51" t="s">
        <v>2142</v>
      </c>
      <c r="W1057" s="51"/>
      <c r="X1057" s="51"/>
    </row>
    <row r="1058" customFormat="false" ht="14.25" hidden="true" customHeight="false" outlineLevel="0" collapsed="false">
      <c r="A1058" s="49" t="s">
        <v>2251</v>
      </c>
      <c r="B1058" s="49" t="s">
        <v>14</v>
      </c>
      <c r="C1058" s="49" t="s">
        <v>672</v>
      </c>
      <c r="D1058" s="49" t="s">
        <v>2441</v>
      </c>
      <c r="E1058" s="49" t="s">
        <v>2934</v>
      </c>
      <c r="F1058" s="49" t="s">
        <v>50</v>
      </c>
      <c r="G1058" s="49" t="n">
        <v>4</v>
      </c>
      <c r="H1058" s="0" t="n">
        <v>0</v>
      </c>
      <c r="I1058" s="51" t="s">
        <v>3474</v>
      </c>
      <c r="J1058" s="49" t="s">
        <v>2936</v>
      </c>
      <c r="K1058" s="52" t="n">
        <v>47841</v>
      </c>
      <c r="M1058" s="51" t="s">
        <v>3170</v>
      </c>
      <c r="N1058" s="49" t="n">
        <v>4</v>
      </c>
      <c r="O1058" s="53" t="n">
        <v>46056.7872453704</v>
      </c>
      <c r="P1058" s="53" t="n">
        <v>46057.6711574074</v>
      </c>
      <c r="Q1058" s="53" t="n">
        <v>46056.7872453704</v>
      </c>
      <c r="R1058" s="0" t="n">
        <v>0</v>
      </c>
      <c r="S1058" s="51" t="s">
        <v>3129</v>
      </c>
      <c r="T1058" s="51" t="s">
        <v>3129</v>
      </c>
      <c r="U1058" s="51" t="s">
        <v>2934</v>
      </c>
      <c r="V1058" s="51" t="s">
        <v>2142</v>
      </c>
      <c r="W1058" s="51"/>
      <c r="X1058" s="51"/>
    </row>
    <row r="1059" customFormat="false" ht="14.25" hidden="true" customHeight="false" outlineLevel="0" collapsed="false">
      <c r="A1059" s="49" t="s">
        <v>2251</v>
      </c>
      <c r="B1059" s="49" t="s">
        <v>14</v>
      </c>
      <c r="C1059" s="49" t="s">
        <v>140</v>
      </c>
      <c r="D1059" s="49" t="s">
        <v>2441</v>
      </c>
      <c r="E1059" s="49" t="s">
        <v>2934</v>
      </c>
      <c r="F1059" s="49" t="s">
        <v>50</v>
      </c>
      <c r="G1059" s="49" t="n">
        <v>4</v>
      </c>
      <c r="H1059" s="0" t="n">
        <v>0</v>
      </c>
      <c r="I1059" s="51" t="s">
        <v>3476</v>
      </c>
      <c r="J1059" s="49" t="s">
        <v>2936</v>
      </c>
      <c r="K1059" s="52" t="n">
        <v>47841</v>
      </c>
      <c r="M1059" s="51" t="s">
        <v>3155</v>
      </c>
      <c r="N1059" s="49" t="n">
        <v>4</v>
      </c>
      <c r="O1059" s="53" t="n">
        <v>46050.3258217593</v>
      </c>
      <c r="P1059" s="53" t="n">
        <v>46056.680150463</v>
      </c>
      <c r="Q1059" s="53" t="n">
        <v>46050.3258217593</v>
      </c>
      <c r="R1059" s="0" t="n">
        <v>0</v>
      </c>
      <c r="S1059" s="51" t="s">
        <v>3129</v>
      </c>
      <c r="T1059" s="51" t="s">
        <v>3129</v>
      </c>
      <c r="U1059" s="51" t="s">
        <v>2934</v>
      </c>
      <c r="V1059" s="51" t="s">
        <v>2142</v>
      </c>
      <c r="W1059" s="51"/>
      <c r="X1059" s="51"/>
    </row>
    <row r="1060" customFormat="false" ht="14.25" hidden="true" customHeight="false" outlineLevel="0" collapsed="false">
      <c r="A1060" s="49" t="s">
        <v>2251</v>
      </c>
      <c r="B1060" s="49" t="s">
        <v>14</v>
      </c>
      <c r="C1060" s="49" t="s">
        <v>166</v>
      </c>
      <c r="D1060" s="49" t="s">
        <v>2441</v>
      </c>
      <c r="E1060" s="49" t="s">
        <v>2934</v>
      </c>
      <c r="F1060" s="49" t="s">
        <v>50</v>
      </c>
      <c r="G1060" s="49" t="n">
        <v>4</v>
      </c>
      <c r="H1060" s="0" t="n">
        <v>0</v>
      </c>
      <c r="I1060" s="51" t="s">
        <v>3473</v>
      </c>
      <c r="J1060" s="49" t="s">
        <v>2936</v>
      </c>
      <c r="K1060" s="52" t="n">
        <v>47841</v>
      </c>
      <c r="M1060" s="51" t="s">
        <v>3155</v>
      </c>
      <c r="N1060" s="49" t="n">
        <v>4</v>
      </c>
      <c r="O1060" s="53" t="n">
        <v>46050.3264699074</v>
      </c>
      <c r="P1060" s="53" t="n">
        <v>46056.742974537</v>
      </c>
      <c r="Q1060" s="53" t="n">
        <v>46050.3264699074</v>
      </c>
      <c r="R1060" s="0" t="n">
        <v>0</v>
      </c>
      <c r="S1060" s="51" t="s">
        <v>3129</v>
      </c>
      <c r="T1060" s="51" t="s">
        <v>3129</v>
      </c>
      <c r="U1060" s="51" t="s">
        <v>2934</v>
      </c>
      <c r="V1060" s="51" t="s">
        <v>2142</v>
      </c>
      <c r="W1060" s="51"/>
      <c r="X1060" s="51"/>
    </row>
    <row r="1061" customFormat="false" ht="14.25" hidden="true" customHeight="false" outlineLevel="0" collapsed="false">
      <c r="A1061" s="49" t="s">
        <v>2251</v>
      </c>
      <c r="B1061" s="49" t="s">
        <v>14</v>
      </c>
      <c r="C1061" s="49" t="s">
        <v>161</v>
      </c>
      <c r="D1061" s="49" t="s">
        <v>2441</v>
      </c>
      <c r="E1061" s="49" t="s">
        <v>2934</v>
      </c>
      <c r="F1061" s="49" t="s">
        <v>50</v>
      </c>
      <c r="G1061" s="49" t="n">
        <v>4</v>
      </c>
      <c r="H1061" s="0" t="n">
        <v>0</v>
      </c>
      <c r="I1061" s="51" t="s">
        <v>3476</v>
      </c>
      <c r="J1061" s="49" t="s">
        <v>2936</v>
      </c>
      <c r="K1061" s="52" t="n">
        <v>47841</v>
      </c>
      <c r="M1061" s="51" t="s">
        <v>3155</v>
      </c>
      <c r="N1061" s="49" t="n">
        <v>4</v>
      </c>
      <c r="O1061" s="53" t="n">
        <v>46050.330462963</v>
      </c>
      <c r="P1061" s="53" t="n">
        <v>46056.6798032407</v>
      </c>
      <c r="Q1061" s="53" t="n">
        <v>46050.330462963</v>
      </c>
      <c r="R1061" s="0" t="n">
        <v>0</v>
      </c>
      <c r="S1061" s="51" t="s">
        <v>3129</v>
      </c>
      <c r="T1061" s="51" t="s">
        <v>3129</v>
      </c>
      <c r="U1061" s="51" t="s">
        <v>2934</v>
      </c>
      <c r="V1061" s="51" t="s">
        <v>2142</v>
      </c>
      <c r="W1061" s="51"/>
      <c r="X1061" s="51"/>
    </row>
    <row r="1062" customFormat="false" ht="14.25" hidden="true" customHeight="false" outlineLevel="0" collapsed="false">
      <c r="A1062" s="49" t="s">
        <v>2251</v>
      </c>
      <c r="B1062" s="49" t="s">
        <v>14</v>
      </c>
      <c r="C1062" s="49" t="s">
        <v>165</v>
      </c>
      <c r="D1062" s="49" t="s">
        <v>2441</v>
      </c>
      <c r="E1062" s="49" t="s">
        <v>2934</v>
      </c>
      <c r="F1062" s="49" t="s">
        <v>50</v>
      </c>
      <c r="G1062" s="49" t="n">
        <v>4</v>
      </c>
      <c r="H1062" s="0" t="n">
        <v>0</v>
      </c>
      <c r="I1062" s="51" t="s">
        <v>3473</v>
      </c>
      <c r="J1062" s="49" t="s">
        <v>2936</v>
      </c>
      <c r="K1062" s="52" t="n">
        <v>47841</v>
      </c>
      <c r="M1062" s="51" t="s">
        <v>3155</v>
      </c>
      <c r="N1062" s="49" t="n">
        <v>4</v>
      </c>
      <c r="O1062" s="53" t="n">
        <v>46050.3275115741</v>
      </c>
      <c r="P1062" s="53" t="n">
        <v>46056.7438425926</v>
      </c>
      <c r="Q1062" s="53" t="n">
        <v>46050.3275115741</v>
      </c>
      <c r="R1062" s="0" t="n">
        <v>0</v>
      </c>
      <c r="S1062" s="51" t="s">
        <v>3129</v>
      </c>
      <c r="T1062" s="51" t="s">
        <v>3129</v>
      </c>
      <c r="U1062" s="51" t="s">
        <v>2934</v>
      </c>
      <c r="V1062" s="51" t="s">
        <v>2142</v>
      </c>
      <c r="W1062" s="51"/>
      <c r="X1062" s="51"/>
    </row>
    <row r="1063" customFormat="false" ht="14.25" hidden="true" customHeight="false" outlineLevel="0" collapsed="false">
      <c r="A1063" s="49" t="s">
        <v>2251</v>
      </c>
      <c r="B1063" s="49" t="s">
        <v>14</v>
      </c>
      <c r="C1063" s="49" t="s">
        <v>162</v>
      </c>
      <c r="D1063" s="49" t="s">
        <v>2441</v>
      </c>
      <c r="E1063" s="49" t="s">
        <v>2934</v>
      </c>
      <c r="F1063" s="49" t="s">
        <v>50</v>
      </c>
      <c r="G1063" s="49" t="n">
        <v>4</v>
      </c>
      <c r="H1063" s="0" t="n">
        <v>0</v>
      </c>
      <c r="I1063" s="51" t="s">
        <v>3476</v>
      </c>
      <c r="J1063" s="49" t="s">
        <v>2936</v>
      </c>
      <c r="K1063" s="52" t="n">
        <v>47841</v>
      </c>
      <c r="M1063" s="51" t="s">
        <v>3155</v>
      </c>
      <c r="N1063" s="49" t="n">
        <v>4</v>
      </c>
      <c r="O1063" s="53" t="n">
        <v>46050.3296296296</v>
      </c>
      <c r="P1063" s="53" t="n">
        <v>46056.6794560185</v>
      </c>
      <c r="Q1063" s="53" t="n">
        <v>46050.3296296296</v>
      </c>
      <c r="R1063" s="0" t="n">
        <v>0</v>
      </c>
      <c r="S1063" s="51" t="s">
        <v>3129</v>
      </c>
      <c r="T1063" s="51" t="s">
        <v>3129</v>
      </c>
      <c r="U1063" s="51" t="s">
        <v>2934</v>
      </c>
      <c r="V1063" s="51" t="s">
        <v>2142</v>
      </c>
      <c r="W1063" s="51"/>
      <c r="X1063" s="51"/>
    </row>
    <row r="1064" customFormat="false" ht="14.25" hidden="true" customHeight="false" outlineLevel="0" collapsed="false">
      <c r="A1064" s="49" t="s">
        <v>2251</v>
      </c>
      <c r="B1064" s="49" t="s">
        <v>14</v>
      </c>
      <c r="C1064" s="49" t="s">
        <v>163</v>
      </c>
      <c r="D1064" s="49" t="s">
        <v>2441</v>
      </c>
      <c r="E1064" s="49" t="s">
        <v>2934</v>
      </c>
      <c r="F1064" s="49" t="s">
        <v>50</v>
      </c>
      <c r="G1064" s="49" t="n">
        <v>4</v>
      </c>
      <c r="H1064" s="0" t="n">
        <v>0</v>
      </c>
      <c r="I1064" s="51" t="s">
        <v>3476</v>
      </c>
      <c r="J1064" s="49" t="s">
        <v>2936</v>
      </c>
      <c r="K1064" s="52" t="n">
        <v>47841</v>
      </c>
      <c r="M1064" s="51" t="s">
        <v>3155</v>
      </c>
      <c r="N1064" s="49" t="n">
        <v>4</v>
      </c>
      <c r="O1064" s="53" t="n">
        <v>46050.3290972222</v>
      </c>
      <c r="P1064" s="53" t="n">
        <v>46056.6776273148</v>
      </c>
      <c r="Q1064" s="53" t="n">
        <v>46050.3290972222</v>
      </c>
      <c r="R1064" s="0" t="n">
        <v>0</v>
      </c>
      <c r="S1064" s="51" t="s">
        <v>3129</v>
      </c>
      <c r="T1064" s="51" t="s">
        <v>3129</v>
      </c>
      <c r="U1064" s="51" t="s">
        <v>2934</v>
      </c>
      <c r="V1064" s="51" t="s">
        <v>2142</v>
      </c>
      <c r="W1064" s="51"/>
      <c r="X1064" s="51"/>
    </row>
    <row r="1065" customFormat="false" ht="14.25" hidden="true" customHeight="false" outlineLevel="0" collapsed="false">
      <c r="A1065" s="49" t="s">
        <v>2251</v>
      </c>
      <c r="B1065" s="49" t="s">
        <v>14</v>
      </c>
      <c r="C1065" s="49" t="s">
        <v>164</v>
      </c>
      <c r="D1065" s="49" t="s">
        <v>2441</v>
      </c>
      <c r="E1065" s="49" t="s">
        <v>2934</v>
      </c>
      <c r="F1065" s="49" t="s">
        <v>50</v>
      </c>
      <c r="G1065" s="49" t="n">
        <v>4</v>
      </c>
      <c r="H1065" s="0" t="n">
        <v>0</v>
      </c>
      <c r="I1065" s="51" t="s">
        <v>3473</v>
      </c>
      <c r="J1065" s="49" t="s">
        <v>2936</v>
      </c>
      <c r="K1065" s="52" t="n">
        <v>47841</v>
      </c>
      <c r="M1065" s="51" t="s">
        <v>3155</v>
      </c>
      <c r="N1065" s="49" t="n">
        <v>4</v>
      </c>
      <c r="O1065" s="53" t="n">
        <v>46050.3282986111</v>
      </c>
      <c r="P1065" s="53" t="n">
        <v>46056.7435300926</v>
      </c>
      <c r="Q1065" s="53" t="n">
        <v>46050.3282986111</v>
      </c>
      <c r="R1065" s="0" t="n">
        <v>0</v>
      </c>
      <c r="S1065" s="51" t="s">
        <v>3129</v>
      </c>
      <c r="T1065" s="51" t="s">
        <v>3129</v>
      </c>
      <c r="U1065" s="51" t="s">
        <v>2934</v>
      </c>
      <c r="V1065" s="51" t="s">
        <v>2142</v>
      </c>
      <c r="W1065" s="51"/>
      <c r="X1065" s="51"/>
    </row>
    <row r="1066" customFormat="false" ht="14.25" hidden="true" customHeight="false" outlineLevel="0" collapsed="false">
      <c r="A1066" s="49" t="s">
        <v>2251</v>
      </c>
      <c r="B1066" s="49" t="s">
        <v>14</v>
      </c>
      <c r="C1066" s="49" t="s">
        <v>160</v>
      </c>
      <c r="D1066" s="49" t="s">
        <v>2441</v>
      </c>
      <c r="E1066" s="49" t="s">
        <v>2934</v>
      </c>
      <c r="F1066" s="49" t="s">
        <v>50</v>
      </c>
      <c r="G1066" s="49" t="n">
        <v>4</v>
      </c>
      <c r="H1066" s="0" t="n">
        <v>0</v>
      </c>
      <c r="I1066" s="51" t="s">
        <v>3473</v>
      </c>
      <c r="J1066" s="49" t="s">
        <v>2936</v>
      </c>
      <c r="K1066" s="52" t="n">
        <v>47841</v>
      </c>
      <c r="M1066" s="51" t="s">
        <v>3155</v>
      </c>
      <c r="N1066" s="49" t="n">
        <v>4</v>
      </c>
      <c r="O1066" s="53" t="n">
        <v>46050.3309490741</v>
      </c>
      <c r="P1066" s="53" t="n">
        <v>46056.7739699074</v>
      </c>
      <c r="Q1066" s="53" t="n">
        <v>46050.3309490741</v>
      </c>
      <c r="R1066" s="0" t="n">
        <v>0</v>
      </c>
      <c r="S1066" s="51" t="s">
        <v>3129</v>
      </c>
      <c r="T1066" s="51" t="s">
        <v>3129</v>
      </c>
      <c r="U1066" s="51" t="s">
        <v>2934</v>
      </c>
      <c r="V1066" s="51" t="s">
        <v>2142</v>
      </c>
      <c r="W1066" s="51"/>
      <c r="X1066" s="51"/>
    </row>
    <row r="1067" customFormat="false" ht="14.25" hidden="true" customHeight="false" outlineLevel="0" collapsed="false">
      <c r="A1067" s="49" t="s">
        <v>2251</v>
      </c>
      <c r="B1067" s="49" t="s">
        <v>14</v>
      </c>
      <c r="C1067" s="49" t="s">
        <v>159</v>
      </c>
      <c r="D1067" s="49" t="s">
        <v>2441</v>
      </c>
      <c r="E1067" s="49" t="s">
        <v>2934</v>
      </c>
      <c r="F1067" s="49" t="s">
        <v>50</v>
      </c>
      <c r="G1067" s="49" t="n">
        <v>4</v>
      </c>
      <c r="H1067" s="0" t="n">
        <v>0</v>
      </c>
      <c r="I1067" s="51" t="s">
        <v>3477</v>
      </c>
      <c r="J1067" s="49" t="s">
        <v>2936</v>
      </c>
      <c r="K1067" s="52" t="n">
        <v>47841</v>
      </c>
      <c r="M1067" s="51" t="s">
        <v>3155</v>
      </c>
      <c r="N1067" s="49" t="n">
        <v>4</v>
      </c>
      <c r="O1067" s="53" t="n">
        <v>46050.3318865741</v>
      </c>
      <c r="P1067" s="53" t="n">
        <v>46057.3825347222</v>
      </c>
      <c r="Q1067" s="53" t="n">
        <v>46050.3318865741</v>
      </c>
      <c r="R1067" s="0" t="n">
        <v>0</v>
      </c>
      <c r="S1067" s="51" t="s">
        <v>3129</v>
      </c>
      <c r="T1067" s="51" t="s">
        <v>3129</v>
      </c>
      <c r="U1067" s="51" t="s">
        <v>2934</v>
      </c>
      <c r="V1067" s="51" t="s">
        <v>2142</v>
      </c>
      <c r="W1067" s="51" t="s">
        <v>3475</v>
      </c>
      <c r="X1067" s="51"/>
    </row>
    <row r="1068" customFormat="false" ht="14.25" hidden="false" customHeight="false" outlineLevel="0" collapsed="false">
      <c r="A1068" s="49" t="s">
        <v>2251</v>
      </c>
      <c r="B1068" s="49" t="s">
        <v>14</v>
      </c>
      <c r="C1068" s="49" t="s">
        <v>158</v>
      </c>
      <c r="D1068" s="49" t="s">
        <v>2441</v>
      </c>
      <c r="E1068" s="49" t="s">
        <v>2934</v>
      </c>
      <c r="F1068" s="49" t="s">
        <v>50</v>
      </c>
      <c r="G1068" s="49" t="n">
        <v>4</v>
      </c>
      <c r="H1068" s="0" t="n">
        <v>0</v>
      </c>
      <c r="I1068" s="51" t="s">
        <v>3476</v>
      </c>
      <c r="J1068" s="49" t="s">
        <v>2936</v>
      </c>
      <c r="K1068" s="52" t="n">
        <v>47841</v>
      </c>
      <c r="M1068" s="51" t="s">
        <v>3155</v>
      </c>
      <c r="N1068" s="0" t="n">
        <v>4</v>
      </c>
      <c r="O1068" s="53" t="n">
        <v>46050.3324305556</v>
      </c>
      <c r="P1068" s="53" t="n">
        <v>46056.6775462963</v>
      </c>
      <c r="Q1068" s="53" t="n">
        <v>46050.3324305556</v>
      </c>
      <c r="R1068" s="0" t="n">
        <v>0</v>
      </c>
      <c r="S1068" s="51" t="s">
        <v>3129</v>
      </c>
      <c r="T1068" s="51" t="s">
        <v>3129</v>
      </c>
      <c r="U1068" s="51" t="s">
        <v>2934</v>
      </c>
      <c r="V1068" s="51" t="s">
        <v>2142</v>
      </c>
      <c r="W1068" s="51"/>
      <c r="X1068" s="51"/>
    </row>
    <row r="1069" customFormat="false" ht="14.25" hidden="true" customHeight="false" outlineLevel="0" collapsed="false">
      <c r="A1069" s="49" t="s">
        <v>2251</v>
      </c>
      <c r="B1069" s="49" t="s">
        <v>14</v>
      </c>
      <c r="C1069" s="49" t="s">
        <v>157</v>
      </c>
      <c r="D1069" s="49" t="s">
        <v>2441</v>
      </c>
      <c r="E1069" s="49" t="s">
        <v>2934</v>
      </c>
      <c r="F1069" s="49" t="s">
        <v>50</v>
      </c>
      <c r="G1069" s="49" t="n">
        <v>4</v>
      </c>
      <c r="H1069" s="0" t="n">
        <v>0</v>
      </c>
      <c r="I1069" s="51" t="s">
        <v>3478</v>
      </c>
      <c r="J1069" s="49" t="s">
        <v>2936</v>
      </c>
      <c r="K1069" s="52" t="n">
        <v>47841</v>
      </c>
      <c r="M1069" s="51" t="s">
        <v>3155</v>
      </c>
      <c r="N1069" s="49" t="n">
        <v>4</v>
      </c>
      <c r="O1069" s="53" t="n">
        <v>46050.332974537</v>
      </c>
      <c r="P1069" s="53" t="n">
        <v>46057.3775347222</v>
      </c>
      <c r="Q1069" s="53" t="n">
        <v>46050.332974537</v>
      </c>
      <c r="R1069" s="0" t="n">
        <v>0</v>
      </c>
      <c r="S1069" s="51" t="s">
        <v>3129</v>
      </c>
      <c r="T1069" s="51" t="s">
        <v>3129</v>
      </c>
      <c r="U1069" s="51" t="s">
        <v>2934</v>
      </c>
      <c r="V1069" s="51" t="s">
        <v>2142</v>
      </c>
      <c r="W1069" s="51" t="s">
        <v>3475</v>
      </c>
      <c r="X1069" s="51"/>
    </row>
    <row r="1070" customFormat="false" ht="14.25" hidden="true" customHeight="false" outlineLevel="0" collapsed="false">
      <c r="A1070" s="49" t="s">
        <v>2251</v>
      </c>
      <c r="B1070" s="49" t="s">
        <v>14</v>
      </c>
      <c r="C1070" s="49" t="s">
        <v>403</v>
      </c>
      <c r="D1070" s="49" t="s">
        <v>2441</v>
      </c>
      <c r="E1070" s="49" t="s">
        <v>2934</v>
      </c>
      <c r="F1070" s="49" t="s">
        <v>50</v>
      </c>
      <c r="G1070" s="49" t="n">
        <v>4</v>
      </c>
      <c r="H1070" s="0" t="n">
        <v>0</v>
      </c>
      <c r="I1070" s="51" t="s">
        <v>3479</v>
      </c>
      <c r="J1070" s="49" t="s">
        <v>2936</v>
      </c>
      <c r="K1070" s="52" t="n">
        <v>47841</v>
      </c>
      <c r="M1070" s="51" t="s">
        <v>3480</v>
      </c>
      <c r="N1070" s="49" t="n">
        <v>4</v>
      </c>
      <c r="O1070" s="53" t="n">
        <v>46053.4592476852</v>
      </c>
      <c r="P1070" s="53" t="n">
        <v>46056.7107291667</v>
      </c>
      <c r="Q1070" s="53" t="n">
        <v>46053.4592476852</v>
      </c>
      <c r="R1070" s="0" t="n">
        <v>0</v>
      </c>
      <c r="S1070" s="51" t="s">
        <v>3129</v>
      </c>
      <c r="T1070" s="51" t="s">
        <v>3129</v>
      </c>
      <c r="U1070" s="51" t="s">
        <v>2934</v>
      </c>
      <c r="V1070" s="51" t="s">
        <v>2142</v>
      </c>
      <c r="W1070" s="51"/>
      <c r="X1070" s="51"/>
    </row>
    <row r="1071" customFormat="false" ht="14.25" hidden="true" customHeight="false" outlineLevel="0" collapsed="false">
      <c r="A1071" s="49" t="s">
        <v>2251</v>
      </c>
      <c r="B1071" s="49" t="s">
        <v>14</v>
      </c>
      <c r="C1071" s="49" t="s">
        <v>402</v>
      </c>
      <c r="D1071" s="49" t="s">
        <v>2441</v>
      </c>
      <c r="E1071" s="49" t="s">
        <v>2934</v>
      </c>
      <c r="F1071" s="49" t="s">
        <v>50</v>
      </c>
      <c r="G1071" s="49" t="n">
        <v>4</v>
      </c>
      <c r="H1071" s="0" t="n">
        <v>0</v>
      </c>
      <c r="I1071" s="51" t="s">
        <v>3479</v>
      </c>
      <c r="J1071" s="49" t="s">
        <v>2936</v>
      </c>
      <c r="K1071" s="52" t="n">
        <v>47841</v>
      </c>
      <c r="M1071" s="51" t="s">
        <v>3480</v>
      </c>
      <c r="N1071" s="49" t="n">
        <v>4</v>
      </c>
      <c r="O1071" s="53" t="n">
        <v>46053.46</v>
      </c>
      <c r="P1071" s="53" t="n">
        <v>46056.7110185185</v>
      </c>
      <c r="Q1071" s="53" t="n">
        <v>46053.46</v>
      </c>
      <c r="R1071" s="0" t="n">
        <v>0</v>
      </c>
      <c r="S1071" s="51" t="s">
        <v>3129</v>
      </c>
      <c r="T1071" s="51" t="s">
        <v>3129</v>
      </c>
      <c r="U1071" s="51" t="s">
        <v>2934</v>
      </c>
      <c r="V1071" s="51" t="s">
        <v>2142</v>
      </c>
      <c r="W1071" s="51"/>
      <c r="X1071" s="51"/>
    </row>
    <row r="1072" customFormat="false" ht="14.25" hidden="true" customHeight="false" outlineLevel="0" collapsed="false">
      <c r="A1072" s="49" t="s">
        <v>2251</v>
      </c>
      <c r="B1072" s="49" t="s">
        <v>14</v>
      </c>
      <c r="C1072" s="49" t="s">
        <v>400</v>
      </c>
      <c r="D1072" s="49" t="s">
        <v>2441</v>
      </c>
      <c r="E1072" s="49" t="s">
        <v>2934</v>
      </c>
      <c r="F1072" s="49" t="s">
        <v>50</v>
      </c>
      <c r="G1072" s="49" t="n">
        <v>4</v>
      </c>
      <c r="H1072" s="0" t="n">
        <v>0</v>
      </c>
      <c r="I1072" s="51" t="s">
        <v>3481</v>
      </c>
      <c r="J1072" s="49" t="s">
        <v>2936</v>
      </c>
      <c r="K1072" s="52" t="n">
        <v>47841</v>
      </c>
      <c r="M1072" s="51" t="s">
        <v>3480</v>
      </c>
      <c r="N1072" s="49" t="n">
        <v>4</v>
      </c>
      <c r="O1072" s="53" t="n">
        <v>46053.4613425926</v>
      </c>
      <c r="P1072" s="53" t="n">
        <v>46056.7725</v>
      </c>
      <c r="Q1072" s="53" t="n">
        <v>46053.4613425926</v>
      </c>
      <c r="R1072" s="0" t="n">
        <v>0</v>
      </c>
      <c r="S1072" s="51" t="s">
        <v>3129</v>
      </c>
      <c r="T1072" s="51" t="s">
        <v>3129</v>
      </c>
      <c r="U1072" s="51" t="s">
        <v>2934</v>
      </c>
      <c r="V1072" s="51" t="s">
        <v>2142</v>
      </c>
      <c r="W1072" s="51"/>
      <c r="X1072" s="51"/>
    </row>
    <row r="1073" customFormat="false" ht="14.25" hidden="true" customHeight="false" outlineLevel="0" collapsed="false">
      <c r="A1073" s="49" t="s">
        <v>2251</v>
      </c>
      <c r="B1073" s="49" t="s">
        <v>14</v>
      </c>
      <c r="C1073" s="49" t="s">
        <v>399</v>
      </c>
      <c r="D1073" s="49" t="s">
        <v>2441</v>
      </c>
      <c r="E1073" s="49" t="s">
        <v>2934</v>
      </c>
      <c r="F1073" s="49" t="s">
        <v>50</v>
      </c>
      <c r="G1073" s="49" t="n">
        <v>4</v>
      </c>
      <c r="H1073" s="0" t="n">
        <v>0</v>
      </c>
      <c r="I1073" s="51" t="s">
        <v>3482</v>
      </c>
      <c r="J1073" s="49" t="s">
        <v>2936</v>
      </c>
      <c r="K1073" s="52" t="n">
        <v>47841</v>
      </c>
      <c r="M1073" s="51" t="s">
        <v>3480</v>
      </c>
      <c r="N1073" s="49" t="n">
        <v>4</v>
      </c>
      <c r="O1073" s="53" t="n">
        <v>46053.4621180556</v>
      </c>
      <c r="P1073" s="53" t="n">
        <v>46056.7343402778</v>
      </c>
      <c r="Q1073" s="53" t="n">
        <v>46053.4621180556</v>
      </c>
      <c r="R1073" s="0" t="n">
        <v>0</v>
      </c>
      <c r="S1073" s="51" t="s">
        <v>3129</v>
      </c>
      <c r="T1073" s="51" t="s">
        <v>3129</v>
      </c>
      <c r="U1073" s="51" t="s">
        <v>2934</v>
      </c>
      <c r="V1073" s="51" t="s">
        <v>2142</v>
      </c>
      <c r="W1073" s="51"/>
      <c r="X1073" s="51"/>
    </row>
    <row r="1074" customFormat="false" ht="14.25" hidden="true" customHeight="false" outlineLevel="0" collapsed="false">
      <c r="A1074" s="49" t="s">
        <v>2251</v>
      </c>
      <c r="B1074" s="49" t="s">
        <v>14</v>
      </c>
      <c r="C1074" s="49" t="s">
        <v>398</v>
      </c>
      <c r="D1074" s="49" t="s">
        <v>2441</v>
      </c>
      <c r="E1074" s="49" t="s">
        <v>2934</v>
      </c>
      <c r="F1074" s="49" t="s">
        <v>50</v>
      </c>
      <c r="G1074" s="49" t="n">
        <v>4</v>
      </c>
      <c r="H1074" s="0" t="n">
        <v>0</v>
      </c>
      <c r="I1074" s="51" t="s">
        <v>3482</v>
      </c>
      <c r="J1074" s="49" t="s">
        <v>2936</v>
      </c>
      <c r="K1074" s="52" t="n">
        <v>47841</v>
      </c>
      <c r="M1074" s="51" t="s">
        <v>3480</v>
      </c>
      <c r="N1074" s="49" t="n">
        <v>4</v>
      </c>
      <c r="O1074" s="53" t="n">
        <v>46053.4627662037</v>
      </c>
      <c r="P1074" s="53" t="n">
        <v>46056.7339351852</v>
      </c>
      <c r="Q1074" s="53" t="n">
        <v>46053.4627662037</v>
      </c>
      <c r="R1074" s="0" t="n">
        <v>0</v>
      </c>
      <c r="S1074" s="51" t="s">
        <v>3129</v>
      </c>
      <c r="T1074" s="51" t="s">
        <v>3129</v>
      </c>
      <c r="U1074" s="51" t="s">
        <v>2934</v>
      </c>
      <c r="V1074" s="51" t="s">
        <v>2142</v>
      </c>
      <c r="W1074" s="51"/>
      <c r="X1074" s="51"/>
    </row>
    <row r="1075" customFormat="false" ht="14.25" hidden="true" customHeight="false" outlineLevel="0" collapsed="false">
      <c r="A1075" s="49" t="s">
        <v>2251</v>
      </c>
      <c r="B1075" s="49" t="s">
        <v>14</v>
      </c>
      <c r="C1075" s="49" t="s">
        <v>395</v>
      </c>
      <c r="D1075" s="49" t="s">
        <v>2441</v>
      </c>
      <c r="E1075" s="49" t="s">
        <v>2934</v>
      </c>
      <c r="F1075" s="49" t="s">
        <v>50</v>
      </c>
      <c r="G1075" s="49" t="n">
        <v>4</v>
      </c>
      <c r="H1075" s="0" t="n">
        <v>0</v>
      </c>
      <c r="I1075" s="51" t="s">
        <v>3483</v>
      </c>
      <c r="J1075" s="49" t="s">
        <v>2936</v>
      </c>
      <c r="K1075" s="52" t="n">
        <v>47841</v>
      </c>
      <c r="M1075" s="51" t="s">
        <v>3480</v>
      </c>
      <c r="N1075" s="49" t="n">
        <v>4</v>
      </c>
      <c r="O1075" s="53" t="n">
        <v>46053.4654861111</v>
      </c>
      <c r="P1075" s="53" t="n">
        <v>46056.7388194444</v>
      </c>
      <c r="Q1075" s="53" t="n">
        <v>46053.4654861111</v>
      </c>
      <c r="R1075" s="0" t="n">
        <v>0</v>
      </c>
      <c r="S1075" s="51" t="s">
        <v>3129</v>
      </c>
      <c r="T1075" s="51" t="s">
        <v>3129</v>
      </c>
      <c r="U1075" s="51" t="s">
        <v>2934</v>
      </c>
      <c r="V1075" s="51" t="s">
        <v>2142</v>
      </c>
      <c r="W1075" s="51"/>
      <c r="X1075" s="51"/>
    </row>
    <row r="1076" customFormat="false" ht="14.25" hidden="true" customHeight="false" outlineLevel="0" collapsed="false">
      <c r="A1076" s="49" t="s">
        <v>2251</v>
      </c>
      <c r="B1076" s="49" t="s">
        <v>14</v>
      </c>
      <c r="C1076" s="49" t="s">
        <v>394</v>
      </c>
      <c r="D1076" s="49" t="s">
        <v>2441</v>
      </c>
      <c r="E1076" s="49" t="s">
        <v>2934</v>
      </c>
      <c r="F1076" s="49" t="s">
        <v>50</v>
      </c>
      <c r="G1076" s="49" t="n">
        <v>4</v>
      </c>
      <c r="H1076" s="0" t="n">
        <v>0</v>
      </c>
      <c r="I1076" s="51" t="s">
        <v>3483</v>
      </c>
      <c r="J1076" s="49" t="s">
        <v>2936</v>
      </c>
      <c r="K1076" s="52" t="n">
        <v>47841</v>
      </c>
      <c r="M1076" s="51" t="s">
        <v>3480</v>
      </c>
      <c r="N1076" s="49" t="n">
        <v>4</v>
      </c>
      <c r="O1076" s="53" t="n">
        <v>46053.4661111111</v>
      </c>
      <c r="P1076" s="53" t="n">
        <v>46056.739849537</v>
      </c>
      <c r="Q1076" s="53" t="n">
        <v>46053.4661111111</v>
      </c>
      <c r="R1076" s="0" t="n">
        <v>0</v>
      </c>
      <c r="S1076" s="51" t="s">
        <v>3129</v>
      </c>
      <c r="T1076" s="51" t="s">
        <v>3129</v>
      </c>
      <c r="U1076" s="51" t="s">
        <v>2934</v>
      </c>
      <c r="V1076" s="51" t="s">
        <v>2142</v>
      </c>
      <c r="W1076" s="51"/>
      <c r="X1076" s="51"/>
    </row>
    <row r="1077" customFormat="false" ht="14.25" hidden="true" customHeight="false" outlineLevel="0" collapsed="false">
      <c r="A1077" s="49" t="s">
        <v>2251</v>
      </c>
      <c r="B1077" s="49" t="s">
        <v>14</v>
      </c>
      <c r="C1077" s="49" t="s">
        <v>393</v>
      </c>
      <c r="D1077" s="49" t="s">
        <v>2441</v>
      </c>
      <c r="E1077" s="49" t="s">
        <v>2934</v>
      </c>
      <c r="F1077" s="49" t="s">
        <v>50</v>
      </c>
      <c r="G1077" s="49" t="n">
        <v>4</v>
      </c>
      <c r="H1077" s="0" t="n">
        <v>0</v>
      </c>
      <c r="I1077" s="51" t="s">
        <v>3483</v>
      </c>
      <c r="J1077" s="49" t="s">
        <v>2936</v>
      </c>
      <c r="K1077" s="52" t="n">
        <v>47841</v>
      </c>
      <c r="M1077" s="51" t="s">
        <v>3480</v>
      </c>
      <c r="N1077" s="49" t="n">
        <v>4</v>
      </c>
      <c r="O1077" s="53" t="n">
        <v>46053.4669212963</v>
      </c>
      <c r="P1077" s="53" t="n">
        <v>46056.7402893519</v>
      </c>
      <c r="Q1077" s="53" t="n">
        <v>46053.4669212963</v>
      </c>
      <c r="R1077" s="0" t="n">
        <v>0</v>
      </c>
      <c r="S1077" s="51" t="s">
        <v>3129</v>
      </c>
      <c r="T1077" s="51" t="s">
        <v>3129</v>
      </c>
      <c r="U1077" s="51" t="s">
        <v>2934</v>
      </c>
      <c r="V1077" s="51" t="s">
        <v>2142</v>
      </c>
      <c r="W1077" s="51"/>
      <c r="X1077" s="51"/>
    </row>
    <row r="1078" customFormat="false" ht="14.25" hidden="true" customHeight="false" outlineLevel="0" collapsed="false">
      <c r="A1078" s="49" t="s">
        <v>2251</v>
      </c>
      <c r="B1078" s="49" t="s">
        <v>14</v>
      </c>
      <c r="C1078" s="49" t="s">
        <v>392</v>
      </c>
      <c r="D1078" s="49" t="s">
        <v>2441</v>
      </c>
      <c r="E1078" s="49" t="s">
        <v>2934</v>
      </c>
      <c r="F1078" s="49" t="s">
        <v>50</v>
      </c>
      <c r="G1078" s="49" t="n">
        <v>4</v>
      </c>
      <c r="H1078" s="0" t="n">
        <v>0</v>
      </c>
      <c r="I1078" s="51" t="s">
        <v>3483</v>
      </c>
      <c r="J1078" s="49" t="s">
        <v>2936</v>
      </c>
      <c r="K1078" s="52" t="n">
        <v>47841</v>
      </c>
      <c r="M1078" s="51" t="s">
        <v>3480</v>
      </c>
      <c r="N1078" s="49" t="n">
        <v>4</v>
      </c>
      <c r="O1078" s="53" t="n">
        <v>46053.4675810185</v>
      </c>
      <c r="P1078" s="53" t="n">
        <v>46056.7741435185</v>
      </c>
      <c r="Q1078" s="53" t="n">
        <v>46053.4675810185</v>
      </c>
      <c r="R1078" s="0" t="n">
        <v>0</v>
      </c>
      <c r="S1078" s="51" t="s">
        <v>3129</v>
      </c>
      <c r="T1078" s="51" t="s">
        <v>3129</v>
      </c>
      <c r="U1078" s="51" t="s">
        <v>2934</v>
      </c>
      <c r="V1078" s="51" t="s">
        <v>2142</v>
      </c>
      <c r="W1078" s="51"/>
      <c r="X1078" s="51"/>
    </row>
    <row r="1079" customFormat="false" ht="14.25" hidden="true" customHeight="false" outlineLevel="0" collapsed="false">
      <c r="A1079" s="49" t="s">
        <v>2251</v>
      </c>
      <c r="B1079" s="49" t="s">
        <v>14</v>
      </c>
      <c r="C1079" s="49" t="s">
        <v>391</v>
      </c>
      <c r="D1079" s="49" t="s">
        <v>2441</v>
      </c>
      <c r="E1079" s="49" t="s">
        <v>2934</v>
      </c>
      <c r="F1079" s="49" t="s">
        <v>50</v>
      </c>
      <c r="G1079" s="49" t="n">
        <v>4</v>
      </c>
      <c r="H1079" s="0" t="n">
        <v>0</v>
      </c>
      <c r="I1079" s="51" t="s">
        <v>3483</v>
      </c>
      <c r="J1079" s="49" t="s">
        <v>2936</v>
      </c>
      <c r="K1079" s="52" t="n">
        <v>47841</v>
      </c>
      <c r="M1079" s="51" t="s">
        <v>3480</v>
      </c>
      <c r="N1079" s="49" t="n">
        <v>4</v>
      </c>
      <c r="O1079" s="53" t="n">
        <v>46053.4680208333</v>
      </c>
      <c r="P1079" s="53" t="n">
        <v>46056.7406597222</v>
      </c>
      <c r="Q1079" s="53" t="n">
        <v>46053.4680208333</v>
      </c>
      <c r="R1079" s="0" t="n">
        <v>0</v>
      </c>
      <c r="S1079" s="51" t="s">
        <v>3129</v>
      </c>
      <c r="T1079" s="51" t="s">
        <v>3129</v>
      </c>
      <c r="U1079" s="51" t="s">
        <v>2934</v>
      </c>
      <c r="V1079" s="51" t="s">
        <v>2142</v>
      </c>
      <c r="W1079" s="51"/>
      <c r="X1079" s="51"/>
    </row>
    <row r="1080" customFormat="false" ht="14.25" hidden="true" customHeight="false" outlineLevel="0" collapsed="false">
      <c r="A1080" s="49" t="s">
        <v>2251</v>
      </c>
      <c r="B1080" s="49" t="s">
        <v>14</v>
      </c>
      <c r="C1080" s="49" t="s">
        <v>390</v>
      </c>
      <c r="D1080" s="49" t="s">
        <v>2441</v>
      </c>
      <c r="E1080" s="49" t="s">
        <v>2934</v>
      </c>
      <c r="F1080" s="49" t="s">
        <v>50</v>
      </c>
      <c r="G1080" s="49" t="n">
        <v>4</v>
      </c>
      <c r="H1080" s="0" t="n">
        <v>0</v>
      </c>
      <c r="I1080" s="51" t="s">
        <v>3484</v>
      </c>
      <c r="J1080" s="49" t="s">
        <v>2936</v>
      </c>
      <c r="K1080" s="52" t="n">
        <v>47841</v>
      </c>
      <c r="M1080" s="51" t="s">
        <v>3480</v>
      </c>
      <c r="N1080" s="49" t="n">
        <v>4</v>
      </c>
      <c r="O1080" s="53" t="n">
        <v>46053.4687152778</v>
      </c>
      <c r="P1080" s="53" t="n">
        <v>46056.7410763889</v>
      </c>
      <c r="Q1080" s="53" t="n">
        <v>46053.4687152778</v>
      </c>
      <c r="R1080" s="0" t="n">
        <v>0</v>
      </c>
      <c r="S1080" s="51" t="s">
        <v>3129</v>
      </c>
      <c r="T1080" s="51" t="s">
        <v>3129</v>
      </c>
      <c r="U1080" s="51" t="s">
        <v>2934</v>
      </c>
      <c r="V1080" s="51" t="s">
        <v>2142</v>
      </c>
      <c r="W1080" s="51"/>
      <c r="X1080" s="51"/>
    </row>
    <row r="1081" customFormat="false" ht="14.25" hidden="true" customHeight="false" outlineLevel="0" collapsed="false">
      <c r="A1081" s="49" t="s">
        <v>2251</v>
      </c>
      <c r="B1081" s="49" t="s">
        <v>14</v>
      </c>
      <c r="C1081" s="49" t="s">
        <v>389</v>
      </c>
      <c r="D1081" s="49" t="s">
        <v>2441</v>
      </c>
      <c r="E1081" s="49" t="s">
        <v>2934</v>
      </c>
      <c r="F1081" s="49" t="s">
        <v>50</v>
      </c>
      <c r="G1081" s="49" t="n">
        <v>4</v>
      </c>
      <c r="H1081" s="0" t="n">
        <v>0</v>
      </c>
      <c r="I1081" s="51" t="s">
        <v>3484</v>
      </c>
      <c r="J1081" s="49" t="s">
        <v>2936</v>
      </c>
      <c r="K1081" s="52" t="n">
        <v>47841</v>
      </c>
      <c r="M1081" s="51" t="s">
        <v>3480</v>
      </c>
      <c r="N1081" s="49" t="n">
        <v>4</v>
      </c>
      <c r="O1081" s="53" t="n">
        <v>46053.4692592593</v>
      </c>
      <c r="P1081" s="53" t="n">
        <v>46056.7419212963</v>
      </c>
      <c r="Q1081" s="53" t="n">
        <v>46053.4692592593</v>
      </c>
      <c r="R1081" s="0" t="n">
        <v>0</v>
      </c>
      <c r="S1081" s="51" t="s">
        <v>3129</v>
      </c>
      <c r="T1081" s="51" t="s">
        <v>3129</v>
      </c>
      <c r="U1081" s="51" t="s">
        <v>2934</v>
      </c>
      <c r="V1081" s="51" t="s">
        <v>2142</v>
      </c>
      <c r="W1081" s="51"/>
      <c r="X1081" s="51"/>
    </row>
    <row r="1082" customFormat="false" ht="14.25" hidden="true" customHeight="false" outlineLevel="0" collapsed="false">
      <c r="A1082" s="49" t="s">
        <v>2251</v>
      </c>
      <c r="B1082" s="49" t="s">
        <v>14</v>
      </c>
      <c r="C1082" s="49" t="s">
        <v>388</v>
      </c>
      <c r="D1082" s="49" t="s">
        <v>2441</v>
      </c>
      <c r="E1082" s="49" t="s">
        <v>2934</v>
      </c>
      <c r="F1082" s="49" t="s">
        <v>50</v>
      </c>
      <c r="G1082" s="49" t="n">
        <v>4</v>
      </c>
      <c r="H1082" s="0" t="n">
        <v>0</v>
      </c>
      <c r="I1082" s="51" t="s">
        <v>3484</v>
      </c>
      <c r="J1082" s="49" t="s">
        <v>2936</v>
      </c>
      <c r="K1082" s="52" t="n">
        <v>47841</v>
      </c>
      <c r="M1082" s="51" t="s">
        <v>3480</v>
      </c>
      <c r="N1082" s="49" t="n">
        <v>4</v>
      </c>
      <c r="O1082" s="53" t="n">
        <v>46053.4697453704</v>
      </c>
      <c r="P1082" s="53" t="n">
        <v>46056.7422569444</v>
      </c>
      <c r="Q1082" s="53" t="n">
        <v>46053.4697453704</v>
      </c>
      <c r="R1082" s="0" t="n">
        <v>0</v>
      </c>
      <c r="S1082" s="51" t="s">
        <v>3129</v>
      </c>
      <c r="T1082" s="51" t="s">
        <v>3129</v>
      </c>
      <c r="U1082" s="51" t="s">
        <v>2934</v>
      </c>
      <c r="V1082" s="51" t="s">
        <v>2142</v>
      </c>
      <c r="W1082" s="51"/>
      <c r="X1082" s="51"/>
    </row>
    <row r="1083" customFormat="false" ht="14.25" hidden="true" customHeight="false" outlineLevel="0" collapsed="false">
      <c r="A1083" s="49" t="s">
        <v>2251</v>
      </c>
      <c r="B1083" s="49" t="s">
        <v>14</v>
      </c>
      <c r="C1083" s="49" t="s">
        <v>387</v>
      </c>
      <c r="D1083" s="49" t="s">
        <v>2441</v>
      </c>
      <c r="E1083" s="49" t="s">
        <v>2934</v>
      </c>
      <c r="F1083" s="49" t="s">
        <v>50</v>
      </c>
      <c r="G1083" s="49" t="n">
        <v>4</v>
      </c>
      <c r="H1083" s="0" t="n">
        <v>0</v>
      </c>
      <c r="I1083" s="51" t="s">
        <v>3484</v>
      </c>
      <c r="J1083" s="49" t="s">
        <v>2936</v>
      </c>
      <c r="K1083" s="52" t="n">
        <v>47841</v>
      </c>
      <c r="M1083" s="51" t="s">
        <v>3480</v>
      </c>
      <c r="N1083" s="49" t="n">
        <v>4</v>
      </c>
      <c r="O1083" s="53" t="n">
        <v>46053.4701273148</v>
      </c>
      <c r="P1083" s="53" t="n">
        <v>46056.7743634259</v>
      </c>
      <c r="Q1083" s="53" t="n">
        <v>46053.4701273148</v>
      </c>
      <c r="R1083" s="0" t="n">
        <v>0</v>
      </c>
      <c r="S1083" s="51" t="s">
        <v>3129</v>
      </c>
      <c r="T1083" s="51" t="s">
        <v>3129</v>
      </c>
      <c r="U1083" s="51" t="s">
        <v>2934</v>
      </c>
      <c r="V1083" s="51" t="s">
        <v>2142</v>
      </c>
      <c r="W1083" s="51" t="s">
        <v>3483</v>
      </c>
      <c r="X1083" s="51"/>
    </row>
    <row r="1084" customFormat="false" ht="14.25" hidden="true" customHeight="false" outlineLevel="0" collapsed="false">
      <c r="A1084" s="49" t="s">
        <v>2251</v>
      </c>
      <c r="B1084" s="49" t="s">
        <v>14</v>
      </c>
      <c r="C1084" s="49" t="s">
        <v>386</v>
      </c>
      <c r="D1084" s="49" t="s">
        <v>2441</v>
      </c>
      <c r="E1084" s="49" t="s">
        <v>2934</v>
      </c>
      <c r="F1084" s="49" t="s">
        <v>50</v>
      </c>
      <c r="G1084" s="49" t="n">
        <v>4</v>
      </c>
      <c r="H1084" s="0" t="n">
        <v>0</v>
      </c>
      <c r="I1084" s="51" t="s">
        <v>3484</v>
      </c>
      <c r="J1084" s="49" t="s">
        <v>2936</v>
      </c>
      <c r="K1084" s="52" t="n">
        <v>47841</v>
      </c>
      <c r="M1084" s="51" t="s">
        <v>3480</v>
      </c>
      <c r="N1084" s="49" t="n">
        <v>4</v>
      </c>
      <c r="O1084" s="53" t="n">
        <v>46053.4705902778</v>
      </c>
      <c r="P1084" s="53" t="n">
        <v>46056.7414814815</v>
      </c>
      <c r="Q1084" s="53" t="n">
        <v>46053.4705902778</v>
      </c>
      <c r="R1084" s="0" t="n">
        <v>0</v>
      </c>
      <c r="S1084" s="51" t="s">
        <v>3129</v>
      </c>
      <c r="T1084" s="51" t="s">
        <v>3129</v>
      </c>
      <c r="U1084" s="51" t="s">
        <v>2934</v>
      </c>
      <c r="V1084" s="51" t="s">
        <v>2142</v>
      </c>
      <c r="W1084" s="51"/>
      <c r="X1084" s="51"/>
    </row>
    <row r="1085" customFormat="false" ht="14.25" hidden="true" customHeight="false" outlineLevel="0" collapsed="false">
      <c r="A1085" s="49" t="s">
        <v>2251</v>
      </c>
      <c r="B1085" s="49" t="s">
        <v>14</v>
      </c>
      <c r="C1085" s="49" t="s">
        <v>385</v>
      </c>
      <c r="D1085" s="49" t="s">
        <v>2441</v>
      </c>
      <c r="E1085" s="49" t="s">
        <v>2934</v>
      </c>
      <c r="F1085" s="49" t="s">
        <v>50</v>
      </c>
      <c r="G1085" s="49" t="n">
        <v>4</v>
      </c>
      <c r="H1085" s="0" t="n">
        <v>0</v>
      </c>
      <c r="I1085" s="51" t="s">
        <v>3481</v>
      </c>
      <c r="J1085" s="49" t="s">
        <v>2936</v>
      </c>
      <c r="K1085" s="52" t="n">
        <v>47841</v>
      </c>
      <c r="M1085" s="51" t="s">
        <v>3480</v>
      </c>
      <c r="N1085" s="49" t="n">
        <v>4</v>
      </c>
      <c r="O1085" s="53" t="n">
        <v>46053.4709837963</v>
      </c>
      <c r="P1085" s="53" t="n">
        <v>46056.7490972222</v>
      </c>
      <c r="Q1085" s="53" t="n">
        <v>46053.4709837963</v>
      </c>
      <c r="R1085" s="0" t="n">
        <v>0</v>
      </c>
      <c r="S1085" s="51" t="s">
        <v>3129</v>
      </c>
      <c r="T1085" s="51" t="s">
        <v>3129</v>
      </c>
      <c r="U1085" s="51" t="s">
        <v>2934</v>
      </c>
      <c r="V1085" s="51" t="s">
        <v>2142</v>
      </c>
      <c r="W1085" s="51"/>
      <c r="X1085" s="51"/>
    </row>
    <row r="1086" customFormat="false" ht="14.25" hidden="true" customHeight="false" outlineLevel="0" collapsed="false">
      <c r="A1086" s="49" t="s">
        <v>2251</v>
      </c>
      <c r="B1086" s="49" t="s">
        <v>14</v>
      </c>
      <c r="C1086" s="49" t="s">
        <v>384</v>
      </c>
      <c r="D1086" s="49" t="s">
        <v>2441</v>
      </c>
      <c r="E1086" s="49" t="s">
        <v>2934</v>
      </c>
      <c r="F1086" s="49" t="s">
        <v>50</v>
      </c>
      <c r="G1086" s="49" t="n">
        <v>4</v>
      </c>
      <c r="H1086" s="0" t="n">
        <v>0</v>
      </c>
      <c r="I1086" s="51" t="s">
        <v>3481</v>
      </c>
      <c r="J1086" s="49" t="s">
        <v>2936</v>
      </c>
      <c r="K1086" s="52" t="n">
        <v>47841</v>
      </c>
      <c r="M1086" s="51" t="s">
        <v>3480</v>
      </c>
      <c r="N1086" s="49" t="n">
        <v>4</v>
      </c>
      <c r="O1086" s="53" t="n">
        <v>46053.472337963</v>
      </c>
      <c r="P1086" s="53" t="n">
        <v>46056.7499768519</v>
      </c>
      <c r="Q1086" s="53" t="n">
        <v>46053.472337963</v>
      </c>
      <c r="R1086" s="0" t="n">
        <v>0</v>
      </c>
      <c r="S1086" s="51" t="s">
        <v>3129</v>
      </c>
      <c r="T1086" s="51" t="s">
        <v>3129</v>
      </c>
      <c r="U1086" s="51" t="s">
        <v>2934</v>
      </c>
      <c r="V1086" s="51" t="s">
        <v>2142</v>
      </c>
      <c r="W1086" s="51"/>
      <c r="X1086" s="51"/>
    </row>
    <row r="1087" customFormat="false" ht="14.25" hidden="true" customHeight="false" outlineLevel="0" collapsed="false">
      <c r="A1087" s="49" t="s">
        <v>2251</v>
      </c>
      <c r="B1087" s="49" t="s">
        <v>14</v>
      </c>
      <c r="C1087" s="49" t="s">
        <v>383</v>
      </c>
      <c r="D1087" s="49" t="s">
        <v>2441</v>
      </c>
      <c r="E1087" s="49" t="s">
        <v>2934</v>
      </c>
      <c r="F1087" s="49" t="s">
        <v>50</v>
      </c>
      <c r="G1087" s="49" t="n">
        <v>4</v>
      </c>
      <c r="H1087" s="0" t="n">
        <v>0</v>
      </c>
      <c r="I1087" s="51" t="s">
        <v>3479</v>
      </c>
      <c r="J1087" s="49" t="s">
        <v>2936</v>
      </c>
      <c r="K1087" s="52" t="n">
        <v>47841</v>
      </c>
      <c r="M1087" s="51" t="s">
        <v>3480</v>
      </c>
      <c r="N1087" s="49" t="n">
        <v>4</v>
      </c>
      <c r="O1087" s="53" t="n">
        <v>46053.4731828704</v>
      </c>
      <c r="P1087" s="53" t="n">
        <v>46056.7100462963</v>
      </c>
      <c r="Q1087" s="53" t="n">
        <v>46053.4731828704</v>
      </c>
      <c r="R1087" s="0" t="n">
        <v>0</v>
      </c>
      <c r="S1087" s="51" t="s">
        <v>3129</v>
      </c>
      <c r="T1087" s="51" t="s">
        <v>3129</v>
      </c>
      <c r="U1087" s="51" t="s">
        <v>2934</v>
      </c>
      <c r="V1087" s="51" t="s">
        <v>2142</v>
      </c>
      <c r="W1087" s="51"/>
      <c r="X1087" s="51"/>
    </row>
    <row r="1088" customFormat="false" ht="14.25" hidden="true" customHeight="false" outlineLevel="0" collapsed="false">
      <c r="A1088" s="49" t="s">
        <v>2251</v>
      </c>
      <c r="B1088" s="49" t="s">
        <v>14</v>
      </c>
      <c r="C1088" s="49" t="s">
        <v>382</v>
      </c>
      <c r="D1088" s="49" t="s">
        <v>2441</v>
      </c>
      <c r="E1088" s="49" t="s">
        <v>2934</v>
      </c>
      <c r="F1088" s="49" t="s">
        <v>50</v>
      </c>
      <c r="G1088" s="49" t="n">
        <v>4</v>
      </c>
      <c r="H1088" s="0" t="n">
        <v>0</v>
      </c>
      <c r="I1088" s="51" t="s">
        <v>3479</v>
      </c>
      <c r="J1088" s="49" t="s">
        <v>2936</v>
      </c>
      <c r="K1088" s="52" t="n">
        <v>47841</v>
      </c>
      <c r="M1088" s="51" t="s">
        <v>3480</v>
      </c>
      <c r="N1088" s="49" t="n">
        <v>4</v>
      </c>
      <c r="O1088" s="53" t="n">
        <v>46053.4737152778</v>
      </c>
      <c r="P1088" s="53" t="n">
        <v>46056.7062731482</v>
      </c>
      <c r="Q1088" s="53" t="n">
        <v>46053.4737152778</v>
      </c>
      <c r="R1088" s="0" t="n">
        <v>0</v>
      </c>
      <c r="S1088" s="51" t="s">
        <v>3129</v>
      </c>
      <c r="T1088" s="51" t="s">
        <v>3129</v>
      </c>
      <c r="U1088" s="51" t="s">
        <v>2934</v>
      </c>
      <c r="V1088" s="51" t="s">
        <v>2142</v>
      </c>
      <c r="W1088" s="51"/>
      <c r="X1088" s="51"/>
    </row>
    <row r="1089" customFormat="false" ht="14.25" hidden="true" customHeight="false" outlineLevel="0" collapsed="false">
      <c r="A1089" s="49" t="s">
        <v>2251</v>
      </c>
      <c r="B1089" s="49" t="s">
        <v>14</v>
      </c>
      <c r="C1089" s="49" t="s">
        <v>381</v>
      </c>
      <c r="D1089" s="49" t="s">
        <v>2441</v>
      </c>
      <c r="E1089" s="49" t="s">
        <v>2934</v>
      </c>
      <c r="F1089" s="49" t="s">
        <v>50</v>
      </c>
      <c r="G1089" s="49" t="n">
        <v>4</v>
      </c>
      <c r="H1089" s="0" t="n">
        <v>0</v>
      </c>
      <c r="I1089" s="51" t="s">
        <v>3482</v>
      </c>
      <c r="J1089" s="49" t="s">
        <v>2936</v>
      </c>
      <c r="K1089" s="52" t="n">
        <v>47841</v>
      </c>
      <c r="M1089" s="51" t="s">
        <v>3480</v>
      </c>
      <c r="N1089" s="49" t="n">
        <v>4</v>
      </c>
      <c r="O1089" s="53" t="n">
        <v>46053.4740046296</v>
      </c>
      <c r="P1089" s="53" t="n">
        <v>46056.734849537</v>
      </c>
      <c r="Q1089" s="53" t="n">
        <v>46053.4740046296</v>
      </c>
      <c r="R1089" s="0" t="n">
        <v>0</v>
      </c>
      <c r="S1089" s="51" t="s">
        <v>3129</v>
      </c>
      <c r="T1089" s="51" t="s">
        <v>3129</v>
      </c>
      <c r="U1089" s="51" t="s">
        <v>2934</v>
      </c>
      <c r="V1089" s="51" t="s">
        <v>2142</v>
      </c>
      <c r="W1089" s="51"/>
      <c r="X1089" s="51"/>
    </row>
    <row r="1090" customFormat="false" ht="14.25" hidden="true" customHeight="false" outlineLevel="0" collapsed="false">
      <c r="A1090" s="49" t="s">
        <v>2251</v>
      </c>
      <c r="B1090" s="49" t="s">
        <v>14</v>
      </c>
      <c r="C1090" s="49" t="s">
        <v>396</v>
      </c>
      <c r="D1090" s="49" t="s">
        <v>2441</v>
      </c>
      <c r="E1090" s="49" t="s">
        <v>2934</v>
      </c>
      <c r="F1090" s="49" t="s">
        <v>50</v>
      </c>
      <c r="G1090" s="49" t="n">
        <v>4</v>
      </c>
      <c r="H1090" s="0" t="n">
        <v>0</v>
      </c>
      <c r="I1090" s="51" t="s">
        <v>3482</v>
      </c>
      <c r="J1090" s="49" t="s">
        <v>2936</v>
      </c>
      <c r="K1090" s="52" t="n">
        <v>47841</v>
      </c>
      <c r="M1090" s="51" t="s">
        <v>3480</v>
      </c>
      <c r="N1090" s="49" t="n">
        <v>4</v>
      </c>
      <c r="O1090" s="53" t="n">
        <v>46053.4648611111</v>
      </c>
      <c r="P1090" s="53" t="n">
        <v>46056.7331365741</v>
      </c>
      <c r="Q1090" s="53" t="n">
        <v>46053.4648611111</v>
      </c>
      <c r="R1090" s="0" t="n">
        <v>0</v>
      </c>
      <c r="S1090" s="51" t="s">
        <v>3129</v>
      </c>
      <c r="T1090" s="51" t="s">
        <v>3129</v>
      </c>
      <c r="U1090" s="51" t="s">
        <v>2934</v>
      </c>
      <c r="V1090" s="51" t="s">
        <v>2142</v>
      </c>
      <c r="W1090" s="51"/>
      <c r="X1090" s="51"/>
    </row>
    <row r="1091" customFormat="false" ht="14.25" hidden="true" customHeight="false" outlineLevel="0" collapsed="false">
      <c r="A1091" s="49" t="s">
        <v>2251</v>
      </c>
      <c r="B1091" s="49" t="s">
        <v>14</v>
      </c>
      <c r="C1091" s="49" t="s">
        <v>397</v>
      </c>
      <c r="D1091" s="49" t="s">
        <v>2441</v>
      </c>
      <c r="E1091" s="49" t="s">
        <v>2934</v>
      </c>
      <c r="F1091" s="49" t="s">
        <v>50</v>
      </c>
      <c r="G1091" s="49" t="n">
        <v>4</v>
      </c>
      <c r="H1091" s="0" t="n">
        <v>0</v>
      </c>
      <c r="I1091" s="51" t="s">
        <v>3482</v>
      </c>
      <c r="J1091" s="49" t="s">
        <v>2936</v>
      </c>
      <c r="K1091" s="52" t="n">
        <v>47841</v>
      </c>
      <c r="M1091" s="51" t="s">
        <v>3480</v>
      </c>
      <c r="N1091" s="49" t="n">
        <v>4</v>
      </c>
      <c r="O1091" s="53" t="n">
        <v>46053.4643055556</v>
      </c>
      <c r="P1091" s="53" t="n">
        <v>46056.7335416667</v>
      </c>
      <c r="Q1091" s="53" t="n">
        <v>46053.4643055556</v>
      </c>
      <c r="R1091" s="0" t="n">
        <v>0</v>
      </c>
      <c r="S1091" s="51" t="s">
        <v>3129</v>
      </c>
      <c r="T1091" s="51" t="s">
        <v>3129</v>
      </c>
      <c r="U1091" s="51" t="s">
        <v>2934</v>
      </c>
      <c r="V1091" s="51" t="s">
        <v>2142</v>
      </c>
      <c r="W1091" s="51"/>
      <c r="X1091" s="51"/>
    </row>
    <row r="1092" customFormat="false" ht="14.25" hidden="true" customHeight="false" outlineLevel="0" collapsed="false">
      <c r="A1092" s="49" t="s">
        <v>2251</v>
      </c>
      <c r="B1092" s="49" t="s">
        <v>14</v>
      </c>
      <c r="C1092" s="49" t="s">
        <v>401</v>
      </c>
      <c r="D1092" s="49" t="s">
        <v>2441</v>
      </c>
      <c r="E1092" s="49" t="s">
        <v>2934</v>
      </c>
      <c r="F1092" s="49" t="s">
        <v>50</v>
      </c>
      <c r="G1092" s="49" t="n">
        <v>4</v>
      </c>
      <c r="H1092" s="0" t="n">
        <v>0</v>
      </c>
      <c r="I1092" s="51" t="s">
        <v>3479</v>
      </c>
      <c r="J1092" s="49" t="s">
        <v>2936</v>
      </c>
      <c r="K1092" s="52" t="n">
        <v>47841</v>
      </c>
      <c r="M1092" s="51" t="s">
        <v>3480</v>
      </c>
      <c r="N1092" s="49" t="n">
        <v>4</v>
      </c>
      <c r="O1092" s="53" t="n">
        <v>46053.4607523148</v>
      </c>
      <c r="P1092" s="53" t="n">
        <v>46057.8034375</v>
      </c>
      <c r="Q1092" s="53" t="n">
        <v>46053.4607523148</v>
      </c>
      <c r="R1092" s="0" t="n">
        <v>0</v>
      </c>
      <c r="S1092" s="51" t="s">
        <v>3129</v>
      </c>
      <c r="T1092" s="51" t="s">
        <v>3129</v>
      </c>
      <c r="U1092" s="51" t="s">
        <v>2934</v>
      </c>
      <c r="V1092" s="51" t="s">
        <v>2142</v>
      </c>
      <c r="W1092" s="51"/>
      <c r="X1092" s="51"/>
    </row>
    <row r="1093" customFormat="false" ht="14.25" hidden="true" customHeight="false" outlineLevel="0" collapsed="false">
      <c r="A1093" s="49" t="s">
        <v>2251</v>
      </c>
      <c r="B1093" s="49" t="s">
        <v>14</v>
      </c>
      <c r="C1093" s="49" t="s">
        <v>380</v>
      </c>
      <c r="D1093" s="49" t="s">
        <v>2441</v>
      </c>
      <c r="E1093" s="49" t="s">
        <v>2934</v>
      </c>
      <c r="F1093" s="49" t="s">
        <v>50</v>
      </c>
      <c r="G1093" s="49" t="n">
        <v>4</v>
      </c>
      <c r="H1093" s="0" t="n">
        <v>0</v>
      </c>
      <c r="I1093" s="51" t="s">
        <v>3485</v>
      </c>
      <c r="J1093" s="49" t="s">
        <v>3486</v>
      </c>
      <c r="K1093" s="52" t="n">
        <v>47843</v>
      </c>
      <c r="M1093" s="51" t="s">
        <v>3480</v>
      </c>
      <c r="N1093" s="49" t="n">
        <v>4</v>
      </c>
      <c r="O1093" s="53" t="n">
        <v>46053.4581365741</v>
      </c>
      <c r="P1093" s="53" t="n">
        <v>46057.3165277778</v>
      </c>
      <c r="Q1093" s="53" t="n">
        <v>46053.4581365741</v>
      </c>
      <c r="R1093" s="0" t="n">
        <v>0</v>
      </c>
      <c r="S1093" s="51" t="s">
        <v>3129</v>
      </c>
      <c r="T1093" s="51" t="s">
        <v>3129</v>
      </c>
      <c r="U1093" s="51" t="s">
        <v>2934</v>
      </c>
      <c r="V1093" s="51" t="s">
        <v>2142</v>
      </c>
      <c r="W1093" s="51"/>
      <c r="X1093" s="51"/>
    </row>
    <row r="1094" customFormat="false" ht="14.25" hidden="true" customHeight="false" outlineLevel="0" collapsed="false">
      <c r="A1094" s="49" t="s">
        <v>2251</v>
      </c>
      <c r="B1094" s="49" t="s">
        <v>14</v>
      </c>
      <c r="C1094" s="49" t="s">
        <v>1195</v>
      </c>
      <c r="D1094" s="49" t="s">
        <v>2441</v>
      </c>
      <c r="E1094" s="49" t="s">
        <v>3192</v>
      </c>
      <c r="F1094" s="49" t="s">
        <v>1191</v>
      </c>
      <c r="G1094" s="49" t="n">
        <v>4</v>
      </c>
      <c r="H1094" s="0" t="n">
        <v>0</v>
      </c>
      <c r="I1094" s="51" t="s">
        <v>3195</v>
      </c>
      <c r="J1094" s="49" t="s">
        <v>3487</v>
      </c>
      <c r="K1094" s="52" t="n">
        <v>47843</v>
      </c>
      <c r="M1094" s="51" t="s">
        <v>3190</v>
      </c>
      <c r="N1094" s="49" t="n">
        <v>4</v>
      </c>
      <c r="O1094" s="53" t="n">
        <v>46064.3811111111</v>
      </c>
      <c r="P1094" s="53" t="n">
        <v>46067.6265856482</v>
      </c>
      <c r="Q1094" s="53" t="n">
        <v>46064.3811111111</v>
      </c>
      <c r="R1094" s="0" t="n">
        <v>0</v>
      </c>
      <c r="S1094" s="51" t="s">
        <v>3129</v>
      </c>
      <c r="T1094" s="51" t="s">
        <v>3129</v>
      </c>
      <c r="U1094" s="51" t="s">
        <v>3192</v>
      </c>
      <c r="V1094" s="51" t="s">
        <v>2142</v>
      </c>
      <c r="W1094" s="51"/>
      <c r="X1094" s="51"/>
    </row>
    <row r="1095" customFormat="false" ht="14.25" hidden="true" customHeight="false" outlineLevel="0" collapsed="false">
      <c r="A1095" s="49" t="s">
        <v>2251</v>
      </c>
      <c r="B1095" s="49" t="s">
        <v>14</v>
      </c>
      <c r="C1095" s="49" t="s">
        <v>1196</v>
      </c>
      <c r="D1095" s="49" t="s">
        <v>2441</v>
      </c>
      <c r="E1095" s="49" t="s">
        <v>3192</v>
      </c>
      <c r="F1095" s="49" t="s">
        <v>1191</v>
      </c>
      <c r="G1095" s="49" t="n">
        <v>4</v>
      </c>
      <c r="H1095" s="0" t="n">
        <v>0</v>
      </c>
      <c r="I1095" s="51" t="s">
        <v>3195</v>
      </c>
      <c r="J1095" s="49" t="s">
        <v>3487</v>
      </c>
      <c r="K1095" s="52" t="n">
        <v>47843</v>
      </c>
      <c r="M1095" s="51" t="s">
        <v>3190</v>
      </c>
      <c r="N1095" s="49" t="n">
        <v>4</v>
      </c>
      <c r="O1095" s="53" t="n">
        <v>46064.3804513889</v>
      </c>
      <c r="P1095" s="53" t="n">
        <v>46067.6183101852</v>
      </c>
      <c r="Q1095" s="53" t="n">
        <v>46064.3804513889</v>
      </c>
      <c r="R1095" s="0" t="n">
        <v>0</v>
      </c>
      <c r="S1095" s="51" t="s">
        <v>3129</v>
      </c>
      <c r="T1095" s="51" t="s">
        <v>3129</v>
      </c>
      <c r="U1095" s="51" t="s">
        <v>3192</v>
      </c>
      <c r="V1095" s="51" t="s">
        <v>2142</v>
      </c>
      <c r="W1095" s="51"/>
      <c r="X1095" s="51"/>
    </row>
    <row r="1096" customFormat="false" ht="14.25" hidden="true" customHeight="false" outlineLevel="0" collapsed="false">
      <c r="A1096" s="49" t="s">
        <v>2251</v>
      </c>
      <c r="B1096" s="49" t="s">
        <v>14</v>
      </c>
      <c r="C1096" s="49" t="s">
        <v>1197</v>
      </c>
      <c r="D1096" s="49" t="s">
        <v>2441</v>
      </c>
      <c r="E1096" s="49" t="s">
        <v>3192</v>
      </c>
      <c r="F1096" s="49" t="s">
        <v>1191</v>
      </c>
      <c r="G1096" s="49" t="n">
        <v>4</v>
      </c>
      <c r="H1096" s="0" t="n">
        <v>0</v>
      </c>
      <c r="I1096" s="51" t="s">
        <v>3193</v>
      </c>
      <c r="J1096" s="49" t="s">
        <v>3487</v>
      </c>
      <c r="K1096" s="52" t="n">
        <v>47843</v>
      </c>
      <c r="M1096" s="51" t="s">
        <v>3190</v>
      </c>
      <c r="N1096" s="49" t="n">
        <v>4</v>
      </c>
      <c r="O1096" s="53" t="n">
        <v>46064.3799652778</v>
      </c>
      <c r="P1096" s="53" t="n">
        <v>46067.6009027778</v>
      </c>
      <c r="Q1096" s="53" t="n">
        <v>46064.3799652778</v>
      </c>
      <c r="R1096" s="0" t="n">
        <v>0</v>
      </c>
      <c r="S1096" s="51" t="s">
        <v>3129</v>
      </c>
      <c r="T1096" s="51" t="s">
        <v>3129</v>
      </c>
      <c r="U1096" s="51" t="s">
        <v>3192</v>
      </c>
      <c r="V1096" s="51" t="s">
        <v>2142</v>
      </c>
      <c r="W1096" s="51"/>
      <c r="X1096" s="51"/>
    </row>
    <row r="1097" customFormat="false" ht="14.25" hidden="true" customHeight="false" outlineLevel="0" collapsed="false">
      <c r="A1097" s="49" t="s">
        <v>2251</v>
      </c>
      <c r="B1097" s="49" t="s">
        <v>14</v>
      </c>
      <c r="C1097" s="49" t="s">
        <v>1198</v>
      </c>
      <c r="D1097" s="49" t="s">
        <v>2441</v>
      </c>
      <c r="E1097" s="49" t="s">
        <v>3192</v>
      </c>
      <c r="F1097" s="49" t="s">
        <v>1191</v>
      </c>
      <c r="G1097" s="49" t="n">
        <v>4</v>
      </c>
      <c r="H1097" s="0" t="n">
        <v>0</v>
      </c>
      <c r="I1097" s="51" t="s">
        <v>3195</v>
      </c>
      <c r="J1097" s="49" t="s">
        <v>3487</v>
      </c>
      <c r="K1097" s="52" t="n">
        <v>47843</v>
      </c>
      <c r="M1097" s="51" t="s">
        <v>3190</v>
      </c>
      <c r="N1097" s="49" t="n">
        <v>4</v>
      </c>
      <c r="O1097" s="53" t="n">
        <v>46064.3791898148</v>
      </c>
      <c r="P1097" s="53" t="n">
        <v>46067.6144444444</v>
      </c>
      <c r="Q1097" s="53" t="n">
        <v>46064.3791898148</v>
      </c>
      <c r="R1097" s="0" t="n">
        <v>0</v>
      </c>
      <c r="S1097" s="51" t="s">
        <v>3129</v>
      </c>
      <c r="T1097" s="51" t="s">
        <v>3129</v>
      </c>
      <c r="U1097" s="51" t="s">
        <v>3192</v>
      </c>
      <c r="V1097" s="51" t="s">
        <v>2142</v>
      </c>
      <c r="W1097" s="51"/>
      <c r="X1097" s="51"/>
    </row>
    <row r="1098" customFormat="false" ht="14.25" hidden="true" customHeight="false" outlineLevel="0" collapsed="false">
      <c r="A1098" s="49" t="s">
        <v>2251</v>
      </c>
      <c r="B1098" s="49" t="s">
        <v>14</v>
      </c>
      <c r="C1098" s="49" t="s">
        <v>1199</v>
      </c>
      <c r="D1098" s="49" t="s">
        <v>2441</v>
      </c>
      <c r="E1098" s="49" t="s">
        <v>3192</v>
      </c>
      <c r="F1098" s="49" t="s">
        <v>1191</v>
      </c>
      <c r="G1098" s="49" t="n">
        <v>4</v>
      </c>
      <c r="H1098" s="0" t="n">
        <v>0</v>
      </c>
      <c r="I1098" s="51" t="s">
        <v>3195</v>
      </c>
      <c r="J1098" s="49" t="s">
        <v>3487</v>
      </c>
      <c r="K1098" s="52" t="n">
        <v>47843</v>
      </c>
      <c r="M1098" s="51" t="s">
        <v>3190</v>
      </c>
      <c r="N1098" s="49" t="n">
        <v>4</v>
      </c>
      <c r="O1098" s="53" t="n">
        <v>46064.3786226852</v>
      </c>
      <c r="P1098" s="53" t="n">
        <v>46067.6111111111</v>
      </c>
      <c r="Q1098" s="53" t="n">
        <v>46064.3786226852</v>
      </c>
      <c r="R1098" s="0" t="n">
        <v>0</v>
      </c>
      <c r="S1098" s="51" t="s">
        <v>3129</v>
      </c>
      <c r="T1098" s="51" t="s">
        <v>3129</v>
      </c>
      <c r="U1098" s="51" t="s">
        <v>3192</v>
      </c>
      <c r="V1098" s="51" t="s">
        <v>2142</v>
      </c>
      <c r="W1098" s="51"/>
      <c r="X1098" s="51"/>
    </row>
    <row r="1099" customFormat="false" ht="14.25" hidden="true" customHeight="false" outlineLevel="0" collapsed="false">
      <c r="A1099" s="49" t="s">
        <v>2251</v>
      </c>
      <c r="B1099" s="49" t="s">
        <v>14</v>
      </c>
      <c r="C1099" s="49" t="s">
        <v>1200</v>
      </c>
      <c r="D1099" s="49" t="s">
        <v>2441</v>
      </c>
      <c r="E1099" s="49" t="s">
        <v>3192</v>
      </c>
      <c r="F1099" s="49" t="s">
        <v>1191</v>
      </c>
      <c r="G1099" s="49" t="n">
        <v>4</v>
      </c>
      <c r="H1099" s="0" t="n">
        <v>0</v>
      </c>
      <c r="I1099" s="51" t="s">
        <v>3193</v>
      </c>
      <c r="J1099" s="49" t="s">
        <v>3487</v>
      </c>
      <c r="K1099" s="52" t="n">
        <v>47843</v>
      </c>
      <c r="M1099" s="51" t="s">
        <v>3190</v>
      </c>
      <c r="N1099" s="49" t="n">
        <v>4</v>
      </c>
      <c r="O1099" s="53" t="n">
        <v>46064.3778587963</v>
      </c>
      <c r="P1099" s="53" t="n">
        <v>46067.5989583333</v>
      </c>
      <c r="Q1099" s="53" t="n">
        <v>46064.3778587963</v>
      </c>
      <c r="R1099" s="0" t="n">
        <v>0</v>
      </c>
      <c r="S1099" s="51" t="s">
        <v>3129</v>
      </c>
      <c r="T1099" s="51" t="s">
        <v>3129</v>
      </c>
      <c r="U1099" s="51" t="s">
        <v>3192</v>
      </c>
      <c r="V1099" s="51" t="s">
        <v>2142</v>
      </c>
      <c r="W1099" s="51"/>
      <c r="X1099" s="51"/>
    </row>
    <row r="1100" customFormat="false" ht="14.25" hidden="true" customHeight="false" outlineLevel="0" collapsed="false">
      <c r="A1100" s="49" t="s">
        <v>2251</v>
      </c>
      <c r="B1100" s="49" t="s">
        <v>14</v>
      </c>
      <c r="C1100" s="49" t="s">
        <v>1201</v>
      </c>
      <c r="D1100" s="49" t="s">
        <v>2441</v>
      </c>
      <c r="E1100" s="49" t="s">
        <v>3192</v>
      </c>
      <c r="F1100" s="49" t="s">
        <v>1191</v>
      </c>
      <c r="G1100" s="49" t="n">
        <v>4</v>
      </c>
      <c r="H1100" s="0" t="n">
        <v>0</v>
      </c>
      <c r="I1100" s="51" t="s">
        <v>3193</v>
      </c>
      <c r="J1100" s="49" t="s">
        <v>3487</v>
      </c>
      <c r="K1100" s="52" t="n">
        <v>47843</v>
      </c>
      <c r="M1100" s="51" t="s">
        <v>3190</v>
      </c>
      <c r="N1100" s="49" t="n">
        <v>4</v>
      </c>
      <c r="O1100" s="53" t="n">
        <v>46064.3772685185</v>
      </c>
      <c r="P1100" s="53" t="n">
        <v>46067.5961458333</v>
      </c>
      <c r="Q1100" s="53" t="n">
        <v>46064.3772685185</v>
      </c>
      <c r="R1100" s="0" t="n">
        <v>0</v>
      </c>
      <c r="S1100" s="51" t="s">
        <v>3129</v>
      </c>
      <c r="T1100" s="51" t="s">
        <v>3129</v>
      </c>
      <c r="U1100" s="51" t="s">
        <v>3192</v>
      </c>
      <c r="V1100" s="51" t="s">
        <v>2142</v>
      </c>
      <c r="W1100" s="51"/>
      <c r="X1100" s="51"/>
    </row>
    <row r="1101" customFormat="false" ht="14.25" hidden="true" customHeight="false" outlineLevel="0" collapsed="false">
      <c r="A1101" s="49" t="s">
        <v>2251</v>
      </c>
      <c r="B1101" s="49" t="s">
        <v>14</v>
      </c>
      <c r="C1101" s="49" t="s">
        <v>660</v>
      </c>
      <c r="D1101" s="49" t="s">
        <v>2441</v>
      </c>
      <c r="E1101" s="49" t="s">
        <v>2934</v>
      </c>
      <c r="F1101" s="49" t="s">
        <v>50</v>
      </c>
      <c r="G1101" s="49" t="n">
        <v>4</v>
      </c>
      <c r="H1101" s="0" t="n">
        <v>0</v>
      </c>
      <c r="I1101" s="51" t="s">
        <v>3488</v>
      </c>
      <c r="J1101" s="49" t="s">
        <v>3489</v>
      </c>
      <c r="K1101" s="52" t="n">
        <v>47843</v>
      </c>
      <c r="M1101" s="51" t="s">
        <v>3170</v>
      </c>
      <c r="N1101" s="49" t="n">
        <v>4</v>
      </c>
      <c r="O1101" s="53" t="n">
        <v>46056.7786111111</v>
      </c>
      <c r="P1101" s="53" t="n">
        <v>46057.6881828704</v>
      </c>
      <c r="Q1101" s="53" t="n">
        <v>46056.7786111111</v>
      </c>
      <c r="R1101" s="0" t="n">
        <v>0</v>
      </c>
      <c r="S1101" s="51" t="s">
        <v>3129</v>
      </c>
      <c r="T1101" s="51" t="s">
        <v>3129</v>
      </c>
      <c r="U1101" s="51" t="s">
        <v>2934</v>
      </c>
      <c r="V1101" s="51" t="s">
        <v>2142</v>
      </c>
      <c r="W1101" s="51"/>
      <c r="X1101" s="51"/>
    </row>
    <row r="1102" customFormat="false" ht="14.25" hidden="true" customHeight="false" outlineLevel="0" collapsed="false">
      <c r="A1102" s="49" t="s">
        <v>2251</v>
      </c>
      <c r="B1102" s="49" t="s">
        <v>14</v>
      </c>
      <c r="C1102" s="49" t="s">
        <v>1093</v>
      </c>
      <c r="D1102" s="49" t="s">
        <v>2441</v>
      </c>
      <c r="E1102" s="49" t="s">
        <v>2290</v>
      </c>
      <c r="F1102" s="49" t="s">
        <v>1094</v>
      </c>
      <c r="G1102" s="49" t="n">
        <v>4</v>
      </c>
      <c r="H1102" s="0" t="n">
        <v>0</v>
      </c>
      <c r="I1102" s="51" t="s">
        <v>3490</v>
      </c>
      <c r="J1102" s="49" t="s">
        <v>2291</v>
      </c>
      <c r="K1102" s="52" t="n">
        <v>47857</v>
      </c>
      <c r="M1102" s="51" t="s">
        <v>3491</v>
      </c>
      <c r="N1102" s="49" t="n">
        <v>4</v>
      </c>
      <c r="O1102" s="53" t="n">
        <v>46061.6146759259</v>
      </c>
      <c r="P1102" s="53" t="n">
        <v>46062.4245138889</v>
      </c>
      <c r="Q1102" s="53" t="n">
        <v>46061.6146759259</v>
      </c>
      <c r="R1102" s="0" t="n">
        <v>0</v>
      </c>
      <c r="S1102" s="51" t="s">
        <v>3129</v>
      </c>
      <c r="T1102" s="51" t="s">
        <v>3129</v>
      </c>
      <c r="U1102" s="51" t="s">
        <v>2290</v>
      </c>
      <c r="V1102" s="51" t="s">
        <v>2142</v>
      </c>
      <c r="W1102" s="51"/>
      <c r="X1102" s="51"/>
    </row>
    <row r="1103" customFormat="false" ht="14.25" hidden="true" customHeight="false" outlineLevel="0" collapsed="false">
      <c r="A1103" s="49" t="s">
        <v>2251</v>
      </c>
      <c r="B1103" s="49" t="s">
        <v>14</v>
      </c>
      <c r="C1103" s="49" t="s">
        <v>1268</v>
      </c>
      <c r="D1103" s="49" t="s">
        <v>2441</v>
      </c>
      <c r="E1103" s="49" t="s">
        <v>2290</v>
      </c>
      <c r="F1103" s="49" t="s">
        <v>1094</v>
      </c>
      <c r="G1103" s="49" t="n">
        <v>4</v>
      </c>
      <c r="H1103" s="0" t="n">
        <v>0</v>
      </c>
      <c r="I1103" s="51" t="s">
        <v>3492</v>
      </c>
      <c r="J1103" s="49" t="s">
        <v>2937</v>
      </c>
      <c r="K1103" s="52" t="n">
        <v>47857</v>
      </c>
      <c r="M1103" s="51" t="s">
        <v>3135</v>
      </c>
      <c r="N1103" s="49" t="n">
        <v>4</v>
      </c>
      <c r="O1103" s="53" t="n">
        <v>46065.6087152778</v>
      </c>
      <c r="P1103" s="53" t="n">
        <v>46067.4916550926</v>
      </c>
      <c r="Q1103" s="53" t="n">
        <v>46065.6087152778</v>
      </c>
      <c r="R1103" s="0" t="n">
        <v>0</v>
      </c>
      <c r="S1103" s="51" t="s">
        <v>3129</v>
      </c>
      <c r="T1103" s="51" t="s">
        <v>3129</v>
      </c>
      <c r="U1103" s="51" t="s">
        <v>2290</v>
      </c>
      <c r="V1103" s="51" t="s">
        <v>2142</v>
      </c>
      <c r="W1103" s="51"/>
      <c r="X1103" s="51"/>
    </row>
    <row r="1104" customFormat="false" ht="14.25" hidden="true" customHeight="false" outlineLevel="0" collapsed="false">
      <c r="A1104" s="49" t="s">
        <v>2251</v>
      </c>
      <c r="B1104" s="49" t="s">
        <v>14</v>
      </c>
      <c r="C1104" s="49" t="s">
        <v>1285</v>
      </c>
      <c r="D1104" s="49" t="s">
        <v>2441</v>
      </c>
      <c r="E1104" s="49" t="s">
        <v>2290</v>
      </c>
      <c r="F1104" s="49" t="s">
        <v>1094</v>
      </c>
      <c r="G1104" s="49" t="n">
        <v>4</v>
      </c>
      <c r="H1104" s="0" t="n">
        <v>0</v>
      </c>
      <c r="I1104" s="51" t="s">
        <v>3492</v>
      </c>
      <c r="J1104" s="49" t="s">
        <v>2937</v>
      </c>
      <c r="K1104" s="52" t="n">
        <v>47857</v>
      </c>
      <c r="M1104" s="51" t="s">
        <v>3135</v>
      </c>
      <c r="N1104" s="49" t="n">
        <v>4</v>
      </c>
      <c r="O1104" s="53" t="n">
        <v>46065.6099652778</v>
      </c>
      <c r="P1104" s="53" t="n">
        <v>46067.4809143519</v>
      </c>
      <c r="Q1104" s="53" t="n">
        <v>46065.6099652778</v>
      </c>
      <c r="R1104" s="0" t="n">
        <v>0</v>
      </c>
      <c r="S1104" s="51" t="s">
        <v>3129</v>
      </c>
      <c r="T1104" s="51" t="s">
        <v>3129</v>
      </c>
      <c r="U1104" s="51" t="s">
        <v>2290</v>
      </c>
      <c r="V1104" s="51" t="s">
        <v>2142</v>
      </c>
      <c r="W1104" s="51"/>
      <c r="X1104" s="51"/>
    </row>
    <row r="1105" customFormat="false" ht="14.25" hidden="true" customHeight="false" outlineLevel="0" collapsed="false">
      <c r="A1105" s="49" t="s">
        <v>2251</v>
      </c>
      <c r="B1105" s="49" t="s">
        <v>14</v>
      </c>
      <c r="C1105" s="49" t="s">
        <v>1283</v>
      </c>
      <c r="D1105" s="49" t="s">
        <v>2441</v>
      </c>
      <c r="E1105" s="49" t="s">
        <v>2290</v>
      </c>
      <c r="F1105" s="49" t="s">
        <v>1094</v>
      </c>
      <c r="G1105" s="49" t="n">
        <v>4</v>
      </c>
      <c r="H1105" s="0" t="n">
        <v>0</v>
      </c>
      <c r="I1105" s="51" t="s">
        <v>3492</v>
      </c>
      <c r="J1105" s="49" t="s">
        <v>2937</v>
      </c>
      <c r="K1105" s="52" t="n">
        <v>47857</v>
      </c>
      <c r="M1105" s="51" t="s">
        <v>3135</v>
      </c>
      <c r="N1105" s="49" t="n">
        <v>4</v>
      </c>
      <c r="O1105" s="53" t="n">
        <v>46065.6113657407</v>
      </c>
      <c r="P1105" s="53" t="n">
        <v>46067.4763310185</v>
      </c>
      <c r="Q1105" s="53" t="n">
        <v>46065.6113657407</v>
      </c>
      <c r="R1105" s="0" t="n">
        <v>0</v>
      </c>
      <c r="S1105" s="51" t="s">
        <v>3129</v>
      </c>
      <c r="T1105" s="51" t="s">
        <v>3129</v>
      </c>
      <c r="U1105" s="51" t="s">
        <v>2290</v>
      </c>
      <c r="V1105" s="51" t="s">
        <v>2142</v>
      </c>
      <c r="W1105" s="51"/>
      <c r="X1105" s="51"/>
    </row>
    <row r="1106" customFormat="false" ht="14.25" hidden="true" customHeight="false" outlineLevel="0" collapsed="false">
      <c r="A1106" s="49" t="s">
        <v>2251</v>
      </c>
      <c r="B1106" s="49" t="s">
        <v>14</v>
      </c>
      <c r="C1106" s="49" t="s">
        <v>1281</v>
      </c>
      <c r="D1106" s="49" t="s">
        <v>2441</v>
      </c>
      <c r="E1106" s="49" t="s">
        <v>2290</v>
      </c>
      <c r="F1106" s="49" t="s">
        <v>1094</v>
      </c>
      <c r="G1106" s="49" t="n">
        <v>4</v>
      </c>
      <c r="H1106" s="0" t="n">
        <v>0</v>
      </c>
      <c r="I1106" s="51" t="s">
        <v>3492</v>
      </c>
      <c r="J1106" s="49" t="s">
        <v>2937</v>
      </c>
      <c r="K1106" s="52" t="n">
        <v>47857</v>
      </c>
      <c r="M1106" s="51" t="s">
        <v>3135</v>
      </c>
      <c r="N1106" s="49" t="n">
        <v>4</v>
      </c>
      <c r="O1106" s="53" t="n">
        <v>46065.6126967593</v>
      </c>
      <c r="P1106" s="53" t="n">
        <v>46067.479537037</v>
      </c>
      <c r="Q1106" s="53" t="n">
        <v>46065.6126967593</v>
      </c>
      <c r="R1106" s="0" t="n">
        <v>0</v>
      </c>
      <c r="S1106" s="51" t="s">
        <v>3129</v>
      </c>
      <c r="T1106" s="51" t="s">
        <v>3129</v>
      </c>
      <c r="U1106" s="51" t="s">
        <v>2290</v>
      </c>
      <c r="V1106" s="51" t="s">
        <v>2142</v>
      </c>
      <c r="W1106" s="51"/>
      <c r="X1106" s="51"/>
    </row>
    <row r="1107" customFormat="false" ht="14.25" hidden="true" customHeight="false" outlineLevel="0" collapsed="false">
      <c r="A1107" s="49" t="s">
        <v>2251</v>
      </c>
      <c r="B1107" s="49" t="s">
        <v>14</v>
      </c>
      <c r="C1107" s="49" t="s">
        <v>1097</v>
      </c>
      <c r="D1107" s="49" t="s">
        <v>2441</v>
      </c>
      <c r="E1107" s="49" t="s">
        <v>2290</v>
      </c>
      <c r="F1107" s="49" t="s">
        <v>1094</v>
      </c>
      <c r="G1107" s="49" t="n">
        <v>4</v>
      </c>
      <c r="H1107" s="0" t="n">
        <v>0</v>
      </c>
      <c r="I1107" s="51" t="s">
        <v>3493</v>
      </c>
      <c r="J1107" s="49" t="s">
        <v>2291</v>
      </c>
      <c r="K1107" s="52" t="n">
        <v>47857</v>
      </c>
      <c r="M1107" s="51" t="s">
        <v>3491</v>
      </c>
      <c r="N1107" s="49" t="n">
        <v>4</v>
      </c>
      <c r="O1107" s="53" t="n">
        <v>46061.6253703704</v>
      </c>
      <c r="P1107" s="53" t="n">
        <v>46062.4302662037</v>
      </c>
      <c r="Q1107" s="53" t="n">
        <v>46061.6253703704</v>
      </c>
      <c r="R1107" s="0" t="n">
        <v>0</v>
      </c>
      <c r="S1107" s="51" t="s">
        <v>3129</v>
      </c>
      <c r="T1107" s="51" t="s">
        <v>3129</v>
      </c>
      <c r="U1107" s="51" t="s">
        <v>2290</v>
      </c>
      <c r="V1107" s="51" t="s">
        <v>2142</v>
      </c>
      <c r="W1107" s="51"/>
      <c r="X1107" s="51"/>
    </row>
    <row r="1108" customFormat="false" ht="14.25" hidden="true" customHeight="false" outlineLevel="0" collapsed="false">
      <c r="A1108" s="49" t="s">
        <v>2251</v>
      </c>
      <c r="B1108" s="49" t="s">
        <v>14</v>
      </c>
      <c r="C1108" s="49" t="s">
        <v>1099</v>
      </c>
      <c r="D1108" s="49" t="s">
        <v>2441</v>
      </c>
      <c r="E1108" s="49" t="s">
        <v>2290</v>
      </c>
      <c r="F1108" s="49" t="s">
        <v>1094</v>
      </c>
      <c r="G1108" s="49" t="n">
        <v>4</v>
      </c>
      <c r="H1108" s="0" t="n">
        <v>0</v>
      </c>
      <c r="I1108" s="51" t="s">
        <v>3494</v>
      </c>
      <c r="J1108" s="49" t="s">
        <v>2291</v>
      </c>
      <c r="K1108" s="52" t="n">
        <v>47857</v>
      </c>
      <c r="M1108" s="51" t="s">
        <v>3491</v>
      </c>
      <c r="N1108" s="49" t="n">
        <v>4</v>
      </c>
      <c r="O1108" s="53" t="n">
        <v>46061.6240046296</v>
      </c>
      <c r="P1108" s="53" t="n">
        <v>46062.4300810185</v>
      </c>
      <c r="Q1108" s="53" t="n">
        <v>46061.6240046296</v>
      </c>
      <c r="R1108" s="0" t="n">
        <v>0</v>
      </c>
      <c r="S1108" s="51" t="s">
        <v>3129</v>
      </c>
      <c r="T1108" s="51" t="s">
        <v>3129</v>
      </c>
      <c r="U1108" s="51" t="s">
        <v>2290</v>
      </c>
      <c r="V1108" s="51" t="s">
        <v>2142</v>
      </c>
      <c r="W1108" s="51"/>
      <c r="X1108" s="51"/>
    </row>
    <row r="1109" customFormat="false" ht="14.25" hidden="true" customHeight="false" outlineLevel="0" collapsed="false">
      <c r="A1109" s="49" t="s">
        <v>2251</v>
      </c>
      <c r="B1109" s="49" t="s">
        <v>14</v>
      </c>
      <c r="C1109" s="49" t="s">
        <v>1102</v>
      </c>
      <c r="D1109" s="49" t="s">
        <v>2441</v>
      </c>
      <c r="E1109" s="49" t="s">
        <v>2290</v>
      </c>
      <c r="F1109" s="49" t="s">
        <v>1094</v>
      </c>
      <c r="G1109" s="49" t="n">
        <v>1</v>
      </c>
      <c r="H1109" s="0" t="n">
        <v>0</v>
      </c>
      <c r="I1109" s="51" t="s">
        <v>2269</v>
      </c>
      <c r="J1109" s="49" t="s">
        <v>2291</v>
      </c>
      <c r="K1109" s="52" t="n">
        <v>47857</v>
      </c>
      <c r="M1109" s="51" t="s">
        <v>3491</v>
      </c>
      <c r="N1109" s="49" t="n">
        <v>4</v>
      </c>
      <c r="O1109" s="53" t="n">
        <v>46061.6218171296</v>
      </c>
      <c r="P1109" s="53" t="n">
        <v>46067.3773263889</v>
      </c>
      <c r="Q1109" s="53" t="n">
        <v>46061.6218171296</v>
      </c>
      <c r="R1109" s="0" t="n">
        <v>0</v>
      </c>
      <c r="S1109" s="51" t="s">
        <v>3129</v>
      </c>
      <c r="T1109" s="51" t="s">
        <v>3129</v>
      </c>
      <c r="U1109" s="51" t="s">
        <v>2290</v>
      </c>
      <c r="V1109" s="51" t="s">
        <v>2142</v>
      </c>
      <c r="W1109" s="51" t="s">
        <v>2303</v>
      </c>
      <c r="X1109" s="51"/>
    </row>
    <row r="1110" customFormat="false" ht="14.25" hidden="true" customHeight="false" outlineLevel="0" collapsed="false">
      <c r="A1110" s="49" t="s">
        <v>2251</v>
      </c>
      <c r="B1110" s="49" t="s">
        <v>14</v>
      </c>
      <c r="C1110" s="49" t="s">
        <v>1104</v>
      </c>
      <c r="D1110" s="49" t="s">
        <v>2441</v>
      </c>
      <c r="E1110" s="49" t="s">
        <v>2290</v>
      </c>
      <c r="F1110" s="49" t="s">
        <v>1094</v>
      </c>
      <c r="G1110" s="49" t="n">
        <v>4</v>
      </c>
      <c r="H1110" s="0" t="n">
        <v>0</v>
      </c>
      <c r="I1110" s="51" t="s">
        <v>3495</v>
      </c>
      <c r="J1110" s="49" t="s">
        <v>2291</v>
      </c>
      <c r="K1110" s="52" t="n">
        <v>47857</v>
      </c>
      <c r="M1110" s="51" t="s">
        <v>3491</v>
      </c>
      <c r="N1110" s="49" t="n">
        <v>4</v>
      </c>
      <c r="O1110" s="53" t="n">
        <v>46061.6212962963</v>
      </c>
      <c r="P1110" s="53" t="n">
        <v>46063.5572569444</v>
      </c>
      <c r="Q1110" s="53" t="n">
        <v>46061.6212962963</v>
      </c>
      <c r="R1110" s="0" t="n">
        <v>0</v>
      </c>
      <c r="S1110" s="51" t="s">
        <v>3129</v>
      </c>
      <c r="T1110" s="51" t="s">
        <v>3129</v>
      </c>
      <c r="U1110" s="51" t="s">
        <v>2290</v>
      </c>
      <c r="V1110" s="51" t="s">
        <v>2142</v>
      </c>
      <c r="W1110" s="51"/>
      <c r="X1110" s="51"/>
    </row>
    <row r="1111" customFormat="false" ht="14.25" hidden="true" customHeight="false" outlineLevel="0" collapsed="false">
      <c r="A1111" s="49" t="s">
        <v>2251</v>
      </c>
      <c r="B1111" s="49" t="s">
        <v>14</v>
      </c>
      <c r="C1111" s="49" t="s">
        <v>1106</v>
      </c>
      <c r="D1111" s="49" t="s">
        <v>2441</v>
      </c>
      <c r="E1111" s="49" t="s">
        <v>2290</v>
      </c>
      <c r="F1111" s="49" t="s">
        <v>1094</v>
      </c>
      <c r="G1111" s="49" t="n">
        <v>4</v>
      </c>
      <c r="H1111" s="0" t="n">
        <v>0</v>
      </c>
      <c r="I1111" s="51" t="s">
        <v>3496</v>
      </c>
      <c r="J1111" s="49" t="s">
        <v>2291</v>
      </c>
      <c r="K1111" s="52" t="n">
        <v>47857</v>
      </c>
      <c r="M1111" s="51" t="s">
        <v>3491</v>
      </c>
      <c r="N1111" s="49" t="n">
        <v>4</v>
      </c>
      <c r="O1111" s="53" t="n">
        <v>46061.6200578704</v>
      </c>
      <c r="P1111" s="53" t="n">
        <v>46062.4250810185</v>
      </c>
      <c r="Q1111" s="53" t="n">
        <v>46061.6200578704</v>
      </c>
      <c r="R1111" s="0" t="n">
        <v>0</v>
      </c>
      <c r="S1111" s="51" t="s">
        <v>3129</v>
      </c>
      <c r="T1111" s="51" t="s">
        <v>3129</v>
      </c>
      <c r="U1111" s="51" t="s">
        <v>2290</v>
      </c>
      <c r="V1111" s="51" t="s">
        <v>2142</v>
      </c>
      <c r="W1111" s="51"/>
      <c r="X1111" s="51"/>
    </row>
    <row r="1112" customFormat="false" ht="14.25" hidden="true" customHeight="false" outlineLevel="0" collapsed="false">
      <c r="A1112" s="49" t="s">
        <v>2251</v>
      </c>
      <c r="B1112" s="49" t="s">
        <v>14</v>
      </c>
      <c r="C1112" s="49" t="s">
        <v>1109</v>
      </c>
      <c r="D1112" s="49" t="s">
        <v>2441</v>
      </c>
      <c r="E1112" s="49" t="s">
        <v>2290</v>
      </c>
      <c r="F1112" s="49" t="s">
        <v>1094</v>
      </c>
      <c r="G1112" s="49" t="n">
        <v>4</v>
      </c>
      <c r="H1112" s="0" t="n">
        <v>0</v>
      </c>
      <c r="I1112" s="51" t="s">
        <v>3497</v>
      </c>
      <c r="J1112" s="49" t="s">
        <v>2291</v>
      </c>
      <c r="K1112" s="52" t="n">
        <v>47857</v>
      </c>
      <c r="M1112" s="51" t="s">
        <v>3491</v>
      </c>
      <c r="N1112" s="49" t="n">
        <v>4</v>
      </c>
      <c r="O1112" s="53" t="n">
        <v>46061.6191203704</v>
      </c>
      <c r="P1112" s="53" t="n">
        <v>46062.4249768519</v>
      </c>
      <c r="Q1112" s="53" t="n">
        <v>46061.6191203704</v>
      </c>
      <c r="R1112" s="0" t="n">
        <v>0</v>
      </c>
      <c r="S1112" s="51" t="s">
        <v>3129</v>
      </c>
      <c r="T1112" s="51" t="s">
        <v>3129</v>
      </c>
      <c r="U1112" s="51" t="s">
        <v>2290</v>
      </c>
      <c r="V1112" s="51" t="s">
        <v>2142</v>
      </c>
      <c r="W1112" s="51"/>
      <c r="X1112" s="51"/>
    </row>
    <row r="1113" customFormat="false" ht="14.25" hidden="true" customHeight="false" outlineLevel="0" collapsed="false">
      <c r="A1113" s="49" t="s">
        <v>2251</v>
      </c>
      <c r="B1113" s="49" t="s">
        <v>14</v>
      </c>
      <c r="C1113" s="49" t="s">
        <v>1101</v>
      </c>
      <c r="D1113" s="49" t="s">
        <v>2441</v>
      </c>
      <c r="E1113" s="49" t="s">
        <v>2290</v>
      </c>
      <c r="F1113" s="49" t="s">
        <v>1094</v>
      </c>
      <c r="G1113" s="49" t="n">
        <v>4</v>
      </c>
      <c r="H1113" s="0" t="n">
        <v>0</v>
      </c>
      <c r="I1113" s="51" t="s">
        <v>3498</v>
      </c>
      <c r="J1113" s="49" t="s">
        <v>2291</v>
      </c>
      <c r="K1113" s="52" t="n">
        <v>47857</v>
      </c>
      <c r="M1113" s="51" t="s">
        <v>3491</v>
      </c>
      <c r="N1113" s="49" t="n">
        <v>4</v>
      </c>
      <c r="O1113" s="53" t="n">
        <v>46061.6229050926</v>
      </c>
      <c r="P1113" s="53" t="n">
        <v>46062.4299421296</v>
      </c>
      <c r="Q1113" s="53" t="n">
        <v>46061.6229050926</v>
      </c>
      <c r="R1113" s="0" t="n">
        <v>0</v>
      </c>
      <c r="S1113" s="51" t="s">
        <v>3129</v>
      </c>
      <c r="T1113" s="51" t="s">
        <v>3129</v>
      </c>
      <c r="U1113" s="51" t="s">
        <v>2290</v>
      </c>
      <c r="V1113" s="51" t="s">
        <v>2142</v>
      </c>
      <c r="W1113" s="51"/>
      <c r="X1113" s="51"/>
    </row>
    <row r="1114" customFormat="false" ht="14.25" hidden="true" customHeight="false" outlineLevel="0" collapsed="false">
      <c r="A1114" s="49" t="s">
        <v>2251</v>
      </c>
      <c r="B1114" s="49" t="s">
        <v>14</v>
      </c>
      <c r="C1114" s="49" t="s">
        <v>1111</v>
      </c>
      <c r="D1114" s="49" t="s">
        <v>2441</v>
      </c>
      <c r="E1114" s="49" t="s">
        <v>2290</v>
      </c>
      <c r="F1114" s="49" t="s">
        <v>1094</v>
      </c>
      <c r="G1114" s="49" t="n">
        <v>4</v>
      </c>
      <c r="H1114" s="0" t="n">
        <v>0</v>
      </c>
      <c r="I1114" s="51" t="s">
        <v>3499</v>
      </c>
      <c r="J1114" s="49" t="s">
        <v>2291</v>
      </c>
      <c r="K1114" s="52" t="n">
        <v>47857</v>
      </c>
      <c r="M1114" s="51" t="s">
        <v>3491</v>
      </c>
      <c r="N1114" s="49" t="n">
        <v>4</v>
      </c>
      <c r="O1114" s="53" t="n">
        <v>46061.6169097222</v>
      </c>
      <c r="P1114" s="53" t="n">
        <v>46062.4248148148</v>
      </c>
      <c r="Q1114" s="53" t="n">
        <v>46061.6169097222</v>
      </c>
      <c r="R1114" s="0" t="n">
        <v>0</v>
      </c>
      <c r="S1114" s="51" t="s">
        <v>3129</v>
      </c>
      <c r="T1114" s="51" t="s">
        <v>3129</v>
      </c>
      <c r="U1114" s="51" t="s">
        <v>2290</v>
      </c>
      <c r="V1114" s="51" t="s">
        <v>2142</v>
      </c>
      <c r="W1114" s="51"/>
      <c r="X1114" s="51"/>
    </row>
    <row r="1115" customFormat="false" ht="14.25" hidden="false" customHeight="false" outlineLevel="0" collapsed="false">
      <c r="A1115" s="49" t="s">
        <v>2251</v>
      </c>
      <c r="B1115" s="49" t="s">
        <v>14</v>
      </c>
      <c r="C1115" s="49" t="s">
        <v>1113</v>
      </c>
      <c r="D1115" s="49" t="s">
        <v>2441</v>
      </c>
      <c r="E1115" s="49" t="s">
        <v>2290</v>
      </c>
      <c r="F1115" s="49" t="s">
        <v>1094</v>
      </c>
      <c r="G1115" s="49" t="n">
        <v>4</v>
      </c>
      <c r="H1115" s="0" t="n">
        <v>0</v>
      </c>
      <c r="I1115" s="51" t="s">
        <v>3492</v>
      </c>
      <c r="J1115" s="49" t="s">
        <v>2291</v>
      </c>
      <c r="K1115" s="52" t="n">
        <v>47857</v>
      </c>
      <c r="M1115" s="51" t="s">
        <v>3491</v>
      </c>
      <c r="N1115" s="0" t="n">
        <v>4</v>
      </c>
      <c r="O1115" s="53" t="n">
        <v>46061.6158449074</v>
      </c>
      <c r="P1115" s="53" t="n">
        <v>46067.4923726852</v>
      </c>
      <c r="Q1115" s="53" t="n">
        <v>46061.6158449074</v>
      </c>
      <c r="R1115" s="0" t="n">
        <v>0</v>
      </c>
      <c r="S1115" s="51" t="s">
        <v>3129</v>
      </c>
      <c r="T1115" s="51" t="s">
        <v>3129</v>
      </c>
      <c r="U1115" s="51" t="s">
        <v>2290</v>
      </c>
      <c r="V1115" s="51" t="s">
        <v>2142</v>
      </c>
      <c r="W1115" s="51" t="s">
        <v>3500</v>
      </c>
      <c r="X1115" s="51"/>
    </row>
    <row r="1116" customFormat="false" ht="14.25" hidden="false" customHeight="false" outlineLevel="0" collapsed="false">
      <c r="A1116" s="49" t="s">
        <v>2251</v>
      </c>
      <c r="B1116" s="49" t="s">
        <v>14</v>
      </c>
      <c r="C1116" s="49" t="s">
        <v>1016</v>
      </c>
      <c r="D1116" s="49" t="s">
        <v>2441</v>
      </c>
      <c r="E1116" s="49" t="s">
        <v>3353</v>
      </c>
      <c r="F1116" s="49" t="s">
        <v>1005</v>
      </c>
      <c r="G1116" s="49" t="n">
        <v>3</v>
      </c>
      <c r="H1116" s="0" t="n">
        <v>0</v>
      </c>
      <c r="I1116" s="51" t="s">
        <v>3501</v>
      </c>
      <c r="J1116" s="49" t="s">
        <v>3502</v>
      </c>
      <c r="K1116" s="52" t="n">
        <v>47861</v>
      </c>
      <c r="M1116" s="51" t="s">
        <v>3157</v>
      </c>
      <c r="N1116" s="0" t="n">
        <v>3</v>
      </c>
      <c r="O1116" s="53" t="n">
        <v>46060.5831828704</v>
      </c>
      <c r="P1116" s="53" t="n">
        <v>46061.6008564815</v>
      </c>
      <c r="Q1116" s="53" t="n">
        <v>46060.5831828704</v>
      </c>
      <c r="R1116" s="0" t="n">
        <v>0</v>
      </c>
      <c r="S1116" s="51" t="s">
        <v>3129</v>
      </c>
      <c r="T1116" s="51" t="s">
        <v>3129</v>
      </c>
      <c r="U1116" s="51" t="s">
        <v>3353</v>
      </c>
      <c r="V1116" s="51" t="s">
        <v>2142</v>
      </c>
      <c r="X1116" s="51"/>
    </row>
    <row r="1117" customFormat="false" ht="14.25" hidden="false" customHeight="false" outlineLevel="0" collapsed="false">
      <c r="A1117" s="49" t="s">
        <v>2251</v>
      </c>
      <c r="B1117" s="49" t="s">
        <v>14</v>
      </c>
      <c r="C1117" s="49" t="s">
        <v>1095</v>
      </c>
      <c r="D1117" s="49" t="s">
        <v>2441</v>
      </c>
      <c r="E1117" s="49" t="s">
        <v>3503</v>
      </c>
      <c r="F1117" s="49" t="s">
        <v>1091</v>
      </c>
      <c r="G1117" s="49" t="n">
        <v>4</v>
      </c>
      <c r="H1117" s="0" t="n">
        <v>0</v>
      </c>
      <c r="I1117" s="51" t="s">
        <v>3504</v>
      </c>
      <c r="J1117" s="49" t="s">
        <v>3505</v>
      </c>
      <c r="K1117" s="52" t="n">
        <v>47861</v>
      </c>
      <c r="M1117" s="51" t="s">
        <v>3491</v>
      </c>
      <c r="N1117" s="0" t="n">
        <v>4</v>
      </c>
      <c r="O1117" s="53" t="n">
        <v>46061.6264236111</v>
      </c>
      <c r="P1117" s="53" t="n">
        <v>46062.430462963</v>
      </c>
      <c r="Q1117" s="53" t="n">
        <v>46061.6264236111</v>
      </c>
      <c r="R1117" s="0" t="n">
        <v>0</v>
      </c>
      <c r="S1117" s="51" t="s">
        <v>3129</v>
      </c>
      <c r="T1117" s="51" t="s">
        <v>3129</v>
      </c>
      <c r="U1117" s="51" t="s">
        <v>3503</v>
      </c>
      <c r="V1117" s="51" t="s">
        <v>2142</v>
      </c>
      <c r="W1117" s="51"/>
      <c r="X1117" s="51"/>
    </row>
    <row r="1118" customFormat="false" ht="14.25" hidden="true" customHeight="false" outlineLevel="0" collapsed="false">
      <c r="A1118" s="49" t="s">
        <v>2251</v>
      </c>
      <c r="B1118" s="49" t="s">
        <v>14</v>
      </c>
      <c r="C1118" s="49" t="s">
        <v>1096</v>
      </c>
      <c r="D1118" s="49" t="s">
        <v>2441</v>
      </c>
      <c r="E1118" s="49" t="s">
        <v>3503</v>
      </c>
      <c r="F1118" s="49" t="s">
        <v>1091</v>
      </c>
      <c r="G1118" s="49" t="n">
        <v>4</v>
      </c>
      <c r="H1118" s="0" t="n">
        <v>0</v>
      </c>
      <c r="I1118" s="51" t="s">
        <v>3506</v>
      </c>
      <c r="J1118" s="49" t="s">
        <v>3505</v>
      </c>
      <c r="K1118" s="52" t="n">
        <v>47861</v>
      </c>
      <c r="M1118" s="51" t="s">
        <v>3491</v>
      </c>
      <c r="N1118" s="49" t="n">
        <v>4</v>
      </c>
      <c r="O1118" s="53" t="n">
        <v>46061.6258796296</v>
      </c>
      <c r="P1118" s="53" t="n">
        <v>46062.4303935185</v>
      </c>
      <c r="Q1118" s="53" t="n">
        <v>46061.6258796296</v>
      </c>
      <c r="R1118" s="0" t="n">
        <v>0</v>
      </c>
      <c r="S1118" s="51" t="s">
        <v>3129</v>
      </c>
      <c r="T1118" s="51" t="s">
        <v>3129</v>
      </c>
      <c r="U1118" s="51" t="s">
        <v>3503</v>
      </c>
      <c r="V1118" s="51" t="s">
        <v>2142</v>
      </c>
      <c r="W1118" s="51"/>
      <c r="X1118" s="51"/>
    </row>
    <row r="1119" customFormat="false" ht="14.25" hidden="true" customHeight="false" outlineLevel="0" collapsed="false">
      <c r="A1119" s="49" t="s">
        <v>2251</v>
      </c>
      <c r="B1119" s="49" t="s">
        <v>14</v>
      </c>
      <c r="C1119" s="49" t="s">
        <v>1098</v>
      </c>
      <c r="D1119" s="49" t="s">
        <v>2441</v>
      </c>
      <c r="E1119" s="49" t="s">
        <v>3503</v>
      </c>
      <c r="F1119" s="49" t="s">
        <v>1091</v>
      </c>
      <c r="G1119" s="49" t="n">
        <v>4</v>
      </c>
      <c r="H1119" s="0" t="n">
        <v>0</v>
      </c>
      <c r="I1119" s="51" t="s">
        <v>3507</v>
      </c>
      <c r="J1119" s="49" t="s">
        <v>3505</v>
      </c>
      <c r="K1119" s="52" t="n">
        <v>47861</v>
      </c>
      <c r="M1119" s="51" t="s">
        <v>3491</v>
      </c>
      <c r="N1119" s="49" t="n">
        <v>4</v>
      </c>
      <c r="O1119" s="53" t="n">
        <v>46061.6247800926</v>
      </c>
      <c r="P1119" s="53" t="n">
        <v>46062.4301388889</v>
      </c>
      <c r="Q1119" s="53" t="n">
        <v>46061.6247800926</v>
      </c>
      <c r="R1119" s="0" t="n">
        <v>0</v>
      </c>
      <c r="S1119" s="51" t="s">
        <v>3129</v>
      </c>
      <c r="T1119" s="51" t="s">
        <v>3129</v>
      </c>
      <c r="U1119" s="51" t="s">
        <v>3503</v>
      </c>
      <c r="V1119" s="51" t="s">
        <v>2142</v>
      </c>
      <c r="W1119" s="51"/>
      <c r="X1119" s="51"/>
    </row>
    <row r="1120" customFormat="false" ht="14.25" hidden="true" customHeight="false" outlineLevel="0" collapsed="false">
      <c r="A1120" s="49" t="s">
        <v>2251</v>
      </c>
      <c r="B1120" s="49" t="s">
        <v>14</v>
      </c>
      <c r="C1120" s="49" t="s">
        <v>1100</v>
      </c>
      <c r="D1120" s="49" t="s">
        <v>2441</v>
      </c>
      <c r="E1120" s="49" t="s">
        <v>3503</v>
      </c>
      <c r="F1120" s="49" t="s">
        <v>1091</v>
      </c>
      <c r="G1120" s="49" t="n">
        <v>4</v>
      </c>
      <c r="H1120" s="0" t="n">
        <v>0</v>
      </c>
      <c r="I1120" s="51" t="s">
        <v>3508</v>
      </c>
      <c r="J1120" s="49" t="s">
        <v>3505</v>
      </c>
      <c r="K1120" s="52" t="n">
        <v>47861</v>
      </c>
      <c r="M1120" s="51" t="s">
        <v>3491</v>
      </c>
      <c r="N1120" s="49" t="n">
        <v>4</v>
      </c>
      <c r="O1120" s="53" t="n">
        <v>46061.6233680556</v>
      </c>
      <c r="P1120" s="53" t="n">
        <v>46062.43</v>
      </c>
      <c r="Q1120" s="53" t="n">
        <v>46061.6233680556</v>
      </c>
      <c r="R1120" s="0" t="n">
        <v>0</v>
      </c>
      <c r="S1120" s="51" t="s">
        <v>3129</v>
      </c>
      <c r="T1120" s="51" t="s">
        <v>3129</v>
      </c>
      <c r="U1120" s="51" t="s">
        <v>3503</v>
      </c>
      <c r="V1120" s="51" t="s">
        <v>2142</v>
      </c>
      <c r="W1120" s="51"/>
      <c r="X1120" s="51"/>
    </row>
    <row r="1121" customFormat="false" ht="14.25" hidden="true" customHeight="false" outlineLevel="0" collapsed="false">
      <c r="A1121" s="49" t="s">
        <v>2251</v>
      </c>
      <c r="B1121" s="49" t="s">
        <v>14</v>
      </c>
      <c r="C1121" s="49" t="s">
        <v>1103</v>
      </c>
      <c r="D1121" s="49" t="s">
        <v>2441</v>
      </c>
      <c r="E1121" s="49" t="s">
        <v>3503</v>
      </c>
      <c r="F1121" s="49" t="s">
        <v>1091</v>
      </c>
      <c r="G1121" s="49" t="n">
        <v>4</v>
      </c>
      <c r="H1121" s="0" t="n">
        <v>0</v>
      </c>
      <c r="I1121" s="51" t="s">
        <v>3509</v>
      </c>
      <c r="J1121" s="49" t="s">
        <v>3505</v>
      </c>
      <c r="K1121" s="52" t="n">
        <v>47861</v>
      </c>
      <c r="M1121" s="51" t="s">
        <v>3491</v>
      </c>
      <c r="N1121" s="49" t="n">
        <v>4</v>
      </c>
      <c r="O1121" s="53" t="n">
        <v>46061.6222916667</v>
      </c>
      <c r="P1121" s="53" t="n">
        <v>46062.429537037</v>
      </c>
      <c r="Q1121" s="53" t="n">
        <v>46061.6222916667</v>
      </c>
      <c r="R1121" s="0" t="n">
        <v>0</v>
      </c>
      <c r="S1121" s="51" t="s">
        <v>3129</v>
      </c>
      <c r="T1121" s="51" t="s">
        <v>3129</v>
      </c>
      <c r="U1121" s="51" t="s">
        <v>3503</v>
      </c>
      <c r="V1121" s="51" t="s">
        <v>2142</v>
      </c>
      <c r="W1121" s="51"/>
      <c r="X1121" s="51"/>
    </row>
    <row r="1122" customFormat="false" ht="14.25" hidden="true" customHeight="false" outlineLevel="0" collapsed="false">
      <c r="A1122" s="49" t="s">
        <v>2251</v>
      </c>
      <c r="B1122" s="49" t="s">
        <v>14</v>
      </c>
      <c r="C1122" s="49" t="s">
        <v>1105</v>
      </c>
      <c r="D1122" s="49" t="s">
        <v>2441</v>
      </c>
      <c r="E1122" s="49" t="s">
        <v>3503</v>
      </c>
      <c r="F1122" s="49" t="s">
        <v>1091</v>
      </c>
      <c r="G1122" s="49" t="n">
        <v>4</v>
      </c>
      <c r="H1122" s="0" t="n">
        <v>0</v>
      </c>
      <c r="I1122" s="51" t="s">
        <v>3510</v>
      </c>
      <c r="J1122" s="49" t="s">
        <v>3505</v>
      </c>
      <c r="K1122" s="52" t="n">
        <v>47861</v>
      </c>
      <c r="M1122" s="51" t="s">
        <v>3491</v>
      </c>
      <c r="N1122" s="49" t="n">
        <v>4</v>
      </c>
      <c r="O1122" s="53" t="n">
        <v>46061.6206481482</v>
      </c>
      <c r="P1122" s="53" t="n">
        <v>46063.5540625</v>
      </c>
      <c r="Q1122" s="53" t="n">
        <v>46061.6206481482</v>
      </c>
      <c r="R1122" s="0" t="n">
        <v>0</v>
      </c>
      <c r="S1122" s="51" t="s">
        <v>3129</v>
      </c>
      <c r="T1122" s="51" t="s">
        <v>3129</v>
      </c>
      <c r="U1122" s="51" t="s">
        <v>3503</v>
      </c>
      <c r="V1122" s="51" t="s">
        <v>2142</v>
      </c>
      <c r="W1122" s="51"/>
      <c r="X1122" s="51"/>
    </row>
    <row r="1123" customFormat="false" ht="14.25" hidden="true" customHeight="false" outlineLevel="0" collapsed="false">
      <c r="A1123" s="49" t="s">
        <v>2251</v>
      </c>
      <c r="B1123" s="49" t="s">
        <v>14</v>
      </c>
      <c r="C1123" s="49" t="s">
        <v>1107</v>
      </c>
      <c r="D1123" s="49" t="s">
        <v>2441</v>
      </c>
      <c r="E1123" s="49" t="s">
        <v>3503</v>
      </c>
      <c r="F1123" s="49" t="s">
        <v>1091</v>
      </c>
      <c r="G1123" s="49" t="n">
        <v>4</v>
      </c>
      <c r="H1123" s="0" t="n">
        <v>0</v>
      </c>
      <c r="I1123" s="51" t="s">
        <v>3511</v>
      </c>
      <c r="J1123" s="49" t="s">
        <v>3505</v>
      </c>
      <c r="K1123" s="52" t="n">
        <v>47861</v>
      </c>
      <c r="M1123" s="51" t="s">
        <v>3491</v>
      </c>
      <c r="N1123" s="49" t="n">
        <v>4</v>
      </c>
      <c r="O1123" s="53" t="n">
        <v>46061.6195833333</v>
      </c>
      <c r="P1123" s="53" t="n">
        <v>46062.4250462963</v>
      </c>
      <c r="Q1123" s="53" t="n">
        <v>46061.6195833333</v>
      </c>
      <c r="R1123" s="0" t="n">
        <v>0</v>
      </c>
      <c r="S1123" s="51" t="s">
        <v>3129</v>
      </c>
      <c r="T1123" s="51" t="s">
        <v>3129</v>
      </c>
      <c r="U1123" s="51" t="s">
        <v>3503</v>
      </c>
      <c r="V1123" s="51" t="s">
        <v>2142</v>
      </c>
      <c r="W1123" s="51"/>
      <c r="X1123" s="51"/>
    </row>
    <row r="1124" customFormat="false" ht="14.25" hidden="true" customHeight="false" outlineLevel="0" collapsed="false">
      <c r="A1124" s="49" t="s">
        <v>2251</v>
      </c>
      <c r="B1124" s="49" t="s">
        <v>14</v>
      </c>
      <c r="C1124" s="49" t="s">
        <v>1108</v>
      </c>
      <c r="D1124" s="49" t="s">
        <v>2441</v>
      </c>
      <c r="E1124" s="49" t="s">
        <v>3503</v>
      </c>
      <c r="F1124" s="49" t="s">
        <v>1091</v>
      </c>
      <c r="G1124" s="49" t="n">
        <v>4</v>
      </c>
      <c r="H1124" s="0" t="n">
        <v>0</v>
      </c>
      <c r="I1124" s="51" t="s">
        <v>3512</v>
      </c>
      <c r="J1124" s="49" t="s">
        <v>3505</v>
      </c>
      <c r="K1124" s="52" t="n">
        <v>47861</v>
      </c>
      <c r="M1124" s="51" t="s">
        <v>3491</v>
      </c>
      <c r="N1124" s="49" t="n">
        <v>4</v>
      </c>
      <c r="O1124" s="53" t="n">
        <v>46061.6184490741</v>
      </c>
      <c r="P1124" s="53" t="n">
        <v>46062.4249305556</v>
      </c>
      <c r="Q1124" s="53" t="n">
        <v>46061.6184490741</v>
      </c>
      <c r="R1124" s="0" t="n">
        <v>0</v>
      </c>
      <c r="S1124" s="51" t="s">
        <v>3129</v>
      </c>
      <c r="T1124" s="51" t="s">
        <v>3129</v>
      </c>
      <c r="U1124" s="51" t="s">
        <v>3503</v>
      </c>
      <c r="V1124" s="51" t="s">
        <v>2142</v>
      </c>
      <c r="W1124" s="51"/>
      <c r="X1124" s="51"/>
    </row>
    <row r="1125" customFormat="false" ht="14.25" hidden="true" customHeight="false" outlineLevel="0" collapsed="false">
      <c r="A1125" s="49" t="s">
        <v>2251</v>
      </c>
      <c r="B1125" s="49" t="s">
        <v>14</v>
      </c>
      <c r="C1125" s="49" t="s">
        <v>1110</v>
      </c>
      <c r="D1125" s="49" t="s">
        <v>2441</v>
      </c>
      <c r="E1125" s="49" t="s">
        <v>3503</v>
      </c>
      <c r="F1125" s="49" t="s">
        <v>1091</v>
      </c>
      <c r="G1125" s="49" t="n">
        <v>4</v>
      </c>
      <c r="H1125" s="0" t="n">
        <v>0</v>
      </c>
      <c r="I1125" s="51" t="s">
        <v>3513</v>
      </c>
      <c r="J1125" s="49" t="s">
        <v>3505</v>
      </c>
      <c r="K1125" s="52" t="n">
        <v>47861</v>
      </c>
      <c r="M1125" s="51" t="s">
        <v>3491</v>
      </c>
      <c r="N1125" s="49" t="n">
        <v>4</v>
      </c>
      <c r="O1125" s="53" t="n">
        <v>46061.6173611111</v>
      </c>
      <c r="P1125" s="53" t="n">
        <v>46062.4248726852</v>
      </c>
      <c r="Q1125" s="53" t="n">
        <v>46061.6173611111</v>
      </c>
      <c r="R1125" s="0" t="n">
        <v>0</v>
      </c>
      <c r="S1125" s="51" t="s">
        <v>3129</v>
      </c>
      <c r="T1125" s="51" t="s">
        <v>3129</v>
      </c>
      <c r="U1125" s="51" t="s">
        <v>3503</v>
      </c>
      <c r="V1125" s="51" t="s">
        <v>2142</v>
      </c>
      <c r="W1125" s="51"/>
      <c r="X1125" s="51"/>
    </row>
    <row r="1126" customFormat="false" ht="14.25" hidden="true" customHeight="false" outlineLevel="0" collapsed="false">
      <c r="A1126" s="49" t="s">
        <v>2251</v>
      </c>
      <c r="B1126" s="49" t="s">
        <v>14</v>
      </c>
      <c r="C1126" s="49" t="s">
        <v>1112</v>
      </c>
      <c r="D1126" s="49" t="s">
        <v>2441</v>
      </c>
      <c r="E1126" s="49" t="s">
        <v>3503</v>
      </c>
      <c r="F1126" s="49" t="s">
        <v>1091</v>
      </c>
      <c r="G1126" s="49" t="n">
        <v>4</v>
      </c>
      <c r="H1126" s="0" t="n">
        <v>0</v>
      </c>
      <c r="I1126" s="51" t="s">
        <v>3514</v>
      </c>
      <c r="J1126" s="49" t="s">
        <v>3505</v>
      </c>
      <c r="K1126" s="52" t="n">
        <v>47861</v>
      </c>
      <c r="M1126" s="51" t="s">
        <v>3491</v>
      </c>
      <c r="N1126" s="49" t="n">
        <v>4</v>
      </c>
      <c r="O1126" s="53" t="n">
        <v>46061.6163194444</v>
      </c>
      <c r="P1126" s="53" t="n">
        <v>46062.4247453704</v>
      </c>
      <c r="Q1126" s="53" t="n">
        <v>46061.6163194444</v>
      </c>
      <c r="R1126" s="0" t="n">
        <v>0</v>
      </c>
      <c r="S1126" s="51" t="s">
        <v>3129</v>
      </c>
      <c r="T1126" s="51" t="s">
        <v>3129</v>
      </c>
      <c r="U1126" s="51" t="s">
        <v>3503</v>
      </c>
      <c r="V1126" s="51" t="s">
        <v>2142</v>
      </c>
      <c r="W1126" s="51"/>
      <c r="X1126" s="51"/>
    </row>
    <row r="1127" customFormat="false" ht="14.25" hidden="false" customHeight="false" outlineLevel="0" collapsed="false">
      <c r="A1127" s="49" t="s">
        <v>2251</v>
      </c>
      <c r="B1127" s="49" t="s">
        <v>14</v>
      </c>
      <c r="C1127" s="49" t="s">
        <v>1114</v>
      </c>
      <c r="D1127" s="49" t="s">
        <v>2441</v>
      </c>
      <c r="E1127" s="49" t="s">
        <v>3503</v>
      </c>
      <c r="F1127" s="49" t="s">
        <v>1091</v>
      </c>
      <c r="G1127" s="49" t="n">
        <v>4</v>
      </c>
      <c r="H1127" s="0" t="n">
        <v>0</v>
      </c>
      <c r="I1127" s="51" t="s">
        <v>3515</v>
      </c>
      <c r="J1127" s="49" t="s">
        <v>3505</v>
      </c>
      <c r="K1127" s="52" t="n">
        <v>47861</v>
      </c>
      <c r="M1127" s="51" t="s">
        <v>3491</v>
      </c>
      <c r="N1127" s="0" t="n">
        <v>4</v>
      </c>
      <c r="O1127" s="53" t="n">
        <v>46061.6153009259</v>
      </c>
      <c r="P1127" s="53" t="n">
        <v>46062.4245833333</v>
      </c>
      <c r="Q1127" s="53" t="n">
        <v>46061.6153009259</v>
      </c>
      <c r="R1127" s="0" t="n">
        <v>0</v>
      </c>
      <c r="S1127" s="51" t="s">
        <v>3129</v>
      </c>
      <c r="T1127" s="51" t="s">
        <v>3129</v>
      </c>
      <c r="U1127" s="51" t="s">
        <v>3503</v>
      </c>
      <c r="V1127" s="51" t="s">
        <v>2142</v>
      </c>
      <c r="X1127" s="51"/>
    </row>
    <row r="1128" customFormat="false" ht="14.25" hidden="false" customHeight="false" outlineLevel="0" collapsed="false">
      <c r="A1128" s="49" t="s">
        <v>2251</v>
      </c>
      <c r="B1128" s="49" t="s">
        <v>14</v>
      </c>
      <c r="C1128" s="49" t="s">
        <v>1115</v>
      </c>
      <c r="D1128" s="49" t="s">
        <v>2441</v>
      </c>
      <c r="E1128" s="49" t="s">
        <v>3503</v>
      </c>
      <c r="F1128" s="49" t="s">
        <v>1091</v>
      </c>
      <c r="G1128" s="49" t="n">
        <v>4</v>
      </c>
      <c r="H1128" s="0" t="n">
        <v>0</v>
      </c>
      <c r="I1128" s="51" t="s">
        <v>3516</v>
      </c>
      <c r="J1128" s="49" t="s">
        <v>3505</v>
      </c>
      <c r="K1128" s="52" t="n">
        <v>47861</v>
      </c>
      <c r="M1128" s="51" t="s">
        <v>3491</v>
      </c>
      <c r="N1128" s="0" t="n">
        <v>4</v>
      </c>
      <c r="O1128" s="53" t="n">
        <v>46061.613599537</v>
      </c>
      <c r="P1128" s="53" t="n">
        <v>46062.4244328704</v>
      </c>
      <c r="Q1128" s="53" t="n">
        <v>46061.613599537</v>
      </c>
      <c r="R1128" s="0" t="n">
        <v>0</v>
      </c>
      <c r="S1128" s="51" t="s">
        <v>3129</v>
      </c>
      <c r="T1128" s="51" t="s">
        <v>3129</v>
      </c>
      <c r="U1128" s="51" t="s">
        <v>3503</v>
      </c>
      <c r="V1128" s="51" t="s">
        <v>2142</v>
      </c>
      <c r="W1128" s="51"/>
      <c r="X1128" s="51"/>
    </row>
    <row r="1129" customFormat="false" ht="14.25" hidden="false" customHeight="false" outlineLevel="0" collapsed="false">
      <c r="A1129" s="49" t="s">
        <v>2251</v>
      </c>
      <c r="B1129" s="49" t="s">
        <v>14</v>
      </c>
      <c r="C1129" s="49" t="s">
        <v>1116</v>
      </c>
      <c r="D1129" s="49" t="s">
        <v>2441</v>
      </c>
      <c r="E1129" s="49" t="s">
        <v>3503</v>
      </c>
      <c r="F1129" s="49" t="s">
        <v>1091</v>
      </c>
      <c r="G1129" s="49" t="n">
        <v>4</v>
      </c>
      <c r="H1129" s="0" t="n">
        <v>0</v>
      </c>
      <c r="I1129" s="51" t="s">
        <v>3517</v>
      </c>
      <c r="J1129" s="49" t="s">
        <v>3505</v>
      </c>
      <c r="K1129" s="52" t="n">
        <v>47861</v>
      </c>
      <c r="M1129" s="51" t="s">
        <v>3491</v>
      </c>
      <c r="N1129" s="0" t="n">
        <v>4</v>
      </c>
      <c r="O1129" s="53" t="n">
        <v>46061.6129050926</v>
      </c>
      <c r="P1129" s="53" t="n">
        <v>46062.4243634259</v>
      </c>
      <c r="Q1129" s="53" t="n">
        <v>46061.6129050926</v>
      </c>
      <c r="R1129" s="0" t="n">
        <v>0</v>
      </c>
      <c r="S1129" s="51" t="s">
        <v>3129</v>
      </c>
      <c r="T1129" s="51" t="s">
        <v>3129</v>
      </c>
      <c r="U1129" s="51" t="s">
        <v>3503</v>
      </c>
      <c r="V1129" s="51" t="s">
        <v>2142</v>
      </c>
      <c r="X1129" s="51"/>
    </row>
    <row r="1130" customFormat="false" ht="14.25" hidden="false" customHeight="false" outlineLevel="0" collapsed="false">
      <c r="A1130" s="49" t="s">
        <v>2251</v>
      </c>
      <c r="B1130" s="49" t="s">
        <v>14</v>
      </c>
      <c r="C1130" s="49" t="s">
        <v>1092</v>
      </c>
      <c r="D1130" s="49" t="s">
        <v>2441</v>
      </c>
      <c r="E1130" s="49" t="s">
        <v>3503</v>
      </c>
      <c r="F1130" s="49" t="s">
        <v>1091</v>
      </c>
      <c r="G1130" s="49" t="n">
        <v>4</v>
      </c>
      <c r="H1130" s="0" t="n">
        <v>0</v>
      </c>
      <c r="I1130" s="51" t="s">
        <v>3518</v>
      </c>
      <c r="J1130" s="49" t="s">
        <v>3505</v>
      </c>
      <c r="K1130" s="52" t="n">
        <v>47861</v>
      </c>
      <c r="M1130" s="51" t="s">
        <v>3491</v>
      </c>
      <c r="N1130" s="0" t="n">
        <v>4</v>
      </c>
      <c r="O1130" s="53" t="n">
        <v>46061.6114699074</v>
      </c>
      <c r="P1130" s="53" t="n">
        <v>46065.3427662037</v>
      </c>
      <c r="Q1130" s="53" t="n">
        <v>46061.6114699074</v>
      </c>
      <c r="R1130" s="0" t="n">
        <v>0</v>
      </c>
      <c r="S1130" s="51" t="s">
        <v>3129</v>
      </c>
      <c r="T1130" s="51" t="s">
        <v>3129</v>
      </c>
      <c r="U1130" s="51" t="s">
        <v>3503</v>
      </c>
      <c r="V1130" s="51" t="s">
        <v>2142</v>
      </c>
      <c r="W1130" s="51" t="s">
        <v>3519</v>
      </c>
      <c r="X1130" s="51"/>
    </row>
    <row r="1131" customFormat="false" ht="14.25" hidden="true" customHeight="false" outlineLevel="0" collapsed="false">
      <c r="A1131" s="49" t="s">
        <v>2251</v>
      </c>
      <c r="B1131" s="49" t="s">
        <v>14</v>
      </c>
      <c r="C1131" s="49" t="s">
        <v>1090</v>
      </c>
      <c r="D1131" s="49" t="s">
        <v>2441</v>
      </c>
      <c r="E1131" s="49" t="s">
        <v>3503</v>
      </c>
      <c r="F1131" s="49" t="s">
        <v>1091</v>
      </c>
      <c r="G1131" s="49" t="n">
        <v>4</v>
      </c>
      <c r="H1131" s="0" t="n">
        <v>0</v>
      </c>
      <c r="I1131" s="51" t="s">
        <v>3520</v>
      </c>
      <c r="J1131" s="49" t="s">
        <v>3505</v>
      </c>
      <c r="K1131" s="52" t="n">
        <v>47861</v>
      </c>
      <c r="M1131" s="51" t="s">
        <v>3491</v>
      </c>
      <c r="N1131" s="49" t="n">
        <v>4</v>
      </c>
      <c r="O1131" s="53" t="n">
        <v>46061.6121643519</v>
      </c>
      <c r="P1131" s="53" t="n">
        <v>46062.4242361111</v>
      </c>
      <c r="Q1131" s="53" t="n">
        <v>46061.6121643519</v>
      </c>
      <c r="R1131" s="0" t="n">
        <v>0</v>
      </c>
      <c r="S1131" s="51" t="s">
        <v>3129</v>
      </c>
      <c r="T1131" s="51" t="s">
        <v>3129</v>
      </c>
      <c r="U1131" s="51" t="s">
        <v>3503</v>
      </c>
      <c r="V1131" s="51" t="s">
        <v>2142</v>
      </c>
      <c r="W1131" s="51"/>
      <c r="X1131" s="51"/>
    </row>
    <row r="1132" customFormat="false" ht="14.25" hidden="true" customHeight="false" outlineLevel="0" collapsed="false">
      <c r="A1132" s="49" t="s">
        <v>2251</v>
      </c>
      <c r="B1132" s="49" t="s">
        <v>14</v>
      </c>
      <c r="C1132" s="49" t="s">
        <v>1032</v>
      </c>
      <c r="D1132" s="49" t="s">
        <v>2441</v>
      </c>
      <c r="E1132" s="49" t="s">
        <v>3353</v>
      </c>
      <c r="F1132" s="49" t="s">
        <v>1005</v>
      </c>
      <c r="G1132" s="49" t="n">
        <v>4</v>
      </c>
      <c r="H1132" s="0" t="n">
        <v>0</v>
      </c>
      <c r="I1132" s="51" t="s">
        <v>3521</v>
      </c>
      <c r="J1132" s="49" t="s">
        <v>3502</v>
      </c>
      <c r="K1132" s="52" t="n">
        <v>47861</v>
      </c>
      <c r="M1132" s="51" t="s">
        <v>3157</v>
      </c>
      <c r="N1132" s="49" t="n">
        <v>4</v>
      </c>
      <c r="O1132" s="53" t="n">
        <v>46060.5975115741</v>
      </c>
      <c r="P1132" s="53" t="n">
        <v>46061.4593171296</v>
      </c>
      <c r="Q1132" s="53" t="n">
        <v>46060.5975115741</v>
      </c>
      <c r="R1132" s="0" t="n">
        <v>0</v>
      </c>
      <c r="S1132" s="51" t="s">
        <v>3129</v>
      </c>
      <c r="T1132" s="51" t="s">
        <v>3129</v>
      </c>
      <c r="U1132" s="51" t="s">
        <v>3353</v>
      </c>
      <c r="V1132" s="51" t="s">
        <v>2142</v>
      </c>
      <c r="W1132" s="51"/>
      <c r="X1132" s="51"/>
    </row>
    <row r="1133" customFormat="false" ht="14.25" hidden="true" customHeight="false" outlineLevel="0" collapsed="false">
      <c r="A1133" s="49" t="s">
        <v>2251</v>
      </c>
      <c r="B1133" s="49" t="s">
        <v>14</v>
      </c>
      <c r="C1133" s="49" t="s">
        <v>1033</v>
      </c>
      <c r="D1133" s="49" t="s">
        <v>2441</v>
      </c>
      <c r="E1133" s="49" t="s">
        <v>3353</v>
      </c>
      <c r="F1133" s="49" t="s">
        <v>1005</v>
      </c>
      <c r="G1133" s="49" t="n">
        <v>4</v>
      </c>
      <c r="H1133" s="0" t="n">
        <v>0</v>
      </c>
      <c r="I1133" s="51" t="s">
        <v>3522</v>
      </c>
      <c r="J1133" s="49" t="s">
        <v>3502</v>
      </c>
      <c r="K1133" s="52" t="n">
        <v>47861</v>
      </c>
      <c r="M1133" s="51" t="s">
        <v>3157</v>
      </c>
      <c r="N1133" s="49" t="n">
        <v>4</v>
      </c>
      <c r="O1133" s="53" t="n">
        <v>46060.5961921296</v>
      </c>
      <c r="P1133" s="53" t="n">
        <v>46061.4591203704</v>
      </c>
      <c r="Q1133" s="53" t="n">
        <v>46060.5961921296</v>
      </c>
      <c r="R1133" s="0" t="n">
        <v>0</v>
      </c>
      <c r="S1133" s="51" t="s">
        <v>3129</v>
      </c>
      <c r="T1133" s="51" t="s">
        <v>3129</v>
      </c>
      <c r="U1133" s="51" t="s">
        <v>3353</v>
      </c>
      <c r="V1133" s="51" t="s">
        <v>2142</v>
      </c>
      <c r="W1133" s="51"/>
      <c r="X1133" s="51"/>
    </row>
    <row r="1134" customFormat="false" ht="14.25" hidden="true" customHeight="false" outlineLevel="0" collapsed="false">
      <c r="A1134" s="49" t="s">
        <v>2251</v>
      </c>
      <c r="B1134" s="49" t="s">
        <v>14</v>
      </c>
      <c r="C1134" s="49" t="s">
        <v>1004</v>
      </c>
      <c r="D1134" s="49" t="s">
        <v>2441</v>
      </c>
      <c r="E1134" s="49" t="s">
        <v>3353</v>
      </c>
      <c r="F1134" s="49" t="s">
        <v>1005</v>
      </c>
      <c r="G1134" s="49" t="n">
        <v>4</v>
      </c>
      <c r="H1134" s="0" t="n">
        <v>0</v>
      </c>
      <c r="I1134" s="51" t="s">
        <v>3523</v>
      </c>
      <c r="J1134" s="49" t="s">
        <v>3502</v>
      </c>
      <c r="K1134" s="52" t="n">
        <v>47861</v>
      </c>
      <c r="M1134" s="51" t="s">
        <v>3157</v>
      </c>
      <c r="N1134" s="49" t="n">
        <v>4</v>
      </c>
      <c r="O1134" s="53" t="n">
        <v>46060.5956481482</v>
      </c>
      <c r="P1134" s="53" t="n">
        <v>46061.4589467593</v>
      </c>
      <c r="Q1134" s="53" t="n">
        <v>46060.5956481482</v>
      </c>
      <c r="R1134" s="0" t="n">
        <v>0</v>
      </c>
      <c r="S1134" s="51" t="s">
        <v>3129</v>
      </c>
      <c r="T1134" s="51" t="s">
        <v>3129</v>
      </c>
      <c r="U1134" s="51" t="s">
        <v>3353</v>
      </c>
      <c r="V1134" s="51" t="s">
        <v>2142</v>
      </c>
      <c r="W1134" s="51"/>
      <c r="X1134" s="51"/>
    </row>
    <row r="1135" customFormat="false" ht="14.25" hidden="true" customHeight="false" outlineLevel="0" collapsed="false">
      <c r="A1135" s="49" t="s">
        <v>2251</v>
      </c>
      <c r="B1135" s="49" t="s">
        <v>14</v>
      </c>
      <c r="C1135" s="49" t="s">
        <v>1006</v>
      </c>
      <c r="D1135" s="49" t="s">
        <v>2441</v>
      </c>
      <c r="E1135" s="49" t="s">
        <v>3353</v>
      </c>
      <c r="F1135" s="49" t="s">
        <v>1005</v>
      </c>
      <c r="G1135" s="49" t="n">
        <v>4</v>
      </c>
      <c r="H1135" s="0" t="n">
        <v>0</v>
      </c>
      <c r="I1135" s="51" t="s">
        <v>3524</v>
      </c>
      <c r="J1135" s="49" t="s">
        <v>3502</v>
      </c>
      <c r="K1135" s="52" t="n">
        <v>47861</v>
      </c>
      <c r="M1135" s="51" t="s">
        <v>3157</v>
      </c>
      <c r="N1135" s="49" t="n">
        <v>4</v>
      </c>
      <c r="O1135" s="53" t="n">
        <v>46060.5933796296</v>
      </c>
      <c r="P1135" s="53" t="n">
        <v>46061.4585416667</v>
      </c>
      <c r="Q1135" s="53" t="n">
        <v>46060.5933796296</v>
      </c>
      <c r="R1135" s="0" t="n">
        <v>0</v>
      </c>
      <c r="S1135" s="51" t="s">
        <v>3129</v>
      </c>
      <c r="T1135" s="51" t="s">
        <v>3129</v>
      </c>
      <c r="U1135" s="51" t="s">
        <v>3353</v>
      </c>
      <c r="V1135" s="51" t="s">
        <v>2142</v>
      </c>
      <c r="W1135" s="51"/>
      <c r="X1135" s="51"/>
    </row>
    <row r="1136" customFormat="false" ht="14.25" hidden="true" customHeight="false" outlineLevel="0" collapsed="false">
      <c r="A1136" s="49" t="s">
        <v>2251</v>
      </c>
      <c r="B1136" s="49" t="s">
        <v>14</v>
      </c>
      <c r="C1136" s="49" t="s">
        <v>1008</v>
      </c>
      <c r="D1136" s="49" t="s">
        <v>2441</v>
      </c>
      <c r="E1136" s="49" t="s">
        <v>3353</v>
      </c>
      <c r="F1136" s="49" t="s">
        <v>1005</v>
      </c>
      <c r="G1136" s="49" t="n">
        <v>4</v>
      </c>
      <c r="H1136" s="0" t="n">
        <v>0</v>
      </c>
      <c r="I1136" s="51" t="s">
        <v>3525</v>
      </c>
      <c r="J1136" s="49" t="s">
        <v>3502</v>
      </c>
      <c r="K1136" s="52" t="n">
        <v>47861</v>
      </c>
      <c r="M1136" s="51" t="s">
        <v>3157</v>
      </c>
      <c r="N1136" s="49" t="n">
        <v>4</v>
      </c>
      <c r="O1136" s="53" t="n">
        <v>46060.5898148148</v>
      </c>
      <c r="P1136" s="53" t="n">
        <v>46061.4572569444</v>
      </c>
      <c r="Q1136" s="53" t="n">
        <v>46060.5898148148</v>
      </c>
      <c r="R1136" s="0" t="n">
        <v>0</v>
      </c>
      <c r="S1136" s="51" t="s">
        <v>3129</v>
      </c>
      <c r="T1136" s="51" t="s">
        <v>3129</v>
      </c>
      <c r="U1136" s="51" t="s">
        <v>3353</v>
      </c>
      <c r="V1136" s="51" t="s">
        <v>2142</v>
      </c>
      <c r="W1136" s="51"/>
      <c r="X1136" s="51"/>
    </row>
    <row r="1137" customFormat="false" ht="14.25" hidden="true" customHeight="false" outlineLevel="0" collapsed="false">
      <c r="A1137" s="49" t="s">
        <v>2251</v>
      </c>
      <c r="B1137" s="49" t="s">
        <v>14</v>
      </c>
      <c r="C1137" s="49" t="s">
        <v>1011</v>
      </c>
      <c r="D1137" s="49" t="s">
        <v>2441</v>
      </c>
      <c r="E1137" s="49" t="s">
        <v>3353</v>
      </c>
      <c r="F1137" s="49" t="s">
        <v>1005</v>
      </c>
      <c r="G1137" s="49" t="n">
        <v>4</v>
      </c>
      <c r="H1137" s="0" t="n">
        <v>0</v>
      </c>
      <c r="I1137" s="51" t="s">
        <v>3526</v>
      </c>
      <c r="J1137" s="49" t="s">
        <v>3502</v>
      </c>
      <c r="K1137" s="52" t="n">
        <v>47861</v>
      </c>
      <c r="M1137" s="51" t="s">
        <v>3157</v>
      </c>
      <c r="N1137" s="49" t="n">
        <v>4</v>
      </c>
      <c r="O1137" s="53" t="n">
        <v>46060.5881944444</v>
      </c>
      <c r="P1137" s="53" t="n">
        <v>46061.457037037</v>
      </c>
      <c r="Q1137" s="0" t="n">
        <v>46060.5881944444</v>
      </c>
      <c r="R1137" s="0" t="n">
        <v>0</v>
      </c>
      <c r="S1137" s="51" t="s">
        <v>3129</v>
      </c>
      <c r="T1137" s="51" t="s">
        <v>3129</v>
      </c>
      <c r="U1137" s="51" t="s">
        <v>3353</v>
      </c>
      <c r="V1137" s="51" t="s">
        <v>2142</v>
      </c>
    </row>
    <row r="1138" customFormat="false" ht="14.25" hidden="true" customHeight="false" outlineLevel="0" collapsed="false">
      <c r="A1138" s="49" t="s">
        <v>2251</v>
      </c>
      <c r="B1138" s="49" t="s">
        <v>14</v>
      </c>
      <c r="C1138" s="49" t="s">
        <v>1013</v>
      </c>
      <c r="D1138" s="49" t="s">
        <v>2441</v>
      </c>
      <c r="E1138" s="49" t="s">
        <v>3353</v>
      </c>
      <c r="F1138" s="49" t="s">
        <v>1005</v>
      </c>
      <c r="G1138" s="49" t="n">
        <v>4</v>
      </c>
      <c r="H1138" s="0" t="n">
        <v>0</v>
      </c>
      <c r="I1138" s="51" t="s">
        <v>3443</v>
      </c>
      <c r="J1138" s="49" t="s">
        <v>3502</v>
      </c>
      <c r="K1138" s="52" t="n">
        <v>47861</v>
      </c>
      <c r="M1138" s="51" t="s">
        <v>3157</v>
      </c>
      <c r="N1138" s="49" t="n">
        <v>4</v>
      </c>
      <c r="O1138" s="53" t="n">
        <v>46060.5858333333</v>
      </c>
      <c r="P1138" s="53" t="n">
        <v>46061.4558680556</v>
      </c>
      <c r="Q1138" s="0" t="n">
        <v>46060.5858333333</v>
      </c>
      <c r="R1138" s="0" t="n">
        <v>0</v>
      </c>
      <c r="S1138" s="51" t="s">
        <v>3129</v>
      </c>
      <c r="T1138" s="51" t="s">
        <v>3129</v>
      </c>
      <c r="U1138" s="51" t="s">
        <v>3353</v>
      </c>
      <c r="V1138" s="51" t="s">
        <v>2142</v>
      </c>
    </row>
    <row r="1139" customFormat="false" ht="14.25" hidden="true" customHeight="false" outlineLevel="0" collapsed="false">
      <c r="A1139" s="49" t="s">
        <v>2251</v>
      </c>
      <c r="B1139" s="49" t="s">
        <v>14</v>
      </c>
      <c r="C1139" s="49" t="s">
        <v>1015</v>
      </c>
      <c r="D1139" s="49" t="s">
        <v>2441</v>
      </c>
      <c r="E1139" s="49" t="s">
        <v>3353</v>
      </c>
      <c r="F1139" s="49" t="s">
        <v>1005</v>
      </c>
      <c r="G1139" s="49" t="n">
        <v>4</v>
      </c>
      <c r="H1139" s="0" t="n">
        <v>0</v>
      </c>
      <c r="I1139" s="51" t="s">
        <v>3527</v>
      </c>
      <c r="J1139" s="49" t="s">
        <v>3502</v>
      </c>
      <c r="K1139" s="52" t="n">
        <v>47861</v>
      </c>
      <c r="M1139" s="51" t="s">
        <v>3157</v>
      </c>
      <c r="N1139" s="49" t="n">
        <v>4</v>
      </c>
      <c r="O1139" s="53" t="n">
        <v>46060.5843981481</v>
      </c>
      <c r="P1139" s="53" t="n">
        <v>46061.4553472222</v>
      </c>
      <c r="Q1139" s="0" t="n">
        <v>46060.5843981481</v>
      </c>
      <c r="R1139" s="0" t="n">
        <v>0</v>
      </c>
      <c r="S1139" s="51" t="s">
        <v>3129</v>
      </c>
      <c r="T1139" s="51" t="s">
        <v>3129</v>
      </c>
      <c r="U1139" s="51" t="s">
        <v>3353</v>
      </c>
      <c r="V1139" s="51" t="s">
        <v>2142</v>
      </c>
    </row>
    <row r="1140" customFormat="false" ht="14.25" hidden="false" customHeight="false" outlineLevel="0" collapsed="false">
      <c r="A1140" s="49" t="s">
        <v>2251</v>
      </c>
      <c r="B1140" s="49" t="s">
        <v>14</v>
      </c>
      <c r="C1140" s="49" t="s">
        <v>1315</v>
      </c>
      <c r="D1140" s="49" t="s">
        <v>3528</v>
      </c>
      <c r="E1140" s="49" t="s">
        <v>3529</v>
      </c>
      <c r="F1140" s="49" t="s">
        <v>1314</v>
      </c>
      <c r="G1140" s="49" t="n">
        <v>4</v>
      </c>
      <c r="H1140" s="0" t="n">
        <v>4</v>
      </c>
      <c r="I1140" s="51" t="s">
        <v>3530</v>
      </c>
      <c r="J1140" s="49" t="s">
        <v>3531</v>
      </c>
      <c r="K1140" s="52" t="n">
        <v>47865</v>
      </c>
      <c r="M1140" s="51" t="s">
        <v>3218</v>
      </c>
      <c r="N1140" s="0" t="n">
        <v>4</v>
      </c>
      <c r="O1140" s="53" t="n">
        <v>46067.5729861111</v>
      </c>
      <c r="P1140" s="53" t="n">
        <v>46068.6416087963</v>
      </c>
      <c r="Q1140" s="53" t="n">
        <v>46067.5729861111</v>
      </c>
      <c r="R1140" s="0" t="n">
        <v>0</v>
      </c>
      <c r="S1140" s="51" t="s">
        <v>3129</v>
      </c>
      <c r="T1140" s="51" t="s">
        <v>3129</v>
      </c>
      <c r="U1140" s="51" t="s">
        <v>3529</v>
      </c>
      <c r="V1140" s="51" t="s">
        <v>2142</v>
      </c>
      <c r="W1140" s="51"/>
      <c r="X1140" s="51"/>
    </row>
    <row r="1141" customFormat="false" ht="14.25" hidden="true" customHeight="false" outlineLevel="0" collapsed="false">
      <c r="A1141" s="49" t="s">
        <v>2251</v>
      </c>
      <c r="B1141" s="49" t="s">
        <v>14</v>
      </c>
      <c r="C1141" s="49" t="s">
        <v>1313</v>
      </c>
      <c r="D1141" s="49" t="s">
        <v>3528</v>
      </c>
      <c r="E1141" s="49" t="s">
        <v>3529</v>
      </c>
      <c r="F1141" s="49" t="s">
        <v>1314</v>
      </c>
      <c r="G1141" s="49" t="n">
        <v>4</v>
      </c>
      <c r="H1141" s="0" t="n">
        <v>0</v>
      </c>
      <c r="J1141" s="49" t="s">
        <v>3531</v>
      </c>
      <c r="K1141" s="52" t="n">
        <v>47865</v>
      </c>
      <c r="M1141" s="51" t="s">
        <v>3218</v>
      </c>
      <c r="N1141" s="49" t="n">
        <v>0</v>
      </c>
      <c r="O1141" s="53" t="n">
        <v>46067.565162037</v>
      </c>
      <c r="P1141" s="53" t="n">
        <v>46068.6418287037</v>
      </c>
      <c r="Q1141" s="53" t="n">
        <v>46067.565162037</v>
      </c>
      <c r="R1141" s="0" t="n">
        <v>0</v>
      </c>
      <c r="S1141" s="51" t="s">
        <v>3129</v>
      </c>
      <c r="T1141" s="51" t="s">
        <v>3129</v>
      </c>
      <c r="U1141" s="51" t="s">
        <v>3529</v>
      </c>
      <c r="V1141" s="51" t="s">
        <v>2142</v>
      </c>
      <c r="W1141" s="51"/>
      <c r="X1141" s="51"/>
    </row>
    <row r="1142" customFormat="false" ht="14.25" hidden="false" customHeight="false" outlineLevel="0" collapsed="false">
      <c r="A1142" s="49" t="s">
        <v>2251</v>
      </c>
      <c r="B1142" s="49" t="s">
        <v>14</v>
      </c>
      <c r="C1142" s="49" t="s">
        <v>1319</v>
      </c>
      <c r="D1142" s="49" t="s">
        <v>3528</v>
      </c>
      <c r="E1142" s="49" t="s">
        <v>3529</v>
      </c>
      <c r="F1142" s="49" t="s">
        <v>1314</v>
      </c>
      <c r="G1142" s="49" t="n">
        <v>4</v>
      </c>
      <c r="H1142" s="0" t="n">
        <v>4</v>
      </c>
      <c r="I1142" s="51" t="s">
        <v>3530</v>
      </c>
      <c r="J1142" s="49" t="s">
        <v>3531</v>
      </c>
      <c r="K1142" s="52" t="n">
        <v>47865</v>
      </c>
      <c r="M1142" s="51" t="s">
        <v>3218</v>
      </c>
      <c r="N1142" s="0" t="n">
        <v>4</v>
      </c>
      <c r="O1142" s="53" t="n">
        <v>46067.5657060185</v>
      </c>
      <c r="P1142" s="53" t="n">
        <v>46068.6418287037</v>
      </c>
      <c r="Q1142" s="53" t="n">
        <v>46067.5657060185</v>
      </c>
      <c r="R1142" s="0" t="n">
        <v>0</v>
      </c>
      <c r="S1142" s="51" t="s">
        <v>3129</v>
      </c>
      <c r="T1142" s="51" t="s">
        <v>3129</v>
      </c>
      <c r="U1142" s="51" t="s">
        <v>3529</v>
      </c>
      <c r="V1142" s="51" t="s">
        <v>2142</v>
      </c>
      <c r="X1142" s="51"/>
    </row>
    <row r="1143" customFormat="false" ht="14.25" hidden="false" customHeight="false" outlineLevel="0" collapsed="false">
      <c r="A1143" s="49" t="s">
        <v>2251</v>
      </c>
      <c r="B1143" s="49" t="s">
        <v>14</v>
      </c>
      <c r="C1143" s="49" t="s">
        <v>1318</v>
      </c>
      <c r="D1143" s="49" t="s">
        <v>3528</v>
      </c>
      <c r="E1143" s="49" t="s">
        <v>3529</v>
      </c>
      <c r="F1143" s="49" t="s">
        <v>1314</v>
      </c>
      <c r="G1143" s="49" t="n">
        <v>4</v>
      </c>
      <c r="H1143" s="0" t="n">
        <v>4</v>
      </c>
      <c r="I1143" s="51" t="s">
        <v>3500</v>
      </c>
      <c r="J1143" s="49" t="s">
        <v>3531</v>
      </c>
      <c r="K1143" s="52" t="n">
        <v>47865</v>
      </c>
      <c r="M1143" s="51" t="s">
        <v>3218</v>
      </c>
      <c r="N1143" s="0" t="n">
        <v>4</v>
      </c>
      <c r="O1143" s="53" t="n">
        <v>46067.5672453704</v>
      </c>
      <c r="P1143" s="53" t="n">
        <v>46068.6416087963</v>
      </c>
      <c r="Q1143" s="53" t="n">
        <v>46067.5672453704</v>
      </c>
      <c r="R1143" s="0" t="n">
        <v>0</v>
      </c>
      <c r="S1143" s="51" t="s">
        <v>3129</v>
      </c>
      <c r="T1143" s="51" t="s">
        <v>3129</v>
      </c>
      <c r="U1143" s="51" t="s">
        <v>3529</v>
      </c>
      <c r="V1143" s="51" t="s">
        <v>2142</v>
      </c>
      <c r="X1143" s="51"/>
    </row>
    <row r="1144" customFormat="false" ht="14.25" hidden="false" customHeight="false" outlineLevel="0" collapsed="false">
      <c r="A1144" s="49" t="s">
        <v>2251</v>
      </c>
      <c r="B1144" s="49" t="s">
        <v>14</v>
      </c>
      <c r="C1144" s="49" t="s">
        <v>1317</v>
      </c>
      <c r="D1144" s="49" t="s">
        <v>3528</v>
      </c>
      <c r="E1144" s="49" t="s">
        <v>3529</v>
      </c>
      <c r="F1144" s="49" t="s">
        <v>1314</v>
      </c>
      <c r="G1144" s="49" t="n">
        <v>4</v>
      </c>
      <c r="H1144" s="0" t="n">
        <v>4</v>
      </c>
      <c r="I1144" s="51" t="s">
        <v>3530</v>
      </c>
      <c r="J1144" s="49" t="s">
        <v>3531</v>
      </c>
      <c r="K1144" s="52" t="n">
        <v>47865</v>
      </c>
      <c r="M1144" s="51" t="s">
        <v>3218</v>
      </c>
      <c r="N1144" s="0" t="n">
        <v>4</v>
      </c>
      <c r="O1144" s="53" t="n">
        <v>46067.5705555556</v>
      </c>
      <c r="P1144" s="53" t="n">
        <v>46068.6416087963</v>
      </c>
      <c r="Q1144" s="53" t="n">
        <v>46067.5705555556</v>
      </c>
      <c r="R1144" s="0" t="n">
        <v>0</v>
      </c>
      <c r="S1144" s="51" t="s">
        <v>3129</v>
      </c>
      <c r="T1144" s="51" t="s">
        <v>3129</v>
      </c>
      <c r="U1144" s="51" t="s">
        <v>3529</v>
      </c>
      <c r="V1144" s="51" t="s">
        <v>2142</v>
      </c>
      <c r="W1144" s="51"/>
      <c r="X1144" s="51"/>
    </row>
    <row r="1145" customFormat="false" ht="14.25" hidden="false" customHeight="false" outlineLevel="0" collapsed="false">
      <c r="A1145" s="49" t="s">
        <v>2251</v>
      </c>
      <c r="B1145" s="49" t="s">
        <v>14</v>
      </c>
      <c r="C1145" s="49" t="s">
        <v>1316</v>
      </c>
      <c r="D1145" s="49" t="s">
        <v>3528</v>
      </c>
      <c r="E1145" s="49" t="s">
        <v>3529</v>
      </c>
      <c r="F1145" s="49" t="s">
        <v>1314</v>
      </c>
      <c r="G1145" s="49" t="n">
        <v>4</v>
      </c>
      <c r="H1145" s="0" t="n">
        <v>4</v>
      </c>
      <c r="I1145" s="51" t="s">
        <v>3530</v>
      </c>
      <c r="J1145" s="49" t="s">
        <v>3531</v>
      </c>
      <c r="K1145" s="52" t="n">
        <v>47865</v>
      </c>
      <c r="M1145" s="51" t="s">
        <v>3218</v>
      </c>
      <c r="N1145" s="0" t="n">
        <v>4</v>
      </c>
      <c r="O1145" s="53" t="n">
        <v>46067.5724421296</v>
      </c>
      <c r="P1145" s="53" t="n">
        <v>46068.6418287037</v>
      </c>
      <c r="Q1145" s="53" t="n">
        <v>46067.5724421296</v>
      </c>
      <c r="R1145" s="0" t="n">
        <v>0</v>
      </c>
      <c r="S1145" s="51" t="s">
        <v>3129</v>
      </c>
      <c r="T1145" s="51" t="s">
        <v>3129</v>
      </c>
      <c r="U1145" s="51" t="s">
        <v>3529</v>
      </c>
      <c r="V1145" s="51" t="s">
        <v>2142</v>
      </c>
      <c r="W1145" s="51"/>
      <c r="X1145" s="51"/>
    </row>
    <row r="1146" customFormat="false" ht="14.25" hidden="true" customHeight="false" outlineLevel="0" collapsed="false">
      <c r="A1146" s="49" t="s">
        <v>2251</v>
      </c>
      <c r="B1146" s="49" t="s">
        <v>14</v>
      </c>
      <c r="C1146" s="49" t="s">
        <v>868</v>
      </c>
      <c r="D1146" s="49" t="s">
        <v>2441</v>
      </c>
      <c r="E1146" s="49" t="s">
        <v>2214</v>
      </c>
      <c r="F1146" s="49" t="s">
        <v>594</v>
      </c>
      <c r="G1146" s="49" t="n">
        <v>4</v>
      </c>
      <c r="H1146" s="0" t="n">
        <v>0</v>
      </c>
      <c r="I1146" s="51" t="s">
        <v>3532</v>
      </c>
      <c r="J1146" s="49" t="s">
        <v>2217</v>
      </c>
      <c r="K1146" s="52" t="n">
        <v>47867</v>
      </c>
      <c r="M1146" s="51" t="s">
        <v>3408</v>
      </c>
      <c r="N1146" s="49" t="n">
        <v>4</v>
      </c>
      <c r="O1146" s="53" t="n">
        <v>46058.4411689815</v>
      </c>
      <c r="P1146" s="53" t="n">
        <v>46058.6097453704</v>
      </c>
      <c r="Q1146" s="53" t="n">
        <v>46058.4411689815</v>
      </c>
      <c r="R1146" s="0" t="n">
        <v>0</v>
      </c>
      <c r="S1146" s="51" t="s">
        <v>3129</v>
      </c>
      <c r="T1146" s="51" t="s">
        <v>3129</v>
      </c>
      <c r="U1146" s="51" t="s">
        <v>2214</v>
      </c>
      <c r="V1146" s="51" t="s">
        <v>2142</v>
      </c>
      <c r="W1146" s="51"/>
      <c r="X1146" s="51"/>
    </row>
    <row r="1147" customFormat="false" ht="14.25" hidden="true" customHeight="false" outlineLevel="0" collapsed="false">
      <c r="A1147" s="49" t="s">
        <v>2251</v>
      </c>
      <c r="B1147" s="49" t="s">
        <v>14</v>
      </c>
      <c r="C1147" s="49" t="s">
        <v>938</v>
      </c>
      <c r="D1147" s="49" t="s">
        <v>2441</v>
      </c>
      <c r="E1147" s="49" t="s">
        <v>2214</v>
      </c>
      <c r="F1147" s="49" t="s">
        <v>594</v>
      </c>
      <c r="G1147" s="49" t="n">
        <v>4</v>
      </c>
      <c r="H1147" s="0" t="n">
        <v>0</v>
      </c>
      <c r="I1147" s="51" t="s">
        <v>3533</v>
      </c>
      <c r="J1147" s="49" t="s">
        <v>3534</v>
      </c>
      <c r="K1147" s="52" t="n">
        <v>47867</v>
      </c>
      <c r="M1147" s="51" t="s">
        <v>3222</v>
      </c>
      <c r="N1147" s="49" t="n">
        <v>4</v>
      </c>
      <c r="O1147" s="53" t="n">
        <v>46060.343275463</v>
      </c>
      <c r="P1147" s="53" t="n">
        <v>46060.4444560185</v>
      </c>
      <c r="Q1147" s="53" t="n">
        <v>46060.343275463</v>
      </c>
      <c r="R1147" s="0" t="n">
        <v>0</v>
      </c>
      <c r="S1147" s="51" t="s">
        <v>3129</v>
      </c>
      <c r="T1147" s="51" t="s">
        <v>3129</v>
      </c>
      <c r="U1147" s="51" t="s">
        <v>2214</v>
      </c>
      <c r="V1147" s="51" t="s">
        <v>2142</v>
      </c>
      <c r="W1147" s="51"/>
      <c r="X1147" s="51"/>
    </row>
    <row r="1148" customFormat="false" ht="14.25" hidden="true" customHeight="false" outlineLevel="0" collapsed="false">
      <c r="A1148" s="49" t="s">
        <v>2251</v>
      </c>
      <c r="B1148" s="49" t="s">
        <v>14</v>
      </c>
      <c r="C1148" s="49" t="s">
        <v>935</v>
      </c>
      <c r="D1148" s="49" t="s">
        <v>2441</v>
      </c>
      <c r="E1148" s="49" t="s">
        <v>2214</v>
      </c>
      <c r="F1148" s="49" t="s">
        <v>594</v>
      </c>
      <c r="G1148" s="49" t="n">
        <v>4</v>
      </c>
      <c r="H1148" s="0" t="n">
        <v>0</v>
      </c>
      <c r="I1148" s="51" t="s">
        <v>3535</v>
      </c>
      <c r="J1148" s="49" t="s">
        <v>3534</v>
      </c>
      <c r="K1148" s="52" t="n">
        <v>47867</v>
      </c>
      <c r="M1148" s="51" t="s">
        <v>3222</v>
      </c>
      <c r="N1148" s="49" t="n">
        <v>4</v>
      </c>
      <c r="O1148" s="53" t="n">
        <v>46060.3443171296</v>
      </c>
      <c r="P1148" s="53" t="n">
        <v>46060.4428125</v>
      </c>
      <c r="Q1148" s="53" t="n">
        <v>46060.3443171296</v>
      </c>
      <c r="R1148" s="0" t="n">
        <v>0</v>
      </c>
      <c r="S1148" s="51" t="s">
        <v>3129</v>
      </c>
      <c r="T1148" s="51" t="s">
        <v>3129</v>
      </c>
      <c r="U1148" s="51" t="s">
        <v>2214</v>
      </c>
      <c r="V1148" s="51" t="s">
        <v>2142</v>
      </c>
      <c r="W1148" s="51"/>
      <c r="X1148" s="51"/>
    </row>
    <row r="1149" customFormat="false" ht="14.25" hidden="true" customHeight="false" outlineLevel="0" collapsed="false">
      <c r="A1149" s="49" t="s">
        <v>2251</v>
      </c>
      <c r="B1149" s="49" t="s">
        <v>14</v>
      </c>
      <c r="C1149" s="49" t="s">
        <v>933</v>
      </c>
      <c r="D1149" s="49" t="s">
        <v>2441</v>
      </c>
      <c r="E1149" s="49" t="s">
        <v>2214</v>
      </c>
      <c r="F1149" s="49" t="s">
        <v>594</v>
      </c>
      <c r="G1149" s="49" t="n">
        <v>4</v>
      </c>
      <c r="H1149" s="0" t="n">
        <v>0</v>
      </c>
      <c r="I1149" s="51" t="s">
        <v>3536</v>
      </c>
      <c r="J1149" s="49" t="s">
        <v>3534</v>
      </c>
      <c r="K1149" s="52" t="n">
        <v>47867</v>
      </c>
      <c r="M1149" s="51" t="s">
        <v>3222</v>
      </c>
      <c r="N1149" s="49" t="n">
        <v>4</v>
      </c>
      <c r="O1149" s="53" t="n">
        <v>46060.3448842593</v>
      </c>
      <c r="P1149" s="53" t="n">
        <v>46060.4403009259</v>
      </c>
      <c r="Q1149" s="53" t="n">
        <v>46060.3448842593</v>
      </c>
      <c r="R1149" s="0" t="n">
        <v>0</v>
      </c>
      <c r="S1149" s="51" t="s">
        <v>3129</v>
      </c>
      <c r="T1149" s="51" t="s">
        <v>3129</v>
      </c>
      <c r="U1149" s="51" t="s">
        <v>2214</v>
      </c>
      <c r="V1149" s="51" t="s">
        <v>2142</v>
      </c>
      <c r="W1149" s="51"/>
      <c r="X1149" s="51"/>
    </row>
    <row r="1150" customFormat="false" ht="14.25" hidden="true" customHeight="false" outlineLevel="0" collapsed="false">
      <c r="A1150" s="49" t="s">
        <v>2251</v>
      </c>
      <c r="B1150" s="49" t="s">
        <v>14</v>
      </c>
      <c r="C1150" s="49" t="s">
        <v>934</v>
      </c>
      <c r="D1150" s="49" t="s">
        <v>2441</v>
      </c>
      <c r="E1150" s="49" t="s">
        <v>2214</v>
      </c>
      <c r="F1150" s="49" t="s">
        <v>594</v>
      </c>
      <c r="G1150" s="49" t="n">
        <v>4</v>
      </c>
      <c r="H1150" s="0" t="n">
        <v>0</v>
      </c>
      <c r="I1150" s="51" t="s">
        <v>3537</v>
      </c>
      <c r="J1150" s="49" t="s">
        <v>3534</v>
      </c>
      <c r="K1150" s="52" t="n">
        <v>47867</v>
      </c>
      <c r="M1150" s="51" t="s">
        <v>3222</v>
      </c>
      <c r="N1150" s="49" t="n">
        <v>4</v>
      </c>
      <c r="O1150" s="53" t="n">
        <v>46060.3455671296</v>
      </c>
      <c r="P1150" s="53" t="n">
        <v>46060.4390277778</v>
      </c>
      <c r="Q1150" s="53" t="n">
        <v>46060.3455671296</v>
      </c>
      <c r="R1150" s="0" t="n">
        <v>0</v>
      </c>
      <c r="S1150" s="51" t="s">
        <v>3129</v>
      </c>
      <c r="T1150" s="51" t="s">
        <v>3129</v>
      </c>
      <c r="U1150" s="51" t="s">
        <v>2214</v>
      </c>
      <c r="V1150" s="51" t="s">
        <v>2142</v>
      </c>
      <c r="W1150" s="51"/>
      <c r="X1150" s="51"/>
    </row>
    <row r="1151" customFormat="false" ht="14.25" hidden="true" customHeight="false" outlineLevel="0" collapsed="false">
      <c r="A1151" s="49" t="s">
        <v>2251</v>
      </c>
      <c r="B1151" s="49" t="s">
        <v>14</v>
      </c>
      <c r="C1151" s="49" t="s">
        <v>932</v>
      </c>
      <c r="D1151" s="49" t="s">
        <v>2441</v>
      </c>
      <c r="E1151" s="49" t="s">
        <v>2214</v>
      </c>
      <c r="F1151" s="49" t="s">
        <v>594</v>
      </c>
      <c r="G1151" s="49" t="n">
        <v>4</v>
      </c>
      <c r="H1151" s="0" t="n">
        <v>0</v>
      </c>
      <c r="I1151" s="51" t="s">
        <v>3538</v>
      </c>
      <c r="J1151" s="49" t="s">
        <v>3534</v>
      </c>
      <c r="K1151" s="52" t="n">
        <v>47867</v>
      </c>
      <c r="M1151" s="51" t="s">
        <v>3222</v>
      </c>
      <c r="N1151" s="49" t="n">
        <v>4</v>
      </c>
      <c r="O1151" s="53" t="n">
        <v>46060.3460763889</v>
      </c>
      <c r="P1151" s="53" t="n">
        <v>46063.5503703704</v>
      </c>
      <c r="Q1151" s="53" t="n">
        <v>46060.3460763889</v>
      </c>
      <c r="R1151" s="0" t="n">
        <v>0</v>
      </c>
      <c r="S1151" s="51" t="s">
        <v>3129</v>
      </c>
      <c r="T1151" s="51" t="s">
        <v>3129</v>
      </c>
      <c r="U1151" s="51" t="s">
        <v>2214</v>
      </c>
      <c r="V1151" s="51" t="s">
        <v>2142</v>
      </c>
      <c r="W1151" s="51" t="s">
        <v>3536</v>
      </c>
      <c r="X1151" s="51"/>
    </row>
    <row r="1152" customFormat="false" ht="14.25" hidden="true" customHeight="false" outlineLevel="0" collapsed="false">
      <c r="A1152" s="49" t="s">
        <v>2251</v>
      </c>
      <c r="B1152" s="49" t="s">
        <v>14</v>
      </c>
      <c r="C1152" s="49" t="s">
        <v>930</v>
      </c>
      <c r="D1152" s="49" t="s">
        <v>2441</v>
      </c>
      <c r="E1152" s="49" t="s">
        <v>2214</v>
      </c>
      <c r="F1152" s="49" t="s">
        <v>594</v>
      </c>
      <c r="G1152" s="49" t="n">
        <v>4</v>
      </c>
      <c r="H1152" s="0" t="n">
        <v>0</v>
      </c>
      <c r="I1152" s="51" t="s">
        <v>3539</v>
      </c>
      <c r="J1152" s="49" t="s">
        <v>3534</v>
      </c>
      <c r="K1152" s="52" t="n">
        <v>47867</v>
      </c>
      <c r="M1152" s="51" t="s">
        <v>3222</v>
      </c>
      <c r="N1152" s="49" t="n">
        <v>4</v>
      </c>
      <c r="O1152" s="53" t="n">
        <v>46060.3465162037</v>
      </c>
      <c r="P1152" s="53" t="n">
        <v>46060.4229398148</v>
      </c>
      <c r="Q1152" s="53" t="n">
        <v>46060.3465162037</v>
      </c>
      <c r="R1152" s="0" t="n">
        <v>0</v>
      </c>
      <c r="S1152" s="51" t="s">
        <v>3129</v>
      </c>
      <c r="T1152" s="51" t="s">
        <v>3129</v>
      </c>
      <c r="U1152" s="51" t="s">
        <v>2214</v>
      </c>
      <c r="V1152" s="51" t="s">
        <v>2142</v>
      </c>
      <c r="W1152" s="51"/>
      <c r="X1152" s="51"/>
    </row>
    <row r="1153" customFormat="false" ht="14.25" hidden="false" customHeight="false" outlineLevel="0" collapsed="false">
      <c r="A1153" s="49" t="s">
        <v>2251</v>
      </c>
      <c r="B1153" s="49" t="s">
        <v>14</v>
      </c>
      <c r="C1153" s="49" t="s">
        <v>931</v>
      </c>
      <c r="D1153" s="49" t="s">
        <v>2441</v>
      </c>
      <c r="E1153" s="49" t="s">
        <v>2214</v>
      </c>
      <c r="F1153" s="49" t="s">
        <v>594</v>
      </c>
      <c r="G1153" s="49" t="n">
        <v>4</v>
      </c>
      <c r="H1153" s="0" t="n">
        <v>0</v>
      </c>
      <c r="I1153" s="51" t="s">
        <v>3540</v>
      </c>
      <c r="J1153" s="49" t="s">
        <v>3534</v>
      </c>
      <c r="K1153" s="52" t="n">
        <v>47867</v>
      </c>
      <c r="M1153" s="51" t="s">
        <v>3222</v>
      </c>
      <c r="N1153" s="0" t="n">
        <v>4</v>
      </c>
      <c r="O1153" s="53" t="n">
        <v>46060.3472800926</v>
      </c>
      <c r="P1153" s="53" t="n">
        <v>46060.4216319444</v>
      </c>
      <c r="Q1153" s="53" t="n">
        <v>46060.3472800926</v>
      </c>
      <c r="R1153" s="0" t="n">
        <v>0</v>
      </c>
      <c r="S1153" s="51" t="s">
        <v>3129</v>
      </c>
      <c r="T1153" s="51" t="s">
        <v>3129</v>
      </c>
      <c r="U1153" s="51" t="s">
        <v>2214</v>
      </c>
      <c r="V1153" s="51" t="s">
        <v>2142</v>
      </c>
      <c r="W1153" s="51"/>
      <c r="X1153" s="51"/>
    </row>
    <row r="1154" customFormat="false" ht="14.25" hidden="true" customHeight="false" outlineLevel="0" collapsed="false">
      <c r="A1154" s="49" t="s">
        <v>2251</v>
      </c>
      <c r="B1154" s="49" t="s">
        <v>14</v>
      </c>
      <c r="C1154" s="49" t="s">
        <v>929</v>
      </c>
      <c r="D1154" s="49" t="s">
        <v>2441</v>
      </c>
      <c r="E1154" s="49" t="s">
        <v>2214</v>
      </c>
      <c r="F1154" s="49" t="s">
        <v>594</v>
      </c>
      <c r="G1154" s="49" t="n">
        <v>4</v>
      </c>
      <c r="H1154" s="0" t="n">
        <v>0</v>
      </c>
      <c r="I1154" s="51" t="s">
        <v>3541</v>
      </c>
      <c r="J1154" s="49" t="s">
        <v>3534</v>
      </c>
      <c r="K1154" s="52" t="n">
        <v>47867</v>
      </c>
      <c r="M1154" s="51" t="s">
        <v>3222</v>
      </c>
      <c r="N1154" s="49" t="n">
        <v>4</v>
      </c>
      <c r="O1154" s="53" t="n">
        <v>46060.3478587963</v>
      </c>
      <c r="P1154" s="53" t="n">
        <v>46060.4193634259</v>
      </c>
      <c r="Q1154" s="53" t="n">
        <v>46060.3478587963</v>
      </c>
      <c r="R1154" s="0" t="n">
        <v>0</v>
      </c>
      <c r="S1154" s="51" t="s">
        <v>3129</v>
      </c>
      <c r="T1154" s="51" t="s">
        <v>3129</v>
      </c>
      <c r="U1154" s="51" t="s">
        <v>2214</v>
      </c>
      <c r="V1154" s="51" t="s">
        <v>2142</v>
      </c>
      <c r="W1154" s="51"/>
      <c r="X1154" s="51"/>
    </row>
    <row r="1155" customFormat="false" ht="14.25" hidden="false" customHeight="false" outlineLevel="0" collapsed="false">
      <c r="A1155" s="49" t="s">
        <v>2251</v>
      </c>
      <c r="B1155" s="49" t="s">
        <v>14</v>
      </c>
      <c r="C1155" s="49" t="s">
        <v>927</v>
      </c>
      <c r="D1155" s="49" t="s">
        <v>2441</v>
      </c>
      <c r="E1155" s="49" t="s">
        <v>2214</v>
      </c>
      <c r="F1155" s="49" t="s">
        <v>594</v>
      </c>
      <c r="G1155" s="49" t="n">
        <v>4</v>
      </c>
      <c r="H1155" s="0" t="n">
        <v>0</v>
      </c>
      <c r="I1155" s="51" t="s">
        <v>3542</v>
      </c>
      <c r="J1155" s="49" t="s">
        <v>3534</v>
      </c>
      <c r="K1155" s="52" t="n">
        <v>47867</v>
      </c>
      <c r="M1155" s="51" t="s">
        <v>3222</v>
      </c>
      <c r="N1155" s="0" t="n">
        <v>4</v>
      </c>
      <c r="O1155" s="53" t="n">
        <v>46060.3484027778</v>
      </c>
      <c r="P1155" s="53" t="n">
        <v>46060.4179398148</v>
      </c>
      <c r="Q1155" s="53" t="n">
        <v>46060.3484027778</v>
      </c>
      <c r="R1155" s="0" t="n">
        <v>0</v>
      </c>
      <c r="S1155" s="51" t="s">
        <v>3129</v>
      </c>
      <c r="T1155" s="51" t="s">
        <v>3129</v>
      </c>
      <c r="U1155" s="51" t="s">
        <v>2214</v>
      </c>
      <c r="V1155" s="51" t="s">
        <v>2142</v>
      </c>
      <c r="X1155" s="51"/>
    </row>
    <row r="1156" customFormat="false" ht="14.25" hidden="false" customHeight="false" outlineLevel="0" collapsed="false">
      <c r="A1156" s="49" t="s">
        <v>2251</v>
      </c>
      <c r="B1156" s="49" t="s">
        <v>14</v>
      </c>
      <c r="C1156" s="49" t="s">
        <v>928</v>
      </c>
      <c r="D1156" s="49" t="s">
        <v>2441</v>
      </c>
      <c r="E1156" s="49" t="s">
        <v>2214</v>
      </c>
      <c r="F1156" s="49" t="s">
        <v>594</v>
      </c>
      <c r="G1156" s="49" t="n">
        <v>4</v>
      </c>
      <c r="H1156" s="0" t="n">
        <v>0</v>
      </c>
      <c r="I1156" s="51" t="s">
        <v>3543</v>
      </c>
      <c r="J1156" s="49" t="s">
        <v>3534</v>
      </c>
      <c r="K1156" s="52" t="n">
        <v>47867</v>
      </c>
      <c r="M1156" s="51" t="s">
        <v>3222</v>
      </c>
      <c r="N1156" s="0" t="n">
        <v>4</v>
      </c>
      <c r="O1156" s="53" t="n">
        <v>46060.3489583333</v>
      </c>
      <c r="P1156" s="53" t="n">
        <v>46060.4164930556</v>
      </c>
      <c r="Q1156" s="53" t="n">
        <v>46060.3489583333</v>
      </c>
      <c r="R1156" s="0" t="n">
        <v>0</v>
      </c>
      <c r="S1156" s="51" t="s">
        <v>3129</v>
      </c>
      <c r="T1156" s="51" t="s">
        <v>3129</v>
      </c>
      <c r="U1156" s="51" t="s">
        <v>2214</v>
      </c>
      <c r="V1156" s="51" t="s">
        <v>2142</v>
      </c>
      <c r="W1156" s="51"/>
      <c r="X1156" s="51"/>
    </row>
    <row r="1157" customFormat="false" ht="14.25" hidden="false" customHeight="false" outlineLevel="0" collapsed="false">
      <c r="A1157" s="49" t="s">
        <v>2251</v>
      </c>
      <c r="B1157" s="49" t="s">
        <v>14</v>
      </c>
      <c r="C1157" s="49" t="s">
        <v>926</v>
      </c>
      <c r="D1157" s="49" t="s">
        <v>2441</v>
      </c>
      <c r="E1157" s="49" t="s">
        <v>2214</v>
      </c>
      <c r="F1157" s="49" t="s">
        <v>594</v>
      </c>
      <c r="G1157" s="49" t="n">
        <v>4</v>
      </c>
      <c r="H1157" s="0" t="n">
        <v>0</v>
      </c>
      <c r="I1157" s="51" t="s">
        <v>3544</v>
      </c>
      <c r="J1157" s="49" t="s">
        <v>3534</v>
      </c>
      <c r="K1157" s="52" t="n">
        <v>47867</v>
      </c>
      <c r="M1157" s="51" t="s">
        <v>3222</v>
      </c>
      <c r="N1157" s="0" t="n">
        <v>4</v>
      </c>
      <c r="O1157" s="53" t="n">
        <v>46060.3494791667</v>
      </c>
      <c r="P1157" s="53" t="n">
        <v>46060.4140972222</v>
      </c>
      <c r="Q1157" s="53" t="n">
        <v>46060.3494791667</v>
      </c>
      <c r="R1157" s="0" t="n">
        <v>0</v>
      </c>
      <c r="S1157" s="51" t="s">
        <v>3129</v>
      </c>
      <c r="T1157" s="51" t="s">
        <v>3129</v>
      </c>
      <c r="U1157" s="51" t="s">
        <v>2214</v>
      </c>
      <c r="V1157" s="51" t="s">
        <v>2142</v>
      </c>
      <c r="W1157" s="51"/>
      <c r="X1157" s="51"/>
    </row>
    <row r="1158" customFormat="false" ht="14.25" hidden="false" customHeight="false" outlineLevel="0" collapsed="false">
      <c r="A1158" s="49" t="s">
        <v>2251</v>
      </c>
      <c r="B1158" s="49" t="s">
        <v>14</v>
      </c>
      <c r="C1158" s="49" t="s">
        <v>925</v>
      </c>
      <c r="D1158" s="49" t="s">
        <v>2441</v>
      </c>
      <c r="E1158" s="49" t="s">
        <v>2214</v>
      </c>
      <c r="F1158" s="49" t="s">
        <v>594</v>
      </c>
      <c r="G1158" s="49" t="n">
        <v>4</v>
      </c>
      <c r="H1158" s="0" t="n">
        <v>0</v>
      </c>
      <c r="I1158" s="51" t="s">
        <v>3545</v>
      </c>
      <c r="J1158" s="49" t="s">
        <v>3534</v>
      </c>
      <c r="K1158" s="52" t="n">
        <v>47867</v>
      </c>
      <c r="M1158" s="51" t="s">
        <v>3222</v>
      </c>
      <c r="N1158" s="0" t="n">
        <v>4</v>
      </c>
      <c r="O1158" s="53" t="n">
        <v>46060.3500810185</v>
      </c>
      <c r="P1158" s="53" t="n">
        <v>46060.4126041667</v>
      </c>
      <c r="Q1158" s="53" t="n">
        <v>46060.3500810185</v>
      </c>
      <c r="R1158" s="0" t="n">
        <v>0</v>
      </c>
      <c r="S1158" s="51" t="s">
        <v>3129</v>
      </c>
      <c r="T1158" s="51" t="s">
        <v>3129</v>
      </c>
      <c r="U1158" s="51" t="s">
        <v>2214</v>
      </c>
      <c r="V1158" s="51" t="s">
        <v>2142</v>
      </c>
      <c r="W1158" s="51"/>
      <c r="X1158" s="51"/>
    </row>
    <row r="1159" customFormat="false" ht="14.25" hidden="false" customHeight="false" outlineLevel="0" collapsed="false">
      <c r="A1159" s="49" t="s">
        <v>2251</v>
      </c>
      <c r="B1159" s="49" t="s">
        <v>14</v>
      </c>
      <c r="C1159" s="49" t="s">
        <v>924</v>
      </c>
      <c r="D1159" s="49" t="s">
        <v>2441</v>
      </c>
      <c r="E1159" s="49" t="s">
        <v>2214</v>
      </c>
      <c r="F1159" s="49" t="s">
        <v>594</v>
      </c>
      <c r="G1159" s="49" t="n">
        <v>4</v>
      </c>
      <c r="H1159" s="0" t="n">
        <v>0</v>
      </c>
      <c r="I1159" s="51" t="s">
        <v>3546</v>
      </c>
      <c r="J1159" s="49" t="s">
        <v>3534</v>
      </c>
      <c r="K1159" s="52" t="n">
        <v>47867</v>
      </c>
      <c r="M1159" s="51" t="s">
        <v>3222</v>
      </c>
      <c r="N1159" s="0" t="n">
        <v>4</v>
      </c>
      <c r="O1159" s="53" t="n">
        <v>46060.3505439815</v>
      </c>
      <c r="P1159" s="53" t="n">
        <v>46060.4106134259</v>
      </c>
      <c r="Q1159" s="53" t="n">
        <v>46060.3505439815</v>
      </c>
      <c r="R1159" s="0" t="n">
        <v>0</v>
      </c>
      <c r="S1159" s="51" t="s">
        <v>3129</v>
      </c>
      <c r="T1159" s="51" t="s">
        <v>3129</v>
      </c>
      <c r="U1159" s="51" t="s">
        <v>2214</v>
      </c>
      <c r="V1159" s="51" t="s">
        <v>2142</v>
      </c>
      <c r="X1159" s="51"/>
    </row>
    <row r="1160" customFormat="false" ht="14.25" hidden="false" customHeight="false" outlineLevel="0" collapsed="false">
      <c r="A1160" s="49" t="s">
        <v>2251</v>
      </c>
      <c r="B1160" s="49" t="s">
        <v>14</v>
      </c>
      <c r="C1160" s="49" t="s">
        <v>923</v>
      </c>
      <c r="D1160" s="49" t="s">
        <v>2441</v>
      </c>
      <c r="E1160" s="49" t="s">
        <v>2214</v>
      </c>
      <c r="F1160" s="49" t="s">
        <v>594</v>
      </c>
      <c r="G1160" s="49" t="n">
        <v>4</v>
      </c>
      <c r="H1160" s="0" t="n">
        <v>0</v>
      </c>
      <c r="I1160" s="51" t="s">
        <v>3547</v>
      </c>
      <c r="J1160" s="49" t="s">
        <v>3534</v>
      </c>
      <c r="K1160" s="52" t="n">
        <v>47867</v>
      </c>
      <c r="M1160" s="51" t="s">
        <v>3222</v>
      </c>
      <c r="N1160" s="0" t="n">
        <v>4</v>
      </c>
      <c r="O1160" s="53" t="n">
        <v>46060.3509953704</v>
      </c>
      <c r="P1160" s="53" t="n">
        <v>46060.4737731482</v>
      </c>
      <c r="Q1160" s="53" t="n">
        <v>46060.3509953704</v>
      </c>
      <c r="R1160" s="0" t="n">
        <v>0</v>
      </c>
      <c r="S1160" s="51" t="s">
        <v>3129</v>
      </c>
      <c r="T1160" s="51" t="s">
        <v>3129</v>
      </c>
      <c r="U1160" s="51" t="s">
        <v>2214</v>
      </c>
      <c r="V1160" s="51" t="s">
        <v>2142</v>
      </c>
      <c r="W1160" s="51"/>
      <c r="X1160" s="51"/>
    </row>
    <row r="1161" customFormat="false" ht="14.25" hidden="true" customHeight="false" outlineLevel="0" collapsed="false">
      <c r="A1161" s="49" t="s">
        <v>2251</v>
      </c>
      <c r="B1161" s="49" t="s">
        <v>14</v>
      </c>
      <c r="C1161" s="49" t="s">
        <v>922</v>
      </c>
      <c r="D1161" s="49" t="s">
        <v>2441</v>
      </c>
      <c r="E1161" s="49" t="s">
        <v>2214</v>
      </c>
      <c r="F1161" s="49" t="s">
        <v>594</v>
      </c>
      <c r="G1161" s="49" t="n">
        <v>4</v>
      </c>
      <c r="H1161" s="0" t="n">
        <v>0</v>
      </c>
      <c r="I1161" s="51" t="s">
        <v>3548</v>
      </c>
      <c r="J1161" s="49" t="s">
        <v>3534</v>
      </c>
      <c r="K1161" s="52" t="n">
        <v>47867</v>
      </c>
      <c r="M1161" s="51" t="s">
        <v>3222</v>
      </c>
      <c r="N1161" s="49" t="n">
        <v>4</v>
      </c>
      <c r="O1161" s="53" t="n">
        <v>46060.3515972222</v>
      </c>
      <c r="P1161" s="53" t="n">
        <v>46060.4755092593</v>
      </c>
      <c r="Q1161" s="53" t="n">
        <v>46060.3515972222</v>
      </c>
      <c r="R1161" s="0" t="n">
        <v>0</v>
      </c>
      <c r="S1161" s="51" t="s">
        <v>3129</v>
      </c>
      <c r="T1161" s="51" t="s">
        <v>3129</v>
      </c>
      <c r="U1161" s="51" t="s">
        <v>2214</v>
      </c>
      <c r="V1161" s="51" t="s">
        <v>2142</v>
      </c>
      <c r="W1161" s="51"/>
      <c r="X1161" s="51"/>
    </row>
    <row r="1162" customFormat="false" ht="14.25" hidden="false" customHeight="false" outlineLevel="0" collapsed="false">
      <c r="A1162" s="49" t="s">
        <v>2251</v>
      </c>
      <c r="B1162" s="49" t="s">
        <v>14</v>
      </c>
      <c r="C1162" s="49" t="s">
        <v>921</v>
      </c>
      <c r="D1162" s="49" t="s">
        <v>2441</v>
      </c>
      <c r="E1162" s="49" t="s">
        <v>2214</v>
      </c>
      <c r="F1162" s="49" t="s">
        <v>594</v>
      </c>
      <c r="G1162" s="49" t="n">
        <v>4</v>
      </c>
      <c r="H1162" s="0" t="n">
        <v>0</v>
      </c>
      <c r="I1162" s="51" t="s">
        <v>3549</v>
      </c>
      <c r="J1162" s="49" t="s">
        <v>3534</v>
      </c>
      <c r="K1162" s="52" t="n">
        <v>47867</v>
      </c>
      <c r="L1162" s="54"/>
      <c r="M1162" s="51" t="s">
        <v>3222</v>
      </c>
      <c r="N1162" s="0" t="n">
        <v>4</v>
      </c>
      <c r="O1162" s="53" t="n">
        <v>46060.353275463</v>
      </c>
      <c r="P1162" s="53" t="n">
        <v>46060.4784837963</v>
      </c>
      <c r="Q1162" s="53" t="n">
        <v>46060.353275463</v>
      </c>
      <c r="R1162" s="0" t="n">
        <v>0</v>
      </c>
      <c r="S1162" s="51" t="s">
        <v>3129</v>
      </c>
      <c r="T1162" s="51" t="s">
        <v>3129</v>
      </c>
      <c r="U1162" s="51" t="s">
        <v>2214</v>
      </c>
      <c r="V1162" s="51" t="s">
        <v>2142</v>
      </c>
      <c r="W1162" s="51"/>
      <c r="X1162" s="51"/>
    </row>
    <row r="1163" customFormat="false" ht="14.25" hidden="false" customHeight="false" outlineLevel="0" collapsed="false">
      <c r="A1163" s="49" t="s">
        <v>2251</v>
      </c>
      <c r="B1163" s="49" t="s">
        <v>14</v>
      </c>
      <c r="C1163" s="49" t="s">
        <v>920</v>
      </c>
      <c r="D1163" s="49" t="s">
        <v>2441</v>
      </c>
      <c r="E1163" s="49" t="s">
        <v>2214</v>
      </c>
      <c r="F1163" s="49" t="s">
        <v>594</v>
      </c>
      <c r="G1163" s="49" t="n">
        <v>4</v>
      </c>
      <c r="H1163" s="0" t="n">
        <v>0</v>
      </c>
      <c r="I1163" s="51" t="s">
        <v>3550</v>
      </c>
      <c r="J1163" s="49" t="s">
        <v>3534</v>
      </c>
      <c r="K1163" s="52" t="n">
        <v>47867</v>
      </c>
      <c r="M1163" s="51" t="s">
        <v>3222</v>
      </c>
      <c r="N1163" s="0" t="n">
        <v>4</v>
      </c>
      <c r="O1163" s="53" t="n">
        <v>46060.3537152778</v>
      </c>
      <c r="P1163" s="53" t="n">
        <v>46060.4708333333</v>
      </c>
      <c r="Q1163" s="53" t="n">
        <v>46060.3537152778</v>
      </c>
      <c r="R1163" s="0" t="n">
        <v>0</v>
      </c>
      <c r="S1163" s="51" t="s">
        <v>3129</v>
      </c>
      <c r="T1163" s="51" t="s">
        <v>3129</v>
      </c>
      <c r="U1163" s="51" t="s">
        <v>2214</v>
      </c>
      <c r="V1163" s="51" t="s">
        <v>2142</v>
      </c>
      <c r="X1163" s="51"/>
    </row>
    <row r="1164" customFormat="false" ht="14.25" hidden="false" customHeight="false" outlineLevel="0" collapsed="false">
      <c r="A1164" s="49" t="s">
        <v>2251</v>
      </c>
      <c r="B1164" s="49" t="s">
        <v>14</v>
      </c>
      <c r="C1164" s="49" t="s">
        <v>919</v>
      </c>
      <c r="D1164" s="49" t="s">
        <v>2441</v>
      </c>
      <c r="E1164" s="49" t="s">
        <v>2214</v>
      </c>
      <c r="F1164" s="49" t="s">
        <v>594</v>
      </c>
      <c r="G1164" s="49" t="n">
        <v>4</v>
      </c>
      <c r="H1164" s="0" t="n">
        <v>0</v>
      </c>
      <c r="I1164" s="51" t="s">
        <v>3551</v>
      </c>
      <c r="J1164" s="49" t="s">
        <v>3534</v>
      </c>
      <c r="K1164" s="52" t="n">
        <v>47867</v>
      </c>
      <c r="M1164" s="51" t="s">
        <v>3222</v>
      </c>
      <c r="N1164" s="0" t="n">
        <v>4</v>
      </c>
      <c r="O1164" s="53" t="n">
        <v>46060.3541087963</v>
      </c>
      <c r="P1164" s="53" t="n">
        <v>46060.4686805556</v>
      </c>
      <c r="Q1164" s="53" t="n">
        <v>46060.3541087963</v>
      </c>
      <c r="R1164" s="0" t="n">
        <v>0</v>
      </c>
      <c r="S1164" s="51" t="s">
        <v>3129</v>
      </c>
      <c r="T1164" s="51" t="s">
        <v>3129</v>
      </c>
      <c r="U1164" s="51" t="s">
        <v>2214</v>
      </c>
      <c r="V1164" s="51" t="s">
        <v>2142</v>
      </c>
      <c r="X1164" s="51"/>
    </row>
    <row r="1165" customFormat="false" ht="14.25" hidden="false" customHeight="false" outlineLevel="0" collapsed="false">
      <c r="A1165" s="49" t="s">
        <v>2251</v>
      </c>
      <c r="B1165" s="49" t="s">
        <v>14</v>
      </c>
      <c r="C1165" s="49" t="s">
        <v>856</v>
      </c>
      <c r="D1165" s="49" t="s">
        <v>2441</v>
      </c>
      <c r="E1165" s="49" t="s">
        <v>2214</v>
      </c>
      <c r="F1165" s="49" t="s">
        <v>594</v>
      </c>
      <c r="G1165" s="49" t="n">
        <v>4</v>
      </c>
      <c r="H1165" s="0" t="n">
        <v>0</v>
      </c>
      <c r="I1165" s="51" t="s">
        <v>3412</v>
      </c>
      <c r="J1165" s="49" t="s">
        <v>2217</v>
      </c>
      <c r="K1165" s="52" t="n">
        <v>47867</v>
      </c>
      <c r="M1165" s="51" t="s">
        <v>3408</v>
      </c>
      <c r="N1165" s="0" t="n">
        <v>4</v>
      </c>
      <c r="O1165" s="53" t="n">
        <v>46058.4303935185</v>
      </c>
      <c r="P1165" s="53" t="n">
        <v>46065.5904861111</v>
      </c>
      <c r="Q1165" s="53" t="n">
        <v>46058.4303935185</v>
      </c>
      <c r="R1165" s="0" t="n">
        <v>0</v>
      </c>
      <c r="S1165" s="51" t="s">
        <v>3129</v>
      </c>
      <c r="T1165" s="51" t="s">
        <v>3129</v>
      </c>
      <c r="U1165" s="51" t="s">
        <v>2214</v>
      </c>
      <c r="V1165" s="51" t="s">
        <v>2142</v>
      </c>
      <c r="W1165" s="51" t="s">
        <v>3271</v>
      </c>
      <c r="X1165" s="51"/>
    </row>
    <row r="1166" customFormat="false" ht="14.25" hidden="false" customHeight="false" outlineLevel="0" collapsed="false">
      <c r="A1166" s="49" t="s">
        <v>2251</v>
      </c>
      <c r="B1166" s="49" t="s">
        <v>14</v>
      </c>
      <c r="C1166" s="49" t="s">
        <v>873</v>
      </c>
      <c r="D1166" s="49" t="s">
        <v>2441</v>
      </c>
      <c r="E1166" s="49" t="s">
        <v>2214</v>
      </c>
      <c r="F1166" s="49" t="s">
        <v>594</v>
      </c>
      <c r="G1166" s="49" t="n">
        <v>4</v>
      </c>
      <c r="H1166" s="0" t="n">
        <v>0</v>
      </c>
      <c r="I1166" s="51" t="s">
        <v>3519</v>
      </c>
      <c r="J1166" s="49" t="s">
        <v>2217</v>
      </c>
      <c r="K1166" s="52" t="n">
        <v>47867</v>
      </c>
      <c r="M1166" s="51" t="s">
        <v>3408</v>
      </c>
      <c r="N1166" s="0" t="n">
        <v>4</v>
      </c>
      <c r="O1166" s="53" t="n">
        <v>46058.4319444444</v>
      </c>
      <c r="P1166" s="53" t="n">
        <v>46065.3461111111</v>
      </c>
      <c r="Q1166" s="53" t="n">
        <v>46058.4319444444</v>
      </c>
      <c r="R1166" s="0" t="n">
        <v>0</v>
      </c>
      <c r="S1166" s="51" t="s">
        <v>3129</v>
      </c>
      <c r="T1166" s="51" t="s">
        <v>3129</v>
      </c>
      <c r="U1166" s="51" t="s">
        <v>2214</v>
      </c>
      <c r="V1166" s="51" t="s">
        <v>2142</v>
      </c>
      <c r="W1166" s="51" t="s">
        <v>3453</v>
      </c>
      <c r="X1166" s="51"/>
    </row>
    <row r="1167" customFormat="false" ht="14.25" hidden="false" customHeight="false" outlineLevel="0" collapsed="false">
      <c r="A1167" s="49" t="s">
        <v>2251</v>
      </c>
      <c r="B1167" s="49" t="s">
        <v>14</v>
      </c>
      <c r="C1167" s="49" t="s">
        <v>874</v>
      </c>
      <c r="D1167" s="49" t="s">
        <v>2441</v>
      </c>
      <c r="E1167" s="49" t="s">
        <v>2214</v>
      </c>
      <c r="F1167" s="49" t="s">
        <v>594</v>
      </c>
      <c r="G1167" s="49" t="n">
        <v>4</v>
      </c>
      <c r="H1167" s="0" t="n">
        <v>0</v>
      </c>
      <c r="I1167" s="51" t="s">
        <v>3552</v>
      </c>
      <c r="J1167" s="55" t="s">
        <v>2217</v>
      </c>
      <c r="K1167" s="52" t="n">
        <v>47867</v>
      </c>
      <c r="M1167" s="51" t="s">
        <v>3408</v>
      </c>
      <c r="N1167" s="0" t="n">
        <v>4</v>
      </c>
      <c r="O1167" s="53" t="n">
        <v>46058.4333564815</v>
      </c>
      <c r="P1167" s="53" t="n">
        <v>46065.4600115741</v>
      </c>
      <c r="Q1167" s="53" t="n">
        <v>46058.4333564815</v>
      </c>
      <c r="R1167" s="0" t="n">
        <v>0</v>
      </c>
      <c r="S1167" s="51" t="s">
        <v>3129</v>
      </c>
      <c r="T1167" s="51" t="s">
        <v>3129</v>
      </c>
      <c r="U1167" s="51" t="s">
        <v>2214</v>
      </c>
      <c r="V1167" s="51" t="s">
        <v>2142</v>
      </c>
      <c r="W1167" s="51" t="s">
        <v>3409</v>
      </c>
      <c r="X1167" s="51"/>
    </row>
    <row r="1168" customFormat="false" ht="14.25" hidden="false" customHeight="false" outlineLevel="0" collapsed="false">
      <c r="A1168" s="49" t="s">
        <v>2251</v>
      </c>
      <c r="B1168" s="49" t="s">
        <v>14</v>
      </c>
      <c r="C1168" s="49" t="s">
        <v>870</v>
      </c>
      <c r="D1168" s="49" t="s">
        <v>2441</v>
      </c>
      <c r="E1168" s="49" t="s">
        <v>2214</v>
      </c>
      <c r="F1168" s="49" t="s">
        <v>594</v>
      </c>
      <c r="G1168" s="49" t="n">
        <v>4</v>
      </c>
      <c r="H1168" s="0" t="n">
        <v>0</v>
      </c>
      <c r="I1168" s="51" t="s">
        <v>3553</v>
      </c>
      <c r="J1168" s="55" t="s">
        <v>2217</v>
      </c>
      <c r="K1168" s="52" t="n">
        <v>47867</v>
      </c>
      <c r="M1168" s="51" t="s">
        <v>3408</v>
      </c>
      <c r="N1168" s="0" t="n">
        <v>4</v>
      </c>
      <c r="O1168" s="53" t="n">
        <v>46058.4351967593</v>
      </c>
      <c r="P1168" s="53" t="n">
        <v>46058.4865046296</v>
      </c>
      <c r="Q1168" s="53" t="n">
        <v>46058.4351967593</v>
      </c>
      <c r="R1168" s="0" t="n">
        <v>0</v>
      </c>
      <c r="S1168" s="51" t="s">
        <v>3129</v>
      </c>
      <c r="T1168" s="51" t="s">
        <v>3129</v>
      </c>
      <c r="U1168" s="51" t="s">
        <v>2214</v>
      </c>
      <c r="V1168" s="51" t="s">
        <v>2142</v>
      </c>
      <c r="X1168" s="51"/>
    </row>
    <row r="1169" customFormat="false" ht="14.25" hidden="false" customHeight="false" outlineLevel="0" collapsed="false">
      <c r="A1169" s="49" t="s">
        <v>2251</v>
      </c>
      <c r="B1169" s="49" t="s">
        <v>14</v>
      </c>
      <c r="C1169" s="49" t="s">
        <v>876</v>
      </c>
      <c r="D1169" s="49" t="s">
        <v>2441</v>
      </c>
      <c r="E1169" s="49" t="s">
        <v>2214</v>
      </c>
      <c r="F1169" s="49" t="s">
        <v>594</v>
      </c>
      <c r="G1169" s="49" t="n">
        <v>2</v>
      </c>
      <c r="H1169" s="0" t="n">
        <v>0</v>
      </c>
      <c r="I1169" s="51" t="s">
        <v>2294</v>
      </c>
      <c r="J1169" s="55" t="s">
        <v>2217</v>
      </c>
      <c r="K1169" s="52" t="n">
        <v>47867</v>
      </c>
      <c r="M1169" s="51" t="s">
        <v>3408</v>
      </c>
      <c r="N1169" s="0" t="n">
        <v>4</v>
      </c>
      <c r="O1169" s="53" t="n">
        <v>46058.4399074074</v>
      </c>
      <c r="P1169" s="53" t="n">
        <v>46068.4633912037</v>
      </c>
      <c r="Q1169" s="53" t="n">
        <v>46058.4399074074</v>
      </c>
      <c r="R1169" s="0" t="n">
        <v>0</v>
      </c>
      <c r="S1169" s="51" t="s">
        <v>3129</v>
      </c>
      <c r="T1169" s="51" t="s">
        <v>3129</v>
      </c>
      <c r="U1169" s="51" t="s">
        <v>2214</v>
      </c>
      <c r="V1169" s="51" t="s">
        <v>2142</v>
      </c>
      <c r="W1169" s="51" t="s">
        <v>3331</v>
      </c>
      <c r="X1169" s="51"/>
    </row>
    <row r="1170" customFormat="false" ht="14.25" hidden="false" customHeight="false" outlineLevel="0" collapsed="false">
      <c r="A1170" s="49" t="s">
        <v>2251</v>
      </c>
      <c r="B1170" s="49" t="s">
        <v>14</v>
      </c>
      <c r="C1170" s="49" t="s">
        <v>877</v>
      </c>
      <c r="D1170" s="49" t="s">
        <v>2441</v>
      </c>
      <c r="E1170" s="49" t="s">
        <v>2214</v>
      </c>
      <c r="F1170" s="49" t="s">
        <v>594</v>
      </c>
      <c r="G1170" s="49" t="n">
        <v>4</v>
      </c>
      <c r="H1170" s="0" t="n">
        <v>0</v>
      </c>
      <c r="I1170" s="51" t="s">
        <v>3554</v>
      </c>
      <c r="J1170" s="55" t="s">
        <v>2217</v>
      </c>
      <c r="K1170" s="52" t="n">
        <v>47867</v>
      </c>
      <c r="M1170" s="51" t="s">
        <v>3408</v>
      </c>
      <c r="N1170" s="0" t="n">
        <v>4</v>
      </c>
      <c r="O1170" s="53" t="n">
        <v>46058.4387731482</v>
      </c>
      <c r="P1170" s="53" t="n">
        <v>46058.5508564815</v>
      </c>
      <c r="Q1170" s="53" t="n">
        <v>46058.4387731482</v>
      </c>
      <c r="R1170" s="0" t="n">
        <v>0</v>
      </c>
      <c r="S1170" s="51" t="s">
        <v>3129</v>
      </c>
      <c r="T1170" s="51" t="s">
        <v>3129</v>
      </c>
      <c r="U1170" s="51" t="s">
        <v>2214</v>
      </c>
      <c r="V1170" s="51" t="s">
        <v>2142</v>
      </c>
      <c r="X1170" s="51"/>
    </row>
    <row r="1171" customFormat="false" ht="14.25" hidden="false" customHeight="false" outlineLevel="0" collapsed="false">
      <c r="A1171" s="49" t="s">
        <v>2251</v>
      </c>
      <c r="B1171" s="49" t="s">
        <v>14</v>
      </c>
      <c r="C1171" s="49" t="s">
        <v>879</v>
      </c>
      <c r="D1171" s="49" t="s">
        <v>2441</v>
      </c>
      <c r="E1171" s="49" t="s">
        <v>2214</v>
      </c>
      <c r="F1171" s="49" t="s">
        <v>594</v>
      </c>
      <c r="G1171" s="49" t="n">
        <v>4</v>
      </c>
      <c r="H1171" s="0" t="n">
        <v>0</v>
      </c>
      <c r="I1171" s="51" t="s">
        <v>3555</v>
      </c>
      <c r="J1171" s="55" t="s">
        <v>2217</v>
      </c>
      <c r="K1171" s="52" t="n">
        <v>47867</v>
      </c>
      <c r="M1171" s="51" t="s">
        <v>3408</v>
      </c>
      <c r="N1171" s="0" t="n">
        <v>4</v>
      </c>
      <c r="O1171" s="53" t="n">
        <v>46058.4377662037</v>
      </c>
      <c r="P1171" s="53" t="n">
        <v>46058.4921990741</v>
      </c>
      <c r="Q1171" s="53" t="n">
        <v>46058.4377662037</v>
      </c>
      <c r="R1171" s="0" t="n">
        <v>0</v>
      </c>
      <c r="S1171" s="51" t="s">
        <v>3129</v>
      </c>
      <c r="T1171" s="51" t="s">
        <v>3129</v>
      </c>
      <c r="U1171" s="51" t="s">
        <v>2214</v>
      </c>
      <c r="V1171" s="51" t="s">
        <v>2142</v>
      </c>
      <c r="X1171" s="51"/>
    </row>
    <row r="1172" customFormat="false" ht="14.25" hidden="false" customHeight="false" outlineLevel="0" collapsed="false">
      <c r="A1172" s="49" t="s">
        <v>2251</v>
      </c>
      <c r="B1172" s="49" t="s">
        <v>14</v>
      </c>
      <c r="C1172" s="49" t="s">
        <v>880</v>
      </c>
      <c r="D1172" s="49" t="s">
        <v>2441</v>
      </c>
      <c r="E1172" s="49" t="s">
        <v>2214</v>
      </c>
      <c r="F1172" s="49" t="s">
        <v>594</v>
      </c>
      <c r="G1172" s="49" t="n">
        <v>4</v>
      </c>
      <c r="H1172" s="0" t="n">
        <v>0</v>
      </c>
      <c r="I1172" s="51" t="s">
        <v>3556</v>
      </c>
      <c r="J1172" s="55" t="s">
        <v>2217</v>
      </c>
      <c r="K1172" s="52" t="n">
        <v>47867</v>
      </c>
      <c r="M1172" s="51" t="s">
        <v>3408</v>
      </c>
      <c r="N1172" s="0" t="n">
        <v>4</v>
      </c>
      <c r="O1172" s="53" t="n">
        <v>46058.4364814815</v>
      </c>
      <c r="P1172" s="53" t="n">
        <v>46058.4879513889</v>
      </c>
      <c r="Q1172" s="53" t="n">
        <v>46058.4364814815</v>
      </c>
      <c r="R1172" s="0" t="n">
        <v>0</v>
      </c>
      <c r="S1172" s="51" t="s">
        <v>3129</v>
      </c>
      <c r="T1172" s="51" t="s">
        <v>3129</v>
      </c>
      <c r="U1172" s="51" t="s">
        <v>2214</v>
      </c>
      <c r="V1172" s="51" t="s">
        <v>2142</v>
      </c>
      <c r="X1172" s="51"/>
    </row>
    <row r="1173" customFormat="false" ht="14.25" hidden="false" customHeight="false" outlineLevel="0" collapsed="false">
      <c r="A1173" s="49" t="s">
        <v>2251</v>
      </c>
      <c r="B1173" s="49" t="s">
        <v>14</v>
      </c>
      <c r="C1173" s="49" t="s">
        <v>862</v>
      </c>
      <c r="D1173" s="49" t="s">
        <v>2441</v>
      </c>
      <c r="E1173" s="49" t="s">
        <v>2214</v>
      </c>
      <c r="F1173" s="49" t="s">
        <v>594</v>
      </c>
      <c r="G1173" s="49" t="n">
        <v>4</v>
      </c>
      <c r="H1173" s="0" t="n">
        <v>0</v>
      </c>
      <c r="I1173" s="51" t="s">
        <v>3557</v>
      </c>
      <c r="J1173" s="55" t="s">
        <v>2217</v>
      </c>
      <c r="K1173" s="52" t="n">
        <v>47867</v>
      </c>
      <c r="M1173" s="51" t="s">
        <v>3408</v>
      </c>
      <c r="N1173" s="0" t="n">
        <v>4</v>
      </c>
      <c r="O1173" s="53" t="n">
        <v>46058.4484143519</v>
      </c>
      <c r="P1173" s="53" t="n">
        <v>46058.6549421296</v>
      </c>
      <c r="Q1173" s="53" t="n">
        <v>46058.4484143519</v>
      </c>
      <c r="R1173" s="0" t="n">
        <v>0</v>
      </c>
      <c r="S1173" s="51" t="s">
        <v>3129</v>
      </c>
      <c r="T1173" s="51" t="s">
        <v>3129</v>
      </c>
      <c r="U1173" s="51" t="s">
        <v>2214</v>
      </c>
      <c r="V1173" s="51" t="s">
        <v>2142</v>
      </c>
      <c r="X1173" s="51"/>
    </row>
    <row r="1174" customFormat="false" ht="14.25" hidden="false" customHeight="false" outlineLevel="0" collapsed="false">
      <c r="A1174" s="49" t="s">
        <v>2251</v>
      </c>
      <c r="B1174" s="49" t="s">
        <v>14</v>
      </c>
      <c r="C1174" s="49" t="s">
        <v>860</v>
      </c>
      <c r="D1174" s="49" t="s">
        <v>2441</v>
      </c>
      <c r="E1174" s="49" t="s">
        <v>2214</v>
      </c>
      <c r="F1174" s="49" t="s">
        <v>594</v>
      </c>
      <c r="G1174" s="49" t="n">
        <v>4</v>
      </c>
      <c r="H1174" s="0" t="n">
        <v>0</v>
      </c>
      <c r="I1174" s="51" t="s">
        <v>3558</v>
      </c>
      <c r="J1174" s="55" t="s">
        <v>2217</v>
      </c>
      <c r="K1174" s="52" t="n">
        <v>47867</v>
      </c>
      <c r="M1174" s="51" t="s">
        <v>3408</v>
      </c>
      <c r="N1174" s="0" t="n">
        <v>4</v>
      </c>
      <c r="O1174" s="53" t="n">
        <v>46058.4471064815</v>
      </c>
      <c r="P1174" s="53" t="n">
        <v>46058.6496643519</v>
      </c>
      <c r="Q1174" s="53" t="n">
        <v>46058.4471064815</v>
      </c>
      <c r="R1174" s="0" t="n">
        <v>0</v>
      </c>
      <c r="S1174" s="51" t="s">
        <v>3129</v>
      </c>
      <c r="T1174" s="51" t="s">
        <v>3129</v>
      </c>
      <c r="U1174" s="51" t="s">
        <v>2214</v>
      </c>
      <c r="V1174" s="51" t="s">
        <v>2142</v>
      </c>
      <c r="X1174" s="51"/>
    </row>
    <row r="1175" customFormat="false" ht="14.25" hidden="false" customHeight="false" outlineLevel="0" collapsed="false">
      <c r="A1175" s="49" t="s">
        <v>2251</v>
      </c>
      <c r="B1175" s="49" t="s">
        <v>14</v>
      </c>
      <c r="C1175" s="49" t="s">
        <v>859</v>
      </c>
      <c r="D1175" s="49" t="s">
        <v>2441</v>
      </c>
      <c r="E1175" s="49" t="s">
        <v>2214</v>
      </c>
      <c r="F1175" s="49" t="s">
        <v>594</v>
      </c>
      <c r="G1175" s="49" t="n">
        <v>4</v>
      </c>
      <c r="H1175" s="0" t="n">
        <v>0</v>
      </c>
      <c r="I1175" s="51" t="s">
        <v>3559</v>
      </c>
      <c r="J1175" s="55" t="s">
        <v>2217</v>
      </c>
      <c r="K1175" s="52" t="n">
        <v>47867</v>
      </c>
      <c r="M1175" s="51" t="s">
        <v>3408</v>
      </c>
      <c r="N1175" s="0" t="n">
        <v>4</v>
      </c>
      <c r="O1175" s="53" t="n">
        <v>46058.4459490741</v>
      </c>
      <c r="P1175" s="53" t="n">
        <v>46058.6382523148</v>
      </c>
      <c r="Q1175" s="53" t="n">
        <v>46058.4459490741</v>
      </c>
      <c r="R1175" s="0" t="n">
        <v>0</v>
      </c>
      <c r="S1175" s="51" t="s">
        <v>3129</v>
      </c>
      <c r="T1175" s="51" t="s">
        <v>3129</v>
      </c>
      <c r="U1175" s="51" t="s">
        <v>2214</v>
      </c>
      <c r="V1175" s="51" t="s">
        <v>2142</v>
      </c>
      <c r="W1175" s="51" t="s">
        <v>3384</v>
      </c>
      <c r="X1175" s="51"/>
    </row>
    <row r="1176" customFormat="false" ht="14.25" hidden="false" customHeight="false" outlineLevel="0" collapsed="false">
      <c r="A1176" s="49" t="s">
        <v>2251</v>
      </c>
      <c r="B1176" s="49" t="s">
        <v>14</v>
      </c>
      <c r="C1176" s="49" t="s">
        <v>864</v>
      </c>
      <c r="D1176" s="49" t="s">
        <v>2441</v>
      </c>
      <c r="E1176" s="49" t="s">
        <v>2214</v>
      </c>
      <c r="F1176" s="49" t="s">
        <v>594</v>
      </c>
      <c r="G1176" s="49" t="n">
        <v>4</v>
      </c>
      <c r="H1176" s="0" t="n">
        <v>0</v>
      </c>
      <c r="I1176" s="51" t="s">
        <v>3560</v>
      </c>
      <c r="J1176" s="55" t="s">
        <v>2217</v>
      </c>
      <c r="K1176" s="52" t="n">
        <v>47867</v>
      </c>
      <c r="M1176" s="51" t="s">
        <v>3408</v>
      </c>
      <c r="N1176" s="0" t="n">
        <v>4</v>
      </c>
      <c r="O1176" s="53" t="n">
        <v>46058.4449074074</v>
      </c>
      <c r="P1176" s="53" t="n">
        <v>46058.6297453704</v>
      </c>
      <c r="Q1176" s="53" t="n">
        <v>46058.4449074074</v>
      </c>
      <c r="R1176" s="0" t="n">
        <v>0</v>
      </c>
      <c r="S1176" s="51" t="s">
        <v>3129</v>
      </c>
      <c r="T1176" s="51" t="s">
        <v>3129</v>
      </c>
      <c r="U1176" s="51" t="s">
        <v>2214</v>
      </c>
      <c r="V1176" s="51" t="s">
        <v>2142</v>
      </c>
      <c r="W1176" s="51"/>
      <c r="X1176" s="51"/>
    </row>
    <row r="1177" customFormat="false" ht="14.25" hidden="false" customHeight="false" outlineLevel="0" collapsed="false">
      <c r="A1177" s="49" t="s">
        <v>2251</v>
      </c>
      <c r="B1177" s="49" t="s">
        <v>14</v>
      </c>
      <c r="C1177" s="49" t="s">
        <v>866</v>
      </c>
      <c r="D1177" s="49" t="s">
        <v>2441</v>
      </c>
      <c r="E1177" s="49" t="s">
        <v>2214</v>
      </c>
      <c r="F1177" s="49" t="s">
        <v>594</v>
      </c>
      <c r="G1177" s="49" t="n">
        <v>4</v>
      </c>
      <c r="H1177" s="0" t="n">
        <v>0</v>
      </c>
      <c r="I1177" s="51" t="s">
        <v>3561</v>
      </c>
      <c r="J1177" s="55" t="s">
        <v>2217</v>
      </c>
      <c r="K1177" s="52" t="n">
        <v>47867</v>
      </c>
      <c r="M1177" s="51" t="s">
        <v>3408</v>
      </c>
      <c r="N1177" s="0" t="n">
        <v>4</v>
      </c>
      <c r="O1177" s="53" t="n">
        <v>46058.44375</v>
      </c>
      <c r="P1177" s="53" t="n">
        <v>46058.6233449074</v>
      </c>
      <c r="Q1177" s="53" t="n">
        <v>46058.44375</v>
      </c>
      <c r="R1177" s="0" t="n">
        <v>0</v>
      </c>
      <c r="S1177" s="51" t="s">
        <v>3129</v>
      </c>
      <c r="T1177" s="51" t="s">
        <v>3129</v>
      </c>
      <c r="U1177" s="51" t="s">
        <v>2214</v>
      </c>
      <c r="V1177" s="51" t="s">
        <v>2142</v>
      </c>
      <c r="W1177" s="51"/>
      <c r="X1177" s="51"/>
    </row>
    <row r="1178" customFormat="false" ht="14.25" hidden="false" customHeight="false" outlineLevel="0" collapsed="false">
      <c r="A1178" s="49" t="s">
        <v>2251</v>
      </c>
      <c r="B1178" s="49" t="s">
        <v>14</v>
      </c>
      <c r="C1178" s="49" t="s">
        <v>867</v>
      </c>
      <c r="D1178" s="49" t="s">
        <v>2441</v>
      </c>
      <c r="E1178" s="49" t="s">
        <v>2214</v>
      </c>
      <c r="F1178" s="49" t="s">
        <v>594</v>
      </c>
      <c r="G1178" s="49" t="n">
        <v>4</v>
      </c>
      <c r="H1178" s="0" t="n">
        <v>0</v>
      </c>
      <c r="I1178" s="51" t="s">
        <v>3562</v>
      </c>
      <c r="J1178" s="55" t="s">
        <v>2217</v>
      </c>
      <c r="K1178" s="52" t="n">
        <v>47867</v>
      </c>
      <c r="M1178" s="51" t="s">
        <v>3408</v>
      </c>
      <c r="N1178" s="0" t="n">
        <v>4</v>
      </c>
      <c r="O1178" s="53" t="n">
        <v>46058.4423726852</v>
      </c>
      <c r="P1178" s="53" t="n">
        <v>46058.6170717593</v>
      </c>
      <c r="Q1178" s="53" t="n">
        <v>46058.4423726852</v>
      </c>
      <c r="R1178" s="0" t="n">
        <v>0</v>
      </c>
      <c r="S1178" s="51" t="s">
        <v>3129</v>
      </c>
      <c r="T1178" s="51" t="s">
        <v>3129</v>
      </c>
      <c r="U1178" s="51" t="s">
        <v>2214</v>
      </c>
      <c r="V1178" s="51" t="s">
        <v>2142</v>
      </c>
      <c r="X1178" s="51"/>
    </row>
    <row r="1179" customFormat="false" ht="14.25" hidden="false" customHeight="false" outlineLevel="0" collapsed="false">
      <c r="A1179" s="49" t="s">
        <v>2251</v>
      </c>
      <c r="B1179" s="49" t="s">
        <v>14</v>
      </c>
      <c r="C1179" s="49" t="s">
        <v>1049</v>
      </c>
      <c r="D1179" s="49" t="s">
        <v>2441</v>
      </c>
      <c r="E1179" s="49" t="s">
        <v>2278</v>
      </c>
      <c r="F1179" s="49" t="s">
        <v>831</v>
      </c>
      <c r="G1179" s="49" t="n">
        <v>7</v>
      </c>
      <c r="H1179" s="0" t="n">
        <v>0</v>
      </c>
      <c r="I1179" s="51" t="s">
        <v>2279</v>
      </c>
      <c r="J1179" s="55" t="s">
        <v>2280</v>
      </c>
      <c r="K1179" s="52" t="n">
        <v>47868</v>
      </c>
      <c r="M1179" s="51" t="s">
        <v>3273</v>
      </c>
      <c r="N1179" s="0" t="n">
        <v>24</v>
      </c>
      <c r="O1179" s="53" t="n">
        <v>46061.3443865741</v>
      </c>
      <c r="P1179" s="53" t="n">
        <v>46065.5127314815</v>
      </c>
      <c r="Q1179" s="53" t="n">
        <v>46061.3443865741</v>
      </c>
      <c r="R1179" s="0" t="n">
        <v>0</v>
      </c>
      <c r="S1179" s="51" t="s">
        <v>3129</v>
      </c>
      <c r="T1179" s="51" t="s">
        <v>3129</v>
      </c>
      <c r="U1179" s="51" t="s">
        <v>2278</v>
      </c>
      <c r="V1179" s="51" t="s">
        <v>2205</v>
      </c>
      <c r="W1179" s="51" t="s">
        <v>3453</v>
      </c>
      <c r="X1179" s="51"/>
    </row>
    <row r="1180" customFormat="false" ht="14.25" hidden="false" customHeight="false" outlineLevel="0" collapsed="false">
      <c r="A1180" s="49" t="s">
        <v>2251</v>
      </c>
      <c r="B1180" s="49" t="s">
        <v>14</v>
      </c>
      <c r="C1180" s="49" t="s">
        <v>1247</v>
      </c>
      <c r="D1180" s="49" t="s">
        <v>2441</v>
      </c>
      <c r="E1180" s="49" t="s">
        <v>2278</v>
      </c>
      <c r="F1180" s="49" t="s">
        <v>831</v>
      </c>
      <c r="G1180" s="49" t="n">
        <v>24</v>
      </c>
      <c r="H1180" s="0" t="n">
        <v>0</v>
      </c>
      <c r="I1180" s="51" t="s">
        <v>3563</v>
      </c>
      <c r="J1180" s="55" t="s">
        <v>3022</v>
      </c>
      <c r="K1180" s="52" t="n">
        <v>47868</v>
      </c>
      <c r="M1180" s="51" t="s">
        <v>3258</v>
      </c>
      <c r="N1180" s="0" t="n">
        <v>24</v>
      </c>
      <c r="O1180" s="53" t="n">
        <v>46064.5888541667</v>
      </c>
      <c r="P1180" s="53" t="n">
        <v>46064.6949768519</v>
      </c>
      <c r="Q1180" s="53" t="n">
        <v>46064.5888541667</v>
      </c>
      <c r="R1180" s="0" t="n">
        <v>0</v>
      </c>
      <c r="S1180" s="51" t="s">
        <v>3129</v>
      </c>
      <c r="T1180" s="51" t="s">
        <v>3129</v>
      </c>
      <c r="U1180" s="51" t="s">
        <v>2278</v>
      </c>
      <c r="V1180" s="51" t="s">
        <v>2205</v>
      </c>
      <c r="X1180" s="51"/>
    </row>
    <row r="1181" customFormat="false" ht="14.25" hidden="false" customHeight="false" outlineLevel="0" collapsed="false">
      <c r="A1181" s="49" t="s">
        <v>2251</v>
      </c>
      <c r="B1181" s="49" t="s">
        <v>14</v>
      </c>
      <c r="C1181" s="49" t="s">
        <v>1243</v>
      </c>
      <c r="D1181" s="49" t="s">
        <v>2441</v>
      </c>
      <c r="E1181" s="49" t="s">
        <v>2278</v>
      </c>
      <c r="F1181" s="49" t="s">
        <v>831</v>
      </c>
      <c r="G1181" s="49" t="n">
        <v>24</v>
      </c>
      <c r="H1181" s="0" t="n">
        <v>0</v>
      </c>
      <c r="I1181" s="51" t="s">
        <v>3564</v>
      </c>
      <c r="J1181" s="55" t="s">
        <v>3022</v>
      </c>
      <c r="K1181" s="52" t="n">
        <v>47868</v>
      </c>
      <c r="M1181" s="51" t="s">
        <v>3258</v>
      </c>
      <c r="N1181" s="0" t="n">
        <v>24</v>
      </c>
      <c r="O1181" s="53" t="n">
        <v>46064.5882291667</v>
      </c>
      <c r="P1181" s="53" t="n">
        <v>46064.6940393519</v>
      </c>
      <c r="Q1181" s="53" t="n">
        <v>46064.5882291667</v>
      </c>
      <c r="R1181" s="0" t="n">
        <v>0</v>
      </c>
      <c r="S1181" s="51" t="s">
        <v>3129</v>
      </c>
      <c r="T1181" s="51" t="s">
        <v>3129</v>
      </c>
      <c r="U1181" s="51" t="s">
        <v>2278</v>
      </c>
      <c r="V1181" s="51" t="s">
        <v>2205</v>
      </c>
      <c r="X1181" s="51"/>
    </row>
    <row r="1182" customFormat="false" ht="14.25" hidden="false" customHeight="false" outlineLevel="0" collapsed="false">
      <c r="A1182" s="49" t="s">
        <v>2251</v>
      </c>
      <c r="B1182" s="49" t="s">
        <v>14</v>
      </c>
      <c r="C1182" s="49" t="s">
        <v>1246</v>
      </c>
      <c r="D1182" s="49" t="s">
        <v>2441</v>
      </c>
      <c r="E1182" s="49" t="s">
        <v>2278</v>
      </c>
      <c r="F1182" s="49" t="s">
        <v>831</v>
      </c>
      <c r="G1182" s="49" t="n">
        <v>24</v>
      </c>
      <c r="H1182" s="0" t="n">
        <v>0</v>
      </c>
      <c r="I1182" s="51" t="s">
        <v>3565</v>
      </c>
      <c r="J1182" s="55" t="s">
        <v>2280</v>
      </c>
      <c r="K1182" s="52" t="n">
        <v>47868</v>
      </c>
      <c r="M1182" s="51" t="s">
        <v>3258</v>
      </c>
      <c r="N1182" s="0" t="n">
        <v>24</v>
      </c>
      <c r="O1182" s="53" t="n">
        <v>46064.5900578704</v>
      </c>
      <c r="P1182" s="53" t="n">
        <v>46064.6963194445</v>
      </c>
      <c r="Q1182" s="53" t="n">
        <v>46064.5900578704</v>
      </c>
      <c r="R1182" s="0" t="n">
        <v>0</v>
      </c>
      <c r="S1182" s="51" t="s">
        <v>3129</v>
      </c>
      <c r="T1182" s="51" t="s">
        <v>3129</v>
      </c>
      <c r="U1182" s="51" t="s">
        <v>2278</v>
      </c>
      <c r="V1182" s="51" t="s">
        <v>2205</v>
      </c>
      <c r="X1182" s="51"/>
    </row>
    <row r="1183" customFormat="false" ht="14.25" hidden="false" customHeight="false" outlineLevel="0" collapsed="false">
      <c r="A1183" s="49" t="s">
        <v>2251</v>
      </c>
      <c r="B1183" s="49" t="s">
        <v>14</v>
      </c>
      <c r="C1183" s="49" t="s">
        <v>1321</v>
      </c>
      <c r="D1183" s="49" t="s">
        <v>2441</v>
      </c>
      <c r="E1183" s="49" t="s">
        <v>3566</v>
      </c>
      <c r="F1183" s="49" t="s">
        <v>1312</v>
      </c>
      <c r="G1183" s="49" t="n">
        <v>4</v>
      </c>
      <c r="H1183" s="0" t="n">
        <v>0</v>
      </c>
      <c r="I1183" s="51" t="s">
        <v>3567</v>
      </c>
      <c r="J1183" s="55" t="s">
        <v>3568</v>
      </c>
      <c r="K1183" s="52" t="n">
        <v>47868</v>
      </c>
      <c r="M1183" s="51" t="s">
        <v>3218</v>
      </c>
      <c r="N1183" s="0" t="n">
        <v>4</v>
      </c>
      <c r="O1183" s="53" t="n">
        <v>46067.5666666667</v>
      </c>
      <c r="P1183" s="53" t="n">
        <v>46068.3546064815</v>
      </c>
      <c r="Q1183" s="53" t="n">
        <v>46067.5666666667</v>
      </c>
      <c r="R1183" s="0" t="n">
        <v>0</v>
      </c>
      <c r="S1183" s="51" t="s">
        <v>3129</v>
      </c>
      <c r="T1183" s="51" t="s">
        <v>3129</v>
      </c>
      <c r="U1183" s="51" t="s">
        <v>3566</v>
      </c>
      <c r="V1183" s="51" t="s">
        <v>2142</v>
      </c>
      <c r="X1183" s="51"/>
    </row>
    <row r="1184" customFormat="false" ht="14.25" hidden="false" customHeight="false" outlineLevel="0" collapsed="false">
      <c r="A1184" s="49" t="s">
        <v>2251</v>
      </c>
      <c r="B1184" s="49" t="s">
        <v>14</v>
      </c>
      <c r="C1184" s="49" t="s">
        <v>1311</v>
      </c>
      <c r="D1184" s="49" t="s">
        <v>2441</v>
      </c>
      <c r="E1184" s="49" t="s">
        <v>3566</v>
      </c>
      <c r="F1184" s="49" t="s">
        <v>1312</v>
      </c>
      <c r="G1184" s="49" t="n">
        <v>4</v>
      </c>
      <c r="H1184" s="0" t="n">
        <v>0</v>
      </c>
      <c r="I1184" s="51" t="s">
        <v>3567</v>
      </c>
      <c r="J1184" s="55" t="s">
        <v>3568</v>
      </c>
      <c r="K1184" s="52" t="n">
        <v>47868</v>
      </c>
      <c r="M1184" s="51" t="s">
        <v>3218</v>
      </c>
      <c r="N1184" s="0" t="n">
        <v>4</v>
      </c>
      <c r="O1184" s="53" t="n">
        <v>46067.567962963</v>
      </c>
      <c r="P1184" s="53" t="n">
        <v>46068.3482986111</v>
      </c>
      <c r="Q1184" s="53" t="n">
        <v>46067.567962963</v>
      </c>
      <c r="R1184" s="0" t="n">
        <v>0</v>
      </c>
      <c r="S1184" s="51" t="s">
        <v>3129</v>
      </c>
      <c r="T1184" s="51" t="s">
        <v>3129</v>
      </c>
      <c r="U1184" s="51" t="s">
        <v>3566</v>
      </c>
      <c r="V1184" s="51" t="s">
        <v>2142</v>
      </c>
      <c r="X1184" s="51"/>
    </row>
    <row r="1185" customFormat="false" ht="14.25" hidden="false" customHeight="false" outlineLevel="0" collapsed="false">
      <c r="A1185" s="49" t="s">
        <v>2251</v>
      </c>
      <c r="B1185" s="49" t="s">
        <v>14</v>
      </c>
      <c r="C1185" s="49" t="s">
        <v>1343</v>
      </c>
      <c r="D1185" s="49" t="s">
        <v>2441</v>
      </c>
      <c r="E1185" s="49" t="s">
        <v>3566</v>
      </c>
      <c r="F1185" s="49" t="s">
        <v>1312</v>
      </c>
      <c r="G1185" s="49" t="n">
        <v>4</v>
      </c>
      <c r="H1185" s="0" t="n">
        <v>0</v>
      </c>
      <c r="I1185" s="51" t="s">
        <v>3567</v>
      </c>
      <c r="J1185" s="55" t="s">
        <v>3568</v>
      </c>
      <c r="K1185" s="52" t="n">
        <v>47868</v>
      </c>
      <c r="M1185" s="51" t="s">
        <v>3218</v>
      </c>
      <c r="N1185" s="0" t="n">
        <v>4</v>
      </c>
      <c r="O1185" s="53" t="n">
        <v>46067.5687847222</v>
      </c>
      <c r="P1185" s="53" t="n">
        <v>46068.3455324074</v>
      </c>
      <c r="Q1185" s="53" t="n">
        <v>46067.5687847222</v>
      </c>
      <c r="R1185" s="0" t="n">
        <v>0</v>
      </c>
      <c r="S1185" s="51" t="s">
        <v>3129</v>
      </c>
      <c r="T1185" s="51" t="s">
        <v>3129</v>
      </c>
      <c r="U1185" s="51" t="s">
        <v>3566</v>
      </c>
      <c r="V1185" s="51" t="s">
        <v>2142</v>
      </c>
      <c r="X1185" s="51"/>
    </row>
    <row r="1186" customFormat="false" ht="14.25" hidden="false" customHeight="false" outlineLevel="0" collapsed="false">
      <c r="A1186" s="49" t="s">
        <v>2251</v>
      </c>
      <c r="B1186" s="49" t="s">
        <v>14</v>
      </c>
      <c r="C1186" s="49" t="s">
        <v>1342</v>
      </c>
      <c r="D1186" s="49" t="s">
        <v>2441</v>
      </c>
      <c r="E1186" s="49" t="s">
        <v>3566</v>
      </c>
      <c r="F1186" s="49" t="s">
        <v>1312</v>
      </c>
      <c r="G1186" s="49" t="n">
        <v>4</v>
      </c>
      <c r="H1186" s="0" t="n">
        <v>0</v>
      </c>
      <c r="I1186" s="51" t="s">
        <v>3567</v>
      </c>
      <c r="J1186" s="55" t="s">
        <v>3568</v>
      </c>
      <c r="K1186" s="52" t="n">
        <v>47868</v>
      </c>
      <c r="M1186" s="51" t="s">
        <v>3218</v>
      </c>
      <c r="N1186" s="0" t="n">
        <v>4</v>
      </c>
      <c r="O1186" s="53" t="n">
        <v>46067.5697453704</v>
      </c>
      <c r="P1186" s="53" t="n">
        <v>46068.342025463</v>
      </c>
      <c r="Q1186" s="53" t="n">
        <v>46067.5697453704</v>
      </c>
      <c r="R1186" s="0" t="n">
        <v>0</v>
      </c>
      <c r="S1186" s="51" t="s">
        <v>3129</v>
      </c>
      <c r="T1186" s="51" t="s">
        <v>3129</v>
      </c>
      <c r="U1186" s="51" t="s">
        <v>3566</v>
      </c>
      <c r="V1186" s="51" t="s">
        <v>2142</v>
      </c>
      <c r="X1186" s="51"/>
    </row>
    <row r="1187" customFormat="false" ht="14.25" hidden="false" customHeight="false" outlineLevel="0" collapsed="false">
      <c r="A1187" s="49" t="s">
        <v>2251</v>
      </c>
      <c r="B1187" s="49" t="s">
        <v>14</v>
      </c>
      <c r="C1187" s="49" t="s">
        <v>1341</v>
      </c>
      <c r="D1187" s="49" t="s">
        <v>2441</v>
      </c>
      <c r="E1187" s="49" t="s">
        <v>3566</v>
      </c>
      <c r="F1187" s="49" t="s">
        <v>1312</v>
      </c>
      <c r="G1187" s="49" t="n">
        <v>3</v>
      </c>
      <c r="H1187" s="0" t="n">
        <v>0</v>
      </c>
      <c r="I1187" s="51" t="s">
        <v>3567</v>
      </c>
      <c r="J1187" s="55" t="s">
        <v>3568</v>
      </c>
      <c r="K1187" s="52" t="n">
        <v>47868</v>
      </c>
      <c r="M1187" s="51" t="s">
        <v>3218</v>
      </c>
      <c r="N1187" s="0" t="n">
        <v>3</v>
      </c>
      <c r="O1187" s="53" t="n">
        <v>46067.5877430556</v>
      </c>
      <c r="P1187" s="53" t="n">
        <v>46068.3547106482</v>
      </c>
      <c r="Q1187" s="53" t="n">
        <v>46067.5877430556</v>
      </c>
      <c r="R1187" s="0" t="n">
        <v>0</v>
      </c>
      <c r="S1187" s="51" t="s">
        <v>3129</v>
      </c>
      <c r="T1187" s="51" t="s">
        <v>3129</v>
      </c>
      <c r="U1187" s="51" t="s">
        <v>3566</v>
      </c>
      <c r="V1187" s="51" t="s">
        <v>2142</v>
      </c>
      <c r="X1187" s="51"/>
    </row>
    <row r="1188" customFormat="false" ht="14.25" hidden="false" customHeight="false" outlineLevel="0" collapsed="false">
      <c r="A1188" s="49" t="s">
        <v>2251</v>
      </c>
      <c r="B1188" s="49" t="s">
        <v>14</v>
      </c>
      <c r="C1188" s="49" t="s">
        <v>1054</v>
      </c>
      <c r="D1188" s="49" t="s">
        <v>2441</v>
      </c>
      <c r="E1188" s="49" t="s">
        <v>2278</v>
      </c>
      <c r="F1188" s="49" t="s">
        <v>831</v>
      </c>
      <c r="G1188" s="49" t="n">
        <v>24</v>
      </c>
      <c r="H1188" s="0" t="n">
        <v>0</v>
      </c>
      <c r="I1188" s="51" t="s">
        <v>3569</v>
      </c>
      <c r="J1188" s="55" t="s">
        <v>2280</v>
      </c>
      <c r="K1188" s="52" t="n">
        <v>47868</v>
      </c>
      <c r="M1188" s="51" t="s">
        <v>3273</v>
      </c>
      <c r="N1188" s="0" t="n">
        <v>24</v>
      </c>
      <c r="O1188" s="53" t="n">
        <v>46061.3653125</v>
      </c>
      <c r="P1188" s="53" t="n">
        <v>46064.7042013889</v>
      </c>
      <c r="Q1188" s="53" t="n">
        <v>46061.3653125</v>
      </c>
      <c r="R1188" s="0" t="n">
        <v>0</v>
      </c>
      <c r="S1188" s="51" t="s">
        <v>3129</v>
      </c>
      <c r="T1188" s="51" t="s">
        <v>3129</v>
      </c>
      <c r="U1188" s="51" t="s">
        <v>2278</v>
      </c>
      <c r="V1188" s="51" t="s">
        <v>2205</v>
      </c>
      <c r="W1188" s="51" t="s">
        <v>3570</v>
      </c>
      <c r="X1188" s="51"/>
    </row>
    <row r="1189" customFormat="false" ht="14.25" hidden="false" customHeight="false" outlineLevel="0" collapsed="false">
      <c r="A1189" s="49" t="s">
        <v>2251</v>
      </c>
      <c r="B1189" s="49" t="s">
        <v>14</v>
      </c>
      <c r="C1189" s="49" t="s">
        <v>1037</v>
      </c>
      <c r="D1189" s="49" t="s">
        <v>2441</v>
      </c>
      <c r="E1189" s="49" t="s">
        <v>2278</v>
      </c>
      <c r="F1189" s="49" t="s">
        <v>831</v>
      </c>
      <c r="G1189" s="49" t="n">
        <v>24</v>
      </c>
      <c r="H1189" s="0" t="n">
        <v>0</v>
      </c>
      <c r="I1189" s="51" t="s">
        <v>3571</v>
      </c>
      <c r="J1189" s="55" t="s">
        <v>2280</v>
      </c>
      <c r="K1189" s="52" t="n">
        <v>47868</v>
      </c>
      <c r="M1189" s="51" t="s">
        <v>3273</v>
      </c>
      <c r="N1189" s="0" t="n">
        <v>24</v>
      </c>
      <c r="O1189" s="53" t="n">
        <v>46061.3634606482</v>
      </c>
      <c r="P1189" s="53" t="n">
        <v>46064.7317939815</v>
      </c>
      <c r="Q1189" s="53" t="n">
        <v>46061.3634606482</v>
      </c>
      <c r="R1189" s="0" t="n">
        <v>0</v>
      </c>
      <c r="S1189" s="51" t="s">
        <v>3129</v>
      </c>
      <c r="T1189" s="51" t="s">
        <v>3129</v>
      </c>
      <c r="U1189" s="51" t="s">
        <v>2278</v>
      </c>
      <c r="V1189" s="51" t="s">
        <v>2205</v>
      </c>
      <c r="W1189" s="51" t="s">
        <v>3572</v>
      </c>
      <c r="X1189" s="51"/>
    </row>
    <row r="1190" customFormat="false" ht="14.25" hidden="false" customHeight="false" outlineLevel="0" collapsed="false">
      <c r="A1190" s="49" t="s">
        <v>2251</v>
      </c>
      <c r="B1190" s="49" t="s">
        <v>14</v>
      </c>
      <c r="C1190" s="49" t="s">
        <v>1038</v>
      </c>
      <c r="D1190" s="49" t="s">
        <v>2441</v>
      </c>
      <c r="E1190" s="49" t="s">
        <v>2278</v>
      </c>
      <c r="F1190" s="49" t="s">
        <v>831</v>
      </c>
      <c r="G1190" s="49" t="n">
        <v>24</v>
      </c>
      <c r="H1190" s="0" t="n">
        <v>0</v>
      </c>
      <c r="I1190" s="51" t="s">
        <v>3573</v>
      </c>
      <c r="J1190" s="55" t="s">
        <v>2280</v>
      </c>
      <c r="K1190" s="52" t="n">
        <v>47868</v>
      </c>
      <c r="M1190" s="51" t="s">
        <v>3273</v>
      </c>
      <c r="N1190" s="0" t="n">
        <v>24</v>
      </c>
      <c r="O1190" s="53" t="n">
        <v>46061.3598958333</v>
      </c>
      <c r="P1190" s="53" t="n">
        <v>46064.7289236111</v>
      </c>
      <c r="Q1190" s="53" t="n">
        <v>46061.3598958333</v>
      </c>
      <c r="R1190" s="0" t="n">
        <v>0</v>
      </c>
      <c r="S1190" s="51" t="s">
        <v>3129</v>
      </c>
      <c r="T1190" s="51" t="s">
        <v>3129</v>
      </c>
      <c r="U1190" s="51" t="s">
        <v>2278</v>
      </c>
      <c r="V1190" s="51" t="s">
        <v>2205</v>
      </c>
      <c r="W1190" s="51" t="s">
        <v>3574</v>
      </c>
      <c r="X1190" s="51"/>
    </row>
    <row r="1191" customFormat="false" ht="14.25" hidden="false" customHeight="false" outlineLevel="0" collapsed="false">
      <c r="A1191" s="49" t="s">
        <v>2251</v>
      </c>
      <c r="B1191" s="49" t="s">
        <v>14</v>
      </c>
      <c r="C1191" s="49" t="s">
        <v>1039</v>
      </c>
      <c r="D1191" s="49" t="s">
        <v>2441</v>
      </c>
      <c r="E1191" s="49" t="s">
        <v>2278</v>
      </c>
      <c r="F1191" s="49" t="s">
        <v>831</v>
      </c>
      <c r="G1191" s="49" t="n">
        <v>24</v>
      </c>
      <c r="H1191" s="0" t="n">
        <v>0</v>
      </c>
      <c r="I1191" s="51" t="s">
        <v>3358</v>
      </c>
      <c r="J1191" s="55" t="s">
        <v>2280</v>
      </c>
      <c r="K1191" s="52" t="n">
        <v>47868</v>
      </c>
      <c r="M1191" s="51" t="s">
        <v>3273</v>
      </c>
      <c r="N1191" s="0" t="n">
        <v>24</v>
      </c>
      <c r="O1191" s="53" t="n">
        <v>46061.3582291667</v>
      </c>
      <c r="P1191" s="53" t="n">
        <v>46064.7258912037</v>
      </c>
      <c r="Q1191" s="53" t="n">
        <v>46061.3582291667</v>
      </c>
      <c r="R1191" s="0" t="n">
        <v>0</v>
      </c>
      <c r="S1191" s="51" t="s">
        <v>3129</v>
      </c>
      <c r="T1191" s="51" t="s">
        <v>3129</v>
      </c>
      <c r="U1191" s="51" t="s">
        <v>2278</v>
      </c>
      <c r="V1191" s="51" t="s">
        <v>2205</v>
      </c>
      <c r="W1191" s="51" t="s">
        <v>3575</v>
      </c>
      <c r="X1191" s="51"/>
    </row>
    <row r="1192" customFormat="false" ht="14.25" hidden="false" customHeight="false" outlineLevel="0" collapsed="false">
      <c r="A1192" s="49" t="s">
        <v>2251</v>
      </c>
      <c r="B1192" s="49" t="s">
        <v>14</v>
      </c>
      <c r="C1192" s="49" t="s">
        <v>1040</v>
      </c>
      <c r="D1192" s="49" t="s">
        <v>2441</v>
      </c>
      <c r="E1192" s="49" t="s">
        <v>2278</v>
      </c>
      <c r="F1192" s="49" t="s">
        <v>831</v>
      </c>
      <c r="G1192" s="49" t="n">
        <v>24</v>
      </c>
      <c r="H1192" s="0" t="n">
        <v>0</v>
      </c>
      <c r="I1192" s="51" t="s">
        <v>3259</v>
      </c>
      <c r="J1192" s="55" t="s">
        <v>2280</v>
      </c>
      <c r="K1192" s="52" t="n">
        <v>47868</v>
      </c>
      <c r="M1192" s="51" t="s">
        <v>3273</v>
      </c>
      <c r="N1192" s="0" t="n">
        <v>24</v>
      </c>
      <c r="O1192" s="53" t="n">
        <v>46061.3575694444</v>
      </c>
      <c r="P1192" s="53" t="n">
        <v>46064.724525463</v>
      </c>
      <c r="Q1192" s="53" t="n">
        <v>46061.3575694444</v>
      </c>
      <c r="R1192" s="0" t="n">
        <v>0</v>
      </c>
      <c r="S1192" s="51" t="s">
        <v>3129</v>
      </c>
      <c r="T1192" s="51" t="s">
        <v>3129</v>
      </c>
      <c r="U1192" s="51" t="s">
        <v>2278</v>
      </c>
      <c r="V1192" s="51" t="s">
        <v>2205</v>
      </c>
      <c r="W1192" s="51" t="s">
        <v>3576</v>
      </c>
      <c r="X1192" s="51"/>
    </row>
    <row r="1193" customFormat="false" ht="14.25" hidden="false" customHeight="false" outlineLevel="0" collapsed="false">
      <c r="A1193" s="49" t="s">
        <v>2251</v>
      </c>
      <c r="B1193" s="49" t="s">
        <v>14</v>
      </c>
      <c r="C1193" s="49" t="s">
        <v>1041</v>
      </c>
      <c r="D1193" s="49" t="s">
        <v>2441</v>
      </c>
      <c r="E1193" s="49" t="s">
        <v>2278</v>
      </c>
      <c r="F1193" s="49" t="s">
        <v>831</v>
      </c>
      <c r="G1193" s="49" t="n">
        <v>24</v>
      </c>
      <c r="H1193" s="0" t="n">
        <v>0</v>
      </c>
      <c r="I1193" s="51" t="s">
        <v>3577</v>
      </c>
      <c r="J1193" s="55" t="s">
        <v>2280</v>
      </c>
      <c r="K1193" s="52" t="n">
        <v>47868</v>
      </c>
      <c r="M1193" s="51" t="s">
        <v>3273</v>
      </c>
      <c r="N1193" s="0" t="n">
        <v>24</v>
      </c>
      <c r="O1193" s="53" t="n">
        <v>46061.356875</v>
      </c>
      <c r="P1193" s="53" t="n">
        <v>46064.7232638889</v>
      </c>
      <c r="Q1193" s="53" t="n">
        <v>46061.356875</v>
      </c>
      <c r="R1193" s="0" t="n">
        <v>0</v>
      </c>
      <c r="S1193" s="51" t="s">
        <v>3129</v>
      </c>
      <c r="T1193" s="51" t="s">
        <v>3129</v>
      </c>
      <c r="U1193" s="51" t="s">
        <v>2278</v>
      </c>
      <c r="V1193" s="51" t="s">
        <v>2205</v>
      </c>
      <c r="W1193" s="51" t="s">
        <v>3578</v>
      </c>
      <c r="X1193" s="51"/>
    </row>
    <row r="1194" customFormat="false" ht="14.25" hidden="false" customHeight="false" outlineLevel="0" collapsed="false">
      <c r="A1194" s="49" t="s">
        <v>2251</v>
      </c>
      <c r="B1194" s="49" t="s">
        <v>14</v>
      </c>
      <c r="C1194" s="49" t="s">
        <v>1042</v>
      </c>
      <c r="D1194" s="49" t="s">
        <v>2441</v>
      </c>
      <c r="E1194" s="49" t="s">
        <v>2278</v>
      </c>
      <c r="F1194" s="49" t="s">
        <v>831</v>
      </c>
      <c r="G1194" s="49" t="n">
        <v>24</v>
      </c>
      <c r="H1194" s="0" t="n">
        <v>0</v>
      </c>
      <c r="I1194" s="51" t="s">
        <v>3579</v>
      </c>
      <c r="J1194" s="55" t="s">
        <v>2280</v>
      </c>
      <c r="K1194" s="52" t="n">
        <v>47868</v>
      </c>
      <c r="M1194" s="51" t="s">
        <v>3273</v>
      </c>
      <c r="N1194" s="0" t="n">
        <v>24</v>
      </c>
      <c r="O1194" s="53" t="n">
        <v>46061.35625</v>
      </c>
      <c r="P1194" s="53" t="n">
        <v>46064.7217824074</v>
      </c>
      <c r="Q1194" s="53" t="n">
        <v>46061.35625</v>
      </c>
      <c r="R1194" s="0" t="n">
        <v>0</v>
      </c>
      <c r="S1194" s="51" t="s">
        <v>3129</v>
      </c>
      <c r="T1194" s="51" t="s">
        <v>3129</v>
      </c>
      <c r="U1194" s="51" t="s">
        <v>2278</v>
      </c>
      <c r="V1194" s="51" t="s">
        <v>2205</v>
      </c>
      <c r="W1194" s="51" t="s">
        <v>3580</v>
      </c>
      <c r="X1194" s="51"/>
    </row>
    <row r="1195" customFormat="false" ht="14.25" hidden="false" customHeight="false" outlineLevel="0" collapsed="false">
      <c r="A1195" s="49" t="s">
        <v>2251</v>
      </c>
      <c r="B1195" s="49" t="s">
        <v>14</v>
      </c>
      <c r="C1195" s="49" t="s">
        <v>1043</v>
      </c>
      <c r="D1195" s="49" t="s">
        <v>2441</v>
      </c>
      <c r="E1195" s="49" t="s">
        <v>2278</v>
      </c>
      <c r="F1195" s="49" t="s">
        <v>831</v>
      </c>
      <c r="G1195" s="49" t="n">
        <v>24</v>
      </c>
      <c r="H1195" s="0" t="n">
        <v>0</v>
      </c>
      <c r="I1195" s="51" t="s">
        <v>3581</v>
      </c>
      <c r="J1195" s="55" t="s">
        <v>2280</v>
      </c>
      <c r="K1195" s="52" t="n">
        <v>47868</v>
      </c>
      <c r="M1195" s="51" t="s">
        <v>3273</v>
      </c>
      <c r="N1195" s="0" t="n">
        <v>24</v>
      </c>
      <c r="O1195" s="53" t="n">
        <v>46061.3535300926</v>
      </c>
      <c r="P1195" s="53" t="n">
        <v>46064.7158680556</v>
      </c>
      <c r="Q1195" s="53" t="n">
        <v>46061.3535300926</v>
      </c>
      <c r="R1195" s="0" t="n">
        <v>0</v>
      </c>
      <c r="S1195" s="51" t="s">
        <v>3129</v>
      </c>
      <c r="T1195" s="51" t="s">
        <v>3129</v>
      </c>
      <c r="U1195" s="51" t="s">
        <v>2278</v>
      </c>
      <c r="V1195" s="51" t="s">
        <v>2205</v>
      </c>
      <c r="W1195" s="51" t="s">
        <v>3434</v>
      </c>
      <c r="X1195" s="51"/>
    </row>
    <row r="1196" customFormat="false" ht="14.25" hidden="false" customHeight="false" outlineLevel="0" collapsed="false">
      <c r="A1196" s="49" t="s">
        <v>2251</v>
      </c>
      <c r="B1196" s="49" t="s">
        <v>14</v>
      </c>
      <c r="C1196" s="49" t="s">
        <v>1046</v>
      </c>
      <c r="D1196" s="49" t="s">
        <v>2441</v>
      </c>
      <c r="E1196" s="49" t="s">
        <v>2278</v>
      </c>
      <c r="F1196" s="49" t="s">
        <v>831</v>
      </c>
      <c r="G1196" s="49" t="n">
        <v>24</v>
      </c>
      <c r="H1196" s="0" t="n">
        <v>0</v>
      </c>
      <c r="I1196" s="51" t="s">
        <v>3582</v>
      </c>
      <c r="J1196" s="55" t="s">
        <v>2280</v>
      </c>
      <c r="K1196" s="52" t="n">
        <v>47868</v>
      </c>
      <c r="M1196" s="51" t="s">
        <v>3273</v>
      </c>
      <c r="N1196" s="0" t="n">
        <v>24</v>
      </c>
      <c r="O1196" s="53" t="n">
        <v>46061.3520601852</v>
      </c>
      <c r="P1196" s="53" t="n">
        <v>46064.7124421296</v>
      </c>
      <c r="Q1196" s="53" t="n">
        <v>46061.3520601852</v>
      </c>
      <c r="R1196" s="0" t="n">
        <v>0</v>
      </c>
      <c r="S1196" s="51" t="s">
        <v>3129</v>
      </c>
      <c r="T1196" s="51" t="s">
        <v>3129</v>
      </c>
      <c r="U1196" s="51" t="s">
        <v>2278</v>
      </c>
      <c r="V1196" s="51" t="s">
        <v>2205</v>
      </c>
      <c r="W1196" s="51" t="s">
        <v>3414</v>
      </c>
      <c r="X1196" s="51"/>
    </row>
    <row r="1197" customFormat="false" ht="14.25" hidden="false" customHeight="false" outlineLevel="0" collapsed="false">
      <c r="A1197" s="49" t="s">
        <v>2251</v>
      </c>
      <c r="B1197" s="49" t="s">
        <v>14</v>
      </c>
      <c r="C1197" s="49" t="s">
        <v>1047</v>
      </c>
      <c r="D1197" s="49" t="s">
        <v>2441</v>
      </c>
      <c r="E1197" s="49" t="s">
        <v>2278</v>
      </c>
      <c r="F1197" s="49" t="s">
        <v>831</v>
      </c>
      <c r="G1197" s="49" t="n">
        <v>24</v>
      </c>
      <c r="H1197" s="0" t="n">
        <v>0</v>
      </c>
      <c r="I1197" s="51" t="s">
        <v>3583</v>
      </c>
      <c r="J1197" s="55" t="s">
        <v>2280</v>
      </c>
      <c r="K1197" s="52" t="n">
        <v>47868</v>
      </c>
      <c r="M1197" s="51" t="s">
        <v>3273</v>
      </c>
      <c r="N1197" s="0" t="n">
        <v>24</v>
      </c>
      <c r="O1197" s="53" t="n">
        <v>46061.3457291667</v>
      </c>
      <c r="P1197" s="53" t="n">
        <v>46064.7063541667</v>
      </c>
      <c r="Q1197" s="53" t="n">
        <v>46061.3457291667</v>
      </c>
      <c r="R1197" s="0" t="n">
        <v>0</v>
      </c>
      <c r="S1197" s="51" t="s">
        <v>3129</v>
      </c>
      <c r="T1197" s="51" t="s">
        <v>3129</v>
      </c>
      <c r="U1197" s="51" t="s">
        <v>2278</v>
      </c>
      <c r="V1197" s="51" t="s">
        <v>2205</v>
      </c>
      <c r="W1197" s="51" t="s">
        <v>3584</v>
      </c>
      <c r="X1197" s="51"/>
    </row>
    <row r="1198" customFormat="false" ht="14.25" hidden="false" customHeight="false" outlineLevel="0" collapsed="false">
      <c r="A1198" s="49" t="s">
        <v>2251</v>
      </c>
      <c r="B1198" s="49" t="s">
        <v>14</v>
      </c>
      <c r="C1198" s="49" t="s">
        <v>427</v>
      </c>
      <c r="D1198" s="49" t="s">
        <v>2441</v>
      </c>
      <c r="E1198" s="49" t="s">
        <v>2271</v>
      </c>
      <c r="F1198" s="49" t="s">
        <v>420</v>
      </c>
      <c r="G1198" s="49" t="n">
        <v>17</v>
      </c>
      <c r="H1198" s="0" t="n">
        <v>0</v>
      </c>
      <c r="I1198" s="51" t="s">
        <v>2272</v>
      </c>
      <c r="J1198" s="55" t="s">
        <v>2273</v>
      </c>
      <c r="K1198" s="52" t="n">
        <v>47869</v>
      </c>
      <c r="M1198" s="51" t="s">
        <v>3133</v>
      </c>
      <c r="N1198" s="0" t="n">
        <v>24</v>
      </c>
      <c r="O1198" s="53" t="n">
        <v>46054.4323263889</v>
      </c>
      <c r="P1198" s="53" t="n">
        <v>46068.7150694444</v>
      </c>
      <c r="Q1198" s="53" t="n">
        <v>46054.4323148148</v>
      </c>
      <c r="R1198" s="0" t="n">
        <v>0</v>
      </c>
      <c r="S1198" s="51" t="s">
        <v>3129</v>
      </c>
      <c r="T1198" s="51" t="s">
        <v>3129</v>
      </c>
      <c r="U1198" s="51" t="s">
        <v>2271</v>
      </c>
      <c r="V1198" s="51" t="s">
        <v>2205</v>
      </c>
      <c r="W1198" s="51" t="s">
        <v>2274</v>
      </c>
      <c r="X1198" s="51"/>
    </row>
    <row r="1199" customFormat="false" ht="14.25" hidden="false" customHeight="false" outlineLevel="0" collapsed="false">
      <c r="A1199" s="49" t="s">
        <v>2251</v>
      </c>
      <c r="B1199" s="49" t="s">
        <v>14</v>
      </c>
      <c r="C1199" s="49" t="s">
        <v>1276</v>
      </c>
      <c r="D1199" s="49" t="s">
        <v>2441</v>
      </c>
      <c r="E1199" s="49" t="s">
        <v>2271</v>
      </c>
      <c r="F1199" s="49" t="s">
        <v>420</v>
      </c>
      <c r="G1199" s="49" t="n">
        <v>24</v>
      </c>
      <c r="H1199" s="0" t="n">
        <v>0</v>
      </c>
      <c r="I1199" s="51" t="s">
        <v>3585</v>
      </c>
      <c r="J1199" s="55" t="s">
        <v>2273</v>
      </c>
      <c r="K1199" s="52" t="n">
        <v>47869</v>
      </c>
      <c r="M1199" s="51" t="s">
        <v>3135</v>
      </c>
      <c r="N1199" s="0" t="n">
        <v>24</v>
      </c>
      <c r="O1199" s="53" t="n">
        <v>46065.6316782407</v>
      </c>
      <c r="P1199" s="53" t="n">
        <v>46065.7395023148</v>
      </c>
      <c r="Q1199" s="53" t="n">
        <v>46065.6316782407</v>
      </c>
      <c r="R1199" s="0" t="n">
        <v>0</v>
      </c>
      <c r="S1199" s="51" t="s">
        <v>3129</v>
      </c>
      <c r="T1199" s="51" t="s">
        <v>3129</v>
      </c>
      <c r="U1199" s="51" t="s">
        <v>2271</v>
      </c>
      <c r="V1199" s="51" t="s">
        <v>2205</v>
      </c>
      <c r="W1199" s="51"/>
      <c r="X1199" s="51"/>
    </row>
    <row r="1200" customFormat="false" ht="14.25" hidden="false" customHeight="false" outlineLevel="0" collapsed="false">
      <c r="A1200" s="49" t="s">
        <v>2251</v>
      </c>
      <c r="B1200" s="49" t="s">
        <v>14</v>
      </c>
      <c r="C1200" s="49" t="s">
        <v>1269</v>
      </c>
      <c r="D1200" s="49" t="s">
        <v>2441</v>
      </c>
      <c r="E1200" s="49" t="s">
        <v>2271</v>
      </c>
      <c r="F1200" s="49" t="s">
        <v>420</v>
      </c>
      <c r="G1200" s="49" t="n">
        <v>24</v>
      </c>
      <c r="H1200" s="0" t="n">
        <v>0</v>
      </c>
      <c r="I1200" s="51" t="s">
        <v>3586</v>
      </c>
      <c r="J1200" s="55" t="s">
        <v>2273</v>
      </c>
      <c r="K1200" s="52" t="n">
        <v>47869</v>
      </c>
      <c r="M1200" s="51" t="s">
        <v>3135</v>
      </c>
      <c r="N1200" s="0" t="n">
        <v>24</v>
      </c>
      <c r="O1200" s="53" t="n">
        <v>46065.6352314815</v>
      </c>
      <c r="P1200" s="53" t="n">
        <v>46065.7187037037</v>
      </c>
      <c r="Q1200" s="53" t="n">
        <v>46065.6352314815</v>
      </c>
      <c r="R1200" s="0" t="n">
        <v>0</v>
      </c>
      <c r="S1200" s="51" t="s">
        <v>3129</v>
      </c>
      <c r="T1200" s="51" t="s">
        <v>3129</v>
      </c>
      <c r="U1200" s="51" t="s">
        <v>2271</v>
      </c>
      <c r="V1200" s="51" t="s">
        <v>2205</v>
      </c>
      <c r="W1200" s="51"/>
      <c r="X1200" s="51"/>
    </row>
    <row r="1201" customFormat="false" ht="14.25" hidden="false" customHeight="false" outlineLevel="0" collapsed="false">
      <c r="A1201" s="49" t="s">
        <v>2251</v>
      </c>
      <c r="B1201" s="49" t="s">
        <v>14</v>
      </c>
      <c r="C1201" s="49" t="s">
        <v>1272</v>
      </c>
      <c r="D1201" s="49" t="s">
        <v>2441</v>
      </c>
      <c r="E1201" s="49" t="s">
        <v>2271</v>
      </c>
      <c r="F1201" s="49" t="s">
        <v>420</v>
      </c>
      <c r="G1201" s="49" t="n">
        <v>24</v>
      </c>
      <c r="H1201" s="0" t="n">
        <v>0</v>
      </c>
      <c r="I1201" s="51" t="s">
        <v>3587</v>
      </c>
      <c r="J1201" s="55" t="s">
        <v>2273</v>
      </c>
      <c r="K1201" s="52" t="n">
        <v>47869</v>
      </c>
      <c r="M1201" s="51" t="s">
        <v>3135</v>
      </c>
      <c r="N1201" s="0" t="n">
        <v>24</v>
      </c>
      <c r="O1201" s="53" t="n">
        <v>46065.634375</v>
      </c>
      <c r="P1201" s="53" t="n">
        <v>46065.7331597222</v>
      </c>
      <c r="Q1201" s="53" t="n">
        <v>46065.634375</v>
      </c>
      <c r="R1201" s="0" t="n">
        <v>0</v>
      </c>
      <c r="S1201" s="51" t="s">
        <v>3129</v>
      </c>
      <c r="T1201" s="51" t="s">
        <v>3129</v>
      </c>
      <c r="U1201" s="51" t="s">
        <v>2271</v>
      </c>
      <c r="V1201" s="51" t="s">
        <v>2205</v>
      </c>
      <c r="W1201" s="51"/>
      <c r="X1201" s="51"/>
    </row>
    <row r="1202" customFormat="false" ht="14.25" hidden="false" customHeight="false" outlineLevel="0" collapsed="false">
      <c r="A1202" s="49" t="s">
        <v>2251</v>
      </c>
      <c r="B1202" s="49" t="s">
        <v>14</v>
      </c>
      <c r="C1202" s="49" t="s">
        <v>750</v>
      </c>
      <c r="D1202" s="49" t="s">
        <v>2441</v>
      </c>
      <c r="E1202" s="49" t="s">
        <v>3032</v>
      </c>
      <c r="F1202" s="49" t="s">
        <v>562</v>
      </c>
      <c r="G1202" s="49" t="n">
        <v>4</v>
      </c>
      <c r="H1202" s="0" t="n">
        <v>0</v>
      </c>
      <c r="I1202" s="51" t="s">
        <v>3588</v>
      </c>
      <c r="J1202" s="55" t="s">
        <v>3092</v>
      </c>
      <c r="K1202" s="52" t="n">
        <v>47869</v>
      </c>
      <c r="M1202" s="51" t="s">
        <v>3433</v>
      </c>
      <c r="N1202" s="0" t="n">
        <v>4</v>
      </c>
      <c r="O1202" s="53" t="n">
        <v>46057.6443287037</v>
      </c>
      <c r="P1202" s="53" t="n">
        <v>46057.7364236111</v>
      </c>
      <c r="Q1202" s="53" t="n">
        <v>46057.6443287037</v>
      </c>
      <c r="R1202" s="0" t="n">
        <v>0</v>
      </c>
      <c r="S1202" s="51" t="s">
        <v>3129</v>
      </c>
      <c r="T1202" s="51" t="s">
        <v>3129</v>
      </c>
      <c r="U1202" s="51" t="s">
        <v>3032</v>
      </c>
      <c r="V1202" s="51" t="s">
        <v>2142</v>
      </c>
      <c r="W1202" s="51"/>
      <c r="X1202" s="51"/>
    </row>
    <row r="1203" customFormat="false" ht="14.25" hidden="false" customHeight="false" outlineLevel="0" collapsed="false">
      <c r="A1203" s="49" t="s">
        <v>2251</v>
      </c>
      <c r="B1203" s="49" t="s">
        <v>14</v>
      </c>
      <c r="C1203" s="49" t="s">
        <v>749</v>
      </c>
      <c r="D1203" s="49" t="s">
        <v>2441</v>
      </c>
      <c r="E1203" s="49" t="s">
        <v>3032</v>
      </c>
      <c r="F1203" s="49" t="s">
        <v>562</v>
      </c>
      <c r="G1203" s="49" t="n">
        <v>4</v>
      </c>
      <c r="H1203" s="0" t="n">
        <v>0</v>
      </c>
      <c r="I1203" s="51" t="s">
        <v>3589</v>
      </c>
      <c r="J1203" s="55" t="s">
        <v>3590</v>
      </c>
      <c r="K1203" s="52" t="n">
        <v>47869</v>
      </c>
      <c r="M1203" s="51" t="s">
        <v>3433</v>
      </c>
      <c r="N1203" s="0" t="n">
        <v>4</v>
      </c>
      <c r="O1203" s="53" t="n">
        <v>46057.6438425926</v>
      </c>
      <c r="P1203" s="53" t="n">
        <v>46057.7292361111</v>
      </c>
      <c r="Q1203" s="53" t="n">
        <v>46057.6438425926</v>
      </c>
      <c r="R1203" s="0" t="n">
        <v>0</v>
      </c>
      <c r="S1203" s="51" t="s">
        <v>3129</v>
      </c>
      <c r="T1203" s="51" t="s">
        <v>3129</v>
      </c>
      <c r="U1203" s="51" t="s">
        <v>3032</v>
      </c>
      <c r="V1203" s="51" t="s">
        <v>2142</v>
      </c>
      <c r="W1203" s="51"/>
      <c r="X1203" s="51"/>
    </row>
    <row r="1204" customFormat="false" ht="14.25" hidden="false" customHeight="false" outlineLevel="0" collapsed="false">
      <c r="A1204" s="49" t="s">
        <v>2251</v>
      </c>
      <c r="B1204" s="49" t="s">
        <v>14</v>
      </c>
      <c r="C1204" s="49" t="s">
        <v>751</v>
      </c>
      <c r="D1204" s="49" t="s">
        <v>2441</v>
      </c>
      <c r="E1204" s="49" t="s">
        <v>3032</v>
      </c>
      <c r="F1204" s="49" t="s">
        <v>562</v>
      </c>
      <c r="G1204" s="49" t="n">
        <v>4</v>
      </c>
      <c r="H1204" s="0" t="n">
        <v>0</v>
      </c>
      <c r="I1204" s="51" t="s">
        <v>3591</v>
      </c>
      <c r="J1204" s="55" t="s">
        <v>3092</v>
      </c>
      <c r="K1204" s="52" t="n">
        <v>47869</v>
      </c>
      <c r="M1204" s="51" t="s">
        <v>3433</v>
      </c>
      <c r="N1204" s="0" t="n">
        <v>4</v>
      </c>
      <c r="O1204" s="53" t="n">
        <v>46057.6431481482</v>
      </c>
      <c r="P1204" s="53" t="n">
        <v>46057.7529398148</v>
      </c>
      <c r="Q1204" s="53" t="n">
        <v>46057.6431481482</v>
      </c>
      <c r="R1204" s="0" t="n">
        <v>0</v>
      </c>
      <c r="S1204" s="51" t="s">
        <v>3129</v>
      </c>
      <c r="T1204" s="51" t="s">
        <v>3129</v>
      </c>
      <c r="U1204" s="51" t="s">
        <v>3032</v>
      </c>
      <c r="V1204" s="51" t="s">
        <v>2142</v>
      </c>
      <c r="W1204" s="51"/>
      <c r="X1204" s="51"/>
    </row>
    <row r="1205" customFormat="false" ht="14.25" hidden="false" customHeight="false" outlineLevel="0" collapsed="false">
      <c r="A1205" s="49" t="s">
        <v>2251</v>
      </c>
      <c r="B1205" s="49" t="s">
        <v>14</v>
      </c>
      <c r="C1205" s="49" t="s">
        <v>752</v>
      </c>
      <c r="D1205" s="49" t="s">
        <v>2441</v>
      </c>
      <c r="E1205" s="49" t="s">
        <v>3032</v>
      </c>
      <c r="F1205" s="49" t="s">
        <v>562</v>
      </c>
      <c r="G1205" s="49" t="n">
        <v>4</v>
      </c>
      <c r="H1205" s="0" t="n">
        <v>0</v>
      </c>
      <c r="I1205" s="51" t="s">
        <v>3589</v>
      </c>
      <c r="J1205" s="55" t="s">
        <v>3590</v>
      </c>
      <c r="K1205" s="52" t="n">
        <v>47869</v>
      </c>
      <c r="M1205" s="51" t="s">
        <v>3433</v>
      </c>
      <c r="N1205" s="0" t="n">
        <v>4</v>
      </c>
      <c r="O1205" s="53" t="n">
        <v>46057.6421875</v>
      </c>
      <c r="P1205" s="53" t="n">
        <v>46057.7273611111</v>
      </c>
      <c r="Q1205" s="53" t="n">
        <v>46057.6421875</v>
      </c>
      <c r="R1205" s="0" t="n">
        <v>0</v>
      </c>
      <c r="S1205" s="51" t="s">
        <v>3129</v>
      </c>
      <c r="T1205" s="51" t="s">
        <v>3129</v>
      </c>
      <c r="U1205" s="51" t="s">
        <v>3032</v>
      </c>
      <c r="V1205" s="51" t="s">
        <v>2142</v>
      </c>
      <c r="X1205" s="51"/>
    </row>
    <row r="1206" customFormat="false" ht="14.25" hidden="false" customHeight="false" outlineLevel="0" collapsed="false">
      <c r="A1206" s="49" t="s">
        <v>2251</v>
      </c>
      <c r="B1206" s="49" t="s">
        <v>14</v>
      </c>
      <c r="C1206" s="49" t="s">
        <v>753</v>
      </c>
      <c r="D1206" s="49" t="s">
        <v>2441</v>
      </c>
      <c r="E1206" s="49" t="s">
        <v>3032</v>
      </c>
      <c r="F1206" s="49" t="s">
        <v>562</v>
      </c>
      <c r="G1206" s="49" t="n">
        <v>4</v>
      </c>
      <c r="H1206" s="0" t="n">
        <v>0</v>
      </c>
      <c r="I1206" s="51" t="s">
        <v>3591</v>
      </c>
      <c r="J1206" s="55" t="s">
        <v>3092</v>
      </c>
      <c r="K1206" s="52" t="n">
        <v>47869</v>
      </c>
      <c r="M1206" s="51" t="s">
        <v>3433</v>
      </c>
      <c r="N1206" s="0" t="n">
        <v>4</v>
      </c>
      <c r="O1206" s="53" t="n">
        <v>46057.6416435185</v>
      </c>
      <c r="P1206" s="53" t="n">
        <v>46057.7557407407</v>
      </c>
      <c r="Q1206" s="53" t="n">
        <v>46057.6416435185</v>
      </c>
      <c r="R1206" s="0" t="n">
        <v>0</v>
      </c>
      <c r="S1206" s="51" t="s">
        <v>3129</v>
      </c>
      <c r="T1206" s="51" t="s">
        <v>3129</v>
      </c>
      <c r="U1206" s="51" t="s">
        <v>3032</v>
      </c>
      <c r="V1206" s="51" t="s">
        <v>2142</v>
      </c>
      <c r="X1206" s="51"/>
    </row>
    <row r="1207" customFormat="false" ht="14.25" hidden="false" customHeight="false" outlineLevel="0" collapsed="false">
      <c r="A1207" s="49" t="s">
        <v>2251</v>
      </c>
      <c r="B1207" s="49" t="s">
        <v>14</v>
      </c>
      <c r="C1207" s="49" t="s">
        <v>754</v>
      </c>
      <c r="D1207" s="49" t="s">
        <v>2441</v>
      </c>
      <c r="E1207" s="49" t="s">
        <v>3032</v>
      </c>
      <c r="F1207" s="49" t="s">
        <v>562</v>
      </c>
      <c r="G1207" s="49" t="n">
        <v>4</v>
      </c>
      <c r="H1207" s="0" t="n">
        <v>0</v>
      </c>
      <c r="I1207" s="51" t="s">
        <v>3589</v>
      </c>
      <c r="J1207" s="55" t="s">
        <v>3590</v>
      </c>
      <c r="K1207" s="52" t="n">
        <v>47869</v>
      </c>
      <c r="M1207" s="51" t="s">
        <v>3433</v>
      </c>
      <c r="N1207" s="0" t="n">
        <v>4</v>
      </c>
      <c r="O1207" s="53" t="n">
        <v>46057.6412152778</v>
      </c>
      <c r="P1207" s="53" t="n">
        <v>46057.723287037</v>
      </c>
      <c r="Q1207" s="53" t="n">
        <v>46057.6412152778</v>
      </c>
      <c r="R1207" s="0" t="n">
        <v>0</v>
      </c>
      <c r="S1207" s="51" t="s">
        <v>3129</v>
      </c>
      <c r="T1207" s="51" t="s">
        <v>3129</v>
      </c>
      <c r="U1207" s="51" t="s">
        <v>3032</v>
      </c>
      <c r="V1207" s="51" t="s">
        <v>2142</v>
      </c>
      <c r="X1207" s="51"/>
    </row>
    <row r="1208" customFormat="false" ht="14.25" hidden="false" customHeight="false" outlineLevel="0" collapsed="false">
      <c r="A1208" s="49" t="s">
        <v>2251</v>
      </c>
      <c r="B1208" s="49" t="s">
        <v>14</v>
      </c>
      <c r="C1208" s="49" t="s">
        <v>755</v>
      </c>
      <c r="D1208" s="49" t="s">
        <v>2441</v>
      </c>
      <c r="E1208" s="49" t="s">
        <v>3032</v>
      </c>
      <c r="F1208" s="49" t="s">
        <v>562</v>
      </c>
      <c r="G1208" s="49" t="n">
        <v>4</v>
      </c>
      <c r="H1208" s="0" t="n">
        <v>0</v>
      </c>
      <c r="I1208" s="51" t="s">
        <v>3591</v>
      </c>
      <c r="J1208" s="55" t="s">
        <v>3092</v>
      </c>
      <c r="K1208" s="52" t="n">
        <v>47869</v>
      </c>
      <c r="M1208" s="51" t="s">
        <v>3433</v>
      </c>
      <c r="N1208" s="0" t="n">
        <v>4</v>
      </c>
      <c r="O1208" s="53" t="n">
        <v>46057.6406828704</v>
      </c>
      <c r="P1208" s="53" t="n">
        <v>46057.757337963</v>
      </c>
      <c r="Q1208" s="53" t="n">
        <v>46057.6406828704</v>
      </c>
      <c r="R1208" s="0" t="n">
        <v>0</v>
      </c>
      <c r="S1208" s="51" t="s">
        <v>3129</v>
      </c>
      <c r="T1208" s="51" t="s">
        <v>3129</v>
      </c>
      <c r="U1208" s="51" t="s">
        <v>3032</v>
      </c>
      <c r="V1208" s="51" t="s">
        <v>2142</v>
      </c>
      <c r="X1208" s="51"/>
    </row>
    <row r="1209" customFormat="false" ht="14.25" hidden="false" customHeight="false" outlineLevel="0" collapsed="false">
      <c r="A1209" s="49" t="s">
        <v>2251</v>
      </c>
      <c r="B1209" s="49" t="s">
        <v>14</v>
      </c>
      <c r="C1209" s="49" t="s">
        <v>761</v>
      </c>
      <c r="D1209" s="49" t="s">
        <v>2441</v>
      </c>
      <c r="E1209" s="49" t="s">
        <v>3032</v>
      </c>
      <c r="F1209" s="49" t="s">
        <v>562</v>
      </c>
      <c r="G1209" s="49" t="n">
        <v>4</v>
      </c>
      <c r="H1209" s="0" t="n">
        <v>0</v>
      </c>
      <c r="I1209" s="51" t="s">
        <v>3592</v>
      </c>
      <c r="J1209" s="55" t="s">
        <v>3590</v>
      </c>
      <c r="K1209" s="52" t="n">
        <v>47869</v>
      </c>
      <c r="M1209" s="51" t="s">
        <v>3433</v>
      </c>
      <c r="N1209" s="0" t="n">
        <v>4</v>
      </c>
      <c r="O1209" s="53" t="n">
        <v>46057.6387731481</v>
      </c>
      <c r="P1209" s="53" t="n">
        <v>46057.7194560185</v>
      </c>
      <c r="Q1209" s="53" t="n">
        <v>46057.6387731481</v>
      </c>
      <c r="R1209" s="0" t="n">
        <v>0</v>
      </c>
      <c r="S1209" s="51" t="s">
        <v>3129</v>
      </c>
      <c r="T1209" s="51" t="s">
        <v>3129</v>
      </c>
      <c r="U1209" s="51" t="s">
        <v>3032</v>
      </c>
      <c r="V1209" s="51" t="s">
        <v>2142</v>
      </c>
      <c r="X1209" s="51"/>
    </row>
    <row r="1210" customFormat="false" ht="14.25" hidden="false" customHeight="false" outlineLevel="0" collapsed="false">
      <c r="A1210" s="49" t="s">
        <v>2251</v>
      </c>
      <c r="B1210" s="49" t="s">
        <v>14</v>
      </c>
      <c r="C1210" s="49" t="s">
        <v>757</v>
      </c>
      <c r="D1210" s="49" t="s">
        <v>2441</v>
      </c>
      <c r="E1210" s="49" t="s">
        <v>3032</v>
      </c>
      <c r="F1210" s="49" t="s">
        <v>562</v>
      </c>
      <c r="G1210" s="49" t="n">
        <v>4</v>
      </c>
      <c r="H1210" s="0" t="n">
        <v>0</v>
      </c>
      <c r="I1210" s="51" t="s">
        <v>3591</v>
      </c>
      <c r="J1210" s="55" t="s">
        <v>3092</v>
      </c>
      <c r="K1210" s="52" t="n">
        <v>47869</v>
      </c>
      <c r="M1210" s="51" t="s">
        <v>3433</v>
      </c>
      <c r="N1210" s="0" t="n">
        <v>4</v>
      </c>
      <c r="O1210" s="53" t="n">
        <v>46057.6397800926</v>
      </c>
      <c r="P1210" s="53" t="n">
        <v>46057.7596180556</v>
      </c>
      <c r="Q1210" s="53" t="n">
        <v>46057.6397800926</v>
      </c>
      <c r="R1210" s="0" t="n">
        <v>0</v>
      </c>
      <c r="S1210" s="51" t="s">
        <v>3129</v>
      </c>
      <c r="T1210" s="51" t="s">
        <v>3129</v>
      </c>
      <c r="U1210" s="51" t="s">
        <v>3032</v>
      </c>
      <c r="V1210" s="51" t="s">
        <v>2142</v>
      </c>
      <c r="X1210" s="51"/>
    </row>
    <row r="1211" customFormat="false" ht="14.25" hidden="false" customHeight="false" outlineLevel="0" collapsed="false">
      <c r="A1211" s="49" t="s">
        <v>2251</v>
      </c>
      <c r="B1211" s="49" t="s">
        <v>14</v>
      </c>
      <c r="C1211" s="49" t="s">
        <v>756</v>
      </c>
      <c r="D1211" s="49" t="s">
        <v>2441</v>
      </c>
      <c r="E1211" s="49" t="s">
        <v>3032</v>
      </c>
      <c r="F1211" s="49" t="s">
        <v>562</v>
      </c>
      <c r="G1211" s="49" t="n">
        <v>4</v>
      </c>
      <c r="H1211" s="0" t="n">
        <v>0</v>
      </c>
      <c r="I1211" s="51" t="s">
        <v>3592</v>
      </c>
      <c r="J1211" s="55" t="s">
        <v>3590</v>
      </c>
      <c r="K1211" s="52" t="n">
        <v>47869</v>
      </c>
      <c r="M1211" s="51" t="s">
        <v>3433</v>
      </c>
      <c r="N1211" s="0" t="n">
        <v>4</v>
      </c>
      <c r="O1211" s="53" t="n">
        <v>46057.6402893519</v>
      </c>
      <c r="P1211" s="53" t="n">
        <v>46057.7173263889</v>
      </c>
      <c r="Q1211" s="53" t="n">
        <v>46057.6402893519</v>
      </c>
      <c r="R1211" s="0" t="n">
        <v>0</v>
      </c>
      <c r="S1211" s="51" t="s">
        <v>3129</v>
      </c>
      <c r="T1211" s="51" t="s">
        <v>3129</v>
      </c>
      <c r="U1211" s="51" t="s">
        <v>3032</v>
      </c>
      <c r="V1211" s="51" t="s">
        <v>2142</v>
      </c>
      <c r="X1211" s="51"/>
    </row>
    <row r="1212" customFormat="false" ht="14.25" hidden="false" customHeight="false" outlineLevel="0" collapsed="false">
      <c r="A1212" s="49" t="s">
        <v>2251</v>
      </c>
      <c r="B1212" s="49" t="s">
        <v>14</v>
      </c>
      <c r="C1212" s="49" t="s">
        <v>768</v>
      </c>
      <c r="D1212" s="49" t="s">
        <v>2441</v>
      </c>
      <c r="E1212" s="49" t="s">
        <v>3032</v>
      </c>
      <c r="F1212" s="49" t="s">
        <v>562</v>
      </c>
      <c r="G1212" s="49" t="n">
        <v>4</v>
      </c>
      <c r="H1212" s="0" t="n">
        <v>0</v>
      </c>
      <c r="I1212" s="51" t="s">
        <v>3592</v>
      </c>
      <c r="J1212" s="55" t="s">
        <v>3590</v>
      </c>
      <c r="K1212" s="52" t="n">
        <v>47869</v>
      </c>
      <c r="M1212" s="51" t="s">
        <v>3433</v>
      </c>
      <c r="N1212" s="0" t="n">
        <v>4</v>
      </c>
      <c r="O1212" s="53" t="n">
        <v>46057.6366087963</v>
      </c>
      <c r="P1212" s="53" t="n">
        <v>46057.7215393519</v>
      </c>
      <c r="Q1212" s="53" t="n">
        <v>46057.6366087963</v>
      </c>
      <c r="R1212" s="0" t="n">
        <v>0</v>
      </c>
      <c r="S1212" s="51" t="s">
        <v>3129</v>
      </c>
      <c r="T1212" s="51" t="s">
        <v>3129</v>
      </c>
      <c r="U1212" s="51" t="s">
        <v>3032</v>
      </c>
      <c r="V1212" s="51" t="s">
        <v>2142</v>
      </c>
      <c r="X1212" s="51"/>
    </row>
    <row r="1213" customFormat="false" ht="14.25" hidden="false" customHeight="false" outlineLevel="0" collapsed="false">
      <c r="A1213" s="49" t="s">
        <v>2251</v>
      </c>
      <c r="B1213" s="49" t="s">
        <v>14</v>
      </c>
      <c r="C1213" s="49" t="s">
        <v>767</v>
      </c>
      <c r="D1213" s="49" t="s">
        <v>2441</v>
      </c>
      <c r="E1213" s="49" t="s">
        <v>3032</v>
      </c>
      <c r="F1213" s="49" t="s">
        <v>562</v>
      </c>
      <c r="G1213" s="49" t="n">
        <v>4</v>
      </c>
      <c r="H1213" s="0" t="n">
        <v>0</v>
      </c>
      <c r="I1213" s="51" t="s">
        <v>3592</v>
      </c>
      <c r="J1213" s="55" t="s">
        <v>3590</v>
      </c>
      <c r="K1213" s="52" t="n">
        <v>47869</v>
      </c>
      <c r="M1213" s="51" t="s">
        <v>3433</v>
      </c>
      <c r="N1213" s="0" t="n">
        <v>4</v>
      </c>
      <c r="O1213" s="53" t="n">
        <v>46057.6348726852</v>
      </c>
      <c r="P1213" s="53" t="n">
        <v>46057.7143634259</v>
      </c>
      <c r="Q1213" s="53" t="n">
        <v>46057.6348726852</v>
      </c>
      <c r="R1213" s="0" t="n">
        <v>0</v>
      </c>
      <c r="S1213" s="51" t="s">
        <v>3129</v>
      </c>
      <c r="T1213" s="51" t="s">
        <v>3129</v>
      </c>
      <c r="U1213" s="51" t="s">
        <v>3032</v>
      </c>
      <c r="V1213" s="51" t="s">
        <v>2142</v>
      </c>
      <c r="X1213" s="51"/>
    </row>
    <row r="1214" customFormat="false" ht="14.25" hidden="false" customHeight="false" outlineLevel="0" collapsed="false">
      <c r="A1214" s="49" t="s">
        <v>2251</v>
      </c>
      <c r="B1214" s="49" t="s">
        <v>14</v>
      </c>
      <c r="C1214" s="49" t="s">
        <v>763</v>
      </c>
      <c r="D1214" s="49" t="s">
        <v>2441</v>
      </c>
      <c r="E1214" s="49" t="s">
        <v>3032</v>
      </c>
      <c r="F1214" s="49" t="s">
        <v>562</v>
      </c>
      <c r="G1214" s="49" t="n">
        <v>4</v>
      </c>
      <c r="H1214" s="0" t="n">
        <v>0</v>
      </c>
      <c r="I1214" s="51" t="s">
        <v>3592</v>
      </c>
      <c r="J1214" s="55" t="s">
        <v>3590</v>
      </c>
      <c r="K1214" s="52" t="n">
        <v>47869</v>
      </c>
      <c r="M1214" s="51" t="s">
        <v>3433</v>
      </c>
      <c r="N1214" s="0" t="n">
        <v>4</v>
      </c>
      <c r="O1214" s="53" t="n">
        <v>46057.6355092593</v>
      </c>
      <c r="P1214" s="53" t="n">
        <v>46057.7104398148</v>
      </c>
      <c r="Q1214" s="53" t="n">
        <v>46057.6355092593</v>
      </c>
      <c r="R1214" s="0" t="n">
        <v>0</v>
      </c>
      <c r="S1214" s="51" t="s">
        <v>3129</v>
      </c>
      <c r="T1214" s="51" t="s">
        <v>3129</v>
      </c>
      <c r="U1214" s="51" t="s">
        <v>3032</v>
      </c>
      <c r="V1214" s="51" t="s">
        <v>2142</v>
      </c>
      <c r="X1214" s="51"/>
    </row>
    <row r="1215" customFormat="false" ht="14.25" hidden="false" customHeight="false" outlineLevel="0" collapsed="false">
      <c r="A1215" s="49" t="s">
        <v>2251</v>
      </c>
      <c r="B1215" s="49" t="s">
        <v>14</v>
      </c>
      <c r="C1215" s="49" t="s">
        <v>740</v>
      </c>
      <c r="D1215" s="49" t="s">
        <v>2441</v>
      </c>
      <c r="E1215" s="49" t="s">
        <v>3032</v>
      </c>
      <c r="F1215" s="49" t="s">
        <v>562</v>
      </c>
      <c r="G1215" s="49" t="n">
        <v>3</v>
      </c>
      <c r="H1215" s="0" t="n">
        <v>0</v>
      </c>
      <c r="I1215" s="51" t="s">
        <v>3593</v>
      </c>
      <c r="J1215" s="55" t="s">
        <v>3594</v>
      </c>
      <c r="K1215" s="52" t="n">
        <v>47869</v>
      </c>
      <c r="M1215" s="51" t="s">
        <v>3433</v>
      </c>
      <c r="N1215" s="0" t="n">
        <v>3</v>
      </c>
      <c r="O1215" s="53" t="n">
        <v>46057.6515277778</v>
      </c>
      <c r="P1215" s="53" t="n">
        <v>46057.7831018519</v>
      </c>
      <c r="Q1215" s="53" t="n">
        <v>46057.6515277778</v>
      </c>
      <c r="R1215" s="0" t="n">
        <v>0</v>
      </c>
      <c r="S1215" s="51" t="s">
        <v>3129</v>
      </c>
      <c r="T1215" s="51" t="s">
        <v>3129</v>
      </c>
      <c r="U1215" s="51" t="s">
        <v>3032</v>
      </c>
      <c r="V1215" s="51" t="s">
        <v>2142</v>
      </c>
      <c r="X1215" s="51"/>
    </row>
    <row r="1216" customFormat="false" ht="14.25" hidden="false" customHeight="false" outlineLevel="0" collapsed="false">
      <c r="A1216" s="49" t="s">
        <v>2251</v>
      </c>
      <c r="B1216" s="49" t="s">
        <v>14</v>
      </c>
      <c r="C1216" s="49" t="s">
        <v>739</v>
      </c>
      <c r="D1216" s="49" t="s">
        <v>2441</v>
      </c>
      <c r="E1216" s="49" t="s">
        <v>3032</v>
      </c>
      <c r="F1216" s="49" t="s">
        <v>562</v>
      </c>
      <c r="G1216" s="49" t="n">
        <v>4</v>
      </c>
      <c r="H1216" s="0" t="n">
        <v>0</v>
      </c>
      <c r="I1216" s="51" t="s">
        <v>3589</v>
      </c>
      <c r="J1216" s="55" t="s">
        <v>3590</v>
      </c>
      <c r="K1216" s="52" t="n">
        <v>47869</v>
      </c>
      <c r="M1216" s="51" t="s">
        <v>3433</v>
      </c>
      <c r="N1216" s="0" t="n">
        <v>4</v>
      </c>
      <c r="O1216" s="53" t="n">
        <v>46057.6317708333</v>
      </c>
      <c r="P1216" s="53" t="n">
        <v>46057.7371990741</v>
      </c>
      <c r="Q1216" s="53" t="n">
        <v>46057.6317708333</v>
      </c>
      <c r="R1216" s="0" t="n">
        <v>0</v>
      </c>
      <c r="S1216" s="51" t="s">
        <v>3129</v>
      </c>
      <c r="T1216" s="51" t="s">
        <v>3129</v>
      </c>
      <c r="U1216" s="51" t="s">
        <v>3032</v>
      </c>
      <c r="V1216" s="51" t="s">
        <v>2142</v>
      </c>
      <c r="X1216" s="51"/>
    </row>
    <row r="1217" customFormat="false" ht="14.25" hidden="false" customHeight="false" outlineLevel="0" collapsed="false">
      <c r="A1217" s="49" t="s">
        <v>2251</v>
      </c>
      <c r="B1217" s="49" t="s">
        <v>14</v>
      </c>
      <c r="C1217" s="49" t="s">
        <v>747</v>
      </c>
      <c r="D1217" s="49" t="s">
        <v>2441</v>
      </c>
      <c r="E1217" s="49" t="s">
        <v>3032</v>
      </c>
      <c r="F1217" s="49" t="s">
        <v>562</v>
      </c>
      <c r="G1217" s="49" t="n">
        <v>4</v>
      </c>
      <c r="H1217" s="0" t="n">
        <v>0</v>
      </c>
      <c r="I1217" s="51" t="s">
        <v>3589</v>
      </c>
      <c r="J1217" s="55" t="s">
        <v>3590</v>
      </c>
      <c r="K1217" s="52" t="n">
        <v>47869</v>
      </c>
      <c r="M1217" s="51" t="s">
        <v>3433</v>
      </c>
      <c r="N1217" s="0" t="n">
        <v>4</v>
      </c>
      <c r="O1217" s="53" t="n">
        <v>46057.6448148148</v>
      </c>
      <c r="P1217" s="53" t="n">
        <v>46057.7329976852</v>
      </c>
      <c r="Q1217" s="53" t="n">
        <v>46057.6448148148</v>
      </c>
      <c r="R1217" s="0" t="n">
        <v>0</v>
      </c>
      <c r="S1217" s="51" t="s">
        <v>3129</v>
      </c>
      <c r="T1217" s="51" t="s">
        <v>3129</v>
      </c>
      <c r="U1217" s="51" t="s">
        <v>3032</v>
      </c>
      <c r="V1217" s="51" t="s">
        <v>2142</v>
      </c>
      <c r="X1217" s="51"/>
    </row>
    <row r="1218" customFormat="false" ht="14.25" hidden="false" customHeight="false" outlineLevel="0" collapsed="false">
      <c r="A1218" s="49" t="s">
        <v>2251</v>
      </c>
      <c r="B1218" s="49" t="s">
        <v>14</v>
      </c>
      <c r="C1218" s="49" t="s">
        <v>746</v>
      </c>
      <c r="D1218" s="49" t="s">
        <v>2441</v>
      </c>
      <c r="E1218" s="49" t="s">
        <v>3032</v>
      </c>
      <c r="F1218" s="49" t="s">
        <v>562</v>
      </c>
      <c r="G1218" s="49" t="n">
        <v>4</v>
      </c>
      <c r="H1218" s="0" t="n">
        <v>0</v>
      </c>
      <c r="I1218" s="51" t="s">
        <v>3588</v>
      </c>
      <c r="J1218" s="55" t="s">
        <v>3092</v>
      </c>
      <c r="K1218" s="52" t="n">
        <v>47869</v>
      </c>
      <c r="M1218" s="51" t="s">
        <v>3433</v>
      </c>
      <c r="N1218" s="0" t="n">
        <v>4</v>
      </c>
      <c r="O1218" s="53" t="n">
        <v>46057.6453009259</v>
      </c>
      <c r="P1218" s="53" t="n">
        <v>46057.7408101852</v>
      </c>
      <c r="Q1218" s="53" t="n">
        <v>46057.6453009259</v>
      </c>
      <c r="R1218" s="0" t="n">
        <v>0</v>
      </c>
      <c r="S1218" s="51" t="s">
        <v>3129</v>
      </c>
      <c r="T1218" s="51" t="s">
        <v>3129</v>
      </c>
      <c r="U1218" s="51" t="s">
        <v>3032</v>
      </c>
      <c r="V1218" s="51" t="s">
        <v>2142</v>
      </c>
      <c r="X1218" s="51"/>
    </row>
    <row r="1219" customFormat="false" ht="14.25" hidden="false" customHeight="false" outlineLevel="0" collapsed="false">
      <c r="A1219" s="49" t="s">
        <v>2251</v>
      </c>
      <c r="B1219" s="49" t="s">
        <v>14</v>
      </c>
      <c r="C1219" s="49" t="s">
        <v>743</v>
      </c>
      <c r="D1219" s="49" t="s">
        <v>2441</v>
      </c>
      <c r="E1219" s="49" t="s">
        <v>3032</v>
      </c>
      <c r="F1219" s="49" t="s">
        <v>562</v>
      </c>
      <c r="G1219" s="49" t="n">
        <v>4</v>
      </c>
      <c r="H1219" s="0" t="n">
        <v>0</v>
      </c>
      <c r="I1219" s="51" t="s">
        <v>3588</v>
      </c>
      <c r="J1219" s="55" t="s">
        <v>3092</v>
      </c>
      <c r="K1219" s="52" t="n">
        <v>47869</v>
      </c>
      <c r="M1219" s="51" t="s">
        <v>3433</v>
      </c>
      <c r="N1219" s="0" t="n">
        <v>4</v>
      </c>
      <c r="O1219" s="53" t="n">
        <v>46057.6472916667</v>
      </c>
      <c r="P1219" s="53" t="n">
        <v>46057.7446990741</v>
      </c>
      <c r="Q1219" s="53" t="n">
        <v>46057.6472916667</v>
      </c>
      <c r="R1219" s="0" t="n">
        <v>0</v>
      </c>
      <c r="S1219" s="51" t="s">
        <v>3129</v>
      </c>
      <c r="T1219" s="51" t="s">
        <v>3129</v>
      </c>
      <c r="U1219" s="51" t="s">
        <v>3032</v>
      </c>
      <c r="V1219" s="51" t="s">
        <v>2142</v>
      </c>
      <c r="W1219" s="51"/>
      <c r="X1219" s="51"/>
    </row>
    <row r="1220" customFormat="false" ht="14.25" hidden="false" customHeight="false" outlineLevel="0" collapsed="false">
      <c r="A1220" s="49" t="s">
        <v>2251</v>
      </c>
      <c r="B1220" s="49" t="s">
        <v>14</v>
      </c>
      <c r="C1220" s="49" t="s">
        <v>744</v>
      </c>
      <c r="D1220" s="49" t="s">
        <v>2441</v>
      </c>
      <c r="E1220" s="49" t="s">
        <v>3032</v>
      </c>
      <c r="F1220" s="49" t="s">
        <v>562</v>
      </c>
      <c r="G1220" s="49" t="n">
        <v>4</v>
      </c>
      <c r="H1220" s="0" t="n">
        <v>0</v>
      </c>
      <c r="I1220" s="51" t="s">
        <v>3595</v>
      </c>
      <c r="J1220" s="55" t="s">
        <v>3590</v>
      </c>
      <c r="K1220" s="52" t="n">
        <v>47869</v>
      </c>
      <c r="M1220" s="51" t="s">
        <v>3433</v>
      </c>
      <c r="N1220" s="0" t="n">
        <v>4</v>
      </c>
      <c r="O1220" s="53" t="n">
        <v>46057.6467939815</v>
      </c>
      <c r="P1220" s="53" t="n">
        <v>46057.7869907407</v>
      </c>
      <c r="Q1220" s="53" t="n">
        <v>46057.6467939815</v>
      </c>
      <c r="R1220" s="0" t="n">
        <v>0</v>
      </c>
      <c r="S1220" s="51" t="s">
        <v>3129</v>
      </c>
      <c r="T1220" s="51" t="s">
        <v>3129</v>
      </c>
      <c r="U1220" s="51" t="s">
        <v>3032</v>
      </c>
      <c r="V1220" s="51" t="s">
        <v>2142</v>
      </c>
      <c r="W1220" s="51"/>
      <c r="X1220" s="51"/>
    </row>
    <row r="1221" customFormat="false" ht="14.25" hidden="false" customHeight="false" outlineLevel="0" collapsed="false">
      <c r="A1221" s="49" t="s">
        <v>2251</v>
      </c>
      <c r="B1221" s="49" t="s">
        <v>14</v>
      </c>
      <c r="C1221" s="49" t="s">
        <v>745</v>
      </c>
      <c r="D1221" s="49" t="s">
        <v>2441</v>
      </c>
      <c r="E1221" s="49" t="s">
        <v>3032</v>
      </c>
      <c r="F1221" s="49" t="s">
        <v>562</v>
      </c>
      <c r="G1221" s="49" t="n">
        <v>4</v>
      </c>
      <c r="H1221" s="0" t="n">
        <v>0</v>
      </c>
      <c r="I1221" s="51" t="s">
        <v>3588</v>
      </c>
      <c r="J1221" s="55" t="s">
        <v>3092</v>
      </c>
      <c r="K1221" s="52" t="n">
        <v>47869</v>
      </c>
      <c r="M1221" s="51" t="s">
        <v>3433</v>
      </c>
      <c r="N1221" s="0" t="n">
        <v>4</v>
      </c>
      <c r="O1221" s="53" t="n">
        <v>46057.6463541667</v>
      </c>
      <c r="P1221" s="53" t="n">
        <v>46057.7509259259</v>
      </c>
      <c r="Q1221" s="53" t="n">
        <v>46057.6463541667</v>
      </c>
      <c r="R1221" s="0" t="n">
        <v>0</v>
      </c>
      <c r="S1221" s="51" t="s">
        <v>3129</v>
      </c>
      <c r="T1221" s="51" t="s">
        <v>3129</v>
      </c>
      <c r="U1221" s="51" t="s">
        <v>3032</v>
      </c>
      <c r="V1221" s="51" t="s">
        <v>2142</v>
      </c>
      <c r="X1221" s="51"/>
    </row>
    <row r="1222" customFormat="false" ht="14.25" hidden="false" customHeight="false" outlineLevel="0" collapsed="false">
      <c r="A1222" s="49" t="s">
        <v>2251</v>
      </c>
      <c r="B1222" s="49" t="s">
        <v>14</v>
      </c>
      <c r="C1222" s="49" t="s">
        <v>748</v>
      </c>
      <c r="D1222" s="49" t="s">
        <v>2441</v>
      </c>
      <c r="E1222" s="49" t="s">
        <v>3032</v>
      </c>
      <c r="F1222" s="49" t="s">
        <v>562</v>
      </c>
      <c r="G1222" s="49" t="n">
        <v>4</v>
      </c>
      <c r="H1222" s="0" t="n">
        <v>0</v>
      </c>
      <c r="I1222" s="51" t="s">
        <v>3596</v>
      </c>
      <c r="J1222" s="49" t="s">
        <v>3590</v>
      </c>
      <c r="K1222" s="52" t="n">
        <v>47869</v>
      </c>
      <c r="M1222" s="51" t="s">
        <v>3433</v>
      </c>
      <c r="N1222" s="0" t="n">
        <v>4</v>
      </c>
      <c r="O1222" s="53" t="n">
        <v>46057.6457523148</v>
      </c>
      <c r="P1222" s="53" t="n">
        <v>46057.7851041667</v>
      </c>
      <c r="Q1222" s="53" t="n">
        <v>46057.6457523148</v>
      </c>
      <c r="R1222" s="0" t="n">
        <v>0</v>
      </c>
      <c r="S1222" s="51" t="s">
        <v>3129</v>
      </c>
      <c r="T1222" s="51" t="s">
        <v>3129</v>
      </c>
      <c r="U1222" s="51" t="s">
        <v>3032</v>
      </c>
      <c r="V1222" s="51" t="s">
        <v>2142</v>
      </c>
      <c r="W1222" s="51"/>
      <c r="X1222" s="51"/>
    </row>
    <row r="1223" customFormat="false" ht="14.25" hidden="true" customHeight="false" outlineLevel="0" collapsed="false">
      <c r="A1223" s="49" t="s">
        <v>2251</v>
      </c>
      <c r="B1223" s="49" t="s">
        <v>14</v>
      </c>
      <c r="C1223" s="49" t="s">
        <v>741</v>
      </c>
      <c r="D1223" s="49" t="s">
        <v>2441</v>
      </c>
      <c r="E1223" s="49" t="s">
        <v>3032</v>
      </c>
      <c r="F1223" s="49" t="s">
        <v>562</v>
      </c>
      <c r="G1223" s="49" t="n">
        <v>4</v>
      </c>
      <c r="H1223" s="0" t="n">
        <v>0</v>
      </c>
      <c r="I1223" s="51" t="s">
        <v>3588</v>
      </c>
      <c r="J1223" s="49" t="s">
        <v>3092</v>
      </c>
      <c r="K1223" s="52" t="n">
        <v>47869</v>
      </c>
      <c r="M1223" s="51" t="s">
        <v>3433</v>
      </c>
      <c r="N1223" s="49" t="n">
        <v>4</v>
      </c>
      <c r="O1223" s="53" t="n">
        <v>46057.6483101852</v>
      </c>
      <c r="P1223" s="53" t="n">
        <v>46057.7390740741</v>
      </c>
      <c r="Q1223" s="53" t="n">
        <v>46057.6483101852</v>
      </c>
      <c r="R1223" s="0" t="n">
        <v>0</v>
      </c>
      <c r="S1223" s="51" t="s">
        <v>3129</v>
      </c>
      <c r="T1223" s="51" t="s">
        <v>3129</v>
      </c>
      <c r="U1223" s="51" t="s">
        <v>3032</v>
      </c>
      <c r="V1223" s="51" t="s">
        <v>2142</v>
      </c>
      <c r="W1223" s="51"/>
      <c r="X1223" s="51"/>
    </row>
    <row r="1224" customFormat="false" ht="14.25" hidden="false" customHeight="false" outlineLevel="0" collapsed="false">
      <c r="A1224" s="49" t="s">
        <v>2251</v>
      </c>
      <c r="B1224" s="49" t="s">
        <v>14</v>
      </c>
      <c r="C1224" s="49" t="s">
        <v>742</v>
      </c>
      <c r="D1224" s="49" t="s">
        <v>2441</v>
      </c>
      <c r="E1224" s="49" t="s">
        <v>3032</v>
      </c>
      <c r="F1224" s="49" t="s">
        <v>562</v>
      </c>
      <c r="G1224" s="49" t="n">
        <v>4</v>
      </c>
      <c r="H1224" s="0" t="n">
        <v>0</v>
      </c>
      <c r="I1224" s="51" t="s">
        <v>3597</v>
      </c>
      <c r="J1224" s="49" t="s">
        <v>3590</v>
      </c>
      <c r="K1224" s="52" t="n">
        <v>47869</v>
      </c>
      <c r="M1224" s="51" t="s">
        <v>3433</v>
      </c>
      <c r="N1224" s="0" t="n">
        <v>4</v>
      </c>
      <c r="O1224" s="53" t="n">
        <v>46057.6478125</v>
      </c>
      <c r="P1224" s="53" t="n">
        <v>46057.7882060185</v>
      </c>
      <c r="Q1224" s="0" t="n">
        <v>46057.6478125</v>
      </c>
      <c r="R1224" s="0" t="n">
        <v>0</v>
      </c>
      <c r="S1224" s="51" t="s">
        <v>3129</v>
      </c>
      <c r="T1224" s="51" t="s">
        <v>3129</v>
      </c>
      <c r="U1224" s="51" t="s">
        <v>3032</v>
      </c>
      <c r="V1224" s="51" t="s">
        <v>2142</v>
      </c>
    </row>
    <row r="1225" customFormat="false" ht="14.25" hidden="false" customHeight="false" outlineLevel="0" collapsed="false">
      <c r="A1225" s="49" t="s">
        <v>2251</v>
      </c>
      <c r="B1225" s="49" t="s">
        <v>14</v>
      </c>
      <c r="C1225" s="49" t="s">
        <v>422</v>
      </c>
      <c r="D1225" s="49" t="s">
        <v>2441</v>
      </c>
      <c r="E1225" s="49" t="s">
        <v>2271</v>
      </c>
      <c r="F1225" s="49" t="s">
        <v>420</v>
      </c>
      <c r="G1225" s="49" t="n">
        <v>24</v>
      </c>
      <c r="H1225" s="0" t="n">
        <v>0</v>
      </c>
      <c r="I1225" s="51" t="s">
        <v>3598</v>
      </c>
      <c r="J1225" s="49" t="s">
        <v>2273</v>
      </c>
      <c r="K1225" s="52" t="n">
        <v>47869</v>
      </c>
      <c r="M1225" s="51" t="s">
        <v>3133</v>
      </c>
      <c r="N1225" s="0" t="n">
        <v>24</v>
      </c>
      <c r="O1225" s="53" t="n">
        <v>46054.4363888889</v>
      </c>
      <c r="P1225" s="53" t="n">
        <v>46068.7404050926</v>
      </c>
      <c r="Q1225" s="0" t="n">
        <v>46054.4363888889</v>
      </c>
      <c r="R1225" s="0" t="n">
        <v>0</v>
      </c>
      <c r="S1225" s="51" t="s">
        <v>3129</v>
      </c>
      <c r="T1225" s="51" t="s">
        <v>3129</v>
      </c>
      <c r="U1225" s="51" t="s">
        <v>2271</v>
      </c>
      <c r="V1225" s="51" t="s">
        <v>2205</v>
      </c>
      <c r="W1225" s="51" t="s">
        <v>2274</v>
      </c>
    </row>
    <row r="1226" customFormat="false" ht="14.25" hidden="false" customHeight="false" outlineLevel="0" collapsed="false">
      <c r="A1226" s="49" t="s">
        <v>2251</v>
      </c>
      <c r="B1226" s="49" t="s">
        <v>14</v>
      </c>
      <c r="C1226" s="49" t="s">
        <v>426</v>
      </c>
      <c r="D1226" s="49" t="s">
        <v>2441</v>
      </c>
      <c r="E1226" s="49" t="s">
        <v>2271</v>
      </c>
      <c r="F1226" s="49" t="s">
        <v>420</v>
      </c>
      <c r="G1226" s="49" t="n">
        <v>24</v>
      </c>
      <c r="H1226" s="0" t="n">
        <v>0</v>
      </c>
      <c r="I1226" s="51" t="s">
        <v>3599</v>
      </c>
      <c r="J1226" s="49" t="s">
        <v>2273</v>
      </c>
      <c r="K1226" s="52" t="n">
        <v>47869</v>
      </c>
      <c r="M1226" s="51" t="s">
        <v>3133</v>
      </c>
      <c r="N1226" s="0" t="n">
        <v>24</v>
      </c>
      <c r="O1226" s="53" t="n">
        <v>46054.4357986111</v>
      </c>
      <c r="P1226" s="53" t="n">
        <v>46068.743287037</v>
      </c>
      <c r="Q1226" s="53" t="n">
        <v>46054.4357986111</v>
      </c>
      <c r="R1226" s="0" t="n">
        <v>0</v>
      </c>
      <c r="S1226" s="51" t="s">
        <v>3129</v>
      </c>
      <c r="T1226" s="51" t="s">
        <v>3129</v>
      </c>
      <c r="U1226" s="51" t="s">
        <v>2271</v>
      </c>
      <c r="V1226" s="51" t="s">
        <v>2205</v>
      </c>
      <c r="W1226" s="51" t="s">
        <v>3600</v>
      </c>
      <c r="X1226" s="51"/>
    </row>
    <row r="1227" customFormat="false" ht="14.25" hidden="false" customHeight="false" outlineLevel="0" collapsed="false">
      <c r="A1227" s="49" t="s">
        <v>2251</v>
      </c>
      <c r="B1227" s="49" t="s">
        <v>14</v>
      </c>
      <c r="C1227" s="49" t="s">
        <v>440</v>
      </c>
      <c r="D1227" s="49" t="s">
        <v>2441</v>
      </c>
      <c r="E1227" s="49" t="s">
        <v>2271</v>
      </c>
      <c r="F1227" s="49" t="s">
        <v>420</v>
      </c>
      <c r="G1227" s="49" t="n">
        <v>24</v>
      </c>
      <c r="H1227" s="0" t="n">
        <v>0</v>
      </c>
      <c r="I1227" s="51" t="s">
        <v>3601</v>
      </c>
      <c r="J1227" s="49" t="s">
        <v>2273</v>
      </c>
      <c r="K1227" s="52" t="n">
        <v>47869</v>
      </c>
      <c r="M1227" s="51" t="s">
        <v>3133</v>
      </c>
      <c r="N1227" s="0" t="n">
        <v>24</v>
      </c>
      <c r="O1227" s="53" t="n">
        <v>46054.4122106481</v>
      </c>
      <c r="P1227" s="53" t="n">
        <v>46068.7738773148</v>
      </c>
      <c r="Q1227" s="53" t="n">
        <v>46054.4122106481</v>
      </c>
      <c r="R1227" s="0" t="n">
        <v>0</v>
      </c>
      <c r="S1227" s="51" t="s">
        <v>3129</v>
      </c>
      <c r="T1227" s="51" t="s">
        <v>3129</v>
      </c>
      <c r="U1227" s="51" t="s">
        <v>2271</v>
      </c>
      <c r="V1227" s="51" t="s">
        <v>2205</v>
      </c>
      <c r="W1227" s="51" t="s">
        <v>3602</v>
      </c>
      <c r="X1227" s="51"/>
    </row>
    <row r="1228" customFormat="false" ht="14.25" hidden="false" customHeight="false" outlineLevel="0" collapsed="false">
      <c r="A1228" s="49" t="s">
        <v>2251</v>
      </c>
      <c r="B1228" s="49" t="s">
        <v>14</v>
      </c>
      <c r="C1228" s="49" t="s">
        <v>439</v>
      </c>
      <c r="D1228" s="49" t="s">
        <v>2441</v>
      </c>
      <c r="E1228" s="49" t="s">
        <v>2271</v>
      </c>
      <c r="F1228" s="49" t="s">
        <v>420</v>
      </c>
      <c r="G1228" s="49" t="n">
        <v>24</v>
      </c>
      <c r="H1228" s="0" t="n">
        <v>0</v>
      </c>
      <c r="I1228" s="51" t="s">
        <v>3160</v>
      </c>
      <c r="J1228" s="49" t="s">
        <v>2273</v>
      </c>
      <c r="K1228" s="52" t="n">
        <v>47869</v>
      </c>
      <c r="M1228" s="51" t="s">
        <v>3133</v>
      </c>
      <c r="N1228" s="0" t="n">
        <v>24</v>
      </c>
      <c r="O1228" s="53" t="n">
        <v>46054.4178703704</v>
      </c>
      <c r="P1228" s="53" t="n">
        <v>46068.7744097222</v>
      </c>
      <c r="Q1228" s="53" t="n">
        <v>46054.4178703704</v>
      </c>
      <c r="R1228" s="0" t="n">
        <v>0</v>
      </c>
      <c r="S1228" s="51" t="s">
        <v>3129</v>
      </c>
      <c r="T1228" s="51" t="s">
        <v>3129</v>
      </c>
      <c r="U1228" s="51" t="s">
        <v>2271</v>
      </c>
      <c r="V1228" s="51" t="s">
        <v>2205</v>
      </c>
      <c r="W1228" s="51" t="s">
        <v>3602</v>
      </c>
      <c r="X1228" s="51"/>
    </row>
    <row r="1229" customFormat="false" ht="14.25" hidden="true" customHeight="false" outlineLevel="0" collapsed="false">
      <c r="A1229" s="49" t="s">
        <v>2251</v>
      </c>
      <c r="B1229" s="49" t="s">
        <v>14</v>
      </c>
      <c r="C1229" s="49" t="s">
        <v>437</v>
      </c>
      <c r="D1229" s="49" t="s">
        <v>2441</v>
      </c>
      <c r="E1229" s="49" t="s">
        <v>2271</v>
      </c>
      <c r="F1229" s="49" t="s">
        <v>420</v>
      </c>
      <c r="G1229" s="49" t="n">
        <v>24</v>
      </c>
      <c r="H1229" s="0" t="n">
        <v>0</v>
      </c>
      <c r="I1229" s="51" t="s">
        <v>3603</v>
      </c>
      <c r="J1229" s="49" t="s">
        <v>2273</v>
      </c>
      <c r="K1229" s="52" t="n">
        <v>47869</v>
      </c>
      <c r="M1229" s="51" t="s">
        <v>3133</v>
      </c>
      <c r="N1229" s="49" t="n">
        <v>24</v>
      </c>
      <c r="O1229" s="53" t="n">
        <v>46054.4198148148</v>
      </c>
      <c r="P1229" s="53" t="n">
        <v>46068.7726736111</v>
      </c>
      <c r="Q1229" s="53" t="n">
        <v>46054.4198148148</v>
      </c>
      <c r="R1229" s="0" t="n">
        <v>0</v>
      </c>
      <c r="S1229" s="51" t="s">
        <v>3129</v>
      </c>
      <c r="T1229" s="51" t="s">
        <v>3129</v>
      </c>
      <c r="U1229" s="51" t="s">
        <v>2271</v>
      </c>
      <c r="V1229" s="51" t="s">
        <v>2205</v>
      </c>
      <c r="W1229" s="51" t="s">
        <v>3602</v>
      </c>
      <c r="X1229" s="51"/>
    </row>
    <row r="1230" customFormat="false" ht="14.25" hidden="true" customHeight="false" outlineLevel="0" collapsed="false">
      <c r="A1230" s="49" t="s">
        <v>2251</v>
      </c>
      <c r="B1230" s="49" t="s">
        <v>14</v>
      </c>
      <c r="C1230" s="49" t="s">
        <v>435</v>
      </c>
      <c r="D1230" s="49" t="s">
        <v>2441</v>
      </c>
      <c r="E1230" s="49" t="s">
        <v>2271</v>
      </c>
      <c r="F1230" s="49" t="s">
        <v>420</v>
      </c>
      <c r="G1230" s="49" t="n">
        <v>24</v>
      </c>
      <c r="H1230" s="0" t="n">
        <v>0</v>
      </c>
      <c r="I1230" s="51" t="s">
        <v>3604</v>
      </c>
      <c r="J1230" s="49" t="s">
        <v>2273</v>
      </c>
      <c r="K1230" s="52" t="n">
        <v>47869</v>
      </c>
      <c r="M1230" s="51" t="s">
        <v>3133</v>
      </c>
      <c r="N1230" s="49" t="n">
        <v>24</v>
      </c>
      <c r="O1230" s="53" t="n">
        <v>46054.4214699074</v>
      </c>
      <c r="P1230" s="53" t="n">
        <v>46068.776412037</v>
      </c>
      <c r="Q1230" s="53" t="n">
        <v>46054.4214699074</v>
      </c>
      <c r="R1230" s="0" t="n">
        <v>0</v>
      </c>
      <c r="S1230" s="51" t="s">
        <v>3129</v>
      </c>
      <c r="T1230" s="51" t="s">
        <v>3129</v>
      </c>
      <c r="U1230" s="51" t="s">
        <v>2271</v>
      </c>
      <c r="V1230" s="51" t="s">
        <v>2205</v>
      </c>
      <c r="W1230" s="51" t="s">
        <v>3602</v>
      </c>
      <c r="X1230" s="51"/>
    </row>
    <row r="1231" customFormat="false" ht="14.25" hidden="true" customHeight="false" outlineLevel="0" collapsed="false">
      <c r="A1231" s="49" t="s">
        <v>2251</v>
      </c>
      <c r="B1231" s="49" t="s">
        <v>14</v>
      </c>
      <c r="C1231" s="49" t="s">
        <v>433</v>
      </c>
      <c r="D1231" s="49" t="s">
        <v>2441</v>
      </c>
      <c r="E1231" s="49" t="s">
        <v>2271</v>
      </c>
      <c r="F1231" s="49" t="s">
        <v>420</v>
      </c>
      <c r="G1231" s="49" t="n">
        <v>24</v>
      </c>
      <c r="H1231" s="0" t="n">
        <v>0</v>
      </c>
      <c r="I1231" s="51" t="s">
        <v>3605</v>
      </c>
      <c r="J1231" s="49" t="s">
        <v>2273</v>
      </c>
      <c r="K1231" s="52" t="n">
        <v>47869</v>
      </c>
      <c r="M1231" s="51" t="s">
        <v>3133</v>
      </c>
      <c r="N1231" s="49" t="n">
        <v>24</v>
      </c>
      <c r="O1231" s="53" t="n">
        <v>46054.4226157407</v>
      </c>
      <c r="P1231" s="53" t="n">
        <v>46068.7200347222</v>
      </c>
      <c r="Q1231" s="53" t="n">
        <v>46054.4226157407</v>
      </c>
      <c r="R1231" s="0" t="n">
        <v>0</v>
      </c>
      <c r="S1231" s="51" t="s">
        <v>3129</v>
      </c>
      <c r="T1231" s="51" t="s">
        <v>3129</v>
      </c>
      <c r="U1231" s="51" t="s">
        <v>2271</v>
      </c>
      <c r="V1231" s="51" t="s">
        <v>2205</v>
      </c>
      <c r="W1231" s="51" t="s">
        <v>3602</v>
      </c>
      <c r="X1231" s="51"/>
    </row>
    <row r="1232" customFormat="false" ht="14.25" hidden="true" customHeight="false" outlineLevel="0" collapsed="false">
      <c r="A1232" s="49" t="s">
        <v>2251</v>
      </c>
      <c r="B1232" s="49" t="s">
        <v>14</v>
      </c>
      <c r="C1232" s="49" t="s">
        <v>431</v>
      </c>
      <c r="D1232" s="49" t="s">
        <v>2441</v>
      </c>
      <c r="E1232" s="49" t="s">
        <v>2271</v>
      </c>
      <c r="F1232" s="49" t="s">
        <v>420</v>
      </c>
      <c r="G1232" s="49" t="n">
        <v>24</v>
      </c>
      <c r="H1232" s="0" t="n">
        <v>0</v>
      </c>
      <c r="I1232" s="51" t="s">
        <v>3606</v>
      </c>
      <c r="J1232" s="49" t="s">
        <v>2273</v>
      </c>
      <c r="K1232" s="52" t="n">
        <v>47869</v>
      </c>
      <c r="M1232" s="51" t="s">
        <v>3133</v>
      </c>
      <c r="N1232" s="49" t="n">
        <v>24</v>
      </c>
      <c r="O1232" s="53" t="n">
        <v>46054.4243171296</v>
      </c>
      <c r="P1232" s="53" t="n">
        <v>46068.7379282407</v>
      </c>
      <c r="Q1232" s="53" t="n">
        <v>46054.4243171296</v>
      </c>
      <c r="R1232" s="0" t="n">
        <v>0</v>
      </c>
      <c r="S1232" s="51" t="s">
        <v>3129</v>
      </c>
      <c r="T1232" s="51" t="s">
        <v>3129</v>
      </c>
      <c r="U1232" s="51" t="s">
        <v>2271</v>
      </c>
      <c r="V1232" s="51" t="s">
        <v>2205</v>
      </c>
      <c r="W1232" s="51" t="s">
        <v>2274</v>
      </c>
      <c r="X1232" s="51"/>
    </row>
    <row r="1233" customFormat="false" ht="14.25" hidden="true" customHeight="false" outlineLevel="0" collapsed="false">
      <c r="A1233" s="49" t="s">
        <v>2251</v>
      </c>
      <c r="B1233" s="49" t="s">
        <v>14</v>
      </c>
      <c r="C1233" s="49" t="s">
        <v>1267</v>
      </c>
      <c r="D1233" s="49" t="s">
        <v>2441</v>
      </c>
      <c r="E1233" s="49" t="s">
        <v>2271</v>
      </c>
      <c r="F1233" s="49" t="s">
        <v>420</v>
      </c>
      <c r="G1233" s="49" t="n">
        <v>24</v>
      </c>
      <c r="H1233" s="0" t="n">
        <v>0</v>
      </c>
      <c r="I1233" s="51" t="s">
        <v>2282</v>
      </c>
      <c r="J1233" s="49" t="s">
        <v>2939</v>
      </c>
      <c r="K1233" s="52" t="n">
        <v>47872</v>
      </c>
      <c r="M1233" s="51" t="s">
        <v>3135</v>
      </c>
      <c r="N1233" s="49" t="n">
        <v>24</v>
      </c>
      <c r="O1233" s="53" t="n">
        <v>46065.6151273148</v>
      </c>
      <c r="P1233" s="53" t="n">
        <v>46065.6909259259</v>
      </c>
      <c r="Q1233" s="53" t="n">
        <v>46065.6151273148</v>
      </c>
      <c r="R1233" s="0" t="n">
        <v>0</v>
      </c>
      <c r="S1233" s="51" t="s">
        <v>3129</v>
      </c>
      <c r="T1233" s="51" t="s">
        <v>3129</v>
      </c>
      <c r="U1233" s="51" t="s">
        <v>2271</v>
      </c>
      <c r="V1233" s="51" t="s">
        <v>2205</v>
      </c>
      <c r="W1233" s="51"/>
      <c r="X1233" s="51"/>
    </row>
    <row r="1234" customFormat="false" ht="14.25" hidden="true" customHeight="false" outlineLevel="0" collapsed="false">
      <c r="A1234" s="49" t="s">
        <v>2251</v>
      </c>
      <c r="B1234" s="49" t="s">
        <v>14</v>
      </c>
      <c r="C1234" s="49" t="s">
        <v>1280</v>
      </c>
      <c r="D1234" s="49" t="s">
        <v>2441</v>
      </c>
      <c r="E1234" s="49" t="s">
        <v>2271</v>
      </c>
      <c r="F1234" s="49" t="s">
        <v>420</v>
      </c>
      <c r="G1234" s="49" t="n">
        <v>24</v>
      </c>
      <c r="H1234" s="0" t="n">
        <v>0</v>
      </c>
      <c r="I1234" s="51" t="s">
        <v>3607</v>
      </c>
      <c r="J1234" s="49" t="s">
        <v>2939</v>
      </c>
      <c r="K1234" s="52" t="n">
        <v>47872</v>
      </c>
      <c r="M1234" s="51" t="s">
        <v>3135</v>
      </c>
      <c r="N1234" s="49" t="n">
        <v>24</v>
      </c>
      <c r="O1234" s="53" t="n">
        <v>46065.6232407407</v>
      </c>
      <c r="P1234" s="53" t="n">
        <v>46065.701412037</v>
      </c>
      <c r="Q1234" s="53" t="n">
        <v>46065.6232407407</v>
      </c>
      <c r="R1234" s="0" t="n">
        <v>0</v>
      </c>
      <c r="S1234" s="51" t="s">
        <v>3129</v>
      </c>
      <c r="T1234" s="51" t="s">
        <v>3129</v>
      </c>
      <c r="U1234" s="51" t="s">
        <v>2271</v>
      </c>
      <c r="V1234" s="51" t="s">
        <v>2205</v>
      </c>
      <c r="W1234" s="51"/>
      <c r="X1234" s="51"/>
    </row>
    <row r="1235" customFormat="false" ht="14.25" hidden="true" customHeight="false" outlineLevel="0" collapsed="false">
      <c r="A1235" s="49" t="s">
        <v>2251</v>
      </c>
      <c r="B1235" s="49" t="s">
        <v>14</v>
      </c>
      <c r="C1235" s="49" t="s">
        <v>404</v>
      </c>
      <c r="D1235" s="49" t="s">
        <v>2441</v>
      </c>
      <c r="E1235" s="49" t="s">
        <v>2285</v>
      </c>
      <c r="F1235" s="49" t="s">
        <v>405</v>
      </c>
      <c r="G1235" s="49" t="n">
        <v>32</v>
      </c>
      <c r="H1235" s="0" t="n">
        <v>0</v>
      </c>
      <c r="I1235" s="51" t="s">
        <v>3608</v>
      </c>
      <c r="J1235" s="49" t="s">
        <v>2287</v>
      </c>
      <c r="K1235" s="52" t="n">
        <v>47874</v>
      </c>
      <c r="M1235" s="51" t="s">
        <v>3609</v>
      </c>
      <c r="N1235" s="49" t="n">
        <v>32</v>
      </c>
      <c r="O1235" s="53" t="n">
        <v>46053.5491550926</v>
      </c>
      <c r="P1235" s="53" t="n">
        <v>46068.7673958333</v>
      </c>
      <c r="Q1235" s="53" t="n">
        <v>46053.5491550926</v>
      </c>
      <c r="R1235" s="0" t="n">
        <v>0</v>
      </c>
      <c r="S1235" s="51" t="s">
        <v>3129</v>
      </c>
      <c r="T1235" s="51" t="s">
        <v>3129</v>
      </c>
      <c r="U1235" s="51" t="s">
        <v>2285</v>
      </c>
      <c r="V1235" s="51" t="s">
        <v>2205</v>
      </c>
      <c r="W1235" s="51" t="s">
        <v>2288</v>
      </c>
      <c r="X1235" s="51"/>
    </row>
    <row r="1236" customFormat="false" ht="14.25" hidden="true" customHeight="false" outlineLevel="0" collapsed="false">
      <c r="A1236" s="49" t="s">
        <v>2251</v>
      </c>
      <c r="B1236" s="49" t="s">
        <v>14</v>
      </c>
      <c r="C1236" s="49" t="s">
        <v>417</v>
      </c>
      <c r="D1236" s="49" t="s">
        <v>2441</v>
      </c>
      <c r="E1236" s="49" t="s">
        <v>2285</v>
      </c>
      <c r="F1236" s="49" t="s">
        <v>405</v>
      </c>
      <c r="G1236" s="49" t="n">
        <v>32</v>
      </c>
      <c r="H1236" s="0" t="n">
        <v>0</v>
      </c>
      <c r="I1236" s="51" t="s">
        <v>3610</v>
      </c>
      <c r="J1236" s="49" t="s">
        <v>2287</v>
      </c>
      <c r="K1236" s="52" t="n">
        <v>47874</v>
      </c>
      <c r="M1236" s="51" t="s">
        <v>3609</v>
      </c>
      <c r="N1236" s="49" t="n">
        <v>32</v>
      </c>
      <c r="O1236" s="53" t="n">
        <v>46053.5501967593</v>
      </c>
      <c r="P1236" s="53" t="n">
        <v>46068.7161805556</v>
      </c>
      <c r="Q1236" s="53" t="n">
        <v>46053.5501967593</v>
      </c>
      <c r="R1236" s="0" t="n">
        <v>0</v>
      </c>
      <c r="S1236" s="51" t="s">
        <v>3129</v>
      </c>
      <c r="T1236" s="51" t="s">
        <v>3129</v>
      </c>
      <c r="U1236" s="51" t="s">
        <v>2285</v>
      </c>
      <c r="V1236" s="51" t="s">
        <v>2205</v>
      </c>
      <c r="W1236" s="51" t="s">
        <v>2288</v>
      </c>
      <c r="X1236" s="51"/>
    </row>
    <row r="1237" customFormat="false" ht="14.25" hidden="true" customHeight="false" outlineLevel="0" collapsed="false">
      <c r="A1237" s="49" t="s">
        <v>2251</v>
      </c>
      <c r="B1237" s="49" t="s">
        <v>14</v>
      </c>
      <c r="C1237" s="49" t="s">
        <v>416</v>
      </c>
      <c r="D1237" s="49" t="s">
        <v>2441</v>
      </c>
      <c r="E1237" s="49" t="s">
        <v>2285</v>
      </c>
      <c r="F1237" s="49" t="s">
        <v>405</v>
      </c>
      <c r="G1237" s="49" t="n">
        <v>32</v>
      </c>
      <c r="H1237" s="0" t="n">
        <v>0</v>
      </c>
      <c r="I1237" s="51" t="s">
        <v>3410</v>
      </c>
      <c r="J1237" s="49" t="s">
        <v>3611</v>
      </c>
      <c r="K1237" s="52" t="n">
        <v>47874</v>
      </c>
      <c r="M1237" s="51" t="s">
        <v>3609</v>
      </c>
      <c r="N1237" s="49" t="n">
        <v>32</v>
      </c>
      <c r="O1237" s="53" t="n">
        <v>46053.5519212963</v>
      </c>
      <c r="P1237" s="53" t="n">
        <v>46068.6782175926</v>
      </c>
      <c r="Q1237" s="53" t="n">
        <v>46053.5519212963</v>
      </c>
      <c r="R1237" s="0" t="n">
        <v>0</v>
      </c>
      <c r="S1237" s="51" t="s">
        <v>3129</v>
      </c>
      <c r="T1237" s="51" t="s">
        <v>3129</v>
      </c>
      <c r="U1237" s="51" t="s">
        <v>2285</v>
      </c>
      <c r="V1237" s="51" t="s">
        <v>2205</v>
      </c>
      <c r="W1237" s="51" t="s">
        <v>3612</v>
      </c>
      <c r="X1237" s="51"/>
    </row>
    <row r="1238" customFormat="false" ht="14.25" hidden="true" customHeight="false" outlineLevel="0" collapsed="false">
      <c r="A1238" s="49" t="s">
        <v>2251</v>
      </c>
      <c r="B1238" s="49" t="s">
        <v>14</v>
      </c>
      <c r="C1238" s="49" t="s">
        <v>415</v>
      </c>
      <c r="D1238" s="49" t="s">
        <v>2441</v>
      </c>
      <c r="E1238" s="49" t="s">
        <v>2285</v>
      </c>
      <c r="F1238" s="49" t="s">
        <v>405</v>
      </c>
      <c r="G1238" s="49" t="n">
        <v>32</v>
      </c>
      <c r="H1238" s="0" t="n">
        <v>0</v>
      </c>
      <c r="I1238" s="51" t="s">
        <v>3612</v>
      </c>
      <c r="J1238" s="49" t="s">
        <v>3611</v>
      </c>
      <c r="K1238" s="52" t="n">
        <v>47874</v>
      </c>
      <c r="M1238" s="51" t="s">
        <v>3609</v>
      </c>
      <c r="N1238" s="49" t="n">
        <v>32</v>
      </c>
      <c r="O1238" s="53" t="n">
        <v>46053.5527662037</v>
      </c>
      <c r="P1238" s="53" t="n">
        <v>46054.6550925926</v>
      </c>
      <c r="Q1238" s="53" t="n">
        <v>46053.5527662037</v>
      </c>
      <c r="R1238" s="0" t="n">
        <v>0</v>
      </c>
      <c r="S1238" s="51" t="s">
        <v>3129</v>
      </c>
      <c r="T1238" s="51" t="s">
        <v>3129</v>
      </c>
      <c r="U1238" s="51" t="s">
        <v>2285</v>
      </c>
      <c r="V1238" s="51" t="s">
        <v>2205</v>
      </c>
      <c r="W1238" s="51"/>
      <c r="X1238" s="51"/>
    </row>
    <row r="1239" customFormat="false" ht="14.25" hidden="true" customHeight="false" outlineLevel="0" collapsed="false">
      <c r="A1239" s="49" t="s">
        <v>2251</v>
      </c>
      <c r="B1239" s="49" t="s">
        <v>14</v>
      </c>
      <c r="C1239" s="49" t="s">
        <v>414</v>
      </c>
      <c r="D1239" s="49" t="s">
        <v>2441</v>
      </c>
      <c r="E1239" s="49" t="s">
        <v>2285</v>
      </c>
      <c r="F1239" s="49" t="s">
        <v>405</v>
      </c>
      <c r="G1239" s="49" t="n">
        <v>32</v>
      </c>
      <c r="H1239" s="0" t="n">
        <v>0</v>
      </c>
      <c r="I1239" s="51" t="s">
        <v>3612</v>
      </c>
      <c r="J1239" s="49" t="s">
        <v>3611</v>
      </c>
      <c r="K1239" s="52" t="n">
        <v>47874</v>
      </c>
      <c r="M1239" s="51" t="s">
        <v>3609</v>
      </c>
      <c r="N1239" s="49" t="n">
        <v>32</v>
      </c>
      <c r="O1239" s="53" t="n">
        <v>46053.5539583333</v>
      </c>
      <c r="P1239" s="53" t="n">
        <v>46054.6505324074</v>
      </c>
      <c r="Q1239" s="53" t="n">
        <v>46053.5539583333</v>
      </c>
      <c r="R1239" s="0" t="n">
        <v>0</v>
      </c>
      <c r="S1239" s="51" t="s">
        <v>3129</v>
      </c>
      <c r="T1239" s="51" t="s">
        <v>3129</v>
      </c>
      <c r="U1239" s="51" t="s">
        <v>2285</v>
      </c>
      <c r="V1239" s="51" t="s">
        <v>2205</v>
      </c>
      <c r="W1239" s="51"/>
      <c r="X1239" s="51"/>
    </row>
    <row r="1240" customFormat="false" ht="14.25" hidden="true" customHeight="false" outlineLevel="0" collapsed="false">
      <c r="A1240" s="49" t="s">
        <v>2251</v>
      </c>
      <c r="B1240" s="49" t="s">
        <v>14</v>
      </c>
      <c r="C1240" s="49" t="s">
        <v>413</v>
      </c>
      <c r="D1240" s="49" t="s">
        <v>2441</v>
      </c>
      <c r="E1240" s="49" t="s">
        <v>2285</v>
      </c>
      <c r="F1240" s="49" t="s">
        <v>405</v>
      </c>
      <c r="G1240" s="49" t="n">
        <v>32</v>
      </c>
      <c r="H1240" s="0" t="n">
        <v>0</v>
      </c>
      <c r="I1240" s="51" t="s">
        <v>3612</v>
      </c>
      <c r="J1240" s="49" t="s">
        <v>3611</v>
      </c>
      <c r="K1240" s="52" t="n">
        <v>47874</v>
      </c>
      <c r="M1240" s="51" t="s">
        <v>3609</v>
      </c>
      <c r="N1240" s="49" t="n">
        <v>32</v>
      </c>
      <c r="O1240" s="53" t="n">
        <v>46053.5547106481</v>
      </c>
      <c r="P1240" s="53" t="n">
        <v>46054.6488310185</v>
      </c>
      <c r="Q1240" s="53" t="n">
        <v>46053.5547106481</v>
      </c>
      <c r="R1240" s="0" t="n">
        <v>0</v>
      </c>
      <c r="S1240" s="51" t="s">
        <v>3129</v>
      </c>
      <c r="T1240" s="51" t="s">
        <v>3129</v>
      </c>
      <c r="U1240" s="51" t="s">
        <v>2285</v>
      </c>
      <c r="V1240" s="51" t="s">
        <v>2205</v>
      </c>
      <c r="W1240" s="51"/>
      <c r="X1240" s="51"/>
    </row>
    <row r="1241" customFormat="false" ht="14.25" hidden="true" customHeight="false" outlineLevel="0" collapsed="false">
      <c r="A1241" s="49" t="s">
        <v>2251</v>
      </c>
      <c r="B1241" s="49" t="s">
        <v>14</v>
      </c>
      <c r="C1241" s="49" t="s">
        <v>412</v>
      </c>
      <c r="D1241" s="49" t="s">
        <v>2441</v>
      </c>
      <c r="E1241" s="49" t="s">
        <v>2285</v>
      </c>
      <c r="F1241" s="49" t="s">
        <v>405</v>
      </c>
      <c r="G1241" s="49" t="n">
        <v>32</v>
      </c>
      <c r="H1241" s="0" t="n">
        <v>0</v>
      </c>
      <c r="I1241" s="51" t="s">
        <v>3299</v>
      </c>
      <c r="J1241" s="49" t="s">
        <v>3611</v>
      </c>
      <c r="K1241" s="52" t="n">
        <v>47874</v>
      </c>
      <c r="M1241" s="51" t="s">
        <v>3609</v>
      </c>
      <c r="N1241" s="49" t="n">
        <v>32</v>
      </c>
      <c r="O1241" s="53" t="n">
        <v>46053.5564814815</v>
      </c>
      <c r="P1241" s="53" t="n">
        <v>46068.7256365741</v>
      </c>
      <c r="Q1241" s="53" t="n">
        <v>46053.5564814815</v>
      </c>
      <c r="R1241" s="0" t="n">
        <v>0</v>
      </c>
      <c r="S1241" s="51" t="s">
        <v>3129</v>
      </c>
      <c r="T1241" s="51" t="s">
        <v>3129</v>
      </c>
      <c r="U1241" s="51" t="s">
        <v>2285</v>
      </c>
      <c r="V1241" s="51" t="s">
        <v>2205</v>
      </c>
      <c r="W1241" s="51" t="s">
        <v>3613</v>
      </c>
      <c r="X1241" s="51"/>
    </row>
    <row r="1242" customFormat="false" ht="14.25" hidden="true" customHeight="false" outlineLevel="0" collapsed="false">
      <c r="A1242" s="49" t="s">
        <v>2251</v>
      </c>
      <c r="B1242" s="49" t="s">
        <v>14</v>
      </c>
      <c r="C1242" s="49" t="s">
        <v>411</v>
      </c>
      <c r="D1242" s="49" t="s">
        <v>2441</v>
      </c>
      <c r="E1242" s="49" t="s">
        <v>2285</v>
      </c>
      <c r="F1242" s="49" t="s">
        <v>405</v>
      </c>
      <c r="G1242" s="49" t="n">
        <v>32</v>
      </c>
      <c r="H1242" s="0" t="n">
        <v>0</v>
      </c>
      <c r="I1242" s="51" t="s">
        <v>3613</v>
      </c>
      <c r="J1242" s="49" t="s">
        <v>3611</v>
      </c>
      <c r="K1242" s="52" t="n">
        <v>47874</v>
      </c>
      <c r="M1242" s="51" t="s">
        <v>3609</v>
      </c>
      <c r="N1242" s="49" t="n">
        <v>32</v>
      </c>
      <c r="O1242" s="53" t="n">
        <v>46053.5579513889</v>
      </c>
      <c r="P1242" s="53" t="n">
        <v>46054.6387152778</v>
      </c>
      <c r="Q1242" s="53" t="n">
        <v>46053.5579513889</v>
      </c>
      <c r="R1242" s="0" t="n">
        <v>0</v>
      </c>
      <c r="S1242" s="51" t="s">
        <v>3129</v>
      </c>
      <c r="T1242" s="51" t="s">
        <v>3129</v>
      </c>
      <c r="U1242" s="51" t="s">
        <v>2285</v>
      </c>
      <c r="V1242" s="51" t="s">
        <v>2205</v>
      </c>
      <c r="W1242" s="51"/>
      <c r="X1242" s="51"/>
    </row>
    <row r="1243" customFormat="false" ht="14.25" hidden="true" customHeight="false" outlineLevel="0" collapsed="false">
      <c r="A1243" s="49" t="s">
        <v>2251</v>
      </c>
      <c r="B1243" s="49" t="s">
        <v>14</v>
      </c>
      <c r="C1243" s="49" t="s">
        <v>407</v>
      </c>
      <c r="D1243" s="49" t="s">
        <v>2441</v>
      </c>
      <c r="E1243" s="49" t="s">
        <v>2285</v>
      </c>
      <c r="F1243" s="49" t="s">
        <v>405</v>
      </c>
      <c r="G1243" s="49" t="n">
        <v>32</v>
      </c>
      <c r="H1243" s="0" t="n">
        <v>0</v>
      </c>
      <c r="I1243" s="51" t="s">
        <v>3613</v>
      </c>
      <c r="J1243" s="49" t="s">
        <v>3611</v>
      </c>
      <c r="K1243" s="52" t="n">
        <v>47874</v>
      </c>
      <c r="M1243" s="51" t="s">
        <v>3609</v>
      </c>
      <c r="N1243" s="49" t="n">
        <v>32</v>
      </c>
      <c r="O1243" s="53" t="n">
        <v>46053.5603125</v>
      </c>
      <c r="P1243" s="53" t="n">
        <v>46054.6294097222</v>
      </c>
      <c r="Q1243" s="53" t="n">
        <v>46053.5603125</v>
      </c>
      <c r="R1243" s="0" t="n">
        <v>0</v>
      </c>
      <c r="S1243" s="51" t="s">
        <v>3129</v>
      </c>
      <c r="T1243" s="51" t="s">
        <v>3129</v>
      </c>
      <c r="U1243" s="51" t="s">
        <v>2285</v>
      </c>
      <c r="V1243" s="51" t="s">
        <v>2205</v>
      </c>
      <c r="W1243" s="51"/>
      <c r="X1243" s="51"/>
    </row>
    <row r="1244" customFormat="false" ht="14.25" hidden="true" customHeight="false" outlineLevel="0" collapsed="false">
      <c r="A1244" s="49" t="s">
        <v>2251</v>
      </c>
      <c r="B1244" s="49" t="s">
        <v>14</v>
      </c>
      <c r="C1244" s="49" t="s">
        <v>408</v>
      </c>
      <c r="D1244" s="49" t="s">
        <v>2441</v>
      </c>
      <c r="E1244" s="49" t="s">
        <v>2285</v>
      </c>
      <c r="F1244" s="49" t="s">
        <v>405</v>
      </c>
      <c r="G1244" s="49" t="n">
        <v>14</v>
      </c>
      <c r="H1244" s="0" t="n">
        <v>0</v>
      </c>
      <c r="I1244" s="51" t="s">
        <v>2286</v>
      </c>
      <c r="J1244" s="49" t="s">
        <v>2287</v>
      </c>
      <c r="K1244" s="52" t="n">
        <v>47874</v>
      </c>
      <c r="M1244" s="51" t="s">
        <v>3609</v>
      </c>
      <c r="N1244" s="49" t="n">
        <v>32</v>
      </c>
      <c r="O1244" s="53" t="n">
        <v>46053.5595717593</v>
      </c>
      <c r="P1244" s="53" t="n">
        <v>46068.7708333333</v>
      </c>
      <c r="Q1244" s="53" t="n">
        <v>46053.5595717593</v>
      </c>
      <c r="R1244" s="0" t="n">
        <v>0</v>
      </c>
      <c r="S1244" s="51" t="s">
        <v>3129</v>
      </c>
      <c r="T1244" s="51" t="s">
        <v>3129</v>
      </c>
      <c r="U1244" s="51" t="s">
        <v>2285</v>
      </c>
      <c r="V1244" s="51" t="s">
        <v>2205</v>
      </c>
      <c r="W1244" s="51" t="s">
        <v>2288</v>
      </c>
      <c r="X1244" s="51"/>
    </row>
    <row r="1245" customFormat="false" ht="14.25" hidden="false" customHeight="false" outlineLevel="0" collapsed="false">
      <c r="A1245" s="49" t="s">
        <v>2251</v>
      </c>
      <c r="B1245" s="49" t="s">
        <v>14</v>
      </c>
      <c r="C1245" s="49" t="s">
        <v>409</v>
      </c>
      <c r="D1245" s="49" t="s">
        <v>2441</v>
      </c>
      <c r="E1245" s="49" t="s">
        <v>2285</v>
      </c>
      <c r="F1245" s="49" t="s">
        <v>405</v>
      </c>
      <c r="G1245" s="49" t="n">
        <v>32</v>
      </c>
      <c r="H1245" s="0" t="n">
        <v>0</v>
      </c>
      <c r="I1245" s="51" t="s">
        <v>3613</v>
      </c>
      <c r="J1245" s="49" t="s">
        <v>3611</v>
      </c>
      <c r="K1245" s="52" t="n">
        <v>47874</v>
      </c>
      <c r="M1245" s="51" t="s">
        <v>3609</v>
      </c>
      <c r="N1245" s="0" t="n">
        <v>32</v>
      </c>
      <c r="O1245" s="53" t="n">
        <v>46053.5589930556</v>
      </c>
      <c r="P1245" s="53" t="n">
        <v>46054.6313541667</v>
      </c>
      <c r="Q1245" s="53" t="n">
        <v>46053.5589930556</v>
      </c>
      <c r="R1245" s="0" t="n">
        <v>0</v>
      </c>
      <c r="S1245" s="51" t="s">
        <v>3129</v>
      </c>
      <c r="T1245" s="51" t="s">
        <v>3129</v>
      </c>
      <c r="U1245" s="51" t="s">
        <v>2285</v>
      </c>
      <c r="V1245" s="51" t="s">
        <v>2205</v>
      </c>
      <c r="X1245" s="51"/>
    </row>
    <row r="1246" customFormat="false" ht="14.25" hidden="false" customHeight="false" outlineLevel="0" collapsed="false">
      <c r="A1246" s="49" t="s">
        <v>2251</v>
      </c>
      <c r="B1246" s="49" t="s">
        <v>14</v>
      </c>
      <c r="C1246" s="49" t="s">
        <v>410</v>
      </c>
      <c r="D1246" s="49" t="s">
        <v>2441</v>
      </c>
      <c r="E1246" s="49" t="s">
        <v>2285</v>
      </c>
      <c r="F1246" s="49" t="s">
        <v>405</v>
      </c>
      <c r="G1246" s="49" t="n">
        <v>32</v>
      </c>
      <c r="H1246" s="0" t="n">
        <v>0</v>
      </c>
      <c r="I1246" s="51" t="s">
        <v>3613</v>
      </c>
      <c r="J1246" s="49" t="s">
        <v>3611</v>
      </c>
      <c r="K1246" s="52" t="n">
        <v>47874</v>
      </c>
      <c r="M1246" s="51" t="s">
        <v>3609</v>
      </c>
      <c r="N1246" s="0" t="n">
        <v>32</v>
      </c>
      <c r="O1246" s="53" t="n">
        <v>46053.5584722222</v>
      </c>
      <c r="P1246" s="53" t="n">
        <v>46054.6354166667</v>
      </c>
      <c r="Q1246" s="53" t="n">
        <v>46053.5584722222</v>
      </c>
      <c r="R1246" s="0" t="n">
        <v>0</v>
      </c>
      <c r="S1246" s="51" t="s">
        <v>3129</v>
      </c>
      <c r="T1246" s="51" t="s">
        <v>3129</v>
      </c>
      <c r="U1246" s="51" t="s">
        <v>2285</v>
      </c>
      <c r="V1246" s="51" t="s">
        <v>2205</v>
      </c>
      <c r="X1246" s="51"/>
    </row>
    <row r="1247" customFormat="false" ht="14.25" hidden="true" customHeight="false" outlineLevel="0" collapsed="false">
      <c r="A1247" s="49" t="s">
        <v>2251</v>
      </c>
      <c r="B1247" s="49" t="s">
        <v>14</v>
      </c>
      <c r="C1247" s="49" t="s">
        <v>1118</v>
      </c>
      <c r="D1247" s="49" t="s">
        <v>2441</v>
      </c>
      <c r="E1247" s="49" t="s">
        <v>2990</v>
      </c>
      <c r="F1247" s="49" t="s">
        <v>974</v>
      </c>
      <c r="G1247" s="49" t="n">
        <v>4</v>
      </c>
      <c r="H1247" s="0" t="n">
        <v>0</v>
      </c>
      <c r="I1247" s="51" t="s">
        <v>2301</v>
      </c>
      <c r="J1247" s="49" t="s">
        <v>3614</v>
      </c>
      <c r="K1247" s="52" t="n">
        <v>47875</v>
      </c>
      <c r="M1247" s="51" t="s">
        <v>3327</v>
      </c>
      <c r="N1247" s="49" t="n">
        <v>4</v>
      </c>
      <c r="O1247" s="53" t="n">
        <v>46062.3813888889</v>
      </c>
      <c r="P1247" s="53" t="n">
        <v>46064.3504282407</v>
      </c>
      <c r="Q1247" s="53" t="n">
        <v>46062.3813888889</v>
      </c>
      <c r="R1247" s="0" t="n">
        <v>0</v>
      </c>
      <c r="S1247" s="51" t="s">
        <v>3129</v>
      </c>
      <c r="T1247" s="51" t="s">
        <v>3129</v>
      </c>
      <c r="U1247" s="51" t="s">
        <v>2990</v>
      </c>
      <c r="V1247" s="51" t="s">
        <v>2365</v>
      </c>
      <c r="W1247" s="51"/>
      <c r="X1247" s="51"/>
    </row>
    <row r="1248" customFormat="false" ht="14.25" hidden="true" customHeight="false" outlineLevel="0" collapsed="false">
      <c r="A1248" s="49" t="s">
        <v>2251</v>
      </c>
      <c r="B1248" s="49" t="s">
        <v>14</v>
      </c>
      <c r="C1248" s="49" t="s">
        <v>1141</v>
      </c>
      <c r="D1248" s="49" t="s">
        <v>2441</v>
      </c>
      <c r="E1248" s="49" t="s">
        <v>2990</v>
      </c>
      <c r="F1248" s="49" t="s">
        <v>974</v>
      </c>
      <c r="G1248" s="49" t="n">
        <v>4</v>
      </c>
      <c r="H1248" s="0" t="n">
        <v>0</v>
      </c>
      <c r="I1248" s="51" t="s">
        <v>2302</v>
      </c>
      <c r="J1248" s="49" t="s">
        <v>3614</v>
      </c>
      <c r="K1248" s="52" t="n">
        <v>47875</v>
      </c>
      <c r="M1248" s="51" t="s">
        <v>3327</v>
      </c>
      <c r="N1248" s="49" t="n">
        <v>4</v>
      </c>
      <c r="O1248" s="53" t="n">
        <v>46062.3822222222</v>
      </c>
      <c r="P1248" s="53" t="n">
        <v>46064.3542708333</v>
      </c>
      <c r="Q1248" s="53" t="n">
        <v>46062.3822222222</v>
      </c>
      <c r="R1248" s="0" t="n">
        <v>0</v>
      </c>
      <c r="S1248" s="51" t="s">
        <v>3129</v>
      </c>
      <c r="T1248" s="51" t="s">
        <v>3129</v>
      </c>
      <c r="U1248" s="51" t="s">
        <v>2990</v>
      </c>
      <c r="V1248" s="51" t="s">
        <v>2365</v>
      </c>
      <c r="W1248" s="51"/>
      <c r="X1248" s="51"/>
    </row>
    <row r="1249" customFormat="false" ht="14.25" hidden="true" customHeight="false" outlineLevel="0" collapsed="false">
      <c r="A1249" s="49" t="s">
        <v>2251</v>
      </c>
      <c r="B1249" s="49" t="s">
        <v>14</v>
      </c>
      <c r="C1249" s="49" t="s">
        <v>1140</v>
      </c>
      <c r="D1249" s="49" t="s">
        <v>2441</v>
      </c>
      <c r="E1249" s="49" t="s">
        <v>2990</v>
      </c>
      <c r="F1249" s="49" t="s">
        <v>974</v>
      </c>
      <c r="G1249" s="49" t="n">
        <v>4</v>
      </c>
      <c r="H1249" s="0" t="n">
        <v>0</v>
      </c>
      <c r="I1249" s="51" t="s">
        <v>2306</v>
      </c>
      <c r="J1249" s="49" t="s">
        <v>3614</v>
      </c>
      <c r="K1249" s="52" t="n">
        <v>47875</v>
      </c>
      <c r="M1249" s="51" t="s">
        <v>3327</v>
      </c>
      <c r="N1249" s="49" t="n">
        <v>4</v>
      </c>
      <c r="O1249" s="53" t="n">
        <v>46062.3834837963</v>
      </c>
      <c r="P1249" s="53" t="n">
        <v>46064.3583217593</v>
      </c>
      <c r="Q1249" s="53" t="n">
        <v>46062.3834837963</v>
      </c>
      <c r="R1249" s="0" t="n">
        <v>0</v>
      </c>
      <c r="S1249" s="51" t="s">
        <v>3129</v>
      </c>
      <c r="T1249" s="51" t="s">
        <v>3129</v>
      </c>
      <c r="U1249" s="51" t="s">
        <v>2990</v>
      </c>
      <c r="V1249" s="51" t="s">
        <v>2365</v>
      </c>
      <c r="W1249" s="51"/>
      <c r="X1249" s="51"/>
    </row>
    <row r="1250" customFormat="false" ht="14.25" hidden="true" customHeight="false" outlineLevel="0" collapsed="false">
      <c r="A1250" s="49" t="s">
        <v>2251</v>
      </c>
      <c r="B1250" s="49" t="s">
        <v>14</v>
      </c>
      <c r="C1250" s="49" t="s">
        <v>1138</v>
      </c>
      <c r="D1250" s="49" t="s">
        <v>2441</v>
      </c>
      <c r="E1250" s="49" t="s">
        <v>2990</v>
      </c>
      <c r="F1250" s="49" t="s">
        <v>974</v>
      </c>
      <c r="G1250" s="49" t="n">
        <v>4</v>
      </c>
      <c r="H1250" s="0" t="n">
        <v>0</v>
      </c>
      <c r="I1250" s="51" t="s">
        <v>3131</v>
      </c>
      <c r="J1250" s="49" t="s">
        <v>3614</v>
      </c>
      <c r="K1250" s="52" t="n">
        <v>47875</v>
      </c>
      <c r="M1250" s="51" t="s">
        <v>3327</v>
      </c>
      <c r="N1250" s="49" t="n">
        <v>4</v>
      </c>
      <c r="O1250" s="53" t="n">
        <v>46062.3850462963</v>
      </c>
      <c r="P1250" s="53" t="n">
        <v>46067.6831481482</v>
      </c>
      <c r="Q1250" s="53" t="n">
        <v>46062.3850462963</v>
      </c>
      <c r="R1250" s="0" t="n">
        <v>0</v>
      </c>
      <c r="S1250" s="51" t="s">
        <v>3129</v>
      </c>
      <c r="T1250" s="51" t="s">
        <v>3129</v>
      </c>
      <c r="U1250" s="51" t="s">
        <v>2990</v>
      </c>
      <c r="V1250" s="51" t="s">
        <v>2365</v>
      </c>
      <c r="W1250" s="51"/>
      <c r="X1250" s="51"/>
    </row>
    <row r="1251" customFormat="false" ht="14.25" hidden="true" customHeight="false" outlineLevel="0" collapsed="false">
      <c r="A1251" s="49" t="s">
        <v>2251</v>
      </c>
      <c r="B1251" s="49" t="s">
        <v>14</v>
      </c>
      <c r="C1251" s="49" t="s">
        <v>1136</v>
      </c>
      <c r="D1251" s="49" t="s">
        <v>2441</v>
      </c>
      <c r="E1251" s="49" t="s">
        <v>2990</v>
      </c>
      <c r="F1251" s="49" t="s">
        <v>974</v>
      </c>
      <c r="G1251" s="49" t="n">
        <v>4</v>
      </c>
      <c r="H1251" s="0" t="n">
        <v>0</v>
      </c>
      <c r="I1251" s="51" t="s">
        <v>3131</v>
      </c>
      <c r="J1251" s="49" t="s">
        <v>3614</v>
      </c>
      <c r="K1251" s="52" t="n">
        <v>47875</v>
      </c>
      <c r="M1251" s="51" t="s">
        <v>3327</v>
      </c>
      <c r="N1251" s="49" t="n">
        <v>4</v>
      </c>
      <c r="O1251" s="53" t="n">
        <v>46062.3876967593</v>
      </c>
      <c r="P1251" s="53" t="n">
        <v>46067.6858101852</v>
      </c>
      <c r="Q1251" s="53" t="n">
        <v>46062.3876967593</v>
      </c>
      <c r="R1251" s="0" t="n">
        <v>0</v>
      </c>
      <c r="S1251" s="51" t="s">
        <v>3129</v>
      </c>
      <c r="T1251" s="51" t="s">
        <v>3129</v>
      </c>
      <c r="U1251" s="51" t="s">
        <v>2990</v>
      </c>
      <c r="V1251" s="51" t="s">
        <v>2365</v>
      </c>
      <c r="W1251" s="51"/>
      <c r="X1251" s="51"/>
    </row>
    <row r="1252" customFormat="false" ht="14.25" hidden="true" customHeight="false" outlineLevel="0" collapsed="false">
      <c r="A1252" s="49" t="s">
        <v>2251</v>
      </c>
      <c r="B1252" s="49" t="s">
        <v>14</v>
      </c>
      <c r="C1252" s="49" t="s">
        <v>1134</v>
      </c>
      <c r="D1252" s="49" t="s">
        <v>2441</v>
      </c>
      <c r="E1252" s="49" t="s">
        <v>2990</v>
      </c>
      <c r="F1252" s="49" t="s">
        <v>974</v>
      </c>
      <c r="G1252" s="49" t="n">
        <v>4</v>
      </c>
      <c r="H1252" s="0" t="n">
        <v>0</v>
      </c>
      <c r="I1252" s="51" t="s">
        <v>3131</v>
      </c>
      <c r="J1252" s="49" t="s">
        <v>3614</v>
      </c>
      <c r="K1252" s="52" t="n">
        <v>47875</v>
      </c>
      <c r="M1252" s="51" t="s">
        <v>3327</v>
      </c>
      <c r="N1252" s="49" t="n">
        <v>4</v>
      </c>
      <c r="O1252" s="53" t="n">
        <v>46062.3889467593</v>
      </c>
      <c r="P1252" s="53" t="n">
        <v>46067.6881134259</v>
      </c>
      <c r="Q1252" s="53" t="n">
        <v>46062.3889467593</v>
      </c>
      <c r="R1252" s="0" t="n">
        <v>0</v>
      </c>
      <c r="S1252" s="51" t="s">
        <v>3129</v>
      </c>
      <c r="T1252" s="51" t="s">
        <v>3129</v>
      </c>
      <c r="U1252" s="51" t="s">
        <v>2990</v>
      </c>
      <c r="V1252" s="51" t="s">
        <v>2365</v>
      </c>
      <c r="W1252" s="51"/>
      <c r="X1252" s="51"/>
    </row>
    <row r="1253" customFormat="false" ht="14.25" hidden="true" customHeight="false" outlineLevel="0" collapsed="false">
      <c r="A1253" s="49" t="s">
        <v>2251</v>
      </c>
      <c r="B1253" s="49" t="s">
        <v>14</v>
      </c>
      <c r="C1253" s="49" t="s">
        <v>1132</v>
      </c>
      <c r="D1253" s="49" t="s">
        <v>2441</v>
      </c>
      <c r="E1253" s="49" t="s">
        <v>2990</v>
      </c>
      <c r="F1253" s="49" t="s">
        <v>974</v>
      </c>
      <c r="G1253" s="49" t="n">
        <v>4</v>
      </c>
      <c r="H1253" s="0" t="n">
        <v>0</v>
      </c>
      <c r="I1253" s="51" t="s">
        <v>3131</v>
      </c>
      <c r="J1253" s="49" t="s">
        <v>3614</v>
      </c>
      <c r="K1253" s="52" t="n">
        <v>47875</v>
      </c>
      <c r="M1253" s="51" t="s">
        <v>3327</v>
      </c>
      <c r="N1253" s="49" t="n">
        <v>4</v>
      </c>
      <c r="O1253" s="53" t="n">
        <v>46062.3903356481</v>
      </c>
      <c r="P1253" s="53" t="n">
        <v>46067.6961921296</v>
      </c>
      <c r="Q1253" s="53" t="n">
        <v>46062.3903356481</v>
      </c>
      <c r="R1253" s="0" t="n">
        <v>0</v>
      </c>
      <c r="S1253" s="51" t="s">
        <v>3129</v>
      </c>
      <c r="T1253" s="51" t="s">
        <v>3129</v>
      </c>
      <c r="U1253" s="51" t="s">
        <v>2990</v>
      </c>
      <c r="V1253" s="51" t="s">
        <v>2365</v>
      </c>
      <c r="X1253" s="51"/>
    </row>
    <row r="1254" customFormat="false" ht="14.25" hidden="false" customHeight="false" outlineLevel="0" collapsed="false">
      <c r="A1254" s="49" t="s">
        <v>2251</v>
      </c>
      <c r="B1254" s="49" t="s">
        <v>14</v>
      </c>
      <c r="C1254" s="49" t="s">
        <v>1130</v>
      </c>
      <c r="D1254" s="49" t="s">
        <v>2441</v>
      </c>
      <c r="E1254" s="49" t="s">
        <v>2990</v>
      </c>
      <c r="F1254" s="49" t="s">
        <v>974</v>
      </c>
      <c r="G1254" s="49" t="n">
        <v>4</v>
      </c>
      <c r="H1254" s="0" t="n">
        <v>0</v>
      </c>
      <c r="I1254" s="51" t="s">
        <v>3615</v>
      </c>
      <c r="J1254" s="49" t="s">
        <v>2992</v>
      </c>
      <c r="K1254" s="52" t="n">
        <v>47875</v>
      </c>
      <c r="M1254" s="51" t="s">
        <v>3327</v>
      </c>
      <c r="N1254" s="0" t="n">
        <v>4</v>
      </c>
      <c r="O1254" s="53" t="n">
        <v>46062.3927546296</v>
      </c>
      <c r="P1254" s="53" t="n">
        <v>46067.7254050926</v>
      </c>
      <c r="Q1254" s="53" t="n">
        <v>46062.3927546296</v>
      </c>
      <c r="R1254" s="0" t="n">
        <v>0</v>
      </c>
      <c r="S1254" s="51" t="s">
        <v>3129</v>
      </c>
      <c r="T1254" s="51" t="s">
        <v>3129</v>
      </c>
      <c r="U1254" s="51" t="s">
        <v>2990</v>
      </c>
      <c r="V1254" s="51" t="s">
        <v>2365</v>
      </c>
      <c r="W1254" s="51"/>
      <c r="X1254" s="51"/>
    </row>
    <row r="1255" customFormat="false" ht="14.25" hidden="true" customHeight="false" outlineLevel="0" collapsed="false">
      <c r="A1255" s="49" t="s">
        <v>2251</v>
      </c>
      <c r="B1255" s="49" t="s">
        <v>14</v>
      </c>
      <c r="C1255" s="49" t="s">
        <v>1128</v>
      </c>
      <c r="D1255" s="49" t="s">
        <v>2441</v>
      </c>
      <c r="E1255" s="49" t="s">
        <v>2990</v>
      </c>
      <c r="F1255" s="49" t="s">
        <v>974</v>
      </c>
      <c r="G1255" s="49" t="n">
        <v>4</v>
      </c>
      <c r="H1255" s="0" t="n">
        <v>0</v>
      </c>
      <c r="I1255" s="51" t="s">
        <v>3615</v>
      </c>
      <c r="J1255" s="49" t="s">
        <v>2992</v>
      </c>
      <c r="K1255" s="52" t="n">
        <v>47875</v>
      </c>
      <c r="M1255" s="51" t="s">
        <v>3327</v>
      </c>
      <c r="N1255" s="49" t="n">
        <v>4</v>
      </c>
      <c r="O1255" s="53" t="n">
        <v>46062.3956828704</v>
      </c>
      <c r="P1255" s="53" t="n">
        <v>46067.733599537</v>
      </c>
      <c r="Q1255" s="53" t="n">
        <v>46062.3956828704</v>
      </c>
      <c r="R1255" s="0" t="n">
        <v>0</v>
      </c>
      <c r="S1255" s="51" t="s">
        <v>3129</v>
      </c>
      <c r="T1255" s="51" t="s">
        <v>3129</v>
      </c>
      <c r="U1255" s="51" t="s">
        <v>2990</v>
      </c>
      <c r="V1255" s="51" t="s">
        <v>2365</v>
      </c>
      <c r="W1255" s="51"/>
      <c r="X1255" s="51"/>
    </row>
    <row r="1256" customFormat="false" ht="14.25" hidden="true" customHeight="false" outlineLevel="0" collapsed="false">
      <c r="A1256" s="49" t="s">
        <v>2251</v>
      </c>
      <c r="B1256" s="49" t="s">
        <v>14</v>
      </c>
      <c r="C1256" s="49" t="s">
        <v>1126</v>
      </c>
      <c r="D1256" s="49" t="s">
        <v>2441</v>
      </c>
      <c r="E1256" s="49" t="s">
        <v>2990</v>
      </c>
      <c r="F1256" s="49" t="s">
        <v>974</v>
      </c>
      <c r="G1256" s="49" t="n">
        <v>4</v>
      </c>
      <c r="H1256" s="0" t="n">
        <v>0</v>
      </c>
      <c r="I1256" s="51" t="s">
        <v>3131</v>
      </c>
      <c r="J1256" s="49" t="s">
        <v>2992</v>
      </c>
      <c r="K1256" s="52" t="n">
        <v>47875</v>
      </c>
      <c r="M1256" s="51" t="s">
        <v>3327</v>
      </c>
      <c r="N1256" s="49" t="n">
        <v>4</v>
      </c>
      <c r="O1256" s="53" t="n">
        <v>46062.3980324074</v>
      </c>
      <c r="P1256" s="53" t="n">
        <v>46067.6986921296</v>
      </c>
      <c r="Q1256" s="53" t="n">
        <v>46062.3980324074</v>
      </c>
      <c r="R1256" s="0" t="n">
        <v>0</v>
      </c>
      <c r="S1256" s="51" t="s">
        <v>3129</v>
      </c>
      <c r="T1256" s="51" t="s">
        <v>3129</v>
      </c>
      <c r="U1256" s="51" t="s">
        <v>2990</v>
      </c>
      <c r="V1256" s="51" t="s">
        <v>2365</v>
      </c>
      <c r="W1256" s="51"/>
      <c r="X1256" s="51"/>
    </row>
    <row r="1257" customFormat="false" ht="14.25" hidden="true" customHeight="false" outlineLevel="0" collapsed="false">
      <c r="A1257" s="49" t="s">
        <v>2251</v>
      </c>
      <c r="B1257" s="49" t="s">
        <v>14</v>
      </c>
      <c r="C1257" s="49" t="s">
        <v>1125</v>
      </c>
      <c r="D1257" s="49" t="s">
        <v>2441</v>
      </c>
      <c r="E1257" s="49" t="s">
        <v>2990</v>
      </c>
      <c r="F1257" s="49" t="s">
        <v>974</v>
      </c>
      <c r="G1257" s="49" t="n">
        <v>4</v>
      </c>
      <c r="H1257" s="0" t="n">
        <v>0</v>
      </c>
      <c r="I1257" s="51" t="s">
        <v>3615</v>
      </c>
      <c r="J1257" s="49" t="s">
        <v>2992</v>
      </c>
      <c r="K1257" s="52" t="n">
        <v>47875</v>
      </c>
      <c r="M1257" s="51" t="s">
        <v>3327</v>
      </c>
      <c r="N1257" s="49" t="n">
        <v>4</v>
      </c>
      <c r="O1257" s="53" t="n">
        <v>46062.3995717593</v>
      </c>
      <c r="P1257" s="53" t="n">
        <v>46067.7028587963</v>
      </c>
      <c r="Q1257" s="53" t="n">
        <v>46062.3995717593</v>
      </c>
      <c r="R1257" s="0" t="n">
        <v>0</v>
      </c>
      <c r="S1257" s="51" t="s">
        <v>3129</v>
      </c>
      <c r="T1257" s="51" t="s">
        <v>3129</v>
      </c>
      <c r="U1257" s="51" t="s">
        <v>2990</v>
      </c>
      <c r="V1257" s="51" t="s">
        <v>2365</v>
      </c>
      <c r="W1257" s="51"/>
      <c r="X1257" s="51"/>
    </row>
    <row r="1258" customFormat="false" ht="14.25" hidden="true" customHeight="false" outlineLevel="0" collapsed="false">
      <c r="A1258" s="49" t="s">
        <v>2251</v>
      </c>
      <c r="B1258" s="49" t="s">
        <v>14</v>
      </c>
      <c r="C1258" s="49" t="s">
        <v>1124</v>
      </c>
      <c r="D1258" s="49" t="s">
        <v>2441</v>
      </c>
      <c r="E1258" s="49" t="s">
        <v>2990</v>
      </c>
      <c r="F1258" s="49" t="s">
        <v>974</v>
      </c>
      <c r="G1258" s="49" t="n">
        <v>4</v>
      </c>
      <c r="H1258" s="0" t="n">
        <v>0</v>
      </c>
      <c r="I1258" s="51" t="s">
        <v>3615</v>
      </c>
      <c r="J1258" s="49" t="s">
        <v>2992</v>
      </c>
      <c r="K1258" s="52" t="n">
        <v>47875</v>
      </c>
      <c r="M1258" s="51" t="s">
        <v>3327</v>
      </c>
      <c r="N1258" s="49" t="n">
        <v>4</v>
      </c>
      <c r="O1258" s="53" t="n">
        <v>46062.401875</v>
      </c>
      <c r="P1258" s="53" t="n">
        <v>46067.7077199074</v>
      </c>
      <c r="Q1258" s="53" t="n">
        <v>46062.401875</v>
      </c>
      <c r="R1258" s="0" t="n">
        <v>0</v>
      </c>
      <c r="S1258" s="51" t="s">
        <v>3129</v>
      </c>
      <c r="T1258" s="51" t="s">
        <v>3129</v>
      </c>
      <c r="U1258" s="51" t="s">
        <v>2990</v>
      </c>
      <c r="V1258" s="51" t="s">
        <v>2365</v>
      </c>
      <c r="W1258" s="51"/>
      <c r="X1258" s="51"/>
    </row>
    <row r="1259" customFormat="false" ht="14.25" hidden="true" customHeight="false" outlineLevel="0" collapsed="false">
      <c r="A1259" s="49" t="s">
        <v>2251</v>
      </c>
      <c r="B1259" s="49" t="s">
        <v>14</v>
      </c>
      <c r="C1259" s="49" t="s">
        <v>1123</v>
      </c>
      <c r="D1259" s="49" t="s">
        <v>2441</v>
      </c>
      <c r="E1259" s="49" t="s">
        <v>2990</v>
      </c>
      <c r="F1259" s="49" t="s">
        <v>974</v>
      </c>
      <c r="G1259" s="49" t="n">
        <v>4</v>
      </c>
      <c r="H1259" s="0" t="n">
        <v>0</v>
      </c>
      <c r="I1259" s="51" t="s">
        <v>3615</v>
      </c>
      <c r="J1259" s="49" t="s">
        <v>2992</v>
      </c>
      <c r="K1259" s="52" t="n">
        <v>47875</v>
      </c>
      <c r="M1259" s="51" t="s">
        <v>3327</v>
      </c>
      <c r="N1259" s="49" t="n">
        <v>4</v>
      </c>
      <c r="O1259" s="53" t="n">
        <v>46062.403287037</v>
      </c>
      <c r="P1259" s="53" t="n">
        <v>46067.7150925926</v>
      </c>
      <c r="Q1259" s="53" t="n">
        <v>46062.403287037</v>
      </c>
      <c r="R1259" s="0" t="n">
        <v>0</v>
      </c>
      <c r="S1259" s="51" t="s">
        <v>3129</v>
      </c>
      <c r="T1259" s="51" t="s">
        <v>3129</v>
      </c>
      <c r="U1259" s="51" t="s">
        <v>2990</v>
      </c>
      <c r="V1259" s="51" t="s">
        <v>2365</v>
      </c>
      <c r="W1259" s="51"/>
      <c r="X1259" s="51"/>
    </row>
    <row r="1260" customFormat="false" ht="14.25" hidden="true" customHeight="false" outlineLevel="0" collapsed="false">
      <c r="A1260" s="49" t="s">
        <v>2251</v>
      </c>
      <c r="B1260" s="49" t="s">
        <v>14</v>
      </c>
      <c r="C1260" s="49" t="s">
        <v>1122</v>
      </c>
      <c r="D1260" s="49" t="s">
        <v>2441</v>
      </c>
      <c r="E1260" s="49" t="s">
        <v>2990</v>
      </c>
      <c r="F1260" s="49" t="s">
        <v>974</v>
      </c>
      <c r="G1260" s="49" t="n">
        <v>2</v>
      </c>
      <c r="H1260" s="0" t="n">
        <v>0</v>
      </c>
      <c r="I1260" s="51" t="s">
        <v>3616</v>
      </c>
      <c r="J1260" s="49" t="s">
        <v>3614</v>
      </c>
      <c r="K1260" s="52" t="n">
        <v>47875</v>
      </c>
      <c r="M1260" s="51" t="s">
        <v>3327</v>
      </c>
      <c r="N1260" s="49" t="n">
        <v>2</v>
      </c>
      <c r="O1260" s="53" t="n">
        <v>46062.4078356482</v>
      </c>
      <c r="P1260" s="53" t="n">
        <v>46068.4716203704</v>
      </c>
      <c r="Q1260" s="53" t="n">
        <v>46062.4078356482</v>
      </c>
      <c r="R1260" s="0" t="n">
        <v>0</v>
      </c>
      <c r="S1260" s="51" t="s">
        <v>3129</v>
      </c>
      <c r="T1260" s="51" t="s">
        <v>3129</v>
      </c>
      <c r="U1260" s="51" t="s">
        <v>2990</v>
      </c>
      <c r="V1260" s="51" t="s">
        <v>2365</v>
      </c>
      <c r="W1260" s="51"/>
      <c r="X1260" s="51"/>
    </row>
    <row r="1261" customFormat="false" ht="14.25" hidden="false" customHeight="false" outlineLevel="0" collapsed="false">
      <c r="A1261" s="49" t="s">
        <v>2251</v>
      </c>
      <c r="B1261" s="49" t="s">
        <v>14</v>
      </c>
      <c r="C1261" s="49" t="s">
        <v>1121</v>
      </c>
      <c r="D1261" s="49" t="s">
        <v>2441</v>
      </c>
      <c r="E1261" s="49" t="s">
        <v>2990</v>
      </c>
      <c r="F1261" s="49" t="s">
        <v>974</v>
      </c>
      <c r="G1261" s="49" t="n">
        <v>2</v>
      </c>
      <c r="H1261" s="0" t="n">
        <v>0</v>
      </c>
      <c r="I1261" s="51" t="s">
        <v>3617</v>
      </c>
      <c r="J1261" s="49" t="s">
        <v>2991</v>
      </c>
      <c r="K1261" s="52" t="n">
        <v>47875</v>
      </c>
      <c r="M1261" s="51" t="s">
        <v>3327</v>
      </c>
      <c r="N1261" s="0" t="n">
        <v>2</v>
      </c>
      <c r="O1261" s="53" t="n">
        <v>46062.4106944444</v>
      </c>
      <c r="P1261" s="53" t="n">
        <v>46068.4713078704</v>
      </c>
      <c r="Q1261" s="53" t="n">
        <v>46062.4106944444</v>
      </c>
      <c r="R1261" s="0" t="n">
        <v>0</v>
      </c>
      <c r="S1261" s="51" t="s">
        <v>3129</v>
      </c>
      <c r="T1261" s="51" t="s">
        <v>3129</v>
      </c>
      <c r="U1261" s="51" t="s">
        <v>2990</v>
      </c>
      <c r="V1261" s="51" t="s">
        <v>2365</v>
      </c>
      <c r="W1261" s="51"/>
      <c r="X1261" s="51"/>
    </row>
    <row r="1262" customFormat="false" ht="14.25" hidden="true" customHeight="false" outlineLevel="0" collapsed="false">
      <c r="A1262" s="49" t="s">
        <v>2251</v>
      </c>
      <c r="B1262" s="49" t="s">
        <v>14</v>
      </c>
      <c r="C1262" s="49" t="s">
        <v>1120</v>
      </c>
      <c r="D1262" s="49" t="s">
        <v>2441</v>
      </c>
      <c r="E1262" s="49" t="s">
        <v>2990</v>
      </c>
      <c r="F1262" s="49" t="s">
        <v>974</v>
      </c>
      <c r="G1262" s="49" t="n">
        <v>4</v>
      </c>
      <c r="H1262" s="0" t="n">
        <v>0</v>
      </c>
      <c r="I1262" s="51" t="s">
        <v>3618</v>
      </c>
      <c r="J1262" s="49" t="s">
        <v>2991</v>
      </c>
      <c r="K1262" s="52" t="n">
        <v>47875</v>
      </c>
      <c r="M1262" s="51" t="s">
        <v>3327</v>
      </c>
      <c r="N1262" s="49" t="n">
        <v>4</v>
      </c>
      <c r="O1262" s="53" t="n">
        <v>46062.4115277778</v>
      </c>
      <c r="P1262" s="53" t="n">
        <v>46068.4698726852</v>
      </c>
      <c r="Q1262" s="53" t="n">
        <v>46062.4115277778</v>
      </c>
      <c r="R1262" s="0" t="n">
        <v>0</v>
      </c>
      <c r="S1262" s="51" t="s">
        <v>3129</v>
      </c>
      <c r="T1262" s="51" t="s">
        <v>3129</v>
      </c>
      <c r="U1262" s="51" t="s">
        <v>2990</v>
      </c>
      <c r="V1262" s="51" t="s">
        <v>2365</v>
      </c>
      <c r="W1262" s="51"/>
      <c r="X1262" s="51"/>
    </row>
    <row r="1263" customFormat="false" ht="14.25" hidden="false" customHeight="false" outlineLevel="0" collapsed="false">
      <c r="A1263" s="49" t="s">
        <v>2251</v>
      </c>
      <c r="B1263" s="49" t="s">
        <v>14</v>
      </c>
      <c r="C1263" s="49" t="s">
        <v>1245</v>
      </c>
      <c r="D1263" s="49" t="s">
        <v>2441</v>
      </c>
      <c r="E1263" s="49" t="s">
        <v>2278</v>
      </c>
      <c r="F1263" s="49" t="s">
        <v>831</v>
      </c>
      <c r="G1263" s="49" t="n">
        <v>12</v>
      </c>
      <c r="H1263" s="0" t="n">
        <v>0</v>
      </c>
      <c r="I1263" s="51" t="s">
        <v>3619</v>
      </c>
      <c r="J1263" s="49" t="s">
        <v>3620</v>
      </c>
      <c r="K1263" s="52" t="n">
        <v>47878</v>
      </c>
      <c r="M1263" s="51" t="s">
        <v>3258</v>
      </c>
      <c r="N1263" s="0" t="n">
        <v>12</v>
      </c>
      <c r="O1263" s="53" t="n">
        <v>46064.5908564815</v>
      </c>
      <c r="P1263" s="53" t="n">
        <v>46064.6856365741</v>
      </c>
      <c r="Q1263" s="53" t="n">
        <v>46064.5908564815</v>
      </c>
      <c r="R1263" s="0" t="n">
        <v>0</v>
      </c>
      <c r="S1263" s="51" t="s">
        <v>3129</v>
      </c>
      <c r="T1263" s="51" t="s">
        <v>3129</v>
      </c>
      <c r="U1263" s="51" t="s">
        <v>2278</v>
      </c>
      <c r="V1263" s="51" t="s">
        <v>2205</v>
      </c>
      <c r="W1263" s="51"/>
      <c r="X1263" s="51"/>
    </row>
    <row r="1264" customFormat="false" ht="14.25" hidden="false" customHeight="false" outlineLevel="0" collapsed="false">
      <c r="A1264" s="49" t="s">
        <v>2251</v>
      </c>
      <c r="B1264" s="49" t="s">
        <v>14</v>
      </c>
      <c r="C1264" s="49" t="s">
        <v>1244</v>
      </c>
      <c r="D1264" s="49" t="s">
        <v>2441</v>
      </c>
      <c r="E1264" s="49" t="s">
        <v>2278</v>
      </c>
      <c r="F1264" s="49" t="s">
        <v>831</v>
      </c>
      <c r="G1264" s="49" t="n">
        <v>4</v>
      </c>
      <c r="H1264" s="0" t="n">
        <v>0</v>
      </c>
      <c r="I1264" s="51" t="s">
        <v>3621</v>
      </c>
      <c r="J1264" s="49" t="s">
        <v>3622</v>
      </c>
      <c r="K1264" s="52" t="n">
        <v>47882</v>
      </c>
      <c r="M1264" s="51" t="s">
        <v>3258</v>
      </c>
      <c r="N1264" s="0" t="n">
        <v>4</v>
      </c>
      <c r="O1264" s="53" t="n">
        <v>46064.5918171296</v>
      </c>
      <c r="P1264" s="53" t="n">
        <v>46064.6565509259</v>
      </c>
      <c r="Q1264" s="53" t="n">
        <v>46064.5918171296</v>
      </c>
      <c r="R1264" s="0" t="n">
        <v>0</v>
      </c>
      <c r="S1264" s="51" t="s">
        <v>3129</v>
      </c>
      <c r="T1264" s="51" t="s">
        <v>3129</v>
      </c>
      <c r="U1264" s="51" t="s">
        <v>2278</v>
      </c>
      <c r="V1264" s="51" t="s">
        <v>2205</v>
      </c>
      <c r="W1264" s="51"/>
      <c r="X1264" s="51"/>
    </row>
    <row r="1265" customFormat="false" ht="14.25" hidden="false" customHeight="false" outlineLevel="0" collapsed="false">
      <c r="A1265" s="49" t="s">
        <v>2251</v>
      </c>
      <c r="B1265" s="49" t="s">
        <v>14</v>
      </c>
      <c r="C1265" s="49" t="s">
        <v>1249</v>
      </c>
      <c r="D1265" s="49" t="s">
        <v>2441</v>
      </c>
      <c r="E1265" s="49" t="s">
        <v>2551</v>
      </c>
      <c r="F1265" s="49" t="s">
        <v>168</v>
      </c>
      <c r="G1265" s="49" t="n">
        <v>24</v>
      </c>
      <c r="H1265" s="0" t="n">
        <v>0</v>
      </c>
      <c r="I1265" s="51" t="s">
        <v>3623</v>
      </c>
      <c r="J1265" s="49" t="s">
        <v>3624</v>
      </c>
      <c r="K1265" s="52" t="n">
        <v>47882</v>
      </c>
      <c r="M1265" s="51" t="s">
        <v>3258</v>
      </c>
      <c r="N1265" s="0" t="n">
        <v>24</v>
      </c>
      <c r="O1265" s="53" t="n">
        <v>46064.5862615741</v>
      </c>
      <c r="P1265" s="53" t="n">
        <v>46064.6883101852</v>
      </c>
      <c r="Q1265" s="53" t="n">
        <v>46064.5862615741</v>
      </c>
      <c r="R1265" s="0" t="n">
        <v>0</v>
      </c>
      <c r="S1265" s="51" t="s">
        <v>3129</v>
      </c>
      <c r="T1265" s="51" t="s">
        <v>3129</v>
      </c>
      <c r="U1265" s="51" t="s">
        <v>2551</v>
      </c>
      <c r="V1265" s="51" t="s">
        <v>2205</v>
      </c>
      <c r="X1265" s="51"/>
    </row>
    <row r="1266" customFormat="false" ht="14.25" hidden="false" customHeight="false" outlineLevel="0" collapsed="false">
      <c r="A1266" s="49" t="s">
        <v>2251</v>
      </c>
      <c r="B1266" s="49" t="s">
        <v>14</v>
      </c>
      <c r="C1266" s="49" t="s">
        <v>1327</v>
      </c>
      <c r="D1266" s="49" t="s">
        <v>2441</v>
      </c>
      <c r="E1266" s="49" t="s">
        <v>3353</v>
      </c>
      <c r="F1266" s="49" t="s">
        <v>1005</v>
      </c>
      <c r="G1266" s="49" t="n">
        <v>4</v>
      </c>
      <c r="H1266" s="0" t="n">
        <v>0</v>
      </c>
      <c r="I1266" s="51" t="s">
        <v>3625</v>
      </c>
      <c r="J1266" s="49" t="s">
        <v>3626</v>
      </c>
      <c r="K1266" s="52" t="n">
        <v>47883</v>
      </c>
      <c r="M1266" s="51" t="s">
        <v>3218</v>
      </c>
      <c r="N1266" s="0" t="n">
        <v>4</v>
      </c>
      <c r="O1266" s="53" t="n">
        <v>46067.5854166667</v>
      </c>
      <c r="P1266" s="53" t="n">
        <v>46067.7563194444</v>
      </c>
      <c r="Q1266" s="53" t="n">
        <v>46067.5854166667</v>
      </c>
      <c r="R1266" s="0" t="n">
        <v>0</v>
      </c>
      <c r="S1266" s="51" t="s">
        <v>3129</v>
      </c>
      <c r="T1266" s="51" t="s">
        <v>3129</v>
      </c>
      <c r="U1266" s="51" t="s">
        <v>3353</v>
      </c>
      <c r="V1266" s="51" t="s">
        <v>2142</v>
      </c>
      <c r="X1266" s="51"/>
    </row>
    <row r="1267" customFormat="false" ht="14.25" hidden="false" customHeight="false" outlineLevel="0" collapsed="false">
      <c r="A1267" s="49" t="s">
        <v>2251</v>
      </c>
      <c r="B1267" s="49" t="s">
        <v>14</v>
      </c>
      <c r="C1267" s="49" t="s">
        <v>1320</v>
      </c>
      <c r="D1267" s="49" t="s">
        <v>2441</v>
      </c>
      <c r="E1267" s="49" t="s">
        <v>3353</v>
      </c>
      <c r="F1267" s="49" t="s">
        <v>1005</v>
      </c>
      <c r="G1267" s="49" t="n">
        <v>4</v>
      </c>
      <c r="H1267" s="0" t="n">
        <v>0</v>
      </c>
      <c r="I1267" s="51" t="s">
        <v>3627</v>
      </c>
      <c r="J1267" s="49" t="s">
        <v>3626</v>
      </c>
      <c r="K1267" s="52" t="n">
        <v>47883</v>
      </c>
      <c r="M1267" s="51" t="s">
        <v>3218</v>
      </c>
      <c r="N1267" s="0" t="n">
        <v>4</v>
      </c>
      <c r="O1267" s="53" t="n">
        <v>46067.5718171296</v>
      </c>
      <c r="P1267" s="53" t="n">
        <v>46068.3044212963</v>
      </c>
      <c r="Q1267" s="53" t="n">
        <v>46067.5718171296</v>
      </c>
      <c r="R1267" s="0" t="n">
        <v>0</v>
      </c>
      <c r="S1267" s="51" t="s">
        <v>3129</v>
      </c>
      <c r="T1267" s="51" t="s">
        <v>3129</v>
      </c>
      <c r="U1267" s="51" t="s">
        <v>3353</v>
      </c>
      <c r="V1267" s="51" t="s">
        <v>2142</v>
      </c>
      <c r="X1267" s="51"/>
    </row>
    <row r="1268" customFormat="false" ht="14.25" hidden="false" customHeight="false" outlineLevel="0" collapsed="false">
      <c r="A1268" s="49" t="s">
        <v>2251</v>
      </c>
      <c r="B1268" s="49" t="s">
        <v>14</v>
      </c>
      <c r="C1268" s="49" t="s">
        <v>1340</v>
      </c>
      <c r="D1268" s="49" t="s">
        <v>2441</v>
      </c>
      <c r="E1268" s="49" t="s">
        <v>3353</v>
      </c>
      <c r="F1268" s="49" t="s">
        <v>1005</v>
      </c>
      <c r="G1268" s="49" t="n">
        <v>4</v>
      </c>
      <c r="H1268" s="0" t="n">
        <v>0</v>
      </c>
      <c r="I1268" s="51" t="s">
        <v>3627</v>
      </c>
      <c r="J1268" s="49" t="s">
        <v>3626</v>
      </c>
      <c r="K1268" s="52" t="n">
        <v>47883</v>
      </c>
      <c r="M1268" s="51" t="s">
        <v>3218</v>
      </c>
      <c r="N1268" s="0" t="n">
        <v>4</v>
      </c>
      <c r="O1268" s="53" t="n">
        <v>46067.573587963</v>
      </c>
      <c r="P1268" s="53" t="n">
        <v>46068.3216319445</v>
      </c>
      <c r="Q1268" s="53" t="n">
        <v>46067.573587963</v>
      </c>
      <c r="R1268" s="0" t="n">
        <v>0</v>
      </c>
      <c r="S1268" s="51" t="s">
        <v>3129</v>
      </c>
      <c r="T1268" s="51" t="s">
        <v>3129</v>
      </c>
      <c r="U1268" s="51" t="s">
        <v>3353</v>
      </c>
      <c r="V1268" s="51" t="s">
        <v>2142</v>
      </c>
      <c r="W1268" s="51" t="s">
        <v>3530</v>
      </c>
      <c r="X1268" s="51"/>
    </row>
    <row r="1269" customFormat="false" ht="14.25" hidden="false" customHeight="false" outlineLevel="0" collapsed="false">
      <c r="A1269" s="49" t="s">
        <v>2251</v>
      </c>
      <c r="B1269" s="49" t="s">
        <v>14</v>
      </c>
      <c r="C1269" s="49" t="s">
        <v>1339</v>
      </c>
      <c r="D1269" s="49" t="s">
        <v>2441</v>
      </c>
      <c r="E1269" s="49" t="s">
        <v>3353</v>
      </c>
      <c r="F1269" s="49" t="s">
        <v>1005</v>
      </c>
      <c r="G1269" s="49" t="n">
        <v>4</v>
      </c>
      <c r="H1269" s="0" t="n">
        <v>0</v>
      </c>
      <c r="I1269" s="51" t="s">
        <v>3627</v>
      </c>
      <c r="J1269" s="49" t="s">
        <v>3626</v>
      </c>
      <c r="K1269" s="52" t="n">
        <v>47883</v>
      </c>
      <c r="M1269" s="51" t="s">
        <v>3218</v>
      </c>
      <c r="N1269" s="0" t="n">
        <v>4</v>
      </c>
      <c r="O1269" s="53" t="n">
        <v>46067.5744560185</v>
      </c>
      <c r="P1269" s="53" t="n">
        <v>46068.3073958333</v>
      </c>
      <c r="Q1269" s="53" t="n">
        <v>46067.5744560185</v>
      </c>
      <c r="R1269" s="0" t="n">
        <v>0</v>
      </c>
      <c r="S1269" s="51" t="s">
        <v>3129</v>
      </c>
      <c r="T1269" s="51" t="s">
        <v>3129</v>
      </c>
      <c r="U1269" s="51" t="s">
        <v>3353</v>
      </c>
      <c r="V1269" s="51" t="s">
        <v>2142</v>
      </c>
      <c r="X1269" s="51"/>
    </row>
    <row r="1270" customFormat="false" ht="14.25" hidden="false" customHeight="false" outlineLevel="0" collapsed="false">
      <c r="A1270" s="49" t="s">
        <v>2251</v>
      </c>
      <c r="B1270" s="49" t="s">
        <v>14</v>
      </c>
      <c r="C1270" s="49" t="s">
        <v>1338</v>
      </c>
      <c r="D1270" s="49" t="s">
        <v>2441</v>
      </c>
      <c r="E1270" s="49" t="s">
        <v>3353</v>
      </c>
      <c r="F1270" s="49" t="s">
        <v>1005</v>
      </c>
      <c r="G1270" s="49" t="n">
        <v>4</v>
      </c>
      <c r="H1270" s="0" t="n">
        <v>0</v>
      </c>
      <c r="I1270" s="51" t="s">
        <v>3627</v>
      </c>
      <c r="J1270" s="49" t="s">
        <v>3626</v>
      </c>
      <c r="K1270" s="52" t="n">
        <v>47883</v>
      </c>
      <c r="M1270" s="51" t="s">
        <v>3218</v>
      </c>
      <c r="N1270" s="0" t="n">
        <v>4</v>
      </c>
      <c r="O1270" s="53" t="n">
        <v>46067.5749537037</v>
      </c>
      <c r="P1270" s="53" t="n">
        <v>46067.7882407407</v>
      </c>
      <c r="Q1270" s="53" t="n">
        <v>46067.5749537037</v>
      </c>
      <c r="R1270" s="0" t="n">
        <v>0</v>
      </c>
      <c r="S1270" s="51" t="s">
        <v>3129</v>
      </c>
      <c r="T1270" s="51" t="s">
        <v>3129</v>
      </c>
      <c r="U1270" s="51" t="s">
        <v>3353</v>
      </c>
      <c r="V1270" s="51" t="s">
        <v>2142</v>
      </c>
      <c r="X1270" s="51"/>
    </row>
    <row r="1271" customFormat="false" ht="14.25" hidden="false" customHeight="false" outlineLevel="0" collapsed="false">
      <c r="A1271" s="49" t="s">
        <v>2251</v>
      </c>
      <c r="B1271" s="49" t="s">
        <v>14</v>
      </c>
      <c r="C1271" s="49" t="s">
        <v>1337</v>
      </c>
      <c r="D1271" s="49" t="s">
        <v>2441</v>
      </c>
      <c r="E1271" s="49" t="s">
        <v>3353</v>
      </c>
      <c r="F1271" s="49" t="s">
        <v>1005</v>
      </c>
      <c r="G1271" s="49" t="n">
        <v>4</v>
      </c>
      <c r="H1271" s="0" t="n">
        <v>0</v>
      </c>
      <c r="I1271" s="51" t="s">
        <v>3628</v>
      </c>
      <c r="J1271" s="49" t="s">
        <v>3626</v>
      </c>
      <c r="K1271" s="52" t="n">
        <v>47883</v>
      </c>
      <c r="M1271" s="51" t="s">
        <v>3218</v>
      </c>
      <c r="N1271" s="0" t="n">
        <v>4</v>
      </c>
      <c r="O1271" s="53" t="n">
        <v>46067.5755671296</v>
      </c>
      <c r="P1271" s="53" t="n">
        <v>46067.7839467593</v>
      </c>
      <c r="Q1271" s="53" t="n">
        <v>46067.5755671296</v>
      </c>
      <c r="R1271" s="0" t="n">
        <v>0</v>
      </c>
      <c r="S1271" s="51" t="s">
        <v>3129</v>
      </c>
      <c r="T1271" s="51" t="s">
        <v>3129</v>
      </c>
      <c r="U1271" s="51" t="s">
        <v>3353</v>
      </c>
      <c r="V1271" s="51" t="s">
        <v>2142</v>
      </c>
      <c r="X1271" s="51"/>
    </row>
    <row r="1272" customFormat="false" ht="14.25" hidden="false" customHeight="false" outlineLevel="0" collapsed="false">
      <c r="A1272" s="49" t="s">
        <v>2251</v>
      </c>
      <c r="B1272" s="49" t="s">
        <v>14</v>
      </c>
      <c r="C1272" s="49" t="s">
        <v>1336</v>
      </c>
      <c r="D1272" s="49" t="s">
        <v>2441</v>
      </c>
      <c r="E1272" s="49" t="s">
        <v>3353</v>
      </c>
      <c r="F1272" s="49" t="s">
        <v>1005</v>
      </c>
      <c r="G1272" s="49" t="n">
        <v>4</v>
      </c>
      <c r="H1272" s="0" t="n">
        <v>0</v>
      </c>
      <c r="I1272" s="51" t="s">
        <v>3628</v>
      </c>
      <c r="J1272" s="49" t="s">
        <v>3626</v>
      </c>
      <c r="K1272" s="52" t="n">
        <v>47883</v>
      </c>
      <c r="M1272" s="51" t="s">
        <v>3218</v>
      </c>
      <c r="N1272" s="0" t="n">
        <v>4</v>
      </c>
      <c r="O1272" s="53" t="n">
        <v>46067.5766550926</v>
      </c>
      <c r="P1272" s="53" t="n">
        <v>46067.7811805556</v>
      </c>
      <c r="Q1272" s="53" t="n">
        <v>46067.5766550926</v>
      </c>
      <c r="R1272" s="0" t="n">
        <v>0</v>
      </c>
      <c r="S1272" s="51" t="s">
        <v>3129</v>
      </c>
      <c r="T1272" s="51" t="s">
        <v>3129</v>
      </c>
      <c r="U1272" s="51" t="s">
        <v>3353</v>
      </c>
      <c r="V1272" s="51" t="s">
        <v>2142</v>
      </c>
      <c r="X1272" s="51"/>
    </row>
    <row r="1273" customFormat="false" ht="14.25" hidden="false" customHeight="false" outlineLevel="0" collapsed="false">
      <c r="A1273" s="49" t="s">
        <v>2251</v>
      </c>
      <c r="B1273" s="49" t="s">
        <v>14</v>
      </c>
      <c r="C1273" s="49" t="s">
        <v>1335</v>
      </c>
      <c r="D1273" s="49" t="s">
        <v>2441</v>
      </c>
      <c r="E1273" s="49" t="s">
        <v>3353</v>
      </c>
      <c r="F1273" s="49" t="s">
        <v>1005</v>
      </c>
      <c r="G1273" s="49" t="n">
        <v>4</v>
      </c>
      <c r="H1273" s="0" t="n">
        <v>0</v>
      </c>
      <c r="I1273" s="51" t="s">
        <v>3628</v>
      </c>
      <c r="J1273" s="49" t="s">
        <v>3626</v>
      </c>
      <c r="K1273" s="52" t="n">
        <v>47883</v>
      </c>
      <c r="M1273" s="51" t="s">
        <v>3218</v>
      </c>
      <c r="N1273" s="0" t="n">
        <v>4</v>
      </c>
      <c r="O1273" s="53" t="n">
        <v>46067.5771759259</v>
      </c>
      <c r="P1273" s="53" t="n">
        <v>46067.7785532407</v>
      </c>
      <c r="Q1273" s="53" t="n">
        <v>46067.5771759259</v>
      </c>
      <c r="R1273" s="0" t="n">
        <v>0</v>
      </c>
      <c r="S1273" s="51" t="s">
        <v>3129</v>
      </c>
      <c r="T1273" s="51" t="s">
        <v>3129</v>
      </c>
      <c r="U1273" s="51" t="s">
        <v>3353</v>
      </c>
      <c r="V1273" s="51" t="s">
        <v>2142</v>
      </c>
      <c r="X1273" s="51"/>
    </row>
    <row r="1274" customFormat="false" ht="14.25" hidden="false" customHeight="false" outlineLevel="0" collapsed="false">
      <c r="A1274" s="49" t="s">
        <v>2251</v>
      </c>
      <c r="B1274" s="49" t="s">
        <v>14</v>
      </c>
      <c r="C1274" s="49" t="s">
        <v>1334</v>
      </c>
      <c r="D1274" s="49" t="s">
        <v>2441</v>
      </c>
      <c r="E1274" s="49" t="s">
        <v>3353</v>
      </c>
      <c r="F1274" s="49" t="s">
        <v>1005</v>
      </c>
      <c r="G1274" s="49" t="n">
        <v>4</v>
      </c>
      <c r="H1274" s="0" t="n">
        <v>0</v>
      </c>
      <c r="I1274" s="51" t="s">
        <v>3628</v>
      </c>
      <c r="J1274" s="49" t="s">
        <v>3626</v>
      </c>
      <c r="K1274" s="52" t="n">
        <v>47883</v>
      </c>
      <c r="M1274" s="51" t="s">
        <v>3218</v>
      </c>
      <c r="N1274" s="0" t="n">
        <v>4</v>
      </c>
      <c r="O1274" s="53" t="n">
        <v>46067.5782638889</v>
      </c>
      <c r="P1274" s="53" t="n">
        <v>46067.7751967593</v>
      </c>
      <c r="Q1274" s="53" t="n">
        <v>46067.5782638889</v>
      </c>
      <c r="R1274" s="0" t="n">
        <v>0</v>
      </c>
      <c r="S1274" s="51" t="s">
        <v>3129</v>
      </c>
      <c r="T1274" s="51" t="s">
        <v>3129</v>
      </c>
      <c r="U1274" s="51" t="s">
        <v>3353</v>
      </c>
      <c r="V1274" s="51" t="s">
        <v>2142</v>
      </c>
      <c r="X1274" s="51"/>
    </row>
    <row r="1275" customFormat="false" ht="14.25" hidden="false" customHeight="false" outlineLevel="0" collapsed="false">
      <c r="A1275" s="49" t="s">
        <v>2251</v>
      </c>
      <c r="B1275" s="49" t="s">
        <v>14</v>
      </c>
      <c r="C1275" s="49" t="s">
        <v>1333</v>
      </c>
      <c r="D1275" s="49" t="s">
        <v>2441</v>
      </c>
      <c r="E1275" s="49" t="s">
        <v>3353</v>
      </c>
      <c r="F1275" s="49" t="s">
        <v>1005</v>
      </c>
      <c r="G1275" s="49" t="n">
        <v>4</v>
      </c>
      <c r="H1275" s="0" t="n">
        <v>0</v>
      </c>
      <c r="I1275" s="51" t="s">
        <v>3628</v>
      </c>
      <c r="J1275" s="49" t="s">
        <v>3626</v>
      </c>
      <c r="K1275" s="52" t="n">
        <v>47883</v>
      </c>
      <c r="M1275" s="51" t="s">
        <v>3218</v>
      </c>
      <c r="N1275" s="0" t="n">
        <v>4</v>
      </c>
      <c r="O1275" s="53" t="n">
        <v>46067.5786574074</v>
      </c>
      <c r="P1275" s="53" t="n">
        <v>46067.7700347222</v>
      </c>
      <c r="Q1275" s="53" t="n">
        <v>46067.5786574074</v>
      </c>
      <c r="R1275" s="0" t="n">
        <v>0</v>
      </c>
      <c r="S1275" s="51" t="s">
        <v>3129</v>
      </c>
      <c r="T1275" s="51" t="s">
        <v>3129</v>
      </c>
      <c r="U1275" s="51" t="s">
        <v>3353</v>
      </c>
      <c r="V1275" s="51" t="s">
        <v>2142</v>
      </c>
      <c r="X1275" s="51"/>
    </row>
    <row r="1276" customFormat="false" ht="14.25" hidden="false" customHeight="false" outlineLevel="0" collapsed="false">
      <c r="A1276" s="49" t="s">
        <v>2251</v>
      </c>
      <c r="B1276" s="49" t="s">
        <v>14</v>
      </c>
      <c r="C1276" s="49" t="s">
        <v>1332</v>
      </c>
      <c r="D1276" s="49" t="s">
        <v>2441</v>
      </c>
      <c r="E1276" s="49" t="s">
        <v>3353</v>
      </c>
      <c r="F1276" s="49" t="s">
        <v>1005</v>
      </c>
      <c r="G1276" s="49" t="n">
        <v>4</v>
      </c>
      <c r="H1276" s="0" t="n">
        <v>0</v>
      </c>
      <c r="I1276" s="51" t="s">
        <v>3625</v>
      </c>
      <c r="J1276" s="49" t="s">
        <v>3626</v>
      </c>
      <c r="K1276" s="52" t="n">
        <v>47883</v>
      </c>
      <c r="M1276" s="51" t="s">
        <v>3218</v>
      </c>
      <c r="N1276" s="0" t="n">
        <v>4</v>
      </c>
      <c r="O1276" s="53" t="n">
        <v>46067.5797453704</v>
      </c>
      <c r="P1276" s="53" t="n">
        <v>46067.7683680556</v>
      </c>
      <c r="Q1276" s="53" t="n">
        <v>46067.5797453704</v>
      </c>
      <c r="R1276" s="0" t="n">
        <v>0</v>
      </c>
      <c r="S1276" s="51" t="s">
        <v>3129</v>
      </c>
      <c r="T1276" s="51" t="s">
        <v>3129</v>
      </c>
      <c r="U1276" s="51" t="s">
        <v>3353</v>
      </c>
      <c r="V1276" s="51" t="s">
        <v>2142</v>
      </c>
      <c r="X1276" s="51"/>
    </row>
    <row r="1277" customFormat="false" ht="14.25" hidden="false" customHeight="false" outlineLevel="0" collapsed="false">
      <c r="A1277" s="49" t="s">
        <v>2251</v>
      </c>
      <c r="B1277" s="49" t="s">
        <v>14</v>
      </c>
      <c r="C1277" s="49" t="s">
        <v>1331</v>
      </c>
      <c r="D1277" s="49" t="s">
        <v>2441</v>
      </c>
      <c r="E1277" s="49" t="s">
        <v>3353</v>
      </c>
      <c r="F1277" s="49" t="s">
        <v>1005</v>
      </c>
      <c r="G1277" s="49" t="n">
        <v>4</v>
      </c>
      <c r="H1277" s="0" t="n">
        <v>0</v>
      </c>
      <c r="I1277" s="51" t="s">
        <v>3625</v>
      </c>
      <c r="J1277" s="49" t="s">
        <v>3626</v>
      </c>
      <c r="K1277" s="52" t="n">
        <v>47883</v>
      </c>
      <c r="M1277" s="51" t="s">
        <v>3218</v>
      </c>
      <c r="N1277" s="0" t="n">
        <v>4</v>
      </c>
      <c r="O1277" s="53" t="n">
        <v>46067.5817824074</v>
      </c>
      <c r="P1277" s="53" t="n">
        <v>46067.7611458333</v>
      </c>
      <c r="Q1277" s="53" t="n">
        <v>46067.5817824074</v>
      </c>
      <c r="R1277" s="0" t="n">
        <v>0</v>
      </c>
      <c r="S1277" s="51" t="s">
        <v>3129</v>
      </c>
      <c r="T1277" s="51" t="s">
        <v>3129</v>
      </c>
      <c r="U1277" s="51" t="s">
        <v>3353</v>
      </c>
      <c r="V1277" s="51" t="s">
        <v>2142</v>
      </c>
      <c r="X1277" s="51"/>
    </row>
    <row r="1278" customFormat="false" ht="14.25" hidden="false" customHeight="false" outlineLevel="0" collapsed="false">
      <c r="A1278" s="49" t="s">
        <v>2251</v>
      </c>
      <c r="B1278" s="49" t="s">
        <v>14</v>
      </c>
      <c r="C1278" s="49" t="s">
        <v>1330</v>
      </c>
      <c r="D1278" s="49" t="s">
        <v>2441</v>
      </c>
      <c r="E1278" s="49" t="s">
        <v>3353</v>
      </c>
      <c r="F1278" s="49" t="s">
        <v>1005</v>
      </c>
      <c r="G1278" s="49" t="n">
        <v>4</v>
      </c>
      <c r="H1278" s="0" t="n">
        <v>0</v>
      </c>
      <c r="I1278" s="51" t="s">
        <v>3625</v>
      </c>
      <c r="J1278" s="49" t="s">
        <v>3626</v>
      </c>
      <c r="K1278" s="52" t="n">
        <v>47883</v>
      </c>
      <c r="M1278" s="51" t="s">
        <v>3218</v>
      </c>
      <c r="N1278" s="0" t="n">
        <v>4</v>
      </c>
      <c r="O1278" s="53" t="n">
        <v>46067.5822800926</v>
      </c>
      <c r="P1278" s="53" t="n">
        <v>46067.7600810185</v>
      </c>
      <c r="Q1278" s="53" t="n">
        <v>46067.5822800926</v>
      </c>
      <c r="R1278" s="0" t="n">
        <v>0</v>
      </c>
      <c r="S1278" s="51" t="s">
        <v>3129</v>
      </c>
      <c r="T1278" s="51" t="s">
        <v>3129</v>
      </c>
      <c r="U1278" s="51" t="s">
        <v>3353</v>
      </c>
      <c r="V1278" s="51" t="s">
        <v>2142</v>
      </c>
      <c r="X1278" s="51"/>
    </row>
    <row r="1279" customFormat="false" ht="14.25" hidden="false" customHeight="false" outlineLevel="0" collapsed="false">
      <c r="A1279" s="49" t="s">
        <v>2251</v>
      </c>
      <c r="B1279" s="49" t="s">
        <v>14</v>
      </c>
      <c r="C1279" s="49" t="s">
        <v>1329</v>
      </c>
      <c r="D1279" s="49" t="s">
        <v>2441</v>
      </c>
      <c r="E1279" s="49" t="s">
        <v>3353</v>
      </c>
      <c r="F1279" s="49" t="s">
        <v>1005</v>
      </c>
      <c r="G1279" s="49" t="n">
        <v>4</v>
      </c>
      <c r="H1279" s="0" t="n">
        <v>0</v>
      </c>
      <c r="I1279" s="51" t="s">
        <v>3625</v>
      </c>
      <c r="J1279" s="49" t="s">
        <v>3626</v>
      </c>
      <c r="K1279" s="52" t="n">
        <v>47883</v>
      </c>
      <c r="M1279" s="51" t="s">
        <v>3218</v>
      </c>
      <c r="N1279" s="0" t="n">
        <v>4</v>
      </c>
      <c r="O1279" s="53" t="n">
        <v>46067.5841203704</v>
      </c>
      <c r="P1279" s="53" t="n">
        <v>46067.754224537</v>
      </c>
      <c r="Q1279" s="53" t="n">
        <v>46067.5841203704</v>
      </c>
      <c r="R1279" s="0" t="n">
        <v>0</v>
      </c>
      <c r="S1279" s="51" t="s">
        <v>3129</v>
      </c>
      <c r="T1279" s="51" t="s">
        <v>3129</v>
      </c>
      <c r="U1279" s="51" t="s">
        <v>3353</v>
      </c>
      <c r="V1279" s="51" t="s">
        <v>2142</v>
      </c>
      <c r="X1279" s="51"/>
    </row>
    <row r="1280" customFormat="false" ht="14.25" hidden="false" customHeight="false" outlineLevel="0" collapsed="false">
      <c r="A1280" s="49" t="s">
        <v>2251</v>
      </c>
      <c r="B1280" s="49" t="s">
        <v>14</v>
      </c>
      <c r="C1280" s="49" t="s">
        <v>1282</v>
      </c>
      <c r="D1280" s="49" t="s">
        <v>2441</v>
      </c>
      <c r="E1280" s="49" t="s">
        <v>2140</v>
      </c>
      <c r="F1280" s="49" t="s">
        <v>80</v>
      </c>
      <c r="G1280" s="49" t="n">
        <v>4</v>
      </c>
      <c r="H1280" s="0" t="n">
        <v>0</v>
      </c>
      <c r="I1280" s="51" t="s">
        <v>3629</v>
      </c>
      <c r="J1280" s="49" t="s">
        <v>3122</v>
      </c>
      <c r="K1280" s="52" t="n">
        <v>47885</v>
      </c>
      <c r="M1280" s="51" t="s">
        <v>3135</v>
      </c>
      <c r="N1280" s="0" t="n">
        <v>4</v>
      </c>
      <c r="O1280" s="53" t="n">
        <v>46065.6121064815</v>
      </c>
      <c r="P1280" s="53" t="n">
        <v>46067.4576736111</v>
      </c>
      <c r="Q1280" s="53" t="n">
        <v>46065.6121064815</v>
      </c>
      <c r="R1280" s="0" t="n">
        <v>0</v>
      </c>
      <c r="S1280" s="51" t="s">
        <v>3129</v>
      </c>
      <c r="T1280" s="51" t="s">
        <v>3129</v>
      </c>
      <c r="U1280" s="51" t="s">
        <v>2140</v>
      </c>
      <c r="V1280" s="51" t="s">
        <v>2142</v>
      </c>
      <c r="X1280" s="51"/>
    </row>
    <row r="1281" customFormat="false" ht="14.25" hidden="false" customHeight="false" outlineLevel="0" collapsed="false">
      <c r="A1281" s="49" t="s">
        <v>2251</v>
      </c>
      <c r="B1281" s="49" t="s">
        <v>14</v>
      </c>
      <c r="C1281" s="49" t="s">
        <v>1265</v>
      </c>
      <c r="D1281" s="49" t="s">
        <v>2441</v>
      </c>
      <c r="E1281" s="49" t="s">
        <v>2140</v>
      </c>
      <c r="F1281" s="49" t="s">
        <v>80</v>
      </c>
      <c r="G1281" s="49" t="n">
        <v>4</v>
      </c>
      <c r="H1281" s="0" t="n">
        <v>0</v>
      </c>
      <c r="I1281" s="51" t="s">
        <v>3629</v>
      </c>
      <c r="J1281" s="49" t="s">
        <v>3122</v>
      </c>
      <c r="K1281" s="52" t="n">
        <v>47885</v>
      </c>
      <c r="M1281" s="51" t="s">
        <v>3135</v>
      </c>
      <c r="N1281" s="0" t="n">
        <v>4</v>
      </c>
      <c r="O1281" s="53" t="n">
        <v>46065.5998842593</v>
      </c>
      <c r="P1281" s="53" t="n">
        <v>46067.4659375</v>
      </c>
      <c r="Q1281" s="53" t="n">
        <v>46065.5998842593</v>
      </c>
      <c r="R1281" s="0" t="n">
        <v>0</v>
      </c>
      <c r="S1281" s="51" t="s">
        <v>3129</v>
      </c>
      <c r="T1281" s="51" t="s">
        <v>3129</v>
      </c>
      <c r="U1281" s="51" t="s">
        <v>2140</v>
      </c>
      <c r="V1281" s="51" t="s">
        <v>2142</v>
      </c>
      <c r="X1281" s="51"/>
    </row>
    <row r="1282" customFormat="false" ht="14.25" hidden="false" customHeight="false" outlineLevel="0" collapsed="false">
      <c r="A1282" s="49" t="s">
        <v>2251</v>
      </c>
      <c r="B1282" s="49" t="s">
        <v>14</v>
      </c>
      <c r="C1282" s="49" t="s">
        <v>1264</v>
      </c>
      <c r="D1282" s="49" t="s">
        <v>2441</v>
      </c>
      <c r="E1282" s="49" t="s">
        <v>2140</v>
      </c>
      <c r="F1282" s="49" t="s">
        <v>80</v>
      </c>
      <c r="G1282" s="49" t="n">
        <v>4</v>
      </c>
      <c r="H1282" s="0" t="n">
        <v>0</v>
      </c>
      <c r="I1282" s="51" t="s">
        <v>3629</v>
      </c>
      <c r="J1282" s="49" t="s">
        <v>3122</v>
      </c>
      <c r="K1282" s="52" t="n">
        <v>47885</v>
      </c>
      <c r="M1282" s="51" t="s">
        <v>3135</v>
      </c>
      <c r="N1282" s="0" t="n">
        <v>4</v>
      </c>
      <c r="O1282" s="53" t="n">
        <v>46065.6005555556</v>
      </c>
      <c r="P1282" s="53" t="n">
        <v>46067.4676157407</v>
      </c>
      <c r="Q1282" s="53" t="n">
        <v>46065.6005555556</v>
      </c>
      <c r="R1282" s="0" t="n">
        <v>0</v>
      </c>
      <c r="S1282" s="51" t="s">
        <v>3129</v>
      </c>
      <c r="T1282" s="51" t="s">
        <v>3129</v>
      </c>
      <c r="U1282" s="51" t="s">
        <v>2140</v>
      </c>
      <c r="V1282" s="51" t="s">
        <v>2142</v>
      </c>
      <c r="X1282" s="51"/>
    </row>
    <row r="1283" customFormat="false" ht="14.25" hidden="false" customHeight="false" outlineLevel="0" collapsed="false">
      <c r="A1283" s="49" t="s">
        <v>2251</v>
      </c>
      <c r="B1283" s="49" t="s">
        <v>14</v>
      </c>
      <c r="C1283" s="49" t="s">
        <v>1286</v>
      </c>
      <c r="D1283" s="49" t="s">
        <v>2441</v>
      </c>
      <c r="E1283" s="49" t="s">
        <v>2140</v>
      </c>
      <c r="F1283" s="49" t="s">
        <v>80</v>
      </c>
      <c r="G1283" s="49" t="n">
        <v>4</v>
      </c>
      <c r="H1283" s="0" t="n">
        <v>0</v>
      </c>
      <c r="I1283" s="51" t="s">
        <v>3629</v>
      </c>
      <c r="J1283" s="49" t="s">
        <v>3122</v>
      </c>
      <c r="K1283" s="52" t="n">
        <v>47885</v>
      </c>
      <c r="M1283" s="51" t="s">
        <v>3135</v>
      </c>
      <c r="N1283" s="0" t="n">
        <v>4</v>
      </c>
      <c r="O1283" s="53" t="n">
        <v>46065.6093402778</v>
      </c>
      <c r="P1283" s="53" t="n">
        <v>46067.4734606482</v>
      </c>
      <c r="Q1283" s="53" t="n">
        <v>46065.6093402778</v>
      </c>
      <c r="R1283" s="0" t="n">
        <v>0</v>
      </c>
      <c r="S1283" s="51" t="s">
        <v>3129</v>
      </c>
      <c r="T1283" s="51" t="s">
        <v>3129</v>
      </c>
      <c r="U1283" s="51" t="s">
        <v>2140</v>
      </c>
      <c r="V1283" s="51" t="s">
        <v>2142</v>
      </c>
      <c r="X1283" s="51"/>
    </row>
    <row r="1284" customFormat="false" ht="14.25" hidden="false" customHeight="false" outlineLevel="0" collapsed="false">
      <c r="A1284" s="49" t="s">
        <v>2251</v>
      </c>
      <c r="B1284" s="49" t="s">
        <v>14</v>
      </c>
      <c r="C1284" s="49" t="s">
        <v>1284</v>
      </c>
      <c r="D1284" s="49" t="s">
        <v>2441</v>
      </c>
      <c r="E1284" s="49" t="s">
        <v>2140</v>
      </c>
      <c r="F1284" s="49" t="s">
        <v>80</v>
      </c>
      <c r="G1284" s="49" t="n">
        <v>4</v>
      </c>
      <c r="H1284" s="0" t="n">
        <v>0</v>
      </c>
      <c r="I1284" s="51" t="s">
        <v>3629</v>
      </c>
      <c r="J1284" s="49" t="s">
        <v>3122</v>
      </c>
      <c r="K1284" s="52" t="n">
        <v>47885</v>
      </c>
      <c r="M1284" s="51" t="s">
        <v>3135</v>
      </c>
      <c r="N1284" s="0" t="n">
        <v>4</v>
      </c>
      <c r="O1284" s="53" t="n">
        <v>46065.6107986111</v>
      </c>
      <c r="P1284" s="53" t="n">
        <v>46067.4603009259</v>
      </c>
      <c r="Q1284" s="53" t="n">
        <v>46065.6107986111</v>
      </c>
      <c r="R1284" s="0" t="n">
        <v>0</v>
      </c>
      <c r="S1284" s="51" t="s">
        <v>3129</v>
      </c>
      <c r="T1284" s="51" t="s">
        <v>3129</v>
      </c>
      <c r="U1284" s="51" t="s">
        <v>2140</v>
      </c>
      <c r="V1284" s="51" t="s">
        <v>2142</v>
      </c>
      <c r="X1284" s="51"/>
    </row>
    <row r="1285" customFormat="false" ht="14.25" hidden="false" customHeight="false" outlineLevel="0" collapsed="false">
      <c r="A1285" s="49" t="s">
        <v>2251</v>
      </c>
      <c r="B1285" s="49" t="s">
        <v>14</v>
      </c>
      <c r="C1285" s="49" t="s">
        <v>1344</v>
      </c>
      <c r="D1285" s="49" t="s">
        <v>3326</v>
      </c>
      <c r="E1285" s="49" t="s">
        <v>3503</v>
      </c>
      <c r="F1285" s="49" t="s">
        <v>1091</v>
      </c>
      <c r="G1285" s="49" t="n">
        <v>4</v>
      </c>
      <c r="H1285" s="0" t="n">
        <v>0</v>
      </c>
      <c r="I1285" s="51"/>
      <c r="J1285" s="49" t="s">
        <v>3630</v>
      </c>
      <c r="K1285" s="52" t="n">
        <v>47887</v>
      </c>
      <c r="M1285" s="51" t="s">
        <v>3631</v>
      </c>
      <c r="N1285" s="0" t="n">
        <v>4</v>
      </c>
      <c r="O1285" s="53" t="n">
        <v>46068.3870138889</v>
      </c>
      <c r="P1285" s="53" t="n">
        <v>46068.3870138889</v>
      </c>
      <c r="Q1285" s="53" t="n">
        <v>46068.3870138889</v>
      </c>
      <c r="R1285" s="0" t="n">
        <v>0</v>
      </c>
      <c r="S1285" s="51" t="s">
        <v>3129</v>
      </c>
      <c r="T1285" s="51" t="s">
        <v>3129</v>
      </c>
      <c r="U1285" s="51" t="s">
        <v>3503</v>
      </c>
      <c r="V1285" s="51" t="s">
        <v>2142</v>
      </c>
      <c r="X1285" s="51"/>
    </row>
    <row r="1286" customFormat="false" ht="14.25" hidden="false" customHeight="false" outlineLevel="0" collapsed="false">
      <c r="A1286" s="49" t="s">
        <v>2251</v>
      </c>
      <c r="B1286" s="49" t="s">
        <v>14</v>
      </c>
      <c r="C1286" s="49" t="s">
        <v>1373</v>
      </c>
      <c r="D1286" s="49" t="s">
        <v>3326</v>
      </c>
      <c r="E1286" s="49" t="s">
        <v>3503</v>
      </c>
      <c r="F1286" s="49" t="s">
        <v>1091</v>
      </c>
      <c r="G1286" s="49" t="n">
        <v>4</v>
      </c>
      <c r="H1286" s="0" t="n">
        <v>0</v>
      </c>
      <c r="I1286" s="51"/>
      <c r="J1286" s="49" t="s">
        <v>3630</v>
      </c>
      <c r="K1286" s="52" t="n">
        <v>47887</v>
      </c>
      <c r="M1286" s="51" t="s">
        <v>3631</v>
      </c>
      <c r="N1286" s="0" t="n">
        <v>4</v>
      </c>
      <c r="O1286" s="53" t="n">
        <v>46068.3877893519</v>
      </c>
      <c r="P1286" s="53" t="n">
        <v>46068.3877893519</v>
      </c>
      <c r="Q1286" s="53" t="n">
        <v>46068.3877893519</v>
      </c>
      <c r="R1286" s="0" t="n">
        <v>0</v>
      </c>
      <c r="S1286" s="51" t="s">
        <v>3129</v>
      </c>
      <c r="T1286" s="51" t="s">
        <v>3129</v>
      </c>
      <c r="U1286" s="51" t="s">
        <v>3503</v>
      </c>
      <c r="V1286" s="51" t="s">
        <v>2142</v>
      </c>
      <c r="W1286" s="51"/>
      <c r="X1286" s="51"/>
    </row>
    <row r="1287" customFormat="false" ht="14.25" hidden="false" customHeight="false" outlineLevel="0" collapsed="false">
      <c r="A1287" s="49" t="s">
        <v>2251</v>
      </c>
      <c r="B1287" s="49" t="s">
        <v>14</v>
      </c>
      <c r="C1287" s="49" t="s">
        <v>1372</v>
      </c>
      <c r="D1287" s="49" t="s">
        <v>3326</v>
      </c>
      <c r="E1287" s="49" t="s">
        <v>3503</v>
      </c>
      <c r="F1287" s="49" t="s">
        <v>1091</v>
      </c>
      <c r="G1287" s="49" t="n">
        <v>4</v>
      </c>
      <c r="H1287" s="0" t="n">
        <v>0</v>
      </c>
      <c r="I1287" s="51"/>
      <c r="J1287" s="49" t="s">
        <v>3630</v>
      </c>
      <c r="K1287" s="52" t="n">
        <v>47887</v>
      </c>
      <c r="M1287" s="51" t="s">
        <v>3631</v>
      </c>
      <c r="N1287" s="0" t="n">
        <v>4</v>
      </c>
      <c r="O1287" s="53" t="n">
        <v>46068.3883680556</v>
      </c>
      <c r="P1287" s="53" t="n">
        <v>46068.3883796296</v>
      </c>
      <c r="Q1287" s="53" t="n">
        <v>46068.3883680556</v>
      </c>
      <c r="R1287" s="0" t="n">
        <v>0</v>
      </c>
      <c r="S1287" s="51" t="s">
        <v>3129</v>
      </c>
      <c r="T1287" s="51" t="s">
        <v>3129</v>
      </c>
      <c r="U1287" s="51" t="s">
        <v>3503</v>
      </c>
      <c r="V1287" s="51" t="s">
        <v>2142</v>
      </c>
      <c r="X1287" s="51"/>
    </row>
    <row r="1288" customFormat="false" ht="14.25" hidden="false" customHeight="false" outlineLevel="0" collapsed="false">
      <c r="A1288" s="49" t="s">
        <v>2251</v>
      </c>
      <c r="B1288" s="49" t="s">
        <v>14</v>
      </c>
      <c r="C1288" s="49" t="s">
        <v>1371</v>
      </c>
      <c r="D1288" s="49" t="s">
        <v>3326</v>
      </c>
      <c r="E1288" s="49" t="s">
        <v>3503</v>
      </c>
      <c r="F1288" s="49" t="s">
        <v>1091</v>
      </c>
      <c r="G1288" s="49" t="n">
        <v>4</v>
      </c>
      <c r="H1288" s="0" t="n">
        <v>0</v>
      </c>
      <c r="I1288" s="51"/>
      <c r="J1288" s="49" t="s">
        <v>3630</v>
      </c>
      <c r="K1288" s="52" t="n">
        <v>47887</v>
      </c>
      <c r="M1288" s="51" t="s">
        <v>3631</v>
      </c>
      <c r="N1288" s="0" t="n">
        <v>4</v>
      </c>
      <c r="O1288" s="53" t="n">
        <v>46068.3889814815</v>
      </c>
      <c r="P1288" s="53" t="n">
        <v>46068.3889814815</v>
      </c>
      <c r="Q1288" s="53" t="n">
        <v>46068.3889814815</v>
      </c>
      <c r="R1288" s="0" t="n">
        <v>0</v>
      </c>
      <c r="S1288" s="51" t="s">
        <v>3129</v>
      </c>
      <c r="T1288" s="51" t="s">
        <v>3129</v>
      </c>
      <c r="U1288" s="51" t="s">
        <v>3503</v>
      </c>
      <c r="V1288" s="51" t="s">
        <v>2142</v>
      </c>
      <c r="X1288" s="51"/>
    </row>
    <row r="1289" customFormat="false" ht="14.25" hidden="false" customHeight="false" outlineLevel="0" collapsed="false">
      <c r="A1289" s="49" t="s">
        <v>2251</v>
      </c>
      <c r="B1289" s="49" t="s">
        <v>14</v>
      </c>
      <c r="C1289" s="49" t="s">
        <v>1370</v>
      </c>
      <c r="D1289" s="49" t="s">
        <v>3326</v>
      </c>
      <c r="E1289" s="49" t="s">
        <v>3503</v>
      </c>
      <c r="F1289" s="49" t="s">
        <v>1091</v>
      </c>
      <c r="G1289" s="49" t="n">
        <v>4</v>
      </c>
      <c r="H1289" s="0" t="n">
        <v>0</v>
      </c>
      <c r="I1289" s="51"/>
      <c r="J1289" s="49" t="s">
        <v>3630</v>
      </c>
      <c r="K1289" s="52" t="n">
        <v>47887</v>
      </c>
      <c r="M1289" s="51" t="s">
        <v>3631</v>
      </c>
      <c r="N1289" s="0" t="n">
        <v>4</v>
      </c>
      <c r="O1289" s="53" t="n">
        <v>46068.3896759259</v>
      </c>
      <c r="P1289" s="53" t="n">
        <v>46068.3896759259</v>
      </c>
      <c r="Q1289" s="53" t="n">
        <v>46068.3896759259</v>
      </c>
      <c r="R1289" s="0" t="n">
        <v>0</v>
      </c>
      <c r="S1289" s="51" t="s">
        <v>3129</v>
      </c>
      <c r="T1289" s="51" t="s">
        <v>3129</v>
      </c>
      <c r="U1289" s="51" t="s">
        <v>3503</v>
      </c>
      <c r="V1289" s="51" t="s">
        <v>2142</v>
      </c>
      <c r="X1289" s="51"/>
    </row>
    <row r="1290" customFormat="false" ht="14.25" hidden="false" customHeight="false" outlineLevel="0" collapsed="false">
      <c r="A1290" s="49" t="s">
        <v>2251</v>
      </c>
      <c r="B1290" s="49" t="s">
        <v>14</v>
      </c>
      <c r="C1290" s="49" t="s">
        <v>1369</v>
      </c>
      <c r="D1290" s="49" t="s">
        <v>3326</v>
      </c>
      <c r="E1290" s="49" t="s">
        <v>3503</v>
      </c>
      <c r="F1290" s="49" t="s">
        <v>1091</v>
      </c>
      <c r="G1290" s="49" t="n">
        <v>4</v>
      </c>
      <c r="H1290" s="0" t="n">
        <v>0</v>
      </c>
      <c r="I1290" s="51"/>
      <c r="J1290" s="49" t="s">
        <v>3630</v>
      </c>
      <c r="K1290" s="52" t="n">
        <v>47887</v>
      </c>
      <c r="M1290" s="51" t="s">
        <v>3631</v>
      </c>
      <c r="N1290" s="0" t="n">
        <v>4</v>
      </c>
      <c r="O1290" s="53" t="n">
        <v>46068.3901967593</v>
      </c>
      <c r="P1290" s="53" t="n">
        <v>46068.3901967593</v>
      </c>
      <c r="Q1290" s="53" t="n">
        <v>46068.3901967593</v>
      </c>
      <c r="R1290" s="0" t="n">
        <v>0</v>
      </c>
      <c r="S1290" s="51" t="s">
        <v>3129</v>
      </c>
      <c r="T1290" s="51" t="s">
        <v>3129</v>
      </c>
      <c r="U1290" s="51" t="s">
        <v>3503</v>
      </c>
      <c r="V1290" s="51" t="s">
        <v>2142</v>
      </c>
      <c r="X1290" s="51"/>
    </row>
    <row r="1291" customFormat="false" ht="14.25" hidden="false" customHeight="false" outlineLevel="0" collapsed="false">
      <c r="A1291" s="49" t="s">
        <v>2251</v>
      </c>
      <c r="B1291" s="49" t="s">
        <v>14</v>
      </c>
      <c r="C1291" s="49" t="s">
        <v>1368</v>
      </c>
      <c r="D1291" s="49" t="s">
        <v>3326</v>
      </c>
      <c r="E1291" s="49" t="s">
        <v>3503</v>
      </c>
      <c r="F1291" s="49" t="s">
        <v>1091</v>
      </c>
      <c r="G1291" s="49" t="n">
        <v>4</v>
      </c>
      <c r="H1291" s="0" t="n">
        <v>0</v>
      </c>
      <c r="I1291" s="51"/>
      <c r="J1291" s="49" t="s">
        <v>3630</v>
      </c>
      <c r="K1291" s="52" t="n">
        <v>47887</v>
      </c>
      <c r="M1291" s="51" t="s">
        <v>3631</v>
      </c>
      <c r="N1291" s="0" t="n">
        <v>4</v>
      </c>
      <c r="O1291" s="53" t="n">
        <v>46068.3915972222</v>
      </c>
      <c r="P1291" s="53" t="n">
        <v>46068.3916087963</v>
      </c>
      <c r="Q1291" s="53" t="n">
        <v>46068.3915972222</v>
      </c>
      <c r="R1291" s="0" t="n">
        <v>0</v>
      </c>
      <c r="S1291" s="51" t="s">
        <v>3129</v>
      </c>
      <c r="T1291" s="51" t="s">
        <v>3129</v>
      </c>
      <c r="U1291" s="51" t="s">
        <v>3503</v>
      </c>
      <c r="V1291" s="51" t="s">
        <v>2142</v>
      </c>
      <c r="X1291" s="51"/>
    </row>
    <row r="1292" customFormat="false" ht="14.25" hidden="false" customHeight="false" outlineLevel="0" collapsed="false">
      <c r="A1292" s="49" t="s">
        <v>2251</v>
      </c>
      <c r="B1292" s="49" t="s">
        <v>14</v>
      </c>
      <c r="C1292" s="49" t="s">
        <v>1367</v>
      </c>
      <c r="D1292" s="49" t="s">
        <v>3326</v>
      </c>
      <c r="E1292" s="49" t="s">
        <v>3503</v>
      </c>
      <c r="F1292" s="49" t="s">
        <v>1091</v>
      </c>
      <c r="G1292" s="49" t="n">
        <v>4</v>
      </c>
      <c r="H1292" s="0" t="n">
        <v>0</v>
      </c>
      <c r="I1292" s="51"/>
      <c r="J1292" s="49" t="s">
        <v>3630</v>
      </c>
      <c r="K1292" s="52" t="n">
        <v>47887</v>
      </c>
      <c r="M1292" s="51" t="s">
        <v>3631</v>
      </c>
      <c r="N1292" s="0" t="n">
        <v>4</v>
      </c>
      <c r="O1292" s="53" t="n">
        <v>46068.3923263889</v>
      </c>
      <c r="P1292" s="53" t="n">
        <v>46068.3923263889</v>
      </c>
      <c r="Q1292" s="53" t="n">
        <v>46068.3923263889</v>
      </c>
      <c r="R1292" s="0" t="n">
        <v>0</v>
      </c>
      <c r="S1292" s="51" t="s">
        <v>3129</v>
      </c>
      <c r="T1292" s="51" t="s">
        <v>3129</v>
      </c>
      <c r="U1292" s="51" t="s">
        <v>3503</v>
      </c>
      <c r="V1292" s="51" t="s">
        <v>2142</v>
      </c>
      <c r="X1292" s="51"/>
    </row>
    <row r="1293" customFormat="false" ht="14.25" hidden="false" customHeight="false" outlineLevel="0" collapsed="false">
      <c r="A1293" s="49" t="s">
        <v>2251</v>
      </c>
      <c r="B1293" s="49" t="s">
        <v>14</v>
      </c>
      <c r="C1293" s="49" t="s">
        <v>1366</v>
      </c>
      <c r="D1293" s="49" t="s">
        <v>3326</v>
      </c>
      <c r="E1293" s="49" t="s">
        <v>3503</v>
      </c>
      <c r="F1293" s="49" t="s">
        <v>1091</v>
      </c>
      <c r="G1293" s="49" t="n">
        <v>4</v>
      </c>
      <c r="H1293" s="0" t="n">
        <v>0</v>
      </c>
      <c r="I1293" s="51"/>
      <c r="J1293" s="49" t="s">
        <v>3630</v>
      </c>
      <c r="K1293" s="52" t="n">
        <v>47887</v>
      </c>
      <c r="M1293" s="51" t="s">
        <v>3631</v>
      </c>
      <c r="N1293" s="0" t="n">
        <v>4</v>
      </c>
      <c r="O1293" s="53" t="n">
        <v>46068.3925810185</v>
      </c>
      <c r="P1293" s="53" t="n">
        <v>46068.3925810185</v>
      </c>
      <c r="Q1293" s="53" t="n">
        <v>46068.3925810185</v>
      </c>
      <c r="R1293" s="0" t="n">
        <v>0</v>
      </c>
      <c r="S1293" s="51" t="s">
        <v>3129</v>
      </c>
      <c r="T1293" s="51" t="s">
        <v>3129</v>
      </c>
      <c r="U1293" s="51" t="s">
        <v>3503</v>
      </c>
      <c r="V1293" s="51" t="s">
        <v>2142</v>
      </c>
      <c r="X1293" s="51"/>
    </row>
    <row r="1294" customFormat="false" ht="14.25" hidden="false" customHeight="false" outlineLevel="0" collapsed="false">
      <c r="A1294" s="49" t="s">
        <v>2251</v>
      </c>
      <c r="B1294" s="49" t="s">
        <v>14</v>
      </c>
      <c r="C1294" s="49" t="s">
        <v>1365</v>
      </c>
      <c r="D1294" s="49" t="s">
        <v>2441</v>
      </c>
      <c r="E1294" s="49" t="s">
        <v>3503</v>
      </c>
      <c r="F1294" s="49" t="s">
        <v>1091</v>
      </c>
      <c r="G1294" s="49" t="n">
        <v>4</v>
      </c>
      <c r="H1294" s="0" t="n">
        <v>0</v>
      </c>
      <c r="I1294" s="51" t="s">
        <v>2274</v>
      </c>
      <c r="J1294" s="49" t="s">
        <v>3630</v>
      </c>
      <c r="K1294" s="52" t="n">
        <v>47887</v>
      </c>
      <c r="M1294" s="51" t="s">
        <v>3631</v>
      </c>
      <c r="N1294" s="0" t="n">
        <v>4</v>
      </c>
      <c r="O1294" s="53" t="n">
        <v>46068.3930671296</v>
      </c>
      <c r="P1294" s="53" t="n">
        <v>46068.8222453704</v>
      </c>
      <c r="Q1294" s="53" t="n">
        <v>46068.3930671296</v>
      </c>
      <c r="R1294" s="0" t="n">
        <v>0</v>
      </c>
      <c r="S1294" s="51" t="s">
        <v>3129</v>
      </c>
      <c r="T1294" s="51" t="s">
        <v>3129</v>
      </c>
      <c r="U1294" s="51" t="s">
        <v>3503</v>
      </c>
      <c r="V1294" s="51" t="s">
        <v>2142</v>
      </c>
      <c r="X1294" s="51"/>
    </row>
    <row r="1295" customFormat="false" ht="14.25" hidden="false" customHeight="false" outlineLevel="0" collapsed="false">
      <c r="A1295" s="49" t="s">
        <v>2251</v>
      </c>
      <c r="B1295" s="49" t="s">
        <v>14</v>
      </c>
      <c r="C1295" s="49" t="s">
        <v>1364</v>
      </c>
      <c r="D1295" s="49" t="s">
        <v>2441</v>
      </c>
      <c r="E1295" s="49" t="s">
        <v>3503</v>
      </c>
      <c r="F1295" s="49" t="s">
        <v>1091</v>
      </c>
      <c r="G1295" s="49" t="n">
        <v>4</v>
      </c>
      <c r="H1295" s="0" t="n">
        <v>0</v>
      </c>
      <c r="I1295" s="51" t="s">
        <v>3134</v>
      </c>
      <c r="J1295" s="49" t="s">
        <v>3630</v>
      </c>
      <c r="K1295" s="52" t="n">
        <v>47887</v>
      </c>
      <c r="M1295" s="51" t="s">
        <v>3631</v>
      </c>
      <c r="N1295" s="0" t="n">
        <v>4</v>
      </c>
      <c r="O1295" s="53" t="n">
        <v>46068.3934027778</v>
      </c>
      <c r="P1295" s="53" t="n">
        <v>46068.8251041667</v>
      </c>
      <c r="Q1295" s="53" t="n">
        <v>46068.3934027778</v>
      </c>
      <c r="R1295" s="0" t="n">
        <v>0</v>
      </c>
      <c r="S1295" s="51" t="s">
        <v>3129</v>
      </c>
      <c r="T1295" s="51" t="s">
        <v>3129</v>
      </c>
      <c r="U1295" s="51" t="s">
        <v>3503</v>
      </c>
      <c r="V1295" s="51" t="s">
        <v>2142</v>
      </c>
      <c r="X1295" s="51"/>
    </row>
    <row r="1296" customFormat="false" ht="14.25" hidden="false" customHeight="false" outlineLevel="0" collapsed="false">
      <c r="A1296" s="49" t="s">
        <v>2251</v>
      </c>
      <c r="B1296" s="49" t="s">
        <v>14</v>
      </c>
      <c r="C1296" s="49" t="s">
        <v>1363</v>
      </c>
      <c r="D1296" s="49" t="s">
        <v>2441</v>
      </c>
      <c r="E1296" s="49" t="s">
        <v>3503</v>
      </c>
      <c r="F1296" s="49" t="s">
        <v>1091</v>
      </c>
      <c r="G1296" s="49" t="n">
        <v>4</v>
      </c>
      <c r="H1296" s="0" t="n">
        <v>0</v>
      </c>
      <c r="I1296" s="51" t="s">
        <v>2274</v>
      </c>
      <c r="J1296" s="49" t="s">
        <v>3630</v>
      </c>
      <c r="K1296" s="52" t="n">
        <v>47887</v>
      </c>
      <c r="M1296" s="51" t="s">
        <v>3631</v>
      </c>
      <c r="N1296" s="0" t="n">
        <v>4</v>
      </c>
      <c r="O1296" s="53" t="n">
        <v>46068.3938888889</v>
      </c>
      <c r="P1296" s="53" t="n">
        <v>46068.8221759259</v>
      </c>
      <c r="Q1296" s="53" t="n">
        <v>46068.3938888889</v>
      </c>
      <c r="R1296" s="0" t="n">
        <v>0</v>
      </c>
      <c r="S1296" s="51" t="s">
        <v>3129</v>
      </c>
      <c r="T1296" s="51" t="s">
        <v>3129</v>
      </c>
      <c r="U1296" s="51" t="s">
        <v>3503</v>
      </c>
      <c r="V1296" s="51" t="s">
        <v>2142</v>
      </c>
      <c r="X1296" s="51"/>
    </row>
    <row r="1297" customFormat="false" ht="14.25" hidden="false" customHeight="false" outlineLevel="0" collapsed="false">
      <c r="A1297" s="49" t="s">
        <v>2251</v>
      </c>
      <c r="B1297" s="49" t="s">
        <v>14</v>
      </c>
      <c r="C1297" s="49" t="s">
        <v>1362</v>
      </c>
      <c r="D1297" s="49" t="s">
        <v>2441</v>
      </c>
      <c r="E1297" s="49" t="s">
        <v>3503</v>
      </c>
      <c r="F1297" s="49" t="s">
        <v>1091</v>
      </c>
      <c r="G1297" s="49" t="n">
        <v>4</v>
      </c>
      <c r="H1297" s="0" t="n">
        <v>0</v>
      </c>
      <c r="I1297" s="51" t="s">
        <v>2274</v>
      </c>
      <c r="J1297" s="49" t="s">
        <v>3630</v>
      </c>
      <c r="K1297" s="52" t="n">
        <v>47887</v>
      </c>
      <c r="M1297" s="51" t="s">
        <v>3631</v>
      </c>
      <c r="N1297" s="0" t="n">
        <v>4</v>
      </c>
      <c r="O1297" s="53" t="n">
        <v>46068.394849537</v>
      </c>
      <c r="P1297" s="53" t="n">
        <v>46068.8186458333</v>
      </c>
      <c r="Q1297" s="53" t="n">
        <v>46068.394849537</v>
      </c>
      <c r="R1297" s="0" t="n">
        <v>0</v>
      </c>
      <c r="S1297" s="51" t="s">
        <v>3129</v>
      </c>
      <c r="T1297" s="51" t="s">
        <v>3129</v>
      </c>
      <c r="U1297" s="51" t="s">
        <v>3503</v>
      </c>
      <c r="V1297" s="51" t="s">
        <v>2142</v>
      </c>
      <c r="W1297" s="51"/>
      <c r="X1297" s="51"/>
    </row>
    <row r="1298" customFormat="false" ht="14.25" hidden="false" customHeight="false" outlineLevel="0" collapsed="false">
      <c r="A1298" s="49" t="s">
        <v>2251</v>
      </c>
      <c r="B1298" s="49" t="s">
        <v>14</v>
      </c>
      <c r="C1298" s="49" t="s">
        <v>1361</v>
      </c>
      <c r="D1298" s="49" t="s">
        <v>2441</v>
      </c>
      <c r="E1298" s="49" t="s">
        <v>3503</v>
      </c>
      <c r="F1298" s="49" t="s">
        <v>1091</v>
      </c>
      <c r="G1298" s="49" t="n">
        <v>4</v>
      </c>
      <c r="H1298" s="0" t="n">
        <v>0</v>
      </c>
      <c r="I1298" s="51" t="s">
        <v>2274</v>
      </c>
      <c r="J1298" s="49" t="s">
        <v>3630</v>
      </c>
      <c r="K1298" s="52" t="n">
        <v>47887</v>
      </c>
      <c r="M1298" s="51" t="s">
        <v>3631</v>
      </c>
      <c r="N1298" s="0" t="n">
        <v>4</v>
      </c>
      <c r="O1298" s="53" t="n">
        <v>46068.3961689815</v>
      </c>
      <c r="P1298" s="53" t="n">
        <v>46068.8168518519</v>
      </c>
      <c r="Q1298" s="53" t="n">
        <v>46068.3961689815</v>
      </c>
      <c r="R1298" s="0" t="n">
        <v>0</v>
      </c>
      <c r="S1298" s="51" t="s">
        <v>3129</v>
      </c>
      <c r="T1298" s="51" t="s">
        <v>3129</v>
      </c>
      <c r="U1298" s="51" t="s">
        <v>3503</v>
      </c>
      <c r="V1298" s="51" t="s">
        <v>2142</v>
      </c>
      <c r="X1298" s="51"/>
    </row>
    <row r="1299" customFormat="false" ht="14.25" hidden="false" customHeight="false" outlineLevel="0" collapsed="false">
      <c r="A1299" s="49" t="s">
        <v>2251</v>
      </c>
      <c r="B1299" s="49" t="s">
        <v>14</v>
      </c>
      <c r="C1299" s="49" t="s">
        <v>1360</v>
      </c>
      <c r="D1299" s="49" t="s">
        <v>2441</v>
      </c>
      <c r="E1299" s="49" t="s">
        <v>3503</v>
      </c>
      <c r="F1299" s="49" t="s">
        <v>1091</v>
      </c>
      <c r="G1299" s="49" t="n">
        <v>4</v>
      </c>
      <c r="H1299" s="0" t="n">
        <v>0</v>
      </c>
      <c r="I1299" s="51" t="s">
        <v>3143</v>
      </c>
      <c r="J1299" s="49" t="s">
        <v>3630</v>
      </c>
      <c r="K1299" s="52" t="n">
        <v>47887</v>
      </c>
      <c r="M1299" s="51" t="s">
        <v>3631</v>
      </c>
      <c r="N1299" s="0" t="n">
        <v>4</v>
      </c>
      <c r="O1299" s="53" t="n">
        <v>46068.398125</v>
      </c>
      <c r="P1299" s="53" t="n">
        <v>46068.8130324074</v>
      </c>
      <c r="Q1299" s="53" t="n">
        <v>46068.398125</v>
      </c>
      <c r="R1299" s="0" t="n">
        <v>0</v>
      </c>
      <c r="S1299" s="51" t="s">
        <v>3129</v>
      </c>
      <c r="T1299" s="51" t="s">
        <v>3129</v>
      </c>
      <c r="U1299" s="51" t="s">
        <v>3503</v>
      </c>
      <c r="V1299" s="51" t="s">
        <v>2142</v>
      </c>
      <c r="X1299" s="51"/>
    </row>
    <row r="1300" customFormat="false" ht="14.25" hidden="false" customHeight="false" outlineLevel="0" collapsed="false">
      <c r="A1300" s="49" t="s">
        <v>2251</v>
      </c>
      <c r="B1300" s="49" t="s">
        <v>14</v>
      </c>
      <c r="C1300" s="49" t="s">
        <v>1359</v>
      </c>
      <c r="D1300" s="49" t="s">
        <v>2441</v>
      </c>
      <c r="E1300" s="49" t="s">
        <v>3503</v>
      </c>
      <c r="F1300" s="49" t="s">
        <v>1091</v>
      </c>
      <c r="G1300" s="49" t="n">
        <v>4</v>
      </c>
      <c r="H1300" s="0" t="n">
        <v>0</v>
      </c>
      <c r="I1300" s="51" t="s">
        <v>3143</v>
      </c>
      <c r="J1300" s="49" t="s">
        <v>3630</v>
      </c>
      <c r="K1300" s="52" t="n">
        <v>47887</v>
      </c>
      <c r="M1300" s="51" t="s">
        <v>3631</v>
      </c>
      <c r="N1300" s="0" t="n">
        <v>4</v>
      </c>
      <c r="O1300" s="53" t="n">
        <v>46068.3986342593</v>
      </c>
      <c r="P1300" s="53" t="n">
        <v>46068.8106597222</v>
      </c>
      <c r="Q1300" s="53" t="n">
        <v>46068.3986342593</v>
      </c>
      <c r="R1300" s="0" t="n">
        <v>0</v>
      </c>
      <c r="S1300" s="51" t="s">
        <v>3129</v>
      </c>
      <c r="T1300" s="51" t="s">
        <v>3129</v>
      </c>
      <c r="U1300" s="51" t="s">
        <v>3503</v>
      </c>
      <c r="V1300" s="51" t="s">
        <v>2142</v>
      </c>
      <c r="X1300" s="51"/>
    </row>
    <row r="1301" customFormat="false" ht="14.25" hidden="false" customHeight="false" outlineLevel="0" collapsed="false">
      <c r="A1301" s="49" t="s">
        <v>2251</v>
      </c>
      <c r="B1301" s="49" t="s">
        <v>14</v>
      </c>
      <c r="C1301" s="49" t="s">
        <v>1358</v>
      </c>
      <c r="D1301" s="49" t="s">
        <v>2441</v>
      </c>
      <c r="E1301" s="49" t="s">
        <v>3503</v>
      </c>
      <c r="F1301" s="49" t="s">
        <v>1091</v>
      </c>
      <c r="G1301" s="49" t="n">
        <v>4</v>
      </c>
      <c r="H1301" s="0" t="n">
        <v>0</v>
      </c>
      <c r="I1301" s="51" t="s">
        <v>2274</v>
      </c>
      <c r="J1301" s="49" t="s">
        <v>3630</v>
      </c>
      <c r="K1301" s="52" t="n">
        <v>47887</v>
      </c>
      <c r="M1301" s="51" t="s">
        <v>3631</v>
      </c>
      <c r="N1301" s="0" t="n">
        <v>4</v>
      </c>
      <c r="O1301" s="53" t="n">
        <v>46068.3991435185</v>
      </c>
      <c r="P1301" s="53" t="n">
        <v>46068.8144560185</v>
      </c>
      <c r="Q1301" s="53" t="n">
        <v>46068.3991435185</v>
      </c>
      <c r="R1301" s="0" t="n">
        <v>0</v>
      </c>
      <c r="S1301" s="51" t="s">
        <v>3129</v>
      </c>
      <c r="T1301" s="51" t="s">
        <v>3129</v>
      </c>
      <c r="U1301" s="51" t="s">
        <v>3503</v>
      </c>
      <c r="V1301" s="51" t="s">
        <v>2142</v>
      </c>
      <c r="X1301" s="51"/>
    </row>
    <row r="1302" customFormat="false" ht="14.25" hidden="false" customHeight="false" outlineLevel="0" collapsed="false">
      <c r="A1302" s="49" t="s">
        <v>2251</v>
      </c>
      <c r="B1302" s="49" t="s">
        <v>14</v>
      </c>
      <c r="C1302" s="49" t="s">
        <v>1357</v>
      </c>
      <c r="D1302" s="49" t="s">
        <v>2441</v>
      </c>
      <c r="E1302" s="49" t="s">
        <v>3503</v>
      </c>
      <c r="F1302" s="49" t="s">
        <v>1091</v>
      </c>
      <c r="G1302" s="49" t="n">
        <v>4</v>
      </c>
      <c r="H1302" s="0" t="n">
        <v>0</v>
      </c>
      <c r="I1302" s="51" t="s">
        <v>3602</v>
      </c>
      <c r="J1302" s="49" t="s">
        <v>3630</v>
      </c>
      <c r="K1302" s="52" t="n">
        <v>47887</v>
      </c>
      <c r="M1302" s="51" t="s">
        <v>3631</v>
      </c>
      <c r="N1302" s="0" t="n">
        <v>4</v>
      </c>
      <c r="O1302" s="53" t="n">
        <v>46068.3995833333</v>
      </c>
      <c r="P1302" s="53" t="n">
        <v>46068.8018634259</v>
      </c>
      <c r="Q1302" s="53" t="n">
        <v>46068.3995833333</v>
      </c>
      <c r="R1302" s="0" t="n">
        <v>0</v>
      </c>
      <c r="S1302" s="51" t="s">
        <v>3129</v>
      </c>
      <c r="T1302" s="51" t="s">
        <v>3129</v>
      </c>
      <c r="U1302" s="51" t="s">
        <v>3503</v>
      </c>
      <c r="V1302" s="51" t="s">
        <v>2142</v>
      </c>
      <c r="X1302" s="51"/>
    </row>
    <row r="1303" customFormat="false" ht="14.25" hidden="false" customHeight="false" outlineLevel="0" collapsed="false">
      <c r="A1303" s="49" t="s">
        <v>2251</v>
      </c>
      <c r="B1303" s="49" t="s">
        <v>14</v>
      </c>
      <c r="C1303" s="49" t="s">
        <v>1356</v>
      </c>
      <c r="D1303" s="49" t="s">
        <v>2441</v>
      </c>
      <c r="E1303" s="49" t="s">
        <v>3503</v>
      </c>
      <c r="F1303" s="49" t="s">
        <v>1091</v>
      </c>
      <c r="G1303" s="49" t="n">
        <v>4</v>
      </c>
      <c r="H1303" s="0" t="n">
        <v>0</v>
      </c>
      <c r="I1303" s="51" t="s">
        <v>3143</v>
      </c>
      <c r="J1303" s="49" t="s">
        <v>3630</v>
      </c>
      <c r="K1303" s="52" t="n">
        <v>47887</v>
      </c>
      <c r="M1303" s="51" t="s">
        <v>3631</v>
      </c>
      <c r="N1303" s="0" t="n">
        <v>4</v>
      </c>
      <c r="O1303" s="53" t="n">
        <v>46068.4000810185</v>
      </c>
      <c r="P1303" s="53" t="n">
        <v>46068.8090162037</v>
      </c>
      <c r="Q1303" s="53" t="n">
        <v>46068.4000810185</v>
      </c>
      <c r="R1303" s="0" t="n">
        <v>0</v>
      </c>
      <c r="S1303" s="51" t="s">
        <v>3129</v>
      </c>
      <c r="T1303" s="51" t="s">
        <v>3129</v>
      </c>
      <c r="U1303" s="51" t="s">
        <v>3503</v>
      </c>
      <c r="V1303" s="51" t="s">
        <v>2142</v>
      </c>
      <c r="W1303" s="51"/>
      <c r="X1303" s="51"/>
    </row>
    <row r="1304" customFormat="false" ht="14.25" hidden="false" customHeight="false" outlineLevel="0" collapsed="false">
      <c r="A1304" s="49" t="s">
        <v>2251</v>
      </c>
      <c r="B1304" s="49" t="s">
        <v>14</v>
      </c>
      <c r="C1304" s="49" t="s">
        <v>1355</v>
      </c>
      <c r="D1304" s="49" t="s">
        <v>2441</v>
      </c>
      <c r="E1304" s="49" t="s">
        <v>3503</v>
      </c>
      <c r="F1304" s="49" t="s">
        <v>1091</v>
      </c>
      <c r="G1304" s="49" t="n">
        <v>4</v>
      </c>
      <c r="H1304" s="0" t="n">
        <v>0</v>
      </c>
      <c r="I1304" s="51" t="s">
        <v>3602</v>
      </c>
      <c r="J1304" s="49" t="s">
        <v>3630</v>
      </c>
      <c r="K1304" s="52" t="n">
        <v>47887</v>
      </c>
      <c r="M1304" s="51" t="s">
        <v>3631</v>
      </c>
      <c r="N1304" s="0" t="n">
        <v>4</v>
      </c>
      <c r="O1304" s="53" t="n">
        <v>46068.4005902778</v>
      </c>
      <c r="P1304" s="53" t="n">
        <v>46068.8017939815</v>
      </c>
      <c r="Q1304" s="53" t="n">
        <v>46068.4005902778</v>
      </c>
      <c r="R1304" s="0" t="n">
        <v>0</v>
      </c>
      <c r="S1304" s="51" t="s">
        <v>3129</v>
      </c>
      <c r="T1304" s="51" t="s">
        <v>3129</v>
      </c>
      <c r="U1304" s="51" t="s">
        <v>3503</v>
      </c>
      <c r="V1304" s="51" t="s">
        <v>2142</v>
      </c>
      <c r="X1304" s="51"/>
    </row>
    <row r="1305" customFormat="false" ht="14.25" hidden="false" customHeight="false" outlineLevel="0" collapsed="false">
      <c r="A1305" s="49" t="s">
        <v>2251</v>
      </c>
      <c r="B1305" s="49" t="s">
        <v>14</v>
      </c>
      <c r="C1305" s="49" t="s">
        <v>1354</v>
      </c>
      <c r="D1305" s="49" t="s">
        <v>2441</v>
      </c>
      <c r="E1305" s="49" t="s">
        <v>3503</v>
      </c>
      <c r="F1305" s="49" t="s">
        <v>1091</v>
      </c>
      <c r="G1305" s="49" t="n">
        <v>4</v>
      </c>
      <c r="H1305" s="0" t="n">
        <v>0</v>
      </c>
      <c r="I1305" s="51" t="s">
        <v>3143</v>
      </c>
      <c r="J1305" s="49" t="s">
        <v>3630</v>
      </c>
      <c r="K1305" s="52" t="n">
        <v>47887</v>
      </c>
      <c r="M1305" s="51" t="s">
        <v>3631</v>
      </c>
      <c r="N1305" s="0" t="n">
        <v>4</v>
      </c>
      <c r="O1305" s="53" t="n">
        <v>46068.4010648148</v>
      </c>
      <c r="P1305" s="53" t="n">
        <v>46068.8073726852</v>
      </c>
      <c r="Q1305" s="53" t="n">
        <v>46068.4010648148</v>
      </c>
      <c r="R1305" s="0" t="n">
        <v>0</v>
      </c>
      <c r="S1305" s="51" t="s">
        <v>3129</v>
      </c>
      <c r="T1305" s="51" t="s">
        <v>3129</v>
      </c>
      <c r="U1305" s="51" t="s">
        <v>3503</v>
      </c>
      <c r="V1305" s="51" t="s">
        <v>2142</v>
      </c>
      <c r="X1305" s="51"/>
    </row>
    <row r="1306" customFormat="false" ht="14.25" hidden="false" customHeight="false" outlineLevel="0" collapsed="false">
      <c r="A1306" s="49" t="s">
        <v>2251</v>
      </c>
      <c r="B1306" s="49" t="s">
        <v>14</v>
      </c>
      <c r="C1306" s="49" t="s">
        <v>1353</v>
      </c>
      <c r="D1306" s="49" t="s">
        <v>2441</v>
      </c>
      <c r="E1306" s="49" t="s">
        <v>3503</v>
      </c>
      <c r="F1306" s="49" t="s">
        <v>1091</v>
      </c>
      <c r="G1306" s="49" t="n">
        <v>4</v>
      </c>
      <c r="H1306" s="0" t="n">
        <v>0</v>
      </c>
      <c r="I1306" s="51" t="s">
        <v>3143</v>
      </c>
      <c r="J1306" s="49" t="s">
        <v>3630</v>
      </c>
      <c r="K1306" s="52" t="n">
        <v>47887</v>
      </c>
      <c r="M1306" s="51" t="s">
        <v>3631</v>
      </c>
      <c r="N1306" s="0" t="n">
        <v>4</v>
      </c>
      <c r="O1306" s="53" t="n">
        <v>46068.4014930556</v>
      </c>
      <c r="P1306" s="53" t="n">
        <v>46068.8041087963</v>
      </c>
      <c r="Q1306" s="53" t="n">
        <v>46068.4014930556</v>
      </c>
      <c r="R1306" s="0" t="n">
        <v>0</v>
      </c>
      <c r="S1306" s="51" t="s">
        <v>3129</v>
      </c>
      <c r="T1306" s="51" t="s">
        <v>3129</v>
      </c>
      <c r="U1306" s="51" t="s">
        <v>3503</v>
      </c>
      <c r="V1306" s="51" t="s">
        <v>2142</v>
      </c>
      <c r="X1306" s="51"/>
    </row>
    <row r="1307" customFormat="false" ht="14.25" hidden="false" customHeight="false" outlineLevel="0" collapsed="false">
      <c r="A1307" s="49" t="s">
        <v>2251</v>
      </c>
      <c r="B1307" s="49" t="s">
        <v>14</v>
      </c>
      <c r="C1307" s="49" t="s">
        <v>1352</v>
      </c>
      <c r="D1307" s="49" t="s">
        <v>2441</v>
      </c>
      <c r="E1307" s="49" t="s">
        <v>3503</v>
      </c>
      <c r="F1307" s="49" t="s">
        <v>1091</v>
      </c>
      <c r="G1307" s="49" t="n">
        <v>4</v>
      </c>
      <c r="H1307" s="0" t="n">
        <v>0</v>
      </c>
      <c r="I1307" s="51" t="s">
        <v>3602</v>
      </c>
      <c r="J1307" s="49" t="s">
        <v>3630</v>
      </c>
      <c r="K1307" s="52" t="n">
        <v>47887</v>
      </c>
      <c r="M1307" s="51" t="s">
        <v>3631</v>
      </c>
      <c r="N1307" s="0" t="n">
        <v>4</v>
      </c>
      <c r="O1307" s="53" t="n">
        <v>46068.4018865741</v>
      </c>
      <c r="P1307" s="53" t="n">
        <v>46068.7971759259</v>
      </c>
      <c r="Q1307" s="53" t="n">
        <v>46068.4018865741</v>
      </c>
      <c r="R1307" s="0" t="n">
        <v>0</v>
      </c>
      <c r="S1307" s="51" t="s">
        <v>3129</v>
      </c>
      <c r="T1307" s="51" t="s">
        <v>3129</v>
      </c>
      <c r="U1307" s="51" t="s">
        <v>3503</v>
      </c>
      <c r="V1307" s="51" t="s">
        <v>2142</v>
      </c>
      <c r="X1307" s="51"/>
    </row>
    <row r="1308" customFormat="false" ht="14.25" hidden="false" customHeight="false" outlineLevel="0" collapsed="false">
      <c r="A1308" s="49" t="s">
        <v>2251</v>
      </c>
      <c r="B1308" s="49" t="s">
        <v>14</v>
      </c>
      <c r="C1308" s="49" t="s">
        <v>1351</v>
      </c>
      <c r="D1308" s="49" t="s">
        <v>2441</v>
      </c>
      <c r="E1308" s="49" t="s">
        <v>3503</v>
      </c>
      <c r="F1308" s="49" t="s">
        <v>1091</v>
      </c>
      <c r="G1308" s="49" t="n">
        <v>4</v>
      </c>
      <c r="H1308" s="0" t="n">
        <v>0</v>
      </c>
      <c r="I1308" s="51" t="s">
        <v>3602</v>
      </c>
      <c r="J1308" s="49" t="s">
        <v>3630</v>
      </c>
      <c r="K1308" s="52" t="n">
        <v>47887</v>
      </c>
      <c r="M1308" s="51" t="s">
        <v>3631</v>
      </c>
      <c r="N1308" s="0" t="n">
        <v>4</v>
      </c>
      <c r="O1308" s="53" t="n">
        <v>46068.4022800926</v>
      </c>
      <c r="P1308" s="53" t="n">
        <v>46068.7982407407</v>
      </c>
      <c r="Q1308" s="53" t="n">
        <v>46068.4022800926</v>
      </c>
      <c r="R1308" s="0" t="n">
        <v>0</v>
      </c>
      <c r="S1308" s="51" t="s">
        <v>3129</v>
      </c>
      <c r="T1308" s="51" t="s">
        <v>3129</v>
      </c>
      <c r="U1308" s="51" t="s">
        <v>3503</v>
      </c>
      <c r="V1308" s="51" t="s">
        <v>2142</v>
      </c>
      <c r="X1308" s="51"/>
    </row>
    <row r="1309" customFormat="false" ht="14.25" hidden="false" customHeight="false" outlineLevel="0" collapsed="false">
      <c r="A1309" s="49" t="s">
        <v>2251</v>
      </c>
      <c r="B1309" s="49" t="s">
        <v>14</v>
      </c>
      <c r="C1309" s="49" t="s">
        <v>1350</v>
      </c>
      <c r="D1309" s="49" t="s">
        <v>2441</v>
      </c>
      <c r="E1309" s="49" t="s">
        <v>3503</v>
      </c>
      <c r="F1309" s="49" t="s">
        <v>1091</v>
      </c>
      <c r="G1309" s="49" t="n">
        <v>4</v>
      </c>
      <c r="H1309" s="0" t="n">
        <v>0</v>
      </c>
      <c r="I1309" s="51" t="s">
        <v>2288</v>
      </c>
      <c r="J1309" s="49" t="s">
        <v>3630</v>
      </c>
      <c r="K1309" s="52" t="n">
        <v>47887</v>
      </c>
      <c r="M1309" s="51" t="s">
        <v>3631</v>
      </c>
      <c r="N1309" s="0" t="n">
        <v>4</v>
      </c>
      <c r="O1309" s="53" t="n">
        <v>46068.4027662037</v>
      </c>
      <c r="P1309" s="53" t="n">
        <v>46068.7952199074</v>
      </c>
      <c r="Q1309" s="53" t="n">
        <v>46068.4027662037</v>
      </c>
      <c r="R1309" s="0" t="n">
        <v>0</v>
      </c>
      <c r="S1309" s="51" t="s">
        <v>3129</v>
      </c>
      <c r="T1309" s="51" t="s">
        <v>3129</v>
      </c>
      <c r="U1309" s="51" t="s">
        <v>3503</v>
      </c>
      <c r="V1309" s="51" t="s">
        <v>2142</v>
      </c>
      <c r="X1309" s="51"/>
    </row>
    <row r="1310" customFormat="false" ht="14.25" hidden="false" customHeight="false" outlineLevel="0" collapsed="false">
      <c r="A1310" s="49" t="s">
        <v>2251</v>
      </c>
      <c r="B1310" s="49" t="s">
        <v>14</v>
      </c>
      <c r="C1310" s="49" t="s">
        <v>1349</v>
      </c>
      <c r="D1310" s="49" t="s">
        <v>2441</v>
      </c>
      <c r="E1310" s="49" t="s">
        <v>3503</v>
      </c>
      <c r="F1310" s="49" t="s">
        <v>1091</v>
      </c>
      <c r="G1310" s="49" t="n">
        <v>4</v>
      </c>
      <c r="H1310" s="0" t="n">
        <v>0</v>
      </c>
      <c r="I1310" s="51" t="s">
        <v>3602</v>
      </c>
      <c r="J1310" s="49" t="s">
        <v>3630</v>
      </c>
      <c r="K1310" s="52" t="n">
        <v>47887</v>
      </c>
      <c r="M1310" s="51" t="s">
        <v>3631</v>
      </c>
      <c r="N1310" s="0" t="n">
        <v>4</v>
      </c>
      <c r="O1310" s="53" t="n">
        <v>46068.4031944444</v>
      </c>
      <c r="P1310" s="53" t="n">
        <v>46068.7930439815</v>
      </c>
      <c r="Q1310" s="53" t="n">
        <v>46068.4031944444</v>
      </c>
      <c r="R1310" s="0" t="n">
        <v>0</v>
      </c>
      <c r="S1310" s="51" t="s">
        <v>3129</v>
      </c>
      <c r="T1310" s="51" t="s">
        <v>3129</v>
      </c>
      <c r="U1310" s="51" t="s">
        <v>3503</v>
      </c>
      <c r="V1310" s="51" t="s">
        <v>2142</v>
      </c>
      <c r="X1310" s="51"/>
    </row>
    <row r="1311" customFormat="false" ht="14.25" hidden="false" customHeight="false" outlineLevel="0" collapsed="false">
      <c r="A1311" s="49" t="s">
        <v>2251</v>
      </c>
      <c r="B1311" s="49" t="s">
        <v>14</v>
      </c>
      <c r="C1311" s="49" t="s">
        <v>1348</v>
      </c>
      <c r="D1311" s="49" t="s">
        <v>2441</v>
      </c>
      <c r="E1311" s="49" t="s">
        <v>3503</v>
      </c>
      <c r="F1311" s="49" t="s">
        <v>1091</v>
      </c>
      <c r="G1311" s="49" t="n">
        <v>4</v>
      </c>
      <c r="H1311" s="0" t="n">
        <v>0</v>
      </c>
      <c r="I1311" s="51" t="s">
        <v>2288</v>
      </c>
      <c r="J1311" s="49" t="s">
        <v>3630</v>
      </c>
      <c r="K1311" s="52" t="n">
        <v>47887</v>
      </c>
      <c r="M1311" s="51" t="s">
        <v>3631</v>
      </c>
      <c r="N1311" s="0" t="n">
        <v>4</v>
      </c>
      <c r="O1311" s="53" t="n">
        <v>46068.4035763889</v>
      </c>
      <c r="P1311" s="53" t="n">
        <v>46068.7907523148</v>
      </c>
      <c r="Q1311" s="53" t="n">
        <v>46068.4035763889</v>
      </c>
      <c r="R1311" s="0" t="n">
        <v>0</v>
      </c>
      <c r="S1311" s="51" t="s">
        <v>3129</v>
      </c>
      <c r="T1311" s="51" t="s">
        <v>3129</v>
      </c>
      <c r="U1311" s="51" t="s">
        <v>3503</v>
      </c>
      <c r="V1311" s="51" t="s">
        <v>2142</v>
      </c>
      <c r="X1311" s="51"/>
    </row>
    <row r="1312" customFormat="false" ht="14.25" hidden="false" customHeight="false" outlineLevel="0" collapsed="false">
      <c r="A1312" s="49" t="s">
        <v>2251</v>
      </c>
      <c r="B1312" s="49" t="s">
        <v>14</v>
      </c>
      <c r="C1312" s="49" t="s">
        <v>1347</v>
      </c>
      <c r="D1312" s="49" t="s">
        <v>2441</v>
      </c>
      <c r="E1312" s="49" t="s">
        <v>3503</v>
      </c>
      <c r="F1312" s="49" t="s">
        <v>1091</v>
      </c>
      <c r="G1312" s="49" t="n">
        <v>4</v>
      </c>
      <c r="H1312" s="0" t="n">
        <v>0</v>
      </c>
      <c r="I1312" s="51" t="s">
        <v>2288</v>
      </c>
      <c r="J1312" s="49" t="s">
        <v>3630</v>
      </c>
      <c r="K1312" s="52" t="n">
        <v>47887</v>
      </c>
      <c r="M1312" s="51" t="s">
        <v>3631</v>
      </c>
      <c r="N1312" s="0" t="n">
        <v>4</v>
      </c>
      <c r="O1312" s="53" t="n">
        <v>46068.4040509259</v>
      </c>
      <c r="P1312" s="53" t="n">
        <v>46068.7897800926</v>
      </c>
      <c r="Q1312" s="53" t="n">
        <v>46068.4040509259</v>
      </c>
      <c r="R1312" s="0" t="n">
        <v>0</v>
      </c>
      <c r="S1312" s="51" t="s">
        <v>3129</v>
      </c>
      <c r="T1312" s="51" t="s">
        <v>3129</v>
      </c>
      <c r="U1312" s="51" t="s">
        <v>3503</v>
      </c>
      <c r="V1312" s="51" t="s">
        <v>2142</v>
      </c>
      <c r="X1312" s="51"/>
    </row>
    <row r="1313" customFormat="false" ht="14.25" hidden="false" customHeight="false" outlineLevel="0" collapsed="false">
      <c r="A1313" s="49" t="s">
        <v>2251</v>
      </c>
      <c r="B1313" s="49" t="s">
        <v>14</v>
      </c>
      <c r="C1313" s="49" t="s">
        <v>1346</v>
      </c>
      <c r="D1313" s="49" t="s">
        <v>2441</v>
      </c>
      <c r="E1313" s="49" t="s">
        <v>3503</v>
      </c>
      <c r="F1313" s="49" t="s">
        <v>1091</v>
      </c>
      <c r="G1313" s="49" t="n">
        <v>4</v>
      </c>
      <c r="H1313" s="0" t="n">
        <v>0</v>
      </c>
      <c r="I1313" s="51" t="s">
        <v>2288</v>
      </c>
      <c r="J1313" s="49" t="s">
        <v>3630</v>
      </c>
      <c r="K1313" s="52" t="n">
        <v>47887</v>
      </c>
      <c r="M1313" s="51" t="s">
        <v>3631</v>
      </c>
      <c r="N1313" s="0" t="n">
        <v>4</v>
      </c>
      <c r="O1313" s="53" t="n">
        <v>46068.4045949074</v>
      </c>
      <c r="P1313" s="53" t="n">
        <v>46068.7852662037</v>
      </c>
      <c r="Q1313" s="53" t="n">
        <v>46068.4045949074</v>
      </c>
      <c r="R1313" s="0" t="n">
        <v>0</v>
      </c>
      <c r="S1313" s="51" t="s">
        <v>3129</v>
      </c>
      <c r="T1313" s="51" t="s">
        <v>3129</v>
      </c>
      <c r="U1313" s="51" t="s">
        <v>3503</v>
      </c>
      <c r="V1313" s="51" t="s">
        <v>2142</v>
      </c>
      <c r="X1313" s="51"/>
    </row>
    <row r="1314" customFormat="false" ht="14.25" hidden="false" customHeight="false" outlineLevel="0" collapsed="false">
      <c r="A1314" s="49" t="s">
        <v>2251</v>
      </c>
      <c r="B1314" s="49" t="s">
        <v>14</v>
      </c>
      <c r="C1314" s="49" t="s">
        <v>1345</v>
      </c>
      <c r="D1314" s="49" t="s">
        <v>2441</v>
      </c>
      <c r="E1314" s="49" t="s">
        <v>3503</v>
      </c>
      <c r="F1314" s="49" t="s">
        <v>1091</v>
      </c>
      <c r="G1314" s="49" t="n">
        <v>4</v>
      </c>
      <c r="H1314" s="0" t="n">
        <v>0</v>
      </c>
      <c r="I1314" s="51" t="s">
        <v>2288</v>
      </c>
      <c r="J1314" s="49" t="s">
        <v>3630</v>
      </c>
      <c r="K1314" s="52" t="n">
        <v>47887</v>
      </c>
      <c r="M1314" s="51" t="s">
        <v>3631</v>
      </c>
      <c r="N1314" s="0" t="n">
        <v>4</v>
      </c>
      <c r="O1314" s="53" t="n">
        <v>46068.4052199074</v>
      </c>
      <c r="P1314" s="53" t="n">
        <v>46068.7871875</v>
      </c>
      <c r="Q1314" s="53" t="n">
        <v>46068.4052199074</v>
      </c>
      <c r="R1314" s="0" t="n">
        <v>0</v>
      </c>
      <c r="S1314" s="51" t="s">
        <v>3129</v>
      </c>
      <c r="T1314" s="51" t="s">
        <v>3129</v>
      </c>
      <c r="U1314" s="51" t="s">
        <v>3503</v>
      </c>
      <c r="V1314" s="51" t="s">
        <v>2142</v>
      </c>
      <c r="X1314" s="51"/>
    </row>
    <row r="1315" customFormat="false" ht="14.25" hidden="false" customHeight="false" outlineLevel="0" collapsed="false">
      <c r="I1315" s="51"/>
      <c r="K1315" s="52"/>
      <c r="O1315" s="53"/>
      <c r="P1315" s="53"/>
      <c r="Q1315" s="53"/>
      <c r="S1315" s="51"/>
      <c r="T1315" s="51"/>
      <c r="V1315" s="51"/>
      <c r="X1315" s="51"/>
    </row>
    <row r="1316" customFormat="false" ht="14.25" hidden="false" customHeight="false" outlineLevel="0" collapsed="false">
      <c r="I1316" s="51"/>
      <c r="K1316" s="52"/>
      <c r="O1316" s="53"/>
      <c r="P1316" s="53"/>
      <c r="Q1316" s="53"/>
      <c r="S1316" s="51"/>
      <c r="T1316" s="51"/>
      <c r="V1316" s="51"/>
      <c r="X1316" s="51"/>
    </row>
    <row r="1317" customFormat="false" ht="14.25" hidden="false" customHeight="false" outlineLevel="0" collapsed="false">
      <c r="I1317" s="51"/>
      <c r="K1317" s="52"/>
      <c r="O1317" s="53"/>
      <c r="P1317" s="53"/>
      <c r="Q1317" s="53"/>
      <c r="S1317" s="51"/>
      <c r="T1317" s="51"/>
      <c r="V1317" s="51"/>
      <c r="X1317" s="51"/>
    </row>
    <row r="1318" customFormat="false" ht="14.25" hidden="false" customHeight="false" outlineLevel="0" collapsed="false">
      <c r="I1318" s="51"/>
      <c r="K1318" s="52"/>
      <c r="O1318" s="53"/>
      <c r="P1318" s="53"/>
      <c r="Q1318" s="53"/>
      <c r="S1318" s="51"/>
      <c r="T1318" s="51"/>
      <c r="V1318" s="51"/>
      <c r="X1318" s="51"/>
    </row>
    <row r="1319" customFormat="false" ht="14.25" hidden="false" customHeight="false" outlineLevel="0" collapsed="false">
      <c r="I1319" s="51"/>
      <c r="K1319" s="52"/>
      <c r="O1319" s="53"/>
      <c r="P1319" s="53"/>
      <c r="Q1319" s="53"/>
      <c r="S1319" s="51"/>
      <c r="T1319" s="51"/>
      <c r="V1319" s="51"/>
      <c r="X1319" s="51"/>
    </row>
    <row r="1320" customFormat="false" ht="14.25" hidden="false" customHeight="false" outlineLevel="0" collapsed="false">
      <c r="I1320" s="51"/>
      <c r="K1320" s="52"/>
      <c r="O1320" s="53"/>
      <c r="P1320" s="53"/>
      <c r="Q1320" s="53"/>
      <c r="S1320" s="51"/>
      <c r="T1320" s="51"/>
      <c r="V1320" s="51"/>
      <c r="W1320" s="51"/>
      <c r="X1320" s="51"/>
    </row>
    <row r="1321" customFormat="false" ht="14.25" hidden="false" customHeight="false" outlineLevel="0" collapsed="false">
      <c r="I1321" s="51"/>
      <c r="K1321" s="52"/>
      <c r="O1321" s="53"/>
      <c r="P1321" s="53"/>
      <c r="Q1321" s="53"/>
      <c r="S1321" s="51"/>
      <c r="T1321" s="51"/>
      <c r="V1321" s="51"/>
      <c r="X1321" s="51"/>
    </row>
    <row r="1322" customFormat="false" ht="14.25" hidden="false" customHeight="false" outlineLevel="0" collapsed="false">
      <c r="I1322" s="51"/>
      <c r="K1322" s="52"/>
      <c r="O1322" s="53"/>
      <c r="P1322" s="53"/>
      <c r="Q1322" s="53"/>
      <c r="S1322" s="51"/>
      <c r="T1322" s="51"/>
      <c r="V1322" s="51"/>
      <c r="X1322" s="51"/>
    </row>
    <row r="1323" customFormat="false" ht="14.25" hidden="false" customHeight="false" outlineLevel="0" collapsed="false">
      <c r="I1323" s="51"/>
      <c r="K1323" s="52"/>
      <c r="O1323" s="53"/>
      <c r="P1323" s="53"/>
      <c r="Q1323" s="53"/>
      <c r="S1323" s="51"/>
      <c r="T1323" s="51"/>
      <c r="V1323" s="51"/>
      <c r="X1323" s="51"/>
    </row>
    <row r="1324" customFormat="false" ht="14.25" hidden="false" customHeight="false" outlineLevel="0" collapsed="false">
      <c r="I1324" s="51"/>
      <c r="K1324" s="52"/>
      <c r="O1324" s="53"/>
      <c r="P1324" s="53"/>
      <c r="Q1324" s="53"/>
      <c r="S1324" s="51"/>
      <c r="T1324" s="51"/>
      <c r="V1324" s="51"/>
      <c r="X1324" s="51"/>
    </row>
    <row r="1325" customFormat="false" ht="14.25" hidden="false" customHeight="false" outlineLevel="0" collapsed="false">
      <c r="I1325" s="51"/>
      <c r="K1325" s="52"/>
      <c r="O1325" s="53"/>
      <c r="P1325" s="53"/>
    </row>
    <row r="1326" customFormat="false" ht="14.25" hidden="false" customHeight="false" outlineLevel="0" collapsed="false">
      <c r="I1326" s="51"/>
      <c r="K1326" s="52"/>
      <c r="O1326" s="53"/>
      <c r="P1326" s="53"/>
    </row>
    <row r="1327" customFormat="false" ht="14.25" hidden="true" customHeight="false" outlineLevel="0" collapsed="false">
      <c r="A1327" s="49" t="s">
        <v>2349</v>
      </c>
      <c r="B1327" s="49" t="s">
        <v>2350</v>
      </c>
      <c r="C1327" s="49" t="s">
        <v>3632</v>
      </c>
      <c r="D1327" s="49" t="s">
        <v>2352</v>
      </c>
      <c r="E1327" s="49" t="s">
        <v>3633</v>
      </c>
      <c r="F1327" s="49" t="s">
        <v>3634</v>
      </c>
      <c r="G1327" s="49" t="n">
        <v>0</v>
      </c>
      <c r="H1327" s="0" t="n">
        <v>0</v>
      </c>
      <c r="J1327" s="49" t="str">
        <f aca="false">"080727"</f>
        <v>080727</v>
      </c>
      <c r="K1327" s="52" t="n">
        <v>46576</v>
      </c>
      <c r="M1327" s="51" t="s">
        <v>3635</v>
      </c>
      <c r="N1327" s="49" t="n">
        <v>974.08</v>
      </c>
      <c r="O1327" s="53" t="n">
        <v>45854.6150694444</v>
      </c>
      <c r="P1327" s="53" t="n">
        <v>45871.5699421296</v>
      </c>
      <c r="Q1327" s="53" t="n">
        <v>45854.6150694444</v>
      </c>
      <c r="R1327" s="0" t="n">
        <v>0</v>
      </c>
      <c r="S1327" s="51" t="s">
        <v>2356</v>
      </c>
      <c r="T1327" s="51" t="s">
        <v>2356</v>
      </c>
      <c r="U1327" s="51" t="s">
        <v>3633</v>
      </c>
      <c r="V1327" s="51" t="s">
        <v>2357</v>
      </c>
      <c r="W1327" s="51" t="s">
        <v>3636</v>
      </c>
      <c r="X1327" s="51" t="s">
        <v>2359</v>
      </c>
    </row>
    <row r="1328" customFormat="false" ht="14.25" hidden="true" customHeight="false" outlineLevel="0" collapsed="false">
      <c r="A1328" s="49" t="s">
        <v>2349</v>
      </c>
      <c r="B1328" s="49" t="s">
        <v>2350</v>
      </c>
      <c r="C1328" s="49" t="s">
        <v>3637</v>
      </c>
      <c r="D1328" s="49" t="s">
        <v>2352</v>
      </c>
      <c r="E1328" s="49" t="s">
        <v>3638</v>
      </c>
      <c r="F1328" s="49" t="s">
        <v>3639</v>
      </c>
      <c r="G1328" s="49" t="n">
        <v>0</v>
      </c>
      <c r="H1328" s="0" t="n">
        <v>0</v>
      </c>
      <c r="J1328" s="49" t="str">
        <f aca="false">"140727"</f>
        <v>140727</v>
      </c>
      <c r="K1328" s="52" t="n">
        <v>46582</v>
      </c>
      <c r="M1328" s="51" t="s">
        <v>3640</v>
      </c>
      <c r="N1328" s="49" t="n">
        <v>564.07</v>
      </c>
      <c r="O1328" s="53" t="n">
        <v>45950.3718518519</v>
      </c>
      <c r="P1328" s="53" t="n">
        <v>45953.8426967593</v>
      </c>
      <c r="Q1328" s="53" t="n">
        <v>45950.3718518519</v>
      </c>
      <c r="R1328" s="0" t="n">
        <v>0</v>
      </c>
      <c r="S1328" s="51" t="s">
        <v>2356</v>
      </c>
      <c r="T1328" s="51" t="s">
        <v>2356</v>
      </c>
      <c r="U1328" s="51" t="s">
        <v>3638</v>
      </c>
      <c r="V1328" s="51" t="s">
        <v>2357</v>
      </c>
      <c r="W1328" s="51" t="s">
        <v>3641</v>
      </c>
      <c r="X1328" s="51" t="s">
        <v>2359</v>
      </c>
    </row>
    <row r="1329" customFormat="false" ht="14.25" hidden="true" customHeight="false" outlineLevel="0" collapsed="false">
      <c r="A1329" s="49" t="s">
        <v>2349</v>
      </c>
      <c r="B1329" s="49" t="s">
        <v>2350</v>
      </c>
      <c r="C1329" s="49" t="s">
        <v>3642</v>
      </c>
      <c r="D1329" s="49" t="s">
        <v>2352</v>
      </c>
      <c r="E1329" s="49" t="s">
        <v>3643</v>
      </c>
      <c r="F1329" s="49" t="s">
        <v>3644</v>
      </c>
      <c r="G1329" s="49" t="n">
        <v>0</v>
      </c>
      <c r="H1329" s="0" t="n">
        <v>0</v>
      </c>
      <c r="J1329" s="49" t="str">
        <f aca="false">"160727"</f>
        <v>160727</v>
      </c>
      <c r="K1329" s="52" t="n">
        <v>46584</v>
      </c>
      <c r="M1329" s="51" t="s">
        <v>3645</v>
      </c>
      <c r="N1329" s="49" t="n">
        <v>2.22</v>
      </c>
      <c r="O1329" s="53" t="n">
        <v>45987.4700462963</v>
      </c>
      <c r="P1329" s="53" t="n">
        <v>46001.550775463</v>
      </c>
      <c r="Q1329" s="53" t="n">
        <v>45987.4700462963</v>
      </c>
      <c r="R1329" s="0" t="n">
        <v>0</v>
      </c>
      <c r="S1329" s="51" t="s">
        <v>2356</v>
      </c>
      <c r="T1329" s="51" t="s">
        <v>2356</v>
      </c>
      <c r="U1329" s="51" t="s">
        <v>3643</v>
      </c>
      <c r="V1329" s="51" t="s">
        <v>2357</v>
      </c>
      <c r="W1329" s="51" t="s">
        <v>3646</v>
      </c>
      <c r="X1329" s="51" t="s">
        <v>2359</v>
      </c>
    </row>
    <row r="1330" customFormat="false" ht="14.25" hidden="true" customHeight="false" outlineLevel="0" collapsed="false">
      <c r="A1330" s="49" t="s">
        <v>2349</v>
      </c>
      <c r="B1330" s="49" t="s">
        <v>2350</v>
      </c>
      <c r="C1330" s="49" t="s">
        <v>3647</v>
      </c>
      <c r="D1330" s="49" t="s">
        <v>2352</v>
      </c>
      <c r="E1330" s="49" t="s">
        <v>3633</v>
      </c>
      <c r="F1330" s="49" t="s">
        <v>3634</v>
      </c>
      <c r="G1330" s="49" t="n">
        <v>0</v>
      </c>
      <c r="H1330" s="0" t="n">
        <v>0</v>
      </c>
      <c r="J1330" s="49" t="str">
        <f aca="false">"080827"</f>
        <v>080827</v>
      </c>
      <c r="K1330" s="52" t="n">
        <v>46607</v>
      </c>
      <c r="M1330" s="51" t="s">
        <v>3648</v>
      </c>
      <c r="N1330" s="49" t="n">
        <v>837.61</v>
      </c>
      <c r="O1330" s="53" t="n">
        <v>45986.575462963</v>
      </c>
      <c r="P1330" s="53" t="n">
        <v>46016.6228356482</v>
      </c>
      <c r="Q1330" s="53" t="n">
        <v>45986.575462963</v>
      </c>
      <c r="R1330" s="0" t="n">
        <v>0</v>
      </c>
      <c r="S1330" s="51" t="s">
        <v>2356</v>
      </c>
      <c r="T1330" s="51" t="s">
        <v>2356</v>
      </c>
      <c r="U1330" s="51" t="s">
        <v>3633</v>
      </c>
      <c r="V1330" s="51" t="s">
        <v>2357</v>
      </c>
      <c r="W1330" s="51" t="s">
        <v>3649</v>
      </c>
      <c r="X1330" s="51" t="s">
        <v>2359</v>
      </c>
    </row>
    <row r="1331" customFormat="false" ht="14.25" hidden="false" customHeight="false" outlineLevel="0" collapsed="false">
      <c r="I1331" s="51"/>
      <c r="K1331" s="52"/>
      <c r="L1331" s="54"/>
      <c r="M1331" s="51"/>
      <c r="O1331" s="53"/>
      <c r="P1331" s="53"/>
      <c r="Q1331" s="53"/>
      <c r="S1331" s="51"/>
      <c r="T1331" s="51"/>
      <c r="V1331" s="51"/>
      <c r="X1331" s="51"/>
    </row>
    <row r="1332" customFormat="false" ht="14.25" hidden="false" customHeight="false" outlineLevel="0" collapsed="false">
      <c r="I1332" s="51"/>
      <c r="K1332" s="52"/>
      <c r="O1332" s="53"/>
      <c r="P1332" s="53"/>
      <c r="Q1332" s="53"/>
      <c r="S1332" s="51"/>
      <c r="T1332" s="51"/>
      <c r="U1332" s="51"/>
      <c r="V1332" s="51"/>
      <c r="X1332" s="51"/>
    </row>
    <row r="1333" customFormat="false" ht="14.25" hidden="true" customHeight="false" outlineLevel="0" collapsed="false">
      <c r="A1333" s="49" t="s">
        <v>2349</v>
      </c>
      <c r="B1333" s="49" t="s">
        <v>2350</v>
      </c>
      <c r="C1333" s="49" t="s">
        <v>3650</v>
      </c>
      <c r="D1333" s="49" t="s">
        <v>2397</v>
      </c>
      <c r="E1333" s="49" t="str">
        <f aca="false">"5942326400483"</f>
        <v>5942326400483</v>
      </c>
      <c r="F1333" s="49" t="s">
        <v>3651</v>
      </c>
      <c r="G1333" s="49" t="n">
        <v>0</v>
      </c>
      <c r="H1333" s="0" t="n">
        <v>0</v>
      </c>
      <c r="J1333" s="49" t="s">
        <v>3652</v>
      </c>
      <c r="K1333" s="52" t="n">
        <v>46610</v>
      </c>
      <c r="M1333" s="51" t="s">
        <v>3653</v>
      </c>
      <c r="N1333" s="49" t="n">
        <v>145</v>
      </c>
      <c r="O1333" s="53" t="n">
        <v>45924.4496180556</v>
      </c>
      <c r="P1333" s="53" t="n">
        <v>46007.9952662037</v>
      </c>
      <c r="Q1333" s="53" t="n">
        <v>45924.4496180556</v>
      </c>
      <c r="R1333" s="0" t="n">
        <v>0</v>
      </c>
      <c r="S1333" s="51" t="s">
        <v>2416</v>
      </c>
      <c r="T1333" s="51" t="s">
        <v>2416</v>
      </c>
      <c r="U1333" s="0" t="str">
        <f aca="false">"5942326400483"</f>
        <v>5942326400483</v>
      </c>
      <c r="V1333" s="51" t="s">
        <v>2365</v>
      </c>
      <c r="W1333" s="51" t="s">
        <v>3654</v>
      </c>
      <c r="X1333" s="51" t="s">
        <v>2359</v>
      </c>
    </row>
    <row r="1334" customFormat="false" ht="14.25" hidden="true" customHeight="false" outlineLevel="0" collapsed="false">
      <c r="A1334" s="49" t="s">
        <v>2349</v>
      </c>
      <c r="B1334" s="49" t="s">
        <v>2350</v>
      </c>
      <c r="C1334" s="49" t="s">
        <v>3655</v>
      </c>
      <c r="D1334" s="49" t="s">
        <v>2352</v>
      </c>
      <c r="E1334" s="49" t="str">
        <f aca="false">"5060458890191"</f>
        <v>5060458890191</v>
      </c>
      <c r="F1334" s="49" t="s">
        <v>3656</v>
      </c>
      <c r="G1334" s="49" t="n">
        <v>0</v>
      </c>
      <c r="H1334" s="0" t="n">
        <v>0</v>
      </c>
      <c r="J1334" s="49" t="s">
        <v>3657</v>
      </c>
      <c r="K1334" s="52" t="n">
        <v>46619</v>
      </c>
      <c r="M1334" s="51" t="s">
        <v>3658</v>
      </c>
      <c r="N1334" s="49" t="n">
        <v>1</v>
      </c>
      <c r="O1334" s="53" t="n">
        <v>45930.655462963</v>
      </c>
      <c r="P1334" s="53" t="n">
        <v>46027.3729166667</v>
      </c>
      <c r="Q1334" s="53" t="n">
        <v>45930.655462963</v>
      </c>
      <c r="R1334" s="0" t="n">
        <v>0</v>
      </c>
      <c r="S1334" s="51" t="s">
        <v>2416</v>
      </c>
      <c r="T1334" s="51" t="s">
        <v>2416</v>
      </c>
      <c r="U1334" s="0" t="str">
        <f aca="false">"5060458890191"</f>
        <v>5060458890191</v>
      </c>
      <c r="V1334" s="51" t="s">
        <v>2142</v>
      </c>
      <c r="W1334" s="51" t="s">
        <v>2389</v>
      </c>
      <c r="X1334" s="51" t="s">
        <v>2359</v>
      </c>
    </row>
    <row r="1335" customFormat="false" ht="14.25" hidden="false" customHeight="false" outlineLevel="0" collapsed="false">
      <c r="I1335" s="51"/>
      <c r="K1335" s="52"/>
      <c r="O1335" s="53"/>
      <c r="P1335" s="53"/>
      <c r="Q1335" s="53"/>
      <c r="S1335" s="51"/>
      <c r="T1335" s="51"/>
      <c r="V1335" s="51"/>
      <c r="W1335" s="51"/>
      <c r="X1335" s="51"/>
    </row>
    <row r="1336" customFormat="false" ht="14.25" hidden="true" customHeight="false" outlineLevel="0" collapsed="false">
      <c r="A1336" s="49" t="s">
        <v>2349</v>
      </c>
      <c r="B1336" s="49" t="s">
        <v>2350</v>
      </c>
      <c r="C1336" s="49" t="s">
        <v>3659</v>
      </c>
      <c r="D1336" s="49" t="s">
        <v>2352</v>
      </c>
      <c r="E1336" s="49" t="s">
        <v>3633</v>
      </c>
      <c r="F1336" s="49" t="s">
        <v>3634</v>
      </c>
      <c r="G1336" s="49" t="n">
        <v>0</v>
      </c>
      <c r="H1336" s="0" t="n">
        <v>0</v>
      </c>
      <c r="J1336" s="49" t="str">
        <f aca="false">"220827"</f>
        <v>220827</v>
      </c>
      <c r="K1336" s="52" t="n">
        <v>46621</v>
      </c>
      <c r="M1336" s="51" t="s">
        <v>3660</v>
      </c>
      <c r="N1336" s="49" t="n">
        <v>820.28</v>
      </c>
      <c r="O1336" s="53" t="n">
        <v>45973.4175347222</v>
      </c>
      <c r="P1336" s="53" t="n">
        <v>46016.6229513889</v>
      </c>
      <c r="Q1336" s="53" t="n">
        <v>45973.4175347222</v>
      </c>
      <c r="R1336" s="0" t="n">
        <v>0</v>
      </c>
      <c r="S1336" s="51" t="s">
        <v>2356</v>
      </c>
      <c r="T1336" s="51" t="s">
        <v>2356</v>
      </c>
      <c r="U1336" s="51" t="s">
        <v>3633</v>
      </c>
      <c r="V1336" s="51" t="s">
        <v>2357</v>
      </c>
      <c r="W1336" s="51" t="s">
        <v>3661</v>
      </c>
      <c r="X1336" s="51" t="s">
        <v>2359</v>
      </c>
    </row>
    <row r="1337" customFormat="false" ht="14.25" hidden="true" customHeight="false" outlineLevel="0" collapsed="false">
      <c r="A1337" s="49" t="s">
        <v>2349</v>
      </c>
      <c r="B1337" s="49" t="s">
        <v>2350</v>
      </c>
      <c r="C1337" s="49" t="s">
        <v>3662</v>
      </c>
      <c r="D1337" s="49" t="s">
        <v>2352</v>
      </c>
      <c r="E1337" s="49" t="s">
        <v>3638</v>
      </c>
      <c r="F1337" s="49" t="s">
        <v>3639</v>
      </c>
      <c r="G1337" s="49" t="n">
        <v>0</v>
      </c>
      <c r="H1337" s="0" t="n">
        <v>0</v>
      </c>
      <c r="J1337" s="49" t="str">
        <f aca="false">"220827"</f>
        <v>220827</v>
      </c>
      <c r="K1337" s="52" t="n">
        <v>46621</v>
      </c>
      <c r="M1337" s="51" t="s">
        <v>3663</v>
      </c>
      <c r="N1337" s="49" t="n">
        <v>706.38</v>
      </c>
      <c r="O1337" s="53" t="n">
        <v>46013.4797569444</v>
      </c>
      <c r="P1337" s="53" t="n">
        <v>46019.4236111111</v>
      </c>
      <c r="Q1337" s="53" t="n">
        <v>46013.4797569444</v>
      </c>
      <c r="R1337" s="0" t="n">
        <v>0</v>
      </c>
      <c r="S1337" s="51" t="s">
        <v>2356</v>
      </c>
      <c r="T1337" s="51" t="s">
        <v>2356</v>
      </c>
      <c r="U1337" s="51" t="s">
        <v>3638</v>
      </c>
      <c r="V1337" s="51" t="s">
        <v>2357</v>
      </c>
      <c r="W1337" s="51" t="s">
        <v>3664</v>
      </c>
      <c r="X1337" s="51" t="s">
        <v>2359</v>
      </c>
    </row>
    <row r="1338" customFormat="false" ht="14.25" hidden="true" customHeight="false" outlineLevel="0" collapsed="false">
      <c r="A1338" s="49" t="s">
        <v>2349</v>
      </c>
      <c r="B1338" s="49" t="s">
        <v>2350</v>
      </c>
      <c r="C1338" s="49" t="s">
        <v>3665</v>
      </c>
      <c r="D1338" s="49" t="s">
        <v>2397</v>
      </c>
      <c r="E1338" s="49" t="str">
        <f aca="false">"5060458890191"</f>
        <v>5060458890191</v>
      </c>
      <c r="F1338" s="49" t="s">
        <v>3656</v>
      </c>
      <c r="G1338" s="49" t="n">
        <v>0</v>
      </c>
      <c r="H1338" s="0" t="n">
        <v>0</v>
      </c>
      <c r="J1338" s="49" t="s">
        <v>3666</v>
      </c>
      <c r="K1338" s="52" t="n">
        <v>46624</v>
      </c>
      <c r="M1338" s="51" t="s">
        <v>3667</v>
      </c>
      <c r="N1338" s="49" t="n">
        <v>48</v>
      </c>
      <c r="O1338" s="53" t="n">
        <v>45929.6797569444</v>
      </c>
      <c r="P1338" s="53" t="n">
        <v>45994.4758333333</v>
      </c>
      <c r="Q1338" s="53" t="n">
        <v>45929.6797569444</v>
      </c>
      <c r="R1338" s="0" t="n">
        <v>0</v>
      </c>
      <c r="S1338" s="51" t="s">
        <v>2416</v>
      </c>
      <c r="T1338" s="51" t="s">
        <v>2416</v>
      </c>
      <c r="U1338" s="0" t="str">
        <f aca="false">"5060458890191"</f>
        <v>5060458890191</v>
      </c>
      <c r="V1338" s="51" t="s">
        <v>2142</v>
      </c>
      <c r="X1338" s="51" t="s">
        <v>2359</v>
      </c>
    </row>
    <row r="1339" customFormat="false" ht="14.25" hidden="true" customHeight="false" outlineLevel="0" collapsed="false">
      <c r="A1339" s="49" t="s">
        <v>2349</v>
      </c>
      <c r="B1339" s="49" t="s">
        <v>2350</v>
      </c>
      <c r="C1339" s="49" t="s">
        <v>3668</v>
      </c>
      <c r="D1339" s="49" t="s">
        <v>2397</v>
      </c>
      <c r="E1339" s="49" t="str">
        <f aca="false">"5060458890191"</f>
        <v>5060458890191</v>
      </c>
      <c r="F1339" s="49" t="s">
        <v>3656</v>
      </c>
      <c r="G1339" s="49" t="n">
        <v>0</v>
      </c>
      <c r="H1339" s="0" t="n">
        <v>0</v>
      </c>
      <c r="J1339" s="49" t="s">
        <v>3666</v>
      </c>
      <c r="K1339" s="52" t="n">
        <v>46624</v>
      </c>
      <c r="N1339" s="49" t="n">
        <v>0</v>
      </c>
      <c r="O1339" s="53" t="n">
        <v>45943.6366898148</v>
      </c>
      <c r="P1339" s="53" t="n">
        <v>45943.6480439815</v>
      </c>
      <c r="R1339" s="0" t="n">
        <v>0</v>
      </c>
      <c r="S1339" s="51" t="s">
        <v>2398</v>
      </c>
      <c r="T1339" s="51" t="s">
        <v>2398</v>
      </c>
      <c r="U1339" s="0" t="str">
        <f aca="false">"5060458890191"</f>
        <v>5060458890191</v>
      </c>
      <c r="V1339" s="51" t="s">
        <v>2142</v>
      </c>
      <c r="X1339" s="51" t="s">
        <v>2359</v>
      </c>
    </row>
    <row r="1340" customFormat="false" ht="14.25" hidden="true" customHeight="false" outlineLevel="0" collapsed="false">
      <c r="A1340" s="49" t="s">
        <v>2349</v>
      </c>
      <c r="B1340" s="49" t="s">
        <v>2350</v>
      </c>
      <c r="C1340" s="49" t="s">
        <v>3669</v>
      </c>
      <c r="D1340" s="49" t="s">
        <v>2352</v>
      </c>
      <c r="E1340" s="49" t="s">
        <v>3633</v>
      </c>
      <c r="F1340" s="49" t="s">
        <v>3634</v>
      </c>
      <c r="G1340" s="49" t="n">
        <v>0</v>
      </c>
      <c r="H1340" s="0" t="n">
        <v>0</v>
      </c>
      <c r="J1340" s="49" t="str">
        <f aca="false">"250827"</f>
        <v>250827</v>
      </c>
      <c r="K1340" s="52" t="n">
        <v>46624</v>
      </c>
      <c r="M1340" s="51" t="s">
        <v>3648</v>
      </c>
      <c r="N1340" s="49" t="n">
        <v>878.82</v>
      </c>
      <c r="O1340" s="53" t="n">
        <v>45986.5796643519</v>
      </c>
      <c r="P1340" s="53" t="n">
        <v>45997.3738310185</v>
      </c>
      <c r="Q1340" s="53" t="n">
        <v>45986.5796643519</v>
      </c>
      <c r="R1340" s="0" t="n">
        <v>0</v>
      </c>
      <c r="S1340" s="51" t="s">
        <v>2356</v>
      </c>
      <c r="T1340" s="51" t="s">
        <v>2356</v>
      </c>
      <c r="U1340" s="51" t="s">
        <v>3633</v>
      </c>
      <c r="V1340" s="51" t="s">
        <v>2357</v>
      </c>
      <c r="W1340" s="51" t="s">
        <v>3670</v>
      </c>
      <c r="X1340" s="51" t="s">
        <v>2359</v>
      </c>
    </row>
    <row r="1341" customFormat="false" ht="14.25" hidden="true" customHeight="false" outlineLevel="0" collapsed="false">
      <c r="A1341" s="49" t="s">
        <v>2349</v>
      </c>
      <c r="B1341" s="49" t="s">
        <v>2350</v>
      </c>
      <c r="C1341" s="49" t="s">
        <v>3671</v>
      </c>
      <c r="D1341" s="49" t="s">
        <v>2397</v>
      </c>
      <c r="E1341" s="49" t="str">
        <f aca="false">"5060458890191"</f>
        <v>5060458890191</v>
      </c>
      <c r="F1341" s="49" t="s">
        <v>3656</v>
      </c>
      <c r="G1341" s="49" t="n">
        <v>0</v>
      </c>
      <c r="H1341" s="0" t="n">
        <v>0</v>
      </c>
      <c r="J1341" s="49" t="s">
        <v>3666</v>
      </c>
      <c r="K1341" s="52" t="n">
        <v>46624</v>
      </c>
      <c r="M1341" s="51" t="s">
        <v>3667</v>
      </c>
      <c r="N1341" s="49" t="n">
        <v>48</v>
      </c>
      <c r="O1341" s="53" t="n">
        <v>45929.6794444444</v>
      </c>
      <c r="P1341" s="53" t="n">
        <v>45951.7379398148</v>
      </c>
      <c r="Q1341" s="53" t="n">
        <v>45929.6794444444</v>
      </c>
      <c r="R1341" s="0" t="n">
        <v>0</v>
      </c>
      <c r="S1341" s="51" t="s">
        <v>2416</v>
      </c>
      <c r="T1341" s="51" t="s">
        <v>2416</v>
      </c>
      <c r="U1341" s="0" t="str">
        <f aca="false">"5060458890191"</f>
        <v>5060458890191</v>
      </c>
      <c r="V1341" s="51" t="s">
        <v>2142</v>
      </c>
      <c r="W1341" s="51" t="s">
        <v>3672</v>
      </c>
      <c r="X1341" s="51" t="s">
        <v>2359</v>
      </c>
    </row>
    <row r="1342" customFormat="false" ht="14.25" hidden="true" customHeight="false" outlineLevel="0" collapsed="false">
      <c r="A1342" s="49" t="s">
        <v>2349</v>
      </c>
      <c r="B1342" s="49" t="s">
        <v>2350</v>
      </c>
      <c r="C1342" s="49" t="s">
        <v>3673</v>
      </c>
      <c r="D1342" s="49" t="s">
        <v>2352</v>
      </c>
      <c r="E1342" s="49" t="s">
        <v>3633</v>
      </c>
      <c r="F1342" s="49" t="s">
        <v>3634</v>
      </c>
      <c r="G1342" s="49" t="n">
        <v>0</v>
      </c>
      <c r="H1342" s="0" t="n">
        <v>0</v>
      </c>
      <c r="J1342" s="49" t="str">
        <f aca="false">"280827"</f>
        <v>280827</v>
      </c>
      <c r="K1342" s="52" t="n">
        <v>46627</v>
      </c>
      <c r="M1342" s="51" t="s">
        <v>3674</v>
      </c>
      <c r="N1342" s="49" t="n">
        <v>888.46</v>
      </c>
      <c r="O1342" s="53" t="n">
        <v>45955.5736805556</v>
      </c>
      <c r="P1342" s="53" t="n">
        <v>45956.6145138889</v>
      </c>
      <c r="Q1342" s="53" t="n">
        <v>45955.5736805556</v>
      </c>
      <c r="R1342" s="0" t="n">
        <v>0</v>
      </c>
      <c r="S1342" s="51" t="s">
        <v>2356</v>
      </c>
      <c r="T1342" s="51" t="s">
        <v>2356</v>
      </c>
      <c r="U1342" s="51" t="s">
        <v>3633</v>
      </c>
      <c r="V1342" s="51" t="s">
        <v>2357</v>
      </c>
      <c r="W1342" s="51" t="s">
        <v>3675</v>
      </c>
      <c r="X1342" s="51" t="s">
        <v>2359</v>
      </c>
    </row>
    <row r="1343" customFormat="false" ht="14.25" hidden="true" customHeight="false" outlineLevel="0" collapsed="false">
      <c r="A1343" s="49" t="s">
        <v>2349</v>
      </c>
      <c r="B1343" s="49" t="s">
        <v>2350</v>
      </c>
      <c r="C1343" s="49" t="s">
        <v>3676</v>
      </c>
      <c r="D1343" s="49" t="s">
        <v>2352</v>
      </c>
      <c r="E1343" s="49" t="s">
        <v>3633</v>
      </c>
      <c r="F1343" s="49" t="s">
        <v>3634</v>
      </c>
      <c r="G1343" s="49" t="n">
        <v>0</v>
      </c>
      <c r="H1343" s="0" t="n">
        <v>0</v>
      </c>
      <c r="J1343" s="49" t="str">
        <f aca="false">"280827"</f>
        <v>280827</v>
      </c>
      <c r="K1343" s="52" t="n">
        <v>46627</v>
      </c>
      <c r="L1343" s="51" t="s">
        <v>3676</v>
      </c>
      <c r="M1343" s="51" t="s">
        <v>3660</v>
      </c>
      <c r="N1343" s="49" t="n">
        <v>897.67</v>
      </c>
      <c r="O1343" s="53" t="n">
        <v>45973.4208333333</v>
      </c>
      <c r="P1343" s="53" t="n">
        <v>46020.3796412037</v>
      </c>
      <c r="Q1343" s="53" t="n">
        <v>45973.4208333333</v>
      </c>
      <c r="R1343" s="0" t="n">
        <v>0</v>
      </c>
      <c r="S1343" s="51" t="s">
        <v>2356</v>
      </c>
      <c r="T1343" s="51" t="s">
        <v>2356</v>
      </c>
      <c r="U1343" s="51" t="s">
        <v>3633</v>
      </c>
      <c r="V1343" s="51" t="s">
        <v>2357</v>
      </c>
      <c r="W1343" s="51" t="s">
        <v>3677</v>
      </c>
      <c r="X1343" s="51" t="s">
        <v>2359</v>
      </c>
    </row>
    <row r="1344" customFormat="false" ht="14.25" hidden="false" customHeight="false" outlineLevel="0" collapsed="false">
      <c r="I1344" s="51"/>
      <c r="K1344" s="52"/>
      <c r="O1344" s="53"/>
      <c r="P1344" s="53"/>
      <c r="Q1344" s="53"/>
      <c r="S1344" s="51"/>
      <c r="T1344" s="51"/>
      <c r="U1344" s="51"/>
      <c r="V1344" s="51"/>
      <c r="X1344" s="51"/>
    </row>
    <row r="1345" customFormat="false" ht="14.25" hidden="true" customHeight="false" outlineLevel="0" collapsed="false">
      <c r="A1345" s="49" t="s">
        <v>2349</v>
      </c>
      <c r="B1345" s="49" t="s">
        <v>2350</v>
      </c>
      <c r="C1345" s="49" t="s">
        <v>3678</v>
      </c>
      <c r="D1345" s="49" t="s">
        <v>2352</v>
      </c>
      <c r="E1345" s="49" t="s">
        <v>3633</v>
      </c>
      <c r="F1345" s="49" t="s">
        <v>3634</v>
      </c>
      <c r="G1345" s="49" t="n">
        <v>0</v>
      </c>
      <c r="H1345" s="0" t="n">
        <v>0</v>
      </c>
      <c r="J1345" s="49" t="str">
        <f aca="false">"280827"</f>
        <v>280827</v>
      </c>
      <c r="K1345" s="52" t="n">
        <v>46627</v>
      </c>
      <c r="M1345" s="51" t="s">
        <v>3660</v>
      </c>
      <c r="N1345" s="49" t="n">
        <v>947.87</v>
      </c>
      <c r="O1345" s="53" t="n">
        <v>45973.4077314815</v>
      </c>
      <c r="P1345" s="53" t="n">
        <v>46016.6231828704</v>
      </c>
      <c r="Q1345" s="53" t="n">
        <v>45973.4077314815</v>
      </c>
      <c r="R1345" s="0" t="n">
        <v>0</v>
      </c>
      <c r="S1345" s="51" t="s">
        <v>2356</v>
      </c>
      <c r="T1345" s="51" t="s">
        <v>2356</v>
      </c>
      <c r="U1345" s="51" t="s">
        <v>3633</v>
      </c>
      <c r="V1345" s="51" t="s">
        <v>2357</v>
      </c>
      <c r="W1345" s="51" t="s">
        <v>3679</v>
      </c>
      <c r="X1345" s="51" t="s">
        <v>2359</v>
      </c>
    </row>
    <row r="1346" customFormat="false" ht="14.25" hidden="true" customHeight="false" outlineLevel="0" collapsed="false">
      <c r="A1346" s="49" t="s">
        <v>2349</v>
      </c>
      <c r="B1346" s="49" t="s">
        <v>2350</v>
      </c>
      <c r="C1346" s="49" t="s">
        <v>3680</v>
      </c>
      <c r="D1346" s="49" t="s">
        <v>2352</v>
      </c>
      <c r="E1346" s="49" t="s">
        <v>3633</v>
      </c>
      <c r="F1346" s="49" t="s">
        <v>3634</v>
      </c>
      <c r="G1346" s="49" t="n">
        <v>0</v>
      </c>
      <c r="H1346" s="0" t="n">
        <v>0</v>
      </c>
      <c r="J1346" s="49" t="str">
        <f aca="false">"280827"</f>
        <v>280827</v>
      </c>
      <c r="K1346" s="52" t="n">
        <v>46627</v>
      </c>
      <c r="M1346" s="51" t="s">
        <v>3660</v>
      </c>
      <c r="N1346" s="49" t="n">
        <v>961.17</v>
      </c>
      <c r="O1346" s="53" t="n">
        <v>45973.4085416667</v>
      </c>
      <c r="P1346" s="53" t="n">
        <v>46004.4486805556</v>
      </c>
      <c r="Q1346" s="53" t="n">
        <v>45973.4085416667</v>
      </c>
      <c r="R1346" s="0" t="n">
        <v>0</v>
      </c>
      <c r="S1346" s="51" t="s">
        <v>2356</v>
      </c>
      <c r="T1346" s="51" t="s">
        <v>2356</v>
      </c>
      <c r="U1346" s="51" t="s">
        <v>3633</v>
      </c>
      <c r="V1346" s="51" t="s">
        <v>2357</v>
      </c>
      <c r="W1346" s="51" t="s">
        <v>3681</v>
      </c>
      <c r="X1346" s="51" t="s">
        <v>2359</v>
      </c>
    </row>
    <row r="1347" customFormat="false" ht="14.25" hidden="true" customHeight="false" outlineLevel="0" collapsed="false">
      <c r="A1347" s="49" t="s">
        <v>2349</v>
      </c>
      <c r="B1347" s="49" t="s">
        <v>2350</v>
      </c>
      <c r="C1347" s="49" t="s">
        <v>3682</v>
      </c>
      <c r="D1347" s="49" t="s">
        <v>2352</v>
      </c>
      <c r="E1347" s="49" t="s">
        <v>3633</v>
      </c>
      <c r="F1347" s="49" t="s">
        <v>3634</v>
      </c>
      <c r="G1347" s="49" t="n">
        <v>0</v>
      </c>
      <c r="H1347" s="0" t="n">
        <v>0</v>
      </c>
      <c r="J1347" s="49" t="str">
        <f aca="false">"260827"</f>
        <v>260827</v>
      </c>
      <c r="K1347" s="52" t="n">
        <v>46627</v>
      </c>
      <c r="M1347" s="51" t="s">
        <v>3660</v>
      </c>
      <c r="N1347" s="49" t="n">
        <v>865.69</v>
      </c>
      <c r="O1347" s="53" t="n">
        <v>45973.4094212963</v>
      </c>
      <c r="P1347" s="53" t="n">
        <v>46016.623287037</v>
      </c>
      <c r="Q1347" s="53" t="n">
        <v>45973.4094212963</v>
      </c>
      <c r="R1347" s="0" t="n">
        <v>0</v>
      </c>
      <c r="S1347" s="51" t="s">
        <v>2356</v>
      </c>
      <c r="T1347" s="51" t="s">
        <v>2356</v>
      </c>
      <c r="U1347" s="51" t="s">
        <v>3633</v>
      </c>
      <c r="V1347" s="51" t="s">
        <v>2357</v>
      </c>
      <c r="W1347" s="51" t="s">
        <v>3683</v>
      </c>
      <c r="X1347" s="51" t="s">
        <v>2359</v>
      </c>
    </row>
    <row r="1348" customFormat="false" ht="14.25" hidden="true" customHeight="false" outlineLevel="0" collapsed="false">
      <c r="A1348" s="49" t="s">
        <v>2349</v>
      </c>
      <c r="B1348" s="49" t="s">
        <v>2350</v>
      </c>
      <c r="C1348" s="49" t="s">
        <v>3684</v>
      </c>
      <c r="D1348" s="49" t="s">
        <v>2352</v>
      </c>
      <c r="E1348" s="49" t="s">
        <v>3633</v>
      </c>
      <c r="F1348" s="49" t="s">
        <v>3634</v>
      </c>
      <c r="G1348" s="49" t="n">
        <v>0</v>
      </c>
      <c r="H1348" s="0" t="n">
        <v>0</v>
      </c>
      <c r="J1348" s="49" t="str">
        <f aca="false">"280827"</f>
        <v>280827</v>
      </c>
      <c r="K1348" s="52" t="n">
        <v>46627</v>
      </c>
      <c r="M1348" s="51" t="s">
        <v>3660</v>
      </c>
      <c r="N1348" s="49" t="n">
        <v>849.24</v>
      </c>
      <c r="O1348" s="53" t="n">
        <v>45973.4105324074</v>
      </c>
      <c r="P1348" s="53" t="n">
        <v>46016.6238541667</v>
      </c>
      <c r="Q1348" s="53" t="n">
        <v>45973.4105324074</v>
      </c>
      <c r="R1348" s="0" t="n">
        <v>0</v>
      </c>
      <c r="S1348" s="51" t="s">
        <v>2356</v>
      </c>
      <c r="T1348" s="51" t="s">
        <v>2356</v>
      </c>
      <c r="U1348" s="51" t="s">
        <v>3633</v>
      </c>
      <c r="V1348" s="51" t="s">
        <v>2357</v>
      </c>
      <c r="W1348" s="51" t="s">
        <v>3685</v>
      </c>
      <c r="X1348" s="51" t="s">
        <v>2359</v>
      </c>
    </row>
    <row r="1349" customFormat="false" ht="14.25" hidden="true" customHeight="false" outlineLevel="0" collapsed="false">
      <c r="A1349" s="49" t="s">
        <v>2349</v>
      </c>
      <c r="B1349" s="49" t="s">
        <v>2350</v>
      </c>
      <c r="C1349" s="49" t="s">
        <v>3686</v>
      </c>
      <c r="D1349" s="49" t="s">
        <v>2352</v>
      </c>
      <c r="E1349" s="49" t="s">
        <v>3633</v>
      </c>
      <c r="F1349" s="49" t="s">
        <v>3634</v>
      </c>
      <c r="G1349" s="49" t="n">
        <v>0</v>
      </c>
      <c r="H1349" s="0" t="n">
        <v>0</v>
      </c>
      <c r="J1349" s="49" t="str">
        <f aca="false">"280827"</f>
        <v>280827</v>
      </c>
      <c r="K1349" s="52" t="n">
        <v>46627</v>
      </c>
      <c r="M1349" s="51" t="s">
        <v>3660</v>
      </c>
      <c r="N1349" s="49" t="n">
        <v>793.24</v>
      </c>
      <c r="O1349" s="53" t="n">
        <v>45973.4111574074</v>
      </c>
      <c r="P1349" s="53" t="n">
        <v>45997.3735416667</v>
      </c>
      <c r="Q1349" s="53" t="n">
        <v>45973.4111574074</v>
      </c>
      <c r="R1349" s="0" t="n">
        <v>0</v>
      </c>
      <c r="S1349" s="51" t="s">
        <v>2356</v>
      </c>
      <c r="T1349" s="51" t="s">
        <v>2356</v>
      </c>
      <c r="U1349" s="51" t="s">
        <v>3633</v>
      </c>
      <c r="V1349" s="51" t="s">
        <v>2357</v>
      </c>
      <c r="W1349" s="51" t="s">
        <v>3687</v>
      </c>
      <c r="X1349" s="51" t="s">
        <v>2359</v>
      </c>
    </row>
    <row r="1350" customFormat="false" ht="14.25" hidden="true" customHeight="false" outlineLevel="0" collapsed="false">
      <c r="A1350" s="49" t="s">
        <v>2349</v>
      </c>
      <c r="B1350" s="49" t="s">
        <v>2350</v>
      </c>
      <c r="C1350" s="49" t="s">
        <v>3688</v>
      </c>
      <c r="D1350" s="49" t="s">
        <v>2352</v>
      </c>
      <c r="E1350" s="49" t="s">
        <v>3633</v>
      </c>
      <c r="F1350" s="49" t="s">
        <v>3634</v>
      </c>
      <c r="G1350" s="49" t="n">
        <v>0</v>
      </c>
      <c r="H1350" s="0" t="n">
        <v>0</v>
      </c>
      <c r="J1350" s="49" t="str">
        <f aca="false">"280827"</f>
        <v>280827</v>
      </c>
      <c r="K1350" s="52" t="n">
        <v>46627</v>
      </c>
      <c r="M1350" s="51" t="s">
        <v>3660</v>
      </c>
      <c r="N1350" s="49" t="n">
        <v>922.96</v>
      </c>
      <c r="O1350" s="53" t="n">
        <v>45973.4120601852</v>
      </c>
      <c r="P1350" s="53" t="n">
        <v>46016.6239699074</v>
      </c>
      <c r="Q1350" s="53" t="n">
        <v>45973.4120601852</v>
      </c>
      <c r="R1350" s="0" t="n">
        <v>0</v>
      </c>
      <c r="S1350" s="51" t="s">
        <v>2356</v>
      </c>
      <c r="T1350" s="51" t="s">
        <v>2356</v>
      </c>
      <c r="U1350" s="51" t="s">
        <v>3633</v>
      </c>
      <c r="V1350" s="51" t="s">
        <v>2357</v>
      </c>
      <c r="W1350" s="51" t="s">
        <v>3689</v>
      </c>
      <c r="X1350" s="51" t="s">
        <v>2359</v>
      </c>
    </row>
    <row r="1351" customFormat="false" ht="14.25" hidden="true" customHeight="false" outlineLevel="0" collapsed="false">
      <c r="A1351" s="49" t="s">
        <v>2349</v>
      </c>
      <c r="B1351" s="49" t="s">
        <v>2350</v>
      </c>
      <c r="C1351" s="49" t="s">
        <v>3690</v>
      </c>
      <c r="D1351" s="49" t="s">
        <v>2352</v>
      </c>
      <c r="E1351" s="49" t="s">
        <v>3633</v>
      </c>
      <c r="F1351" s="49" t="s">
        <v>3634</v>
      </c>
      <c r="G1351" s="49" t="n">
        <v>0</v>
      </c>
      <c r="H1351" s="0" t="n">
        <v>0</v>
      </c>
      <c r="J1351" s="49" t="str">
        <f aca="false">"280827"</f>
        <v>280827</v>
      </c>
      <c r="K1351" s="52" t="n">
        <v>46627</v>
      </c>
      <c r="M1351" s="51" t="s">
        <v>3660</v>
      </c>
      <c r="N1351" s="49" t="n">
        <v>805.64</v>
      </c>
      <c r="O1351" s="53" t="n">
        <v>45973.4142708333</v>
      </c>
      <c r="P1351" s="53" t="n">
        <v>45987.4674768519</v>
      </c>
      <c r="Q1351" s="53" t="n">
        <v>45973.4142708333</v>
      </c>
      <c r="R1351" s="0" t="n">
        <v>0</v>
      </c>
      <c r="S1351" s="51" t="s">
        <v>2356</v>
      </c>
      <c r="T1351" s="51" t="s">
        <v>2356</v>
      </c>
      <c r="U1351" s="51" t="s">
        <v>3633</v>
      </c>
      <c r="V1351" s="51" t="s">
        <v>2357</v>
      </c>
      <c r="W1351" s="51" t="s">
        <v>3670</v>
      </c>
      <c r="X1351" s="51" t="s">
        <v>2359</v>
      </c>
    </row>
    <row r="1352" customFormat="false" ht="14.25" hidden="true" customHeight="false" outlineLevel="0" collapsed="false">
      <c r="A1352" s="49" t="s">
        <v>2349</v>
      </c>
      <c r="B1352" s="49" t="s">
        <v>2350</v>
      </c>
      <c r="C1352" s="49" t="s">
        <v>3691</v>
      </c>
      <c r="D1352" s="49" t="s">
        <v>2352</v>
      </c>
      <c r="E1352" s="49" t="s">
        <v>3633</v>
      </c>
      <c r="F1352" s="49" t="s">
        <v>3634</v>
      </c>
      <c r="G1352" s="49" t="n">
        <v>0</v>
      </c>
      <c r="H1352" s="0" t="n">
        <v>0</v>
      </c>
      <c r="J1352" s="49" t="str">
        <f aca="false">"280827"</f>
        <v>280827</v>
      </c>
      <c r="K1352" s="52" t="n">
        <v>46627</v>
      </c>
      <c r="M1352" s="51" t="s">
        <v>3660</v>
      </c>
      <c r="N1352" s="49" t="n">
        <v>962.72</v>
      </c>
      <c r="O1352" s="53" t="n">
        <v>45973.4153472222</v>
      </c>
      <c r="P1352" s="53" t="n">
        <v>45987.4675925926</v>
      </c>
      <c r="Q1352" s="53" t="n">
        <v>45973.4153472222</v>
      </c>
      <c r="R1352" s="0" t="n">
        <v>0</v>
      </c>
      <c r="S1352" s="51" t="s">
        <v>2356</v>
      </c>
      <c r="T1352" s="51" t="s">
        <v>2356</v>
      </c>
      <c r="U1352" s="51" t="s">
        <v>3633</v>
      </c>
      <c r="V1352" s="51" t="s">
        <v>2357</v>
      </c>
      <c r="W1352" s="51" t="s">
        <v>3692</v>
      </c>
      <c r="X1352" s="51" t="s">
        <v>2359</v>
      </c>
    </row>
    <row r="1353" customFormat="false" ht="14.25" hidden="true" customHeight="false" outlineLevel="0" collapsed="false">
      <c r="A1353" s="49" t="s">
        <v>2349</v>
      </c>
      <c r="B1353" s="49" t="s">
        <v>2350</v>
      </c>
      <c r="C1353" s="49" t="s">
        <v>3693</v>
      </c>
      <c r="D1353" s="49" t="s">
        <v>2352</v>
      </c>
      <c r="E1353" s="49" t="s">
        <v>3633</v>
      </c>
      <c r="F1353" s="49" t="s">
        <v>3634</v>
      </c>
      <c r="G1353" s="49" t="n">
        <v>0</v>
      </c>
      <c r="H1353" s="0" t="n">
        <v>0</v>
      </c>
      <c r="J1353" s="49" t="str">
        <f aca="false">"280827"</f>
        <v>280827</v>
      </c>
      <c r="K1353" s="52" t="n">
        <v>46627</v>
      </c>
      <c r="M1353" s="51" t="s">
        <v>3660</v>
      </c>
      <c r="N1353" s="49" t="n">
        <v>816.93</v>
      </c>
      <c r="O1353" s="53" t="n">
        <v>45973.4158680556</v>
      </c>
      <c r="P1353" s="53" t="n">
        <v>45987.4765393519</v>
      </c>
      <c r="Q1353" s="53" t="n">
        <v>45973.4158680556</v>
      </c>
      <c r="R1353" s="0" t="n">
        <v>0</v>
      </c>
      <c r="S1353" s="51" t="s">
        <v>2356</v>
      </c>
      <c r="T1353" s="51" t="s">
        <v>2356</v>
      </c>
      <c r="U1353" s="51" t="s">
        <v>3633</v>
      </c>
      <c r="V1353" s="51" t="s">
        <v>2357</v>
      </c>
      <c r="W1353" s="51" t="s">
        <v>3694</v>
      </c>
      <c r="X1353" s="51" t="s">
        <v>2359</v>
      </c>
    </row>
    <row r="1354" customFormat="false" ht="14.25" hidden="true" customHeight="false" outlineLevel="0" collapsed="false">
      <c r="A1354" s="49" t="s">
        <v>2349</v>
      </c>
      <c r="B1354" s="49" t="s">
        <v>2350</v>
      </c>
      <c r="C1354" s="49" t="s">
        <v>3695</v>
      </c>
      <c r="D1354" s="49" t="s">
        <v>2352</v>
      </c>
      <c r="E1354" s="49" t="s">
        <v>3633</v>
      </c>
      <c r="F1354" s="49" t="s">
        <v>3634</v>
      </c>
      <c r="G1354" s="49" t="n">
        <v>0</v>
      </c>
      <c r="H1354" s="0" t="n">
        <v>0</v>
      </c>
      <c r="J1354" s="49" t="str">
        <f aca="false">"280827"</f>
        <v>280827</v>
      </c>
      <c r="K1354" s="52" t="n">
        <v>46627</v>
      </c>
      <c r="M1354" s="51" t="s">
        <v>3660</v>
      </c>
      <c r="N1354" s="49" t="n">
        <v>878.42</v>
      </c>
      <c r="O1354" s="53" t="n">
        <v>45973.416400463</v>
      </c>
      <c r="P1354" s="53" t="n">
        <v>45987.4762037037</v>
      </c>
      <c r="Q1354" s="53" t="n">
        <v>45973.416400463</v>
      </c>
      <c r="R1354" s="0" t="n">
        <v>0</v>
      </c>
      <c r="S1354" s="51" t="s">
        <v>2356</v>
      </c>
      <c r="T1354" s="51" t="s">
        <v>2356</v>
      </c>
      <c r="U1354" s="51" t="s">
        <v>3633</v>
      </c>
      <c r="V1354" s="51" t="s">
        <v>2357</v>
      </c>
      <c r="W1354" s="51" t="s">
        <v>3696</v>
      </c>
      <c r="X1354" s="51" t="s">
        <v>2359</v>
      </c>
    </row>
    <row r="1355" customFormat="false" ht="14.25" hidden="true" customHeight="false" outlineLevel="0" collapsed="false">
      <c r="A1355" s="49" t="s">
        <v>2349</v>
      </c>
      <c r="B1355" s="49" t="s">
        <v>2350</v>
      </c>
      <c r="C1355" s="49" t="s">
        <v>3697</v>
      </c>
      <c r="D1355" s="49" t="s">
        <v>2352</v>
      </c>
      <c r="E1355" s="49" t="s">
        <v>3633</v>
      </c>
      <c r="F1355" s="49" t="s">
        <v>3634</v>
      </c>
      <c r="G1355" s="49" t="n">
        <v>0</v>
      </c>
      <c r="H1355" s="0" t="n">
        <v>0</v>
      </c>
      <c r="J1355" s="49" t="str">
        <f aca="false">"280827"</f>
        <v>280827</v>
      </c>
      <c r="K1355" s="52" t="n">
        <v>46627</v>
      </c>
      <c r="M1355" s="51" t="s">
        <v>3660</v>
      </c>
      <c r="N1355" s="49" t="n">
        <v>892.42</v>
      </c>
      <c r="O1355" s="53" t="n">
        <v>45973.4198611111</v>
      </c>
      <c r="P1355" s="53" t="n">
        <v>45993.3614236111</v>
      </c>
      <c r="Q1355" s="53" t="n">
        <v>45973.4198611111</v>
      </c>
      <c r="R1355" s="0" t="n">
        <v>0</v>
      </c>
      <c r="S1355" s="51" t="s">
        <v>2356</v>
      </c>
      <c r="T1355" s="51" t="s">
        <v>2356</v>
      </c>
      <c r="U1355" s="51" t="s">
        <v>3633</v>
      </c>
      <c r="V1355" s="51" t="s">
        <v>2357</v>
      </c>
      <c r="W1355" s="51" t="s">
        <v>3694</v>
      </c>
      <c r="X1355" s="51" t="s">
        <v>2359</v>
      </c>
    </row>
    <row r="1356" customFormat="false" ht="14.25" hidden="true" customHeight="false" outlineLevel="0" collapsed="false">
      <c r="A1356" s="49" t="s">
        <v>2349</v>
      </c>
      <c r="B1356" s="49" t="s">
        <v>2350</v>
      </c>
      <c r="C1356" s="49" t="s">
        <v>3698</v>
      </c>
      <c r="D1356" s="49" t="s">
        <v>2352</v>
      </c>
      <c r="E1356" s="49" t="s">
        <v>3633</v>
      </c>
      <c r="F1356" s="49" t="s">
        <v>3634</v>
      </c>
      <c r="G1356" s="49" t="n">
        <v>0</v>
      </c>
      <c r="H1356" s="0" t="n">
        <v>0</v>
      </c>
      <c r="J1356" s="49" t="str">
        <f aca="false">"280827"</f>
        <v>280827</v>
      </c>
      <c r="K1356" s="52" t="n">
        <v>46627</v>
      </c>
      <c r="M1356" s="51" t="s">
        <v>3660</v>
      </c>
      <c r="N1356" s="49" t="n">
        <v>859.2</v>
      </c>
      <c r="O1356" s="53" t="n">
        <v>45973.4211226852</v>
      </c>
      <c r="P1356" s="53" t="n">
        <v>45985.6270601852</v>
      </c>
      <c r="Q1356" s="53" t="n">
        <v>45973.4211226852</v>
      </c>
      <c r="R1356" s="0" t="n">
        <v>0</v>
      </c>
      <c r="S1356" s="51" t="s">
        <v>2356</v>
      </c>
      <c r="T1356" s="51" t="s">
        <v>2356</v>
      </c>
      <c r="U1356" s="51" t="s">
        <v>3633</v>
      </c>
      <c r="V1356" s="51" t="s">
        <v>2357</v>
      </c>
      <c r="W1356" s="51" t="s">
        <v>3699</v>
      </c>
      <c r="X1356" s="51" t="s">
        <v>2359</v>
      </c>
    </row>
    <row r="1357" customFormat="false" ht="14.25" hidden="true" customHeight="false" outlineLevel="0" collapsed="false">
      <c r="A1357" s="49" t="s">
        <v>2349</v>
      </c>
      <c r="B1357" s="49" t="s">
        <v>2350</v>
      </c>
      <c r="C1357" s="49" t="s">
        <v>3700</v>
      </c>
      <c r="D1357" s="49" t="s">
        <v>2352</v>
      </c>
      <c r="E1357" s="49" t="s">
        <v>3633</v>
      </c>
      <c r="F1357" s="49" t="s">
        <v>3634</v>
      </c>
      <c r="G1357" s="49" t="n">
        <v>0</v>
      </c>
      <c r="H1357" s="0" t="n">
        <v>0</v>
      </c>
      <c r="J1357" s="49" t="str">
        <f aca="false">"280827"</f>
        <v>280827</v>
      </c>
      <c r="K1357" s="52" t="n">
        <v>46627</v>
      </c>
      <c r="M1357" s="51" t="s">
        <v>3660</v>
      </c>
      <c r="N1357" s="49" t="n">
        <v>874.58</v>
      </c>
      <c r="O1357" s="53" t="n">
        <v>45973.4217708333</v>
      </c>
      <c r="P1357" s="53" t="n">
        <v>46016.6230671296</v>
      </c>
      <c r="Q1357" s="53" t="n">
        <v>45973.4217708333</v>
      </c>
      <c r="R1357" s="0" t="n">
        <v>0</v>
      </c>
      <c r="S1357" s="51" t="s">
        <v>2356</v>
      </c>
      <c r="T1357" s="51" t="s">
        <v>2356</v>
      </c>
      <c r="U1357" s="51" t="s">
        <v>3633</v>
      </c>
      <c r="V1357" s="51" t="s">
        <v>2357</v>
      </c>
      <c r="W1357" s="51" t="s">
        <v>3701</v>
      </c>
      <c r="X1357" s="51" t="s">
        <v>2359</v>
      </c>
    </row>
    <row r="1358" customFormat="false" ht="14.25" hidden="true" customHeight="false" outlineLevel="0" collapsed="false">
      <c r="A1358" s="49" t="s">
        <v>2349</v>
      </c>
      <c r="B1358" s="49" t="s">
        <v>2350</v>
      </c>
      <c r="C1358" s="49" t="s">
        <v>3702</v>
      </c>
      <c r="D1358" s="49" t="s">
        <v>2352</v>
      </c>
      <c r="E1358" s="49" t="s">
        <v>3633</v>
      </c>
      <c r="F1358" s="49" t="s">
        <v>3634</v>
      </c>
      <c r="G1358" s="49" t="n">
        <v>0</v>
      </c>
      <c r="H1358" s="0" t="n">
        <v>0</v>
      </c>
      <c r="J1358" s="49" t="str">
        <f aca="false">"280827"</f>
        <v>280827</v>
      </c>
      <c r="K1358" s="52" t="n">
        <v>46627</v>
      </c>
      <c r="M1358" s="51" t="s">
        <v>3674</v>
      </c>
      <c r="N1358" s="49" t="n">
        <v>900.16</v>
      </c>
      <c r="O1358" s="53" t="n">
        <v>45955.5725694444</v>
      </c>
      <c r="P1358" s="53" t="n">
        <v>45956.6143634259</v>
      </c>
      <c r="Q1358" s="53" t="n">
        <v>45955.5725694444</v>
      </c>
      <c r="R1358" s="0" t="n">
        <v>0</v>
      </c>
      <c r="S1358" s="51" t="s">
        <v>2356</v>
      </c>
      <c r="T1358" s="51" t="s">
        <v>2356</v>
      </c>
      <c r="U1358" s="51" t="s">
        <v>3633</v>
      </c>
      <c r="V1358" s="51" t="s">
        <v>2357</v>
      </c>
      <c r="W1358" s="51" t="s">
        <v>3675</v>
      </c>
      <c r="X1358" s="51" t="s">
        <v>2359</v>
      </c>
    </row>
    <row r="1359" customFormat="false" ht="14.25" hidden="true" customHeight="false" outlineLevel="0" collapsed="false">
      <c r="A1359" s="49" t="s">
        <v>2349</v>
      </c>
      <c r="B1359" s="49" t="s">
        <v>2350</v>
      </c>
      <c r="C1359" s="49" t="s">
        <v>3703</v>
      </c>
      <c r="D1359" s="49" t="s">
        <v>2352</v>
      </c>
      <c r="E1359" s="49" t="s">
        <v>3633</v>
      </c>
      <c r="F1359" s="49" t="s">
        <v>3634</v>
      </c>
      <c r="G1359" s="49" t="n">
        <v>0</v>
      </c>
      <c r="H1359" s="0" t="n">
        <v>0</v>
      </c>
      <c r="J1359" s="49" t="str">
        <f aca="false">"300827"</f>
        <v>300827</v>
      </c>
      <c r="K1359" s="52" t="n">
        <v>46629</v>
      </c>
      <c r="M1359" s="51" t="s">
        <v>3674</v>
      </c>
      <c r="N1359" s="49" t="n">
        <v>866.7</v>
      </c>
      <c r="O1359" s="53" t="n">
        <v>45955.5731481482</v>
      </c>
      <c r="P1359" s="53" t="n">
        <v>45956.6154861111</v>
      </c>
      <c r="Q1359" s="53" t="n">
        <v>45955.5731481482</v>
      </c>
      <c r="R1359" s="0" t="n">
        <v>0</v>
      </c>
      <c r="S1359" s="51" t="s">
        <v>2356</v>
      </c>
      <c r="T1359" s="51" t="s">
        <v>2356</v>
      </c>
      <c r="U1359" s="51" t="s">
        <v>3633</v>
      </c>
      <c r="V1359" s="51" t="s">
        <v>2357</v>
      </c>
      <c r="W1359" s="51" t="s">
        <v>3675</v>
      </c>
      <c r="X1359" s="51" t="s">
        <v>2359</v>
      </c>
    </row>
    <row r="1360" customFormat="false" ht="14.25" hidden="true" customHeight="false" outlineLevel="0" collapsed="false">
      <c r="A1360" s="49" t="s">
        <v>2349</v>
      </c>
      <c r="B1360" s="49" t="s">
        <v>2350</v>
      </c>
      <c r="C1360" s="49" t="s">
        <v>3704</v>
      </c>
      <c r="D1360" s="49" t="s">
        <v>2352</v>
      </c>
      <c r="E1360" s="49" t="s">
        <v>3638</v>
      </c>
      <c r="F1360" s="49" t="s">
        <v>3639</v>
      </c>
      <c r="G1360" s="49" t="n">
        <v>0</v>
      </c>
      <c r="H1360" s="0" t="n">
        <v>0</v>
      </c>
      <c r="J1360" s="49" t="str">
        <f aca="false">"300827"</f>
        <v>300827</v>
      </c>
      <c r="K1360" s="52" t="n">
        <v>46629</v>
      </c>
      <c r="M1360" s="51" t="s">
        <v>3663</v>
      </c>
      <c r="N1360" s="49" t="n">
        <v>707.02</v>
      </c>
      <c r="O1360" s="53" t="n">
        <v>46013.4811805556</v>
      </c>
      <c r="P1360" s="53" t="n">
        <v>46019.4238541667</v>
      </c>
      <c r="Q1360" s="53" t="n">
        <v>46013.4811805556</v>
      </c>
      <c r="R1360" s="0" t="n">
        <v>0</v>
      </c>
      <c r="S1360" s="51" t="s">
        <v>2356</v>
      </c>
      <c r="T1360" s="51" t="s">
        <v>2356</v>
      </c>
      <c r="U1360" s="51" t="s">
        <v>3638</v>
      </c>
      <c r="V1360" s="51" t="s">
        <v>2357</v>
      </c>
      <c r="W1360" s="51" t="s">
        <v>3705</v>
      </c>
      <c r="X1360" s="51" t="s">
        <v>2359</v>
      </c>
    </row>
    <row r="1361" customFormat="false" ht="14.25" hidden="true" customHeight="false" outlineLevel="0" collapsed="false">
      <c r="A1361" s="49" t="s">
        <v>2349</v>
      </c>
      <c r="B1361" s="49" t="s">
        <v>2350</v>
      </c>
      <c r="C1361" s="49" t="s">
        <v>3706</v>
      </c>
      <c r="D1361" s="49" t="s">
        <v>2352</v>
      </c>
      <c r="E1361" s="49" t="s">
        <v>3633</v>
      </c>
      <c r="F1361" s="49" t="s">
        <v>3634</v>
      </c>
      <c r="G1361" s="49" t="n">
        <v>0</v>
      </c>
      <c r="H1361" s="0" t="n">
        <v>0</v>
      </c>
      <c r="J1361" s="49" t="str">
        <f aca="false">"300827"</f>
        <v>300827</v>
      </c>
      <c r="K1361" s="52" t="n">
        <v>46629</v>
      </c>
      <c r="M1361" s="51" t="s">
        <v>3674</v>
      </c>
      <c r="N1361" s="49" t="n">
        <v>924.05</v>
      </c>
      <c r="O1361" s="53" t="n">
        <v>45955.5539351852</v>
      </c>
      <c r="P1361" s="53" t="n">
        <v>45956.6146875</v>
      </c>
      <c r="Q1361" s="53" t="n">
        <v>45955.5539351852</v>
      </c>
      <c r="R1361" s="0" t="n">
        <v>0</v>
      </c>
      <c r="S1361" s="51" t="s">
        <v>2356</v>
      </c>
      <c r="T1361" s="51" t="s">
        <v>2356</v>
      </c>
      <c r="U1361" s="51" t="s">
        <v>3633</v>
      </c>
      <c r="V1361" s="51" t="s">
        <v>2357</v>
      </c>
      <c r="W1361" s="51" t="s">
        <v>3675</v>
      </c>
      <c r="X1361" s="51" t="s">
        <v>2359</v>
      </c>
    </row>
    <row r="1362" customFormat="false" ht="14.25" hidden="true" customHeight="false" outlineLevel="0" collapsed="false">
      <c r="A1362" s="49" t="s">
        <v>2349</v>
      </c>
      <c r="B1362" s="49" t="s">
        <v>2350</v>
      </c>
      <c r="C1362" s="49" t="s">
        <v>3707</v>
      </c>
      <c r="D1362" s="49" t="s">
        <v>2352</v>
      </c>
      <c r="E1362" s="49" t="s">
        <v>3633</v>
      </c>
      <c r="F1362" s="49" t="s">
        <v>3634</v>
      </c>
      <c r="G1362" s="49" t="n">
        <v>0</v>
      </c>
      <c r="H1362" s="0" t="n">
        <v>0</v>
      </c>
      <c r="J1362" s="49" t="str">
        <f aca="false">"300827"</f>
        <v>300827</v>
      </c>
      <c r="K1362" s="52" t="n">
        <v>46629</v>
      </c>
      <c r="M1362" s="51" t="s">
        <v>3674</v>
      </c>
      <c r="N1362" s="49" t="n">
        <v>896.52</v>
      </c>
      <c r="O1362" s="53" t="n">
        <v>45955.5622222222</v>
      </c>
      <c r="P1362" s="53" t="n">
        <v>45956.4979282407</v>
      </c>
      <c r="Q1362" s="53" t="n">
        <v>45955.5622222222</v>
      </c>
      <c r="R1362" s="0" t="n">
        <v>0</v>
      </c>
      <c r="S1362" s="51" t="s">
        <v>2356</v>
      </c>
      <c r="T1362" s="51" t="s">
        <v>2356</v>
      </c>
      <c r="U1362" s="51" t="s">
        <v>3633</v>
      </c>
      <c r="V1362" s="51" t="s">
        <v>2357</v>
      </c>
      <c r="W1362" s="51" t="s">
        <v>3675</v>
      </c>
      <c r="X1362" s="51" t="s">
        <v>2359</v>
      </c>
    </row>
    <row r="1363" customFormat="false" ht="14.25" hidden="true" customHeight="false" outlineLevel="0" collapsed="false">
      <c r="A1363" s="49" t="s">
        <v>2349</v>
      </c>
      <c r="B1363" s="49" t="s">
        <v>2350</v>
      </c>
      <c r="C1363" s="49" t="s">
        <v>3708</v>
      </c>
      <c r="D1363" s="49" t="s">
        <v>2352</v>
      </c>
      <c r="E1363" s="49" t="s">
        <v>3633</v>
      </c>
      <c r="F1363" s="49" t="s">
        <v>3634</v>
      </c>
      <c r="G1363" s="49" t="n">
        <v>0</v>
      </c>
      <c r="H1363" s="0" t="n">
        <v>0</v>
      </c>
      <c r="J1363" s="49" t="str">
        <f aca="false">"300827"</f>
        <v>300827</v>
      </c>
      <c r="K1363" s="52" t="n">
        <v>46629</v>
      </c>
      <c r="M1363" s="51" t="s">
        <v>3674</v>
      </c>
      <c r="N1363" s="49" t="n">
        <v>847.53</v>
      </c>
      <c r="O1363" s="53" t="n">
        <v>45955.5631597222</v>
      </c>
      <c r="P1363" s="53" t="n">
        <v>45956.4977893519</v>
      </c>
      <c r="Q1363" s="53" t="n">
        <v>45955.5631597222</v>
      </c>
      <c r="R1363" s="0" t="n">
        <v>0</v>
      </c>
      <c r="S1363" s="51" t="s">
        <v>2356</v>
      </c>
      <c r="T1363" s="51" t="s">
        <v>2356</v>
      </c>
      <c r="U1363" s="51" t="s">
        <v>3633</v>
      </c>
      <c r="V1363" s="51" t="s">
        <v>2357</v>
      </c>
      <c r="W1363" s="51" t="s">
        <v>3675</v>
      </c>
      <c r="X1363" s="51" t="s">
        <v>2359</v>
      </c>
    </row>
    <row r="1364" customFormat="false" ht="14.25" hidden="true" customHeight="false" outlineLevel="0" collapsed="false">
      <c r="A1364" s="49" t="s">
        <v>2349</v>
      </c>
      <c r="B1364" s="49" t="s">
        <v>2350</v>
      </c>
      <c r="C1364" s="49" t="s">
        <v>3709</v>
      </c>
      <c r="D1364" s="49" t="s">
        <v>2352</v>
      </c>
      <c r="E1364" s="49" t="s">
        <v>3633</v>
      </c>
      <c r="F1364" s="49" t="s">
        <v>3634</v>
      </c>
      <c r="G1364" s="49" t="n">
        <v>0</v>
      </c>
      <c r="H1364" s="0" t="n">
        <v>0</v>
      </c>
      <c r="J1364" s="49" t="str">
        <f aca="false">"300827"</f>
        <v>300827</v>
      </c>
      <c r="K1364" s="52" t="n">
        <v>46629</v>
      </c>
      <c r="M1364" s="51" t="s">
        <v>3674</v>
      </c>
      <c r="N1364" s="49" t="n">
        <v>800.81</v>
      </c>
      <c r="O1364" s="53" t="n">
        <v>45955.5636226852</v>
      </c>
      <c r="P1364" s="53" t="n">
        <v>45956.4975</v>
      </c>
      <c r="Q1364" s="53" t="n">
        <v>45955.5636226852</v>
      </c>
      <c r="R1364" s="0" t="n">
        <v>0</v>
      </c>
      <c r="S1364" s="51" t="s">
        <v>2356</v>
      </c>
      <c r="T1364" s="51" t="s">
        <v>2356</v>
      </c>
      <c r="U1364" s="51" t="s">
        <v>3633</v>
      </c>
      <c r="V1364" s="51" t="s">
        <v>2357</v>
      </c>
      <c r="W1364" s="51" t="s">
        <v>3675</v>
      </c>
      <c r="X1364" s="51" t="s">
        <v>2359</v>
      </c>
    </row>
    <row r="1365" customFormat="false" ht="14.25" hidden="true" customHeight="false" outlineLevel="0" collapsed="false">
      <c r="A1365" s="49" t="s">
        <v>2349</v>
      </c>
      <c r="B1365" s="49" t="s">
        <v>2350</v>
      </c>
      <c r="C1365" s="49" t="s">
        <v>3710</v>
      </c>
      <c r="D1365" s="49" t="s">
        <v>2352</v>
      </c>
      <c r="E1365" s="49" t="s">
        <v>3633</v>
      </c>
      <c r="F1365" s="49" t="s">
        <v>3634</v>
      </c>
      <c r="G1365" s="49" t="n">
        <v>0</v>
      </c>
      <c r="H1365" s="0" t="n">
        <v>0</v>
      </c>
      <c r="J1365" s="49" t="str">
        <f aca="false">"300827"</f>
        <v>300827</v>
      </c>
      <c r="K1365" s="52" t="n">
        <v>46629</v>
      </c>
      <c r="M1365" s="51" t="s">
        <v>3674</v>
      </c>
      <c r="N1365" s="49" t="n">
        <v>891.37</v>
      </c>
      <c r="O1365" s="53" t="n">
        <v>45955.5640972222</v>
      </c>
      <c r="P1365" s="53" t="n">
        <v>45956.4973726852</v>
      </c>
      <c r="Q1365" s="53" t="n">
        <v>45955.5640856482</v>
      </c>
      <c r="R1365" s="0" t="n">
        <v>0</v>
      </c>
      <c r="S1365" s="51" t="s">
        <v>2356</v>
      </c>
      <c r="T1365" s="51" t="s">
        <v>2356</v>
      </c>
      <c r="U1365" s="51" t="s">
        <v>3633</v>
      </c>
      <c r="V1365" s="51" t="s">
        <v>2357</v>
      </c>
      <c r="W1365" s="51" t="s">
        <v>3675</v>
      </c>
      <c r="X1365" s="51" t="s">
        <v>2359</v>
      </c>
    </row>
    <row r="1366" customFormat="false" ht="14.25" hidden="true" customHeight="false" outlineLevel="0" collapsed="false">
      <c r="A1366" s="49" t="s">
        <v>2349</v>
      </c>
      <c r="B1366" s="49" t="s">
        <v>2350</v>
      </c>
      <c r="C1366" s="49" t="s">
        <v>3711</v>
      </c>
      <c r="D1366" s="49" t="s">
        <v>2352</v>
      </c>
      <c r="E1366" s="49" t="s">
        <v>3633</v>
      </c>
      <c r="F1366" s="49" t="s">
        <v>3634</v>
      </c>
      <c r="G1366" s="49" t="n">
        <v>0</v>
      </c>
      <c r="H1366" s="0" t="n">
        <v>0</v>
      </c>
      <c r="J1366" s="49" t="str">
        <f aca="false">"300827"</f>
        <v>300827</v>
      </c>
      <c r="K1366" s="52" t="n">
        <v>46629</v>
      </c>
      <c r="M1366" s="51" t="s">
        <v>3674</v>
      </c>
      <c r="N1366" s="49" t="n">
        <v>809.74</v>
      </c>
      <c r="O1366" s="53" t="n">
        <v>45955.5645138889</v>
      </c>
      <c r="P1366" s="53" t="n">
        <v>45956.6166435185</v>
      </c>
      <c r="Q1366" s="53" t="n">
        <v>45955.5645138889</v>
      </c>
      <c r="R1366" s="0" t="n">
        <v>0</v>
      </c>
      <c r="S1366" s="51" t="s">
        <v>2356</v>
      </c>
      <c r="T1366" s="51" t="s">
        <v>2356</v>
      </c>
      <c r="U1366" s="51" t="s">
        <v>3633</v>
      </c>
      <c r="V1366" s="51" t="s">
        <v>2357</v>
      </c>
      <c r="W1366" s="51" t="s">
        <v>3675</v>
      </c>
      <c r="X1366" s="51" t="s">
        <v>2359</v>
      </c>
    </row>
    <row r="1367" customFormat="false" ht="14.25" hidden="true" customHeight="false" outlineLevel="0" collapsed="false">
      <c r="A1367" s="49" t="s">
        <v>2349</v>
      </c>
      <c r="B1367" s="49" t="s">
        <v>2350</v>
      </c>
      <c r="C1367" s="49" t="s">
        <v>3712</v>
      </c>
      <c r="D1367" s="49" t="s">
        <v>2352</v>
      </c>
      <c r="E1367" s="49" t="s">
        <v>3633</v>
      </c>
      <c r="F1367" s="49" t="s">
        <v>3634</v>
      </c>
      <c r="G1367" s="49" t="n">
        <v>0</v>
      </c>
      <c r="H1367" s="0" t="n">
        <v>0</v>
      </c>
      <c r="J1367" s="49" t="str">
        <f aca="false">"300827"</f>
        <v>300827</v>
      </c>
      <c r="K1367" s="52" t="n">
        <v>46629</v>
      </c>
      <c r="M1367" s="51" t="s">
        <v>3674</v>
      </c>
      <c r="N1367" s="49" t="n">
        <v>895.44</v>
      </c>
      <c r="O1367" s="53" t="n">
        <v>45955.5650115741</v>
      </c>
      <c r="P1367" s="53" t="n">
        <v>45956.6164930556</v>
      </c>
      <c r="Q1367" s="53" t="n">
        <v>45955.5650115741</v>
      </c>
      <c r="R1367" s="0" t="n">
        <v>0</v>
      </c>
      <c r="S1367" s="51" t="s">
        <v>2356</v>
      </c>
      <c r="T1367" s="51" t="s">
        <v>2356</v>
      </c>
      <c r="U1367" s="51" t="s">
        <v>3633</v>
      </c>
      <c r="V1367" s="51" t="s">
        <v>2357</v>
      </c>
      <c r="W1367" s="51" t="s">
        <v>3675</v>
      </c>
      <c r="X1367" s="51" t="s">
        <v>2359</v>
      </c>
    </row>
    <row r="1368" customFormat="false" ht="14.25" hidden="true" customHeight="false" outlineLevel="0" collapsed="false">
      <c r="A1368" s="49" t="s">
        <v>2349</v>
      </c>
      <c r="B1368" s="49" t="s">
        <v>2350</v>
      </c>
      <c r="C1368" s="49" t="s">
        <v>3713</v>
      </c>
      <c r="D1368" s="49" t="s">
        <v>2352</v>
      </c>
      <c r="E1368" s="49" t="s">
        <v>3633</v>
      </c>
      <c r="F1368" s="49" t="s">
        <v>3634</v>
      </c>
      <c r="G1368" s="49" t="n">
        <v>0</v>
      </c>
      <c r="H1368" s="0" t="n">
        <v>0</v>
      </c>
      <c r="J1368" s="49" t="str">
        <f aca="false">"300827"</f>
        <v>300827</v>
      </c>
      <c r="K1368" s="52" t="n">
        <v>46629</v>
      </c>
      <c r="M1368" s="51" t="s">
        <v>3674</v>
      </c>
      <c r="N1368" s="49" t="n">
        <v>838.2</v>
      </c>
      <c r="O1368" s="53" t="n">
        <v>45955.5664699074</v>
      </c>
      <c r="P1368" s="53" t="n">
        <v>45956.6163773148</v>
      </c>
      <c r="Q1368" s="53" t="n">
        <v>45955.5664699074</v>
      </c>
      <c r="R1368" s="0" t="n">
        <v>0</v>
      </c>
      <c r="S1368" s="51" t="s">
        <v>2356</v>
      </c>
      <c r="T1368" s="51" t="s">
        <v>2356</v>
      </c>
      <c r="U1368" s="51" t="s">
        <v>3633</v>
      </c>
      <c r="V1368" s="51" t="s">
        <v>2357</v>
      </c>
      <c r="W1368" s="51" t="s">
        <v>3675</v>
      </c>
      <c r="X1368" s="51" t="s">
        <v>2359</v>
      </c>
    </row>
    <row r="1369" customFormat="false" ht="14.25" hidden="true" customHeight="false" outlineLevel="0" collapsed="false">
      <c r="A1369" s="49" t="s">
        <v>2349</v>
      </c>
      <c r="B1369" s="49" t="s">
        <v>2350</v>
      </c>
      <c r="C1369" s="49" t="s">
        <v>3714</v>
      </c>
      <c r="D1369" s="49" t="s">
        <v>2352</v>
      </c>
      <c r="E1369" s="49" t="s">
        <v>3633</v>
      </c>
      <c r="F1369" s="49" t="s">
        <v>3634</v>
      </c>
      <c r="G1369" s="49" t="n">
        <v>0</v>
      </c>
      <c r="H1369" s="0" t="n">
        <v>0</v>
      </c>
      <c r="J1369" s="49" t="str">
        <f aca="false">"300827"</f>
        <v>300827</v>
      </c>
      <c r="K1369" s="52" t="n">
        <v>46629</v>
      </c>
      <c r="M1369" s="51" t="s">
        <v>3674</v>
      </c>
      <c r="N1369" s="49" t="n">
        <v>833.42</v>
      </c>
      <c r="O1369" s="53" t="n">
        <v>45955.5669675926</v>
      </c>
      <c r="P1369" s="53" t="n">
        <v>45956.6162384259</v>
      </c>
      <c r="Q1369" s="53" t="n">
        <v>45955.5669675926</v>
      </c>
      <c r="R1369" s="0" t="n">
        <v>0</v>
      </c>
      <c r="S1369" s="51" t="s">
        <v>2356</v>
      </c>
      <c r="T1369" s="51" t="s">
        <v>2356</v>
      </c>
      <c r="U1369" s="51" t="s">
        <v>3633</v>
      </c>
      <c r="V1369" s="51" t="s">
        <v>2357</v>
      </c>
      <c r="W1369" s="51" t="s">
        <v>3675</v>
      </c>
      <c r="X1369" s="51" t="s">
        <v>2359</v>
      </c>
    </row>
    <row r="1370" customFormat="false" ht="14.25" hidden="true" customHeight="false" outlineLevel="0" collapsed="false">
      <c r="A1370" s="49" t="s">
        <v>2349</v>
      </c>
      <c r="B1370" s="49" t="s">
        <v>2350</v>
      </c>
      <c r="C1370" s="49" t="s">
        <v>3715</v>
      </c>
      <c r="D1370" s="49" t="s">
        <v>2352</v>
      </c>
      <c r="E1370" s="49" t="s">
        <v>3633</v>
      </c>
      <c r="F1370" s="49" t="s">
        <v>3634</v>
      </c>
      <c r="G1370" s="49" t="n">
        <v>0</v>
      </c>
      <c r="H1370" s="0" t="n">
        <v>0</v>
      </c>
      <c r="J1370" s="49" t="str">
        <f aca="false">"300827"</f>
        <v>300827</v>
      </c>
      <c r="K1370" s="52" t="n">
        <v>46629</v>
      </c>
      <c r="M1370" s="51" t="s">
        <v>3674</v>
      </c>
      <c r="N1370" s="49" t="n">
        <v>895.18</v>
      </c>
      <c r="O1370" s="53" t="n">
        <v>45955.5678935185</v>
      </c>
      <c r="P1370" s="53" t="n">
        <v>45956.6161226852</v>
      </c>
      <c r="Q1370" s="53" t="n">
        <v>45955.5678935185</v>
      </c>
      <c r="R1370" s="0" t="n">
        <v>0</v>
      </c>
      <c r="S1370" s="51" t="s">
        <v>2356</v>
      </c>
      <c r="T1370" s="51" t="s">
        <v>2356</v>
      </c>
      <c r="U1370" s="51" t="s">
        <v>3633</v>
      </c>
      <c r="V1370" s="51" t="s">
        <v>2357</v>
      </c>
      <c r="W1370" s="51" t="s">
        <v>3675</v>
      </c>
      <c r="X1370" s="51" t="s">
        <v>2359</v>
      </c>
    </row>
    <row r="1371" customFormat="false" ht="14.25" hidden="true" customHeight="false" outlineLevel="0" collapsed="false">
      <c r="A1371" s="49" t="s">
        <v>2349</v>
      </c>
      <c r="B1371" s="49" t="s">
        <v>2350</v>
      </c>
      <c r="C1371" s="49" t="s">
        <v>3716</v>
      </c>
      <c r="D1371" s="49" t="s">
        <v>2352</v>
      </c>
      <c r="E1371" s="49" t="s">
        <v>3633</v>
      </c>
      <c r="F1371" s="49" t="s">
        <v>3634</v>
      </c>
      <c r="G1371" s="49" t="n">
        <v>0</v>
      </c>
      <c r="H1371" s="0" t="n">
        <v>0</v>
      </c>
      <c r="J1371" s="49" t="str">
        <f aca="false">"300827"</f>
        <v>300827</v>
      </c>
      <c r="K1371" s="52" t="n">
        <v>46629</v>
      </c>
      <c r="M1371" s="51" t="s">
        <v>3674</v>
      </c>
      <c r="N1371" s="49" t="n">
        <v>842.77</v>
      </c>
      <c r="O1371" s="53" t="n">
        <v>45955.5703125</v>
      </c>
      <c r="P1371" s="53" t="n">
        <v>45956.6159953704</v>
      </c>
      <c r="Q1371" s="53" t="n">
        <v>45955.5703125</v>
      </c>
      <c r="R1371" s="0" t="n">
        <v>0</v>
      </c>
      <c r="S1371" s="51" t="s">
        <v>2356</v>
      </c>
      <c r="T1371" s="51" t="s">
        <v>2356</v>
      </c>
      <c r="U1371" s="51" t="s">
        <v>3633</v>
      </c>
      <c r="V1371" s="51" t="s">
        <v>2357</v>
      </c>
      <c r="W1371" s="51" t="s">
        <v>3675</v>
      </c>
      <c r="X1371" s="51" t="s">
        <v>2359</v>
      </c>
    </row>
    <row r="1372" customFormat="false" ht="14.25" hidden="true" customHeight="false" outlineLevel="0" collapsed="false">
      <c r="A1372" s="49" t="s">
        <v>2349</v>
      </c>
      <c r="B1372" s="49" t="s">
        <v>2350</v>
      </c>
      <c r="C1372" s="49" t="s">
        <v>3717</v>
      </c>
      <c r="D1372" s="49" t="s">
        <v>2352</v>
      </c>
      <c r="E1372" s="49" t="s">
        <v>3633</v>
      </c>
      <c r="F1372" s="49" t="s">
        <v>3634</v>
      </c>
      <c r="G1372" s="49" t="n">
        <v>0</v>
      </c>
      <c r="H1372" s="0" t="n">
        <v>0</v>
      </c>
      <c r="J1372" s="49" t="str">
        <f aca="false">"300827"</f>
        <v>300827</v>
      </c>
      <c r="K1372" s="52" t="n">
        <v>46629</v>
      </c>
      <c r="M1372" s="51" t="s">
        <v>3674</v>
      </c>
      <c r="N1372" s="49" t="n">
        <v>865.2</v>
      </c>
      <c r="O1372" s="53" t="n">
        <v>45955.5712037037</v>
      </c>
      <c r="P1372" s="53" t="n">
        <v>45956.6158912037</v>
      </c>
      <c r="Q1372" s="53" t="n">
        <v>45955.5712037037</v>
      </c>
      <c r="R1372" s="0" t="n">
        <v>0</v>
      </c>
      <c r="S1372" s="51" t="s">
        <v>2356</v>
      </c>
      <c r="T1372" s="51" t="s">
        <v>2356</v>
      </c>
      <c r="U1372" s="51" t="s">
        <v>3633</v>
      </c>
      <c r="V1372" s="51" t="s">
        <v>2357</v>
      </c>
      <c r="W1372" s="51" t="s">
        <v>3675</v>
      </c>
      <c r="X1372" s="51" t="s">
        <v>2359</v>
      </c>
    </row>
    <row r="1373" customFormat="false" ht="14.25" hidden="true" customHeight="false" outlineLevel="0" collapsed="false">
      <c r="A1373" s="49" t="s">
        <v>2349</v>
      </c>
      <c r="B1373" s="49" t="s">
        <v>2350</v>
      </c>
      <c r="C1373" s="49" t="s">
        <v>3718</v>
      </c>
      <c r="D1373" s="49" t="s">
        <v>2352</v>
      </c>
      <c r="E1373" s="49" t="s">
        <v>3633</v>
      </c>
      <c r="F1373" s="49" t="s">
        <v>3634</v>
      </c>
      <c r="G1373" s="49" t="n">
        <v>0</v>
      </c>
      <c r="H1373" s="0" t="n">
        <v>0</v>
      </c>
      <c r="J1373" s="49" t="str">
        <f aca="false">"300827"</f>
        <v>300827</v>
      </c>
      <c r="K1373" s="52" t="n">
        <v>46629</v>
      </c>
      <c r="M1373" s="51" t="s">
        <v>3674</v>
      </c>
      <c r="N1373" s="49" t="n">
        <v>865.52</v>
      </c>
      <c r="O1373" s="53" t="n">
        <v>45955.5717824074</v>
      </c>
      <c r="P1373" s="53" t="n">
        <v>45956.615775463</v>
      </c>
      <c r="Q1373" s="53" t="n">
        <v>45955.5717824074</v>
      </c>
      <c r="R1373" s="0" t="n">
        <v>0</v>
      </c>
      <c r="S1373" s="51" t="s">
        <v>2356</v>
      </c>
      <c r="T1373" s="51" t="s">
        <v>2356</v>
      </c>
      <c r="U1373" s="51" t="s">
        <v>3633</v>
      </c>
      <c r="V1373" s="51" t="s">
        <v>2357</v>
      </c>
      <c r="W1373" s="51" t="s">
        <v>3675</v>
      </c>
      <c r="X1373" s="51" t="s">
        <v>2359</v>
      </c>
    </row>
    <row r="1374" customFormat="false" ht="14.25" hidden="true" customHeight="false" outlineLevel="0" collapsed="false">
      <c r="A1374" s="49" t="s">
        <v>2349</v>
      </c>
      <c r="B1374" s="49" t="s">
        <v>2350</v>
      </c>
      <c r="C1374" s="49" t="s">
        <v>3719</v>
      </c>
      <c r="D1374" s="49" t="s">
        <v>2352</v>
      </c>
      <c r="E1374" s="49" t="s">
        <v>3633</v>
      </c>
      <c r="F1374" s="49" t="s">
        <v>3634</v>
      </c>
      <c r="G1374" s="49" t="n">
        <v>0</v>
      </c>
      <c r="H1374" s="0" t="n">
        <v>0</v>
      </c>
      <c r="J1374" s="49" t="str">
        <f aca="false">"010927"</f>
        <v>010927</v>
      </c>
      <c r="K1374" s="52" t="n">
        <v>46631</v>
      </c>
      <c r="M1374" s="51" t="s">
        <v>3674</v>
      </c>
      <c r="N1374" s="49" t="n">
        <v>855.89</v>
      </c>
      <c r="O1374" s="53" t="n">
        <v>45955.5745601852</v>
      </c>
      <c r="P1374" s="53" t="n">
        <v>45960.4156597222</v>
      </c>
      <c r="Q1374" s="53" t="n">
        <v>45955.5745601852</v>
      </c>
      <c r="R1374" s="0" t="n">
        <v>0</v>
      </c>
      <c r="S1374" s="51" t="s">
        <v>2356</v>
      </c>
      <c r="T1374" s="51" t="s">
        <v>2356</v>
      </c>
      <c r="U1374" s="51" t="s">
        <v>3633</v>
      </c>
      <c r="V1374" s="51" t="s">
        <v>2357</v>
      </c>
      <c r="W1374" s="51" t="s">
        <v>3675</v>
      </c>
      <c r="X1374" s="51" t="s">
        <v>2359</v>
      </c>
    </row>
    <row r="1375" customFormat="false" ht="14.25" hidden="false" customHeight="false" outlineLevel="0" collapsed="false">
      <c r="I1375" s="51"/>
      <c r="K1375" s="52"/>
      <c r="O1375" s="53"/>
      <c r="P1375" s="53"/>
      <c r="Q1375" s="53"/>
      <c r="S1375" s="51"/>
      <c r="T1375" s="51"/>
      <c r="U1375" s="51"/>
      <c r="V1375" s="51"/>
      <c r="X1375" s="51"/>
    </row>
    <row r="1376" customFormat="false" ht="14.25" hidden="true" customHeight="false" outlineLevel="0" collapsed="false">
      <c r="A1376" s="49" t="s">
        <v>2349</v>
      </c>
      <c r="B1376" s="49" t="s">
        <v>2350</v>
      </c>
      <c r="C1376" s="49" t="s">
        <v>3720</v>
      </c>
      <c r="D1376" s="49" t="s">
        <v>2352</v>
      </c>
      <c r="E1376" s="49" t="s">
        <v>3633</v>
      </c>
      <c r="F1376" s="49" t="s">
        <v>3634</v>
      </c>
      <c r="G1376" s="49" t="n">
        <v>0</v>
      </c>
      <c r="H1376" s="0" t="n">
        <v>0</v>
      </c>
      <c r="J1376" s="49" t="str">
        <f aca="false">"010927"</f>
        <v>010927</v>
      </c>
      <c r="K1376" s="52" t="n">
        <v>46631</v>
      </c>
      <c r="M1376" s="51" t="s">
        <v>3674</v>
      </c>
      <c r="N1376" s="49" t="n">
        <v>888.13</v>
      </c>
      <c r="O1376" s="53" t="n">
        <v>45955.5766319444</v>
      </c>
      <c r="P1376" s="53" t="n">
        <v>45960.4155208333</v>
      </c>
      <c r="Q1376" s="53" t="n">
        <v>45955.5766319444</v>
      </c>
      <c r="R1376" s="0" t="n">
        <v>0</v>
      </c>
      <c r="S1376" s="51" t="s">
        <v>2356</v>
      </c>
      <c r="T1376" s="51" t="s">
        <v>2356</v>
      </c>
      <c r="U1376" s="51" t="s">
        <v>3633</v>
      </c>
      <c r="V1376" s="51" t="s">
        <v>2357</v>
      </c>
      <c r="W1376" s="51" t="s">
        <v>3675</v>
      </c>
      <c r="X1376" s="51" t="s">
        <v>2359</v>
      </c>
    </row>
    <row r="1377" customFormat="false" ht="14.25" hidden="true" customHeight="false" outlineLevel="0" collapsed="false">
      <c r="A1377" s="49" t="s">
        <v>2349</v>
      </c>
      <c r="B1377" s="49" t="s">
        <v>2350</v>
      </c>
      <c r="C1377" s="49" t="s">
        <v>3721</v>
      </c>
      <c r="D1377" s="49" t="s">
        <v>2352</v>
      </c>
      <c r="E1377" s="49" t="s">
        <v>3633</v>
      </c>
      <c r="F1377" s="49" t="s">
        <v>3634</v>
      </c>
      <c r="G1377" s="49" t="n">
        <v>0</v>
      </c>
      <c r="H1377" s="0" t="n">
        <v>0</v>
      </c>
      <c r="J1377" s="49" t="str">
        <f aca="false">"010927"</f>
        <v>010927</v>
      </c>
      <c r="K1377" s="52" t="n">
        <v>46631</v>
      </c>
      <c r="M1377" s="51" t="s">
        <v>3674</v>
      </c>
      <c r="N1377" s="49" t="n">
        <v>857.58</v>
      </c>
      <c r="O1377" s="53" t="n">
        <v>45955.5525462963</v>
      </c>
      <c r="P1377" s="53" t="n">
        <v>45956.4980439815</v>
      </c>
      <c r="Q1377" s="53" t="n">
        <v>45955.5525462963</v>
      </c>
      <c r="R1377" s="0" t="n">
        <v>0</v>
      </c>
      <c r="S1377" s="51" t="s">
        <v>2356</v>
      </c>
      <c r="T1377" s="51" t="s">
        <v>2356</v>
      </c>
      <c r="U1377" s="51" t="s">
        <v>3633</v>
      </c>
      <c r="V1377" s="51" t="s">
        <v>2357</v>
      </c>
      <c r="W1377" s="51" t="s">
        <v>3675</v>
      </c>
      <c r="X1377" s="51" t="s">
        <v>2359</v>
      </c>
    </row>
    <row r="1378" customFormat="false" ht="14.25" hidden="true" customHeight="false" outlineLevel="0" collapsed="false">
      <c r="A1378" s="49" t="s">
        <v>2349</v>
      </c>
      <c r="B1378" s="49" t="s">
        <v>2350</v>
      </c>
      <c r="C1378" s="49" t="s">
        <v>3722</v>
      </c>
      <c r="D1378" s="49" t="s">
        <v>2352</v>
      </c>
      <c r="E1378" s="49" t="s">
        <v>3633</v>
      </c>
      <c r="F1378" s="49" t="s">
        <v>3634</v>
      </c>
      <c r="G1378" s="49" t="n">
        <v>0</v>
      </c>
      <c r="H1378" s="0" t="n">
        <v>0</v>
      </c>
      <c r="J1378" s="49" t="str">
        <f aca="false">"010927"</f>
        <v>010927</v>
      </c>
      <c r="K1378" s="52" t="n">
        <v>46631</v>
      </c>
      <c r="M1378" s="51" t="s">
        <v>3674</v>
      </c>
      <c r="N1378" s="49" t="n">
        <v>908.33</v>
      </c>
      <c r="O1378" s="53" t="n">
        <v>45955.5532175926</v>
      </c>
      <c r="P1378" s="53" t="n">
        <v>45956.4982175926</v>
      </c>
      <c r="Q1378" s="53" t="n">
        <v>45955.5532175926</v>
      </c>
      <c r="R1378" s="0" t="n">
        <v>0</v>
      </c>
      <c r="S1378" s="51" t="s">
        <v>2356</v>
      </c>
      <c r="T1378" s="51" t="s">
        <v>2356</v>
      </c>
      <c r="U1378" s="51" t="s">
        <v>3633</v>
      </c>
      <c r="V1378" s="51" t="s">
        <v>2357</v>
      </c>
      <c r="W1378" s="51" t="s">
        <v>3723</v>
      </c>
      <c r="X1378" s="51" t="s">
        <v>2359</v>
      </c>
    </row>
    <row r="1379" customFormat="false" ht="14.25" hidden="true" customHeight="false" outlineLevel="0" collapsed="false">
      <c r="A1379" s="49" t="s">
        <v>2349</v>
      </c>
      <c r="B1379" s="49" t="s">
        <v>2350</v>
      </c>
      <c r="C1379" s="49" t="s">
        <v>3724</v>
      </c>
      <c r="D1379" s="49" t="s">
        <v>2352</v>
      </c>
      <c r="E1379" s="49" t="s">
        <v>3633</v>
      </c>
      <c r="F1379" s="49" t="s">
        <v>3634</v>
      </c>
      <c r="G1379" s="49" t="n">
        <v>0</v>
      </c>
      <c r="H1379" s="0" t="n">
        <v>0</v>
      </c>
      <c r="J1379" s="49" t="str">
        <f aca="false">"010927"</f>
        <v>010927</v>
      </c>
      <c r="K1379" s="52" t="n">
        <v>46631</v>
      </c>
      <c r="M1379" s="51" t="s">
        <v>3674</v>
      </c>
      <c r="N1379" s="49" t="n">
        <v>329.14</v>
      </c>
      <c r="O1379" s="53" t="n">
        <v>45955.5782060185</v>
      </c>
      <c r="P1379" s="53" t="n">
        <v>45960.4153703704</v>
      </c>
      <c r="Q1379" s="53" t="n">
        <v>45955.5782060185</v>
      </c>
      <c r="R1379" s="0" t="n">
        <v>0</v>
      </c>
      <c r="S1379" s="51" t="s">
        <v>2356</v>
      </c>
      <c r="T1379" s="51" t="s">
        <v>2356</v>
      </c>
      <c r="U1379" s="51" t="s">
        <v>3633</v>
      </c>
      <c r="V1379" s="51" t="s">
        <v>2357</v>
      </c>
      <c r="W1379" s="51" t="s">
        <v>3675</v>
      </c>
      <c r="X1379" s="51" t="s">
        <v>2359</v>
      </c>
    </row>
    <row r="1380" customFormat="false" ht="14.25" hidden="true" customHeight="false" outlineLevel="0" collapsed="false">
      <c r="A1380" s="49" t="s">
        <v>2349</v>
      </c>
      <c r="B1380" s="49" t="s">
        <v>2350</v>
      </c>
      <c r="C1380" s="49" t="s">
        <v>3725</v>
      </c>
      <c r="D1380" s="49" t="s">
        <v>2352</v>
      </c>
      <c r="E1380" s="49" t="s">
        <v>3633</v>
      </c>
      <c r="F1380" s="49" t="s">
        <v>3634</v>
      </c>
      <c r="G1380" s="49" t="n">
        <v>0</v>
      </c>
      <c r="H1380" s="0" t="n">
        <v>0</v>
      </c>
      <c r="J1380" s="49" t="str">
        <f aca="false">"010927"</f>
        <v>010927</v>
      </c>
      <c r="K1380" s="52" t="n">
        <v>46631</v>
      </c>
      <c r="M1380" s="51" t="s">
        <v>3674</v>
      </c>
      <c r="N1380" s="49" t="n">
        <v>889.65</v>
      </c>
      <c r="O1380" s="53" t="n">
        <v>45955.5568518519</v>
      </c>
      <c r="P1380" s="53" t="n">
        <v>45956.4983912037</v>
      </c>
      <c r="Q1380" s="53" t="n">
        <v>45955.5568518519</v>
      </c>
      <c r="R1380" s="0" t="n">
        <v>0</v>
      </c>
      <c r="S1380" s="51" t="s">
        <v>2356</v>
      </c>
      <c r="T1380" s="51" t="s">
        <v>2356</v>
      </c>
      <c r="U1380" s="51" t="s">
        <v>3633</v>
      </c>
      <c r="V1380" s="51" t="s">
        <v>2357</v>
      </c>
      <c r="W1380" s="51" t="s">
        <v>3723</v>
      </c>
      <c r="X1380" s="51" t="s">
        <v>2359</v>
      </c>
    </row>
    <row r="1381" customFormat="false" ht="14.25" hidden="true" customHeight="false" outlineLevel="0" collapsed="false">
      <c r="A1381" s="49" t="s">
        <v>2349</v>
      </c>
      <c r="B1381" s="49" t="s">
        <v>2350</v>
      </c>
      <c r="C1381" s="49" t="s">
        <v>3726</v>
      </c>
      <c r="D1381" s="49" t="s">
        <v>2352</v>
      </c>
      <c r="E1381" s="49" t="s">
        <v>3633</v>
      </c>
      <c r="F1381" s="49" t="s">
        <v>3634</v>
      </c>
      <c r="G1381" s="49" t="n">
        <v>0</v>
      </c>
      <c r="H1381" s="0" t="n">
        <v>0</v>
      </c>
      <c r="J1381" s="49" t="str">
        <f aca="false">"010927"</f>
        <v>010927</v>
      </c>
      <c r="K1381" s="52" t="n">
        <v>46631</v>
      </c>
      <c r="M1381" s="51" t="s">
        <v>3674</v>
      </c>
      <c r="N1381" s="49" t="n">
        <v>896.78</v>
      </c>
      <c r="O1381" s="53" t="n">
        <v>45955.5575115741</v>
      </c>
      <c r="P1381" s="53" t="n">
        <v>45956.4986689815</v>
      </c>
      <c r="Q1381" s="53" t="n">
        <v>45955.5575115741</v>
      </c>
      <c r="R1381" s="0" t="n">
        <v>0</v>
      </c>
      <c r="S1381" s="51" t="s">
        <v>2356</v>
      </c>
      <c r="T1381" s="51" t="s">
        <v>2356</v>
      </c>
      <c r="U1381" s="51" t="s">
        <v>3633</v>
      </c>
      <c r="V1381" s="51" t="s">
        <v>2357</v>
      </c>
      <c r="W1381" s="51" t="s">
        <v>3723</v>
      </c>
      <c r="X1381" s="51" t="s">
        <v>2359</v>
      </c>
    </row>
    <row r="1382" customFormat="false" ht="14.25" hidden="true" customHeight="false" outlineLevel="0" collapsed="false">
      <c r="A1382" s="49" t="s">
        <v>2349</v>
      </c>
      <c r="B1382" s="49" t="s">
        <v>2350</v>
      </c>
      <c r="C1382" s="49" t="s">
        <v>3727</v>
      </c>
      <c r="D1382" s="49" t="s">
        <v>2352</v>
      </c>
      <c r="E1382" s="49" t="s">
        <v>3633</v>
      </c>
      <c r="F1382" s="49" t="s">
        <v>3634</v>
      </c>
      <c r="G1382" s="49" t="n">
        <v>0</v>
      </c>
      <c r="H1382" s="0" t="n">
        <v>0</v>
      </c>
      <c r="J1382" s="49" t="str">
        <f aca="false">"010927"</f>
        <v>010927</v>
      </c>
      <c r="K1382" s="52" t="n">
        <v>46631</v>
      </c>
      <c r="M1382" s="51" t="s">
        <v>3674</v>
      </c>
      <c r="N1382" s="49" t="n">
        <v>894.94</v>
      </c>
      <c r="O1382" s="53" t="n">
        <v>45955.5616319444</v>
      </c>
      <c r="P1382" s="53" t="n">
        <v>45956.4988541667</v>
      </c>
      <c r="Q1382" s="53" t="n">
        <v>45955.5616319444</v>
      </c>
      <c r="R1382" s="0" t="n">
        <v>0</v>
      </c>
      <c r="S1382" s="51" t="s">
        <v>2356</v>
      </c>
      <c r="T1382" s="51" t="s">
        <v>2356</v>
      </c>
      <c r="U1382" s="51" t="s">
        <v>3633</v>
      </c>
      <c r="V1382" s="51" t="s">
        <v>2357</v>
      </c>
      <c r="W1382" s="51" t="s">
        <v>3723</v>
      </c>
      <c r="X1382" s="51" t="s">
        <v>2359</v>
      </c>
    </row>
    <row r="1383" customFormat="false" ht="14.25" hidden="true" customHeight="false" outlineLevel="0" collapsed="false">
      <c r="A1383" s="49" t="s">
        <v>2349</v>
      </c>
      <c r="B1383" s="49" t="s">
        <v>2350</v>
      </c>
      <c r="C1383" s="49" t="s">
        <v>3728</v>
      </c>
      <c r="D1383" s="49" t="s">
        <v>2352</v>
      </c>
      <c r="E1383" s="49" t="s">
        <v>3633</v>
      </c>
      <c r="F1383" s="49" t="s">
        <v>3634</v>
      </c>
      <c r="G1383" s="49" t="n">
        <v>0</v>
      </c>
      <c r="H1383" s="0" t="n">
        <v>0</v>
      </c>
      <c r="J1383" s="49" t="str">
        <f aca="false">"010927"</f>
        <v>010927</v>
      </c>
      <c r="K1383" s="52" t="n">
        <v>46631</v>
      </c>
      <c r="M1383" s="51" t="s">
        <v>3674</v>
      </c>
      <c r="N1383" s="49" t="n">
        <v>887.55</v>
      </c>
      <c r="O1383" s="53" t="n">
        <v>45955.5654861111</v>
      </c>
      <c r="P1383" s="53" t="n">
        <v>45964.6325347222</v>
      </c>
      <c r="Q1383" s="53" t="n">
        <v>45955.5654861111</v>
      </c>
      <c r="R1383" s="0" t="n">
        <v>0</v>
      </c>
      <c r="S1383" s="51" t="s">
        <v>2356</v>
      </c>
      <c r="T1383" s="51" t="s">
        <v>2356</v>
      </c>
      <c r="U1383" s="51" t="s">
        <v>3633</v>
      </c>
      <c r="V1383" s="51" t="s">
        <v>2357</v>
      </c>
      <c r="W1383" s="51" t="s">
        <v>3675</v>
      </c>
      <c r="X1383" s="51" t="s">
        <v>2359</v>
      </c>
    </row>
    <row r="1384" customFormat="false" ht="14.25" hidden="true" customHeight="false" outlineLevel="0" collapsed="false">
      <c r="A1384" s="49" t="s">
        <v>2349</v>
      </c>
      <c r="B1384" s="49" t="s">
        <v>2350</v>
      </c>
      <c r="C1384" s="49" t="s">
        <v>3729</v>
      </c>
      <c r="D1384" s="49" t="s">
        <v>2352</v>
      </c>
      <c r="E1384" s="49" t="s">
        <v>3633</v>
      </c>
      <c r="F1384" s="49" t="s">
        <v>3634</v>
      </c>
      <c r="G1384" s="49" t="n">
        <v>0</v>
      </c>
      <c r="H1384" s="0" t="n">
        <v>0</v>
      </c>
      <c r="J1384" s="49" t="str">
        <f aca="false">"010927"</f>
        <v>010927</v>
      </c>
      <c r="K1384" s="52" t="n">
        <v>46631</v>
      </c>
      <c r="M1384" s="51" t="s">
        <v>3674</v>
      </c>
      <c r="N1384" s="49" t="n">
        <v>881.44</v>
      </c>
      <c r="O1384" s="53" t="n">
        <v>45955.5684259259</v>
      </c>
      <c r="P1384" s="53" t="n">
        <v>45965.3557638889</v>
      </c>
      <c r="Q1384" s="53" t="n">
        <v>45955.5684259259</v>
      </c>
      <c r="R1384" s="0" t="n">
        <v>0</v>
      </c>
      <c r="S1384" s="51" t="s">
        <v>2356</v>
      </c>
      <c r="T1384" s="51" t="s">
        <v>2356</v>
      </c>
      <c r="U1384" s="51" t="s">
        <v>3633</v>
      </c>
      <c r="V1384" s="51" t="s">
        <v>2357</v>
      </c>
      <c r="W1384" s="51" t="s">
        <v>3675</v>
      </c>
      <c r="X1384" s="51" t="s">
        <v>2359</v>
      </c>
    </row>
    <row r="1385" customFormat="false" ht="14.25" hidden="true" customHeight="false" outlineLevel="0" collapsed="false">
      <c r="A1385" s="49" t="s">
        <v>2349</v>
      </c>
      <c r="B1385" s="49" t="s">
        <v>2350</v>
      </c>
      <c r="C1385" s="49" t="s">
        <v>3730</v>
      </c>
      <c r="D1385" s="49" t="s">
        <v>2352</v>
      </c>
      <c r="E1385" s="49" t="s">
        <v>3633</v>
      </c>
      <c r="F1385" s="49" t="s">
        <v>3634</v>
      </c>
      <c r="G1385" s="49" t="n">
        <v>0</v>
      </c>
      <c r="H1385" s="0" t="n">
        <v>0</v>
      </c>
      <c r="J1385" s="49" t="str">
        <f aca="false">"010927"</f>
        <v>010927</v>
      </c>
      <c r="K1385" s="52" t="n">
        <v>46631</v>
      </c>
      <c r="M1385" s="51" t="s">
        <v>3674</v>
      </c>
      <c r="N1385" s="49" t="n">
        <v>838.25</v>
      </c>
      <c r="O1385" s="53" t="n">
        <v>45955.5689467593</v>
      </c>
      <c r="P1385" s="53" t="n">
        <v>45965.3558796296</v>
      </c>
      <c r="Q1385" s="53" t="n">
        <v>45955.5689467593</v>
      </c>
      <c r="R1385" s="0" t="n">
        <v>0</v>
      </c>
      <c r="S1385" s="51" t="s">
        <v>2356</v>
      </c>
      <c r="T1385" s="51" t="s">
        <v>2356</v>
      </c>
      <c r="U1385" s="51" t="s">
        <v>3633</v>
      </c>
      <c r="V1385" s="51" t="s">
        <v>2357</v>
      </c>
      <c r="W1385" s="51" t="s">
        <v>3723</v>
      </c>
      <c r="X1385" s="51" t="s">
        <v>2359</v>
      </c>
    </row>
    <row r="1386" customFormat="false" ht="14.25" hidden="true" customHeight="false" outlineLevel="0" collapsed="false">
      <c r="A1386" s="49" t="s">
        <v>2349</v>
      </c>
      <c r="B1386" s="49" t="s">
        <v>2350</v>
      </c>
      <c r="C1386" s="49" t="s">
        <v>3731</v>
      </c>
      <c r="D1386" s="49" t="s">
        <v>2352</v>
      </c>
      <c r="E1386" s="49" t="s">
        <v>3633</v>
      </c>
      <c r="F1386" s="49" t="s">
        <v>3634</v>
      </c>
      <c r="G1386" s="49" t="n">
        <v>0</v>
      </c>
      <c r="H1386" s="0" t="n">
        <v>0</v>
      </c>
      <c r="J1386" s="49" t="str">
        <f aca="false">"010927"</f>
        <v>010927</v>
      </c>
      <c r="K1386" s="52" t="n">
        <v>46631</v>
      </c>
      <c r="M1386" s="51" t="s">
        <v>3674</v>
      </c>
      <c r="N1386" s="49" t="n">
        <v>819.4</v>
      </c>
      <c r="O1386" s="53" t="n">
        <v>45955.5697685185</v>
      </c>
      <c r="P1386" s="53" t="n">
        <v>45965.3559953704</v>
      </c>
      <c r="Q1386" s="53" t="n">
        <v>45955.5697685185</v>
      </c>
      <c r="R1386" s="0" t="n">
        <v>0</v>
      </c>
      <c r="S1386" s="51" t="s">
        <v>2356</v>
      </c>
      <c r="T1386" s="51" t="s">
        <v>2356</v>
      </c>
      <c r="U1386" s="51" t="s">
        <v>3633</v>
      </c>
      <c r="V1386" s="51" t="s">
        <v>2357</v>
      </c>
      <c r="W1386" s="51" t="s">
        <v>3675</v>
      </c>
      <c r="X1386" s="51" t="s">
        <v>2359</v>
      </c>
    </row>
    <row r="1387" customFormat="false" ht="14.25" hidden="true" customHeight="false" outlineLevel="0" collapsed="false">
      <c r="A1387" s="49" t="s">
        <v>2349</v>
      </c>
      <c r="B1387" s="49" t="s">
        <v>2350</v>
      </c>
      <c r="C1387" s="49" t="s">
        <v>3732</v>
      </c>
      <c r="D1387" s="49" t="s">
        <v>2352</v>
      </c>
      <c r="E1387" s="49" t="s">
        <v>3633</v>
      </c>
      <c r="F1387" s="49" t="s">
        <v>3634</v>
      </c>
      <c r="G1387" s="49" t="n">
        <v>0</v>
      </c>
      <c r="H1387" s="0" t="n">
        <v>0</v>
      </c>
      <c r="J1387" s="49" t="str">
        <f aca="false">"010927"</f>
        <v>010927</v>
      </c>
      <c r="K1387" s="52" t="n">
        <v>46631</v>
      </c>
      <c r="M1387" s="51" t="s">
        <v>3674</v>
      </c>
      <c r="N1387" s="49" t="n">
        <v>874.65</v>
      </c>
      <c r="O1387" s="53" t="n">
        <v>45955.574212963</v>
      </c>
      <c r="P1387" s="53" t="n">
        <v>45960.415775463</v>
      </c>
      <c r="Q1387" s="53" t="n">
        <v>45955.574212963</v>
      </c>
      <c r="R1387" s="0" t="n">
        <v>0</v>
      </c>
      <c r="S1387" s="51" t="s">
        <v>2356</v>
      </c>
      <c r="T1387" s="51" t="s">
        <v>2356</v>
      </c>
      <c r="U1387" s="51" t="s">
        <v>3633</v>
      </c>
      <c r="V1387" s="51" t="s">
        <v>2357</v>
      </c>
      <c r="W1387" s="51" t="s">
        <v>3675</v>
      </c>
      <c r="X1387" s="51" t="s">
        <v>2359</v>
      </c>
    </row>
    <row r="1388" customFormat="false" ht="14.25" hidden="false" customHeight="false" outlineLevel="0" collapsed="false">
      <c r="I1388" s="51"/>
      <c r="K1388" s="52"/>
      <c r="O1388" s="53"/>
      <c r="P1388" s="53"/>
      <c r="Q1388" s="53"/>
      <c r="S1388" s="51"/>
      <c r="T1388" s="51"/>
      <c r="U1388" s="51"/>
      <c r="V1388" s="51"/>
      <c r="X1388" s="51"/>
    </row>
    <row r="1389" customFormat="false" ht="14.25" hidden="false" customHeight="false" outlineLevel="0" collapsed="false">
      <c r="I1389" s="51"/>
      <c r="K1389" s="52"/>
      <c r="O1389" s="53"/>
      <c r="P1389" s="53"/>
      <c r="Q1389" s="53"/>
      <c r="S1389" s="51"/>
      <c r="T1389" s="51"/>
      <c r="U1389" s="51"/>
      <c r="V1389" s="51"/>
      <c r="X1389" s="51"/>
    </row>
    <row r="1390" customFormat="false" ht="14.25" hidden="true" customHeight="false" outlineLevel="0" collapsed="false">
      <c r="A1390" s="49" t="s">
        <v>2349</v>
      </c>
      <c r="B1390" s="49" t="s">
        <v>2350</v>
      </c>
      <c r="C1390" s="49" t="s">
        <v>3733</v>
      </c>
      <c r="D1390" s="49" t="s">
        <v>2352</v>
      </c>
      <c r="E1390" s="49" t="s">
        <v>3633</v>
      </c>
      <c r="F1390" s="49" t="s">
        <v>3634</v>
      </c>
      <c r="G1390" s="49" t="n">
        <v>0</v>
      </c>
      <c r="H1390" s="0" t="n">
        <v>0</v>
      </c>
      <c r="J1390" s="49" t="str">
        <f aca="false">"030927"</f>
        <v>030927</v>
      </c>
      <c r="K1390" s="52" t="n">
        <v>46633</v>
      </c>
      <c r="M1390" s="51" t="s">
        <v>3648</v>
      </c>
      <c r="N1390" s="49" t="n">
        <v>878.14</v>
      </c>
      <c r="O1390" s="53" t="n">
        <v>45986.5783217593</v>
      </c>
      <c r="P1390" s="53" t="n">
        <v>46015.4865972222</v>
      </c>
      <c r="Q1390" s="53" t="n">
        <v>45986.5783217593</v>
      </c>
      <c r="R1390" s="0" t="n">
        <v>0</v>
      </c>
      <c r="S1390" s="51" t="s">
        <v>2356</v>
      </c>
      <c r="T1390" s="51" t="s">
        <v>2356</v>
      </c>
      <c r="U1390" s="51" t="s">
        <v>3633</v>
      </c>
      <c r="V1390" s="51" t="s">
        <v>2357</v>
      </c>
      <c r="W1390" s="51" t="s">
        <v>3734</v>
      </c>
      <c r="X1390" s="51" t="s">
        <v>2359</v>
      </c>
    </row>
    <row r="1391" customFormat="false" ht="14.25" hidden="false" customHeight="false" outlineLevel="0" collapsed="false">
      <c r="I1391" s="51"/>
      <c r="K1391" s="52"/>
      <c r="O1391" s="53"/>
      <c r="P1391" s="53"/>
      <c r="Q1391" s="53"/>
      <c r="S1391" s="51"/>
      <c r="T1391" s="51"/>
      <c r="U1391" s="51"/>
      <c r="V1391" s="51"/>
      <c r="X1391" s="51"/>
    </row>
    <row r="1392" customFormat="false" ht="14.25" hidden="false" customHeight="false" outlineLevel="0" collapsed="false">
      <c r="I1392" s="51"/>
      <c r="K1392" s="52"/>
      <c r="O1392" s="53"/>
      <c r="P1392" s="53"/>
      <c r="Q1392" s="53"/>
      <c r="S1392" s="51"/>
      <c r="T1392" s="51"/>
      <c r="U1392" s="51"/>
      <c r="V1392" s="51"/>
      <c r="X1392" s="51"/>
    </row>
    <row r="1393" customFormat="false" ht="14.25" hidden="true" customHeight="false" outlineLevel="0" collapsed="false">
      <c r="A1393" s="49" t="s">
        <v>2349</v>
      </c>
      <c r="B1393" s="49" t="s">
        <v>2350</v>
      </c>
      <c r="C1393" s="49" t="s">
        <v>3735</v>
      </c>
      <c r="D1393" s="49" t="s">
        <v>2352</v>
      </c>
      <c r="E1393" s="49" t="s">
        <v>3633</v>
      </c>
      <c r="F1393" s="49" t="s">
        <v>3634</v>
      </c>
      <c r="G1393" s="49" t="n">
        <v>0</v>
      </c>
      <c r="H1393" s="0" t="n">
        <v>0</v>
      </c>
      <c r="J1393" s="49" t="str">
        <f aca="false">"080927"</f>
        <v>080927</v>
      </c>
      <c r="K1393" s="52" t="n">
        <v>46638</v>
      </c>
      <c r="M1393" s="51" t="s">
        <v>3648</v>
      </c>
      <c r="N1393" s="49" t="n">
        <v>823.68</v>
      </c>
      <c r="O1393" s="53" t="n">
        <v>45986.5787847222</v>
      </c>
      <c r="P1393" s="53" t="n">
        <v>45997.3736574074</v>
      </c>
      <c r="Q1393" s="53" t="n">
        <v>45986.5787847222</v>
      </c>
      <c r="R1393" s="0" t="n">
        <v>0</v>
      </c>
      <c r="S1393" s="51" t="s">
        <v>2356</v>
      </c>
      <c r="T1393" s="51" t="s">
        <v>2356</v>
      </c>
      <c r="U1393" s="51" t="s">
        <v>3633</v>
      </c>
      <c r="V1393" s="51" t="s">
        <v>2357</v>
      </c>
      <c r="W1393" s="51" t="s">
        <v>3670</v>
      </c>
      <c r="X1393" s="51" t="s">
        <v>2359</v>
      </c>
    </row>
    <row r="1394" customFormat="false" ht="14.25" hidden="true" customHeight="false" outlineLevel="0" collapsed="false">
      <c r="A1394" s="49" t="s">
        <v>2349</v>
      </c>
      <c r="B1394" s="49" t="s">
        <v>2350</v>
      </c>
      <c r="C1394" s="49" t="s">
        <v>3736</v>
      </c>
      <c r="D1394" s="49" t="s">
        <v>2397</v>
      </c>
      <c r="E1394" s="49" t="str">
        <f aca="false">"8032754230244"</f>
        <v>8032754230244</v>
      </c>
      <c r="F1394" s="49" t="s">
        <v>3737</v>
      </c>
      <c r="G1394" s="49" t="n">
        <v>0</v>
      </c>
      <c r="H1394" s="0" t="n">
        <v>0</v>
      </c>
      <c r="J1394" s="49" t="s">
        <v>3738</v>
      </c>
      <c r="K1394" s="52" t="n">
        <v>46639</v>
      </c>
      <c r="M1394" s="51" t="s">
        <v>3739</v>
      </c>
      <c r="N1394" s="49" t="n">
        <v>7</v>
      </c>
      <c r="O1394" s="53" t="n">
        <v>45951.693912037</v>
      </c>
      <c r="P1394" s="53" t="n">
        <v>45955.4682407407</v>
      </c>
      <c r="Q1394" s="53" t="n">
        <v>45951.693912037</v>
      </c>
      <c r="R1394" s="0" t="n">
        <v>0</v>
      </c>
      <c r="S1394" s="51" t="s">
        <v>2401</v>
      </c>
      <c r="T1394" s="51" t="s">
        <v>2401</v>
      </c>
      <c r="U1394" s="0" t="str">
        <f aca="false">"8032754230244"</f>
        <v>8032754230244</v>
      </c>
      <c r="V1394" s="51" t="s">
        <v>3740</v>
      </c>
      <c r="X1394" s="51" t="s">
        <v>2359</v>
      </c>
    </row>
    <row r="1395" customFormat="false" ht="14.25" hidden="false" customHeight="false" outlineLevel="0" collapsed="false">
      <c r="I1395" s="51"/>
      <c r="K1395" s="52"/>
      <c r="O1395" s="53"/>
      <c r="P1395" s="53"/>
      <c r="Q1395" s="53"/>
      <c r="S1395" s="51"/>
      <c r="T1395" s="51"/>
      <c r="V1395" s="51"/>
      <c r="W1395" s="51"/>
      <c r="X1395" s="51"/>
    </row>
    <row r="1396" customFormat="false" ht="14.25" hidden="true" customHeight="false" outlineLevel="0" collapsed="false">
      <c r="A1396" s="49" t="s">
        <v>2349</v>
      </c>
      <c r="B1396" s="49" t="s">
        <v>2350</v>
      </c>
      <c r="C1396" s="49" t="s">
        <v>3741</v>
      </c>
      <c r="D1396" s="49" t="s">
        <v>2352</v>
      </c>
      <c r="E1396" s="49" t="s">
        <v>3643</v>
      </c>
      <c r="F1396" s="49" t="s">
        <v>3644</v>
      </c>
      <c r="G1396" s="49" t="n">
        <v>0</v>
      </c>
      <c r="H1396" s="0" t="n">
        <v>0</v>
      </c>
      <c r="J1396" s="49" t="str">
        <f aca="false">"150927"</f>
        <v>150927</v>
      </c>
      <c r="K1396" s="52" t="n">
        <v>46645</v>
      </c>
      <c r="M1396" s="51" t="s">
        <v>3663</v>
      </c>
      <c r="N1396" s="49" t="n">
        <v>684.74</v>
      </c>
      <c r="O1396" s="53" t="n">
        <v>46013.486400463</v>
      </c>
      <c r="P1396" s="53" t="n">
        <v>46019.4223842593</v>
      </c>
      <c r="Q1396" s="53" t="n">
        <v>46013.486400463</v>
      </c>
      <c r="R1396" s="0" t="n">
        <v>0</v>
      </c>
      <c r="S1396" s="51" t="s">
        <v>2356</v>
      </c>
      <c r="T1396" s="51" t="s">
        <v>2356</v>
      </c>
      <c r="U1396" s="51" t="s">
        <v>3643</v>
      </c>
      <c r="V1396" s="51" t="s">
        <v>2357</v>
      </c>
      <c r="W1396" s="51" t="s">
        <v>3742</v>
      </c>
      <c r="X1396" s="51" t="s">
        <v>2359</v>
      </c>
    </row>
    <row r="1397" customFormat="false" ht="14.25" hidden="false" customHeight="false" outlineLevel="0" collapsed="false">
      <c r="I1397" s="51"/>
      <c r="K1397" s="52"/>
      <c r="O1397" s="53"/>
      <c r="P1397" s="53"/>
      <c r="Q1397" s="53"/>
      <c r="S1397" s="51"/>
      <c r="T1397" s="51"/>
      <c r="V1397" s="51"/>
      <c r="W1397" s="51"/>
      <c r="X1397" s="51"/>
    </row>
    <row r="1398" customFormat="false" ht="14.25" hidden="true" customHeight="false" outlineLevel="0" collapsed="false">
      <c r="A1398" s="49" t="s">
        <v>2349</v>
      </c>
      <c r="B1398" s="49" t="s">
        <v>2350</v>
      </c>
      <c r="C1398" s="49" t="s">
        <v>3743</v>
      </c>
      <c r="D1398" s="49" t="s">
        <v>2352</v>
      </c>
      <c r="E1398" s="49" t="s">
        <v>3633</v>
      </c>
      <c r="F1398" s="49" t="s">
        <v>3634</v>
      </c>
      <c r="G1398" s="49" t="n">
        <v>0</v>
      </c>
      <c r="H1398" s="0" t="n">
        <v>0</v>
      </c>
      <c r="J1398" s="49" t="str">
        <f aca="false">"160927"</f>
        <v>160927</v>
      </c>
      <c r="K1398" s="52" t="n">
        <v>46646</v>
      </c>
      <c r="M1398" s="51" t="s">
        <v>3648</v>
      </c>
      <c r="N1398" s="49" t="n">
        <v>875.45</v>
      </c>
      <c r="O1398" s="53" t="n">
        <v>45986.5727314815</v>
      </c>
      <c r="P1398" s="53" t="n">
        <v>46020.3797337963</v>
      </c>
      <c r="Q1398" s="53" t="n">
        <v>45986.5727314815</v>
      </c>
      <c r="R1398" s="0" t="n">
        <v>0</v>
      </c>
      <c r="S1398" s="51" t="s">
        <v>2356</v>
      </c>
      <c r="T1398" s="51" t="s">
        <v>2356</v>
      </c>
      <c r="U1398" s="51" t="s">
        <v>3633</v>
      </c>
      <c r="V1398" s="51" t="s">
        <v>2357</v>
      </c>
      <c r="W1398" s="51" t="s">
        <v>3677</v>
      </c>
      <c r="X1398" s="51" t="s">
        <v>2359</v>
      </c>
    </row>
    <row r="1399" customFormat="false" ht="14.25" hidden="true" customHeight="false" outlineLevel="0" collapsed="false">
      <c r="A1399" s="49" t="s">
        <v>2349</v>
      </c>
      <c r="B1399" s="49" t="s">
        <v>2350</v>
      </c>
      <c r="C1399" s="49" t="s">
        <v>3744</v>
      </c>
      <c r="D1399" s="49" t="s">
        <v>2352</v>
      </c>
      <c r="E1399" s="49" t="s">
        <v>3643</v>
      </c>
      <c r="F1399" s="49" t="s">
        <v>3644</v>
      </c>
      <c r="G1399" s="49" t="n">
        <v>0</v>
      </c>
      <c r="H1399" s="0" t="n">
        <v>0</v>
      </c>
      <c r="J1399" s="49" t="str">
        <f aca="false">"160927"</f>
        <v>160927</v>
      </c>
      <c r="K1399" s="52" t="n">
        <v>46646</v>
      </c>
      <c r="M1399" s="51" t="s">
        <v>3663</v>
      </c>
      <c r="N1399" s="49" t="n">
        <v>670.67</v>
      </c>
      <c r="O1399" s="53" t="n">
        <v>46013.4868402778</v>
      </c>
      <c r="P1399" s="53" t="n">
        <v>46019.4227083333</v>
      </c>
      <c r="Q1399" s="53" t="n">
        <v>46013.4868402778</v>
      </c>
      <c r="R1399" s="0" t="n">
        <v>0</v>
      </c>
      <c r="S1399" s="51" t="s">
        <v>2356</v>
      </c>
      <c r="T1399" s="51" t="s">
        <v>2356</v>
      </c>
      <c r="U1399" s="51" t="s">
        <v>3643</v>
      </c>
      <c r="V1399" s="51" t="s">
        <v>2357</v>
      </c>
      <c r="W1399" s="51" t="s">
        <v>3745</v>
      </c>
      <c r="X1399" s="51" t="s">
        <v>2359</v>
      </c>
    </row>
    <row r="1400" customFormat="false" ht="14.25" hidden="true" customHeight="false" outlineLevel="0" collapsed="false">
      <c r="A1400" s="49" t="s">
        <v>2349</v>
      </c>
      <c r="B1400" s="49" t="s">
        <v>2350</v>
      </c>
      <c r="C1400" s="49" t="s">
        <v>3746</v>
      </c>
      <c r="D1400" s="49" t="s">
        <v>2352</v>
      </c>
      <c r="E1400" s="49" t="s">
        <v>3643</v>
      </c>
      <c r="F1400" s="49" t="s">
        <v>3644</v>
      </c>
      <c r="G1400" s="49" t="n">
        <v>0</v>
      </c>
      <c r="H1400" s="0" t="n">
        <v>0</v>
      </c>
      <c r="J1400" s="49" t="str">
        <f aca="false">"160927"</f>
        <v>160927</v>
      </c>
      <c r="K1400" s="52" t="n">
        <v>46646</v>
      </c>
      <c r="M1400" s="51" t="s">
        <v>3663</v>
      </c>
      <c r="N1400" s="49" t="n">
        <v>676.88</v>
      </c>
      <c r="O1400" s="53" t="n">
        <v>46013.4872453704</v>
      </c>
      <c r="P1400" s="53" t="n">
        <v>46019.4226157407</v>
      </c>
      <c r="Q1400" s="53" t="n">
        <v>46013.4872453704</v>
      </c>
      <c r="R1400" s="0" t="n">
        <v>0</v>
      </c>
      <c r="S1400" s="51" t="s">
        <v>2356</v>
      </c>
      <c r="T1400" s="51" t="s">
        <v>2356</v>
      </c>
      <c r="U1400" s="51" t="s">
        <v>3643</v>
      </c>
      <c r="V1400" s="51" t="s">
        <v>2357</v>
      </c>
      <c r="W1400" s="51" t="s">
        <v>3747</v>
      </c>
      <c r="X1400" s="51" t="s">
        <v>2359</v>
      </c>
    </row>
    <row r="1401" customFormat="false" ht="14.25" hidden="false" customHeight="false" outlineLevel="0" collapsed="false">
      <c r="I1401" s="51"/>
      <c r="K1401" s="52"/>
      <c r="O1401" s="53"/>
      <c r="P1401" s="53"/>
      <c r="Q1401" s="53"/>
      <c r="S1401" s="51"/>
      <c r="T1401" s="51"/>
      <c r="U1401" s="51"/>
      <c r="V1401" s="51"/>
      <c r="X1401" s="51"/>
    </row>
    <row r="1402" customFormat="false" ht="14.25" hidden="true" customHeight="false" outlineLevel="0" collapsed="false">
      <c r="A1402" s="49" t="s">
        <v>2349</v>
      </c>
      <c r="B1402" s="49" t="s">
        <v>2350</v>
      </c>
      <c r="C1402" s="49" t="s">
        <v>3748</v>
      </c>
      <c r="D1402" s="49" t="s">
        <v>2352</v>
      </c>
      <c r="E1402" s="49" t="s">
        <v>3633</v>
      </c>
      <c r="F1402" s="49" t="s">
        <v>3634</v>
      </c>
      <c r="G1402" s="49" t="n">
        <v>0</v>
      </c>
      <c r="H1402" s="0" t="n">
        <v>0</v>
      </c>
      <c r="J1402" s="49" t="str">
        <f aca="false">"160927"</f>
        <v>160927</v>
      </c>
      <c r="K1402" s="52" t="n">
        <v>46646</v>
      </c>
      <c r="M1402" s="51" t="s">
        <v>3648</v>
      </c>
      <c r="N1402" s="49" t="n">
        <v>879.1</v>
      </c>
      <c r="O1402" s="53" t="n">
        <v>45986.5836805556</v>
      </c>
      <c r="P1402" s="53" t="n">
        <v>46015.4867361111</v>
      </c>
      <c r="Q1402" s="53" t="n">
        <v>45986.5836805556</v>
      </c>
      <c r="R1402" s="0" t="n">
        <v>0</v>
      </c>
      <c r="S1402" s="51" t="s">
        <v>2356</v>
      </c>
      <c r="T1402" s="51" t="s">
        <v>2356</v>
      </c>
      <c r="U1402" s="51" t="s">
        <v>3633</v>
      </c>
      <c r="V1402" s="51" t="s">
        <v>2357</v>
      </c>
      <c r="W1402" s="51" t="s">
        <v>3749</v>
      </c>
      <c r="X1402" s="51" t="s">
        <v>2359</v>
      </c>
    </row>
    <row r="1403" customFormat="false" ht="14.25" hidden="false" customHeight="false" outlineLevel="0" collapsed="false">
      <c r="I1403" s="51"/>
      <c r="K1403" s="52"/>
      <c r="O1403" s="53"/>
      <c r="P1403" s="53"/>
      <c r="Q1403" s="53"/>
      <c r="S1403" s="51"/>
      <c r="T1403" s="51"/>
      <c r="U1403" s="51"/>
      <c r="V1403" s="51"/>
      <c r="X1403" s="51"/>
    </row>
    <row r="1404" customFormat="false" ht="14.25" hidden="false" customHeight="false" outlineLevel="0" collapsed="false">
      <c r="I1404" s="51"/>
      <c r="K1404" s="52"/>
      <c r="O1404" s="53"/>
      <c r="P1404" s="53"/>
      <c r="Q1404" s="53"/>
      <c r="S1404" s="51"/>
      <c r="T1404" s="51"/>
      <c r="V1404" s="51"/>
      <c r="W1404" s="51"/>
      <c r="X1404" s="51"/>
    </row>
    <row r="1405" customFormat="false" ht="14.25" hidden="true" customHeight="false" outlineLevel="0" collapsed="false">
      <c r="A1405" s="49" t="s">
        <v>2349</v>
      </c>
      <c r="B1405" s="49" t="s">
        <v>2350</v>
      </c>
      <c r="C1405" s="49" t="s">
        <v>3750</v>
      </c>
      <c r="D1405" s="49" t="s">
        <v>2352</v>
      </c>
      <c r="E1405" s="49" t="s">
        <v>3751</v>
      </c>
      <c r="F1405" s="49" t="s">
        <v>3752</v>
      </c>
      <c r="G1405" s="49" t="n">
        <v>0</v>
      </c>
      <c r="H1405" s="0" t="n">
        <v>0</v>
      </c>
      <c r="J1405" s="49" t="str">
        <f aca="false">"180927"</f>
        <v>180927</v>
      </c>
      <c r="K1405" s="52" t="n">
        <v>46648</v>
      </c>
      <c r="M1405" s="51" t="s">
        <v>3753</v>
      </c>
      <c r="N1405" s="49" t="n">
        <v>24</v>
      </c>
      <c r="O1405" s="53" t="n">
        <v>46023.5046875</v>
      </c>
      <c r="P1405" s="53" t="n">
        <v>46023.5578703704</v>
      </c>
      <c r="Q1405" s="53" t="n">
        <v>46023.5046875</v>
      </c>
      <c r="R1405" s="0" t="n">
        <v>0</v>
      </c>
      <c r="S1405" s="51" t="s">
        <v>2356</v>
      </c>
      <c r="T1405" s="51" t="s">
        <v>2356</v>
      </c>
      <c r="U1405" s="51" t="s">
        <v>3751</v>
      </c>
      <c r="V1405" s="51" t="s">
        <v>2357</v>
      </c>
      <c r="W1405" s="51" t="s">
        <v>3754</v>
      </c>
      <c r="X1405" s="51" t="s">
        <v>2359</v>
      </c>
    </row>
    <row r="1406" customFormat="false" ht="14.25" hidden="false" customHeight="false" outlineLevel="0" collapsed="false">
      <c r="I1406" s="51"/>
      <c r="K1406" s="52"/>
      <c r="O1406" s="53"/>
      <c r="P1406" s="53"/>
      <c r="Q1406" s="53"/>
      <c r="S1406" s="51"/>
      <c r="T1406" s="51"/>
      <c r="V1406" s="51"/>
      <c r="W1406" s="51"/>
      <c r="X1406" s="51"/>
    </row>
    <row r="1407" customFormat="false" ht="14.25" hidden="false" customHeight="false" outlineLevel="0" collapsed="false">
      <c r="I1407" s="51"/>
      <c r="K1407" s="52"/>
      <c r="O1407" s="53"/>
      <c r="P1407" s="53"/>
      <c r="Q1407" s="53"/>
      <c r="S1407" s="51"/>
      <c r="T1407" s="51"/>
      <c r="V1407" s="51"/>
      <c r="W1407" s="51"/>
      <c r="X1407" s="51"/>
    </row>
    <row r="1408" customFormat="false" ht="14.25" hidden="false" customHeight="false" outlineLevel="0" collapsed="false">
      <c r="I1408" s="51"/>
      <c r="K1408" s="52"/>
      <c r="O1408" s="53"/>
      <c r="P1408" s="53"/>
      <c r="Q1408" s="53"/>
      <c r="S1408" s="51"/>
      <c r="T1408" s="51"/>
      <c r="U1408" s="51"/>
      <c r="V1408" s="51"/>
      <c r="X1408" s="51"/>
    </row>
    <row r="1409" customFormat="false" ht="14.25" hidden="false" customHeight="false" outlineLevel="0" collapsed="false">
      <c r="I1409" s="51"/>
      <c r="K1409" s="52"/>
      <c r="O1409" s="53"/>
      <c r="P1409" s="53"/>
      <c r="Q1409" s="53"/>
      <c r="S1409" s="51"/>
      <c r="T1409" s="51"/>
      <c r="U1409" s="51"/>
      <c r="V1409" s="51"/>
      <c r="X1409" s="51"/>
    </row>
    <row r="1410" customFormat="false" ht="14.25" hidden="true" customHeight="false" outlineLevel="0" collapsed="false">
      <c r="A1410" s="49" t="s">
        <v>2349</v>
      </c>
      <c r="B1410" s="49" t="s">
        <v>2350</v>
      </c>
      <c r="C1410" s="49" t="s">
        <v>3755</v>
      </c>
      <c r="D1410" s="49" t="s">
        <v>2352</v>
      </c>
      <c r="E1410" s="49" t="s">
        <v>3638</v>
      </c>
      <c r="F1410" s="49" t="s">
        <v>3639</v>
      </c>
      <c r="G1410" s="49" t="n">
        <v>0</v>
      </c>
      <c r="H1410" s="0" t="n">
        <v>0</v>
      </c>
      <c r="J1410" s="49" t="str">
        <f aca="false">"260927"</f>
        <v>260927</v>
      </c>
      <c r="K1410" s="52" t="n">
        <v>46656</v>
      </c>
      <c r="M1410" s="51" t="s">
        <v>3663</v>
      </c>
      <c r="N1410" s="49" t="n">
        <v>711.69</v>
      </c>
      <c r="O1410" s="53" t="n">
        <v>46013.4832523148</v>
      </c>
      <c r="P1410" s="53" t="n">
        <v>46015.4864814815</v>
      </c>
      <c r="Q1410" s="53" t="n">
        <v>46013.4832523148</v>
      </c>
      <c r="R1410" s="0" t="n">
        <v>0</v>
      </c>
      <c r="S1410" s="51" t="s">
        <v>2356</v>
      </c>
      <c r="T1410" s="51" t="s">
        <v>2356</v>
      </c>
      <c r="U1410" s="51" t="s">
        <v>3638</v>
      </c>
      <c r="V1410" s="51" t="s">
        <v>2357</v>
      </c>
      <c r="W1410" s="51" t="s">
        <v>3756</v>
      </c>
      <c r="X1410" s="51" t="s">
        <v>2359</v>
      </c>
    </row>
    <row r="1411" customFormat="false" ht="14.25" hidden="true" customHeight="false" outlineLevel="0" collapsed="false">
      <c r="A1411" s="49" t="s">
        <v>2349</v>
      </c>
      <c r="B1411" s="49" t="s">
        <v>2350</v>
      </c>
      <c r="C1411" s="49" t="s">
        <v>3757</v>
      </c>
      <c r="D1411" s="49" t="s">
        <v>2352</v>
      </c>
      <c r="E1411" s="49" t="s">
        <v>3638</v>
      </c>
      <c r="F1411" s="49" t="s">
        <v>3639</v>
      </c>
      <c r="G1411" s="49" t="n">
        <v>0</v>
      </c>
      <c r="H1411" s="0" t="n">
        <v>0</v>
      </c>
      <c r="J1411" s="49" t="str">
        <f aca="false">"260927"</f>
        <v>260927</v>
      </c>
      <c r="K1411" s="52" t="n">
        <v>46656</v>
      </c>
      <c r="M1411" s="51" t="s">
        <v>3663</v>
      </c>
      <c r="N1411" s="49" t="n">
        <v>696.27</v>
      </c>
      <c r="O1411" s="53" t="n">
        <v>46013.4772453704</v>
      </c>
      <c r="P1411" s="53" t="n">
        <v>46019.4234953704</v>
      </c>
      <c r="Q1411" s="53" t="n">
        <v>46013.4772453704</v>
      </c>
      <c r="R1411" s="0" t="n">
        <v>0</v>
      </c>
      <c r="S1411" s="51" t="s">
        <v>2356</v>
      </c>
      <c r="T1411" s="51" t="s">
        <v>2356</v>
      </c>
      <c r="U1411" s="51" t="s">
        <v>3638</v>
      </c>
      <c r="V1411" s="51" t="s">
        <v>2357</v>
      </c>
      <c r="W1411" s="51" t="s">
        <v>3758</v>
      </c>
      <c r="X1411" s="51" t="s">
        <v>2359</v>
      </c>
    </row>
    <row r="1412" customFormat="false" ht="14.25" hidden="true" customHeight="false" outlineLevel="0" collapsed="false">
      <c r="A1412" s="49" t="s">
        <v>2349</v>
      </c>
      <c r="B1412" s="49" t="s">
        <v>2350</v>
      </c>
      <c r="C1412" s="49" t="s">
        <v>3759</v>
      </c>
      <c r="D1412" s="49" t="s">
        <v>2352</v>
      </c>
      <c r="E1412" s="49" t="s">
        <v>3638</v>
      </c>
      <c r="F1412" s="49" t="s">
        <v>3639</v>
      </c>
      <c r="G1412" s="49" t="n">
        <v>0</v>
      </c>
      <c r="H1412" s="0" t="n">
        <v>0</v>
      </c>
      <c r="J1412" s="49" t="str">
        <f aca="false">"270927"</f>
        <v>270927</v>
      </c>
      <c r="K1412" s="52" t="n">
        <v>46657</v>
      </c>
      <c r="M1412" s="51" t="s">
        <v>3663</v>
      </c>
      <c r="N1412" s="49" t="n">
        <v>704.01</v>
      </c>
      <c r="O1412" s="53" t="n">
        <v>46013.4776736111</v>
      </c>
      <c r="P1412" s="53" t="n">
        <v>46019.4233680556</v>
      </c>
      <c r="Q1412" s="53" t="n">
        <v>46013.4776736111</v>
      </c>
      <c r="R1412" s="0" t="n">
        <v>0</v>
      </c>
      <c r="S1412" s="51" t="s">
        <v>2356</v>
      </c>
      <c r="T1412" s="51" t="s">
        <v>2356</v>
      </c>
      <c r="U1412" s="51" t="s">
        <v>3638</v>
      </c>
      <c r="V1412" s="51" t="s">
        <v>2357</v>
      </c>
      <c r="W1412" s="51" t="s">
        <v>3760</v>
      </c>
      <c r="X1412" s="51" t="s">
        <v>2359</v>
      </c>
    </row>
    <row r="1413" customFormat="false" ht="14.25" hidden="true" customHeight="false" outlineLevel="0" collapsed="false">
      <c r="A1413" s="49" t="s">
        <v>2349</v>
      </c>
      <c r="B1413" s="49" t="s">
        <v>2350</v>
      </c>
      <c r="C1413" s="49" t="s">
        <v>3761</v>
      </c>
      <c r="D1413" s="49" t="s">
        <v>2352</v>
      </c>
      <c r="E1413" s="49" t="s">
        <v>3638</v>
      </c>
      <c r="F1413" s="49" t="s">
        <v>3639</v>
      </c>
      <c r="G1413" s="49" t="n">
        <v>0</v>
      </c>
      <c r="H1413" s="0" t="n">
        <v>0</v>
      </c>
      <c r="J1413" s="49" t="str">
        <f aca="false">"270927"</f>
        <v>270927</v>
      </c>
      <c r="K1413" s="52" t="n">
        <v>46657</v>
      </c>
      <c r="M1413" s="51" t="s">
        <v>3663</v>
      </c>
      <c r="N1413" s="49" t="n">
        <v>712.12</v>
      </c>
      <c r="O1413" s="53" t="n">
        <v>46013.4766666667</v>
      </c>
      <c r="P1413" s="53" t="n">
        <v>46019.4231481482</v>
      </c>
      <c r="Q1413" s="53" t="n">
        <v>46013.4766666667</v>
      </c>
      <c r="R1413" s="0" t="n">
        <v>0</v>
      </c>
      <c r="S1413" s="51" t="s">
        <v>2356</v>
      </c>
      <c r="T1413" s="51" t="s">
        <v>2356</v>
      </c>
      <c r="U1413" s="51" t="s">
        <v>3638</v>
      </c>
      <c r="V1413" s="51" t="s">
        <v>2357</v>
      </c>
      <c r="W1413" s="51" t="s">
        <v>3762</v>
      </c>
      <c r="X1413" s="51" t="s">
        <v>2359</v>
      </c>
    </row>
    <row r="1414" customFormat="false" ht="14.25" hidden="true" customHeight="false" outlineLevel="0" collapsed="false">
      <c r="A1414" s="49" t="s">
        <v>2349</v>
      </c>
      <c r="B1414" s="49" t="s">
        <v>2350</v>
      </c>
      <c r="C1414" s="49" t="s">
        <v>3763</v>
      </c>
      <c r="D1414" s="49" t="s">
        <v>2352</v>
      </c>
      <c r="E1414" s="49" t="s">
        <v>3643</v>
      </c>
      <c r="F1414" s="49" t="s">
        <v>3644</v>
      </c>
      <c r="G1414" s="49" t="n">
        <v>0</v>
      </c>
      <c r="H1414" s="0" t="n">
        <v>0</v>
      </c>
      <c r="J1414" s="49" t="str">
        <f aca="false">"290927"</f>
        <v>290927</v>
      </c>
      <c r="K1414" s="52" t="n">
        <v>46659</v>
      </c>
      <c r="M1414" s="51" t="s">
        <v>3663</v>
      </c>
      <c r="N1414" s="49" t="n">
        <v>674</v>
      </c>
      <c r="O1414" s="53" t="n">
        <v>46013.4887152778</v>
      </c>
      <c r="P1414" s="53" t="n">
        <v>46019.4230324074</v>
      </c>
      <c r="Q1414" s="53" t="n">
        <v>46013.4887152778</v>
      </c>
      <c r="R1414" s="0" t="n">
        <v>0</v>
      </c>
      <c r="S1414" s="51" t="s">
        <v>2356</v>
      </c>
      <c r="T1414" s="51" t="s">
        <v>2356</v>
      </c>
      <c r="U1414" s="51" t="s">
        <v>3643</v>
      </c>
      <c r="V1414" s="51" t="s">
        <v>2357</v>
      </c>
      <c r="W1414" s="51" t="s">
        <v>3764</v>
      </c>
      <c r="X1414" s="51" t="s">
        <v>2359</v>
      </c>
    </row>
    <row r="1415" customFormat="false" ht="14.25" hidden="false" customHeight="false" outlineLevel="0" collapsed="false">
      <c r="I1415" s="51"/>
      <c r="K1415" s="52"/>
      <c r="O1415" s="53"/>
      <c r="P1415" s="53"/>
      <c r="Q1415" s="53"/>
      <c r="S1415" s="51"/>
      <c r="T1415" s="51"/>
      <c r="U1415" s="51"/>
      <c r="V1415" s="51"/>
      <c r="X1415" s="51"/>
    </row>
    <row r="1416" customFormat="false" ht="14.25" hidden="false" customHeight="false" outlineLevel="0" collapsed="false">
      <c r="I1416" s="51"/>
      <c r="K1416" s="52"/>
      <c r="O1416" s="53"/>
      <c r="P1416" s="53"/>
      <c r="Q1416" s="53"/>
      <c r="S1416" s="51"/>
      <c r="T1416" s="51"/>
      <c r="U1416" s="51"/>
      <c r="V1416" s="51"/>
      <c r="W1416" s="51"/>
      <c r="X1416" s="51"/>
    </row>
    <row r="1417" customFormat="false" ht="14.25" hidden="false" customHeight="false" outlineLevel="0" collapsed="false">
      <c r="I1417" s="51"/>
      <c r="K1417" s="52"/>
      <c r="O1417" s="53"/>
      <c r="P1417" s="53"/>
      <c r="Q1417" s="53"/>
      <c r="S1417" s="51"/>
      <c r="T1417" s="51"/>
      <c r="U1417" s="51"/>
      <c r="V1417" s="51"/>
      <c r="W1417" s="51"/>
      <c r="X1417" s="51"/>
    </row>
    <row r="1418" customFormat="false" ht="14.25" hidden="false" customHeight="false" outlineLevel="0" collapsed="false">
      <c r="I1418" s="51"/>
      <c r="K1418" s="52"/>
      <c r="O1418" s="53"/>
      <c r="P1418" s="53"/>
      <c r="Q1418" s="53"/>
      <c r="S1418" s="51"/>
      <c r="T1418" s="51"/>
      <c r="U1418" s="51"/>
      <c r="V1418" s="51"/>
      <c r="W1418" s="51"/>
      <c r="X1418" s="51"/>
    </row>
    <row r="1419" customFormat="false" ht="14.25" hidden="true" customHeight="false" outlineLevel="0" collapsed="false">
      <c r="A1419" s="49" t="s">
        <v>2349</v>
      </c>
      <c r="B1419" s="49" t="s">
        <v>2350</v>
      </c>
      <c r="C1419" s="49" t="s">
        <v>3765</v>
      </c>
      <c r="D1419" s="49" t="s">
        <v>2352</v>
      </c>
      <c r="E1419" s="49" t="s">
        <v>3751</v>
      </c>
      <c r="F1419" s="49" t="s">
        <v>3752</v>
      </c>
      <c r="G1419" s="49" t="n">
        <v>0</v>
      </c>
      <c r="H1419" s="0" t="n">
        <v>0</v>
      </c>
      <c r="J1419" s="49" t="str">
        <f aca="false">"290927"</f>
        <v>290927</v>
      </c>
      <c r="K1419" s="52" t="n">
        <v>46659</v>
      </c>
      <c r="M1419" s="51" t="s">
        <v>3753</v>
      </c>
      <c r="N1419" s="49" t="n">
        <v>736.2</v>
      </c>
      <c r="O1419" s="53" t="n">
        <v>46023.5000810185</v>
      </c>
      <c r="P1419" s="53" t="n">
        <v>46023.5573611111</v>
      </c>
      <c r="Q1419" s="53" t="n">
        <v>46023.5000810185</v>
      </c>
      <c r="R1419" s="0" t="n">
        <v>0</v>
      </c>
      <c r="S1419" s="51" t="s">
        <v>2356</v>
      </c>
      <c r="T1419" s="51" t="s">
        <v>2356</v>
      </c>
      <c r="U1419" s="51" t="s">
        <v>3751</v>
      </c>
      <c r="V1419" s="51" t="s">
        <v>2357</v>
      </c>
      <c r="W1419" s="51" t="s">
        <v>3754</v>
      </c>
      <c r="X1419" s="51" t="s">
        <v>2359</v>
      </c>
    </row>
    <row r="1420" customFormat="false" ht="14.25" hidden="true" customHeight="false" outlineLevel="0" collapsed="false">
      <c r="A1420" s="49" t="s">
        <v>2349</v>
      </c>
      <c r="B1420" s="49" t="s">
        <v>2350</v>
      </c>
      <c r="C1420" s="49" t="s">
        <v>3766</v>
      </c>
      <c r="D1420" s="49" t="s">
        <v>2352</v>
      </c>
      <c r="E1420" s="49" t="s">
        <v>3638</v>
      </c>
      <c r="F1420" s="49" t="s">
        <v>3639</v>
      </c>
      <c r="G1420" s="49" t="n">
        <v>0</v>
      </c>
      <c r="H1420" s="0" t="n">
        <v>0</v>
      </c>
      <c r="J1420" s="49" t="str">
        <f aca="false">"290927"</f>
        <v>290927</v>
      </c>
      <c r="K1420" s="52" t="n">
        <v>46659</v>
      </c>
      <c r="M1420" s="51" t="s">
        <v>3663</v>
      </c>
      <c r="N1420" s="49" t="n">
        <v>712.15</v>
      </c>
      <c r="O1420" s="53" t="n">
        <v>46013.4788888889</v>
      </c>
      <c r="P1420" s="53" t="n">
        <v>46019.4232638889</v>
      </c>
      <c r="Q1420" s="53" t="n">
        <v>46013.4788888889</v>
      </c>
      <c r="R1420" s="0" t="n">
        <v>0</v>
      </c>
      <c r="S1420" s="51" t="s">
        <v>2356</v>
      </c>
      <c r="T1420" s="51" t="s">
        <v>2356</v>
      </c>
      <c r="U1420" s="51" t="s">
        <v>3638</v>
      </c>
      <c r="V1420" s="51" t="s">
        <v>2357</v>
      </c>
      <c r="W1420" s="51" t="s">
        <v>3767</v>
      </c>
      <c r="X1420" s="51" t="s">
        <v>2359</v>
      </c>
    </row>
    <row r="1421" customFormat="false" ht="14.25" hidden="true" customHeight="false" outlineLevel="0" collapsed="false">
      <c r="A1421" s="49" t="s">
        <v>2349</v>
      </c>
      <c r="B1421" s="49" t="s">
        <v>2350</v>
      </c>
      <c r="C1421" s="49" t="s">
        <v>3768</v>
      </c>
      <c r="D1421" s="49" t="s">
        <v>2352</v>
      </c>
      <c r="E1421" s="49" t="s">
        <v>3643</v>
      </c>
      <c r="F1421" s="49" t="s">
        <v>3644</v>
      </c>
      <c r="G1421" s="49" t="n">
        <v>0</v>
      </c>
      <c r="H1421" s="0" t="n">
        <v>0</v>
      </c>
      <c r="J1421" s="49" t="str">
        <f aca="false">"290927"</f>
        <v>290927</v>
      </c>
      <c r="K1421" s="52" t="n">
        <v>46659</v>
      </c>
      <c r="M1421" s="51" t="s">
        <v>3663</v>
      </c>
      <c r="N1421" s="49" t="n">
        <v>669.39</v>
      </c>
      <c r="O1421" s="53" t="n">
        <v>46013.4876273148</v>
      </c>
      <c r="P1421" s="53" t="n">
        <v>46019.4225115741</v>
      </c>
      <c r="Q1421" s="53" t="n">
        <v>46013.4876273148</v>
      </c>
      <c r="R1421" s="0" t="n">
        <v>0</v>
      </c>
      <c r="S1421" s="51" t="s">
        <v>2356</v>
      </c>
      <c r="T1421" s="51" t="s">
        <v>2356</v>
      </c>
      <c r="U1421" s="51" t="s">
        <v>3643</v>
      </c>
      <c r="V1421" s="51" t="s">
        <v>2357</v>
      </c>
      <c r="W1421" s="51" t="s">
        <v>3769</v>
      </c>
      <c r="X1421" s="51" t="s">
        <v>2359</v>
      </c>
    </row>
    <row r="1422" customFormat="false" ht="14.25" hidden="false" customHeight="false" outlineLevel="0" collapsed="false">
      <c r="I1422" s="51"/>
      <c r="K1422" s="52"/>
      <c r="O1422" s="53"/>
      <c r="P1422" s="53"/>
      <c r="Q1422" s="53"/>
      <c r="S1422" s="51"/>
      <c r="T1422" s="51"/>
      <c r="V1422" s="51"/>
      <c r="W1422" s="51"/>
      <c r="X1422" s="51"/>
    </row>
    <row r="1423" customFormat="false" ht="14.25" hidden="false" customHeight="false" outlineLevel="0" collapsed="false">
      <c r="I1423" s="51"/>
      <c r="K1423" s="52"/>
      <c r="O1423" s="53"/>
      <c r="P1423" s="53"/>
      <c r="Q1423" s="53"/>
      <c r="S1423" s="51"/>
      <c r="T1423" s="51"/>
      <c r="U1423" s="51"/>
      <c r="V1423" s="51"/>
      <c r="W1423" s="51"/>
      <c r="X1423" s="51"/>
    </row>
    <row r="1424" customFormat="false" ht="14.25" hidden="true" customHeight="false" outlineLevel="0" collapsed="false">
      <c r="A1424" s="49" t="s">
        <v>2349</v>
      </c>
      <c r="B1424" s="49" t="s">
        <v>2350</v>
      </c>
      <c r="C1424" s="49" t="s">
        <v>3770</v>
      </c>
      <c r="D1424" s="49" t="s">
        <v>2352</v>
      </c>
      <c r="E1424" s="49" t="s">
        <v>3638</v>
      </c>
      <c r="F1424" s="49" t="s">
        <v>3639</v>
      </c>
      <c r="G1424" s="49" t="n">
        <v>0</v>
      </c>
      <c r="H1424" s="0" t="n">
        <v>0</v>
      </c>
      <c r="J1424" s="49" t="str">
        <f aca="false">"300927"</f>
        <v>300927</v>
      </c>
      <c r="K1424" s="52" t="n">
        <v>46660</v>
      </c>
      <c r="M1424" s="51" t="s">
        <v>3663</v>
      </c>
      <c r="N1424" s="49" t="n">
        <v>711.94</v>
      </c>
      <c r="O1424" s="53" t="n">
        <v>46013.4802546296</v>
      </c>
      <c r="P1424" s="53" t="n">
        <v>46019.4237384259</v>
      </c>
      <c r="Q1424" s="53" t="n">
        <v>46013.4802546296</v>
      </c>
      <c r="R1424" s="0" t="n">
        <v>0</v>
      </c>
      <c r="S1424" s="51" t="s">
        <v>2356</v>
      </c>
      <c r="T1424" s="51" t="s">
        <v>2356</v>
      </c>
      <c r="U1424" s="51" t="s">
        <v>3638</v>
      </c>
      <c r="V1424" s="51" t="s">
        <v>2357</v>
      </c>
      <c r="W1424" s="51" t="s">
        <v>3705</v>
      </c>
      <c r="X1424" s="51" t="s">
        <v>2359</v>
      </c>
    </row>
    <row r="1425" customFormat="false" ht="14.25" hidden="true" customHeight="false" outlineLevel="0" collapsed="false">
      <c r="A1425" s="49" t="s">
        <v>2349</v>
      </c>
      <c r="B1425" s="49" t="s">
        <v>2350</v>
      </c>
      <c r="C1425" s="49" t="s">
        <v>3771</v>
      </c>
      <c r="D1425" s="49" t="s">
        <v>2352</v>
      </c>
      <c r="E1425" s="49" t="s">
        <v>3643</v>
      </c>
      <c r="F1425" s="49" t="s">
        <v>3644</v>
      </c>
      <c r="G1425" s="49" t="n">
        <v>0</v>
      </c>
      <c r="H1425" s="0" t="n">
        <v>0</v>
      </c>
      <c r="J1425" s="49" t="str">
        <f aca="false">"300927"</f>
        <v>300927</v>
      </c>
      <c r="K1425" s="52" t="n">
        <v>46660</v>
      </c>
      <c r="M1425" s="51" t="s">
        <v>3663</v>
      </c>
      <c r="N1425" s="49" t="n">
        <v>675.14</v>
      </c>
      <c r="O1425" s="53" t="n">
        <v>46013.4880092593</v>
      </c>
      <c r="P1425" s="53" t="n">
        <v>46019.4228125</v>
      </c>
      <c r="Q1425" s="53" t="n">
        <v>46013.4880092593</v>
      </c>
      <c r="R1425" s="0" t="n">
        <v>0</v>
      </c>
      <c r="S1425" s="51" t="s">
        <v>2356</v>
      </c>
      <c r="T1425" s="51" t="s">
        <v>2356</v>
      </c>
      <c r="U1425" s="51" t="s">
        <v>3643</v>
      </c>
      <c r="V1425" s="51" t="s">
        <v>2357</v>
      </c>
      <c r="W1425" s="51" t="s">
        <v>3772</v>
      </c>
      <c r="X1425" s="51" t="s">
        <v>2359</v>
      </c>
    </row>
    <row r="1426" customFormat="false" ht="14.25" hidden="true" customHeight="false" outlineLevel="0" collapsed="false">
      <c r="A1426" s="49" t="s">
        <v>2349</v>
      </c>
      <c r="B1426" s="49" t="s">
        <v>2350</v>
      </c>
      <c r="C1426" s="49" t="s">
        <v>3773</v>
      </c>
      <c r="D1426" s="49" t="s">
        <v>2352</v>
      </c>
      <c r="E1426" s="49" t="s">
        <v>3643</v>
      </c>
      <c r="F1426" s="49" t="s">
        <v>3644</v>
      </c>
      <c r="G1426" s="49" t="n">
        <v>0</v>
      </c>
      <c r="H1426" s="0" t="n">
        <v>0</v>
      </c>
      <c r="J1426" s="49" t="str">
        <f aca="false">"300927"</f>
        <v>300927</v>
      </c>
      <c r="K1426" s="52" t="n">
        <v>46660</v>
      </c>
      <c r="M1426" s="51" t="s">
        <v>3663</v>
      </c>
      <c r="N1426" s="49" t="n">
        <v>678.62</v>
      </c>
      <c r="O1426" s="53" t="n">
        <v>46013.4883217593</v>
      </c>
      <c r="P1426" s="53" t="n">
        <v>46019.4229166667</v>
      </c>
      <c r="Q1426" s="53" t="n">
        <v>46013.4883217593</v>
      </c>
      <c r="R1426" s="0" t="n">
        <v>0</v>
      </c>
      <c r="S1426" s="51" t="s">
        <v>2356</v>
      </c>
      <c r="T1426" s="51" t="s">
        <v>2356</v>
      </c>
      <c r="U1426" s="51" t="s">
        <v>3643</v>
      </c>
      <c r="V1426" s="51" t="s">
        <v>2357</v>
      </c>
      <c r="W1426" s="51" t="s">
        <v>3774</v>
      </c>
      <c r="X1426" s="51" t="s">
        <v>2359</v>
      </c>
    </row>
    <row r="1427" customFormat="false" ht="14.25" hidden="false" customHeight="false" outlineLevel="0" collapsed="false">
      <c r="I1427" s="51"/>
      <c r="K1427" s="52"/>
      <c r="O1427" s="53"/>
      <c r="P1427" s="53"/>
      <c r="Q1427" s="53"/>
      <c r="S1427" s="51"/>
      <c r="T1427" s="51"/>
      <c r="V1427" s="51"/>
      <c r="W1427" s="51"/>
      <c r="X1427" s="51"/>
    </row>
    <row r="1428" customFormat="false" ht="14.25" hidden="false" customHeight="false" outlineLevel="0" collapsed="false">
      <c r="I1428" s="51"/>
      <c r="K1428" s="52"/>
      <c r="O1428" s="53"/>
      <c r="P1428" s="53"/>
    </row>
    <row r="1429" customFormat="false" ht="14.25" hidden="false" customHeight="false" outlineLevel="0" collapsed="false">
      <c r="I1429" s="51"/>
      <c r="K1429" s="52"/>
      <c r="O1429" s="53"/>
      <c r="P1429" s="53"/>
      <c r="Q1429" s="53"/>
      <c r="S1429" s="51"/>
      <c r="T1429" s="51"/>
      <c r="V1429" s="51"/>
      <c r="W1429" s="51"/>
      <c r="X1429" s="51"/>
    </row>
    <row r="1430" customFormat="false" ht="14.25" hidden="false" customHeight="false" outlineLevel="0" collapsed="false">
      <c r="I1430" s="51"/>
      <c r="K1430" s="52"/>
      <c r="O1430" s="53"/>
      <c r="P1430" s="53"/>
    </row>
    <row r="1431" customFormat="false" ht="14.25" hidden="true" customHeight="false" outlineLevel="0" collapsed="false">
      <c r="A1431" s="49" t="s">
        <v>2349</v>
      </c>
      <c r="B1431" s="49" t="s">
        <v>2350</v>
      </c>
      <c r="C1431" s="49" t="s">
        <v>3775</v>
      </c>
      <c r="D1431" s="49" t="s">
        <v>2352</v>
      </c>
      <c r="E1431" s="49" t="s">
        <v>3751</v>
      </c>
      <c r="F1431" s="49" t="s">
        <v>3752</v>
      </c>
      <c r="G1431" s="49" t="n">
        <v>0</v>
      </c>
      <c r="H1431" s="0" t="n">
        <v>0</v>
      </c>
      <c r="J1431" s="49" t="str">
        <f aca="false">"081027"</f>
        <v>081027</v>
      </c>
      <c r="K1431" s="52" t="n">
        <v>46668</v>
      </c>
      <c r="M1431" s="51" t="s">
        <v>3753</v>
      </c>
      <c r="N1431" s="49" t="n">
        <v>221.6</v>
      </c>
      <c r="O1431" s="53" t="n">
        <v>46023.5029861111</v>
      </c>
      <c r="P1431" s="53" t="n">
        <v>46023.5579861111</v>
      </c>
      <c r="Q1431" s="53" t="n">
        <v>46023.5029861111</v>
      </c>
      <c r="R1431" s="0" t="n">
        <v>0</v>
      </c>
      <c r="S1431" s="51" t="s">
        <v>2356</v>
      </c>
      <c r="T1431" s="51" t="s">
        <v>2356</v>
      </c>
      <c r="U1431" s="51" t="s">
        <v>3751</v>
      </c>
      <c r="V1431" s="51" t="s">
        <v>2357</v>
      </c>
      <c r="W1431" s="51" t="s">
        <v>3754</v>
      </c>
      <c r="X1431" s="51" t="s">
        <v>2359</v>
      </c>
    </row>
    <row r="1432" customFormat="false" ht="14.25" hidden="false" customHeight="false" outlineLevel="0" collapsed="false">
      <c r="I1432" s="51"/>
      <c r="K1432" s="52"/>
      <c r="O1432" s="53"/>
      <c r="P1432" s="53"/>
      <c r="Q1432" s="53"/>
      <c r="S1432" s="51"/>
      <c r="T1432" s="51"/>
      <c r="U1432" s="51"/>
      <c r="V1432" s="51"/>
      <c r="W1432" s="51"/>
      <c r="X1432" s="51"/>
    </row>
    <row r="1433" customFormat="false" ht="14.25" hidden="false" customHeight="false" outlineLevel="0" collapsed="false">
      <c r="I1433" s="51"/>
      <c r="K1433" s="52"/>
      <c r="L1433" s="54"/>
      <c r="M1433" s="51"/>
      <c r="O1433" s="53"/>
      <c r="P1433" s="53"/>
      <c r="Q1433" s="53"/>
      <c r="S1433" s="51"/>
      <c r="T1433" s="51"/>
      <c r="V1433" s="51"/>
      <c r="W1433" s="51"/>
      <c r="X1433" s="51"/>
    </row>
    <row r="1434" customFormat="false" ht="14.25" hidden="true" customHeight="false" outlineLevel="0" collapsed="false">
      <c r="A1434" s="49" t="s">
        <v>2349</v>
      </c>
      <c r="B1434" s="49" t="s">
        <v>2350</v>
      </c>
      <c r="C1434" s="49" t="s">
        <v>3776</v>
      </c>
      <c r="D1434" s="49" t="s">
        <v>2397</v>
      </c>
      <c r="E1434" s="49" t="str">
        <f aca="false">"5942326400216"</f>
        <v>5942326400216</v>
      </c>
      <c r="F1434" s="49" t="s">
        <v>3777</v>
      </c>
      <c r="G1434" s="49" t="n">
        <v>0</v>
      </c>
      <c r="H1434" s="0" t="n">
        <v>0</v>
      </c>
      <c r="J1434" s="49" t="s">
        <v>3778</v>
      </c>
      <c r="K1434" s="52" t="n">
        <v>46669</v>
      </c>
      <c r="L1434" s="54" t="n">
        <v>46669</v>
      </c>
      <c r="M1434" s="51" t="s">
        <v>3779</v>
      </c>
      <c r="N1434" s="49" t="n">
        <v>132</v>
      </c>
      <c r="O1434" s="53" t="n">
        <v>45994.5550462963</v>
      </c>
      <c r="P1434" s="53" t="n">
        <v>46002.9739930556</v>
      </c>
      <c r="Q1434" s="53" t="n">
        <v>45994.5550462963</v>
      </c>
      <c r="R1434" s="0" t="n">
        <v>0</v>
      </c>
      <c r="S1434" s="51" t="s">
        <v>3780</v>
      </c>
      <c r="T1434" s="51" t="s">
        <v>3780</v>
      </c>
      <c r="U1434" s="0" t="str">
        <f aca="false">"5942326400216"</f>
        <v>5942326400216</v>
      </c>
      <c r="V1434" s="51" t="s">
        <v>2365</v>
      </c>
      <c r="X1434" s="51" t="s">
        <v>2359</v>
      </c>
    </row>
    <row r="1435" customFormat="false" ht="14.25" hidden="false" customHeight="false" outlineLevel="0" collapsed="false">
      <c r="I1435" s="51"/>
      <c r="K1435" s="52"/>
      <c r="L1435" s="54"/>
      <c r="M1435" s="51"/>
      <c r="O1435" s="53"/>
      <c r="P1435" s="53"/>
      <c r="Q1435" s="53"/>
      <c r="S1435" s="51"/>
      <c r="T1435" s="51"/>
      <c r="V1435" s="51"/>
      <c r="X1435" s="51"/>
    </row>
    <row r="1436" customFormat="false" ht="14.25" hidden="false" customHeight="false" outlineLevel="0" collapsed="false">
      <c r="I1436" s="51"/>
      <c r="K1436" s="52"/>
      <c r="L1436" s="54"/>
      <c r="M1436" s="51"/>
      <c r="O1436" s="53"/>
      <c r="P1436" s="53"/>
      <c r="Q1436" s="53"/>
      <c r="S1436" s="51"/>
      <c r="T1436" s="51"/>
      <c r="V1436" s="51"/>
      <c r="X1436" s="51"/>
    </row>
    <row r="1437" customFormat="false" ht="14.25" hidden="false" customHeight="false" outlineLevel="0" collapsed="false">
      <c r="I1437" s="51"/>
      <c r="K1437" s="52"/>
      <c r="L1437" s="54"/>
      <c r="M1437" s="51"/>
      <c r="O1437" s="53"/>
      <c r="P1437" s="53"/>
    </row>
    <row r="1438" customFormat="false" ht="14.25" hidden="false" customHeight="false" outlineLevel="0" collapsed="false">
      <c r="I1438" s="51"/>
      <c r="K1438" s="52"/>
      <c r="O1438" s="53"/>
      <c r="P1438" s="53"/>
      <c r="Q1438" s="53"/>
      <c r="S1438" s="51"/>
      <c r="T1438" s="51"/>
      <c r="U1438" s="51"/>
      <c r="V1438" s="51"/>
      <c r="W1438" s="51"/>
      <c r="X1438" s="51"/>
    </row>
    <row r="1439" customFormat="false" ht="14.25" hidden="false" customHeight="false" outlineLevel="0" collapsed="false">
      <c r="I1439" s="51"/>
      <c r="K1439" s="52"/>
      <c r="O1439" s="53"/>
      <c r="P1439" s="53"/>
      <c r="Q1439" s="53"/>
      <c r="S1439" s="51"/>
      <c r="T1439" s="51"/>
      <c r="U1439" s="51"/>
      <c r="V1439" s="51"/>
      <c r="W1439" s="51"/>
      <c r="X1439" s="51"/>
    </row>
    <row r="1440" customFormat="false" ht="14.25" hidden="false" customHeight="false" outlineLevel="0" collapsed="false">
      <c r="I1440" s="51"/>
      <c r="K1440" s="52"/>
      <c r="O1440" s="53"/>
      <c r="P1440" s="53"/>
      <c r="Q1440" s="53"/>
      <c r="S1440" s="51"/>
      <c r="T1440" s="51"/>
      <c r="U1440" s="51"/>
      <c r="V1440" s="51"/>
      <c r="X1440" s="51"/>
    </row>
    <row r="1441" customFormat="false" ht="14.25" hidden="false" customHeight="false" outlineLevel="0" collapsed="false">
      <c r="I1441" s="51"/>
      <c r="K1441" s="52"/>
      <c r="O1441" s="53"/>
      <c r="P1441" s="53"/>
      <c r="Q1441" s="53"/>
      <c r="S1441" s="51"/>
      <c r="T1441" s="51"/>
      <c r="U1441" s="51"/>
      <c r="V1441" s="51"/>
      <c r="X1441" s="51"/>
    </row>
    <row r="1442" customFormat="false" ht="14.25" hidden="false" customHeight="false" outlineLevel="0" collapsed="false">
      <c r="I1442" s="51"/>
      <c r="K1442" s="52"/>
      <c r="O1442" s="53"/>
      <c r="P1442" s="53"/>
      <c r="Q1442" s="53"/>
      <c r="S1442" s="51"/>
      <c r="T1442" s="51"/>
      <c r="U1442" s="51"/>
      <c r="V1442" s="51"/>
      <c r="W1442" s="51"/>
      <c r="X1442" s="51"/>
    </row>
    <row r="1443" customFormat="false" ht="14.25" hidden="false" customHeight="false" outlineLevel="0" collapsed="false">
      <c r="I1443" s="51"/>
      <c r="K1443" s="52"/>
      <c r="O1443" s="53"/>
      <c r="P1443" s="53"/>
      <c r="Q1443" s="53"/>
      <c r="S1443" s="51"/>
      <c r="T1443" s="51"/>
      <c r="U1443" s="51"/>
      <c r="V1443" s="51"/>
      <c r="X1443" s="51"/>
    </row>
    <row r="1444" customFormat="false" ht="14.25" hidden="false" customHeight="false" outlineLevel="0" collapsed="false">
      <c r="I1444" s="51"/>
      <c r="K1444" s="52"/>
      <c r="O1444" s="53"/>
      <c r="P1444" s="53"/>
      <c r="Q1444" s="53"/>
      <c r="S1444" s="51"/>
      <c r="T1444" s="51"/>
      <c r="U1444" s="51"/>
      <c r="V1444" s="51"/>
      <c r="X1444" s="51"/>
    </row>
    <row r="1445" customFormat="false" ht="14.25" hidden="false" customHeight="false" outlineLevel="0" collapsed="false">
      <c r="I1445" s="51"/>
      <c r="K1445" s="52"/>
      <c r="L1445" s="54"/>
      <c r="M1445" s="51"/>
      <c r="O1445" s="53"/>
      <c r="P1445" s="53"/>
      <c r="Q1445" s="53"/>
      <c r="S1445" s="51"/>
      <c r="T1445" s="51"/>
      <c r="V1445" s="51"/>
      <c r="W1445" s="51"/>
      <c r="X1445" s="51"/>
    </row>
    <row r="1446" customFormat="false" ht="14.25" hidden="false" customHeight="false" outlineLevel="0" collapsed="false">
      <c r="I1446" s="51"/>
      <c r="K1446" s="52"/>
      <c r="L1446" s="54"/>
      <c r="M1446" s="51"/>
      <c r="O1446" s="53"/>
      <c r="P1446" s="53"/>
      <c r="Q1446" s="53"/>
      <c r="S1446" s="51"/>
      <c r="T1446" s="51"/>
      <c r="V1446" s="51"/>
      <c r="X1446" s="51"/>
    </row>
    <row r="1447" customFormat="false" ht="14.25" hidden="false" customHeight="false" outlineLevel="0" collapsed="false">
      <c r="I1447" s="51"/>
      <c r="K1447" s="52"/>
      <c r="L1447" s="54"/>
      <c r="M1447" s="51"/>
      <c r="O1447" s="53"/>
      <c r="P1447" s="53"/>
      <c r="Q1447" s="53"/>
      <c r="S1447" s="51"/>
      <c r="T1447" s="51"/>
      <c r="V1447" s="51"/>
      <c r="W1447" s="51"/>
      <c r="X1447" s="51"/>
    </row>
    <row r="1448" customFormat="false" ht="14.25" hidden="false" customHeight="false" outlineLevel="0" collapsed="false">
      <c r="I1448" s="51"/>
      <c r="K1448" s="52"/>
      <c r="O1448" s="53"/>
      <c r="P1448" s="53"/>
      <c r="Q1448" s="53"/>
      <c r="S1448" s="51"/>
      <c r="T1448" s="51"/>
      <c r="U1448" s="51"/>
      <c r="V1448" s="51"/>
      <c r="W1448" s="51"/>
      <c r="X1448" s="51"/>
    </row>
    <row r="1449" customFormat="false" ht="14.25" hidden="false" customHeight="false" outlineLevel="0" collapsed="false">
      <c r="I1449" s="51"/>
      <c r="K1449" s="52"/>
      <c r="O1449" s="53"/>
      <c r="P1449" s="53"/>
      <c r="Q1449" s="53"/>
      <c r="S1449" s="51"/>
      <c r="T1449" s="51"/>
      <c r="U1449" s="51"/>
      <c r="V1449" s="51"/>
      <c r="W1449" s="51"/>
      <c r="X1449" s="51"/>
    </row>
    <row r="1450" customFormat="false" ht="14.25" hidden="false" customHeight="false" outlineLevel="0" collapsed="false">
      <c r="I1450" s="51"/>
      <c r="K1450" s="52"/>
      <c r="O1450" s="53"/>
      <c r="P1450" s="53"/>
      <c r="Q1450" s="53"/>
      <c r="S1450" s="51"/>
      <c r="T1450" s="51"/>
      <c r="U1450" s="51"/>
      <c r="V1450" s="51"/>
      <c r="X1450" s="51"/>
    </row>
    <row r="1451" customFormat="false" ht="14.25" hidden="false" customHeight="false" outlineLevel="0" collapsed="false">
      <c r="I1451" s="51"/>
      <c r="K1451" s="52"/>
      <c r="O1451" s="53"/>
      <c r="P1451" s="53"/>
      <c r="Q1451" s="53"/>
      <c r="S1451" s="51"/>
      <c r="T1451" s="51"/>
      <c r="U1451" s="51"/>
      <c r="V1451" s="51"/>
      <c r="X1451" s="51"/>
    </row>
    <row r="1452" customFormat="false" ht="14.25" hidden="false" customHeight="false" outlineLevel="0" collapsed="false">
      <c r="I1452" s="51"/>
      <c r="K1452" s="52"/>
      <c r="O1452" s="53"/>
      <c r="P1452" s="53"/>
      <c r="Q1452" s="53"/>
      <c r="S1452" s="51"/>
      <c r="T1452" s="51"/>
      <c r="U1452" s="51"/>
      <c r="V1452" s="51"/>
      <c r="X1452" s="51"/>
    </row>
    <row r="1453" customFormat="false" ht="14.25" hidden="false" customHeight="false" outlineLevel="0" collapsed="false">
      <c r="I1453" s="51"/>
      <c r="K1453" s="52"/>
      <c r="O1453" s="53"/>
      <c r="P1453" s="53"/>
      <c r="Q1453" s="53"/>
      <c r="S1453" s="51"/>
      <c r="T1453" s="51"/>
      <c r="U1453" s="51"/>
      <c r="V1453" s="51"/>
      <c r="X1453" s="51"/>
    </row>
    <row r="1454" customFormat="false" ht="14.25" hidden="false" customHeight="false" outlineLevel="0" collapsed="false">
      <c r="I1454" s="51"/>
      <c r="K1454" s="52"/>
      <c r="O1454" s="53"/>
      <c r="P1454" s="53"/>
      <c r="Q1454" s="53"/>
      <c r="S1454" s="51"/>
      <c r="T1454" s="51"/>
      <c r="U1454" s="51"/>
      <c r="V1454" s="51"/>
      <c r="X1454" s="51"/>
    </row>
    <row r="1455" customFormat="false" ht="14.25" hidden="false" customHeight="false" outlineLevel="0" collapsed="false">
      <c r="I1455" s="51"/>
      <c r="K1455" s="52"/>
      <c r="O1455" s="53"/>
      <c r="P1455" s="53"/>
      <c r="Q1455" s="53"/>
      <c r="S1455" s="51"/>
      <c r="T1455" s="51"/>
      <c r="U1455" s="51"/>
      <c r="V1455" s="51"/>
      <c r="W1455" s="51"/>
      <c r="X1455" s="51"/>
    </row>
    <row r="1456" customFormat="false" ht="14.25" hidden="false" customHeight="false" outlineLevel="0" collapsed="false">
      <c r="I1456" s="51"/>
      <c r="K1456" s="52"/>
      <c r="O1456" s="53"/>
      <c r="P1456" s="53"/>
      <c r="Q1456" s="53"/>
      <c r="S1456" s="51"/>
      <c r="T1456" s="51"/>
      <c r="U1456" s="51"/>
      <c r="V1456" s="51"/>
      <c r="X1456" s="51"/>
    </row>
    <row r="1457" customFormat="false" ht="14.25" hidden="false" customHeight="false" outlineLevel="0" collapsed="false">
      <c r="I1457" s="51"/>
      <c r="K1457" s="52"/>
      <c r="O1457" s="53"/>
      <c r="P1457" s="53"/>
      <c r="Q1457" s="53"/>
      <c r="S1457" s="51"/>
      <c r="T1457" s="51"/>
      <c r="U1457" s="51"/>
      <c r="V1457" s="51"/>
      <c r="X1457" s="51"/>
    </row>
    <row r="1458" customFormat="false" ht="14.25" hidden="false" customHeight="false" outlineLevel="0" collapsed="false">
      <c r="I1458" s="51"/>
      <c r="K1458" s="52"/>
      <c r="O1458" s="53"/>
      <c r="P1458" s="53"/>
      <c r="Q1458" s="53"/>
      <c r="S1458" s="51"/>
      <c r="T1458" s="51"/>
      <c r="U1458" s="51"/>
      <c r="V1458" s="51"/>
      <c r="X1458" s="51"/>
    </row>
    <row r="1459" customFormat="false" ht="14.25" hidden="false" customHeight="false" outlineLevel="0" collapsed="false">
      <c r="I1459" s="51"/>
      <c r="K1459" s="52"/>
      <c r="O1459" s="53"/>
      <c r="P1459" s="53"/>
      <c r="Q1459" s="53"/>
      <c r="S1459" s="51"/>
      <c r="T1459" s="51"/>
      <c r="U1459" s="51"/>
      <c r="V1459" s="51"/>
      <c r="X1459" s="51"/>
    </row>
    <row r="1460" customFormat="false" ht="14.25" hidden="false" customHeight="false" outlineLevel="0" collapsed="false">
      <c r="I1460" s="51"/>
      <c r="K1460" s="52"/>
      <c r="O1460" s="53"/>
      <c r="P1460" s="53"/>
      <c r="Q1460" s="53"/>
      <c r="S1460" s="51"/>
      <c r="T1460" s="51"/>
      <c r="V1460" s="51"/>
      <c r="W1460" s="51"/>
      <c r="X1460" s="51"/>
    </row>
    <row r="1461" customFormat="false" ht="14.25" hidden="true" customHeight="false" outlineLevel="0" collapsed="false">
      <c r="A1461" s="49" t="s">
        <v>2349</v>
      </c>
      <c r="B1461" s="49" t="s">
        <v>2350</v>
      </c>
      <c r="C1461" s="49" t="s">
        <v>3781</v>
      </c>
      <c r="D1461" s="49" t="s">
        <v>2352</v>
      </c>
      <c r="E1461" s="49" t="str">
        <f aca="false">"5060458890191"</f>
        <v>5060458890191</v>
      </c>
      <c r="F1461" s="49" t="s">
        <v>3656</v>
      </c>
      <c r="G1461" s="49" t="n">
        <v>0</v>
      </c>
      <c r="H1461" s="0" t="n">
        <v>0</v>
      </c>
      <c r="J1461" s="49" t="s">
        <v>3782</v>
      </c>
      <c r="K1461" s="52" t="n">
        <v>46690</v>
      </c>
      <c r="M1461" s="51" t="s">
        <v>3783</v>
      </c>
      <c r="N1461" s="49" t="n">
        <v>2</v>
      </c>
      <c r="O1461" s="53" t="n">
        <v>46017.6456481482</v>
      </c>
      <c r="P1461" s="53" t="n">
        <v>46027.3753009259</v>
      </c>
      <c r="Q1461" s="53" t="n">
        <v>46017.6456481482</v>
      </c>
      <c r="R1461" s="0" t="n">
        <v>0</v>
      </c>
      <c r="S1461" s="51" t="s">
        <v>2380</v>
      </c>
      <c r="T1461" s="51" t="s">
        <v>2380</v>
      </c>
      <c r="U1461" s="0" t="str">
        <f aca="false">"5060458890191"</f>
        <v>5060458890191</v>
      </c>
      <c r="V1461" s="51" t="s">
        <v>2142</v>
      </c>
      <c r="W1461" s="51" t="s">
        <v>2389</v>
      </c>
      <c r="X1461" s="51" t="s">
        <v>2359</v>
      </c>
    </row>
    <row r="1462" customFormat="false" ht="14.25" hidden="false" customHeight="false" outlineLevel="0" collapsed="false">
      <c r="I1462" s="51"/>
      <c r="K1462" s="52"/>
      <c r="O1462" s="53"/>
      <c r="P1462" s="53"/>
      <c r="Q1462" s="53"/>
      <c r="S1462" s="51"/>
      <c r="T1462" s="51"/>
      <c r="V1462" s="51"/>
      <c r="W1462" s="51"/>
      <c r="X1462" s="51"/>
    </row>
    <row r="1463" customFormat="false" ht="14.25" hidden="true" customHeight="false" outlineLevel="0" collapsed="false">
      <c r="A1463" s="49" t="s">
        <v>2349</v>
      </c>
      <c r="B1463" s="49" t="s">
        <v>2350</v>
      </c>
      <c r="C1463" s="49" t="s">
        <v>3784</v>
      </c>
      <c r="D1463" s="49" t="s">
        <v>2352</v>
      </c>
      <c r="E1463" s="49" t="str">
        <f aca="false">"5060458890191"</f>
        <v>5060458890191</v>
      </c>
      <c r="F1463" s="49" t="s">
        <v>3656</v>
      </c>
      <c r="G1463" s="49" t="n">
        <v>0</v>
      </c>
      <c r="H1463" s="0" t="n">
        <v>0</v>
      </c>
      <c r="J1463" s="49" t="s">
        <v>3785</v>
      </c>
      <c r="K1463" s="52" t="n">
        <v>46702</v>
      </c>
      <c r="M1463" s="51" t="s">
        <v>3786</v>
      </c>
      <c r="N1463" s="49" t="n">
        <v>1</v>
      </c>
      <c r="O1463" s="53" t="n">
        <v>46014.3401736111</v>
      </c>
      <c r="P1463" s="53" t="n">
        <v>46027.3606828704</v>
      </c>
      <c r="Q1463" s="53" t="n">
        <v>46014.3401736111</v>
      </c>
      <c r="R1463" s="0" t="n">
        <v>0</v>
      </c>
      <c r="S1463" s="51" t="s">
        <v>2383</v>
      </c>
      <c r="T1463" s="51" t="s">
        <v>2383</v>
      </c>
      <c r="U1463" s="0" t="str">
        <f aca="false">"5060458890191"</f>
        <v>5060458890191</v>
      </c>
      <c r="V1463" s="51" t="s">
        <v>2142</v>
      </c>
      <c r="W1463" s="51" t="s">
        <v>2384</v>
      </c>
      <c r="X1463" s="51" t="s">
        <v>2359</v>
      </c>
    </row>
    <row r="1464" customFormat="false" ht="14.25" hidden="true" customHeight="false" outlineLevel="0" collapsed="false">
      <c r="A1464" s="49" t="s">
        <v>2349</v>
      </c>
      <c r="B1464" s="49" t="s">
        <v>2350</v>
      </c>
      <c r="C1464" s="49" t="s">
        <v>3787</v>
      </c>
      <c r="D1464" s="49" t="s">
        <v>2352</v>
      </c>
      <c r="E1464" s="49" t="str">
        <f aca="false">"5060458890191"</f>
        <v>5060458890191</v>
      </c>
      <c r="F1464" s="49" t="s">
        <v>3656</v>
      </c>
      <c r="G1464" s="49" t="n">
        <v>0</v>
      </c>
      <c r="H1464" s="0" t="n">
        <v>0</v>
      </c>
      <c r="J1464" s="49" t="s">
        <v>3788</v>
      </c>
      <c r="K1464" s="52" t="n">
        <v>46703</v>
      </c>
      <c r="M1464" s="51" t="s">
        <v>3786</v>
      </c>
      <c r="N1464" s="49" t="n">
        <v>1</v>
      </c>
      <c r="O1464" s="53" t="n">
        <v>46014.341400463</v>
      </c>
      <c r="P1464" s="53" t="n">
        <v>46027.3732291667</v>
      </c>
      <c r="Q1464" s="53" t="n">
        <v>46014.341400463</v>
      </c>
      <c r="R1464" s="0" t="n">
        <v>0</v>
      </c>
      <c r="S1464" s="51" t="s">
        <v>2383</v>
      </c>
      <c r="T1464" s="51" t="s">
        <v>2383</v>
      </c>
      <c r="U1464" s="0" t="str">
        <f aca="false">"5060458890191"</f>
        <v>5060458890191</v>
      </c>
      <c r="V1464" s="51" t="s">
        <v>2142</v>
      </c>
      <c r="W1464" s="51" t="s">
        <v>3789</v>
      </c>
      <c r="X1464" s="51" t="s">
        <v>2359</v>
      </c>
    </row>
    <row r="1465" customFormat="false" ht="14.25" hidden="true" customHeight="false" outlineLevel="0" collapsed="false">
      <c r="A1465" s="49" t="s">
        <v>2349</v>
      </c>
      <c r="B1465" s="49" t="s">
        <v>2350</v>
      </c>
      <c r="C1465" s="49" t="s">
        <v>3790</v>
      </c>
      <c r="D1465" s="49" t="s">
        <v>2352</v>
      </c>
      <c r="E1465" s="49" t="str">
        <f aca="false">"5060458890191"</f>
        <v>5060458890191</v>
      </c>
      <c r="F1465" s="49" t="s">
        <v>3656</v>
      </c>
      <c r="G1465" s="49" t="n">
        <v>0</v>
      </c>
      <c r="H1465" s="0" t="n">
        <v>0</v>
      </c>
      <c r="J1465" s="49" t="s">
        <v>3788</v>
      </c>
      <c r="K1465" s="52" t="n">
        <v>46703</v>
      </c>
      <c r="M1465" s="51" t="s">
        <v>3786</v>
      </c>
      <c r="N1465" s="49" t="n">
        <v>1</v>
      </c>
      <c r="O1465" s="53" t="n">
        <v>46014.5517361111</v>
      </c>
      <c r="P1465" s="53" t="n">
        <v>46027.3734375</v>
      </c>
      <c r="Q1465" s="53" t="n">
        <v>46014.5517361111</v>
      </c>
      <c r="R1465" s="0" t="n">
        <v>0</v>
      </c>
      <c r="S1465" s="51" t="s">
        <v>3780</v>
      </c>
      <c r="T1465" s="51" t="s">
        <v>3780</v>
      </c>
      <c r="U1465" s="0" t="str">
        <f aca="false">"5060458890191"</f>
        <v>5060458890191</v>
      </c>
      <c r="V1465" s="51" t="s">
        <v>2142</v>
      </c>
      <c r="W1465" s="51" t="s">
        <v>3789</v>
      </c>
      <c r="X1465" s="51" t="s">
        <v>2359</v>
      </c>
    </row>
    <row r="1466" customFormat="false" ht="14.25" hidden="true" customHeight="false" outlineLevel="0" collapsed="false">
      <c r="A1466" s="49" t="s">
        <v>2349</v>
      </c>
      <c r="B1466" s="49" t="s">
        <v>2350</v>
      </c>
      <c r="C1466" s="49" t="s">
        <v>3791</v>
      </c>
      <c r="D1466" s="49" t="s">
        <v>2352</v>
      </c>
      <c r="E1466" s="49" t="str">
        <f aca="false">"5060458890191"</f>
        <v>5060458890191</v>
      </c>
      <c r="F1466" s="49" t="s">
        <v>3656</v>
      </c>
      <c r="G1466" s="49" t="n">
        <v>0</v>
      </c>
      <c r="H1466" s="0" t="n">
        <v>0</v>
      </c>
      <c r="J1466" s="49" t="s">
        <v>3788</v>
      </c>
      <c r="K1466" s="52" t="n">
        <v>46703</v>
      </c>
      <c r="M1466" s="51" t="s">
        <v>3786</v>
      </c>
      <c r="N1466" s="49" t="n">
        <v>1</v>
      </c>
      <c r="O1466" s="53" t="n">
        <v>46014.552025463</v>
      </c>
      <c r="P1466" s="53" t="n">
        <v>46027.3611574074</v>
      </c>
      <c r="Q1466" s="53" t="n">
        <v>46014.552025463</v>
      </c>
      <c r="R1466" s="0" t="n">
        <v>0</v>
      </c>
      <c r="S1466" s="51" t="s">
        <v>3780</v>
      </c>
      <c r="T1466" s="51" t="s">
        <v>3780</v>
      </c>
      <c r="U1466" s="0" t="str">
        <f aca="false">"5060458890191"</f>
        <v>5060458890191</v>
      </c>
      <c r="V1466" s="51" t="s">
        <v>2142</v>
      </c>
      <c r="W1466" s="51" t="s">
        <v>2384</v>
      </c>
      <c r="X1466" s="51" t="s">
        <v>2359</v>
      </c>
    </row>
    <row r="1467" customFormat="false" ht="14.25" hidden="false" customHeight="false" outlineLevel="0" collapsed="false">
      <c r="I1467" s="51"/>
      <c r="K1467" s="52"/>
      <c r="O1467" s="53"/>
      <c r="P1467" s="53"/>
      <c r="Q1467" s="53"/>
      <c r="S1467" s="51"/>
      <c r="T1467" s="51"/>
      <c r="V1467" s="51"/>
      <c r="W1467" s="51"/>
      <c r="X1467" s="51"/>
    </row>
    <row r="1468" customFormat="false" ht="14.25" hidden="true" customHeight="false" outlineLevel="0" collapsed="false">
      <c r="A1468" s="49" t="s">
        <v>2349</v>
      </c>
      <c r="B1468" s="49" t="s">
        <v>2350</v>
      </c>
      <c r="C1468" s="49" t="s">
        <v>3792</v>
      </c>
      <c r="D1468" s="49" t="s">
        <v>2352</v>
      </c>
      <c r="E1468" s="49" t="str">
        <f aca="false">"5060458890191"</f>
        <v>5060458890191</v>
      </c>
      <c r="F1468" s="49" t="s">
        <v>3656</v>
      </c>
      <c r="G1468" s="49" t="n">
        <v>0</v>
      </c>
      <c r="H1468" s="0" t="n">
        <v>0</v>
      </c>
      <c r="J1468" s="49" t="s">
        <v>3788</v>
      </c>
      <c r="K1468" s="52" t="n">
        <v>46703</v>
      </c>
      <c r="M1468" s="51" t="s">
        <v>3786</v>
      </c>
      <c r="N1468" s="49" t="n">
        <v>1</v>
      </c>
      <c r="O1468" s="53" t="n">
        <v>46014.3396759259</v>
      </c>
      <c r="P1468" s="53" t="n">
        <v>46027.3608912037</v>
      </c>
      <c r="Q1468" s="53" t="n">
        <v>46014.3396759259</v>
      </c>
      <c r="R1468" s="0" t="n">
        <v>0</v>
      </c>
      <c r="S1468" s="51" t="s">
        <v>2383</v>
      </c>
      <c r="T1468" s="51" t="s">
        <v>2383</v>
      </c>
      <c r="U1468" s="0" t="str">
        <f aca="false">"5060458890191"</f>
        <v>5060458890191</v>
      </c>
      <c r="V1468" s="51" t="s">
        <v>2142</v>
      </c>
      <c r="W1468" s="51" t="s">
        <v>2384</v>
      </c>
      <c r="X1468" s="51" t="s">
        <v>2359</v>
      </c>
    </row>
    <row r="1469" customFormat="false" ht="14.25" hidden="true" customHeight="false" outlineLevel="0" collapsed="false">
      <c r="A1469" s="49" t="s">
        <v>2349</v>
      </c>
      <c r="B1469" s="49" t="s">
        <v>2350</v>
      </c>
      <c r="C1469" s="49" t="s">
        <v>3793</v>
      </c>
      <c r="D1469" s="49" t="s">
        <v>2352</v>
      </c>
      <c r="E1469" s="49" t="str">
        <f aca="false">"5060458890191"</f>
        <v>5060458890191</v>
      </c>
      <c r="F1469" s="49" t="s">
        <v>3656</v>
      </c>
      <c r="G1469" s="49" t="n">
        <v>0</v>
      </c>
      <c r="H1469" s="0" t="n">
        <v>0</v>
      </c>
      <c r="J1469" s="49" t="s">
        <v>3788</v>
      </c>
      <c r="K1469" s="52" t="n">
        <v>46703</v>
      </c>
      <c r="M1469" s="51" t="s">
        <v>3786</v>
      </c>
      <c r="N1469" s="49" t="n">
        <v>1</v>
      </c>
      <c r="O1469" s="53" t="n">
        <v>46014.3406712963</v>
      </c>
      <c r="P1469" s="53" t="n">
        <v>46027.3733449074</v>
      </c>
      <c r="Q1469" s="53" t="n">
        <v>46014.3406712963</v>
      </c>
      <c r="R1469" s="0" t="n">
        <v>0</v>
      </c>
      <c r="S1469" s="51" t="s">
        <v>2383</v>
      </c>
      <c r="T1469" s="51" t="s">
        <v>2383</v>
      </c>
      <c r="U1469" s="0" t="str">
        <f aca="false">"5060458890191"</f>
        <v>5060458890191</v>
      </c>
      <c r="V1469" s="51" t="s">
        <v>2142</v>
      </c>
      <c r="W1469" s="51" t="s">
        <v>3789</v>
      </c>
      <c r="X1469" s="51" t="s">
        <v>2359</v>
      </c>
    </row>
    <row r="1470" customFormat="false" ht="14.25" hidden="false" customHeight="false" outlineLevel="0" collapsed="false">
      <c r="I1470" s="51"/>
      <c r="K1470" s="52"/>
      <c r="O1470" s="53"/>
      <c r="P1470" s="53"/>
      <c r="Q1470" s="53"/>
      <c r="S1470" s="51"/>
      <c r="T1470" s="51"/>
      <c r="V1470" s="51"/>
      <c r="X1470" s="51"/>
    </row>
    <row r="1471" customFormat="false" ht="14.25" hidden="false" customHeight="false" outlineLevel="0" collapsed="false">
      <c r="I1471" s="51"/>
      <c r="K1471" s="52"/>
      <c r="L1471" s="54"/>
      <c r="M1471" s="51"/>
      <c r="O1471" s="53"/>
      <c r="P1471" s="53"/>
      <c r="Q1471" s="53"/>
      <c r="S1471" s="51"/>
      <c r="T1471" s="51"/>
      <c r="V1471" s="51"/>
      <c r="X1471" s="51"/>
    </row>
    <row r="1472" customFormat="false" ht="14.25" hidden="false" customHeight="false" outlineLevel="0" collapsed="false">
      <c r="I1472" s="51"/>
      <c r="K1472" s="52"/>
      <c r="L1472" s="54"/>
      <c r="M1472" s="51"/>
      <c r="O1472" s="53"/>
      <c r="P1472" s="53"/>
      <c r="Q1472" s="53"/>
      <c r="S1472" s="51"/>
      <c r="T1472" s="51"/>
      <c r="V1472" s="51"/>
      <c r="X1472" s="51"/>
    </row>
    <row r="1473" customFormat="false" ht="14.25" hidden="false" customHeight="false" outlineLevel="0" collapsed="false">
      <c r="I1473" s="51"/>
      <c r="K1473" s="52"/>
      <c r="L1473" s="54"/>
      <c r="M1473" s="51"/>
      <c r="O1473" s="53"/>
      <c r="P1473" s="53"/>
      <c r="Q1473" s="53"/>
      <c r="S1473" s="51"/>
      <c r="T1473" s="51"/>
      <c r="V1473" s="51"/>
      <c r="X1473" s="51"/>
    </row>
    <row r="1474" customFormat="false" ht="14.25" hidden="false" customHeight="false" outlineLevel="0" collapsed="false">
      <c r="I1474" s="51"/>
      <c r="K1474" s="52"/>
      <c r="L1474" s="54"/>
      <c r="M1474" s="51"/>
      <c r="O1474" s="53"/>
      <c r="P1474" s="53"/>
      <c r="Q1474" s="53"/>
      <c r="S1474" s="51"/>
      <c r="T1474" s="51"/>
      <c r="V1474" s="51"/>
      <c r="X1474" s="51"/>
    </row>
    <row r="1475" customFormat="false" ht="14.25" hidden="false" customHeight="false" outlineLevel="0" collapsed="false">
      <c r="I1475" s="51"/>
      <c r="K1475" s="52"/>
      <c r="O1475" s="53"/>
      <c r="P1475" s="53"/>
      <c r="Q1475" s="53"/>
      <c r="S1475" s="51"/>
      <c r="T1475" s="51"/>
      <c r="V1475" s="51"/>
      <c r="X1475" s="51"/>
    </row>
    <row r="1476" customFormat="false" ht="14.25" hidden="true" customHeight="false" outlineLevel="0" collapsed="false">
      <c r="A1476" s="49" t="s">
        <v>2349</v>
      </c>
      <c r="B1476" s="49" t="s">
        <v>2350</v>
      </c>
      <c r="C1476" s="49" t="s">
        <v>3794</v>
      </c>
      <c r="D1476" s="49" t="s">
        <v>2397</v>
      </c>
      <c r="E1476" s="49" t="str">
        <f aca="false">"5060458890191"</f>
        <v>5060458890191</v>
      </c>
      <c r="F1476" s="49" t="s">
        <v>3656</v>
      </c>
      <c r="G1476" s="49" t="n">
        <v>0</v>
      </c>
      <c r="H1476" s="0" t="n">
        <v>0</v>
      </c>
      <c r="J1476" s="49" t="s">
        <v>3795</v>
      </c>
      <c r="K1476" s="52" t="n">
        <v>46712</v>
      </c>
      <c r="L1476" s="54" t="n">
        <v>46714</v>
      </c>
      <c r="M1476" s="51" t="s">
        <v>3796</v>
      </c>
      <c r="N1476" s="49" t="n">
        <v>6</v>
      </c>
      <c r="O1476" s="53" t="n">
        <v>46020.3852662037</v>
      </c>
      <c r="P1476" s="53" t="n">
        <v>46037.0887268519</v>
      </c>
      <c r="Q1476" s="53" t="n">
        <v>46020.3852662037</v>
      </c>
      <c r="R1476" s="0" t="n">
        <v>0</v>
      </c>
      <c r="S1476" s="51" t="s">
        <v>3780</v>
      </c>
      <c r="T1476" s="51" t="s">
        <v>3780</v>
      </c>
      <c r="U1476" s="0" t="str">
        <f aca="false">"5060458890191"</f>
        <v>5060458890191</v>
      </c>
      <c r="V1476" s="51" t="s">
        <v>2142</v>
      </c>
      <c r="X1476" s="51" t="s">
        <v>2359</v>
      </c>
    </row>
    <row r="1477" customFormat="false" ht="14.25" hidden="false" customHeight="false" outlineLevel="0" collapsed="false">
      <c r="I1477" s="51"/>
      <c r="K1477" s="52"/>
      <c r="L1477" s="54"/>
      <c r="M1477" s="51"/>
      <c r="O1477" s="53"/>
      <c r="P1477" s="53"/>
      <c r="Q1477" s="53"/>
      <c r="S1477" s="51"/>
      <c r="T1477" s="51"/>
      <c r="V1477" s="51"/>
      <c r="W1477" s="51"/>
      <c r="X1477" s="51"/>
    </row>
    <row r="1478" customFormat="false" ht="14.25" hidden="false" customHeight="false" outlineLevel="0" collapsed="false">
      <c r="I1478" s="51"/>
      <c r="K1478" s="52"/>
      <c r="L1478" s="54"/>
      <c r="M1478" s="51"/>
      <c r="O1478" s="53"/>
      <c r="P1478" s="53"/>
      <c r="Q1478" s="53"/>
      <c r="S1478" s="51"/>
      <c r="T1478" s="51"/>
      <c r="V1478" s="51"/>
      <c r="W1478" s="51"/>
      <c r="X1478" s="51"/>
    </row>
    <row r="1479" customFormat="false" ht="14.25" hidden="false" customHeight="false" outlineLevel="0" collapsed="false">
      <c r="I1479" s="51"/>
      <c r="K1479" s="52"/>
      <c r="O1479" s="53"/>
      <c r="P1479" s="53"/>
      <c r="Q1479" s="53"/>
      <c r="S1479" s="51"/>
      <c r="T1479" s="51"/>
      <c r="U1479" s="51"/>
      <c r="V1479" s="51"/>
      <c r="W1479" s="51"/>
      <c r="X1479" s="51"/>
    </row>
    <row r="1480" customFormat="false" ht="14.25" hidden="false" customHeight="false" outlineLevel="0" collapsed="false">
      <c r="I1480" s="51"/>
      <c r="K1480" s="52"/>
      <c r="L1480" s="54"/>
      <c r="M1480" s="51"/>
      <c r="O1480" s="53"/>
      <c r="P1480" s="53"/>
      <c r="Q1480" s="53"/>
      <c r="S1480" s="51"/>
      <c r="T1480" s="51"/>
      <c r="V1480" s="51"/>
      <c r="X1480" s="51"/>
    </row>
    <row r="1481" customFormat="false" ht="14.25" hidden="false" customHeight="false" outlineLevel="0" collapsed="false">
      <c r="I1481" s="51"/>
      <c r="K1481" s="52"/>
      <c r="O1481" s="53"/>
      <c r="P1481" s="53"/>
      <c r="Q1481" s="53"/>
      <c r="S1481" s="51"/>
      <c r="T1481" s="51"/>
      <c r="V1481" s="51"/>
      <c r="W1481" s="51"/>
      <c r="X1481" s="51"/>
    </row>
    <row r="1482" customFormat="false" ht="14.25" hidden="false" customHeight="false" outlineLevel="0" collapsed="false">
      <c r="I1482" s="51"/>
      <c r="K1482" s="52"/>
      <c r="O1482" s="53"/>
      <c r="P1482" s="53"/>
      <c r="Q1482" s="53"/>
      <c r="S1482" s="51"/>
      <c r="T1482" s="51"/>
      <c r="V1482" s="51"/>
      <c r="W1482" s="51"/>
      <c r="X1482" s="51"/>
    </row>
    <row r="1483" customFormat="false" ht="14.25" hidden="false" customHeight="false" outlineLevel="0" collapsed="false">
      <c r="I1483" s="51"/>
      <c r="K1483" s="52"/>
      <c r="O1483" s="53"/>
      <c r="P1483" s="53"/>
      <c r="Q1483" s="53"/>
      <c r="S1483" s="51"/>
      <c r="T1483" s="51"/>
      <c r="V1483" s="51"/>
      <c r="X1483" s="51"/>
    </row>
    <row r="1484" customFormat="false" ht="14.25" hidden="false" customHeight="false" outlineLevel="0" collapsed="false">
      <c r="I1484" s="51"/>
      <c r="K1484" s="52"/>
      <c r="O1484" s="53"/>
      <c r="P1484" s="53"/>
      <c r="Q1484" s="53"/>
      <c r="S1484" s="51"/>
      <c r="T1484" s="51"/>
      <c r="V1484" s="51"/>
      <c r="X1484" s="51"/>
    </row>
    <row r="1485" customFormat="false" ht="14.25" hidden="false" customHeight="false" outlineLevel="0" collapsed="false">
      <c r="I1485" s="51"/>
      <c r="K1485" s="52"/>
      <c r="O1485" s="53"/>
      <c r="P1485" s="53"/>
      <c r="Q1485" s="53"/>
      <c r="S1485" s="51"/>
      <c r="T1485" s="51"/>
      <c r="V1485" s="51"/>
      <c r="X1485" s="51"/>
    </row>
    <row r="1486" customFormat="false" ht="14.25" hidden="false" customHeight="false" outlineLevel="0" collapsed="false">
      <c r="I1486" s="51"/>
      <c r="K1486" s="52"/>
      <c r="O1486" s="53"/>
      <c r="P1486" s="53"/>
      <c r="Q1486" s="53"/>
      <c r="S1486" s="51"/>
      <c r="T1486" s="51"/>
      <c r="V1486" s="51"/>
      <c r="W1486" s="51"/>
      <c r="X1486" s="51"/>
    </row>
    <row r="1487" customFormat="false" ht="14.25" hidden="false" customHeight="false" outlineLevel="0" collapsed="false">
      <c r="I1487" s="51"/>
      <c r="K1487" s="52"/>
      <c r="O1487" s="53"/>
      <c r="P1487" s="53"/>
      <c r="Q1487" s="53"/>
      <c r="S1487" s="51"/>
      <c r="T1487" s="51"/>
      <c r="V1487" s="51"/>
      <c r="W1487" s="51"/>
      <c r="X1487" s="51"/>
    </row>
    <row r="1488" customFormat="false" ht="14.25" hidden="false" customHeight="false" outlineLevel="0" collapsed="false">
      <c r="I1488" s="51"/>
      <c r="K1488" s="52"/>
      <c r="O1488" s="53"/>
      <c r="P1488" s="53"/>
      <c r="Q1488" s="53"/>
      <c r="S1488" s="51"/>
      <c r="T1488" s="51"/>
      <c r="V1488" s="51"/>
      <c r="W1488" s="51"/>
      <c r="X1488" s="51"/>
    </row>
    <row r="1489" customFormat="false" ht="14.25" hidden="false" customHeight="false" outlineLevel="0" collapsed="false">
      <c r="I1489" s="51"/>
      <c r="K1489" s="52"/>
      <c r="O1489" s="53"/>
      <c r="P1489" s="53"/>
      <c r="Q1489" s="53"/>
      <c r="S1489" s="51"/>
      <c r="T1489" s="51"/>
      <c r="V1489" s="51"/>
      <c r="X1489" s="51"/>
    </row>
    <row r="1490" customFormat="false" ht="14.25" hidden="false" customHeight="false" outlineLevel="0" collapsed="false">
      <c r="I1490" s="51"/>
      <c r="K1490" s="52"/>
      <c r="O1490" s="53"/>
      <c r="P1490" s="53"/>
      <c r="Q1490" s="53"/>
      <c r="S1490" s="51"/>
      <c r="T1490" s="51"/>
      <c r="V1490" s="51"/>
      <c r="X1490" s="51"/>
    </row>
    <row r="1491" customFormat="false" ht="14.25" hidden="false" customHeight="false" outlineLevel="0" collapsed="false">
      <c r="I1491" s="51"/>
      <c r="K1491" s="52"/>
      <c r="O1491" s="53"/>
      <c r="P1491" s="53"/>
      <c r="Q1491" s="53"/>
      <c r="S1491" s="51"/>
      <c r="T1491" s="51"/>
      <c r="V1491" s="51"/>
      <c r="W1491" s="51"/>
      <c r="X1491" s="51"/>
    </row>
    <row r="1492" customFormat="false" ht="14.25" hidden="false" customHeight="false" outlineLevel="0" collapsed="false">
      <c r="I1492" s="51"/>
      <c r="K1492" s="52"/>
      <c r="O1492" s="53"/>
      <c r="P1492" s="53"/>
      <c r="Q1492" s="53"/>
      <c r="S1492" s="51"/>
      <c r="T1492" s="51"/>
      <c r="V1492" s="51"/>
      <c r="X1492" s="51"/>
    </row>
    <row r="1493" customFormat="false" ht="14.25" hidden="false" customHeight="false" outlineLevel="0" collapsed="false">
      <c r="I1493" s="51"/>
      <c r="K1493" s="52"/>
      <c r="O1493" s="53"/>
      <c r="P1493" s="53"/>
      <c r="Q1493" s="53"/>
      <c r="S1493" s="51"/>
      <c r="T1493" s="51"/>
      <c r="V1493" s="51"/>
      <c r="X1493" s="51"/>
    </row>
    <row r="1494" customFormat="false" ht="14.25" hidden="false" customHeight="false" outlineLevel="0" collapsed="false">
      <c r="I1494" s="51"/>
      <c r="K1494" s="52"/>
      <c r="O1494" s="53"/>
      <c r="P1494" s="53"/>
      <c r="Q1494" s="53"/>
      <c r="S1494" s="51"/>
      <c r="T1494" s="51"/>
      <c r="V1494" s="51"/>
      <c r="X1494" s="51"/>
    </row>
    <row r="1495" customFormat="false" ht="14.25" hidden="false" customHeight="false" outlineLevel="0" collapsed="false">
      <c r="I1495" s="51"/>
      <c r="K1495" s="52"/>
      <c r="O1495" s="53"/>
      <c r="P1495" s="53"/>
      <c r="Q1495" s="53"/>
      <c r="S1495" s="51"/>
      <c r="T1495" s="51"/>
      <c r="V1495" s="51"/>
      <c r="X1495" s="51"/>
    </row>
    <row r="1496" customFormat="false" ht="14.25" hidden="false" customHeight="false" outlineLevel="0" collapsed="false">
      <c r="I1496" s="51"/>
      <c r="K1496" s="52"/>
      <c r="O1496" s="53"/>
      <c r="P1496" s="53"/>
      <c r="Q1496" s="53"/>
      <c r="S1496" s="51"/>
      <c r="T1496" s="51"/>
      <c r="V1496" s="51"/>
      <c r="X1496" s="51"/>
    </row>
    <row r="1497" customFormat="false" ht="14.25" hidden="false" customHeight="false" outlineLevel="0" collapsed="false">
      <c r="I1497" s="51"/>
      <c r="K1497" s="52"/>
      <c r="O1497" s="53"/>
      <c r="P1497" s="53"/>
      <c r="Q1497" s="53"/>
      <c r="S1497" s="51"/>
      <c r="T1497" s="51"/>
      <c r="V1497" s="51"/>
      <c r="X1497" s="51"/>
    </row>
    <row r="1498" customFormat="false" ht="14.25" hidden="false" customHeight="false" outlineLevel="0" collapsed="false">
      <c r="I1498" s="51"/>
      <c r="K1498" s="52"/>
      <c r="O1498" s="53"/>
      <c r="P1498" s="53"/>
      <c r="Q1498" s="53"/>
      <c r="S1498" s="51"/>
      <c r="T1498" s="51"/>
      <c r="V1498" s="51"/>
      <c r="X1498" s="51"/>
    </row>
    <row r="1499" customFormat="false" ht="14.25" hidden="false" customHeight="false" outlineLevel="0" collapsed="false">
      <c r="I1499" s="51"/>
      <c r="K1499" s="52"/>
      <c r="O1499" s="53"/>
      <c r="P1499" s="53"/>
      <c r="Q1499" s="53"/>
      <c r="S1499" s="51"/>
      <c r="T1499" s="51"/>
      <c r="V1499" s="51"/>
      <c r="X1499" s="51"/>
    </row>
    <row r="1500" customFormat="false" ht="14.25" hidden="false" customHeight="false" outlineLevel="0" collapsed="false">
      <c r="I1500" s="51"/>
      <c r="K1500" s="52"/>
      <c r="O1500" s="53"/>
      <c r="P1500" s="53"/>
      <c r="Q1500" s="53"/>
      <c r="S1500" s="51"/>
      <c r="T1500" s="51"/>
      <c r="V1500" s="51"/>
      <c r="W1500" s="51"/>
      <c r="X1500" s="51"/>
    </row>
    <row r="1501" customFormat="false" ht="14.25" hidden="false" customHeight="false" outlineLevel="0" collapsed="false">
      <c r="I1501" s="51"/>
      <c r="K1501" s="52"/>
      <c r="O1501" s="53"/>
      <c r="P1501" s="53"/>
      <c r="Q1501" s="53"/>
      <c r="S1501" s="51"/>
      <c r="T1501" s="51"/>
      <c r="V1501" s="51"/>
      <c r="W1501" s="51"/>
      <c r="X1501" s="51"/>
    </row>
    <row r="1502" customFormat="false" ht="14.25" hidden="false" customHeight="false" outlineLevel="0" collapsed="false">
      <c r="I1502" s="51"/>
      <c r="K1502" s="52"/>
      <c r="O1502" s="53"/>
      <c r="P1502" s="53"/>
      <c r="Q1502" s="53"/>
      <c r="S1502" s="51"/>
      <c r="T1502" s="51"/>
      <c r="V1502" s="51"/>
      <c r="X1502" s="51"/>
    </row>
    <row r="1503" customFormat="false" ht="14.25" hidden="false" customHeight="false" outlineLevel="0" collapsed="false">
      <c r="I1503" s="51"/>
      <c r="K1503" s="52"/>
      <c r="O1503" s="53"/>
      <c r="P1503" s="53"/>
      <c r="Q1503" s="53"/>
      <c r="S1503" s="51"/>
      <c r="T1503" s="51"/>
      <c r="V1503" s="51"/>
      <c r="W1503" s="51"/>
      <c r="X1503" s="51"/>
    </row>
    <row r="1504" customFormat="false" ht="14.25" hidden="false" customHeight="false" outlineLevel="0" collapsed="false">
      <c r="I1504" s="51"/>
      <c r="K1504" s="52"/>
      <c r="O1504" s="53"/>
      <c r="P1504" s="53"/>
      <c r="Q1504" s="53"/>
      <c r="S1504" s="51"/>
      <c r="T1504" s="51"/>
      <c r="V1504" s="51"/>
      <c r="X1504" s="51"/>
    </row>
    <row r="1505" customFormat="false" ht="14.25" hidden="false" customHeight="false" outlineLevel="0" collapsed="false">
      <c r="I1505" s="51"/>
      <c r="K1505" s="52"/>
      <c r="O1505" s="53"/>
      <c r="P1505" s="53"/>
      <c r="Q1505" s="53"/>
      <c r="S1505" s="51"/>
      <c r="T1505" s="51"/>
      <c r="V1505" s="51"/>
      <c r="X1505" s="51"/>
    </row>
    <row r="1506" customFormat="false" ht="14.25" hidden="false" customHeight="false" outlineLevel="0" collapsed="false">
      <c r="I1506" s="51"/>
      <c r="K1506" s="52"/>
      <c r="O1506" s="53"/>
      <c r="P1506" s="53"/>
      <c r="Q1506" s="53"/>
      <c r="S1506" s="51"/>
      <c r="T1506" s="51"/>
      <c r="V1506" s="51"/>
      <c r="X1506" s="51"/>
    </row>
    <row r="1507" customFormat="false" ht="14.25" hidden="false" customHeight="false" outlineLevel="0" collapsed="false">
      <c r="I1507" s="51"/>
      <c r="K1507" s="52"/>
      <c r="O1507" s="53"/>
      <c r="P1507" s="53"/>
      <c r="Q1507" s="53"/>
      <c r="S1507" s="51"/>
      <c r="T1507" s="51"/>
      <c r="V1507" s="51"/>
      <c r="X1507" s="51"/>
    </row>
    <row r="1508" customFormat="false" ht="14.25" hidden="false" customHeight="false" outlineLevel="0" collapsed="false">
      <c r="I1508" s="51"/>
      <c r="K1508" s="52"/>
      <c r="O1508" s="53"/>
      <c r="P1508" s="53"/>
      <c r="Q1508" s="53"/>
      <c r="S1508" s="51"/>
      <c r="T1508" s="51"/>
      <c r="V1508" s="51"/>
      <c r="X1508" s="51"/>
    </row>
    <row r="1509" customFormat="false" ht="14.25" hidden="false" customHeight="false" outlineLevel="0" collapsed="false">
      <c r="I1509" s="51"/>
      <c r="K1509" s="52"/>
      <c r="O1509" s="53"/>
      <c r="P1509" s="53"/>
      <c r="Q1509" s="53"/>
      <c r="S1509" s="51"/>
      <c r="T1509" s="51"/>
      <c r="V1509" s="51"/>
      <c r="X1509" s="51"/>
    </row>
    <row r="1510" customFormat="false" ht="14.25" hidden="false" customHeight="false" outlineLevel="0" collapsed="false">
      <c r="I1510" s="51"/>
      <c r="K1510" s="52"/>
      <c r="O1510" s="53"/>
      <c r="P1510" s="53"/>
      <c r="Q1510" s="53"/>
      <c r="S1510" s="51"/>
      <c r="T1510" s="51"/>
      <c r="V1510" s="51"/>
      <c r="X1510" s="51"/>
    </row>
    <row r="1511" customFormat="false" ht="14.25" hidden="false" customHeight="false" outlineLevel="0" collapsed="false">
      <c r="I1511" s="51"/>
      <c r="K1511" s="52"/>
      <c r="O1511" s="53"/>
      <c r="P1511" s="53"/>
      <c r="Q1511" s="53"/>
      <c r="S1511" s="51"/>
      <c r="T1511" s="51"/>
      <c r="U1511" s="51"/>
      <c r="V1511" s="51"/>
      <c r="X1511" s="51"/>
    </row>
    <row r="1512" customFormat="false" ht="14.25" hidden="false" customHeight="false" outlineLevel="0" collapsed="false">
      <c r="I1512" s="51"/>
      <c r="K1512" s="52"/>
      <c r="O1512" s="53"/>
      <c r="P1512" s="53"/>
      <c r="Q1512" s="53"/>
      <c r="S1512" s="51"/>
      <c r="T1512" s="51"/>
      <c r="U1512" s="51"/>
      <c r="V1512" s="51"/>
      <c r="W1512" s="51"/>
      <c r="X1512" s="51"/>
    </row>
    <row r="1513" customFormat="false" ht="14.25" hidden="false" customHeight="false" outlineLevel="0" collapsed="false">
      <c r="I1513" s="51"/>
      <c r="K1513" s="52"/>
      <c r="O1513" s="53"/>
      <c r="P1513" s="53"/>
      <c r="Q1513" s="53"/>
      <c r="S1513" s="51"/>
      <c r="T1513" s="51"/>
      <c r="U1513" s="51"/>
      <c r="V1513" s="51"/>
      <c r="X1513" s="51"/>
    </row>
    <row r="1514" customFormat="false" ht="14.25" hidden="false" customHeight="false" outlineLevel="0" collapsed="false">
      <c r="I1514" s="51"/>
      <c r="K1514" s="52"/>
      <c r="L1514" s="54"/>
      <c r="M1514" s="51"/>
      <c r="O1514" s="53"/>
      <c r="P1514" s="53"/>
      <c r="Q1514" s="53"/>
      <c r="S1514" s="51"/>
      <c r="T1514" s="51"/>
      <c r="V1514" s="51"/>
      <c r="X1514" s="51"/>
    </row>
    <row r="1515" customFormat="false" ht="14.25" hidden="false" customHeight="false" outlineLevel="0" collapsed="false">
      <c r="I1515" s="51"/>
      <c r="K1515" s="52"/>
      <c r="L1515" s="54"/>
      <c r="M1515" s="51"/>
      <c r="O1515" s="53"/>
      <c r="P1515" s="53"/>
      <c r="Q1515" s="53"/>
      <c r="S1515" s="51"/>
      <c r="T1515" s="51"/>
      <c r="V1515" s="51"/>
      <c r="W1515" s="51"/>
      <c r="X1515" s="51"/>
    </row>
    <row r="1516" customFormat="false" ht="14.25" hidden="true" customHeight="false" outlineLevel="0" collapsed="false">
      <c r="A1516" s="49" t="s">
        <v>2349</v>
      </c>
      <c r="B1516" s="49" t="s">
        <v>2350</v>
      </c>
      <c r="C1516" s="49" t="s">
        <v>3797</v>
      </c>
      <c r="D1516" s="49" t="s">
        <v>2397</v>
      </c>
      <c r="E1516" s="49" t="str">
        <f aca="false">"5942326400223"</f>
        <v>5942326400223</v>
      </c>
      <c r="F1516" s="49" t="s">
        <v>3798</v>
      </c>
      <c r="G1516" s="49" t="n">
        <v>0</v>
      </c>
      <c r="H1516" s="0" t="n">
        <v>0</v>
      </c>
      <c r="J1516" s="49" t="str">
        <f aca="false">"13122025"</f>
        <v>13122025</v>
      </c>
      <c r="K1516" s="52" t="n">
        <v>46733</v>
      </c>
      <c r="M1516" s="51" t="s">
        <v>3799</v>
      </c>
      <c r="N1516" s="49" t="n">
        <v>0</v>
      </c>
      <c r="O1516" s="53" t="n">
        <v>46046.5694560185</v>
      </c>
      <c r="P1516" s="53" t="n">
        <v>46046.5807986111</v>
      </c>
      <c r="Q1516" s="53" t="n">
        <v>46046.5694560185</v>
      </c>
      <c r="R1516" s="0" t="n">
        <v>0</v>
      </c>
      <c r="S1516" s="51" t="s">
        <v>3800</v>
      </c>
      <c r="T1516" s="51" t="s">
        <v>3800</v>
      </c>
      <c r="U1516" s="0" t="str">
        <f aca="false">"5942326400223"</f>
        <v>5942326400223</v>
      </c>
      <c r="V1516" s="51" t="s">
        <v>2365</v>
      </c>
      <c r="X1516" s="51" t="s">
        <v>2359</v>
      </c>
    </row>
    <row r="1517" customFormat="false" ht="14.25" hidden="false" customHeight="false" outlineLevel="0" collapsed="false">
      <c r="I1517" s="51"/>
      <c r="K1517" s="52"/>
      <c r="L1517" s="54"/>
      <c r="M1517" s="51"/>
      <c r="O1517" s="53"/>
      <c r="P1517" s="53"/>
      <c r="Q1517" s="53"/>
      <c r="S1517" s="51"/>
      <c r="T1517" s="51"/>
      <c r="V1517" s="51"/>
      <c r="X1517" s="51"/>
    </row>
    <row r="1518" customFormat="false" ht="14.25" hidden="true" customHeight="false" outlineLevel="0" collapsed="false">
      <c r="A1518" s="49" t="s">
        <v>2349</v>
      </c>
      <c r="B1518" s="49" t="s">
        <v>2350</v>
      </c>
      <c r="C1518" s="49" t="s">
        <v>3801</v>
      </c>
      <c r="D1518" s="49" t="s">
        <v>2397</v>
      </c>
      <c r="E1518" s="49" t="str">
        <f aca="false">"5942326400223"</f>
        <v>5942326400223</v>
      </c>
      <c r="F1518" s="49" t="s">
        <v>3798</v>
      </c>
      <c r="G1518" s="49" t="n">
        <v>0</v>
      </c>
      <c r="H1518" s="0" t="n">
        <v>0</v>
      </c>
      <c r="J1518" s="49" t="str">
        <f aca="false">"13122025"</f>
        <v>13122025</v>
      </c>
      <c r="K1518" s="52" t="n">
        <v>46733</v>
      </c>
      <c r="M1518" s="51" t="s">
        <v>3799</v>
      </c>
      <c r="N1518" s="49" t="n">
        <v>100</v>
      </c>
      <c r="O1518" s="53" t="n">
        <v>46046.5674884259</v>
      </c>
      <c r="P1518" s="53" t="n">
        <v>46046.5772800926</v>
      </c>
      <c r="Q1518" s="53" t="n">
        <v>46046.5674884259</v>
      </c>
      <c r="R1518" s="0" t="n">
        <v>0</v>
      </c>
      <c r="S1518" s="51" t="s">
        <v>3800</v>
      </c>
      <c r="T1518" s="51" t="s">
        <v>3800</v>
      </c>
      <c r="U1518" s="0" t="str">
        <f aca="false">"5942326400223"</f>
        <v>5942326400223</v>
      </c>
      <c r="V1518" s="51" t="s">
        <v>2365</v>
      </c>
      <c r="X1518" s="51" t="s">
        <v>2359</v>
      </c>
    </row>
    <row r="1519" customFormat="false" ht="14.25" hidden="false" customHeight="false" outlineLevel="0" collapsed="false">
      <c r="I1519" s="51"/>
      <c r="K1519" s="52"/>
      <c r="O1519" s="53"/>
      <c r="P1519" s="53"/>
    </row>
    <row r="1520" customFormat="false" ht="14.25" hidden="false" customHeight="false" outlineLevel="0" collapsed="false">
      <c r="I1520" s="51"/>
      <c r="K1520" s="52"/>
      <c r="O1520" s="53"/>
      <c r="P1520" s="53"/>
      <c r="Q1520" s="53"/>
      <c r="S1520" s="51"/>
      <c r="T1520" s="51"/>
      <c r="U1520" s="51"/>
      <c r="V1520" s="51"/>
      <c r="W1520" s="51"/>
      <c r="X1520" s="51"/>
    </row>
    <row r="1521" customFormat="false" ht="14.25" hidden="false" customHeight="false" outlineLevel="0" collapsed="false">
      <c r="I1521" s="51"/>
      <c r="K1521" s="52"/>
      <c r="L1521" s="54"/>
      <c r="M1521" s="51"/>
      <c r="O1521" s="53"/>
      <c r="P1521" s="53"/>
      <c r="Q1521" s="53"/>
      <c r="S1521" s="51"/>
      <c r="T1521" s="51"/>
      <c r="V1521" s="51"/>
      <c r="X1521" s="51"/>
    </row>
    <row r="1522" customFormat="false" ht="14.25" hidden="false" customHeight="false" outlineLevel="0" collapsed="false">
      <c r="I1522" s="51"/>
      <c r="K1522" s="52"/>
      <c r="L1522" s="54"/>
      <c r="M1522" s="51"/>
      <c r="O1522" s="53"/>
      <c r="P1522" s="53"/>
      <c r="Q1522" s="53"/>
      <c r="S1522" s="51"/>
      <c r="T1522" s="51"/>
      <c r="V1522" s="51"/>
      <c r="X1522" s="51"/>
    </row>
    <row r="1523" customFormat="false" ht="14.25" hidden="false" customHeight="false" outlineLevel="0" collapsed="false">
      <c r="I1523" s="51"/>
      <c r="K1523" s="52"/>
      <c r="O1523" s="53"/>
      <c r="P1523" s="53"/>
      <c r="Q1523" s="53"/>
      <c r="S1523" s="51"/>
      <c r="T1523" s="51"/>
      <c r="U1523" s="51"/>
      <c r="V1523" s="51"/>
      <c r="X1523" s="51"/>
    </row>
    <row r="1524" customFormat="false" ht="14.25" hidden="true" customHeight="false" outlineLevel="0" collapsed="false">
      <c r="A1524" s="49" t="s">
        <v>2349</v>
      </c>
      <c r="B1524" s="49" t="s">
        <v>2350</v>
      </c>
      <c r="C1524" s="49" t="s">
        <v>3802</v>
      </c>
      <c r="D1524" s="49" t="s">
        <v>2397</v>
      </c>
      <c r="E1524" s="49" t="str">
        <f aca="false">"5942326400483"</f>
        <v>5942326400483</v>
      </c>
      <c r="F1524" s="49" t="s">
        <v>3651</v>
      </c>
      <c r="G1524" s="49" t="n">
        <v>0</v>
      </c>
      <c r="H1524" s="0" t="n">
        <v>0</v>
      </c>
      <c r="J1524" s="49" t="str">
        <f aca="false">"1122025"</f>
        <v>1122025</v>
      </c>
      <c r="K1524" s="52" t="n">
        <v>46751</v>
      </c>
      <c r="L1524" s="54" t="n">
        <v>46751</v>
      </c>
      <c r="M1524" s="51" t="s">
        <v>3799</v>
      </c>
      <c r="N1524" s="49" t="n">
        <v>0</v>
      </c>
      <c r="O1524" s="53" t="n">
        <v>46046.5805092593</v>
      </c>
      <c r="P1524" s="53" t="n">
        <v>46046.5826273148</v>
      </c>
      <c r="R1524" s="0" t="n">
        <v>0</v>
      </c>
      <c r="T1524" s="51" t="s">
        <v>3800</v>
      </c>
      <c r="U1524" s="0" t="str">
        <f aca="false">"5942326400483"</f>
        <v>5942326400483</v>
      </c>
      <c r="V1524" s="51" t="s">
        <v>2365</v>
      </c>
      <c r="X1524" s="51" t="s">
        <v>2359</v>
      </c>
    </row>
    <row r="1525" customFormat="false" ht="14.25" hidden="false" customHeight="false" outlineLevel="0" collapsed="false">
      <c r="I1525" s="51"/>
      <c r="K1525" s="52"/>
      <c r="L1525" s="54"/>
      <c r="M1525" s="51"/>
      <c r="O1525" s="53"/>
      <c r="P1525" s="53"/>
      <c r="Q1525" s="53"/>
      <c r="S1525" s="51"/>
      <c r="T1525" s="51"/>
      <c r="V1525" s="51"/>
      <c r="X1525" s="51"/>
    </row>
    <row r="1526" customFormat="false" ht="14.25" hidden="false" customHeight="false" outlineLevel="0" collapsed="false">
      <c r="I1526" s="51"/>
      <c r="K1526" s="52"/>
      <c r="L1526" s="54"/>
      <c r="M1526" s="51"/>
      <c r="O1526" s="53"/>
      <c r="P1526" s="53"/>
      <c r="Q1526" s="53"/>
      <c r="S1526" s="51"/>
      <c r="T1526" s="51"/>
      <c r="V1526" s="51"/>
      <c r="X1526" s="51"/>
    </row>
    <row r="1527" customFormat="false" ht="14.25" hidden="false" customHeight="false" outlineLevel="0" collapsed="false">
      <c r="I1527" s="51"/>
      <c r="K1527" s="52"/>
      <c r="L1527" s="54"/>
      <c r="M1527" s="51"/>
      <c r="O1527" s="53"/>
      <c r="P1527" s="53"/>
      <c r="Q1527" s="53"/>
      <c r="S1527" s="51"/>
      <c r="T1527" s="51"/>
      <c r="V1527" s="51"/>
      <c r="X1527" s="51"/>
    </row>
    <row r="1528" customFormat="false" ht="14.25" hidden="false" customHeight="false" outlineLevel="0" collapsed="false">
      <c r="I1528" s="51"/>
      <c r="K1528" s="52"/>
      <c r="L1528" s="54"/>
      <c r="M1528" s="51"/>
      <c r="O1528" s="53"/>
      <c r="P1528" s="53"/>
      <c r="Q1528" s="53"/>
      <c r="S1528" s="51"/>
      <c r="T1528" s="51"/>
      <c r="V1528" s="51"/>
      <c r="X1528" s="51"/>
    </row>
    <row r="1529" customFormat="false" ht="14.25" hidden="false" customHeight="false" outlineLevel="0" collapsed="false">
      <c r="I1529" s="51"/>
      <c r="K1529" s="52"/>
      <c r="L1529" s="54"/>
      <c r="M1529" s="51"/>
      <c r="O1529" s="53"/>
      <c r="P1529" s="53"/>
      <c r="Q1529" s="53"/>
      <c r="S1529" s="51"/>
      <c r="T1529" s="51"/>
      <c r="V1529" s="51"/>
      <c r="X1529" s="51"/>
    </row>
    <row r="1530" customFormat="false" ht="14.25" hidden="false" customHeight="false" outlineLevel="0" collapsed="false">
      <c r="I1530" s="51"/>
      <c r="K1530" s="52"/>
      <c r="L1530" s="54"/>
      <c r="M1530" s="51"/>
      <c r="O1530" s="53"/>
      <c r="P1530" s="53"/>
      <c r="Q1530" s="53"/>
      <c r="S1530" s="51"/>
      <c r="T1530" s="51"/>
      <c r="V1530" s="51"/>
      <c r="X1530" s="51"/>
    </row>
    <row r="1531" customFormat="false" ht="14.25" hidden="true" customHeight="false" outlineLevel="0" collapsed="false">
      <c r="A1531" s="49" t="s">
        <v>2349</v>
      </c>
      <c r="B1531" s="49" t="s">
        <v>2350</v>
      </c>
      <c r="C1531" s="49" t="s">
        <v>3797</v>
      </c>
      <c r="D1531" s="49" t="s">
        <v>2397</v>
      </c>
      <c r="E1531" s="49" t="str">
        <f aca="false">"5942326400483"</f>
        <v>5942326400483</v>
      </c>
      <c r="F1531" s="49" t="s">
        <v>3651</v>
      </c>
      <c r="G1531" s="49" t="n">
        <v>0</v>
      </c>
      <c r="H1531" s="0" t="n">
        <v>0</v>
      </c>
      <c r="J1531" s="49" t="str">
        <f aca="false">"1122025"</f>
        <v>1122025</v>
      </c>
      <c r="K1531" s="52" t="n">
        <v>46751</v>
      </c>
      <c r="L1531" s="54" t="n">
        <v>46721</v>
      </c>
      <c r="M1531" s="51" t="s">
        <v>3799</v>
      </c>
      <c r="N1531" s="49" t="n">
        <v>0</v>
      </c>
      <c r="O1531" s="53" t="n">
        <v>46046.5694560185</v>
      </c>
      <c r="P1531" s="53" t="n">
        <v>46046.5807986111</v>
      </c>
      <c r="Q1531" s="53" t="n">
        <v>46046.5694560185</v>
      </c>
      <c r="R1531" s="0" t="n">
        <v>0</v>
      </c>
      <c r="S1531" s="51" t="s">
        <v>3800</v>
      </c>
      <c r="T1531" s="51" t="s">
        <v>3800</v>
      </c>
      <c r="U1531" s="0" t="str">
        <f aca="false">"5942326400483"</f>
        <v>5942326400483</v>
      </c>
      <c r="V1531" s="51" t="s">
        <v>2365</v>
      </c>
      <c r="X1531" s="51" t="s">
        <v>2359</v>
      </c>
    </row>
    <row r="1532" customFormat="false" ht="14.25" hidden="false" customHeight="false" outlineLevel="0" collapsed="false">
      <c r="I1532" s="51"/>
      <c r="K1532" s="52"/>
      <c r="L1532" s="54"/>
      <c r="M1532" s="51"/>
      <c r="O1532" s="53"/>
      <c r="P1532" s="53"/>
      <c r="Q1532" s="53"/>
      <c r="S1532" s="51"/>
      <c r="T1532" s="51"/>
      <c r="V1532" s="51"/>
      <c r="X1532" s="51"/>
    </row>
    <row r="1533" customFormat="false" ht="14.25" hidden="true" customHeight="false" outlineLevel="0" collapsed="false">
      <c r="A1533" s="49" t="s">
        <v>2349</v>
      </c>
      <c r="B1533" s="49" t="s">
        <v>2350</v>
      </c>
      <c r="C1533" s="49" t="s">
        <v>3803</v>
      </c>
      <c r="D1533" s="49" t="s">
        <v>2397</v>
      </c>
      <c r="E1533" s="49" t="str">
        <f aca="false">"5942326400483"</f>
        <v>5942326400483</v>
      </c>
      <c r="F1533" s="49" t="s">
        <v>3651</v>
      </c>
      <c r="G1533" s="49" t="n">
        <v>0</v>
      </c>
      <c r="H1533" s="0" t="n">
        <v>0</v>
      </c>
      <c r="J1533" s="49" t="str">
        <f aca="false">"1122025"</f>
        <v>1122025</v>
      </c>
      <c r="K1533" s="52" t="n">
        <v>46751</v>
      </c>
      <c r="L1533" s="54" t="n">
        <v>46721</v>
      </c>
      <c r="M1533" s="51" t="s">
        <v>3799</v>
      </c>
      <c r="N1533" s="49" t="n">
        <v>35</v>
      </c>
      <c r="O1533" s="53" t="n">
        <v>46046.5754050926</v>
      </c>
      <c r="P1533" s="53" t="n">
        <v>46046.580787037</v>
      </c>
      <c r="Q1533" s="53" t="n">
        <v>46046.5754050926</v>
      </c>
      <c r="R1533" s="0" t="n">
        <v>0</v>
      </c>
      <c r="S1533" s="51" t="s">
        <v>3800</v>
      </c>
      <c r="T1533" s="51" t="s">
        <v>3800</v>
      </c>
      <c r="U1533" s="0" t="str">
        <f aca="false">"5942326400483"</f>
        <v>5942326400483</v>
      </c>
      <c r="V1533" s="51" t="s">
        <v>2365</v>
      </c>
      <c r="X1533" s="51" t="s">
        <v>2359</v>
      </c>
    </row>
    <row r="1534" customFormat="false" ht="14.25" hidden="true" customHeight="false" outlineLevel="0" collapsed="false">
      <c r="A1534" s="49" t="s">
        <v>2349</v>
      </c>
      <c r="B1534" s="49" t="s">
        <v>2350</v>
      </c>
      <c r="C1534" s="49" t="s">
        <v>3804</v>
      </c>
      <c r="D1534" s="49" t="s">
        <v>2397</v>
      </c>
      <c r="E1534" s="49" t="str">
        <f aca="false">"5942326400483"</f>
        <v>5942326400483</v>
      </c>
      <c r="F1534" s="49" t="s">
        <v>3651</v>
      </c>
      <c r="G1534" s="49" t="n">
        <v>0</v>
      </c>
      <c r="H1534" s="0" t="n">
        <v>0</v>
      </c>
      <c r="J1534" s="49" t="str">
        <f aca="false">"1122025"</f>
        <v>1122025</v>
      </c>
      <c r="K1534" s="52" t="n">
        <v>46751</v>
      </c>
      <c r="L1534" s="54" t="n">
        <v>46721</v>
      </c>
      <c r="M1534" s="51" t="s">
        <v>3799</v>
      </c>
      <c r="N1534" s="49" t="n">
        <v>0</v>
      </c>
      <c r="O1534" s="53" t="n">
        <v>46046.580787037</v>
      </c>
      <c r="P1534" s="53" t="n">
        <v>46046.5819560185</v>
      </c>
      <c r="R1534" s="0" t="n">
        <v>0</v>
      </c>
      <c r="T1534" s="51" t="s">
        <v>3800</v>
      </c>
      <c r="U1534" s="0" t="str">
        <f aca="false">"5942326400483"</f>
        <v>5942326400483</v>
      </c>
      <c r="V1534" s="51" t="s">
        <v>2365</v>
      </c>
      <c r="X1534" s="51" t="s">
        <v>2359</v>
      </c>
    </row>
    <row r="1535" customFormat="false" ht="14.25" hidden="false" customHeight="false" outlineLevel="0" collapsed="false">
      <c r="I1535" s="51"/>
      <c r="K1535" s="52"/>
      <c r="L1535" s="54"/>
      <c r="M1535" s="51"/>
      <c r="O1535" s="53"/>
      <c r="P1535" s="53"/>
      <c r="Q1535" s="53"/>
      <c r="S1535" s="51"/>
      <c r="T1535" s="51"/>
      <c r="V1535" s="51"/>
      <c r="X1535" s="51"/>
    </row>
    <row r="1536" customFormat="false" ht="14.25" hidden="false" customHeight="false" outlineLevel="0" collapsed="false">
      <c r="I1536" s="51"/>
      <c r="K1536" s="52"/>
      <c r="L1536" s="54"/>
      <c r="M1536" s="51"/>
      <c r="O1536" s="53"/>
      <c r="P1536" s="53"/>
      <c r="Q1536" s="53"/>
      <c r="S1536" s="51"/>
      <c r="T1536" s="51"/>
      <c r="V1536" s="51"/>
      <c r="X1536" s="51"/>
    </row>
    <row r="1537" customFormat="false" ht="14.25" hidden="true" customHeight="false" outlineLevel="0" collapsed="false">
      <c r="A1537" s="49" t="s">
        <v>2349</v>
      </c>
      <c r="B1537" s="49" t="s">
        <v>2350</v>
      </c>
      <c r="C1537" s="49" t="s">
        <v>3797</v>
      </c>
      <c r="D1537" s="49" t="s">
        <v>2397</v>
      </c>
      <c r="E1537" s="49" t="str">
        <f aca="false">"5942326400483"</f>
        <v>5942326400483</v>
      </c>
      <c r="F1537" s="49" t="s">
        <v>3651</v>
      </c>
      <c r="G1537" s="49" t="n">
        <v>0</v>
      </c>
      <c r="H1537" s="0" t="n">
        <v>0</v>
      </c>
      <c r="J1537" s="49" t="str">
        <f aca="false">"1122025"</f>
        <v>1122025</v>
      </c>
      <c r="K1537" s="52" t="n">
        <v>46751</v>
      </c>
      <c r="L1537" s="54" t="n">
        <v>46751</v>
      </c>
      <c r="M1537" s="51" t="s">
        <v>3799</v>
      </c>
      <c r="N1537" s="49" t="n">
        <v>100</v>
      </c>
      <c r="O1537" s="53" t="n">
        <v>46046.5694560185</v>
      </c>
      <c r="P1537" s="53" t="n">
        <v>46046.5807986111</v>
      </c>
      <c r="Q1537" s="53" t="n">
        <v>46046.5694560185</v>
      </c>
      <c r="R1537" s="0" t="n">
        <v>0</v>
      </c>
      <c r="S1537" s="51" t="s">
        <v>3800</v>
      </c>
      <c r="T1537" s="51" t="s">
        <v>3800</v>
      </c>
      <c r="U1537" s="0" t="str">
        <f aca="false">"5942326400483"</f>
        <v>5942326400483</v>
      </c>
      <c r="V1537" s="51" t="s">
        <v>2365</v>
      </c>
      <c r="X1537" s="51" t="s">
        <v>2359</v>
      </c>
    </row>
    <row r="1538" customFormat="false" ht="14.25" hidden="false" customHeight="false" outlineLevel="0" collapsed="false">
      <c r="I1538" s="51"/>
      <c r="K1538" s="52"/>
      <c r="L1538" s="54"/>
      <c r="M1538" s="51"/>
      <c r="O1538" s="53"/>
      <c r="P1538" s="53"/>
      <c r="Q1538" s="53"/>
      <c r="S1538" s="51"/>
      <c r="T1538" s="51"/>
      <c r="V1538" s="51"/>
      <c r="X1538" s="51"/>
    </row>
    <row r="1539" customFormat="false" ht="14.25" hidden="false" customHeight="false" outlineLevel="0" collapsed="false">
      <c r="I1539" s="51"/>
      <c r="K1539" s="52"/>
      <c r="L1539" s="54"/>
      <c r="M1539" s="51"/>
      <c r="O1539" s="53"/>
      <c r="P1539" s="53"/>
      <c r="Q1539" s="53"/>
      <c r="S1539" s="51"/>
      <c r="T1539" s="51"/>
      <c r="V1539" s="51"/>
      <c r="X1539" s="51"/>
    </row>
    <row r="1540" customFormat="false" ht="14.25" hidden="false" customHeight="false" outlineLevel="0" collapsed="false">
      <c r="I1540" s="51"/>
      <c r="K1540" s="52"/>
      <c r="M1540" s="51"/>
      <c r="O1540" s="53"/>
      <c r="P1540" s="53"/>
    </row>
    <row r="1541" customFormat="false" ht="14.25" hidden="false" customHeight="false" outlineLevel="0" collapsed="false">
      <c r="I1541" s="51"/>
      <c r="K1541" s="52"/>
      <c r="M1541" s="51"/>
      <c r="O1541" s="53"/>
      <c r="P1541" s="53"/>
      <c r="Q1541" s="53"/>
      <c r="S1541" s="51"/>
      <c r="T1541" s="51"/>
      <c r="U1541" s="51"/>
      <c r="V1541" s="51"/>
      <c r="X1541" s="51"/>
    </row>
    <row r="1542" customFormat="false" ht="14.25" hidden="false" customHeight="false" outlineLevel="0" collapsed="false">
      <c r="I1542" s="51"/>
      <c r="K1542" s="52"/>
      <c r="M1542" s="51"/>
      <c r="O1542" s="53"/>
      <c r="P1542" s="53"/>
      <c r="Q1542" s="53"/>
      <c r="S1542" s="51"/>
      <c r="T1542" s="51"/>
      <c r="U1542" s="51"/>
      <c r="V1542" s="51"/>
      <c r="X1542" s="51"/>
    </row>
    <row r="1543" customFormat="false" ht="14.25" hidden="false" customHeight="false" outlineLevel="0" collapsed="false">
      <c r="I1543" s="51"/>
      <c r="K1543" s="52"/>
      <c r="M1543" s="51"/>
      <c r="O1543" s="53"/>
      <c r="P1543" s="53"/>
      <c r="Q1543" s="53"/>
      <c r="S1543" s="51"/>
      <c r="T1543" s="51"/>
      <c r="U1543" s="51"/>
      <c r="V1543" s="51"/>
      <c r="X1543" s="51"/>
    </row>
    <row r="1544" customFormat="false" ht="14.25" hidden="false" customHeight="false" outlineLevel="0" collapsed="false">
      <c r="I1544" s="51"/>
      <c r="K1544" s="52"/>
      <c r="M1544" s="51"/>
      <c r="O1544" s="53"/>
      <c r="P1544" s="53"/>
      <c r="Q1544" s="53"/>
      <c r="S1544" s="51"/>
      <c r="T1544" s="51"/>
      <c r="U1544" s="51"/>
      <c r="V1544" s="51"/>
      <c r="X1544" s="51"/>
    </row>
    <row r="1545" customFormat="false" ht="14.25" hidden="false" customHeight="false" outlineLevel="0" collapsed="false">
      <c r="I1545" s="51"/>
      <c r="K1545" s="52"/>
      <c r="M1545" s="51"/>
      <c r="O1545" s="53"/>
      <c r="P1545" s="53"/>
      <c r="Q1545" s="53"/>
      <c r="S1545" s="51"/>
      <c r="T1545" s="51"/>
      <c r="U1545" s="51"/>
      <c r="V1545" s="51"/>
      <c r="X1545" s="51"/>
    </row>
    <row r="1546" customFormat="false" ht="14.25" hidden="false" customHeight="false" outlineLevel="0" collapsed="false">
      <c r="I1546" s="51"/>
      <c r="K1546" s="52"/>
      <c r="M1546" s="51"/>
      <c r="O1546" s="53"/>
      <c r="P1546" s="53"/>
      <c r="Q1546" s="53"/>
      <c r="S1546" s="51"/>
      <c r="T1546" s="51"/>
      <c r="U1546" s="51"/>
      <c r="V1546" s="51"/>
      <c r="X1546" s="51"/>
    </row>
    <row r="1547" customFormat="false" ht="14.25" hidden="false" customHeight="false" outlineLevel="0" collapsed="false">
      <c r="I1547" s="51"/>
      <c r="K1547" s="52"/>
      <c r="M1547" s="51"/>
      <c r="O1547" s="53"/>
      <c r="P1547" s="53"/>
      <c r="Q1547" s="53"/>
      <c r="S1547" s="51"/>
      <c r="T1547" s="51"/>
      <c r="U1547" s="51"/>
      <c r="V1547" s="51"/>
      <c r="X1547" s="51"/>
    </row>
    <row r="1548" customFormat="false" ht="14.25" hidden="false" customHeight="false" outlineLevel="0" collapsed="false">
      <c r="I1548" s="51"/>
      <c r="K1548" s="52"/>
      <c r="M1548" s="51"/>
      <c r="O1548" s="53"/>
      <c r="P1548" s="53"/>
      <c r="Q1548" s="53"/>
      <c r="S1548" s="51"/>
      <c r="T1548" s="51"/>
      <c r="U1548" s="51"/>
      <c r="V1548" s="51"/>
      <c r="W1548" s="51"/>
      <c r="X1548" s="51"/>
    </row>
    <row r="1549" customFormat="false" ht="14.25" hidden="false" customHeight="false" outlineLevel="0" collapsed="false">
      <c r="I1549" s="51"/>
      <c r="K1549" s="52"/>
      <c r="M1549" s="51"/>
      <c r="O1549" s="53"/>
      <c r="P1549" s="53"/>
    </row>
    <row r="1550" customFormat="false" ht="14.25" hidden="false" customHeight="false" outlineLevel="0" collapsed="false">
      <c r="I1550" s="51"/>
      <c r="K1550" s="52"/>
      <c r="M1550" s="51"/>
      <c r="O1550" s="53"/>
      <c r="P1550" s="53"/>
    </row>
    <row r="1551" customFormat="false" ht="14.25" hidden="false" customHeight="false" outlineLevel="0" collapsed="false">
      <c r="I1551" s="51"/>
      <c r="K1551" s="52"/>
      <c r="M1551" s="51"/>
      <c r="O1551" s="53"/>
      <c r="P1551" s="53"/>
      <c r="Q1551" s="53"/>
      <c r="S1551" s="51"/>
      <c r="T1551" s="51"/>
      <c r="V1551" s="51"/>
      <c r="W1551" s="51"/>
      <c r="X1551" s="51"/>
    </row>
    <row r="1552" customFormat="false" ht="14.25" hidden="false" customHeight="false" outlineLevel="0" collapsed="false">
      <c r="I1552" s="51"/>
      <c r="K1552" s="52"/>
      <c r="M1552" s="51"/>
      <c r="O1552" s="53"/>
      <c r="P1552" s="53"/>
      <c r="Q1552" s="53"/>
      <c r="S1552" s="51"/>
      <c r="T1552" s="51"/>
      <c r="V1552" s="51"/>
      <c r="W1552" s="51"/>
      <c r="X1552" s="51"/>
    </row>
    <row r="1553" customFormat="false" ht="14.25" hidden="false" customHeight="false" outlineLevel="0" collapsed="false">
      <c r="I1553" s="51"/>
      <c r="J1553" s="52"/>
      <c r="K1553" s="52"/>
      <c r="M1553" s="51"/>
      <c r="O1553" s="53"/>
      <c r="P1553" s="53"/>
    </row>
    <row r="1554" customFormat="false" ht="14.25" hidden="true" customHeight="false" outlineLevel="0" collapsed="false">
      <c r="A1554" s="49" t="s">
        <v>2349</v>
      </c>
      <c r="B1554" s="49" t="s">
        <v>2350</v>
      </c>
      <c r="C1554" s="49" t="s">
        <v>3805</v>
      </c>
      <c r="D1554" s="49" t="s">
        <v>2397</v>
      </c>
      <c r="E1554" s="49" t="str">
        <f aca="false">"8006911000018"</f>
        <v>8006911000018</v>
      </c>
      <c r="F1554" s="49" t="s">
        <v>3806</v>
      </c>
      <c r="G1554" s="49" t="n">
        <v>0</v>
      </c>
      <c r="H1554" s="0" t="n">
        <v>0</v>
      </c>
      <c r="J1554" s="49" t="str">
        <f aca="false">"2147"</f>
        <v>2147</v>
      </c>
      <c r="K1554" s="52" t="n">
        <v>48310</v>
      </c>
      <c r="L1554" s="51" t="s">
        <v>3807</v>
      </c>
      <c r="M1554" s="51" t="s">
        <v>3808</v>
      </c>
      <c r="N1554" s="49" t="n">
        <v>0</v>
      </c>
      <c r="O1554" s="53" t="n">
        <v>45722.606087963</v>
      </c>
      <c r="P1554" s="53" t="n">
        <v>46007.9859375</v>
      </c>
      <c r="R1554" s="0" t="n">
        <v>0</v>
      </c>
      <c r="T1554" s="51" t="s">
        <v>2436</v>
      </c>
      <c r="U1554" s="0" t="str">
        <f aca="false">"8006911000018"</f>
        <v>8006911000018</v>
      </c>
      <c r="V1554" s="51" t="s">
        <v>2365</v>
      </c>
      <c r="W1554" s="51" t="s">
        <v>2430</v>
      </c>
      <c r="X1554" s="51" t="s">
        <v>2359</v>
      </c>
    </row>
    <row r="1555" customFormat="false" ht="14.25" hidden="false" customHeight="false" outlineLevel="0" collapsed="false">
      <c r="I1555" s="51"/>
      <c r="K1555" s="52"/>
      <c r="L1555" s="51"/>
      <c r="M1555" s="51"/>
      <c r="O1555" s="53"/>
      <c r="P1555" s="53"/>
    </row>
    <row r="1556" customFormat="false" ht="14.25" hidden="false" customHeight="false" outlineLevel="0" collapsed="false">
      <c r="I1556" s="51"/>
      <c r="K1556" s="52"/>
      <c r="M1556" s="51"/>
      <c r="O1556" s="53"/>
      <c r="P1556" s="53"/>
    </row>
    <row r="1557" customFormat="false" ht="14.25" hidden="false" customHeight="false" outlineLevel="0" collapsed="false">
      <c r="I1557" s="51"/>
      <c r="K1557" s="52"/>
      <c r="M1557" s="51"/>
      <c r="O1557" s="53"/>
      <c r="P1557" s="53"/>
    </row>
    <row r="1558" customFormat="false" ht="14.25" hidden="false" customHeight="false" outlineLevel="0" collapsed="false">
      <c r="I1558" s="51"/>
      <c r="K1558" s="52"/>
      <c r="M1558" s="51"/>
      <c r="O1558" s="53"/>
      <c r="P1558" s="53"/>
    </row>
    <row r="1559" customFormat="false" ht="14.25" hidden="false" customHeight="false" outlineLevel="0" collapsed="false">
      <c r="I1559" s="51"/>
      <c r="K1559" s="52"/>
      <c r="M1559" s="51"/>
      <c r="O1559" s="53"/>
      <c r="P1559" s="53"/>
    </row>
    <row r="1560" customFormat="false" ht="14.25" hidden="false" customHeight="false" outlineLevel="0" collapsed="false">
      <c r="I1560" s="51"/>
      <c r="K1560" s="52"/>
      <c r="M1560" s="51"/>
      <c r="O1560" s="53"/>
      <c r="P1560" s="53"/>
      <c r="Q1560" s="53"/>
      <c r="S1560" s="51"/>
      <c r="T1560" s="51"/>
      <c r="V1560" s="51"/>
      <c r="W1560" s="51"/>
      <c r="X1560" s="51"/>
    </row>
    <row r="1561" customFormat="false" ht="14.25" hidden="false" customHeight="false" outlineLevel="0" collapsed="false">
      <c r="I1561" s="51"/>
      <c r="K1561" s="52"/>
      <c r="M1561" s="51"/>
      <c r="O1561" s="53"/>
      <c r="P1561" s="53"/>
    </row>
    <row r="1562" customFormat="false" ht="14.25" hidden="false" customHeight="false" outlineLevel="0" collapsed="false">
      <c r="I1562" s="51"/>
      <c r="K1562" s="52"/>
      <c r="M1562" s="51"/>
      <c r="O1562" s="53"/>
      <c r="P1562" s="53"/>
    </row>
    <row r="1563" customFormat="false" ht="14.25" hidden="false" customHeight="false" outlineLevel="0" collapsed="false">
      <c r="I1563" s="51"/>
      <c r="K1563" s="52"/>
      <c r="M1563" s="51"/>
      <c r="O1563" s="53"/>
      <c r="P1563" s="53"/>
    </row>
    <row r="1564" customFormat="false" ht="14.25" hidden="false" customHeight="false" outlineLevel="0" collapsed="false">
      <c r="I1564" s="51"/>
      <c r="K1564" s="52"/>
      <c r="M1564" s="51"/>
      <c r="O1564" s="53"/>
      <c r="P1564" s="53"/>
      <c r="Q1564" s="53"/>
      <c r="S1564" s="51"/>
      <c r="T1564" s="51"/>
      <c r="V1564" s="51"/>
      <c r="W1564" s="51"/>
      <c r="X1564" s="51"/>
    </row>
    <row r="1565" customFormat="false" ht="14.25" hidden="true" customHeight="false" outlineLevel="0" collapsed="false">
      <c r="A1565" s="49" t="s">
        <v>2349</v>
      </c>
      <c r="B1565" s="49" t="s">
        <v>2350</v>
      </c>
      <c r="C1565" s="49" t="s">
        <v>3809</v>
      </c>
      <c r="D1565" s="49" t="s">
        <v>2352</v>
      </c>
      <c r="E1565" s="49" t="str">
        <f aca="false">"8006911001930"</f>
        <v>8006911001930</v>
      </c>
      <c r="F1565" s="49" t="s">
        <v>3810</v>
      </c>
      <c r="G1565" s="49" t="n">
        <v>0</v>
      </c>
      <c r="H1565" s="0" t="n">
        <v>0</v>
      </c>
      <c r="M1565" s="51" t="s">
        <v>3811</v>
      </c>
      <c r="N1565" s="49" t="n">
        <v>0</v>
      </c>
      <c r="O1565" s="53" t="n">
        <v>45713.5825462963</v>
      </c>
      <c r="P1565" s="53" t="n">
        <v>45988.7934375</v>
      </c>
      <c r="R1565" s="0" t="n">
        <v>0</v>
      </c>
      <c r="T1565" s="51" t="s">
        <v>2416</v>
      </c>
      <c r="U1565" s="0" t="str">
        <f aca="false">"8006911001930"</f>
        <v>8006911001930</v>
      </c>
      <c r="V1565" s="51" t="s">
        <v>2365</v>
      </c>
      <c r="W1565" s="51" t="s">
        <v>3812</v>
      </c>
      <c r="X1565" s="51" t="s">
        <v>2359</v>
      </c>
    </row>
    <row r="1566" customFormat="false" ht="14.25" hidden="true" customHeight="false" outlineLevel="0" collapsed="false">
      <c r="A1566" s="49" t="s">
        <v>2349</v>
      </c>
      <c r="B1566" s="49" t="s">
        <v>2350</v>
      </c>
      <c r="C1566" s="49" t="s">
        <v>3813</v>
      </c>
      <c r="D1566" s="49" t="s">
        <v>2352</v>
      </c>
      <c r="E1566" s="49" t="str">
        <f aca="false">"849369010509"</f>
        <v>849369010509</v>
      </c>
      <c r="F1566" s="49" t="s">
        <v>3814</v>
      </c>
      <c r="G1566" s="49" t="n">
        <v>0</v>
      </c>
      <c r="H1566" s="0" t="n">
        <v>0</v>
      </c>
      <c r="M1566" s="51" t="s">
        <v>3815</v>
      </c>
      <c r="N1566" s="49" t="n">
        <v>0</v>
      </c>
      <c r="O1566" s="53" t="n">
        <v>46007.9913425926</v>
      </c>
      <c r="P1566" s="53" t="n">
        <v>46015.3532060185</v>
      </c>
      <c r="R1566" s="0" t="n">
        <v>0</v>
      </c>
      <c r="T1566" s="51" t="s">
        <v>2364</v>
      </c>
      <c r="U1566" s="0" t="str">
        <f aca="false">"849369010509"</f>
        <v>849369010509</v>
      </c>
      <c r="V1566" s="51" t="s">
        <v>2142</v>
      </c>
      <c r="W1566" s="51" t="s">
        <v>2440</v>
      </c>
      <c r="X1566" s="51" t="s">
        <v>2359</v>
      </c>
    </row>
    <row r="1567" customFormat="false" ht="14.25" hidden="true" customHeight="false" outlineLevel="0" collapsed="false">
      <c r="A1567" s="49" t="s">
        <v>2349</v>
      </c>
      <c r="B1567" s="49" t="s">
        <v>2350</v>
      </c>
      <c r="C1567" s="49" t="s">
        <v>3816</v>
      </c>
      <c r="D1567" s="49" t="s">
        <v>2352</v>
      </c>
      <c r="E1567" s="49" t="s">
        <v>3817</v>
      </c>
      <c r="F1567" s="49" t="s">
        <v>3818</v>
      </c>
      <c r="G1567" s="49" t="n">
        <v>0</v>
      </c>
      <c r="H1567" s="0" t="n">
        <v>0</v>
      </c>
      <c r="M1567" s="51" t="s">
        <v>3819</v>
      </c>
      <c r="N1567" s="49" t="n">
        <v>0</v>
      </c>
      <c r="O1567" s="53" t="n">
        <v>46007.9778240741</v>
      </c>
      <c r="P1567" s="53" t="n">
        <v>46021.1743402778</v>
      </c>
      <c r="R1567" s="0" t="n">
        <v>0</v>
      </c>
      <c r="T1567" s="51" t="s">
        <v>2364</v>
      </c>
      <c r="U1567" s="51" t="s">
        <v>3817</v>
      </c>
      <c r="V1567" s="51" t="s">
        <v>2142</v>
      </c>
      <c r="W1567" s="51" t="s">
        <v>3820</v>
      </c>
      <c r="X1567" s="51" t="s">
        <v>2359</v>
      </c>
    </row>
    <row r="1568" customFormat="false" ht="14.25" hidden="true" customHeight="false" outlineLevel="0" collapsed="false">
      <c r="A1568" s="49" t="s">
        <v>2349</v>
      </c>
      <c r="B1568" s="49" t="s">
        <v>2350</v>
      </c>
      <c r="C1568" s="49" t="s">
        <v>3821</v>
      </c>
      <c r="D1568" s="49" t="s">
        <v>2352</v>
      </c>
      <c r="E1568" s="49" t="str">
        <f aca="false">"8493690104868"</f>
        <v>8493690104868</v>
      </c>
      <c r="F1568" s="49" t="s">
        <v>3822</v>
      </c>
      <c r="G1568" s="49" t="n">
        <v>0</v>
      </c>
      <c r="H1568" s="0" t="n">
        <v>0</v>
      </c>
      <c r="M1568" s="51" t="s">
        <v>3823</v>
      </c>
      <c r="N1568" s="49" t="n">
        <v>0</v>
      </c>
      <c r="O1568" s="53" t="n">
        <v>45844.3253356482</v>
      </c>
      <c r="P1568" s="53" t="n">
        <v>45929.897037037</v>
      </c>
      <c r="R1568" s="0" t="n">
        <v>0</v>
      </c>
      <c r="T1568" s="51" t="s">
        <v>2394</v>
      </c>
      <c r="U1568" s="0" t="str">
        <f aca="false">"8493690104868"</f>
        <v>8493690104868</v>
      </c>
      <c r="V1568" s="51" t="s">
        <v>2142</v>
      </c>
      <c r="W1568" s="51" t="s">
        <v>3824</v>
      </c>
      <c r="X1568" s="51" t="s">
        <v>2359</v>
      </c>
    </row>
    <row r="1569" customFormat="false" ht="14.25" hidden="true" customHeight="false" outlineLevel="0" collapsed="false">
      <c r="A1569" s="49" t="s">
        <v>2349</v>
      </c>
      <c r="B1569" s="49" t="s">
        <v>2350</v>
      </c>
      <c r="C1569" s="49" t="s">
        <v>3825</v>
      </c>
      <c r="D1569" s="49" t="s">
        <v>2352</v>
      </c>
      <c r="E1569" s="49" t="s">
        <v>3826</v>
      </c>
      <c r="F1569" s="49" t="s">
        <v>3827</v>
      </c>
      <c r="G1569" s="49" t="n">
        <v>0</v>
      </c>
      <c r="H1569" s="0" t="n">
        <v>0</v>
      </c>
      <c r="M1569" s="51" t="s">
        <v>3828</v>
      </c>
      <c r="N1569" s="49" t="n">
        <v>0</v>
      </c>
      <c r="O1569" s="53" t="n">
        <v>46008.0118981482</v>
      </c>
      <c r="P1569" s="53" t="n">
        <v>46021.1809837963</v>
      </c>
      <c r="R1569" s="0" t="n">
        <v>0</v>
      </c>
      <c r="T1569" s="51" t="s">
        <v>2364</v>
      </c>
      <c r="U1569" s="51" t="s">
        <v>3826</v>
      </c>
      <c r="V1569" s="51" t="s">
        <v>2142</v>
      </c>
      <c r="W1569" s="51" t="s">
        <v>3829</v>
      </c>
      <c r="X1569" s="51" t="s">
        <v>2359</v>
      </c>
    </row>
    <row r="1570" customFormat="false" ht="14.25" hidden="true" customHeight="false" outlineLevel="0" collapsed="false">
      <c r="A1570" s="49" t="s">
        <v>2349</v>
      </c>
      <c r="B1570" s="49" t="s">
        <v>2350</v>
      </c>
      <c r="C1570" s="49" t="s">
        <v>3830</v>
      </c>
      <c r="D1570" s="49" t="s">
        <v>2352</v>
      </c>
      <c r="E1570" s="49" t="s">
        <v>3831</v>
      </c>
      <c r="F1570" s="49" t="s">
        <v>3832</v>
      </c>
      <c r="G1570" s="49" t="n">
        <v>0</v>
      </c>
      <c r="H1570" s="0" t="n">
        <v>0</v>
      </c>
      <c r="M1570" s="51" t="s">
        <v>3828</v>
      </c>
      <c r="N1570" s="49" t="n">
        <v>0</v>
      </c>
      <c r="O1570" s="53" t="n">
        <v>46008.0027662037</v>
      </c>
      <c r="P1570" s="53" t="n">
        <v>46021.1808449074</v>
      </c>
      <c r="R1570" s="0" t="n">
        <v>0</v>
      </c>
      <c r="T1570" s="51" t="s">
        <v>2364</v>
      </c>
      <c r="U1570" s="51" t="s">
        <v>3831</v>
      </c>
      <c r="V1570" s="51" t="s">
        <v>2142</v>
      </c>
      <c r="W1570" s="51" t="s">
        <v>3829</v>
      </c>
      <c r="X1570" s="51" t="s">
        <v>2359</v>
      </c>
    </row>
    <row r="1571" customFormat="false" ht="14.25" hidden="true" customHeight="false" outlineLevel="0" collapsed="false">
      <c r="A1571" s="49" t="s">
        <v>2349</v>
      </c>
      <c r="B1571" s="49" t="s">
        <v>2350</v>
      </c>
      <c r="C1571" s="49" t="s">
        <v>3830</v>
      </c>
      <c r="D1571" s="49" t="s">
        <v>2352</v>
      </c>
      <c r="E1571" s="49" t="s">
        <v>3831</v>
      </c>
      <c r="F1571" s="49" t="s">
        <v>3832</v>
      </c>
      <c r="G1571" s="49" t="n">
        <v>0</v>
      </c>
      <c r="H1571" s="0" t="n">
        <v>0</v>
      </c>
      <c r="M1571" s="51" t="s">
        <v>3828</v>
      </c>
      <c r="N1571" s="49" t="n">
        <v>0</v>
      </c>
      <c r="O1571" s="53" t="n">
        <v>46008.0027662037</v>
      </c>
      <c r="P1571" s="53" t="n">
        <v>46021.1808449074</v>
      </c>
      <c r="R1571" s="0" t="n">
        <v>0</v>
      </c>
      <c r="T1571" s="51" t="s">
        <v>2364</v>
      </c>
      <c r="U1571" s="51" t="s">
        <v>3831</v>
      </c>
      <c r="V1571" s="51" t="s">
        <v>2142</v>
      </c>
      <c r="W1571" s="51" t="s">
        <v>3829</v>
      </c>
      <c r="X1571" s="51" t="s">
        <v>2359</v>
      </c>
    </row>
    <row r="1572" customFormat="false" ht="14.25" hidden="true" customHeight="false" outlineLevel="0" collapsed="false">
      <c r="A1572" s="49" t="s">
        <v>2349</v>
      </c>
      <c r="B1572" s="49" t="s">
        <v>2350</v>
      </c>
      <c r="C1572" s="49" t="s">
        <v>3833</v>
      </c>
      <c r="D1572" s="49" t="s">
        <v>2352</v>
      </c>
      <c r="E1572" s="49" t="s">
        <v>3834</v>
      </c>
      <c r="F1572" s="49" t="s">
        <v>3835</v>
      </c>
      <c r="G1572" s="49" t="n">
        <v>0</v>
      </c>
      <c r="H1572" s="0" t="n">
        <v>0</v>
      </c>
      <c r="M1572" s="51" t="s">
        <v>3828</v>
      </c>
      <c r="N1572" s="49" t="n">
        <v>0</v>
      </c>
      <c r="O1572" s="53" t="n">
        <v>46007.9901388889</v>
      </c>
      <c r="P1572" s="53" t="n">
        <v>46021.1801273148</v>
      </c>
      <c r="R1572" s="0" t="n">
        <v>0</v>
      </c>
      <c r="T1572" s="51" t="s">
        <v>2364</v>
      </c>
      <c r="U1572" s="51" t="s">
        <v>3834</v>
      </c>
      <c r="V1572" s="51" t="s">
        <v>2142</v>
      </c>
      <c r="W1572" s="51" t="s">
        <v>2440</v>
      </c>
      <c r="X1572" s="51" t="s">
        <v>2359</v>
      </c>
    </row>
    <row r="1573" customFormat="false" ht="14.25" hidden="true" customHeight="false" outlineLevel="0" collapsed="false">
      <c r="A1573" s="49" t="s">
        <v>2349</v>
      </c>
      <c r="B1573" s="49" t="s">
        <v>2350</v>
      </c>
      <c r="C1573" s="49" t="s">
        <v>3836</v>
      </c>
      <c r="D1573" s="49" t="s">
        <v>2352</v>
      </c>
      <c r="E1573" s="49" t="str">
        <f aca="false">"5060175133922"</f>
        <v>5060175133922</v>
      </c>
      <c r="F1573" s="49" t="s">
        <v>3837</v>
      </c>
      <c r="G1573" s="49" t="n">
        <v>0</v>
      </c>
      <c r="H1573" s="0" t="n">
        <v>0</v>
      </c>
      <c r="M1573" s="51" t="s">
        <v>3838</v>
      </c>
      <c r="N1573" s="49" t="n">
        <v>0</v>
      </c>
      <c r="O1573" s="53" t="n">
        <v>45713.566087963</v>
      </c>
      <c r="P1573" s="53" t="n">
        <v>45908.3751273148</v>
      </c>
      <c r="R1573" s="0" t="n">
        <v>0</v>
      </c>
      <c r="T1573" s="51" t="s">
        <v>2416</v>
      </c>
      <c r="U1573" s="0" t="str">
        <f aca="false">"5060175133922"</f>
        <v>5060175133922</v>
      </c>
      <c r="V1573" s="51" t="s">
        <v>2365</v>
      </c>
      <c r="W1573" s="51" t="s">
        <v>3839</v>
      </c>
      <c r="X1573" s="51" t="s">
        <v>2359</v>
      </c>
    </row>
    <row r="1574" customFormat="false" ht="14.25" hidden="true" customHeight="false" outlineLevel="0" collapsed="false">
      <c r="A1574" s="49" t="s">
        <v>2349</v>
      </c>
      <c r="B1574" s="49" t="s">
        <v>2350</v>
      </c>
      <c r="C1574" s="49" t="s">
        <v>3840</v>
      </c>
      <c r="D1574" s="49" t="s">
        <v>2352</v>
      </c>
      <c r="E1574" s="49" t="str">
        <f aca="false">"5060175133168"</f>
        <v>5060175133168</v>
      </c>
      <c r="F1574" s="49" t="s">
        <v>2391</v>
      </c>
      <c r="G1574" s="49" t="n">
        <v>0</v>
      </c>
      <c r="H1574" s="0" t="n">
        <v>0</v>
      </c>
      <c r="M1574" s="51" t="s">
        <v>2439</v>
      </c>
      <c r="N1574" s="49" t="n">
        <v>0</v>
      </c>
      <c r="O1574" s="53" t="n">
        <v>45713.5745023148</v>
      </c>
      <c r="P1574" s="53" t="n">
        <v>45856.565150463</v>
      </c>
      <c r="R1574" s="0" t="n">
        <v>0</v>
      </c>
      <c r="T1574" s="51" t="s">
        <v>2416</v>
      </c>
      <c r="U1574" s="0" t="str">
        <f aca="false">"5060175133168"</f>
        <v>5060175133168</v>
      </c>
      <c r="V1574" s="51" t="s">
        <v>2365</v>
      </c>
      <c r="W1574" s="51" t="s">
        <v>2430</v>
      </c>
      <c r="X1574" s="51" t="s">
        <v>2359</v>
      </c>
    </row>
    <row r="1575" customFormat="false" ht="14.25" hidden="true" customHeight="false" outlineLevel="0" collapsed="false">
      <c r="A1575" s="49" t="s">
        <v>2349</v>
      </c>
      <c r="B1575" s="49" t="s">
        <v>2350</v>
      </c>
      <c r="C1575" s="49" t="s">
        <v>3841</v>
      </c>
      <c r="D1575" s="49" t="s">
        <v>2352</v>
      </c>
      <c r="E1575" s="49" t="str">
        <f aca="false">"5942326400490"</f>
        <v>5942326400490</v>
      </c>
      <c r="F1575" s="49" t="s">
        <v>3842</v>
      </c>
      <c r="G1575" s="49" t="n">
        <v>0</v>
      </c>
      <c r="H1575" s="0" t="n">
        <v>0</v>
      </c>
      <c r="M1575" s="51" t="s">
        <v>3843</v>
      </c>
      <c r="N1575" s="49" t="n">
        <v>0</v>
      </c>
      <c r="O1575" s="53" t="n">
        <v>45713.5652199074</v>
      </c>
      <c r="P1575" s="53" t="n">
        <v>45788.4750231481</v>
      </c>
      <c r="R1575" s="0" t="n">
        <v>0</v>
      </c>
      <c r="T1575" s="51" t="s">
        <v>2416</v>
      </c>
      <c r="U1575" s="0" t="str">
        <f aca="false">"5942326400490"</f>
        <v>5942326400490</v>
      </c>
      <c r="V1575" s="51" t="s">
        <v>2365</v>
      </c>
      <c r="W1575" s="51" t="s">
        <v>3844</v>
      </c>
      <c r="X1575" s="51" t="s">
        <v>2359</v>
      </c>
    </row>
    <row r="1576" customFormat="false" ht="14.25" hidden="true" customHeight="false" outlineLevel="0" collapsed="false">
      <c r="A1576" s="49" t="s">
        <v>2349</v>
      </c>
      <c r="B1576" s="49" t="s">
        <v>2350</v>
      </c>
      <c r="C1576" s="49" t="s">
        <v>3845</v>
      </c>
      <c r="D1576" s="49" t="s">
        <v>2352</v>
      </c>
      <c r="E1576" s="49" t="str">
        <f aca="false">"5060175133168"</f>
        <v>5060175133168</v>
      </c>
      <c r="F1576" s="49" t="s">
        <v>2391</v>
      </c>
      <c r="G1576" s="49" t="n">
        <v>0</v>
      </c>
      <c r="H1576" s="0" t="n">
        <v>0</v>
      </c>
      <c r="M1576" s="51" t="s">
        <v>3846</v>
      </c>
      <c r="N1576" s="49" t="n">
        <v>0</v>
      </c>
      <c r="O1576" s="53" t="n">
        <v>45945.6062847222</v>
      </c>
      <c r="P1576" s="53" t="n">
        <v>46057.3632986111</v>
      </c>
      <c r="R1576" s="0" t="n">
        <v>0</v>
      </c>
      <c r="T1576" s="51" t="s">
        <v>2383</v>
      </c>
      <c r="U1576" s="0" t="str">
        <f aca="false">"5060175133168"</f>
        <v>5060175133168</v>
      </c>
      <c r="V1576" s="51" t="s">
        <v>2365</v>
      </c>
      <c r="W1576" s="51" t="s">
        <v>3847</v>
      </c>
      <c r="X1576" s="51" t="s">
        <v>2359</v>
      </c>
    </row>
    <row r="1577" customFormat="false" ht="14.25" hidden="true" customHeight="false" outlineLevel="0" collapsed="false">
      <c r="A1577" s="49" t="s">
        <v>2349</v>
      </c>
      <c r="B1577" s="49" t="s">
        <v>2350</v>
      </c>
      <c r="C1577" s="49" t="s">
        <v>3848</v>
      </c>
      <c r="D1577" s="49" t="s">
        <v>2352</v>
      </c>
      <c r="E1577" s="49" t="str">
        <f aca="false">"5060175133342"</f>
        <v>5060175133342</v>
      </c>
      <c r="F1577" s="49" t="s">
        <v>3849</v>
      </c>
      <c r="G1577" s="49" t="n">
        <v>0</v>
      </c>
      <c r="H1577" s="0" t="n">
        <v>0</v>
      </c>
      <c r="M1577" s="51" t="s">
        <v>3850</v>
      </c>
      <c r="N1577" s="49" t="n">
        <v>0</v>
      </c>
      <c r="O1577" s="53" t="n">
        <v>45713.571087963</v>
      </c>
      <c r="P1577" s="53" t="n">
        <v>45714.5787268519</v>
      </c>
      <c r="R1577" s="0" t="n">
        <v>0</v>
      </c>
      <c r="T1577" s="51" t="s">
        <v>2416</v>
      </c>
      <c r="U1577" s="0" t="str">
        <f aca="false">"5060175133342"</f>
        <v>5060175133342</v>
      </c>
      <c r="V1577" s="51" t="s">
        <v>2365</v>
      </c>
      <c r="W1577" s="51" t="s">
        <v>3851</v>
      </c>
      <c r="X1577" s="51" t="s">
        <v>2359</v>
      </c>
    </row>
    <row r="1578" customFormat="false" ht="14.25" hidden="true" customHeight="false" outlineLevel="0" collapsed="false">
      <c r="A1578" s="49" t="s">
        <v>2349</v>
      </c>
      <c r="B1578" s="49" t="s">
        <v>2350</v>
      </c>
      <c r="C1578" s="49" t="s">
        <v>3852</v>
      </c>
      <c r="D1578" s="49" t="s">
        <v>2352</v>
      </c>
      <c r="E1578" s="49" t="str">
        <f aca="false">"13409515297"</f>
        <v>13409515297</v>
      </c>
      <c r="F1578" s="49" t="s">
        <v>3853</v>
      </c>
      <c r="G1578" s="49" t="n">
        <v>0</v>
      </c>
      <c r="H1578" s="0" t="n">
        <v>0</v>
      </c>
      <c r="M1578" s="51" t="s">
        <v>3854</v>
      </c>
      <c r="N1578" s="49" t="n">
        <v>0</v>
      </c>
      <c r="O1578" s="53" t="n">
        <v>45945.6412962963</v>
      </c>
      <c r="P1578" s="53" t="n">
        <v>45986.4956365741</v>
      </c>
      <c r="R1578" s="0" t="n">
        <v>0</v>
      </c>
      <c r="T1578" s="51" t="s">
        <v>2383</v>
      </c>
      <c r="U1578" s="0" t="str">
        <f aca="false">"13409515297"</f>
        <v>13409515297</v>
      </c>
      <c r="V1578" s="51" t="s">
        <v>2365</v>
      </c>
      <c r="W1578" s="51" t="s">
        <v>3855</v>
      </c>
      <c r="X1578" s="51" t="s">
        <v>2359</v>
      </c>
    </row>
    <row r="1579" customFormat="false" ht="14.25" hidden="true" customHeight="false" outlineLevel="0" collapsed="false">
      <c r="A1579" s="49" t="s">
        <v>2349</v>
      </c>
      <c r="B1579" s="49" t="s">
        <v>2350</v>
      </c>
      <c r="C1579" s="49" t="s">
        <v>3856</v>
      </c>
      <c r="D1579" s="49" t="s">
        <v>2352</v>
      </c>
      <c r="E1579" s="49" t="s">
        <v>3857</v>
      </c>
      <c r="F1579" s="49" t="s">
        <v>3858</v>
      </c>
      <c r="G1579" s="49" t="n">
        <v>0</v>
      </c>
      <c r="H1579" s="0" t="n">
        <v>0</v>
      </c>
      <c r="M1579" s="51" t="s">
        <v>3859</v>
      </c>
      <c r="N1579" s="49" t="n">
        <v>0</v>
      </c>
      <c r="O1579" s="53" t="n">
        <v>45713.4905439815</v>
      </c>
      <c r="P1579" s="53" t="n">
        <v>46017.7922453704</v>
      </c>
      <c r="R1579" s="0" t="n">
        <v>0</v>
      </c>
      <c r="T1579" s="51" t="s">
        <v>2416</v>
      </c>
      <c r="U1579" s="51" t="s">
        <v>3857</v>
      </c>
      <c r="W1579" s="51" t="s">
        <v>3847</v>
      </c>
      <c r="X1579" s="51" t="s">
        <v>2359</v>
      </c>
    </row>
    <row r="1580" customFormat="false" ht="14.25" hidden="true" customHeight="false" outlineLevel="0" collapsed="false">
      <c r="A1580" s="49" t="s">
        <v>2349</v>
      </c>
      <c r="B1580" s="49" t="s">
        <v>2350</v>
      </c>
      <c r="C1580" s="49" t="s">
        <v>3860</v>
      </c>
      <c r="D1580" s="49" t="s">
        <v>2352</v>
      </c>
      <c r="E1580" s="49" t="s">
        <v>3861</v>
      </c>
      <c r="F1580" s="49" t="s">
        <v>3862</v>
      </c>
      <c r="G1580" s="49" t="n">
        <v>0</v>
      </c>
      <c r="H1580" s="0" t="n">
        <v>0</v>
      </c>
      <c r="M1580" s="51" t="s">
        <v>3859</v>
      </c>
      <c r="N1580" s="49" t="n">
        <v>0</v>
      </c>
      <c r="O1580" s="53" t="n">
        <v>45713.493287037</v>
      </c>
      <c r="P1580" s="53" t="n">
        <v>46017.7856597222</v>
      </c>
      <c r="R1580" s="0" t="n">
        <v>0</v>
      </c>
      <c r="T1580" s="51" t="s">
        <v>2416</v>
      </c>
      <c r="U1580" s="51" t="s">
        <v>3861</v>
      </c>
      <c r="W1580" s="51" t="s">
        <v>3820</v>
      </c>
      <c r="X1580" s="51" t="s">
        <v>2359</v>
      </c>
    </row>
    <row r="1581" customFormat="false" ht="14.25" hidden="true" customHeight="false" outlineLevel="0" collapsed="false">
      <c r="A1581" s="49" t="s">
        <v>2349</v>
      </c>
      <c r="B1581" s="49" t="s">
        <v>2350</v>
      </c>
      <c r="C1581" s="49" t="s">
        <v>3863</v>
      </c>
      <c r="D1581" s="49" t="s">
        <v>2352</v>
      </c>
      <c r="E1581" s="49" t="s">
        <v>3864</v>
      </c>
      <c r="F1581" s="49" t="s">
        <v>3865</v>
      </c>
      <c r="G1581" s="49" t="n">
        <v>0</v>
      </c>
      <c r="H1581" s="0" t="n">
        <v>0</v>
      </c>
      <c r="M1581" s="51" t="s">
        <v>3859</v>
      </c>
      <c r="N1581" s="49" t="n">
        <v>0</v>
      </c>
      <c r="O1581" s="53" t="n">
        <v>45713.5613888889</v>
      </c>
      <c r="P1581" s="53" t="n">
        <v>45764.9361921296</v>
      </c>
      <c r="R1581" s="0" t="n">
        <v>0</v>
      </c>
      <c r="T1581" s="51" t="s">
        <v>2416</v>
      </c>
      <c r="U1581" s="51" t="s">
        <v>3864</v>
      </c>
      <c r="W1581" s="51" t="s">
        <v>3866</v>
      </c>
      <c r="X1581" s="51" t="s">
        <v>2359</v>
      </c>
    </row>
    <row r="1582" customFormat="false" ht="14.25" hidden="true" customHeight="false" outlineLevel="0" collapsed="false">
      <c r="A1582" s="49" t="s">
        <v>2349</v>
      </c>
      <c r="B1582" s="49" t="s">
        <v>2350</v>
      </c>
      <c r="C1582" s="49" t="s">
        <v>3867</v>
      </c>
      <c r="D1582" s="49" t="s">
        <v>2352</v>
      </c>
      <c r="E1582" s="49" t="s">
        <v>3864</v>
      </c>
      <c r="F1582" s="49" t="s">
        <v>3865</v>
      </c>
      <c r="G1582" s="49" t="n">
        <v>0</v>
      </c>
      <c r="H1582" s="0" t="n">
        <v>0</v>
      </c>
      <c r="M1582" s="51" t="s">
        <v>3859</v>
      </c>
      <c r="N1582" s="49" t="n">
        <v>0</v>
      </c>
      <c r="O1582" s="53" t="n">
        <v>45713.5616203704</v>
      </c>
      <c r="P1582" s="53" t="n">
        <v>45808.5074884259</v>
      </c>
      <c r="R1582" s="0" t="n">
        <v>0</v>
      </c>
      <c r="T1582" s="51" t="s">
        <v>2416</v>
      </c>
      <c r="U1582" s="51" t="s">
        <v>3864</v>
      </c>
      <c r="W1582" s="51" t="s">
        <v>3868</v>
      </c>
      <c r="X1582" s="51" t="s">
        <v>2359</v>
      </c>
    </row>
    <row r="1583" customFormat="false" ht="14.25" hidden="true" customHeight="false" outlineLevel="0" collapsed="false">
      <c r="A1583" s="49" t="s">
        <v>2349</v>
      </c>
      <c r="B1583" s="49" t="s">
        <v>2350</v>
      </c>
      <c r="C1583" s="49" t="s">
        <v>3869</v>
      </c>
      <c r="D1583" s="49" t="s">
        <v>2352</v>
      </c>
      <c r="E1583" s="49" t="s">
        <v>3870</v>
      </c>
      <c r="F1583" s="49" t="s">
        <v>3871</v>
      </c>
      <c r="G1583" s="49" t="n">
        <v>0</v>
      </c>
      <c r="H1583" s="0" t="n">
        <v>0</v>
      </c>
      <c r="M1583" s="51" t="s">
        <v>3859</v>
      </c>
      <c r="N1583" s="49" t="n">
        <v>0</v>
      </c>
      <c r="O1583" s="53" t="n">
        <v>45713.5565625</v>
      </c>
      <c r="P1583" s="53" t="n">
        <v>46017.7688657407</v>
      </c>
      <c r="R1583" s="0" t="n">
        <v>0</v>
      </c>
      <c r="T1583" s="51" t="s">
        <v>2416</v>
      </c>
      <c r="U1583" s="51" t="s">
        <v>3870</v>
      </c>
      <c r="W1583" s="51" t="s">
        <v>3872</v>
      </c>
      <c r="X1583" s="51" t="s">
        <v>2359</v>
      </c>
    </row>
    <row r="1584" customFormat="false" ht="14.25" hidden="true" customHeight="false" outlineLevel="0" collapsed="false">
      <c r="A1584" s="49" t="s">
        <v>2349</v>
      </c>
      <c r="B1584" s="49" t="s">
        <v>2350</v>
      </c>
      <c r="C1584" s="49" t="s">
        <v>3873</v>
      </c>
      <c r="D1584" s="49" t="s">
        <v>2352</v>
      </c>
      <c r="E1584" s="49" t="s">
        <v>3870</v>
      </c>
      <c r="F1584" s="49" t="s">
        <v>3871</v>
      </c>
      <c r="G1584" s="49" t="n">
        <v>0</v>
      </c>
      <c r="H1584" s="0" t="n">
        <v>0</v>
      </c>
      <c r="M1584" s="51" t="s">
        <v>3859</v>
      </c>
      <c r="N1584" s="49" t="n">
        <v>0</v>
      </c>
      <c r="O1584" s="53" t="n">
        <v>45713.5561111111</v>
      </c>
      <c r="P1584" s="53" t="n">
        <v>46017.7847106482</v>
      </c>
      <c r="R1584" s="0" t="n">
        <v>0</v>
      </c>
      <c r="T1584" s="51" t="s">
        <v>2416</v>
      </c>
      <c r="U1584" s="51" t="s">
        <v>3870</v>
      </c>
      <c r="W1584" s="51" t="s">
        <v>3820</v>
      </c>
      <c r="X1584" s="51" t="s">
        <v>2359</v>
      </c>
    </row>
    <row r="1585" customFormat="false" ht="14.25" hidden="true" customHeight="false" outlineLevel="0" collapsed="false">
      <c r="A1585" s="49" t="s">
        <v>2349</v>
      </c>
      <c r="B1585" s="49" t="s">
        <v>2350</v>
      </c>
      <c r="C1585" s="49" t="s">
        <v>3874</v>
      </c>
      <c r="D1585" s="49" t="s">
        <v>2352</v>
      </c>
      <c r="E1585" s="49" t="s">
        <v>3875</v>
      </c>
      <c r="F1585" s="49" t="s">
        <v>3876</v>
      </c>
      <c r="G1585" s="49" t="n">
        <v>0</v>
      </c>
      <c r="H1585" s="0" t="n">
        <v>0</v>
      </c>
      <c r="M1585" s="51" t="s">
        <v>3859</v>
      </c>
      <c r="N1585" s="49" t="n">
        <v>0</v>
      </c>
      <c r="O1585" s="53" t="n">
        <v>45713.5627893519</v>
      </c>
      <c r="P1585" s="53" t="n">
        <v>46007.5850578704</v>
      </c>
      <c r="R1585" s="0" t="n">
        <v>0</v>
      </c>
      <c r="T1585" s="51" t="s">
        <v>2416</v>
      </c>
      <c r="U1585" s="51" t="s">
        <v>3875</v>
      </c>
      <c r="W1585" s="51" t="s">
        <v>3877</v>
      </c>
      <c r="X1585" s="51" t="s">
        <v>2359</v>
      </c>
    </row>
    <row r="1586" customFormat="false" ht="14.25" hidden="true" customHeight="false" outlineLevel="0" collapsed="false">
      <c r="A1586" s="49" t="s">
        <v>2349</v>
      </c>
      <c r="B1586" s="49" t="s">
        <v>2350</v>
      </c>
      <c r="C1586" s="49" t="s">
        <v>3878</v>
      </c>
      <c r="D1586" s="49" t="s">
        <v>2352</v>
      </c>
      <c r="E1586" s="49" t="s">
        <v>3879</v>
      </c>
      <c r="F1586" s="49" t="s">
        <v>3880</v>
      </c>
      <c r="G1586" s="49" t="n">
        <v>0</v>
      </c>
      <c r="H1586" s="0" t="n">
        <v>0</v>
      </c>
      <c r="M1586" s="51" t="s">
        <v>3859</v>
      </c>
      <c r="N1586" s="49" t="n">
        <v>0</v>
      </c>
      <c r="O1586" s="53" t="n">
        <v>45713.5586921296</v>
      </c>
      <c r="P1586" s="53" t="n">
        <v>45894.8260763889</v>
      </c>
      <c r="R1586" s="0" t="n">
        <v>0</v>
      </c>
      <c r="T1586" s="51" t="s">
        <v>2416</v>
      </c>
      <c r="U1586" s="51" t="s">
        <v>3879</v>
      </c>
      <c r="W1586" s="51" t="s">
        <v>3881</v>
      </c>
      <c r="X1586" s="51" t="s">
        <v>2359</v>
      </c>
    </row>
    <row r="1587" customFormat="false" ht="14.25" hidden="true" customHeight="false" outlineLevel="0" collapsed="false">
      <c r="A1587" s="49" t="s">
        <v>2349</v>
      </c>
      <c r="B1587" s="49" t="s">
        <v>2350</v>
      </c>
      <c r="C1587" s="49" t="s">
        <v>3882</v>
      </c>
      <c r="D1587" s="49" t="s">
        <v>2352</v>
      </c>
      <c r="E1587" s="49" t="s">
        <v>3883</v>
      </c>
      <c r="F1587" s="49" t="s">
        <v>3884</v>
      </c>
      <c r="G1587" s="49" t="n">
        <v>0</v>
      </c>
      <c r="H1587" s="0" t="n">
        <v>0</v>
      </c>
      <c r="M1587" s="51" t="s">
        <v>3859</v>
      </c>
      <c r="N1587" s="49" t="n">
        <v>0</v>
      </c>
      <c r="O1587" s="53" t="n">
        <v>45713.5550115741</v>
      </c>
      <c r="P1587" s="53" t="n">
        <v>46017.7839699074</v>
      </c>
      <c r="R1587" s="0" t="n">
        <v>0</v>
      </c>
      <c r="T1587" s="51" t="s">
        <v>2416</v>
      </c>
      <c r="U1587" s="51" t="s">
        <v>3883</v>
      </c>
      <c r="W1587" s="51" t="s">
        <v>3820</v>
      </c>
      <c r="X1587" s="51" t="s">
        <v>2359</v>
      </c>
    </row>
    <row r="1588" customFormat="false" ht="14.25" hidden="true" customHeight="false" outlineLevel="0" collapsed="false">
      <c r="A1588" s="49" t="s">
        <v>2349</v>
      </c>
      <c r="B1588" s="49" t="s">
        <v>2350</v>
      </c>
      <c r="C1588" s="49" t="s">
        <v>3885</v>
      </c>
      <c r="D1588" s="49" t="s">
        <v>2352</v>
      </c>
      <c r="E1588" s="49" t="s">
        <v>3886</v>
      </c>
      <c r="F1588" s="49" t="s">
        <v>3887</v>
      </c>
      <c r="G1588" s="49" t="n">
        <v>0</v>
      </c>
      <c r="H1588" s="0" t="n">
        <v>0</v>
      </c>
      <c r="M1588" s="51" t="s">
        <v>3859</v>
      </c>
      <c r="N1588" s="49" t="n">
        <v>0</v>
      </c>
      <c r="O1588" s="53" t="n">
        <v>45713.5788888889</v>
      </c>
      <c r="P1588" s="53" t="n">
        <v>46017.7843402778</v>
      </c>
      <c r="R1588" s="0" t="n">
        <v>0</v>
      </c>
      <c r="T1588" s="51" t="s">
        <v>2416</v>
      </c>
      <c r="U1588" s="51" t="s">
        <v>3886</v>
      </c>
      <c r="W1588" s="51" t="s">
        <v>3820</v>
      </c>
      <c r="X1588" s="51" t="s">
        <v>2359</v>
      </c>
    </row>
    <row r="1589" customFormat="false" ht="14.25" hidden="true" customHeight="false" outlineLevel="0" collapsed="false">
      <c r="A1589" s="49" t="s">
        <v>2349</v>
      </c>
      <c r="B1589" s="49" t="s">
        <v>2350</v>
      </c>
      <c r="C1589" s="49" t="s">
        <v>3888</v>
      </c>
      <c r="D1589" s="49" t="s">
        <v>2352</v>
      </c>
      <c r="E1589" s="49" t="s">
        <v>3889</v>
      </c>
      <c r="F1589" s="49" t="s">
        <v>3890</v>
      </c>
      <c r="G1589" s="49" t="n">
        <v>0</v>
      </c>
      <c r="H1589" s="0" t="n">
        <v>0</v>
      </c>
      <c r="M1589" s="51" t="s">
        <v>3859</v>
      </c>
      <c r="N1589" s="49" t="n">
        <v>0</v>
      </c>
      <c r="O1589" s="53" t="n">
        <v>45713.5884259259</v>
      </c>
      <c r="P1589" s="53" t="n">
        <v>45979.4467939815</v>
      </c>
      <c r="R1589" s="0" t="n">
        <v>0</v>
      </c>
      <c r="T1589" s="51" t="s">
        <v>2416</v>
      </c>
      <c r="U1589" s="51" t="s">
        <v>3889</v>
      </c>
      <c r="W1589" s="51" t="s">
        <v>3891</v>
      </c>
      <c r="X1589" s="51" t="s">
        <v>2359</v>
      </c>
    </row>
    <row r="1590" customFormat="false" ht="14.25" hidden="true" customHeight="false" outlineLevel="0" collapsed="false">
      <c r="A1590" s="49" t="s">
        <v>2349</v>
      </c>
      <c r="B1590" s="49" t="s">
        <v>2350</v>
      </c>
      <c r="C1590" s="49" t="s">
        <v>3892</v>
      </c>
      <c r="D1590" s="49" t="s">
        <v>2352</v>
      </c>
      <c r="E1590" s="49" t="s">
        <v>3893</v>
      </c>
      <c r="F1590" s="49" t="s">
        <v>3894</v>
      </c>
      <c r="G1590" s="49" t="n">
        <v>0</v>
      </c>
      <c r="H1590" s="0" t="n">
        <v>0</v>
      </c>
      <c r="M1590" s="51" t="s">
        <v>3859</v>
      </c>
      <c r="N1590" s="49" t="n">
        <v>0</v>
      </c>
      <c r="O1590" s="53" t="n">
        <v>45713.587650463</v>
      </c>
      <c r="P1590" s="53" t="n">
        <v>45764.9365509259</v>
      </c>
      <c r="R1590" s="0" t="n">
        <v>0</v>
      </c>
      <c r="T1590" s="51" t="s">
        <v>2416</v>
      </c>
      <c r="U1590" s="51" t="s">
        <v>3893</v>
      </c>
      <c r="W1590" s="51" t="s">
        <v>3866</v>
      </c>
      <c r="X1590" s="51" t="s">
        <v>2359</v>
      </c>
    </row>
    <row r="1591" customFormat="false" ht="14.25" hidden="true" customHeight="false" outlineLevel="0" collapsed="false">
      <c r="A1591" s="49" t="s">
        <v>2349</v>
      </c>
      <c r="B1591" s="49" t="s">
        <v>2350</v>
      </c>
      <c r="C1591" s="49" t="s">
        <v>3895</v>
      </c>
      <c r="D1591" s="49" t="s">
        <v>2352</v>
      </c>
      <c r="E1591" s="49" t="s">
        <v>3896</v>
      </c>
      <c r="F1591" s="49" t="s">
        <v>3897</v>
      </c>
      <c r="G1591" s="49" t="n">
        <v>0</v>
      </c>
      <c r="H1591" s="0" t="n">
        <v>0</v>
      </c>
      <c r="M1591" s="51" t="s">
        <v>3859</v>
      </c>
      <c r="N1591" s="49" t="n">
        <v>0</v>
      </c>
      <c r="O1591" s="53" t="n">
        <v>45713.5841550926</v>
      </c>
      <c r="P1591" s="53" t="n">
        <v>45720.4267939815</v>
      </c>
      <c r="R1591" s="0" t="n">
        <v>0</v>
      </c>
      <c r="T1591" s="51" t="s">
        <v>2416</v>
      </c>
      <c r="U1591" s="51" t="s">
        <v>3896</v>
      </c>
      <c r="W1591" s="51" t="s">
        <v>3898</v>
      </c>
      <c r="X1591" s="51" t="s">
        <v>2359</v>
      </c>
    </row>
    <row r="1592" customFormat="false" ht="14.25" hidden="true" customHeight="false" outlineLevel="0" collapsed="false">
      <c r="A1592" s="49" t="s">
        <v>2349</v>
      </c>
      <c r="B1592" s="49" t="s">
        <v>2350</v>
      </c>
      <c r="C1592" s="49" t="s">
        <v>3899</v>
      </c>
      <c r="D1592" s="49" t="s">
        <v>2352</v>
      </c>
      <c r="E1592" s="49" t="s">
        <v>3900</v>
      </c>
      <c r="F1592" s="49" t="s">
        <v>3901</v>
      </c>
      <c r="G1592" s="49" t="n">
        <v>0</v>
      </c>
      <c r="H1592" s="0" t="n">
        <v>0</v>
      </c>
      <c r="M1592" s="51" t="s">
        <v>3859</v>
      </c>
      <c r="N1592" s="49" t="n">
        <v>0</v>
      </c>
      <c r="O1592" s="53" t="n">
        <v>45944.5665162037</v>
      </c>
      <c r="P1592" s="53" t="n">
        <v>46017.7594444445</v>
      </c>
      <c r="R1592" s="0" t="n">
        <v>0</v>
      </c>
      <c r="T1592" s="51" t="s">
        <v>2364</v>
      </c>
      <c r="U1592" s="51" t="s">
        <v>3900</v>
      </c>
      <c r="W1592" s="51" t="s">
        <v>3902</v>
      </c>
      <c r="X1592" s="51" t="s">
        <v>2359</v>
      </c>
    </row>
    <row r="1593" customFormat="false" ht="14.25" hidden="true" customHeight="false" outlineLevel="0" collapsed="false">
      <c r="A1593" s="49" t="s">
        <v>2349</v>
      </c>
      <c r="B1593" s="49" t="s">
        <v>2350</v>
      </c>
      <c r="C1593" s="49" t="s">
        <v>3903</v>
      </c>
      <c r="D1593" s="49" t="s">
        <v>2352</v>
      </c>
      <c r="E1593" s="49" t="s">
        <v>3889</v>
      </c>
      <c r="F1593" s="49" t="s">
        <v>3890</v>
      </c>
      <c r="G1593" s="49" t="n">
        <v>0</v>
      </c>
      <c r="H1593" s="0" t="n">
        <v>0</v>
      </c>
      <c r="M1593" s="51" t="s">
        <v>3859</v>
      </c>
      <c r="N1593" s="49" t="n">
        <v>0</v>
      </c>
      <c r="O1593" s="53" t="n">
        <v>45945.6551157407</v>
      </c>
      <c r="P1593" s="53" t="n">
        <v>46007.5831712963</v>
      </c>
      <c r="R1593" s="0" t="n">
        <v>0</v>
      </c>
      <c r="T1593" s="51" t="s">
        <v>2383</v>
      </c>
      <c r="U1593" s="51" t="s">
        <v>3889</v>
      </c>
      <c r="W1593" s="51" t="s">
        <v>3904</v>
      </c>
      <c r="X1593" s="51" t="s">
        <v>2359</v>
      </c>
    </row>
    <row r="1594" customFormat="false" ht="14.25" hidden="true" customHeight="false" outlineLevel="0" collapsed="false">
      <c r="A1594" s="49" t="s">
        <v>2349</v>
      </c>
      <c r="B1594" s="49" t="s">
        <v>2350</v>
      </c>
      <c r="C1594" s="49" t="s">
        <v>3905</v>
      </c>
      <c r="D1594" s="49" t="s">
        <v>2352</v>
      </c>
      <c r="E1594" s="49" t="s">
        <v>3906</v>
      </c>
      <c r="F1594" s="49" t="s">
        <v>3907</v>
      </c>
      <c r="G1594" s="49" t="n">
        <v>0</v>
      </c>
      <c r="H1594" s="0" t="n">
        <v>0</v>
      </c>
      <c r="M1594" s="51" t="s">
        <v>3859</v>
      </c>
      <c r="N1594" s="49" t="n">
        <v>0</v>
      </c>
      <c r="O1594" s="53" t="n">
        <v>45945.6473148148</v>
      </c>
      <c r="P1594" s="53" t="n">
        <v>46017.7889236111</v>
      </c>
      <c r="R1594" s="0" t="n">
        <v>0</v>
      </c>
      <c r="T1594" s="51" t="s">
        <v>2383</v>
      </c>
      <c r="U1594" s="51" t="s">
        <v>3906</v>
      </c>
      <c r="W1594" s="51" t="s">
        <v>3908</v>
      </c>
      <c r="X1594" s="51" t="s">
        <v>2359</v>
      </c>
    </row>
    <row r="1595" customFormat="false" ht="14.25" hidden="true" customHeight="false" outlineLevel="0" collapsed="false">
      <c r="A1595" s="49" t="s">
        <v>2349</v>
      </c>
      <c r="B1595" s="49" t="s">
        <v>2350</v>
      </c>
      <c r="C1595" s="49" t="s">
        <v>3909</v>
      </c>
      <c r="D1595" s="49" t="s">
        <v>2352</v>
      </c>
      <c r="E1595" s="49" t="s">
        <v>3910</v>
      </c>
      <c r="F1595" s="49" t="s">
        <v>3911</v>
      </c>
      <c r="G1595" s="49" t="n">
        <v>0</v>
      </c>
      <c r="H1595" s="0" t="n">
        <v>0</v>
      </c>
      <c r="M1595" s="51" t="s">
        <v>3859</v>
      </c>
      <c r="N1595" s="49" t="n">
        <v>0</v>
      </c>
      <c r="O1595" s="53" t="n">
        <v>45945.6389467593</v>
      </c>
      <c r="P1595" s="53" t="n">
        <v>46017.7884375</v>
      </c>
      <c r="R1595" s="0" t="n">
        <v>0</v>
      </c>
      <c r="T1595" s="51" t="s">
        <v>2383</v>
      </c>
      <c r="U1595" s="51" t="s">
        <v>3910</v>
      </c>
      <c r="W1595" s="51" t="s">
        <v>2424</v>
      </c>
      <c r="X1595" s="51" t="s">
        <v>2359</v>
      </c>
    </row>
    <row r="1596" customFormat="false" ht="14.25" hidden="true" customHeight="false" outlineLevel="0" collapsed="false">
      <c r="A1596" s="49" t="s">
        <v>2349</v>
      </c>
      <c r="B1596" s="49" t="s">
        <v>2350</v>
      </c>
      <c r="C1596" s="49" t="s">
        <v>3912</v>
      </c>
      <c r="D1596" s="49" t="s">
        <v>2352</v>
      </c>
      <c r="E1596" s="49" t="s">
        <v>3861</v>
      </c>
      <c r="F1596" s="49" t="s">
        <v>3862</v>
      </c>
      <c r="G1596" s="49" t="n">
        <v>0</v>
      </c>
      <c r="H1596" s="0" t="n">
        <v>0</v>
      </c>
      <c r="M1596" s="51" t="s">
        <v>3859</v>
      </c>
      <c r="N1596" s="49" t="n">
        <v>0</v>
      </c>
      <c r="O1596" s="53" t="n">
        <v>45945.635</v>
      </c>
      <c r="P1596" s="53" t="n">
        <v>46017.7891666667</v>
      </c>
      <c r="R1596" s="0" t="n">
        <v>0</v>
      </c>
      <c r="T1596" s="51" t="s">
        <v>2383</v>
      </c>
      <c r="U1596" s="51" t="s">
        <v>3861</v>
      </c>
      <c r="W1596" s="51" t="s">
        <v>3908</v>
      </c>
      <c r="X1596" s="51" t="s">
        <v>2359</v>
      </c>
    </row>
    <row r="1597" customFormat="false" ht="14.25" hidden="true" customHeight="false" outlineLevel="0" collapsed="false">
      <c r="A1597" s="49" t="s">
        <v>2349</v>
      </c>
      <c r="B1597" s="49" t="s">
        <v>2350</v>
      </c>
      <c r="C1597" s="49" t="s">
        <v>3913</v>
      </c>
      <c r="D1597" s="49" t="s">
        <v>2352</v>
      </c>
      <c r="E1597" s="49" t="s">
        <v>3896</v>
      </c>
      <c r="F1597" s="49" t="s">
        <v>3897</v>
      </c>
      <c r="G1597" s="49" t="n">
        <v>0</v>
      </c>
      <c r="H1597" s="0" t="n">
        <v>0</v>
      </c>
      <c r="M1597" s="51" t="s">
        <v>3859</v>
      </c>
      <c r="N1597" s="49" t="n">
        <v>0</v>
      </c>
      <c r="O1597" s="53" t="n">
        <v>45945.6121412037</v>
      </c>
      <c r="P1597" s="53" t="n">
        <v>46017.7895717593</v>
      </c>
      <c r="R1597" s="0" t="n">
        <v>0</v>
      </c>
      <c r="T1597" s="51" t="s">
        <v>2383</v>
      </c>
      <c r="U1597" s="51" t="s">
        <v>3896</v>
      </c>
      <c r="W1597" s="51" t="s">
        <v>3812</v>
      </c>
      <c r="X1597" s="51" t="s">
        <v>2359</v>
      </c>
    </row>
    <row r="1598" customFormat="false" ht="14.25" hidden="true" customHeight="false" outlineLevel="0" collapsed="false">
      <c r="A1598" s="49" t="s">
        <v>2349</v>
      </c>
      <c r="B1598" s="49" t="s">
        <v>2350</v>
      </c>
      <c r="C1598" s="49" t="s">
        <v>3914</v>
      </c>
      <c r="D1598" s="49" t="s">
        <v>2352</v>
      </c>
      <c r="E1598" s="49" t="s">
        <v>3886</v>
      </c>
      <c r="F1598" s="49" t="s">
        <v>3887</v>
      </c>
      <c r="G1598" s="49" t="n">
        <v>0</v>
      </c>
      <c r="H1598" s="0" t="n">
        <v>0</v>
      </c>
      <c r="M1598" s="51" t="s">
        <v>3859</v>
      </c>
      <c r="N1598" s="49" t="n">
        <v>0</v>
      </c>
      <c r="O1598" s="53" t="n">
        <v>45945.6139814815</v>
      </c>
      <c r="P1598" s="53" t="n">
        <v>46017.7919212963</v>
      </c>
      <c r="R1598" s="0" t="n">
        <v>0</v>
      </c>
      <c r="T1598" s="51" t="s">
        <v>2383</v>
      </c>
      <c r="U1598" s="51" t="s">
        <v>3886</v>
      </c>
      <c r="W1598" s="51" t="s">
        <v>3847</v>
      </c>
      <c r="X1598" s="51" t="s">
        <v>2359</v>
      </c>
    </row>
    <row r="1599" customFormat="false" ht="14.25" hidden="true" customHeight="false" outlineLevel="0" collapsed="false">
      <c r="A1599" s="49" t="s">
        <v>2349</v>
      </c>
      <c r="B1599" s="49" t="s">
        <v>2350</v>
      </c>
      <c r="C1599" s="49" t="s">
        <v>3915</v>
      </c>
      <c r="D1599" s="49" t="s">
        <v>2352</v>
      </c>
      <c r="E1599" s="49" t="s">
        <v>3916</v>
      </c>
      <c r="F1599" s="49" t="s">
        <v>3917</v>
      </c>
      <c r="G1599" s="49" t="n">
        <v>0</v>
      </c>
      <c r="H1599" s="0" t="n">
        <v>0</v>
      </c>
      <c r="M1599" s="51" t="s">
        <v>3859</v>
      </c>
      <c r="N1599" s="49" t="n">
        <v>0</v>
      </c>
      <c r="O1599" s="53" t="n">
        <v>45945.6103356482</v>
      </c>
      <c r="P1599" s="53" t="n">
        <v>46017.7916550926</v>
      </c>
      <c r="R1599" s="0" t="n">
        <v>0</v>
      </c>
      <c r="T1599" s="51" t="s">
        <v>2383</v>
      </c>
      <c r="U1599" s="51" t="s">
        <v>3916</v>
      </c>
      <c r="W1599" s="51" t="s">
        <v>3847</v>
      </c>
      <c r="X1599" s="51" t="s">
        <v>2359</v>
      </c>
    </row>
    <row r="1600" customFormat="false" ht="14.25" hidden="true" customHeight="false" outlineLevel="0" collapsed="false">
      <c r="A1600" s="49" t="s">
        <v>2349</v>
      </c>
      <c r="B1600" s="49" t="s">
        <v>2350</v>
      </c>
      <c r="C1600" s="49" t="s">
        <v>3918</v>
      </c>
      <c r="D1600" s="49" t="s">
        <v>2352</v>
      </c>
      <c r="E1600" s="49" t="s">
        <v>3893</v>
      </c>
      <c r="F1600" s="49" t="s">
        <v>3894</v>
      </c>
      <c r="G1600" s="49" t="n">
        <v>0</v>
      </c>
      <c r="H1600" s="0" t="n">
        <v>0</v>
      </c>
      <c r="M1600" s="51" t="s">
        <v>3859</v>
      </c>
      <c r="N1600" s="49" t="n">
        <v>0</v>
      </c>
      <c r="O1600" s="53" t="n">
        <v>45987.8825</v>
      </c>
      <c r="P1600" s="53" t="n">
        <v>46007.5806597222</v>
      </c>
      <c r="R1600" s="0" t="n">
        <v>0</v>
      </c>
      <c r="T1600" s="51" t="s">
        <v>2394</v>
      </c>
      <c r="U1600" s="51" t="s">
        <v>3893</v>
      </c>
      <c r="W1600" s="51" t="s">
        <v>3919</v>
      </c>
      <c r="X1600" s="51" t="s">
        <v>2359</v>
      </c>
    </row>
    <row r="1601" customFormat="false" ht="14.25" hidden="true" customHeight="false" outlineLevel="0" collapsed="false">
      <c r="A1601" s="49" t="s">
        <v>2349</v>
      </c>
      <c r="B1601" s="49" t="s">
        <v>2350</v>
      </c>
      <c r="C1601" s="49" t="s">
        <v>3920</v>
      </c>
      <c r="D1601" s="49" t="s">
        <v>2352</v>
      </c>
      <c r="E1601" s="49" t="s">
        <v>3906</v>
      </c>
      <c r="F1601" s="49" t="s">
        <v>3907</v>
      </c>
      <c r="G1601" s="49" t="n">
        <v>0</v>
      </c>
      <c r="H1601" s="0" t="n">
        <v>0</v>
      </c>
      <c r="M1601" s="51" t="s">
        <v>3859</v>
      </c>
      <c r="N1601" s="49" t="n">
        <v>0</v>
      </c>
      <c r="O1601" s="53" t="n">
        <v>45987.8830208333</v>
      </c>
      <c r="P1601" s="53" t="n">
        <v>46017.7639814815</v>
      </c>
      <c r="R1601" s="0" t="n">
        <v>0</v>
      </c>
      <c r="T1601" s="51" t="s">
        <v>2394</v>
      </c>
      <c r="U1601" s="51" t="s">
        <v>3906</v>
      </c>
      <c r="W1601" s="51" t="s">
        <v>3921</v>
      </c>
      <c r="X1601" s="51" t="s">
        <v>2359</v>
      </c>
    </row>
    <row r="1602" customFormat="false" ht="14.25" hidden="true" customHeight="false" outlineLevel="0" collapsed="false">
      <c r="A1602" s="49" t="s">
        <v>2349</v>
      </c>
      <c r="B1602" s="49" t="s">
        <v>2350</v>
      </c>
      <c r="C1602" s="49" t="s">
        <v>3922</v>
      </c>
      <c r="D1602" s="49" t="s">
        <v>2352</v>
      </c>
      <c r="E1602" s="49" t="s">
        <v>3861</v>
      </c>
      <c r="F1602" s="49" t="s">
        <v>3862</v>
      </c>
      <c r="G1602" s="49" t="n">
        <v>0</v>
      </c>
      <c r="H1602" s="0" t="n">
        <v>0</v>
      </c>
      <c r="M1602" s="51" t="s">
        <v>3859</v>
      </c>
      <c r="N1602" s="49" t="n">
        <v>0</v>
      </c>
      <c r="O1602" s="53" t="n">
        <v>45987.8838425926</v>
      </c>
      <c r="P1602" s="53" t="n">
        <v>46017.7604282407</v>
      </c>
      <c r="R1602" s="0" t="n">
        <v>0</v>
      </c>
      <c r="T1602" s="51" t="s">
        <v>2394</v>
      </c>
      <c r="U1602" s="51" t="s">
        <v>3861</v>
      </c>
      <c r="W1602" s="51" t="s">
        <v>3923</v>
      </c>
      <c r="X1602" s="51" t="s">
        <v>2359</v>
      </c>
    </row>
    <row r="1603" customFormat="false" ht="14.25" hidden="true" customHeight="false" outlineLevel="0" collapsed="false">
      <c r="A1603" s="49" t="s">
        <v>2349</v>
      </c>
      <c r="B1603" s="49" t="s">
        <v>2350</v>
      </c>
      <c r="C1603" s="49" t="s">
        <v>3924</v>
      </c>
      <c r="D1603" s="49" t="s">
        <v>2352</v>
      </c>
      <c r="E1603" s="49" t="s">
        <v>3906</v>
      </c>
      <c r="F1603" s="49" t="s">
        <v>3907</v>
      </c>
      <c r="G1603" s="49" t="n">
        <v>0</v>
      </c>
      <c r="H1603" s="0" t="n">
        <v>0</v>
      </c>
      <c r="M1603" s="51" t="s">
        <v>3859</v>
      </c>
      <c r="N1603" s="49" t="n">
        <v>0</v>
      </c>
      <c r="O1603" s="53" t="n">
        <v>46008.104212963</v>
      </c>
      <c r="P1603" s="53" t="n">
        <v>46017.7833217593</v>
      </c>
      <c r="R1603" s="0" t="n">
        <v>0</v>
      </c>
      <c r="T1603" s="51" t="s">
        <v>2364</v>
      </c>
      <c r="U1603" s="51" t="s">
        <v>3906</v>
      </c>
      <c r="W1603" s="51" t="s">
        <v>3925</v>
      </c>
      <c r="X1603" s="51" t="s">
        <v>2359</v>
      </c>
    </row>
    <row r="1604" customFormat="false" ht="14.25" hidden="true" customHeight="false" outlineLevel="0" collapsed="false">
      <c r="A1604" s="49" t="s">
        <v>2349</v>
      </c>
      <c r="B1604" s="49" t="s">
        <v>2350</v>
      </c>
      <c r="C1604" s="49" t="s">
        <v>3926</v>
      </c>
      <c r="D1604" s="49" t="s">
        <v>2352</v>
      </c>
      <c r="E1604" s="49" t="s">
        <v>3927</v>
      </c>
      <c r="F1604" s="49" t="s">
        <v>3928</v>
      </c>
      <c r="G1604" s="49" t="n">
        <v>0</v>
      </c>
      <c r="H1604" s="0" t="n">
        <v>0</v>
      </c>
      <c r="M1604" s="51" t="s">
        <v>3859</v>
      </c>
      <c r="N1604" s="49" t="n">
        <v>0</v>
      </c>
      <c r="O1604" s="53" t="n">
        <v>46008.0397916667</v>
      </c>
      <c r="P1604" s="53" t="n">
        <v>46016.1116782407</v>
      </c>
      <c r="R1604" s="0" t="n">
        <v>0</v>
      </c>
      <c r="T1604" s="51" t="s">
        <v>2364</v>
      </c>
      <c r="U1604" s="51" t="s">
        <v>3927</v>
      </c>
      <c r="W1604" s="51" t="s">
        <v>3908</v>
      </c>
      <c r="X1604" s="51" t="s">
        <v>2359</v>
      </c>
    </row>
    <row r="1605" customFormat="false" ht="14.25" hidden="true" customHeight="false" outlineLevel="0" collapsed="false">
      <c r="A1605" s="49" t="s">
        <v>2349</v>
      </c>
      <c r="B1605" s="49" t="s">
        <v>2350</v>
      </c>
      <c r="C1605" s="49" t="s">
        <v>3929</v>
      </c>
      <c r="D1605" s="49" t="s">
        <v>2352</v>
      </c>
      <c r="E1605" s="49" t="s">
        <v>3870</v>
      </c>
      <c r="F1605" s="49" t="s">
        <v>3871</v>
      </c>
      <c r="G1605" s="49" t="n">
        <v>0</v>
      </c>
      <c r="H1605" s="0" t="n">
        <v>0</v>
      </c>
      <c r="M1605" s="51" t="s">
        <v>3859</v>
      </c>
      <c r="N1605" s="49" t="n">
        <v>0</v>
      </c>
      <c r="O1605" s="53" t="n">
        <v>46007.9401273148</v>
      </c>
      <c r="P1605" s="53" t="n">
        <v>46017.7976388889</v>
      </c>
      <c r="R1605" s="0" t="n">
        <v>0</v>
      </c>
      <c r="T1605" s="51" t="s">
        <v>2380</v>
      </c>
      <c r="U1605" s="51" t="s">
        <v>3870</v>
      </c>
      <c r="W1605" s="51" t="s">
        <v>3930</v>
      </c>
      <c r="X1605" s="51" t="s">
        <v>2359</v>
      </c>
    </row>
    <row r="1606" customFormat="false" ht="14.25" hidden="true" customHeight="false" outlineLevel="0" collapsed="false">
      <c r="A1606" s="49" t="s">
        <v>2349</v>
      </c>
      <c r="B1606" s="49" t="s">
        <v>2350</v>
      </c>
      <c r="C1606" s="49" t="s">
        <v>3931</v>
      </c>
      <c r="D1606" s="49" t="s">
        <v>2352</v>
      </c>
      <c r="E1606" s="49" t="s">
        <v>3857</v>
      </c>
      <c r="F1606" s="49" t="s">
        <v>3858</v>
      </c>
      <c r="G1606" s="49" t="n">
        <v>0</v>
      </c>
      <c r="H1606" s="0" t="n">
        <v>0</v>
      </c>
      <c r="M1606" s="51" t="s">
        <v>3859</v>
      </c>
      <c r="N1606" s="49" t="n">
        <v>0</v>
      </c>
      <c r="O1606" s="53" t="n">
        <v>46007.9418518519</v>
      </c>
      <c r="P1606" s="53" t="n">
        <v>46017.7966087963</v>
      </c>
      <c r="R1606" s="0" t="n">
        <v>0</v>
      </c>
      <c r="T1606" s="51" t="s">
        <v>2380</v>
      </c>
      <c r="U1606" s="51" t="s">
        <v>3857</v>
      </c>
      <c r="W1606" s="51" t="s">
        <v>2432</v>
      </c>
      <c r="X1606" s="51" t="s">
        <v>2359</v>
      </c>
    </row>
    <row r="1607" customFormat="false" ht="14.25" hidden="true" customHeight="false" outlineLevel="0" collapsed="false">
      <c r="A1607" s="49" t="s">
        <v>2349</v>
      </c>
      <c r="B1607" s="49" t="s">
        <v>2350</v>
      </c>
      <c r="C1607" s="49" t="s">
        <v>3932</v>
      </c>
      <c r="D1607" s="49" t="s">
        <v>2352</v>
      </c>
      <c r="E1607" s="49" t="s">
        <v>3916</v>
      </c>
      <c r="F1607" s="49" t="s">
        <v>3917</v>
      </c>
      <c r="G1607" s="49" t="n">
        <v>0</v>
      </c>
      <c r="H1607" s="0" t="n">
        <v>0</v>
      </c>
      <c r="M1607" s="51" t="s">
        <v>3859</v>
      </c>
      <c r="N1607" s="49" t="n">
        <v>0</v>
      </c>
      <c r="O1607" s="53" t="n">
        <v>46007.9676851852</v>
      </c>
      <c r="P1607" s="53" t="n">
        <v>46017.7954398148</v>
      </c>
      <c r="R1607" s="0" t="n">
        <v>0</v>
      </c>
      <c r="T1607" s="51" t="s">
        <v>2380</v>
      </c>
      <c r="U1607" s="51" t="s">
        <v>3916</v>
      </c>
      <c r="W1607" s="51" t="s">
        <v>2432</v>
      </c>
      <c r="X1607" s="51" t="s">
        <v>2359</v>
      </c>
    </row>
    <row r="1608" customFormat="false" ht="14.25" hidden="true" customHeight="false" outlineLevel="0" collapsed="false">
      <c r="A1608" s="49" t="s">
        <v>2349</v>
      </c>
      <c r="B1608" s="49" t="s">
        <v>2350</v>
      </c>
      <c r="C1608" s="49" t="s">
        <v>3933</v>
      </c>
      <c r="D1608" s="49" t="s">
        <v>2352</v>
      </c>
      <c r="E1608" s="49" t="s">
        <v>3886</v>
      </c>
      <c r="F1608" s="49" t="s">
        <v>3887</v>
      </c>
      <c r="G1608" s="49" t="n">
        <v>0</v>
      </c>
      <c r="H1608" s="0" t="n">
        <v>0</v>
      </c>
      <c r="M1608" s="51" t="s">
        <v>3859</v>
      </c>
      <c r="N1608" s="49" t="n">
        <v>0</v>
      </c>
      <c r="O1608" s="53" t="n">
        <v>46007.9649537037</v>
      </c>
      <c r="P1608" s="53" t="n">
        <v>46017.797349537</v>
      </c>
      <c r="R1608" s="0" t="n">
        <v>0</v>
      </c>
      <c r="T1608" s="51" t="s">
        <v>2380</v>
      </c>
      <c r="U1608" s="51" t="s">
        <v>3886</v>
      </c>
      <c r="W1608" s="51" t="s">
        <v>3930</v>
      </c>
      <c r="X1608" s="51" t="s">
        <v>2359</v>
      </c>
    </row>
    <row r="1609" customFormat="false" ht="14.25" hidden="true" customHeight="false" outlineLevel="0" collapsed="false">
      <c r="A1609" s="49" t="s">
        <v>2349</v>
      </c>
      <c r="B1609" s="49" t="s">
        <v>2350</v>
      </c>
      <c r="C1609" s="49" t="s">
        <v>3934</v>
      </c>
      <c r="D1609" s="49" t="s">
        <v>2352</v>
      </c>
      <c r="E1609" s="49" t="s">
        <v>3900</v>
      </c>
      <c r="F1609" s="49" t="s">
        <v>3901</v>
      </c>
      <c r="G1609" s="49" t="n">
        <v>0</v>
      </c>
      <c r="H1609" s="0" t="n">
        <v>0</v>
      </c>
      <c r="M1609" s="51" t="s">
        <v>3859</v>
      </c>
      <c r="N1609" s="49" t="n">
        <v>0</v>
      </c>
      <c r="O1609" s="53" t="n">
        <v>46007.8800810185</v>
      </c>
      <c r="P1609" s="53" t="n">
        <v>46017.7956828704</v>
      </c>
      <c r="R1609" s="0" t="n">
        <v>0</v>
      </c>
      <c r="T1609" s="51" t="s">
        <v>2380</v>
      </c>
      <c r="U1609" s="51" t="s">
        <v>3900</v>
      </c>
      <c r="W1609" s="51" t="s">
        <v>2432</v>
      </c>
      <c r="X1609" s="51" t="s">
        <v>2359</v>
      </c>
    </row>
    <row r="1610" customFormat="false" ht="14.25" hidden="true" customHeight="false" outlineLevel="0" collapsed="false">
      <c r="A1610" s="49" t="s">
        <v>2349</v>
      </c>
      <c r="B1610" s="49" t="s">
        <v>2350</v>
      </c>
      <c r="C1610" s="49" t="s">
        <v>3935</v>
      </c>
      <c r="D1610" s="49" t="s">
        <v>2352</v>
      </c>
      <c r="E1610" s="49" t="s">
        <v>3910</v>
      </c>
      <c r="F1610" s="49" t="s">
        <v>3911</v>
      </c>
      <c r="G1610" s="49" t="n">
        <v>0</v>
      </c>
      <c r="H1610" s="0" t="n">
        <v>0</v>
      </c>
      <c r="M1610" s="51" t="s">
        <v>3859</v>
      </c>
      <c r="N1610" s="49" t="n">
        <v>0</v>
      </c>
      <c r="O1610" s="53" t="n">
        <v>46007.8821990741</v>
      </c>
      <c r="P1610" s="53" t="n">
        <v>46017.7950231481</v>
      </c>
      <c r="R1610" s="0" t="n">
        <v>0</v>
      </c>
      <c r="T1610" s="51" t="s">
        <v>2380</v>
      </c>
      <c r="U1610" s="51" t="s">
        <v>3910</v>
      </c>
      <c r="W1610" s="51" t="s">
        <v>3936</v>
      </c>
      <c r="X1610" s="51" t="s">
        <v>2359</v>
      </c>
    </row>
    <row r="1611" customFormat="false" ht="14.25" hidden="true" customHeight="false" outlineLevel="0" collapsed="false">
      <c r="A1611" s="49" t="s">
        <v>2349</v>
      </c>
      <c r="B1611" s="49" t="s">
        <v>2350</v>
      </c>
      <c r="C1611" s="49" t="s">
        <v>3937</v>
      </c>
      <c r="D1611" s="49" t="s">
        <v>2352</v>
      </c>
      <c r="E1611" s="49" t="s">
        <v>3861</v>
      </c>
      <c r="F1611" s="49" t="s">
        <v>3862</v>
      </c>
      <c r="G1611" s="49" t="n">
        <v>0</v>
      </c>
      <c r="H1611" s="0" t="n">
        <v>0</v>
      </c>
      <c r="M1611" s="51" t="s">
        <v>3859</v>
      </c>
      <c r="N1611" s="49" t="n">
        <v>0</v>
      </c>
      <c r="O1611" s="53" t="n">
        <v>46007.8830439815</v>
      </c>
      <c r="P1611" s="53" t="n">
        <v>46017.7947800926</v>
      </c>
      <c r="R1611" s="0" t="n">
        <v>0</v>
      </c>
      <c r="T1611" s="51" t="s">
        <v>2380</v>
      </c>
      <c r="U1611" s="51" t="s">
        <v>3861</v>
      </c>
      <c r="W1611" s="51" t="s">
        <v>3936</v>
      </c>
      <c r="X1611" s="51" t="s">
        <v>2359</v>
      </c>
    </row>
    <row r="1612" customFormat="false" ht="14.25" hidden="true" customHeight="false" outlineLevel="0" collapsed="false">
      <c r="A1612" s="49" t="s">
        <v>2349</v>
      </c>
      <c r="B1612" s="49" t="s">
        <v>2350</v>
      </c>
      <c r="C1612" s="49" t="s">
        <v>3938</v>
      </c>
      <c r="D1612" s="49" t="s">
        <v>2352</v>
      </c>
      <c r="E1612" s="49" t="s">
        <v>3906</v>
      </c>
      <c r="F1612" s="49" t="s">
        <v>3907</v>
      </c>
      <c r="G1612" s="49" t="n">
        <v>0</v>
      </c>
      <c r="H1612" s="0" t="n">
        <v>0</v>
      </c>
      <c r="M1612" s="51" t="s">
        <v>3859</v>
      </c>
      <c r="N1612" s="49" t="n">
        <v>0</v>
      </c>
      <c r="O1612" s="53" t="n">
        <v>46007.8836689815</v>
      </c>
      <c r="P1612" s="53" t="n">
        <v>46017.7941782407</v>
      </c>
      <c r="R1612" s="0" t="n">
        <v>0</v>
      </c>
      <c r="T1612" s="51" t="s">
        <v>2380</v>
      </c>
      <c r="U1612" s="51" t="s">
        <v>3906</v>
      </c>
      <c r="W1612" s="51" t="s">
        <v>3936</v>
      </c>
      <c r="X1612" s="51" t="s">
        <v>2359</v>
      </c>
    </row>
    <row r="1613" customFormat="false" ht="14.25" hidden="true" customHeight="false" outlineLevel="0" collapsed="false">
      <c r="A1613" s="49" t="s">
        <v>2349</v>
      </c>
      <c r="B1613" s="49" t="s">
        <v>2350</v>
      </c>
      <c r="C1613" s="49" t="s">
        <v>3939</v>
      </c>
      <c r="D1613" s="49" t="s">
        <v>2352</v>
      </c>
      <c r="E1613" s="49" t="s">
        <v>3940</v>
      </c>
      <c r="F1613" s="49" t="s">
        <v>3941</v>
      </c>
      <c r="G1613" s="49" t="n">
        <v>0</v>
      </c>
      <c r="H1613" s="0" t="n">
        <v>0</v>
      </c>
      <c r="M1613" s="51" t="s">
        <v>3859</v>
      </c>
      <c r="N1613" s="49" t="n">
        <v>0</v>
      </c>
      <c r="O1613" s="53" t="n">
        <v>46007.8860416667</v>
      </c>
      <c r="P1613" s="53" t="n">
        <v>46017.794525463</v>
      </c>
      <c r="R1613" s="0" t="n">
        <v>0</v>
      </c>
      <c r="T1613" s="51" t="s">
        <v>2380</v>
      </c>
      <c r="U1613" s="51" t="s">
        <v>3940</v>
      </c>
      <c r="W1613" s="51" t="s">
        <v>3936</v>
      </c>
      <c r="X1613" s="51" t="s">
        <v>2359</v>
      </c>
    </row>
    <row r="1614" customFormat="false" ht="14.25" hidden="true" customHeight="false" outlineLevel="0" collapsed="false">
      <c r="A1614" s="49" t="s">
        <v>2349</v>
      </c>
      <c r="B1614" s="49" t="s">
        <v>2350</v>
      </c>
      <c r="C1614" s="49" t="s">
        <v>3942</v>
      </c>
      <c r="D1614" s="49" t="s">
        <v>2352</v>
      </c>
      <c r="E1614" s="49" t="s">
        <v>3916</v>
      </c>
      <c r="F1614" s="49" t="s">
        <v>3917</v>
      </c>
      <c r="G1614" s="49" t="n">
        <v>0</v>
      </c>
      <c r="H1614" s="0" t="n">
        <v>0</v>
      </c>
      <c r="M1614" s="51" t="s">
        <v>3859</v>
      </c>
      <c r="N1614" s="49" t="n">
        <v>0</v>
      </c>
      <c r="O1614" s="53" t="n">
        <v>45994.4357523148</v>
      </c>
      <c r="P1614" s="53" t="n">
        <v>46017.7807060185</v>
      </c>
      <c r="R1614" s="0" t="n">
        <v>0</v>
      </c>
      <c r="T1614" s="51" t="s">
        <v>2364</v>
      </c>
      <c r="U1614" s="51" t="s">
        <v>3916</v>
      </c>
      <c r="W1614" s="51" t="s">
        <v>3943</v>
      </c>
      <c r="X1614" s="51" t="s">
        <v>2359</v>
      </c>
    </row>
    <row r="1615" customFormat="false" ht="14.25" hidden="true" customHeight="false" outlineLevel="0" collapsed="false">
      <c r="A1615" s="49" t="s">
        <v>2349</v>
      </c>
      <c r="B1615" s="49" t="s">
        <v>2350</v>
      </c>
      <c r="C1615" s="49" t="s">
        <v>3944</v>
      </c>
      <c r="D1615" s="49" t="s">
        <v>2352</v>
      </c>
      <c r="E1615" s="49" t="str">
        <f aca="false">"5942326400216"</f>
        <v>5942326400216</v>
      </c>
      <c r="F1615" s="49" t="s">
        <v>3777</v>
      </c>
      <c r="G1615" s="49" t="n">
        <v>0</v>
      </c>
      <c r="H1615" s="0" t="n">
        <v>0</v>
      </c>
      <c r="M1615" s="51" t="s">
        <v>3945</v>
      </c>
      <c r="N1615" s="49" t="n">
        <v>0</v>
      </c>
      <c r="O1615" s="53" t="n">
        <v>45689.4789930556</v>
      </c>
      <c r="P1615" s="53" t="n">
        <v>45712.4970601852</v>
      </c>
      <c r="R1615" s="0" t="n">
        <v>0</v>
      </c>
      <c r="T1615" s="51" t="s">
        <v>2436</v>
      </c>
      <c r="U1615" s="0" t="str">
        <f aca="false">"5942326400216"</f>
        <v>5942326400216</v>
      </c>
      <c r="V1615" s="51" t="s">
        <v>2365</v>
      </c>
      <c r="W1615" s="51" t="s">
        <v>3946</v>
      </c>
      <c r="X1615" s="51" t="s">
        <v>2359</v>
      </c>
    </row>
    <row r="1616" customFormat="false" ht="14.25" hidden="true" customHeight="false" outlineLevel="0" collapsed="false">
      <c r="A1616" s="49" t="s">
        <v>2349</v>
      </c>
      <c r="B1616" s="49" t="s">
        <v>2350</v>
      </c>
      <c r="C1616" s="49" t="s">
        <v>3947</v>
      </c>
      <c r="D1616" s="49" t="s">
        <v>2352</v>
      </c>
      <c r="E1616" s="49" t="str">
        <f aca="false">"5060175132970"</f>
        <v>5060175132970</v>
      </c>
      <c r="F1616" s="49" t="s">
        <v>3948</v>
      </c>
      <c r="G1616" s="49" t="n">
        <v>0</v>
      </c>
      <c r="H1616" s="0" t="n">
        <v>0</v>
      </c>
      <c r="M1616" s="51" t="s">
        <v>3949</v>
      </c>
      <c r="N1616" s="49" t="n">
        <v>0</v>
      </c>
      <c r="O1616" s="53" t="n">
        <v>45945.6256481482</v>
      </c>
      <c r="P1616" s="53" t="n">
        <v>46011.6763773148</v>
      </c>
      <c r="R1616" s="0" t="n">
        <v>0</v>
      </c>
      <c r="T1616" s="51" t="s">
        <v>2383</v>
      </c>
      <c r="U1616" s="0" t="str">
        <f aca="false">"5060175132970"</f>
        <v>5060175132970</v>
      </c>
      <c r="V1616" s="51" t="s">
        <v>2365</v>
      </c>
      <c r="W1616" s="51" t="s">
        <v>3812</v>
      </c>
      <c r="X1616" s="51" t="s">
        <v>2359</v>
      </c>
    </row>
    <row r="1617" customFormat="false" ht="14.25" hidden="true" customHeight="false" outlineLevel="0" collapsed="false">
      <c r="A1617" s="49" t="s">
        <v>2349</v>
      </c>
      <c r="B1617" s="49" t="s">
        <v>2350</v>
      </c>
      <c r="C1617" s="49" t="s">
        <v>3950</v>
      </c>
      <c r="D1617" s="49" t="s">
        <v>2352</v>
      </c>
      <c r="E1617" s="49" t="str">
        <f aca="false">"5060175132970"</f>
        <v>5060175132970</v>
      </c>
      <c r="F1617" s="49" t="s">
        <v>3948</v>
      </c>
      <c r="G1617" s="49" t="n">
        <v>0</v>
      </c>
      <c r="H1617" s="0" t="n">
        <v>0</v>
      </c>
      <c r="M1617" s="51" t="s">
        <v>3949</v>
      </c>
      <c r="N1617" s="49" t="n">
        <v>0</v>
      </c>
      <c r="O1617" s="53" t="n">
        <v>46007.9334953704</v>
      </c>
      <c r="P1617" s="53" t="n">
        <v>46011.6776041667</v>
      </c>
      <c r="R1617" s="0" t="n">
        <v>0</v>
      </c>
      <c r="T1617" s="51" t="s">
        <v>2380</v>
      </c>
      <c r="U1617" s="0" t="str">
        <f aca="false">"5060175132970"</f>
        <v>5060175132970</v>
      </c>
      <c r="V1617" s="51" t="s">
        <v>2365</v>
      </c>
      <c r="W1617" s="51" t="s">
        <v>2432</v>
      </c>
      <c r="X1617" s="51" t="s">
        <v>2359</v>
      </c>
    </row>
    <row r="1618" customFormat="false" ht="14.25" hidden="true" customHeight="false" outlineLevel="0" collapsed="false">
      <c r="A1618" s="49" t="s">
        <v>2349</v>
      </c>
      <c r="B1618" s="49" t="s">
        <v>2350</v>
      </c>
      <c r="C1618" s="49" t="s">
        <v>3951</v>
      </c>
      <c r="D1618" s="49" t="s">
        <v>2352</v>
      </c>
      <c r="E1618" s="49" t="str">
        <f aca="false">"5060175132970"</f>
        <v>5060175132970</v>
      </c>
      <c r="F1618" s="49" t="s">
        <v>3948</v>
      </c>
      <c r="G1618" s="49" t="n">
        <v>0</v>
      </c>
      <c r="H1618" s="0" t="n">
        <v>0</v>
      </c>
      <c r="M1618" s="51" t="s">
        <v>3949</v>
      </c>
      <c r="N1618" s="49" t="n">
        <v>0</v>
      </c>
      <c r="O1618" s="53" t="n">
        <v>46007.9010763889</v>
      </c>
      <c r="P1618" s="53" t="n">
        <v>46011.6767013889</v>
      </c>
      <c r="R1618" s="0" t="n">
        <v>0</v>
      </c>
      <c r="T1618" s="51" t="s">
        <v>2380</v>
      </c>
      <c r="U1618" s="0" t="str">
        <f aca="false">"5060175132970"</f>
        <v>5060175132970</v>
      </c>
      <c r="V1618" s="51" t="s">
        <v>2365</v>
      </c>
      <c r="W1618" s="51" t="s">
        <v>3936</v>
      </c>
      <c r="X1618" s="51" t="s">
        <v>2359</v>
      </c>
    </row>
    <row r="1619" customFormat="false" ht="14.25" hidden="true" customHeight="false" outlineLevel="0" collapsed="false">
      <c r="A1619" s="49" t="s">
        <v>2349</v>
      </c>
      <c r="B1619" s="49" t="s">
        <v>2350</v>
      </c>
      <c r="C1619" s="49" t="s">
        <v>3952</v>
      </c>
      <c r="D1619" s="49" t="s">
        <v>2352</v>
      </c>
      <c r="E1619" s="49" t="str">
        <f aca="false">"5060175132987"</f>
        <v>5060175132987</v>
      </c>
      <c r="F1619" s="49" t="s">
        <v>3953</v>
      </c>
      <c r="G1619" s="49" t="n">
        <v>0</v>
      </c>
      <c r="H1619" s="0" t="n">
        <v>0</v>
      </c>
      <c r="M1619" s="51" t="s">
        <v>3954</v>
      </c>
      <c r="N1619" s="49" t="n">
        <v>0</v>
      </c>
      <c r="O1619" s="53" t="n">
        <v>45713.5756944444</v>
      </c>
      <c r="P1619" s="53" t="n">
        <v>45713.8802314815</v>
      </c>
      <c r="R1619" s="0" t="n">
        <v>0</v>
      </c>
      <c r="T1619" s="51" t="s">
        <v>2416</v>
      </c>
      <c r="U1619" s="0" t="str">
        <f aca="false">"5060175132987"</f>
        <v>5060175132987</v>
      </c>
      <c r="V1619" s="51" t="s">
        <v>2365</v>
      </c>
      <c r="W1619" s="51" t="s">
        <v>3955</v>
      </c>
      <c r="X1619" s="51" t="s">
        <v>2359</v>
      </c>
    </row>
    <row r="1620" customFormat="false" ht="14.25" hidden="true" customHeight="false" outlineLevel="0" collapsed="false">
      <c r="A1620" s="49" t="s">
        <v>2349</v>
      </c>
      <c r="B1620" s="49" t="s">
        <v>2350</v>
      </c>
      <c r="C1620" s="49" t="s">
        <v>3956</v>
      </c>
      <c r="D1620" s="49" t="s">
        <v>2352</v>
      </c>
      <c r="E1620" s="49" t="str">
        <f aca="false">"734730225548"</f>
        <v>734730225548</v>
      </c>
      <c r="F1620" s="49" t="s">
        <v>2434</v>
      </c>
      <c r="G1620" s="49" t="n">
        <v>0</v>
      </c>
      <c r="H1620" s="0" t="n">
        <v>0</v>
      </c>
      <c r="M1620" s="51" t="s">
        <v>3957</v>
      </c>
      <c r="N1620" s="49" t="n">
        <v>0</v>
      </c>
      <c r="O1620" s="53" t="n">
        <v>45713.5977662037</v>
      </c>
      <c r="P1620" s="53" t="n">
        <v>45716.647974537</v>
      </c>
      <c r="R1620" s="0" t="n">
        <v>0</v>
      </c>
      <c r="T1620" s="51" t="s">
        <v>2416</v>
      </c>
      <c r="U1620" s="0" t="str">
        <f aca="false">"734730225548"</f>
        <v>734730225548</v>
      </c>
      <c r="V1620" s="51" t="s">
        <v>2365</v>
      </c>
      <c r="W1620" s="51" t="s">
        <v>3958</v>
      </c>
      <c r="X1620" s="51" t="s">
        <v>2359</v>
      </c>
    </row>
    <row r="1621" customFormat="false" ht="14.25" hidden="true" customHeight="false" outlineLevel="0" collapsed="false">
      <c r="A1621" s="49" t="s">
        <v>2349</v>
      </c>
      <c r="B1621" s="49" t="s">
        <v>2350</v>
      </c>
      <c r="C1621" s="49" t="s">
        <v>3959</v>
      </c>
      <c r="D1621" s="49" t="s">
        <v>2352</v>
      </c>
      <c r="E1621" s="49" t="s">
        <v>3960</v>
      </c>
      <c r="F1621" s="49" t="s">
        <v>3961</v>
      </c>
      <c r="G1621" s="49" t="n">
        <v>0</v>
      </c>
      <c r="H1621" s="0" t="n">
        <v>0</v>
      </c>
      <c r="M1621" s="51" t="s">
        <v>3962</v>
      </c>
      <c r="N1621" s="49" t="n">
        <v>0</v>
      </c>
      <c r="O1621" s="53" t="n">
        <v>45720.5474537037</v>
      </c>
      <c r="P1621" s="53" t="n">
        <v>45720.6167824074</v>
      </c>
      <c r="R1621" s="0" t="n">
        <v>0</v>
      </c>
      <c r="T1621" s="51" t="s">
        <v>2356</v>
      </c>
      <c r="U1621" s="51" t="s">
        <v>3960</v>
      </c>
      <c r="V1621" s="51" t="s">
        <v>2365</v>
      </c>
      <c r="W1621" s="51" t="s">
        <v>3963</v>
      </c>
      <c r="X1621" s="51" t="s">
        <v>2359</v>
      </c>
    </row>
    <row r="1622" customFormat="false" ht="14.25" hidden="true" customHeight="false" outlineLevel="0" collapsed="false">
      <c r="A1622" s="49" t="s">
        <v>2349</v>
      </c>
      <c r="B1622" s="49" t="s">
        <v>2350</v>
      </c>
      <c r="C1622" s="49" t="s">
        <v>3964</v>
      </c>
      <c r="D1622" s="49" t="s">
        <v>2352</v>
      </c>
      <c r="E1622" s="49" t="str">
        <f aca="false">"5060175135551"</f>
        <v>5060175135551</v>
      </c>
      <c r="F1622" s="49" t="s">
        <v>3965</v>
      </c>
      <c r="G1622" s="49" t="n">
        <v>0</v>
      </c>
      <c r="H1622" s="0" t="n">
        <v>0</v>
      </c>
      <c r="M1622" s="51" t="s">
        <v>3966</v>
      </c>
      <c r="N1622" s="49" t="n">
        <v>0</v>
      </c>
      <c r="O1622" s="53" t="n">
        <v>45713.5675231482</v>
      </c>
      <c r="P1622" s="53" t="n">
        <v>45762.2003703704</v>
      </c>
      <c r="R1622" s="0" t="n">
        <v>0</v>
      </c>
      <c r="T1622" s="51" t="s">
        <v>2416</v>
      </c>
      <c r="U1622" s="0" t="str">
        <f aca="false">"5060175135551"</f>
        <v>5060175135551</v>
      </c>
      <c r="V1622" s="51" t="s">
        <v>2365</v>
      </c>
      <c r="W1622" s="51" t="s">
        <v>3839</v>
      </c>
      <c r="X1622" s="51" t="s">
        <v>2359</v>
      </c>
    </row>
    <row r="1623" customFormat="false" ht="14.25" hidden="true" customHeight="false" outlineLevel="0" collapsed="false">
      <c r="A1623" s="49" t="s">
        <v>2349</v>
      </c>
      <c r="B1623" s="49" t="s">
        <v>2350</v>
      </c>
      <c r="C1623" s="49" t="s">
        <v>3967</v>
      </c>
      <c r="D1623" s="49" t="s">
        <v>2352</v>
      </c>
      <c r="E1623" s="49" t="str">
        <f aca="false">"5060175135544"</f>
        <v>5060175135544</v>
      </c>
      <c r="F1623" s="49" t="s">
        <v>3968</v>
      </c>
      <c r="G1623" s="49" t="n">
        <v>0</v>
      </c>
      <c r="H1623" s="0" t="n">
        <v>0</v>
      </c>
      <c r="M1623" s="51" t="s">
        <v>3966</v>
      </c>
      <c r="N1623" s="49" t="n">
        <v>0</v>
      </c>
      <c r="O1623" s="53" t="n">
        <v>45722.4000347222</v>
      </c>
      <c r="P1623" s="53" t="n">
        <v>45722.5545138889</v>
      </c>
      <c r="R1623" s="0" t="n">
        <v>0</v>
      </c>
      <c r="T1623" s="51" t="s">
        <v>3800</v>
      </c>
      <c r="U1623" s="0" t="str">
        <f aca="false">"5060175135544"</f>
        <v>5060175135544</v>
      </c>
      <c r="V1623" s="51" t="s">
        <v>2365</v>
      </c>
      <c r="W1623" s="51" t="s">
        <v>3969</v>
      </c>
      <c r="X1623" s="51" t="s">
        <v>2359</v>
      </c>
    </row>
    <row r="1624" customFormat="false" ht="14.25" hidden="true" customHeight="false" outlineLevel="0" collapsed="false">
      <c r="A1624" s="49" t="s">
        <v>2349</v>
      </c>
      <c r="B1624" s="49" t="s">
        <v>2350</v>
      </c>
      <c r="C1624" s="49" t="s">
        <v>3970</v>
      </c>
      <c r="D1624" s="49" t="s">
        <v>2352</v>
      </c>
      <c r="E1624" s="49" t="str">
        <f aca="false">"8022180000122"</f>
        <v>8022180000122</v>
      </c>
      <c r="F1624" s="49" t="s">
        <v>3971</v>
      </c>
      <c r="G1624" s="49" t="n">
        <v>0</v>
      </c>
      <c r="H1624" s="0" t="n">
        <v>0</v>
      </c>
      <c r="M1624" s="51" t="s">
        <v>3972</v>
      </c>
      <c r="N1624" s="49" t="n">
        <v>0</v>
      </c>
      <c r="O1624" s="53" t="n">
        <v>45722.5210532407</v>
      </c>
      <c r="P1624" s="53" t="n">
        <v>45726.9331712963</v>
      </c>
      <c r="R1624" s="0" t="n">
        <v>0</v>
      </c>
      <c r="T1624" s="51" t="s">
        <v>2436</v>
      </c>
      <c r="U1624" s="0" t="str">
        <f aca="false">"8022180000122"</f>
        <v>8022180000122</v>
      </c>
      <c r="V1624" s="51" t="s">
        <v>2365</v>
      </c>
      <c r="W1624" s="51" t="s">
        <v>3969</v>
      </c>
      <c r="X1624" s="51" t="s">
        <v>2359</v>
      </c>
    </row>
    <row r="1625" customFormat="false" ht="14.25" hidden="true" customHeight="false" outlineLevel="0" collapsed="false">
      <c r="A1625" s="49" t="s">
        <v>2349</v>
      </c>
      <c r="B1625" s="49" t="s">
        <v>2350</v>
      </c>
      <c r="C1625" s="49" t="s">
        <v>3973</v>
      </c>
      <c r="D1625" s="49" t="s">
        <v>2352</v>
      </c>
      <c r="E1625" s="49" t="str">
        <f aca="false">"8022180000122"</f>
        <v>8022180000122</v>
      </c>
      <c r="F1625" s="49" t="s">
        <v>3971</v>
      </c>
      <c r="G1625" s="49" t="n">
        <v>0</v>
      </c>
      <c r="H1625" s="0" t="n">
        <v>0</v>
      </c>
      <c r="M1625" s="51" t="s">
        <v>3972</v>
      </c>
      <c r="N1625" s="49" t="n">
        <v>0</v>
      </c>
      <c r="O1625" s="53" t="n">
        <v>45722.527337963</v>
      </c>
      <c r="P1625" s="53" t="n">
        <v>45722.5549768519</v>
      </c>
      <c r="R1625" s="0" t="n">
        <v>0</v>
      </c>
      <c r="T1625" s="51" t="s">
        <v>2436</v>
      </c>
      <c r="U1625" s="0" t="str">
        <f aca="false">"8022180000122"</f>
        <v>8022180000122</v>
      </c>
      <c r="V1625" s="51" t="s">
        <v>2365</v>
      </c>
      <c r="W1625" s="51" t="s">
        <v>3969</v>
      </c>
      <c r="X1625" s="51" t="s">
        <v>2359</v>
      </c>
    </row>
    <row r="1626" customFormat="false" ht="14.25" hidden="true" customHeight="false" outlineLevel="0" collapsed="false">
      <c r="A1626" s="49" t="s">
        <v>2349</v>
      </c>
      <c r="B1626" s="49" t="s">
        <v>2350</v>
      </c>
      <c r="C1626" s="49" t="s">
        <v>3974</v>
      </c>
      <c r="D1626" s="49" t="s">
        <v>2352</v>
      </c>
      <c r="E1626" s="49" t="str">
        <f aca="false">"040913063457"</f>
        <v>040913063457</v>
      </c>
      <c r="F1626" s="49" t="s">
        <v>3975</v>
      </c>
      <c r="G1626" s="49" t="n">
        <v>0</v>
      </c>
      <c r="H1626" s="0" t="n">
        <v>0</v>
      </c>
      <c r="M1626" s="51" t="s">
        <v>3976</v>
      </c>
      <c r="N1626" s="49" t="n">
        <v>0</v>
      </c>
      <c r="O1626" s="53" t="n">
        <v>45713.5796180556</v>
      </c>
      <c r="P1626" s="53" t="n">
        <v>45721.457037037</v>
      </c>
      <c r="R1626" s="0" t="n">
        <v>0</v>
      </c>
      <c r="T1626" s="51" t="s">
        <v>2416</v>
      </c>
      <c r="U1626" s="0" t="str">
        <f aca="false">"040913063457"</f>
        <v>040913063457</v>
      </c>
      <c r="V1626" s="51" t="s">
        <v>2365</v>
      </c>
      <c r="W1626" s="51" t="s">
        <v>3955</v>
      </c>
      <c r="X1626" s="51" t="s">
        <v>2359</v>
      </c>
    </row>
    <row r="1627" customFormat="false" ht="14.25" hidden="true" customHeight="false" outlineLevel="0" collapsed="false">
      <c r="A1627" s="49" t="s">
        <v>2349</v>
      </c>
      <c r="B1627" s="49" t="s">
        <v>2350</v>
      </c>
      <c r="C1627" s="49" t="s">
        <v>3977</v>
      </c>
      <c r="D1627" s="49" t="s">
        <v>2352</v>
      </c>
      <c r="E1627" s="49" t="str">
        <f aca="false">"5060175133380"</f>
        <v>5060175133380</v>
      </c>
      <c r="F1627" s="49" t="s">
        <v>3978</v>
      </c>
      <c r="G1627" s="49" t="n">
        <v>0</v>
      </c>
      <c r="H1627" s="0" t="n">
        <v>0</v>
      </c>
      <c r="M1627" s="51" t="s">
        <v>3979</v>
      </c>
      <c r="N1627" s="49" t="n">
        <v>0</v>
      </c>
      <c r="O1627" s="53" t="n">
        <v>45713.5642361111</v>
      </c>
      <c r="P1627" s="53" t="n">
        <v>45756.6456828704</v>
      </c>
      <c r="R1627" s="0" t="n">
        <v>0</v>
      </c>
      <c r="T1627" s="51" t="s">
        <v>2416</v>
      </c>
      <c r="U1627" s="0" t="str">
        <f aca="false">"5060175133380"</f>
        <v>5060175133380</v>
      </c>
      <c r="V1627" s="51" t="s">
        <v>2365</v>
      </c>
      <c r="W1627" s="51" t="s">
        <v>3844</v>
      </c>
      <c r="X1627" s="51" t="s">
        <v>2359</v>
      </c>
    </row>
    <row r="1628" customFormat="false" ht="14.25" hidden="true" customHeight="false" outlineLevel="0" collapsed="false">
      <c r="A1628" s="49" t="s">
        <v>2349</v>
      </c>
      <c r="B1628" s="49" t="s">
        <v>2350</v>
      </c>
      <c r="C1628" s="49" t="s">
        <v>3980</v>
      </c>
      <c r="D1628" s="49" t="s">
        <v>2352</v>
      </c>
      <c r="E1628" s="49" t="str">
        <f aca="false">"5060175133830"</f>
        <v>5060175133830</v>
      </c>
      <c r="F1628" s="49" t="s">
        <v>3981</v>
      </c>
      <c r="G1628" s="49" t="n">
        <v>0</v>
      </c>
      <c r="H1628" s="0" t="n">
        <v>0</v>
      </c>
      <c r="M1628" s="51" t="s">
        <v>3979</v>
      </c>
      <c r="N1628" s="49" t="n">
        <v>0</v>
      </c>
      <c r="O1628" s="53" t="n">
        <v>45713.5763773148</v>
      </c>
      <c r="P1628" s="53" t="n">
        <v>45724.4461342593</v>
      </c>
      <c r="R1628" s="0" t="n">
        <v>0</v>
      </c>
      <c r="T1628" s="51" t="s">
        <v>2416</v>
      </c>
      <c r="U1628" s="0" t="str">
        <f aca="false">"5060175133830"</f>
        <v>5060175133830</v>
      </c>
      <c r="V1628" s="51" t="s">
        <v>2365</v>
      </c>
      <c r="W1628" s="51" t="s">
        <v>3955</v>
      </c>
      <c r="X1628" s="51" t="s">
        <v>2359</v>
      </c>
    </row>
    <row r="1629" customFormat="false" ht="14.25" hidden="true" customHeight="false" outlineLevel="0" collapsed="false">
      <c r="A1629" s="49" t="s">
        <v>2349</v>
      </c>
      <c r="B1629" s="49" t="s">
        <v>2350</v>
      </c>
      <c r="C1629" s="49" t="s">
        <v>3982</v>
      </c>
      <c r="D1629" s="49" t="s">
        <v>2352</v>
      </c>
      <c r="E1629" s="49" t="str">
        <f aca="false">"5060175133304"</f>
        <v>5060175133304</v>
      </c>
      <c r="F1629" s="49" t="s">
        <v>3983</v>
      </c>
      <c r="G1629" s="49" t="n">
        <v>0</v>
      </c>
      <c r="H1629" s="0" t="n">
        <v>0</v>
      </c>
      <c r="M1629" s="51" t="s">
        <v>3979</v>
      </c>
      <c r="N1629" s="49" t="n">
        <v>0</v>
      </c>
      <c r="O1629" s="53" t="n">
        <v>45713.5891782407</v>
      </c>
      <c r="P1629" s="53" t="n">
        <v>45808.5071990741</v>
      </c>
      <c r="R1629" s="0" t="n">
        <v>0</v>
      </c>
      <c r="T1629" s="51" t="s">
        <v>2416</v>
      </c>
      <c r="U1629" s="0" t="str">
        <f aca="false">"5060175133304"</f>
        <v>5060175133304</v>
      </c>
      <c r="V1629" s="51" t="s">
        <v>2365</v>
      </c>
      <c r="W1629" s="51" t="s">
        <v>3866</v>
      </c>
      <c r="X1629" s="51" t="s">
        <v>2359</v>
      </c>
    </row>
    <row r="1630" customFormat="false" ht="14.25" hidden="true" customHeight="false" outlineLevel="0" collapsed="false">
      <c r="A1630" s="49" t="s">
        <v>2349</v>
      </c>
      <c r="B1630" s="49" t="s">
        <v>2350</v>
      </c>
      <c r="C1630" s="49" t="s">
        <v>3984</v>
      </c>
      <c r="D1630" s="49" t="s">
        <v>2352</v>
      </c>
      <c r="E1630" s="49" t="str">
        <f aca="false">"5060175133298"</f>
        <v>5060175133298</v>
      </c>
      <c r="F1630" s="49" t="s">
        <v>3985</v>
      </c>
      <c r="G1630" s="49" t="n">
        <v>0</v>
      </c>
      <c r="H1630" s="0" t="n">
        <v>0</v>
      </c>
      <c r="M1630" s="51" t="s">
        <v>3979</v>
      </c>
      <c r="N1630" s="49" t="n">
        <v>0</v>
      </c>
      <c r="O1630" s="53" t="n">
        <v>45713.5941435185</v>
      </c>
      <c r="P1630" s="53" t="n">
        <v>45714.4511574074</v>
      </c>
      <c r="R1630" s="0" t="n">
        <v>0</v>
      </c>
      <c r="T1630" s="51" t="s">
        <v>2416</v>
      </c>
      <c r="U1630" s="0" t="str">
        <f aca="false">"5060175133298"</f>
        <v>5060175133298</v>
      </c>
      <c r="V1630" s="51" t="s">
        <v>2365</v>
      </c>
      <c r="W1630" s="51" t="s">
        <v>3986</v>
      </c>
      <c r="X1630" s="51" t="s">
        <v>2359</v>
      </c>
    </row>
    <row r="1631" customFormat="false" ht="14.25" hidden="true" customHeight="false" outlineLevel="0" collapsed="false">
      <c r="A1631" s="49" t="s">
        <v>2349</v>
      </c>
      <c r="B1631" s="49" t="s">
        <v>2350</v>
      </c>
      <c r="C1631" s="49" t="s">
        <v>3987</v>
      </c>
      <c r="D1631" s="49" t="s">
        <v>2352</v>
      </c>
      <c r="E1631" s="49" t="str">
        <f aca="false">"10021500806203"</f>
        <v>10021500806203</v>
      </c>
      <c r="F1631" s="49" t="s">
        <v>3988</v>
      </c>
      <c r="G1631" s="49" t="n">
        <v>0</v>
      </c>
      <c r="H1631" s="0" t="n">
        <v>0</v>
      </c>
      <c r="M1631" s="51" t="s">
        <v>3989</v>
      </c>
      <c r="N1631" s="49" t="n">
        <v>0</v>
      </c>
      <c r="O1631" s="53" t="n">
        <v>45713.5726851852</v>
      </c>
      <c r="P1631" s="53" t="n">
        <v>45837.6190046296</v>
      </c>
      <c r="R1631" s="0" t="n">
        <v>0</v>
      </c>
      <c r="T1631" s="51" t="s">
        <v>2416</v>
      </c>
      <c r="U1631" s="0" t="str">
        <f aca="false">"10021500806203"</f>
        <v>10021500806203</v>
      </c>
      <c r="V1631" s="51" t="s">
        <v>2365</v>
      </c>
      <c r="W1631" s="51" t="s">
        <v>3990</v>
      </c>
      <c r="X1631" s="51" t="s">
        <v>2359</v>
      </c>
    </row>
    <row r="1632" customFormat="false" ht="14.25" hidden="true" customHeight="false" outlineLevel="0" collapsed="false">
      <c r="A1632" s="49" t="s">
        <v>2349</v>
      </c>
      <c r="B1632" s="49" t="s">
        <v>2350</v>
      </c>
      <c r="C1632" s="49" t="s">
        <v>3991</v>
      </c>
      <c r="D1632" s="49" t="s">
        <v>2352</v>
      </c>
      <c r="E1632" s="49" t="str">
        <f aca="false">"734730293356"</f>
        <v>734730293356</v>
      </c>
      <c r="F1632" s="49" t="s">
        <v>3992</v>
      </c>
      <c r="G1632" s="49" t="n">
        <v>0</v>
      </c>
      <c r="H1632" s="0" t="n">
        <v>0</v>
      </c>
      <c r="M1632" s="51" t="s">
        <v>3993</v>
      </c>
      <c r="N1632" s="49" t="n">
        <v>0</v>
      </c>
      <c r="O1632" s="53" t="n">
        <v>45713.5601273148</v>
      </c>
      <c r="P1632" s="53" t="n">
        <v>45776.8929513889</v>
      </c>
      <c r="R1632" s="0" t="n">
        <v>0</v>
      </c>
      <c r="T1632" s="51" t="s">
        <v>2416</v>
      </c>
      <c r="U1632" s="0" t="str">
        <f aca="false">"734730293356"</f>
        <v>734730293356</v>
      </c>
      <c r="V1632" s="51" t="s">
        <v>2365</v>
      </c>
      <c r="W1632" s="51" t="s">
        <v>3839</v>
      </c>
      <c r="X1632" s="51" t="s">
        <v>2359</v>
      </c>
    </row>
    <row r="1633" customFormat="false" ht="14.25" hidden="true" customHeight="false" outlineLevel="0" collapsed="false">
      <c r="A1633" s="49" t="s">
        <v>2349</v>
      </c>
      <c r="B1633" s="49" t="s">
        <v>2350</v>
      </c>
      <c r="C1633" s="49" t="s">
        <v>3994</v>
      </c>
      <c r="D1633" s="49" t="s">
        <v>2352</v>
      </c>
      <c r="E1633" s="49" t="str">
        <f aca="false">"734730293356"</f>
        <v>734730293356</v>
      </c>
      <c r="F1633" s="49" t="s">
        <v>3992</v>
      </c>
      <c r="G1633" s="49" t="n">
        <v>0</v>
      </c>
      <c r="H1633" s="0" t="n">
        <v>0</v>
      </c>
      <c r="M1633" s="51" t="s">
        <v>3993</v>
      </c>
      <c r="N1633" s="49" t="n">
        <v>0</v>
      </c>
      <c r="O1633" s="53" t="n">
        <v>45844.3687152778</v>
      </c>
      <c r="P1633" s="53" t="n">
        <v>45925.9296643519</v>
      </c>
      <c r="R1633" s="0" t="n">
        <v>0</v>
      </c>
      <c r="T1633" s="51" t="s">
        <v>2394</v>
      </c>
      <c r="U1633" s="0" t="str">
        <f aca="false">"734730293356"</f>
        <v>734730293356</v>
      </c>
      <c r="V1633" s="51" t="s">
        <v>2365</v>
      </c>
      <c r="W1633" s="51" t="s">
        <v>3995</v>
      </c>
      <c r="X1633" s="51" t="s">
        <v>2359</v>
      </c>
    </row>
    <row r="1634" customFormat="false" ht="14.25" hidden="true" customHeight="false" outlineLevel="0" collapsed="false">
      <c r="A1634" s="49" t="s">
        <v>2349</v>
      </c>
      <c r="B1634" s="49" t="s">
        <v>2350</v>
      </c>
      <c r="C1634" s="49" t="s">
        <v>3996</v>
      </c>
      <c r="D1634" s="49" t="s">
        <v>2352</v>
      </c>
      <c r="E1634" s="49" t="str">
        <f aca="false">"734730225548"</f>
        <v>734730225548</v>
      </c>
      <c r="F1634" s="49" t="s">
        <v>2434</v>
      </c>
      <c r="G1634" s="49" t="n">
        <v>0</v>
      </c>
      <c r="H1634" s="0" t="n">
        <v>0</v>
      </c>
      <c r="M1634" s="51" t="s">
        <v>2435</v>
      </c>
      <c r="N1634" s="49" t="n">
        <v>0</v>
      </c>
      <c r="O1634" s="53" t="n">
        <v>45713.5995833333</v>
      </c>
      <c r="P1634" s="53" t="n">
        <v>45716.8266319444</v>
      </c>
      <c r="R1634" s="0" t="n">
        <v>0</v>
      </c>
      <c r="T1634" s="51" t="s">
        <v>2416</v>
      </c>
      <c r="U1634" s="0" t="str">
        <f aca="false">"734730225548"</f>
        <v>734730225548</v>
      </c>
      <c r="V1634" s="51" t="s">
        <v>2365</v>
      </c>
      <c r="W1634" s="51" t="s">
        <v>3997</v>
      </c>
      <c r="X1634" s="51" t="s">
        <v>2359</v>
      </c>
    </row>
    <row r="1635" customFormat="false" ht="14.25" hidden="true" customHeight="false" outlineLevel="0" collapsed="false">
      <c r="A1635" s="49" t="s">
        <v>2349</v>
      </c>
      <c r="B1635" s="49" t="s">
        <v>2350</v>
      </c>
      <c r="C1635" s="49" t="s">
        <v>3998</v>
      </c>
      <c r="D1635" s="49" t="s">
        <v>2352</v>
      </c>
      <c r="E1635" s="49" t="str">
        <f aca="false">"074865416863"</f>
        <v>074865416863</v>
      </c>
      <c r="F1635" s="49" t="s">
        <v>3999</v>
      </c>
      <c r="G1635" s="49" t="n">
        <v>0</v>
      </c>
      <c r="H1635" s="0" t="n">
        <v>0</v>
      </c>
      <c r="M1635" s="51" t="s">
        <v>2363</v>
      </c>
      <c r="N1635" s="49" t="n">
        <v>0</v>
      </c>
      <c r="O1635" s="53" t="n">
        <v>45713.5780787037</v>
      </c>
      <c r="P1635" s="53" t="n">
        <v>45826.6983796296</v>
      </c>
      <c r="R1635" s="0" t="n">
        <v>0</v>
      </c>
      <c r="T1635" s="51" t="s">
        <v>2416</v>
      </c>
      <c r="U1635" s="0" t="str">
        <f aca="false">"074865416863"</f>
        <v>074865416863</v>
      </c>
      <c r="V1635" s="51" t="s">
        <v>2365</v>
      </c>
      <c r="W1635" s="51" t="s">
        <v>4000</v>
      </c>
      <c r="X1635" s="51" t="s">
        <v>2359</v>
      </c>
    </row>
    <row r="1636" customFormat="false" ht="14.25" hidden="true" customHeight="false" outlineLevel="0" collapsed="false">
      <c r="A1636" s="49" t="s">
        <v>2349</v>
      </c>
      <c r="B1636" s="49" t="s">
        <v>2350</v>
      </c>
      <c r="C1636" s="49" t="s">
        <v>4001</v>
      </c>
      <c r="D1636" s="49" t="s">
        <v>2352</v>
      </c>
      <c r="E1636" s="49" t="str">
        <f aca="false">"10734730076932"</f>
        <v>10734730076932</v>
      </c>
      <c r="F1636" s="49" t="s">
        <v>2362</v>
      </c>
      <c r="G1636" s="49" t="n">
        <v>0</v>
      </c>
      <c r="H1636" s="0" t="n">
        <v>0</v>
      </c>
      <c r="M1636" s="51" t="s">
        <v>2363</v>
      </c>
      <c r="N1636" s="49" t="n">
        <v>0</v>
      </c>
      <c r="O1636" s="53" t="n">
        <v>45713.5852430556</v>
      </c>
      <c r="P1636" s="53" t="n">
        <v>45757.1259027778</v>
      </c>
      <c r="R1636" s="0" t="n">
        <v>0</v>
      </c>
      <c r="T1636" s="51" t="s">
        <v>2416</v>
      </c>
      <c r="U1636" s="0" t="str">
        <f aca="false">"10734730076932"</f>
        <v>10734730076932</v>
      </c>
      <c r="V1636" s="51" t="s">
        <v>2365</v>
      </c>
      <c r="W1636" s="51" t="s">
        <v>2430</v>
      </c>
      <c r="X1636" s="51" t="s">
        <v>2359</v>
      </c>
    </row>
    <row r="1637" customFormat="false" ht="14.25" hidden="true" customHeight="false" outlineLevel="0" collapsed="false">
      <c r="A1637" s="49" t="s">
        <v>2349</v>
      </c>
      <c r="B1637" s="49" t="s">
        <v>2350</v>
      </c>
      <c r="C1637" s="49" t="s">
        <v>4002</v>
      </c>
      <c r="D1637" s="49" t="s">
        <v>2352</v>
      </c>
      <c r="E1637" s="49" t="str">
        <f aca="false">"00653121044387"</f>
        <v>00653121044387</v>
      </c>
      <c r="F1637" s="49" t="s">
        <v>4003</v>
      </c>
      <c r="G1637" s="49" t="n">
        <v>0</v>
      </c>
      <c r="H1637" s="0" t="n">
        <v>0</v>
      </c>
      <c r="M1637" s="51" t="s">
        <v>2363</v>
      </c>
      <c r="N1637" s="49" t="n">
        <v>0</v>
      </c>
      <c r="O1637" s="53" t="n">
        <v>45713.5919791667</v>
      </c>
      <c r="P1637" s="53" t="n">
        <v>45734.566875</v>
      </c>
      <c r="R1637" s="0" t="n">
        <v>0</v>
      </c>
      <c r="T1637" s="51" t="s">
        <v>2416</v>
      </c>
      <c r="U1637" s="0" t="str">
        <f aca="false">"00653121044387"</f>
        <v>00653121044387</v>
      </c>
      <c r="V1637" s="51" t="s">
        <v>2365</v>
      </c>
      <c r="W1637" s="51" t="s">
        <v>3997</v>
      </c>
      <c r="X1637" s="51" t="s">
        <v>2359</v>
      </c>
    </row>
    <row r="1638" customFormat="false" ht="14.25" hidden="true" customHeight="false" outlineLevel="0" collapsed="false">
      <c r="A1638" s="49" t="s">
        <v>2349</v>
      </c>
      <c r="B1638" s="49" t="s">
        <v>2350</v>
      </c>
      <c r="C1638" s="49" t="s">
        <v>4004</v>
      </c>
      <c r="D1638" s="49" t="s">
        <v>2352</v>
      </c>
      <c r="E1638" s="49" t="str">
        <f aca="false">"074865250900"</f>
        <v>074865250900</v>
      </c>
      <c r="F1638" s="49" t="s">
        <v>4005</v>
      </c>
      <c r="G1638" s="49" t="n">
        <v>0</v>
      </c>
      <c r="H1638" s="0" t="n">
        <v>0</v>
      </c>
      <c r="M1638" s="51" t="s">
        <v>2363</v>
      </c>
      <c r="N1638" s="49" t="n">
        <v>0</v>
      </c>
      <c r="O1638" s="53" t="n">
        <v>45713.5952546296</v>
      </c>
      <c r="P1638" s="53" t="n">
        <v>45790.4328703704</v>
      </c>
      <c r="R1638" s="0" t="n">
        <v>0</v>
      </c>
      <c r="T1638" s="51" t="s">
        <v>2416</v>
      </c>
      <c r="U1638" s="0" t="str">
        <f aca="false">"074865250900"</f>
        <v>074865250900</v>
      </c>
      <c r="V1638" s="51" t="s">
        <v>2365</v>
      </c>
      <c r="W1638" s="51" t="s">
        <v>3995</v>
      </c>
      <c r="X1638" s="51" t="s">
        <v>2359</v>
      </c>
    </row>
    <row r="1639" customFormat="false" ht="14.25" hidden="true" customHeight="false" outlineLevel="0" collapsed="false">
      <c r="A1639" s="49" t="s">
        <v>2349</v>
      </c>
      <c r="B1639" s="49" t="s">
        <v>2350</v>
      </c>
      <c r="C1639" s="49" t="s">
        <v>4006</v>
      </c>
      <c r="D1639" s="49" t="s">
        <v>2352</v>
      </c>
      <c r="E1639" s="49" t="str">
        <f aca="false">"040913063457"</f>
        <v>040913063457</v>
      </c>
      <c r="F1639" s="49" t="s">
        <v>3975</v>
      </c>
      <c r="G1639" s="49" t="n">
        <v>0</v>
      </c>
      <c r="H1639" s="0" t="n">
        <v>0</v>
      </c>
      <c r="M1639" s="51" t="s">
        <v>2363</v>
      </c>
      <c r="N1639" s="49" t="n">
        <v>0</v>
      </c>
      <c r="O1639" s="53" t="n">
        <v>45713.5963541667</v>
      </c>
      <c r="P1639" s="53" t="n">
        <v>45721.4661111111</v>
      </c>
      <c r="R1639" s="0" t="n">
        <v>0</v>
      </c>
      <c r="T1639" s="51" t="s">
        <v>2416</v>
      </c>
      <c r="U1639" s="0" t="str">
        <f aca="false">"040913063457"</f>
        <v>040913063457</v>
      </c>
      <c r="V1639" s="51" t="s">
        <v>2365</v>
      </c>
      <c r="W1639" s="51" t="s">
        <v>3997</v>
      </c>
      <c r="X1639" s="51" t="s">
        <v>2359</v>
      </c>
    </row>
    <row r="1640" customFormat="false" ht="14.25" hidden="true" customHeight="false" outlineLevel="0" collapsed="false">
      <c r="A1640" s="49" t="s">
        <v>2349</v>
      </c>
      <c r="B1640" s="49" t="s">
        <v>2350</v>
      </c>
      <c r="C1640" s="49" t="s">
        <v>4007</v>
      </c>
      <c r="D1640" s="49" t="s">
        <v>2352</v>
      </c>
      <c r="E1640" s="49" t="str">
        <f aca="false">"5414920037148"</f>
        <v>5414920037148</v>
      </c>
      <c r="F1640" s="49" t="s">
        <v>4008</v>
      </c>
      <c r="G1640" s="49" t="n">
        <v>0</v>
      </c>
      <c r="H1640" s="0" t="n">
        <v>0</v>
      </c>
      <c r="M1640" s="51" t="s">
        <v>4009</v>
      </c>
      <c r="N1640" s="49" t="n">
        <v>0</v>
      </c>
      <c r="O1640" s="53" t="n">
        <v>45796.3983796296</v>
      </c>
      <c r="P1640" s="53" t="n">
        <v>45797.5876388889</v>
      </c>
      <c r="R1640" s="0" t="n">
        <v>0</v>
      </c>
      <c r="T1640" s="51" t="s">
        <v>2356</v>
      </c>
      <c r="U1640" s="0" t="str">
        <f aca="false">"5414920037148"</f>
        <v>5414920037148</v>
      </c>
      <c r="V1640" s="51" t="s">
        <v>2365</v>
      </c>
      <c r="W1640" s="51" t="s">
        <v>4010</v>
      </c>
      <c r="X1640" s="51" t="s">
        <v>2359</v>
      </c>
    </row>
    <row r="1641" customFormat="false" ht="14.25" hidden="true" customHeight="false" outlineLevel="0" collapsed="false">
      <c r="A1641" s="49" t="s">
        <v>2349</v>
      </c>
      <c r="B1641" s="49" t="s">
        <v>2350</v>
      </c>
      <c r="C1641" s="49" t="s">
        <v>4011</v>
      </c>
      <c r="D1641" s="49" t="s">
        <v>2352</v>
      </c>
      <c r="E1641" s="49" t="s">
        <v>4012</v>
      </c>
      <c r="F1641" s="49" t="s">
        <v>4013</v>
      </c>
      <c r="G1641" s="49" t="n">
        <v>0</v>
      </c>
      <c r="H1641" s="0" t="n">
        <v>0</v>
      </c>
      <c r="M1641" s="51" t="s">
        <v>4014</v>
      </c>
      <c r="N1641" s="49" t="n">
        <v>0</v>
      </c>
      <c r="O1641" s="53" t="n">
        <v>45868.3754166667</v>
      </c>
      <c r="P1641" s="53" t="n">
        <v>45918.4694791667</v>
      </c>
      <c r="R1641" s="0" t="n">
        <v>0</v>
      </c>
      <c r="T1641" s="51" t="s">
        <v>4015</v>
      </c>
      <c r="U1641" s="51" t="s">
        <v>4012</v>
      </c>
      <c r="V1641" s="51" t="s">
        <v>2365</v>
      </c>
      <c r="W1641" s="51" t="s">
        <v>4016</v>
      </c>
      <c r="X1641" s="51" t="s">
        <v>2359</v>
      </c>
    </row>
    <row r="1642" customFormat="false" ht="14.25" hidden="true" customHeight="false" outlineLevel="0" collapsed="false">
      <c r="A1642" s="49" t="s">
        <v>2349</v>
      </c>
      <c r="B1642" s="49" t="s">
        <v>2350</v>
      </c>
      <c r="C1642" s="49" t="s">
        <v>4017</v>
      </c>
      <c r="D1642" s="49" t="s">
        <v>2352</v>
      </c>
      <c r="E1642" s="49" t="s">
        <v>3633</v>
      </c>
      <c r="F1642" s="49" t="s">
        <v>3634</v>
      </c>
      <c r="G1642" s="49" t="n">
        <v>0</v>
      </c>
      <c r="H1642" s="0" t="n">
        <v>0</v>
      </c>
      <c r="M1642" s="51" t="s">
        <v>4018</v>
      </c>
      <c r="N1642" s="49" t="n">
        <v>0</v>
      </c>
      <c r="O1642" s="53" t="n">
        <v>45694.4143518519</v>
      </c>
      <c r="P1642" s="53" t="n">
        <v>45789.5576041667</v>
      </c>
      <c r="Q1642" s="53" t="n">
        <v>45694.4143518519</v>
      </c>
      <c r="R1642" s="0" t="n">
        <v>0</v>
      </c>
      <c r="S1642" s="51" t="s">
        <v>2356</v>
      </c>
      <c r="T1642" s="51" t="s">
        <v>2356</v>
      </c>
      <c r="U1642" s="51" t="s">
        <v>3633</v>
      </c>
      <c r="V1642" s="51" t="s">
        <v>2357</v>
      </c>
      <c r="W1642" s="51" t="s">
        <v>3701</v>
      </c>
      <c r="X1642" s="51" t="s">
        <v>2359</v>
      </c>
    </row>
    <row r="1643" customFormat="false" ht="14.25" hidden="true" customHeight="false" outlineLevel="0" collapsed="false">
      <c r="A1643" s="49" t="s">
        <v>2349</v>
      </c>
      <c r="B1643" s="49" t="s">
        <v>2350</v>
      </c>
      <c r="C1643" s="49" t="s">
        <v>4019</v>
      </c>
      <c r="D1643" s="49" t="s">
        <v>2352</v>
      </c>
      <c r="E1643" s="49" t="s">
        <v>3638</v>
      </c>
      <c r="F1643" s="49" t="s">
        <v>3639</v>
      </c>
      <c r="G1643" s="49" t="n">
        <v>0</v>
      </c>
      <c r="H1643" s="0" t="n">
        <v>0</v>
      </c>
      <c r="M1643" s="51" t="s">
        <v>4018</v>
      </c>
      <c r="N1643" s="49" t="n">
        <v>0</v>
      </c>
      <c r="O1643" s="53" t="n">
        <v>45694.4122222222</v>
      </c>
      <c r="P1643" s="53" t="n">
        <v>45719.589224537</v>
      </c>
      <c r="Q1643" s="53" t="n">
        <v>45694.4122222222</v>
      </c>
      <c r="R1643" s="0" t="n">
        <v>0</v>
      </c>
      <c r="S1643" s="51" t="s">
        <v>2356</v>
      </c>
      <c r="T1643" s="51" t="s">
        <v>2356</v>
      </c>
      <c r="U1643" s="51" t="s">
        <v>3638</v>
      </c>
      <c r="V1643" s="51" t="s">
        <v>2357</v>
      </c>
      <c r="W1643" s="51" t="s">
        <v>4020</v>
      </c>
      <c r="X1643" s="51" t="s">
        <v>2359</v>
      </c>
    </row>
    <row r="1644" customFormat="false" ht="14.25" hidden="true" customHeight="false" outlineLevel="0" collapsed="false">
      <c r="A1644" s="49" t="s">
        <v>2349</v>
      </c>
      <c r="B1644" s="49" t="s">
        <v>2350</v>
      </c>
      <c r="C1644" s="49" t="s">
        <v>4021</v>
      </c>
      <c r="D1644" s="49" t="s">
        <v>2352</v>
      </c>
      <c r="E1644" s="49" t="s">
        <v>3638</v>
      </c>
      <c r="F1644" s="49" t="s">
        <v>3639</v>
      </c>
      <c r="G1644" s="49" t="n">
        <v>0</v>
      </c>
      <c r="H1644" s="0" t="n">
        <v>0</v>
      </c>
      <c r="M1644" s="51" t="s">
        <v>4018</v>
      </c>
      <c r="N1644" s="49" t="n">
        <v>0</v>
      </c>
      <c r="O1644" s="53" t="n">
        <v>45694.4113888889</v>
      </c>
      <c r="P1644" s="53" t="n">
        <v>45719.5891319444</v>
      </c>
      <c r="Q1644" s="53" t="n">
        <v>45694.4113888889</v>
      </c>
      <c r="R1644" s="0" t="n">
        <v>0</v>
      </c>
      <c r="S1644" s="51" t="s">
        <v>2356</v>
      </c>
      <c r="T1644" s="51" t="s">
        <v>2356</v>
      </c>
      <c r="U1644" s="51" t="s">
        <v>3638</v>
      </c>
      <c r="V1644" s="51" t="s">
        <v>2357</v>
      </c>
      <c r="W1644" s="51" t="s">
        <v>3687</v>
      </c>
      <c r="X1644" s="51" t="s">
        <v>2359</v>
      </c>
    </row>
    <row r="1645" customFormat="false" ht="14.25" hidden="true" customHeight="false" outlineLevel="0" collapsed="false">
      <c r="A1645" s="49" t="s">
        <v>2349</v>
      </c>
      <c r="B1645" s="49" t="s">
        <v>2350</v>
      </c>
      <c r="C1645" s="49" t="s">
        <v>4022</v>
      </c>
      <c r="D1645" s="49" t="s">
        <v>2352</v>
      </c>
      <c r="E1645" s="49" t="str">
        <f aca="false">"5060175133922"</f>
        <v>5060175133922</v>
      </c>
      <c r="F1645" s="49" t="s">
        <v>3837</v>
      </c>
      <c r="G1645" s="49" t="n">
        <v>0</v>
      </c>
      <c r="H1645" s="0" t="n">
        <v>0</v>
      </c>
      <c r="M1645" s="51" t="s">
        <v>4023</v>
      </c>
      <c r="N1645" s="49" t="n">
        <v>0</v>
      </c>
      <c r="O1645" s="53" t="n">
        <v>45694.4949305556</v>
      </c>
      <c r="P1645" s="53" t="n">
        <v>45908.3723148148</v>
      </c>
      <c r="Q1645" s="53" t="n">
        <v>45694.4949305556</v>
      </c>
      <c r="R1645" s="0" t="n">
        <v>0</v>
      </c>
      <c r="S1645" s="51" t="s">
        <v>2371</v>
      </c>
      <c r="T1645" s="51" t="s">
        <v>2371</v>
      </c>
      <c r="U1645" s="0" t="str">
        <f aca="false">"5060175133922"</f>
        <v>5060175133922</v>
      </c>
      <c r="V1645" s="51" t="s">
        <v>2365</v>
      </c>
      <c r="W1645" s="51" t="s">
        <v>4024</v>
      </c>
      <c r="X1645" s="51" t="s">
        <v>2359</v>
      </c>
    </row>
    <row r="1646" customFormat="false" ht="14.25" hidden="true" customHeight="false" outlineLevel="0" collapsed="false">
      <c r="A1646" s="49" t="s">
        <v>2349</v>
      </c>
      <c r="B1646" s="49" t="s">
        <v>2350</v>
      </c>
      <c r="C1646" s="49" t="s">
        <v>4025</v>
      </c>
      <c r="D1646" s="49" t="s">
        <v>2352</v>
      </c>
      <c r="E1646" s="49" t="str">
        <f aca="false">"8032754230220"</f>
        <v>8032754230220</v>
      </c>
      <c r="F1646" s="49" t="s">
        <v>4026</v>
      </c>
      <c r="G1646" s="49" t="n">
        <v>0</v>
      </c>
      <c r="H1646" s="0" t="n">
        <v>0</v>
      </c>
      <c r="M1646" s="51" t="s">
        <v>4027</v>
      </c>
      <c r="N1646" s="49" t="n">
        <v>0</v>
      </c>
      <c r="O1646" s="53" t="n">
        <v>45694.7477430556</v>
      </c>
      <c r="P1646" s="53" t="n">
        <v>45701.7574305556</v>
      </c>
      <c r="Q1646" s="53" t="n">
        <v>45694.7477430556</v>
      </c>
      <c r="R1646" s="0" t="n">
        <v>0</v>
      </c>
      <c r="S1646" s="51" t="s">
        <v>2401</v>
      </c>
      <c r="T1646" s="51" t="s">
        <v>2401</v>
      </c>
      <c r="U1646" s="0" t="str">
        <f aca="false">"8032754230220"</f>
        <v>8032754230220</v>
      </c>
      <c r="V1646" s="51" t="s">
        <v>2365</v>
      </c>
      <c r="W1646" s="51" t="s">
        <v>4028</v>
      </c>
      <c r="X1646" s="51" t="s">
        <v>2359</v>
      </c>
    </row>
    <row r="1647" customFormat="false" ht="14.25" hidden="true" customHeight="false" outlineLevel="0" collapsed="false">
      <c r="A1647" s="49" t="s">
        <v>2349</v>
      </c>
      <c r="B1647" s="49" t="s">
        <v>2350</v>
      </c>
      <c r="C1647" s="49" t="s">
        <v>4029</v>
      </c>
      <c r="D1647" s="49" t="s">
        <v>2352</v>
      </c>
      <c r="E1647" s="49" t="str">
        <f aca="false">"8032754230220"</f>
        <v>8032754230220</v>
      </c>
      <c r="F1647" s="49" t="s">
        <v>4026</v>
      </c>
      <c r="G1647" s="49" t="n">
        <v>0</v>
      </c>
      <c r="H1647" s="0" t="n">
        <v>0</v>
      </c>
      <c r="M1647" s="51" t="s">
        <v>4027</v>
      </c>
      <c r="N1647" s="49" t="n">
        <v>0</v>
      </c>
      <c r="O1647" s="53" t="n">
        <v>45694.7471643519</v>
      </c>
      <c r="P1647" s="53" t="n">
        <v>45701.7906481482</v>
      </c>
      <c r="Q1647" s="53" t="n">
        <v>45694.7471643519</v>
      </c>
      <c r="R1647" s="0" t="n">
        <v>0</v>
      </c>
      <c r="S1647" s="51" t="s">
        <v>2401</v>
      </c>
      <c r="T1647" s="51" t="s">
        <v>2401</v>
      </c>
      <c r="U1647" s="0" t="str">
        <f aca="false">"8032754230220"</f>
        <v>8032754230220</v>
      </c>
      <c r="V1647" s="51" t="s">
        <v>2365</v>
      </c>
      <c r="W1647" s="51" t="s">
        <v>4030</v>
      </c>
      <c r="X1647" s="51" t="s">
        <v>2359</v>
      </c>
    </row>
    <row r="1648" customFormat="false" ht="14.25" hidden="true" customHeight="false" outlineLevel="0" collapsed="false">
      <c r="A1648" s="49" t="s">
        <v>2349</v>
      </c>
      <c r="B1648" s="49" t="s">
        <v>2350</v>
      </c>
      <c r="C1648" s="49" t="s">
        <v>4031</v>
      </c>
      <c r="D1648" s="49" t="s">
        <v>2352</v>
      </c>
      <c r="E1648" s="49" t="str">
        <f aca="false">"8032754230220"</f>
        <v>8032754230220</v>
      </c>
      <c r="F1648" s="49" t="s">
        <v>4026</v>
      </c>
      <c r="G1648" s="49" t="n">
        <v>0</v>
      </c>
      <c r="H1648" s="0" t="n">
        <v>0</v>
      </c>
      <c r="M1648" s="51" t="s">
        <v>4027</v>
      </c>
      <c r="N1648" s="49" t="n">
        <v>0</v>
      </c>
      <c r="O1648" s="53" t="n">
        <v>45694.7462152778</v>
      </c>
      <c r="P1648" s="53" t="n">
        <v>45995.8017824074</v>
      </c>
      <c r="Q1648" s="53" t="n">
        <v>45694.7462152778</v>
      </c>
      <c r="R1648" s="0" t="n">
        <v>0</v>
      </c>
      <c r="S1648" s="51" t="s">
        <v>2401</v>
      </c>
      <c r="T1648" s="51" t="s">
        <v>2401</v>
      </c>
      <c r="U1648" s="0" t="str">
        <f aca="false">"8032754230220"</f>
        <v>8032754230220</v>
      </c>
      <c r="V1648" s="51" t="s">
        <v>2365</v>
      </c>
      <c r="W1648" s="51" t="s">
        <v>4032</v>
      </c>
      <c r="X1648" s="51" t="s">
        <v>2359</v>
      </c>
    </row>
    <row r="1649" customFormat="false" ht="14.25" hidden="true" customHeight="false" outlineLevel="0" collapsed="false">
      <c r="A1649" s="49" t="s">
        <v>2349</v>
      </c>
      <c r="B1649" s="49" t="s">
        <v>2350</v>
      </c>
      <c r="C1649" s="49" t="s">
        <v>4033</v>
      </c>
      <c r="D1649" s="49" t="s">
        <v>2352</v>
      </c>
      <c r="E1649" s="49" t="str">
        <f aca="false">"8032754230220"</f>
        <v>8032754230220</v>
      </c>
      <c r="F1649" s="49" t="s">
        <v>4026</v>
      </c>
      <c r="G1649" s="49" t="n">
        <v>0</v>
      </c>
      <c r="H1649" s="0" t="n">
        <v>0</v>
      </c>
      <c r="M1649" s="51" t="s">
        <v>4027</v>
      </c>
      <c r="N1649" s="49" t="n">
        <v>0</v>
      </c>
      <c r="O1649" s="53" t="n">
        <v>45694.7447800926</v>
      </c>
      <c r="P1649" s="53" t="n">
        <v>45995.801099537</v>
      </c>
      <c r="Q1649" s="53" t="n">
        <v>45694.7447800926</v>
      </c>
      <c r="R1649" s="0" t="n">
        <v>0</v>
      </c>
      <c r="S1649" s="51" t="s">
        <v>2401</v>
      </c>
      <c r="T1649" s="51" t="s">
        <v>2401</v>
      </c>
      <c r="U1649" s="0" t="str">
        <f aca="false">"8032754230220"</f>
        <v>8032754230220</v>
      </c>
      <c r="V1649" s="51" t="s">
        <v>2365</v>
      </c>
      <c r="W1649" s="51" t="s">
        <v>4034</v>
      </c>
      <c r="X1649" s="51" t="s">
        <v>2359</v>
      </c>
    </row>
    <row r="1650" customFormat="false" ht="14.25" hidden="true" customHeight="false" outlineLevel="0" collapsed="false">
      <c r="A1650" s="49" t="s">
        <v>2349</v>
      </c>
      <c r="B1650" s="49" t="s">
        <v>2350</v>
      </c>
      <c r="C1650" s="49" t="s">
        <v>4035</v>
      </c>
      <c r="D1650" s="49" t="s">
        <v>2352</v>
      </c>
      <c r="E1650" s="49" t="str">
        <f aca="false">"8032754230220"</f>
        <v>8032754230220</v>
      </c>
      <c r="F1650" s="49" t="s">
        <v>4026</v>
      </c>
      <c r="G1650" s="49" t="n">
        <v>0</v>
      </c>
      <c r="H1650" s="0" t="n">
        <v>0</v>
      </c>
      <c r="M1650" s="51" t="s">
        <v>4027</v>
      </c>
      <c r="N1650" s="49" t="n">
        <v>0</v>
      </c>
      <c r="O1650" s="53" t="n">
        <v>45694.7440393519</v>
      </c>
      <c r="P1650" s="53" t="n">
        <v>46020.3944444444</v>
      </c>
      <c r="Q1650" s="53" t="n">
        <v>45694.7440393519</v>
      </c>
      <c r="R1650" s="0" t="n">
        <v>0</v>
      </c>
      <c r="S1650" s="51" t="s">
        <v>2401</v>
      </c>
      <c r="T1650" s="51" t="s">
        <v>2401</v>
      </c>
      <c r="U1650" s="0" t="str">
        <f aca="false">"8032754230220"</f>
        <v>8032754230220</v>
      </c>
      <c r="V1650" s="51" t="s">
        <v>2365</v>
      </c>
      <c r="W1650" s="51" t="s">
        <v>4036</v>
      </c>
      <c r="X1650" s="51" t="s">
        <v>2359</v>
      </c>
    </row>
    <row r="1651" customFormat="false" ht="14.25" hidden="true" customHeight="false" outlineLevel="0" collapsed="false">
      <c r="A1651" s="49" t="s">
        <v>2349</v>
      </c>
      <c r="B1651" s="49" t="s">
        <v>2350</v>
      </c>
      <c r="C1651" s="49" t="s">
        <v>4037</v>
      </c>
      <c r="D1651" s="49" t="s">
        <v>2352</v>
      </c>
      <c r="E1651" s="49" t="str">
        <f aca="false">"8032754230220"</f>
        <v>8032754230220</v>
      </c>
      <c r="F1651" s="49" t="s">
        <v>4026</v>
      </c>
      <c r="G1651" s="49" t="n">
        <v>0</v>
      </c>
      <c r="H1651" s="0" t="n">
        <v>0</v>
      </c>
      <c r="M1651" s="51" t="s">
        <v>4027</v>
      </c>
      <c r="N1651" s="49" t="n">
        <v>0</v>
      </c>
      <c r="O1651" s="53" t="n">
        <v>45694.7436342593</v>
      </c>
      <c r="P1651" s="53" t="n">
        <v>46020.3578703704</v>
      </c>
      <c r="Q1651" s="53" t="n">
        <v>45694.7436342593</v>
      </c>
      <c r="R1651" s="0" t="n">
        <v>0</v>
      </c>
      <c r="S1651" s="51" t="s">
        <v>2401</v>
      </c>
      <c r="T1651" s="51" t="s">
        <v>2401</v>
      </c>
      <c r="U1651" s="0" t="str">
        <f aca="false">"8032754230220"</f>
        <v>8032754230220</v>
      </c>
      <c r="V1651" s="51" t="s">
        <v>2365</v>
      </c>
      <c r="W1651" s="51" t="s">
        <v>4038</v>
      </c>
      <c r="X1651" s="51" t="s">
        <v>2359</v>
      </c>
    </row>
    <row r="1652" customFormat="false" ht="14.25" hidden="true" customHeight="false" outlineLevel="0" collapsed="false">
      <c r="A1652" s="49" t="s">
        <v>2349</v>
      </c>
      <c r="B1652" s="49" t="s">
        <v>2350</v>
      </c>
      <c r="C1652" s="49" t="s">
        <v>4039</v>
      </c>
      <c r="D1652" s="49" t="s">
        <v>2352</v>
      </c>
      <c r="E1652" s="49" t="str">
        <f aca="false">"8032754230220"</f>
        <v>8032754230220</v>
      </c>
      <c r="F1652" s="49" t="s">
        <v>4026</v>
      </c>
      <c r="G1652" s="49" t="n">
        <v>0</v>
      </c>
      <c r="H1652" s="0" t="n">
        <v>0</v>
      </c>
      <c r="M1652" s="51" t="s">
        <v>4027</v>
      </c>
      <c r="N1652" s="49" t="n">
        <v>0</v>
      </c>
      <c r="O1652" s="53" t="n">
        <v>45694.7429513889</v>
      </c>
      <c r="P1652" s="53" t="n">
        <v>45701.7954282407</v>
      </c>
      <c r="Q1652" s="53" t="n">
        <v>45694.7429513889</v>
      </c>
      <c r="R1652" s="0" t="n">
        <v>0</v>
      </c>
      <c r="S1652" s="51" t="s">
        <v>2401</v>
      </c>
      <c r="T1652" s="51" t="s">
        <v>2401</v>
      </c>
      <c r="U1652" s="0" t="str">
        <f aca="false">"8032754230220"</f>
        <v>8032754230220</v>
      </c>
      <c r="V1652" s="51" t="s">
        <v>2365</v>
      </c>
      <c r="W1652" s="51" t="s">
        <v>4040</v>
      </c>
      <c r="X1652" s="51" t="s">
        <v>2359</v>
      </c>
    </row>
    <row r="1653" customFormat="false" ht="14.25" hidden="true" customHeight="false" outlineLevel="0" collapsed="false">
      <c r="A1653" s="49" t="s">
        <v>2349</v>
      </c>
      <c r="B1653" s="49" t="s">
        <v>2350</v>
      </c>
      <c r="C1653" s="49" t="s">
        <v>4041</v>
      </c>
      <c r="D1653" s="49" t="s">
        <v>2352</v>
      </c>
      <c r="E1653" s="49" t="str">
        <f aca="false">"8032754230220"</f>
        <v>8032754230220</v>
      </c>
      <c r="F1653" s="49" t="s">
        <v>4026</v>
      </c>
      <c r="G1653" s="49" t="n">
        <v>0</v>
      </c>
      <c r="H1653" s="0" t="n">
        <v>0</v>
      </c>
      <c r="M1653" s="51" t="s">
        <v>4027</v>
      </c>
      <c r="N1653" s="49" t="n">
        <v>0</v>
      </c>
      <c r="O1653" s="53" t="n">
        <v>45694.7415856481</v>
      </c>
      <c r="P1653" s="53" t="n">
        <v>45701.7944791667</v>
      </c>
      <c r="Q1653" s="53" t="n">
        <v>45694.7415856481</v>
      </c>
      <c r="R1653" s="0" t="n">
        <v>0</v>
      </c>
      <c r="S1653" s="51" t="s">
        <v>2401</v>
      </c>
      <c r="T1653" s="51" t="s">
        <v>2401</v>
      </c>
      <c r="U1653" s="0" t="str">
        <f aca="false">"8032754230220"</f>
        <v>8032754230220</v>
      </c>
      <c r="V1653" s="51" t="s">
        <v>2365</v>
      </c>
      <c r="W1653" s="51" t="s">
        <v>4042</v>
      </c>
      <c r="X1653" s="51" t="s">
        <v>2359</v>
      </c>
    </row>
    <row r="1654" customFormat="false" ht="14.25" hidden="true" customHeight="false" outlineLevel="0" collapsed="false">
      <c r="A1654" s="49" t="s">
        <v>2349</v>
      </c>
      <c r="B1654" s="49" t="s">
        <v>2350</v>
      </c>
      <c r="C1654" s="49" t="s">
        <v>4043</v>
      </c>
      <c r="D1654" s="49" t="s">
        <v>2352</v>
      </c>
      <c r="E1654" s="49" t="str">
        <f aca="false">"8032754230220"</f>
        <v>8032754230220</v>
      </c>
      <c r="F1654" s="49" t="s">
        <v>4026</v>
      </c>
      <c r="G1654" s="49" t="n">
        <v>0</v>
      </c>
      <c r="H1654" s="0" t="n">
        <v>0</v>
      </c>
      <c r="M1654" s="51" t="s">
        <v>4027</v>
      </c>
      <c r="N1654" s="49" t="n">
        <v>0</v>
      </c>
      <c r="O1654" s="53" t="n">
        <v>45694.7398032407</v>
      </c>
      <c r="P1654" s="53" t="n">
        <v>45728.4936111111</v>
      </c>
      <c r="Q1654" s="53" t="n">
        <v>45694.7398032407</v>
      </c>
      <c r="R1654" s="0" t="n">
        <v>0</v>
      </c>
      <c r="S1654" s="51" t="s">
        <v>2401</v>
      </c>
      <c r="T1654" s="51" t="s">
        <v>2401</v>
      </c>
      <c r="U1654" s="0" t="str">
        <f aca="false">"8032754230220"</f>
        <v>8032754230220</v>
      </c>
      <c r="V1654" s="51" t="s">
        <v>2365</v>
      </c>
      <c r="W1654" s="51" t="s">
        <v>4044</v>
      </c>
      <c r="X1654" s="51" t="s">
        <v>2359</v>
      </c>
    </row>
    <row r="1655" customFormat="false" ht="14.25" hidden="true" customHeight="false" outlineLevel="0" collapsed="false">
      <c r="A1655" s="49" t="s">
        <v>2349</v>
      </c>
      <c r="B1655" s="49" t="s">
        <v>2350</v>
      </c>
      <c r="C1655" s="49" t="s">
        <v>4045</v>
      </c>
      <c r="D1655" s="49" t="s">
        <v>2352</v>
      </c>
      <c r="E1655" s="49" t="str">
        <f aca="false">"8032754230220"</f>
        <v>8032754230220</v>
      </c>
      <c r="F1655" s="49" t="s">
        <v>4026</v>
      </c>
      <c r="G1655" s="49" t="n">
        <v>0</v>
      </c>
      <c r="H1655" s="0" t="n">
        <v>0</v>
      </c>
      <c r="M1655" s="51" t="s">
        <v>4027</v>
      </c>
      <c r="N1655" s="49" t="n">
        <v>0</v>
      </c>
      <c r="O1655" s="53" t="n">
        <v>45694.7391435185</v>
      </c>
      <c r="P1655" s="53" t="n">
        <v>45701.7928819444</v>
      </c>
      <c r="Q1655" s="53" t="n">
        <v>45694.7391435185</v>
      </c>
      <c r="R1655" s="0" t="n">
        <v>0</v>
      </c>
      <c r="S1655" s="51" t="s">
        <v>2401</v>
      </c>
      <c r="T1655" s="51" t="s">
        <v>2401</v>
      </c>
      <c r="U1655" s="0" t="str">
        <f aca="false">"8032754230220"</f>
        <v>8032754230220</v>
      </c>
      <c r="V1655" s="51" t="s">
        <v>2365</v>
      </c>
      <c r="W1655" s="51" t="s">
        <v>4046</v>
      </c>
      <c r="X1655" s="51" t="s">
        <v>2359</v>
      </c>
    </row>
    <row r="1656" customFormat="false" ht="14.25" hidden="true" customHeight="false" outlineLevel="0" collapsed="false">
      <c r="A1656" s="49" t="s">
        <v>2349</v>
      </c>
      <c r="B1656" s="49" t="s">
        <v>2350</v>
      </c>
      <c r="C1656" s="49" t="s">
        <v>4047</v>
      </c>
      <c r="D1656" s="49" t="s">
        <v>2352</v>
      </c>
      <c r="E1656" s="49" t="str">
        <f aca="false">"8032754230220"</f>
        <v>8032754230220</v>
      </c>
      <c r="F1656" s="49" t="s">
        <v>4026</v>
      </c>
      <c r="G1656" s="49" t="n">
        <v>0</v>
      </c>
      <c r="H1656" s="0" t="n">
        <v>0</v>
      </c>
      <c r="M1656" s="51" t="s">
        <v>4027</v>
      </c>
      <c r="N1656" s="49" t="n">
        <v>0</v>
      </c>
      <c r="O1656" s="53" t="n">
        <v>45694.7482175926</v>
      </c>
      <c r="P1656" s="53" t="n">
        <v>45701.7583912037</v>
      </c>
      <c r="Q1656" s="53" t="n">
        <v>45694.7482175926</v>
      </c>
      <c r="R1656" s="0" t="n">
        <v>0</v>
      </c>
      <c r="S1656" s="51" t="s">
        <v>2401</v>
      </c>
      <c r="T1656" s="51" t="s">
        <v>2401</v>
      </c>
      <c r="U1656" s="0" t="str">
        <f aca="false">"8032754230220"</f>
        <v>8032754230220</v>
      </c>
      <c r="V1656" s="51" t="s">
        <v>2365</v>
      </c>
      <c r="W1656" s="51" t="s">
        <v>4048</v>
      </c>
      <c r="X1656" s="51" t="s">
        <v>2359</v>
      </c>
    </row>
    <row r="1657" customFormat="false" ht="14.25" hidden="true" customHeight="false" outlineLevel="0" collapsed="false">
      <c r="A1657" s="49" t="s">
        <v>2349</v>
      </c>
      <c r="B1657" s="49" t="s">
        <v>2350</v>
      </c>
      <c r="C1657" s="49" t="s">
        <v>4049</v>
      </c>
      <c r="D1657" s="49" t="s">
        <v>2352</v>
      </c>
      <c r="E1657" s="49" t="str">
        <f aca="false">"8032754230220"</f>
        <v>8032754230220</v>
      </c>
      <c r="F1657" s="49" t="s">
        <v>4026</v>
      </c>
      <c r="G1657" s="49" t="n">
        <v>0</v>
      </c>
      <c r="H1657" s="0" t="n">
        <v>0</v>
      </c>
      <c r="M1657" s="51" t="s">
        <v>4027</v>
      </c>
      <c r="N1657" s="49" t="n">
        <v>0</v>
      </c>
      <c r="O1657" s="53" t="n">
        <v>45694.7485185185</v>
      </c>
      <c r="P1657" s="53" t="n">
        <v>45701.7896412037</v>
      </c>
      <c r="Q1657" s="53" t="n">
        <v>45694.7485185185</v>
      </c>
      <c r="R1657" s="0" t="n">
        <v>0</v>
      </c>
      <c r="S1657" s="51" t="s">
        <v>2401</v>
      </c>
      <c r="T1657" s="51" t="s">
        <v>2401</v>
      </c>
      <c r="U1657" s="0" t="str">
        <f aca="false">"8032754230220"</f>
        <v>8032754230220</v>
      </c>
      <c r="V1657" s="51" t="s">
        <v>2365</v>
      </c>
      <c r="W1657" s="51" t="s">
        <v>4050</v>
      </c>
      <c r="X1657" s="51" t="s">
        <v>2359</v>
      </c>
    </row>
    <row r="1658" customFormat="false" ht="14.25" hidden="true" customHeight="false" outlineLevel="0" collapsed="false">
      <c r="A1658" s="49" t="s">
        <v>2349</v>
      </c>
      <c r="B1658" s="49" t="s">
        <v>2350</v>
      </c>
      <c r="C1658" s="49" t="s">
        <v>4051</v>
      </c>
      <c r="D1658" s="49" t="s">
        <v>2352</v>
      </c>
      <c r="E1658" s="49" t="str">
        <f aca="false">"8032754230220"</f>
        <v>8032754230220</v>
      </c>
      <c r="F1658" s="49" t="s">
        <v>4026</v>
      </c>
      <c r="G1658" s="49" t="n">
        <v>0</v>
      </c>
      <c r="H1658" s="0" t="n">
        <v>0</v>
      </c>
      <c r="M1658" s="51" t="s">
        <v>4027</v>
      </c>
      <c r="N1658" s="49" t="n">
        <v>0</v>
      </c>
      <c r="O1658" s="53" t="n">
        <v>45694.7494560185</v>
      </c>
      <c r="P1658" s="53" t="n">
        <v>45701.7936921296</v>
      </c>
      <c r="Q1658" s="53" t="n">
        <v>45694.7494560185</v>
      </c>
      <c r="R1658" s="0" t="n">
        <v>0</v>
      </c>
      <c r="S1658" s="51" t="s">
        <v>2401</v>
      </c>
      <c r="T1658" s="51" t="s">
        <v>2401</v>
      </c>
      <c r="U1658" s="0" t="str">
        <f aca="false">"8032754230220"</f>
        <v>8032754230220</v>
      </c>
      <c r="V1658" s="51" t="s">
        <v>2365</v>
      </c>
      <c r="W1658" s="51" t="s">
        <v>4052</v>
      </c>
      <c r="X1658" s="51" t="s">
        <v>2359</v>
      </c>
    </row>
    <row r="1659" customFormat="false" ht="14.25" hidden="true" customHeight="false" outlineLevel="0" collapsed="false">
      <c r="A1659" s="49" t="s">
        <v>2349</v>
      </c>
      <c r="B1659" s="49" t="s">
        <v>2350</v>
      </c>
      <c r="C1659" s="49" t="s">
        <v>4053</v>
      </c>
      <c r="D1659" s="49" t="s">
        <v>2352</v>
      </c>
      <c r="E1659" s="49" t="str">
        <f aca="false">"8032754230220"</f>
        <v>8032754230220</v>
      </c>
      <c r="F1659" s="49" t="s">
        <v>4026</v>
      </c>
      <c r="G1659" s="49" t="n">
        <v>0</v>
      </c>
      <c r="H1659" s="0" t="n">
        <v>0</v>
      </c>
      <c r="M1659" s="51" t="s">
        <v>4027</v>
      </c>
      <c r="N1659" s="49" t="n">
        <v>0</v>
      </c>
      <c r="O1659" s="53" t="n">
        <v>45694.749849537</v>
      </c>
      <c r="P1659" s="53" t="n">
        <v>45701.7916435185</v>
      </c>
      <c r="Q1659" s="53" t="n">
        <v>45694.749849537</v>
      </c>
      <c r="R1659" s="0" t="n">
        <v>0</v>
      </c>
      <c r="S1659" s="51" t="s">
        <v>2401</v>
      </c>
      <c r="T1659" s="51" t="s">
        <v>2401</v>
      </c>
      <c r="U1659" s="0" t="str">
        <f aca="false">"8032754230220"</f>
        <v>8032754230220</v>
      </c>
      <c r="V1659" s="51" t="s">
        <v>2365</v>
      </c>
      <c r="W1659" s="51" t="s">
        <v>4054</v>
      </c>
      <c r="X1659" s="51" t="s">
        <v>2359</v>
      </c>
    </row>
    <row r="1660" customFormat="false" ht="14.25" hidden="true" customHeight="false" outlineLevel="0" collapsed="false">
      <c r="A1660" s="49" t="s">
        <v>2349</v>
      </c>
      <c r="B1660" s="49" t="s">
        <v>2350</v>
      </c>
      <c r="C1660" s="49" t="s">
        <v>4055</v>
      </c>
      <c r="D1660" s="49" t="s">
        <v>2352</v>
      </c>
      <c r="E1660" s="49" t="str">
        <f aca="false">"8032754230220"</f>
        <v>8032754230220</v>
      </c>
      <c r="F1660" s="49" t="s">
        <v>4026</v>
      </c>
      <c r="G1660" s="49" t="n">
        <v>0</v>
      </c>
      <c r="H1660" s="0" t="n">
        <v>0</v>
      </c>
      <c r="M1660" s="51" t="s">
        <v>4027</v>
      </c>
      <c r="N1660" s="49" t="n">
        <v>0</v>
      </c>
      <c r="O1660" s="53" t="n">
        <v>45694.7505902778</v>
      </c>
      <c r="P1660" s="53" t="n">
        <v>45701.7962731481</v>
      </c>
      <c r="Q1660" s="53" t="n">
        <v>45694.7505902778</v>
      </c>
      <c r="R1660" s="0" t="n">
        <v>0</v>
      </c>
      <c r="S1660" s="51" t="s">
        <v>2401</v>
      </c>
      <c r="T1660" s="51" t="s">
        <v>2401</v>
      </c>
      <c r="U1660" s="0" t="str">
        <f aca="false">"8032754230220"</f>
        <v>8032754230220</v>
      </c>
      <c r="V1660" s="51" t="s">
        <v>2365</v>
      </c>
      <c r="W1660" s="51" t="s">
        <v>4056</v>
      </c>
      <c r="X1660" s="51" t="s">
        <v>2359</v>
      </c>
    </row>
    <row r="1661" customFormat="false" ht="14.25" hidden="true" customHeight="false" outlineLevel="0" collapsed="false">
      <c r="A1661" s="49" t="s">
        <v>2349</v>
      </c>
      <c r="B1661" s="49" t="s">
        <v>2350</v>
      </c>
      <c r="C1661" s="49" t="s">
        <v>4057</v>
      </c>
      <c r="D1661" s="49" t="s">
        <v>2352</v>
      </c>
      <c r="E1661" s="49" t="str">
        <f aca="false">"8032754230220"</f>
        <v>8032754230220</v>
      </c>
      <c r="F1661" s="49" t="s">
        <v>4026</v>
      </c>
      <c r="G1661" s="49" t="n">
        <v>0</v>
      </c>
      <c r="H1661" s="0" t="n">
        <v>0</v>
      </c>
      <c r="M1661" s="51" t="s">
        <v>4027</v>
      </c>
      <c r="N1661" s="49" t="n">
        <v>0</v>
      </c>
      <c r="O1661" s="53" t="n">
        <v>45694.7511458333</v>
      </c>
      <c r="P1661" s="53" t="n">
        <v>45701.7555671296</v>
      </c>
      <c r="Q1661" s="53" t="n">
        <v>45694.7511458333</v>
      </c>
      <c r="R1661" s="0" t="n">
        <v>0</v>
      </c>
      <c r="S1661" s="51" t="s">
        <v>2401</v>
      </c>
      <c r="T1661" s="51" t="s">
        <v>2401</v>
      </c>
      <c r="U1661" s="0" t="str">
        <f aca="false">"8032754230220"</f>
        <v>8032754230220</v>
      </c>
      <c r="V1661" s="51" t="s">
        <v>2365</v>
      </c>
      <c r="W1661" s="51" t="s">
        <v>4058</v>
      </c>
      <c r="X1661" s="51" t="s">
        <v>2359</v>
      </c>
    </row>
    <row r="1662" customFormat="false" ht="14.25" hidden="true" customHeight="false" outlineLevel="0" collapsed="false">
      <c r="A1662" s="49" t="s">
        <v>2349</v>
      </c>
      <c r="B1662" s="49" t="s">
        <v>2350</v>
      </c>
      <c r="C1662" s="49" t="s">
        <v>4059</v>
      </c>
      <c r="D1662" s="49" t="s">
        <v>2352</v>
      </c>
      <c r="E1662" s="49" t="str">
        <f aca="false">"8032754230220"</f>
        <v>8032754230220</v>
      </c>
      <c r="F1662" s="49" t="s">
        <v>4026</v>
      </c>
      <c r="G1662" s="49" t="n">
        <v>0</v>
      </c>
      <c r="H1662" s="0" t="n">
        <v>0</v>
      </c>
      <c r="M1662" s="51" t="s">
        <v>4027</v>
      </c>
      <c r="N1662" s="49" t="n">
        <v>0</v>
      </c>
      <c r="O1662" s="53" t="n">
        <v>45694.7517708333</v>
      </c>
      <c r="P1662" s="53" t="n">
        <v>45701.787025463</v>
      </c>
      <c r="Q1662" s="53" t="n">
        <v>45694.7517708333</v>
      </c>
      <c r="R1662" s="0" t="n">
        <v>0</v>
      </c>
      <c r="S1662" s="51" t="s">
        <v>2401</v>
      </c>
      <c r="T1662" s="51" t="s">
        <v>2401</v>
      </c>
      <c r="U1662" s="0" t="str">
        <f aca="false">"8032754230220"</f>
        <v>8032754230220</v>
      </c>
      <c r="V1662" s="51" t="s">
        <v>2365</v>
      </c>
      <c r="W1662" s="51" t="s">
        <v>4060</v>
      </c>
      <c r="X1662" s="51" t="s">
        <v>2359</v>
      </c>
    </row>
    <row r="1663" customFormat="false" ht="14.25" hidden="true" customHeight="false" outlineLevel="0" collapsed="false">
      <c r="A1663" s="49" t="s">
        <v>2349</v>
      </c>
      <c r="B1663" s="49" t="s">
        <v>2350</v>
      </c>
      <c r="C1663" s="49" t="s">
        <v>4061</v>
      </c>
      <c r="D1663" s="49" t="s">
        <v>2352</v>
      </c>
      <c r="E1663" s="49" t="str">
        <f aca="false">"8032754230220"</f>
        <v>8032754230220</v>
      </c>
      <c r="F1663" s="49" t="s">
        <v>4026</v>
      </c>
      <c r="G1663" s="49" t="n">
        <v>0</v>
      </c>
      <c r="H1663" s="0" t="n">
        <v>0</v>
      </c>
      <c r="M1663" s="51" t="s">
        <v>4027</v>
      </c>
      <c r="N1663" s="49" t="n">
        <v>0</v>
      </c>
      <c r="O1663" s="53" t="n">
        <v>45694.7521296296</v>
      </c>
      <c r="P1663" s="53" t="n">
        <v>45995.8009375</v>
      </c>
      <c r="Q1663" s="53" t="n">
        <v>45694.7521296296</v>
      </c>
      <c r="R1663" s="0" t="n">
        <v>0</v>
      </c>
      <c r="S1663" s="51" t="s">
        <v>2401</v>
      </c>
      <c r="T1663" s="51" t="s">
        <v>2401</v>
      </c>
      <c r="U1663" s="0" t="str">
        <f aca="false">"8032754230220"</f>
        <v>8032754230220</v>
      </c>
      <c r="V1663" s="51" t="s">
        <v>2365</v>
      </c>
      <c r="W1663" s="51" t="s">
        <v>4062</v>
      </c>
      <c r="X1663" s="51" t="s">
        <v>2359</v>
      </c>
    </row>
    <row r="1664" customFormat="false" ht="14.25" hidden="true" customHeight="false" outlineLevel="0" collapsed="false">
      <c r="A1664" s="49" t="s">
        <v>2349</v>
      </c>
      <c r="B1664" s="49" t="s">
        <v>2350</v>
      </c>
      <c r="C1664" s="49" t="s">
        <v>4063</v>
      </c>
      <c r="D1664" s="49" t="s">
        <v>2352</v>
      </c>
      <c r="E1664" s="49" t="str">
        <f aca="false">"8032754230220"</f>
        <v>8032754230220</v>
      </c>
      <c r="F1664" s="49" t="s">
        <v>4026</v>
      </c>
      <c r="G1664" s="49" t="n">
        <v>0</v>
      </c>
      <c r="H1664" s="0" t="n">
        <v>0</v>
      </c>
      <c r="M1664" s="51" t="s">
        <v>4027</v>
      </c>
      <c r="N1664" s="49" t="n">
        <v>0</v>
      </c>
      <c r="O1664" s="53" t="n">
        <v>45694.7524884259</v>
      </c>
      <c r="P1664" s="53" t="n">
        <v>45701.7887268519</v>
      </c>
      <c r="Q1664" s="53" t="n">
        <v>45694.7524884259</v>
      </c>
      <c r="R1664" s="0" t="n">
        <v>0</v>
      </c>
      <c r="S1664" s="51" t="s">
        <v>2401</v>
      </c>
      <c r="T1664" s="51" t="s">
        <v>2401</v>
      </c>
      <c r="U1664" s="0" t="str">
        <f aca="false">"8032754230220"</f>
        <v>8032754230220</v>
      </c>
      <c r="V1664" s="51" t="s">
        <v>2365</v>
      </c>
      <c r="W1664" s="51" t="s">
        <v>4064</v>
      </c>
      <c r="X1664" s="51" t="s">
        <v>2359</v>
      </c>
    </row>
    <row r="1665" customFormat="false" ht="14.25" hidden="true" customHeight="false" outlineLevel="0" collapsed="false">
      <c r="A1665" s="49" t="s">
        <v>2349</v>
      </c>
      <c r="B1665" s="49" t="s">
        <v>2350</v>
      </c>
      <c r="C1665" s="49" t="s">
        <v>4065</v>
      </c>
      <c r="D1665" s="49" t="s">
        <v>2352</v>
      </c>
      <c r="E1665" s="49" t="str">
        <f aca="false">"8032754230220"</f>
        <v>8032754230220</v>
      </c>
      <c r="F1665" s="49" t="s">
        <v>4026</v>
      </c>
      <c r="G1665" s="49" t="n">
        <v>0</v>
      </c>
      <c r="H1665" s="0" t="n">
        <v>0</v>
      </c>
      <c r="M1665" s="51" t="s">
        <v>4027</v>
      </c>
      <c r="N1665" s="49" t="n">
        <v>0</v>
      </c>
      <c r="O1665" s="53" t="n">
        <v>45694.7529513889</v>
      </c>
      <c r="P1665" s="53" t="n">
        <v>45701.7591782407</v>
      </c>
      <c r="Q1665" s="53" t="n">
        <v>45694.7529513889</v>
      </c>
      <c r="R1665" s="0" t="n">
        <v>0</v>
      </c>
      <c r="S1665" s="51" t="s">
        <v>2401</v>
      </c>
      <c r="T1665" s="51" t="s">
        <v>2401</v>
      </c>
      <c r="U1665" s="0" t="str">
        <f aca="false">"8032754230220"</f>
        <v>8032754230220</v>
      </c>
      <c r="V1665" s="51" t="s">
        <v>2365</v>
      </c>
      <c r="W1665" s="51" t="s">
        <v>4066</v>
      </c>
      <c r="X1665" s="51" t="s">
        <v>2359</v>
      </c>
    </row>
    <row r="1666" customFormat="false" ht="14.25" hidden="true" customHeight="false" outlineLevel="0" collapsed="false">
      <c r="A1666" s="49" t="s">
        <v>2349</v>
      </c>
      <c r="B1666" s="49" t="s">
        <v>2350</v>
      </c>
      <c r="C1666" s="49" t="s">
        <v>4067</v>
      </c>
      <c r="D1666" s="49" t="s">
        <v>2352</v>
      </c>
      <c r="E1666" s="49" t="str">
        <f aca="false">"8032754230220"</f>
        <v>8032754230220</v>
      </c>
      <c r="F1666" s="49" t="s">
        <v>4026</v>
      </c>
      <c r="G1666" s="49" t="n">
        <v>0</v>
      </c>
      <c r="H1666" s="0" t="n">
        <v>0</v>
      </c>
      <c r="M1666" s="51" t="s">
        <v>4027</v>
      </c>
      <c r="N1666" s="49" t="n">
        <v>0</v>
      </c>
      <c r="O1666" s="53" t="n">
        <v>45694.7536805556</v>
      </c>
      <c r="P1666" s="53" t="n">
        <v>45701.7599768519</v>
      </c>
      <c r="Q1666" s="53" t="n">
        <v>45694.7536805556</v>
      </c>
      <c r="R1666" s="0" t="n">
        <v>0</v>
      </c>
      <c r="S1666" s="51" t="s">
        <v>2401</v>
      </c>
      <c r="T1666" s="51" t="s">
        <v>2401</v>
      </c>
      <c r="U1666" s="0" t="str">
        <f aca="false">"8032754230220"</f>
        <v>8032754230220</v>
      </c>
      <c r="V1666" s="51" t="s">
        <v>2365</v>
      </c>
      <c r="W1666" s="51" t="s">
        <v>4068</v>
      </c>
      <c r="X1666" s="51" t="s">
        <v>2359</v>
      </c>
    </row>
    <row r="1667" customFormat="false" ht="14.25" hidden="true" customHeight="false" outlineLevel="0" collapsed="false">
      <c r="A1667" s="49" t="s">
        <v>2349</v>
      </c>
      <c r="B1667" s="49" t="s">
        <v>2350</v>
      </c>
      <c r="C1667" s="49" t="s">
        <v>4069</v>
      </c>
      <c r="D1667" s="49" t="s">
        <v>2352</v>
      </c>
      <c r="E1667" s="49" t="str">
        <f aca="false">"8032754230220"</f>
        <v>8032754230220</v>
      </c>
      <c r="F1667" s="49" t="s">
        <v>4026</v>
      </c>
      <c r="G1667" s="49" t="n">
        <v>0</v>
      </c>
      <c r="H1667" s="0" t="n">
        <v>0</v>
      </c>
      <c r="M1667" s="51" t="s">
        <v>4027</v>
      </c>
      <c r="N1667" s="49" t="n">
        <v>0</v>
      </c>
      <c r="O1667" s="53" t="n">
        <v>45694.7540162037</v>
      </c>
      <c r="P1667" s="53" t="n">
        <v>45701.7537847222</v>
      </c>
      <c r="Q1667" s="53" t="n">
        <v>45694.7540162037</v>
      </c>
      <c r="R1667" s="0" t="n">
        <v>0</v>
      </c>
      <c r="S1667" s="51" t="s">
        <v>2401</v>
      </c>
      <c r="T1667" s="51" t="s">
        <v>2401</v>
      </c>
      <c r="U1667" s="0" t="str">
        <f aca="false">"8032754230220"</f>
        <v>8032754230220</v>
      </c>
      <c r="V1667" s="51" t="s">
        <v>2365</v>
      </c>
      <c r="W1667" s="51" t="s">
        <v>4070</v>
      </c>
      <c r="X1667" s="51" t="s">
        <v>2359</v>
      </c>
    </row>
    <row r="1668" customFormat="false" ht="14.25" hidden="true" customHeight="false" outlineLevel="0" collapsed="false">
      <c r="A1668" s="49" t="s">
        <v>2349</v>
      </c>
      <c r="B1668" s="49" t="s">
        <v>2350</v>
      </c>
      <c r="C1668" s="49" t="s">
        <v>4071</v>
      </c>
      <c r="D1668" s="49" t="s">
        <v>2352</v>
      </c>
      <c r="E1668" s="49" t="str">
        <f aca="false">"8032754230220"</f>
        <v>8032754230220</v>
      </c>
      <c r="F1668" s="49" t="s">
        <v>4026</v>
      </c>
      <c r="G1668" s="49" t="n">
        <v>0</v>
      </c>
      <c r="H1668" s="0" t="n">
        <v>0</v>
      </c>
      <c r="M1668" s="51" t="s">
        <v>4027</v>
      </c>
      <c r="N1668" s="49" t="n">
        <v>0</v>
      </c>
      <c r="O1668" s="53" t="n">
        <v>45694.7544097222</v>
      </c>
      <c r="P1668" s="53" t="n">
        <v>46020.3511921296</v>
      </c>
      <c r="Q1668" s="53" t="n">
        <v>45694.7544097222</v>
      </c>
      <c r="R1668" s="0" t="n">
        <v>0</v>
      </c>
      <c r="S1668" s="51" t="s">
        <v>2401</v>
      </c>
      <c r="T1668" s="51" t="s">
        <v>2401</v>
      </c>
      <c r="U1668" s="0" t="str">
        <f aca="false">"8032754230220"</f>
        <v>8032754230220</v>
      </c>
      <c r="V1668" s="51" t="s">
        <v>2365</v>
      </c>
      <c r="W1668" s="51" t="s">
        <v>4072</v>
      </c>
      <c r="X1668" s="51" t="s">
        <v>2359</v>
      </c>
    </row>
    <row r="1669" customFormat="false" ht="14.25" hidden="true" customHeight="false" outlineLevel="0" collapsed="false">
      <c r="A1669" s="49" t="s">
        <v>2349</v>
      </c>
      <c r="B1669" s="49" t="s">
        <v>2350</v>
      </c>
      <c r="C1669" s="49" t="s">
        <v>4073</v>
      </c>
      <c r="D1669" s="49" t="s">
        <v>2352</v>
      </c>
      <c r="E1669" s="49" t="str">
        <f aca="false">"8032754230220"</f>
        <v>8032754230220</v>
      </c>
      <c r="F1669" s="49" t="s">
        <v>4026</v>
      </c>
      <c r="G1669" s="49" t="n">
        <v>0</v>
      </c>
      <c r="H1669" s="0" t="n">
        <v>0</v>
      </c>
      <c r="M1669" s="51" t="s">
        <v>4027</v>
      </c>
      <c r="N1669" s="49" t="n">
        <v>0</v>
      </c>
      <c r="O1669" s="53" t="n">
        <v>45694.7547222222</v>
      </c>
      <c r="P1669" s="53" t="n">
        <v>45850.3546412037</v>
      </c>
      <c r="Q1669" s="53" t="n">
        <v>45694.7547222222</v>
      </c>
      <c r="R1669" s="0" t="n">
        <v>0</v>
      </c>
      <c r="S1669" s="51" t="s">
        <v>2401</v>
      </c>
      <c r="T1669" s="51" t="s">
        <v>2401</v>
      </c>
      <c r="U1669" s="0" t="str">
        <f aca="false">"8032754230220"</f>
        <v>8032754230220</v>
      </c>
      <c r="V1669" s="51" t="s">
        <v>2365</v>
      </c>
      <c r="W1669" s="51" t="s">
        <v>4074</v>
      </c>
      <c r="X1669" s="51" t="s">
        <v>2359</v>
      </c>
    </row>
    <row r="1670" customFormat="false" ht="14.25" hidden="true" customHeight="false" outlineLevel="0" collapsed="false">
      <c r="A1670" s="49" t="s">
        <v>2349</v>
      </c>
      <c r="B1670" s="49" t="s">
        <v>2350</v>
      </c>
      <c r="C1670" s="49" t="s">
        <v>4075</v>
      </c>
      <c r="D1670" s="49" t="s">
        <v>2352</v>
      </c>
      <c r="E1670" s="49" t="str">
        <f aca="false">"8032754230220"</f>
        <v>8032754230220</v>
      </c>
      <c r="F1670" s="49" t="s">
        <v>4026</v>
      </c>
      <c r="G1670" s="49" t="n">
        <v>0</v>
      </c>
      <c r="H1670" s="0" t="n">
        <v>0</v>
      </c>
      <c r="M1670" s="51" t="s">
        <v>4027</v>
      </c>
      <c r="N1670" s="49" t="n">
        <v>0</v>
      </c>
      <c r="O1670" s="53" t="n">
        <v>45694.7550810185</v>
      </c>
      <c r="P1670" s="53" t="n">
        <v>45850.3487037037</v>
      </c>
      <c r="Q1670" s="53" t="n">
        <v>45694.7550810185</v>
      </c>
      <c r="R1670" s="0" t="n">
        <v>0</v>
      </c>
      <c r="S1670" s="51" t="s">
        <v>2401</v>
      </c>
      <c r="T1670" s="51" t="s">
        <v>2401</v>
      </c>
      <c r="U1670" s="0" t="str">
        <f aca="false">"8032754230220"</f>
        <v>8032754230220</v>
      </c>
      <c r="V1670" s="51" t="s">
        <v>2365</v>
      </c>
      <c r="W1670" s="51" t="s">
        <v>4076</v>
      </c>
      <c r="X1670" s="51" t="s">
        <v>2359</v>
      </c>
    </row>
    <row r="1671" customFormat="false" ht="14.25" hidden="true" customHeight="false" outlineLevel="0" collapsed="false">
      <c r="A1671" s="49" t="s">
        <v>2349</v>
      </c>
      <c r="B1671" s="49" t="s">
        <v>2350</v>
      </c>
      <c r="C1671" s="49" t="s">
        <v>4077</v>
      </c>
      <c r="D1671" s="49" t="s">
        <v>2352</v>
      </c>
      <c r="E1671" s="49" t="str">
        <f aca="false">"8032754230220"</f>
        <v>8032754230220</v>
      </c>
      <c r="F1671" s="49" t="s">
        <v>4026</v>
      </c>
      <c r="G1671" s="49" t="n">
        <v>0</v>
      </c>
      <c r="H1671" s="0" t="n">
        <v>0</v>
      </c>
      <c r="M1671" s="51" t="s">
        <v>4027</v>
      </c>
      <c r="N1671" s="49" t="n">
        <v>0</v>
      </c>
      <c r="O1671" s="53" t="n">
        <v>45694.7554861111</v>
      </c>
      <c r="P1671" s="53" t="n">
        <v>45701.7843865741</v>
      </c>
      <c r="Q1671" s="53" t="n">
        <v>45694.7554861111</v>
      </c>
      <c r="R1671" s="0" t="n">
        <v>0</v>
      </c>
      <c r="S1671" s="51" t="s">
        <v>2401</v>
      </c>
      <c r="T1671" s="51" t="s">
        <v>2401</v>
      </c>
      <c r="U1671" s="0" t="str">
        <f aca="false">"8032754230220"</f>
        <v>8032754230220</v>
      </c>
      <c r="V1671" s="51" t="s">
        <v>2365</v>
      </c>
      <c r="W1671" s="51" t="s">
        <v>4078</v>
      </c>
      <c r="X1671" s="51" t="s">
        <v>2359</v>
      </c>
    </row>
    <row r="1672" customFormat="false" ht="14.25" hidden="true" customHeight="false" outlineLevel="0" collapsed="false">
      <c r="A1672" s="49" t="s">
        <v>2349</v>
      </c>
      <c r="B1672" s="49" t="s">
        <v>2350</v>
      </c>
      <c r="C1672" s="49" t="s">
        <v>4079</v>
      </c>
      <c r="D1672" s="49" t="s">
        <v>2352</v>
      </c>
      <c r="E1672" s="49" t="str">
        <f aca="false">"8032754230220"</f>
        <v>8032754230220</v>
      </c>
      <c r="F1672" s="49" t="s">
        <v>4026</v>
      </c>
      <c r="G1672" s="49" t="n">
        <v>0</v>
      </c>
      <c r="H1672" s="0" t="n">
        <v>0</v>
      </c>
      <c r="M1672" s="51" t="s">
        <v>4027</v>
      </c>
      <c r="N1672" s="49" t="n">
        <v>0</v>
      </c>
      <c r="O1672" s="53" t="n">
        <v>45694.7558912037</v>
      </c>
      <c r="P1672" s="53" t="n">
        <v>46020.3565972222</v>
      </c>
      <c r="Q1672" s="53" t="n">
        <v>45694.7558912037</v>
      </c>
      <c r="R1672" s="0" t="n">
        <v>0</v>
      </c>
      <c r="S1672" s="51" t="s">
        <v>2401</v>
      </c>
      <c r="T1672" s="51" t="s">
        <v>2401</v>
      </c>
      <c r="U1672" s="0" t="str">
        <f aca="false">"8032754230220"</f>
        <v>8032754230220</v>
      </c>
      <c r="V1672" s="51" t="s">
        <v>2365</v>
      </c>
      <c r="W1672" s="51" t="s">
        <v>4080</v>
      </c>
      <c r="X1672" s="51" t="s">
        <v>2359</v>
      </c>
    </row>
    <row r="1673" customFormat="false" ht="14.25" hidden="true" customHeight="false" outlineLevel="0" collapsed="false">
      <c r="A1673" s="49" t="s">
        <v>2349</v>
      </c>
      <c r="B1673" s="49" t="s">
        <v>2350</v>
      </c>
      <c r="C1673" s="49" t="s">
        <v>4081</v>
      </c>
      <c r="D1673" s="49" t="s">
        <v>2352</v>
      </c>
      <c r="E1673" s="49" t="str">
        <f aca="false">"8032754230220"</f>
        <v>8032754230220</v>
      </c>
      <c r="F1673" s="49" t="s">
        <v>4026</v>
      </c>
      <c r="G1673" s="49" t="n">
        <v>0</v>
      </c>
      <c r="H1673" s="0" t="n">
        <v>0</v>
      </c>
      <c r="M1673" s="51" t="s">
        <v>4027</v>
      </c>
      <c r="N1673" s="49" t="n">
        <v>0</v>
      </c>
      <c r="O1673" s="53" t="n">
        <v>45694.7563888889</v>
      </c>
      <c r="P1673" s="53" t="n">
        <v>45701.7814699074</v>
      </c>
      <c r="Q1673" s="53" t="n">
        <v>45694.7563888889</v>
      </c>
      <c r="R1673" s="0" t="n">
        <v>0</v>
      </c>
      <c r="S1673" s="51" t="s">
        <v>2401</v>
      </c>
      <c r="T1673" s="51" t="s">
        <v>2401</v>
      </c>
      <c r="U1673" s="0" t="str">
        <f aca="false">"8032754230220"</f>
        <v>8032754230220</v>
      </c>
      <c r="V1673" s="51" t="s">
        <v>2365</v>
      </c>
      <c r="W1673" s="51" t="s">
        <v>4082</v>
      </c>
      <c r="X1673" s="51" t="s">
        <v>2359</v>
      </c>
    </row>
    <row r="1674" customFormat="false" ht="14.25" hidden="true" customHeight="false" outlineLevel="0" collapsed="false">
      <c r="A1674" s="49" t="s">
        <v>2349</v>
      </c>
      <c r="B1674" s="49" t="s">
        <v>2350</v>
      </c>
      <c r="C1674" s="49" t="s">
        <v>4083</v>
      </c>
      <c r="D1674" s="49" t="s">
        <v>2352</v>
      </c>
      <c r="E1674" s="49" t="str">
        <f aca="false">"8032754230220"</f>
        <v>8032754230220</v>
      </c>
      <c r="F1674" s="49" t="s">
        <v>4026</v>
      </c>
      <c r="G1674" s="49" t="n">
        <v>0</v>
      </c>
      <c r="H1674" s="0" t="n">
        <v>0</v>
      </c>
      <c r="M1674" s="51" t="s">
        <v>4027</v>
      </c>
      <c r="N1674" s="49" t="n">
        <v>0</v>
      </c>
      <c r="O1674" s="53" t="n">
        <v>45694.7568634259</v>
      </c>
      <c r="P1674" s="53" t="n">
        <v>45701.7564467593</v>
      </c>
      <c r="Q1674" s="53" t="n">
        <v>45694.7568634259</v>
      </c>
      <c r="R1674" s="0" t="n">
        <v>0</v>
      </c>
      <c r="S1674" s="51" t="s">
        <v>2401</v>
      </c>
      <c r="T1674" s="51" t="s">
        <v>2401</v>
      </c>
      <c r="U1674" s="0" t="str">
        <f aca="false">"8032754230220"</f>
        <v>8032754230220</v>
      </c>
      <c r="V1674" s="51" t="s">
        <v>2365</v>
      </c>
      <c r="W1674" s="51" t="s">
        <v>4084</v>
      </c>
      <c r="X1674" s="51" t="s">
        <v>2359</v>
      </c>
    </row>
    <row r="1675" customFormat="false" ht="14.25" hidden="true" customHeight="false" outlineLevel="0" collapsed="false">
      <c r="A1675" s="49" t="s">
        <v>2349</v>
      </c>
      <c r="B1675" s="49" t="s">
        <v>2350</v>
      </c>
      <c r="C1675" s="49" t="s">
        <v>4085</v>
      </c>
      <c r="D1675" s="49" t="s">
        <v>2352</v>
      </c>
      <c r="E1675" s="49" t="str">
        <f aca="false">"8032754230220"</f>
        <v>8032754230220</v>
      </c>
      <c r="F1675" s="49" t="s">
        <v>4026</v>
      </c>
      <c r="G1675" s="49" t="n">
        <v>0</v>
      </c>
      <c r="H1675" s="0" t="n">
        <v>0</v>
      </c>
      <c r="M1675" s="51" t="s">
        <v>4027</v>
      </c>
      <c r="N1675" s="49" t="n">
        <v>0</v>
      </c>
      <c r="O1675" s="53" t="n">
        <v>45694.7301736111</v>
      </c>
      <c r="P1675" s="53" t="n">
        <v>45701.7825694445</v>
      </c>
      <c r="Q1675" s="53" t="n">
        <v>45694.7301736111</v>
      </c>
      <c r="R1675" s="0" t="n">
        <v>0</v>
      </c>
      <c r="S1675" s="51" t="s">
        <v>2401</v>
      </c>
      <c r="T1675" s="51" t="s">
        <v>2401</v>
      </c>
      <c r="U1675" s="0" t="str">
        <f aca="false">"8032754230220"</f>
        <v>8032754230220</v>
      </c>
      <c r="V1675" s="51" t="s">
        <v>2365</v>
      </c>
      <c r="W1675" s="51" t="s">
        <v>4086</v>
      </c>
      <c r="X1675" s="51" t="s">
        <v>2359</v>
      </c>
    </row>
    <row r="1676" customFormat="false" ht="14.25" hidden="true" customHeight="false" outlineLevel="0" collapsed="false">
      <c r="A1676" s="49" t="s">
        <v>2349</v>
      </c>
      <c r="B1676" s="49" t="s">
        <v>2350</v>
      </c>
      <c r="C1676" s="49" t="s">
        <v>4087</v>
      </c>
      <c r="D1676" s="49" t="s">
        <v>2352</v>
      </c>
      <c r="E1676" s="49" t="str">
        <f aca="false">"8032754230220"</f>
        <v>8032754230220</v>
      </c>
      <c r="F1676" s="49" t="s">
        <v>4026</v>
      </c>
      <c r="G1676" s="49" t="n">
        <v>0</v>
      </c>
      <c r="H1676" s="0" t="n">
        <v>0</v>
      </c>
      <c r="M1676" s="51" t="s">
        <v>4027</v>
      </c>
      <c r="N1676" s="49" t="n">
        <v>0</v>
      </c>
      <c r="O1676" s="53" t="n">
        <v>45694.7308333333</v>
      </c>
      <c r="P1676" s="53" t="n">
        <v>45850.3504976852</v>
      </c>
      <c r="Q1676" s="53" t="n">
        <v>45694.7308333333</v>
      </c>
      <c r="R1676" s="0" t="n">
        <v>0</v>
      </c>
      <c r="S1676" s="51" t="s">
        <v>2401</v>
      </c>
      <c r="T1676" s="51" t="s">
        <v>2401</v>
      </c>
      <c r="U1676" s="0" t="str">
        <f aca="false">"8032754230220"</f>
        <v>8032754230220</v>
      </c>
      <c r="V1676" s="51" t="s">
        <v>2365</v>
      </c>
      <c r="W1676" s="51" t="s">
        <v>4088</v>
      </c>
      <c r="X1676" s="51" t="s">
        <v>2359</v>
      </c>
    </row>
    <row r="1677" customFormat="false" ht="14.25" hidden="true" customHeight="false" outlineLevel="0" collapsed="false">
      <c r="A1677" s="49" t="s">
        <v>2349</v>
      </c>
      <c r="B1677" s="49" t="s">
        <v>2350</v>
      </c>
      <c r="C1677" s="49" t="s">
        <v>4089</v>
      </c>
      <c r="D1677" s="49" t="s">
        <v>2352</v>
      </c>
      <c r="E1677" s="49" t="str">
        <f aca="false">"8032754230220"</f>
        <v>8032754230220</v>
      </c>
      <c r="F1677" s="49" t="s">
        <v>4026</v>
      </c>
      <c r="G1677" s="49" t="n">
        <v>0</v>
      </c>
      <c r="H1677" s="0" t="n">
        <v>0</v>
      </c>
      <c r="M1677" s="51" t="s">
        <v>4027</v>
      </c>
      <c r="N1677" s="49" t="n">
        <v>0</v>
      </c>
      <c r="O1677" s="53" t="n">
        <v>45694.733125</v>
      </c>
      <c r="P1677" s="53" t="n">
        <v>45701.7834259259</v>
      </c>
      <c r="Q1677" s="53" t="n">
        <v>45694.733125</v>
      </c>
      <c r="R1677" s="0" t="n">
        <v>0</v>
      </c>
      <c r="S1677" s="51" t="s">
        <v>2401</v>
      </c>
      <c r="T1677" s="51" t="s">
        <v>2401</v>
      </c>
      <c r="U1677" s="0" t="str">
        <f aca="false">"8032754230220"</f>
        <v>8032754230220</v>
      </c>
      <c r="V1677" s="51" t="s">
        <v>2365</v>
      </c>
      <c r="W1677" s="51" t="s">
        <v>4090</v>
      </c>
      <c r="X1677" s="51" t="s">
        <v>2359</v>
      </c>
    </row>
    <row r="1678" customFormat="false" ht="14.25" hidden="true" customHeight="false" outlineLevel="0" collapsed="false">
      <c r="A1678" s="49" t="s">
        <v>2349</v>
      </c>
      <c r="B1678" s="49" t="s">
        <v>2350</v>
      </c>
      <c r="C1678" s="49" t="s">
        <v>4091</v>
      </c>
      <c r="D1678" s="49" t="s">
        <v>2352</v>
      </c>
      <c r="E1678" s="49" t="str">
        <f aca="false">"8032754230220"</f>
        <v>8032754230220</v>
      </c>
      <c r="F1678" s="49" t="s">
        <v>4026</v>
      </c>
      <c r="G1678" s="49" t="n">
        <v>0</v>
      </c>
      <c r="H1678" s="0" t="n">
        <v>0</v>
      </c>
      <c r="M1678" s="51" t="s">
        <v>4027</v>
      </c>
      <c r="N1678" s="49" t="n">
        <v>0</v>
      </c>
      <c r="O1678" s="53" t="n">
        <v>45694.7340162037</v>
      </c>
      <c r="P1678" s="53" t="n">
        <v>45971.9464351852</v>
      </c>
      <c r="Q1678" s="53" t="n">
        <v>45694.7340162037</v>
      </c>
      <c r="R1678" s="0" t="n">
        <v>0</v>
      </c>
      <c r="S1678" s="51" t="s">
        <v>2401</v>
      </c>
      <c r="T1678" s="51" t="s">
        <v>2401</v>
      </c>
      <c r="U1678" s="0" t="str">
        <f aca="false">"8032754230220"</f>
        <v>8032754230220</v>
      </c>
      <c r="V1678" s="51" t="s">
        <v>2365</v>
      </c>
      <c r="W1678" s="51" t="s">
        <v>4092</v>
      </c>
      <c r="X1678" s="51" t="s">
        <v>2359</v>
      </c>
    </row>
    <row r="1679" customFormat="false" ht="14.25" hidden="true" customHeight="false" outlineLevel="0" collapsed="false">
      <c r="A1679" s="49" t="s">
        <v>2349</v>
      </c>
      <c r="B1679" s="49" t="s">
        <v>2350</v>
      </c>
      <c r="C1679" s="49" t="s">
        <v>4093</v>
      </c>
      <c r="D1679" s="49" t="s">
        <v>2352</v>
      </c>
      <c r="E1679" s="49" t="str">
        <f aca="false">"8032754230220"</f>
        <v>8032754230220</v>
      </c>
      <c r="F1679" s="49" t="s">
        <v>4026</v>
      </c>
      <c r="G1679" s="49" t="n">
        <v>0</v>
      </c>
      <c r="H1679" s="0" t="n">
        <v>0</v>
      </c>
      <c r="M1679" s="51" t="s">
        <v>4027</v>
      </c>
      <c r="N1679" s="49" t="n">
        <v>0</v>
      </c>
      <c r="O1679" s="53" t="n">
        <v>45694.7345717593</v>
      </c>
      <c r="P1679" s="53" t="n">
        <v>46035.3850462963</v>
      </c>
      <c r="Q1679" s="53" t="n">
        <v>45694.7345717593</v>
      </c>
      <c r="R1679" s="0" t="n">
        <v>0</v>
      </c>
      <c r="S1679" s="51" t="s">
        <v>2401</v>
      </c>
      <c r="T1679" s="51" t="s">
        <v>2401</v>
      </c>
      <c r="U1679" s="0" t="str">
        <f aca="false">"8032754230220"</f>
        <v>8032754230220</v>
      </c>
      <c r="V1679" s="51" t="s">
        <v>2365</v>
      </c>
      <c r="W1679" s="51" t="s">
        <v>4094</v>
      </c>
      <c r="X1679" s="51" t="s">
        <v>2359</v>
      </c>
    </row>
    <row r="1680" customFormat="false" ht="14.25" hidden="true" customHeight="false" outlineLevel="0" collapsed="false">
      <c r="A1680" s="49" t="s">
        <v>2349</v>
      </c>
      <c r="B1680" s="49" t="s">
        <v>2350</v>
      </c>
      <c r="C1680" s="49" t="s">
        <v>4095</v>
      </c>
      <c r="D1680" s="49" t="s">
        <v>2352</v>
      </c>
      <c r="E1680" s="49" t="str">
        <f aca="false">"8032754230220"</f>
        <v>8032754230220</v>
      </c>
      <c r="F1680" s="49" t="s">
        <v>4026</v>
      </c>
      <c r="G1680" s="49" t="n">
        <v>0</v>
      </c>
      <c r="H1680" s="0" t="n">
        <v>0</v>
      </c>
      <c r="M1680" s="51" t="s">
        <v>4027</v>
      </c>
      <c r="N1680" s="49" t="n">
        <v>0</v>
      </c>
      <c r="O1680" s="53" t="n">
        <v>45694.7350347222</v>
      </c>
      <c r="P1680" s="53" t="n">
        <v>45701.7879282407</v>
      </c>
      <c r="Q1680" s="53" t="n">
        <v>45694.7350347222</v>
      </c>
      <c r="R1680" s="0" t="n">
        <v>0</v>
      </c>
      <c r="S1680" s="51" t="s">
        <v>2401</v>
      </c>
      <c r="T1680" s="51" t="s">
        <v>2401</v>
      </c>
      <c r="U1680" s="0" t="str">
        <f aca="false">"8032754230220"</f>
        <v>8032754230220</v>
      </c>
      <c r="V1680" s="51" t="s">
        <v>2365</v>
      </c>
      <c r="W1680" s="51" t="s">
        <v>4096</v>
      </c>
      <c r="X1680" s="51" t="s">
        <v>2359</v>
      </c>
    </row>
    <row r="1681" customFormat="false" ht="14.25" hidden="true" customHeight="false" outlineLevel="0" collapsed="false">
      <c r="A1681" s="49" t="s">
        <v>2349</v>
      </c>
      <c r="B1681" s="49" t="s">
        <v>2350</v>
      </c>
      <c r="C1681" s="49" t="s">
        <v>4097</v>
      </c>
      <c r="D1681" s="49" t="s">
        <v>2352</v>
      </c>
      <c r="E1681" s="49" t="str">
        <f aca="false">"8032754230220"</f>
        <v>8032754230220</v>
      </c>
      <c r="F1681" s="49" t="s">
        <v>4026</v>
      </c>
      <c r="G1681" s="49" t="n">
        <v>0</v>
      </c>
      <c r="H1681" s="0" t="n">
        <v>0</v>
      </c>
      <c r="M1681" s="51" t="s">
        <v>4027</v>
      </c>
      <c r="N1681" s="49" t="n">
        <v>0</v>
      </c>
      <c r="O1681" s="53" t="n">
        <v>45694.7364583333</v>
      </c>
      <c r="P1681" s="53" t="n">
        <v>45850.3527777778</v>
      </c>
      <c r="Q1681" s="53" t="n">
        <v>45694.7364583333</v>
      </c>
      <c r="R1681" s="0" t="n">
        <v>0</v>
      </c>
      <c r="S1681" s="51" t="s">
        <v>2401</v>
      </c>
      <c r="T1681" s="51" t="s">
        <v>2401</v>
      </c>
      <c r="U1681" s="0" t="str">
        <f aca="false">"8032754230220"</f>
        <v>8032754230220</v>
      </c>
      <c r="V1681" s="51" t="s">
        <v>2365</v>
      </c>
      <c r="W1681" s="51" t="s">
        <v>4098</v>
      </c>
      <c r="X1681" s="51" t="s">
        <v>2359</v>
      </c>
    </row>
    <row r="1682" customFormat="false" ht="14.25" hidden="true" customHeight="false" outlineLevel="0" collapsed="false">
      <c r="A1682" s="49" t="s">
        <v>2349</v>
      </c>
      <c r="B1682" s="49" t="s">
        <v>2350</v>
      </c>
      <c r="C1682" s="49" t="s">
        <v>4099</v>
      </c>
      <c r="D1682" s="49" t="s">
        <v>2352</v>
      </c>
      <c r="E1682" s="49" t="str">
        <f aca="false">"8032754230220"</f>
        <v>8032754230220</v>
      </c>
      <c r="F1682" s="49" t="s">
        <v>4026</v>
      </c>
      <c r="G1682" s="49" t="n">
        <v>0</v>
      </c>
      <c r="H1682" s="0" t="n">
        <v>0</v>
      </c>
      <c r="M1682" s="51" t="s">
        <v>4027</v>
      </c>
      <c r="N1682" s="49" t="n">
        <v>0</v>
      </c>
      <c r="O1682" s="53" t="n">
        <v>45694.7371064815</v>
      </c>
      <c r="P1682" s="53" t="n">
        <v>45701.7853356482</v>
      </c>
      <c r="Q1682" s="53" t="n">
        <v>45694.7371064815</v>
      </c>
      <c r="R1682" s="0" t="n">
        <v>0</v>
      </c>
      <c r="S1682" s="51" t="s">
        <v>2401</v>
      </c>
      <c r="T1682" s="51" t="s">
        <v>2401</v>
      </c>
      <c r="U1682" s="0" t="str">
        <f aca="false">"8032754230220"</f>
        <v>8032754230220</v>
      </c>
      <c r="V1682" s="51" t="s">
        <v>2365</v>
      </c>
      <c r="W1682" s="51" t="s">
        <v>4100</v>
      </c>
      <c r="X1682" s="51" t="s">
        <v>2359</v>
      </c>
    </row>
    <row r="1683" customFormat="false" ht="14.25" hidden="true" customHeight="false" outlineLevel="0" collapsed="false">
      <c r="A1683" s="49" t="s">
        <v>2349</v>
      </c>
      <c r="B1683" s="49" t="s">
        <v>2350</v>
      </c>
      <c r="C1683" s="49" t="s">
        <v>4101</v>
      </c>
      <c r="D1683" s="49" t="s">
        <v>2352</v>
      </c>
      <c r="E1683" s="49" t="str">
        <f aca="false">"8032754230220"</f>
        <v>8032754230220</v>
      </c>
      <c r="F1683" s="49" t="s">
        <v>4026</v>
      </c>
      <c r="G1683" s="49" t="n">
        <v>0</v>
      </c>
      <c r="H1683" s="0" t="n">
        <v>0</v>
      </c>
      <c r="M1683" s="51" t="s">
        <v>4027</v>
      </c>
      <c r="N1683" s="49" t="n">
        <v>0</v>
      </c>
      <c r="O1683" s="53" t="n">
        <v>45694.7376388889</v>
      </c>
      <c r="P1683" s="53" t="n">
        <v>45701.7862384259</v>
      </c>
      <c r="Q1683" s="53" t="n">
        <v>45694.7376388889</v>
      </c>
      <c r="R1683" s="0" t="n">
        <v>0</v>
      </c>
      <c r="S1683" s="51" t="s">
        <v>2401</v>
      </c>
      <c r="T1683" s="51" t="s">
        <v>2401</v>
      </c>
      <c r="U1683" s="0" t="str">
        <f aca="false">"8032754230220"</f>
        <v>8032754230220</v>
      </c>
      <c r="V1683" s="51" t="s">
        <v>2365</v>
      </c>
      <c r="W1683" s="51" t="s">
        <v>4102</v>
      </c>
      <c r="X1683" s="51" t="s">
        <v>2359</v>
      </c>
    </row>
    <row r="1684" customFormat="false" ht="14.25" hidden="true" customHeight="false" outlineLevel="0" collapsed="false">
      <c r="A1684" s="49" t="s">
        <v>2349</v>
      </c>
      <c r="B1684" s="49" t="s">
        <v>2350</v>
      </c>
      <c r="C1684" s="49" t="s">
        <v>4103</v>
      </c>
      <c r="D1684" s="49" t="s">
        <v>2352</v>
      </c>
      <c r="E1684" s="49" t="str">
        <f aca="false">"8032754230220"</f>
        <v>8032754230220</v>
      </c>
      <c r="F1684" s="49" t="s">
        <v>4026</v>
      </c>
      <c r="G1684" s="49" t="n">
        <v>0</v>
      </c>
      <c r="H1684" s="0" t="n">
        <v>0</v>
      </c>
      <c r="M1684" s="51" t="s">
        <v>4027</v>
      </c>
      <c r="N1684" s="49" t="n">
        <v>0</v>
      </c>
      <c r="O1684" s="53" t="n">
        <v>45694.7382060185</v>
      </c>
      <c r="P1684" s="53" t="n">
        <v>45701.7547106482</v>
      </c>
      <c r="Q1684" s="53" t="n">
        <v>45694.7382060185</v>
      </c>
      <c r="R1684" s="0" t="n">
        <v>0</v>
      </c>
      <c r="S1684" s="51" t="s">
        <v>2401</v>
      </c>
      <c r="T1684" s="51" t="s">
        <v>2401</v>
      </c>
      <c r="U1684" s="0" t="str">
        <f aca="false">"8032754230220"</f>
        <v>8032754230220</v>
      </c>
      <c r="V1684" s="51" t="s">
        <v>2365</v>
      </c>
      <c r="W1684" s="51" t="s">
        <v>4104</v>
      </c>
      <c r="X1684" s="51" t="s">
        <v>2359</v>
      </c>
    </row>
    <row r="1685" customFormat="false" ht="14.25" hidden="true" customHeight="false" outlineLevel="0" collapsed="false">
      <c r="A1685" s="49" t="s">
        <v>2349</v>
      </c>
      <c r="B1685" s="49" t="s">
        <v>2350</v>
      </c>
      <c r="C1685" s="49" t="s">
        <v>4105</v>
      </c>
      <c r="D1685" s="49" t="s">
        <v>2352</v>
      </c>
      <c r="E1685" s="49" t="str">
        <f aca="false">"8032754230220"</f>
        <v>8032754230220</v>
      </c>
      <c r="F1685" s="49" t="s">
        <v>4026</v>
      </c>
      <c r="G1685" s="49" t="n">
        <v>0</v>
      </c>
      <c r="H1685" s="0" t="n">
        <v>0</v>
      </c>
      <c r="M1685" s="51" t="s">
        <v>4027</v>
      </c>
      <c r="N1685" s="49" t="n">
        <v>0</v>
      </c>
      <c r="O1685" s="53" t="n">
        <v>45694.7280439815</v>
      </c>
      <c r="P1685" s="53" t="n">
        <v>45850.3533564815</v>
      </c>
      <c r="Q1685" s="53" t="n">
        <v>45694.7280439815</v>
      </c>
      <c r="R1685" s="0" t="n">
        <v>0</v>
      </c>
      <c r="S1685" s="51" t="s">
        <v>2401</v>
      </c>
      <c r="T1685" s="51" t="s">
        <v>2401</v>
      </c>
      <c r="U1685" s="0" t="str">
        <f aca="false">"8032754230220"</f>
        <v>8032754230220</v>
      </c>
      <c r="V1685" s="51" t="s">
        <v>2365</v>
      </c>
      <c r="W1685" s="51" t="s">
        <v>4106</v>
      </c>
      <c r="X1685" s="51" t="s">
        <v>2359</v>
      </c>
    </row>
    <row r="1686" customFormat="false" ht="14.25" hidden="true" customHeight="false" outlineLevel="0" collapsed="false">
      <c r="A1686" s="49" t="s">
        <v>2349</v>
      </c>
      <c r="B1686" s="49" t="s">
        <v>2350</v>
      </c>
      <c r="C1686" s="49" t="s">
        <v>4107</v>
      </c>
      <c r="D1686" s="49" t="s">
        <v>2352</v>
      </c>
      <c r="E1686" s="49" t="str">
        <f aca="false">"3760174985370"</f>
        <v>3760174985370</v>
      </c>
      <c r="F1686" s="49" t="s">
        <v>4108</v>
      </c>
      <c r="G1686" s="49" t="n">
        <v>0</v>
      </c>
      <c r="H1686" s="0" t="n">
        <v>0</v>
      </c>
      <c r="M1686" s="51" t="s">
        <v>4109</v>
      </c>
      <c r="N1686" s="49" t="n">
        <v>0</v>
      </c>
      <c r="O1686" s="53" t="n">
        <v>45701.5797222222</v>
      </c>
      <c r="P1686" s="53" t="n">
        <v>45706.8900810185</v>
      </c>
      <c r="Q1686" s="53" t="n">
        <v>45701.5797222222</v>
      </c>
      <c r="R1686" s="0" t="n">
        <v>0</v>
      </c>
      <c r="S1686" s="51" t="s">
        <v>2371</v>
      </c>
      <c r="T1686" s="51" t="s">
        <v>2371</v>
      </c>
      <c r="U1686" s="0" t="str">
        <f aca="false">"3760174985370"</f>
        <v>3760174985370</v>
      </c>
      <c r="V1686" s="51" t="s">
        <v>2365</v>
      </c>
      <c r="W1686" s="51" t="s">
        <v>4110</v>
      </c>
      <c r="X1686" s="51" t="s">
        <v>2359</v>
      </c>
    </row>
    <row r="1687" customFormat="false" ht="14.25" hidden="true" customHeight="false" outlineLevel="0" collapsed="false">
      <c r="A1687" s="49" t="s">
        <v>2349</v>
      </c>
      <c r="B1687" s="49" t="s">
        <v>2350</v>
      </c>
      <c r="C1687" s="49" t="s">
        <v>4111</v>
      </c>
      <c r="D1687" s="49" t="s">
        <v>2352</v>
      </c>
      <c r="E1687" s="49" t="str">
        <f aca="false">"8022180000139"</f>
        <v>8022180000139</v>
      </c>
      <c r="F1687" s="49" t="s">
        <v>4112</v>
      </c>
      <c r="G1687" s="49" t="n">
        <v>0</v>
      </c>
      <c r="H1687" s="0" t="n">
        <v>0</v>
      </c>
      <c r="M1687" s="51" t="s">
        <v>4109</v>
      </c>
      <c r="N1687" s="49" t="n">
        <v>0</v>
      </c>
      <c r="O1687" s="53" t="n">
        <v>45701.5811458333</v>
      </c>
      <c r="P1687" s="53" t="n">
        <v>45762.7241550926</v>
      </c>
      <c r="Q1687" s="53" t="n">
        <v>45701.5811458333</v>
      </c>
      <c r="R1687" s="0" t="n">
        <v>0</v>
      </c>
      <c r="S1687" s="51" t="s">
        <v>2371</v>
      </c>
      <c r="T1687" s="51" t="s">
        <v>2371</v>
      </c>
      <c r="U1687" s="0" t="str">
        <f aca="false">"8022180000139"</f>
        <v>8022180000139</v>
      </c>
      <c r="V1687" s="51" t="s">
        <v>2365</v>
      </c>
      <c r="W1687" s="51" t="s">
        <v>4113</v>
      </c>
      <c r="X1687" s="51" t="s">
        <v>2359</v>
      </c>
    </row>
    <row r="1688" customFormat="false" ht="14.25" hidden="true" customHeight="false" outlineLevel="0" collapsed="false">
      <c r="A1688" s="49" t="s">
        <v>2349</v>
      </c>
      <c r="B1688" s="49" t="s">
        <v>2350</v>
      </c>
      <c r="C1688" s="49" t="s">
        <v>4114</v>
      </c>
      <c r="D1688" s="49" t="s">
        <v>2352</v>
      </c>
      <c r="E1688" s="49" t="s">
        <v>4115</v>
      </c>
      <c r="F1688" s="49" t="s">
        <v>4116</v>
      </c>
      <c r="G1688" s="49" t="n">
        <v>0</v>
      </c>
      <c r="H1688" s="0" t="n">
        <v>0</v>
      </c>
      <c r="M1688" s="51" t="s">
        <v>4117</v>
      </c>
      <c r="N1688" s="49" t="n">
        <v>0</v>
      </c>
      <c r="O1688" s="53" t="n">
        <v>45699.7178935185</v>
      </c>
      <c r="P1688" s="53" t="n">
        <v>45732.390162037</v>
      </c>
      <c r="Q1688" s="53" t="n">
        <v>45699.7178935185</v>
      </c>
      <c r="R1688" s="0" t="n">
        <v>0</v>
      </c>
      <c r="S1688" s="51" t="s">
        <v>2356</v>
      </c>
      <c r="T1688" s="51" t="s">
        <v>2356</v>
      </c>
      <c r="U1688" s="51" t="s">
        <v>4115</v>
      </c>
      <c r="V1688" s="51" t="s">
        <v>2365</v>
      </c>
      <c r="W1688" s="51" t="s">
        <v>4118</v>
      </c>
      <c r="X1688" s="51" t="s">
        <v>2359</v>
      </c>
    </row>
    <row r="1689" customFormat="false" ht="14.25" hidden="true" customHeight="false" outlineLevel="0" collapsed="false">
      <c r="A1689" s="49" t="s">
        <v>2349</v>
      </c>
      <c r="B1689" s="49" t="s">
        <v>2350</v>
      </c>
      <c r="C1689" s="49" t="s">
        <v>4119</v>
      </c>
      <c r="D1689" s="49" t="s">
        <v>2352</v>
      </c>
      <c r="E1689" s="49" t="s">
        <v>4115</v>
      </c>
      <c r="F1689" s="49" t="s">
        <v>4116</v>
      </c>
      <c r="G1689" s="49" t="n">
        <v>0</v>
      </c>
      <c r="H1689" s="0" t="n">
        <v>0</v>
      </c>
      <c r="M1689" s="51" t="s">
        <v>4117</v>
      </c>
      <c r="N1689" s="49" t="n">
        <v>0</v>
      </c>
      <c r="O1689" s="53" t="n">
        <v>45699.7183217593</v>
      </c>
      <c r="P1689" s="53" t="n">
        <v>45703.6748032407</v>
      </c>
      <c r="Q1689" s="53" t="n">
        <v>45699.7183217593</v>
      </c>
      <c r="R1689" s="0" t="n">
        <v>0</v>
      </c>
      <c r="S1689" s="51" t="s">
        <v>2356</v>
      </c>
      <c r="T1689" s="51" t="s">
        <v>2356</v>
      </c>
      <c r="U1689" s="51" t="s">
        <v>4115</v>
      </c>
      <c r="V1689" s="51" t="s">
        <v>2365</v>
      </c>
      <c r="W1689" s="51" t="s">
        <v>4120</v>
      </c>
      <c r="X1689" s="51" t="s">
        <v>2359</v>
      </c>
    </row>
    <row r="1690" customFormat="false" ht="14.25" hidden="true" customHeight="false" outlineLevel="0" collapsed="false">
      <c r="A1690" s="49" t="s">
        <v>2349</v>
      </c>
      <c r="B1690" s="49" t="s">
        <v>2350</v>
      </c>
      <c r="C1690" s="49" t="s">
        <v>4121</v>
      </c>
      <c r="D1690" s="49" t="s">
        <v>2352</v>
      </c>
      <c r="E1690" s="49" t="s">
        <v>4115</v>
      </c>
      <c r="F1690" s="49" t="s">
        <v>4116</v>
      </c>
      <c r="G1690" s="49" t="n">
        <v>0</v>
      </c>
      <c r="H1690" s="0" t="n">
        <v>0</v>
      </c>
      <c r="M1690" s="51" t="s">
        <v>4117</v>
      </c>
      <c r="N1690" s="49" t="n">
        <v>0</v>
      </c>
      <c r="O1690" s="53" t="n">
        <v>45699.71875</v>
      </c>
      <c r="P1690" s="53" t="n">
        <v>45703.6748726852</v>
      </c>
      <c r="Q1690" s="53" t="n">
        <v>45699.71875</v>
      </c>
      <c r="R1690" s="0" t="n">
        <v>0</v>
      </c>
      <c r="S1690" s="51" t="s">
        <v>2356</v>
      </c>
      <c r="T1690" s="51" t="s">
        <v>2356</v>
      </c>
      <c r="U1690" s="51" t="s">
        <v>4115</v>
      </c>
      <c r="V1690" s="51" t="s">
        <v>2365</v>
      </c>
      <c r="W1690" s="51" t="s">
        <v>4122</v>
      </c>
      <c r="X1690" s="51" t="s">
        <v>2359</v>
      </c>
    </row>
    <row r="1691" customFormat="false" ht="14.25" hidden="true" customHeight="false" outlineLevel="0" collapsed="false">
      <c r="A1691" s="49" t="s">
        <v>2349</v>
      </c>
      <c r="B1691" s="49" t="s">
        <v>2350</v>
      </c>
      <c r="C1691" s="49" t="s">
        <v>4123</v>
      </c>
      <c r="D1691" s="49" t="s">
        <v>2352</v>
      </c>
      <c r="E1691" s="49" t="s">
        <v>4124</v>
      </c>
      <c r="F1691" s="49" t="s">
        <v>4125</v>
      </c>
      <c r="G1691" s="49" t="n">
        <v>0</v>
      </c>
      <c r="H1691" s="0" t="n">
        <v>0</v>
      </c>
      <c r="M1691" s="51" t="s">
        <v>4117</v>
      </c>
      <c r="N1691" s="49" t="n">
        <v>0</v>
      </c>
      <c r="O1691" s="53" t="n">
        <v>45699.719224537</v>
      </c>
      <c r="P1691" s="53" t="n">
        <v>45703.6747453704</v>
      </c>
      <c r="Q1691" s="53" t="n">
        <v>45699.719224537</v>
      </c>
      <c r="R1691" s="0" t="n">
        <v>0</v>
      </c>
      <c r="S1691" s="51" t="s">
        <v>2356</v>
      </c>
      <c r="T1691" s="51" t="s">
        <v>2356</v>
      </c>
      <c r="U1691" s="51" t="s">
        <v>4124</v>
      </c>
      <c r="V1691" s="51" t="s">
        <v>2365</v>
      </c>
      <c r="W1691" s="51" t="s">
        <v>4126</v>
      </c>
      <c r="X1691" s="51" t="s">
        <v>2359</v>
      </c>
    </row>
    <row r="1692" customFormat="false" ht="14.25" hidden="true" customHeight="false" outlineLevel="0" collapsed="false">
      <c r="A1692" s="49" t="s">
        <v>2349</v>
      </c>
      <c r="B1692" s="49" t="s">
        <v>2350</v>
      </c>
      <c r="C1692" s="49" t="s">
        <v>4127</v>
      </c>
      <c r="D1692" s="49" t="s">
        <v>2352</v>
      </c>
      <c r="E1692" s="49" t="s">
        <v>4124</v>
      </c>
      <c r="F1692" s="49" t="s">
        <v>4125</v>
      </c>
      <c r="G1692" s="49" t="n">
        <v>0</v>
      </c>
      <c r="H1692" s="0" t="n">
        <v>0</v>
      </c>
      <c r="M1692" s="51" t="s">
        <v>4117</v>
      </c>
      <c r="N1692" s="49" t="n">
        <v>0</v>
      </c>
      <c r="O1692" s="53" t="n">
        <v>45699.7196643519</v>
      </c>
      <c r="P1692" s="53" t="n">
        <v>45732.9218634259</v>
      </c>
      <c r="Q1692" s="53" t="n">
        <v>45699.7196643519</v>
      </c>
      <c r="R1692" s="0" t="n">
        <v>0</v>
      </c>
      <c r="S1692" s="51" t="s">
        <v>2356</v>
      </c>
      <c r="T1692" s="51" t="s">
        <v>2356</v>
      </c>
      <c r="U1692" s="51" t="s">
        <v>4124</v>
      </c>
      <c r="V1692" s="51" t="s">
        <v>2365</v>
      </c>
      <c r="W1692" s="51" t="s">
        <v>4128</v>
      </c>
      <c r="X1692" s="51" t="s">
        <v>2359</v>
      </c>
    </row>
    <row r="1693" customFormat="false" ht="14.25" hidden="true" customHeight="false" outlineLevel="0" collapsed="false">
      <c r="A1693" s="49" t="s">
        <v>2349</v>
      </c>
      <c r="B1693" s="49" t="s">
        <v>2350</v>
      </c>
      <c r="C1693" s="49" t="s">
        <v>4129</v>
      </c>
      <c r="D1693" s="49" t="s">
        <v>2352</v>
      </c>
      <c r="E1693" s="49" t="s">
        <v>4124</v>
      </c>
      <c r="F1693" s="49" t="s">
        <v>4125</v>
      </c>
      <c r="G1693" s="49" t="n">
        <v>0</v>
      </c>
      <c r="H1693" s="0" t="n">
        <v>0</v>
      </c>
      <c r="M1693" s="51" t="s">
        <v>4117</v>
      </c>
      <c r="N1693" s="49" t="n">
        <v>0</v>
      </c>
      <c r="O1693" s="53" t="n">
        <v>45699.7200462963</v>
      </c>
      <c r="P1693" s="53" t="n">
        <v>45703.6740046296</v>
      </c>
      <c r="Q1693" s="53" t="n">
        <v>45699.7200462963</v>
      </c>
      <c r="R1693" s="0" t="n">
        <v>0</v>
      </c>
      <c r="S1693" s="51" t="s">
        <v>2356</v>
      </c>
      <c r="T1693" s="51" t="s">
        <v>2356</v>
      </c>
      <c r="U1693" s="51" t="s">
        <v>4124</v>
      </c>
      <c r="V1693" s="51" t="s">
        <v>2365</v>
      </c>
      <c r="W1693" s="51" t="s">
        <v>4130</v>
      </c>
      <c r="X1693" s="51" t="s">
        <v>2359</v>
      </c>
    </row>
    <row r="1694" customFormat="false" ht="14.25" hidden="true" customHeight="false" outlineLevel="0" collapsed="false">
      <c r="A1694" s="49" t="s">
        <v>2349</v>
      </c>
      <c r="B1694" s="49" t="s">
        <v>2350</v>
      </c>
      <c r="C1694" s="49" t="s">
        <v>4131</v>
      </c>
      <c r="D1694" s="49" t="s">
        <v>2352</v>
      </c>
      <c r="E1694" s="49" t="s">
        <v>4124</v>
      </c>
      <c r="F1694" s="49" t="s">
        <v>4125</v>
      </c>
      <c r="G1694" s="49" t="n">
        <v>0</v>
      </c>
      <c r="H1694" s="0" t="n">
        <v>0</v>
      </c>
      <c r="M1694" s="51" t="s">
        <v>4117</v>
      </c>
      <c r="N1694" s="49" t="n">
        <v>0</v>
      </c>
      <c r="O1694" s="53" t="n">
        <v>45699.7206481482</v>
      </c>
      <c r="P1694" s="53" t="n">
        <v>45703.6745949074</v>
      </c>
      <c r="Q1694" s="53" t="n">
        <v>45699.7206481482</v>
      </c>
      <c r="R1694" s="0" t="n">
        <v>0</v>
      </c>
      <c r="S1694" s="51" t="s">
        <v>2356</v>
      </c>
      <c r="T1694" s="51" t="s">
        <v>2356</v>
      </c>
      <c r="U1694" s="51" t="s">
        <v>4124</v>
      </c>
      <c r="V1694" s="51" t="s">
        <v>2365</v>
      </c>
      <c r="W1694" s="51" t="s">
        <v>4132</v>
      </c>
      <c r="X1694" s="51" t="s">
        <v>2359</v>
      </c>
    </row>
    <row r="1695" customFormat="false" ht="14.25" hidden="true" customHeight="false" outlineLevel="0" collapsed="false">
      <c r="A1695" s="49" t="s">
        <v>2349</v>
      </c>
      <c r="B1695" s="49" t="s">
        <v>2350</v>
      </c>
      <c r="C1695" s="49" t="s">
        <v>4133</v>
      </c>
      <c r="D1695" s="49" t="s">
        <v>2352</v>
      </c>
      <c r="E1695" s="49" t="s">
        <v>4124</v>
      </c>
      <c r="F1695" s="49" t="s">
        <v>4125</v>
      </c>
      <c r="G1695" s="49" t="n">
        <v>0</v>
      </c>
      <c r="H1695" s="0" t="n">
        <v>0</v>
      </c>
      <c r="M1695" s="51" t="s">
        <v>4117</v>
      </c>
      <c r="N1695" s="49" t="n">
        <v>0</v>
      </c>
      <c r="O1695" s="53" t="n">
        <v>45699.7234953704</v>
      </c>
      <c r="P1695" s="53" t="n">
        <v>45703.6738541667</v>
      </c>
      <c r="Q1695" s="53" t="n">
        <v>45699.7234953704</v>
      </c>
      <c r="R1695" s="0" t="n">
        <v>0</v>
      </c>
      <c r="S1695" s="51" t="s">
        <v>2356</v>
      </c>
      <c r="T1695" s="51" t="s">
        <v>2356</v>
      </c>
      <c r="U1695" s="51" t="s">
        <v>4124</v>
      </c>
      <c r="V1695" s="51" t="s">
        <v>2365</v>
      </c>
      <c r="W1695" s="51" t="s">
        <v>4134</v>
      </c>
      <c r="X1695" s="51" t="s">
        <v>2359</v>
      </c>
    </row>
    <row r="1696" customFormat="false" ht="14.25" hidden="true" customHeight="false" outlineLevel="0" collapsed="false">
      <c r="A1696" s="49" t="s">
        <v>2349</v>
      </c>
      <c r="B1696" s="49" t="s">
        <v>2350</v>
      </c>
      <c r="C1696" s="49" t="s">
        <v>4135</v>
      </c>
      <c r="D1696" s="49" t="s">
        <v>2352</v>
      </c>
      <c r="E1696" s="49" t="s">
        <v>4124</v>
      </c>
      <c r="F1696" s="49" t="s">
        <v>4125</v>
      </c>
      <c r="G1696" s="49" t="n">
        <v>0</v>
      </c>
      <c r="H1696" s="0" t="n">
        <v>0</v>
      </c>
      <c r="M1696" s="51" t="s">
        <v>4117</v>
      </c>
      <c r="N1696" s="49" t="n">
        <v>0</v>
      </c>
      <c r="O1696" s="53" t="n">
        <v>45699.7246296296</v>
      </c>
      <c r="P1696" s="53" t="n">
        <v>45703.6750231482</v>
      </c>
      <c r="Q1696" s="53" t="n">
        <v>45699.7246296296</v>
      </c>
      <c r="R1696" s="0" t="n">
        <v>0</v>
      </c>
      <c r="S1696" s="51" t="s">
        <v>2356</v>
      </c>
      <c r="T1696" s="51" t="s">
        <v>2356</v>
      </c>
      <c r="U1696" s="51" t="s">
        <v>4124</v>
      </c>
      <c r="V1696" s="51" t="s">
        <v>2365</v>
      </c>
      <c r="W1696" s="51" t="s">
        <v>4136</v>
      </c>
      <c r="X1696" s="51" t="s">
        <v>2359</v>
      </c>
    </row>
    <row r="1697" customFormat="false" ht="14.25" hidden="true" customHeight="false" outlineLevel="0" collapsed="false">
      <c r="A1697" s="49" t="s">
        <v>2349</v>
      </c>
      <c r="B1697" s="49" t="s">
        <v>2350</v>
      </c>
      <c r="C1697" s="49" t="s">
        <v>4137</v>
      </c>
      <c r="D1697" s="49" t="s">
        <v>2352</v>
      </c>
      <c r="E1697" s="49" t="s">
        <v>4124</v>
      </c>
      <c r="F1697" s="49" t="s">
        <v>4125</v>
      </c>
      <c r="G1697" s="49" t="n">
        <v>0</v>
      </c>
      <c r="H1697" s="0" t="n">
        <v>0</v>
      </c>
      <c r="M1697" s="51" t="s">
        <v>4117</v>
      </c>
      <c r="N1697" s="49" t="n">
        <v>0</v>
      </c>
      <c r="O1697" s="53" t="n">
        <v>45699.725625</v>
      </c>
      <c r="P1697" s="53" t="n">
        <v>45701.7832060185</v>
      </c>
      <c r="Q1697" s="53" t="n">
        <v>45699.725625</v>
      </c>
      <c r="R1697" s="0" t="n">
        <v>0</v>
      </c>
      <c r="S1697" s="51" t="s">
        <v>2356</v>
      </c>
      <c r="T1697" s="51" t="s">
        <v>2356</v>
      </c>
      <c r="U1697" s="51" t="s">
        <v>4124</v>
      </c>
      <c r="V1697" s="51" t="s">
        <v>2365</v>
      </c>
      <c r="W1697" s="51" t="s">
        <v>4138</v>
      </c>
      <c r="X1697" s="51" t="s">
        <v>2359</v>
      </c>
    </row>
    <row r="1698" customFormat="false" ht="14.25" hidden="true" customHeight="false" outlineLevel="0" collapsed="false">
      <c r="A1698" s="49" t="s">
        <v>2349</v>
      </c>
      <c r="B1698" s="49" t="s">
        <v>2350</v>
      </c>
      <c r="C1698" s="49" t="s">
        <v>4139</v>
      </c>
      <c r="D1698" s="49" t="s">
        <v>2352</v>
      </c>
      <c r="E1698" s="49" t="s">
        <v>4140</v>
      </c>
      <c r="F1698" s="49" t="s">
        <v>4141</v>
      </c>
      <c r="G1698" s="49" t="n">
        <v>0</v>
      </c>
      <c r="H1698" s="0" t="n">
        <v>0</v>
      </c>
      <c r="M1698" s="51" t="s">
        <v>4117</v>
      </c>
      <c r="N1698" s="49" t="n">
        <v>0</v>
      </c>
      <c r="O1698" s="53" t="n">
        <v>45699.7265740741</v>
      </c>
      <c r="P1698" s="53" t="n">
        <v>45732.3905092593</v>
      </c>
      <c r="Q1698" s="53" t="n">
        <v>45699.7265740741</v>
      </c>
      <c r="R1698" s="0" t="n">
        <v>0</v>
      </c>
      <c r="S1698" s="51" t="s">
        <v>2356</v>
      </c>
      <c r="T1698" s="51" t="s">
        <v>2356</v>
      </c>
      <c r="U1698" s="51" t="s">
        <v>4140</v>
      </c>
      <c r="V1698" s="51" t="s">
        <v>3740</v>
      </c>
      <c r="W1698" s="51" t="s">
        <v>4142</v>
      </c>
      <c r="X1698" s="51" t="s">
        <v>2359</v>
      </c>
    </row>
    <row r="1699" customFormat="false" ht="14.25" hidden="true" customHeight="false" outlineLevel="0" collapsed="false">
      <c r="A1699" s="49" t="s">
        <v>2349</v>
      </c>
      <c r="B1699" s="49" t="s">
        <v>2350</v>
      </c>
      <c r="C1699" s="49" t="s">
        <v>4143</v>
      </c>
      <c r="D1699" s="49" t="s">
        <v>2352</v>
      </c>
      <c r="E1699" s="49" t="s">
        <v>4124</v>
      </c>
      <c r="F1699" s="49" t="s">
        <v>4125</v>
      </c>
      <c r="G1699" s="49" t="n">
        <v>0</v>
      </c>
      <c r="H1699" s="0" t="n">
        <v>0</v>
      </c>
      <c r="M1699" s="51" t="s">
        <v>4117</v>
      </c>
      <c r="N1699" s="49" t="n">
        <v>0</v>
      </c>
      <c r="O1699" s="53" t="n">
        <v>45699.7408912037</v>
      </c>
      <c r="P1699" s="53" t="n">
        <v>45726.4508101852</v>
      </c>
      <c r="Q1699" s="53" t="n">
        <v>45699.7408912037</v>
      </c>
      <c r="R1699" s="0" t="n">
        <v>0</v>
      </c>
      <c r="S1699" s="51" t="s">
        <v>2356</v>
      </c>
      <c r="T1699" s="51" t="s">
        <v>2356</v>
      </c>
      <c r="U1699" s="51" t="s">
        <v>4124</v>
      </c>
      <c r="V1699" s="51" t="s">
        <v>2365</v>
      </c>
      <c r="W1699" s="51" t="s">
        <v>4144</v>
      </c>
      <c r="X1699" s="51" t="s">
        <v>2359</v>
      </c>
    </row>
    <row r="1700" customFormat="false" ht="14.25" hidden="true" customHeight="false" outlineLevel="0" collapsed="false">
      <c r="A1700" s="49" t="s">
        <v>2349</v>
      </c>
      <c r="B1700" s="49" t="s">
        <v>2350</v>
      </c>
      <c r="C1700" s="49" t="s">
        <v>4145</v>
      </c>
      <c r="D1700" s="49" t="s">
        <v>2352</v>
      </c>
      <c r="E1700" s="49" t="s">
        <v>4124</v>
      </c>
      <c r="F1700" s="49" t="s">
        <v>4125</v>
      </c>
      <c r="G1700" s="49" t="n">
        <v>0</v>
      </c>
      <c r="H1700" s="0" t="n">
        <v>0</v>
      </c>
      <c r="M1700" s="51" t="s">
        <v>4117</v>
      </c>
      <c r="N1700" s="49" t="n">
        <v>0</v>
      </c>
      <c r="O1700" s="53" t="n">
        <v>45699.7407291667</v>
      </c>
      <c r="P1700" s="53" t="n">
        <v>45732.9223842593</v>
      </c>
      <c r="Q1700" s="53" t="n">
        <v>45699.7407291667</v>
      </c>
      <c r="R1700" s="0" t="n">
        <v>0</v>
      </c>
      <c r="S1700" s="51" t="s">
        <v>2356</v>
      </c>
      <c r="T1700" s="51" t="s">
        <v>2356</v>
      </c>
      <c r="U1700" s="51" t="s">
        <v>4124</v>
      </c>
      <c r="V1700" s="51" t="s">
        <v>2365</v>
      </c>
      <c r="W1700" s="51" t="s">
        <v>4146</v>
      </c>
      <c r="X1700" s="51" t="s">
        <v>2359</v>
      </c>
    </row>
    <row r="1701" customFormat="false" ht="14.25" hidden="true" customHeight="false" outlineLevel="0" collapsed="false">
      <c r="A1701" s="49" t="s">
        <v>2349</v>
      </c>
      <c r="B1701" s="49" t="s">
        <v>2350</v>
      </c>
      <c r="C1701" s="49" t="s">
        <v>4147</v>
      </c>
      <c r="D1701" s="49" t="s">
        <v>2352</v>
      </c>
      <c r="E1701" s="49" t="s">
        <v>4148</v>
      </c>
      <c r="F1701" s="49" t="s">
        <v>4149</v>
      </c>
      <c r="G1701" s="49" t="n">
        <v>0</v>
      </c>
      <c r="H1701" s="0" t="n">
        <v>0</v>
      </c>
      <c r="M1701" s="51" t="s">
        <v>4117</v>
      </c>
      <c r="N1701" s="49" t="n">
        <v>0</v>
      </c>
      <c r="O1701" s="53" t="n">
        <v>45699.740462963</v>
      </c>
      <c r="P1701" s="53" t="n">
        <v>45722.5855439815</v>
      </c>
      <c r="Q1701" s="53" t="n">
        <v>45699.740462963</v>
      </c>
      <c r="R1701" s="0" t="n">
        <v>0</v>
      </c>
      <c r="S1701" s="51" t="s">
        <v>2356</v>
      </c>
      <c r="T1701" s="51" t="s">
        <v>2356</v>
      </c>
      <c r="U1701" s="51" t="s">
        <v>4148</v>
      </c>
      <c r="V1701" s="51" t="s">
        <v>2365</v>
      </c>
      <c r="W1701" s="51" t="s">
        <v>4150</v>
      </c>
      <c r="X1701" s="51" t="s">
        <v>2359</v>
      </c>
    </row>
    <row r="1702" customFormat="false" ht="14.25" hidden="true" customHeight="false" outlineLevel="0" collapsed="false">
      <c r="A1702" s="49" t="s">
        <v>2349</v>
      </c>
      <c r="B1702" s="49" t="s">
        <v>2350</v>
      </c>
      <c r="C1702" s="49" t="s">
        <v>4151</v>
      </c>
      <c r="D1702" s="49" t="s">
        <v>2352</v>
      </c>
      <c r="E1702" s="49" t="s">
        <v>4148</v>
      </c>
      <c r="F1702" s="49" t="s">
        <v>4149</v>
      </c>
      <c r="G1702" s="49" t="n">
        <v>0</v>
      </c>
      <c r="H1702" s="0" t="n">
        <v>0</v>
      </c>
      <c r="M1702" s="51" t="s">
        <v>4117</v>
      </c>
      <c r="N1702" s="49" t="n">
        <v>0</v>
      </c>
      <c r="O1702" s="53" t="n">
        <v>45699.7402314815</v>
      </c>
      <c r="P1702" s="53" t="n">
        <v>45713.5866782407</v>
      </c>
      <c r="Q1702" s="53" t="n">
        <v>45699.7402314815</v>
      </c>
      <c r="R1702" s="0" t="n">
        <v>0</v>
      </c>
      <c r="S1702" s="51" t="s">
        <v>2356</v>
      </c>
      <c r="T1702" s="51" t="s">
        <v>2356</v>
      </c>
      <c r="U1702" s="51" t="s">
        <v>4148</v>
      </c>
      <c r="V1702" s="51" t="s">
        <v>2365</v>
      </c>
      <c r="W1702" s="51" t="s">
        <v>4152</v>
      </c>
      <c r="X1702" s="51" t="s">
        <v>2359</v>
      </c>
    </row>
    <row r="1703" customFormat="false" ht="14.25" hidden="true" customHeight="false" outlineLevel="0" collapsed="false">
      <c r="A1703" s="49" t="s">
        <v>2349</v>
      </c>
      <c r="B1703" s="49" t="s">
        <v>2350</v>
      </c>
      <c r="C1703" s="49" t="s">
        <v>4153</v>
      </c>
      <c r="D1703" s="49" t="s">
        <v>2352</v>
      </c>
      <c r="E1703" s="49" t="s">
        <v>4124</v>
      </c>
      <c r="F1703" s="49" t="s">
        <v>4125</v>
      </c>
      <c r="G1703" s="49" t="n">
        <v>0</v>
      </c>
      <c r="H1703" s="0" t="n">
        <v>0</v>
      </c>
      <c r="M1703" s="51" t="s">
        <v>4117</v>
      </c>
      <c r="N1703" s="49" t="n">
        <v>0</v>
      </c>
      <c r="O1703" s="53" t="n">
        <v>45699.8298263889</v>
      </c>
      <c r="P1703" s="53" t="n">
        <v>45741.683275463</v>
      </c>
      <c r="Q1703" s="53" t="n">
        <v>45699.8298263889</v>
      </c>
      <c r="R1703" s="0" t="n">
        <v>0</v>
      </c>
      <c r="S1703" s="51" t="s">
        <v>2356</v>
      </c>
      <c r="T1703" s="51" t="s">
        <v>2356</v>
      </c>
      <c r="U1703" s="51" t="s">
        <v>4124</v>
      </c>
      <c r="V1703" s="51" t="s">
        <v>2365</v>
      </c>
      <c r="W1703" s="51" t="s">
        <v>4154</v>
      </c>
      <c r="X1703" s="51" t="s">
        <v>2359</v>
      </c>
    </row>
    <row r="1704" customFormat="false" ht="14.25" hidden="true" customHeight="false" outlineLevel="0" collapsed="false">
      <c r="A1704" s="49" t="s">
        <v>2349</v>
      </c>
      <c r="B1704" s="49" t="s">
        <v>2350</v>
      </c>
      <c r="C1704" s="49" t="s">
        <v>4155</v>
      </c>
      <c r="D1704" s="49" t="s">
        <v>2352</v>
      </c>
      <c r="E1704" s="49" t="str">
        <f aca="false">"202187781202"</f>
        <v>202187781202</v>
      </c>
      <c r="F1704" s="49" t="s">
        <v>2386</v>
      </c>
      <c r="G1704" s="49" t="n">
        <v>0</v>
      </c>
      <c r="H1704" s="0" t="n">
        <v>0</v>
      </c>
      <c r="M1704" s="51" t="s">
        <v>4156</v>
      </c>
      <c r="N1704" s="49" t="n">
        <v>0</v>
      </c>
      <c r="O1704" s="53" t="n">
        <v>45701.582025463</v>
      </c>
      <c r="P1704" s="53" t="n">
        <v>45776.8973263889</v>
      </c>
      <c r="Q1704" s="53" t="n">
        <v>45701.582025463</v>
      </c>
      <c r="R1704" s="0" t="n">
        <v>0</v>
      </c>
      <c r="S1704" s="51" t="s">
        <v>2371</v>
      </c>
      <c r="T1704" s="51" t="s">
        <v>2371</v>
      </c>
      <c r="U1704" s="0" t="str">
        <f aca="false">"202187781202"</f>
        <v>202187781202</v>
      </c>
      <c r="V1704" s="51" t="s">
        <v>2365</v>
      </c>
      <c r="W1704" s="51" t="s">
        <v>4157</v>
      </c>
      <c r="X1704" s="51" t="s">
        <v>2359</v>
      </c>
    </row>
    <row r="1705" customFormat="false" ht="14.25" hidden="true" customHeight="false" outlineLevel="0" collapsed="false">
      <c r="A1705" s="49" t="s">
        <v>2349</v>
      </c>
      <c r="B1705" s="49" t="s">
        <v>2350</v>
      </c>
      <c r="C1705" s="49" t="s">
        <v>4158</v>
      </c>
      <c r="D1705" s="49" t="s">
        <v>2352</v>
      </c>
      <c r="E1705" s="49" t="s">
        <v>4148</v>
      </c>
      <c r="F1705" s="49" t="s">
        <v>4149</v>
      </c>
      <c r="G1705" s="49" t="n">
        <v>0</v>
      </c>
      <c r="H1705" s="0" t="n">
        <v>0</v>
      </c>
      <c r="M1705" s="51" t="s">
        <v>4159</v>
      </c>
      <c r="N1705" s="49" t="n">
        <v>0</v>
      </c>
      <c r="O1705" s="53" t="n">
        <v>45700.3945949074</v>
      </c>
      <c r="P1705" s="53" t="n">
        <v>45784.6099768519</v>
      </c>
      <c r="Q1705" s="53" t="n">
        <v>45700.3945949074</v>
      </c>
      <c r="R1705" s="0" t="n">
        <v>0</v>
      </c>
      <c r="S1705" s="51" t="s">
        <v>2356</v>
      </c>
      <c r="T1705" s="51" t="s">
        <v>2356</v>
      </c>
      <c r="U1705" s="51" t="s">
        <v>4148</v>
      </c>
      <c r="V1705" s="51" t="s">
        <v>2365</v>
      </c>
      <c r="W1705" s="51" t="s">
        <v>4160</v>
      </c>
      <c r="X1705" s="51" t="s">
        <v>2359</v>
      </c>
    </row>
    <row r="1706" customFormat="false" ht="14.25" hidden="true" customHeight="false" outlineLevel="0" collapsed="false">
      <c r="A1706" s="49" t="s">
        <v>2349</v>
      </c>
      <c r="B1706" s="49" t="s">
        <v>2350</v>
      </c>
      <c r="C1706" s="49" t="s">
        <v>4161</v>
      </c>
      <c r="D1706" s="49" t="s">
        <v>2352</v>
      </c>
      <c r="E1706" s="49" t="str">
        <f aca="false">"12560759"</f>
        <v>12560759</v>
      </c>
      <c r="F1706" s="49" t="s">
        <v>4162</v>
      </c>
      <c r="G1706" s="49" t="n">
        <v>0</v>
      </c>
      <c r="H1706" s="0" t="n">
        <v>0</v>
      </c>
      <c r="M1706" s="51" t="s">
        <v>4163</v>
      </c>
      <c r="N1706" s="49" t="n">
        <v>0</v>
      </c>
      <c r="O1706" s="53" t="n">
        <v>45694.4941550926</v>
      </c>
      <c r="P1706" s="53" t="n">
        <v>45696.4702662037</v>
      </c>
      <c r="Q1706" s="53" t="n">
        <v>45694.4941550926</v>
      </c>
      <c r="R1706" s="0" t="n">
        <v>0</v>
      </c>
      <c r="S1706" s="51" t="s">
        <v>2371</v>
      </c>
      <c r="T1706" s="51" t="s">
        <v>2371</v>
      </c>
      <c r="U1706" s="0" t="str">
        <f aca="false">"12560759"</f>
        <v>12560759</v>
      </c>
      <c r="V1706" s="51" t="s">
        <v>2365</v>
      </c>
      <c r="W1706" s="51" t="s">
        <v>4164</v>
      </c>
      <c r="X1706" s="51" t="s">
        <v>2359</v>
      </c>
    </row>
    <row r="1707" customFormat="false" ht="14.25" hidden="true" customHeight="false" outlineLevel="0" collapsed="false">
      <c r="A1707" s="49" t="s">
        <v>2349</v>
      </c>
      <c r="B1707" s="49" t="s">
        <v>2350</v>
      </c>
      <c r="C1707" s="49" t="s">
        <v>4165</v>
      </c>
      <c r="D1707" s="49" t="s">
        <v>2352</v>
      </c>
      <c r="E1707" s="49" t="s">
        <v>4166</v>
      </c>
      <c r="F1707" s="49" t="s">
        <v>4167</v>
      </c>
      <c r="G1707" s="49" t="n">
        <v>0</v>
      </c>
      <c r="H1707" s="0" t="n">
        <v>0</v>
      </c>
      <c r="M1707" s="51" t="s">
        <v>4168</v>
      </c>
      <c r="N1707" s="49" t="n">
        <v>0</v>
      </c>
      <c r="O1707" s="53" t="n">
        <v>45699.4068518519</v>
      </c>
      <c r="P1707" s="53" t="n">
        <v>45701.7827314815</v>
      </c>
      <c r="Q1707" s="53" t="n">
        <v>45699.4068518519</v>
      </c>
      <c r="R1707" s="0" t="n">
        <v>0</v>
      </c>
      <c r="S1707" s="51" t="s">
        <v>2356</v>
      </c>
      <c r="T1707" s="51" t="s">
        <v>2356</v>
      </c>
      <c r="U1707" s="51" t="s">
        <v>4166</v>
      </c>
      <c r="V1707" s="51" t="s">
        <v>2365</v>
      </c>
      <c r="W1707" s="51" t="s">
        <v>4169</v>
      </c>
      <c r="X1707" s="51" t="s">
        <v>2359</v>
      </c>
    </row>
    <row r="1708" customFormat="false" ht="14.25" hidden="true" customHeight="false" outlineLevel="0" collapsed="false">
      <c r="A1708" s="49" t="s">
        <v>2349</v>
      </c>
      <c r="B1708" s="49" t="s">
        <v>2350</v>
      </c>
      <c r="C1708" s="49" t="s">
        <v>4170</v>
      </c>
      <c r="D1708" s="49" t="s">
        <v>2352</v>
      </c>
      <c r="E1708" s="49" t="s">
        <v>4166</v>
      </c>
      <c r="F1708" s="49" t="s">
        <v>4167</v>
      </c>
      <c r="G1708" s="49" t="n">
        <v>0</v>
      </c>
      <c r="H1708" s="0" t="n">
        <v>0</v>
      </c>
      <c r="M1708" s="51" t="s">
        <v>4168</v>
      </c>
      <c r="N1708" s="49" t="n">
        <v>0</v>
      </c>
      <c r="O1708" s="53" t="n">
        <v>45699.4066550926</v>
      </c>
      <c r="P1708" s="53" t="n">
        <v>45719.5915393519</v>
      </c>
      <c r="Q1708" s="53" t="n">
        <v>45699.4066550926</v>
      </c>
      <c r="R1708" s="0" t="n">
        <v>0</v>
      </c>
      <c r="S1708" s="51" t="s">
        <v>2356</v>
      </c>
      <c r="T1708" s="51" t="s">
        <v>2356</v>
      </c>
      <c r="U1708" s="51" t="s">
        <v>4166</v>
      </c>
      <c r="V1708" s="51" t="s">
        <v>2365</v>
      </c>
      <c r="W1708" s="51" t="s">
        <v>4171</v>
      </c>
      <c r="X1708" s="51" t="s">
        <v>2359</v>
      </c>
    </row>
    <row r="1709" customFormat="false" ht="14.25" hidden="true" customHeight="false" outlineLevel="0" collapsed="false">
      <c r="A1709" s="49" t="s">
        <v>2349</v>
      </c>
      <c r="B1709" s="49" t="s">
        <v>2350</v>
      </c>
      <c r="C1709" s="49" t="s">
        <v>4172</v>
      </c>
      <c r="D1709" s="49" t="s">
        <v>2352</v>
      </c>
      <c r="E1709" s="49" t="s">
        <v>4166</v>
      </c>
      <c r="F1709" s="49" t="s">
        <v>4167</v>
      </c>
      <c r="G1709" s="49" t="n">
        <v>0</v>
      </c>
      <c r="H1709" s="0" t="n">
        <v>0</v>
      </c>
      <c r="M1709" s="51" t="s">
        <v>4168</v>
      </c>
      <c r="N1709" s="49" t="n">
        <v>0</v>
      </c>
      <c r="O1709" s="53" t="n">
        <v>45699.4064583333</v>
      </c>
      <c r="P1709" s="53" t="n">
        <v>45701.7829166667</v>
      </c>
      <c r="Q1709" s="53" t="n">
        <v>45699.4064583333</v>
      </c>
      <c r="R1709" s="0" t="n">
        <v>0</v>
      </c>
      <c r="S1709" s="51" t="s">
        <v>2356</v>
      </c>
      <c r="T1709" s="51" t="s">
        <v>2356</v>
      </c>
      <c r="U1709" s="51" t="s">
        <v>4166</v>
      </c>
      <c r="V1709" s="51" t="s">
        <v>2365</v>
      </c>
      <c r="W1709" s="51" t="s">
        <v>4173</v>
      </c>
      <c r="X1709" s="51" t="s">
        <v>2359</v>
      </c>
    </row>
    <row r="1710" customFormat="false" ht="14.25" hidden="true" customHeight="false" outlineLevel="0" collapsed="false">
      <c r="A1710" s="49" t="s">
        <v>2349</v>
      </c>
      <c r="B1710" s="49" t="s">
        <v>2350</v>
      </c>
      <c r="C1710" s="49" t="s">
        <v>4174</v>
      </c>
      <c r="D1710" s="49" t="s">
        <v>2352</v>
      </c>
      <c r="E1710" s="49" t="s">
        <v>4166</v>
      </c>
      <c r="F1710" s="49" t="s">
        <v>4167</v>
      </c>
      <c r="G1710" s="49" t="n">
        <v>0</v>
      </c>
      <c r="H1710" s="0" t="n">
        <v>0</v>
      </c>
      <c r="M1710" s="51" t="s">
        <v>4168</v>
      </c>
      <c r="N1710" s="49" t="n">
        <v>0</v>
      </c>
      <c r="O1710" s="53" t="n">
        <v>45699.4062615741</v>
      </c>
      <c r="P1710" s="53" t="n">
        <v>45701.7827777778</v>
      </c>
      <c r="Q1710" s="53" t="n">
        <v>45699.4062615741</v>
      </c>
      <c r="R1710" s="0" t="n">
        <v>0</v>
      </c>
      <c r="S1710" s="51" t="s">
        <v>2356</v>
      </c>
      <c r="T1710" s="51" t="s">
        <v>2356</v>
      </c>
      <c r="U1710" s="51" t="s">
        <v>4166</v>
      </c>
      <c r="V1710" s="51" t="s">
        <v>2365</v>
      </c>
      <c r="W1710" s="51" t="s">
        <v>4175</v>
      </c>
      <c r="X1710" s="51" t="s">
        <v>2359</v>
      </c>
    </row>
    <row r="1711" customFormat="false" ht="14.25" hidden="true" customHeight="false" outlineLevel="0" collapsed="false">
      <c r="A1711" s="49" t="s">
        <v>2349</v>
      </c>
      <c r="B1711" s="49" t="s">
        <v>2350</v>
      </c>
      <c r="C1711" s="49" t="s">
        <v>4176</v>
      </c>
      <c r="D1711" s="49" t="s">
        <v>2352</v>
      </c>
      <c r="E1711" s="49" t="s">
        <v>3633</v>
      </c>
      <c r="F1711" s="49" t="s">
        <v>3634</v>
      </c>
      <c r="G1711" s="49" t="n">
        <v>0</v>
      </c>
      <c r="H1711" s="0" t="n">
        <v>0</v>
      </c>
      <c r="M1711" s="51" t="s">
        <v>4177</v>
      </c>
      <c r="N1711" s="49" t="n">
        <v>0</v>
      </c>
      <c r="O1711" s="53" t="n">
        <v>45689.425462963</v>
      </c>
      <c r="P1711" s="53" t="n">
        <v>45708.6386574074</v>
      </c>
      <c r="Q1711" s="53" t="n">
        <v>45689.425462963</v>
      </c>
      <c r="R1711" s="0" t="n">
        <v>0</v>
      </c>
      <c r="S1711" s="51" t="s">
        <v>2356</v>
      </c>
      <c r="T1711" s="51" t="s">
        <v>2356</v>
      </c>
      <c r="U1711" s="51" t="s">
        <v>3633</v>
      </c>
      <c r="V1711" s="51" t="s">
        <v>2357</v>
      </c>
      <c r="W1711" s="51" t="s">
        <v>3681</v>
      </c>
      <c r="X1711" s="51" t="s">
        <v>2359</v>
      </c>
    </row>
    <row r="1712" customFormat="false" ht="14.25" hidden="true" customHeight="false" outlineLevel="0" collapsed="false">
      <c r="A1712" s="49" t="s">
        <v>2349</v>
      </c>
      <c r="B1712" s="49" t="s">
        <v>2350</v>
      </c>
      <c r="C1712" s="49" t="s">
        <v>4178</v>
      </c>
      <c r="D1712" s="49" t="s">
        <v>2352</v>
      </c>
      <c r="E1712" s="49" t="str">
        <f aca="false">"12452482"</f>
        <v>12452482</v>
      </c>
      <c r="F1712" s="49" t="s">
        <v>4179</v>
      </c>
      <c r="G1712" s="49" t="n">
        <v>0</v>
      </c>
      <c r="H1712" s="0" t="n">
        <v>0</v>
      </c>
      <c r="M1712" s="51" t="s">
        <v>4180</v>
      </c>
      <c r="N1712" s="49" t="n">
        <v>0</v>
      </c>
      <c r="O1712" s="53" t="n">
        <v>45693.7384953704</v>
      </c>
      <c r="P1712" s="53" t="n">
        <v>45710.8346875</v>
      </c>
      <c r="Q1712" s="53" t="n">
        <v>45693.7384953704</v>
      </c>
      <c r="R1712" s="0" t="n">
        <v>0</v>
      </c>
      <c r="S1712" s="51" t="s">
        <v>2371</v>
      </c>
      <c r="T1712" s="51" t="s">
        <v>2371</v>
      </c>
      <c r="U1712" s="0" t="str">
        <f aca="false">"12452482"</f>
        <v>12452482</v>
      </c>
      <c r="V1712" s="51" t="s">
        <v>2365</v>
      </c>
      <c r="W1712" s="51" t="s">
        <v>4181</v>
      </c>
      <c r="X1712" s="51" t="s">
        <v>2359</v>
      </c>
    </row>
    <row r="1713" customFormat="false" ht="14.25" hidden="true" customHeight="false" outlineLevel="0" collapsed="false">
      <c r="A1713" s="49" t="s">
        <v>2349</v>
      </c>
      <c r="B1713" s="49" t="s">
        <v>2350</v>
      </c>
      <c r="C1713" s="49" t="s">
        <v>4182</v>
      </c>
      <c r="D1713" s="49" t="s">
        <v>2352</v>
      </c>
      <c r="E1713" s="49" t="str">
        <f aca="false">"12452482"</f>
        <v>12452482</v>
      </c>
      <c r="F1713" s="49" t="s">
        <v>4179</v>
      </c>
      <c r="G1713" s="49" t="n">
        <v>0</v>
      </c>
      <c r="H1713" s="0" t="n">
        <v>0</v>
      </c>
      <c r="M1713" s="51" t="s">
        <v>4180</v>
      </c>
      <c r="N1713" s="49" t="n">
        <v>0</v>
      </c>
      <c r="O1713" s="53" t="n">
        <v>45693.7388657407</v>
      </c>
      <c r="P1713" s="53" t="n">
        <v>45706.1387384259</v>
      </c>
      <c r="Q1713" s="53" t="n">
        <v>45693.7388657407</v>
      </c>
      <c r="R1713" s="0" t="n">
        <v>0</v>
      </c>
      <c r="S1713" s="51" t="s">
        <v>2371</v>
      </c>
      <c r="T1713" s="51" t="s">
        <v>2371</v>
      </c>
      <c r="U1713" s="0" t="str">
        <f aca="false">"12452482"</f>
        <v>12452482</v>
      </c>
      <c r="V1713" s="51" t="s">
        <v>2365</v>
      </c>
      <c r="W1713" s="51" t="s">
        <v>4183</v>
      </c>
      <c r="X1713" s="51" t="s">
        <v>2359</v>
      </c>
    </row>
    <row r="1714" customFormat="false" ht="14.25" hidden="true" customHeight="false" outlineLevel="0" collapsed="false">
      <c r="A1714" s="49" t="s">
        <v>2349</v>
      </c>
      <c r="B1714" s="49" t="s">
        <v>2350</v>
      </c>
      <c r="C1714" s="49" t="s">
        <v>4184</v>
      </c>
      <c r="D1714" s="49" t="s">
        <v>2352</v>
      </c>
      <c r="E1714" s="49" t="str">
        <f aca="false">"12452482"</f>
        <v>12452482</v>
      </c>
      <c r="F1714" s="49" t="s">
        <v>4179</v>
      </c>
      <c r="G1714" s="49" t="n">
        <v>0</v>
      </c>
      <c r="H1714" s="0" t="n">
        <v>0</v>
      </c>
      <c r="M1714" s="51" t="s">
        <v>4180</v>
      </c>
      <c r="N1714" s="49" t="n">
        <v>0</v>
      </c>
      <c r="O1714" s="53" t="n">
        <v>45693.7391550926</v>
      </c>
      <c r="P1714" s="53" t="n">
        <v>45789.3675231482</v>
      </c>
      <c r="Q1714" s="53" t="n">
        <v>45693.7391550926</v>
      </c>
      <c r="R1714" s="0" t="n">
        <v>0</v>
      </c>
      <c r="S1714" s="51" t="s">
        <v>2371</v>
      </c>
      <c r="T1714" s="51" t="s">
        <v>2371</v>
      </c>
      <c r="U1714" s="0" t="str">
        <f aca="false">"12452482"</f>
        <v>12452482</v>
      </c>
      <c r="V1714" s="51" t="s">
        <v>2365</v>
      </c>
      <c r="W1714" s="51" t="s">
        <v>4185</v>
      </c>
      <c r="X1714" s="51" t="s">
        <v>2359</v>
      </c>
    </row>
    <row r="1715" customFormat="false" ht="14.25" hidden="true" customHeight="false" outlineLevel="0" collapsed="false">
      <c r="A1715" s="49" t="s">
        <v>2349</v>
      </c>
      <c r="B1715" s="49" t="s">
        <v>2350</v>
      </c>
      <c r="C1715" s="49" t="s">
        <v>4186</v>
      </c>
      <c r="D1715" s="49" t="s">
        <v>2352</v>
      </c>
      <c r="E1715" s="49" t="str">
        <f aca="false">"12452482"</f>
        <v>12452482</v>
      </c>
      <c r="F1715" s="49" t="s">
        <v>4179</v>
      </c>
      <c r="G1715" s="49" t="n">
        <v>0</v>
      </c>
      <c r="H1715" s="0" t="n">
        <v>0</v>
      </c>
      <c r="M1715" s="51" t="s">
        <v>4180</v>
      </c>
      <c r="N1715" s="49" t="n">
        <v>0</v>
      </c>
      <c r="O1715" s="53" t="n">
        <v>45693.739375</v>
      </c>
      <c r="P1715" s="53" t="n">
        <v>45719.4150925926</v>
      </c>
      <c r="Q1715" s="53" t="n">
        <v>45693.739375</v>
      </c>
      <c r="R1715" s="0" t="n">
        <v>0</v>
      </c>
      <c r="S1715" s="51" t="s">
        <v>2371</v>
      </c>
      <c r="T1715" s="51" t="s">
        <v>2371</v>
      </c>
      <c r="U1715" s="0" t="str">
        <f aca="false">"12452482"</f>
        <v>12452482</v>
      </c>
      <c r="V1715" s="51" t="s">
        <v>2365</v>
      </c>
      <c r="W1715" s="51" t="s">
        <v>4187</v>
      </c>
      <c r="X1715" s="51" t="s">
        <v>2359</v>
      </c>
    </row>
    <row r="1716" customFormat="false" ht="14.25" hidden="true" customHeight="false" outlineLevel="0" collapsed="false">
      <c r="A1716" s="49" t="s">
        <v>2349</v>
      </c>
      <c r="B1716" s="49" t="s">
        <v>2350</v>
      </c>
      <c r="C1716" s="49" t="s">
        <v>4188</v>
      </c>
      <c r="D1716" s="49" t="s">
        <v>2352</v>
      </c>
      <c r="E1716" s="49" t="str">
        <f aca="false">"12452482"</f>
        <v>12452482</v>
      </c>
      <c r="F1716" s="49" t="s">
        <v>4179</v>
      </c>
      <c r="G1716" s="49" t="n">
        <v>0</v>
      </c>
      <c r="H1716" s="0" t="n">
        <v>0</v>
      </c>
      <c r="M1716" s="51" t="s">
        <v>4180</v>
      </c>
      <c r="N1716" s="49" t="n">
        <v>0</v>
      </c>
      <c r="O1716" s="53" t="n">
        <v>45693.7396180556</v>
      </c>
      <c r="P1716" s="53" t="n">
        <v>45789.370162037</v>
      </c>
      <c r="Q1716" s="53" t="n">
        <v>45693.7396180556</v>
      </c>
      <c r="R1716" s="0" t="n">
        <v>0</v>
      </c>
      <c r="S1716" s="51" t="s">
        <v>2371</v>
      </c>
      <c r="T1716" s="51" t="s">
        <v>2371</v>
      </c>
      <c r="U1716" s="0" t="str">
        <f aca="false">"12452482"</f>
        <v>12452482</v>
      </c>
      <c r="V1716" s="51" t="s">
        <v>2365</v>
      </c>
      <c r="W1716" s="51" t="s">
        <v>4189</v>
      </c>
      <c r="X1716" s="51" t="s">
        <v>2359</v>
      </c>
    </row>
    <row r="1717" customFormat="false" ht="14.25" hidden="true" customHeight="false" outlineLevel="0" collapsed="false">
      <c r="A1717" s="49" t="s">
        <v>2349</v>
      </c>
      <c r="B1717" s="49" t="s">
        <v>2350</v>
      </c>
      <c r="C1717" s="49" t="s">
        <v>4190</v>
      </c>
      <c r="D1717" s="49" t="s">
        <v>2352</v>
      </c>
      <c r="E1717" s="49" t="str">
        <f aca="false">"12452482"</f>
        <v>12452482</v>
      </c>
      <c r="F1717" s="49" t="s">
        <v>4179</v>
      </c>
      <c r="G1717" s="49" t="n">
        <v>0</v>
      </c>
      <c r="H1717" s="0" t="n">
        <v>0</v>
      </c>
      <c r="M1717" s="51" t="s">
        <v>4180</v>
      </c>
      <c r="N1717" s="49" t="n">
        <v>0</v>
      </c>
      <c r="O1717" s="53" t="n">
        <v>45693.7398263889</v>
      </c>
      <c r="P1717" s="53" t="n">
        <v>45719.4118981482</v>
      </c>
      <c r="Q1717" s="53" t="n">
        <v>45693.7398263889</v>
      </c>
      <c r="R1717" s="0" t="n">
        <v>0</v>
      </c>
      <c r="S1717" s="51" t="s">
        <v>2371</v>
      </c>
      <c r="T1717" s="51" t="s">
        <v>2371</v>
      </c>
      <c r="U1717" s="0" t="str">
        <f aca="false">"12452482"</f>
        <v>12452482</v>
      </c>
      <c r="V1717" s="51" t="s">
        <v>2365</v>
      </c>
      <c r="W1717" s="51" t="s">
        <v>4191</v>
      </c>
      <c r="X1717" s="51" t="s">
        <v>2359</v>
      </c>
    </row>
    <row r="1718" customFormat="false" ht="14.25" hidden="true" customHeight="false" outlineLevel="0" collapsed="false">
      <c r="A1718" s="49" t="s">
        <v>2349</v>
      </c>
      <c r="B1718" s="49" t="s">
        <v>2350</v>
      </c>
      <c r="C1718" s="49" t="s">
        <v>4192</v>
      </c>
      <c r="D1718" s="49" t="s">
        <v>2352</v>
      </c>
      <c r="E1718" s="49" t="str">
        <f aca="false">"12452482"</f>
        <v>12452482</v>
      </c>
      <c r="F1718" s="49" t="s">
        <v>4179</v>
      </c>
      <c r="G1718" s="49" t="n">
        <v>0</v>
      </c>
      <c r="H1718" s="0" t="n">
        <v>0</v>
      </c>
      <c r="M1718" s="51" t="s">
        <v>4180</v>
      </c>
      <c r="N1718" s="49" t="n">
        <v>0</v>
      </c>
      <c r="O1718" s="53" t="n">
        <v>45693.74</v>
      </c>
      <c r="P1718" s="53" t="n">
        <v>45719.4124421296</v>
      </c>
      <c r="Q1718" s="53" t="n">
        <v>45693.74</v>
      </c>
      <c r="R1718" s="0" t="n">
        <v>0</v>
      </c>
      <c r="S1718" s="51" t="s">
        <v>2371</v>
      </c>
      <c r="T1718" s="51" t="s">
        <v>2371</v>
      </c>
      <c r="U1718" s="0" t="str">
        <f aca="false">"12452482"</f>
        <v>12452482</v>
      </c>
      <c r="V1718" s="51" t="s">
        <v>2365</v>
      </c>
      <c r="W1718" s="51" t="s">
        <v>4193</v>
      </c>
      <c r="X1718" s="51" t="s">
        <v>2359</v>
      </c>
    </row>
    <row r="1719" customFormat="false" ht="14.25" hidden="true" customHeight="false" outlineLevel="0" collapsed="false">
      <c r="A1719" s="49" t="s">
        <v>2349</v>
      </c>
      <c r="B1719" s="49" t="s">
        <v>2350</v>
      </c>
      <c r="C1719" s="49" t="s">
        <v>4194</v>
      </c>
      <c r="D1719" s="49" t="s">
        <v>2352</v>
      </c>
      <c r="E1719" s="49" t="str">
        <f aca="false">"12452482"</f>
        <v>12452482</v>
      </c>
      <c r="F1719" s="49" t="s">
        <v>4179</v>
      </c>
      <c r="G1719" s="49" t="n">
        <v>0</v>
      </c>
      <c r="H1719" s="0" t="n">
        <v>0</v>
      </c>
      <c r="M1719" s="51" t="s">
        <v>4180</v>
      </c>
      <c r="N1719" s="49" t="n">
        <v>0</v>
      </c>
      <c r="O1719" s="53" t="n">
        <v>45693.7401967593</v>
      </c>
      <c r="P1719" s="53" t="n">
        <v>45710.8336921296</v>
      </c>
      <c r="Q1719" s="53" t="n">
        <v>45693.7401967593</v>
      </c>
      <c r="R1719" s="0" t="n">
        <v>0</v>
      </c>
      <c r="S1719" s="51" t="s">
        <v>2371</v>
      </c>
      <c r="T1719" s="51" t="s">
        <v>2371</v>
      </c>
      <c r="U1719" s="0" t="str">
        <f aca="false">"12452482"</f>
        <v>12452482</v>
      </c>
      <c r="V1719" s="51" t="s">
        <v>2365</v>
      </c>
      <c r="W1719" s="51" t="s">
        <v>4195</v>
      </c>
      <c r="X1719" s="51" t="s">
        <v>2359</v>
      </c>
    </row>
    <row r="1720" customFormat="false" ht="14.25" hidden="true" customHeight="false" outlineLevel="0" collapsed="false">
      <c r="A1720" s="49" t="s">
        <v>2349</v>
      </c>
      <c r="B1720" s="49" t="s">
        <v>2350</v>
      </c>
      <c r="C1720" s="49" t="s">
        <v>4196</v>
      </c>
      <c r="D1720" s="49" t="s">
        <v>2352</v>
      </c>
      <c r="E1720" s="49" t="str">
        <f aca="false">"12452482"</f>
        <v>12452482</v>
      </c>
      <c r="F1720" s="49" t="s">
        <v>4179</v>
      </c>
      <c r="G1720" s="49" t="n">
        <v>0</v>
      </c>
      <c r="H1720" s="0" t="n">
        <v>0</v>
      </c>
      <c r="M1720" s="51" t="s">
        <v>4180</v>
      </c>
      <c r="N1720" s="49" t="n">
        <v>0</v>
      </c>
      <c r="O1720" s="53" t="n">
        <v>45693.740474537</v>
      </c>
      <c r="P1720" s="53" t="n">
        <v>45710.8371643519</v>
      </c>
      <c r="Q1720" s="53" t="n">
        <v>45693.740474537</v>
      </c>
      <c r="R1720" s="0" t="n">
        <v>0</v>
      </c>
      <c r="S1720" s="51" t="s">
        <v>2371</v>
      </c>
      <c r="T1720" s="51" t="s">
        <v>2371</v>
      </c>
      <c r="U1720" s="0" t="str">
        <f aca="false">"12452482"</f>
        <v>12452482</v>
      </c>
      <c r="V1720" s="51" t="s">
        <v>2365</v>
      </c>
      <c r="W1720" s="51" t="s">
        <v>4197</v>
      </c>
      <c r="X1720" s="51" t="s">
        <v>2359</v>
      </c>
    </row>
    <row r="1721" customFormat="false" ht="14.25" hidden="true" customHeight="false" outlineLevel="0" collapsed="false">
      <c r="A1721" s="49" t="s">
        <v>2349</v>
      </c>
      <c r="B1721" s="49" t="s">
        <v>2350</v>
      </c>
      <c r="C1721" s="49" t="s">
        <v>4198</v>
      </c>
      <c r="D1721" s="49" t="s">
        <v>2352</v>
      </c>
      <c r="E1721" s="49" t="str">
        <f aca="false">"12207690"</f>
        <v>12207690</v>
      </c>
      <c r="F1721" s="49" t="s">
        <v>4199</v>
      </c>
      <c r="G1721" s="49" t="n">
        <v>0</v>
      </c>
      <c r="H1721" s="0" t="n">
        <v>0</v>
      </c>
      <c r="M1721" s="51" t="s">
        <v>4180</v>
      </c>
      <c r="N1721" s="49" t="n">
        <v>0</v>
      </c>
      <c r="O1721" s="53" t="n">
        <v>45693.7446759259</v>
      </c>
      <c r="P1721" s="53" t="n">
        <v>45743.029212963</v>
      </c>
      <c r="Q1721" s="53" t="n">
        <v>45693.7446759259</v>
      </c>
      <c r="R1721" s="0" t="n">
        <v>0</v>
      </c>
      <c r="S1721" s="51" t="s">
        <v>2371</v>
      </c>
      <c r="T1721" s="51" t="s">
        <v>2371</v>
      </c>
      <c r="U1721" s="0" t="str">
        <f aca="false">"12207690"</f>
        <v>12207690</v>
      </c>
      <c r="V1721" s="51" t="s">
        <v>2365</v>
      </c>
      <c r="W1721" s="51" t="s">
        <v>4200</v>
      </c>
      <c r="X1721" s="51" t="s">
        <v>2359</v>
      </c>
    </row>
    <row r="1722" customFormat="false" ht="14.25" hidden="true" customHeight="false" outlineLevel="0" collapsed="false">
      <c r="A1722" s="49" t="s">
        <v>2349</v>
      </c>
      <c r="B1722" s="49" t="s">
        <v>2350</v>
      </c>
      <c r="C1722" s="49" t="s">
        <v>4201</v>
      </c>
      <c r="D1722" s="49" t="s">
        <v>2352</v>
      </c>
      <c r="E1722" s="49" t="str">
        <f aca="false">"12207690"</f>
        <v>12207690</v>
      </c>
      <c r="F1722" s="49" t="s">
        <v>4199</v>
      </c>
      <c r="G1722" s="49" t="n">
        <v>0</v>
      </c>
      <c r="H1722" s="0" t="n">
        <v>0</v>
      </c>
      <c r="M1722" s="51" t="s">
        <v>4180</v>
      </c>
      <c r="N1722" s="49" t="n">
        <v>0</v>
      </c>
      <c r="O1722" s="53" t="n">
        <v>45693.745150463</v>
      </c>
      <c r="P1722" s="53" t="n">
        <v>45705.3372106482</v>
      </c>
      <c r="Q1722" s="53" t="n">
        <v>45693.745150463</v>
      </c>
      <c r="R1722" s="0" t="n">
        <v>0</v>
      </c>
      <c r="S1722" s="51" t="s">
        <v>2371</v>
      </c>
      <c r="T1722" s="51" t="s">
        <v>2371</v>
      </c>
      <c r="U1722" s="0" t="str">
        <f aca="false">"12207690"</f>
        <v>12207690</v>
      </c>
      <c r="V1722" s="51" t="s">
        <v>2365</v>
      </c>
      <c r="W1722" s="51" t="s">
        <v>4202</v>
      </c>
      <c r="X1722" s="51" t="s">
        <v>2359</v>
      </c>
    </row>
    <row r="1723" customFormat="false" ht="14.25" hidden="true" customHeight="false" outlineLevel="0" collapsed="false">
      <c r="A1723" s="49" t="s">
        <v>2349</v>
      </c>
      <c r="B1723" s="49" t="s">
        <v>2350</v>
      </c>
      <c r="C1723" s="49" t="s">
        <v>4203</v>
      </c>
      <c r="D1723" s="49" t="s">
        <v>2352</v>
      </c>
      <c r="E1723" s="49" t="str">
        <f aca="false">"12207690"</f>
        <v>12207690</v>
      </c>
      <c r="F1723" s="49" t="s">
        <v>4199</v>
      </c>
      <c r="G1723" s="49" t="n">
        <v>0</v>
      </c>
      <c r="H1723" s="0" t="n">
        <v>0</v>
      </c>
      <c r="M1723" s="51" t="s">
        <v>4180</v>
      </c>
      <c r="N1723" s="49" t="n">
        <v>0</v>
      </c>
      <c r="O1723" s="53" t="n">
        <v>45693.7453587963</v>
      </c>
      <c r="P1723" s="53" t="n">
        <v>45705.3367361111</v>
      </c>
      <c r="Q1723" s="53" t="n">
        <v>45693.7453587963</v>
      </c>
      <c r="R1723" s="0" t="n">
        <v>0</v>
      </c>
      <c r="S1723" s="51" t="s">
        <v>2371</v>
      </c>
      <c r="T1723" s="51" t="s">
        <v>2371</v>
      </c>
      <c r="U1723" s="0" t="str">
        <f aca="false">"12207690"</f>
        <v>12207690</v>
      </c>
      <c r="V1723" s="51" t="s">
        <v>2365</v>
      </c>
      <c r="W1723" s="51" t="s">
        <v>4204</v>
      </c>
      <c r="X1723" s="51" t="s">
        <v>2359</v>
      </c>
    </row>
    <row r="1724" customFormat="false" ht="14.25" hidden="true" customHeight="false" outlineLevel="0" collapsed="false">
      <c r="A1724" s="49" t="s">
        <v>2349</v>
      </c>
      <c r="B1724" s="49" t="s">
        <v>2350</v>
      </c>
      <c r="C1724" s="49" t="s">
        <v>4205</v>
      </c>
      <c r="D1724" s="49" t="s">
        <v>2352</v>
      </c>
      <c r="E1724" s="49" t="str">
        <f aca="false">"12207690"</f>
        <v>12207690</v>
      </c>
      <c r="F1724" s="49" t="s">
        <v>4199</v>
      </c>
      <c r="G1724" s="49" t="n">
        <v>0</v>
      </c>
      <c r="H1724" s="0" t="n">
        <v>0</v>
      </c>
      <c r="M1724" s="51" t="s">
        <v>4180</v>
      </c>
      <c r="N1724" s="49" t="n">
        <v>0</v>
      </c>
      <c r="O1724" s="53" t="n">
        <v>45693.7455555556</v>
      </c>
      <c r="P1724" s="53" t="n">
        <v>45743.0092013889</v>
      </c>
      <c r="Q1724" s="53" t="n">
        <v>45693.7455555556</v>
      </c>
      <c r="R1724" s="0" t="n">
        <v>0</v>
      </c>
      <c r="S1724" s="51" t="s">
        <v>2371</v>
      </c>
      <c r="T1724" s="51" t="s">
        <v>2371</v>
      </c>
      <c r="U1724" s="0" t="str">
        <f aca="false">"12207690"</f>
        <v>12207690</v>
      </c>
      <c r="V1724" s="51" t="s">
        <v>2365</v>
      </c>
      <c r="W1724" s="51" t="s">
        <v>4206</v>
      </c>
      <c r="X1724" s="51" t="s">
        <v>2359</v>
      </c>
    </row>
    <row r="1725" customFormat="false" ht="14.25" hidden="true" customHeight="false" outlineLevel="0" collapsed="false">
      <c r="A1725" s="49" t="s">
        <v>2349</v>
      </c>
      <c r="B1725" s="49" t="s">
        <v>2350</v>
      </c>
      <c r="C1725" s="49" t="s">
        <v>4207</v>
      </c>
      <c r="D1725" s="49" t="s">
        <v>2352</v>
      </c>
      <c r="E1725" s="49" t="str">
        <f aca="false">"12207690"</f>
        <v>12207690</v>
      </c>
      <c r="F1725" s="49" t="s">
        <v>4199</v>
      </c>
      <c r="G1725" s="49" t="n">
        <v>0</v>
      </c>
      <c r="H1725" s="0" t="n">
        <v>0</v>
      </c>
      <c r="M1725" s="51" t="s">
        <v>4180</v>
      </c>
      <c r="N1725" s="49" t="n">
        <v>0</v>
      </c>
      <c r="O1725" s="53" t="n">
        <v>45693.745775463</v>
      </c>
      <c r="P1725" s="53" t="n">
        <v>45743.0083564815</v>
      </c>
      <c r="Q1725" s="53" t="n">
        <v>45693.745775463</v>
      </c>
      <c r="R1725" s="0" t="n">
        <v>0</v>
      </c>
      <c r="S1725" s="51" t="s">
        <v>2371</v>
      </c>
      <c r="T1725" s="51" t="s">
        <v>2371</v>
      </c>
      <c r="U1725" s="0" t="str">
        <f aca="false">"12207690"</f>
        <v>12207690</v>
      </c>
      <c r="V1725" s="51" t="s">
        <v>2365</v>
      </c>
      <c r="W1725" s="51" t="s">
        <v>4208</v>
      </c>
      <c r="X1725" s="51" t="s">
        <v>2359</v>
      </c>
    </row>
    <row r="1726" customFormat="false" ht="14.25" hidden="true" customHeight="false" outlineLevel="0" collapsed="false">
      <c r="A1726" s="49" t="s">
        <v>2349</v>
      </c>
      <c r="B1726" s="49" t="s">
        <v>2350</v>
      </c>
      <c r="C1726" s="49" t="s">
        <v>4209</v>
      </c>
      <c r="D1726" s="49" t="s">
        <v>2352</v>
      </c>
      <c r="E1726" s="49" t="str">
        <f aca="false">"12207690"</f>
        <v>12207690</v>
      </c>
      <c r="F1726" s="49" t="s">
        <v>4199</v>
      </c>
      <c r="G1726" s="49" t="n">
        <v>0</v>
      </c>
      <c r="H1726" s="0" t="n">
        <v>0</v>
      </c>
      <c r="M1726" s="51" t="s">
        <v>4180</v>
      </c>
      <c r="N1726" s="49" t="n">
        <v>0</v>
      </c>
      <c r="O1726" s="53" t="n">
        <v>45693.746087963</v>
      </c>
      <c r="P1726" s="53" t="n">
        <v>45705.342037037</v>
      </c>
      <c r="Q1726" s="53" t="n">
        <v>45693.746087963</v>
      </c>
      <c r="R1726" s="0" t="n">
        <v>0</v>
      </c>
      <c r="S1726" s="51" t="s">
        <v>2371</v>
      </c>
      <c r="T1726" s="51" t="s">
        <v>2371</v>
      </c>
      <c r="U1726" s="0" t="str">
        <f aca="false">"12207690"</f>
        <v>12207690</v>
      </c>
      <c r="V1726" s="51" t="s">
        <v>2365</v>
      </c>
      <c r="W1726" s="51" t="s">
        <v>4210</v>
      </c>
      <c r="X1726" s="51" t="s">
        <v>2359</v>
      </c>
    </row>
    <row r="1727" customFormat="false" ht="14.25" hidden="true" customHeight="false" outlineLevel="0" collapsed="false">
      <c r="A1727" s="49" t="s">
        <v>2349</v>
      </c>
      <c r="B1727" s="49" t="s">
        <v>2350</v>
      </c>
      <c r="C1727" s="49" t="s">
        <v>4211</v>
      </c>
      <c r="D1727" s="49" t="s">
        <v>2352</v>
      </c>
      <c r="E1727" s="49" t="str">
        <f aca="false">"12207690"</f>
        <v>12207690</v>
      </c>
      <c r="F1727" s="49" t="s">
        <v>4199</v>
      </c>
      <c r="G1727" s="49" t="n">
        <v>0</v>
      </c>
      <c r="H1727" s="0" t="n">
        <v>0</v>
      </c>
      <c r="M1727" s="51" t="s">
        <v>4180</v>
      </c>
      <c r="N1727" s="49" t="n">
        <v>0</v>
      </c>
      <c r="O1727" s="53" t="n">
        <v>45693.7463773148</v>
      </c>
      <c r="P1727" s="53" t="n">
        <v>45705.3392476852</v>
      </c>
      <c r="Q1727" s="53" t="n">
        <v>45693.7463773148</v>
      </c>
      <c r="R1727" s="0" t="n">
        <v>0</v>
      </c>
      <c r="S1727" s="51" t="s">
        <v>2371</v>
      </c>
      <c r="T1727" s="51" t="s">
        <v>2371</v>
      </c>
      <c r="U1727" s="0" t="str">
        <f aca="false">"12207690"</f>
        <v>12207690</v>
      </c>
      <c r="V1727" s="51" t="s">
        <v>2365</v>
      </c>
      <c r="W1727" s="51" t="s">
        <v>4212</v>
      </c>
      <c r="X1727" s="51" t="s">
        <v>2359</v>
      </c>
    </row>
    <row r="1728" customFormat="false" ht="14.25" hidden="true" customHeight="false" outlineLevel="0" collapsed="false">
      <c r="A1728" s="49" t="s">
        <v>2349</v>
      </c>
      <c r="B1728" s="49" t="s">
        <v>2350</v>
      </c>
      <c r="C1728" s="49" t="s">
        <v>4213</v>
      </c>
      <c r="D1728" s="49" t="s">
        <v>2352</v>
      </c>
      <c r="E1728" s="49" t="str">
        <f aca="false">"12207690"</f>
        <v>12207690</v>
      </c>
      <c r="F1728" s="49" t="s">
        <v>4199</v>
      </c>
      <c r="G1728" s="49" t="n">
        <v>0</v>
      </c>
      <c r="H1728" s="0" t="n">
        <v>0</v>
      </c>
      <c r="M1728" s="51" t="s">
        <v>4180</v>
      </c>
      <c r="N1728" s="49" t="n">
        <v>0</v>
      </c>
      <c r="O1728" s="53" t="n">
        <v>45693.7465856482</v>
      </c>
      <c r="P1728" s="53" t="n">
        <v>45705.3424189815</v>
      </c>
      <c r="Q1728" s="53" t="n">
        <v>45693.7465856482</v>
      </c>
      <c r="R1728" s="0" t="n">
        <v>0</v>
      </c>
      <c r="S1728" s="51" t="s">
        <v>2371</v>
      </c>
      <c r="T1728" s="51" t="s">
        <v>2371</v>
      </c>
      <c r="U1728" s="0" t="str">
        <f aca="false">"12207690"</f>
        <v>12207690</v>
      </c>
      <c r="V1728" s="51" t="s">
        <v>2365</v>
      </c>
      <c r="W1728" s="51" t="s">
        <v>4214</v>
      </c>
      <c r="X1728" s="51" t="s">
        <v>2359</v>
      </c>
    </row>
    <row r="1729" customFormat="false" ht="14.25" hidden="true" customHeight="false" outlineLevel="0" collapsed="false">
      <c r="A1729" s="49" t="s">
        <v>2349</v>
      </c>
      <c r="B1729" s="49" t="s">
        <v>2350</v>
      </c>
      <c r="C1729" s="49" t="s">
        <v>4215</v>
      </c>
      <c r="D1729" s="49" t="s">
        <v>2352</v>
      </c>
      <c r="E1729" s="49" t="str">
        <f aca="false">"12207690"</f>
        <v>12207690</v>
      </c>
      <c r="F1729" s="49" t="s">
        <v>4199</v>
      </c>
      <c r="G1729" s="49" t="n">
        <v>0</v>
      </c>
      <c r="H1729" s="0" t="n">
        <v>0</v>
      </c>
      <c r="M1729" s="51" t="s">
        <v>4180</v>
      </c>
      <c r="N1729" s="49" t="n">
        <v>0</v>
      </c>
      <c r="O1729" s="53" t="n">
        <v>45693.7467939815</v>
      </c>
      <c r="P1729" s="53" t="n">
        <v>45743.0269791667</v>
      </c>
      <c r="Q1729" s="53" t="n">
        <v>45693.7467939815</v>
      </c>
      <c r="R1729" s="0" t="n">
        <v>0</v>
      </c>
      <c r="S1729" s="51" t="s">
        <v>2371</v>
      </c>
      <c r="T1729" s="51" t="s">
        <v>2371</v>
      </c>
      <c r="U1729" s="0" t="str">
        <f aca="false">"12207690"</f>
        <v>12207690</v>
      </c>
      <c r="V1729" s="51" t="s">
        <v>2365</v>
      </c>
      <c r="W1729" s="51" t="s">
        <v>4216</v>
      </c>
      <c r="X1729" s="51" t="s">
        <v>2359</v>
      </c>
    </row>
    <row r="1730" customFormat="false" ht="14.25" hidden="true" customHeight="false" outlineLevel="0" collapsed="false">
      <c r="A1730" s="49" t="s">
        <v>2349</v>
      </c>
      <c r="B1730" s="49" t="s">
        <v>2350</v>
      </c>
      <c r="C1730" s="49" t="s">
        <v>4217</v>
      </c>
      <c r="D1730" s="49" t="s">
        <v>2352</v>
      </c>
      <c r="E1730" s="49" t="str">
        <f aca="false">"12207690"</f>
        <v>12207690</v>
      </c>
      <c r="F1730" s="49" t="s">
        <v>4199</v>
      </c>
      <c r="G1730" s="49" t="n">
        <v>0</v>
      </c>
      <c r="H1730" s="0" t="n">
        <v>0</v>
      </c>
      <c r="M1730" s="51" t="s">
        <v>4180</v>
      </c>
      <c r="N1730" s="49" t="n">
        <v>0</v>
      </c>
      <c r="O1730" s="53" t="n">
        <v>45693.7470486111</v>
      </c>
      <c r="P1730" s="53" t="n">
        <v>45705.3402199074</v>
      </c>
      <c r="Q1730" s="53" t="n">
        <v>45693.7470486111</v>
      </c>
      <c r="R1730" s="0" t="n">
        <v>0</v>
      </c>
      <c r="S1730" s="51" t="s">
        <v>2371</v>
      </c>
      <c r="T1730" s="51" t="s">
        <v>2371</v>
      </c>
      <c r="U1730" s="0" t="str">
        <f aca="false">"12207690"</f>
        <v>12207690</v>
      </c>
      <c r="V1730" s="51" t="s">
        <v>2365</v>
      </c>
      <c r="W1730" s="51" t="s">
        <v>4218</v>
      </c>
      <c r="X1730" s="51" t="s">
        <v>2359</v>
      </c>
    </row>
    <row r="1731" customFormat="false" ht="14.25" hidden="true" customHeight="false" outlineLevel="0" collapsed="false">
      <c r="A1731" s="49" t="s">
        <v>2349</v>
      </c>
      <c r="B1731" s="49" t="s">
        <v>2350</v>
      </c>
      <c r="C1731" s="49" t="s">
        <v>4219</v>
      </c>
      <c r="D1731" s="49" t="s">
        <v>2352</v>
      </c>
      <c r="E1731" s="49" t="str">
        <f aca="false">"12496976"</f>
        <v>12496976</v>
      </c>
      <c r="F1731" s="49" t="s">
        <v>4220</v>
      </c>
      <c r="G1731" s="49" t="n">
        <v>0</v>
      </c>
      <c r="H1731" s="0" t="n">
        <v>0</v>
      </c>
      <c r="M1731" s="51" t="s">
        <v>4180</v>
      </c>
      <c r="N1731" s="49" t="n">
        <v>0</v>
      </c>
      <c r="O1731" s="53" t="n">
        <v>45693.7282523148</v>
      </c>
      <c r="P1731" s="53" t="n">
        <v>45716.7922800926</v>
      </c>
      <c r="Q1731" s="53" t="n">
        <v>45693.7282523148</v>
      </c>
      <c r="R1731" s="0" t="n">
        <v>0</v>
      </c>
      <c r="S1731" s="51" t="s">
        <v>2371</v>
      </c>
      <c r="T1731" s="51" t="s">
        <v>2371</v>
      </c>
      <c r="U1731" s="0" t="str">
        <f aca="false">"12496976"</f>
        <v>12496976</v>
      </c>
      <c r="V1731" s="51" t="s">
        <v>2365</v>
      </c>
      <c r="W1731" s="51" t="s">
        <v>4221</v>
      </c>
      <c r="X1731" s="51" t="s">
        <v>2359</v>
      </c>
    </row>
    <row r="1732" customFormat="false" ht="14.25" hidden="true" customHeight="false" outlineLevel="0" collapsed="false">
      <c r="A1732" s="49" t="s">
        <v>2349</v>
      </c>
      <c r="B1732" s="49" t="s">
        <v>2350</v>
      </c>
      <c r="C1732" s="49" t="s">
        <v>4222</v>
      </c>
      <c r="D1732" s="49" t="s">
        <v>2352</v>
      </c>
      <c r="E1732" s="49" t="str">
        <f aca="false">"12496976"</f>
        <v>12496976</v>
      </c>
      <c r="F1732" s="49" t="s">
        <v>4220</v>
      </c>
      <c r="G1732" s="49" t="n">
        <v>0</v>
      </c>
      <c r="H1732" s="0" t="n">
        <v>0</v>
      </c>
      <c r="M1732" s="51" t="s">
        <v>4180</v>
      </c>
      <c r="N1732" s="49" t="n">
        <v>0</v>
      </c>
      <c r="O1732" s="53" t="n">
        <v>45693.728599537</v>
      </c>
      <c r="P1732" s="53" t="n">
        <v>45716.7924537037</v>
      </c>
      <c r="Q1732" s="53" t="n">
        <v>45693.728599537</v>
      </c>
      <c r="R1732" s="0" t="n">
        <v>0</v>
      </c>
      <c r="S1732" s="51" t="s">
        <v>2371</v>
      </c>
      <c r="T1732" s="51" t="s">
        <v>2371</v>
      </c>
      <c r="U1732" s="0" t="str">
        <f aca="false">"12496976"</f>
        <v>12496976</v>
      </c>
      <c r="V1732" s="51" t="s">
        <v>2365</v>
      </c>
      <c r="W1732" s="51" t="s">
        <v>4223</v>
      </c>
      <c r="X1732" s="51" t="s">
        <v>2359</v>
      </c>
    </row>
    <row r="1733" customFormat="false" ht="14.25" hidden="true" customHeight="false" outlineLevel="0" collapsed="false">
      <c r="A1733" s="49" t="s">
        <v>2349</v>
      </c>
      <c r="B1733" s="49" t="s">
        <v>2350</v>
      </c>
      <c r="C1733" s="49" t="s">
        <v>4224</v>
      </c>
      <c r="D1733" s="49" t="s">
        <v>2352</v>
      </c>
      <c r="E1733" s="49" t="str">
        <f aca="false">"12496976"</f>
        <v>12496976</v>
      </c>
      <c r="F1733" s="49" t="s">
        <v>4220</v>
      </c>
      <c r="G1733" s="49" t="n">
        <v>0</v>
      </c>
      <c r="H1733" s="0" t="n">
        <v>0</v>
      </c>
      <c r="M1733" s="51" t="s">
        <v>4180</v>
      </c>
      <c r="N1733" s="49" t="n">
        <v>0</v>
      </c>
      <c r="O1733" s="53" t="n">
        <v>45693.7288425926</v>
      </c>
      <c r="P1733" s="53" t="n">
        <v>45716.8027777778</v>
      </c>
      <c r="Q1733" s="53" t="n">
        <v>45693.7288425926</v>
      </c>
      <c r="R1733" s="0" t="n">
        <v>0</v>
      </c>
      <c r="S1733" s="51" t="s">
        <v>2371</v>
      </c>
      <c r="T1733" s="51" t="s">
        <v>2371</v>
      </c>
      <c r="U1733" s="0" t="str">
        <f aca="false">"12496976"</f>
        <v>12496976</v>
      </c>
      <c r="V1733" s="51" t="s">
        <v>2365</v>
      </c>
      <c r="W1733" s="51" t="s">
        <v>4225</v>
      </c>
      <c r="X1733" s="51" t="s">
        <v>2359</v>
      </c>
    </row>
    <row r="1734" customFormat="false" ht="14.25" hidden="true" customHeight="false" outlineLevel="0" collapsed="false">
      <c r="A1734" s="49" t="s">
        <v>2349</v>
      </c>
      <c r="B1734" s="49" t="s">
        <v>2350</v>
      </c>
      <c r="C1734" s="49" t="s">
        <v>4226</v>
      </c>
      <c r="D1734" s="49" t="s">
        <v>2352</v>
      </c>
      <c r="E1734" s="49" t="str">
        <f aca="false">"12496976"</f>
        <v>12496976</v>
      </c>
      <c r="F1734" s="49" t="s">
        <v>4220</v>
      </c>
      <c r="G1734" s="49" t="n">
        <v>0</v>
      </c>
      <c r="H1734" s="0" t="n">
        <v>0</v>
      </c>
      <c r="M1734" s="51" t="s">
        <v>4180</v>
      </c>
      <c r="N1734" s="49" t="n">
        <v>0</v>
      </c>
      <c r="O1734" s="53" t="n">
        <v>45693.7291782407</v>
      </c>
      <c r="P1734" s="53" t="n">
        <v>45716.7952199074</v>
      </c>
      <c r="Q1734" s="53" t="n">
        <v>45693.7291782407</v>
      </c>
      <c r="R1734" s="0" t="n">
        <v>0</v>
      </c>
      <c r="S1734" s="51" t="s">
        <v>2371</v>
      </c>
      <c r="T1734" s="51" t="s">
        <v>2371</v>
      </c>
      <c r="U1734" s="0" t="str">
        <f aca="false">"12496976"</f>
        <v>12496976</v>
      </c>
      <c r="V1734" s="51" t="s">
        <v>2365</v>
      </c>
      <c r="W1734" s="51" t="s">
        <v>4227</v>
      </c>
      <c r="X1734" s="51" t="s">
        <v>2359</v>
      </c>
    </row>
    <row r="1735" customFormat="false" ht="14.25" hidden="true" customHeight="false" outlineLevel="0" collapsed="false">
      <c r="A1735" s="49" t="s">
        <v>2349</v>
      </c>
      <c r="B1735" s="49" t="s">
        <v>2350</v>
      </c>
      <c r="C1735" s="49" t="s">
        <v>4228</v>
      </c>
      <c r="D1735" s="49" t="s">
        <v>2352</v>
      </c>
      <c r="E1735" s="49" t="str">
        <f aca="false">"12498676"</f>
        <v>12498676</v>
      </c>
      <c r="F1735" s="49" t="s">
        <v>4229</v>
      </c>
      <c r="G1735" s="49" t="n">
        <v>0</v>
      </c>
      <c r="H1735" s="0" t="n">
        <v>0</v>
      </c>
      <c r="M1735" s="51" t="s">
        <v>4180</v>
      </c>
      <c r="N1735" s="49" t="n">
        <v>0</v>
      </c>
      <c r="O1735" s="53" t="n">
        <v>45693.730787037</v>
      </c>
      <c r="P1735" s="53" t="n">
        <v>45698.877662037</v>
      </c>
      <c r="Q1735" s="53" t="n">
        <v>45693.730787037</v>
      </c>
      <c r="R1735" s="0" t="n">
        <v>0</v>
      </c>
      <c r="S1735" s="51" t="s">
        <v>2371</v>
      </c>
      <c r="T1735" s="51" t="s">
        <v>2371</v>
      </c>
      <c r="U1735" s="0" t="str">
        <f aca="false">"12498676"</f>
        <v>12498676</v>
      </c>
      <c r="V1735" s="51" t="s">
        <v>2365</v>
      </c>
      <c r="W1735" s="51" t="s">
        <v>3921</v>
      </c>
      <c r="X1735" s="51" t="s">
        <v>2359</v>
      </c>
    </row>
    <row r="1736" customFormat="false" ht="14.25" hidden="true" customHeight="false" outlineLevel="0" collapsed="false">
      <c r="A1736" s="49" t="s">
        <v>2349</v>
      </c>
      <c r="B1736" s="49" t="s">
        <v>2350</v>
      </c>
      <c r="C1736" s="49" t="s">
        <v>4230</v>
      </c>
      <c r="D1736" s="49" t="s">
        <v>2352</v>
      </c>
      <c r="E1736" s="49" t="str">
        <f aca="false">"12498676"</f>
        <v>12498676</v>
      </c>
      <c r="F1736" s="49" t="s">
        <v>4229</v>
      </c>
      <c r="G1736" s="49" t="n">
        <v>0</v>
      </c>
      <c r="H1736" s="0" t="n">
        <v>0</v>
      </c>
      <c r="M1736" s="51" t="s">
        <v>4180</v>
      </c>
      <c r="N1736" s="49" t="n">
        <v>0</v>
      </c>
      <c r="O1736" s="53" t="n">
        <v>45693.7310185185</v>
      </c>
      <c r="P1736" s="53" t="n">
        <v>45698.8746527778</v>
      </c>
      <c r="Q1736" s="53" t="n">
        <v>45693.7310185185</v>
      </c>
      <c r="R1736" s="0" t="n">
        <v>0</v>
      </c>
      <c r="S1736" s="51" t="s">
        <v>2371</v>
      </c>
      <c r="T1736" s="51" t="s">
        <v>2371</v>
      </c>
      <c r="U1736" s="0" t="str">
        <f aca="false">"12498676"</f>
        <v>12498676</v>
      </c>
      <c r="V1736" s="51" t="s">
        <v>2365</v>
      </c>
      <c r="W1736" s="51" t="s">
        <v>4231</v>
      </c>
      <c r="X1736" s="51" t="s">
        <v>2359</v>
      </c>
    </row>
    <row r="1737" customFormat="false" ht="14.25" hidden="true" customHeight="false" outlineLevel="0" collapsed="false">
      <c r="A1737" s="49" t="s">
        <v>2349</v>
      </c>
      <c r="B1737" s="49" t="s">
        <v>2350</v>
      </c>
      <c r="C1737" s="49" t="s">
        <v>4232</v>
      </c>
      <c r="D1737" s="49" t="s">
        <v>2352</v>
      </c>
      <c r="E1737" s="49" t="str">
        <f aca="false">"12498676"</f>
        <v>12498676</v>
      </c>
      <c r="F1737" s="49" t="s">
        <v>4229</v>
      </c>
      <c r="G1737" s="49" t="n">
        <v>0</v>
      </c>
      <c r="H1737" s="0" t="n">
        <v>0</v>
      </c>
      <c r="M1737" s="51" t="s">
        <v>4180</v>
      </c>
      <c r="N1737" s="49" t="n">
        <v>0</v>
      </c>
      <c r="O1737" s="53" t="n">
        <v>45693.7313310185</v>
      </c>
      <c r="P1737" s="53" t="n">
        <v>45700.7936574074</v>
      </c>
      <c r="Q1737" s="53" t="n">
        <v>45693.7313310185</v>
      </c>
      <c r="R1737" s="0" t="n">
        <v>0</v>
      </c>
      <c r="S1737" s="51" t="s">
        <v>2371</v>
      </c>
      <c r="T1737" s="51" t="s">
        <v>2371</v>
      </c>
      <c r="U1737" s="0" t="str">
        <f aca="false">"12498676"</f>
        <v>12498676</v>
      </c>
      <c r="V1737" s="51" t="s">
        <v>2365</v>
      </c>
      <c r="W1737" s="51" t="s">
        <v>4233</v>
      </c>
      <c r="X1737" s="51" t="s">
        <v>2359</v>
      </c>
    </row>
    <row r="1738" customFormat="false" ht="14.25" hidden="true" customHeight="false" outlineLevel="0" collapsed="false">
      <c r="A1738" s="49" t="s">
        <v>2349</v>
      </c>
      <c r="B1738" s="49" t="s">
        <v>2350</v>
      </c>
      <c r="C1738" s="49" t="s">
        <v>4234</v>
      </c>
      <c r="D1738" s="49" t="s">
        <v>2352</v>
      </c>
      <c r="E1738" s="49" t="str">
        <f aca="false">"12496976"</f>
        <v>12496976</v>
      </c>
      <c r="F1738" s="49" t="s">
        <v>4220</v>
      </c>
      <c r="G1738" s="49" t="n">
        <v>0</v>
      </c>
      <c r="H1738" s="0" t="n">
        <v>0</v>
      </c>
      <c r="M1738" s="51" t="s">
        <v>4180</v>
      </c>
      <c r="N1738" s="49" t="n">
        <v>0</v>
      </c>
      <c r="O1738" s="53" t="n">
        <v>45693.7294560185</v>
      </c>
      <c r="P1738" s="53" t="n">
        <v>45716.7962384259</v>
      </c>
      <c r="Q1738" s="53" t="n">
        <v>45693.7294560185</v>
      </c>
      <c r="R1738" s="0" t="n">
        <v>0</v>
      </c>
      <c r="S1738" s="51" t="s">
        <v>2371</v>
      </c>
      <c r="T1738" s="51" t="s">
        <v>2371</v>
      </c>
      <c r="U1738" s="0" t="str">
        <f aca="false">"12496976"</f>
        <v>12496976</v>
      </c>
      <c r="V1738" s="51" t="s">
        <v>2365</v>
      </c>
      <c r="W1738" s="51" t="s">
        <v>4235</v>
      </c>
      <c r="X1738" s="51" t="s">
        <v>2359</v>
      </c>
    </row>
    <row r="1739" customFormat="false" ht="14.25" hidden="true" customHeight="false" outlineLevel="0" collapsed="false">
      <c r="A1739" s="49" t="s">
        <v>2349</v>
      </c>
      <c r="B1739" s="49" t="s">
        <v>2350</v>
      </c>
      <c r="C1739" s="49" t="s">
        <v>4236</v>
      </c>
      <c r="D1739" s="49" t="s">
        <v>2352</v>
      </c>
      <c r="E1739" s="49" t="str">
        <f aca="false">"12498676"</f>
        <v>12498676</v>
      </c>
      <c r="F1739" s="49" t="s">
        <v>4229</v>
      </c>
      <c r="G1739" s="49" t="n">
        <v>0</v>
      </c>
      <c r="H1739" s="0" t="n">
        <v>0</v>
      </c>
      <c r="M1739" s="51" t="s">
        <v>4180</v>
      </c>
      <c r="N1739" s="49" t="n">
        <v>0</v>
      </c>
      <c r="O1739" s="53" t="n">
        <v>45693.7315740741</v>
      </c>
      <c r="P1739" s="53" t="n">
        <v>45839.8968287037</v>
      </c>
      <c r="Q1739" s="53" t="n">
        <v>45693.7315740741</v>
      </c>
      <c r="R1739" s="0" t="n">
        <v>0</v>
      </c>
      <c r="S1739" s="51" t="s">
        <v>2371</v>
      </c>
      <c r="T1739" s="51" t="s">
        <v>2371</v>
      </c>
      <c r="U1739" s="0" t="str">
        <f aca="false">"12498676"</f>
        <v>12498676</v>
      </c>
      <c r="V1739" s="51" t="s">
        <v>2365</v>
      </c>
      <c r="W1739" s="51" t="s">
        <v>4237</v>
      </c>
      <c r="X1739" s="51" t="s">
        <v>2359</v>
      </c>
    </row>
    <row r="1740" customFormat="false" ht="14.25" hidden="true" customHeight="false" outlineLevel="0" collapsed="false">
      <c r="A1740" s="49" t="s">
        <v>2349</v>
      </c>
      <c r="B1740" s="49" t="s">
        <v>2350</v>
      </c>
      <c r="C1740" s="49" t="s">
        <v>4238</v>
      </c>
      <c r="D1740" s="49" t="s">
        <v>2352</v>
      </c>
      <c r="E1740" s="49" t="str">
        <f aca="false">"12498676"</f>
        <v>12498676</v>
      </c>
      <c r="F1740" s="49" t="s">
        <v>4229</v>
      </c>
      <c r="G1740" s="49" t="n">
        <v>0</v>
      </c>
      <c r="H1740" s="0" t="n">
        <v>0</v>
      </c>
      <c r="M1740" s="51" t="s">
        <v>4180</v>
      </c>
      <c r="N1740" s="49" t="n">
        <v>0</v>
      </c>
      <c r="O1740" s="53" t="n">
        <v>45693.7317708333</v>
      </c>
      <c r="P1740" s="53" t="n">
        <v>45839.8957060185</v>
      </c>
      <c r="Q1740" s="53" t="n">
        <v>45693.7317708333</v>
      </c>
      <c r="R1740" s="0" t="n">
        <v>0</v>
      </c>
      <c r="S1740" s="51" t="s">
        <v>2371</v>
      </c>
      <c r="T1740" s="51" t="s">
        <v>2371</v>
      </c>
      <c r="U1740" s="0" t="str">
        <f aca="false">"12498676"</f>
        <v>12498676</v>
      </c>
      <c r="V1740" s="51" t="s">
        <v>2365</v>
      </c>
      <c r="W1740" s="51" t="s">
        <v>4239</v>
      </c>
      <c r="X1740" s="51" t="s">
        <v>2359</v>
      </c>
    </row>
    <row r="1741" customFormat="false" ht="14.25" hidden="true" customHeight="false" outlineLevel="0" collapsed="false">
      <c r="A1741" s="49" t="s">
        <v>2349</v>
      </c>
      <c r="B1741" s="49" t="s">
        <v>2350</v>
      </c>
      <c r="C1741" s="49" t="s">
        <v>4240</v>
      </c>
      <c r="D1741" s="49" t="s">
        <v>2352</v>
      </c>
      <c r="E1741" s="49" t="str">
        <f aca="false">"12498676"</f>
        <v>12498676</v>
      </c>
      <c r="F1741" s="49" t="s">
        <v>4229</v>
      </c>
      <c r="G1741" s="49" t="n">
        <v>0</v>
      </c>
      <c r="H1741" s="0" t="n">
        <v>0</v>
      </c>
      <c r="M1741" s="51" t="s">
        <v>4180</v>
      </c>
      <c r="N1741" s="49" t="n">
        <v>0</v>
      </c>
      <c r="O1741" s="53" t="n">
        <v>45693.7319328704</v>
      </c>
      <c r="P1741" s="53" t="n">
        <v>45839.8945486111</v>
      </c>
      <c r="Q1741" s="53" t="n">
        <v>45693.7319328704</v>
      </c>
      <c r="R1741" s="0" t="n">
        <v>0</v>
      </c>
      <c r="S1741" s="51" t="s">
        <v>2371</v>
      </c>
      <c r="T1741" s="51" t="s">
        <v>2371</v>
      </c>
      <c r="U1741" s="0" t="str">
        <f aca="false">"12498676"</f>
        <v>12498676</v>
      </c>
      <c r="V1741" s="51" t="s">
        <v>2365</v>
      </c>
      <c r="W1741" s="51" t="s">
        <v>4241</v>
      </c>
      <c r="X1741" s="51" t="s">
        <v>2359</v>
      </c>
    </row>
    <row r="1742" customFormat="false" ht="14.25" hidden="true" customHeight="false" outlineLevel="0" collapsed="false">
      <c r="A1742" s="49" t="s">
        <v>2349</v>
      </c>
      <c r="B1742" s="49" t="s">
        <v>2350</v>
      </c>
      <c r="C1742" s="49" t="s">
        <v>4242</v>
      </c>
      <c r="D1742" s="49" t="s">
        <v>2352</v>
      </c>
      <c r="E1742" s="49" t="str">
        <f aca="false">"12496976"</f>
        <v>12496976</v>
      </c>
      <c r="F1742" s="49" t="s">
        <v>4220</v>
      </c>
      <c r="G1742" s="49" t="n">
        <v>0</v>
      </c>
      <c r="H1742" s="0" t="n">
        <v>0</v>
      </c>
      <c r="M1742" s="51" t="s">
        <v>4180</v>
      </c>
      <c r="N1742" s="49" t="n">
        <v>0</v>
      </c>
      <c r="O1742" s="53" t="n">
        <v>45693.7297569444</v>
      </c>
      <c r="P1742" s="53" t="n">
        <v>45716.8063194445</v>
      </c>
      <c r="Q1742" s="53" t="n">
        <v>45693.7297569444</v>
      </c>
      <c r="R1742" s="0" t="n">
        <v>0</v>
      </c>
      <c r="S1742" s="51" t="s">
        <v>2371</v>
      </c>
      <c r="T1742" s="51" t="s">
        <v>2371</v>
      </c>
      <c r="U1742" s="0" t="str">
        <f aca="false">"12496976"</f>
        <v>12496976</v>
      </c>
      <c r="V1742" s="51" t="s">
        <v>2365</v>
      </c>
      <c r="W1742" s="51" t="s">
        <v>4243</v>
      </c>
      <c r="X1742" s="51" t="s">
        <v>2359</v>
      </c>
    </row>
    <row r="1743" customFormat="false" ht="14.25" hidden="true" customHeight="false" outlineLevel="0" collapsed="false">
      <c r="A1743" s="49" t="s">
        <v>2349</v>
      </c>
      <c r="B1743" s="49" t="s">
        <v>2350</v>
      </c>
      <c r="C1743" s="49" t="s">
        <v>4244</v>
      </c>
      <c r="D1743" s="49" t="s">
        <v>2352</v>
      </c>
      <c r="E1743" s="49" t="str">
        <f aca="false">"12207690"</f>
        <v>12207690</v>
      </c>
      <c r="F1743" s="49" t="s">
        <v>4199</v>
      </c>
      <c r="G1743" s="49" t="n">
        <v>0</v>
      </c>
      <c r="H1743" s="0" t="n">
        <v>0</v>
      </c>
      <c r="M1743" s="51" t="s">
        <v>4180</v>
      </c>
      <c r="N1743" s="49" t="n">
        <v>0</v>
      </c>
      <c r="O1743" s="53" t="n">
        <v>45693.743900463</v>
      </c>
      <c r="P1743" s="53" t="n">
        <v>45705.3354050926</v>
      </c>
      <c r="Q1743" s="53" t="n">
        <v>45693.743900463</v>
      </c>
      <c r="R1743" s="0" t="n">
        <v>0</v>
      </c>
      <c r="S1743" s="51" t="s">
        <v>2371</v>
      </c>
      <c r="T1743" s="51" t="s">
        <v>2371</v>
      </c>
      <c r="U1743" s="0" t="str">
        <f aca="false">"12207690"</f>
        <v>12207690</v>
      </c>
      <c r="V1743" s="51" t="s">
        <v>2365</v>
      </c>
      <c r="W1743" s="51" t="s">
        <v>4245</v>
      </c>
      <c r="X1743" s="51" t="s">
        <v>2359</v>
      </c>
    </row>
    <row r="1744" customFormat="false" ht="14.25" hidden="true" customHeight="false" outlineLevel="0" collapsed="false">
      <c r="A1744" s="49" t="s">
        <v>2349</v>
      </c>
      <c r="B1744" s="49" t="s">
        <v>2350</v>
      </c>
      <c r="C1744" s="49" t="s">
        <v>4246</v>
      </c>
      <c r="D1744" s="49" t="s">
        <v>2352</v>
      </c>
      <c r="E1744" s="49" t="str">
        <f aca="false">"12207690"</f>
        <v>12207690</v>
      </c>
      <c r="F1744" s="49" t="s">
        <v>4199</v>
      </c>
      <c r="G1744" s="49" t="n">
        <v>0</v>
      </c>
      <c r="H1744" s="0" t="n">
        <v>0</v>
      </c>
      <c r="M1744" s="51" t="s">
        <v>4180</v>
      </c>
      <c r="N1744" s="49" t="n">
        <v>0</v>
      </c>
      <c r="O1744" s="53" t="n">
        <v>45693.7434722222</v>
      </c>
      <c r="P1744" s="53" t="n">
        <v>45699.9290277778</v>
      </c>
      <c r="Q1744" s="53" t="n">
        <v>45693.7434722222</v>
      </c>
      <c r="R1744" s="0" t="n">
        <v>0</v>
      </c>
      <c r="S1744" s="51" t="s">
        <v>2371</v>
      </c>
      <c r="T1744" s="51" t="s">
        <v>2371</v>
      </c>
      <c r="U1744" s="0" t="str">
        <f aca="false">"12207690"</f>
        <v>12207690</v>
      </c>
      <c r="V1744" s="51" t="s">
        <v>2365</v>
      </c>
      <c r="W1744" s="51" t="s">
        <v>4247</v>
      </c>
      <c r="X1744" s="51" t="s">
        <v>2359</v>
      </c>
    </row>
    <row r="1745" customFormat="false" ht="14.25" hidden="true" customHeight="false" outlineLevel="0" collapsed="false">
      <c r="A1745" s="49" t="s">
        <v>2349</v>
      </c>
      <c r="B1745" s="49" t="s">
        <v>2350</v>
      </c>
      <c r="C1745" s="49" t="s">
        <v>4248</v>
      </c>
      <c r="D1745" s="49" t="s">
        <v>2352</v>
      </c>
      <c r="E1745" s="49" t="str">
        <f aca="false">"12207690"</f>
        <v>12207690</v>
      </c>
      <c r="F1745" s="49" t="s">
        <v>4199</v>
      </c>
      <c r="G1745" s="49" t="n">
        <v>0</v>
      </c>
      <c r="H1745" s="0" t="n">
        <v>0</v>
      </c>
      <c r="M1745" s="51" t="s">
        <v>4180</v>
      </c>
      <c r="N1745" s="49" t="n">
        <v>0</v>
      </c>
      <c r="O1745" s="53" t="n">
        <v>45693.7430787037</v>
      </c>
      <c r="P1745" s="53" t="n">
        <v>45700.440625</v>
      </c>
      <c r="Q1745" s="53" t="n">
        <v>45693.7430787037</v>
      </c>
      <c r="R1745" s="0" t="n">
        <v>0</v>
      </c>
      <c r="S1745" s="51" t="s">
        <v>2371</v>
      </c>
      <c r="T1745" s="51" t="s">
        <v>2371</v>
      </c>
      <c r="U1745" s="0" t="str">
        <f aca="false">"12207690"</f>
        <v>12207690</v>
      </c>
      <c r="V1745" s="51" t="s">
        <v>2365</v>
      </c>
      <c r="W1745" s="51" t="s">
        <v>4249</v>
      </c>
      <c r="X1745" s="51" t="s">
        <v>2359</v>
      </c>
    </row>
    <row r="1746" customFormat="false" ht="14.25" hidden="true" customHeight="false" outlineLevel="0" collapsed="false">
      <c r="A1746" s="49" t="s">
        <v>2349</v>
      </c>
      <c r="B1746" s="49" t="s">
        <v>2350</v>
      </c>
      <c r="C1746" s="49" t="s">
        <v>4250</v>
      </c>
      <c r="D1746" s="49" t="s">
        <v>2352</v>
      </c>
      <c r="E1746" s="49" t="str">
        <f aca="false">"12428864"</f>
        <v>12428864</v>
      </c>
      <c r="F1746" s="49" t="s">
        <v>4251</v>
      </c>
      <c r="G1746" s="49" t="n">
        <v>0</v>
      </c>
      <c r="H1746" s="0" t="n">
        <v>0</v>
      </c>
      <c r="M1746" s="51" t="s">
        <v>4180</v>
      </c>
      <c r="N1746" s="49" t="n">
        <v>0</v>
      </c>
      <c r="O1746" s="53" t="n">
        <v>45693.73625</v>
      </c>
      <c r="P1746" s="53" t="n">
        <v>45754.582349537</v>
      </c>
      <c r="Q1746" s="53" t="n">
        <v>45693.73625</v>
      </c>
      <c r="R1746" s="0" t="n">
        <v>0</v>
      </c>
      <c r="S1746" s="51" t="s">
        <v>2371</v>
      </c>
      <c r="T1746" s="51" t="s">
        <v>2371</v>
      </c>
      <c r="U1746" s="0" t="str">
        <f aca="false">"12428864"</f>
        <v>12428864</v>
      </c>
      <c r="V1746" s="51" t="s">
        <v>2365</v>
      </c>
      <c r="W1746" s="51" t="s">
        <v>4252</v>
      </c>
      <c r="X1746" s="51" t="s">
        <v>2359</v>
      </c>
    </row>
    <row r="1747" customFormat="false" ht="14.25" hidden="true" customHeight="false" outlineLevel="0" collapsed="false">
      <c r="A1747" s="49" t="s">
        <v>2349</v>
      </c>
      <c r="B1747" s="49" t="s">
        <v>2350</v>
      </c>
      <c r="C1747" s="49" t="s">
        <v>4253</v>
      </c>
      <c r="D1747" s="49" t="s">
        <v>2352</v>
      </c>
      <c r="E1747" s="49" t="str">
        <f aca="false">"12428864"</f>
        <v>12428864</v>
      </c>
      <c r="F1747" s="49" t="s">
        <v>4251</v>
      </c>
      <c r="G1747" s="49" t="n">
        <v>0</v>
      </c>
      <c r="H1747" s="0" t="n">
        <v>0</v>
      </c>
      <c r="M1747" s="51" t="s">
        <v>4180</v>
      </c>
      <c r="N1747" s="49" t="n">
        <v>0</v>
      </c>
      <c r="O1747" s="53" t="n">
        <v>45693.7360532407</v>
      </c>
      <c r="P1747" s="53" t="n">
        <v>45706.1326736111</v>
      </c>
      <c r="Q1747" s="53" t="n">
        <v>45693.7360532407</v>
      </c>
      <c r="R1747" s="0" t="n">
        <v>0</v>
      </c>
      <c r="S1747" s="51" t="s">
        <v>2371</v>
      </c>
      <c r="T1747" s="51" t="s">
        <v>2371</v>
      </c>
      <c r="U1747" s="0" t="str">
        <f aca="false">"12428864"</f>
        <v>12428864</v>
      </c>
      <c r="V1747" s="51" t="s">
        <v>2365</v>
      </c>
      <c r="W1747" s="51" t="s">
        <v>4254</v>
      </c>
      <c r="X1747" s="51" t="s">
        <v>2359</v>
      </c>
    </row>
    <row r="1748" customFormat="false" ht="14.25" hidden="true" customHeight="false" outlineLevel="0" collapsed="false">
      <c r="A1748" s="49" t="s">
        <v>2349</v>
      </c>
      <c r="B1748" s="49" t="s">
        <v>2350</v>
      </c>
      <c r="C1748" s="49" t="s">
        <v>4255</v>
      </c>
      <c r="D1748" s="49" t="s">
        <v>2352</v>
      </c>
      <c r="E1748" s="49" t="str">
        <f aca="false">"12428864"</f>
        <v>12428864</v>
      </c>
      <c r="F1748" s="49" t="s">
        <v>4251</v>
      </c>
      <c r="G1748" s="49" t="n">
        <v>0</v>
      </c>
      <c r="H1748" s="0" t="n">
        <v>0</v>
      </c>
      <c r="M1748" s="51" t="s">
        <v>4180</v>
      </c>
      <c r="N1748" s="49" t="n">
        <v>0</v>
      </c>
      <c r="O1748" s="53" t="n">
        <v>45693.7358333333</v>
      </c>
      <c r="P1748" s="53" t="n">
        <v>45724.4379166667</v>
      </c>
      <c r="Q1748" s="53" t="n">
        <v>45693.7358333333</v>
      </c>
      <c r="R1748" s="0" t="n">
        <v>0</v>
      </c>
      <c r="S1748" s="51" t="s">
        <v>2371</v>
      </c>
      <c r="T1748" s="51" t="s">
        <v>2371</v>
      </c>
      <c r="U1748" s="0" t="str">
        <f aca="false">"12428864"</f>
        <v>12428864</v>
      </c>
      <c r="V1748" s="51" t="s">
        <v>2365</v>
      </c>
      <c r="W1748" s="51" t="s">
        <v>4256</v>
      </c>
      <c r="X1748" s="51" t="s">
        <v>2359</v>
      </c>
    </row>
    <row r="1749" customFormat="false" ht="14.25" hidden="true" customHeight="false" outlineLevel="0" collapsed="false">
      <c r="A1749" s="49" t="s">
        <v>2349</v>
      </c>
      <c r="B1749" s="49" t="s">
        <v>2350</v>
      </c>
      <c r="C1749" s="49" t="s">
        <v>4257</v>
      </c>
      <c r="D1749" s="49" t="s">
        <v>2352</v>
      </c>
      <c r="E1749" s="49" t="str">
        <f aca="false">"12428864"</f>
        <v>12428864</v>
      </c>
      <c r="F1749" s="49" t="s">
        <v>4251</v>
      </c>
      <c r="G1749" s="49" t="n">
        <v>0</v>
      </c>
      <c r="H1749" s="0" t="n">
        <v>0</v>
      </c>
      <c r="M1749" s="51" t="s">
        <v>4180</v>
      </c>
      <c r="N1749" s="49" t="n">
        <v>0</v>
      </c>
      <c r="O1749" s="53" t="n">
        <v>45693.7356481482</v>
      </c>
      <c r="P1749" s="53" t="n">
        <v>45706.131099537</v>
      </c>
      <c r="Q1749" s="53" t="n">
        <v>45693.7356481482</v>
      </c>
      <c r="R1749" s="0" t="n">
        <v>0</v>
      </c>
      <c r="S1749" s="51" t="s">
        <v>2371</v>
      </c>
      <c r="T1749" s="51" t="s">
        <v>2371</v>
      </c>
      <c r="U1749" s="0" t="str">
        <f aca="false">"12428864"</f>
        <v>12428864</v>
      </c>
      <c r="V1749" s="51" t="s">
        <v>2365</v>
      </c>
      <c r="W1749" s="51" t="s">
        <v>4258</v>
      </c>
      <c r="X1749" s="51" t="s">
        <v>2359</v>
      </c>
    </row>
    <row r="1750" customFormat="false" ht="14.25" hidden="true" customHeight="false" outlineLevel="0" collapsed="false">
      <c r="A1750" s="49" t="s">
        <v>2349</v>
      </c>
      <c r="B1750" s="49" t="s">
        <v>2350</v>
      </c>
      <c r="C1750" s="49" t="s">
        <v>4259</v>
      </c>
      <c r="D1750" s="49" t="s">
        <v>2352</v>
      </c>
      <c r="E1750" s="49" t="str">
        <f aca="false">"12428864"</f>
        <v>12428864</v>
      </c>
      <c r="F1750" s="49" t="s">
        <v>4251</v>
      </c>
      <c r="G1750" s="49" t="n">
        <v>0</v>
      </c>
      <c r="H1750" s="0" t="n">
        <v>0</v>
      </c>
      <c r="M1750" s="51" t="s">
        <v>4180</v>
      </c>
      <c r="N1750" s="49" t="n">
        <v>0</v>
      </c>
      <c r="O1750" s="53" t="n">
        <v>45693.7354513889</v>
      </c>
      <c r="P1750" s="53" t="n">
        <v>45705.4646643519</v>
      </c>
      <c r="Q1750" s="53" t="n">
        <v>45693.7354513889</v>
      </c>
      <c r="R1750" s="0" t="n">
        <v>0</v>
      </c>
      <c r="S1750" s="51" t="s">
        <v>2371</v>
      </c>
      <c r="T1750" s="51" t="s">
        <v>2371</v>
      </c>
      <c r="U1750" s="0" t="str">
        <f aca="false">"12428864"</f>
        <v>12428864</v>
      </c>
      <c r="V1750" s="51" t="s">
        <v>2365</v>
      </c>
      <c r="W1750" s="51" t="s">
        <v>4260</v>
      </c>
      <c r="X1750" s="51" t="s">
        <v>2359</v>
      </c>
    </row>
    <row r="1751" customFormat="false" ht="14.25" hidden="true" customHeight="false" outlineLevel="0" collapsed="false">
      <c r="A1751" s="49" t="s">
        <v>2349</v>
      </c>
      <c r="B1751" s="49" t="s">
        <v>2350</v>
      </c>
      <c r="C1751" s="49" t="s">
        <v>4261</v>
      </c>
      <c r="D1751" s="49" t="s">
        <v>2352</v>
      </c>
      <c r="E1751" s="49" t="str">
        <f aca="false">"12428864"</f>
        <v>12428864</v>
      </c>
      <c r="F1751" s="49" t="s">
        <v>4251</v>
      </c>
      <c r="G1751" s="49" t="n">
        <v>0</v>
      </c>
      <c r="H1751" s="0" t="n">
        <v>0</v>
      </c>
      <c r="M1751" s="51" t="s">
        <v>4180</v>
      </c>
      <c r="N1751" s="49" t="n">
        <v>0</v>
      </c>
      <c r="O1751" s="53" t="n">
        <v>45693.7352430556</v>
      </c>
      <c r="P1751" s="53" t="n">
        <v>45705.4644328704</v>
      </c>
      <c r="Q1751" s="53" t="n">
        <v>45693.7352430556</v>
      </c>
      <c r="R1751" s="0" t="n">
        <v>0</v>
      </c>
      <c r="S1751" s="51" t="s">
        <v>2371</v>
      </c>
      <c r="T1751" s="51" t="s">
        <v>2371</v>
      </c>
      <c r="U1751" s="0" t="str">
        <f aca="false">"12428864"</f>
        <v>12428864</v>
      </c>
      <c r="V1751" s="51" t="s">
        <v>2365</v>
      </c>
      <c r="W1751" s="51" t="s">
        <v>4262</v>
      </c>
      <c r="X1751" s="51" t="s">
        <v>2359</v>
      </c>
    </row>
    <row r="1752" customFormat="false" ht="14.25" hidden="true" customHeight="false" outlineLevel="0" collapsed="false">
      <c r="A1752" s="49" t="s">
        <v>2349</v>
      </c>
      <c r="B1752" s="49" t="s">
        <v>2350</v>
      </c>
      <c r="C1752" s="49" t="s">
        <v>4263</v>
      </c>
      <c r="D1752" s="49" t="s">
        <v>2352</v>
      </c>
      <c r="E1752" s="49" t="str">
        <f aca="false">"12428864"</f>
        <v>12428864</v>
      </c>
      <c r="F1752" s="49" t="s">
        <v>4251</v>
      </c>
      <c r="G1752" s="49" t="n">
        <v>0</v>
      </c>
      <c r="H1752" s="0" t="n">
        <v>0</v>
      </c>
      <c r="M1752" s="51" t="s">
        <v>4180</v>
      </c>
      <c r="N1752" s="49" t="n">
        <v>0</v>
      </c>
      <c r="O1752" s="53" t="n">
        <v>45693.7350462963</v>
      </c>
      <c r="P1752" s="53" t="n">
        <v>45776.0652314815</v>
      </c>
      <c r="Q1752" s="53" t="n">
        <v>45693.7350462963</v>
      </c>
      <c r="R1752" s="0" t="n">
        <v>0</v>
      </c>
      <c r="S1752" s="51" t="s">
        <v>2371</v>
      </c>
      <c r="T1752" s="51" t="s">
        <v>2371</v>
      </c>
      <c r="U1752" s="0" t="str">
        <f aca="false">"12428864"</f>
        <v>12428864</v>
      </c>
      <c r="V1752" s="51" t="s">
        <v>2365</v>
      </c>
      <c r="W1752" s="51" t="s">
        <v>4264</v>
      </c>
      <c r="X1752" s="51" t="s">
        <v>2359</v>
      </c>
    </row>
    <row r="1753" customFormat="false" ht="14.25" hidden="true" customHeight="false" outlineLevel="0" collapsed="false">
      <c r="A1753" s="49" t="s">
        <v>2349</v>
      </c>
      <c r="B1753" s="49" t="s">
        <v>2350</v>
      </c>
      <c r="C1753" s="49" t="s">
        <v>4265</v>
      </c>
      <c r="D1753" s="49" t="s">
        <v>2352</v>
      </c>
      <c r="E1753" s="49" t="str">
        <f aca="false">"12428864"</f>
        <v>12428864</v>
      </c>
      <c r="F1753" s="49" t="s">
        <v>4251</v>
      </c>
      <c r="G1753" s="49" t="n">
        <v>0</v>
      </c>
      <c r="H1753" s="0" t="n">
        <v>0</v>
      </c>
      <c r="M1753" s="51" t="s">
        <v>4180</v>
      </c>
      <c r="N1753" s="49" t="n">
        <v>0</v>
      </c>
      <c r="O1753" s="53" t="n">
        <v>45693.7348032407</v>
      </c>
      <c r="P1753" s="53" t="n">
        <v>45754.5710300926</v>
      </c>
      <c r="Q1753" s="53" t="n">
        <v>45693.7348032407</v>
      </c>
      <c r="R1753" s="0" t="n">
        <v>0</v>
      </c>
      <c r="S1753" s="51" t="s">
        <v>2371</v>
      </c>
      <c r="T1753" s="51" t="s">
        <v>2371</v>
      </c>
      <c r="U1753" s="0" t="str">
        <f aca="false">"12428864"</f>
        <v>12428864</v>
      </c>
      <c r="V1753" s="51" t="s">
        <v>2365</v>
      </c>
      <c r="W1753" s="51" t="s">
        <v>4266</v>
      </c>
      <c r="X1753" s="51" t="s">
        <v>2359</v>
      </c>
    </row>
    <row r="1754" customFormat="false" ht="14.25" hidden="true" customHeight="false" outlineLevel="0" collapsed="false">
      <c r="A1754" s="49" t="s">
        <v>2349</v>
      </c>
      <c r="B1754" s="49" t="s">
        <v>2350</v>
      </c>
      <c r="C1754" s="49" t="s">
        <v>4267</v>
      </c>
      <c r="D1754" s="49" t="s">
        <v>2352</v>
      </c>
      <c r="E1754" s="49" t="str">
        <f aca="false">"12428864"</f>
        <v>12428864</v>
      </c>
      <c r="F1754" s="49" t="s">
        <v>4251</v>
      </c>
      <c r="G1754" s="49" t="n">
        <v>0</v>
      </c>
      <c r="H1754" s="0" t="n">
        <v>0</v>
      </c>
      <c r="M1754" s="51" t="s">
        <v>4180</v>
      </c>
      <c r="N1754" s="49" t="n">
        <v>0</v>
      </c>
      <c r="O1754" s="53" t="n">
        <v>45693.7346296296</v>
      </c>
      <c r="P1754" s="53" t="n">
        <v>45742.9642592593</v>
      </c>
      <c r="Q1754" s="53" t="n">
        <v>45693.7346296296</v>
      </c>
      <c r="R1754" s="0" t="n">
        <v>0</v>
      </c>
      <c r="S1754" s="51" t="s">
        <v>2371</v>
      </c>
      <c r="T1754" s="51" t="s">
        <v>2371</v>
      </c>
      <c r="U1754" s="0" t="str">
        <f aca="false">"12428864"</f>
        <v>12428864</v>
      </c>
      <c r="V1754" s="51" t="s">
        <v>2365</v>
      </c>
      <c r="W1754" s="51" t="s">
        <v>4268</v>
      </c>
      <c r="X1754" s="51" t="s">
        <v>2359</v>
      </c>
    </row>
    <row r="1755" customFormat="false" ht="14.25" hidden="true" customHeight="false" outlineLevel="0" collapsed="false">
      <c r="A1755" s="49" t="s">
        <v>2349</v>
      </c>
      <c r="B1755" s="49" t="s">
        <v>2350</v>
      </c>
      <c r="C1755" s="49" t="s">
        <v>4269</v>
      </c>
      <c r="D1755" s="49" t="s">
        <v>2352</v>
      </c>
      <c r="E1755" s="49" t="str">
        <f aca="false">"12428864"</f>
        <v>12428864</v>
      </c>
      <c r="F1755" s="49" t="s">
        <v>4251</v>
      </c>
      <c r="G1755" s="49" t="n">
        <v>0</v>
      </c>
      <c r="H1755" s="0" t="n">
        <v>0</v>
      </c>
      <c r="M1755" s="51" t="s">
        <v>4180</v>
      </c>
      <c r="N1755" s="49" t="n">
        <v>0</v>
      </c>
      <c r="O1755" s="53" t="n">
        <v>45693.734375</v>
      </c>
      <c r="P1755" s="53" t="n">
        <v>45756.6267592593</v>
      </c>
      <c r="Q1755" s="53" t="n">
        <v>45693.734375</v>
      </c>
      <c r="R1755" s="0" t="n">
        <v>0</v>
      </c>
      <c r="S1755" s="51" t="s">
        <v>2371</v>
      </c>
      <c r="T1755" s="51" t="s">
        <v>2371</v>
      </c>
      <c r="U1755" s="0" t="str">
        <f aca="false">"12428864"</f>
        <v>12428864</v>
      </c>
      <c r="V1755" s="51" t="s">
        <v>2365</v>
      </c>
      <c r="W1755" s="51" t="s">
        <v>4270</v>
      </c>
      <c r="X1755" s="51" t="s">
        <v>2359</v>
      </c>
    </row>
    <row r="1756" customFormat="false" ht="14.25" hidden="true" customHeight="false" outlineLevel="0" collapsed="false">
      <c r="A1756" s="49" t="s">
        <v>2349</v>
      </c>
      <c r="B1756" s="49" t="s">
        <v>2350</v>
      </c>
      <c r="C1756" s="49" t="s">
        <v>4271</v>
      </c>
      <c r="D1756" s="49" t="s">
        <v>2352</v>
      </c>
      <c r="E1756" s="49" t="str">
        <f aca="false">"12476048"</f>
        <v>12476048</v>
      </c>
      <c r="F1756" s="49" t="s">
        <v>4272</v>
      </c>
      <c r="G1756" s="49" t="n">
        <v>0</v>
      </c>
      <c r="H1756" s="0" t="n">
        <v>0</v>
      </c>
      <c r="M1756" s="51" t="s">
        <v>4180</v>
      </c>
      <c r="N1756" s="49" t="n">
        <v>0</v>
      </c>
      <c r="O1756" s="53" t="n">
        <v>45693.7266319444</v>
      </c>
      <c r="P1756" s="53" t="n">
        <v>45707.9911458333</v>
      </c>
      <c r="Q1756" s="53" t="n">
        <v>45693.7266319444</v>
      </c>
      <c r="R1756" s="0" t="n">
        <v>0</v>
      </c>
      <c r="S1756" s="51" t="s">
        <v>2371</v>
      </c>
      <c r="T1756" s="51" t="s">
        <v>2371</v>
      </c>
      <c r="U1756" s="0" t="str">
        <f aca="false">"12476048"</f>
        <v>12476048</v>
      </c>
      <c r="V1756" s="51" t="s">
        <v>2365</v>
      </c>
      <c r="W1756" s="51" t="s">
        <v>4273</v>
      </c>
      <c r="X1756" s="51" t="s">
        <v>2359</v>
      </c>
    </row>
    <row r="1757" customFormat="false" ht="14.25" hidden="true" customHeight="false" outlineLevel="0" collapsed="false">
      <c r="A1757" s="49" t="s">
        <v>2349</v>
      </c>
      <c r="B1757" s="49" t="s">
        <v>2350</v>
      </c>
      <c r="C1757" s="49" t="s">
        <v>4274</v>
      </c>
      <c r="D1757" s="49" t="s">
        <v>2352</v>
      </c>
      <c r="E1757" s="49" t="str">
        <f aca="false">"12336858"</f>
        <v>12336858</v>
      </c>
      <c r="F1757" s="49" t="s">
        <v>4275</v>
      </c>
      <c r="G1757" s="49" t="n">
        <v>0</v>
      </c>
      <c r="H1757" s="0" t="n">
        <v>0</v>
      </c>
      <c r="M1757" s="51" t="s">
        <v>4180</v>
      </c>
      <c r="N1757" s="49" t="n">
        <v>0</v>
      </c>
      <c r="O1757" s="53" t="n">
        <v>45693.7258217593</v>
      </c>
      <c r="P1757" s="53" t="n">
        <v>45803.8902199074</v>
      </c>
      <c r="Q1757" s="53" t="n">
        <v>45693.7258217593</v>
      </c>
      <c r="R1757" s="0" t="n">
        <v>0</v>
      </c>
      <c r="S1757" s="51" t="s">
        <v>2371</v>
      </c>
      <c r="T1757" s="51" t="s">
        <v>2371</v>
      </c>
      <c r="U1757" s="0" t="str">
        <f aca="false">"12336858"</f>
        <v>12336858</v>
      </c>
      <c r="V1757" s="51" t="s">
        <v>2365</v>
      </c>
      <c r="W1757" s="51" t="s">
        <v>4276</v>
      </c>
      <c r="X1757" s="51" t="s">
        <v>2359</v>
      </c>
    </row>
    <row r="1758" customFormat="false" ht="14.25" hidden="true" customHeight="false" outlineLevel="0" collapsed="false">
      <c r="A1758" s="49" t="s">
        <v>2349</v>
      </c>
      <c r="B1758" s="49" t="s">
        <v>2350</v>
      </c>
      <c r="C1758" s="49" t="s">
        <v>4277</v>
      </c>
      <c r="D1758" s="49" t="s">
        <v>2352</v>
      </c>
      <c r="E1758" s="49" t="str">
        <f aca="false">"12336858"</f>
        <v>12336858</v>
      </c>
      <c r="F1758" s="49" t="s">
        <v>4275</v>
      </c>
      <c r="G1758" s="49" t="n">
        <v>0</v>
      </c>
      <c r="H1758" s="0" t="n">
        <v>0</v>
      </c>
      <c r="M1758" s="51" t="s">
        <v>4180</v>
      </c>
      <c r="N1758" s="49" t="n">
        <v>0</v>
      </c>
      <c r="O1758" s="53" t="n">
        <v>45693.7255324074</v>
      </c>
      <c r="P1758" s="53" t="n">
        <v>45915.8816898148</v>
      </c>
      <c r="Q1758" s="53" t="n">
        <v>45693.7255324074</v>
      </c>
      <c r="R1758" s="0" t="n">
        <v>0</v>
      </c>
      <c r="S1758" s="51" t="s">
        <v>2371</v>
      </c>
      <c r="T1758" s="51" t="s">
        <v>2371</v>
      </c>
      <c r="U1758" s="0" t="str">
        <f aca="false">"12336858"</f>
        <v>12336858</v>
      </c>
      <c r="V1758" s="51" t="s">
        <v>2365</v>
      </c>
      <c r="W1758" s="51" t="s">
        <v>4278</v>
      </c>
      <c r="X1758" s="51" t="s">
        <v>2359</v>
      </c>
    </row>
    <row r="1759" customFormat="false" ht="14.25" hidden="true" customHeight="false" outlineLevel="0" collapsed="false">
      <c r="A1759" s="49" t="s">
        <v>2349</v>
      </c>
      <c r="B1759" s="49" t="s">
        <v>2350</v>
      </c>
      <c r="C1759" s="49" t="s">
        <v>4279</v>
      </c>
      <c r="D1759" s="49" t="s">
        <v>2352</v>
      </c>
      <c r="E1759" s="49" t="str">
        <f aca="false">"12428864"</f>
        <v>12428864</v>
      </c>
      <c r="F1759" s="49" t="s">
        <v>4251</v>
      </c>
      <c r="G1759" s="49" t="n">
        <v>0</v>
      </c>
      <c r="H1759" s="0" t="n">
        <v>0</v>
      </c>
      <c r="M1759" s="51" t="s">
        <v>4180</v>
      </c>
      <c r="N1759" s="49" t="n">
        <v>0</v>
      </c>
      <c r="O1759" s="53" t="n">
        <v>45693.7245949074</v>
      </c>
      <c r="P1759" s="53" t="n">
        <v>45754.5557986111</v>
      </c>
      <c r="Q1759" s="53" t="n">
        <v>45693.7245949074</v>
      </c>
      <c r="R1759" s="0" t="n">
        <v>0</v>
      </c>
      <c r="S1759" s="51" t="s">
        <v>2371</v>
      </c>
      <c r="T1759" s="51" t="s">
        <v>2371</v>
      </c>
      <c r="U1759" s="0" t="str">
        <f aca="false">"12428864"</f>
        <v>12428864</v>
      </c>
      <c r="V1759" s="51" t="s">
        <v>2365</v>
      </c>
      <c r="W1759" s="51" t="s">
        <v>4280</v>
      </c>
      <c r="X1759" s="51" t="s">
        <v>2359</v>
      </c>
    </row>
    <row r="1760" customFormat="false" ht="14.25" hidden="true" customHeight="false" outlineLevel="0" collapsed="false">
      <c r="A1760" s="49" t="s">
        <v>2349</v>
      </c>
      <c r="B1760" s="49" t="s">
        <v>2350</v>
      </c>
      <c r="C1760" s="49" t="s">
        <v>4281</v>
      </c>
      <c r="D1760" s="49" t="s">
        <v>2352</v>
      </c>
      <c r="E1760" s="49" t="str">
        <f aca="false">"12336858"</f>
        <v>12336858</v>
      </c>
      <c r="F1760" s="49" t="s">
        <v>4275</v>
      </c>
      <c r="G1760" s="49" t="n">
        <v>0</v>
      </c>
      <c r="H1760" s="0" t="n">
        <v>0</v>
      </c>
      <c r="M1760" s="51" t="s">
        <v>4180</v>
      </c>
      <c r="N1760" s="49" t="n">
        <v>0</v>
      </c>
      <c r="O1760" s="53" t="n">
        <v>45693.7231712963</v>
      </c>
      <c r="P1760" s="53" t="n">
        <v>45915.882650463</v>
      </c>
      <c r="Q1760" s="53" t="n">
        <v>45693.7231712963</v>
      </c>
      <c r="R1760" s="0" t="n">
        <v>0</v>
      </c>
      <c r="S1760" s="51" t="s">
        <v>2371</v>
      </c>
      <c r="T1760" s="51" t="s">
        <v>2371</v>
      </c>
      <c r="U1760" s="0" t="str">
        <f aca="false">"12336858"</f>
        <v>12336858</v>
      </c>
      <c r="V1760" s="51" t="s">
        <v>2365</v>
      </c>
      <c r="W1760" s="51" t="s">
        <v>4282</v>
      </c>
      <c r="X1760" s="51" t="s">
        <v>2359</v>
      </c>
    </row>
    <row r="1761" customFormat="false" ht="14.25" hidden="true" customHeight="false" outlineLevel="0" collapsed="false">
      <c r="A1761" s="49" t="s">
        <v>2349</v>
      </c>
      <c r="B1761" s="49" t="s">
        <v>2350</v>
      </c>
      <c r="C1761" s="49" t="s">
        <v>4283</v>
      </c>
      <c r="D1761" s="49" t="s">
        <v>2352</v>
      </c>
      <c r="E1761" s="49" t="str">
        <f aca="false">"12476048"</f>
        <v>12476048</v>
      </c>
      <c r="F1761" s="49" t="s">
        <v>4272</v>
      </c>
      <c r="G1761" s="49" t="n">
        <v>0</v>
      </c>
      <c r="H1761" s="0" t="n">
        <v>0</v>
      </c>
      <c r="M1761" s="51" t="s">
        <v>4180</v>
      </c>
      <c r="N1761" s="49" t="n">
        <v>0</v>
      </c>
      <c r="O1761" s="53" t="n">
        <v>45693.7203935185</v>
      </c>
      <c r="P1761" s="53" t="n">
        <v>45742.5387152778</v>
      </c>
      <c r="Q1761" s="53" t="n">
        <v>45693.7203935185</v>
      </c>
      <c r="R1761" s="0" t="n">
        <v>0</v>
      </c>
      <c r="S1761" s="51" t="s">
        <v>2371</v>
      </c>
      <c r="T1761" s="51" t="s">
        <v>2371</v>
      </c>
      <c r="U1761" s="0" t="str">
        <f aca="false">"12476048"</f>
        <v>12476048</v>
      </c>
      <c r="V1761" s="51" t="s">
        <v>2365</v>
      </c>
      <c r="W1761" s="51" t="s">
        <v>4245</v>
      </c>
      <c r="X1761" s="51" t="s">
        <v>2359</v>
      </c>
    </row>
    <row r="1762" customFormat="false" ht="14.25" hidden="true" customHeight="false" outlineLevel="0" collapsed="false">
      <c r="A1762" s="49" t="s">
        <v>2349</v>
      </c>
      <c r="B1762" s="49" t="s">
        <v>2350</v>
      </c>
      <c r="C1762" s="49" t="s">
        <v>4284</v>
      </c>
      <c r="D1762" s="49" t="s">
        <v>2352</v>
      </c>
      <c r="E1762" s="49" t="str">
        <f aca="false">"12496976"</f>
        <v>12496976</v>
      </c>
      <c r="F1762" s="49" t="s">
        <v>4220</v>
      </c>
      <c r="G1762" s="49" t="n">
        <v>0</v>
      </c>
      <c r="H1762" s="0" t="n">
        <v>0</v>
      </c>
      <c r="M1762" s="51" t="s">
        <v>4180</v>
      </c>
      <c r="N1762" s="49" t="n">
        <v>0</v>
      </c>
      <c r="O1762" s="53" t="n">
        <v>45693.7188541667</v>
      </c>
      <c r="P1762" s="53" t="n">
        <v>45716.8068171296</v>
      </c>
      <c r="Q1762" s="53" t="n">
        <v>45693.7188541667</v>
      </c>
      <c r="R1762" s="0" t="n">
        <v>0</v>
      </c>
      <c r="S1762" s="51" t="s">
        <v>2371</v>
      </c>
      <c r="T1762" s="51" t="s">
        <v>2371</v>
      </c>
      <c r="U1762" s="0" t="str">
        <f aca="false">"12496976"</f>
        <v>12496976</v>
      </c>
      <c r="V1762" s="51" t="s">
        <v>2365</v>
      </c>
      <c r="W1762" s="51" t="s">
        <v>4285</v>
      </c>
      <c r="X1762" s="51" t="s">
        <v>2359</v>
      </c>
    </row>
    <row r="1763" customFormat="false" ht="14.25" hidden="true" customHeight="false" outlineLevel="0" collapsed="false">
      <c r="A1763" s="49" t="s">
        <v>2349</v>
      </c>
      <c r="B1763" s="49" t="s">
        <v>2350</v>
      </c>
      <c r="C1763" s="49" t="s">
        <v>4286</v>
      </c>
      <c r="D1763" s="49" t="s">
        <v>2352</v>
      </c>
      <c r="E1763" s="49" t="str">
        <f aca="false">"12498676"</f>
        <v>12498676</v>
      </c>
      <c r="F1763" s="49" t="s">
        <v>4229</v>
      </c>
      <c r="G1763" s="49" t="n">
        <v>0</v>
      </c>
      <c r="H1763" s="0" t="n">
        <v>0</v>
      </c>
      <c r="M1763" s="51" t="s">
        <v>4180</v>
      </c>
      <c r="N1763" s="49" t="n">
        <v>0</v>
      </c>
      <c r="O1763" s="53" t="n">
        <v>45693.7177662037</v>
      </c>
      <c r="P1763" s="53" t="n">
        <v>45698.8785300926</v>
      </c>
      <c r="Q1763" s="53" t="n">
        <v>45693.7177662037</v>
      </c>
      <c r="R1763" s="0" t="n">
        <v>0</v>
      </c>
      <c r="S1763" s="51" t="s">
        <v>2371</v>
      </c>
      <c r="T1763" s="51" t="s">
        <v>2371</v>
      </c>
      <c r="U1763" s="0" t="str">
        <f aca="false">"12498676"</f>
        <v>12498676</v>
      </c>
      <c r="V1763" s="51" t="s">
        <v>2365</v>
      </c>
      <c r="W1763" s="51" t="s">
        <v>2406</v>
      </c>
      <c r="X1763" s="51" t="s">
        <v>2359</v>
      </c>
    </row>
    <row r="1764" customFormat="false" ht="14.25" hidden="true" customHeight="false" outlineLevel="0" collapsed="false">
      <c r="A1764" s="49" t="s">
        <v>2349</v>
      </c>
      <c r="B1764" s="49" t="s">
        <v>2350</v>
      </c>
      <c r="C1764" s="49" t="s">
        <v>4287</v>
      </c>
      <c r="D1764" s="49" t="s">
        <v>2352</v>
      </c>
      <c r="E1764" s="49" t="str">
        <f aca="false">"12207690"</f>
        <v>12207690</v>
      </c>
      <c r="F1764" s="49" t="s">
        <v>4199</v>
      </c>
      <c r="G1764" s="49" t="n">
        <v>0</v>
      </c>
      <c r="H1764" s="0" t="n">
        <v>0</v>
      </c>
      <c r="M1764" s="51" t="s">
        <v>4180</v>
      </c>
      <c r="N1764" s="49" t="n">
        <v>0</v>
      </c>
      <c r="O1764" s="53" t="n">
        <v>45693.7442476852</v>
      </c>
      <c r="P1764" s="53" t="n">
        <v>45705.338900463</v>
      </c>
      <c r="Q1764" s="53" t="n">
        <v>45693.7442476852</v>
      </c>
      <c r="R1764" s="0" t="n">
        <v>0</v>
      </c>
      <c r="S1764" s="51" t="s">
        <v>2371</v>
      </c>
      <c r="T1764" s="51" t="s">
        <v>2371</v>
      </c>
      <c r="U1764" s="0" t="str">
        <f aca="false">"12207690"</f>
        <v>12207690</v>
      </c>
      <c r="V1764" s="51" t="s">
        <v>2365</v>
      </c>
      <c r="W1764" s="51" t="s">
        <v>4288</v>
      </c>
      <c r="X1764" s="51" t="s">
        <v>2359</v>
      </c>
    </row>
    <row r="1765" customFormat="false" ht="14.25" hidden="true" customHeight="false" outlineLevel="0" collapsed="false">
      <c r="A1765" s="49" t="s">
        <v>2349</v>
      </c>
      <c r="B1765" s="49" t="s">
        <v>2350</v>
      </c>
      <c r="C1765" s="49" t="s">
        <v>4289</v>
      </c>
      <c r="D1765" s="49" t="s">
        <v>2352</v>
      </c>
      <c r="E1765" s="49" t="str">
        <f aca="false">"12336858"</f>
        <v>12336858</v>
      </c>
      <c r="F1765" s="49" t="s">
        <v>4275</v>
      </c>
      <c r="G1765" s="49" t="n">
        <v>0</v>
      </c>
      <c r="H1765" s="0" t="n">
        <v>0</v>
      </c>
      <c r="M1765" s="51" t="s">
        <v>4180</v>
      </c>
      <c r="N1765" s="49" t="n">
        <v>0</v>
      </c>
      <c r="O1765" s="53" t="n">
        <v>45693.7165046296</v>
      </c>
      <c r="P1765" s="53" t="n">
        <v>45915.8838425926</v>
      </c>
      <c r="Q1765" s="53" t="n">
        <v>45693.7165046296</v>
      </c>
      <c r="R1765" s="0" t="n">
        <v>0</v>
      </c>
      <c r="S1765" s="51" t="s">
        <v>2371</v>
      </c>
      <c r="T1765" s="51" t="s">
        <v>2371</v>
      </c>
      <c r="U1765" s="0" t="str">
        <f aca="false">"12336858"</f>
        <v>12336858</v>
      </c>
      <c r="V1765" s="51" t="s">
        <v>2365</v>
      </c>
      <c r="W1765" s="51" t="s">
        <v>4290</v>
      </c>
      <c r="X1765" s="51" t="s">
        <v>2359</v>
      </c>
    </row>
    <row r="1766" customFormat="false" ht="14.25" hidden="true" customHeight="false" outlineLevel="0" collapsed="false">
      <c r="A1766" s="49" t="s">
        <v>2349</v>
      </c>
      <c r="B1766" s="49" t="s">
        <v>2350</v>
      </c>
      <c r="C1766" s="49" t="s">
        <v>4291</v>
      </c>
      <c r="D1766" s="49" t="s">
        <v>2352</v>
      </c>
      <c r="E1766" s="49" t="str">
        <f aca="false">"12336858"</f>
        <v>12336858</v>
      </c>
      <c r="F1766" s="49" t="s">
        <v>4275</v>
      </c>
      <c r="G1766" s="49" t="n">
        <v>0</v>
      </c>
      <c r="H1766" s="0" t="n">
        <v>0</v>
      </c>
      <c r="M1766" s="51" t="s">
        <v>4180</v>
      </c>
      <c r="N1766" s="49" t="n">
        <v>0</v>
      </c>
      <c r="O1766" s="53" t="n">
        <v>45693.7160532407</v>
      </c>
      <c r="P1766" s="53" t="n">
        <v>45915.8832175926</v>
      </c>
      <c r="Q1766" s="53" t="n">
        <v>45693.7160532407</v>
      </c>
      <c r="R1766" s="0" t="n">
        <v>0</v>
      </c>
      <c r="S1766" s="51" t="s">
        <v>2371</v>
      </c>
      <c r="T1766" s="51" t="s">
        <v>2371</v>
      </c>
      <c r="U1766" s="0" t="str">
        <f aca="false">"12336858"</f>
        <v>12336858</v>
      </c>
      <c r="V1766" s="51" t="s">
        <v>2365</v>
      </c>
      <c r="W1766" s="51" t="s">
        <v>4292</v>
      </c>
      <c r="X1766" s="51" t="s">
        <v>2359</v>
      </c>
    </row>
    <row r="1767" customFormat="false" ht="14.25" hidden="true" customHeight="false" outlineLevel="0" collapsed="false">
      <c r="A1767" s="49" t="s">
        <v>2349</v>
      </c>
      <c r="B1767" s="49" t="s">
        <v>2350</v>
      </c>
      <c r="C1767" s="49" t="s">
        <v>4293</v>
      </c>
      <c r="D1767" s="49" t="s">
        <v>2352</v>
      </c>
      <c r="E1767" s="49" t="str">
        <f aca="false">"5060458890191"</f>
        <v>5060458890191</v>
      </c>
      <c r="F1767" s="49" t="s">
        <v>3656</v>
      </c>
      <c r="G1767" s="49" t="n">
        <v>0</v>
      </c>
      <c r="H1767" s="0" t="n">
        <v>0</v>
      </c>
      <c r="M1767" s="51" t="s">
        <v>4294</v>
      </c>
      <c r="N1767" s="49" t="n">
        <v>0</v>
      </c>
      <c r="O1767" s="53" t="n">
        <v>45696.5848148148</v>
      </c>
      <c r="P1767" s="53" t="n">
        <v>45720.4114351852</v>
      </c>
      <c r="Q1767" s="53" t="n">
        <v>45696.5848148148</v>
      </c>
      <c r="R1767" s="0" t="n">
        <v>0</v>
      </c>
      <c r="S1767" s="51" t="s">
        <v>2371</v>
      </c>
      <c r="T1767" s="51" t="s">
        <v>2371</v>
      </c>
      <c r="U1767" s="0" t="str">
        <f aca="false">"5060458890191"</f>
        <v>5060458890191</v>
      </c>
      <c r="V1767" s="51" t="s">
        <v>2142</v>
      </c>
      <c r="W1767" s="51" t="s">
        <v>4295</v>
      </c>
      <c r="X1767" s="51" t="s">
        <v>2359</v>
      </c>
    </row>
    <row r="1768" customFormat="false" ht="14.25" hidden="true" customHeight="false" outlineLevel="0" collapsed="false">
      <c r="A1768" s="49" t="s">
        <v>2349</v>
      </c>
      <c r="B1768" s="49" t="s">
        <v>2350</v>
      </c>
      <c r="C1768" s="49" t="s">
        <v>4296</v>
      </c>
      <c r="D1768" s="49" t="s">
        <v>2352</v>
      </c>
      <c r="E1768" s="49" t="str">
        <f aca="false">"5060458890191"</f>
        <v>5060458890191</v>
      </c>
      <c r="F1768" s="49" t="s">
        <v>3656</v>
      </c>
      <c r="G1768" s="49" t="n">
        <v>0</v>
      </c>
      <c r="H1768" s="0" t="n">
        <v>0</v>
      </c>
      <c r="M1768" s="51" t="s">
        <v>4294</v>
      </c>
      <c r="N1768" s="49" t="n">
        <v>0</v>
      </c>
      <c r="O1768" s="53" t="n">
        <v>45696.5849421296</v>
      </c>
      <c r="P1768" s="53" t="n">
        <v>45717.9033217593</v>
      </c>
      <c r="Q1768" s="53" t="n">
        <v>45696.5849421296</v>
      </c>
      <c r="R1768" s="0" t="n">
        <v>0</v>
      </c>
      <c r="S1768" s="51" t="s">
        <v>2371</v>
      </c>
      <c r="T1768" s="51" t="s">
        <v>2371</v>
      </c>
      <c r="U1768" s="0" t="str">
        <f aca="false">"5060458890191"</f>
        <v>5060458890191</v>
      </c>
      <c r="V1768" s="51" t="s">
        <v>2142</v>
      </c>
      <c r="W1768" s="51" t="s">
        <v>4297</v>
      </c>
      <c r="X1768" s="51" t="s">
        <v>2359</v>
      </c>
    </row>
    <row r="1769" customFormat="false" ht="14.25" hidden="true" customHeight="false" outlineLevel="0" collapsed="false">
      <c r="A1769" s="49" t="s">
        <v>2349</v>
      </c>
      <c r="B1769" s="49" t="s">
        <v>2350</v>
      </c>
      <c r="C1769" s="49" t="s">
        <v>4298</v>
      </c>
      <c r="D1769" s="49" t="s">
        <v>2352</v>
      </c>
      <c r="E1769" s="49" t="str">
        <f aca="false">"5060458890191"</f>
        <v>5060458890191</v>
      </c>
      <c r="F1769" s="49" t="s">
        <v>3656</v>
      </c>
      <c r="G1769" s="49" t="n">
        <v>0</v>
      </c>
      <c r="H1769" s="0" t="n">
        <v>0</v>
      </c>
      <c r="M1769" s="51" t="s">
        <v>4294</v>
      </c>
      <c r="N1769" s="49" t="n">
        <v>0</v>
      </c>
      <c r="O1769" s="53" t="n">
        <v>45696.5850810185</v>
      </c>
      <c r="P1769" s="53" t="n">
        <v>45720.4051273148</v>
      </c>
      <c r="Q1769" s="53" t="n">
        <v>45696.5850810185</v>
      </c>
      <c r="R1769" s="0" t="n">
        <v>0</v>
      </c>
      <c r="S1769" s="51" t="s">
        <v>2371</v>
      </c>
      <c r="T1769" s="51" t="s">
        <v>2371</v>
      </c>
      <c r="U1769" s="0" t="str">
        <f aca="false">"5060458890191"</f>
        <v>5060458890191</v>
      </c>
      <c r="V1769" s="51" t="s">
        <v>2142</v>
      </c>
      <c r="W1769" s="51" t="s">
        <v>4299</v>
      </c>
      <c r="X1769" s="51" t="s">
        <v>2359</v>
      </c>
    </row>
    <row r="1770" customFormat="false" ht="14.25" hidden="true" customHeight="false" outlineLevel="0" collapsed="false">
      <c r="A1770" s="49" t="s">
        <v>2349</v>
      </c>
      <c r="B1770" s="49" t="s">
        <v>2350</v>
      </c>
      <c r="C1770" s="49" t="s">
        <v>4300</v>
      </c>
      <c r="D1770" s="49" t="s">
        <v>2352</v>
      </c>
      <c r="E1770" s="49" t="str">
        <f aca="false">"5060458890191"</f>
        <v>5060458890191</v>
      </c>
      <c r="F1770" s="49" t="s">
        <v>3656</v>
      </c>
      <c r="G1770" s="49" t="n">
        <v>0</v>
      </c>
      <c r="H1770" s="0" t="n">
        <v>0</v>
      </c>
      <c r="M1770" s="51" t="s">
        <v>4294</v>
      </c>
      <c r="N1770" s="49" t="n">
        <v>0</v>
      </c>
      <c r="O1770" s="53" t="n">
        <v>45696.5853472222</v>
      </c>
      <c r="P1770" s="53" t="n">
        <v>45698.4291898148</v>
      </c>
      <c r="Q1770" s="53" t="n">
        <v>45696.5853472222</v>
      </c>
      <c r="R1770" s="0" t="n">
        <v>0</v>
      </c>
      <c r="S1770" s="51" t="s">
        <v>2371</v>
      </c>
      <c r="T1770" s="51" t="s">
        <v>2371</v>
      </c>
      <c r="U1770" s="0" t="str">
        <f aca="false">"5060458890191"</f>
        <v>5060458890191</v>
      </c>
      <c r="V1770" s="51" t="s">
        <v>2142</v>
      </c>
      <c r="W1770" s="51" t="s">
        <v>4301</v>
      </c>
      <c r="X1770" s="51" t="s">
        <v>2359</v>
      </c>
    </row>
    <row r="1771" customFormat="false" ht="14.25" hidden="true" customHeight="false" outlineLevel="0" collapsed="false">
      <c r="A1771" s="49" t="s">
        <v>2349</v>
      </c>
      <c r="B1771" s="49" t="s">
        <v>2350</v>
      </c>
      <c r="C1771" s="49" t="s">
        <v>4302</v>
      </c>
      <c r="D1771" s="49" t="s">
        <v>2352</v>
      </c>
      <c r="E1771" s="49" t="str">
        <f aca="false">"5060458890191"</f>
        <v>5060458890191</v>
      </c>
      <c r="F1771" s="49" t="s">
        <v>3656</v>
      </c>
      <c r="G1771" s="49" t="n">
        <v>0</v>
      </c>
      <c r="H1771" s="0" t="n">
        <v>0</v>
      </c>
      <c r="M1771" s="51" t="s">
        <v>4294</v>
      </c>
      <c r="N1771" s="49" t="n">
        <v>0</v>
      </c>
      <c r="O1771" s="53" t="n">
        <v>45696.585462963</v>
      </c>
      <c r="P1771" s="53" t="n">
        <v>45698.4320486111</v>
      </c>
      <c r="Q1771" s="53" t="n">
        <v>45696.585462963</v>
      </c>
      <c r="R1771" s="0" t="n">
        <v>0</v>
      </c>
      <c r="S1771" s="51" t="s">
        <v>2371</v>
      </c>
      <c r="T1771" s="51" t="s">
        <v>2371</v>
      </c>
      <c r="U1771" s="0" t="str">
        <f aca="false">"5060458890191"</f>
        <v>5060458890191</v>
      </c>
      <c r="V1771" s="51" t="s">
        <v>2142</v>
      </c>
      <c r="W1771" s="51" t="s">
        <v>4303</v>
      </c>
      <c r="X1771" s="51" t="s">
        <v>2359</v>
      </c>
    </row>
    <row r="1772" customFormat="false" ht="14.25" hidden="true" customHeight="false" outlineLevel="0" collapsed="false">
      <c r="A1772" s="49" t="s">
        <v>2349</v>
      </c>
      <c r="B1772" s="49" t="s">
        <v>2350</v>
      </c>
      <c r="C1772" s="49" t="s">
        <v>4304</v>
      </c>
      <c r="D1772" s="49" t="s">
        <v>2352</v>
      </c>
      <c r="E1772" s="49" t="str">
        <f aca="false">"5060458890191"</f>
        <v>5060458890191</v>
      </c>
      <c r="F1772" s="49" t="s">
        <v>3656</v>
      </c>
      <c r="G1772" s="49" t="n">
        <v>0</v>
      </c>
      <c r="H1772" s="0" t="n">
        <v>0</v>
      </c>
      <c r="M1772" s="51" t="s">
        <v>4294</v>
      </c>
      <c r="N1772" s="49" t="n">
        <v>0</v>
      </c>
      <c r="O1772" s="53" t="n">
        <v>45696.5855555556</v>
      </c>
      <c r="P1772" s="53" t="n">
        <v>45698.4261689815</v>
      </c>
      <c r="Q1772" s="53" t="n">
        <v>45696.5855555556</v>
      </c>
      <c r="R1772" s="0" t="n">
        <v>0</v>
      </c>
      <c r="S1772" s="51" t="s">
        <v>2371</v>
      </c>
      <c r="T1772" s="51" t="s">
        <v>2371</v>
      </c>
      <c r="U1772" s="0" t="str">
        <f aca="false">"5060458890191"</f>
        <v>5060458890191</v>
      </c>
      <c r="V1772" s="51" t="s">
        <v>2142</v>
      </c>
      <c r="W1772" s="51" t="s">
        <v>4305</v>
      </c>
      <c r="X1772" s="51" t="s">
        <v>2359</v>
      </c>
    </row>
    <row r="1773" customFormat="false" ht="14.25" hidden="true" customHeight="false" outlineLevel="0" collapsed="false">
      <c r="A1773" s="49" t="s">
        <v>2349</v>
      </c>
      <c r="B1773" s="49" t="s">
        <v>2350</v>
      </c>
      <c r="C1773" s="49" t="s">
        <v>4306</v>
      </c>
      <c r="D1773" s="49" t="s">
        <v>2352</v>
      </c>
      <c r="E1773" s="49" t="str">
        <f aca="false">"5060458890191"</f>
        <v>5060458890191</v>
      </c>
      <c r="F1773" s="49" t="s">
        <v>3656</v>
      </c>
      <c r="G1773" s="49" t="n">
        <v>0</v>
      </c>
      <c r="H1773" s="0" t="n">
        <v>0</v>
      </c>
      <c r="M1773" s="51" t="s">
        <v>4294</v>
      </c>
      <c r="N1773" s="49" t="n">
        <v>0</v>
      </c>
      <c r="O1773" s="53" t="n">
        <v>45696.5856944444</v>
      </c>
      <c r="P1773" s="53" t="n">
        <v>45698.4156828704</v>
      </c>
      <c r="Q1773" s="53" t="n">
        <v>45696.5856944444</v>
      </c>
      <c r="R1773" s="0" t="n">
        <v>0</v>
      </c>
      <c r="S1773" s="51" t="s">
        <v>2371</v>
      </c>
      <c r="T1773" s="51" t="s">
        <v>2371</v>
      </c>
      <c r="U1773" s="0" t="str">
        <f aca="false">"5060458890191"</f>
        <v>5060458890191</v>
      </c>
      <c r="V1773" s="51" t="s">
        <v>2142</v>
      </c>
      <c r="W1773" s="51" t="s">
        <v>4307</v>
      </c>
      <c r="X1773" s="51" t="s">
        <v>2359</v>
      </c>
    </row>
    <row r="1774" customFormat="false" ht="14.25" hidden="true" customHeight="false" outlineLevel="0" collapsed="false">
      <c r="A1774" s="49" t="s">
        <v>2349</v>
      </c>
      <c r="B1774" s="49" t="s">
        <v>2350</v>
      </c>
      <c r="C1774" s="49" t="s">
        <v>4308</v>
      </c>
      <c r="D1774" s="49" t="s">
        <v>2352</v>
      </c>
      <c r="E1774" s="49" t="str">
        <f aca="false">"5060458890191"</f>
        <v>5060458890191</v>
      </c>
      <c r="F1774" s="49" t="s">
        <v>3656</v>
      </c>
      <c r="G1774" s="49" t="n">
        <v>0</v>
      </c>
      <c r="H1774" s="0" t="n">
        <v>0</v>
      </c>
      <c r="M1774" s="51" t="s">
        <v>4294</v>
      </c>
      <c r="N1774" s="49" t="n">
        <v>0</v>
      </c>
      <c r="O1774" s="53" t="n">
        <v>45696.5858333333</v>
      </c>
      <c r="P1774" s="53" t="n">
        <v>45698.4285648148</v>
      </c>
      <c r="Q1774" s="53" t="n">
        <v>45696.5858333333</v>
      </c>
      <c r="R1774" s="0" t="n">
        <v>0</v>
      </c>
      <c r="S1774" s="51" t="s">
        <v>2371</v>
      </c>
      <c r="T1774" s="51" t="s">
        <v>2371</v>
      </c>
      <c r="U1774" s="0" t="str">
        <f aca="false">"5060458890191"</f>
        <v>5060458890191</v>
      </c>
      <c r="V1774" s="51" t="s">
        <v>2142</v>
      </c>
      <c r="W1774" s="51" t="s">
        <v>4309</v>
      </c>
      <c r="X1774" s="51" t="s">
        <v>2359</v>
      </c>
    </row>
    <row r="1775" customFormat="false" ht="14.25" hidden="true" customHeight="false" outlineLevel="0" collapsed="false">
      <c r="A1775" s="49" t="s">
        <v>2349</v>
      </c>
      <c r="B1775" s="49" t="s">
        <v>2350</v>
      </c>
      <c r="C1775" s="49" t="s">
        <v>4310</v>
      </c>
      <c r="D1775" s="49" t="s">
        <v>2352</v>
      </c>
      <c r="E1775" s="49" t="str">
        <f aca="false">"5060458890191"</f>
        <v>5060458890191</v>
      </c>
      <c r="F1775" s="49" t="s">
        <v>3656</v>
      </c>
      <c r="G1775" s="49" t="n">
        <v>0</v>
      </c>
      <c r="H1775" s="0" t="n">
        <v>0</v>
      </c>
      <c r="M1775" s="51" t="s">
        <v>4294</v>
      </c>
      <c r="N1775" s="49" t="n">
        <v>0</v>
      </c>
      <c r="O1775" s="53" t="n">
        <v>45696.5859375</v>
      </c>
      <c r="P1775" s="53" t="n">
        <v>45698.4174305556</v>
      </c>
      <c r="Q1775" s="53" t="n">
        <v>45696.5859375</v>
      </c>
      <c r="R1775" s="0" t="n">
        <v>0</v>
      </c>
      <c r="S1775" s="51" t="s">
        <v>2371</v>
      </c>
      <c r="T1775" s="51" t="s">
        <v>2371</v>
      </c>
      <c r="U1775" s="0" t="str">
        <f aca="false">"5060458890191"</f>
        <v>5060458890191</v>
      </c>
      <c r="V1775" s="51" t="s">
        <v>2142</v>
      </c>
      <c r="W1775" s="51" t="s">
        <v>4311</v>
      </c>
      <c r="X1775" s="51" t="s">
        <v>2359</v>
      </c>
    </row>
    <row r="1776" customFormat="false" ht="14.25" hidden="true" customHeight="false" outlineLevel="0" collapsed="false">
      <c r="A1776" s="49" t="s">
        <v>2349</v>
      </c>
      <c r="B1776" s="49" t="s">
        <v>2350</v>
      </c>
      <c r="C1776" s="49" t="s">
        <v>4312</v>
      </c>
      <c r="D1776" s="49" t="s">
        <v>2352</v>
      </c>
      <c r="E1776" s="49" t="str">
        <f aca="false">"5060458890191"</f>
        <v>5060458890191</v>
      </c>
      <c r="F1776" s="49" t="s">
        <v>3656</v>
      </c>
      <c r="G1776" s="49" t="n">
        <v>0</v>
      </c>
      <c r="H1776" s="0" t="n">
        <v>0</v>
      </c>
      <c r="M1776" s="51" t="s">
        <v>4294</v>
      </c>
      <c r="N1776" s="49" t="n">
        <v>0</v>
      </c>
      <c r="O1776" s="53" t="n">
        <v>45696.5860532407</v>
      </c>
      <c r="P1776" s="53" t="n">
        <v>45698.4223032407</v>
      </c>
      <c r="Q1776" s="53" t="n">
        <v>45696.5860532407</v>
      </c>
      <c r="R1776" s="0" t="n">
        <v>0</v>
      </c>
      <c r="S1776" s="51" t="s">
        <v>2371</v>
      </c>
      <c r="T1776" s="51" t="s">
        <v>2371</v>
      </c>
      <c r="U1776" s="0" t="str">
        <f aca="false">"5060458890191"</f>
        <v>5060458890191</v>
      </c>
      <c r="V1776" s="51" t="s">
        <v>2142</v>
      </c>
      <c r="W1776" s="51" t="s">
        <v>4313</v>
      </c>
      <c r="X1776" s="51" t="s">
        <v>2359</v>
      </c>
    </row>
    <row r="1777" customFormat="false" ht="14.25" hidden="true" customHeight="false" outlineLevel="0" collapsed="false">
      <c r="A1777" s="49" t="s">
        <v>2349</v>
      </c>
      <c r="B1777" s="49" t="s">
        <v>2350</v>
      </c>
      <c r="C1777" s="49" t="s">
        <v>4314</v>
      </c>
      <c r="D1777" s="49" t="s">
        <v>2352</v>
      </c>
      <c r="E1777" s="49" t="str">
        <f aca="false">"5060458890191"</f>
        <v>5060458890191</v>
      </c>
      <c r="F1777" s="49" t="s">
        <v>3656</v>
      </c>
      <c r="G1777" s="49" t="n">
        <v>0</v>
      </c>
      <c r="H1777" s="0" t="n">
        <v>0</v>
      </c>
      <c r="M1777" s="51" t="s">
        <v>4294</v>
      </c>
      <c r="N1777" s="49" t="n">
        <v>0</v>
      </c>
      <c r="O1777" s="53" t="n">
        <v>45696.5861574074</v>
      </c>
      <c r="P1777" s="53" t="n">
        <v>45698.4192824074</v>
      </c>
      <c r="Q1777" s="53" t="n">
        <v>45696.5861574074</v>
      </c>
      <c r="R1777" s="0" t="n">
        <v>0</v>
      </c>
      <c r="S1777" s="51" t="s">
        <v>2371</v>
      </c>
      <c r="T1777" s="51" t="s">
        <v>2371</v>
      </c>
      <c r="U1777" s="0" t="str">
        <f aca="false">"5060458890191"</f>
        <v>5060458890191</v>
      </c>
      <c r="V1777" s="51" t="s">
        <v>2142</v>
      </c>
      <c r="W1777" s="51" t="s">
        <v>4315</v>
      </c>
      <c r="X1777" s="51" t="s">
        <v>2359</v>
      </c>
    </row>
    <row r="1778" customFormat="false" ht="14.25" hidden="true" customHeight="false" outlineLevel="0" collapsed="false">
      <c r="A1778" s="49" t="s">
        <v>2349</v>
      </c>
      <c r="B1778" s="49" t="s">
        <v>2350</v>
      </c>
      <c r="C1778" s="49" t="s">
        <v>4316</v>
      </c>
      <c r="D1778" s="49" t="s">
        <v>2352</v>
      </c>
      <c r="E1778" s="49" t="str">
        <f aca="false">"5060458890191"</f>
        <v>5060458890191</v>
      </c>
      <c r="F1778" s="49" t="s">
        <v>3656</v>
      </c>
      <c r="G1778" s="49" t="n">
        <v>0</v>
      </c>
      <c r="H1778" s="0" t="n">
        <v>0</v>
      </c>
      <c r="M1778" s="51" t="s">
        <v>4294</v>
      </c>
      <c r="N1778" s="49" t="n">
        <v>0</v>
      </c>
      <c r="O1778" s="53" t="n">
        <v>45696.5862615741</v>
      </c>
      <c r="P1778" s="53" t="n">
        <v>45698.4207638889</v>
      </c>
      <c r="Q1778" s="53" t="n">
        <v>45696.5862615741</v>
      </c>
      <c r="R1778" s="0" t="n">
        <v>0</v>
      </c>
      <c r="S1778" s="51" t="s">
        <v>2371</v>
      </c>
      <c r="T1778" s="51" t="s">
        <v>2371</v>
      </c>
      <c r="U1778" s="0" t="str">
        <f aca="false">"5060458890191"</f>
        <v>5060458890191</v>
      </c>
      <c r="V1778" s="51" t="s">
        <v>2142</v>
      </c>
      <c r="W1778" s="51" t="s">
        <v>4317</v>
      </c>
      <c r="X1778" s="51" t="s">
        <v>2359</v>
      </c>
    </row>
    <row r="1779" customFormat="false" ht="14.25" hidden="true" customHeight="false" outlineLevel="0" collapsed="false">
      <c r="A1779" s="49" t="s">
        <v>2349</v>
      </c>
      <c r="B1779" s="49" t="s">
        <v>2350</v>
      </c>
      <c r="C1779" s="49" t="s">
        <v>4318</v>
      </c>
      <c r="D1779" s="49" t="s">
        <v>2352</v>
      </c>
      <c r="E1779" s="49" t="str">
        <f aca="false">"5060458890191"</f>
        <v>5060458890191</v>
      </c>
      <c r="F1779" s="49" t="s">
        <v>3656</v>
      </c>
      <c r="G1779" s="49" t="n">
        <v>0</v>
      </c>
      <c r="H1779" s="0" t="n">
        <v>0</v>
      </c>
      <c r="M1779" s="51" t="s">
        <v>4294</v>
      </c>
      <c r="N1779" s="49" t="n">
        <v>0</v>
      </c>
      <c r="O1779" s="53" t="n">
        <v>45696.586412037</v>
      </c>
      <c r="P1779" s="53" t="n">
        <v>45698.4216319444</v>
      </c>
      <c r="Q1779" s="53" t="n">
        <v>45696.586412037</v>
      </c>
      <c r="R1779" s="0" t="n">
        <v>0</v>
      </c>
      <c r="S1779" s="51" t="s">
        <v>2371</v>
      </c>
      <c r="T1779" s="51" t="s">
        <v>2371</v>
      </c>
      <c r="U1779" s="0" t="str">
        <f aca="false">"5060458890191"</f>
        <v>5060458890191</v>
      </c>
      <c r="V1779" s="51" t="s">
        <v>2142</v>
      </c>
      <c r="W1779" s="51" t="s">
        <v>4319</v>
      </c>
      <c r="X1779" s="51" t="s">
        <v>2359</v>
      </c>
    </row>
    <row r="1780" customFormat="false" ht="14.25" hidden="true" customHeight="false" outlineLevel="0" collapsed="false">
      <c r="A1780" s="49" t="s">
        <v>2349</v>
      </c>
      <c r="B1780" s="49" t="s">
        <v>2350</v>
      </c>
      <c r="C1780" s="49" t="s">
        <v>4320</v>
      </c>
      <c r="D1780" s="49" t="s">
        <v>2352</v>
      </c>
      <c r="E1780" s="49" t="str">
        <f aca="false">"5060458890191"</f>
        <v>5060458890191</v>
      </c>
      <c r="F1780" s="49" t="s">
        <v>3656</v>
      </c>
      <c r="G1780" s="49" t="n">
        <v>0</v>
      </c>
      <c r="H1780" s="0" t="n">
        <v>0</v>
      </c>
      <c r="M1780" s="51" t="s">
        <v>4294</v>
      </c>
      <c r="N1780" s="49" t="n">
        <v>0</v>
      </c>
      <c r="O1780" s="53" t="n">
        <v>45696.5865046296</v>
      </c>
      <c r="P1780" s="53" t="n">
        <v>45698.4149189815</v>
      </c>
      <c r="Q1780" s="53" t="n">
        <v>45696.5865046296</v>
      </c>
      <c r="R1780" s="0" t="n">
        <v>0</v>
      </c>
      <c r="S1780" s="51" t="s">
        <v>2371</v>
      </c>
      <c r="T1780" s="51" t="s">
        <v>2371</v>
      </c>
      <c r="U1780" s="0" t="str">
        <f aca="false">"5060458890191"</f>
        <v>5060458890191</v>
      </c>
      <c r="V1780" s="51" t="s">
        <v>2142</v>
      </c>
      <c r="W1780" s="51" t="s">
        <v>4321</v>
      </c>
      <c r="X1780" s="51" t="s">
        <v>2359</v>
      </c>
    </row>
    <row r="1781" customFormat="false" ht="14.25" hidden="true" customHeight="false" outlineLevel="0" collapsed="false">
      <c r="A1781" s="49" t="s">
        <v>2349</v>
      </c>
      <c r="B1781" s="49" t="s">
        <v>2350</v>
      </c>
      <c r="C1781" s="49" t="s">
        <v>4322</v>
      </c>
      <c r="D1781" s="49" t="s">
        <v>2352</v>
      </c>
      <c r="E1781" s="49" t="str">
        <f aca="false">"5060458890191"</f>
        <v>5060458890191</v>
      </c>
      <c r="F1781" s="49" t="s">
        <v>3656</v>
      </c>
      <c r="G1781" s="49" t="n">
        <v>0</v>
      </c>
      <c r="H1781" s="0" t="n">
        <v>0</v>
      </c>
      <c r="M1781" s="51" t="s">
        <v>4294</v>
      </c>
      <c r="N1781" s="49" t="n">
        <v>0</v>
      </c>
      <c r="O1781" s="53" t="n">
        <v>45696.5866319445</v>
      </c>
      <c r="P1781" s="53" t="n">
        <v>45698.4184375</v>
      </c>
      <c r="Q1781" s="53" t="n">
        <v>45696.5866319445</v>
      </c>
      <c r="R1781" s="0" t="n">
        <v>0</v>
      </c>
      <c r="S1781" s="51" t="s">
        <v>2371</v>
      </c>
      <c r="T1781" s="51" t="s">
        <v>2371</v>
      </c>
      <c r="U1781" s="0" t="str">
        <f aca="false">"5060458890191"</f>
        <v>5060458890191</v>
      </c>
      <c r="V1781" s="51" t="s">
        <v>2142</v>
      </c>
      <c r="W1781" s="51" t="s">
        <v>4323</v>
      </c>
      <c r="X1781" s="51" t="s">
        <v>2359</v>
      </c>
    </row>
    <row r="1782" customFormat="false" ht="14.25" hidden="true" customHeight="false" outlineLevel="0" collapsed="false">
      <c r="A1782" s="49" t="s">
        <v>2349</v>
      </c>
      <c r="B1782" s="49" t="s">
        <v>2350</v>
      </c>
      <c r="C1782" s="49" t="s">
        <v>4324</v>
      </c>
      <c r="D1782" s="49" t="s">
        <v>2352</v>
      </c>
      <c r="E1782" s="49" t="str">
        <f aca="false">"5060458890191"</f>
        <v>5060458890191</v>
      </c>
      <c r="F1782" s="49" t="s">
        <v>3656</v>
      </c>
      <c r="G1782" s="49" t="n">
        <v>0</v>
      </c>
      <c r="H1782" s="0" t="n">
        <v>0</v>
      </c>
      <c r="M1782" s="51" t="s">
        <v>4294</v>
      </c>
      <c r="N1782" s="49" t="n">
        <v>0</v>
      </c>
      <c r="O1782" s="53" t="n">
        <v>45696.5867708333</v>
      </c>
      <c r="P1782" s="53" t="n">
        <v>45720.1077662037</v>
      </c>
      <c r="Q1782" s="53" t="n">
        <v>45696.5867708333</v>
      </c>
      <c r="R1782" s="0" t="n">
        <v>0</v>
      </c>
      <c r="S1782" s="51" t="s">
        <v>2371</v>
      </c>
      <c r="T1782" s="51" t="s">
        <v>2371</v>
      </c>
      <c r="U1782" s="0" t="str">
        <f aca="false">"5060458890191"</f>
        <v>5060458890191</v>
      </c>
      <c r="V1782" s="51" t="s">
        <v>2142</v>
      </c>
      <c r="W1782" s="51" t="s">
        <v>4249</v>
      </c>
      <c r="X1782" s="51" t="s">
        <v>2359</v>
      </c>
    </row>
    <row r="1783" customFormat="false" ht="14.25" hidden="true" customHeight="false" outlineLevel="0" collapsed="false">
      <c r="A1783" s="49" t="s">
        <v>2349</v>
      </c>
      <c r="B1783" s="49" t="s">
        <v>2350</v>
      </c>
      <c r="C1783" s="49" t="s">
        <v>4325</v>
      </c>
      <c r="D1783" s="49" t="s">
        <v>2352</v>
      </c>
      <c r="E1783" s="49" t="str">
        <f aca="false">"5060458890191"</f>
        <v>5060458890191</v>
      </c>
      <c r="F1783" s="49" t="s">
        <v>3656</v>
      </c>
      <c r="G1783" s="49" t="n">
        <v>0</v>
      </c>
      <c r="H1783" s="0" t="n">
        <v>0</v>
      </c>
      <c r="M1783" s="51" t="s">
        <v>4294</v>
      </c>
      <c r="N1783" s="49" t="n">
        <v>0</v>
      </c>
      <c r="O1783" s="53" t="n">
        <v>45696.586875</v>
      </c>
      <c r="P1783" s="53" t="n">
        <v>45698.4255439815</v>
      </c>
      <c r="Q1783" s="53" t="n">
        <v>45696.586875</v>
      </c>
      <c r="R1783" s="0" t="n">
        <v>0</v>
      </c>
      <c r="S1783" s="51" t="s">
        <v>2371</v>
      </c>
      <c r="T1783" s="51" t="s">
        <v>2371</v>
      </c>
      <c r="U1783" s="0" t="str">
        <f aca="false">"5060458890191"</f>
        <v>5060458890191</v>
      </c>
      <c r="V1783" s="51" t="s">
        <v>2142</v>
      </c>
      <c r="W1783" s="51" t="s">
        <v>4326</v>
      </c>
      <c r="X1783" s="51" t="s">
        <v>2359</v>
      </c>
    </row>
    <row r="1784" customFormat="false" ht="14.25" hidden="true" customHeight="false" outlineLevel="0" collapsed="false">
      <c r="A1784" s="49" t="s">
        <v>2349</v>
      </c>
      <c r="B1784" s="49" t="s">
        <v>2350</v>
      </c>
      <c r="C1784" s="49" t="s">
        <v>4327</v>
      </c>
      <c r="D1784" s="49" t="s">
        <v>2352</v>
      </c>
      <c r="E1784" s="49" t="str">
        <f aca="false">"5060458890191"</f>
        <v>5060458890191</v>
      </c>
      <c r="F1784" s="49" t="s">
        <v>3656</v>
      </c>
      <c r="G1784" s="49" t="n">
        <v>0</v>
      </c>
      <c r="H1784" s="0" t="n">
        <v>0</v>
      </c>
      <c r="M1784" s="51" t="s">
        <v>4294</v>
      </c>
      <c r="N1784" s="49" t="n">
        <v>0</v>
      </c>
      <c r="O1784" s="53" t="n">
        <v>45696.587025463</v>
      </c>
      <c r="P1784" s="53" t="n">
        <v>45698.4201157407</v>
      </c>
      <c r="Q1784" s="53" t="n">
        <v>45696.587025463</v>
      </c>
      <c r="R1784" s="0" t="n">
        <v>0</v>
      </c>
      <c r="S1784" s="51" t="s">
        <v>2371</v>
      </c>
      <c r="T1784" s="51" t="s">
        <v>2371</v>
      </c>
      <c r="U1784" s="0" t="str">
        <f aca="false">"5060458890191"</f>
        <v>5060458890191</v>
      </c>
      <c r="V1784" s="51" t="s">
        <v>2142</v>
      </c>
      <c r="W1784" s="51" t="s">
        <v>4328</v>
      </c>
      <c r="X1784" s="51" t="s">
        <v>2359</v>
      </c>
    </row>
    <row r="1785" customFormat="false" ht="14.25" hidden="true" customHeight="false" outlineLevel="0" collapsed="false">
      <c r="A1785" s="49" t="s">
        <v>2349</v>
      </c>
      <c r="B1785" s="49" t="s">
        <v>2350</v>
      </c>
      <c r="C1785" s="49" t="s">
        <v>4329</v>
      </c>
      <c r="D1785" s="49" t="s">
        <v>2352</v>
      </c>
      <c r="E1785" s="49" t="str">
        <f aca="false">"5060458890191"</f>
        <v>5060458890191</v>
      </c>
      <c r="F1785" s="49" t="s">
        <v>3656</v>
      </c>
      <c r="G1785" s="49" t="n">
        <v>0</v>
      </c>
      <c r="H1785" s="0" t="n">
        <v>0</v>
      </c>
      <c r="M1785" s="51" t="s">
        <v>4294</v>
      </c>
      <c r="N1785" s="49" t="n">
        <v>0</v>
      </c>
      <c r="O1785" s="53" t="n">
        <v>45696.5871412037</v>
      </c>
      <c r="P1785" s="53" t="n">
        <v>45720.3832638889</v>
      </c>
      <c r="Q1785" s="53" t="n">
        <v>45696.5871412037</v>
      </c>
      <c r="R1785" s="0" t="n">
        <v>0</v>
      </c>
      <c r="S1785" s="51" t="s">
        <v>2371</v>
      </c>
      <c r="T1785" s="51" t="s">
        <v>2371</v>
      </c>
      <c r="U1785" s="0" t="str">
        <f aca="false">"5060458890191"</f>
        <v>5060458890191</v>
      </c>
      <c r="V1785" s="51" t="s">
        <v>2142</v>
      </c>
      <c r="W1785" s="51" t="s">
        <v>4330</v>
      </c>
      <c r="X1785" s="51" t="s">
        <v>2359</v>
      </c>
    </row>
    <row r="1786" customFormat="false" ht="14.25" hidden="true" customHeight="false" outlineLevel="0" collapsed="false">
      <c r="A1786" s="49" t="s">
        <v>2349</v>
      </c>
      <c r="B1786" s="49" t="s">
        <v>2350</v>
      </c>
      <c r="C1786" s="49" t="s">
        <v>4331</v>
      </c>
      <c r="D1786" s="49" t="s">
        <v>2352</v>
      </c>
      <c r="E1786" s="49" t="str">
        <f aca="false">"5060458890191"</f>
        <v>5060458890191</v>
      </c>
      <c r="F1786" s="49" t="s">
        <v>3656</v>
      </c>
      <c r="G1786" s="49" t="n">
        <v>0</v>
      </c>
      <c r="H1786" s="0" t="n">
        <v>0</v>
      </c>
      <c r="M1786" s="51" t="s">
        <v>4294</v>
      </c>
      <c r="N1786" s="49" t="n">
        <v>0</v>
      </c>
      <c r="O1786" s="53" t="n">
        <v>45696.5872569445</v>
      </c>
      <c r="P1786" s="53" t="n">
        <v>45698.4298842593</v>
      </c>
      <c r="Q1786" s="53" t="n">
        <v>45696.5872569445</v>
      </c>
      <c r="R1786" s="0" t="n">
        <v>0</v>
      </c>
      <c r="S1786" s="51" t="s">
        <v>2371</v>
      </c>
      <c r="T1786" s="51" t="s">
        <v>2371</v>
      </c>
      <c r="U1786" s="0" t="str">
        <f aca="false">"5060458890191"</f>
        <v>5060458890191</v>
      </c>
      <c r="V1786" s="51" t="s">
        <v>2142</v>
      </c>
      <c r="W1786" s="51" t="s">
        <v>4332</v>
      </c>
      <c r="X1786" s="51" t="s">
        <v>2359</v>
      </c>
    </row>
    <row r="1787" customFormat="false" ht="14.25" hidden="true" customHeight="false" outlineLevel="0" collapsed="false">
      <c r="A1787" s="49" t="s">
        <v>2349</v>
      </c>
      <c r="B1787" s="49" t="s">
        <v>2350</v>
      </c>
      <c r="C1787" s="49" t="s">
        <v>4333</v>
      </c>
      <c r="D1787" s="49" t="s">
        <v>2352</v>
      </c>
      <c r="E1787" s="49" t="str">
        <f aca="false">"5060458890191"</f>
        <v>5060458890191</v>
      </c>
      <c r="F1787" s="49" t="s">
        <v>3656</v>
      </c>
      <c r="G1787" s="49" t="n">
        <v>0</v>
      </c>
      <c r="H1787" s="0" t="n">
        <v>0</v>
      </c>
      <c r="M1787" s="51" t="s">
        <v>4294</v>
      </c>
      <c r="N1787" s="49" t="n">
        <v>0</v>
      </c>
      <c r="O1787" s="53" t="n">
        <v>45696.5874074074</v>
      </c>
      <c r="P1787" s="53" t="n">
        <v>45708.3567361111</v>
      </c>
      <c r="Q1787" s="53" t="n">
        <v>45696.5874074074</v>
      </c>
      <c r="R1787" s="0" t="n">
        <v>0</v>
      </c>
      <c r="S1787" s="51" t="s">
        <v>2371</v>
      </c>
      <c r="T1787" s="51" t="s">
        <v>2371</v>
      </c>
      <c r="U1787" s="0" t="str">
        <f aca="false">"5060458890191"</f>
        <v>5060458890191</v>
      </c>
      <c r="V1787" s="51" t="s">
        <v>2142</v>
      </c>
      <c r="W1787" s="51" t="s">
        <v>4334</v>
      </c>
      <c r="X1787" s="51" t="s">
        <v>2359</v>
      </c>
    </row>
    <row r="1788" customFormat="false" ht="14.25" hidden="true" customHeight="false" outlineLevel="0" collapsed="false">
      <c r="A1788" s="49" t="s">
        <v>2349</v>
      </c>
      <c r="B1788" s="49" t="s">
        <v>2350</v>
      </c>
      <c r="C1788" s="49" t="s">
        <v>4335</v>
      </c>
      <c r="D1788" s="49" t="s">
        <v>2352</v>
      </c>
      <c r="E1788" s="49" t="str">
        <f aca="false">"5060458890191"</f>
        <v>5060458890191</v>
      </c>
      <c r="F1788" s="49" t="s">
        <v>3656</v>
      </c>
      <c r="G1788" s="49" t="n">
        <v>0</v>
      </c>
      <c r="H1788" s="0" t="n">
        <v>0</v>
      </c>
      <c r="M1788" s="51" t="s">
        <v>4294</v>
      </c>
      <c r="N1788" s="49" t="n">
        <v>0</v>
      </c>
      <c r="O1788" s="53" t="n">
        <v>45696.5875347222</v>
      </c>
      <c r="P1788" s="53" t="n">
        <v>45698.4311342593</v>
      </c>
      <c r="Q1788" s="53" t="n">
        <v>45696.5875347222</v>
      </c>
      <c r="R1788" s="0" t="n">
        <v>0</v>
      </c>
      <c r="S1788" s="51" t="s">
        <v>2371</v>
      </c>
      <c r="T1788" s="51" t="s">
        <v>2371</v>
      </c>
      <c r="U1788" s="0" t="str">
        <f aca="false">"5060458890191"</f>
        <v>5060458890191</v>
      </c>
      <c r="V1788" s="51" t="s">
        <v>2142</v>
      </c>
      <c r="W1788" s="51" t="s">
        <v>4336</v>
      </c>
      <c r="X1788" s="51" t="s">
        <v>2359</v>
      </c>
    </row>
    <row r="1789" customFormat="false" ht="14.25" hidden="true" customHeight="false" outlineLevel="0" collapsed="false">
      <c r="A1789" s="49" t="s">
        <v>2349</v>
      </c>
      <c r="B1789" s="49" t="s">
        <v>2350</v>
      </c>
      <c r="C1789" s="49" t="s">
        <v>4337</v>
      </c>
      <c r="D1789" s="49" t="s">
        <v>2352</v>
      </c>
      <c r="E1789" s="49" t="str">
        <f aca="false">"5060458890191"</f>
        <v>5060458890191</v>
      </c>
      <c r="F1789" s="49" t="s">
        <v>3656</v>
      </c>
      <c r="G1789" s="49" t="n">
        <v>0</v>
      </c>
      <c r="H1789" s="0" t="n">
        <v>0</v>
      </c>
      <c r="M1789" s="51" t="s">
        <v>4294</v>
      </c>
      <c r="N1789" s="49" t="n">
        <v>0</v>
      </c>
      <c r="O1789" s="53" t="n">
        <v>45696.587662037</v>
      </c>
      <c r="P1789" s="53" t="n">
        <v>45698.4279282407</v>
      </c>
      <c r="Q1789" s="53" t="n">
        <v>45696.587662037</v>
      </c>
      <c r="R1789" s="0" t="n">
        <v>0</v>
      </c>
      <c r="S1789" s="51" t="s">
        <v>2371</v>
      </c>
      <c r="T1789" s="51" t="s">
        <v>2371</v>
      </c>
      <c r="U1789" s="0" t="str">
        <f aca="false">"5060458890191"</f>
        <v>5060458890191</v>
      </c>
      <c r="V1789" s="51" t="s">
        <v>2142</v>
      </c>
      <c r="W1789" s="51" t="s">
        <v>4338</v>
      </c>
      <c r="X1789" s="51" t="s">
        <v>2359</v>
      </c>
    </row>
    <row r="1790" customFormat="false" ht="14.25" hidden="true" customHeight="false" outlineLevel="0" collapsed="false">
      <c r="A1790" s="49" t="s">
        <v>2349</v>
      </c>
      <c r="B1790" s="49" t="s">
        <v>2350</v>
      </c>
      <c r="C1790" s="49" t="s">
        <v>4339</v>
      </c>
      <c r="D1790" s="49" t="s">
        <v>2352</v>
      </c>
      <c r="E1790" s="49" t="str">
        <f aca="false">"5060458890191"</f>
        <v>5060458890191</v>
      </c>
      <c r="F1790" s="49" t="s">
        <v>3656</v>
      </c>
      <c r="G1790" s="49" t="n">
        <v>0</v>
      </c>
      <c r="H1790" s="0" t="n">
        <v>0</v>
      </c>
      <c r="M1790" s="51" t="s">
        <v>4294</v>
      </c>
      <c r="N1790" s="49" t="n">
        <v>0</v>
      </c>
      <c r="O1790" s="53" t="n">
        <v>45696.5877777778</v>
      </c>
      <c r="P1790" s="53" t="n">
        <v>45708.3552893519</v>
      </c>
      <c r="Q1790" s="53" t="n">
        <v>45696.5877777778</v>
      </c>
      <c r="R1790" s="0" t="n">
        <v>0</v>
      </c>
      <c r="S1790" s="51" t="s">
        <v>2371</v>
      </c>
      <c r="T1790" s="51" t="s">
        <v>2371</v>
      </c>
      <c r="U1790" s="0" t="str">
        <f aca="false">"5060458890191"</f>
        <v>5060458890191</v>
      </c>
      <c r="V1790" s="51" t="s">
        <v>2142</v>
      </c>
      <c r="W1790" s="51" t="s">
        <v>4340</v>
      </c>
      <c r="X1790" s="51" t="s">
        <v>2359</v>
      </c>
    </row>
    <row r="1791" customFormat="false" ht="14.25" hidden="true" customHeight="false" outlineLevel="0" collapsed="false">
      <c r="A1791" s="49" t="s">
        <v>2349</v>
      </c>
      <c r="B1791" s="49" t="s">
        <v>2350</v>
      </c>
      <c r="C1791" s="49" t="s">
        <v>4341</v>
      </c>
      <c r="D1791" s="49" t="s">
        <v>2352</v>
      </c>
      <c r="E1791" s="49" t="str">
        <f aca="false">"5060458890191"</f>
        <v>5060458890191</v>
      </c>
      <c r="F1791" s="49" t="s">
        <v>3656</v>
      </c>
      <c r="G1791" s="49" t="n">
        <v>0</v>
      </c>
      <c r="H1791" s="0" t="n">
        <v>0</v>
      </c>
      <c r="M1791" s="51" t="s">
        <v>4294</v>
      </c>
      <c r="N1791" s="49" t="n">
        <v>0</v>
      </c>
      <c r="O1791" s="53" t="n">
        <v>45696.5879050926</v>
      </c>
      <c r="P1791" s="53" t="n">
        <v>45708.3471643519</v>
      </c>
      <c r="Q1791" s="53" t="n">
        <v>45696.5879050926</v>
      </c>
      <c r="R1791" s="0" t="n">
        <v>0</v>
      </c>
      <c r="S1791" s="51" t="s">
        <v>2371</v>
      </c>
      <c r="T1791" s="51" t="s">
        <v>2371</v>
      </c>
      <c r="U1791" s="0" t="str">
        <f aca="false">"5060458890191"</f>
        <v>5060458890191</v>
      </c>
      <c r="V1791" s="51" t="s">
        <v>2142</v>
      </c>
      <c r="W1791" s="51" t="s">
        <v>4231</v>
      </c>
      <c r="X1791" s="51" t="s">
        <v>2359</v>
      </c>
    </row>
    <row r="1792" customFormat="false" ht="14.25" hidden="true" customHeight="false" outlineLevel="0" collapsed="false">
      <c r="A1792" s="49" t="s">
        <v>2349</v>
      </c>
      <c r="B1792" s="49" t="s">
        <v>2350</v>
      </c>
      <c r="C1792" s="49" t="s">
        <v>4342</v>
      </c>
      <c r="D1792" s="49" t="s">
        <v>2352</v>
      </c>
      <c r="E1792" s="49" t="str">
        <f aca="false">"5060458890191"</f>
        <v>5060458890191</v>
      </c>
      <c r="F1792" s="49" t="s">
        <v>3656</v>
      </c>
      <c r="G1792" s="49" t="n">
        <v>0</v>
      </c>
      <c r="H1792" s="0" t="n">
        <v>0</v>
      </c>
      <c r="M1792" s="51" t="s">
        <v>4294</v>
      </c>
      <c r="N1792" s="49" t="n">
        <v>0</v>
      </c>
      <c r="O1792" s="53" t="n">
        <v>45696.5880671296</v>
      </c>
      <c r="P1792" s="53" t="n">
        <v>45708.3537615741</v>
      </c>
      <c r="Q1792" s="53" t="n">
        <v>45696.5880671296</v>
      </c>
      <c r="R1792" s="0" t="n">
        <v>0</v>
      </c>
      <c r="S1792" s="51" t="s">
        <v>2371</v>
      </c>
      <c r="T1792" s="51" t="s">
        <v>2371</v>
      </c>
      <c r="U1792" s="0" t="str">
        <f aca="false">"5060458890191"</f>
        <v>5060458890191</v>
      </c>
      <c r="V1792" s="51" t="s">
        <v>2142</v>
      </c>
      <c r="W1792" s="51" t="s">
        <v>4343</v>
      </c>
      <c r="X1792" s="51" t="s">
        <v>2359</v>
      </c>
    </row>
    <row r="1793" customFormat="false" ht="14.25" hidden="true" customHeight="false" outlineLevel="0" collapsed="false">
      <c r="A1793" s="49" t="s">
        <v>2349</v>
      </c>
      <c r="B1793" s="49" t="s">
        <v>2350</v>
      </c>
      <c r="C1793" s="49" t="s">
        <v>4344</v>
      </c>
      <c r="D1793" s="49" t="s">
        <v>2352</v>
      </c>
      <c r="E1793" s="49" t="str">
        <f aca="false">"5060458890191"</f>
        <v>5060458890191</v>
      </c>
      <c r="F1793" s="49" t="s">
        <v>3656</v>
      </c>
      <c r="G1793" s="49" t="n">
        <v>0</v>
      </c>
      <c r="H1793" s="0" t="n">
        <v>0</v>
      </c>
      <c r="M1793" s="51" t="s">
        <v>4294</v>
      </c>
      <c r="N1793" s="49" t="n">
        <v>0</v>
      </c>
      <c r="O1793" s="53" t="n">
        <v>45696.5881944444</v>
      </c>
      <c r="P1793" s="53" t="n">
        <v>45698.4337962963</v>
      </c>
      <c r="Q1793" s="53" t="n">
        <v>45696.5881944444</v>
      </c>
      <c r="R1793" s="0" t="n">
        <v>0</v>
      </c>
      <c r="S1793" s="51" t="s">
        <v>2371</v>
      </c>
      <c r="T1793" s="51" t="s">
        <v>2371</v>
      </c>
      <c r="U1793" s="0" t="str">
        <f aca="false">"5060458890191"</f>
        <v>5060458890191</v>
      </c>
      <c r="V1793" s="51" t="s">
        <v>2142</v>
      </c>
      <c r="W1793" s="51" t="s">
        <v>4345</v>
      </c>
      <c r="X1793" s="51" t="s">
        <v>2359</v>
      </c>
    </row>
    <row r="1794" customFormat="false" ht="14.25" hidden="true" customHeight="false" outlineLevel="0" collapsed="false">
      <c r="A1794" s="49" t="s">
        <v>2349</v>
      </c>
      <c r="B1794" s="49" t="s">
        <v>2350</v>
      </c>
      <c r="C1794" s="49" t="s">
        <v>4346</v>
      </c>
      <c r="D1794" s="49" t="s">
        <v>2352</v>
      </c>
      <c r="E1794" s="49" t="str">
        <f aca="false">"5060458890191"</f>
        <v>5060458890191</v>
      </c>
      <c r="F1794" s="49" t="s">
        <v>3656</v>
      </c>
      <c r="G1794" s="49" t="n">
        <v>0</v>
      </c>
      <c r="H1794" s="0" t="n">
        <v>0</v>
      </c>
      <c r="M1794" s="51" t="s">
        <v>4294</v>
      </c>
      <c r="N1794" s="49" t="n">
        <v>0</v>
      </c>
      <c r="O1794" s="53" t="n">
        <v>45696.5882986111</v>
      </c>
      <c r="P1794" s="53" t="n">
        <v>45698.4349421296</v>
      </c>
      <c r="Q1794" s="53" t="n">
        <v>45696.5882986111</v>
      </c>
      <c r="R1794" s="0" t="n">
        <v>0</v>
      </c>
      <c r="S1794" s="51" t="s">
        <v>2371</v>
      </c>
      <c r="T1794" s="51" t="s">
        <v>2371</v>
      </c>
      <c r="U1794" s="0" t="str">
        <f aca="false">"5060458890191"</f>
        <v>5060458890191</v>
      </c>
      <c r="V1794" s="51" t="s">
        <v>2142</v>
      </c>
      <c r="W1794" s="51" t="s">
        <v>4347</v>
      </c>
      <c r="X1794" s="51" t="s">
        <v>2359</v>
      </c>
    </row>
    <row r="1795" customFormat="false" ht="14.25" hidden="true" customHeight="false" outlineLevel="0" collapsed="false">
      <c r="A1795" s="49" t="s">
        <v>2349</v>
      </c>
      <c r="B1795" s="49" t="s">
        <v>2350</v>
      </c>
      <c r="C1795" s="49" t="s">
        <v>4348</v>
      </c>
      <c r="D1795" s="49" t="s">
        <v>2352</v>
      </c>
      <c r="E1795" s="49" t="str">
        <f aca="false">"5060458890191"</f>
        <v>5060458890191</v>
      </c>
      <c r="F1795" s="49" t="s">
        <v>3656</v>
      </c>
      <c r="G1795" s="49" t="n">
        <v>0</v>
      </c>
      <c r="H1795" s="0" t="n">
        <v>0</v>
      </c>
      <c r="M1795" s="51" t="s">
        <v>4294</v>
      </c>
      <c r="N1795" s="49" t="n">
        <v>0</v>
      </c>
      <c r="O1795" s="53" t="n">
        <v>45696.5884143519</v>
      </c>
      <c r="P1795" s="53" t="n">
        <v>45708.3634490741</v>
      </c>
      <c r="Q1795" s="53" t="n">
        <v>45696.5884143519</v>
      </c>
      <c r="R1795" s="0" t="n">
        <v>0</v>
      </c>
      <c r="S1795" s="51" t="s">
        <v>2371</v>
      </c>
      <c r="T1795" s="51" t="s">
        <v>2371</v>
      </c>
      <c r="U1795" s="0" t="str">
        <f aca="false">"5060458890191"</f>
        <v>5060458890191</v>
      </c>
      <c r="V1795" s="51" t="s">
        <v>2142</v>
      </c>
      <c r="W1795" s="51" t="s">
        <v>4349</v>
      </c>
      <c r="X1795" s="51" t="s">
        <v>2359</v>
      </c>
    </row>
    <row r="1796" customFormat="false" ht="14.25" hidden="true" customHeight="false" outlineLevel="0" collapsed="false">
      <c r="A1796" s="49" t="s">
        <v>2349</v>
      </c>
      <c r="B1796" s="49" t="s">
        <v>2350</v>
      </c>
      <c r="C1796" s="49" t="s">
        <v>4350</v>
      </c>
      <c r="D1796" s="49" t="s">
        <v>2352</v>
      </c>
      <c r="E1796" s="49" t="s">
        <v>4351</v>
      </c>
      <c r="F1796" s="49" t="s">
        <v>4352</v>
      </c>
      <c r="G1796" s="49" t="n">
        <v>0</v>
      </c>
      <c r="H1796" s="0" t="n">
        <v>0</v>
      </c>
      <c r="M1796" s="51" t="s">
        <v>4353</v>
      </c>
      <c r="N1796" s="49" t="n">
        <v>0</v>
      </c>
      <c r="O1796" s="53" t="n">
        <v>45696.5837847222</v>
      </c>
      <c r="P1796" s="53" t="n">
        <v>45699.6255671296</v>
      </c>
      <c r="Q1796" s="53" t="n">
        <v>45696.5837847222</v>
      </c>
      <c r="R1796" s="0" t="n">
        <v>0</v>
      </c>
      <c r="S1796" s="51" t="s">
        <v>2356</v>
      </c>
      <c r="T1796" s="51" t="s">
        <v>2356</v>
      </c>
      <c r="U1796" s="51" t="s">
        <v>4351</v>
      </c>
      <c r="V1796" s="51" t="s">
        <v>2365</v>
      </c>
      <c r="W1796" s="51" t="s">
        <v>4130</v>
      </c>
      <c r="X1796" s="51" t="s">
        <v>2359</v>
      </c>
    </row>
    <row r="1797" customFormat="false" ht="14.25" hidden="true" customHeight="false" outlineLevel="0" collapsed="false">
      <c r="A1797" s="49" t="s">
        <v>2349</v>
      </c>
      <c r="B1797" s="49" t="s">
        <v>2350</v>
      </c>
      <c r="C1797" s="49" t="s">
        <v>4354</v>
      </c>
      <c r="D1797" s="49" t="s">
        <v>2352</v>
      </c>
      <c r="E1797" s="49" t="s">
        <v>4351</v>
      </c>
      <c r="F1797" s="49" t="s">
        <v>4352</v>
      </c>
      <c r="G1797" s="49" t="n">
        <v>0</v>
      </c>
      <c r="H1797" s="0" t="n">
        <v>0</v>
      </c>
      <c r="M1797" s="51" t="s">
        <v>4353</v>
      </c>
      <c r="N1797" s="49" t="n">
        <v>0</v>
      </c>
      <c r="O1797" s="53" t="n">
        <v>45696.58375</v>
      </c>
      <c r="P1797" s="53" t="n">
        <v>45699.6258796296</v>
      </c>
      <c r="Q1797" s="53" t="n">
        <v>45696.58375</v>
      </c>
      <c r="R1797" s="0" t="n">
        <v>0</v>
      </c>
      <c r="S1797" s="51" t="s">
        <v>2356</v>
      </c>
      <c r="T1797" s="51" t="s">
        <v>2356</v>
      </c>
      <c r="U1797" s="51" t="s">
        <v>4351</v>
      </c>
      <c r="V1797" s="51" t="s">
        <v>2365</v>
      </c>
      <c r="W1797" s="51" t="s">
        <v>4128</v>
      </c>
      <c r="X1797" s="51" t="s">
        <v>2359</v>
      </c>
    </row>
    <row r="1798" customFormat="false" ht="14.25" hidden="true" customHeight="false" outlineLevel="0" collapsed="false">
      <c r="A1798" s="49" t="s">
        <v>2349</v>
      </c>
      <c r="B1798" s="49" t="s">
        <v>2350</v>
      </c>
      <c r="C1798" s="49" t="s">
        <v>4355</v>
      </c>
      <c r="D1798" s="49" t="s">
        <v>2352</v>
      </c>
      <c r="E1798" s="49" t="s">
        <v>4351</v>
      </c>
      <c r="F1798" s="49" t="s">
        <v>4352</v>
      </c>
      <c r="G1798" s="49" t="n">
        <v>0</v>
      </c>
      <c r="H1798" s="0" t="n">
        <v>0</v>
      </c>
      <c r="M1798" s="51" t="s">
        <v>4353</v>
      </c>
      <c r="N1798" s="49" t="n">
        <v>0</v>
      </c>
      <c r="O1798" s="53" t="n">
        <v>45696.5837268519</v>
      </c>
      <c r="P1798" s="53" t="n">
        <v>45701.6041898148</v>
      </c>
      <c r="Q1798" s="53" t="n">
        <v>45696.5837268519</v>
      </c>
      <c r="R1798" s="0" t="n">
        <v>0</v>
      </c>
      <c r="S1798" s="51" t="s">
        <v>2356</v>
      </c>
      <c r="T1798" s="51" t="s">
        <v>2356</v>
      </c>
      <c r="U1798" s="51" t="s">
        <v>4351</v>
      </c>
      <c r="V1798" s="51" t="s">
        <v>2365</v>
      </c>
      <c r="W1798" s="51" t="s">
        <v>3764</v>
      </c>
      <c r="X1798" s="51" t="s">
        <v>2359</v>
      </c>
    </row>
    <row r="1799" customFormat="false" ht="14.25" hidden="true" customHeight="false" outlineLevel="0" collapsed="false">
      <c r="A1799" s="49" t="s">
        <v>2349</v>
      </c>
      <c r="B1799" s="49" t="s">
        <v>2350</v>
      </c>
      <c r="C1799" s="49" t="s">
        <v>4356</v>
      </c>
      <c r="D1799" s="49" t="s">
        <v>2352</v>
      </c>
      <c r="E1799" s="49" t="s">
        <v>4351</v>
      </c>
      <c r="F1799" s="49" t="s">
        <v>4352</v>
      </c>
      <c r="G1799" s="49" t="n">
        <v>0</v>
      </c>
      <c r="H1799" s="0" t="n">
        <v>0</v>
      </c>
      <c r="M1799" s="51" t="s">
        <v>4353</v>
      </c>
      <c r="N1799" s="49" t="n">
        <v>0</v>
      </c>
      <c r="O1799" s="53" t="n">
        <v>45696.583587963</v>
      </c>
      <c r="P1799" s="53" t="n">
        <v>45704.4834722222</v>
      </c>
      <c r="Q1799" s="53" t="n">
        <v>45696.583587963</v>
      </c>
      <c r="R1799" s="0" t="n">
        <v>0</v>
      </c>
      <c r="S1799" s="51" t="s">
        <v>2356</v>
      </c>
      <c r="T1799" s="51" t="s">
        <v>2356</v>
      </c>
      <c r="U1799" s="51" t="s">
        <v>4351</v>
      </c>
      <c r="V1799" s="51" t="s">
        <v>2365</v>
      </c>
      <c r="W1799" s="51" t="s">
        <v>4357</v>
      </c>
      <c r="X1799" s="51" t="s">
        <v>2359</v>
      </c>
    </row>
    <row r="1800" customFormat="false" ht="14.25" hidden="true" customHeight="false" outlineLevel="0" collapsed="false">
      <c r="A1800" s="49" t="s">
        <v>2349</v>
      </c>
      <c r="B1800" s="49" t="s">
        <v>2350</v>
      </c>
      <c r="C1800" s="49" t="s">
        <v>4358</v>
      </c>
      <c r="D1800" s="49" t="s">
        <v>2352</v>
      </c>
      <c r="E1800" s="49" t="s">
        <v>4351</v>
      </c>
      <c r="F1800" s="49" t="s">
        <v>4352</v>
      </c>
      <c r="G1800" s="49" t="n">
        <v>0</v>
      </c>
      <c r="H1800" s="0" t="n">
        <v>0</v>
      </c>
      <c r="M1800" s="51" t="s">
        <v>4353</v>
      </c>
      <c r="N1800" s="49" t="n">
        <v>0</v>
      </c>
      <c r="O1800" s="53" t="n">
        <v>45696.5835416667</v>
      </c>
      <c r="P1800" s="53" t="n">
        <v>45708.7058101852</v>
      </c>
      <c r="Q1800" s="53" t="n">
        <v>45696.5835416667</v>
      </c>
      <c r="R1800" s="0" t="n">
        <v>0</v>
      </c>
      <c r="S1800" s="51" t="s">
        <v>2356</v>
      </c>
      <c r="T1800" s="51" t="s">
        <v>2356</v>
      </c>
      <c r="U1800" s="51" t="s">
        <v>4351</v>
      </c>
      <c r="V1800" s="51" t="s">
        <v>2365</v>
      </c>
      <c r="W1800" s="51" t="s">
        <v>4359</v>
      </c>
      <c r="X1800" s="51" t="s">
        <v>2359</v>
      </c>
    </row>
    <row r="1801" customFormat="false" ht="14.25" hidden="true" customHeight="false" outlineLevel="0" collapsed="false">
      <c r="A1801" s="49" t="s">
        <v>2349</v>
      </c>
      <c r="B1801" s="49" t="s">
        <v>2350</v>
      </c>
      <c r="C1801" s="49" t="s">
        <v>4360</v>
      </c>
      <c r="D1801" s="49" t="s">
        <v>2352</v>
      </c>
      <c r="E1801" s="49" t="s">
        <v>4351</v>
      </c>
      <c r="F1801" s="49" t="s">
        <v>4352</v>
      </c>
      <c r="G1801" s="49" t="n">
        <v>0</v>
      </c>
      <c r="H1801" s="0" t="n">
        <v>0</v>
      </c>
      <c r="M1801" s="51" t="s">
        <v>4353</v>
      </c>
      <c r="N1801" s="49" t="n">
        <v>0</v>
      </c>
      <c r="O1801" s="53" t="n">
        <v>45696.5835185185</v>
      </c>
      <c r="P1801" s="53" t="n">
        <v>45708.7059490741</v>
      </c>
      <c r="Q1801" s="53" t="n">
        <v>45696.5835185185</v>
      </c>
      <c r="R1801" s="0" t="n">
        <v>0</v>
      </c>
      <c r="S1801" s="51" t="s">
        <v>2356</v>
      </c>
      <c r="T1801" s="51" t="s">
        <v>2356</v>
      </c>
      <c r="U1801" s="51" t="s">
        <v>4351</v>
      </c>
      <c r="V1801" s="51" t="s">
        <v>2365</v>
      </c>
      <c r="W1801" s="51" t="s">
        <v>4361</v>
      </c>
      <c r="X1801" s="51" t="s">
        <v>2359</v>
      </c>
    </row>
    <row r="1802" customFormat="false" ht="14.25" hidden="true" customHeight="false" outlineLevel="0" collapsed="false">
      <c r="A1802" s="49" t="s">
        <v>2349</v>
      </c>
      <c r="B1802" s="49" t="s">
        <v>2350</v>
      </c>
      <c r="C1802" s="49" t="s">
        <v>4362</v>
      </c>
      <c r="D1802" s="49" t="s">
        <v>2352</v>
      </c>
      <c r="E1802" s="49" t="s">
        <v>4351</v>
      </c>
      <c r="F1802" s="49" t="s">
        <v>4352</v>
      </c>
      <c r="G1802" s="49" t="n">
        <v>0</v>
      </c>
      <c r="H1802" s="0" t="n">
        <v>0</v>
      </c>
      <c r="M1802" s="51" t="s">
        <v>4353</v>
      </c>
      <c r="N1802" s="49" t="n">
        <v>0</v>
      </c>
      <c r="O1802" s="53" t="n">
        <v>45696.5834953704</v>
      </c>
      <c r="P1802" s="53" t="n">
        <v>45704.4835300926</v>
      </c>
      <c r="Q1802" s="53" t="n">
        <v>45696.5834953704</v>
      </c>
      <c r="R1802" s="0" t="n">
        <v>0</v>
      </c>
      <c r="S1802" s="51" t="s">
        <v>2356</v>
      </c>
      <c r="T1802" s="51" t="s">
        <v>2356</v>
      </c>
      <c r="U1802" s="51" t="s">
        <v>4351</v>
      </c>
      <c r="V1802" s="51" t="s">
        <v>2365</v>
      </c>
      <c r="W1802" s="51" t="s">
        <v>4363</v>
      </c>
      <c r="X1802" s="51" t="s">
        <v>2359</v>
      </c>
    </row>
    <row r="1803" customFormat="false" ht="14.25" hidden="true" customHeight="false" outlineLevel="0" collapsed="false">
      <c r="A1803" s="49" t="s">
        <v>2349</v>
      </c>
      <c r="B1803" s="49" t="s">
        <v>2350</v>
      </c>
      <c r="C1803" s="49" t="s">
        <v>4364</v>
      </c>
      <c r="D1803" s="49" t="s">
        <v>2352</v>
      </c>
      <c r="E1803" s="49" t="s">
        <v>4351</v>
      </c>
      <c r="F1803" s="49" t="s">
        <v>4352</v>
      </c>
      <c r="G1803" s="49" t="n">
        <v>0</v>
      </c>
      <c r="H1803" s="0" t="n">
        <v>0</v>
      </c>
      <c r="M1803" s="51" t="s">
        <v>4353</v>
      </c>
      <c r="N1803" s="49" t="n">
        <v>0</v>
      </c>
      <c r="O1803" s="53" t="n">
        <v>45696.5834259259</v>
      </c>
      <c r="P1803" s="53" t="n">
        <v>45712.5738194444</v>
      </c>
      <c r="Q1803" s="53" t="n">
        <v>45696.5834259259</v>
      </c>
      <c r="R1803" s="0" t="n">
        <v>0</v>
      </c>
      <c r="S1803" s="51" t="s">
        <v>2356</v>
      </c>
      <c r="T1803" s="51" t="s">
        <v>2356</v>
      </c>
      <c r="U1803" s="51" t="s">
        <v>4351</v>
      </c>
      <c r="V1803" s="51" t="s">
        <v>2365</v>
      </c>
      <c r="W1803" s="51" t="s">
        <v>4365</v>
      </c>
      <c r="X1803" s="51" t="s">
        <v>2359</v>
      </c>
    </row>
    <row r="1804" customFormat="false" ht="14.25" hidden="true" customHeight="false" outlineLevel="0" collapsed="false">
      <c r="A1804" s="49" t="s">
        <v>2349</v>
      </c>
      <c r="B1804" s="49" t="s">
        <v>2350</v>
      </c>
      <c r="C1804" s="49" t="s">
        <v>4366</v>
      </c>
      <c r="D1804" s="49" t="s">
        <v>2352</v>
      </c>
      <c r="E1804" s="49" t="s">
        <v>4351</v>
      </c>
      <c r="F1804" s="49" t="s">
        <v>4352</v>
      </c>
      <c r="G1804" s="49" t="n">
        <v>0</v>
      </c>
      <c r="H1804" s="0" t="n">
        <v>0</v>
      </c>
      <c r="M1804" s="51" t="s">
        <v>4353</v>
      </c>
      <c r="N1804" s="49" t="n">
        <v>0</v>
      </c>
      <c r="O1804" s="53" t="n">
        <v>45696.5831018519</v>
      </c>
      <c r="P1804" s="53" t="n">
        <v>45712.5761226852</v>
      </c>
      <c r="Q1804" s="53" t="n">
        <v>45696.5831018519</v>
      </c>
      <c r="R1804" s="0" t="n">
        <v>0</v>
      </c>
      <c r="S1804" s="51" t="s">
        <v>2356</v>
      </c>
      <c r="T1804" s="51" t="s">
        <v>2356</v>
      </c>
      <c r="U1804" s="51" t="s">
        <v>4351</v>
      </c>
      <c r="V1804" s="51" t="s">
        <v>2365</v>
      </c>
      <c r="W1804" s="51" t="s">
        <v>4367</v>
      </c>
      <c r="X1804" s="51" t="s">
        <v>2359</v>
      </c>
    </row>
    <row r="1805" customFormat="false" ht="14.25" hidden="true" customHeight="false" outlineLevel="0" collapsed="false">
      <c r="A1805" s="49" t="s">
        <v>2349</v>
      </c>
      <c r="B1805" s="49" t="s">
        <v>2350</v>
      </c>
      <c r="C1805" s="49" t="s">
        <v>4368</v>
      </c>
      <c r="D1805" s="49" t="s">
        <v>2352</v>
      </c>
      <c r="E1805" s="49" t="s">
        <v>4351</v>
      </c>
      <c r="F1805" s="49" t="s">
        <v>4352</v>
      </c>
      <c r="G1805" s="49" t="n">
        <v>0</v>
      </c>
      <c r="H1805" s="0" t="n">
        <v>0</v>
      </c>
      <c r="M1805" s="51" t="s">
        <v>4353</v>
      </c>
      <c r="N1805" s="49" t="n">
        <v>0</v>
      </c>
      <c r="O1805" s="53" t="n">
        <v>45696.5839467593</v>
      </c>
      <c r="P1805" s="53" t="n">
        <v>45697.6345949074</v>
      </c>
      <c r="Q1805" s="53" t="n">
        <v>45696.5839467593</v>
      </c>
      <c r="R1805" s="0" t="n">
        <v>0</v>
      </c>
      <c r="S1805" s="51" t="s">
        <v>2356</v>
      </c>
      <c r="T1805" s="51" t="s">
        <v>2356</v>
      </c>
      <c r="U1805" s="51" t="s">
        <v>4351</v>
      </c>
      <c r="V1805" s="51" t="s">
        <v>2365</v>
      </c>
      <c r="W1805" s="51" t="s">
        <v>4169</v>
      </c>
      <c r="X1805" s="51" t="s">
        <v>2359</v>
      </c>
    </row>
    <row r="1806" customFormat="false" ht="14.25" hidden="true" customHeight="false" outlineLevel="0" collapsed="false">
      <c r="A1806" s="49" t="s">
        <v>2349</v>
      </c>
      <c r="B1806" s="49" t="s">
        <v>2350</v>
      </c>
      <c r="C1806" s="49" t="s">
        <v>4369</v>
      </c>
      <c r="D1806" s="49" t="s">
        <v>2352</v>
      </c>
      <c r="E1806" s="49" t="s">
        <v>4351</v>
      </c>
      <c r="F1806" s="49" t="s">
        <v>4352</v>
      </c>
      <c r="G1806" s="49" t="n">
        <v>0</v>
      </c>
      <c r="H1806" s="0" t="n">
        <v>0</v>
      </c>
      <c r="M1806" s="51" t="s">
        <v>4353</v>
      </c>
      <c r="N1806" s="49" t="n">
        <v>0</v>
      </c>
      <c r="O1806" s="53" t="n">
        <v>45696.5839351852</v>
      </c>
      <c r="P1806" s="53" t="n">
        <v>45697.6346759259</v>
      </c>
      <c r="Q1806" s="53" t="n">
        <v>45696.5839351852</v>
      </c>
      <c r="R1806" s="0" t="n">
        <v>0</v>
      </c>
      <c r="S1806" s="51" t="s">
        <v>2356</v>
      </c>
      <c r="T1806" s="51" t="s">
        <v>2356</v>
      </c>
      <c r="U1806" s="51" t="s">
        <v>4351</v>
      </c>
      <c r="V1806" s="51" t="s">
        <v>2365</v>
      </c>
      <c r="W1806" s="51" t="s">
        <v>4171</v>
      </c>
      <c r="X1806" s="51" t="s">
        <v>2359</v>
      </c>
    </row>
    <row r="1807" customFormat="false" ht="14.25" hidden="true" customHeight="false" outlineLevel="0" collapsed="false">
      <c r="A1807" s="49" t="s">
        <v>2349</v>
      </c>
      <c r="B1807" s="49" t="s">
        <v>2350</v>
      </c>
      <c r="C1807" s="49" t="s">
        <v>4370</v>
      </c>
      <c r="D1807" s="49" t="s">
        <v>2352</v>
      </c>
      <c r="E1807" s="49" t="s">
        <v>4351</v>
      </c>
      <c r="F1807" s="49" t="s">
        <v>4352</v>
      </c>
      <c r="G1807" s="49" t="n">
        <v>0</v>
      </c>
      <c r="H1807" s="0" t="n">
        <v>0</v>
      </c>
      <c r="M1807" s="51" t="s">
        <v>4353</v>
      </c>
      <c r="N1807" s="49" t="n">
        <v>0</v>
      </c>
      <c r="O1807" s="53" t="n">
        <v>45696.583912037</v>
      </c>
      <c r="P1807" s="53" t="n">
        <v>45697.6347916667</v>
      </c>
      <c r="Q1807" s="53" t="n">
        <v>45696.583912037</v>
      </c>
      <c r="R1807" s="0" t="n">
        <v>0</v>
      </c>
      <c r="S1807" s="51" t="s">
        <v>2356</v>
      </c>
      <c r="T1807" s="51" t="s">
        <v>2356</v>
      </c>
      <c r="U1807" s="51" t="s">
        <v>4351</v>
      </c>
      <c r="V1807" s="51" t="s">
        <v>2365</v>
      </c>
      <c r="W1807" s="51" t="s">
        <v>4118</v>
      </c>
      <c r="X1807" s="51" t="s">
        <v>2359</v>
      </c>
    </row>
    <row r="1808" customFormat="false" ht="14.25" hidden="true" customHeight="false" outlineLevel="0" collapsed="false">
      <c r="A1808" s="49" t="s">
        <v>2349</v>
      </c>
      <c r="B1808" s="49" t="s">
        <v>2350</v>
      </c>
      <c r="C1808" s="49" t="s">
        <v>4371</v>
      </c>
      <c r="D1808" s="49" t="s">
        <v>2352</v>
      </c>
      <c r="E1808" s="49" t="s">
        <v>4351</v>
      </c>
      <c r="F1808" s="49" t="s">
        <v>4352</v>
      </c>
      <c r="G1808" s="49" t="n">
        <v>0</v>
      </c>
      <c r="H1808" s="0" t="n">
        <v>0</v>
      </c>
      <c r="M1808" s="51" t="s">
        <v>4353</v>
      </c>
      <c r="N1808" s="49" t="n">
        <v>0</v>
      </c>
      <c r="O1808" s="53" t="n">
        <v>45696.5838888889</v>
      </c>
      <c r="P1808" s="53" t="n">
        <v>45699.6263310185</v>
      </c>
      <c r="Q1808" s="53" t="n">
        <v>45696.5838888889</v>
      </c>
      <c r="R1808" s="0" t="n">
        <v>0</v>
      </c>
      <c r="S1808" s="51" t="s">
        <v>2356</v>
      </c>
      <c r="T1808" s="51" t="s">
        <v>2356</v>
      </c>
      <c r="U1808" s="51" t="s">
        <v>4351</v>
      </c>
      <c r="V1808" s="51" t="s">
        <v>2365</v>
      </c>
      <c r="W1808" s="51" t="s">
        <v>4136</v>
      </c>
      <c r="X1808" s="51" t="s">
        <v>2359</v>
      </c>
    </row>
    <row r="1809" customFormat="false" ht="14.25" hidden="true" customHeight="false" outlineLevel="0" collapsed="false">
      <c r="A1809" s="49" t="s">
        <v>2349</v>
      </c>
      <c r="B1809" s="49" t="s">
        <v>2350</v>
      </c>
      <c r="C1809" s="49" t="s">
        <v>4372</v>
      </c>
      <c r="D1809" s="49" t="s">
        <v>2352</v>
      </c>
      <c r="E1809" s="49" t="s">
        <v>4351</v>
      </c>
      <c r="F1809" s="49" t="s">
        <v>4352</v>
      </c>
      <c r="G1809" s="49" t="n">
        <v>0</v>
      </c>
      <c r="H1809" s="0" t="n">
        <v>0</v>
      </c>
      <c r="M1809" s="51" t="s">
        <v>4353</v>
      </c>
      <c r="N1809" s="49" t="n">
        <v>0</v>
      </c>
      <c r="O1809" s="53" t="n">
        <v>45696.5838773148</v>
      </c>
      <c r="P1809" s="53" t="n">
        <v>45698.3431018519</v>
      </c>
      <c r="Q1809" s="53" t="n">
        <v>45696.5838773148</v>
      </c>
      <c r="R1809" s="0" t="n">
        <v>0</v>
      </c>
      <c r="S1809" s="51" t="s">
        <v>2356</v>
      </c>
      <c r="T1809" s="51" t="s">
        <v>2356</v>
      </c>
      <c r="U1809" s="51" t="s">
        <v>4351</v>
      </c>
      <c r="V1809" s="51" t="s">
        <v>2365</v>
      </c>
      <c r="W1809" s="51" t="s">
        <v>4373</v>
      </c>
      <c r="X1809" s="51" t="s">
        <v>2359</v>
      </c>
    </row>
    <row r="1810" customFormat="false" ht="14.25" hidden="true" customHeight="false" outlineLevel="0" collapsed="false">
      <c r="A1810" s="49" t="s">
        <v>2349</v>
      </c>
      <c r="B1810" s="49" t="s">
        <v>2350</v>
      </c>
      <c r="C1810" s="49" t="s">
        <v>4374</v>
      </c>
      <c r="D1810" s="49" t="s">
        <v>2352</v>
      </c>
      <c r="E1810" s="49" t="str">
        <f aca="false">"5060458890191"</f>
        <v>5060458890191</v>
      </c>
      <c r="F1810" s="49" t="s">
        <v>3656</v>
      </c>
      <c r="G1810" s="49" t="n">
        <v>0</v>
      </c>
      <c r="H1810" s="0" t="n">
        <v>0</v>
      </c>
      <c r="M1810" s="51" t="s">
        <v>4375</v>
      </c>
      <c r="N1810" s="49" t="n">
        <v>0</v>
      </c>
      <c r="O1810" s="53" t="n">
        <v>45698.3748032407</v>
      </c>
      <c r="P1810" s="53" t="n">
        <v>45699.3859837963</v>
      </c>
      <c r="R1810" s="0" t="n">
        <v>0</v>
      </c>
      <c r="T1810" s="51" t="s">
        <v>2371</v>
      </c>
      <c r="U1810" s="0" t="str">
        <f aca="false">"5060458890191"</f>
        <v>5060458890191</v>
      </c>
      <c r="V1810" s="51" t="s">
        <v>2142</v>
      </c>
      <c r="W1810" s="51" t="s">
        <v>4376</v>
      </c>
      <c r="X1810" s="51" t="s">
        <v>2359</v>
      </c>
    </row>
    <row r="1811" customFormat="false" ht="14.25" hidden="true" customHeight="false" outlineLevel="0" collapsed="false">
      <c r="A1811" s="49" t="s">
        <v>2349</v>
      </c>
      <c r="B1811" s="49" t="s">
        <v>2350</v>
      </c>
      <c r="C1811" s="49" t="s">
        <v>4377</v>
      </c>
      <c r="D1811" s="49" t="s">
        <v>2352</v>
      </c>
      <c r="E1811" s="49" t="str">
        <f aca="false">"5060458890191"</f>
        <v>5060458890191</v>
      </c>
      <c r="F1811" s="49" t="s">
        <v>3656</v>
      </c>
      <c r="G1811" s="49" t="n">
        <v>0</v>
      </c>
      <c r="H1811" s="0" t="n">
        <v>0</v>
      </c>
      <c r="M1811" s="51" t="s">
        <v>4375</v>
      </c>
      <c r="N1811" s="49" t="n">
        <v>0</v>
      </c>
      <c r="O1811" s="53" t="n">
        <v>45697.6095949074</v>
      </c>
      <c r="P1811" s="53" t="n">
        <v>45699.4015972222</v>
      </c>
      <c r="Q1811" s="53" t="n">
        <v>45697.6095949074</v>
      </c>
      <c r="R1811" s="0" t="n">
        <v>0</v>
      </c>
      <c r="S1811" s="51" t="s">
        <v>2371</v>
      </c>
      <c r="T1811" s="51" t="s">
        <v>2371</v>
      </c>
      <c r="U1811" s="0" t="str">
        <f aca="false">"5060458890191"</f>
        <v>5060458890191</v>
      </c>
      <c r="V1811" s="51" t="s">
        <v>2142</v>
      </c>
      <c r="W1811" s="51" t="s">
        <v>4378</v>
      </c>
      <c r="X1811" s="51" t="s">
        <v>2359</v>
      </c>
    </row>
    <row r="1812" customFormat="false" ht="14.25" hidden="true" customHeight="false" outlineLevel="0" collapsed="false">
      <c r="A1812" s="49" t="s">
        <v>2349</v>
      </c>
      <c r="B1812" s="49" t="s">
        <v>2350</v>
      </c>
      <c r="C1812" s="49" t="s">
        <v>4379</v>
      </c>
      <c r="D1812" s="49" t="s">
        <v>2352</v>
      </c>
      <c r="E1812" s="49" t="str">
        <f aca="false">"5060458890191"</f>
        <v>5060458890191</v>
      </c>
      <c r="F1812" s="49" t="s">
        <v>3656</v>
      </c>
      <c r="G1812" s="49" t="n">
        <v>0</v>
      </c>
      <c r="H1812" s="0" t="n">
        <v>0</v>
      </c>
      <c r="M1812" s="51" t="s">
        <v>4375</v>
      </c>
      <c r="N1812" s="49" t="n">
        <v>0</v>
      </c>
      <c r="O1812" s="53" t="n">
        <v>45697.6110185185</v>
      </c>
      <c r="P1812" s="53" t="n">
        <v>45706.0832291667</v>
      </c>
      <c r="Q1812" s="53" t="n">
        <v>45697.6110185185</v>
      </c>
      <c r="R1812" s="0" t="n">
        <v>0</v>
      </c>
      <c r="S1812" s="51" t="s">
        <v>2371</v>
      </c>
      <c r="T1812" s="51" t="s">
        <v>2371</v>
      </c>
      <c r="U1812" s="0" t="str">
        <f aca="false">"5060458890191"</f>
        <v>5060458890191</v>
      </c>
      <c r="V1812" s="51" t="s">
        <v>2142</v>
      </c>
      <c r="W1812" s="51" t="s">
        <v>4380</v>
      </c>
      <c r="X1812" s="51" t="s">
        <v>2359</v>
      </c>
    </row>
    <row r="1813" customFormat="false" ht="14.25" hidden="true" customHeight="false" outlineLevel="0" collapsed="false">
      <c r="A1813" s="49" t="s">
        <v>2349</v>
      </c>
      <c r="B1813" s="49" t="s">
        <v>2350</v>
      </c>
      <c r="C1813" s="49" t="s">
        <v>4381</v>
      </c>
      <c r="D1813" s="49" t="s">
        <v>2352</v>
      </c>
      <c r="E1813" s="49" t="str">
        <f aca="false">"5060458890191"</f>
        <v>5060458890191</v>
      </c>
      <c r="F1813" s="49" t="s">
        <v>3656</v>
      </c>
      <c r="G1813" s="49" t="n">
        <v>0</v>
      </c>
      <c r="H1813" s="0" t="n">
        <v>0</v>
      </c>
      <c r="M1813" s="51" t="s">
        <v>4375</v>
      </c>
      <c r="N1813" s="49" t="n">
        <v>0</v>
      </c>
      <c r="O1813" s="53" t="n">
        <v>45697.6108101852</v>
      </c>
      <c r="P1813" s="53" t="n">
        <v>45698.4418171296</v>
      </c>
      <c r="Q1813" s="53" t="n">
        <v>45697.6108101852</v>
      </c>
      <c r="R1813" s="0" t="n">
        <v>0</v>
      </c>
      <c r="S1813" s="51" t="s">
        <v>2371</v>
      </c>
      <c r="T1813" s="51" t="s">
        <v>2371</v>
      </c>
      <c r="U1813" s="0" t="str">
        <f aca="false">"5060458890191"</f>
        <v>5060458890191</v>
      </c>
      <c r="V1813" s="51" t="s">
        <v>2142</v>
      </c>
      <c r="W1813" s="51" t="s">
        <v>4349</v>
      </c>
      <c r="X1813" s="51" t="s">
        <v>2359</v>
      </c>
    </row>
    <row r="1814" customFormat="false" ht="14.25" hidden="true" customHeight="false" outlineLevel="0" collapsed="false">
      <c r="A1814" s="49" t="s">
        <v>2349</v>
      </c>
      <c r="B1814" s="49" t="s">
        <v>2350</v>
      </c>
      <c r="C1814" s="49" t="s">
        <v>4382</v>
      </c>
      <c r="D1814" s="49" t="s">
        <v>2352</v>
      </c>
      <c r="E1814" s="49" t="str">
        <f aca="false">"5060458890191"</f>
        <v>5060458890191</v>
      </c>
      <c r="F1814" s="49" t="s">
        <v>3656</v>
      </c>
      <c r="G1814" s="49" t="n">
        <v>0</v>
      </c>
      <c r="H1814" s="0" t="n">
        <v>0</v>
      </c>
      <c r="M1814" s="51" t="s">
        <v>4375</v>
      </c>
      <c r="N1814" s="49" t="n">
        <v>0</v>
      </c>
      <c r="O1814" s="53" t="n">
        <v>45697.6103472222</v>
      </c>
      <c r="P1814" s="53" t="n">
        <v>45706.113912037</v>
      </c>
      <c r="Q1814" s="53" t="n">
        <v>45697.6103472222</v>
      </c>
      <c r="R1814" s="0" t="n">
        <v>0</v>
      </c>
      <c r="S1814" s="51" t="s">
        <v>2371</v>
      </c>
      <c r="T1814" s="51" t="s">
        <v>2371</v>
      </c>
      <c r="U1814" s="0" t="str">
        <f aca="false">"5060458890191"</f>
        <v>5060458890191</v>
      </c>
      <c r="V1814" s="51" t="s">
        <v>2142</v>
      </c>
      <c r="W1814" s="51" t="s">
        <v>4383</v>
      </c>
      <c r="X1814" s="51" t="s">
        <v>2359</v>
      </c>
    </row>
    <row r="1815" customFormat="false" ht="14.25" hidden="true" customHeight="false" outlineLevel="0" collapsed="false">
      <c r="A1815" s="49" t="s">
        <v>2349</v>
      </c>
      <c r="B1815" s="49" t="s">
        <v>2350</v>
      </c>
      <c r="C1815" s="49" t="s">
        <v>4384</v>
      </c>
      <c r="D1815" s="49" t="s">
        <v>2352</v>
      </c>
      <c r="E1815" s="49" t="str">
        <f aca="false">"5060458890191"</f>
        <v>5060458890191</v>
      </c>
      <c r="F1815" s="49" t="s">
        <v>3656</v>
      </c>
      <c r="G1815" s="49" t="n">
        <v>0</v>
      </c>
      <c r="H1815" s="0" t="n">
        <v>0</v>
      </c>
      <c r="M1815" s="51" t="s">
        <v>4375</v>
      </c>
      <c r="N1815" s="49" t="n">
        <v>0</v>
      </c>
      <c r="O1815" s="53" t="n">
        <v>45697.6101273148</v>
      </c>
      <c r="P1815" s="53" t="n">
        <v>45699.4057407407</v>
      </c>
      <c r="Q1815" s="53" t="n">
        <v>45697.6101273148</v>
      </c>
      <c r="R1815" s="0" t="n">
        <v>0</v>
      </c>
      <c r="S1815" s="51" t="s">
        <v>2371</v>
      </c>
      <c r="T1815" s="51" t="s">
        <v>2371</v>
      </c>
      <c r="U1815" s="0" t="str">
        <f aca="false">"5060458890191"</f>
        <v>5060458890191</v>
      </c>
      <c r="V1815" s="51" t="s">
        <v>2142</v>
      </c>
      <c r="W1815" s="51" t="s">
        <v>4385</v>
      </c>
      <c r="X1815" s="51" t="s">
        <v>2359</v>
      </c>
    </row>
    <row r="1816" customFormat="false" ht="14.25" hidden="true" customHeight="false" outlineLevel="0" collapsed="false">
      <c r="A1816" s="49" t="s">
        <v>2349</v>
      </c>
      <c r="B1816" s="49" t="s">
        <v>2350</v>
      </c>
      <c r="C1816" s="49" t="s">
        <v>4386</v>
      </c>
      <c r="D1816" s="49" t="s">
        <v>2352</v>
      </c>
      <c r="E1816" s="49" t="str">
        <f aca="false">"5060458890191"</f>
        <v>5060458890191</v>
      </c>
      <c r="F1816" s="49" t="s">
        <v>3656</v>
      </c>
      <c r="G1816" s="49" t="n">
        <v>0</v>
      </c>
      <c r="H1816" s="0" t="n">
        <v>0</v>
      </c>
      <c r="M1816" s="51" t="s">
        <v>4375</v>
      </c>
      <c r="N1816" s="49" t="n">
        <v>0</v>
      </c>
      <c r="O1816" s="53" t="n">
        <v>45697.6099537037</v>
      </c>
      <c r="P1816" s="53" t="n">
        <v>45699.403275463</v>
      </c>
      <c r="Q1816" s="53" t="n">
        <v>45697.6099537037</v>
      </c>
      <c r="R1816" s="0" t="n">
        <v>0</v>
      </c>
      <c r="S1816" s="51" t="s">
        <v>2371</v>
      </c>
      <c r="T1816" s="51" t="s">
        <v>2371</v>
      </c>
      <c r="U1816" s="0" t="str">
        <f aca="false">"5060458890191"</f>
        <v>5060458890191</v>
      </c>
      <c r="V1816" s="51" t="s">
        <v>2142</v>
      </c>
      <c r="W1816" s="51" t="s">
        <v>4387</v>
      </c>
      <c r="X1816" s="51" t="s">
        <v>2359</v>
      </c>
    </row>
    <row r="1817" customFormat="false" ht="14.25" hidden="true" customHeight="false" outlineLevel="0" collapsed="false">
      <c r="A1817" s="49" t="s">
        <v>2349</v>
      </c>
      <c r="B1817" s="49" t="s">
        <v>2350</v>
      </c>
      <c r="C1817" s="49" t="s">
        <v>4388</v>
      </c>
      <c r="D1817" s="49" t="s">
        <v>2352</v>
      </c>
      <c r="E1817" s="49" t="str">
        <f aca="false">"5060458890191"</f>
        <v>5060458890191</v>
      </c>
      <c r="F1817" s="49" t="s">
        <v>3656</v>
      </c>
      <c r="G1817" s="49" t="n">
        <v>0</v>
      </c>
      <c r="H1817" s="0" t="n">
        <v>0</v>
      </c>
      <c r="M1817" s="51" t="s">
        <v>4375</v>
      </c>
      <c r="N1817" s="49" t="n">
        <v>0</v>
      </c>
      <c r="O1817" s="53" t="n">
        <v>45697.5940046296</v>
      </c>
      <c r="P1817" s="53" t="n">
        <v>45698.8268634259</v>
      </c>
      <c r="Q1817" s="53" t="n">
        <v>45697.5940046296</v>
      </c>
      <c r="R1817" s="0" t="n">
        <v>0</v>
      </c>
      <c r="S1817" s="51" t="s">
        <v>2371</v>
      </c>
      <c r="T1817" s="51" t="s">
        <v>2371</v>
      </c>
      <c r="U1817" s="0" t="str">
        <f aca="false">"5060458890191"</f>
        <v>5060458890191</v>
      </c>
      <c r="V1817" s="51" t="s">
        <v>2142</v>
      </c>
      <c r="W1817" s="51" t="s">
        <v>4389</v>
      </c>
      <c r="X1817" s="51" t="s">
        <v>2359</v>
      </c>
    </row>
    <row r="1818" customFormat="false" ht="14.25" hidden="true" customHeight="false" outlineLevel="0" collapsed="false">
      <c r="A1818" s="49" t="s">
        <v>2349</v>
      </c>
      <c r="B1818" s="49" t="s">
        <v>2350</v>
      </c>
      <c r="C1818" s="49" t="s">
        <v>4390</v>
      </c>
      <c r="D1818" s="49" t="s">
        <v>2352</v>
      </c>
      <c r="E1818" s="49" t="str">
        <f aca="false">"5060458890191"</f>
        <v>5060458890191</v>
      </c>
      <c r="F1818" s="49" t="s">
        <v>3656</v>
      </c>
      <c r="G1818" s="49" t="n">
        <v>0</v>
      </c>
      <c r="H1818" s="0" t="n">
        <v>0</v>
      </c>
      <c r="M1818" s="51" t="s">
        <v>4375</v>
      </c>
      <c r="N1818" s="49" t="n">
        <v>0</v>
      </c>
      <c r="O1818" s="53" t="n">
        <v>45697.5933333333</v>
      </c>
      <c r="P1818" s="53" t="n">
        <v>45699.4081134259</v>
      </c>
      <c r="Q1818" s="53" t="n">
        <v>45697.5933333333</v>
      </c>
      <c r="R1818" s="0" t="n">
        <v>0</v>
      </c>
      <c r="S1818" s="51" t="s">
        <v>2371</v>
      </c>
      <c r="T1818" s="51" t="s">
        <v>2371</v>
      </c>
      <c r="U1818" s="0" t="str">
        <f aca="false">"5060458890191"</f>
        <v>5060458890191</v>
      </c>
      <c r="V1818" s="51" t="s">
        <v>2142</v>
      </c>
      <c r="W1818" s="51" t="s">
        <v>4391</v>
      </c>
      <c r="X1818" s="51" t="s">
        <v>2359</v>
      </c>
    </row>
    <row r="1819" customFormat="false" ht="14.25" hidden="true" customHeight="false" outlineLevel="0" collapsed="false">
      <c r="A1819" s="49" t="s">
        <v>2349</v>
      </c>
      <c r="B1819" s="49" t="s">
        <v>2350</v>
      </c>
      <c r="C1819" s="49" t="s">
        <v>4392</v>
      </c>
      <c r="D1819" s="49" t="s">
        <v>2352</v>
      </c>
      <c r="E1819" s="49" t="str">
        <f aca="false">"5060458890191"</f>
        <v>5060458890191</v>
      </c>
      <c r="F1819" s="49" t="s">
        <v>3656</v>
      </c>
      <c r="G1819" s="49" t="n">
        <v>0</v>
      </c>
      <c r="H1819" s="0" t="n">
        <v>0</v>
      </c>
      <c r="M1819" s="51" t="s">
        <v>4375</v>
      </c>
      <c r="N1819" s="49" t="n">
        <v>0</v>
      </c>
      <c r="O1819" s="53" t="n">
        <v>45697.5930671296</v>
      </c>
      <c r="P1819" s="53" t="n">
        <v>45699.3917013889</v>
      </c>
      <c r="Q1819" s="53" t="n">
        <v>45697.5930671296</v>
      </c>
      <c r="R1819" s="0" t="n">
        <v>0</v>
      </c>
      <c r="S1819" s="51" t="s">
        <v>2371</v>
      </c>
      <c r="T1819" s="51" t="s">
        <v>2371</v>
      </c>
      <c r="U1819" s="0" t="str">
        <f aca="false">"5060458890191"</f>
        <v>5060458890191</v>
      </c>
      <c r="V1819" s="51" t="s">
        <v>2142</v>
      </c>
      <c r="W1819" s="51" t="s">
        <v>4393</v>
      </c>
      <c r="X1819" s="51" t="s">
        <v>2359</v>
      </c>
    </row>
    <row r="1820" customFormat="false" ht="14.25" hidden="true" customHeight="false" outlineLevel="0" collapsed="false">
      <c r="A1820" s="49" t="s">
        <v>2349</v>
      </c>
      <c r="B1820" s="49" t="s">
        <v>2350</v>
      </c>
      <c r="C1820" s="49" t="s">
        <v>4394</v>
      </c>
      <c r="D1820" s="49" t="s">
        <v>2352</v>
      </c>
      <c r="E1820" s="49" t="str">
        <f aca="false">"5060458890191"</f>
        <v>5060458890191</v>
      </c>
      <c r="F1820" s="49" t="s">
        <v>3656</v>
      </c>
      <c r="G1820" s="49" t="n">
        <v>0</v>
      </c>
      <c r="H1820" s="0" t="n">
        <v>0</v>
      </c>
      <c r="M1820" s="51" t="s">
        <v>4375</v>
      </c>
      <c r="N1820" s="49" t="n">
        <v>0</v>
      </c>
      <c r="O1820" s="53" t="n">
        <v>45697.5926157407</v>
      </c>
      <c r="P1820" s="53" t="n">
        <v>45699.4068287037</v>
      </c>
      <c r="Q1820" s="53" t="n">
        <v>45697.5926157407</v>
      </c>
      <c r="R1820" s="0" t="n">
        <v>0</v>
      </c>
      <c r="S1820" s="51" t="s">
        <v>2371</v>
      </c>
      <c r="T1820" s="51" t="s">
        <v>2371</v>
      </c>
      <c r="U1820" s="0" t="str">
        <f aca="false">"5060458890191"</f>
        <v>5060458890191</v>
      </c>
      <c r="V1820" s="51" t="s">
        <v>2142</v>
      </c>
      <c r="W1820" s="51" t="s">
        <v>4395</v>
      </c>
      <c r="X1820" s="51" t="s">
        <v>2359</v>
      </c>
    </row>
    <row r="1821" customFormat="false" ht="14.25" hidden="true" customHeight="false" outlineLevel="0" collapsed="false">
      <c r="A1821" s="49" t="s">
        <v>2349</v>
      </c>
      <c r="B1821" s="49" t="s">
        <v>2350</v>
      </c>
      <c r="C1821" s="49" t="s">
        <v>4396</v>
      </c>
      <c r="D1821" s="49" t="s">
        <v>2352</v>
      </c>
      <c r="E1821" s="49" t="str">
        <f aca="false">"5060458890191"</f>
        <v>5060458890191</v>
      </c>
      <c r="F1821" s="49" t="s">
        <v>3656</v>
      </c>
      <c r="G1821" s="49" t="n">
        <v>0</v>
      </c>
      <c r="H1821" s="0" t="n">
        <v>0</v>
      </c>
      <c r="M1821" s="51" t="s">
        <v>4375</v>
      </c>
      <c r="N1821" s="49" t="n">
        <v>0</v>
      </c>
      <c r="O1821" s="53" t="n">
        <v>45697.5863657407</v>
      </c>
      <c r="P1821" s="53" t="n">
        <v>45699.3783333333</v>
      </c>
      <c r="Q1821" s="53" t="n">
        <v>45697.5863657407</v>
      </c>
      <c r="R1821" s="0" t="n">
        <v>0</v>
      </c>
      <c r="S1821" s="51" t="s">
        <v>2371</v>
      </c>
      <c r="T1821" s="51" t="s">
        <v>2371</v>
      </c>
      <c r="U1821" s="0" t="str">
        <f aca="false">"5060458890191"</f>
        <v>5060458890191</v>
      </c>
      <c r="V1821" s="51" t="s">
        <v>2142</v>
      </c>
      <c r="W1821" s="51" t="s">
        <v>4397</v>
      </c>
      <c r="X1821" s="51" t="s">
        <v>2359</v>
      </c>
    </row>
    <row r="1822" customFormat="false" ht="14.25" hidden="true" customHeight="false" outlineLevel="0" collapsed="false">
      <c r="A1822" s="49" t="s">
        <v>2349</v>
      </c>
      <c r="B1822" s="49" t="s">
        <v>2350</v>
      </c>
      <c r="C1822" s="49" t="s">
        <v>4398</v>
      </c>
      <c r="D1822" s="49" t="s">
        <v>2352</v>
      </c>
      <c r="E1822" s="49" t="str">
        <f aca="false">"5060458890191"</f>
        <v>5060458890191</v>
      </c>
      <c r="F1822" s="49" t="s">
        <v>3656</v>
      </c>
      <c r="G1822" s="49" t="n">
        <v>0</v>
      </c>
      <c r="H1822" s="0" t="n">
        <v>0</v>
      </c>
      <c r="M1822" s="51" t="s">
        <v>4375</v>
      </c>
      <c r="N1822" s="49" t="n">
        <v>0</v>
      </c>
      <c r="O1822" s="53" t="n">
        <v>45697.5847569444</v>
      </c>
      <c r="P1822" s="53" t="n">
        <v>45699.39</v>
      </c>
      <c r="Q1822" s="53" t="n">
        <v>45697.5847569444</v>
      </c>
      <c r="R1822" s="0" t="n">
        <v>0</v>
      </c>
      <c r="S1822" s="51" t="s">
        <v>2371</v>
      </c>
      <c r="T1822" s="51" t="s">
        <v>2371</v>
      </c>
      <c r="U1822" s="0" t="str">
        <f aca="false">"5060458890191"</f>
        <v>5060458890191</v>
      </c>
      <c r="V1822" s="51" t="s">
        <v>2142</v>
      </c>
      <c r="W1822" s="51" t="s">
        <v>4399</v>
      </c>
      <c r="X1822" s="51" t="s">
        <v>2359</v>
      </c>
    </row>
    <row r="1823" customFormat="false" ht="14.25" hidden="true" customHeight="false" outlineLevel="0" collapsed="false">
      <c r="A1823" s="49" t="s">
        <v>2349</v>
      </c>
      <c r="B1823" s="49" t="s">
        <v>2350</v>
      </c>
      <c r="C1823" s="49" t="s">
        <v>4400</v>
      </c>
      <c r="D1823" s="49" t="s">
        <v>2352</v>
      </c>
      <c r="E1823" s="49" t="str">
        <f aca="false">"5060458890191"</f>
        <v>5060458890191</v>
      </c>
      <c r="F1823" s="49" t="s">
        <v>3656</v>
      </c>
      <c r="G1823" s="49" t="n">
        <v>0</v>
      </c>
      <c r="H1823" s="0" t="n">
        <v>0</v>
      </c>
      <c r="M1823" s="51" t="s">
        <v>4375</v>
      </c>
      <c r="N1823" s="49" t="n">
        <v>0</v>
      </c>
      <c r="O1823" s="53" t="n">
        <v>45697.5850115741</v>
      </c>
      <c r="P1823" s="53" t="n">
        <v>45699.3948032407</v>
      </c>
      <c r="Q1823" s="53" t="n">
        <v>45697.5850115741</v>
      </c>
      <c r="R1823" s="0" t="n">
        <v>0</v>
      </c>
      <c r="S1823" s="51" t="s">
        <v>2371</v>
      </c>
      <c r="T1823" s="51" t="s">
        <v>2371</v>
      </c>
      <c r="U1823" s="0" t="str">
        <f aca="false">"5060458890191"</f>
        <v>5060458890191</v>
      </c>
      <c r="V1823" s="51" t="s">
        <v>2142</v>
      </c>
      <c r="W1823" s="51" t="s">
        <v>4401</v>
      </c>
      <c r="X1823" s="51" t="s">
        <v>2359</v>
      </c>
    </row>
    <row r="1824" customFormat="false" ht="14.25" hidden="true" customHeight="false" outlineLevel="0" collapsed="false">
      <c r="A1824" s="49" t="s">
        <v>2349</v>
      </c>
      <c r="B1824" s="49" t="s">
        <v>2350</v>
      </c>
      <c r="C1824" s="49" t="s">
        <v>4402</v>
      </c>
      <c r="D1824" s="49" t="s">
        <v>2352</v>
      </c>
      <c r="E1824" s="49" t="str">
        <f aca="false">"5060458890191"</f>
        <v>5060458890191</v>
      </c>
      <c r="F1824" s="49" t="s">
        <v>3656</v>
      </c>
      <c r="G1824" s="49" t="n">
        <v>0</v>
      </c>
      <c r="H1824" s="0" t="n">
        <v>0</v>
      </c>
      <c r="M1824" s="51" t="s">
        <v>4375</v>
      </c>
      <c r="N1824" s="49" t="n">
        <v>0</v>
      </c>
      <c r="O1824" s="53" t="n">
        <v>45697.5807060185</v>
      </c>
      <c r="P1824" s="53" t="n">
        <v>45699.3971643519</v>
      </c>
      <c r="Q1824" s="53" t="n">
        <v>45697.5807060185</v>
      </c>
      <c r="R1824" s="0" t="n">
        <v>0</v>
      </c>
      <c r="S1824" s="51" t="s">
        <v>2371</v>
      </c>
      <c r="T1824" s="51" t="s">
        <v>2371</v>
      </c>
      <c r="U1824" s="0" t="str">
        <f aca="false">"5060458890191"</f>
        <v>5060458890191</v>
      </c>
      <c r="V1824" s="51" t="s">
        <v>2142</v>
      </c>
      <c r="W1824" s="51" t="s">
        <v>4403</v>
      </c>
      <c r="X1824" s="51" t="s">
        <v>2359</v>
      </c>
    </row>
    <row r="1825" customFormat="false" ht="14.25" hidden="true" customHeight="false" outlineLevel="0" collapsed="false">
      <c r="A1825" s="49" t="s">
        <v>2349</v>
      </c>
      <c r="B1825" s="49" t="s">
        <v>2350</v>
      </c>
      <c r="C1825" s="49" t="s">
        <v>4404</v>
      </c>
      <c r="D1825" s="49" t="s">
        <v>2352</v>
      </c>
      <c r="E1825" s="49" t="str">
        <f aca="false">"5060458890191"</f>
        <v>5060458890191</v>
      </c>
      <c r="F1825" s="49" t="s">
        <v>3656</v>
      </c>
      <c r="G1825" s="49" t="n">
        <v>0</v>
      </c>
      <c r="H1825" s="0" t="n">
        <v>0</v>
      </c>
      <c r="M1825" s="51" t="s">
        <v>4375</v>
      </c>
      <c r="N1825" s="49" t="n">
        <v>0</v>
      </c>
      <c r="O1825" s="53" t="n">
        <v>45697.5812037037</v>
      </c>
      <c r="P1825" s="53" t="n">
        <v>45720.4093981482</v>
      </c>
      <c r="Q1825" s="53" t="n">
        <v>45697.5812037037</v>
      </c>
      <c r="R1825" s="0" t="n">
        <v>0</v>
      </c>
      <c r="S1825" s="51" t="s">
        <v>2371</v>
      </c>
      <c r="T1825" s="51" t="s">
        <v>2371</v>
      </c>
      <c r="U1825" s="0" t="str">
        <f aca="false">"5060458890191"</f>
        <v>5060458890191</v>
      </c>
      <c r="V1825" s="51" t="s">
        <v>2142</v>
      </c>
      <c r="W1825" s="51" t="s">
        <v>4405</v>
      </c>
      <c r="X1825" s="51" t="s">
        <v>2359</v>
      </c>
    </row>
    <row r="1826" customFormat="false" ht="14.25" hidden="true" customHeight="false" outlineLevel="0" collapsed="false">
      <c r="A1826" s="49" t="s">
        <v>2349</v>
      </c>
      <c r="B1826" s="49" t="s">
        <v>2350</v>
      </c>
      <c r="C1826" s="49" t="s">
        <v>4406</v>
      </c>
      <c r="D1826" s="49" t="s">
        <v>2352</v>
      </c>
      <c r="E1826" s="49" t="str">
        <f aca="false">"5060458890191"</f>
        <v>5060458890191</v>
      </c>
      <c r="F1826" s="49" t="s">
        <v>3656</v>
      </c>
      <c r="G1826" s="49" t="n">
        <v>0</v>
      </c>
      <c r="H1826" s="0" t="n">
        <v>0</v>
      </c>
      <c r="M1826" s="51" t="s">
        <v>4375</v>
      </c>
      <c r="N1826" s="49" t="n">
        <v>0</v>
      </c>
      <c r="O1826" s="53" t="n">
        <v>45697.5813657407</v>
      </c>
      <c r="P1826" s="53" t="n">
        <v>45699.9237962963</v>
      </c>
      <c r="Q1826" s="53" t="n">
        <v>45697.5813657407</v>
      </c>
      <c r="R1826" s="0" t="n">
        <v>0</v>
      </c>
      <c r="S1826" s="51" t="s">
        <v>2371</v>
      </c>
      <c r="T1826" s="51" t="s">
        <v>2371</v>
      </c>
      <c r="U1826" s="0" t="str">
        <f aca="false">"5060458890191"</f>
        <v>5060458890191</v>
      </c>
      <c r="V1826" s="51" t="s">
        <v>2142</v>
      </c>
      <c r="W1826" s="51" t="s">
        <v>4407</v>
      </c>
      <c r="X1826" s="51" t="s">
        <v>2359</v>
      </c>
    </row>
    <row r="1827" customFormat="false" ht="14.25" hidden="true" customHeight="false" outlineLevel="0" collapsed="false">
      <c r="A1827" s="49" t="s">
        <v>2349</v>
      </c>
      <c r="B1827" s="49" t="s">
        <v>2350</v>
      </c>
      <c r="C1827" s="49" t="s">
        <v>4408</v>
      </c>
      <c r="D1827" s="49" t="s">
        <v>2352</v>
      </c>
      <c r="E1827" s="49" t="str">
        <f aca="false">"5060458890191"</f>
        <v>5060458890191</v>
      </c>
      <c r="F1827" s="49" t="s">
        <v>3656</v>
      </c>
      <c r="G1827" s="49" t="n">
        <v>0</v>
      </c>
      <c r="H1827" s="0" t="n">
        <v>0</v>
      </c>
      <c r="M1827" s="51" t="s">
        <v>4375</v>
      </c>
      <c r="N1827" s="49" t="n">
        <v>0</v>
      </c>
      <c r="O1827" s="53" t="n">
        <v>45697.5819675926</v>
      </c>
      <c r="P1827" s="53" t="n">
        <v>45699.3740046296</v>
      </c>
      <c r="Q1827" s="53" t="n">
        <v>45697.5819675926</v>
      </c>
      <c r="R1827" s="0" t="n">
        <v>0</v>
      </c>
      <c r="S1827" s="51" t="s">
        <v>2371</v>
      </c>
      <c r="T1827" s="51" t="s">
        <v>2371</v>
      </c>
      <c r="U1827" s="0" t="str">
        <f aca="false">"5060458890191"</f>
        <v>5060458890191</v>
      </c>
      <c r="V1827" s="51" t="s">
        <v>2142</v>
      </c>
      <c r="W1827" s="51" t="s">
        <v>4409</v>
      </c>
      <c r="X1827" s="51" t="s">
        <v>2359</v>
      </c>
    </row>
    <row r="1828" customFormat="false" ht="14.25" hidden="true" customHeight="false" outlineLevel="0" collapsed="false">
      <c r="A1828" s="49" t="s">
        <v>2349</v>
      </c>
      <c r="B1828" s="49" t="s">
        <v>2350</v>
      </c>
      <c r="C1828" s="49" t="s">
        <v>4410</v>
      </c>
      <c r="D1828" s="49" t="s">
        <v>2352</v>
      </c>
      <c r="E1828" s="49" t="str">
        <f aca="false">"5060458890191"</f>
        <v>5060458890191</v>
      </c>
      <c r="F1828" s="49" t="s">
        <v>3656</v>
      </c>
      <c r="G1828" s="49" t="n">
        <v>0</v>
      </c>
      <c r="H1828" s="0" t="n">
        <v>0</v>
      </c>
      <c r="M1828" s="51" t="s">
        <v>4375</v>
      </c>
      <c r="N1828" s="49" t="n">
        <v>0</v>
      </c>
      <c r="O1828" s="53" t="n">
        <v>45697.5821064815</v>
      </c>
      <c r="P1828" s="53" t="n">
        <v>45699.395787037</v>
      </c>
      <c r="Q1828" s="53" t="n">
        <v>45697.5821064815</v>
      </c>
      <c r="R1828" s="0" t="n">
        <v>0</v>
      </c>
      <c r="S1828" s="51" t="s">
        <v>2371</v>
      </c>
      <c r="T1828" s="51" t="s">
        <v>2371</v>
      </c>
      <c r="U1828" s="0" t="str">
        <f aca="false">"5060458890191"</f>
        <v>5060458890191</v>
      </c>
      <c r="V1828" s="51" t="s">
        <v>2142</v>
      </c>
      <c r="W1828" s="51" t="s">
        <v>4411</v>
      </c>
      <c r="X1828" s="51" t="s">
        <v>2359</v>
      </c>
    </row>
    <row r="1829" customFormat="false" ht="14.25" hidden="true" customHeight="false" outlineLevel="0" collapsed="false">
      <c r="A1829" s="49" t="s">
        <v>2349</v>
      </c>
      <c r="B1829" s="49" t="s">
        <v>2350</v>
      </c>
      <c r="C1829" s="49" t="s">
        <v>4412</v>
      </c>
      <c r="D1829" s="49" t="s">
        <v>2352</v>
      </c>
      <c r="E1829" s="49" t="str">
        <f aca="false">"5060458890191"</f>
        <v>5060458890191</v>
      </c>
      <c r="F1829" s="49" t="s">
        <v>3656</v>
      </c>
      <c r="G1829" s="49" t="n">
        <v>0</v>
      </c>
      <c r="H1829" s="0" t="n">
        <v>0</v>
      </c>
      <c r="M1829" s="51" t="s">
        <v>4375</v>
      </c>
      <c r="N1829" s="49" t="n">
        <v>0</v>
      </c>
      <c r="O1829" s="53" t="n">
        <v>45697.5822337963</v>
      </c>
      <c r="P1829" s="53" t="n">
        <v>45699.3821296296</v>
      </c>
      <c r="Q1829" s="53" t="n">
        <v>45697.5822337963</v>
      </c>
      <c r="R1829" s="0" t="n">
        <v>0</v>
      </c>
      <c r="S1829" s="51" t="s">
        <v>2371</v>
      </c>
      <c r="T1829" s="51" t="s">
        <v>2371</v>
      </c>
      <c r="U1829" s="0" t="str">
        <f aca="false">"5060458890191"</f>
        <v>5060458890191</v>
      </c>
      <c r="V1829" s="51" t="s">
        <v>2142</v>
      </c>
      <c r="W1829" s="51" t="s">
        <v>4413</v>
      </c>
      <c r="X1829" s="51" t="s">
        <v>2359</v>
      </c>
    </row>
    <row r="1830" customFormat="false" ht="14.25" hidden="true" customHeight="false" outlineLevel="0" collapsed="false">
      <c r="A1830" s="49" t="s">
        <v>2349</v>
      </c>
      <c r="B1830" s="49" t="s">
        <v>2350</v>
      </c>
      <c r="C1830" s="49" t="s">
        <v>4414</v>
      </c>
      <c r="D1830" s="49" t="s">
        <v>2352</v>
      </c>
      <c r="E1830" s="49" t="str">
        <f aca="false">"5060458890191"</f>
        <v>5060458890191</v>
      </c>
      <c r="F1830" s="49" t="s">
        <v>3656</v>
      </c>
      <c r="G1830" s="49" t="n">
        <v>0</v>
      </c>
      <c r="H1830" s="0" t="n">
        <v>0</v>
      </c>
      <c r="M1830" s="51" t="s">
        <v>4375</v>
      </c>
      <c r="N1830" s="49" t="n">
        <v>0</v>
      </c>
      <c r="O1830" s="53" t="n">
        <v>45697.5823958333</v>
      </c>
      <c r="P1830" s="53" t="n">
        <v>45699.3845138889</v>
      </c>
      <c r="Q1830" s="53" t="n">
        <v>45697.5823958333</v>
      </c>
      <c r="R1830" s="0" t="n">
        <v>0</v>
      </c>
      <c r="S1830" s="51" t="s">
        <v>2371</v>
      </c>
      <c r="T1830" s="51" t="s">
        <v>2371</v>
      </c>
      <c r="U1830" s="0" t="str">
        <f aca="false">"5060458890191"</f>
        <v>5060458890191</v>
      </c>
      <c r="V1830" s="51" t="s">
        <v>2142</v>
      </c>
      <c r="W1830" s="51" t="s">
        <v>4415</v>
      </c>
      <c r="X1830" s="51" t="s">
        <v>2359</v>
      </c>
    </row>
    <row r="1831" customFormat="false" ht="14.25" hidden="true" customHeight="false" outlineLevel="0" collapsed="false">
      <c r="A1831" s="49" t="s">
        <v>2349</v>
      </c>
      <c r="B1831" s="49" t="s">
        <v>2350</v>
      </c>
      <c r="C1831" s="49" t="s">
        <v>4416</v>
      </c>
      <c r="D1831" s="49" t="s">
        <v>2352</v>
      </c>
      <c r="E1831" s="49" t="str">
        <f aca="false">"5060458890191"</f>
        <v>5060458890191</v>
      </c>
      <c r="F1831" s="49" t="s">
        <v>3656</v>
      </c>
      <c r="G1831" s="49" t="n">
        <v>0</v>
      </c>
      <c r="H1831" s="0" t="n">
        <v>0</v>
      </c>
      <c r="M1831" s="51" t="s">
        <v>4375</v>
      </c>
      <c r="N1831" s="49" t="n">
        <v>0</v>
      </c>
      <c r="O1831" s="53" t="n">
        <v>45697.5828356482</v>
      </c>
      <c r="P1831" s="53" t="n">
        <v>45698.4409259259</v>
      </c>
      <c r="Q1831" s="53" t="n">
        <v>45697.5828356482</v>
      </c>
      <c r="R1831" s="0" t="n">
        <v>0</v>
      </c>
      <c r="S1831" s="51" t="s">
        <v>2371</v>
      </c>
      <c r="T1831" s="51" t="s">
        <v>2371</v>
      </c>
      <c r="U1831" s="0" t="str">
        <f aca="false">"5060458890191"</f>
        <v>5060458890191</v>
      </c>
      <c r="V1831" s="51" t="s">
        <v>2142</v>
      </c>
      <c r="W1831" s="51" t="s">
        <v>4417</v>
      </c>
      <c r="X1831" s="51" t="s">
        <v>2359</v>
      </c>
    </row>
    <row r="1832" customFormat="false" ht="14.25" hidden="true" customHeight="false" outlineLevel="0" collapsed="false">
      <c r="A1832" s="49" t="s">
        <v>2349</v>
      </c>
      <c r="B1832" s="49" t="s">
        <v>2350</v>
      </c>
      <c r="C1832" s="49" t="s">
        <v>4418</v>
      </c>
      <c r="D1832" s="49" t="s">
        <v>2352</v>
      </c>
      <c r="E1832" s="49" t="str">
        <f aca="false">"5060458890191"</f>
        <v>5060458890191</v>
      </c>
      <c r="F1832" s="49" t="s">
        <v>3656</v>
      </c>
      <c r="G1832" s="49" t="n">
        <v>0</v>
      </c>
      <c r="H1832" s="0" t="n">
        <v>0</v>
      </c>
      <c r="M1832" s="51" t="s">
        <v>4375</v>
      </c>
      <c r="N1832" s="49" t="n">
        <v>0</v>
      </c>
      <c r="O1832" s="53" t="n">
        <v>45697.582974537</v>
      </c>
      <c r="P1832" s="53" t="n">
        <v>45699.3874652778</v>
      </c>
      <c r="Q1832" s="53" t="n">
        <v>45697.582974537</v>
      </c>
      <c r="R1832" s="0" t="n">
        <v>0</v>
      </c>
      <c r="S1832" s="51" t="s">
        <v>2371</v>
      </c>
      <c r="T1832" s="51" t="s">
        <v>2371</v>
      </c>
      <c r="U1832" s="0" t="str">
        <f aca="false">"5060458890191"</f>
        <v>5060458890191</v>
      </c>
      <c r="V1832" s="51" t="s">
        <v>2142</v>
      </c>
      <c r="W1832" s="51" t="s">
        <v>4419</v>
      </c>
      <c r="X1832" s="51" t="s">
        <v>2359</v>
      </c>
    </row>
    <row r="1833" customFormat="false" ht="14.25" hidden="true" customHeight="false" outlineLevel="0" collapsed="false">
      <c r="A1833" s="49" t="s">
        <v>2349</v>
      </c>
      <c r="B1833" s="49" t="s">
        <v>2350</v>
      </c>
      <c r="C1833" s="49" t="s">
        <v>4420</v>
      </c>
      <c r="D1833" s="49" t="s">
        <v>2352</v>
      </c>
      <c r="E1833" s="49" t="str">
        <f aca="false">"5060458890191"</f>
        <v>5060458890191</v>
      </c>
      <c r="F1833" s="49" t="s">
        <v>3656</v>
      </c>
      <c r="G1833" s="49" t="n">
        <v>0</v>
      </c>
      <c r="H1833" s="0" t="n">
        <v>0</v>
      </c>
      <c r="M1833" s="51" t="s">
        <v>4375</v>
      </c>
      <c r="N1833" s="49" t="n">
        <v>0</v>
      </c>
      <c r="O1833" s="53" t="n">
        <v>45697.5831365741</v>
      </c>
      <c r="P1833" s="53" t="n">
        <v>45699.3809722222</v>
      </c>
      <c r="Q1833" s="53" t="n">
        <v>45697.5831365741</v>
      </c>
      <c r="R1833" s="0" t="n">
        <v>0</v>
      </c>
      <c r="S1833" s="51" t="s">
        <v>2371</v>
      </c>
      <c r="T1833" s="51" t="s">
        <v>2371</v>
      </c>
      <c r="U1833" s="0" t="str">
        <f aca="false">"5060458890191"</f>
        <v>5060458890191</v>
      </c>
      <c r="V1833" s="51" t="s">
        <v>2142</v>
      </c>
      <c r="W1833" s="51" t="s">
        <v>4421</v>
      </c>
      <c r="X1833" s="51" t="s">
        <v>2359</v>
      </c>
    </row>
    <row r="1834" customFormat="false" ht="14.25" hidden="true" customHeight="false" outlineLevel="0" collapsed="false">
      <c r="A1834" s="49" t="s">
        <v>2349</v>
      </c>
      <c r="B1834" s="49" t="s">
        <v>2350</v>
      </c>
      <c r="C1834" s="49" t="s">
        <v>4422</v>
      </c>
      <c r="D1834" s="49" t="s">
        <v>2352</v>
      </c>
      <c r="E1834" s="49" t="str">
        <f aca="false">"5060458890191"</f>
        <v>5060458890191</v>
      </c>
      <c r="F1834" s="49" t="s">
        <v>3656</v>
      </c>
      <c r="G1834" s="49" t="n">
        <v>0</v>
      </c>
      <c r="H1834" s="0" t="n">
        <v>0</v>
      </c>
      <c r="M1834" s="51" t="s">
        <v>4375</v>
      </c>
      <c r="N1834" s="49" t="n">
        <v>0</v>
      </c>
      <c r="O1834" s="53" t="n">
        <v>45697.5832986111</v>
      </c>
      <c r="P1834" s="53" t="n">
        <v>45699.3885416667</v>
      </c>
      <c r="Q1834" s="53" t="n">
        <v>45697.5832986111</v>
      </c>
      <c r="R1834" s="0" t="n">
        <v>0</v>
      </c>
      <c r="S1834" s="51" t="s">
        <v>2371</v>
      </c>
      <c r="T1834" s="51" t="s">
        <v>2371</v>
      </c>
      <c r="U1834" s="0" t="str">
        <f aca="false">"5060458890191"</f>
        <v>5060458890191</v>
      </c>
      <c r="V1834" s="51" t="s">
        <v>2142</v>
      </c>
      <c r="W1834" s="51" t="s">
        <v>4423</v>
      </c>
      <c r="X1834" s="51" t="s">
        <v>2359</v>
      </c>
    </row>
    <row r="1835" customFormat="false" ht="14.25" hidden="true" customHeight="false" outlineLevel="0" collapsed="false">
      <c r="A1835" s="49" t="s">
        <v>2349</v>
      </c>
      <c r="B1835" s="49" t="s">
        <v>2350</v>
      </c>
      <c r="C1835" s="49" t="s">
        <v>4424</v>
      </c>
      <c r="D1835" s="49" t="s">
        <v>2352</v>
      </c>
      <c r="E1835" s="49" t="str">
        <f aca="false">"5060458890191"</f>
        <v>5060458890191</v>
      </c>
      <c r="F1835" s="49" t="s">
        <v>3656</v>
      </c>
      <c r="G1835" s="49" t="n">
        <v>0</v>
      </c>
      <c r="H1835" s="0" t="n">
        <v>0</v>
      </c>
      <c r="M1835" s="51" t="s">
        <v>4375</v>
      </c>
      <c r="N1835" s="49" t="n">
        <v>0</v>
      </c>
      <c r="O1835" s="53" t="n">
        <v>45697.5835416667</v>
      </c>
      <c r="P1835" s="53" t="n">
        <v>45713.8154398148</v>
      </c>
      <c r="Q1835" s="53" t="n">
        <v>45697.5835416667</v>
      </c>
      <c r="R1835" s="0" t="n">
        <v>0</v>
      </c>
      <c r="S1835" s="51" t="s">
        <v>2371</v>
      </c>
      <c r="T1835" s="51" t="s">
        <v>2371</v>
      </c>
      <c r="U1835" s="0" t="str">
        <f aca="false">"5060458890191"</f>
        <v>5060458890191</v>
      </c>
      <c r="V1835" s="51" t="s">
        <v>2142</v>
      </c>
      <c r="W1835" s="51" t="s">
        <v>4425</v>
      </c>
      <c r="X1835" s="51" t="s">
        <v>2359</v>
      </c>
    </row>
    <row r="1836" customFormat="false" ht="14.25" hidden="true" customHeight="false" outlineLevel="0" collapsed="false">
      <c r="A1836" s="49" t="s">
        <v>2349</v>
      </c>
      <c r="B1836" s="49" t="s">
        <v>2350</v>
      </c>
      <c r="C1836" s="49" t="s">
        <v>4426</v>
      </c>
      <c r="D1836" s="49" t="s">
        <v>2352</v>
      </c>
      <c r="E1836" s="49" t="str">
        <f aca="false">"5060458890191"</f>
        <v>5060458890191</v>
      </c>
      <c r="F1836" s="49" t="s">
        <v>3656</v>
      </c>
      <c r="G1836" s="49" t="n">
        <v>0</v>
      </c>
      <c r="H1836" s="0" t="n">
        <v>0</v>
      </c>
      <c r="M1836" s="51" t="s">
        <v>4375</v>
      </c>
      <c r="N1836" s="49" t="n">
        <v>0</v>
      </c>
      <c r="O1836" s="53" t="n">
        <v>45697.5841087963</v>
      </c>
      <c r="P1836" s="53" t="n">
        <v>45699.3752546296</v>
      </c>
      <c r="Q1836" s="53" t="n">
        <v>45697.5841087963</v>
      </c>
      <c r="R1836" s="0" t="n">
        <v>0</v>
      </c>
      <c r="S1836" s="51" t="s">
        <v>2371</v>
      </c>
      <c r="T1836" s="51" t="s">
        <v>2371</v>
      </c>
      <c r="U1836" s="0" t="str">
        <f aca="false">"5060458890191"</f>
        <v>5060458890191</v>
      </c>
      <c r="V1836" s="51" t="s">
        <v>2142</v>
      </c>
      <c r="W1836" s="51" t="s">
        <v>4427</v>
      </c>
      <c r="X1836" s="51" t="s">
        <v>2359</v>
      </c>
    </row>
    <row r="1837" customFormat="false" ht="14.25" hidden="true" customHeight="false" outlineLevel="0" collapsed="false">
      <c r="A1837" s="49" t="s">
        <v>2349</v>
      </c>
      <c r="B1837" s="49" t="s">
        <v>2350</v>
      </c>
      <c r="C1837" s="49" t="s">
        <v>4428</v>
      </c>
      <c r="D1837" s="49" t="s">
        <v>2352</v>
      </c>
      <c r="E1837" s="49" t="str">
        <f aca="false">"5060458890191"</f>
        <v>5060458890191</v>
      </c>
      <c r="F1837" s="49" t="s">
        <v>3656</v>
      </c>
      <c r="G1837" s="49" t="n">
        <v>0</v>
      </c>
      <c r="H1837" s="0" t="n">
        <v>0</v>
      </c>
      <c r="M1837" s="51" t="s">
        <v>4375</v>
      </c>
      <c r="N1837" s="49" t="n">
        <v>0</v>
      </c>
      <c r="O1837" s="53" t="n">
        <v>45697.5842592593</v>
      </c>
      <c r="P1837" s="53" t="n">
        <v>45699.3937384259</v>
      </c>
      <c r="Q1837" s="53" t="n">
        <v>45697.5842592593</v>
      </c>
      <c r="R1837" s="0" t="n">
        <v>0</v>
      </c>
      <c r="S1837" s="51" t="s">
        <v>2371</v>
      </c>
      <c r="T1837" s="51" t="s">
        <v>2371</v>
      </c>
      <c r="U1837" s="0" t="str">
        <f aca="false">"5060458890191"</f>
        <v>5060458890191</v>
      </c>
      <c r="V1837" s="51" t="s">
        <v>2142</v>
      </c>
      <c r="W1837" s="51" t="s">
        <v>4429</v>
      </c>
      <c r="X1837" s="51" t="s">
        <v>2359</v>
      </c>
    </row>
    <row r="1838" customFormat="false" ht="14.25" hidden="true" customHeight="false" outlineLevel="0" collapsed="false">
      <c r="A1838" s="49" t="s">
        <v>2349</v>
      </c>
      <c r="B1838" s="49" t="s">
        <v>2350</v>
      </c>
      <c r="C1838" s="49" t="s">
        <v>4430</v>
      </c>
      <c r="D1838" s="49" t="s">
        <v>2352</v>
      </c>
      <c r="E1838" s="49" t="str">
        <f aca="false">"5060458890191"</f>
        <v>5060458890191</v>
      </c>
      <c r="F1838" s="49" t="s">
        <v>3656</v>
      </c>
      <c r="G1838" s="49" t="n">
        <v>0</v>
      </c>
      <c r="H1838" s="0" t="n">
        <v>0</v>
      </c>
      <c r="M1838" s="51" t="s">
        <v>4375</v>
      </c>
      <c r="N1838" s="49" t="n">
        <v>0</v>
      </c>
      <c r="O1838" s="53" t="n">
        <v>45697.5844212963</v>
      </c>
      <c r="P1838" s="53" t="n">
        <v>45699.3834606482</v>
      </c>
      <c r="Q1838" s="53" t="n">
        <v>45697.5844212963</v>
      </c>
      <c r="R1838" s="0" t="n">
        <v>0</v>
      </c>
      <c r="S1838" s="51" t="s">
        <v>2371</v>
      </c>
      <c r="T1838" s="51" t="s">
        <v>2371</v>
      </c>
      <c r="U1838" s="0" t="str">
        <f aca="false">"5060458890191"</f>
        <v>5060458890191</v>
      </c>
      <c r="V1838" s="51" t="s">
        <v>2142</v>
      </c>
      <c r="W1838" s="51" t="s">
        <v>4431</v>
      </c>
      <c r="X1838" s="51" t="s">
        <v>2359</v>
      </c>
    </row>
    <row r="1839" customFormat="false" ht="14.25" hidden="true" customHeight="false" outlineLevel="0" collapsed="false">
      <c r="A1839" s="49" t="s">
        <v>2349</v>
      </c>
      <c r="B1839" s="49" t="s">
        <v>2350</v>
      </c>
      <c r="C1839" s="49" t="s">
        <v>4432</v>
      </c>
      <c r="D1839" s="49" t="s">
        <v>2352</v>
      </c>
      <c r="E1839" s="49" t="str">
        <f aca="false">"5060458890191"</f>
        <v>5060458890191</v>
      </c>
      <c r="F1839" s="49" t="s">
        <v>3656</v>
      </c>
      <c r="G1839" s="49" t="n">
        <v>0</v>
      </c>
      <c r="H1839" s="0" t="n">
        <v>0</v>
      </c>
      <c r="M1839" s="51" t="s">
        <v>4433</v>
      </c>
      <c r="N1839" s="49" t="n">
        <v>0</v>
      </c>
      <c r="O1839" s="53" t="n">
        <v>45698.6594212963</v>
      </c>
      <c r="P1839" s="53" t="n">
        <v>45708.3582060185</v>
      </c>
      <c r="Q1839" s="53" t="n">
        <v>45698.6594212963</v>
      </c>
      <c r="R1839" s="0" t="n">
        <v>0</v>
      </c>
      <c r="S1839" s="51" t="s">
        <v>2371</v>
      </c>
      <c r="T1839" s="51" t="s">
        <v>2371</v>
      </c>
      <c r="U1839" s="0" t="str">
        <f aca="false">"5060458890191"</f>
        <v>5060458890191</v>
      </c>
      <c r="V1839" s="51" t="s">
        <v>2142</v>
      </c>
      <c r="W1839" s="51" t="s">
        <v>4434</v>
      </c>
      <c r="X1839" s="51" t="s">
        <v>2359</v>
      </c>
    </row>
    <row r="1840" customFormat="false" ht="14.25" hidden="true" customHeight="false" outlineLevel="0" collapsed="false">
      <c r="A1840" s="49" t="s">
        <v>2349</v>
      </c>
      <c r="B1840" s="49" t="s">
        <v>2350</v>
      </c>
      <c r="C1840" s="49" t="s">
        <v>4435</v>
      </c>
      <c r="D1840" s="49" t="s">
        <v>2352</v>
      </c>
      <c r="E1840" s="49" t="str">
        <f aca="false">"5060458890191"</f>
        <v>5060458890191</v>
      </c>
      <c r="F1840" s="49" t="s">
        <v>3656</v>
      </c>
      <c r="G1840" s="49" t="n">
        <v>0</v>
      </c>
      <c r="H1840" s="0" t="n">
        <v>0</v>
      </c>
      <c r="M1840" s="51" t="s">
        <v>4433</v>
      </c>
      <c r="N1840" s="49" t="n">
        <v>0</v>
      </c>
      <c r="O1840" s="53" t="n">
        <v>45698.6587037037</v>
      </c>
      <c r="P1840" s="53" t="n">
        <v>45720.3857986111</v>
      </c>
      <c r="Q1840" s="53" t="n">
        <v>45698.6587037037</v>
      </c>
      <c r="R1840" s="0" t="n">
        <v>0</v>
      </c>
      <c r="S1840" s="51" t="s">
        <v>2371</v>
      </c>
      <c r="T1840" s="51" t="s">
        <v>2371</v>
      </c>
      <c r="U1840" s="0" t="str">
        <f aca="false">"5060458890191"</f>
        <v>5060458890191</v>
      </c>
      <c r="V1840" s="51" t="s">
        <v>2142</v>
      </c>
      <c r="W1840" s="51" t="s">
        <v>4202</v>
      </c>
      <c r="X1840" s="51" t="s">
        <v>2359</v>
      </c>
    </row>
    <row r="1841" customFormat="false" ht="14.25" hidden="true" customHeight="false" outlineLevel="0" collapsed="false">
      <c r="A1841" s="49" t="s">
        <v>2349</v>
      </c>
      <c r="B1841" s="49" t="s">
        <v>2350</v>
      </c>
      <c r="C1841" s="49" t="s">
        <v>4436</v>
      </c>
      <c r="D1841" s="49" t="s">
        <v>2352</v>
      </c>
      <c r="E1841" s="49" t="str">
        <f aca="false">"5060458890191"</f>
        <v>5060458890191</v>
      </c>
      <c r="F1841" s="49" t="s">
        <v>3656</v>
      </c>
      <c r="G1841" s="49" t="n">
        <v>0</v>
      </c>
      <c r="H1841" s="0" t="n">
        <v>0</v>
      </c>
      <c r="M1841" s="51" t="s">
        <v>4433</v>
      </c>
      <c r="N1841" s="49" t="n">
        <v>0</v>
      </c>
      <c r="O1841" s="53" t="n">
        <v>45698.658587963</v>
      </c>
      <c r="P1841" s="53" t="n">
        <v>45720.3917013889</v>
      </c>
      <c r="Q1841" s="53" t="n">
        <v>45698.658587963</v>
      </c>
      <c r="R1841" s="0" t="n">
        <v>0</v>
      </c>
      <c r="S1841" s="51" t="s">
        <v>2371</v>
      </c>
      <c r="T1841" s="51" t="s">
        <v>2371</v>
      </c>
      <c r="U1841" s="0" t="str">
        <f aca="false">"5060458890191"</f>
        <v>5060458890191</v>
      </c>
      <c r="V1841" s="51" t="s">
        <v>2142</v>
      </c>
      <c r="W1841" s="51" t="s">
        <v>4437</v>
      </c>
      <c r="X1841" s="51" t="s">
        <v>2359</v>
      </c>
    </row>
    <row r="1842" customFormat="false" ht="14.25" hidden="true" customHeight="false" outlineLevel="0" collapsed="false">
      <c r="A1842" s="49" t="s">
        <v>2349</v>
      </c>
      <c r="B1842" s="49" t="s">
        <v>2350</v>
      </c>
      <c r="C1842" s="49" t="s">
        <v>4438</v>
      </c>
      <c r="D1842" s="49" t="s">
        <v>2352</v>
      </c>
      <c r="E1842" s="49" t="str">
        <f aca="false">"5060458890191"</f>
        <v>5060458890191</v>
      </c>
      <c r="F1842" s="49" t="s">
        <v>3656</v>
      </c>
      <c r="G1842" s="49" t="n">
        <v>0</v>
      </c>
      <c r="H1842" s="0" t="n">
        <v>0</v>
      </c>
      <c r="M1842" s="51" t="s">
        <v>4433</v>
      </c>
      <c r="N1842" s="49" t="n">
        <v>0</v>
      </c>
      <c r="O1842" s="53" t="n">
        <v>45698.6584606482</v>
      </c>
      <c r="P1842" s="53" t="n">
        <v>45720.3846527778</v>
      </c>
      <c r="Q1842" s="53" t="n">
        <v>45698.6584606482</v>
      </c>
      <c r="R1842" s="0" t="n">
        <v>0</v>
      </c>
      <c r="S1842" s="51" t="s">
        <v>2371</v>
      </c>
      <c r="T1842" s="51" t="s">
        <v>2371</v>
      </c>
      <c r="U1842" s="0" t="str">
        <f aca="false">"5060458890191"</f>
        <v>5060458890191</v>
      </c>
      <c r="V1842" s="51" t="s">
        <v>2142</v>
      </c>
      <c r="W1842" s="51" t="s">
        <v>4439</v>
      </c>
      <c r="X1842" s="51" t="s">
        <v>2359</v>
      </c>
    </row>
    <row r="1843" customFormat="false" ht="14.25" hidden="true" customHeight="false" outlineLevel="0" collapsed="false">
      <c r="A1843" s="49" t="s">
        <v>2349</v>
      </c>
      <c r="B1843" s="49" t="s">
        <v>2350</v>
      </c>
      <c r="C1843" s="49" t="s">
        <v>4440</v>
      </c>
      <c r="D1843" s="49" t="s">
        <v>2352</v>
      </c>
      <c r="E1843" s="49" t="str">
        <f aca="false">"5060458890191"</f>
        <v>5060458890191</v>
      </c>
      <c r="F1843" s="49" t="s">
        <v>3656</v>
      </c>
      <c r="G1843" s="49" t="n">
        <v>0</v>
      </c>
      <c r="H1843" s="0" t="n">
        <v>0</v>
      </c>
      <c r="M1843" s="51" t="s">
        <v>4433</v>
      </c>
      <c r="N1843" s="49" t="n">
        <v>0</v>
      </c>
      <c r="O1843" s="53" t="n">
        <v>45698.6583333333</v>
      </c>
      <c r="P1843" s="53" t="n">
        <v>45704.9303819445</v>
      </c>
      <c r="Q1843" s="53" t="n">
        <v>45698.6583333333</v>
      </c>
      <c r="R1843" s="0" t="n">
        <v>0</v>
      </c>
      <c r="S1843" s="51" t="s">
        <v>2371</v>
      </c>
      <c r="T1843" s="51" t="s">
        <v>2371</v>
      </c>
      <c r="U1843" s="0" t="str">
        <f aca="false">"5060458890191"</f>
        <v>5060458890191</v>
      </c>
      <c r="V1843" s="51" t="s">
        <v>2142</v>
      </c>
      <c r="W1843" s="51" t="s">
        <v>4303</v>
      </c>
      <c r="X1843" s="51" t="s">
        <v>2359</v>
      </c>
    </row>
    <row r="1844" customFormat="false" ht="14.25" hidden="true" customHeight="false" outlineLevel="0" collapsed="false">
      <c r="A1844" s="49" t="s">
        <v>2349</v>
      </c>
      <c r="B1844" s="49" t="s">
        <v>2350</v>
      </c>
      <c r="C1844" s="49" t="s">
        <v>4441</v>
      </c>
      <c r="D1844" s="49" t="s">
        <v>2352</v>
      </c>
      <c r="E1844" s="49" t="str">
        <f aca="false">"5060458890191"</f>
        <v>5060458890191</v>
      </c>
      <c r="F1844" s="49" t="s">
        <v>3656</v>
      </c>
      <c r="G1844" s="49" t="n">
        <v>0</v>
      </c>
      <c r="H1844" s="0" t="n">
        <v>0</v>
      </c>
      <c r="M1844" s="51" t="s">
        <v>4433</v>
      </c>
      <c r="N1844" s="49" t="n">
        <v>0</v>
      </c>
      <c r="O1844" s="53" t="n">
        <v>45698.6581712963</v>
      </c>
      <c r="P1844" s="53" t="n">
        <v>45720.403587963</v>
      </c>
      <c r="Q1844" s="53" t="n">
        <v>45698.6581712963</v>
      </c>
      <c r="R1844" s="0" t="n">
        <v>0</v>
      </c>
      <c r="S1844" s="51" t="s">
        <v>2371</v>
      </c>
      <c r="T1844" s="51" t="s">
        <v>2371</v>
      </c>
      <c r="U1844" s="0" t="str">
        <f aca="false">"5060458890191"</f>
        <v>5060458890191</v>
      </c>
      <c r="V1844" s="51" t="s">
        <v>2142</v>
      </c>
      <c r="W1844" s="51" t="s">
        <v>4036</v>
      </c>
      <c r="X1844" s="51" t="s">
        <v>2359</v>
      </c>
    </row>
    <row r="1845" customFormat="false" ht="14.25" hidden="true" customHeight="false" outlineLevel="0" collapsed="false">
      <c r="A1845" s="49" t="s">
        <v>2349</v>
      </c>
      <c r="B1845" s="49" t="s">
        <v>2350</v>
      </c>
      <c r="C1845" s="49" t="s">
        <v>4442</v>
      </c>
      <c r="D1845" s="49" t="s">
        <v>2352</v>
      </c>
      <c r="E1845" s="49" t="str">
        <f aca="false">"5060458890191"</f>
        <v>5060458890191</v>
      </c>
      <c r="F1845" s="49" t="s">
        <v>3656</v>
      </c>
      <c r="G1845" s="49" t="n">
        <v>0</v>
      </c>
      <c r="H1845" s="0" t="n">
        <v>0</v>
      </c>
      <c r="M1845" s="51" t="s">
        <v>4433</v>
      </c>
      <c r="N1845" s="49" t="n">
        <v>0</v>
      </c>
      <c r="O1845" s="53" t="n">
        <v>45698.6580439815</v>
      </c>
      <c r="P1845" s="53" t="n">
        <v>45720.3969791667</v>
      </c>
      <c r="Q1845" s="53" t="n">
        <v>45698.6580439815</v>
      </c>
      <c r="R1845" s="0" t="n">
        <v>0</v>
      </c>
      <c r="S1845" s="51" t="s">
        <v>2371</v>
      </c>
      <c r="T1845" s="51" t="s">
        <v>2371</v>
      </c>
      <c r="U1845" s="0" t="str">
        <f aca="false">"5060458890191"</f>
        <v>5060458890191</v>
      </c>
      <c r="V1845" s="51" t="s">
        <v>2142</v>
      </c>
      <c r="W1845" s="51" t="s">
        <v>4443</v>
      </c>
      <c r="X1845" s="51" t="s">
        <v>2359</v>
      </c>
    </row>
    <row r="1846" customFormat="false" ht="14.25" hidden="true" customHeight="false" outlineLevel="0" collapsed="false">
      <c r="A1846" s="49" t="s">
        <v>2349</v>
      </c>
      <c r="B1846" s="49" t="s">
        <v>2350</v>
      </c>
      <c r="C1846" s="49" t="s">
        <v>4444</v>
      </c>
      <c r="D1846" s="49" t="s">
        <v>2352</v>
      </c>
      <c r="E1846" s="49" t="str">
        <f aca="false">"5060458890191"</f>
        <v>5060458890191</v>
      </c>
      <c r="F1846" s="49" t="s">
        <v>3656</v>
      </c>
      <c r="G1846" s="49" t="n">
        <v>0</v>
      </c>
      <c r="H1846" s="0" t="n">
        <v>0</v>
      </c>
      <c r="M1846" s="51" t="s">
        <v>4433</v>
      </c>
      <c r="N1846" s="49" t="n">
        <v>0</v>
      </c>
      <c r="O1846" s="53" t="n">
        <v>45698.6579398148</v>
      </c>
      <c r="P1846" s="53" t="n">
        <v>45712.9644791667</v>
      </c>
      <c r="Q1846" s="53" t="n">
        <v>45698.6579398148</v>
      </c>
      <c r="R1846" s="0" t="n">
        <v>0</v>
      </c>
      <c r="S1846" s="51" t="s">
        <v>2371</v>
      </c>
      <c r="T1846" s="51" t="s">
        <v>2371</v>
      </c>
      <c r="U1846" s="0" t="str">
        <f aca="false">"5060458890191"</f>
        <v>5060458890191</v>
      </c>
      <c r="V1846" s="51" t="s">
        <v>2142</v>
      </c>
      <c r="W1846" s="51" t="s">
        <v>4445</v>
      </c>
      <c r="X1846" s="51" t="s">
        <v>2359</v>
      </c>
    </row>
    <row r="1847" customFormat="false" ht="14.25" hidden="true" customHeight="false" outlineLevel="0" collapsed="false">
      <c r="A1847" s="49" t="s">
        <v>2349</v>
      </c>
      <c r="B1847" s="49" t="s">
        <v>2350</v>
      </c>
      <c r="C1847" s="49" t="s">
        <v>4446</v>
      </c>
      <c r="D1847" s="49" t="s">
        <v>2352</v>
      </c>
      <c r="E1847" s="49" t="str">
        <f aca="false">"5060458890191"</f>
        <v>5060458890191</v>
      </c>
      <c r="F1847" s="49" t="s">
        <v>3656</v>
      </c>
      <c r="G1847" s="49" t="n">
        <v>0</v>
      </c>
      <c r="H1847" s="0" t="n">
        <v>0</v>
      </c>
      <c r="M1847" s="51" t="s">
        <v>4433</v>
      </c>
      <c r="N1847" s="49" t="n">
        <v>0</v>
      </c>
      <c r="O1847" s="53" t="n">
        <v>45698.6578472222</v>
      </c>
      <c r="P1847" s="53" t="n">
        <v>45720.405775463</v>
      </c>
      <c r="Q1847" s="53" t="n">
        <v>45698.6578472222</v>
      </c>
      <c r="R1847" s="0" t="n">
        <v>0</v>
      </c>
      <c r="S1847" s="51" t="s">
        <v>2371</v>
      </c>
      <c r="T1847" s="51" t="s">
        <v>2371</v>
      </c>
      <c r="U1847" s="0" t="str">
        <f aca="false">"5060458890191"</f>
        <v>5060458890191</v>
      </c>
      <c r="V1847" s="51" t="s">
        <v>2142</v>
      </c>
      <c r="W1847" s="51" t="s">
        <v>4447</v>
      </c>
      <c r="X1847" s="51" t="s">
        <v>2359</v>
      </c>
    </row>
    <row r="1848" customFormat="false" ht="14.25" hidden="true" customHeight="false" outlineLevel="0" collapsed="false">
      <c r="A1848" s="49" t="s">
        <v>2349</v>
      </c>
      <c r="B1848" s="49" t="s">
        <v>2350</v>
      </c>
      <c r="C1848" s="49" t="s">
        <v>4448</v>
      </c>
      <c r="D1848" s="49" t="s">
        <v>2352</v>
      </c>
      <c r="E1848" s="49" t="str">
        <f aca="false">"5060458890191"</f>
        <v>5060458890191</v>
      </c>
      <c r="F1848" s="49" t="s">
        <v>3656</v>
      </c>
      <c r="G1848" s="49" t="n">
        <v>0</v>
      </c>
      <c r="H1848" s="0" t="n">
        <v>0</v>
      </c>
      <c r="M1848" s="51" t="s">
        <v>4433</v>
      </c>
      <c r="N1848" s="49" t="n">
        <v>0</v>
      </c>
      <c r="O1848" s="53" t="n">
        <v>45698.6577314815</v>
      </c>
      <c r="P1848" s="53" t="n">
        <v>45720.3963310185</v>
      </c>
      <c r="Q1848" s="53" t="n">
        <v>45698.6577314815</v>
      </c>
      <c r="R1848" s="0" t="n">
        <v>0</v>
      </c>
      <c r="S1848" s="51" t="s">
        <v>2371</v>
      </c>
      <c r="T1848" s="51" t="s">
        <v>2371</v>
      </c>
      <c r="U1848" s="0" t="str">
        <f aca="false">"5060458890191"</f>
        <v>5060458890191</v>
      </c>
      <c r="V1848" s="51" t="s">
        <v>2142</v>
      </c>
      <c r="W1848" s="51" t="s">
        <v>4038</v>
      </c>
      <c r="X1848" s="51" t="s">
        <v>2359</v>
      </c>
    </row>
    <row r="1849" customFormat="false" ht="14.25" hidden="true" customHeight="false" outlineLevel="0" collapsed="false">
      <c r="A1849" s="49" t="s">
        <v>2349</v>
      </c>
      <c r="B1849" s="49" t="s">
        <v>2350</v>
      </c>
      <c r="C1849" s="49" t="s">
        <v>4449</v>
      </c>
      <c r="D1849" s="49" t="s">
        <v>2352</v>
      </c>
      <c r="E1849" s="49" t="str">
        <f aca="false">"5060458890191"</f>
        <v>5060458890191</v>
      </c>
      <c r="F1849" s="49" t="s">
        <v>3656</v>
      </c>
      <c r="G1849" s="49" t="n">
        <v>0</v>
      </c>
      <c r="H1849" s="0" t="n">
        <v>0</v>
      </c>
      <c r="M1849" s="51" t="s">
        <v>4433</v>
      </c>
      <c r="N1849" s="49" t="n">
        <v>0</v>
      </c>
      <c r="O1849" s="53" t="n">
        <v>45698.6576273148</v>
      </c>
      <c r="P1849" s="53" t="n">
        <v>45717.4697106482</v>
      </c>
      <c r="Q1849" s="53" t="n">
        <v>45698.6576273148</v>
      </c>
      <c r="R1849" s="0" t="n">
        <v>0</v>
      </c>
      <c r="S1849" s="51" t="s">
        <v>2371</v>
      </c>
      <c r="T1849" s="51" t="s">
        <v>2371</v>
      </c>
      <c r="U1849" s="0" t="str">
        <f aca="false">"5060458890191"</f>
        <v>5060458890191</v>
      </c>
      <c r="V1849" s="51" t="s">
        <v>2142</v>
      </c>
      <c r="W1849" s="51" t="s">
        <v>4260</v>
      </c>
      <c r="X1849" s="51" t="s">
        <v>2359</v>
      </c>
    </row>
    <row r="1850" customFormat="false" ht="14.25" hidden="true" customHeight="false" outlineLevel="0" collapsed="false">
      <c r="A1850" s="49" t="s">
        <v>2349</v>
      </c>
      <c r="B1850" s="49" t="s">
        <v>2350</v>
      </c>
      <c r="C1850" s="49" t="s">
        <v>4450</v>
      </c>
      <c r="D1850" s="49" t="s">
        <v>2352</v>
      </c>
      <c r="E1850" s="49" t="str">
        <f aca="false">"5060458890191"</f>
        <v>5060458890191</v>
      </c>
      <c r="F1850" s="49" t="s">
        <v>3656</v>
      </c>
      <c r="G1850" s="49" t="n">
        <v>0</v>
      </c>
      <c r="H1850" s="0" t="n">
        <v>0</v>
      </c>
      <c r="M1850" s="51" t="s">
        <v>4433</v>
      </c>
      <c r="N1850" s="49" t="n">
        <v>0</v>
      </c>
      <c r="O1850" s="53" t="n">
        <v>45698.6575231482</v>
      </c>
      <c r="P1850" s="53" t="n">
        <v>45720.4071990741</v>
      </c>
      <c r="Q1850" s="53" t="n">
        <v>45698.6575231482</v>
      </c>
      <c r="R1850" s="0" t="n">
        <v>0</v>
      </c>
      <c r="S1850" s="51" t="s">
        <v>2371</v>
      </c>
      <c r="T1850" s="51" t="s">
        <v>2371</v>
      </c>
      <c r="U1850" s="0" t="str">
        <f aca="false">"5060458890191"</f>
        <v>5060458890191</v>
      </c>
      <c r="V1850" s="51" t="s">
        <v>2142</v>
      </c>
      <c r="W1850" s="51" t="s">
        <v>4451</v>
      </c>
      <c r="X1850" s="51" t="s">
        <v>2359</v>
      </c>
    </row>
    <row r="1851" customFormat="false" ht="14.25" hidden="true" customHeight="false" outlineLevel="0" collapsed="false">
      <c r="A1851" s="49" t="s">
        <v>2349</v>
      </c>
      <c r="B1851" s="49" t="s">
        <v>2350</v>
      </c>
      <c r="C1851" s="49" t="s">
        <v>4452</v>
      </c>
      <c r="D1851" s="49" t="s">
        <v>2352</v>
      </c>
      <c r="E1851" s="49" t="str">
        <f aca="false">"5060458890191"</f>
        <v>5060458890191</v>
      </c>
      <c r="F1851" s="49" t="s">
        <v>3656</v>
      </c>
      <c r="G1851" s="49" t="n">
        <v>0</v>
      </c>
      <c r="H1851" s="0" t="n">
        <v>0</v>
      </c>
      <c r="M1851" s="51" t="s">
        <v>4433</v>
      </c>
      <c r="N1851" s="49" t="n">
        <v>0</v>
      </c>
      <c r="O1851" s="53" t="n">
        <v>45698.6573148148</v>
      </c>
      <c r="P1851" s="53" t="n">
        <v>45720.4030439815</v>
      </c>
      <c r="Q1851" s="53" t="n">
        <v>45698.6573148148</v>
      </c>
      <c r="R1851" s="0" t="n">
        <v>0</v>
      </c>
      <c r="S1851" s="51" t="s">
        <v>2371</v>
      </c>
      <c r="T1851" s="51" t="s">
        <v>2371</v>
      </c>
      <c r="U1851" s="0" t="str">
        <f aca="false">"5060458890191"</f>
        <v>5060458890191</v>
      </c>
      <c r="V1851" s="51" t="s">
        <v>2142</v>
      </c>
      <c r="W1851" s="51" t="s">
        <v>4453</v>
      </c>
      <c r="X1851" s="51" t="s">
        <v>2359</v>
      </c>
    </row>
    <row r="1852" customFormat="false" ht="14.25" hidden="true" customHeight="false" outlineLevel="0" collapsed="false">
      <c r="A1852" s="49" t="s">
        <v>2349</v>
      </c>
      <c r="B1852" s="49" t="s">
        <v>2350</v>
      </c>
      <c r="C1852" s="49" t="s">
        <v>4454</v>
      </c>
      <c r="D1852" s="49" t="s">
        <v>2352</v>
      </c>
      <c r="E1852" s="49" t="str">
        <f aca="false">"5060458890191"</f>
        <v>5060458890191</v>
      </c>
      <c r="F1852" s="49" t="s">
        <v>3656</v>
      </c>
      <c r="G1852" s="49" t="n">
        <v>0</v>
      </c>
      <c r="H1852" s="0" t="n">
        <v>0</v>
      </c>
      <c r="M1852" s="51" t="s">
        <v>4433</v>
      </c>
      <c r="N1852" s="49" t="n">
        <v>0</v>
      </c>
      <c r="O1852" s="53" t="n">
        <v>45705.4933796296</v>
      </c>
      <c r="P1852" s="53" t="n">
        <v>45720.4017824074</v>
      </c>
      <c r="R1852" s="0" t="n">
        <v>0</v>
      </c>
      <c r="T1852" s="51" t="s">
        <v>2436</v>
      </c>
      <c r="U1852" s="0" t="str">
        <f aca="false">"5060458890191"</f>
        <v>5060458890191</v>
      </c>
      <c r="V1852" s="51" t="s">
        <v>2142</v>
      </c>
      <c r="W1852" s="51" t="s">
        <v>4080</v>
      </c>
      <c r="X1852" s="51" t="s">
        <v>2359</v>
      </c>
    </row>
    <row r="1853" customFormat="false" ht="14.25" hidden="true" customHeight="false" outlineLevel="0" collapsed="false">
      <c r="A1853" s="49" t="s">
        <v>2349</v>
      </c>
      <c r="B1853" s="49" t="s">
        <v>2350</v>
      </c>
      <c r="C1853" s="49" t="s">
        <v>4455</v>
      </c>
      <c r="D1853" s="49" t="s">
        <v>2352</v>
      </c>
      <c r="E1853" s="49" t="str">
        <f aca="false">"5060458890191"</f>
        <v>5060458890191</v>
      </c>
      <c r="F1853" s="49" t="s">
        <v>3656</v>
      </c>
      <c r="G1853" s="49" t="n">
        <v>0</v>
      </c>
      <c r="H1853" s="0" t="n">
        <v>0</v>
      </c>
      <c r="M1853" s="51" t="s">
        <v>4433</v>
      </c>
      <c r="N1853" s="49" t="n">
        <v>0</v>
      </c>
      <c r="O1853" s="53" t="n">
        <v>45698.6570601852</v>
      </c>
      <c r="P1853" s="53" t="n">
        <v>45705.4933796296</v>
      </c>
      <c r="Q1853" s="53" t="n">
        <v>45698.6570601852</v>
      </c>
      <c r="R1853" s="0" t="n">
        <v>0</v>
      </c>
      <c r="S1853" s="51" t="s">
        <v>2371</v>
      </c>
      <c r="T1853" s="51" t="s">
        <v>2371</v>
      </c>
      <c r="U1853" s="0" t="str">
        <f aca="false">"5060458890191"</f>
        <v>5060458890191</v>
      </c>
      <c r="V1853" s="51" t="s">
        <v>2142</v>
      </c>
      <c r="W1853" s="51" t="s">
        <v>4332</v>
      </c>
      <c r="X1853" s="51" t="s">
        <v>2359</v>
      </c>
    </row>
    <row r="1854" customFormat="false" ht="14.25" hidden="true" customHeight="false" outlineLevel="0" collapsed="false">
      <c r="A1854" s="49" t="s">
        <v>2349</v>
      </c>
      <c r="B1854" s="49" t="s">
        <v>2350</v>
      </c>
      <c r="C1854" s="49" t="s">
        <v>4456</v>
      </c>
      <c r="D1854" s="49" t="s">
        <v>2352</v>
      </c>
      <c r="E1854" s="49" t="str">
        <f aca="false">"5060458890191"</f>
        <v>5060458890191</v>
      </c>
      <c r="F1854" s="49" t="s">
        <v>3656</v>
      </c>
      <c r="G1854" s="49" t="n">
        <v>0</v>
      </c>
      <c r="H1854" s="0" t="n">
        <v>0</v>
      </c>
      <c r="M1854" s="51" t="s">
        <v>4433</v>
      </c>
      <c r="N1854" s="49" t="n">
        <v>0</v>
      </c>
      <c r="O1854" s="53" t="n">
        <v>45698.6569560185</v>
      </c>
      <c r="P1854" s="53" t="n">
        <v>45720.3872916667</v>
      </c>
      <c r="Q1854" s="53" t="n">
        <v>45698.6569560185</v>
      </c>
      <c r="R1854" s="0" t="n">
        <v>0</v>
      </c>
      <c r="S1854" s="51" t="s">
        <v>2371</v>
      </c>
      <c r="T1854" s="51" t="s">
        <v>2371</v>
      </c>
      <c r="U1854" s="0" t="str">
        <f aca="false">"5060458890191"</f>
        <v>5060458890191</v>
      </c>
      <c r="V1854" s="51" t="s">
        <v>2142</v>
      </c>
      <c r="W1854" s="51" t="s">
        <v>4254</v>
      </c>
      <c r="X1854" s="51" t="s">
        <v>2359</v>
      </c>
    </row>
    <row r="1855" customFormat="false" ht="14.25" hidden="true" customHeight="false" outlineLevel="0" collapsed="false">
      <c r="A1855" s="49" t="s">
        <v>2349</v>
      </c>
      <c r="B1855" s="49" t="s">
        <v>2350</v>
      </c>
      <c r="C1855" s="49" t="s">
        <v>4457</v>
      </c>
      <c r="D1855" s="49" t="s">
        <v>2352</v>
      </c>
      <c r="E1855" s="49" t="str">
        <f aca="false">"5060458890191"</f>
        <v>5060458890191</v>
      </c>
      <c r="F1855" s="49" t="s">
        <v>3656</v>
      </c>
      <c r="G1855" s="49" t="n">
        <v>0</v>
      </c>
      <c r="H1855" s="0" t="n">
        <v>0</v>
      </c>
      <c r="M1855" s="51" t="s">
        <v>4433</v>
      </c>
      <c r="N1855" s="49" t="n">
        <v>0</v>
      </c>
      <c r="O1855" s="53" t="n">
        <v>45698.6568402778</v>
      </c>
      <c r="P1855" s="53" t="n">
        <v>45720.3980555556</v>
      </c>
      <c r="Q1855" s="53" t="n">
        <v>45698.6568402778</v>
      </c>
      <c r="R1855" s="0" t="n">
        <v>0</v>
      </c>
      <c r="S1855" s="51" t="s">
        <v>2371</v>
      </c>
      <c r="T1855" s="51" t="s">
        <v>2371</v>
      </c>
      <c r="U1855" s="0" t="str">
        <f aca="false">"5060458890191"</f>
        <v>5060458890191</v>
      </c>
      <c r="V1855" s="51" t="s">
        <v>2142</v>
      </c>
      <c r="W1855" s="51" t="s">
        <v>4458</v>
      </c>
      <c r="X1855" s="51" t="s">
        <v>2359</v>
      </c>
    </row>
    <row r="1856" customFormat="false" ht="14.25" hidden="true" customHeight="false" outlineLevel="0" collapsed="false">
      <c r="A1856" s="49" t="s">
        <v>2349</v>
      </c>
      <c r="B1856" s="49" t="s">
        <v>2350</v>
      </c>
      <c r="C1856" s="49" t="s">
        <v>4459</v>
      </c>
      <c r="D1856" s="49" t="s">
        <v>2352</v>
      </c>
      <c r="E1856" s="49" t="str">
        <f aca="false">"5060458890191"</f>
        <v>5060458890191</v>
      </c>
      <c r="F1856" s="49" t="s">
        <v>3656</v>
      </c>
      <c r="G1856" s="49" t="n">
        <v>0</v>
      </c>
      <c r="H1856" s="0" t="n">
        <v>0</v>
      </c>
      <c r="M1856" s="51" t="s">
        <v>4433</v>
      </c>
      <c r="N1856" s="49" t="n">
        <v>0</v>
      </c>
      <c r="O1856" s="53" t="n">
        <v>45698.656712963</v>
      </c>
      <c r="P1856" s="53" t="n">
        <v>45720.3986574074</v>
      </c>
      <c r="Q1856" s="53" t="n">
        <v>45698.656712963</v>
      </c>
      <c r="R1856" s="0" t="n">
        <v>0</v>
      </c>
      <c r="S1856" s="51" t="s">
        <v>2371</v>
      </c>
      <c r="T1856" s="51" t="s">
        <v>2371</v>
      </c>
      <c r="U1856" s="0" t="str">
        <f aca="false">"5060458890191"</f>
        <v>5060458890191</v>
      </c>
      <c r="V1856" s="51" t="s">
        <v>2142</v>
      </c>
      <c r="W1856" s="51" t="s">
        <v>4072</v>
      </c>
      <c r="X1856" s="51" t="s">
        <v>2359</v>
      </c>
    </row>
    <row r="1857" customFormat="false" ht="14.25" hidden="true" customHeight="false" outlineLevel="0" collapsed="false">
      <c r="A1857" s="49" t="s">
        <v>2349</v>
      </c>
      <c r="B1857" s="49" t="s">
        <v>2350</v>
      </c>
      <c r="C1857" s="49" t="s">
        <v>4460</v>
      </c>
      <c r="D1857" s="49" t="s">
        <v>2352</v>
      </c>
      <c r="E1857" s="49" t="str">
        <f aca="false">"5060458890191"</f>
        <v>5060458890191</v>
      </c>
      <c r="F1857" s="49" t="s">
        <v>3656</v>
      </c>
      <c r="G1857" s="49" t="n">
        <v>0</v>
      </c>
      <c r="H1857" s="0" t="n">
        <v>0</v>
      </c>
      <c r="M1857" s="51" t="s">
        <v>4433</v>
      </c>
      <c r="N1857" s="49" t="n">
        <v>0</v>
      </c>
      <c r="O1857" s="53" t="n">
        <v>45698.6565856482</v>
      </c>
      <c r="P1857" s="53" t="n">
        <v>45720.3901157407</v>
      </c>
      <c r="Q1857" s="53" t="n">
        <v>45698.6565856482</v>
      </c>
      <c r="R1857" s="0" t="n">
        <v>0</v>
      </c>
      <c r="S1857" s="51" t="s">
        <v>2371</v>
      </c>
      <c r="T1857" s="51" t="s">
        <v>2371</v>
      </c>
      <c r="U1857" s="0" t="str">
        <f aca="false">"5060458890191"</f>
        <v>5060458890191</v>
      </c>
      <c r="V1857" s="51" t="s">
        <v>2142</v>
      </c>
      <c r="W1857" s="51" t="s">
        <v>4247</v>
      </c>
      <c r="X1857" s="51" t="s">
        <v>2359</v>
      </c>
    </row>
    <row r="1858" customFormat="false" ht="14.25" hidden="true" customHeight="false" outlineLevel="0" collapsed="false">
      <c r="A1858" s="49" t="s">
        <v>2349</v>
      </c>
      <c r="B1858" s="49" t="s">
        <v>2350</v>
      </c>
      <c r="C1858" s="49" t="s">
        <v>4461</v>
      </c>
      <c r="D1858" s="49" t="s">
        <v>2352</v>
      </c>
      <c r="E1858" s="49" t="str">
        <f aca="false">"5060458890191"</f>
        <v>5060458890191</v>
      </c>
      <c r="F1858" s="49" t="s">
        <v>3656</v>
      </c>
      <c r="G1858" s="49" t="n">
        <v>0</v>
      </c>
      <c r="H1858" s="0" t="n">
        <v>0</v>
      </c>
      <c r="M1858" s="51" t="s">
        <v>4433</v>
      </c>
      <c r="N1858" s="49" t="n">
        <v>0</v>
      </c>
      <c r="O1858" s="53" t="n">
        <v>45698.6564583333</v>
      </c>
      <c r="P1858" s="53" t="n">
        <v>45720.3904976852</v>
      </c>
      <c r="Q1858" s="53" t="n">
        <v>45698.6564583333</v>
      </c>
      <c r="R1858" s="0" t="n">
        <v>0</v>
      </c>
      <c r="S1858" s="51" t="s">
        <v>2371</v>
      </c>
      <c r="T1858" s="51" t="s">
        <v>2371</v>
      </c>
      <c r="U1858" s="0" t="str">
        <f aca="false">"5060458890191"</f>
        <v>5060458890191</v>
      </c>
      <c r="V1858" s="51" t="s">
        <v>2142</v>
      </c>
      <c r="W1858" s="51" t="s">
        <v>4462</v>
      </c>
      <c r="X1858" s="51" t="s">
        <v>2359</v>
      </c>
    </row>
    <row r="1859" customFormat="false" ht="14.25" hidden="true" customHeight="false" outlineLevel="0" collapsed="false">
      <c r="A1859" s="49" t="s">
        <v>2349</v>
      </c>
      <c r="B1859" s="49" t="s">
        <v>2350</v>
      </c>
      <c r="C1859" s="49" t="s">
        <v>4463</v>
      </c>
      <c r="D1859" s="49" t="s">
        <v>2352</v>
      </c>
      <c r="E1859" s="49" t="str">
        <f aca="false">"5060458890191"</f>
        <v>5060458890191</v>
      </c>
      <c r="F1859" s="49" t="s">
        <v>3656</v>
      </c>
      <c r="G1859" s="49" t="n">
        <v>0</v>
      </c>
      <c r="H1859" s="0" t="n">
        <v>0</v>
      </c>
      <c r="M1859" s="51" t="s">
        <v>4433</v>
      </c>
      <c r="N1859" s="49" t="n">
        <v>0</v>
      </c>
      <c r="O1859" s="53" t="n">
        <v>45698.6562268519</v>
      </c>
      <c r="P1859" s="53" t="n">
        <v>45701.6873148148</v>
      </c>
      <c r="Q1859" s="53" t="n">
        <v>45698.6562268519</v>
      </c>
      <c r="R1859" s="0" t="n">
        <v>0</v>
      </c>
      <c r="S1859" s="51" t="s">
        <v>2371</v>
      </c>
      <c r="T1859" s="51" t="s">
        <v>2371</v>
      </c>
      <c r="U1859" s="0" t="str">
        <f aca="false">"5060458890191"</f>
        <v>5060458890191</v>
      </c>
      <c r="V1859" s="51" t="s">
        <v>2142</v>
      </c>
      <c r="W1859" s="51" t="s">
        <v>4319</v>
      </c>
      <c r="X1859" s="51" t="s">
        <v>2359</v>
      </c>
    </row>
    <row r="1860" customFormat="false" ht="14.25" hidden="true" customHeight="false" outlineLevel="0" collapsed="false">
      <c r="A1860" s="49" t="s">
        <v>2349</v>
      </c>
      <c r="B1860" s="49" t="s">
        <v>2350</v>
      </c>
      <c r="C1860" s="49" t="s">
        <v>4464</v>
      </c>
      <c r="D1860" s="49" t="s">
        <v>2352</v>
      </c>
      <c r="E1860" s="49" t="str">
        <f aca="false">"5060458890191"</f>
        <v>5060458890191</v>
      </c>
      <c r="F1860" s="49" t="s">
        <v>3656</v>
      </c>
      <c r="G1860" s="49" t="n">
        <v>0</v>
      </c>
      <c r="H1860" s="0" t="n">
        <v>0</v>
      </c>
      <c r="M1860" s="51" t="s">
        <v>4433</v>
      </c>
      <c r="N1860" s="49" t="n">
        <v>0</v>
      </c>
      <c r="O1860" s="53" t="n">
        <v>45698.6560416667</v>
      </c>
      <c r="P1860" s="53" t="n">
        <v>45704.8803356482</v>
      </c>
      <c r="Q1860" s="53" t="n">
        <v>45698.6560416667</v>
      </c>
      <c r="R1860" s="0" t="n">
        <v>0</v>
      </c>
      <c r="S1860" s="51" t="s">
        <v>2371</v>
      </c>
      <c r="T1860" s="51" t="s">
        <v>2371</v>
      </c>
      <c r="U1860" s="0" t="str">
        <f aca="false">"5060458890191"</f>
        <v>5060458890191</v>
      </c>
      <c r="V1860" s="51" t="s">
        <v>2142</v>
      </c>
      <c r="W1860" s="51" t="s">
        <v>4323</v>
      </c>
      <c r="X1860" s="51" t="s">
        <v>2359</v>
      </c>
    </row>
    <row r="1861" customFormat="false" ht="14.25" hidden="true" customHeight="false" outlineLevel="0" collapsed="false">
      <c r="A1861" s="49" t="s">
        <v>2349</v>
      </c>
      <c r="B1861" s="49" t="s">
        <v>2350</v>
      </c>
      <c r="C1861" s="49" t="s">
        <v>4465</v>
      </c>
      <c r="D1861" s="49" t="s">
        <v>2352</v>
      </c>
      <c r="E1861" s="49" t="str">
        <f aca="false">"5060458890191"</f>
        <v>5060458890191</v>
      </c>
      <c r="F1861" s="49" t="s">
        <v>3656</v>
      </c>
      <c r="G1861" s="49" t="n">
        <v>0</v>
      </c>
      <c r="H1861" s="0" t="n">
        <v>0</v>
      </c>
      <c r="M1861" s="51" t="s">
        <v>4433</v>
      </c>
      <c r="N1861" s="49" t="n">
        <v>0</v>
      </c>
      <c r="O1861" s="53" t="n">
        <v>45698.6559027778</v>
      </c>
      <c r="P1861" s="53" t="n">
        <v>45708.3523842593</v>
      </c>
      <c r="Q1861" s="53" t="n">
        <v>45698.6559027778</v>
      </c>
      <c r="R1861" s="0" t="n">
        <v>0</v>
      </c>
      <c r="S1861" s="51" t="s">
        <v>2371</v>
      </c>
      <c r="T1861" s="51" t="s">
        <v>2371</v>
      </c>
      <c r="U1861" s="0" t="str">
        <f aca="false">"5060458890191"</f>
        <v>5060458890191</v>
      </c>
      <c r="V1861" s="51" t="s">
        <v>2142</v>
      </c>
      <c r="W1861" s="51" t="s">
        <v>4466</v>
      </c>
      <c r="X1861" s="51" t="s">
        <v>2359</v>
      </c>
    </row>
    <row r="1862" customFormat="false" ht="14.25" hidden="true" customHeight="false" outlineLevel="0" collapsed="false">
      <c r="A1862" s="49" t="s">
        <v>2349</v>
      </c>
      <c r="B1862" s="49" t="s">
        <v>2350</v>
      </c>
      <c r="C1862" s="49" t="s">
        <v>4467</v>
      </c>
      <c r="D1862" s="49" t="s">
        <v>2352</v>
      </c>
      <c r="E1862" s="49" t="str">
        <f aca="false">"5060458890191"</f>
        <v>5060458890191</v>
      </c>
      <c r="F1862" s="49" t="s">
        <v>3656</v>
      </c>
      <c r="G1862" s="49" t="n">
        <v>0</v>
      </c>
      <c r="H1862" s="0" t="n">
        <v>0</v>
      </c>
      <c r="M1862" s="51" t="s">
        <v>4433</v>
      </c>
      <c r="N1862" s="49" t="n">
        <v>0</v>
      </c>
      <c r="O1862" s="53" t="n">
        <v>45698.6557291667</v>
      </c>
      <c r="P1862" s="53" t="n">
        <v>45707.9359722222</v>
      </c>
      <c r="Q1862" s="53" t="n">
        <v>45698.6557291667</v>
      </c>
      <c r="R1862" s="0" t="n">
        <v>0</v>
      </c>
      <c r="S1862" s="51" t="s">
        <v>2371</v>
      </c>
      <c r="T1862" s="51" t="s">
        <v>2371</v>
      </c>
      <c r="U1862" s="0" t="str">
        <f aca="false">"5060458890191"</f>
        <v>5060458890191</v>
      </c>
      <c r="V1862" s="51" t="s">
        <v>2142</v>
      </c>
      <c r="W1862" s="51" t="s">
        <v>4468</v>
      </c>
      <c r="X1862" s="51" t="s">
        <v>2359</v>
      </c>
    </row>
    <row r="1863" customFormat="false" ht="14.25" hidden="true" customHeight="false" outlineLevel="0" collapsed="false">
      <c r="A1863" s="49" t="s">
        <v>2349</v>
      </c>
      <c r="B1863" s="49" t="s">
        <v>2350</v>
      </c>
      <c r="C1863" s="49" t="s">
        <v>4469</v>
      </c>
      <c r="D1863" s="49" t="s">
        <v>2352</v>
      </c>
      <c r="E1863" s="49" t="str">
        <f aca="false">"5060458890191"</f>
        <v>5060458890191</v>
      </c>
      <c r="F1863" s="49" t="s">
        <v>3656</v>
      </c>
      <c r="G1863" s="49" t="n">
        <v>0</v>
      </c>
      <c r="H1863" s="0" t="n">
        <v>0</v>
      </c>
      <c r="M1863" s="51" t="s">
        <v>4433</v>
      </c>
      <c r="N1863" s="49" t="n">
        <v>0</v>
      </c>
      <c r="O1863" s="53" t="n">
        <v>45698.6554166667</v>
      </c>
      <c r="P1863" s="53" t="n">
        <v>45708.350625</v>
      </c>
      <c r="Q1863" s="53" t="n">
        <v>45698.6554166667</v>
      </c>
      <c r="R1863" s="0" t="n">
        <v>0</v>
      </c>
      <c r="S1863" s="51" t="s">
        <v>2371</v>
      </c>
      <c r="T1863" s="51" t="s">
        <v>2371</v>
      </c>
      <c r="U1863" s="0" t="str">
        <f aca="false">"5060458890191"</f>
        <v>5060458890191</v>
      </c>
      <c r="V1863" s="51" t="s">
        <v>2142</v>
      </c>
      <c r="W1863" s="51" t="s">
        <v>4204</v>
      </c>
      <c r="X1863" s="51" t="s">
        <v>2359</v>
      </c>
    </row>
    <row r="1864" customFormat="false" ht="14.25" hidden="true" customHeight="false" outlineLevel="0" collapsed="false">
      <c r="A1864" s="49" t="s">
        <v>2349</v>
      </c>
      <c r="B1864" s="49" t="s">
        <v>2350</v>
      </c>
      <c r="C1864" s="49" t="s">
        <v>4470</v>
      </c>
      <c r="D1864" s="49" t="s">
        <v>2352</v>
      </c>
      <c r="E1864" s="49" t="str">
        <f aca="false">"5060458890191"</f>
        <v>5060458890191</v>
      </c>
      <c r="F1864" s="49" t="s">
        <v>3656</v>
      </c>
      <c r="G1864" s="49" t="n">
        <v>0</v>
      </c>
      <c r="H1864" s="0" t="n">
        <v>0</v>
      </c>
      <c r="M1864" s="51" t="s">
        <v>4433</v>
      </c>
      <c r="N1864" s="49" t="n">
        <v>0</v>
      </c>
      <c r="O1864" s="53" t="n">
        <v>45698.6552314815</v>
      </c>
      <c r="P1864" s="53" t="n">
        <v>45708.3621180556</v>
      </c>
      <c r="Q1864" s="53" t="n">
        <v>45698.6552314815</v>
      </c>
      <c r="R1864" s="0" t="n">
        <v>0</v>
      </c>
      <c r="S1864" s="51" t="s">
        <v>2371</v>
      </c>
      <c r="T1864" s="51" t="s">
        <v>2371</v>
      </c>
      <c r="U1864" s="0" t="str">
        <f aca="false">"5060458890191"</f>
        <v>5060458890191</v>
      </c>
      <c r="V1864" s="51" t="s">
        <v>2142</v>
      </c>
      <c r="W1864" s="51" t="s">
        <v>4471</v>
      </c>
      <c r="X1864" s="51" t="s">
        <v>2359</v>
      </c>
    </row>
    <row r="1865" customFormat="false" ht="14.25" hidden="true" customHeight="false" outlineLevel="0" collapsed="false">
      <c r="A1865" s="49" t="s">
        <v>2349</v>
      </c>
      <c r="B1865" s="49" t="s">
        <v>2350</v>
      </c>
      <c r="C1865" s="49" t="s">
        <v>4472</v>
      </c>
      <c r="D1865" s="49" t="s">
        <v>2352</v>
      </c>
      <c r="E1865" s="49" t="str">
        <f aca="false">"5060458890191"</f>
        <v>5060458890191</v>
      </c>
      <c r="F1865" s="49" t="s">
        <v>3656</v>
      </c>
      <c r="G1865" s="49" t="n">
        <v>0</v>
      </c>
      <c r="H1865" s="0" t="n">
        <v>0</v>
      </c>
      <c r="M1865" s="51" t="s">
        <v>4433</v>
      </c>
      <c r="N1865" s="49" t="n">
        <v>0</v>
      </c>
      <c r="O1865" s="53" t="n">
        <v>45698.6549652778</v>
      </c>
      <c r="P1865" s="53" t="n">
        <v>45708.3594328704</v>
      </c>
      <c r="Q1865" s="53" t="n">
        <v>45698.6549652778</v>
      </c>
      <c r="R1865" s="0" t="n">
        <v>0</v>
      </c>
      <c r="S1865" s="51" t="s">
        <v>2371</v>
      </c>
      <c r="T1865" s="51" t="s">
        <v>2371</v>
      </c>
      <c r="U1865" s="0" t="str">
        <f aca="false">"5060458890191"</f>
        <v>5060458890191</v>
      </c>
      <c r="V1865" s="51" t="s">
        <v>2142</v>
      </c>
      <c r="W1865" s="51" t="s">
        <v>3820</v>
      </c>
      <c r="X1865" s="51" t="s">
        <v>2359</v>
      </c>
    </row>
    <row r="1866" customFormat="false" ht="14.25" hidden="true" customHeight="false" outlineLevel="0" collapsed="false">
      <c r="A1866" s="49" t="s">
        <v>2349</v>
      </c>
      <c r="B1866" s="49" t="s">
        <v>2350</v>
      </c>
      <c r="C1866" s="49" t="s">
        <v>4473</v>
      </c>
      <c r="D1866" s="49" t="s">
        <v>2352</v>
      </c>
      <c r="E1866" s="49" t="str">
        <f aca="false">"5060458890191"</f>
        <v>5060458890191</v>
      </c>
      <c r="F1866" s="49" t="s">
        <v>3656</v>
      </c>
      <c r="G1866" s="49" t="n">
        <v>0</v>
      </c>
      <c r="H1866" s="0" t="n">
        <v>0</v>
      </c>
      <c r="M1866" s="51" t="s">
        <v>4433</v>
      </c>
      <c r="N1866" s="49" t="n">
        <v>0</v>
      </c>
      <c r="O1866" s="53" t="n">
        <v>45698.6546296296</v>
      </c>
      <c r="P1866" s="53" t="n">
        <v>45708.3586342593</v>
      </c>
      <c r="Q1866" s="53" t="n">
        <v>45698.6546296296</v>
      </c>
      <c r="R1866" s="0" t="n">
        <v>0</v>
      </c>
      <c r="S1866" s="51" t="s">
        <v>2371</v>
      </c>
      <c r="T1866" s="51" t="s">
        <v>2371</v>
      </c>
      <c r="U1866" s="0" t="str">
        <f aca="false">"5060458890191"</f>
        <v>5060458890191</v>
      </c>
      <c r="V1866" s="51" t="s">
        <v>2142</v>
      </c>
      <c r="W1866" s="51" t="s">
        <v>4474</v>
      </c>
      <c r="X1866" s="51" t="s">
        <v>2359</v>
      </c>
    </row>
    <row r="1867" customFormat="false" ht="14.25" hidden="true" customHeight="false" outlineLevel="0" collapsed="false">
      <c r="A1867" s="49" t="s">
        <v>2349</v>
      </c>
      <c r="B1867" s="49" t="s">
        <v>2350</v>
      </c>
      <c r="C1867" s="49" t="s">
        <v>4475</v>
      </c>
      <c r="D1867" s="49" t="s">
        <v>2352</v>
      </c>
      <c r="E1867" s="49" t="str">
        <f aca="false">"5060458890191"</f>
        <v>5060458890191</v>
      </c>
      <c r="F1867" s="49" t="s">
        <v>3656</v>
      </c>
      <c r="G1867" s="49" t="n">
        <v>0</v>
      </c>
      <c r="H1867" s="0" t="n">
        <v>0</v>
      </c>
      <c r="M1867" s="51" t="s">
        <v>4433</v>
      </c>
      <c r="N1867" s="49" t="n">
        <v>0</v>
      </c>
      <c r="O1867" s="53" t="n">
        <v>45698.6543171296</v>
      </c>
      <c r="P1867" s="53" t="n">
        <v>45708.3512152778</v>
      </c>
      <c r="Q1867" s="53" t="n">
        <v>45698.6543171296</v>
      </c>
      <c r="R1867" s="0" t="n">
        <v>0</v>
      </c>
      <c r="S1867" s="51" t="s">
        <v>2371</v>
      </c>
      <c r="T1867" s="51" t="s">
        <v>2371</v>
      </c>
      <c r="U1867" s="0" t="str">
        <f aca="false">"5060458890191"</f>
        <v>5060458890191</v>
      </c>
      <c r="V1867" s="51" t="s">
        <v>2142</v>
      </c>
      <c r="W1867" s="51" t="s">
        <v>4262</v>
      </c>
      <c r="X1867" s="51" t="s">
        <v>2359</v>
      </c>
    </row>
    <row r="1868" customFormat="false" ht="14.25" hidden="true" customHeight="false" outlineLevel="0" collapsed="false">
      <c r="A1868" s="49" t="s">
        <v>2349</v>
      </c>
      <c r="B1868" s="49" t="s">
        <v>2350</v>
      </c>
      <c r="C1868" s="49" t="s">
        <v>4476</v>
      </c>
      <c r="D1868" s="49" t="s">
        <v>2352</v>
      </c>
      <c r="E1868" s="49" t="s">
        <v>3960</v>
      </c>
      <c r="F1868" s="49" t="s">
        <v>3961</v>
      </c>
      <c r="G1868" s="49" t="n">
        <v>0</v>
      </c>
      <c r="H1868" s="0" t="n">
        <v>0</v>
      </c>
      <c r="M1868" s="51" t="s">
        <v>4477</v>
      </c>
      <c r="N1868" s="49" t="n">
        <v>0</v>
      </c>
      <c r="O1868" s="53" t="n">
        <v>45697.6638657407</v>
      </c>
      <c r="P1868" s="53" t="n">
        <v>45698.634212963</v>
      </c>
      <c r="Q1868" s="53" t="n">
        <v>45697.6638657407</v>
      </c>
      <c r="R1868" s="0" t="n">
        <v>0</v>
      </c>
      <c r="S1868" s="51" t="s">
        <v>2356</v>
      </c>
      <c r="T1868" s="51" t="s">
        <v>2356</v>
      </c>
      <c r="U1868" s="51" t="s">
        <v>3960</v>
      </c>
      <c r="V1868" s="51" t="s">
        <v>2365</v>
      </c>
      <c r="W1868" s="51" t="s">
        <v>4478</v>
      </c>
      <c r="X1868" s="51" t="s">
        <v>2359</v>
      </c>
    </row>
    <row r="1869" customFormat="false" ht="14.25" hidden="true" customHeight="false" outlineLevel="0" collapsed="false">
      <c r="A1869" s="49" t="s">
        <v>2349</v>
      </c>
      <c r="B1869" s="49" t="s">
        <v>2350</v>
      </c>
      <c r="C1869" s="49" t="s">
        <v>4479</v>
      </c>
      <c r="D1869" s="49" t="s">
        <v>2352</v>
      </c>
      <c r="E1869" s="49" t="s">
        <v>3960</v>
      </c>
      <c r="F1869" s="49" t="s">
        <v>3961</v>
      </c>
      <c r="G1869" s="49" t="n">
        <v>0</v>
      </c>
      <c r="H1869" s="0" t="n">
        <v>0</v>
      </c>
      <c r="M1869" s="51" t="s">
        <v>4477</v>
      </c>
      <c r="N1869" s="49" t="n">
        <v>0</v>
      </c>
      <c r="O1869" s="53" t="n">
        <v>45697.6637615741</v>
      </c>
      <c r="P1869" s="53" t="n">
        <v>45698.6343402778</v>
      </c>
      <c r="Q1869" s="53" t="n">
        <v>45697.6637615741</v>
      </c>
      <c r="R1869" s="0" t="n">
        <v>0</v>
      </c>
      <c r="S1869" s="51" t="s">
        <v>2356</v>
      </c>
      <c r="T1869" s="51" t="s">
        <v>2356</v>
      </c>
      <c r="U1869" s="51" t="s">
        <v>3960</v>
      </c>
      <c r="V1869" s="51" t="s">
        <v>2365</v>
      </c>
      <c r="W1869" s="51" t="s">
        <v>4480</v>
      </c>
      <c r="X1869" s="51" t="s">
        <v>2359</v>
      </c>
    </row>
    <row r="1870" customFormat="false" ht="14.25" hidden="true" customHeight="false" outlineLevel="0" collapsed="false">
      <c r="A1870" s="49" t="s">
        <v>2349</v>
      </c>
      <c r="B1870" s="49" t="s">
        <v>2350</v>
      </c>
      <c r="C1870" s="49" t="s">
        <v>4481</v>
      </c>
      <c r="D1870" s="49" t="s">
        <v>2352</v>
      </c>
      <c r="E1870" s="49" t="s">
        <v>3960</v>
      </c>
      <c r="F1870" s="49" t="s">
        <v>3961</v>
      </c>
      <c r="G1870" s="49" t="n">
        <v>0</v>
      </c>
      <c r="H1870" s="0" t="n">
        <v>0</v>
      </c>
      <c r="M1870" s="51" t="s">
        <v>4477</v>
      </c>
      <c r="N1870" s="49" t="n">
        <v>0</v>
      </c>
      <c r="O1870" s="53" t="n">
        <v>45697.6635416667</v>
      </c>
      <c r="P1870" s="53" t="n">
        <v>45715.3729861111</v>
      </c>
      <c r="Q1870" s="53" t="n">
        <v>45697.6635416667</v>
      </c>
      <c r="R1870" s="0" t="n">
        <v>0</v>
      </c>
      <c r="S1870" s="51" t="s">
        <v>2356</v>
      </c>
      <c r="T1870" s="51" t="s">
        <v>2356</v>
      </c>
      <c r="U1870" s="51" t="s">
        <v>3960</v>
      </c>
      <c r="V1870" s="51" t="s">
        <v>2365</v>
      </c>
      <c r="W1870" s="51" t="s">
        <v>3758</v>
      </c>
      <c r="X1870" s="51" t="s">
        <v>2359</v>
      </c>
    </row>
    <row r="1871" customFormat="false" ht="14.25" hidden="true" customHeight="false" outlineLevel="0" collapsed="false">
      <c r="A1871" s="49" t="s">
        <v>2349</v>
      </c>
      <c r="B1871" s="49" t="s">
        <v>2350</v>
      </c>
      <c r="C1871" s="49" t="s">
        <v>4482</v>
      </c>
      <c r="D1871" s="49" t="s">
        <v>2352</v>
      </c>
      <c r="E1871" s="49" t="s">
        <v>3960</v>
      </c>
      <c r="F1871" s="49" t="s">
        <v>3961</v>
      </c>
      <c r="G1871" s="49" t="n">
        <v>0</v>
      </c>
      <c r="H1871" s="0" t="n">
        <v>0</v>
      </c>
      <c r="M1871" s="51" t="s">
        <v>4477</v>
      </c>
      <c r="N1871" s="49" t="n">
        <v>0</v>
      </c>
      <c r="O1871" s="53" t="n">
        <v>45697.6634027778</v>
      </c>
      <c r="P1871" s="53" t="n">
        <v>45712.5734490741</v>
      </c>
      <c r="Q1871" s="53" t="n">
        <v>45697.6634027778</v>
      </c>
      <c r="R1871" s="0" t="n">
        <v>0</v>
      </c>
      <c r="S1871" s="51" t="s">
        <v>2356</v>
      </c>
      <c r="T1871" s="51" t="s">
        <v>2356</v>
      </c>
      <c r="U1871" s="51" t="s">
        <v>3960</v>
      </c>
      <c r="V1871" s="51" t="s">
        <v>2365</v>
      </c>
      <c r="W1871" s="51" t="s">
        <v>3683</v>
      </c>
      <c r="X1871" s="51" t="s">
        <v>2359</v>
      </c>
    </row>
    <row r="1872" customFormat="false" ht="14.25" hidden="true" customHeight="false" outlineLevel="0" collapsed="false">
      <c r="A1872" s="49" t="s">
        <v>2349</v>
      </c>
      <c r="B1872" s="49" t="s">
        <v>2350</v>
      </c>
      <c r="C1872" s="49" t="s">
        <v>4483</v>
      </c>
      <c r="D1872" s="49" t="s">
        <v>2352</v>
      </c>
      <c r="E1872" s="49" t="s">
        <v>3960</v>
      </c>
      <c r="F1872" s="49" t="s">
        <v>3961</v>
      </c>
      <c r="G1872" s="49" t="n">
        <v>0</v>
      </c>
      <c r="H1872" s="0" t="n">
        <v>0</v>
      </c>
      <c r="M1872" s="51" t="s">
        <v>4477</v>
      </c>
      <c r="N1872" s="49" t="n">
        <v>0</v>
      </c>
      <c r="O1872" s="53" t="n">
        <v>45697.663287037</v>
      </c>
      <c r="P1872" s="53" t="n">
        <v>45715.3732523148</v>
      </c>
      <c r="Q1872" s="53" t="n">
        <v>45697.663287037</v>
      </c>
      <c r="R1872" s="0" t="n">
        <v>0</v>
      </c>
      <c r="S1872" s="51" t="s">
        <v>2356</v>
      </c>
      <c r="T1872" s="51" t="s">
        <v>2356</v>
      </c>
      <c r="U1872" s="51" t="s">
        <v>3960</v>
      </c>
      <c r="V1872" s="51" t="s">
        <v>2365</v>
      </c>
      <c r="W1872" s="51" t="s">
        <v>3694</v>
      </c>
      <c r="X1872" s="51" t="s">
        <v>2359</v>
      </c>
    </row>
    <row r="1873" customFormat="false" ht="14.25" hidden="true" customHeight="false" outlineLevel="0" collapsed="false">
      <c r="A1873" s="49" t="s">
        <v>2349</v>
      </c>
      <c r="B1873" s="49" t="s">
        <v>2350</v>
      </c>
      <c r="C1873" s="49" t="s">
        <v>4484</v>
      </c>
      <c r="D1873" s="49" t="s">
        <v>2352</v>
      </c>
      <c r="E1873" s="49" t="s">
        <v>3960</v>
      </c>
      <c r="F1873" s="49" t="s">
        <v>3961</v>
      </c>
      <c r="G1873" s="49" t="n">
        <v>0</v>
      </c>
      <c r="H1873" s="0" t="n">
        <v>0</v>
      </c>
      <c r="M1873" s="51" t="s">
        <v>4477</v>
      </c>
      <c r="N1873" s="49" t="n">
        <v>0</v>
      </c>
      <c r="O1873" s="53" t="n">
        <v>45697.6631712963</v>
      </c>
      <c r="P1873" s="53" t="n">
        <v>45719.5928935185</v>
      </c>
      <c r="Q1873" s="53" t="n">
        <v>45697.6631712963</v>
      </c>
      <c r="R1873" s="0" t="n">
        <v>0</v>
      </c>
      <c r="S1873" s="51" t="s">
        <v>2356</v>
      </c>
      <c r="T1873" s="51" t="s">
        <v>2356</v>
      </c>
      <c r="U1873" s="51" t="s">
        <v>3960</v>
      </c>
      <c r="V1873" s="51" t="s">
        <v>2365</v>
      </c>
      <c r="W1873" s="51" t="s">
        <v>3749</v>
      </c>
      <c r="X1873" s="51" t="s">
        <v>2359</v>
      </c>
    </row>
    <row r="1874" customFormat="false" ht="14.25" hidden="true" customHeight="false" outlineLevel="0" collapsed="false">
      <c r="A1874" s="49" t="s">
        <v>2349</v>
      </c>
      <c r="B1874" s="49" t="s">
        <v>2350</v>
      </c>
      <c r="C1874" s="49" t="s">
        <v>4485</v>
      </c>
      <c r="D1874" s="49" t="s">
        <v>2352</v>
      </c>
      <c r="E1874" s="49" t="s">
        <v>3960</v>
      </c>
      <c r="F1874" s="49" t="s">
        <v>3961</v>
      </c>
      <c r="G1874" s="49" t="n">
        <v>0</v>
      </c>
      <c r="H1874" s="0" t="n">
        <v>0</v>
      </c>
      <c r="M1874" s="51" t="s">
        <v>4477</v>
      </c>
      <c r="N1874" s="49" t="n">
        <v>0</v>
      </c>
      <c r="O1874" s="53" t="n">
        <v>45697.6630092593</v>
      </c>
      <c r="P1874" s="53" t="n">
        <v>45698.6352546296</v>
      </c>
      <c r="Q1874" s="53" t="n">
        <v>45697.6630092593</v>
      </c>
      <c r="R1874" s="0" t="n">
        <v>0</v>
      </c>
      <c r="S1874" s="51" t="s">
        <v>2356</v>
      </c>
      <c r="T1874" s="51" t="s">
        <v>2356</v>
      </c>
      <c r="U1874" s="51" t="s">
        <v>3960</v>
      </c>
      <c r="V1874" s="51" t="s">
        <v>2365</v>
      </c>
      <c r="W1874" s="51" t="s">
        <v>4486</v>
      </c>
      <c r="X1874" s="51" t="s">
        <v>2359</v>
      </c>
    </row>
    <row r="1875" customFormat="false" ht="14.25" hidden="true" customHeight="false" outlineLevel="0" collapsed="false">
      <c r="A1875" s="49" t="s">
        <v>2349</v>
      </c>
      <c r="B1875" s="49" t="s">
        <v>2350</v>
      </c>
      <c r="C1875" s="49" t="s">
        <v>4487</v>
      </c>
      <c r="D1875" s="49" t="s">
        <v>2352</v>
      </c>
      <c r="E1875" s="49" t="str">
        <f aca="false">"5060175134721"</f>
        <v>5060175134721</v>
      </c>
      <c r="F1875" s="49" t="s">
        <v>4488</v>
      </c>
      <c r="G1875" s="49" t="n">
        <v>0</v>
      </c>
      <c r="H1875" s="0" t="n">
        <v>0</v>
      </c>
      <c r="M1875" s="51" t="s">
        <v>4489</v>
      </c>
      <c r="N1875" s="49" t="n">
        <v>0</v>
      </c>
      <c r="O1875" s="53" t="n">
        <v>45693.4484837963</v>
      </c>
      <c r="P1875" s="53" t="n">
        <v>45720.4556597222</v>
      </c>
      <c r="Q1875" s="53" t="n">
        <v>45693.4484837963</v>
      </c>
      <c r="R1875" s="0" t="n">
        <v>0</v>
      </c>
      <c r="S1875" s="51" t="s">
        <v>2371</v>
      </c>
      <c r="T1875" s="51" t="s">
        <v>2371</v>
      </c>
      <c r="U1875" s="0" t="str">
        <f aca="false">"5060175134721"</f>
        <v>5060175134721</v>
      </c>
      <c r="V1875" s="51" t="s">
        <v>2365</v>
      </c>
      <c r="W1875" s="51" t="s">
        <v>2406</v>
      </c>
      <c r="X1875" s="51" t="s">
        <v>2359</v>
      </c>
    </row>
    <row r="1876" customFormat="false" ht="14.25" hidden="true" customHeight="false" outlineLevel="0" collapsed="false">
      <c r="A1876" s="49" t="s">
        <v>2349</v>
      </c>
      <c r="B1876" s="49" t="s">
        <v>2350</v>
      </c>
      <c r="C1876" s="49" t="s">
        <v>4490</v>
      </c>
      <c r="D1876" s="49" t="s">
        <v>2352</v>
      </c>
      <c r="E1876" s="49" t="str">
        <f aca="false">"12498676"</f>
        <v>12498676</v>
      </c>
      <c r="F1876" s="49" t="s">
        <v>4229</v>
      </c>
      <c r="G1876" s="49" t="n">
        <v>0</v>
      </c>
      <c r="H1876" s="0" t="n">
        <v>0</v>
      </c>
      <c r="M1876" s="51" t="s">
        <v>4491</v>
      </c>
      <c r="N1876" s="49" t="n">
        <v>0</v>
      </c>
      <c r="O1876" s="53" t="n">
        <v>45700.4211342593</v>
      </c>
      <c r="P1876" s="53" t="n">
        <v>45706.1356134259</v>
      </c>
      <c r="Q1876" s="53" t="n">
        <v>45700.4211342593</v>
      </c>
      <c r="R1876" s="0" t="n">
        <v>0</v>
      </c>
      <c r="S1876" s="51" t="s">
        <v>2376</v>
      </c>
      <c r="T1876" s="51" t="s">
        <v>2376</v>
      </c>
      <c r="U1876" s="0" t="str">
        <f aca="false">"12498676"</f>
        <v>12498676</v>
      </c>
      <c r="V1876" s="51" t="s">
        <v>2365</v>
      </c>
      <c r="W1876" s="51" t="s">
        <v>2426</v>
      </c>
      <c r="X1876" s="51" t="s">
        <v>2359</v>
      </c>
    </row>
    <row r="1877" customFormat="false" ht="14.25" hidden="true" customHeight="false" outlineLevel="0" collapsed="false">
      <c r="A1877" s="49" t="s">
        <v>2349</v>
      </c>
      <c r="B1877" s="49" t="s">
        <v>2350</v>
      </c>
      <c r="C1877" s="49" t="s">
        <v>4492</v>
      </c>
      <c r="D1877" s="49" t="s">
        <v>2352</v>
      </c>
      <c r="E1877" s="49" t="str">
        <f aca="false">"12498676"</f>
        <v>12498676</v>
      </c>
      <c r="F1877" s="49" t="s">
        <v>4229</v>
      </c>
      <c r="G1877" s="49" t="n">
        <v>0</v>
      </c>
      <c r="H1877" s="0" t="n">
        <v>0</v>
      </c>
      <c r="M1877" s="51" t="s">
        <v>4491</v>
      </c>
      <c r="N1877" s="49" t="n">
        <v>0</v>
      </c>
      <c r="O1877" s="53" t="n">
        <v>45700.4190046296</v>
      </c>
      <c r="P1877" s="53" t="n">
        <v>45706.1328356481</v>
      </c>
      <c r="Q1877" s="53" t="n">
        <v>45700.4190046296</v>
      </c>
      <c r="R1877" s="0" t="n">
        <v>0</v>
      </c>
      <c r="S1877" s="51" t="s">
        <v>2376</v>
      </c>
      <c r="T1877" s="51" t="s">
        <v>2376</v>
      </c>
      <c r="U1877" s="0" t="str">
        <f aca="false">"12498676"</f>
        <v>12498676</v>
      </c>
      <c r="V1877" s="51" t="s">
        <v>2365</v>
      </c>
      <c r="W1877" s="51" t="s">
        <v>4493</v>
      </c>
      <c r="X1877" s="51" t="s">
        <v>2359</v>
      </c>
    </row>
    <row r="1878" customFormat="false" ht="14.25" hidden="true" customHeight="false" outlineLevel="0" collapsed="false">
      <c r="A1878" s="49" t="s">
        <v>2349</v>
      </c>
      <c r="B1878" s="49" t="s">
        <v>2350</v>
      </c>
      <c r="C1878" s="49" t="s">
        <v>4494</v>
      </c>
      <c r="D1878" s="49" t="s">
        <v>2352</v>
      </c>
      <c r="E1878" s="49" t="str">
        <f aca="false">"12498676"</f>
        <v>12498676</v>
      </c>
      <c r="F1878" s="49" t="s">
        <v>4229</v>
      </c>
      <c r="G1878" s="49" t="n">
        <v>0</v>
      </c>
      <c r="H1878" s="0" t="n">
        <v>0</v>
      </c>
      <c r="M1878" s="51" t="s">
        <v>4491</v>
      </c>
      <c r="N1878" s="49" t="n">
        <v>0</v>
      </c>
      <c r="O1878" s="53" t="n">
        <v>45700.4197800926</v>
      </c>
      <c r="P1878" s="53" t="n">
        <v>45700.7959722222</v>
      </c>
      <c r="Q1878" s="53" t="n">
        <v>45700.4197800926</v>
      </c>
      <c r="R1878" s="0" t="n">
        <v>0</v>
      </c>
      <c r="S1878" s="51" t="s">
        <v>2376</v>
      </c>
      <c r="T1878" s="51" t="s">
        <v>2376</v>
      </c>
      <c r="U1878" s="0" t="str">
        <f aca="false">"12498676"</f>
        <v>12498676</v>
      </c>
      <c r="V1878" s="51" t="s">
        <v>2365</v>
      </c>
      <c r="W1878" s="51" t="s">
        <v>4493</v>
      </c>
      <c r="X1878" s="51" t="s">
        <v>2359</v>
      </c>
    </row>
    <row r="1879" customFormat="false" ht="14.25" hidden="true" customHeight="false" outlineLevel="0" collapsed="false">
      <c r="A1879" s="49" t="s">
        <v>2349</v>
      </c>
      <c r="B1879" s="49" t="s">
        <v>2350</v>
      </c>
      <c r="C1879" s="49" t="s">
        <v>4495</v>
      </c>
      <c r="D1879" s="49" t="s">
        <v>2352</v>
      </c>
      <c r="E1879" s="49" t="str">
        <f aca="false">"8032754230244"</f>
        <v>8032754230244</v>
      </c>
      <c r="F1879" s="49" t="s">
        <v>3737</v>
      </c>
      <c r="G1879" s="49" t="n">
        <v>0</v>
      </c>
      <c r="H1879" s="0" t="n">
        <v>0</v>
      </c>
      <c r="M1879" s="51" t="s">
        <v>4496</v>
      </c>
      <c r="N1879" s="49" t="n">
        <v>0</v>
      </c>
      <c r="O1879" s="53" t="n">
        <v>45704.5839467593</v>
      </c>
      <c r="P1879" s="53" t="n">
        <v>45847.3770833333</v>
      </c>
      <c r="Q1879" s="53" t="n">
        <v>45704.5839467593</v>
      </c>
      <c r="R1879" s="0" t="n">
        <v>0</v>
      </c>
      <c r="S1879" s="51" t="s">
        <v>2371</v>
      </c>
      <c r="T1879" s="51" t="s">
        <v>2371</v>
      </c>
      <c r="U1879" s="0" t="str">
        <f aca="false">"8032754230244"</f>
        <v>8032754230244</v>
      </c>
      <c r="V1879" s="51" t="s">
        <v>3740</v>
      </c>
      <c r="W1879" s="51" t="s">
        <v>4497</v>
      </c>
      <c r="X1879" s="51" t="s">
        <v>2359</v>
      </c>
    </row>
    <row r="1880" customFormat="false" ht="14.25" hidden="true" customHeight="false" outlineLevel="0" collapsed="false">
      <c r="A1880" s="49" t="s">
        <v>2349</v>
      </c>
      <c r="B1880" s="49" t="s">
        <v>2350</v>
      </c>
      <c r="C1880" s="49" t="s">
        <v>4498</v>
      </c>
      <c r="D1880" s="49" t="s">
        <v>2352</v>
      </c>
      <c r="E1880" s="49" t="str">
        <f aca="false">"8032754230244"</f>
        <v>8032754230244</v>
      </c>
      <c r="F1880" s="49" t="s">
        <v>3737</v>
      </c>
      <c r="G1880" s="49" t="n">
        <v>0</v>
      </c>
      <c r="H1880" s="0" t="n">
        <v>0</v>
      </c>
      <c r="M1880" s="51" t="s">
        <v>4496</v>
      </c>
      <c r="N1880" s="49" t="n">
        <v>0</v>
      </c>
      <c r="O1880" s="53" t="n">
        <v>45704.5841203704</v>
      </c>
      <c r="P1880" s="53" t="n">
        <v>45830.8056134259</v>
      </c>
      <c r="Q1880" s="53" t="n">
        <v>45704.5841203704</v>
      </c>
      <c r="R1880" s="0" t="n">
        <v>0</v>
      </c>
      <c r="S1880" s="51" t="s">
        <v>2371</v>
      </c>
      <c r="T1880" s="51" t="s">
        <v>2371</v>
      </c>
      <c r="U1880" s="0" t="str">
        <f aca="false">"8032754230244"</f>
        <v>8032754230244</v>
      </c>
      <c r="V1880" s="51" t="s">
        <v>3740</v>
      </c>
      <c r="W1880" s="51" t="s">
        <v>4499</v>
      </c>
      <c r="X1880" s="51" t="s">
        <v>2359</v>
      </c>
    </row>
    <row r="1881" customFormat="false" ht="14.25" hidden="true" customHeight="false" outlineLevel="0" collapsed="false">
      <c r="A1881" s="49" t="s">
        <v>2349</v>
      </c>
      <c r="B1881" s="49" t="s">
        <v>2350</v>
      </c>
      <c r="C1881" s="49" t="s">
        <v>4500</v>
      </c>
      <c r="D1881" s="49" t="s">
        <v>2352</v>
      </c>
      <c r="E1881" s="49" t="str">
        <f aca="false">"8032754230244"</f>
        <v>8032754230244</v>
      </c>
      <c r="F1881" s="49" t="s">
        <v>3737</v>
      </c>
      <c r="G1881" s="49" t="n">
        <v>0</v>
      </c>
      <c r="H1881" s="0" t="n">
        <v>0</v>
      </c>
      <c r="M1881" s="51" t="s">
        <v>4496</v>
      </c>
      <c r="N1881" s="49" t="n">
        <v>0</v>
      </c>
      <c r="O1881" s="53" t="n">
        <v>45704.5843055556</v>
      </c>
      <c r="P1881" s="53" t="n">
        <v>45792.8972685185</v>
      </c>
      <c r="Q1881" s="53" t="n">
        <v>45704.5843055556</v>
      </c>
      <c r="R1881" s="0" t="n">
        <v>0</v>
      </c>
      <c r="S1881" s="51" t="s">
        <v>2371</v>
      </c>
      <c r="T1881" s="51" t="s">
        <v>2371</v>
      </c>
      <c r="U1881" s="0" t="str">
        <f aca="false">"8032754230244"</f>
        <v>8032754230244</v>
      </c>
      <c r="V1881" s="51" t="s">
        <v>3740</v>
      </c>
      <c r="W1881" s="51" t="s">
        <v>4501</v>
      </c>
      <c r="X1881" s="51" t="s">
        <v>2359</v>
      </c>
    </row>
    <row r="1882" customFormat="false" ht="14.25" hidden="true" customHeight="false" outlineLevel="0" collapsed="false">
      <c r="A1882" s="49" t="s">
        <v>2349</v>
      </c>
      <c r="B1882" s="49" t="s">
        <v>2350</v>
      </c>
      <c r="C1882" s="49" t="s">
        <v>4502</v>
      </c>
      <c r="D1882" s="49" t="s">
        <v>2352</v>
      </c>
      <c r="E1882" s="49" t="str">
        <f aca="false">"8032754230244"</f>
        <v>8032754230244</v>
      </c>
      <c r="F1882" s="49" t="s">
        <v>3737</v>
      </c>
      <c r="G1882" s="49" t="n">
        <v>0</v>
      </c>
      <c r="H1882" s="0" t="n">
        <v>0</v>
      </c>
      <c r="M1882" s="51" t="s">
        <v>4496</v>
      </c>
      <c r="N1882" s="49" t="n">
        <v>0</v>
      </c>
      <c r="O1882" s="53" t="n">
        <v>45704.5844791667</v>
      </c>
      <c r="P1882" s="53" t="n">
        <v>45808.563587963</v>
      </c>
      <c r="Q1882" s="53" t="n">
        <v>45704.5844791667</v>
      </c>
      <c r="R1882" s="0" t="n">
        <v>0</v>
      </c>
      <c r="S1882" s="51" t="s">
        <v>2371</v>
      </c>
      <c r="T1882" s="51" t="s">
        <v>2371</v>
      </c>
      <c r="U1882" s="0" t="str">
        <f aca="false">"8032754230244"</f>
        <v>8032754230244</v>
      </c>
      <c r="V1882" s="51" t="s">
        <v>3740</v>
      </c>
      <c r="W1882" s="51" t="s">
        <v>4503</v>
      </c>
      <c r="X1882" s="51" t="s">
        <v>2359</v>
      </c>
    </row>
    <row r="1883" customFormat="false" ht="14.25" hidden="true" customHeight="false" outlineLevel="0" collapsed="false">
      <c r="A1883" s="49" t="s">
        <v>2349</v>
      </c>
      <c r="B1883" s="49" t="s">
        <v>2350</v>
      </c>
      <c r="C1883" s="49" t="s">
        <v>4504</v>
      </c>
      <c r="D1883" s="49" t="s">
        <v>2352</v>
      </c>
      <c r="E1883" s="49" t="str">
        <f aca="false">"8032754230244"</f>
        <v>8032754230244</v>
      </c>
      <c r="F1883" s="49" t="s">
        <v>3737</v>
      </c>
      <c r="G1883" s="49" t="n">
        <v>0</v>
      </c>
      <c r="H1883" s="0" t="n">
        <v>0</v>
      </c>
      <c r="M1883" s="51" t="s">
        <v>4496</v>
      </c>
      <c r="N1883" s="49" t="n">
        <v>0</v>
      </c>
      <c r="O1883" s="53" t="n">
        <v>45704.5865393519</v>
      </c>
      <c r="P1883" s="53" t="n">
        <v>45858.9341898148</v>
      </c>
      <c r="Q1883" s="53" t="n">
        <v>45704.5865393519</v>
      </c>
      <c r="R1883" s="0" t="n">
        <v>0</v>
      </c>
      <c r="S1883" s="51" t="s">
        <v>2371</v>
      </c>
      <c r="T1883" s="51" t="s">
        <v>2371</v>
      </c>
      <c r="U1883" s="0" t="str">
        <f aca="false">"8032754230244"</f>
        <v>8032754230244</v>
      </c>
      <c r="V1883" s="51" t="s">
        <v>3740</v>
      </c>
      <c r="W1883" s="51" t="s">
        <v>4505</v>
      </c>
      <c r="X1883" s="51" t="s">
        <v>2359</v>
      </c>
    </row>
    <row r="1884" customFormat="false" ht="14.25" hidden="true" customHeight="false" outlineLevel="0" collapsed="false">
      <c r="A1884" s="49" t="s">
        <v>2349</v>
      </c>
      <c r="B1884" s="49" t="s">
        <v>2350</v>
      </c>
      <c r="C1884" s="49" t="s">
        <v>4506</v>
      </c>
      <c r="D1884" s="49" t="s">
        <v>2352</v>
      </c>
      <c r="E1884" s="49" t="str">
        <f aca="false">"8032754230244"</f>
        <v>8032754230244</v>
      </c>
      <c r="F1884" s="49" t="s">
        <v>3737</v>
      </c>
      <c r="G1884" s="49" t="n">
        <v>0</v>
      </c>
      <c r="H1884" s="0" t="n">
        <v>0</v>
      </c>
      <c r="M1884" s="51" t="s">
        <v>4496</v>
      </c>
      <c r="N1884" s="49" t="n">
        <v>0</v>
      </c>
      <c r="O1884" s="53" t="n">
        <v>45704.5863541667</v>
      </c>
      <c r="P1884" s="53" t="n">
        <v>45868.4808101852</v>
      </c>
      <c r="Q1884" s="53" t="n">
        <v>45704.5863541667</v>
      </c>
      <c r="R1884" s="0" t="n">
        <v>0</v>
      </c>
      <c r="S1884" s="51" t="s">
        <v>2371</v>
      </c>
      <c r="T1884" s="51" t="s">
        <v>2371</v>
      </c>
      <c r="U1884" s="0" t="str">
        <f aca="false">"8032754230244"</f>
        <v>8032754230244</v>
      </c>
      <c r="V1884" s="51" t="s">
        <v>3740</v>
      </c>
      <c r="W1884" s="51" t="s">
        <v>4507</v>
      </c>
      <c r="X1884" s="51" t="s">
        <v>2359</v>
      </c>
    </row>
    <row r="1885" customFormat="false" ht="14.25" hidden="true" customHeight="false" outlineLevel="0" collapsed="false">
      <c r="A1885" s="49" t="s">
        <v>2349</v>
      </c>
      <c r="B1885" s="49" t="s">
        <v>2350</v>
      </c>
      <c r="C1885" s="49" t="s">
        <v>4508</v>
      </c>
      <c r="D1885" s="49" t="s">
        <v>2352</v>
      </c>
      <c r="E1885" s="49" t="str">
        <f aca="false">"8032754230244"</f>
        <v>8032754230244</v>
      </c>
      <c r="F1885" s="49" t="s">
        <v>3737</v>
      </c>
      <c r="G1885" s="49" t="n">
        <v>0</v>
      </c>
      <c r="H1885" s="0" t="n">
        <v>0</v>
      </c>
      <c r="M1885" s="51" t="s">
        <v>4496</v>
      </c>
      <c r="N1885" s="49" t="n">
        <v>0</v>
      </c>
      <c r="O1885" s="53" t="n">
        <v>45704.5846759259</v>
      </c>
      <c r="P1885" s="53" t="n">
        <v>45866.4800231482</v>
      </c>
      <c r="Q1885" s="53" t="n">
        <v>45704.5846759259</v>
      </c>
      <c r="R1885" s="0" t="n">
        <v>0</v>
      </c>
      <c r="S1885" s="51" t="s">
        <v>2371</v>
      </c>
      <c r="T1885" s="51" t="s">
        <v>2371</v>
      </c>
      <c r="U1885" s="0" t="str">
        <f aca="false">"8032754230244"</f>
        <v>8032754230244</v>
      </c>
      <c r="V1885" s="51" t="s">
        <v>3740</v>
      </c>
      <c r="W1885" s="51" t="s">
        <v>4509</v>
      </c>
      <c r="X1885" s="51" t="s">
        <v>2359</v>
      </c>
    </row>
    <row r="1886" customFormat="false" ht="14.25" hidden="true" customHeight="false" outlineLevel="0" collapsed="false">
      <c r="A1886" s="49" t="s">
        <v>2349</v>
      </c>
      <c r="B1886" s="49" t="s">
        <v>2350</v>
      </c>
      <c r="C1886" s="49" t="s">
        <v>4510</v>
      </c>
      <c r="D1886" s="49" t="s">
        <v>2352</v>
      </c>
      <c r="E1886" s="49" t="str">
        <f aca="false">"8032754230244"</f>
        <v>8032754230244</v>
      </c>
      <c r="F1886" s="49" t="s">
        <v>3737</v>
      </c>
      <c r="G1886" s="49" t="n">
        <v>0</v>
      </c>
      <c r="H1886" s="0" t="n">
        <v>0</v>
      </c>
      <c r="M1886" s="51" t="s">
        <v>4496</v>
      </c>
      <c r="N1886" s="49" t="n">
        <v>0</v>
      </c>
      <c r="O1886" s="53" t="n">
        <v>45704.584837963</v>
      </c>
      <c r="P1886" s="53" t="n">
        <v>45806.4606481481</v>
      </c>
      <c r="Q1886" s="53" t="n">
        <v>45704.584837963</v>
      </c>
      <c r="R1886" s="0" t="n">
        <v>0</v>
      </c>
      <c r="S1886" s="51" t="s">
        <v>2371</v>
      </c>
      <c r="T1886" s="51" t="s">
        <v>2371</v>
      </c>
      <c r="U1886" s="0" t="str">
        <f aca="false">"8032754230244"</f>
        <v>8032754230244</v>
      </c>
      <c r="V1886" s="51" t="s">
        <v>3740</v>
      </c>
      <c r="W1886" s="51" t="s">
        <v>4511</v>
      </c>
      <c r="X1886" s="51" t="s">
        <v>2359</v>
      </c>
    </row>
    <row r="1887" customFormat="false" ht="14.25" hidden="true" customHeight="false" outlineLevel="0" collapsed="false">
      <c r="A1887" s="49" t="s">
        <v>2349</v>
      </c>
      <c r="B1887" s="49" t="s">
        <v>2350</v>
      </c>
      <c r="C1887" s="49" t="s">
        <v>4512</v>
      </c>
      <c r="D1887" s="49" t="s">
        <v>2352</v>
      </c>
      <c r="E1887" s="49" t="str">
        <f aca="false">"8032754230244"</f>
        <v>8032754230244</v>
      </c>
      <c r="F1887" s="49" t="s">
        <v>3737</v>
      </c>
      <c r="G1887" s="49" t="n">
        <v>0</v>
      </c>
      <c r="H1887" s="0" t="n">
        <v>0</v>
      </c>
      <c r="M1887" s="51" t="s">
        <v>4496</v>
      </c>
      <c r="N1887" s="49" t="n">
        <v>0</v>
      </c>
      <c r="O1887" s="53" t="n">
        <v>45704.585625</v>
      </c>
      <c r="P1887" s="53" t="n">
        <v>45841.8571527778</v>
      </c>
      <c r="Q1887" s="53" t="n">
        <v>45704.585625</v>
      </c>
      <c r="R1887" s="0" t="n">
        <v>0</v>
      </c>
      <c r="S1887" s="51" t="s">
        <v>2371</v>
      </c>
      <c r="T1887" s="51" t="s">
        <v>2371</v>
      </c>
      <c r="U1887" s="0" t="str">
        <f aca="false">"8032754230244"</f>
        <v>8032754230244</v>
      </c>
      <c r="V1887" s="51" t="s">
        <v>3740</v>
      </c>
      <c r="W1887" s="51" t="s">
        <v>4513</v>
      </c>
      <c r="X1887" s="51" t="s">
        <v>2359</v>
      </c>
    </row>
    <row r="1888" customFormat="false" ht="14.25" hidden="true" customHeight="false" outlineLevel="0" collapsed="false">
      <c r="A1888" s="49" t="s">
        <v>2349</v>
      </c>
      <c r="B1888" s="49" t="s">
        <v>2350</v>
      </c>
      <c r="C1888" s="49" t="s">
        <v>4514</v>
      </c>
      <c r="D1888" s="49" t="s">
        <v>2352</v>
      </c>
      <c r="E1888" s="49" t="str">
        <f aca="false">"8032754230244"</f>
        <v>8032754230244</v>
      </c>
      <c r="F1888" s="49" t="s">
        <v>3737</v>
      </c>
      <c r="G1888" s="49" t="n">
        <v>0</v>
      </c>
      <c r="H1888" s="0" t="n">
        <v>0</v>
      </c>
      <c r="M1888" s="51" t="s">
        <v>4496</v>
      </c>
      <c r="N1888" s="49" t="n">
        <v>0</v>
      </c>
      <c r="O1888" s="53" t="n">
        <v>45704.5858333333</v>
      </c>
      <c r="P1888" s="53" t="n">
        <v>45841.8578935185</v>
      </c>
      <c r="Q1888" s="53" t="n">
        <v>45704.5858333333</v>
      </c>
      <c r="R1888" s="0" t="n">
        <v>0</v>
      </c>
      <c r="S1888" s="51" t="s">
        <v>2371</v>
      </c>
      <c r="T1888" s="51" t="s">
        <v>2371</v>
      </c>
      <c r="U1888" s="0" t="str">
        <f aca="false">"8032754230244"</f>
        <v>8032754230244</v>
      </c>
      <c r="V1888" s="51" t="s">
        <v>3740</v>
      </c>
      <c r="W1888" s="51" t="s">
        <v>4515</v>
      </c>
      <c r="X1888" s="51" t="s">
        <v>2359</v>
      </c>
    </row>
    <row r="1889" customFormat="false" ht="14.25" hidden="true" customHeight="false" outlineLevel="0" collapsed="false">
      <c r="A1889" s="49" t="s">
        <v>2349</v>
      </c>
      <c r="B1889" s="49" t="s">
        <v>2350</v>
      </c>
      <c r="C1889" s="49" t="s">
        <v>4516</v>
      </c>
      <c r="D1889" s="49" t="s">
        <v>2352</v>
      </c>
      <c r="E1889" s="49" t="str">
        <f aca="false">"8032754230244"</f>
        <v>8032754230244</v>
      </c>
      <c r="F1889" s="49" t="s">
        <v>3737</v>
      </c>
      <c r="G1889" s="49" t="n">
        <v>0</v>
      </c>
      <c r="H1889" s="0" t="n">
        <v>0</v>
      </c>
      <c r="M1889" s="51" t="s">
        <v>4496</v>
      </c>
      <c r="N1889" s="49" t="n">
        <v>0</v>
      </c>
      <c r="O1889" s="53" t="n">
        <v>45704.5859953704</v>
      </c>
      <c r="P1889" s="53" t="n">
        <v>45720.6167824074</v>
      </c>
      <c r="Q1889" s="53" t="n">
        <v>45704.5859953704</v>
      </c>
      <c r="R1889" s="0" t="n">
        <v>0</v>
      </c>
      <c r="S1889" s="51" t="s">
        <v>2371</v>
      </c>
      <c r="T1889" s="51" t="s">
        <v>2371</v>
      </c>
      <c r="U1889" s="0" t="str">
        <f aca="false">"8032754230244"</f>
        <v>8032754230244</v>
      </c>
      <c r="V1889" s="51" t="s">
        <v>3740</v>
      </c>
      <c r="W1889" s="51" t="s">
        <v>4517</v>
      </c>
      <c r="X1889" s="51" t="s">
        <v>2359</v>
      </c>
    </row>
    <row r="1890" customFormat="false" ht="14.25" hidden="true" customHeight="false" outlineLevel="0" collapsed="false">
      <c r="A1890" s="49" t="s">
        <v>2349</v>
      </c>
      <c r="B1890" s="49" t="s">
        <v>2350</v>
      </c>
      <c r="C1890" s="49" t="s">
        <v>4518</v>
      </c>
      <c r="D1890" s="49" t="s">
        <v>2352</v>
      </c>
      <c r="E1890" s="49" t="str">
        <f aca="false">"8032754230244"</f>
        <v>8032754230244</v>
      </c>
      <c r="F1890" s="49" t="s">
        <v>3737</v>
      </c>
      <c r="G1890" s="49" t="n">
        <v>0</v>
      </c>
      <c r="H1890" s="0" t="n">
        <v>0</v>
      </c>
      <c r="M1890" s="51" t="s">
        <v>4496</v>
      </c>
      <c r="N1890" s="49" t="n">
        <v>0</v>
      </c>
      <c r="O1890" s="53" t="n">
        <v>45704.5861458333</v>
      </c>
      <c r="P1890" s="53" t="n">
        <v>45838.4856018519</v>
      </c>
      <c r="Q1890" s="53" t="n">
        <v>45704.5861458333</v>
      </c>
      <c r="R1890" s="0" t="n">
        <v>0</v>
      </c>
      <c r="S1890" s="51" t="s">
        <v>2371</v>
      </c>
      <c r="T1890" s="51" t="s">
        <v>2371</v>
      </c>
      <c r="U1890" s="0" t="str">
        <f aca="false">"8032754230244"</f>
        <v>8032754230244</v>
      </c>
      <c r="V1890" s="51" t="s">
        <v>3740</v>
      </c>
      <c r="W1890" s="51" t="s">
        <v>4519</v>
      </c>
      <c r="X1890" s="51" t="s">
        <v>2359</v>
      </c>
    </row>
    <row r="1891" customFormat="false" ht="14.25" hidden="true" customHeight="false" outlineLevel="0" collapsed="false">
      <c r="A1891" s="49" t="s">
        <v>2349</v>
      </c>
      <c r="B1891" s="49" t="s">
        <v>2350</v>
      </c>
      <c r="C1891" s="49" t="s">
        <v>4520</v>
      </c>
      <c r="D1891" s="49" t="s">
        <v>2352</v>
      </c>
      <c r="E1891" s="49" t="str">
        <f aca="false">"8032754230244"</f>
        <v>8032754230244</v>
      </c>
      <c r="F1891" s="49" t="s">
        <v>3737</v>
      </c>
      <c r="G1891" s="49" t="n">
        <v>0</v>
      </c>
      <c r="H1891" s="0" t="n">
        <v>0</v>
      </c>
      <c r="M1891" s="51" t="s">
        <v>4496</v>
      </c>
      <c r="N1891" s="49" t="n">
        <v>0</v>
      </c>
      <c r="O1891" s="53" t="n">
        <v>45704.586712963</v>
      </c>
      <c r="P1891" s="53" t="n">
        <v>45808.484537037</v>
      </c>
      <c r="Q1891" s="53" t="n">
        <v>45704.586712963</v>
      </c>
      <c r="R1891" s="0" t="n">
        <v>0</v>
      </c>
      <c r="S1891" s="51" t="s">
        <v>2371</v>
      </c>
      <c r="T1891" s="51" t="s">
        <v>2371</v>
      </c>
      <c r="U1891" s="0" t="str">
        <f aca="false">"8032754230244"</f>
        <v>8032754230244</v>
      </c>
      <c r="V1891" s="51" t="s">
        <v>3740</v>
      </c>
      <c r="W1891" s="51" t="s">
        <v>4521</v>
      </c>
      <c r="X1891" s="51" t="s">
        <v>2359</v>
      </c>
    </row>
    <row r="1892" customFormat="false" ht="14.25" hidden="true" customHeight="false" outlineLevel="0" collapsed="false">
      <c r="A1892" s="49" t="s">
        <v>2349</v>
      </c>
      <c r="B1892" s="49" t="s">
        <v>2350</v>
      </c>
      <c r="C1892" s="49" t="s">
        <v>4522</v>
      </c>
      <c r="D1892" s="49" t="s">
        <v>2352</v>
      </c>
      <c r="E1892" s="49" t="str">
        <f aca="false">"8032754230244"</f>
        <v>8032754230244</v>
      </c>
      <c r="F1892" s="49" t="s">
        <v>3737</v>
      </c>
      <c r="G1892" s="49" t="n">
        <v>0</v>
      </c>
      <c r="H1892" s="0" t="n">
        <v>0</v>
      </c>
      <c r="M1892" s="51" t="s">
        <v>4496</v>
      </c>
      <c r="N1892" s="49" t="n">
        <v>0</v>
      </c>
      <c r="O1892" s="53" t="n">
        <v>45704.5868865741</v>
      </c>
      <c r="P1892" s="53" t="n">
        <v>45858.9316550926</v>
      </c>
      <c r="Q1892" s="53" t="n">
        <v>45704.5868865741</v>
      </c>
      <c r="R1892" s="0" t="n">
        <v>0</v>
      </c>
      <c r="S1892" s="51" t="s">
        <v>2371</v>
      </c>
      <c r="T1892" s="51" t="s">
        <v>2371</v>
      </c>
      <c r="U1892" s="0" t="str">
        <f aca="false">"8032754230244"</f>
        <v>8032754230244</v>
      </c>
      <c r="V1892" s="51" t="s">
        <v>3740</v>
      </c>
      <c r="W1892" s="51" t="s">
        <v>4523</v>
      </c>
      <c r="X1892" s="51" t="s">
        <v>2359</v>
      </c>
    </row>
    <row r="1893" customFormat="false" ht="14.25" hidden="true" customHeight="false" outlineLevel="0" collapsed="false">
      <c r="A1893" s="49" t="s">
        <v>2349</v>
      </c>
      <c r="B1893" s="49" t="s">
        <v>2350</v>
      </c>
      <c r="C1893" s="49" t="s">
        <v>4524</v>
      </c>
      <c r="D1893" s="49" t="s">
        <v>2352</v>
      </c>
      <c r="E1893" s="49" t="str">
        <f aca="false">"8032754230244"</f>
        <v>8032754230244</v>
      </c>
      <c r="F1893" s="49" t="s">
        <v>3737</v>
      </c>
      <c r="G1893" s="49" t="n">
        <v>0</v>
      </c>
      <c r="H1893" s="0" t="n">
        <v>0</v>
      </c>
      <c r="M1893" s="51" t="s">
        <v>4496</v>
      </c>
      <c r="N1893" s="49" t="n">
        <v>0</v>
      </c>
      <c r="O1893" s="53" t="n">
        <v>45704.5870717593</v>
      </c>
      <c r="P1893" s="53" t="n">
        <v>45858.9315625</v>
      </c>
      <c r="Q1893" s="53" t="n">
        <v>45704.5870717593</v>
      </c>
      <c r="R1893" s="0" t="n">
        <v>0</v>
      </c>
      <c r="S1893" s="51" t="s">
        <v>2371</v>
      </c>
      <c r="T1893" s="51" t="s">
        <v>2371</v>
      </c>
      <c r="U1893" s="0" t="str">
        <f aca="false">"8032754230244"</f>
        <v>8032754230244</v>
      </c>
      <c r="V1893" s="51" t="s">
        <v>3740</v>
      </c>
      <c r="W1893" s="51" t="s">
        <v>4525</v>
      </c>
      <c r="X1893" s="51" t="s">
        <v>2359</v>
      </c>
    </row>
    <row r="1894" customFormat="false" ht="14.25" hidden="true" customHeight="false" outlineLevel="0" collapsed="false">
      <c r="A1894" s="49" t="s">
        <v>2349</v>
      </c>
      <c r="B1894" s="49" t="s">
        <v>2350</v>
      </c>
      <c r="C1894" s="49" t="s">
        <v>4526</v>
      </c>
      <c r="D1894" s="49" t="s">
        <v>2352</v>
      </c>
      <c r="E1894" s="49" t="str">
        <f aca="false">"8032754230244"</f>
        <v>8032754230244</v>
      </c>
      <c r="F1894" s="49" t="s">
        <v>3737</v>
      </c>
      <c r="G1894" s="49" t="n">
        <v>0</v>
      </c>
      <c r="H1894" s="0" t="n">
        <v>0</v>
      </c>
      <c r="M1894" s="51" t="s">
        <v>4496</v>
      </c>
      <c r="N1894" s="49" t="n">
        <v>0</v>
      </c>
      <c r="O1894" s="53" t="n">
        <v>45704.5872337963</v>
      </c>
      <c r="P1894" s="53" t="n">
        <v>45830.8168055556</v>
      </c>
      <c r="Q1894" s="53" t="n">
        <v>45704.5872337963</v>
      </c>
      <c r="R1894" s="0" t="n">
        <v>0</v>
      </c>
      <c r="S1894" s="51" t="s">
        <v>2371</v>
      </c>
      <c r="T1894" s="51" t="s">
        <v>2371</v>
      </c>
      <c r="U1894" s="0" t="str">
        <f aca="false">"8032754230244"</f>
        <v>8032754230244</v>
      </c>
      <c r="V1894" s="51" t="s">
        <v>3740</v>
      </c>
      <c r="W1894" s="51" t="s">
        <v>4527</v>
      </c>
      <c r="X1894" s="51" t="s">
        <v>2359</v>
      </c>
    </row>
    <row r="1895" customFormat="false" ht="14.25" hidden="true" customHeight="false" outlineLevel="0" collapsed="false">
      <c r="A1895" s="49" t="s">
        <v>2349</v>
      </c>
      <c r="B1895" s="49" t="s">
        <v>2350</v>
      </c>
      <c r="C1895" s="49" t="s">
        <v>4528</v>
      </c>
      <c r="D1895" s="49" t="s">
        <v>2352</v>
      </c>
      <c r="E1895" s="49" t="str">
        <f aca="false">"8032754230244"</f>
        <v>8032754230244</v>
      </c>
      <c r="F1895" s="49" t="s">
        <v>3737</v>
      </c>
      <c r="G1895" s="49" t="n">
        <v>0</v>
      </c>
      <c r="H1895" s="0" t="n">
        <v>0</v>
      </c>
      <c r="M1895" s="51" t="s">
        <v>4496</v>
      </c>
      <c r="N1895" s="49" t="n">
        <v>0</v>
      </c>
      <c r="O1895" s="53" t="n">
        <v>45704.5874074074</v>
      </c>
      <c r="P1895" s="53" t="n">
        <v>45720.6179398148</v>
      </c>
      <c r="Q1895" s="53" t="n">
        <v>45704.5874074074</v>
      </c>
      <c r="R1895" s="0" t="n">
        <v>0</v>
      </c>
      <c r="S1895" s="51" t="s">
        <v>2371</v>
      </c>
      <c r="T1895" s="51" t="s">
        <v>2371</v>
      </c>
      <c r="U1895" s="0" t="str">
        <f aca="false">"8032754230244"</f>
        <v>8032754230244</v>
      </c>
      <c r="V1895" s="51" t="s">
        <v>3740</v>
      </c>
      <c r="W1895" s="51" t="s">
        <v>4529</v>
      </c>
      <c r="X1895" s="51" t="s">
        <v>2359</v>
      </c>
    </row>
    <row r="1896" customFormat="false" ht="14.25" hidden="true" customHeight="false" outlineLevel="0" collapsed="false">
      <c r="A1896" s="49" t="s">
        <v>2349</v>
      </c>
      <c r="B1896" s="49" t="s">
        <v>2350</v>
      </c>
      <c r="C1896" s="49" t="s">
        <v>4530</v>
      </c>
      <c r="D1896" s="49" t="s">
        <v>2352</v>
      </c>
      <c r="E1896" s="49" t="str">
        <f aca="false">"8032754230244"</f>
        <v>8032754230244</v>
      </c>
      <c r="F1896" s="49" t="s">
        <v>3737</v>
      </c>
      <c r="G1896" s="49" t="n">
        <v>0</v>
      </c>
      <c r="H1896" s="0" t="n">
        <v>0</v>
      </c>
      <c r="M1896" s="51" t="s">
        <v>4496</v>
      </c>
      <c r="N1896" s="49" t="n">
        <v>0</v>
      </c>
      <c r="O1896" s="53" t="n">
        <v>45704.5875462963</v>
      </c>
      <c r="P1896" s="53" t="n">
        <v>45862.897349537</v>
      </c>
      <c r="Q1896" s="53" t="n">
        <v>45704.5875462963</v>
      </c>
      <c r="R1896" s="0" t="n">
        <v>0</v>
      </c>
      <c r="S1896" s="51" t="s">
        <v>2371</v>
      </c>
      <c r="T1896" s="51" t="s">
        <v>2371</v>
      </c>
      <c r="U1896" s="0" t="str">
        <f aca="false">"8032754230244"</f>
        <v>8032754230244</v>
      </c>
      <c r="V1896" s="51" t="s">
        <v>3740</v>
      </c>
      <c r="W1896" s="51" t="s">
        <v>4531</v>
      </c>
      <c r="X1896" s="51" t="s">
        <v>2359</v>
      </c>
    </row>
    <row r="1897" customFormat="false" ht="14.25" hidden="true" customHeight="false" outlineLevel="0" collapsed="false">
      <c r="A1897" s="49" t="s">
        <v>2349</v>
      </c>
      <c r="B1897" s="49" t="s">
        <v>2350</v>
      </c>
      <c r="C1897" s="49" t="s">
        <v>4532</v>
      </c>
      <c r="D1897" s="49" t="s">
        <v>2352</v>
      </c>
      <c r="E1897" s="49" t="str">
        <f aca="false">"8032754230244"</f>
        <v>8032754230244</v>
      </c>
      <c r="F1897" s="49" t="s">
        <v>3737</v>
      </c>
      <c r="G1897" s="49" t="n">
        <v>0</v>
      </c>
      <c r="H1897" s="0" t="n">
        <v>0</v>
      </c>
      <c r="M1897" s="51" t="s">
        <v>4496</v>
      </c>
      <c r="N1897" s="49" t="n">
        <v>0</v>
      </c>
      <c r="O1897" s="53" t="n">
        <v>45704.5877546296</v>
      </c>
      <c r="P1897" s="53" t="n">
        <v>45720.6123958333</v>
      </c>
      <c r="Q1897" s="53" t="n">
        <v>45704.5877546296</v>
      </c>
      <c r="R1897" s="0" t="n">
        <v>0</v>
      </c>
      <c r="S1897" s="51" t="s">
        <v>2371</v>
      </c>
      <c r="T1897" s="51" t="s">
        <v>2371</v>
      </c>
      <c r="U1897" s="0" t="str">
        <f aca="false">"8032754230244"</f>
        <v>8032754230244</v>
      </c>
      <c r="V1897" s="51" t="s">
        <v>3740</v>
      </c>
      <c r="W1897" s="51" t="s">
        <v>4533</v>
      </c>
      <c r="X1897" s="51" t="s">
        <v>2359</v>
      </c>
    </row>
    <row r="1898" customFormat="false" ht="14.25" hidden="true" customHeight="false" outlineLevel="0" collapsed="false">
      <c r="A1898" s="49" t="s">
        <v>2349</v>
      </c>
      <c r="B1898" s="49" t="s">
        <v>2350</v>
      </c>
      <c r="C1898" s="49" t="s">
        <v>4534</v>
      </c>
      <c r="D1898" s="49" t="s">
        <v>2352</v>
      </c>
      <c r="E1898" s="49" t="str">
        <f aca="false">"8032754230244"</f>
        <v>8032754230244</v>
      </c>
      <c r="F1898" s="49" t="s">
        <v>3737</v>
      </c>
      <c r="G1898" s="49" t="n">
        <v>0</v>
      </c>
      <c r="H1898" s="0" t="n">
        <v>0</v>
      </c>
      <c r="M1898" s="51" t="s">
        <v>4496</v>
      </c>
      <c r="N1898" s="49" t="n">
        <v>0</v>
      </c>
      <c r="O1898" s="53" t="n">
        <v>45704.5879282407</v>
      </c>
      <c r="P1898" s="53" t="n">
        <v>45858.930462963</v>
      </c>
      <c r="Q1898" s="53" t="n">
        <v>45704.5879282407</v>
      </c>
      <c r="R1898" s="0" t="n">
        <v>0</v>
      </c>
      <c r="S1898" s="51" t="s">
        <v>2371</v>
      </c>
      <c r="T1898" s="51" t="s">
        <v>2371</v>
      </c>
      <c r="U1898" s="0" t="str">
        <f aca="false">"8032754230244"</f>
        <v>8032754230244</v>
      </c>
      <c r="V1898" s="51" t="s">
        <v>3740</v>
      </c>
      <c r="W1898" s="51" t="s">
        <v>4535</v>
      </c>
      <c r="X1898" s="51" t="s">
        <v>2359</v>
      </c>
    </row>
    <row r="1899" customFormat="false" ht="14.25" hidden="true" customHeight="false" outlineLevel="0" collapsed="false">
      <c r="A1899" s="49" t="s">
        <v>2349</v>
      </c>
      <c r="B1899" s="49" t="s">
        <v>2350</v>
      </c>
      <c r="C1899" s="49" t="s">
        <v>4536</v>
      </c>
      <c r="D1899" s="49" t="s">
        <v>2352</v>
      </c>
      <c r="E1899" s="49" t="str">
        <f aca="false">"8032754230244"</f>
        <v>8032754230244</v>
      </c>
      <c r="F1899" s="49" t="s">
        <v>3737</v>
      </c>
      <c r="G1899" s="49" t="n">
        <v>0</v>
      </c>
      <c r="H1899" s="0" t="n">
        <v>0</v>
      </c>
      <c r="M1899" s="51" t="s">
        <v>4496</v>
      </c>
      <c r="N1899" s="49" t="n">
        <v>0</v>
      </c>
      <c r="O1899" s="53" t="n">
        <v>45704.5881134259</v>
      </c>
      <c r="P1899" s="53" t="n">
        <v>45858.9298842593</v>
      </c>
      <c r="Q1899" s="53" t="n">
        <v>45704.5881134259</v>
      </c>
      <c r="R1899" s="0" t="n">
        <v>0</v>
      </c>
      <c r="S1899" s="51" t="s">
        <v>2371</v>
      </c>
      <c r="T1899" s="51" t="s">
        <v>2371</v>
      </c>
      <c r="U1899" s="0" t="str">
        <f aca="false">"8032754230244"</f>
        <v>8032754230244</v>
      </c>
      <c r="V1899" s="51" t="s">
        <v>3740</v>
      </c>
      <c r="W1899" s="51" t="s">
        <v>4537</v>
      </c>
      <c r="X1899" s="51" t="s">
        <v>2359</v>
      </c>
    </row>
    <row r="1900" customFormat="false" ht="14.25" hidden="true" customHeight="false" outlineLevel="0" collapsed="false">
      <c r="A1900" s="49" t="s">
        <v>2349</v>
      </c>
      <c r="B1900" s="49" t="s">
        <v>2350</v>
      </c>
      <c r="C1900" s="49" t="s">
        <v>4538</v>
      </c>
      <c r="D1900" s="49" t="s">
        <v>2352</v>
      </c>
      <c r="E1900" s="49" t="str">
        <f aca="false">"8032754230244"</f>
        <v>8032754230244</v>
      </c>
      <c r="F1900" s="49" t="s">
        <v>3737</v>
      </c>
      <c r="G1900" s="49" t="n">
        <v>0</v>
      </c>
      <c r="H1900" s="0" t="n">
        <v>0</v>
      </c>
      <c r="M1900" s="51" t="s">
        <v>4496</v>
      </c>
      <c r="N1900" s="49" t="n">
        <v>0</v>
      </c>
      <c r="O1900" s="53" t="n">
        <v>45704.5883912037</v>
      </c>
      <c r="P1900" s="53" t="n">
        <v>45830.8061574074</v>
      </c>
      <c r="Q1900" s="53" t="n">
        <v>45704.5883912037</v>
      </c>
      <c r="R1900" s="0" t="n">
        <v>0</v>
      </c>
      <c r="S1900" s="51" t="s">
        <v>2371</v>
      </c>
      <c r="T1900" s="51" t="s">
        <v>2371</v>
      </c>
      <c r="U1900" s="0" t="str">
        <f aca="false">"8032754230244"</f>
        <v>8032754230244</v>
      </c>
      <c r="V1900" s="51" t="s">
        <v>3740</v>
      </c>
      <c r="W1900" s="51" t="s">
        <v>4539</v>
      </c>
      <c r="X1900" s="51" t="s">
        <v>2359</v>
      </c>
    </row>
    <row r="1901" customFormat="false" ht="14.25" hidden="true" customHeight="false" outlineLevel="0" collapsed="false">
      <c r="A1901" s="49" t="s">
        <v>2349</v>
      </c>
      <c r="B1901" s="49" t="s">
        <v>2350</v>
      </c>
      <c r="C1901" s="49" t="s">
        <v>4540</v>
      </c>
      <c r="D1901" s="49" t="s">
        <v>2352</v>
      </c>
      <c r="E1901" s="49" t="str">
        <f aca="false">"8032754230244"</f>
        <v>8032754230244</v>
      </c>
      <c r="F1901" s="49" t="s">
        <v>3737</v>
      </c>
      <c r="G1901" s="49" t="n">
        <v>0</v>
      </c>
      <c r="H1901" s="0" t="n">
        <v>0</v>
      </c>
      <c r="M1901" s="51" t="s">
        <v>4496</v>
      </c>
      <c r="N1901" s="49" t="n">
        <v>0</v>
      </c>
      <c r="O1901" s="53" t="n">
        <v>45704.5885763889</v>
      </c>
      <c r="P1901" s="53" t="n">
        <v>45808.5625694444</v>
      </c>
      <c r="Q1901" s="53" t="n">
        <v>45704.5885763889</v>
      </c>
      <c r="R1901" s="0" t="n">
        <v>0</v>
      </c>
      <c r="S1901" s="51" t="s">
        <v>2371</v>
      </c>
      <c r="T1901" s="51" t="s">
        <v>2371</v>
      </c>
      <c r="U1901" s="0" t="str">
        <f aca="false">"8032754230244"</f>
        <v>8032754230244</v>
      </c>
      <c r="V1901" s="51" t="s">
        <v>3740</v>
      </c>
      <c r="W1901" s="51" t="s">
        <v>4541</v>
      </c>
      <c r="X1901" s="51" t="s">
        <v>2359</v>
      </c>
    </row>
    <row r="1902" customFormat="false" ht="14.25" hidden="true" customHeight="false" outlineLevel="0" collapsed="false">
      <c r="A1902" s="49" t="s">
        <v>2349</v>
      </c>
      <c r="B1902" s="49" t="s">
        <v>2350</v>
      </c>
      <c r="C1902" s="49" t="s">
        <v>4542</v>
      </c>
      <c r="D1902" s="49" t="s">
        <v>2352</v>
      </c>
      <c r="E1902" s="49" t="str">
        <f aca="false">"8032754230244"</f>
        <v>8032754230244</v>
      </c>
      <c r="F1902" s="49" t="s">
        <v>3737</v>
      </c>
      <c r="G1902" s="49" t="n">
        <v>0</v>
      </c>
      <c r="H1902" s="0" t="n">
        <v>0</v>
      </c>
      <c r="M1902" s="51" t="s">
        <v>4496</v>
      </c>
      <c r="N1902" s="49" t="n">
        <v>0</v>
      </c>
      <c r="O1902" s="53" t="n">
        <v>45704.5890162037</v>
      </c>
      <c r="P1902" s="53" t="n">
        <v>45743.5900694444</v>
      </c>
      <c r="Q1902" s="53" t="n">
        <v>45704.5890162037</v>
      </c>
      <c r="R1902" s="0" t="n">
        <v>0</v>
      </c>
      <c r="S1902" s="51" t="s">
        <v>2371</v>
      </c>
      <c r="T1902" s="51" t="s">
        <v>2371</v>
      </c>
      <c r="U1902" s="0" t="str">
        <f aca="false">"8032754230244"</f>
        <v>8032754230244</v>
      </c>
      <c r="V1902" s="51" t="s">
        <v>3740</v>
      </c>
      <c r="W1902" s="51" t="s">
        <v>4543</v>
      </c>
      <c r="X1902" s="51" t="s">
        <v>2359</v>
      </c>
    </row>
    <row r="1903" customFormat="false" ht="14.25" hidden="true" customHeight="false" outlineLevel="0" collapsed="false">
      <c r="A1903" s="49" t="s">
        <v>2349</v>
      </c>
      <c r="B1903" s="49" t="s">
        <v>2350</v>
      </c>
      <c r="C1903" s="49" t="s">
        <v>4544</v>
      </c>
      <c r="D1903" s="49" t="s">
        <v>2352</v>
      </c>
      <c r="E1903" s="49" t="str">
        <f aca="false">"8032754230244"</f>
        <v>8032754230244</v>
      </c>
      <c r="F1903" s="49" t="s">
        <v>3737</v>
      </c>
      <c r="G1903" s="49" t="n">
        <v>0</v>
      </c>
      <c r="H1903" s="0" t="n">
        <v>0</v>
      </c>
      <c r="M1903" s="51" t="s">
        <v>4496</v>
      </c>
      <c r="N1903" s="49" t="n">
        <v>0</v>
      </c>
      <c r="O1903" s="53" t="n">
        <v>45704.5893865741</v>
      </c>
      <c r="P1903" s="53" t="n">
        <v>45720.6173842593</v>
      </c>
      <c r="Q1903" s="53" t="n">
        <v>45704.5893865741</v>
      </c>
      <c r="R1903" s="0" t="n">
        <v>0</v>
      </c>
      <c r="S1903" s="51" t="s">
        <v>2371</v>
      </c>
      <c r="T1903" s="51" t="s">
        <v>2371</v>
      </c>
      <c r="U1903" s="0" t="str">
        <f aca="false">"8032754230244"</f>
        <v>8032754230244</v>
      </c>
      <c r="V1903" s="51" t="s">
        <v>3740</v>
      </c>
      <c r="W1903" s="51" t="s">
        <v>4545</v>
      </c>
      <c r="X1903" s="51" t="s">
        <v>2359</v>
      </c>
    </row>
    <row r="1904" customFormat="false" ht="14.25" hidden="true" customHeight="false" outlineLevel="0" collapsed="false">
      <c r="A1904" s="49" t="s">
        <v>2349</v>
      </c>
      <c r="B1904" s="49" t="s">
        <v>2350</v>
      </c>
      <c r="C1904" s="49" t="s">
        <v>4546</v>
      </c>
      <c r="D1904" s="49" t="s">
        <v>2352</v>
      </c>
      <c r="E1904" s="49" t="str">
        <f aca="false">"8032754230244"</f>
        <v>8032754230244</v>
      </c>
      <c r="F1904" s="49" t="s">
        <v>3737</v>
      </c>
      <c r="G1904" s="49" t="n">
        <v>0</v>
      </c>
      <c r="H1904" s="0" t="n">
        <v>0</v>
      </c>
      <c r="M1904" s="51" t="s">
        <v>4496</v>
      </c>
      <c r="N1904" s="49" t="n">
        <v>0</v>
      </c>
      <c r="O1904" s="53" t="n">
        <v>45704.5897337963</v>
      </c>
      <c r="P1904" s="53" t="n">
        <v>45808.4958449074</v>
      </c>
      <c r="Q1904" s="53" t="n">
        <v>45704.5897337963</v>
      </c>
      <c r="R1904" s="0" t="n">
        <v>0</v>
      </c>
      <c r="S1904" s="51" t="s">
        <v>2371</v>
      </c>
      <c r="T1904" s="51" t="s">
        <v>2371</v>
      </c>
      <c r="U1904" s="0" t="str">
        <f aca="false">"8032754230244"</f>
        <v>8032754230244</v>
      </c>
      <c r="V1904" s="51" t="s">
        <v>3740</v>
      </c>
      <c r="W1904" s="51" t="s">
        <v>4214</v>
      </c>
      <c r="X1904" s="51" t="s">
        <v>2359</v>
      </c>
    </row>
    <row r="1905" customFormat="false" ht="14.25" hidden="true" customHeight="false" outlineLevel="0" collapsed="false">
      <c r="A1905" s="49" t="s">
        <v>2349</v>
      </c>
      <c r="B1905" s="49" t="s">
        <v>2350</v>
      </c>
      <c r="C1905" s="49" t="s">
        <v>4547</v>
      </c>
      <c r="D1905" s="49" t="s">
        <v>2352</v>
      </c>
      <c r="E1905" s="49" t="str">
        <f aca="false">"8032754230244"</f>
        <v>8032754230244</v>
      </c>
      <c r="F1905" s="49" t="s">
        <v>3737</v>
      </c>
      <c r="G1905" s="49" t="n">
        <v>0</v>
      </c>
      <c r="H1905" s="0" t="n">
        <v>0</v>
      </c>
      <c r="M1905" s="51" t="s">
        <v>4496</v>
      </c>
      <c r="N1905" s="49" t="n">
        <v>0</v>
      </c>
      <c r="O1905" s="53" t="n">
        <v>45704.5900231482</v>
      </c>
      <c r="P1905" s="53" t="n">
        <v>45808.4913425926</v>
      </c>
      <c r="Q1905" s="53" t="n">
        <v>45704.5900231482</v>
      </c>
      <c r="R1905" s="0" t="n">
        <v>0</v>
      </c>
      <c r="S1905" s="51" t="s">
        <v>2371</v>
      </c>
      <c r="T1905" s="51" t="s">
        <v>2371</v>
      </c>
      <c r="U1905" s="0" t="str">
        <f aca="false">"8032754230244"</f>
        <v>8032754230244</v>
      </c>
      <c r="V1905" s="51" t="s">
        <v>3740</v>
      </c>
      <c r="W1905" s="51" t="s">
        <v>4548</v>
      </c>
      <c r="X1905" s="51" t="s">
        <v>2359</v>
      </c>
    </row>
    <row r="1906" customFormat="false" ht="14.25" hidden="true" customHeight="false" outlineLevel="0" collapsed="false">
      <c r="A1906" s="49" t="s">
        <v>2349</v>
      </c>
      <c r="B1906" s="49" t="s">
        <v>2350</v>
      </c>
      <c r="C1906" s="49" t="s">
        <v>4549</v>
      </c>
      <c r="D1906" s="49" t="s">
        <v>2352</v>
      </c>
      <c r="E1906" s="49" t="str">
        <f aca="false">"8032754230244"</f>
        <v>8032754230244</v>
      </c>
      <c r="F1906" s="49" t="s">
        <v>3737</v>
      </c>
      <c r="G1906" s="49" t="n">
        <v>0</v>
      </c>
      <c r="H1906" s="0" t="n">
        <v>0</v>
      </c>
      <c r="M1906" s="51" t="s">
        <v>4496</v>
      </c>
      <c r="N1906" s="49" t="n">
        <v>0</v>
      </c>
      <c r="O1906" s="53" t="n">
        <v>45704.5909027778</v>
      </c>
      <c r="P1906" s="53" t="n">
        <v>45825.9174421296</v>
      </c>
      <c r="Q1906" s="53" t="n">
        <v>45704.5909027778</v>
      </c>
      <c r="R1906" s="0" t="n">
        <v>0</v>
      </c>
      <c r="S1906" s="51" t="s">
        <v>2371</v>
      </c>
      <c r="T1906" s="51" t="s">
        <v>2371</v>
      </c>
      <c r="U1906" s="0" t="str">
        <f aca="false">"8032754230244"</f>
        <v>8032754230244</v>
      </c>
      <c r="V1906" s="51" t="s">
        <v>3740</v>
      </c>
      <c r="W1906" s="51" t="s">
        <v>4550</v>
      </c>
      <c r="X1906" s="51" t="s">
        <v>2359</v>
      </c>
    </row>
    <row r="1907" customFormat="false" ht="14.25" hidden="true" customHeight="false" outlineLevel="0" collapsed="false">
      <c r="A1907" s="49" t="s">
        <v>2349</v>
      </c>
      <c r="B1907" s="49" t="s">
        <v>2350</v>
      </c>
      <c r="C1907" s="49" t="s">
        <v>4551</v>
      </c>
      <c r="D1907" s="49" t="s">
        <v>2352</v>
      </c>
      <c r="E1907" s="49" t="str">
        <f aca="false">"8032754230244"</f>
        <v>8032754230244</v>
      </c>
      <c r="F1907" s="49" t="s">
        <v>3737</v>
      </c>
      <c r="G1907" s="49" t="n">
        <v>0</v>
      </c>
      <c r="H1907" s="0" t="n">
        <v>0</v>
      </c>
      <c r="M1907" s="51" t="s">
        <v>4496</v>
      </c>
      <c r="N1907" s="49" t="n">
        <v>0</v>
      </c>
      <c r="O1907" s="53" t="n">
        <v>45704.5911226852</v>
      </c>
      <c r="P1907" s="53" t="n">
        <v>45720.6117824074</v>
      </c>
      <c r="Q1907" s="53" t="n">
        <v>45704.5911226852</v>
      </c>
      <c r="R1907" s="0" t="n">
        <v>0</v>
      </c>
      <c r="S1907" s="51" t="s">
        <v>2371</v>
      </c>
      <c r="T1907" s="51" t="s">
        <v>2371</v>
      </c>
      <c r="U1907" s="0" t="str">
        <f aca="false">"8032754230244"</f>
        <v>8032754230244</v>
      </c>
      <c r="V1907" s="51" t="s">
        <v>3740</v>
      </c>
      <c r="W1907" s="51" t="s">
        <v>4552</v>
      </c>
      <c r="X1907" s="51" t="s">
        <v>2359</v>
      </c>
    </row>
    <row r="1908" customFormat="false" ht="14.25" hidden="true" customHeight="false" outlineLevel="0" collapsed="false">
      <c r="A1908" s="49" t="s">
        <v>2349</v>
      </c>
      <c r="B1908" s="49" t="s">
        <v>2350</v>
      </c>
      <c r="C1908" s="49" t="s">
        <v>4553</v>
      </c>
      <c r="D1908" s="49" t="s">
        <v>2352</v>
      </c>
      <c r="E1908" s="49" t="str">
        <f aca="false">"8032754230244"</f>
        <v>8032754230244</v>
      </c>
      <c r="F1908" s="49" t="s">
        <v>3737</v>
      </c>
      <c r="G1908" s="49" t="n">
        <v>0</v>
      </c>
      <c r="H1908" s="0" t="n">
        <v>0</v>
      </c>
      <c r="M1908" s="51" t="s">
        <v>4496</v>
      </c>
      <c r="N1908" s="49" t="n">
        <v>0</v>
      </c>
      <c r="O1908" s="53" t="n">
        <v>45704.5914814815</v>
      </c>
      <c r="P1908" s="53" t="n">
        <v>45720.6161342593</v>
      </c>
      <c r="Q1908" s="53" t="n">
        <v>45704.5914814815</v>
      </c>
      <c r="R1908" s="0" t="n">
        <v>0</v>
      </c>
      <c r="S1908" s="51" t="s">
        <v>2371</v>
      </c>
      <c r="T1908" s="51" t="s">
        <v>2371</v>
      </c>
      <c r="U1908" s="0" t="str">
        <f aca="false">"8032754230244"</f>
        <v>8032754230244</v>
      </c>
      <c r="V1908" s="51" t="s">
        <v>3740</v>
      </c>
      <c r="W1908" s="51" t="s">
        <v>4554</v>
      </c>
      <c r="X1908" s="51" t="s">
        <v>2359</v>
      </c>
    </row>
    <row r="1909" customFormat="false" ht="14.25" hidden="true" customHeight="false" outlineLevel="0" collapsed="false">
      <c r="A1909" s="49" t="s">
        <v>2349</v>
      </c>
      <c r="B1909" s="49" t="s">
        <v>2350</v>
      </c>
      <c r="C1909" s="49" t="s">
        <v>4555</v>
      </c>
      <c r="D1909" s="49" t="s">
        <v>2352</v>
      </c>
      <c r="E1909" s="49" t="str">
        <f aca="false">"8032754230244"</f>
        <v>8032754230244</v>
      </c>
      <c r="F1909" s="49" t="s">
        <v>3737</v>
      </c>
      <c r="G1909" s="49" t="n">
        <v>0</v>
      </c>
      <c r="H1909" s="0" t="n">
        <v>0</v>
      </c>
      <c r="M1909" s="51" t="s">
        <v>4496</v>
      </c>
      <c r="N1909" s="49" t="n">
        <v>0</v>
      </c>
      <c r="O1909" s="53" t="n">
        <v>45704.5926736111</v>
      </c>
      <c r="P1909" s="53" t="n">
        <v>45830.8092939815</v>
      </c>
      <c r="Q1909" s="53" t="n">
        <v>45704.5926736111</v>
      </c>
      <c r="R1909" s="0" t="n">
        <v>0</v>
      </c>
      <c r="S1909" s="51" t="s">
        <v>2371</v>
      </c>
      <c r="T1909" s="51" t="s">
        <v>2371</v>
      </c>
      <c r="U1909" s="0" t="str">
        <f aca="false">"8032754230244"</f>
        <v>8032754230244</v>
      </c>
      <c r="V1909" s="51" t="s">
        <v>3740</v>
      </c>
      <c r="W1909" s="51" t="s">
        <v>4044</v>
      </c>
      <c r="X1909" s="51" t="s">
        <v>2359</v>
      </c>
    </row>
    <row r="1910" customFormat="false" ht="14.25" hidden="true" customHeight="false" outlineLevel="0" collapsed="false">
      <c r="A1910" s="49" t="s">
        <v>2349</v>
      </c>
      <c r="B1910" s="49" t="s">
        <v>2350</v>
      </c>
      <c r="C1910" s="49" t="s">
        <v>4556</v>
      </c>
      <c r="D1910" s="49" t="s">
        <v>2352</v>
      </c>
      <c r="E1910" s="49" t="str">
        <f aca="false">"8032754230244"</f>
        <v>8032754230244</v>
      </c>
      <c r="F1910" s="49" t="s">
        <v>3737</v>
      </c>
      <c r="G1910" s="49" t="n">
        <v>0</v>
      </c>
      <c r="H1910" s="0" t="n">
        <v>0</v>
      </c>
      <c r="M1910" s="51" t="s">
        <v>4496</v>
      </c>
      <c r="N1910" s="49" t="n">
        <v>0</v>
      </c>
      <c r="O1910" s="53" t="n">
        <v>45704.5929050926</v>
      </c>
      <c r="P1910" s="53" t="n">
        <v>45806.4590162037</v>
      </c>
      <c r="Q1910" s="53" t="n">
        <v>45704.5929050926</v>
      </c>
      <c r="R1910" s="0" t="n">
        <v>0</v>
      </c>
      <c r="S1910" s="51" t="s">
        <v>2371</v>
      </c>
      <c r="T1910" s="51" t="s">
        <v>2371</v>
      </c>
      <c r="U1910" s="0" t="str">
        <f aca="false">"8032754230244"</f>
        <v>8032754230244</v>
      </c>
      <c r="V1910" s="51" t="s">
        <v>3740</v>
      </c>
      <c r="W1910" s="51" t="s">
        <v>4016</v>
      </c>
      <c r="X1910" s="51" t="s">
        <v>2359</v>
      </c>
    </row>
    <row r="1911" customFormat="false" ht="14.25" hidden="true" customHeight="false" outlineLevel="0" collapsed="false">
      <c r="A1911" s="49" t="s">
        <v>2349</v>
      </c>
      <c r="B1911" s="49" t="s">
        <v>2350</v>
      </c>
      <c r="C1911" s="49" t="s">
        <v>4557</v>
      </c>
      <c r="D1911" s="49" t="s">
        <v>2352</v>
      </c>
      <c r="E1911" s="49" t="str">
        <f aca="false">"8032754230244"</f>
        <v>8032754230244</v>
      </c>
      <c r="F1911" s="49" t="s">
        <v>3737</v>
      </c>
      <c r="G1911" s="49" t="n">
        <v>0</v>
      </c>
      <c r="H1911" s="0" t="n">
        <v>0</v>
      </c>
      <c r="M1911" s="51" t="s">
        <v>4496</v>
      </c>
      <c r="N1911" s="49" t="n">
        <v>0</v>
      </c>
      <c r="O1911" s="53" t="n">
        <v>45704.5932523148</v>
      </c>
      <c r="P1911" s="53" t="n">
        <v>45808.4837152778</v>
      </c>
      <c r="Q1911" s="53" t="n">
        <v>45704.5932523148</v>
      </c>
      <c r="R1911" s="0" t="n">
        <v>0</v>
      </c>
      <c r="S1911" s="51" t="s">
        <v>2371</v>
      </c>
      <c r="T1911" s="51" t="s">
        <v>2371</v>
      </c>
      <c r="U1911" s="0" t="str">
        <f aca="false">"8032754230244"</f>
        <v>8032754230244</v>
      </c>
      <c r="V1911" s="51" t="s">
        <v>3740</v>
      </c>
      <c r="W1911" s="51" t="s">
        <v>4558</v>
      </c>
      <c r="X1911" s="51" t="s">
        <v>2359</v>
      </c>
    </row>
    <row r="1912" customFormat="false" ht="14.25" hidden="true" customHeight="false" outlineLevel="0" collapsed="false">
      <c r="A1912" s="49" t="s">
        <v>2349</v>
      </c>
      <c r="B1912" s="49" t="s">
        <v>2350</v>
      </c>
      <c r="C1912" s="49" t="s">
        <v>4559</v>
      </c>
      <c r="D1912" s="49" t="s">
        <v>2352</v>
      </c>
      <c r="E1912" s="49" t="str">
        <f aca="false">"8032754230244"</f>
        <v>8032754230244</v>
      </c>
      <c r="F1912" s="49" t="s">
        <v>3737</v>
      </c>
      <c r="G1912" s="49" t="n">
        <v>0</v>
      </c>
      <c r="H1912" s="0" t="n">
        <v>0</v>
      </c>
      <c r="M1912" s="51" t="s">
        <v>4496</v>
      </c>
      <c r="N1912" s="49" t="n">
        <v>0</v>
      </c>
      <c r="O1912" s="53" t="n">
        <v>45704.6013541667</v>
      </c>
      <c r="P1912" s="53" t="n">
        <v>45830.8157060185</v>
      </c>
      <c r="Q1912" s="53" t="n">
        <v>45704.6013541667</v>
      </c>
      <c r="R1912" s="0" t="n">
        <v>0</v>
      </c>
      <c r="S1912" s="51" t="s">
        <v>2371</v>
      </c>
      <c r="T1912" s="51" t="s">
        <v>2371</v>
      </c>
      <c r="U1912" s="0" t="str">
        <f aca="false">"8032754230244"</f>
        <v>8032754230244</v>
      </c>
      <c r="V1912" s="51" t="s">
        <v>3740</v>
      </c>
      <c r="W1912" s="51" t="s">
        <v>4560</v>
      </c>
      <c r="X1912" s="51" t="s">
        <v>2359</v>
      </c>
    </row>
    <row r="1913" customFormat="false" ht="14.25" hidden="true" customHeight="false" outlineLevel="0" collapsed="false">
      <c r="A1913" s="49" t="s">
        <v>2349</v>
      </c>
      <c r="B1913" s="49" t="s">
        <v>2350</v>
      </c>
      <c r="C1913" s="49" t="s">
        <v>4561</v>
      </c>
      <c r="D1913" s="49" t="s">
        <v>2352</v>
      </c>
      <c r="E1913" s="49" t="str">
        <f aca="false">"8032754230244"</f>
        <v>8032754230244</v>
      </c>
      <c r="F1913" s="49" t="s">
        <v>3737</v>
      </c>
      <c r="G1913" s="49" t="n">
        <v>0</v>
      </c>
      <c r="H1913" s="0" t="n">
        <v>0</v>
      </c>
      <c r="M1913" s="51" t="s">
        <v>4496</v>
      </c>
      <c r="N1913" s="49" t="n">
        <v>0</v>
      </c>
      <c r="O1913" s="53" t="n">
        <v>45704.5994328704</v>
      </c>
      <c r="P1913" s="53" t="n">
        <v>45827.8923148148</v>
      </c>
      <c r="Q1913" s="53" t="n">
        <v>45704.5994328704</v>
      </c>
      <c r="R1913" s="0" t="n">
        <v>0</v>
      </c>
      <c r="S1913" s="51" t="s">
        <v>2371</v>
      </c>
      <c r="T1913" s="51" t="s">
        <v>2371</v>
      </c>
      <c r="U1913" s="0" t="str">
        <f aca="false">"8032754230244"</f>
        <v>8032754230244</v>
      </c>
      <c r="V1913" s="51" t="s">
        <v>3740</v>
      </c>
      <c r="W1913" s="51" t="s">
        <v>4562</v>
      </c>
      <c r="X1913" s="51" t="s">
        <v>2359</v>
      </c>
    </row>
    <row r="1914" customFormat="false" ht="14.25" hidden="true" customHeight="false" outlineLevel="0" collapsed="false">
      <c r="A1914" s="49" t="s">
        <v>2349</v>
      </c>
      <c r="B1914" s="49" t="s">
        <v>2350</v>
      </c>
      <c r="C1914" s="49" t="s">
        <v>4563</v>
      </c>
      <c r="D1914" s="49" t="s">
        <v>2352</v>
      </c>
      <c r="E1914" s="49" t="str">
        <f aca="false">"8032754230244"</f>
        <v>8032754230244</v>
      </c>
      <c r="F1914" s="49" t="s">
        <v>3737</v>
      </c>
      <c r="G1914" s="49" t="n">
        <v>0</v>
      </c>
      <c r="H1914" s="0" t="n">
        <v>0</v>
      </c>
      <c r="M1914" s="51" t="s">
        <v>4496</v>
      </c>
      <c r="N1914" s="49" t="n">
        <v>0</v>
      </c>
      <c r="O1914" s="53" t="n">
        <v>45704.5988773148</v>
      </c>
      <c r="P1914" s="53" t="n">
        <v>45830.8042476852</v>
      </c>
      <c r="Q1914" s="53" t="n">
        <v>45704.5988773148</v>
      </c>
      <c r="R1914" s="0" t="n">
        <v>0</v>
      </c>
      <c r="S1914" s="51" t="s">
        <v>2371</v>
      </c>
      <c r="T1914" s="51" t="s">
        <v>2371</v>
      </c>
      <c r="U1914" s="0" t="str">
        <f aca="false">"8032754230244"</f>
        <v>8032754230244</v>
      </c>
      <c r="V1914" s="51" t="s">
        <v>3740</v>
      </c>
      <c r="W1914" s="51" t="s">
        <v>4564</v>
      </c>
      <c r="X1914" s="51" t="s">
        <v>2359</v>
      </c>
    </row>
    <row r="1915" customFormat="false" ht="14.25" hidden="true" customHeight="false" outlineLevel="0" collapsed="false">
      <c r="A1915" s="49" t="s">
        <v>2349</v>
      </c>
      <c r="B1915" s="49" t="s">
        <v>2350</v>
      </c>
      <c r="C1915" s="49" t="s">
        <v>4565</v>
      </c>
      <c r="D1915" s="49" t="s">
        <v>2352</v>
      </c>
      <c r="E1915" s="49" t="str">
        <f aca="false">"8032754230244"</f>
        <v>8032754230244</v>
      </c>
      <c r="F1915" s="49" t="s">
        <v>3737</v>
      </c>
      <c r="G1915" s="49" t="n">
        <v>0</v>
      </c>
      <c r="H1915" s="0" t="n">
        <v>0</v>
      </c>
      <c r="M1915" s="51" t="s">
        <v>4496</v>
      </c>
      <c r="N1915" s="49" t="n">
        <v>0</v>
      </c>
      <c r="O1915" s="53" t="n">
        <v>45704.5984375</v>
      </c>
      <c r="P1915" s="53" t="n">
        <v>45808.4871643519</v>
      </c>
      <c r="Q1915" s="53" t="n">
        <v>45704.5984375</v>
      </c>
      <c r="R1915" s="0" t="n">
        <v>0</v>
      </c>
      <c r="S1915" s="51" t="s">
        <v>2371</v>
      </c>
      <c r="T1915" s="51" t="s">
        <v>2371</v>
      </c>
      <c r="U1915" s="0" t="str">
        <f aca="false">"8032754230244"</f>
        <v>8032754230244</v>
      </c>
      <c r="V1915" s="51" t="s">
        <v>3740</v>
      </c>
      <c r="W1915" s="51" t="s">
        <v>4566</v>
      </c>
      <c r="X1915" s="51" t="s">
        <v>2359</v>
      </c>
    </row>
    <row r="1916" customFormat="false" ht="14.25" hidden="true" customHeight="false" outlineLevel="0" collapsed="false">
      <c r="A1916" s="49" t="s">
        <v>2349</v>
      </c>
      <c r="B1916" s="49" t="s">
        <v>2350</v>
      </c>
      <c r="C1916" s="49" t="s">
        <v>4567</v>
      </c>
      <c r="D1916" s="49" t="s">
        <v>2352</v>
      </c>
      <c r="E1916" s="49" t="str">
        <f aca="false">"8032754230244"</f>
        <v>8032754230244</v>
      </c>
      <c r="F1916" s="49" t="s">
        <v>3737</v>
      </c>
      <c r="G1916" s="49" t="n">
        <v>0</v>
      </c>
      <c r="H1916" s="0" t="n">
        <v>0</v>
      </c>
      <c r="M1916" s="51" t="s">
        <v>4496</v>
      </c>
      <c r="N1916" s="49" t="n">
        <v>0</v>
      </c>
      <c r="O1916" s="53" t="n">
        <v>45704.5971064815</v>
      </c>
      <c r="P1916" s="53" t="n">
        <v>45808.4904166667</v>
      </c>
      <c r="Q1916" s="53" t="n">
        <v>45704.5971064815</v>
      </c>
      <c r="R1916" s="0" t="n">
        <v>0</v>
      </c>
      <c r="S1916" s="51" t="s">
        <v>2371</v>
      </c>
      <c r="T1916" s="51" t="s">
        <v>2371</v>
      </c>
      <c r="U1916" s="0" t="str">
        <f aca="false">"8032754230244"</f>
        <v>8032754230244</v>
      </c>
      <c r="V1916" s="51" t="s">
        <v>3740</v>
      </c>
      <c r="W1916" s="51" t="s">
        <v>4210</v>
      </c>
      <c r="X1916" s="51" t="s">
        <v>2359</v>
      </c>
    </row>
    <row r="1917" customFormat="false" ht="14.25" hidden="true" customHeight="false" outlineLevel="0" collapsed="false">
      <c r="A1917" s="49" t="s">
        <v>2349</v>
      </c>
      <c r="B1917" s="49" t="s">
        <v>2350</v>
      </c>
      <c r="C1917" s="49" t="s">
        <v>4568</v>
      </c>
      <c r="D1917" s="49" t="s">
        <v>2352</v>
      </c>
      <c r="E1917" s="49" t="str">
        <f aca="false">"8032754230244"</f>
        <v>8032754230244</v>
      </c>
      <c r="F1917" s="49" t="s">
        <v>3737</v>
      </c>
      <c r="G1917" s="49" t="n">
        <v>0</v>
      </c>
      <c r="H1917" s="0" t="n">
        <v>0</v>
      </c>
      <c r="M1917" s="51" t="s">
        <v>4496</v>
      </c>
      <c r="N1917" s="49" t="n">
        <v>0</v>
      </c>
      <c r="O1917" s="53" t="n">
        <v>45704.5965625</v>
      </c>
      <c r="P1917" s="53" t="n">
        <v>45830.8051388889</v>
      </c>
      <c r="Q1917" s="53" t="n">
        <v>45704.5965625</v>
      </c>
      <c r="R1917" s="0" t="n">
        <v>0</v>
      </c>
      <c r="S1917" s="51" t="s">
        <v>2371</v>
      </c>
      <c r="T1917" s="51" t="s">
        <v>2371</v>
      </c>
      <c r="U1917" s="0" t="str">
        <f aca="false">"8032754230244"</f>
        <v>8032754230244</v>
      </c>
      <c r="V1917" s="51" t="s">
        <v>3740</v>
      </c>
      <c r="W1917" s="51" t="s">
        <v>4569</v>
      </c>
      <c r="X1917" s="51" t="s">
        <v>2359</v>
      </c>
    </row>
    <row r="1918" customFormat="false" ht="14.25" hidden="true" customHeight="false" outlineLevel="0" collapsed="false">
      <c r="A1918" s="49" t="s">
        <v>2349</v>
      </c>
      <c r="B1918" s="49" t="s">
        <v>2350</v>
      </c>
      <c r="C1918" s="49" t="s">
        <v>4570</v>
      </c>
      <c r="D1918" s="49" t="s">
        <v>2352</v>
      </c>
      <c r="E1918" s="49" t="str">
        <f aca="false">"8032754230244"</f>
        <v>8032754230244</v>
      </c>
      <c r="F1918" s="49" t="s">
        <v>3737</v>
      </c>
      <c r="G1918" s="49" t="n">
        <v>0</v>
      </c>
      <c r="H1918" s="0" t="n">
        <v>0</v>
      </c>
      <c r="M1918" s="51" t="s">
        <v>4496</v>
      </c>
      <c r="N1918" s="49" t="n">
        <v>0</v>
      </c>
      <c r="O1918" s="53" t="n">
        <v>45844.3853356482</v>
      </c>
      <c r="P1918" s="53" t="n">
        <v>45846.3784837963</v>
      </c>
      <c r="R1918" s="0" t="n">
        <v>0</v>
      </c>
      <c r="T1918" s="51" t="s">
        <v>2394</v>
      </c>
      <c r="U1918" s="0" t="str">
        <f aca="false">"8032754230244"</f>
        <v>8032754230244</v>
      </c>
      <c r="V1918" s="51" t="s">
        <v>3740</v>
      </c>
      <c r="W1918" s="51" t="s">
        <v>3844</v>
      </c>
      <c r="X1918" s="51" t="s">
        <v>2359</v>
      </c>
    </row>
    <row r="1919" customFormat="false" ht="14.25" hidden="true" customHeight="false" outlineLevel="0" collapsed="false">
      <c r="A1919" s="49" t="s">
        <v>2349</v>
      </c>
      <c r="B1919" s="49" t="s">
        <v>2350</v>
      </c>
      <c r="C1919" s="49" t="s">
        <v>4571</v>
      </c>
      <c r="D1919" s="49" t="s">
        <v>2352</v>
      </c>
      <c r="E1919" s="49" t="str">
        <f aca="false">"5942326400216"</f>
        <v>5942326400216</v>
      </c>
      <c r="F1919" s="49" t="s">
        <v>3777</v>
      </c>
      <c r="G1919" s="49" t="n">
        <v>0</v>
      </c>
      <c r="H1919" s="0" t="n">
        <v>0</v>
      </c>
      <c r="M1919" s="51" t="s">
        <v>4572</v>
      </c>
      <c r="N1919" s="49" t="n">
        <v>0</v>
      </c>
      <c r="O1919" s="53" t="n">
        <v>45710.5893981482</v>
      </c>
      <c r="P1919" s="53" t="n">
        <v>45712.5018055556</v>
      </c>
      <c r="Q1919" s="53" t="n">
        <v>45710.5893981482</v>
      </c>
      <c r="R1919" s="0" t="n">
        <v>0</v>
      </c>
      <c r="S1919" s="51" t="s">
        <v>2371</v>
      </c>
      <c r="T1919" s="51" t="s">
        <v>2371</v>
      </c>
      <c r="U1919" s="0" t="str">
        <f aca="false">"5942326400216"</f>
        <v>5942326400216</v>
      </c>
      <c r="V1919" s="51" t="s">
        <v>2365</v>
      </c>
      <c r="W1919" s="51" t="s">
        <v>4573</v>
      </c>
      <c r="X1919" s="51" t="s">
        <v>2359</v>
      </c>
    </row>
    <row r="1920" customFormat="false" ht="14.25" hidden="true" customHeight="false" outlineLevel="0" collapsed="false">
      <c r="A1920" s="49" t="s">
        <v>2349</v>
      </c>
      <c r="B1920" s="49" t="s">
        <v>2350</v>
      </c>
      <c r="C1920" s="49" t="s">
        <v>4574</v>
      </c>
      <c r="D1920" s="49" t="s">
        <v>2352</v>
      </c>
      <c r="E1920" s="49" t="str">
        <f aca="false">"5942326400216"</f>
        <v>5942326400216</v>
      </c>
      <c r="F1920" s="49" t="s">
        <v>3777</v>
      </c>
      <c r="G1920" s="49" t="n">
        <v>0</v>
      </c>
      <c r="H1920" s="0" t="n">
        <v>0</v>
      </c>
      <c r="M1920" s="51" t="s">
        <v>4572</v>
      </c>
      <c r="N1920" s="49" t="n">
        <v>0</v>
      </c>
      <c r="O1920" s="53" t="n">
        <v>45710.589849537</v>
      </c>
      <c r="P1920" s="53" t="n">
        <v>45712.5012152778</v>
      </c>
      <c r="Q1920" s="53" t="n">
        <v>45710.589849537</v>
      </c>
      <c r="R1920" s="0" t="n">
        <v>0</v>
      </c>
      <c r="S1920" s="51" t="s">
        <v>2371</v>
      </c>
      <c r="T1920" s="51" t="s">
        <v>2371</v>
      </c>
      <c r="U1920" s="0" t="str">
        <f aca="false">"5942326400216"</f>
        <v>5942326400216</v>
      </c>
      <c r="V1920" s="51" t="s">
        <v>2365</v>
      </c>
      <c r="W1920" s="51" t="s">
        <v>4575</v>
      </c>
      <c r="X1920" s="51" t="s">
        <v>2359</v>
      </c>
    </row>
    <row r="1921" customFormat="false" ht="14.25" hidden="true" customHeight="false" outlineLevel="0" collapsed="false">
      <c r="A1921" s="49" t="s">
        <v>2349</v>
      </c>
      <c r="B1921" s="49" t="s">
        <v>2350</v>
      </c>
      <c r="C1921" s="49" t="s">
        <v>4576</v>
      </c>
      <c r="D1921" s="49" t="s">
        <v>2352</v>
      </c>
      <c r="E1921" s="49" t="str">
        <f aca="false">"5942326400223"</f>
        <v>5942326400223</v>
      </c>
      <c r="F1921" s="49" t="s">
        <v>3798</v>
      </c>
      <c r="G1921" s="49" t="n">
        <v>0</v>
      </c>
      <c r="H1921" s="0" t="n">
        <v>0</v>
      </c>
      <c r="M1921" s="51" t="s">
        <v>4572</v>
      </c>
      <c r="N1921" s="49" t="n">
        <v>0</v>
      </c>
      <c r="O1921" s="53" t="n">
        <v>45710.5871643519</v>
      </c>
      <c r="P1921" s="53" t="n">
        <v>45759.7565509259</v>
      </c>
      <c r="Q1921" s="53" t="n">
        <v>45710.5871643519</v>
      </c>
      <c r="R1921" s="0" t="n">
        <v>0</v>
      </c>
      <c r="S1921" s="51" t="s">
        <v>2371</v>
      </c>
      <c r="T1921" s="51" t="s">
        <v>2371</v>
      </c>
      <c r="U1921" s="0" t="str">
        <f aca="false">"5942326400223"</f>
        <v>5942326400223</v>
      </c>
      <c r="V1921" s="51" t="s">
        <v>2365</v>
      </c>
      <c r="W1921" s="51" t="s">
        <v>4577</v>
      </c>
      <c r="X1921" s="51" t="s">
        <v>2359</v>
      </c>
    </row>
    <row r="1922" customFormat="false" ht="17.55" hidden="true" customHeight="false" outlineLevel="0" collapsed="false">
      <c r="A1922" s="49" t="s">
        <v>2349</v>
      </c>
      <c r="B1922" s="49" t="s">
        <v>2350</v>
      </c>
      <c r="C1922" s="49" t="s">
        <v>4578</v>
      </c>
      <c r="D1922" s="49" t="s">
        <v>2352</v>
      </c>
      <c r="E1922" s="49" t="str">
        <f aca="false">"6281024902554"</f>
        <v>6281024902554</v>
      </c>
      <c r="F1922" s="49" t="s">
        <v>4579</v>
      </c>
      <c r="G1922" s="49" t="n">
        <v>0</v>
      </c>
      <c r="H1922" s="0" t="n">
        <v>0</v>
      </c>
      <c r="M1922" s="51" t="s">
        <v>4580</v>
      </c>
      <c r="N1922" s="49" t="n">
        <v>0</v>
      </c>
      <c r="O1922" s="53" t="n">
        <v>45704.6045833333</v>
      </c>
      <c r="P1922" s="53" t="n">
        <v>45743.307962963</v>
      </c>
      <c r="Q1922" s="53" t="n">
        <v>45704.6045833333</v>
      </c>
      <c r="R1922" s="0" t="n">
        <v>0</v>
      </c>
      <c r="S1922" s="51" t="s">
        <v>2356</v>
      </c>
      <c r="T1922" s="51" t="s">
        <v>2356</v>
      </c>
      <c r="U1922" s="0" t="str">
        <f aca="false">"6281024902554"</f>
        <v>6281024902554</v>
      </c>
      <c r="V1922" s="51" t="s">
        <v>2365</v>
      </c>
      <c r="W1922" s="51" t="s">
        <v>4581</v>
      </c>
      <c r="X1922" s="51" t="s">
        <v>2359</v>
      </c>
    </row>
    <row r="1923" customFormat="false" ht="17.55" hidden="true" customHeight="false" outlineLevel="0" collapsed="false">
      <c r="A1923" s="49" t="s">
        <v>2349</v>
      </c>
      <c r="B1923" s="49" t="s">
        <v>2350</v>
      </c>
      <c r="C1923" s="49" t="s">
        <v>4582</v>
      </c>
      <c r="D1923" s="49" t="s">
        <v>2352</v>
      </c>
      <c r="E1923" s="49" t="str">
        <f aca="false">"6281024902554"</f>
        <v>6281024902554</v>
      </c>
      <c r="F1923" s="49" t="s">
        <v>4579</v>
      </c>
      <c r="G1923" s="49" t="n">
        <v>0</v>
      </c>
      <c r="H1923" s="0" t="n">
        <v>0</v>
      </c>
      <c r="M1923" s="51" t="s">
        <v>4580</v>
      </c>
      <c r="N1923" s="49" t="n">
        <v>0</v>
      </c>
      <c r="O1923" s="53" t="n">
        <v>45704.6053703704</v>
      </c>
      <c r="P1923" s="53" t="n">
        <v>45713.5872222222</v>
      </c>
      <c r="Q1923" s="53" t="n">
        <v>45704.6053703704</v>
      </c>
      <c r="R1923" s="0" t="n">
        <v>0</v>
      </c>
      <c r="S1923" s="51" t="s">
        <v>2356</v>
      </c>
      <c r="T1923" s="51" t="s">
        <v>2356</v>
      </c>
      <c r="U1923" s="0" t="str">
        <f aca="false">"6281024902554"</f>
        <v>6281024902554</v>
      </c>
      <c r="V1923" s="51" t="s">
        <v>2365</v>
      </c>
      <c r="W1923" s="51" t="s">
        <v>4583</v>
      </c>
      <c r="X1923" s="51" t="s">
        <v>2359</v>
      </c>
    </row>
    <row r="1924" customFormat="false" ht="14.25" hidden="true" customHeight="false" outlineLevel="0" collapsed="false">
      <c r="A1924" s="49" t="s">
        <v>2349</v>
      </c>
      <c r="B1924" s="49" t="s">
        <v>2350</v>
      </c>
      <c r="C1924" s="49" t="s">
        <v>4584</v>
      </c>
      <c r="D1924" s="49" t="s">
        <v>2352</v>
      </c>
      <c r="E1924" s="49" t="s">
        <v>4351</v>
      </c>
      <c r="F1924" s="49" t="s">
        <v>4352</v>
      </c>
      <c r="G1924" s="49" t="n">
        <v>0</v>
      </c>
      <c r="H1924" s="0" t="n">
        <v>0</v>
      </c>
      <c r="M1924" s="51" t="s">
        <v>4585</v>
      </c>
      <c r="N1924" s="49" t="n">
        <v>0</v>
      </c>
      <c r="O1924" s="53" t="n">
        <v>45715.5508217593</v>
      </c>
      <c r="P1924" s="53" t="n">
        <v>45718.7034259259</v>
      </c>
      <c r="Q1924" s="53" t="n">
        <v>45715.5508217593</v>
      </c>
      <c r="R1924" s="0" t="n">
        <v>0</v>
      </c>
      <c r="S1924" s="51" t="s">
        <v>2356</v>
      </c>
      <c r="T1924" s="51" t="s">
        <v>2356</v>
      </c>
      <c r="U1924" s="51" t="s">
        <v>4351</v>
      </c>
      <c r="V1924" s="51" t="s">
        <v>2365</v>
      </c>
      <c r="W1924" s="51" t="s">
        <v>4586</v>
      </c>
      <c r="X1924" s="51" t="s">
        <v>2359</v>
      </c>
    </row>
    <row r="1925" customFormat="false" ht="14.25" hidden="true" customHeight="false" outlineLevel="0" collapsed="false">
      <c r="A1925" s="49" t="s">
        <v>2349</v>
      </c>
      <c r="B1925" s="49" t="s">
        <v>2350</v>
      </c>
      <c r="C1925" s="49" t="s">
        <v>4587</v>
      </c>
      <c r="D1925" s="49" t="s">
        <v>2352</v>
      </c>
      <c r="E1925" s="49" t="s">
        <v>4351</v>
      </c>
      <c r="F1925" s="49" t="s">
        <v>4352</v>
      </c>
      <c r="G1925" s="49" t="n">
        <v>0</v>
      </c>
      <c r="H1925" s="0" t="n">
        <v>0</v>
      </c>
      <c r="M1925" s="51" t="s">
        <v>4585</v>
      </c>
      <c r="N1925" s="49" t="n">
        <v>0</v>
      </c>
      <c r="O1925" s="53" t="n">
        <v>45715.550787037</v>
      </c>
      <c r="P1925" s="53" t="n">
        <v>45718.7034953704</v>
      </c>
      <c r="Q1925" s="53" t="n">
        <v>45715.550787037</v>
      </c>
      <c r="R1925" s="0" t="n">
        <v>0</v>
      </c>
      <c r="S1925" s="51" t="s">
        <v>2356</v>
      </c>
      <c r="T1925" s="51" t="s">
        <v>2356</v>
      </c>
      <c r="U1925" s="51" t="s">
        <v>4351</v>
      </c>
      <c r="V1925" s="51" t="s">
        <v>2365</v>
      </c>
      <c r="W1925" s="51" t="s">
        <v>4588</v>
      </c>
      <c r="X1925" s="51" t="s">
        <v>2359</v>
      </c>
    </row>
    <row r="1926" customFormat="false" ht="14.25" hidden="true" customHeight="false" outlineLevel="0" collapsed="false">
      <c r="A1926" s="49" t="s">
        <v>2349</v>
      </c>
      <c r="B1926" s="49" t="s">
        <v>2350</v>
      </c>
      <c r="C1926" s="49" t="s">
        <v>4589</v>
      </c>
      <c r="D1926" s="49" t="s">
        <v>2352</v>
      </c>
      <c r="E1926" s="49" t="s">
        <v>4351</v>
      </c>
      <c r="F1926" s="49" t="s">
        <v>4352</v>
      </c>
      <c r="G1926" s="49" t="n">
        <v>0</v>
      </c>
      <c r="H1926" s="0" t="n">
        <v>0</v>
      </c>
      <c r="M1926" s="51" t="s">
        <v>4585</v>
      </c>
      <c r="N1926" s="49" t="n">
        <v>0</v>
      </c>
      <c r="O1926" s="53" t="n">
        <v>45715.5503935185</v>
      </c>
      <c r="P1926" s="53" t="n">
        <v>45729.4462268519</v>
      </c>
      <c r="Q1926" s="53" t="n">
        <v>45715.5503935185</v>
      </c>
      <c r="R1926" s="0" t="n">
        <v>0</v>
      </c>
      <c r="S1926" s="51" t="s">
        <v>2356</v>
      </c>
      <c r="T1926" s="51" t="s">
        <v>2356</v>
      </c>
      <c r="U1926" s="51" t="s">
        <v>4351</v>
      </c>
      <c r="V1926" s="51" t="s">
        <v>2365</v>
      </c>
      <c r="W1926" s="51" t="s">
        <v>4590</v>
      </c>
      <c r="X1926" s="51" t="s">
        <v>2359</v>
      </c>
    </row>
    <row r="1927" customFormat="false" ht="14.25" hidden="true" customHeight="false" outlineLevel="0" collapsed="false">
      <c r="A1927" s="49" t="s">
        <v>2349</v>
      </c>
      <c r="B1927" s="49" t="s">
        <v>2350</v>
      </c>
      <c r="C1927" s="49" t="s">
        <v>4591</v>
      </c>
      <c r="D1927" s="49" t="s">
        <v>2352</v>
      </c>
      <c r="E1927" s="49" t="s">
        <v>4351</v>
      </c>
      <c r="F1927" s="49" t="s">
        <v>4352</v>
      </c>
      <c r="G1927" s="49" t="n">
        <v>0</v>
      </c>
      <c r="H1927" s="0" t="n">
        <v>0</v>
      </c>
      <c r="M1927" s="51" t="s">
        <v>4585</v>
      </c>
      <c r="N1927" s="49" t="n">
        <v>0</v>
      </c>
      <c r="O1927" s="53" t="n">
        <v>45715.5503587963</v>
      </c>
      <c r="P1927" s="53" t="n">
        <v>45718.703599537</v>
      </c>
      <c r="Q1927" s="53" t="n">
        <v>45715.5503587963</v>
      </c>
      <c r="R1927" s="0" t="n">
        <v>0</v>
      </c>
      <c r="S1927" s="51" t="s">
        <v>2356</v>
      </c>
      <c r="T1927" s="51" t="s">
        <v>2356</v>
      </c>
      <c r="U1927" s="51" t="s">
        <v>4351</v>
      </c>
      <c r="V1927" s="51" t="s">
        <v>2365</v>
      </c>
      <c r="W1927" s="51" t="s">
        <v>4592</v>
      </c>
      <c r="X1927" s="51" t="s">
        <v>2359</v>
      </c>
    </row>
    <row r="1928" customFormat="false" ht="14.25" hidden="true" customHeight="false" outlineLevel="0" collapsed="false">
      <c r="A1928" s="49" t="s">
        <v>2349</v>
      </c>
      <c r="B1928" s="49" t="s">
        <v>2350</v>
      </c>
      <c r="C1928" s="49" t="s">
        <v>4593</v>
      </c>
      <c r="D1928" s="49" t="s">
        <v>2352</v>
      </c>
      <c r="E1928" s="49" t="s">
        <v>4351</v>
      </c>
      <c r="F1928" s="49" t="s">
        <v>4352</v>
      </c>
      <c r="G1928" s="49" t="n">
        <v>0</v>
      </c>
      <c r="H1928" s="0" t="n">
        <v>0</v>
      </c>
      <c r="M1928" s="51" t="s">
        <v>4585</v>
      </c>
      <c r="N1928" s="49" t="n">
        <v>0</v>
      </c>
      <c r="O1928" s="53" t="n">
        <v>45715.5503240741</v>
      </c>
      <c r="P1928" s="53" t="n">
        <v>45720.5488310185</v>
      </c>
      <c r="Q1928" s="53" t="n">
        <v>45715.5503240741</v>
      </c>
      <c r="R1928" s="0" t="n">
        <v>0</v>
      </c>
      <c r="S1928" s="51" t="s">
        <v>2356</v>
      </c>
      <c r="T1928" s="51" t="s">
        <v>2356</v>
      </c>
      <c r="U1928" s="51" t="s">
        <v>4351</v>
      </c>
      <c r="V1928" s="51" t="s">
        <v>2365</v>
      </c>
      <c r="W1928" s="51" t="s">
        <v>4594</v>
      </c>
      <c r="X1928" s="51" t="s">
        <v>2359</v>
      </c>
    </row>
    <row r="1929" customFormat="false" ht="14.25" hidden="true" customHeight="false" outlineLevel="0" collapsed="false">
      <c r="A1929" s="49" t="s">
        <v>2349</v>
      </c>
      <c r="B1929" s="49" t="s">
        <v>2350</v>
      </c>
      <c r="C1929" s="49" t="s">
        <v>4595</v>
      </c>
      <c r="D1929" s="49" t="s">
        <v>2352</v>
      </c>
      <c r="E1929" s="49" t="s">
        <v>4351</v>
      </c>
      <c r="F1929" s="49" t="s">
        <v>4352</v>
      </c>
      <c r="G1929" s="49" t="n">
        <v>0</v>
      </c>
      <c r="H1929" s="0" t="n">
        <v>0</v>
      </c>
      <c r="M1929" s="51" t="s">
        <v>4585</v>
      </c>
      <c r="N1929" s="49" t="n">
        <v>0</v>
      </c>
      <c r="O1929" s="53" t="n">
        <v>45715.5502430556</v>
      </c>
      <c r="P1929" s="53" t="n">
        <v>45720.5489814815</v>
      </c>
      <c r="Q1929" s="53" t="n">
        <v>45715.5502430556</v>
      </c>
      <c r="R1929" s="0" t="n">
        <v>0</v>
      </c>
      <c r="S1929" s="51" t="s">
        <v>2356</v>
      </c>
      <c r="T1929" s="51" t="s">
        <v>2356</v>
      </c>
      <c r="U1929" s="51" t="s">
        <v>4351</v>
      </c>
      <c r="V1929" s="51" t="s">
        <v>2365</v>
      </c>
      <c r="W1929" s="51" t="s">
        <v>4596</v>
      </c>
      <c r="X1929" s="51" t="s">
        <v>2359</v>
      </c>
    </row>
    <row r="1930" customFormat="false" ht="14.25" hidden="true" customHeight="false" outlineLevel="0" collapsed="false">
      <c r="A1930" s="49" t="s">
        <v>2349</v>
      </c>
      <c r="B1930" s="49" t="s">
        <v>2350</v>
      </c>
      <c r="C1930" s="49" t="s">
        <v>4597</v>
      </c>
      <c r="D1930" s="49" t="s">
        <v>2352</v>
      </c>
      <c r="E1930" s="49" t="s">
        <v>4351</v>
      </c>
      <c r="F1930" s="49" t="s">
        <v>4352</v>
      </c>
      <c r="G1930" s="49" t="n">
        <v>0</v>
      </c>
      <c r="H1930" s="0" t="n">
        <v>0</v>
      </c>
      <c r="M1930" s="51" t="s">
        <v>4585</v>
      </c>
      <c r="N1930" s="49" t="n">
        <v>0</v>
      </c>
      <c r="O1930" s="53" t="n">
        <v>45715.5498148148</v>
      </c>
      <c r="P1930" s="53" t="n">
        <v>45724.4251851852</v>
      </c>
      <c r="Q1930" s="53" t="n">
        <v>45715.5498148148</v>
      </c>
      <c r="R1930" s="0" t="n">
        <v>0</v>
      </c>
      <c r="S1930" s="51" t="s">
        <v>2356</v>
      </c>
      <c r="T1930" s="51" t="s">
        <v>2356</v>
      </c>
      <c r="U1930" s="51" t="s">
        <v>4351</v>
      </c>
      <c r="V1930" s="51" t="s">
        <v>2365</v>
      </c>
      <c r="W1930" s="51" t="s">
        <v>4598</v>
      </c>
      <c r="X1930" s="51" t="s">
        <v>2359</v>
      </c>
    </row>
    <row r="1931" customFormat="false" ht="14.25" hidden="true" customHeight="false" outlineLevel="0" collapsed="false">
      <c r="A1931" s="49" t="s">
        <v>2349</v>
      </c>
      <c r="B1931" s="49" t="s">
        <v>2350</v>
      </c>
      <c r="C1931" s="49" t="s">
        <v>4599</v>
      </c>
      <c r="D1931" s="49" t="s">
        <v>2352</v>
      </c>
      <c r="E1931" s="49" t="s">
        <v>4351</v>
      </c>
      <c r="F1931" s="49" t="s">
        <v>4352</v>
      </c>
      <c r="G1931" s="49" t="n">
        <v>0</v>
      </c>
      <c r="H1931" s="0" t="n">
        <v>0</v>
      </c>
      <c r="M1931" s="51" t="s">
        <v>4585</v>
      </c>
      <c r="N1931" s="49" t="n">
        <v>0</v>
      </c>
      <c r="O1931" s="53" t="n">
        <v>45715.5499305556</v>
      </c>
      <c r="P1931" s="53" t="n">
        <v>45726.451400463</v>
      </c>
      <c r="Q1931" s="53" t="n">
        <v>45715.5499305556</v>
      </c>
      <c r="R1931" s="0" t="n">
        <v>0</v>
      </c>
      <c r="S1931" s="51" t="s">
        <v>2356</v>
      </c>
      <c r="T1931" s="51" t="s">
        <v>2356</v>
      </c>
      <c r="U1931" s="51" t="s">
        <v>4351</v>
      </c>
      <c r="V1931" s="51" t="s">
        <v>2365</v>
      </c>
      <c r="W1931" s="51" t="s">
        <v>4365</v>
      </c>
      <c r="X1931" s="51" t="s">
        <v>2359</v>
      </c>
    </row>
    <row r="1932" customFormat="false" ht="14.25" hidden="true" customHeight="false" outlineLevel="0" collapsed="false">
      <c r="A1932" s="49" t="s">
        <v>2349</v>
      </c>
      <c r="B1932" s="49" t="s">
        <v>2350</v>
      </c>
      <c r="C1932" s="49" t="s">
        <v>4600</v>
      </c>
      <c r="D1932" s="49" t="s">
        <v>2352</v>
      </c>
      <c r="E1932" s="49" t="s">
        <v>4351</v>
      </c>
      <c r="F1932" s="49" t="s">
        <v>4352</v>
      </c>
      <c r="G1932" s="49" t="n">
        <v>0</v>
      </c>
      <c r="H1932" s="0" t="n">
        <v>0</v>
      </c>
      <c r="M1932" s="51" t="s">
        <v>4585</v>
      </c>
      <c r="N1932" s="49" t="n">
        <v>0</v>
      </c>
      <c r="O1932" s="53" t="n">
        <v>45715.5497800926</v>
      </c>
      <c r="P1932" s="53" t="n">
        <v>45726.451099537</v>
      </c>
      <c r="Q1932" s="53" t="n">
        <v>45715.5497800926</v>
      </c>
      <c r="R1932" s="0" t="n">
        <v>0</v>
      </c>
      <c r="S1932" s="51" t="s">
        <v>2356</v>
      </c>
      <c r="T1932" s="51" t="s">
        <v>2356</v>
      </c>
      <c r="U1932" s="51" t="s">
        <v>4351</v>
      </c>
      <c r="V1932" s="51" t="s">
        <v>2365</v>
      </c>
      <c r="W1932" s="51" t="s">
        <v>4601</v>
      </c>
      <c r="X1932" s="51" t="s">
        <v>2359</v>
      </c>
    </row>
    <row r="1933" customFormat="false" ht="14.25" hidden="true" customHeight="false" outlineLevel="0" collapsed="false">
      <c r="A1933" s="49" t="s">
        <v>2349</v>
      </c>
      <c r="B1933" s="49" t="s">
        <v>2350</v>
      </c>
      <c r="C1933" s="49" t="s">
        <v>4602</v>
      </c>
      <c r="D1933" s="49" t="s">
        <v>2352</v>
      </c>
      <c r="E1933" s="49" t="s">
        <v>4351</v>
      </c>
      <c r="F1933" s="49" t="s">
        <v>4352</v>
      </c>
      <c r="G1933" s="49" t="n">
        <v>0</v>
      </c>
      <c r="H1933" s="0" t="n">
        <v>0</v>
      </c>
      <c r="M1933" s="51" t="s">
        <v>4585</v>
      </c>
      <c r="N1933" s="49" t="n">
        <v>0</v>
      </c>
      <c r="O1933" s="53" t="n">
        <v>45715.5497453704</v>
      </c>
      <c r="P1933" s="53" t="n">
        <v>45724.4253703704</v>
      </c>
      <c r="Q1933" s="53" t="n">
        <v>45715.5497453704</v>
      </c>
      <c r="R1933" s="0" t="n">
        <v>0</v>
      </c>
      <c r="S1933" s="51" t="s">
        <v>2356</v>
      </c>
      <c r="T1933" s="51" t="s">
        <v>2356</v>
      </c>
      <c r="U1933" s="51" t="s">
        <v>4351</v>
      </c>
      <c r="V1933" s="51" t="s">
        <v>2365</v>
      </c>
      <c r="W1933" s="51" t="s">
        <v>4367</v>
      </c>
      <c r="X1933" s="51" t="s">
        <v>2359</v>
      </c>
    </row>
    <row r="1934" customFormat="false" ht="14.25" hidden="true" customHeight="false" outlineLevel="0" collapsed="false">
      <c r="A1934" s="49" t="s">
        <v>2349</v>
      </c>
      <c r="B1934" s="49" t="s">
        <v>2350</v>
      </c>
      <c r="C1934" s="49" t="s">
        <v>4603</v>
      </c>
      <c r="D1934" s="49" t="s">
        <v>2352</v>
      </c>
      <c r="E1934" s="49" t="s">
        <v>4351</v>
      </c>
      <c r="F1934" s="49" t="s">
        <v>4352</v>
      </c>
      <c r="G1934" s="49" t="n">
        <v>0</v>
      </c>
      <c r="H1934" s="0" t="n">
        <v>0</v>
      </c>
      <c r="M1934" s="51" t="s">
        <v>4585</v>
      </c>
      <c r="N1934" s="49" t="n">
        <v>0</v>
      </c>
      <c r="O1934" s="53" t="n">
        <v>45715.5494791667</v>
      </c>
      <c r="P1934" s="53" t="n">
        <v>45724.4252893519</v>
      </c>
      <c r="Q1934" s="53" t="n">
        <v>45715.5494791667</v>
      </c>
      <c r="R1934" s="0" t="n">
        <v>0</v>
      </c>
      <c r="S1934" s="51" t="s">
        <v>2356</v>
      </c>
      <c r="T1934" s="51" t="s">
        <v>2356</v>
      </c>
      <c r="U1934" s="51" t="s">
        <v>4351</v>
      </c>
      <c r="V1934" s="51" t="s">
        <v>2365</v>
      </c>
      <c r="W1934" s="51" t="s">
        <v>4604</v>
      </c>
      <c r="X1934" s="51" t="s">
        <v>2359</v>
      </c>
    </row>
    <row r="1935" customFormat="false" ht="14.25" hidden="true" customHeight="false" outlineLevel="0" collapsed="false">
      <c r="A1935" s="49" t="s">
        <v>2349</v>
      </c>
      <c r="B1935" s="49" t="s">
        <v>2350</v>
      </c>
      <c r="C1935" s="49" t="s">
        <v>4605</v>
      </c>
      <c r="D1935" s="49" t="s">
        <v>2352</v>
      </c>
      <c r="E1935" s="49" t="s">
        <v>4351</v>
      </c>
      <c r="F1935" s="49" t="s">
        <v>4352</v>
      </c>
      <c r="G1935" s="49" t="n">
        <v>0</v>
      </c>
      <c r="H1935" s="0" t="n">
        <v>0</v>
      </c>
      <c r="M1935" s="51" t="s">
        <v>4585</v>
      </c>
      <c r="N1935" s="49" t="n">
        <v>0</v>
      </c>
      <c r="O1935" s="53" t="n">
        <v>45715.5487037037</v>
      </c>
      <c r="P1935" s="53" t="n">
        <v>45718.7033564815</v>
      </c>
      <c r="Q1935" s="53" t="n">
        <v>45715.5487037037</v>
      </c>
      <c r="R1935" s="0" t="n">
        <v>0</v>
      </c>
      <c r="S1935" s="51" t="s">
        <v>2356</v>
      </c>
      <c r="T1935" s="51" t="s">
        <v>2356</v>
      </c>
      <c r="U1935" s="51" t="s">
        <v>4351</v>
      </c>
      <c r="V1935" s="51" t="s">
        <v>2365</v>
      </c>
      <c r="W1935" s="51" t="s">
        <v>4130</v>
      </c>
      <c r="X1935" s="51" t="s">
        <v>2359</v>
      </c>
    </row>
    <row r="1936" customFormat="false" ht="14.25" hidden="true" customHeight="false" outlineLevel="0" collapsed="false">
      <c r="A1936" s="49" t="s">
        <v>2349</v>
      </c>
      <c r="B1936" s="49" t="s">
        <v>2350</v>
      </c>
      <c r="C1936" s="49" t="s">
        <v>4606</v>
      </c>
      <c r="D1936" s="49" t="s">
        <v>2352</v>
      </c>
      <c r="E1936" s="49" t="s">
        <v>4351</v>
      </c>
      <c r="F1936" s="49" t="s">
        <v>4352</v>
      </c>
      <c r="G1936" s="49" t="n">
        <v>0</v>
      </c>
      <c r="H1936" s="0" t="n">
        <v>0</v>
      </c>
      <c r="M1936" s="51" t="s">
        <v>4585</v>
      </c>
      <c r="N1936" s="49" t="n">
        <v>0</v>
      </c>
      <c r="O1936" s="53" t="n">
        <v>45715.5487615741</v>
      </c>
      <c r="P1936" s="53" t="n">
        <v>45719.5901967593</v>
      </c>
      <c r="Q1936" s="53" t="n">
        <v>45715.5487615741</v>
      </c>
      <c r="R1936" s="0" t="n">
        <v>0</v>
      </c>
      <c r="S1936" s="51" t="s">
        <v>2356</v>
      </c>
      <c r="T1936" s="51" t="s">
        <v>2356</v>
      </c>
      <c r="U1936" s="51" t="s">
        <v>4351</v>
      </c>
      <c r="V1936" s="51" t="s">
        <v>2365</v>
      </c>
      <c r="W1936" s="51" t="s">
        <v>4607</v>
      </c>
      <c r="X1936" s="51" t="s">
        <v>2359</v>
      </c>
    </row>
    <row r="1937" customFormat="false" ht="14.25" hidden="true" customHeight="false" outlineLevel="0" collapsed="false">
      <c r="A1937" s="49" t="s">
        <v>2349</v>
      </c>
      <c r="B1937" s="49" t="s">
        <v>2350</v>
      </c>
      <c r="C1937" s="49" t="s">
        <v>4608</v>
      </c>
      <c r="D1937" s="49" t="s">
        <v>2352</v>
      </c>
      <c r="E1937" s="49" t="s">
        <v>4351</v>
      </c>
      <c r="F1937" s="49" t="s">
        <v>4352</v>
      </c>
      <c r="G1937" s="49" t="n">
        <v>0</v>
      </c>
      <c r="H1937" s="0" t="n">
        <v>0</v>
      </c>
      <c r="M1937" s="51" t="s">
        <v>4585</v>
      </c>
      <c r="N1937" s="49" t="n">
        <v>0</v>
      </c>
      <c r="O1937" s="53" t="n">
        <v>45715.5487847222</v>
      </c>
      <c r="P1937" s="53" t="n">
        <v>45718.7037037037</v>
      </c>
      <c r="Q1937" s="53" t="n">
        <v>45715.5487847222</v>
      </c>
      <c r="R1937" s="0" t="n">
        <v>0</v>
      </c>
      <c r="S1937" s="51" t="s">
        <v>2356</v>
      </c>
      <c r="T1937" s="51" t="s">
        <v>2356</v>
      </c>
      <c r="U1937" s="51" t="s">
        <v>4351</v>
      </c>
      <c r="V1937" s="51" t="s">
        <v>2365</v>
      </c>
      <c r="W1937" s="51" t="s">
        <v>4609</v>
      </c>
      <c r="X1937" s="51" t="s">
        <v>2359</v>
      </c>
    </row>
    <row r="1938" customFormat="false" ht="14.25" hidden="true" customHeight="false" outlineLevel="0" collapsed="false">
      <c r="A1938" s="49" t="s">
        <v>2349</v>
      </c>
      <c r="B1938" s="49" t="s">
        <v>2350</v>
      </c>
      <c r="C1938" s="49" t="s">
        <v>4610</v>
      </c>
      <c r="D1938" s="49" t="s">
        <v>2352</v>
      </c>
      <c r="E1938" s="49" t="s">
        <v>4351</v>
      </c>
      <c r="F1938" s="49" t="s">
        <v>4352</v>
      </c>
      <c r="G1938" s="49" t="n">
        <v>0</v>
      </c>
      <c r="H1938" s="0" t="n">
        <v>0</v>
      </c>
      <c r="M1938" s="51" t="s">
        <v>4585</v>
      </c>
      <c r="N1938" s="49" t="n">
        <v>0</v>
      </c>
      <c r="O1938" s="53" t="n">
        <v>45715.5489236111</v>
      </c>
      <c r="P1938" s="53" t="n">
        <v>45718.5719560185</v>
      </c>
      <c r="Q1938" s="53" t="n">
        <v>45715.5489236111</v>
      </c>
      <c r="R1938" s="0" t="n">
        <v>0</v>
      </c>
      <c r="S1938" s="51" t="s">
        <v>2356</v>
      </c>
      <c r="T1938" s="51" t="s">
        <v>2356</v>
      </c>
      <c r="U1938" s="51" t="s">
        <v>4351</v>
      </c>
      <c r="V1938" s="51" t="s">
        <v>2365</v>
      </c>
      <c r="W1938" s="51" t="s">
        <v>4611</v>
      </c>
      <c r="X1938" s="51" t="s">
        <v>2359</v>
      </c>
    </row>
    <row r="1939" customFormat="false" ht="14.25" hidden="true" customHeight="false" outlineLevel="0" collapsed="false">
      <c r="A1939" s="49" t="s">
        <v>2349</v>
      </c>
      <c r="B1939" s="49" t="s">
        <v>2350</v>
      </c>
      <c r="C1939" s="49" t="s">
        <v>4612</v>
      </c>
      <c r="D1939" s="49" t="s">
        <v>2352</v>
      </c>
      <c r="E1939" s="49" t="s">
        <v>4351</v>
      </c>
      <c r="F1939" s="49" t="s">
        <v>4352</v>
      </c>
      <c r="G1939" s="49" t="n">
        <v>0</v>
      </c>
      <c r="H1939" s="0" t="n">
        <v>0</v>
      </c>
      <c r="M1939" s="51" t="s">
        <v>4585</v>
      </c>
      <c r="N1939" s="49" t="n">
        <v>0</v>
      </c>
      <c r="O1939" s="53" t="n">
        <v>45715.5489583333</v>
      </c>
      <c r="P1939" s="53" t="n">
        <v>45717.4635416667</v>
      </c>
      <c r="Q1939" s="53" t="n">
        <v>45715.5489583333</v>
      </c>
      <c r="R1939" s="0" t="n">
        <v>0</v>
      </c>
      <c r="S1939" s="51" t="s">
        <v>2356</v>
      </c>
      <c r="T1939" s="51" t="s">
        <v>2356</v>
      </c>
      <c r="U1939" s="51" t="s">
        <v>4351</v>
      </c>
      <c r="V1939" s="51" t="s">
        <v>2365</v>
      </c>
      <c r="W1939" s="51" t="s">
        <v>4126</v>
      </c>
      <c r="X1939" s="51" t="s">
        <v>2359</v>
      </c>
    </row>
    <row r="1940" customFormat="false" ht="14.25" hidden="true" customHeight="false" outlineLevel="0" collapsed="false">
      <c r="A1940" s="49" t="s">
        <v>2349</v>
      </c>
      <c r="B1940" s="49" t="s">
        <v>2350</v>
      </c>
      <c r="C1940" s="49" t="s">
        <v>4613</v>
      </c>
      <c r="D1940" s="49" t="s">
        <v>2352</v>
      </c>
      <c r="E1940" s="49" t="s">
        <v>4351</v>
      </c>
      <c r="F1940" s="49" t="s">
        <v>4352</v>
      </c>
      <c r="G1940" s="49" t="n">
        <v>0</v>
      </c>
      <c r="H1940" s="0" t="n">
        <v>0</v>
      </c>
      <c r="M1940" s="51" t="s">
        <v>4585</v>
      </c>
      <c r="N1940" s="49" t="n">
        <v>0</v>
      </c>
      <c r="O1940" s="53" t="n">
        <v>45715.5489814815</v>
      </c>
      <c r="P1940" s="53" t="n">
        <v>45717.4634606482</v>
      </c>
      <c r="Q1940" s="53" t="n">
        <v>45715.5489814815</v>
      </c>
      <c r="R1940" s="0" t="n">
        <v>0</v>
      </c>
      <c r="S1940" s="51" t="s">
        <v>2356</v>
      </c>
      <c r="T1940" s="51" t="s">
        <v>2356</v>
      </c>
      <c r="U1940" s="51" t="s">
        <v>4351</v>
      </c>
      <c r="V1940" s="51" t="s">
        <v>2365</v>
      </c>
      <c r="W1940" s="51" t="s">
        <v>4614</v>
      </c>
      <c r="X1940" s="51" t="s">
        <v>2359</v>
      </c>
    </row>
    <row r="1941" customFormat="false" ht="14.25" hidden="true" customHeight="false" outlineLevel="0" collapsed="false">
      <c r="A1941" s="49" t="s">
        <v>2349</v>
      </c>
      <c r="B1941" s="49" t="s">
        <v>2350</v>
      </c>
      <c r="C1941" s="49" t="s">
        <v>4615</v>
      </c>
      <c r="D1941" s="49" t="s">
        <v>2352</v>
      </c>
      <c r="E1941" s="49" t="str">
        <f aca="false">"9123275"</f>
        <v>9123275</v>
      </c>
      <c r="F1941" s="49" t="s">
        <v>4616</v>
      </c>
      <c r="G1941" s="49" t="n">
        <v>0</v>
      </c>
      <c r="H1941" s="0" t="n">
        <v>0</v>
      </c>
      <c r="M1941" s="51" t="s">
        <v>4617</v>
      </c>
      <c r="N1941" s="49" t="n">
        <v>0</v>
      </c>
      <c r="O1941" s="53" t="n">
        <v>45714.6233333333</v>
      </c>
      <c r="P1941" s="53" t="n">
        <v>45716.7237152778</v>
      </c>
      <c r="Q1941" s="53" t="n">
        <v>45714.6233333333</v>
      </c>
      <c r="R1941" s="0" t="n">
        <v>0</v>
      </c>
      <c r="S1941" s="51" t="s">
        <v>2371</v>
      </c>
      <c r="T1941" s="51" t="s">
        <v>2371</v>
      </c>
      <c r="U1941" s="0" t="str">
        <f aca="false">"9123275"</f>
        <v>9123275</v>
      </c>
      <c r="V1941" s="51" t="s">
        <v>2365</v>
      </c>
      <c r="W1941" s="51" t="s">
        <v>4618</v>
      </c>
      <c r="X1941" s="51" t="s">
        <v>2359</v>
      </c>
    </row>
    <row r="1942" customFormat="false" ht="14.25" hidden="true" customHeight="false" outlineLevel="0" collapsed="false">
      <c r="A1942" s="49" t="s">
        <v>2349</v>
      </c>
      <c r="B1942" s="49" t="s">
        <v>2350</v>
      </c>
      <c r="C1942" s="49" t="s">
        <v>4619</v>
      </c>
      <c r="D1942" s="49" t="s">
        <v>2352</v>
      </c>
      <c r="E1942" s="49" t="str">
        <f aca="false">"12394374"</f>
        <v>12394374</v>
      </c>
      <c r="F1942" s="49" t="s">
        <v>4620</v>
      </c>
      <c r="G1942" s="49" t="n">
        <v>0</v>
      </c>
      <c r="H1942" s="0" t="n">
        <v>0</v>
      </c>
      <c r="M1942" s="51" t="s">
        <v>4617</v>
      </c>
      <c r="N1942" s="49" t="n">
        <v>0</v>
      </c>
      <c r="O1942" s="53" t="n">
        <v>45714.6236226852</v>
      </c>
      <c r="P1942" s="53" t="n">
        <v>45739.559837963</v>
      </c>
      <c r="Q1942" s="53" t="n">
        <v>45714.6236226852</v>
      </c>
      <c r="R1942" s="0" t="n">
        <v>0</v>
      </c>
      <c r="S1942" s="51" t="s">
        <v>2371</v>
      </c>
      <c r="T1942" s="51" t="s">
        <v>2371</v>
      </c>
      <c r="U1942" s="0" t="str">
        <f aca="false">"12394374"</f>
        <v>12394374</v>
      </c>
      <c r="V1942" s="51" t="s">
        <v>2365</v>
      </c>
      <c r="W1942" s="51" t="s">
        <v>4621</v>
      </c>
      <c r="X1942" s="51" t="s">
        <v>2359</v>
      </c>
    </row>
    <row r="1943" customFormat="false" ht="14.25" hidden="true" customHeight="false" outlineLevel="0" collapsed="false">
      <c r="A1943" s="49" t="s">
        <v>2349</v>
      </c>
      <c r="B1943" s="49" t="s">
        <v>2350</v>
      </c>
      <c r="C1943" s="49" t="s">
        <v>4622</v>
      </c>
      <c r="D1943" s="49" t="s">
        <v>2352</v>
      </c>
      <c r="E1943" s="49" t="str">
        <f aca="false">"8057724150131"</f>
        <v>8057724150131</v>
      </c>
      <c r="F1943" s="49" t="s">
        <v>4623</v>
      </c>
      <c r="G1943" s="49" t="n">
        <v>0</v>
      </c>
      <c r="H1943" s="0" t="n">
        <v>0</v>
      </c>
      <c r="M1943" s="51" t="s">
        <v>4624</v>
      </c>
      <c r="N1943" s="49" t="n">
        <v>0</v>
      </c>
      <c r="O1943" s="53" t="n">
        <v>45708.5931597222</v>
      </c>
      <c r="P1943" s="53" t="n">
        <v>45741.0149652778</v>
      </c>
      <c r="Q1943" s="53" t="n">
        <v>45708.5931597222</v>
      </c>
      <c r="R1943" s="0" t="n">
        <v>0</v>
      </c>
      <c r="S1943" s="51" t="s">
        <v>2371</v>
      </c>
      <c r="T1943" s="51" t="s">
        <v>2371</v>
      </c>
      <c r="U1943" s="0" t="str">
        <f aca="false">"8057724150131"</f>
        <v>8057724150131</v>
      </c>
      <c r="V1943" s="51" t="s">
        <v>2365</v>
      </c>
      <c r="W1943" s="51" t="s">
        <v>4625</v>
      </c>
      <c r="X1943" s="51" t="s">
        <v>2359</v>
      </c>
    </row>
    <row r="1944" customFormat="false" ht="14.25" hidden="true" customHeight="false" outlineLevel="0" collapsed="false">
      <c r="A1944" s="49" t="s">
        <v>2349</v>
      </c>
      <c r="B1944" s="49" t="s">
        <v>2350</v>
      </c>
      <c r="C1944" s="49" t="s">
        <v>4626</v>
      </c>
      <c r="D1944" s="49" t="s">
        <v>2352</v>
      </c>
      <c r="E1944" s="49" t="str">
        <f aca="false">"8057724150131"</f>
        <v>8057724150131</v>
      </c>
      <c r="F1944" s="49" t="s">
        <v>4623</v>
      </c>
      <c r="G1944" s="49" t="n">
        <v>0</v>
      </c>
      <c r="H1944" s="0" t="n">
        <v>0</v>
      </c>
      <c r="M1944" s="51" t="s">
        <v>4624</v>
      </c>
      <c r="N1944" s="49" t="n">
        <v>0</v>
      </c>
      <c r="O1944" s="53" t="n">
        <v>45708.5944444445</v>
      </c>
      <c r="P1944" s="53" t="n">
        <v>45740.060150463</v>
      </c>
      <c r="Q1944" s="53" t="n">
        <v>45708.5944444445</v>
      </c>
      <c r="R1944" s="0" t="n">
        <v>0</v>
      </c>
      <c r="S1944" s="51" t="s">
        <v>2371</v>
      </c>
      <c r="T1944" s="51" t="s">
        <v>2371</v>
      </c>
      <c r="U1944" s="0" t="str">
        <f aca="false">"8057724150131"</f>
        <v>8057724150131</v>
      </c>
      <c r="V1944" s="51" t="s">
        <v>2365</v>
      </c>
      <c r="W1944" s="51" t="s">
        <v>4627</v>
      </c>
      <c r="X1944" s="51" t="s">
        <v>2359</v>
      </c>
    </row>
    <row r="1945" customFormat="false" ht="14.25" hidden="true" customHeight="false" outlineLevel="0" collapsed="false">
      <c r="A1945" s="49" t="s">
        <v>2349</v>
      </c>
      <c r="B1945" s="49" t="s">
        <v>2350</v>
      </c>
      <c r="C1945" s="49" t="s">
        <v>4628</v>
      </c>
      <c r="D1945" s="49" t="s">
        <v>2352</v>
      </c>
      <c r="E1945" s="49" t="str">
        <f aca="false">"8057724150131"</f>
        <v>8057724150131</v>
      </c>
      <c r="F1945" s="49" t="s">
        <v>4623</v>
      </c>
      <c r="G1945" s="49" t="n">
        <v>0</v>
      </c>
      <c r="H1945" s="0" t="n">
        <v>0</v>
      </c>
      <c r="M1945" s="51" t="s">
        <v>4624</v>
      </c>
      <c r="N1945" s="49" t="n">
        <v>0</v>
      </c>
      <c r="O1945" s="53" t="n">
        <v>45708.598587963</v>
      </c>
      <c r="P1945" s="53" t="n">
        <v>45740.9863425926</v>
      </c>
      <c r="Q1945" s="53" t="n">
        <v>45708.598587963</v>
      </c>
      <c r="R1945" s="0" t="n">
        <v>0</v>
      </c>
      <c r="S1945" s="51" t="s">
        <v>2371</v>
      </c>
      <c r="T1945" s="51" t="s">
        <v>2371</v>
      </c>
      <c r="U1945" s="0" t="str">
        <f aca="false">"8057724150131"</f>
        <v>8057724150131</v>
      </c>
      <c r="V1945" s="51" t="s">
        <v>2365</v>
      </c>
      <c r="W1945" s="51" t="s">
        <v>3868</v>
      </c>
      <c r="X1945" s="51" t="s">
        <v>2359</v>
      </c>
    </row>
    <row r="1946" customFormat="false" ht="14.25" hidden="true" customHeight="false" outlineLevel="0" collapsed="false">
      <c r="A1946" s="49" t="s">
        <v>2349</v>
      </c>
      <c r="B1946" s="49" t="s">
        <v>2350</v>
      </c>
      <c r="C1946" s="49" t="s">
        <v>4629</v>
      </c>
      <c r="D1946" s="49" t="s">
        <v>2352</v>
      </c>
      <c r="E1946" s="49" t="str">
        <f aca="false">"8057724150131"</f>
        <v>8057724150131</v>
      </c>
      <c r="F1946" s="49" t="s">
        <v>4623</v>
      </c>
      <c r="G1946" s="49" t="n">
        <v>0</v>
      </c>
      <c r="H1946" s="0" t="n">
        <v>0</v>
      </c>
      <c r="M1946" s="51" t="s">
        <v>4624</v>
      </c>
      <c r="N1946" s="49" t="n">
        <v>0</v>
      </c>
      <c r="O1946" s="53" t="n">
        <v>45708.5990046296</v>
      </c>
      <c r="P1946" s="53" t="n">
        <v>45740.0605902778</v>
      </c>
      <c r="Q1946" s="53" t="n">
        <v>45708.5990046296</v>
      </c>
      <c r="R1946" s="0" t="n">
        <v>0</v>
      </c>
      <c r="S1946" s="51" t="s">
        <v>2371</v>
      </c>
      <c r="T1946" s="51" t="s">
        <v>2371</v>
      </c>
      <c r="U1946" s="0" t="str">
        <f aca="false">"8057724150131"</f>
        <v>8057724150131</v>
      </c>
      <c r="V1946" s="51" t="s">
        <v>2365</v>
      </c>
      <c r="W1946" s="51" t="s">
        <v>4630</v>
      </c>
      <c r="X1946" s="51" t="s">
        <v>2359</v>
      </c>
    </row>
    <row r="1947" customFormat="false" ht="14.25" hidden="true" customHeight="false" outlineLevel="0" collapsed="false">
      <c r="A1947" s="49" t="s">
        <v>2349</v>
      </c>
      <c r="B1947" s="49" t="s">
        <v>2350</v>
      </c>
      <c r="C1947" s="49" t="s">
        <v>4631</v>
      </c>
      <c r="D1947" s="49" t="s">
        <v>2352</v>
      </c>
      <c r="E1947" s="49" t="str">
        <f aca="false">"8057724150131"</f>
        <v>8057724150131</v>
      </c>
      <c r="F1947" s="49" t="s">
        <v>4623</v>
      </c>
      <c r="G1947" s="49" t="n">
        <v>0</v>
      </c>
      <c r="H1947" s="0" t="n">
        <v>0</v>
      </c>
      <c r="M1947" s="51" t="s">
        <v>4624</v>
      </c>
      <c r="N1947" s="49" t="n">
        <v>0</v>
      </c>
      <c r="O1947" s="53" t="n">
        <v>45708.6002893519</v>
      </c>
      <c r="P1947" s="53" t="n">
        <v>45740.987037037</v>
      </c>
      <c r="Q1947" s="53" t="n">
        <v>45708.6002893519</v>
      </c>
      <c r="R1947" s="0" t="n">
        <v>0</v>
      </c>
      <c r="S1947" s="51" t="s">
        <v>2371</v>
      </c>
      <c r="T1947" s="51" t="s">
        <v>2371</v>
      </c>
      <c r="U1947" s="0" t="str">
        <f aca="false">"8057724150131"</f>
        <v>8057724150131</v>
      </c>
      <c r="V1947" s="51" t="s">
        <v>2365</v>
      </c>
      <c r="W1947" s="51" t="s">
        <v>4052</v>
      </c>
      <c r="X1947" s="51" t="s">
        <v>2359</v>
      </c>
    </row>
    <row r="1948" customFormat="false" ht="14.25" hidden="true" customHeight="false" outlineLevel="0" collapsed="false">
      <c r="A1948" s="49" t="s">
        <v>2349</v>
      </c>
      <c r="B1948" s="49" t="s">
        <v>2350</v>
      </c>
      <c r="C1948" s="49" t="s">
        <v>4632</v>
      </c>
      <c r="D1948" s="49" t="s">
        <v>2352</v>
      </c>
      <c r="E1948" s="49" t="str">
        <f aca="false">"8057724150117"</f>
        <v>8057724150117</v>
      </c>
      <c r="F1948" s="49" t="s">
        <v>4633</v>
      </c>
      <c r="G1948" s="49" t="n">
        <v>0</v>
      </c>
      <c r="H1948" s="0" t="n">
        <v>0</v>
      </c>
      <c r="M1948" s="51" t="s">
        <v>4624</v>
      </c>
      <c r="N1948" s="49" t="n">
        <v>0</v>
      </c>
      <c r="O1948" s="53" t="n">
        <v>45708.6092824074</v>
      </c>
      <c r="P1948" s="53" t="n">
        <v>45740.0618634259</v>
      </c>
      <c r="Q1948" s="53" t="n">
        <v>45708.6092824074</v>
      </c>
      <c r="R1948" s="0" t="n">
        <v>0</v>
      </c>
      <c r="S1948" s="51" t="s">
        <v>2371</v>
      </c>
      <c r="T1948" s="51" t="s">
        <v>2371</v>
      </c>
      <c r="U1948" s="0" t="str">
        <f aca="false">"8057724150117"</f>
        <v>8057724150117</v>
      </c>
      <c r="V1948" s="51" t="s">
        <v>2365</v>
      </c>
      <c r="W1948" s="51" t="s">
        <v>4634</v>
      </c>
      <c r="X1948" s="51" t="s">
        <v>2359</v>
      </c>
    </row>
    <row r="1949" customFormat="false" ht="14.25" hidden="true" customHeight="false" outlineLevel="0" collapsed="false">
      <c r="A1949" s="49" t="s">
        <v>2349</v>
      </c>
      <c r="B1949" s="49" t="s">
        <v>2350</v>
      </c>
      <c r="C1949" s="49" t="s">
        <v>4635</v>
      </c>
      <c r="D1949" s="49" t="s">
        <v>2352</v>
      </c>
      <c r="E1949" s="49" t="str">
        <f aca="false">"8057724150117"</f>
        <v>8057724150117</v>
      </c>
      <c r="F1949" s="49" t="s">
        <v>4633</v>
      </c>
      <c r="G1949" s="49" t="n">
        <v>0</v>
      </c>
      <c r="H1949" s="0" t="n">
        <v>0</v>
      </c>
      <c r="M1949" s="51" t="s">
        <v>4624</v>
      </c>
      <c r="N1949" s="49" t="n">
        <v>0</v>
      </c>
      <c r="O1949" s="53" t="n">
        <v>45708.6099537037</v>
      </c>
      <c r="P1949" s="53" t="n">
        <v>45740.9876273148</v>
      </c>
      <c r="Q1949" s="53" t="n">
        <v>45708.6099537037</v>
      </c>
      <c r="R1949" s="0" t="n">
        <v>0</v>
      </c>
      <c r="S1949" s="51" t="s">
        <v>2371</v>
      </c>
      <c r="T1949" s="51" t="s">
        <v>2371</v>
      </c>
      <c r="U1949" s="0" t="str">
        <f aca="false">"8057724150117"</f>
        <v>8057724150117</v>
      </c>
      <c r="V1949" s="51" t="s">
        <v>2365</v>
      </c>
      <c r="W1949" s="51" t="s">
        <v>4636</v>
      </c>
      <c r="X1949" s="51" t="s">
        <v>2359</v>
      </c>
    </row>
    <row r="1950" customFormat="false" ht="14.25" hidden="true" customHeight="false" outlineLevel="0" collapsed="false">
      <c r="A1950" s="49" t="s">
        <v>2349</v>
      </c>
      <c r="B1950" s="49" t="s">
        <v>2350</v>
      </c>
      <c r="C1950" s="49" t="s">
        <v>4637</v>
      </c>
      <c r="D1950" s="49" t="s">
        <v>2352</v>
      </c>
      <c r="E1950" s="49" t="str">
        <f aca="false">"8057724150094"</f>
        <v>8057724150094</v>
      </c>
      <c r="F1950" s="49" t="s">
        <v>4638</v>
      </c>
      <c r="G1950" s="49" t="n">
        <v>0</v>
      </c>
      <c r="H1950" s="0" t="n">
        <v>0</v>
      </c>
      <c r="M1950" s="51" t="s">
        <v>4624</v>
      </c>
      <c r="N1950" s="49" t="n">
        <v>0</v>
      </c>
      <c r="O1950" s="53" t="n">
        <v>45708.6153240741</v>
      </c>
      <c r="P1950" s="53" t="n">
        <v>45740.0630902778</v>
      </c>
      <c r="Q1950" s="53" t="n">
        <v>45708.6153240741</v>
      </c>
      <c r="R1950" s="0" t="n">
        <v>0</v>
      </c>
      <c r="S1950" s="51" t="s">
        <v>2371</v>
      </c>
      <c r="T1950" s="51" t="s">
        <v>2371</v>
      </c>
      <c r="U1950" s="0" t="str">
        <f aca="false">"8057724150094"</f>
        <v>8057724150094</v>
      </c>
      <c r="V1950" s="51" t="s">
        <v>2365</v>
      </c>
      <c r="W1950" s="51" t="s">
        <v>4639</v>
      </c>
      <c r="X1950" s="51" t="s">
        <v>2359</v>
      </c>
    </row>
    <row r="1951" customFormat="false" ht="14.25" hidden="false" customHeight="false" outlineLevel="0" collapsed="false">
      <c r="I1951" s="51"/>
      <c r="M1951" s="51"/>
      <c r="O1951" s="53"/>
      <c r="P1951" s="53"/>
      <c r="Q1951" s="53"/>
      <c r="S1951" s="51"/>
      <c r="T1951" s="51"/>
      <c r="V1951" s="51"/>
      <c r="W1951" s="51"/>
      <c r="X1951" s="51"/>
    </row>
    <row r="1952" customFormat="false" ht="14.25" hidden="true" customHeight="false" outlineLevel="0" collapsed="false">
      <c r="A1952" s="49" t="s">
        <v>2349</v>
      </c>
      <c r="B1952" s="49" t="s">
        <v>2350</v>
      </c>
      <c r="C1952" s="49" t="s">
        <v>4640</v>
      </c>
      <c r="D1952" s="49" t="s">
        <v>2352</v>
      </c>
      <c r="E1952" s="49" t="str">
        <f aca="false">"8057724150094"</f>
        <v>8057724150094</v>
      </c>
      <c r="F1952" s="49" t="s">
        <v>4638</v>
      </c>
      <c r="G1952" s="49" t="n">
        <v>0</v>
      </c>
      <c r="H1952" s="0" t="n">
        <v>0</v>
      </c>
      <c r="M1952" s="51" t="s">
        <v>4624</v>
      </c>
      <c r="N1952" s="49" t="n">
        <v>0</v>
      </c>
      <c r="O1952" s="53" t="n">
        <v>45722.3864699074</v>
      </c>
      <c r="P1952" s="53" t="n">
        <v>45757.1422569445</v>
      </c>
      <c r="R1952" s="0" t="n">
        <v>0</v>
      </c>
      <c r="T1952" s="51" t="s">
        <v>3800</v>
      </c>
      <c r="U1952" s="0" t="str">
        <f aca="false">"8057724150094"</f>
        <v>8057724150094</v>
      </c>
      <c r="V1952" s="51" t="s">
        <v>2365</v>
      </c>
      <c r="W1952" s="51" t="s">
        <v>4641</v>
      </c>
      <c r="X1952" s="51" t="s">
        <v>2359</v>
      </c>
    </row>
    <row r="1953" customFormat="false" ht="14.25" hidden="true" customHeight="false" outlineLevel="0" collapsed="false">
      <c r="A1953" s="49" t="s">
        <v>2349</v>
      </c>
      <c r="B1953" s="49" t="s">
        <v>2350</v>
      </c>
      <c r="C1953" s="49" t="s">
        <v>4642</v>
      </c>
      <c r="D1953" s="49" t="s">
        <v>2352</v>
      </c>
      <c r="E1953" s="49" t="str">
        <f aca="false">"8057724150131"</f>
        <v>8057724150131</v>
      </c>
      <c r="F1953" s="49" t="s">
        <v>4623</v>
      </c>
      <c r="G1953" s="49" t="n">
        <v>0</v>
      </c>
      <c r="H1953" s="0" t="n">
        <v>0</v>
      </c>
      <c r="M1953" s="51" t="s">
        <v>4624</v>
      </c>
      <c r="N1953" s="49" t="n">
        <v>0</v>
      </c>
      <c r="O1953" s="53" t="n">
        <v>45722.3848726852</v>
      </c>
      <c r="P1953" s="53" t="n">
        <v>45741.0135532407</v>
      </c>
      <c r="R1953" s="0" t="n">
        <v>0</v>
      </c>
      <c r="T1953" s="51" t="s">
        <v>3800</v>
      </c>
      <c r="U1953" s="0" t="str">
        <f aca="false">"8057724150131"</f>
        <v>8057724150131</v>
      </c>
      <c r="V1953" s="51" t="s">
        <v>2365</v>
      </c>
      <c r="W1953" s="51" t="s">
        <v>4643</v>
      </c>
      <c r="X1953" s="51" t="s">
        <v>2359</v>
      </c>
    </row>
    <row r="1954" customFormat="false" ht="14.25" hidden="true" customHeight="false" outlineLevel="0" collapsed="false">
      <c r="A1954" s="49" t="s">
        <v>2349</v>
      </c>
      <c r="B1954" s="49" t="s">
        <v>2350</v>
      </c>
      <c r="C1954" s="49" t="s">
        <v>4644</v>
      </c>
      <c r="D1954" s="49" t="s">
        <v>2352</v>
      </c>
      <c r="E1954" s="49" t="str">
        <f aca="false">"5060458890191"</f>
        <v>5060458890191</v>
      </c>
      <c r="F1954" s="49" t="s">
        <v>3656</v>
      </c>
      <c r="G1954" s="49" t="n">
        <v>0</v>
      </c>
      <c r="H1954" s="0" t="n">
        <v>0</v>
      </c>
      <c r="M1954" s="51" t="s">
        <v>4645</v>
      </c>
      <c r="N1954" s="49" t="n">
        <v>0</v>
      </c>
      <c r="O1954" s="53" t="n">
        <v>45715.4626851852</v>
      </c>
      <c r="P1954" s="53" t="n">
        <v>45720.4741666667</v>
      </c>
      <c r="Q1954" s="53" t="n">
        <v>45715.4626851852</v>
      </c>
      <c r="R1954" s="0" t="n">
        <v>0</v>
      </c>
      <c r="S1954" s="51" t="s">
        <v>2371</v>
      </c>
      <c r="T1954" s="51" t="s">
        <v>2371</v>
      </c>
      <c r="U1954" s="0" t="str">
        <f aca="false">"5060458890191"</f>
        <v>5060458890191</v>
      </c>
      <c r="V1954" s="51" t="s">
        <v>2142</v>
      </c>
      <c r="W1954" s="51" t="s">
        <v>4646</v>
      </c>
      <c r="X1954" s="51" t="s">
        <v>2359</v>
      </c>
    </row>
    <row r="1955" customFormat="false" ht="14.25" hidden="true" customHeight="false" outlineLevel="0" collapsed="false">
      <c r="A1955" s="49" t="s">
        <v>2349</v>
      </c>
      <c r="B1955" s="49" t="s">
        <v>2350</v>
      </c>
      <c r="C1955" s="49" t="s">
        <v>4647</v>
      </c>
      <c r="D1955" s="49" t="s">
        <v>2352</v>
      </c>
      <c r="E1955" s="49" t="str">
        <f aca="false">"5060458890191"</f>
        <v>5060458890191</v>
      </c>
      <c r="F1955" s="49" t="s">
        <v>3656</v>
      </c>
      <c r="G1955" s="49" t="n">
        <v>0</v>
      </c>
      <c r="H1955" s="0" t="n">
        <v>0</v>
      </c>
      <c r="M1955" s="51" t="s">
        <v>4645</v>
      </c>
      <c r="N1955" s="49" t="n">
        <v>0</v>
      </c>
      <c r="O1955" s="53" t="n">
        <v>45715.4629976852</v>
      </c>
      <c r="P1955" s="53" t="n">
        <v>45720.484375</v>
      </c>
      <c r="Q1955" s="53" t="n">
        <v>45715.4629976852</v>
      </c>
      <c r="R1955" s="0" t="n">
        <v>0</v>
      </c>
      <c r="S1955" s="51" t="s">
        <v>2371</v>
      </c>
      <c r="T1955" s="51" t="s">
        <v>2371</v>
      </c>
      <c r="U1955" s="0" t="str">
        <f aca="false">"5060458890191"</f>
        <v>5060458890191</v>
      </c>
      <c r="V1955" s="51" t="s">
        <v>2142</v>
      </c>
      <c r="W1955" s="51" t="s">
        <v>4648</v>
      </c>
      <c r="X1955" s="51" t="s">
        <v>2359</v>
      </c>
    </row>
    <row r="1956" customFormat="false" ht="14.25" hidden="true" customHeight="false" outlineLevel="0" collapsed="false">
      <c r="A1956" s="49" t="s">
        <v>2349</v>
      </c>
      <c r="B1956" s="49" t="s">
        <v>2350</v>
      </c>
      <c r="C1956" s="49" t="s">
        <v>4649</v>
      </c>
      <c r="D1956" s="49" t="s">
        <v>2352</v>
      </c>
      <c r="E1956" s="49" t="str">
        <f aca="false">"5060458890191"</f>
        <v>5060458890191</v>
      </c>
      <c r="F1956" s="49" t="s">
        <v>3656</v>
      </c>
      <c r="G1956" s="49" t="n">
        <v>0</v>
      </c>
      <c r="H1956" s="0" t="n">
        <v>0</v>
      </c>
      <c r="M1956" s="51" t="s">
        <v>4645</v>
      </c>
      <c r="N1956" s="49" t="n">
        <v>0</v>
      </c>
      <c r="O1956" s="53" t="n">
        <v>45715.463125</v>
      </c>
      <c r="P1956" s="53" t="n">
        <v>45720.500787037</v>
      </c>
      <c r="Q1956" s="53" t="n">
        <v>45715.463125</v>
      </c>
      <c r="R1956" s="0" t="n">
        <v>0</v>
      </c>
      <c r="S1956" s="51" t="s">
        <v>2371</v>
      </c>
      <c r="T1956" s="51" t="s">
        <v>2371</v>
      </c>
      <c r="U1956" s="0" t="str">
        <f aca="false">"5060458890191"</f>
        <v>5060458890191</v>
      </c>
      <c r="V1956" s="51" t="s">
        <v>2142</v>
      </c>
      <c r="W1956" s="51" t="s">
        <v>4650</v>
      </c>
      <c r="X1956" s="51" t="s">
        <v>2359</v>
      </c>
    </row>
    <row r="1957" customFormat="false" ht="14.25" hidden="true" customHeight="false" outlineLevel="0" collapsed="false">
      <c r="A1957" s="49" t="s">
        <v>2349</v>
      </c>
      <c r="B1957" s="49" t="s">
        <v>2350</v>
      </c>
      <c r="C1957" s="49" t="s">
        <v>4651</v>
      </c>
      <c r="D1957" s="49" t="s">
        <v>2352</v>
      </c>
      <c r="E1957" s="49" t="str">
        <f aca="false">"5060458890191"</f>
        <v>5060458890191</v>
      </c>
      <c r="F1957" s="49" t="s">
        <v>3656</v>
      </c>
      <c r="G1957" s="49" t="n">
        <v>0</v>
      </c>
      <c r="H1957" s="0" t="n">
        <v>0</v>
      </c>
      <c r="M1957" s="51" t="s">
        <v>4645</v>
      </c>
      <c r="N1957" s="49" t="n">
        <v>0</v>
      </c>
      <c r="O1957" s="53" t="n">
        <v>45715.4632407407</v>
      </c>
      <c r="P1957" s="53" t="n">
        <v>45728.9569444444</v>
      </c>
      <c r="Q1957" s="53" t="n">
        <v>45715.4632407407</v>
      </c>
      <c r="R1957" s="0" t="n">
        <v>0</v>
      </c>
      <c r="S1957" s="51" t="s">
        <v>2371</v>
      </c>
      <c r="T1957" s="51" t="s">
        <v>2371</v>
      </c>
      <c r="U1957" s="0" t="str">
        <f aca="false">"5060458890191"</f>
        <v>5060458890191</v>
      </c>
      <c r="V1957" s="51" t="s">
        <v>2142</v>
      </c>
      <c r="W1957" s="51" t="s">
        <v>4652</v>
      </c>
      <c r="X1957" s="51" t="s">
        <v>2359</v>
      </c>
    </row>
    <row r="1958" customFormat="false" ht="14.25" hidden="true" customHeight="false" outlineLevel="0" collapsed="false">
      <c r="A1958" s="49" t="s">
        <v>2349</v>
      </c>
      <c r="B1958" s="49" t="s">
        <v>2350</v>
      </c>
      <c r="C1958" s="49" t="s">
        <v>4653</v>
      </c>
      <c r="D1958" s="49" t="s">
        <v>2352</v>
      </c>
      <c r="E1958" s="49" t="str">
        <f aca="false">"5060458890191"</f>
        <v>5060458890191</v>
      </c>
      <c r="F1958" s="49" t="s">
        <v>3656</v>
      </c>
      <c r="G1958" s="49" t="n">
        <v>0</v>
      </c>
      <c r="H1958" s="0" t="n">
        <v>0</v>
      </c>
      <c r="M1958" s="51" t="s">
        <v>4645</v>
      </c>
      <c r="N1958" s="49" t="n">
        <v>0</v>
      </c>
      <c r="O1958" s="53" t="n">
        <v>45715.4634375</v>
      </c>
      <c r="P1958" s="53" t="n">
        <v>45722.9053356481</v>
      </c>
      <c r="Q1958" s="53" t="n">
        <v>45715.4634375</v>
      </c>
      <c r="R1958" s="0" t="n">
        <v>0</v>
      </c>
      <c r="S1958" s="51" t="s">
        <v>2371</v>
      </c>
      <c r="T1958" s="51" t="s">
        <v>2371</v>
      </c>
      <c r="U1958" s="0" t="str">
        <f aca="false">"5060458890191"</f>
        <v>5060458890191</v>
      </c>
      <c r="V1958" s="51" t="s">
        <v>2142</v>
      </c>
      <c r="W1958" s="51" t="s">
        <v>4654</v>
      </c>
      <c r="X1958" s="51" t="s">
        <v>2359</v>
      </c>
    </row>
    <row r="1959" customFormat="false" ht="14.25" hidden="true" customHeight="false" outlineLevel="0" collapsed="false">
      <c r="A1959" s="49" t="s">
        <v>2349</v>
      </c>
      <c r="B1959" s="49" t="s">
        <v>2350</v>
      </c>
      <c r="C1959" s="49" t="s">
        <v>4655</v>
      </c>
      <c r="D1959" s="49" t="s">
        <v>2352</v>
      </c>
      <c r="E1959" s="49" t="str">
        <f aca="false">"5060458890191"</f>
        <v>5060458890191</v>
      </c>
      <c r="F1959" s="49" t="s">
        <v>3656</v>
      </c>
      <c r="G1959" s="49" t="n">
        <v>0</v>
      </c>
      <c r="H1959" s="0" t="n">
        <v>0</v>
      </c>
      <c r="M1959" s="51" t="s">
        <v>4645</v>
      </c>
      <c r="N1959" s="49" t="n">
        <v>0</v>
      </c>
      <c r="O1959" s="53" t="n">
        <v>45715.4637268519</v>
      </c>
      <c r="P1959" s="53" t="n">
        <v>45722.9046064815</v>
      </c>
      <c r="Q1959" s="53" t="n">
        <v>45715.4637268519</v>
      </c>
      <c r="R1959" s="0" t="n">
        <v>0</v>
      </c>
      <c r="S1959" s="51" t="s">
        <v>2371</v>
      </c>
      <c r="T1959" s="51" t="s">
        <v>2371</v>
      </c>
      <c r="U1959" s="0" t="str">
        <f aca="false">"5060458890191"</f>
        <v>5060458890191</v>
      </c>
      <c r="V1959" s="51" t="s">
        <v>2142</v>
      </c>
      <c r="W1959" s="51" t="s">
        <v>4656</v>
      </c>
      <c r="X1959" s="51" t="s">
        <v>2359</v>
      </c>
    </row>
    <row r="1960" customFormat="false" ht="14.25" hidden="true" customHeight="false" outlineLevel="0" collapsed="false">
      <c r="A1960" s="49" t="s">
        <v>2349</v>
      </c>
      <c r="B1960" s="49" t="s">
        <v>2350</v>
      </c>
      <c r="C1960" s="49" t="s">
        <v>4657</v>
      </c>
      <c r="D1960" s="49" t="s">
        <v>2352</v>
      </c>
      <c r="E1960" s="49" t="str">
        <f aca="false">"5060458890191"</f>
        <v>5060458890191</v>
      </c>
      <c r="F1960" s="49" t="s">
        <v>3656</v>
      </c>
      <c r="G1960" s="49" t="n">
        <v>0</v>
      </c>
      <c r="H1960" s="0" t="n">
        <v>0</v>
      </c>
      <c r="M1960" s="51" t="s">
        <v>4645</v>
      </c>
      <c r="N1960" s="49" t="n">
        <v>0</v>
      </c>
      <c r="O1960" s="53" t="n">
        <v>45715.4638888889</v>
      </c>
      <c r="P1960" s="53" t="n">
        <v>45722.9080208333</v>
      </c>
      <c r="Q1960" s="53" t="n">
        <v>45715.4638888889</v>
      </c>
      <c r="R1960" s="0" t="n">
        <v>0</v>
      </c>
      <c r="S1960" s="51" t="s">
        <v>2371</v>
      </c>
      <c r="T1960" s="51" t="s">
        <v>2371</v>
      </c>
      <c r="U1960" s="0" t="str">
        <f aca="false">"5060458890191"</f>
        <v>5060458890191</v>
      </c>
      <c r="V1960" s="51" t="s">
        <v>2142</v>
      </c>
      <c r="W1960" s="51" t="s">
        <v>4658</v>
      </c>
      <c r="X1960" s="51" t="s">
        <v>2359</v>
      </c>
    </row>
    <row r="1961" customFormat="false" ht="14.25" hidden="true" customHeight="false" outlineLevel="0" collapsed="false">
      <c r="A1961" s="49" t="s">
        <v>2349</v>
      </c>
      <c r="B1961" s="49" t="s">
        <v>2350</v>
      </c>
      <c r="C1961" s="49" t="s">
        <v>4659</v>
      </c>
      <c r="D1961" s="49" t="s">
        <v>2352</v>
      </c>
      <c r="E1961" s="49" t="str">
        <f aca="false">"5060458890191"</f>
        <v>5060458890191</v>
      </c>
      <c r="F1961" s="49" t="s">
        <v>3656</v>
      </c>
      <c r="G1961" s="49" t="n">
        <v>0</v>
      </c>
      <c r="H1961" s="0" t="n">
        <v>0</v>
      </c>
      <c r="M1961" s="51" t="s">
        <v>4645</v>
      </c>
      <c r="N1961" s="49" t="n">
        <v>0</v>
      </c>
      <c r="O1961" s="53" t="n">
        <v>45715.4640046296</v>
      </c>
      <c r="P1961" s="53" t="n">
        <v>45728.9568055556</v>
      </c>
      <c r="Q1961" s="53" t="n">
        <v>45715.4640046296</v>
      </c>
      <c r="R1961" s="0" t="n">
        <v>0</v>
      </c>
      <c r="S1961" s="51" t="s">
        <v>2371</v>
      </c>
      <c r="T1961" s="51" t="s">
        <v>2371</v>
      </c>
      <c r="U1961" s="0" t="str">
        <f aca="false">"5060458890191"</f>
        <v>5060458890191</v>
      </c>
      <c r="V1961" s="51" t="s">
        <v>2142</v>
      </c>
      <c r="W1961" s="51" t="s">
        <v>4660</v>
      </c>
      <c r="X1961" s="51" t="s">
        <v>2359</v>
      </c>
    </row>
    <row r="1962" customFormat="false" ht="14.25" hidden="true" customHeight="false" outlineLevel="0" collapsed="false">
      <c r="A1962" s="49" t="s">
        <v>2349</v>
      </c>
      <c r="B1962" s="49" t="s">
        <v>2350</v>
      </c>
      <c r="C1962" s="49" t="s">
        <v>4661</v>
      </c>
      <c r="D1962" s="49" t="s">
        <v>2352</v>
      </c>
      <c r="E1962" s="49" t="str">
        <f aca="false">"5060458890191"</f>
        <v>5060458890191</v>
      </c>
      <c r="F1962" s="49" t="s">
        <v>3656</v>
      </c>
      <c r="G1962" s="49" t="n">
        <v>0</v>
      </c>
      <c r="H1962" s="0" t="n">
        <v>0</v>
      </c>
      <c r="M1962" s="51" t="s">
        <v>4645</v>
      </c>
      <c r="N1962" s="49" t="n">
        <v>0</v>
      </c>
      <c r="O1962" s="53" t="n">
        <v>45715.4641435185</v>
      </c>
      <c r="P1962" s="53" t="n">
        <v>45722.9041666667</v>
      </c>
      <c r="Q1962" s="53" t="n">
        <v>45715.4641435185</v>
      </c>
      <c r="R1962" s="0" t="n">
        <v>0</v>
      </c>
      <c r="S1962" s="51" t="s">
        <v>2371</v>
      </c>
      <c r="T1962" s="51" t="s">
        <v>2371</v>
      </c>
      <c r="U1962" s="0" t="str">
        <f aca="false">"5060458890191"</f>
        <v>5060458890191</v>
      </c>
      <c r="V1962" s="51" t="s">
        <v>2142</v>
      </c>
      <c r="W1962" s="51" t="s">
        <v>4662</v>
      </c>
      <c r="X1962" s="51" t="s">
        <v>2359</v>
      </c>
    </row>
    <row r="1963" customFormat="false" ht="14.25" hidden="true" customHeight="false" outlineLevel="0" collapsed="false">
      <c r="A1963" s="49" t="s">
        <v>2349</v>
      </c>
      <c r="B1963" s="49" t="s">
        <v>2350</v>
      </c>
      <c r="C1963" s="49" t="s">
        <v>4663</v>
      </c>
      <c r="D1963" s="49" t="s">
        <v>2352</v>
      </c>
      <c r="E1963" s="49" t="str">
        <f aca="false">"5060458890191"</f>
        <v>5060458890191</v>
      </c>
      <c r="F1963" s="49" t="s">
        <v>3656</v>
      </c>
      <c r="G1963" s="49" t="n">
        <v>0</v>
      </c>
      <c r="H1963" s="0" t="n">
        <v>0</v>
      </c>
      <c r="M1963" s="51" t="s">
        <v>4645</v>
      </c>
      <c r="N1963" s="49" t="n">
        <v>0</v>
      </c>
      <c r="O1963" s="53" t="n">
        <v>45715.4642939815</v>
      </c>
      <c r="P1963" s="53" t="n">
        <v>45844.3253356482</v>
      </c>
      <c r="Q1963" s="53" t="n">
        <v>45715.4642939815</v>
      </c>
      <c r="R1963" s="0" t="n">
        <v>0</v>
      </c>
      <c r="S1963" s="51" t="s">
        <v>2371</v>
      </c>
      <c r="T1963" s="51" t="s">
        <v>2371</v>
      </c>
      <c r="U1963" s="0" t="str">
        <f aca="false">"5060458890191"</f>
        <v>5060458890191</v>
      </c>
      <c r="V1963" s="51" t="s">
        <v>2142</v>
      </c>
      <c r="W1963" s="51" t="s">
        <v>4664</v>
      </c>
      <c r="X1963" s="51" t="s">
        <v>2359</v>
      </c>
    </row>
    <row r="1964" customFormat="false" ht="14.25" hidden="true" customHeight="false" outlineLevel="0" collapsed="false">
      <c r="A1964" s="49" t="s">
        <v>2349</v>
      </c>
      <c r="B1964" s="49" t="s">
        <v>2350</v>
      </c>
      <c r="C1964" s="49" t="s">
        <v>4665</v>
      </c>
      <c r="D1964" s="49" t="s">
        <v>2352</v>
      </c>
      <c r="E1964" s="49" t="str">
        <f aca="false">"5060458890191"</f>
        <v>5060458890191</v>
      </c>
      <c r="F1964" s="49" t="s">
        <v>3656</v>
      </c>
      <c r="G1964" s="49" t="n">
        <v>0</v>
      </c>
      <c r="H1964" s="0" t="n">
        <v>0</v>
      </c>
      <c r="M1964" s="51" t="s">
        <v>4645</v>
      </c>
      <c r="N1964" s="49" t="n">
        <v>0</v>
      </c>
      <c r="O1964" s="53" t="n">
        <v>45715.4644675926</v>
      </c>
      <c r="P1964" s="53" t="n">
        <v>45722.9071875</v>
      </c>
      <c r="Q1964" s="53" t="n">
        <v>45715.4644675926</v>
      </c>
      <c r="R1964" s="0" t="n">
        <v>0</v>
      </c>
      <c r="S1964" s="51" t="s">
        <v>2371</v>
      </c>
      <c r="T1964" s="51" t="s">
        <v>2371</v>
      </c>
      <c r="U1964" s="0" t="str">
        <f aca="false">"5060458890191"</f>
        <v>5060458890191</v>
      </c>
      <c r="V1964" s="51" t="s">
        <v>2142</v>
      </c>
      <c r="W1964" s="51" t="s">
        <v>4666</v>
      </c>
      <c r="X1964" s="51" t="s">
        <v>2359</v>
      </c>
    </row>
    <row r="1965" customFormat="false" ht="14.25" hidden="true" customHeight="false" outlineLevel="0" collapsed="false">
      <c r="A1965" s="49" t="s">
        <v>2349</v>
      </c>
      <c r="B1965" s="49" t="s">
        <v>2350</v>
      </c>
      <c r="C1965" s="49" t="s">
        <v>4667</v>
      </c>
      <c r="D1965" s="49" t="s">
        <v>2352</v>
      </c>
      <c r="E1965" s="49" t="str">
        <f aca="false">"5060458890191"</f>
        <v>5060458890191</v>
      </c>
      <c r="F1965" s="49" t="s">
        <v>3656</v>
      </c>
      <c r="G1965" s="49" t="n">
        <v>0</v>
      </c>
      <c r="H1965" s="0" t="n">
        <v>0</v>
      </c>
      <c r="M1965" s="51" t="s">
        <v>4645</v>
      </c>
      <c r="N1965" s="49" t="n">
        <v>0</v>
      </c>
      <c r="O1965" s="53" t="n">
        <v>45715.4645949074</v>
      </c>
      <c r="P1965" s="53" t="n">
        <v>45728.9575694444</v>
      </c>
      <c r="Q1965" s="53" t="n">
        <v>45715.4645949074</v>
      </c>
      <c r="R1965" s="0" t="n">
        <v>0</v>
      </c>
      <c r="S1965" s="51" t="s">
        <v>2371</v>
      </c>
      <c r="T1965" s="51" t="s">
        <v>2371</v>
      </c>
      <c r="U1965" s="0" t="str">
        <f aca="false">"5060458890191"</f>
        <v>5060458890191</v>
      </c>
      <c r="V1965" s="51" t="s">
        <v>2142</v>
      </c>
      <c r="W1965" s="51" t="s">
        <v>4668</v>
      </c>
      <c r="X1965" s="51" t="s">
        <v>2359</v>
      </c>
    </row>
    <row r="1966" customFormat="false" ht="14.25" hidden="true" customHeight="false" outlineLevel="0" collapsed="false">
      <c r="A1966" s="49" t="s">
        <v>2349</v>
      </c>
      <c r="B1966" s="49" t="s">
        <v>2350</v>
      </c>
      <c r="C1966" s="49" t="s">
        <v>4669</v>
      </c>
      <c r="D1966" s="49" t="s">
        <v>2352</v>
      </c>
      <c r="E1966" s="49" t="str">
        <f aca="false">"5060458890191"</f>
        <v>5060458890191</v>
      </c>
      <c r="F1966" s="49" t="s">
        <v>3656</v>
      </c>
      <c r="G1966" s="49" t="n">
        <v>0</v>
      </c>
      <c r="H1966" s="0" t="n">
        <v>0</v>
      </c>
      <c r="M1966" s="51" t="s">
        <v>4645</v>
      </c>
      <c r="N1966" s="49" t="n">
        <v>0</v>
      </c>
      <c r="O1966" s="53" t="n">
        <v>45715.4647222222</v>
      </c>
      <c r="P1966" s="53" t="n">
        <v>45722.9020138889</v>
      </c>
      <c r="Q1966" s="53" t="n">
        <v>45715.4647222222</v>
      </c>
      <c r="R1966" s="0" t="n">
        <v>0</v>
      </c>
      <c r="S1966" s="51" t="s">
        <v>2371</v>
      </c>
      <c r="T1966" s="51" t="s">
        <v>2371</v>
      </c>
      <c r="U1966" s="0" t="str">
        <f aca="false">"5060458890191"</f>
        <v>5060458890191</v>
      </c>
      <c r="V1966" s="51" t="s">
        <v>2142</v>
      </c>
      <c r="W1966" s="51" t="s">
        <v>4670</v>
      </c>
      <c r="X1966" s="51" t="s">
        <v>2359</v>
      </c>
    </row>
    <row r="1967" customFormat="false" ht="14.25" hidden="true" customHeight="false" outlineLevel="0" collapsed="false">
      <c r="A1967" s="49" t="s">
        <v>2349</v>
      </c>
      <c r="B1967" s="49" t="s">
        <v>2350</v>
      </c>
      <c r="C1967" s="49" t="s">
        <v>4671</v>
      </c>
      <c r="D1967" s="49" t="s">
        <v>2352</v>
      </c>
      <c r="E1967" s="49" t="str">
        <f aca="false">"5060458890191"</f>
        <v>5060458890191</v>
      </c>
      <c r="F1967" s="49" t="s">
        <v>3656</v>
      </c>
      <c r="G1967" s="49" t="n">
        <v>0</v>
      </c>
      <c r="H1967" s="0" t="n">
        <v>0</v>
      </c>
      <c r="M1967" s="51" t="s">
        <v>4645</v>
      </c>
      <c r="N1967" s="49" t="n">
        <v>0</v>
      </c>
      <c r="O1967" s="53" t="n">
        <v>45715.4648842593</v>
      </c>
      <c r="P1967" s="53" t="n">
        <v>45722.9025462963</v>
      </c>
      <c r="Q1967" s="53" t="n">
        <v>45715.4648842593</v>
      </c>
      <c r="R1967" s="0" t="n">
        <v>0</v>
      </c>
      <c r="S1967" s="51" t="s">
        <v>2371</v>
      </c>
      <c r="T1967" s="51" t="s">
        <v>2371</v>
      </c>
      <c r="U1967" s="0" t="str">
        <f aca="false">"5060458890191"</f>
        <v>5060458890191</v>
      </c>
      <c r="V1967" s="51" t="s">
        <v>2142</v>
      </c>
      <c r="W1967" s="51" t="s">
        <v>4672</v>
      </c>
      <c r="X1967" s="51" t="s">
        <v>2359</v>
      </c>
    </row>
    <row r="1968" customFormat="false" ht="14.25" hidden="true" customHeight="false" outlineLevel="0" collapsed="false">
      <c r="A1968" s="49" t="s">
        <v>2349</v>
      </c>
      <c r="B1968" s="49" t="s">
        <v>2350</v>
      </c>
      <c r="C1968" s="49" t="s">
        <v>4673</v>
      </c>
      <c r="D1968" s="49" t="s">
        <v>2352</v>
      </c>
      <c r="E1968" s="49" t="str">
        <f aca="false">"5060458890191"</f>
        <v>5060458890191</v>
      </c>
      <c r="F1968" s="49" t="s">
        <v>3656</v>
      </c>
      <c r="G1968" s="49" t="n">
        <v>0</v>
      </c>
      <c r="H1968" s="0" t="n">
        <v>0</v>
      </c>
      <c r="M1968" s="51" t="s">
        <v>4645</v>
      </c>
      <c r="N1968" s="49" t="n">
        <v>0</v>
      </c>
      <c r="O1968" s="53" t="n">
        <v>45715.4650231482</v>
      </c>
      <c r="P1968" s="53" t="n">
        <v>45720.4929050926</v>
      </c>
      <c r="Q1968" s="53" t="n">
        <v>45715.4650231482</v>
      </c>
      <c r="R1968" s="0" t="n">
        <v>0</v>
      </c>
      <c r="S1968" s="51" t="s">
        <v>2371</v>
      </c>
      <c r="T1968" s="51" t="s">
        <v>2371</v>
      </c>
      <c r="U1968" s="0" t="str">
        <f aca="false">"5060458890191"</f>
        <v>5060458890191</v>
      </c>
      <c r="V1968" s="51" t="s">
        <v>2142</v>
      </c>
      <c r="W1968" s="51" t="s">
        <v>4674</v>
      </c>
      <c r="X1968" s="51" t="s">
        <v>2359</v>
      </c>
    </row>
    <row r="1969" customFormat="false" ht="14.25" hidden="true" customHeight="false" outlineLevel="0" collapsed="false">
      <c r="A1969" s="49" t="s">
        <v>2349</v>
      </c>
      <c r="B1969" s="49" t="s">
        <v>2350</v>
      </c>
      <c r="C1969" s="49" t="s">
        <v>4675</v>
      </c>
      <c r="D1969" s="49" t="s">
        <v>2352</v>
      </c>
      <c r="E1969" s="49" t="str">
        <f aca="false">"5060458890191"</f>
        <v>5060458890191</v>
      </c>
      <c r="F1969" s="49" t="s">
        <v>3656</v>
      </c>
      <c r="G1969" s="49" t="n">
        <v>0</v>
      </c>
      <c r="H1969" s="0" t="n">
        <v>0</v>
      </c>
      <c r="M1969" s="51" t="s">
        <v>4645</v>
      </c>
      <c r="N1969" s="49" t="n">
        <v>0</v>
      </c>
      <c r="O1969" s="53" t="n">
        <v>45715.465162037</v>
      </c>
      <c r="P1969" s="53" t="n">
        <v>45742.9589814815</v>
      </c>
      <c r="Q1969" s="53" t="n">
        <v>45715.465162037</v>
      </c>
      <c r="R1969" s="0" t="n">
        <v>0</v>
      </c>
      <c r="S1969" s="51" t="s">
        <v>2371</v>
      </c>
      <c r="T1969" s="51" t="s">
        <v>2371</v>
      </c>
      <c r="U1969" s="0" t="str">
        <f aca="false">"5060458890191"</f>
        <v>5060458890191</v>
      </c>
      <c r="V1969" s="51" t="s">
        <v>2142</v>
      </c>
      <c r="W1969" s="51" t="s">
        <v>4674</v>
      </c>
      <c r="X1969" s="51" t="s">
        <v>2359</v>
      </c>
    </row>
    <row r="1970" customFormat="false" ht="14.25" hidden="true" customHeight="false" outlineLevel="0" collapsed="false">
      <c r="A1970" s="49" t="s">
        <v>2349</v>
      </c>
      <c r="B1970" s="49" t="s">
        <v>2350</v>
      </c>
      <c r="C1970" s="49" t="s">
        <v>4676</v>
      </c>
      <c r="D1970" s="49" t="s">
        <v>2352</v>
      </c>
      <c r="E1970" s="49" t="str">
        <f aca="false">"5060458890191"</f>
        <v>5060458890191</v>
      </c>
      <c r="F1970" s="49" t="s">
        <v>3656</v>
      </c>
      <c r="G1970" s="49" t="n">
        <v>0</v>
      </c>
      <c r="H1970" s="0" t="n">
        <v>0</v>
      </c>
      <c r="M1970" s="51" t="s">
        <v>4645</v>
      </c>
      <c r="N1970" s="49" t="n">
        <v>0</v>
      </c>
      <c r="O1970" s="53" t="n">
        <v>45715.4663541667</v>
      </c>
      <c r="P1970" s="53" t="n">
        <v>45757.7315856482</v>
      </c>
      <c r="Q1970" s="53" t="n">
        <v>45715.4663541667</v>
      </c>
      <c r="R1970" s="0" t="n">
        <v>0</v>
      </c>
      <c r="S1970" s="51" t="s">
        <v>2371</v>
      </c>
      <c r="T1970" s="51" t="s">
        <v>2371</v>
      </c>
      <c r="U1970" s="0" t="str">
        <f aca="false">"5060458890191"</f>
        <v>5060458890191</v>
      </c>
      <c r="V1970" s="51" t="s">
        <v>2142</v>
      </c>
      <c r="W1970" s="51" t="s">
        <v>4677</v>
      </c>
      <c r="X1970" s="51" t="s">
        <v>2359</v>
      </c>
    </row>
    <row r="1971" customFormat="false" ht="14.25" hidden="true" customHeight="false" outlineLevel="0" collapsed="false">
      <c r="A1971" s="49" t="s">
        <v>2349</v>
      </c>
      <c r="B1971" s="49" t="s">
        <v>2350</v>
      </c>
      <c r="C1971" s="49" t="s">
        <v>4678</v>
      </c>
      <c r="D1971" s="49" t="s">
        <v>2352</v>
      </c>
      <c r="E1971" s="49" t="str">
        <f aca="false">"5060458890191"</f>
        <v>5060458890191</v>
      </c>
      <c r="F1971" s="49" t="s">
        <v>3656</v>
      </c>
      <c r="G1971" s="49" t="n">
        <v>0</v>
      </c>
      <c r="H1971" s="0" t="n">
        <v>0</v>
      </c>
      <c r="M1971" s="51" t="s">
        <v>4645</v>
      </c>
      <c r="N1971" s="49" t="n">
        <v>0</v>
      </c>
      <c r="O1971" s="53" t="n">
        <v>45715.4667476852</v>
      </c>
      <c r="P1971" s="53" t="n">
        <v>45720.4760069444</v>
      </c>
      <c r="Q1971" s="53" t="n">
        <v>45715.4667476852</v>
      </c>
      <c r="R1971" s="0" t="n">
        <v>0</v>
      </c>
      <c r="S1971" s="51" t="s">
        <v>2371</v>
      </c>
      <c r="T1971" s="51" t="s">
        <v>2371</v>
      </c>
      <c r="U1971" s="0" t="str">
        <f aca="false">"5060458890191"</f>
        <v>5060458890191</v>
      </c>
      <c r="V1971" s="51" t="s">
        <v>2142</v>
      </c>
      <c r="W1971" s="51" t="s">
        <v>4679</v>
      </c>
      <c r="X1971" s="51" t="s">
        <v>2359</v>
      </c>
    </row>
    <row r="1972" customFormat="false" ht="14.25" hidden="true" customHeight="false" outlineLevel="0" collapsed="false">
      <c r="A1972" s="49" t="s">
        <v>2349</v>
      </c>
      <c r="B1972" s="49" t="s">
        <v>2350</v>
      </c>
      <c r="C1972" s="49" t="s">
        <v>4680</v>
      </c>
      <c r="D1972" s="49" t="s">
        <v>2352</v>
      </c>
      <c r="E1972" s="49" t="str">
        <f aca="false">"5060458890191"</f>
        <v>5060458890191</v>
      </c>
      <c r="F1972" s="49" t="s">
        <v>3656</v>
      </c>
      <c r="G1972" s="49" t="n">
        <v>0</v>
      </c>
      <c r="H1972" s="0" t="n">
        <v>0</v>
      </c>
      <c r="M1972" s="51" t="s">
        <v>4645</v>
      </c>
      <c r="N1972" s="49" t="n">
        <v>0</v>
      </c>
      <c r="O1972" s="53" t="n">
        <v>45715.4623726852</v>
      </c>
      <c r="P1972" s="53" t="n">
        <v>45728.9559143519</v>
      </c>
      <c r="Q1972" s="53" t="n">
        <v>45715.4623726852</v>
      </c>
      <c r="R1972" s="0" t="n">
        <v>0</v>
      </c>
      <c r="S1972" s="51" t="s">
        <v>2371</v>
      </c>
      <c r="T1972" s="51" t="s">
        <v>2371</v>
      </c>
      <c r="U1972" s="0" t="str">
        <f aca="false">"5060458890191"</f>
        <v>5060458890191</v>
      </c>
      <c r="V1972" s="51" t="s">
        <v>2142</v>
      </c>
      <c r="W1972" s="51" t="s">
        <v>4681</v>
      </c>
      <c r="X1972" s="51" t="s">
        <v>2359</v>
      </c>
    </row>
    <row r="1973" customFormat="false" ht="14.25" hidden="true" customHeight="false" outlineLevel="0" collapsed="false">
      <c r="A1973" s="49" t="s">
        <v>2349</v>
      </c>
      <c r="B1973" s="49" t="s">
        <v>2350</v>
      </c>
      <c r="C1973" s="49" t="s">
        <v>4682</v>
      </c>
      <c r="D1973" s="49" t="s">
        <v>2352</v>
      </c>
      <c r="E1973" s="49" t="str">
        <f aca="false">"5060458890191"</f>
        <v>5060458890191</v>
      </c>
      <c r="F1973" s="49" t="s">
        <v>3656</v>
      </c>
      <c r="G1973" s="49" t="n">
        <v>0</v>
      </c>
      <c r="H1973" s="0" t="n">
        <v>0</v>
      </c>
      <c r="M1973" s="51" t="s">
        <v>4645</v>
      </c>
      <c r="N1973" s="49" t="n">
        <v>0</v>
      </c>
      <c r="O1973" s="53" t="n">
        <v>45715.4860648148</v>
      </c>
      <c r="P1973" s="53" t="n">
        <v>45722.906400463</v>
      </c>
      <c r="Q1973" s="53" t="n">
        <v>45715.4860648148</v>
      </c>
      <c r="R1973" s="0" t="n">
        <v>0</v>
      </c>
      <c r="S1973" s="51" t="s">
        <v>2371</v>
      </c>
      <c r="T1973" s="51" t="s">
        <v>2371</v>
      </c>
      <c r="U1973" s="0" t="str">
        <f aca="false">"5060458890191"</f>
        <v>5060458890191</v>
      </c>
      <c r="V1973" s="51" t="s">
        <v>2142</v>
      </c>
      <c r="W1973" s="51" t="s">
        <v>4664</v>
      </c>
      <c r="X1973" s="51" t="s">
        <v>2359</v>
      </c>
    </row>
    <row r="1974" customFormat="false" ht="14.25" hidden="true" customHeight="false" outlineLevel="0" collapsed="false">
      <c r="A1974" s="49" t="s">
        <v>2349</v>
      </c>
      <c r="B1974" s="49" t="s">
        <v>2350</v>
      </c>
      <c r="C1974" s="49" t="s">
        <v>4683</v>
      </c>
      <c r="D1974" s="49" t="s">
        <v>2352</v>
      </c>
      <c r="E1974" s="49" t="str">
        <f aca="false">"5060458890191"</f>
        <v>5060458890191</v>
      </c>
      <c r="F1974" s="49" t="s">
        <v>3656</v>
      </c>
      <c r="G1974" s="49" t="n">
        <v>0</v>
      </c>
      <c r="H1974" s="0" t="n">
        <v>0</v>
      </c>
      <c r="M1974" s="51" t="s">
        <v>4645</v>
      </c>
      <c r="N1974" s="49" t="n">
        <v>0</v>
      </c>
      <c r="O1974" s="53" t="n">
        <v>45715.4813657407</v>
      </c>
      <c r="P1974" s="53" t="n">
        <v>45726.4197569444</v>
      </c>
      <c r="Q1974" s="53" t="n">
        <v>45715.4813657407</v>
      </c>
      <c r="R1974" s="0" t="n">
        <v>0</v>
      </c>
      <c r="S1974" s="51" t="s">
        <v>2371</v>
      </c>
      <c r="T1974" s="51" t="s">
        <v>2371</v>
      </c>
      <c r="U1974" s="0" t="str">
        <f aca="false">"5060458890191"</f>
        <v>5060458890191</v>
      </c>
      <c r="V1974" s="51" t="s">
        <v>2142</v>
      </c>
      <c r="W1974" s="51" t="s">
        <v>4684</v>
      </c>
      <c r="X1974" s="51" t="s">
        <v>2359</v>
      </c>
    </row>
    <row r="1975" customFormat="false" ht="14.25" hidden="true" customHeight="false" outlineLevel="0" collapsed="false">
      <c r="A1975" s="49" t="s">
        <v>2349</v>
      </c>
      <c r="B1975" s="49" t="s">
        <v>2350</v>
      </c>
      <c r="C1975" s="49" t="s">
        <v>4685</v>
      </c>
      <c r="D1975" s="49" t="s">
        <v>2352</v>
      </c>
      <c r="E1975" s="49" t="str">
        <f aca="false">"5060458890191"</f>
        <v>5060458890191</v>
      </c>
      <c r="F1975" s="49" t="s">
        <v>3656</v>
      </c>
      <c r="G1975" s="49" t="n">
        <v>0</v>
      </c>
      <c r="H1975" s="0" t="n">
        <v>0</v>
      </c>
      <c r="M1975" s="51" t="s">
        <v>4645</v>
      </c>
      <c r="N1975" s="49" t="n">
        <v>0</v>
      </c>
      <c r="O1975" s="53" t="n">
        <v>45715.4779976852</v>
      </c>
      <c r="P1975" s="53" t="n">
        <v>45722.8914930556</v>
      </c>
      <c r="Q1975" s="53" t="n">
        <v>45715.4779976852</v>
      </c>
      <c r="R1975" s="0" t="n">
        <v>0</v>
      </c>
      <c r="S1975" s="51" t="s">
        <v>2371</v>
      </c>
      <c r="T1975" s="51" t="s">
        <v>2371</v>
      </c>
      <c r="U1975" s="0" t="str">
        <f aca="false">"5060458890191"</f>
        <v>5060458890191</v>
      </c>
      <c r="V1975" s="51" t="s">
        <v>2142</v>
      </c>
      <c r="W1975" s="51" t="s">
        <v>4686</v>
      </c>
      <c r="X1975" s="51" t="s">
        <v>2359</v>
      </c>
    </row>
    <row r="1976" customFormat="false" ht="14.25" hidden="true" customHeight="false" outlineLevel="0" collapsed="false">
      <c r="A1976" s="49" t="s">
        <v>2349</v>
      </c>
      <c r="B1976" s="49" t="s">
        <v>2350</v>
      </c>
      <c r="C1976" s="49" t="s">
        <v>4687</v>
      </c>
      <c r="D1976" s="49" t="s">
        <v>2352</v>
      </c>
      <c r="E1976" s="49" t="str">
        <f aca="false">"5060458890191"</f>
        <v>5060458890191</v>
      </c>
      <c r="F1976" s="49" t="s">
        <v>3656</v>
      </c>
      <c r="G1976" s="49" t="n">
        <v>0</v>
      </c>
      <c r="H1976" s="0" t="n">
        <v>0</v>
      </c>
      <c r="M1976" s="51" t="s">
        <v>4645</v>
      </c>
      <c r="N1976" s="49" t="n">
        <v>0</v>
      </c>
      <c r="O1976" s="53" t="n">
        <v>45715.4736458333</v>
      </c>
      <c r="P1976" s="53" t="n">
        <v>45728.9561574074</v>
      </c>
      <c r="Q1976" s="53" t="n">
        <v>45715.4736458333</v>
      </c>
      <c r="R1976" s="0" t="n">
        <v>0</v>
      </c>
      <c r="S1976" s="51" t="s">
        <v>2371</v>
      </c>
      <c r="T1976" s="51" t="s">
        <v>2371</v>
      </c>
      <c r="U1976" s="0" t="str">
        <f aca="false">"5060458890191"</f>
        <v>5060458890191</v>
      </c>
      <c r="V1976" s="51" t="s">
        <v>2142</v>
      </c>
      <c r="W1976" s="51" t="s">
        <v>4688</v>
      </c>
      <c r="X1976" s="51" t="s">
        <v>2359</v>
      </c>
    </row>
    <row r="1977" customFormat="false" ht="14.25" hidden="true" customHeight="false" outlineLevel="0" collapsed="false">
      <c r="A1977" s="49" t="s">
        <v>2349</v>
      </c>
      <c r="B1977" s="49" t="s">
        <v>2350</v>
      </c>
      <c r="C1977" s="49" t="s">
        <v>4689</v>
      </c>
      <c r="D1977" s="49" t="s">
        <v>2352</v>
      </c>
      <c r="E1977" s="49" t="str">
        <f aca="false">"5060458890191"</f>
        <v>5060458890191</v>
      </c>
      <c r="F1977" s="49" t="s">
        <v>3656</v>
      </c>
      <c r="G1977" s="49" t="n">
        <v>0</v>
      </c>
      <c r="H1977" s="0" t="n">
        <v>0</v>
      </c>
      <c r="M1977" s="51" t="s">
        <v>4645</v>
      </c>
      <c r="N1977" s="49" t="n">
        <v>0</v>
      </c>
      <c r="O1977" s="53" t="n">
        <v>45715.4694212963</v>
      </c>
      <c r="P1977" s="53" t="n">
        <v>45722.9009606482</v>
      </c>
      <c r="Q1977" s="53" t="n">
        <v>45715.4694212963</v>
      </c>
      <c r="R1977" s="0" t="n">
        <v>0</v>
      </c>
      <c r="S1977" s="51" t="s">
        <v>2371</v>
      </c>
      <c r="T1977" s="51" t="s">
        <v>2371</v>
      </c>
      <c r="U1977" s="0" t="str">
        <f aca="false">"5060458890191"</f>
        <v>5060458890191</v>
      </c>
      <c r="V1977" s="51" t="s">
        <v>2142</v>
      </c>
      <c r="W1977" s="51" t="s">
        <v>4690</v>
      </c>
      <c r="X1977" s="51" t="s">
        <v>2359</v>
      </c>
    </row>
    <row r="1978" customFormat="false" ht="14.25" hidden="true" customHeight="false" outlineLevel="0" collapsed="false">
      <c r="A1978" s="49" t="s">
        <v>2349</v>
      </c>
      <c r="B1978" s="49" t="s">
        <v>2350</v>
      </c>
      <c r="C1978" s="49" t="s">
        <v>4691</v>
      </c>
      <c r="D1978" s="49" t="s">
        <v>2352</v>
      </c>
      <c r="E1978" s="49" t="str">
        <f aca="false">"5060458890191"</f>
        <v>5060458890191</v>
      </c>
      <c r="F1978" s="49" t="s">
        <v>3656</v>
      </c>
      <c r="G1978" s="49" t="n">
        <v>0</v>
      </c>
      <c r="H1978" s="0" t="n">
        <v>0</v>
      </c>
      <c r="M1978" s="51" t="s">
        <v>4645</v>
      </c>
      <c r="N1978" s="49" t="n">
        <v>0</v>
      </c>
      <c r="O1978" s="53" t="n">
        <v>45715.4673842593</v>
      </c>
      <c r="P1978" s="53" t="n">
        <v>45726.9184143519</v>
      </c>
      <c r="Q1978" s="53" t="n">
        <v>45715.4673842593</v>
      </c>
      <c r="R1978" s="0" t="n">
        <v>0</v>
      </c>
      <c r="S1978" s="51" t="s">
        <v>2371</v>
      </c>
      <c r="T1978" s="51" t="s">
        <v>2371</v>
      </c>
      <c r="U1978" s="0" t="str">
        <f aca="false">"5060458890191"</f>
        <v>5060458890191</v>
      </c>
      <c r="V1978" s="51" t="s">
        <v>2142</v>
      </c>
      <c r="W1978" s="51" t="s">
        <v>4692</v>
      </c>
      <c r="X1978" s="51" t="s">
        <v>2359</v>
      </c>
    </row>
    <row r="1979" customFormat="false" ht="14.25" hidden="true" customHeight="false" outlineLevel="0" collapsed="false">
      <c r="A1979" s="49" t="s">
        <v>2349</v>
      </c>
      <c r="B1979" s="49" t="s">
        <v>2350</v>
      </c>
      <c r="C1979" s="49" t="s">
        <v>4693</v>
      </c>
      <c r="D1979" s="49" t="s">
        <v>2352</v>
      </c>
      <c r="E1979" s="49" t="str">
        <f aca="false">"5060458890191"</f>
        <v>5060458890191</v>
      </c>
      <c r="F1979" s="49" t="s">
        <v>3656</v>
      </c>
      <c r="G1979" s="49" t="n">
        <v>0</v>
      </c>
      <c r="H1979" s="0" t="n">
        <v>0</v>
      </c>
      <c r="M1979" s="51" t="s">
        <v>4645</v>
      </c>
      <c r="N1979" s="49" t="n">
        <v>0</v>
      </c>
      <c r="O1979" s="53" t="n">
        <v>45715.5547106481</v>
      </c>
      <c r="P1979" s="53" t="n">
        <v>45720.4814583333</v>
      </c>
      <c r="Q1979" s="53" t="n">
        <v>45715.5547106481</v>
      </c>
      <c r="R1979" s="0" t="n">
        <v>0</v>
      </c>
      <c r="S1979" s="51" t="s">
        <v>2371</v>
      </c>
      <c r="T1979" s="51" t="s">
        <v>2371</v>
      </c>
      <c r="U1979" s="0" t="str">
        <f aca="false">"5060458890191"</f>
        <v>5060458890191</v>
      </c>
      <c r="V1979" s="51" t="s">
        <v>2142</v>
      </c>
      <c r="W1979" s="51" t="s">
        <v>4694</v>
      </c>
      <c r="X1979" s="51" t="s">
        <v>2359</v>
      </c>
    </row>
    <row r="1980" customFormat="false" ht="14.25" hidden="true" customHeight="false" outlineLevel="0" collapsed="false">
      <c r="A1980" s="49" t="s">
        <v>2349</v>
      </c>
      <c r="B1980" s="49" t="s">
        <v>2350</v>
      </c>
      <c r="C1980" s="49" t="s">
        <v>4695</v>
      </c>
      <c r="D1980" s="49" t="s">
        <v>2352</v>
      </c>
      <c r="E1980" s="49" t="str">
        <f aca="false">"5060458890191"</f>
        <v>5060458890191</v>
      </c>
      <c r="F1980" s="49" t="s">
        <v>3656</v>
      </c>
      <c r="G1980" s="49" t="n">
        <v>0</v>
      </c>
      <c r="H1980" s="0" t="n">
        <v>0</v>
      </c>
      <c r="M1980" s="51" t="s">
        <v>4645</v>
      </c>
      <c r="N1980" s="49" t="n">
        <v>0</v>
      </c>
      <c r="O1980" s="53" t="n">
        <v>45715.5548958333</v>
      </c>
      <c r="P1980" s="53" t="n">
        <v>45720.4685532407</v>
      </c>
      <c r="Q1980" s="53" t="n">
        <v>45715.5548958333</v>
      </c>
      <c r="R1980" s="0" t="n">
        <v>0</v>
      </c>
      <c r="S1980" s="51" t="s">
        <v>2371</v>
      </c>
      <c r="T1980" s="51" t="s">
        <v>2371</v>
      </c>
      <c r="U1980" s="0" t="str">
        <f aca="false">"5060458890191"</f>
        <v>5060458890191</v>
      </c>
      <c r="V1980" s="51" t="s">
        <v>2142</v>
      </c>
      <c r="W1980" s="51" t="s">
        <v>4696</v>
      </c>
      <c r="X1980" s="51" t="s">
        <v>2359</v>
      </c>
    </row>
    <row r="1981" customFormat="false" ht="14.25" hidden="true" customHeight="false" outlineLevel="0" collapsed="false">
      <c r="A1981" s="49" t="s">
        <v>2349</v>
      </c>
      <c r="B1981" s="49" t="s">
        <v>2350</v>
      </c>
      <c r="C1981" s="49" t="s">
        <v>4697</v>
      </c>
      <c r="D1981" s="49" t="s">
        <v>2352</v>
      </c>
      <c r="E1981" s="49" t="str">
        <f aca="false">"5060458890191"</f>
        <v>5060458890191</v>
      </c>
      <c r="F1981" s="49" t="s">
        <v>3656</v>
      </c>
      <c r="G1981" s="49" t="n">
        <v>0</v>
      </c>
      <c r="H1981" s="0" t="n">
        <v>0</v>
      </c>
      <c r="M1981" s="51" t="s">
        <v>4645</v>
      </c>
      <c r="N1981" s="49" t="n">
        <v>0</v>
      </c>
      <c r="O1981" s="53" t="n">
        <v>45715.5545486111</v>
      </c>
      <c r="P1981" s="53" t="n">
        <v>45720.5033101852</v>
      </c>
      <c r="Q1981" s="53" t="n">
        <v>45715.5545486111</v>
      </c>
      <c r="R1981" s="0" t="n">
        <v>0</v>
      </c>
      <c r="S1981" s="51" t="s">
        <v>2371</v>
      </c>
      <c r="T1981" s="51" t="s">
        <v>2371</v>
      </c>
      <c r="U1981" s="0" t="str">
        <f aca="false">"5060458890191"</f>
        <v>5060458890191</v>
      </c>
      <c r="V1981" s="51" t="s">
        <v>2142</v>
      </c>
      <c r="W1981" s="51" t="s">
        <v>4698</v>
      </c>
      <c r="X1981" s="51" t="s">
        <v>2359</v>
      </c>
    </row>
    <row r="1982" customFormat="false" ht="14.25" hidden="true" customHeight="false" outlineLevel="0" collapsed="false">
      <c r="A1982" s="49" t="s">
        <v>2349</v>
      </c>
      <c r="B1982" s="49" t="s">
        <v>2350</v>
      </c>
      <c r="C1982" s="49" t="s">
        <v>4699</v>
      </c>
      <c r="D1982" s="49" t="s">
        <v>2352</v>
      </c>
      <c r="E1982" s="49" t="str">
        <f aca="false">"5060458890191"</f>
        <v>5060458890191</v>
      </c>
      <c r="F1982" s="49" t="s">
        <v>3656</v>
      </c>
      <c r="G1982" s="49" t="n">
        <v>0</v>
      </c>
      <c r="H1982" s="0" t="n">
        <v>0</v>
      </c>
      <c r="M1982" s="51" t="s">
        <v>4645</v>
      </c>
      <c r="N1982" s="49" t="n">
        <v>0</v>
      </c>
      <c r="O1982" s="53" t="n">
        <v>45715.5551851852</v>
      </c>
      <c r="P1982" s="53" t="n">
        <v>45720.4805787037</v>
      </c>
      <c r="Q1982" s="53" t="n">
        <v>45715.5551851852</v>
      </c>
      <c r="R1982" s="0" t="n">
        <v>0</v>
      </c>
      <c r="S1982" s="51" t="s">
        <v>2371</v>
      </c>
      <c r="T1982" s="51" t="s">
        <v>2371</v>
      </c>
      <c r="U1982" s="0" t="str">
        <f aca="false">"5060458890191"</f>
        <v>5060458890191</v>
      </c>
      <c r="V1982" s="51" t="s">
        <v>2142</v>
      </c>
      <c r="W1982" s="51" t="s">
        <v>4700</v>
      </c>
      <c r="X1982" s="51" t="s">
        <v>2359</v>
      </c>
    </row>
    <row r="1983" customFormat="false" ht="14.25" hidden="true" customHeight="false" outlineLevel="0" collapsed="false">
      <c r="A1983" s="49" t="s">
        <v>2349</v>
      </c>
      <c r="B1983" s="49" t="s">
        <v>2350</v>
      </c>
      <c r="C1983" s="49" t="s">
        <v>4701</v>
      </c>
      <c r="D1983" s="49" t="s">
        <v>2352</v>
      </c>
      <c r="E1983" s="49" t="str">
        <f aca="false">"5060458890191"</f>
        <v>5060458890191</v>
      </c>
      <c r="F1983" s="49" t="s">
        <v>3656</v>
      </c>
      <c r="G1983" s="49" t="n">
        <v>0</v>
      </c>
      <c r="H1983" s="0" t="n">
        <v>0</v>
      </c>
      <c r="M1983" s="51" t="s">
        <v>4645</v>
      </c>
      <c r="N1983" s="49" t="n">
        <v>0</v>
      </c>
      <c r="O1983" s="53" t="n">
        <v>45715.5567592593</v>
      </c>
      <c r="P1983" s="53" t="n">
        <v>45722.9099537037</v>
      </c>
      <c r="Q1983" s="53" t="n">
        <v>45715.5567592593</v>
      </c>
      <c r="R1983" s="0" t="n">
        <v>0</v>
      </c>
      <c r="S1983" s="51" t="s">
        <v>2371</v>
      </c>
      <c r="T1983" s="51" t="s">
        <v>2371</v>
      </c>
      <c r="U1983" s="0" t="str">
        <f aca="false">"5060458890191"</f>
        <v>5060458890191</v>
      </c>
      <c r="V1983" s="51" t="s">
        <v>2142</v>
      </c>
      <c r="W1983" s="51" t="s">
        <v>4681</v>
      </c>
      <c r="X1983" s="51" t="s">
        <v>2359</v>
      </c>
    </row>
    <row r="1984" customFormat="false" ht="14.25" hidden="true" customHeight="false" outlineLevel="0" collapsed="false">
      <c r="A1984" s="49" t="s">
        <v>2349</v>
      </c>
      <c r="B1984" s="49" t="s">
        <v>2350</v>
      </c>
      <c r="C1984" s="49" t="s">
        <v>4702</v>
      </c>
      <c r="D1984" s="49" t="s">
        <v>2352</v>
      </c>
      <c r="E1984" s="49" t="s">
        <v>3643</v>
      </c>
      <c r="F1984" s="49" t="s">
        <v>3644</v>
      </c>
      <c r="G1984" s="49" t="n">
        <v>0</v>
      </c>
      <c r="H1984" s="0" t="n">
        <v>0</v>
      </c>
      <c r="M1984" s="51" t="s">
        <v>4703</v>
      </c>
      <c r="N1984" s="49" t="n">
        <v>0</v>
      </c>
      <c r="O1984" s="53" t="n">
        <v>45710.3803587963</v>
      </c>
      <c r="P1984" s="53" t="n">
        <v>45712.5745601852</v>
      </c>
      <c r="Q1984" s="53" t="n">
        <v>45710.3803587963</v>
      </c>
      <c r="R1984" s="0" t="n">
        <v>0</v>
      </c>
      <c r="S1984" s="51" t="s">
        <v>2356</v>
      </c>
      <c r="T1984" s="51" t="s">
        <v>2356</v>
      </c>
      <c r="U1984" s="51" t="s">
        <v>3643</v>
      </c>
      <c r="V1984" s="51" t="s">
        <v>2357</v>
      </c>
      <c r="W1984" s="51" t="s">
        <v>3963</v>
      </c>
      <c r="X1984" s="51" t="s">
        <v>2359</v>
      </c>
    </row>
    <row r="1985" customFormat="false" ht="14.25" hidden="true" customHeight="false" outlineLevel="0" collapsed="false">
      <c r="A1985" s="49" t="s">
        <v>2349</v>
      </c>
      <c r="B1985" s="49" t="s">
        <v>2350</v>
      </c>
      <c r="C1985" s="49" t="s">
        <v>4704</v>
      </c>
      <c r="D1985" s="49" t="s">
        <v>2352</v>
      </c>
      <c r="E1985" s="49" t="s">
        <v>3643</v>
      </c>
      <c r="F1985" s="49" t="s">
        <v>3644</v>
      </c>
      <c r="G1985" s="49" t="n">
        <v>0</v>
      </c>
      <c r="H1985" s="0" t="n">
        <v>0</v>
      </c>
      <c r="M1985" s="51" t="s">
        <v>4703</v>
      </c>
      <c r="N1985" s="49" t="n">
        <v>0</v>
      </c>
      <c r="O1985" s="53" t="n">
        <v>45710.3802546296</v>
      </c>
      <c r="P1985" s="53" t="n">
        <v>45719.5893287037</v>
      </c>
      <c r="Q1985" s="53" t="n">
        <v>45710.3802546296</v>
      </c>
      <c r="R1985" s="0" t="n">
        <v>0</v>
      </c>
      <c r="S1985" s="51" t="s">
        <v>2356</v>
      </c>
      <c r="T1985" s="51" t="s">
        <v>2356</v>
      </c>
      <c r="U1985" s="51" t="s">
        <v>3643</v>
      </c>
      <c r="V1985" s="51" t="s">
        <v>2357</v>
      </c>
      <c r="W1985" s="51" t="s">
        <v>4486</v>
      </c>
      <c r="X1985" s="51" t="s">
        <v>2359</v>
      </c>
    </row>
    <row r="1986" customFormat="false" ht="14.25" hidden="true" customHeight="false" outlineLevel="0" collapsed="false">
      <c r="A1986" s="49" t="s">
        <v>2349</v>
      </c>
      <c r="B1986" s="49" t="s">
        <v>2350</v>
      </c>
      <c r="C1986" s="49" t="s">
        <v>4705</v>
      </c>
      <c r="D1986" s="49" t="s">
        <v>2352</v>
      </c>
      <c r="E1986" s="49" t="str">
        <f aca="false">"12464079"</f>
        <v>12464079</v>
      </c>
      <c r="F1986" s="49" t="s">
        <v>4706</v>
      </c>
      <c r="G1986" s="49" t="n">
        <v>0</v>
      </c>
      <c r="H1986" s="0" t="n">
        <v>0</v>
      </c>
      <c r="M1986" s="51" t="s">
        <v>4707</v>
      </c>
      <c r="N1986" s="49" t="n">
        <v>0</v>
      </c>
      <c r="O1986" s="53" t="n">
        <v>45715.5457986111</v>
      </c>
      <c r="P1986" s="53" t="n">
        <v>45724.4522106481</v>
      </c>
      <c r="Q1986" s="53" t="n">
        <v>45715.5457986111</v>
      </c>
      <c r="R1986" s="0" t="n">
        <v>0</v>
      </c>
      <c r="S1986" s="51" t="s">
        <v>2371</v>
      </c>
      <c r="T1986" s="51" t="s">
        <v>2371</v>
      </c>
      <c r="U1986" s="0" t="str">
        <f aca="false">"12464079"</f>
        <v>12464079</v>
      </c>
      <c r="V1986" s="51" t="s">
        <v>2365</v>
      </c>
      <c r="W1986" s="51" t="s">
        <v>3946</v>
      </c>
      <c r="X1986" s="51" t="s">
        <v>2359</v>
      </c>
    </row>
    <row r="1987" customFormat="false" ht="14.25" hidden="true" customHeight="false" outlineLevel="0" collapsed="false">
      <c r="A1987" s="49" t="s">
        <v>2349</v>
      </c>
      <c r="B1987" s="49" t="s">
        <v>2350</v>
      </c>
      <c r="C1987" s="49" t="s">
        <v>4708</v>
      </c>
      <c r="D1987" s="49" t="s">
        <v>2352</v>
      </c>
      <c r="E1987" s="49" t="str">
        <f aca="false">"12464079"</f>
        <v>12464079</v>
      </c>
      <c r="F1987" s="49" t="s">
        <v>4706</v>
      </c>
      <c r="G1987" s="49" t="n">
        <v>0</v>
      </c>
      <c r="H1987" s="0" t="n">
        <v>0</v>
      </c>
      <c r="M1987" s="51" t="s">
        <v>4707</v>
      </c>
      <c r="N1987" s="49" t="n">
        <v>0</v>
      </c>
      <c r="O1987" s="53" t="n">
        <v>45715.5456597222</v>
      </c>
      <c r="P1987" s="53" t="n">
        <v>45728.4903587963</v>
      </c>
      <c r="Q1987" s="53" t="n">
        <v>45715.5456597222</v>
      </c>
      <c r="R1987" s="0" t="n">
        <v>0</v>
      </c>
      <c r="S1987" s="51" t="s">
        <v>2371</v>
      </c>
      <c r="T1987" s="51" t="s">
        <v>2371</v>
      </c>
      <c r="U1987" s="0" t="str">
        <f aca="false">"12464079"</f>
        <v>12464079</v>
      </c>
      <c r="V1987" s="51" t="s">
        <v>2365</v>
      </c>
      <c r="W1987" s="51" t="s">
        <v>4709</v>
      </c>
      <c r="X1987" s="51" t="s">
        <v>2359</v>
      </c>
    </row>
    <row r="1988" customFormat="false" ht="14.25" hidden="true" customHeight="false" outlineLevel="0" collapsed="false">
      <c r="A1988" s="49" t="s">
        <v>2349</v>
      </c>
      <c r="B1988" s="49" t="s">
        <v>2350</v>
      </c>
      <c r="C1988" s="49" t="s">
        <v>4710</v>
      </c>
      <c r="D1988" s="49" t="s">
        <v>2352</v>
      </c>
      <c r="E1988" s="49" t="str">
        <f aca="false">"12464079"</f>
        <v>12464079</v>
      </c>
      <c r="F1988" s="49" t="s">
        <v>4706</v>
      </c>
      <c r="G1988" s="49" t="n">
        <v>0</v>
      </c>
      <c r="H1988" s="0" t="n">
        <v>0</v>
      </c>
      <c r="M1988" s="51" t="s">
        <v>4707</v>
      </c>
      <c r="N1988" s="49" t="n">
        <v>0</v>
      </c>
      <c r="O1988" s="53" t="n">
        <v>45715.5455902778</v>
      </c>
      <c r="P1988" s="53" t="n">
        <v>45724.4525347222</v>
      </c>
      <c r="Q1988" s="53" t="n">
        <v>45715.5455902778</v>
      </c>
      <c r="R1988" s="0" t="n">
        <v>0</v>
      </c>
      <c r="S1988" s="51" t="s">
        <v>2371</v>
      </c>
      <c r="T1988" s="51" t="s">
        <v>2371</v>
      </c>
      <c r="U1988" s="0" t="str">
        <f aca="false">"12464079"</f>
        <v>12464079</v>
      </c>
      <c r="V1988" s="51" t="s">
        <v>2365</v>
      </c>
      <c r="W1988" s="51" t="s">
        <v>4711</v>
      </c>
      <c r="X1988" s="51" t="s">
        <v>2359</v>
      </c>
    </row>
    <row r="1989" customFormat="false" ht="14.25" hidden="true" customHeight="false" outlineLevel="0" collapsed="false">
      <c r="A1989" s="49" t="s">
        <v>2349</v>
      </c>
      <c r="B1989" s="49" t="s">
        <v>2350</v>
      </c>
      <c r="C1989" s="49" t="s">
        <v>4712</v>
      </c>
      <c r="D1989" s="49" t="s">
        <v>2352</v>
      </c>
      <c r="E1989" s="49" t="str">
        <f aca="false">"12464079"</f>
        <v>12464079</v>
      </c>
      <c r="F1989" s="49" t="s">
        <v>4706</v>
      </c>
      <c r="G1989" s="49" t="n">
        <v>0</v>
      </c>
      <c r="H1989" s="0" t="n">
        <v>0</v>
      </c>
      <c r="M1989" s="51" t="s">
        <v>4707</v>
      </c>
      <c r="N1989" s="49" t="n">
        <v>0</v>
      </c>
      <c r="O1989" s="53" t="n">
        <v>45715.5455092593</v>
      </c>
      <c r="P1989" s="53" t="n">
        <v>45724.4517592593</v>
      </c>
      <c r="Q1989" s="53" t="n">
        <v>45715.5455092593</v>
      </c>
      <c r="R1989" s="0" t="n">
        <v>0</v>
      </c>
      <c r="S1989" s="51" t="s">
        <v>2371</v>
      </c>
      <c r="T1989" s="51" t="s">
        <v>2371</v>
      </c>
      <c r="U1989" s="0" t="str">
        <f aca="false">"12464079"</f>
        <v>12464079</v>
      </c>
      <c r="V1989" s="51" t="s">
        <v>2365</v>
      </c>
      <c r="W1989" s="51" t="s">
        <v>4493</v>
      </c>
      <c r="X1989" s="51" t="s">
        <v>2359</v>
      </c>
    </row>
    <row r="1990" customFormat="false" ht="14.25" hidden="true" customHeight="false" outlineLevel="0" collapsed="false">
      <c r="A1990" s="49" t="s">
        <v>2349</v>
      </c>
      <c r="B1990" s="49" t="s">
        <v>2350</v>
      </c>
      <c r="C1990" s="49" t="s">
        <v>4713</v>
      </c>
      <c r="D1990" s="49" t="s">
        <v>2352</v>
      </c>
      <c r="E1990" s="49" t="str">
        <f aca="false">"12464079"</f>
        <v>12464079</v>
      </c>
      <c r="F1990" s="49" t="s">
        <v>4706</v>
      </c>
      <c r="G1990" s="49" t="n">
        <v>0</v>
      </c>
      <c r="H1990" s="0" t="n">
        <v>0</v>
      </c>
      <c r="M1990" s="51" t="s">
        <v>4707</v>
      </c>
      <c r="N1990" s="49" t="n">
        <v>0</v>
      </c>
      <c r="O1990" s="53" t="n">
        <v>45715.5453935185</v>
      </c>
      <c r="P1990" s="53" t="n">
        <v>45724.4534259259</v>
      </c>
      <c r="Q1990" s="53" t="n">
        <v>45715.5453935185</v>
      </c>
      <c r="R1990" s="0" t="n">
        <v>0</v>
      </c>
      <c r="S1990" s="51" t="s">
        <v>2371</v>
      </c>
      <c r="T1990" s="51" t="s">
        <v>2371</v>
      </c>
      <c r="U1990" s="0" t="str">
        <f aca="false">"12464079"</f>
        <v>12464079</v>
      </c>
      <c r="V1990" s="51" t="s">
        <v>2365</v>
      </c>
      <c r="W1990" s="51" t="s">
        <v>2413</v>
      </c>
      <c r="X1990" s="51" t="s">
        <v>2359</v>
      </c>
    </row>
    <row r="1991" customFormat="false" ht="14.25" hidden="true" customHeight="false" outlineLevel="0" collapsed="false">
      <c r="A1991" s="49" t="s">
        <v>2349</v>
      </c>
      <c r="B1991" s="49" t="s">
        <v>2350</v>
      </c>
      <c r="C1991" s="49" t="s">
        <v>4714</v>
      </c>
      <c r="D1991" s="49" t="s">
        <v>2352</v>
      </c>
      <c r="E1991" s="49" t="str">
        <f aca="false">"8032754230244"</f>
        <v>8032754230244</v>
      </c>
      <c r="F1991" s="49" t="s">
        <v>3737</v>
      </c>
      <c r="G1991" s="49" t="n">
        <v>0</v>
      </c>
      <c r="H1991" s="0" t="n">
        <v>0</v>
      </c>
      <c r="M1991" s="51" t="s">
        <v>4715</v>
      </c>
      <c r="N1991" s="49" t="n">
        <v>0</v>
      </c>
      <c r="O1991" s="53" t="n">
        <v>45704.3481944444</v>
      </c>
      <c r="P1991" s="53" t="n">
        <v>45918.9044212963</v>
      </c>
      <c r="Q1991" s="53" t="n">
        <v>45704.3481944444</v>
      </c>
      <c r="R1991" s="0" t="n">
        <v>0</v>
      </c>
      <c r="S1991" s="51" t="s">
        <v>2371</v>
      </c>
      <c r="T1991" s="51" t="s">
        <v>2371</v>
      </c>
      <c r="U1991" s="0" t="str">
        <f aca="false">"8032754230244"</f>
        <v>8032754230244</v>
      </c>
      <c r="V1991" s="51" t="s">
        <v>3740</v>
      </c>
      <c r="W1991" s="51" t="s">
        <v>4716</v>
      </c>
      <c r="X1991" s="51" t="s">
        <v>2359</v>
      </c>
    </row>
    <row r="1992" customFormat="false" ht="14.25" hidden="true" customHeight="false" outlineLevel="0" collapsed="false">
      <c r="A1992" s="49" t="s">
        <v>2349</v>
      </c>
      <c r="B1992" s="49" t="s">
        <v>2350</v>
      </c>
      <c r="C1992" s="49" t="s">
        <v>4717</v>
      </c>
      <c r="D1992" s="49" t="s">
        <v>2352</v>
      </c>
      <c r="E1992" s="49" t="str">
        <f aca="false">"8032754230244"</f>
        <v>8032754230244</v>
      </c>
      <c r="F1992" s="49" t="s">
        <v>3737</v>
      </c>
      <c r="G1992" s="49" t="n">
        <v>0</v>
      </c>
      <c r="H1992" s="0" t="n">
        <v>0</v>
      </c>
      <c r="M1992" s="51" t="s">
        <v>4715</v>
      </c>
      <c r="N1992" s="49" t="n">
        <v>0</v>
      </c>
      <c r="O1992" s="53" t="n">
        <v>45704.3390393519</v>
      </c>
      <c r="P1992" s="53" t="n">
        <v>45830.8089930556</v>
      </c>
      <c r="Q1992" s="53" t="n">
        <v>45704.3390393519</v>
      </c>
      <c r="R1992" s="0" t="n">
        <v>0</v>
      </c>
      <c r="S1992" s="51" t="s">
        <v>2371</v>
      </c>
      <c r="T1992" s="51" t="s">
        <v>2371</v>
      </c>
      <c r="U1992" s="0" t="str">
        <f aca="false">"8032754230244"</f>
        <v>8032754230244</v>
      </c>
      <c r="V1992" s="51" t="s">
        <v>3740</v>
      </c>
      <c r="W1992" s="51" t="s">
        <v>4046</v>
      </c>
      <c r="X1992" s="51" t="s">
        <v>2359</v>
      </c>
    </row>
    <row r="1993" customFormat="false" ht="14.25" hidden="true" customHeight="false" outlineLevel="0" collapsed="false">
      <c r="A1993" s="49" t="s">
        <v>2349</v>
      </c>
      <c r="B1993" s="49" t="s">
        <v>2350</v>
      </c>
      <c r="C1993" s="49" t="s">
        <v>4718</v>
      </c>
      <c r="D1993" s="49" t="s">
        <v>2352</v>
      </c>
      <c r="E1993" s="49" t="str">
        <f aca="false">"8032754230244"</f>
        <v>8032754230244</v>
      </c>
      <c r="F1993" s="49" t="s">
        <v>3737</v>
      </c>
      <c r="G1993" s="49" t="n">
        <v>0</v>
      </c>
      <c r="H1993" s="0" t="n">
        <v>0</v>
      </c>
      <c r="M1993" s="51" t="s">
        <v>4715</v>
      </c>
      <c r="N1993" s="49" t="n">
        <v>0</v>
      </c>
      <c r="O1993" s="53" t="n">
        <v>45704.3395833333</v>
      </c>
      <c r="P1993" s="53" t="n">
        <v>45847.3838888889</v>
      </c>
      <c r="Q1993" s="53" t="n">
        <v>45704.3395833333</v>
      </c>
      <c r="R1993" s="0" t="n">
        <v>0</v>
      </c>
      <c r="S1993" s="51" t="s">
        <v>2371</v>
      </c>
      <c r="T1993" s="51" t="s">
        <v>2371</v>
      </c>
      <c r="U1993" s="0" t="str">
        <f aca="false">"8032754230244"</f>
        <v>8032754230244</v>
      </c>
      <c r="V1993" s="51" t="s">
        <v>3740</v>
      </c>
      <c r="W1993" s="51" t="s">
        <v>4719</v>
      </c>
      <c r="X1993" s="51" t="s">
        <v>2359</v>
      </c>
    </row>
    <row r="1994" customFormat="false" ht="14.25" hidden="true" customHeight="false" outlineLevel="0" collapsed="false">
      <c r="A1994" s="49" t="s">
        <v>2349</v>
      </c>
      <c r="B1994" s="49" t="s">
        <v>2350</v>
      </c>
      <c r="C1994" s="49" t="s">
        <v>4720</v>
      </c>
      <c r="D1994" s="49" t="s">
        <v>2352</v>
      </c>
      <c r="E1994" s="49" t="str">
        <f aca="false">"8032754230244"</f>
        <v>8032754230244</v>
      </c>
      <c r="F1994" s="49" t="s">
        <v>3737</v>
      </c>
      <c r="G1994" s="49" t="n">
        <v>0</v>
      </c>
      <c r="H1994" s="0" t="n">
        <v>0</v>
      </c>
      <c r="M1994" s="51" t="s">
        <v>4715</v>
      </c>
      <c r="N1994" s="49" t="n">
        <v>0</v>
      </c>
      <c r="O1994" s="53" t="n">
        <v>45704.3402430556</v>
      </c>
      <c r="P1994" s="53" t="n">
        <v>45808.4860069445</v>
      </c>
      <c r="Q1994" s="53" t="n">
        <v>45704.3402430556</v>
      </c>
      <c r="R1994" s="0" t="n">
        <v>0</v>
      </c>
      <c r="S1994" s="51" t="s">
        <v>2371</v>
      </c>
      <c r="T1994" s="51" t="s">
        <v>2371</v>
      </c>
      <c r="U1994" s="0" t="str">
        <f aca="false">"8032754230244"</f>
        <v>8032754230244</v>
      </c>
      <c r="V1994" s="51" t="s">
        <v>3740</v>
      </c>
      <c r="W1994" s="51" t="s">
        <v>4721</v>
      </c>
      <c r="X1994" s="51" t="s">
        <v>2359</v>
      </c>
    </row>
    <row r="1995" customFormat="false" ht="14.25" hidden="true" customHeight="false" outlineLevel="0" collapsed="false">
      <c r="A1995" s="49" t="s">
        <v>2349</v>
      </c>
      <c r="B1995" s="49" t="s">
        <v>2350</v>
      </c>
      <c r="C1995" s="49" t="s">
        <v>4722</v>
      </c>
      <c r="D1995" s="49" t="s">
        <v>2352</v>
      </c>
      <c r="E1995" s="49" t="str">
        <f aca="false">"8032754230244"</f>
        <v>8032754230244</v>
      </c>
      <c r="F1995" s="49" t="s">
        <v>3737</v>
      </c>
      <c r="G1995" s="49" t="n">
        <v>0</v>
      </c>
      <c r="H1995" s="0" t="n">
        <v>0</v>
      </c>
      <c r="M1995" s="51" t="s">
        <v>4715</v>
      </c>
      <c r="N1995" s="49" t="n">
        <v>0</v>
      </c>
      <c r="O1995" s="53" t="n">
        <v>45704.3405671296</v>
      </c>
      <c r="P1995" s="53" t="n">
        <v>45830.8195138889</v>
      </c>
      <c r="Q1995" s="53" t="n">
        <v>45704.3405671296</v>
      </c>
      <c r="R1995" s="0" t="n">
        <v>0</v>
      </c>
      <c r="S1995" s="51" t="s">
        <v>2371</v>
      </c>
      <c r="T1995" s="51" t="s">
        <v>2371</v>
      </c>
      <c r="U1995" s="0" t="str">
        <f aca="false">"8032754230244"</f>
        <v>8032754230244</v>
      </c>
      <c r="V1995" s="51" t="s">
        <v>3740</v>
      </c>
      <c r="W1995" s="51" t="s">
        <v>4723</v>
      </c>
      <c r="X1995" s="51" t="s">
        <v>2359</v>
      </c>
    </row>
    <row r="1996" customFormat="false" ht="14.25" hidden="true" customHeight="false" outlineLevel="0" collapsed="false">
      <c r="A1996" s="49" t="s">
        <v>2349</v>
      </c>
      <c r="B1996" s="49" t="s">
        <v>2350</v>
      </c>
      <c r="C1996" s="49" t="s">
        <v>4724</v>
      </c>
      <c r="D1996" s="49" t="s">
        <v>2352</v>
      </c>
      <c r="E1996" s="49" t="str">
        <f aca="false">"8032754230244"</f>
        <v>8032754230244</v>
      </c>
      <c r="F1996" s="49" t="s">
        <v>3737</v>
      </c>
      <c r="G1996" s="49" t="n">
        <v>0</v>
      </c>
      <c r="H1996" s="0" t="n">
        <v>0</v>
      </c>
      <c r="M1996" s="51" t="s">
        <v>4715</v>
      </c>
      <c r="N1996" s="49" t="n">
        <v>0</v>
      </c>
      <c r="O1996" s="53" t="n">
        <v>45704.3410185185</v>
      </c>
      <c r="P1996" s="53" t="n">
        <v>45854.6862152778</v>
      </c>
      <c r="Q1996" s="53" t="n">
        <v>45704.3410185185</v>
      </c>
      <c r="R1996" s="0" t="n">
        <v>0</v>
      </c>
      <c r="S1996" s="51" t="s">
        <v>2371</v>
      </c>
      <c r="T1996" s="51" t="s">
        <v>2371</v>
      </c>
      <c r="U1996" s="0" t="str">
        <f aca="false">"8032754230244"</f>
        <v>8032754230244</v>
      </c>
      <c r="V1996" s="51" t="s">
        <v>3740</v>
      </c>
      <c r="W1996" s="51" t="s">
        <v>4725</v>
      </c>
      <c r="X1996" s="51" t="s">
        <v>2359</v>
      </c>
    </row>
    <row r="1997" customFormat="false" ht="14.25" hidden="true" customHeight="false" outlineLevel="0" collapsed="false">
      <c r="A1997" s="49" t="s">
        <v>2349</v>
      </c>
      <c r="B1997" s="49" t="s">
        <v>2350</v>
      </c>
      <c r="C1997" s="49" t="s">
        <v>4726</v>
      </c>
      <c r="D1997" s="49" t="s">
        <v>2352</v>
      </c>
      <c r="E1997" s="49" t="str">
        <f aca="false">"8032754230244"</f>
        <v>8032754230244</v>
      </c>
      <c r="F1997" s="49" t="s">
        <v>3737</v>
      </c>
      <c r="G1997" s="49" t="n">
        <v>0</v>
      </c>
      <c r="H1997" s="0" t="n">
        <v>0</v>
      </c>
      <c r="M1997" s="51" t="s">
        <v>4715</v>
      </c>
      <c r="N1997" s="49" t="n">
        <v>0</v>
      </c>
      <c r="O1997" s="53" t="n">
        <v>45704.3414467593</v>
      </c>
      <c r="P1997" s="53" t="n">
        <v>45830.8095833333</v>
      </c>
      <c r="Q1997" s="53" t="n">
        <v>45704.3414467593</v>
      </c>
      <c r="R1997" s="0" t="n">
        <v>0</v>
      </c>
      <c r="S1997" s="51" t="s">
        <v>2371</v>
      </c>
      <c r="T1997" s="51" t="s">
        <v>2371</v>
      </c>
      <c r="U1997" s="0" t="str">
        <f aca="false">"8032754230244"</f>
        <v>8032754230244</v>
      </c>
      <c r="V1997" s="51" t="s">
        <v>3740</v>
      </c>
      <c r="W1997" s="51" t="s">
        <v>4040</v>
      </c>
      <c r="X1997" s="51" t="s">
        <v>2359</v>
      </c>
    </row>
    <row r="1998" customFormat="false" ht="14.25" hidden="true" customHeight="false" outlineLevel="0" collapsed="false">
      <c r="A1998" s="49" t="s">
        <v>2349</v>
      </c>
      <c r="B1998" s="49" t="s">
        <v>2350</v>
      </c>
      <c r="C1998" s="49" t="s">
        <v>4727</v>
      </c>
      <c r="D1998" s="49" t="s">
        <v>2352</v>
      </c>
      <c r="E1998" s="49" t="str">
        <f aca="false">"8032754230244"</f>
        <v>8032754230244</v>
      </c>
      <c r="F1998" s="49" t="s">
        <v>3737</v>
      </c>
      <c r="G1998" s="49" t="n">
        <v>0</v>
      </c>
      <c r="H1998" s="0" t="n">
        <v>0</v>
      </c>
      <c r="M1998" s="51" t="s">
        <v>4715</v>
      </c>
      <c r="N1998" s="49" t="n">
        <v>0</v>
      </c>
      <c r="O1998" s="53" t="n">
        <v>45704.3421180556</v>
      </c>
      <c r="P1998" s="53" t="n">
        <v>45830.8196064815</v>
      </c>
      <c r="Q1998" s="53" t="n">
        <v>45704.3421180556</v>
      </c>
      <c r="R1998" s="0" t="n">
        <v>0</v>
      </c>
      <c r="S1998" s="51" t="s">
        <v>2371</v>
      </c>
      <c r="T1998" s="51" t="s">
        <v>2371</v>
      </c>
      <c r="U1998" s="0" t="str">
        <f aca="false">"8032754230244"</f>
        <v>8032754230244</v>
      </c>
      <c r="V1998" s="51" t="s">
        <v>3740</v>
      </c>
      <c r="W1998" s="51" t="s">
        <v>4728</v>
      </c>
      <c r="X1998" s="51" t="s">
        <v>2359</v>
      </c>
    </row>
    <row r="1999" customFormat="false" ht="14.25" hidden="true" customHeight="false" outlineLevel="0" collapsed="false">
      <c r="A1999" s="49" t="s">
        <v>2349</v>
      </c>
      <c r="B1999" s="49" t="s">
        <v>2350</v>
      </c>
      <c r="C1999" s="49" t="s">
        <v>4729</v>
      </c>
      <c r="D1999" s="49" t="s">
        <v>2352</v>
      </c>
      <c r="E1999" s="49" t="str">
        <f aca="false">"8032754230244"</f>
        <v>8032754230244</v>
      </c>
      <c r="F1999" s="49" t="s">
        <v>3737</v>
      </c>
      <c r="G1999" s="49" t="n">
        <v>0</v>
      </c>
      <c r="H1999" s="0" t="n">
        <v>0</v>
      </c>
      <c r="M1999" s="51" t="s">
        <v>4715</v>
      </c>
      <c r="N1999" s="49" t="n">
        <v>0</v>
      </c>
      <c r="O1999" s="53" t="n">
        <v>45704.3425810185</v>
      </c>
      <c r="P1999" s="53" t="n">
        <v>45853.4618981482</v>
      </c>
      <c r="Q1999" s="53" t="n">
        <v>45704.3425810185</v>
      </c>
      <c r="R1999" s="0" t="n">
        <v>0</v>
      </c>
      <c r="S1999" s="51" t="s">
        <v>2371</v>
      </c>
      <c r="T1999" s="51" t="s">
        <v>2371</v>
      </c>
      <c r="U1999" s="0" t="str">
        <f aca="false">"8032754230244"</f>
        <v>8032754230244</v>
      </c>
      <c r="V1999" s="51" t="s">
        <v>3740</v>
      </c>
      <c r="W1999" s="51" t="s">
        <v>4730</v>
      </c>
      <c r="X1999" s="51" t="s">
        <v>2359</v>
      </c>
    </row>
    <row r="2000" customFormat="false" ht="14.25" hidden="true" customHeight="false" outlineLevel="0" collapsed="false">
      <c r="A2000" s="49" t="s">
        <v>2349</v>
      </c>
      <c r="B2000" s="49" t="s">
        <v>2350</v>
      </c>
      <c r="C2000" s="49" t="s">
        <v>4731</v>
      </c>
      <c r="D2000" s="49" t="s">
        <v>2352</v>
      </c>
      <c r="E2000" s="49" t="str">
        <f aca="false">"8032754230244"</f>
        <v>8032754230244</v>
      </c>
      <c r="F2000" s="49" t="s">
        <v>3737</v>
      </c>
      <c r="G2000" s="49" t="n">
        <v>0</v>
      </c>
      <c r="H2000" s="0" t="n">
        <v>0</v>
      </c>
      <c r="M2000" s="51" t="s">
        <v>4715</v>
      </c>
      <c r="N2000" s="49" t="n">
        <v>0</v>
      </c>
      <c r="O2000" s="53" t="n">
        <v>45704.3431597222</v>
      </c>
      <c r="P2000" s="53" t="n">
        <v>45847.3783101852</v>
      </c>
      <c r="Q2000" s="53" t="n">
        <v>45704.3431597222</v>
      </c>
      <c r="R2000" s="0" t="n">
        <v>0</v>
      </c>
      <c r="S2000" s="51" t="s">
        <v>2371</v>
      </c>
      <c r="T2000" s="51" t="s">
        <v>2371</v>
      </c>
      <c r="U2000" s="0" t="str">
        <f aca="false">"8032754230244"</f>
        <v>8032754230244</v>
      </c>
      <c r="V2000" s="51" t="s">
        <v>3740</v>
      </c>
      <c r="W2000" s="51" t="s">
        <v>4732</v>
      </c>
      <c r="X2000" s="51" t="s">
        <v>2359</v>
      </c>
    </row>
    <row r="2001" customFormat="false" ht="14.25" hidden="true" customHeight="false" outlineLevel="0" collapsed="false">
      <c r="A2001" s="49" t="s">
        <v>2349</v>
      </c>
      <c r="B2001" s="49" t="s">
        <v>2350</v>
      </c>
      <c r="C2001" s="49" t="s">
        <v>4733</v>
      </c>
      <c r="D2001" s="49" t="s">
        <v>2352</v>
      </c>
      <c r="E2001" s="49" t="str">
        <f aca="false">"8032754230244"</f>
        <v>8032754230244</v>
      </c>
      <c r="F2001" s="49" t="s">
        <v>3737</v>
      </c>
      <c r="G2001" s="49" t="n">
        <v>0</v>
      </c>
      <c r="H2001" s="0" t="n">
        <v>0</v>
      </c>
      <c r="M2001" s="51" t="s">
        <v>4715</v>
      </c>
      <c r="N2001" s="49" t="n">
        <v>0</v>
      </c>
      <c r="O2001" s="53" t="n">
        <v>45704.337962963</v>
      </c>
      <c r="P2001" s="53" t="n">
        <v>45830.8159490741</v>
      </c>
      <c r="Q2001" s="53" t="n">
        <v>45704.337962963</v>
      </c>
      <c r="R2001" s="0" t="n">
        <v>0</v>
      </c>
      <c r="S2001" s="51" t="s">
        <v>2371</v>
      </c>
      <c r="T2001" s="51" t="s">
        <v>2371</v>
      </c>
      <c r="U2001" s="0" t="str">
        <f aca="false">"8032754230244"</f>
        <v>8032754230244</v>
      </c>
      <c r="V2001" s="51" t="s">
        <v>3740</v>
      </c>
      <c r="W2001" s="51" t="s">
        <v>4734</v>
      </c>
      <c r="X2001" s="51" t="s">
        <v>2359</v>
      </c>
    </row>
    <row r="2002" customFormat="false" ht="14.25" hidden="true" customHeight="false" outlineLevel="0" collapsed="false">
      <c r="A2002" s="49" t="s">
        <v>2349</v>
      </c>
      <c r="B2002" s="49" t="s">
        <v>2350</v>
      </c>
      <c r="C2002" s="49" t="s">
        <v>4735</v>
      </c>
      <c r="D2002" s="49" t="s">
        <v>2352</v>
      </c>
      <c r="E2002" s="49" t="str">
        <f aca="false">"8032754230244"</f>
        <v>8032754230244</v>
      </c>
      <c r="F2002" s="49" t="s">
        <v>3737</v>
      </c>
      <c r="G2002" s="49" t="n">
        <v>0</v>
      </c>
      <c r="H2002" s="0" t="n">
        <v>0</v>
      </c>
      <c r="M2002" s="51" t="s">
        <v>4715</v>
      </c>
      <c r="N2002" s="49" t="n">
        <v>0</v>
      </c>
      <c r="O2002" s="53" t="n">
        <v>45704.3369675926</v>
      </c>
      <c r="P2002" s="53" t="n">
        <v>45720.5667592593</v>
      </c>
      <c r="Q2002" s="53" t="n">
        <v>45704.3369675926</v>
      </c>
      <c r="R2002" s="0" t="n">
        <v>0</v>
      </c>
      <c r="S2002" s="51" t="s">
        <v>2371</v>
      </c>
      <c r="T2002" s="51" t="s">
        <v>2371</v>
      </c>
      <c r="U2002" s="0" t="str">
        <f aca="false">"8032754230244"</f>
        <v>8032754230244</v>
      </c>
      <c r="V2002" s="51" t="s">
        <v>3740</v>
      </c>
      <c r="W2002" s="51" t="s">
        <v>4736</v>
      </c>
      <c r="X2002" s="51" t="s">
        <v>2359</v>
      </c>
    </row>
    <row r="2003" customFormat="false" ht="14.25" hidden="true" customHeight="false" outlineLevel="0" collapsed="false">
      <c r="A2003" s="49" t="s">
        <v>2349</v>
      </c>
      <c r="B2003" s="49" t="s">
        <v>2350</v>
      </c>
      <c r="C2003" s="49" t="s">
        <v>4737</v>
      </c>
      <c r="D2003" s="49" t="s">
        <v>2352</v>
      </c>
      <c r="E2003" s="49" t="str">
        <f aca="false">"8032754230244"</f>
        <v>8032754230244</v>
      </c>
      <c r="F2003" s="49" t="s">
        <v>3737</v>
      </c>
      <c r="G2003" s="49" t="n">
        <v>0</v>
      </c>
      <c r="H2003" s="0" t="n">
        <v>0</v>
      </c>
      <c r="M2003" s="51" t="s">
        <v>4715</v>
      </c>
      <c r="N2003" s="49" t="n">
        <v>0</v>
      </c>
      <c r="O2003" s="53" t="n">
        <v>45704.3362384259</v>
      </c>
      <c r="P2003" s="53" t="n">
        <v>45830.814375</v>
      </c>
      <c r="Q2003" s="53" t="n">
        <v>45704.3362384259</v>
      </c>
      <c r="R2003" s="0" t="n">
        <v>0</v>
      </c>
      <c r="S2003" s="51" t="s">
        <v>2371</v>
      </c>
      <c r="T2003" s="51" t="s">
        <v>2371</v>
      </c>
      <c r="U2003" s="0" t="str">
        <f aca="false">"8032754230244"</f>
        <v>8032754230244</v>
      </c>
      <c r="V2003" s="51" t="s">
        <v>3740</v>
      </c>
      <c r="W2003" s="51" t="s">
        <v>4738</v>
      </c>
      <c r="X2003" s="51" t="s">
        <v>2359</v>
      </c>
    </row>
    <row r="2004" customFormat="false" ht="14.25" hidden="true" customHeight="false" outlineLevel="0" collapsed="false">
      <c r="A2004" s="49" t="s">
        <v>2349</v>
      </c>
      <c r="B2004" s="49" t="s">
        <v>2350</v>
      </c>
      <c r="C2004" s="49" t="s">
        <v>4739</v>
      </c>
      <c r="D2004" s="49" t="s">
        <v>2352</v>
      </c>
      <c r="E2004" s="49" t="str">
        <f aca="false">"8032754230244"</f>
        <v>8032754230244</v>
      </c>
      <c r="F2004" s="49" t="s">
        <v>3737</v>
      </c>
      <c r="G2004" s="49" t="n">
        <v>0</v>
      </c>
      <c r="H2004" s="0" t="n">
        <v>0</v>
      </c>
      <c r="M2004" s="51" t="s">
        <v>4715</v>
      </c>
      <c r="N2004" s="49" t="n">
        <v>0</v>
      </c>
      <c r="O2004" s="53" t="n">
        <v>45704.3357986111</v>
      </c>
      <c r="P2004" s="53" t="n">
        <v>45830.8144444445</v>
      </c>
      <c r="Q2004" s="53" t="n">
        <v>45704.3357986111</v>
      </c>
      <c r="R2004" s="0" t="n">
        <v>0</v>
      </c>
      <c r="S2004" s="51" t="s">
        <v>2371</v>
      </c>
      <c r="T2004" s="51" t="s">
        <v>2371</v>
      </c>
      <c r="U2004" s="0" t="str">
        <f aca="false">"8032754230244"</f>
        <v>8032754230244</v>
      </c>
      <c r="V2004" s="51" t="s">
        <v>3740</v>
      </c>
      <c r="W2004" s="51" t="s">
        <v>4740</v>
      </c>
      <c r="X2004" s="51" t="s">
        <v>2359</v>
      </c>
    </row>
    <row r="2005" customFormat="false" ht="14.25" hidden="true" customHeight="false" outlineLevel="0" collapsed="false">
      <c r="A2005" s="49" t="s">
        <v>2349</v>
      </c>
      <c r="B2005" s="49" t="s">
        <v>2350</v>
      </c>
      <c r="C2005" s="49" t="s">
        <v>4741</v>
      </c>
      <c r="D2005" s="49" t="s">
        <v>2352</v>
      </c>
      <c r="E2005" s="49" t="str">
        <f aca="false">"8032754230244"</f>
        <v>8032754230244</v>
      </c>
      <c r="F2005" s="49" t="s">
        <v>3737</v>
      </c>
      <c r="G2005" s="49" t="n">
        <v>0</v>
      </c>
      <c r="H2005" s="0" t="n">
        <v>0</v>
      </c>
      <c r="M2005" s="51" t="s">
        <v>4715</v>
      </c>
      <c r="N2005" s="49" t="n">
        <v>0</v>
      </c>
      <c r="O2005" s="53" t="n">
        <v>45704.3354976852</v>
      </c>
      <c r="P2005" s="53" t="n">
        <v>45847.3819328704</v>
      </c>
      <c r="Q2005" s="53" t="n">
        <v>45704.3354976852</v>
      </c>
      <c r="R2005" s="0" t="n">
        <v>0</v>
      </c>
      <c r="S2005" s="51" t="s">
        <v>2371</v>
      </c>
      <c r="T2005" s="51" t="s">
        <v>2371</v>
      </c>
      <c r="U2005" s="0" t="str">
        <f aca="false">"8032754230244"</f>
        <v>8032754230244</v>
      </c>
      <c r="V2005" s="51" t="s">
        <v>3740</v>
      </c>
      <c r="W2005" s="51" t="s">
        <v>4738</v>
      </c>
      <c r="X2005" s="51" t="s">
        <v>2359</v>
      </c>
    </row>
    <row r="2006" customFormat="false" ht="14.25" hidden="true" customHeight="false" outlineLevel="0" collapsed="false">
      <c r="A2006" s="49" t="s">
        <v>2349</v>
      </c>
      <c r="B2006" s="49" t="s">
        <v>2350</v>
      </c>
      <c r="C2006" s="49" t="s">
        <v>4742</v>
      </c>
      <c r="D2006" s="49" t="s">
        <v>2352</v>
      </c>
      <c r="E2006" s="49" t="str">
        <f aca="false">"8032754230244"</f>
        <v>8032754230244</v>
      </c>
      <c r="F2006" s="49" t="s">
        <v>3737</v>
      </c>
      <c r="G2006" s="49" t="n">
        <v>0</v>
      </c>
      <c r="H2006" s="0" t="n">
        <v>0</v>
      </c>
      <c r="M2006" s="51" t="s">
        <v>4715</v>
      </c>
      <c r="N2006" s="49" t="n">
        <v>0</v>
      </c>
      <c r="O2006" s="53" t="n">
        <v>45704.3350925926</v>
      </c>
      <c r="P2006" s="53" t="n">
        <v>45720.5603703704</v>
      </c>
      <c r="Q2006" s="53" t="n">
        <v>45704.3350925926</v>
      </c>
      <c r="R2006" s="0" t="n">
        <v>0</v>
      </c>
      <c r="S2006" s="51" t="s">
        <v>2371</v>
      </c>
      <c r="T2006" s="51" t="s">
        <v>2371</v>
      </c>
      <c r="U2006" s="0" t="str">
        <f aca="false">"8032754230244"</f>
        <v>8032754230244</v>
      </c>
      <c r="V2006" s="51" t="s">
        <v>3740</v>
      </c>
      <c r="W2006" s="51" t="s">
        <v>4743</v>
      </c>
      <c r="X2006" s="51" t="s">
        <v>2359</v>
      </c>
    </row>
    <row r="2007" customFormat="false" ht="14.25" hidden="true" customHeight="false" outlineLevel="0" collapsed="false">
      <c r="A2007" s="49" t="s">
        <v>2349</v>
      </c>
      <c r="B2007" s="49" t="s">
        <v>2350</v>
      </c>
      <c r="C2007" s="49" t="s">
        <v>4744</v>
      </c>
      <c r="D2007" s="49" t="s">
        <v>2352</v>
      </c>
      <c r="E2007" s="49" t="str">
        <f aca="false">"8032754230244"</f>
        <v>8032754230244</v>
      </c>
      <c r="F2007" s="49" t="s">
        <v>3737</v>
      </c>
      <c r="G2007" s="49" t="n">
        <v>0</v>
      </c>
      <c r="H2007" s="0" t="n">
        <v>0</v>
      </c>
      <c r="M2007" s="51" t="s">
        <v>4715</v>
      </c>
      <c r="N2007" s="49" t="n">
        <v>0</v>
      </c>
      <c r="O2007" s="53" t="n">
        <v>45704.3346643519</v>
      </c>
      <c r="P2007" s="53" t="n">
        <v>45830.8078935185</v>
      </c>
      <c r="Q2007" s="53" t="n">
        <v>45704.3346643519</v>
      </c>
      <c r="R2007" s="0" t="n">
        <v>0</v>
      </c>
      <c r="S2007" s="51" t="s">
        <v>2371</v>
      </c>
      <c r="T2007" s="51" t="s">
        <v>2371</v>
      </c>
      <c r="U2007" s="0" t="str">
        <f aca="false">"8032754230244"</f>
        <v>8032754230244</v>
      </c>
      <c r="V2007" s="51" t="s">
        <v>3740</v>
      </c>
      <c r="W2007" s="51" t="s">
        <v>4282</v>
      </c>
      <c r="X2007" s="51" t="s">
        <v>2359</v>
      </c>
    </row>
    <row r="2008" customFormat="false" ht="14.25" hidden="true" customHeight="false" outlineLevel="0" collapsed="false">
      <c r="A2008" s="49" t="s">
        <v>2349</v>
      </c>
      <c r="B2008" s="49" t="s">
        <v>2350</v>
      </c>
      <c r="C2008" s="49" t="s">
        <v>4745</v>
      </c>
      <c r="D2008" s="49" t="s">
        <v>2352</v>
      </c>
      <c r="E2008" s="49" t="str">
        <f aca="false">"8032754230244"</f>
        <v>8032754230244</v>
      </c>
      <c r="F2008" s="49" t="s">
        <v>3737</v>
      </c>
      <c r="G2008" s="49" t="n">
        <v>0</v>
      </c>
      <c r="H2008" s="0" t="n">
        <v>0</v>
      </c>
      <c r="M2008" s="51" t="s">
        <v>4715</v>
      </c>
      <c r="N2008" s="49" t="n">
        <v>0</v>
      </c>
      <c r="O2008" s="53" t="n">
        <v>45704.33375</v>
      </c>
      <c r="P2008" s="53" t="n">
        <v>45881.9077546296</v>
      </c>
      <c r="Q2008" s="53" t="n">
        <v>45704.33375</v>
      </c>
      <c r="R2008" s="0" t="n">
        <v>0</v>
      </c>
      <c r="S2008" s="51" t="s">
        <v>2371</v>
      </c>
      <c r="T2008" s="51" t="s">
        <v>2371</v>
      </c>
      <c r="U2008" s="0" t="str">
        <f aca="false">"8032754230244"</f>
        <v>8032754230244</v>
      </c>
      <c r="V2008" s="51" t="s">
        <v>3740</v>
      </c>
      <c r="W2008" s="51" t="s">
        <v>4525</v>
      </c>
      <c r="X2008" s="51" t="s">
        <v>2359</v>
      </c>
    </row>
    <row r="2009" customFormat="false" ht="14.25" hidden="true" customHeight="false" outlineLevel="0" collapsed="false">
      <c r="A2009" s="49" t="s">
        <v>2349</v>
      </c>
      <c r="B2009" s="49" t="s">
        <v>2350</v>
      </c>
      <c r="C2009" s="49" t="s">
        <v>4746</v>
      </c>
      <c r="D2009" s="49" t="s">
        <v>2352</v>
      </c>
      <c r="E2009" s="49" t="str">
        <f aca="false">"8032754230244"</f>
        <v>8032754230244</v>
      </c>
      <c r="F2009" s="49" t="s">
        <v>3737</v>
      </c>
      <c r="G2009" s="49" t="n">
        <v>0</v>
      </c>
      <c r="H2009" s="0" t="n">
        <v>0</v>
      </c>
      <c r="M2009" s="51" t="s">
        <v>4715</v>
      </c>
      <c r="N2009" s="49" t="n">
        <v>0</v>
      </c>
      <c r="O2009" s="53" t="n">
        <v>45704.3333449074</v>
      </c>
      <c r="P2009" s="53" t="n">
        <v>45830.8209953704</v>
      </c>
      <c r="Q2009" s="53" t="n">
        <v>45704.3333449074</v>
      </c>
      <c r="R2009" s="0" t="n">
        <v>0</v>
      </c>
      <c r="S2009" s="51" t="s">
        <v>2371</v>
      </c>
      <c r="T2009" s="51" t="s">
        <v>2371</v>
      </c>
      <c r="U2009" s="0" t="str">
        <f aca="false">"8032754230244"</f>
        <v>8032754230244</v>
      </c>
      <c r="V2009" s="51" t="s">
        <v>3740</v>
      </c>
      <c r="W2009" s="51" t="s">
        <v>4747</v>
      </c>
      <c r="X2009" s="51" t="s">
        <v>2359</v>
      </c>
    </row>
    <row r="2010" customFormat="false" ht="14.25" hidden="true" customHeight="false" outlineLevel="0" collapsed="false">
      <c r="A2010" s="49" t="s">
        <v>2349</v>
      </c>
      <c r="B2010" s="49" t="s">
        <v>2350</v>
      </c>
      <c r="C2010" s="49" t="s">
        <v>4748</v>
      </c>
      <c r="D2010" s="49" t="s">
        <v>2352</v>
      </c>
      <c r="E2010" s="49" t="str">
        <f aca="false">"8032754230244"</f>
        <v>8032754230244</v>
      </c>
      <c r="F2010" s="49" t="s">
        <v>3737</v>
      </c>
      <c r="G2010" s="49" t="n">
        <v>0</v>
      </c>
      <c r="H2010" s="0" t="n">
        <v>0</v>
      </c>
      <c r="M2010" s="51" t="s">
        <v>4715</v>
      </c>
      <c r="N2010" s="49" t="n">
        <v>0</v>
      </c>
      <c r="O2010" s="53" t="n">
        <v>45704.332962963</v>
      </c>
      <c r="P2010" s="53" t="n">
        <v>45830.8136574074</v>
      </c>
      <c r="Q2010" s="53" t="n">
        <v>45704.332962963</v>
      </c>
      <c r="R2010" s="0" t="n">
        <v>0</v>
      </c>
      <c r="S2010" s="51" t="s">
        <v>2371</v>
      </c>
      <c r="T2010" s="51" t="s">
        <v>2371</v>
      </c>
      <c r="U2010" s="0" t="str">
        <f aca="false">"8032754230244"</f>
        <v>8032754230244</v>
      </c>
      <c r="V2010" s="51" t="s">
        <v>3740</v>
      </c>
      <c r="W2010" s="51" t="s">
        <v>4749</v>
      </c>
      <c r="X2010" s="51" t="s">
        <v>2359</v>
      </c>
    </row>
    <row r="2011" customFormat="false" ht="14.25" hidden="true" customHeight="false" outlineLevel="0" collapsed="false">
      <c r="A2011" s="49" t="s">
        <v>2349</v>
      </c>
      <c r="B2011" s="49" t="s">
        <v>2350</v>
      </c>
      <c r="C2011" s="49" t="s">
        <v>4750</v>
      </c>
      <c r="D2011" s="49" t="s">
        <v>2352</v>
      </c>
      <c r="E2011" s="49" t="str">
        <f aca="false">"8032754230244"</f>
        <v>8032754230244</v>
      </c>
      <c r="F2011" s="49" t="s">
        <v>3737</v>
      </c>
      <c r="G2011" s="49" t="n">
        <v>0</v>
      </c>
      <c r="H2011" s="0" t="n">
        <v>0</v>
      </c>
      <c r="M2011" s="51" t="s">
        <v>4715</v>
      </c>
      <c r="N2011" s="49" t="n">
        <v>0</v>
      </c>
      <c r="O2011" s="53" t="n">
        <v>45704.3327199074</v>
      </c>
      <c r="P2011" s="53" t="n">
        <v>45720.5306365741</v>
      </c>
      <c r="Q2011" s="53" t="n">
        <v>45704.3327199074</v>
      </c>
      <c r="R2011" s="0" t="n">
        <v>0</v>
      </c>
      <c r="S2011" s="51" t="s">
        <v>2371</v>
      </c>
      <c r="T2011" s="51" t="s">
        <v>2371</v>
      </c>
      <c r="U2011" s="0" t="str">
        <f aca="false">"8032754230244"</f>
        <v>8032754230244</v>
      </c>
      <c r="V2011" s="51" t="s">
        <v>3740</v>
      </c>
      <c r="W2011" s="51" t="s">
        <v>4751</v>
      </c>
      <c r="X2011" s="51" t="s">
        <v>2359</v>
      </c>
    </row>
    <row r="2012" customFormat="false" ht="14.25" hidden="true" customHeight="false" outlineLevel="0" collapsed="false">
      <c r="A2012" s="49" t="s">
        <v>2349</v>
      </c>
      <c r="B2012" s="49" t="s">
        <v>2350</v>
      </c>
      <c r="C2012" s="49" t="s">
        <v>4752</v>
      </c>
      <c r="D2012" s="49" t="s">
        <v>2352</v>
      </c>
      <c r="E2012" s="49" t="str">
        <f aca="false">"8032754230244"</f>
        <v>8032754230244</v>
      </c>
      <c r="F2012" s="49" t="s">
        <v>3737</v>
      </c>
      <c r="G2012" s="49" t="n">
        <v>0</v>
      </c>
      <c r="H2012" s="0" t="n">
        <v>0</v>
      </c>
      <c r="M2012" s="51" t="s">
        <v>4715</v>
      </c>
      <c r="N2012" s="49" t="n">
        <v>0</v>
      </c>
      <c r="O2012" s="53" t="n">
        <v>45704.3323842593</v>
      </c>
      <c r="P2012" s="53" t="n">
        <v>45830.8142708333</v>
      </c>
      <c r="Q2012" s="53" t="n">
        <v>45704.3323842593</v>
      </c>
      <c r="R2012" s="0" t="n">
        <v>0</v>
      </c>
      <c r="S2012" s="51" t="s">
        <v>2371</v>
      </c>
      <c r="T2012" s="51" t="s">
        <v>2371</v>
      </c>
      <c r="U2012" s="0" t="str">
        <f aca="false">"8032754230244"</f>
        <v>8032754230244</v>
      </c>
      <c r="V2012" s="51" t="s">
        <v>3740</v>
      </c>
      <c r="W2012" s="51" t="s">
        <v>4753</v>
      </c>
      <c r="X2012" s="51" t="s">
        <v>2359</v>
      </c>
    </row>
    <row r="2013" customFormat="false" ht="14.25" hidden="true" customHeight="false" outlineLevel="0" collapsed="false">
      <c r="A2013" s="49" t="s">
        <v>2349</v>
      </c>
      <c r="B2013" s="49" t="s">
        <v>2350</v>
      </c>
      <c r="C2013" s="49" t="s">
        <v>4754</v>
      </c>
      <c r="D2013" s="49" t="s">
        <v>2352</v>
      </c>
      <c r="E2013" s="49" t="str">
        <f aca="false">"8032754230244"</f>
        <v>8032754230244</v>
      </c>
      <c r="F2013" s="49" t="s">
        <v>3737</v>
      </c>
      <c r="G2013" s="49" t="n">
        <v>0</v>
      </c>
      <c r="H2013" s="0" t="n">
        <v>0</v>
      </c>
      <c r="M2013" s="51" t="s">
        <v>4715</v>
      </c>
      <c r="N2013" s="49" t="n">
        <v>0</v>
      </c>
      <c r="O2013" s="53" t="n">
        <v>45704.3321064815</v>
      </c>
      <c r="P2013" s="53" t="n">
        <v>45720.5639583333</v>
      </c>
      <c r="Q2013" s="53" t="n">
        <v>45704.3321064815</v>
      </c>
      <c r="R2013" s="0" t="n">
        <v>0</v>
      </c>
      <c r="S2013" s="51" t="s">
        <v>2371</v>
      </c>
      <c r="T2013" s="51" t="s">
        <v>2371</v>
      </c>
      <c r="U2013" s="0" t="str">
        <f aca="false">"8032754230244"</f>
        <v>8032754230244</v>
      </c>
      <c r="V2013" s="51" t="s">
        <v>3740</v>
      </c>
      <c r="W2013" s="51" t="s">
        <v>4096</v>
      </c>
      <c r="X2013" s="51" t="s">
        <v>2359</v>
      </c>
    </row>
    <row r="2014" customFormat="false" ht="14.25" hidden="true" customHeight="false" outlineLevel="0" collapsed="false">
      <c r="A2014" s="49" t="s">
        <v>2349</v>
      </c>
      <c r="B2014" s="49" t="s">
        <v>2350</v>
      </c>
      <c r="C2014" s="49" t="s">
        <v>4755</v>
      </c>
      <c r="D2014" s="49" t="s">
        <v>2352</v>
      </c>
      <c r="E2014" s="49" t="str">
        <f aca="false">"8032754230244"</f>
        <v>8032754230244</v>
      </c>
      <c r="F2014" s="49" t="s">
        <v>3737</v>
      </c>
      <c r="G2014" s="49" t="n">
        <v>0</v>
      </c>
      <c r="H2014" s="0" t="n">
        <v>0</v>
      </c>
      <c r="M2014" s="51" t="s">
        <v>4715</v>
      </c>
      <c r="N2014" s="49" t="n">
        <v>0</v>
      </c>
      <c r="O2014" s="53" t="n">
        <v>45704.3315393519</v>
      </c>
      <c r="P2014" s="53" t="n">
        <v>45885.4769328704</v>
      </c>
      <c r="Q2014" s="53" t="n">
        <v>45704.3315393519</v>
      </c>
      <c r="R2014" s="0" t="n">
        <v>0</v>
      </c>
      <c r="S2014" s="51" t="s">
        <v>2371</v>
      </c>
      <c r="T2014" s="51" t="s">
        <v>2371</v>
      </c>
      <c r="U2014" s="0" t="str">
        <f aca="false">"8032754230244"</f>
        <v>8032754230244</v>
      </c>
      <c r="V2014" s="51" t="s">
        <v>3740</v>
      </c>
      <c r="W2014" s="51" t="s">
        <v>4525</v>
      </c>
      <c r="X2014" s="51" t="s">
        <v>2359</v>
      </c>
    </row>
    <row r="2015" customFormat="false" ht="14.25" hidden="true" customHeight="false" outlineLevel="0" collapsed="false">
      <c r="A2015" s="49" t="s">
        <v>2349</v>
      </c>
      <c r="B2015" s="49" t="s">
        <v>2350</v>
      </c>
      <c r="C2015" s="49" t="s">
        <v>4756</v>
      </c>
      <c r="D2015" s="49" t="s">
        <v>2352</v>
      </c>
      <c r="E2015" s="49" t="str">
        <f aca="false">"8032754230244"</f>
        <v>8032754230244</v>
      </c>
      <c r="F2015" s="49" t="s">
        <v>3737</v>
      </c>
      <c r="G2015" s="49" t="n">
        <v>0</v>
      </c>
      <c r="H2015" s="0" t="n">
        <v>0</v>
      </c>
      <c r="M2015" s="51" t="s">
        <v>4715</v>
      </c>
      <c r="N2015" s="49" t="n">
        <v>0</v>
      </c>
      <c r="O2015" s="53" t="n">
        <v>45704.3311111111</v>
      </c>
      <c r="P2015" s="53" t="n">
        <v>45830.816724537</v>
      </c>
      <c r="Q2015" s="53" t="n">
        <v>45704.3311111111</v>
      </c>
      <c r="R2015" s="0" t="n">
        <v>0</v>
      </c>
      <c r="S2015" s="51" t="s">
        <v>2371</v>
      </c>
      <c r="T2015" s="51" t="s">
        <v>2371</v>
      </c>
      <c r="U2015" s="0" t="str">
        <f aca="false">"8032754230244"</f>
        <v>8032754230244</v>
      </c>
      <c r="V2015" s="51" t="s">
        <v>3740</v>
      </c>
      <c r="W2015" s="51" t="s">
        <v>4757</v>
      </c>
      <c r="X2015" s="51" t="s">
        <v>2359</v>
      </c>
    </row>
    <row r="2016" customFormat="false" ht="14.25" hidden="true" customHeight="false" outlineLevel="0" collapsed="false">
      <c r="A2016" s="49" t="s">
        <v>2349</v>
      </c>
      <c r="B2016" s="49" t="s">
        <v>2350</v>
      </c>
      <c r="C2016" s="49" t="s">
        <v>4758</v>
      </c>
      <c r="D2016" s="49" t="s">
        <v>2352</v>
      </c>
      <c r="E2016" s="49" t="str">
        <f aca="false">"8032754230244"</f>
        <v>8032754230244</v>
      </c>
      <c r="F2016" s="49" t="s">
        <v>3737</v>
      </c>
      <c r="G2016" s="49" t="n">
        <v>0</v>
      </c>
      <c r="H2016" s="0" t="n">
        <v>0</v>
      </c>
      <c r="M2016" s="51" t="s">
        <v>4715</v>
      </c>
      <c r="N2016" s="49" t="n">
        <v>0</v>
      </c>
      <c r="O2016" s="53" t="n">
        <v>45704.3305787037</v>
      </c>
      <c r="P2016" s="53" t="n">
        <v>45868.4821180556</v>
      </c>
      <c r="Q2016" s="53" t="n">
        <v>45704.3305787037</v>
      </c>
      <c r="R2016" s="0" t="n">
        <v>0</v>
      </c>
      <c r="S2016" s="51" t="s">
        <v>2371</v>
      </c>
      <c r="T2016" s="51" t="s">
        <v>2371</v>
      </c>
      <c r="U2016" s="0" t="str">
        <f aca="false">"8032754230244"</f>
        <v>8032754230244</v>
      </c>
      <c r="V2016" s="51" t="s">
        <v>3740</v>
      </c>
      <c r="W2016" s="51" t="s">
        <v>4759</v>
      </c>
      <c r="X2016" s="51" t="s">
        <v>2359</v>
      </c>
    </row>
    <row r="2017" customFormat="false" ht="14.25" hidden="true" customHeight="false" outlineLevel="0" collapsed="false">
      <c r="A2017" s="49" t="s">
        <v>2349</v>
      </c>
      <c r="B2017" s="49" t="s">
        <v>2350</v>
      </c>
      <c r="C2017" s="49" t="s">
        <v>4760</v>
      </c>
      <c r="D2017" s="49" t="s">
        <v>2352</v>
      </c>
      <c r="E2017" s="49" t="str">
        <f aca="false">"8032754230244"</f>
        <v>8032754230244</v>
      </c>
      <c r="F2017" s="49" t="s">
        <v>3737</v>
      </c>
      <c r="G2017" s="49" t="n">
        <v>0</v>
      </c>
      <c r="H2017" s="0" t="n">
        <v>0</v>
      </c>
      <c r="M2017" s="51" t="s">
        <v>4715</v>
      </c>
      <c r="N2017" s="49" t="n">
        <v>0</v>
      </c>
      <c r="O2017" s="53" t="n">
        <v>45704.3302893519</v>
      </c>
      <c r="P2017" s="53" t="n">
        <v>45830.8180439815</v>
      </c>
      <c r="Q2017" s="53" t="n">
        <v>45704.3302893519</v>
      </c>
      <c r="R2017" s="0" t="n">
        <v>0</v>
      </c>
      <c r="S2017" s="51" t="s">
        <v>2371</v>
      </c>
      <c r="T2017" s="51" t="s">
        <v>2371</v>
      </c>
      <c r="U2017" s="0" t="str">
        <f aca="false">"8032754230244"</f>
        <v>8032754230244</v>
      </c>
      <c r="V2017" s="51" t="s">
        <v>3740</v>
      </c>
      <c r="W2017" s="51" t="s">
        <v>4761</v>
      </c>
      <c r="X2017" s="51" t="s">
        <v>2359</v>
      </c>
    </row>
    <row r="2018" customFormat="false" ht="14.25" hidden="true" customHeight="false" outlineLevel="0" collapsed="false">
      <c r="A2018" s="49" t="s">
        <v>2349</v>
      </c>
      <c r="B2018" s="49" t="s">
        <v>2350</v>
      </c>
      <c r="C2018" s="49" t="s">
        <v>4762</v>
      </c>
      <c r="D2018" s="49" t="s">
        <v>2352</v>
      </c>
      <c r="E2018" s="49" t="str">
        <f aca="false">"8032754230244"</f>
        <v>8032754230244</v>
      </c>
      <c r="F2018" s="49" t="s">
        <v>3737</v>
      </c>
      <c r="G2018" s="49" t="n">
        <v>0</v>
      </c>
      <c r="H2018" s="0" t="n">
        <v>0</v>
      </c>
      <c r="M2018" s="51" t="s">
        <v>4715</v>
      </c>
      <c r="N2018" s="49" t="n">
        <v>0</v>
      </c>
      <c r="O2018" s="53" t="n">
        <v>45704.3299537037</v>
      </c>
      <c r="P2018" s="53" t="n">
        <v>45776.0228009259</v>
      </c>
      <c r="Q2018" s="53" t="n">
        <v>45704.3299537037</v>
      </c>
      <c r="R2018" s="0" t="n">
        <v>0</v>
      </c>
      <c r="S2018" s="51" t="s">
        <v>2371</v>
      </c>
      <c r="T2018" s="51" t="s">
        <v>2371</v>
      </c>
      <c r="U2018" s="0" t="str">
        <f aca="false">"8032754230244"</f>
        <v>8032754230244</v>
      </c>
      <c r="V2018" s="51" t="s">
        <v>3740</v>
      </c>
      <c r="W2018" s="51" t="s">
        <v>4763</v>
      </c>
      <c r="X2018" s="51" t="s">
        <v>2359</v>
      </c>
    </row>
    <row r="2019" customFormat="false" ht="14.25" hidden="true" customHeight="false" outlineLevel="0" collapsed="false">
      <c r="A2019" s="49" t="s">
        <v>2349</v>
      </c>
      <c r="B2019" s="49" t="s">
        <v>2350</v>
      </c>
      <c r="C2019" s="49" t="s">
        <v>4764</v>
      </c>
      <c r="D2019" s="49" t="s">
        <v>2352</v>
      </c>
      <c r="E2019" s="49" t="str">
        <f aca="false">"8032754230244"</f>
        <v>8032754230244</v>
      </c>
      <c r="F2019" s="49" t="s">
        <v>3737</v>
      </c>
      <c r="G2019" s="49" t="n">
        <v>0</v>
      </c>
      <c r="H2019" s="0" t="n">
        <v>0</v>
      </c>
      <c r="M2019" s="51" t="s">
        <v>4715</v>
      </c>
      <c r="N2019" s="49" t="n">
        <v>0</v>
      </c>
      <c r="O2019" s="53" t="n">
        <v>45704.3296064815</v>
      </c>
      <c r="P2019" s="53" t="n">
        <v>45830.816875</v>
      </c>
      <c r="Q2019" s="53" t="n">
        <v>45704.3296064815</v>
      </c>
      <c r="R2019" s="0" t="n">
        <v>0</v>
      </c>
      <c r="S2019" s="51" t="s">
        <v>2371</v>
      </c>
      <c r="T2019" s="51" t="s">
        <v>2371</v>
      </c>
      <c r="U2019" s="0" t="str">
        <f aca="false">"8032754230244"</f>
        <v>8032754230244</v>
      </c>
      <c r="V2019" s="51" t="s">
        <v>3740</v>
      </c>
      <c r="W2019" s="51" t="s">
        <v>4765</v>
      </c>
      <c r="X2019" s="51" t="s">
        <v>2359</v>
      </c>
    </row>
    <row r="2020" customFormat="false" ht="14.25" hidden="true" customHeight="false" outlineLevel="0" collapsed="false">
      <c r="A2020" s="49" t="s">
        <v>2349</v>
      </c>
      <c r="B2020" s="49" t="s">
        <v>2350</v>
      </c>
      <c r="C2020" s="49" t="s">
        <v>4766</v>
      </c>
      <c r="D2020" s="49" t="s">
        <v>2352</v>
      </c>
      <c r="E2020" s="49" t="str">
        <f aca="false">"8032754230244"</f>
        <v>8032754230244</v>
      </c>
      <c r="F2020" s="49" t="s">
        <v>3737</v>
      </c>
      <c r="G2020" s="49" t="n">
        <v>0</v>
      </c>
      <c r="H2020" s="0" t="n">
        <v>0</v>
      </c>
      <c r="M2020" s="51" t="s">
        <v>4715</v>
      </c>
      <c r="N2020" s="49" t="n">
        <v>0</v>
      </c>
      <c r="O2020" s="53" t="n">
        <v>45704.3293287037</v>
      </c>
      <c r="P2020" s="53" t="n">
        <v>45830.8106828704</v>
      </c>
      <c r="Q2020" s="53" t="n">
        <v>45704.3293287037</v>
      </c>
      <c r="R2020" s="0" t="n">
        <v>0</v>
      </c>
      <c r="S2020" s="51" t="s">
        <v>2371</v>
      </c>
      <c r="T2020" s="51" t="s">
        <v>2371</v>
      </c>
      <c r="U2020" s="0" t="str">
        <f aca="false">"8032754230244"</f>
        <v>8032754230244</v>
      </c>
      <c r="V2020" s="51" t="s">
        <v>3740</v>
      </c>
      <c r="W2020" s="51" t="s">
        <v>4767</v>
      </c>
      <c r="X2020" s="51" t="s">
        <v>2359</v>
      </c>
    </row>
    <row r="2021" customFormat="false" ht="14.25" hidden="true" customHeight="false" outlineLevel="0" collapsed="false">
      <c r="A2021" s="49" t="s">
        <v>2349</v>
      </c>
      <c r="B2021" s="49" t="s">
        <v>2350</v>
      </c>
      <c r="C2021" s="49" t="s">
        <v>4768</v>
      </c>
      <c r="D2021" s="49" t="s">
        <v>2352</v>
      </c>
      <c r="E2021" s="49" t="str">
        <f aca="false">"8032754230244"</f>
        <v>8032754230244</v>
      </c>
      <c r="F2021" s="49" t="s">
        <v>3737</v>
      </c>
      <c r="G2021" s="49" t="n">
        <v>0</v>
      </c>
      <c r="H2021" s="0" t="n">
        <v>0</v>
      </c>
      <c r="M2021" s="51" t="s">
        <v>4715</v>
      </c>
      <c r="N2021" s="49" t="n">
        <v>0</v>
      </c>
      <c r="O2021" s="53" t="n">
        <v>45704.3290393519</v>
      </c>
      <c r="P2021" s="53" t="n">
        <v>45830.8169675926</v>
      </c>
      <c r="Q2021" s="53" t="n">
        <v>45704.3290393519</v>
      </c>
      <c r="R2021" s="0" t="n">
        <v>0</v>
      </c>
      <c r="S2021" s="51" t="s">
        <v>2371</v>
      </c>
      <c r="T2021" s="51" t="s">
        <v>2371</v>
      </c>
      <c r="U2021" s="0" t="str">
        <f aca="false">"8032754230244"</f>
        <v>8032754230244</v>
      </c>
      <c r="V2021" s="51" t="s">
        <v>3740</v>
      </c>
      <c r="W2021" s="51" t="s">
        <v>4769</v>
      </c>
      <c r="X2021" s="51" t="s">
        <v>2359</v>
      </c>
    </row>
    <row r="2022" customFormat="false" ht="14.25" hidden="true" customHeight="false" outlineLevel="0" collapsed="false">
      <c r="A2022" s="49" t="s">
        <v>2349</v>
      </c>
      <c r="B2022" s="49" t="s">
        <v>2350</v>
      </c>
      <c r="C2022" s="49" t="s">
        <v>4770</v>
      </c>
      <c r="D2022" s="49" t="s">
        <v>2352</v>
      </c>
      <c r="E2022" s="49" t="str">
        <f aca="false">"8032754230244"</f>
        <v>8032754230244</v>
      </c>
      <c r="F2022" s="49" t="s">
        <v>3737</v>
      </c>
      <c r="G2022" s="49" t="n">
        <v>0</v>
      </c>
      <c r="H2022" s="0" t="n">
        <v>0</v>
      </c>
      <c r="M2022" s="51" t="s">
        <v>4715</v>
      </c>
      <c r="N2022" s="49" t="n">
        <v>0</v>
      </c>
      <c r="O2022" s="53" t="n">
        <v>45704.3284606482</v>
      </c>
      <c r="P2022" s="53" t="n">
        <v>45720.5571064815</v>
      </c>
      <c r="Q2022" s="53" t="n">
        <v>45704.3284606482</v>
      </c>
      <c r="R2022" s="0" t="n">
        <v>0</v>
      </c>
      <c r="S2022" s="51" t="s">
        <v>2371</v>
      </c>
      <c r="T2022" s="51" t="s">
        <v>2371</v>
      </c>
      <c r="U2022" s="0" t="str">
        <f aca="false">"8032754230244"</f>
        <v>8032754230244</v>
      </c>
      <c r="V2022" s="51" t="s">
        <v>3740</v>
      </c>
      <c r="W2022" s="51" t="s">
        <v>4771</v>
      </c>
      <c r="X2022" s="51" t="s">
        <v>2359</v>
      </c>
    </row>
    <row r="2023" customFormat="false" ht="14.25" hidden="true" customHeight="false" outlineLevel="0" collapsed="false">
      <c r="A2023" s="49" t="s">
        <v>2349</v>
      </c>
      <c r="B2023" s="49" t="s">
        <v>2350</v>
      </c>
      <c r="C2023" s="49" t="s">
        <v>4772</v>
      </c>
      <c r="D2023" s="49" t="s">
        <v>2352</v>
      </c>
      <c r="E2023" s="49" t="str">
        <f aca="false">"8032754230244"</f>
        <v>8032754230244</v>
      </c>
      <c r="F2023" s="49" t="s">
        <v>3737</v>
      </c>
      <c r="G2023" s="49" t="n">
        <v>0</v>
      </c>
      <c r="H2023" s="0" t="n">
        <v>0</v>
      </c>
      <c r="M2023" s="51" t="s">
        <v>4715</v>
      </c>
      <c r="N2023" s="49" t="n">
        <v>0</v>
      </c>
      <c r="O2023" s="53" t="n">
        <v>45704.3282638889</v>
      </c>
      <c r="P2023" s="53" t="n">
        <v>45830.8056944445</v>
      </c>
      <c r="Q2023" s="53" t="n">
        <v>45704.3282638889</v>
      </c>
      <c r="R2023" s="0" t="n">
        <v>0</v>
      </c>
      <c r="S2023" s="51" t="s">
        <v>2371</v>
      </c>
      <c r="T2023" s="51" t="s">
        <v>2371</v>
      </c>
      <c r="U2023" s="0" t="str">
        <f aca="false">"8032754230244"</f>
        <v>8032754230244</v>
      </c>
      <c r="V2023" s="51" t="s">
        <v>3740</v>
      </c>
      <c r="W2023" s="51" t="s">
        <v>4773</v>
      </c>
      <c r="X2023" s="51" t="s">
        <v>2359</v>
      </c>
    </row>
    <row r="2024" customFormat="false" ht="14.25" hidden="true" customHeight="false" outlineLevel="0" collapsed="false">
      <c r="A2024" s="49" t="s">
        <v>2349</v>
      </c>
      <c r="B2024" s="49" t="s">
        <v>2350</v>
      </c>
      <c r="C2024" s="49" t="s">
        <v>4774</v>
      </c>
      <c r="D2024" s="49" t="s">
        <v>2352</v>
      </c>
      <c r="E2024" s="49" t="str">
        <f aca="false">"8032754230244"</f>
        <v>8032754230244</v>
      </c>
      <c r="F2024" s="49" t="s">
        <v>3737</v>
      </c>
      <c r="G2024" s="49" t="n">
        <v>0</v>
      </c>
      <c r="H2024" s="0" t="n">
        <v>0</v>
      </c>
      <c r="M2024" s="51" t="s">
        <v>4715</v>
      </c>
      <c r="N2024" s="49" t="n">
        <v>0</v>
      </c>
      <c r="O2024" s="53" t="n">
        <v>45704.3281018519</v>
      </c>
      <c r="P2024" s="53" t="n">
        <v>45808.6047685185</v>
      </c>
      <c r="Q2024" s="53" t="n">
        <v>45704.3281018519</v>
      </c>
      <c r="R2024" s="0" t="n">
        <v>0</v>
      </c>
      <c r="S2024" s="51" t="s">
        <v>2371</v>
      </c>
      <c r="T2024" s="51" t="s">
        <v>2371</v>
      </c>
      <c r="U2024" s="0" t="str">
        <f aca="false">"8032754230244"</f>
        <v>8032754230244</v>
      </c>
      <c r="V2024" s="51" t="s">
        <v>3740</v>
      </c>
      <c r="W2024" s="51" t="s">
        <v>4775</v>
      </c>
      <c r="X2024" s="51" t="s">
        <v>2359</v>
      </c>
    </row>
    <row r="2025" customFormat="false" ht="14.25" hidden="true" customHeight="false" outlineLevel="0" collapsed="false">
      <c r="A2025" s="49" t="s">
        <v>2349</v>
      </c>
      <c r="B2025" s="49" t="s">
        <v>2350</v>
      </c>
      <c r="C2025" s="49" t="s">
        <v>4776</v>
      </c>
      <c r="D2025" s="49" t="s">
        <v>2352</v>
      </c>
      <c r="E2025" s="49" t="str">
        <f aca="false">"8032754230244"</f>
        <v>8032754230244</v>
      </c>
      <c r="F2025" s="49" t="s">
        <v>3737</v>
      </c>
      <c r="G2025" s="49" t="n">
        <v>0</v>
      </c>
      <c r="H2025" s="0" t="n">
        <v>0</v>
      </c>
      <c r="M2025" s="51" t="s">
        <v>4715</v>
      </c>
      <c r="N2025" s="49" t="n">
        <v>0</v>
      </c>
      <c r="O2025" s="53" t="n">
        <v>45704.3278935185</v>
      </c>
      <c r="P2025" s="53" t="n">
        <v>45720.5292013889</v>
      </c>
      <c r="Q2025" s="53" t="n">
        <v>45704.3278935185</v>
      </c>
      <c r="R2025" s="0" t="n">
        <v>0</v>
      </c>
      <c r="S2025" s="51" t="s">
        <v>2371</v>
      </c>
      <c r="T2025" s="51" t="s">
        <v>2371</v>
      </c>
      <c r="U2025" s="0" t="str">
        <f aca="false">"8032754230244"</f>
        <v>8032754230244</v>
      </c>
      <c r="V2025" s="51" t="s">
        <v>3740</v>
      </c>
      <c r="W2025" s="51" t="s">
        <v>4777</v>
      </c>
      <c r="X2025" s="51" t="s">
        <v>2359</v>
      </c>
    </row>
    <row r="2026" customFormat="false" ht="14.25" hidden="true" customHeight="false" outlineLevel="0" collapsed="false">
      <c r="A2026" s="49" t="s">
        <v>2349</v>
      </c>
      <c r="B2026" s="49" t="s">
        <v>2350</v>
      </c>
      <c r="C2026" s="49" t="s">
        <v>4778</v>
      </c>
      <c r="D2026" s="49" t="s">
        <v>2352</v>
      </c>
      <c r="E2026" s="49" t="str">
        <f aca="false">"8032754230244"</f>
        <v>8032754230244</v>
      </c>
      <c r="F2026" s="49" t="s">
        <v>3737</v>
      </c>
      <c r="G2026" s="49" t="n">
        <v>0</v>
      </c>
      <c r="H2026" s="0" t="n">
        <v>0</v>
      </c>
      <c r="M2026" s="51" t="s">
        <v>4715</v>
      </c>
      <c r="N2026" s="49" t="n">
        <v>0</v>
      </c>
      <c r="O2026" s="53" t="n">
        <v>45704.3277546296</v>
      </c>
      <c r="P2026" s="53" t="n">
        <v>45743.5875925926</v>
      </c>
      <c r="Q2026" s="53" t="n">
        <v>45704.3277546296</v>
      </c>
      <c r="R2026" s="0" t="n">
        <v>0</v>
      </c>
      <c r="S2026" s="51" t="s">
        <v>2371</v>
      </c>
      <c r="T2026" s="51" t="s">
        <v>2371</v>
      </c>
      <c r="U2026" s="0" t="str">
        <f aca="false">"8032754230244"</f>
        <v>8032754230244</v>
      </c>
      <c r="V2026" s="51" t="s">
        <v>3740</v>
      </c>
      <c r="W2026" s="51" t="s">
        <v>4779</v>
      </c>
      <c r="X2026" s="51" t="s">
        <v>2359</v>
      </c>
    </row>
    <row r="2027" customFormat="false" ht="14.25" hidden="true" customHeight="false" outlineLevel="0" collapsed="false">
      <c r="A2027" s="49" t="s">
        <v>2349</v>
      </c>
      <c r="B2027" s="49" t="s">
        <v>2350</v>
      </c>
      <c r="C2027" s="49" t="s">
        <v>4780</v>
      </c>
      <c r="D2027" s="49" t="s">
        <v>2352</v>
      </c>
      <c r="E2027" s="49" t="str">
        <f aca="false">"8032754230244"</f>
        <v>8032754230244</v>
      </c>
      <c r="F2027" s="49" t="s">
        <v>3737</v>
      </c>
      <c r="G2027" s="49" t="n">
        <v>0</v>
      </c>
      <c r="H2027" s="0" t="n">
        <v>0</v>
      </c>
      <c r="M2027" s="51" t="s">
        <v>4715</v>
      </c>
      <c r="N2027" s="49" t="n">
        <v>0</v>
      </c>
      <c r="O2027" s="53" t="n">
        <v>45704.3275810185</v>
      </c>
      <c r="P2027" s="53" t="n">
        <v>45743.5829861111</v>
      </c>
      <c r="Q2027" s="53" t="n">
        <v>45704.3275810185</v>
      </c>
      <c r="R2027" s="0" t="n">
        <v>0</v>
      </c>
      <c r="S2027" s="51" t="s">
        <v>2371</v>
      </c>
      <c r="T2027" s="51" t="s">
        <v>2371</v>
      </c>
      <c r="U2027" s="0" t="str">
        <f aca="false">"8032754230244"</f>
        <v>8032754230244</v>
      </c>
      <c r="V2027" s="51" t="s">
        <v>3740</v>
      </c>
      <c r="W2027" s="51" t="s">
        <v>4503</v>
      </c>
      <c r="X2027" s="51" t="s">
        <v>2359</v>
      </c>
    </row>
    <row r="2028" customFormat="false" ht="14.25" hidden="true" customHeight="false" outlineLevel="0" collapsed="false">
      <c r="A2028" s="49" t="s">
        <v>2349</v>
      </c>
      <c r="B2028" s="49" t="s">
        <v>2350</v>
      </c>
      <c r="C2028" s="49" t="s">
        <v>4781</v>
      </c>
      <c r="D2028" s="49" t="s">
        <v>2352</v>
      </c>
      <c r="E2028" s="49" t="str">
        <f aca="false">"8032754230244"</f>
        <v>8032754230244</v>
      </c>
      <c r="F2028" s="49" t="s">
        <v>3737</v>
      </c>
      <c r="G2028" s="49" t="n">
        <v>0</v>
      </c>
      <c r="H2028" s="0" t="n">
        <v>0</v>
      </c>
      <c r="M2028" s="51" t="s">
        <v>4715</v>
      </c>
      <c r="N2028" s="49" t="n">
        <v>0</v>
      </c>
      <c r="O2028" s="53" t="n">
        <v>45704.3273726852</v>
      </c>
      <c r="P2028" s="53" t="n">
        <v>45743.5819907407</v>
      </c>
      <c r="Q2028" s="53" t="n">
        <v>45704.3273726852</v>
      </c>
      <c r="R2028" s="0" t="n">
        <v>0</v>
      </c>
      <c r="S2028" s="51" t="s">
        <v>2371</v>
      </c>
      <c r="T2028" s="51" t="s">
        <v>2371</v>
      </c>
      <c r="U2028" s="0" t="str">
        <f aca="false">"8032754230244"</f>
        <v>8032754230244</v>
      </c>
      <c r="V2028" s="51" t="s">
        <v>3740</v>
      </c>
      <c r="W2028" s="51" t="s">
        <v>4782</v>
      </c>
      <c r="X2028" s="51" t="s">
        <v>2359</v>
      </c>
    </row>
    <row r="2029" customFormat="false" ht="14.25" hidden="true" customHeight="false" outlineLevel="0" collapsed="false">
      <c r="A2029" s="49" t="s">
        <v>2349</v>
      </c>
      <c r="B2029" s="49" t="s">
        <v>2350</v>
      </c>
      <c r="C2029" s="49" t="s">
        <v>4783</v>
      </c>
      <c r="D2029" s="49" t="s">
        <v>2352</v>
      </c>
      <c r="E2029" s="49" t="str">
        <f aca="false">"8032754230244"</f>
        <v>8032754230244</v>
      </c>
      <c r="F2029" s="49" t="s">
        <v>3737</v>
      </c>
      <c r="G2029" s="49" t="n">
        <v>0</v>
      </c>
      <c r="H2029" s="0" t="n">
        <v>0</v>
      </c>
      <c r="M2029" s="51" t="s">
        <v>4715</v>
      </c>
      <c r="N2029" s="49" t="n">
        <v>0</v>
      </c>
      <c r="O2029" s="53" t="n">
        <v>45704.3271990741</v>
      </c>
      <c r="P2029" s="53" t="n">
        <v>45741.5346759259</v>
      </c>
      <c r="Q2029" s="53" t="n">
        <v>45704.3271990741</v>
      </c>
      <c r="R2029" s="0" t="n">
        <v>0</v>
      </c>
      <c r="S2029" s="51" t="s">
        <v>2371</v>
      </c>
      <c r="T2029" s="51" t="s">
        <v>2371</v>
      </c>
      <c r="U2029" s="0" t="str">
        <f aca="false">"8032754230244"</f>
        <v>8032754230244</v>
      </c>
      <c r="V2029" s="51" t="s">
        <v>3740</v>
      </c>
      <c r="W2029" s="51" t="s">
        <v>4784</v>
      </c>
      <c r="X2029" s="51" t="s">
        <v>2359</v>
      </c>
    </row>
    <row r="2030" customFormat="false" ht="14.25" hidden="true" customHeight="false" outlineLevel="0" collapsed="false">
      <c r="A2030" s="49" t="s">
        <v>2349</v>
      </c>
      <c r="B2030" s="49" t="s">
        <v>2350</v>
      </c>
      <c r="C2030" s="49" t="s">
        <v>4785</v>
      </c>
      <c r="D2030" s="49" t="s">
        <v>2352</v>
      </c>
      <c r="E2030" s="49" t="str">
        <f aca="false">"8032754230244"</f>
        <v>8032754230244</v>
      </c>
      <c r="F2030" s="49" t="s">
        <v>3737</v>
      </c>
      <c r="G2030" s="49" t="n">
        <v>0</v>
      </c>
      <c r="H2030" s="0" t="n">
        <v>0</v>
      </c>
      <c r="M2030" s="51" t="s">
        <v>4715</v>
      </c>
      <c r="N2030" s="49" t="n">
        <v>0</v>
      </c>
      <c r="O2030" s="53" t="n">
        <v>45704.3269907407</v>
      </c>
      <c r="P2030" s="53" t="n">
        <v>45720.5334143519</v>
      </c>
      <c r="Q2030" s="53" t="n">
        <v>45704.3269907407</v>
      </c>
      <c r="R2030" s="0" t="n">
        <v>0</v>
      </c>
      <c r="S2030" s="51" t="s">
        <v>2371</v>
      </c>
      <c r="T2030" s="51" t="s">
        <v>2371</v>
      </c>
      <c r="U2030" s="0" t="str">
        <f aca="false">"8032754230244"</f>
        <v>8032754230244</v>
      </c>
      <c r="V2030" s="51" t="s">
        <v>3740</v>
      </c>
      <c r="W2030" s="51" t="s">
        <v>4786</v>
      </c>
      <c r="X2030" s="51" t="s">
        <v>2359</v>
      </c>
    </row>
    <row r="2031" customFormat="false" ht="14.25" hidden="true" customHeight="false" outlineLevel="0" collapsed="false">
      <c r="A2031" s="49" t="s">
        <v>2349</v>
      </c>
      <c r="B2031" s="49" t="s">
        <v>2350</v>
      </c>
      <c r="C2031" s="49" t="s">
        <v>4787</v>
      </c>
      <c r="D2031" s="49" t="s">
        <v>2352</v>
      </c>
      <c r="E2031" s="49" t="str">
        <f aca="false">"8032754230244"</f>
        <v>8032754230244</v>
      </c>
      <c r="F2031" s="49" t="s">
        <v>3737</v>
      </c>
      <c r="G2031" s="49" t="n">
        <v>0</v>
      </c>
      <c r="H2031" s="0" t="n">
        <v>0</v>
      </c>
      <c r="M2031" s="51" t="s">
        <v>4715</v>
      </c>
      <c r="N2031" s="49" t="n">
        <v>0</v>
      </c>
      <c r="O2031" s="53" t="n">
        <v>45704.3268055556</v>
      </c>
      <c r="P2031" s="53" t="n">
        <v>45720.5326273148</v>
      </c>
      <c r="Q2031" s="53" t="n">
        <v>45704.3268055556</v>
      </c>
      <c r="R2031" s="0" t="n">
        <v>0</v>
      </c>
      <c r="S2031" s="51" t="s">
        <v>2371</v>
      </c>
      <c r="T2031" s="51" t="s">
        <v>2371</v>
      </c>
      <c r="U2031" s="0" t="str">
        <f aca="false">"8032754230244"</f>
        <v>8032754230244</v>
      </c>
      <c r="V2031" s="51" t="s">
        <v>3740</v>
      </c>
      <c r="W2031" s="51" t="s">
        <v>4788</v>
      </c>
      <c r="X2031" s="51" t="s">
        <v>2359</v>
      </c>
    </row>
    <row r="2032" customFormat="false" ht="14.25" hidden="true" customHeight="false" outlineLevel="0" collapsed="false">
      <c r="A2032" s="49" t="s">
        <v>2349</v>
      </c>
      <c r="B2032" s="49" t="s">
        <v>2350</v>
      </c>
      <c r="C2032" s="49" t="s">
        <v>4789</v>
      </c>
      <c r="D2032" s="49" t="s">
        <v>2352</v>
      </c>
      <c r="E2032" s="49" t="s">
        <v>4166</v>
      </c>
      <c r="F2032" s="49" t="s">
        <v>4167</v>
      </c>
      <c r="G2032" s="49" t="n">
        <v>0</v>
      </c>
      <c r="H2032" s="0" t="n">
        <v>0</v>
      </c>
      <c r="M2032" s="51" t="s">
        <v>4790</v>
      </c>
      <c r="N2032" s="49" t="n">
        <v>0</v>
      </c>
      <c r="O2032" s="53" t="n">
        <v>45710.6421064815</v>
      </c>
      <c r="P2032" s="53" t="n">
        <v>45719.5913541667</v>
      </c>
      <c r="Q2032" s="53" t="n">
        <v>45710.6421064815</v>
      </c>
      <c r="R2032" s="0" t="n">
        <v>0</v>
      </c>
      <c r="S2032" s="51" t="s">
        <v>2356</v>
      </c>
      <c r="T2032" s="51" t="s">
        <v>2356</v>
      </c>
      <c r="U2032" s="51" t="s">
        <v>4166</v>
      </c>
      <c r="V2032" s="51" t="s">
        <v>2365</v>
      </c>
      <c r="W2032" s="51" t="s">
        <v>4169</v>
      </c>
      <c r="X2032" s="51" t="s">
        <v>2359</v>
      </c>
    </row>
    <row r="2033" customFormat="false" ht="14.25" hidden="true" customHeight="false" outlineLevel="0" collapsed="false">
      <c r="A2033" s="49" t="s">
        <v>2349</v>
      </c>
      <c r="B2033" s="49" t="s">
        <v>2350</v>
      </c>
      <c r="C2033" s="49" t="s">
        <v>4791</v>
      </c>
      <c r="D2033" s="49" t="s">
        <v>2352</v>
      </c>
      <c r="E2033" s="49" t="s">
        <v>4166</v>
      </c>
      <c r="F2033" s="49" t="s">
        <v>4167</v>
      </c>
      <c r="G2033" s="49" t="n">
        <v>0</v>
      </c>
      <c r="H2033" s="0" t="n">
        <v>0</v>
      </c>
      <c r="M2033" s="51" t="s">
        <v>4790</v>
      </c>
      <c r="N2033" s="49" t="n">
        <v>0</v>
      </c>
      <c r="O2033" s="53" t="n">
        <v>45710.6420833333</v>
      </c>
      <c r="P2033" s="53" t="n">
        <v>45719.5912615741</v>
      </c>
      <c r="Q2033" s="53" t="n">
        <v>45710.6420833333</v>
      </c>
      <c r="R2033" s="0" t="n">
        <v>0</v>
      </c>
      <c r="S2033" s="51" t="s">
        <v>2356</v>
      </c>
      <c r="T2033" s="51" t="s">
        <v>2356</v>
      </c>
      <c r="U2033" s="51" t="s">
        <v>4166</v>
      </c>
      <c r="V2033" s="51" t="s">
        <v>2365</v>
      </c>
      <c r="W2033" s="51" t="s">
        <v>4792</v>
      </c>
      <c r="X2033" s="51" t="s">
        <v>2359</v>
      </c>
    </row>
    <row r="2034" customFormat="false" ht="14.25" hidden="true" customHeight="false" outlineLevel="0" collapsed="false">
      <c r="A2034" s="49" t="s">
        <v>2349</v>
      </c>
      <c r="B2034" s="49" t="s">
        <v>2350</v>
      </c>
      <c r="C2034" s="49" t="s">
        <v>4793</v>
      </c>
      <c r="D2034" s="49" t="s">
        <v>2352</v>
      </c>
      <c r="E2034" s="49" t="str">
        <f aca="false">"5942326400216"</f>
        <v>5942326400216</v>
      </c>
      <c r="F2034" s="49" t="s">
        <v>3777</v>
      </c>
      <c r="G2034" s="49" t="n">
        <v>0</v>
      </c>
      <c r="H2034" s="0" t="n">
        <v>0</v>
      </c>
      <c r="M2034" s="51" t="s">
        <v>4794</v>
      </c>
      <c r="N2034" s="49" t="n">
        <v>0</v>
      </c>
      <c r="O2034" s="53" t="n">
        <v>45710.5843981481</v>
      </c>
      <c r="P2034" s="53" t="n">
        <v>45771.9400810185</v>
      </c>
      <c r="Q2034" s="53" t="n">
        <v>45710.5843981481</v>
      </c>
      <c r="R2034" s="0" t="n">
        <v>0</v>
      </c>
      <c r="S2034" s="51" t="s">
        <v>2371</v>
      </c>
      <c r="T2034" s="51" t="s">
        <v>2371</v>
      </c>
      <c r="U2034" s="0" t="str">
        <f aca="false">"5942326400216"</f>
        <v>5942326400216</v>
      </c>
      <c r="V2034" s="51" t="s">
        <v>2365</v>
      </c>
      <c r="W2034" s="51" t="s">
        <v>4795</v>
      </c>
      <c r="X2034" s="51" t="s">
        <v>2359</v>
      </c>
    </row>
    <row r="2035" customFormat="false" ht="14.25" hidden="true" customHeight="false" outlineLevel="0" collapsed="false">
      <c r="A2035" s="49" t="s">
        <v>2349</v>
      </c>
      <c r="B2035" s="49" t="s">
        <v>2350</v>
      </c>
      <c r="C2035" s="49" t="s">
        <v>4796</v>
      </c>
      <c r="D2035" s="49" t="s">
        <v>2352</v>
      </c>
      <c r="E2035" s="49" t="str">
        <f aca="false">"5942326400223"</f>
        <v>5942326400223</v>
      </c>
      <c r="F2035" s="49" t="s">
        <v>3798</v>
      </c>
      <c r="G2035" s="49" t="n">
        <v>0</v>
      </c>
      <c r="H2035" s="0" t="n">
        <v>0</v>
      </c>
      <c r="M2035" s="51" t="s">
        <v>4794</v>
      </c>
      <c r="N2035" s="49" t="n">
        <v>0</v>
      </c>
      <c r="O2035" s="53" t="n">
        <v>45710.5859027778</v>
      </c>
      <c r="P2035" s="53" t="n">
        <v>45712.5504050926</v>
      </c>
      <c r="Q2035" s="53" t="n">
        <v>45710.5859027778</v>
      </c>
      <c r="R2035" s="0" t="n">
        <v>0</v>
      </c>
      <c r="S2035" s="51" t="s">
        <v>2371</v>
      </c>
      <c r="T2035" s="51" t="s">
        <v>2371</v>
      </c>
      <c r="U2035" s="0" t="str">
        <f aca="false">"5942326400223"</f>
        <v>5942326400223</v>
      </c>
      <c r="V2035" s="51" t="s">
        <v>2365</v>
      </c>
      <c r="W2035" s="51" t="s">
        <v>4797</v>
      </c>
      <c r="X2035" s="51" t="s">
        <v>2359</v>
      </c>
    </row>
    <row r="2036" customFormat="false" ht="14.25" hidden="true" customHeight="false" outlineLevel="0" collapsed="false">
      <c r="A2036" s="49" t="s">
        <v>2349</v>
      </c>
      <c r="B2036" s="49" t="s">
        <v>2350</v>
      </c>
      <c r="C2036" s="49" t="s">
        <v>4798</v>
      </c>
      <c r="D2036" s="49" t="s">
        <v>2352</v>
      </c>
      <c r="E2036" s="49" t="s">
        <v>3633</v>
      </c>
      <c r="F2036" s="49" t="s">
        <v>3634</v>
      </c>
      <c r="G2036" s="49" t="n">
        <v>0</v>
      </c>
      <c r="H2036" s="0" t="n">
        <v>0</v>
      </c>
      <c r="M2036" s="51" t="s">
        <v>4799</v>
      </c>
      <c r="N2036" s="49" t="n">
        <v>0</v>
      </c>
      <c r="O2036" s="53" t="n">
        <v>45715.5798958333</v>
      </c>
      <c r="P2036" s="53" t="n">
        <v>45728.3869675926</v>
      </c>
      <c r="Q2036" s="53" t="n">
        <v>45715.5798958333</v>
      </c>
      <c r="R2036" s="0" t="n">
        <v>0</v>
      </c>
      <c r="S2036" s="51" t="s">
        <v>2356</v>
      </c>
      <c r="T2036" s="51" t="s">
        <v>2356</v>
      </c>
      <c r="U2036" s="51" t="s">
        <v>3633</v>
      </c>
      <c r="V2036" s="51" t="s">
        <v>2357</v>
      </c>
      <c r="W2036" s="51" t="s">
        <v>4486</v>
      </c>
      <c r="X2036" s="51" t="s">
        <v>2359</v>
      </c>
    </row>
    <row r="2037" customFormat="false" ht="14.25" hidden="true" customHeight="false" outlineLevel="0" collapsed="false">
      <c r="A2037" s="49" t="s">
        <v>2349</v>
      </c>
      <c r="B2037" s="49" t="s">
        <v>2350</v>
      </c>
      <c r="C2037" s="49" t="s">
        <v>4800</v>
      </c>
      <c r="D2037" s="49" t="s">
        <v>2352</v>
      </c>
      <c r="E2037" s="49" t="str">
        <f aca="false">"5060458890191"</f>
        <v>5060458890191</v>
      </c>
      <c r="F2037" s="49" t="s">
        <v>3656</v>
      </c>
      <c r="G2037" s="49" t="n">
        <v>0</v>
      </c>
      <c r="H2037" s="0" t="n">
        <v>0</v>
      </c>
      <c r="M2037" s="51" t="s">
        <v>4801</v>
      </c>
      <c r="N2037" s="49" t="n">
        <v>0</v>
      </c>
      <c r="O2037" s="53" t="n">
        <v>45717.412650463</v>
      </c>
      <c r="P2037" s="53" t="n">
        <v>45720.413912037</v>
      </c>
      <c r="Q2037" s="53" t="n">
        <v>45717.412650463</v>
      </c>
      <c r="R2037" s="0" t="n">
        <v>0</v>
      </c>
      <c r="S2037" s="51" t="s">
        <v>2376</v>
      </c>
      <c r="T2037" s="51" t="s">
        <v>2376</v>
      </c>
      <c r="U2037" s="0" t="str">
        <f aca="false">"5060458890191"</f>
        <v>5060458890191</v>
      </c>
      <c r="V2037" s="51" t="s">
        <v>2142</v>
      </c>
      <c r="W2037" s="51" t="s">
        <v>4802</v>
      </c>
      <c r="X2037" s="51" t="s">
        <v>2359</v>
      </c>
    </row>
    <row r="2038" customFormat="false" ht="14.25" hidden="true" customHeight="false" outlineLevel="0" collapsed="false">
      <c r="A2038" s="49" t="s">
        <v>2349</v>
      </c>
      <c r="B2038" s="49" t="s">
        <v>2350</v>
      </c>
      <c r="C2038" s="49" t="s">
        <v>4803</v>
      </c>
      <c r="D2038" s="49" t="s">
        <v>2352</v>
      </c>
      <c r="E2038" s="49" t="str">
        <f aca="false">"5060458890191"</f>
        <v>5060458890191</v>
      </c>
      <c r="F2038" s="49" t="s">
        <v>3656</v>
      </c>
      <c r="G2038" s="49" t="n">
        <v>0</v>
      </c>
      <c r="H2038" s="0" t="n">
        <v>0</v>
      </c>
      <c r="M2038" s="51" t="s">
        <v>4801</v>
      </c>
      <c r="N2038" s="49" t="n">
        <v>0</v>
      </c>
      <c r="O2038" s="53" t="n">
        <v>45717.4014699074</v>
      </c>
      <c r="P2038" s="53" t="n">
        <v>45722.8938888889</v>
      </c>
      <c r="Q2038" s="53" t="n">
        <v>45717.4014699074</v>
      </c>
      <c r="R2038" s="0" t="n">
        <v>0</v>
      </c>
      <c r="S2038" s="51" t="s">
        <v>2376</v>
      </c>
      <c r="T2038" s="51" t="s">
        <v>2376</v>
      </c>
      <c r="U2038" s="0" t="str">
        <f aca="false">"5060458890191"</f>
        <v>5060458890191</v>
      </c>
      <c r="V2038" s="51" t="s">
        <v>2142</v>
      </c>
      <c r="W2038" s="51" t="s">
        <v>4223</v>
      </c>
      <c r="X2038" s="51" t="s">
        <v>2359</v>
      </c>
    </row>
    <row r="2039" customFormat="false" ht="14.25" hidden="true" customHeight="false" outlineLevel="0" collapsed="false">
      <c r="A2039" s="49" t="s">
        <v>2349</v>
      </c>
      <c r="B2039" s="49" t="s">
        <v>2350</v>
      </c>
      <c r="C2039" s="49" t="s">
        <v>4804</v>
      </c>
      <c r="D2039" s="49" t="s">
        <v>2352</v>
      </c>
      <c r="E2039" s="49" t="str">
        <f aca="false">"5060458890191"</f>
        <v>5060458890191</v>
      </c>
      <c r="F2039" s="49" t="s">
        <v>3656</v>
      </c>
      <c r="G2039" s="49" t="n">
        <v>0</v>
      </c>
      <c r="H2039" s="0" t="n">
        <v>0</v>
      </c>
      <c r="M2039" s="51" t="s">
        <v>4801</v>
      </c>
      <c r="N2039" s="49" t="n">
        <v>0</v>
      </c>
      <c r="O2039" s="53" t="n">
        <v>45717.4006712963</v>
      </c>
      <c r="P2039" s="53" t="n">
        <v>45721.9545486111</v>
      </c>
      <c r="Q2039" s="53" t="n">
        <v>45717.4006712963</v>
      </c>
      <c r="R2039" s="0" t="n">
        <v>0</v>
      </c>
      <c r="S2039" s="51" t="s">
        <v>2376</v>
      </c>
      <c r="T2039" s="51" t="s">
        <v>2376</v>
      </c>
      <c r="U2039" s="0" t="str">
        <f aca="false">"5060458890191"</f>
        <v>5060458890191</v>
      </c>
      <c r="V2039" s="51" t="s">
        <v>2142</v>
      </c>
      <c r="W2039" s="51" t="s">
        <v>4805</v>
      </c>
      <c r="X2039" s="51" t="s">
        <v>2359</v>
      </c>
    </row>
    <row r="2040" customFormat="false" ht="14.25" hidden="true" customHeight="false" outlineLevel="0" collapsed="false">
      <c r="A2040" s="49" t="s">
        <v>2349</v>
      </c>
      <c r="B2040" s="49" t="s">
        <v>2350</v>
      </c>
      <c r="C2040" s="49" t="s">
        <v>4806</v>
      </c>
      <c r="D2040" s="49" t="s">
        <v>2352</v>
      </c>
      <c r="E2040" s="49" t="str">
        <f aca="false">"5060458890191"</f>
        <v>5060458890191</v>
      </c>
      <c r="F2040" s="49" t="s">
        <v>3656</v>
      </c>
      <c r="G2040" s="49" t="n">
        <v>0</v>
      </c>
      <c r="H2040" s="0" t="n">
        <v>0</v>
      </c>
      <c r="M2040" s="51" t="s">
        <v>4801</v>
      </c>
      <c r="N2040" s="49" t="n">
        <v>0</v>
      </c>
      <c r="O2040" s="53" t="n">
        <v>45717.4005092593</v>
      </c>
      <c r="P2040" s="53" t="n">
        <v>45721.4928472222</v>
      </c>
      <c r="Q2040" s="53" t="n">
        <v>45717.4005092593</v>
      </c>
      <c r="R2040" s="0" t="n">
        <v>0</v>
      </c>
      <c r="S2040" s="51" t="s">
        <v>2376</v>
      </c>
      <c r="T2040" s="51" t="s">
        <v>2376</v>
      </c>
      <c r="U2040" s="0" t="str">
        <f aca="false">"5060458890191"</f>
        <v>5060458890191</v>
      </c>
      <c r="V2040" s="51" t="s">
        <v>2142</v>
      </c>
      <c r="W2040" s="51" t="s">
        <v>2404</v>
      </c>
      <c r="X2040" s="51" t="s">
        <v>2359</v>
      </c>
    </row>
    <row r="2041" customFormat="false" ht="14.25" hidden="true" customHeight="false" outlineLevel="0" collapsed="false">
      <c r="A2041" s="49" t="s">
        <v>2349</v>
      </c>
      <c r="B2041" s="49" t="s">
        <v>2350</v>
      </c>
      <c r="C2041" s="49" t="s">
        <v>4807</v>
      </c>
      <c r="D2041" s="49" t="s">
        <v>2352</v>
      </c>
      <c r="E2041" s="49" t="str">
        <f aca="false">"5060458890191"</f>
        <v>5060458890191</v>
      </c>
      <c r="F2041" s="49" t="s">
        <v>3656</v>
      </c>
      <c r="G2041" s="49" t="n">
        <v>0</v>
      </c>
      <c r="H2041" s="0" t="n">
        <v>0</v>
      </c>
      <c r="M2041" s="51" t="s">
        <v>4801</v>
      </c>
      <c r="N2041" s="49" t="n">
        <v>0</v>
      </c>
      <c r="O2041" s="53" t="n">
        <v>45717.4003009259</v>
      </c>
      <c r="P2041" s="53" t="n">
        <v>45720.5063078704</v>
      </c>
      <c r="Q2041" s="53" t="n">
        <v>45717.4003009259</v>
      </c>
      <c r="R2041" s="0" t="n">
        <v>0</v>
      </c>
      <c r="S2041" s="51" t="s">
        <v>2376</v>
      </c>
      <c r="T2041" s="51" t="s">
        <v>2376</v>
      </c>
      <c r="U2041" s="0" t="str">
        <f aca="false">"5060458890191"</f>
        <v>5060458890191</v>
      </c>
      <c r="V2041" s="51" t="s">
        <v>2142</v>
      </c>
      <c r="W2041" s="51" t="s">
        <v>4808</v>
      </c>
      <c r="X2041" s="51" t="s">
        <v>2359</v>
      </c>
    </row>
    <row r="2042" customFormat="false" ht="14.25" hidden="true" customHeight="false" outlineLevel="0" collapsed="false">
      <c r="A2042" s="49" t="s">
        <v>2349</v>
      </c>
      <c r="B2042" s="49" t="s">
        <v>2350</v>
      </c>
      <c r="C2042" s="49" t="s">
        <v>4809</v>
      </c>
      <c r="D2042" s="49" t="s">
        <v>2352</v>
      </c>
      <c r="E2042" s="49" t="str">
        <f aca="false">"5060458890191"</f>
        <v>5060458890191</v>
      </c>
      <c r="F2042" s="49" t="s">
        <v>3656</v>
      </c>
      <c r="G2042" s="49" t="n">
        <v>0</v>
      </c>
      <c r="H2042" s="0" t="n">
        <v>0</v>
      </c>
      <c r="M2042" s="51" t="s">
        <v>4801</v>
      </c>
      <c r="N2042" s="49" t="n">
        <v>0</v>
      </c>
      <c r="O2042" s="53" t="n">
        <v>45717.4001157407</v>
      </c>
      <c r="P2042" s="53" t="n">
        <v>45720.489224537</v>
      </c>
      <c r="Q2042" s="53" t="n">
        <v>45717.4001157407</v>
      </c>
      <c r="R2042" s="0" t="n">
        <v>0</v>
      </c>
      <c r="S2042" s="51" t="s">
        <v>2376</v>
      </c>
      <c r="T2042" s="51" t="s">
        <v>2376</v>
      </c>
      <c r="U2042" s="0" t="str">
        <f aca="false">"5060458890191"</f>
        <v>5060458890191</v>
      </c>
      <c r="V2042" s="51" t="s">
        <v>2142</v>
      </c>
      <c r="W2042" s="51" t="s">
        <v>4810</v>
      </c>
      <c r="X2042" s="51" t="s">
        <v>2359</v>
      </c>
    </row>
    <row r="2043" customFormat="false" ht="14.25" hidden="true" customHeight="false" outlineLevel="0" collapsed="false">
      <c r="A2043" s="49" t="s">
        <v>2349</v>
      </c>
      <c r="B2043" s="49" t="s">
        <v>2350</v>
      </c>
      <c r="C2043" s="49" t="s">
        <v>4811</v>
      </c>
      <c r="D2043" s="49" t="s">
        <v>2352</v>
      </c>
      <c r="E2043" s="49" t="str">
        <f aca="false">"5060458890191"</f>
        <v>5060458890191</v>
      </c>
      <c r="F2043" s="49" t="s">
        <v>3656</v>
      </c>
      <c r="G2043" s="49" t="n">
        <v>0</v>
      </c>
      <c r="H2043" s="0" t="n">
        <v>0</v>
      </c>
      <c r="M2043" s="51" t="s">
        <v>4801</v>
      </c>
      <c r="N2043" s="49" t="n">
        <v>0</v>
      </c>
      <c r="O2043" s="53" t="n">
        <v>45717.3999305556</v>
      </c>
      <c r="P2043" s="53" t="n">
        <v>45720.4917013889</v>
      </c>
      <c r="Q2043" s="53" t="n">
        <v>45717.3999305556</v>
      </c>
      <c r="R2043" s="0" t="n">
        <v>0</v>
      </c>
      <c r="S2043" s="51" t="s">
        <v>2376</v>
      </c>
      <c r="T2043" s="51" t="s">
        <v>2376</v>
      </c>
      <c r="U2043" s="0" t="str">
        <f aca="false">"5060458890191"</f>
        <v>5060458890191</v>
      </c>
      <c r="V2043" s="51" t="s">
        <v>2142</v>
      </c>
      <c r="W2043" s="51" t="s">
        <v>4812</v>
      </c>
      <c r="X2043" s="51" t="s">
        <v>2359</v>
      </c>
    </row>
    <row r="2044" customFormat="false" ht="14.25" hidden="true" customHeight="false" outlineLevel="0" collapsed="false">
      <c r="A2044" s="49" t="s">
        <v>2349</v>
      </c>
      <c r="B2044" s="49" t="s">
        <v>2350</v>
      </c>
      <c r="C2044" s="49" t="s">
        <v>4813</v>
      </c>
      <c r="D2044" s="49" t="s">
        <v>2352</v>
      </c>
      <c r="E2044" s="49" t="str">
        <f aca="false">"5060458890191"</f>
        <v>5060458890191</v>
      </c>
      <c r="F2044" s="49" t="s">
        <v>3656</v>
      </c>
      <c r="G2044" s="49" t="n">
        <v>0</v>
      </c>
      <c r="H2044" s="0" t="n">
        <v>0</v>
      </c>
      <c r="M2044" s="51" t="s">
        <v>4801</v>
      </c>
      <c r="N2044" s="49" t="n">
        <v>0</v>
      </c>
      <c r="O2044" s="53" t="n">
        <v>45717.3997222222</v>
      </c>
      <c r="P2044" s="53" t="n">
        <v>45720.4955092593</v>
      </c>
      <c r="Q2044" s="53" t="n">
        <v>45717.3997222222</v>
      </c>
      <c r="R2044" s="0" t="n">
        <v>0</v>
      </c>
      <c r="S2044" s="51" t="s">
        <v>2376</v>
      </c>
      <c r="T2044" s="51" t="s">
        <v>2376</v>
      </c>
      <c r="U2044" s="0" t="str">
        <f aca="false">"5060458890191"</f>
        <v>5060458890191</v>
      </c>
      <c r="V2044" s="51" t="s">
        <v>2142</v>
      </c>
      <c r="W2044" s="51" t="s">
        <v>4814</v>
      </c>
      <c r="X2044" s="51" t="s">
        <v>2359</v>
      </c>
    </row>
    <row r="2045" customFormat="false" ht="14.25" hidden="true" customHeight="false" outlineLevel="0" collapsed="false">
      <c r="A2045" s="49" t="s">
        <v>2349</v>
      </c>
      <c r="B2045" s="49" t="s">
        <v>2350</v>
      </c>
      <c r="C2045" s="49" t="s">
        <v>4815</v>
      </c>
      <c r="D2045" s="49" t="s">
        <v>2352</v>
      </c>
      <c r="E2045" s="49" t="str">
        <f aca="false">"5060458890191"</f>
        <v>5060458890191</v>
      </c>
      <c r="F2045" s="49" t="s">
        <v>3656</v>
      </c>
      <c r="G2045" s="49" t="n">
        <v>0</v>
      </c>
      <c r="H2045" s="0" t="n">
        <v>0</v>
      </c>
      <c r="M2045" s="51" t="s">
        <v>4801</v>
      </c>
      <c r="N2045" s="49" t="n">
        <v>0</v>
      </c>
      <c r="O2045" s="53" t="n">
        <v>45717.4016898148</v>
      </c>
      <c r="P2045" s="53" t="n">
        <v>45750.6173958333</v>
      </c>
      <c r="Q2045" s="53" t="n">
        <v>45717.4016898148</v>
      </c>
      <c r="R2045" s="0" t="n">
        <v>0</v>
      </c>
      <c r="S2045" s="51" t="s">
        <v>2376</v>
      </c>
      <c r="T2045" s="51" t="s">
        <v>2376</v>
      </c>
      <c r="U2045" s="0" t="str">
        <f aca="false">"5060458890191"</f>
        <v>5060458890191</v>
      </c>
      <c r="V2045" s="51" t="s">
        <v>2142</v>
      </c>
      <c r="W2045" s="51" t="s">
        <v>4816</v>
      </c>
      <c r="X2045" s="51" t="s">
        <v>2359</v>
      </c>
    </row>
    <row r="2046" customFormat="false" ht="14.25" hidden="true" customHeight="false" outlineLevel="0" collapsed="false">
      <c r="A2046" s="49" t="s">
        <v>2349</v>
      </c>
      <c r="B2046" s="49" t="s">
        <v>2350</v>
      </c>
      <c r="C2046" s="49" t="s">
        <v>4817</v>
      </c>
      <c r="D2046" s="49" t="s">
        <v>2352</v>
      </c>
      <c r="E2046" s="49" t="str">
        <f aca="false">"5060458890191"</f>
        <v>5060458890191</v>
      </c>
      <c r="F2046" s="49" t="s">
        <v>3656</v>
      </c>
      <c r="G2046" s="49" t="n">
        <v>0</v>
      </c>
      <c r="H2046" s="0" t="n">
        <v>0</v>
      </c>
      <c r="M2046" s="51" t="s">
        <v>4801</v>
      </c>
      <c r="N2046" s="49" t="n">
        <v>0</v>
      </c>
      <c r="O2046" s="53" t="n">
        <v>45717.4018287037</v>
      </c>
      <c r="P2046" s="53" t="n">
        <v>45750.6194328704</v>
      </c>
      <c r="Q2046" s="53" t="n">
        <v>45717.4018287037</v>
      </c>
      <c r="R2046" s="0" t="n">
        <v>0</v>
      </c>
      <c r="S2046" s="51" t="s">
        <v>2376</v>
      </c>
      <c r="T2046" s="51" t="s">
        <v>2376</v>
      </c>
      <c r="U2046" s="0" t="str">
        <f aca="false">"5060458890191"</f>
        <v>5060458890191</v>
      </c>
      <c r="V2046" s="51" t="s">
        <v>2142</v>
      </c>
      <c r="W2046" s="51" t="s">
        <v>4818</v>
      </c>
      <c r="X2046" s="51" t="s">
        <v>2359</v>
      </c>
    </row>
    <row r="2047" customFormat="false" ht="14.25" hidden="true" customHeight="false" outlineLevel="0" collapsed="false">
      <c r="A2047" s="49" t="s">
        <v>2349</v>
      </c>
      <c r="B2047" s="49" t="s">
        <v>2350</v>
      </c>
      <c r="C2047" s="49" t="s">
        <v>4819</v>
      </c>
      <c r="D2047" s="49" t="s">
        <v>2352</v>
      </c>
      <c r="E2047" s="49" t="str">
        <f aca="false">"5060458890191"</f>
        <v>5060458890191</v>
      </c>
      <c r="F2047" s="49" t="s">
        <v>3656</v>
      </c>
      <c r="G2047" s="49" t="n">
        <v>0</v>
      </c>
      <c r="H2047" s="0" t="n">
        <v>0</v>
      </c>
      <c r="M2047" s="51" t="s">
        <v>4801</v>
      </c>
      <c r="N2047" s="49" t="n">
        <v>0</v>
      </c>
      <c r="O2047" s="53" t="n">
        <v>45717.4019675926</v>
      </c>
      <c r="P2047" s="53" t="n">
        <v>45750.6176041667</v>
      </c>
      <c r="Q2047" s="53" t="n">
        <v>45717.4019675926</v>
      </c>
      <c r="R2047" s="0" t="n">
        <v>0</v>
      </c>
      <c r="S2047" s="51" t="s">
        <v>2376</v>
      </c>
      <c r="T2047" s="51" t="s">
        <v>2376</v>
      </c>
      <c r="U2047" s="0" t="str">
        <f aca="false">"5060458890191"</f>
        <v>5060458890191</v>
      </c>
      <c r="V2047" s="51" t="s">
        <v>2142</v>
      </c>
      <c r="W2047" s="51" t="s">
        <v>4820</v>
      </c>
      <c r="X2047" s="51" t="s">
        <v>2359</v>
      </c>
    </row>
    <row r="2048" customFormat="false" ht="14.25" hidden="true" customHeight="false" outlineLevel="0" collapsed="false">
      <c r="A2048" s="49" t="s">
        <v>2349</v>
      </c>
      <c r="B2048" s="49" t="s">
        <v>2350</v>
      </c>
      <c r="C2048" s="49" t="s">
        <v>4821</v>
      </c>
      <c r="D2048" s="49" t="s">
        <v>2352</v>
      </c>
      <c r="E2048" s="49" t="str">
        <f aca="false">"5060458890191"</f>
        <v>5060458890191</v>
      </c>
      <c r="F2048" s="49" t="s">
        <v>3656</v>
      </c>
      <c r="G2048" s="49" t="n">
        <v>0</v>
      </c>
      <c r="H2048" s="0" t="n">
        <v>0</v>
      </c>
      <c r="M2048" s="51" t="s">
        <v>4801</v>
      </c>
      <c r="N2048" s="49" t="n">
        <v>0</v>
      </c>
      <c r="O2048" s="53" t="n">
        <v>45717.4020949074</v>
      </c>
      <c r="P2048" s="53" t="n">
        <v>45750.6182523148</v>
      </c>
      <c r="Q2048" s="53" t="n">
        <v>45717.4020949074</v>
      </c>
      <c r="R2048" s="0" t="n">
        <v>0</v>
      </c>
      <c r="S2048" s="51" t="s">
        <v>2376</v>
      </c>
      <c r="T2048" s="51" t="s">
        <v>2376</v>
      </c>
      <c r="U2048" s="0" t="str">
        <f aca="false">"5060458890191"</f>
        <v>5060458890191</v>
      </c>
      <c r="V2048" s="51" t="s">
        <v>2142</v>
      </c>
      <c r="W2048" s="51" t="s">
        <v>4822</v>
      </c>
      <c r="X2048" s="51" t="s">
        <v>2359</v>
      </c>
    </row>
    <row r="2049" customFormat="false" ht="14.25" hidden="true" customHeight="false" outlineLevel="0" collapsed="false">
      <c r="A2049" s="49" t="s">
        <v>2349</v>
      </c>
      <c r="B2049" s="49" t="s">
        <v>2350</v>
      </c>
      <c r="C2049" s="49" t="s">
        <v>4823</v>
      </c>
      <c r="D2049" s="49" t="s">
        <v>2352</v>
      </c>
      <c r="E2049" s="49" t="str">
        <f aca="false">"5060458890191"</f>
        <v>5060458890191</v>
      </c>
      <c r="F2049" s="49" t="s">
        <v>3656</v>
      </c>
      <c r="G2049" s="49" t="n">
        <v>0</v>
      </c>
      <c r="H2049" s="0" t="n">
        <v>0</v>
      </c>
      <c r="M2049" s="51" t="s">
        <v>4801</v>
      </c>
      <c r="N2049" s="49" t="n">
        <v>0</v>
      </c>
      <c r="O2049" s="53" t="n">
        <v>45717.4022685185</v>
      </c>
      <c r="P2049" s="53" t="n">
        <v>45750.5890972222</v>
      </c>
      <c r="Q2049" s="53" t="n">
        <v>45717.4022685185</v>
      </c>
      <c r="R2049" s="0" t="n">
        <v>0</v>
      </c>
      <c r="S2049" s="51" t="s">
        <v>2376</v>
      </c>
      <c r="T2049" s="51" t="s">
        <v>2376</v>
      </c>
      <c r="U2049" s="0" t="str">
        <f aca="false">"5060458890191"</f>
        <v>5060458890191</v>
      </c>
      <c r="V2049" s="51" t="s">
        <v>2142</v>
      </c>
      <c r="W2049" s="51" t="s">
        <v>4824</v>
      </c>
      <c r="X2049" s="51" t="s">
        <v>2359</v>
      </c>
    </row>
    <row r="2050" customFormat="false" ht="14.25" hidden="true" customHeight="false" outlineLevel="0" collapsed="false">
      <c r="A2050" s="49" t="s">
        <v>2349</v>
      </c>
      <c r="B2050" s="49" t="s">
        <v>2350</v>
      </c>
      <c r="C2050" s="49" t="s">
        <v>4825</v>
      </c>
      <c r="D2050" s="49" t="s">
        <v>2352</v>
      </c>
      <c r="E2050" s="49" t="str">
        <f aca="false">"5060458890191"</f>
        <v>5060458890191</v>
      </c>
      <c r="F2050" s="49" t="s">
        <v>3656</v>
      </c>
      <c r="G2050" s="49" t="n">
        <v>0</v>
      </c>
      <c r="H2050" s="0" t="n">
        <v>0</v>
      </c>
      <c r="M2050" s="51" t="s">
        <v>4801</v>
      </c>
      <c r="N2050" s="49" t="n">
        <v>0</v>
      </c>
      <c r="O2050" s="53" t="n">
        <v>45717.4024189815</v>
      </c>
      <c r="P2050" s="53" t="n">
        <v>45722.8943402778</v>
      </c>
      <c r="Q2050" s="53" t="n">
        <v>45717.4024189815</v>
      </c>
      <c r="R2050" s="0" t="n">
        <v>0</v>
      </c>
      <c r="S2050" s="51" t="s">
        <v>2376</v>
      </c>
      <c r="T2050" s="51" t="s">
        <v>2376</v>
      </c>
      <c r="U2050" s="0" t="str">
        <f aca="false">"5060458890191"</f>
        <v>5060458890191</v>
      </c>
      <c r="V2050" s="51" t="s">
        <v>2142</v>
      </c>
      <c r="W2050" s="51" t="s">
        <v>4826</v>
      </c>
      <c r="X2050" s="51" t="s">
        <v>2359</v>
      </c>
    </row>
    <row r="2051" customFormat="false" ht="14.25" hidden="true" customHeight="false" outlineLevel="0" collapsed="false">
      <c r="A2051" s="49" t="s">
        <v>2349</v>
      </c>
      <c r="B2051" s="49" t="s">
        <v>2350</v>
      </c>
      <c r="C2051" s="49" t="s">
        <v>4827</v>
      </c>
      <c r="D2051" s="49" t="s">
        <v>2352</v>
      </c>
      <c r="E2051" s="49" t="str">
        <f aca="false">"5060458890191"</f>
        <v>5060458890191</v>
      </c>
      <c r="F2051" s="49" t="s">
        <v>3656</v>
      </c>
      <c r="G2051" s="49" t="n">
        <v>0</v>
      </c>
      <c r="H2051" s="0" t="n">
        <v>0</v>
      </c>
      <c r="M2051" s="51" t="s">
        <v>4801</v>
      </c>
      <c r="N2051" s="49" t="n">
        <v>0</v>
      </c>
      <c r="O2051" s="53" t="n">
        <v>45717.4026273148</v>
      </c>
      <c r="P2051" s="53" t="n">
        <v>45750.6190046296</v>
      </c>
      <c r="Q2051" s="53" t="n">
        <v>45717.4026273148</v>
      </c>
      <c r="R2051" s="0" t="n">
        <v>0</v>
      </c>
      <c r="S2051" s="51" t="s">
        <v>2376</v>
      </c>
      <c r="T2051" s="51" t="s">
        <v>2376</v>
      </c>
      <c r="U2051" s="0" t="str">
        <f aca="false">"5060458890191"</f>
        <v>5060458890191</v>
      </c>
      <c r="V2051" s="51" t="s">
        <v>2142</v>
      </c>
      <c r="W2051" s="51" t="s">
        <v>4050</v>
      </c>
      <c r="X2051" s="51" t="s">
        <v>2359</v>
      </c>
    </row>
    <row r="2052" customFormat="false" ht="14.25" hidden="true" customHeight="false" outlineLevel="0" collapsed="false">
      <c r="A2052" s="49" t="s">
        <v>2349</v>
      </c>
      <c r="B2052" s="49" t="s">
        <v>2350</v>
      </c>
      <c r="C2052" s="49" t="s">
        <v>4828</v>
      </c>
      <c r="D2052" s="49" t="s">
        <v>2352</v>
      </c>
      <c r="E2052" s="49" t="str">
        <f aca="false">"5060458890191"</f>
        <v>5060458890191</v>
      </c>
      <c r="F2052" s="49" t="s">
        <v>3656</v>
      </c>
      <c r="G2052" s="49" t="n">
        <v>0</v>
      </c>
      <c r="H2052" s="0" t="n">
        <v>0</v>
      </c>
      <c r="M2052" s="51" t="s">
        <v>4801</v>
      </c>
      <c r="N2052" s="49" t="n">
        <v>0</v>
      </c>
      <c r="O2052" s="53" t="n">
        <v>45717.4027546296</v>
      </c>
      <c r="P2052" s="53" t="n">
        <v>45750.6185185185</v>
      </c>
      <c r="Q2052" s="53" t="n">
        <v>45717.4027546296</v>
      </c>
      <c r="R2052" s="0" t="n">
        <v>0</v>
      </c>
      <c r="S2052" s="51" t="s">
        <v>2376</v>
      </c>
      <c r="T2052" s="51" t="s">
        <v>2376</v>
      </c>
      <c r="U2052" s="0" t="str">
        <f aca="false">"5060458890191"</f>
        <v>5060458890191</v>
      </c>
      <c r="V2052" s="51" t="s">
        <v>2142</v>
      </c>
      <c r="W2052" s="51" t="s">
        <v>4829</v>
      </c>
      <c r="X2052" s="51" t="s">
        <v>2359</v>
      </c>
    </row>
    <row r="2053" customFormat="false" ht="14.25" hidden="true" customHeight="false" outlineLevel="0" collapsed="false">
      <c r="A2053" s="49" t="s">
        <v>2349</v>
      </c>
      <c r="B2053" s="49" t="s">
        <v>2350</v>
      </c>
      <c r="C2053" s="49" t="s">
        <v>4830</v>
      </c>
      <c r="D2053" s="49" t="s">
        <v>2352</v>
      </c>
      <c r="E2053" s="49" t="str">
        <f aca="false">"5060458890191"</f>
        <v>5060458890191</v>
      </c>
      <c r="F2053" s="49" t="s">
        <v>3656</v>
      </c>
      <c r="G2053" s="49" t="n">
        <v>0</v>
      </c>
      <c r="H2053" s="0" t="n">
        <v>0</v>
      </c>
      <c r="M2053" s="51" t="s">
        <v>4801</v>
      </c>
      <c r="N2053" s="49" t="n">
        <v>0</v>
      </c>
      <c r="O2053" s="53" t="n">
        <v>45717.4028587963</v>
      </c>
      <c r="P2053" s="53" t="n">
        <v>45722.8946759259</v>
      </c>
      <c r="Q2053" s="53" t="n">
        <v>45717.4028587963</v>
      </c>
      <c r="R2053" s="0" t="n">
        <v>0</v>
      </c>
      <c r="S2053" s="51" t="s">
        <v>2376</v>
      </c>
      <c r="T2053" s="51" t="s">
        <v>2376</v>
      </c>
      <c r="U2053" s="0" t="str">
        <f aca="false">"5060458890191"</f>
        <v>5060458890191</v>
      </c>
      <c r="V2053" s="51" t="s">
        <v>2142</v>
      </c>
      <c r="W2053" s="51" t="s">
        <v>4831</v>
      </c>
      <c r="X2053" s="51" t="s">
        <v>2359</v>
      </c>
    </row>
    <row r="2054" customFormat="false" ht="14.25" hidden="true" customHeight="false" outlineLevel="0" collapsed="false">
      <c r="A2054" s="49" t="s">
        <v>2349</v>
      </c>
      <c r="B2054" s="49" t="s">
        <v>2350</v>
      </c>
      <c r="C2054" s="49" t="s">
        <v>4832</v>
      </c>
      <c r="D2054" s="49" t="s">
        <v>2352</v>
      </c>
      <c r="E2054" s="49" t="str">
        <f aca="false">"5060458890191"</f>
        <v>5060458890191</v>
      </c>
      <c r="F2054" s="49" t="s">
        <v>3656</v>
      </c>
      <c r="G2054" s="49" t="n">
        <v>0</v>
      </c>
      <c r="H2054" s="0" t="n">
        <v>0</v>
      </c>
      <c r="M2054" s="51" t="s">
        <v>4801</v>
      </c>
      <c r="N2054" s="49" t="n">
        <v>0</v>
      </c>
      <c r="O2054" s="53" t="n">
        <v>45717.402974537</v>
      </c>
      <c r="P2054" s="53" t="n">
        <v>45722.8955092593</v>
      </c>
      <c r="Q2054" s="53" t="n">
        <v>45717.402974537</v>
      </c>
      <c r="R2054" s="0" t="n">
        <v>0</v>
      </c>
      <c r="S2054" s="51" t="s">
        <v>2376</v>
      </c>
      <c r="T2054" s="51" t="s">
        <v>2376</v>
      </c>
      <c r="U2054" s="0" t="str">
        <f aca="false">"5060458890191"</f>
        <v>5060458890191</v>
      </c>
      <c r="V2054" s="51" t="s">
        <v>2142</v>
      </c>
      <c r="W2054" s="51" t="s">
        <v>4833</v>
      </c>
      <c r="X2054" s="51" t="s">
        <v>2359</v>
      </c>
    </row>
    <row r="2055" customFormat="false" ht="14.25" hidden="true" customHeight="false" outlineLevel="0" collapsed="false">
      <c r="A2055" s="49" t="s">
        <v>2349</v>
      </c>
      <c r="B2055" s="49" t="s">
        <v>2350</v>
      </c>
      <c r="C2055" s="49" t="s">
        <v>4834</v>
      </c>
      <c r="D2055" s="49" t="s">
        <v>2352</v>
      </c>
      <c r="E2055" s="49" t="str">
        <f aca="false">"5060458890191"</f>
        <v>5060458890191</v>
      </c>
      <c r="F2055" s="49" t="s">
        <v>3656</v>
      </c>
      <c r="G2055" s="49" t="n">
        <v>0</v>
      </c>
      <c r="H2055" s="0" t="n">
        <v>0</v>
      </c>
      <c r="M2055" s="51" t="s">
        <v>4801</v>
      </c>
      <c r="N2055" s="49" t="n">
        <v>0</v>
      </c>
      <c r="O2055" s="53" t="n">
        <v>45717.4031134259</v>
      </c>
      <c r="P2055" s="53" t="n">
        <v>45722.8967708333</v>
      </c>
      <c r="Q2055" s="53" t="n">
        <v>45717.4031134259</v>
      </c>
      <c r="R2055" s="0" t="n">
        <v>0</v>
      </c>
      <c r="S2055" s="51" t="s">
        <v>2376</v>
      </c>
      <c r="T2055" s="51" t="s">
        <v>2376</v>
      </c>
      <c r="U2055" s="0" t="str">
        <f aca="false">"5060458890191"</f>
        <v>5060458890191</v>
      </c>
      <c r="V2055" s="51" t="s">
        <v>2142</v>
      </c>
      <c r="W2055" s="51" t="s">
        <v>4110</v>
      </c>
      <c r="X2055" s="51" t="s">
        <v>2359</v>
      </c>
    </row>
    <row r="2056" customFormat="false" ht="14.25" hidden="true" customHeight="false" outlineLevel="0" collapsed="false">
      <c r="A2056" s="49" t="s">
        <v>2349</v>
      </c>
      <c r="B2056" s="49" t="s">
        <v>2350</v>
      </c>
      <c r="C2056" s="49" t="s">
        <v>4835</v>
      </c>
      <c r="D2056" s="49" t="s">
        <v>2352</v>
      </c>
      <c r="E2056" s="49" t="str">
        <f aca="false">"5060458890191"</f>
        <v>5060458890191</v>
      </c>
      <c r="F2056" s="49" t="s">
        <v>3656</v>
      </c>
      <c r="G2056" s="49" t="n">
        <v>0</v>
      </c>
      <c r="H2056" s="0" t="n">
        <v>0</v>
      </c>
      <c r="M2056" s="51" t="s">
        <v>4801</v>
      </c>
      <c r="N2056" s="49" t="n">
        <v>0</v>
      </c>
      <c r="O2056" s="53" t="n">
        <v>45717.4032291667</v>
      </c>
      <c r="P2056" s="53" t="n">
        <v>45722.8951273148</v>
      </c>
      <c r="Q2056" s="53" t="n">
        <v>45717.4032291667</v>
      </c>
      <c r="R2056" s="0" t="n">
        <v>0</v>
      </c>
      <c r="S2056" s="51" t="s">
        <v>2376</v>
      </c>
      <c r="T2056" s="51" t="s">
        <v>2376</v>
      </c>
      <c r="U2056" s="0" t="str">
        <f aca="false">"5060458890191"</f>
        <v>5060458890191</v>
      </c>
      <c r="V2056" s="51" t="s">
        <v>2142</v>
      </c>
      <c r="W2056" s="51" t="s">
        <v>4260</v>
      </c>
      <c r="X2056" s="51" t="s">
        <v>2359</v>
      </c>
    </row>
    <row r="2057" customFormat="false" ht="14.25" hidden="true" customHeight="false" outlineLevel="0" collapsed="false">
      <c r="A2057" s="49" t="s">
        <v>2349</v>
      </c>
      <c r="B2057" s="49" t="s">
        <v>2350</v>
      </c>
      <c r="C2057" s="49" t="s">
        <v>4836</v>
      </c>
      <c r="D2057" s="49" t="s">
        <v>2352</v>
      </c>
      <c r="E2057" s="49" t="str">
        <f aca="false">"5060458890191"</f>
        <v>5060458890191</v>
      </c>
      <c r="F2057" s="49" t="s">
        <v>3656</v>
      </c>
      <c r="G2057" s="49" t="n">
        <v>0</v>
      </c>
      <c r="H2057" s="0" t="n">
        <v>0</v>
      </c>
      <c r="M2057" s="51" t="s">
        <v>4801</v>
      </c>
      <c r="N2057" s="49" t="n">
        <v>0</v>
      </c>
      <c r="O2057" s="53" t="n">
        <v>45717.4035648148</v>
      </c>
      <c r="P2057" s="53" t="n">
        <v>45720.4041435185</v>
      </c>
      <c r="Q2057" s="53" t="n">
        <v>45717.4035648148</v>
      </c>
      <c r="R2057" s="0" t="n">
        <v>0</v>
      </c>
      <c r="S2057" s="51" t="s">
        <v>2376</v>
      </c>
      <c r="T2057" s="51" t="s">
        <v>2376</v>
      </c>
      <c r="U2057" s="0" t="str">
        <f aca="false">"5060458890191"</f>
        <v>5060458890191</v>
      </c>
      <c r="V2057" s="51" t="s">
        <v>2142</v>
      </c>
      <c r="W2057" s="51" t="s">
        <v>4434</v>
      </c>
      <c r="X2057" s="51" t="s">
        <v>2359</v>
      </c>
    </row>
    <row r="2058" customFormat="false" ht="14.25" hidden="true" customHeight="false" outlineLevel="0" collapsed="false">
      <c r="A2058" s="49" t="s">
        <v>2349</v>
      </c>
      <c r="B2058" s="49" t="s">
        <v>2350</v>
      </c>
      <c r="C2058" s="49" t="s">
        <v>4837</v>
      </c>
      <c r="D2058" s="49" t="s">
        <v>2352</v>
      </c>
      <c r="E2058" s="49" t="str">
        <f aca="false">"5060458890191"</f>
        <v>5060458890191</v>
      </c>
      <c r="F2058" s="49" t="s">
        <v>3656</v>
      </c>
      <c r="G2058" s="49" t="n">
        <v>0</v>
      </c>
      <c r="H2058" s="0" t="n">
        <v>0</v>
      </c>
      <c r="M2058" s="51" t="s">
        <v>4801</v>
      </c>
      <c r="N2058" s="49" t="n">
        <v>0</v>
      </c>
      <c r="O2058" s="53" t="n">
        <v>45717.40375</v>
      </c>
      <c r="P2058" s="53" t="n">
        <v>45722.8988078704</v>
      </c>
      <c r="Q2058" s="53" t="n">
        <v>45717.40375</v>
      </c>
      <c r="R2058" s="0" t="n">
        <v>0</v>
      </c>
      <c r="S2058" s="51" t="s">
        <v>2376</v>
      </c>
      <c r="T2058" s="51" t="s">
        <v>2376</v>
      </c>
      <c r="U2058" s="0" t="str">
        <f aca="false">"5060458890191"</f>
        <v>5060458890191</v>
      </c>
      <c r="V2058" s="51" t="s">
        <v>2142</v>
      </c>
      <c r="W2058" s="51" t="s">
        <v>4838</v>
      </c>
      <c r="X2058" s="51" t="s">
        <v>2359</v>
      </c>
    </row>
    <row r="2059" customFormat="false" ht="14.25" hidden="true" customHeight="false" outlineLevel="0" collapsed="false">
      <c r="A2059" s="49" t="s">
        <v>2349</v>
      </c>
      <c r="B2059" s="49" t="s">
        <v>2350</v>
      </c>
      <c r="C2059" s="49" t="s">
        <v>4839</v>
      </c>
      <c r="D2059" s="49" t="s">
        <v>2352</v>
      </c>
      <c r="E2059" s="49" t="str">
        <f aca="false">"5060458890191"</f>
        <v>5060458890191</v>
      </c>
      <c r="F2059" s="49" t="s">
        <v>3656</v>
      </c>
      <c r="G2059" s="49" t="n">
        <v>0</v>
      </c>
      <c r="H2059" s="0" t="n">
        <v>0</v>
      </c>
      <c r="M2059" s="51" t="s">
        <v>4801</v>
      </c>
      <c r="N2059" s="49" t="n">
        <v>0</v>
      </c>
      <c r="O2059" s="53" t="n">
        <v>45717.403900463</v>
      </c>
      <c r="P2059" s="53" t="n">
        <v>45720.4059837963</v>
      </c>
      <c r="Q2059" s="53" t="n">
        <v>45717.403900463</v>
      </c>
      <c r="R2059" s="0" t="n">
        <v>0</v>
      </c>
      <c r="S2059" s="51" t="s">
        <v>2376</v>
      </c>
      <c r="T2059" s="51" t="s">
        <v>2376</v>
      </c>
      <c r="U2059" s="0" t="str">
        <f aca="false">"5060458890191"</f>
        <v>5060458890191</v>
      </c>
      <c r="V2059" s="51" t="s">
        <v>2142</v>
      </c>
      <c r="W2059" s="51" t="s">
        <v>4840</v>
      </c>
      <c r="X2059" s="51" t="s">
        <v>2359</v>
      </c>
    </row>
    <row r="2060" customFormat="false" ht="14.25" hidden="true" customHeight="false" outlineLevel="0" collapsed="false">
      <c r="A2060" s="49" t="s">
        <v>2349</v>
      </c>
      <c r="B2060" s="49" t="s">
        <v>2350</v>
      </c>
      <c r="C2060" s="49" t="s">
        <v>4841</v>
      </c>
      <c r="D2060" s="49" t="s">
        <v>2352</v>
      </c>
      <c r="E2060" s="49" t="str">
        <f aca="false">"5060458890191"</f>
        <v>5060458890191</v>
      </c>
      <c r="F2060" s="49" t="s">
        <v>3656</v>
      </c>
      <c r="G2060" s="49" t="n">
        <v>0</v>
      </c>
      <c r="H2060" s="0" t="n">
        <v>0</v>
      </c>
      <c r="M2060" s="51" t="s">
        <v>4801</v>
      </c>
      <c r="N2060" s="49" t="n">
        <v>0</v>
      </c>
      <c r="O2060" s="53" t="n">
        <v>45717.4040740741</v>
      </c>
      <c r="P2060" s="53" t="n">
        <v>45720.4148958333</v>
      </c>
      <c r="Q2060" s="53" t="n">
        <v>45717.4040740741</v>
      </c>
      <c r="R2060" s="0" t="n">
        <v>0</v>
      </c>
      <c r="S2060" s="51" t="s">
        <v>2376</v>
      </c>
      <c r="T2060" s="51" t="s">
        <v>2376</v>
      </c>
      <c r="U2060" s="0" t="str">
        <f aca="false">"5060458890191"</f>
        <v>5060458890191</v>
      </c>
      <c r="V2060" s="51" t="s">
        <v>2142</v>
      </c>
      <c r="W2060" s="51" t="s">
        <v>4842</v>
      </c>
      <c r="X2060" s="51" t="s">
        <v>2359</v>
      </c>
    </row>
    <row r="2061" customFormat="false" ht="14.25" hidden="true" customHeight="false" outlineLevel="0" collapsed="false">
      <c r="A2061" s="49" t="s">
        <v>2349</v>
      </c>
      <c r="B2061" s="49" t="s">
        <v>2350</v>
      </c>
      <c r="C2061" s="49" t="s">
        <v>4843</v>
      </c>
      <c r="D2061" s="49" t="s">
        <v>2352</v>
      </c>
      <c r="E2061" s="49" t="str">
        <f aca="false">"5060458890191"</f>
        <v>5060458890191</v>
      </c>
      <c r="F2061" s="49" t="s">
        <v>3656</v>
      </c>
      <c r="G2061" s="49" t="n">
        <v>0</v>
      </c>
      <c r="H2061" s="0" t="n">
        <v>0</v>
      </c>
      <c r="M2061" s="51" t="s">
        <v>4801</v>
      </c>
      <c r="N2061" s="49" t="n">
        <v>0</v>
      </c>
      <c r="O2061" s="53" t="n">
        <v>45717.4042824074</v>
      </c>
      <c r="P2061" s="53" t="n">
        <v>45728.9519444444</v>
      </c>
      <c r="Q2061" s="53" t="n">
        <v>45717.4042824074</v>
      </c>
      <c r="R2061" s="0" t="n">
        <v>0</v>
      </c>
      <c r="S2061" s="51" t="s">
        <v>2376</v>
      </c>
      <c r="T2061" s="51" t="s">
        <v>2376</v>
      </c>
      <c r="U2061" s="0" t="str">
        <f aca="false">"5060458890191"</f>
        <v>5060458890191</v>
      </c>
      <c r="V2061" s="51" t="s">
        <v>2142</v>
      </c>
      <c r="W2061" s="51" t="s">
        <v>4844</v>
      </c>
      <c r="X2061" s="51" t="s">
        <v>2359</v>
      </c>
    </row>
    <row r="2062" customFormat="false" ht="14.25" hidden="true" customHeight="false" outlineLevel="0" collapsed="false">
      <c r="A2062" s="49" t="s">
        <v>2349</v>
      </c>
      <c r="B2062" s="49" t="s">
        <v>2350</v>
      </c>
      <c r="C2062" s="49" t="s">
        <v>4845</v>
      </c>
      <c r="D2062" s="49" t="s">
        <v>2352</v>
      </c>
      <c r="E2062" s="49" t="str">
        <f aca="false">"5060458890191"</f>
        <v>5060458890191</v>
      </c>
      <c r="F2062" s="49" t="s">
        <v>3656</v>
      </c>
      <c r="G2062" s="49" t="n">
        <v>0</v>
      </c>
      <c r="H2062" s="0" t="n">
        <v>0</v>
      </c>
      <c r="M2062" s="51" t="s">
        <v>4801</v>
      </c>
      <c r="N2062" s="49" t="n">
        <v>0</v>
      </c>
      <c r="O2062" s="53" t="n">
        <v>45717.4043981481</v>
      </c>
      <c r="P2062" s="53" t="n">
        <v>45720.4731597222</v>
      </c>
      <c r="Q2062" s="53" t="n">
        <v>45717.4043981481</v>
      </c>
      <c r="R2062" s="0" t="n">
        <v>0</v>
      </c>
      <c r="S2062" s="51" t="s">
        <v>2376</v>
      </c>
      <c r="T2062" s="51" t="s">
        <v>2376</v>
      </c>
      <c r="U2062" s="0" t="str">
        <f aca="false">"5060458890191"</f>
        <v>5060458890191</v>
      </c>
      <c r="V2062" s="51" t="s">
        <v>2142</v>
      </c>
      <c r="W2062" s="51" t="s">
        <v>4846</v>
      </c>
      <c r="X2062" s="51" t="s">
        <v>2359</v>
      </c>
    </row>
    <row r="2063" customFormat="false" ht="14.25" hidden="true" customHeight="false" outlineLevel="0" collapsed="false">
      <c r="A2063" s="49" t="s">
        <v>2349</v>
      </c>
      <c r="B2063" s="49" t="s">
        <v>2350</v>
      </c>
      <c r="C2063" s="49" t="s">
        <v>4847</v>
      </c>
      <c r="D2063" s="49" t="s">
        <v>2352</v>
      </c>
      <c r="E2063" s="49" t="str">
        <f aca="false">"5060458890191"</f>
        <v>5060458890191</v>
      </c>
      <c r="F2063" s="49" t="s">
        <v>3656</v>
      </c>
      <c r="G2063" s="49" t="n">
        <v>0</v>
      </c>
      <c r="H2063" s="0" t="n">
        <v>0</v>
      </c>
      <c r="M2063" s="51" t="s">
        <v>4801</v>
      </c>
      <c r="N2063" s="49" t="n">
        <v>0</v>
      </c>
      <c r="O2063" s="53" t="n">
        <v>45717.4045949074</v>
      </c>
      <c r="P2063" s="53" t="n">
        <v>45726.9222569445</v>
      </c>
      <c r="Q2063" s="53" t="n">
        <v>45717.4045949074</v>
      </c>
      <c r="R2063" s="0" t="n">
        <v>0</v>
      </c>
      <c r="S2063" s="51" t="s">
        <v>2376</v>
      </c>
      <c r="T2063" s="51" t="s">
        <v>2376</v>
      </c>
      <c r="U2063" s="0" t="str">
        <f aca="false">"5060458890191"</f>
        <v>5060458890191</v>
      </c>
      <c r="V2063" s="51" t="s">
        <v>2142</v>
      </c>
      <c r="W2063" s="51" t="s">
        <v>4218</v>
      </c>
      <c r="X2063" s="51" t="s">
        <v>2359</v>
      </c>
    </row>
    <row r="2064" customFormat="false" ht="14.25" hidden="true" customHeight="false" outlineLevel="0" collapsed="false">
      <c r="A2064" s="49" t="s">
        <v>2349</v>
      </c>
      <c r="B2064" s="49" t="s">
        <v>2350</v>
      </c>
      <c r="C2064" s="49" t="s">
        <v>4848</v>
      </c>
      <c r="D2064" s="49" t="s">
        <v>2352</v>
      </c>
      <c r="E2064" s="49" t="str">
        <f aca="false">"5060458890191"</f>
        <v>5060458890191</v>
      </c>
      <c r="F2064" s="49" t="s">
        <v>3656</v>
      </c>
      <c r="G2064" s="49" t="n">
        <v>0</v>
      </c>
      <c r="H2064" s="0" t="n">
        <v>0</v>
      </c>
      <c r="M2064" s="51" t="s">
        <v>4801</v>
      </c>
      <c r="N2064" s="49" t="n">
        <v>0</v>
      </c>
      <c r="O2064" s="53" t="n">
        <v>45717.4047685185</v>
      </c>
      <c r="P2064" s="53" t="n">
        <v>45720.46375</v>
      </c>
      <c r="Q2064" s="53" t="n">
        <v>45717.4047685185</v>
      </c>
      <c r="R2064" s="0" t="n">
        <v>0</v>
      </c>
      <c r="S2064" s="51" t="s">
        <v>2376</v>
      </c>
      <c r="T2064" s="51" t="s">
        <v>2376</v>
      </c>
      <c r="U2064" s="0" t="str">
        <f aca="false">"5060458890191"</f>
        <v>5060458890191</v>
      </c>
      <c r="V2064" s="51" t="s">
        <v>2142</v>
      </c>
      <c r="W2064" s="51" t="s">
        <v>4849</v>
      </c>
      <c r="X2064" s="51" t="s">
        <v>2359</v>
      </c>
    </row>
    <row r="2065" customFormat="false" ht="14.25" hidden="true" customHeight="false" outlineLevel="0" collapsed="false">
      <c r="A2065" s="49" t="s">
        <v>2349</v>
      </c>
      <c r="B2065" s="49" t="s">
        <v>2350</v>
      </c>
      <c r="C2065" s="49" t="s">
        <v>4850</v>
      </c>
      <c r="D2065" s="49" t="s">
        <v>2352</v>
      </c>
      <c r="E2065" s="49" t="str">
        <f aca="false">"5060458890191"</f>
        <v>5060458890191</v>
      </c>
      <c r="F2065" s="49" t="s">
        <v>3656</v>
      </c>
      <c r="G2065" s="49" t="n">
        <v>0</v>
      </c>
      <c r="H2065" s="0" t="n">
        <v>0</v>
      </c>
      <c r="M2065" s="51" t="s">
        <v>4801</v>
      </c>
      <c r="N2065" s="49" t="n">
        <v>0</v>
      </c>
      <c r="O2065" s="53" t="n">
        <v>45717.4049421296</v>
      </c>
      <c r="P2065" s="53" t="n">
        <v>45728.9524652778</v>
      </c>
      <c r="Q2065" s="53" t="n">
        <v>45717.4049421296</v>
      </c>
      <c r="R2065" s="0" t="n">
        <v>0</v>
      </c>
      <c r="S2065" s="51" t="s">
        <v>2376</v>
      </c>
      <c r="T2065" s="51" t="s">
        <v>2376</v>
      </c>
      <c r="U2065" s="0" t="str">
        <f aca="false">"5060458890191"</f>
        <v>5060458890191</v>
      </c>
      <c r="V2065" s="51" t="s">
        <v>2142</v>
      </c>
      <c r="W2065" s="51" t="s">
        <v>4851</v>
      </c>
      <c r="X2065" s="51" t="s">
        <v>2359</v>
      </c>
    </row>
    <row r="2066" customFormat="false" ht="14.25" hidden="true" customHeight="false" outlineLevel="0" collapsed="false">
      <c r="A2066" s="49" t="s">
        <v>2349</v>
      </c>
      <c r="B2066" s="49" t="s">
        <v>2350</v>
      </c>
      <c r="C2066" s="49" t="s">
        <v>4852</v>
      </c>
      <c r="D2066" s="49" t="s">
        <v>2352</v>
      </c>
      <c r="E2066" s="49" t="str">
        <f aca="false">"734730225548"</f>
        <v>734730225548</v>
      </c>
      <c r="F2066" s="49" t="s">
        <v>2434</v>
      </c>
      <c r="G2066" s="49" t="n">
        <v>0</v>
      </c>
      <c r="H2066" s="0" t="n">
        <v>0</v>
      </c>
      <c r="M2066" s="51" t="s">
        <v>4853</v>
      </c>
      <c r="N2066" s="49" t="n">
        <v>0</v>
      </c>
      <c r="O2066" s="53" t="n">
        <v>45713.5491087963</v>
      </c>
      <c r="P2066" s="53" t="n">
        <v>45713.5635648148</v>
      </c>
      <c r="Q2066" s="53" t="n">
        <v>45713.5491087963</v>
      </c>
      <c r="R2066" s="0" t="n">
        <v>0</v>
      </c>
      <c r="S2066" s="51" t="s">
        <v>2371</v>
      </c>
      <c r="T2066" s="51" t="s">
        <v>2371</v>
      </c>
      <c r="U2066" s="0" t="str">
        <f aca="false">"734730225548"</f>
        <v>734730225548</v>
      </c>
      <c r="V2066" s="51" t="s">
        <v>2365</v>
      </c>
      <c r="W2066" s="51" t="s">
        <v>4383</v>
      </c>
      <c r="X2066" s="51" t="s">
        <v>2359</v>
      </c>
    </row>
    <row r="2067" customFormat="false" ht="14.25" hidden="true" customHeight="false" outlineLevel="0" collapsed="false">
      <c r="A2067" s="49" t="s">
        <v>2349</v>
      </c>
      <c r="B2067" s="49" t="s">
        <v>2350</v>
      </c>
      <c r="C2067" s="49" t="s">
        <v>4854</v>
      </c>
      <c r="D2067" s="49" t="s">
        <v>2352</v>
      </c>
      <c r="E2067" s="49" t="str">
        <f aca="false">"12393794"</f>
        <v>12393794</v>
      </c>
      <c r="F2067" s="49" t="s">
        <v>4855</v>
      </c>
      <c r="G2067" s="49" t="n">
        <v>0</v>
      </c>
      <c r="H2067" s="0" t="n">
        <v>0</v>
      </c>
      <c r="M2067" s="51" t="s">
        <v>4856</v>
      </c>
      <c r="N2067" s="49" t="n">
        <v>0</v>
      </c>
      <c r="O2067" s="53" t="n">
        <v>45710.5906018519</v>
      </c>
      <c r="P2067" s="53" t="n">
        <v>45781.3837731482</v>
      </c>
      <c r="Q2067" s="53" t="n">
        <v>45710.5906018519</v>
      </c>
      <c r="R2067" s="0" t="n">
        <v>0</v>
      </c>
      <c r="S2067" s="51" t="s">
        <v>2371</v>
      </c>
      <c r="T2067" s="51" t="s">
        <v>2371</v>
      </c>
      <c r="U2067" s="0" t="str">
        <f aca="false">"12393794"</f>
        <v>12393794</v>
      </c>
      <c r="V2067" s="51" t="s">
        <v>2365</v>
      </c>
      <c r="W2067" s="51" t="s">
        <v>3824</v>
      </c>
      <c r="X2067" s="51" t="s">
        <v>2359</v>
      </c>
    </row>
    <row r="2068" customFormat="false" ht="14.25" hidden="true" customHeight="false" outlineLevel="0" collapsed="false">
      <c r="A2068" s="49" t="s">
        <v>2349</v>
      </c>
      <c r="B2068" s="49" t="s">
        <v>2350</v>
      </c>
      <c r="C2068" s="49" t="s">
        <v>4857</v>
      </c>
      <c r="D2068" s="49" t="s">
        <v>2352</v>
      </c>
      <c r="E2068" s="49" t="str">
        <f aca="false">"12518490"</f>
        <v>12518490</v>
      </c>
      <c r="F2068" s="49" t="s">
        <v>4858</v>
      </c>
      <c r="G2068" s="49" t="n">
        <v>0</v>
      </c>
      <c r="H2068" s="0" t="n">
        <v>0</v>
      </c>
      <c r="M2068" s="51" t="s">
        <v>4859</v>
      </c>
      <c r="N2068" s="49" t="n">
        <v>0</v>
      </c>
      <c r="O2068" s="53" t="n">
        <v>45708.6460069444</v>
      </c>
      <c r="P2068" s="53" t="n">
        <v>45789.3495833333</v>
      </c>
      <c r="Q2068" s="53" t="n">
        <v>45708.6460069444</v>
      </c>
      <c r="R2068" s="0" t="n">
        <v>0</v>
      </c>
      <c r="S2068" s="51" t="s">
        <v>2371</v>
      </c>
      <c r="T2068" s="51" t="s">
        <v>2371</v>
      </c>
      <c r="U2068" s="0" t="str">
        <f aca="false">"12518490"</f>
        <v>12518490</v>
      </c>
      <c r="V2068" s="51" t="s">
        <v>2365</v>
      </c>
      <c r="W2068" s="51" t="s">
        <v>4860</v>
      </c>
      <c r="X2068" s="51" t="s">
        <v>2359</v>
      </c>
    </row>
    <row r="2069" customFormat="false" ht="14.25" hidden="true" customHeight="false" outlineLevel="0" collapsed="false">
      <c r="A2069" s="49" t="s">
        <v>2349</v>
      </c>
      <c r="B2069" s="49" t="s">
        <v>2350</v>
      </c>
      <c r="C2069" s="49" t="s">
        <v>4861</v>
      </c>
      <c r="D2069" s="49" t="s">
        <v>2352</v>
      </c>
      <c r="E2069" s="49" t="str">
        <f aca="false">"12518490"</f>
        <v>12518490</v>
      </c>
      <c r="F2069" s="49" t="s">
        <v>4858</v>
      </c>
      <c r="G2069" s="49" t="n">
        <v>0</v>
      </c>
      <c r="H2069" s="0" t="n">
        <v>0</v>
      </c>
      <c r="M2069" s="51" t="s">
        <v>4859</v>
      </c>
      <c r="N2069" s="49" t="n">
        <v>0</v>
      </c>
      <c r="O2069" s="53" t="n">
        <v>45708.6463773148</v>
      </c>
      <c r="P2069" s="53" t="n">
        <v>45840.8565277778</v>
      </c>
      <c r="Q2069" s="53" t="n">
        <v>45708.6463773148</v>
      </c>
      <c r="R2069" s="0" t="n">
        <v>0</v>
      </c>
      <c r="S2069" s="51" t="s">
        <v>2371</v>
      </c>
      <c r="T2069" s="51" t="s">
        <v>2371</v>
      </c>
      <c r="U2069" s="0" t="str">
        <f aca="false">"12518490"</f>
        <v>12518490</v>
      </c>
      <c r="V2069" s="51" t="s">
        <v>2365</v>
      </c>
      <c r="W2069" s="51" t="s">
        <v>4862</v>
      </c>
      <c r="X2069" s="51" t="s">
        <v>2359</v>
      </c>
    </row>
    <row r="2070" customFormat="false" ht="14.25" hidden="true" customHeight="false" outlineLevel="0" collapsed="false">
      <c r="A2070" s="49" t="s">
        <v>2349</v>
      </c>
      <c r="B2070" s="49" t="s">
        <v>2350</v>
      </c>
      <c r="C2070" s="49" t="s">
        <v>4863</v>
      </c>
      <c r="D2070" s="49" t="s">
        <v>2352</v>
      </c>
      <c r="E2070" s="49" t="str">
        <f aca="false">"12518490"</f>
        <v>12518490</v>
      </c>
      <c r="F2070" s="49" t="s">
        <v>4858</v>
      </c>
      <c r="G2070" s="49" t="n">
        <v>0</v>
      </c>
      <c r="H2070" s="0" t="n">
        <v>0</v>
      </c>
      <c r="M2070" s="51" t="s">
        <v>4859</v>
      </c>
      <c r="N2070" s="49" t="n">
        <v>0</v>
      </c>
      <c r="O2070" s="53" t="n">
        <v>45708.6471990741</v>
      </c>
      <c r="P2070" s="53" t="n">
        <v>45823.7773032407</v>
      </c>
      <c r="Q2070" s="53" t="n">
        <v>45708.6471990741</v>
      </c>
      <c r="R2070" s="0" t="n">
        <v>0</v>
      </c>
      <c r="S2070" s="51" t="s">
        <v>2371</v>
      </c>
      <c r="T2070" s="51" t="s">
        <v>2371</v>
      </c>
      <c r="U2070" s="0" t="str">
        <f aca="false">"12518490"</f>
        <v>12518490</v>
      </c>
      <c r="V2070" s="51" t="s">
        <v>2365</v>
      </c>
      <c r="W2070" s="51" t="s">
        <v>4864</v>
      </c>
      <c r="X2070" s="51" t="s">
        <v>2359</v>
      </c>
    </row>
    <row r="2071" customFormat="false" ht="14.25" hidden="true" customHeight="false" outlineLevel="0" collapsed="false">
      <c r="A2071" s="49" t="s">
        <v>2349</v>
      </c>
      <c r="B2071" s="49" t="s">
        <v>2350</v>
      </c>
      <c r="C2071" s="49" t="s">
        <v>4865</v>
      </c>
      <c r="D2071" s="49" t="s">
        <v>2352</v>
      </c>
      <c r="E2071" s="49" t="str">
        <f aca="false">"12518490"</f>
        <v>12518490</v>
      </c>
      <c r="F2071" s="49" t="s">
        <v>4858</v>
      </c>
      <c r="G2071" s="49" t="n">
        <v>0</v>
      </c>
      <c r="H2071" s="0" t="n">
        <v>0</v>
      </c>
      <c r="M2071" s="51" t="s">
        <v>4859</v>
      </c>
      <c r="N2071" s="49" t="n">
        <v>0</v>
      </c>
      <c r="O2071" s="53" t="n">
        <v>45708.6478587963</v>
      </c>
      <c r="P2071" s="53" t="n">
        <v>45789.3482060185</v>
      </c>
      <c r="Q2071" s="53" t="n">
        <v>45708.6478587963</v>
      </c>
      <c r="R2071" s="0" t="n">
        <v>0</v>
      </c>
      <c r="S2071" s="51" t="s">
        <v>2371</v>
      </c>
      <c r="T2071" s="51" t="s">
        <v>2371</v>
      </c>
      <c r="U2071" s="0" t="str">
        <f aca="false">"12518490"</f>
        <v>12518490</v>
      </c>
      <c r="V2071" s="51" t="s">
        <v>2365</v>
      </c>
      <c r="W2071" s="51" t="s">
        <v>4866</v>
      </c>
      <c r="X2071" s="51" t="s">
        <v>2359</v>
      </c>
    </row>
    <row r="2072" customFormat="false" ht="14.25" hidden="true" customHeight="false" outlineLevel="0" collapsed="false">
      <c r="A2072" s="49" t="s">
        <v>2349</v>
      </c>
      <c r="B2072" s="49" t="s">
        <v>2350</v>
      </c>
      <c r="C2072" s="49" t="s">
        <v>4867</v>
      </c>
      <c r="D2072" s="49" t="s">
        <v>2352</v>
      </c>
      <c r="E2072" s="49" t="str">
        <f aca="false">"12393792"</f>
        <v>12393792</v>
      </c>
      <c r="F2072" s="49" t="s">
        <v>2368</v>
      </c>
      <c r="G2072" s="49" t="n">
        <v>0</v>
      </c>
      <c r="H2072" s="0" t="n">
        <v>0</v>
      </c>
      <c r="M2072" s="51" t="s">
        <v>4859</v>
      </c>
      <c r="N2072" s="49" t="n">
        <v>0</v>
      </c>
      <c r="O2072" s="53" t="n">
        <v>45708.6482986111</v>
      </c>
      <c r="P2072" s="53" t="n">
        <v>45778.7940162037</v>
      </c>
      <c r="Q2072" s="53" t="n">
        <v>45708.6482986111</v>
      </c>
      <c r="R2072" s="0" t="n">
        <v>0</v>
      </c>
      <c r="S2072" s="51" t="s">
        <v>2371</v>
      </c>
      <c r="T2072" s="51" t="s">
        <v>2371</v>
      </c>
      <c r="U2072" s="0" t="str">
        <f aca="false">"12393792"</f>
        <v>12393792</v>
      </c>
      <c r="V2072" s="51" t="s">
        <v>2365</v>
      </c>
      <c r="W2072" s="51" t="s">
        <v>4868</v>
      </c>
      <c r="X2072" s="51" t="s">
        <v>2359</v>
      </c>
    </row>
    <row r="2073" customFormat="false" ht="14.25" hidden="true" customHeight="false" outlineLevel="0" collapsed="false">
      <c r="A2073" s="49" t="s">
        <v>2349</v>
      </c>
      <c r="B2073" s="49" t="s">
        <v>2350</v>
      </c>
      <c r="C2073" s="49" t="s">
        <v>4869</v>
      </c>
      <c r="D2073" s="49" t="s">
        <v>2352</v>
      </c>
      <c r="E2073" s="49" t="str">
        <f aca="false">"12520129"</f>
        <v>12520129</v>
      </c>
      <c r="F2073" s="49" t="s">
        <v>4870</v>
      </c>
      <c r="G2073" s="49" t="n">
        <v>0</v>
      </c>
      <c r="H2073" s="0" t="n">
        <v>0</v>
      </c>
      <c r="M2073" s="51" t="s">
        <v>4859</v>
      </c>
      <c r="N2073" s="49" t="n">
        <v>0</v>
      </c>
      <c r="O2073" s="53" t="n">
        <v>45708.6476157407</v>
      </c>
      <c r="P2073" s="53" t="n">
        <v>45712.4810532407</v>
      </c>
      <c r="Q2073" s="53" t="n">
        <v>45708.6476157407</v>
      </c>
      <c r="R2073" s="0" t="n">
        <v>0</v>
      </c>
      <c r="S2073" s="51" t="s">
        <v>2371</v>
      </c>
      <c r="T2073" s="51" t="s">
        <v>2371</v>
      </c>
      <c r="U2073" s="0" t="str">
        <f aca="false">"12520129"</f>
        <v>12520129</v>
      </c>
      <c r="V2073" s="51" t="s">
        <v>2365</v>
      </c>
      <c r="W2073" s="51" t="s">
        <v>4871</v>
      </c>
      <c r="X2073" s="51" t="s">
        <v>2359</v>
      </c>
    </row>
    <row r="2074" customFormat="false" ht="14.25" hidden="true" customHeight="false" outlineLevel="0" collapsed="false">
      <c r="A2074" s="49" t="s">
        <v>2349</v>
      </c>
      <c r="B2074" s="49" t="s">
        <v>2350</v>
      </c>
      <c r="C2074" s="49" t="s">
        <v>4872</v>
      </c>
      <c r="D2074" s="49" t="s">
        <v>2352</v>
      </c>
      <c r="E2074" s="49" t="str">
        <f aca="false">"12518490"</f>
        <v>12518490</v>
      </c>
      <c r="F2074" s="49" t="s">
        <v>4858</v>
      </c>
      <c r="G2074" s="49" t="n">
        <v>0</v>
      </c>
      <c r="H2074" s="0" t="n">
        <v>0</v>
      </c>
      <c r="M2074" s="51" t="s">
        <v>4859</v>
      </c>
      <c r="N2074" s="49" t="n">
        <v>0</v>
      </c>
      <c r="O2074" s="53" t="n">
        <v>45708.6470833333</v>
      </c>
      <c r="P2074" s="53" t="n">
        <v>45789.3514583333</v>
      </c>
      <c r="Q2074" s="53" t="n">
        <v>45708.6470833333</v>
      </c>
      <c r="R2074" s="0" t="n">
        <v>0</v>
      </c>
      <c r="S2074" s="51" t="s">
        <v>2371</v>
      </c>
      <c r="T2074" s="51" t="s">
        <v>2371</v>
      </c>
      <c r="U2074" s="0" t="str">
        <f aca="false">"12518490"</f>
        <v>12518490</v>
      </c>
      <c r="V2074" s="51" t="s">
        <v>2365</v>
      </c>
      <c r="W2074" s="51" t="s">
        <v>4030</v>
      </c>
      <c r="X2074" s="51" t="s">
        <v>2359</v>
      </c>
    </row>
    <row r="2075" customFormat="false" ht="14.25" hidden="true" customHeight="false" outlineLevel="0" collapsed="false">
      <c r="A2075" s="49" t="s">
        <v>2349</v>
      </c>
      <c r="B2075" s="49" t="s">
        <v>2350</v>
      </c>
      <c r="C2075" s="49" t="s">
        <v>4873</v>
      </c>
      <c r="D2075" s="49" t="s">
        <v>2352</v>
      </c>
      <c r="E2075" s="49" t="str">
        <f aca="false">"12518490"</f>
        <v>12518490</v>
      </c>
      <c r="F2075" s="49" t="s">
        <v>4858</v>
      </c>
      <c r="G2075" s="49" t="n">
        <v>0</v>
      </c>
      <c r="H2075" s="0" t="n">
        <v>0</v>
      </c>
      <c r="M2075" s="51" t="s">
        <v>4859</v>
      </c>
      <c r="N2075" s="49" t="n">
        <v>0</v>
      </c>
      <c r="O2075" s="53" t="n">
        <v>45708.6466898148</v>
      </c>
      <c r="P2075" s="53" t="n">
        <v>45789.3426851852</v>
      </c>
      <c r="Q2075" s="53" t="n">
        <v>45708.6466898148</v>
      </c>
      <c r="R2075" s="0" t="n">
        <v>0</v>
      </c>
      <c r="S2075" s="51" t="s">
        <v>2371</v>
      </c>
      <c r="T2075" s="51" t="s">
        <v>2371</v>
      </c>
      <c r="U2075" s="0" t="str">
        <f aca="false">"12518490"</f>
        <v>12518490</v>
      </c>
      <c r="V2075" s="51" t="s">
        <v>2365</v>
      </c>
      <c r="W2075" s="51" t="s">
        <v>4874</v>
      </c>
      <c r="X2075" s="51" t="s">
        <v>2359</v>
      </c>
    </row>
    <row r="2076" customFormat="false" ht="14.25" hidden="true" customHeight="false" outlineLevel="0" collapsed="false">
      <c r="A2076" s="49" t="s">
        <v>2349</v>
      </c>
      <c r="B2076" s="49" t="s">
        <v>2350</v>
      </c>
      <c r="C2076" s="49" t="s">
        <v>4875</v>
      </c>
      <c r="D2076" s="49" t="s">
        <v>2352</v>
      </c>
      <c r="E2076" s="49" t="str">
        <f aca="false">"12518490"</f>
        <v>12518490</v>
      </c>
      <c r="F2076" s="49" t="s">
        <v>4858</v>
      </c>
      <c r="G2076" s="49" t="n">
        <v>0</v>
      </c>
      <c r="H2076" s="0" t="n">
        <v>0</v>
      </c>
      <c r="M2076" s="51" t="s">
        <v>4859</v>
      </c>
      <c r="N2076" s="49" t="n">
        <v>0</v>
      </c>
      <c r="O2076" s="53" t="n">
        <v>45708.6461689815</v>
      </c>
      <c r="P2076" s="53" t="n">
        <v>45789.3436921296</v>
      </c>
      <c r="Q2076" s="53" t="n">
        <v>45708.6461689815</v>
      </c>
      <c r="R2076" s="0" t="n">
        <v>0</v>
      </c>
      <c r="S2076" s="51" t="s">
        <v>2371</v>
      </c>
      <c r="T2076" s="51" t="s">
        <v>2371</v>
      </c>
      <c r="U2076" s="0" t="str">
        <f aca="false">"12518490"</f>
        <v>12518490</v>
      </c>
      <c r="V2076" s="51" t="s">
        <v>2365</v>
      </c>
      <c r="W2076" s="51" t="s">
        <v>4543</v>
      </c>
      <c r="X2076" s="51" t="s">
        <v>2359</v>
      </c>
    </row>
    <row r="2077" customFormat="false" ht="14.25" hidden="true" customHeight="false" outlineLevel="0" collapsed="false">
      <c r="A2077" s="49" t="s">
        <v>2349</v>
      </c>
      <c r="B2077" s="49" t="s">
        <v>2350</v>
      </c>
      <c r="C2077" s="49" t="s">
        <v>4876</v>
      </c>
      <c r="D2077" s="49" t="s">
        <v>2352</v>
      </c>
      <c r="E2077" s="49" t="str">
        <f aca="false">"12518490"</f>
        <v>12518490</v>
      </c>
      <c r="F2077" s="49" t="s">
        <v>4858</v>
      </c>
      <c r="G2077" s="49" t="n">
        <v>0</v>
      </c>
      <c r="H2077" s="0" t="n">
        <v>0</v>
      </c>
      <c r="M2077" s="51" t="s">
        <v>4859</v>
      </c>
      <c r="N2077" s="49" t="n">
        <v>0</v>
      </c>
      <c r="O2077" s="53" t="n">
        <v>45708.6456712963</v>
      </c>
      <c r="P2077" s="53" t="n">
        <v>45789.3510069444</v>
      </c>
      <c r="Q2077" s="53" t="n">
        <v>45708.6456712963</v>
      </c>
      <c r="R2077" s="0" t="n">
        <v>0</v>
      </c>
      <c r="S2077" s="51" t="s">
        <v>2371</v>
      </c>
      <c r="T2077" s="51" t="s">
        <v>2371</v>
      </c>
      <c r="U2077" s="0" t="str">
        <f aca="false">"12518490"</f>
        <v>12518490</v>
      </c>
      <c r="V2077" s="51" t="s">
        <v>2365</v>
      </c>
      <c r="W2077" s="51" t="s">
        <v>4042</v>
      </c>
      <c r="X2077" s="51" t="s">
        <v>2359</v>
      </c>
    </row>
    <row r="2078" customFormat="false" ht="14.25" hidden="true" customHeight="false" outlineLevel="0" collapsed="false">
      <c r="A2078" s="49" t="s">
        <v>2349</v>
      </c>
      <c r="B2078" s="49" t="s">
        <v>2350</v>
      </c>
      <c r="C2078" s="49" t="s">
        <v>4877</v>
      </c>
      <c r="D2078" s="49" t="s">
        <v>2352</v>
      </c>
      <c r="E2078" s="49" t="str">
        <f aca="false">"12518490"</f>
        <v>12518490</v>
      </c>
      <c r="F2078" s="49" t="s">
        <v>4858</v>
      </c>
      <c r="G2078" s="49" t="n">
        <v>0</v>
      </c>
      <c r="H2078" s="0" t="n">
        <v>0</v>
      </c>
      <c r="M2078" s="51" t="s">
        <v>4859</v>
      </c>
      <c r="N2078" s="49" t="n">
        <v>0</v>
      </c>
      <c r="O2078" s="53" t="n">
        <v>45708.6442476852</v>
      </c>
      <c r="P2078" s="53" t="n">
        <v>45789.3448726852</v>
      </c>
      <c r="Q2078" s="53" t="n">
        <v>45708.6442476852</v>
      </c>
      <c r="R2078" s="0" t="n">
        <v>0</v>
      </c>
      <c r="S2078" s="51" t="s">
        <v>2371</v>
      </c>
      <c r="T2078" s="51" t="s">
        <v>2371</v>
      </c>
      <c r="U2078" s="0" t="str">
        <f aca="false">"12518490"</f>
        <v>12518490</v>
      </c>
      <c r="V2078" s="51" t="s">
        <v>2365</v>
      </c>
      <c r="W2078" s="51" t="s">
        <v>4878</v>
      </c>
      <c r="X2078" s="51" t="s">
        <v>2359</v>
      </c>
    </row>
    <row r="2079" customFormat="false" ht="14.25" hidden="true" customHeight="false" outlineLevel="0" collapsed="false">
      <c r="A2079" s="49" t="s">
        <v>2349</v>
      </c>
      <c r="B2079" s="49" t="s">
        <v>2350</v>
      </c>
      <c r="C2079" s="49" t="s">
        <v>4879</v>
      </c>
      <c r="D2079" s="49" t="s">
        <v>2352</v>
      </c>
      <c r="E2079" s="49" t="str">
        <f aca="false">"12496983"</f>
        <v>12496983</v>
      </c>
      <c r="F2079" s="49" t="s">
        <v>4880</v>
      </c>
      <c r="G2079" s="49" t="n">
        <v>0</v>
      </c>
      <c r="H2079" s="0" t="n">
        <v>0</v>
      </c>
      <c r="M2079" s="51" t="s">
        <v>4859</v>
      </c>
      <c r="N2079" s="49" t="n">
        <v>0</v>
      </c>
      <c r="O2079" s="53" t="n">
        <v>45708.6433101852</v>
      </c>
      <c r="P2079" s="53" t="n">
        <v>45803.8875694444</v>
      </c>
      <c r="Q2079" s="53" t="n">
        <v>45708.6433101852</v>
      </c>
      <c r="R2079" s="0" t="n">
        <v>0</v>
      </c>
      <c r="S2079" s="51" t="s">
        <v>2371</v>
      </c>
      <c r="T2079" s="51" t="s">
        <v>2371</v>
      </c>
      <c r="U2079" s="0" t="str">
        <f aca="false">"12496983"</f>
        <v>12496983</v>
      </c>
      <c r="V2079" s="51" t="s">
        <v>2365</v>
      </c>
      <c r="W2079" s="51" t="s">
        <v>4881</v>
      </c>
      <c r="X2079" s="51" t="s">
        <v>2359</v>
      </c>
    </row>
    <row r="2080" customFormat="false" ht="14.25" hidden="true" customHeight="false" outlineLevel="0" collapsed="false">
      <c r="A2080" s="49" t="s">
        <v>2349</v>
      </c>
      <c r="B2080" s="49" t="s">
        <v>2350</v>
      </c>
      <c r="C2080" s="49" t="s">
        <v>4882</v>
      </c>
      <c r="D2080" s="49" t="s">
        <v>2352</v>
      </c>
      <c r="E2080" s="49" t="str">
        <f aca="false">"12520129"</f>
        <v>12520129</v>
      </c>
      <c r="F2080" s="49" t="s">
        <v>4870</v>
      </c>
      <c r="G2080" s="49" t="n">
        <v>0</v>
      </c>
      <c r="H2080" s="0" t="n">
        <v>0</v>
      </c>
      <c r="M2080" s="51" t="s">
        <v>4859</v>
      </c>
      <c r="N2080" s="49" t="n">
        <v>0</v>
      </c>
      <c r="O2080" s="53" t="n">
        <v>45708.6428009259</v>
      </c>
      <c r="P2080" s="53" t="n">
        <v>45712.4803819444</v>
      </c>
      <c r="Q2080" s="53" t="n">
        <v>45708.6428009259</v>
      </c>
      <c r="R2080" s="0" t="n">
        <v>0</v>
      </c>
      <c r="S2080" s="51" t="s">
        <v>2371</v>
      </c>
      <c r="T2080" s="51" t="s">
        <v>2371</v>
      </c>
      <c r="U2080" s="0" t="str">
        <f aca="false">"12520129"</f>
        <v>12520129</v>
      </c>
      <c r="V2080" s="51" t="s">
        <v>2365</v>
      </c>
      <c r="W2080" s="51" t="s">
        <v>4883</v>
      </c>
      <c r="X2080" s="51" t="s">
        <v>2359</v>
      </c>
    </row>
    <row r="2081" customFormat="false" ht="14.25" hidden="true" customHeight="false" outlineLevel="0" collapsed="false">
      <c r="A2081" s="49" t="s">
        <v>2349</v>
      </c>
      <c r="B2081" s="49" t="s">
        <v>2350</v>
      </c>
      <c r="C2081" s="49" t="s">
        <v>4884</v>
      </c>
      <c r="D2081" s="49" t="s">
        <v>2352</v>
      </c>
      <c r="E2081" s="49" t="str">
        <f aca="false">"12496983"</f>
        <v>12496983</v>
      </c>
      <c r="F2081" s="49" t="s">
        <v>4880</v>
      </c>
      <c r="G2081" s="49" t="n">
        <v>0</v>
      </c>
      <c r="H2081" s="0" t="n">
        <v>0</v>
      </c>
      <c r="M2081" s="51" t="s">
        <v>4859</v>
      </c>
      <c r="N2081" s="49" t="n">
        <v>0</v>
      </c>
      <c r="O2081" s="53" t="n">
        <v>45708.6421180556</v>
      </c>
      <c r="P2081" s="53" t="n">
        <v>45710.8357407407</v>
      </c>
      <c r="Q2081" s="53" t="n">
        <v>45708.6421180556</v>
      </c>
      <c r="R2081" s="0" t="n">
        <v>0</v>
      </c>
      <c r="S2081" s="51" t="s">
        <v>2371</v>
      </c>
      <c r="T2081" s="51" t="s">
        <v>2371</v>
      </c>
      <c r="U2081" s="0" t="str">
        <f aca="false">"12496983"</f>
        <v>12496983</v>
      </c>
      <c r="V2081" s="51" t="s">
        <v>2365</v>
      </c>
      <c r="W2081" s="51" t="s">
        <v>4885</v>
      </c>
      <c r="X2081" s="51" t="s">
        <v>2359</v>
      </c>
    </row>
    <row r="2082" customFormat="false" ht="14.25" hidden="true" customHeight="false" outlineLevel="0" collapsed="false">
      <c r="A2082" s="49" t="s">
        <v>2349</v>
      </c>
      <c r="B2082" s="49" t="s">
        <v>2350</v>
      </c>
      <c r="C2082" s="49" t="s">
        <v>4886</v>
      </c>
      <c r="D2082" s="49" t="s">
        <v>2352</v>
      </c>
      <c r="E2082" s="49" t="str">
        <f aca="false">"12496983"</f>
        <v>12496983</v>
      </c>
      <c r="F2082" s="49" t="s">
        <v>4880</v>
      </c>
      <c r="G2082" s="49" t="n">
        <v>0</v>
      </c>
      <c r="H2082" s="0" t="n">
        <v>0</v>
      </c>
      <c r="M2082" s="51" t="s">
        <v>4859</v>
      </c>
      <c r="N2082" s="49" t="n">
        <v>0</v>
      </c>
      <c r="O2082" s="53" t="n">
        <v>45708.6418518519</v>
      </c>
      <c r="P2082" s="53" t="n">
        <v>45808.471400463</v>
      </c>
      <c r="Q2082" s="53" t="n">
        <v>45708.6418518519</v>
      </c>
      <c r="R2082" s="0" t="n">
        <v>0</v>
      </c>
      <c r="S2082" s="51" t="s">
        <v>2371</v>
      </c>
      <c r="T2082" s="51" t="s">
        <v>2371</v>
      </c>
      <c r="U2082" s="0" t="str">
        <f aca="false">"12496983"</f>
        <v>12496983</v>
      </c>
      <c r="V2082" s="51" t="s">
        <v>2365</v>
      </c>
      <c r="W2082" s="51" t="s">
        <v>4887</v>
      </c>
      <c r="X2082" s="51" t="s">
        <v>2359</v>
      </c>
    </row>
    <row r="2083" customFormat="false" ht="14.25" hidden="true" customHeight="false" outlineLevel="0" collapsed="false">
      <c r="A2083" s="49" t="s">
        <v>2349</v>
      </c>
      <c r="B2083" s="49" t="s">
        <v>2350</v>
      </c>
      <c r="C2083" s="49" t="s">
        <v>4888</v>
      </c>
      <c r="D2083" s="49" t="s">
        <v>2352</v>
      </c>
      <c r="E2083" s="49" t="str">
        <f aca="false">"12464079"</f>
        <v>12464079</v>
      </c>
      <c r="F2083" s="49" t="s">
        <v>4706</v>
      </c>
      <c r="G2083" s="49" t="n">
        <v>0</v>
      </c>
      <c r="H2083" s="0" t="n">
        <v>0</v>
      </c>
      <c r="M2083" s="51" t="s">
        <v>4859</v>
      </c>
      <c r="N2083" s="49" t="n">
        <v>0</v>
      </c>
      <c r="O2083" s="53" t="n">
        <v>45708.6412384259</v>
      </c>
      <c r="P2083" s="53" t="n">
        <v>45729.566400463</v>
      </c>
      <c r="Q2083" s="53" t="n">
        <v>45708.6412384259</v>
      </c>
      <c r="R2083" s="0" t="n">
        <v>0</v>
      </c>
      <c r="S2083" s="51" t="s">
        <v>2371</v>
      </c>
      <c r="T2083" s="51" t="s">
        <v>2371</v>
      </c>
      <c r="U2083" s="0" t="str">
        <f aca="false">"12464079"</f>
        <v>12464079</v>
      </c>
      <c r="V2083" s="51" t="s">
        <v>2365</v>
      </c>
      <c r="W2083" s="51" t="s">
        <v>4889</v>
      </c>
      <c r="X2083" s="51" t="s">
        <v>2359</v>
      </c>
    </row>
    <row r="2084" customFormat="false" ht="14.25" hidden="true" customHeight="false" outlineLevel="0" collapsed="false">
      <c r="A2084" s="49" t="s">
        <v>2349</v>
      </c>
      <c r="B2084" s="49" t="s">
        <v>2350</v>
      </c>
      <c r="C2084" s="49" t="s">
        <v>4890</v>
      </c>
      <c r="D2084" s="49" t="s">
        <v>2352</v>
      </c>
      <c r="E2084" s="49" t="str">
        <f aca="false">"12464079"</f>
        <v>12464079</v>
      </c>
      <c r="F2084" s="49" t="s">
        <v>4706</v>
      </c>
      <c r="G2084" s="49" t="n">
        <v>0</v>
      </c>
      <c r="H2084" s="0" t="n">
        <v>0</v>
      </c>
      <c r="M2084" s="51" t="s">
        <v>4859</v>
      </c>
      <c r="N2084" s="49" t="n">
        <v>0</v>
      </c>
      <c r="O2084" s="53" t="n">
        <v>45708.6409837963</v>
      </c>
      <c r="P2084" s="53" t="n">
        <v>45732.0787615741</v>
      </c>
      <c r="Q2084" s="53" t="n">
        <v>45708.6409837963</v>
      </c>
      <c r="R2084" s="0" t="n">
        <v>0</v>
      </c>
      <c r="S2084" s="51" t="s">
        <v>2371</v>
      </c>
      <c r="T2084" s="51" t="s">
        <v>2371</v>
      </c>
      <c r="U2084" s="0" t="str">
        <f aca="false">"12464079"</f>
        <v>12464079</v>
      </c>
      <c r="V2084" s="51" t="s">
        <v>2365</v>
      </c>
      <c r="W2084" s="51" t="s">
        <v>4891</v>
      </c>
      <c r="X2084" s="51" t="s">
        <v>2359</v>
      </c>
    </row>
    <row r="2085" customFormat="false" ht="14.25" hidden="true" customHeight="false" outlineLevel="0" collapsed="false">
      <c r="A2085" s="49" t="s">
        <v>2349</v>
      </c>
      <c r="B2085" s="49" t="s">
        <v>2350</v>
      </c>
      <c r="C2085" s="49" t="s">
        <v>4892</v>
      </c>
      <c r="D2085" s="49" t="s">
        <v>2352</v>
      </c>
      <c r="E2085" s="49" t="str">
        <f aca="false">"12496983"</f>
        <v>12496983</v>
      </c>
      <c r="F2085" s="49" t="s">
        <v>4880</v>
      </c>
      <c r="G2085" s="49" t="n">
        <v>0</v>
      </c>
      <c r="H2085" s="0" t="n">
        <v>0</v>
      </c>
      <c r="M2085" s="51" t="s">
        <v>4859</v>
      </c>
      <c r="N2085" s="49" t="n">
        <v>0</v>
      </c>
      <c r="O2085" s="53" t="n">
        <v>45708.6406365741</v>
      </c>
      <c r="P2085" s="53" t="n">
        <v>45719.4191550926</v>
      </c>
      <c r="Q2085" s="53" t="n">
        <v>45708.6406365741</v>
      </c>
      <c r="R2085" s="0" t="n">
        <v>0</v>
      </c>
      <c r="S2085" s="51" t="s">
        <v>2371</v>
      </c>
      <c r="T2085" s="51" t="s">
        <v>2371</v>
      </c>
      <c r="U2085" s="0" t="str">
        <f aca="false">"12496983"</f>
        <v>12496983</v>
      </c>
      <c r="V2085" s="51" t="s">
        <v>2365</v>
      </c>
      <c r="W2085" s="51" t="s">
        <v>4893</v>
      </c>
      <c r="X2085" s="51" t="s">
        <v>2359</v>
      </c>
    </row>
    <row r="2086" customFormat="false" ht="14.25" hidden="true" customHeight="false" outlineLevel="0" collapsed="false">
      <c r="A2086" s="49" t="s">
        <v>2349</v>
      </c>
      <c r="B2086" s="49" t="s">
        <v>2350</v>
      </c>
      <c r="C2086" s="49" t="s">
        <v>4894</v>
      </c>
      <c r="D2086" s="49" t="s">
        <v>2352</v>
      </c>
      <c r="E2086" s="49" t="str">
        <f aca="false">"12464079"</f>
        <v>12464079</v>
      </c>
      <c r="F2086" s="49" t="s">
        <v>4706</v>
      </c>
      <c r="G2086" s="49" t="n">
        <v>0</v>
      </c>
      <c r="H2086" s="0" t="n">
        <v>0</v>
      </c>
      <c r="M2086" s="51" t="s">
        <v>4859</v>
      </c>
      <c r="N2086" s="49" t="n">
        <v>0</v>
      </c>
      <c r="O2086" s="53" t="n">
        <v>45708.6404166667</v>
      </c>
      <c r="P2086" s="53" t="n">
        <v>45732.0769907407</v>
      </c>
      <c r="Q2086" s="53" t="n">
        <v>45708.6404166667</v>
      </c>
      <c r="R2086" s="0" t="n">
        <v>0</v>
      </c>
      <c r="S2086" s="51" t="s">
        <v>2371</v>
      </c>
      <c r="T2086" s="51" t="s">
        <v>2371</v>
      </c>
      <c r="U2086" s="0" t="str">
        <f aca="false">"12464079"</f>
        <v>12464079</v>
      </c>
      <c r="V2086" s="51" t="s">
        <v>2365</v>
      </c>
      <c r="W2086" s="51" t="s">
        <v>4895</v>
      </c>
      <c r="X2086" s="51" t="s">
        <v>2359</v>
      </c>
    </row>
    <row r="2087" customFormat="false" ht="14.25" hidden="true" customHeight="false" outlineLevel="0" collapsed="false">
      <c r="A2087" s="49" t="s">
        <v>2349</v>
      </c>
      <c r="B2087" s="49" t="s">
        <v>2350</v>
      </c>
      <c r="C2087" s="49" t="s">
        <v>4896</v>
      </c>
      <c r="D2087" s="49" t="s">
        <v>2352</v>
      </c>
      <c r="E2087" s="49" t="str">
        <f aca="false">"12496983"</f>
        <v>12496983</v>
      </c>
      <c r="F2087" s="49" t="s">
        <v>4880</v>
      </c>
      <c r="G2087" s="49" t="n">
        <v>0</v>
      </c>
      <c r="H2087" s="0" t="n">
        <v>0</v>
      </c>
      <c r="M2087" s="51" t="s">
        <v>4859</v>
      </c>
      <c r="N2087" s="49" t="n">
        <v>0</v>
      </c>
      <c r="O2087" s="53" t="n">
        <v>45708.6401157407</v>
      </c>
      <c r="P2087" s="53" t="n">
        <v>45710.8323263889</v>
      </c>
      <c r="Q2087" s="53" t="n">
        <v>45708.6401157407</v>
      </c>
      <c r="R2087" s="0" t="n">
        <v>0</v>
      </c>
      <c r="S2087" s="51" t="s">
        <v>2371</v>
      </c>
      <c r="T2087" s="51" t="s">
        <v>2371</v>
      </c>
      <c r="U2087" s="0" t="str">
        <f aca="false">"12496983"</f>
        <v>12496983</v>
      </c>
      <c r="V2087" s="51" t="s">
        <v>2365</v>
      </c>
      <c r="W2087" s="51" t="s">
        <v>4897</v>
      </c>
      <c r="X2087" s="51" t="s">
        <v>2359</v>
      </c>
    </row>
    <row r="2088" customFormat="false" ht="14.25" hidden="true" customHeight="false" outlineLevel="0" collapsed="false">
      <c r="A2088" s="49" t="s">
        <v>2349</v>
      </c>
      <c r="B2088" s="49" t="s">
        <v>2350</v>
      </c>
      <c r="C2088" s="49" t="s">
        <v>4898</v>
      </c>
      <c r="D2088" s="49" t="s">
        <v>2352</v>
      </c>
      <c r="E2088" s="49" t="str">
        <f aca="false">"12496983"</f>
        <v>12496983</v>
      </c>
      <c r="F2088" s="49" t="s">
        <v>4880</v>
      </c>
      <c r="G2088" s="49" t="n">
        <v>0</v>
      </c>
      <c r="H2088" s="0" t="n">
        <v>0</v>
      </c>
      <c r="M2088" s="51" t="s">
        <v>4859</v>
      </c>
      <c r="N2088" s="49" t="n">
        <v>0</v>
      </c>
      <c r="O2088" s="53" t="n">
        <v>45708.6399305556</v>
      </c>
      <c r="P2088" s="53" t="n">
        <v>45710.8242939815</v>
      </c>
      <c r="Q2088" s="53" t="n">
        <v>45708.6399305556</v>
      </c>
      <c r="R2088" s="0" t="n">
        <v>0</v>
      </c>
      <c r="S2088" s="51" t="s">
        <v>2371</v>
      </c>
      <c r="T2088" s="51" t="s">
        <v>2371</v>
      </c>
      <c r="U2088" s="0" t="str">
        <f aca="false">"12496983"</f>
        <v>12496983</v>
      </c>
      <c r="V2088" s="51" t="s">
        <v>2365</v>
      </c>
      <c r="W2088" s="51" t="s">
        <v>4899</v>
      </c>
      <c r="X2088" s="51" t="s">
        <v>2359</v>
      </c>
    </row>
    <row r="2089" customFormat="false" ht="14.25" hidden="true" customHeight="false" outlineLevel="0" collapsed="false">
      <c r="A2089" s="49" t="s">
        <v>2349</v>
      </c>
      <c r="B2089" s="49" t="s">
        <v>2350</v>
      </c>
      <c r="C2089" s="49" t="s">
        <v>4900</v>
      </c>
      <c r="D2089" s="49" t="s">
        <v>2352</v>
      </c>
      <c r="E2089" s="49" t="str">
        <f aca="false">"12496983"</f>
        <v>12496983</v>
      </c>
      <c r="F2089" s="49" t="s">
        <v>4880</v>
      </c>
      <c r="G2089" s="49" t="n">
        <v>0</v>
      </c>
      <c r="H2089" s="0" t="n">
        <v>0</v>
      </c>
      <c r="M2089" s="51" t="s">
        <v>4859</v>
      </c>
      <c r="N2089" s="49" t="n">
        <v>0</v>
      </c>
      <c r="O2089" s="53" t="n">
        <v>45708.6395949074</v>
      </c>
      <c r="P2089" s="53" t="n">
        <v>45719.4047916667</v>
      </c>
      <c r="Q2089" s="53" t="n">
        <v>45708.6395949074</v>
      </c>
      <c r="R2089" s="0" t="n">
        <v>0</v>
      </c>
      <c r="S2089" s="51" t="s">
        <v>2371</v>
      </c>
      <c r="T2089" s="51" t="s">
        <v>2371</v>
      </c>
      <c r="U2089" s="0" t="str">
        <f aca="false">"12496983"</f>
        <v>12496983</v>
      </c>
      <c r="V2089" s="51" t="s">
        <v>2365</v>
      </c>
      <c r="W2089" s="51" t="s">
        <v>4901</v>
      </c>
      <c r="X2089" s="51" t="s">
        <v>2359</v>
      </c>
    </row>
    <row r="2090" customFormat="false" ht="14.25" hidden="true" customHeight="false" outlineLevel="0" collapsed="false">
      <c r="A2090" s="49" t="s">
        <v>2349</v>
      </c>
      <c r="B2090" s="49" t="s">
        <v>2350</v>
      </c>
      <c r="C2090" s="49" t="s">
        <v>4902</v>
      </c>
      <c r="D2090" s="49" t="s">
        <v>2352</v>
      </c>
      <c r="E2090" s="49" t="str">
        <f aca="false">"12496983"</f>
        <v>12496983</v>
      </c>
      <c r="F2090" s="49" t="s">
        <v>4880</v>
      </c>
      <c r="G2090" s="49" t="n">
        <v>0</v>
      </c>
      <c r="H2090" s="0" t="n">
        <v>0</v>
      </c>
      <c r="M2090" s="51" t="s">
        <v>4859</v>
      </c>
      <c r="N2090" s="49" t="n">
        <v>0</v>
      </c>
      <c r="O2090" s="53" t="n">
        <v>45708.6394212963</v>
      </c>
      <c r="P2090" s="53" t="n">
        <v>45803.9072569445</v>
      </c>
      <c r="Q2090" s="53" t="n">
        <v>45708.6394212963</v>
      </c>
      <c r="R2090" s="0" t="n">
        <v>0</v>
      </c>
      <c r="S2090" s="51" t="s">
        <v>2371</v>
      </c>
      <c r="T2090" s="51" t="s">
        <v>2371</v>
      </c>
      <c r="U2090" s="0" t="str">
        <f aca="false">"12496983"</f>
        <v>12496983</v>
      </c>
      <c r="V2090" s="51" t="s">
        <v>2365</v>
      </c>
      <c r="W2090" s="51" t="s">
        <v>4903</v>
      </c>
      <c r="X2090" s="51" t="s">
        <v>2359</v>
      </c>
    </row>
    <row r="2091" customFormat="false" ht="14.25" hidden="true" customHeight="false" outlineLevel="0" collapsed="false">
      <c r="A2091" s="49" t="s">
        <v>2349</v>
      </c>
      <c r="B2091" s="49" t="s">
        <v>2350</v>
      </c>
      <c r="C2091" s="49" t="s">
        <v>4904</v>
      </c>
      <c r="D2091" s="49" t="s">
        <v>2352</v>
      </c>
      <c r="E2091" s="49" t="str">
        <f aca="false">"12496983"</f>
        <v>12496983</v>
      </c>
      <c r="F2091" s="49" t="s">
        <v>4880</v>
      </c>
      <c r="G2091" s="49" t="n">
        <v>0</v>
      </c>
      <c r="H2091" s="0" t="n">
        <v>0</v>
      </c>
      <c r="M2091" s="51" t="s">
        <v>4859</v>
      </c>
      <c r="N2091" s="49" t="n">
        <v>0</v>
      </c>
      <c r="O2091" s="53" t="n">
        <v>45708.6392361111</v>
      </c>
      <c r="P2091" s="53" t="n">
        <v>45719.4101851852</v>
      </c>
      <c r="Q2091" s="53" t="n">
        <v>45708.6392361111</v>
      </c>
      <c r="R2091" s="0" t="n">
        <v>0</v>
      </c>
      <c r="S2091" s="51" t="s">
        <v>2371</v>
      </c>
      <c r="T2091" s="51" t="s">
        <v>2371</v>
      </c>
      <c r="U2091" s="0" t="str">
        <f aca="false">"12496983"</f>
        <v>12496983</v>
      </c>
      <c r="V2091" s="51" t="s">
        <v>2365</v>
      </c>
      <c r="W2091" s="51" t="s">
        <v>4905</v>
      </c>
      <c r="X2091" s="51" t="s">
        <v>2359</v>
      </c>
    </row>
    <row r="2092" customFormat="false" ht="14.25" hidden="true" customHeight="false" outlineLevel="0" collapsed="false">
      <c r="A2092" s="49" t="s">
        <v>2349</v>
      </c>
      <c r="B2092" s="49" t="s">
        <v>2350</v>
      </c>
      <c r="C2092" s="49" t="s">
        <v>4906</v>
      </c>
      <c r="D2092" s="49" t="s">
        <v>2352</v>
      </c>
      <c r="E2092" s="49" t="str">
        <f aca="false">"12496983"</f>
        <v>12496983</v>
      </c>
      <c r="F2092" s="49" t="s">
        <v>4880</v>
      </c>
      <c r="G2092" s="49" t="n">
        <v>0</v>
      </c>
      <c r="H2092" s="0" t="n">
        <v>0</v>
      </c>
      <c r="M2092" s="51" t="s">
        <v>4859</v>
      </c>
      <c r="N2092" s="49" t="n">
        <v>0</v>
      </c>
      <c r="O2092" s="53" t="n">
        <v>45708.6389699074</v>
      </c>
      <c r="P2092" s="53" t="n">
        <v>45719.4078587963</v>
      </c>
      <c r="Q2092" s="53" t="n">
        <v>45708.6389699074</v>
      </c>
      <c r="R2092" s="0" t="n">
        <v>0</v>
      </c>
      <c r="S2092" s="51" t="s">
        <v>2371</v>
      </c>
      <c r="T2092" s="51" t="s">
        <v>2371</v>
      </c>
      <c r="U2092" s="0" t="str">
        <f aca="false">"12496983"</f>
        <v>12496983</v>
      </c>
      <c r="V2092" s="51" t="s">
        <v>2365</v>
      </c>
      <c r="W2092" s="51" t="s">
        <v>4907</v>
      </c>
      <c r="X2092" s="51" t="s">
        <v>2359</v>
      </c>
    </row>
    <row r="2093" customFormat="false" ht="14.25" hidden="true" customHeight="false" outlineLevel="0" collapsed="false">
      <c r="A2093" s="49" t="s">
        <v>2349</v>
      </c>
      <c r="B2093" s="49" t="s">
        <v>2350</v>
      </c>
      <c r="C2093" s="49" t="s">
        <v>4908</v>
      </c>
      <c r="D2093" s="49" t="s">
        <v>2352</v>
      </c>
      <c r="E2093" s="49" t="str">
        <f aca="false">"12464079"</f>
        <v>12464079</v>
      </c>
      <c r="F2093" s="49" t="s">
        <v>4706</v>
      </c>
      <c r="G2093" s="49" t="n">
        <v>0</v>
      </c>
      <c r="H2093" s="0" t="n">
        <v>0</v>
      </c>
      <c r="M2093" s="51" t="s">
        <v>4859</v>
      </c>
      <c r="N2093" s="49" t="n">
        <v>0</v>
      </c>
      <c r="O2093" s="53" t="n">
        <v>45708.6385763889</v>
      </c>
      <c r="P2093" s="53" t="n">
        <v>45716.7540277778</v>
      </c>
      <c r="Q2093" s="53" t="n">
        <v>45708.6385763889</v>
      </c>
      <c r="R2093" s="0" t="n">
        <v>0</v>
      </c>
      <c r="S2093" s="51" t="s">
        <v>2371</v>
      </c>
      <c r="T2093" s="51" t="s">
        <v>2371</v>
      </c>
      <c r="U2093" s="0" t="str">
        <f aca="false">"12464079"</f>
        <v>12464079</v>
      </c>
      <c r="V2093" s="51" t="s">
        <v>2365</v>
      </c>
      <c r="W2093" s="51" t="s">
        <v>3921</v>
      </c>
      <c r="X2093" s="51" t="s">
        <v>2359</v>
      </c>
    </row>
    <row r="2094" customFormat="false" ht="14.25" hidden="true" customHeight="false" outlineLevel="0" collapsed="false">
      <c r="A2094" s="49" t="s">
        <v>2349</v>
      </c>
      <c r="B2094" s="49" t="s">
        <v>2350</v>
      </c>
      <c r="C2094" s="49" t="s">
        <v>4909</v>
      </c>
      <c r="D2094" s="49" t="s">
        <v>2352</v>
      </c>
      <c r="E2094" s="49" t="str">
        <f aca="false">"12464079"</f>
        <v>12464079</v>
      </c>
      <c r="F2094" s="49" t="s">
        <v>4706</v>
      </c>
      <c r="G2094" s="49" t="n">
        <v>0</v>
      </c>
      <c r="H2094" s="0" t="n">
        <v>0</v>
      </c>
      <c r="M2094" s="51" t="s">
        <v>4859</v>
      </c>
      <c r="N2094" s="49" t="n">
        <v>0</v>
      </c>
      <c r="O2094" s="53" t="n">
        <v>45708.6382986111</v>
      </c>
      <c r="P2094" s="53" t="n">
        <v>45716.7531712963</v>
      </c>
      <c r="Q2094" s="53" t="n">
        <v>45708.6382986111</v>
      </c>
      <c r="R2094" s="0" t="n">
        <v>0</v>
      </c>
      <c r="S2094" s="51" t="s">
        <v>2371</v>
      </c>
      <c r="T2094" s="51" t="s">
        <v>2371</v>
      </c>
      <c r="U2094" s="0" t="str">
        <f aca="false">"12464079"</f>
        <v>12464079</v>
      </c>
      <c r="V2094" s="51" t="s">
        <v>2365</v>
      </c>
      <c r="W2094" s="51" t="s">
        <v>4910</v>
      </c>
      <c r="X2094" s="51" t="s">
        <v>2359</v>
      </c>
    </row>
    <row r="2095" customFormat="false" ht="14.25" hidden="true" customHeight="false" outlineLevel="0" collapsed="false">
      <c r="A2095" s="49" t="s">
        <v>2349</v>
      </c>
      <c r="B2095" s="49" t="s">
        <v>2350</v>
      </c>
      <c r="C2095" s="49" t="s">
        <v>4911</v>
      </c>
      <c r="D2095" s="49" t="s">
        <v>2352</v>
      </c>
      <c r="E2095" s="49" t="str">
        <f aca="false">"12464079"</f>
        <v>12464079</v>
      </c>
      <c r="F2095" s="49" t="s">
        <v>4706</v>
      </c>
      <c r="G2095" s="49" t="n">
        <v>0</v>
      </c>
      <c r="H2095" s="0" t="n">
        <v>0</v>
      </c>
      <c r="M2095" s="51" t="s">
        <v>4859</v>
      </c>
      <c r="N2095" s="49" t="n">
        <v>0</v>
      </c>
      <c r="O2095" s="53" t="n">
        <v>45708.6380092593</v>
      </c>
      <c r="P2095" s="53" t="n">
        <v>45715.4531712963</v>
      </c>
      <c r="Q2095" s="53" t="n">
        <v>45708.6380092593</v>
      </c>
      <c r="R2095" s="0" t="n">
        <v>0</v>
      </c>
      <c r="S2095" s="51" t="s">
        <v>2371</v>
      </c>
      <c r="T2095" s="51" t="s">
        <v>2371</v>
      </c>
      <c r="U2095" s="0" t="str">
        <f aca="false">"12464079"</f>
        <v>12464079</v>
      </c>
      <c r="V2095" s="51" t="s">
        <v>2365</v>
      </c>
      <c r="W2095" s="51" t="s">
        <v>4912</v>
      </c>
      <c r="X2095" s="51" t="s">
        <v>2359</v>
      </c>
    </row>
    <row r="2096" customFormat="false" ht="14.25" hidden="true" customHeight="false" outlineLevel="0" collapsed="false">
      <c r="A2096" s="49" t="s">
        <v>2349</v>
      </c>
      <c r="B2096" s="49" t="s">
        <v>2350</v>
      </c>
      <c r="C2096" s="49" t="s">
        <v>4913</v>
      </c>
      <c r="D2096" s="49" t="s">
        <v>2352</v>
      </c>
      <c r="E2096" s="49" t="str">
        <f aca="false">"12464079"</f>
        <v>12464079</v>
      </c>
      <c r="F2096" s="49" t="s">
        <v>4706</v>
      </c>
      <c r="G2096" s="49" t="n">
        <v>0</v>
      </c>
      <c r="H2096" s="0" t="n">
        <v>0</v>
      </c>
      <c r="M2096" s="51" t="s">
        <v>4859</v>
      </c>
      <c r="N2096" s="49" t="n">
        <v>0</v>
      </c>
      <c r="O2096" s="53" t="n">
        <v>45708.6374652778</v>
      </c>
      <c r="P2096" s="53" t="n">
        <v>45716.7543634259</v>
      </c>
      <c r="Q2096" s="53" t="n">
        <v>45708.6374652778</v>
      </c>
      <c r="R2096" s="0" t="n">
        <v>0</v>
      </c>
      <c r="S2096" s="51" t="s">
        <v>2371</v>
      </c>
      <c r="T2096" s="51" t="s">
        <v>2371</v>
      </c>
      <c r="U2096" s="0" t="str">
        <f aca="false">"12464079"</f>
        <v>12464079</v>
      </c>
      <c r="V2096" s="51" t="s">
        <v>2365</v>
      </c>
      <c r="W2096" s="51" t="s">
        <v>4826</v>
      </c>
      <c r="X2096" s="51" t="s">
        <v>2359</v>
      </c>
    </row>
    <row r="2097" customFormat="false" ht="14.25" hidden="true" customHeight="false" outlineLevel="0" collapsed="false">
      <c r="A2097" s="49" t="s">
        <v>2349</v>
      </c>
      <c r="B2097" s="49" t="s">
        <v>2350</v>
      </c>
      <c r="C2097" s="49" t="s">
        <v>4914</v>
      </c>
      <c r="D2097" s="49" t="s">
        <v>2352</v>
      </c>
      <c r="E2097" s="49" t="str">
        <f aca="false">"12520129"</f>
        <v>12520129</v>
      </c>
      <c r="F2097" s="49" t="s">
        <v>4870</v>
      </c>
      <c r="G2097" s="49" t="n">
        <v>0</v>
      </c>
      <c r="H2097" s="0" t="n">
        <v>0</v>
      </c>
      <c r="M2097" s="51" t="s">
        <v>4859</v>
      </c>
      <c r="N2097" s="49" t="n">
        <v>0</v>
      </c>
      <c r="O2097" s="53" t="n">
        <v>45708.6370486111</v>
      </c>
      <c r="P2097" s="53" t="n">
        <v>45712.476412037</v>
      </c>
      <c r="Q2097" s="53" t="n">
        <v>45708.6370486111</v>
      </c>
      <c r="R2097" s="0" t="n">
        <v>0</v>
      </c>
      <c r="S2097" s="51" t="s">
        <v>2371</v>
      </c>
      <c r="T2097" s="51" t="s">
        <v>2371</v>
      </c>
      <c r="U2097" s="0" t="str">
        <f aca="false">"12520129"</f>
        <v>12520129</v>
      </c>
      <c r="V2097" s="51" t="s">
        <v>2365</v>
      </c>
      <c r="W2097" s="51" t="s">
        <v>4915</v>
      </c>
      <c r="X2097" s="51" t="s">
        <v>2359</v>
      </c>
    </row>
    <row r="2098" customFormat="false" ht="14.25" hidden="true" customHeight="false" outlineLevel="0" collapsed="false">
      <c r="A2098" s="49" t="s">
        <v>2349</v>
      </c>
      <c r="B2098" s="49" t="s">
        <v>2350</v>
      </c>
      <c r="C2098" s="49" t="s">
        <v>4916</v>
      </c>
      <c r="D2098" s="49" t="s">
        <v>2352</v>
      </c>
      <c r="E2098" s="49" t="str">
        <f aca="false">"12464079"</f>
        <v>12464079</v>
      </c>
      <c r="F2098" s="49" t="s">
        <v>4706</v>
      </c>
      <c r="G2098" s="49" t="n">
        <v>0</v>
      </c>
      <c r="H2098" s="0" t="n">
        <v>0</v>
      </c>
      <c r="M2098" s="51" t="s">
        <v>4859</v>
      </c>
      <c r="N2098" s="49" t="n">
        <v>0</v>
      </c>
      <c r="O2098" s="53" t="n">
        <v>45708.6366898148</v>
      </c>
      <c r="P2098" s="53" t="n">
        <v>45713.4508796296</v>
      </c>
      <c r="Q2098" s="53" t="n">
        <v>45708.6366898148</v>
      </c>
      <c r="R2098" s="0" t="n">
        <v>0</v>
      </c>
      <c r="S2098" s="51" t="s">
        <v>2371</v>
      </c>
      <c r="T2098" s="51" t="s">
        <v>2371</v>
      </c>
      <c r="U2098" s="0" t="str">
        <f aca="false">"12464079"</f>
        <v>12464079</v>
      </c>
      <c r="V2098" s="51" t="s">
        <v>2365</v>
      </c>
      <c r="W2098" s="51" t="s">
        <v>4231</v>
      </c>
      <c r="X2098" s="51" t="s">
        <v>2359</v>
      </c>
    </row>
    <row r="2099" customFormat="false" ht="14.25" hidden="true" customHeight="false" outlineLevel="0" collapsed="false">
      <c r="A2099" s="49" t="s">
        <v>2349</v>
      </c>
      <c r="B2099" s="49" t="s">
        <v>2350</v>
      </c>
      <c r="C2099" s="49" t="s">
        <v>4917</v>
      </c>
      <c r="D2099" s="49" t="s">
        <v>2352</v>
      </c>
      <c r="E2099" s="49" t="str">
        <f aca="false">"12520129"</f>
        <v>12520129</v>
      </c>
      <c r="F2099" s="49" t="s">
        <v>4870</v>
      </c>
      <c r="G2099" s="49" t="n">
        <v>0</v>
      </c>
      <c r="H2099" s="0" t="n">
        <v>0</v>
      </c>
      <c r="M2099" s="51" t="s">
        <v>4859</v>
      </c>
      <c r="N2099" s="49" t="n">
        <v>0</v>
      </c>
      <c r="O2099" s="53" t="n">
        <v>45708.636412037</v>
      </c>
      <c r="P2099" s="53" t="n">
        <v>45712.4737384259</v>
      </c>
      <c r="Q2099" s="53" t="n">
        <v>45708.636412037</v>
      </c>
      <c r="R2099" s="0" t="n">
        <v>0</v>
      </c>
      <c r="S2099" s="51" t="s">
        <v>2371</v>
      </c>
      <c r="T2099" s="51" t="s">
        <v>2371</v>
      </c>
      <c r="U2099" s="0" t="str">
        <f aca="false">"12520129"</f>
        <v>12520129</v>
      </c>
      <c r="V2099" s="51" t="s">
        <v>2365</v>
      </c>
      <c r="W2099" s="51" t="s">
        <v>4918</v>
      </c>
      <c r="X2099" s="51" t="s">
        <v>2359</v>
      </c>
    </row>
    <row r="2100" customFormat="false" ht="14.25" hidden="true" customHeight="false" outlineLevel="0" collapsed="false">
      <c r="A2100" s="49" t="s">
        <v>2349</v>
      </c>
      <c r="B2100" s="49" t="s">
        <v>2350</v>
      </c>
      <c r="C2100" s="49" t="s">
        <v>4919</v>
      </c>
      <c r="D2100" s="49" t="s">
        <v>2352</v>
      </c>
      <c r="E2100" s="49" t="str">
        <f aca="false">"12518490"</f>
        <v>12518490</v>
      </c>
      <c r="F2100" s="49" t="s">
        <v>4858</v>
      </c>
      <c r="G2100" s="49" t="n">
        <v>0</v>
      </c>
      <c r="H2100" s="0" t="n">
        <v>0</v>
      </c>
      <c r="M2100" s="51" t="s">
        <v>4859</v>
      </c>
      <c r="N2100" s="49" t="n">
        <v>0</v>
      </c>
      <c r="O2100" s="53" t="n">
        <v>45708.6358680556</v>
      </c>
      <c r="P2100" s="53" t="n">
        <v>45789.3506134259</v>
      </c>
      <c r="Q2100" s="53" t="n">
        <v>45708.6358680556</v>
      </c>
      <c r="R2100" s="0" t="n">
        <v>0</v>
      </c>
      <c r="S2100" s="51" t="s">
        <v>2371</v>
      </c>
      <c r="T2100" s="51" t="s">
        <v>2371</v>
      </c>
      <c r="U2100" s="0" t="str">
        <f aca="false">"12518490"</f>
        <v>12518490</v>
      </c>
      <c r="V2100" s="51" t="s">
        <v>2365</v>
      </c>
      <c r="W2100" s="51" t="s">
        <v>4920</v>
      </c>
      <c r="X2100" s="51" t="s">
        <v>2359</v>
      </c>
    </row>
    <row r="2101" customFormat="false" ht="14.25" hidden="true" customHeight="false" outlineLevel="0" collapsed="false">
      <c r="A2101" s="49" t="s">
        <v>2349</v>
      </c>
      <c r="B2101" s="49" t="s">
        <v>2350</v>
      </c>
      <c r="C2101" s="49" t="s">
        <v>4921</v>
      </c>
      <c r="D2101" s="49" t="s">
        <v>2352</v>
      </c>
      <c r="E2101" s="49" t="str">
        <f aca="false">"12464079"</f>
        <v>12464079</v>
      </c>
      <c r="F2101" s="49" t="s">
        <v>4706</v>
      </c>
      <c r="G2101" s="49" t="n">
        <v>0</v>
      </c>
      <c r="H2101" s="0" t="n">
        <v>0</v>
      </c>
      <c r="M2101" s="51" t="s">
        <v>4859</v>
      </c>
      <c r="N2101" s="49" t="n">
        <v>0</v>
      </c>
      <c r="O2101" s="53" t="n">
        <v>45708.6349768519</v>
      </c>
      <c r="P2101" s="53" t="n">
        <v>45740.9389930556</v>
      </c>
      <c r="Q2101" s="53" t="n">
        <v>45708.6349768519</v>
      </c>
      <c r="R2101" s="0" t="n">
        <v>0</v>
      </c>
      <c r="S2101" s="51" t="s">
        <v>2371</v>
      </c>
      <c r="T2101" s="51" t="s">
        <v>2371</v>
      </c>
      <c r="U2101" s="0" t="str">
        <f aca="false">"12464079"</f>
        <v>12464079</v>
      </c>
      <c r="V2101" s="51" t="s">
        <v>2365</v>
      </c>
      <c r="W2101" s="51" t="s">
        <v>3820</v>
      </c>
      <c r="X2101" s="51" t="s">
        <v>2359</v>
      </c>
    </row>
    <row r="2102" customFormat="false" ht="14.25" hidden="true" customHeight="false" outlineLevel="0" collapsed="false">
      <c r="A2102" s="49" t="s">
        <v>2349</v>
      </c>
      <c r="B2102" s="49" t="s">
        <v>2350</v>
      </c>
      <c r="C2102" s="49" t="s">
        <v>4922</v>
      </c>
      <c r="D2102" s="49" t="s">
        <v>2352</v>
      </c>
      <c r="E2102" s="49" t="str">
        <f aca="false">"12464079"</f>
        <v>12464079</v>
      </c>
      <c r="F2102" s="49" t="s">
        <v>4706</v>
      </c>
      <c r="G2102" s="49" t="n">
        <v>0</v>
      </c>
      <c r="H2102" s="0" t="n">
        <v>0</v>
      </c>
      <c r="M2102" s="51" t="s">
        <v>4859</v>
      </c>
      <c r="N2102" s="49" t="n">
        <v>0</v>
      </c>
      <c r="O2102" s="53" t="n">
        <v>45708.6345717593</v>
      </c>
      <c r="P2102" s="53" t="n">
        <v>45713.8824305556</v>
      </c>
      <c r="Q2102" s="53" t="n">
        <v>45708.6345717593</v>
      </c>
      <c r="R2102" s="0" t="n">
        <v>0</v>
      </c>
      <c r="S2102" s="51" t="s">
        <v>2371</v>
      </c>
      <c r="T2102" s="51" t="s">
        <v>2371</v>
      </c>
      <c r="U2102" s="0" t="str">
        <f aca="false">"12464079"</f>
        <v>12464079</v>
      </c>
      <c r="V2102" s="51" t="s">
        <v>2365</v>
      </c>
      <c r="W2102" s="51" t="s">
        <v>4923</v>
      </c>
      <c r="X2102" s="51" t="s">
        <v>2359</v>
      </c>
    </row>
    <row r="2103" customFormat="false" ht="14.25" hidden="true" customHeight="false" outlineLevel="0" collapsed="false">
      <c r="A2103" s="49" t="s">
        <v>2349</v>
      </c>
      <c r="B2103" s="49" t="s">
        <v>2350</v>
      </c>
      <c r="C2103" s="49" t="s">
        <v>4924</v>
      </c>
      <c r="D2103" s="49" t="s">
        <v>2352</v>
      </c>
      <c r="E2103" s="49" t="s">
        <v>3633</v>
      </c>
      <c r="F2103" s="49" t="s">
        <v>3634</v>
      </c>
      <c r="G2103" s="49" t="n">
        <v>0</v>
      </c>
      <c r="H2103" s="0" t="n">
        <v>0</v>
      </c>
      <c r="M2103" s="51" t="s">
        <v>4925</v>
      </c>
      <c r="N2103" s="49" t="n">
        <v>0</v>
      </c>
      <c r="O2103" s="53" t="n">
        <v>45709.471099537</v>
      </c>
      <c r="P2103" s="53" t="n">
        <v>45747.4764236111</v>
      </c>
      <c r="Q2103" s="53" t="n">
        <v>45709.471099537</v>
      </c>
      <c r="R2103" s="0" t="n">
        <v>0</v>
      </c>
      <c r="S2103" s="51" t="s">
        <v>2356</v>
      </c>
      <c r="T2103" s="51" t="s">
        <v>2356</v>
      </c>
      <c r="U2103" s="51" t="s">
        <v>3633</v>
      </c>
      <c r="V2103" s="51" t="s">
        <v>2357</v>
      </c>
      <c r="W2103" s="51" t="s">
        <v>3685</v>
      </c>
      <c r="X2103" s="51" t="s">
        <v>2359</v>
      </c>
    </row>
    <row r="2104" customFormat="false" ht="14.25" hidden="true" customHeight="false" outlineLevel="0" collapsed="false">
      <c r="A2104" s="49" t="s">
        <v>2349</v>
      </c>
      <c r="B2104" s="49" t="s">
        <v>2350</v>
      </c>
      <c r="C2104" s="49" t="s">
        <v>4926</v>
      </c>
      <c r="D2104" s="49" t="s">
        <v>2352</v>
      </c>
      <c r="E2104" s="49" t="s">
        <v>3633</v>
      </c>
      <c r="F2104" s="49" t="s">
        <v>3634</v>
      </c>
      <c r="G2104" s="49" t="n">
        <v>0</v>
      </c>
      <c r="H2104" s="0" t="n">
        <v>0</v>
      </c>
      <c r="M2104" s="51" t="s">
        <v>4925</v>
      </c>
      <c r="N2104" s="49" t="n">
        <v>0</v>
      </c>
      <c r="O2104" s="53" t="n">
        <v>45709.4721180556</v>
      </c>
      <c r="P2104" s="53" t="n">
        <v>45734.4712037037</v>
      </c>
      <c r="Q2104" s="53" t="n">
        <v>45709.4721180556</v>
      </c>
      <c r="R2104" s="0" t="n">
        <v>0</v>
      </c>
      <c r="S2104" s="51" t="s">
        <v>2356</v>
      </c>
      <c r="T2104" s="51" t="s">
        <v>2356</v>
      </c>
      <c r="U2104" s="51" t="s">
        <v>3633</v>
      </c>
      <c r="V2104" s="51" t="s">
        <v>2357</v>
      </c>
      <c r="W2104" s="51" t="s">
        <v>4927</v>
      </c>
      <c r="X2104" s="51" t="s">
        <v>2359</v>
      </c>
    </row>
    <row r="2105" customFormat="false" ht="14.25" hidden="true" customHeight="false" outlineLevel="0" collapsed="false">
      <c r="A2105" s="49" t="s">
        <v>2349</v>
      </c>
      <c r="B2105" s="49" t="s">
        <v>2350</v>
      </c>
      <c r="C2105" s="49" t="s">
        <v>4928</v>
      </c>
      <c r="D2105" s="49" t="s">
        <v>2352</v>
      </c>
      <c r="E2105" s="49" t="s">
        <v>3633</v>
      </c>
      <c r="F2105" s="49" t="s">
        <v>3634</v>
      </c>
      <c r="G2105" s="49" t="n">
        <v>0</v>
      </c>
      <c r="H2105" s="0" t="n">
        <v>0</v>
      </c>
      <c r="M2105" s="51" t="s">
        <v>4925</v>
      </c>
      <c r="N2105" s="49" t="n">
        <v>0</v>
      </c>
      <c r="O2105" s="53" t="n">
        <v>45709.4734259259</v>
      </c>
      <c r="P2105" s="53" t="n">
        <v>45789.5576851852</v>
      </c>
      <c r="Q2105" s="53" t="n">
        <v>45709.4734259259</v>
      </c>
      <c r="R2105" s="0" t="n">
        <v>0</v>
      </c>
      <c r="S2105" s="51" t="s">
        <v>2356</v>
      </c>
      <c r="T2105" s="51" t="s">
        <v>2356</v>
      </c>
      <c r="U2105" s="51" t="s">
        <v>3633</v>
      </c>
      <c r="V2105" s="51" t="s">
        <v>2357</v>
      </c>
      <c r="W2105" s="51" t="s">
        <v>4136</v>
      </c>
      <c r="X2105" s="51" t="s">
        <v>2359</v>
      </c>
    </row>
    <row r="2106" customFormat="false" ht="14.25" hidden="true" customHeight="false" outlineLevel="0" collapsed="false">
      <c r="A2106" s="49" t="s">
        <v>2349</v>
      </c>
      <c r="B2106" s="49" t="s">
        <v>2350</v>
      </c>
      <c r="C2106" s="49" t="s">
        <v>4929</v>
      </c>
      <c r="D2106" s="49" t="s">
        <v>2352</v>
      </c>
      <c r="E2106" s="49" t="s">
        <v>3633</v>
      </c>
      <c r="F2106" s="49" t="s">
        <v>3634</v>
      </c>
      <c r="G2106" s="49" t="n">
        <v>0</v>
      </c>
      <c r="H2106" s="0" t="n">
        <v>0</v>
      </c>
      <c r="M2106" s="51" t="s">
        <v>4925</v>
      </c>
      <c r="N2106" s="49" t="n">
        <v>0</v>
      </c>
      <c r="O2106" s="53" t="n">
        <v>45709.4739351852</v>
      </c>
      <c r="P2106" s="53" t="n">
        <v>45724.5934722222</v>
      </c>
      <c r="Q2106" s="53" t="n">
        <v>45709.4739351852</v>
      </c>
      <c r="R2106" s="0" t="n">
        <v>0</v>
      </c>
      <c r="S2106" s="51" t="s">
        <v>2356</v>
      </c>
      <c r="T2106" s="51" t="s">
        <v>2356</v>
      </c>
      <c r="U2106" s="51" t="s">
        <v>3633</v>
      </c>
      <c r="V2106" s="51" t="s">
        <v>2357</v>
      </c>
      <c r="W2106" s="51" t="s">
        <v>3670</v>
      </c>
      <c r="X2106" s="51" t="s">
        <v>2359</v>
      </c>
    </row>
    <row r="2107" customFormat="false" ht="14.25" hidden="true" customHeight="false" outlineLevel="0" collapsed="false">
      <c r="A2107" s="49" t="s">
        <v>2349</v>
      </c>
      <c r="B2107" s="49" t="s">
        <v>2350</v>
      </c>
      <c r="C2107" s="49" t="s">
        <v>4930</v>
      </c>
      <c r="D2107" s="49" t="s">
        <v>2352</v>
      </c>
      <c r="E2107" s="49" t="s">
        <v>3633</v>
      </c>
      <c r="F2107" s="49" t="s">
        <v>3634</v>
      </c>
      <c r="G2107" s="49" t="n">
        <v>0</v>
      </c>
      <c r="H2107" s="0" t="n">
        <v>0</v>
      </c>
      <c r="M2107" s="51" t="s">
        <v>4925</v>
      </c>
      <c r="N2107" s="49" t="n">
        <v>0</v>
      </c>
      <c r="O2107" s="53" t="n">
        <v>45709.4744097222</v>
      </c>
      <c r="P2107" s="53" t="n">
        <v>45757.5740740741</v>
      </c>
      <c r="Q2107" s="53" t="n">
        <v>45709.4744097222</v>
      </c>
      <c r="R2107" s="0" t="n">
        <v>0</v>
      </c>
      <c r="S2107" s="51" t="s">
        <v>2356</v>
      </c>
      <c r="T2107" s="51" t="s">
        <v>2356</v>
      </c>
      <c r="U2107" s="51" t="s">
        <v>3633</v>
      </c>
      <c r="V2107" s="51" t="s">
        <v>2357</v>
      </c>
      <c r="W2107" s="51" t="s">
        <v>4931</v>
      </c>
      <c r="X2107" s="51" t="s">
        <v>2359</v>
      </c>
    </row>
    <row r="2108" customFormat="false" ht="14.25" hidden="true" customHeight="false" outlineLevel="0" collapsed="false">
      <c r="A2108" s="49" t="s">
        <v>2349</v>
      </c>
      <c r="B2108" s="49" t="s">
        <v>2350</v>
      </c>
      <c r="C2108" s="49" t="s">
        <v>4932</v>
      </c>
      <c r="D2108" s="49" t="s">
        <v>2352</v>
      </c>
      <c r="E2108" s="49" t="str">
        <f aca="false">"12393792"</f>
        <v>12393792</v>
      </c>
      <c r="F2108" s="49" t="s">
        <v>2368</v>
      </c>
      <c r="G2108" s="49" t="n">
        <v>0</v>
      </c>
      <c r="H2108" s="0" t="n">
        <v>0</v>
      </c>
      <c r="M2108" s="51" t="s">
        <v>2370</v>
      </c>
      <c r="N2108" s="49" t="n">
        <v>0</v>
      </c>
      <c r="O2108" s="53" t="n">
        <v>45706.545787037</v>
      </c>
      <c r="P2108" s="53" t="n">
        <v>45733.0208101852</v>
      </c>
      <c r="Q2108" s="53" t="n">
        <v>45706.545787037</v>
      </c>
      <c r="R2108" s="0" t="n">
        <v>0</v>
      </c>
      <c r="S2108" s="51" t="s">
        <v>2371</v>
      </c>
      <c r="T2108" s="51" t="s">
        <v>2371</v>
      </c>
      <c r="U2108" s="0" t="str">
        <f aca="false">"12393792"</f>
        <v>12393792</v>
      </c>
      <c r="V2108" s="51" t="s">
        <v>2365</v>
      </c>
      <c r="W2108" s="51" t="s">
        <v>4621</v>
      </c>
      <c r="X2108" s="51" t="s">
        <v>2359</v>
      </c>
    </row>
    <row r="2109" customFormat="false" ht="14.25" hidden="true" customHeight="false" outlineLevel="0" collapsed="false">
      <c r="A2109" s="49" t="s">
        <v>2349</v>
      </c>
      <c r="B2109" s="49" t="s">
        <v>2350</v>
      </c>
      <c r="C2109" s="49" t="s">
        <v>4933</v>
      </c>
      <c r="D2109" s="49" t="s">
        <v>2352</v>
      </c>
      <c r="E2109" s="49" t="str">
        <f aca="false">"12393792"</f>
        <v>12393792</v>
      </c>
      <c r="F2109" s="49" t="s">
        <v>2368</v>
      </c>
      <c r="G2109" s="49" t="n">
        <v>0</v>
      </c>
      <c r="H2109" s="0" t="n">
        <v>0</v>
      </c>
      <c r="M2109" s="51" t="s">
        <v>4934</v>
      </c>
      <c r="N2109" s="49" t="n">
        <v>0</v>
      </c>
      <c r="O2109" s="53" t="n">
        <v>45708.5581712963</v>
      </c>
      <c r="P2109" s="53" t="n">
        <v>45732.5284606482</v>
      </c>
      <c r="Q2109" s="53" t="n">
        <v>45708.5581712963</v>
      </c>
      <c r="R2109" s="0" t="n">
        <v>0</v>
      </c>
      <c r="S2109" s="51" t="s">
        <v>2371</v>
      </c>
      <c r="T2109" s="51" t="s">
        <v>2371</v>
      </c>
      <c r="U2109" s="0" t="str">
        <f aca="false">"12393792"</f>
        <v>12393792</v>
      </c>
      <c r="V2109" s="51" t="s">
        <v>2365</v>
      </c>
      <c r="W2109" s="51" t="s">
        <v>4935</v>
      </c>
      <c r="X2109" s="51" t="s">
        <v>2359</v>
      </c>
    </row>
    <row r="2110" customFormat="false" ht="14.25" hidden="true" customHeight="false" outlineLevel="0" collapsed="false">
      <c r="A2110" s="49" t="s">
        <v>2349</v>
      </c>
      <c r="B2110" s="49" t="s">
        <v>2350</v>
      </c>
      <c r="C2110" s="49" t="s">
        <v>4936</v>
      </c>
      <c r="D2110" s="49" t="s">
        <v>2352</v>
      </c>
      <c r="E2110" s="49" t="str">
        <f aca="false">"12464079"</f>
        <v>12464079</v>
      </c>
      <c r="F2110" s="49" t="s">
        <v>4706</v>
      </c>
      <c r="G2110" s="49" t="n">
        <v>0</v>
      </c>
      <c r="H2110" s="0" t="n">
        <v>0</v>
      </c>
      <c r="M2110" s="51" t="s">
        <v>4937</v>
      </c>
      <c r="N2110" s="49" t="n">
        <v>0</v>
      </c>
      <c r="O2110" s="53" t="n">
        <v>45706.5468287037</v>
      </c>
      <c r="P2110" s="53" t="n">
        <v>45708.3421643519</v>
      </c>
      <c r="Q2110" s="53" t="n">
        <v>45706.5468287037</v>
      </c>
      <c r="R2110" s="0" t="n">
        <v>0</v>
      </c>
      <c r="S2110" s="51" t="s">
        <v>2371</v>
      </c>
      <c r="T2110" s="51" t="s">
        <v>2371</v>
      </c>
      <c r="U2110" s="0" t="str">
        <f aca="false">"12464079"</f>
        <v>12464079</v>
      </c>
      <c r="V2110" s="51" t="s">
        <v>2365</v>
      </c>
      <c r="W2110" s="51" t="s">
        <v>4288</v>
      </c>
      <c r="X2110" s="51" t="s">
        <v>2359</v>
      </c>
    </row>
    <row r="2111" customFormat="false" ht="14.25" hidden="true" customHeight="false" outlineLevel="0" collapsed="false">
      <c r="A2111" s="49" t="s">
        <v>2349</v>
      </c>
      <c r="B2111" s="49" t="s">
        <v>2350</v>
      </c>
      <c r="C2111" s="49" t="s">
        <v>4938</v>
      </c>
      <c r="D2111" s="49" t="s">
        <v>2352</v>
      </c>
      <c r="E2111" s="49" t="str">
        <f aca="false">"12393792"</f>
        <v>12393792</v>
      </c>
      <c r="F2111" s="49" t="s">
        <v>2368</v>
      </c>
      <c r="G2111" s="49" t="n">
        <v>0</v>
      </c>
      <c r="H2111" s="0" t="n">
        <v>0</v>
      </c>
      <c r="M2111" s="51" t="s">
        <v>4939</v>
      </c>
      <c r="N2111" s="49" t="n">
        <v>0</v>
      </c>
      <c r="O2111" s="53" t="n">
        <v>45704.3113078704</v>
      </c>
      <c r="P2111" s="53" t="n">
        <v>45733.0211111111</v>
      </c>
      <c r="Q2111" s="53" t="n">
        <v>45704.3113078704</v>
      </c>
      <c r="R2111" s="0" t="n">
        <v>0</v>
      </c>
      <c r="S2111" s="51" t="s">
        <v>2371</v>
      </c>
      <c r="T2111" s="51" t="s">
        <v>2371</v>
      </c>
      <c r="U2111" s="0" t="str">
        <f aca="false">"12393792"</f>
        <v>12393792</v>
      </c>
      <c r="V2111" s="51" t="s">
        <v>2365</v>
      </c>
      <c r="W2111" s="51" t="s">
        <v>2406</v>
      </c>
      <c r="X2111" s="51" t="s">
        <v>2359</v>
      </c>
    </row>
    <row r="2112" customFormat="false" ht="14.25" hidden="true" customHeight="false" outlineLevel="0" collapsed="false">
      <c r="A2112" s="49" t="s">
        <v>2349</v>
      </c>
      <c r="B2112" s="49" t="s">
        <v>2350</v>
      </c>
      <c r="C2112" s="49" t="s">
        <v>4940</v>
      </c>
      <c r="D2112" s="49" t="s">
        <v>2352</v>
      </c>
      <c r="E2112" s="49" t="str">
        <f aca="false">"734730225548"</f>
        <v>734730225548</v>
      </c>
      <c r="F2112" s="49" t="s">
        <v>2434</v>
      </c>
      <c r="G2112" s="49" t="n">
        <v>0</v>
      </c>
      <c r="H2112" s="0" t="n">
        <v>0</v>
      </c>
      <c r="M2112" s="51" t="s">
        <v>4941</v>
      </c>
      <c r="N2112" s="49" t="n">
        <v>0</v>
      </c>
      <c r="O2112" s="53" t="n">
        <v>45707.5628819445</v>
      </c>
      <c r="P2112" s="53" t="n">
        <v>45716.8249884259</v>
      </c>
      <c r="Q2112" s="53" t="n">
        <v>45707.5628819445</v>
      </c>
      <c r="R2112" s="0" t="n">
        <v>0</v>
      </c>
      <c r="S2112" s="51" t="s">
        <v>2376</v>
      </c>
      <c r="T2112" s="51" t="s">
        <v>2376</v>
      </c>
      <c r="U2112" s="0" t="str">
        <f aca="false">"734730225548"</f>
        <v>734730225548</v>
      </c>
      <c r="V2112" s="51" t="s">
        <v>2365</v>
      </c>
      <c r="W2112" s="51" t="s">
        <v>4493</v>
      </c>
      <c r="X2112" s="51" t="s">
        <v>2359</v>
      </c>
    </row>
    <row r="2113" customFormat="false" ht="14.25" hidden="true" customHeight="false" outlineLevel="0" collapsed="false">
      <c r="A2113" s="49" t="s">
        <v>2349</v>
      </c>
      <c r="B2113" s="49" t="s">
        <v>2350</v>
      </c>
      <c r="C2113" s="49" t="s">
        <v>4942</v>
      </c>
      <c r="D2113" s="49" t="s">
        <v>2352</v>
      </c>
      <c r="E2113" s="49" t="str">
        <f aca="false">"734730225548"</f>
        <v>734730225548</v>
      </c>
      <c r="F2113" s="49" t="s">
        <v>2434</v>
      </c>
      <c r="G2113" s="49" t="n">
        <v>0</v>
      </c>
      <c r="H2113" s="0" t="n">
        <v>0</v>
      </c>
      <c r="M2113" s="51" t="s">
        <v>4941</v>
      </c>
      <c r="N2113" s="49" t="n">
        <v>0</v>
      </c>
      <c r="O2113" s="53" t="n">
        <v>45707.5887731482</v>
      </c>
      <c r="P2113" s="53" t="n">
        <v>45783.4632291667</v>
      </c>
      <c r="Q2113" s="53" t="n">
        <v>45707.5887731482</v>
      </c>
      <c r="R2113" s="0" t="n">
        <v>0</v>
      </c>
      <c r="S2113" s="51" t="s">
        <v>2383</v>
      </c>
      <c r="T2113" s="51" t="s">
        <v>2383</v>
      </c>
      <c r="U2113" s="0" t="str">
        <f aca="false">"734730225548"</f>
        <v>734730225548</v>
      </c>
      <c r="V2113" s="51" t="s">
        <v>2365</v>
      </c>
      <c r="W2113" s="51" t="s">
        <v>4943</v>
      </c>
      <c r="X2113" s="51" t="s">
        <v>2359</v>
      </c>
    </row>
    <row r="2114" customFormat="false" ht="14.25" hidden="true" customHeight="false" outlineLevel="0" collapsed="false">
      <c r="A2114" s="49" t="s">
        <v>2349</v>
      </c>
      <c r="B2114" s="49" t="s">
        <v>2350</v>
      </c>
      <c r="C2114" s="49" t="s">
        <v>4944</v>
      </c>
      <c r="D2114" s="49" t="s">
        <v>2352</v>
      </c>
      <c r="E2114" s="49" t="str">
        <f aca="false">"734730225548"</f>
        <v>734730225548</v>
      </c>
      <c r="F2114" s="49" t="s">
        <v>2434</v>
      </c>
      <c r="G2114" s="49" t="n">
        <v>0</v>
      </c>
      <c r="H2114" s="0" t="n">
        <v>0</v>
      </c>
      <c r="M2114" s="51" t="s">
        <v>4941</v>
      </c>
      <c r="N2114" s="49" t="n">
        <v>0</v>
      </c>
      <c r="O2114" s="53" t="n">
        <v>45707.589224537</v>
      </c>
      <c r="P2114" s="53" t="n">
        <v>45716.8288657407</v>
      </c>
      <c r="Q2114" s="53" t="n">
        <v>45707.589224537</v>
      </c>
      <c r="R2114" s="0" t="n">
        <v>0</v>
      </c>
      <c r="S2114" s="51" t="s">
        <v>2383</v>
      </c>
      <c r="T2114" s="51" t="s">
        <v>2383</v>
      </c>
      <c r="U2114" s="0" t="str">
        <f aca="false">"734730225548"</f>
        <v>734730225548</v>
      </c>
      <c r="V2114" s="51" t="s">
        <v>2365</v>
      </c>
      <c r="W2114" s="51" t="s">
        <v>2426</v>
      </c>
      <c r="X2114" s="51" t="s">
        <v>2359</v>
      </c>
    </row>
    <row r="2115" customFormat="false" ht="14.25" hidden="true" customHeight="false" outlineLevel="0" collapsed="false">
      <c r="A2115" s="49" t="s">
        <v>2349</v>
      </c>
      <c r="B2115" s="49" t="s">
        <v>2350</v>
      </c>
      <c r="C2115" s="49" t="s">
        <v>4945</v>
      </c>
      <c r="D2115" s="49" t="s">
        <v>2352</v>
      </c>
      <c r="E2115" s="49" t="str">
        <f aca="false">"734730225548"</f>
        <v>734730225548</v>
      </c>
      <c r="F2115" s="49" t="s">
        <v>2434</v>
      </c>
      <c r="G2115" s="49" t="n">
        <v>0</v>
      </c>
      <c r="H2115" s="0" t="n">
        <v>0</v>
      </c>
      <c r="M2115" s="51" t="s">
        <v>4941</v>
      </c>
      <c r="N2115" s="49" t="n">
        <v>0</v>
      </c>
      <c r="O2115" s="53" t="n">
        <v>45707.5895138889</v>
      </c>
      <c r="P2115" s="53" t="n">
        <v>45716.8238657407</v>
      </c>
      <c r="Q2115" s="53" t="n">
        <v>45707.5895138889</v>
      </c>
      <c r="R2115" s="0" t="n">
        <v>0</v>
      </c>
      <c r="S2115" s="51" t="s">
        <v>2383</v>
      </c>
      <c r="T2115" s="51" t="s">
        <v>2383</v>
      </c>
      <c r="U2115" s="0" t="str">
        <f aca="false">"734730225548"</f>
        <v>734730225548</v>
      </c>
      <c r="V2115" s="51" t="s">
        <v>2365</v>
      </c>
      <c r="W2115" s="51" t="s">
        <v>4110</v>
      </c>
      <c r="X2115" s="51" t="s">
        <v>2359</v>
      </c>
    </row>
    <row r="2116" customFormat="false" ht="14.25" hidden="true" customHeight="false" outlineLevel="0" collapsed="false">
      <c r="A2116" s="49" t="s">
        <v>2349</v>
      </c>
      <c r="B2116" s="49" t="s">
        <v>2350</v>
      </c>
      <c r="C2116" s="49" t="s">
        <v>4946</v>
      </c>
      <c r="D2116" s="49" t="s">
        <v>2352</v>
      </c>
      <c r="E2116" s="49" t="str">
        <f aca="false">"734730225548"</f>
        <v>734730225548</v>
      </c>
      <c r="F2116" s="49" t="s">
        <v>2434</v>
      </c>
      <c r="G2116" s="49" t="n">
        <v>0</v>
      </c>
      <c r="H2116" s="0" t="n">
        <v>0</v>
      </c>
      <c r="M2116" s="51" t="s">
        <v>4941</v>
      </c>
      <c r="N2116" s="49" t="n">
        <v>0</v>
      </c>
      <c r="O2116" s="53" t="n">
        <v>45707.5902777778</v>
      </c>
      <c r="P2116" s="53" t="n">
        <v>45716.8299189815</v>
      </c>
      <c r="Q2116" s="53" t="n">
        <v>45707.5902777778</v>
      </c>
      <c r="R2116" s="0" t="n">
        <v>0</v>
      </c>
      <c r="S2116" s="51" t="s">
        <v>2383</v>
      </c>
      <c r="T2116" s="51" t="s">
        <v>2383</v>
      </c>
      <c r="U2116" s="0" t="str">
        <f aca="false">"734730225548"</f>
        <v>734730225548</v>
      </c>
      <c r="V2116" s="51" t="s">
        <v>2365</v>
      </c>
      <c r="W2116" s="51" t="s">
        <v>4947</v>
      </c>
      <c r="X2116" s="51" t="s">
        <v>2359</v>
      </c>
    </row>
    <row r="2117" customFormat="false" ht="14.25" hidden="true" customHeight="false" outlineLevel="0" collapsed="false">
      <c r="A2117" s="49" t="s">
        <v>2349</v>
      </c>
      <c r="B2117" s="49" t="s">
        <v>2350</v>
      </c>
      <c r="C2117" s="49" t="s">
        <v>4948</v>
      </c>
      <c r="D2117" s="49" t="s">
        <v>2352</v>
      </c>
      <c r="E2117" s="49" t="str">
        <f aca="false">"734730225548"</f>
        <v>734730225548</v>
      </c>
      <c r="F2117" s="49" t="s">
        <v>2434</v>
      </c>
      <c r="G2117" s="49" t="n">
        <v>0</v>
      </c>
      <c r="H2117" s="0" t="n">
        <v>0</v>
      </c>
      <c r="M2117" s="51" t="s">
        <v>4941</v>
      </c>
      <c r="N2117" s="49" t="n">
        <v>0</v>
      </c>
      <c r="O2117" s="53" t="n">
        <v>45707.5907407407</v>
      </c>
      <c r="P2117" s="53" t="n">
        <v>45716.8318055556</v>
      </c>
      <c r="Q2117" s="53" t="n">
        <v>45707.5907407407</v>
      </c>
      <c r="R2117" s="0" t="n">
        <v>0</v>
      </c>
      <c r="S2117" s="51" t="s">
        <v>2383</v>
      </c>
      <c r="T2117" s="51" t="s">
        <v>2383</v>
      </c>
      <c r="U2117" s="0" t="str">
        <f aca="false">"734730225548"</f>
        <v>734730225548</v>
      </c>
      <c r="V2117" s="51" t="s">
        <v>2365</v>
      </c>
      <c r="W2117" s="51" t="s">
        <v>4949</v>
      </c>
      <c r="X2117" s="51" t="s">
        <v>2359</v>
      </c>
    </row>
    <row r="2118" customFormat="false" ht="14.25" hidden="true" customHeight="false" outlineLevel="0" collapsed="false">
      <c r="A2118" s="49" t="s">
        <v>2349</v>
      </c>
      <c r="B2118" s="49" t="s">
        <v>2350</v>
      </c>
      <c r="C2118" s="49" t="s">
        <v>4950</v>
      </c>
      <c r="D2118" s="49" t="s">
        <v>2352</v>
      </c>
      <c r="E2118" s="49" t="str">
        <f aca="false">"734730225548"</f>
        <v>734730225548</v>
      </c>
      <c r="F2118" s="49" t="s">
        <v>2434</v>
      </c>
      <c r="G2118" s="49" t="n">
        <v>0</v>
      </c>
      <c r="H2118" s="0" t="n">
        <v>0</v>
      </c>
      <c r="M2118" s="51" t="s">
        <v>4941</v>
      </c>
      <c r="N2118" s="49" t="n">
        <v>0</v>
      </c>
      <c r="O2118" s="53" t="n">
        <v>45707.5911458333</v>
      </c>
      <c r="P2118" s="53" t="n">
        <v>45783.4766666667</v>
      </c>
      <c r="Q2118" s="53" t="n">
        <v>45707.5911458333</v>
      </c>
      <c r="R2118" s="0" t="n">
        <v>0</v>
      </c>
      <c r="S2118" s="51" t="s">
        <v>2383</v>
      </c>
      <c r="T2118" s="51" t="s">
        <v>2383</v>
      </c>
      <c r="U2118" s="0" t="str">
        <f aca="false">"734730225548"</f>
        <v>734730225548</v>
      </c>
      <c r="V2118" s="51" t="s">
        <v>2365</v>
      </c>
      <c r="W2118" s="51" t="s">
        <v>4951</v>
      </c>
      <c r="X2118" s="51" t="s">
        <v>2359</v>
      </c>
    </row>
    <row r="2119" customFormat="false" ht="14.25" hidden="true" customHeight="false" outlineLevel="0" collapsed="false">
      <c r="A2119" s="49" t="s">
        <v>2349</v>
      </c>
      <c r="B2119" s="49" t="s">
        <v>2350</v>
      </c>
      <c r="C2119" s="49" t="s">
        <v>4952</v>
      </c>
      <c r="D2119" s="49" t="s">
        <v>2352</v>
      </c>
      <c r="E2119" s="49" t="str">
        <f aca="false">"734730225548"</f>
        <v>734730225548</v>
      </c>
      <c r="F2119" s="49" t="s">
        <v>2434</v>
      </c>
      <c r="G2119" s="49" t="n">
        <v>0</v>
      </c>
      <c r="H2119" s="0" t="n">
        <v>0</v>
      </c>
      <c r="M2119" s="51" t="s">
        <v>4941</v>
      </c>
      <c r="N2119" s="49" t="n">
        <v>0</v>
      </c>
      <c r="O2119" s="53" t="n">
        <v>45707.5914583333</v>
      </c>
      <c r="P2119" s="53" t="n">
        <v>45783.5638888889</v>
      </c>
      <c r="Q2119" s="53" t="n">
        <v>45707.5914583333</v>
      </c>
      <c r="R2119" s="0" t="n">
        <v>0</v>
      </c>
      <c r="S2119" s="51" t="s">
        <v>2383</v>
      </c>
      <c r="T2119" s="51" t="s">
        <v>2383</v>
      </c>
      <c r="U2119" s="0" t="str">
        <f aca="false">"734730225548"</f>
        <v>734730225548</v>
      </c>
      <c r="V2119" s="51" t="s">
        <v>2365</v>
      </c>
      <c r="W2119" s="51" t="s">
        <v>4953</v>
      </c>
      <c r="X2119" s="51" t="s">
        <v>2359</v>
      </c>
    </row>
    <row r="2120" customFormat="false" ht="14.25" hidden="true" customHeight="false" outlineLevel="0" collapsed="false">
      <c r="A2120" s="49" t="s">
        <v>2349</v>
      </c>
      <c r="B2120" s="49" t="s">
        <v>2350</v>
      </c>
      <c r="C2120" s="49" t="s">
        <v>4954</v>
      </c>
      <c r="D2120" s="49" t="s">
        <v>2352</v>
      </c>
      <c r="E2120" s="49" t="str">
        <f aca="false">"734730225548"</f>
        <v>734730225548</v>
      </c>
      <c r="F2120" s="49" t="s">
        <v>2434</v>
      </c>
      <c r="G2120" s="49" t="n">
        <v>0</v>
      </c>
      <c r="H2120" s="0" t="n">
        <v>0</v>
      </c>
      <c r="M2120" s="51" t="s">
        <v>4941</v>
      </c>
      <c r="N2120" s="49" t="n">
        <v>0</v>
      </c>
      <c r="O2120" s="53" t="n">
        <v>45708.5519907407</v>
      </c>
      <c r="P2120" s="53" t="n">
        <v>45783.4944328704</v>
      </c>
      <c r="Q2120" s="53" t="n">
        <v>45708.5519907407</v>
      </c>
      <c r="R2120" s="0" t="n">
        <v>0</v>
      </c>
      <c r="S2120" s="51" t="s">
        <v>2371</v>
      </c>
      <c r="T2120" s="51" t="s">
        <v>2371</v>
      </c>
      <c r="U2120" s="0" t="str">
        <f aca="false">"734730225548"</f>
        <v>734730225548</v>
      </c>
      <c r="V2120" s="51" t="s">
        <v>2365</v>
      </c>
      <c r="W2120" s="51" t="s">
        <v>4955</v>
      </c>
      <c r="X2120" s="51" t="s">
        <v>2359</v>
      </c>
    </row>
    <row r="2121" customFormat="false" ht="14.25" hidden="true" customHeight="false" outlineLevel="0" collapsed="false">
      <c r="A2121" s="49" t="s">
        <v>2349</v>
      </c>
      <c r="B2121" s="49" t="s">
        <v>2350</v>
      </c>
      <c r="C2121" s="49" t="s">
        <v>4956</v>
      </c>
      <c r="D2121" s="49" t="s">
        <v>2352</v>
      </c>
      <c r="E2121" s="49" t="str">
        <f aca="false">"734730225548"</f>
        <v>734730225548</v>
      </c>
      <c r="F2121" s="49" t="s">
        <v>2434</v>
      </c>
      <c r="G2121" s="49" t="n">
        <v>0</v>
      </c>
      <c r="H2121" s="0" t="n">
        <v>0</v>
      </c>
      <c r="M2121" s="51" t="s">
        <v>4941</v>
      </c>
      <c r="N2121" s="49" t="n">
        <v>0</v>
      </c>
      <c r="O2121" s="53" t="n">
        <v>45707.5917592593</v>
      </c>
      <c r="P2121" s="53" t="n">
        <v>45716.8322453704</v>
      </c>
      <c r="Q2121" s="53" t="n">
        <v>45707.5917592593</v>
      </c>
      <c r="R2121" s="0" t="n">
        <v>0</v>
      </c>
      <c r="S2121" s="51" t="s">
        <v>2383</v>
      </c>
      <c r="T2121" s="51" t="s">
        <v>2383</v>
      </c>
      <c r="U2121" s="0" t="str">
        <f aca="false">"734730225548"</f>
        <v>734730225548</v>
      </c>
      <c r="V2121" s="51" t="s">
        <v>2365</v>
      </c>
      <c r="W2121" s="51" t="s">
        <v>4957</v>
      </c>
      <c r="X2121" s="51" t="s">
        <v>2359</v>
      </c>
    </row>
    <row r="2122" customFormat="false" ht="14.25" hidden="true" customHeight="false" outlineLevel="0" collapsed="false">
      <c r="A2122" s="49" t="s">
        <v>2349</v>
      </c>
      <c r="B2122" s="49" t="s">
        <v>2350</v>
      </c>
      <c r="C2122" s="49" t="s">
        <v>4958</v>
      </c>
      <c r="D2122" s="49" t="s">
        <v>2352</v>
      </c>
      <c r="E2122" s="49" t="str">
        <f aca="false">"734730225548"</f>
        <v>734730225548</v>
      </c>
      <c r="F2122" s="49" t="s">
        <v>2434</v>
      </c>
      <c r="G2122" s="49" t="n">
        <v>0</v>
      </c>
      <c r="H2122" s="0" t="n">
        <v>0</v>
      </c>
      <c r="M2122" s="51" t="s">
        <v>4941</v>
      </c>
      <c r="N2122" s="49" t="n">
        <v>0</v>
      </c>
      <c r="O2122" s="53" t="n">
        <v>45707.5923726852</v>
      </c>
      <c r="P2122" s="53" t="n">
        <v>45783.4327893519</v>
      </c>
      <c r="Q2122" s="53" t="n">
        <v>45707.5923726852</v>
      </c>
      <c r="R2122" s="0" t="n">
        <v>0</v>
      </c>
      <c r="S2122" s="51" t="s">
        <v>2383</v>
      </c>
      <c r="T2122" s="51" t="s">
        <v>2383</v>
      </c>
      <c r="U2122" s="0" t="str">
        <f aca="false">"734730225548"</f>
        <v>734730225548</v>
      </c>
      <c r="V2122" s="51" t="s">
        <v>2365</v>
      </c>
      <c r="W2122" s="51" t="s">
        <v>4959</v>
      </c>
      <c r="X2122" s="51" t="s">
        <v>2359</v>
      </c>
    </row>
    <row r="2123" customFormat="false" ht="14.25" hidden="true" customHeight="false" outlineLevel="0" collapsed="false">
      <c r="A2123" s="49" t="s">
        <v>2349</v>
      </c>
      <c r="B2123" s="49" t="s">
        <v>2350</v>
      </c>
      <c r="C2123" s="49" t="s">
        <v>4960</v>
      </c>
      <c r="D2123" s="49" t="s">
        <v>2352</v>
      </c>
      <c r="E2123" s="49" t="str">
        <f aca="false">"734730225548"</f>
        <v>734730225548</v>
      </c>
      <c r="F2123" s="49" t="s">
        <v>2434</v>
      </c>
      <c r="G2123" s="49" t="n">
        <v>0</v>
      </c>
      <c r="H2123" s="0" t="n">
        <v>0</v>
      </c>
      <c r="M2123" s="51" t="s">
        <v>4941</v>
      </c>
      <c r="N2123" s="49" t="n">
        <v>0</v>
      </c>
      <c r="O2123" s="53" t="n">
        <v>45707.5929513889</v>
      </c>
      <c r="P2123" s="53" t="n">
        <v>45716.8305092593</v>
      </c>
      <c r="Q2123" s="53" t="n">
        <v>45707.5929513889</v>
      </c>
      <c r="R2123" s="0" t="n">
        <v>0</v>
      </c>
      <c r="S2123" s="51" t="s">
        <v>2383</v>
      </c>
      <c r="T2123" s="51" t="s">
        <v>2383</v>
      </c>
      <c r="U2123" s="0" t="str">
        <f aca="false">"734730225548"</f>
        <v>734730225548</v>
      </c>
      <c r="V2123" s="51" t="s">
        <v>2365</v>
      </c>
      <c r="W2123" s="51" t="s">
        <v>2413</v>
      </c>
      <c r="X2123" s="51" t="s">
        <v>2359</v>
      </c>
    </row>
    <row r="2124" customFormat="false" ht="14.25" hidden="true" customHeight="false" outlineLevel="0" collapsed="false">
      <c r="A2124" s="49" t="s">
        <v>2349</v>
      </c>
      <c r="B2124" s="49" t="s">
        <v>2350</v>
      </c>
      <c r="C2124" s="49" t="s">
        <v>4961</v>
      </c>
      <c r="D2124" s="49" t="s">
        <v>2352</v>
      </c>
      <c r="E2124" s="49" t="str">
        <f aca="false">"734730225548"</f>
        <v>734730225548</v>
      </c>
      <c r="F2124" s="49" t="s">
        <v>2434</v>
      </c>
      <c r="G2124" s="49" t="n">
        <v>0</v>
      </c>
      <c r="H2124" s="0" t="n">
        <v>0</v>
      </c>
      <c r="M2124" s="51" t="s">
        <v>4941</v>
      </c>
      <c r="N2124" s="49" t="n">
        <v>0</v>
      </c>
      <c r="O2124" s="53" t="n">
        <v>45707.5934375</v>
      </c>
      <c r="P2124" s="53" t="n">
        <v>45783.5611111111</v>
      </c>
      <c r="Q2124" s="53" t="n">
        <v>45707.5934375</v>
      </c>
      <c r="R2124" s="0" t="n">
        <v>0</v>
      </c>
      <c r="S2124" s="51" t="s">
        <v>2383</v>
      </c>
      <c r="T2124" s="51" t="s">
        <v>2383</v>
      </c>
      <c r="U2124" s="0" t="str">
        <f aca="false">"734730225548"</f>
        <v>734730225548</v>
      </c>
      <c r="V2124" s="51" t="s">
        <v>2365</v>
      </c>
      <c r="W2124" s="51" t="s">
        <v>4962</v>
      </c>
      <c r="X2124" s="51" t="s">
        <v>2359</v>
      </c>
    </row>
    <row r="2125" customFormat="false" ht="14.25" hidden="true" customHeight="false" outlineLevel="0" collapsed="false">
      <c r="A2125" s="49" t="s">
        <v>2349</v>
      </c>
      <c r="B2125" s="49" t="s">
        <v>2350</v>
      </c>
      <c r="C2125" s="49" t="s">
        <v>4963</v>
      </c>
      <c r="D2125" s="49" t="s">
        <v>2352</v>
      </c>
      <c r="E2125" s="49" t="str">
        <f aca="false">"734730225548"</f>
        <v>734730225548</v>
      </c>
      <c r="F2125" s="49" t="s">
        <v>2434</v>
      </c>
      <c r="G2125" s="49" t="n">
        <v>0</v>
      </c>
      <c r="H2125" s="0" t="n">
        <v>0</v>
      </c>
      <c r="M2125" s="51" t="s">
        <v>4941</v>
      </c>
      <c r="N2125" s="49" t="n">
        <v>0</v>
      </c>
      <c r="O2125" s="53" t="n">
        <v>45707.5945601852</v>
      </c>
      <c r="P2125" s="53" t="n">
        <v>45716.8281712963</v>
      </c>
      <c r="Q2125" s="53" t="n">
        <v>45707.5945601852</v>
      </c>
      <c r="R2125" s="0" t="n">
        <v>0</v>
      </c>
      <c r="S2125" s="51" t="s">
        <v>2383</v>
      </c>
      <c r="T2125" s="51" t="s">
        <v>2383</v>
      </c>
      <c r="U2125" s="0" t="str">
        <f aca="false">"734730225548"</f>
        <v>734730225548</v>
      </c>
      <c r="V2125" s="51" t="s">
        <v>2365</v>
      </c>
      <c r="W2125" s="51" t="s">
        <v>4964</v>
      </c>
      <c r="X2125" s="51" t="s">
        <v>2359</v>
      </c>
    </row>
    <row r="2126" customFormat="false" ht="14.25" hidden="true" customHeight="false" outlineLevel="0" collapsed="false">
      <c r="A2126" s="49" t="s">
        <v>2349</v>
      </c>
      <c r="B2126" s="49" t="s">
        <v>2350</v>
      </c>
      <c r="C2126" s="49" t="s">
        <v>4965</v>
      </c>
      <c r="D2126" s="49" t="s">
        <v>2352</v>
      </c>
      <c r="E2126" s="49" t="str">
        <f aca="false">"734730225548"</f>
        <v>734730225548</v>
      </c>
      <c r="F2126" s="49" t="s">
        <v>2434</v>
      </c>
      <c r="G2126" s="49" t="n">
        <v>0</v>
      </c>
      <c r="H2126" s="0" t="n">
        <v>0</v>
      </c>
      <c r="M2126" s="51" t="s">
        <v>4941</v>
      </c>
      <c r="N2126" s="49" t="n">
        <v>0</v>
      </c>
      <c r="O2126" s="53" t="n">
        <v>45708.5564467593</v>
      </c>
      <c r="P2126" s="53" t="n">
        <v>45728.9253009259</v>
      </c>
      <c r="Q2126" s="53" t="n">
        <v>45708.5564467593</v>
      </c>
      <c r="R2126" s="0" t="n">
        <v>0</v>
      </c>
      <c r="S2126" s="51" t="s">
        <v>2371</v>
      </c>
      <c r="T2126" s="51" t="s">
        <v>2371</v>
      </c>
      <c r="U2126" s="0" t="str">
        <f aca="false">"734730225548"</f>
        <v>734730225548</v>
      </c>
      <c r="V2126" s="51" t="s">
        <v>2365</v>
      </c>
      <c r="W2126" s="51" t="s">
        <v>4288</v>
      </c>
      <c r="X2126" s="51" t="s">
        <v>2359</v>
      </c>
    </row>
    <row r="2127" customFormat="false" ht="14.25" hidden="true" customHeight="false" outlineLevel="0" collapsed="false">
      <c r="A2127" s="49" t="s">
        <v>2349</v>
      </c>
      <c r="B2127" s="49" t="s">
        <v>2350</v>
      </c>
      <c r="C2127" s="49" t="s">
        <v>4966</v>
      </c>
      <c r="D2127" s="49" t="s">
        <v>2352</v>
      </c>
      <c r="E2127" s="49" t="str">
        <f aca="false">"734730225548"</f>
        <v>734730225548</v>
      </c>
      <c r="F2127" s="49" t="s">
        <v>2434</v>
      </c>
      <c r="G2127" s="49" t="n">
        <v>0</v>
      </c>
      <c r="H2127" s="0" t="n">
        <v>0</v>
      </c>
      <c r="M2127" s="51" t="s">
        <v>4941</v>
      </c>
      <c r="N2127" s="49" t="n">
        <v>0</v>
      </c>
      <c r="O2127" s="53" t="n">
        <v>45708.5507060185</v>
      </c>
      <c r="P2127" s="53" t="n">
        <v>45742.5702199074</v>
      </c>
      <c r="Q2127" s="53" t="n">
        <v>45708.5507060185</v>
      </c>
      <c r="R2127" s="0" t="n">
        <v>0</v>
      </c>
      <c r="S2127" s="51" t="s">
        <v>2371</v>
      </c>
      <c r="T2127" s="51" t="s">
        <v>2371</v>
      </c>
      <c r="U2127" s="0" t="str">
        <f aca="false">"734730225548"</f>
        <v>734730225548</v>
      </c>
      <c r="V2127" s="51" t="s">
        <v>2365</v>
      </c>
      <c r="W2127" s="51" t="s">
        <v>4967</v>
      </c>
      <c r="X2127" s="51" t="s">
        <v>2359</v>
      </c>
    </row>
    <row r="2128" customFormat="false" ht="14.25" hidden="true" customHeight="false" outlineLevel="0" collapsed="false">
      <c r="A2128" s="49" t="s">
        <v>2349</v>
      </c>
      <c r="B2128" s="49" t="s">
        <v>2350</v>
      </c>
      <c r="C2128" s="49" t="s">
        <v>4968</v>
      </c>
      <c r="D2128" s="49" t="s">
        <v>2352</v>
      </c>
      <c r="E2128" s="49" t="str">
        <f aca="false">"734730225548"</f>
        <v>734730225548</v>
      </c>
      <c r="F2128" s="49" t="s">
        <v>2434</v>
      </c>
      <c r="G2128" s="49" t="n">
        <v>0</v>
      </c>
      <c r="H2128" s="0" t="n">
        <v>0</v>
      </c>
      <c r="M2128" s="51" t="s">
        <v>4941</v>
      </c>
      <c r="N2128" s="49" t="n">
        <v>0</v>
      </c>
      <c r="O2128" s="53" t="n">
        <v>45708.5511574074</v>
      </c>
      <c r="P2128" s="53" t="n">
        <v>45716.8272800926</v>
      </c>
      <c r="Q2128" s="53" t="n">
        <v>45708.5511458333</v>
      </c>
      <c r="R2128" s="0" t="n">
        <v>0</v>
      </c>
      <c r="S2128" s="51" t="s">
        <v>2371</v>
      </c>
      <c r="T2128" s="51" t="s">
        <v>2371</v>
      </c>
      <c r="U2128" s="0" t="str">
        <f aca="false">"734730225548"</f>
        <v>734730225548</v>
      </c>
      <c r="V2128" s="51" t="s">
        <v>2365</v>
      </c>
      <c r="W2128" s="51" t="s">
        <v>4969</v>
      </c>
      <c r="X2128" s="51" t="s">
        <v>2359</v>
      </c>
    </row>
    <row r="2129" customFormat="false" ht="14.25" hidden="true" customHeight="false" outlineLevel="0" collapsed="false">
      <c r="A2129" s="49" t="s">
        <v>2349</v>
      </c>
      <c r="B2129" s="49" t="s">
        <v>2350</v>
      </c>
      <c r="C2129" s="49" t="s">
        <v>4970</v>
      </c>
      <c r="D2129" s="49" t="s">
        <v>2352</v>
      </c>
      <c r="E2129" s="49" t="str">
        <f aca="false">"734730225548"</f>
        <v>734730225548</v>
      </c>
      <c r="F2129" s="49" t="s">
        <v>2434</v>
      </c>
      <c r="G2129" s="49" t="n">
        <v>0</v>
      </c>
      <c r="H2129" s="0" t="n">
        <v>0</v>
      </c>
      <c r="M2129" s="51" t="s">
        <v>4941</v>
      </c>
      <c r="N2129" s="49" t="n">
        <v>0</v>
      </c>
      <c r="O2129" s="53" t="n">
        <v>45708.6234259259</v>
      </c>
      <c r="P2129" s="53" t="n">
        <v>45716.8315277778</v>
      </c>
      <c r="Q2129" s="53" t="n">
        <v>45708.6234143519</v>
      </c>
      <c r="R2129" s="0" t="n">
        <v>0</v>
      </c>
      <c r="S2129" s="51" t="s">
        <v>2371</v>
      </c>
      <c r="T2129" s="51" t="s">
        <v>2371</v>
      </c>
      <c r="U2129" s="0" t="str">
        <f aca="false">"734730225548"</f>
        <v>734730225548</v>
      </c>
      <c r="V2129" s="51" t="s">
        <v>2365</v>
      </c>
      <c r="W2129" s="51" t="s">
        <v>4971</v>
      </c>
      <c r="X2129" s="51" t="s">
        <v>2359</v>
      </c>
    </row>
    <row r="2130" customFormat="false" ht="14.25" hidden="true" customHeight="false" outlineLevel="0" collapsed="false">
      <c r="A2130" s="49" t="s">
        <v>2349</v>
      </c>
      <c r="B2130" s="49" t="s">
        <v>2350</v>
      </c>
      <c r="C2130" s="49" t="s">
        <v>4972</v>
      </c>
      <c r="D2130" s="49" t="s">
        <v>2352</v>
      </c>
      <c r="E2130" s="49" t="str">
        <f aca="false">"734730225548"</f>
        <v>734730225548</v>
      </c>
      <c r="F2130" s="49" t="s">
        <v>2434</v>
      </c>
      <c r="G2130" s="49" t="n">
        <v>0</v>
      </c>
      <c r="H2130" s="0" t="n">
        <v>0</v>
      </c>
      <c r="M2130" s="51" t="s">
        <v>4941</v>
      </c>
      <c r="N2130" s="49" t="n">
        <v>0</v>
      </c>
      <c r="O2130" s="53" t="n">
        <v>45708.5503009259</v>
      </c>
      <c r="P2130" s="53" t="n">
        <v>45728.9048611111</v>
      </c>
      <c r="Q2130" s="53" t="n">
        <v>45708.5503009259</v>
      </c>
      <c r="R2130" s="0" t="n">
        <v>0</v>
      </c>
      <c r="S2130" s="51" t="s">
        <v>2371</v>
      </c>
      <c r="T2130" s="51" t="s">
        <v>2371</v>
      </c>
      <c r="U2130" s="0" t="str">
        <f aca="false">"734730225548"</f>
        <v>734730225548</v>
      </c>
      <c r="V2130" s="51" t="s">
        <v>2365</v>
      </c>
      <c r="W2130" s="51" t="s">
        <v>4343</v>
      </c>
      <c r="X2130" s="51" t="s">
        <v>2359</v>
      </c>
    </row>
    <row r="2131" customFormat="false" ht="14.25" hidden="true" customHeight="false" outlineLevel="0" collapsed="false">
      <c r="A2131" s="49" t="s">
        <v>2349</v>
      </c>
      <c r="B2131" s="49" t="s">
        <v>2350</v>
      </c>
      <c r="C2131" s="49" t="s">
        <v>4973</v>
      </c>
      <c r="D2131" s="49" t="s">
        <v>2352</v>
      </c>
      <c r="E2131" s="49" t="str">
        <f aca="false">"734730225548"</f>
        <v>734730225548</v>
      </c>
      <c r="F2131" s="49" t="s">
        <v>2434</v>
      </c>
      <c r="G2131" s="49" t="n">
        <v>0</v>
      </c>
      <c r="H2131" s="0" t="n">
        <v>0</v>
      </c>
      <c r="M2131" s="51" t="s">
        <v>4941</v>
      </c>
      <c r="N2131" s="49" t="n">
        <v>0</v>
      </c>
      <c r="O2131" s="53" t="n">
        <v>45708.5523148148</v>
      </c>
      <c r="P2131" s="53" t="n">
        <v>45725.5731018519</v>
      </c>
      <c r="Q2131" s="53" t="n">
        <v>45708.5523148148</v>
      </c>
      <c r="R2131" s="0" t="n">
        <v>0</v>
      </c>
      <c r="S2131" s="51" t="s">
        <v>2371</v>
      </c>
      <c r="T2131" s="51" t="s">
        <v>2371</v>
      </c>
      <c r="U2131" s="0" t="str">
        <f aca="false">"734730225548"</f>
        <v>734730225548</v>
      </c>
      <c r="V2131" s="51" t="s">
        <v>2365</v>
      </c>
      <c r="W2131" s="51" t="s">
        <v>4974</v>
      </c>
      <c r="X2131" s="51" t="s">
        <v>2359</v>
      </c>
    </row>
    <row r="2132" customFormat="false" ht="14.25" hidden="true" customHeight="false" outlineLevel="0" collapsed="false">
      <c r="A2132" s="49" t="s">
        <v>2349</v>
      </c>
      <c r="B2132" s="49" t="s">
        <v>2350</v>
      </c>
      <c r="C2132" s="49" t="s">
        <v>4975</v>
      </c>
      <c r="D2132" s="49" t="s">
        <v>2352</v>
      </c>
      <c r="E2132" s="49" t="str">
        <f aca="false">"734730225548"</f>
        <v>734730225548</v>
      </c>
      <c r="F2132" s="49" t="s">
        <v>2434</v>
      </c>
      <c r="G2132" s="49" t="n">
        <v>0</v>
      </c>
      <c r="H2132" s="0" t="n">
        <v>0</v>
      </c>
      <c r="M2132" s="51" t="s">
        <v>4941</v>
      </c>
      <c r="N2132" s="49" t="n">
        <v>0</v>
      </c>
      <c r="O2132" s="53" t="n">
        <v>45708.5530902778</v>
      </c>
      <c r="P2132" s="53" t="n">
        <v>45716.8197453704</v>
      </c>
      <c r="Q2132" s="53" t="n">
        <v>45708.5530902778</v>
      </c>
      <c r="R2132" s="0" t="n">
        <v>0</v>
      </c>
      <c r="S2132" s="51" t="s">
        <v>2371</v>
      </c>
      <c r="T2132" s="51" t="s">
        <v>2371</v>
      </c>
      <c r="U2132" s="0" t="str">
        <f aca="false">"734730225548"</f>
        <v>734730225548</v>
      </c>
      <c r="V2132" s="51" t="s">
        <v>2365</v>
      </c>
      <c r="W2132" s="51" t="s">
        <v>2404</v>
      </c>
      <c r="X2132" s="51" t="s">
        <v>2359</v>
      </c>
    </row>
    <row r="2133" customFormat="false" ht="14.25" hidden="true" customHeight="false" outlineLevel="0" collapsed="false">
      <c r="A2133" s="49" t="s">
        <v>2349</v>
      </c>
      <c r="B2133" s="49" t="s">
        <v>2350</v>
      </c>
      <c r="C2133" s="49" t="s">
        <v>4976</v>
      </c>
      <c r="D2133" s="49" t="s">
        <v>2352</v>
      </c>
      <c r="E2133" s="49" t="str">
        <f aca="false">"734730225548"</f>
        <v>734730225548</v>
      </c>
      <c r="F2133" s="49" t="s">
        <v>2434</v>
      </c>
      <c r="G2133" s="49" t="n">
        <v>0</v>
      </c>
      <c r="H2133" s="0" t="n">
        <v>0</v>
      </c>
      <c r="M2133" s="51" t="s">
        <v>4941</v>
      </c>
      <c r="N2133" s="49" t="n">
        <v>0</v>
      </c>
      <c r="O2133" s="53" t="n">
        <v>45708.5534375</v>
      </c>
      <c r="P2133" s="53" t="n">
        <v>45728.9266319444</v>
      </c>
      <c r="Q2133" s="53" t="n">
        <v>45708.5534375</v>
      </c>
      <c r="R2133" s="0" t="n">
        <v>0</v>
      </c>
      <c r="S2133" s="51" t="s">
        <v>2371</v>
      </c>
      <c r="T2133" s="51" t="s">
        <v>2371</v>
      </c>
      <c r="U2133" s="0" t="str">
        <f aca="false">"734730225548"</f>
        <v>734730225548</v>
      </c>
      <c r="V2133" s="51" t="s">
        <v>2365</v>
      </c>
      <c r="W2133" s="51" t="s">
        <v>4210</v>
      </c>
      <c r="X2133" s="51" t="s">
        <v>2359</v>
      </c>
    </row>
    <row r="2134" customFormat="false" ht="14.25" hidden="true" customHeight="false" outlineLevel="0" collapsed="false">
      <c r="A2134" s="49" t="s">
        <v>2349</v>
      </c>
      <c r="B2134" s="49" t="s">
        <v>2350</v>
      </c>
      <c r="C2134" s="49" t="s">
        <v>4977</v>
      </c>
      <c r="D2134" s="49" t="s">
        <v>2352</v>
      </c>
      <c r="E2134" s="49" t="str">
        <f aca="false">"734730225548"</f>
        <v>734730225548</v>
      </c>
      <c r="F2134" s="49" t="s">
        <v>2434</v>
      </c>
      <c r="G2134" s="49" t="n">
        <v>0</v>
      </c>
      <c r="H2134" s="0" t="n">
        <v>0</v>
      </c>
      <c r="M2134" s="51" t="s">
        <v>4941</v>
      </c>
      <c r="N2134" s="49" t="n">
        <v>0</v>
      </c>
      <c r="O2134" s="53" t="n">
        <v>45708.5527777778</v>
      </c>
      <c r="P2134" s="53" t="n">
        <v>45728.9061805556</v>
      </c>
      <c r="Q2134" s="53" t="n">
        <v>45708.5527777778</v>
      </c>
      <c r="R2134" s="0" t="n">
        <v>0</v>
      </c>
      <c r="S2134" s="51" t="s">
        <v>2371</v>
      </c>
      <c r="T2134" s="51" t="s">
        <v>2371</v>
      </c>
      <c r="U2134" s="0" t="str">
        <f aca="false">"734730225548"</f>
        <v>734730225548</v>
      </c>
      <c r="V2134" s="51" t="s">
        <v>2365</v>
      </c>
      <c r="W2134" s="51" t="s">
        <v>4978</v>
      </c>
      <c r="X2134" s="51" t="s">
        <v>2359</v>
      </c>
    </row>
    <row r="2135" customFormat="false" ht="14.25" hidden="true" customHeight="false" outlineLevel="0" collapsed="false">
      <c r="A2135" s="49" t="s">
        <v>2349</v>
      </c>
      <c r="B2135" s="49" t="s">
        <v>2350</v>
      </c>
      <c r="C2135" s="49" t="s">
        <v>4979</v>
      </c>
      <c r="D2135" s="49" t="s">
        <v>2352</v>
      </c>
      <c r="E2135" s="49" t="str">
        <f aca="false">"734730225548"</f>
        <v>734730225548</v>
      </c>
      <c r="F2135" s="49" t="s">
        <v>2434</v>
      </c>
      <c r="G2135" s="49" t="n">
        <v>0</v>
      </c>
      <c r="H2135" s="0" t="n">
        <v>0</v>
      </c>
      <c r="M2135" s="51" t="s">
        <v>4941</v>
      </c>
      <c r="N2135" s="49" t="n">
        <v>0</v>
      </c>
      <c r="O2135" s="53" t="n">
        <v>45708.5526041667</v>
      </c>
      <c r="P2135" s="53" t="n">
        <v>45726.9296412037</v>
      </c>
      <c r="Q2135" s="53" t="n">
        <v>45708.5526041667</v>
      </c>
      <c r="R2135" s="0" t="n">
        <v>0</v>
      </c>
      <c r="S2135" s="51" t="s">
        <v>2371</v>
      </c>
      <c r="T2135" s="51" t="s">
        <v>2371</v>
      </c>
      <c r="U2135" s="0" t="str">
        <f aca="false">"734730225548"</f>
        <v>734730225548</v>
      </c>
      <c r="V2135" s="51" t="s">
        <v>2365</v>
      </c>
      <c r="W2135" s="51" t="s">
        <v>4980</v>
      </c>
      <c r="X2135" s="51" t="s">
        <v>2359</v>
      </c>
    </row>
    <row r="2136" customFormat="false" ht="14.25" hidden="true" customHeight="false" outlineLevel="0" collapsed="false">
      <c r="A2136" s="49" t="s">
        <v>2349</v>
      </c>
      <c r="B2136" s="49" t="s">
        <v>2350</v>
      </c>
      <c r="C2136" s="49" t="s">
        <v>4981</v>
      </c>
      <c r="D2136" s="49" t="s">
        <v>2352</v>
      </c>
      <c r="E2136" s="49" t="str">
        <f aca="false">"734730225548"</f>
        <v>734730225548</v>
      </c>
      <c r="F2136" s="49" t="s">
        <v>2434</v>
      </c>
      <c r="G2136" s="49" t="n">
        <v>0</v>
      </c>
      <c r="H2136" s="0" t="n">
        <v>0</v>
      </c>
      <c r="M2136" s="51" t="s">
        <v>4941</v>
      </c>
      <c r="N2136" s="49" t="n">
        <v>0</v>
      </c>
      <c r="O2136" s="53" t="n">
        <v>45708.5535648148</v>
      </c>
      <c r="P2136" s="53" t="n">
        <v>45728.9272800926</v>
      </c>
      <c r="Q2136" s="53" t="n">
        <v>45708.5535648148</v>
      </c>
      <c r="R2136" s="0" t="n">
        <v>0</v>
      </c>
      <c r="S2136" s="51" t="s">
        <v>2371</v>
      </c>
      <c r="T2136" s="51" t="s">
        <v>2371</v>
      </c>
      <c r="U2136" s="0" t="str">
        <f aca="false">"734730225548"</f>
        <v>734730225548</v>
      </c>
      <c r="V2136" s="51" t="s">
        <v>2365</v>
      </c>
      <c r="W2136" s="51" t="s">
        <v>4214</v>
      </c>
      <c r="X2136" s="51" t="s">
        <v>2359</v>
      </c>
    </row>
    <row r="2137" customFormat="false" ht="14.25" hidden="true" customHeight="false" outlineLevel="0" collapsed="false">
      <c r="A2137" s="49" t="s">
        <v>2349</v>
      </c>
      <c r="B2137" s="49" t="s">
        <v>2350</v>
      </c>
      <c r="C2137" s="49" t="s">
        <v>4982</v>
      </c>
      <c r="D2137" s="49" t="s">
        <v>2352</v>
      </c>
      <c r="E2137" s="49" t="str">
        <f aca="false">"734730225548"</f>
        <v>734730225548</v>
      </c>
      <c r="F2137" s="49" t="s">
        <v>2434</v>
      </c>
      <c r="G2137" s="49" t="n">
        <v>0</v>
      </c>
      <c r="H2137" s="0" t="n">
        <v>0</v>
      </c>
      <c r="M2137" s="51" t="s">
        <v>4941</v>
      </c>
      <c r="N2137" s="49" t="n">
        <v>0</v>
      </c>
      <c r="O2137" s="53" t="n">
        <v>45708.5537268519</v>
      </c>
      <c r="P2137" s="53" t="n">
        <v>45728.9280671296</v>
      </c>
      <c r="Q2137" s="53" t="n">
        <v>45708.5537268519</v>
      </c>
      <c r="R2137" s="0" t="n">
        <v>0</v>
      </c>
      <c r="S2137" s="51" t="s">
        <v>2371</v>
      </c>
      <c r="T2137" s="51" t="s">
        <v>2371</v>
      </c>
      <c r="U2137" s="0" t="str">
        <f aca="false">"734730225548"</f>
        <v>734730225548</v>
      </c>
      <c r="V2137" s="51" t="s">
        <v>2365</v>
      </c>
      <c r="W2137" s="51" t="s">
        <v>3672</v>
      </c>
      <c r="X2137" s="51" t="s">
        <v>2359</v>
      </c>
    </row>
    <row r="2138" customFormat="false" ht="14.25" hidden="true" customHeight="false" outlineLevel="0" collapsed="false">
      <c r="A2138" s="49" t="s">
        <v>2349</v>
      </c>
      <c r="B2138" s="49" t="s">
        <v>2350</v>
      </c>
      <c r="C2138" s="49" t="s">
        <v>4983</v>
      </c>
      <c r="D2138" s="49" t="s">
        <v>2352</v>
      </c>
      <c r="E2138" s="49" t="str">
        <f aca="false">"734730225548"</f>
        <v>734730225548</v>
      </c>
      <c r="F2138" s="49" t="s">
        <v>2434</v>
      </c>
      <c r="G2138" s="49" t="n">
        <v>0</v>
      </c>
      <c r="H2138" s="0" t="n">
        <v>0</v>
      </c>
      <c r="M2138" s="51" t="s">
        <v>4941</v>
      </c>
      <c r="N2138" s="49" t="n">
        <v>0</v>
      </c>
      <c r="O2138" s="53" t="n">
        <v>45708.5538773148</v>
      </c>
      <c r="P2138" s="53" t="n">
        <v>45717.9261226852</v>
      </c>
      <c r="Q2138" s="53" t="n">
        <v>45708.5538773148</v>
      </c>
      <c r="R2138" s="0" t="n">
        <v>0</v>
      </c>
      <c r="S2138" s="51" t="s">
        <v>2371</v>
      </c>
      <c r="T2138" s="51" t="s">
        <v>2371</v>
      </c>
      <c r="U2138" s="0" t="str">
        <f aca="false">"734730225548"</f>
        <v>734730225548</v>
      </c>
      <c r="V2138" s="51" t="s">
        <v>2365</v>
      </c>
      <c r="W2138" s="51" t="s">
        <v>4204</v>
      </c>
      <c r="X2138" s="51" t="s">
        <v>2359</v>
      </c>
    </row>
    <row r="2139" customFormat="false" ht="14.25" hidden="true" customHeight="false" outlineLevel="0" collapsed="false">
      <c r="A2139" s="49" t="s">
        <v>2349</v>
      </c>
      <c r="B2139" s="49" t="s">
        <v>2350</v>
      </c>
      <c r="C2139" s="49" t="s">
        <v>4984</v>
      </c>
      <c r="D2139" s="49" t="s">
        <v>2352</v>
      </c>
      <c r="E2139" s="49" t="str">
        <f aca="false">"734730225548"</f>
        <v>734730225548</v>
      </c>
      <c r="F2139" s="49" t="s">
        <v>2434</v>
      </c>
      <c r="G2139" s="49" t="n">
        <v>0</v>
      </c>
      <c r="H2139" s="0" t="n">
        <v>0</v>
      </c>
      <c r="M2139" s="51" t="s">
        <v>4941</v>
      </c>
      <c r="N2139" s="49" t="n">
        <v>0</v>
      </c>
      <c r="O2139" s="53" t="n">
        <v>45708.5540162037</v>
      </c>
      <c r="P2139" s="53" t="n">
        <v>45716.8205787037</v>
      </c>
      <c r="Q2139" s="53" t="n">
        <v>45708.5540162037</v>
      </c>
      <c r="R2139" s="0" t="n">
        <v>0</v>
      </c>
      <c r="S2139" s="51" t="s">
        <v>2371</v>
      </c>
      <c r="T2139" s="51" t="s">
        <v>2371</v>
      </c>
      <c r="U2139" s="0" t="str">
        <f aca="false">"734730225548"</f>
        <v>734730225548</v>
      </c>
      <c r="V2139" s="51" t="s">
        <v>2365</v>
      </c>
      <c r="W2139" s="51" t="s">
        <v>4468</v>
      </c>
      <c r="X2139" s="51" t="s">
        <v>2359</v>
      </c>
    </row>
    <row r="2140" customFormat="false" ht="14.25" hidden="true" customHeight="false" outlineLevel="0" collapsed="false">
      <c r="A2140" s="49" t="s">
        <v>2349</v>
      </c>
      <c r="B2140" s="49" t="s">
        <v>2350</v>
      </c>
      <c r="C2140" s="49" t="s">
        <v>4985</v>
      </c>
      <c r="D2140" s="49" t="s">
        <v>2352</v>
      </c>
      <c r="E2140" s="49" t="str">
        <f aca="false">"734730225548"</f>
        <v>734730225548</v>
      </c>
      <c r="F2140" s="49" t="s">
        <v>2434</v>
      </c>
      <c r="G2140" s="49" t="n">
        <v>0</v>
      </c>
      <c r="H2140" s="0" t="n">
        <v>0</v>
      </c>
      <c r="M2140" s="51" t="s">
        <v>4941</v>
      </c>
      <c r="N2140" s="49" t="n">
        <v>0</v>
      </c>
      <c r="O2140" s="53" t="n">
        <v>45708.5541550926</v>
      </c>
      <c r="P2140" s="53" t="n">
        <v>45783.4308912037</v>
      </c>
      <c r="Q2140" s="53" t="n">
        <v>45708.5541550926</v>
      </c>
      <c r="R2140" s="0" t="n">
        <v>0</v>
      </c>
      <c r="S2140" s="51" t="s">
        <v>2371</v>
      </c>
      <c r="T2140" s="51" t="s">
        <v>2371</v>
      </c>
      <c r="U2140" s="0" t="str">
        <f aca="false">"734730225548"</f>
        <v>734730225548</v>
      </c>
      <c r="V2140" s="51" t="s">
        <v>2365</v>
      </c>
      <c r="W2140" s="51" t="s">
        <v>4539</v>
      </c>
      <c r="X2140" s="51" t="s">
        <v>2359</v>
      </c>
    </row>
    <row r="2141" customFormat="false" ht="14.25" hidden="true" customHeight="false" outlineLevel="0" collapsed="false">
      <c r="A2141" s="49" t="s">
        <v>2349</v>
      </c>
      <c r="B2141" s="49" t="s">
        <v>2350</v>
      </c>
      <c r="C2141" s="49" t="s">
        <v>4986</v>
      </c>
      <c r="D2141" s="49" t="s">
        <v>2352</v>
      </c>
      <c r="E2141" s="49" t="str">
        <f aca="false">"734730225548"</f>
        <v>734730225548</v>
      </c>
      <c r="F2141" s="49" t="s">
        <v>2434</v>
      </c>
      <c r="G2141" s="49" t="n">
        <v>0</v>
      </c>
      <c r="H2141" s="0" t="n">
        <v>0</v>
      </c>
      <c r="M2141" s="51" t="s">
        <v>4941</v>
      </c>
      <c r="N2141" s="49" t="n">
        <v>0</v>
      </c>
      <c r="O2141" s="53" t="n">
        <v>45708.5543055556</v>
      </c>
      <c r="P2141" s="53" t="n">
        <v>45740.0402430556</v>
      </c>
      <c r="Q2141" s="53" t="n">
        <v>45708.5543055556</v>
      </c>
      <c r="R2141" s="0" t="n">
        <v>0</v>
      </c>
      <c r="S2141" s="51" t="s">
        <v>2371</v>
      </c>
      <c r="T2141" s="51" t="s">
        <v>2371</v>
      </c>
      <c r="U2141" s="0" t="str">
        <f aca="false">"734730225548"</f>
        <v>734730225548</v>
      </c>
      <c r="V2141" s="51" t="s">
        <v>2365</v>
      </c>
      <c r="W2141" s="51" t="s">
        <v>4987</v>
      </c>
      <c r="X2141" s="51" t="s">
        <v>2359</v>
      </c>
    </row>
    <row r="2142" customFormat="false" ht="14.25" hidden="true" customHeight="false" outlineLevel="0" collapsed="false">
      <c r="A2142" s="49" t="s">
        <v>2349</v>
      </c>
      <c r="B2142" s="49" t="s">
        <v>2350</v>
      </c>
      <c r="C2142" s="49" t="s">
        <v>4988</v>
      </c>
      <c r="D2142" s="49" t="s">
        <v>2352</v>
      </c>
      <c r="E2142" s="49" t="str">
        <f aca="false">"734730225548"</f>
        <v>734730225548</v>
      </c>
      <c r="F2142" s="49" t="s">
        <v>2434</v>
      </c>
      <c r="G2142" s="49" t="n">
        <v>0</v>
      </c>
      <c r="H2142" s="0" t="n">
        <v>0</v>
      </c>
      <c r="M2142" s="51" t="s">
        <v>4941</v>
      </c>
      <c r="N2142" s="49" t="n">
        <v>0</v>
      </c>
      <c r="O2142" s="53" t="n">
        <v>45708.5544560185</v>
      </c>
      <c r="P2142" s="53" t="n">
        <v>45768.4434259259</v>
      </c>
      <c r="Q2142" s="53" t="n">
        <v>45708.5544560185</v>
      </c>
      <c r="R2142" s="0" t="n">
        <v>0</v>
      </c>
      <c r="S2142" s="51" t="s">
        <v>2371</v>
      </c>
      <c r="T2142" s="51" t="s">
        <v>2371</v>
      </c>
      <c r="U2142" s="0" t="str">
        <f aca="false">"734730225548"</f>
        <v>734730225548</v>
      </c>
      <c r="V2142" s="51" t="s">
        <v>2365</v>
      </c>
      <c r="W2142" s="51" t="s">
        <v>4989</v>
      </c>
      <c r="X2142" s="51" t="s">
        <v>2359</v>
      </c>
    </row>
    <row r="2143" customFormat="false" ht="14.25" hidden="true" customHeight="false" outlineLevel="0" collapsed="false">
      <c r="A2143" s="49" t="s">
        <v>2349</v>
      </c>
      <c r="B2143" s="49" t="s">
        <v>2350</v>
      </c>
      <c r="C2143" s="49" t="s">
        <v>4990</v>
      </c>
      <c r="D2143" s="49" t="s">
        <v>2352</v>
      </c>
      <c r="E2143" s="49" t="str">
        <f aca="false">"734730225548"</f>
        <v>734730225548</v>
      </c>
      <c r="F2143" s="49" t="s">
        <v>2434</v>
      </c>
      <c r="G2143" s="49" t="n">
        <v>0</v>
      </c>
      <c r="H2143" s="0" t="n">
        <v>0</v>
      </c>
      <c r="M2143" s="51" t="s">
        <v>4941</v>
      </c>
      <c r="N2143" s="49" t="n">
        <v>0</v>
      </c>
      <c r="O2143" s="53" t="n">
        <v>45708.5546875</v>
      </c>
      <c r="P2143" s="53" t="n">
        <v>45742.5695138889</v>
      </c>
      <c r="Q2143" s="53" t="n">
        <v>45708.5546875</v>
      </c>
      <c r="R2143" s="0" t="n">
        <v>0</v>
      </c>
      <c r="S2143" s="51" t="s">
        <v>2371</v>
      </c>
      <c r="T2143" s="51" t="s">
        <v>2371</v>
      </c>
      <c r="U2143" s="0" t="str">
        <f aca="false">"734730225548"</f>
        <v>734730225548</v>
      </c>
      <c r="V2143" s="51" t="s">
        <v>2365</v>
      </c>
      <c r="W2143" s="51" t="s">
        <v>4474</v>
      </c>
      <c r="X2143" s="51" t="s">
        <v>2359</v>
      </c>
    </row>
    <row r="2144" customFormat="false" ht="14.25" hidden="true" customHeight="false" outlineLevel="0" collapsed="false">
      <c r="A2144" s="49" t="s">
        <v>2349</v>
      </c>
      <c r="B2144" s="49" t="s">
        <v>2350</v>
      </c>
      <c r="C2144" s="49" t="s">
        <v>4991</v>
      </c>
      <c r="D2144" s="49" t="s">
        <v>2352</v>
      </c>
      <c r="E2144" s="49" t="str">
        <f aca="false">"734730225548"</f>
        <v>734730225548</v>
      </c>
      <c r="F2144" s="49" t="s">
        <v>2434</v>
      </c>
      <c r="G2144" s="49" t="n">
        <v>0</v>
      </c>
      <c r="H2144" s="0" t="n">
        <v>0</v>
      </c>
      <c r="M2144" s="51" t="s">
        <v>4941</v>
      </c>
      <c r="N2144" s="49" t="n">
        <v>0</v>
      </c>
      <c r="O2144" s="53" t="n">
        <v>45708.5548263889</v>
      </c>
      <c r="P2144" s="53" t="n">
        <v>45728.9074884259</v>
      </c>
      <c r="Q2144" s="53" t="n">
        <v>45708.5548263889</v>
      </c>
      <c r="R2144" s="0" t="n">
        <v>0</v>
      </c>
      <c r="S2144" s="51" t="s">
        <v>2371</v>
      </c>
      <c r="T2144" s="51" t="s">
        <v>2371</v>
      </c>
      <c r="U2144" s="0" t="str">
        <f aca="false">"734730225548"</f>
        <v>734730225548</v>
      </c>
      <c r="V2144" s="51" t="s">
        <v>2365</v>
      </c>
      <c r="W2144" s="51" t="s">
        <v>4340</v>
      </c>
      <c r="X2144" s="51" t="s">
        <v>2359</v>
      </c>
    </row>
    <row r="2145" customFormat="false" ht="14.25" hidden="true" customHeight="false" outlineLevel="0" collapsed="false">
      <c r="A2145" s="49" t="s">
        <v>2349</v>
      </c>
      <c r="B2145" s="49" t="s">
        <v>2350</v>
      </c>
      <c r="C2145" s="49" t="s">
        <v>4992</v>
      </c>
      <c r="D2145" s="49" t="s">
        <v>2352</v>
      </c>
      <c r="E2145" s="49" t="str">
        <f aca="false">"734730225548"</f>
        <v>734730225548</v>
      </c>
      <c r="F2145" s="49" t="s">
        <v>2434</v>
      </c>
      <c r="G2145" s="49" t="n">
        <v>0</v>
      </c>
      <c r="H2145" s="0" t="n">
        <v>0</v>
      </c>
      <c r="M2145" s="51" t="s">
        <v>4941</v>
      </c>
      <c r="N2145" s="49" t="n">
        <v>0</v>
      </c>
      <c r="O2145" s="53" t="n">
        <v>45708.555</v>
      </c>
      <c r="P2145" s="53" t="n">
        <v>45716.8309027778</v>
      </c>
      <c r="Q2145" s="53" t="n">
        <v>45708.555</v>
      </c>
      <c r="R2145" s="0" t="n">
        <v>0</v>
      </c>
      <c r="S2145" s="51" t="s">
        <v>2371</v>
      </c>
      <c r="T2145" s="51" t="s">
        <v>2371</v>
      </c>
      <c r="U2145" s="0" t="str">
        <f aca="false">"734730225548"</f>
        <v>734730225548</v>
      </c>
      <c r="V2145" s="51" t="s">
        <v>2365</v>
      </c>
      <c r="W2145" s="51" t="s">
        <v>4434</v>
      </c>
      <c r="X2145" s="51" t="s">
        <v>2359</v>
      </c>
    </row>
    <row r="2146" customFormat="false" ht="14.25" hidden="true" customHeight="false" outlineLevel="0" collapsed="false">
      <c r="A2146" s="49" t="s">
        <v>2349</v>
      </c>
      <c r="B2146" s="49" t="s">
        <v>2350</v>
      </c>
      <c r="C2146" s="49" t="s">
        <v>4993</v>
      </c>
      <c r="D2146" s="49" t="s">
        <v>2352</v>
      </c>
      <c r="E2146" s="49" t="str">
        <f aca="false">"734730225548"</f>
        <v>734730225548</v>
      </c>
      <c r="F2146" s="49" t="s">
        <v>2434</v>
      </c>
      <c r="G2146" s="49" t="n">
        <v>0</v>
      </c>
      <c r="H2146" s="0" t="n">
        <v>0</v>
      </c>
      <c r="M2146" s="51" t="s">
        <v>4941</v>
      </c>
      <c r="N2146" s="49" t="n">
        <v>0</v>
      </c>
      <c r="O2146" s="53" t="n">
        <v>45708.555150463</v>
      </c>
      <c r="P2146" s="53" t="n">
        <v>45728.9094097222</v>
      </c>
      <c r="Q2146" s="53" t="n">
        <v>45708.555150463</v>
      </c>
      <c r="R2146" s="0" t="n">
        <v>0</v>
      </c>
      <c r="S2146" s="51" t="s">
        <v>2371</v>
      </c>
      <c r="T2146" s="51" t="s">
        <v>2371</v>
      </c>
      <c r="U2146" s="0" t="str">
        <f aca="false">"734730225548"</f>
        <v>734730225548</v>
      </c>
      <c r="V2146" s="51" t="s">
        <v>2365</v>
      </c>
      <c r="W2146" s="51" t="s">
        <v>4994</v>
      </c>
      <c r="X2146" s="51" t="s">
        <v>2359</v>
      </c>
    </row>
    <row r="2147" customFormat="false" ht="14.25" hidden="true" customHeight="false" outlineLevel="0" collapsed="false">
      <c r="A2147" s="49" t="s">
        <v>2349</v>
      </c>
      <c r="B2147" s="49" t="s">
        <v>2350</v>
      </c>
      <c r="C2147" s="49" t="s">
        <v>4995</v>
      </c>
      <c r="D2147" s="49" t="s">
        <v>2352</v>
      </c>
      <c r="E2147" s="49" t="str">
        <f aca="false">"734730225548"</f>
        <v>734730225548</v>
      </c>
      <c r="F2147" s="49" t="s">
        <v>2434</v>
      </c>
      <c r="G2147" s="49" t="n">
        <v>0</v>
      </c>
      <c r="H2147" s="0" t="n">
        <v>0</v>
      </c>
      <c r="M2147" s="51" t="s">
        <v>4941</v>
      </c>
      <c r="N2147" s="49" t="n">
        <v>0</v>
      </c>
      <c r="O2147" s="53" t="n">
        <v>45708.5553356482</v>
      </c>
      <c r="P2147" s="53" t="n">
        <v>45783.4331018519</v>
      </c>
      <c r="Q2147" s="53" t="n">
        <v>45708.5553356482</v>
      </c>
      <c r="R2147" s="0" t="n">
        <v>0</v>
      </c>
      <c r="S2147" s="51" t="s">
        <v>2371</v>
      </c>
      <c r="T2147" s="51" t="s">
        <v>2371</v>
      </c>
      <c r="U2147" s="0" t="str">
        <f aca="false">"734730225548"</f>
        <v>734730225548</v>
      </c>
      <c r="V2147" s="51" t="s">
        <v>2365</v>
      </c>
      <c r="W2147" s="51" t="s">
        <v>4996</v>
      </c>
      <c r="X2147" s="51" t="s">
        <v>2359</v>
      </c>
    </row>
    <row r="2148" customFormat="false" ht="14.25" hidden="true" customHeight="false" outlineLevel="0" collapsed="false">
      <c r="A2148" s="49" t="s">
        <v>2349</v>
      </c>
      <c r="B2148" s="49" t="s">
        <v>2350</v>
      </c>
      <c r="C2148" s="49" t="s">
        <v>4997</v>
      </c>
      <c r="D2148" s="49" t="s">
        <v>2352</v>
      </c>
      <c r="E2148" s="49" t="str">
        <f aca="false">"734730225548"</f>
        <v>734730225548</v>
      </c>
      <c r="F2148" s="49" t="s">
        <v>2434</v>
      </c>
      <c r="G2148" s="49" t="n">
        <v>0</v>
      </c>
      <c r="H2148" s="0" t="n">
        <v>0</v>
      </c>
      <c r="M2148" s="51" t="s">
        <v>4941</v>
      </c>
      <c r="N2148" s="49" t="n">
        <v>0</v>
      </c>
      <c r="O2148" s="53" t="n">
        <v>45708.555775463</v>
      </c>
      <c r="P2148" s="53" t="n">
        <v>45725.5756712963</v>
      </c>
      <c r="Q2148" s="53" t="n">
        <v>45708.555775463</v>
      </c>
      <c r="R2148" s="0" t="n">
        <v>0</v>
      </c>
      <c r="S2148" s="51" t="s">
        <v>2371</v>
      </c>
      <c r="T2148" s="51" t="s">
        <v>2371</v>
      </c>
      <c r="U2148" s="0" t="str">
        <f aca="false">"734730225548"</f>
        <v>734730225548</v>
      </c>
      <c r="V2148" s="51" t="s">
        <v>2365</v>
      </c>
      <c r="W2148" s="51" t="s">
        <v>4998</v>
      </c>
      <c r="X2148" s="51" t="s">
        <v>2359</v>
      </c>
    </row>
    <row r="2149" customFormat="false" ht="14.25" hidden="true" customHeight="false" outlineLevel="0" collapsed="false">
      <c r="A2149" s="49" t="s">
        <v>2349</v>
      </c>
      <c r="B2149" s="49" t="s">
        <v>2350</v>
      </c>
      <c r="C2149" s="49" t="s">
        <v>4999</v>
      </c>
      <c r="D2149" s="49" t="s">
        <v>2352</v>
      </c>
      <c r="E2149" s="49" t="str">
        <f aca="false">"734730225548"</f>
        <v>734730225548</v>
      </c>
      <c r="F2149" s="49" t="s">
        <v>2434</v>
      </c>
      <c r="G2149" s="49" t="n">
        <v>0</v>
      </c>
      <c r="H2149" s="0" t="n">
        <v>0</v>
      </c>
      <c r="M2149" s="51" t="s">
        <v>4941</v>
      </c>
      <c r="N2149" s="49" t="n">
        <v>0</v>
      </c>
      <c r="O2149" s="53" t="n">
        <v>45708.5555902778</v>
      </c>
      <c r="P2149" s="53" t="n">
        <v>45783.562337963</v>
      </c>
      <c r="Q2149" s="53" t="n">
        <v>45708.5555902778</v>
      </c>
      <c r="R2149" s="0" t="n">
        <v>0</v>
      </c>
      <c r="S2149" s="51" t="s">
        <v>2371</v>
      </c>
      <c r="T2149" s="51" t="s">
        <v>2371</v>
      </c>
      <c r="U2149" s="0" t="str">
        <f aca="false">"734730225548"</f>
        <v>734730225548</v>
      </c>
      <c r="V2149" s="51" t="s">
        <v>2365</v>
      </c>
      <c r="W2149" s="51" t="s">
        <v>5000</v>
      </c>
      <c r="X2149" s="51" t="s">
        <v>2359</v>
      </c>
    </row>
    <row r="2150" customFormat="false" ht="14.25" hidden="true" customHeight="false" outlineLevel="0" collapsed="false">
      <c r="A2150" s="49" t="s">
        <v>2349</v>
      </c>
      <c r="B2150" s="49" t="s">
        <v>2350</v>
      </c>
      <c r="C2150" s="49" t="s">
        <v>5001</v>
      </c>
      <c r="D2150" s="49" t="s">
        <v>2352</v>
      </c>
      <c r="E2150" s="49" t="str">
        <f aca="false">"734730225548"</f>
        <v>734730225548</v>
      </c>
      <c r="F2150" s="49" t="s">
        <v>2434</v>
      </c>
      <c r="G2150" s="49" t="n">
        <v>0</v>
      </c>
      <c r="H2150" s="0" t="n">
        <v>0</v>
      </c>
      <c r="M2150" s="51" t="s">
        <v>4941</v>
      </c>
      <c r="N2150" s="49" t="n">
        <v>0</v>
      </c>
      <c r="O2150" s="53" t="n">
        <v>45708.5561574074</v>
      </c>
      <c r="P2150" s="53" t="n">
        <v>45728.9270023148</v>
      </c>
      <c r="Q2150" s="53" t="n">
        <v>45708.5561574074</v>
      </c>
      <c r="R2150" s="0" t="n">
        <v>0</v>
      </c>
      <c r="S2150" s="51" t="s">
        <v>2371</v>
      </c>
      <c r="T2150" s="51" t="s">
        <v>2371</v>
      </c>
      <c r="U2150" s="0" t="str">
        <f aca="false">"734730225548"</f>
        <v>734730225548</v>
      </c>
      <c r="V2150" s="51" t="s">
        <v>2365</v>
      </c>
      <c r="W2150" s="51" t="s">
        <v>4212</v>
      </c>
      <c r="X2150" s="51" t="s">
        <v>2359</v>
      </c>
    </row>
    <row r="2151" customFormat="false" ht="14.25" hidden="true" customHeight="false" outlineLevel="0" collapsed="false">
      <c r="A2151" s="49" t="s">
        <v>2349</v>
      </c>
      <c r="B2151" s="49" t="s">
        <v>2350</v>
      </c>
      <c r="C2151" s="49" t="s">
        <v>5002</v>
      </c>
      <c r="D2151" s="49" t="s">
        <v>2352</v>
      </c>
      <c r="E2151" s="49" t="str">
        <f aca="false">"734730225548"</f>
        <v>734730225548</v>
      </c>
      <c r="F2151" s="49" t="s">
        <v>2434</v>
      </c>
      <c r="G2151" s="49" t="n">
        <v>0</v>
      </c>
      <c r="H2151" s="0" t="n">
        <v>0</v>
      </c>
      <c r="M2151" s="51" t="s">
        <v>4941</v>
      </c>
      <c r="N2151" s="49" t="n">
        <v>0</v>
      </c>
      <c r="O2151" s="53" t="n">
        <v>45708.5560185185</v>
      </c>
      <c r="P2151" s="53" t="n">
        <v>45728.908912037</v>
      </c>
      <c r="Q2151" s="53" t="n">
        <v>45708.5560185185</v>
      </c>
      <c r="R2151" s="0" t="n">
        <v>0</v>
      </c>
      <c r="S2151" s="51" t="s">
        <v>2371</v>
      </c>
      <c r="T2151" s="51" t="s">
        <v>2371</v>
      </c>
      <c r="U2151" s="0" t="str">
        <f aca="false">"734730225548"</f>
        <v>734730225548</v>
      </c>
      <c r="V2151" s="51" t="s">
        <v>2365</v>
      </c>
      <c r="W2151" s="51" t="s">
        <v>4334</v>
      </c>
      <c r="X2151" s="51" t="s">
        <v>2359</v>
      </c>
    </row>
    <row r="2152" customFormat="false" ht="14.25" hidden="true" customHeight="false" outlineLevel="0" collapsed="false">
      <c r="A2152" s="49" t="s">
        <v>2349</v>
      </c>
      <c r="B2152" s="49" t="s">
        <v>2350</v>
      </c>
      <c r="C2152" s="49" t="s">
        <v>5003</v>
      </c>
      <c r="D2152" s="49" t="s">
        <v>2352</v>
      </c>
      <c r="E2152" s="49" t="str">
        <f aca="false">"5060458890191"</f>
        <v>5060458890191</v>
      </c>
      <c r="F2152" s="49" t="s">
        <v>3656</v>
      </c>
      <c r="G2152" s="49" t="n">
        <v>0</v>
      </c>
      <c r="H2152" s="0" t="n">
        <v>0</v>
      </c>
      <c r="M2152" s="51" t="s">
        <v>5004</v>
      </c>
      <c r="N2152" s="49" t="n">
        <v>0</v>
      </c>
      <c r="O2152" s="53" t="n">
        <v>45713.3235300926</v>
      </c>
      <c r="P2152" s="53" t="n">
        <v>45739.030787037</v>
      </c>
      <c r="Q2152" s="53" t="n">
        <v>45713.3235300926</v>
      </c>
      <c r="R2152" s="0" t="n">
        <v>0</v>
      </c>
      <c r="S2152" s="51" t="s">
        <v>2371</v>
      </c>
      <c r="T2152" s="51" t="s">
        <v>2371</v>
      </c>
      <c r="U2152" s="0" t="str">
        <f aca="false">"5060458890191"</f>
        <v>5060458890191</v>
      </c>
      <c r="V2152" s="51" t="s">
        <v>2142</v>
      </c>
      <c r="W2152" s="51" t="s">
        <v>4387</v>
      </c>
      <c r="X2152" s="51" t="s">
        <v>2359</v>
      </c>
    </row>
    <row r="2153" customFormat="false" ht="14.25" hidden="true" customHeight="false" outlineLevel="0" collapsed="false">
      <c r="A2153" s="49" t="s">
        <v>2349</v>
      </c>
      <c r="B2153" s="49" t="s">
        <v>2350</v>
      </c>
      <c r="C2153" s="49" t="s">
        <v>5005</v>
      </c>
      <c r="D2153" s="49" t="s">
        <v>2352</v>
      </c>
      <c r="E2153" s="49" t="str">
        <f aca="false">"5060458890191"</f>
        <v>5060458890191</v>
      </c>
      <c r="F2153" s="49" t="s">
        <v>3656</v>
      </c>
      <c r="G2153" s="49" t="n">
        <v>0</v>
      </c>
      <c r="H2153" s="0" t="n">
        <v>0</v>
      </c>
      <c r="M2153" s="51" t="s">
        <v>5004</v>
      </c>
      <c r="N2153" s="49" t="n">
        <v>0</v>
      </c>
      <c r="O2153" s="53" t="n">
        <v>45713.3184606481</v>
      </c>
      <c r="P2153" s="53" t="n">
        <v>45722.8995717593</v>
      </c>
      <c r="Q2153" s="53" t="n">
        <v>45713.3184606481</v>
      </c>
      <c r="R2153" s="0" t="n">
        <v>0</v>
      </c>
      <c r="S2153" s="51" t="s">
        <v>2371</v>
      </c>
      <c r="T2153" s="51" t="s">
        <v>2371</v>
      </c>
      <c r="U2153" s="0" t="str">
        <f aca="false">"5060458890191"</f>
        <v>5060458890191</v>
      </c>
      <c r="V2153" s="51" t="s">
        <v>2142</v>
      </c>
      <c r="W2153" s="51" t="s">
        <v>5006</v>
      </c>
      <c r="X2153" s="51" t="s">
        <v>2359</v>
      </c>
    </row>
    <row r="2154" customFormat="false" ht="14.25" hidden="true" customHeight="false" outlineLevel="0" collapsed="false">
      <c r="A2154" s="49" t="s">
        <v>2349</v>
      </c>
      <c r="B2154" s="49" t="s">
        <v>2350</v>
      </c>
      <c r="C2154" s="49" t="s">
        <v>5007</v>
      </c>
      <c r="D2154" s="49" t="s">
        <v>2352</v>
      </c>
      <c r="E2154" s="49" t="str">
        <f aca="false">"5060458890191"</f>
        <v>5060458890191</v>
      </c>
      <c r="F2154" s="49" t="s">
        <v>3656</v>
      </c>
      <c r="G2154" s="49" t="n">
        <v>0</v>
      </c>
      <c r="H2154" s="0" t="n">
        <v>0</v>
      </c>
      <c r="M2154" s="51" t="s">
        <v>5004</v>
      </c>
      <c r="N2154" s="49" t="n">
        <v>0</v>
      </c>
      <c r="O2154" s="53" t="n">
        <v>45713.3183101852</v>
      </c>
      <c r="P2154" s="53" t="n">
        <v>45713.4565740741</v>
      </c>
      <c r="Q2154" s="53" t="n">
        <v>45713.3183101852</v>
      </c>
      <c r="R2154" s="0" t="n">
        <v>0</v>
      </c>
      <c r="S2154" s="51" t="s">
        <v>2371</v>
      </c>
      <c r="T2154" s="51" t="s">
        <v>2371</v>
      </c>
      <c r="U2154" s="0" t="str">
        <f aca="false">"5060458890191"</f>
        <v>5060458890191</v>
      </c>
      <c r="V2154" s="51" t="s">
        <v>2142</v>
      </c>
      <c r="W2154" s="51" t="s">
        <v>5008</v>
      </c>
      <c r="X2154" s="51" t="s">
        <v>2359</v>
      </c>
    </row>
    <row r="2155" customFormat="false" ht="14.25" hidden="true" customHeight="false" outlineLevel="0" collapsed="false">
      <c r="A2155" s="49" t="s">
        <v>2349</v>
      </c>
      <c r="B2155" s="49" t="s">
        <v>2350</v>
      </c>
      <c r="C2155" s="49" t="s">
        <v>5009</v>
      </c>
      <c r="D2155" s="49" t="s">
        <v>2352</v>
      </c>
      <c r="E2155" s="49" t="str">
        <f aca="false">"5060458890191"</f>
        <v>5060458890191</v>
      </c>
      <c r="F2155" s="49" t="s">
        <v>3656</v>
      </c>
      <c r="G2155" s="49" t="n">
        <v>0</v>
      </c>
      <c r="H2155" s="0" t="n">
        <v>0</v>
      </c>
      <c r="M2155" s="51" t="s">
        <v>5004</v>
      </c>
      <c r="N2155" s="49" t="n">
        <v>0</v>
      </c>
      <c r="O2155" s="53" t="n">
        <v>45713.3179050926</v>
      </c>
      <c r="P2155" s="53" t="n">
        <v>45739.0332407407</v>
      </c>
      <c r="Q2155" s="53" t="n">
        <v>45713.3179050926</v>
      </c>
      <c r="R2155" s="0" t="n">
        <v>0</v>
      </c>
      <c r="S2155" s="51" t="s">
        <v>2371</v>
      </c>
      <c r="T2155" s="51" t="s">
        <v>2371</v>
      </c>
      <c r="U2155" s="0" t="str">
        <f aca="false">"5060458890191"</f>
        <v>5060458890191</v>
      </c>
      <c r="V2155" s="51" t="s">
        <v>2142</v>
      </c>
      <c r="W2155" s="51" t="s">
        <v>5010</v>
      </c>
      <c r="X2155" s="51" t="s">
        <v>2359</v>
      </c>
    </row>
    <row r="2156" customFormat="false" ht="14.25" hidden="true" customHeight="false" outlineLevel="0" collapsed="false">
      <c r="A2156" s="49" t="s">
        <v>2349</v>
      </c>
      <c r="B2156" s="49" t="s">
        <v>2350</v>
      </c>
      <c r="C2156" s="49" t="s">
        <v>5011</v>
      </c>
      <c r="D2156" s="49" t="s">
        <v>2352</v>
      </c>
      <c r="E2156" s="49" t="str">
        <f aca="false">"5060458890191"</f>
        <v>5060458890191</v>
      </c>
      <c r="F2156" s="49" t="s">
        <v>3656</v>
      </c>
      <c r="G2156" s="49" t="n">
        <v>0</v>
      </c>
      <c r="H2156" s="0" t="n">
        <v>0</v>
      </c>
      <c r="M2156" s="51" t="s">
        <v>5004</v>
      </c>
      <c r="N2156" s="49" t="n">
        <v>0</v>
      </c>
      <c r="O2156" s="53" t="n">
        <v>45713.3176967593</v>
      </c>
      <c r="P2156" s="53" t="n">
        <v>45713.4519791667</v>
      </c>
      <c r="Q2156" s="53" t="n">
        <v>45713.3176967593</v>
      </c>
      <c r="R2156" s="0" t="n">
        <v>0</v>
      </c>
      <c r="S2156" s="51" t="s">
        <v>2371</v>
      </c>
      <c r="T2156" s="51" t="s">
        <v>2371</v>
      </c>
      <c r="U2156" s="0" t="str">
        <f aca="false">"5060458890191"</f>
        <v>5060458890191</v>
      </c>
      <c r="V2156" s="51" t="s">
        <v>2142</v>
      </c>
      <c r="W2156" s="51" t="s">
        <v>5012</v>
      </c>
      <c r="X2156" s="51" t="s">
        <v>2359</v>
      </c>
    </row>
    <row r="2157" customFormat="false" ht="14.25" hidden="true" customHeight="false" outlineLevel="0" collapsed="false">
      <c r="A2157" s="49" t="s">
        <v>2349</v>
      </c>
      <c r="B2157" s="49" t="s">
        <v>2350</v>
      </c>
      <c r="C2157" s="49" t="s">
        <v>5013</v>
      </c>
      <c r="D2157" s="49" t="s">
        <v>2352</v>
      </c>
      <c r="E2157" s="49" t="str">
        <f aca="false">"5060458890191"</f>
        <v>5060458890191</v>
      </c>
      <c r="F2157" s="49" t="s">
        <v>3656</v>
      </c>
      <c r="G2157" s="49" t="n">
        <v>0</v>
      </c>
      <c r="H2157" s="0" t="n">
        <v>0</v>
      </c>
      <c r="M2157" s="51" t="s">
        <v>5004</v>
      </c>
      <c r="N2157" s="49" t="n">
        <v>0</v>
      </c>
      <c r="O2157" s="53" t="n">
        <v>45713.3175231482</v>
      </c>
      <c r="P2157" s="53" t="n">
        <v>45713.4480671296</v>
      </c>
      <c r="Q2157" s="53" t="n">
        <v>45713.3175231482</v>
      </c>
      <c r="R2157" s="0" t="n">
        <v>0</v>
      </c>
      <c r="S2157" s="51" t="s">
        <v>2371</v>
      </c>
      <c r="T2157" s="51" t="s">
        <v>2371</v>
      </c>
      <c r="U2157" s="0" t="str">
        <f aca="false">"5060458890191"</f>
        <v>5060458890191</v>
      </c>
      <c r="V2157" s="51" t="s">
        <v>2142</v>
      </c>
      <c r="W2157" s="51" t="s">
        <v>4321</v>
      </c>
      <c r="X2157" s="51" t="s">
        <v>2359</v>
      </c>
    </row>
    <row r="2158" customFormat="false" ht="14.25" hidden="true" customHeight="false" outlineLevel="0" collapsed="false">
      <c r="A2158" s="49" t="s">
        <v>2349</v>
      </c>
      <c r="B2158" s="49" t="s">
        <v>2350</v>
      </c>
      <c r="C2158" s="49" t="s">
        <v>5014</v>
      </c>
      <c r="D2158" s="49" t="s">
        <v>2352</v>
      </c>
      <c r="E2158" s="49" t="str">
        <f aca="false">"5060458890191"</f>
        <v>5060458890191</v>
      </c>
      <c r="F2158" s="49" t="s">
        <v>3656</v>
      </c>
      <c r="G2158" s="49" t="n">
        <v>0</v>
      </c>
      <c r="H2158" s="0" t="n">
        <v>0</v>
      </c>
      <c r="M2158" s="51" t="s">
        <v>5004</v>
      </c>
      <c r="N2158" s="49" t="n">
        <v>0</v>
      </c>
      <c r="O2158" s="53" t="n">
        <v>45713.317337963</v>
      </c>
      <c r="P2158" s="53" t="n">
        <v>45713.4508101852</v>
      </c>
      <c r="Q2158" s="53" t="n">
        <v>45713.317337963</v>
      </c>
      <c r="R2158" s="0" t="n">
        <v>0</v>
      </c>
      <c r="S2158" s="51" t="s">
        <v>2371</v>
      </c>
      <c r="T2158" s="51" t="s">
        <v>2371</v>
      </c>
      <c r="U2158" s="0" t="str">
        <f aca="false">"5060458890191"</f>
        <v>5060458890191</v>
      </c>
      <c r="V2158" s="51" t="s">
        <v>2142</v>
      </c>
      <c r="W2158" s="51" t="s">
        <v>4323</v>
      </c>
      <c r="X2158" s="51" t="s">
        <v>2359</v>
      </c>
    </row>
    <row r="2159" customFormat="false" ht="14.25" hidden="true" customHeight="false" outlineLevel="0" collapsed="false">
      <c r="A2159" s="49" t="s">
        <v>2349</v>
      </c>
      <c r="B2159" s="49" t="s">
        <v>2350</v>
      </c>
      <c r="C2159" s="49" t="s">
        <v>5015</v>
      </c>
      <c r="D2159" s="49" t="s">
        <v>2352</v>
      </c>
      <c r="E2159" s="49" t="str">
        <f aca="false">"5060458890191"</f>
        <v>5060458890191</v>
      </c>
      <c r="F2159" s="49" t="s">
        <v>3656</v>
      </c>
      <c r="G2159" s="49" t="n">
        <v>0</v>
      </c>
      <c r="H2159" s="0" t="n">
        <v>0</v>
      </c>
      <c r="M2159" s="51" t="s">
        <v>5004</v>
      </c>
      <c r="N2159" s="49" t="n">
        <v>0</v>
      </c>
      <c r="O2159" s="53" t="n">
        <v>45713.3171875</v>
      </c>
      <c r="P2159" s="53" t="n">
        <v>45713.4442476852</v>
      </c>
      <c r="Q2159" s="53" t="n">
        <v>45713.3171875</v>
      </c>
      <c r="R2159" s="0" t="n">
        <v>0</v>
      </c>
      <c r="S2159" s="51" t="s">
        <v>2371</v>
      </c>
      <c r="T2159" s="51" t="s">
        <v>2371</v>
      </c>
      <c r="U2159" s="0" t="str">
        <f aca="false">"5060458890191"</f>
        <v>5060458890191</v>
      </c>
      <c r="V2159" s="51" t="s">
        <v>2142</v>
      </c>
      <c r="W2159" s="51" t="s">
        <v>4319</v>
      </c>
      <c r="X2159" s="51" t="s">
        <v>2359</v>
      </c>
    </row>
    <row r="2160" customFormat="false" ht="14.25" hidden="true" customHeight="false" outlineLevel="0" collapsed="false">
      <c r="A2160" s="49" t="s">
        <v>2349</v>
      </c>
      <c r="B2160" s="49" t="s">
        <v>2350</v>
      </c>
      <c r="C2160" s="49" t="s">
        <v>5016</v>
      </c>
      <c r="D2160" s="49" t="s">
        <v>2352</v>
      </c>
      <c r="E2160" s="49" t="str">
        <f aca="false">"5060458890191"</f>
        <v>5060458890191</v>
      </c>
      <c r="F2160" s="49" t="s">
        <v>3656</v>
      </c>
      <c r="G2160" s="49" t="n">
        <v>0</v>
      </c>
      <c r="H2160" s="0" t="n">
        <v>0</v>
      </c>
      <c r="M2160" s="51" t="s">
        <v>5004</v>
      </c>
      <c r="N2160" s="49" t="n">
        <v>0</v>
      </c>
      <c r="O2160" s="53" t="n">
        <v>45713.3169907407</v>
      </c>
      <c r="P2160" s="53" t="n">
        <v>45713.4554398148</v>
      </c>
      <c r="Q2160" s="53" t="n">
        <v>45713.3169907407</v>
      </c>
      <c r="R2160" s="0" t="n">
        <v>0</v>
      </c>
      <c r="S2160" s="51" t="s">
        <v>2371</v>
      </c>
      <c r="T2160" s="51" t="s">
        <v>2371</v>
      </c>
      <c r="U2160" s="0" t="str">
        <f aca="false">"5060458890191"</f>
        <v>5060458890191</v>
      </c>
      <c r="V2160" s="51" t="s">
        <v>2142</v>
      </c>
      <c r="W2160" s="51" t="s">
        <v>4317</v>
      </c>
      <c r="X2160" s="51" t="s">
        <v>2359</v>
      </c>
    </row>
    <row r="2161" customFormat="false" ht="14.25" hidden="true" customHeight="false" outlineLevel="0" collapsed="false">
      <c r="A2161" s="49" t="s">
        <v>2349</v>
      </c>
      <c r="B2161" s="49" t="s">
        <v>2350</v>
      </c>
      <c r="C2161" s="49" t="s">
        <v>5017</v>
      </c>
      <c r="D2161" s="49" t="s">
        <v>2352</v>
      </c>
      <c r="E2161" s="49" t="str">
        <f aca="false">"5060458890191"</f>
        <v>5060458890191</v>
      </c>
      <c r="F2161" s="49" t="s">
        <v>3656</v>
      </c>
      <c r="G2161" s="49" t="n">
        <v>0</v>
      </c>
      <c r="H2161" s="0" t="n">
        <v>0</v>
      </c>
      <c r="M2161" s="51" t="s">
        <v>5004</v>
      </c>
      <c r="N2161" s="49" t="n">
        <v>0</v>
      </c>
      <c r="O2161" s="53" t="n">
        <v>45713.3168518519</v>
      </c>
      <c r="P2161" s="53" t="n">
        <v>45713.449224537</v>
      </c>
      <c r="Q2161" s="53" t="n">
        <v>45713.3168518519</v>
      </c>
      <c r="R2161" s="0" t="n">
        <v>0</v>
      </c>
      <c r="S2161" s="51" t="s">
        <v>2371</v>
      </c>
      <c r="T2161" s="51" t="s">
        <v>2371</v>
      </c>
      <c r="U2161" s="0" t="str">
        <f aca="false">"5060458890191"</f>
        <v>5060458890191</v>
      </c>
      <c r="V2161" s="51" t="s">
        <v>2142</v>
      </c>
      <c r="W2161" s="51" t="s">
        <v>4315</v>
      </c>
      <c r="X2161" s="51" t="s">
        <v>2359</v>
      </c>
    </row>
    <row r="2162" customFormat="false" ht="14.25" hidden="true" customHeight="false" outlineLevel="0" collapsed="false">
      <c r="A2162" s="49" t="s">
        <v>2349</v>
      </c>
      <c r="B2162" s="49" t="s">
        <v>2350</v>
      </c>
      <c r="C2162" s="49" t="s">
        <v>5018</v>
      </c>
      <c r="D2162" s="49" t="s">
        <v>2352</v>
      </c>
      <c r="E2162" s="49" t="str">
        <f aca="false">"5060458890191"</f>
        <v>5060458890191</v>
      </c>
      <c r="F2162" s="49" t="s">
        <v>3656</v>
      </c>
      <c r="G2162" s="49" t="n">
        <v>0</v>
      </c>
      <c r="H2162" s="0" t="n">
        <v>0</v>
      </c>
      <c r="M2162" s="51" t="s">
        <v>5004</v>
      </c>
      <c r="N2162" s="49" t="n">
        <v>0</v>
      </c>
      <c r="O2162" s="53" t="n">
        <v>45713.3166898148</v>
      </c>
      <c r="P2162" s="53" t="n">
        <v>45713.453287037</v>
      </c>
      <c r="Q2162" s="53" t="n">
        <v>45713.3166898148</v>
      </c>
      <c r="R2162" s="0" t="n">
        <v>0</v>
      </c>
      <c r="S2162" s="51" t="s">
        <v>2371</v>
      </c>
      <c r="T2162" s="51" t="s">
        <v>2371</v>
      </c>
      <c r="U2162" s="0" t="str">
        <f aca="false">"5060458890191"</f>
        <v>5060458890191</v>
      </c>
      <c r="V2162" s="51" t="s">
        <v>2142</v>
      </c>
      <c r="W2162" s="51" t="s">
        <v>4311</v>
      </c>
      <c r="X2162" s="51" t="s">
        <v>2359</v>
      </c>
    </row>
    <row r="2163" customFormat="false" ht="14.25" hidden="true" customHeight="false" outlineLevel="0" collapsed="false">
      <c r="A2163" s="49" t="s">
        <v>2349</v>
      </c>
      <c r="B2163" s="49" t="s">
        <v>2350</v>
      </c>
      <c r="C2163" s="49" t="s">
        <v>5019</v>
      </c>
      <c r="D2163" s="49" t="s">
        <v>2352</v>
      </c>
      <c r="E2163" s="49" t="str">
        <f aca="false">"5060458890191"</f>
        <v>5060458890191</v>
      </c>
      <c r="F2163" s="49" t="s">
        <v>3656</v>
      </c>
      <c r="G2163" s="49" t="n">
        <v>0</v>
      </c>
      <c r="H2163" s="0" t="n">
        <v>0</v>
      </c>
      <c r="M2163" s="51" t="s">
        <v>5004</v>
      </c>
      <c r="N2163" s="49" t="n">
        <v>0</v>
      </c>
      <c r="O2163" s="53" t="n">
        <v>45713.3164699074</v>
      </c>
      <c r="P2163" s="53" t="n">
        <v>45713.4544560185</v>
      </c>
      <c r="Q2163" s="53" t="n">
        <v>45713.3164699074</v>
      </c>
      <c r="R2163" s="0" t="n">
        <v>0</v>
      </c>
      <c r="S2163" s="51" t="s">
        <v>2371</v>
      </c>
      <c r="T2163" s="51" t="s">
        <v>2371</v>
      </c>
      <c r="U2163" s="0" t="str">
        <f aca="false">"5060458890191"</f>
        <v>5060458890191</v>
      </c>
      <c r="V2163" s="51" t="s">
        <v>2142</v>
      </c>
      <c r="W2163" s="51" t="s">
        <v>4309</v>
      </c>
      <c r="X2163" s="51" t="s">
        <v>2359</v>
      </c>
    </row>
    <row r="2164" customFormat="false" ht="14.25" hidden="true" customHeight="false" outlineLevel="0" collapsed="false">
      <c r="A2164" s="49" t="s">
        <v>2349</v>
      </c>
      <c r="B2164" s="49" t="s">
        <v>2350</v>
      </c>
      <c r="C2164" s="49" t="s">
        <v>5020</v>
      </c>
      <c r="D2164" s="49" t="s">
        <v>2352</v>
      </c>
      <c r="E2164" s="49" t="str">
        <f aca="false">"5060458890191"</f>
        <v>5060458890191</v>
      </c>
      <c r="F2164" s="49" t="s">
        <v>3656</v>
      </c>
      <c r="G2164" s="49" t="n">
        <v>0</v>
      </c>
      <c r="H2164" s="0" t="n">
        <v>0</v>
      </c>
      <c r="M2164" s="51" t="s">
        <v>5004</v>
      </c>
      <c r="N2164" s="49" t="n">
        <v>0</v>
      </c>
      <c r="O2164" s="53" t="n">
        <v>45713.3163194444</v>
      </c>
      <c r="P2164" s="53" t="n">
        <v>45713.4631481482</v>
      </c>
      <c r="Q2164" s="53" t="n">
        <v>45713.3163194444</v>
      </c>
      <c r="R2164" s="0" t="n">
        <v>0</v>
      </c>
      <c r="S2164" s="51" t="s">
        <v>2371</v>
      </c>
      <c r="T2164" s="51" t="s">
        <v>2371</v>
      </c>
      <c r="U2164" s="0" t="str">
        <f aca="false">"5060458890191"</f>
        <v>5060458890191</v>
      </c>
      <c r="V2164" s="51" t="s">
        <v>2142</v>
      </c>
      <c r="W2164" s="51" t="s">
        <v>4307</v>
      </c>
      <c r="X2164" s="51" t="s">
        <v>2359</v>
      </c>
    </row>
    <row r="2165" customFormat="false" ht="14.25" hidden="true" customHeight="false" outlineLevel="0" collapsed="false">
      <c r="A2165" s="49" t="s">
        <v>2349</v>
      </c>
      <c r="B2165" s="49" t="s">
        <v>2350</v>
      </c>
      <c r="C2165" s="49" t="s">
        <v>5021</v>
      </c>
      <c r="D2165" s="49" t="s">
        <v>2352</v>
      </c>
      <c r="E2165" s="49" t="str">
        <f aca="false">"5060458890191"</f>
        <v>5060458890191</v>
      </c>
      <c r="F2165" s="49" t="s">
        <v>3656</v>
      </c>
      <c r="G2165" s="49" t="n">
        <v>0</v>
      </c>
      <c r="H2165" s="0" t="n">
        <v>0</v>
      </c>
      <c r="M2165" s="51" t="s">
        <v>5004</v>
      </c>
      <c r="N2165" s="49" t="n">
        <v>0</v>
      </c>
      <c r="O2165" s="53" t="n">
        <v>45713.3161689815</v>
      </c>
      <c r="P2165" s="53" t="n">
        <v>45742.4889467593</v>
      </c>
      <c r="Q2165" s="53" t="n">
        <v>45713.3161689815</v>
      </c>
      <c r="R2165" s="0" t="n">
        <v>0</v>
      </c>
      <c r="S2165" s="51" t="s">
        <v>2371</v>
      </c>
      <c r="T2165" s="51" t="s">
        <v>2371</v>
      </c>
      <c r="U2165" s="0" t="str">
        <f aca="false">"5060458890191"</f>
        <v>5060458890191</v>
      </c>
      <c r="V2165" s="51" t="s">
        <v>2142</v>
      </c>
      <c r="W2165" s="51" t="s">
        <v>4305</v>
      </c>
      <c r="X2165" s="51" t="s">
        <v>2359</v>
      </c>
    </row>
    <row r="2166" customFormat="false" ht="14.25" hidden="true" customHeight="false" outlineLevel="0" collapsed="false">
      <c r="A2166" s="49" t="s">
        <v>2349</v>
      </c>
      <c r="B2166" s="49" t="s">
        <v>2350</v>
      </c>
      <c r="C2166" s="49" t="s">
        <v>5022</v>
      </c>
      <c r="D2166" s="49" t="s">
        <v>2352</v>
      </c>
      <c r="E2166" s="49" t="str">
        <f aca="false">"5060458890191"</f>
        <v>5060458890191</v>
      </c>
      <c r="F2166" s="49" t="s">
        <v>3656</v>
      </c>
      <c r="G2166" s="49" t="n">
        <v>0</v>
      </c>
      <c r="H2166" s="0" t="n">
        <v>0</v>
      </c>
      <c r="M2166" s="51" t="s">
        <v>5004</v>
      </c>
      <c r="N2166" s="49" t="n">
        <v>0</v>
      </c>
      <c r="O2166" s="53" t="n">
        <v>45713.3160648148</v>
      </c>
      <c r="P2166" s="53" t="n">
        <v>45721.5</v>
      </c>
      <c r="Q2166" s="53" t="n">
        <v>45713.3160648148</v>
      </c>
      <c r="R2166" s="0" t="n">
        <v>0</v>
      </c>
      <c r="S2166" s="51" t="s">
        <v>2371</v>
      </c>
      <c r="T2166" s="51" t="s">
        <v>2371</v>
      </c>
      <c r="U2166" s="0" t="str">
        <f aca="false">"5060458890191"</f>
        <v>5060458890191</v>
      </c>
      <c r="V2166" s="51" t="s">
        <v>2142</v>
      </c>
      <c r="W2166" s="51" t="s">
        <v>4303</v>
      </c>
      <c r="X2166" s="51" t="s">
        <v>2359</v>
      </c>
    </row>
    <row r="2167" customFormat="false" ht="14.25" hidden="true" customHeight="false" outlineLevel="0" collapsed="false">
      <c r="A2167" s="49" t="s">
        <v>2349</v>
      </c>
      <c r="B2167" s="49" t="s">
        <v>2350</v>
      </c>
      <c r="C2167" s="49" t="s">
        <v>5023</v>
      </c>
      <c r="D2167" s="49" t="s">
        <v>2352</v>
      </c>
      <c r="E2167" s="49" t="str">
        <f aca="false">"5060458890191"</f>
        <v>5060458890191</v>
      </c>
      <c r="F2167" s="49" t="s">
        <v>3656</v>
      </c>
      <c r="G2167" s="49" t="n">
        <v>0</v>
      </c>
      <c r="H2167" s="0" t="n">
        <v>0</v>
      </c>
      <c r="M2167" s="51" t="s">
        <v>5004</v>
      </c>
      <c r="N2167" s="49" t="n">
        <v>0</v>
      </c>
      <c r="O2167" s="53" t="n">
        <v>45713.3158796296</v>
      </c>
      <c r="P2167" s="53" t="n">
        <v>45713.4603356481</v>
      </c>
      <c r="Q2167" s="53" t="n">
        <v>45713.3158796296</v>
      </c>
      <c r="R2167" s="0" t="n">
        <v>0</v>
      </c>
      <c r="S2167" s="51" t="s">
        <v>2371</v>
      </c>
      <c r="T2167" s="51" t="s">
        <v>2371</v>
      </c>
      <c r="U2167" s="0" t="str">
        <f aca="false">"5060458890191"</f>
        <v>5060458890191</v>
      </c>
      <c r="V2167" s="51" t="s">
        <v>2142</v>
      </c>
      <c r="W2167" s="51" t="s">
        <v>4301</v>
      </c>
      <c r="X2167" s="51" t="s">
        <v>2359</v>
      </c>
    </row>
    <row r="2168" customFormat="false" ht="14.25" hidden="true" customHeight="false" outlineLevel="0" collapsed="false">
      <c r="A2168" s="49" t="s">
        <v>2349</v>
      </c>
      <c r="B2168" s="49" t="s">
        <v>2350</v>
      </c>
      <c r="C2168" s="49" t="s">
        <v>5024</v>
      </c>
      <c r="D2168" s="49" t="s">
        <v>2352</v>
      </c>
      <c r="E2168" s="49" t="str">
        <f aca="false">"5060458890191"</f>
        <v>5060458890191</v>
      </c>
      <c r="F2168" s="49" t="s">
        <v>3656</v>
      </c>
      <c r="G2168" s="49" t="n">
        <v>0</v>
      </c>
      <c r="H2168" s="0" t="n">
        <v>0</v>
      </c>
      <c r="M2168" s="51" t="s">
        <v>5004</v>
      </c>
      <c r="N2168" s="49" t="n">
        <v>0</v>
      </c>
      <c r="O2168" s="53" t="n">
        <v>45713.3157638889</v>
      </c>
      <c r="P2168" s="53" t="n">
        <v>45742.4850810185</v>
      </c>
      <c r="Q2168" s="53" t="n">
        <v>45713.3157638889</v>
      </c>
      <c r="R2168" s="0" t="n">
        <v>0</v>
      </c>
      <c r="S2168" s="51" t="s">
        <v>2371</v>
      </c>
      <c r="T2168" s="51" t="s">
        <v>2371</v>
      </c>
      <c r="U2168" s="0" t="str">
        <f aca="false">"5060458890191"</f>
        <v>5060458890191</v>
      </c>
      <c r="V2168" s="51" t="s">
        <v>2142</v>
      </c>
      <c r="W2168" s="51" t="s">
        <v>5025</v>
      </c>
      <c r="X2168" s="51" t="s">
        <v>2359</v>
      </c>
    </row>
    <row r="2169" customFormat="false" ht="14.25" hidden="true" customHeight="false" outlineLevel="0" collapsed="false">
      <c r="A2169" s="49" t="s">
        <v>2349</v>
      </c>
      <c r="B2169" s="49" t="s">
        <v>2350</v>
      </c>
      <c r="C2169" s="49" t="s">
        <v>5026</v>
      </c>
      <c r="D2169" s="49" t="s">
        <v>2352</v>
      </c>
      <c r="E2169" s="49" t="str">
        <f aca="false">"5060458890191"</f>
        <v>5060458890191</v>
      </c>
      <c r="F2169" s="49" t="s">
        <v>3656</v>
      </c>
      <c r="G2169" s="49" t="n">
        <v>0</v>
      </c>
      <c r="H2169" s="0" t="n">
        <v>0</v>
      </c>
      <c r="M2169" s="51" t="s">
        <v>5004</v>
      </c>
      <c r="N2169" s="49" t="n">
        <v>0</v>
      </c>
      <c r="O2169" s="53" t="n">
        <v>45713.3143634259</v>
      </c>
      <c r="P2169" s="53" t="n">
        <v>45742.9590625</v>
      </c>
      <c r="Q2169" s="53" t="n">
        <v>45713.3143634259</v>
      </c>
      <c r="R2169" s="0" t="n">
        <v>0</v>
      </c>
      <c r="S2169" s="51" t="s">
        <v>2371</v>
      </c>
      <c r="T2169" s="51" t="s">
        <v>2371</v>
      </c>
      <c r="U2169" s="0" t="str">
        <f aca="false">"5060458890191"</f>
        <v>5060458890191</v>
      </c>
      <c r="V2169" s="51" t="s">
        <v>2142</v>
      </c>
      <c r="W2169" s="51" t="s">
        <v>4181</v>
      </c>
      <c r="X2169" s="51" t="s">
        <v>2359</v>
      </c>
    </row>
    <row r="2170" customFormat="false" ht="14.25" hidden="true" customHeight="false" outlineLevel="0" collapsed="false">
      <c r="A2170" s="49" t="s">
        <v>2349</v>
      </c>
      <c r="B2170" s="49" t="s">
        <v>2350</v>
      </c>
      <c r="C2170" s="49" t="s">
        <v>5027</v>
      </c>
      <c r="D2170" s="49" t="s">
        <v>2352</v>
      </c>
      <c r="E2170" s="49" t="str">
        <f aca="false">"5060458890191"</f>
        <v>5060458890191</v>
      </c>
      <c r="F2170" s="49" t="s">
        <v>3656</v>
      </c>
      <c r="G2170" s="49" t="n">
        <v>0</v>
      </c>
      <c r="H2170" s="0" t="n">
        <v>0</v>
      </c>
      <c r="M2170" s="51" t="s">
        <v>5004</v>
      </c>
      <c r="N2170" s="49" t="n">
        <v>0</v>
      </c>
      <c r="O2170" s="53" t="n">
        <v>45713.313900463</v>
      </c>
      <c r="P2170" s="53" t="n">
        <v>45720.4615162037</v>
      </c>
      <c r="Q2170" s="53" t="n">
        <v>45713.313900463</v>
      </c>
      <c r="R2170" s="0" t="n">
        <v>0</v>
      </c>
      <c r="S2170" s="51" t="s">
        <v>2371</v>
      </c>
      <c r="T2170" s="51" t="s">
        <v>2371</v>
      </c>
      <c r="U2170" s="0" t="str">
        <f aca="false">"5060458890191"</f>
        <v>5060458890191</v>
      </c>
      <c r="V2170" s="51" t="s">
        <v>2142</v>
      </c>
      <c r="W2170" s="51" t="s">
        <v>5028</v>
      </c>
      <c r="X2170" s="51" t="s">
        <v>2359</v>
      </c>
    </row>
    <row r="2171" customFormat="false" ht="14.25" hidden="true" customHeight="false" outlineLevel="0" collapsed="false">
      <c r="A2171" s="49" t="s">
        <v>2349</v>
      </c>
      <c r="B2171" s="49" t="s">
        <v>2350</v>
      </c>
      <c r="C2171" s="49" t="s">
        <v>5029</v>
      </c>
      <c r="D2171" s="49" t="s">
        <v>2352</v>
      </c>
      <c r="E2171" s="49" t="str">
        <f aca="false">"5060458890191"</f>
        <v>5060458890191</v>
      </c>
      <c r="F2171" s="49" t="s">
        <v>3656</v>
      </c>
      <c r="G2171" s="49" t="n">
        <v>0</v>
      </c>
      <c r="H2171" s="0" t="n">
        <v>0</v>
      </c>
      <c r="M2171" s="51" t="s">
        <v>5004</v>
      </c>
      <c r="N2171" s="49" t="n">
        <v>0</v>
      </c>
      <c r="O2171" s="53" t="n">
        <v>45713.3137615741</v>
      </c>
      <c r="P2171" s="53" t="n">
        <v>45713.4409606482</v>
      </c>
      <c r="Q2171" s="53" t="n">
        <v>45713.3137615741</v>
      </c>
      <c r="R2171" s="0" t="n">
        <v>0</v>
      </c>
      <c r="S2171" s="51" t="s">
        <v>2371</v>
      </c>
      <c r="T2171" s="51" t="s">
        <v>2371</v>
      </c>
      <c r="U2171" s="0" t="str">
        <f aca="false">"5060458890191"</f>
        <v>5060458890191</v>
      </c>
      <c r="V2171" s="51" t="s">
        <v>2142</v>
      </c>
      <c r="W2171" s="51" t="s">
        <v>4618</v>
      </c>
      <c r="X2171" s="51" t="s">
        <v>2359</v>
      </c>
    </row>
    <row r="2172" customFormat="false" ht="14.25" hidden="true" customHeight="false" outlineLevel="0" collapsed="false">
      <c r="A2172" s="49" t="s">
        <v>2349</v>
      </c>
      <c r="B2172" s="49" t="s">
        <v>2350</v>
      </c>
      <c r="C2172" s="49" t="s">
        <v>5030</v>
      </c>
      <c r="D2172" s="49" t="s">
        <v>2352</v>
      </c>
      <c r="E2172" s="49" t="str">
        <f aca="false">"5060458890191"</f>
        <v>5060458890191</v>
      </c>
      <c r="F2172" s="49" t="s">
        <v>3656</v>
      </c>
      <c r="G2172" s="49" t="n">
        <v>0</v>
      </c>
      <c r="H2172" s="0" t="n">
        <v>0</v>
      </c>
      <c r="M2172" s="51" t="s">
        <v>5004</v>
      </c>
      <c r="N2172" s="49" t="n">
        <v>0</v>
      </c>
      <c r="O2172" s="53" t="n">
        <v>45713.3134606482</v>
      </c>
      <c r="P2172" s="53" t="n">
        <v>45719.3912152778</v>
      </c>
      <c r="Q2172" s="53" t="n">
        <v>45713.3134606482</v>
      </c>
      <c r="R2172" s="0" t="n">
        <v>0</v>
      </c>
      <c r="S2172" s="51" t="s">
        <v>2371</v>
      </c>
      <c r="T2172" s="51" t="s">
        <v>2371</v>
      </c>
      <c r="U2172" s="0" t="str">
        <f aca="false">"5060458890191"</f>
        <v>5060458890191</v>
      </c>
      <c r="V2172" s="51" t="s">
        <v>2142</v>
      </c>
      <c r="W2172" s="51" t="s">
        <v>5031</v>
      </c>
      <c r="X2172" s="51" t="s">
        <v>2359</v>
      </c>
    </row>
    <row r="2173" customFormat="false" ht="14.25" hidden="true" customHeight="false" outlineLevel="0" collapsed="false">
      <c r="A2173" s="49" t="s">
        <v>2349</v>
      </c>
      <c r="B2173" s="49" t="s">
        <v>2350</v>
      </c>
      <c r="C2173" s="49" t="s">
        <v>5032</v>
      </c>
      <c r="D2173" s="49" t="s">
        <v>2352</v>
      </c>
      <c r="E2173" s="49" t="str">
        <f aca="false">"5060458890191"</f>
        <v>5060458890191</v>
      </c>
      <c r="F2173" s="49" t="s">
        <v>3656</v>
      </c>
      <c r="G2173" s="49" t="n">
        <v>0</v>
      </c>
      <c r="H2173" s="0" t="n">
        <v>0</v>
      </c>
      <c r="M2173" s="51" t="s">
        <v>5004</v>
      </c>
      <c r="N2173" s="49" t="n">
        <v>0</v>
      </c>
      <c r="O2173" s="53" t="n">
        <v>45713.3132175926</v>
      </c>
      <c r="P2173" s="53" t="n">
        <v>45713.4420601852</v>
      </c>
      <c r="Q2173" s="53" t="n">
        <v>45713.3132175926</v>
      </c>
      <c r="R2173" s="0" t="n">
        <v>0</v>
      </c>
      <c r="S2173" s="51" t="s">
        <v>2371</v>
      </c>
      <c r="T2173" s="51" t="s">
        <v>2371</v>
      </c>
      <c r="U2173" s="0" t="str">
        <f aca="false">"5060458890191"</f>
        <v>5060458890191</v>
      </c>
      <c r="V2173" s="51" t="s">
        <v>2142</v>
      </c>
      <c r="W2173" s="51" t="s">
        <v>5033</v>
      </c>
      <c r="X2173" s="51" t="s">
        <v>2359</v>
      </c>
    </row>
    <row r="2174" customFormat="false" ht="14.25" hidden="true" customHeight="false" outlineLevel="0" collapsed="false">
      <c r="A2174" s="49" t="s">
        <v>2349</v>
      </c>
      <c r="B2174" s="49" t="s">
        <v>2350</v>
      </c>
      <c r="C2174" s="49" t="s">
        <v>5034</v>
      </c>
      <c r="D2174" s="49" t="s">
        <v>2352</v>
      </c>
      <c r="E2174" s="49" t="str">
        <f aca="false">"5060458890191"</f>
        <v>5060458890191</v>
      </c>
      <c r="F2174" s="49" t="s">
        <v>3656</v>
      </c>
      <c r="G2174" s="49" t="n">
        <v>0</v>
      </c>
      <c r="H2174" s="0" t="n">
        <v>0</v>
      </c>
      <c r="M2174" s="51" t="s">
        <v>5004</v>
      </c>
      <c r="N2174" s="49" t="n">
        <v>0</v>
      </c>
      <c r="O2174" s="53" t="n">
        <v>45713.3150231482</v>
      </c>
      <c r="P2174" s="53" t="n">
        <v>45713.458287037</v>
      </c>
      <c r="Q2174" s="53" t="n">
        <v>45713.3150231482</v>
      </c>
      <c r="R2174" s="0" t="n">
        <v>0</v>
      </c>
      <c r="S2174" s="51" t="s">
        <v>2371</v>
      </c>
      <c r="T2174" s="51" t="s">
        <v>2371</v>
      </c>
      <c r="U2174" s="0" t="str">
        <f aca="false">"5060458890191"</f>
        <v>5060458890191</v>
      </c>
      <c r="V2174" s="51" t="s">
        <v>2142</v>
      </c>
      <c r="W2174" s="51" t="s">
        <v>4389</v>
      </c>
      <c r="X2174" s="51" t="s">
        <v>2359</v>
      </c>
    </row>
    <row r="2175" customFormat="false" ht="14.25" hidden="true" customHeight="false" outlineLevel="0" collapsed="false">
      <c r="A2175" s="49" t="s">
        <v>2349</v>
      </c>
      <c r="B2175" s="49" t="s">
        <v>2350</v>
      </c>
      <c r="C2175" s="49" t="s">
        <v>5035</v>
      </c>
      <c r="D2175" s="49" t="s">
        <v>2352</v>
      </c>
      <c r="E2175" s="49" t="str">
        <f aca="false">"5060458890191"</f>
        <v>5060458890191</v>
      </c>
      <c r="F2175" s="49" t="s">
        <v>3656</v>
      </c>
      <c r="G2175" s="49" t="n">
        <v>0</v>
      </c>
      <c r="H2175" s="0" t="n">
        <v>0</v>
      </c>
      <c r="M2175" s="51" t="s">
        <v>5004</v>
      </c>
      <c r="N2175" s="49" t="n">
        <v>0</v>
      </c>
      <c r="O2175" s="53" t="n">
        <v>45713.3153240741</v>
      </c>
      <c r="P2175" s="53" t="n">
        <v>45713.4591319444</v>
      </c>
      <c r="Q2175" s="53" t="n">
        <v>45713.3153240741</v>
      </c>
      <c r="R2175" s="0" t="n">
        <v>0</v>
      </c>
      <c r="S2175" s="51" t="s">
        <v>2371</v>
      </c>
      <c r="T2175" s="51" t="s">
        <v>2371</v>
      </c>
      <c r="U2175" s="0" t="str">
        <f aca="false">"5060458890191"</f>
        <v>5060458890191</v>
      </c>
      <c r="V2175" s="51" t="s">
        <v>2142</v>
      </c>
      <c r="W2175" s="51" t="s">
        <v>4383</v>
      </c>
      <c r="X2175" s="51" t="s">
        <v>2359</v>
      </c>
    </row>
    <row r="2176" customFormat="false" ht="14.25" hidden="true" customHeight="false" outlineLevel="0" collapsed="false">
      <c r="A2176" s="49" t="s">
        <v>2349</v>
      </c>
      <c r="B2176" s="49" t="s">
        <v>2350</v>
      </c>
      <c r="C2176" s="49" t="s">
        <v>5036</v>
      </c>
      <c r="D2176" s="49" t="s">
        <v>2352</v>
      </c>
      <c r="E2176" s="49" t="str">
        <f aca="false">"5060458890191"</f>
        <v>5060458890191</v>
      </c>
      <c r="F2176" s="49" t="s">
        <v>3656</v>
      </c>
      <c r="G2176" s="49" t="n">
        <v>0</v>
      </c>
      <c r="H2176" s="0" t="n">
        <v>0</v>
      </c>
      <c r="M2176" s="51" t="s">
        <v>5004</v>
      </c>
      <c r="N2176" s="49" t="n">
        <v>0</v>
      </c>
      <c r="O2176" s="53" t="n">
        <v>45713.3154976852</v>
      </c>
      <c r="P2176" s="53" t="n">
        <v>45713.4613310185</v>
      </c>
      <c r="Q2176" s="53" t="n">
        <v>45713.3154976852</v>
      </c>
      <c r="R2176" s="0" t="n">
        <v>0</v>
      </c>
      <c r="S2176" s="51" t="s">
        <v>2371</v>
      </c>
      <c r="T2176" s="51" t="s">
        <v>2371</v>
      </c>
      <c r="U2176" s="0" t="str">
        <f aca="false">"5060458890191"</f>
        <v>5060458890191</v>
      </c>
      <c r="V2176" s="51" t="s">
        <v>2142</v>
      </c>
      <c r="W2176" s="51" t="s">
        <v>4313</v>
      </c>
      <c r="X2176" s="51" t="s">
        <v>2359</v>
      </c>
    </row>
    <row r="2177" customFormat="false" ht="14.25" hidden="true" customHeight="false" outlineLevel="0" collapsed="false">
      <c r="A2177" s="49" t="s">
        <v>2349</v>
      </c>
      <c r="B2177" s="49" t="s">
        <v>2350</v>
      </c>
      <c r="C2177" s="49" t="s">
        <v>5037</v>
      </c>
      <c r="D2177" s="49" t="s">
        <v>2352</v>
      </c>
      <c r="E2177" s="49" t="str">
        <f aca="false">"5060458890191"</f>
        <v>5060458890191</v>
      </c>
      <c r="F2177" s="49" t="s">
        <v>3656</v>
      </c>
      <c r="G2177" s="49" t="n">
        <v>0</v>
      </c>
      <c r="H2177" s="0" t="n">
        <v>0</v>
      </c>
      <c r="M2177" s="51" t="s">
        <v>5004</v>
      </c>
      <c r="N2177" s="49" t="n">
        <v>0</v>
      </c>
      <c r="O2177" s="53" t="n">
        <v>45713.315625</v>
      </c>
      <c r="P2177" s="53" t="n">
        <v>45713.4622453704</v>
      </c>
      <c r="Q2177" s="53" t="n">
        <v>45713.315625</v>
      </c>
      <c r="R2177" s="0" t="n">
        <v>0</v>
      </c>
      <c r="S2177" s="51" t="s">
        <v>2371</v>
      </c>
      <c r="T2177" s="51" t="s">
        <v>2371</v>
      </c>
      <c r="U2177" s="0" t="str">
        <f aca="false">"5060458890191"</f>
        <v>5060458890191</v>
      </c>
      <c r="V2177" s="51" t="s">
        <v>2142</v>
      </c>
      <c r="W2177" s="51" t="s">
        <v>5038</v>
      </c>
      <c r="X2177" s="51" t="s">
        <v>2359</v>
      </c>
    </row>
    <row r="2178" customFormat="false" ht="14.25" hidden="true" customHeight="false" outlineLevel="0" collapsed="false">
      <c r="A2178" s="49" t="s">
        <v>2349</v>
      </c>
      <c r="B2178" s="49" t="s">
        <v>2350</v>
      </c>
      <c r="C2178" s="49" t="s">
        <v>5039</v>
      </c>
      <c r="D2178" s="49" t="s">
        <v>2352</v>
      </c>
      <c r="E2178" s="49" t="str">
        <f aca="false">"5060458890191"</f>
        <v>5060458890191</v>
      </c>
      <c r="F2178" s="49" t="s">
        <v>3656</v>
      </c>
      <c r="G2178" s="49" t="n">
        <v>0</v>
      </c>
      <c r="H2178" s="0" t="n">
        <v>0</v>
      </c>
      <c r="M2178" s="51" t="s">
        <v>5004</v>
      </c>
      <c r="N2178" s="49" t="n">
        <v>0</v>
      </c>
      <c r="O2178" s="53" t="n">
        <v>45713.3128472222</v>
      </c>
      <c r="P2178" s="53" t="n">
        <v>45713.4464351852</v>
      </c>
      <c r="Q2178" s="53" t="n">
        <v>45713.3128472222</v>
      </c>
      <c r="R2178" s="0" t="n">
        <v>0</v>
      </c>
      <c r="S2178" s="51" t="s">
        <v>2371</v>
      </c>
      <c r="T2178" s="51" t="s">
        <v>2371</v>
      </c>
      <c r="U2178" s="0" t="str">
        <f aca="false">"5060458890191"</f>
        <v>5060458890191</v>
      </c>
      <c r="V2178" s="51" t="s">
        <v>2142</v>
      </c>
      <c r="W2178" s="51" t="s">
        <v>4378</v>
      </c>
      <c r="X2178" s="51" t="s">
        <v>2359</v>
      </c>
    </row>
    <row r="2179" customFormat="false" ht="14.25" hidden="true" customHeight="false" outlineLevel="0" collapsed="false">
      <c r="A2179" s="49" t="s">
        <v>2349</v>
      </c>
      <c r="B2179" s="49" t="s">
        <v>2350</v>
      </c>
      <c r="C2179" s="49" t="s">
        <v>5040</v>
      </c>
      <c r="D2179" s="49" t="s">
        <v>2352</v>
      </c>
      <c r="E2179" s="49" t="str">
        <f aca="false">"5060458890191"</f>
        <v>5060458890191</v>
      </c>
      <c r="F2179" s="49" t="s">
        <v>3656</v>
      </c>
      <c r="G2179" s="49" t="n">
        <v>0</v>
      </c>
      <c r="H2179" s="0" t="n">
        <v>0</v>
      </c>
      <c r="M2179" s="51" t="s">
        <v>5004</v>
      </c>
      <c r="N2179" s="49" t="n">
        <v>0</v>
      </c>
      <c r="O2179" s="53" t="n">
        <v>45713.3127199074</v>
      </c>
      <c r="P2179" s="53" t="n">
        <v>45713.4384837963</v>
      </c>
      <c r="Q2179" s="53" t="n">
        <v>45713.3127199074</v>
      </c>
      <c r="R2179" s="0" t="n">
        <v>0</v>
      </c>
      <c r="S2179" s="51" t="s">
        <v>2371</v>
      </c>
      <c r="T2179" s="51" t="s">
        <v>2371</v>
      </c>
      <c r="U2179" s="0" t="str">
        <f aca="false">"5060458890191"</f>
        <v>5060458890191</v>
      </c>
      <c r="V2179" s="51" t="s">
        <v>2142</v>
      </c>
      <c r="W2179" s="51" t="s">
        <v>4032</v>
      </c>
      <c r="X2179" s="51" t="s">
        <v>2359</v>
      </c>
    </row>
    <row r="2180" customFormat="false" ht="14.25" hidden="true" customHeight="false" outlineLevel="0" collapsed="false">
      <c r="A2180" s="49" t="s">
        <v>2349</v>
      </c>
      <c r="B2180" s="49" t="s">
        <v>2350</v>
      </c>
      <c r="C2180" s="49" t="s">
        <v>5041</v>
      </c>
      <c r="D2180" s="49" t="s">
        <v>2352</v>
      </c>
      <c r="E2180" s="49" t="str">
        <f aca="false">"5060458890191"</f>
        <v>5060458890191</v>
      </c>
      <c r="F2180" s="49" t="s">
        <v>3656</v>
      </c>
      <c r="G2180" s="49" t="n">
        <v>0</v>
      </c>
      <c r="H2180" s="0" t="n">
        <v>0</v>
      </c>
      <c r="M2180" s="51" t="s">
        <v>5004</v>
      </c>
      <c r="N2180" s="49" t="n">
        <v>0</v>
      </c>
      <c r="O2180" s="53" t="n">
        <v>45713.3125925926</v>
      </c>
      <c r="P2180" s="53" t="n">
        <v>45713.4361342593</v>
      </c>
      <c r="Q2180" s="53" t="n">
        <v>45713.3125925926</v>
      </c>
      <c r="R2180" s="0" t="n">
        <v>0</v>
      </c>
      <c r="S2180" s="51" t="s">
        <v>2371</v>
      </c>
      <c r="T2180" s="51" t="s">
        <v>2371</v>
      </c>
      <c r="U2180" s="0" t="str">
        <f aca="false">"5060458890191"</f>
        <v>5060458890191</v>
      </c>
      <c r="V2180" s="51" t="s">
        <v>2142</v>
      </c>
      <c r="W2180" s="51" t="s">
        <v>4833</v>
      </c>
      <c r="X2180" s="51" t="s">
        <v>2359</v>
      </c>
    </row>
    <row r="2181" customFormat="false" ht="14.25" hidden="true" customHeight="false" outlineLevel="0" collapsed="false">
      <c r="A2181" s="49" t="s">
        <v>2349</v>
      </c>
      <c r="B2181" s="49" t="s">
        <v>2350</v>
      </c>
      <c r="C2181" s="49" t="s">
        <v>5042</v>
      </c>
      <c r="D2181" s="49" t="s">
        <v>2352</v>
      </c>
      <c r="E2181" s="49" t="str">
        <f aca="false">"5060458890191"</f>
        <v>5060458890191</v>
      </c>
      <c r="F2181" s="49" t="s">
        <v>3656</v>
      </c>
      <c r="G2181" s="49" t="n">
        <v>0</v>
      </c>
      <c r="H2181" s="0" t="n">
        <v>0</v>
      </c>
      <c r="M2181" s="51" t="s">
        <v>5004</v>
      </c>
      <c r="N2181" s="49" t="n">
        <v>0</v>
      </c>
      <c r="O2181" s="53" t="n">
        <v>45713.3124189815</v>
      </c>
      <c r="P2181" s="53" t="n">
        <v>45713.4344675926</v>
      </c>
      <c r="Q2181" s="53" t="n">
        <v>45713.3124189815</v>
      </c>
      <c r="R2181" s="0" t="n">
        <v>0</v>
      </c>
      <c r="S2181" s="51" t="s">
        <v>2371</v>
      </c>
      <c r="T2181" s="51" t="s">
        <v>2371</v>
      </c>
      <c r="U2181" s="0" t="str">
        <f aca="false">"5060458890191"</f>
        <v>5060458890191</v>
      </c>
      <c r="V2181" s="51" t="s">
        <v>2142</v>
      </c>
      <c r="W2181" s="51" t="s">
        <v>4831</v>
      </c>
      <c r="X2181" s="51" t="s">
        <v>2359</v>
      </c>
    </row>
    <row r="2182" customFormat="false" ht="14.25" hidden="true" customHeight="false" outlineLevel="0" collapsed="false">
      <c r="A2182" s="49" t="s">
        <v>2349</v>
      </c>
      <c r="B2182" s="49" t="s">
        <v>2350</v>
      </c>
      <c r="C2182" s="49" t="s">
        <v>5043</v>
      </c>
      <c r="D2182" s="49" t="s">
        <v>2352</v>
      </c>
      <c r="E2182" s="49" t="str">
        <f aca="false">"5060458890191"</f>
        <v>5060458890191</v>
      </c>
      <c r="F2182" s="49" t="s">
        <v>3656</v>
      </c>
      <c r="G2182" s="49" t="n">
        <v>0</v>
      </c>
      <c r="H2182" s="0" t="n">
        <v>0</v>
      </c>
      <c r="M2182" s="51" t="s">
        <v>5004</v>
      </c>
      <c r="N2182" s="49" t="n">
        <v>0</v>
      </c>
      <c r="O2182" s="53" t="n">
        <v>45713.3122916667</v>
      </c>
      <c r="P2182" s="53" t="n">
        <v>45713.4329861111</v>
      </c>
      <c r="Q2182" s="53" t="n">
        <v>45713.3122916667</v>
      </c>
      <c r="R2182" s="0" t="n">
        <v>0</v>
      </c>
      <c r="S2182" s="51" t="s">
        <v>2371</v>
      </c>
      <c r="T2182" s="51" t="s">
        <v>2371</v>
      </c>
      <c r="U2182" s="0" t="str">
        <f aca="false">"5060458890191"</f>
        <v>5060458890191</v>
      </c>
      <c r="V2182" s="51" t="s">
        <v>2142</v>
      </c>
      <c r="W2182" s="51" t="s">
        <v>4445</v>
      </c>
      <c r="X2182" s="51" t="s">
        <v>2359</v>
      </c>
    </row>
    <row r="2183" customFormat="false" ht="14.25" hidden="true" customHeight="false" outlineLevel="0" collapsed="false">
      <c r="A2183" s="49" t="s">
        <v>2349</v>
      </c>
      <c r="B2183" s="49" t="s">
        <v>2350</v>
      </c>
      <c r="C2183" s="49" t="s">
        <v>5044</v>
      </c>
      <c r="D2183" s="49" t="s">
        <v>2352</v>
      </c>
      <c r="E2183" s="49" t="str">
        <f aca="false">"5060458890191"</f>
        <v>5060458890191</v>
      </c>
      <c r="F2183" s="49" t="s">
        <v>3656</v>
      </c>
      <c r="G2183" s="49" t="n">
        <v>0</v>
      </c>
      <c r="H2183" s="0" t="n">
        <v>0</v>
      </c>
      <c r="M2183" s="51" t="s">
        <v>5004</v>
      </c>
      <c r="N2183" s="49" t="n">
        <v>0</v>
      </c>
      <c r="O2183" s="53" t="n">
        <v>45713.3121643519</v>
      </c>
      <c r="P2183" s="53" t="n">
        <v>45713.4308217593</v>
      </c>
      <c r="Q2183" s="53" t="n">
        <v>45713.3121643519</v>
      </c>
      <c r="R2183" s="0" t="n">
        <v>0</v>
      </c>
      <c r="S2183" s="51" t="s">
        <v>2371</v>
      </c>
      <c r="T2183" s="51" t="s">
        <v>2371</v>
      </c>
      <c r="U2183" s="0" t="str">
        <f aca="false">"5060458890191"</f>
        <v>5060458890191</v>
      </c>
      <c r="V2183" s="51" t="s">
        <v>2142</v>
      </c>
      <c r="W2183" s="51" t="s">
        <v>4897</v>
      </c>
      <c r="X2183" s="51" t="s">
        <v>2359</v>
      </c>
    </row>
    <row r="2184" customFormat="false" ht="14.25" hidden="true" customHeight="false" outlineLevel="0" collapsed="false">
      <c r="A2184" s="49" t="s">
        <v>2349</v>
      </c>
      <c r="B2184" s="49" t="s">
        <v>2350</v>
      </c>
      <c r="C2184" s="49" t="s">
        <v>5045</v>
      </c>
      <c r="D2184" s="49" t="s">
        <v>2352</v>
      </c>
      <c r="E2184" s="49" t="str">
        <f aca="false">"12520129"</f>
        <v>12520129</v>
      </c>
      <c r="F2184" s="49" t="s">
        <v>4870</v>
      </c>
      <c r="G2184" s="49" t="n">
        <v>0</v>
      </c>
      <c r="H2184" s="0" t="n">
        <v>0</v>
      </c>
      <c r="M2184" s="51" t="s">
        <v>5046</v>
      </c>
      <c r="N2184" s="49" t="n">
        <v>0</v>
      </c>
      <c r="O2184" s="53" t="n">
        <v>45713.4135069444</v>
      </c>
      <c r="P2184" s="53" t="n">
        <v>45716.8058333333</v>
      </c>
      <c r="Q2184" s="53" t="n">
        <v>45713.4135069444</v>
      </c>
      <c r="R2184" s="0" t="n">
        <v>0</v>
      </c>
      <c r="S2184" s="51" t="s">
        <v>2383</v>
      </c>
      <c r="T2184" s="51" t="s">
        <v>2383</v>
      </c>
      <c r="U2184" s="0" t="str">
        <f aca="false">"12520129"</f>
        <v>12520129</v>
      </c>
      <c r="V2184" s="51" t="s">
        <v>2365</v>
      </c>
      <c r="W2184" s="51" t="s">
        <v>4840</v>
      </c>
      <c r="X2184" s="51" t="s">
        <v>2359</v>
      </c>
    </row>
    <row r="2185" customFormat="false" ht="14.25" hidden="true" customHeight="false" outlineLevel="0" collapsed="false">
      <c r="A2185" s="49" t="s">
        <v>2349</v>
      </c>
      <c r="B2185" s="49" t="s">
        <v>2350</v>
      </c>
      <c r="C2185" s="49" t="s">
        <v>5047</v>
      </c>
      <c r="D2185" s="49" t="s">
        <v>2352</v>
      </c>
      <c r="E2185" s="49" t="str">
        <f aca="false">"12520129"</f>
        <v>12520129</v>
      </c>
      <c r="F2185" s="49" t="s">
        <v>4870</v>
      </c>
      <c r="G2185" s="49" t="n">
        <v>0</v>
      </c>
      <c r="H2185" s="0" t="n">
        <v>0</v>
      </c>
      <c r="M2185" s="51" t="s">
        <v>5046</v>
      </c>
      <c r="N2185" s="49" t="n">
        <v>0</v>
      </c>
      <c r="O2185" s="53" t="n">
        <v>45713.413912037</v>
      </c>
      <c r="P2185" s="53" t="n">
        <v>45716.8017592593</v>
      </c>
      <c r="Q2185" s="53" t="n">
        <v>45713.413912037</v>
      </c>
      <c r="R2185" s="0" t="n">
        <v>0</v>
      </c>
      <c r="S2185" s="51" t="s">
        <v>2383</v>
      </c>
      <c r="T2185" s="51" t="s">
        <v>2383</v>
      </c>
      <c r="U2185" s="0" t="str">
        <f aca="false">"12520129"</f>
        <v>12520129</v>
      </c>
      <c r="V2185" s="51" t="s">
        <v>2365</v>
      </c>
      <c r="W2185" s="51" t="s">
        <v>5048</v>
      </c>
      <c r="X2185" s="51" t="s">
        <v>2359</v>
      </c>
    </row>
    <row r="2186" customFormat="false" ht="14.25" hidden="true" customHeight="false" outlineLevel="0" collapsed="false">
      <c r="A2186" s="49" t="s">
        <v>2349</v>
      </c>
      <c r="B2186" s="49" t="s">
        <v>2350</v>
      </c>
      <c r="C2186" s="49" t="s">
        <v>5049</v>
      </c>
      <c r="D2186" s="49" t="s">
        <v>2352</v>
      </c>
      <c r="E2186" s="49" t="str">
        <f aca="false">"5060458890191"</f>
        <v>5060458890191</v>
      </c>
      <c r="F2186" s="49" t="s">
        <v>3656</v>
      </c>
      <c r="G2186" s="49" t="n">
        <v>0</v>
      </c>
      <c r="H2186" s="0" t="n">
        <v>0</v>
      </c>
      <c r="M2186" s="51" t="s">
        <v>5050</v>
      </c>
      <c r="N2186" s="49" t="n">
        <v>0</v>
      </c>
      <c r="O2186" s="53" t="n">
        <v>45713.7720023148</v>
      </c>
      <c r="P2186" s="53" t="n">
        <v>45743.5734722222</v>
      </c>
      <c r="Q2186" s="53" t="n">
        <v>45713.7720023148</v>
      </c>
      <c r="R2186" s="0" t="n">
        <v>0</v>
      </c>
      <c r="S2186" s="51" t="s">
        <v>2436</v>
      </c>
      <c r="T2186" s="51" t="s">
        <v>2436</v>
      </c>
      <c r="U2186" s="0" t="str">
        <f aca="false">"5060458890191"</f>
        <v>5060458890191</v>
      </c>
      <c r="V2186" s="51" t="s">
        <v>2142</v>
      </c>
      <c r="W2186" s="51" t="s">
        <v>4309</v>
      </c>
      <c r="X2186" s="51" t="s">
        <v>2359</v>
      </c>
    </row>
    <row r="2187" customFormat="false" ht="14.25" hidden="true" customHeight="false" outlineLevel="0" collapsed="false">
      <c r="A2187" s="49" t="s">
        <v>2349</v>
      </c>
      <c r="B2187" s="49" t="s">
        <v>2350</v>
      </c>
      <c r="C2187" s="49" t="s">
        <v>5051</v>
      </c>
      <c r="D2187" s="49" t="s">
        <v>2352</v>
      </c>
      <c r="E2187" s="49" t="str">
        <f aca="false">"5060458890191"</f>
        <v>5060458890191</v>
      </c>
      <c r="F2187" s="49" t="s">
        <v>3656</v>
      </c>
      <c r="G2187" s="49" t="n">
        <v>0</v>
      </c>
      <c r="H2187" s="0" t="n">
        <v>0</v>
      </c>
      <c r="M2187" s="51" t="s">
        <v>5050</v>
      </c>
      <c r="N2187" s="49" t="n">
        <v>0</v>
      </c>
      <c r="O2187" s="53" t="n">
        <v>45713.7721412037</v>
      </c>
      <c r="P2187" s="53" t="n">
        <v>45750.6045717593</v>
      </c>
      <c r="Q2187" s="53" t="n">
        <v>45713.7721412037</v>
      </c>
      <c r="R2187" s="0" t="n">
        <v>0</v>
      </c>
      <c r="S2187" s="51" t="s">
        <v>2436</v>
      </c>
      <c r="T2187" s="51" t="s">
        <v>2436</v>
      </c>
      <c r="U2187" s="0" t="str">
        <f aca="false">"5060458890191"</f>
        <v>5060458890191</v>
      </c>
      <c r="V2187" s="51" t="s">
        <v>2142</v>
      </c>
      <c r="W2187" s="51" t="s">
        <v>4311</v>
      </c>
      <c r="X2187" s="51" t="s">
        <v>2359</v>
      </c>
    </row>
    <row r="2188" customFormat="false" ht="14.25" hidden="true" customHeight="false" outlineLevel="0" collapsed="false">
      <c r="A2188" s="49" t="s">
        <v>2349</v>
      </c>
      <c r="B2188" s="49" t="s">
        <v>2350</v>
      </c>
      <c r="C2188" s="49" t="s">
        <v>5052</v>
      </c>
      <c r="D2188" s="49" t="s">
        <v>2352</v>
      </c>
      <c r="E2188" s="49" t="str">
        <f aca="false">"5060458890191"</f>
        <v>5060458890191</v>
      </c>
      <c r="F2188" s="49" t="s">
        <v>3656</v>
      </c>
      <c r="G2188" s="49" t="n">
        <v>0</v>
      </c>
      <c r="H2188" s="0" t="n">
        <v>0</v>
      </c>
      <c r="M2188" s="51" t="s">
        <v>5050</v>
      </c>
      <c r="N2188" s="49" t="n">
        <v>0</v>
      </c>
      <c r="O2188" s="53" t="n">
        <v>45713.7722685185</v>
      </c>
      <c r="P2188" s="53" t="n">
        <v>45750.605</v>
      </c>
      <c r="Q2188" s="53" t="n">
        <v>45713.7722685185</v>
      </c>
      <c r="R2188" s="0" t="n">
        <v>0</v>
      </c>
      <c r="S2188" s="51" t="s">
        <v>2436</v>
      </c>
      <c r="T2188" s="51" t="s">
        <v>2436</v>
      </c>
      <c r="U2188" s="0" t="str">
        <f aca="false">"5060458890191"</f>
        <v>5060458890191</v>
      </c>
      <c r="V2188" s="51" t="s">
        <v>2142</v>
      </c>
      <c r="W2188" s="51" t="s">
        <v>4315</v>
      </c>
      <c r="X2188" s="51" t="s">
        <v>2359</v>
      </c>
    </row>
    <row r="2189" customFormat="false" ht="14.25" hidden="true" customHeight="false" outlineLevel="0" collapsed="false">
      <c r="A2189" s="49" t="s">
        <v>2349</v>
      </c>
      <c r="B2189" s="49" t="s">
        <v>2350</v>
      </c>
      <c r="C2189" s="49" t="s">
        <v>5053</v>
      </c>
      <c r="D2189" s="49" t="s">
        <v>2352</v>
      </c>
      <c r="E2189" s="49" t="str">
        <f aca="false">"5060458890191"</f>
        <v>5060458890191</v>
      </c>
      <c r="F2189" s="49" t="s">
        <v>3656</v>
      </c>
      <c r="G2189" s="49" t="n">
        <v>0</v>
      </c>
      <c r="H2189" s="0" t="n">
        <v>0</v>
      </c>
      <c r="M2189" s="51" t="s">
        <v>5050</v>
      </c>
      <c r="N2189" s="49" t="n">
        <v>0</v>
      </c>
      <c r="O2189" s="53" t="n">
        <v>45713.7724189815</v>
      </c>
      <c r="P2189" s="53" t="n">
        <v>45750.6027430556</v>
      </c>
      <c r="Q2189" s="53" t="n">
        <v>45713.7724189815</v>
      </c>
      <c r="R2189" s="0" t="n">
        <v>0</v>
      </c>
      <c r="S2189" s="51" t="s">
        <v>2436</v>
      </c>
      <c r="T2189" s="51" t="s">
        <v>2436</v>
      </c>
      <c r="U2189" s="0" t="str">
        <f aca="false">"5060458890191"</f>
        <v>5060458890191</v>
      </c>
      <c r="V2189" s="51" t="s">
        <v>2142</v>
      </c>
      <c r="W2189" s="51" t="s">
        <v>5038</v>
      </c>
      <c r="X2189" s="51" t="s">
        <v>2359</v>
      </c>
    </row>
    <row r="2190" customFormat="false" ht="14.25" hidden="true" customHeight="false" outlineLevel="0" collapsed="false">
      <c r="A2190" s="49" t="s">
        <v>2349</v>
      </c>
      <c r="B2190" s="49" t="s">
        <v>2350</v>
      </c>
      <c r="C2190" s="49" t="s">
        <v>5054</v>
      </c>
      <c r="D2190" s="49" t="s">
        <v>2352</v>
      </c>
      <c r="E2190" s="49" t="str">
        <f aca="false">"5060458890191"</f>
        <v>5060458890191</v>
      </c>
      <c r="F2190" s="49" t="s">
        <v>3656</v>
      </c>
      <c r="G2190" s="49" t="n">
        <v>0</v>
      </c>
      <c r="H2190" s="0" t="n">
        <v>0</v>
      </c>
      <c r="M2190" s="51" t="s">
        <v>5050</v>
      </c>
      <c r="N2190" s="49" t="n">
        <v>0</v>
      </c>
      <c r="O2190" s="53" t="n">
        <v>45713.7726041667</v>
      </c>
      <c r="P2190" s="53" t="n">
        <v>45720.4978356482</v>
      </c>
      <c r="Q2190" s="53" t="n">
        <v>45713.7726041667</v>
      </c>
      <c r="R2190" s="0" t="n">
        <v>0</v>
      </c>
      <c r="S2190" s="51" t="s">
        <v>2436</v>
      </c>
      <c r="T2190" s="51" t="s">
        <v>2436</v>
      </c>
      <c r="U2190" s="0" t="str">
        <f aca="false">"5060458890191"</f>
        <v>5060458890191</v>
      </c>
      <c r="V2190" s="51" t="s">
        <v>2142</v>
      </c>
      <c r="W2190" s="51" t="s">
        <v>4471</v>
      </c>
      <c r="X2190" s="51" t="s">
        <v>2359</v>
      </c>
    </row>
    <row r="2191" customFormat="false" ht="14.25" hidden="true" customHeight="false" outlineLevel="0" collapsed="false">
      <c r="A2191" s="49" t="s">
        <v>2349</v>
      </c>
      <c r="B2191" s="49" t="s">
        <v>2350</v>
      </c>
      <c r="C2191" s="49" t="s">
        <v>5055</v>
      </c>
      <c r="D2191" s="49" t="s">
        <v>2352</v>
      </c>
      <c r="E2191" s="49" t="str">
        <f aca="false">"5060458890191"</f>
        <v>5060458890191</v>
      </c>
      <c r="F2191" s="49" t="s">
        <v>3656</v>
      </c>
      <c r="G2191" s="49" t="n">
        <v>0</v>
      </c>
      <c r="H2191" s="0" t="n">
        <v>0</v>
      </c>
      <c r="M2191" s="51" t="s">
        <v>5050</v>
      </c>
      <c r="N2191" s="49" t="n">
        <v>0</v>
      </c>
      <c r="O2191" s="53" t="n">
        <v>45713.7727314815</v>
      </c>
      <c r="P2191" s="53" t="n">
        <v>45750.607337963</v>
      </c>
      <c r="Q2191" s="53" t="n">
        <v>45713.7727314815</v>
      </c>
      <c r="R2191" s="0" t="n">
        <v>0</v>
      </c>
      <c r="S2191" s="51" t="s">
        <v>2436</v>
      </c>
      <c r="T2191" s="51" t="s">
        <v>2436</v>
      </c>
      <c r="U2191" s="0" t="str">
        <f aca="false">"5060458890191"</f>
        <v>5060458890191</v>
      </c>
      <c r="V2191" s="51" t="s">
        <v>2142</v>
      </c>
      <c r="W2191" s="51" t="s">
        <v>4323</v>
      </c>
      <c r="X2191" s="51" t="s">
        <v>2359</v>
      </c>
    </row>
    <row r="2192" customFormat="false" ht="14.25" hidden="true" customHeight="false" outlineLevel="0" collapsed="false">
      <c r="A2192" s="49" t="s">
        <v>2349</v>
      </c>
      <c r="B2192" s="49" t="s">
        <v>2350</v>
      </c>
      <c r="C2192" s="49" t="s">
        <v>5056</v>
      </c>
      <c r="D2192" s="49" t="s">
        <v>2352</v>
      </c>
      <c r="E2192" s="49" t="str">
        <f aca="false">"5060458890191"</f>
        <v>5060458890191</v>
      </c>
      <c r="F2192" s="49" t="s">
        <v>3656</v>
      </c>
      <c r="G2192" s="49" t="n">
        <v>0</v>
      </c>
      <c r="H2192" s="0" t="n">
        <v>0</v>
      </c>
      <c r="M2192" s="51" t="s">
        <v>5050</v>
      </c>
      <c r="N2192" s="49" t="n">
        <v>0</v>
      </c>
      <c r="O2192" s="53" t="n">
        <v>45713.7693981482</v>
      </c>
      <c r="P2192" s="53" t="n">
        <v>45720.485775463</v>
      </c>
      <c r="Q2192" s="53" t="n">
        <v>45713.7693981482</v>
      </c>
      <c r="R2192" s="0" t="n">
        <v>0</v>
      </c>
      <c r="S2192" s="51" t="s">
        <v>2436</v>
      </c>
      <c r="T2192" s="51" t="s">
        <v>2436</v>
      </c>
      <c r="U2192" s="0" t="str">
        <f aca="false">"5060458890191"</f>
        <v>5060458890191</v>
      </c>
      <c r="V2192" s="51" t="s">
        <v>2142</v>
      </c>
      <c r="W2192" s="51" t="s">
        <v>4345</v>
      </c>
      <c r="X2192" s="51" t="s">
        <v>2359</v>
      </c>
    </row>
    <row r="2193" customFormat="false" ht="14.25" hidden="true" customHeight="false" outlineLevel="0" collapsed="false">
      <c r="A2193" s="49" t="s">
        <v>2349</v>
      </c>
      <c r="B2193" s="49" t="s">
        <v>2350</v>
      </c>
      <c r="C2193" s="49" t="s">
        <v>5057</v>
      </c>
      <c r="D2193" s="49" t="s">
        <v>2352</v>
      </c>
      <c r="E2193" s="49" t="str">
        <f aca="false">"5060458890191"</f>
        <v>5060458890191</v>
      </c>
      <c r="F2193" s="49" t="s">
        <v>3656</v>
      </c>
      <c r="G2193" s="49" t="n">
        <v>0</v>
      </c>
      <c r="H2193" s="0" t="n">
        <v>0</v>
      </c>
      <c r="M2193" s="51" t="s">
        <v>5050</v>
      </c>
      <c r="N2193" s="49" t="n">
        <v>0</v>
      </c>
      <c r="O2193" s="53" t="n">
        <v>45713.7691087963</v>
      </c>
      <c r="P2193" s="53" t="n">
        <v>45720.5046180556</v>
      </c>
      <c r="Q2193" s="53" t="n">
        <v>45713.7691087963</v>
      </c>
      <c r="R2193" s="0" t="n">
        <v>0</v>
      </c>
      <c r="S2193" s="51" t="s">
        <v>2436</v>
      </c>
      <c r="T2193" s="51" t="s">
        <v>2436</v>
      </c>
      <c r="U2193" s="0" t="str">
        <f aca="false">"5060458890191"</f>
        <v>5060458890191</v>
      </c>
      <c r="V2193" s="51" t="s">
        <v>2142</v>
      </c>
      <c r="W2193" s="51" t="s">
        <v>4321</v>
      </c>
      <c r="X2193" s="51" t="s">
        <v>2359</v>
      </c>
    </row>
    <row r="2194" customFormat="false" ht="14.25" hidden="true" customHeight="false" outlineLevel="0" collapsed="false">
      <c r="A2194" s="49" t="s">
        <v>2349</v>
      </c>
      <c r="B2194" s="49" t="s">
        <v>2350</v>
      </c>
      <c r="C2194" s="49" t="s">
        <v>5058</v>
      </c>
      <c r="D2194" s="49" t="s">
        <v>2352</v>
      </c>
      <c r="E2194" s="49" t="str">
        <f aca="false">"5060458890191"</f>
        <v>5060458890191</v>
      </c>
      <c r="F2194" s="49" t="s">
        <v>3656</v>
      </c>
      <c r="G2194" s="49" t="n">
        <v>0</v>
      </c>
      <c r="H2194" s="0" t="n">
        <v>0</v>
      </c>
      <c r="M2194" s="51" t="s">
        <v>5050</v>
      </c>
      <c r="N2194" s="49" t="n">
        <v>0</v>
      </c>
      <c r="O2194" s="53" t="n">
        <v>45713.7689467593</v>
      </c>
      <c r="P2194" s="53" t="n">
        <v>45720.4123726852</v>
      </c>
      <c r="Q2194" s="53" t="n">
        <v>45713.7689467593</v>
      </c>
      <c r="R2194" s="0" t="n">
        <v>0</v>
      </c>
      <c r="S2194" s="51" t="s">
        <v>2436</v>
      </c>
      <c r="T2194" s="51" t="s">
        <v>2436</v>
      </c>
      <c r="U2194" s="0" t="str">
        <f aca="false">"5060458890191"</f>
        <v>5060458890191</v>
      </c>
      <c r="V2194" s="51" t="s">
        <v>2142</v>
      </c>
      <c r="W2194" s="51" t="s">
        <v>5008</v>
      </c>
      <c r="X2194" s="51" t="s">
        <v>2359</v>
      </c>
    </row>
    <row r="2195" customFormat="false" ht="14.25" hidden="true" customHeight="false" outlineLevel="0" collapsed="false">
      <c r="A2195" s="49" t="s">
        <v>2349</v>
      </c>
      <c r="B2195" s="49" t="s">
        <v>2350</v>
      </c>
      <c r="C2195" s="49" t="s">
        <v>5059</v>
      </c>
      <c r="D2195" s="49" t="s">
        <v>2352</v>
      </c>
      <c r="E2195" s="49" t="str">
        <f aca="false">"5060458890191"</f>
        <v>5060458890191</v>
      </c>
      <c r="F2195" s="49" t="s">
        <v>3656</v>
      </c>
      <c r="G2195" s="49" t="n">
        <v>0</v>
      </c>
      <c r="H2195" s="0" t="n">
        <v>0</v>
      </c>
      <c r="M2195" s="51" t="s">
        <v>5050</v>
      </c>
      <c r="N2195" s="49" t="n">
        <v>0</v>
      </c>
      <c r="O2195" s="53" t="n">
        <v>45713.7683333333</v>
      </c>
      <c r="P2195" s="53" t="n">
        <v>45720.4147106482</v>
      </c>
      <c r="Q2195" s="53" t="n">
        <v>45713.7683333333</v>
      </c>
      <c r="R2195" s="0" t="n">
        <v>0</v>
      </c>
      <c r="S2195" s="51" t="s">
        <v>2436</v>
      </c>
      <c r="T2195" s="51" t="s">
        <v>2436</v>
      </c>
      <c r="U2195" s="0" t="str">
        <f aca="false">"5060458890191"</f>
        <v>5060458890191</v>
      </c>
      <c r="V2195" s="51" t="s">
        <v>2142</v>
      </c>
      <c r="W2195" s="51" t="s">
        <v>4319</v>
      </c>
      <c r="X2195" s="51" t="s">
        <v>2359</v>
      </c>
    </row>
    <row r="2196" customFormat="false" ht="14.25" hidden="true" customHeight="false" outlineLevel="0" collapsed="false">
      <c r="A2196" s="49" t="s">
        <v>2349</v>
      </c>
      <c r="B2196" s="49" t="s">
        <v>2350</v>
      </c>
      <c r="C2196" s="49" t="s">
        <v>5060</v>
      </c>
      <c r="D2196" s="49" t="s">
        <v>2352</v>
      </c>
      <c r="E2196" s="49" t="str">
        <f aca="false">"5060458890191"</f>
        <v>5060458890191</v>
      </c>
      <c r="F2196" s="49" t="s">
        <v>3656</v>
      </c>
      <c r="G2196" s="49" t="n">
        <v>0</v>
      </c>
      <c r="H2196" s="0" t="n">
        <v>0</v>
      </c>
      <c r="M2196" s="51" t="s">
        <v>5050</v>
      </c>
      <c r="N2196" s="49" t="n">
        <v>0</v>
      </c>
      <c r="O2196" s="53" t="n">
        <v>45713.7756365741</v>
      </c>
      <c r="P2196" s="53" t="n">
        <v>45720.4887037037</v>
      </c>
      <c r="Q2196" s="53" t="n">
        <v>45713.7756365741</v>
      </c>
      <c r="R2196" s="0" t="n">
        <v>0</v>
      </c>
      <c r="S2196" s="51" t="s">
        <v>2436</v>
      </c>
      <c r="T2196" s="51" t="s">
        <v>2436</v>
      </c>
      <c r="U2196" s="0" t="str">
        <f aca="false">"5060458890191"</f>
        <v>5060458890191</v>
      </c>
      <c r="V2196" s="51" t="s">
        <v>2142</v>
      </c>
      <c r="W2196" s="51" t="s">
        <v>4421</v>
      </c>
      <c r="X2196" s="51" t="s">
        <v>2359</v>
      </c>
    </row>
    <row r="2197" customFormat="false" ht="14.25" hidden="true" customHeight="false" outlineLevel="0" collapsed="false">
      <c r="A2197" s="49" t="s">
        <v>2349</v>
      </c>
      <c r="B2197" s="49" t="s">
        <v>2350</v>
      </c>
      <c r="C2197" s="49" t="s">
        <v>5061</v>
      </c>
      <c r="D2197" s="49" t="s">
        <v>2352</v>
      </c>
      <c r="E2197" s="49" t="str">
        <f aca="false">"5060458890191"</f>
        <v>5060458890191</v>
      </c>
      <c r="F2197" s="49" t="s">
        <v>3656</v>
      </c>
      <c r="G2197" s="49" t="n">
        <v>0</v>
      </c>
      <c r="H2197" s="0" t="n">
        <v>0</v>
      </c>
      <c r="M2197" s="51" t="s">
        <v>5050</v>
      </c>
      <c r="N2197" s="49" t="n">
        <v>0</v>
      </c>
      <c r="O2197" s="53" t="n">
        <v>45713.7750810185</v>
      </c>
      <c r="P2197" s="53" t="n">
        <v>45720.5091203704</v>
      </c>
      <c r="Q2197" s="53" t="n">
        <v>45713.7750810185</v>
      </c>
      <c r="R2197" s="0" t="n">
        <v>0</v>
      </c>
      <c r="S2197" s="51" t="s">
        <v>2436</v>
      </c>
      <c r="T2197" s="51" t="s">
        <v>2436</v>
      </c>
      <c r="U2197" s="0" t="str">
        <f aca="false">"5060458890191"</f>
        <v>5060458890191</v>
      </c>
      <c r="V2197" s="51" t="s">
        <v>2142</v>
      </c>
      <c r="W2197" s="51" t="s">
        <v>4326</v>
      </c>
      <c r="X2197" s="51" t="s">
        <v>2359</v>
      </c>
    </row>
    <row r="2198" customFormat="false" ht="14.25" hidden="true" customHeight="false" outlineLevel="0" collapsed="false">
      <c r="A2198" s="49" t="s">
        <v>2349</v>
      </c>
      <c r="B2198" s="49" t="s">
        <v>2350</v>
      </c>
      <c r="C2198" s="49" t="s">
        <v>5062</v>
      </c>
      <c r="D2198" s="49" t="s">
        <v>2352</v>
      </c>
      <c r="E2198" s="49" t="str">
        <f aca="false">"5060458890191"</f>
        <v>5060458890191</v>
      </c>
      <c r="F2198" s="49" t="s">
        <v>3656</v>
      </c>
      <c r="G2198" s="49" t="n">
        <v>0</v>
      </c>
      <c r="H2198" s="0" t="n">
        <v>0</v>
      </c>
      <c r="M2198" s="51" t="s">
        <v>5050</v>
      </c>
      <c r="N2198" s="49" t="n">
        <v>0</v>
      </c>
      <c r="O2198" s="53" t="n">
        <v>45713.7754398148</v>
      </c>
      <c r="P2198" s="53" t="n">
        <v>45720.5074884259</v>
      </c>
      <c r="Q2198" s="53" t="n">
        <v>45713.7754398148</v>
      </c>
      <c r="R2198" s="0" t="n">
        <v>0</v>
      </c>
      <c r="S2198" s="51" t="s">
        <v>2436</v>
      </c>
      <c r="T2198" s="51" t="s">
        <v>2436</v>
      </c>
      <c r="U2198" s="0" t="str">
        <f aca="false">"5060458890191"</f>
        <v>5060458890191</v>
      </c>
      <c r="V2198" s="51" t="s">
        <v>2142</v>
      </c>
      <c r="W2198" s="51" t="s">
        <v>4326</v>
      </c>
      <c r="X2198" s="51" t="s">
        <v>2359</v>
      </c>
    </row>
    <row r="2199" customFormat="false" ht="14.25" hidden="true" customHeight="false" outlineLevel="0" collapsed="false">
      <c r="A2199" s="49" t="s">
        <v>2349</v>
      </c>
      <c r="B2199" s="49" t="s">
        <v>2350</v>
      </c>
      <c r="C2199" s="49" t="s">
        <v>5063</v>
      </c>
      <c r="D2199" s="49" t="s">
        <v>2352</v>
      </c>
      <c r="E2199" s="49" t="str">
        <f aca="false">"5060458890191"</f>
        <v>5060458890191</v>
      </c>
      <c r="F2199" s="49" t="s">
        <v>3656</v>
      </c>
      <c r="G2199" s="49" t="n">
        <v>0</v>
      </c>
      <c r="H2199" s="0" t="n">
        <v>0</v>
      </c>
      <c r="M2199" s="51" t="s">
        <v>5050</v>
      </c>
      <c r="N2199" s="49" t="n">
        <v>0</v>
      </c>
      <c r="O2199" s="53" t="n">
        <v>45713.7759953704</v>
      </c>
      <c r="P2199" s="53" t="n">
        <v>45715.4475694444</v>
      </c>
      <c r="Q2199" s="53" t="n">
        <v>45713.7759953704</v>
      </c>
      <c r="R2199" s="0" t="n">
        <v>0</v>
      </c>
      <c r="S2199" s="51" t="s">
        <v>2436</v>
      </c>
      <c r="T2199" s="51" t="s">
        <v>2436</v>
      </c>
      <c r="U2199" s="0" t="str">
        <f aca="false">"5060458890191"</f>
        <v>5060458890191</v>
      </c>
      <c r="V2199" s="51" t="s">
        <v>2142</v>
      </c>
      <c r="W2199" s="51" t="s">
        <v>4421</v>
      </c>
      <c r="X2199" s="51" t="s">
        <v>2359</v>
      </c>
    </row>
    <row r="2200" customFormat="false" ht="14.25" hidden="true" customHeight="false" outlineLevel="0" collapsed="false">
      <c r="A2200" s="49" t="s">
        <v>2349</v>
      </c>
      <c r="B2200" s="49" t="s">
        <v>2350</v>
      </c>
      <c r="C2200" s="49" t="s">
        <v>5064</v>
      </c>
      <c r="D2200" s="49" t="s">
        <v>2352</v>
      </c>
      <c r="E2200" s="49" t="str">
        <f aca="false">"5060458890191"</f>
        <v>5060458890191</v>
      </c>
      <c r="F2200" s="49" t="s">
        <v>3656</v>
      </c>
      <c r="G2200" s="49" t="n">
        <v>0</v>
      </c>
      <c r="H2200" s="0" t="n">
        <v>0</v>
      </c>
      <c r="M2200" s="51" t="s">
        <v>5050</v>
      </c>
      <c r="N2200" s="49" t="n">
        <v>0</v>
      </c>
      <c r="O2200" s="53" t="n">
        <v>45713.7698611111</v>
      </c>
      <c r="P2200" s="53" t="n">
        <v>45720.4665856482</v>
      </c>
      <c r="Q2200" s="53" t="n">
        <v>45713.7698611111</v>
      </c>
      <c r="R2200" s="0" t="n">
        <v>0</v>
      </c>
      <c r="S2200" s="51" t="s">
        <v>2436</v>
      </c>
      <c r="T2200" s="51" t="s">
        <v>2436</v>
      </c>
      <c r="U2200" s="0" t="str">
        <f aca="false">"5060458890191"</f>
        <v>5060458890191</v>
      </c>
      <c r="V2200" s="51" t="s">
        <v>2142</v>
      </c>
      <c r="W2200" s="51" t="s">
        <v>5065</v>
      </c>
      <c r="X2200" s="51" t="s">
        <v>2359</v>
      </c>
    </row>
    <row r="2201" customFormat="false" ht="14.25" hidden="true" customHeight="false" outlineLevel="0" collapsed="false">
      <c r="A2201" s="49" t="s">
        <v>2349</v>
      </c>
      <c r="B2201" s="49" t="s">
        <v>2350</v>
      </c>
      <c r="C2201" s="49" t="s">
        <v>5066</v>
      </c>
      <c r="D2201" s="49" t="s">
        <v>2352</v>
      </c>
      <c r="E2201" s="49" t="str">
        <f aca="false">"5060458890191"</f>
        <v>5060458890191</v>
      </c>
      <c r="F2201" s="49" t="s">
        <v>3656</v>
      </c>
      <c r="G2201" s="49" t="n">
        <v>0</v>
      </c>
      <c r="H2201" s="0" t="n">
        <v>0</v>
      </c>
      <c r="M2201" s="51" t="s">
        <v>5050</v>
      </c>
      <c r="N2201" s="49" t="n">
        <v>0</v>
      </c>
      <c r="O2201" s="53" t="n">
        <v>45713.7702199074</v>
      </c>
      <c r="P2201" s="53" t="n">
        <v>45720.4870023148</v>
      </c>
      <c r="Q2201" s="53" t="n">
        <v>45713.7702199074</v>
      </c>
      <c r="R2201" s="0" t="n">
        <v>0</v>
      </c>
      <c r="S2201" s="51" t="s">
        <v>2436</v>
      </c>
      <c r="T2201" s="51" t="s">
        <v>2436</v>
      </c>
      <c r="U2201" s="0" t="str">
        <f aca="false">"5060458890191"</f>
        <v>5060458890191</v>
      </c>
      <c r="V2201" s="51" t="s">
        <v>2142</v>
      </c>
      <c r="W2201" s="51" t="s">
        <v>4332</v>
      </c>
      <c r="X2201" s="51" t="s">
        <v>2359</v>
      </c>
    </row>
    <row r="2202" customFormat="false" ht="14.25" hidden="true" customHeight="false" outlineLevel="0" collapsed="false">
      <c r="A2202" s="49" t="s">
        <v>2349</v>
      </c>
      <c r="B2202" s="49" t="s">
        <v>2350</v>
      </c>
      <c r="C2202" s="49" t="s">
        <v>5067</v>
      </c>
      <c r="D2202" s="49" t="s">
        <v>2352</v>
      </c>
      <c r="E2202" s="49" t="str">
        <f aca="false">"5060458890191"</f>
        <v>5060458890191</v>
      </c>
      <c r="F2202" s="49" t="s">
        <v>3656</v>
      </c>
      <c r="G2202" s="49" t="n">
        <v>0</v>
      </c>
      <c r="H2202" s="0" t="n">
        <v>0</v>
      </c>
      <c r="M2202" s="51" t="s">
        <v>5050</v>
      </c>
      <c r="N2202" s="49" t="n">
        <v>0</v>
      </c>
      <c r="O2202" s="53" t="n">
        <v>45713.7704398148</v>
      </c>
      <c r="P2202" s="53" t="n">
        <v>45720.4910069444</v>
      </c>
      <c r="Q2202" s="53" t="n">
        <v>45713.7704398148</v>
      </c>
      <c r="R2202" s="0" t="n">
        <v>0</v>
      </c>
      <c r="S2202" s="51" t="s">
        <v>2436</v>
      </c>
      <c r="T2202" s="51" t="s">
        <v>2436</v>
      </c>
      <c r="U2202" s="0" t="str">
        <f aca="false">"5060458890191"</f>
        <v>5060458890191</v>
      </c>
      <c r="V2202" s="51" t="s">
        <v>2142</v>
      </c>
      <c r="W2202" s="51" t="s">
        <v>5068</v>
      </c>
      <c r="X2202" s="51" t="s">
        <v>2359</v>
      </c>
    </row>
    <row r="2203" customFormat="false" ht="14.25" hidden="true" customHeight="false" outlineLevel="0" collapsed="false">
      <c r="A2203" s="49" t="s">
        <v>2349</v>
      </c>
      <c r="B2203" s="49" t="s">
        <v>2350</v>
      </c>
      <c r="C2203" s="49" t="s">
        <v>5069</v>
      </c>
      <c r="D2203" s="49" t="s">
        <v>2352</v>
      </c>
      <c r="E2203" s="49" t="str">
        <f aca="false">"5060458890191"</f>
        <v>5060458890191</v>
      </c>
      <c r="F2203" s="49" t="s">
        <v>3656</v>
      </c>
      <c r="G2203" s="49" t="n">
        <v>0</v>
      </c>
      <c r="H2203" s="0" t="n">
        <v>0</v>
      </c>
      <c r="M2203" s="51" t="s">
        <v>5050</v>
      </c>
      <c r="N2203" s="49" t="n">
        <v>0</v>
      </c>
      <c r="O2203" s="53" t="n">
        <v>45713.7707291667</v>
      </c>
      <c r="P2203" s="53" t="n">
        <v>45750.6034953704</v>
      </c>
      <c r="Q2203" s="53" t="n">
        <v>45713.7707291667</v>
      </c>
      <c r="R2203" s="0" t="n">
        <v>0</v>
      </c>
      <c r="S2203" s="51" t="s">
        <v>2436</v>
      </c>
      <c r="T2203" s="51" t="s">
        <v>2436</v>
      </c>
      <c r="U2203" s="0" t="str">
        <f aca="false">"5060458890191"</f>
        <v>5060458890191</v>
      </c>
      <c r="V2203" s="51" t="s">
        <v>2142</v>
      </c>
      <c r="W2203" s="51" t="s">
        <v>5070</v>
      </c>
      <c r="X2203" s="51" t="s">
        <v>2359</v>
      </c>
    </row>
    <row r="2204" customFormat="false" ht="14.25" hidden="true" customHeight="false" outlineLevel="0" collapsed="false">
      <c r="A2204" s="49" t="s">
        <v>2349</v>
      </c>
      <c r="B2204" s="49" t="s">
        <v>2350</v>
      </c>
      <c r="C2204" s="49" t="s">
        <v>5071</v>
      </c>
      <c r="D2204" s="49" t="s">
        <v>2352</v>
      </c>
      <c r="E2204" s="49" t="str">
        <f aca="false">"5060458890191"</f>
        <v>5060458890191</v>
      </c>
      <c r="F2204" s="49" t="s">
        <v>3656</v>
      </c>
      <c r="G2204" s="49" t="n">
        <v>0</v>
      </c>
      <c r="H2204" s="0" t="n">
        <v>0</v>
      </c>
      <c r="M2204" s="51" t="s">
        <v>5050</v>
      </c>
      <c r="N2204" s="49" t="n">
        <v>0</v>
      </c>
      <c r="O2204" s="53" t="n">
        <v>45713.7709259259</v>
      </c>
      <c r="P2204" s="53" t="n">
        <v>45750.6039814815</v>
      </c>
      <c r="Q2204" s="53" t="n">
        <v>45713.7709259259</v>
      </c>
      <c r="R2204" s="0" t="n">
        <v>0</v>
      </c>
      <c r="S2204" s="51" t="s">
        <v>2436</v>
      </c>
      <c r="T2204" s="51" t="s">
        <v>2436</v>
      </c>
      <c r="U2204" s="0" t="str">
        <f aca="false">"5060458890191"</f>
        <v>5060458890191</v>
      </c>
      <c r="V2204" s="51" t="s">
        <v>2142</v>
      </c>
      <c r="W2204" s="51" t="s">
        <v>4328</v>
      </c>
      <c r="X2204" s="51" t="s">
        <v>2359</v>
      </c>
    </row>
    <row r="2205" customFormat="false" ht="14.25" hidden="true" customHeight="false" outlineLevel="0" collapsed="false">
      <c r="A2205" s="49" t="s">
        <v>2349</v>
      </c>
      <c r="B2205" s="49" t="s">
        <v>2350</v>
      </c>
      <c r="C2205" s="49" t="s">
        <v>5072</v>
      </c>
      <c r="D2205" s="49" t="s">
        <v>2352</v>
      </c>
      <c r="E2205" s="49" t="str">
        <f aca="false">"5060458890191"</f>
        <v>5060458890191</v>
      </c>
      <c r="F2205" s="49" t="s">
        <v>3656</v>
      </c>
      <c r="G2205" s="49" t="n">
        <v>0</v>
      </c>
      <c r="H2205" s="0" t="n">
        <v>0</v>
      </c>
      <c r="M2205" s="51" t="s">
        <v>5050</v>
      </c>
      <c r="N2205" s="49" t="n">
        <v>0</v>
      </c>
      <c r="O2205" s="53" t="n">
        <v>45713.7710648148</v>
      </c>
      <c r="P2205" s="53" t="n">
        <v>45720.471724537</v>
      </c>
      <c r="Q2205" s="53" t="n">
        <v>45713.7710648148</v>
      </c>
      <c r="R2205" s="0" t="n">
        <v>0</v>
      </c>
      <c r="S2205" s="51" t="s">
        <v>2436</v>
      </c>
      <c r="T2205" s="51" t="s">
        <v>2436</v>
      </c>
      <c r="U2205" s="0" t="str">
        <f aca="false">"5060458890191"</f>
        <v>5060458890191</v>
      </c>
      <c r="V2205" s="51" t="s">
        <v>2142</v>
      </c>
      <c r="W2205" s="51" t="s">
        <v>4423</v>
      </c>
      <c r="X2205" s="51" t="s">
        <v>2359</v>
      </c>
    </row>
    <row r="2206" customFormat="false" ht="14.25" hidden="true" customHeight="false" outlineLevel="0" collapsed="false">
      <c r="A2206" s="49" t="s">
        <v>2349</v>
      </c>
      <c r="B2206" s="49" t="s">
        <v>2350</v>
      </c>
      <c r="C2206" s="49" t="s">
        <v>5073</v>
      </c>
      <c r="D2206" s="49" t="s">
        <v>2352</v>
      </c>
      <c r="E2206" s="49" t="str">
        <f aca="false">"5060458890191"</f>
        <v>5060458890191</v>
      </c>
      <c r="F2206" s="49" t="s">
        <v>3656</v>
      </c>
      <c r="G2206" s="49" t="n">
        <v>0</v>
      </c>
      <c r="H2206" s="0" t="n">
        <v>0</v>
      </c>
      <c r="M2206" s="51" t="s">
        <v>5050</v>
      </c>
      <c r="N2206" s="49" t="n">
        <v>0</v>
      </c>
      <c r="O2206" s="53" t="n">
        <v>45713.771400463</v>
      </c>
      <c r="P2206" s="53" t="n">
        <v>45750.6030671296</v>
      </c>
      <c r="Q2206" s="53" t="n">
        <v>45713.771400463</v>
      </c>
      <c r="R2206" s="0" t="n">
        <v>0</v>
      </c>
      <c r="S2206" s="51" t="s">
        <v>2436</v>
      </c>
      <c r="T2206" s="51" t="s">
        <v>2436</v>
      </c>
      <c r="U2206" s="0" t="str">
        <f aca="false">"5060458890191"</f>
        <v>5060458890191</v>
      </c>
      <c r="V2206" s="51" t="s">
        <v>2142</v>
      </c>
      <c r="W2206" s="51" t="s">
        <v>4301</v>
      </c>
      <c r="X2206" s="51" t="s">
        <v>2359</v>
      </c>
    </row>
    <row r="2207" customFormat="false" ht="14.25" hidden="true" customHeight="false" outlineLevel="0" collapsed="false">
      <c r="A2207" s="49" t="s">
        <v>2349</v>
      </c>
      <c r="B2207" s="49" t="s">
        <v>2350</v>
      </c>
      <c r="C2207" s="49" t="s">
        <v>5074</v>
      </c>
      <c r="D2207" s="49" t="s">
        <v>2352</v>
      </c>
      <c r="E2207" s="49" t="str">
        <f aca="false">"5060458890191"</f>
        <v>5060458890191</v>
      </c>
      <c r="F2207" s="49" t="s">
        <v>3656</v>
      </c>
      <c r="G2207" s="49" t="n">
        <v>0</v>
      </c>
      <c r="H2207" s="0" t="n">
        <v>0</v>
      </c>
      <c r="M2207" s="51" t="s">
        <v>5050</v>
      </c>
      <c r="N2207" s="49" t="n">
        <v>0</v>
      </c>
      <c r="O2207" s="53" t="n">
        <v>45713.7715856481</v>
      </c>
      <c r="P2207" s="53" t="n">
        <v>45750.6068634259</v>
      </c>
      <c r="Q2207" s="53" t="n">
        <v>45713.7715856481</v>
      </c>
      <c r="R2207" s="0" t="n">
        <v>0</v>
      </c>
      <c r="S2207" s="51" t="s">
        <v>2436</v>
      </c>
      <c r="T2207" s="51" t="s">
        <v>2436</v>
      </c>
      <c r="U2207" s="0" t="str">
        <f aca="false">"5060458890191"</f>
        <v>5060458890191</v>
      </c>
      <c r="V2207" s="51" t="s">
        <v>2142</v>
      </c>
      <c r="W2207" s="51" t="s">
        <v>4317</v>
      </c>
      <c r="X2207" s="51" t="s">
        <v>2359</v>
      </c>
    </row>
    <row r="2208" customFormat="false" ht="14.25" hidden="true" customHeight="false" outlineLevel="0" collapsed="false">
      <c r="A2208" s="49" t="s">
        <v>2349</v>
      </c>
      <c r="B2208" s="49" t="s">
        <v>2350</v>
      </c>
      <c r="C2208" s="49" t="s">
        <v>5075</v>
      </c>
      <c r="D2208" s="49" t="s">
        <v>2352</v>
      </c>
      <c r="E2208" s="49" t="str">
        <f aca="false">"5060458890191"</f>
        <v>5060458890191</v>
      </c>
      <c r="F2208" s="49" t="s">
        <v>3656</v>
      </c>
      <c r="G2208" s="49" t="n">
        <v>0</v>
      </c>
      <c r="H2208" s="0" t="n">
        <v>0</v>
      </c>
      <c r="M2208" s="51" t="s">
        <v>5050</v>
      </c>
      <c r="N2208" s="49" t="n">
        <v>0</v>
      </c>
      <c r="O2208" s="53" t="n">
        <v>45713.7718287037</v>
      </c>
      <c r="P2208" s="53" t="n">
        <v>45752.378599537</v>
      </c>
      <c r="Q2208" s="53" t="n">
        <v>45713.7718287037</v>
      </c>
      <c r="R2208" s="0" t="n">
        <v>0</v>
      </c>
      <c r="S2208" s="51" t="s">
        <v>2436</v>
      </c>
      <c r="T2208" s="51" t="s">
        <v>2436</v>
      </c>
      <c r="U2208" s="0" t="str">
        <f aca="false">"5060458890191"</f>
        <v>5060458890191</v>
      </c>
      <c r="V2208" s="51" t="s">
        <v>2142</v>
      </c>
      <c r="W2208" s="51" t="s">
        <v>4307</v>
      </c>
      <c r="X2208" s="51" t="s">
        <v>2359</v>
      </c>
    </row>
    <row r="2209" customFormat="false" ht="14.25" hidden="true" customHeight="false" outlineLevel="0" collapsed="false">
      <c r="A2209" s="49" t="s">
        <v>2349</v>
      </c>
      <c r="B2209" s="49" t="s">
        <v>2350</v>
      </c>
      <c r="C2209" s="49" t="s">
        <v>5076</v>
      </c>
      <c r="D2209" s="49" t="s">
        <v>2352</v>
      </c>
      <c r="E2209" s="49" t="str">
        <f aca="false">"5060458890191"</f>
        <v>5060458890191</v>
      </c>
      <c r="F2209" s="49" t="s">
        <v>3656</v>
      </c>
      <c r="G2209" s="49" t="n">
        <v>0</v>
      </c>
      <c r="H2209" s="0" t="n">
        <v>0</v>
      </c>
      <c r="M2209" s="51" t="s">
        <v>5050</v>
      </c>
      <c r="N2209" s="49" t="n">
        <v>0</v>
      </c>
      <c r="O2209" s="53" t="n">
        <v>45713.7728587963</v>
      </c>
      <c r="P2209" s="53" t="n">
        <v>45750.6019791667</v>
      </c>
      <c r="Q2209" s="53" t="n">
        <v>45713.7728587963</v>
      </c>
      <c r="R2209" s="0" t="n">
        <v>0</v>
      </c>
      <c r="S2209" s="51" t="s">
        <v>2436</v>
      </c>
      <c r="T2209" s="51" t="s">
        <v>2436</v>
      </c>
      <c r="U2209" s="0" t="str">
        <f aca="false">"5060458890191"</f>
        <v>5060458890191</v>
      </c>
      <c r="V2209" s="51" t="s">
        <v>2142</v>
      </c>
      <c r="W2209" s="51" t="s">
        <v>4383</v>
      </c>
      <c r="X2209" s="51" t="s">
        <v>2359</v>
      </c>
    </row>
    <row r="2210" customFormat="false" ht="14.25" hidden="true" customHeight="false" outlineLevel="0" collapsed="false">
      <c r="A2210" s="49" t="s">
        <v>2349</v>
      </c>
      <c r="B2210" s="49" t="s">
        <v>2350</v>
      </c>
      <c r="C2210" s="49" t="s">
        <v>5077</v>
      </c>
      <c r="D2210" s="49" t="s">
        <v>2352</v>
      </c>
      <c r="E2210" s="49" t="str">
        <f aca="false">"5060458890191"</f>
        <v>5060458890191</v>
      </c>
      <c r="F2210" s="49" t="s">
        <v>3656</v>
      </c>
      <c r="G2210" s="49" t="n">
        <v>0</v>
      </c>
      <c r="H2210" s="0" t="n">
        <v>0</v>
      </c>
      <c r="M2210" s="51" t="s">
        <v>5050</v>
      </c>
      <c r="N2210" s="49" t="n">
        <v>0</v>
      </c>
      <c r="O2210" s="53" t="n">
        <v>45713.772962963</v>
      </c>
      <c r="P2210" s="53" t="n">
        <v>45720.4133217593</v>
      </c>
      <c r="Q2210" s="53" t="n">
        <v>45713.772962963</v>
      </c>
      <c r="R2210" s="0" t="n">
        <v>0</v>
      </c>
      <c r="S2210" s="51" t="s">
        <v>2436</v>
      </c>
      <c r="T2210" s="51" t="s">
        <v>2436</v>
      </c>
      <c r="U2210" s="0" t="str">
        <f aca="false">"5060458890191"</f>
        <v>5060458890191</v>
      </c>
      <c r="V2210" s="51" t="s">
        <v>2142</v>
      </c>
      <c r="W2210" s="51" t="s">
        <v>4313</v>
      </c>
      <c r="X2210" s="51" t="s">
        <v>2359</v>
      </c>
    </row>
    <row r="2211" customFormat="false" ht="14.25" hidden="true" customHeight="false" outlineLevel="0" collapsed="false">
      <c r="A2211" s="49" t="s">
        <v>2349</v>
      </c>
      <c r="B2211" s="49" t="s">
        <v>2350</v>
      </c>
      <c r="C2211" s="49" t="s">
        <v>5078</v>
      </c>
      <c r="D2211" s="49" t="s">
        <v>2352</v>
      </c>
      <c r="E2211" s="49" t="str">
        <f aca="false">"5060458890191"</f>
        <v>5060458890191</v>
      </c>
      <c r="F2211" s="49" t="s">
        <v>3656</v>
      </c>
      <c r="G2211" s="49" t="n">
        <v>0</v>
      </c>
      <c r="H2211" s="0" t="n">
        <v>0</v>
      </c>
      <c r="M2211" s="51" t="s">
        <v>5050</v>
      </c>
      <c r="N2211" s="49" t="n">
        <v>0</v>
      </c>
      <c r="O2211" s="53" t="n">
        <v>45713.7730787037</v>
      </c>
      <c r="P2211" s="53" t="n">
        <v>45750.6278356482</v>
      </c>
      <c r="Q2211" s="53" t="n">
        <v>45713.7730787037</v>
      </c>
      <c r="R2211" s="0" t="n">
        <v>0</v>
      </c>
      <c r="S2211" s="51" t="s">
        <v>2436</v>
      </c>
      <c r="T2211" s="51" t="s">
        <v>2436</v>
      </c>
      <c r="U2211" s="0" t="str">
        <f aca="false">"5060458890191"</f>
        <v>5060458890191</v>
      </c>
      <c r="V2211" s="51" t="s">
        <v>2142</v>
      </c>
      <c r="W2211" s="51" t="s">
        <v>5012</v>
      </c>
      <c r="X2211" s="51" t="s">
        <v>2359</v>
      </c>
    </row>
    <row r="2212" customFormat="false" ht="14.25" hidden="true" customHeight="false" outlineLevel="0" collapsed="false">
      <c r="A2212" s="49" t="s">
        <v>2349</v>
      </c>
      <c r="B2212" s="49" t="s">
        <v>2350</v>
      </c>
      <c r="C2212" s="49" t="s">
        <v>5079</v>
      </c>
      <c r="D2212" s="49" t="s">
        <v>2352</v>
      </c>
      <c r="E2212" s="49" t="str">
        <f aca="false">"5060458890191"</f>
        <v>5060458890191</v>
      </c>
      <c r="F2212" s="49" t="s">
        <v>3656</v>
      </c>
      <c r="G2212" s="49" t="n">
        <v>0</v>
      </c>
      <c r="H2212" s="0" t="n">
        <v>0</v>
      </c>
      <c r="M2212" s="51" t="s">
        <v>5050</v>
      </c>
      <c r="N2212" s="49" t="n">
        <v>0</v>
      </c>
      <c r="O2212" s="53" t="n">
        <v>45713.7733101852</v>
      </c>
      <c r="P2212" s="53" t="n">
        <v>45720.4965162037</v>
      </c>
      <c r="Q2212" s="53" t="n">
        <v>45713.7733101852</v>
      </c>
      <c r="R2212" s="0" t="n">
        <v>0</v>
      </c>
      <c r="S2212" s="51" t="s">
        <v>2436</v>
      </c>
      <c r="T2212" s="51" t="s">
        <v>2436</v>
      </c>
      <c r="U2212" s="0" t="str">
        <f aca="false">"5060458890191"</f>
        <v>5060458890191</v>
      </c>
      <c r="V2212" s="51" t="s">
        <v>2142</v>
      </c>
      <c r="W2212" s="51" t="s">
        <v>5080</v>
      </c>
      <c r="X2212" s="51" t="s">
        <v>2359</v>
      </c>
    </row>
    <row r="2213" customFormat="false" ht="14.25" hidden="true" customHeight="false" outlineLevel="0" collapsed="false">
      <c r="A2213" s="49" t="s">
        <v>2349</v>
      </c>
      <c r="B2213" s="49" t="s">
        <v>2350</v>
      </c>
      <c r="C2213" s="49" t="s">
        <v>5081</v>
      </c>
      <c r="D2213" s="49" t="s">
        <v>2352</v>
      </c>
      <c r="E2213" s="49" t="str">
        <f aca="false">"5060458890191"</f>
        <v>5060458890191</v>
      </c>
      <c r="F2213" s="49" t="s">
        <v>3656</v>
      </c>
      <c r="G2213" s="49" t="n">
        <v>0</v>
      </c>
      <c r="H2213" s="0" t="n">
        <v>0</v>
      </c>
      <c r="M2213" s="51" t="s">
        <v>5050</v>
      </c>
      <c r="N2213" s="49" t="n">
        <v>0</v>
      </c>
      <c r="O2213" s="53" t="n">
        <v>45713.7734375</v>
      </c>
      <c r="P2213" s="53" t="n">
        <v>45720.4944791667</v>
      </c>
      <c r="Q2213" s="53" t="n">
        <v>45713.7734375</v>
      </c>
      <c r="R2213" s="0" t="n">
        <v>0</v>
      </c>
      <c r="S2213" s="51" t="s">
        <v>2436</v>
      </c>
      <c r="T2213" s="51" t="s">
        <v>2436</v>
      </c>
      <c r="U2213" s="0" t="str">
        <f aca="false">"5060458890191"</f>
        <v>5060458890191</v>
      </c>
      <c r="V2213" s="51" t="s">
        <v>2142</v>
      </c>
      <c r="W2213" s="51" t="s">
        <v>5082</v>
      </c>
      <c r="X2213" s="51" t="s">
        <v>2359</v>
      </c>
    </row>
    <row r="2214" customFormat="false" ht="14.25" hidden="true" customHeight="false" outlineLevel="0" collapsed="false">
      <c r="A2214" s="49" t="s">
        <v>2349</v>
      </c>
      <c r="B2214" s="49" t="s">
        <v>2350</v>
      </c>
      <c r="C2214" s="49" t="s">
        <v>5083</v>
      </c>
      <c r="D2214" s="49" t="s">
        <v>2352</v>
      </c>
      <c r="E2214" s="49" t="str">
        <f aca="false">"5060458890191"</f>
        <v>5060458890191</v>
      </c>
      <c r="F2214" s="49" t="s">
        <v>3656</v>
      </c>
      <c r="G2214" s="49" t="n">
        <v>0</v>
      </c>
      <c r="H2214" s="0" t="n">
        <v>0</v>
      </c>
      <c r="M2214" s="51" t="s">
        <v>5050</v>
      </c>
      <c r="N2214" s="49" t="n">
        <v>0</v>
      </c>
      <c r="O2214" s="53" t="n">
        <v>45713.7735532407</v>
      </c>
      <c r="P2214" s="53" t="n">
        <v>45720.4699305556</v>
      </c>
      <c r="Q2214" s="53" t="n">
        <v>45713.7735532407</v>
      </c>
      <c r="R2214" s="0" t="n">
        <v>0</v>
      </c>
      <c r="S2214" s="51" t="s">
        <v>2436</v>
      </c>
      <c r="T2214" s="51" t="s">
        <v>2436</v>
      </c>
      <c r="U2214" s="0" t="str">
        <f aca="false">"5060458890191"</f>
        <v>5060458890191</v>
      </c>
      <c r="V2214" s="51" t="s">
        <v>2142</v>
      </c>
      <c r="W2214" s="51" t="s">
        <v>4347</v>
      </c>
      <c r="X2214" s="51" t="s">
        <v>2359</v>
      </c>
    </row>
    <row r="2215" customFormat="false" ht="14.25" hidden="true" customHeight="false" outlineLevel="0" collapsed="false">
      <c r="A2215" s="49" t="s">
        <v>2349</v>
      </c>
      <c r="B2215" s="49" t="s">
        <v>2350</v>
      </c>
      <c r="C2215" s="49" t="s">
        <v>5084</v>
      </c>
      <c r="D2215" s="49" t="s">
        <v>2352</v>
      </c>
      <c r="E2215" s="49" t="str">
        <f aca="false">"5060458890191"</f>
        <v>5060458890191</v>
      </c>
      <c r="F2215" s="49" t="s">
        <v>3656</v>
      </c>
      <c r="G2215" s="49" t="n">
        <v>0</v>
      </c>
      <c r="H2215" s="0" t="n">
        <v>0</v>
      </c>
      <c r="M2215" s="51" t="s">
        <v>5050</v>
      </c>
      <c r="N2215" s="49" t="n">
        <v>0</v>
      </c>
      <c r="O2215" s="53" t="n">
        <v>45713.7736689815</v>
      </c>
      <c r="P2215" s="53" t="n">
        <v>45720.4991666667</v>
      </c>
      <c r="Q2215" s="53" t="n">
        <v>45713.7736689815</v>
      </c>
      <c r="R2215" s="0" t="n">
        <v>0</v>
      </c>
      <c r="S2215" s="51" t="s">
        <v>2436</v>
      </c>
      <c r="T2215" s="51" t="s">
        <v>2436</v>
      </c>
      <c r="U2215" s="0" t="str">
        <f aca="false">"5060458890191"</f>
        <v>5060458890191</v>
      </c>
      <c r="V2215" s="51" t="s">
        <v>2142</v>
      </c>
      <c r="W2215" s="51" t="s">
        <v>5085</v>
      </c>
      <c r="X2215" s="51" t="s">
        <v>2359</v>
      </c>
    </row>
    <row r="2216" customFormat="false" ht="14.25" hidden="true" customHeight="false" outlineLevel="0" collapsed="false">
      <c r="A2216" s="49" t="s">
        <v>2349</v>
      </c>
      <c r="B2216" s="49" t="s">
        <v>2350</v>
      </c>
      <c r="C2216" s="49" t="s">
        <v>5086</v>
      </c>
      <c r="D2216" s="49" t="s">
        <v>2352</v>
      </c>
      <c r="E2216" s="49" t="str">
        <f aca="false">"5060458890191"</f>
        <v>5060458890191</v>
      </c>
      <c r="F2216" s="49" t="s">
        <v>3656</v>
      </c>
      <c r="G2216" s="49" t="n">
        <v>0</v>
      </c>
      <c r="H2216" s="0" t="n">
        <v>0</v>
      </c>
      <c r="M2216" s="51" t="s">
        <v>5050</v>
      </c>
      <c r="N2216" s="49" t="n">
        <v>0</v>
      </c>
      <c r="O2216" s="53" t="n">
        <v>45713.7737962963</v>
      </c>
      <c r="P2216" s="53" t="n">
        <v>45720.4650115741</v>
      </c>
      <c r="Q2216" s="53" t="n">
        <v>45713.7737962963</v>
      </c>
      <c r="R2216" s="0" t="n">
        <v>0</v>
      </c>
      <c r="S2216" s="51" t="s">
        <v>2436</v>
      </c>
      <c r="T2216" s="51" t="s">
        <v>2436</v>
      </c>
      <c r="U2216" s="0" t="str">
        <f aca="false">"5060458890191"</f>
        <v>5060458890191</v>
      </c>
      <c r="V2216" s="51" t="s">
        <v>2142</v>
      </c>
      <c r="W2216" s="51" t="s">
        <v>4338</v>
      </c>
      <c r="X2216" s="51" t="s">
        <v>2359</v>
      </c>
    </row>
    <row r="2217" customFormat="false" ht="14.25" hidden="true" customHeight="false" outlineLevel="0" collapsed="false">
      <c r="A2217" s="49" t="s">
        <v>2349</v>
      </c>
      <c r="B2217" s="49" t="s">
        <v>2350</v>
      </c>
      <c r="C2217" s="49" t="s">
        <v>5087</v>
      </c>
      <c r="D2217" s="49" t="s">
        <v>2352</v>
      </c>
      <c r="E2217" s="49" t="str">
        <f aca="false">"5060458890191"</f>
        <v>5060458890191</v>
      </c>
      <c r="F2217" s="49" t="s">
        <v>3656</v>
      </c>
      <c r="G2217" s="49" t="n">
        <v>0</v>
      </c>
      <c r="H2217" s="0" t="n">
        <v>0</v>
      </c>
      <c r="M2217" s="51" t="s">
        <v>5050</v>
      </c>
      <c r="N2217" s="49" t="n">
        <v>0</v>
      </c>
      <c r="O2217" s="53" t="n">
        <v>45713.7741087963</v>
      </c>
      <c r="P2217" s="53" t="n">
        <v>45757.7263773148</v>
      </c>
      <c r="Q2217" s="53" t="n">
        <v>45713.7741087963</v>
      </c>
      <c r="R2217" s="0" t="n">
        <v>0</v>
      </c>
      <c r="S2217" s="51" t="s">
        <v>2436</v>
      </c>
      <c r="T2217" s="51" t="s">
        <v>2436</v>
      </c>
      <c r="U2217" s="0" t="str">
        <f aca="false">"5060458890191"</f>
        <v>5060458890191</v>
      </c>
      <c r="V2217" s="51" t="s">
        <v>2142</v>
      </c>
      <c r="W2217" s="51" t="s">
        <v>5088</v>
      </c>
      <c r="X2217" s="51" t="s">
        <v>2359</v>
      </c>
    </row>
    <row r="2218" customFormat="false" ht="14.25" hidden="true" customHeight="false" outlineLevel="0" collapsed="false">
      <c r="A2218" s="49" t="s">
        <v>2349</v>
      </c>
      <c r="B2218" s="49" t="s">
        <v>2350</v>
      </c>
      <c r="C2218" s="49" t="s">
        <v>5089</v>
      </c>
      <c r="D2218" s="49" t="s">
        <v>2352</v>
      </c>
      <c r="E2218" s="49" t="str">
        <f aca="false">"10074865055175"</f>
        <v>10074865055175</v>
      </c>
      <c r="F2218" s="49" t="s">
        <v>5090</v>
      </c>
      <c r="G2218" s="49" t="n">
        <v>0</v>
      </c>
      <c r="H2218" s="0" t="n">
        <v>0</v>
      </c>
      <c r="M2218" s="51" t="s">
        <v>5091</v>
      </c>
      <c r="N2218" s="49" t="n">
        <v>0</v>
      </c>
      <c r="O2218" s="53" t="n">
        <v>45713.5741435185</v>
      </c>
      <c r="P2218" s="53" t="n">
        <v>45717.4143865741</v>
      </c>
      <c r="Q2218" s="53" t="n">
        <v>45713.5741435185</v>
      </c>
      <c r="R2218" s="0" t="n">
        <v>0</v>
      </c>
      <c r="S2218" s="51" t="s">
        <v>2371</v>
      </c>
      <c r="T2218" s="51" t="s">
        <v>2371</v>
      </c>
      <c r="U2218" s="0" t="str">
        <f aca="false">"10074865055175"</f>
        <v>10074865055175</v>
      </c>
      <c r="V2218" s="51" t="s">
        <v>2365</v>
      </c>
      <c r="W2218" s="51" t="s">
        <v>4851</v>
      </c>
      <c r="X2218" s="51" t="s">
        <v>2359</v>
      </c>
    </row>
    <row r="2219" customFormat="false" ht="14.25" hidden="true" customHeight="false" outlineLevel="0" collapsed="false">
      <c r="A2219" s="49" t="s">
        <v>2349</v>
      </c>
      <c r="B2219" s="49" t="s">
        <v>2350</v>
      </c>
      <c r="C2219" s="49" t="s">
        <v>5092</v>
      </c>
      <c r="D2219" s="49" t="s">
        <v>2352</v>
      </c>
      <c r="E2219" s="49" t="str">
        <f aca="false">"10074865055175"</f>
        <v>10074865055175</v>
      </c>
      <c r="F2219" s="49" t="s">
        <v>5090</v>
      </c>
      <c r="G2219" s="49" t="n">
        <v>0</v>
      </c>
      <c r="H2219" s="0" t="n">
        <v>0</v>
      </c>
      <c r="M2219" s="51" t="s">
        <v>5091</v>
      </c>
      <c r="N2219" s="49" t="n">
        <v>0</v>
      </c>
      <c r="O2219" s="53" t="n">
        <v>45713.5739699074</v>
      </c>
      <c r="P2219" s="53" t="n">
        <v>45740.9894560185</v>
      </c>
      <c r="Q2219" s="53" t="n">
        <v>45713.5739699074</v>
      </c>
      <c r="R2219" s="0" t="n">
        <v>0</v>
      </c>
      <c r="S2219" s="51" t="s">
        <v>2371</v>
      </c>
      <c r="T2219" s="51" t="s">
        <v>2371</v>
      </c>
      <c r="U2219" s="0" t="str">
        <f aca="false">"10074865055175"</f>
        <v>10074865055175</v>
      </c>
      <c r="V2219" s="51" t="s">
        <v>2365</v>
      </c>
      <c r="W2219" s="51" t="s">
        <v>5093</v>
      </c>
      <c r="X2219" s="51" t="s">
        <v>2359</v>
      </c>
    </row>
    <row r="2220" customFormat="false" ht="14.25" hidden="true" customHeight="false" outlineLevel="0" collapsed="false">
      <c r="A2220" s="49" t="s">
        <v>2349</v>
      </c>
      <c r="B2220" s="49" t="s">
        <v>2350</v>
      </c>
      <c r="C2220" s="49" t="s">
        <v>5094</v>
      </c>
      <c r="D2220" s="49" t="s">
        <v>2352</v>
      </c>
      <c r="E2220" s="49" t="str">
        <f aca="false">"10074865055175"</f>
        <v>10074865055175</v>
      </c>
      <c r="F2220" s="49" t="s">
        <v>5090</v>
      </c>
      <c r="G2220" s="49" t="n">
        <v>0</v>
      </c>
      <c r="H2220" s="0" t="n">
        <v>0</v>
      </c>
      <c r="M2220" s="51" t="s">
        <v>5091</v>
      </c>
      <c r="N2220" s="49" t="n">
        <v>0</v>
      </c>
      <c r="O2220" s="53" t="n">
        <v>45713.57375</v>
      </c>
      <c r="P2220" s="53" t="n">
        <v>45742.5781597222</v>
      </c>
      <c r="Q2220" s="53" t="n">
        <v>45713.57375</v>
      </c>
      <c r="R2220" s="0" t="n">
        <v>0</v>
      </c>
      <c r="S2220" s="51" t="s">
        <v>2371</v>
      </c>
      <c r="T2220" s="51" t="s">
        <v>2371</v>
      </c>
      <c r="U2220" s="0" t="str">
        <f aca="false">"10074865055175"</f>
        <v>10074865055175</v>
      </c>
      <c r="V2220" s="51" t="s">
        <v>2365</v>
      </c>
      <c r="W2220" s="51" t="s">
        <v>5095</v>
      </c>
      <c r="X2220" s="51" t="s">
        <v>2359</v>
      </c>
    </row>
    <row r="2221" customFormat="false" ht="14.25" hidden="true" customHeight="false" outlineLevel="0" collapsed="false">
      <c r="A2221" s="49" t="s">
        <v>2349</v>
      </c>
      <c r="B2221" s="49" t="s">
        <v>2350</v>
      </c>
      <c r="C2221" s="49" t="s">
        <v>5096</v>
      </c>
      <c r="D2221" s="49" t="s">
        <v>2352</v>
      </c>
      <c r="E2221" s="49" t="str">
        <f aca="false">"10074865055175"</f>
        <v>10074865055175</v>
      </c>
      <c r="F2221" s="49" t="s">
        <v>5090</v>
      </c>
      <c r="G2221" s="49" t="n">
        <v>0</v>
      </c>
      <c r="H2221" s="0" t="n">
        <v>0</v>
      </c>
      <c r="M2221" s="51" t="s">
        <v>5091</v>
      </c>
      <c r="N2221" s="49" t="n">
        <v>0</v>
      </c>
      <c r="O2221" s="53" t="n">
        <v>45713.5735532407</v>
      </c>
      <c r="P2221" s="53" t="n">
        <v>45742.9413194444</v>
      </c>
      <c r="Q2221" s="53" t="n">
        <v>45713.5735532407</v>
      </c>
      <c r="R2221" s="0" t="n">
        <v>0</v>
      </c>
      <c r="S2221" s="51" t="s">
        <v>2371</v>
      </c>
      <c r="T2221" s="51" t="s">
        <v>2371</v>
      </c>
      <c r="U2221" s="0" t="str">
        <f aca="false">"10074865055175"</f>
        <v>10074865055175</v>
      </c>
      <c r="V2221" s="51" t="s">
        <v>2365</v>
      </c>
      <c r="W2221" s="51" t="s">
        <v>5097</v>
      </c>
      <c r="X2221" s="51" t="s">
        <v>2359</v>
      </c>
    </row>
    <row r="2222" customFormat="false" ht="14.25" hidden="true" customHeight="false" outlineLevel="0" collapsed="false">
      <c r="A2222" s="49" t="s">
        <v>2349</v>
      </c>
      <c r="B2222" s="49" t="s">
        <v>2350</v>
      </c>
      <c r="C2222" s="49" t="s">
        <v>5098</v>
      </c>
      <c r="D2222" s="49" t="s">
        <v>2352</v>
      </c>
      <c r="E2222" s="49" t="str">
        <f aca="false">"10074865055175"</f>
        <v>10074865055175</v>
      </c>
      <c r="F2222" s="49" t="s">
        <v>5090</v>
      </c>
      <c r="G2222" s="49" t="n">
        <v>0</v>
      </c>
      <c r="H2222" s="0" t="n">
        <v>0</v>
      </c>
      <c r="M2222" s="51" t="s">
        <v>5091</v>
      </c>
      <c r="N2222" s="49" t="n">
        <v>0</v>
      </c>
      <c r="O2222" s="53" t="n">
        <v>45713.5733564815</v>
      </c>
      <c r="P2222" s="53" t="n">
        <v>45719.4007060185</v>
      </c>
      <c r="Q2222" s="53" t="n">
        <v>45713.5733564815</v>
      </c>
      <c r="R2222" s="0" t="n">
        <v>0</v>
      </c>
      <c r="S2222" s="51" t="s">
        <v>2371</v>
      </c>
      <c r="T2222" s="51" t="s">
        <v>2371</v>
      </c>
      <c r="U2222" s="0" t="str">
        <f aca="false">"10074865055175"</f>
        <v>10074865055175</v>
      </c>
      <c r="V2222" s="51" t="s">
        <v>2365</v>
      </c>
      <c r="W2222" s="51" t="s">
        <v>5099</v>
      </c>
      <c r="X2222" s="51" t="s">
        <v>2359</v>
      </c>
    </row>
    <row r="2223" customFormat="false" ht="14.25" hidden="true" customHeight="false" outlineLevel="0" collapsed="false">
      <c r="A2223" s="49" t="s">
        <v>2349</v>
      </c>
      <c r="B2223" s="49" t="s">
        <v>2350</v>
      </c>
      <c r="C2223" s="49" t="s">
        <v>5100</v>
      </c>
      <c r="D2223" s="49" t="s">
        <v>2352</v>
      </c>
      <c r="E2223" s="49" t="str">
        <f aca="false">"10074865055175"</f>
        <v>10074865055175</v>
      </c>
      <c r="F2223" s="49" t="s">
        <v>5090</v>
      </c>
      <c r="G2223" s="49" t="n">
        <v>0</v>
      </c>
      <c r="H2223" s="0" t="n">
        <v>0</v>
      </c>
      <c r="M2223" s="51" t="s">
        <v>5091</v>
      </c>
      <c r="N2223" s="49" t="n">
        <v>0</v>
      </c>
      <c r="O2223" s="53" t="n">
        <v>45713.5731481482</v>
      </c>
      <c r="P2223" s="53" t="n">
        <v>45750.6521064815</v>
      </c>
      <c r="Q2223" s="53" t="n">
        <v>45713.5731481482</v>
      </c>
      <c r="R2223" s="0" t="n">
        <v>0</v>
      </c>
      <c r="S2223" s="51" t="s">
        <v>2371</v>
      </c>
      <c r="T2223" s="51" t="s">
        <v>2371</v>
      </c>
      <c r="U2223" s="0" t="str">
        <f aca="false">"10074865055175"</f>
        <v>10074865055175</v>
      </c>
      <c r="V2223" s="51" t="s">
        <v>2365</v>
      </c>
      <c r="W2223" s="51" t="s">
        <v>5101</v>
      </c>
      <c r="X2223" s="51" t="s">
        <v>2359</v>
      </c>
    </row>
    <row r="2224" customFormat="false" ht="14.25" hidden="true" customHeight="false" outlineLevel="0" collapsed="false">
      <c r="A2224" s="49" t="s">
        <v>2349</v>
      </c>
      <c r="B2224" s="49" t="s">
        <v>2350</v>
      </c>
      <c r="C2224" s="49" t="s">
        <v>5102</v>
      </c>
      <c r="D2224" s="49" t="s">
        <v>2352</v>
      </c>
      <c r="E2224" s="49" t="str">
        <f aca="false">"10074865055175"</f>
        <v>10074865055175</v>
      </c>
      <c r="F2224" s="49" t="s">
        <v>5090</v>
      </c>
      <c r="G2224" s="49" t="n">
        <v>0</v>
      </c>
      <c r="H2224" s="0" t="n">
        <v>0</v>
      </c>
      <c r="M2224" s="51" t="s">
        <v>5091</v>
      </c>
      <c r="N2224" s="49" t="n">
        <v>0</v>
      </c>
      <c r="O2224" s="53" t="n">
        <v>45713.5729050926</v>
      </c>
      <c r="P2224" s="53" t="n">
        <v>45750.6516782407</v>
      </c>
      <c r="Q2224" s="53" t="n">
        <v>45713.5729050926</v>
      </c>
      <c r="R2224" s="0" t="n">
        <v>0</v>
      </c>
      <c r="S2224" s="51" t="s">
        <v>2371</v>
      </c>
      <c r="T2224" s="51" t="s">
        <v>2371</v>
      </c>
      <c r="U2224" s="0" t="str">
        <f aca="false">"10074865055175"</f>
        <v>10074865055175</v>
      </c>
      <c r="V2224" s="51" t="s">
        <v>2365</v>
      </c>
      <c r="W2224" s="51" t="s">
        <v>5103</v>
      </c>
      <c r="X2224" s="51" t="s">
        <v>2359</v>
      </c>
    </row>
    <row r="2225" customFormat="false" ht="14.25" hidden="true" customHeight="false" outlineLevel="0" collapsed="false">
      <c r="A2225" s="49" t="s">
        <v>2349</v>
      </c>
      <c r="B2225" s="49" t="s">
        <v>2350</v>
      </c>
      <c r="C2225" s="49" t="s">
        <v>5104</v>
      </c>
      <c r="D2225" s="49" t="s">
        <v>2352</v>
      </c>
      <c r="E2225" s="49" t="str">
        <f aca="false">"10074865055175"</f>
        <v>10074865055175</v>
      </c>
      <c r="F2225" s="49" t="s">
        <v>5090</v>
      </c>
      <c r="G2225" s="49" t="n">
        <v>0</v>
      </c>
      <c r="H2225" s="0" t="n">
        <v>0</v>
      </c>
      <c r="M2225" s="51" t="s">
        <v>5091</v>
      </c>
      <c r="N2225" s="49" t="n">
        <v>0</v>
      </c>
      <c r="O2225" s="53" t="n">
        <v>45713.5727430556</v>
      </c>
      <c r="P2225" s="53" t="n">
        <v>45740.996712963</v>
      </c>
      <c r="Q2225" s="53" t="n">
        <v>45713.5727430556</v>
      </c>
      <c r="R2225" s="0" t="n">
        <v>0</v>
      </c>
      <c r="S2225" s="51" t="s">
        <v>2371</v>
      </c>
      <c r="T2225" s="51" t="s">
        <v>2371</v>
      </c>
      <c r="U2225" s="0" t="str">
        <f aca="false">"10074865055175"</f>
        <v>10074865055175</v>
      </c>
      <c r="V2225" s="51" t="s">
        <v>2365</v>
      </c>
      <c r="W2225" s="51" t="s">
        <v>5095</v>
      </c>
      <c r="X2225" s="51" t="s">
        <v>2359</v>
      </c>
    </row>
    <row r="2226" customFormat="false" ht="14.25" hidden="true" customHeight="false" outlineLevel="0" collapsed="false">
      <c r="A2226" s="49" t="s">
        <v>2349</v>
      </c>
      <c r="B2226" s="49" t="s">
        <v>2350</v>
      </c>
      <c r="C2226" s="49" t="s">
        <v>5105</v>
      </c>
      <c r="D2226" s="49" t="s">
        <v>2352</v>
      </c>
      <c r="E2226" s="49" t="str">
        <f aca="false">"10074865055175"</f>
        <v>10074865055175</v>
      </c>
      <c r="F2226" s="49" t="s">
        <v>5090</v>
      </c>
      <c r="G2226" s="49" t="n">
        <v>0</v>
      </c>
      <c r="H2226" s="0" t="n">
        <v>0</v>
      </c>
      <c r="M2226" s="51" t="s">
        <v>5091</v>
      </c>
      <c r="N2226" s="49" t="n">
        <v>0</v>
      </c>
      <c r="O2226" s="53" t="n">
        <v>45713.5725231482</v>
      </c>
      <c r="P2226" s="53" t="n">
        <v>45728.8994560185</v>
      </c>
      <c r="Q2226" s="53" t="n">
        <v>45713.5725231482</v>
      </c>
      <c r="R2226" s="0" t="n">
        <v>0</v>
      </c>
      <c r="S2226" s="51" t="s">
        <v>2371</v>
      </c>
      <c r="T2226" s="51" t="s">
        <v>2371</v>
      </c>
      <c r="U2226" s="0" t="str">
        <f aca="false">"10074865055175"</f>
        <v>10074865055175</v>
      </c>
      <c r="V2226" s="51" t="s">
        <v>2365</v>
      </c>
      <c r="W2226" s="51" t="s">
        <v>5106</v>
      </c>
      <c r="X2226" s="51" t="s">
        <v>2359</v>
      </c>
    </row>
    <row r="2227" customFormat="false" ht="14.25" hidden="true" customHeight="false" outlineLevel="0" collapsed="false">
      <c r="A2227" s="49" t="s">
        <v>2349</v>
      </c>
      <c r="B2227" s="49" t="s">
        <v>2350</v>
      </c>
      <c r="C2227" s="49" t="s">
        <v>5107</v>
      </c>
      <c r="D2227" s="49" t="s">
        <v>2352</v>
      </c>
      <c r="E2227" s="49" t="str">
        <f aca="false">"10074865055175"</f>
        <v>10074865055175</v>
      </c>
      <c r="F2227" s="49" t="s">
        <v>5090</v>
      </c>
      <c r="G2227" s="49" t="n">
        <v>0</v>
      </c>
      <c r="H2227" s="0" t="n">
        <v>0</v>
      </c>
      <c r="M2227" s="51" t="s">
        <v>5091</v>
      </c>
      <c r="N2227" s="49" t="n">
        <v>0</v>
      </c>
      <c r="O2227" s="53" t="n">
        <v>45713.5722685185</v>
      </c>
      <c r="P2227" s="53" t="n">
        <v>45728.9327546296</v>
      </c>
      <c r="Q2227" s="53" t="n">
        <v>45713.5722685185</v>
      </c>
      <c r="R2227" s="0" t="n">
        <v>0</v>
      </c>
      <c r="S2227" s="51" t="s">
        <v>2371</v>
      </c>
      <c r="T2227" s="51" t="s">
        <v>2371</v>
      </c>
      <c r="U2227" s="0" t="str">
        <f aca="false">"10074865055175"</f>
        <v>10074865055175</v>
      </c>
      <c r="V2227" s="51" t="s">
        <v>2365</v>
      </c>
      <c r="W2227" s="51" t="s">
        <v>4056</v>
      </c>
      <c r="X2227" s="51" t="s">
        <v>2359</v>
      </c>
    </row>
    <row r="2228" customFormat="false" ht="14.25" hidden="true" customHeight="false" outlineLevel="0" collapsed="false">
      <c r="A2228" s="49" t="s">
        <v>2349</v>
      </c>
      <c r="B2228" s="49" t="s">
        <v>2350</v>
      </c>
      <c r="C2228" s="49" t="s">
        <v>5108</v>
      </c>
      <c r="D2228" s="49" t="s">
        <v>2352</v>
      </c>
      <c r="E2228" s="49" t="str">
        <f aca="false">"10074865055175"</f>
        <v>10074865055175</v>
      </c>
      <c r="F2228" s="49" t="s">
        <v>5090</v>
      </c>
      <c r="G2228" s="49" t="n">
        <v>0</v>
      </c>
      <c r="H2228" s="0" t="n">
        <v>0</v>
      </c>
      <c r="M2228" s="51" t="s">
        <v>5091</v>
      </c>
      <c r="N2228" s="49" t="n">
        <v>0</v>
      </c>
      <c r="O2228" s="53" t="n">
        <v>45713.5669444444</v>
      </c>
      <c r="P2228" s="53" t="n">
        <v>45728.9215509259</v>
      </c>
      <c r="Q2228" s="53" t="n">
        <v>45713.5669444444</v>
      </c>
      <c r="R2228" s="0" t="n">
        <v>0</v>
      </c>
      <c r="S2228" s="51" t="s">
        <v>2371</v>
      </c>
      <c r="T2228" s="51" t="s">
        <v>2371</v>
      </c>
      <c r="U2228" s="0" t="str">
        <f aca="false">"10074865055175"</f>
        <v>10074865055175</v>
      </c>
      <c r="V2228" s="51" t="s">
        <v>2365</v>
      </c>
      <c r="W2228" s="51" t="s">
        <v>4797</v>
      </c>
      <c r="X2228" s="51" t="s">
        <v>2359</v>
      </c>
    </row>
    <row r="2229" customFormat="false" ht="14.25" hidden="true" customHeight="false" outlineLevel="0" collapsed="false">
      <c r="A2229" s="49" t="s">
        <v>2349</v>
      </c>
      <c r="B2229" s="49" t="s">
        <v>2350</v>
      </c>
      <c r="C2229" s="49" t="s">
        <v>5109</v>
      </c>
      <c r="D2229" s="49" t="s">
        <v>2352</v>
      </c>
      <c r="E2229" s="49" t="str">
        <f aca="false">"10074865055175"</f>
        <v>10074865055175</v>
      </c>
      <c r="F2229" s="49" t="s">
        <v>5090</v>
      </c>
      <c r="G2229" s="49" t="n">
        <v>0</v>
      </c>
      <c r="H2229" s="0" t="n">
        <v>0</v>
      </c>
      <c r="M2229" s="51" t="s">
        <v>5091</v>
      </c>
      <c r="N2229" s="49" t="n">
        <v>0</v>
      </c>
      <c r="O2229" s="53" t="n">
        <v>45713.569849537</v>
      </c>
      <c r="P2229" s="53" t="n">
        <v>45728.9294560185</v>
      </c>
      <c r="Q2229" s="53" t="n">
        <v>45713.569849537</v>
      </c>
      <c r="R2229" s="0" t="n">
        <v>0</v>
      </c>
      <c r="S2229" s="51" t="s">
        <v>2371</v>
      </c>
      <c r="T2229" s="51" t="s">
        <v>2371</v>
      </c>
      <c r="U2229" s="0" t="str">
        <f aca="false">"10074865055175"</f>
        <v>10074865055175</v>
      </c>
      <c r="V2229" s="51" t="s">
        <v>2365</v>
      </c>
      <c r="W2229" s="51" t="s">
        <v>4883</v>
      </c>
      <c r="X2229" s="51" t="s">
        <v>2359</v>
      </c>
    </row>
    <row r="2230" customFormat="false" ht="14.25" hidden="true" customHeight="false" outlineLevel="0" collapsed="false">
      <c r="A2230" s="49" t="s">
        <v>2349</v>
      </c>
      <c r="B2230" s="49" t="s">
        <v>2350</v>
      </c>
      <c r="C2230" s="49" t="s">
        <v>5110</v>
      </c>
      <c r="D2230" s="49" t="s">
        <v>2352</v>
      </c>
      <c r="E2230" s="49" t="str">
        <f aca="false">"10074865055175"</f>
        <v>10074865055175</v>
      </c>
      <c r="F2230" s="49" t="s">
        <v>5090</v>
      </c>
      <c r="G2230" s="49" t="n">
        <v>0</v>
      </c>
      <c r="H2230" s="0" t="n">
        <v>0</v>
      </c>
      <c r="M2230" s="51" t="s">
        <v>5091</v>
      </c>
      <c r="N2230" s="49" t="n">
        <v>0</v>
      </c>
      <c r="O2230" s="53" t="n">
        <v>45713.5701736111</v>
      </c>
      <c r="P2230" s="53" t="n">
        <v>45728.9235532407</v>
      </c>
      <c r="Q2230" s="53" t="n">
        <v>45713.5701736111</v>
      </c>
      <c r="R2230" s="0" t="n">
        <v>0</v>
      </c>
      <c r="S2230" s="51" t="s">
        <v>2371</v>
      </c>
      <c r="T2230" s="51" t="s">
        <v>2371</v>
      </c>
      <c r="U2230" s="0" t="str">
        <f aca="false">"10074865055175"</f>
        <v>10074865055175</v>
      </c>
      <c r="V2230" s="51" t="s">
        <v>2365</v>
      </c>
      <c r="W2230" s="51" t="s">
        <v>4575</v>
      </c>
      <c r="X2230" s="51" t="s">
        <v>2359</v>
      </c>
    </row>
    <row r="2231" customFormat="false" ht="14.25" hidden="true" customHeight="false" outlineLevel="0" collapsed="false">
      <c r="A2231" s="49" t="s">
        <v>2349</v>
      </c>
      <c r="B2231" s="49" t="s">
        <v>2350</v>
      </c>
      <c r="C2231" s="49" t="s">
        <v>5111</v>
      </c>
      <c r="D2231" s="49" t="s">
        <v>2352</v>
      </c>
      <c r="E2231" s="49" t="str">
        <f aca="false">"10074865055175"</f>
        <v>10074865055175</v>
      </c>
      <c r="F2231" s="49" t="s">
        <v>5090</v>
      </c>
      <c r="G2231" s="49" t="n">
        <v>0</v>
      </c>
      <c r="H2231" s="0" t="n">
        <v>0</v>
      </c>
      <c r="M2231" s="51" t="s">
        <v>5091</v>
      </c>
      <c r="N2231" s="49" t="n">
        <v>0</v>
      </c>
      <c r="O2231" s="53" t="n">
        <v>45713.5704166667</v>
      </c>
      <c r="P2231" s="53" t="n">
        <v>45717.4111458333</v>
      </c>
      <c r="Q2231" s="53" t="n">
        <v>45713.5704166667</v>
      </c>
      <c r="R2231" s="0" t="n">
        <v>0</v>
      </c>
      <c r="S2231" s="51" t="s">
        <v>2371</v>
      </c>
      <c r="T2231" s="51" t="s">
        <v>2371</v>
      </c>
      <c r="U2231" s="0" t="str">
        <f aca="false">"10074865055175"</f>
        <v>10074865055175</v>
      </c>
      <c r="V2231" s="51" t="s">
        <v>2365</v>
      </c>
      <c r="W2231" s="51" t="s">
        <v>4838</v>
      </c>
      <c r="X2231" s="51" t="s">
        <v>2359</v>
      </c>
    </row>
    <row r="2232" customFormat="false" ht="14.25" hidden="true" customHeight="false" outlineLevel="0" collapsed="false">
      <c r="A2232" s="49" t="s">
        <v>2349</v>
      </c>
      <c r="B2232" s="49" t="s">
        <v>2350</v>
      </c>
      <c r="C2232" s="49" t="s">
        <v>5112</v>
      </c>
      <c r="D2232" s="49" t="s">
        <v>2352</v>
      </c>
      <c r="E2232" s="49" t="str">
        <f aca="false">"10074865055175"</f>
        <v>10074865055175</v>
      </c>
      <c r="F2232" s="49" t="s">
        <v>5090</v>
      </c>
      <c r="G2232" s="49" t="n">
        <v>0</v>
      </c>
      <c r="H2232" s="0" t="n">
        <v>0</v>
      </c>
      <c r="M2232" s="51" t="s">
        <v>5091</v>
      </c>
      <c r="N2232" s="49" t="n">
        <v>0</v>
      </c>
      <c r="O2232" s="53" t="n">
        <v>45713.5705324074</v>
      </c>
      <c r="P2232" s="53" t="n">
        <v>45717.4343287037</v>
      </c>
      <c r="Q2232" s="53" t="n">
        <v>45713.5705324074</v>
      </c>
      <c r="R2232" s="0" t="n">
        <v>0</v>
      </c>
      <c r="S2232" s="51" t="s">
        <v>2371</v>
      </c>
      <c r="T2232" s="51" t="s">
        <v>2371</v>
      </c>
      <c r="U2232" s="0" t="str">
        <f aca="false">"10074865055175"</f>
        <v>10074865055175</v>
      </c>
      <c r="V2232" s="51" t="s">
        <v>2365</v>
      </c>
      <c r="W2232" s="51" t="s">
        <v>4032</v>
      </c>
      <c r="X2232" s="51" t="s">
        <v>2359</v>
      </c>
    </row>
    <row r="2233" customFormat="false" ht="14.25" hidden="true" customHeight="false" outlineLevel="0" collapsed="false">
      <c r="A2233" s="49" t="s">
        <v>2349</v>
      </c>
      <c r="B2233" s="49" t="s">
        <v>2350</v>
      </c>
      <c r="C2233" s="49" t="s">
        <v>5113</v>
      </c>
      <c r="D2233" s="49" t="s">
        <v>2352</v>
      </c>
      <c r="E2233" s="49" t="str">
        <f aca="false">"10074865055175"</f>
        <v>10074865055175</v>
      </c>
      <c r="F2233" s="49" t="s">
        <v>5090</v>
      </c>
      <c r="G2233" s="49" t="n">
        <v>0</v>
      </c>
      <c r="H2233" s="0" t="n">
        <v>0</v>
      </c>
      <c r="M2233" s="51" t="s">
        <v>5091</v>
      </c>
      <c r="N2233" s="49" t="n">
        <v>0</v>
      </c>
      <c r="O2233" s="53" t="n">
        <v>45713.5706481482</v>
      </c>
      <c r="P2233" s="53" t="n">
        <v>45717.4003125</v>
      </c>
      <c r="Q2233" s="53" t="n">
        <v>45713.5706481482</v>
      </c>
      <c r="R2233" s="0" t="n">
        <v>0</v>
      </c>
      <c r="S2233" s="51" t="s">
        <v>2371</v>
      </c>
      <c r="T2233" s="51" t="s">
        <v>2371</v>
      </c>
      <c r="U2233" s="0" t="str">
        <f aca="false">"10074865055175"</f>
        <v>10074865055175</v>
      </c>
      <c r="V2233" s="51" t="s">
        <v>2365</v>
      </c>
      <c r="W2233" s="51" t="s">
        <v>4831</v>
      </c>
      <c r="X2233" s="51" t="s">
        <v>2359</v>
      </c>
    </row>
    <row r="2234" customFormat="false" ht="14.25" hidden="true" customHeight="false" outlineLevel="0" collapsed="false">
      <c r="A2234" s="49" t="s">
        <v>2349</v>
      </c>
      <c r="B2234" s="49" t="s">
        <v>2350</v>
      </c>
      <c r="C2234" s="49" t="s">
        <v>5114</v>
      </c>
      <c r="D2234" s="49" t="s">
        <v>2352</v>
      </c>
      <c r="E2234" s="49" t="str">
        <f aca="false">"10074865055175"</f>
        <v>10074865055175</v>
      </c>
      <c r="F2234" s="49" t="s">
        <v>5090</v>
      </c>
      <c r="G2234" s="49" t="n">
        <v>0</v>
      </c>
      <c r="H2234" s="0" t="n">
        <v>0</v>
      </c>
      <c r="M2234" s="51" t="s">
        <v>5091</v>
      </c>
      <c r="N2234" s="49" t="n">
        <v>0</v>
      </c>
      <c r="O2234" s="53" t="n">
        <v>45713.5707986111</v>
      </c>
      <c r="P2234" s="53" t="n">
        <v>45717.4086689815</v>
      </c>
      <c r="Q2234" s="53" t="n">
        <v>45713.5707986111</v>
      </c>
      <c r="R2234" s="0" t="n">
        <v>0</v>
      </c>
      <c r="S2234" s="51" t="s">
        <v>2371</v>
      </c>
      <c r="T2234" s="51" t="s">
        <v>2371</v>
      </c>
      <c r="U2234" s="0" t="str">
        <f aca="false">"10074865055175"</f>
        <v>10074865055175</v>
      </c>
      <c r="V2234" s="51" t="s">
        <v>2365</v>
      </c>
      <c r="W2234" s="51" t="s">
        <v>4833</v>
      </c>
      <c r="X2234" s="51" t="s">
        <v>2359</v>
      </c>
    </row>
    <row r="2235" customFormat="false" ht="14.25" hidden="true" customHeight="false" outlineLevel="0" collapsed="false">
      <c r="A2235" s="49" t="s">
        <v>2349</v>
      </c>
      <c r="B2235" s="49" t="s">
        <v>2350</v>
      </c>
      <c r="C2235" s="49" t="s">
        <v>5115</v>
      </c>
      <c r="D2235" s="49" t="s">
        <v>2352</v>
      </c>
      <c r="E2235" s="49" t="str">
        <f aca="false">"10074865055175"</f>
        <v>10074865055175</v>
      </c>
      <c r="F2235" s="49" t="s">
        <v>5090</v>
      </c>
      <c r="G2235" s="49" t="n">
        <v>0</v>
      </c>
      <c r="H2235" s="0" t="n">
        <v>0</v>
      </c>
      <c r="M2235" s="51" t="s">
        <v>5091</v>
      </c>
      <c r="N2235" s="49" t="n">
        <v>0</v>
      </c>
      <c r="O2235" s="53" t="n">
        <v>45713.5710185185</v>
      </c>
      <c r="P2235" s="53" t="n">
        <v>45717.4121412037</v>
      </c>
      <c r="Q2235" s="53" t="n">
        <v>45713.5710185185</v>
      </c>
      <c r="R2235" s="0" t="n">
        <v>0</v>
      </c>
      <c r="S2235" s="51" t="s">
        <v>2371</v>
      </c>
      <c r="T2235" s="51" t="s">
        <v>2371</v>
      </c>
      <c r="U2235" s="0" t="str">
        <f aca="false">"10074865055175"</f>
        <v>10074865055175</v>
      </c>
      <c r="V2235" s="51" t="s">
        <v>2365</v>
      </c>
      <c r="W2235" s="51" t="s">
        <v>5116</v>
      </c>
      <c r="X2235" s="51" t="s">
        <v>2359</v>
      </c>
    </row>
    <row r="2236" customFormat="false" ht="14.25" hidden="true" customHeight="false" outlineLevel="0" collapsed="false">
      <c r="A2236" s="49" t="s">
        <v>2349</v>
      </c>
      <c r="B2236" s="49" t="s">
        <v>2350</v>
      </c>
      <c r="C2236" s="49" t="s">
        <v>5117</v>
      </c>
      <c r="D2236" s="49" t="s">
        <v>2352</v>
      </c>
      <c r="E2236" s="49" t="str">
        <f aca="false">"10074865055175"</f>
        <v>10074865055175</v>
      </c>
      <c r="F2236" s="49" t="s">
        <v>5090</v>
      </c>
      <c r="G2236" s="49" t="n">
        <v>0</v>
      </c>
      <c r="H2236" s="0" t="n">
        <v>0</v>
      </c>
      <c r="M2236" s="51" t="s">
        <v>5091</v>
      </c>
      <c r="N2236" s="49" t="n">
        <v>0</v>
      </c>
      <c r="O2236" s="53" t="n">
        <v>45713.5712615741</v>
      </c>
      <c r="P2236" s="53" t="n">
        <v>45717.4329861111</v>
      </c>
      <c r="Q2236" s="53" t="n">
        <v>45713.5712615741</v>
      </c>
      <c r="R2236" s="0" t="n">
        <v>0</v>
      </c>
      <c r="S2236" s="51" t="s">
        <v>2371</v>
      </c>
      <c r="T2236" s="51" t="s">
        <v>2371</v>
      </c>
      <c r="U2236" s="0" t="str">
        <f aca="false">"10074865055175"</f>
        <v>10074865055175</v>
      </c>
      <c r="V2236" s="51" t="s">
        <v>2365</v>
      </c>
      <c r="W2236" s="51" t="s">
        <v>5118</v>
      </c>
      <c r="X2236" s="51" t="s">
        <v>2359</v>
      </c>
    </row>
    <row r="2237" customFormat="false" ht="14.25" hidden="true" customHeight="false" outlineLevel="0" collapsed="false">
      <c r="A2237" s="49" t="s">
        <v>2349</v>
      </c>
      <c r="B2237" s="49" t="s">
        <v>2350</v>
      </c>
      <c r="C2237" s="49" t="s">
        <v>5119</v>
      </c>
      <c r="D2237" s="49" t="s">
        <v>2352</v>
      </c>
      <c r="E2237" s="49" t="str">
        <f aca="false">"10074865055175"</f>
        <v>10074865055175</v>
      </c>
      <c r="F2237" s="49" t="s">
        <v>5090</v>
      </c>
      <c r="G2237" s="49" t="n">
        <v>0</v>
      </c>
      <c r="H2237" s="0" t="n">
        <v>0</v>
      </c>
      <c r="M2237" s="51" t="s">
        <v>5091</v>
      </c>
      <c r="N2237" s="49" t="n">
        <v>0</v>
      </c>
      <c r="O2237" s="53" t="n">
        <v>45713.571400463</v>
      </c>
      <c r="P2237" s="53" t="n">
        <v>45728.9251273148</v>
      </c>
      <c r="Q2237" s="53" t="n">
        <v>45713.571400463</v>
      </c>
      <c r="R2237" s="0" t="n">
        <v>0</v>
      </c>
      <c r="S2237" s="51" t="s">
        <v>2371</v>
      </c>
      <c r="T2237" s="51" t="s">
        <v>2371</v>
      </c>
      <c r="U2237" s="0" t="str">
        <f aca="false">"10074865055175"</f>
        <v>10074865055175</v>
      </c>
      <c r="V2237" s="51" t="s">
        <v>2365</v>
      </c>
      <c r="W2237" s="51" t="s">
        <v>4566</v>
      </c>
      <c r="X2237" s="51" t="s">
        <v>2359</v>
      </c>
    </row>
    <row r="2238" customFormat="false" ht="14.25" hidden="true" customHeight="false" outlineLevel="0" collapsed="false">
      <c r="A2238" s="49" t="s">
        <v>2349</v>
      </c>
      <c r="B2238" s="49" t="s">
        <v>2350</v>
      </c>
      <c r="C2238" s="49" t="s">
        <v>5120</v>
      </c>
      <c r="D2238" s="49" t="s">
        <v>2352</v>
      </c>
      <c r="E2238" s="49" t="str">
        <f aca="false">"10074865055175"</f>
        <v>10074865055175</v>
      </c>
      <c r="F2238" s="49" t="s">
        <v>5090</v>
      </c>
      <c r="G2238" s="49" t="n">
        <v>0</v>
      </c>
      <c r="H2238" s="0" t="n">
        <v>0</v>
      </c>
      <c r="M2238" s="51" t="s">
        <v>5091</v>
      </c>
      <c r="N2238" s="49" t="n">
        <v>0</v>
      </c>
      <c r="O2238" s="53" t="n">
        <v>45713.5715856482</v>
      </c>
      <c r="P2238" s="53" t="n">
        <v>45728.9204976852</v>
      </c>
      <c r="Q2238" s="53" t="n">
        <v>45713.5715856482</v>
      </c>
      <c r="R2238" s="0" t="n">
        <v>0</v>
      </c>
      <c r="S2238" s="51" t="s">
        <v>2371</v>
      </c>
      <c r="T2238" s="51" t="s">
        <v>2371</v>
      </c>
      <c r="U2238" s="0" t="str">
        <f aca="false">"10074865055175"</f>
        <v>10074865055175</v>
      </c>
      <c r="V2238" s="51" t="s">
        <v>2365</v>
      </c>
      <c r="W2238" s="51" t="s">
        <v>5121</v>
      </c>
      <c r="X2238" s="51" t="s">
        <v>2359</v>
      </c>
    </row>
    <row r="2239" customFormat="false" ht="14.25" hidden="true" customHeight="false" outlineLevel="0" collapsed="false">
      <c r="A2239" s="49" t="s">
        <v>2349</v>
      </c>
      <c r="B2239" s="49" t="s">
        <v>2350</v>
      </c>
      <c r="C2239" s="49" t="s">
        <v>5122</v>
      </c>
      <c r="D2239" s="49" t="s">
        <v>2352</v>
      </c>
      <c r="E2239" s="49" t="str">
        <f aca="false">"10074865055175"</f>
        <v>10074865055175</v>
      </c>
      <c r="F2239" s="49" t="s">
        <v>5090</v>
      </c>
      <c r="G2239" s="49" t="n">
        <v>0</v>
      </c>
      <c r="H2239" s="0" t="n">
        <v>0</v>
      </c>
      <c r="M2239" s="51" t="s">
        <v>5091</v>
      </c>
      <c r="N2239" s="49" t="n">
        <v>0</v>
      </c>
      <c r="O2239" s="53" t="n">
        <v>45713.571724537</v>
      </c>
      <c r="P2239" s="53" t="n">
        <v>45717.416724537</v>
      </c>
      <c r="Q2239" s="53" t="n">
        <v>45713.571724537</v>
      </c>
      <c r="R2239" s="0" t="n">
        <v>0</v>
      </c>
      <c r="S2239" s="51" t="s">
        <v>2371</v>
      </c>
      <c r="T2239" s="51" t="s">
        <v>2371</v>
      </c>
      <c r="U2239" s="0" t="str">
        <f aca="false">"10074865055175"</f>
        <v>10074865055175</v>
      </c>
      <c r="V2239" s="51" t="s">
        <v>2365</v>
      </c>
      <c r="W2239" s="51" t="s">
        <v>4871</v>
      </c>
      <c r="X2239" s="51" t="s">
        <v>2359</v>
      </c>
    </row>
    <row r="2240" customFormat="false" ht="14.25" hidden="true" customHeight="false" outlineLevel="0" collapsed="false">
      <c r="A2240" s="49" t="s">
        <v>2349</v>
      </c>
      <c r="B2240" s="49" t="s">
        <v>2350</v>
      </c>
      <c r="C2240" s="49" t="s">
        <v>5123</v>
      </c>
      <c r="D2240" s="49" t="s">
        <v>2352</v>
      </c>
      <c r="E2240" s="49" t="str">
        <f aca="false">"10074865055175"</f>
        <v>10074865055175</v>
      </c>
      <c r="F2240" s="49" t="s">
        <v>5090</v>
      </c>
      <c r="G2240" s="49" t="n">
        <v>0</v>
      </c>
      <c r="H2240" s="0" t="n">
        <v>0</v>
      </c>
      <c r="M2240" s="51" t="s">
        <v>5091</v>
      </c>
      <c r="N2240" s="49" t="n">
        <v>0</v>
      </c>
      <c r="O2240" s="53" t="n">
        <v>45713.5718518519</v>
      </c>
      <c r="P2240" s="53" t="n">
        <v>45728.9262037037</v>
      </c>
      <c r="Q2240" s="53" t="n">
        <v>45713.5718518519</v>
      </c>
      <c r="R2240" s="0" t="n">
        <v>0</v>
      </c>
      <c r="S2240" s="51" t="s">
        <v>2371</v>
      </c>
      <c r="T2240" s="51" t="s">
        <v>2371</v>
      </c>
      <c r="U2240" s="0" t="str">
        <f aca="false">"10074865055175"</f>
        <v>10074865055175</v>
      </c>
      <c r="V2240" s="51" t="s">
        <v>2365</v>
      </c>
      <c r="W2240" s="51" t="s">
        <v>4573</v>
      </c>
      <c r="X2240" s="51" t="s">
        <v>2359</v>
      </c>
    </row>
    <row r="2241" customFormat="false" ht="14.25" hidden="true" customHeight="false" outlineLevel="0" collapsed="false">
      <c r="A2241" s="49" t="s">
        <v>2349</v>
      </c>
      <c r="B2241" s="49" t="s">
        <v>2350</v>
      </c>
      <c r="C2241" s="49" t="s">
        <v>5124</v>
      </c>
      <c r="D2241" s="49" t="s">
        <v>2352</v>
      </c>
      <c r="E2241" s="49" t="str">
        <f aca="false">"5060175133366"</f>
        <v>5060175133366</v>
      </c>
      <c r="F2241" s="49" t="s">
        <v>5125</v>
      </c>
      <c r="G2241" s="49" t="n">
        <v>0</v>
      </c>
      <c r="H2241" s="0" t="n">
        <v>0</v>
      </c>
      <c r="M2241" s="51" t="s">
        <v>5126</v>
      </c>
      <c r="N2241" s="49" t="n">
        <v>0</v>
      </c>
      <c r="O2241" s="53" t="n">
        <v>45713.553599537</v>
      </c>
      <c r="P2241" s="53" t="n">
        <v>45714.576099537</v>
      </c>
      <c r="Q2241" s="53" t="n">
        <v>45713.553599537</v>
      </c>
      <c r="R2241" s="0" t="n">
        <v>0</v>
      </c>
      <c r="S2241" s="51" t="s">
        <v>2371</v>
      </c>
      <c r="T2241" s="51" t="s">
        <v>2371</v>
      </c>
      <c r="U2241" s="0" t="str">
        <f aca="false">"5060175133366"</f>
        <v>5060175133366</v>
      </c>
      <c r="V2241" s="51" t="s">
        <v>2365</v>
      </c>
      <c r="W2241" s="51" t="s">
        <v>4445</v>
      </c>
      <c r="X2241" s="51" t="s">
        <v>2359</v>
      </c>
    </row>
    <row r="2242" customFormat="false" ht="14.25" hidden="true" customHeight="false" outlineLevel="0" collapsed="false">
      <c r="A2242" s="49" t="s">
        <v>2349</v>
      </c>
      <c r="B2242" s="49" t="s">
        <v>2350</v>
      </c>
      <c r="C2242" s="49" t="s">
        <v>5127</v>
      </c>
      <c r="D2242" s="49" t="s">
        <v>2352</v>
      </c>
      <c r="E2242" s="49" t="str">
        <f aca="false">"5060175133342"</f>
        <v>5060175133342</v>
      </c>
      <c r="F2242" s="49" t="s">
        <v>3849</v>
      </c>
      <c r="G2242" s="49" t="n">
        <v>0</v>
      </c>
      <c r="H2242" s="0" t="n">
        <v>0</v>
      </c>
      <c r="M2242" s="51" t="s">
        <v>5126</v>
      </c>
      <c r="N2242" s="49" t="n">
        <v>0</v>
      </c>
      <c r="O2242" s="53" t="n">
        <v>45713.5538078704</v>
      </c>
      <c r="P2242" s="53" t="n">
        <v>45714.5841550926</v>
      </c>
      <c r="Q2242" s="53" t="n">
        <v>45713.5538078704</v>
      </c>
      <c r="R2242" s="0" t="n">
        <v>0</v>
      </c>
      <c r="S2242" s="51" t="s">
        <v>2371</v>
      </c>
      <c r="T2242" s="51" t="s">
        <v>2371</v>
      </c>
      <c r="U2242" s="0" t="str">
        <f aca="false">"5060175133342"</f>
        <v>5060175133342</v>
      </c>
      <c r="V2242" s="51" t="s">
        <v>2365</v>
      </c>
      <c r="W2242" s="51" t="s">
        <v>5128</v>
      </c>
      <c r="X2242" s="51" t="s">
        <v>2359</v>
      </c>
    </row>
    <row r="2243" customFormat="false" ht="14.25" hidden="true" customHeight="false" outlineLevel="0" collapsed="false">
      <c r="A2243" s="49" t="s">
        <v>2349</v>
      </c>
      <c r="B2243" s="49" t="s">
        <v>2350</v>
      </c>
      <c r="C2243" s="49" t="s">
        <v>5129</v>
      </c>
      <c r="D2243" s="49" t="s">
        <v>2352</v>
      </c>
      <c r="E2243" s="49" t="str">
        <f aca="false">"5060175133274"</f>
        <v>5060175133274</v>
      </c>
      <c r="F2243" s="49" t="s">
        <v>5130</v>
      </c>
      <c r="G2243" s="49" t="n">
        <v>0</v>
      </c>
      <c r="H2243" s="0" t="n">
        <v>0</v>
      </c>
      <c r="M2243" s="51" t="s">
        <v>5126</v>
      </c>
      <c r="N2243" s="49" t="n">
        <v>0</v>
      </c>
      <c r="O2243" s="53" t="n">
        <v>45713.5620949074</v>
      </c>
      <c r="P2243" s="53" t="n">
        <v>45714.5735648148</v>
      </c>
      <c r="Q2243" s="53" t="n">
        <v>45713.5620949074</v>
      </c>
      <c r="R2243" s="0" t="n">
        <v>0</v>
      </c>
      <c r="S2243" s="51" t="s">
        <v>2371</v>
      </c>
      <c r="T2243" s="51" t="s">
        <v>2371</v>
      </c>
      <c r="U2243" s="0" t="str">
        <f aca="false">"5060175133274"</f>
        <v>5060175133274</v>
      </c>
      <c r="V2243" s="51" t="s">
        <v>2365</v>
      </c>
      <c r="W2243" s="51" t="s">
        <v>4231</v>
      </c>
      <c r="X2243" s="51" t="s">
        <v>2359</v>
      </c>
    </row>
    <row r="2244" customFormat="false" ht="14.25" hidden="true" customHeight="false" outlineLevel="0" collapsed="false">
      <c r="A2244" s="49" t="s">
        <v>2349</v>
      </c>
      <c r="B2244" s="49" t="s">
        <v>2350</v>
      </c>
      <c r="C2244" s="49" t="s">
        <v>5131</v>
      </c>
      <c r="D2244" s="49" t="s">
        <v>2352</v>
      </c>
      <c r="E2244" s="49" t="str">
        <f aca="false">"5060175133168"</f>
        <v>5060175133168</v>
      </c>
      <c r="F2244" s="49" t="s">
        <v>2391</v>
      </c>
      <c r="G2244" s="49" t="n">
        <v>0</v>
      </c>
      <c r="H2244" s="0" t="n">
        <v>0</v>
      </c>
      <c r="M2244" s="51" t="s">
        <v>5126</v>
      </c>
      <c r="N2244" s="49" t="n">
        <v>0</v>
      </c>
      <c r="O2244" s="53" t="n">
        <v>45713.5618634259</v>
      </c>
      <c r="P2244" s="53" t="n">
        <v>45714.5730555556</v>
      </c>
      <c r="Q2244" s="53" t="n">
        <v>45713.5618634259</v>
      </c>
      <c r="R2244" s="0" t="n">
        <v>0</v>
      </c>
      <c r="S2244" s="51" t="s">
        <v>2371</v>
      </c>
      <c r="T2244" s="51" t="s">
        <v>2371</v>
      </c>
      <c r="U2244" s="0" t="str">
        <f aca="false">"5060175133168"</f>
        <v>5060175133168</v>
      </c>
      <c r="V2244" s="51" t="s">
        <v>2365</v>
      </c>
      <c r="W2244" s="51" t="s">
        <v>4918</v>
      </c>
      <c r="X2244" s="51" t="s">
        <v>2359</v>
      </c>
    </row>
    <row r="2245" customFormat="false" ht="14.25" hidden="true" customHeight="false" outlineLevel="0" collapsed="false">
      <c r="A2245" s="49" t="s">
        <v>2349</v>
      </c>
      <c r="B2245" s="49" t="s">
        <v>2350</v>
      </c>
      <c r="C2245" s="49" t="s">
        <v>5132</v>
      </c>
      <c r="D2245" s="49" t="s">
        <v>2352</v>
      </c>
      <c r="E2245" s="49" t="s">
        <v>3751</v>
      </c>
      <c r="F2245" s="49" t="s">
        <v>3752</v>
      </c>
      <c r="G2245" s="49" t="n">
        <v>0</v>
      </c>
      <c r="H2245" s="0" t="n">
        <v>0</v>
      </c>
      <c r="M2245" s="51" t="s">
        <v>5133</v>
      </c>
      <c r="N2245" s="49" t="n">
        <v>0</v>
      </c>
      <c r="O2245" s="53" t="n">
        <v>45724.8799652778</v>
      </c>
      <c r="P2245" s="53" t="n">
        <v>45728.5814351852</v>
      </c>
      <c r="Q2245" s="53" t="n">
        <v>45724.8799652778</v>
      </c>
      <c r="R2245" s="0" t="n">
        <v>0</v>
      </c>
      <c r="S2245" s="51" t="s">
        <v>2356</v>
      </c>
      <c r="T2245" s="51" t="s">
        <v>2356</v>
      </c>
      <c r="U2245" s="51" t="s">
        <v>3751</v>
      </c>
      <c r="V2245" s="51" t="s">
        <v>2357</v>
      </c>
      <c r="W2245" s="51" t="s">
        <v>5134</v>
      </c>
      <c r="X2245" s="51" t="s">
        <v>2359</v>
      </c>
    </row>
    <row r="2246" customFormat="false" ht="14.25" hidden="true" customHeight="false" outlineLevel="0" collapsed="false">
      <c r="A2246" s="49" t="s">
        <v>2349</v>
      </c>
      <c r="B2246" s="49" t="s">
        <v>2350</v>
      </c>
      <c r="C2246" s="49" t="s">
        <v>5135</v>
      </c>
      <c r="D2246" s="49" t="s">
        <v>2352</v>
      </c>
      <c r="E2246" s="49" t="s">
        <v>4351</v>
      </c>
      <c r="F2246" s="49" t="s">
        <v>4352</v>
      </c>
      <c r="G2246" s="49" t="n">
        <v>0</v>
      </c>
      <c r="H2246" s="0" t="n">
        <v>0</v>
      </c>
      <c r="M2246" s="51" t="s">
        <v>5136</v>
      </c>
      <c r="N2246" s="49" t="n">
        <v>0</v>
      </c>
      <c r="O2246" s="53" t="n">
        <v>45727.5734375</v>
      </c>
      <c r="P2246" s="53" t="n">
        <v>45738.6163425926</v>
      </c>
      <c r="Q2246" s="53" t="n">
        <v>45727.5734375</v>
      </c>
      <c r="R2246" s="0" t="n">
        <v>0</v>
      </c>
      <c r="S2246" s="51" t="s">
        <v>2356</v>
      </c>
      <c r="T2246" s="51" t="s">
        <v>2356</v>
      </c>
      <c r="U2246" s="51" t="s">
        <v>4351</v>
      </c>
      <c r="V2246" s="51" t="s">
        <v>2365</v>
      </c>
      <c r="W2246" s="51" t="s">
        <v>5137</v>
      </c>
      <c r="X2246" s="51" t="s">
        <v>2359</v>
      </c>
    </row>
    <row r="2247" customFormat="false" ht="14.25" hidden="true" customHeight="false" outlineLevel="0" collapsed="false">
      <c r="A2247" s="49" t="s">
        <v>2349</v>
      </c>
      <c r="B2247" s="49" t="s">
        <v>2350</v>
      </c>
      <c r="C2247" s="49" t="s">
        <v>5138</v>
      </c>
      <c r="D2247" s="49" t="s">
        <v>2352</v>
      </c>
      <c r="E2247" s="49" t="s">
        <v>4351</v>
      </c>
      <c r="F2247" s="49" t="s">
        <v>4352</v>
      </c>
      <c r="G2247" s="49" t="n">
        <v>0</v>
      </c>
      <c r="H2247" s="0" t="n">
        <v>0</v>
      </c>
      <c r="M2247" s="51" t="s">
        <v>5136</v>
      </c>
      <c r="N2247" s="49" t="n">
        <v>0</v>
      </c>
      <c r="O2247" s="53" t="n">
        <v>45727.5734953704</v>
      </c>
      <c r="P2247" s="53" t="n">
        <v>45738.6162847222</v>
      </c>
      <c r="Q2247" s="53" t="n">
        <v>45727.5734953704</v>
      </c>
      <c r="R2247" s="0" t="n">
        <v>0</v>
      </c>
      <c r="S2247" s="51" t="s">
        <v>2356</v>
      </c>
      <c r="T2247" s="51" t="s">
        <v>2356</v>
      </c>
      <c r="U2247" s="51" t="s">
        <v>4351</v>
      </c>
      <c r="V2247" s="51" t="s">
        <v>2365</v>
      </c>
      <c r="W2247" s="51" t="s">
        <v>5139</v>
      </c>
      <c r="X2247" s="51" t="s">
        <v>2359</v>
      </c>
    </row>
    <row r="2248" customFormat="false" ht="14.25" hidden="true" customHeight="false" outlineLevel="0" collapsed="false">
      <c r="A2248" s="49" t="s">
        <v>2349</v>
      </c>
      <c r="B2248" s="49" t="s">
        <v>2350</v>
      </c>
      <c r="C2248" s="49" t="s">
        <v>5140</v>
      </c>
      <c r="D2248" s="49" t="s">
        <v>2352</v>
      </c>
      <c r="E2248" s="49" t="s">
        <v>4351</v>
      </c>
      <c r="F2248" s="49" t="s">
        <v>4352</v>
      </c>
      <c r="G2248" s="49" t="n">
        <v>0</v>
      </c>
      <c r="H2248" s="0" t="n">
        <v>0</v>
      </c>
      <c r="M2248" s="51" t="s">
        <v>5136</v>
      </c>
      <c r="N2248" s="49" t="n">
        <v>0</v>
      </c>
      <c r="O2248" s="53" t="n">
        <v>45727.5735300926</v>
      </c>
      <c r="P2248" s="53" t="n">
        <v>45731.6531828704</v>
      </c>
      <c r="Q2248" s="53" t="n">
        <v>45727.5735300926</v>
      </c>
      <c r="R2248" s="0" t="n">
        <v>0</v>
      </c>
      <c r="S2248" s="51" t="s">
        <v>2356</v>
      </c>
      <c r="T2248" s="51" t="s">
        <v>2356</v>
      </c>
      <c r="U2248" s="51" t="s">
        <v>4351</v>
      </c>
      <c r="V2248" s="51" t="s">
        <v>2365</v>
      </c>
      <c r="W2248" s="51" t="s">
        <v>5141</v>
      </c>
      <c r="X2248" s="51" t="s">
        <v>2359</v>
      </c>
    </row>
    <row r="2249" customFormat="false" ht="14.25" hidden="true" customHeight="false" outlineLevel="0" collapsed="false">
      <c r="A2249" s="49" t="s">
        <v>2349</v>
      </c>
      <c r="B2249" s="49" t="s">
        <v>2350</v>
      </c>
      <c r="C2249" s="49" t="s">
        <v>5142</v>
      </c>
      <c r="D2249" s="49" t="s">
        <v>2352</v>
      </c>
      <c r="E2249" s="49" t="s">
        <v>4351</v>
      </c>
      <c r="F2249" s="49" t="s">
        <v>4352</v>
      </c>
      <c r="G2249" s="49" t="n">
        <v>0</v>
      </c>
      <c r="H2249" s="0" t="n">
        <v>0</v>
      </c>
      <c r="M2249" s="51" t="s">
        <v>5136</v>
      </c>
      <c r="N2249" s="49" t="n">
        <v>0</v>
      </c>
      <c r="O2249" s="53" t="n">
        <v>45727.5735648148</v>
      </c>
      <c r="P2249" s="53" t="n">
        <v>45732.3904513889</v>
      </c>
      <c r="Q2249" s="53" t="n">
        <v>45727.5735648148</v>
      </c>
      <c r="R2249" s="0" t="n">
        <v>0</v>
      </c>
      <c r="S2249" s="51" t="s">
        <v>2356</v>
      </c>
      <c r="T2249" s="51" t="s">
        <v>2356</v>
      </c>
      <c r="U2249" s="51" t="s">
        <v>4351</v>
      </c>
      <c r="V2249" s="51" t="s">
        <v>2365</v>
      </c>
      <c r="W2249" s="51" t="s">
        <v>5143</v>
      </c>
      <c r="X2249" s="51" t="s">
        <v>2359</v>
      </c>
    </row>
    <row r="2250" customFormat="false" ht="14.25" hidden="true" customHeight="false" outlineLevel="0" collapsed="false">
      <c r="A2250" s="49" t="s">
        <v>2349</v>
      </c>
      <c r="B2250" s="49" t="s">
        <v>2350</v>
      </c>
      <c r="C2250" s="49" t="s">
        <v>5144</v>
      </c>
      <c r="D2250" s="49" t="s">
        <v>2352</v>
      </c>
      <c r="E2250" s="49" t="s">
        <v>4351</v>
      </c>
      <c r="F2250" s="49" t="s">
        <v>4352</v>
      </c>
      <c r="G2250" s="49" t="n">
        <v>0</v>
      </c>
      <c r="H2250" s="0" t="n">
        <v>0</v>
      </c>
      <c r="M2250" s="51" t="s">
        <v>5136</v>
      </c>
      <c r="N2250" s="49" t="n">
        <v>0</v>
      </c>
      <c r="O2250" s="53" t="n">
        <v>45727.573599537</v>
      </c>
      <c r="P2250" s="53" t="n">
        <v>45732.3902546296</v>
      </c>
      <c r="Q2250" s="53" t="n">
        <v>45727.573599537</v>
      </c>
      <c r="R2250" s="0" t="n">
        <v>0</v>
      </c>
      <c r="S2250" s="51" t="s">
        <v>2356</v>
      </c>
      <c r="T2250" s="51" t="s">
        <v>2356</v>
      </c>
      <c r="U2250" s="51" t="s">
        <v>4351</v>
      </c>
      <c r="V2250" s="51" t="s">
        <v>2365</v>
      </c>
      <c r="W2250" s="51" t="s">
        <v>4373</v>
      </c>
      <c r="X2250" s="51" t="s">
        <v>2359</v>
      </c>
    </row>
    <row r="2251" customFormat="false" ht="14.25" hidden="true" customHeight="false" outlineLevel="0" collapsed="false">
      <c r="A2251" s="49" t="s">
        <v>2349</v>
      </c>
      <c r="B2251" s="49" t="s">
        <v>2350</v>
      </c>
      <c r="C2251" s="49" t="s">
        <v>5145</v>
      </c>
      <c r="D2251" s="49" t="s">
        <v>2352</v>
      </c>
      <c r="E2251" s="49" t="s">
        <v>4351</v>
      </c>
      <c r="F2251" s="49" t="s">
        <v>4352</v>
      </c>
      <c r="G2251" s="49" t="n">
        <v>0</v>
      </c>
      <c r="H2251" s="0" t="n">
        <v>0</v>
      </c>
      <c r="M2251" s="51" t="s">
        <v>5136</v>
      </c>
      <c r="N2251" s="49" t="n">
        <v>0</v>
      </c>
      <c r="O2251" s="53" t="n">
        <v>45727.5736342593</v>
      </c>
      <c r="P2251" s="53" t="n">
        <v>45732.3900810185</v>
      </c>
      <c r="Q2251" s="53" t="n">
        <v>45727.5736342593</v>
      </c>
      <c r="R2251" s="0" t="n">
        <v>0</v>
      </c>
      <c r="S2251" s="51" t="s">
        <v>2356</v>
      </c>
      <c r="T2251" s="51" t="s">
        <v>2356</v>
      </c>
      <c r="U2251" s="51" t="s">
        <v>4351</v>
      </c>
      <c r="V2251" s="51" t="s">
        <v>2365</v>
      </c>
      <c r="W2251" s="51" t="s">
        <v>4357</v>
      </c>
      <c r="X2251" s="51" t="s">
        <v>2359</v>
      </c>
    </row>
    <row r="2252" customFormat="false" ht="14.25" hidden="true" customHeight="false" outlineLevel="0" collapsed="false">
      <c r="A2252" s="49" t="s">
        <v>2349</v>
      </c>
      <c r="B2252" s="49" t="s">
        <v>2350</v>
      </c>
      <c r="C2252" s="49" t="s">
        <v>5146</v>
      </c>
      <c r="D2252" s="49" t="s">
        <v>2352</v>
      </c>
      <c r="E2252" s="49" t="s">
        <v>4351</v>
      </c>
      <c r="F2252" s="49" t="s">
        <v>4352</v>
      </c>
      <c r="G2252" s="49" t="n">
        <v>0</v>
      </c>
      <c r="H2252" s="0" t="n">
        <v>0</v>
      </c>
      <c r="M2252" s="51" t="s">
        <v>5136</v>
      </c>
      <c r="N2252" s="49" t="n">
        <v>0</v>
      </c>
      <c r="O2252" s="53" t="n">
        <v>45727.5736689815</v>
      </c>
      <c r="P2252" s="53" t="n">
        <v>45728.3851157407</v>
      </c>
      <c r="Q2252" s="53" t="n">
        <v>45727.5736689815</v>
      </c>
      <c r="R2252" s="0" t="n">
        <v>0</v>
      </c>
      <c r="S2252" s="51" t="s">
        <v>2356</v>
      </c>
      <c r="T2252" s="51" t="s">
        <v>2356</v>
      </c>
      <c r="U2252" s="51" t="s">
        <v>4351</v>
      </c>
      <c r="V2252" s="51" t="s">
        <v>2365</v>
      </c>
      <c r="W2252" s="51" t="s">
        <v>5147</v>
      </c>
      <c r="X2252" s="51" t="s">
        <v>2359</v>
      </c>
    </row>
    <row r="2253" customFormat="false" ht="14.25" hidden="true" customHeight="false" outlineLevel="0" collapsed="false">
      <c r="A2253" s="49" t="s">
        <v>2349</v>
      </c>
      <c r="B2253" s="49" t="s">
        <v>2350</v>
      </c>
      <c r="C2253" s="49" t="s">
        <v>5148</v>
      </c>
      <c r="D2253" s="49" t="s">
        <v>2352</v>
      </c>
      <c r="E2253" s="49" t="s">
        <v>4351</v>
      </c>
      <c r="F2253" s="49" t="s">
        <v>4352</v>
      </c>
      <c r="G2253" s="49" t="n">
        <v>0</v>
      </c>
      <c r="H2253" s="0" t="n">
        <v>0</v>
      </c>
      <c r="M2253" s="51" t="s">
        <v>5136</v>
      </c>
      <c r="N2253" s="49" t="n">
        <v>0</v>
      </c>
      <c r="O2253" s="53" t="n">
        <v>45727.5736921296</v>
      </c>
      <c r="P2253" s="53" t="n">
        <v>45738.6164814815</v>
      </c>
      <c r="Q2253" s="53" t="n">
        <v>45727.5736921296</v>
      </c>
      <c r="R2253" s="0" t="n">
        <v>0</v>
      </c>
      <c r="S2253" s="51" t="s">
        <v>2356</v>
      </c>
      <c r="T2253" s="51" t="s">
        <v>2356</v>
      </c>
      <c r="U2253" s="51" t="s">
        <v>4351</v>
      </c>
      <c r="V2253" s="51" t="s">
        <v>2365</v>
      </c>
      <c r="W2253" s="51" t="s">
        <v>5149</v>
      </c>
      <c r="X2253" s="51" t="s">
        <v>2359</v>
      </c>
    </row>
    <row r="2254" customFormat="false" ht="14.25" hidden="true" customHeight="false" outlineLevel="0" collapsed="false">
      <c r="A2254" s="49" t="s">
        <v>2349</v>
      </c>
      <c r="B2254" s="49" t="s">
        <v>2350</v>
      </c>
      <c r="C2254" s="49" t="s">
        <v>5150</v>
      </c>
      <c r="D2254" s="49" t="s">
        <v>2352</v>
      </c>
      <c r="E2254" s="49" t="s">
        <v>4351</v>
      </c>
      <c r="F2254" s="49" t="s">
        <v>4352</v>
      </c>
      <c r="G2254" s="49" t="n">
        <v>0</v>
      </c>
      <c r="H2254" s="0" t="n">
        <v>0</v>
      </c>
      <c r="M2254" s="51" t="s">
        <v>5136</v>
      </c>
      <c r="N2254" s="49" t="n">
        <v>0</v>
      </c>
      <c r="O2254" s="53" t="n">
        <v>45727.5737268519</v>
      </c>
      <c r="P2254" s="53" t="n">
        <v>45728.3850462963</v>
      </c>
      <c r="Q2254" s="53" t="n">
        <v>45727.5737268519</v>
      </c>
      <c r="R2254" s="0" t="n">
        <v>0</v>
      </c>
      <c r="S2254" s="51" t="s">
        <v>2356</v>
      </c>
      <c r="T2254" s="51" t="s">
        <v>2356</v>
      </c>
      <c r="U2254" s="51" t="s">
        <v>4351</v>
      </c>
      <c r="V2254" s="51" t="s">
        <v>2365</v>
      </c>
      <c r="W2254" s="51" t="s">
        <v>5151</v>
      </c>
      <c r="X2254" s="51" t="s">
        <v>2359</v>
      </c>
    </row>
    <row r="2255" customFormat="false" ht="14.25" hidden="true" customHeight="false" outlineLevel="0" collapsed="false">
      <c r="A2255" s="49" t="s">
        <v>2349</v>
      </c>
      <c r="B2255" s="49" t="s">
        <v>2350</v>
      </c>
      <c r="C2255" s="49" t="s">
        <v>5152</v>
      </c>
      <c r="D2255" s="49" t="s">
        <v>2352</v>
      </c>
      <c r="E2255" s="49" t="s">
        <v>4351</v>
      </c>
      <c r="F2255" s="49" t="s">
        <v>4352</v>
      </c>
      <c r="G2255" s="49" t="n">
        <v>0</v>
      </c>
      <c r="H2255" s="0" t="n">
        <v>0</v>
      </c>
      <c r="M2255" s="51" t="s">
        <v>5136</v>
      </c>
      <c r="N2255" s="49" t="n">
        <v>0</v>
      </c>
      <c r="O2255" s="53" t="n">
        <v>45727.57375</v>
      </c>
      <c r="P2255" s="53" t="n">
        <v>45738.616400463</v>
      </c>
      <c r="Q2255" s="53" t="n">
        <v>45727.57375</v>
      </c>
      <c r="R2255" s="0" t="n">
        <v>0</v>
      </c>
      <c r="S2255" s="51" t="s">
        <v>2356</v>
      </c>
      <c r="T2255" s="51" t="s">
        <v>2356</v>
      </c>
      <c r="U2255" s="51" t="s">
        <v>4351</v>
      </c>
      <c r="V2255" s="51" t="s">
        <v>2365</v>
      </c>
      <c r="W2255" s="51" t="s">
        <v>5153</v>
      </c>
      <c r="X2255" s="51" t="s">
        <v>2359</v>
      </c>
    </row>
    <row r="2256" customFormat="false" ht="14.25" hidden="true" customHeight="false" outlineLevel="0" collapsed="false">
      <c r="A2256" s="49" t="s">
        <v>2349</v>
      </c>
      <c r="B2256" s="49" t="s">
        <v>2350</v>
      </c>
      <c r="C2256" s="49" t="s">
        <v>5154</v>
      </c>
      <c r="D2256" s="49" t="s">
        <v>2352</v>
      </c>
      <c r="E2256" s="49" t="s">
        <v>4351</v>
      </c>
      <c r="F2256" s="49" t="s">
        <v>4352</v>
      </c>
      <c r="G2256" s="49" t="n">
        <v>0</v>
      </c>
      <c r="H2256" s="0" t="n">
        <v>0</v>
      </c>
      <c r="M2256" s="51" t="s">
        <v>5136</v>
      </c>
      <c r="N2256" s="49" t="n">
        <v>0</v>
      </c>
      <c r="O2256" s="53" t="n">
        <v>45727.5738194444</v>
      </c>
      <c r="P2256" s="53" t="n">
        <v>45728.3853819444</v>
      </c>
      <c r="Q2256" s="53" t="n">
        <v>45727.5738194444</v>
      </c>
      <c r="R2256" s="0" t="n">
        <v>0</v>
      </c>
      <c r="S2256" s="51" t="s">
        <v>2356</v>
      </c>
      <c r="T2256" s="51" t="s">
        <v>2356</v>
      </c>
      <c r="U2256" s="51" t="s">
        <v>4351</v>
      </c>
      <c r="V2256" s="51" t="s">
        <v>2365</v>
      </c>
      <c r="W2256" s="51" t="s">
        <v>4609</v>
      </c>
      <c r="X2256" s="51" t="s">
        <v>2359</v>
      </c>
    </row>
    <row r="2257" customFormat="false" ht="14.25" hidden="true" customHeight="false" outlineLevel="0" collapsed="false">
      <c r="A2257" s="49" t="s">
        <v>2349</v>
      </c>
      <c r="B2257" s="49" t="s">
        <v>2350</v>
      </c>
      <c r="C2257" s="49" t="s">
        <v>5155</v>
      </c>
      <c r="D2257" s="49" t="s">
        <v>2352</v>
      </c>
      <c r="E2257" s="49" t="s">
        <v>4351</v>
      </c>
      <c r="F2257" s="49" t="s">
        <v>4352</v>
      </c>
      <c r="G2257" s="49" t="n">
        <v>0</v>
      </c>
      <c r="H2257" s="0" t="n">
        <v>0</v>
      </c>
      <c r="M2257" s="51" t="s">
        <v>5136</v>
      </c>
      <c r="N2257" s="49" t="n">
        <v>0</v>
      </c>
      <c r="O2257" s="53" t="n">
        <v>45727.5738541667</v>
      </c>
      <c r="P2257" s="53" t="n">
        <v>45728.3853009259</v>
      </c>
      <c r="Q2257" s="53" t="n">
        <v>45727.5738541667</v>
      </c>
      <c r="R2257" s="0" t="n">
        <v>0</v>
      </c>
      <c r="S2257" s="51" t="s">
        <v>2356</v>
      </c>
      <c r="T2257" s="51" t="s">
        <v>2356</v>
      </c>
      <c r="U2257" s="51" t="s">
        <v>4351</v>
      </c>
      <c r="V2257" s="51" t="s">
        <v>2365</v>
      </c>
      <c r="W2257" s="51" t="s">
        <v>4592</v>
      </c>
      <c r="X2257" s="51" t="s">
        <v>2359</v>
      </c>
    </row>
    <row r="2258" customFormat="false" ht="14.25" hidden="true" customHeight="false" outlineLevel="0" collapsed="false">
      <c r="A2258" s="49" t="s">
        <v>2349</v>
      </c>
      <c r="B2258" s="49" t="s">
        <v>2350</v>
      </c>
      <c r="C2258" s="49" t="s">
        <v>5156</v>
      </c>
      <c r="D2258" s="49" t="s">
        <v>2352</v>
      </c>
      <c r="E2258" s="49" t="s">
        <v>4351</v>
      </c>
      <c r="F2258" s="49" t="s">
        <v>4352</v>
      </c>
      <c r="G2258" s="49" t="n">
        <v>0</v>
      </c>
      <c r="H2258" s="0" t="n">
        <v>0</v>
      </c>
      <c r="M2258" s="51" t="s">
        <v>5136</v>
      </c>
      <c r="N2258" s="49" t="n">
        <v>0</v>
      </c>
      <c r="O2258" s="53" t="n">
        <v>45727.573900463</v>
      </c>
      <c r="P2258" s="53" t="n">
        <v>45728.3852430556</v>
      </c>
      <c r="Q2258" s="53" t="n">
        <v>45727.573900463</v>
      </c>
      <c r="R2258" s="0" t="n">
        <v>0</v>
      </c>
      <c r="S2258" s="51" t="s">
        <v>2356</v>
      </c>
      <c r="T2258" s="51" t="s">
        <v>2356</v>
      </c>
      <c r="U2258" s="51" t="s">
        <v>4351</v>
      </c>
      <c r="V2258" s="51" t="s">
        <v>2365</v>
      </c>
      <c r="W2258" s="51" t="s">
        <v>5157</v>
      </c>
      <c r="X2258" s="51" t="s">
        <v>2359</v>
      </c>
    </row>
    <row r="2259" customFormat="false" ht="14.25" hidden="true" customHeight="false" outlineLevel="0" collapsed="false">
      <c r="A2259" s="49" t="s">
        <v>2349</v>
      </c>
      <c r="B2259" s="49" t="s">
        <v>2350</v>
      </c>
      <c r="C2259" s="49" t="s">
        <v>5158</v>
      </c>
      <c r="D2259" s="49" t="s">
        <v>2352</v>
      </c>
      <c r="E2259" s="49" t="s">
        <v>4351</v>
      </c>
      <c r="F2259" s="49" t="s">
        <v>4352</v>
      </c>
      <c r="G2259" s="49" t="n">
        <v>0</v>
      </c>
      <c r="H2259" s="0" t="n">
        <v>0</v>
      </c>
      <c r="M2259" s="51" t="s">
        <v>5136</v>
      </c>
      <c r="N2259" s="49" t="n">
        <v>0</v>
      </c>
      <c r="O2259" s="53" t="n">
        <v>45727.5739351852</v>
      </c>
      <c r="P2259" s="53" t="n">
        <v>45728.3851736111</v>
      </c>
      <c r="Q2259" s="53" t="n">
        <v>45727.5739351852</v>
      </c>
      <c r="R2259" s="0" t="n">
        <v>0</v>
      </c>
      <c r="S2259" s="51" t="s">
        <v>2356</v>
      </c>
      <c r="T2259" s="51" t="s">
        <v>2356</v>
      </c>
      <c r="U2259" s="51" t="s">
        <v>4351</v>
      </c>
      <c r="V2259" s="51" t="s">
        <v>2365</v>
      </c>
      <c r="W2259" s="51" t="s">
        <v>5159</v>
      </c>
      <c r="X2259" s="51" t="s">
        <v>2359</v>
      </c>
    </row>
    <row r="2260" customFormat="false" ht="14.25" hidden="true" customHeight="false" outlineLevel="0" collapsed="false">
      <c r="A2260" s="49" t="s">
        <v>2349</v>
      </c>
      <c r="B2260" s="49" t="s">
        <v>2350</v>
      </c>
      <c r="C2260" s="49" t="s">
        <v>5160</v>
      </c>
      <c r="D2260" s="49" t="s">
        <v>2352</v>
      </c>
      <c r="E2260" s="49" t="s">
        <v>4351</v>
      </c>
      <c r="F2260" s="49" t="s">
        <v>4352</v>
      </c>
      <c r="G2260" s="49" t="n">
        <v>0</v>
      </c>
      <c r="H2260" s="0" t="n">
        <v>0</v>
      </c>
      <c r="M2260" s="51" t="s">
        <v>5136</v>
      </c>
      <c r="N2260" s="49" t="n">
        <v>0</v>
      </c>
      <c r="O2260" s="53" t="n">
        <v>45727.5739699074</v>
      </c>
      <c r="P2260" s="53" t="n">
        <v>45728.385462963</v>
      </c>
      <c r="Q2260" s="53" t="n">
        <v>45727.5739699074</v>
      </c>
      <c r="R2260" s="0" t="n">
        <v>0</v>
      </c>
      <c r="S2260" s="51" t="s">
        <v>2356</v>
      </c>
      <c r="T2260" s="51" t="s">
        <v>2356</v>
      </c>
      <c r="U2260" s="51" t="s">
        <v>4351</v>
      </c>
      <c r="V2260" s="51" t="s">
        <v>2365</v>
      </c>
      <c r="W2260" s="51" t="s">
        <v>4590</v>
      </c>
      <c r="X2260" s="51" t="s">
        <v>2359</v>
      </c>
    </row>
    <row r="2261" customFormat="false" ht="14.25" hidden="true" customHeight="false" outlineLevel="0" collapsed="false">
      <c r="A2261" s="49" t="s">
        <v>2349</v>
      </c>
      <c r="B2261" s="49" t="s">
        <v>2350</v>
      </c>
      <c r="C2261" s="49" t="s">
        <v>5161</v>
      </c>
      <c r="D2261" s="49" t="s">
        <v>2352</v>
      </c>
      <c r="E2261" s="49" t="s">
        <v>4351</v>
      </c>
      <c r="F2261" s="49" t="s">
        <v>4352</v>
      </c>
      <c r="G2261" s="49" t="n">
        <v>0</v>
      </c>
      <c r="H2261" s="0" t="n">
        <v>0</v>
      </c>
      <c r="M2261" s="51" t="s">
        <v>5136</v>
      </c>
      <c r="N2261" s="49" t="n">
        <v>0</v>
      </c>
      <c r="O2261" s="53" t="n">
        <v>45727.5740162037</v>
      </c>
      <c r="P2261" s="53" t="n">
        <v>45728.3849884259</v>
      </c>
      <c r="Q2261" s="53" t="n">
        <v>45727.5740162037</v>
      </c>
      <c r="R2261" s="0" t="n">
        <v>0</v>
      </c>
      <c r="S2261" s="51" t="s">
        <v>2356</v>
      </c>
      <c r="T2261" s="51" t="s">
        <v>2356</v>
      </c>
      <c r="U2261" s="51" t="s">
        <v>4351</v>
      </c>
      <c r="V2261" s="51" t="s">
        <v>2365</v>
      </c>
      <c r="W2261" s="51" t="s">
        <v>4132</v>
      </c>
      <c r="X2261" s="51" t="s">
        <v>2359</v>
      </c>
    </row>
    <row r="2262" customFormat="false" ht="14.25" hidden="true" customHeight="false" outlineLevel="0" collapsed="false">
      <c r="A2262" s="49" t="s">
        <v>2349</v>
      </c>
      <c r="B2262" s="49" t="s">
        <v>2350</v>
      </c>
      <c r="C2262" s="49" t="s">
        <v>5162</v>
      </c>
      <c r="D2262" s="49" t="s">
        <v>2352</v>
      </c>
      <c r="E2262" s="49" t="s">
        <v>4351</v>
      </c>
      <c r="F2262" s="49" t="s">
        <v>4352</v>
      </c>
      <c r="G2262" s="49" t="n">
        <v>0</v>
      </c>
      <c r="H2262" s="0" t="n">
        <v>0</v>
      </c>
      <c r="M2262" s="51" t="s">
        <v>5136</v>
      </c>
      <c r="N2262" s="49" t="n">
        <v>0</v>
      </c>
      <c r="O2262" s="53" t="n">
        <v>45727.5740509259</v>
      </c>
      <c r="P2262" s="53" t="n">
        <v>45728.3849305556</v>
      </c>
      <c r="Q2262" s="53" t="n">
        <v>45727.5740509259</v>
      </c>
      <c r="R2262" s="0" t="n">
        <v>0</v>
      </c>
      <c r="S2262" s="51" t="s">
        <v>2356</v>
      </c>
      <c r="T2262" s="51" t="s">
        <v>2356</v>
      </c>
      <c r="U2262" s="51" t="s">
        <v>4351</v>
      </c>
      <c r="V2262" s="51" t="s">
        <v>2365</v>
      </c>
      <c r="W2262" s="51" t="s">
        <v>4130</v>
      </c>
      <c r="X2262" s="51" t="s">
        <v>2359</v>
      </c>
    </row>
    <row r="2263" customFormat="false" ht="14.25" hidden="true" customHeight="false" outlineLevel="0" collapsed="false">
      <c r="A2263" s="49" t="s">
        <v>2349</v>
      </c>
      <c r="B2263" s="49" t="s">
        <v>2350</v>
      </c>
      <c r="C2263" s="49" t="s">
        <v>5163</v>
      </c>
      <c r="D2263" s="49" t="s">
        <v>2352</v>
      </c>
      <c r="E2263" s="49" t="s">
        <v>4351</v>
      </c>
      <c r="F2263" s="49" t="s">
        <v>4352</v>
      </c>
      <c r="G2263" s="49" t="n">
        <v>0</v>
      </c>
      <c r="H2263" s="0" t="n">
        <v>0</v>
      </c>
      <c r="M2263" s="51" t="s">
        <v>5136</v>
      </c>
      <c r="N2263" s="49" t="n">
        <v>0</v>
      </c>
      <c r="O2263" s="53" t="n">
        <v>45727.5740740741</v>
      </c>
      <c r="P2263" s="53" t="n">
        <v>45728.3848611111</v>
      </c>
      <c r="Q2263" s="53" t="n">
        <v>45727.5740740741</v>
      </c>
      <c r="R2263" s="0" t="n">
        <v>0</v>
      </c>
      <c r="S2263" s="51" t="s">
        <v>2356</v>
      </c>
      <c r="T2263" s="51" t="s">
        <v>2356</v>
      </c>
      <c r="U2263" s="51" t="s">
        <v>4351</v>
      </c>
      <c r="V2263" s="51" t="s">
        <v>2365</v>
      </c>
      <c r="W2263" s="51" t="s">
        <v>4134</v>
      </c>
      <c r="X2263" s="51" t="s">
        <v>2359</v>
      </c>
    </row>
    <row r="2264" customFormat="false" ht="14.25" hidden="true" customHeight="false" outlineLevel="0" collapsed="false">
      <c r="A2264" s="49" t="s">
        <v>2349</v>
      </c>
      <c r="B2264" s="49" t="s">
        <v>2350</v>
      </c>
      <c r="C2264" s="49" t="s">
        <v>5164</v>
      </c>
      <c r="D2264" s="49" t="s">
        <v>2352</v>
      </c>
      <c r="E2264" s="49" t="str">
        <f aca="false">"5060458890191"</f>
        <v>5060458890191</v>
      </c>
      <c r="F2264" s="49" t="s">
        <v>3656</v>
      </c>
      <c r="G2264" s="49" t="n">
        <v>0</v>
      </c>
      <c r="H2264" s="0" t="n">
        <v>0</v>
      </c>
      <c r="M2264" s="51" t="s">
        <v>5165</v>
      </c>
      <c r="N2264" s="49" t="n">
        <v>0</v>
      </c>
      <c r="O2264" s="53" t="n">
        <v>45726.5804282407</v>
      </c>
      <c r="P2264" s="53" t="n">
        <v>45740.0465625</v>
      </c>
      <c r="Q2264" s="53" t="n">
        <v>45726.5804282407</v>
      </c>
      <c r="R2264" s="0" t="n">
        <v>0</v>
      </c>
      <c r="S2264" s="51" t="s">
        <v>2376</v>
      </c>
      <c r="T2264" s="51" t="s">
        <v>2376</v>
      </c>
      <c r="U2264" s="0" t="str">
        <f aca="false">"5060458890191"</f>
        <v>5060458890191</v>
      </c>
      <c r="V2264" s="51" t="s">
        <v>2142</v>
      </c>
      <c r="W2264" s="51" t="s">
        <v>3969</v>
      </c>
      <c r="X2264" s="51" t="s">
        <v>2359</v>
      </c>
    </row>
    <row r="2265" customFormat="false" ht="14.25" hidden="true" customHeight="false" outlineLevel="0" collapsed="false">
      <c r="A2265" s="49" t="s">
        <v>2349</v>
      </c>
      <c r="B2265" s="49" t="s">
        <v>2350</v>
      </c>
      <c r="C2265" s="49" t="s">
        <v>5166</v>
      </c>
      <c r="D2265" s="49" t="s">
        <v>2352</v>
      </c>
      <c r="E2265" s="49" t="str">
        <f aca="false">"5942326400476"</f>
        <v>5942326400476</v>
      </c>
      <c r="F2265" s="49" t="s">
        <v>5167</v>
      </c>
      <c r="G2265" s="49" t="n">
        <v>0</v>
      </c>
      <c r="H2265" s="0" t="n">
        <v>0</v>
      </c>
      <c r="M2265" s="51" t="s">
        <v>5168</v>
      </c>
      <c r="N2265" s="49" t="n">
        <v>0</v>
      </c>
      <c r="O2265" s="53" t="n">
        <v>45726.8407175926</v>
      </c>
      <c r="P2265" s="53" t="n">
        <v>45792.4659490741</v>
      </c>
      <c r="Q2265" s="53" t="n">
        <v>45726.8407175926</v>
      </c>
      <c r="R2265" s="0" t="n">
        <v>0</v>
      </c>
      <c r="S2265" s="51" t="s">
        <v>2376</v>
      </c>
      <c r="T2265" s="51" t="s">
        <v>2376</v>
      </c>
      <c r="U2265" s="0" t="str">
        <f aca="false">"5942326400476"</f>
        <v>5942326400476</v>
      </c>
      <c r="V2265" s="51" t="s">
        <v>2365</v>
      </c>
      <c r="W2265" s="51" t="s">
        <v>4784</v>
      </c>
      <c r="X2265" s="51" t="s">
        <v>2359</v>
      </c>
    </row>
    <row r="2266" customFormat="false" ht="14.25" hidden="true" customHeight="false" outlineLevel="0" collapsed="false">
      <c r="A2266" s="49" t="s">
        <v>2349</v>
      </c>
      <c r="B2266" s="49" t="s">
        <v>2350</v>
      </c>
      <c r="C2266" s="49" t="s">
        <v>5169</v>
      </c>
      <c r="D2266" s="49" t="s">
        <v>2352</v>
      </c>
      <c r="E2266" s="49" t="str">
        <f aca="false">"5942326400476"</f>
        <v>5942326400476</v>
      </c>
      <c r="F2266" s="49" t="s">
        <v>5167</v>
      </c>
      <c r="G2266" s="49" t="n">
        <v>0</v>
      </c>
      <c r="H2266" s="0" t="n">
        <v>0</v>
      </c>
      <c r="M2266" s="51" t="s">
        <v>5168</v>
      </c>
      <c r="N2266" s="49" t="n">
        <v>0</v>
      </c>
      <c r="O2266" s="53" t="n">
        <v>45726.8405439815</v>
      </c>
      <c r="P2266" s="53" t="n">
        <v>45799.4355902778</v>
      </c>
      <c r="Q2266" s="53" t="n">
        <v>45726.8405439815</v>
      </c>
      <c r="R2266" s="0" t="n">
        <v>0</v>
      </c>
      <c r="S2266" s="51" t="s">
        <v>2376</v>
      </c>
      <c r="T2266" s="51" t="s">
        <v>2376</v>
      </c>
      <c r="U2266" s="0" t="str">
        <f aca="false">"5942326400476"</f>
        <v>5942326400476</v>
      </c>
      <c r="V2266" s="51" t="s">
        <v>2365</v>
      </c>
      <c r="W2266" s="51" t="s">
        <v>5170</v>
      </c>
      <c r="X2266" s="51" t="s">
        <v>2359</v>
      </c>
    </row>
    <row r="2267" customFormat="false" ht="14.25" hidden="true" customHeight="false" outlineLevel="0" collapsed="false">
      <c r="A2267" s="49" t="s">
        <v>2349</v>
      </c>
      <c r="B2267" s="49" t="s">
        <v>2350</v>
      </c>
      <c r="C2267" s="49" t="s">
        <v>5171</v>
      </c>
      <c r="D2267" s="49" t="s">
        <v>2352</v>
      </c>
      <c r="E2267" s="49" t="str">
        <f aca="false">"5942326400476"</f>
        <v>5942326400476</v>
      </c>
      <c r="F2267" s="49" t="s">
        <v>5167</v>
      </c>
      <c r="G2267" s="49" t="n">
        <v>0</v>
      </c>
      <c r="H2267" s="0" t="n">
        <v>0</v>
      </c>
      <c r="M2267" s="51" t="s">
        <v>5168</v>
      </c>
      <c r="N2267" s="49" t="n">
        <v>0</v>
      </c>
      <c r="O2267" s="53" t="n">
        <v>45726.8400462963</v>
      </c>
      <c r="P2267" s="53" t="n">
        <v>45792.4841666667</v>
      </c>
      <c r="Q2267" s="53" t="n">
        <v>45726.8400462963</v>
      </c>
      <c r="R2267" s="0" t="n">
        <v>0</v>
      </c>
      <c r="S2267" s="51" t="s">
        <v>2376</v>
      </c>
      <c r="T2267" s="51" t="s">
        <v>2376</v>
      </c>
      <c r="U2267" s="0" t="str">
        <f aca="false">"5942326400476"</f>
        <v>5942326400476</v>
      </c>
      <c r="V2267" s="51" t="s">
        <v>2365</v>
      </c>
      <c r="W2267" s="51" t="s">
        <v>5172</v>
      </c>
      <c r="X2267" s="51" t="s">
        <v>2359</v>
      </c>
    </row>
    <row r="2268" customFormat="false" ht="14.25" hidden="true" customHeight="false" outlineLevel="0" collapsed="false">
      <c r="A2268" s="49" t="s">
        <v>2349</v>
      </c>
      <c r="B2268" s="49" t="s">
        <v>2350</v>
      </c>
      <c r="C2268" s="49" t="s">
        <v>5173</v>
      </c>
      <c r="D2268" s="49" t="s">
        <v>2352</v>
      </c>
      <c r="E2268" s="49" t="str">
        <f aca="false">"5942326400223"</f>
        <v>5942326400223</v>
      </c>
      <c r="F2268" s="49" t="s">
        <v>3798</v>
      </c>
      <c r="G2268" s="49" t="n">
        <v>0</v>
      </c>
      <c r="H2268" s="0" t="n">
        <v>0</v>
      </c>
      <c r="M2268" s="51" t="s">
        <v>5168</v>
      </c>
      <c r="N2268" s="49" t="n">
        <v>0</v>
      </c>
      <c r="O2268" s="53" t="n">
        <v>45726.8423958333</v>
      </c>
      <c r="P2268" s="53" t="n">
        <v>45787.3803472222</v>
      </c>
      <c r="Q2268" s="53" t="n">
        <v>45726.8423958333</v>
      </c>
      <c r="R2268" s="0" t="n">
        <v>0</v>
      </c>
      <c r="S2268" s="51" t="s">
        <v>2376</v>
      </c>
      <c r="T2268" s="51" t="s">
        <v>2376</v>
      </c>
      <c r="U2268" s="0" t="str">
        <f aca="false">"5942326400223"</f>
        <v>5942326400223</v>
      </c>
      <c r="V2268" s="51" t="s">
        <v>2365</v>
      </c>
      <c r="W2268" s="51" t="s">
        <v>5174</v>
      </c>
      <c r="X2268" s="51" t="s">
        <v>2359</v>
      </c>
    </row>
    <row r="2269" customFormat="false" ht="14.25" hidden="true" customHeight="false" outlineLevel="0" collapsed="false">
      <c r="A2269" s="49" t="s">
        <v>2349</v>
      </c>
      <c r="B2269" s="49" t="s">
        <v>2350</v>
      </c>
      <c r="C2269" s="49" t="s">
        <v>5175</v>
      </c>
      <c r="D2269" s="49" t="s">
        <v>2352</v>
      </c>
      <c r="E2269" s="49" t="str">
        <f aca="false">"5942326400223"</f>
        <v>5942326400223</v>
      </c>
      <c r="F2269" s="49" t="s">
        <v>3798</v>
      </c>
      <c r="G2269" s="49" t="n">
        <v>0</v>
      </c>
      <c r="H2269" s="0" t="n">
        <v>0</v>
      </c>
      <c r="M2269" s="51" t="s">
        <v>5168</v>
      </c>
      <c r="N2269" s="49" t="n">
        <v>0</v>
      </c>
      <c r="O2269" s="53" t="n">
        <v>45726.842037037</v>
      </c>
      <c r="P2269" s="53" t="n">
        <v>45831.4136921296</v>
      </c>
      <c r="Q2269" s="53" t="n">
        <v>45726.842037037</v>
      </c>
      <c r="R2269" s="0" t="n">
        <v>0</v>
      </c>
      <c r="S2269" s="51" t="s">
        <v>2376</v>
      </c>
      <c r="T2269" s="51" t="s">
        <v>2376</v>
      </c>
      <c r="U2269" s="0" t="str">
        <f aca="false">"5942326400223"</f>
        <v>5942326400223</v>
      </c>
      <c r="V2269" s="51" t="s">
        <v>2365</v>
      </c>
      <c r="W2269" s="51" t="s">
        <v>5176</v>
      </c>
      <c r="X2269" s="51" t="s">
        <v>2359</v>
      </c>
    </row>
    <row r="2270" customFormat="false" ht="14.25" hidden="true" customHeight="false" outlineLevel="0" collapsed="false">
      <c r="A2270" s="49" t="s">
        <v>2349</v>
      </c>
      <c r="B2270" s="49" t="s">
        <v>2350</v>
      </c>
      <c r="C2270" s="49" t="s">
        <v>5177</v>
      </c>
      <c r="D2270" s="49" t="s">
        <v>2352</v>
      </c>
      <c r="E2270" s="49" t="str">
        <f aca="false">"5060175133274"</f>
        <v>5060175133274</v>
      </c>
      <c r="F2270" s="49" t="s">
        <v>5130</v>
      </c>
      <c r="G2270" s="49" t="n">
        <v>0</v>
      </c>
      <c r="H2270" s="0" t="n">
        <v>0</v>
      </c>
      <c r="M2270" s="51" t="s">
        <v>5178</v>
      </c>
      <c r="N2270" s="49" t="n">
        <v>0</v>
      </c>
      <c r="O2270" s="53" t="n">
        <v>45727.5079861111</v>
      </c>
      <c r="P2270" s="53" t="n">
        <v>45729.5455324074</v>
      </c>
      <c r="Q2270" s="53" t="n">
        <v>45727.5079861111</v>
      </c>
      <c r="R2270" s="0" t="n">
        <v>0</v>
      </c>
      <c r="S2270" s="51" t="s">
        <v>2376</v>
      </c>
      <c r="T2270" s="51" t="s">
        <v>2376</v>
      </c>
      <c r="U2270" s="0" t="str">
        <f aca="false">"5060175133274"</f>
        <v>5060175133274</v>
      </c>
      <c r="V2270" s="51" t="s">
        <v>2365</v>
      </c>
      <c r="W2270" s="51" t="s">
        <v>5179</v>
      </c>
      <c r="X2270" s="51" t="s">
        <v>2359</v>
      </c>
    </row>
    <row r="2271" customFormat="false" ht="14.25" hidden="true" customHeight="false" outlineLevel="0" collapsed="false">
      <c r="A2271" s="49" t="s">
        <v>2349</v>
      </c>
      <c r="B2271" s="49" t="s">
        <v>2350</v>
      </c>
      <c r="C2271" s="49" t="s">
        <v>5180</v>
      </c>
      <c r="D2271" s="49" t="s">
        <v>2352</v>
      </c>
      <c r="E2271" s="49" t="str">
        <f aca="false">"5060458890191"</f>
        <v>5060458890191</v>
      </c>
      <c r="F2271" s="49" t="s">
        <v>3656</v>
      </c>
      <c r="G2271" s="49" t="n">
        <v>0</v>
      </c>
      <c r="H2271" s="0" t="n">
        <v>0</v>
      </c>
      <c r="M2271" s="51" t="s">
        <v>5181</v>
      </c>
      <c r="N2271" s="49" t="n">
        <v>0</v>
      </c>
      <c r="O2271" s="53" t="n">
        <v>45726.8377430556</v>
      </c>
      <c r="P2271" s="53" t="n">
        <v>45736.1560763889</v>
      </c>
      <c r="Q2271" s="53" t="n">
        <v>45726.8377430556</v>
      </c>
      <c r="R2271" s="0" t="n">
        <v>0</v>
      </c>
      <c r="S2271" s="51" t="s">
        <v>2376</v>
      </c>
      <c r="T2271" s="51" t="s">
        <v>2376</v>
      </c>
      <c r="U2271" s="0" t="str">
        <f aca="false">"5060458890191"</f>
        <v>5060458890191</v>
      </c>
      <c r="V2271" s="51" t="s">
        <v>2142</v>
      </c>
      <c r="W2271" s="51" t="s">
        <v>5182</v>
      </c>
      <c r="X2271" s="51" t="s">
        <v>2359</v>
      </c>
    </row>
    <row r="2272" customFormat="false" ht="14.25" hidden="true" customHeight="false" outlineLevel="0" collapsed="false">
      <c r="A2272" s="49" t="s">
        <v>2349</v>
      </c>
      <c r="B2272" s="49" t="s">
        <v>2350</v>
      </c>
      <c r="C2272" s="49" t="s">
        <v>5183</v>
      </c>
      <c r="D2272" s="49" t="s">
        <v>2352</v>
      </c>
      <c r="E2272" s="49" t="str">
        <f aca="false">"5060458890191"</f>
        <v>5060458890191</v>
      </c>
      <c r="F2272" s="49" t="s">
        <v>3656</v>
      </c>
      <c r="G2272" s="49" t="n">
        <v>0</v>
      </c>
      <c r="H2272" s="0" t="n">
        <v>0</v>
      </c>
      <c r="M2272" s="51" t="s">
        <v>5181</v>
      </c>
      <c r="N2272" s="49" t="n">
        <v>0</v>
      </c>
      <c r="O2272" s="53" t="n">
        <v>45726.8378472222</v>
      </c>
      <c r="P2272" s="53" t="n">
        <v>45736.1546527778</v>
      </c>
      <c r="Q2272" s="53" t="n">
        <v>45726.8378472222</v>
      </c>
      <c r="R2272" s="0" t="n">
        <v>0</v>
      </c>
      <c r="S2272" s="51" t="s">
        <v>2376</v>
      </c>
      <c r="T2272" s="51" t="s">
        <v>2376</v>
      </c>
      <c r="U2272" s="0" t="str">
        <f aca="false">"5060458890191"</f>
        <v>5060458890191</v>
      </c>
      <c r="V2272" s="51" t="s">
        <v>2142</v>
      </c>
      <c r="W2272" s="51" t="s">
        <v>5184</v>
      </c>
      <c r="X2272" s="51" t="s">
        <v>2359</v>
      </c>
    </row>
    <row r="2273" customFormat="false" ht="14.25" hidden="true" customHeight="false" outlineLevel="0" collapsed="false">
      <c r="A2273" s="49" t="s">
        <v>2349</v>
      </c>
      <c r="B2273" s="49" t="s">
        <v>2350</v>
      </c>
      <c r="C2273" s="49" t="s">
        <v>5185</v>
      </c>
      <c r="D2273" s="49" t="s">
        <v>2352</v>
      </c>
      <c r="E2273" s="49" t="str">
        <f aca="false">"5060458890191"</f>
        <v>5060458890191</v>
      </c>
      <c r="F2273" s="49" t="s">
        <v>3656</v>
      </c>
      <c r="G2273" s="49" t="n">
        <v>0</v>
      </c>
      <c r="H2273" s="0" t="n">
        <v>0</v>
      </c>
      <c r="M2273" s="51" t="s">
        <v>5181</v>
      </c>
      <c r="N2273" s="49" t="n">
        <v>0</v>
      </c>
      <c r="O2273" s="53" t="n">
        <v>45726.8379861111</v>
      </c>
      <c r="P2273" s="53" t="n">
        <v>45736.1552546296</v>
      </c>
      <c r="Q2273" s="53" t="n">
        <v>45726.8379861111</v>
      </c>
      <c r="R2273" s="0" t="n">
        <v>0</v>
      </c>
      <c r="S2273" s="51" t="s">
        <v>2376</v>
      </c>
      <c r="T2273" s="51" t="s">
        <v>2376</v>
      </c>
      <c r="U2273" s="0" t="str">
        <f aca="false">"5060458890191"</f>
        <v>5060458890191</v>
      </c>
      <c r="V2273" s="51" t="s">
        <v>2142</v>
      </c>
      <c r="W2273" s="51" t="s">
        <v>5186</v>
      </c>
      <c r="X2273" s="51" t="s">
        <v>2359</v>
      </c>
    </row>
    <row r="2274" customFormat="false" ht="14.25" hidden="true" customHeight="false" outlineLevel="0" collapsed="false">
      <c r="A2274" s="49" t="s">
        <v>2349</v>
      </c>
      <c r="B2274" s="49" t="s">
        <v>2350</v>
      </c>
      <c r="C2274" s="49" t="s">
        <v>5187</v>
      </c>
      <c r="D2274" s="49" t="s">
        <v>2352</v>
      </c>
      <c r="E2274" s="49" t="str">
        <f aca="false">"5060458890191"</f>
        <v>5060458890191</v>
      </c>
      <c r="F2274" s="49" t="s">
        <v>3656</v>
      </c>
      <c r="G2274" s="49" t="n">
        <v>0</v>
      </c>
      <c r="H2274" s="0" t="n">
        <v>0</v>
      </c>
      <c r="M2274" s="51" t="s">
        <v>5181</v>
      </c>
      <c r="N2274" s="49" t="n">
        <v>0</v>
      </c>
      <c r="O2274" s="53" t="n">
        <v>45726.8381134259</v>
      </c>
      <c r="P2274" s="53" t="n">
        <v>45728.9489814815</v>
      </c>
      <c r="Q2274" s="53" t="n">
        <v>45726.8381134259</v>
      </c>
      <c r="R2274" s="0" t="n">
        <v>0</v>
      </c>
      <c r="S2274" s="51" t="s">
        <v>2376</v>
      </c>
      <c r="T2274" s="51" t="s">
        <v>2376</v>
      </c>
      <c r="U2274" s="0" t="str">
        <f aca="false">"5060458890191"</f>
        <v>5060458890191</v>
      </c>
      <c r="V2274" s="51" t="s">
        <v>2142</v>
      </c>
      <c r="W2274" s="51" t="s">
        <v>5188</v>
      </c>
      <c r="X2274" s="51" t="s">
        <v>2359</v>
      </c>
    </row>
    <row r="2275" customFormat="false" ht="14.25" hidden="true" customHeight="false" outlineLevel="0" collapsed="false">
      <c r="A2275" s="49" t="s">
        <v>2349</v>
      </c>
      <c r="B2275" s="49" t="s">
        <v>2350</v>
      </c>
      <c r="C2275" s="49" t="s">
        <v>5189</v>
      </c>
      <c r="D2275" s="49" t="s">
        <v>2352</v>
      </c>
      <c r="E2275" s="49" t="str">
        <f aca="false">"5060458890191"</f>
        <v>5060458890191</v>
      </c>
      <c r="F2275" s="49" t="s">
        <v>3656</v>
      </c>
      <c r="G2275" s="49" t="n">
        <v>0</v>
      </c>
      <c r="H2275" s="0" t="n">
        <v>0</v>
      </c>
      <c r="M2275" s="51" t="s">
        <v>5181</v>
      </c>
      <c r="N2275" s="49" t="n">
        <v>0</v>
      </c>
      <c r="O2275" s="53" t="n">
        <v>45726.8382291667</v>
      </c>
      <c r="P2275" s="53" t="n">
        <v>45728.9485416667</v>
      </c>
      <c r="Q2275" s="53" t="n">
        <v>45726.8382291667</v>
      </c>
      <c r="R2275" s="0" t="n">
        <v>0</v>
      </c>
      <c r="S2275" s="51" t="s">
        <v>2376</v>
      </c>
      <c r="T2275" s="51" t="s">
        <v>2376</v>
      </c>
      <c r="U2275" s="0" t="str">
        <f aca="false">"5060458890191"</f>
        <v>5060458890191</v>
      </c>
      <c r="V2275" s="51" t="s">
        <v>2142</v>
      </c>
      <c r="W2275" s="51" t="s">
        <v>5190</v>
      </c>
      <c r="X2275" s="51" t="s">
        <v>2359</v>
      </c>
    </row>
    <row r="2276" customFormat="false" ht="14.25" hidden="true" customHeight="false" outlineLevel="0" collapsed="false">
      <c r="A2276" s="49" t="s">
        <v>2349</v>
      </c>
      <c r="B2276" s="49" t="s">
        <v>2350</v>
      </c>
      <c r="C2276" s="49" t="s">
        <v>5191</v>
      </c>
      <c r="D2276" s="49" t="s">
        <v>2352</v>
      </c>
      <c r="E2276" s="49" t="str">
        <f aca="false">"5060458890191"</f>
        <v>5060458890191</v>
      </c>
      <c r="F2276" s="49" t="s">
        <v>3656</v>
      </c>
      <c r="G2276" s="49" t="n">
        <v>0</v>
      </c>
      <c r="H2276" s="0" t="n">
        <v>0</v>
      </c>
      <c r="M2276" s="51" t="s">
        <v>5181</v>
      </c>
      <c r="N2276" s="49" t="n">
        <v>0</v>
      </c>
      <c r="O2276" s="53" t="n">
        <v>45726.8341550926</v>
      </c>
      <c r="P2276" s="53" t="n">
        <v>45734.5865625</v>
      </c>
      <c r="Q2276" s="53" t="n">
        <v>45726.8341550926</v>
      </c>
      <c r="R2276" s="0" t="n">
        <v>0</v>
      </c>
      <c r="S2276" s="51" t="s">
        <v>2376</v>
      </c>
      <c r="T2276" s="51" t="s">
        <v>2376</v>
      </c>
      <c r="U2276" s="0" t="str">
        <f aca="false">"5060458890191"</f>
        <v>5060458890191</v>
      </c>
      <c r="V2276" s="51" t="s">
        <v>2142</v>
      </c>
      <c r="W2276" s="51" t="s">
        <v>4423</v>
      </c>
      <c r="X2276" s="51" t="s">
        <v>2359</v>
      </c>
    </row>
    <row r="2277" customFormat="false" ht="14.25" hidden="true" customHeight="false" outlineLevel="0" collapsed="false">
      <c r="A2277" s="49" t="s">
        <v>2349</v>
      </c>
      <c r="B2277" s="49" t="s">
        <v>2350</v>
      </c>
      <c r="C2277" s="49" t="s">
        <v>5192</v>
      </c>
      <c r="D2277" s="49" t="s">
        <v>2352</v>
      </c>
      <c r="E2277" s="49" t="str">
        <f aca="false">"5060458890191"</f>
        <v>5060458890191</v>
      </c>
      <c r="F2277" s="49" t="s">
        <v>3656</v>
      </c>
      <c r="G2277" s="49" t="n">
        <v>0</v>
      </c>
      <c r="H2277" s="0" t="n">
        <v>0</v>
      </c>
      <c r="M2277" s="51" t="s">
        <v>5181</v>
      </c>
      <c r="N2277" s="49" t="n">
        <v>0</v>
      </c>
      <c r="O2277" s="53" t="n">
        <v>45726.8346643519</v>
      </c>
      <c r="P2277" s="53" t="n">
        <v>45738.5075462963</v>
      </c>
      <c r="Q2277" s="53" t="n">
        <v>45726.8346643519</v>
      </c>
      <c r="R2277" s="0" t="n">
        <v>0</v>
      </c>
      <c r="S2277" s="51" t="s">
        <v>2376</v>
      </c>
      <c r="T2277" s="51" t="s">
        <v>2376</v>
      </c>
      <c r="U2277" s="0" t="str">
        <f aca="false">"5060458890191"</f>
        <v>5060458890191</v>
      </c>
      <c r="V2277" s="51" t="s">
        <v>2142</v>
      </c>
      <c r="W2277" s="51" t="s">
        <v>4413</v>
      </c>
      <c r="X2277" s="51" t="s">
        <v>2359</v>
      </c>
    </row>
    <row r="2278" customFormat="false" ht="14.25" hidden="true" customHeight="false" outlineLevel="0" collapsed="false">
      <c r="A2278" s="49" t="s">
        <v>2349</v>
      </c>
      <c r="B2278" s="49" t="s">
        <v>2350</v>
      </c>
      <c r="C2278" s="49" t="s">
        <v>5193</v>
      </c>
      <c r="D2278" s="49" t="s">
        <v>2352</v>
      </c>
      <c r="E2278" s="49" t="str">
        <f aca="false">"5060458890191"</f>
        <v>5060458890191</v>
      </c>
      <c r="F2278" s="49" t="s">
        <v>3656</v>
      </c>
      <c r="G2278" s="49" t="n">
        <v>0</v>
      </c>
      <c r="H2278" s="0" t="n">
        <v>0</v>
      </c>
      <c r="M2278" s="51" t="s">
        <v>5181</v>
      </c>
      <c r="N2278" s="49" t="n">
        <v>0</v>
      </c>
      <c r="O2278" s="53" t="n">
        <v>45726.8345486111</v>
      </c>
      <c r="P2278" s="53" t="n">
        <v>45734.9194444444</v>
      </c>
      <c r="Q2278" s="53" t="n">
        <v>45726.8345486111</v>
      </c>
      <c r="R2278" s="0" t="n">
        <v>0</v>
      </c>
      <c r="S2278" s="51" t="s">
        <v>2376</v>
      </c>
      <c r="T2278" s="51" t="s">
        <v>2376</v>
      </c>
      <c r="U2278" s="0" t="str">
        <f aca="false">"5060458890191"</f>
        <v>5060458890191</v>
      </c>
      <c r="V2278" s="51" t="s">
        <v>2142</v>
      </c>
      <c r="W2278" s="51" t="s">
        <v>4411</v>
      </c>
      <c r="X2278" s="51" t="s">
        <v>2359</v>
      </c>
    </row>
    <row r="2279" customFormat="false" ht="14.25" hidden="true" customHeight="false" outlineLevel="0" collapsed="false">
      <c r="A2279" s="49" t="s">
        <v>2349</v>
      </c>
      <c r="B2279" s="49" t="s">
        <v>2350</v>
      </c>
      <c r="C2279" s="49" t="s">
        <v>5194</v>
      </c>
      <c r="D2279" s="49" t="s">
        <v>2352</v>
      </c>
      <c r="E2279" s="49" t="str">
        <f aca="false">"5060458890191"</f>
        <v>5060458890191</v>
      </c>
      <c r="F2279" s="49" t="s">
        <v>3656</v>
      </c>
      <c r="G2279" s="49" t="n">
        <v>0</v>
      </c>
      <c r="H2279" s="0" t="n">
        <v>0</v>
      </c>
      <c r="M2279" s="51" t="s">
        <v>5181</v>
      </c>
      <c r="N2279" s="49" t="n">
        <v>0</v>
      </c>
      <c r="O2279" s="53" t="n">
        <v>45726.8344212963</v>
      </c>
      <c r="P2279" s="53" t="n">
        <v>45734.9195717593</v>
      </c>
      <c r="Q2279" s="53" t="n">
        <v>45726.8344212963</v>
      </c>
      <c r="R2279" s="0" t="n">
        <v>0</v>
      </c>
      <c r="S2279" s="51" t="s">
        <v>2376</v>
      </c>
      <c r="T2279" s="51" t="s">
        <v>2376</v>
      </c>
      <c r="U2279" s="0" t="str">
        <f aca="false">"5060458890191"</f>
        <v>5060458890191</v>
      </c>
      <c r="V2279" s="51" t="s">
        <v>2142</v>
      </c>
      <c r="W2279" s="51" t="s">
        <v>4409</v>
      </c>
      <c r="X2279" s="51" t="s">
        <v>2359</v>
      </c>
    </row>
    <row r="2280" customFormat="false" ht="14.25" hidden="true" customHeight="false" outlineLevel="0" collapsed="false">
      <c r="A2280" s="49" t="s">
        <v>2349</v>
      </c>
      <c r="B2280" s="49" t="s">
        <v>2350</v>
      </c>
      <c r="C2280" s="49" t="s">
        <v>5195</v>
      </c>
      <c r="D2280" s="49" t="s">
        <v>2352</v>
      </c>
      <c r="E2280" s="49" t="str">
        <f aca="false">"5060458890191"</f>
        <v>5060458890191</v>
      </c>
      <c r="F2280" s="49" t="s">
        <v>3656</v>
      </c>
      <c r="G2280" s="49" t="n">
        <v>0</v>
      </c>
      <c r="H2280" s="0" t="n">
        <v>0</v>
      </c>
      <c r="M2280" s="51" t="s">
        <v>5181</v>
      </c>
      <c r="N2280" s="49" t="n">
        <v>0</v>
      </c>
      <c r="O2280" s="53" t="n">
        <v>45726.8342939815</v>
      </c>
      <c r="P2280" s="53" t="n">
        <v>45738.5088194445</v>
      </c>
      <c r="Q2280" s="53" t="n">
        <v>45726.8342939815</v>
      </c>
      <c r="R2280" s="0" t="n">
        <v>0</v>
      </c>
      <c r="S2280" s="51" t="s">
        <v>2376</v>
      </c>
      <c r="T2280" s="51" t="s">
        <v>2376</v>
      </c>
      <c r="U2280" s="0" t="str">
        <f aca="false">"5060458890191"</f>
        <v>5060458890191</v>
      </c>
      <c r="V2280" s="51" t="s">
        <v>2142</v>
      </c>
      <c r="W2280" s="51" t="s">
        <v>4407</v>
      </c>
      <c r="X2280" s="51" t="s">
        <v>2359</v>
      </c>
    </row>
    <row r="2281" customFormat="false" ht="14.25" hidden="true" customHeight="false" outlineLevel="0" collapsed="false">
      <c r="A2281" s="49" t="s">
        <v>2349</v>
      </c>
      <c r="B2281" s="49" t="s">
        <v>2350</v>
      </c>
      <c r="C2281" s="49" t="s">
        <v>5196</v>
      </c>
      <c r="D2281" s="49" t="s">
        <v>2352</v>
      </c>
      <c r="E2281" s="49" t="str">
        <f aca="false">"5060458890191"</f>
        <v>5060458890191</v>
      </c>
      <c r="F2281" s="49" t="s">
        <v>3656</v>
      </c>
      <c r="G2281" s="49" t="n">
        <v>0</v>
      </c>
      <c r="H2281" s="0" t="n">
        <v>0</v>
      </c>
      <c r="M2281" s="51" t="s">
        <v>5181</v>
      </c>
      <c r="N2281" s="49" t="n">
        <v>0</v>
      </c>
      <c r="O2281" s="53" t="n">
        <v>45726.8348032407</v>
      </c>
      <c r="P2281" s="53" t="n">
        <v>45728.9551388889</v>
      </c>
      <c r="Q2281" s="53" t="n">
        <v>45726.8348032407</v>
      </c>
      <c r="R2281" s="0" t="n">
        <v>0</v>
      </c>
      <c r="S2281" s="51" t="s">
        <v>2376</v>
      </c>
      <c r="T2281" s="51" t="s">
        <v>2376</v>
      </c>
      <c r="U2281" s="0" t="str">
        <f aca="false">"5060458890191"</f>
        <v>5060458890191</v>
      </c>
      <c r="V2281" s="51" t="s">
        <v>2142</v>
      </c>
      <c r="W2281" s="51" t="s">
        <v>4415</v>
      </c>
      <c r="X2281" s="51" t="s">
        <v>2359</v>
      </c>
    </row>
    <row r="2282" customFormat="false" ht="14.25" hidden="true" customHeight="false" outlineLevel="0" collapsed="false">
      <c r="A2282" s="49" t="s">
        <v>2349</v>
      </c>
      <c r="B2282" s="49" t="s">
        <v>2350</v>
      </c>
      <c r="C2282" s="49" t="s">
        <v>5197</v>
      </c>
      <c r="D2282" s="49" t="s">
        <v>2352</v>
      </c>
      <c r="E2282" s="49" t="str">
        <f aca="false">"5060458890191"</f>
        <v>5060458890191</v>
      </c>
      <c r="F2282" s="49" t="s">
        <v>3656</v>
      </c>
      <c r="G2282" s="49" t="n">
        <v>0</v>
      </c>
      <c r="H2282" s="0" t="n">
        <v>0</v>
      </c>
      <c r="M2282" s="51" t="s">
        <v>5181</v>
      </c>
      <c r="N2282" s="49" t="n">
        <v>0</v>
      </c>
      <c r="O2282" s="53" t="n">
        <v>45726.8349305556</v>
      </c>
      <c r="P2282" s="53" t="n">
        <v>45728.9547685185</v>
      </c>
      <c r="Q2282" s="53" t="n">
        <v>45726.8349305556</v>
      </c>
      <c r="R2282" s="0" t="n">
        <v>0</v>
      </c>
      <c r="S2282" s="51" t="s">
        <v>2376</v>
      </c>
      <c r="T2282" s="51" t="s">
        <v>2376</v>
      </c>
      <c r="U2282" s="0" t="str">
        <f aca="false">"5060458890191"</f>
        <v>5060458890191</v>
      </c>
      <c r="V2282" s="51" t="s">
        <v>2142</v>
      </c>
      <c r="W2282" s="51" t="s">
        <v>4417</v>
      </c>
      <c r="X2282" s="51" t="s">
        <v>2359</v>
      </c>
    </row>
    <row r="2283" customFormat="false" ht="14.25" hidden="true" customHeight="false" outlineLevel="0" collapsed="false">
      <c r="A2283" s="49" t="s">
        <v>2349</v>
      </c>
      <c r="B2283" s="49" t="s">
        <v>2350</v>
      </c>
      <c r="C2283" s="49" t="s">
        <v>5198</v>
      </c>
      <c r="D2283" s="49" t="s">
        <v>2352</v>
      </c>
      <c r="E2283" s="49" t="str">
        <f aca="false">"5060458890191"</f>
        <v>5060458890191</v>
      </c>
      <c r="F2283" s="49" t="s">
        <v>3656</v>
      </c>
      <c r="G2283" s="49" t="n">
        <v>0</v>
      </c>
      <c r="H2283" s="0" t="n">
        <v>0</v>
      </c>
      <c r="M2283" s="51" t="s">
        <v>5181</v>
      </c>
      <c r="N2283" s="49" t="n">
        <v>0</v>
      </c>
      <c r="O2283" s="53" t="n">
        <v>45726.8350810185</v>
      </c>
      <c r="P2283" s="53" t="n">
        <v>45734.5879282407</v>
      </c>
      <c r="Q2283" s="53" t="n">
        <v>45726.8350810185</v>
      </c>
      <c r="R2283" s="0" t="n">
        <v>0</v>
      </c>
      <c r="S2283" s="51" t="s">
        <v>2376</v>
      </c>
      <c r="T2283" s="51" t="s">
        <v>2376</v>
      </c>
      <c r="U2283" s="0" t="str">
        <f aca="false">"5060458890191"</f>
        <v>5060458890191</v>
      </c>
      <c r="V2283" s="51" t="s">
        <v>2142</v>
      </c>
      <c r="W2283" s="51" t="s">
        <v>5199</v>
      </c>
      <c r="X2283" s="51" t="s">
        <v>2359</v>
      </c>
    </row>
    <row r="2284" customFormat="false" ht="14.25" hidden="true" customHeight="false" outlineLevel="0" collapsed="false">
      <c r="A2284" s="49" t="s">
        <v>2349</v>
      </c>
      <c r="B2284" s="49" t="s">
        <v>2350</v>
      </c>
      <c r="C2284" s="49" t="s">
        <v>5200</v>
      </c>
      <c r="D2284" s="49" t="s">
        <v>2352</v>
      </c>
      <c r="E2284" s="49" t="str">
        <f aca="false">"5060458890191"</f>
        <v>5060458890191</v>
      </c>
      <c r="F2284" s="49" t="s">
        <v>3656</v>
      </c>
      <c r="G2284" s="49" t="n">
        <v>0</v>
      </c>
      <c r="H2284" s="0" t="n">
        <v>0</v>
      </c>
      <c r="M2284" s="51" t="s">
        <v>5181</v>
      </c>
      <c r="N2284" s="49" t="n">
        <v>0</v>
      </c>
      <c r="O2284" s="53" t="n">
        <v>45726.8352083333</v>
      </c>
      <c r="P2284" s="53" t="n">
        <v>45739.0286458333</v>
      </c>
      <c r="Q2284" s="53" t="n">
        <v>45726.8352083333</v>
      </c>
      <c r="R2284" s="0" t="n">
        <v>0</v>
      </c>
      <c r="S2284" s="51" t="s">
        <v>2376</v>
      </c>
      <c r="T2284" s="51" t="s">
        <v>2376</v>
      </c>
      <c r="U2284" s="0" t="str">
        <f aca="false">"5060458890191"</f>
        <v>5060458890191</v>
      </c>
      <c r="V2284" s="51" t="s">
        <v>2142</v>
      </c>
      <c r="W2284" s="51" t="s">
        <v>5201</v>
      </c>
      <c r="X2284" s="51" t="s">
        <v>2359</v>
      </c>
    </row>
    <row r="2285" customFormat="false" ht="14.25" hidden="true" customHeight="false" outlineLevel="0" collapsed="false">
      <c r="A2285" s="49" t="s">
        <v>2349</v>
      </c>
      <c r="B2285" s="49" t="s">
        <v>2350</v>
      </c>
      <c r="C2285" s="49" t="s">
        <v>5202</v>
      </c>
      <c r="D2285" s="49" t="s">
        <v>2352</v>
      </c>
      <c r="E2285" s="49" t="str">
        <f aca="false">"5060458890191"</f>
        <v>5060458890191</v>
      </c>
      <c r="F2285" s="49" t="s">
        <v>3656</v>
      </c>
      <c r="G2285" s="49" t="n">
        <v>0</v>
      </c>
      <c r="H2285" s="0" t="n">
        <v>0</v>
      </c>
      <c r="M2285" s="51" t="s">
        <v>5181</v>
      </c>
      <c r="N2285" s="49" t="n">
        <v>0</v>
      </c>
      <c r="O2285" s="53" t="n">
        <v>45726.8366203704</v>
      </c>
      <c r="P2285" s="53" t="n">
        <v>45734.9106134259</v>
      </c>
      <c r="Q2285" s="53" t="n">
        <v>45726.8366203704</v>
      </c>
      <c r="R2285" s="0" t="n">
        <v>0</v>
      </c>
      <c r="S2285" s="51" t="s">
        <v>2376</v>
      </c>
      <c r="T2285" s="51" t="s">
        <v>2376</v>
      </c>
      <c r="U2285" s="0" t="str">
        <f aca="false">"5060458890191"</f>
        <v>5060458890191</v>
      </c>
      <c r="V2285" s="51" t="s">
        <v>2142</v>
      </c>
      <c r="W2285" s="51" t="s">
        <v>5203</v>
      </c>
      <c r="X2285" s="51" t="s">
        <v>2359</v>
      </c>
    </row>
    <row r="2286" customFormat="false" ht="14.25" hidden="true" customHeight="false" outlineLevel="0" collapsed="false">
      <c r="A2286" s="49" t="s">
        <v>2349</v>
      </c>
      <c r="B2286" s="49" t="s">
        <v>2350</v>
      </c>
      <c r="C2286" s="49" t="s">
        <v>5204</v>
      </c>
      <c r="D2286" s="49" t="s">
        <v>2352</v>
      </c>
      <c r="E2286" s="49" t="str">
        <f aca="false">"5060458890191"</f>
        <v>5060458890191</v>
      </c>
      <c r="F2286" s="49" t="s">
        <v>3656</v>
      </c>
      <c r="G2286" s="49" t="n">
        <v>0</v>
      </c>
      <c r="H2286" s="0" t="n">
        <v>0</v>
      </c>
      <c r="M2286" s="51" t="s">
        <v>5181</v>
      </c>
      <c r="N2286" s="49" t="n">
        <v>0</v>
      </c>
      <c r="O2286" s="53" t="n">
        <v>45726.8365046296</v>
      </c>
      <c r="P2286" s="53" t="n">
        <v>45734.9120023148</v>
      </c>
      <c r="Q2286" s="53" t="n">
        <v>45726.8365046296</v>
      </c>
      <c r="R2286" s="0" t="n">
        <v>0</v>
      </c>
      <c r="S2286" s="51" t="s">
        <v>2376</v>
      </c>
      <c r="T2286" s="51" t="s">
        <v>2376</v>
      </c>
      <c r="U2286" s="0" t="str">
        <f aca="false">"5060458890191"</f>
        <v>5060458890191</v>
      </c>
      <c r="V2286" s="51" t="s">
        <v>2142</v>
      </c>
      <c r="W2286" s="51" t="s">
        <v>5205</v>
      </c>
      <c r="X2286" s="51" t="s">
        <v>2359</v>
      </c>
    </row>
    <row r="2287" customFormat="false" ht="14.25" hidden="true" customHeight="false" outlineLevel="0" collapsed="false">
      <c r="A2287" s="49" t="s">
        <v>2349</v>
      </c>
      <c r="B2287" s="49" t="s">
        <v>2350</v>
      </c>
      <c r="C2287" s="49" t="s">
        <v>5206</v>
      </c>
      <c r="D2287" s="49" t="s">
        <v>2352</v>
      </c>
      <c r="E2287" s="49" t="str">
        <f aca="false">"5060458890191"</f>
        <v>5060458890191</v>
      </c>
      <c r="F2287" s="49" t="s">
        <v>3656</v>
      </c>
      <c r="G2287" s="49" t="n">
        <v>0</v>
      </c>
      <c r="H2287" s="0" t="n">
        <v>0</v>
      </c>
      <c r="M2287" s="51" t="s">
        <v>5181</v>
      </c>
      <c r="N2287" s="49" t="n">
        <v>0</v>
      </c>
      <c r="O2287" s="53" t="n">
        <v>45726.8363773148</v>
      </c>
      <c r="P2287" s="53" t="n">
        <v>45734.9162384259</v>
      </c>
      <c r="Q2287" s="53" t="n">
        <v>45726.8363773148</v>
      </c>
      <c r="R2287" s="0" t="n">
        <v>0</v>
      </c>
      <c r="S2287" s="51" t="s">
        <v>2376</v>
      </c>
      <c r="T2287" s="51" t="s">
        <v>2376</v>
      </c>
      <c r="U2287" s="0" t="str">
        <f aca="false">"5060458890191"</f>
        <v>5060458890191</v>
      </c>
      <c r="V2287" s="51" t="s">
        <v>2142</v>
      </c>
      <c r="W2287" s="51" t="s">
        <v>5207</v>
      </c>
      <c r="X2287" s="51" t="s">
        <v>2359</v>
      </c>
    </row>
    <row r="2288" customFormat="false" ht="14.25" hidden="true" customHeight="false" outlineLevel="0" collapsed="false">
      <c r="A2288" s="49" t="s">
        <v>2349</v>
      </c>
      <c r="B2288" s="49" t="s">
        <v>2350</v>
      </c>
      <c r="C2288" s="49" t="s">
        <v>5208</v>
      </c>
      <c r="D2288" s="49" t="s">
        <v>2352</v>
      </c>
      <c r="E2288" s="49" t="str">
        <f aca="false">"5060458890191"</f>
        <v>5060458890191</v>
      </c>
      <c r="F2288" s="49" t="s">
        <v>3656</v>
      </c>
      <c r="G2288" s="49" t="n">
        <v>0</v>
      </c>
      <c r="H2288" s="0" t="n">
        <v>0</v>
      </c>
      <c r="M2288" s="51" t="s">
        <v>5181</v>
      </c>
      <c r="N2288" s="49" t="n">
        <v>0</v>
      </c>
      <c r="O2288" s="53" t="n">
        <v>45726.8361458333</v>
      </c>
      <c r="P2288" s="53" t="n">
        <v>45734.9270601852</v>
      </c>
      <c r="Q2288" s="53" t="n">
        <v>45726.8361458333</v>
      </c>
      <c r="R2288" s="0" t="n">
        <v>0</v>
      </c>
      <c r="S2288" s="51" t="s">
        <v>2376</v>
      </c>
      <c r="T2288" s="51" t="s">
        <v>2376</v>
      </c>
      <c r="U2288" s="0" t="str">
        <f aca="false">"5060458890191"</f>
        <v>5060458890191</v>
      </c>
      <c r="V2288" s="51" t="s">
        <v>2142</v>
      </c>
      <c r="W2288" s="51" t="s">
        <v>4670</v>
      </c>
      <c r="X2288" s="51" t="s">
        <v>2359</v>
      </c>
    </row>
    <row r="2289" customFormat="false" ht="14.25" hidden="true" customHeight="false" outlineLevel="0" collapsed="false">
      <c r="A2289" s="49" t="s">
        <v>2349</v>
      </c>
      <c r="B2289" s="49" t="s">
        <v>2350</v>
      </c>
      <c r="C2289" s="49" t="s">
        <v>5209</v>
      </c>
      <c r="D2289" s="49" t="s">
        <v>2352</v>
      </c>
      <c r="E2289" s="49" t="str">
        <f aca="false">"5060458890191"</f>
        <v>5060458890191</v>
      </c>
      <c r="F2289" s="49" t="s">
        <v>3656</v>
      </c>
      <c r="G2289" s="49" t="n">
        <v>0</v>
      </c>
      <c r="H2289" s="0" t="n">
        <v>0</v>
      </c>
      <c r="M2289" s="51" t="s">
        <v>5181</v>
      </c>
      <c r="N2289" s="49" t="n">
        <v>0</v>
      </c>
      <c r="O2289" s="53" t="n">
        <v>45726.8359953704</v>
      </c>
      <c r="P2289" s="53" t="n">
        <v>45734.6003009259</v>
      </c>
      <c r="Q2289" s="53" t="n">
        <v>45726.8359953704</v>
      </c>
      <c r="R2289" s="0" t="n">
        <v>0</v>
      </c>
      <c r="S2289" s="51" t="s">
        <v>2376</v>
      </c>
      <c r="T2289" s="51" t="s">
        <v>2376</v>
      </c>
      <c r="U2289" s="0" t="str">
        <f aca="false">"5060458890191"</f>
        <v>5060458890191</v>
      </c>
      <c r="V2289" s="51" t="s">
        <v>2142</v>
      </c>
      <c r="W2289" s="51" t="s">
        <v>4672</v>
      </c>
      <c r="X2289" s="51" t="s">
        <v>2359</v>
      </c>
    </row>
    <row r="2290" customFormat="false" ht="14.25" hidden="true" customHeight="false" outlineLevel="0" collapsed="false">
      <c r="A2290" s="49" t="s">
        <v>2349</v>
      </c>
      <c r="B2290" s="49" t="s">
        <v>2350</v>
      </c>
      <c r="C2290" s="49" t="s">
        <v>5210</v>
      </c>
      <c r="D2290" s="49" t="s">
        <v>2352</v>
      </c>
      <c r="E2290" s="49" t="str">
        <f aca="false">"5060458890191"</f>
        <v>5060458890191</v>
      </c>
      <c r="F2290" s="49" t="s">
        <v>3656</v>
      </c>
      <c r="G2290" s="49" t="n">
        <v>0</v>
      </c>
      <c r="H2290" s="0" t="n">
        <v>0</v>
      </c>
      <c r="M2290" s="51" t="s">
        <v>5181</v>
      </c>
      <c r="N2290" s="49" t="n">
        <v>0</v>
      </c>
      <c r="O2290" s="53" t="n">
        <v>45726.8358796296</v>
      </c>
      <c r="P2290" s="53" t="n">
        <v>45734.5913310185</v>
      </c>
      <c r="Q2290" s="53" t="n">
        <v>45726.8358796296</v>
      </c>
      <c r="R2290" s="0" t="n">
        <v>0</v>
      </c>
      <c r="S2290" s="51" t="s">
        <v>2376</v>
      </c>
      <c r="T2290" s="51" t="s">
        <v>2376</v>
      </c>
      <c r="U2290" s="0" t="str">
        <f aca="false">"5060458890191"</f>
        <v>5060458890191</v>
      </c>
      <c r="V2290" s="51" t="s">
        <v>2142</v>
      </c>
      <c r="W2290" s="51" t="s">
        <v>5211</v>
      </c>
      <c r="X2290" s="51" t="s">
        <v>2359</v>
      </c>
    </row>
    <row r="2291" customFormat="false" ht="14.25" hidden="true" customHeight="false" outlineLevel="0" collapsed="false">
      <c r="A2291" s="49" t="s">
        <v>2349</v>
      </c>
      <c r="B2291" s="49" t="s">
        <v>2350</v>
      </c>
      <c r="C2291" s="49" t="s">
        <v>5212</v>
      </c>
      <c r="D2291" s="49" t="s">
        <v>2352</v>
      </c>
      <c r="E2291" s="49" t="str">
        <f aca="false">"5060458890191"</f>
        <v>5060458890191</v>
      </c>
      <c r="F2291" s="49" t="s">
        <v>3656</v>
      </c>
      <c r="G2291" s="49" t="n">
        <v>0</v>
      </c>
      <c r="H2291" s="0" t="n">
        <v>0</v>
      </c>
      <c r="M2291" s="51" t="s">
        <v>5181</v>
      </c>
      <c r="N2291" s="49" t="n">
        <v>0</v>
      </c>
      <c r="O2291" s="53" t="n">
        <v>45726.8353240741</v>
      </c>
      <c r="P2291" s="53" t="n">
        <v>45742.9500462963</v>
      </c>
      <c r="Q2291" s="53" t="n">
        <v>45726.8353240741</v>
      </c>
      <c r="R2291" s="0" t="n">
        <v>0</v>
      </c>
      <c r="S2291" s="51" t="s">
        <v>2376</v>
      </c>
      <c r="T2291" s="51" t="s">
        <v>2376</v>
      </c>
      <c r="U2291" s="0" t="str">
        <f aca="false">"5060458890191"</f>
        <v>5060458890191</v>
      </c>
      <c r="V2291" s="51" t="s">
        <v>2142</v>
      </c>
      <c r="W2291" s="51" t="s">
        <v>5213</v>
      </c>
      <c r="X2291" s="51" t="s">
        <v>2359</v>
      </c>
    </row>
    <row r="2292" customFormat="false" ht="14.25" hidden="true" customHeight="false" outlineLevel="0" collapsed="false">
      <c r="A2292" s="49" t="s">
        <v>2349</v>
      </c>
      <c r="B2292" s="49" t="s">
        <v>2350</v>
      </c>
      <c r="C2292" s="49" t="s">
        <v>5214</v>
      </c>
      <c r="D2292" s="49" t="s">
        <v>2352</v>
      </c>
      <c r="E2292" s="49" t="str">
        <f aca="false">"5060458890191"</f>
        <v>5060458890191</v>
      </c>
      <c r="F2292" s="49" t="s">
        <v>3656</v>
      </c>
      <c r="G2292" s="49" t="n">
        <v>0</v>
      </c>
      <c r="H2292" s="0" t="n">
        <v>0</v>
      </c>
      <c r="M2292" s="51" t="s">
        <v>5181</v>
      </c>
      <c r="N2292" s="49" t="n">
        <v>0</v>
      </c>
      <c r="O2292" s="53" t="n">
        <v>45726.8356365741</v>
      </c>
      <c r="P2292" s="53" t="n">
        <v>45734.5890393519</v>
      </c>
      <c r="Q2292" s="53" t="n">
        <v>45726.8356365741</v>
      </c>
      <c r="R2292" s="0" t="n">
        <v>0</v>
      </c>
      <c r="S2292" s="51" t="s">
        <v>2376</v>
      </c>
      <c r="T2292" s="51" t="s">
        <v>2376</v>
      </c>
      <c r="U2292" s="0" t="str">
        <f aca="false">"5060458890191"</f>
        <v>5060458890191</v>
      </c>
      <c r="V2292" s="51" t="s">
        <v>2142</v>
      </c>
      <c r="W2292" s="51" t="s">
        <v>5215</v>
      </c>
      <c r="X2292" s="51" t="s">
        <v>2359</v>
      </c>
    </row>
    <row r="2293" customFormat="false" ht="14.25" hidden="true" customHeight="false" outlineLevel="0" collapsed="false">
      <c r="A2293" s="49" t="s">
        <v>2349</v>
      </c>
      <c r="B2293" s="49" t="s">
        <v>2350</v>
      </c>
      <c r="C2293" s="49" t="s">
        <v>5216</v>
      </c>
      <c r="D2293" s="49" t="s">
        <v>2352</v>
      </c>
      <c r="E2293" s="49" t="str">
        <f aca="false">"5060458890191"</f>
        <v>5060458890191</v>
      </c>
      <c r="F2293" s="49" t="s">
        <v>3656</v>
      </c>
      <c r="G2293" s="49" t="n">
        <v>0</v>
      </c>
      <c r="H2293" s="0" t="n">
        <v>0</v>
      </c>
      <c r="M2293" s="51" t="s">
        <v>5181</v>
      </c>
      <c r="N2293" s="49" t="n">
        <v>0</v>
      </c>
      <c r="O2293" s="53" t="n">
        <v>45726.8357523148</v>
      </c>
      <c r="P2293" s="53" t="n">
        <v>45734.590150463</v>
      </c>
      <c r="Q2293" s="53" t="n">
        <v>45726.8357523148</v>
      </c>
      <c r="R2293" s="0" t="n">
        <v>0</v>
      </c>
      <c r="S2293" s="51" t="s">
        <v>2376</v>
      </c>
      <c r="T2293" s="51" t="s">
        <v>2376</v>
      </c>
      <c r="U2293" s="0" t="str">
        <f aca="false">"5060458890191"</f>
        <v>5060458890191</v>
      </c>
      <c r="V2293" s="51" t="s">
        <v>2142</v>
      </c>
      <c r="W2293" s="51" t="s">
        <v>4679</v>
      </c>
      <c r="X2293" s="51" t="s">
        <v>2359</v>
      </c>
    </row>
    <row r="2294" customFormat="false" ht="14.25" hidden="true" customHeight="false" outlineLevel="0" collapsed="false">
      <c r="A2294" s="49" t="s">
        <v>2349</v>
      </c>
      <c r="B2294" s="49" t="s">
        <v>2350</v>
      </c>
      <c r="C2294" s="49" t="s">
        <v>5217</v>
      </c>
      <c r="D2294" s="49" t="s">
        <v>2352</v>
      </c>
      <c r="E2294" s="49" t="str">
        <f aca="false">"5060458890191"</f>
        <v>5060458890191</v>
      </c>
      <c r="F2294" s="49" t="s">
        <v>3656</v>
      </c>
      <c r="G2294" s="49" t="n">
        <v>0</v>
      </c>
      <c r="H2294" s="0" t="n">
        <v>0</v>
      </c>
      <c r="M2294" s="51" t="s">
        <v>5181</v>
      </c>
      <c r="N2294" s="49" t="n">
        <v>0</v>
      </c>
      <c r="O2294" s="53" t="n">
        <v>45726.8362615741</v>
      </c>
      <c r="P2294" s="53" t="n">
        <v>45728.9528587963</v>
      </c>
      <c r="Q2294" s="53" t="n">
        <v>45726.8362615741</v>
      </c>
      <c r="R2294" s="0" t="n">
        <v>0</v>
      </c>
      <c r="S2294" s="51" t="s">
        <v>2376</v>
      </c>
      <c r="T2294" s="51" t="s">
        <v>2376</v>
      </c>
      <c r="U2294" s="0" t="str">
        <f aca="false">"5060458890191"</f>
        <v>5060458890191</v>
      </c>
      <c r="V2294" s="51" t="s">
        <v>2142</v>
      </c>
      <c r="W2294" s="51" t="s">
        <v>5218</v>
      </c>
      <c r="X2294" s="51" t="s">
        <v>2359</v>
      </c>
    </row>
    <row r="2295" customFormat="false" ht="14.25" hidden="true" customHeight="false" outlineLevel="0" collapsed="false">
      <c r="A2295" s="49" t="s">
        <v>2349</v>
      </c>
      <c r="B2295" s="49" t="s">
        <v>2350</v>
      </c>
      <c r="C2295" s="49" t="s">
        <v>5219</v>
      </c>
      <c r="D2295" s="49" t="s">
        <v>2352</v>
      </c>
      <c r="E2295" s="49" t="str">
        <f aca="false">"5060458890191"</f>
        <v>5060458890191</v>
      </c>
      <c r="F2295" s="49" t="s">
        <v>3656</v>
      </c>
      <c r="G2295" s="49" t="n">
        <v>0</v>
      </c>
      <c r="H2295" s="0" t="n">
        <v>0</v>
      </c>
      <c r="M2295" s="51" t="s">
        <v>5181</v>
      </c>
      <c r="N2295" s="49" t="n">
        <v>0</v>
      </c>
      <c r="O2295" s="53" t="n">
        <v>45726.838599537</v>
      </c>
      <c r="P2295" s="53" t="n">
        <v>45728.9493518519</v>
      </c>
      <c r="Q2295" s="53" t="n">
        <v>45726.838599537</v>
      </c>
      <c r="R2295" s="0" t="n">
        <v>0</v>
      </c>
      <c r="S2295" s="51" t="s">
        <v>2376</v>
      </c>
      <c r="T2295" s="51" t="s">
        <v>2376</v>
      </c>
      <c r="U2295" s="0" t="str">
        <f aca="false">"5060458890191"</f>
        <v>5060458890191</v>
      </c>
      <c r="V2295" s="51" t="s">
        <v>2142</v>
      </c>
      <c r="W2295" s="51" t="s">
        <v>5220</v>
      </c>
      <c r="X2295" s="51" t="s">
        <v>2359</v>
      </c>
    </row>
    <row r="2296" customFormat="false" ht="14.25" hidden="true" customHeight="false" outlineLevel="0" collapsed="false">
      <c r="A2296" s="49" t="s">
        <v>2349</v>
      </c>
      <c r="B2296" s="49" t="s">
        <v>2350</v>
      </c>
      <c r="C2296" s="49" t="s">
        <v>5221</v>
      </c>
      <c r="D2296" s="49" t="s">
        <v>2352</v>
      </c>
      <c r="E2296" s="49" t="str">
        <f aca="false">"5060458890191"</f>
        <v>5060458890191</v>
      </c>
      <c r="F2296" s="49" t="s">
        <v>3656</v>
      </c>
      <c r="G2296" s="49" t="n">
        <v>0</v>
      </c>
      <c r="H2296" s="0" t="n">
        <v>0</v>
      </c>
      <c r="M2296" s="51" t="s">
        <v>5181</v>
      </c>
      <c r="N2296" s="49" t="n">
        <v>0</v>
      </c>
      <c r="O2296" s="53" t="n">
        <v>45726.8384722222</v>
      </c>
      <c r="P2296" s="53" t="n">
        <v>45728.9497685185</v>
      </c>
      <c r="Q2296" s="53" t="n">
        <v>45726.8384722222</v>
      </c>
      <c r="R2296" s="0" t="n">
        <v>0</v>
      </c>
      <c r="S2296" s="51" t="s">
        <v>2376</v>
      </c>
      <c r="T2296" s="51" t="s">
        <v>2376</v>
      </c>
      <c r="U2296" s="0" t="str">
        <f aca="false">"5060458890191"</f>
        <v>5060458890191</v>
      </c>
      <c r="V2296" s="51" t="s">
        <v>2142</v>
      </c>
      <c r="W2296" s="51" t="s">
        <v>5222</v>
      </c>
      <c r="X2296" s="51" t="s">
        <v>2359</v>
      </c>
    </row>
    <row r="2297" customFormat="false" ht="14.25" hidden="true" customHeight="false" outlineLevel="0" collapsed="false">
      <c r="A2297" s="49" t="s">
        <v>2349</v>
      </c>
      <c r="B2297" s="49" t="s">
        <v>2350</v>
      </c>
      <c r="C2297" s="49" t="s">
        <v>5223</v>
      </c>
      <c r="D2297" s="49" t="s">
        <v>2352</v>
      </c>
      <c r="E2297" s="49" t="str">
        <f aca="false">"5060458890191"</f>
        <v>5060458890191</v>
      </c>
      <c r="F2297" s="49" t="s">
        <v>3656</v>
      </c>
      <c r="G2297" s="49" t="n">
        <v>0</v>
      </c>
      <c r="H2297" s="0" t="n">
        <v>0</v>
      </c>
      <c r="M2297" s="51" t="s">
        <v>5181</v>
      </c>
      <c r="N2297" s="49" t="n">
        <v>0</v>
      </c>
      <c r="O2297" s="53" t="n">
        <v>45726.8383449074</v>
      </c>
      <c r="P2297" s="53" t="n">
        <v>45728.9501273148</v>
      </c>
      <c r="Q2297" s="53" t="n">
        <v>45726.8383449074</v>
      </c>
      <c r="R2297" s="0" t="n">
        <v>0</v>
      </c>
      <c r="S2297" s="51" t="s">
        <v>2376</v>
      </c>
      <c r="T2297" s="51" t="s">
        <v>2376</v>
      </c>
      <c r="U2297" s="0" t="str">
        <f aca="false">"5060458890191"</f>
        <v>5060458890191</v>
      </c>
      <c r="V2297" s="51" t="s">
        <v>2142</v>
      </c>
      <c r="W2297" s="51" t="s">
        <v>5224</v>
      </c>
      <c r="X2297" s="51" t="s">
        <v>2359</v>
      </c>
    </row>
    <row r="2298" customFormat="false" ht="14.25" hidden="true" customHeight="false" outlineLevel="0" collapsed="false">
      <c r="A2298" s="49" t="s">
        <v>2349</v>
      </c>
      <c r="B2298" s="49" t="s">
        <v>2350</v>
      </c>
      <c r="C2298" s="49" t="s">
        <v>5225</v>
      </c>
      <c r="D2298" s="49" t="s">
        <v>2352</v>
      </c>
      <c r="E2298" s="49" t="str">
        <f aca="false">"5060458890191"</f>
        <v>5060458890191</v>
      </c>
      <c r="F2298" s="49" t="s">
        <v>3656</v>
      </c>
      <c r="G2298" s="49" t="n">
        <v>0</v>
      </c>
      <c r="H2298" s="0" t="n">
        <v>0</v>
      </c>
      <c r="M2298" s="51" t="s">
        <v>5181</v>
      </c>
      <c r="N2298" s="49" t="n">
        <v>0</v>
      </c>
      <c r="O2298" s="53" t="n">
        <v>45726.846412037</v>
      </c>
      <c r="P2298" s="53" t="n">
        <v>45728.9437268519</v>
      </c>
      <c r="Q2298" s="53" t="n">
        <v>45726.846412037</v>
      </c>
      <c r="R2298" s="0" t="n">
        <v>0</v>
      </c>
      <c r="S2298" s="51" t="s">
        <v>2376</v>
      </c>
      <c r="T2298" s="51" t="s">
        <v>2376</v>
      </c>
      <c r="U2298" s="0" t="str">
        <f aca="false">"5060458890191"</f>
        <v>5060458890191</v>
      </c>
      <c r="V2298" s="51" t="s">
        <v>2142</v>
      </c>
      <c r="W2298" s="51" t="s">
        <v>5226</v>
      </c>
      <c r="X2298" s="51" t="s">
        <v>2359</v>
      </c>
    </row>
    <row r="2299" customFormat="false" ht="14.25" hidden="true" customHeight="false" outlineLevel="0" collapsed="false">
      <c r="A2299" s="49" t="s">
        <v>2349</v>
      </c>
      <c r="B2299" s="49" t="s">
        <v>2350</v>
      </c>
      <c r="C2299" s="49" t="s">
        <v>5227</v>
      </c>
      <c r="D2299" s="49" t="s">
        <v>2352</v>
      </c>
      <c r="E2299" s="49" t="str">
        <f aca="false">"5060458890191"</f>
        <v>5060458890191</v>
      </c>
      <c r="F2299" s="49" t="s">
        <v>3656</v>
      </c>
      <c r="G2299" s="49" t="n">
        <v>0</v>
      </c>
      <c r="H2299" s="0" t="n">
        <v>0</v>
      </c>
      <c r="M2299" s="51" t="s">
        <v>5181</v>
      </c>
      <c r="N2299" s="49" t="n">
        <v>0</v>
      </c>
      <c r="O2299" s="53" t="n">
        <v>45726.8459837963</v>
      </c>
      <c r="P2299" s="53" t="n">
        <v>45734.9327546296</v>
      </c>
      <c r="Q2299" s="53" t="n">
        <v>45726.8459837963</v>
      </c>
      <c r="R2299" s="0" t="n">
        <v>0</v>
      </c>
      <c r="S2299" s="51" t="s">
        <v>2376</v>
      </c>
      <c r="T2299" s="51" t="s">
        <v>2376</v>
      </c>
      <c r="U2299" s="0" t="str">
        <f aca="false">"5060458890191"</f>
        <v>5060458890191</v>
      </c>
      <c r="V2299" s="51" t="s">
        <v>2142</v>
      </c>
      <c r="W2299" s="51" t="s">
        <v>5228</v>
      </c>
      <c r="X2299" s="51" t="s">
        <v>2359</v>
      </c>
    </row>
    <row r="2300" customFormat="false" ht="14.25" hidden="true" customHeight="false" outlineLevel="0" collapsed="false">
      <c r="A2300" s="49" t="s">
        <v>2349</v>
      </c>
      <c r="B2300" s="49" t="s">
        <v>2350</v>
      </c>
      <c r="C2300" s="49" t="s">
        <v>5229</v>
      </c>
      <c r="D2300" s="49" t="s">
        <v>2352</v>
      </c>
      <c r="E2300" s="49" t="str">
        <f aca="false">"5060458890191"</f>
        <v>5060458890191</v>
      </c>
      <c r="F2300" s="49" t="s">
        <v>3656</v>
      </c>
      <c r="G2300" s="49" t="n">
        <v>0</v>
      </c>
      <c r="H2300" s="0" t="n">
        <v>0</v>
      </c>
      <c r="M2300" s="51" t="s">
        <v>5181</v>
      </c>
      <c r="N2300" s="49" t="n">
        <v>0</v>
      </c>
      <c r="O2300" s="53" t="n">
        <v>45726.8458564815</v>
      </c>
      <c r="P2300" s="53" t="n">
        <v>45728.9422685185</v>
      </c>
      <c r="Q2300" s="53" t="n">
        <v>45726.8458564815</v>
      </c>
      <c r="R2300" s="0" t="n">
        <v>0</v>
      </c>
      <c r="S2300" s="51" t="s">
        <v>2376</v>
      </c>
      <c r="T2300" s="51" t="s">
        <v>2376</v>
      </c>
      <c r="U2300" s="0" t="str">
        <f aca="false">"5060458890191"</f>
        <v>5060458890191</v>
      </c>
      <c r="V2300" s="51" t="s">
        <v>2142</v>
      </c>
      <c r="W2300" s="51" t="s">
        <v>5230</v>
      </c>
      <c r="X2300" s="51" t="s">
        <v>2359</v>
      </c>
    </row>
    <row r="2301" customFormat="false" ht="14.25" hidden="true" customHeight="false" outlineLevel="0" collapsed="false">
      <c r="A2301" s="49" t="s">
        <v>2349</v>
      </c>
      <c r="B2301" s="49" t="s">
        <v>2350</v>
      </c>
      <c r="C2301" s="49" t="s">
        <v>5231</v>
      </c>
      <c r="D2301" s="49" t="s">
        <v>2352</v>
      </c>
      <c r="E2301" s="49" t="str">
        <f aca="false">"5060458890191"</f>
        <v>5060458890191</v>
      </c>
      <c r="F2301" s="49" t="s">
        <v>3656</v>
      </c>
      <c r="G2301" s="49" t="n">
        <v>0</v>
      </c>
      <c r="H2301" s="0" t="n">
        <v>0</v>
      </c>
      <c r="M2301" s="51" t="s">
        <v>5232</v>
      </c>
      <c r="N2301" s="49" t="n">
        <v>0</v>
      </c>
      <c r="O2301" s="53" t="n">
        <v>45726.0333912037</v>
      </c>
      <c r="P2301" s="53" t="n">
        <v>45757.7590509259</v>
      </c>
      <c r="Q2301" s="53" t="n">
        <v>45726.0333912037</v>
      </c>
      <c r="R2301" s="0" t="n">
        <v>0</v>
      </c>
      <c r="S2301" s="51" t="s">
        <v>2371</v>
      </c>
      <c r="T2301" s="51" t="s">
        <v>2371</v>
      </c>
      <c r="U2301" s="0" t="str">
        <f aca="false">"5060458890191"</f>
        <v>5060458890191</v>
      </c>
      <c r="V2301" s="51" t="s">
        <v>2142</v>
      </c>
      <c r="W2301" s="51" t="s">
        <v>4405</v>
      </c>
      <c r="X2301" s="51" t="s">
        <v>2359</v>
      </c>
    </row>
    <row r="2302" customFormat="false" ht="14.25" hidden="true" customHeight="false" outlineLevel="0" collapsed="false">
      <c r="A2302" s="49" t="s">
        <v>2349</v>
      </c>
      <c r="B2302" s="49" t="s">
        <v>2350</v>
      </c>
      <c r="C2302" s="49" t="s">
        <v>5233</v>
      </c>
      <c r="D2302" s="49" t="s">
        <v>2352</v>
      </c>
      <c r="E2302" s="49" t="str">
        <f aca="false">"5060458890191"</f>
        <v>5060458890191</v>
      </c>
      <c r="F2302" s="49" t="s">
        <v>3656</v>
      </c>
      <c r="G2302" s="49" t="n">
        <v>0</v>
      </c>
      <c r="H2302" s="0" t="n">
        <v>0</v>
      </c>
      <c r="M2302" s="51" t="s">
        <v>5232</v>
      </c>
      <c r="N2302" s="49" t="n">
        <v>0</v>
      </c>
      <c r="O2302" s="53" t="n">
        <v>45726.0332638889</v>
      </c>
      <c r="P2302" s="53" t="n">
        <v>45757.759837963</v>
      </c>
      <c r="Q2302" s="53" t="n">
        <v>45726.0332638889</v>
      </c>
      <c r="R2302" s="0" t="n">
        <v>0</v>
      </c>
      <c r="S2302" s="51" t="s">
        <v>2371</v>
      </c>
      <c r="T2302" s="51" t="s">
        <v>2371</v>
      </c>
      <c r="U2302" s="0" t="str">
        <f aca="false">"5060458890191"</f>
        <v>5060458890191</v>
      </c>
      <c r="V2302" s="51" t="s">
        <v>2142</v>
      </c>
      <c r="W2302" s="51" t="s">
        <v>4403</v>
      </c>
      <c r="X2302" s="51" t="s">
        <v>2359</v>
      </c>
    </row>
    <row r="2303" customFormat="false" ht="14.25" hidden="true" customHeight="false" outlineLevel="0" collapsed="false">
      <c r="A2303" s="49" t="s">
        <v>2349</v>
      </c>
      <c r="B2303" s="49" t="s">
        <v>2350</v>
      </c>
      <c r="C2303" s="49" t="s">
        <v>5234</v>
      </c>
      <c r="D2303" s="49" t="s">
        <v>2352</v>
      </c>
      <c r="E2303" s="49" t="str">
        <f aca="false">"5060458890191"</f>
        <v>5060458890191</v>
      </c>
      <c r="F2303" s="49" t="s">
        <v>3656</v>
      </c>
      <c r="G2303" s="49" t="n">
        <v>0</v>
      </c>
      <c r="H2303" s="0" t="n">
        <v>0</v>
      </c>
      <c r="M2303" s="51" t="s">
        <v>5232</v>
      </c>
      <c r="N2303" s="49" t="n">
        <v>0</v>
      </c>
      <c r="O2303" s="53" t="n">
        <v>45726.033125</v>
      </c>
      <c r="P2303" s="53" t="n">
        <v>45757.7599884259</v>
      </c>
      <c r="Q2303" s="53" t="n">
        <v>45726.033125</v>
      </c>
      <c r="R2303" s="0" t="n">
        <v>0</v>
      </c>
      <c r="S2303" s="51" t="s">
        <v>2371</v>
      </c>
      <c r="T2303" s="51" t="s">
        <v>2371</v>
      </c>
      <c r="U2303" s="0" t="str">
        <f aca="false">"5060458890191"</f>
        <v>5060458890191</v>
      </c>
      <c r="V2303" s="51" t="s">
        <v>2142</v>
      </c>
      <c r="W2303" s="51" t="s">
        <v>5235</v>
      </c>
      <c r="X2303" s="51" t="s">
        <v>2359</v>
      </c>
    </row>
    <row r="2304" customFormat="false" ht="14.25" hidden="true" customHeight="false" outlineLevel="0" collapsed="false">
      <c r="A2304" s="49" t="s">
        <v>2349</v>
      </c>
      <c r="B2304" s="49" t="s">
        <v>2350</v>
      </c>
      <c r="C2304" s="49" t="s">
        <v>5236</v>
      </c>
      <c r="D2304" s="49" t="s">
        <v>2352</v>
      </c>
      <c r="E2304" s="49" t="str">
        <f aca="false">"5060458890191"</f>
        <v>5060458890191</v>
      </c>
      <c r="F2304" s="49" t="s">
        <v>3656</v>
      </c>
      <c r="G2304" s="49" t="n">
        <v>0</v>
      </c>
      <c r="H2304" s="0" t="n">
        <v>0</v>
      </c>
      <c r="M2304" s="51" t="s">
        <v>5232</v>
      </c>
      <c r="N2304" s="49" t="n">
        <v>0</v>
      </c>
      <c r="O2304" s="53" t="n">
        <v>45726.0329861111</v>
      </c>
      <c r="P2304" s="53" t="n">
        <v>45757.7635532407</v>
      </c>
      <c r="Q2304" s="53" t="n">
        <v>45726.0329861111</v>
      </c>
      <c r="R2304" s="0" t="n">
        <v>0</v>
      </c>
      <c r="S2304" s="51" t="s">
        <v>2371</v>
      </c>
      <c r="T2304" s="51" t="s">
        <v>2371</v>
      </c>
      <c r="U2304" s="0" t="str">
        <f aca="false">"5060458890191"</f>
        <v>5060458890191</v>
      </c>
      <c r="V2304" s="51" t="s">
        <v>2142</v>
      </c>
      <c r="W2304" s="51" t="s">
        <v>5237</v>
      </c>
      <c r="X2304" s="51" t="s">
        <v>2359</v>
      </c>
    </row>
    <row r="2305" customFormat="false" ht="14.25" hidden="true" customHeight="false" outlineLevel="0" collapsed="false">
      <c r="A2305" s="49" t="s">
        <v>2349</v>
      </c>
      <c r="B2305" s="49" t="s">
        <v>2350</v>
      </c>
      <c r="C2305" s="49" t="s">
        <v>5238</v>
      </c>
      <c r="D2305" s="49" t="s">
        <v>2352</v>
      </c>
      <c r="E2305" s="49" t="str">
        <f aca="false">"5060458890191"</f>
        <v>5060458890191</v>
      </c>
      <c r="F2305" s="49" t="s">
        <v>3656</v>
      </c>
      <c r="G2305" s="49" t="n">
        <v>0</v>
      </c>
      <c r="H2305" s="0" t="n">
        <v>0</v>
      </c>
      <c r="M2305" s="51" t="s">
        <v>5232</v>
      </c>
      <c r="N2305" s="49" t="n">
        <v>0</v>
      </c>
      <c r="O2305" s="53" t="n">
        <v>45726.0328587963</v>
      </c>
      <c r="P2305" s="53" t="n">
        <v>45740.9996990741</v>
      </c>
      <c r="Q2305" s="53" t="n">
        <v>45726.0328587963</v>
      </c>
      <c r="R2305" s="0" t="n">
        <v>0</v>
      </c>
      <c r="S2305" s="51" t="s">
        <v>2371</v>
      </c>
      <c r="T2305" s="51" t="s">
        <v>2371</v>
      </c>
      <c r="U2305" s="0" t="str">
        <f aca="false">"5060458890191"</f>
        <v>5060458890191</v>
      </c>
      <c r="V2305" s="51" t="s">
        <v>2142</v>
      </c>
      <c r="W2305" s="51" t="s">
        <v>5239</v>
      </c>
      <c r="X2305" s="51" t="s">
        <v>2359</v>
      </c>
    </row>
    <row r="2306" customFormat="false" ht="14.25" hidden="true" customHeight="false" outlineLevel="0" collapsed="false">
      <c r="A2306" s="49" t="s">
        <v>2349</v>
      </c>
      <c r="B2306" s="49" t="s">
        <v>2350</v>
      </c>
      <c r="C2306" s="49" t="s">
        <v>5240</v>
      </c>
      <c r="D2306" s="49" t="s">
        <v>2352</v>
      </c>
      <c r="E2306" s="49" t="str">
        <f aca="false">"5060458890191"</f>
        <v>5060458890191</v>
      </c>
      <c r="F2306" s="49" t="s">
        <v>3656</v>
      </c>
      <c r="G2306" s="49" t="n">
        <v>0</v>
      </c>
      <c r="H2306" s="0" t="n">
        <v>0</v>
      </c>
      <c r="M2306" s="51" t="s">
        <v>5232</v>
      </c>
      <c r="N2306" s="49" t="n">
        <v>0</v>
      </c>
      <c r="O2306" s="53" t="n">
        <v>45726.0326967593</v>
      </c>
      <c r="P2306" s="53" t="n">
        <v>45728.9541319445</v>
      </c>
      <c r="Q2306" s="53" t="n">
        <v>45726.0326967593</v>
      </c>
      <c r="R2306" s="0" t="n">
        <v>0</v>
      </c>
      <c r="S2306" s="51" t="s">
        <v>2371</v>
      </c>
      <c r="T2306" s="51" t="s">
        <v>2371</v>
      </c>
      <c r="U2306" s="0" t="str">
        <f aca="false">"5060458890191"</f>
        <v>5060458890191</v>
      </c>
      <c r="V2306" s="51" t="s">
        <v>2142</v>
      </c>
      <c r="W2306" s="51" t="s">
        <v>4808</v>
      </c>
      <c r="X2306" s="51" t="s">
        <v>2359</v>
      </c>
    </row>
    <row r="2307" customFormat="false" ht="14.25" hidden="true" customHeight="false" outlineLevel="0" collapsed="false">
      <c r="A2307" s="49" t="s">
        <v>2349</v>
      </c>
      <c r="B2307" s="49" t="s">
        <v>2350</v>
      </c>
      <c r="C2307" s="49" t="s">
        <v>5241</v>
      </c>
      <c r="D2307" s="49" t="s">
        <v>2352</v>
      </c>
      <c r="E2307" s="49" t="str">
        <f aca="false">"5060458890191"</f>
        <v>5060458890191</v>
      </c>
      <c r="F2307" s="49" t="s">
        <v>3656</v>
      </c>
      <c r="G2307" s="49" t="n">
        <v>0</v>
      </c>
      <c r="H2307" s="0" t="n">
        <v>0</v>
      </c>
      <c r="M2307" s="51" t="s">
        <v>5232</v>
      </c>
      <c r="N2307" s="49" t="n">
        <v>0</v>
      </c>
      <c r="O2307" s="53" t="n">
        <v>45726.0325694445</v>
      </c>
      <c r="P2307" s="53" t="n">
        <v>45729.507025463</v>
      </c>
      <c r="Q2307" s="53" t="n">
        <v>45726.0325694445</v>
      </c>
      <c r="R2307" s="0" t="n">
        <v>0</v>
      </c>
      <c r="S2307" s="51" t="s">
        <v>2371</v>
      </c>
      <c r="T2307" s="51" t="s">
        <v>2371</v>
      </c>
      <c r="U2307" s="0" t="str">
        <f aca="false">"5060458890191"</f>
        <v>5060458890191</v>
      </c>
      <c r="V2307" s="51" t="s">
        <v>2142</v>
      </c>
      <c r="W2307" s="51" t="s">
        <v>4810</v>
      </c>
      <c r="X2307" s="51" t="s">
        <v>2359</v>
      </c>
    </row>
    <row r="2308" customFormat="false" ht="14.25" hidden="true" customHeight="false" outlineLevel="0" collapsed="false">
      <c r="A2308" s="49" t="s">
        <v>2349</v>
      </c>
      <c r="B2308" s="49" t="s">
        <v>2350</v>
      </c>
      <c r="C2308" s="49" t="s">
        <v>5242</v>
      </c>
      <c r="D2308" s="49" t="s">
        <v>2352</v>
      </c>
      <c r="E2308" s="49" t="str">
        <f aca="false">"5060458890191"</f>
        <v>5060458890191</v>
      </c>
      <c r="F2308" s="49" t="s">
        <v>3656</v>
      </c>
      <c r="G2308" s="49" t="n">
        <v>0</v>
      </c>
      <c r="H2308" s="0" t="n">
        <v>0</v>
      </c>
      <c r="M2308" s="51" t="s">
        <v>5232</v>
      </c>
      <c r="N2308" s="49" t="n">
        <v>0</v>
      </c>
      <c r="O2308" s="53" t="n">
        <v>45726.0324421296</v>
      </c>
      <c r="P2308" s="53" t="n">
        <v>45756.9131597222</v>
      </c>
      <c r="Q2308" s="53" t="n">
        <v>45726.0324421296</v>
      </c>
      <c r="R2308" s="0" t="n">
        <v>0</v>
      </c>
      <c r="S2308" s="51" t="s">
        <v>2371</v>
      </c>
      <c r="T2308" s="51" t="s">
        <v>2371</v>
      </c>
      <c r="U2308" s="0" t="str">
        <f aca="false">"5060458890191"</f>
        <v>5060458890191</v>
      </c>
      <c r="V2308" s="51" t="s">
        <v>2142</v>
      </c>
      <c r="W2308" s="51" t="s">
        <v>4812</v>
      </c>
      <c r="X2308" s="51" t="s">
        <v>2359</v>
      </c>
    </row>
    <row r="2309" customFormat="false" ht="14.25" hidden="true" customHeight="false" outlineLevel="0" collapsed="false">
      <c r="A2309" s="49" t="s">
        <v>2349</v>
      </c>
      <c r="B2309" s="49" t="s">
        <v>2350</v>
      </c>
      <c r="C2309" s="49" t="s">
        <v>5243</v>
      </c>
      <c r="D2309" s="49" t="s">
        <v>2352</v>
      </c>
      <c r="E2309" s="49" t="str">
        <f aca="false">"5060458890191"</f>
        <v>5060458890191</v>
      </c>
      <c r="F2309" s="49" t="s">
        <v>3656</v>
      </c>
      <c r="G2309" s="49" t="n">
        <v>0</v>
      </c>
      <c r="H2309" s="0" t="n">
        <v>0</v>
      </c>
      <c r="M2309" s="51" t="s">
        <v>5232</v>
      </c>
      <c r="N2309" s="49" t="n">
        <v>0</v>
      </c>
      <c r="O2309" s="53" t="n">
        <v>45726.0323263889</v>
      </c>
      <c r="P2309" s="53" t="n">
        <v>45732.0747685185</v>
      </c>
      <c r="Q2309" s="53" t="n">
        <v>45726.0323263889</v>
      </c>
      <c r="R2309" s="0" t="n">
        <v>0</v>
      </c>
      <c r="S2309" s="51" t="s">
        <v>2371</v>
      </c>
      <c r="T2309" s="51" t="s">
        <v>2371</v>
      </c>
      <c r="U2309" s="0" t="str">
        <f aca="false">"5060458890191"</f>
        <v>5060458890191</v>
      </c>
      <c r="V2309" s="51" t="s">
        <v>2142</v>
      </c>
      <c r="W2309" s="51" t="s">
        <v>4814</v>
      </c>
      <c r="X2309" s="51" t="s">
        <v>2359</v>
      </c>
    </row>
    <row r="2310" customFormat="false" ht="14.25" hidden="true" customHeight="false" outlineLevel="0" collapsed="false">
      <c r="A2310" s="49" t="s">
        <v>2349</v>
      </c>
      <c r="B2310" s="49" t="s">
        <v>2350</v>
      </c>
      <c r="C2310" s="49" t="s">
        <v>5244</v>
      </c>
      <c r="D2310" s="49" t="s">
        <v>2352</v>
      </c>
      <c r="E2310" s="49" t="str">
        <f aca="false">"5060458890191"</f>
        <v>5060458890191</v>
      </c>
      <c r="F2310" s="49" t="s">
        <v>3656</v>
      </c>
      <c r="G2310" s="49" t="n">
        <v>0</v>
      </c>
      <c r="H2310" s="0" t="n">
        <v>0</v>
      </c>
      <c r="M2310" s="51" t="s">
        <v>5232</v>
      </c>
      <c r="N2310" s="49" t="n">
        <v>0</v>
      </c>
      <c r="O2310" s="53" t="n">
        <v>45726.0321990741</v>
      </c>
      <c r="P2310" s="53" t="n">
        <v>45732.0739236111</v>
      </c>
      <c r="Q2310" s="53" t="n">
        <v>45726.0321990741</v>
      </c>
      <c r="R2310" s="0" t="n">
        <v>0</v>
      </c>
      <c r="S2310" s="51" t="s">
        <v>2371</v>
      </c>
      <c r="T2310" s="51" t="s">
        <v>2371</v>
      </c>
      <c r="U2310" s="0" t="str">
        <f aca="false">"5060458890191"</f>
        <v>5060458890191</v>
      </c>
      <c r="V2310" s="51" t="s">
        <v>2142</v>
      </c>
      <c r="W2310" s="51" t="s">
        <v>5245</v>
      </c>
      <c r="X2310" s="51" t="s">
        <v>2359</v>
      </c>
    </row>
    <row r="2311" customFormat="false" ht="14.25" hidden="true" customHeight="false" outlineLevel="0" collapsed="false">
      <c r="A2311" s="49" t="s">
        <v>2349</v>
      </c>
      <c r="B2311" s="49" t="s">
        <v>2350</v>
      </c>
      <c r="C2311" s="49" t="s">
        <v>5246</v>
      </c>
      <c r="D2311" s="49" t="s">
        <v>2352</v>
      </c>
      <c r="E2311" s="49" t="str">
        <f aca="false">"5060458890191"</f>
        <v>5060458890191</v>
      </c>
      <c r="F2311" s="49" t="s">
        <v>3656</v>
      </c>
      <c r="G2311" s="49" t="n">
        <v>0</v>
      </c>
      <c r="H2311" s="0" t="n">
        <v>0</v>
      </c>
      <c r="M2311" s="51" t="s">
        <v>5232</v>
      </c>
      <c r="N2311" s="49" t="n">
        <v>0</v>
      </c>
      <c r="O2311" s="53" t="n">
        <v>45726.0320717593</v>
      </c>
      <c r="P2311" s="53" t="n">
        <v>45750.6233101852</v>
      </c>
      <c r="Q2311" s="53" t="n">
        <v>45726.0320717593</v>
      </c>
      <c r="R2311" s="0" t="n">
        <v>0</v>
      </c>
      <c r="S2311" s="51" t="s">
        <v>2371</v>
      </c>
      <c r="T2311" s="51" t="s">
        <v>2371</v>
      </c>
      <c r="U2311" s="0" t="str">
        <f aca="false">"5060458890191"</f>
        <v>5060458890191</v>
      </c>
      <c r="V2311" s="51" t="s">
        <v>2142</v>
      </c>
      <c r="W2311" s="51" t="s">
        <v>5247</v>
      </c>
      <c r="X2311" s="51" t="s">
        <v>2359</v>
      </c>
    </row>
    <row r="2312" customFormat="false" ht="14.25" hidden="true" customHeight="false" outlineLevel="0" collapsed="false">
      <c r="A2312" s="49" t="s">
        <v>2349</v>
      </c>
      <c r="B2312" s="49" t="s">
        <v>2350</v>
      </c>
      <c r="C2312" s="49" t="s">
        <v>5248</v>
      </c>
      <c r="D2312" s="49" t="s">
        <v>2352</v>
      </c>
      <c r="E2312" s="49" t="str">
        <f aca="false">"5060458890191"</f>
        <v>5060458890191</v>
      </c>
      <c r="F2312" s="49" t="s">
        <v>3656</v>
      </c>
      <c r="G2312" s="49" t="n">
        <v>0</v>
      </c>
      <c r="H2312" s="0" t="n">
        <v>0</v>
      </c>
      <c r="M2312" s="51" t="s">
        <v>5232</v>
      </c>
      <c r="N2312" s="49" t="n">
        <v>0</v>
      </c>
      <c r="O2312" s="53" t="n">
        <v>45726.0319444445</v>
      </c>
      <c r="P2312" s="53" t="n">
        <v>45750.6234837963</v>
      </c>
      <c r="Q2312" s="53" t="n">
        <v>45726.0319444445</v>
      </c>
      <c r="R2312" s="0" t="n">
        <v>0</v>
      </c>
      <c r="S2312" s="51" t="s">
        <v>2371</v>
      </c>
      <c r="T2312" s="51" t="s">
        <v>2371</v>
      </c>
      <c r="U2312" s="0" t="str">
        <f aca="false">"5060458890191"</f>
        <v>5060458890191</v>
      </c>
      <c r="V2312" s="51" t="s">
        <v>2142</v>
      </c>
      <c r="W2312" s="51" t="s">
        <v>5249</v>
      </c>
      <c r="X2312" s="51" t="s">
        <v>2359</v>
      </c>
    </row>
    <row r="2313" customFormat="false" ht="14.25" hidden="true" customHeight="false" outlineLevel="0" collapsed="false">
      <c r="A2313" s="49" t="s">
        <v>2349</v>
      </c>
      <c r="B2313" s="49" t="s">
        <v>2350</v>
      </c>
      <c r="C2313" s="49" t="s">
        <v>5250</v>
      </c>
      <c r="D2313" s="49" t="s">
        <v>2352</v>
      </c>
      <c r="E2313" s="49" t="str">
        <f aca="false">"5060458890191"</f>
        <v>5060458890191</v>
      </c>
      <c r="F2313" s="49" t="s">
        <v>3656</v>
      </c>
      <c r="G2313" s="49" t="n">
        <v>0</v>
      </c>
      <c r="H2313" s="0" t="n">
        <v>0</v>
      </c>
      <c r="M2313" s="51" t="s">
        <v>5232</v>
      </c>
      <c r="N2313" s="49" t="n">
        <v>0</v>
      </c>
      <c r="O2313" s="53" t="n">
        <v>45726.0318287037</v>
      </c>
      <c r="P2313" s="53" t="n">
        <v>45750.6240277778</v>
      </c>
      <c r="Q2313" s="53" t="n">
        <v>45726.0318287037</v>
      </c>
      <c r="R2313" s="0" t="n">
        <v>0</v>
      </c>
      <c r="S2313" s="51" t="s">
        <v>2371</v>
      </c>
      <c r="T2313" s="51" t="s">
        <v>2371</v>
      </c>
      <c r="U2313" s="0" t="str">
        <f aca="false">"5060458890191"</f>
        <v>5060458890191</v>
      </c>
      <c r="V2313" s="51" t="s">
        <v>2142</v>
      </c>
      <c r="W2313" s="51" t="s">
        <v>5251</v>
      </c>
      <c r="X2313" s="51" t="s">
        <v>2359</v>
      </c>
    </row>
    <row r="2314" customFormat="false" ht="14.25" hidden="true" customHeight="false" outlineLevel="0" collapsed="false">
      <c r="A2314" s="49" t="s">
        <v>2349</v>
      </c>
      <c r="B2314" s="49" t="s">
        <v>2350</v>
      </c>
      <c r="C2314" s="49" t="s">
        <v>5252</v>
      </c>
      <c r="D2314" s="49" t="s">
        <v>2352</v>
      </c>
      <c r="E2314" s="49" t="str">
        <f aca="false">"5060458890191"</f>
        <v>5060458890191</v>
      </c>
      <c r="F2314" s="49" t="s">
        <v>3656</v>
      </c>
      <c r="G2314" s="49" t="n">
        <v>0</v>
      </c>
      <c r="H2314" s="0" t="n">
        <v>0</v>
      </c>
      <c r="M2314" s="51" t="s">
        <v>5232</v>
      </c>
      <c r="N2314" s="49" t="n">
        <v>0</v>
      </c>
      <c r="O2314" s="53" t="n">
        <v>45726.0316898148</v>
      </c>
      <c r="P2314" s="53" t="n">
        <v>45750.6247685185</v>
      </c>
      <c r="Q2314" s="53" t="n">
        <v>45726.0316898148</v>
      </c>
      <c r="R2314" s="0" t="n">
        <v>0</v>
      </c>
      <c r="S2314" s="51" t="s">
        <v>2371</v>
      </c>
      <c r="T2314" s="51" t="s">
        <v>2371</v>
      </c>
      <c r="U2314" s="0" t="str">
        <f aca="false">"5060458890191"</f>
        <v>5060458890191</v>
      </c>
      <c r="V2314" s="51" t="s">
        <v>2142</v>
      </c>
      <c r="W2314" s="51" t="s">
        <v>5253</v>
      </c>
      <c r="X2314" s="51" t="s">
        <v>2359</v>
      </c>
    </row>
    <row r="2315" customFormat="false" ht="14.25" hidden="true" customHeight="false" outlineLevel="0" collapsed="false">
      <c r="A2315" s="49" t="s">
        <v>2349</v>
      </c>
      <c r="B2315" s="49" t="s">
        <v>2350</v>
      </c>
      <c r="C2315" s="49" t="s">
        <v>5254</v>
      </c>
      <c r="D2315" s="49" t="s">
        <v>2352</v>
      </c>
      <c r="E2315" s="49" t="str">
        <f aca="false">"5060458890191"</f>
        <v>5060458890191</v>
      </c>
      <c r="F2315" s="49" t="s">
        <v>3656</v>
      </c>
      <c r="G2315" s="49" t="n">
        <v>0</v>
      </c>
      <c r="H2315" s="0" t="n">
        <v>0</v>
      </c>
      <c r="M2315" s="51" t="s">
        <v>5232</v>
      </c>
      <c r="N2315" s="49" t="n">
        <v>0</v>
      </c>
      <c r="O2315" s="53" t="n">
        <v>45726.0315972222</v>
      </c>
      <c r="P2315" s="53" t="n">
        <v>45750.6253587963</v>
      </c>
      <c r="Q2315" s="53" t="n">
        <v>45726.0315972222</v>
      </c>
      <c r="R2315" s="0" t="n">
        <v>0</v>
      </c>
      <c r="S2315" s="51" t="s">
        <v>2371</v>
      </c>
      <c r="T2315" s="51" t="s">
        <v>2371</v>
      </c>
      <c r="U2315" s="0" t="str">
        <f aca="false">"5060458890191"</f>
        <v>5060458890191</v>
      </c>
      <c r="V2315" s="51" t="s">
        <v>2142</v>
      </c>
      <c r="W2315" s="51" t="s">
        <v>5255</v>
      </c>
      <c r="X2315" s="51" t="s">
        <v>2359</v>
      </c>
    </row>
    <row r="2316" customFormat="false" ht="14.25" hidden="true" customHeight="false" outlineLevel="0" collapsed="false">
      <c r="A2316" s="49" t="s">
        <v>2349</v>
      </c>
      <c r="B2316" s="49" t="s">
        <v>2350</v>
      </c>
      <c r="C2316" s="49" t="s">
        <v>5256</v>
      </c>
      <c r="D2316" s="49" t="s">
        <v>2352</v>
      </c>
      <c r="E2316" s="49" t="str">
        <f aca="false">"5060458890191"</f>
        <v>5060458890191</v>
      </c>
      <c r="F2316" s="49" t="s">
        <v>3656</v>
      </c>
      <c r="G2316" s="49" t="n">
        <v>0</v>
      </c>
      <c r="H2316" s="0" t="n">
        <v>0</v>
      </c>
      <c r="M2316" s="51" t="s">
        <v>5232</v>
      </c>
      <c r="N2316" s="49" t="n">
        <v>0</v>
      </c>
      <c r="O2316" s="53" t="n">
        <v>45726.0314351852</v>
      </c>
      <c r="P2316" s="53" t="n">
        <v>45757.7908449074</v>
      </c>
      <c r="Q2316" s="53" t="n">
        <v>45726.0314351852</v>
      </c>
      <c r="R2316" s="0" t="n">
        <v>0</v>
      </c>
      <c r="S2316" s="51" t="s">
        <v>2371</v>
      </c>
      <c r="T2316" s="51" t="s">
        <v>2371</v>
      </c>
      <c r="U2316" s="0" t="str">
        <f aca="false">"5060458890191"</f>
        <v>5060458890191</v>
      </c>
      <c r="V2316" s="51" t="s">
        <v>2142</v>
      </c>
      <c r="W2316" s="51" t="s">
        <v>5257</v>
      </c>
      <c r="X2316" s="51" t="s">
        <v>2359</v>
      </c>
    </row>
    <row r="2317" customFormat="false" ht="14.25" hidden="true" customHeight="false" outlineLevel="0" collapsed="false">
      <c r="A2317" s="49" t="s">
        <v>2349</v>
      </c>
      <c r="B2317" s="49" t="s">
        <v>2350</v>
      </c>
      <c r="C2317" s="49" t="s">
        <v>5258</v>
      </c>
      <c r="D2317" s="49" t="s">
        <v>2352</v>
      </c>
      <c r="E2317" s="49" t="str">
        <f aca="false">"5060458890191"</f>
        <v>5060458890191</v>
      </c>
      <c r="F2317" s="49" t="s">
        <v>3656</v>
      </c>
      <c r="G2317" s="49" t="n">
        <v>0</v>
      </c>
      <c r="H2317" s="0" t="n">
        <v>0</v>
      </c>
      <c r="M2317" s="51" t="s">
        <v>5232</v>
      </c>
      <c r="N2317" s="49" t="n">
        <v>0</v>
      </c>
      <c r="O2317" s="53" t="n">
        <v>45726.0308333333</v>
      </c>
      <c r="P2317" s="53" t="n">
        <v>45750.608275463</v>
      </c>
      <c r="Q2317" s="53" t="n">
        <v>45726.0308333333</v>
      </c>
      <c r="R2317" s="0" t="n">
        <v>0</v>
      </c>
      <c r="S2317" s="51" t="s">
        <v>2371</v>
      </c>
      <c r="T2317" s="51" t="s">
        <v>2371</v>
      </c>
      <c r="U2317" s="0" t="str">
        <f aca="false">"5060458890191"</f>
        <v>5060458890191</v>
      </c>
      <c r="V2317" s="51" t="s">
        <v>2142</v>
      </c>
      <c r="W2317" s="51" t="s">
        <v>4321</v>
      </c>
      <c r="X2317" s="51" t="s">
        <v>2359</v>
      </c>
    </row>
    <row r="2318" customFormat="false" ht="14.25" hidden="true" customHeight="false" outlineLevel="0" collapsed="false">
      <c r="A2318" s="49" t="s">
        <v>2349</v>
      </c>
      <c r="B2318" s="49" t="s">
        <v>2350</v>
      </c>
      <c r="C2318" s="49" t="s">
        <v>5259</v>
      </c>
      <c r="D2318" s="49" t="s">
        <v>2352</v>
      </c>
      <c r="E2318" s="49" t="str">
        <f aca="false">"5060458890191"</f>
        <v>5060458890191</v>
      </c>
      <c r="F2318" s="49" t="s">
        <v>3656</v>
      </c>
      <c r="G2318" s="49" t="n">
        <v>0</v>
      </c>
      <c r="H2318" s="0" t="n">
        <v>0</v>
      </c>
      <c r="M2318" s="51" t="s">
        <v>5232</v>
      </c>
      <c r="N2318" s="49" t="n">
        <v>0</v>
      </c>
      <c r="O2318" s="53" t="n">
        <v>45726.0309490741</v>
      </c>
      <c r="P2318" s="53" t="n">
        <v>45750.5991898148</v>
      </c>
      <c r="Q2318" s="53" t="n">
        <v>45726.0309490741</v>
      </c>
      <c r="R2318" s="0" t="n">
        <v>0</v>
      </c>
      <c r="S2318" s="51" t="s">
        <v>2371</v>
      </c>
      <c r="T2318" s="51" t="s">
        <v>2371</v>
      </c>
      <c r="U2318" s="0" t="str">
        <f aca="false">"5060458890191"</f>
        <v>5060458890191</v>
      </c>
      <c r="V2318" s="51" t="s">
        <v>2142</v>
      </c>
      <c r="W2318" s="51" t="s">
        <v>5260</v>
      </c>
      <c r="X2318" s="51" t="s">
        <v>2359</v>
      </c>
    </row>
    <row r="2319" customFormat="false" ht="14.25" hidden="true" customHeight="false" outlineLevel="0" collapsed="false">
      <c r="A2319" s="49" t="s">
        <v>2349</v>
      </c>
      <c r="B2319" s="49" t="s">
        <v>2350</v>
      </c>
      <c r="C2319" s="49" t="s">
        <v>5261</v>
      </c>
      <c r="D2319" s="49" t="s">
        <v>2352</v>
      </c>
      <c r="E2319" s="49" t="str">
        <f aca="false">"5060458890191"</f>
        <v>5060458890191</v>
      </c>
      <c r="F2319" s="49" t="s">
        <v>3656</v>
      </c>
      <c r="G2319" s="49" t="n">
        <v>0</v>
      </c>
      <c r="H2319" s="0" t="n">
        <v>0</v>
      </c>
      <c r="M2319" s="51" t="s">
        <v>5232</v>
      </c>
      <c r="N2319" s="49" t="n">
        <v>0</v>
      </c>
      <c r="O2319" s="53" t="n">
        <v>45726.0310763889</v>
      </c>
      <c r="P2319" s="53" t="n">
        <v>45750.6266898148</v>
      </c>
      <c r="Q2319" s="53" t="n">
        <v>45726.0310763889</v>
      </c>
      <c r="R2319" s="0" t="n">
        <v>0</v>
      </c>
      <c r="S2319" s="51" t="s">
        <v>2371</v>
      </c>
      <c r="T2319" s="51" t="s">
        <v>2371</v>
      </c>
      <c r="U2319" s="0" t="str">
        <f aca="false">"5060458890191"</f>
        <v>5060458890191</v>
      </c>
      <c r="V2319" s="51" t="s">
        <v>2142</v>
      </c>
      <c r="W2319" s="51" t="s">
        <v>5262</v>
      </c>
      <c r="X2319" s="51" t="s">
        <v>2359</v>
      </c>
    </row>
    <row r="2320" customFormat="false" ht="14.25" hidden="true" customHeight="false" outlineLevel="0" collapsed="false">
      <c r="A2320" s="49" t="s">
        <v>2349</v>
      </c>
      <c r="B2320" s="49" t="s">
        <v>2350</v>
      </c>
      <c r="C2320" s="49" t="s">
        <v>5263</v>
      </c>
      <c r="D2320" s="49" t="s">
        <v>2352</v>
      </c>
      <c r="E2320" s="49" t="str">
        <f aca="false">"5060458890191"</f>
        <v>5060458890191</v>
      </c>
      <c r="F2320" s="49" t="s">
        <v>3656</v>
      </c>
      <c r="G2320" s="49" t="n">
        <v>0</v>
      </c>
      <c r="H2320" s="0" t="n">
        <v>0</v>
      </c>
      <c r="M2320" s="51" t="s">
        <v>5232</v>
      </c>
      <c r="N2320" s="49" t="n">
        <v>0</v>
      </c>
      <c r="O2320" s="53" t="n">
        <v>45726.0312037037</v>
      </c>
      <c r="P2320" s="53" t="n">
        <v>45750.6259143519</v>
      </c>
      <c r="Q2320" s="53" t="n">
        <v>45726.0312037037</v>
      </c>
      <c r="R2320" s="0" t="n">
        <v>0</v>
      </c>
      <c r="S2320" s="51" t="s">
        <v>2371</v>
      </c>
      <c r="T2320" s="51" t="s">
        <v>2371</v>
      </c>
      <c r="U2320" s="0" t="str">
        <f aca="false">"5060458890191"</f>
        <v>5060458890191</v>
      </c>
      <c r="V2320" s="51" t="s">
        <v>2142</v>
      </c>
      <c r="W2320" s="51" t="s">
        <v>5264</v>
      </c>
      <c r="X2320" s="51" t="s">
        <v>2359</v>
      </c>
    </row>
    <row r="2321" customFormat="false" ht="14.25" hidden="true" customHeight="false" outlineLevel="0" collapsed="false">
      <c r="A2321" s="49" t="s">
        <v>2349</v>
      </c>
      <c r="B2321" s="49" t="s">
        <v>2350</v>
      </c>
      <c r="C2321" s="49" t="s">
        <v>5265</v>
      </c>
      <c r="D2321" s="49" t="s">
        <v>2352</v>
      </c>
      <c r="E2321" s="49" t="str">
        <f aca="false">"5060458890191"</f>
        <v>5060458890191</v>
      </c>
      <c r="F2321" s="49" t="s">
        <v>3656</v>
      </c>
      <c r="G2321" s="49" t="n">
        <v>0</v>
      </c>
      <c r="H2321" s="0" t="n">
        <v>0</v>
      </c>
      <c r="M2321" s="51" t="s">
        <v>5232</v>
      </c>
      <c r="N2321" s="49" t="n">
        <v>0</v>
      </c>
      <c r="O2321" s="53" t="n">
        <v>45726.0306134259</v>
      </c>
      <c r="P2321" s="53" t="n">
        <v>45757.753125</v>
      </c>
      <c r="Q2321" s="53" t="n">
        <v>45726.0306134259</v>
      </c>
      <c r="R2321" s="0" t="n">
        <v>0</v>
      </c>
      <c r="S2321" s="51" t="s">
        <v>2371</v>
      </c>
      <c r="T2321" s="51" t="s">
        <v>2371</v>
      </c>
      <c r="U2321" s="0" t="str">
        <f aca="false">"5060458890191"</f>
        <v>5060458890191</v>
      </c>
      <c r="V2321" s="51" t="s">
        <v>2142</v>
      </c>
      <c r="W2321" s="51" t="s">
        <v>5266</v>
      </c>
      <c r="X2321" s="51" t="s">
        <v>2359</v>
      </c>
    </row>
    <row r="2322" customFormat="false" ht="14.25" hidden="true" customHeight="false" outlineLevel="0" collapsed="false">
      <c r="A2322" s="49" t="s">
        <v>2349</v>
      </c>
      <c r="B2322" s="49" t="s">
        <v>2350</v>
      </c>
      <c r="C2322" s="49" t="s">
        <v>5267</v>
      </c>
      <c r="D2322" s="49" t="s">
        <v>2352</v>
      </c>
      <c r="E2322" s="49" t="str">
        <f aca="false">"5060458890191"</f>
        <v>5060458890191</v>
      </c>
      <c r="F2322" s="49" t="s">
        <v>3656</v>
      </c>
      <c r="G2322" s="49" t="n">
        <v>0</v>
      </c>
      <c r="H2322" s="0" t="n">
        <v>0</v>
      </c>
      <c r="M2322" s="51" t="s">
        <v>5232</v>
      </c>
      <c r="N2322" s="49" t="n">
        <v>0</v>
      </c>
      <c r="O2322" s="53" t="n">
        <v>45726.030474537</v>
      </c>
      <c r="P2322" s="53" t="n">
        <v>45752.6787615741</v>
      </c>
      <c r="Q2322" s="53" t="n">
        <v>45726.030474537</v>
      </c>
      <c r="R2322" s="0" t="n">
        <v>0</v>
      </c>
      <c r="S2322" s="51" t="s">
        <v>2371</v>
      </c>
      <c r="T2322" s="51" t="s">
        <v>2371</v>
      </c>
      <c r="U2322" s="0" t="str">
        <f aca="false">"5060458890191"</f>
        <v>5060458890191</v>
      </c>
      <c r="V2322" s="51" t="s">
        <v>2142</v>
      </c>
      <c r="W2322" s="51" t="s">
        <v>4736</v>
      </c>
      <c r="X2322" s="51" t="s">
        <v>2359</v>
      </c>
    </row>
    <row r="2323" customFormat="false" ht="14.25" hidden="true" customHeight="false" outlineLevel="0" collapsed="false">
      <c r="A2323" s="49" t="s">
        <v>2349</v>
      </c>
      <c r="B2323" s="49" t="s">
        <v>2350</v>
      </c>
      <c r="C2323" s="49" t="s">
        <v>5268</v>
      </c>
      <c r="D2323" s="49" t="s">
        <v>2352</v>
      </c>
      <c r="E2323" s="49" t="str">
        <f aca="false">"5060458890191"</f>
        <v>5060458890191</v>
      </c>
      <c r="F2323" s="49" t="s">
        <v>3656</v>
      </c>
      <c r="G2323" s="49" t="n">
        <v>0</v>
      </c>
      <c r="H2323" s="0" t="n">
        <v>0</v>
      </c>
      <c r="M2323" s="51" t="s">
        <v>5232</v>
      </c>
      <c r="N2323" s="49" t="n">
        <v>0</v>
      </c>
      <c r="O2323" s="53" t="n">
        <v>45726.0303240741</v>
      </c>
      <c r="P2323" s="53" t="n">
        <v>45750.5940393519</v>
      </c>
      <c r="Q2323" s="53" t="n">
        <v>45726.0303240741</v>
      </c>
      <c r="R2323" s="0" t="n">
        <v>0</v>
      </c>
      <c r="S2323" s="51" t="s">
        <v>2371</v>
      </c>
      <c r="T2323" s="51" t="s">
        <v>2371</v>
      </c>
      <c r="U2323" s="0" t="str">
        <f aca="false">"5060458890191"</f>
        <v>5060458890191</v>
      </c>
      <c r="V2323" s="51" t="s">
        <v>2142</v>
      </c>
      <c r="W2323" s="51" t="s">
        <v>5269</v>
      </c>
      <c r="X2323" s="51" t="s">
        <v>2359</v>
      </c>
    </row>
    <row r="2324" customFormat="false" ht="14.25" hidden="true" customHeight="false" outlineLevel="0" collapsed="false">
      <c r="A2324" s="49" t="s">
        <v>2349</v>
      </c>
      <c r="B2324" s="49" t="s">
        <v>2350</v>
      </c>
      <c r="C2324" s="49" t="s">
        <v>5270</v>
      </c>
      <c r="D2324" s="49" t="s">
        <v>2352</v>
      </c>
      <c r="E2324" s="49" t="str">
        <f aca="false">"5060458890191"</f>
        <v>5060458890191</v>
      </c>
      <c r="F2324" s="49" t="s">
        <v>3656</v>
      </c>
      <c r="G2324" s="49" t="n">
        <v>0</v>
      </c>
      <c r="H2324" s="0" t="n">
        <v>0</v>
      </c>
      <c r="M2324" s="51" t="s">
        <v>5232</v>
      </c>
      <c r="N2324" s="49" t="n">
        <v>0</v>
      </c>
      <c r="O2324" s="53" t="n">
        <v>45726.0301388889</v>
      </c>
      <c r="P2324" s="53" t="n">
        <v>45734.9145486111</v>
      </c>
      <c r="Q2324" s="53" t="n">
        <v>45726.0301388889</v>
      </c>
      <c r="R2324" s="0" t="n">
        <v>0</v>
      </c>
      <c r="S2324" s="51" t="s">
        <v>2371</v>
      </c>
      <c r="T2324" s="51" t="s">
        <v>2371</v>
      </c>
      <c r="U2324" s="0" t="str">
        <f aca="false">"5060458890191"</f>
        <v>5060458890191</v>
      </c>
      <c r="V2324" s="51" t="s">
        <v>2142</v>
      </c>
      <c r="W2324" s="51" t="s">
        <v>4743</v>
      </c>
      <c r="X2324" s="51" t="s">
        <v>2359</v>
      </c>
    </row>
    <row r="2325" customFormat="false" ht="14.25" hidden="true" customHeight="false" outlineLevel="0" collapsed="false">
      <c r="A2325" s="49" t="s">
        <v>2349</v>
      </c>
      <c r="B2325" s="49" t="s">
        <v>2350</v>
      </c>
      <c r="C2325" s="49" t="s">
        <v>5271</v>
      </c>
      <c r="D2325" s="49" t="s">
        <v>2352</v>
      </c>
      <c r="E2325" s="49" t="str">
        <f aca="false">"5060458890191"</f>
        <v>5060458890191</v>
      </c>
      <c r="F2325" s="49" t="s">
        <v>3656</v>
      </c>
      <c r="G2325" s="49" t="n">
        <v>0</v>
      </c>
      <c r="H2325" s="0" t="n">
        <v>0</v>
      </c>
      <c r="M2325" s="51" t="s">
        <v>5232</v>
      </c>
      <c r="N2325" s="49" t="n">
        <v>0</v>
      </c>
      <c r="O2325" s="53" t="n">
        <v>45726.0300115741</v>
      </c>
      <c r="P2325" s="53" t="n">
        <v>45757.5589583333</v>
      </c>
      <c r="Q2325" s="53" t="n">
        <v>45726.0300115741</v>
      </c>
      <c r="R2325" s="0" t="n">
        <v>0</v>
      </c>
      <c r="S2325" s="51" t="s">
        <v>2371</v>
      </c>
      <c r="T2325" s="51" t="s">
        <v>2371</v>
      </c>
      <c r="U2325" s="0" t="str">
        <f aca="false">"5060458890191"</f>
        <v>5060458890191</v>
      </c>
      <c r="V2325" s="51" t="s">
        <v>2142</v>
      </c>
      <c r="W2325" s="51" t="s">
        <v>5099</v>
      </c>
      <c r="X2325" s="51" t="s">
        <v>2359</v>
      </c>
    </row>
    <row r="2326" customFormat="false" ht="14.25" hidden="true" customHeight="false" outlineLevel="0" collapsed="false">
      <c r="A2326" s="49" t="s">
        <v>2349</v>
      </c>
      <c r="B2326" s="49" t="s">
        <v>2350</v>
      </c>
      <c r="C2326" s="49" t="s">
        <v>5272</v>
      </c>
      <c r="D2326" s="49" t="s">
        <v>2352</v>
      </c>
      <c r="E2326" s="49" t="str">
        <f aca="false">"5060458890191"</f>
        <v>5060458890191</v>
      </c>
      <c r="F2326" s="49" t="s">
        <v>3656</v>
      </c>
      <c r="G2326" s="49" t="n">
        <v>0</v>
      </c>
      <c r="H2326" s="0" t="n">
        <v>0</v>
      </c>
      <c r="M2326" s="51" t="s">
        <v>5232</v>
      </c>
      <c r="N2326" s="49" t="n">
        <v>0</v>
      </c>
      <c r="O2326" s="53" t="n">
        <v>45726.0296759259</v>
      </c>
      <c r="P2326" s="53" t="n">
        <v>45734.9137384259</v>
      </c>
      <c r="Q2326" s="53" t="n">
        <v>45726.0296759259</v>
      </c>
      <c r="R2326" s="0" t="n">
        <v>0</v>
      </c>
      <c r="S2326" s="51" t="s">
        <v>2371</v>
      </c>
      <c r="T2326" s="51" t="s">
        <v>2371</v>
      </c>
      <c r="U2326" s="0" t="str">
        <f aca="false">"5060458890191"</f>
        <v>5060458890191</v>
      </c>
      <c r="V2326" s="51" t="s">
        <v>2142</v>
      </c>
      <c r="W2326" s="51" t="s">
        <v>5273</v>
      </c>
      <c r="X2326" s="51" t="s">
        <v>2359</v>
      </c>
    </row>
    <row r="2327" customFormat="false" ht="14.25" hidden="true" customHeight="false" outlineLevel="0" collapsed="false">
      <c r="A2327" s="49" t="s">
        <v>2349</v>
      </c>
      <c r="B2327" s="49" t="s">
        <v>2350</v>
      </c>
      <c r="C2327" s="49" t="s">
        <v>5274</v>
      </c>
      <c r="D2327" s="49" t="s">
        <v>2352</v>
      </c>
      <c r="E2327" s="49" t="str">
        <f aca="false">"5060458890191"</f>
        <v>5060458890191</v>
      </c>
      <c r="F2327" s="49" t="s">
        <v>3656</v>
      </c>
      <c r="G2327" s="49" t="n">
        <v>0</v>
      </c>
      <c r="H2327" s="0" t="n">
        <v>0</v>
      </c>
      <c r="M2327" s="51" t="s">
        <v>5232</v>
      </c>
      <c r="N2327" s="49" t="n">
        <v>0</v>
      </c>
      <c r="O2327" s="53" t="n">
        <v>45726.0295486111</v>
      </c>
      <c r="P2327" s="53" t="n">
        <v>45757.7523148148</v>
      </c>
      <c r="Q2327" s="53" t="n">
        <v>45726.0295486111</v>
      </c>
      <c r="R2327" s="0" t="n">
        <v>0</v>
      </c>
      <c r="S2327" s="51" t="s">
        <v>2371</v>
      </c>
      <c r="T2327" s="51" t="s">
        <v>2371</v>
      </c>
      <c r="U2327" s="0" t="str">
        <f aca="false">"5060458890191"</f>
        <v>5060458890191</v>
      </c>
      <c r="V2327" s="51" t="s">
        <v>2142</v>
      </c>
      <c r="W2327" s="51" t="s">
        <v>4545</v>
      </c>
      <c r="X2327" s="51" t="s">
        <v>2359</v>
      </c>
    </row>
    <row r="2328" customFormat="false" ht="14.25" hidden="true" customHeight="false" outlineLevel="0" collapsed="false">
      <c r="A2328" s="49" t="s">
        <v>2349</v>
      </c>
      <c r="B2328" s="49" t="s">
        <v>2350</v>
      </c>
      <c r="C2328" s="49" t="s">
        <v>5275</v>
      </c>
      <c r="D2328" s="49" t="s">
        <v>2352</v>
      </c>
      <c r="E2328" s="49" t="str">
        <f aca="false">"5060458890191"</f>
        <v>5060458890191</v>
      </c>
      <c r="F2328" s="49" t="s">
        <v>3656</v>
      </c>
      <c r="G2328" s="49" t="n">
        <v>0</v>
      </c>
      <c r="H2328" s="0" t="n">
        <v>0</v>
      </c>
      <c r="M2328" s="51" t="s">
        <v>5232</v>
      </c>
      <c r="N2328" s="49" t="n">
        <v>0</v>
      </c>
      <c r="O2328" s="53" t="n">
        <v>45726.0294097222</v>
      </c>
      <c r="P2328" s="53" t="n">
        <v>45757.7371759259</v>
      </c>
      <c r="Q2328" s="53" t="n">
        <v>45726.0294097222</v>
      </c>
      <c r="R2328" s="0" t="n">
        <v>0</v>
      </c>
      <c r="S2328" s="51" t="s">
        <v>2371</v>
      </c>
      <c r="T2328" s="51" t="s">
        <v>2371</v>
      </c>
      <c r="U2328" s="0" t="str">
        <f aca="false">"5060458890191"</f>
        <v>5060458890191</v>
      </c>
      <c r="V2328" s="51" t="s">
        <v>2142</v>
      </c>
      <c r="W2328" s="51" t="s">
        <v>5276</v>
      </c>
      <c r="X2328" s="51" t="s">
        <v>2359</v>
      </c>
    </row>
    <row r="2329" customFormat="false" ht="14.25" hidden="true" customHeight="false" outlineLevel="0" collapsed="false">
      <c r="A2329" s="49" t="s">
        <v>2349</v>
      </c>
      <c r="B2329" s="49" t="s">
        <v>2350</v>
      </c>
      <c r="C2329" s="49" t="s">
        <v>5277</v>
      </c>
      <c r="D2329" s="49" t="s">
        <v>2352</v>
      </c>
      <c r="E2329" s="49" t="str">
        <f aca="false">"5060458890191"</f>
        <v>5060458890191</v>
      </c>
      <c r="F2329" s="49" t="s">
        <v>3656</v>
      </c>
      <c r="G2329" s="49" t="n">
        <v>0</v>
      </c>
      <c r="H2329" s="0" t="n">
        <v>0</v>
      </c>
      <c r="M2329" s="51" t="s">
        <v>5232</v>
      </c>
      <c r="N2329" s="49" t="n">
        <v>0</v>
      </c>
      <c r="O2329" s="53" t="n">
        <v>45726.029224537</v>
      </c>
      <c r="P2329" s="53" t="n">
        <v>45757.7767824074</v>
      </c>
      <c r="Q2329" s="53" t="n">
        <v>45726.029224537</v>
      </c>
      <c r="R2329" s="0" t="n">
        <v>0</v>
      </c>
      <c r="S2329" s="51" t="s">
        <v>2371</v>
      </c>
      <c r="T2329" s="51" t="s">
        <v>2371</v>
      </c>
      <c r="U2329" s="0" t="str">
        <f aca="false">"5060458890191"</f>
        <v>5060458890191</v>
      </c>
      <c r="V2329" s="51" t="s">
        <v>2142</v>
      </c>
      <c r="W2329" s="51" t="s">
        <v>5278</v>
      </c>
      <c r="X2329" s="51" t="s">
        <v>2359</v>
      </c>
    </row>
    <row r="2330" customFormat="false" ht="14.25" hidden="true" customHeight="false" outlineLevel="0" collapsed="false">
      <c r="A2330" s="49" t="s">
        <v>2349</v>
      </c>
      <c r="B2330" s="49" t="s">
        <v>2350</v>
      </c>
      <c r="C2330" s="49" t="s">
        <v>5279</v>
      </c>
      <c r="D2330" s="49" t="s">
        <v>2352</v>
      </c>
      <c r="E2330" s="49" t="str">
        <f aca="false">"10074865055175"</f>
        <v>10074865055175</v>
      </c>
      <c r="F2330" s="49" t="s">
        <v>5090</v>
      </c>
      <c r="G2330" s="49" t="n">
        <v>0</v>
      </c>
      <c r="H2330" s="0" t="n">
        <v>0</v>
      </c>
      <c r="M2330" s="51" t="s">
        <v>5280</v>
      </c>
      <c r="N2330" s="49" t="n">
        <v>0</v>
      </c>
      <c r="O2330" s="53" t="n">
        <v>45726.8153819444</v>
      </c>
      <c r="P2330" s="53" t="n">
        <v>45728.8987152778</v>
      </c>
      <c r="Q2330" s="53" t="n">
        <v>45726.8153819444</v>
      </c>
      <c r="R2330" s="0" t="n">
        <v>0</v>
      </c>
      <c r="S2330" s="51" t="s">
        <v>2376</v>
      </c>
      <c r="T2330" s="51" t="s">
        <v>2376</v>
      </c>
      <c r="U2330" s="0" t="str">
        <f aca="false">"10074865055175"</f>
        <v>10074865055175</v>
      </c>
      <c r="V2330" s="51" t="s">
        <v>2365</v>
      </c>
      <c r="W2330" s="51" t="s">
        <v>5281</v>
      </c>
      <c r="X2330" s="51" t="s">
        <v>2359</v>
      </c>
    </row>
    <row r="2331" customFormat="false" ht="14.25" hidden="true" customHeight="false" outlineLevel="0" collapsed="false">
      <c r="A2331" s="49" t="s">
        <v>2349</v>
      </c>
      <c r="B2331" s="49" t="s">
        <v>2350</v>
      </c>
      <c r="C2331" s="49" t="s">
        <v>5282</v>
      </c>
      <c r="D2331" s="49" t="s">
        <v>2352</v>
      </c>
      <c r="E2331" s="49" t="str">
        <f aca="false">"10074865055175"</f>
        <v>10074865055175</v>
      </c>
      <c r="F2331" s="49" t="s">
        <v>5090</v>
      </c>
      <c r="G2331" s="49" t="n">
        <v>0</v>
      </c>
      <c r="H2331" s="0" t="n">
        <v>0</v>
      </c>
      <c r="M2331" s="51" t="s">
        <v>5280</v>
      </c>
      <c r="N2331" s="49" t="n">
        <v>0</v>
      </c>
      <c r="O2331" s="53" t="n">
        <v>45726.815150463</v>
      </c>
      <c r="P2331" s="53" t="n">
        <v>45728.8983449074</v>
      </c>
      <c r="Q2331" s="53" t="n">
        <v>45726.815150463</v>
      </c>
      <c r="R2331" s="0" t="n">
        <v>0</v>
      </c>
      <c r="S2331" s="51" t="s">
        <v>2376</v>
      </c>
      <c r="T2331" s="51" t="s">
        <v>2376</v>
      </c>
      <c r="U2331" s="0" t="str">
        <f aca="false">"10074865055175"</f>
        <v>10074865055175</v>
      </c>
      <c r="V2331" s="51" t="s">
        <v>2365</v>
      </c>
      <c r="W2331" s="51" t="s">
        <v>5283</v>
      </c>
      <c r="X2331" s="51" t="s">
        <v>2359</v>
      </c>
    </row>
    <row r="2332" customFormat="false" ht="14.25" hidden="true" customHeight="false" outlineLevel="0" collapsed="false">
      <c r="A2332" s="49" t="s">
        <v>2349</v>
      </c>
      <c r="B2332" s="49" t="s">
        <v>2350</v>
      </c>
      <c r="C2332" s="49" t="s">
        <v>5284</v>
      </c>
      <c r="D2332" s="49" t="s">
        <v>2352</v>
      </c>
      <c r="E2332" s="49" t="str">
        <f aca="false">"10074865055175"</f>
        <v>10074865055175</v>
      </c>
      <c r="F2332" s="49" t="s">
        <v>5090</v>
      </c>
      <c r="G2332" s="49" t="n">
        <v>0</v>
      </c>
      <c r="H2332" s="0" t="n">
        <v>0</v>
      </c>
      <c r="M2332" s="51" t="s">
        <v>5280</v>
      </c>
      <c r="N2332" s="49" t="n">
        <v>0</v>
      </c>
      <c r="O2332" s="53" t="n">
        <v>45726.8150115741</v>
      </c>
      <c r="P2332" s="53" t="n">
        <v>45728.8908333333</v>
      </c>
      <c r="Q2332" s="53" t="n">
        <v>45726.8150115741</v>
      </c>
      <c r="R2332" s="0" t="n">
        <v>0</v>
      </c>
      <c r="S2332" s="51" t="s">
        <v>2376</v>
      </c>
      <c r="T2332" s="51" t="s">
        <v>2376</v>
      </c>
      <c r="U2332" s="0" t="str">
        <f aca="false">"10074865055175"</f>
        <v>10074865055175</v>
      </c>
      <c r="V2332" s="51" t="s">
        <v>2365</v>
      </c>
      <c r="W2332" s="51" t="s">
        <v>5285</v>
      </c>
      <c r="X2332" s="51" t="s">
        <v>2359</v>
      </c>
    </row>
    <row r="2333" customFormat="false" ht="14.25" hidden="true" customHeight="false" outlineLevel="0" collapsed="false">
      <c r="A2333" s="49" t="s">
        <v>2349</v>
      </c>
      <c r="B2333" s="49" t="s">
        <v>2350</v>
      </c>
      <c r="C2333" s="49" t="s">
        <v>5286</v>
      </c>
      <c r="D2333" s="49" t="s">
        <v>2352</v>
      </c>
      <c r="E2333" s="49" t="str">
        <f aca="false">"10074865055175"</f>
        <v>10074865055175</v>
      </c>
      <c r="F2333" s="49" t="s">
        <v>5090</v>
      </c>
      <c r="G2333" s="49" t="n">
        <v>0</v>
      </c>
      <c r="H2333" s="0" t="n">
        <v>0</v>
      </c>
      <c r="M2333" s="51" t="s">
        <v>5280</v>
      </c>
      <c r="N2333" s="49" t="n">
        <v>0</v>
      </c>
      <c r="O2333" s="53" t="n">
        <v>45726.814537037</v>
      </c>
      <c r="P2333" s="53" t="n">
        <v>45728.9340509259</v>
      </c>
      <c r="Q2333" s="53" t="n">
        <v>45726.814537037</v>
      </c>
      <c r="R2333" s="0" t="n">
        <v>0</v>
      </c>
      <c r="S2333" s="51" t="s">
        <v>2376</v>
      </c>
      <c r="T2333" s="51" t="s">
        <v>2376</v>
      </c>
      <c r="U2333" s="0" t="str">
        <f aca="false">"10074865055175"</f>
        <v>10074865055175</v>
      </c>
      <c r="V2333" s="51" t="s">
        <v>2365</v>
      </c>
      <c r="W2333" s="51" t="s">
        <v>5287</v>
      </c>
      <c r="X2333" s="51" t="s">
        <v>2359</v>
      </c>
    </row>
    <row r="2334" customFormat="false" ht="14.25" hidden="true" customHeight="false" outlineLevel="0" collapsed="false">
      <c r="A2334" s="49" t="s">
        <v>2349</v>
      </c>
      <c r="B2334" s="49" t="s">
        <v>2350</v>
      </c>
      <c r="C2334" s="49" t="s">
        <v>5288</v>
      </c>
      <c r="D2334" s="49" t="s">
        <v>2352</v>
      </c>
      <c r="E2334" s="49" t="str">
        <f aca="false">"10074865055175"</f>
        <v>10074865055175</v>
      </c>
      <c r="F2334" s="49" t="s">
        <v>5090</v>
      </c>
      <c r="G2334" s="49" t="n">
        <v>0</v>
      </c>
      <c r="H2334" s="0" t="n">
        <v>0</v>
      </c>
      <c r="M2334" s="51" t="s">
        <v>5280</v>
      </c>
      <c r="N2334" s="49" t="n">
        <v>0</v>
      </c>
      <c r="O2334" s="53" t="n">
        <v>45726.8148263889</v>
      </c>
      <c r="P2334" s="53" t="n">
        <v>45728.8863541667</v>
      </c>
      <c r="Q2334" s="53" t="n">
        <v>45726.8148263889</v>
      </c>
      <c r="R2334" s="0" t="n">
        <v>0</v>
      </c>
      <c r="S2334" s="51" t="s">
        <v>2376</v>
      </c>
      <c r="T2334" s="51" t="s">
        <v>2376</v>
      </c>
      <c r="U2334" s="0" t="str">
        <f aca="false">"10074865055175"</f>
        <v>10074865055175</v>
      </c>
      <c r="V2334" s="51" t="s">
        <v>2365</v>
      </c>
      <c r="W2334" s="51" t="s">
        <v>5289</v>
      </c>
      <c r="X2334" s="51" t="s">
        <v>2359</v>
      </c>
    </row>
    <row r="2335" customFormat="false" ht="14.25" hidden="true" customHeight="false" outlineLevel="0" collapsed="false">
      <c r="A2335" s="49" t="s">
        <v>2349</v>
      </c>
      <c r="B2335" s="49" t="s">
        <v>2350</v>
      </c>
      <c r="C2335" s="49" t="s">
        <v>5290</v>
      </c>
      <c r="D2335" s="49" t="s">
        <v>2352</v>
      </c>
      <c r="E2335" s="49" t="str">
        <f aca="false">"10074865055175"</f>
        <v>10074865055175</v>
      </c>
      <c r="F2335" s="49" t="s">
        <v>5090</v>
      </c>
      <c r="G2335" s="49" t="n">
        <v>0</v>
      </c>
      <c r="H2335" s="0" t="n">
        <v>0</v>
      </c>
      <c r="M2335" s="51" t="s">
        <v>5280</v>
      </c>
      <c r="N2335" s="49" t="n">
        <v>0</v>
      </c>
      <c r="O2335" s="53" t="n">
        <v>45726.8174305556</v>
      </c>
      <c r="P2335" s="53" t="n">
        <v>45728.933900463</v>
      </c>
      <c r="Q2335" s="53" t="n">
        <v>45726.8174305556</v>
      </c>
      <c r="R2335" s="0" t="n">
        <v>0</v>
      </c>
      <c r="S2335" s="51" t="s">
        <v>2376</v>
      </c>
      <c r="T2335" s="51" t="s">
        <v>2376</v>
      </c>
      <c r="U2335" s="0" t="str">
        <f aca="false">"10074865055175"</f>
        <v>10074865055175</v>
      </c>
      <c r="V2335" s="51" t="s">
        <v>2365</v>
      </c>
      <c r="W2335" s="51" t="s">
        <v>5291</v>
      </c>
      <c r="X2335" s="51" t="s">
        <v>2359</v>
      </c>
    </row>
    <row r="2336" customFormat="false" ht="14.25" hidden="true" customHeight="false" outlineLevel="0" collapsed="false">
      <c r="A2336" s="49" t="s">
        <v>2349</v>
      </c>
      <c r="B2336" s="49" t="s">
        <v>2350</v>
      </c>
      <c r="C2336" s="49" t="s">
        <v>5292</v>
      </c>
      <c r="D2336" s="49" t="s">
        <v>2352</v>
      </c>
      <c r="E2336" s="49" t="str">
        <f aca="false">"10074865055175"</f>
        <v>10074865055175</v>
      </c>
      <c r="F2336" s="49" t="s">
        <v>5090</v>
      </c>
      <c r="G2336" s="49" t="n">
        <v>0</v>
      </c>
      <c r="H2336" s="0" t="n">
        <v>0</v>
      </c>
      <c r="M2336" s="51" t="s">
        <v>5280</v>
      </c>
      <c r="N2336" s="49" t="n">
        <v>0</v>
      </c>
      <c r="O2336" s="53" t="n">
        <v>45726.8173148148</v>
      </c>
      <c r="P2336" s="53" t="n">
        <v>45728.8879976852</v>
      </c>
      <c r="Q2336" s="53" t="n">
        <v>45726.8173148148</v>
      </c>
      <c r="R2336" s="0" t="n">
        <v>0</v>
      </c>
      <c r="S2336" s="51" t="s">
        <v>2376</v>
      </c>
      <c r="T2336" s="51" t="s">
        <v>2376</v>
      </c>
      <c r="U2336" s="0" t="str">
        <f aca="false">"10074865055175"</f>
        <v>10074865055175</v>
      </c>
      <c r="V2336" s="51" t="s">
        <v>2365</v>
      </c>
      <c r="W2336" s="51" t="s">
        <v>5293</v>
      </c>
      <c r="X2336" s="51" t="s">
        <v>2359</v>
      </c>
    </row>
    <row r="2337" customFormat="false" ht="14.25" hidden="true" customHeight="false" outlineLevel="0" collapsed="false">
      <c r="A2337" s="49" t="s">
        <v>2349</v>
      </c>
      <c r="B2337" s="49" t="s">
        <v>2350</v>
      </c>
      <c r="C2337" s="49" t="s">
        <v>5294</v>
      </c>
      <c r="D2337" s="49" t="s">
        <v>2352</v>
      </c>
      <c r="E2337" s="49" t="str">
        <f aca="false">"10074865055175"</f>
        <v>10074865055175</v>
      </c>
      <c r="F2337" s="49" t="s">
        <v>5090</v>
      </c>
      <c r="G2337" s="49" t="n">
        <v>0</v>
      </c>
      <c r="H2337" s="0" t="n">
        <v>0</v>
      </c>
      <c r="M2337" s="51" t="s">
        <v>5280</v>
      </c>
      <c r="N2337" s="49" t="n">
        <v>0</v>
      </c>
      <c r="O2337" s="53" t="n">
        <v>45726.8171527778</v>
      </c>
      <c r="P2337" s="53" t="n">
        <v>45728.8892708333</v>
      </c>
      <c r="Q2337" s="53" t="n">
        <v>45726.8171527778</v>
      </c>
      <c r="R2337" s="0" t="n">
        <v>0</v>
      </c>
      <c r="S2337" s="51" t="s">
        <v>2376</v>
      </c>
      <c r="T2337" s="51" t="s">
        <v>2376</v>
      </c>
      <c r="U2337" s="0" t="str">
        <f aca="false">"10074865055175"</f>
        <v>10074865055175</v>
      </c>
      <c r="V2337" s="51" t="s">
        <v>2365</v>
      </c>
      <c r="W2337" s="51" t="s">
        <v>5295</v>
      </c>
      <c r="X2337" s="51" t="s">
        <v>2359</v>
      </c>
    </row>
    <row r="2338" customFormat="false" ht="14.25" hidden="true" customHeight="false" outlineLevel="0" collapsed="false">
      <c r="A2338" s="49" t="s">
        <v>2349</v>
      </c>
      <c r="B2338" s="49" t="s">
        <v>2350</v>
      </c>
      <c r="C2338" s="49" t="s">
        <v>5296</v>
      </c>
      <c r="D2338" s="49" t="s">
        <v>2352</v>
      </c>
      <c r="E2338" s="49" t="str">
        <f aca="false">"10074865055175"</f>
        <v>10074865055175</v>
      </c>
      <c r="F2338" s="49" t="s">
        <v>5090</v>
      </c>
      <c r="G2338" s="49" t="n">
        <v>0</v>
      </c>
      <c r="H2338" s="0" t="n">
        <v>0</v>
      </c>
      <c r="M2338" s="51" t="s">
        <v>5280</v>
      </c>
      <c r="N2338" s="49" t="n">
        <v>0</v>
      </c>
      <c r="O2338" s="53" t="n">
        <v>45726.8170486111</v>
      </c>
      <c r="P2338" s="53" t="n">
        <v>45728.8909375</v>
      </c>
      <c r="Q2338" s="53" t="n">
        <v>45726.8170486111</v>
      </c>
      <c r="R2338" s="0" t="n">
        <v>0</v>
      </c>
      <c r="S2338" s="51" t="s">
        <v>2376</v>
      </c>
      <c r="T2338" s="51" t="s">
        <v>2376</v>
      </c>
      <c r="U2338" s="0" t="str">
        <f aca="false">"10074865055175"</f>
        <v>10074865055175</v>
      </c>
      <c r="V2338" s="51" t="s">
        <v>2365</v>
      </c>
      <c r="W2338" s="51" t="s">
        <v>4537</v>
      </c>
      <c r="X2338" s="51" t="s">
        <v>2359</v>
      </c>
    </row>
    <row r="2339" customFormat="false" ht="14.25" hidden="true" customHeight="false" outlineLevel="0" collapsed="false">
      <c r="A2339" s="49" t="s">
        <v>2349</v>
      </c>
      <c r="B2339" s="49" t="s">
        <v>2350</v>
      </c>
      <c r="C2339" s="49" t="s">
        <v>5297</v>
      </c>
      <c r="D2339" s="49" t="s">
        <v>2352</v>
      </c>
      <c r="E2339" s="49" t="str">
        <f aca="false">"10074865055175"</f>
        <v>10074865055175</v>
      </c>
      <c r="F2339" s="49" t="s">
        <v>5090</v>
      </c>
      <c r="G2339" s="49" t="n">
        <v>0</v>
      </c>
      <c r="H2339" s="0" t="n">
        <v>0</v>
      </c>
      <c r="M2339" s="51" t="s">
        <v>5280</v>
      </c>
      <c r="N2339" s="49" t="n">
        <v>0</v>
      </c>
      <c r="O2339" s="53" t="n">
        <v>45726.8169097222</v>
      </c>
      <c r="P2339" s="53" t="n">
        <v>45728.8920717593</v>
      </c>
      <c r="Q2339" s="53" t="n">
        <v>45726.8169097222</v>
      </c>
      <c r="R2339" s="0" t="n">
        <v>0</v>
      </c>
      <c r="S2339" s="51" t="s">
        <v>2376</v>
      </c>
      <c r="T2339" s="51" t="s">
        <v>2376</v>
      </c>
      <c r="U2339" s="0" t="str">
        <f aca="false">"10074865055175"</f>
        <v>10074865055175</v>
      </c>
      <c r="V2339" s="51" t="s">
        <v>2365</v>
      </c>
      <c r="W2339" s="51" t="s">
        <v>4535</v>
      </c>
      <c r="X2339" s="51" t="s">
        <v>2359</v>
      </c>
    </row>
    <row r="2340" customFormat="false" ht="14.25" hidden="true" customHeight="false" outlineLevel="0" collapsed="false">
      <c r="A2340" s="49" t="s">
        <v>2349</v>
      </c>
      <c r="B2340" s="49" t="s">
        <v>2350</v>
      </c>
      <c r="C2340" s="49" t="s">
        <v>5298</v>
      </c>
      <c r="D2340" s="49" t="s">
        <v>2352</v>
      </c>
      <c r="E2340" s="49" t="str">
        <f aca="false">"10074865055175"</f>
        <v>10074865055175</v>
      </c>
      <c r="F2340" s="49" t="s">
        <v>5090</v>
      </c>
      <c r="G2340" s="49" t="n">
        <v>0</v>
      </c>
      <c r="H2340" s="0" t="n">
        <v>0</v>
      </c>
      <c r="M2340" s="51" t="s">
        <v>5280</v>
      </c>
      <c r="N2340" s="49" t="n">
        <v>0</v>
      </c>
      <c r="O2340" s="53" t="n">
        <v>45726.8167824074</v>
      </c>
      <c r="P2340" s="53" t="n">
        <v>45728.8925578704</v>
      </c>
      <c r="Q2340" s="53" t="n">
        <v>45726.8167824074</v>
      </c>
      <c r="R2340" s="0" t="n">
        <v>0</v>
      </c>
      <c r="S2340" s="51" t="s">
        <v>2376</v>
      </c>
      <c r="T2340" s="51" t="s">
        <v>2376</v>
      </c>
      <c r="U2340" s="0" t="str">
        <f aca="false">"10074865055175"</f>
        <v>10074865055175</v>
      </c>
      <c r="V2340" s="51" t="s">
        <v>2365</v>
      </c>
      <c r="W2340" s="51" t="s">
        <v>4525</v>
      </c>
      <c r="X2340" s="51" t="s">
        <v>2359</v>
      </c>
    </row>
    <row r="2341" customFormat="false" ht="14.25" hidden="true" customHeight="false" outlineLevel="0" collapsed="false">
      <c r="A2341" s="49" t="s">
        <v>2349</v>
      </c>
      <c r="B2341" s="49" t="s">
        <v>2350</v>
      </c>
      <c r="C2341" s="49" t="s">
        <v>5299</v>
      </c>
      <c r="D2341" s="49" t="s">
        <v>2352</v>
      </c>
      <c r="E2341" s="49" t="str">
        <f aca="false">"10074865055175"</f>
        <v>10074865055175</v>
      </c>
      <c r="F2341" s="49" t="s">
        <v>5090</v>
      </c>
      <c r="G2341" s="49" t="n">
        <v>0</v>
      </c>
      <c r="H2341" s="0" t="n">
        <v>0</v>
      </c>
      <c r="M2341" s="51" t="s">
        <v>5280</v>
      </c>
      <c r="N2341" s="49" t="n">
        <v>0</v>
      </c>
      <c r="O2341" s="53" t="n">
        <v>45726.8166550926</v>
      </c>
      <c r="P2341" s="53" t="n">
        <v>45728.8928703704</v>
      </c>
      <c r="Q2341" s="53" t="n">
        <v>45726.8166550926</v>
      </c>
      <c r="R2341" s="0" t="n">
        <v>0</v>
      </c>
      <c r="S2341" s="51" t="s">
        <v>2376</v>
      </c>
      <c r="T2341" s="51" t="s">
        <v>2376</v>
      </c>
      <c r="U2341" s="0" t="str">
        <f aca="false">"10074865055175"</f>
        <v>10074865055175</v>
      </c>
      <c r="V2341" s="51" t="s">
        <v>2365</v>
      </c>
      <c r="W2341" s="51" t="s">
        <v>4523</v>
      </c>
      <c r="X2341" s="51" t="s">
        <v>2359</v>
      </c>
    </row>
    <row r="2342" customFormat="false" ht="14.25" hidden="true" customHeight="false" outlineLevel="0" collapsed="false">
      <c r="A2342" s="49" t="s">
        <v>2349</v>
      </c>
      <c r="B2342" s="49" t="s">
        <v>2350</v>
      </c>
      <c r="C2342" s="49" t="s">
        <v>5300</v>
      </c>
      <c r="D2342" s="49" t="s">
        <v>2352</v>
      </c>
      <c r="E2342" s="49" t="str">
        <f aca="false">"10074865055175"</f>
        <v>10074865055175</v>
      </c>
      <c r="F2342" s="49" t="s">
        <v>5090</v>
      </c>
      <c r="G2342" s="49" t="n">
        <v>0</v>
      </c>
      <c r="H2342" s="0" t="n">
        <v>0</v>
      </c>
      <c r="M2342" s="51" t="s">
        <v>5280</v>
      </c>
      <c r="N2342" s="49" t="n">
        <v>0</v>
      </c>
      <c r="O2342" s="53" t="n">
        <v>45726.8165162037</v>
      </c>
      <c r="P2342" s="53" t="n">
        <v>45728.8947106482</v>
      </c>
      <c r="Q2342" s="53" t="n">
        <v>45726.8165162037</v>
      </c>
      <c r="R2342" s="0" t="n">
        <v>0</v>
      </c>
      <c r="S2342" s="51" t="s">
        <v>2376</v>
      </c>
      <c r="T2342" s="51" t="s">
        <v>2376</v>
      </c>
      <c r="U2342" s="0" t="str">
        <f aca="false">"10074865055175"</f>
        <v>10074865055175</v>
      </c>
      <c r="V2342" s="51" t="s">
        <v>2365</v>
      </c>
      <c r="W2342" s="51" t="s">
        <v>4509</v>
      </c>
      <c r="X2342" s="51" t="s">
        <v>2359</v>
      </c>
    </row>
    <row r="2343" customFormat="false" ht="14.25" hidden="true" customHeight="false" outlineLevel="0" collapsed="false">
      <c r="A2343" s="49" t="s">
        <v>2349</v>
      </c>
      <c r="B2343" s="49" t="s">
        <v>2350</v>
      </c>
      <c r="C2343" s="49" t="s">
        <v>5301</v>
      </c>
      <c r="D2343" s="49" t="s">
        <v>2352</v>
      </c>
      <c r="E2343" s="49" t="str">
        <f aca="false">"10074865055175"</f>
        <v>10074865055175</v>
      </c>
      <c r="F2343" s="49" t="s">
        <v>5090</v>
      </c>
      <c r="G2343" s="49" t="n">
        <v>0</v>
      </c>
      <c r="H2343" s="0" t="n">
        <v>0</v>
      </c>
      <c r="M2343" s="51" t="s">
        <v>5280</v>
      </c>
      <c r="N2343" s="49" t="n">
        <v>0</v>
      </c>
      <c r="O2343" s="53" t="n">
        <v>45726.8163888889</v>
      </c>
      <c r="P2343" s="53" t="n">
        <v>45728.8938310185</v>
      </c>
      <c r="Q2343" s="53" t="n">
        <v>45726.8163888889</v>
      </c>
      <c r="R2343" s="0" t="n">
        <v>0</v>
      </c>
      <c r="S2343" s="51" t="s">
        <v>2376</v>
      </c>
      <c r="T2343" s="51" t="s">
        <v>2376</v>
      </c>
      <c r="U2343" s="0" t="str">
        <f aca="false">"10074865055175"</f>
        <v>10074865055175</v>
      </c>
      <c r="V2343" s="51" t="s">
        <v>2365</v>
      </c>
      <c r="W2343" s="51" t="s">
        <v>4505</v>
      </c>
      <c r="X2343" s="51" t="s">
        <v>2359</v>
      </c>
    </row>
    <row r="2344" customFormat="false" ht="14.25" hidden="true" customHeight="false" outlineLevel="0" collapsed="false">
      <c r="A2344" s="49" t="s">
        <v>2349</v>
      </c>
      <c r="B2344" s="49" t="s">
        <v>2350</v>
      </c>
      <c r="C2344" s="49" t="s">
        <v>5302</v>
      </c>
      <c r="D2344" s="49" t="s">
        <v>2352</v>
      </c>
      <c r="E2344" s="49" t="str">
        <f aca="false">"10074865055175"</f>
        <v>10074865055175</v>
      </c>
      <c r="F2344" s="49" t="s">
        <v>5090</v>
      </c>
      <c r="G2344" s="49" t="n">
        <v>0</v>
      </c>
      <c r="H2344" s="0" t="n">
        <v>0</v>
      </c>
      <c r="M2344" s="51" t="s">
        <v>5280</v>
      </c>
      <c r="N2344" s="49" t="n">
        <v>0</v>
      </c>
      <c r="O2344" s="53" t="n">
        <v>45726.8162615741</v>
      </c>
      <c r="P2344" s="53" t="n">
        <v>45728.8956828704</v>
      </c>
      <c r="Q2344" s="53" t="n">
        <v>45726.8162615741</v>
      </c>
      <c r="R2344" s="0" t="n">
        <v>0</v>
      </c>
      <c r="S2344" s="51" t="s">
        <v>2376</v>
      </c>
      <c r="T2344" s="51" t="s">
        <v>2376</v>
      </c>
      <c r="U2344" s="0" t="str">
        <f aca="false">"10074865055175"</f>
        <v>10074865055175</v>
      </c>
      <c r="V2344" s="51" t="s">
        <v>2365</v>
      </c>
      <c r="W2344" s="51" t="s">
        <v>4507</v>
      </c>
      <c r="X2344" s="51" t="s">
        <v>2359</v>
      </c>
    </row>
    <row r="2345" customFormat="false" ht="14.25" hidden="true" customHeight="false" outlineLevel="0" collapsed="false">
      <c r="A2345" s="49" t="s">
        <v>2349</v>
      </c>
      <c r="B2345" s="49" t="s">
        <v>2350</v>
      </c>
      <c r="C2345" s="49" t="s">
        <v>5303</v>
      </c>
      <c r="D2345" s="49" t="s">
        <v>2352</v>
      </c>
      <c r="E2345" s="49" t="str">
        <f aca="false">"10074865055175"</f>
        <v>10074865055175</v>
      </c>
      <c r="F2345" s="49" t="s">
        <v>5090</v>
      </c>
      <c r="G2345" s="49" t="n">
        <v>0</v>
      </c>
      <c r="H2345" s="0" t="n">
        <v>0</v>
      </c>
      <c r="M2345" s="51" t="s">
        <v>5280</v>
      </c>
      <c r="N2345" s="49" t="n">
        <v>0</v>
      </c>
      <c r="O2345" s="53" t="n">
        <v>45726.8160648148</v>
      </c>
      <c r="P2345" s="53" t="n">
        <v>45728.8952430556</v>
      </c>
      <c r="Q2345" s="53" t="n">
        <v>45726.8160648148</v>
      </c>
      <c r="R2345" s="0" t="n">
        <v>0</v>
      </c>
      <c r="S2345" s="51" t="s">
        <v>2376</v>
      </c>
      <c r="T2345" s="51" t="s">
        <v>2376</v>
      </c>
      <c r="U2345" s="0" t="str">
        <f aca="false">"10074865055175"</f>
        <v>10074865055175</v>
      </c>
      <c r="V2345" s="51" t="s">
        <v>2365</v>
      </c>
      <c r="W2345" s="51" t="s">
        <v>4531</v>
      </c>
      <c r="X2345" s="51" t="s">
        <v>2359</v>
      </c>
    </row>
    <row r="2346" customFormat="false" ht="14.25" hidden="true" customHeight="false" outlineLevel="0" collapsed="false">
      <c r="A2346" s="49" t="s">
        <v>2349</v>
      </c>
      <c r="B2346" s="49" t="s">
        <v>2350</v>
      </c>
      <c r="C2346" s="49" t="s">
        <v>5304</v>
      </c>
      <c r="D2346" s="49" t="s">
        <v>2352</v>
      </c>
      <c r="E2346" s="49" t="str">
        <f aca="false">"10074865055175"</f>
        <v>10074865055175</v>
      </c>
      <c r="F2346" s="49" t="s">
        <v>5090</v>
      </c>
      <c r="G2346" s="49" t="n">
        <v>0</v>
      </c>
      <c r="H2346" s="0" t="n">
        <v>0</v>
      </c>
      <c r="M2346" s="51" t="s">
        <v>5280</v>
      </c>
      <c r="N2346" s="49" t="n">
        <v>0</v>
      </c>
      <c r="O2346" s="53" t="n">
        <v>45726.8159259259</v>
      </c>
      <c r="P2346" s="53" t="n">
        <v>45728.8966782407</v>
      </c>
      <c r="Q2346" s="53" t="n">
        <v>45726.8159259259</v>
      </c>
      <c r="R2346" s="0" t="n">
        <v>0</v>
      </c>
      <c r="S2346" s="51" t="s">
        <v>2376</v>
      </c>
      <c r="T2346" s="51" t="s">
        <v>2376</v>
      </c>
      <c r="U2346" s="0" t="str">
        <f aca="false">"10074865055175"</f>
        <v>10074865055175</v>
      </c>
      <c r="V2346" s="51" t="s">
        <v>2365</v>
      </c>
      <c r="W2346" s="51" t="s">
        <v>5305</v>
      </c>
      <c r="X2346" s="51" t="s">
        <v>2359</v>
      </c>
    </row>
    <row r="2347" customFormat="false" ht="14.25" hidden="true" customHeight="false" outlineLevel="0" collapsed="false">
      <c r="A2347" s="49" t="s">
        <v>2349</v>
      </c>
      <c r="B2347" s="49" t="s">
        <v>2350</v>
      </c>
      <c r="C2347" s="49" t="s">
        <v>5306</v>
      </c>
      <c r="D2347" s="49" t="s">
        <v>2352</v>
      </c>
      <c r="E2347" s="49" t="str">
        <f aca="false">"10074865055175"</f>
        <v>10074865055175</v>
      </c>
      <c r="F2347" s="49" t="s">
        <v>5090</v>
      </c>
      <c r="G2347" s="49" t="n">
        <v>0</v>
      </c>
      <c r="H2347" s="0" t="n">
        <v>0</v>
      </c>
      <c r="M2347" s="51" t="s">
        <v>5280</v>
      </c>
      <c r="N2347" s="49" t="n">
        <v>0</v>
      </c>
      <c r="O2347" s="53" t="n">
        <v>45726.8158101852</v>
      </c>
      <c r="P2347" s="53" t="n">
        <v>45728.8962268519</v>
      </c>
      <c r="Q2347" s="53" t="n">
        <v>45726.8158101852</v>
      </c>
      <c r="R2347" s="0" t="n">
        <v>0</v>
      </c>
      <c r="S2347" s="51" t="s">
        <v>2376</v>
      </c>
      <c r="T2347" s="51" t="s">
        <v>2376</v>
      </c>
      <c r="U2347" s="0" t="str">
        <f aca="false">"10074865055175"</f>
        <v>10074865055175</v>
      </c>
      <c r="V2347" s="51" t="s">
        <v>2365</v>
      </c>
      <c r="W2347" s="51" t="s">
        <v>5307</v>
      </c>
      <c r="X2347" s="51" t="s">
        <v>2359</v>
      </c>
    </row>
    <row r="2348" customFormat="false" ht="14.25" hidden="true" customHeight="false" outlineLevel="0" collapsed="false">
      <c r="A2348" s="49" t="s">
        <v>2349</v>
      </c>
      <c r="B2348" s="49" t="s">
        <v>2350</v>
      </c>
      <c r="C2348" s="49" t="s">
        <v>5308</v>
      </c>
      <c r="D2348" s="49" t="s">
        <v>2352</v>
      </c>
      <c r="E2348" s="49" t="str">
        <f aca="false">"10074865055175"</f>
        <v>10074865055175</v>
      </c>
      <c r="F2348" s="49" t="s">
        <v>5090</v>
      </c>
      <c r="G2348" s="49" t="n">
        <v>0</v>
      </c>
      <c r="H2348" s="0" t="n">
        <v>0</v>
      </c>
      <c r="M2348" s="51" t="s">
        <v>5280</v>
      </c>
      <c r="N2348" s="49" t="n">
        <v>0</v>
      </c>
      <c r="O2348" s="53" t="n">
        <v>45726.8156828704</v>
      </c>
      <c r="P2348" s="53" t="n">
        <v>45728.8977546296</v>
      </c>
      <c r="Q2348" s="53" t="n">
        <v>45726.8156828704</v>
      </c>
      <c r="R2348" s="0" t="n">
        <v>0</v>
      </c>
      <c r="S2348" s="51" t="s">
        <v>2376</v>
      </c>
      <c r="T2348" s="51" t="s">
        <v>2376</v>
      </c>
      <c r="U2348" s="0" t="str">
        <f aca="false">"10074865055175"</f>
        <v>10074865055175</v>
      </c>
      <c r="V2348" s="51" t="s">
        <v>2365</v>
      </c>
      <c r="W2348" s="51" t="s">
        <v>5309</v>
      </c>
      <c r="X2348" s="51" t="s">
        <v>2359</v>
      </c>
    </row>
    <row r="2349" customFormat="false" ht="14.25" hidden="true" customHeight="false" outlineLevel="0" collapsed="false">
      <c r="A2349" s="49" t="s">
        <v>2349</v>
      </c>
      <c r="B2349" s="49" t="s">
        <v>2350</v>
      </c>
      <c r="C2349" s="49" t="s">
        <v>5310</v>
      </c>
      <c r="D2349" s="49" t="s">
        <v>2352</v>
      </c>
      <c r="E2349" s="49" t="str">
        <f aca="false">"10074865055175"</f>
        <v>10074865055175</v>
      </c>
      <c r="F2349" s="49" t="s">
        <v>5090</v>
      </c>
      <c r="G2349" s="49" t="n">
        <v>0</v>
      </c>
      <c r="H2349" s="0" t="n">
        <v>0</v>
      </c>
      <c r="M2349" s="51" t="s">
        <v>5280</v>
      </c>
      <c r="N2349" s="49" t="n">
        <v>0</v>
      </c>
      <c r="O2349" s="53" t="n">
        <v>45726.8155092593</v>
      </c>
      <c r="P2349" s="53" t="n">
        <v>45728.8972453704</v>
      </c>
      <c r="Q2349" s="53" t="n">
        <v>45726.8155092593</v>
      </c>
      <c r="R2349" s="0" t="n">
        <v>0</v>
      </c>
      <c r="S2349" s="51" t="s">
        <v>2376</v>
      </c>
      <c r="T2349" s="51" t="s">
        <v>2376</v>
      </c>
      <c r="U2349" s="0" t="str">
        <f aca="false">"10074865055175"</f>
        <v>10074865055175</v>
      </c>
      <c r="V2349" s="51" t="s">
        <v>2365</v>
      </c>
      <c r="W2349" s="51" t="s">
        <v>5311</v>
      </c>
      <c r="X2349" s="51" t="s">
        <v>2359</v>
      </c>
    </row>
    <row r="2350" customFormat="false" ht="14.25" hidden="true" customHeight="false" outlineLevel="0" collapsed="false">
      <c r="A2350" s="49" t="s">
        <v>2349</v>
      </c>
      <c r="B2350" s="49" t="s">
        <v>2350</v>
      </c>
      <c r="C2350" s="49" t="s">
        <v>5312</v>
      </c>
      <c r="D2350" s="49" t="s">
        <v>2352</v>
      </c>
      <c r="E2350" s="49" t="s">
        <v>4148</v>
      </c>
      <c r="F2350" s="49" t="s">
        <v>4149</v>
      </c>
      <c r="G2350" s="49" t="n">
        <v>0</v>
      </c>
      <c r="H2350" s="0" t="n">
        <v>0</v>
      </c>
      <c r="M2350" s="51" t="s">
        <v>5313</v>
      </c>
      <c r="N2350" s="49" t="n">
        <v>0</v>
      </c>
      <c r="O2350" s="53" t="n">
        <v>45727.4005671296</v>
      </c>
      <c r="P2350" s="53" t="n">
        <v>45755.3525925926</v>
      </c>
      <c r="Q2350" s="53" t="n">
        <v>45727.4005671296</v>
      </c>
      <c r="R2350" s="0" t="n">
        <v>0</v>
      </c>
      <c r="S2350" s="51" t="s">
        <v>2356</v>
      </c>
      <c r="T2350" s="51" t="s">
        <v>2356</v>
      </c>
      <c r="U2350" s="51" t="s">
        <v>4148</v>
      </c>
      <c r="V2350" s="51" t="s">
        <v>2365</v>
      </c>
      <c r="W2350" s="51" t="s">
        <v>3687</v>
      </c>
      <c r="X2350" s="51" t="s">
        <v>2359</v>
      </c>
    </row>
    <row r="2351" customFormat="false" ht="14.25" hidden="true" customHeight="false" outlineLevel="0" collapsed="false">
      <c r="A2351" s="49" t="s">
        <v>2349</v>
      </c>
      <c r="B2351" s="49" t="s">
        <v>2350</v>
      </c>
      <c r="C2351" s="49" t="s">
        <v>5314</v>
      </c>
      <c r="D2351" s="49" t="s">
        <v>2352</v>
      </c>
      <c r="E2351" s="49" t="s">
        <v>4148</v>
      </c>
      <c r="F2351" s="49" t="s">
        <v>4149</v>
      </c>
      <c r="G2351" s="49" t="n">
        <v>0</v>
      </c>
      <c r="H2351" s="0" t="n">
        <v>0</v>
      </c>
      <c r="M2351" s="51" t="s">
        <v>5313</v>
      </c>
      <c r="N2351" s="49" t="n">
        <v>0</v>
      </c>
      <c r="O2351" s="53" t="n">
        <v>45727.4005787037</v>
      </c>
      <c r="P2351" s="53" t="n">
        <v>45777.6231481481</v>
      </c>
      <c r="Q2351" s="53" t="n">
        <v>45727.4005787037</v>
      </c>
      <c r="R2351" s="0" t="n">
        <v>0</v>
      </c>
      <c r="S2351" s="51" t="s">
        <v>2356</v>
      </c>
      <c r="T2351" s="51" t="s">
        <v>2356</v>
      </c>
      <c r="U2351" s="51" t="s">
        <v>4148</v>
      </c>
      <c r="V2351" s="51" t="s">
        <v>2365</v>
      </c>
      <c r="W2351" s="51" t="s">
        <v>5315</v>
      </c>
      <c r="X2351" s="51" t="s">
        <v>2359</v>
      </c>
    </row>
    <row r="2352" customFormat="false" ht="14.25" hidden="true" customHeight="false" outlineLevel="0" collapsed="false">
      <c r="A2352" s="49" t="s">
        <v>2349</v>
      </c>
      <c r="B2352" s="49" t="s">
        <v>2350</v>
      </c>
      <c r="C2352" s="49" t="s">
        <v>5316</v>
      </c>
      <c r="D2352" s="49" t="s">
        <v>2352</v>
      </c>
      <c r="E2352" s="49" t="s">
        <v>4148</v>
      </c>
      <c r="F2352" s="49" t="s">
        <v>4149</v>
      </c>
      <c r="G2352" s="49" t="n">
        <v>0</v>
      </c>
      <c r="H2352" s="0" t="n">
        <v>0</v>
      </c>
      <c r="M2352" s="51" t="s">
        <v>5313</v>
      </c>
      <c r="N2352" s="49" t="n">
        <v>0</v>
      </c>
      <c r="O2352" s="53" t="n">
        <v>45727.4006018519</v>
      </c>
      <c r="P2352" s="53" t="n">
        <v>45867.589537037</v>
      </c>
      <c r="Q2352" s="53" t="n">
        <v>45727.4006018519</v>
      </c>
      <c r="R2352" s="0" t="n">
        <v>0</v>
      </c>
      <c r="S2352" s="51" t="s">
        <v>2356</v>
      </c>
      <c r="T2352" s="51" t="s">
        <v>2356</v>
      </c>
      <c r="U2352" s="51" t="s">
        <v>4148</v>
      </c>
      <c r="V2352" s="51" t="s">
        <v>2365</v>
      </c>
      <c r="W2352" s="51" t="s">
        <v>5317</v>
      </c>
      <c r="X2352" s="51" t="s">
        <v>2359</v>
      </c>
    </row>
    <row r="2353" customFormat="false" ht="14.25" hidden="true" customHeight="false" outlineLevel="0" collapsed="false">
      <c r="A2353" s="49" t="s">
        <v>2349</v>
      </c>
      <c r="B2353" s="49" t="s">
        <v>2350</v>
      </c>
      <c r="C2353" s="49" t="s">
        <v>5318</v>
      </c>
      <c r="D2353" s="49" t="s">
        <v>2352</v>
      </c>
      <c r="E2353" s="49" t="s">
        <v>4124</v>
      </c>
      <c r="F2353" s="49" t="s">
        <v>4125</v>
      </c>
      <c r="G2353" s="49" t="n">
        <v>0</v>
      </c>
      <c r="H2353" s="0" t="n">
        <v>0</v>
      </c>
      <c r="M2353" s="51" t="s">
        <v>5313</v>
      </c>
      <c r="N2353" s="49" t="n">
        <v>0</v>
      </c>
      <c r="O2353" s="53" t="n">
        <v>45727.400625</v>
      </c>
      <c r="P2353" s="53" t="n">
        <v>45789.5568171296</v>
      </c>
      <c r="Q2353" s="53" t="n">
        <v>45727.400625</v>
      </c>
      <c r="R2353" s="0" t="n">
        <v>0</v>
      </c>
      <c r="S2353" s="51" t="s">
        <v>2356</v>
      </c>
      <c r="T2353" s="51" t="s">
        <v>2356</v>
      </c>
      <c r="U2353" s="51" t="s">
        <v>4124</v>
      </c>
      <c r="V2353" s="51" t="s">
        <v>2365</v>
      </c>
      <c r="W2353" s="51" t="s">
        <v>5319</v>
      </c>
      <c r="X2353" s="51" t="s">
        <v>2359</v>
      </c>
    </row>
    <row r="2354" customFormat="false" ht="14.25" hidden="true" customHeight="false" outlineLevel="0" collapsed="false">
      <c r="A2354" s="49" t="s">
        <v>2349</v>
      </c>
      <c r="B2354" s="49" t="s">
        <v>2350</v>
      </c>
      <c r="C2354" s="49" t="s">
        <v>5320</v>
      </c>
      <c r="D2354" s="49" t="s">
        <v>2352</v>
      </c>
      <c r="E2354" s="49" t="s">
        <v>4124</v>
      </c>
      <c r="F2354" s="49" t="s">
        <v>4125</v>
      </c>
      <c r="G2354" s="49" t="n">
        <v>0</v>
      </c>
      <c r="H2354" s="0" t="n">
        <v>0</v>
      </c>
      <c r="M2354" s="51" t="s">
        <v>5313</v>
      </c>
      <c r="N2354" s="49" t="n">
        <v>0</v>
      </c>
      <c r="O2354" s="53" t="n">
        <v>45727.4006481482</v>
      </c>
      <c r="P2354" s="53" t="n">
        <v>45799.6431712963</v>
      </c>
      <c r="Q2354" s="53" t="n">
        <v>45727.4006481482</v>
      </c>
      <c r="R2354" s="0" t="n">
        <v>0</v>
      </c>
      <c r="S2354" s="51" t="s">
        <v>2356</v>
      </c>
      <c r="T2354" s="51" t="s">
        <v>2356</v>
      </c>
      <c r="U2354" s="51" t="s">
        <v>4124</v>
      </c>
      <c r="V2354" s="51" t="s">
        <v>2365</v>
      </c>
      <c r="W2354" s="51" t="s">
        <v>4601</v>
      </c>
      <c r="X2354" s="51" t="s">
        <v>2359</v>
      </c>
    </row>
    <row r="2355" customFormat="false" ht="14.25" hidden="true" customHeight="false" outlineLevel="0" collapsed="false">
      <c r="A2355" s="49" t="s">
        <v>2349</v>
      </c>
      <c r="B2355" s="49" t="s">
        <v>2350</v>
      </c>
      <c r="C2355" s="49" t="s">
        <v>5321</v>
      </c>
      <c r="D2355" s="49" t="s">
        <v>2352</v>
      </c>
      <c r="E2355" s="49" t="s">
        <v>4115</v>
      </c>
      <c r="F2355" s="49" t="s">
        <v>4116</v>
      </c>
      <c r="G2355" s="49" t="n">
        <v>0</v>
      </c>
      <c r="H2355" s="0" t="n">
        <v>0</v>
      </c>
      <c r="M2355" s="51" t="s">
        <v>5313</v>
      </c>
      <c r="N2355" s="49" t="n">
        <v>0</v>
      </c>
      <c r="O2355" s="53" t="n">
        <v>45727.4006828704</v>
      </c>
      <c r="P2355" s="53" t="n">
        <v>45732.3906944444</v>
      </c>
      <c r="Q2355" s="53" t="n">
        <v>45727.4006828704</v>
      </c>
      <c r="R2355" s="0" t="n">
        <v>0</v>
      </c>
      <c r="S2355" s="51" t="s">
        <v>2356</v>
      </c>
      <c r="T2355" s="51" t="s">
        <v>2356</v>
      </c>
      <c r="U2355" s="51" t="s">
        <v>4115</v>
      </c>
      <c r="V2355" s="51" t="s">
        <v>2365</v>
      </c>
      <c r="W2355" s="51" t="s">
        <v>5322</v>
      </c>
      <c r="X2355" s="51" t="s">
        <v>2359</v>
      </c>
    </row>
    <row r="2356" customFormat="false" ht="14.25" hidden="true" customHeight="false" outlineLevel="0" collapsed="false">
      <c r="A2356" s="49" t="s">
        <v>2349</v>
      </c>
      <c r="B2356" s="49" t="s">
        <v>2350</v>
      </c>
      <c r="C2356" s="49" t="s">
        <v>5323</v>
      </c>
      <c r="D2356" s="49" t="s">
        <v>2352</v>
      </c>
      <c r="E2356" s="49" t="s">
        <v>4115</v>
      </c>
      <c r="F2356" s="49" t="s">
        <v>4116</v>
      </c>
      <c r="G2356" s="49" t="n">
        <v>0</v>
      </c>
      <c r="H2356" s="0" t="n">
        <v>0</v>
      </c>
      <c r="M2356" s="51" t="s">
        <v>5313</v>
      </c>
      <c r="N2356" s="49" t="n">
        <v>0</v>
      </c>
      <c r="O2356" s="53" t="n">
        <v>45727.4007060185</v>
      </c>
      <c r="P2356" s="53" t="n">
        <v>45777.3107523148</v>
      </c>
      <c r="Q2356" s="53" t="n">
        <v>45727.4007060185</v>
      </c>
      <c r="R2356" s="0" t="n">
        <v>0</v>
      </c>
      <c r="S2356" s="51" t="s">
        <v>2356</v>
      </c>
      <c r="T2356" s="51" t="s">
        <v>2356</v>
      </c>
      <c r="U2356" s="51" t="s">
        <v>4115</v>
      </c>
      <c r="V2356" s="51" t="s">
        <v>2365</v>
      </c>
      <c r="W2356" s="51" t="s">
        <v>5324</v>
      </c>
      <c r="X2356" s="51" t="s">
        <v>2359</v>
      </c>
    </row>
    <row r="2357" customFormat="false" ht="14.25" hidden="true" customHeight="false" outlineLevel="0" collapsed="false">
      <c r="A2357" s="49" t="s">
        <v>2349</v>
      </c>
      <c r="B2357" s="49" t="s">
        <v>2350</v>
      </c>
      <c r="C2357" s="49" t="s">
        <v>5325</v>
      </c>
      <c r="D2357" s="49" t="s">
        <v>2352</v>
      </c>
      <c r="E2357" s="49" t="s">
        <v>4140</v>
      </c>
      <c r="F2357" s="49" t="s">
        <v>4141</v>
      </c>
      <c r="G2357" s="49" t="n">
        <v>0</v>
      </c>
      <c r="H2357" s="0" t="n">
        <v>0</v>
      </c>
      <c r="M2357" s="51" t="s">
        <v>5313</v>
      </c>
      <c r="N2357" s="49" t="n">
        <v>0</v>
      </c>
      <c r="O2357" s="53" t="n">
        <v>45727.4007291667</v>
      </c>
      <c r="P2357" s="53" t="n">
        <v>45732.9228009259</v>
      </c>
      <c r="Q2357" s="53" t="n">
        <v>45727.4007291667</v>
      </c>
      <c r="R2357" s="0" t="n">
        <v>0</v>
      </c>
      <c r="S2357" s="51" t="s">
        <v>2356</v>
      </c>
      <c r="T2357" s="51" t="s">
        <v>2356</v>
      </c>
      <c r="U2357" s="51" t="s">
        <v>4140</v>
      </c>
      <c r="V2357" s="51" t="s">
        <v>3740</v>
      </c>
      <c r="W2357" s="51" t="s">
        <v>4607</v>
      </c>
      <c r="X2357" s="51" t="s">
        <v>2359</v>
      </c>
    </row>
    <row r="2358" customFormat="false" ht="14.25" hidden="true" customHeight="false" outlineLevel="0" collapsed="false">
      <c r="A2358" s="49" t="s">
        <v>2349</v>
      </c>
      <c r="B2358" s="49" t="s">
        <v>2350</v>
      </c>
      <c r="C2358" s="49" t="s">
        <v>5326</v>
      </c>
      <c r="D2358" s="49" t="s">
        <v>2352</v>
      </c>
      <c r="E2358" s="49" t="s">
        <v>4140</v>
      </c>
      <c r="F2358" s="49" t="s">
        <v>4141</v>
      </c>
      <c r="G2358" s="49" t="n">
        <v>0</v>
      </c>
      <c r="H2358" s="0" t="n">
        <v>0</v>
      </c>
      <c r="M2358" s="51" t="s">
        <v>5313</v>
      </c>
      <c r="N2358" s="49" t="n">
        <v>0</v>
      </c>
      <c r="O2358" s="53" t="n">
        <v>45727.4007638889</v>
      </c>
      <c r="P2358" s="53" t="n">
        <v>45808.5336226852</v>
      </c>
      <c r="Q2358" s="53" t="n">
        <v>45727.4007638889</v>
      </c>
      <c r="R2358" s="0" t="n">
        <v>0</v>
      </c>
      <c r="S2358" s="51" t="s">
        <v>2356</v>
      </c>
      <c r="T2358" s="51" t="s">
        <v>2356</v>
      </c>
      <c r="U2358" s="51" t="s">
        <v>4140</v>
      </c>
      <c r="V2358" s="51" t="s">
        <v>3740</v>
      </c>
      <c r="W2358" s="51" t="s">
        <v>4359</v>
      </c>
      <c r="X2358" s="51" t="s">
        <v>2359</v>
      </c>
    </row>
    <row r="2359" customFormat="false" ht="14.25" hidden="true" customHeight="false" outlineLevel="0" collapsed="false">
      <c r="A2359" s="49" t="s">
        <v>2349</v>
      </c>
      <c r="B2359" s="49" t="s">
        <v>2350</v>
      </c>
      <c r="C2359" s="49" t="s">
        <v>5327</v>
      </c>
      <c r="D2359" s="49" t="s">
        <v>2352</v>
      </c>
      <c r="E2359" s="49" t="s">
        <v>4140</v>
      </c>
      <c r="F2359" s="49" t="s">
        <v>4141</v>
      </c>
      <c r="G2359" s="49" t="n">
        <v>0</v>
      </c>
      <c r="H2359" s="0" t="n">
        <v>0</v>
      </c>
      <c r="M2359" s="51" t="s">
        <v>5313</v>
      </c>
      <c r="N2359" s="49" t="n">
        <v>0</v>
      </c>
      <c r="O2359" s="53" t="n">
        <v>45789.3368518519</v>
      </c>
      <c r="P2359" s="53" t="n">
        <v>45808.5336805556</v>
      </c>
      <c r="R2359" s="0" t="n">
        <v>0</v>
      </c>
      <c r="T2359" s="51" t="s">
        <v>2356</v>
      </c>
      <c r="U2359" s="51" t="s">
        <v>4140</v>
      </c>
      <c r="V2359" s="51" t="s">
        <v>3740</v>
      </c>
      <c r="W2359" s="51" t="s">
        <v>5324</v>
      </c>
      <c r="X2359" s="51" t="s">
        <v>2359</v>
      </c>
    </row>
    <row r="2360" customFormat="false" ht="14.25" hidden="true" customHeight="false" outlineLevel="0" collapsed="false">
      <c r="A2360" s="49" t="s">
        <v>2349</v>
      </c>
      <c r="B2360" s="49" t="s">
        <v>2350</v>
      </c>
      <c r="C2360" s="49" t="s">
        <v>5328</v>
      </c>
      <c r="D2360" s="49" t="s">
        <v>2352</v>
      </c>
      <c r="E2360" s="49" t="s">
        <v>4140</v>
      </c>
      <c r="F2360" s="49" t="s">
        <v>4141</v>
      </c>
      <c r="G2360" s="49" t="n">
        <v>0</v>
      </c>
      <c r="H2360" s="0" t="n">
        <v>0</v>
      </c>
      <c r="M2360" s="51" t="s">
        <v>5313</v>
      </c>
      <c r="N2360" s="49" t="n">
        <v>0</v>
      </c>
      <c r="O2360" s="53" t="n">
        <v>45789.3385532407</v>
      </c>
      <c r="P2360" s="53" t="n">
        <v>45808.5350231482</v>
      </c>
      <c r="R2360" s="0" t="n">
        <v>0</v>
      </c>
      <c r="T2360" s="51" t="s">
        <v>2356</v>
      </c>
      <c r="U2360" s="51" t="s">
        <v>4140</v>
      </c>
      <c r="V2360" s="51" t="s">
        <v>3740</v>
      </c>
      <c r="W2360" s="51" t="s">
        <v>5324</v>
      </c>
      <c r="X2360" s="51" t="s">
        <v>2359</v>
      </c>
    </row>
    <row r="2361" customFormat="false" ht="14.25" hidden="true" customHeight="false" outlineLevel="0" collapsed="false">
      <c r="A2361" s="49" t="s">
        <v>2349</v>
      </c>
      <c r="B2361" s="49" t="s">
        <v>2350</v>
      </c>
      <c r="C2361" s="49" t="s">
        <v>5329</v>
      </c>
      <c r="D2361" s="49" t="s">
        <v>2352</v>
      </c>
      <c r="E2361" s="49" t="s">
        <v>3751</v>
      </c>
      <c r="F2361" s="49" t="s">
        <v>3752</v>
      </c>
      <c r="G2361" s="49" t="n">
        <v>0</v>
      </c>
      <c r="H2361" s="0" t="n">
        <v>0</v>
      </c>
      <c r="M2361" s="51" t="s">
        <v>5330</v>
      </c>
      <c r="N2361" s="49" t="n">
        <v>0</v>
      </c>
      <c r="O2361" s="53" t="n">
        <v>45727.5991087963</v>
      </c>
      <c r="P2361" s="53" t="n">
        <v>45731.6507638889</v>
      </c>
      <c r="Q2361" s="53" t="n">
        <v>45727.5991087963</v>
      </c>
      <c r="R2361" s="0" t="n">
        <v>0</v>
      </c>
      <c r="S2361" s="51" t="s">
        <v>2356</v>
      </c>
      <c r="T2361" s="51" t="s">
        <v>2356</v>
      </c>
      <c r="U2361" s="51" t="s">
        <v>3751</v>
      </c>
      <c r="V2361" s="51" t="s">
        <v>2357</v>
      </c>
      <c r="W2361" s="51" t="s">
        <v>5331</v>
      </c>
      <c r="X2361" s="51" t="s">
        <v>2359</v>
      </c>
    </row>
    <row r="2362" customFormat="false" ht="14.25" hidden="true" customHeight="false" outlineLevel="0" collapsed="false">
      <c r="A2362" s="49" t="s">
        <v>2349</v>
      </c>
      <c r="B2362" s="49" t="s">
        <v>2350</v>
      </c>
      <c r="C2362" s="49" t="s">
        <v>5332</v>
      </c>
      <c r="D2362" s="49" t="s">
        <v>2352</v>
      </c>
      <c r="E2362" s="49" t="str">
        <f aca="false">"5060458890191"</f>
        <v>5060458890191</v>
      </c>
      <c r="F2362" s="49" t="s">
        <v>3656</v>
      </c>
      <c r="G2362" s="49" t="n">
        <v>0</v>
      </c>
      <c r="H2362" s="0" t="n">
        <v>0</v>
      </c>
      <c r="M2362" s="51" t="s">
        <v>5333</v>
      </c>
      <c r="N2362" s="49" t="n">
        <v>0</v>
      </c>
      <c r="O2362" s="53" t="n">
        <v>45728.4451157407</v>
      </c>
      <c r="P2362" s="53" t="n">
        <v>45757.7280787037</v>
      </c>
      <c r="Q2362" s="53" t="n">
        <v>45728.4451157407</v>
      </c>
      <c r="R2362" s="0" t="n">
        <v>0</v>
      </c>
      <c r="S2362" s="51" t="s">
        <v>2376</v>
      </c>
      <c r="T2362" s="51" t="s">
        <v>2376</v>
      </c>
      <c r="U2362" s="0" t="str">
        <f aca="false">"5060458890191"</f>
        <v>5060458890191</v>
      </c>
      <c r="V2362" s="51" t="s">
        <v>2142</v>
      </c>
      <c r="W2362" s="51" t="s">
        <v>5334</v>
      </c>
      <c r="X2362" s="51" t="s">
        <v>2359</v>
      </c>
    </row>
    <row r="2363" customFormat="false" ht="14.25" hidden="true" customHeight="false" outlineLevel="0" collapsed="false">
      <c r="A2363" s="49" t="s">
        <v>2349</v>
      </c>
      <c r="B2363" s="49" t="s">
        <v>2350</v>
      </c>
      <c r="C2363" s="49" t="s">
        <v>5335</v>
      </c>
      <c r="D2363" s="49" t="s">
        <v>2352</v>
      </c>
      <c r="E2363" s="49" t="str">
        <f aca="false">"5060458890191"</f>
        <v>5060458890191</v>
      </c>
      <c r="F2363" s="49" t="s">
        <v>3656</v>
      </c>
      <c r="G2363" s="49" t="n">
        <v>0</v>
      </c>
      <c r="H2363" s="0" t="n">
        <v>0</v>
      </c>
      <c r="M2363" s="51" t="s">
        <v>5333</v>
      </c>
      <c r="N2363" s="49" t="n">
        <v>0</v>
      </c>
      <c r="O2363" s="53" t="n">
        <v>45728.444837963</v>
      </c>
      <c r="P2363" s="53" t="n">
        <v>45750.6209375</v>
      </c>
      <c r="Q2363" s="53" t="n">
        <v>45728.444837963</v>
      </c>
      <c r="R2363" s="0" t="n">
        <v>0</v>
      </c>
      <c r="S2363" s="51" t="s">
        <v>2376</v>
      </c>
      <c r="T2363" s="51" t="s">
        <v>2376</v>
      </c>
      <c r="U2363" s="0" t="str">
        <f aca="false">"5060458890191"</f>
        <v>5060458890191</v>
      </c>
      <c r="V2363" s="51" t="s">
        <v>2142</v>
      </c>
      <c r="W2363" s="51" t="s">
        <v>5336</v>
      </c>
      <c r="X2363" s="51" t="s">
        <v>2359</v>
      </c>
    </row>
    <row r="2364" customFormat="false" ht="14.25" hidden="true" customHeight="false" outlineLevel="0" collapsed="false">
      <c r="A2364" s="49" t="s">
        <v>2349</v>
      </c>
      <c r="B2364" s="49" t="s">
        <v>2350</v>
      </c>
      <c r="C2364" s="49" t="s">
        <v>5337</v>
      </c>
      <c r="D2364" s="49" t="s">
        <v>2352</v>
      </c>
      <c r="E2364" s="49" t="str">
        <f aca="false">"5060458890191"</f>
        <v>5060458890191</v>
      </c>
      <c r="F2364" s="49" t="s">
        <v>3656</v>
      </c>
      <c r="G2364" s="49" t="n">
        <v>0</v>
      </c>
      <c r="H2364" s="0" t="n">
        <v>0</v>
      </c>
      <c r="M2364" s="51" t="s">
        <v>5333</v>
      </c>
      <c r="N2364" s="49" t="n">
        <v>0</v>
      </c>
      <c r="O2364" s="53" t="n">
        <v>45728.4446180556</v>
      </c>
      <c r="P2364" s="53" t="n">
        <v>45750.5900810185</v>
      </c>
      <c r="Q2364" s="53" t="n">
        <v>45728.4446180556</v>
      </c>
      <c r="R2364" s="0" t="n">
        <v>0</v>
      </c>
      <c r="S2364" s="51" t="s">
        <v>2376</v>
      </c>
      <c r="T2364" s="51" t="s">
        <v>2376</v>
      </c>
      <c r="U2364" s="0" t="str">
        <f aca="false">"5060458890191"</f>
        <v>5060458890191</v>
      </c>
      <c r="V2364" s="51" t="s">
        <v>2142</v>
      </c>
      <c r="W2364" s="51" t="s">
        <v>5338</v>
      </c>
      <c r="X2364" s="51" t="s">
        <v>2359</v>
      </c>
    </row>
    <row r="2365" customFormat="false" ht="14.25" hidden="true" customHeight="false" outlineLevel="0" collapsed="false">
      <c r="A2365" s="49" t="s">
        <v>2349</v>
      </c>
      <c r="B2365" s="49" t="s">
        <v>2350</v>
      </c>
      <c r="C2365" s="49" t="s">
        <v>5339</v>
      </c>
      <c r="D2365" s="49" t="s">
        <v>2352</v>
      </c>
      <c r="E2365" s="49" t="str">
        <f aca="false">"5060458890191"</f>
        <v>5060458890191</v>
      </c>
      <c r="F2365" s="49" t="s">
        <v>3656</v>
      </c>
      <c r="G2365" s="49" t="n">
        <v>0</v>
      </c>
      <c r="H2365" s="0" t="n">
        <v>0</v>
      </c>
      <c r="M2365" s="51" t="s">
        <v>5333</v>
      </c>
      <c r="N2365" s="49" t="n">
        <v>0</v>
      </c>
      <c r="O2365" s="53" t="n">
        <v>45728.4438773148</v>
      </c>
      <c r="P2365" s="53" t="n">
        <v>45750.5906712963</v>
      </c>
      <c r="Q2365" s="53" t="n">
        <v>45728.4438773148</v>
      </c>
      <c r="R2365" s="0" t="n">
        <v>0</v>
      </c>
      <c r="S2365" s="51" t="s">
        <v>2376</v>
      </c>
      <c r="T2365" s="51" t="s">
        <v>2376</v>
      </c>
      <c r="U2365" s="0" t="str">
        <f aca="false">"5060458890191"</f>
        <v>5060458890191</v>
      </c>
      <c r="V2365" s="51" t="s">
        <v>2142</v>
      </c>
      <c r="W2365" s="51" t="s">
        <v>5340</v>
      </c>
      <c r="X2365" s="51" t="s">
        <v>2359</v>
      </c>
    </row>
    <row r="2366" customFormat="false" ht="14.25" hidden="true" customHeight="false" outlineLevel="0" collapsed="false">
      <c r="A2366" s="49" t="s">
        <v>2349</v>
      </c>
      <c r="B2366" s="49" t="s">
        <v>2350</v>
      </c>
      <c r="C2366" s="49" t="s">
        <v>5341</v>
      </c>
      <c r="D2366" s="49" t="s">
        <v>2352</v>
      </c>
      <c r="E2366" s="49" t="str">
        <f aca="false">"5060458890191"</f>
        <v>5060458890191</v>
      </c>
      <c r="F2366" s="49" t="s">
        <v>3656</v>
      </c>
      <c r="G2366" s="49" t="n">
        <v>0</v>
      </c>
      <c r="H2366" s="0" t="n">
        <v>0</v>
      </c>
      <c r="M2366" s="51" t="s">
        <v>5333</v>
      </c>
      <c r="N2366" s="49" t="n">
        <v>0</v>
      </c>
      <c r="O2366" s="53" t="n">
        <v>45728.4432291667</v>
      </c>
      <c r="P2366" s="53" t="n">
        <v>45757.7284837963</v>
      </c>
      <c r="Q2366" s="53" t="n">
        <v>45728.4432291667</v>
      </c>
      <c r="R2366" s="0" t="n">
        <v>0</v>
      </c>
      <c r="S2366" s="51" t="s">
        <v>2376</v>
      </c>
      <c r="T2366" s="51" t="s">
        <v>2376</v>
      </c>
      <c r="U2366" s="0" t="str">
        <f aca="false">"5060458890191"</f>
        <v>5060458890191</v>
      </c>
      <c r="V2366" s="51" t="s">
        <v>2142</v>
      </c>
      <c r="W2366" s="51" t="s">
        <v>5342</v>
      </c>
      <c r="X2366" s="51" t="s">
        <v>2359</v>
      </c>
    </row>
    <row r="2367" customFormat="false" ht="14.25" hidden="true" customHeight="false" outlineLevel="0" collapsed="false">
      <c r="A2367" s="49" t="s">
        <v>2349</v>
      </c>
      <c r="B2367" s="49" t="s">
        <v>2350</v>
      </c>
      <c r="C2367" s="49" t="s">
        <v>5343</v>
      </c>
      <c r="D2367" s="49" t="s">
        <v>2352</v>
      </c>
      <c r="E2367" s="49" t="str">
        <f aca="false">"5060458890191"</f>
        <v>5060458890191</v>
      </c>
      <c r="F2367" s="49" t="s">
        <v>3656</v>
      </c>
      <c r="G2367" s="49" t="n">
        <v>0</v>
      </c>
      <c r="H2367" s="0" t="n">
        <v>0</v>
      </c>
      <c r="M2367" s="51" t="s">
        <v>5333</v>
      </c>
      <c r="N2367" s="49" t="n">
        <v>0</v>
      </c>
      <c r="O2367" s="53" t="n">
        <v>45728.4427893519</v>
      </c>
      <c r="P2367" s="53" t="n">
        <v>45728.9466550926</v>
      </c>
      <c r="Q2367" s="53" t="n">
        <v>45728.4427893519</v>
      </c>
      <c r="R2367" s="0" t="n">
        <v>0</v>
      </c>
      <c r="S2367" s="51" t="s">
        <v>2376</v>
      </c>
      <c r="T2367" s="51" t="s">
        <v>2376</v>
      </c>
      <c r="U2367" s="0" t="str">
        <f aca="false">"5060458890191"</f>
        <v>5060458890191</v>
      </c>
      <c r="V2367" s="51" t="s">
        <v>2142</v>
      </c>
      <c r="W2367" s="51" t="s">
        <v>5344</v>
      </c>
      <c r="X2367" s="51" t="s">
        <v>2359</v>
      </c>
    </row>
    <row r="2368" customFormat="false" ht="14.25" hidden="true" customHeight="false" outlineLevel="0" collapsed="false">
      <c r="A2368" s="49" t="s">
        <v>2349</v>
      </c>
      <c r="B2368" s="49" t="s">
        <v>2350</v>
      </c>
      <c r="C2368" s="49" t="s">
        <v>5345</v>
      </c>
      <c r="D2368" s="49" t="s">
        <v>2352</v>
      </c>
      <c r="E2368" s="49" t="str">
        <f aca="false">"5060458890191"</f>
        <v>5060458890191</v>
      </c>
      <c r="F2368" s="49" t="s">
        <v>3656</v>
      </c>
      <c r="G2368" s="49" t="n">
        <v>0</v>
      </c>
      <c r="H2368" s="0" t="n">
        <v>0</v>
      </c>
      <c r="M2368" s="51" t="s">
        <v>5333</v>
      </c>
      <c r="N2368" s="49" t="n">
        <v>0</v>
      </c>
      <c r="O2368" s="53" t="n">
        <v>45728.4426041667</v>
      </c>
      <c r="P2368" s="53" t="n">
        <v>45750.5915856482</v>
      </c>
      <c r="Q2368" s="53" t="n">
        <v>45728.4426041667</v>
      </c>
      <c r="R2368" s="0" t="n">
        <v>0</v>
      </c>
      <c r="S2368" s="51" t="s">
        <v>2376</v>
      </c>
      <c r="T2368" s="51" t="s">
        <v>2376</v>
      </c>
      <c r="U2368" s="0" t="str">
        <f aca="false">"5060458890191"</f>
        <v>5060458890191</v>
      </c>
      <c r="V2368" s="51" t="s">
        <v>2142</v>
      </c>
      <c r="W2368" s="51" t="s">
        <v>5346</v>
      </c>
      <c r="X2368" s="51" t="s">
        <v>2359</v>
      </c>
    </row>
    <row r="2369" customFormat="false" ht="14.25" hidden="true" customHeight="false" outlineLevel="0" collapsed="false">
      <c r="A2369" s="49" t="s">
        <v>2349</v>
      </c>
      <c r="B2369" s="49" t="s">
        <v>2350</v>
      </c>
      <c r="C2369" s="49" t="s">
        <v>5347</v>
      </c>
      <c r="D2369" s="49" t="s">
        <v>2352</v>
      </c>
      <c r="E2369" s="49" t="str">
        <f aca="false">"5060458890191"</f>
        <v>5060458890191</v>
      </c>
      <c r="F2369" s="49" t="s">
        <v>3656</v>
      </c>
      <c r="G2369" s="49" t="n">
        <v>0</v>
      </c>
      <c r="H2369" s="0" t="n">
        <v>0</v>
      </c>
      <c r="M2369" s="51" t="s">
        <v>5333</v>
      </c>
      <c r="N2369" s="49" t="n">
        <v>0</v>
      </c>
      <c r="O2369" s="53" t="n">
        <v>45728.4424074074</v>
      </c>
      <c r="P2369" s="53" t="n">
        <v>45750.5922685185</v>
      </c>
      <c r="Q2369" s="53" t="n">
        <v>45728.4424074074</v>
      </c>
      <c r="R2369" s="0" t="n">
        <v>0</v>
      </c>
      <c r="S2369" s="51" t="s">
        <v>2376</v>
      </c>
      <c r="T2369" s="51" t="s">
        <v>2376</v>
      </c>
      <c r="U2369" s="0" t="str">
        <f aca="false">"5060458890191"</f>
        <v>5060458890191</v>
      </c>
      <c r="V2369" s="51" t="s">
        <v>2142</v>
      </c>
      <c r="W2369" s="51" t="s">
        <v>5348</v>
      </c>
      <c r="X2369" s="51" t="s">
        <v>2359</v>
      </c>
    </row>
    <row r="2370" customFormat="false" ht="14.25" hidden="true" customHeight="false" outlineLevel="0" collapsed="false">
      <c r="A2370" s="49" t="s">
        <v>2349</v>
      </c>
      <c r="B2370" s="49" t="s">
        <v>2350</v>
      </c>
      <c r="C2370" s="49" t="s">
        <v>5349</v>
      </c>
      <c r="D2370" s="49" t="s">
        <v>2352</v>
      </c>
      <c r="E2370" s="49" t="str">
        <f aca="false">"5060458890191"</f>
        <v>5060458890191</v>
      </c>
      <c r="F2370" s="49" t="s">
        <v>3656</v>
      </c>
      <c r="G2370" s="49" t="n">
        <v>0</v>
      </c>
      <c r="H2370" s="0" t="n">
        <v>0</v>
      </c>
      <c r="M2370" s="51" t="s">
        <v>5333</v>
      </c>
      <c r="N2370" s="49" t="n">
        <v>0</v>
      </c>
      <c r="O2370" s="53" t="n">
        <v>45728.4422222222</v>
      </c>
      <c r="P2370" s="53" t="n">
        <v>45750.5926273148</v>
      </c>
      <c r="Q2370" s="53" t="n">
        <v>45728.4422222222</v>
      </c>
      <c r="R2370" s="0" t="n">
        <v>0</v>
      </c>
      <c r="S2370" s="51" t="s">
        <v>2376</v>
      </c>
      <c r="T2370" s="51" t="s">
        <v>2376</v>
      </c>
      <c r="U2370" s="0" t="str">
        <f aca="false">"5060458890191"</f>
        <v>5060458890191</v>
      </c>
      <c r="V2370" s="51" t="s">
        <v>2142</v>
      </c>
      <c r="W2370" s="51" t="s">
        <v>5350</v>
      </c>
      <c r="X2370" s="51" t="s">
        <v>2359</v>
      </c>
    </row>
    <row r="2371" customFormat="false" ht="14.25" hidden="true" customHeight="false" outlineLevel="0" collapsed="false">
      <c r="A2371" s="49" t="s">
        <v>2349</v>
      </c>
      <c r="B2371" s="49" t="s">
        <v>2350</v>
      </c>
      <c r="C2371" s="49" t="s">
        <v>5351</v>
      </c>
      <c r="D2371" s="49" t="s">
        <v>2352</v>
      </c>
      <c r="E2371" s="49" t="str">
        <f aca="false">"5060458890191"</f>
        <v>5060458890191</v>
      </c>
      <c r="F2371" s="49" t="s">
        <v>3656</v>
      </c>
      <c r="G2371" s="49" t="n">
        <v>0</v>
      </c>
      <c r="H2371" s="0" t="n">
        <v>0</v>
      </c>
      <c r="M2371" s="51" t="s">
        <v>5333</v>
      </c>
      <c r="N2371" s="49" t="n">
        <v>0</v>
      </c>
      <c r="O2371" s="53" t="n">
        <v>45728.4419444444</v>
      </c>
      <c r="P2371" s="53" t="n">
        <v>45757.7296990741</v>
      </c>
      <c r="Q2371" s="53" t="n">
        <v>45728.4419444444</v>
      </c>
      <c r="R2371" s="0" t="n">
        <v>0</v>
      </c>
      <c r="S2371" s="51" t="s">
        <v>2376</v>
      </c>
      <c r="T2371" s="51" t="s">
        <v>2376</v>
      </c>
      <c r="U2371" s="0" t="str">
        <f aca="false">"5060458890191"</f>
        <v>5060458890191</v>
      </c>
      <c r="V2371" s="51" t="s">
        <v>2142</v>
      </c>
      <c r="W2371" s="51" t="s">
        <v>5352</v>
      </c>
      <c r="X2371" s="51" t="s">
        <v>2359</v>
      </c>
    </row>
    <row r="2372" customFormat="false" ht="14.25" hidden="true" customHeight="false" outlineLevel="0" collapsed="false">
      <c r="A2372" s="49" t="s">
        <v>2349</v>
      </c>
      <c r="B2372" s="49" t="s">
        <v>2350</v>
      </c>
      <c r="C2372" s="49" t="s">
        <v>5353</v>
      </c>
      <c r="D2372" s="49" t="s">
        <v>2352</v>
      </c>
      <c r="E2372" s="49" t="str">
        <f aca="false">"5060458890191"</f>
        <v>5060458890191</v>
      </c>
      <c r="F2372" s="49" t="s">
        <v>3656</v>
      </c>
      <c r="G2372" s="49" t="n">
        <v>0</v>
      </c>
      <c r="H2372" s="0" t="n">
        <v>0</v>
      </c>
      <c r="M2372" s="51" t="s">
        <v>5333</v>
      </c>
      <c r="N2372" s="49" t="n">
        <v>0</v>
      </c>
      <c r="O2372" s="53" t="n">
        <v>45728.4416782407</v>
      </c>
      <c r="P2372" s="53" t="n">
        <v>45757.7305208333</v>
      </c>
      <c r="Q2372" s="53" t="n">
        <v>45728.4416782407</v>
      </c>
      <c r="R2372" s="0" t="n">
        <v>0</v>
      </c>
      <c r="S2372" s="51" t="s">
        <v>2376</v>
      </c>
      <c r="T2372" s="51" t="s">
        <v>2376</v>
      </c>
      <c r="U2372" s="0" t="str">
        <f aca="false">"5060458890191"</f>
        <v>5060458890191</v>
      </c>
      <c r="V2372" s="51" t="s">
        <v>2142</v>
      </c>
      <c r="W2372" s="51" t="s">
        <v>5354</v>
      </c>
      <c r="X2372" s="51" t="s">
        <v>2359</v>
      </c>
    </row>
    <row r="2373" customFormat="false" ht="14.25" hidden="true" customHeight="false" outlineLevel="0" collapsed="false">
      <c r="A2373" s="49" t="s">
        <v>2349</v>
      </c>
      <c r="B2373" s="49" t="s">
        <v>2350</v>
      </c>
      <c r="C2373" s="49" t="s">
        <v>5355</v>
      </c>
      <c r="D2373" s="49" t="s">
        <v>2352</v>
      </c>
      <c r="E2373" s="49" t="str">
        <f aca="false">"5060458890191"</f>
        <v>5060458890191</v>
      </c>
      <c r="F2373" s="49" t="s">
        <v>3656</v>
      </c>
      <c r="G2373" s="49" t="n">
        <v>0</v>
      </c>
      <c r="H2373" s="0" t="n">
        <v>0</v>
      </c>
      <c r="M2373" s="51" t="s">
        <v>5333</v>
      </c>
      <c r="N2373" s="49" t="n">
        <v>0</v>
      </c>
      <c r="O2373" s="53" t="n">
        <v>45728.4414930556</v>
      </c>
      <c r="P2373" s="53" t="n">
        <v>45757.7313194444</v>
      </c>
      <c r="Q2373" s="53" t="n">
        <v>45728.4414930556</v>
      </c>
      <c r="R2373" s="0" t="n">
        <v>0</v>
      </c>
      <c r="S2373" s="51" t="s">
        <v>2376</v>
      </c>
      <c r="T2373" s="51" t="s">
        <v>2376</v>
      </c>
      <c r="U2373" s="0" t="str">
        <f aca="false">"5060458890191"</f>
        <v>5060458890191</v>
      </c>
      <c r="V2373" s="51" t="s">
        <v>2142</v>
      </c>
      <c r="W2373" s="51" t="s">
        <v>5356</v>
      </c>
      <c r="X2373" s="51" t="s">
        <v>2359</v>
      </c>
    </row>
    <row r="2374" customFormat="false" ht="14.25" hidden="true" customHeight="false" outlineLevel="0" collapsed="false">
      <c r="A2374" s="49" t="s">
        <v>2349</v>
      </c>
      <c r="B2374" s="49" t="s">
        <v>2350</v>
      </c>
      <c r="C2374" s="49" t="s">
        <v>5357</v>
      </c>
      <c r="D2374" s="49" t="s">
        <v>2352</v>
      </c>
      <c r="E2374" s="49" t="str">
        <f aca="false">"5060458890191"</f>
        <v>5060458890191</v>
      </c>
      <c r="F2374" s="49" t="s">
        <v>3656</v>
      </c>
      <c r="G2374" s="49" t="n">
        <v>0</v>
      </c>
      <c r="H2374" s="0" t="n">
        <v>0</v>
      </c>
      <c r="M2374" s="51" t="s">
        <v>5333</v>
      </c>
      <c r="N2374" s="49" t="n">
        <v>0</v>
      </c>
      <c r="O2374" s="53" t="n">
        <v>45728.4412615741</v>
      </c>
      <c r="P2374" s="53" t="n">
        <v>45728.9475231482</v>
      </c>
      <c r="Q2374" s="53" t="n">
        <v>45728.4412615741</v>
      </c>
      <c r="R2374" s="0" t="n">
        <v>0</v>
      </c>
      <c r="S2374" s="51" t="s">
        <v>2376</v>
      </c>
      <c r="T2374" s="51" t="s">
        <v>2376</v>
      </c>
      <c r="U2374" s="0" t="str">
        <f aca="false">"5060458890191"</f>
        <v>5060458890191</v>
      </c>
      <c r="V2374" s="51" t="s">
        <v>2142</v>
      </c>
      <c r="W2374" s="51" t="s">
        <v>5358</v>
      </c>
      <c r="X2374" s="51" t="s">
        <v>2359</v>
      </c>
    </row>
    <row r="2375" customFormat="false" ht="14.25" hidden="true" customHeight="false" outlineLevel="0" collapsed="false">
      <c r="A2375" s="49" t="s">
        <v>2349</v>
      </c>
      <c r="B2375" s="49" t="s">
        <v>2350</v>
      </c>
      <c r="C2375" s="49" t="s">
        <v>5359</v>
      </c>
      <c r="D2375" s="49" t="s">
        <v>2352</v>
      </c>
      <c r="E2375" s="49" t="str">
        <f aca="false">"5060458890191"</f>
        <v>5060458890191</v>
      </c>
      <c r="F2375" s="49" t="s">
        <v>3656</v>
      </c>
      <c r="G2375" s="49" t="n">
        <v>0</v>
      </c>
      <c r="H2375" s="0" t="n">
        <v>0</v>
      </c>
      <c r="M2375" s="51" t="s">
        <v>5333</v>
      </c>
      <c r="N2375" s="49" t="n">
        <v>0</v>
      </c>
      <c r="O2375" s="53" t="n">
        <v>45728.4410532407</v>
      </c>
      <c r="P2375" s="53" t="n">
        <v>45750.5912037037</v>
      </c>
      <c r="Q2375" s="53" t="n">
        <v>45728.4410532407</v>
      </c>
      <c r="R2375" s="0" t="n">
        <v>0</v>
      </c>
      <c r="S2375" s="51" t="s">
        <v>2376</v>
      </c>
      <c r="T2375" s="51" t="s">
        <v>2376</v>
      </c>
      <c r="U2375" s="0" t="str">
        <f aca="false">"5060458890191"</f>
        <v>5060458890191</v>
      </c>
      <c r="V2375" s="51" t="s">
        <v>2142</v>
      </c>
      <c r="W2375" s="51" t="s">
        <v>5344</v>
      </c>
      <c r="X2375" s="51" t="s">
        <v>2359</v>
      </c>
    </row>
    <row r="2376" customFormat="false" ht="14.25" hidden="true" customHeight="false" outlineLevel="0" collapsed="false">
      <c r="A2376" s="49" t="s">
        <v>2349</v>
      </c>
      <c r="B2376" s="49" t="s">
        <v>2350</v>
      </c>
      <c r="C2376" s="49" t="s">
        <v>5360</v>
      </c>
      <c r="D2376" s="49" t="s">
        <v>2352</v>
      </c>
      <c r="E2376" s="49" t="str">
        <f aca="false">"5060458890191"</f>
        <v>5060458890191</v>
      </c>
      <c r="F2376" s="49" t="s">
        <v>3656</v>
      </c>
      <c r="G2376" s="49" t="n">
        <v>0</v>
      </c>
      <c r="H2376" s="0" t="n">
        <v>0</v>
      </c>
      <c r="M2376" s="51" t="s">
        <v>5333</v>
      </c>
      <c r="N2376" s="49" t="n">
        <v>0</v>
      </c>
      <c r="O2376" s="53" t="n">
        <v>45728.4406481482</v>
      </c>
      <c r="P2376" s="53" t="n">
        <v>45757.7269212963</v>
      </c>
      <c r="Q2376" s="53" t="n">
        <v>45728.4406481482</v>
      </c>
      <c r="R2376" s="0" t="n">
        <v>0</v>
      </c>
      <c r="S2376" s="51" t="s">
        <v>2376</v>
      </c>
      <c r="T2376" s="51" t="s">
        <v>2376</v>
      </c>
      <c r="U2376" s="0" t="str">
        <f aca="false">"5060458890191"</f>
        <v>5060458890191</v>
      </c>
      <c r="V2376" s="51" t="s">
        <v>2142</v>
      </c>
      <c r="W2376" s="51" t="s">
        <v>5361</v>
      </c>
      <c r="X2376" s="51" t="s">
        <v>2359</v>
      </c>
    </row>
    <row r="2377" customFormat="false" ht="14.25" hidden="true" customHeight="false" outlineLevel="0" collapsed="false">
      <c r="A2377" s="49" t="s">
        <v>2349</v>
      </c>
      <c r="B2377" s="49" t="s">
        <v>2350</v>
      </c>
      <c r="C2377" s="49" t="s">
        <v>5362</v>
      </c>
      <c r="D2377" s="49" t="s">
        <v>2352</v>
      </c>
      <c r="E2377" s="49" t="str">
        <f aca="false">"5060458890191"</f>
        <v>5060458890191</v>
      </c>
      <c r="F2377" s="49" t="s">
        <v>3656</v>
      </c>
      <c r="G2377" s="49" t="n">
        <v>0</v>
      </c>
      <c r="H2377" s="0" t="n">
        <v>0</v>
      </c>
      <c r="M2377" s="51" t="s">
        <v>5333</v>
      </c>
      <c r="N2377" s="49" t="n">
        <v>0</v>
      </c>
      <c r="O2377" s="53" t="n">
        <v>45728.4402777778</v>
      </c>
      <c r="P2377" s="53" t="n">
        <v>45728.9427777778</v>
      </c>
      <c r="Q2377" s="53" t="n">
        <v>45728.4402777778</v>
      </c>
      <c r="R2377" s="0" t="n">
        <v>0</v>
      </c>
      <c r="S2377" s="51" t="s">
        <v>2376</v>
      </c>
      <c r="T2377" s="51" t="s">
        <v>2376</v>
      </c>
      <c r="U2377" s="0" t="str">
        <f aca="false">"5060458890191"</f>
        <v>5060458890191</v>
      </c>
      <c r="V2377" s="51" t="s">
        <v>2142</v>
      </c>
      <c r="W2377" s="51" t="s">
        <v>5361</v>
      </c>
      <c r="X2377" s="51" t="s">
        <v>2359</v>
      </c>
    </row>
    <row r="2378" customFormat="false" ht="14.25" hidden="true" customHeight="false" outlineLevel="0" collapsed="false">
      <c r="A2378" s="49" t="s">
        <v>2349</v>
      </c>
      <c r="B2378" s="49" t="s">
        <v>2350</v>
      </c>
      <c r="C2378" s="49" t="s">
        <v>5363</v>
      </c>
      <c r="D2378" s="49" t="s">
        <v>2352</v>
      </c>
      <c r="E2378" s="49" t="str">
        <f aca="false">"5060458890191"</f>
        <v>5060458890191</v>
      </c>
      <c r="F2378" s="49" t="s">
        <v>3656</v>
      </c>
      <c r="G2378" s="49" t="n">
        <v>0</v>
      </c>
      <c r="H2378" s="0" t="n">
        <v>0</v>
      </c>
      <c r="M2378" s="51" t="s">
        <v>5333</v>
      </c>
      <c r="N2378" s="49" t="n">
        <v>0</v>
      </c>
      <c r="O2378" s="53" t="n">
        <v>45728.4490277778</v>
      </c>
      <c r="P2378" s="53" t="n">
        <v>45750.5933564815</v>
      </c>
      <c r="Q2378" s="53" t="n">
        <v>45728.4490277778</v>
      </c>
      <c r="R2378" s="0" t="n">
        <v>0</v>
      </c>
      <c r="S2378" s="51" t="s">
        <v>2376</v>
      </c>
      <c r="T2378" s="51" t="s">
        <v>2376</v>
      </c>
      <c r="U2378" s="0" t="str">
        <f aca="false">"5060458890191"</f>
        <v>5060458890191</v>
      </c>
      <c r="V2378" s="51" t="s">
        <v>2142</v>
      </c>
      <c r="W2378" s="51" t="s">
        <v>4677</v>
      </c>
      <c r="X2378" s="51" t="s">
        <v>2359</v>
      </c>
    </row>
    <row r="2379" customFormat="false" ht="14.25" hidden="true" customHeight="false" outlineLevel="0" collapsed="false">
      <c r="A2379" s="49" t="s">
        <v>2349</v>
      </c>
      <c r="B2379" s="49" t="s">
        <v>2350</v>
      </c>
      <c r="C2379" s="49" t="s">
        <v>5364</v>
      </c>
      <c r="D2379" s="49" t="s">
        <v>2352</v>
      </c>
      <c r="E2379" s="49" t="str">
        <f aca="false">"5060458890191"</f>
        <v>5060458890191</v>
      </c>
      <c r="F2379" s="49" t="s">
        <v>3656</v>
      </c>
      <c r="G2379" s="49" t="n">
        <v>0</v>
      </c>
      <c r="H2379" s="0" t="n">
        <v>0</v>
      </c>
      <c r="M2379" s="51" t="s">
        <v>5333</v>
      </c>
      <c r="N2379" s="49" t="n">
        <v>0</v>
      </c>
      <c r="O2379" s="53" t="n">
        <v>45728.4492476852</v>
      </c>
      <c r="P2379" s="53" t="n">
        <v>45750.5936921296</v>
      </c>
      <c r="Q2379" s="53" t="n">
        <v>45728.4492476852</v>
      </c>
      <c r="R2379" s="0" t="n">
        <v>0</v>
      </c>
      <c r="S2379" s="51" t="s">
        <v>2376</v>
      </c>
      <c r="T2379" s="51" t="s">
        <v>2376</v>
      </c>
      <c r="U2379" s="0" t="str">
        <f aca="false">"5060458890191"</f>
        <v>5060458890191</v>
      </c>
      <c r="V2379" s="51" t="s">
        <v>2142</v>
      </c>
      <c r="W2379" s="51" t="s">
        <v>5365</v>
      </c>
      <c r="X2379" s="51" t="s">
        <v>2359</v>
      </c>
    </row>
    <row r="2380" customFormat="false" ht="14.25" hidden="true" customHeight="false" outlineLevel="0" collapsed="false">
      <c r="A2380" s="49" t="s">
        <v>2349</v>
      </c>
      <c r="B2380" s="49" t="s">
        <v>2350</v>
      </c>
      <c r="C2380" s="49" t="s">
        <v>5366</v>
      </c>
      <c r="D2380" s="49" t="s">
        <v>2352</v>
      </c>
      <c r="E2380" s="49" t="str">
        <f aca="false">"5060458890191"</f>
        <v>5060458890191</v>
      </c>
      <c r="F2380" s="49" t="s">
        <v>3656</v>
      </c>
      <c r="G2380" s="49" t="n">
        <v>0</v>
      </c>
      <c r="H2380" s="0" t="n">
        <v>0</v>
      </c>
      <c r="M2380" s="51" t="s">
        <v>5333</v>
      </c>
      <c r="N2380" s="49" t="n">
        <v>0</v>
      </c>
      <c r="O2380" s="53" t="n">
        <v>45728.4494560185</v>
      </c>
      <c r="P2380" s="53" t="n">
        <v>45757.6121180556</v>
      </c>
      <c r="Q2380" s="53" t="n">
        <v>45728.4494560185</v>
      </c>
      <c r="R2380" s="0" t="n">
        <v>0</v>
      </c>
      <c r="S2380" s="51" t="s">
        <v>2376</v>
      </c>
      <c r="T2380" s="51" t="s">
        <v>2376</v>
      </c>
      <c r="U2380" s="0" t="str">
        <f aca="false">"5060458890191"</f>
        <v>5060458890191</v>
      </c>
      <c r="V2380" s="51" t="s">
        <v>2142</v>
      </c>
      <c r="W2380" s="51" t="s">
        <v>4419</v>
      </c>
      <c r="X2380" s="51" t="s">
        <v>2359</v>
      </c>
    </row>
    <row r="2381" customFormat="false" ht="14.25" hidden="true" customHeight="false" outlineLevel="0" collapsed="false">
      <c r="A2381" s="49" t="s">
        <v>2349</v>
      </c>
      <c r="B2381" s="49" t="s">
        <v>2350</v>
      </c>
      <c r="C2381" s="49" t="s">
        <v>5367</v>
      </c>
      <c r="D2381" s="49" t="s">
        <v>2352</v>
      </c>
      <c r="E2381" s="49" t="str">
        <f aca="false">"5060458890191"</f>
        <v>5060458890191</v>
      </c>
      <c r="F2381" s="49" t="s">
        <v>3656</v>
      </c>
      <c r="G2381" s="49" t="n">
        <v>0</v>
      </c>
      <c r="H2381" s="0" t="n">
        <v>0</v>
      </c>
      <c r="M2381" s="51" t="s">
        <v>5333</v>
      </c>
      <c r="N2381" s="49" t="n">
        <v>0</v>
      </c>
      <c r="O2381" s="53" t="n">
        <v>45728.4498032407</v>
      </c>
      <c r="P2381" s="53" t="n">
        <v>45757.7897685185</v>
      </c>
      <c r="Q2381" s="53" t="n">
        <v>45728.4498032407</v>
      </c>
      <c r="R2381" s="0" t="n">
        <v>0</v>
      </c>
      <c r="S2381" s="51" t="s">
        <v>2376</v>
      </c>
      <c r="T2381" s="51" t="s">
        <v>2376</v>
      </c>
      <c r="U2381" s="0" t="str">
        <f aca="false">"5060458890191"</f>
        <v>5060458890191</v>
      </c>
      <c r="V2381" s="51" t="s">
        <v>2142</v>
      </c>
      <c r="W2381" s="51" t="s">
        <v>4431</v>
      </c>
      <c r="X2381" s="51" t="s">
        <v>2359</v>
      </c>
    </row>
    <row r="2382" customFormat="false" ht="14.25" hidden="true" customHeight="false" outlineLevel="0" collapsed="false">
      <c r="A2382" s="49" t="s">
        <v>2349</v>
      </c>
      <c r="B2382" s="49" t="s">
        <v>2350</v>
      </c>
      <c r="C2382" s="49" t="s">
        <v>5368</v>
      </c>
      <c r="D2382" s="49" t="s">
        <v>2352</v>
      </c>
      <c r="E2382" s="49" t="str">
        <f aca="false">"5060458890191"</f>
        <v>5060458890191</v>
      </c>
      <c r="F2382" s="49" t="s">
        <v>3656</v>
      </c>
      <c r="G2382" s="49" t="n">
        <v>0</v>
      </c>
      <c r="H2382" s="0" t="n">
        <v>0</v>
      </c>
      <c r="M2382" s="51" t="s">
        <v>5333</v>
      </c>
      <c r="N2382" s="49" t="n">
        <v>0</v>
      </c>
      <c r="O2382" s="53" t="n">
        <v>45728.4500115741</v>
      </c>
      <c r="P2382" s="53" t="n">
        <v>45756.9139351852</v>
      </c>
      <c r="Q2382" s="53" t="n">
        <v>45728.4500115741</v>
      </c>
      <c r="R2382" s="0" t="n">
        <v>0</v>
      </c>
      <c r="S2382" s="51" t="s">
        <v>2376</v>
      </c>
      <c r="T2382" s="51" t="s">
        <v>2376</v>
      </c>
      <c r="U2382" s="0" t="str">
        <f aca="false">"5060458890191"</f>
        <v>5060458890191</v>
      </c>
      <c r="V2382" s="51" t="s">
        <v>2142</v>
      </c>
      <c r="W2382" s="51" t="s">
        <v>4427</v>
      </c>
      <c r="X2382" s="51" t="s">
        <v>2359</v>
      </c>
    </row>
    <row r="2383" customFormat="false" ht="14.25" hidden="true" customHeight="false" outlineLevel="0" collapsed="false">
      <c r="A2383" s="49" t="s">
        <v>2349</v>
      </c>
      <c r="B2383" s="49" t="s">
        <v>2350</v>
      </c>
      <c r="C2383" s="49" t="s">
        <v>5369</v>
      </c>
      <c r="D2383" s="49" t="s">
        <v>2352</v>
      </c>
      <c r="E2383" s="49" t="str">
        <f aca="false">"5060458890191"</f>
        <v>5060458890191</v>
      </c>
      <c r="F2383" s="49" t="s">
        <v>3656</v>
      </c>
      <c r="G2383" s="49" t="n">
        <v>0</v>
      </c>
      <c r="H2383" s="0" t="n">
        <v>0</v>
      </c>
      <c r="M2383" s="51" t="s">
        <v>5333</v>
      </c>
      <c r="N2383" s="49" t="n">
        <v>0</v>
      </c>
      <c r="O2383" s="53" t="n">
        <v>45728.4503703704</v>
      </c>
      <c r="P2383" s="53" t="n">
        <v>45757.7886342593</v>
      </c>
      <c r="Q2383" s="53" t="n">
        <v>45728.4503703704</v>
      </c>
      <c r="R2383" s="0" t="n">
        <v>0</v>
      </c>
      <c r="S2383" s="51" t="s">
        <v>2376</v>
      </c>
      <c r="T2383" s="51" t="s">
        <v>2376</v>
      </c>
      <c r="U2383" s="0" t="str">
        <f aca="false">"5060458890191"</f>
        <v>5060458890191</v>
      </c>
      <c r="V2383" s="51" t="s">
        <v>2142</v>
      </c>
      <c r="W2383" s="51" t="s">
        <v>4401</v>
      </c>
      <c r="X2383" s="51" t="s">
        <v>2359</v>
      </c>
    </row>
    <row r="2384" customFormat="false" ht="14.25" hidden="true" customHeight="false" outlineLevel="0" collapsed="false">
      <c r="A2384" s="49" t="s">
        <v>2349</v>
      </c>
      <c r="B2384" s="49" t="s">
        <v>2350</v>
      </c>
      <c r="C2384" s="49" t="s">
        <v>5370</v>
      </c>
      <c r="D2384" s="49" t="s">
        <v>2352</v>
      </c>
      <c r="E2384" s="49" t="str">
        <f aca="false">"5060458890191"</f>
        <v>5060458890191</v>
      </c>
      <c r="F2384" s="49" t="s">
        <v>3656</v>
      </c>
      <c r="G2384" s="49" t="n">
        <v>0</v>
      </c>
      <c r="H2384" s="0" t="n">
        <v>0</v>
      </c>
      <c r="M2384" s="51" t="s">
        <v>5333</v>
      </c>
      <c r="N2384" s="49" t="n">
        <v>0</v>
      </c>
      <c r="O2384" s="53" t="n">
        <v>45728.4508217593</v>
      </c>
      <c r="P2384" s="53" t="n">
        <v>45734.9187615741</v>
      </c>
      <c r="Q2384" s="53" t="n">
        <v>45728.4508217593</v>
      </c>
      <c r="R2384" s="0" t="n">
        <v>0</v>
      </c>
      <c r="S2384" s="51" t="s">
        <v>2376</v>
      </c>
      <c r="T2384" s="51" t="s">
        <v>2376</v>
      </c>
      <c r="U2384" s="0" t="str">
        <f aca="false">"5060458890191"</f>
        <v>5060458890191</v>
      </c>
      <c r="V2384" s="51" t="s">
        <v>2142</v>
      </c>
      <c r="W2384" s="51" t="s">
        <v>4429</v>
      </c>
      <c r="X2384" s="51" t="s">
        <v>2359</v>
      </c>
    </row>
    <row r="2385" customFormat="false" ht="14.25" hidden="true" customHeight="false" outlineLevel="0" collapsed="false">
      <c r="A2385" s="49" t="s">
        <v>2349</v>
      </c>
      <c r="B2385" s="49" t="s">
        <v>2350</v>
      </c>
      <c r="C2385" s="49" t="s">
        <v>5371</v>
      </c>
      <c r="D2385" s="49" t="s">
        <v>2352</v>
      </c>
      <c r="E2385" s="49" t="str">
        <f aca="false">"5060458890191"</f>
        <v>5060458890191</v>
      </c>
      <c r="F2385" s="49" t="s">
        <v>3656</v>
      </c>
      <c r="G2385" s="49" t="n">
        <v>0</v>
      </c>
      <c r="H2385" s="0" t="n">
        <v>0</v>
      </c>
      <c r="M2385" s="51" t="s">
        <v>5333</v>
      </c>
      <c r="N2385" s="49" t="n">
        <v>0</v>
      </c>
      <c r="O2385" s="53" t="n">
        <v>45728.4514236111</v>
      </c>
      <c r="P2385" s="53" t="n">
        <v>45734.9180092593</v>
      </c>
      <c r="Q2385" s="53" t="n">
        <v>45728.4514236111</v>
      </c>
      <c r="R2385" s="0" t="n">
        <v>0</v>
      </c>
      <c r="S2385" s="51" t="s">
        <v>2376</v>
      </c>
      <c r="T2385" s="51" t="s">
        <v>2376</v>
      </c>
      <c r="U2385" s="0" t="str">
        <f aca="false">"5060458890191"</f>
        <v>5060458890191</v>
      </c>
      <c r="V2385" s="51" t="s">
        <v>2142</v>
      </c>
      <c r="W2385" s="51" t="s">
        <v>4397</v>
      </c>
      <c r="X2385" s="51" t="s">
        <v>2359</v>
      </c>
    </row>
    <row r="2386" customFormat="false" ht="14.25" hidden="true" customHeight="false" outlineLevel="0" collapsed="false">
      <c r="A2386" s="49" t="s">
        <v>2349</v>
      </c>
      <c r="B2386" s="49" t="s">
        <v>2350</v>
      </c>
      <c r="C2386" s="49" t="s">
        <v>5372</v>
      </c>
      <c r="D2386" s="49" t="s">
        <v>2352</v>
      </c>
      <c r="E2386" s="49" t="str">
        <f aca="false">"5060458890191"</f>
        <v>5060458890191</v>
      </c>
      <c r="F2386" s="49" t="s">
        <v>3656</v>
      </c>
      <c r="G2386" s="49" t="n">
        <v>0</v>
      </c>
      <c r="H2386" s="0" t="n">
        <v>0</v>
      </c>
      <c r="M2386" s="51" t="s">
        <v>5333</v>
      </c>
      <c r="N2386" s="49" t="n">
        <v>0</v>
      </c>
      <c r="O2386" s="53" t="n">
        <v>45728.4517592593</v>
      </c>
      <c r="P2386" s="53" t="n">
        <v>45728.9546064815</v>
      </c>
      <c r="Q2386" s="53" t="n">
        <v>45728.4517592593</v>
      </c>
      <c r="R2386" s="0" t="n">
        <v>0</v>
      </c>
      <c r="S2386" s="51" t="s">
        <v>2376</v>
      </c>
      <c r="T2386" s="51" t="s">
        <v>2376</v>
      </c>
      <c r="U2386" s="0" t="str">
        <f aca="false">"5060458890191"</f>
        <v>5060458890191</v>
      </c>
      <c r="V2386" s="51" t="s">
        <v>2142</v>
      </c>
      <c r="W2386" s="51" t="s">
        <v>4349</v>
      </c>
      <c r="X2386" s="51" t="s">
        <v>2359</v>
      </c>
    </row>
    <row r="2387" customFormat="false" ht="14.25" hidden="true" customHeight="false" outlineLevel="0" collapsed="false">
      <c r="A2387" s="49" t="s">
        <v>2349</v>
      </c>
      <c r="B2387" s="49" t="s">
        <v>2350</v>
      </c>
      <c r="C2387" s="49" t="s">
        <v>5373</v>
      </c>
      <c r="D2387" s="49" t="s">
        <v>2352</v>
      </c>
      <c r="E2387" s="49" t="str">
        <f aca="false">"5060458890191"</f>
        <v>5060458890191</v>
      </c>
      <c r="F2387" s="49" t="s">
        <v>3656</v>
      </c>
      <c r="G2387" s="49" t="n">
        <v>0</v>
      </c>
      <c r="H2387" s="0" t="n">
        <v>0</v>
      </c>
      <c r="M2387" s="51" t="s">
        <v>5333</v>
      </c>
      <c r="N2387" s="49" t="n">
        <v>0</v>
      </c>
      <c r="O2387" s="53" t="n">
        <v>45728.4521412037</v>
      </c>
      <c r="P2387" s="53" t="n">
        <v>45734.9121875</v>
      </c>
      <c r="Q2387" s="53" t="n">
        <v>45728.4521412037</v>
      </c>
      <c r="R2387" s="0" t="n">
        <v>0</v>
      </c>
      <c r="S2387" s="51" t="s">
        <v>2376</v>
      </c>
      <c r="T2387" s="51" t="s">
        <v>2376</v>
      </c>
      <c r="U2387" s="0" t="str">
        <f aca="false">"5060458890191"</f>
        <v>5060458890191</v>
      </c>
      <c r="V2387" s="51" t="s">
        <v>2142</v>
      </c>
      <c r="W2387" s="51" t="s">
        <v>5374</v>
      </c>
      <c r="X2387" s="51" t="s">
        <v>2359</v>
      </c>
    </row>
    <row r="2388" customFormat="false" ht="14.25" hidden="true" customHeight="false" outlineLevel="0" collapsed="false">
      <c r="A2388" s="49" t="s">
        <v>2349</v>
      </c>
      <c r="B2388" s="49" t="s">
        <v>2350</v>
      </c>
      <c r="C2388" s="49" t="s">
        <v>5375</v>
      </c>
      <c r="D2388" s="49" t="s">
        <v>2352</v>
      </c>
      <c r="E2388" s="49" t="str">
        <f aca="false">"5060458890191"</f>
        <v>5060458890191</v>
      </c>
      <c r="F2388" s="49" t="s">
        <v>3656</v>
      </c>
      <c r="G2388" s="49" t="n">
        <v>0</v>
      </c>
      <c r="H2388" s="0" t="n">
        <v>0</v>
      </c>
      <c r="M2388" s="51" t="s">
        <v>5333</v>
      </c>
      <c r="N2388" s="49" t="n">
        <v>0</v>
      </c>
      <c r="O2388" s="53" t="n">
        <v>45728.4526273148</v>
      </c>
      <c r="P2388" s="53" t="n">
        <v>45750.620625</v>
      </c>
      <c r="Q2388" s="53" t="n">
        <v>45728.4526273148</v>
      </c>
      <c r="R2388" s="0" t="n">
        <v>0</v>
      </c>
      <c r="S2388" s="51" t="s">
        <v>2376</v>
      </c>
      <c r="T2388" s="51" t="s">
        <v>2376</v>
      </c>
      <c r="U2388" s="0" t="str">
        <f aca="false">"5060458890191"</f>
        <v>5060458890191</v>
      </c>
      <c r="V2388" s="51" t="s">
        <v>2142</v>
      </c>
      <c r="W2388" s="51" t="s">
        <v>5230</v>
      </c>
      <c r="X2388" s="51" t="s">
        <v>2359</v>
      </c>
    </row>
    <row r="2389" customFormat="false" ht="14.25" hidden="true" customHeight="false" outlineLevel="0" collapsed="false">
      <c r="A2389" s="49" t="s">
        <v>2349</v>
      </c>
      <c r="B2389" s="49" t="s">
        <v>2350</v>
      </c>
      <c r="C2389" s="49" t="s">
        <v>5376</v>
      </c>
      <c r="D2389" s="49" t="s">
        <v>2352</v>
      </c>
      <c r="E2389" s="49" t="str">
        <f aca="false">"5060458890191"</f>
        <v>5060458890191</v>
      </c>
      <c r="F2389" s="49" t="s">
        <v>3656</v>
      </c>
      <c r="G2389" s="49" t="n">
        <v>0</v>
      </c>
      <c r="H2389" s="0" t="n">
        <v>0</v>
      </c>
      <c r="M2389" s="51" t="s">
        <v>5333</v>
      </c>
      <c r="N2389" s="49" t="n">
        <v>0</v>
      </c>
      <c r="O2389" s="53" t="n">
        <v>45728.4530671296</v>
      </c>
      <c r="P2389" s="53" t="n">
        <v>45728.9443634259</v>
      </c>
      <c r="Q2389" s="53" t="n">
        <v>45728.4530671296</v>
      </c>
      <c r="R2389" s="0" t="n">
        <v>0</v>
      </c>
      <c r="S2389" s="51" t="s">
        <v>2376</v>
      </c>
      <c r="T2389" s="51" t="s">
        <v>2376</v>
      </c>
      <c r="U2389" s="0" t="str">
        <f aca="false">"5060458890191"</f>
        <v>5060458890191</v>
      </c>
      <c r="V2389" s="51" t="s">
        <v>2142</v>
      </c>
      <c r="W2389" s="51" t="s">
        <v>5377</v>
      </c>
      <c r="X2389" s="51" t="s">
        <v>2359</v>
      </c>
    </row>
    <row r="2390" customFormat="false" ht="14.25" hidden="true" customHeight="false" outlineLevel="0" collapsed="false">
      <c r="A2390" s="49" t="s">
        <v>2349</v>
      </c>
      <c r="B2390" s="49" t="s">
        <v>2350</v>
      </c>
      <c r="C2390" s="49" t="s">
        <v>5378</v>
      </c>
      <c r="D2390" s="49" t="s">
        <v>2352</v>
      </c>
      <c r="E2390" s="49" t="str">
        <f aca="false">"5060458890191"</f>
        <v>5060458890191</v>
      </c>
      <c r="F2390" s="49" t="s">
        <v>3656</v>
      </c>
      <c r="G2390" s="49" t="n">
        <v>0</v>
      </c>
      <c r="H2390" s="0" t="n">
        <v>0</v>
      </c>
      <c r="M2390" s="51" t="s">
        <v>5333</v>
      </c>
      <c r="N2390" s="49" t="n">
        <v>0</v>
      </c>
      <c r="O2390" s="53" t="n">
        <v>45728.4617476852</v>
      </c>
      <c r="P2390" s="53" t="n">
        <v>45757.7743981482</v>
      </c>
      <c r="Q2390" s="53" t="n">
        <v>45728.4617476852</v>
      </c>
      <c r="R2390" s="0" t="n">
        <v>0</v>
      </c>
      <c r="S2390" s="51" t="s">
        <v>2376</v>
      </c>
      <c r="T2390" s="51" t="s">
        <v>2376</v>
      </c>
      <c r="U2390" s="0" t="str">
        <f aca="false">"5060458890191"</f>
        <v>5060458890191</v>
      </c>
      <c r="V2390" s="51" t="s">
        <v>2142</v>
      </c>
      <c r="W2390" s="51" t="s">
        <v>5379</v>
      </c>
      <c r="X2390" s="51" t="s">
        <v>2359</v>
      </c>
    </row>
    <row r="2391" customFormat="false" ht="14.25" hidden="true" customHeight="false" outlineLevel="0" collapsed="false">
      <c r="A2391" s="49" t="s">
        <v>2349</v>
      </c>
      <c r="B2391" s="49" t="s">
        <v>2350</v>
      </c>
      <c r="C2391" s="49" t="s">
        <v>5380</v>
      </c>
      <c r="D2391" s="49" t="s">
        <v>2352</v>
      </c>
      <c r="E2391" s="49" t="str">
        <f aca="false">"5060458890191"</f>
        <v>5060458890191</v>
      </c>
      <c r="F2391" s="49" t="s">
        <v>3656</v>
      </c>
      <c r="G2391" s="49" t="n">
        <v>0</v>
      </c>
      <c r="H2391" s="0" t="n">
        <v>0</v>
      </c>
      <c r="M2391" s="51" t="s">
        <v>5333</v>
      </c>
      <c r="N2391" s="49" t="n">
        <v>0</v>
      </c>
      <c r="O2391" s="53" t="n">
        <v>45728.4612615741</v>
      </c>
      <c r="P2391" s="53" t="n">
        <v>45734.9216666667</v>
      </c>
      <c r="Q2391" s="53" t="n">
        <v>45728.4612615741</v>
      </c>
      <c r="R2391" s="0" t="n">
        <v>0</v>
      </c>
      <c r="S2391" s="51" t="s">
        <v>2376</v>
      </c>
      <c r="T2391" s="51" t="s">
        <v>2376</v>
      </c>
      <c r="U2391" s="0" t="str">
        <f aca="false">"5060458890191"</f>
        <v>5060458890191</v>
      </c>
      <c r="V2391" s="51" t="s">
        <v>2142</v>
      </c>
      <c r="W2391" s="51" t="s">
        <v>4313</v>
      </c>
      <c r="X2391" s="51" t="s">
        <v>2359</v>
      </c>
    </row>
    <row r="2392" customFormat="false" ht="14.25" hidden="true" customHeight="false" outlineLevel="0" collapsed="false">
      <c r="A2392" s="49" t="s">
        <v>2349</v>
      </c>
      <c r="B2392" s="49" t="s">
        <v>2350</v>
      </c>
      <c r="C2392" s="49" t="s">
        <v>5381</v>
      </c>
      <c r="D2392" s="49" t="s">
        <v>2352</v>
      </c>
      <c r="E2392" s="49" t="str">
        <f aca="false">"5060458890191"</f>
        <v>5060458890191</v>
      </c>
      <c r="F2392" s="49" t="s">
        <v>3656</v>
      </c>
      <c r="G2392" s="49" t="n">
        <v>0</v>
      </c>
      <c r="H2392" s="0" t="n">
        <v>0</v>
      </c>
      <c r="M2392" s="51" t="s">
        <v>5333</v>
      </c>
      <c r="N2392" s="49" t="n">
        <v>0</v>
      </c>
      <c r="O2392" s="53" t="n">
        <v>45728.4583796296</v>
      </c>
      <c r="P2392" s="53" t="n">
        <v>45728.9458333333</v>
      </c>
      <c r="Q2392" s="53" t="n">
        <v>45728.4583796296</v>
      </c>
      <c r="R2392" s="0" t="n">
        <v>0</v>
      </c>
      <c r="S2392" s="51" t="s">
        <v>2376</v>
      </c>
      <c r="T2392" s="51" t="s">
        <v>2376</v>
      </c>
      <c r="U2392" s="0" t="str">
        <f aca="false">"5060458890191"</f>
        <v>5060458890191</v>
      </c>
      <c r="V2392" s="51" t="s">
        <v>2142</v>
      </c>
      <c r="W2392" s="51" t="s">
        <v>5382</v>
      </c>
      <c r="X2392" s="51" t="s">
        <v>2359</v>
      </c>
    </row>
    <row r="2393" customFormat="false" ht="14.25" hidden="true" customHeight="false" outlineLevel="0" collapsed="false">
      <c r="A2393" s="49" t="s">
        <v>2349</v>
      </c>
      <c r="B2393" s="49" t="s">
        <v>2350</v>
      </c>
      <c r="C2393" s="49" t="s">
        <v>5383</v>
      </c>
      <c r="D2393" s="49" t="s">
        <v>2352</v>
      </c>
      <c r="E2393" s="49" t="str">
        <f aca="false">"8908020441030"</f>
        <v>8908020441030</v>
      </c>
      <c r="F2393" s="49" t="s">
        <v>5384</v>
      </c>
      <c r="G2393" s="49" t="n">
        <v>0</v>
      </c>
      <c r="H2393" s="0" t="n">
        <v>0</v>
      </c>
      <c r="M2393" s="51" t="s">
        <v>5385</v>
      </c>
      <c r="N2393" s="49" t="n">
        <v>0</v>
      </c>
      <c r="O2393" s="53" t="n">
        <v>45724.5854976852</v>
      </c>
      <c r="P2393" s="53" t="n">
        <v>45781.6217013889</v>
      </c>
      <c r="Q2393" s="53" t="n">
        <v>45724.5854976852</v>
      </c>
      <c r="R2393" s="0" t="n">
        <v>0</v>
      </c>
      <c r="S2393" s="51" t="s">
        <v>2356</v>
      </c>
      <c r="T2393" s="51" t="s">
        <v>2356</v>
      </c>
      <c r="U2393" s="0" t="str">
        <f aca="false">"8908020441030"</f>
        <v>8908020441030</v>
      </c>
      <c r="V2393" s="51" t="s">
        <v>5386</v>
      </c>
      <c r="W2393" s="51" t="s">
        <v>4604</v>
      </c>
      <c r="X2393" s="51" t="s">
        <v>2359</v>
      </c>
    </row>
    <row r="2394" customFormat="false" ht="14.25" hidden="true" customHeight="false" outlineLevel="0" collapsed="false">
      <c r="A2394" s="49" t="s">
        <v>2349</v>
      </c>
      <c r="B2394" s="49" t="s">
        <v>2350</v>
      </c>
      <c r="C2394" s="49" t="s">
        <v>5387</v>
      </c>
      <c r="D2394" s="49" t="s">
        <v>2352</v>
      </c>
      <c r="E2394" s="49" t="str">
        <f aca="false">"8908020441030"</f>
        <v>8908020441030</v>
      </c>
      <c r="F2394" s="49" t="s">
        <v>5384</v>
      </c>
      <c r="G2394" s="49" t="n">
        <v>0</v>
      </c>
      <c r="H2394" s="0" t="n">
        <v>0</v>
      </c>
      <c r="M2394" s="51" t="s">
        <v>5385</v>
      </c>
      <c r="N2394" s="49" t="n">
        <v>0</v>
      </c>
      <c r="O2394" s="53" t="n">
        <v>45724.5854513889</v>
      </c>
      <c r="P2394" s="53" t="n">
        <v>45764.7824074074</v>
      </c>
      <c r="Q2394" s="53" t="n">
        <v>45724.5854513889</v>
      </c>
      <c r="R2394" s="0" t="n">
        <v>0</v>
      </c>
      <c r="S2394" s="51" t="s">
        <v>2356</v>
      </c>
      <c r="T2394" s="51" t="s">
        <v>2356</v>
      </c>
      <c r="U2394" s="0" t="str">
        <f aca="false">"8908020441030"</f>
        <v>8908020441030</v>
      </c>
      <c r="V2394" s="51" t="s">
        <v>5386</v>
      </c>
      <c r="W2394" s="51" t="s">
        <v>5388</v>
      </c>
      <c r="X2394" s="51" t="s">
        <v>2359</v>
      </c>
    </row>
    <row r="2395" customFormat="false" ht="14.25" hidden="true" customHeight="false" outlineLevel="0" collapsed="false">
      <c r="A2395" s="49" t="s">
        <v>2349</v>
      </c>
      <c r="B2395" s="49" t="s">
        <v>2350</v>
      </c>
      <c r="C2395" s="49" t="s">
        <v>5389</v>
      </c>
      <c r="D2395" s="49" t="s">
        <v>2352</v>
      </c>
      <c r="E2395" s="49" t="str">
        <f aca="false">"8908020441030"</f>
        <v>8908020441030</v>
      </c>
      <c r="F2395" s="49" t="s">
        <v>5384</v>
      </c>
      <c r="G2395" s="49" t="n">
        <v>0</v>
      </c>
      <c r="H2395" s="0" t="n">
        <v>0</v>
      </c>
      <c r="M2395" s="51" t="s">
        <v>5385</v>
      </c>
      <c r="N2395" s="49" t="n">
        <v>0</v>
      </c>
      <c r="O2395" s="53" t="n">
        <v>45724.5854282407</v>
      </c>
      <c r="P2395" s="53" t="n">
        <v>45778.6956134259</v>
      </c>
      <c r="Q2395" s="53" t="n">
        <v>45724.5854282407</v>
      </c>
      <c r="R2395" s="0" t="n">
        <v>0</v>
      </c>
      <c r="S2395" s="51" t="s">
        <v>2356</v>
      </c>
      <c r="T2395" s="51" t="s">
        <v>2356</v>
      </c>
      <c r="U2395" s="0" t="str">
        <f aca="false">"8908020441030"</f>
        <v>8908020441030</v>
      </c>
      <c r="V2395" s="51" t="s">
        <v>5386</v>
      </c>
      <c r="W2395" s="51" t="s">
        <v>4118</v>
      </c>
      <c r="X2395" s="51" t="s">
        <v>2359</v>
      </c>
    </row>
    <row r="2396" customFormat="false" ht="14.25" hidden="true" customHeight="false" outlineLevel="0" collapsed="false">
      <c r="A2396" s="49" t="s">
        <v>2349</v>
      </c>
      <c r="B2396" s="49" t="s">
        <v>2350</v>
      </c>
      <c r="C2396" s="49" t="s">
        <v>5390</v>
      </c>
      <c r="D2396" s="49" t="s">
        <v>2352</v>
      </c>
      <c r="E2396" s="49" t="str">
        <f aca="false">"8908020441030"</f>
        <v>8908020441030</v>
      </c>
      <c r="F2396" s="49" t="s">
        <v>5384</v>
      </c>
      <c r="G2396" s="49" t="n">
        <v>0</v>
      </c>
      <c r="H2396" s="0" t="n">
        <v>0</v>
      </c>
      <c r="M2396" s="51" t="s">
        <v>5385</v>
      </c>
      <c r="N2396" s="49" t="n">
        <v>0</v>
      </c>
      <c r="O2396" s="53" t="n">
        <v>45724.5854166667</v>
      </c>
      <c r="P2396" s="53" t="n">
        <v>45778.6954398148</v>
      </c>
      <c r="Q2396" s="53" t="n">
        <v>45724.5854166667</v>
      </c>
      <c r="R2396" s="0" t="n">
        <v>0</v>
      </c>
      <c r="S2396" s="51" t="s">
        <v>2356</v>
      </c>
      <c r="T2396" s="51" t="s">
        <v>2356</v>
      </c>
      <c r="U2396" s="0" t="str">
        <f aca="false">"8908020441030"</f>
        <v>8908020441030</v>
      </c>
      <c r="V2396" s="51" t="s">
        <v>5386</v>
      </c>
      <c r="W2396" s="51" t="s">
        <v>3745</v>
      </c>
      <c r="X2396" s="51" t="s">
        <v>2359</v>
      </c>
    </row>
    <row r="2397" customFormat="false" ht="14.25" hidden="true" customHeight="false" outlineLevel="0" collapsed="false">
      <c r="A2397" s="49" t="s">
        <v>2349</v>
      </c>
      <c r="B2397" s="49" t="s">
        <v>2350</v>
      </c>
      <c r="C2397" s="49" t="s">
        <v>5391</v>
      </c>
      <c r="D2397" s="49" t="s">
        <v>2352</v>
      </c>
      <c r="E2397" s="49" t="str">
        <f aca="false">"8908020441030"</f>
        <v>8908020441030</v>
      </c>
      <c r="F2397" s="49" t="s">
        <v>5384</v>
      </c>
      <c r="G2397" s="49" t="n">
        <v>0</v>
      </c>
      <c r="H2397" s="0" t="n">
        <v>0</v>
      </c>
      <c r="M2397" s="51" t="s">
        <v>5385</v>
      </c>
      <c r="N2397" s="49" t="n">
        <v>0</v>
      </c>
      <c r="O2397" s="53" t="n">
        <v>45724.5853935185</v>
      </c>
      <c r="P2397" s="53" t="n">
        <v>45778.6946990741</v>
      </c>
      <c r="Q2397" s="53" t="n">
        <v>45724.5853935185</v>
      </c>
      <c r="R2397" s="0" t="n">
        <v>0</v>
      </c>
      <c r="S2397" s="51" t="s">
        <v>2356</v>
      </c>
      <c r="T2397" s="51" t="s">
        <v>2356</v>
      </c>
      <c r="U2397" s="0" t="str">
        <f aca="false">"8908020441030"</f>
        <v>8908020441030</v>
      </c>
      <c r="V2397" s="51" t="s">
        <v>5386</v>
      </c>
      <c r="W2397" s="51" t="s">
        <v>5392</v>
      </c>
      <c r="X2397" s="51" t="s">
        <v>2359</v>
      </c>
    </row>
    <row r="2398" customFormat="false" ht="14.25" hidden="true" customHeight="false" outlineLevel="0" collapsed="false">
      <c r="A2398" s="49" t="s">
        <v>2349</v>
      </c>
      <c r="B2398" s="49" t="s">
        <v>2350</v>
      </c>
      <c r="C2398" s="49" t="s">
        <v>5393</v>
      </c>
      <c r="D2398" s="49" t="s">
        <v>2352</v>
      </c>
      <c r="E2398" s="49" t="str">
        <f aca="false">"8908020441030"</f>
        <v>8908020441030</v>
      </c>
      <c r="F2398" s="49" t="s">
        <v>5384</v>
      </c>
      <c r="G2398" s="49" t="n">
        <v>0</v>
      </c>
      <c r="H2398" s="0" t="n">
        <v>0</v>
      </c>
      <c r="M2398" s="51" t="s">
        <v>5385</v>
      </c>
      <c r="N2398" s="49" t="n">
        <v>0</v>
      </c>
      <c r="O2398" s="53" t="n">
        <v>45724.5853703704</v>
      </c>
      <c r="P2398" s="53" t="n">
        <v>45778.6955671296</v>
      </c>
      <c r="Q2398" s="53" t="n">
        <v>45724.5853703704</v>
      </c>
      <c r="R2398" s="0" t="n">
        <v>0</v>
      </c>
      <c r="S2398" s="51" t="s">
        <v>2356</v>
      </c>
      <c r="T2398" s="51" t="s">
        <v>2356</v>
      </c>
      <c r="U2398" s="0" t="str">
        <f aca="false">"8908020441030"</f>
        <v>8908020441030</v>
      </c>
      <c r="V2398" s="51" t="s">
        <v>5386</v>
      </c>
      <c r="W2398" s="51" t="s">
        <v>4171</v>
      </c>
      <c r="X2398" s="51" t="s">
        <v>2359</v>
      </c>
    </row>
    <row r="2399" customFormat="false" ht="14.25" hidden="true" customHeight="false" outlineLevel="0" collapsed="false">
      <c r="A2399" s="49" t="s">
        <v>2349</v>
      </c>
      <c r="B2399" s="49" t="s">
        <v>2350</v>
      </c>
      <c r="C2399" s="49" t="s">
        <v>5394</v>
      </c>
      <c r="D2399" s="49" t="s">
        <v>2352</v>
      </c>
      <c r="E2399" s="49" t="str">
        <f aca="false">"8908020441030"</f>
        <v>8908020441030</v>
      </c>
      <c r="F2399" s="49" t="s">
        <v>5384</v>
      </c>
      <c r="G2399" s="49" t="n">
        <v>0</v>
      </c>
      <c r="H2399" s="0" t="n">
        <v>0</v>
      </c>
      <c r="M2399" s="51" t="s">
        <v>5385</v>
      </c>
      <c r="N2399" s="49" t="n">
        <v>0</v>
      </c>
      <c r="O2399" s="53" t="n">
        <v>45724.5853240741</v>
      </c>
      <c r="P2399" s="53" t="n">
        <v>45778.6954976852</v>
      </c>
      <c r="Q2399" s="53" t="n">
        <v>45724.5853240741</v>
      </c>
      <c r="R2399" s="0" t="n">
        <v>0</v>
      </c>
      <c r="S2399" s="51" t="s">
        <v>2356</v>
      </c>
      <c r="T2399" s="51" t="s">
        <v>2356</v>
      </c>
      <c r="U2399" s="0" t="str">
        <f aca="false">"8908020441030"</f>
        <v>8908020441030</v>
      </c>
      <c r="V2399" s="51" t="s">
        <v>5386</v>
      </c>
      <c r="W2399" s="51" t="s">
        <v>3683</v>
      </c>
      <c r="X2399" s="51" t="s">
        <v>2359</v>
      </c>
    </row>
    <row r="2400" customFormat="false" ht="14.25" hidden="true" customHeight="false" outlineLevel="0" collapsed="false">
      <c r="A2400" s="49" t="s">
        <v>2349</v>
      </c>
      <c r="B2400" s="49" t="s">
        <v>2350</v>
      </c>
      <c r="C2400" s="49" t="s">
        <v>5395</v>
      </c>
      <c r="D2400" s="49" t="s">
        <v>2352</v>
      </c>
      <c r="E2400" s="49" t="str">
        <f aca="false">"8908020441030"</f>
        <v>8908020441030</v>
      </c>
      <c r="F2400" s="49" t="s">
        <v>5384</v>
      </c>
      <c r="G2400" s="49" t="n">
        <v>0</v>
      </c>
      <c r="H2400" s="0" t="n">
        <v>0</v>
      </c>
      <c r="M2400" s="51" t="s">
        <v>5385</v>
      </c>
      <c r="N2400" s="49" t="n">
        <v>0</v>
      </c>
      <c r="O2400" s="53" t="n">
        <v>45724.5853009259</v>
      </c>
      <c r="P2400" s="53" t="n">
        <v>45777.308587963</v>
      </c>
      <c r="Q2400" s="53" t="n">
        <v>45724.5853009259</v>
      </c>
      <c r="R2400" s="0" t="n">
        <v>0</v>
      </c>
      <c r="S2400" s="51" t="s">
        <v>2356</v>
      </c>
      <c r="T2400" s="51" t="s">
        <v>2356</v>
      </c>
      <c r="U2400" s="0" t="str">
        <f aca="false">"8908020441030"</f>
        <v>8908020441030</v>
      </c>
      <c r="V2400" s="51" t="s">
        <v>5386</v>
      </c>
      <c r="W2400" s="51" t="s">
        <v>4154</v>
      </c>
      <c r="X2400" s="51" t="s">
        <v>2359</v>
      </c>
    </row>
    <row r="2401" customFormat="false" ht="14.25" hidden="true" customHeight="false" outlineLevel="0" collapsed="false">
      <c r="A2401" s="49" t="s">
        <v>2349</v>
      </c>
      <c r="B2401" s="49" t="s">
        <v>2350</v>
      </c>
      <c r="C2401" s="49" t="s">
        <v>5396</v>
      </c>
      <c r="D2401" s="49" t="s">
        <v>2352</v>
      </c>
      <c r="E2401" s="49" t="str">
        <f aca="false">"8908020441030"</f>
        <v>8908020441030</v>
      </c>
      <c r="F2401" s="49" t="s">
        <v>5384</v>
      </c>
      <c r="G2401" s="49" t="n">
        <v>0</v>
      </c>
      <c r="H2401" s="0" t="n">
        <v>0</v>
      </c>
      <c r="M2401" s="51" t="s">
        <v>5385</v>
      </c>
      <c r="N2401" s="49" t="n">
        <v>0</v>
      </c>
      <c r="O2401" s="53" t="n">
        <v>45724.5852777778</v>
      </c>
      <c r="P2401" s="53" t="n">
        <v>45752.5982291667</v>
      </c>
      <c r="Q2401" s="53" t="n">
        <v>45724.5852777778</v>
      </c>
      <c r="R2401" s="0" t="n">
        <v>0</v>
      </c>
      <c r="S2401" s="51" t="s">
        <v>2356</v>
      </c>
      <c r="T2401" s="51" t="s">
        <v>2356</v>
      </c>
      <c r="U2401" s="0" t="str">
        <f aca="false">"8908020441030"</f>
        <v>8908020441030</v>
      </c>
      <c r="V2401" s="51" t="s">
        <v>5386</v>
      </c>
      <c r="W2401" s="51" t="s">
        <v>5397</v>
      </c>
      <c r="X2401" s="51" t="s">
        <v>2359</v>
      </c>
    </row>
    <row r="2402" customFormat="false" ht="14.25" hidden="true" customHeight="false" outlineLevel="0" collapsed="false">
      <c r="A2402" s="49" t="s">
        <v>2349</v>
      </c>
      <c r="B2402" s="49" t="s">
        <v>2350</v>
      </c>
      <c r="C2402" s="49" t="s">
        <v>5398</v>
      </c>
      <c r="D2402" s="49" t="s">
        <v>2352</v>
      </c>
      <c r="E2402" s="49" t="str">
        <f aca="false">"8908020441030"</f>
        <v>8908020441030</v>
      </c>
      <c r="F2402" s="49" t="s">
        <v>5384</v>
      </c>
      <c r="G2402" s="49" t="n">
        <v>0</v>
      </c>
      <c r="H2402" s="0" t="n">
        <v>0</v>
      </c>
      <c r="M2402" s="51" t="s">
        <v>5385</v>
      </c>
      <c r="N2402" s="49" t="n">
        <v>0</v>
      </c>
      <c r="O2402" s="53" t="n">
        <v>45724.5849884259</v>
      </c>
      <c r="P2402" s="53" t="n">
        <v>45757.5736689815</v>
      </c>
      <c r="Q2402" s="53" t="n">
        <v>45724.5849884259</v>
      </c>
      <c r="R2402" s="0" t="n">
        <v>0</v>
      </c>
      <c r="S2402" s="51" t="s">
        <v>2356</v>
      </c>
      <c r="T2402" s="51" t="s">
        <v>2356</v>
      </c>
      <c r="U2402" s="0" t="str">
        <f aca="false">"8908020441030"</f>
        <v>8908020441030</v>
      </c>
      <c r="V2402" s="51" t="s">
        <v>5386</v>
      </c>
      <c r="W2402" s="51" t="s">
        <v>4175</v>
      </c>
      <c r="X2402" s="51" t="s">
        <v>2359</v>
      </c>
    </row>
    <row r="2403" customFormat="false" ht="14.25" hidden="true" customHeight="false" outlineLevel="0" collapsed="false">
      <c r="A2403" s="49" t="s">
        <v>2349</v>
      </c>
      <c r="B2403" s="49" t="s">
        <v>2350</v>
      </c>
      <c r="C2403" s="49" t="s">
        <v>5399</v>
      </c>
      <c r="D2403" s="49" t="s">
        <v>2352</v>
      </c>
      <c r="E2403" s="49" t="str">
        <f aca="false">"8908020441030"</f>
        <v>8908020441030</v>
      </c>
      <c r="F2403" s="49" t="s">
        <v>5384</v>
      </c>
      <c r="G2403" s="49" t="n">
        <v>0</v>
      </c>
      <c r="H2403" s="0" t="n">
        <v>0</v>
      </c>
      <c r="M2403" s="51" t="s">
        <v>5385</v>
      </c>
      <c r="N2403" s="49" t="n">
        <v>0</v>
      </c>
      <c r="O2403" s="53" t="n">
        <v>45724.5849652778</v>
      </c>
      <c r="P2403" s="53" t="n">
        <v>45743.3138310185</v>
      </c>
      <c r="Q2403" s="53" t="n">
        <v>45724.5849652778</v>
      </c>
      <c r="R2403" s="0" t="n">
        <v>0</v>
      </c>
      <c r="S2403" s="51" t="s">
        <v>2356</v>
      </c>
      <c r="T2403" s="51" t="s">
        <v>2356</v>
      </c>
      <c r="U2403" s="0" t="str">
        <f aca="false">"8908020441030"</f>
        <v>8908020441030</v>
      </c>
      <c r="V2403" s="51" t="s">
        <v>5386</v>
      </c>
      <c r="W2403" s="51" t="s">
        <v>4169</v>
      </c>
      <c r="X2403" s="51" t="s">
        <v>2359</v>
      </c>
    </row>
    <row r="2404" customFormat="false" ht="14.25" hidden="true" customHeight="false" outlineLevel="0" collapsed="false">
      <c r="A2404" s="49" t="s">
        <v>2349</v>
      </c>
      <c r="B2404" s="49" t="s">
        <v>2350</v>
      </c>
      <c r="C2404" s="49" t="s">
        <v>5400</v>
      </c>
      <c r="D2404" s="49" t="s">
        <v>2352</v>
      </c>
      <c r="E2404" s="49" t="str">
        <f aca="false">"8908020441030"</f>
        <v>8908020441030</v>
      </c>
      <c r="F2404" s="49" t="s">
        <v>5384</v>
      </c>
      <c r="G2404" s="49" t="n">
        <v>0</v>
      </c>
      <c r="H2404" s="0" t="n">
        <v>0</v>
      </c>
      <c r="M2404" s="51" t="s">
        <v>5385</v>
      </c>
      <c r="N2404" s="49" t="n">
        <v>0</v>
      </c>
      <c r="O2404" s="53" t="n">
        <v>45724.5849421296</v>
      </c>
      <c r="P2404" s="53" t="n">
        <v>45769.6314930556</v>
      </c>
      <c r="Q2404" s="53" t="n">
        <v>45724.5849421296</v>
      </c>
      <c r="R2404" s="0" t="n">
        <v>0</v>
      </c>
      <c r="S2404" s="51" t="s">
        <v>2356</v>
      </c>
      <c r="T2404" s="51" t="s">
        <v>2356</v>
      </c>
      <c r="U2404" s="0" t="str">
        <f aca="false">"8908020441030"</f>
        <v>8908020441030</v>
      </c>
      <c r="V2404" s="51" t="s">
        <v>5386</v>
      </c>
      <c r="W2404" s="51" t="s">
        <v>3764</v>
      </c>
      <c r="X2404" s="51" t="s">
        <v>2359</v>
      </c>
    </row>
    <row r="2405" customFormat="false" ht="14.25" hidden="true" customHeight="false" outlineLevel="0" collapsed="false">
      <c r="A2405" s="49" t="s">
        <v>2349</v>
      </c>
      <c r="B2405" s="49" t="s">
        <v>2350</v>
      </c>
      <c r="C2405" s="49" t="s">
        <v>5401</v>
      </c>
      <c r="D2405" s="49" t="s">
        <v>2352</v>
      </c>
      <c r="E2405" s="49" t="str">
        <f aca="false">"8908020441030"</f>
        <v>8908020441030</v>
      </c>
      <c r="F2405" s="49" t="s">
        <v>5384</v>
      </c>
      <c r="G2405" s="49" t="n">
        <v>0</v>
      </c>
      <c r="H2405" s="0" t="n">
        <v>0</v>
      </c>
      <c r="M2405" s="51" t="s">
        <v>5385</v>
      </c>
      <c r="N2405" s="49" t="n">
        <v>0</v>
      </c>
      <c r="O2405" s="53" t="n">
        <v>45724.584849537</v>
      </c>
      <c r="P2405" s="53" t="n">
        <v>45766.6212731482</v>
      </c>
      <c r="Q2405" s="53" t="n">
        <v>45724.584849537</v>
      </c>
      <c r="R2405" s="0" t="n">
        <v>0</v>
      </c>
      <c r="S2405" s="51" t="s">
        <v>2356</v>
      </c>
      <c r="T2405" s="51" t="s">
        <v>2356</v>
      </c>
      <c r="U2405" s="0" t="str">
        <f aca="false">"8908020441030"</f>
        <v>8908020441030</v>
      </c>
      <c r="V2405" s="51" t="s">
        <v>5386</v>
      </c>
      <c r="W2405" s="51" t="s">
        <v>4126</v>
      </c>
      <c r="X2405" s="51" t="s">
        <v>2359</v>
      </c>
    </row>
    <row r="2406" customFormat="false" ht="14.25" hidden="true" customHeight="false" outlineLevel="0" collapsed="false">
      <c r="A2406" s="49" t="s">
        <v>2349</v>
      </c>
      <c r="B2406" s="49" t="s">
        <v>2350</v>
      </c>
      <c r="C2406" s="49" t="s">
        <v>5402</v>
      </c>
      <c r="D2406" s="49" t="s">
        <v>2352</v>
      </c>
      <c r="E2406" s="49" t="str">
        <f aca="false">"8908020441030"</f>
        <v>8908020441030</v>
      </c>
      <c r="F2406" s="49" t="s">
        <v>5384</v>
      </c>
      <c r="G2406" s="49" t="n">
        <v>0</v>
      </c>
      <c r="H2406" s="0" t="n">
        <v>0</v>
      </c>
      <c r="M2406" s="51" t="s">
        <v>5385</v>
      </c>
      <c r="N2406" s="49" t="n">
        <v>0</v>
      </c>
      <c r="O2406" s="53" t="n">
        <v>45724.5844328704</v>
      </c>
      <c r="P2406" s="53" t="n">
        <v>45778.6945717593</v>
      </c>
      <c r="Q2406" s="53" t="n">
        <v>45724.5844328704</v>
      </c>
      <c r="R2406" s="0" t="n">
        <v>0</v>
      </c>
      <c r="S2406" s="51" t="s">
        <v>2356</v>
      </c>
      <c r="T2406" s="51" t="s">
        <v>2356</v>
      </c>
      <c r="U2406" s="0" t="str">
        <f aca="false">"8908020441030"</f>
        <v>8908020441030</v>
      </c>
      <c r="V2406" s="51" t="s">
        <v>5386</v>
      </c>
      <c r="W2406" s="51" t="s">
        <v>4588</v>
      </c>
      <c r="X2406" s="51" t="s">
        <v>2359</v>
      </c>
    </row>
    <row r="2407" customFormat="false" ht="14.25" hidden="true" customHeight="false" outlineLevel="0" collapsed="false">
      <c r="A2407" s="49" t="s">
        <v>2349</v>
      </c>
      <c r="B2407" s="49" t="s">
        <v>2350</v>
      </c>
      <c r="C2407" s="49" t="s">
        <v>5403</v>
      </c>
      <c r="D2407" s="49" t="s">
        <v>2352</v>
      </c>
      <c r="E2407" s="49" t="str">
        <f aca="false">"8908020441070"</f>
        <v>8908020441070</v>
      </c>
      <c r="F2407" s="49" t="s">
        <v>5404</v>
      </c>
      <c r="G2407" s="49" t="n">
        <v>0</v>
      </c>
      <c r="H2407" s="0" t="n">
        <v>0</v>
      </c>
      <c r="M2407" s="51" t="s">
        <v>5385</v>
      </c>
      <c r="N2407" s="49" t="n">
        <v>0</v>
      </c>
      <c r="O2407" s="53" t="n">
        <v>45724.5859606481</v>
      </c>
      <c r="P2407" s="53" t="n">
        <v>45798.5190856482</v>
      </c>
      <c r="Q2407" s="53" t="n">
        <v>45724.5859606481</v>
      </c>
      <c r="R2407" s="0" t="n">
        <v>0</v>
      </c>
      <c r="S2407" s="51" t="s">
        <v>2356</v>
      </c>
      <c r="T2407" s="51" t="s">
        <v>2356</v>
      </c>
      <c r="U2407" s="0" t="str">
        <f aca="false">"8908020441070"</f>
        <v>8908020441070</v>
      </c>
      <c r="V2407" s="51" t="s">
        <v>5386</v>
      </c>
      <c r="W2407" s="51" t="s">
        <v>5405</v>
      </c>
      <c r="X2407" s="51" t="s">
        <v>2359</v>
      </c>
    </row>
    <row r="2408" customFormat="false" ht="14.25" hidden="true" customHeight="false" outlineLevel="0" collapsed="false">
      <c r="A2408" s="49" t="s">
        <v>2349</v>
      </c>
      <c r="B2408" s="49" t="s">
        <v>2350</v>
      </c>
      <c r="C2408" s="49" t="s">
        <v>5406</v>
      </c>
      <c r="D2408" s="49" t="s">
        <v>2352</v>
      </c>
      <c r="E2408" s="49" t="str">
        <f aca="false">"8908020441070"</f>
        <v>8908020441070</v>
      </c>
      <c r="F2408" s="49" t="s">
        <v>5404</v>
      </c>
      <c r="G2408" s="49" t="n">
        <v>0</v>
      </c>
      <c r="H2408" s="0" t="n">
        <v>0</v>
      </c>
      <c r="M2408" s="51" t="s">
        <v>5385</v>
      </c>
      <c r="N2408" s="49" t="n">
        <v>0</v>
      </c>
      <c r="O2408" s="53" t="n">
        <v>45724.5859375</v>
      </c>
      <c r="P2408" s="53" t="n">
        <v>45798.5187384259</v>
      </c>
      <c r="Q2408" s="53" t="n">
        <v>45724.5859375</v>
      </c>
      <c r="R2408" s="0" t="n">
        <v>0</v>
      </c>
      <c r="S2408" s="51" t="s">
        <v>2356</v>
      </c>
      <c r="T2408" s="51" t="s">
        <v>2356</v>
      </c>
      <c r="U2408" s="0" t="str">
        <f aca="false">"8908020441070"</f>
        <v>8908020441070</v>
      </c>
      <c r="V2408" s="51" t="s">
        <v>5386</v>
      </c>
      <c r="W2408" s="51" t="s">
        <v>4122</v>
      </c>
      <c r="X2408" s="51" t="s">
        <v>2359</v>
      </c>
    </row>
    <row r="2409" customFormat="false" ht="14.25" hidden="true" customHeight="false" outlineLevel="0" collapsed="false">
      <c r="A2409" s="49" t="s">
        <v>2349</v>
      </c>
      <c r="B2409" s="49" t="s">
        <v>2350</v>
      </c>
      <c r="C2409" s="49" t="s">
        <v>5407</v>
      </c>
      <c r="D2409" s="49" t="s">
        <v>2352</v>
      </c>
      <c r="E2409" s="49" t="str">
        <f aca="false">"8908020441070"</f>
        <v>8908020441070</v>
      </c>
      <c r="F2409" s="49" t="s">
        <v>5404</v>
      </c>
      <c r="G2409" s="49" t="n">
        <v>0</v>
      </c>
      <c r="H2409" s="0" t="n">
        <v>0</v>
      </c>
      <c r="M2409" s="51" t="s">
        <v>5385</v>
      </c>
      <c r="N2409" s="49" t="n">
        <v>0</v>
      </c>
      <c r="O2409" s="53" t="n">
        <v>45724.5858912037</v>
      </c>
      <c r="P2409" s="53" t="n">
        <v>45798.5191666667</v>
      </c>
      <c r="Q2409" s="53" t="n">
        <v>45724.5858912037</v>
      </c>
      <c r="R2409" s="0" t="n">
        <v>0</v>
      </c>
      <c r="S2409" s="51" t="s">
        <v>2356</v>
      </c>
      <c r="T2409" s="51" t="s">
        <v>2356</v>
      </c>
      <c r="U2409" s="0" t="str">
        <f aca="false">"8908020441070"</f>
        <v>8908020441070</v>
      </c>
      <c r="V2409" s="51" t="s">
        <v>5386</v>
      </c>
      <c r="W2409" s="51" t="s">
        <v>4611</v>
      </c>
      <c r="X2409" s="51" t="s">
        <v>2359</v>
      </c>
    </row>
    <row r="2410" customFormat="false" ht="14.25" hidden="true" customHeight="false" outlineLevel="0" collapsed="false">
      <c r="A2410" s="49" t="s">
        <v>2349</v>
      </c>
      <c r="B2410" s="49" t="s">
        <v>2350</v>
      </c>
      <c r="C2410" s="49" t="s">
        <v>5408</v>
      </c>
      <c r="D2410" s="49" t="s">
        <v>2352</v>
      </c>
      <c r="E2410" s="49" t="str">
        <f aca="false">"8908020441070"</f>
        <v>8908020441070</v>
      </c>
      <c r="F2410" s="49" t="s">
        <v>5404</v>
      </c>
      <c r="G2410" s="49" t="n">
        <v>0</v>
      </c>
      <c r="H2410" s="0" t="n">
        <v>0</v>
      </c>
      <c r="M2410" s="51" t="s">
        <v>5385</v>
      </c>
      <c r="N2410" s="49" t="n">
        <v>0</v>
      </c>
      <c r="O2410" s="53" t="n">
        <v>45724.5858796296</v>
      </c>
      <c r="P2410" s="53" t="n">
        <v>45794.3715277778</v>
      </c>
      <c r="Q2410" s="53" t="n">
        <v>45724.5858796296</v>
      </c>
      <c r="R2410" s="0" t="n">
        <v>0</v>
      </c>
      <c r="S2410" s="51" t="s">
        <v>2356</v>
      </c>
      <c r="T2410" s="51" t="s">
        <v>2356</v>
      </c>
      <c r="U2410" s="0" t="str">
        <f aca="false">"8908020441070"</f>
        <v>8908020441070</v>
      </c>
      <c r="V2410" s="51" t="s">
        <v>5386</v>
      </c>
      <c r="W2410" s="51" t="s">
        <v>4586</v>
      </c>
      <c r="X2410" s="51" t="s">
        <v>2359</v>
      </c>
    </row>
    <row r="2411" customFormat="false" ht="14.25" hidden="true" customHeight="false" outlineLevel="0" collapsed="false">
      <c r="A2411" s="49" t="s">
        <v>2349</v>
      </c>
      <c r="B2411" s="49" t="s">
        <v>2350</v>
      </c>
      <c r="C2411" s="49" t="s">
        <v>5409</v>
      </c>
      <c r="D2411" s="49" t="s">
        <v>2352</v>
      </c>
      <c r="E2411" s="49" t="str">
        <f aca="false">"8908020441070"</f>
        <v>8908020441070</v>
      </c>
      <c r="F2411" s="49" t="s">
        <v>5404</v>
      </c>
      <c r="G2411" s="49" t="n">
        <v>0</v>
      </c>
      <c r="H2411" s="0" t="n">
        <v>0</v>
      </c>
      <c r="M2411" s="51" t="s">
        <v>5385</v>
      </c>
      <c r="N2411" s="49" t="n">
        <v>0</v>
      </c>
      <c r="O2411" s="53" t="n">
        <v>45724.5858564815</v>
      </c>
      <c r="P2411" s="53" t="n">
        <v>45784.643287037</v>
      </c>
      <c r="Q2411" s="53" t="n">
        <v>45724.5858564815</v>
      </c>
      <c r="R2411" s="0" t="n">
        <v>0</v>
      </c>
      <c r="S2411" s="51" t="s">
        <v>2356</v>
      </c>
      <c r="T2411" s="51" t="s">
        <v>2356</v>
      </c>
      <c r="U2411" s="0" t="str">
        <f aca="false">"8908020441070"</f>
        <v>8908020441070</v>
      </c>
      <c r="V2411" s="51" t="s">
        <v>5386</v>
      </c>
      <c r="W2411" s="51" t="s">
        <v>4792</v>
      </c>
      <c r="X2411" s="51" t="s">
        <v>2359</v>
      </c>
    </row>
    <row r="2412" customFormat="false" ht="14.25" hidden="true" customHeight="false" outlineLevel="0" collapsed="false">
      <c r="A2412" s="49" t="s">
        <v>2349</v>
      </c>
      <c r="B2412" s="49" t="s">
        <v>2350</v>
      </c>
      <c r="C2412" s="49" t="s">
        <v>5410</v>
      </c>
      <c r="D2412" s="49" t="s">
        <v>2352</v>
      </c>
      <c r="E2412" s="49" t="s">
        <v>3960</v>
      </c>
      <c r="F2412" s="49" t="s">
        <v>3961</v>
      </c>
      <c r="G2412" s="49" t="n">
        <v>0</v>
      </c>
      <c r="H2412" s="0" t="n">
        <v>0</v>
      </c>
      <c r="M2412" s="51" t="s">
        <v>5411</v>
      </c>
      <c r="N2412" s="49" t="n">
        <v>0</v>
      </c>
      <c r="O2412" s="53" t="n">
        <v>45724.5907523148</v>
      </c>
      <c r="P2412" s="53" t="n">
        <v>45743.3165277778</v>
      </c>
      <c r="Q2412" s="53" t="n">
        <v>45724.5907523148</v>
      </c>
      <c r="R2412" s="0" t="n">
        <v>0</v>
      </c>
      <c r="S2412" s="51" t="s">
        <v>2356</v>
      </c>
      <c r="T2412" s="51" t="s">
        <v>2356</v>
      </c>
      <c r="U2412" s="51" t="s">
        <v>3960</v>
      </c>
      <c r="V2412" s="51" t="s">
        <v>2365</v>
      </c>
      <c r="W2412" s="51" t="s">
        <v>5412</v>
      </c>
      <c r="X2412" s="51" t="s">
        <v>2359</v>
      </c>
    </row>
    <row r="2413" customFormat="false" ht="14.25" hidden="true" customHeight="false" outlineLevel="0" collapsed="false">
      <c r="A2413" s="49" t="s">
        <v>2349</v>
      </c>
      <c r="B2413" s="49" t="s">
        <v>2350</v>
      </c>
      <c r="C2413" s="49" t="s">
        <v>5413</v>
      </c>
      <c r="D2413" s="49" t="s">
        <v>2352</v>
      </c>
      <c r="E2413" s="49" t="s">
        <v>3960</v>
      </c>
      <c r="F2413" s="49" t="s">
        <v>3961</v>
      </c>
      <c r="G2413" s="49" t="n">
        <v>0</v>
      </c>
      <c r="H2413" s="0" t="n">
        <v>0</v>
      </c>
      <c r="M2413" s="51" t="s">
        <v>5411</v>
      </c>
      <c r="N2413" s="49" t="n">
        <v>0</v>
      </c>
      <c r="O2413" s="53" t="n">
        <v>45724.5903935185</v>
      </c>
      <c r="P2413" s="53" t="n">
        <v>45731.6593865741</v>
      </c>
      <c r="Q2413" s="53" t="n">
        <v>45724.5903935185</v>
      </c>
      <c r="R2413" s="0" t="n">
        <v>0</v>
      </c>
      <c r="S2413" s="51" t="s">
        <v>2356</v>
      </c>
      <c r="T2413" s="51" t="s">
        <v>2356</v>
      </c>
      <c r="U2413" s="51" t="s">
        <v>3960</v>
      </c>
      <c r="V2413" s="51" t="s">
        <v>2365</v>
      </c>
      <c r="W2413" s="51" t="s">
        <v>5414</v>
      </c>
      <c r="X2413" s="51" t="s">
        <v>2359</v>
      </c>
    </row>
    <row r="2414" customFormat="false" ht="14.25" hidden="true" customHeight="false" outlineLevel="0" collapsed="false">
      <c r="A2414" s="49" t="s">
        <v>2349</v>
      </c>
      <c r="B2414" s="49" t="s">
        <v>2350</v>
      </c>
      <c r="C2414" s="49" t="s">
        <v>5415</v>
      </c>
      <c r="D2414" s="49" t="s">
        <v>2352</v>
      </c>
      <c r="E2414" s="49" t="s">
        <v>3960</v>
      </c>
      <c r="F2414" s="49" t="s">
        <v>3961</v>
      </c>
      <c r="G2414" s="49" t="n">
        <v>0</v>
      </c>
      <c r="H2414" s="0" t="n">
        <v>0</v>
      </c>
      <c r="M2414" s="51" t="s">
        <v>5411</v>
      </c>
      <c r="N2414" s="49" t="n">
        <v>0</v>
      </c>
      <c r="O2414" s="53" t="n">
        <v>45724.5900810185</v>
      </c>
      <c r="P2414" s="53" t="n">
        <v>45734.4710763889</v>
      </c>
      <c r="Q2414" s="53" t="n">
        <v>45724.5900810185</v>
      </c>
      <c r="R2414" s="0" t="n">
        <v>0</v>
      </c>
      <c r="S2414" s="51" t="s">
        <v>2356</v>
      </c>
      <c r="T2414" s="51" t="s">
        <v>2356</v>
      </c>
      <c r="U2414" s="51" t="s">
        <v>3960</v>
      </c>
      <c r="V2414" s="51" t="s">
        <v>2365</v>
      </c>
      <c r="W2414" s="51" t="s">
        <v>3679</v>
      </c>
      <c r="X2414" s="51" t="s">
        <v>2359</v>
      </c>
    </row>
    <row r="2415" customFormat="false" ht="14.25" hidden="true" customHeight="false" outlineLevel="0" collapsed="false">
      <c r="A2415" s="49" t="s">
        <v>2349</v>
      </c>
      <c r="B2415" s="49" t="s">
        <v>2350</v>
      </c>
      <c r="C2415" s="49" t="s">
        <v>5416</v>
      </c>
      <c r="D2415" s="49" t="s">
        <v>2352</v>
      </c>
      <c r="E2415" s="49" t="s">
        <v>3960</v>
      </c>
      <c r="F2415" s="49" t="s">
        <v>3961</v>
      </c>
      <c r="G2415" s="49" t="n">
        <v>0</v>
      </c>
      <c r="H2415" s="0" t="n">
        <v>0</v>
      </c>
      <c r="M2415" s="51" t="s">
        <v>5411</v>
      </c>
      <c r="N2415" s="49" t="n">
        <v>0</v>
      </c>
      <c r="O2415" s="53" t="n">
        <v>45724.5897453704</v>
      </c>
      <c r="P2415" s="53" t="n">
        <v>45766.6236111111</v>
      </c>
      <c r="Q2415" s="53" t="n">
        <v>45724.5897453704</v>
      </c>
      <c r="R2415" s="0" t="n">
        <v>0</v>
      </c>
      <c r="S2415" s="51" t="s">
        <v>2356</v>
      </c>
      <c r="T2415" s="51" t="s">
        <v>2356</v>
      </c>
      <c r="U2415" s="51" t="s">
        <v>3960</v>
      </c>
      <c r="V2415" s="51" t="s">
        <v>2365</v>
      </c>
      <c r="W2415" s="51" t="s">
        <v>5417</v>
      </c>
      <c r="X2415" s="51" t="s">
        <v>2359</v>
      </c>
    </row>
    <row r="2416" customFormat="false" ht="14.25" hidden="true" customHeight="false" outlineLevel="0" collapsed="false">
      <c r="A2416" s="49" t="s">
        <v>2349</v>
      </c>
      <c r="B2416" s="49" t="s">
        <v>2350</v>
      </c>
      <c r="C2416" s="49" t="s">
        <v>5418</v>
      </c>
      <c r="D2416" s="49" t="s">
        <v>2352</v>
      </c>
      <c r="E2416" s="49" t="str">
        <f aca="false">"10074865055175"</f>
        <v>10074865055175</v>
      </c>
      <c r="F2416" s="49" t="s">
        <v>5090</v>
      </c>
      <c r="G2416" s="49" t="n">
        <v>0</v>
      </c>
      <c r="H2416" s="0" t="n">
        <v>0</v>
      </c>
      <c r="M2416" s="51" t="s">
        <v>5419</v>
      </c>
      <c r="N2416" s="49" t="n">
        <v>0</v>
      </c>
      <c r="O2416" s="53" t="n">
        <v>45724.5730555556</v>
      </c>
      <c r="P2416" s="53" t="n">
        <v>45750.6418981482</v>
      </c>
      <c r="Q2416" s="53" t="n">
        <v>45724.5730555556</v>
      </c>
      <c r="R2416" s="0" t="n">
        <v>0</v>
      </c>
      <c r="S2416" s="51" t="s">
        <v>2376</v>
      </c>
      <c r="T2416" s="51" t="s">
        <v>2376</v>
      </c>
      <c r="U2416" s="0" t="str">
        <f aca="false">"10074865055175"</f>
        <v>10074865055175</v>
      </c>
      <c r="V2416" s="51" t="s">
        <v>2365</v>
      </c>
      <c r="W2416" s="51" t="s">
        <v>5420</v>
      </c>
      <c r="X2416" s="51" t="s">
        <v>2359</v>
      </c>
    </row>
    <row r="2417" customFormat="false" ht="14.25" hidden="true" customHeight="false" outlineLevel="0" collapsed="false">
      <c r="A2417" s="49" t="s">
        <v>2349</v>
      </c>
      <c r="B2417" s="49" t="s">
        <v>2350</v>
      </c>
      <c r="C2417" s="49" t="s">
        <v>5421</v>
      </c>
      <c r="D2417" s="49" t="s">
        <v>2352</v>
      </c>
      <c r="E2417" s="49" t="str">
        <f aca="false">"10074865055175"</f>
        <v>10074865055175</v>
      </c>
      <c r="F2417" s="49" t="s">
        <v>5090</v>
      </c>
      <c r="G2417" s="49" t="n">
        <v>0</v>
      </c>
      <c r="H2417" s="0" t="n">
        <v>0</v>
      </c>
      <c r="M2417" s="51" t="s">
        <v>5419</v>
      </c>
      <c r="N2417" s="49" t="n">
        <v>0</v>
      </c>
      <c r="O2417" s="53" t="n">
        <v>45724.5696180556</v>
      </c>
      <c r="P2417" s="53" t="n">
        <v>45755.9601273148</v>
      </c>
      <c r="Q2417" s="53" t="n">
        <v>45724.5696180556</v>
      </c>
      <c r="R2417" s="0" t="n">
        <v>0</v>
      </c>
      <c r="S2417" s="51" t="s">
        <v>2376</v>
      </c>
      <c r="T2417" s="51" t="s">
        <v>2376</v>
      </c>
      <c r="U2417" s="0" t="str">
        <f aca="false">"10074865055175"</f>
        <v>10074865055175</v>
      </c>
      <c r="V2417" s="51" t="s">
        <v>2365</v>
      </c>
      <c r="W2417" s="51" t="s">
        <v>4562</v>
      </c>
      <c r="X2417" s="51" t="s">
        <v>2359</v>
      </c>
    </row>
    <row r="2418" customFormat="false" ht="14.25" hidden="true" customHeight="false" outlineLevel="0" collapsed="false">
      <c r="A2418" s="49" t="s">
        <v>2349</v>
      </c>
      <c r="B2418" s="49" t="s">
        <v>2350</v>
      </c>
      <c r="C2418" s="49" t="s">
        <v>5422</v>
      </c>
      <c r="D2418" s="49" t="s">
        <v>2352</v>
      </c>
      <c r="E2418" s="49" t="str">
        <f aca="false">"10074865055175"</f>
        <v>10074865055175</v>
      </c>
      <c r="F2418" s="49" t="s">
        <v>5090</v>
      </c>
      <c r="G2418" s="49" t="n">
        <v>0</v>
      </c>
      <c r="H2418" s="0" t="n">
        <v>0</v>
      </c>
      <c r="M2418" s="51" t="s">
        <v>5419</v>
      </c>
      <c r="N2418" s="49" t="n">
        <v>0</v>
      </c>
      <c r="O2418" s="53" t="n">
        <v>45724.5720833333</v>
      </c>
      <c r="P2418" s="53" t="n">
        <v>45750.6389583333</v>
      </c>
      <c r="Q2418" s="53" t="n">
        <v>45724.5720833333</v>
      </c>
      <c r="R2418" s="0" t="n">
        <v>0</v>
      </c>
      <c r="S2418" s="51" t="s">
        <v>2376</v>
      </c>
      <c r="T2418" s="51" t="s">
        <v>2376</v>
      </c>
      <c r="U2418" s="0" t="str">
        <f aca="false">"10074865055175"</f>
        <v>10074865055175</v>
      </c>
      <c r="V2418" s="51" t="s">
        <v>2365</v>
      </c>
      <c r="W2418" s="51" t="s">
        <v>5423</v>
      </c>
      <c r="X2418" s="51" t="s">
        <v>2359</v>
      </c>
    </row>
    <row r="2419" customFormat="false" ht="14.25" hidden="true" customHeight="false" outlineLevel="0" collapsed="false">
      <c r="A2419" s="49" t="s">
        <v>2349</v>
      </c>
      <c r="B2419" s="49" t="s">
        <v>2350</v>
      </c>
      <c r="C2419" s="49" t="s">
        <v>5424</v>
      </c>
      <c r="D2419" s="49" t="s">
        <v>2352</v>
      </c>
      <c r="E2419" s="49" t="str">
        <f aca="false">"10074865055175"</f>
        <v>10074865055175</v>
      </c>
      <c r="F2419" s="49" t="s">
        <v>5090</v>
      </c>
      <c r="G2419" s="49" t="n">
        <v>0</v>
      </c>
      <c r="H2419" s="0" t="n">
        <v>0</v>
      </c>
      <c r="M2419" s="51" t="s">
        <v>5419</v>
      </c>
      <c r="N2419" s="49" t="n">
        <v>0</v>
      </c>
      <c r="O2419" s="53" t="n">
        <v>45724.5703125</v>
      </c>
      <c r="P2419" s="53" t="n">
        <v>45750.6423611111</v>
      </c>
      <c r="Q2419" s="53" t="n">
        <v>45724.5703125</v>
      </c>
      <c r="R2419" s="0" t="n">
        <v>0</v>
      </c>
      <c r="S2419" s="51" t="s">
        <v>2376</v>
      </c>
      <c r="T2419" s="51" t="s">
        <v>2376</v>
      </c>
      <c r="U2419" s="0" t="str">
        <f aca="false">"10074865055175"</f>
        <v>10074865055175</v>
      </c>
      <c r="V2419" s="51" t="s">
        <v>2365</v>
      </c>
      <c r="W2419" s="51" t="s">
        <v>5088</v>
      </c>
      <c r="X2419" s="51" t="s">
        <v>2359</v>
      </c>
    </row>
    <row r="2420" customFormat="false" ht="14.25" hidden="true" customHeight="false" outlineLevel="0" collapsed="false">
      <c r="A2420" s="49" t="s">
        <v>2349</v>
      </c>
      <c r="B2420" s="49" t="s">
        <v>2350</v>
      </c>
      <c r="C2420" s="49" t="s">
        <v>5425</v>
      </c>
      <c r="D2420" s="49" t="s">
        <v>2352</v>
      </c>
      <c r="E2420" s="49" t="str">
        <f aca="false">"10074865055175"</f>
        <v>10074865055175</v>
      </c>
      <c r="F2420" s="49" t="s">
        <v>5090</v>
      </c>
      <c r="G2420" s="49" t="n">
        <v>0</v>
      </c>
      <c r="H2420" s="0" t="n">
        <v>0</v>
      </c>
      <c r="M2420" s="51" t="s">
        <v>5419</v>
      </c>
      <c r="N2420" s="49" t="n">
        <v>0</v>
      </c>
      <c r="O2420" s="53" t="n">
        <v>45724.5744791667</v>
      </c>
      <c r="P2420" s="53" t="n">
        <v>45752.6738888889</v>
      </c>
      <c r="Q2420" s="53" t="n">
        <v>45724.5744791667</v>
      </c>
      <c r="R2420" s="0" t="n">
        <v>0</v>
      </c>
      <c r="S2420" s="51" t="s">
        <v>2376</v>
      </c>
      <c r="T2420" s="51" t="s">
        <v>2376</v>
      </c>
      <c r="U2420" s="0" t="str">
        <f aca="false">"10074865055175"</f>
        <v>10074865055175</v>
      </c>
      <c r="V2420" s="51" t="s">
        <v>2365</v>
      </c>
      <c r="W2420" s="51" t="s">
        <v>5426</v>
      </c>
      <c r="X2420" s="51" t="s">
        <v>2359</v>
      </c>
    </row>
    <row r="2421" customFormat="false" ht="14.25" hidden="true" customHeight="false" outlineLevel="0" collapsed="false">
      <c r="A2421" s="49" t="s">
        <v>2349</v>
      </c>
      <c r="B2421" s="49" t="s">
        <v>2350</v>
      </c>
      <c r="C2421" s="49" t="s">
        <v>5427</v>
      </c>
      <c r="D2421" s="49" t="s">
        <v>2352</v>
      </c>
      <c r="E2421" s="49" t="str">
        <f aca="false">"10074865055175"</f>
        <v>10074865055175</v>
      </c>
      <c r="F2421" s="49" t="s">
        <v>5090</v>
      </c>
      <c r="G2421" s="49" t="n">
        <v>0</v>
      </c>
      <c r="H2421" s="0" t="n">
        <v>0</v>
      </c>
      <c r="M2421" s="51" t="s">
        <v>5419</v>
      </c>
      <c r="N2421" s="49" t="n">
        <v>0</v>
      </c>
      <c r="O2421" s="53" t="n">
        <v>45724.5747222222</v>
      </c>
      <c r="P2421" s="53" t="n">
        <v>45750.6374421296</v>
      </c>
      <c r="Q2421" s="53" t="n">
        <v>45724.5747222222</v>
      </c>
      <c r="R2421" s="0" t="n">
        <v>0</v>
      </c>
      <c r="S2421" s="51" t="s">
        <v>2376</v>
      </c>
      <c r="T2421" s="51" t="s">
        <v>2376</v>
      </c>
      <c r="U2421" s="0" t="str">
        <f aca="false">"10074865055175"</f>
        <v>10074865055175</v>
      </c>
      <c r="V2421" s="51" t="s">
        <v>2365</v>
      </c>
      <c r="W2421" s="51" t="s">
        <v>5428</v>
      </c>
      <c r="X2421" s="51" t="s">
        <v>2359</v>
      </c>
    </row>
    <row r="2422" customFormat="false" ht="14.25" hidden="true" customHeight="false" outlineLevel="0" collapsed="false">
      <c r="A2422" s="49" t="s">
        <v>2349</v>
      </c>
      <c r="B2422" s="49" t="s">
        <v>2350</v>
      </c>
      <c r="C2422" s="49" t="s">
        <v>5429</v>
      </c>
      <c r="D2422" s="49" t="s">
        <v>2352</v>
      </c>
      <c r="E2422" s="49" t="str">
        <f aca="false">"10074865055175"</f>
        <v>10074865055175</v>
      </c>
      <c r="F2422" s="49" t="s">
        <v>5090</v>
      </c>
      <c r="G2422" s="49" t="n">
        <v>0</v>
      </c>
      <c r="H2422" s="0" t="n">
        <v>0</v>
      </c>
      <c r="M2422" s="51" t="s">
        <v>5419</v>
      </c>
      <c r="N2422" s="49" t="n">
        <v>0</v>
      </c>
      <c r="O2422" s="53" t="n">
        <v>45724.5749652778</v>
      </c>
      <c r="P2422" s="53" t="n">
        <v>45750.6426736111</v>
      </c>
      <c r="Q2422" s="53" t="n">
        <v>45724.5749652778</v>
      </c>
      <c r="R2422" s="0" t="n">
        <v>0</v>
      </c>
      <c r="S2422" s="51" t="s">
        <v>2376</v>
      </c>
      <c r="T2422" s="51" t="s">
        <v>2376</v>
      </c>
      <c r="U2422" s="0" t="str">
        <f aca="false">"10074865055175"</f>
        <v>10074865055175</v>
      </c>
      <c r="V2422" s="51" t="s">
        <v>2365</v>
      </c>
      <c r="W2422" s="51" t="s">
        <v>5430</v>
      </c>
      <c r="X2422" s="51" t="s">
        <v>2359</v>
      </c>
    </row>
    <row r="2423" customFormat="false" ht="14.25" hidden="true" customHeight="false" outlineLevel="0" collapsed="false">
      <c r="A2423" s="49" t="s">
        <v>2349</v>
      </c>
      <c r="B2423" s="49" t="s">
        <v>2350</v>
      </c>
      <c r="C2423" s="49" t="s">
        <v>5431</v>
      </c>
      <c r="D2423" s="49" t="s">
        <v>2352</v>
      </c>
      <c r="E2423" s="49" t="str">
        <f aca="false">"10074865055175"</f>
        <v>10074865055175</v>
      </c>
      <c r="F2423" s="49" t="s">
        <v>5090</v>
      </c>
      <c r="G2423" s="49" t="n">
        <v>0</v>
      </c>
      <c r="H2423" s="0" t="n">
        <v>0</v>
      </c>
      <c r="M2423" s="51" t="s">
        <v>5419</v>
      </c>
      <c r="N2423" s="49" t="n">
        <v>0</v>
      </c>
      <c r="O2423" s="53" t="n">
        <v>45724.5752083333</v>
      </c>
      <c r="P2423" s="53" t="n">
        <v>45787.4179166667</v>
      </c>
      <c r="Q2423" s="53" t="n">
        <v>45724.5752083333</v>
      </c>
      <c r="R2423" s="0" t="n">
        <v>0</v>
      </c>
      <c r="S2423" s="51" t="s">
        <v>2376</v>
      </c>
      <c r="T2423" s="51" t="s">
        <v>2376</v>
      </c>
      <c r="U2423" s="0" t="str">
        <f aca="false">"10074865055175"</f>
        <v>10074865055175</v>
      </c>
      <c r="V2423" s="51" t="s">
        <v>2365</v>
      </c>
      <c r="W2423" s="51" t="s">
        <v>5269</v>
      </c>
      <c r="X2423" s="51" t="s">
        <v>2359</v>
      </c>
    </row>
    <row r="2424" customFormat="false" ht="14.25" hidden="true" customHeight="false" outlineLevel="0" collapsed="false">
      <c r="A2424" s="49" t="s">
        <v>2349</v>
      </c>
      <c r="B2424" s="49" t="s">
        <v>2350</v>
      </c>
      <c r="C2424" s="49" t="s">
        <v>5432</v>
      </c>
      <c r="D2424" s="49" t="s">
        <v>2352</v>
      </c>
      <c r="E2424" s="49" t="str">
        <f aca="false">"10074865055175"</f>
        <v>10074865055175</v>
      </c>
      <c r="F2424" s="49" t="s">
        <v>5090</v>
      </c>
      <c r="G2424" s="49" t="n">
        <v>0</v>
      </c>
      <c r="H2424" s="0" t="n">
        <v>0</v>
      </c>
      <c r="M2424" s="51" t="s">
        <v>5419</v>
      </c>
      <c r="N2424" s="49" t="n">
        <v>0</v>
      </c>
      <c r="O2424" s="53" t="n">
        <v>45724.5754976852</v>
      </c>
      <c r="P2424" s="53" t="n">
        <v>45750.6509837963</v>
      </c>
      <c r="Q2424" s="53" t="n">
        <v>45724.5754976852</v>
      </c>
      <c r="R2424" s="0" t="n">
        <v>0</v>
      </c>
      <c r="S2424" s="51" t="s">
        <v>2376</v>
      </c>
      <c r="T2424" s="51" t="s">
        <v>2376</v>
      </c>
      <c r="U2424" s="0" t="str">
        <f aca="false">"10074865055175"</f>
        <v>10074865055175</v>
      </c>
      <c r="V2424" s="51" t="s">
        <v>2365</v>
      </c>
      <c r="W2424" s="51" t="s">
        <v>5433</v>
      </c>
      <c r="X2424" s="51" t="s">
        <v>2359</v>
      </c>
    </row>
    <row r="2425" customFormat="false" ht="14.25" hidden="true" customHeight="false" outlineLevel="0" collapsed="false">
      <c r="A2425" s="49" t="s">
        <v>2349</v>
      </c>
      <c r="B2425" s="49" t="s">
        <v>2350</v>
      </c>
      <c r="C2425" s="49" t="s">
        <v>5434</v>
      </c>
      <c r="D2425" s="49" t="s">
        <v>2352</v>
      </c>
      <c r="E2425" s="49" t="str">
        <f aca="false">"10074865055175"</f>
        <v>10074865055175</v>
      </c>
      <c r="F2425" s="49" t="s">
        <v>5090</v>
      </c>
      <c r="G2425" s="49" t="n">
        <v>0</v>
      </c>
      <c r="H2425" s="0" t="n">
        <v>0</v>
      </c>
      <c r="M2425" s="51" t="s">
        <v>5419</v>
      </c>
      <c r="N2425" s="49" t="n">
        <v>0</v>
      </c>
      <c r="O2425" s="53" t="n">
        <v>45724.5756712963</v>
      </c>
      <c r="P2425" s="53" t="n">
        <v>45756.6593981482</v>
      </c>
      <c r="Q2425" s="53" t="n">
        <v>45724.5756712963</v>
      </c>
      <c r="R2425" s="0" t="n">
        <v>0</v>
      </c>
      <c r="S2425" s="51" t="s">
        <v>2376</v>
      </c>
      <c r="T2425" s="51" t="s">
        <v>2376</v>
      </c>
      <c r="U2425" s="0" t="str">
        <f aca="false">"10074865055175"</f>
        <v>10074865055175</v>
      </c>
      <c r="V2425" s="51" t="s">
        <v>2365</v>
      </c>
      <c r="W2425" s="51" t="s">
        <v>4736</v>
      </c>
      <c r="X2425" s="51" t="s">
        <v>2359</v>
      </c>
    </row>
    <row r="2426" customFormat="false" ht="14.25" hidden="true" customHeight="false" outlineLevel="0" collapsed="false">
      <c r="A2426" s="49" t="s">
        <v>2349</v>
      </c>
      <c r="B2426" s="49" t="s">
        <v>2350</v>
      </c>
      <c r="C2426" s="49" t="s">
        <v>5435</v>
      </c>
      <c r="D2426" s="49" t="s">
        <v>2352</v>
      </c>
      <c r="E2426" s="49" t="str">
        <f aca="false">"10074865055175"</f>
        <v>10074865055175</v>
      </c>
      <c r="F2426" s="49" t="s">
        <v>5090</v>
      </c>
      <c r="G2426" s="49" t="n">
        <v>0</v>
      </c>
      <c r="H2426" s="0" t="n">
        <v>0</v>
      </c>
      <c r="M2426" s="51" t="s">
        <v>5419</v>
      </c>
      <c r="N2426" s="49" t="n">
        <v>0</v>
      </c>
      <c r="O2426" s="53" t="n">
        <v>45724.5758796296</v>
      </c>
      <c r="P2426" s="53" t="n">
        <v>45750.6393287037</v>
      </c>
      <c r="Q2426" s="53" t="n">
        <v>45724.5758796296</v>
      </c>
      <c r="R2426" s="0" t="n">
        <v>0</v>
      </c>
      <c r="S2426" s="51" t="s">
        <v>2376</v>
      </c>
      <c r="T2426" s="51" t="s">
        <v>2376</v>
      </c>
      <c r="U2426" s="0" t="str">
        <f aca="false">"10074865055175"</f>
        <v>10074865055175</v>
      </c>
      <c r="V2426" s="51" t="s">
        <v>2365</v>
      </c>
      <c r="W2426" s="51" t="s">
        <v>5436</v>
      </c>
      <c r="X2426" s="51" t="s">
        <v>2359</v>
      </c>
    </row>
    <row r="2427" customFormat="false" ht="14.25" hidden="true" customHeight="false" outlineLevel="0" collapsed="false">
      <c r="A2427" s="49" t="s">
        <v>2349</v>
      </c>
      <c r="B2427" s="49" t="s">
        <v>2350</v>
      </c>
      <c r="C2427" s="49" t="s">
        <v>5437</v>
      </c>
      <c r="D2427" s="49" t="s">
        <v>2352</v>
      </c>
      <c r="E2427" s="49" t="str">
        <f aca="false">"10074865055175"</f>
        <v>10074865055175</v>
      </c>
      <c r="F2427" s="49" t="s">
        <v>5090</v>
      </c>
      <c r="G2427" s="49" t="n">
        <v>0</v>
      </c>
      <c r="H2427" s="0" t="n">
        <v>0</v>
      </c>
      <c r="M2427" s="51" t="s">
        <v>5419</v>
      </c>
      <c r="N2427" s="49" t="n">
        <v>0</v>
      </c>
      <c r="O2427" s="53" t="n">
        <v>45724.5760300926</v>
      </c>
      <c r="P2427" s="53" t="n">
        <v>45750.6348032407</v>
      </c>
      <c r="Q2427" s="53" t="n">
        <v>45724.5760300926</v>
      </c>
      <c r="R2427" s="0" t="n">
        <v>0</v>
      </c>
      <c r="S2427" s="51" t="s">
        <v>2376</v>
      </c>
      <c r="T2427" s="51" t="s">
        <v>2376</v>
      </c>
      <c r="U2427" s="0" t="str">
        <f aca="false">"10074865055175"</f>
        <v>10074865055175</v>
      </c>
      <c r="V2427" s="51" t="s">
        <v>2365</v>
      </c>
      <c r="W2427" s="51" t="s">
        <v>4562</v>
      </c>
      <c r="X2427" s="51" t="s">
        <v>2359</v>
      </c>
    </row>
    <row r="2428" customFormat="false" ht="14.25" hidden="true" customHeight="false" outlineLevel="0" collapsed="false">
      <c r="A2428" s="49" t="s">
        <v>2349</v>
      </c>
      <c r="B2428" s="49" t="s">
        <v>2350</v>
      </c>
      <c r="C2428" s="49" t="s">
        <v>5438</v>
      </c>
      <c r="D2428" s="49" t="s">
        <v>2352</v>
      </c>
      <c r="E2428" s="49" t="str">
        <f aca="false">"10074865055175"</f>
        <v>10074865055175</v>
      </c>
      <c r="F2428" s="49" t="s">
        <v>5090</v>
      </c>
      <c r="G2428" s="49" t="n">
        <v>0</v>
      </c>
      <c r="H2428" s="0" t="n">
        <v>0</v>
      </c>
      <c r="M2428" s="51" t="s">
        <v>5419</v>
      </c>
      <c r="N2428" s="49" t="n">
        <v>0</v>
      </c>
      <c r="O2428" s="53" t="n">
        <v>45724.5762847222</v>
      </c>
      <c r="P2428" s="53" t="n">
        <v>45750.6456944444</v>
      </c>
      <c r="Q2428" s="53" t="n">
        <v>45724.5762847222</v>
      </c>
      <c r="R2428" s="0" t="n">
        <v>0</v>
      </c>
      <c r="S2428" s="51" t="s">
        <v>2376</v>
      </c>
      <c r="T2428" s="51" t="s">
        <v>2376</v>
      </c>
      <c r="U2428" s="0" t="str">
        <f aca="false">"10074865055175"</f>
        <v>10074865055175</v>
      </c>
      <c r="V2428" s="51" t="s">
        <v>2365</v>
      </c>
      <c r="W2428" s="51" t="s">
        <v>4728</v>
      </c>
      <c r="X2428" s="51" t="s">
        <v>2359</v>
      </c>
    </row>
    <row r="2429" customFormat="false" ht="14.25" hidden="true" customHeight="false" outlineLevel="0" collapsed="false">
      <c r="A2429" s="49" t="s">
        <v>2349</v>
      </c>
      <c r="B2429" s="49" t="s">
        <v>2350</v>
      </c>
      <c r="C2429" s="49" t="s">
        <v>5439</v>
      </c>
      <c r="D2429" s="49" t="s">
        <v>2352</v>
      </c>
      <c r="E2429" s="49" t="str">
        <f aca="false">"10074865055175"</f>
        <v>10074865055175</v>
      </c>
      <c r="F2429" s="49" t="s">
        <v>5090</v>
      </c>
      <c r="G2429" s="49" t="n">
        <v>0</v>
      </c>
      <c r="H2429" s="0" t="n">
        <v>0</v>
      </c>
      <c r="M2429" s="51" t="s">
        <v>5419</v>
      </c>
      <c r="N2429" s="49" t="n">
        <v>0</v>
      </c>
      <c r="O2429" s="53" t="n">
        <v>45724.5764699074</v>
      </c>
      <c r="P2429" s="53" t="n">
        <v>45750.6446875</v>
      </c>
      <c r="Q2429" s="53" t="n">
        <v>45724.5764699074</v>
      </c>
      <c r="R2429" s="0" t="n">
        <v>0</v>
      </c>
      <c r="S2429" s="51" t="s">
        <v>2376</v>
      </c>
      <c r="T2429" s="51" t="s">
        <v>2376</v>
      </c>
      <c r="U2429" s="0" t="str">
        <f aca="false">"10074865055175"</f>
        <v>10074865055175</v>
      </c>
      <c r="V2429" s="51" t="s">
        <v>2365</v>
      </c>
      <c r="W2429" s="51" t="s">
        <v>5440</v>
      </c>
      <c r="X2429" s="51" t="s">
        <v>2359</v>
      </c>
    </row>
    <row r="2430" customFormat="false" ht="14.25" hidden="true" customHeight="false" outlineLevel="0" collapsed="false">
      <c r="A2430" s="49" t="s">
        <v>2349</v>
      </c>
      <c r="B2430" s="49" t="s">
        <v>2350</v>
      </c>
      <c r="C2430" s="49" t="s">
        <v>5441</v>
      </c>
      <c r="D2430" s="49" t="s">
        <v>2352</v>
      </c>
      <c r="E2430" s="49" t="str">
        <f aca="false">"10074865055175"</f>
        <v>10074865055175</v>
      </c>
      <c r="F2430" s="49" t="s">
        <v>5090</v>
      </c>
      <c r="G2430" s="49" t="n">
        <v>0</v>
      </c>
      <c r="H2430" s="0" t="n">
        <v>0</v>
      </c>
      <c r="M2430" s="51" t="s">
        <v>5419</v>
      </c>
      <c r="N2430" s="49" t="n">
        <v>0</v>
      </c>
      <c r="O2430" s="53" t="n">
        <v>45724.5766550926</v>
      </c>
      <c r="P2430" s="53" t="n">
        <v>45750.6437847222</v>
      </c>
      <c r="Q2430" s="53" t="n">
        <v>45724.5766550926</v>
      </c>
      <c r="R2430" s="0" t="n">
        <v>0</v>
      </c>
      <c r="S2430" s="51" t="s">
        <v>2376</v>
      </c>
      <c r="T2430" s="51" t="s">
        <v>2376</v>
      </c>
      <c r="U2430" s="0" t="str">
        <f aca="false">"10074865055175"</f>
        <v>10074865055175</v>
      </c>
      <c r="V2430" s="51" t="s">
        <v>2365</v>
      </c>
      <c r="W2430" s="51" t="s">
        <v>5442</v>
      </c>
      <c r="X2430" s="51" t="s">
        <v>2359</v>
      </c>
    </row>
    <row r="2431" customFormat="false" ht="14.25" hidden="true" customHeight="false" outlineLevel="0" collapsed="false">
      <c r="A2431" s="49" t="s">
        <v>2349</v>
      </c>
      <c r="B2431" s="49" t="s">
        <v>2350</v>
      </c>
      <c r="C2431" s="49" t="s">
        <v>5443</v>
      </c>
      <c r="D2431" s="49" t="s">
        <v>2352</v>
      </c>
      <c r="E2431" s="49" t="str">
        <f aca="false">"10074865055175"</f>
        <v>10074865055175</v>
      </c>
      <c r="F2431" s="49" t="s">
        <v>5090</v>
      </c>
      <c r="G2431" s="49" t="n">
        <v>0</v>
      </c>
      <c r="H2431" s="0" t="n">
        <v>0</v>
      </c>
      <c r="M2431" s="51" t="s">
        <v>5419</v>
      </c>
      <c r="N2431" s="49" t="n">
        <v>0</v>
      </c>
      <c r="O2431" s="53" t="n">
        <v>45724.5767824074</v>
      </c>
      <c r="P2431" s="53" t="n">
        <v>45750.6494560185</v>
      </c>
      <c r="Q2431" s="53" t="n">
        <v>45724.5767824074</v>
      </c>
      <c r="R2431" s="0" t="n">
        <v>0</v>
      </c>
      <c r="S2431" s="51" t="s">
        <v>2376</v>
      </c>
      <c r="T2431" s="51" t="s">
        <v>2376</v>
      </c>
      <c r="U2431" s="0" t="str">
        <f aca="false">"10074865055175"</f>
        <v>10074865055175</v>
      </c>
      <c r="V2431" s="51" t="s">
        <v>2365</v>
      </c>
      <c r="W2431" s="51" t="s">
        <v>5444</v>
      </c>
      <c r="X2431" s="51" t="s">
        <v>2359</v>
      </c>
    </row>
    <row r="2432" customFormat="false" ht="14.25" hidden="true" customHeight="false" outlineLevel="0" collapsed="false">
      <c r="A2432" s="49" t="s">
        <v>2349</v>
      </c>
      <c r="B2432" s="49" t="s">
        <v>2350</v>
      </c>
      <c r="C2432" s="49" t="s">
        <v>5445</v>
      </c>
      <c r="D2432" s="49" t="s">
        <v>2352</v>
      </c>
      <c r="E2432" s="49" t="str">
        <f aca="false">"10074865055175"</f>
        <v>10074865055175</v>
      </c>
      <c r="F2432" s="49" t="s">
        <v>5090</v>
      </c>
      <c r="G2432" s="49" t="n">
        <v>0</v>
      </c>
      <c r="H2432" s="0" t="n">
        <v>0</v>
      </c>
      <c r="M2432" s="51" t="s">
        <v>5419</v>
      </c>
      <c r="N2432" s="49" t="n">
        <v>0</v>
      </c>
      <c r="O2432" s="53" t="n">
        <v>45724.5769791667</v>
      </c>
      <c r="P2432" s="53" t="n">
        <v>45750.6360185185</v>
      </c>
      <c r="Q2432" s="53" t="n">
        <v>45724.5769791667</v>
      </c>
      <c r="R2432" s="0" t="n">
        <v>0</v>
      </c>
      <c r="S2432" s="51" t="s">
        <v>2376</v>
      </c>
      <c r="T2432" s="51" t="s">
        <v>2376</v>
      </c>
      <c r="U2432" s="0" t="str">
        <f aca="false">"10074865055175"</f>
        <v>10074865055175</v>
      </c>
      <c r="V2432" s="51" t="s">
        <v>2365</v>
      </c>
      <c r="W2432" s="51" t="s">
        <v>5446</v>
      </c>
      <c r="X2432" s="51" t="s">
        <v>2359</v>
      </c>
    </row>
    <row r="2433" customFormat="false" ht="14.25" hidden="true" customHeight="false" outlineLevel="0" collapsed="false">
      <c r="A2433" s="49" t="s">
        <v>2349</v>
      </c>
      <c r="B2433" s="49" t="s">
        <v>2350</v>
      </c>
      <c r="C2433" s="49" t="s">
        <v>5447</v>
      </c>
      <c r="D2433" s="49" t="s">
        <v>2352</v>
      </c>
      <c r="E2433" s="49" t="str">
        <f aca="false">"10074865055175"</f>
        <v>10074865055175</v>
      </c>
      <c r="F2433" s="49" t="s">
        <v>5090</v>
      </c>
      <c r="G2433" s="49" t="n">
        <v>0</v>
      </c>
      <c r="H2433" s="0" t="n">
        <v>0</v>
      </c>
      <c r="M2433" s="51" t="s">
        <v>5419</v>
      </c>
      <c r="N2433" s="49" t="n">
        <v>0</v>
      </c>
      <c r="O2433" s="53" t="n">
        <v>45724.5771296296</v>
      </c>
      <c r="P2433" s="53" t="n">
        <v>45750.6353356482</v>
      </c>
      <c r="Q2433" s="53" t="n">
        <v>45724.5771296296</v>
      </c>
      <c r="R2433" s="0" t="n">
        <v>0</v>
      </c>
      <c r="S2433" s="51" t="s">
        <v>2376</v>
      </c>
      <c r="T2433" s="51" t="s">
        <v>2376</v>
      </c>
      <c r="U2433" s="0" t="str">
        <f aca="false">"10074865055175"</f>
        <v>10074865055175</v>
      </c>
      <c r="V2433" s="51" t="s">
        <v>2365</v>
      </c>
      <c r="W2433" s="51" t="s">
        <v>5448</v>
      </c>
      <c r="X2433" s="51" t="s">
        <v>2359</v>
      </c>
    </row>
    <row r="2434" customFormat="false" ht="14.25" hidden="true" customHeight="false" outlineLevel="0" collapsed="false">
      <c r="A2434" s="49" t="s">
        <v>2349</v>
      </c>
      <c r="B2434" s="49" t="s">
        <v>2350</v>
      </c>
      <c r="C2434" s="49" t="s">
        <v>5449</v>
      </c>
      <c r="D2434" s="49" t="s">
        <v>2352</v>
      </c>
      <c r="E2434" s="49" t="str">
        <f aca="false">"10074865055175"</f>
        <v>10074865055175</v>
      </c>
      <c r="F2434" s="49" t="s">
        <v>5090</v>
      </c>
      <c r="G2434" s="49" t="n">
        <v>0</v>
      </c>
      <c r="H2434" s="0" t="n">
        <v>0</v>
      </c>
      <c r="M2434" s="51" t="s">
        <v>5419</v>
      </c>
      <c r="N2434" s="49" t="n">
        <v>0</v>
      </c>
      <c r="O2434" s="53" t="n">
        <v>45724.5773263889</v>
      </c>
      <c r="P2434" s="53" t="n">
        <v>45750.6365509259</v>
      </c>
      <c r="Q2434" s="53" t="n">
        <v>45724.5773263889</v>
      </c>
      <c r="R2434" s="0" t="n">
        <v>0</v>
      </c>
      <c r="S2434" s="51" t="s">
        <v>2376</v>
      </c>
      <c r="T2434" s="51" t="s">
        <v>2376</v>
      </c>
      <c r="U2434" s="0" t="str">
        <f aca="false">"10074865055175"</f>
        <v>10074865055175</v>
      </c>
      <c r="V2434" s="51" t="s">
        <v>2365</v>
      </c>
      <c r="W2434" s="51" t="s">
        <v>5450</v>
      </c>
      <c r="X2434" s="51" t="s">
        <v>2359</v>
      </c>
    </row>
    <row r="2435" customFormat="false" ht="14.25" hidden="true" customHeight="false" outlineLevel="0" collapsed="false">
      <c r="A2435" s="49" t="s">
        <v>2349</v>
      </c>
      <c r="B2435" s="49" t="s">
        <v>2350</v>
      </c>
      <c r="C2435" s="49" t="s">
        <v>5451</v>
      </c>
      <c r="D2435" s="49" t="s">
        <v>2352</v>
      </c>
      <c r="E2435" s="49" t="str">
        <f aca="false">"10074865055175"</f>
        <v>10074865055175</v>
      </c>
      <c r="F2435" s="49" t="s">
        <v>5090</v>
      </c>
      <c r="G2435" s="49" t="n">
        <v>0</v>
      </c>
      <c r="H2435" s="0" t="n">
        <v>0</v>
      </c>
      <c r="M2435" s="51" t="s">
        <v>5419</v>
      </c>
      <c r="N2435" s="49" t="n">
        <v>0</v>
      </c>
      <c r="O2435" s="53" t="n">
        <v>45724.5775347222</v>
      </c>
      <c r="P2435" s="53" t="n">
        <v>45750.6487962963</v>
      </c>
      <c r="Q2435" s="53" t="n">
        <v>45724.5775347222</v>
      </c>
      <c r="R2435" s="0" t="n">
        <v>0</v>
      </c>
      <c r="S2435" s="51" t="s">
        <v>2376</v>
      </c>
      <c r="T2435" s="51" t="s">
        <v>2376</v>
      </c>
      <c r="U2435" s="0" t="str">
        <f aca="false">"10074865055175"</f>
        <v>10074865055175</v>
      </c>
      <c r="V2435" s="51" t="s">
        <v>2365</v>
      </c>
      <c r="W2435" s="51" t="s">
        <v>5452</v>
      </c>
      <c r="X2435" s="51" t="s">
        <v>2359</v>
      </c>
    </row>
    <row r="2436" customFormat="false" ht="14.25" hidden="true" customHeight="false" outlineLevel="0" collapsed="false">
      <c r="A2436" s="49" t="s">
        <v>2349</v>
      </c>
      <c r="B2436" s="49" t="s">
        <v>2350</v>
      </c>
      <c r="C2436" s="49" t="s">
        <v>5453</v>
      </c>
      <c r="D2436" s="49" t="s">
        <v>2352</v>
      </c>
      <c r="E2436" s="49" t="str">
        <f aca="false">"10074865055175"</f>
        <v>10074865055175</v>
      </c>
      <c r="F2436" s="49" t="s">
        <v>5090</v>
      </c>
      <c r="G2436" s="49" t="n">
        <v>0</v>
      </c>
      <c r="H2436" s="0" t="n">
        <v>0</v>
      </c>
      <c r="M2436" s="51" t="s">
        <v>5419</v>
      </c>
      <c r="N2436" s="49" t="n">
        <v>0</v>
      </c>
      <c r="O2436" s="53" t="n">
        <v>45724.5777083333</v>
      </c>
      <c r="P2436" s="53" t="n">
        <v>45750.6330671296</v>
      </c>
      <c r="Q2436" s="53" t="n">
        <v>45724.5777083333</v>
      </c>
      <c r="R2436" s="0" t="n">
        <v>0</v>
      </c>
      <c r="S2436" s="51" t="s">
        <v>2376</v>
      </c>
      <c r="T2436" s="51" t="s">
        <v>2376</v>
      </c>
      <c r="U2436" s="0" t="str">
        <f aca="false">"10074865055175"</f>
        <v>10074865055175</v>
      </c>
      <c r="V2436" s="51" t="s">
        <v>2365</v>
      </c>
      <c r="W2436" s="51" t="s">
        <v>4548</v>
      </c>
      <c r="X2436" s="51" t="s">
        <v>2359</v>
      </c>
    </row>
    <row r="2437" customFormat="false" ht="14.25" hidden="true" customHeight="false" outlineLevel="0" collapsed="false">
      <c r="A2437" s="49" t="s">
        <v>2349</v>
      </c>
      <c r="B2437" s="49" t="s">
        <v>2350</v>
      </c>
      <c r="C2437" s="49" t="s">
        <v>5454</v>
      </c>
      <c r="D2437" s="49" t="s">
        <v>2352</v>
      </c>
      <c r="E2437" s="49" t="str">
        <f aca="false">"10074865055175"</f>
        <v>10074865055175</v>
      </c>
      <c r="F2437" s="49" t="s">
        <v>5090</v>
      </c>
      <c r="G2437" s="49" t="n">
        <v>0</v>
      </c>
      <c r="H2437" s="0" t="n">
        <v>0</v>
      </c>
      <c r="M2437" s="51" t="s">
        <v>5419</v>
      </c>
      <c r="N2437" s="49" t="n">
        <v>0</v>
      </c>
      <c r="O2437" s="53" t="n">
        <v>45724.5778703704</v>
      </c>
      <c r="P2437" s="53" t="n">
        <v>45755.9613773148</v>
      </c>
      <c r="Q2437" s="53" t="n">
        <v>45724.5778703704</v>
      </c>
      <c r="R2437" s="0" t="n">
        <v>0</v>
      </c>
      <c r="S2437" s="51" t="s">
        <v>2376</v>
      </c>
      <c r="T2437" s="51" t="s">
        <v>2376</v>
      </c>
      <c r="U2437" s="0" t="str">
        <f aca="false">"10074865055175"</f>
        <v>10074865055175</v>
      </c>
      <c r="V2437" s="51" t="s">
        <v>2365</v>
      </c>
      <c r="W2437" s="51" t="s">
        <v>4218</v>
      </c>
      <c r="X2437" s="51" t="s">
        <v>2359</v>
      </c>
    </row>
    <row r="2438" customFormat="false" ht="14.25" hidden="true" customHeight="false" outlineLevel="0" collapsed="false">
      <c r="A2438" s="49" t="s">
        <v>2349</v>
      </c>
      <c r="B2438" s="49" t="s">
        <v>2350</v>
      </c>
      <c r="C2438" s="49" t="s">
        <v>5455</v>
      </c>
      <c r="D2438" s="49" t="s">
        <v>2352</v>
      </c>
      <c r="E2438" s="49" t="str">
        <f aca="false">"10074865055175"</f>
        <v>10074865055175</v>
      </c>
      <c r="F2438" s="49" t="s">
        <v>5090</v>
      </c>
      <c r="G2438" s="49" t="n">
        <v>0</v>
      </c>
      <c r="H2438" s="0" t="n">
        <v>0</v>
      </c>
      <c r="M2438" s="51" t="s">
        <v>5419</v>
      </c>
      <c r="N2438" s="49" t="n">
        <v>0</v>
      </c>
      <c r="O2438" s="53" t="n">
        <v>45724.5780555556</v>
      </c>
      <c r="P2438" s="53" t="n">
        <v>45756.4917361111</v>
      </c>
      <c r="Q2438" s="53" t="n">
        <v>45724.5780555556</v>
      </c>
      <c r="R2438" s="0" t="n">
        <v>0</v>
      </c>
      <c r="S2438" s="51" t="s">
        <v>2376</v>
      </c>
      <c r="T2438" s="51" t="s">
        <v>2376</v>
      </c>
      <c r="U2438" s="0" t="str">
        <f aca="false">"10074865055175"</f>
        <v>10074865055175</v>
      </c>
      <c r="V2438" s="51" t="s">
        <v>2365</v>
      </c>
      <c r="W2438" s="51" t="s">
        <v>4636</v>
      </c>
      <c r="X2438" s="51" t="s">
        <v>2359</v>
      </c>
    </row>
    <row r="2439" customFormat="false" ht="14.25" hidden="true" customHeight="false" outlineLevel="0" collapsed="false">
      <c r="A2439" s="49" t="s">
        <v>2349</v>
      </c>
      <c r="B2439" s="49" t="s">
        <v>2350</v>
      </c>
      <c r="C2439" s="49" t="s">
        <v>5456</v>
      </c>
      <c r="D2439" s="49" t="s">
        <v>2352</v>
      </c>
      <c r="E2439" s="49" t="str">
        <f aca="false">"10074865055175"</f>
        <v>10074865055175</v>
      </c>
      <c r="F2439" s="49" t="s">
        <v>5090</v>
      </c>
      <c r="G2439" s="49" t="n">
        <v>0</v>
      </c>
      <c r="H2439" s="0" t="n">
        <v>0</v>
      </c>
      <c r="M2439" s="51" t="s">
        <v>5419</v>
      </c>
      <c r="N2439" s="49" t="n">
        <v>0</v>
      </c>
      <c r="O2439" s="53" t="n">
        <v>45724.5782638889</v>
      </c>
      <c r="P2439" s="53" t="n">
        <v>45750.6528472222</v>
      </c>
      <c r="Q2439" s="53" t="n">
        <v>45724.5782638889</v>
      </c>
      <c r="R2439" s="0" t="n">
        <v>0</v>
      </c>
      <c r="S2439" s="51" t="s">
        <v>2376</v>
      </c>
      <c r="T2439" s="51" t="s">
        <v>2376</v>
      </c>
      <c r="U2439" s="0" t="str">
        <f aca="false">"10074865055175"</f>
        <v>10074865055175</v>
      </c>
      <c r="V2439" s="51" t="s">
        <v>2365</v>
      </c>
      <c r="W2439" s="51" t="s">
        <v>5457</v>
      </c>
      <c r="X2439" s="51" t="s">
        <v>2359</v>
      </c>
    </row>
    <row r="2440" customFormat="false" ht="14.25" hidden="true" customHeight="false" outlineLevel="0" collapsed="false">
      <c r="A2440" s="49" t="s">
        <v>2349</v>
      </c>
      <c r="B2440" s="49" t="s">
        <v>2350</v>
      </c>
      <c r="C2440" s="49" t="s">
        <v>5458</v>
      </c>
      <c r="D2440" s="49" t="s">
        <v>2352</v>
      </c>
      <c r="E2440" s="49" t="str">
        <f aca="false">"10074865055175"</f>
        <v>10074865055175</v>
      </c>
      <c r="F2440" s="49" t="s">
        <v>5090</v>
      </c>
      <c r="G2440" s="49" t="n">
        <v>0</v>
      </c>
      <c r="H2440" s="0" t="n">
        <v>0</v>
      </c>
      <c r="M2440" s="51" t="s">
        <v>5419</v>
      </c>
      <c r="N2440" s="49" t="n">
        <v>0</v>
      </c>
      <c r="O2440" s="53" t="n">
        <v>45724.6073032407</v>
      </c>
      <c r="P2440" s="53" t="n">
        <v>45750.6477430556</v>
      </c>
      <c r="Q2440" s="53" t="n">
        <v>45724.6073032407</v>
      </c>
      <c r="R2440" s="0" t="n">
        <v>0</v>
      </c>
      <c r="S2440" s="51" t="s">
        <v>2376</v>
      </c>
      <c r="T2440" s="51" t="s">
        <v>2376</v>
      </c>
      <c r="U2440" s="0" t="str">
        <f aca="false">"10074865055175"</f>
        <v>10074865055175</v>
      </c>
      <c r="V2440" s="51" t="s">
        <v>2365</v>
      </c>
      <c r="W2440" s="51" t="s">
        <v>5459</v>
      </c>
      <c r="X2440" s="51" t="s">
        <v>2359</v>
      </c>
    </row>
    <row r="2441" customFormat="false" ht="14.25" hidden="true" customHeight="false" outlineLevel="0" collapsed="false">
      <c r="A2441" s="49" t="s">
        <v>2349</v>
      </c>
      <c r="B2441" s="49" t="s">
        <v>2350</v>
      </c>
      <c r="C2441" s="49" t="s">
        <v>5460</v>
      </c>
      <c r="D2441" s="49" t="s">
        <v>2352</v>
      </c>
      <c r="E2441" s="49" t="str">
        <f aca="false">"8908020441070"</f>
        <v>8908020441070</v>
      </c>
      <c r="F2441" s="49" t="s">
        <v>5404</v>
      </c>
      <c r="G2441" s="49" t="n">
        <v>0</v>
      </c>
      <c r="H2441" s="0" t="n">
        <v>0</v>
      </c>
      <c r="M2441" s="51" t="s">
        <v>5461</v>
      </c>
      <c r="N2441" s="49" t="n">
        <v>0</v>
      </c>
      <c r="O2441" s="53" t="n">
        <v>45724.428125</v>
      </c>
      <c r="P2441" s="53" t="n">
        <v>45810.5640740741</v>
      </c>
      <c r="Q2441" s="53" t="n">
        <v>45724.428125</v>
      </c>
      <c r="R2441" s="0" t="n">
        <v>0</v>
      </c>
      <c r="S2441" s="51" t="s">
        <v>2356</v>
      </c>
      <c r="T2441" s="51" t="s">
        <v>2356</v>
      </c>
      <c r="U2441" s="0" t="str">
        <f aca="false">"8908020441070"</f>
        <v>8908020441070</v>
      </c>
      <c r="V2441" s="51" t="s">
        <v>5386</v>
      </c>
      <c r="W2441" s="51" t="s">
        <v>5139</v>
      </c>
      <c r="X2441" s="51" t="s">
        <v>2359</v>
      </c>
    </row>
    <row r="2442" customFormat="false" ht="14.25" hidden="true" customHeight="false" outlineLevel="0" collapsed="false">
      <c r="A2442" s="49" t="s">
        <v>2349</v>
      </c>
      <c r="B2442" s="49" t="s">
        <v>2350</v>
      </c>
      <c r="C2442" s="49" t="s">
        <v>5462</v>
      </c>
      <c r="D2442" s="49" t="s">
        <v>2352</v>
      </c>
      <c r="E2442" s="49" t="str">
        <f aca="false">"8908020441070"</f>
        <v>8908020441070</v>
      </c>
      <c r="F2442" s="49" t="s">
        <v>5404</v>
      </c>
      <c r="G2442" s="49" t="n">
        <v>0</v>
      </c>
      <c r="H2442" s="0" t="n">
        <v>0</v>
      </c>
      <c r="M2442" s="51" t="s">
        <v>5461</v>
      </c>
      <c r="N2442" s="49" t="n">
        <v>0</v>
      </c>
      <c r="O2442" s="53" t="n">
        <v>45724.4281018519</v>
      </c>
      <c r="P2442" s="53" t="n">
        <v>45752.5972685185</v>
      </c>
      <c r="Q2442" s="53" t="n">
        <v>45724.4281018519</v>
      </c>
      <c r="R2442" s="0" t="n">
        <v>0</v>
      </c>
      <c r="S2442" s="51" t="s">
        <v>2356</v>
      </c>
      <c r="T2442" s="51" t="s">
        <v>2356</v>
      </c>
      <c r="U2442" s="0" t="str">
        <f aca="false">"8908020441070"</f>
        <v>8908020441070</v>
      </c>
      <c r="V2442" s="51" t="s">
        <v>5386</v>
      </c>
      <c r="W2442" s="51" t="s">
        <v>4614</v>
      </c>
      <c r="X2442" s="51" t="s">
        <v>2359</v>
      </c>
    </row>
    <row r="2443" customFormat="false" ht="14.25" hidden="true" customHeight="false" outlineLevel="0" collapsed="false">
      <c r="A2443" s="49" t="s">
        <v>2349</v>
      </c>
      <c r="B2443" s="49" t="s">
        <v>2350</v>
      </c>
      <c r="C2443" s="49" t="s">
        <v>5463</v>
      </c>
      <c r="D2443" s="49" t="s">
        <v>2352</v>
      </c>
      <c r="E2443" s="49" t="str">
        <f aca="false">"8908020441070"</f>
        <v>8908020441070</v>
      </c>
      <c r="F2443" s="49" t="s">
        <v>5404</v>
      </c>
      <c r="G2443" s="49" t="n">
        <v>0</v>
      </c>
      <c r="H2443" s="0" t="n">
        <v>0</v>
      </c>
      <c r="M2443" s="51" t="s">
        <v>5461</v>
      </c>
      <c r="N2443" s="49" t="n">
        <v>0</v>
      </c>
      <c r="O2443" s="53" t="n">
        <v>45724.4280671296</v>
      </c>
      <c r="P2443" s="53" t="n">
        <v>45798.5192476852</v>
      </c>
      <c r="Q2443" s="53" t="n">
        <v>45724.4280671296</v>
      </c>
      <c r="R2443" s="0" t="n">
        <v>0</v>
      </c>
      <c r="S2443" s="51" t="s">
        <v>2356</v>
      </c>
      <c r="T2443" s="51" t="s">
        <v>2356</v>
      </c>
      <c r="U2443" s="0" t="str">
        <f aca="false">"8908020441070"</f>
        <v>8908020441070</v>
      </c>
      <c r="V2443" s="51" t="s">
        <v>5386</v>
      </c>
      <c r="W2443" s="51" t="s">
        <v>4607</v>
      </c>
      <c r="X2443" s="51" t="s">
        <v>2359</v>
      </c>
    </row>
    <row r="2444" customFormat="false" ht="14.25" hidden="true" customHeight="false" outlineLevel="0" collapsed="false">
      <c r="A2444" s="49" t="s">
        <v>2349</v>
      </c>
      <c r="B2444" s="49" t="s">
        <v>2350</v>
      </c>
      <c r="C2444" s="49" t="s">
        <v>5464</v>
      </c>
      <c r="D2444" s="49" t="s">
        <v>2352</v>
      </c>
      <c r="E2444" s="49" t="str">
        <f aca="false">"8908020441070"</f>
        <v>8908020441070</v>
      </c>
      <c r="F2444" s="49" t="s">
        <v>5404</v>
      </c>
      <c r="G2444" s="49" t="n">
        <v>0</v>
      </c>
      <c r="H2444" s="0" t="n">
        <v>0</v>
      </c>
      <c r="M2444" s="51" t="s">
        <v>5461</v>
      </c>
      <c r="N2444" s="49" t="n">
        <v>0</v>
      </c>
      <c r="O2444" s="53" t="n">
        <v>45724.4280439815</v>
      </c>
      <c r="P2444" s="53" t="n">
        <v>45801.4375231481</v>
      </c>
      <c r="Q2444" s="53" t="n">
        <v>45724.4280439815</v>
      </c>
      <c r="R2444" s="0" t="n">
        <v>0</v>
      </c>
      <c r="S2444" s="51" t="s">
        <v>2356</v>
      </c>
      <c r="T2444" s="51" t="s">
        <v>2356</v>
      </c>
      <c r="U2444" s="0" t="str">
        <f aca="false">"8908020441070"</f>
        <v>8908020441070</v>
      </c>
      <c r="V2444" s="51" t="s">
        <v>5386</v>
      </c>
      <c r="W2444" s="51" t="s">
        <v>5405</v>
      </c>
      <c r="X2444" s="51" t="s">
        <v>2359</v>
      </c>
    </row>
    <row r="2445" customFormat="false" ht="14.25" hidden="true" customHeight="false" outlineLevel="0" collapsed="false">
      <c r="A2445" s="49" t="s">
        <v>2349</v>
      </c>
      <c r="B2445" s="49" t="s">
        <v>2350</v>
      </c>
      <c r="C2445" s="49" t="s">
        <v>5465</v>
      </c>
      <c r="D2445" s="49" t="s">
        <v>2352</v>
      </c>
      <c r="E2445" s="49" t="str">
        <f aca="false">"8908020441070"</f>
        <v>8908020441070</v>
      </c>
      <c r="F2445" s="49" t="s">
        <v>5404</v>
      </c>
      <c r="G2445" s="49" t="n">
        <v>0</v>
      </c>
      <c r="H2445" s="0" t="n">
        <v>0</v>
      </c>
      <c r="M2445" s="51" t="s">
        <v>5461</v>
      </c>
      <c r="N2445" s="49" t="n">
        <v>0</v>
      </c>
      <c r="O2445" s="53" t="n">
        <v>45724.4280092593</v>
      </c>
      <c r="P2445" s="53" t="n">
        <v>45798.5193171296</v>
      </c>
      <c r="Q2445" s="53" t="n">
        <v>45724.4280092593</v>
      </c>
      <c r="R2445" s="0" t="n">
        <v>0</v>
      </c>
      <c r="S2445" s="51" t="s">
        <v>2356</v>
      </c>
      <c r="T2445" s="51" t="s">
        <v>2356</v>
      </c>
      <c r="U2445" s="0" t="str">
        <f aca="false">"8908020441070"</f>
        <v>8908020441070</v>
      </c>
      <c r="V2445" s="51" t="s">
        <v>5386</v>
      </c>
      <c r="W2445" s="51" t="s">
        <v>5466</v>
      </c>
      <c r="X2445" s="51" t="s">
        <v>2359</v>
      </c>
    </row>
    <row r="2446" customFormat="false" ht="14.25" hidden="true" customHeight="false" outlineLevel="0" collapsed="false">
      <c r="A2446" s="49" t="s">
        <v>2349</v>
      </c>
      <c r="B2446" s="49" t="s">
        <v>2350</v>
      </c>
      <c r="C2446" s="49" t="s">
        <v>5467</v>
      </c>
      <c r="D2446" s="49" t="s">
        <v>2352</v>
      </c>
      <c r="E2446" s="49" t="str">
        <f aca="false">"8908020441070"</f>
        <v>8908020441070</v>
      </c>
      <c r="F2446" s="49" t="s">
        <v>5404</v>
      </c>
      <c r="G2446" s="49" t="n">
        <v>0</v>
      </c>
      <c r="H2446" s="0" t="n">
        <v>0</v>
      </c>
      <c r="M2446" s="51" t="s">
        <v>5461</v>
      </c>
      <c r="N2446" s="49" t="n">
        <v>0</v>
      </c>
      <c r="O2446" s="53" t="n">
        <v>45724.4279861111</v>
      </c>
      <c r="P2446" s="53" t="n">
        <v>45805.5225925926</v>
      </c>
      <c r="Q2446" s="53" t="n">
        <v>45724.4279861111</v>
      </c>
      <c r="R2446" s="0" t="n">
        <v>0</v>
      </c>
      <c r="S2446" s="51" t="s">
        <v>2356</v>
      </c>
      <c r="T2446" s="51" t="s">
        <v>2356</v>
      </c>
      <c r="U2446" s="0" t="str">
        <f aca="false">"8908020441070"</f>
        <v>8908020441070</v>
      </c>
      <c r="V2446" s="51" t="s">
        <v>5386</v>
      </c>
      <c r="W2446" s="51" t="s">
        <v>5405</v>
      </c>
      <c r="X2446" s="51" t="s">
        <v>2359</v>
      </c>
    </row>
    <row r="2447" customFormat="false" ht="14.25" hidden="true" customHeight="false" outlineLevel="0" collapsed="false">
      <c r="A2447" s="49" t="s">
        <v>2349</v>
      </c>
      <c r="B2447" s="49" t="s">
        <v>2350</v>
      </c>
      <c r="C2447" s="49" t="s">
        <v>5468</v>
      </c>
      <c r="D2447" s="49" t="s">
        <v>2352</v>
      </c>
      <c r="E2447" s="49" t="str">
        <f aca="false">"8908020441070"</f>
        <v>8908020441070</v>
      </c>
      <c r="F2447" s="49" t="s">
        <v>5404</v>
      </c>
      <c r="G2447" s="49" t="n">
        <v>0</v>
      </c>
      <c r="H2447" s="0" t="n">
        <v>0</v>
      </c>
      <c r="M2447" s="51" t="s">
        <v>5461</v>
      </c>
      <c r="N2447" s="49" t="n">
        <v>0</v>
      </c>
      <c r="O2447" s="53" t="n">
        <v>45724.4279398148</v>
      </c>
      <c r="P2447" s="53" t="n">
        <v>45806.5787152778</v>
      </c>
      <c r="Q2447" s="53" t="n">
        <v>45724.4279398148</v>
      </c>
      <c r="R2447" s="0" t="n">
        <v>0</v>
      </c>
      <c r="S2447" s="51" t="s">
        <v>2356</v>
      </c>
      <c r="T2447" s="51" t="s">
        <v>2356</v>
      </c>
      <c r="U2447" s="0" t="str">
        <f aca="false">"8908020441070"</f>
        <v>8908020441070</v>
      </c>
      <c r="V2447" s="51" t="s">
        <v>5386</v>
      </c>
      <c r="W2447" s="51" t="s">
        <v>5469</v>
      </c>
      <c r="X2447" s="51" t="s">
        <v>2359</v>
      </c>
    </row>
    <row r="2448" customFormat="false" ht="14.25" hidden="true" customHeight="false" outlineLevel="0" collapsed="false">
      <c r="A2448" s="49" t="s">
        <v>2349</v>
      </c>
      <c r="B2448" s="49" t="s">
        <v>2350</v>
      </c>
      <c r="C2448" s="49" t="s">
        <v>5470</v>
      </c>
      <c r="D2448" s="49" t="s">
        <v>2352</v>
      </c>
      <c r="E2448" s="49" t="str">
        <f aca="false">"8908020441070"</f>
        <v>8908020441070</v>
      </c>
      <c r="F2448" s="49" t="s">
        <v>5404</v>
      </c>
      <c r="G2448" s="49" t="n">
        <v>0</v>
      </c>
      <c r="H2448" s="0" t="n">
        <v>0</v>
      </c>
      <c r="M2448" s="51" t="s">
        <v>5461</v>
      </c>
      <c r="N2448" s="49" t="n">
        <v>0</v>
      </c>
      <c r="O2448" s="53" t="n">
        <v>45724.4279166667</v>
      </c>
      <c r="P2448" s="53" t="n">
        <v>45810.5644675926</v>
      </c>
      <c r="Q2448" s="53" t="n">
        <v>45724.4279166667</v>
      </c>
      <c r="R2448" s="0" t="n">
        <v>0</v>
      </c>
      <c r="S2448" s="51" t="s">
        <v>2356</v>
      </c>
      <c r="T2448" s="51" t="s">
        <v>2356</v>
      </c>
      <c r="U2448" s="0" t="str">
        <f aca="false">"8908020441070"</f>
        <v>8908020441070</v>
      </c>
      <c r="V2448" s="51" t="s">
        <v>5386</v>
      </c>
      <c r="W2448" s="51" t="s">
        <v>5471</v>
      </c>
      <c r="X2448" s="51" t="s">
        <v>2359</v>
      </c>
    </row>
    <row r="2449" customFormat="false" ht="14.25" hidden="true" customHeight="false" outlineLevel="0" collapsed="false">
      <c r="A2449" s="49" t="s">
        <v>2349</v>
      </c>
      <c r="B2449" s="49" t="s">
        <v>2350</v>
      </c>
      <c r="C2449" s="49" t="s">
        <v>5472</v>
      </c>
      <c r="D2449" s="49" t="s">
        <v>2352</v>
      </c>
      <c r="E2449" s="49" t="str">
        <f aca="false">"8908020441070"</f>
        <v>8908020441070</v>
      </c>
      <c r="F2449" s="49" t="s">
        <v>5404</v>
      </c>
      <c r="G2449" s="49" t="n">
        <v>0</v>
      </c>
      <c r="H2449" s="0" t="n">
        <v>0</v>
      </c>
      <c r="M2449" s="51" t="s">
        <v>5461</v>
      </c>
      <c r="N2449" s="49" t="n">
        <v>0</v>
      </c>
      <c r="O2449" s="53" t="n">
        <v>45724.4278587963</v>
      </c>
      <c r="P2449" s="53" t="n">
        <v>45810.5647800926</v>
      </c>
      <c r="Q2449" s="53" t="n">
        <v>45724.4278587963</v>
      </c>
      <c r="R2449" s="0" t="n">
        <v>0</v>
      </c>
      <c r="S2449" s="51" t="s">
        <v>2356</v>
      </c>
      <c r="T2449" s="51" t="s">
        <v>2356</v>
      </c>
      <c r="U2449" s="0" t="str">
        <f aca="false">"8908020441070"</f>
        <v>8908020441070</v>
      </c>
      <c r="V2449" s="51" t="s">
        <v>5386</v>
      </c>
      <c r="W2449" s="51" t="s">
        <v>5473</v>
      </c>
      <c r="X2449" s="51" t="s">
        <v>2359</v>
      </c>
    </row>
    <row r="2450" customFormat="false" ht="14.25" hidden="true" customHeight="false" outlineLevel="0" collapsed="false">
      <c r="A2450" s="49" t="s">
        <v>2349</v>
      </c>
      <c r="B2450" s="49" t="s">
        <v>2350</v>
      </c>
      <c r="C2450" s="49" t="s">
        <v>5474</v>
      </c>
      <c r="D2450" s="49" t="s">
        <v>2352</v>
      </c>
      <c r="E2450" s="49" t="str">
        <f aca="false">"8908020441070"</f>
        <v>8908020441070</v>
      </c>
      <c r="F2450" s="49" t="s">
        <v>5404</v>
      </c>
      <c r="G2450" s="49" t="n">
        <v>0</v>
      </c>
      <c r="H2450" s="0" t="n">
        <v>0</v>
      </c>
      <c r="M2450" s="51" t="s">
        <v>5461</v>
      </c>
      <c r="N2450" s="49" t="n">
        <v>0</v>
      </c>
      <c r="O2450" s="53" t="n">
        <v>45724.4278356481</v>
      </c>
      <c r="P2450" s="53" t="n">
        <v>45903.3416087963</v>
      </c>
      <c r="Q2450" s="53" t="n">
        <v>45724.4278356481</v>
      </c>
      <c r="R2450" s="0" t="n">
        <v>0</v>
      </c>
      <c r="S2450" s="51" t="s">
        <v>2356</v>
      </c>
      <c r="T2450" s="51" t="s">
        <v>2356</v>
      </c>
      <c r="U2450" s="0" t="str">
        <f aca="false">"8908020441070"</f>
        <v>8908020441070</v>
      </c>
      <c r="V2450" s="51" t="s">
        <v>5386</v>
      </c>
      <c r="W2450" s="51" t="s">
        <v>4160</v>
      </c>
      <c r="X2450" s="51" t="s">
        <v>2359</v>
      </c>
    </row>
    <row r="2451" customFormat="false" ht="14.25" hidden="true" customHeight="false" outlineLevel="0" collapsed="false">
      <c r="A2451" s="49" t="s">
        <v>2349</v>
      </c>
      <c r="B2451" s="49" t="s">
        <v>2350</v>
      </c>
      <c r="C2451" s="49" t="s">
        <v>5475</v>
      </c>
      <c r="D2451" s="49" t="s">
        <v>2352</v>
      </c>
      <c r="E2451" s="49" t="str">
        <f aca="false">"8908020441070"</f>
        <v>8908020441070</v>
      </c>
      <c r="F2451" s="49" t="s">
        <v>5404</v>
      </c>
      <c r="G2451" s="49" t="n">
        <v>0</v>
      </c>
      <c r="H2451" s="0" t="n">
        <v>0</v>
      </c>
      <c r="M2451" s="51" t="s">
        <v>5461</v>
      </c>
      <c r="N2451" s="49" t="n">
        <v>0</v>
      </c>
      <c r="O2451" s="53" t="n">
        <v>45724.4278009259</v>
      </c>
      <c r="P2451" s="53" t="n">
        <v>45811.6077662037</v>
      </c>
      <c r="Q2451" s="53" t="n">
        <v>45724.4278009259</v>
      </c>
      <c r="R2451" s="0" t="n">
        <v>0</v>
      </c>
      <c r="S2451" s="51" t="s">
        <v>2356</v>
      </c>
      <c r="T2451" s="51" t="s">
        <v>2356</v>
      </c>
      <c r="U2451" s="0" t="str">
        <f aca="false">"8908020441070"</f>
        <v>8908020441070</v>
      </c>
      <c r="V2451" s="51" t="s">
        <v>5386</v>
      </c>
      <c r="W2451" s="51" t="s">
        <v>5476</v>
      </c>
      <c r="X2451" s="51" t="s">
        <v>2359</v>
      </c>
    </row>
    <row r="2452" customFormat="false" ht="14.25" hidden="true" customHeight="false" outlineLevel="0" collapsed="false">
      <c r="A2452" s="49" t="s">
        <v>2349</v>
      </c>
      <c r="B2452" s="49" t="s">
        <v>2350</v>
      </c>
      <c r="C2452" s="49" t="s">
        <v>5477</v>
      </c>
      <c r="D2452" s="49" t="s">
        <v>2352</v>
      </c>
      <c r="E2452" s="49" t="str">
        <f aca="false">"8908020441030"</f>
        <v>8908020441030</v>
      </c>
      <c r="F2452" s="49" t="s">
        <v>5384</v>
      </c>
      <c r="G2452" s="49" t="n">
        <v>0</v>
      </c>
      <c r="H2452" s="0" t="n">
        <v>0</v>
      </c>
      <c r="M2452" s="51" t="s">
        <v>5461</v>
      </c>
      <c r="N2452" s="49" t="n">
        <v>0</v>
      </c>
      <c r="O2452" s="53" t="n">
        <v>45724.4275810185</v>
      </c>
      <c r="P2452" s="53" t="n">
        <v>45778.6956597222</v>
      </c>
      <c r="Q2452" s="53" t="n">
        <v>45724.4275810185</v>
      </c>
      <c r="R2452" s="0" t="n">
        <v>0</v>
      </c>
      <c r="S2452" s="51" t="s">
        <v>2356</v>
      </c>
      <c r="T2452" s="51" t="s">
        <v>2356</v>
      </c>
      <c r="U2452" s="0" t="str">
        <f aca="false">"8908020441030"</f>
        <v>8908020441030</v>
      </c>
      <c r="V2452" s="51" t="s">
        <v>5386</v>
      </c>
      <c r="W2452" s="51" t="s">
        <v>4596</v>
      </c>
      <c r="X2452" s="51" t="s">
        <v>2359</v>
      </c>
    </row>
    <row r="2453" customFormat="false" ht="14.25" hidden="true" customHeight="false" outlineLevel="0" collapsed="false">
      <c r="A2453" s="49" t="s">
        <v>2349</v>
      </c>
      <c r="B2453" s="49" t="s">
        <v>2350</v>
      </c>
      <c r="C2453" s="49" t="s">
        <v>5478</v>
      </c>
      <c r="D2453" s="49" t="s">
        <v>2352</v>
      </c>
      <c r="E2453" s="49" t="str">
        <f aca="false">"8908020441030"</f>
        <v>8908020441030</v>
      </c>
      <c r="F2453" s="49" t="s">
        <v>5384</v>
      </c>
      <c r="G2453" s="49" t="n">
        <v>0</v>
      </c>
      <c r="H2453" s="0" t="n">
        <v>0</v>
      </c>
      <c r="M2453" s="51" t="s">
        <v>5461</v>
      </c>
      <c r="N2453" s="49" t="n">
        <v>0</v>
      </c>
      <c r="O2453" s="53" t="n">
        <v>45724.4275578704</v>
      </c>
      <c r="P2453" s="53" t="n">
        <v>45785.4006365741</v>
      </c>
      <c r="Q2453" s="53" t="n">
        <v>45724.4275578704</v>
      </c>
      <c r="R2453" s="0" t="n">
        <v>0</v>
      </c>
      <c r="S2453" s="51" t="s">
        <v>2356</v>
      </c>
      <c r="T2453" s="51" t="s">
        <v>2356</v>
      </c>
      <c r="U2453" s="0" t="str">
        <f aca="false">"8908020441030"</f>
        <v>8908020441030</v>
      </c>
      <c r="V2453" s="51" t="s">
        <v>5386</v>
      </c>
      <c r="W2453" s="51" t="s">
        <v>5479</v>
      </c>
      <c r="X2453" s="51" t="s">
        <v>2359</v>
      </c>
    </row>
    <row r="2454" customFormat="false" ht="14.25" hidden="true" customHeight="false" outlineLevel="0" collapsed="false">
      <c r="A2454" s="49" t="s">
        <v>2349</v>
      </c>
      <c r="B2454" s="49" t="s">
        <v>2350</v>
      </c>
      <c r="C2454" s="49" t="s">
        <v>5480</v>
      </c>
      <c r="D2454" s="49" t="s">
        <v>2352</v>
      </c>
      <c r="E2454" s="49" t="str">
        <f aca="false">"8908020441030"</f>
        <v>8908020441030</v>
      </c>
      <c r="F2454" s="49" t="s">
        <v>5384</v>
      </c>
      <c r="G2454" s="49" t="n">
        <v>0</v>
      </c>
      <c r="H2454" s="0" t="n">
        <v>0</v>
      </c>
      <c r="M2454" s="51" t="s">
        <v>5461</v>
      </c>
      <c r="N2454" s="49" t="n">
        <v>0</v>
      </c>
      <c r="O2454" s="53" t="n">
        <v>45724.4275231482</v>
      </c>
      <c r="P2454" s="53" t="n">
        <v>45759.5157291667</v>
      </c>
      <c r="Q2454" s="53" t="n">
        <v>45724.4275231482</v>
      </c>
      <c r="R2454" s="0" t="n">
        <v>0</v>
      </c>
      <c r="S2454" s="51" t="s">
        <v>2356</v>
      </c>
      <c r="T2454" s="51" t="s">
        <v>2356</v>
      </c>
      <c r="U2454" s="0" t="str">
        <f aca="false">"8908020441030"</f>
        <v>8908020441030</v>
      </c>
      <c r="V2454" s="51" t="s">
        <v>5386</v>
      </c>
      <c r="W2454" s="51" t="s">
        <v>4154</v>
      </c>
      <c r="X2454" s="51" t="s">
        <v>2359</v>
      </c>
    </row>
    <row r="2455" customFormat="false" ht="14.25" hidden="true" customHeight="false" outlineLevel="0" collapsed="false">
      <c r="A2455" s="49" t="s">
        <v>2349</v>
      </c>
      <c r="B2455" s="49" t="s">
        <v>2350</v>
      </c>
      <c r="C2455" s="49" t="s">
        <v>5481</v>
      </c>
      <c r="D2455" s="49" t="s">
        <v>2352</v>
      </c>
      <c r="E2455" s="49" t="str">
        <f aca="false">"8908020441030"</f>
        <v>8908020441030</v>
      </c>
      <c r="F2455" s="49" t="s">
        <v>5384</v>
      </c>
      <c r="G2455" s="49" t="n">
        <v>0</v>
      </c>
      <c r="H2455" s="0" t="n">
        <v>0</v>
      </c>
      <c r="M2455" s="51" t="s">
        <v>5461</v>
      </c>
      <c r="N2455" s="49" t="n">
        <v>0</v>
      </c>
      <c r="O2455" s="53" t="n">
        <v>45724.4274884259</v>
      </c>
      <c r="P2455" s="53" t="n">
        <v>45785.400462963</v>
      </c>
      <c r="Q2455" s="53" t="n">
        <v>45724.4274884259</v>
      </c>
      <c r="R2455" s="0" t="n">
        <v>0</v>
      </c>
      <c r="S2455" s="51" t="s">
        <v>2356</v>
      </c>
      <c r="T2455" s="51" t="s">
        <v>2356</v>
      </c>
      <c r="U2455" s="0" t="str">
        <f aca="false">"8908020441030"</f>
        <v>8908020441030</v>
      </c>
      <c r="V2455" s="51" t="s">
        <v>5386</v>
      </c>
      <c r="W2455" s="51" t="s">
        <v>3764</v>
      </c>
      <c r="X2455" s="51" t="s">
        <v>2359</v>
      </c>
    </row>
    <row r="2456" customFormat="false" ht="14.25" hidden="true" customHeight="false" outlineLevel="0" collapsed="false">
      <c r="A2456" s="49" t="s">
        <v>2349</v>
      </c>
      <c r="B2456" s="49" t="s">
        <v>2350</v>
      </c>
      <c r="C2456" s="49" t="s">
        <v>5482</v>
      </c>
      <c r="D2456" s="49" t="s">
        <v>2352</v>
      </c>
      <c r="E2456" s="49" t="str">
        <f aca="false">"8908020441030"</f>
        <v>8908020441030</v>
      </c>
      <c r="F2456" s="49" t="s">
        <v>5384</v>
      </c>
      <c r="G2456" s="49" t="n">
        <v>0</v>
      </c>
      <c r="H2456" s="0" t="n">
        <v>0</v>
      </c>
      <c r="M2456" s="51" t="s">
        <v>5461</v>
      </c>
      <c r="N2456" s="49" t="n">
        <v>0</v>
      </c>
      <c r="O2456" s="53" t="n">
        <v>45724.4274652778</v>
      </c>
      <c r="P2456" s="53" t="n">
        <v>45778.6946412037</v>
      </c>
      <c r="Q2456" s="53" t="n">
        <v>45724.4274652778</v>
      </c>
      <c r="R2456" s="0" t="n">
        <v>0</v>
      </c>
      <c r="S2456" s="51" t="s">
        <v>2356</v>
      </c>
      <c r="T2456" s="51" t="s">
        <v>2356</v>
      </c>
      <c r="U2456" s="0" t="str">
        <f aca="false">"8908020441030"</f>
        <v>8908020441030</v>
      </c>
      <c r="V2456" s="51" t="s">
        <v>5386</v>
      </c>
      <c r="W2456" s="51" t="s">
        <v>4609</v>
      </c>
      <c r="X2456" s="51" t="s">
        <v>2359</v>
      </c>
    </row>
    <row r="2457" customFormat="false" ht="14.25" hidden="true" customHeight="false" outlineLevel="0" collapsed="false">
      <c r="A2457" s="49" t="s">
        <v>2349</v>
      </c>
      <c r="B2457" s="49" t="s">
        <v>2350</v>
      </c>
      <c r="C2457" s="49" t="s">
        <v>5483</v>
      </c>
      <c r="D2457" s="49" t="s">
        <v>2352</v>
      </c>
      <c r="E2457" s="49" t="str">
        <f aca="false">"8908020441030"</f>
        <v>8908020441030</v>
      </c>
      <c r="F2457" s="49" t="s">
        <v>5384</v>
      </c>
      <c r="G2457" s="49" t="n">
        <v>0</v>
      </c>
      <c r="H2457" s="0" t="n">
        <v>0</v>
      </c>
      <c r="M2457" s="51" t="s">
        <v>5461</v>
      </c>
      <c r="N2457" s="49" t="n">
        <v>0</v>
      </c>
      <c r="O2457" s="53" t="n">
        <v>45724.4273958333</v>
      </c>
      <c r="P2457" s="53" t="n">
        <v>45778.6945138889</v>
      </c>
      <c r="Q2457" s="53" t="n">
        <v>45724.4273958333</v>
      </c>
      <c r="R2457" s="0" t="n">
        <v>0</v>
      </c>
      <c r="S2457" s="51" t="s">
        <v>2356</v>
      </c>
      <c r="T2457" s="51" t="s">
        <v>2356</v>
      </c>
      <c r="U2457" s="0" t="str">
        <f aca="false">"8908020441030"</f>
        <v>8908020441030</v>
      </c>
      <c r="V2457" s="51" t="s">
        <v>5386</v>
      </c>
      <c r="W2457" s="51" t="s">
        <v>5484</v>
      </c>
      <c r="X2457" s="51" t="s">
        <v>2359</v>
      </c>
    </row>
    <row r="2458" customFormat="false" ht="14.25" hidden="true" customHeight="false" outlineLevel="0" collapsed="false">
      <c r="A2458" s="49" t="s">
        <v>2349</v>
      </c>
      <c r="B2458" s="49" t="s">
        <v>2350</v>
      </c>
      <c r="C2458" s="49" t="s">
        <v>5485</v>
      </c>
      <c r="D2458" s="49" t="s">
        <v>2352</v>
      </c>
      <c r="E2458" s="49" t="str">
        <f aca="false">"8908020441030"</f>
        <v>8908020441030</v>
      </c>
      <c r="F2458" s="49" t="s">
        <v>5384</v>
      </c>
      <c r="G2458" s="49" t="n">
        <v>0</v>
      </c>
      <c r="H2458" s="0" t="n">
        <v>0</v>
      </c>
      <c r="M2458" s="51" t="s">
        <v>5461</v>
      </c>
      <c r="N2458" s="49" t="n">
        <v>0</v>
      </c>
      <c r="O2458" s="53" t="n">
        <v>45724.4273611111</v>
      </c>
      <c r="P2458" s="53" t="n">
        <v>45785.4005324074</v>
      </c>
      <c r="Q2458" s="53" t="n">
        <v>45724.4273611111</v>
      </c>
      <c r="R2458" s="0" t="n">
        <v>0</v>
      </c>
      <c r="S2458" s="51" t="s">
        <v>2356</v>
      </c>
      <c r="T2458" s="51" t="s">
        <v>2356</v>
      </c>
      <c r="U2458" s="0" t="str">
        <f aca="false">"8908020441030"</f>
        <v>8908020441030</v>
      </c>
      <c r="V2458" s="51" t="s">
        <v>5386</v>
      </c>
      <c r="W2458" s="51" t="s">
        <v>4367</v>
      </c>
      <c r="X2458" s="51" t="s">
        <v>2359</v>
      </c>
    </row>
    <row r="2459" customFormat="false" ht="14.25" hidden="true" customHeight="false" outlineLevel="0" collapsed="false">
      <c r="A2459" s="49" t="s">
        <v>2349</v>
      </c>
      <c r="B2459" s="49" t="s">
        <v>2350</v>
      </c>
      <c r="C2459" s="49" t="s">
        <v>5486</v>
      </c>
      <c r="D2459" s="49" t="s">
        <v>2352</v>
      </c>
      <c r="E2459" s="49" t="str">
        <f aca="false">"8908020441030"</f>
        <v>8908020441030</v>
      </c>
      <c r="F2459" s="49" t="s">
        <v>5384</v>
      </c>
      <c r="G2459" s="49" t="n">
        <v>0</v>
      </c>
      <c r="H2459" s="0" t="n">
        <v>0</v>
      </c>
      <c r="M2459" s="51" t="s">
        <v>5461</v>
      </c>
      <c r="N2459" s="49" t="n">
        <v>0</v>
      </c>
      <c r="O2459" s="53" t="n">
        <v>45724.427337963</v>
      </c>
      <c r="P2459" s="53" t="n">
        <v>45778.6944560185</v>
      </c>
      <c r="Q2459" s="53" t="n">
        <v>45724.427337963</v>
      </c>
      <c r="R2459" s="0" t="n">
        <v>0</v>
      </c>
      <c r="S2459" s="51" t="s">
        <v>2356</v>
      </c>
      <c r="T2459" s="51" t="s">
        <v>2356</v>
      </c>
      <c r="U2459" s="0" t="str">
        <f aca="false">"8908020441030"</f>
        <v>8908020441030</v>
      </c>
      <c r="V2459" s="51" t="s">
        <v>5386</v>
      </c>
      <c r="W2459" s="51" t="s">
        <v>5487</v>
      </c>
      <c r="X2459" s="51" t="s">
        <v>2359</v>
      </c>
    </row>
    <row r="2460" customFormat="false" ht="14.25" hidden="true" customHeight="false" outlineLevel="0" collapsed="false">
      <c r="A2460" s="49" t="s">
        <v>2349</v>
      </c>
      <c r="B2460" s="49" t="s">
        <v>2350</v>
      </c>
      <c r="C2460" s="49" t="s">
        <v>5488</v>
      </c>
      <c r="D2460" s="49" t="s">
        <v>2352</v>
      </c>
      <c r="E2460" s="49" t="str">
        <f aca="false">"8908020441030"</f>
        <v>8908020441030</v>
      </c>
      <c r="F2460" s="49" t="s">
        <v>5384</v>
      </c>
      <c r="G2460" s="49" t="n">
        <v>0</v>
      </c>
      <c r="H2460" s="0" t="n">
        <v>0</v>
      </c>
      <c r="M2460" s="51" t="s">
        <v>5461</v>
      </c>
      <c r="N2460" s="49" t="n">
        <v>0</v>
      </c>
      <c r="O2460" s="53" t="n">
        <v>45724.4272569444</v>
      </c>
      <c r="P2460" s="53" t="n">
        <v>45778.6958796296</v>
      </c>
      <c r="Q2460" s="53" t="n">
        <v>45724.4272569444</v>
      </c>
      <c r="R2460" s="0" t="n">
        <v>0</v>
      </c>
      <c r="S2460" s="51" t="s">
        <v>2356</v>
      </c>
      <c r="T2460" s="51" t="s">
        <v>2356</v>
      </c>
      <c r="U2460" s="0" t="str">
        <f aca="false">"8908020441030"</f>
        <v>8908020441030</v>
      </c>
      <c r="V2460" s="51" t="s">
        <v>5386</v>
      </c>
      <c r="W2460" s="51" t="s">
        <v>4152</v>
      </c>
      <c r="X2460" s="51" t="s">
        <v>2359</v>
      </c>
    </row>
    <row r="2461" customFormat="false" ht="14.25" hidden="true" customHeight="false" outlineLevel="0" collapsed="false">
      <c r="A2461" s="49" t="s">
        <v>2349</v>
      </c>
      <c r="B2461" s="49" t="s">
        <v>2350</v>
      </c>
      <c r="C2461" s="49" t="s">
        <v>5489</v>
      </c>
      <c r="D2461" s="49" t="s">
        <v>2352</v>
      </c>
      <c r="E2461" s="49" t="str">
        <f aca="false">"8908020441030"</f>
        <v>8908020441030</v>
      </c>
      <c r="F2461" s="49" t="s">
        <v>5384</v>
      </c>
      <c r="G2461" s="49" t="n">
        <v>0</v>
      </c>
      <c r="H2461" s="0" t="n">
        <v>0</v>
      </c>
      <c r="M2461" s="51" t="s">
        <v>5461</v>
      </c>
      <c r="N2461" s="49" t="n">
        <v>0</v>
      </c>
      <c r="O2461" s="53" t="n">
        <v>45724.4272222222</v>
      </c>
      <c r="P2461" s="53" t="n">
        <v>45764.7800231481</v>
      </c>
      <c r="Q2461" s="53" t="n">
        <v>45724.4272222222</v>
      </c>
      <c r="R2461" s="0" t="n">
        <v>0</v>
      </c>
      <c r="S2461" s="51" t="s">
        <v>2356</v>
      </c>
      <c r="T2461" s="51" t="s">
        <v>2356</v>
      </c>
      <c r="U2461" s="0" t="str">
        <f aca="false">"8908020441030"</f>
        <v>8908020441030</v>
      </c>
      <c r="V2461" s="51" t="s">
        <v>5386</v>
      </c>
      <c r="W2461" s="51" t="s">
        <v>5490</v>
      </c>
      <c r="X2461" s="51" t="s">
        <v>2359</v>
      </c>
    </row>
    <row r="2462" customFormat="false" ht="14.25" hidden="true" customHeight="false" outlineLevel="0" collapsed="false">
      <c r="A2462" s="49" t="s">
        <v>2349</v>
      </c>
      <c r="B2462" s="49" t="s">
        <v>2350</v>
      </c>
      <c r="C2462" s="49" t="s">
        <v>5491</v>
      </c>
      <c r="D2462" s="49" t="s">
        <v>2352</v>
      </c>
      <c r="E2462" s="49" t="str">
        <f aca="false">"8908020441030"</f>
        <v>8908020441030</v>
      </c>
      <c r="F2462" s="49" t="s">
        <v>5384</v>
      </c>
      <c r="G2462" s="49" t="n">
        <v>0</v>
      </c>
      <c r="H2462" s="0" t="n">
        <v>0</v>
      </c>
      <c r="M2462" s="51" t="s">
        <v>5461</v>
      </c>
      <c r="N2462" s="49" t="n">
        <v>0</v>
      </c>
      <c r="O2462" s="53" t="n">
        <v>45724.4271875</v>
      </c>
      <c r="P2462" s="53" t="n">
        <v>45787.6133217593</v>
      </c>
      <c r="Q2462" s="53" t="n">
        <v>45724.4271875</v>
      </c>
      <c r="R2462" s="0" t="n">
        <v>0</v>
      </c>
      <c r="S2462" s="51" t="s">
        <v>2356</v>
      </c>
      <c r="T2462" s="51" t="s">
        <v>2356</v>
      </c>
      <c r="U2462" s="0" t="str">
        <f aca="false">"8908020441030"</f>
        <v>8908020441030</v>
      </c>
      <c r="V2462" s="51" t="s">
        <v>5386</v>
      </c>
      <c r="W2462" s="51" t="s">
        <v>5492</v>
      </c>
      <c r="X2462" s="51" t="s">
        <v>2359</v>
      </c>
    </row>
    <row r="2463" customFormat="false" ht="14.25" hidden="true" customHeight="false" outlineLevel="0" collapsed="false">
      <c r="A2463" s="49" t="s">
        <v>2349</v>
      </c>
      <c r="B2463" s="49" t="s">
        <v>2350</v>
      </c>
      <c r="C2463" s="49" t="s">
        <v>5493</v>
      </c>
      <c r="D2463" s="49" t="s">
        <v>2352</v>
      </c>
      <c r="E2463" s="49" t="str">
        <f aca="false">"8908020441030"</f>
        <v>8908020441030</v>
      </c>
      <c r="F2463" s="49" t="s">
        <v>5384</v>
      </c>
      <c r="G2463" s="49" t="n">
        <v>0</v>
      </c>
      <c r="H2463" s="0" t="n">
        <v>0</v>
      </c>
      <c r="M2463" s="51" t="s">
        <v>5461</v>
      </c>
      <c r="N2463" s="49" t="n">
        <v>0</v>
      </c>
      <c r="O2463" s="53" t="n">
        <v>45724.4271527778</v>
      </c>
      <c r="P2463" s="53" t="n">
        <v>45871.5764236111</v>
      </c>
      <c r="Q2463" s="53" t="n">
        <v>45724.4271527778</v>
      </c>
      <c r="R2463" s="0" t="n">
        <v>0</v>
      </c>
      <c r="S2463" s="51" t="s">
        <v>2356</v>
      </c>
      <c r="T2463" s="51" t="s">
        <v>2356</v>
      </c>
      <c r="U2463" s="0" t="str">
        <f aca="false">"8908020441030"</f>
        <v>8908020441030</v>
      </c>
      <c r="V2463" s="51" t="s">
        <v>5386</v>
      </c>
      <c r="W2463" s="51" t="s">
        <v>5494</v>
      </c>
      <c r="X2463" s="51" t="s">
        <v>2359</v>
      </c>
    </row>
    <row r="2464" customFormat="false" ht="14.25" hidden="true" customHeight="false" outlineLevel="0" collapsed="false">
      <c r="A2464" s="49" t="s">
        <v>2349</v>
      </c>
      <c r="B2464" s="49" t="s">
        <v>2350</v>
      </c>
      <c r="C2464" s="49" t="s">
        <v>5495</v>
      </c>
      <c r="D2464" s="49" t="s">
        <v>2352</v>
      </c>
      <c r="E2464" s="49" t="str">
        <f aca="false">"5060458890191"</f>
        <v>5060458890191</v>
      </c>
      <c r="F2464" s="49" t="s">
        <v>3656</v>
      </c>
      <c r="G2464" s="49" t="n">
        <v>0</v>
      </c>
      <c r="H2464" s="0" t="n">
        <v>0</v>
      </c>
      <c r="M2464" s="51" t="s">
        <v>5496</v>
      </c>
      <c r="N2464" s="49" t="n">
        <v>0</v>
      </c>
      <c r="O2464" s="53" t="n">
        <v>45731.4332175926</v>
      </c>
      <c r="P2464" s="53" t="n">
        <v>45750.614837963</v>
      </c>
      <c r="Q2464" s="53" t="n">
        <v>45731.4332175926</v>
      </c>
      <c r="R2464" s="0" t="n">
        <v>0</v>
      </c>
      <c r="S2464" s="51" t="s">
        <v>2376</v>
      </c>
      <c r="T2464" s="51" t="s">
        <v>2376</v>
      </c>
      <c r="U2464" s="0" t="str">
        <f aca="false">"5060458890191"</f>
        <v>5060458890191</v>
      </c>
      <c r="V2464" s="51" t="s">
        <v>2142</v>
      </c>
      <c r="W2464" s="51" t="s">
        <v>4218</v>
      </c>
      <c r="X2464" s="51" t="s">
        <v>2359</v>
      </c>
    </row>
    <row r="2465" customFormat="false" ht="14.25" hidden="true" customHeight="false" outlineLevel="0" collapsed="false">
      <c r="A2465" s="49" t="s">
        <v>2349</v>
      </c>
      <c r="B2465" s="49" t="s">
        <v>2350</v>
      </c>
      <c r="C2465" s="49" t="s">
        <v>5497</v>
      </c>
      <c r="D2465" s="49" t="s">
        <v>2352</v>
      </c>
      <c r="E2465" s="49" t="str">
        <f aca="false">"5060458890191"</f>
        <v>5060458890191</v>
      </c>
      <c r="F2465" s="49" t="s">
        <v>3656</v>
      </c>
      <c r="G2465" s="49" t="n">
        <v>0</v>
      </c>
      <c r="H2465" s="0" t="n">
        <v>0</v>
      </c>
      <c r="M2465" s="51" t="s">
        <v>5496</v>
      </c>
      <c r="N2465" s="49" t="n">
        <v>0</v>
      </c>
      <c r="O2465" s="53" t="n">
        <v>45731.4333449074</v>
      </c>
      <c r="P2465" s="53" t="n">
        <v>45754.6014814815</v>
      </c>
      <c r="Q2465" s="53" t="n">
        <v>45731.4333449074</v>
      </c>
      <c r="R2465" s="0" t="n">
        <v>0</v>
      </c>
      <c r="S2465" s="51" t="s">
        <v>2376</v>
      </c>
      <c r="T2465" s="51" t="s">
        <v>2376</v>
      </c>
      <c r="U2465" s="0" t="str">
        <f aca="false">"5060458890191"</f>
        <v>5060458890191</v>
      </c>
      <c r="V2465" s="51" t="s">
        <v>2142</v>
      </c>
      <c r="W2465" s="51" t="s">
        <v>4779</v>
      </c>
      <c r="X2465" s="51" t="s">
        <v>2359</v>
      </c>
    </row>
    <row r="2466" customFormat="false" ht="14.25" hidden="true" customHeight="false" outlineLevel="0" collapsed="false">
      <c r="A2466" s="49" t="s">
        <v>2349</v>
      </c>
      <c r="B2466" s="49" t="s">
        <v>2350</v>
      </c>
      <c r="C2466" s="49" t="s">
        <v>5498</v>
      </c>
      <c r="D2466" s="49" t="s">
        <v>2352</v>
      </c>
      <c r="E2466" s="49" t="str">
        <f aca="false">"5060458890191"</f>
        <v>5060458890191</v>
      </c>
      <c r="F2466" s="49" t="s">
        <v>3656</v>
      </c>
      <c r="G2466" s="49" t="n">
        <v>0</v>
      </c>
      <c r="H2466" s="0" t="n">
        <v>0</v>
      </c>
      <c r="M2466" s="51" t="s">
        <v>5496</v>
      </c>
      <c r="N2466" s="49" t="n">
        <v>0</v>
      </c>
      <c r="O2466" s="53" t="n">
        <v>45731.4335185185</v>
      </c>
      <c r="P2466" s="53" t="n">
        <v>45757.7248148148</v>
      </c>
      <c r="Q2466" s="53" t="n">
        <v>45731.4335185185</v>
      </c>
      <c r="R2466" s="0" t="n">
        <v>0</v>
      </c>
      <c r="S2466" s="51" t="s">
        <v>2376</v>
      </c>
      <c r="T2466" s="51" t="s">
        <v>2376</v>
      </c>
      <c r="U2466" s="0" t="str">
        <f aca="false">"5060458890191"</f>
        <v>5060458890191</v>
      </c>
      <c r="V2466" s="51" t="s">
        <v>2142</v>
      </c>
      <c r="W2466" s="51" t="s">
        <v>5499</v>
      </c>
      <c r="X2466" s="51" t="s">
        <v>2359</v>
      </c>
    </row>
    <row r="2467" customFormat="false" ht="14.25" hidden="true" customHeight="false" outlineLevel="0" collapsed="false">
      <c r="A2467" s="49" t="s">
        <v>2349</v>
      </c>
      <c r="B2467" s="49" t="s">
        <v>2350</v>
      </c>
      <c r="C2467" s="49" t="s">
        <v>5500</v>
      </c>
      <c r="D2467" s="49" t="s">
        <v>2352</v>
      </c>
      <c r="E2467" s="49" t="str">
        <f aca="false">"5060458890191"</f>
        <v>5060458890191</v>
      </c>
      <c r="F2467" s="49" t="s">
        <v>3656</v>
      </c>
      <c r="G2467" s="49" t="n">
        <v>0</v>
      </c>
      <c r="H2467" s="0" t="n">
        <v>0</v>
      </c>
      <c r="M2467" s="51" t="s">
        <v>5496</v>
      </c>
      <c r="N2467" s="49" t="n">
        <v>0</v>
      </c>
      <c r="O2467" s="53" t="n">
        <v>45731.4340509259</v>
      </c>
      <c r="P2467" s="53" t="n">
        <v>45750.6144212963</v>
      </c>
      <c r="Q2467" s="53" t="n">
        <v>45731.4340509259</v>
      </c>
      <c r="R2467" s="0" t="n">
        <v>0</v>
      </c>
      <c r="S2467" s="51" t="s">
        <v>2376</v>
      </c>
      <c r="T2467" s="51" t="s">
        <v>2376</v>
      </c>
      <c r="U2467" s="0" t="str">
        <f aca="false">"5060458890191"</f>
        <v>5060458890191</v>
      </c>
      <c r="V2467" s="51" t="s">
        <v>2142</v>
      </c>
      <c r="W2467" s="51" t="s">
        <v>5499</v>
      </c>
      <c r="X2467" s="51" t="s">
        <v>2359</v>
      </c>
    </row>
    <row r="2468" customFormat="false" ht="14.25" hidden="true" customHeight="false" outlineLevel="0" collapsed="false">
      <c r="A2468" s="49" t="s">
        <v>2349</v>
      </c>
      <c r="B2468" s="49" t="s">
        <v>2350</v>
      </c>
      <c r="C2468" s="49" t="s">
        <v>5501</v>
      </c>
      <c r="D2468" s="49" t="s">
        <v>2352</v>
      </c>
      <c r="E2468" s="49" t="str">
        <f aca="false">"5060458890191"</f>
        <v>5060458890191</v>
      </c>
      <c r="F2468" s="49" t="s">
        <v>3656</v>
      </c>
      <c r="G2468" s="49" t="n">
        <v>0</v>
      </c>
      <c r="H2468" s="0" t="n">
        <v>0</v>
      </c>
      <c r="M2468" s="51" t="s">
        <v>5496</v>
      </c>
      <c r="N2468" s="49" t="n">
        <v>0</v>
      </c>
      <c r="O2468" s="53" t="n">
        <v>45731.4342013889</v>
      </c>
      <c r="P2468" s="53" t="n">
        <v>45750.6140509259</v>
      </c>
      <c r="Q2468" s="53" t="n">
        <v>45731.4342013889</v>
      </c>
      <c r="R2468" s="0" t="n">
        <v>0</v>
      </c>
      <c r="S2468" s="51" t="s">
        <v>2376</v>
      </c>
      <c r="T2468" s="51" t="s">
        <v>2376</v>
      </c>
      <c r="U2468" s="0" t="str">
        <f aca="false">"5060458890191"</f>
        <v>5060458890191</v>
      </c>
      <c r="V2468" s="51" t="s">
        <v>2142</v>
      </c>
      <c r="W2468" s="51" t="s">
        <v>4846</v>
      </c>
      <c r="X2468" s="51" t="s">
        <v>2359</v>
      </c>
    </row>
    <row r="2469" customFormat="false" ht="14.25" hidden="true" customHeight="false" outlineLevel="0" collapsed="false">
      <c r="A2469" s="49" t="s">
        <v>2349</v>
      </c>
      <c r="B2469" s="49" t="s">
        <v>2350</v>
      </c>
      <c r="C2469" s="49" t="s">
        <v>5502</v>
      </c>
      <c r="D2469" s="49" t="s">
        <v>2352</v>
      </c>
      <c r="E2469" s="49" t="str">
        <f aca="false">"5060458890191"</f>
        <v>5060458890191</v>
      </c>
      <c r="F2469" s="49" t="s">
        <v>3656</v>
      </c>
      <c r="G2469" s="49" t="n">
        <v>0</v>
      </c>
      <c r="H2469" s="0" t="n">
        <v>0</v>
      </c>
      <c r="M2469" s="51" t="s">
        <v>5496</v>
      </c>
      <c r="N2469" s="49" t="n">
        <v>0</v>
      </c>
      <c r="O2469" s="53" t="n">
        <v>45731.4343171296</v>
      </c>
      <c r="P2469" s="53" t="n">
        <v>45750.6131365741</v>
      </c>
      <c r="Q2469" s="53" t="n">
        <v>45731.4343171296</v>
      </c>
      <c r="R2469" s="0" t="n">
        <v>0</v>
      </c>
      <c r="S2469" s="51" t="s">
        <v>2376</v>
      </c>
      <c r="T2469" s="51" t="s">
        <v>2376</v>
      </c>
      <c r="U2469" s="0" t="str">
        <f aca="false">"5060458890191"</f>
        <v>5060458890191</v>
      </c>
      <c r="V2469" s="51" t="s">
        <v>2142</v>
      </c>
      <c r="W2469" s="51" t="s">
        <v>3672</v>
      </c>
      <c r="X2469" s="51" t="s">
        <v>2359</v>
      </c>
    </row>
    <row r="2470" customFormat="false" ht="14.25" hidden="true" customHeight="false" outlineLevel="0" collapsed="false">
      <c r="A2470" s="49" t="s">
        <v>2349</v>
      </c>
      <c r="B2470" s="49" t="s">
        <v>2350</v>
      </c>
      <c r="C2470" s="49" t="s">
        <v>5503</v>
      </c>
      <c r="D2470" s="49" t="s">
        <v>2352</v>
      </c>
      <c r="E2470" s="49" t="str">
        <f aca="false">"5060458890191"</f>
        <v>5060458890191</v>
      </c>
      <c r="F2470" s="49" t="s">
        <v>3656</v>
      </c>
      <c r="G2470" s="49" t="n">
        <v>0</v>
      </c>
      <c r="H2470" s="0" t="n">
        <v>0</v>
      </c>
      <c r="M2470" s="51" t="s">
        <v>5496</v>
      </c>
      <c r="N2470" s="49" t="n">
        <v>0</v>
      </c>
      <c r="O2470" s="53" t="n">
        <v>45731.434537037</v>
      </c>
      <c r="P2470" s="53" t="n">
        <v>45750.6136458333</v>
      </c>
      <c r="Q2470" s="53" t="n">
        <v>45731.434537037</v>
      </c>
      <c r="R2470" s="0" t="n">
        <v>0</v>
      </c>
      <c r="S2470" s="51" t="s">
        <v>2376</v>
      </c>
      <c r="T2470" s="51" t="s">
        <v>2376</v>
      </c>
      <c r="U2470" s="0" t="str">
        <f aca="false">"5060458890191"</f>
        <v>5060458890191</v>
      </c>
      <c r="V2470" s="51" t="s">
        <v>2142</v>
      </c>
      <c r="W2470" s="51" t="s">
        <v>5504</v>
      </c>
      <c r="X2470" s="51" t="s">
        <v>2359</v>
      </c>
    </row>
    <row r="2471" customFormat="false" ht="14.25" hidden="true" customHeight="false" outlineLevel="0" collapsed="false">
      <c r="A2471" s="49" t="s">
        <v>2349</v>
      </c>
      <c r="B2471" s="49" t="s">
        <v>2350</v>
      </c>
      <c r="C2471" s="49" t="s">
        <v>5505</v>
      </c>
      <c r="D2471" s="49" t="s">
        <v>2352</v>
      </c>
      <c r="E2471" s="49" t="str">
        <f aca="false">"5060458890191"</f>
        <v>5060458890191</v>
      </c>
      <c r="F2471" s="49" t="s">
        <v>3656</v>
      </c>
      <c r="G2471" s="49" t="n">
        <v>0</v>
      </c>
      <c r="H2471" s="0" t="n">
        <v>0</v>
      </c>
      <c r="M2471" s="51" t="s">
        <v>5496</v>
      </c>
      <c r="N2471" s="49" t="n">
        <v>0</v>
      </c>
      <c r="O2471" s="53" t="n">
        <v>45731.4360532407</v>
      </c>
      <c r="P2471" s="53" t="n">
        <v>45734.9080671296</v>
      </c>
      <c r="Q2471" s="53" t="n">
        <v>45731.4360532407</v>
      </c>
      <c r="R2471" s="0" t="n">
        <v>0</v>
      </c>
      <c r="S2471" s="51" t="s">
        <v>2376</v>
      </c>
      <c r="T2471" s="51" t="s">
        <v>2376</v>
      </c>
      <c r="U2471" s="0" t="str">
        <f aca="false">"5060458890191"</f>
        <v>5060458890191</v>
      </c>
      <c r="V2471" s="51" t="s">
        <v>2142</v>
      </c>
      <c r="W2471" s="51" t="s">
        <v>5506</v>
      </c>
      <c r="X2471" s="51" t="s">
        <v>2359</v>
      </c>
    </row>
    <row r="2472" customFormat="false" ht="14.25" hidden="true" customHeight="false" outlineLevel="0" collapsed="false">
      <c r="A2472" s="49" t="s">
        <v>2349</v>
      </c>
      <c r="B2472" s="49" t="s">
        <v>2350</v>
      </c>
      <c r="C2472" s="49" t="s">
        <v>5507</v>
      </c>
      <c r="D2472" s="49" t="s">
        <v>2352</v>
      </c>
      <c r="E2472" s="49" t="str">
        <f aca="false">"5060458890191"</f>
        <v>5060458890191</v>
      </c>
      <c r="F2472" s="49" t="s">
        <v>3656</v>
      </c>
      <c r="G2472" s="49" t="n">
        <v>0</v>
      </c>
      <c r="H2472" s="0" t="n">
        <v>0</v>
      </c>
      <c r="M2472" s="51" t="s">
        <v>5496</v>
      </c>
      <c r="N2472" s="49" t="n">
        <v>0</v>
      </c>
      <c r="O2472" s="53" t="n">
        <v>45731.4358217593</v>
      </c>
      <c r="P2472" s="53" t="n">
        <v>45736.1379513889</v>
      </c>
      <c r="Q2472" s="53" t="n">
        <v>45731.4358217593</v>
      </c>
      <c r="R2472" s="0" t="n">
        <v>0</v>
      </c>
      <c r="S2472" s="51" t="s">
        <v>2376</v>
      </c>
      <c r="T2472" s="51" t="s">
        <v>2376</v>
      </c>
      <c r="U2472" s="0" t="str">
        <f aca="false">"5060458890191"</f>
        <v>5060458890191</v>
      </c>
      <c r="V2472" s="51" t="s">
        <v>2142</v>
      </c>
      <c r="W2472" s="51" t="s">
        <v>4543</v>
      </c>
      <c r="X2472" s="51" t="s">
        <v>2359</v>
      </c>
    </row>
    <row r="2473" customFormat="false" ht="14.25" hidden="true" customHeight="false" outlineLevel="0" collapsed="false">
      <c r="A2473" s="49" t="s">
        <v>2349</v>
      </c>
      <c r="B2473" s="49" t="s">
        <v>2350</v>
      </c>
      <c r="C2473" s="49" t="s">
        <v>5508</v>
      </c>
      <c r="D2473" s="49" t="s">
        <v>2352</v>
      </c>
      <c r="E2473" s="49" t="str">
        <f aca="false">"5060458890191"</f>
        <v>5060458890191</v>
      </c>
      <c r="F2473" s="49" t="s">
        <v>3656</v>
      </c>
      <c r="G2473" s="49" t="n">
        <v>0</v>
      </c>
      <c r="H2473" s="0" t="n">
        <v>0</v>
      </c>
      <c r="M2473" s="51" t="s">
        <v>5496</v>
      </c>
      <c r="N2473" s="49" t="n">
        <v>0</v>
      </c>
      <c r="O2473" s="53" t="n">
        <v>45731.4356597222</v>
      </c>
      <c r="P2473" s="53" t="n">
        <v>45736.1588657407</v>
      </c>
      <c r="Q2473" s="53" t="n">
        <v>45731.4356597222</v>
      </c>
      <c r="R2473" s="0" t="n">
        <v>0</v>
      </c>
      <c r="S2473" s="51" t="s">
        <v>2376</v>
      </c>
      <c r="T2473" s="51" t="s">
        <v>2376</v>
      </c>
      <c r="U2473" s="0" t="str">
        <f aca="false">"5060458890191"</f>
        <v>5060458890191</v>
      </c>
      <c r="V2473" s="51" t="s">
        <v>2142</v>
      </c>
      <c r="W2473" s="51" t="s">
        <v>5509</v>
      </c>
      <c r="X2473" s="51" t="s">
        <v>2359</v>
      </c>
    </row>
    <row r="2474" customFormat="false" ht="14.25" hidden="true" customHeight="false" outlineLevel="0" collapsed="false">
      <c r="A2474" s="49" t="s">
        <v>2349</v>
      </c>
      <c r="B2474" s="49" t="s">
        <v>2350</v>
      </c>
      <c r="C2474" s="49" t="s">
        <v>5510</v>
      </c>
      <c r="D2474" s="49" t="s">
        <v>2352</v>
      </c>
      <c r="E2474" s="49" t="str">
        <f aca="false">"5060458890191"</f>
        <v>5060458890191</v>
      </c>
      <c r="F2474" s="49" t="s">
        <v>3656</v>
      </c>
      <c r="G2474" s="49" t="n">
        <v>0</v>
      </c>
      <c r="H2474" s="0" t="n">
        <v>0</v>
      </c>
      <c r="M2474" s="51" t="s">
        <v>5496</v>
      </c>
      <c r="N2474" s="49" t="n">
        <v>0</v>
      </c>
      <c r="O2474" s="53" t="n">
        <v>45731.4353703704</v>
      </c>
      <c r="P2474" s="53" t="n">
        <v>45734.9349652778</v>
      </c>
      <c r="Q2474" s="53" t="n">
        <v>45731.4353703704</v>
      </c>
      <c r="R2474" s="0" t="n">
        <v>0</v>
      </c>
      <c r="S2474" s="51" t="s">
        <v>2376</v>
      </c>
      <c r="T2474" s="51" t="s">
        <v>2376</v>
      </c>
      <c r="U2474" s="0" t="str">
        <f aca="false">"5060458890191"</f>
        <v>5060458890191</v>
      </c>
      <c r="V2474" s="51" t="s">
        <v>2142</v>
      </c>
      <c r="W2474" s="51" t="s">
        <v>4771</v>
      </c>
      <c r="X2474" s="51" t="s">
        <v>2359</v>
      </c>
    </row>
    <row r="2475" customFormat="false" ht="14.25" hidden="true" customHeight="false" outlineLevel="0" collapsed="false">
      <c r="A2475" s="49" t="s">
        <v>2349</v>
      </c>
      <c r="B2475" s="49" t="s">
        <v>2350</v>
      </c>
      <c r="C2475" s="49" t="s">
        <v>5511</v>
      </c>
      <c r="D2475" s="49" t="s">
        <v>2352</v>
      </c>
      <c r="E2475" s="49" t="str">
        <f aca="false">"5060458890191"</f>
        <v>5060458890191</v>
      </c>
      <c r="F2475" s="49" t="s">
        <v>3656</v>
      </c>
      <c r="G2475" s="49" t="n">
        <v>0</v>
      </c>
      <c r="H2475" s="0" t="n">
        <v>0</v>
      </c>
      <c r="M2475" s="51" t="s">
        <v>5496</v>
      </c>
      <c r="N2475" s="49" t="n">
        <v>0</v>
      </c>
      <c r="O2475" s="53" t="n">
        <v>45731.4216435185</v>
      </c>
      <c r="P2475" s="53" t="n">
        <v>45734.6014930556</v>
      </c>
      <c r="Q2475" s="53" t="n">
        <v>45731.4216435185</v>
      </c>
      <c r="R2475" s="0" t="n">
        <v>0</v>
      </c>
      <c r="S2475" s="51" t="s">
        <v>2376</v>
      </c>
      <c r="T2475" s="51" t="s">
        <v>2376</v>
      </c>
      <c r="U2475" s="0" t="str">
        <f aca="false">"5060458890191"</f>
        <v>5060458890191</v>
      </c>
      <c r="V2475" s="51" t="s">
        <v>2142</v>
      </c>
      <c r="W2475" s="51" t="s">
        <v>5512</v>
      </c>
      <c r="X2475" s="51" t="s">
        <v>2359</v>
      </c>
    </row>
    <row r="2476" customFormat="false" ht="14.25" hidden="true" customHeight="false" outlineLevel="0" collapsed="false">
      <c r="A2476" s="49" t="s">
        <v>2349</v>
      </c>
      <c r="B2476" s="49" t="s">
        <v>2350</v>
      </c>
      <c r="C2476" s="49" t="s">
        <v>5513</v>
      </c>
      <c r="D2476" s="49" t="s">
        <v>2352</v>
      </c>
      <c r="E2476" s="49" t="str">
        <f aca="false">"5060458890191"</f>
        <v>5060458890191</v>
      </c>
      <c r="F2476" s="49" t="s">
        <v>3656</v>
      </c>
      <c r="G2476" s="49" t="n">
        <v>0</v>
      </c>
      <c r="H2476" s="0" t="n">
        <v>0</v>
      </c>
      <c r="M2476" s="51" t="s">
        <v>5496</v>
      </c>
      <c r="N2476" s="49" t="n">
        <v>0</v>
      </c>
      <c r="O2476" s="53" t="n">
        <v>45731.4219444444</v>
      </c>
      <c r="P2476" s="53" t="n">
        <v>45741.0130555556</v>
      </c>
      <c r="Q2476" s="53" t="n">
        <v>45731.4219444444</v>
      </c>
      <c r="R2476" s="0" t="n">
        <v>0</v>
      </c>
      <c r="S2476" s="51" t="s">
        <v>2376</v>
      </c>
      <c r="T2476" s="51" t="s">
        <v>2376</v>
      </c>
      <c r="U2476" s="0" t="str">
        <f aca="false">"5060458890191"</f>
        <v>5060458890191</v>
      </c>
      <c r="V2476" s="51" t="s">
        <v>2142</v>
      </c>
      <c r="W2476" s="51" t="s">
        <v>5514</v>
      </c>
      <c r="X2476" s="51" t="s">
        <v>2359</v>
      </c>
    </row>
    <row r="2477" customFormat="false" ht="14.25" hidden="true" customHeight="false" outlineLevel="0" collapsed="false">
      <c r="A2477" s="49" t="s">
        <v>2349</v>
      </c>
      <c r="B2477" s="49" t="s">
        <v>2350</v>
      </c>
      <c r="C2477" s="49" t="s">
        <v>5515</v>
      </c>
      <c r="D2477" s="49" t="s">
        <v>2352</v>
      </c>
      <c r="E2477" s="49" t="str">
        <f aca="false">"5060458890191"</f>
        <v>5060458890191</v>
      </c>
      <c r="F2477" s="49" t="s">
        <v>3656</v>
      </c>
      <c r="G2477" s="49" t="n">
        <v>0</v>
      </c>
      <c r="H2477" s="0" t="n">
        <v>0</v>
      </c>
      <c r="M2477" s="51" t="s">
        <v>5496</v>
      </c>
      <c r="N2477" s="49" t="n">
        <v>0</v>
      </c>
      <c r="O2477" s="53" t="n">
        <v>45731.4221296296</v>
      </c>
      <c r="P2477" s="53" t="n">
        <v>45734.6111689815</v>
      </c>
      <c r="Q2477" s="53" t="n">
        <v>45731.4221296296</v>
      </c>
      <c r="R2477" s="0" t="n">
        <v>0</v>
      </c>
      <c r="S2477" s="51" t="s">
        <v>2376</v>
      </c>
      <c r="T2477" s="51" t="s">
        <v>2376</v>
      </c>
      <c r="U2477" s="0" t="str">
        <f aca="false">"5060458890191"</f>
        <v>5060458890191</v>
      </c>
      <c r="V2477" s="51" t="s">
        <v>2142</v>
      </c>
      <c r="W2477" s="51" t="s">
        <v>4453</v>
      </c>
      <c r="X2477" s="51" t="s">
        <v>2359</v>
      </c>
    </row>
    <row r="2478" customFormat="false" ht="14.25" hidden="true" customHeight="false" outlineLevel="0" collapsed="false">
      <c r="A2478" s="49" t="s">
        <v>2349</v>
      </c>
      <c r="B2478" s="49" t="s">
        <v>2350</v>
      </c>
      <c r="C2478" s="49" t="s">
        <v>5516</v>
      </c>
      <c r="D2478" s="49" t="s">
        <v>2352</v>
      </c>
      <c r="E2478" s="49" t="str">
        <f aca="false">"5060458890191"</f>
        <v>5060458890191</v>
      </c>
      <c r="F2478" s="49" t="s">
        <v>3656</v>
      </c>
      <c r="G2478" s="49" t="n">
        <v>0</v>
      </c>
      <c r="H2478" s="0" t="n">
        <v>0</v>
      </c>
      <c r="M2478" s="51" t="s">
        <v>5496</v>
      </c>
      <c r="N2478" s="49" t="n">
        <v>0</v>
      </c>
      <c r="O2478" s="53" t="n">
        <v>45731.4222800926</v>
      </c>
      <c r="P2478" s="53" t="n">
        <v>45750.6165509259</v>
      </c>
      <c r="Q2478" s="53" t="n">
        <v>45731.4222800926</v>
      </c>
      <c r="R2478" s="0" t="n">
        <v>0</v>
      </c>
      <c r="S2478" s="51" t="s">
        <v>2376</v>
      </c>
      <c r="T2478" s="51" t="s">
        <v>2376</v>
      </c>
      <c r="U2478" s="0" t="str">
        <f aca="false">"5060458890191"</f>
        <v>5060458890191</v>
      </c>
      <c r="V2478" s="51" t="s">
        <v>2142</v>
      </c>
      <c r="W2478" s="51" t="s">
        <v>5517</v>
      </c>
      <c r="X2478" s="51" t="s">
        <v>2359</v>
      </c>
    </row>
    <row r="2479" customFormat="false" ht="14.25" hidden="true" customHeight="false" outlineLevel="0" collapsed="false">
      <c r="A2479" s="49" t="s">
        <v>2349</v>
      </c>
      <c r="B2479" s="49" t="s">
        <v>2350</v>
      </c>
      <c r="C2479" s="49" t="s">
        <v>5518</v>
      </c>
      <c r="D2479" s="49" t="s">
        <v>2352</v>
      </c>
      <c r="E2479" s="49" t="str">
        <f aca="false">"5060458890191"</f>
        <v>5060458890191</v>
      </c>
      <c r="F2479" s="49" t="s">
        <v>3656</v>
      </c>
      <c r="G2479" s="49" t="n">
        <v>0</v>
      </c>
      <c r="H2479" s="0" t="n">
        <v>0</v>
      </c>
      <c r="M2479" s="51" t="s">
        <v>5496</v>
      </c>
      <c r="N2479" s="49" t="n">
        <v>0</v>
      </c>
      <c r="O2479" s="53" t="n">
        <v>45731.4224305556</v>
      </c>
      <c r="P2479" s="53" t="n">
        <v>45734.6078125</v>
      </c>
      <c r="Q2479" s="53" t="n">
        <v>45731.4224305556</v>
      </c>
      <c r="R2479" s="0" t="n">
        <v>0</v>
      </c>
      <c r="S2479" s="51" t="s">
        <v>2376</v>
      </c>
      <c r="T2479" s="51" t="s">
        <v>2376</v>
      </c>
      <c r="U2479" s="0" t="str">
        <f aca="false">"5060458890191"</f>
        <v>5060458890191</v>
      </c>
      <c r="V2479" s="51" t="s">
        <v>2142</v>
      </c>
      <c r="W2479" s="51" t="s">
        <v>5519</v>
      </c>
      <c r="X2479" s="51" t="s">
        <v>2359</v>
      </c>
    </row>
    <row r="2480" customFormat="false" ht="14.25" hidden="true" customHeight="false" outlineLevel="0" collapsed="false">
      <c r="A2480" s="49" t="s">
        <v>2349</v>
      </c>
      <c r="B2480" s="49" t="s">
        <v>2350</v>
      </c>
      <c r="C2480" s="49" t="s">
        <v>5520</v>
      </c>
      <c r="D2480" s="49" t="s">
        <v>2352</v>
      </c>
      <c r="E2480" s="49" t="str">
        <f aca="false">"5060458890191"</f>
        <v>5060458890191</v>
      </c>
      <c r="F2480" s="49" t="s">
        <v>3656</v>
      </c>
      <c r="G2480" s="49" t="n">
        <v>0</v>
      </c>
      <c r="H2480" s="0" t="n">
        <v>0</v>
      </c>
      <c r="M2480" s="51" t="s">
        <v>5496</v>
      </c>
      <c r="N2480" s="49" t="n">
        <v>0</v>
      </c>
      <c r="O2480" s="53" t="n">
        <v>45731.4226041667</v>
      </c>
      <c r="P2480" s="53" t="n">
        <v>45734.6026157407</v>
      </c>
      <c r="Q2480" s="53" t="n">
        <v>45731.4226041667</v>
      </c>
      <c r="R2480" s="0" t="n">
        <v>0</v>
      </c>
      <c r="S2480" s="51" t="s">
        <v>2376</v>
      </c>
      <c r="T2480" s="51" t="s">
        <v>2376</v>
      </c>
      <c r="U2480" s="0" t="str">
        <f aca="false">"5060458890191"</f>
        <v>5060458890191</v>
      </c>
      <c r="V2480" s="51" t="s">
        <v>2142</v>
      </c>
      <c r="W2480" s="51" t="s">
        <v>5521</v>
      </c>
      <c r="X2480" s="51" t="s">
        <v>2359</v>
      </c>
    </row>
    <row r="2481" customFormat="false" ht="14.25" hidden="true" customHeight="false" outlineLevel="0" collapsed="false">
      <c r="A2481" s="49" t="s">
        <v>2349</v>
      </c>
      <c r="B2481" s="49" t="s">
        <v>2350</v>
      </c>
      <c r="C2481" s="49" t="s">
        <v>5522</v>
      </c>
      <c r="D2481" s="49" t="s">
        <v>2352</v>
      </c>
      <c r="E2481" s="49" t="str">
        <f aca="false">"5060458890191"</f>
        <v>5060458890191</v>
      </c>
      <c r="F2481" s="49" t="s">
        <v>3656</v>
      </c>
      <c r="G2481" s="49" t="n">
        <v>0</v>
      </c>
      <c r="H2481" s="0" t="n">
        <v>0</v>
      </c>
      <c r="M2481" s="51" t="s">
        <v>5496</v>
      </c>
      <c r="N2481" s="49" t="n">
        <v>0</v>
      </c>
      <c r="O2481" s="53" t="n">
        <v>45731.4227546296</v>
      </c>
      <c r="P2481" s="53" t="n">
        <v>45734.6034375</v>
      </c>
      <c r="Q2481" s="53" t="n">
        <v>45731.4227546296</v>
      </c>
      <c r="R2481" s="0" t="n">
        <v>0</v>
      </c>
      <c r="S2481" s="51" t="s">
        <v>2376</v>
      </c>
      <c r="T2481" s="51" t="s">
        <v>2376</v>
      </c>
      <c r="U2481" s="0" t="str">
        <f aca="false">"5060458890191"</f>
        <v>5060458890191</v>
      </c>
      <c r="V2481" s="51" t="s">
        <v>2142</v>
      </c>
      <c r="W2481" s="51" t="s">
        <v>4110</v>
      </c>
      <c r="X2481" s="51" t="s">
        <v>2359</v>
      </c>
    </row>
    <row r="2482" customFormat="false" ht="14.25" hidden="true" customHeight="false" outlineLevel="0" collapsed="false">
      <c r="A2482" s="49" t="s">
        <v>2349</v>
      </c>
      <c r="B2482" s="49" t="s">
        <v>2350</v>
      </c>
      <c r="C2482" s="49" t="s">
        <v>5523</v>
      </c>
      <c r="D2482" s="49" t="s">
        <v>2352</v>
      </c>
      <c r="E2482" s="49" t="str">
        <f aca="false">"5060458890191"</f>
        <v>5060458890191</v>
      </c>
      <c r="F2482" s="49" t="s">
        <v>3656</v>
      </c>
      <c r="G2482" s="49" t="n">
        <v>0</v>
      </c>
      <c r="H2482" s="0" t="n">
        <v>0</v>
      </c>
      <c r="M2482" s="51" t="s">
        <v>5496</v>
      </c>
      <c r="N2482" s="49" t="n">
        <v>0</v>
      </c>
      <c r="O2482" s="53" t="n">
        <v>45731.4229050926</v>
      </c>
      <c r="P2482" s="53" t="n">
        <v>45734.6055208333</v>
      </c>
      <c r="Q2482" s="53" t="n">
        <v>45731.4229050926</v>
      </c>
      <c r="R2482" s="0" t="n">
        <v>0</v>
      </c>
      <c r="S2482" s="51" t="s">
        <v>2376</v>
      </c>
      <c r="T2482" s="51" t="s">
        <v>2376</v>
      </c>
      <c r="U2482" s="0" t="str">
        <f aca="false">"5060458890191"</f>
        <v>5060458890191</v>
      </c>
      <c r="V2482" s="51" t="s">
        <v>2142</v>
      </c>
      <c r="W2482" s="51" t="s">
        <v>4978</v>
      </c>
      <c r="X2482" s="51" t="s">
        <v>2359</v>
      </c>
    </row>
    <row r="2483" customFormat="false" ht="14.25" hidden="true" customHeight="false" outlineLevel="0" collapsed="false">
      <c r="A2483" s="49" t="s">
        <v>2349</v>
      </c>
      <c r="B2483" s="49" t="s">
        <v>2350</v>
      </c>
      <c r="C2483" s="49" t="s">
        <v>5524</v>
      </c>
      <c r="D2483" s="49" t="s">
        <v>2352</v>
      </c>
      <c r="E2483" s="49" t="str">
        <f aca="false">"5060458890191"</f>
        <v>5060458890191</v>
      </c>
      <c r="F2483" s="49" t="s">
        <v>3656</v>
      </c>
      <c r="G2483" s="49" t="n">
        <v>0</v>
      </c>
      <c r="H2483" s="0" t="n">
        <v>0</v>
      </c>
      <c r="M2483" s="51" t="s">
        <v>5496</v>
      </c>
      <c r="N2483" s="49" t="n">
        <v>0</v>
      </c>
      <c r="O2483" s="53" t="n">
        <v>45731.4230439815</v>
      </c>
      <c r="P2483" s="53" t="n">
        <v>45734.6044675926</v>
      </c>
      <c r="Q2483" s="53" t="n">
        <v>45731.4230439815</v>
      </c>
      <c r="R2483" s="0" t="n">
        <v>0</v>
      </c>
      <c r="S2483" s="51" t="s">
        <v>2376</v>
      </c>
      <c r="T2483" s="51" t="s">
        <v>2376</v>
      </c>
      <c r="U2483" s="0" t="str">
        <f aca="false">"5060458890191"</f>
        <v>5060458890191</v>
      </c>
      <c r="V2483" s="51" t="s">
        <v>2142</v>
      </c>
      <c r="W2483" s="51" t="s">
        <v>4343</v>
      </c>
      <c r="X2483" s="51" t="s">
        <v>2359</v>
      </c>
    </row>
    <row r="2484" customFormat="false" ht="14.25" hidden="true" customHeight="false" outlineLevel="0" collapsed="false">
      <c r="A2484" s="49" t="s">
        <v>2349</v>
      </c>
      <c r="B2484" s="49" t="s">
        <v>2350</v>
      </c>
      <c r="C2484" s="49" t="s">
        <v>5525</v>
      </c>
      <c r="D2484" s="49" t="s">
        <v>2352</v>
      </c>
      <c r="E2484" s="49" t="str">
        <f aca="false">"5060458890191"</f>
        <v>5060458890191</v>
      </c>
      <c r="F2484" s="49" t="s">
        <v>3656</v>
      </c>
      <c r="G2484" s="49" t="n">
        <v>0</v>
      </c>
      <c r="H2484" s="0" t="n">
        <v>0</v>
      </c>
      <c r="M2484" s="51" t="s">
        <v>5496</v>
      </c>
      <c r="N2484" s="49" t="n">
        <v>0</v>
      </c>
      <c r="O2484" s="53" t="n">
        <v>45731.4232175926</v>
      </c>
      <c r="P2484" s="53" t="n">
        <v>45734.607337963</v>
      </c>
      <c r="Q2484" s="53" t="n">
        <v>45731.4232175926</v>
      </c>
      <c r="R2484" s="0" t="n">
        <v>0</v>
      </c>
      <c r="S2484" s="51" t="s">
        <v>2376</v>
      </c>
      <c r="T2484" s="51" t="s">
        <v>2376</v>
      </c>
      <c r="U2484" s="0" t="str">
        <f aca="false">"5060458890191"</f>
        <v>5060458890191</v>
      </c>
      <c r="V2484" s="51" t="s">
        <v>2142</v>
      </c>
      <c r="W2484" s="51" t="s">
        <v>4334</v>
      </c>
      <c r="X2484" s="51" t="s">
        <v>2359</v>
      </c>
    </row>
    <row r="2485" customFormat="false" ht="14.25" hidden="true" customHeight="false" outlineLevel="0" collapsed="false">
      <c r="A2485" s="49" t="s">
        <v>2349</v>
      </c>
      <c r="B2485" s="49" t="s">
        <v>2350</v>
      </c>
      <c r="C2485" s="49" t="s">
        <v>5526</v>
      </c>
      <c r="D2485" s="49" t="s">
        <v>2352</v>
      </c>
      <c r="E2485" s="49" t="str">
        <f aca="false">"5060458890191"</f>
        <v>5060458890191</v>
      </c>
      <c r="F2485" s="49" t="s">
        <v>3656</v>
      </c>
      <c r="G2485" s="49" t="n">
        <v>0</v>
      </c>
      <c r="H2485" s="0" t="n">
        <v>0</v>
      </c>
      <c r="M2485" s="51" t="s">
        <v>5496</v>
      </c>
      <c r="N2485" s="49" t="n">
        <v>0</v>
      </c>
      <c r="O2485" s="53" t="n">
        <v>45731.4233796296</v>
      </c>
      <c r="P2485" s="53" t="n">
        <v>45734.6123842593</v>
      </c>
      <c r="Q2485" s="53" t="n">
        <v>45731.4233796296</v>
      </c>
      <c r="R2485" s="0" t="n">
        <v>0</v>
      </c>
      <c r="S2485" s="51" t="s">
        <v>2376</v>
      </c>
      <c r="T2485" s="51" t="s">
        <v>2376</v>
      </c>
      <c r="U2485" s="0" t="str">
        <f aca="false">"5060458890191"</f>
        <v>5060458890191</v>
      </c>
      <c r="V2485" s="51" t="s">
        <v>2142</v>
      </c>
      <c r="W2485" s="51" t="s">
        <v>5527</v>
      </c>
      <c r="X2485" s="51" t="s">
        <v>2359</v>
      </c>
    </row>
    <row r="2486" customFormat="false" ht="14.25" hidden="true" customHeight="false" outlineLevel="0" collapsed="false">
      <c r="A2486" s="49" t="s">
        <v>2349</v>
      </c>
      <c r="B2486" s="49" t="s">
        <v>2350</v>
      </c>
      <c r="C2486" s="49" t="s">
        <v>5528</v>
      </c>
      <c r="D2486" s="49" t="s">
        <v>2352</v>
      </c>
      <c r="E2486" s="49" t="str">
        <f aca="false">"5060458890191"</f>
        <v>5060458890191</v>
      </c>
      <c r="F2486" s="49" t="s">
        <v>3656</v>
      </c>
      <c r="G2486" s="49" t="n">
        <v>0</v>
      </c>
      <c r="H2486" s="0" t="n">
        <v>0</v>
      </c>
      <c r="M2486" s="51" t="s">
        <v>5496</v>
      </c>
      <c r="N2486" s="49" t="n">
        <v>0</v>
      </c>
      <c r="O2486" s="53" t="n">
        <v>45731.4235185185</v>
      </c>
      <c r="P2486" s="53" t="n">
        <v>45734.6140740741</v>
      </c>
      <c r="Q2486" s="53" t="n">
        <v>45731.4235185185</v>
      </c>
      <c r="R2486" s="0" t="n">
        <v>0</v>
      </c>
      <c r="S2486" s="51" t="s">
        <v>2376</v>
      </c>
      <c r="T2486" s="51" t="s">
        <v>2376</v>
      </c>
      <c r="U2486" s="0" t="str">
        <f aca="false">"5060458890191"</f>
        <v>5060458890191</v>
      </c>
      <c r="V2486" s="51" t="s">
        <v>2142</v>
      </c>
      <c r="W2486" s="51" t="s">
        <v>4094</v>
      </c>
      <c r="X2486" s="51" t="s">
        <v>2359</v>
      </c>
    </row>
    <row r="2487" customFormat="false" ht="14.25" hidden="true" customHeight="false" outlineLevel="0" collapsed="false">
      <c r="A2487" s="49" t="s">
        <v>2349</v>
      </c>
      <c r="B2487" s="49" t="s">
        <v>2350</v>
      </c>
      <c r="C2487" s="49" t="s">
        <v>5529</v>
      </c>
      <c r="D2487" s="49" t="s">
        <v>2352</v>
      </c>
      <c r="E2487" s="49" t="str">
        <f aca="false">"5060458890191"</f>
        <v>5060458890191</v>
      </c>
      <c r="F2487" s="49" t="s">
        <v>3656</v>
      </c>
      <c r="G2487" s="49" t="n">
        <v>0</v>
      </c>
      <c r="H2487" s="0" t="n">
        <v>0</v>
      </c>
      <c r="M2487" s="51" t="s">
        <v>5496</v>
      </c>
      <c r="N2487" s="49" t="n">
        <v>0</v>
      </c>
      <c r="O2487" s="53" t="n">
        <v>45731.4236574074</v>
      </c>
      <c r="P2487" s="53" t="n">
        <v>45734.6152893519</v>
      </c>
      <c r="Q2487" s="53" t="n">
        <v>45731.4236574074</v>
      </c>
      <c r="R2487" s="0" t="n">
        <v>0</v>
      </c>
      <c r="S2487" s="51" t="s">
        <v>2376</v>
      </c>
      <c r="T2487" s="51" t="s">
        <v>2376</v>
      </c>
      <c r="U2487" s="0" t="str">
        <f aca="false">"5060458890191"</f>
        <v>5060458890191</v>
      </c>
      <c r="V2487" s="51" t="s">
        <v>2142</v>
      </c>
      <c r="W2487" s="51" t="s">
        <v>5116</v>
      </c>
      <c r="X2487" s="51" t="s">
        <v>2359</v>
      </c>
    </row>
    <row r="2488" customFormat="false" ht="14.25" hidden="true" customHeight="false" outlineLevel="0" collapsed="false">
      <c r="A2488" s="49" t="s">
        <v>2349</v>
      </c>
      <c r="B2488" s="49" t="s">
        <v>2350</v>
      </c>
      <c r="C2488" s="49" t="s">
        <v>5530</v>
      </c>
      <c r="D2488" s="49" t="s">
        <v>2352</v>
      </c>
      <c r="E2488" s="49" t="str">
        <f aca="false">"5060458890191"</f>
        <v>5060458890191</v>
      </c>
      <c r="F2488" s="49" t="s">
        <v>3656</v>
      </c>
      <c r="G2488" s="49" t="n">
        <v>0</v>
      </c>
      <c r="H2488" s="0" t="n">
        <v>0</v>
      </c>
      <c r="M2488" s="51" t="s">
        <v>5496</v>
      </c>
      <c r="N2488" s="49" t="n">
        <v>0</v>
      </c>
      <c r="O2488" s="53" t="n">
        <v>45731.4238194445</v>
      </c>
      <c r="P2488" s="53" t="n">
        <v>45757.7550115741</v>
      </c>
      <c r="Q2488" s="53" t="n">
        <v>45731.4238194445</v>
      </c>
      <c r="R2488" s="0" t="n">
        <v>0</v>
      </c>
      <c r="S2488" s="51" t="s">
        <v>2376</v>
      </c>
      <c r="T2488" s="51" t="s">
        <v>2376</v>
      </c>
      <c r="U2488" s="0" t="str">
        <f aca="false">"5060458890191"</f>
        <v>5060458890191</v>
      </c>
      <c r="V2488" s="51" t="s">
        <v>2142</v>
      </c>
      <c r="W2488" s="51" t="s">
        <v>4851</v>
      </c>
      <c r="X2488" s="51" t="s">
        <v>2359</v>
      </c>
    </row>
    <row r="2489" customFormat="false" ht="14.25" hidden="true" customHeight="false" outlineLevel="0" collapsed="false">
      <c r="A2489" s="49" t="s">
        <v>2349</v>
      </c>
      <c r="B2489" s="49" t="s">
        <v>2350</v>
      </c>
      <c r="C2489" s="49" t="s">
        <v>5531</v>
      </c>
      <c r="D2489" s="49" t="s">
        <v>2352</v>
      </c>
      <c r="E2489" s="49" t="str">
        <f aca="false">"5060458890191"</f>
        <v>5060458890191</v>
      </c>
      <c r="F2489" s="49" t="s">
        <v>3656</v>
      </c>
      <c r="G2489" s="49" t="n">
        <v>0</v>
      </c>
      <c r="H2489" s="0" t="n">
        <v>0</v>
      </c>
      <c r="M2489" s="51" t="s">
        <v>5496</v>
      </c>
      <c r="N2489" s="49" t="n">
        <v>0</v>
      </c>
      <c r="O2489" s="53" t="n">
        <v>45731.4239814815</v>
      </c>
      <c r="P2489" s="53" t="n">
        <v>45734.9086342593</v>
      </c>
      <c r="Q2489" s="53" t="n">
        <v>45731.4239814815</v>
      </c>
      <c r="R2489" s="0" t="n">
        <v>0</v>
      </c>
      <c r="S2489" s="51" t="s">
        <v>2376</v>
      </c>
      <c r="T2489" s="51" t="s">
        <v>2376</v>
      </c>
      <c r="U2489" s="0" t="str">
        <f aca="false">"5060458890191"</f>
        <v>5060458890191</v>
      </c>
      <c r="V2489" s="51" t="s">
        <v>2142</v>
      </c>
      <c r="W2489" s="51" t="s">
        <v>5532</v>
      </c>
      <c r="X2489" s="51" t="s">
        <v>2359</v>
      </c>
    </row>
    <row r="2490" customFormat="false" ht="14.25" hidden="true" customHeight="false" outlineLevel="0" collapsed="false">
      <c r="A2490" s="49" t="s">
        <v>2349</v>
      </c>
      <c r="B2490" s="49" t="s">
        <v>2350</v>
      </c>
      <c r="C2490" s="49" t="s">
        <v>5533</v>
      </c>
      <c r="D2490" s="49" t="s">
        <v>2352</v>
      </c>
      <c r="E2490" s="49" t="str">
        <f aca="false">"5060458890191"</f>
        <v>5060458890191</v>
      </c>
      <c r="F2490" s="49" t="s">
        <v>3656</v>
      </c>
      <c r="G2490" s="49" t="n">
        <v>0</v>
      </c>
      <c r="H2490" s="0" t="n">
        <v>0</v>
      </c>
      <c r="M2490" s="51" t="s">
        <v>5496</v>
      </c>
      <c r="N2490" s="49" t="n">
        <v>0</v>
      </c>
      <c r="O2490" s="53" t="n">
        <v>45731.4241319444</v>
      </c>
      <c r="P2490" s="53" t="n">
        <v>45757.7753356482</v>
      </c>
      <c r="Q2490" s="53" t="n">
        <v>45731.4241319444</v>
      </c>
      <c r="R2490" s="0" t="n">
        <v>0</v>
      </c>
      <c r="S2490" s="51" t="s">
        <v>2376</v>
      </c>
      <c r="T2490" s="51" t="s">
        <v>2376</v>
      </c>
      <c r="U2490" s="0" t="str">
        <f aca="false">"5060458890191"</f>
        <v>5060458890191</v>
      </c>
      <c r="V2490" s="51" t="s">
        <v>2142</v>
      </c>
      <c r="W2490" s="51" t="s">
        <v>5534</v>
      </c>
      <c r="X2490" s="51" t="s">
        <v>2359</v>
      </c>
    </row>
    <row r="2491" customFormat="false" ht="14.25" hidden="true" customHeight="false" outlineLevel="0" collapsed="false">
      <c r="A2491" s="49" t="s">
        <v>2349</v>
      </c>
      <c r="B2491" s="49" t="s">
        <v>2350</v>
      </c>
      <c r="C2491" s="49" t="s">
        <v>5535</v>
      </c>
      <c r="D2491" s="49" t="s">
        <v>2352</v>
      </c>
      <c r="E2491" s="49" t="str">
        <f aca="false">"5060458890191"</f>
        <v>5060458890191</v>
      </c>
      <c r="F2491" s="49" t="s">
        <v>3656</v>
      </c>
      <c r="G2491" s="49" t="n">
        <v>0</v>
      </c>
      <c r="H2491" s="0" t="n">
        <v>0</v>
      </c>
      <c r="M2491" s="51" t="s">
        <v>5496</v>
      </c>
      <c r="N2491" s="49" t="n">
        <v>0</v>
      </c>
      <c r="O2491" s="53" t="n">
        <v>45731.4244212963</v>
      </c>
      <c r="P2491" s="53" t="n">
        <v>45757.7186342593</v>
      </c>
      <c r="Q2491" s="53" t="n">
        <v>45731.4244212963</v>
      </c>
      <c r="R2491" s="0" t="n">
        <v>0</v>
      </c>
      <c r="S2491" s="51" t="s">
        <v>2376</v>
      </c>
      <c r="T2491" s="51" t="s">
        <v>2376</v>
      </c>
      <c r="U2491" s="0" t="str">
        <f aca="false">"5060458890191"</f>
        <v>5060458890191</v>
      </c>
      <c r="V2491" s="51" t="s">
        <v>2142</v>
      </c>
      <c r="W2491" s="51" t="s">
        <v>4846</v>
      </c>
      <c r="X2491" s="51" t="s">
        <v>2359</v>
      </c>
    </row>
    <row r="2492" customFormat="false" ht="14.25" hidden="true" customHeight="false" outlineLevel="0" collapsed="false">
      <c r="A2492" s="49" t="s">
        <v>2349</v>
      </c>
      <c r="B2492" s="49" t="s">
        <v>2350</v>
      </c>
      <c r="C2492" s="49" t="s">
        <v>5536</v>
      </c>
      <c r="D2492" s="49" t="s">
        <v>2352</v>
      </c>
      <c r="E2492" s="49" t="str">
        <f aca="false">"5060458890191"</f>
        <v>5060458890191</v>
      </c>
      <c r="F2492" s="49" t="s">
        <v>3656</v>
      </c>
      <c r="G2492" s="49" t="n">
        <v>0</v>
      </c>
      <c r="H2492" s="0" t="n">
        <v>0</v>
      </c>
      <c r="M2492" s="51" t="s">
        <v>5496</v>
      </c>
      <c r="N2492" s="49" t="n">
        <v>0</v>
      </c>
      <c r="O2492" s="53" t="n">
        <v>45731.4242592593</v>
      </c>
      <c r="P2492" s="53" t="n">
        <v>45757.7162037037</v>
      </c>
      <c r="Q2492" s="53" t="n">
        <v>45731.4242592593</v>
      </c>
      <c r="R2492" s="0" t="n">
        <v>0</v>
      </c>
      <c r="S2492" s="51" t="s">
        <v>2376</v>
      </c>
      <c r="T2492" s="51" t="s">
        <v>2376</v>
      </c>
      <c r="U2492" s="0" t="str">
        <f aca="false">"5060458890191"</f>
        <v>5060458890191</v>
      </c>
      <c r="V2492" s="51" t="s">
        <v>2142</v>
      </c>
      <c r="W2492" s="51" t="s">
        <v>5537</v>
      </c>
      <c r="X2492" s="51" t="s">
        <v>2359</v>
      </c>
    </row>
    <row r="2493" customFormat="false" ht="14.25" hidden="true" customHeight="false" outlineLevel="0" collapsed="false">
      <c r="A2493" s="49" t="s">
        <v>2349</v>
      </c>
      <c r="B2493" s="49" t="s">
        <v>2350</v>
      </c>
      <c r="C2493" s="49" t="s">
        <v>5538</v>
      </c>
      <c r="D2493" s="49" t="s">
        <v>2352</v>
      </c>
      <c r="E2493" s="49" t="s">
        <v>3960</v>
      </c>
      <c r="F2493" s="49" t="s">
        <v>3961</v>
      </c>
      <c r="G2493" s="49" t="n">
        <v>0</v>
      </c>
      <c r="H2493" s="0" t="n">
        <v>0</v>
      </c>
      <c r="M2493" s="51" t="s">
        <v>5539</v>
      </c>
      <c r="N2493" s="49" t="n">
        <v>0</v>
      </c>
      <c r="O2493" s="53" t="n">
        <v>45722.5265625</v>
      </c>
      <c r="P2493" s="53" t="n">
        <v>45726.4502893519</v>
      </c>
      <c r="Q2493" s="53" t="n">
        <v>45722.5265625</v>
      </c>
      <c r="R2493" s="0" t="n">
        <v>0</v>
      </c>
      <c r="S2493" s="51" t="s">
        <v>2356</v>
      </c>
      <c r="T2493" s="51" t="s">
        <v>2356</v>
      </c>
      <c r="U2493" s="51" t="s">
        <v>3960</v>
      </c>
      <c r="V2493" s="51" t="s">
        <v>2365</v>
      </c>
      <c r="W2493" s="51" t="s">
        <v>3687</v>
      </c>
      <c r="X2493" s="51" t="s">
        <v>2359</v>
      </c>
    </row>
    <row r="2494" customFormat="false" ht="14.25" hidden="true" customHeight="false" outlineLevel="0" collapsed="false">
      <c r="A2494" s="49" t="s">
        <v>2349</v>
      </c>
      <c r="B2494" s="49" t="s">
        <v>2350</v>
      </c>
      <c r="C2494" s="49" t="s">
        <v>5540</v>
      </c>
      <c r="D2494" s="49" t="s">
        <v>2352</v>
      </c>
      <c r="E2494" s="49" t="s">
        <v>3960</v>
      </c>
      <c r="F2494" s="49" t="s">
        <v>3961</v>
      </c>
      <c r="G2494" s="49" t="n">
        <v>0</v>
      </c>
      <c r="H2494" s="0" t="n">
        <v>0</v>
      </c>
      <c r="M2494" s="51" t="s">
        <v>5539</v>
      </c>
      <c r="N2494" s="49" t="n">
        <v>0</v>
      </c>
      <c r="O2494" s="53" t="n">
        <v>45722.5255555556</v>
      </c>
      <c r="P2494" s="53" t="n">
        <v>45728.3960763889</v>
      </c>
      <c r="Q2494" s="53" t="n">
        <v>45722.5255555556</v>
      </c>
      <c r="R2494" s="0" t="n">
        <v>0</v>
      </c>
      <c r="S2494" s="51" t="s">
        <v>2356</v>
      </c>
      <c r="T2494" s="51" t="s">
        <v>2356</v>
      </c>
      <c r="U2494" s="51" t="s">
        <v>3960</v>
      </c>
      <c r="V2494" s="51" t="s">
        <v>2365</v>
      </c>
      <c r="W2494" s="51" t="s">
        <v>3683</v>
      </c>
      <c r="X2494" s="51" t="s">
        <v>2359</v>
      </c>
    </row>
    <row r="2495" customFormat="false" ht="14.25" hidden="true" customHeight="false" outlineLevel="0" collapsed="false">
      <c r="A2495" s="49" t="s">
        <v>2349</v>
      </c>
      <c r="B2495" s="49" t="s">
        <v>2350</v>
      </c>
      <c r="C2495" s="49" t="s">
        <v>5541</v>
      </c>
      <c r="D2495" s="49" t="s">
        <v>2352</v>
      </c>
      <c r="E2495" s="49" t="s">
        <v>4166</v>
      </c>
      <c r="F2495" s="49" t="s">
        <v>4167</v>
      </c>
      <c r="G2495" s="49" t="n">
        <v>0</v>
      </c>
      <c r="H2495" s="0" t="n">
        <v>0</v>
      </c>
      <c r="M2495" s="51" t="s">
        <v>5542</v>
      </c>
      <c r="N2495" s="49" t="n">
        <v>0</v>
      </c>
      <c r="O2495" s="53" t="n">
        <v>45729.5814699074</v>
      </c>
      <c r="P2495" s="53" t="n">
        <v>45743.6107638889</v>
      </c>
      <c r="Q2495" s="53" t="n">
        <v>45729.5814699074</v>
      </c>
      <c r="R2495" s="0" t="n">
        <v>0</v>
      </c>
      <c r="S2495" s="51" t="s">
        <v>2356</v>
      </c>
      <c r="T2495" s="51" t="s">
        <v>2356</v>
      </c>
      <c r="U2495" s="51" t="s">
        <v>4166</v>
      </c>
      <c r="V2495" s="51" t="s">
        <v>2365</v>
      </c>
      <c r="W2495" s="51" t="s">
        <v>4592</v>
      </c>
      <c r="X2495" s="51" t="s">
        <v>2359</v>
      </c>
    </row>
    <row r="2496" customFormat="false" ht="14.25" hidden="true" customHeight="false" outlineLevel="0" collapsed="false">
      <c r="A2496" s="49" t="s">
        <v>2349</v>
      </c>
      <c r="B2496" s="49" t="s">
        <v>2350</v>
      </c>
      <c r="C2496" s="49" t="s">
        <v>5543</v>
      </c>
      <c r="D2496" s="49" t="s">
        <v>2352</v>
      </c>
      <c r="E2496" s="49" t="s">
        <v>4166</v>
      </c>
      <c r="F2496" s="49" t="s">
        <v>4167</v>
      </c>
      <c r="G2496" s="49" t="n">
        <v>0</v>
      </c>
      <c r="H2496" s="0" t="n">
        <v>0</v>
      </c>
      <c r="M2496" s="51" t="s">
        <v>5542</v>
      </c>
      <c r="N2496" s="49" t="n">
        <v>0</v>
      </c>
      <c r="O2496" s="53" t="n">
        <v>45729.5815856482</v>
      </c>
      <c r="P2496" s="53" t="n">
        <v>45743.6111342593</v>
      </c>
      <c r="Q2496" s="53" t="n">
        <v>45729.5815856482</v>
      </c>
      <c r="R2496" s="0" t="n">
        <v>0</v>
      </c>
      <c r="S2496" s="51" t="s">
        <v>2356</v>
      </c>
      <c r="T2496" s="51" t="s">
        <v>2356</v>
      </c>
      <c r="U2496" s="51" t="s">
        <v>4166</v>
      </c>
      <c r="V2496" s="51" t="s">
        <v>2365</v>
      </c>
      <c r="W2496" s="51" t="s">
        <v>4609</v>
      </c>
      <c r="X2496" s="51" t="s">
        <v>2359</v>
      </c>
    </row>
    <row r="2497" customFormat="false" ht="14.25" hidden="true" customHeight="false" outlineLevel="0" collapsed="false">
      <c r="A2497" s="49" t="s">
        <v>2349</v>
      </c>
      <c r="B2497" s="49" t="s">
        <v>2350</v>
      </c>
      <c r="C2497" s="49" t="s">
        <v>5544</v>
      </c>
      <c r="D2497" s="49" t="s">
        <v>2352</v>
      </c>
      <c r="E2497" s="49" t="s">
        <v>4166</v>
      </c>
      <c r="F2497" s="49" t="s">
        <v>4167</v>
      </c>
      <c r="G2497" s="49" t="n">
        <v>0</v>
      </c>
      <c r="H2497" s="0" t="n">
        <v>0</v>
      </c>
      <c r="M2497" s="51" t="s">
        <v>5542</v>
      </c>
      <c r="N2497" s="49" t="n">
        <v>0</v>
      </c>
      <c r="O2497" s="53" t="n">
        <v>45729.5817361111</v>
      </c>
      <c r="P2497" s="53" t="n">
        <v>45732.9246412037</v>
      </c>
      <c r="Q2497" s="53" t="n">
        <v>45729.5817361111</v>
      </c>
      <c r="R2497" s="0" t="n">
        <v>0</v>
      </c>
      <c r="S2497" s="51" t="s">
        <v>2356</v>
      </c>
      <c r="T2497" s="51" t="s">
        <v>2356</v>
      </c>
      <c r="U2497" s="51" t="s">
        <v>4166</v>
      </c>
      <c r="V2497" s="51" t="s">
        <v>2365</v>
      </c>
      <c r="W2497" s="51" t="s">
        <v>5545</v>
      </c>
      <c r="X2497" s="51" t="s">
        <v>2359</v>
      </c>
    </row>
    <row r="2498" customFormat="false" ht="14.25" hidden="true" customHeight="false" outlineLevel="0" collapsed="false">
      <c r="A2498" s="49" t="s">
        <v>2349</v>
      </c>
      <c r="B2498" s="49" t="s">
        <v>2350</v>
      </c>
      <c r="C2498" s="49" t="s">
        <v>5546</v>
      </c>
      <c r="D2498" s="49" t="s">
        <v>2352</v>
      </c>
      <c r="E2498" s="49" t="s">
        <v>4166</v>
      </c>
      <c r="F2498" s="49" t="s">
        <v>4167</v>
      </c>
      <c r="G2498" s="49" t="n">
        <v>0</v>
      </c>
      <c r="H2498" s="0" t="n">
        <v>0</v>
      </c>
      <c r="M2498" s="51" t="s">
        <v>5542</v>
      </c>
      <c r="N2498" s="49" t="n">
        <v>0</v>
      </c>
      <c r="O2498" s="53" t="n">
        <v>45729.5817939815</v>
      </c>
      <c r="P2498" s="53" t="n">
        <v>45743.6113310185</v>
      </c>
      <c r="Q2498" s="53" t="n">
        <v>45729.5817939815</v>
      </c>
      <c r="R2498" s="0" t="n">
        <v>0</v>
      </c>
      <c r="S2498" s="51" t="s">
        <v>2356</v>
      </c>
      <c r="T2498" s="51" t="s">
        <v>2356</v>
      </c>
      <c r="U2498" s="51" t="s">
        <v>4166</v>
      </c>
      <c r="V2498" s="51" t="s">
        <v>2365</v>
      </c>
      <c r="W2498" s="51" t="s">
        <v>5547</v>
      </c>
      <c r="X2498" s="51" t="s">
        <v>2359</v>
      </c>
    </row>
    <row r="2499" customFormat="false" ht="14.25" hidden="true" customHeight="false" outlineLevel="0" collapsed="false">
      <c r="A2499" s="49" t="s">
        <v>2349</v>
      </c>
      <c r="B2499" s="49" t="s">
        <v>2350</v>
      </c>
      <c r="C2499" s="49" t="s">
        <v>5548</v>
      </c>
      <c r="D2499" s="49" t="s">
        <v>2352</v>
      </c>
      <c r="E2499" s="49" t="s">
        <v>4166</v>
      </c>
      <c r="F2499" s="49" t="s">
        <v>4167</v>
      </c>
      <c r="G2499" s="49" t="n">
        <v>0</v>
      </c>
      <c r="H2499" s="0" t="n">
        <v>0</v>
      </c>
      <c r="M2499" s="51" t="s">
        <v>5542</v>
      </c>
      <c r="N2499" s="49" t="n">
        <v>0</v>
      </c>
      <c r="O2499" s="53" t="n">
        <v>45729.5818402778</v>
      </c>
      <c r="P2499" s="53" t="n">
        <v>45732.9250231482</v>
      </c>
      <c r="Q2499" s="53" t="n">
        <v>45729.5818402778</v>
      </c>
      <c r="R2499" s="0" t="n">
        <v>0</v>
      </c>
      <c r="S2499" s="51" t="s">
        <v>2356</v>
      </c>
      <c r="T2499" s="51" t="s">
        <v>2356</v>
      </c>
      <c r="U2499" s="51" t="s">
        <v>4166</v>
      </c>
      <c r="V2499" s="51" t="s">
        <v>2365</v>
      </c>
      <c r="W2499" s="51" t="s">
        <v>5549</v>
      </c>
      <c r="X2499" s="51" t="s">
        <v>2359</v>
      </c>
    </row>
    <row r="2500" customFormat="false" ht="14.25" hidden="true" customHeight="false" outlineLevel="0" collapsed="false">
      <c r="A2500" s="49" t="s">
        <v>2349</v>
      </c>
      <c r="B2500" s="49" t="s">
        <v>2350</v>
      </c>
      <c r="C2500" s="49" t="s">
        <v>5550</v>
      </c>
      <c r="D2500" s="49" t="s">
        <v>2352</v>
      </c>
      <c r="E2500" s="49" t="s">
        <v>4166</v>
      </c>
      <c r="F2500" s="49" t="s">
        <v>4167</v>
      </c>
      <c r="G2500" s="49" t="n">
        <v>0</v>
      </c>
      <c r="H2500" s="0" t="n">
        <v>0</v>
      </c>
      <c r="M2500" s="51" t="s">
        <v>5542</v>
      </c>
      <c r="N2500" s="49" t="n">
        <v>0</v>
      </c>
      <c r="O2500" s="53" t="n">
        <v>45729.5819444444</v>
      </c>
      <c r="P2500" s="53" t="n">
        <v>45764.7784953704</v>
      </c>
      <c r="Q2500" s="53" t="n">
        <v>45729.5819444444</v>
      </c>
      <c r="R2500" s="0" t="n">
        <v>0</v>
      </c>
      <c r="S2500" s="51" t="s">
        <v>2356</v>
      </c>
      <c r="T2500" s="51" t="s">
        <v>2356</v>
      </c>
      <c r="U2500" s="51" t="s">
        <v>4166</v>
      </c>
      <c r="V2500" s="51" t="s">
        <v>2365</v>
      </c>
      <c r="W2500" s="51" t="s">
        <v>5551</v>
      </c>
      <c r="X2500" s="51" t="s">
        <v>2359</v>
      </c>
    </row>
    <row r="2501" customFormat="false" ht="14.25" hidden="true" customHeight="false" outlineLevel="0" collapsed="false">
      <c r="A2501" s="49" t="s">
        <v>2349</v>
      </c>
      <c r="B2501" s="49" t="s">
        <v>2350</v>
      </c>
      <c r="C2501" s="49" t="s">
        <v>5552</v>
      </c>
      <c r="D2501" s="49" t="s">
        <v>2352</v>
      </c>
      <c r="E2501" s="49" t="s">
        <v>4166</v>
      </c>
      <c r="F2501" s="49" t="s">
        <v>4167</v>
      </c>
      <c r="G2501" s="49" t="n">
        <v>0</v>
      </c>
      <c r="H2501" s="0" t="n">
        <v>0</v>
      </c>
      <c r="M2501" s="51" t="s">
        <v>5542</v>
      </c>
      <c r="N2501" s="49" t="n">
        <v>0</v>
      </c>
      <c r="O2501" s="53" t="n">
        <v>45729.5820023148</v>
      </c>
      <c r="P2501" s="53" t="n">
        <v>45732.9251273148</v>
      </c>
      <c r="Q2501" s="53" t="n">
        <v>45729.5820023148</v>
      </c>
      <c r="R2501" s="0" t="n">
        <v>0</v>
      </c>
      <c r="S2501" s="51" t="s">
        <v>2356</v>
      </c>
      <c r="T2501" s="51" t="s">
        <v>2356</v>
      </c>
      <c r="U2501" s="51" t="s">
        <v>4166</v>
      </c>
      <c r="V2501" s="51" t="s">
        <v>2365</v>
      </c>
      <c r="W2501" s="51" t="s">
        <v>5553</v>
      </c>
      <c r="X2501" s="51" t="s">
        <v>2359</v>
      </c>
    </row>
    <row r="2502" customFormat="false" ht="14.25" hidden="true" customHeight="false" outlineLevel="0" collapsed="false">
      <c r="A2502" s="49" t="s">
        <v>2349</v>
      </c>
      <c r="B2502" s="49" t="s">
        <v>2350</v>
      </c>
      <c r="C2502" s="49" t="s">
        <v>5554</v>
      </c>
      <c r="D2502" s="49" t="s">
        <v>2352</v>
      </c>
      <c r="E2502" s="49" t="s">
        <v>4166</v>
      </c>
      <c r="F2502" s="49" t="s">
        <v>4167</v>
      </c>
      <c r="G2502" s="49" t="n">
        <v>0</v>
      </c>
      <c r="H2502" s="0" t="n">
        <v>0</v>
      </c>
      <c r="M2502" s="51" t="s">
        <v>5542</v>
      </c>
      <c r="N2502" s="49" t="n">
        <v>0</v>
      </c>
      <c r="O2502" s="53" t="n">
        <v>45729.5820486111</v>
      </c>
      <c r="P2502" s="53" t="n">
        <v>45738.6162152778</v>
      </c>
      <c r="Q2502" s="53" t="n">
        <v>45729.5820486111</v>
      </c>
      <c r="R2502" s="0" t="n">
        <v>0</v>
      </c>
      <c r="S2502" s="51" t="s">
        <v>2356</v>
      </c>
      <c r="T2502" s="51" t="s">
        <v>2356</v>
      </c>
      <c r="U2502" s="51" t="s">
        <v>4166</v>
      </c>
      <c r="V2502" s="51" t="s">
        <v>2365</v>
      </c>
      <c r="W2502" s="51" t="s">
        <v>4130</v>
      </c>
      <c r="X2502" s="51" t="s">
        <v>2359</v>
      </c>
    </row>
    <row r="2503" customFormat="false" ht="14.25" hidden="true" customHeight="false" outlineLevel="0" collapsed="false">
      <c r="A2503" s="49" t="s">
        <v>2349</v>
      </c>
      <c r="B2503" s="49" t="s">
        <v>2350</v>
      </c>
      <c r="C2503" s="49" t="s">
        <v>5555</v>
      </c>
      <c r="D2503" s="49" t="s">
        <v>2352</v>
      </c>
      <c r="E2503" s="49" t="s">
        <v>4166</v>
      </c>
      <c r="F2503" s="49" t="s">
        <v>4167</v>
      </c>
      <c r="G2503" s="49" t="n">
        <v>0</v>
      </c>
      <c r="H2503" s="0" t="n">
        <v>0</v>
      </c>
      <c r="M2503" s="51" t="s">
        <v>5542</v>
      </c>
      <c r="N2503" s="49" t="n">
        <v>0</v>
      </c>
      <c r="O2503" s="53" t="n">
        <v>45729.5820949074</v>
      </c>
      <c r="P2503" s="53" t="n">
        <v>45743.6103587963</v>
      </c>
      <c r="Q2503" s="53" t="n">
        <v>45729.5820949074</v>
      </c>
      <c r="R2503" s="0" t="n">
        <v>0</v>
      </c>
      <c r="S2503" s="51" t="s">
        <v>2356</v>
      </c>
      <c r="T2503" s="51" t="s">
        <v>2356</v>
      </c>
      <c r="U2503" s="51" t="s">
        <v>4166</v>
      </c>
      <c r="V2503" s="51" t="s">
        <v>2365</v>
      </c>
      <c r="W2503" s="51" t="s">
        <v>5159</v>
      </c>
      <c r="X2503" s="51" t="s">
        <v>2359</v>
      </c>
    </row>
    <row r="2504" customFormat="false" ht="14.25" hidden="true" customHeight="false" outlineLevel="0" collapsed="false">
      <c r="A2504" s="49" t="s">
        <v>2349</v>
      </c>
      <c r="B2504" s="49" t="s">
        <v>2350</v>
      </c>
      <c r="C2504" s="49" t="s">
        <v>5556</v>
      </c>
      <c r="D2504" s="49" t="s">
        <v>2352</v>
      </c>
      <c r="E2504" s="49" t="s">
        <v>4166</v>
      </c>
      <c r="F2504" s="49" t="s">
        <v>4167</v>
      </c>
      <c r="G2504" s="49" t="n">
        <v>0</v>
      </c>
      <c r="H2504" s="0" t="n">
        <v>0</v>
      </c>
      <c r="M2504" s="51" t="s">
        <v>5542</v>
      </c>
      <c r="N2504" s="49" t="n">
        <v>0</v>
      </c>
      <c r="O2504" s="53" t="n">
        <v>45729.5821296296</v>
      </c>
      <c r="P2504" s="53" t="n">
        <v>45743.6100578704</v>
      </c>
      <c r="Q2504" s="53" t="n">
        <v>45729.5821296296</v>
      </c>
      <c r="R2504" s="0" t="n">
        <v>0</v>
      </c>
      <c r="S2504" s="51" t="s">
        <v>2356</v>
      </c>
      <c r="T2504" s="51" t="s">
        <v>2356</v>
      </c>
      <c r="U2504" s="51" t="s">
        <v>4166</v>
      </c>
      <c r="V2504" s="51" t="s">
        <v>2365</v>
      </c>
      <c r="W2504" s="51" t="s">
        <v>4132</v>
      </c>
      <c r="X2504" s="51" t="s">
        <v>2359</v>
      </c>
    </row>
    <row r="2505" customFormat="false" ht="14.25" hidden="true" customHeight="false" outlineLevel="0" collapsed="false">
      <c r="A2505" s="49" t="s">
        <v>2349</v>
      </c>
      <c r="B2505" s="49" t="s">
        <v>2350</v>
      </c>
      <c r="C2505" s="49" t="s">
        <v>5557</v>
      </c>
      <c r="D2505" s="49" t="s">
        <v>2352</v>
      </c>
      <c r="E2505" s="49" t="s">
        <v>4166</v>
      </c>
      <c r="F2505" s="49" t="s">
        <v>4167</v>
      </c>
      <c r="G2505" s="49" t="n">
        <v>0</v>
      </c>
      <c r="H2505" s="0" t="n">
        <v>0</v>
      </c>
      <c r="M2505" s="51" t="s">
        <v>5542</v>
      </c>
      <c r="N2505" s="49" t="n">
        <v>0</v>
      </c>
      <c r="O2505" s="53" t="n">
        <v>45729.5821759259</v>
      </c>
      <c r="P2505" s="53" t="n">
        <v>45732.9238310185</v>
      </c>
      <c r="Q2505" s="53" t="n">
        <v>45729.5821759259</v>
      </c>
      <c r="R2505" s="0" t="n">
        <v>0</v>
      </c>
      <c r="S2505" s="51" t="s">
        <v>2356</v>
      </c>
      <c r="T2505" s="51" t="s">
        <v>2356</v>
      </c>
      <c r="U2505" s="51" t="s">
        <v>4166</v>
      </c>
      <c r="V2505" s="51" t="s">
        <v>2365</v>
      </c>
      <c r="W2505" s="51" t="s">
        <v>5558</v>
      </c>
      <c r="X2505" s="51" t="s">
        <v>2359</v>
      </c>
    </row>
    <row r="2506" customFormat="false" ht="14.25" hidden="true" customHeight="false" outlineLevel="0" collapsed="false">
      <c r="A2506" s="49" t="s">
        <v>2349</v>
      </c>
      <c r="B2506" s="49" t="s">
        <v>2350</v>
      </c>
      <c r="C2506" s="49" t="s">
        <v>5559</v>
      </c>
      <c r="D2506" s="49" t="s">
        <v>2352</v>
      </c>
      <c r="E2506" s="49" t="s">
        <v>4166</v>
      </c>
      <c r="F2506" s="49" t="s">
        <v>4167</v>
      </c>
      <c r="G2506" s="49" t="n">
        <v>0</v>
      </c>
      <c r="H2506" s="0" t="n">
        <v>0</v>
      </c>
      <c r="M2506" s="51" t="s">
        <v>5542</v>
      </c>
      <c r="N2506" s="49" t="n">
        <v>0</v>
      </c>
      <c r="O2506" s="53" t="n">
        <v>45729.5822106482</v>
      </c>
      <c r="P2506" s="53" t="n">
        <v>45732.9239583333</v>
      </c>
      <c r="Q2506" s="53" t="n">
        <v>45729.5822106482</v>
      </c>
      <c r="R2506" s="0" t="n">
        <v>0</v>
      </c>
      <c r="S2506" s="51" t="s">
        <v>2356</v>
      </c>
      <c r="T2506" s="51" t="s">
        <v>2356</v>
      </c>
      <c r="U2506" s="51" t="s">
        <v>4166</v>
      </c>
      <c r="V2506" s="51" t="s">
        <v>2365</v>
      </c>
      <c r="W2506" s="51" t="s">
        <v>5560</v>
      </c>
      <c r="X2506" s="51" t="s">
        <v>2359</v>
      </c>
    </row>
    <row r="2507" customFormat="false" ht="14.25" hidden="true" customHeight="false" outlineLevel="0" collapsed="false">
      <c r="A2507" s="49" t="s">
        <v>2349</v>
      </c>
      <c r="B2507" s="49" t="s">
        <v>2350</v>
      </c>
      <c r="C2507" s="49" t="s">
        <v>5561</v>
      </c>
      <c r="D2507" s="49" t="s">
        <v>2352</v>
      </c>
      <c r="E2507" s="49" t="s">
        <v>4166</v>
      </c>
      <c r="F2507" s="49" t="s">
        <v>4167</v>
      </c>
      <c r="G2507" s="49" t="n">
        <v>0</v>
      </c>
      <c r="H2507" s="0" t="n">
        <v>0</v>
      </c>
      <c r="M2507" s="51" t="s">
        <v>5542</v>
      </c>
      <c r="N2507" s="49" t="n">
        <v>0</v>
      </c>
      <c r="O2507" s="53" t="n">
        <v>45729.5822569444</v>
      </c>
      <c r="P2507" s="53" t="n">
        <v>45732.9241203704</v>
      </c>
      <c r="Q2507" s="53" t="n">
        <v>45729.5822569444</v>
      </c>
      <c r="R2507" s="0" t="n">
        <v>0</v>
      </c>
      <c r="S2507" s="51" t="s">
        <v>2356</v>
      </c>
      <c r="T2507" s="51" t="s">
        <v>2356</v>
      </c>
      <c r="U2507" s="51" t="s">
        <v>4166</v>
      </c>
      <c r="V2507" s="51" t="s">
        <v>2365</v>
      </c>
      <c r="W2507" s="51" t="s">
        <v>5562</v>
      </c>
      <c r="X2507" s="51" t="s">
        <v>2359</v>
      </c>
    </row>
    <row r="2508" customFormat="false" ht="14.25" hidden="true" customHeight="false" outlineLevel="0" collapsed="false">
      <c r="A2508" s="49" t="s">
        <v>2349</v>
      </c>
      <c r="B2508" s="49" t="s">
        <v>2350</v>
      </c>
      <c r="C2508" s="49" t="s">
        <v>5563</v>
      </c>
      <c r="D2508" s="49" t="s">
        <v>2352</v>
      </c>
      <c r="E2508" s="49" t="s">
        <v>4166</v>
      </c>
      <c r="F2508" s="49" t="s">
        <v>4167</v>
      </c>
      <c r="G2508" s="49" t="n">
        <v>0</v>
      </c>
      <c r="H2508" s="0" t="n">
        <v>0</v>
      </c>
      <c r="M2508" s="51" t="s">
        <v>5542</v>
      </c>
      <c r="N2508" s="49" t="n">
        <v>0</v>
      </c>
      <c r="O2508" s="53" t="n">
        <v>45729.5823263889</v>
      </c>
      <c r="P2508" s="53" t="n">
        <v>45732.924212963</v>
      </c>
      <c r="Q2508" s="53" t="n">
        <v>45729.5823263889</v>
      </c>
      <c r="R2508" s="0" t="n">
        <v>0</v>
      </c>
      <c r="S2508" s="51" t="s">
        <v>2356</v>
      </c>
      <c r="T2508" s="51" t="s">
        <v>2356</v>
      </c>
      <c r="U2508" s="51" t="s">
        <v>4166</v>
      </c>
      <c r="V2508" s="51" t="s">
        <v>2365</v>
      </c>
      <c r="W2508" s="51" t="s">
        <v>5564</v>
      </c>
      <c r="X2508" s="51" t="s">
        <v>2359</v>
      </c>
    </row>
    <row r="2509" customFormat="false" ht="14.25" hidden="true" customHeight="false" outlineLevel="0" collapsed="false">
      <c r="A2509" s="49" t="s">
        <v>2349</v>
      </c>
      <c r="B2509" s="49" t="s">
        <v>2350</v>
      </c>
      <c r="C2509" s="49" t="s">
        <v>5565</v>
      </c>
      <c r="D2509" s="49" t="s">
        <v>2352</v>
      </c>
      <c r="E2509" s="49" t="s">
        <v>4166</v>
      </c>
      <c r="F2509" s="49" t="s">
        <v>4167</v>
      </c>
      <c r="G2509" s="49" t="n">
        <v>0</v>
      </c>
      <c r="H2509" s="0" t="n">
        <v>0</v>
      </c>
      <c r="M2509" s="51" t="s">
        <v>5542</v>
      </c>
      <c r="N2509" s="49" t="n">
        <v>0</v>
      </c>
      <c r="O2509" s="53" t="n">
        <v>45729.5823842593</v>
      </c>
      <c r="P2509" s="53" t="n">
        <v>45732.9252083333</v>
      </c>
      <c r="Q2509" s="53" t="n">
        <v>45729.5823842593</v>
      </c>
      <c r="R2509" s="0" t="n">
        <v>0</v>
      </c>
      <c r="S2509" s="51" t="s">
        <v>2356</v>
      </c>
      <c r="T2509" s="51" t="s">
        <v>2356</v>
      </c>
      <c r="U2509" s="51" t="s">
        <v>4166</v>
      </c>
      <c r="V2509" s="51" t="s">
        <v>2365</v>
      </c>
      <c r="W2509" s="51" t="s">
        <v>5566</v>
      </c>
      <c r="X2509" s="51" t="s">
        <v>2359</v>
      </c>
    </row>
    <row r="2510" customFormat="false" ht="14.25" hidden="true" customHeight="false" outlineLevel="0" collapsed="false">
      <c r="A2510" s="49" t="s">
        <v>2349</v>
      </c>
      <c r="B2510" s="49" t="s">
        <v>2350</v>
      </c>
      <c r="C2510" s="49" t="s">
        <v>5567</v>
      </c>
      <c r="D2510" s="49" t="s">
        <v>2352</v>
      </c>
      <c r="E2510" s="49" t="s">
        <v>4166</v>
      </c>
      <c r="F2510" s="49" t="s">
        <v>4167</v>
      </c>
      <c r="G2510" s="49" t="n">
        <v>0</v>
      </c>
      <c r="H2510" s="0" t="n">
        <v>0</v>
      </c>
      <c r="M2510" s="51" t="s">
        <v>5542</v>
      </c>
      <c r="N2510" s="49" t="n">
        <v>0</v>
      </c>
      <c r="O2510" s="53" t="n">
        <v>45729.5824305556</v>
      </c>
      <c r="P2510" s="53" t="n">
        <v>45732.9244212963</v>
      </c>
      <c r="Q2510" s="53" t="n">
        <v>45729.5824305556</v>
      </c>
      <c r="R2510" s="0" t="n">
        <v>0</v>
      </c>
      <c r="S2510" s="51" t="s">
        <v>2356</v>
      </c>
      <c r="T2510" s="51" t="s">
        <v>2356</v>
      </c>
      <c r="U2510" s="51" t="s">
        <v>4166</v>
      </c>
      <c r="V2510" s="51" t="s">
        <v>2365</v>
      </c>
      <c r="W2510" s="51" t="s">
        <v>5568</v>
      </c>
      <c r="X2510" s="51" t="s">
        <v>2359</v>
      </c>
    </row>
    <row r="2511" customFormat="false" ht="14.25" hidden="true" customHeight="false" outlineLevel="0" collapsed="false">
      <c r="A2511" s="49" t="s">
        <v>2349</v>
      </c>
      <c r="B2511" s="49" t="s">
        <v>2350</v>
      </c>
      <c r="C2511" s="49" t="s">
        <v>5569</v>
      </c>
      <c r="D2511" s="49" t="s">
        <v>2352</v>
      </c>
      <c r="E2511" s="49" t="s">
        <v>4166</v>
      </c>
      <c r="F2511" s="49" t="s">
        <v>4167</v>
      </c>
      <c r="G2511" s="49" t="n">
        <v>0</v>
      </c>
      <c r="H2511" s="0" t="n">
        <v>0</v>
      </c>
      <c r="M2511" s="51" t="s">
        <v>5542</v>
      </c>
      <c r="N2511" s="49" t="n">
        <v>0</v>
      </c>
      <c r="O2511" s="53" t="n">
        <v>45729.5825</v>
      </c>
      <c r="P2511" s="53" t="n">
        <v>45732.924525463</v>
      </c>
      <c r="Q2511" s="53" t="n">
        <v>45729.5825</v>
      </c>
      <c r="R2511" s="0" t="n">
        <v>0</v>
      </c>
      <c r="S2511" s="51" t="s">
        <v>2356</v>
      </c>
      <c r="T2511" s="51" t="s">
        <v>2356</v>
      </c>
      <c r="U2511" s="51" t="s">
        <v>4166</v>
      </c>
      <c r="V2511" s="51" t="s">
        <v>2365</v>
      </c>
      <c r="W2511" s="51" t="s">
        <v>3767</v>
      </c>
      <c r="X2511" s="51" t="s">
        <v>2359</v>
      </c>
    </row>
    <row r="2512" customFormat="false" ht="14.25" hidden="true" customHeight="false" outlineLevel="0" collapsed="false">
      <c r="A2512" s="49" t="s">
        <v>2349</v>
      </c>
      <c r="B2512" s="49" t="s">
        <v>2350</v>
      </c>
      <c r="C2512" s="49" t="s">
        <v>5570</v>
      </c>
      <c r="D2512" s="49" t="s">
        <v>2352</v>
      </c>
      <c r="E2512" s="49" t="s">
        <v>4148</v>
      </c>
      <c r="F2512" s="49" t="s">
        <v>4149</v>
      </c>
      <c r="G2512" s="49" t="n">
        <v>0</v>
      </c>
      <c r="H2512" s="0" t="n">
        <v>0</v>
      </c>
      <c r="M2512" s="51" t="s">
        <v>5571</v>
      </c>
      <c r="N2512" s="49" t="n">
        <v>0</v>
      </c>
      <c r="O2512" s="53" t="n">
        <v>45718.4381712963</v>
      </c>
      <c r="P2512" s="53" t="n">
        <v>45732.9237152778</v>
      </c>
      <c r="Q2512" s="53" t="n">
        <v>45718.4381712963</v>
      </c>
      <c r="R2512" s="0" t="n">
        <v>0</v>
      </c>
      <c r="S2512" s="51" t="s">
        <v>2356</v>
      </c>
      <c r="T2512" s="51" t="s">
        <v>2356</v>
      </c>
      <c r="U2512" s="51" t="s">
        <v>4148</v>
      </c>
      <c r="V2512" s="51" t="s">
        <v>2365</v>
      </c>
      <c r="W2512" s="51" t="s">
        <v>3701</v>
      </c>
      <c r="X2512" s="51" t="s">
        <v>2359</v>
      </c>
    </row>
    <row r="2513" customFormat="false" ht="14.25" hidden="true" customHeight="false" outlineLevel="0" collapsed="false">
      <c r="A2513" s="49" t="s">
        <v>2349</v>
      </c>
      <c r="B2513" s="49" t="s">
        <v>2350</v>
      </c>
      <c r="C2513" s="49" t="s">
        <v>5572</v>
      </c>
      <c r="D2513" s="49" t="s">
        <v>2352</v>
      </c>
      <c r="E2513" s="49" t="str">
        <f aca="false">"5060458890191"</f>
        <v>5060458890191</v>
      </c>
      <c r="F2513" s="49" t="s">
        <v>3656</v>
      </c>
      <c r="G2513" s="49" t="n">
        <v>0</v>
      </c>
      <c r="H2513" s="0" t="n">
        <v>0</v>
      </c>
      <c r="M2513" s="51" t="s">
        <v>5573</v>
      </c>
      <c r="N2513" s="49" t="n">
        <v>0</v>
      </c>
      <c r="O2513" s="53" t="n">
        <v>45732.5718865741</v>
      </c>
      <c r="P2513" s="53" t="n">
        <v>45734.5844328704</v>
      </c>
      <c r="Q2513" s="53" t="n">
        <v>45732.5718865741</v>
      </c>
      <c r="R2513" s="0" t="n">
        <v>0</v>
      </c>
      <c r="S2513" s="51" t="s">
        <v>2376</v>
      </c>
      <c r="T2513" s="51" t="s">
        <v>2376</v>
      </c>
      <c r="U2513" s="0" t="str">
        <f aca="false">"5060458890191"</f>
        <v>5060458890191</v>
      </c>
      <c r="V2513" s="51" t="s">
        <v>2142</v>
      </c>
      <c r="W2513" s="51" t="s">
        <v>4399</v>
      </c>
      <c r="X2513" s="51" t="s">
        <v>2359</v>
      </c>
    </row>
    <row r="2514" customFormat="false" ht="14.25" hidden="true" customHeight="false" outlineLevel="0" collapsed="false">
      <c r="A2514" s="49" t="s">
        <v>2349</v>
      </c>
      <c r="B2514" s="49" t="s">
        <v>2350</v>
      </c>
      <c r="C2514" s="49" t="s">
        <v>5574</v>
      </c>
      <c r="D2514" s="49" t="s">
        <v>2352</v>
      </c>
      <c r="E2514" s="49" t="str">
        <f aca="false">"5060458890191"</f>
        <v>5060458890191</v>
      </c>
      <c r="F2514" s="49" t="s">
        <v>3656</v>
      </c>
      <c r="G2514" s="49" t="n">
        <v>0</v>
      </c>
      <c r="H2514" s="0" t="n">
        <v>0</v>
      </c>
      <c r="M2514" s="51" t="s">
        <v>5573</v>
      </c>
      <c r="N2514" s="49" t="n">
        <v>0</v>
      </c>
      <c r="O2514" s="53" t="n">
        <v>45732.5717013889</v>
      </c>
      <c r="P2514" s="53" t="n">
        <v>45734.9363657407</v>
      </c>
      <c r="Q2514" s="53" t="n">
        <v>45732.5717013889</v>
      </c>
      <c r="R2514" s="0" t="n">
        <v>0</v>
      </c>
      <c r="S2514" s="51" t="s">
        <v>2376</v>
      </c>
      <c r="T2514" s="51" t="s">
        <v>2376</v>
      </c>
      <c r="U2514" s="0" t="str">
        <f aca="false">"5060458890191"</f>
        <v>5060458890191</v>
      </c>
      <c r="V2514" s="51" t="s">
        <v>2142</v>
      </c>
      <c r="W2514" s="51" t="s">
        <v>4425</v>
      </c>
      <c r="X2514" s="51" t="s">
        <v>2359</v>
      </c>
    </row>
    <row r="2515" customFormat="false" ht="14.25" hidden="true" customHeight="false" outlineLevel="0" collapsed="false">
      <c r="A2515" s="49" t="s">
        <v>2349</v>
      </c>
      <c r="B2515" s="49" t="s">
        <v>2350</v>
      </c>
      <c r="C2515" s="49" t="s">
        <v>5575</v>
      </c>
      <c r="D2515" s="49" t="s">
        <v>2352</v>
      </c>
      <c r="E2515" s="49" t="str">
        <f aca="false">"5060458890191"</f>
        <v>5060458890191</v>
      </c>
      <c r="F2515" s="49" t="s">
        <v>3656</v>
      </c>
      <c r="G2515" s="49" t="n">
        <v>0</v>
      </c>
      <c r="H2515" s="0" t="n">
        <v>0</v>
      </c>
      <c r="M2515" s="51" t="s">
        <v>5573</v>
      </c>
      <c r="N2515" s="49" t="n">
        <v>0</v>
      </c>
      <c r="O2515" s="53" t="n">
        <v>45732.5720717593</v>
      </c>
      <c r="P2515" s="53" t="n">
        <v>45750.6224074074</v>
      </c>
      <c r="Q2515" s="53" t="n">
        <v>45732.5720717593</v>
      </c>
      <c r="R2515" s="0" t="n">
        <v>0</v>
      </c>
      <c r="S2515" s="51" t="s">
        <v>2376</v>
      </c>
      <c r="T2515" s="51" t="s">
        <v>2376</v>
      </c>
      <c r="U2515" s="0" t="str">
        <f aca="false">"5060458890191"</f>
        <v>5060458890191</v>
      </c>
      <c r="V2515" s="51" t="s">
        <v>2142</v>
      </c>
      <c r="W2515" s="51" t="s">
        <v>4349</v>
      </c>
      <c r="X2515" s="51" t="s">
        <v>2359</v>
      </c>
    </row>
    <row r="2516" customFormat="false" ht="14.25" hidden="true" customHeight="false" outlineLevel="0" collapsed="false">
      <c r="A2516" s="49" t="s">
        <v>2349</v>
      </c>
      <c r="B2516" s="49" t="s">
        <v>2350</v>
      </c>
      <c r="C2516" s="49" t="s">
        <v>5576</v>
      </c>
      <c r="D2516" s="49" t="s">
        <v>2352</v>
      </c>
      <c r="E2516" s="49" t="str">
        <f aca="false">"5060458890191"</f>
        <v>5060458890191</v>
      </c>
      <c r="F2516" s="49" t="s">
        <v>3656</v>
      </c>
      <c r="G2516" s="49" t="n">
        <v>0</v>
      </c>
      <c r="H2516" s="0" t="n">
        <v>0</v>
      </c>
      <c r="M2516" s="51" t="s">
        <v>5573</v>
      </c>
      <c r="N2516" s="49" t="n">
        <v>0</v>
      </c>
      <c r="O2516" s="53" t="n">
        <v>45732.5723726852</v>
      </c>
      <c r="P2516" s="53" t="n">
        <v>45734.5848032407</v>
      </c>
      <c r="Q2516" s="53" t="n">
        <v>45732.5723726852</v>
      </c>
      <c r="R2516" s="0" t="n">
        <v>0</v>
      </c>
      <c r="S2516" s="51" t="s">
        <v>2376</v>
      </c>
      <c r="T2516" s="51" t="s">
        <v>2376</v>
      </c>
      <c r="U2516" s="0" t="str">
        <f aca="false">"5060458890191"</f>
        <v>5060458890191</v>
      </c>
      <c r="V2516" s="51" t="s">
        <v>2142</v>
      </c>
      <c r="W2516" s="51" t="s">
        <v>4814</v>
      </c>
      <c r="X2516" s="51" t="s">
        <v>2359</v>
      </c>
    </row>
    <row r="2517" customFormat="false" ht="14.25" hidden="true" customHeight="false" outlineLevel="0" collapsed="false">
      <c r="A2517" s="49" t="s">
        <v>2349</v>
      </c>
      <c r="B2517" s="49" t="s">
        <v>2350</v>
      </c>
      <c r="C2517" s="49" t="s">
        <v>5577</v>
      </c>
      <c r="D2517" s="49" t="s">
        <v>2352</v>
      </c>
      <c r="E2517" s="49" t="str">
        <f aca="false">"5060458890191"</f>
        <v>5060458890191</v>
      </c>
      <c r="F2517" s="49" t="s">
        <v>3656</v>
      </c>
      <c r="G2517" s="49" t="n">
        <v>0</v>
      </c>
      <c r="H2517" s="0" t="n">
        <v>0</v>
      </c>
      <c r="M2517" s="51" t="s">
        <v>5573</v>
      </c>
      <c r="N2517" s="49" t="n">
        <v>0</v>
      </c>
      <c r="O2517" s="53" t="n">
        <v>45732.5725347222</v>
      </c>
      <c r="P2517" s="53" t="n">
        <v>45734.5855555556</v>
      </c>
      <c r="Q2517" s="53" t="n">
        <v>45732.5725347222</v>
      </c>
      <c r="R2517" s="0" t="n">
        <v>0</v>
      </c>
      <c r="S2517" s="51" t="s">
        <v>2376</v>
      </c>
      <c r="T2517" s="51" t="s">
        <v>2376</v>
      </c>
      <c r="U2517" s="0" t="str">
        <f aca="false">"5060458890191"</f>
        <v>5060458890191</v>
      </c>
      <c r="V2517" s="51" t="s">
        <v>2142</v>
      </c>
      <c r="W2517" s="51" t="s">
        <v>5245</v>
      </c>
      <c r="X2517" s="51" t="s">
        <v>2359</v>
      </c>
    </row>
    <row r="2518" customFormat="false" ht="14.25" hidden="true" customHeight="false" outlineLevel="0" collapsed="false">
      <c r="A2518" s="49" t="s">
        <v>2349</v>
      </c>
      <c r="B2518" s="49" t="s">
        <v>2350</v>
      </c>
      <c r="C2518" s="49" t="s">
        <v>5578</v>
      </c>
      <c r="D2518" s="49" t="s">
        <v>2352</v>
      </c>
      <c r="E2518" s="49" t="str">
        <f aca="false">"5060458890191"</f>
        <v>5060458890191</v>
      </c>
      <c r="F2518" s="49" t="s">
        <v>3656</v>
      </c>
      <c r="G2518" s="49" t="n">
        <v>0</v>
      </c>
      <c r="H2518" s="0" t="n">
        <v>0</v>
      </c>
      <c r="M2518" s="51" t="s">
        <v>5573</v>
      </c>
      <c r="N2518" s="49" t="n">
        <v>0</v>
      </c>
      <c r="O2518" s="53" t="n">
        <v>45732.5727430556</v>
      </c>
      <c r="P2518" s="53" t="n">
        <v>45741.0000925926</v>
      </c>
      <c r="Q2518" s="53" t="n">
        <v>45732.5727430556</v>
      </c>
      <c r="R2518" s="0" t="n">
        <v>0</v>
      </c>
      <c r="S2518" s="51" t="s">
        <v>2376</v>
      </c>
      <c r="T2518" s="51" t="s">
        <v>2376</v>
      </c>
      <c r="U2518" s="0" t="str">
        <f aca="false">"5060458890191"</f>
        <v>5060458890191</v>
      </c>
      <c r="V2518" s="51" t="s">
        <v>2142</v>
      </c>
      <c r="W2518" s="51" t="s">
        <v>4808</v>
      </c>
      <c r="X2518" s="51" t="s">
        <v>2359</v>
      </c>
    </row>
    <row r="2519" customFormat="false" ht="14.25" hidden="true" customHeight="false" outlineLevel="0" collapsed="false">
      <c r="A2519" s="49" t="s">
        <v>2349</v>
      </c>
      <c r="B2519" s="49" t="s">
        <v>2350</v>
      </c>
      <c r="C2519" s="49" t="s">
        <v>5579</v>
      </c>
      <c r="D2519" s="49" t="s">
        <v>2352</v>
      </c>
      <c r="E2519" s="49" t="str">
        <f aca="false">"5060458890191"</f>
        <v>5060458890191</v>
      </c>
      <c r="F2519" s="49" t="s">
        <v>3656</v>
      </c>
      <c r="G2519" s="49" t="n">
        <v>0</v>
      </c>
      <c r="H2519" s="0" t="n">
        <v>0</v>
      </c>
      <c r="M2519" s="51" t="s">
        <v>5573</v>
      </c>
      <c r="N2519" s="49" t="n">
        <v>0</v>
      </c>
      <c r="O2519" s="53" t="n">
        <v>45732.5729166667</v>
      </c>
      <c r="P2519" s="53" t="n">
        <v>45741.001099537</v>
      </c>
      <c r="Q2519" s="53" t="n">
        <v>45732.5729166667</v>
      </c>
      <c r="R2519" s="0" t="n">
        <v>0</v>
      </c>
      <c r="S2519" s="51" t="s">
        <v>2376</v>
      </c>
      <c r="T2519" s="51" t="s">
        <v>2376</v>
      </c>
      <c r="U2519" s="0" t="str">
        <f aca="false">"5060458890191"</f>
        <v>5060458890191</v>
      </c>
      <c r="V2519" s="51" t="s">
        <v>2142</v>
      </c>
      <c r="W2519" s="51" t="s">
        <v>4810</v>
      </c>
      <c r="X2519" s="51" t="s">
        <v>2359</v>
      </c>
    </row>
    <row r="2520" customFormat="false" ht="14.25" hidden="true" customHeight="false" outlineLevel="0" collapsed="false">
      <c r="A2520" s="49" t="s">
        <v>2349</v>
      </c>
      <c r="B2520" s="49" t="s">
        <v>2350</v>
      </c>
      <c r="C2520" s="49" t="s">
        <v>5580</v>
      </c>
      <c r="D2520" s="49" t="s">
        <v>2352</v>
      </c>
      <c r="E2520" s="49" t="str">
        <f aca="false">"5060458890191"</f>
        <v>5060458890191</v>
      </c>
      <c r="F2520" s="49" t="s">
        <v>3656</v>
      </c>
      <c r="G2520" s="49" t="n">
        <v>0</v>
      </c>
      <c r="H2520" s="0" t="n">
        <v>0</v>
      </c>
      <c r="M2520" s="51" t="s">
        <v>5573</v>
      </c>
      <c r="N2520" s="49" t="n">
        <v>0</v>
      </c>
      <c r="O2520" s="53" t="n">
        <v>45732.5730787037</v>
      </c>
      <c r="P2520" s="53" t="n">
        <v>45743.4272453704</v>
      </c>
      <c r="Q2520" s="53" t="n">
        <v>45732.5730787037</v>
      </c>
      <c r="R2520" s="0" t="n">
        <v>0</v>
      </c>
      <c r="S2520" s="51" t="s">
        <v>2376</v>
      </c>
      <c r="T2520" s="51" t="s">
        <v>2376</v>
      </c>
      <c r="U2520" s="0" t="str">
        <f aca="false">"5060458890191"</f>
        <v>5060458890191</v>
      </c>
      <c r="V2520" s="51" t="s">
        <v>2142</v>
      </c>
      <c r="W2520" s="51" t="s">
        <v>4417</v>
      </c>
      <c r="X2520" s="51" t="s">
        <v>2359</v>
      </c>
    </row>
    <row r="2521" customFormat="false" ht="14.25" hidden="true" customHeight="false" outlineLevel="0" collapsed="false">
      <c r="A2521" s="49" t="s">
        <v>2349</v>
      </c>
      <c r="B2521" s="49" t="s">
        <v>2350</v>
      </c>
      <c r="C2521" s="49" t="s">
        <v>5581</v>
      </c>
      <c r="D2521" s="49" t="s">
        <v>2352</v>
      </c>
      <c r="E2521" s="49" t="str">
        <f aca="false">"5060458890191"</f>
        <v>5060458890191</v>
      </c>
      <c r="F2521" s="49" t="s">
        <v>3656</v>
      </c>
      <c r="G2521" s="49" t="n">
        <v>0</v>
      </c>
      <c r="H2521" s="0" t="n">
        <v>0</v>
      </c>
      <c r="M2521" s="51" t="s">
        <v>5573</v>
      </c>
      <c r="N2521" s="49" t="n">
        <v>0</v>
      </c>
      <c r="O2521" s="53" t="n">
        <v>45732.5732638889</v>
      </c>
      <c r="P2521" s="53" t="n">
        <v>45743.4273958333</v>
      </c>
      <c r="Q2521" s="53" t="n">
        <v>45732.5732638889</v>
      </c>
      <c r="R2521" s="0" t="n">
        <v>0</v>
      </c>
      <c r="S2521" s="51" t="s">
        <v>2376</v>
      </c>
      <c r="T2521" s="51" t="s">
        <v>2376</v>
      </c>
      <c r="U2521" s="0" t="str">
        <f aca="false">"5060458890191"</f>
        <v>5060458890191</v>
      </c>
      <c r="V2521" s="51" t="s">
        <v>2142</v>
      </c>
      <c r="W2521" s="51" t="s">
        <v>4415</v>
      </c>
      <c r="X2521" s="51" t="s">
        <v>2359</v>
      </c>
    </row>
    <row r="2522" customFormat="false" ht="14.25" hidden="true" customHeight="false" outlineLevel="0" collapsed="false">
      <c r="A2522" s="49" t="s">
        <v>2349</v>
      </c>
      <c r="B2522" s="49" t="s">
        <v>2350</v>
      </c>
      <c r="C2522" s="49" t="s">
        <v>5582</v>
      </c>
      <c r="D2522" s="49" t="s">
        <v>2352</v>
      </c>
      <c r="E2522" s="49" t="str">
        <f aca="false">"5060458890191"</f>
        <v>5060458890191</v>
      </c>
      <c r="F2522" s="49" t="s">
        <v>3656</v>
      </c>
      <c r="G2522" s="49" t="n">
        <v>0</v>
      </c>
      <c r="H2522" s="0" t="n">
        <v>0</v>
      </c>
      <c r="M2522" s="51" t="s">
        <v>5573</v>
      </c>
      <c r="N2522" s="49" t="n">
        <v>0</v>
      </c>
      <c r="O2522" s="53" t="n">
        <v>45732.5734027778</v>
      </c>
      <c r="P2522" s="53" t="n">
        <v>45741.0005208333</v>
      </c>
      <c r="Q2522" s="53" t="n">
        <v>45732.5734027778</v>
      </c>
      <c r="R2522" s="0" t="n">
        <v>0</v>
      </c>
      <c r="S2522" s="51" t="s">
        <v>2376</v>
      </c>
      <c r="T2522" s="51" t="s">
        <v>2376</v>
      </c>
      <c r="U2522" s="0" t="str">
        <f aca="false">"5060458890191"</f>
        <v>5060458890191</v>
      </c>
      <c r="V2522" s="51" t="s">
        <v>2142</v>
      </c>
      <c r="W2522" s="51" t="s">
        <v>4376</v>
      </c>
      <c r="X2522" s="51" t="s">
        <v>2359</v>
      </c>
    </row>
    <row r="2523" customFormat="false" ht="14.25" hidden="true" customHeight="false" outlineLevel="0" collapsed="false">
      <c r="A2523" s="49" t="s">
        <v>2349</v>
      </c>
      <c r="B2523" s="49" t="s">
        <v>2350</v>
      </c>
      <c r="C2523" s="49" t="s">
        <v>5583</v>
      </c>
      <c r="D2523" s="49" t="s">
        <v>2352</v>
      </c>
      <c r="E2523" s="49" t="str">
        <f aca="false">"5060458890191"</f>
        <v>5060458890191</v>
      </c>
      <c r="F2523" s="49" t="s">
        <v>3656</v>
      </c>
      <c r="G2523" s="49" t="n">
        <v>0</v>
      </c>
      <c r="H2523" s="0" t="n">
        <v>0</v>
      </c>
      <c r="M2523" s="51" t="s">
        <v>5573</v>
      </c>
      <c r="N2523" s="49" t="n">
        <v>0</v>
      </c>
      <c r="O2523" s="53" t="n">
        <v>45732.5736226852</v>
      </c>
      <c r="P2523" s="53" t="n">
        <v>45740.9986689815</v>
      </c>
      <c r="Q2523" s="53" t="n">
        <v>45732.5736226852</v>
      </c>
      <c r="R2523" s="0" t="n">
        <v>0</v>
      </c>
      <c r="S2523" s="51" t="s">
        <v>2376</v>
      </c>
      <c r="T2523" s="51" t="s">
        <v>2376</v>
      </c>
      <c r="U2523" s="0" t="str">
        <f aca="false">"5060458890191"</f>
        <v>5060458890191</v>
      </c>
      <c r="V2523" s="51" t="s">
        <v>2142</v>
      </c>
      <c r="W2523" s="51" t="s">
        <v>4380</v>
      </c>
      <c r="X2523" s="51" t="s">
        <v>2359</v>
      </c>
    </row>
    <row r="2524" customFormat="false" ht="14.25" hidden="true" customHeight="false" outlineLevel="0" collapsed="false">
      <c r="A2524" s="49" t="s">
        <v>2349</v>
      </c>
      <c r="B2524" s="49" t="s">
        <v>2350</v>
      </c>
      <c r="C2524" s="49" t="s">
        <v>5584</v>
      </c>
      <c r="D2524" s="49" t="s">
        <v>2352</v>
      </c>
      <c r="E2524" s="49" t="str">
        <f aca="false">"5060458890191"</f>
        <v>5060458890191</v>
      </c>
      <c r="F2524" s="49" t="s">
        <v>3656</v>
      </c>
      <c r="G2524" s="49" t="n">
        <v>0</v>
      </c>
      <c r="H2524" s="0" t="n">
        <v>0</v>
      </c>
      <c r="M2524" s="51" t="s">
        <v>5573</v>
      </c>
      <c r="N2524" s="49" t="n">
        <v>0</v>
      </c>
      <c r="O2524" s="53" t="n">
        <v>45732.5738541667</v>
      </c>
      <c r="P2524" s="53" t="n">
        <v>45734.6170601852</v>
      </c>
      <c r="Q2524" s="53" t="n">
        <v>45732.5738541667</v>
      </c>
      <c r="R2524" s="0" t="n">
        <v>0</v>
      </c>
      <c r="S2524" s="51" t="s">
        <v>2376</v>
      </c>
      <c r="T2524" s="51" t="s">
        <v>2376</v>
      </c>
      <c r="U2524" s="0" t="str">
        <f aca="false">"5060458890191"</f>
        <v>5060458890191</v>
      </c>
      <c r="V2524" s="51" t="s">
        <v>2142</v>
      </c>
      <c r="W2524" s="51" t="s">
        <v>4681</v>
      </c>
      <c r="X2524" s="51" t="s">
        <v>2359</v>
      </c>
    </row>
    <row r="2525" customFormat="false" ht="14.25" hidden="true" customHeight="false" outlineLevel="0" collapsed="false">
      <c r="A2525" s="49" t="s">
        <v>2349</v>
      </c>
      <c r="B2525" s="49" t="s">
        <v>2350</v>
      </c>
      <c r="C2525" s="49" t="s">
        <v>5585</v>
      </c>
      <c r="D2525" s="49" t="s">
        <v>2352</v>
      </c>
      <c r="E2525" s="49" t="str">
        <f aca="false">"5060458890191"</f>
        <v>5060458890191</v>
      </c>
      <c r="F2525" s="49" t="s">
        <v>3656</v>
      </c>
      <c r="G2525" s="49" t="n">
        <v>0</v>
      </c>
      <c r="H2525" s="0" t="n">
        <v>0</v>
      </c>
      <c r="M2525" s="51" t="s">
        <v>5573</v>
      </c>
      <c r="N2525" s="49" t="n">
        <v>0</v>
      </c>
      <c r="O2525" s="53" t="n">
        <v>45732.5739814815</v>
      </c>
      <c r="P2525" s="53" t="n">
        <v>45740.9993055556</v>
      </c>
      <c r="Q2525" s="53" t="n">
        <v>45732.5739814815</v>
      </c>
      <c r="R2525" s="0" t="n">
        <v>0</v>
      </c>
      <c r="S2525" s="51" t="s">
        <v>2376</v>
      </c>
      <c r="T2525" s="51" t="s">
        <v>2376</v>
      </c>
      <c r="U2525" s="0" t="str">
        <f aca="false">"5060458890191"</f>
        <v>5060458890191</v>
      </c>
      <c r="V2525" s="51" t="s">
        <v>2142</v>
      </c>
      <c r="W2525" s="51" t="s">
        <v>4395</v>
      </c>
      <c r="X2525" s="51" t="s">
        <v>2359</v>
      </c>
    </row>
    <row r="2526" customFormat="false" ht="14.25" hidden="true" customHeight="false" outlineLevel="0" collapsed="false">
      <c r="A2526" s="49" t="s">
        <v>2349</v>
      </c>
      <c r="B2526" s="49" t="s">
        <v>2350</v>
      </c>
      <c r="C2526" s="49" t="s">
        <v>5586</v>
      </c>
      <c r="D2526" s="49" t="s">
        <v>2352</v>
      </c>
      <c r="E2526" s="49" t="str">
        <f aca="false">"5060458890191"</f>
        <v>5060458890191</v>
      </c>
      <c r="F2526" s="49" t="s">
        <v>3656</v>
      </c>
      <c r="G2526" s="49" t="n">
        <v>0</v>
      </c>
      <c r="H2526" s="0" t="n">
        <v>0</v>
      </c>
      <c r="M2526" s="51" t="s">
        <v>5573</v>
      </c>
      <c r="N2526" s="49" t="n">
        <v>0</v>
      </c>
      <c r="O2526" s="53" t="n">
        <v>45732.5741087963</v>
      </c>
      <c r="P2526" s="53" t="n">
        <v>45740.9972569444</v>
      </c>
      <c r="Q2526" s="53" t="n">
        <v>45732.5741087963</v>
      </c>
      <c r="R2526" s="0" t="n">
        <v>0</v>
      </c>
      <c r="S2526" s="51" t="s">
        <v>2376</v>
      </c>
      <c r="T2526" s="51" t="s">
        <v>2376</v>
      </c>
      <c r="U2526" s="0" t="str">
        <f aca="false">"5060458890191"</f>
        <v>5060458890191</v>
      </c>
      <c r="V2526" s="51" t="s">
        <v>2142</v>
      </c>
      <c r="W2526" s="51" t="s">
        <v>4393</v>
      </c>
      <c r="X2526" s="51" t="s">
        <v>2359</v>
      </c>
    </row>
    <row r="2527" customFormat="false" ht="14.25" hidden="true" customHeight="false" outlineLevel="0" collapsed="false">
      <c r="A2527" s="49" t="s">
        <v>2349</v>
      </c>
      <c r="B2527" s="49" t="s">
        <v>2350</v>
      </c>
      <c r="C2527" s="49" t="s">
        <v>5587</v>
      </c>
      <c r="D2527" s="49" t="s">
        <v>2352</v>
      </c>
      <c r="E2527" s="49" t="str">
        <f aca="false">"5060458890191"</f>
        <v>5060458890191</v>
      </c>
      <c r="F2527" s="49" t="s">
        <v>3656</v>
      </c>
      <c r="G2527" s="49" t="n">
        <v>0</v>
      </c>
      <c r="H2527" s="0" t="n">
        <v>0</v>
      </c>
      <c r="M2527" s="51" t="s">
        <v>5573</v>
      </c>
      <c r="N2527" s="49" t="n">
        <v>0</v>
      </c>
      <c r="O2527" s="53" t="n">
        <v>45732.5742361111</v>
      </c>
      <c r="P2527" s="53" t="n">
        <v>45740.9980555556</v>
      </c>
      <c r="Q2527" s="53" t="n">
        <v>45732.5742361111</v>
      </c>
      <c r="R2527" s="0" t="n">
        <v>0</v>
      </c>
      <c r="S2527" s="51" t="s">
        <v>2376</v>
      </c>
      <c r="T2527" s="51" t="s">
        <v>2376</v>
      </c>
      <c r="U2527" s="0" t="str">
        <f aca="false">"5060458890191"</f>
        <v>5060458890191</v>
      </c>
      <c r="V2527" s="51" t="s">
        <v>2142</v>
      </c>
      <c r="W2527" s="51" t="s">
        <v>4391</v>
      </c>
      <c r="X2527" s="51" t="s">
        <v>2359</v>
      </c>
    </row>
    <row r="2528" customFormat="false" ht="14.25" hidden="true" customHeight="false" outlineLevel="0" collapsed="false">
      <c r="A2528" s="49" t="s">
        <v>2349</v>
      </c>
      <c r="B2528" s="49" t="s">
        <v>2350</v>
      </c>
      <c r="C2528" s="49" t="s">
        <v>5588</v>
      </c>
      <c r="D2528" s="49" t="s">
        <v>2352</v>
      </c>
      <c r="E2528" s="49" t="str">
        <f aca="false">"5060458890191"</f>
        <v>5060458890191</v>
      </c>
      <c r="F2528" s="49" t="s">
        <v>3656</v>
      </c>
      <c r="G2528" s="49" t="n">
        <v>0</v>
      </c>
      <c r="H2528" s="0" t="n">
        <v>0</v>
      </c>
      <c r="M2528" s="51" t="s">
        <v>5573</v>
      </c>
      <c r="N2528" s="49" t="n">
        <v>0</v>
      </c>
      <c r="O2528" s="53" t="n">
        <v>45732.5746643519</v>
      </c>
      <c r="P2528" s="53" t="n">
        <v>45741.0033333333</v>
      </c>
      <c r="Q2528" s="53" t="n">
        <v>45732.5746643519</v>
      </c>
      <c r="R2528" s="0" t="n">
        <v>0</v>
      </c>
      <c r="S2528" s="51" t="s">
        <v>2376</v>
      </c>
      <c r="T2528" s="51" t="s">
        <v>2376</v>
      </c>
      <c r="U2528" s="0" t="str">
        <f aca="false">"5060458890191"</f>
        <v>5060458890191</v>
      </c>
      <c r="V2528" s="51" t="s">
        <v>2142</v>
      </c>
      <c r="W2528" s="51" t="s">
        <v>4295</v>
      </c>
      <c r="X2528" s="51" t="s">
        <v>2359</v>
      </c>
    </row>
    <row r="2529" customFormat="false" ht="14.25" hidden="true" customHeight="false" outlineLevel="0" collapsed="false">
      <c r="A2529" s="49" t="s">
        <v>2349</v>
      </c>
      <c r="B2529" s="49" t="s">
        <v>2350</v>
      </c>
      <c r="C2529" s="49" t="s">
        <v>5589</v>
      </c>
      <c r="D2529" s="49" t="s">
        <v>2352</v>
      </c>
      <c r="E2529" s="49" t="str">
        <f aca="false">"5060458890191"</f>
        <v>5060458890191</v>
      </c>
      <c r="F2529" s="49" t="s">
        <v>3656</v>
      </c>
      <c r="G2529" s="49" t="n">
        <v>0</v>
      </c>
      <c r="H2529" s="0" t="n">
        <v>0</v>
      </c>
      <c r="M2529" s="51" t="s">
        <v>5573</v>
      </c>
      <c r="N2529" s="49" t="n">
        <v>0</v>
      </c>
      <c r="O2529" s="53" t="n">
        <v>45732.5749537037</v>
      </c>
      <c r="P2529" s="53" t="n">
        <v>45750.6273611111</v>
      </c>
      <c r="Q2529" s="53" t="n">
        <v>45732.5749537037</v>
      </c>
      <c r="R2529" s="0" t="n">
        <v>0</v>
      </c>
      <c r="S2529" s="51" t="s">
        <v>2376</v>
      </c>
      <c r="T2529" s="51" t="s">
        <v>2376</v>
      </c>
      <c r="U2529" s="0" t="str">
        <f aca="false">"5060458890191"</f>
        <v>5060458890191</v>
      </c>
      <c r="V2529" s="51" t="s">
        <v>2142</v>
      </c>
      <c r="W2529" s="51" t="s">
        <v>4319</v>
      </c>
      <c r="X2529" s="51" t="s">
        <v>2359</v>
      </c>
    </row>
    <row r="2530" customFormat="false" ht="14.25" hidden="true" customHeight="false" outlineLevel="0" collapsed="false">
      <c r="A2530" s="49" t="s">
        <v>2349</v>
      </c>
      <c r="B2530" s="49" t="s">
        <v>2350</v>
      </c>
      <c r="C2530" s="49" t="s">
        <v>5590</v>
      </c>
      <c r="D2530" s="49" t="s">
        <v>2352</v>
      </c>
      <c r="E2530" s="49" t="str">
        <f aca="false">"5060458890191"</f>
        <v>5060458890191</v>
      </c>
      <c r="F2530" s="49" t="s">
        <v>3656</v>
      </c>
      <c r="G2530" s="49" t="n">
        <v>0</v>
      </c>
      <c r="H2530" s="0" t="n">
        <v>0</v>
      </c>
      <c r="M2530" s="51" t="s">
        <v>5573</v>
      </c>
      <c r="N2530" s="49" t="n">
        <v>0</v>
      </c>
      <c r="O2530" s="53" t="n">
        <v>45732.5868865741</v>
      </c>
      <c r="P2530" s="53" t="n">
        <v>45741.0061689815</v>
      </c>
      <c r="Q2530" s="53" t="n">
        <v>45732.5868865741</v>
      </c>
      <c r="R2530" s="0" t="n">
        <v>0</v>
      </c>
      <c r="S2530" s="51" t="s">
        <v>2376</v>
      </c>
      <c r="T2530" s="51" t="s">
        <v>2376</v>
      </c>
      <c r="U2530" s="0" t="str">
        <f aca="false">"5060458890191"</f>
        <v>5060458890191</v>
      </c>
      <c r="V2530" s="51" t="s">
        <v>2142</v>
      </c>
      <c r="W2530" s="51" t="s">
        <v>4303</v>
      </c>
      <c r="X2530" s="51" t="s">
        <v>2359</v>
      </c>
    </row>
    <row r="2531" customFormat="false" ht="14.25" hidden="true" customHeight="false" outlineLevel="0" collapsed="false">
      <c r="A2531" s="49" t="s">
        <v>2349</v>
      </c>
      <c r="B2531" s="49" t="s">
        <v>2350</v>
      </c>
      <c r="C2531" s="49" t="s">
        <v>5591</v>
      </c>
      <c r="D2531" s="49" t="s">
        <v>2352</v>
      </c>
      <c r="E2531" s="49" t="str">
        <f aca="false">"5060458890191"</f>
        <v>5060458890191</v>
      </c>
      <c r="F2531" s="49" t="s">
        <v>3656</v>
      </c>
      <c r="G2531" s="49" t="n">
        <v>0</v>
      </c>
      <c r="H2531" s="0" t="n">
        <v>0</v>
      </c>
      <c r="M2531" s="51" t="s">
        <v>5573</v>
      </c>
      <c r="N2531" s="49" t="n">
        <v>0</v>
      </c>
      <c r="O2531" s="53" t="n">
        <v>45732.587025463</v>
      </c>
      <c r="P2531" s="53" t="n">
        <v>45734.9226736111</v>
      </c>
      <c r="Q2531" s="53" t="n">
        <v>45732.587025463</v>
      </c>
      <c r="R2531" s="0" t="n">
        <v>0</v>
      </c>
      <c r="S2531" s="51" t="s">
        <v>2376</v>
      </c>
      <c r="T2531" s="51" t="s">
        <v>2376</v>
      </c>
      <c r="U2531" s="0" t="str">
        <f aca="false">"5060458890191"</f>
        <v>5060458890191</v>
      </c>
      <c r="V2531" s="51" t="s">
        <v>2142</v>
      </c>
      <c r="W2531" s="51" t="s">
        <v>5068</v>
      </c>
      <c r="X2531" s="51" t="s">
        <v>2359</v>
      </c>
    </row>
    <row r="2532" customFormat="false" ht="14.25" hidden="true" customHeight="false" outlineLevel="0" collapsed="false">
      <c r="A2532" s="49" t="s">
        <v>2349</v>
      </c>
      <c r="B2532" s="49" t="s">
        <v>2350</v>
      </c>
      <c r="C2532" s="49" t="s">
        <v>5592</v>
      </c>
      <c r="D2532" s="49" t="s">
        <v>2352</v>
      </c>
      <c r="E2532" s="49" t="str">
        <f aca="false">"5060458890191"</f>
        <v>5060458890191</v>
      </c>
      <c r="F2532" s="49" t="s">
        <v>3656</v>
      </c>
      <c r="G2532" s="49" t="n">
        <v>0</v>
      </c>
      <c r="H2532" s="0" t="n">
        <v>0</v>
      </c>
      <c r="M2532" s="51" t="s">
        <v>5573</v>
      </c>
      <c r="N2532" s="49" t="n">
        <v>0</v>
      </c>
      <c r="O2532" s="53" t="n">
        <v>45732.5872106482</v>
      </c>
      <c r="P2532" s="53" t="n">
        <v>45734.9245138889</v>
      </c>
      <c r="Q2532" s="53" t="n">
        <v>45732.5872106482</v>
      </c>
      <c r="R2532" s="0" t="n">
        <v>0</v>
      </c>
      <c r="S2532" s="51" t="s">
        <v>2376</v>
      </c>
      <c r="T2532" s="51" t="s">
        <v>2376</v>
      </c>
      <c r="U2532" s="0" t="str">
        <f aca="false">"5060458890191"</f>
        <v>5060458890191</v>
      </c>
      <c r="V2532" s="51" t="s">
        <v>2142</v>
      </c>
      <c r="W2532" s="51" t="s">
        <v>4338</v>
      </c>
      <c r="X2532" s="51" t="s">
        <v>2359</v>
      </c>
    </row>
    <row r="2533" customFormat="false" ht="14.25" hidden="true" customHeight="false" outlineLevel="0" collapsed="false">
      <c r="A2533" s="49" t="s">
        <v>2349</v>
      </c>
      <c r="B2533" s="49" t="s">
        <v>2350</v>
      </c>
      <c r="C2533" s="49" t="s">
        <v>5593</v>
      </c>
      <c r="D2533" s="49" t="s">
        <v>2352</v>
      </c>
      <c r="E2533" s="49" t="str">
        <f aca="false">"5060458890191"</f>
        <v>5060458890191</v>
      </c>
      <c r="F2533" s="49" t="s">
        <v>3656</v>
      </c>
      <c r="G2533" s="49" t="n">
        <v>0</v>
      </c>
      <c r="H2533" s="0" t="n">
        <v>0</v>
      </c>
      <c r="M2533" s="51" t="s">
        <v>5573</v>
      </c>
      <c r="N2533" s="49" t="n">
        <v>0</v>
      </c>
      <c r="O2533" s="53" t="n">
        <v>45732.5873842593</v>
      </c>
      <c r="P2533" s="53" t="n">
        <v>45742.4870833333</v>
      </c>
      <c r="Q2533" s="53" t="n">
        <v>45732.5873842593</v>
      </c>
      <c r="R2533" s="0" t="n">
        <v>0</v>
      </c>
      <c r="S2533" s="51" t="s">
        <v>2376</v>
      </c>
      <c r="T2533" s="51" t="s">
        <v>2376</v>
      </c>
      <c r="U2533" s="0" t="str">
        <f aca="false">"5060458890191"</f>
        <v>5060458890191</v>
      </c>
      <c r="V2533" s="51" t="s">
        <v>2142</v>
      </c>
      <c r="W2533" s="51" t="s">
        <v>4326</v>
      </c>
      <c r="X2533" s="51" t="s">
        <v>2359</v>
      </c>
    </row>
    <row r="2534" customFormat="false" ht="14.25" hidden="true" customHeight="false" outlineLevel="0" collapsed="false">
      <c r="A2534" s="49" t="s">
        <v>2349</v>
      </c>
      <c r="B2534" s="49" t="s">
        <v>2350</v>
      </c>
      <c r="C2534" s="49" t="s">
        <v>5594</v>
      </c>
      <c r="D2534" s="49" t="s">
        <v>2352</v>
      </c>
      <c r="E2534" s="49" t="str">
        <f aca="false">"5060458890191"</f>
        <v>5060458890191</v>
      </c>
      <c r="F2534" s="49" t="s">
        <v>3656</v>
      </c>
      <c r="G2534" s="49" t="n">
        <v>0</v>
      </c>
      <c r="H2534" s="0" t="n">
        <v>0</v>
      </c>
      <c r="M2534" s="51" t="s">
        <v>5573</v>
      </c>
      <c r="N2534" s="49" t="n">
        <v>0</v>
      </c>
      <c r="O2534" s="53" t="n">
        <v>45732.5875347222</v>
      </c>
      <c r="P2534" s="53" t="n">
        <v>45741.0043865741</v>
      </c>
      <c r="Q2534" s="53" t="n">
        <v>45732.5875347222</v>
      </c>
      <c r="R2534" s="0" t="n">
        <v>0</v>
      </c>
      <c r="S2534" s="51" t="s">
        <v>2376</v>
      </c>
      <c r="T2534" s="51" t="s">
        <v>2376</v>
      </c>
      <c r="U2534" s="0" t="str">
        <f aca="false">"5060458890191"</f>
        <v>5060458890191</v>
      </c>
      <c r="V2534" s="51" t="s">
        <v>2142</v>
      </c>
      <c r="W2534" s="51" t="s">
        <v>4421</v>
      </c>
      <c r="X2534" s="51" t="s">
        <v>2359</v>
      </c>
    </row>
    <row r="2535" customFormat="false" ht="14.25" hidden="true" customHeight="false" outlineLevel="0" collapsed="false">
      <c r="A2535" s="49" t="s">
        <v>2349</v>
      </c>
      <c r="B2535" s="49" t="s">
        <v>2350</v>
      </c>
      <c r="C2535" s="49" t="s">
        <v>5595</v>
      </c>
      <c r="D2535" s="49" t="s">
        <v>2352</v>
      </c>
      <c r="E2535" s="49" t="str">
        <f aca="false">"5060458890191"</f>
        <v>5060458890191</v>
      </c>
      <c r="F2535" s="49" t="s">
        <v>3656</v>
      </c>
      <c r="G2535" s="49" t="n">
        <v>0</v>
      </c>
      <c r="H2535" s="0" t="n">
        <v>0</v>
      </c>
      <c r="M2535" s="51" t="s">
        <v>5573</v>
      </c>
      <c r="N2535" s="49" t="n">
        <v>0</v>
      </c>
      <c r="O2535" s="53" t="n">
        <v>45732.5886574074</v>
      </c>
      <c r="P2535" s="53" t="n">
        <v>45734.9211458333</v>
      </c>
      <c r="Q2535" s="53" t="n">
        <v>45732.5886574074</v>
      </c>
      <c r="R2535" s="0" t="n">
        <v>0</v>
      </c>
      <c r="S2535" s="51" t="s">
        <v>2376</v>
      </c>
      <c r="T2535" s="51" t="s">
        <v>2376</v>
      </c>
      <c r="U2535" s="0" t="str">
        <f aca="false">"5060458890191"</f>
        <v>5060458890191</v>
      </c>
      <c r="V2535" s="51" t="s">
        <v>2142</v>
      </c>
      <c r="W2535" s="51" t="s">
        <v>4385</v>
      </c>
      <c r="X2535" s="51" t="s">
        <v>2359</v>
      </c>
    </row>
    <row r="2536" customFormat="false" ht="14.25" hidden="true" customHeight="false" outlineLevel="0" collapsed="false">
      <c r="A2536" s="49" t="s">
        <v>2349</v>
      </c>
      <c r="B2536" s="49" t="s">
        <v>2350</v>
      </c>
      <c r="C2536" s="49" t="s">
        <v>5596</v>
      </c>
      <c r="D2536" s="49" t="s">
        <v>2352</v>
      </c>
      <c r="E2536" s="49" t="str">
        <f aca="false">"5060458890191"</f>
        <v>5060458890191</v>
      </c>
      <c r="F2536" s="49" t="s">
        <v>3656</v>
      </c>
      <c r="G2536" s="49" t="n">
        <v>0</v>
      </c>
      <c r="H2536" s="0" t="n">
        <v>0</v>
      </c>
      <c r="M2536" s="51" t="s">
        <v>5573</v>
      </c>
      <c r="N2536" s="49" t="n">
        <v>0</v>
      </c>
      <c r="O2536" s="53" t="n">
        <v>45732.5887847222</v>
      </c>
      <c r="P2536" s="53" t="n">
        <v>45739.027962963</v>
      </c>
      <c r="Q2536" s="53" t="n">
        <v>45732.5887847222</v>
      </c>
      <c r="R2536" s="0" t="n">
        <v>0</v>
      </c>
      <c r="S2536" s="51" t="s">
        <v>2376</v>
      </c>
      <c r="T2536" s="51" t="s">
        <v>2376</v>
      </c>
      <c r="U2536" s="0" t="str">
        <f aca="false">"5060458890191"</f>
        <v>5060458890191</v>
      </c>
      <c r="V2536" s="51" t="s">
        <v>2142</v>
      </c>
      <c r="W2536" s="51" t="s">
        <v>4389</v>
      </c>
      <c r="X2536" s="51" t="s">
        <v>2359</v>
      </c>
    </row>
    <row r="2537" customFormat="false" ht="14.25" hidden="true" customHeight="false" outlineLevel="0" collapsed="false">
      <c r="A2537" s="49" t="s">
        <v>2349</v>
      </c>
      <c r="B2537" s="49" t="s">
        <v>2350</v>
      </c>
      <c r="C2537" s="49" t="s">
        <v>5597</v>
      </c>
      <c r="D2537" s="49" t="s">
        <v>2352</v>
      </c>
      <c r="E2537" s="49" t="str">
        <f aca="false">"5060458890191"</f>
        <v>5060458890191</v>
      </c>
      <c r="F2537" s="49" t="s">
        <v>3656</v>
      </c>
      <c r="G2537" s="49" t="n">
        <v>0</v>
      </c>
      <c r="H2537" s="0" t="n">
        <v>0</v>
      </c>
      <c r="M2537" s="51" t="s">
        <v>5573</v>
      </c>
      <c r="N2537" s="49" t="n">
        <v>0</v>
      </c>
      <c r="O2537" s="53" t="n">
        <v>45732.5889236111</v>
      </c>
      <c r="P2537" s="53" t="n">
        <v>45741.0020717593</v>
      </c>
      <c r="Q2537" s="53" t="n">
        <v>45732.5889236111</v>
      </c>
      <c r="R2537" s="0" t="n">
        <v>0</v>
      </c>
      <c r="S2537" s="51" t="s">
        <v>2376</v>
      </c>
      <c r="T2537" s="51" t="s">
        <v>2376</v>
      </c>
      <c r="U2537" s="0" t="str">
        <f aca="false">"5060458890191"</f>
        <v>5060458890191</v>
      </c>
      <c r="V2537" s="51" t="s">
        <v>2142</v>
      </c>
      <c r="W2537" s="51" t="s">
        <v>4378</v>
      </c>
      <c r="X2537" s="51" t="s">
        <v>2359</v>
      </c>
    </row>
    <row r="2538" customFormat="false" ht="14.25" hidden="true" customHeight="false" outlineLevel="0" collapsed="false">
      <c r="A2538" s="49" t="s">
        <v>2349</v>
      </c>
      <c r="B2538" s="49" t="s">
        <v>2350</v>
      </c>
      <c r="C2538" s="49" t="s">
        <v>5598</v>
      </c>
      <c r="D2538" s="49" t="s">
        <v>2352</v>
      </c>
      <c r="E2538" s="49" t="str">
        <f aca="false">"5060458890191"</f>
        <v>5060458890191</v>
      </c>
      <c r="F2538" s="49" t="s">
        <v>3656</v>
      </c>
      <c r="G2538" s="49" t="n">
        <v>0</v>
      </c>
      <c r="H2538" s="0" t="n">
        <v>0</v>
      </c>
      <c r="M2538" s="51" t="s">
        <v>5573</v>
      </c>
      <c r="N2538" s="49" t="n">
        <v>0</v>
      </c>
      <c r="O2538" s="53" t="n">
        <v>45732.5890393519</v>
      </c>
      <c r="P2538" s="53" t="n">
        <v>45750.6271527778</v>
      </c>
      <c r="Q2538" s="53" t="n">
        <v>45732.5890393519</v>
      </c>
      <c r="R2538" s="0" t="n">
        <v>0</v>
      </c>
      <c r="S2538" s="51" t="s">
        <v>2376</v>
      </c>
      <c r="T2538" s="51" t="s">
        <v>2376</v>
      </c>
      <c r="U2538" s="0" t="str">
        <f aca="false">"5060458890191"</f>
        <v>5060458890191</v>
      </c>
      <c r="V2538" s="51" t="s">
        <v>2142</v>
      </c>
      <c r="W2538" s="51" t="s">
        <v>4332</v>
      </c>
      <c r="X2538" s="51" t="s">
        <v>2359</v>
      </c>
    </row>
    <row r="2539" customFormat="false" ht="14.25" hidden="true" customHeight="false" outlineLevel="0" collapsed="false">
      <c r="A2539" s="49" t="s">
        <v>2349</v>
      </c>
      <c r="B2539" s="49" t="s">
        <v>2350</v>
      </c>
      <c r="C2539" s="49" t="s">
        <v>5599</v>
      </c>
      <c r="D2539" s="49" t="s">
        <v>2352</v>
      </c>
      <c r="E2539" s="49" t="str">
        <f aca="false">"5060458890191"</f>
        <v>5060458890191</v>
      </c>
      <c r="F2539" s="49" t="s">
        <v>3656</v>
      </c>
      <c r="G2539" s="49" t="n">
        <v>0</v>
      </c>
      <c r="H2539" s="0" t="n">
        <v>0</v>
      </c>
      <c r="M2539" s="51" t="s">
        <v>5573</v>
      </c>
      <c r="N2539" s="49" t="n">
        <v>0</v>
      </c>
      <c r="O2539" s="53" t="n">
        <v>45732.5891550926</v>
      </c>
      <c r="P2539" s="53" t="n">
        <v>45741.0121064815</v>
      </c>
      <c r="Q2539" s="53" t="n">
        <v>45732.5891550926</v>
      </c>
      <c r="R2539" s="0" t="n">
        <v>0</v>
      </c>
      <c r="S2539" s="51" t="s">
        <v>2376</v>
      </c>
      <c r="T2539" s="51" t="s">
        <v>2376</v>
      </c>
      <c r="U2539" s="0" t="str">
        <f aca="false">"5060458890191"</f>
        <v>5060458890191</v>
      </c>
      <c r="V2539" s="51" t="s">
        <v>2142</v>
      </c>
      <c r="W2539" s="51" t="s">
        <v>5065</v>
      </c>
      <c r="X2539" s="51" t="s">
        <v>2359</v>
      </c>
    </row>
    <row r="2540" customFormat="false" ht="14.25" hidden="true" customHeight="false" outlineLevel="0" collapsed="false">
      <c r="A2540" s="49" t="s">
        <v>2349</v>
      </c>
      <c r="B2540" s="49" t="s">
        <v>2350</v>
      </c>
      <c r="C2540" s="49" t="s">
        <v>5600</v>
      </c>
      <c r="D2540" s="49" t="s">
        <v>2352</v>
      </c>
      <c r="E2540" s="49" t="str">
        <f aca="false">"5060458890191"</f>
        <v>5060458890191</v>
      </c>
      <c r="F2540" s="49" t="s">
        <v>3656</v>
      </c>
      <c r="G2540" s="49" t="n">
        <v>0</v>
      </c>
      <c r="H2540" s="0" t="n">
        <v>0</v>
      </c>
      <c r="M2540" s="51" t="s">
        <v>5573</v>
      </c>
      <c r="N2540" s="49" t="n">
        <v>0</v>
      </c>
      <c r="O2540" s="53" t="n">
        <v>45732.5892824074</v>
      </c>
      <c r="P2540" s="53" t="n">
        <v>45734.9262268519</v>
      </c>
      <c r="Q2540" s="53" t="n">
        <v>45732.5892824074</v>
      </c>
      <c r="R2540" s="0" t="n">
        <v>0</v>
      </c>
      <c r="S2540" s="51" t="s">
        <v>2376</v>
      </c>
      <c r="T2540" s="51" t="s">
        <v>2376</v>
      </c>
      <c r="U2540" s="0" t="str">
        <f aca="false">"5060458890191"</f>
        <v>5060458890191</v>
      </c>
      <c r="V2540" s="51" t="s">
        <v>2142</v>
      </c>
      <c r="W2540" s="51" t="s">
        <v>5085</v>
      </c>
      <c r="X2540" s="51" t="s">
        <v>2359</v>
      </c>
    </row>
    <row r="2541" customFormat="false" ht="14.25" hidden="true" customHeight="false" outlineLevel="0" collapsed="false">
      <c r="A2541" s="49" t="s">
        <v>2349</v>
      </c>
      <c r="B2541" s="49" t="s">
        <v>2350</v>
      </c>
      <c r="C2541" s="49" t="s">
        <v>5601</v>
      </c>
      <c r="D2541" s="49" t="s">
        <v>2352</v>
      </c>
      <c r="E2541" s="49" t="str">
        <f aca="false">"5060458890191"</f>
        <v>5060458890191</v>
      </c>
      <c r="F2541" s="49" t="s">
        <v>3656</v>
      </c>
      <c r="G2541" s="49" t="n">
        <v>0</v>
      </c>
      <c r="H2541" s="0" t="n">
        <v>0</v>
      </c>
      <c r="M2541" s="51" t="s">
        <v>5573</v>
      </c>
      <c r="N2541" s="49" t="n">
        <v>0</v>
      </c>
      <c r="O2541" s="53" t="n">
        <v>45732.5894328704</v>
      </c>
      <c r="P2541" s="53" t="n">
        <v>45734.9269791667</v>
      </c>
      <c r="Q2541" s="53" t="n">
        <v>45732.5894328704</v>
      </c>
      <c r="R2541" s="0" t="n">
        <v>0</v>
      </c>
      <c r="S2541" s="51" t="s">
        <v>2376</v>
      </c>
      <c r="T2541" s="51" t="s">
        <v>2376</v>
      </c>
      <c r="U2541" s="0" t="str">
        <f aca="false">"5060458890191"</f>
        <v>5060458890191</v>
      </c>
      <c r="V2541" s="51" t="s">
        <v>2142</v>
      </c>
      <c r="W2541" s="51" t="s">
        <v>4347</v>
      </c>
      <c r="X2541" s="51" t="s">
        <v>2359</v>
      </c>
    </row>
    <row r="2542" customFormat="false" ht="14.25" hidden="true" customHeight="false" outlineLevel="0" collapsed="false">
      <c r="A2542" s="49" t="s">
        <v>2349</v>
      </c>
      <c r="B2542" s="49" t="s">
        <v>2350</v>
      </c>
      <c r="C2542" s="49" t="s">
        <v>5602</v>
      </c>
      <c r="D2542" s="49" t="s">
        <v>2352</v>
      </c>
      <c r="E2542" s="49" t="str">
        <f aca="false">"10074865055175"</f>
        <v>10074865055175</v>
      </c>
      <c r="F2542" s="49" t="s">
        <v>5090</v>
      </c>
      <c r="G2542" s="49" t="n">
        <v>0</v>
      </c>
      <c r="H2542" s="0" t="n">
        <v>0</v>
      </c>
      <c r="M2542" s="51" t="s">
        <v>5603</v>
      </c>
      <c r="N2542" s="49" t="n">
        <v>0</v>
      </c>
      <c r="O2542" s="53" t="n">
        <v>45721.6187731482</v>
      </c>
      <c r="P2542" s="53" t="n">
        <v>45750.6399074074</v>
      </c>
      <c r="Q2542" s="53" t="n">
        <v>45721.6187731482</v>
      </c>
      <c r="R2542" s="0" t="n">
        <v>0</v>
      </c>
      <c r="S2542" s="51" t="s">
        <v>2376</v>
      </c>
      <c r="T2542" s="51" t="s">
        <v>2376</v>
      </c>
      <c r="U2542" s="0" t="str">
        <f aca="false">"10074865055175"</f>
        <v>10074865055175</v>
      </c>
      <c r="V2542" s="51" t="s">
        <v>2365</v>
      </c>
      <c r="W2542" s="51" t="s">
        <v>5604</v>
      </c>
      <c r="X2542" s="51" t="s">
        <v>2359</v>
      </c>
    </row>
    <row r="2543" customFormat="false" ht="14.25" hidden="true" customHeight="false" outlineLevel="0" collapsed="false">
      <c r="A2543" s="49" t="s">
        <v>2349</v>
      </c>
      <c r="B2543" s="49" t="s">
        <v>2350</v>
      </c>
      <c r="C2543" s="49" t="s">
        <v>5605</v>
      </c>
      <c r="D2543" s="49" t="s">
        <v>2352</v>
      </c>
      <c r="E2543" s="49" t="str">
        <f aca="false">"10074865055175"</f>
        <v>10074865055175</v>
      </c>
      <c r="F2543" s="49" t="s">
        <v>5090</v>
      </c>
      <c r="G2543" s="49" t="n">
        <v>0</v>
      </c>
      <c r="H2543" s="0" t="n">
        <v>0</v>
      </c>
      <c r="M2543" s="51" t="s">
        <v>5603</v>
      </c>
      <c r="N2543" s="49" t="n">
        <v>0</v>
      </c>
      <c r="O2543" s="53" t="n">
        <v>45721.6189930556</v>
      </c>
      <c r="P2543" s="53" t="n">
        <v>45750.6321527778</v>
      </c>
      <c r="Q2543" s="53" t="n">
        <v>45721.6189930556</v>
      </c>
      <c r="R2543" s="0" t="n">
        <v>0</v>
      </c>
      <c r="S2543" s="51" t="s">
        <v>2376</v>
      </c>
      <c r="T2543" s="51" t="s">
        <v>2376</v>
      </c>
      <c r="U2543" s="0" t="str">
        <f aca="false">"10074865055175"</f>
        <v>10074865055175</v>
      </c>
      <c r="V2543" s="51" t="s">
        <v>2365</v>
      </c>
      <c r="W2543" s="51" t="s">
        <v>5606</v>
      </c>
      <c r="X2543" s="51" t="s">
        <v>2359</v>
      </c>
    </row>
    <row r="2544" customFormat="false" ht="14.25" hidden="true" customHeight="false" outlineLevel="0" collapsed="false">
      <c r="A2544" s="49" t="s">
        <v>2349</v>
      </c>
      <c r="B2544" s="49" t="s">
        <v>2350</v>
      </c>
      <c r="C2544" s="49" t="s">
        <v>5607</v>
      </c>
      <c r="D2544" s="49" t="s">
        <v>2352</v>
      </c>
      <c r="E2544" s="49" t="str">
        <f aca="false">"10074865055175"</f>
        <v>10074865055175</v>
      </c>
      <c r="F2544" s="49" t="s">
        <v>5090</v>
      </c>
      <c r="G2544" s="49" t="n">
        <v>0</v>
      </c>
      <c r="H2544" s="0" t="n">
        <v>0</v>
      </c>
      <c r="M2544" s="51" t="s">
        <v>5603</v>
      </c>
      <c r="N2544" s="49" t="n">
        <v>0</v>
      </c>
      <c r="O2544" s="53" t="n">
        <v>45721.6191550926</v>
      </c>
      <c r="P2544" s="53" t="n">
        <v>45756.6583333333</v>
      </c>
      <c r="Q2544" s="53" t="n">
        <v>45721.6191550926</v>
      </c>
      <c r="R2544" s="0" t="n">
        <v>0</v>
      </c>
      <c r="S2544" s="51" t="s">
        <v>2376</v>
      </c>
      <c r="T2544" s="51" t="s">
        <v>2376</v>
      </c>
      <c r="U2544" s="0" t="str">
        <f aca="false">"10074865055175"</f>
        <v>10074865055175</v>
      </c>
      <c r="V2544" s="51" t="s">
        <v>2365</v>
      </c>
      <c r="W2544" s="51" t="s">
        <v>5269</v>
      </c>
      <c r="X2544" s="51" t="s">
        <v>2359</v>
      </c>
    </row>
    <row r="2545" customFormat="false" ht="14.25" hidden="true" customHeight="false" outlineLevel="0" collapsed="false">
      <c r="A2545" s="49" t="s">
        <v>2349</v>
      </c>
      <c r="B2545" s="49" t="s">
        <v>2350</v>
      </c>
      <c r="C2545" s="49" t="s">
        <v>5608</v>
      </c>
      <c r="D2545" s="49" t="s">
        <v>2352</v>
      </c>
      <c r="E2545" s="49" t="str">
        <f aca="false">"10074865055175"</f>
        <v>10074865055175</v>
      </c>
      <c r="F2545" s="49" t="s">
        <v>5090</v>
      </c>
      <c r="G2545" s="49" t="n">
        <v>0</v>
      </c>
      <c r="H2545" s="0" t="n">
        <v>0</v>
      </c>
      <c r="M2545" s="51" t="s">
        <v>5603</v>
      </c>
      <c r="N2545" s="49" t="n">
        <v>0</v>
      </c>
      <c r="O2545" s="53" t="n">
        <v>45721.6194907407</v>
      </c>
      <c r="P2545" s="53" t="n">
        <v>45750.6503703704</v>
      </c>
      <c r="Q2545" s="53" t="n">
        <v>45721.6194907407</v>
      </c>
      <c r="R2545" s="0" t="n">
        <v>0</v>
      </c>
      <c r="S2545" s="51" t="s">
        <v>2376</v>
      </c>
      <c r="T2545" s="51" t="s">
        <v>2376</v>
      </c>
      <c r="U2545" s="0" t="str">
        <f aca="false">"10074865055175"</f>
        <v>10074865055175</v>
      </c>
      <c r="V2545" s="51" t="s">
        <v>2365</v>
      </c>
      <c r="W2545" s="51" t="s">
        <v>5095</v>
      </c>
      <c r="X2545" s="51" t="s">
        <v>2359</v>
      </c>
    </row>
    <row r="2546" customFormat="false" ht="14.25" hidden="true" customHeight="false" outlineLevel="0" collapsed="false">
      <c r="A2546" s="49" t="s">
        <v>2349</v>
      </c>
      <c r="B2546" s="49" t="s">
        <v>2350</v>
      </c>
      <c r="C2546" s="49" t="s">
        <v>5609</v>
      </c>
      <c r="D2546" s="49" t="s">
        <v>2352</v>
      </c>
      <c r="E2546" s="49" t="str">
        <f aca="false">"10074865055175"</f>
        <v>10074865055175</v>
      </c>
      <c r="F2546" s="49" t="s">
        <v>5090</v>
      </c>
      <c r="G2546" s="49" t="n">
        <v>0</v>
      </c>
      <c r="H2546" s="0" t="n">
        <v>0</v>
      </c>
      <c r="M2546" s="51" t="s">
        <v>5603</v>
      </c>
      <c r="N2546" s="49" t="n">
        <v>0</v>
      </c>
      <c r="O2546" s="53" t="n">
        <v>45721.6196875</v>
      </c>
      <c r="P2546" s="53" t="n">
        <v>45750.6345949074</v>
      </c>
      <c r="Q2546" s="53" t="n">
        <v>45721.6196875</v>
      </c>
      <c r="R2546" s="0" t="n">
        <v>0</v>
      </c>
      <c r="S2546" s="51" t="s">
        <v>2376</v>
      </c>
      <c r="T2546" s="51" t="s">
        <v>2376</v>
      </c>
      <c r="U2546" s="0" t="str">
        <f aca="false">"10074865055175"</f>
        <v>10074865055175</v>
      </c>
      <c r="V2546" s="51" t="s">
        <v>2365</v>
      </c>
      <c r="W2546" s="51" t="s">
        <v>4779</v>
      </c>
      <c r="X2546" s="51" t="s">
        <v>2359</v>
      </c>
    </row>
    <row r="2547" customFormat="false" ht="14.25" hidden="true" customHeight="false" outlineLevel="0" collapsed="false">
      <c r="A2547" s="49" t="s">
        <v>2349</v>
      </c>
      <c r="B2547" s="49" t="s">
        <v>2350</v>
      </c>
      <c r="C2547" s="49" t="s">
        <v>5610</v>
      </c>
      <c r="D2547" s="49" t="s">
        <v>2352</v>
      </c>
      <c r="E2547" s="49" t="str">
        <f aca="false">"10074865055175"</f>
        <v>10074865055175</v>
      </c>
      <c r="F2547" s="49" t="s">
        <v>5090</v>
      </c>
      <c r="G2547" s="49" t="n">
        <v>0</v>
      </c>
      <c r="H2547" s="0" t="n">
        <v>0</v>
      </c>
      <c r="M2547" s="51" t="s">
        <v>5603</v>
      </c>
      <c r="N2547" s="49" t="n">
        <v>0</v>
      </c>
      <c r="O2547" s="53" t="n">
        <v>45721.6201273148</v>
      </c>
      <c r="P2547" s="53" t="n">
        <v>45750.6495833333</v>
      </c>
      <c r="Q2547" s="53" t="n">
        <v>45721.6201273148</v>
      </c>
      <c r="R2547" s="0" t="n">
        <v>0</v>
      </c>
      <c r="S2547" s="51" t="s">
        <v>2376</v>
      </c>
      <c r="T2547" s="51" t="s">
        <v>2376</v>
      </c>
      <c r="U2547" s="0" t="str">
        <f aca="false">"10074865055175"</f>
        <v>10074865055175</v>
      </c>
      <c r="V2547" s="51" t="s">
        <v>2365</v>
      </c>
      <c r="W2547" s="51" t="s">
        <v>4636</v>
      </c>
      <c r="X2547" s="51" t="s">
        <v>2359</v>
      </c>
    </row>
    <row r="2548" customFormat="false" ht="14.25" hidden="true" customHeight="false" outlineLevel="0" collapsed="false">
      <c r="A2548" s="49" t="s">
        <v>2349</v>
      </c>
      <c r="B2548" s="49" t="s">
        <v>2350</v>
      </c>
      <c r="C2548" s="49" t="s">
        <v>5611</v>
      </c>
      <c r="D2548" s="49" t="s">
        <v>2352</v>
      </c>
      <c r="E2548" s="49" t="str">
        <f aca="false">"10074865055175"</f>
        <v>10074865055175</v>
      </c>
      <c r="F2548" s="49" t="s">
        <v>5090</v>
      </c>
      <c r="G2548" s="49" t="n">
        <v>0</v>
      </c>
      <c r="H2548" s="0" t="n">
        <v>0</v>
      </c>
      <c r="M2548" s="51" t="s">
        <v>5603</v>
      </c>
      <c r="N2548" s="49" t="n">
        <v>0</v>
      </c>
      <c r="O2548" s="53" t="n">
        <v>45721.620462963</v>
      </c>
      <c r="P2548" s="53" t="n">
        <v>45728.9220833333</v>
      </c>
      <c r="Q2548" s="53" t="n">
        <v>45721.620462963</v>
      </c>
      <c r="R2548" s="0" t="n">
        <v>0</v>
      </c>
      <c r="S2548" s="51" t="s">
        <v>2376</v>
      </c>
      <c r="T2548" s="51" t="s">
        <v>2376</v>
      </c>
      <c r="U2548" s="0" t="str">
        <f aca="false">"10074865055175"</f>
        <v>10074865055175</v>
      </c>
      <c r="V2548" s="51" t="s">
        <v>2365</v>
      </c>
      <c r="W2548" s="51" t="s">
        <v>5612</v>
      </c>
      <c r="X2548" s="51" t="s">
        <v>2359</v>
      </c>
    </row>
    <row r="2549" customFormat="false" ht="14.25" hidden="true" customHeight="false" outlineLevel="0" collapsed="false">
      <c r="A2549" s="49" t="s">
        <v>2349</v>
      </c>
      <c r="B2549" s="49" t="s">
        <v>2350</v>
      </c>
      <c r="C2549" s="49" t="s">
        <v>5613</v>
      </c>
      <c r="D2549" s="49" t="s">
        <v>2352</v>
      </c>
      <c r="E2549" s="49" t="str">
        <f aca="false">"10074865055175"</f>
        <v>10074865055175</v>
      </c>
      <c r="F2549" s="49" t="s">
        <v>5090</v>
      </c>
      <c r="G2549" s="49" t="n">
        <v>0</v>
      </c>
      <c r="H2549" s="0" t="n">
        <v>0</v>
      </c>
      <c r="M2549" s="51" t="s">
        <v>5603</v>
      </c>
      <c r="N2549" s="49" t="n">
        <v>0</v>
      </c>
      <c r="O2549" s="53" t="n">
        <v>45721.6211689815</v>
      </c>
      <c r="P2549" s="53" t="n">
        <v>45728.9238888889</v>
      </c>
      <c r="Q2549" s="53" t="n">
        <v>45721.6211689815</v>
      </c>
      <c r="R2549" s="0" t="n">
        <v>0</v>
      </c>
      <c r="S2549" s="51" t="s">
        <v>2376</v>
      </c>
      <c r="T2549" s="51" t="s">
        <v>2376</v>
      </c>
      <c r="U2549" s="0" t="str">
        <f aca="false">"10074865055175"</f>
        <v>10074865055175</v>
      </c>
      <c r="V2549" s="51" t="s">
        <v>2365</v>
      </c>
      <c r="W2549" s="51" t="s">
        <v>4849</v>
      </c>
      <c r="X2549" s="51" t="s">
        <v>2359</v>
      </c>
    </row>
    <row r="2550" customFormat="false" ht="14.25" hidden="true" customHeight="false" outlineLevel="0" collapsed="false">
      <c r="A2550" s="49" t="s">
        <v>2349</v>
      </c>
      <c r="B2550" s="49" t="s">
        <v>2350</v>
      </c>
      <c r="C2550" s="49" t="s">
        <v>5614</v>
      </c>
      <c r="D2550" s="49" t="s">
        <v>2352</v>
      </c>
      <c r="E2550" s="49" t="str">
        <f aca="false">"10074865055175"</f>
        <v>10074865055175</v>
      </c>
      <c r="F2550" s="49" t="s">
        <v>5090</v>
      </c>
      <c r="G2550" s="49" t="n">
        <v>0</v>
      </c>
      <c r="H2550" s="0" t="n">
        <v>0</v>
      </c>
      <c r="M2550" s="51" t="s">
        <v>5603</v>
      </c>
      <c r="N2550" s="49" t="n">
        <v>0</v>
      </c>
      <c r="O2550" s="53" t="n">
        <v>45721.6213888889</v>
      </c>
      <c r="P2550" s="53" t="n">
        <v>45728.9226273148</v>
      </c>
      <c r="Q2550" s="53" t="n">
        <v>45721.6213888889</v>
      </c>
      <c r="R2550" s="0" t="n">
        <v>0</v>
      </c>
      <c r="S2550" s="51" t="s">
        <v>2376</v>
      </c>
      <c r="T2550" s="51" t="s">
        <v>2376</v>
      </c>
      <c r="U2550" s="0" t="str">
        <f aca="false">"10074865055175"</f>
        <v>10074865055175</v>
      </c>
      <c r="V2550" s="51" t="s">
        <v>2365</v>
      </c>
      <c r="W2550" s="51" t="s">
        <v>5615</v>
      </c>
      <c r="X2550" s="51" t="s">
        <v>2359</v>
      </c>
    </row>
    <row r="2551" customFormat="false" ht="14.25" hidden="true" customHeight="false" outlineLevel="0" collapsed="false">
      <c r="A2551" s="49" t="s">
        <v>2349</v>
      </c>
      <c r="B2551" s="49" t="s">
        <v>2350</v>
      </c>
      <c r="C2551" s="49" t="s">
        <v>5616</v>
      </c>
      <c r="D2551" s="49" t="s">
        <v>2352</v>
      </c>
      <c r="E2551" s="49" t="str">
        <f aca="false">"10074865055175"</f>
        <v>10074865055175</v>
      </c>
      <c r="F2551" s="49" t="s">
        <v>5090</v>
      </c>
      <c r="G2551" s="49" t="n">
        <v>0</v>
      </c>
      <c r="H2551" s="0" t="n">
        <v>0</v>
      </c>
      <c r="M2551" s="51" t="s">
        <v>5603</v>
      </c>
      <c r="N2551" s="49" t="n">
        <v>0</v>
      </c>
      <c r="O2551" s="53" t="n">
        <v>45721.6222916667</v>
      </c>
      <c r="P2551" s="53" t="n">
        <v>45750.6372106482</v>
      </c>
      <c r="Q2551" s="53" t="n">
        <v>45721.6222916667</v>
      </c>
      <c r="R2551" s="0" t="n">
        <v>0</v>
      </c>
      <c r="S2551" s="51" t="s">
        <v>2376</v>
      </c>
      <c r="T2551" s="51" t="s">
        <v>2376</v>
      </c>
      <c r="U2551" s="0" t="str">
        <f aca="false">"10074865055175"</f>
        <v>10074865055175</v>
      </c>
      <c r="V2551" s="51" t="s">
        <v>2365</v>
      </c>
      <c r="W2551" s="51" t="s">
        <v>5617</v>
      </c>
      <c r="X2551" s="51" t="s">
        <v>2359</v>
      </c>
    </row>
    <row r="2552" customFormat="false" ht="14.25" hidden="true" customHeight="false" outlineLevel="0" collapsed="false">
      <c r="A2552" s="49" t="s">
        <v>2349</v>
      </c>
      <c r="B2552" s="49" t="s">
        <v>2350</v>
      </c>
      <c r="C2552" s="49" t="s">
        <v>5618</v>
      </c>
      <c r="D2552" s="49" t="s">
        <v>2352</v>
      </c>
      <c r="E2552" s="49" t="str">
        <f aca="false">"10074865055175"</f>
        <v>10074865055175</v>
      </c>
      <c r="F2552" s="49" t="s">
        <v>5090</v>
      </c>
      <c r="G2552" s="49" t="n">
        <v>0</v>
      </c>
      <c r="H2552" s="0" t="n">
        <v>0</v>
      </c>
      <c r="M2552" s="51" t="s">
        <v>5603</v>
      </c>
      <c r="N2552" s="49" t="n">
        <v>0</v>
      </c>
      <c r="O2552" s="53" t="n">
        <v>45721.6220486111</v>
      </c>
      <c r="P2552" s="53" t="n">
        <v>45728.9242939815</v>
      </c>
      <c r="Q2552" s="53" t="n">
        <v>45721.6220486111</v>
      </c>
      <c r="R2552" s="0" t="n">
        <v>0</v>
      </c>
      <c r="S2552" s="51" t="s">
        <v>2376</v>
      </c>
      <c r="T2552" s="51" t="s">
        <v>2376</v>
      </c>
      <c r="U2552" s="0" t="str">
        <f aca="false">"10074865055175"</f>
        <v>10074865055175</v>
      </c>
      <c r="V2552" s="51" t="s">
        <v>2365</v>
      </c>
      <c r="W2552" s="51" t="s">
        <v>5619</v>
      </c>
      <c r="X2552" s="51" t="s">
        <v>2359</v>
      </c>
    </row>
    <row r="2553" customFormat="false" ht="14.25" hidden="true" customHeight="false" outlineLevel="0" collapsed="false">
      <c r="A2553" s="49" t="s">
        <v>2349</v>
      </c>
      <c r="B2553" s="49" t="s">
        <v>2350</v>
      </c>
      <c r="C2553" s="49" t="s">
        <v>5620</v>
      </c>
      <c r="D2553" s="49" t="s">
        <v>2352</v>
      </c>
      <c r="E2553" s="49" t="str">
        <f aca="false">"10074865055175"</f>
        <v>10074865055175</v>
      </c>
      <c r="F2553" s="49" t="s">
        <v>5090</v>
      </c>
      <c r="G2553" s="49" t="n">
        <v>0</v>
      </c>
      <c r="H2553" s="0" t="n">
        <v>0</v>
      </c>
      <c r="M2553" s="51" t="s">
        <v>5603</v>
      </c>
      <c r="N2553" s="49" t="n">
        <v>0</v>
      </c>
      <c r="O2553" s="53" t="n">
        <v>45721.6224537037</v>
      </c>
      <c r="P2553" s="53" t="n">
        <v>45728.918599537</v>
      </c>
      <c r="Q2553" s="53" t="n">
        <v>45721.6224537037</v>
      </c>
      <c r="R2553" s="0" t="n">
        <v>0</v>
      </c>
      <c r="S2553" s="51" t="s">
        <v>2376</v>
      </c>
      <c r="T2553" s="51" t="s">
        <v>2376</v>
      </c>
      <c r="U2553" s="0" t="str">
        <f aca="false">"10074865055175"</f>
        <v>10074865055175</v>
      </c>
      <c r="V2553" s="51" t="s">
        <v>2365</v>
      </c>
      <c r="W2553" s="51" t="s">
        <v>5621</v>
      </c>
      <c r="X2553" s="51" t="s">
        <v>2359</v>
      </c>
    </row>
    <row r="2554" customFormat="false" ht="14.25" hidden="true" customHeight="false" outlineLevel="0" collapsed="false">
      <c r="A2554" s="49" t="s">
        <v>2349</v>
      </c>
      <c r="B2554" s="49" t="s">
        <v>2350</v>
      </c>
      <c r="C2554" s="49" t="s">
        <v>5622</v>
      </c>
      <c r="D2554" s="49" t="s">
        <v>2352</v>
      </c>
      <c r="E2554" s="49" t="str">
        <f aca="false">"10074865055175"</f>
        <v>10074865055175</v>
      </c>
      <c r="F2554" s="49" t="s">
        <v>5090</v>
      </c>
      <c r="G2554" s="49" t="n">
        <v>0</v>
      </c>
      <c r="H2554" s="0" t="n">
        <v>0</v>
      </c>
      <c r="M2554" s="51" t="s">
        <v>5603</v>
      </c>
      <c r="N2554" s="49" t="n">
        <v>0</v>
      </c>
      <c r="O2554" s="53" t="n">
        <v>45722.0777777778</v>
      </c>
      <c r="P2554" s="53" t="n">
        <v>45728.9290393519</v>
      </c>
      <c r="Q2554" s="53" t="n">
        <v>45722.0777777778</v>
      </c>
      <c r="R2554" s="0" t="n">
        <v>0</v>
      </c>
      <c r="S2554" s="51" t="s">
        <v>2436</v>
      </c>
      <c r="T2554" s="51" t="s">
        <v>2436</v>
      </c>
      <c r="U2554" s="0" t="str">
        <f aca="false">"10074865055175"</f>
        <v>10074865055175</v>
      </c>
      <c r="V2554" s="51" t="s">
        <v>2365</v>
      </c>
      <c r="W2554" s="51" t="s">
        <v>5499</v>
      </c>
      <c r="X2554" s="51" t="s">
        <v>2359</v>
      </c>
    </row>
    <row r="2555" customFormat="false" ht="14.25" hidden="true" customHeight="false" outlineLevel="0" collapsed="false">
      <c r="A2555" s="49" t="s">
        <v>2349</v>
      </c>
      <c r="B2555" s="49" t="s">
        <v>2350</v>
      </c>
      <c r="C2555" s="49" t="s">
        <v>5623</v>
      </c>
      <c r="D2555" s="49" t="s">
        <v>2352</v>
      </c>
      <c r="E2555" s="49" t="str">
        <f aca="false">"10074865055175"</f>
        <v>10074865055175</v>
      </c>
      <c r="F2555" s="49" t="s">
        <v>5090</v>
      </c>
      <c r="G2555" s="49" t="n">
        <v>0</v>
      </c>
      <c r="H2555" s="0" t="n">
        <v>0</v>
      </c>
      <c r="M2555" s="51" t="s">
        <v>5603</v>
      </c>
      <c r="N2555" s="49" t="n">
        <v>0</v>
      </c>
      <c r="O2555" s="53" t="n">
        <v>45722.0782291667</v>
      </c>
      <c r="P2555" s="53" t="n">
        <v>45728.9285532407</v>
      </c>
      <c r="Q2555" s="53" t="n">
        <v>45722.0782291667</v>
      </c>
      <c r="R2555" s="0" t="n">
        <v>0</v>
      </c>
      <c r="S2555" s="51" t="s">
        <v>2436</v>
      </c>
      <c r="T2555" s="51" t="s">
        <v>2436</v>
      </c>
      <c r="U2555" s="0" t="str">
        <f aca="false">"10074865055175"</f>
        <v>10074865055175</v>
      </c>
      <c r="V2555" s="51" t="s">
        <v>2365</v>
      </c>
      <c r="W2555" s="51" t="s">
        <v>4846</v>
      </c>
      <c r="X2555" s="51" t="s">
        <v>2359</v>
      </c>
    </row>
    <row r="2556" customFormat="false" ht="14.25" hidden="true" customHeight="false" outlineLevel="0" collapsed="false">
      <c r="A2556" s="49" t="s">
        <v>2349</v>
      </c>
      <c r="B2556" s="49" t="s">
        <v>2350</v>
      </c>
      <c r="C2556" s="49" t="s">
        <v>5624</v>
      </c>
      <c r="D2556" s="49" t="s">
        <v>2352</v>
      </c>
      <c r="E2556" s="49" t="str">
        <f aca="false">"10074865055175"</f>
        <v>10074865055175</v>
      </c>
      <c r="F2556" s="49" t="s">
        <v>5090</v>
      </c>
      <c r="G2556" s="49" t="n">
        <v>0</v>
      </c>
      <c r="H2556" s="0" t="n">
        <v>0</v>
      </c>
      <c r="M2556" s="51" t="s">
        <v>5603</v>
      </c>
      <c r="N2556" s="49" t="n">
        <v>0</v>
      </c>
      <c r="O2556" s="53" t="n">
        <v>45722.0790046296</v>
      </c>
      <c r="P2556" s="53" t="n">
        <v>45728.9300462963</v>
      </c>
      <c r="Q2556" s="53" t="n">
        <v>45722.0790046296</v>
      </c>
      <c r="R2556" s="0" t="n">
        <v>0</v>
      </c>
      <c r="S2556" s="51" t="s">
        <v>2436</v>
      </c>
      <c r="T2556" s="51" t="s">
        <v>2436</v>
      </c>
      <c r="U2556" s="0" t="str">
        <f aca="false">"10074865055175"</f>
        <v>10074865055175</v>
      </c>
      <c r="V2556" s="51" t="s">
        <v>2365</v>
      </c>
      <c r="W2556" s="51" t="s">
        <v>5506</v>
      </c>
      <c r="X2556" s="51" t="s">
        <v>2359</v>
      </c>
    </row>
    <row r="2557" customFormat="false" ht="14.25" hidden="true" customHeight="false" outlineLevel="0" collapsed="false">
      <c r="A2557" s="49" t="s">
        <v>2349</v>
      </c>
      <c r="B2557" s="49" t="s">
        <v>2350</v>
      </c>
      <c r="C2557" s="49" t="s">
        <v>5625</v>
      </c>
      <c r="D2557" s="49" t="s">
        <v>2352</v>
      </c>
      <c r="E2557" s="49" t="str">
        <f aca="false">"10074865055175"</f>
        <v>10074865055175</v>
      </c>
      <c r="F2557" s="49" t="s">
        <v>5090</v>
      </c>
      <c r="G2557" s="49" t="n">
        <v>0</v>
      </c>
      <c r="H2557" s="0" t="n">
        <v>0</v>
      </c>
      <c r="M2557" s="51" t="s">
        <v>5603</v>
      </c>
      <c r="N2557" s="49" t="n">
        <v>0</v>
      </c>
      <c r="O2557" s="53" t="n">
        <v>45722.0795601852</v>
      </c>
      <c r="P2557" s="53" t="n">
        <v>45728.9309027778</v>
      </c>
      <c r="Q2557" s="53" t="n">
        <v>45722.0795601852</v>
      </c>
      <c r="R2557" s="0" t="n">
        <v>0</v>
      </c>
      <c r="S2557" s="51" t="s">
        <v>2436</v>
      </c>
      <c r="T2557" s="51" t="s">
        <v>2436</v>
      </c>
      <c r="U2557" s="0" t="str">
        <f aca="false">"10074865055175"</f>
        <v>10074865055175</v>
      </c>
      <c r="V2557" s="51" t="s">
        <v>2365</v>
      </c>
      <c r="W2557" s="51" t="s">
        <v>5509</v>
      </c>
      <c r="X2557" s="51" t="s">
        <v>2359</v>
      </c>
    </row>
    <row r="2558" customFormat="false" ht="14.25" hidden="true" customHeight="false" outlineLevel="0" collapsed="false">
      <c r="A2558" s="49" t="s">
        <v>2349</v>
      </c>
      <c r="B2558" s="49" t="s">
        <v>2350</v>
      </c>
      <c r="C2558" s="49" t="s">
        <v>5626</v>
      </c>
      <c r="D2558" s="49" t="s">
        <v>2352</v>
      </c>
      <c r="E2558" s="49" t="str">
        <f aca="false">"10074865055175"</f>
        <v>10074865055175</v>
      </c>
      <c r="F2558" s="49" t="s">
        <v>5090</v>
      </c>
      <c r="G2558" s="49" t="n">
        <v>0</v>
      </c>
      <c r="H2558" s="0" t="n">
        <v>0</v>
      </c>
      <c r="M2558" s="51" t="s">
        <v>5603</v>
      </c>
      <c r="N2558" s="49" t="n">
        <v>0</v>
      </c>
      <c r="O2558" s="53" t="n">
        <v>45722.0802546296</v>
      </c>
      <c r="P2558" s="53" t="n">
        <v>45728.93125</v>
      </c>
      <c r="Q2558" s="53" t="n">
        <v>45722.0802546296</v>
      </c>
      <c r="R2558" s="0" t="n">
        <v>0</v>
      </c>
      <c r="S2558" s="51" t="s">
        <v>2436</v>
      </c>
      <c r="T2558" s="51" t="s">
        <v>2436</v>
      </c>
      <c r="U2558" s="0" t="str">
        <f aca="false">"10074865055175"</f>
        <v>10074865055175</v>
      </c>
      <c r="V2558" s="51" t="s">
        <v>2365</v>
      </c>
      <c r="W2558" s="51" t="s">
        <v>4771</v>
      </c>
      <c r="X2558" s="51" t="s">
        <v>2359</v>
      </c>
    </row>
    <row r="2559" customFormat="false" ht="14.25" hidden="true" customHeight="false" outlineLevel="0" collapsed="false">
      <c r="A2559" s="49" t="s">
        <v>2349</v>
      </c>
      <c r="B2559" s="49" t="s">
        <v>2350</v>
      </c>
      <c r="C2559" s="49" t="s">
        <v>5627</v>
      </c>
      <c r="D2559" s="49" t="s">
        <v>2352</v>
      </c>
      <c r="E2559" s="49" t="str">
        <f aca="false">"10074865055175"</f>
        <v>10074865055175</v>
      </c>
      <c r="F2559" s="49" t="s">
        <v>5090</v>
      </c>
      <c r="G2559" s="49" t="n">
        <v>0</v>
      </c>
      <c r="H2559" s="0" t="n">
        <v>0</v>
      </c>
      <c r="M2559" s="51" t="s">
        <v>5603</v>
      </c>
      <c r="N2559" s="49" t="n">
        <v>0</v>
      </c>
      <c r="O2559" s="53" t="n">
        <v>45722.080787037</v>
      </c>
      <c r="P2559" s="53" t="n">
        <v>45728.9316435185</v>
      </c>
      <c r="Q2559" s="53" t="n">
        <v>45722.080787037</v>
      </c>
      <c r="R2559" s="0" t="n">
        <v>0</v>
      </c>
      <c r="S2559" s="51" t="s">
        <v>2436</v>
      </c>
      <c r="T2559" s="51" t="s">
        <v>2436</v>
      </c>
      <c r="U2559" s="0" t="str">
        <f aca="false">"10074865055175"</f>
        <v>10074865055175</v>
      </c>
      <c r="V2559" s="51" t="s">
        <v>2365</v>
      </c>
      <c r="W2559" s="51" t="s">
        <v>5534</v>
      </c>
      <c r="X2559" s="51" t="s">
        <v>2359</v>
      </c>
    </row>
    <row r="2560" customFormat="false" ht="14.25" hidden="true" customHeight="false" outlineLevel="0" collapsed="false">
      <c r="A2560" s="49" t="s">
        <v>2349</v>
      </c>
      <c r="B2560" s="49" t="s">
        <v>2350</v>
      </c>
      <c r="C2560" s="49" t="s">
        <v>5628</v>
      </c>
      <c r="D2560" s="49" t="s">
        <v>2352</v>
      </c>
      <c r="E2560" s="49" t="str">
        <f aca="false">"10074865055175"</f>
        <v>10074865055175</v>
      </c>
      <c r="F2560" s="49" t="s">
        <v>5090</v>
      </c>
      <c r="G2560" s="49" t="n">
        <v>0</v>
      </c>
      <c r="H2560" s="0" t="n">
        <v>0</v>
      </c>
      <c r="M2560" s="51" t="s">
        <v>5603</v>
      </c>
      <c r="N2560" s="49" t="n">
        <v>0</v>
      </c>
      <c r="O2560" s="53" t="n">
        <v>45722.0812962963</v>
      </c>
      <c r="P2560" s="53" t="n">
        <v>45728.9320833333</v>
      </c>
      <c r="Q2560" s="53" t="n">
        <v>45722.0812962963</v>
      </c>
      <c r="R2560" s="0" t="n">
        <v>0</v>
      </c>
      <c r="S2560" s="51" t="s">
        <v>2436</v>
      </c>
      <c r="T2560" s="51" t="s">
        <v>2436</v>
      </c>
      <c r="U2560" s="0" t="str">
        <f aca="false">"10074865055175"</f>
        <v>10074865055175</v>
      </c>
      <c r="V2560" s="51" t="s">
        <v>2365</v>
      </c>
      <c r="W2560" s="51" t="s">
        <v>5532</v>
      </c>
      <c r="X2560" s="51" t="s">
        <v>2359</v>
      </c>
    </row>
    <row r="2561" customFormat="false" ht="14.25" hidden="true" customHeight="false" outlineLevel="0" collapsed="false">
      <c r="A2561" s="49" t="s">
        <v>2349</v>
      </c>
      <c r="B2561" s="49" t="s">
        <v>2350</v>
      </c>
      <c r="C2561" s="49" t="s">
        <v>5629</v>
      </c>
      <c r="D2561" s="49" t="s">
        <v>2352</v>
      </c>
      <c r="E2561" s="49" t="str">
        <f aca="false">"10074865055175"</f>
        <v>10074865055175</v>
      </c>
      <c r="F2561" s="49" t="s">
        <v>5090</v>
      </c>
      <c r="G2561" s="49" t="n">
        <v>0</v>
      </c>
      <c r="H2561" s="0" t="n">
        <v>0</v>
      </c>
      <c r="M2561" s="51" t="s">
        <v>5603</v>
      </c>
      <c r="N2561" s="49" t="n">
        <v>0</v>
      </c>
      <c r="O2561" s="53" t="n">
        <v>45722.081875</v>
      </c>
      <c r="P2561" s="53" t="n">
        <v>45750.6409953704</v>
      </c>
      <c r="Q2561" s="53" t="n">
        <v>45722.081875</v>
      </c>
      <c r="R2561" s="0" t="n">
        <v>0</v>
      </c>
      <c r="S2561" s="51" t="s">
        <v>2436</v>
      </c>
      <c r="T2561" s="51" t="s">
        <v>2436</v>
      </c>
      <c r="U2561" s="0" t="str">
        <f aca="false">"10074865055175"</f>
        <v>10074865055175</v>
      </c>
      <c r="V2561" s="51" t="s">
        <v>2365</v>
      </c>
      <c r="W2561" s="51" t="s">
        <v>5630</v>
      </c>
      <c r="X2561" s="51" t="s">
        <v>2359</v>
      </c>
    </row>
    <row r="2562" customFormat="false" ht="14.25" hidden="true" customHeight="false" outlineLevel="0" collapsed="false">
      <c r="A2562" s="49" t="s">
        <v>2349</v>
      </c>
      <c r="B2562" s="49" t="s">
        <v>2350</v>
      </c>
      <c r="C2562" s="49" t="s">
        <v>5631</v>
      </c>
      <c r="D2562" s="49" t="s">
        <v>2352</v>
      </c>
      <c r="E2562" s="49" t="str">
        <f aca="false">"10074865055175"</f>
        <v>10074865055175</v>
      </c>
      <c r="F2562" s="49" t="s">
        <v>5090</v>
      </c>
      <c r="G2562" s="49" t="n">
        <v>0</v>
      </c>
      <c r="H2562" s="0" t="n">
        <v>0</v>
      </c>
      <c r="M2562" s="51" t="s">
        <v>5603</v>
      </c>
      <c r="N2562" s="49" t="n">
        <v>0</v>
      </c>
      <c r="O2562" s="53" t="n">
        <v>45722.0822337963</v>
      </c>
      <c r="P2562" s="53" t="n">
        <v>45750.6341203704</v>
      </c>
      <c r="Q2562" s="53" t="n">
        <v>45722.0822337963</v>
      </c>
      <c r="R2562" s="0" t="n">
        <v>0</v>
      </c>
      <c r="S2562" s="51" t="s">
        <v>2436</v>
      </c>
      <c r="T2562" s="51" t="s">
        <v>2436</v>
      </c>
      <c r="U2562" s="0" t="str">
        <f aca="false">"10074865055175"</f>
        <v>10074865055175</v>
      </c>
      <c r="V2562" s="51" t="s">
        <v>2365</v>
      </c>
      <c r="W2562" s="51" t="s">
        <v>5632</v>
      </c>
      <c r="X2562" s="51" t="s">
        <v>2359</v>
      </c>
    </row>
    <row r="2563" customFormat="false" ht="14.25" hidden="true" customHeight="false" outlineLevel="0" collapsed="false">
      <c r="A2563" s="49" t="s">
        <v>2349</v>
      </c>
      <c r="B2563" s="49" t="s">
        <v>2350</v>
      </c>
      <c r="C2563" s="49" t="s">
        <v>5633</v>
      </c>
      <c r="D2563" s="49" t="s">
        <v>2352</v>
      </c>
      <c r="E2563" s="49" t="str">
        <f aca="false">"10074865055175"</f>
        <v>10074865055175</v>
      </c>
      <c r="F2563" s="49" t="s">
        <v>5090</v>
      </c>
      <c r="G2563" s="49" t="n">
        <v>0</v>
      </c>
      <c r="H2563" s="0" t="n">
        <v>0</v>
      </c>
      <c r="M2563" s="51" t="s">
        <v>5603</v>
      </c>
      <c r="N2563" s="49" t="n">
        <v>0</v>
      </c>
      <c r="O2563" s="53" t="n">
        <v>45722.0760763889</v>
      </c>
      <c r="P2563" s="53" t="n">
        <v>45728.9276736111</v>
      </c>
      <c r="Q2563" s="53" t="n">
        <v>45722.0760763889</v>
      </c>
      <c r="R2563" s="0" t="n">
        <v>0</v>
      </c>
      <c r="S2563" s="51" t="s">
        <v>2436</v>
      </c>
      <c r="T2563" s="51" t="s">
        <v>2436</v>
      </c>
      <c r="U2563" s="0" t="str">
        <f aca="false">"10074865055175"</f>
        <v>10074865055175</v>
      </c>
      <c r="V2563" s="51" t="s">
        <v>2365</v>
      </c>
      <c r="W2563" s="51" t="s">
        <v>4541</v>
      </c>
      <c r="X2563" s="51" t="s">
        <v>2359</v>
      </c>
    </row>
    <row r="2564" customFormat="false" ht="14.25" hidden="true" customHeight="false" outlineLevel="0" collapsed="false">
      <c r="A2564" s="49" t="s">
        <v>2349</v>
      </c>
      <c r="B2564" s="49" t="s">
        <v>2350</v>
      </c>
      <c r="C2564" s="49" t="s">
        <v>5634</v>
      </c>
      <c r="D2564" s="49" t="s">
        <v>2352</v>
      </c>
      <c r="E2564" s="49" t="str">
        <f aca="false">"10074865055175"</f>
        <v>10074865055175</v>
      </c>
      <c r="F2564" s="49" t="s">
        <v>5090</v>
      </c>
      <c r="G2564" s="49" t="n">
        <v>0</v>
      </c>
      <c r="H2564" s="0" t="n">
        <v>0</v>
      </c>
      <c r="M2564" s="51" t="s">
        <v>5603</v>
      </c>
      <c r="N2564" s="49" t="n">
        <v>0</v>
      </c>
      <c r="O2564" s="53" t="n">
        <v>45722.0754282407</v>
      </c>
      <c r="P2564" s="53" t="n">
        <v>45728.9282291667</v>
      </c>
      <c r="Q2564" s="53" t="n">
        <v>45722.0754282407</v>
      </c>
      <c r="R2564" s="0" t="n">
        <v>0</v>
      </c>
      <c r="S2564" s="51" t="s">
        <v>2436</v>
      </c>
      <c r="T2564" s="51" t="s">
        <v>2436</v>
      </c>
      <c r="U2564" s="0" t="str">
        <f aca="false">"10074865055175"</f>
        <v>10074865055175</v>
      </c>
      <c r="V2564" s="51" t="s">
        <v>2365</v>
      </c>
      <c r="W2564" s="51" t="s">
        <v>5504</v>
      </c>
      <c r="X2564" s="51" t="s">
        <v>2359</v>
      </c>
    </row>
    <row r="2565" customFormat="false" ht="14.25" hidden="true" customHeight="false" outlineLevel="0" collapsed="false">
      <c r="A2565" s="49" t="s">
        <v>2349</v>
      </c>
      <c r="B2565" s="49" t="s">
        <v>2350</v>
      </c>
      <c r="C2565" s="49" t="s">
        <v>5635</v>
      </c>
      <c r="D2565" s="49" t="s">
        <v>2352</v>
      </c>
      <c r="E2565" s="49" t="str">
        <f aca="false">"10074865055175"</f>
        <v>10074865055175</v>
      </c>
      <c r="F2565" s="49" t="s">
        <v>5090</v>
      </c>
      <c r="G2565" s="49" t="n">
        <v>0</v>
      </c>
      <c r="H2565" s="0" t="n">
        <v>0</v>
      </c>
      <c r="M2565" s="51" t="s">
        <v>5603</v>
      </c>
      <c r="N2565" s="49" t="n">
        <v>0</v>
      </c>
      <c r="O2565" s="53" t="n">
        <v>45722.0749537037</v>
      </c>
      <c r="P2565" s="53" t="n">
        <v>45728.9208564815</v>
      </c>
      <c r="Q2565" s="53" t="n">
        <v>45722.0749537037</v>
      </c>
      <c r="R2565" s="0" t="n">
        <v>0</v>
      </c>
      <c r="S2565" s="51" t="s">
        <v>2436</v>
      </c>
      <c r="T2565" s="51" t="s">
        <v>2436</v>
      </c>
      <c r="U2565" s="0" t="str">
        <f aca="false">"10074865055175"</f>
        <v>10074865055175</v>
      </c>
      <c r="V2565" s="51" t="s">
        <v>2365</v>
      </c>
      <c r="W2565" s="51" t="s">
        <v>5636</v>
      </c>
      <c r="X2565" s="51" t="s">
        <v>2359</v>
      </c>
    </row>
    <row r="2566" customFormat="false" ht="14.25" hidden="true" customHeight="false" outlineLevel="0" collapsed="false">
      <c r="A2566" s="49" t="s">
        <v>2349</v>
      </c>
      <c r="B2566" s="49" t="s">
        <v>2350</v>
      </c>
      <c r="C2566" s="49" t="s">
        <v>5637</v>
      </c>
      <c r="D2566" s="49" t="s">
        <v>2352</v>
      </c>
      <c r="E2566" s="49" t="str">
        <f aca="false">"10074865055175"</f>
        <v>10074865055175</v>
      </c>
      <c r="F2566" s="49" t="s">
        <v>5090</v>
      </c>
      <c r="G2566" s="49" t="n">
        <v>0</v>
      </c>
      <c r="H2566" s="0" t="n">
        <v>0</v>
      </c>
      <c r="M2566" s="51" t="s">
        <v>5603</v>
      </c>
      <c r="N2566" s="49" t="n">
        <v>0</v>
      </c>
      <c r="O2566" s="53" t="n">
        <v>45722.0734837963</v>
      </c>
      <c r="P2566" s="53" t="n">
        <v>45728.9305439815</v>
      </c>
      <c r="Q2566" s="53" t="n">
        <v>45722.0734837963</v>
      </c>
      <c r="R2566" s="0" t="n">
        <v>0</v>
      </c>
      <c r="S2566" s="51" t="s">
        <v>2436</v>
      </c>
      <c r="T2566" s="51" t="s">
        <v>2436</v>
      </c>
      <c r="U2566" s="0" t="str">
        <f aca="false">"10074865055175"</f>
        <v>10074865055175</v>
      </c>
      <c r="V2566" s="51" t="s">
        <v>2365</v>
      </c>
      <c r="W2566" s="51" t="s">
        <v>4543</v>
      </c>
      <c r="X2566" s="51" t="s">
        <v>2359</v>
      </c>
    </row>
    <row r="2567" customFormat="false" ht="14.25" hidden="true" customHeight="false" outlineLevel="0" collapsed="false">
      <c r="A2567" s="49" t="s">
        <v>2349</v>
      </c>
      <c r="B2567" s="49" t="s">
        <v>2350</v>
      </c>
      <c r="C2567" s="49" t="s">
        <v>5638</v>
      </c>
      <c r="D2567" s="49" t="s">
        <v>2352</v>
      </c>
      <c r="E2567" s="49" t="str">
        <f aca="false">"10074865055175"</f>
        <v>10074865055175</v>
      </c>
      <c r="F2567" s="49" t="s">
        <v>5090</v>
      </c>
      <c r="G2567" s="49" t="n">
        <v>0</v>
      </c>
      <c r="H2567" s="0" t="n">
        <v>0</v>
      </c>
      <c r="M2567" s="51" t="s">
        <v>5603</v>
      </c>
      <c r="N2567" s="49" t="n">
        <v>0</v>
      </c>
      <c r="O2567" s="53" t="n">
        <v>45722.0728587963</v>
      </c>
      <c r="P2567" s="53" t="n">
        <v>45728.9195138889</v>
      </c>
      <c r="Q2567" s="53" t="n">
        <v>45722.0728587963</v>
      </c>
      <c r="R2567" s="0" t="n">
        <v>0</v>
      </c>
      <c r="S2567" s="51" t="s">
        <v>2436</v>
      </c>
      <c r="T2567" s="51" t="s">
        <v>2436</v>
      </c>
      <c r="U2567" s="0" t="str">
        <f aca="false">"10074865055175"</f>
        <v>10074865055175</v>
      </c>
      <c r="V2567" s="51" t="s">
        <v>2365</v>
      </c>
      <c r="W2567" s="51" t="s">
        <v>4763</v>
      </c>
      <c r="X2567" s="51" t="s">
        <v>2359</v>
      </c>
    </row>
    <row r="2568" customFormat="false" ht="14.25" hidden="true" customHeight="false" outlineLevel="0" collapsed="false">
      <c r="A2568" s="49" t="s">
        <v>2349</v>
      </c>
      <c r="B2568" s="49" t="s">
        <v>2350</v>
      </c>
      <c r="C2568" s="49" t="s">
        <v>5639</v>
      </c>
      <c r="D2568" s="49" t="s">
        <v>2352</v>
      </c>
      <c r="E2568" s="49" t="str">
        <f aca="false">"5060175132987"</f>
        <v>5060175132987</v>
      </c>
      <c r="F2568" s="49" t="s">
        <v>3953</v>
      </c>
      <c r="G2568" s="49" t="n">
        <v>0</v>
      </c>
      <c r="H2568" s="0" t="n">
        <v>0</v>
      </c>
      <c r="M2568" s="51" t="s">
        <v>5640</v>
      </c>
      <c r="N2568" s="49" t="n">
        <v>0</v>
      </c>
      <c r="O2568" s="53" t="n">
        <v>45731.4623842593</v>
      </c>
      <c r="P2568" s="53" t="n">
        <v>45880.5512037037</v>
      </c>
      <c r="Q2568" s="53" t="n">
        <v>45731.4623842593</v>
      </c>
      <c r="R2568" s="0" t="n">
        <v>0</v>
      </c>
      <c r="S2568" s="51" t="s">
        <v>2376</v>
      </c>
      <c r="T2568" s="51" t="s">
        <v>2376</v>
      </c>
      <c r="U2568" s="0" t="str">
        <f aca="false">"5060175132987"</f>
        <v>5060175132987</v>
      </c>
      <c r="V2568" s="51" t="s">
        <v>2365</v>
      </c>
      <c r="W2568" s="51" t="s">
        <v>5641</v>
      </c>
      <c r="X2568" s="51" t="s">
        <v>2359</v>
      </c>
    </row>
    <row r="2569" customFormat="false" ht="14.25" hidden="true" customHeight="false" outlineLevel="0" collapsed="false">
      <c r="A2569" s="49" t="s">
        <v>2349</v>
      </c>
      <c r="B2569" s="49" t="s">
        <v>2350</v>
      </c>
      <c r="C2569" s="49" t="s">
        <v>5642</v>
      </c>
      <c r="D2569" s="49" t="s">
        <v>2352</v>
      </c>
      <c r="E2569" s="49" t="str">
        <f aca="false">"5060175132987"</f>
        <v>5060175132987</v>
      </c>
      <c r="F2569" s="49" t="s">
        <v>3953</v>
      </c>
      <c r="G2569" s="49" t="n">
        <v>0</v>
      </c>
      <c r="H2569" s="0" t="n">
        <v>0</v>
      </c>
      <c r="M2569" s="51" t="s">
        <v>5640</v>
      </c>
      <c r="N2569" s="49" t="n">
        <v>0</v>
      </c>
      <c r="O2569" s="53" t="n">
        <v>45731.4621296296</v>
      </c>
      <c r="P2569" s="53" t="n">
        <v>45881.8784143519</v>
      </c>
      <c r="Q2569" s="53" t="n">
        <v>45731.4621296296</v>
      </c>
      <c r="R2569" s="0" t="n">
        <v>0</v>
      </c>
      <c r="S2569" s="51" t="s">
        <v>2376</v>
      </c>
      <c r="T2569" s="51" t="s">
        <v>2376</v>
      </c>
      <c r="U2569" s="0" t="str">
        <f aca="false">"5060175132987"</f>
        <v>5060175132987</v>
      </c>
      <c r="V2569" s="51" t="s">
        <v>2365</v>
      </c>
      <c r="W2569" s="51" t="s">
        <v>5285</v>
      </c>
      <c r="X2569" s="51" t="s">
        <v>2359</v>
      </c>
    </row>
    <row r="2570" customFormat="false" ht="14.25" hidden="true" customHeight="false" outlineLevel="0" collapsed="false">
      <c r="A2570" s="49" t="s">
        <v>2349</v>
      </c>
      <c r="B2570" s="49" t="s">
        <v>2350</v>
      </c>
      <c r="C2570" s="49" t="s">
        <v>5643</v>
      </c>
      <c r="D2570" s="49" t="s">
        <v>2352</v>
      </c>
      <c r="E2570" s="49" t="str">
        <f aca="false">"5060175132987"</f>
        <v>5060175132987</v>
      </c>
      <c r="F2570" s="49" t="s">
        <v>3953</v>
      </c>
      <c r="G2570" s="49" t="n">
        <v>0</v>
      </c>
      <c r="H2570" s="0" t="n">
        <v>0</v>
      </c>
      <c r="M2570" s="51" t="s">
        <v>5640</v>
      </c>
      <c r="N2570" s="49" t="n">
        <v>0</v>
      </c>
      <c r="O2570" s="53" t="n">
        <v>45731.4619791667</v>
      </c>
      <c r="P2570" s="53" t="n">
        <v>45872.3190162037</v>
      </c>
      <c r="Q2570" s="53" t="n">
        <v>45731.4619791667</v>
      </c>
      <c r="R2570" s="0" t="n">
        <v>0</v>
      </c>
      <c r="S2570" s="51" t="s">
        <v>2376</v>
      </c>
      <c r="T2570" s="51" t="s">
        <v>2376</v>
      </c>
      <c r="U2570" s="0" t="str">
        <f aca="false">"5060175132987"</f>
        <v>5060175132987</v>
      </c>
      <c r="V2570" s="51" t="s">
        <v>2365</v>
      </c>
      <c r="W2570" s="51" t="s">
        <v>5644</v>
      </c>
      <c r="X2570" s="51" t="s">
        <v>2359</v>
      </c>
    </row>
    <row r="2571" customFormat="false" ht="14.25" hidden="true" customHeight="false" outlineLevel="0" collapsed="false">
      <c r="A2571" s="49" t="s">
        <v>2349</v>
      </c>
      <c r="B2571" s="49" t="s">
        <v>2350</v>
      </c>
      <c r="C2571" s="49" t="s">
        <v>5645</v>
      </c>
      <c r="D2571" s="49" t="s">
        <v>2352</v>
      </c>
      <c r="E2571" s="49" t="str">
        <f aca="false">"5060175132987"</f>
        <v>5060175132987</v>
      </c>
      <c r="F2571" s="49" t="s">
        <v>3953</v>
      </c>
      <c r="G2571" s="49" t="n">
        <v>0</v>
      </c>
      <c r="H2571" s="0" t="n">
        <v>0</v>
      </c>
      <c r="M2571" s="51" t="s">
        <v>5640</v>
      </c>
      <c r="N2571" s="49" t="n">
        <v>0</v>
      </c>
      <c r="O2571" s="53" t="n">
        <v>45731.4617824074</v>
      </c>
      <c r="P2571" s="53" t="n">
        <v>45872.3248958333</v>
      </c>
      <c r="Q2571" s="53" t="n">
        <v>45731.4617824074</v>
      </c>
      <c r="R2571" s="0" t="n">
        <v>0</v>
      </c>
      <c r="S2571" s="51" t="s">
        <v>2376</v>
      </c>
      <c r="T2571" s="51" t="s">
        <v>2376</v>
      </c>
      <c r="U2571" s="0" t="str">
        <f aca="false">"5060175132987"</f>
        <v>5060175132987</v>
      </c>
      <c r="V2571" s="51" t="s">
        <v>2365</v>
      </c>
      <c r="W2571" s="51" t="s">
        <v>5646</v>
      </c>
      <c r="X2571" s="51" t="s">
        <v>2359</v>
      </c>
    </row>
    <row r="2572" customFormat="false" ht="14.25" hidden="true" customHeight="false" outlineLevel="0" collapsed="false">
      <c r="A2572" s="49" t="s">
        <v>2349</v>
      </c>
      <c r="B2572" s="49" t="s">
        <v>2350</v>
      </c>
      <c r="C2572" s="49" t="s">
        <v>5647</v>
      </c>
      <c r="D2572" s="49" t="s">
        <v>2352</v>
      </c>
      <c r="E2572" s="49" t="str">
        <f aca="false">"5060175132987"</f>
        <v>5060175132987</v>
      </c>
      <c r="F2572" s="49" t="s">
        <v>3953</v>
      </c>
      <c r="G2572" s="49" t="n">
        <v>0</v>
      </c>
      <c r="H2572" s="0" t="n">
        <v>0</v>
      </c>
      <c r="M2572" s="51" t="s">
        <v>5640</v>
      </c>
      <c r="N2572" s="49" t="n">
        <v>0</v>
      </c>
      <c r="O2572" s="53" t="n">
        <v>45731.4616319445</v>
      </c>
      <c r="P2572" s="53" t="n">
        <v>45822.8906481481</v>
      </c>
      <c r="Q2572" s="53" t="n">
        <v>45731.4616319445</v>
      </c>
      <c r="R2572" s="0" t="n">
        <v>0</v>
      </c>
      <c r="S2572" s="51" t="s">
        <v>2376</v>
      </c>
      <c r="T2572" s="51" t="s">
        <v>2376</v>
      </c>
      <c r="U2572" s="0" t="str">
        <f aca="false">"5060175132987"</f>
        <v>5060175132987</v>
      </c>
      <c r="V2572" s="51" t="s">
        <v>2365</v>
      </c>
      <c r="W2572" s="51" t="s">
        <v>5648</v>
      </c>
      <c r="X2572" s="51" t="s">
        <v>2359</v>
      </c>
    </row>
    <row r="2573" customFormat="false" ht="14.25" hidden="true" customHeight="false" outlineLevel="0" collapsed="false">
      <c r="A2573" s="49" t="s">
        <v>2349</v>
      </c>
      <c r="B2573" s="49" t="s">
        <v>2350</v>
      </c>
      <c r="C2573" s="49" t="s">
        <v>5649</v>
      </c>
      <c r="D2573" s="49" t="s">
        <v>2352</v>
      </c>
      <c r="E2573" s="49" t="str">
        <f aca="false">"5060175132987"</f>
        <v>5060175132987</v>
      </c>
      <c r="F2573" s="49" t="s">
        <v>3953</v>
      </c>
      <c r="G2573" s="49" t="n">
        <v>0</v>
      </c>
      <c r="H2573" s="0" t="n">
        <v>0</v>
      </c>
      <c r="M2573" s="51" t="s">
        <v>5640</v>
      </c>
      <c r="N2573" s="49" t="n">
        <v>0</v>
      </c>
      <c r="O2573" s="53" t="n">
        <v>45731.461400463</v>
      </c>
      <c r="P2573" s="53" t="n">
        <v>45872.3170833333</v>
      </c>
      <c r="Q2573" s="53" t="n">
        <v>45731.461400463</v>
      </c>
      <c r="R2573" s="0" t="n">
        <v>0</v>
      </c>
      <c r="S2573" s="51" t="s">
        <v>2376</v>
      </c>
      <c r="T2573" s="51" t="s">
        <v>2376</v>
      </c>
      <c r="U2573" s="0" t="str">
        <f aca="false">"5060175132987"</f>
        <v>5060175132987</v>
      </c>
      <c r="V2573" s="51" t="s">
        <v>2365</v>
      </c>
      <c r="W2573" s="51" t="s">
        <v>5650</v>
      </c>
      <c r="X2573" s="51" t="s">
        <v>2359</v>
      </c>
    </row>
    <row r="2574" customFormat="false" ht="14.25" hidden="true" customHeight="false" outlineLevel="0" collapsed="false">
      <c r="A2574" s="49" t="s">
        <v>2349</v>
      </c>
      <c r="B2574" s="49" t="s">
        <v>2350</v>
      </c>
      <c r="C2574" s="49" t="s">
        <v>5651</v>
      </c>
      <c r="D2574" s="49" t="s">
        <v>2352</v>
      </c>
      <c r="E2574" s="49" t="str">
        <f aca="false">"5060175132987"</f>
        <v>5060175132987</v>
      </c>
      <c r="F2574" s="49" t="s">
        <v>3953</v>
      </c>
      <c r="G2574" s="49" t="n">
        <v>0</v>
      </c>
      <c r="H2574" s="0" t="n">
        <v>0</v>
      </c>
      <c r="M2574" s="51" t="s">
        <v>5640</v>
      </c>
      <c r="N2574" s="49" t="n">
        <v>0</v>
      </c>
      <c r="O2574" s="53" t="n">
        <v>45731.4612152778</v>
      </c>
      <c r="P2574" s="53" t="n">
        <v>45881.8281018519</v>
      </c>
      <c r="Q2574" s="53" t="n">
        <v>45731.4612152778</v>
      </c>
      <c r="R2574" s="0" t="n">
        <v>0</v>
      </c>
      <c r="S2574" s="51" t="s">
        <v>2376</v>
      </c>
      <c r="T2574" s="51" t="s">
        <v>2376</v>
      </c>
      <c r="U2574" s="0" t="str">
        <f aca="false">"5060175132987"</f>
        <v>5060175132987</v>
      </c>
      <c r="V2574" s="51" t="s">
        <v>2365</v>
      </c>
      <c r="W2574" s="51" t="s">
        <v>4497</v>
      </c>
      <c r="X2574" s="51" t="s">
        <v>2359</v>
      </c>
    </row>
    <row r="2575" customFormat="false" ht="14.25" hidden="true" customHeight="false" outlineLevel="0" collapsed="false">
      <c r="A2575" s="49" t="s">
        <v>2349</v>
      </c>
      <c r="B2575" s="49" t="s">
        <v>2350</v>
      </c>
      <c r="C2575" s="49" t="s">
        <v>5652</v>
      </c>
      <c r="D2575" s="49" t="s">
        <v>2352</v>
      </c>
      <c r="E2575" s="49" t="str">
        <f aca="false">"5060175132987"</f>
        <v>5060175132987</v>
      </c>
      <c r="F2575" s="49" t="s">
        <v>3953</v>
      </c>
      <c r="G2575" s="49" t="n">
        <v>0</v>
      </c>
      <c r="H2575" s="0" t="n">
        <v>0</v>
      </c>
      <c r="M2575" s="51" t="s">
        <v>5640</v>
      </c>
      <c r="N2575" s="49" t="n">
        <v>0</v>
      </c>
      <c r="O2575" s="53" t="n">
        <v>45731.4608564815</v>
      </c>
      <c r="P2575" s="53" t="n">
        <v>45886.9128819444</v>
      </c>
      <c r="Q2575" s="53" t="n">
        <v>45731.4608564815</v>
      </c>
      <c r="R2575" s="0" t="n">
        <v>0</v>
      </c>
      <c r="S2575" s="51" t="s">
        <v>2376</v>
      </c>
      <c r="T2575" s="51" t="s">
        <v>2376</v>
      </c>
      <c r="U2575" s="0" t="str">
        <f aca="false">"5060175132987"</f>
        <v>5060175132987</v>
      </c>
      <c r="V2575" s="51" t="s">
        <v>2365</v>
      </c>
      <c r="W2575" s="51" t="s">
        <v>5653</v>
      </c>
      <c r="X2575" s="51" t="s">
        <v>2359</v>
      </c>
    </row>
    <row r="2576" customFormat="false" ht="14.25" hidden="true" customHeight="false" outlineLevel="0" collapsed="false">
      <c r="A2576" s="49" t="s">
        <v>2349</v>
      </c>
      <c r="B2576" s="49" t="s">
        <v>2350</v>
      </c>
      <c r="C2576" s="49" t="s">
        <v>5654</v>
      </c>
      <c r="D2576" s="49" t="s">
        <v>2352</v>
      </c>
      <c r="E2576" s="49" t="str">
        <f aca="false">"5060175132987"</f>
        <v>5060175132987</v>
      </c>
      <c r="F2576" s="49" t="s">
        <v>3953</v>
      </c>
      <c r="G2576" s="49" t="n">
        <v>0</v>
      </c>
      <c r="H2576" s="0" t="n">
        <v>0</v>
      </c>
      <c r="M2576" s="51" t="s">
        <v>5640</v>
      </c>
      <c r="N2576" s="49" t="n">
        <v>0</v>
      </c>
      <c r="O2576" s="53" t="n">
        <v>45731.4606712963</v>
      </c>
      <c r="P2576" s="53" t="n">
        <v>45886.9142939815</v>
      </c>
      <c r="Q2576" s="53" t="n">
        <v>45731.4606712963</v>
      </c>
      <c r="R2576" s="0" t="n">
        <v>0</v>
      </c>
      <c r="S2576" s="51" t="s">
        <v>2376</v>
      </c>
      <c r="T2576" s="51" t="s">
        <v>2376</v>
      </c>
      <c r="U2576" s="0" t="str">
        <f aca="false">"5060175132987"</f>
        <v>5060175132987</v>
      </c>
      <c r="V2576" s="51" t="s">
        <v>2365</v>
      </c>
      <c r="W2576" s="51" t="s">
        <v>5655</v>
      </c>
      <c r="X2576" s="51" t="s">
        <v>2359</v>
      </c>
    </row>
    <row r="2577" customFormat="false" ht="14.25" hidden="true" customHeight="false" outlineLevel="0" collapsed="false">
      <c r="A2577" s="49" t="s">
        <v>2349</v>
      </c>
      <c r="B2577" s="49" t="s">
        <v>2350</v>
      </c>
      <c r="C2577" s="49" t="s">
        <v>5656</v>
      </c>
      <c r="D2577" s="49" t="s">
        <v>2352</v>
      </c>
      <c r="E2577" s="49" t="str">
        <f aca="false">"5060175132987"</f>
        <v>5060175132987</v>
      </c>
      <c r="F2577" s="49" t="s">
        <v>3953</v>
      </c>
      <c r="G2577" s="49" t="n">
        <v>0</v>
      </c>
      <c r="H2577" s="0" t="n">
        <v>0</v>
      </c>
      <c r="M2577" s="51" t="s">
        <v>5640</v>
      </c>
      <c r="N2577" s="49" t="n">
        <v>0</v>
      </c>
      <c r="O2577" s="53" t="n">
        <v>45731.4604166667</v>
      </c>
      <c r="P2577" s="53" t="n">
        <v>45854.6966087963</v>
      </c>
      <c r="Q2577" s="53" t="n">
        <v>45731.4604166667</v>
      </c>
      <c r="R2577" s="0" t="n">
        <v>0</v>
      </c>
      <c r="S2577" s="51" t="s">
        <v>2376</v>
      </c>
      <c r="T2577" s="51" t="s">
        <v>2376</v>
      </c>
      <c r="U2577" s="0" t="str">
        <f aca="false">"5060175132987"</f>
        <v>5060175132987</v>
      </c>
      <c r="V2577" s="51" t="s">
        <v>2365</v>
      </c>
      <c r="W2577" s="51" t="s">
        <v>5657</v>
      </c>
      <c r="X2577" s="51" t="s">
        <v>2359</v>
      </c>
    </row>
    <row r="2578" customFormat="false" ht="14.25" hidden="true" customHeight="false" outlineLevel="0" collapsed="false">
      <c r="A2578" s="49" t="s">
        <v>2349</v>
      </c>
      <c r="B2578" s="49" t="s">
        <v>2350</v>
      </c>
      <c r="C2578" s="49" t="s">
        <v>5658</v>
      </c>
      <c r="D2578" s="49" t="s">
        <v>2352</v>
      </c>
      <c r="E2578" s="49" t="str">
        <f aca="false">"5060175132987"</f>
        <v>5060175132987</v>
      </c>
      <c r="F2578" s="49" t="s">
        <v>3953</v>
      </c>
      <c r="G2578" s="49" t="n">
        <v>0</v>
      </c>
      <c r="H2578" s="0" t="n">
        <v>0</v>
      </c>
      <c r="M2578" s="51" t="s">
        <v>5640</v>
      </c>
      <c r="N2578" s="49" t="n">
        <v>0</v>
      </c>
      <c r="O2578" s="53" t="n">
        <v>45731.4599652778</v>
      </c>
      <c r="P2578" s="53" t="n">
        <v>45853.935</v>
      </c>
      <c r="Q2578" s="53" t="n">
        <v>45731.4599652778</v>
      </c>
      <c r="R2578" s="0" t="n">
        <v>0</v>
      </c>
      <c r="S2578" s="51" t="s">
        <v>2376</v>
      </c>
      <c r="T2578" s="51" t="s">
        <v>2376</v>
      </c>
      <c r="U2578" s="0" t="str">
        <f aca="false">"5060175132987"</f>
        <v>5060175132987</v>
      </c>
      <c r="V2578" s="51" t="s">
        <v>2365</v>
      </c>
      <c r="W2578" s="51" t="s">
        <v>5659</v>
      </c>
      <c r="X2578" s="51" t="s">
        <v>2359</v>
      </c>
    </row>
    <row r="2579" customFormat="false" ht="14.25" hidden="true" customHeight="false" outlineLevel="0" collapsed="false">
      <c r="A2579" s="49" t="s">
        <v>2349</v>
      </c>
      <c r="B2579" s="49" t="s">
        <v>2350</v>
      </c>
      <c r="C2579" s="49" t="s">
        <v>5660</v>
      </c>
      <c r="D2579" s="49" t="s">
        <v>2352</v>
      </c>
      <c r="E2579" s="49" t="str">
        <f aca="false">"5060175132987"</f>
        <v>5060175132987</v>
      </c>
      <c r="F2579" s="49" t="s">
        <v>3953</v>
      </c>
      <c r="G2579" s="49" t="n">
        <v>0</v>
      </c>
      <c r="H2579" s="0" t="n">
        <v>0</v>
      </c>
      <c r="M2579" s="51" t="s">
        <v>5640</v>
      </c>
      <c r="N2579" s="49" t="n">
        <v>0</v>
      </c>
      <c r="O2579" s="53" t="n">
        <v>45731.463599537</v>
      </c>
      <c r="P2579" s="53" t="n">
        <v>45854.7139236111</v>
      </c>
      <c r="Q2579" s="53" t="n">
        <v>45731.463599537</v>
      </c>
      <c r="R2579" s="0" t="n">
        <v>0</v>
      </c>
      <c r="S2579" s="51" t="s">
        <v>2376</v>
      </c>
      <c r="T2579" s="51" t="s">
        <v>2376</v>
      </c>
      <c r="U2579" s="0" t="str">
        <f aca="false">"5060175132987"</f>
        <v>5060175132987</v>
      </c>
      <c r="V2579" s="51" t="s">
        <v>2365</v>
      </c>
      <c r="W2579" s="51" t="s">
        <v>4527</v>
      </c>
      <c r="X2579" s="51" t="s">
        <v>2359</v>
      </c>
    </row>
    <row r="2580" customFormat="false" ht="14.25" hidden="true" customHeight="false" outlineLevel="0" collapsed="false">
      <c r="A2580" s="49" t="s">
        <v>2349</v>
      </c>
      <c r="B2580" s="49" t="s">
        <v>2350</v>
      </c>
      <c r="C2580" s="49" t="s">
        <v>5661</v>
      </c>
      <c r="D2580" s="49" t="s">
        <v>2352</v>
      </c>
      <c r="E2580" s="49" t="str">
        <f aca="false">"5060175132987"</f>
        <v>5060175132987</v>
      </c>
      <c r="F2580" s="49" t="s">
        <v>3953</v>
      </c>
      <c r="G2580" s="49" t="n">
        <v>0</v>
      </c>
      <c r="H2580" s="0" t="n">
        <v>0</v>
      </c>
      <c r="M2580" s="51" t="s">
        <v>5640</v>
      </c>
      <c r="N2580" s="49" t="n">
        <v>0</v>
      </c>
      <c r="O2580" s="53" t="n">
        <v>45731.4638078704</v>
      </c>
      <c r="P2580" s="53" t="n">
        <v>45830.9256365741</v>
      </c>
      <c r="Q2580" s="53" t="n">
        <v>45731.4638078704</v>
      </c>
      <c r="R2580" s="0" t="n">
        <v>0</v>
      </c>
      <c r="S2580" s="51" t="s">
        <v>2376</v>
      </c>
      <c r="T2580" s="51" t="s">
        <v>2376</v>
      </c>
      <c r="U2580" s="0" t="str">
        <f aca="false">"5060175132987"</f>
        <v>5060175132987</v>
      </c>
      <c r="V2580" s="51" t="s">
        <v>2365</v>
      </c>
      <c r="W2580" s="51" t="s">
        <v>5662</v>
      </c>
      <c r="X2580" s="51" t="s">
        <v>2359</v>
      </c>
    </row>
    <row r="2581" customFormat="false" ht="14.25" hidden="true" customHeight="false" outlineLevel="0" collapsed="false">
      <c r="A2581" s="49" t="s">
        <v>2349</v>
      </c>
      <c r="B2581" s="49" t="s">
        <v>2350</v>
      </c>
      <c r="C2581" s="49" t="s">
        <v>5663</v>
      </c>
      <c r="D2581" s="49" t="s">
        <v>2352</v>
      </c>
      <c r="E2581" s="49" t="str">
        <f aca="false">"5060175132987"</f>
        <v>5060175132987</v>
      </c>
      <c r="F2581" s="49" t="s">
        <v>3953</v>
      </c>
      <c r="G2581" s="49" t="n">
        <v>0</v>
      </c>
      <c r="H2581" s="0" t="n">
        <v>0</v>
      </c>
      <c r="M2581" s="51" t="s">
        <v>5640</v>
      </c>
      <c r="N2581" s="49" t="n">
        <v>0</v>
      </c>
      <c r="O2581" s="53" t="n">
        <v>45731.4639583333</v>
      </c>
      <c r="P2581" s="53" t="n">
        <v>45822.8962847222</v>
      </c>
      <c r="Q2581" s="53" t="n">
        <v>45731.4639583333</v>
      </c>
      <c r="R2581" s="0" t="n">
        <v>0</v>
      </c>
      <c r="S2581" s="51" t="s">
        <v>2376</v>
      </c>
      <c r="T2581" s="51" t="s">
        <v>2376</v>
      </c>
      <c r="U2581" s="0" t="str">
        <f aca="false">"5060175132987"</f>
        <v>5060175132987</v>
      </c>
      <c r="V2581" s="51" t="s">
        <v>2365</v>
      </c>
      <c r="W2581" s="51" t="s">
        <v>5664</v>
      </c>
      <c r="X2581" s="51" t="s">
        <v>2359</v>
      </c>
    </row>
    <row r="2582" customFormat="false" ht="14.25" hidden="true" customHeight="false" outlineLevel="0" collapsed="false">
      <c r="A2582" s="49" t="s">
        <v>2349</v>
      </c>
      <c r="B2582" s="49" t="s">
        <v>2350</v>
      </c>
      <c r="C2582" s="49" t="s">
        <v>5665</v>
      </c>
      <c r="D2582" s="49" t="s">
        <v>2352</v>
      </c>
      <c r="E2582" s="49" t="str">
        <f aca="false">"5060175132987"</f>
        <v>5060175132987</v>
      </c>
      <c r="F2582" s="49" t="s">
        <v>3953</v>
      </c>
      <c r="G2582" s="49" t="n">
        <v>0</v>
      </c>
      <c r="H2582" s="0" t="n">
        <v>0</v>
      </c>
      <c r="M2582" s="51" t="s">
        <v>5640</v>
      </c>
      <c r="N2582" s="49" t="n">
        <v>0</v>
      </c>
      <c r="O2582" s="53" t="n">
        <v>45731.4641087963</v>
      </c>
      <c r="P2582" s="53" t="n">
        <v>45844.7802777778</v>
      </c>
      <c r="Q2582" s="53" t="n">
        <v>45731.4641087963</v>
      </c>
      <c r="R2582" s="0" t="n">
        <v>0</v>
      </c>
      <c r="S2582" s="51" t="s">
        <v>2376</v>
      </c>
      <c r="T2582" s="51" t="s">
        <v>2376</v>
      </c>
      <c r="U2582" s="0" t="str">
        <f aca="false">"5060175132987"</f>
        <v>5060175132987</v>
      </c>
      <c r="V2582" s="51" t="s">
        <v>2365</v>
      </c>
      <c r="W2582" s="51" t="s">
        <v>5666</v>
      </c>
      <c r="X2582" s="51" t="s">
        <v>2359</v>
      </c>
    </row>
    <row r="2583" customFormat="false" ht="14.25" hidden="true" customHeight="false" outlineLevel="0" collapsed="false">
      <c r="A2583" s="49" t="s">
        <v>2349</v>
      </c>
      <c r="B2583" s="49" t="s">
        <v>2350</v>
      </c>
      <c r="C2583" s="49" t="s">
        <v>5667</v>
      </c>
      <c r="D2583" s="49" t="s">
        <v>2352</v>
      </c>
      <c r="E2583" s="49" t="str">
        <f aca="false">"5060175132987"</f>
        <v>5060175132987</v>
      </c>
      <c r="F2583" s="49" t="s">
        <v>3953</v>
      </c>
      <c r="G2583" s="49" t="n">
        <v>0</v>
      </c>
      <c r="H2583" s="0" t="n">
        <v>0</v>
      </c>
      <c r="M2583" s="51" t="s">
        <v>5640</v>
      </c>
      <c r="N2583" s="49" t="n">
        <v>0</v>
      </c>
      <c r="O2583" s="53" t="n">
        <v>45731.4645601852</v>
      </c>
      <c r="P2583" s="53" t="n">
        <v>45740.0509953704</v>
      </c>
      <c r="Q2583" s="53" t="n">
        <v>45731.4645601852</v>
      </c>
      <c r="R2583" s="0" t="n">
        <v>0</v>
      </c>
      <c r="S2583" s="51" t="s">
        <v>2376</v>
      </c>
      <c r="T2583" s="51" t="s">
        <v>2376</v>
      </c>
      <c r="U2583" s="0" t="str">
        <f aca="false">"5060175132987"</f>
        <v>5060175132987</v>
      </c>
      <c r="V2583" s="51" t="s">
        <v>2365</v>
      </c>
      <c r="W2583" s="51" t="s">
        <v>5668</v>
      </c>
      <c r="X2583" s="51" t="s">
        <v>2359</v>
      </c>
    </row>
    <row r="2584" customFormat="false" ht="14.25" hidden="true" customHeight="false" outlineLevel="0" collapsed="false">
      <c r="A2584" s="49" t="s">
        <v>2349</v>
      </c>
      <c r="B2584" s="49" t="s">
        <v>2350</v>
      </c>
      <c r="C2584" s="49" t="s">
        <v>5669</v>
      </c>
      <c r="D2584" s="49" t="s">
        <v>2352</v>
      </c>
      <c r="E2584" s="49" t="str">
        <f aca="false">"5060175132987"</f>
        <v>5060175132987</v>
      </c>
      <c r="F2584" s="49" t="s">
        <v>3953</v>
      </c>
      <c r="G2584" s="49" t="n">
        <v>0</v>
      </c>
      <c r="H2584" s="0" t="n">
        <v>0</v>
      </c>
      <c r="M2584" s="51" t="s">
        <v>5640</v>
      </c>
      <c r="N2584" s="49" t="n">
        <v>0</v>
      </c>
      <c r="O2584" s="53" t="n">
        <v>45731.4647222222</v>
      </c>
      <c r="P2584" s="53" t="n">
        <v>45740.0505439815</v>
      </c>
      <c r="Q2584" s="53" t="n">
        <v>45731.4647222222</v>
      </c>
      <c r="R2584" s="0" t="n">
        <v>0</v>
      </c>
      <c r="S2584" s="51" t="s">
        <v>2376</v>
      </c>
      <c r="T2584" s="51" t="s">
        <v>2376</v>
      </c>
      <c r="U2584" s="0" t="str">
        <f aca="false">"5060175132987"</f>
        <v>5060175132987</v>
      </c>
      <c r="V2584" s="51" t="s">
        <v>2365</v>
      </c>
      <c r="W2584" s="51" t="s">
        <v>5670</v>
      </c>
      <c r="X2584" s="51" t="s">
        <v>2359</v>
      </c>
    </row>
    <row r="2585" customFormat="false" ht="14.25" hidden="true" customHeight="false" outlineLevel="0" collapsed="false">
      <c r="A2585" s="49" t="s">
        <v>2349</v>
      </c>
      <c r="B2585" s="49" t="s">
        <v>2350</v>
      </c>
      <c r="C2585" s="49" t="s">
        <v>5671</v>
      </c>
      <c r="D2585" s="49" t="s">
        <v>2352</v>
      </c>
      <c r="E2585" s="49" t="str">
        <f aca="false">"5060175132987"</f>
        <v>5060175132987</v>
      </c>
      <c r="F2585" s="49" t="s">
        <v>3953</v>
      </c>
      <c r="G2585" s="49" t="n">
        <v>0</v>
      </c>
      <c r="H2585" s="0" t="n">
        <v>0</v>
      </c>
      <c r="M2585" s="51" t="s">
        <v>5640</v>
      </c>
      <c r="N2585" s="49" t="n">
        <v>0</v>
      </c>
      <c r="O2585" s="53" t="n">
        <v>45731.4649305556</v>
      </c>
      <c r="P2585" s="53" t="n">
        <v>45801.5863194445</v>
      </c>
      <c r="Q2585" s="53" t="n">
        <v>45731.4649305556</v>
      </c>
      <c r="R2585" s="0" t="n">
        <v>0</v>
      </c>
      <c r="S2585" s="51" t="s">
        <v>2376</v>
      </c>
      <c r="T2585" s="51" t="s">
        <v>2376</v>
      </c>
      <c r="U2585" s="0" t="str">
        <f aca="false">"5060175132987"</f>
        <v>5060175132987</v>
      </c>
      <c r="V2585" s="51" t="s">
        <v>2365</v>
      </c>
      <c r="W2585" s="51" t="s">
        <v>5672</v>
      </c>
      <c r="X2585" s="51" t="s">
        <v>2359</v>
      </c>
    </row>
    <row r="2586" customFormat="false" ht="14.25" hidden="true" customHeight="false" outlineLevel="0" collapsed="false">
      <c r="A2586" s="49" t="s">
        <v>2349</v>
      </c>
      <c r="B2586" s="49" t="s">
        <v>2350</v>
      </c>
      <c r="C2586" s="49" t="s">
        <v>5673</v>
      </c>
      <c r="D2586" s="49" t="s">
        <v>2352</v>
      </c>
      <c r="E2586" s="49" t="str">
        <f aca="false">"5060175132987"</f>
        <v>5060175132987</v>
      </c>
      <c r="F2586" s="49" t="s">
        <v>3953</v>
      </c>
      <c r="G2586" s="49" t="n">
        <v>0</v>
      </c>
      <c r="H2586" s="0" t="n">
        <v>0</v>
      </c>
      <c r="M2586" s="51" t="s">
        <v>5640</v>
      </c>
      <c r="N2586" s="49" t="n">
        <v>0</v>
      </c>
      <c r="O2586" s="53" t="n">
        <v>45731.4651967593</v>
      </c>
      <c r="P2586" s="53" t="n">
        <v>45797.7856828704</v>
      </c>
      <c r="Q2586" s="53" t="n">
        <v>45731.4651967593</v>
      </c>
      <c r="R2586" s="0" t="n">
        <v>0</v>
      </c>
      <c r="S2586" s="51" t="s">
        <v>2376</v>
      </c>
      <c r="T2586" s="51" t="s">
        <v>2376</v>
      </c>
      <c r="U2586" s="0" t="str">
        <f aca="false">"5060175132987"</f>
        <v>5060175132987</v>
      </c>
      <c r="V2586" s="51" t="s">
        <v>2365</v>
      </c>
      <c r="W2586" s="51" t="s">
        <v>4759</v>
      </c>
      <c r="X2586" s="51" t="s">
        <v>2359</v>
      </c>
    </row>
    <row r="2587" customFormat="false" ht="14.25" hidden="true" customHeight="false" outlineLevel="0" collapsed="false">
      <c r="A2587" s="49" t="s">
        <v>2349</v>
      </c>
      <c r="B2587" s="49" t="s">
        <v>2350</v>
      </c>
      <c r="C2587" s="49" t="s">
        <v>5674</v>
      </c>
      <c r="D2587" s="49" t="s">
        <v>2352</v>
      </c>
      <c r="E2587" s="49" t="str">
        <f aca="false">"5414920037148"</f>
        <v>5414920037148</v>
      </c>
      <c r="F2587" s="49" t="s">
        <v>4008</v>
      </c>
      <c r="G2587" s="49" t="n">
        <v>0</v>
      </c>
      <c r="H2587" s="0" t="n">
        <v>0</v>
      </c>
      <c r="M2587" s="51" t="s">
        <v>5675</v>
      </c>
      <c r="N2587" s="49" t="n">
        <v>0</v>
      </c>
      <c r="O2587" s="53" t="n">
        <v>45731.260625</v>
      </c>
      <c r="P2587" s="53" t="n">
        <v>45738.5292939815</v>
      </c>
      <c r="Q2587" s="53" t="n">
        <v>45731.260625</v>
      </c>
      <c r="R2587" s="0" t="n">
        <v>0</v>
      </c>
      <c r="S2587" s="51" t="s">
        <v>5676</v>
      </c>
      <c r="T2587" s="51" t="s">
        <v>5676</v>
      </c>
      <c r="U2587" s="0" t="str">
        <f aca="false">"5414920037148"</f>
        <v>5414920037148</v>
      </c>
      <c r="V2587" s="51" t="s">
        <v>2365</v>
      </c>
      <c r="W2587" s="51" t="s">
        <v>5677</v>
      </c>
      <c r="X2587" s="51" t="s">
        <v>2359</v>
      </c>
    </row>
    <row r="2588" customFormat="false" ht="14.25" hidden="true" customHeight="false" outlineLevel="0" collapsed="false">
      <c r="A2588" s="49" t="s">
        <v>2349</v>
      </c>
      <c r="B2588" s="49" t="s">
        <v>2350</v>
      </c>
      <c r="C2588" s="49" t="s">
        <v>5678</v>
      </c>
      <c r="D2588" s="49" t="s">
        <v>2352</v>
      </c>
      <c r="E2588" s="49" t="str">
        <f aca="false">"5060458890191"</f>
        <v>5060458890191</v>
      </c>
      <c r="F2588" s="49" t="s">
        <v>3656</v>
      </c>
      <c r="G2588" s="49" t="n">
        <v>0</v>
      </c>
      <c r="H2588" s="0" t="n">
        <v>0</v>
      </c>
      <c r="M2588" s="51" t="s">
        <v>5679</v>
      </c>
      <c r="N2588" s="49" t="n">
        <v>0</v>
      </c>
      <c r="O2588" s="53" t="n">
        <v>45722.5443287037</v>
      </c>
      <c r="P2588" s="53" t="n">
        <v>45722.8971875</v>
      </c>
      <c r="Q2588" s="53" t="n">
        <v>45722.5443287037</v>
      </c>
      <c r="R2588" s="0" t="n">
        <v>0</v>
      </c>
      <c r="S2588" s="51" t="s">
        <v>2376</v>
      </c>
      <c r="T2588" s="51" t="s">
        <v>2376</v>
      </c>
      <c r="U2588" s="0" t="str">
        <f aca="false">"5060458890191"</f>
        <v>5060458890191</v>
      </c>
      <c r="V2588" s="51" t="s">
        <v>2142</v>
      </c>
      <c r="W2588" s="51" t="s">
        <v>4080</v>
      </c>
      <c r="X2588" s="51" t="s">
        <v>2359</v>
      </c>
    </row>
    <row r="2589" customFormat="false" ht="14.25" hidden="true" customHeight="false" outlineLevel="0" collapsed="false">
      <c r="A2589" s="49" t="s">
        <v>2349</v>
      </c>
      <c r="B2589" s="49" t="s">
        <v>2350</v>
      </c>
      <c r="C2589" s="49" t="s">
        <v>5680</v>
      </c>
      <c r="D2589" s="49" t="s">
        <v>2352</v>
      </c>
      <c r="E2589" s="49" t="str">
        <f aca="false">"5060458890191"</f>
        <v>5060458890191</v>
      </c>
      <c r="F2589" s="49" t="s">
        <v>3656</v>
      </c>
      <c r="G2589" s="49" t="n">
        <v>0</v>
      </c>
      <c r="H2589" s="0" t="n">
        <v>0</v>
      </c>
      <c r="M2589" s="51" t="s">
        <v>5679</v>
      </c>
      <c r="N2589" s="49" t="n">
        <v>0</v>
      </c>
      <c r="O2589" s="53" t="n">
        <v>45722.5445717593</v>
      </c>
      <c r="P2589" s="53" t="n">
        <v>45722.898275463</v>
      </c>
      <c r="Q2589" s="53" t="n">
        <v>45722.5445717593</v>
      </c>
      <c r="R2589" s="0" t="n">
        <v>0</v>
      </c>
      <c r="S2589" s="51" t="s">
        <v>2376</v>
      </c>
      <c r="T2589" s="51" t="s">
        <v>2376</v>
      </c>
      <c r="U2589" s="0" t="str">
        <f aca="false">"5060458890191"</f>
        <v>5060458890191</v>
      </c>
      <c r="V2589" s="51" t="s">
        <v>2142</v>
      </c>
      <c r="W2589" s="51" t="s">
        <v>4297</v>
      </c>
      <c r="X2589" s="51" t="s">
        <v>2359</v>
      </c>
    </row>
    <row r="2590" customFormat="false" ht="14.25" hidden="true" customHeight="false" outlineLevel="0" collapsed="false">
      <c r="A2590" s="49" t="s">
        <v>2349</v>
      </c>
      <c r="B2590" s="49" t="s">
        <v>2350</v>
      </c>
      <c r="C2590" s="49" t="s">
        <v>5681</v>
      </c>
      <c r="D2590" s="49" t="s">
        <v>2352</v>
      </c>
      <c r="E2590" s="49" t="str">
        <f aca="false">"5060458890191"</f>
        <v>5060458890191</v>
      </c>
      <c r="F2590" s="49" t="s">
        <v>3656</v>
      </c>
      <c r="G2590" s="49" t="n">
        <v>0</v>
      </c>
      <c r="H2590" s="0" t="n">
        <v>0</v>
      </c>
      <c r="M2590" s="51" t="s">
        <v>5679</v>
      </c>
      <c r="N2590" s="49" t="n">
        <v>0</v>
      </c>
      <c r="O2590" s="53" t="n">
        <v>45722.5447685185</v>
      </c>
      <c r="P2590" s="53" t="n">
        <v>45722.8977199074</v>
      </c>
      <c r="Q2590" s="53" t="n">
        <v>45722.5447685185</v>
      </c>
      <c r="R2590" s="0" t="n">
        <v>0</v>
      </c>
      <c r="S2590" s="51" t="s">
        <v>2376</v>
      </c>
      <c r="T2590" s="51" t="s">
        <v>2376</v>
      </c>
      <c r="U2590" s="0" t="str">
        <f aca="false">"5060458890191"</f>
        <v>5060458890191</v>
      </c>
      <c r="V2590" s="51" t="s">
        <v>2142</v>
      </c>
      <c r="W2590" s="51" t="s">
        <v>4036</v>
      </c>
      <c r="X2590" s="51" t="s">
        <v>2359</v>
      </c>
    </row>
    <row r="2591" customFormat="false" ht="14.25" hidden="true" customHeight="false" outlineLevel="0" collapsed="false">
      <c r="A2591" s="49" t="s">
        <v>2349</v>
      </c>
      <c r="B2591" s="49" t="s">
        <v>2350</v>
      </c>
      <c r="C2591" s="49" t="s">
        <v>5682</v>
      </c>
      <c r="D2591" s="49" t="s">
        <v>2352</v>
      </c>
      <c r="E2591" s="49" t="str">
        <f aca="false">"5060458890191"</f>
        <v>5060458890191</v>
      </c>
      <c r="F2591" s="49" t="s">
        <v>3656</v>
      </c>
      <c r="G2591" s="49" t="n">
        <v>0</v>
      </c>
      <c r="H2591" s="0" t="n">
        <v>0</v>
      </c>
      <c r="M2591" s="51" t="s">
        <v>5679</v>
      </c>
      <c r="N2591" s="49" t="n">
        <v>0</v>
      </c>
      <c r="O2591" s="53" t="n">
        <v>45722.5451041667</v>
      </c>
      <c r="P2591" s="53" t="n">
        <v>45740.0462268519</v>
      </c>
      <c r="Q2591" s="53" t="n">
        <v>45722.5451041667</v>
      </c>
      <c r="R2591" s="0" t="n">
        <v>0</v>
      </c>
      <c r="S2591" s="51" t="s">
        <v>2376</v>
      </c>
      <c r="T2591" s="51" t="s">
        <v>2376</v>
      </c>
      <c r="U2591" s="0" t="str">
        <f aca="false">"5060458890191"</f>
        <v>5060458890191</v>
      </c>
      <c r="V2591" s="51" t="s">
        <v>2142</v>
      </c>
      <c r="W2591" s="51" t="s">
        <v>4458</v>
      </c>
      <c r="X2591" s="51" t="s">
        <v>2359</v>
      </c>
    </row>
    <row r="2592" customFormat="false" ht="14.25" hidden="true" customHeight="false" outlineLevel="0" collapsed="false">
      <c r="A2592" s="49" t="s">
        <v>2349</v>
      </c>
      <c r="B2592" s="49" t="s">
        <v>2350</v>
      </c>
      <c r="C2592" s="49" t="s">
        <v>5683</v>
      </c>
      <c r="D2592" s="49" t="s">
        <v>2352</v>
      </c>
      <c r="E2592" s="49" t="str">
        <f aca="false">"5060458890191"</f>
        <v>5060458890191</v>
      </c>
      <c r="F2592" s="49" t="s">
        <v>3656</v>
      </c>
      <c r="G2592" s="49" t="n">
        <v>0</v>
      </c>
      <c r="H2592" s="0" t="n">
        <v>0</v>
      </c>
      <c r="M2592" s="51" t="s">
        <v>5679</v>
      </c>
      <c r="N2592" s="49" t="n">
        <v>0</v>
      </c>
      <c r="O2592" s="53" t="n">
        <v>45722.54625</v>
      </c>
      <c r="P2592" s="53" t="n">
        <v>45740.0477430556</v>
      </c>
      <c r="Q2592" s="53" t="n">
        <v>45722.54625</v>
      </c>
      <c r="R2592" s="0" t="n">
        <v>0</v>
      </c>
      <c r="S2592" s="51" t="s">
        <v>2376</v>
      </c>
      <c r="T2592" s="51" t="s">
        <v>2376</v>
      </c>
      <c r="U2592" s="0" t="str">
        <f aca="false">"5060458890191"</f>
        <v>5060458890191</v>
      </c>
      <c r="V2592" s="51" t="s">
        <v>2142</v>
      </c>
      <c r="W2592" s="51" t="s">
        <v>4918</v>
      </c>
      <c r="X2592" s="51" t="s">
        <v>2359</v>
      </c>
    </row>
    <row r="2593" customFormat="false" ht="14.25" hidden="true" customHeight="false" outlineLevel="0" collapsed="false">
      <c r="A2593" s="49" t="s">
        <v>2349</v>
      </c>
      <c r="B2593" s="49" t="s">
        <v>2350</v>
      </c>
      <c r="C2593" s="49" t="s">
        <v>5684</v>
      </c>
      <c r="D2593" s="49" t="s">
        <v>2352</v>
      </c>
      <c r="E2593" s="49" t="str">
        <f aca="false">"5060458890191"</f>
        <v>5060458890191</v>
      </c>
      <c r="F2593" s="49" t="s">
        <v>3656</v>
      </c>
      <c r="G2593" s="49" t="n">
        <v>0</v>
      </c>
      <c r="H2593" s="0" t="n">
        <v>0</v>
      </c>
      <c r="M2593" s="51" t="s">
        <v>5685</v>
      </c>
      <c r="N2593" s="49" t="n">
        <v>0</v>
      </c>
      <c r="O2593" s="53" t="n">
        <v>45721.5889583333</v>
      </c>
      <c r="P2593" s="53" t="n">
        <v>45729.5050462963</v>
      </c>
      <c r="Q2593" s="53" t="n">
        <v>45721.5889583333</v>
      </c>
      <c r="R2593" s="0" t="n">
        <v>0</v>
      </c>
      <c r="S2593" s="51" t="s">
        <v>2376</v>
      </c>
      <c r="T2593" s="51" t="s">
        <v>2376</v>
      </c>
      <c r="U2593" s="0" t="str">
        <f aca="false">"5060458890191"</f>
        <v>5060458890191</v>
      </c>
      <c r="V2593" s="51" t="s">
        <v>2142</v>
      </c>
      <c r="W2593" s="51" t="s">
        <v>4110</v>
      </c>
      <c r="X2593" s="51" t="s">
        <v>2359</v>
      </c>
    </row>
    <row r="2594" customFormat="false" ht="14.25" hidden="true" customHeight="false" outlineLevel="0" collapsed="false">
      <c r="A2594" s="49" t="s">
        <v>2349</v>
      </c>
      <c r="B2594" s="49" t="s">
        <v>2350</v>
      </c>
      <c r="C2594" s="49" t="s">
        <v>5686</v>
      </c>
      <c r="D2594" s="49" t="s">
        <v>2352</v>
      </c>
      <c r="E2594" s="49" t="str">
        <f aca="false">"5942326400643"</f>
        <v>5942326400643</v>
      </c>
      <c r="F2594" s="49" t="s">
        <v>5687</v>
      </c>
      <c r="G2594" s="49" t="n">
        <v>0</v>
      </c>
      <c r="H2594" s="0" t="n">
        <v>0</v>
      </c>
      <c r="M2594" s="51" t="s">
        <v>5688</v>
      </c>
      <c r="N2594" s="49" t="n">
        <v>0</v>
      </c>
      <c r="O2594" s="53" t="n">
        <v>45728.5404166667</v>
      </c>
      <c r="P2594" s="53" t="n">
        <v>45730.0860763889</v>
      </c>
      <c r="Q2594" s="53" t="n">
        <v>45728.5404166667</v>
      </c>
      <c r="R2594" s="0" t="n">
        <v>0</v>
      </c>
      <c r="S2594" s="51" t="s">
        <v>2376</v>
      </c>
      <c r="T2594" s="51" t="s">
        <v>2376</v>
      </c>
      <c r="U2594" s="0" t="str">
        <f aca="false">"5942326400643"</f>
        <v>5942326400643</v>
      </c>
      <c r="V2594" s="51" t="s">
        <v>2365</v>
      </c>
      <c r="W2594" s="51" t="s">
        <v>5521</v>
      </c>
      <c r="X2594" s="51" t="s">
        <v>2359</v>
      </c>
    </row>
    <row r="2595" customFormat="false" ht="14.25" hidden="true" customHeight="false" outlineLevel="0" collapsed="false">
      <c r="A2595" s="49" t="s">
        <v>2349</v>
      </c>
      <c r="B2595" s="49" t="s">
        <v>2350</v>
      </c>
      <c r="C2595" s="49" t="s">
        <v>5689</v>
      </c>
      <c r="D2595" s="49" t="s">
        <v>2352</v>
      </c>
      <c r="E2595" s="49" t="str">
        <f aca="false">"5942326400643"</f>
        <v>5942326400643</v>
      </c>
      <c r="F2595" s="49" t="s">
        <v>5687</v>
      </c>
      <c r="G2595" s="49" t="n">
        <v>0</v>
      </c>
      <c r="H2595" s="0" t="n">
        <v>0</v>
      </c>
      <c r="M2595" s="51" t="s">
        <v>5688</v>
      </c>
      <c r="N2595" s="49" t="n">
        <v>0</v>
      </c>
      <c r="O2595" s="53" t="n">
        <v>45728.540162037</v>
      </c>
      <c r="P2595" s="53" t="n">
        <v>45730.090787037</v>
      </c>
      <c r="Q2595" s="53" t="n">
        <v>45728.540162037</v>
      </c>
      <c r="R2595" s="0" t="n">
        <v>0</v>
      </c>
      <c r="S2595" s="51" t="s">
        <v>2376</v>
      </c>
      <c r="T2595" s="51" t="s">
        <v>2376</v>
      </c>
      <c r="U2595" s="0" t="str">
        <f aca="false">"5942326400643"</f>
        <v>5942326400643</v>
      </c>
      <c r="V2595" s="51" t="s">
        <v>2365</v>
      </c>
      <c r="W2595" s="51" t="s">
        <v>5519</v>
      </c>
      <c r="X2595" s="51" t="s">
        <v>2359</v>
      </c>
    </row>
    <row r="2596" customFormat="false" ht="14.25" hidden="true" customHeight="false" outlineLevel="0" collapsed="false">
      <c r="A2596" s="49" t="s">
        <v>2349</v>
      </c>
      <c r="B2596" s="49" t="s">
        <v>2350</v>
      </c>
      <c r="C2596" s="49" t="s">
        <v>5690</v>
      </c>
      <c r="D2596" s="49" t="s">
        <v>2352</v>
      </c>
      <c r="E2596" s="49" t="str">
        <f aca="false">"5942326400643"</f>
        <v>5942326400643</v>
      </c>
      <c r="F2596" s="49" t="s">
        <v>5687</v>
      </c>
      <c r="G2596" s="49" t="n">
        <v>0</v>
      </c>
      <c r="H2596" s="0" t="n">
        <v>0</v>
      </c>
      <c r="M2596" s="51" t="s">
        <v>5688</v>
      </c>
      <c r="N2596" s="49" t="n">
        <v>0</v>
      </c>
      <c r="O2596" s="53" t="n">
        <v>45728.5391203704</v>
      </c>
      <c r="P2596" s="53" t="n">
        <v>45730.0881018519</v>
      </c>
      <c r="Q2596" s="53" t="n">
        <v>45728.5391203704</v>
      </c>
      <c r="R2596" s="0" t="n">
        <v>0</v>
      </c>
      <c r="S2596" s="51" t="s">
        <v>2376</v>
      </c>
      <c r="T2596" s="51" t="s">
        <v>2376</v>
      </c>
      <c r="U2596" s="0" t="str">
        <f aca="false">"5942326400643"</f>
        <v>5942326400643</v>
      </c>
      <c r="V2596" s="51" t="s">
        <v>2365</v>
      </c>
      <c r="W2596" s="51" t="s">
        <v>5691</v>
      </c>
      <c r="X2596" s="51" t="s">
        <v>2359</v>
      </c>
    </row>
    <row r="2597" customFormat="false" ht="14.25" hidden="true" customHeight="false" outlineLevel="0" collapsed="false">
      <c r="A2597" s="49" t="s">
        <v>2349</v>
      </c>
      <c r="B2597" s="49" t="s">
        <v>2350</v>
      </c>
      <c r="C2597" s="49" t="s">
        <v>5692</v>
      </c>
      <c r="D2597" s="49" t="s">
        <v>2352</v>
      </c>
      <c r="E2597" s="49" t="str">
        <f aca="false">"5942326400643"</f>
        <v>5942326400643</v>
      </c>
      <c r="F2597" s="49" t="s">
        <v>5687</v>
      </c>
      <c r="G2597" s="49" t="n">
        <v>0</v>
      </c>
      <c r="H2597" s="0" t="n">
        <v>0</v>
      </c>
      <c r="M2597" s="51" t="s">
        <v>5688</v>
      </c>
      <c r="N2597" s="49" t="n">
        <v>0</v>
      </c>
      <c r="O2597" s="53" t="n">
        <v>45728.5388888889</v>
      </c>
      <c r="P2597" s="53" t="n">
        <v>45760.704837963</v>
      </c>
      <c r="Q2597" s="53" t="n">
        <v>45728.5388888889</v>
      </c>
      <c r="R2597" s="0" t="n">
        <v>0</v>
      </c>
      <c r="S2597" s="51" t="s">
        <v>2376</v>
      </c>
      <c r="T2597" s="51" t="s">
        <v>2376</v>
      </c>
      <c r="U2597" s="0" t="str">
        <f aca="false">"5942326400643"</f>
        <v>5942326400643</v>
      </c>
      <c r="V2597" s="51" t="s">
        <v>2365</v>
      </c>
      <c r="W2597" s="51" t="s">
        <v>5693</v>
      </c>
      <c r="X2597" s="51" t="s">
        <v>2359</v>
      </c>
    </row>
    <row r="2598" customFormat="false" ht="14.25" hidden="true" customHeight="false" outlineLevel="0" collapsed="false">
      <c r="A2598" s="49" t="s">
        <v>2349</v>
      </c>
      <c r="B2598" s="49" t="s">
        <v>2350</v>
      </c>
      <c r="C2598" s="49" t="s">
        <v>5694</v>
      </c>
      <c r="D2598" s="49" t="s">
        <v>2352</v>
      </c>
      <c r="E2598" s="49" t="str">
        <f aca="false">"5942326400643"</f>
        <v>5942326400643</v>
      </c>
      <c r="F2598" s="49" t="s">
        <v>5687</v>
      </c>
      <c r="G2598" s="49" t="n">
        <v>0</v>
      </c>
      <c r="H2598" s="0" t="n">
        <v>0</v>
      </c>
      <c r="M2598" s="51" t="s">
        <v>5688</v>
      </c>
      <c r="N2598" s="49" t="n">
        <v>0</v>
      </c>
      <c r="O2598" s="53" t="n">
        <v>45728.5414236111</v>
      </c>
      <c r="P2598" s="53" t="n">
        <v>45787.3773958333</v>
      </c>
      <c r="Q2598" s="53" t="n">
        <v>45728.5414236111</v>
      </c>
      <c r="R2598" s="0" t="n">
        <v>0</v>
      </c>
      <c r="S2598" s="51" t="s">
        <v>2376</v>
      </c>
      <c r="T2598" s="51" t="s">
        <v>2376</v>
      </c>
      <c r="U2598" s="0" t="str">
        <f aca="false">"5942326400643"</f>
        <v>5942326400643</v>
      </c>
      <c r="V2598" s="51" t="s">
        <v>2365</v>
      </c>
      <c r="W2598" s="51" t="s">
        <v>5695</v>
      </c>
      <c r="X2598" s="51" t="s">
        <v>2359</v>
      </c>
    </row>
    <row r="2599" customFormat="false" ht="14.25" hidden="true" customHeight="false" outlineLevel="0" collapsed="false">
      <c r="A2599" s="49" t="s">
        <v>2349</v>
      </c>
      <c r="B2599" s="49" t="s">
        <v>2350</v>
      </c>
      <c r="C2599" s="49" t="s">
        <v>5696</v>
      </c>
      <c r="D2599" s="49" t="s">
        <v>2352</v>
      </c>
      <c r="E2599" s="49" t="str">
        <f aca="false">"5942326400643"</f>
        <v>5942326400643</v>
      </c>
      <c r="F2599" s="49" t="s">
        <v>5687</v>
      </c>
      <c r="G2599" s="49" t="n">
        <v>0</v>
      </c>
      <c r="H2599" s="0" t="n">
        <v>0</v>
      </c>
      <c r="M2599" s="51" t="s">
        <v>5688</v>
      </c>
      <c r="N2599" s="49" t="n">
        <v>0</v>
      </c>
      <c r="O2599" s="53" t="n">
        <v>45728.5411689815</v>
      </c>
      <c r="P2599" s="53" t="n">
        <v>45769.9562268519</v>
      </c>
      <c r="Q2599" s="53" t="n">
        <v>45728.5411689815</v>
      </c>
      <c r="R2599" s="0" t="n">
        <v>0</v>
      </c>
      <c r="S2599" s="51" t="s">
        <v>2376</v>
      </c>
      <c r="T2599" s="51" t="s">
        <v>2376</v>
      </c>
      <c r="U2599" s="0" t="str">
        <f aca="false">"5942326400643"</f>
        <v>5942326400643</v>
      </c>
      <c r="V2599" s="51" t="s">
        <v>2365</v>
      </c>
      <c r="W2599" s="51" t="s">
        <v>5697</v>
      </c>
      <c r="X2599" s="51" t="s">
        <v>2359</v>
      </c>
    </row>
    <row r="2600" customFormat="false" ht="14.25" hidden="true" customHeight="false" outlineLevel="0" collapsed="false">
      <c r="A2600" s="49" t="s">
        <v>2349</v>
      </c>
      <c r="B2600" s="49" t="s">
        <v>2350</v>
      </c>
      <c r="C2600" s="49" t="s">
        <v>5698</v>
      </c>
      <c r="D2600" s="49" t="s">
        <v>2352</v>
      </c>
      <c r="E2600" s="49" t="str">
        <f aca="false">"5942326400643"</f>
        <v>5942326400643</v>
      </c>
      <c r="F2600" s="49" t="s">
        <v>5687</v>
      </c>
      <c r="G2600" s="49" t="n">
        <v>0</v>
      </c>
      <c r="H2600" s="0" t="n">
        <v>0</v>
      </c>
      <c r="M2600" s="51" t="s">
        <v>5688</v>
      </c>
      <c r="N2600" s="49" t="n">
        <v>0</v>
      </c>
      <c r="O2600" s="53" t="n">
        <v>45728.5418634259</v>
      </c>
      <c r="P2600" s="53" t="n">
        <v>45790.4388194445</v>
      </c>
      <c r="Q2600" s="53" t="n">
        <v>45728.5418634259</v>
      </c>
      <c r="R2600" s="0" t="n">
        <v>0</v>
      </c>
      <c r="S2600" s="51" t="s">
        <v>2376</v>
      </c>
      <c r="T2600" s="51" t="s">
        <v>2376</v>
      </c>
      <c r="U2600" s="0" t="str">
        <f aca="false">"5942326400643"</f>
        <v>5942326400643</v>
      </c>
      <c r="V2600" s="51" t="s">
        <v>2365</v>
      </c>
      <c r="W2600" s="51" t="s">
        <v>5699</v>
      </c>
      <c r="X2600" s="51" t="s">
        <v>2359</v>
      </c>
    </row>
    <row r="2601" customFormat="false" ht="14.25" hidden="true" customHeight="false" outlineLevel="0" collapsed="false">
      <c r="A2601" s="49" t="s">
        <v>2349</v>
      </c>
      <c r="B2601" s="49" t="s">
        <v>2350</v>
      </c>
      <c r="C2601" s="49" t="s">
        <v>5700</v>
      </c>
      <c r="D2601" s="49" t="s">
        <v>2352</v>
      </c>
      <c r="E2601" s="49" t="str">
        <f aca="false">"5942326400643"</f>
        <v>5942326400643</v>
      </c>
      <c r="F2601" s="49" t="s">
        <v>5687</v>
      </c>
      <c r="G2601" s="49" t="n">
        <v>0</v>
      </c>
      <c r="H2601" s="0" t="n">
        <v>0</v>
      </c>
      <c r="M2601" s="51" t="s">
        <v>5688</v>
      </c>
      <c r="N2601" s="49" t="n">
        <v>0</v>
      </c>
      <c r="O2601" s="53" t="n">
        <v>45728.5416435185</v>
      </c>
      <c r="P2601" s="53" t="n">
        <v>45787.3787384259</v>
      </c>
      <c r="Q2601" s="53" t="n">
        <v>45728.5416435185</v>
      </c>
      <c r="R2601" s="0" t="n">
        <v>0</v>
      </c>
      <c r="S2601" s="51" t="s">
        <v>2376</v>
      </c>
      <c r="T2601" s="51" t="s">
        <v>2376</v>
      </c>
      <c r="U2601" s="0" t="str">
        <f aca="false">"5942326400643"</f>
        <v>5942326400643</v>
      </c>
      <c r="V2601" s="51" t="s">
        <v>2365</v>
      </c>
      <c r="W2601" s="51" t="s">
        <v>5701</v>
      </c>
      <c r="X2601" s="51" t="s">
        <v>2359</v>
      </c>
    </row>
    <row r="2602" customFormat="false" ht="14.25" hidden="true" customHeight="false" outlineLevel="0" collapsed="false">
      <c r="A2602" s="49" t="s">
        <v>2349</v>
      </c>
      <c r="B2602" s="49" t="s">
        <v>2350</v>
      </c>
      <c r="C2602" s="49" t="s">
        <v>5702</v>
      </c>
      <c r="D2602" s="49" t="s">
        <v>2352</v>
      </c>
      <c r="E2602" s="49" t="str">
        <f aca="false">"5942326400643"</f>
        <v>5942326400643</v>
      </c>
      <c r="F2602" s="49" t="s">
        <v>5687</v>
      </c>
      <c r="G2602" s="49" t="n">
        <v>0</v>
      </c>
      <c r="H2602" s="0" t="n">
        <v>0</v>
      </c>
      <c r="M2602" s="51" t="s">
        <v>5688</v>
      </c>
      <c r="N2602" s="49" t="n">
        <v>0</v>
      </c>
      <c r="O2602" s="53" t="n">
        <v>45728.5437847222</v>
      </c>
      <c r="P2602" s="53" t="n">
        <v>45847.3732407407</v>
      </c>
      <c r="Q2602" s="53" t="n">
        <v>45728.5437847222</v>
      </c>
      <c r="R2602" s="0" t="n">
        <v>0</v>
      </c>
      <c r="S2602" s="51" t="s">
        <v>2376</v>
      </c>
      <c r="T2602" s="51" t="s">
        <v>2376</v>
      </c>
      <c r="U2602" s="0" t="str">
        <f aca="false">"5942326400643"</f>
        <v>5942326400643</v>
      </c>
      <c r="V2602" s="51" t="s">
        <v>2365</v>
      </c>
      <c r="W2602" s="51" t="s">
        <v>5703</v>
      </c>
      <c r="X2602" s="51" t="s">
        <v>2359</v>
      </c>
    </row>
    <row r="2603" customFormat="false" ht="14.25" hidden="true" customHeight="false" outlineLevel="0" collapsed="false">
      <c r="A2603" s="49" t="s">
        <v>2349</v>
      </c>
      <c r="B2603" s="49" t="s">
        <v>2350</v>
      </c>
      <c r="C2603" s="49" t="s">
        <v>5704</v>
      </c>
      <c r="D2603" s="49" t="s">
        <v>2352</v>
      </c>
      <c r="E2603" s="49" t="str">
        <f aca="false">"5942326400643"</f>
        <v>5942326400643</v>
      </c>
      <c r="F2603" s="49" t="s">
        <v>5687</v>
      </c>
      <c r="G2603" s="49" t="n">
        <v>0</v>
      </c>
      <c r="H2603" s="0" t="n">
        <v>0</v>
      </c>
      <c r="M2603" s="51" t="s">
        <v>5688</v>
      </c>
      <c r="N2603" s="49" t="n">
        <v>0</v>
      </c>
      <c r="O2603" s="53" t="n">
        <v>45728.543599537</v>
      </c>
      <c r="P2603" s="53" t="n">
        <v>45730.0847800926</v>
      </c>
      <c r="Q2603" s="53" t="n">
        <v>45728.543599537</v>
      </c>
      <c r="R2603" s="0" t="n">
        <v>0</v>
      </c>
      <c r="S2603" s="51" t="s">
        <v>2376</v>
      </c>
      <c r="T2603" s="51" t="s">
        <v>2376</v>
      </c>
      <c r="U2603" s="0" t="str">
        <f aca="false">"5942326400643"</f>
        <v>5942326400643</v>
      </c>
      <c r="V2603" s="51" t="s">
        <v>2365</v>
      </c>
      <c r="W2603" s="51" t="s">
        <v>5512</v>
      </c>
      <c r="X2603" s="51" t="s">
        <v>2359</v>
      </c>
    </row>
    <row r="2604" customFormat="false" ht="14.25" hidden="true" customHeight="false" outlineLevel="0" collapsed="false">
      <c r="A2604" s="49" t="s">
        <v>2349</v>
      </c>
      <c r="B2604" s="49" t="s">
        <v>2350</v>
      </c>
      <c r="C2604" s="49" t="s">
        <v>5705</v>
      </c>
      <c r="D2604" s="49" t="s">
        <v>2352</v>
      </c>
      <c r="E2604" s="49" t="str">
        <f aca="false">"5942326400643"</f>
        <v>5942326400643</v>
      </c>
      <c r="F2604" s="49" t="s">
        <v>5687</v>
      </c>
      <c r="G2604" s="49" t="n">
        <v>0</v>
      </c>
      <c r="H2604" s="0" t="n">
        <v>0</v>
      </c>
      <c r="M2604" s="51" t="s">
        <v>5688</v>
      </c>
      <c r="N2604" s="49" t="n">
        <v>0</v>
      </c>
      <c r="O2604" s="53" t="n">
        <v>45728.5434606482</v>
      </c>
      <c r="P2604" s="53" t="n">
        <v>45730.1006597222</v>
      </c>
      <c r="Q2604" s="53" t="n">
        <v>45728.5434606482</v>
      </c>
      <c r="R2604" s="0" t="n">
        <v>0</v>
      </c>
      <c r="S2604" s="51" t="s">
        <v>2376</v>
      </c>
      <c r="T2604" s="51" t="s">
        <v>2376</v>
      </c>
      <c r="U2604" s="0" t="str">
        <f aca="false">"5942326400643"</f>
        <v>5942326400643</v>
      </c>
      <c r="V2604" s="51" t="s">
        <v>2365</v>
      </c>
      <c r="W2604" s="51" t="s">
        <v>5514</v>
      </c>
      <c r="X2604" s="51" t="s">
        <v>2359</v>
      </c>
    </row>
    <row r="2605" customFormat="false" ht="14.25" hidden="true" customHeight="false" outlineLevel="0" collapsed="false">
      <c r="A2605" s="49" t="s">
        <v>2349</v>
      </c>
      <c r="B2605" s="49" t="s">
        <v>2350</v>
      </c>
      <c r="C2605" s="49" t="s">
        <v>5706</v>
      </c>
      <c r="D2605" s="49" t="s">
        <v>2352</v>
      </c>
      <c r="E2605" s="49" t="str">
        <f aca="false">"5942326400643"</f>
        <v>5942326400643</v>
      </c>
      <c r="F2605" s="49" t="s">
        <v>5687</v>
      </c>
      <c r="G2605" s="49" t="n">
        <v>0</v>
      </c>
      <c r="H2605" s="0" t="n">
        <v>0</v>
      </c>
      <c r="M2605" s="51" t="s">
        <v>5688</v>
      </c>
      <c r="N2605" s="49" t="n">
        <v>0</v>
      </c>
      <c r="O2605" s="53" t="n">
        <v>45728.5433101852</v>
      </c>
      <c r="P2605" s="53" t="n">
        <v>45730.0926736111</v>
      </c>
      <c r="Q2605" s="53" t="n">
        <v>45728.5433101852</v>
      </c>
      <c r="R2605" s="0" t="n">
        <v>0</v>
      </c>
      <c r="S2605" s="51" t="s">
        <v>2376</v>
      </c>
      <c r="T2605" s="51" t="s">
        <v>2376</v>
      </c>
      <c r="U2605" s="0" t="str">
        <f aca="false">"5942326400643"</f>
        <v>5942326400643</v>
      </c>
      <c r="V2605" s="51" t="s">
        <v>2365</v>
      </c>
      <c r="W2605" s="51" t="s">
        <v>4453</v>
      </c>
      <c r="X2605" s="51" t="s">
        <v>2359</v>
      </c>
    </row>
    <row r="2606" customFormat="false" ht="14.25" hidden="true" customHeight="false" outlineLevel="0" collapsed="false">
      <c r="A2606" s="49" t="s">
        <v>2349</v>
      </c>
      <c r="B2606" s="49" t="s">
        <v>2350</v>
      </c>
      <c r="C2606" s="49" t="s">
        <v>5707</v>
      </c>
      <c r="D2606" s="49" t="s">
        <v>2352</v>
      </c>
      <c r="E2606" s="49" t="str">
        <f aca="false">"5942326400643"</f>
        <v>5942326400643</v>
      </c>
      <c r="F2606" s="49" t="s">
        <v>5687</v>
      </c>
      <c r="G2606" s="49" t="n">
        <v>0</v>
      </c>
      <c r="H2606" s="0" t="n">
        <v>0</v>
      </c>
      <c r="M2606" s="51" t="s">
        <v>5688</v>
      </c>
      <c r="N2606" s="49" t="n">
        <v>0</v>
      </c>
      <c r="O2606" s="53" t="n">
        <v>45728.543125</v>
      </c>
      <c r="P2606" s="53" t="n">
        <v>45730.0950115741</v>
      </c>
      <c r="Q2606" s="53" t="n">
        <v>45728.543125</v>
      </c>
      <c r="R2606" s="0" t="n">
        <v>0</v>
      </c>
      <c r="S2606" s="51" t="s">
        <v>2376</v>
      </c>
      <c r="T2606" s="51" t="s">
        <v>2376</v>
      </c>
      <c r="U2606" s="0" t="str">
        <f aca="false">"5942326400643"</f>
        <v>5942326400643</v>
      </c>
      <c r="V2606" s="51" t="s">
        <v>2365</v>
      </c>
      <c r="W2606" s="51" t="s">
        <v>5527</v>
      </c>
      <c r="X2606" s="51" t="s">
        <v>2359</v>
      </c>
    </row>
    <row r="2607" customFormat="false" ht="14.25" hidden="true" customHeight="false" outlineLevel="0" collapsed="false">
      <c r="A2607" s="49" t="s">
        <v>2349</v>
      </c>
      <c r="B2607" s="49" t="s">
        <v>2350</v>
      </c>
      <c r="C2607" s="49" t="s">
        <v>5708</v>
      </c>
      <c r="D2607" s="49" t="s">
        <v>2352</v>
      </c>
      <c r="E2607" s="49" t="str">
        <f aca="false">"5942326400643"</f>
        <v>5942326400643</v>
      </c>
      <c r="F2607" s="49" t="s">
        <v>5687</v>
      </c>
      <c r="G2607" s="49" t="n">
        <v>0</v>
      </c>
      <c r="H2607" s="0" t="n">
        <v>0</v>
      </c>
      <c r="M2607" s="51" t="s">
        <v>5688</v>
      </c>
      <c r="N2607" s="49" t="n">
        <v>0</v>
      </c>
      <c r="O2607" s="53" t="n">
        <v>45728.5441435185</v>
      </c>
      <c r="P2607" s="53" t="n">
        <v>45778.8314930556</v>
      </c>
      <c r="Q2607" s="53" t="n">
        <v>45728.5441435185</v>
      </c>
      <c r="R2607" s="0" t="n">
        <v>0</v>
      </c>
      <c r="S2607" s="51" t="s">
        <v>2376</v>
      </c>
      <c r="T2607" s="51" t="s">
        <v>2376</v>
      </c>
      <c r="U2607" s="0" t="str">
        <f aca="false">"5942326400643"</f>
        <v>5942326400643</v>
      </c>
      <c r="V2607" s="51" t="s">
        <v>2365</v>
      </c>
      <c r="W2607" s="51" t="s">
        <v>5709</v>
      </c>
      <c r="X2607" s="51" t="s">
        <v>2359</v>
      </c>
    </row>
    <row r="2608" customFormat="false" ht="14.25" hidden="true" customHeight="false" outlineLevel="0" collapsed="false">
      <c r="A2608" s="49" t="s">
        <v>2349</v>
      </c>
      <c r="B2608" s="49" t="s">
        <v>2350</v>
      </c>
      <c r="C2608" s="49" t="s">
        <v>5710</v>
      </c>
      <c r="D2608" s="49" t="s">
        <v>2352</v>
      </c>
      <c r="E2608" s="49" t="str">
        <f aca="false">"5942326400643"</f>
        <v>5942326400643</v>
      </c>
      <c r="F2608" s="49" t="s">
        <v>5687</v>
      </c>
      <c r="G2608" s="49" t="n">
        <v>0</v>
      </c>
      <c r="H2608" s="0" t="n">
        <v>0</v>
      </c>
      <c r="M2608" s="51" t="s">
        <v>5688</v>
      </c>
      <c r="N2608" s="49" t="n">
        <v>0</v>
      </c>
      <c r="O2608" s="53" t="n">
        <v>45728.5439699074</v>
      </c>
      <c r="P2608" s="53" t="n">
        <v>45839.9026157407</v>
      </c>
      <c r="Q2608" s="53" t="n">
        <v>45728.5439699074</v>
      </c>
      <c r="R2608" s="0" t="n">
        <v>0</v>
      </c>
      <c r="S2608" s="51" t="s">
        <v>2376</v>
      </c>
      <c r="T2608" s="51" t="s">
        <v>2376</v>
      </c>
      <c r="U2608" s="0" t="str">
        <f aca="false">"5942326400643"</f>
        <v>5942326400643</v>
      </c>
      <c r="V2608" s="51" t="s">
        <v>2365</v>
      </c>
      <c r="W2608" s="51" t="s">
        <v>5711</v>
      </c>
      <c r="X2608" s="51" t="s">
        <v>2359</v>
      </c>
    </row>
    <row r="2609" customFormat="false" ht="14.25" hidden="true" customHeight="false" outlineLevel="0" collapsed="false">
      <c r="A2609" s="49" t="s">
        <v>2349</v>
      </c>
      <c r="B2609" s="49" t="s">
        <v>2350</v>
      </c>
      <c r="C2609" s="49" t="s">
        <v>5712</v>
      </c>
      <c r="D2609" s="49" t="s">
        <v>2352</v>
      </c>
      <c r="E2609" s="49" t="str">
        <f aca="false">"5942326400643"</f>
        <v>5942326400643</v>
      </c>
      <c r="F2609" s="49" t="s">
        <v>5687</v>
      </c>
      <c r="G2609" s="49" t="n">
        <v>0</v>
      </c>
      <c r="H2609" s="0" t="n">
        <v>0</v>
      </c>
      <c r="M2609" s="51" t="s">
        <v>5688</v>
      </c>
      <c r="N2609" s="49" t="n">
        <v>0</v>
      </c>
      <c r="O2609" s="53" t="n">
        <v>45728.5447222222</v>
      </c>
      <c r="P2609" s="53" t="n">
        <v>45803.8747106481</v>
      </c>
      <c r="Q2609" s="53" t="n">
        <v>45728.5447222222</v>
      </c>
      <c r="R2609" s="0" t="n">
        <v>0</v>
      </c>
      <c r="S2609" s="51" t="s">
        <v>2376</v>
      </c>
      <c r="T2609" s="51" t="s">
        <v>2376</v>
      </c>
      <c r="U2609" s="0" t="str">
        <f aca="false">"5942326400643"</f>
        <v>5942326400643</v>
      </c>
      <c r="V2609" s="51" t="s">
        <v>2365</v>
      </c>
      <c r="W2609" s="51" t="s">
        <v>5713</v>
      </c>
      <c r="X2609" s="51" t="s">
        <v>2359</v>
      </c>
    </row>
    <row r="2610" customFormat="false" ht="14.25" hidden="true" customHeight="false" outlineLevel="0" collapsed="false">
      <c r="A2610" s="49" t="s">
        <v>2349</v>
      </c>
      <c r="B2610" s="49" t="s">
        <v>2350</v>
      </c>
      <c r="C2610" s="49" t="s">
        <v>5714</v>
      </c>
      <c r="D2610" s="49" t="s">
        <v>2352</v>
      </c>
      <c r="E2610" s="49" t="str">
        <f aca="false">"5942326400643"</f>
        <v>5942326400643</v>
      </c>
      <c r="F2610" s="49" t="s">
        <v>5687</v>
      </c>
      <c r="G2610" s="49" t="n">
        <v>0</v>
      </c>
      <c r="H2610" s="0" t="n">
        <v>0</v>
      </c>
      <c r="M2610" s="51" t="s">
        <v>5688</v>
      </c>
      <c r="N2610" s="49" t="n">
        <v>0</v>
      </c>
      <c r="O2610" s="53" t="n">
        <v>45728.5448958333</v>
      </c>
      <c r="P2610" s="53" t="n">
        <v>45730.0983680556</v>
      </c>
      <c r="Q2610" s="53" t="n">
        <v>45728.5448958333</v>
      </c>
      <c r="R2610" s="0" t="n">
        <v>0</v>
      </c>
      <c r="S2610" s="51" t="s">
        <v>2376</v>
      </c>
      <c r="T2610" s="51" t="s">
        <v>2376</v>
      </c>
      <c r="U2610" s="0" t="str">
        <f aca="false">"5942326400643"</f>
        <v>5942326400643</v>
      </c>
      <c r="V2610" s="51" t="s">
        <v>2365</v>
      </c>
      <c r="W2610" s="51" t="s">
        <v>5116</v>
      </c>
      <c r="X2610" s="51" t="s">
        <v>2359</v>
      </c>
    </row>
    <row r="2611" customFormat="false" ht="14.25" hidden="true" customHeight="false" outlineLevel="0" collapsed="false">
      <c r="A2611" s="49" t="s">
        <v>2349</v>
      </c>
      <c r="B2611" s="49" t="s">
        <v>2350</v>
      </c>
      <c r="C2611" s="49" t="s">
        <v>5715</v>
      </c>
      <c r="D2611" s="49" t="s">
        <v>2352</v>
      </c>
      <c r="E2611" s="49" t="str">
        <f aca="false">"5942326400643"</f>
        <v>5942326400643</v>
      </c>
      <c r="F2611" s="49" t="s">
        <v>5687</v>
      </c>
      <c r="G2611" s="49" t="n">
        <v>0</v>
      </c>
      <c r="H2611" s="0" t="n">
        <v>0</v>
      </c>
      <c r="M2611" s="51" t="s">
        <v>5688</v>
      </c>
      <c r="N2611" s="49" t="n">
        <v>0</v>
      </c>
      <c r="O2611" s="53" t="n">
        <v>45728.5451041667</v>
      </c>
      <c r="P2611" s="53" t="n">
        <v>45730.0971990741</v>
      </c>
      <c r="Q2611" s="53" t="n">
        <v>45728.5451041667</v>
      </c>
      <c r="R2611" s="0" t="n">
        <v>0</v>
      </c>
      <c r="S2611" s="51" t="s">
        <v>2376</v>
      </c>
      <c r="T2611" s="51" t="s">
        <v>2376</v>
      </c>
      <c r="U2611" s="0" t="str">
        <f aca="false">"5942326400643"</f>
        <v>5942326400643</v>
      </c>
      <c r="V2611" s="51" t="s">
        <v>2365</v>
      </c>
      <c r="W2611" s="51" t="s">
        <v>4094</v>
      </c>
      <c r="X2611" s="51" t="s">
        <v>2359</v>
      </c>
    </row>
    <row r="2612" customFormat="false" ht="14.25" hidden="true" customHeight="false" outlineLevel="0" collapsed="false">
      <c r="A2612" s="49" t="s">
        <v>2349</v>
      </c>
      <c r="B2612" s="49" t="s">
        <v>2350</v>
      </c>
      <c r="C2612" s="49" t="s">
        <v>5716</v>
      </c>
      <c r="D2612" s="49" t="s">
        <v>2352</v>
      </c>
      <c r="E2612" s="49" t="str">
        <f aca="false">"5942326400643"</f>
        <v>5942326400643</v>
      </c>
      <c r="F2612" s="49" t="s">
        <v>5687</v>
      </c>
      <c r="G2612" s="49" t="n">
        <v>0</v>
      </c>
      <c r="H2612" s="0" t="n">
        <v>0</v>
      </c>
      <c r="M2612" s="51" t="s">
        <v>5688</v>
      </c>
      <c r="N2612" s="49" t="n">
        <v>0</v>
      </c>
      <c r="O2612" s="53" t="n">
        <v>45728.544525463</v>
      </c>
      <c r="P2612" s="53" t="n">
        <v>45736.1596990741</v>
      </c>
      <c r="Q2612" s="53" t="n">
        <v>45728.544525463</v>
      </c>
      <c r="R2612" s="0" t="n">
        <v>0</v>
      </c>
      <c r="S2612" s="51" t="s">
        <v>2376</v>
      </c>
      <c r="T2612" s="51" t="s">
        <v>2376</v>
      </c>
      <c r="U2612" s="0" t="str">
        <f aca="false">"5942326400643"</f>
        <v>5942326400643</v>
      </c>
      <c r="V2612" s="51" t="s">
        <v>2365</v>
      </c>
      <c r="W2612" s="51" t="s">
        <v>4451</v>
      </c>
      <c r="X2612" s="51" t="s">
        <v>2359</v>
      </c>
    </row>
    <row r="2613" customFormat="false" ht="14.25" hidden="true" customHeight="false" outlineLevel="0" collapsed="false">
      <c r="A2613" s="49" t="s">
        <v>2349</v>
      </c>
      <c r="B2613" s="49" t="s">
        <v>2350</v>
      </c>
      <c r="C2613" s="49" t="s">
        <v>5717</v>
      </c>
      <c r="D2613" s="49" t="s">
        <v>2352</v>
      </c>
      <c r="E2613" s="49" t="s">
        <v>4351</v>
      </c>
      <c r="F2613" s="49" t="s">
        <v>4352</v>
      </c>
      <c r="G2613" s="49" t="n">
        <v>0</v>
      </c>
      <c r="H2613" s="0" t="n">
        <v>0</v>
      </c>
      <c r="M2613" s="51" t="s">
        <v>5718</v>
      </c>
      <c r="N2613" s="49" t="n">
        <v>0</v>
      </c>
      <c r="O2613" s="53" t="n">
        <v>45732.4130324074</v>
      </c>
      <c r="P2613" s="53" t="n">
        <v>45734.4710185185</v>
      </c>
      <c r="Q2613" s="53" t="n">
        <v>45732.4130324074</v>
      </c>
      <c r="R2613" s="0" t="n">
        <v>0</v>
      </c>
      <c r="S2613" s="51" t="s">
        <v>2356</v>
      </c>
      <c r="T2613" s="51" t="s">
        <v>2356</v>
      </c>
      <c r="U2613" s="51" t="s">
        <v>4351</v>
      </c>
      <c r="V2613" s="51" t="s">
        <v>2365</v>
      </c>
      <c r="W2613" s="51" t="s">
        <v>5157</v>
      </c>
      <c r="X2613" s="51" t="s">
        <v>2359</v>
      </c>
    </row>
    <row r="2614" customFormat="false" ht="14.25" hidden="true" customHeight="false" outlineLevel="0" collapsed="false">
      <c r="A2614" s="49" t="s">
        <v>2349</v>
      </c>
      <c r="B2614" s="49" t="s">
        <v>2350</v>
      </c>
      <c r="C2614" s="49" t="s">
        <v>5719</v>
      </c>
      <c r="D2614" s="49" t="s">
        <v>2352</v>
      </c>
      <c r="E2614" s="49" t="s">
        <v>4351</v>
      </c>
      <c r="F2614" s="49" t="s">
        <v>4352</v>
      </c>
      <c r="G2614" s="49" t="n">
        <v>0</v>
      </c>
      <c r="H2614" s="0" t="n">
        <v>0</v>
      </c>
      <c r="M2614" s="51" t="s">
        <v>5718</v>
      </c>
      <c r="N2614" s="49" t="n">
        <v>0</v>
      </c>
      <c r="O2614" s="53" t="n">
        <v>45732.4132291667</v>
      </c>
      <c r="P2614" s="53" t="n">
        <v>45739.5463657407</v>
      </c>
      <c r="Q2614" s="53" t="n">
        <v>45732.4132291667</v>
      </c>
      <c r="R2614" s="0" t="n">
        <v>0</v>
      </c>
      <c r="S2614" s="51" t="s">
        <v>2356</v>
      </c>
      <c r="T2614" s="51" t="s">
        <v>2356</v>
      </c>
      <c r="U2614" s="51" t="s">
        <v>4351</v>
      </c>
      <c r="V2614" s="51" t="s">
        <v>2365</v>
      </c>
      <c r="W2614" s="51" t="s">
        <v>4150</v>
      </c>
      <c r="X2614" s="51" t="s">
        <v>2359</v>
      </c>
    </row>
    <row r="2615" customFormat="false" ht="14.25" hidden="true" customHeight="false" outlineLevel="0" collapsed="false">
      <c r="A2615" s="49" t="s">
        <v>2349</v>
      </c>
      <c r="B2615" s="49" t="s">
        <v>2350</v>
      </c>
      <c r="C2615" s="49" t="s">
        <v>5720</v>
      </c>
      <c r="D2615" s="49" t="s">
        <v>2352</v>
      </c>
      <c r="E2615" s="49" t="s">
        <v>4351</v>
      </c>
      <c r="F2615" s="49" t="s">
        <v>4352</v>
      </c>
      <c r="G2615" s="49" t="n">
        <v>0</v>
      </c>
      <c r="H2615" s="0" t="n">
        <v>0</v>
      </c>
      <c r="M2615" s="51" t="s">
        <v>5718</v>
      </c>
      <c r="N2615" s="49" t="n">
        <v>0</v>
      </c>
      <c r="O2615" s="53" t="n">
        <v>45732.4134490741</v>
      </c>
      <c r="P2615" s="53" t="n">
        <v>45739.5461574074</v>
      </c>
      <c r="Q2615" s="53" t="n">
        <v>45732.4134490741</v>
      </c>
      <c r="R2615" s="0" t="n">
        <v>0</v>
      </c>
      <c r="S2615" s="51" t="s">
        <v>2356</v>
      </c>
      <c r="T2615" s="51" t="s">
        <v>2356</v>
      </c>
      <c r="U2615" s="51" t="s">
        <v>4351</v>
      </c>
      <c r="V2615" s="51" t="s">
        <v>2365</v>
      </c>
      <c r="W2615" s="51" t="s">
        <v>5143</v>
      </c>
      <c r="X2615" s="51" t="s">
        <v>2359</v>
      </c>
    </row>
    <row r="2616" customFormat="false" ht="14.25" hidden="true" customHeight="false" outlineLevel="0" collapsed="false">
      <c r="A2616" s="49" t="s">
        <v>2349</v>
      </c>
      <c r="B2616" s="49" t="s">
        <v>2350</v>
      </c>
      <c r="C2616" s="49" t="s">
        <v>5721</v>
      </c>
      <c r="D2616" s="49" t="s">
        <v>2352</v>
      </c>
      <c r="E2616" s="49" t="s">
        <v>4351</v>
      </c>
      <c r="F2616" s="49" t="s">
        <v>4352</v>
      </c>
      <c r="G2616" s="49" t="n">
        <v>0</v>
      </c>
      <c r="H2616" s="0" t="n">
        <v>0</v>
      </c>
      <c r="M2616" s="51" t="s">
        <v>5718</v>
      </c>
      <c r="N2616" s="49" t="n">
        <v>0</v>
      </c>
      <c r="O2616" s="53" t="n">
        <v>45732.4137268519</v>
      </c>
      <c r="P2616" s="53" t="n">
        <v>45739.5459490741</v>
      </c>
      <c r="Q2616" s="53" t="n">
        <v>45732.4137268519</v>
      </c>
      <c r="R2616" s="0" t="n">
        <v>0</v>
      </c>
      <c r="S2616" s="51" t="s">
        <v>2356</v>
      </c>
      <c r="T2616" s="51" t="s">
        <v>2356</v>
      </c>
      <c r="U2616" s="51" t="s">
        <v>4351</v>
      </c>
      <c r="V2616" s="51" t="s">
        <v>2365</v>
      </c>
      <c r="W2616" s="51" t="s">
        <v>5722</v>
      </c>
      <c r="X2616" s="51" t="s">
        <v>2359</v>
      </c>
    </row>
    <row r="2617" customFormat="false" ht="14.25" hidden="true" customHeight="false" outlineLevel="0" collapsed="false">
      <c r="A2617" s="49" t="s">
        <v>2349</v>
      </c>
      <c r="B2617" s="49" t="s">
        <v>2350</v>
      </c>
      <c r="C2617" s="49" t="s">
        <v>5723</v>
      </c>
      <c r="D2617" s="49" t="s">
        <v>2352</v>
      </c>
      <c r="E2617" s="49" t="s">
        <v>4351</v>
      </c>
      <c r="F2617" s="49" t="s">
        <v>4352</v>
      </c>
      <c r="G2617" s="49" t="n">
        <v>0</v>
      </c>
      <c r="H2617" s="0" t="n">
        <v>0</v>
      </c>
      <c r="M2617" s="51" t="s">
        <v>5718</v>
      </c>
      <c r="N2617" s="49" t="n">
        <v>0</v>
      </c>
      <c r="O2617" s="53" t="n">
        <v>45732.4139351852</v>
      </c>
      <c r="P2617" s="53" t="n">
        <v>45736.592025463</v>
      </c>
      <c r="Q2617" s="53" t="n">
        <v>45732.4139351852</v>
      </c>
      <c r="R2617" s="0" t="n">
        <v>0</v>
      </c>
      <c r="S2617" s="51" t="s">
        <v>2356</v>
      </c>
      <c r="T2617" s="51" t="s">
        <v>2356</v>
      </c>
      <c r="U2617" s="51" t="s">
        <v>4351</v>
      </c>
      <c r="V2617" s="51" t="s">
        <v>2365</v>
      </c>
      <c r="W2617" s="51" t="s">
        <v>4144</v>
      </c>
      <c r="X2617" s="51" t="s">
        <v>2359</v>
      </c>
    </row>
    <row r="2618" customFormat="false" ht="14.25" hidden="true" customHeight="false" outlineLevel="0" collapsed="false">
      <c r="A2618" s="49" t="s">
        <v>2349</v>
      </c>
      <c r="B2618" s="49" t="s">
        <v>2350</v>
      </c>
      <c r="C2618" s="49" t="s">
        <v>5724</v>
      </c>
      <c r="D2618" s="49" t="s">
        <v>2352</v>
      </c>
      <c r="E2618" s="49" t="s">
        <v>4351</v>
      </c>
      <c r="F2618" s="49" t="s">
        <v>4352</v>
      </c>
      <c r="G2618" s="49" t="n">
        <v>0</v>
      </c>
      <c r="H2618" s="0" t="n">
        <v>0</v>
      </c>
      <c r="M2618" s="51" t="s">
        <v>5718</v>
      </c>
      <c r="N2618" s="49" t="n">
        <v>0</v>
      </c>
      <c r="O2618" s="53" t="n">
        <v>45732.414375</v>
      </c>
      <c r="P2618" s="53" t="n">
        <v>45734.4709606482</v>
      </c>
      <c r="Q2618" s="53" t="n">
        <v>45732.414375</v>
      </c>
      <c r="R2618" s="0" t="n">
        <v>0</v>
      </c>
      <c r="S2618" s="51" t="s">
        <v>2356</v>
      </c>
      <c r="T2618" s="51" t="s">
        <v>2356</v>
      </c>
      <c r="U2618" s="51" t="s">
        <v>4351</v>
      </c>
      <c r="V2618" s="51" t="s">
        <v>2365</v>
      </c>
      <c r="W2618" s="51" t="s">
        <v>5151</v>
      </c>
      <c r="X2618" s="51" t="s">
        <v>2359</v>
      </c>
    </row>
    <row r="2619" customFormat="false" ht="14.25" hidden="true" customHeight="false" outlineLevel="0" collapsed="false">
      <c r="A2619" s="49" t="s">
        <v>2349</v>
      </c>
      <c r="B2619" s="49" t="s">
        <v>2350</v>
      </c>
      <c r="C2619" s="49" t="s">
        <v>5725</v>
      </c>
      <c r="D2619" s="49" t="s">
        <v>2352</v>
      </c>
      <c r="E2619" s="49" t="s">
        <v>4351</v>
      </c>
      <c r="F2619" s="49" t="s">
        <v>4352</v>
      </c>
      <c r="G2619" s="49" t="n">
        <v>0</v>
      </c>
      <c r="H2619" s="0" t="n">
        <v>0</v>
      </c>
      <c r="M2619" s="51" t="s">
        <v>5718</v>
      </c>
      <c r="N2619" s="49" t="n">
        <v>0</v>
      </c>
      <c r="O2619" s="53" t="n">
        <v>45732.414525463</v>
      </c>
      <c r="P2619" s="53" t="n">
        <v>45739.5469907407</v>
      </c>
      <c r="Q2619" s="53" t="n">
        <v>45732.414525463</v>
      </c>
      <c r="R2619" s="0" t="n">
        <v>0</v>
      </c>
      <c r="S2619" s="51" t="s">
        <v>2356</v>
      </c>
      <c r="T2619" s="51" t="s">
        <v>2356</v>
      </c>
      <c r="U2619" s="51" t="s">
        <v>4351</v>
      </c>
      <c r="V2619" s="51" t="s">
        <v>2365</v>
      </c>
      <c r="W2619" s="51" t="s">
        <v>5139</v>
      </c>
      <c r="X2619" s="51" t="s">
        <v>2359</v>
      </c>
    </row>
    <row r="2620" customFormat="false" ht="14.25" hidden="true" customHeight="false" outlineLevel="0" collapsed="false">
      <c r="A2620" s="49" t="s">
        <v>2349</v>
      </c>
      <c r="B2620" s="49" t="s">
        <v>2350</v>
      </c>
      <c r="C2620" s="49" t="s">
        <v>5726</v>
      </c>
      <c r="D2620" s="49" t="s">
        <v>2352</v>
      </c>
      <c r="E2620" s="49" t="s">
        <v>4351</v>
      </c>
      <c r="F2620" s="49" t="s">
        <v>4352</v>
      </c>
      <c r="G2620" s="49" t="n">
        <v>0</v>
      </c>
      <c r="H2620" s="0" t="n">
        <v>0</v>
      </c>
      <c r="M2620" s="51" t="s">
        <v>5718</v>
      </c>
      <c r="N2620" s="49" t="n">
        <v>0</v>
      </c>
      <c r="O2620" s="53" t="n">
        <v>45732.4146759259</v>
      </c>
      <c r="P2620" s="53" t="n">
        <v>45739.5466898148</v>
      </c>
      <c r="Q2620" s="53" t="n">
        <v>45732.4146759259</v>
      </c>
      <c r="R2620" s="0" t="n">
        <v>0</v>
      </c>
      <c r="S2620" s="51" t="s">
        <v>2356</v>
      </c>
      <c r="T2620" s="51" t="s">
        <v>2356</v>
      </c>
      <c r="U2620" s="51" t="s">
        <v>4351</v>
      </c>
      <c r="V2620" s="51" t="s">
        <v>2365</v>
      </c>
      <c r="W2620" s="51" t="s">
        <v>4365</v>
      </c>
      <c r="X2620" s="51" t="s">
        <v>2359</v>
      </c>
    </row>
    <row r="2621" customFormat="false" ht="14.25" hidden="true" customHeight="false" outlineLevel="0" collapsed="false">
      <c r="A2621" s="49" t="s">
        <v>2349</v>
      </c>
      <c r="B2621" s="49" t="s">
        <v>2350</v>
      </c>
      <c r="C2621" s="49" t="s">
        <v>5727</v>
      </c>
      <c r="D2621" s="49" t="s">
        <v>2352</v>
      </c>
      <c r="E2621" s="49" t="s">
        <v>4351</v>
      </c>
      <c r="F2621" s="49" t="s">
        <v>4352</v>
      </c>
      <c r="G2621" s="49" t="n">
        <v>0</v>
      </c>
      <c r="H2621" s="0" t="n">
        <v>0</v>
      </c>
      <c r="M2621" s="51" t="s">
        <v>5718</v>
      </c>
      <c r="N2621" s="49" t="n">
        <v>0</v>
      </c>
      <c r="O2621" s="53" t="n">
        <v>45732.4104513889</v>
      </c>
      <c r="P2621" s="53" t="n">
        <v>45734.4522800926</v>
      </c>
      <c r="Q2621" s="53" t="n">
        <v>45732.4104513889</v>
      </c>
      <c r="R2621" s="0" t="n">
        <v>0</v>
      </c>
      <c r="S2621" s="51" t="s">
        <v>2356</v>
      </c>
      <c r="T2621" s="51" t="s">
        <v>2356</v>
      </c>
      <c r="U2621" s="51" t="s">
        <v>4351</v>
      </c>
      <c r="V2621" s="51" t="s">
        <v>2365</v>
      </c>
      <c r="W2621" s="51" t="s">
        <v>4357</v>
      </c>
      <c r="X2621" s="51" t="s">
        <v>2359</v>
      </c>
    </row>
    <row r="2622" customFormat="false" ht="14.25" hidden="true" customHeight="false" outlineLevel="0" collapsed="false">
      <c r="A2622" s="49" t="s">
        <v>2349</v>
      </c>
      <c r="B2622" s="49" t="s">
        <v>2350</v>
      </c>
      <c r="C2622" s="49" t="s">
        <v>5728</v>
      </c>
      <c r="D2622" s="49" t="s">
        <v>2352</v>
      </c>
      <c r="E2622" s="49" t="s">
        <v>4351</v>
      </c>
      <c r="F2622" s="49" t="s">
        <v>4352</v>
      </c>
      <c r="G2622" s="49" t="n">
        <v>0</v>
      </c>
      <c r="H2622" s="0" t="n">
        <v>0</v>
      </c>
      <c r="M2622" s="51" t="s">
        <v>5718</v>
      </c>
      <c r="N2622" s="49" t="n">
        <v>0</v>
      </c>
      <c r="O2622" s="53" t="n">
        <v>45732.4113078704</v>
      </c>
      <c r="P2622" s="53" t="n">
        <v>45741.4274884259</v>
      </c>
      <c r="Q2622" s="53" t="n">
        <v>45732.4113078704</v>
      </c>
      <c r="R2622" s="0" t="n">
        <v>0</v>
      </c>
      <c r="S2622" s="51" t="s">
        <v>2356</v>
      </c>
      <c r="T2622" s="51" t="s">
        <v>2356</v>
      </c>
      <c r="U2622" s="51" t="s">
        <v>4351</v>
      </c>
      <c r="V2622" s="51" t="s">
        <v>2365</v>
      </c>
      <c r="W2622" s="51" t="s">
        <v>5466</v>
      </c>
      <c r="X2622" s="51" t="s">
        <v>2359</v>
      </c>
    </row>
    <row r="2623" customFormat="false" ht="14.25" hidden="true" customHeight="false" outlineLevel="0" collapsed="false">
      <c r="A2623" s="49" t="s">
        <v>2349</v>
      </c>
      <c r="B2623" s="49" t="s">
        <v>2350</v>
      </c>
      <c r="C2623" s="49" t="s">
        <v>5729</v>
      </c>
      <c r="D2623" s="49" t="s">
        <v>2352</v>
      </c>
      <c r="E2623" s="49" t="str">
        <f aca="false">"5060175133274"</f>
        <v>5060175133274</v>
      </c>
      <c r="F2623" s="49" t="s">
        <v>5130</v>
      </c>
      <c r="G2623" s="49" t="n">
        <v>0</v>
      </c>
      <c r="H2623" s="0" t="n">
        <v>0</v>
      </c>
      <c r="M2623" s="51" t="s">
        <v>5730</v>
      </c>
      <c r="N2623" s="49" t="n">
        <v>0</v>
      </c>
      <c r="O2623" s="53" t="n">
        <v>45740.5989236111</v>
      </c>
      <c r="P2623" s="53" t="n">
        <v>45761.4318055556</v>
      </c>
      <c r="Q2623" s="53" t="n">
        <v>45740.5989236111</v>
      </c>
      <c r="R2623" s="0" t="n">
        <v>0</v>
      </c>
      <c r="S2623" s="51" t="s">
        <v>2376</v>
      </c>
      <c r="T2623" s="51" t="s">
        <v>2376</v>
      </c>
      <c r="U2623" s="0" t="str">
        <f aca="false">"5060175133274"</f>
        <v>5060175133274</v>
      </c>
      <c r="V2623" s="51" t="s">
        <v>2365</v>
      </c>
      <c r="W2623" s="51" t="s">
        <v>5731</v>
      </c>
      <c r="X2623" s="51" t="s">
        <v>2359</v>
      </c>
    </row>
    <row r="2624" customFormat="false" ht="14.25" hidden="true" customHeight="false" outlineLevel="0" collapsed="false">
      <c r="A2624" s="49" t="s">
        <v>2349</v>
      </c>
      <c r="B2624" s="49" t="s">
        <v>2350</v>
      </c>
      <c r="C2624" s="49" t="s">
        <v>5732</v>
      </c>
      <c r="D2624" s="49" t="s">
        <v>2352</v>
      </c>
      <c r="E2624" s="49" t="str">
        <f aca="false">"5060175132970"</f>
        <v>5060175132970</v>
      </c>
      <c r="F2624" s="49" t="s">
        <v>3948</v>
      </c>
      <c r="G2624" s="49" t="n">
        <v>0</v>
      </c>
      <c r="H2624" s="0" t="n">
        <v>0</v>
      </c>
      <c r="M2624" s="51" t="s">
        <v>5733</v>
      </c>
      <c r="N2624" s="49" t="n">
        <v>0</v>
      </c>
      <c r="O2624" s="53" t="n">
        <v>45734.6061458333</v>
      </c>
      <c r="P2624" s="53" t="n">
        <v>45739.0239236111</v>
      </c>
      <c r="Q2624" s="53" t="n">
        <v>45734.6061458333</v>
      </c>
      <c r="R2624" s="0" t="n">
        <v>0</v>
      </c>
      <c r="S2624" s="51" t="s">
        <v>3800</v>
      </c>
      <c r="T2624" s="51" t="s">
        <v>3800</v>
      </c>
      <c r="U2624" s="0" t="str">
        <f aca="false">"5060175132970"</f>
        <v>5060175132970</v>
      </c>
      <c r="V2624" s="51" t="s">
        <v>2365</v>
      </c>
      <c r="W2624" s="51" t="s">
        <v>5734</v>
      </c>
      <c r="X2624" s="51" t="s">
        <v>2359</v>
      </c>
    </row>
    <row r="2625" customFormat="false" ht="14.25" hidden="true" customHeight="false" outlineLevel="0" collapsed="false">
      <c r="A2625" s="49" t="s">
        <v>2349</v>
      </c>
      <c r="B2625" s="49" t="s">
        <v>2350</v>
      </c>
      <c r="C2625" s="49" t="s">
        <v>5735</v>
      </c>
      <c r="D2625" s="49" t="s">
        <v>2352</v>
      </c>
      <c r="E2625" s="49" t="s">
        <v>4351</v>
      </c>
      <c r="F2625" s="49" t="s">
        <v>4352</v>
      </c>
      <c r="G2625" s="49" t="n">
        <v>0</v>
      </c>
      <c r="H2625" s="0" t="n">
        <v>0</v>
      </c>
      <c r="M2625" s="51" t="s">
        <v>5736</v>
      </c>
      <c r="N2625" s="49" t="n">
        <v>0</v>
      </c>
      <c r="O2625" s="53" t="n">
        <v>45736.6012384259</v>
      </c>
      <c r="P2625" s="53" t="n">
        <v>45766.5829398148</v>
      </c>
      <c r="Q2625" s="53" t="n">
        <v>45736.6012384259</v>
      </c>
      <c r="R2625" s="0" t="n">
        <v>0</v>
      </c>
      <c r="S2625" s="51" t="s">
        <v>2356</v>
      </c>
      <c r="T2625" s="51" t="s">
        <v>2356</v>
      </c>
      <c r="U2625" s="51" t="s">
        <v>4351</v>
      </c>
      <c r="V2625" s="51" t="s">
        <v>2365</v>
      </c>
      <c r="W2625" s="51" t="s">
        <v>5737</v>
      </c>
      <c r="X2625" s="51" t="s">
        <v>2359</v>
      </c>
    </row>
    <row r="2626" customFormat="false" ht="14.25" hidden="true" customHeight="false" outlineLevel="0" collapsed="false">
      <c r="A2626" s="49" t="s">
        <v>2349</v>
      </c>
      <c r="B2626" s="49" t="s">
        <v>2350</v>
      </c>
      <c r="C2626" s="49" t="s">
        <v>5738</v>
      </c>
      <c r="D2626" s="49" t="s">
        <v>2352</v>
      </c>
      <c r="E2626" s="49" t="s">
        <v>4351</v>
      </c>
      <c r="F2626" s="49" t="s">
        <v>4352</v>
      </c>
      <c r="G2626" s="49" t="n">
        <v>0</v>
      </c>
      <c r="H2626" s="0" t="n">
        <v>0</v>
      </c>
      <c r="M2626" s="51" t="s">
        <v>5736</v>
      </c>
      <c r="N2626" s="49" t="n">
        <v>0</v>
      </c>
      <c r="O2626" s="53" t="n">
        <v>45736.60125</v>
      </c>
      <c r="P2626" s="53" t="n">
        <v>45792.3546990741</v>
      </c>
      <c r="Q2626" s="53" t="n">
        <v>45736.60125</v>
      </c>
      <c r="R2626" s="0" t="n">
        <v>0</v>
      </c>
      <c r="S2626" s="51" t="s">
        <v>2356</v>
      </c>
      <c r="T2626" s="51" t="s">
        <v>2356</v>
      </c>
      <c r="U2626" s="51" t="s">
        <v>4351</v>
      </c>
      <c r="V2626" s="51" t="s">
        <v>2365</v>
      </c>
      <c r="W2626" s="51" t="s">
        <v>5739</v>
      </c>
      <c r="X2626" s="51" t="s">
        <v>2359</v>
      </c>
    </row>
    <row r="2627" customFormat="false" ht="14.25" hidden="true" customHeight="false" outlineLevel="0" collapsed="false">
      <c r="A2627" s="49" t="s">
        <v>2349</v>
      </c>
      <c r="B2627" s="49" t="s">
        <v>2350</v>
      </c>
      <c r="C2627" s="49" t="s">
        <v>5740</v>
      </c>
      <c r="D2627" s="49" t="s">
        <v>2352</v>
      </c>
      <c r="E2627" s="49" t="s">
        <v>4351</v>
      </c>
      <c r="F2627" s="49" t="s">
        <v>4352</v>
      </c>
      <c r="G2627" s="49" t="n">
        <v>0</v>
      </c>
      <c r="H2627" s="0" t="n">
        <v>0</v>
      </c>
      <c r="M2627" s="51" t="s">
        <v>5736</v>
      </c>
      <c r="N2627" s="49" t="n">
        <v>0</v>
      </c>
      <c r="O2627" s="53" t="n">
        <v>45736.6012731481</v>
      </c>
      <c r="P2627" s="53" t="n">
        <v>45739.5471759259</v>
      </c>
      <c r="Q2627" s="53" t="n">
        <v>45736.6012731481</v>
      </c>
      <c r="R2627" s="0" t="n">
        <v>0</v>
      </c>
      <c r="S2627" s="51" t="s">
        <v>2356</v>
      </c>
      <c r="T2627" s="51" t="s">
        <v>2356</v>
      </c>
      <c r="U2627" s="51" t="s">
        <v>4351</v>
      </c>
      <c r="V2627" s="51" t="s">
        <v>2365</v>
      </c>
      <c r="W2627" s="51" t="s">
        <v>3760</v>
      </c>
      <c r="X2627" s="51" t="s">
        <v>2359</v>
      </c>
    </row>
    <row r="2628" customFormat="false" ht="14.25" hidden="true" customHeight="false" outlineLevel="0" collapsed="false">
      <c r="A2628" s="49" t="s">
        <v>2349</v>
      </c>
      <c r="B2628" s="49" t="s">
        <v>2350</v>
      </c>
      <c r="C2628" s="49" t="s">
        <v>5741</v>
      </c>
      <c r="D2628" s="49" t="s">
        <v>2352</v>
      </c>
      <c r="E2628" s="49" t="s">
        <v>4351</v>
      </c>
      <c r="F2628" s="49" t="s">
        <v>4352</v>
      </c>
      <c r="G2628" s="49" t="n">
        <v>0</v>
      </c>
      <c r="H2628" s="0" t="n">
        <v>0</v>
      </c>
      <c r="M2628" s="51" t="s">
        <v>5736</v>
      </c>
      <c r="N2628" s="49" t="n">
        <v>0</v>
      </c>
      <c r="O2628" s="53" t="n">
        <v>45736.6012962963</v>
      </c>
      <c r="P2628" s="53" t="n">
        <v>45739.5457175926</v>
      </c>
      <c r="Q2628" s="53" t="n">
        <v>45736.6012962963</v>
      </c>
      <c r="R2628" s="0" t="n">
        <v>0</v>
      </c>
      <c r="S2628" s="51" t="s">
        <v>2356</v>
      </c>
      <c r="T2628" s="51" t="s">
        <v>2356</v>
      </c>
      <c r="U2628" s="51" t="s">
        <v>4351</v>
      </c>
      <c r="V2628" s="51" t="s">
        <v>2365</v>
      </c>
      <c r="W2628" s="51" t="s">
        <v>4144</v>
      </c>
      <c r="X2628" s="51" t="s">
        <v>2359</v>
      </c>
    </row>
    <row r="2629" customFormat="false" ht="14.25" hidden="true" customHeight="false" outlineLevel="0" collapsed="false">
      <c r="A2629" s="49" t="s">
        <v>2349</v>
      </c>
      <c r="B2629" s="49" t="s">
        <v>2350</v>
      </c>
      <c r="C2629" s="49" t="s">
        <v>5742</v>
      </c>
      <c r="D2629" s="49" t="s">
        <v>2352</v>
      </c>
      <c r="E2629" s="49" t="s">
        <v>4351</v>
      </c>
      <c r="F2629" s="49" t="s">
        <v>4352</v>
      </c>
      <c r="G2629" s="49" t="n">
        <v>0</v>
      </c>
      <c r="H2629" s="0" t="n">
        <v>0</v>
      </c>
      <c r="M2629" s="51" t="s">
        <v>5736</v>
      </c>
      <c r="N2629" s="49" t="n">
        <v>0</v>
      </c>
      <c r="O2629" s="53" t="n">
        <v>45736.6013194444</v>
      </c>
      <c r="P2629" s="53" t="n">
        <v>45739.5453009259</v>
      </c>
      <c r="Q2629" s="53" t="n">
        <v>45736.6013194444</v>
      </c>
      <c r="R2629" s="0" t="n">
        <v>0</v>
      </c>
      <c r="S2629" s="51" t="s">
        <v>2356</v>
      </c>
      <c r="T2629" s="51" t="s">
        <v>2356</v>
      </c>
      <c r="U2629" s="51" t="s">
        <v>4351</v>
      </c>
      <c r="V2629" s="51" t="s">
        <v>2365</v>
      </c>
      <c r="W2629" s="51" t="s">
        <v>4607</v>
      </c>
      <c r="X2629" s="51" t="s">
        <v>2359</v>
      </c>
    </row>
    <row r="2630" customFormat="false" ht="14.25" hidden="true" customHeight="false" outlineLevel="0" collapsed="false">
      <c r="A2630" s="49" t="s">
        <v>2349</v>
      </c>
      <c r="B2630" s="49" t="s">
        <v>2350</v>
      </c>
      <c r="C2630" s="49" t="s">
        <v>5743</v>
      </c>
      <c r="D2630" s="49" t="s">
        <v>2352</v>
      </c>
      <c r="E2630" s="49" t="s">
        <v>4351</v>
      </c>
      <c r="F2630" s="49" t="s">
        <v>4352</v>
      </c>
      <c r="G2630" s="49" t="n">
        <v>0</v>
      </c>
      <c r="H2630" s="0" t="n">
        <v>0</v>
      </c>
      <c r="M2630" s="51" t="s">
        <v>5736</v>
      </c>
      <c r="N2630" s="49" t="n">
        <v>0</v>
      </c>
      <c r="O2630" s="53" t="n">
        <v>45736.6013425926</v>
      </c>
      <c r="P2630" s="53" t="n">
        <v>45766.6219097222</v>
      </c>
      <c r="Q2630" s="53" t="n">
        <v>45736.6013425926</v>
      </c>
      <c r="R2630" s="0" t="n">
        <v>0</v>
      </c>
      <c r="S2630" s="51" t="s">
        <v>2356</v>
      </c>
      <c r="T2630" s="51" t="s">
        <v>2356</v>
      </c>
      <c r="U2630" s="51" t="s">
        <v>4351</v>
      </c>
      <c r="V2630" s="51" t="s">
        <v>2365</v>
      </c>
      <c r="W2630" s="51" t="s">
        <v>5744</v>
      </c>
      <c r="X2630" s="51" t="s">
        <v>2359</v>
      </c>
    </row>
    <row r="2631" customFormat="false" ht="14.25" hidden="true" customHeight="false" outlineLevel="0" collapsed="false">
      <c r="A2631" s="49" t="s">
        <v>2349</v>
      </c>
      <c r="B2631" s="49" t="s">
        <v>2350</v>
      </c>
      <c r="C2631" s="49" t="s">
        <v>5745</v>
      </c>
      <c r="D2631" s="49" t="s">
        <v>2352</v>
      </c>
      <c r="E2631" s="49" t="s">
        <v>4351</v>
      </c>
      <c r="F2631" s="49" t="s">
        <v>4352</v>
      </c>
      <c r="G2631" s="49" t="n">
        <v>0</v>
      </c>
      <c r="H2631" s="0" t="n">
        <v>0</v>
      </c>
      <c r="M2631" s="51" t="s">
        <v>5736</v>
      </c>
      <c r="N2631" s="49" t="n">
        <v>0</v>
      </c>
      <c r="O2631" s="53" t="n">
        <v>45736.6013657407</v>
      </c>
      <c r="P2631" s="53" t="n">
        <v>45739.5451157407</v>
      </c>
      <c r="Q2631" s="53" t="n">
        <v>45736.6013657407</v>
      </c>
      <c r="R2631" s="0" t="n">
        <v>0</v>
      </c>
      <c r="S2631" s="51" t="s">
        <v>2356</v>
      </c>
      <c r="T2631" s="51" t="s">
        <v>2356</v>
      </c>
      <c r="U2631" s="51" t="s">
        <v>4351</v>
      </c>
      <c r="V2631" s="51" t="s">
        <v>2365</v>
      </c>
      <c r="W2631" s="51" t="s">
        <v>5147</v>
      </c>
      <c r="X2631" s="51" t="s">
        <v>2359</v>
      </c>
    </row>
    <row r="2632" customFormat="false" ht="14.25" hidden="true" customHeight="false" outlineLevel="0" collapsed="false">
      <c r="A2632" s="49" t="s">
        <v>2349</v>
      </c>
      <c r="B2632" s="49" t="s">
        <v>2350</v>
      </c>
      <c r="C2632" s="49" t="s">
        <v>5746</v>
      </c>
      <c r="D2632" s="49" t="s">
        <v>2352</v>
      </c>
      <c r="E2632" s="49" t="s">
        <v>4351</v>
      </c>
      <c r="F2632" s="49" t="s">
        <v>4352</v>
      </c>
      <c r="G2632" s="49" t="n">
        <v>0</v>
      </c>
      <c r="H2632" s="0" t="n">
        <v>0</v>
      </c>
      <c r="M2632" s="51" t="s">
        <v>5736</v>
      </c>
      <c r="N2632" s="49" t="n">
        <v>0</v>
      </c>
      <c r="O2632" s="53" t="n">
        <v>45736.601400463</v>
      </c>
      <c r="P2632" s="53" t="n">
        <v>45739.5448958333</v>
      </c>
      <c r="Q2632" s="53" t="n">
        <v>45736.601400463</v>
      </c>
      <c r="R2632" s="0" t="n">
        <v>0</v>
      </c>
      <c r="S2632" s="51" t="s">
        <v>2356</v>
      </c>
      <c r="T2632" s="51" t="s">
        <v>2356</v>
      </c>
      <c r="U2632" s="51" t="s">
        <v>4351</v>
      </c>
      <c r="V2632" s="51" t="s">
        <v>2365</v>
      </c>
      <c r="W2632" s="51" t="s">
        <v>5151</v>
      </c>
      <c r="X2632" s="51" t="s">
        <v>2359</v>
      </c>
    </row>
    <row r="2633" customFormat="false" ht="14.25" hidden="true" customHeight="false" outlineLevel="0" collapsed="false">
      <c r="A2633" s="49" t="s">
        <v>2349</v>
      </c>
      <c r="B2633" s="49" t="s">
        <v>2350</v>
      </c>
      <c r="C2633" s="49" t="s">
        <v>5747</v>
      </c>
      <c r="D2633" s="49" t="s">
        <v>2352</v>
      </c>
      <c r="E2633" s="49" t="s">
        <v>4351</v>
      </c>
      <c r="F2633" s="49" t="s">
        <v>4352</v>
      </c>
      <c r="G2633" s="49" t="n">
        <v>0</v>
      </c>
      <c r="H2633" s="0" t="n">
        <v>0</v>
      </c>
      <c r="M2633" s="51" t="s">
        <v>5736</v>
      </c>
      <c r="N2633" s="49" t="n">
        <v>0</v>
      </c>
      <c r="O2633" s="53" t="n">
        <v>45736.6014236111</v>
      </c>
      <c r="P2633" s="53" t="n">
        <v>45739.5446875</v>
      </c>
      <c r="Q2633" s="53" t="n">
        <v>45736.6014236111</v>
      </c>
      <c r="R2633" s="0" t="n">
        <v>0</v>
      </c>
      <c r="S2633" s="51" t="s">
        <v>2356</v>
      </c>
      <c r="T2633" s="51" t="s">
        <v>2356</v>
      </c>
      <c r="U2633" s="51" t="s">
        <v>4351</v>
      </c>
      <c r="V2633" s="51" t="s">
        <v>2365</v>
      </c>
      <c r="W2633" s="51" t="s">
        <v>5748</v>
      </c>
      <c r="X2633" s="51" t="s">
        <v>2359</v>
      </c>
    </row>
    <row r="2634" customFormat="false" ht="14.25" hidden="true" customHeight="false" outlineLevel="0" collapsed="false">
      <c r="A2634" s="49" t="s">
        <v>2349</v>
      </c>
      <c r="B2634" s="49" t="s">
        <v>2350</v>
      </c>
      <c r="C2634" s="49" t="s">
        <v>5749</v>
      </c>
      <c r="D2634" s="49" t="s">
        <v>2352</v>
      </c>
      <c r="E2634" s="49" t="s">
        <v>4351</v>
      </c>
      <c r="F2634" s="49" t="s">
        <v>4352</v>
      </c>
      <c r="G2634" s="49" t="n">
        <v>0</v>
      </c>
      <c r="H2634" s="0" t="n">
        <v>0</v>
      </c>
      <c r="M2634" s="51" t="s">
        <v>5736</v>
      </c>
      <c r="N2634" s="49" t="n">
        <v>0</v>
      </c>
      <c r="O2634" s="53" t="n">
        <v>45736.6009259259</v>
      </c>
      <c r="P2634" s="53" t="n">
        <v>45738.6160648148</v>
      </c>
      <c r="Q2634" s="53" t="n">
        <v>45736.6009259259</v>
      </c>
      <c r="R2634" s="0" t="n">
        <v>0</v>
      </c>
      <c r="S2634" s="51" t="s">
        <v>2356</v>
      </c>
      <c r="T2634" s="51" t="s">
        <v>2356</v>
      </c>
      <c r="U2634" s="51" t="s">
        <v>4351</v>
      </c>
      <c r="V2634" s="51" t="s">
        <v>2365</v>
      </c>
      <c r="W2634" s="51" t="s">
        <v>5750</v>
      </c>
      <c r="X2634" s="51" t="s">
        <v>2359</v>
      </c>
    </row>
    <row r="2635" customFormat="false" ht="14.25" hidden="true" customHeight="false" outlineLevel="0" collapsed="false">
      <c r="A2635" s="49" t="s">
        <v>2349</v>
      </c>
      <c r="B2635" s="49" t="s">
        <v>2350</v>
      </c>
      <c r="C2635" s="49" t="s">
        <v>5751</v>
      </c>
      <c r="D2635" s="49" t="s">
        <v>2352</v>
      </c>
      <c r="E2635" s="49" t="s">
        <v>4351</v>
      </c>
      <c r="F2635" s="49" t="s">
        <v>4352</v>
      </c>
      <c r="G2635" s="49" t="n">
        <v>0</v>
      </c>
      <c r="H2635" s="0" t="n">
        <v>0</v>
      </c>
      <c r="M2635" s="51" t="s">
        <v>5736</v>
      </c>
      <c r="N2635" s="49" t="n">
        <v>0</v>
      </c>
      <c r="O2635" s="53" t="n">
        <v>45736.6008912037</v>
      </c>
      <c r="P2635" s="53" t="n">
        <v>45743.7293287037</v>
      </c>
      <c r="Q2635" s="53" t="n">
        <v>45736.6008912037</v>
      </c>
      <c r="R2635" s="0" t="n">
        <v>0</v>
      </c>
      <c r="S2635" s="51" t="s">
        <v>2356</v>
      </c>
      <c r="T2635" s="51" t="s">
        <v>2356</v>
      </c>
      <c r="U2635" s="51" t="s">
        <v>4351</v>
      </c>
      <c r="V2635" s="51" t="s">
        <v>2365</v>
      </c>
      <c r="W2635" s="51" t="s">
        <v>5560</v>
      </c>
      <c r="X2635" s="51" t="s">
        <v>2359</v>
      </c>
    </row>
    <row r="2636" customFormat="false" ht="14.25" hidden="true" customHeight="false" outlineLevel="0" collapsed="false">
      <c r="A2636" s="49" t="s">
        <v>2349</v>
      </c>
      <c r="B2636" s="49" t="s">
        <v>2350</v>
      </c>
      <c r="C2636" s="49" t="s">
        <v>5752</v>
      </c>
      <c r="D2636" s="49" t="s">
        <v>2352</v>
      </c>
      <c r="E2636" s="49" t="s">
        <v>4351</v>
      </c>
      <c r="F2636" s="49" t="s">
        <v>4352</v>
      </c>
      <c r="G2636" s="49" t="n">
        <v>0</v>
      </c>
      <c r="H2636" s="0" t="n">
        <v>0</v>
      </c>
      <c r="M2636" s="51" t="s">
        <v>5736</v>
      </c>
      <c r="N2636" s="49" t="n">
        <v>0</v>
      </c>
      <c r="O2636" s="53" t="n">
        <v>45736.6008449074</v>
      </c>
      <c r="P2636" s="53" t="n">
        <v>45741.427337963</v>
      </c>
      <c r="Q2636" s="53" t="n">
        <v>45736.6008449074</v>
      </c>
      <c r="R2636" s="0" t="n">
        <v>0</v>
      </c>
      <c r="S2636" s="51" t="s">
        <v>2356</v>
      </c>
      <c r="T2636" s="51" t="s">
        <v>2356</v>
      </c>
      <c r="U2636" s="51" t="s">
        <v>4351</v>
      </c>
      <c r="V2636" s="51" t="s">
        <v>2365</v>
      </c>
      <c r="W2636" s="51" t="s">
        <v>5157</v>
      </c>
      <c r="X2636" s="51" t="s">
        <v>2359</v>
      </c>
    </row>
    <row r="2637" customFormat="false" ht="14.25" hidden="true" customHeight="false" outlineLevel="0" collapsed="false">
      <c r="A2637" s="49" t="s">
        <v>2349</v>
      </c>
      <c r="B2637" s="49" t="s">
        <v>2350</v>
      </c>
      <c r="C2637" s="49" t="s">
        <v>5753</v>
      </c>
      <c r="D2637" s="49" t="s">
        <v>2352</v>
      </c>
      <c r="E2637" s="49" t="s">
        <v>4351</v>
      </c>
      <c r="F2637" s="49" t="s">
        <v>4352</v>
      </c>
      <c r="G2637" s="49" t="n">
        <v>0</v>
      </c>
      <c r="H2637" s="0" t="n">
        <v>0</v>
      </c>
      <c r="M2637" s="51" t="s">
        <v>5736</v>
      </c>
      <c r="N2637" s="49" t="n">
        <v>0</v>
      </c>
      <c r="O2637" s="53" t="n">
        <v>45736.6008217593</v>
      </c>
      <c r="P2637" s="53" t="n">
        <v>45753.5880439815</v>
      </c>
      <c r="Q2637" s="53" t="n">
        <v>45736.6008217593</v>
      </c>
      <c r="R2637" s="0" t="n">
        <v>0</v>
      </c>
      <c r="S2637" s="51" t="s">
        <v>2356</v>
      </c>
      <c r="T2637" s="51" t="s">
        <v>2356</v>
      </c>
      <c r="U2637" s="51" t="s">
        <v>4351</v>
      </c>
      <c r="V2637" s="51" t="s">
        <v>2365</v>
      </c>
      <c r="W2637" s="51" t="s">
        <v>5754</v>
      </c>
      <c r="X2637" s="51" t="s">
        <v>2359</v>
      </c>
    </row>
    <row r="2638" customFormat="false" ht="14.25" hidden="true" customHeight="false" outlineLevel="0" collapsed="false">
      <c r="A2638" s="49" t="s">
        <v>2349</v>
      </c>
      <c r="B2638" s="49" t="s">
        <v>2350</v>
      </c>
      <c r="C2638" s="49" t="s">
        <v>5755</v>
      </c>
      <c r="D2638" s="49" t="s">
        <v>2352</v>
      </c>
      <c r="E2638" s="49" t="s">
        <v>4351</v>
      </c>
      <c r="F2638" s="49" t="s">
        <v>4352</v>
      </c>
      <c r="G2638" s="49" t="n">
        <v>0</v>
      </c>
      <c r="H2638" s="0" t="n">
        <v>0</v>
      </c>
      <c r="M2638" s="51" t="s">
        <v>5736</v>
      </c>
      <c r="N2638" s="49" t="n">
        <v>0</v>
      </c>
      <c r="O2638" s="53" t="n">
        <v>45736.6007986111</v>
      </c>
      <c r="P2638" s="53" t="n">
        <v>45766.623275463</v>
      </c>
      <c r="Q2638" s="53" t="n">
        <v>45736.6007986111</v>
      </c>
      <c r="R2638" s="0" t="n">
        <v>0</v>
      </c>
      <c r="S2638" s="51" t="s">
        <v>2356</v>
      </c>
      <c r="T2638" s="51" t="s">
        <v>2356</v>
      </c>
      <c r="U2638" s="51" t="s">
        <v>4351</v>
      </c>
      <c r="V2638" s="51" t="s">
        <v>2365</v>
      </c>
      <c r="W2638" s="51" t="s">
        <v>5756</v>
      </c>
      <c r="X2638" s="51" t="s">
        <v>2359</v>
      </c>
    </row>
    <row r="2639" customFormat="false" ht="14.25" hidden="true" customHeight="false" outlineLevel="0" collapsed="false">
      <c r="A2639" s="49" t="s">
        <v>2349</v>
      </c>
      <c r="B2639" s="49" t="s">
        <v>2350</v>
      </c>
      <c r="C2639" s="49" t="s">
        <v>5757</v>
      </c>
      <c r="D2639" s="49" t="s">
        <v>2352</v>
      </c>
      <c r="E2639" s="49" t="s">
        <v>4351</v>
      </c>
      <c r="F2639" s="49" t="s">
        <v>4352</v>
      </c>
      <c r="G2639" s="49" t="n">
        <v>0</v>
      </c>
      <c r="H2639" s="0" t="n">
        <v>0</v>
      </c>
      <c r="M2639" s="51" t="s">
        <v>5736</v>
      </c>
      <c r="N2639" s="49" t="n">
        <v>0</v>
      </c>
      <c r="O2639" s="53" t="n">
        <v>45736.600775463</v>
      </c>
      <c r="P2639" s="53" t="n">
        <v>45741.4273958333</v>
      </c>
      <c r="Q2639" s="53" t="n">
        <v>45736.600775463</v>
      </c>
      <c r="R2639" s="0" t="n">
        <v>0</v>
      </c>
      <c r="S2639" s="51" t="s">
        <v>2356</v>
      </c>
      <c r="T2639" s="51" t="s">
        <v>2356</v>
      </c>
      <c r="U2639" s="51" t="s">
        <v>4351</v>
      </c>
      <c r="V2639" s="51" t="s">
        <v>2365</v>
      </c>
      <c r="W2639" s="51" t="s">
        <v>4128</v>
      </c>
      <c r="X2639" s="51" t="s">
        <v>2359</v>
      </c>
    </row>
    <row r="2640" customFormat="false" ht="14.25" hidden="true" customHeight="false" outlineLevel="0" collapsed="false">
      <c r="A2640" s="49" t="s">
        <v>2349</v>
      </c>
      <c r="B2640" s="49" t="s">
        <v>2350</v>
      </c>
      <c r="C2640" s="49" t="s">
        <v>5758</v>
      </c>
      <c r="D2640" s="49" t="s">
        <v>2352</v>
      </c>
      <c r="E2640" s="49" t="s">
        <v>4351</v>
      </c>
      <c r="F2640" s="49" t="s">
        <v>4352</v>
      </c>
      <c r="G2640" s="49" t="n">
        <v>0</v>
      </c>
      <c r="H2640" s="0" t="n">
        <v>0</v>
      </c>
      <c r="M2640" s="51" t="s">
        <v>5736</v>
      </c>
      <c r="N2640" s="49" t="n">
        <v>0</v>
      </c>
      <c r="O2640" s="53" t="n">
        <v>45736.6007291667</v>
      </c>
      <c r="P2640" s="53" t="n">
        <v>45741.4275694444</v>
      </c>
      <c r="Q2640" s="53" t="n">
        <v>45736.6007291667</v>
      </c>
      <c r="R2640" s="0" t="n">
        <v>0</v>
      </c>
      <c r="S2640" s="51" t="s">
        <v>2356</v>
      </c>
      <c r="T2640" s="51" t="s">
        <v>2356</v>
      </c>
      <c r="U2640" s="51" t="s">
        <v>4351</v>
      </c>
      <c r="V2640" s="51" t="s">
        <v>2365</v>
      </c>
      <c r="W2640" s="51" t="s">
        <v>5759</v>
      </c>
      <c r="X2640" s="51" t="s">
        <v>2359</v>
      </c>
    </row>
    <row r="2641" customFormat="false" ht="14.25" hidden="true" customHeight="false" outlineLevel="0" collapsed="false">
      <c r="A2641" s="49" t="s">
        <v>2349</v>
      </c>
      <c r="B2641" s="49" t="s">
        <v>2350</v>
      </c>
      <c r="C2641" s="49" t="s">
        <v>5760</v>
      </c>
      <c r="D2641" s="49" t="s">
        <v>2352</v>
      </c>
      <c r="E2641" s="49" t="s">
        <v>4351</v>
      </c>
      <c r="F2641" s="49" t="s">
        <v>4352</v>
      </c>
      <c r="G2641" s="49" t="n">
        <v>0</v>
      </c>
      <c r="H2641" s="0" t="n">
        <v>0</v>
      </c>
      <c r="M2641" s="51" t="s">
        <v>5736</v>
      </c>
      <c r="N2641" s="49" t="n">
        <v>0</v>
      </c>
      <c r="O2641" s="53" t="n">
        <v>45736.6007060185</v>
      </c>
      <c r="P2641" s="53" t="n">
        <v>45743.3163310185</v>
      </c>
      <c r="Q2641" s="53" t="n">
        <v>45736.6007060185</v>
      </c>
      <c r="R2641" s="0" t="n">
        <v>0</v>
      </c>
      <c r="S2641" s="51" t="s">
        <v>2356</v>
      </c>
      <c r="T2641" s="51" t="s">
        <v>2356</v>
      </c>
      <c r="U2641" s="51" t="s">
        <v>4351</v>
      </c>
      <c r="V2641" s="51" t="s">
        <v>2365</v>
      </c>
      <c r="W2641" s="51" t="s">
        <v>5761</v>
      </c>
      <c r="X2641" s="51" t="s">
        <v>2359</v>
      </c>
    </row>
    <row r="2642" customFormat="false" ht="14.25" hidden="true" customHeight="false" outlineLevel="0" collapsed="false">
      <c r="A2642" s="49" t="s">
        <v>2349</v>
      </c>
      <c r="B2642" s="49" t="s">
        <v>2350</v>
      </c>
      <c r="C2642" s="49" t="s">
        <v>5762</v>
      </c>
      <c r="D2642" s="49" t="s">
        <v>2352</v>
      </c>
      <c r="E2642" s="49" t="s">
        <v>4351</v>
      </c>
      <c r="F2642" s="49" t="s">
        <v>4352</v>
      </c>
      <c r="G2642" s="49" t="n">
        <v>0</v>
      </c>
      <c r="H2642" s="0" t="n">
        <v>0</v>
      </c>
      <c r="M2642" s="51" t="s">
        <v>5736</v>
      </c>
      <c r="N2642" s="49" t="n">
        <v>0</v>
      </c>
      <c r="O2642" s="53" t="n">
        <v>45736.6006828704</v>
      </c>
      <c r="P2642" s="53" t="n">
        <v>45741.6838194444</v>
      </c>
      <c r="Q2642" s="53" t="n">
        <v>45736.6006828704</v>
      </c>
      <c r="R2642" s="0" t="n">
        <v>0</v>
      </c>
      <c r="S2642" s="51" t="s">
        <v>2356</v>
      </c>
      <c r="T2642" s="51" t="s">
        <v>2356</v>
      </c>
      <c r="U2642" s="51" t="s">
        <v>4351</v>
      </c>
      <c r="V2642" s="51" t="s">
        <v>2365</v>
      </c>
      <c r="W2642" s="51" t="s">
        <v>5756</v>
      </c>
      <c r="X2642" s="51" t="s">
        <v>2359</v>
      </c>
    </row>
    <row r="2643" customFormat="false" ht="14.25" hidden="true" customHeight="false" outlineLevel="0" collapsed="false">
      <c r="A2643" s="49" t="s">
        <v>2349</v>
      </c>
      <c r="B2643" s="49" t="s">
        <v>2350</v>
      </c>
      <c r="C2643" s="49" t="s">
        <v>5763</v>
      </c>
      <c r="D2643" s="49" t="s">
        <v>2352</v>
      </c>
      <c r="E2643" s="49" t="s">
        <v>4351</v>
      </c>
      <c r="F2643" s="49" t="s">
        <v>4352</v>
      </c>
      <c r="G2643" s="49" t="n">
        <v>0</v>
      </c>
      <c r="H2643" s="0" t="n">
        <v>0</v>
      </c>
      <c r="M2643" s="51" t="s">
        <v>5736</v>
      </c>
      <c r="N2643" s="49" t="n">
        <v>0</v>
      </c>
      <c r="O2643" s="53" t="n">
        <v>45736.6001273148</v>
      </c>
      <c r="P2643" s="53" t="n">
        <v>45752.6311458333</v>
      </c>
      <c r="Q2643" s="53" t="n">
        <v>45736.6001273148</v>
      </c>
      <c r="R2643" s="0" t="n">
        <v>0</v>
      </c>
      <c r="S2643" s="51" t="s">
        <v>2356</v>
      </c>
      <c r="T2643" s="51" t="s">
        <v>2356</v>
      </c>
      <c r="U2643" s="51" t="s">
        <v>4351</v>
      </c>
      <c r="V2643" s="51" t="s">
        <v>2365</v>
      </c>
      <c r="W2643" s="51" t="s">
        <v>3963</v>
      </c>
      <c r="X2643" s="51" t="s">
        <v>2359</v>
      </c>
    </row>
    <row r="2644" customFormat="false" ht="14.25" hidden="true" customHeight="false" outlineLevel="0" collapsed="false">
      <c r="A2644" s="49" t="s">
        <v>2349</v>
      </c>
      <c r="B2644" s="49" t="s">
        <v>2350</v>
      </c>
      <c r="C2644" s="49" t="s">
        <v>5764</v>
      </c>
      <c r="D2644" s="49" t="s">
        <v>2352</v>
      </c>
      <c r="E2644" s="49" t="s">
        <v>4351</v>
      </c>
      <c r="F2644" s="49" t="s">
        <v>4352</v>
      </c>
      <c r="G2644" s="49" t="n">
        <v>0</v>
      </c>
      <c r="H2644" s="0" t="n">
        <v>0</v>
      </c>
      <c r="M2644" s="51" t="s">
        <v>5736</v>
      </c>
      <c r="N2644" s="49" t="n">
        <v>0</v>
      </c>
      <c r="O2644" s="53" t="n">
        <v>45736.5997685185</v>
      </c>
      <c r="P2644" s="53" t="n">
        <v>45753.5875</v>
      </c>
      <c r="Q2644" s="53" t="n">
        <v>45736.5997685185</v>
      </c>
      <c r="R2644" s="0" t="n">
        <v>0</v>
      </c>
      <c r="S2644" s="51" t="s">
        <v>2356</v>
      </c>
      <c r="T2644" s="51" t="s">
        <v>2356</v>
      </c>
      <c r="U2644" s="51" t="s">
        <v>4351</v>
      </c>
      <c r="V2644" s="51" t="s">
        <v>2365</v>
      </c>
      <c r="W2644" s="51" t="s">
        <v>5414</v>
      </c>
      <c r="X2644" s="51" t="s">
        <v>2359</v>
      </c>
    </row>
    <row r="2645" customFormat="false" ht="14.25" hidden="true" customHeight="false" outlineLevel="0" collapsed="false">
      <c r="A2645" s="49" t="s">
        <v>2349</v>
      </c>
      <c r="B2645" s="49" t="s">
        <v>2350</v>
      </c>
      <c r="C2645" s="49" t="s">
        <v>5765</v>
      </c>
      <c r="D2645" s="49" t="s">
        <v>2352</v>
      </c>
      <c r="E2645" s="49" t="str">
        <f aca="false">"5060175132987"</f>
        <v>5060175132987</v>
      </c>
      <c r="F2645" s="49" t="s">
        <v>3953</v>
      </c>
      <c r="G2645" s="49" t="n">
        <v>0</v>
      </c>
      <c r="H2645" s="0" t="n">
        <v>0</v>
      </c>
      <c r="M2645" s="51" t="s">
        <v>5766</v>
      </c>
      <c r="N2645" s="49" t="n">
        <v>0</v>
      </c>
      <c r="O2645" s="53" t="n">
        <v>45738.5036342593</v>
      </c>
      <c r="P2645" s="53" t="n">
        <v>45749.4620486111</v>
      </c>
      <c r="Q2645" s="53" t="n">
        <v>45738.5036342593</v>
      </c>
      <c r="R2645" s="0" t="n">
        <v>0</v>
      </c>
      <c r="S2645" s="51" t="s">
        <v>2376</v>
      </c>
      <c r="T2645" s="51" t="s">
        <v>2376</v>
      </c>
      <c r="U2645" s="0" t="str">
        <f aca="false">"5060175132987"</f>
        <v>5060175132987</v>
      </c>
      <c r="V2645" s="51" t="s">
        <v>2365</v>
      </c>
      <c r="W2645" s="51" t="s">
        <v>4558</v>
      </c>
      <c r="X2645" s="51" t="s">
        <v>2359</v>
      </c>
    </row>
    <row r="2646" customFormat="false" ht="14.25" hidden="true" customHeight="false" outlineLevel="0" collapsed="false">
      <c r="A2646" s="49" t="s">
        <v>2349</v>
      </c>
      <c r="B2646" s="49" t="s">
        <v>2350</v>
      </c>
      <c r="C2646" s="49" t="s">
        <v>5767</v>
      </c>
      <c r="D2646" s="49" t="s">
        <v>2352</v>
      </c>
      <c r="E2646" s="49" t="str">
        <f aca="false">"5060175132987"</f>
        <v>5060175132987</v>
      </c>
      <c r="F2646" s="49" t="s">
        <v>3953</v>
      </c>
      <c r="G2646" s="49" t="n">
        <v>0</v>
      </c>
      <c r="H2646" s="0" t="n">
        <v>0</v>
      </c>
      <c r="M2646" s="51" t="s">
        <v>5766</v>
      </c>
      <c r="N2646" s="49" t="n">
        <v>0</v>
      </c>
      <c r="O2646" s="53" t="n">
        <v>45738.5033912037</v>
      </c>
      <c r="P2646" s="53" t="n">
        <v>45757.8993402778</v>
      </c>
      <c r="Q2646" s="53" t="n">
        <v>45738.5033912037</v>
      </c>
      <c r="R2646" s="0" t="n">
        <v>0</v>
      </c>
      <c r="S2646" s="51" t="s">
        <v>2376</v>
      </c>
      <c r="T2646" s="51" t="s">
        <v>2376</v>
      </c>
      <c r="U2646" s="0" t="str">
        <f aca="false">"5060175132987"</f>
        <v>5060175132987</v>
      </c>
      <c r="V2646" s="51" t="s">
        <v>2365</v>
      </c>
      <c r="W2646" s="51" t="s">
        <v>5768</v>
      </c>
      <c r="X2646" s="51" t="s">
        <v>2359</v>
      </c>
    </row>
    <row r="2647" customFormat="false" ht="14.25" hidden="true" customHeight="false" outlineLevel="0" collapsed="false">
      <c r="A2647" s="49" t="s">
        <v>2349</v>
      </c>
      <c r="B2647" s="49" t="s">
        <v>2350</v>
      </c>
      <c r="C2647" s="49" t="s">
        <v>5769</v>
      </c>
      <c r="D2647" s="49" t="s">
        <v>2352</v>
      </c>
      <c r="E2647" s="49" t="str">
        <f aca="false">"5060175132987"</f>
        <v>5060175132987</v>
      </c>
      <c r="F2647" s="49" t="s">
        <v>3953</v>
      </c>
      <c r="G2647" s="49" t="n">
        <v>0</v>
      </c>
      <c r="H2647" s="0" t="n">
        <v>0</v>
      </c>
      <c r="M2647" s="51" t="s">
        <v>5766</v>
      </c>
      <c r="N2647" s="49" t="n">
        <v>0</v>
      </c>
      <c r="O2647" s="53" t="n">
        <v>45738.5031828704</v>
      </c>
      <c r="P2647" s="53" t="n">
        <v>45757.9016550926</v>
      </c>
      <c r="Q2647" s="53" t="n">
        <v>45738.5031828704</v>
      </c>
      <c r="R2647" s="0" t="n">
        <v>0</v>
      </c>
      <c r="S2647" s="51" t="s">
        <v>2376</v>
      </c>
      <c r="T2647" s="51" t="s">
        <v>2376</v>
      </c>
      <c r="U2647" s="0" t="str">
        <f aca="false">"5060175132987"</f>
        <v>5060175132987</v>
      </c>
      <c r="V2647" s="51" t="s">
        <v>2365</v>
      </c>
      <c r="W2647" s="51" t="s">
        <v>4212</v>
      </c>
      <c r="X2647" s="51" t="s">
        <v>2359</v>
      </c>
    </row>
    <row r="2648" customFormat="false" ht="14.25" hidden="true" customHeight="false" outlineLevel="0" collapsed="false">
      <c r="A2648" s="49" t="s">
        <v>2349</v>
      </c>
      <c r="B2648" s="49" t="s">
        <v>2350</v>
      </c>
      <c r="C2648" s="49" t="s">
        <v>5770</v>
      </c>
      <c r="D2648" s="49" t="s">
        <v>2352</v>
      </c>
      <c r="E2648" s="49" t="str">
        <f aca="false">"5060175132987"</f>
        <v>5060175132987</v>
      </c>
      <c r="F2648" s="49" t="s">
        <v>3953</v>
      </c>
      <c r="G2648" s="49" t="n">
        <v>0</v>
      </c>
      <c r="H2648" s="0" t="n">
        <v>0</v>
      </c>
      <c r="M2648" s="51" t="s">
        <v>5766</v>
      </c>
      <c r="N2648" s="49" t="n">
        <v>0</v>
      </c>
      <c r="O2648" s="53" t="n">
        <v>45738.5030208333</v>
      </c>
      <c r="P2648" s="53" t="n">
        <v>45759.7719907407</v>
      </c>
      <c r="Q2648" s="53" t="n">
        <v>45738.5030208333</v>
      </c>
      <c r="R2648" s="0" t="n">
        <v>0</v>
      </c>
      <c r="S2648" s="51" t="s">
        <v>2376</v>
      </c>
      <c r="T2648" s="51" t="s">
        <v>2376</v>
      </c>
      <c r="U2648" s="0" t="str">
        <f aca="false">"5060175132987"</f>
        <v>5060175132987</v>
      </c>
      <c r="V2648" s="51" t="s">
        <v>2365</v>
      </c>
      <c r="W2648" s="51" t="s">
        <v>5771</v>
      </c>
      <c r="X2648" s="51" t="s">
        <v>2359</v>
      </c>
    </row>
    <row r="2649" customFormat="false" ht="14.25" hidden="true" customHeight="false" outlineLevel="0" collapsed="false">
      <c r="A2649" s="49" t="s">
        <v>2349</v>
      </c>
      <c r="B2649" s="49" t="s">
        <v>2350</v>
      </c>
      <c r="C2649" s="49" t="s">
        <v>5772</v>
      </c>
      <c r="D2649" s="49" t="s">
        <v>2352</v>
      </c>
      <c r="E2649" s="49" t="str">
        <f aca="false">"5060175132987"</f>
        <v>5060175132987</v>
      </c>
      <c r="F2649" s="49" t="s">
        <v>3953</v>
      </c>
      <c r="G2649" s="49" t="n">
        <v>0</v>
      </c>
      <c r="H2649" s="0" t="n">
        <v>0</v>
      </c>
      <c r="M2649" s="51" t="s">
        <v>5766</v>
      </c>
      <c r="N2649" s="49" t="n">
        <v>0</v>
      </c>
      <c r="O2649" s="53" t="n">
        <v>45738.5028472222</v>
      </c>
      <c r="P2649" s="53" t="n">
        <v>45757.9026967593</v>
      </c>
      <c r="Q2649" s="53" t="n">
        <v>45738.5028472222</v>
      </c>
      <c r="R2649" s="0" t="n">
        <v>0</v>
      </c>
      <c r="S2649" s="51" t="s">
        <v>2376</v>
      </c>
      <c r="T2649" s="51" t="s">
        <v>2376</v>
      </c>
      <c r="U2649" s="0" t="str">
        <f aca="false">"5060175132987"</f>
        <v>5060175132987</v>
      </c>
      <c r="V2649" s="51" t="s">
        <v>2365</v>
      </c>
      <c r="W2649" s="51" t="s">
        <v>4214</v>
      </c>
      <c r="X2649" s="51" t="s">
        <v>2359</v>
      </c>
    </row>
    <row r="2650" customFormat="false" ht="14.25" hidden="true" customHeight="false" outlineLevel="0" collapsed="false">
      <c r="A2650" s="49" t="s">
        <v>2349</v>
      </c>
      <c r="B2650" s="49" t="s">
        <v>2350</v>
      </c>
      <c r="C2650" s="49" t="s">
        <v>5773</v>
      </c>
      <c r="D2650" s="49" t="s">
        <v>2352</v>
      </c>
      <c r="E2650" s="49" t="str">
        <f aca="false">"5060175132987"</f>
        <v>5060175132987</v>
      </c>
      <c r="F2650" s="49" t="s">
        <v>3953</v>
      </c>
      <c r="G2650" s="49" t="n">
        <v>0</v>
      </c>
      <c r="H2650" s="0" t="n">
        <v>0</v>
      </c>
      <c r="M2650" s="51" t="s">
        <v>5766</v>
      </c>
      <c r="N2650" s="49" t="n">
        <v>0</v>
      </c>
      <c r="O2650" s="53" t="n">
        <v>45738.5027199074</v>
      </c>
      <c r="P2650" s="53" t="n">
        <v>45757.9114236111</v>
      </c>
      <c r="Q2650" s="53" t="n">
        <v>45738.5027199074</v>
      </c>
      <c r="R2650" s="0" t="n">
        <v>0</v>
      </c>
      <c r="S2650" s="51" t="s">
        <v>2376</v>
      </c>
      <c r="T2650" s="51" t="s">
        <v>2376</v>
      </c>
      <c r="U2650" s="0" t="str">
        <f aca="false">"5060175132987"</f>
        <v>5060175132987</v>
      </c>
      <c r="V2650" s="51" t="s">
        <v>2365</v>
      </c>
      <c r="W2650" s="51" t="s">
        <v>5774</v>
      </c>
      <c r="X2650" s="51" t="s">
        <v>2359</v>
      </c>
    </row>
    <row r="2651" customFormat="false" ht="14.25" hidden="true" customHeight="false" outlineLevel="0" collapsed="false">
      <c r="A2651" s="49" t="s">
        <v>2349</v>
      </c>
      <c r="B2651" s="49" t="s">
        <v>2350</v>
      </c>
      <c r="C2651" s="49" t="s">
        <v>5775</v>
      </c>
      <c r="D2651" s="49" t="s">
        <v>2352</v>
      </c>
      <c r="E2651" s="49" t="str">
        <f aca="false">"5060175132987"</f>
        <v>5060175132987</v>
      </c>
      <c r="F2651" s="49" t="s">
        <v>3953</v>
      </c>
      <c r="G2651" s="49" t="n">
        <v>0</v>
      </c>
      <c r="H2651" s="0" t="n">
        <v>0</v>
      </c>
      <c r="M2651" s="51" t="s">
        <v>5766</v>
      </c>
      <c r="N2651" s="49" t="n">
        <v>0</v>
      </c>
      <c r="O2651" s="53" t="n">
        <v>45738.5025231482</v>
      </c>
      <c r="P2651" s="53" t="n">
        <v>45759.7690972222</v>
      </c>
      <c r="Q2651" s="53" t="n">
        <v>45738.5025231482</v>
      </c>
      <c r="R2651" s="0" t="n">
        <v>0</v>
      </c>
      <c r="S2651" s="51" t="s">
        <v>2376</v>
      </c>
      <c r="T2651" s="51" t="s">
        <v>2376</v>
      </c>
      <c r="U2651" s="0" t="str">
        <f aca="false">"5060175132987"</f>
        <v>5060175132987</v>
      </c>
      <c r="V2651" s="51" t="s">
        <v>2365</v>
      </c>
      <c r="W2651" s="51" t="s">
        <v>5776</v>
      </c>
      <c r="X2651" s="51" t="s">
        <v>2359</v>
      </c>
    </row>
    <row r="2652" customFormat="false" ht="14.25" hidden="true" customHeight="false" outlineLevel="0" collapsed="false">
      <c r="A2652" s="49" t="s">
        <v>2349</v>
      </c>
      <c r="B2652" s="49" t="s">
        <v>2350</v>
      </c>
      <c r="C2652" s="49" t="s">
        <v>5777</v>
      </c>
      <c r="D2652" s="49" t="s">
        <v>2352</v>
      </c>
      <c r="E2652" s="49" t="str">
        <f aca="false">"5060175132987"</f>
        <v>5060175132987</v>
      </c>
      <c r="F2652" s="49" t="s">
        <v>3953</v>
      </c>
      <c r="G2652" s="49" t="n">
        <v>0</v>
      </c>
      <c r="H2652" s="0" t="n">
        <v>0</v>
      </c>
      <c r="M2652" s="51" t="s">
        <v>5766</v>
      </c>
      <c r="N2652" s="49" t="n">
        <v>0</v>
      </c>
      <c r="O2652" s="53" t="n">
        <v>45738.5021759259</v>
      </c>
      <c r="P2652" s="53" t="n">
        <v>45749.4932060185</v>
      </c>
      <c r="Q2652" s="53" t="n">
        <v>45738.5021759259</v>
      </c>
      <c r="R2652" s="0" t="n">
        <v>0</v>
      </c>
      <c r="S2652" s="51" t="s">
        <v>2376</v>
      </c>
      <c r="T2652" s="51" t="s">
        <v>2376</v>
      </c>
      <c r="U2652" s="0" t="str">
        <f aca="false">"5060175132987"</f>
        <v>5060175132987</v>
      </c>
      <c r="V2652" s="51" t="s">
        <v>2365</v>
      </c>
      <c r="W2652" s="51" t="s">
        <v>5778</v>
      </c>
      <c r="X2652" s="51" t="s">
        <v>2359</v>
      </c>
    </row>
    <row r="2653" customFormat="false" ht="14.25" hidden="true" customHeight="false" outlineLevel="0" collapsed="false">
      <c r="A2653" s="49" t="s">
        <v>2349</v>
      </c>
      <c r="B2653" s="49" t="s">
        <v>2350</v>
      </c>
      <c r="C2653" s="49" t="s">
        <v>5779</v>
      </c>
      <c r="D2653" s="49" t="s">
        <v>2352</v>
      </c>
      <c r="E2653" s="49" t="str">
        <f aca="false">"5060175132987"</f>
        <v>5060175132987</v>
      </c>
      <c r="F2653" s="49" t="s">
        <v>3953</v>
      </c>
      <c r="G2653" s="49" t="n">
        <v>0</v>
      </c>
      <c r="H2653" s="0" t="n">
        <v>0</v>
      </c>
      <c r="M2653" s="51" t="s">
        <v>5766</v>
      </c>
      <c r="N2653" s="49" t="n">
        <v>0</v>
      </c>
      <c r="O2653" s="53" t="n">
        <v>45738.502025463</v>
      </c>
      <c r="P2653" s="53" t="n">
        <v>45797.7989467593</v>
      </c>
      <c r="Q2653" s="53" t="n">
        <v>45738.502025463</v>
      </c>
      <c r="R2653" s="0" t="n">
        <v>0</v>
      </c>
      <c r="S2653" s="51" t="s">
        <v>2376</v>
      </c>
      <c r="T2653" s="51" t="s">
        <v>2376</v>
      </c>
      <c r="U2653" s="0" t="str">
        <f aca="false">"5060175132987"</f>
        <v>5060175132987</v>
      </c>
      <c r="V2653" s="51" t="s">
        <v>2365</v>
      </c>
      <c r="W2653" s="51" t="s">
        <v>5771</v>
      </c>
      <c r="X2653" s="51" t="s">
        <v>2359</v>
      </c>
    </row>
    <row r="2654" customFormat="false" ht="14.25" hidden="true" customHeight="false" outlineLevel="0" collapsed="false">
      <c r="A2654" s="49" t="s">
        <v>2349</v>
      </c>
      <c r="B2654" s="49" t="s">
        <v>2350</v>
      </c>
      <c r="C2654" s="49" t="s">
        <v>5780</v>
      </c>
      <c r="D2654" s="49" t="s">
        <v>2352</v>
      </c>
      <c r="E2654" s="49" t="str">
        <f aca="false">"5060175132987"</f>
        <v>5060175132987</v>
      </c>
      <c r="F2654" s="49" t="s">
        <v>3953</v>
      </c>
      <c r="G2654" s="49" t="n">
        <v>0</v>
      </c>
      <c r="H2654" s="0" t="n">
        <v>0</v>
      </c>
      <c r="M2654" s="51" t="s">
        <v>5766</v>
      </c>
      <c r="N2654" s="49" t="n">
        <v>0</v>
      </c>
      <c r="O2654" s="53" t="n">
        <v>45738.5018865741</v>
      </c>
      <c r="P2654" s="53" t="n">
        <v>45749.4705902778</v>
      </c>
      <c r="Q2654" s="53" t="n">
        <v>45738.5018865741</v>
      </c>
      <c r="R2654" s="0" t="n">
        <v>0</v>
      </c>
      <c r="S2654" s="51" t="s">
        <v>2376</v>
      </c>
      <c r="T2654" s="51" t="s">
        <v>2376</v>
      </c>
      <c r="U2654" s="0" t="str">
        <f aca="false">"5060175132987"</f>
        <v>5060175132987</v>
      </c>
      <c r="V2654" s="51" t="s">
        <v>2365</v>
      </c>
      <c r="W2654" s="51" t="s">
        <v>5781</v>
      </c>
      <c r="X2654" s="51" t="s">
        <v>2359</v>
      </c>
    </row>
    <row r="2655" customFormat="false" ht="14.25" hidden="true" customHeight="false" outlineLevel="0" collapsed="false">
      <c r="A2655" s="49" t="s">
        <v>2349</v>
      </c>
      <c r="B2655" s="49" t="s">
        <v>2350</v>
      </c>
      <c r="C2655" s="49" t="s">
        <v>5782</v>
      </c>
      <c r="D2655" s="49" t="s">
        <v>2352</v>
      </c>
      <c r="E2655" s="49" t="str">
        <f aca="false">"5060175132987"</f>
        <v>5060175132987</v>
      </c>
      <c r="F2655" s="49" t="s">
        <v>3953</v>
      </c>
      <c r="G2655" s="49" t="n">
        <v>0</v>
      </c>
      <c r="H2655" s="0" t="n">
        <v>0</v>
      </c>
      <c r="M2655" s="51" t="s">
        <v>5766</v>
      </c>
      <c r="N2655" s="49" t="n">
        <v>0</v>
      </c>
      <c r="O2655" s="53" t="n">
        <v>45738.501724537</v>
      </c>
      <c r="P2655" s="53" t="n">
        <v>45757.9128125</v>
      </c>
      <c r="Q2655" s="53" t="n">
        <v>45738.501724537</v>
      </c>
      <c r="R2655" s="0" t="n">
        <v>0</v>
      </c>
      <c r="S2655" s="51" t="s">
        <v>2376</v>
      </c>
      <c r="T2655" s="51" t="s">
        <v>2376</v>
      </c>
      <c r="U2655" s="0" t="str">
        <f aca="false">"5060175132987"</f>
        <v>5060175132987</v>
      </c>
      <c r="V2655" s="51" t="s">
        <v>2365</v>
      </c>
      <c r="W2655" s="51" t="s">
        <v>5783</v>
      </c>
      <c r="X2655" s="51" t="s">
        <v>2359</v>
      </c>
    </row>
    <row r="2656" customFormat="false" ht="14.25" hidden="true" customHeight="false" outlineLevel="0" collapsed="false">
      <c r="A2656" s="49" t="s">
        <v>2349</v>
      </c>
      <c r="B2656" s="49" t="s">
        <v>2350</v>
      </c>
      <c r="C2656" s="49" t="s">
        <v>5784</v>
      </c>
      <c r="D2656" s="49" t="s">
        <v>2352</v>
      </c>
      <c r="E2656" s="49" t="str">
        <f aca="false">"5060175132987"</f>
        <v>5060175132987</v>
      </c>
      <c r="F2656" s="49" t="s">
        <v>3953</v>
      </c>
      <c r="G2656" s="49" t="n">
        <v>0</v>
      </c>
      <c r="H2656" s="0" t="n">
        <v>0</v>
      </c>
      <c r="M2656" s="51" t="s">
        <v>5766</v>
      </c>
      <c r="N2656" s="49" t="n">
        <v>0</v>
      </c>
      <c r="O2656" s="53" t="n">
        <v>45738.5012384259</v>
      </c>
      <c r="P2656" s="53" t="n">
        <v>45742.0967013889</v>
      </c>
      <c r="Q2656" s="53" t="n">
        <v>45738.5012384259</v>
      </c>
      <c r="R2656" s="0" t="n">
        <v>0</v>
      </c>
      <c r="S2656" s="51" t="s">
        <v>2376</v>
      </c>
      <c r="T2656" s="51" t="s">
        <v>2376</v>
      </c>
      <c r="U2656" s="0" t="str">
        <f aca="false">"5060175132987"</f>
        <v>5060175132987</v>
      </c>
      <c r="V2656" s="51" t="s">
        <v>2365</v>
      </c>
      <c r="W2656" s="51" t="s">
        <v>4187</v>
      </c>
      <c r="X2656" s="51" t="s">
        <v>2359</v>
      </c>
    </row>
    <row r="2657" customFormat="false" ht="14.25" hidden="true" customHeight="false" outlineLevel="0" collapsed="false">
      <c r="A2657" s="49" t="s">
        <v>2349</v>
      </c>
      <c r="B2657" s="49" t="s">
        <v>2350</v>
      </c>
      <c r="C2657" s="49" t="s">
        <v>5785</v>
      </c>
      <c r="D2657" s="49" t="s">
        <v>2352</v>
      </c>
      <c r="E2657" s="49" t="str">
        <f aca="false">"5060175132987"</f>
        <v>5060175132987</v>
      </c>
      <c r="F2657" s="49" t="s">
        <v>3953</v>
      </c>
      <c r="G2657" s="49" t="n">
        <v>0</v>
      </c>
      <c r="H2657" s="0" t="n">
        <v>0</v>
      </c>
      <c r="M2657" s="51" t="s">
        <v>5766</v>
      </c>
      <c r="N2657" s="49" t="n">
        <v>0</v>
      </c>
      <c r="O2657" s="53" t="n">
        <v>45738.5010763889</v>
      </c>
      <c r="P2657" s="53" t="n">
        <v>45742.0977314815</v>
      </c>
      <c r="Q2657" s="53" t="n">
        <v>45738.5010763889</v>
      </c>
      <c r="R2657" s="0" t="n">
        <v>0</v>
      </c>
      <c r="S2657" s="51" t="s">
        <v>2376</v>
      </c>
      <c r="T2657" s="51" t="s">
        <v>2376</v>
      </c>
      <c r="U2657" s="0" t="str">
        <f aca="false">"5060175132987"</f>
        <v>5060175132987</v>
      </c>
      <c r="V2657" s="51" t="s">
        <v>2365</v>
      </c>
      <c r="W2657" s="51" t="s">
        <v>5128</v>
      </c>
      <c r="X2657" s="51" t="s">
        <v>2359</v>
      </c>
    </row>
    <row r="2658" customFormat="false" ht="14.25" hidden="true" customHeight="false" outlineLevel="0" collapsed="false">
      <c r="A2658" s="49" t="s">
        <v>2349</v>
      </c>
      <c r="B2658" s="49" t="s">
        <v>2350</v>
      </c>
      <c r="C2658" s="49" t="s">
        <v>5786</v>
      </c>
      <c r="D2658" s="49" t="s">
        <v>2352</v>
      </c>
      <c r="E2658" s="49" t="str">
        <f aca="false">"5060175132987"</f>
        <v>5060175132987</v>
      </c>
      <c r="F2658" s="49" t="s">
        <v>3953</v>
      </c>
      <c r="G2658" s="49" t="n">
        <v>0</v>
      </c>
      <c r="H2658" s="0" t="n">
        <v>0</v>
      </c>
      <c r="M2658" s="51" t="s">
        <v>5766</v>
      </c>
      <c r="N2658" s="49" t="n">
        <v>0</v>
      </c>
      <c r="O2658" s="53" t="n">
        <v>45738.5008912037</v>
      </c>
      <c r="P2658" s="53" t="n">
        <v>45797.7947453704</v>
      </c>
      <c r="Q2658" s="53" t="n">
        <v>45738.5008912037</v>
      </c>
      <c r="R2658" s="0" t="n">
        <v>0</v>
      </c>
      <c r="S2658" s="51" t="s">
        <v>2376</v>
      </c>
      <c r="T2658" s="51" t="s">
        <v>2376</v>
      </c>
      <c r="U2658" s="0" t="str">
        <f aca="false">"5060175132987"</f>
        <v>5060175132987</v>
      </c>
      <c r="V2658" s="51" t="s">
        <v>2365</v>
      </c>
      <c r="W2658" s="51" t="s">
        <v>4106</v>
      </c>
      <c r="X2658" s="51" t="s">
        <v>2359</v>
      </c>
    </row>
    <row r="2659" customFormat="false" ht="14.25" hidden="true" customHeight="false" outlineLevel="0" collapsed="false">
      <c r="A2659" s="49" t="s">
        <v>2349</v>
      </c>
      <c r="B2659" s="49" t="s">
        <v>2350</v>
      </c>
      <c r="C2659" s="49" t="s">
        <v>5787</v>
      </c>
      <c r="D2659" s="49" t="s">
        <v>2352</v>
      </c>
      <c r="E2659" s="49" t="str">
        <f aca="false">"5060175132987"</f>
        <v>5060175132987</v>
      </c>
      <c r="F2659" s="49" t="s">
        <v>3953</v>
      </c>
      <c r="G2659" s="49" t="n">
        <v>0</v>
      </c>
      <c r="H2659" s="0" t="n">
        <v>0</v>
      </c>
      <c r="M2659" s="51" t="s">
        <v>5766</v>
      </c>
      <c r="N2659" s="49" t="n">
        <v>0</v>
      </c>
      <c r="O2659" s="53" t="n">
        <v>45738.5006828704</v>
      </c>
      <c r="P2659" s="53" t="n">
        <v>45752.4228587963</v>
      </c>
      <c r="Q2659" s="53" t="n">
        <v>45738.5006828704</v>
      </c>
      <c r="R2659" s="0" t="n">
        <v>0</v>
      </c>
      <c r="S2659" s="51" t="s">
        <v>2376</v>
      </c>
      <c r="T2659" s="51" t="s">
        <v>2376</v>
      </c>
      <c r="U2659" s="0" t="str">
        <f aca="false">"5060175132987"</f>
        <v>5060175132987</v>
      </c>
      <c r="V2659" s="51" t="s">
        <v>2365</v>
      </c>
      <c r="W2659" s="51" t="s">
        <v>5228</v>
      </c>
      <c r="X2659" s="51" t="s">
        <v>2359</v>
      </c>
    </row>
    <row r="2660" customFormat="false" ht="14.25" hidden="true" customHeight="false" outlineLevel="0" collapsed="false">
      <c r="A2660" s="49" t="s">
        <v>2349</v>
      </c>
      <c r="B2660" s="49" t="s">
        <v>2350</v>
      </c>
      <c r="C2660" s="49" t="s">
        <v>5788</v>
      </c>
      <c r="D2660" s="49" t="s">
        <v>2352</v>
      </c>
      <c r="E2660" s="49" t="s">
        <v>3751</v>
      </c>
      <c r="F2660" s="49" t="s">
        <v>3752</v>
      </c>
      <c r="G2660" s="49" t="n">
        <v>0</v>
      </c>
      <c r="H2660" s="0" t="n">
        <v>0</v>
      </c>
      <c r="M2660" s="51" t="s">
        <v>5789</v>
      </c>
      <c r="N2660" s="49" t="n">
        <v>0</v>
      </c>
      <c r="O2660" s="53" t="n">
        <v>45741.6869791667</v>
      </c>
      <c r="P2660" s="53" t="n">
        <v>45743.4549074074</v>
      </c>
      <c r="Q2660" s="53" t="n">
        <v>45741.6869791667</v>
      </c>
      <c r="R2660" s="0" t="n">
        <v>0</v>
      </c>
      <c r="S2660" s="51" t="s">
        <v>2356</v>
      </c>
      <c r="T2660" s="51" t="s">
        <v>2356</v>
      </c>
      <c r="U2660" s="51" t="s">
        <v>3751</v>
      </c>
      <c r="V2660" s="51" t="s">
        <v>2357</v>
      </c>
      <c r="W2660" s="51" t="s">
        <v>3760</v>
      </c>
      <c r="X2660" s="51" t="s">
        <v>2359</v>
      </c>
    </row>
    <row r="2661" customFormat="false" ht="14.25" hidden="true" customHeight="false" outlineLevel="0" collapsed="false">
      <c r="A2661" s="49" t="s">
        <v>2349</v>
      </c>
      <c r="B2661" s="49" t="s">
        <v>2350</v>
      </c>
      <c r="C2661" s="49" t="s">
        <v>5790</v>
      </c>
      <c r="D2661" s="49" t="s">
        <v>2352</v>
      </c>
      <c r="E2661" s="49" t="str">
        <f aca="false">"00653121044387"</f>
        <v>00653121044387</v>
      </c>
      <c r="F2661" s="49" t="s">
        <v>4003</v>
      </c>
      <c r="G2661" s="49" t="n">
        <v>0</v>
      </c>
      <c r="H2661" s="0" t="n">
        <v>0</v>
      </c>
      <c r="M2661" s="51" t="s">
        <v>2375</v>
      </c>
      <c r="N2661" s="49" t="n">
        <v>0</v>
      </c>
      <c r="O2661" s="53" t="n">
        <v>45741.4729513889</v>
      </c>
      <c r="P2661" s="53" t="n">
        <v>45808.5792592593</v>
      </c>
      <c r="Q2661" s="53" t="n">
        <v>45741.4729513889</v>
      </c>
      <c r="R2661" s="0" t="n">
        <v>0</v>
      </c>
      <c r="S2661" s="51" t="s">
        <v>2376</v>
      </c>
      <c r="T2661" s="51" t="s">
        <v>2376</v>
      </c>
      <c r="U2661" s="0" t="str">
        <f aca="false">"00653121044387"</f>
        <v>00653121044387</v>
      </c>
      <c r="V2661" s="51" t="s">
        <v>2365</v>
      </c>
      <c r="W2661" s="51" t="s">
        <v>5791</v>
      </c>
      <c r="X2661" s="51" t="s">
        <v>2359</v>
      </c>
    </row>
    <row r="2662" customFormat="false" ht="14.25" hidden="true" customHeight="false" outlineLevel="0" collapsed="false">
      <c r="A2662" s="49" t="s">
        <v>2349</v>
      </c>
      <c r="B2662" s="49" t="s">
        <v>2350</v>
      </c>
      <c r="C2662" s="49" t="s">
        <v>5792</v>
      </c>
      <c r="D2662" s="49" t="s">
        <v>2352</v>
      </c>
      <c r="E2662" s="49" t="str">
        <f aca="false">"00653121044387"</f>
        <v>00653121044387</v>
      </c>
      <c r="F2662" s="49" t="s">
        <v>4003</v>
      </c>
      <c r="G2662" s="49" t="n">
        <v>0</v>
      </c>
      <c r="H2662" s="0" t="n">
        <v>0</v>
      </c>
      <c r="M2662" s="51" t="s">
        <v>2375</v>
      </c>
      <c r="N2662" s="49" t="n">
        <v>0</v>
      </c>
      <c r="O2662" s="53" t="n">
        <v>45741.4736574074</v>
      </c>
      <c r="P2662" s="53" t="n">
        <v>45808.5961805556</v>
      </c>
      <c r="Q2662" s="53" t="n">
        <v>45741.4736458333</v>
      </c>
      <c r="R2662" s="0" t="n">
        <v>0</v>
      </c>
      <c r="S2662" s="51" t="s">
        <v>2376</v>
      </c>
      <c r="T2662" s="51" t="s">
        <v>2376</v>
      </c>
      <c r="U2662" s="0" t="str">
        <f aca="false">"00653121044387"</f>
        <v>00653121044387</v>
      </c>
      <c r="V2662" s="51" t="s">
        <v>2365</v>
      </c>
      <c r="W2662" s="51" t="s">
        <v>5793</v>
      </c>
      <c r="X2662" s="51" t="s">
        <v>2359</v>
      </c>
    </row>
    <row r="2663" customFormat="false" ht="14.25" hidden="true" customHeight="false" outlineLevel="0" collapsed="false">
      <c r="A2663" s="49" t="s">
        <v>2349</v>
      </c>
      <c r="B2663" s="49" t="s">
        <v>2350</v>
      </c>
      <c r="C2663" s="49" t="s">
        <v>5794</v>
      </c>
      <c r="D2663" s="49" t="s">
        <v>2352</v>
      </c>
      <c r="E2663" s="49" t="str">
        <f aca="false">"00653121044387"</f>
        <v>00653121044387</v>
      </c>
      <c r="F2663" s="49" t="s">
        <v>4003</v>
      </c>
      <c r="G2663" s="49" t="n">
        <v>0</v>
      </c>
      <c r="H2663" s="0" t="n">
        <v>0</v>
      </c>
      <c r="M2663" s="51" t="s">
        <v>2375</v>
      </c>
      <c r="N2663" s="49" t="n">
        <v>0</v>
      </c>
      <c r="O2663" s="53" t="n">
        <v>45741.4754050926</v>
      </c>
      <c r="P2663" s="53" t="n">
        <v>45808.5977777778</v>
      </c>
      <c r="Q2663" s="53" t="n">
        <v>45741.4754050926</v>
      </c>
      <c r="R2663" s="0" t="n">
        <v>0</v>
      </c>
      <c r="S2663" s="51" t="s">
        <v>2376</v>
      </c>
      <c r="T2663" s="51" t="s">
        <v>2376</v>
      </c>
      <c r="U2663" s="0" t="str">
        <f aca="false">"00653121044387"</f>
        <v>00653121044387</v>
      </c>
      <c r="V2663" s="51" t="s">
        <v>2365</v>
      </c>
      <c r="W2663" s="51" t="s">
        <v>5795</v>
      </c>
      <c r="X2663" s="51" t="s">
        <v>2359</v>
      </c>
    </row>
    <row r="2664" customFormat="false" ht="14.25" hidden="true" customHeight="false" outlineLevel="0" collapsed="false">
      <c r="A2664" s="49" t="s">
        <v>2349</v>
      </c>
      <c r="B2664" s="49" t="s">
        <v>2350</v>
      </c>
      <c r="C2664" s="49" t="s">
        <v>5796</v>
      </c>
      <c r="D2664" s="49" t="s">
        <v>2352</v>
      </c>
      <c r="E2664" s="49" t="str">
        <f aca="false">"202187781202"</f>
        <v>202187781202</v>
      </c>
      <c r="F2664" s="49" t="s">
        <v>2386</v>
      </c>
      <c r="G2664" s="49" t="n">
        <v>0</v>
      </c>
      <c r="H2664" s="0" t="n">
        <v>0</v>
      </c>
      <c r="M2664" s="51" t="s">
        <v>2375</v>
      </c>
      <c r="N2664" s="49" t="n">
        <v>0</v>
      </c>
      <c r="O2664" s="53" t="n">
        <v>45740.6234837963</v>
      </c>
      <c r="P2664" s="53" t="n">
        <v>45948.54125</v>
      </c>
      <c r="Q2664" s="53" t="n">
        <v>45740.6234837963</v>
      </c>
      <c r="R2664" s="0" t="n">
        <v>0</v>
      </c>
      <c r="S2664" s="51" t="s">
        <v>2376</v>
      </c>
      <c r="T2664" s="51" t="s">
        <v>2376</v>
      </c>
      <c r="U2664" s="0" t="str">
        <f aca="false">"202187781202"</f>
        <v>202187781202</v>
      </c>
      <c r="V2664" s="51" t="s">
        <v>2365</v>
      </c>
      <c r="W2664" s="51" t="s">
        <v>5797</v>
      </c>
      <c r="X2664" s="51" t="s">
        <v>2359</v>
      </c>
    </row>
    <row r="2665" customFormat="false" ht="14.25" hidden="true" customHeight="false" outlineLevel="0" collapsed="false">
      <c r="A2665" s="49" t="s">
        <v>2349</v>
      </c>
      <c r="B2665" s="49" t="s">
        <v>2350</v>
      </c>
      <c r="C2665" s="49" t="s">
        <v>5798</v>
      </c>
      <c r="D2665" s="49" t="s">
        <v>2352</v>
      </c>
      <c r="E2665" s="49" t="str">
        <f aca="false">"202187781202"</f>
        <v>202187781202</v>
      </c>
      <c r="F2665" s="49" t="s">
        <v>2386</v>
      </c>
      <c r="G2665" s="49" t="n">
        <v>0</v>
      </c>
      <c r="H2665" s="0" t="n">
        <v>0</v>
      </c>
      <c r="M2665" s="51" t="s">
        <v>2375</v>
      </c>
      <c r="N2665" s="49" t="n">
        <v>0</v>
      </c>
      <c r="O2665" s="53" t="n">
        <v>45740.623275463</v>
      </c>
      <c r="P2665" s="53" t="n">
        <v>45987.7658333333</v>
      </c>
      <c r="Q2665" s="53" t="n">
        <v>45740.623275463</v>
      </c>
      <c r="R2665" s="0" t="n">
        <v>0</v>
      </c>
      <c r="S2665" s="51" t="s">
        <v>2376</v>
      </c>
      <c r="T2665" s="51" t="s">
        <v>2376</v>
      </c>
      <c r="U2665" s="0" t="str">
        <f aca="false">"202187781202"</f>
        <v>202187781202</v>
      </c>
      <c r="V2665" s="51" t="s">
        <v>2365</v>
      </c>
      <c r="W2665" s="51" t="s">
        <v>5799</v>
      </c>
      <c r="X2665" s="51" t="s">
        <v>2359</v>
      </c>
    </row>
    <row r="2666" customFormat="false" ht="14.25" hidden="true" customHeight="false" outlineLevel="0" collapsed="false">
      <c r="A2666" s="49" t="s">
        <v>2349</v>
      </c>
      <c r="B2666" s="49" t="s">
        <v>2350</v>
      </c>
      <c r="C2666" s="49" t="s">
        <v>5800</v>
      </c>
      <c r="D2666" s="49" t="s">
        <v>2352</v>
      </c>
      <c r="E2666" s="49" t="str">
        <f aca="false">"202187781202"</f>
        <v>202187781202</v>
      </c>
      <c r="F2666" s="49" t="s">
        <v>2386</v>
      </c>
      <c r="G2666" s="49" t="n">
        <v>0</v>
      </c>
      <c r="H2666" s="0" t="n">
        <v>0</v>
      </c>
      <c r="M2666" s="51" t="s">
        <v>2375</v>
      </c>
      <c r="N2666" s="49" t="n">
        <v>0</v>
      </c>
      <c r="O2666" s="53" t="n">
        <v>45740.6230324074</v>
      </c>
      <c r="P2666" s="53" t="n">
        <v>45948.5423148148</v>
      </c>
      <c r="Q2666" s="53" t="n">
        <v>45740.6230324074</v>
      </c>
      <c r="R2666" s="0" t="n">
        <v>0</v>
      </c>
      <c r="S2666" s="51" t="s">
        <v>2376</v>
      </c>
      <c r="T2666" s="51" t="s">
        <v>2376</v>
      </c>
      <c r="U2666" s="0" t="str">
        <f aca="false">"202187781202"</f>
        <v>202187781202</v>
      </c>
      <c r="V2666" s="51" t="s">
        <v>2365</v>
      </c>
      <c r="W2666" s="51" t="s">
        <v>5801</v>
      </c>
      <c r="X2666" s="51" t="s">
        <v>2359</v>
      </c>
    </row>
    <row r="2667" customFormat="false" ht="14.25" hidden="true" customHeight="false" outlineLevel="0" collapsed="false">
      <c r="A2667" s="49" t="s">
        <v>2349</v>
      </c>
      <c r="B2667" s="49" t="s">
        <v>2350</v>
      </c>
      <c r="C2667" s="49" t="s">
        <v>5802</v>
      </c>
      <c r="D2667" s="49" t="s">
        <v>2352</v>
      </c>
      <c r="E2667" s="49" t="str">
        <f aca="false">"202187781202"</f>
        <v>202187781202</v>
      </c>
      <c r="F2667" s="49" t="s">
        <v>2386</v>
      </c>
      <c r="G2667" s="49" t="n">
        <v>0</v>
      </c>
      <c r="H2667" s="0" t="n">
        <v>0</v>
      </c>
      <c r="M2667" s="51" t="s">
        <v>2375</v>
      </c>
      <c r="N2667" s="49" t="n">
        <v>0</v>
      </c>
      <c r="O2667" s="53" t="n">
        <v>45740.6228125</v>
      </c>
      <c r="P2667" s="53" t="n">
        <v>45987.7621064815</v>
      </c>
      <c r="Q2667" s="53" t="n">
        <v>45740.6228125</v>
      </c>
      <c r="R2667" s="0" t="n">
        <v>0</v>
      </c>
      <c r="S2667" s="51" t="s">
        <v>2376</v>
      </c>
      <c r="T2667" s="51" t="s">
        <v>2376</v>
      </c>
      <c r="U2667" s="0" t="str">
        <f aca="false">"202187781202"</f>
        <v>202187781202</v>
      </c>
      <c r="V2667" s="51" t="s">
        <v>2365</v>
      </c>
      <c r="W2667" s="51" t="s">
        <v>5803</v>
      </c>
      <c r="X2667" s="51" t="s">
        <v>2359</v>
      </c>
    </row>
    <row r="2668" customFormat="false" ht="14.25" hidden="true" customHeight="false" outlineLevel="0" collapsed="false">
      <c r="A2668" s="49" t="s">
        <v>2349</v>
      </c>
      <c r="B2668" s="49" t="s">
        <v>2350</v>
      </c>
      <c r="C2668" s="49" t="s">
        <v>5804</v>
      </c>
      <c r="D2668" s="49" t="s">
        <v>2352</v>
      </c>
      <c r="E2668" s="49" t="str">
        <f aca="false">"202187781202"</f>
        <v>202187781202</v>
      </c>
      <c r="F2668" s="49" t="s">
        <v>2386</v>
      </c>
      <c r="G2668" s="49" t="n">
        <v>0</v>
      </c>
      <c r="H2668" s="0" t="n">
        <v>0</v>
      </c>
      <c r="M2668" s="51" t="s">
        <v>2375</v>
      </c>
      <c r="N2668" s="49" t="n">
        <v>0</v>
      </c>
      <c r="O2668" s="53" t="n">
        <v>45740.6225694444</v>
      </c>
      <c r="P2668" s="53" t="n">
        <v>45948.5544328704</v>
      </c>
      <c r="Q2668" s="53" t="n">
        <v>45740.6225694444</v>
      </c>
      <c r="R2668" s="0" t="n">
        <v>0</v>
      </c>
      <c r="S2668" s="51" t="s">
        <v>2376</v>
      </c>
      <c r="T2668" s="51" t="s">
        <v>2376</v>
      </c>
      <c r="U2668" s="0" t="str">
        <f aca="false">"202187781202"</f>
        <v>202187781202</v>
      </c>
      <c r="V2668" s="51" t="s">
        <v>2365</v>
      </c>
      <c r="W2668" s="51" t="s">
        <v>5805</v>
      </c>
      <c r="X2668" s="51" t="s">
        <v>2359</v>
      </c>
    </row>
    <row r="2669" customFormat="false" ht="14.25" hidden="true" customHeight="false" outlineLevel="0" collapsed="false">
      <c r="A2669" s="49" t="s">
        <v>2349</v>
      </c>
      <c r="B2669" s="49" t="s">
        <v>2350</v>
      </c>
      <c r="C2669" s="49" t="s">
        <v>5806</v>
      </c>
      <c r="D2669" s="49" t="s">
        <v>2352</v>
      </c>
      <c r="E2669" s="49" t="str">
        <f aca="false">"202187781202"</f>
        <v>202187781202</v>
      </c>
      <c r="F2669" s="49" t="s">
        <v>2386</v>
      </c>
      <c r="G2669" s="49" t="n">
        <v>0</v>
      </c>
      <c r="H2669" s="0" t="n">
        <v>0</v>
      </c>
      <c r="M2669" s="51" t="s">
        <v>2375</v>
      </c>
      <c r="N2669" s="49" t="n">
        <v>0</v>
      </c>
      <c r="O2669" s="53" t="n">
        <v>45740.6223032407</v>
      </c>
      <c r="P2669" s="53" t="n">
        <v>45895.8476157407</v>
      </c>
      <c r="Q2669" s="53" t="n">
        <v>45740.6223032407</v>
      </c>
      <c r="R2669" s="0" t="n">
        <v>0</v>
      </c>
      <c r="S2669" s="51" t="s">
        <v>2376</v>
      </c>
      <c r="T2669" s="51" t="s">
        <v>2376</v>
      </c>
      <c r="U2669" s="0" t="str">
        <f aca="false">"202187781202"</f>
        <v>202187781202</v>
      </c>
      <c r="V2669" s="51" t="s">
        <v>2365</v>
      </c>
      <c r="W2669" s="51" t="s">
        <v>5807</v>
      </c>
      <c r="X2669" s="51" t="s">
        <v>2359</v>
      </c>
    </row>
    <row r="2670" customFormat="false" ht="14.25" hidden="true" customHeight="false" outlineLevel="0" collapsed="false">
      <c r="A2670" s="49" t="s">
        <v>2349</v>
      </c>
      <c r="B2670" s="49" t="s">
        <v>2350</v>
      </c>
      <c r="C2670" s="49" t="s">
        <v>5808</v>
      </c>
      <c r="D2670" s="49" t="s">
        <v>2352</v>
      </c>
      <c r="E2670" s="49" t="str">
        <f aca="false">"051600003014"</f>
        <v>051600003014</v>
      </c>
      <c r="F2670" s="49" t="s">
        <v>5809</v>
      </c>
      <c r="G2670" s="49" t="n">
        <v>0</v>
      </c>
      <c r="H2670" s="0" t="n">
        <v>0</v>
      </c>
      <c r="M2670" s="51" t="s">
        <v>2375</v>
      </c>
      <c r="N2670" s="49" t="n">
        <v>0</v>
      </c>
      <c r="O2670" s="53" t="n">
        <v>45740.6219560185</v>
      </c>
      <c r="P2670" s="53" t="n">
        <v>45808.5696875</v>
      </c>
      <c r="Q2670" s="53" t="n">
        <v>45740.6219560185</v>
      </c>
      <c r="R2670" s="0" t="n">
        <v>0</v>
      </c>
      <c r="S2670" s="51" t="s">
        <v>2376</v>
      </c>
      <c r="T2670" s="51" t="s">
        <v>2376</v>
      </c>
      <c r="U2670" s="0" t="str">
        <f aca="false">"051600003014"</f>
        <v>051600003014</v>
      </c>
      <c r="V2670" s="51" t="s">
        <v>2365</v>
      </c>
      <c r="W2670" s="51" t="s">
        <v>5810</v>
      </c>
      <c r="X2670" s="51" t="s">
        <v>2359</v>
      </c>
    </row>
    <row r="2671" customFormat="false" ht="14.25" hidden="true" customHeight="false" outlineLevel="0" collapsed="false">
      <c r="A2671" s="49" t="s">
        <v>2349</v>
      </c>
      <c r="B2671" s="49" t="s">
        <v>2350</v>
      </c>
      <c r="C2671" s="49" t="s">
        <v>5811</v>
      </c>
      <c r="D2671" s="49" t="s">
        <v>2352</v>
      </c>
      <c r="E2671" s="49" t="str">
        <f aca="false">"19582390577"</f>
        <v>19582390577</v>
      </c>
      <c r="F2671" s="49" t="s">
        <v>2374</v>
      </c>
      <c r="G2671" s="49" t="n">
        <v>0</v>
      </c>
      <c r="H2671" s="0" t="n">
        <v>0</v>
      </c>
      <c r="M2671" s="51" t="s">
        <v>2375</v>
      </c>
      <c r="N2671" s="49" t="n">
        <v>0</v>
      </c>
      <c r="O2671" s="53" t="n">
        <v>45740.6209837963</v>
      </c>
      <c r="P2671" s="53" t="n">
        <v>45902.8856018519</v>
      </c>
      <c r="Q2671" s="53" t="n">
        <v>45740.6209837963</v>
      </c>
      <c r="R2671" s="0" t="n">
        <v>0</v>
      </c>
      <c r="S2671" s="51" t="s">
        <v>2376</v>
      </c>
      <c r="T2671" s="51" t="s">
        <v>2376</v>
      </c>
      <c r="U2671" s="0" t="str">
        <f aca="false">"19582390577"</f>
        <v>19582390577</v>
      </c>
      <c r="V2671" s="51" t="s">
        <v>2365</v>
      </c>
      <c r="W2671" s="51" t="s">
        <v>5812</v>
      </c>
      <c r="X2671" s="51" t="s">
        <v>2359</v>
      </c>
    </row>
    <row r="2672" customFormat="false" ht="14.25" hidden="true" customHeight="false" outlineLevel="0" collapsed="false">
      <c r="A2672" s="49" t="s">
        <v>2349</v>
      </c>
      <c r="B2672" s="49" t="s">
        <v>2350</v>
      </c>
      <c r="C2672" s="49" t="s">
        <v>5813</v>
      </c>
      <c r="D2672" s="49" t="s">
        <v>2352</v>
      </c>
      <c r="E2672" s="49" t="str">
        <f aca="false">"202187781202"</f>
        <v>202187781202</v>
      </c>
      <c r="F2672" s="49" t="s">
        <v>2386</v>
      </c>
      <c r="G2672" s="49" t="n">
        <v>0</v>
      </c>
      <c r="H2672" s="0" t="n">
        <v>0</v>
      </c>
      <c r="M2672" s="51" t="s">
        <v>2375</v>
      </c>
      <c r="N2672" s="49" t="n">
        <v>0</v>
      </c>
      <c r="O2672" s="53" t="n">
        <v>45740.6198148148</v>
      </c>
      <c r="P2672" s="53" t="n">
        <v>45937.5544675926</v>
      </c>
      <c r="Q2672" s="53" t="n">
        <v>45740.6198148148</v>
      </c>
      <c r="R2672" s="0" t="n">
        <v>0</v>
      </c>
      <c r="S2672" s="51" t="s">
        <v>2376</v>
      </c>
      <c r="T2672" s="51" t="s">
        <v>2376</v>
      </c>
      <c r="U2672" s="0" t="str">
        <f aca="false">"202187781202"</f>
        <v>202187781202</v>
      </c>
      <c r="V2672" s="51" t="s">
        <v>2365</v>
      </c>
      <c r="W2672" s="51" t="s">
        <v>5814</v>
      </c>
      <c r="X2672" s="51" t="s">
        <v>2359</v>
      </c>
    </row>
    <row r="2673" customFormat="false" ht="14.25" hidden="true" customHeight="false" outlineLevel="0" collapsed="false">
      <c r="A2673" s="49" t="s">
        <v>2349</v>
      </c>
      <c r="B2673" s="49" t="s">
        <v>2350</v>
      </c>
      <c r="C2673" s="49" t="s">
        <v>5815</v>
      </c>
      <c r="D2673" s="49" t="s">
        <v>2352</v>
      </c>
      <c r="E2673" s="49" t="str">
        <f aca="false">"202187781202"</f>
        <v>202187781202</v>
      </c>
      <c r="F2673" s="49" t="s">
        <v>2386</v>
      </c>
      <c r="G2673" s="49" t="n">
        <v>0</v>
      </c>
      <c r="H2673" s="0" t="n">
        <v>0</v>
      </c>
      <c r="M2673" s="51" t="s">
        <v>2375</v>
      </c>
      <c r="N2673" s="49" t="n">
        <v>0</v>
      </c>
      <c r="O2673" s="53" t="n">
        <v>45740.6196643519</v>
      </c>
      <c r="P2673" s="53" t="n">
        <v>45948.5462152778</v>
      </c>
      <c r="Q2673" s="53" t="n">
        <v>45740.6196643519</v>
      </c>
      <c r="R2673" s="0" t="n">
        <v>0</v>
      </c>
      <c r="S2673" s="51" t="s">
        <v>2376</v>
      </c>
      <c r="T2673" s="51" t="s">
        <v>2376</v>
      </c>
      <c r="U2673" s="0" t="str">
        <f aca="false">"202187781202"</f>
        <v>202187781202</v>
      </c>
      <c r="V2673" s="51" t="s">
        <v>2365</v>
      </c>
      <c r="W2673" s="51" t="s">
        <v>5816</v>
      </c>
      <c r="X2673" s="51" t="s">
        <v>2359</v>
      </c>
    </row>
    <row r="2674" customFormat="false" ht="14.25" hidden="true" customHeight="false" outlineLevel="0" collapsed="false">
      <c r="A2674" s="49" t="s">
        <v>2349</v>
      </c>
      <c r="B2674" s="49" t="s">
        <v>2350</v>
      </c>
      <c r="C2674" s="49" t="s">
        <v>5817</v>
      </c>
      <c r="D2674" s="49" t="s">
        <v>2352</v>
      </c>
      <c r="E2674" s="49" t="str">
        <f aca="false">"202187781202"</f>
        <v>202187781202</v>
      </c>
      <c r="F2674" s="49" t="s">
        <v>2386</v>
      </c>
      <c r="G2674" s="49" t="n">
        <v>0</v>
      </c>
      <c r="H2674" s="0" t="n">
        <v>0</v>
      </c>
      <c r="M2674" s="51" t="s">
        <v>2375</v>
      </c>
      <c r="N2674" s="49" t="n">
        <v>0</v>
      </c>
      <c r="O2674" s="53" t="n">
        <v>45740.6194444444</v>
      </c>
      <c r="P2674" s="53" t="n">
        <v>45918.6802662037</v>
      </c>
      <c r="Q2674" s="53" t="n">
        <v>45740.6194444444</v>
      </c>
      <c r="R2674" s="0" t="n">
        <v>0</v>
      </c>
      <c r="S2674" s="51" t="s">
        <v>2376</v>
      </c>
      <c r="T2674" s="51" t="s">
        <v>2376</v>
      </c>
      <c r="U2674" s="0" t="str">
        <f aca="false">"202187781202"</f>
        <v>202187781202</v>
      </c>
      <c r="V2674" s="51" t="s">
        <v>2365</v>
      </c>
      <c r="W2674" s="51" t="s">
        <v>5818</v>
      </c>
      <c r="X2674" s="51" t="s">
        <v>2359</v>
      </c>
    </row>
    <row r="2675" customFormat="false" ht="14.25" hidden="true" customHeight="false" outlineLevel="0" collapsed="false">
      <c r="A2675" s="49" t="s">
        <v>2349</v>
      </c>
      <c r="B2675" s="49" t="s">
        <v>2350</v>
      </c>
      <c r="C2675" s="49" t="s">
        <v>5819</v>
      </c>
      <c r="D2675" s="49" t="s">
        <v>2352</v>
      </c>
      <c r="E2675" s="49" t="str">
        <f aca="false">"202187781202"</f>
        <v>202187781202</v>
      </c>
      <c r="F2675" s="49" t="s">
        <v>2386</v>
      </c>
      <c r="G2675" s="49" t="n">
        <v>0</v>
      </c>
      <c r="H2675" s="0" t="n">
        <v>0</v>
      </c>
      <c r="M2675" s="51" t="s">
        <v>2375</v>
      </c>
      <c r="N2675" s="49" t="n">
        <v>0</v>
      </c>
      <c r="O2675" s="53" t="n">
        <v>45740.6178009259</v>
      </c>
      <c r="P2675" s="53" t="n">
        <v>45948.5534837963</v>
      </c>
      <c r="Q2675" s="53" t="n">
        <v>45740.6178009259</v>
      </c>
      <c r="R2675" s="0" t="n">
        <v>0</v>
      </c>
      <c r="S2675" s="51" t="s">
        <v>2376</v>
      </c>
      <c r="T2675" s="51" t="s">
        <v>2376</v>
      </c>
      <c r="U2675" s="0" t="str">
        <f aca="false">"202187781202"</f>
        <v>202187781202</v>
      </c>
      <c r="V2675" s="51" t="s">
        <v>2365</v>
      </c>
      <c r="W2675" s="51" t="s">
        <v>4094</v>
      </c>
      <c r="X2675" s="51" t="s">
        <v>2359</v>
      </c>
    </row>
    <row r="2676" customFormat="false" ht="14.25" hidden="true" customHeight="false" outlineLevel="0" collapsed="false">
      <c r="A2676" s="49" t="s">
        <v>2349</v>
      </c>
      <c r="B2676" s="49" t="s">
        <v>2350</v>
      </c>
      <c r="C2676" s="49" t="s">
        <v>5820</v>
      </c>
      <c r="D2676" s="49" t="s">
        <v>2352</v>
      </c>
      <c r="E2676" s="49" t="str">
        <f aca="false">"202187781202"</f>
        <v>202187781202</v>
      </c>
      <c r="F2676" s="49" t="s">
        <v>2386</v>
      </c>
      <c r="G2676" s="49" t="n">
        <v>0</v>
      </c>
      <c r="H2676" s="0" t="n">
        <v>0</v>
      </c>
      <c r="M2676" s="51" t="s">
        <v>2375</v>
      </c>
      <c r="N2676" s="49" t="n">
        <v>0</v>
      </c>
      <c r="O2676" s="53" t="n">
        <v>45740.6183217593</v>
      </c>
      <c r="P2676" s="53" t="n">
        <v>45948.557650463</v>
      </c>
      <c r="Q2676" s="53" t="n">
        <v>45740.6183217593</v>
      </c>
      <c r="R2676" s="0" t="n">
        <v>0</v>
      </c>
      <c r="S2676" s="51" t="s">
        <v>2376</v>
      </c>
      <c r="T2676" s="51" t="s">
        <v>2376</v>
      </c>
      <c r="U2676" s="0" t="str">
        <f aca="false">"202187781202"</f>
        <v>202187781202</v>
      </c>
      <c r="V2676" s="51" t="s">
        <v>2365</v>
      </c>
      <c r="W2676" s="51" t="s">
        <v>5821</v>
      </c>
      <c r="X2676" s="51" t="s">
        <v>2359</v>
      </c>
    </row>
    <row r="2677" customFormat="false" ht="14.25" hidden="true" customHeight="false" outlineLevel="0" collapsed="false">
      <c r="A2677" s="49" t="s">
        <v>2349</v>
      </c>
      <c r="B2677" s="49" t="s">
        <v>2350</v>
      </c>
      <c r="C2677" s="49" t="s">
        <v>5822</v>
      </c>
      <c r="D2677" s="49" t="s">
        <v>2352</v>
      </c>
      <c r="E2677" s="49" t="str">
        <f aca="false">"202187781202"</f>
        <v>202187781202</v>
      </c>
      <c r="F2677" s="49" t="s">
        <v>2386</v>
      </c>
      <c r="G2677" s="49" t="n">
        <v>0</v>
      </c>
      <c r="H2677" s="0" t="n">
        <v>0</v>
      </c>
      <c r="M2677" s="51" t="s">
        <v>2375</v>
      </c>
      <c r="N2677" s="49" t="n">
        <v>0</v>
      </c>
      <c r="O2677" s="53" t="n">
        <v>45740.6187384259</v>
      </c>
      <c r="P2677" s="53" t="n">
        <v>45778.8523611111</v>
      </c>
      <c r="Q2677" s="53" t="n">
        <v>45740.6187384259</v>
      </c>
      <c r="R2677" s="0" t="n">
        <v>0</v>
      </c>
      <c r="S2677" s="51" t="s">
        <v>2376</v>
      </c>
      <c r="T2677" s="51" t="s">
        <v>2376</v>
      </c>
      <c r="U2677" s="0" t="str">
        <f aca="false">"202187781202"</f>
        <v>202187781202</v>
      </c>
      <c r="V2677" s="51" t="s">
        <v>2365</v>
      </c>
      <c r="W2677" s="51" t="s">
        <v>5186</v>
      </c>
      <c r="X2677" s="51" t="s">
        <v>2359</v>
      </c>
    </row>
    <row r="2678" customFormat="false" ht="14.25" hidden="true" customHeight="false" outlineLevel="0" collapsed="false">
      <c r="A2678" s="49" t="s">
        <v>2349</v>
      </c>
      <c r="B2678" s="49" t="s">
        <v>2350</v>
      </c>
      <c r="C2678" s="49" t="s">
        <v>5823</v>
      </c>
      <c r="D2678" s="49" t="s">
        <v>2352</v>
      </c>
      <c r="E2678" s="49" t="str">
        <f aca="false">"202187781202"</f>
        <v>202187781202</v>
      </c>
      <c r="F2678" s="49" t="s">
        <v>2386</v>
      </c>
      <c r="G2678" s="49" t="n">
        <v>0</v>
      </c>
      <c r="H2678" s="0" t="n">
        <v>0</v>
      </c>
      <c r="M2678" s="51" t="s">
        <v>2375</v>
      </c>
      <c r="N2678" s="49" t="n">
        <v>0</v>
      </c>
      <c r="O2678" s="53" t="n">
        <v>45740.6185185185</v>
      </c>
      <c r="P2678" s="53" t="n">
        <v>45948.5453125</v>
      </c>
      <c r="Q2678" s="53" t="n">
        <v>45740.6185185185</v>
      </c>
      <c r="R2678" s="0" t="n">
        <v>0</v>
      </c>
      <c r="S2678" s="51" t="s">
        <v>2376</v>
      </c>
      <c r="T2678" s="51" t="s">
        <v>2376</v>
      </c>
      <c r="U2678" s="0" t="str">
        <f aca="false">"202187781202"</f>
        <v>202187781202</v>
      </c>
      <c r="V2678" s="51" t="s">
        <v>2365</v>
      </c>
      <c r="W2678" s="51" t="s">
        <v>5824</v>
      </c>
      <c r="X2678" s="51" t="s">
        <v>2359</v>
      </c>
    </row>
    <row r="2679" customFormat="false" ht="14.25" hidden="true" customHeight="false" outlineLevel="0" collapsed="false">
      <c r="A2679" s="49" t="s">
        <v>2349</v>
      </c>
      <c r="B2679" s="49" t="s">
        <v>2350</v>
      </c>
      <c r="C2679" s="49" t="s">
        <v>5825</v>
      </c>
      <c r="D2679" s="49" t="s">
        <v>2352</v>
      </c>
      <c r="E2679" s="49" t="str">
        <f aca="false">"202187781202"</f>
        <v>202187781202</v>
      </c>
      <c r="F2679" s="49" t="s">
        <v>2386</v>
      </c>
      <c r="G2679" s="49" t="n">
        <v>0</v>
      </c>
      <c r="H2679" s="0" t="n">
        <v>0</v>
      </c>
      <c r="M2679" s="51" t="s">
        <v>2375</v>
      </c>
      <c r="N2679" s="49" t="n">
        <v>0</v>
      </c>
      <c r="O2679" s="53" t="n">
        <v>45740.6190740741</v>
      </c>
      <c r="P2679" s="53" t="n">
        <v>45948.5471643519</v>
      </c>
      <c r="Q2679" s="53" t="n">
        <v>45740.6190740741</v>
      </c>
      <c r="R2679" s="0" t="n">
        <v>0</v>
      </c>
      <c r="S2679" s="51" t="s">
        <v>2376</v>
      </c>
      <c r="T2679" s="51" t="s">
        <v>2376</v>
      </c>
      <c r="U2679" s="0" t="str">
        <f aca="false">"202187781202"</f>
        <v>202187781202</v>
      </c>
      <c r="V2679" s="51" t="s">
        <v>2365</v>
      </c>
      <c r="W2679" s="51" t="s">
        <v>5826</v>
      </c>
      <c r="X2679" s="51" t="s">
        <v>2359</v>
      </c>
    </row>
    <row r="2680" customFormat="false" ht="14.25" hidden="true" customHeight="false" outlineLevel="0" collapsed="false">
      <c r="A2680" s="49" t="s">
        <v>2349</v>
      </c>
      <c r="B2680" s="49" t="s">
        <v>2350</v>
      </c>
      <c r="C2680" s="49" t="s">
        <v>5827</v>
      </c>
      <c r="D2680" s="49" t="s">
        <v>2352</v>
      </c>
      <c r="E2680" s="49" t="str">
        <f aca="false">"202187781202"</f>
        <v>202187781202</v>
      </c>
      <c r="F2680" s="49" t="s">
        <v>2386</v>
      </c>
      <c r="G2680" s="49" t="n">
        <v>0</v>
      </c>
      <c r="H2680" s="0" t="n">
        <v>0</v>
      </c>
      <c r="M2680" s="51" t="s">
        <v>2375</v>
      </c>
      <c r="N2680" s="49" t="n">
        <v>0</v>
      </c>
      <c r="O2680" s="53" t="n">
        <v>45740.6174652778</v>
      </c>
      <c r="P2680" s="53" t="n">
        <v>45987.7525347222</v>
      </c>
      <c r="Q2680" s="53" t="n">
        <v>45740.6174652778</v>
      </c>
      <c r="R2680" s="0" t="n">
        <v>0</v>
      </c>
      <c r="S2680" s="51" t="s">
        <v>2376</v>
      </c>
      <c r="T2680" s="51" t="s">
        <v>2376</v>
      </c>
      <c r="U2680" s="0" t="str">
        <f aca="false">"202187781202"</f>
        <v>202187781202</v>
      </c>
      <c r="V2680" s="51" t="s">
        <v>2365</v>
      </c>
      <c r="W2680" s="51" t="s">
        <v>5116</v>
      </c>
      <c r="X2680" s="51" t="s">
        <v>2359</v>
      </c>
    </row>
    <row r="2681" customFormat="false" ht="14.25" hidden="true" customHeight="false" outlineLevel="0" collapsed="false">
      <c r="A2681" s="49" t="s">
        <v>2349</v>
      </c>
      <c r="B2681" s="49" t="s">
        <v>2350</v>
      </c>
      <c r="C2681" s="49" t="s">
        <v>5828</v>
      </c>
      <c r="D2681" s="49" t="s">
        <v>2352</v>
      </c>
      <c r="E2681" s="49" t="str">
        <f aca="false">"051600003014"</f>
        <v>051600003014</v>
      </c>
      <c r="F2681" s="49" t="s">
        <v>5809</v>
      </c>
      <c r="G2681" s="49" t="n">
        <v>0</v>
      </c>
      <c r="H2681" s="0" t="n">
        <v>0</v>
      </c>
      <c r="M2681" s="51" t="s">
        <v>2375</v>
      </c>
      <c r="N2681" s="49" t="n">
        <v>0</v>
      </c>
      <c r="O2681" s="53" t="n">
        <v>45740.6168634259</v>
      </c>
      <c r="P2681" s="53" t="n">
        <v>45808.6002893519</v>
      </c>
      <c r="Q2681" s="53" t="n">
        <v>45740.6168634259</v>
      </c>
      <c r="R2681" s="0" t="n">
        <v>0</v>
      </c>
      <c r="S2681" s="51" t="s">
        <v>2376</v>
      </c>
      <c r="T2681" s="51" t="s">
        <v>2376</v>
      </c>
      <c r="U2681" s="0" t="str">
        <f aca="false">"051600003014"</f>
        <v>051600003014</v>
      </c>
      <c r="V2681" s="51" t="s">
        <v>2365</v>
      </c>
      <c r="W2681" s="51" t="s">
        <v>5220</v>
      </c>
      <c r="X2681" s="51" t="s">
        <v>2359</v>
      </c>
    </row>
    <row r="2682" customFormat="false" ht="14.25" hidden="true" customHeight="false" outlineLevel="0" collapsed="false">
      <c r="A2682" s="49" t="s">
        <v>2349</v>
      </c>
      <c r="B2682" s="49" t="s">
        <v>2350</v>
      </c>
      <c r="C2682" s="49" t="s">
        <v>5829</v>
      </c>
      <c r="D2682" s="49" t="s">
        <v>2352</v>
      </c>
      <c r="E2682" s="49" t="str">
        <f aca="false">"202187781202"</f>
        <v>202187781202</v>
      </c>
      <c r="F2682" s="49" t="s">
        <v>2386</v>
      </c>
      <c r="G2682" s="49" t="n">
        <v>0</v>
      </c>
      <c r="H2682" s="0" t="n">
        <v>0</v>
      </c>
      <c r="M2682" s="51" t="s">
        <v>2375</v>
      </c>
      <c r="N2682" s="49" t="n">
        <v>0</v>
      </c>
      <c r="O2682" s="53" t="n">
        <v>45740.6161689815</v>
      </c>
      <c r="P2682" s="53" t="n">
        <v>45778.8666666667</v>
      </c>
      <c r="Q2682" s="53" t="n">
        <v>45740.6161689815</v>
      </c>
      <c r="R2682" s="0" t="n">
        <v>0</v>
      </c>
      <c r="S2682" s="51" t="s">
        <v>2376</v>
      </c>
      <c r="T2682" s="51" t="s">
        <v>2376</v>
      </c>
      <c r="U2682" s="0" t="str">
        <f aca="false">"202187781202"</f>
        <v>202187781202</v>
      </c>
      <c r="V2682" s="51" t="s">
        <v>2365</v>
      </c>
      <c r="W2682" s="51" t="s">
        <v>5281</v>
      </c>
      <c r="X2682" s="51" t="s">
        <v>2359</v>
      </c>
    </row>
    <row r="2683" customFormat="false" ht="14.25" hidden="true" customHeight="false" outlineLevel="0" collapsed="false">
      <c r="A2683" s="49" t="s">
        <v>2349</v>
      </c>
      <c r="B2683" s="49" t="s">
        <v>2350</v>
      </c>
      <c r="C2683" s="49" t="s">
        <v>5830</v>
      </c>
      <c r="D2683" s="49" t="s">
        <v>2352</v>
      </c>
      <c r="E2683" s="49" t="str">
        <f aca="false">"6172118"</f>
        <v>6172118</v>
      </c>
      <c r="F2683" s="49" t="s">
        <v>5831</v>
      </c>
      <c r="G2683" s="49" t="n">
        <v>0</v>
      </c>
      <c r="H2683" s="0" t="n">
        <v>0</v>
      </c>
      <c r="M2683" s="51" t="s">
        <v>5832</v>
      </c>
      <c r="N2683" s="49" t="n">
        <v>0</v>
      </c>
      <c r="O2683" s="53" t="n">
        <v>45741.4855208333</v>
      </c>
      <c r="P2683" s="53" t="n">
        <v>45778.8593402778</v>
      </c>
      <c r="Q2683" s="53" t="n">
        <v>45741.4855208333</v>
      </c>
      <c r="R2683" s="0" t="n">
        <v>0</v>
      </c>
      <c r="S2683" s="51" t="s">
        <v>2376</v>
      </c>
      <c r="T2683" s="51" t="s">
        <v>2376</v>
      </c>
      <c r="U2683" s="0" t="str">
        <f aca="false">"6172118"</f>
        <v>6172118</v>
      </c>
      <c r="V2683" s="51" t="s">
        <v>2365</v>
      </c>
      <c r="W2683" s="51" t="s">
        <v>5833</v>
      </c>
      <c r="X2683" s="51" t="s">
        <v>2359</v>
      </c>
    </row>
    <row r="2684" customFormat="false" ht="14.25" hidden="true" customHeight="false" outlineLevel="0" collapsed="false">
      <c r="A2684" s="49" t="s">
        <v>2349</v>
      </c>
      <c r="B2684" s="49" t="s">
        <v>2350</v>
      </c>
      <c r="C2684" s="49" t="s">
        <v>5834</v>
      </c>
      <c r="D2684" s="49" t="s">
        <v>2352</v>
      </c>
      <c r="E2684" s="49" t="str">
        <f aca="false">"6172118"</f>
        <v>6172118</v>
      </c>
      <c r="F2684" s="49" t="s">
        <v>5831</v>
      </c>
      <c r="G2684" s="49" t="n">
        <v>0</v>
      </c>
      <c r="H2684" s="0" t="n">
        <v>0</v>
      </c>
      <c r="M2684" s="51" t="s">
        <v>5832</v>
      </c>
      <c r="N2684" s="49" t="n">
        <v>0</v>
      </c>
      <c r="O2684" s="53" t="n">
        <v>45741.4857638889</v>
      </c>
      <c r="P2684" s="53" t="n">
        <v>45749.5544328704</v>
      </c>
      <c r="Q2684" s="53" t="n">
        <v>45741.4857638889</v>
      </c>
      <c r="R2684" s="0" t="n">
        <v>0</v>
      </c>
      <c r="S2684" s="51" t="s">
        <v>2376</v>
      </c>
      <c r="T2684" s="51" t="s">
        <v>2376</v>
      </c>
      <c r="U2684" s="0" t="str">
        <f aca="false">"6172118"</f>
        <v>6172118</v>
      </c>
      <c r="V2684" s="51" t="s">
        <v>2365</v>
      </c>
      <c r="W2684" s="51" t="s">
        <v>5835</v>
      </c>
      <c r="X2684" s="51" t="s">
        <v>2359</v>
      </c>
    </row>
    <row r="2685" customFormat="false" ht="14.25" hidden="true" customHeight="false" outlineLevel="0" collapsed="false">
      <c r="A2685" s="49" t="s">
        <v>2349</v>
      </c>
      <c r="B2685" s="49" t="s">
        <v>2350</v>
      </c>
      <c r="C2685" s="49" t="s">
        <v>5836</v>
      </c>
      <c r="D2685" s="49" t="s">
        <v>2352</v>
      </c>
      <c r="E2685" s="49" t="str">
        <f aca="false">"6172118"</f>
        <v>6172118</v>
      </c>
      <c r="F2685" s="49" t="s">
        <v>5831</v>
      </c>
      <c r="G2685" s="49" t="n">
        <v>0</v>
      </c>
      <c r="H2685" s="0" t="n">
        <v>0</v>
      </c>
      <c r="M2685" s="51" t="s">
        <v>5832</v>
      </c>
      <c r="N2685" s="49" t="n">
        <v>0</v>
      </c>
      <c r="O2685" s="53" t="n">
        <v>45741.4860185185</v>
      </c>
      <c r="P2685" s="53" t="n">
        <v>45778.8155324074</v>
      </c>
      <c r="Q2685" s="53" t="n">
        <v>45741.4860185185</v>
      </c>
      <c r="R2685" s="0" t="n">
        <v>0</v>
      </c>
      <c r="S2685" s="51" t="s">
        <v>2376</v>
      </c>
      <c r="T2685" s="51" t="s">
        <v>2376</v>
      </c>
      <c r="U2685" s="0" t="str">
        <f aca="false">"6172118"</f>
        <v>6172118</v>
      </c>
      <c r="V2685" s="51" t="s">
        <v>2365</v>
      </c>
      <c r="W2685" s="51" t="s">
        <v>5837</v>
      </c>
      <c r="X2685" s="51" t="s">
        <v>2359</v>
      </c>
    </row>
    <row r="2686" customFormat="false" ht="14.25" hidden="true" customHeight="false" outlineLevel="0" collapsed="false">
      <c r="A2686" s="49" t="s">
        <v>2349</v>
      </c>
      <c r="B2686" s="49" t="s">
        <v>2350</v>
      </c>
      <c r="C2686" s="49" t="s">
        <v>5838</v>
      </c>
      <c r="D2686" s="49" t="s">
        <v>2352</v>
      </c>
      <c r="E2686" s="49" t="str">
        <f aca="false">"6172118"</f>
        <v>6172118</v>
      </c>
      <c r="F2686" s="49" t="s">
        <v>5831</v>
      </c>
      <c r="G2686" s="49" t="n">
        <v>0</v>
      </c>
      <c r="H2686" s="0" t="n">
        <v>0</v>
      </c>
      <c r="M2686" s="51" t="s">
        <v>5832</v>
      </c>
      <c r="N2686" s="49" t="n">
        <v>0</v>
      </c>
      <c r="O2686" s="53" t="n">
        <v>45741.4862847222</v>
      </c>
      <c r="P2686" s="53" t="n">
        <v>45749.5511342593</v>
      </c>
      <c r="Q2686" s="53" t="n">
        <v>45741.4862847222</v>
      </c>
      <c r="R2686" s="0" t="n">
        <v>0</v>
      </c>
      <c r="S2686" s="51" t="s">
        <v>2376</v>
      </c>
      <c r="T2686" s="51" t="s">
        <v>2376</v>
      </c>
      <c r="U2686" s="0" t="str">
        <f aca="false">"6172118"</f>
        <v>6172118</v>
      </c>
      <c r="V2686" s="51" t="s">
        <v>2365</v>
      </c>
      <c r="W2686" s="51" t="s">
        <v>5839</v>
      </c>
      <c r="X2686" s="51" t="s">
        <v>2359</v>
      </c>
    </row>
    <row r="2687" customFormat="false" ht="14.25" hidden="true" customHeight="false" outlineLevel="0" collapsed="false">
      <c r="A2687" s="49" t="s">
        <v>2349</v>
      </c>
      <c r="B2687" s="49" t="s">
        <v>2350</v>
      </c>
      <c r="C2687" s="49" t="s">
        <v>5840</v>
      </c>
      <c r="D2687" s="49" t="s">
        <v>2352</v>
      </c>
      <c r="E2687" s="49" t="str">
        <f aca="false">"6172118"</f>
        <v>6172118</v>
      </c>
      <c r="F2687" s="49" t="s">
        <v>5831</v>
      </c>
      <c r="G2687" s="49" t="n">
        <v>0</v>
      </c>
      <c r="H2687" s="0" t="n">
        <v>0</v>
      </c>
      <c r="M2687" s="51" t="s">
        <v>5832</v>
      </c>
      <c r="N2687" s="49" t="n">
        <v>0</v>
      </c>
      <c r="O2687" s="53" t="n">
        <v>45741.4865509259</v>
      </c>
      <c r="P2687" s="53" t="n">
        <v>45778.8161574074</v>
      </c>
      <c r="Q2687" s="53" t="n">
        <v>45741.4865509259</v>
      </c>
      <c r="R2687" s="0" t="n">
        <v>0</v>
      </c>
      <c r="S2687" s="51" t="s">
        <v>2376</v>
      </c>
      <c r="T2687" s="51" t="s">
        <v>2376</v>
      </c>
      <c r="U2687" s="0" t="str">
        <f aca="false">"6172118"</f>
        <v>6172118</v>
      </c>
      <c r="V2687" s="51" t="s">
        <v>2365</v>
      </c>
      <c r="W2687" s="51" t="s">
        <v>4548</v>
      </c>
      <c r="X2687" s="51" t="s">
        <v>2359</v>
      </c>
    </row>
    <row r="2688" customFormat="false" ht="14.25" hidden="true" customHeight="false" outlineLevel="0" collapsed="false">
      <c r="A2688" s="49" t="s">
        <v>2349</v>
      </c>
      <c r="B2688" s="49" t="s">
        <v>2350</v>
      </c>
      <c r="C2688" s="49" t="s">
        <v>5841</v>
      </c>
      <c r="D2688" s="49" t="s">
        <v>2352</v>
      </c>
      <c r="E2688" s="49" t="str">
        <f aca="false">"6172118"</f>
        <v>6172118</v>
      </c>
      <c r="F2688" s="49" t="s">
        <v>5831</v>
      </c>
      <c r="G2688" s="49" t="n">
        <v>0</v>
      </c>
      <c r="H2688" s="0" t="n">
        <v>0</v>
      </c>
      <c r="M2688" s="51" t="s">
        <v>5832</v>
      </c>
      <c r="N2688" s="49" t="n">
        <v>0</v>
      </c>
      <c r="O2688" s="53" t="n">
        <v>45741.4868402778</v>
      </c>
      <c r="P2688" s="53" t="n">
        <v>45778.8509259259</v>
      </c>
      <c r="Q2688" s="53" t="n">
        <v>45741.4868402778</v>
      </c>
      <c r="R2688" s="0" t="n">
        <v>0</v>
      </c>
      <c r="S2688" s="51" t="s">
        <v>2376</v>
      </c>
      <c r="T2688" s="51" t="s">
        <v>2376</v>
      </c>
      <c r="U2688" s="0" t="str">
        <f aca="false">"6172118"</f>
        <v>6172118</v>
      </c>
      <c r="V2688" s="51" t="s">
        <v>2365</v>
      </c>
      <c r="W2688" s="51" t="s">
        <v>5350</v>
      </c>
      <c r="X2688" s="51" t="s">
        <v>2359</v>
      </c>
    </row>
    <row r="2689" customFormat="false" ht="14.25" hidden="true" customHeight="false" outlineLevel="0" collapsed="false">
      <c r="A2689" s="49" t="s">
        <v>2349</v>
      </c>
      <c r="B2689" s="49" t="s">
        <v>2350</v>
      </c>
      <c r="C2689" s="49" t="s">
        <v>5842</v>
      </c>
      <c r="D2689" s="49" t="s">
        <v>2352</v>
      </c>
      <c r="E2689" s="49" t="str">
        <f aca="false">"6172118"</f>
        <v>6172118</v>
      </c>
      <c r="F2689" s="49" t="s">
        <v>5831</v>
      </c>
      <c r="G2689" s="49" t="n">
        <v>0</v>
      </c>
      <c r="H2689" s="0" t="n">
        <v>0</v>
      </c>
      <c r="M2689" s="51" t="s">
        <v>5832</v>
      </c>
      <c r="N2689" s="49" t="n">
        <v>0</v>
      </c>
      <c r="O2689" s="53" t="n">
        <v>45741.4870601852</v>
      </c>
      <c r="P2689" s="53" t="n">
        <v>45778.8493055556</v>
      </c>
      <c r="Q2689" s="53" t="n">
        <v>45741.4870601852</v>
      </c>
      <c r="R2689" s="0" t="n">
        <v>0</v>
      </c>
      <c r="S2689" s="51" t="s">
        <v>2376</v>
      </c>
      <c r="T2689" s="51" t="s">
        <v>2376</v>
      </c>
      <c r="U2689" s="0" t="str">
        <f aca="false">"6172118"</f>
        <v>6172118</v>
      </c>
      <c r="V2689" s="51" t="s">
        <v>2365</v>
      </c>
      <c r="W2689" s="51" t="s">
        <v>5340</v>
      </c>
      <c r="X2689" s="51" t="s">
        <v>2359</v>
      </c>
    </row>
    <row r="2690" customFormat="false" ht="14.25" hidden="true" customHeight="false" outlineLevel="0" collapsed="false">
      <c r="A2690" s="49" t="s">
        <v>2349</v>
      </c>
      <c r="B2690" s="49" t="s">
        <v>2350</v>
      </c>
      <c r="C2690" s="49" t="s">
        <v>5843</v>
      </c>
      <c r="D2690" s="49" t="s">
        <v>2352</v>
      </c>
      <c r="E2690" s="49" t="str">
        <f aca="false">"6172118"</f>
        <v>6172118</v>
      </c>
      <c r="F2690" s="49" t="s">
        <v>5831</v>
      </c>
      <c r="G2690" s="49" t="n">
        <v>0</v>
      </c>
      <c r="H2690" s="0" t="n">
        <v>0</v>
      </c>
      <c r="M2690" s="51" t="s">
        <v>5832</v>
      </c>
      <c r="N2690" s="49" t="n">
        <v>0</v>
      </c>
      <c r="O2690" s="53" t="n">
        <v>45741.4872916667</v>
      </c>
      <c r="P2690" s="53" t="n">
        <v>45778.8448032407</v>
      </c>
      <c r="Q2690" s="53" t="n">
        <v>45741.4872916667</v>
      </c>
      <c r="R2690" s="0" t="n">
        <v>0</v>
      </c>
      <c r="S2690" s="51" t="s">
        <v>2376</v>
      </c>
      <c r="T2690" s="51" t="s">
        <v>2376</v>
      </c>
      <c r="U2690" s="0" t="str">
        <f aca="false">"6172118"</f>
        <v>6172118</v>
      </c>
      <c r="V2690" s="51" t="s">
        <v>2365</v>
      </c>
      <c r="W2690" s="51" t="s">
        <v>5230</v>
      </c>
      <c r="X2690" s="51" t="s">
        <v>2359</v>
      </c>
    </row>
    <row r="2691" customFormat="false" ht="14.25" hidden="true" customHeight="false" outlineLevel="0" collapsed="false">
      <c r="A2691" s="49" t="s">
        <v>2349</v>
      </c>
      <c r="B2691" s="49" t="s">
        <v>2350</v>
      </c>
      <c r="C2691" s="49" t="s">
        <v>5844</v>
      </c>
      <c r="D2691" s="49" t="s">
        <v>2352</v>
      </c>
      <c r="E2691" s="49" t="str">
        <f aca="false">"6172118"</f>
        <v>6172118</v>
      </c>
      <c r="F2691" s="49" t="s">
        <v>5831</v>
      </c>
      <c r="G2691" s="49" t="n">
        <v>0</v>
      </c>
      <c r="H2691" s="0" t="n">
        <v>0</v>
      </c>
      <c r="M2691" s="51" t="s">
        <v>5832</v>
      </c>
      <c r="N2691" s="49" t="n">
        <v>0</v>
      </c>
      <c r="O2691" s="53" t="n">
        <v>45741.4784143519</v>
      </c>
      <c r="P2691" s="53" t="n">
        <v>45749.5502777778</v>
      </c>
      <c r="Q2691" s="53" t="n">
        <v>45741.4784143519</v>
      </c>
      <c r="R2691" s="0" t="n">
        <v>0</v>
      </c>
      <c r="S2691" s="51" t="s">
        <v>2376</v>
      </c>
      <c r="T2691" s="51" t="s">
        <v>2376</v>
      </c>
      <c r="U2691" s="0" t="str">
        <f aca="false">"6172118"</f>
        <v>6172118</v>
      </c>
      <c r="V2691" s="51" t="s">
        <v>2365</v>
      </c>
      <c r="W2691" s="51" t="s">
        <v>5845</v>
      </c>
      <c r="X2691" s="51" t="s">
        <v>2359</v>
      </c>
    </row>
    <row r="2692" customFormat="false" ht="14.25" hidden="true" customHeight="false" outlineLevel="0" collapsed="false">
      <c r="A2692" s="49" t="s">
        <v>2349</v>
      </c>
      <c r="B2692" s="49" t="s">
        <v>2350</v>
      </c>
      <c r="C2692" s="49" t="s">
        <v>5846</v>
      </c>
      <c r="D2692" s="49" t="s">
        <v>2352</v>
      </c>
      <c r="E2692" s="49" t="str">
        <f aca="false">"6172118"</f>
        <v>6172118</v>
      </c>
      <c r="F2692" s="49" t="s">
        <v>5831</v>
      </c>
      <c r="G2692" s="49" t="n">
        <v>0</v>
      </c>
      <c r="H2692" s="0" t="n">
        <v>0</v>
      </c>
      <c r="M2692" s="51" t="s">
        <v>5832</v>
      </c>
      <c r="N2692" s="49" t="n">
        <v>0</v>
      </c>
      <c r="O2692" s="53" t="n">
        <v>45741.4821759259</v>
      </c>
      <c r="P2692" s="53" t="n">
        <v>45749.4725925926</v>
      </c>
      <c r="Q2692" s="53" t="n">
        <v>45741.4821759259</v>
      </c>
      <c r="R2692" s="0" t="n">
        <v>0</v>
      </c>
      <c r="S2692" s="51" t="s">
        <v>2376</v>
      </c>
      <c r="T2692" s="51" t="s">
        <v>2376</v>
      </c>
      <c r="U2692" s="0" t="str">
        <f aca="false">"6172118"</f>
        <v>6172118</v>
      </c>
      <c r="V2692" s="51" t="s">
        <v>2365</v>
      </c>
      <c r="W2692" s="51" t="s">
        <v>5847</v>
      </c>
      <c r="X2692" s="51" t="s">
        <v>2359</v>
      </c>
    </row>
    <row r="2693" customFormat="false" ht="14.25" hidden="true" customHeight="false" outlineLevel="0" collapsed="false">
      <c r="A2693" s="49" t="s">
        <v>2349</v>
      </c>
      <c r="B2693" s="49" t="s">
        <v>2350</v>
      </c>
      <c r="C2693" s="49" t="s">
        <v>5848</v>
      </c>
      <c r="D2693" s="49" t="s">
        <v>2352</v>
      </c>
      <c r="E2693" s="49" t="str">
        <f aca="false">"6172118"</f>
        <v>6172118</v>
      </c>
      <c r="F2693" s="49" t="s">
        <v>5831</v>
      </c>
      <c r="G2693" s="49" t="n">
        <v>0</v>
      </c>
      <c r="H2693" s="0" t="n">
        <v>0</v>
      </c>
      <c r="M2693" s="51" t="s">
        <v>5832</v>
      </c>
      <c r="N2693" s="49" t="n">
        <v>0</v>
      </c>
      <c r="O2693" s="53" t="n">
        <v>45741.4818518519</v>
      </c>
      <c r="P2693" s="53" t="n">
        <v>45778.8488310185</v>
      </c>
      <c r="Q2693" s="53" t="n">
        <v>45741.4818518519</v>
      </c>
      <c r="R2693" s="0" t="n">
        <v>0</v>
      </c>
      <c r="S2693" s="51" t="s">
        <v>2376</v>
      </c>
      <c r="T2693" s="51" t="s">
        <v>2376</v>
      </c>
      <c r="U2693" s="0" t="str">
        <f aca="false">"6172118"</f>
        <v>6172118</v>
      </c>
      <c r="V2693" s="51" t="s">
        <v>2365</v>
      </c>
      <c r="W2693" s="51" t="s">
        <v>4728</v>
      </c>
      <c r="X2693" s="51" t="s">
        <v>2359</v>
      </c>
    </row>
    <row r="2694" customFormat="false" ht="14.25" hidden="true" customHeight="false" outlineLevel="0" collapsed="false">
      <c r="A2694" s="49" t="s">
        <v>2349</v>
      </c>
      <c r="B2694" s="49" t="s">
        <v>2350</v>
      </c>
      <c r="C2694" s="49" t="s">
        <v>5849</v>
      </c>
      <c r="D2694" s="49" t="s">
        <v>2352</v>
      </c>
      <c r="E2694" s="49" t="str">
        <f aca="false">"6172118"</f>
        <v>6172118</v>
      </c>
      <c r="F2694" s="49" t="s">
        <v>5831</v>
      </c>
      <c r="G2694" s="49" t="n">
        <v>0</v>
      </c>
      <c r="H2694" s="0" t="n">
        <v>0</v>
      </c>
      <c r="M2694" s="51" t="s">
        <v>5832</v>
      </c>
      <c r="N2694" s="49" t="n">
        <v>0</v>
      </c>
      <c r="O2694" s="53" t="n">
        <v>45741.4802430556</v>
      </c>
      <c r="P2694" s="53" t="n">
        <v>45749.550474537</v>
      </c>
      <c r="Q2694" s="53" t="n">
        <v>45741.4802430556</v>
      </c>
      <c r="R2694" s="0" t="n">
        <v>0</v>
      </c>
      <c r="S2694" s="51" t="s">
        <v>2376</v>
      </c>
      <c r="T2694" s="51" t="s">
        <v>2376</v>
      </c>
      <c r="U2694" s="0" t="str">
        <f aca="false">"6172118"</f>
        <v>6172118</v>
      </c>
      <c r="V2694" s="51" t="s">
        <v>2365</v>
      </c>
      <c r="W2694" s="51" t="s">
        <v>5850</v>
      </c>
      <c r="X2694" s="51" t="s">
        <v>2359</v>
      </c>
    </row>
    <row r="2695" customFormat="false" ht="14.25" hidden="true" customHeight="false" outlineLevel="0" collapsed="false">
      <c r="A2695" s="49" t="s">
        <v>2349</v>
      </c>
      <c r="B2695" s="49" t="s">
        <v>2350</v>
      </c>
      <c r="C2695" s="49" t="s">
        <v>5851</v>
      </c>
      <c r="D2695" s="49" t="s">
        <v>2352</v>
      </c>
      <c r="E2695" s="49" t="str">
        <f aca="false">"6172118"</f>
        <v>6172118</v>
      </c>
      <c r="F2695" s="49" t="s">
        <v>5831</v>
      </c>
      <c r="G2695" s="49" t="n">
        <v>0</v>
      </c>
      <c r="H2695" s="0" t="n">
        <v>0</v>
      </c>
      <c r="M2695" s="51" t="s">
        <v>5832</v>
      </c>
      <c r="N2695" s="49" t="n">
        <v>0</v>
      </c>
      <c r="O2695" s="53" t="n">
        <v>45741.4811111111</v>
      </c>
      <c r="P2695" s="53" t="n">
        <v>45824.4751851852</v>
      </c>
      <c r="Q2695" s="53" t="n">
        <v>45741.4811111111</v>
      </c>
      <c r="R2695" s="0" t="n">
        <v>0</v>
      </c>
      <c r="S2695" s="51" t="s">
        <v>2376</v>
      </c>
      <c r="T2695" s="51" t="s">
        <v>2376</v>
      </c>
      <c r="U2695" s="0" t="str">
        <f aca="false">"6172118"</f>
        <v>6172118</v>
      </c>
      <c r="V2695" s="51" t="s">
        <v>2365</v>
      </c>
      <c r="W2695" s="51" t="s">
        <v>5852</v>
      </c>
      <c r="X2695" s="51" t="s">
        <v>2359</v>
      </c>
    </row>
    <row r="2696" customFormat="false" ht="14.25" hidden="true" customHeight="false" outlineLevel="0" collapsed="false">
      <c r="A2696" s="49" t="s">
        <v>2349</v>
      </c>
      <c r="B2696" s="49" t="s">
        <v>2350</v>
      </c>
      <c r="C2696" s="49" t="s">
        <v>5853</v>
      </c>
      <c r="D2696" s="49" t="s">
        <v>2352</v>
      </c>
      <c r="E2696" s="49" t="str">
        <f aca="false">"6172118"</f>
        <v>6172118</v>
      </c>
      <c r="F2696" s="49" t="s">
        <v>5831</v>
      </c>
      <c r="G2696" s="49" t="n">
        <v>0</v>
      </c>
      <c r="H2696" s="0" t="n">
        <v>0</v>
      </c>
      <c r="M2696" s="51" t="s">
        <v>5832</v>
      </c>
      <c r="N2696" s="49" t="n">
        <v>0</v>
      </c>
      <c r="O2696" s="53" t="n">
        <v>45741.4815856482</v>
      </c>
      <c r="P2696" s="53" t="n">
        <v>45749.471875</v>
      </c>
      <c r="Q2696" s="53" t="n">
        <v>45741.4815856482</v>
      </c>
      <c r="R2696" s="0" t="n">
        <v>0</v>
      </c>
      <c r="S2696" s="51" t="s">
        <v>2376</v>
      </c>
      <c r="T2696" s="51" t="s">
        <v>2376</v>
      </c>
      <c r="U2696" s="0" t="str">
        <f aca="false">"6172118"</f>
        <v>6172118</v>
      </c>
      <c r="V2696" s="51" t="s">
        <v>2365</v>
      </c>
      <c r="W2696" s="51" t="s">
        <v>5854</v>
      </c>
      <c r="X2696" s="51" t="s">
        <v>2359</v>
      </c>
    </row>
    <row r="2697" customFormat="false" ht="14.25" hidden="true" customHeight="false" outlineLevel="0" collapsed="false">
      <c r="A2697" s="49" t="s">
        <v>2349</v>
      </c>
      <c r="B2697" s="49" t="s">
        <v>2350</v>
      </c>
      <c r="C2697" s="49" t="s">
        <v>5855</v>
      </c>
      <c r="D2697" s="49" t="s">
        <v>2352</v>
      </c>
      <c r="E2697" s="49" t="str">
        <f aca="false">"6172118"</f>
        <v>6172118</v>
      </c>
      <c r="F2697" s="49" t="s">
        <v>5831</v>
      </c>
      <c r="G2697" s="49" t="n">
        <v>0</v>
      </c>
      <c r="H2697" s="0" t="n">
        <v>0</v>
      </c>
      <c r="M2697" s="51" t="s">
        <v>5832</v>
      </c>
      <c r="N2697" s="49" t="n">
        <v>0</v>
      </c>
      <c r="O2697" s="53" t="n">
        <v>45741.4830208333</v>
      </c>
      <c r="P2697" s="53" t="n">
        <v>45778.8343402778</v>
      </c>
      <c r="Q2697" s="53" t="n">
        <v>45741.4830208333</v>
      </c>
      <c r="R2697" s="0" t="n">
        <v>0</v>
      </c>
      <c r="S2697" s="51" t="s">
        <v>2376</v>
      </c>
      <c r="T2697" s="51" t="s">
        <v>2376</v>
      </c>
      <c r="U2697" s="0" t="str">
        <f aca="false">"6172118"</f>
        <v>6172118</v>
      </c>
      <c r="V2697" s="51" t="s">
        <v>2365</v>
      </c>
      <c r="W2697" s="51" t="s">
        <v>5856</v>
      </c>
      <c r="X2697" s="51" t="s">
        <v>2359</v>
      </c>
    </row>
    <row r="2698" customFormat="false" ht="14.25" hidden="true" customHeight="false" outlineLevel="0" collapsed="false">
      <c r="A2698" s="49" t="s">
        <v>2349</v>
      </c>
      <c r="B2698" s="49" t="s">
        <v>2350</v>
      </c>
      <c r="C2698" s="49" t="s">
        <v>5857</v>
      </c>
      <c r="D2698" s="49" t="s">
        <v>2352</v>
      </c>
      <c r="E2698" s="49" t="str">
        <f aca="false">"6172118"</f>
        <v>6172118</v>
      </c>
      <c r="F2698" s="49" t="s">
        <v>5831</v>
      </c>
      <c r="G2698" s="49" t="n">
        <v>0</v>
      </c>
      <c r="H2698" s="0" t="n">
        <v>0</v>
      </c>
      <c r="M2698" s="51" t="s">
        <v>5832</v>
      </c>
      <c r="N2698" s="49" t="n">
        <v>0</v>
      </c>
      <c r="O2698" s="53" t="n">
        <v>45741.4827662037</v>
      </c>
      <c r="P2698" s="53" t="n">
        <v>45780.5787037037</v>
      </c>
      <c r="Q2698" s="53" t="n">
        <v>45741.4827662037</v>
      </c>
      <c r="R2698" s="0" t="n">
        <v>0</v>
      </c>
      <c r="S2698" s="51" t="s">
        <v>2376</v>
      </c>
      <c r="T2698" s="51" t="s">
        <v>2376</v>
      </c>
      <c r="U2698" s="0" t="str">
        <f aca="false">"6172118"</f>
        <v>6172118</v>
      </c>
      <c r="V2698" s="51" t="s">
        <v>2365</v>
      </c>
      <c r="W2698" s="51" t="s">
        <v>5858</v>
      </c>
      <c r="X2698" s="51" t="s">
        <v>2359</v>
      </c>
    </row>
    <row r="2699" customFormat="false" ht="14.25" hidden="true" customHeight="false" outlineLevel="0" collapsed="false">
      <c r="A2699" s="49" t="s">
        <v>2349</v>
      </c>
      <c r="B2699" s="49" t="s">
        <v>2350</v>
      </c>
      <c r="C2699" s="49" t="s">
        <v>5859</v>
      </c>
      <c r="D2699" s="49" t="s">
        <v>2352</v>
      </c>
      <c r="E2699" s="49" t="str">
        <f aca="false">"6172118"</f>
        <v>6172118</v>
      </c>
      <c r="F2699" s="49" t="s">
        <v>5831</v>
      </c>
      <c r="G2699" s="49" t="n">
        <v>0</v>
      </c>
      <c r="H2699" s="0" t="n">
        <v>0</v>
      </c>
      <c r="M2699" s="51" t="s">
        <v>5832</v>
      </c>
      <c r="N2699" s="49" t="n">
        <v>0</v>
      </c>
      <c r="O2699" s="53" t="n">
        <v>45741.4824537037</v>
      </c>
      <c r="P2699" s="53" t="n">
        <v>45778.8300925926</v>
      </c>
      <c r="Q2699" s="53" t="n">
        <v>45741.4824537037</v>
      </c>
      <c r="R2699" s="0" t="n">
        <v>0</v>
      </c>
      <c r="S2699" s="51" t="s">
        <v>2376</v>
      </c>
      <c r="T2699" s="51" t="s">
        <v>2376</v>
      </c>
      <c r="U2699" s="0" t="str">
        <f aca="false">"6172118"</f>
        <v>6172118</v>
      </c>
      <c r="V2699" s="51" t="s">
        <v>2365</v>
      </c>
      <c r="W2699" s="51" t="s">
        <v>4076</v>
      </c>
      <c r="X2699" s="51" t="s">
        <v>2359</v>
      </c>
    </row>
    <row r="2700" customFormat="false" ht="14.25" hidden="true" customHeight="false" outlineLevel="0" collapsed="false">
      <c r="A2700" s="49" t="s">
        <v>2349</v>
      </c>
      <c r="B2700" s="49" t="s">
        <v>2350</v>
      </c>
      <c r="C2700" s="49" t="s">
        <v>5860</v>
      </c>
      <c r="D2700" s="49" t="s">
        <v>2352</v>
      </c>
      <c r="E2700" s="49" t="str">
        <f aca="false">"6172118"</f>
        <v>6172118</v>
      </c>
      <c r="F2700" s="49" t="s">
        <v>5831</v>
      </c>
      <c r="G2700" s="49" t="n">
        <v>0</v>
      </c>
      <c r="H2700" s="0" t="n">
        <v>0</v>
      </c>
      <c r="M2700" s="51" t="s">
        <v>5832</v>
      </c>
      <c r="N2700" s="49" t="n">
        <v>0</v>
      </c>
      <c r="O2700" s="53" t="n">
        <v>45741.483599537</v>
      </c>
      <c r="P2700" s="53" t="n">
        <v>45778.8368981482</v>
      </c>
      <c r="Q2700" s="53" t="n">
        <v>45741.483599537</v>
      </c>
      <c r="R2700" s="0" t="n">
        <v>0</v>
      </c>
      <c r="S2700" s="51" t="s">
        <v>2376</v>
      </c>
      <c r="T2700" s="51" t="s">
        <v>2376</v>
      </c>
      <c r="U2700" s="0" t="str">
        <f aca="false">"6172118"</f>
        <v>6172118</v>
      </c>
      <c r="V2700" s="51" t="s">
        <v>2365</v>
      </c>
      <c r="W2700" s="51" t="s">
        <v>5861</v>
      </c>
      <c r="X2700" s="51" t="s">
        <v>2359</v>
      </c>
    </row>
    <row r="2701" customFormat="false" ht="14.25" hidden="true" customHeight="false" outlineLevel="0" collapsed="false">
      <c r="A2701" s="49" t="s">
        <v>2349</v>
      </c>
      <c r="B2701" s="49" t="s">
        <v>2350</v>
      </c>
      <c r="C2701" s="49" t="s">
        <v>5862</v>
      </c>
      <c r="D2701" s="49" t="s">
        <v>2352</v>
      </c>
      <c r="E2701" s="49" t="str">
        <f aca="false">"6172118"</f>
        <v>6172118</v>
      </c>
      <c r="F2701" s="49" t="s">
        <v>5831</v>
      </c>
      <c r="G2701" s="49" t="n">
        <v>0</v>
      </c>
      <c r="H2701" s="0" t="n">
        <v>0</v>
      </c>
      <c r="M2701" s="51" t="s">
        <v>5832</v>
      </c>
      <c r="N2701" s="49" t="n">
        <v>0</v>
      </c>
      <c r="O2701" s="53" t="n">
        <v>45741.4833217593</v>
      </c>
      <c r="P2701" s="53" t="n">
        <v>45778.8325231482</v>
      </c>
      <c r="Q2701" s="53" t="n">
        <v>45741.4833217593</v>
      </c>
      <c r="R2701" s="0" t="n">
        <v>0</v>
      </c>
      <c r="S2701" s="51" t="s">
        <v>2376</v>
      </c>
      <c r="T2701" s="51" t="s">
        <v>2376</v>
      </c>
      <c r="U2701" s="0" t="str">
        <f aca="false">"6172118"</f>
        <v>6172118</v>
      </c>
      <c r="V2701" s="51" t="s">
        <v>2365</v>
      </c>
      <c r="W2701" s="51" t="s">
        <v>5863</v>
      </c>
      <c r="X2701" s="51" t="s">
        <v>2359</v>
      </c>
    </row>
    <row r="2702" customFormat="false" ht="14.25" hidden="true" customHeight="false" outlineLevel="0" collapsed="false">
      <c r="A2702" s="49" t="s">
        <v>2349</v>
      </c>
      <c r="B2702" s="49" t="s">
        <v>2350</v>
      </c>
      <c r="C2702" s="49" t="s">
        <v>5864</v>
      </c>
      <c r="D2702" s="49" t="s">
        <v>2352</v>
      </c>
      <c r="E2702" s="49" t="str">
        <f aca="false">"6172118"</f>
        <v>6172118</v>
      </c>
      <c r="F2702" s="49" t="s">
        <v>5831</v>
      </c>
      <c r="G2702" s="49" t="n">
        <v>0</v>
      </c>
      <c r="H2702" s="0" t="n">
        <v>0</v>
      </c>
      <c r="M2702" s="51" t="s">
        <v>5832</v>
      </c>
      <c r="N2702" s="49" t="n">
        <v>0</v>
      </c>
      <c r="O2702" s="53" t="n">
        <v>45780.4796875</v>
      </c>
      <c r="P2702" s="53" t="n">
        <v>45824.4694560185</v>
      </c>
      <c r="R2702" s="0" t="n">
        <v>0</v>
      </c>
      <c r="T2702" s="51" t="s">
        <v>3780</v>
      </c>
      <c r="U2702" s="0" t="str">
        <f aca="false">"6172118"</f>
        <v>6172118</v>
      </c>
      <c r="V2702" s="51" t="s">
        <v>2365</v>
      </c>
      <c r="W2702" s="51" t="s">
        <v>5865</v>
      </c>
      <c r="X2702" s="51" t="s">
        <v>2359</v>
      </c>
    </row>
    <row r="2703" customFormat="false" ht="14.25" hidden="true" customHeight="false" outlineLevel="0" collapsed="false">
      <c r="A2703" s="49" t="s">
        <v>2349</v>
      </c>
      <c r="B2703" s="49" t="s">
        <v>2350</v>
      </c>
      <c r="C2703" s="49" t="s">
        <v>5866</v>
      </c>
      <c r="D2703" s="49" t="s">
        <v>2352</v>
      </c>
      <c r="E2703" s="49" t="str">
        <f aca="false">"6172118"</f>
        <v>6172118</v>
      </c>
      <c r="F2703" s="49" t="s">
        <v>5831</v>
      </c>
      <c r="G2703" s="49" t="n">
        <v>0</v>
      </c>
      <c r="H2703" s="0" t="n">
        <v>0</v>
      </c>
      <c r="M2703" s="51" t="s">
        <v>5832</v>
      </c>
      <c r="N2703" s="49" t="n">
        <v>0</v>
      </c>
      <c r="O2703" s="53" t="n">
        <v>45742.6286574074</v>
      </c>
      <c r="P2703" s="53" t="n">
        <v>45778.8504050926</v>
      </c>
      <c r="Q2703" s="53" t="n">
        <v>45742.6286574074</v>
      </c>
      <c r="R2703" s="0" t="n">
        <v>0</v>
      </c>
      <c r="S2703" s="51" t="s">
        <v>2380</v>
      </c>
      <c r="T2703" s="51" t="s">
        <v>2380</v>
      </c>
      <c r="U2703" s="0" t="str">
        <f aca="false">"6172118"</f>
        <v>6172118</v>
      </c>
      <c r="V2703" s="51" t="s">
        <v>2365</v>
      </c>
      <c r="W2703" s="51" t="s">
        <v>5348</v>
      </c>
      <c r="X2703" s="51" t="s">
        <v>2359</v>
      </c>
    </row>
    <row r="2704" customFormat="false" ht="14.25" hidden="true" customHeight="false" outlineLevel="0" collapsed="false">
      <c r="A2704" s="49" t="s">
        <v>2349</v>
      </c>
      <c r="B2704" s="49" t="s">
        <v>2350</v>
      </c>
      <c r="C2704" s="49" t="s">
        <v>5867</v>
      </c>
      <c r="D2704" s="49" t="s">
        <v>2352</v>
      </c>
      <c r="E2704" s="49" t="str">
        <f aca="false">"12464079"</f>
        <v>12464079</v>
      </c>
      <c r="F2704" s="49" t="s">
        <v>4706</v>
      </c>
      <c r="G2704" s="49" t="n">
        <v>0</v>
      </c>
      <c r="H2704" s="0" t="n">
        <v>0</v>
      </c>
      <c r="M2704" s="51" t="s">
        <v>5868</v>
      </c>
      <c r="N2704" s="49" t="n">
        <v>0</v>
      </c>
      <c r="O2704" s="53" t="n">
        <v>45741.5251041667</v>
      </c>
      <c r="P2704" s="53" t="n">
        <v>45754.5647916667</v>
      </c>
      <c r="Q2704" s="53" t="n">
        <v>45741.5251041667</v>
      </c>
      <c r="R2704" s="0" t="n">
        <v>0</v>
      </c>
      <c r="S2704" s="51" t="s">
        <v>2376</v>
      </c>
      <c r="T2704" s="51" t="s">
        <v>2376</v>
      </c>
      <c r="U2704" s="0" t="str">
        <f aca="false">"12464079"</f>
        <v>12464079</v>
      </c>
      <c r="V2704" s="51" t="s">
        <v>2365</v>
      </c>
      <c r="W2704" s="51" t="s">
        <v>5869</v>
      </c>
      <c r="X2704" s="51" t="s">
        <v>2359</v>
      </c>
    </row>
    <row r="2705" customFormat="false" ht="14.25" hidden="true" customHeight="false" outlineLevel="0" collapsed="false">
      <c r="A2705" s="49" t="s">
        <v>2349</v>
      </c>
      <c r="B2705" s="49" t="s">
        <v>2350</v>
      </c>
      <c r="C2705" s="49" t="s">
        <v>5870</v>
      </c>
      <c r="D2705" s="49" t="s">
        <v>2352</v>
      </c>
      <c r="E2705" s="49" t="str">
        <f aca="false">"12464079"</f>
        <v>12464079</v>
      </c>
      <c r="F2705" s="49" t="s">
        <v>4706</v>
      </c>
      <c r="G2705" s="49" t="n">
        <v>0</v>
      </c>
      <c r="H2705" s="0" t="n">
        <v>0</v>
      </c>
      <c r="M2705" s="51" t="s">
        <v>5868</v>
      </c>
      <c r="N2705" s="49" t="n">
        <v>0</v>
      </c>
      <c r="O2705" s="53" t="n">
        <v>45741.5248842593</v>
      </c>
      <c r="P2705" s="53" t="n">
        <v>45754.5600462963</v>
      </c>
      <c r="Q2705" s="53" t="n">
        <v>45741.5248842593</v>
      </c>
      <c r="R2705" s="0" t="n">
        <v>0</v>
      </c>
      <c r="S2705" s="51" t="s">
        <v>2376</v>
      </c>
      <c r="T2705" s="51" t="s">
        <v>2376</v>
      </c>
      <c r="U2705" s="0" t="str">
        <f aca="false">"12464079"</f>
        <v>12464079</v>
      </c>
      <c r="V2705" s="51" t="s">
        <v>2365</v>
      </c>
      <c r="W2705" s="51" t="s">
        <v>5871</v>
      </c>
      <c r="X2705" s="51" t="s">
        <v>2359</v>
      </c>
    </row>
    <row r="2706" customFormat="false" ht="14.25" hidden="true" customHeight="false" outlineLevel="0" collapsed="false">
      <c r="A2706" s="49" t="s">
        <v>2349</v>
      </c>
      <c r="B2706" s="49" t="s">
        <v>2350</v>
      </c>
      <c r="C2706" s="49" t="s">
        <v>5872</v>
      </c>
      <c r="D2706" s="49" t="s">
        <v>2352</v>
      </c>
      <c r="E2706" s="49" t="str">
        <f aca="false">"12464079"</f>
        <v>12464079</v>
      </c>
      <c r="F2706" s="49" t="s">
        <v>4706</v>
      </c>
      <c r="G2706" s="49" t="n">
        <v>0</v>
      </c>
      <c r="H2706" s="0" t="n">
        <v>0</v>
      </c>
      <c r="M2706" s="51" t="s">
        <v>5868</v>
      </c>
      <c r="N2706" s="49" t="n">
        <v>0</v>
      </c>
      <c r="O2706" s="53" t="n">
        <v>45741.5242824074</v>
      </c>
      <c r="P2706" s="53" t="n">
        <v>45754.5603009259</v>
      </c>
      <c r="Q2706" s="53" t="n">
        <v>45741.5242824074</v>
      </c>
      <c r="R2706" s="0" t="n">
        <v>0</v>
      </c>
      <c r="S2706" s="51" t="s">
        <v>2376</v>
      </c>
      <c r="T2706" s="51" t="s">
        <v>2376</v>
      </c>
      <c r="U2706" s="0" t="str">
        <f aca="false">"12464079"</f>
        <v>12464079</v>
      </c>
      <c r="V2706" s="51" t="s">
        <v>2365</v>
      </c>
      <c r="W2706" s="51" t="s">
        <v>5873</v>
      </c>
      <c r="X2706" s="51" t="s">
        <v>2359</v>
      </c>
    </row>
    <row r="2707" customFormat="false" ht="14.25" hidden="true" customHeight="false" outlineLevel="0" collapsed="false">
      <c r="A2707" s="49" t="s">
        <v>2349</v>
      </c>
      <c r="B2707" s="49" t="s">
        <v>2350</v>
      </c>
      <c r="C2707" s="49" t="s">
        <v>5874</v>
      </c>
      <c r="D2707" s="49" t="s">
        <v>2352</v>
      </c>
      <c r="E2707" s="49" t="str">
        <f aca="false">"12464079"</f>
        <v>12464079</v>
      </c>
      <c r="F2707" s="49" t="s">
        <v>4706</v>
      </c>
      <c r="G2707" s="49" t="n">
        <v>0</v>
      </c>
      <c r="H2707" s="0" t="n">
        <v>0</v>
      </c>
      <c r="M2707" s="51" t="s">
        <v>5868</v>
      </c>
      <c r="N2707" s="49" t="n">
        <v>0</v>
      </c>
      <c r="O2707" s="53" t="n">
        <v>45741.5239699074</v>
      </c>
      <c r="P2707" s="53" t="n">
        <v>45753.483900463</v>
      </c>
      <c r="Q2707" s="53" t="n">
        <v>45741.5239699074</v>
      </c>
      <c r="R2707" s="0" t="n">
        <v>0</v>
      </c>
      <c r="S2707" s="51" t="s">
        <v>2376</v>
      </c>
      <c r="T2707" s="51" t="s">
        <v>2376</v>
      </c>
      <c r="U2707" s="0" t="str">
        <f aca="false">"12464079"</f>
        <v>12464079</v>
      </c>
      <c r="V2707" s="51" t="s">
        <v>2365</v>
      </c>
      <c r="W2707" s="51" t="s">
        <v>5875</v>
      </c>
      <c r="X2707" s="51" t="s">
        <v>2359</v>
      </c>
    </row>
    <row r="2708" customFormat="false" ht="14.25" hidden="true" customHeight="false" outlineLevel="0" collapsed="false">
      <c r="A2708" s="49" t="s">
        <v>2349</v>
      </c>
      <c r="B2708" s="49" t="s">
        <v>2350</v>
      </c>
      <c r="C2708" s="49" t="s">
        <v>5876</v>
      </c>
      <c r="D2708" s="49" t="s">
        <v>2352</v>
      </c>
      <c r="E2708" s="49" t="str">
        <f aca="false">"12464079"</f>
        <v>12464079</v>
      </c>
      <c r="F2708" s="49" t="s">
        <v>4706</v>
      </c>
      <c r="G2708" s="49" t="n">
        <v>0</v>
      </c>
      <c r="H2708" s="0" t="n">
        <v>0</v>
      </c>
      <c r="M2708" s="51" t="s">
        <v>5868</v>
      </c>
      <c r="N2708" s="49" t="n">
        <v>0</v>
      </c>
      <c r="O2708" s="53" t="n">
        <v>45741.5233680556</v>
      </c>
      <c r="P2708" s="53" t="n">
        <v>45753.4799768519</v>
      </c>
      <c r="Q2708" s="53" t="n">
        <v>45741.5233680556</v>
      </c>
      <c r="R2708" s="0" t="n">
        <v>0</v>
      </c>
      <c r="S2708" s="51" t="s">
        <v>2376</v>
      </c>
      <c r="T2708" s="51" t="s">
        <v>2376</v>
      </c>
      <c r="U2708" s="0" t="str">
        <f aca="false">"12464079"</f>
        <v>12464079</v>
      </c>
      <c r="V2708" s="51" t="s">
        <v>2365</v>
      </c>
      <c r="W2708" s="51" t="s">
        <v>5810</v>
      </c>
      <c r="X2708" s="51" t="s">
        <v>2359</v>
      </c>
    </row>
    <row r="2709" customFormat="false" ht="14.25" hidden="true" customHeight="false" outlineLevel="0" collapsed="false">
      <c r="A2709" s="49" t="s">
        <v>2349</v>
      </c>
      <c r="B2709" s="49" t="s">
        <v>2350</v>
      </c>
      <c r="C2709" s="49" t="s">
        <v>5877</v>
      </c>
      <c r="D2709" s="49" t="s">
        <v>2352</v>
      </c>
      <c r="E2709" s="49" t="str">
        <f aca="false">"12464079"</f>
        <v>12464079</v>
      </c>
      <c r="F2709" s="49" t="s">
        <v>4706</v>
      </c>
      <c r="G2709" s="49" t="n">
        <v>0</v>
      </c>
      <c r="H2709" s="0" t="n">
        <v>0</v>
      </c>
      <c r="M2709" s="51" t="s">
        <v>5868</v>
      </c>
      <c r="N2709" s="49" t="n">
        <v>0</v>
      </c>
      <c r="O2709" s="53" t="n">
        <v>45741.52375</v>
      </c>
      <c r="P2709" s="53" t="n">
        <v>45742.9357407407</v>
      </c>
      <c r="Q2709" s="53" t="n">
        <v>45741.52375</v>
      </c>
      <c r="R2709" s="0" t="n">
        <v>0</v>
      </c>
      <c r="S2709" s="51" t="s">
        <v>2376</v>
      </c>
      <c r="T2709" s="51" t="s">
        <v>2376</v>
      </c>
      <c r="U2709" s="0" t="str">
        <f aca="false">"12464079"</f>
        <v>12464079</v>
      </c>
      <c r="V2709" s="51" t="s">
        <v>2365</v>
      </c>
      <c r="W2709" s="51" t="s">
        <v>5878</v>
      </c>
      <c r="X2709" s="51" t="s">
        <v>2359</v>
      </c>
    </row>
    <row r="2710" customFormat="false" ht="14.25" hidden="true" customHeight="false" outlineLevel="0" collapsed="false">
      <c r="A2710" s="49" t="s">
        <v>2349</v>
      </c>
      <c r="B2710" s="49" t="s">
        <v>2350</v>
      </c>
      <c r="C2710" s="49" t="s">
        <v>5879</v>
      </c>
      <c r="D2710" s="49" t="s">
        <v>2352</v>
      </c>
      <c r="E2710" s="49" t="str">
        <f aca="false">"12464079"</f>
        <v>12464079</v>
      </c>
      <c r="F2710" s="49" t="s">
        <v>4706</v>
      </c>
      <c r="G2710" s="49" t="n">
        <v>0</v>
      </c>
      <c r="H2710" s="0" t="n">
        <v>0</v>
      </c>
      <c r="M2710" s="51" t="s">
        <v>5868</v>
      </c>
      <c r="N2710" s="49" t="n">
        <v>0</v>
      </c>
      <c r="O2710" s="53" t="n">
        <v>45741.5231828704</v>
      </c>
      <c r="P2710" s="53" t="n">
        <v>45750.409849537</v>
      </c>
      <c r="Q2710" s="53" t="n">
        <v>45741.5231828704</v>
      </c>
      <c r="R2710" s="0" t="n">
        <v>0</v>
      </c>
      <c r="S2710" s="51" t="s">
        <v>2376</v>
      </c>
      <c r="T2710" s="51" t="s">
        <v>2376</v>
      </c>
      <c r="U2710" s="0" t="str">
        <f aca="false">"12464079"</f>
        <v>12464079</v>
      </c>
      <c r="V2710" s="51" t="s">
        <v>2365</v>
      </c>
      <c r="W2710" s="51" t="s">
        <v>5880</v>
      </c>
      <c r="X2710" s="51" t="s">
        <v>2359</v>
      </c>
    </row>
    <row r="2711" customFormat="false" ht="14.25" hidden="true" customHeight="false" outlineLevel="0" collapsed="false">
      <c r="A2711" s="49" t="s">
        <v>2349</v>
      </c>
      <c r="B2711" s="49" t="s">
        <v>2350</v>
      </c>
      <c r="C2711" s="49" t="s">
        <v>5881</v>
      </c>
      <c r="D2711" s="49" t="s">
        <v>2352</v>
      </c>
      <c r="E2711" s="49" t="str">
        <f aca="false">"12464079"</f>
        <v>12464079</v>
      </c>
      <c r="F2711" s="49" t="s">
        <v>4706</v>
      </c>
      <c r="G2711" s="49" t="n">
        <v>0</v>
      </c>
      <c r="H2711" s="0" t="n">
        <v>0</v>
      </c>
      <c r="M2711" s="51" t="s">
        <v>5868</v>
      </c>
      <c r="N2711" s="49" t="n">
        <v>0</v>
      </c>
      <c r="O2711" s="53" t="n">
        <v>45741.522962963</v>
      </c>
      <c r="P2711" s="53" t="n">
        <v>45742.9374537037</v>
      </c>
      <c r="Q2711" s="53" t="n">
        <v>45741.522962963</v>
      </c>
      <c r="R2711" s="0" t="n">
        <v>0</v>
      </c>
      <c r="S2711" s="51" t="s">
        <v>2376</v>
      </c>
      <c r="T2711" s="51" t="s">
        <v>2376</v>
      </c>
      <c r="U2711" s="0" t="str">
        <f aca="false">"12464079"</f>
        <v>12464079</v>
      </c>
      <c r="V2711" s="51" t="s">
        <v>2365</v>
      </c>
      <c r="W2711" s="51" t="s">
        <v>5882</v>
      </c>
      <c r="X2711" s="51" t="s">
        <v>2359</v>
      </c>
    </row>
    <row r="2712" customFormat="false" ht="14.25" hidden="true" customHeight="false" outlineLevel="0" collapsed="false">
      <c r="A2712" s="49" t="s">
        <v>2349</v>
      </c>
      <c r="B2712" s="49" t="s">
        <v>2350</v>
      </c>
      <c r="C2712" s="49" t="s">
        <v>5883</v>
      </c>
      <c r="D2712" s="49" t="s">
        <v>2352</v>
      </c>
      <c r="E2712" s="49" t="str">
        <f aca="false">"12464079"</f>
        <v>12464079</v>
      </c>
      <c r="F2712" s="49" t="s">
        <v>4706</v>
      </c>
      <c r="G2712" s="49" t="n">
        <v>0</v>
      </c>
      <c r="H2712" s="0" t="n">
        <v>0</v>
      </c>
      <c r="M2712" s="51" t="s">
        <v>5868</v>
      </c>
      <c r="N2712" s="49" t="n">
        <v>0</v>
      </c>
      <c r="O2712" s="53" t="n">
        <v>45741.5222569444</v>
      </c>
      <c r="P2712" s="53" t="n">
        <v>45749.5642361111</v>
      </c>
      <c r="Q2712" s="53" t="n">
        <v>45741.5222569444</v>
      </c>
      <c r="R2712" s="0" t="n">
        <v>0</v>
      </c>
      <c r="S2712" s="51" t="s">
        <v>2376</v>
      </c>
      <c r="T2712" s="51" t="s">
        <v>2376</v>
      </c>
      <c r="U2712" s="0" t="str">
        <f aca="false">"12464079"</f>
        <v>12464079</v>
      </c>
      <c r="V2712" s="51" t="s">
        <v>2365</v>
      </c>
      <c r="W2712" s="51" t="s">
        <v>4883</v>
      </c>
      <c r="X2712" s="51" t="s">
        <v>2359</v>
      </c>
    </row>
    <row r="2713" customFormat="false" ht="14.25" hidden="true" customHeight="false" outlineLevel="0" collapsed="false">
      <c r="A2713" s="49" t="s">
        <v>2349</v>
      </c>
      <c r="B2713" s="49" t="s">
        <v>2350</v>
      </c>
      <c r="C2713" s="49" t="s">
        <v>5884</v>
      </c>
      <c r="D2713" s="49" t="s">
        <v>2352</v>
      </c>
      <c r="E2713" s="49" t="str">
        <f aca="false">"12464079"</f>
        <v>12464079</v>
      </c>
      <c r="F2713" s="49" t="s">
        <v>4706</v>
      </c>
      <c r="G2713" s="49" t="n">
        <v>0</v>
      </c>
      <c r="H2713" s="0" t="n">
        <v>0</v>
      </c>
      <c r="M2713" s="51" t="s">
        <v>5868</v>
      </c>
      <c r="N2713" s="49" t="n">
        <v>0</v>
      </c>
      <c r="O2713" s="53" t="n">
        <v>45741.5226388889</v>
      </c>
      <c r="P2713" s="53" t="n">
        <v>45742.93625</v>
      </c>
      <c r="Q2713" s="53" t="n">
        <v>45741.5226388889</v>
      </c>
      <c r="R2713" s="0" t="n">
        <v>0</v>
      </c>
      <c r="S2713" s="51" t="s">
        <v>2376</v>
      </c>
      <c r="T2713" s="51" t="s">
        <v>2376</v>
      </c>
      <c r="U2713" s="0" t="str">
        <f aca="false">"12464079"</f>
        <v>12464079</v>
      </c>
      <c r="V2713" s="51" t="s">
        <v>2365</v>
      </c>
      <c r="W2713" s="51" t="s">
        <v>5885</v>
      </c>
      <c r="X2713" s="51" t="s">
        <v>2359</v>
      </c>
    </row>
    <row r="2714" customFormat="false" ht="14.25" hidden="true" customHeight="false" outlineLevel="0" collapsed="false">
      <c r="A2714" s="49" t="s">
        <v>2349</v>
      </c>
      <c r="B2714" s="49" t="s">
        <v>2350</v>
      </c>
      <c r="C2714" s="49" t="s">
        <v>5886</v>
      </c>
      <c r="D2714" s="49" t="s">
        <v>2352</v>
      </c>
      <c r="E2714" s="49" t="str">
        <f aca="false">"12464079"</f>
        <v>12464079</v>
      </c>
      <c r="F2714" s="49" t="s">
        <v>4706</v>
      </c>
      <c r="G2714" s="49" t="n">
        <v>0</v>
      </c>
      <c r="H2714" s="0" t="n">
        <v>0</v>
      </c>
      <c r="M2714" s="51" t="s">
        <v>5868</v>
      </c>
      <c r="N2714" s="49" t="n">
        <v>0</v>
      </c>
      <c r="O2714" s="53" t="n">
        <v>45741.5256481482</v>
      </c>
      <c r="P2714" s="53" t="n">
        <v>45754.7762037037</v>
      </c>
      <c r="Q2714" s="53" t="n">
        <v>45741.5256481482</v>
      </c>
      <c r="R2714" s="0" t="n">
        <v>0</v>
      </c>
      <c r="S2714" s="51" t="s">
        <v>2376</v>
      </c>
      <c r="T2714" s="51" t="s">
        <v>2376</v>
      </c>
      <c r="U2714" s="0" t="str">
        <f aca="false">"12464079"</f>
        <v>12464079</v>
      </c>
      <c r="V2714" s="51" t="s">
        <v>2365</v>
      </c>
      <c r="W2714" s="51" t="s">
        <v>5887</v>
      </c>
      <c r="X2714" s="51" t="s">
        <v>2359</v>
      </c>
    </row>
    <row r="2715" customFormat="false" ht="14.25" hidden="true" customHeight="false" outlineLevel="0" collapsed="false">
      <c r="A2715" s="49" t="s">
        <v>2349</v>
      </c>
      <c r="B2715" s="49" t="s">
        <v>2350</v>
      </c>
      <c r="C2715" s="49" t="s">
        <v>5888</v>
      </c>
      <c r="D2715" s="49" t="s">
        <v>2352</v>
      </c>
      <c r="E2715" s="49" t="str">
        <f aca="false">"12464079"</f>
        <v>12464079</v>
      </c>
      <c r="F2715" s="49" t="s">
        <v>4706</v>
      </c>
      <c r="G2715" s="49" t="n">
        <v>0</v>
      </c>
      <c r="H2715" s="0" t="n">
        <v>0</v>
      </c>
      <c r="M2715" s="51" t="s">
        <v>5868</v>
      </c>
      <c r="N2715" s="49" t="n">
        <v>0</v>
      </c>
      <c r="O2715" s="53" t="n">
        <v>45741.5253009259</v>
      </c>
      <c r="P2715" s="53" t="n">
        <v>45754.785787037</v>
      </c>
      <c r="Q2715" s="53" t="n">
        <v>45741.5253009259</v>
      </c>
      <c r="R2715" s="0" t="n">
        <v>0</v>
      </c>
      <c r="S2715" s="51" t="s">
        <v>2376</v>
      </c>
      <c r="T2715" s="51" t="s">
        <v>2376</v>
      </c>
      <c r="U2715" s="0" t="str">
        <f aca="false">"12464079"</f>
        <v>12464079</v>
      </c>
      <c r="V2715" s="51" t="s">
        <v>2365</v>
      </c>
      <c r="W2715" s="51" t="s">
        <v>5641</v>
      </c>
      <c r="X2715" s="51" t="s">
        <v>2359</v>
      </c>
    </row>
    <row r="2716" customFormat="false" ht="14.25" hidden="true" customHeight="false" outlineLevel="0" collapsed="false">
      <c r="A2716" s="49" t="s">
        <v>2349</v>
      </c>
      <c r="B2716" s="49" t="s">
        <v>2350</v>
      </c>
      <c r="C2716" s="49" t="s">
        <v>5889</v>
      </c>
      <c r="D2716" s="49" t="s">
        <v>2352</v>
      </c>
      <c r="E2716" s="49" t="str">
        <f aca="false">"12464079"</f>
        <v>12464079</v>
      </c>
      <c r="F2716" s="49" t="s">
        <v>4706</v>
      </c>
      <c r="G2716" s="49" t="n">
        <v>0</v>
      </c>
      <c r="H2716" s="0" t="n">
        <v>0</v>
      </c>
      <c r="M2716" s="51" t="s">
        <v>5868</v>
      </c>
      <c r="N2716" s="49" t="n">
        <v>0</v>
      </c>
      <c r="O2716" s="53" t="n">
        <v>45741.5258564815</v>
      </c>
      <c r="P2716" s="53" t="n">
        <v>45754.7774074074</v>
      </c>
      <c r="Q2716" s="53" t="n">
        <v>45741.5258564815</v>
      </c>
      <c r="R2716" s="0" t="n">
        <v>0</v>
      </c>
      <c r="S2716" s="51" t="s">
        <v>2376</v>
      </c>
      <c r="T2716" s="51" t="s">
        <v>2376</v>
      </c>
      <c r="U2716" s="0" t="str">
        <f aca="false">"12464079"</f>
        <v>12464079</v>
      </c>
      <c r="V2716" s="51" t="s">
        <v>2365</v>
      </c>
      <c r="W2716" s="51" t="s">
        <v>5890</v>
      </c>
      <c r="X2716" s="51" t="s">
        <v>2359</v>
      </c>
    </row>
    <row r="2717" customFormat="false" ht="14.25" hidden="true" customHeight="false" outlineLevel="0" collapsed="false">
      <c r="A2717" s="49" t="s">
        <v>2349</v>
      </c>
      <c r="B2717" s="49" t="s">
        <v>2350</v>
      </c>
      <c r="C2717" s="49" t="s">
        <v>5891</v>
      </c>
      <c r="D2717" s="49" t="s">
        <v>2352</v>
      </c>
      <c r="E2717" s="49" t="str">
        <f aca="false">"12464079"</f>
        <v>12464079</v>
      </c>
      <c r="F2717" s="49" t="s">
        <v>4706</v>
      </c>
      <c r="G2717" s="49" t="n">
        <v>0</v>
      </c>
      <c r="H2717" s="0" t="n">
        <v>0</v>
      </c>
      <c r="M2717" s="51" t="s">
        <v>5868</v>
      </c>
      <c r="N2717" s="49" t="n">
        <v>0</v>
      </c>
      <c r="O2717" s="53" t="n">
        <v>45741.5260648148</v>
      </c>
      <c r="P2717" s="53" t="n">
        <v>45742.9378356482</v>
      </c>
      <c r="Q2717" s="53" t="n">
        <v>45741.5260648148</v>
      </c>
      <c r="R2717" s="0" t="n">
        <v>0</v>
      </c>
      <c r="S2717" s="51" t="s">
        <v>2376</v>
      </c>
      <c r="T2717" s="51" t="s">
        <v>2376</v>
      </c>
      <c r="U2717" s="0" t="str">
        <f aca="false">"12464079"</f>
        <v>12464079</v>
      </c>
      <c r="V2717" s="51" t="s">
        <v>2365</v>
      </c>
      <c r="W2717" s="51" t="s">
        <v>5892</v>
      </c>
      <c r="X2717" s="51" t="s">
        <v>2359</v>
      </c>
    </row>
    <row r="2718" customFormat="false" ht="14.25" hidden="true" customHeight="false" outlineLevel="0" collapsed="false">
      <c r="A2718" s="49" t="s">
        <v>2349</v>
      </c>
      <c r="B2718" s="49" t="s">
        <v>2350</v>
      </c>
      <c r="C2718" s="49" t="s">
        <v>5893</v>
      </c>
      <c r="D2718" s="49" t="s">
        <v>2352</v>
      </c>
      <c r="E2718" s="49" t="str">
        <f aca="false">"12464079"</f>
        <v>12464079</v>
      </c>
      <c r="F2718" s="49" t="s">
        <v>4706</v>
      </c>
      <c r="G2718" s="49" t="n">
        <v>0</v>
      </c>
      <c r="H2718" s="0" t="n">
        <v>0</v>
      </c>
      <c r="M2718" s="51" t="s">
        <v>5868</v>
      </c>
      <c r="N2718" s="49" t="n">
        <v>0</v>
      </c>
      <c r="O2718" s="53" t="n">
        <v>45741.5265162037</v>
      </c>
      <c r="P2718" s="53" t="n">
        <v>45755.953587963</v>
      </c>
      <c r="Q2718" s="53" t="n">
        <v>45741.5265162037</v>
      </c>
      <c r="R2718" s="0" t="n">
        <v>0</v>
      </c>
      <c r="S2718" s="51" t="s">
        <v>2376</v>
      </c>
      <c r="T2718" s="51" t="s">
        <v>2376</v>
      </c>
      <c r="U2718" s="0" t="str">
        <f aca="false">"12464079"</f>
        <v>12464079</v>
      </c>
      <c r="V2718" s="51" t="s">
        <v>2365</v>
      </c>
      <c r="W2718" s="51" t="s">
        <v>5894</v>
      </c>
      <c r="X2718" s="51" t="s">
        <v>2359</v>
      </c>
    </row>
    <row r="2719" customFormat="false" ht="14.25" hidden="true" customHeight="false" outlineLevel="0" collapsed="false">
      <c r="A2719" s="49" t="s">
        <v>2349</v>
      </c>
      <c r="B2719" s="49" t="s">
        <v>2350</v>
      </c>
      <c r="C2719" s="49" t="s">
        <v>5895</v>
      </c>
      <c r="D2719" s="49" t="s">
        <v>2352</v>
      </c>
      <c r="E2719" s="49" t="str">
        <f aca="false">"12464079"</f>
        <v>12464079</v>
      </c>
      <c r="F2719" s="49" t="s">
        <v>4706</v>
      </c>
      <c r="G2719" s="49" t="n">
        <v>0</v>
      </c>
      <c r="H2719" s="0" t="n">
        <v>0</v>
      </c>
      <c r="M2719" s="51" t="s">
        <v>5868</v>
      </c>
      <c r="N2719" s="49" t="n">
        <v>0</v>
      </c>
      <c r="O2719" s="53" t="n">
        <v>45741.5271296296</v>
      </c>
      <c r="P2719" s="53" t="n">
        <v>45756.8959953704</v>
      </c>
      <c r="Q2719" s="53" t="n">
        <v>45741.5271296296</v>
      </c>
      <c r="R2719" s="0" t="n">
        <v>0</v>
      </c>
      <c r="S2719" s="51" t="s">
        <v>2376</v>
      </c>
      <c r="T2719" s="51" t="s">
        <v>2376</v>
      </c>
      <c r="U2719" s="0" t="str">
        <f aca="false">"12464079"</f>
        <v>12464079</v>
      </c>
      <c r="V2719" s="51" t="s">
        <v>2365</v>
      </c>
      <c r="W2719" s="51" t="s">
        <v>5896</v>
      </c>
      <c r="X2719" s="51" t="s">
        <v>2359</v>
      </c>
    </row>
    <row r="2720" customFormat="false" ht="14.25" hidden="true" customHeight="false" outlineLevel="0" collapsed="false">
      <c r="A2720" s="49" t="s">
        <v>2349</v>
      </c>
      <c r="B2720" s="49" t="s">
        <v>2350</v>
      </c>
      <c r="C2720" s="49" t="s">
        <v>5897</v>
      </c>
      <c r="D2720" s="49" t="s">
        <v>2352</v>
      </c>
      <c r="E2720" s="49" t="str">
        <f aca="false">"12464079"</f>
        <v>12464079</v>
      </c>
      <c r="F2720" s="49" t="s">
        <v>4706</v>
      </c>
      <c r="G2720" s="49" t="n">
        <v>0</v>
      </c>
      <c r="H2720" s="0" t="n">
        <v>0</v>
      </c>
      <c r="M2720" s="51" t="s">
        <v>5868</v>
      </c>
      <c r="N2720" s="49" t="n">
        <v>0</v>
      </c>
      <c r="O2720" s="53" t="n">
        <v>45741.527349537</v>
      </c>
      <c r="P2720" s="53" t="n">
        <v>45756.8966319444</v>
      </c>
      <c r="Q2720" s="53" t="n">
        <v>45741.527349537</v>
      </c>
      <c r="R2720" s="0" t="n">
        <v>0</v>
      </c>
      <c r="S2720" s="51" t="s">
        <v>2376</v>
      </c>
      <c r="T2720" s="51" t="s">
        <v>2376</v>
      </c>
      <c r="U2720" s="0" t="str">
        <f aca="false">"12464079"</f>
        <v>12464079</v>
      </c>
      <c r="V2720" s="51" t="s">
        <v>2365</v>
      </c>
      <c r="W2720" s="51" t="s">
        <v>5898</v>
      </c>
      <c r="X2720" s="51" t="s">
        <v>2359</v>
      </c>
    </row>
    <row r="2721" customFormat="false" ht="14.25" hidden="true" customHeight="false" outlineLevel="0" collapsed="false">
      <c r="A2721" s="49" t="s">
        <v>2349</v>
      </c>
      <c r="B2721" s="49" t="s">
        <v>2350</v>
      </c>
      <c r="C2721" s="49" t="s">
        <v>5899</v>
      </c>
      <c r="D2721" s="49" t="s">
        <v>2352</v>
      </c>
      <c r="E2721" s="49" t="str">
        <f aca="false">"12464079"</f>
        <v>12464079</v>
      </c>
      <c r="F2721" s="49" t="s">
        <v>4706</v>
      </c>
      <c r="G2721" s="49" t="n">
        <v>0</v>
      </c>
      <c r="H2721" s="0" t="n">
        <v>0</v>
      </c>
      <c r="M2721" s="51" t="s">
        <v>5868</v>
      </c>
      <c r="N2721" s="49" t="n">
        <v>0</v>
      </c>
      <c r="O2721" s="53" t="n">
        <v>45741.5280902778</v>
      </c>
      <c r="P2721" s="53" t="n">
        <v>45742.9383101852</v>
      </c>
      <c r="Q2721" s="53" t="n">
        <v>45741.5280902778</v>
      </c>
      <c r="R2721" s="0" t="n">
        <v>0</v>
      </c>
      <c r="S2721" s="51" t="s">
        <v>2376</v>
      </c>
      <c r="T2721" s="51" t="s">
        <v>2376</v>
      </c>
      <c r="U2721" s="0" t="str">
        <f aca="false">"12464079"</f>
        <v>12464079</v>
      </c>
      <c r="V2721" s="51" t="s">
        <v>2365</v>
      </c>
      <c r="W2721" s="51" t="s">
        <v>4266</v>
      </c>
      <c r="X2721" s="51" t="s">
        <v>2359</v>
      </c>
    </row>
    <row r="2722" customFormat="false" ht="14.25" hidden="true" customHeight="false" outlineLevel="0" collapsed="false">
      <c r="A2722" s="49" t="s">
        <v>2349</v>
      </c>
      <c r="B2722" s="49" t="s">
        <v>2350</v>
      </c>
      <c r="C2722" s="49" t="s">
        <v>5900</v>
      </c>
      <c r="D2722" s="49" t="s">
        <v>2352</v>
      </c>
      <c r="E2722" s="49" t="str">
        <f aca="false">"12464079"</f>
        <v>12464079</v>
      </c>
      <c r="F2722" s="49" t="s">
        <v>4706</v>
      </c>
      <c r="G2722" s="49" t="n">
        <v>0</v>
      </c>
      <c r="H2722" s="0" t="n">
        <v>0</v>
      </c>
      <c r="M2722" s="51" t="s">
        <v>5868</v>
      </c>
      <c r="N2722" s="49" t="n">
        <v>0</v>
      </c>
      <c r="O2722" s="53" t="n">
        <v>45741.5283217593</v>
      </c>
      <c r="P2722" s="53" t="n">
        <v>45742.9384490741</v>
      </c>
      <c r="Q2722" s="53" t="n">
        <v>45741.5283217593</v>
      </c>
      <c r="R2722" s="0" t="n">
        <v>0</v>
      </c>
      <c r="S2722" s="51" t="s">
        <v>2376</v>
      </c>
      <c r="T2722" s="51" t="s">
        <v>2376</v>
      </c>
      <c r="U2722" s="0" t="str">
        <f aca="false">"12464079"</f>
        <v>12464079</v>
      </c>
      <c r="V2722" s="51" t="s">
        <v>2365</v>
      </c>
      <c r="W2722" s="51" t="s">
        <v>5901</v>
      </c>
      <c r="X2722" s="51" t="s">
        <v>2359</v>
      </c>
    </row>
    <row r="2723" customFormat="false" ht="14.25" hidden="true" customHeight="false" outlineLevel="0" collapsed="false">
      <c r="A2723" s="49" t="s">
        <v>2349</v>
      </c>
      <c r="B2723" s="49" t="s">
        <v>2350</v>
      </c>
      <c r="C2723" s="49" t="s">
        <v>5902</v>
      </c>
      <c r="D2723" s="49" t="s">
        <v>2352</v>
      </c>
      <c r="E2723" s="49" t="str">
        <f aca="false">"12464079"</f>
        <v>12464079</v>
      </c>
      <c r="F2723" s="49" t="s">
        <v>4706</v>
      </c>
      <c r="G2723" s="49" t="n">
        <v>0</v>
      </c>
      <c r="H2723" s="0" t="n">
        <v>0</v>
      </c>
      <c r="M2723" s="51" t="s">
        <v>5868</v>
      </c>
      <c r="N2723" s="49" t="n">
        <v>0</v>
      </c>
      <c r="O2723" s="53" t="n">
        <v>45741.5286921296</v>
      </c>
      <c r="P2723" s="53" t="n">
        <v>45762.7333217593</v>
      </c>
      <c r="Q2723" s="53" t="n">
        <v>45741.5286921296</v>
      </c>
      <c r="R2723" s="0" t="n">
        <v>0</v>
      </c>
      <c r="S2723" s="51" t="s">
        <v>2376</v>
      </c>
      <c r="T2723" s="51" t="s">
        <v>2376</v>
      </c>
      <c r="U2723" s="0" t="str">
        <f aca="false">"12464079"</f>
        <v>12464079</v>
      </c>
      <c r="V2723" s="51" t="s">
        <v>2365</v>
      </c>
      <c r="W2723" s="51" t="s">
        <v>5903</v>
      </c>
      <c r="X2723" s="51" t="s">
        <v>2359</v>
      </c>
    </row>
    <row r="2724" customFormat="false" ht="14.25" hidden="true" customHeight="false" outlineLevel="0" collapsed="false">
      <c r="A2724" s="49" t="s">
        <v>2349</v>
      </c>
      <c r="B2724" s="49" t="s">
        <v>2350</v>
      </c>
      <c r="C2724" s="49" t="s">
        <v>5904</v>
      </c>
      <c r="D2724" s="49" t="s">
        <v>2352</v>
      </c>
      <c r="E2724" s="49" t="str">
        <f aca="false">"12464079"</f>
        <v>12464079</v>
      </c>
      <c r="F2724" s="49" t="s">
        <v>4706</v>
      </c>
      <c r="G2724" s="49" t="n">
        <v>0</v>
      </c>
      <c r="H2724" s="0" t="n">
        <v>0</v>
      </c>
      <c r="M2724" s="51" t="s">
        <v>5868</v>
      </c>
      <c r="N2724" s="49" t="n">
        <v>0</v>
      </c>
      <c r="O2724" s="53" t="n">
        <v>45741.5289236111</v>
      </c>
      <c r="P2724" s="53" t="n">
        <v>45742.9310416667</v>
      </c>
      <c r="Q2724" s="53" t="n">
        <v>45741.5289236111</v>
      </c>
      <c r="R2724" s="0" t="n">
        <v>0</v>
      </c>
      <c r="S2724" s="51" t="s">
        <v>2376</v>
      </c>
      <c r="T2724" s="51" t="s">
        <v>2376</v>
      </c>
      <c r="U2724" s="0" t="str">
        <f aca="false">"12464079"</f>
        <v>12464079</v>
      </c>
      <c r="V2724" s="51" t="s">
        <v>2365</v>
      </c>
      <c r="W2724" s="51" t="s">
        <v>5905</v>
      </c>
      <c r="X2724" s="51" t="s">
        <v>2359</v>
      </c>
    </row>
    <row r="2725" customFormat="false" ht="14.25" hidden="true" customHeight="false" outlineLevel="0" collapsed="false">
      <c r="A2725" s="49" t="s">
        <v>2349</v>
      </c>
      <c r="B2725" s="49" t="s">
        <v>2350</v>
      </c>
      <c r="C2725" s="49" t="s">
        <v>5906</v>
      </c>
      <c r="D2725" s="49" t="s">
        <v>2352</v>
      </c>
      <c r="E2725" s="49" t="str">
        <f aca="false">"12464079"</f>
        <v>12464079</v>
      </c>
      <c r="F2725" s="49" t="s">
        <v>4706</v>
      </c>
      <c r="G2725" s="49" t="n">
        <v>0</v>
      </c>
      <c r="H2725" s="0" t="n">
        <v>0</v>
      </c>
      <c r="M2725" s="51" t="s">
        <v>5868</v>
      </c>
      <c r="N2725" s="49" t="n">
        <v>0</v>
      </c>
      <c r="O2725" s="53" t="n">
        <v>45741.5291087963</v>
      </c>
      <c r="P2725" s="53" t="n">
        <v>45742.9391203704</v>
      </c>
      <c r="Q2725" s="53" t="n">
        <v>45741.5291087963</v>
      </c>
      <c r="R2725" s="0" t="n">
        <v>0</v>
      </c>
      <c r="S2725" s="51" t="s">
        <v>2376</v>
      </c>
      <c r="T2725" s="51" t="s">
        <v>2376</v>
      </c>
      <c r="U2725" s="0" t="str">
        <f aca="false">"12464079"</f>
        <v>12464079</v>
      </c>
      <c r="V2725" s="51" t="s">
        <v>2365</v>
      </c>
      <c r="W2725" s="51" t="s">
        <v>3868</v>
      </c>
      <c r="X2725" s="51" t="s">
        <v>2359</v>
      </c>
    </row>
    <row r="2726" customFormat="false" ht="14.25" hidden="true" customHeight="false" outlineLevel="0" collapsed="false">
      <c r="A2726" s="49" t="s">
        <v>2349</v>
      </c>
      <c r="B2726" s="49" t="s">
        <v>2350</v>
      </c>
      <c r="C2726" s="49" t="s">
        <v>5907</v>
      </c>
      <c r="D2726" s="49" t="s">
        <v>2352</v>
      </c>
      <c r="E2726" s="49" t="str">
        <f aca="false">"12464079"</f>
        <v>12464079</v>
      </c>
      <c r="F2726" s="49" t="s">
        <v>4706</v>
      </c>
      <c r="G2726" s="49" t="n">
        <v>0</v>
      </c>
      <c r="H2726" s="0" t="n">
        <v>0</v>
      </c>
      <c r="M2726" s="51" t="s">
        <v>5868</v>
      </c>
      <c r="N2726" s="49" t="n">
        <v>0</v>
      </c>
      <c r="O2726" s="53" t="n">
        <v>45741.5294675926</v>
      </c>
      <c r="P2726" s="53" t="n">
        <v>45749.5636921296</v>
      </c>
      <c r="Q2726" s="53" t="n">
        <v>45741.5294675926</v>
      </c>
      <c r="R2726" s="0" t="n">
        <v>0</v>
      </c>
      <c r="S2726" s="51" t="s">
        <v>2376</v>
      </c>
      <c r="T2726" s="51" t="s">
        <v>2376</v>
      </c>
      <c r="U2726" s="0" t="str">
        <f aca="false">"12464079"</f>
        <v>12464079</v>
      </c>
      <c r="V2726" s="51" t="s">
        <v>2365</v>
      </c>
      <c r="W2726" s="51" t="s">
        <v>4871</v>
      </c>
      <c r="X2726" s="51" t="s">
        <v>2359</v>
      </c>
    </row>
    <row r="2727" customFormat="false" ht="14.25" hidden="true" customHeight="false" outlineLevel="0" collapsed="false">
      <c r="A2727" s="49" t="s">
        <v>2349</v>
      </c>
      <c r="B2727" s="49" t="s">
        <v>2350</v>
      </c>
      <c r="C2727" s="49" t="s">
        <v>5908</v>
      </c>
      <c r="D2727" s="49" t="s">
        <v>2352</v>
      </c>
      <c r="E2727" s="49" t="s">
        <v>4166</v>
      </c>
      <c r="F2727" s="49" t="s">
        <v>4167</v>
      </c>
      <c r="G2727" s="49" t="n">
        <v>0</v>
      </c>
      <c r="H2727" s="0" t="n">
        <v>0</v>
      </c>
      <c r="M2727" s="51" t="s">
        <v>5909</v>
      </c>
      <c r="N2727" s="49" t="n">
        <v>0</v>
      </c>
      <c r="O2727" s="53" t="n">
        <v>45701.5765856481</v>
      </c>
      <c r="P2727" s="53" t="n">
        <v>45704.48125</v>
      </c>
      <c r="Q2727" s="53" t="n">
        <v>45701.5765856481</v>
      </c>
      <c r="R2727" s="0" t="n">
        <v>0</v>
      </c>
      <c r="S2727" s="51" t="s">
        <v>2356</v>
      </c>
      <c r="T2727" s="51" t="s">
        <v>2356</v>
      </c>
      <c r="U2727" s="51" t="s">
        <v>4166</v>
      </c>
      <c r="V2727" s="51" t="s">
        <v>2365</v>
      </c>
      <c r="W2727" s="51" t="s">
        <v>4604</v>
      </c>
      <c r="X2727" s="51" t="s">
        <v>2359</v>
      </c>
    </row>
    <row r="2728" customFormat="false" ht="14.25" hidden="true" customHeight="false" outlineLevel="0" collapsed="false">
      <c r="A2728" s="49" t="s">
        <v>2349</v>
      </c>
      <c r="B2728" s="49" t="s">
        <v>2350</v>
      </c>
      <c r="C2728" s="49" t="s">
        <v>5910</v>
      </c>
      <c r="D2728" s="49" t="s">
        <v>2352</v>
      </c>
      <c r="E2728" s="49" t="s">
        <v>4166</v>
      </c>
      <c r="F2728" s="49" t="s">
        <v>4167</v>
      </c>
      <c r="G2728" s="49" t="n">
        <v>0</v>
      </c>
      <c r="H2728" s="0" t="n">
        <v>0</v>
      </c>
      <c r="M2728" s="51" t="s">
        <v>5909</v>
      </c>
      <c r="N2728" s="49" t="n">
        <v>0</v>
      </c>
      <c r="O2728" s="53" t="n">
        <v>45701.5765625</v>
      </c>
      <c r="P2728" s="53" t="n">
        <v>45704.481099537</v>
      </c>
      <c r="Q2728" s="53" t="n">
        <v>45701.5765625</v>
      </c>
      <c r="R2728" s="0" t="n">
        <v>0</v>
      </c>
      <c r="S2728" s="51" t="s">
        <v>2356</v>
      </c>
      <c r="T2728" s="51" t="s">
        <v>2356</v>
      </c>
      <c r="U2728" s="51" t="s">
        <v>4166</v>
      </c>
      <c r="V2728" s="51" t="s">
        <v>2365</v>
      </c>
      <c r="W2728" s="51" t="s">
        <v>5490</v>
      </c>
      <c r="X2728" s="51" t="s">
        <v>2359</v>
      </c>
    </row>
    <row r="2729" customFormat="false" ht="14.25" hidden="true" customHeight="false" outlineLevel="0" collapsed="false">
      <c r="A2729" s="49" t="s">
        <v>2349</v>
      </c>
      <c r="B2729" s="49" t="s">
        <v>2350</v>
      </c>
      <c r="C2729" s="49" t="s">
        <v>5911</v>
      </c>
      <c r="D2729" s="49" t="s">
        <v>2352</v>
      </c>
      <c r="E2729" s="49" t="s">
        <v>4166</v>
      </c>
      <c r="F2729" s="49" t="s">
        <v>4167</v>
      </c>
      <c r="G2729" s="49" t="n">
        <v>0</v>
      </c>
      <c r="H2729" s="0" t="n">
        <v>0</v>
      </c>
      <c r="M2729" s="51" t="s">
        <v>5909</v>
      </c>
      <c r="N2729" s="49" t="n">
        <v>0</v>
      </c>
      <c r="O2729" s="53" t="n">
        <v>45701.5765393519</v>
      </c>
      <c r="P2729" s="53" t="n">
        <v>45719.5923726852</v>
      </c>
      <c r="Q2729" s="53" t="n">
        <v>45701.5765393519</v>
      </c>
      <c r="R2729" s="0" t="n">
        <v>0</v>
      </c>
      <c r="S2729" s="51" t="s">
        <v>2356</v>
      </c>
      <c r="T2729" s="51" t="s">
        <v>2356</v>
      </c>
      <c r="U2729" s="51" t="s">
        <v>4166</v>
      </c>
      <c r="V2729" s="51" t="s">
        <v>2365</v>
      </c>
      <c r="W2729" s="51" t="s">
        <v>5476</v>
      </c>
      <c r="X2729" s="51" t="s">
        <v>2359</v>
      </c>
    </row>
    <row r="2730" customFormat="false" ht="14.25" hidden="true" customHeight="false" outlineLevel="0" collapsed="false">
      <c r="A2730" s="49" t="s">
        <v>2349</v>
      </c>
      <c r="B2730" s="49" t="s">
        <v>2350</v>
      </c>
      <c r="C2730" s="49" t="s">
        <v>5912</v>
      </c>
      <c r="D2730" s="49" t="s">
        <v>2352</v>
      </c>
      <c r="E2730" s="49" t="s">
        <v>4166</v>
      </c>
      <c r="F2730" s="49" t="s">
        <v>4167</v>
      </c>
      <c r="G2730" s="49" t="n">
        <v>0</v>
      </c>
      <c r="H2730" s="0" t="n">
        <v>0</v>
      </c>
      <c r="M2730" s="51" t="s">
        <v>5909</v>
      </c>
      <c r="N2730" s="49" t="n">
        <v>0</v>
      </c>
      <c r="O2730" s="53" t="n">
        <v>45701.5765162037</v>
      </c>
      <c r="P2730" s="53" t="n">
        <v>45719.5922685185</v>
      </c>
      <c r="Q2730" s="53" t="n">
        <v>45701.5765162037</v>
      </c>
      <c r="R2730" s="0" t="n">
        <v>0</v>
      </c>
      <c r="S2730" s="51" t="s">
        <v>2356</v>
      </c>
      <c r="T2730" s="51" t="s">
        <v>2356</v>
      </c>
      <c r="U2730" s="51" t="s">
        <v>4166</v>
      </c>
      <c r="V2730" s="51" t="s">
        <v>2365</v>
      </c>
      <c r="W2730" s="51" t="s">
        <v>5473</v>
      </c>
      <c r="X2730" s="51" t="s">
        <v>2359</v>
      </c>
    </row>
    <row r="2731" customFormat="false" ht="14.25" hidden="true" customHeight="false" outlineLevel="0" collapsed="false">
      <c r="A2731" s="49" t="s">
        <v>2349</v>
      </c>
      <c r="B2731" s="49" t="s">
        <v>2350</v>
      </c>
      <c r="C2731" s="49" t="s">
        <v>5913</v>
      </c>
      <c r="D2731" s="49" t="s">
        <v>2352</v>
      </c>
      <c r="E2731" s="49" t="s">
        <v>4166</v>
      </c>
      <c r="F2731" s="49" t="s">
        <v>4167</v>
      </c>
      <c r="G2731" s="49" t="n">
        <v>0</v>
      </c>
      <c r="H2731" s="0" t="n">
        <v>0</v>
      </c>
      <c r="M2731" s="51" t="s">
        <v>5909</v>
      </c>
      <c r="N2731" s="49" t="n">
        <v>0</v>
      </c>
      <c r="O2731" s="53" t="n">
        <v>45701.5764814815</v>
      </c>
      <c r="P2731" s="53" t="n">
        <v>45704.4813194444</v>
      </c>
      <c r="Q2731" s="53" t="n">
        <v>45701.5764814815</v>
      </c>
      <c r="R2731" s="0" t="n">
        <v>0</v>
      </c>
      <c r="S2731" s="51" t="s">
        <v>2356</v>
      </c>
      <c r="T2731" s="51" t="s">
        <v>2356</v>
      </c>
      <c r="U2731" s="51" t="s">
        <v>4166</v>
      </c>
      <c r="V2731" s="51" t="s">
        <v>2365</v>
      </c>
      <c r="W2731" s="51" t="s">
        <v>5469</v>
      </c>
      <c r="X2731" s="51" t="s">
        <v>2359</v>
      </c>
    </row>
    <row r="2732" customFormat="false" ht="14.25" hidden="true" customHeight="false" outlineLevel="0" collapsed="false">
      <c r="A2732" s="49" t="s">
        <v>2349</v>
      </c>
      <c r="B2732" s="49" t="s">
        <v>2350</v>
      </c>
      <c r="C2732" s="49" t="s">
        <v>5914</v>
      </c>
      <c r="D2732" s="49" t="s">
        <v>2352</v>
      </c>
      <c r="E2732" s="49" t="s">
        <v>4166</v>
      </c>
      <c r="F2732" s="49" t="s">
        <v>4167</v>
      </c>
      <c r="G2732" s="49" t="n">
        <v>0</v>
      </c>
      <c r="H2732" s="0" t="n">
        <v>0</v>
      </c>
      <c r="M2732" s="51" t="s">
        <v>5909</v>
      </c>
      <c r="N2732" s="49" t="n">
        <v>0</v>
      </c>
      <c r="O2732" s="53" t="n">
        <v>45701.5764699074</v>
      </c>
      <c r="P2732" s="53" t="n">
        <v>45704.481400463</v>
      </c>
      <c r="Q2732" s="53" t="n">
        <v>45701.5764699074</v>
      </c>
      <c r="R2732" s="0" t="n">
        <v>0</v>
      </c>
      <c r="S2732" s="51" t="s">
        <v>2356</v>
      </c>
      <c r="T2732" s="51" t="s">
        <v>2356</v>
      </c>
      <c r="U2732" s="51" t="s">
        <v>4166</v>
      </c>
      <c r="V2732" s="51" t="s">
        <v>2365</v>
      </c>
      <c r="W2732" s="51" t="s">
        <v>5915</v>
      </c>
      <c r="X2732" s="51" t="s">
        <v>2359</v>
      </c>
    </row>
    <row r="2733" customFormat="false" ht="14.25" hidden="true" customHeight="false" outlineLevel="0" collapsed="false">
      <c r="A2733" s="49" t="s">
        <v>2349</v>
      </c>
      <c r="B2733" s="49" t="s">
        <v>2350</v>
      </c>
      <c r="C2733" s="49" t="s">
        <v>5916</v>
      </c>
      <c r="D2733" s="49" t="s">
        <v>2352</v>
      </c>
      <c r="E2733" s="49" t="s">
        <v>4166</v>
      </c>
      <c r="F2733" s="49" t="s">
        <v>4167</v>
      </c>
      <c r="G2733" s="49" t="n">
        <v>0</v>
      </c>
      <c r="H2733" s="0" t="n">
        <v>0</v>
      </c>
      <c r="M2733" s="51" t="s">
        <v>5909</v>
      </c>
      <c r="N2733" s="49" t="n">
        <v>0</v>
      </c>
      <c r="O2733" s="53" t="n">
        <v>45701.5764351852</v>
      </c>
      <c r="P2733" s="53" t="n">
        <v>45704.4810069444</v>
      </c>
      <c r="Q2733" s="53" t="n">
        <v>45701.5764351852</v>
      </c>
      <c r="R2733" s="0" t="n">
        <v>0</v>
      </c>
      <c r="S2733" s="51" t="s">
        <v>2356</v>
      </c>
      <c r="T2733" s="51" t="s">
        <v>2356</v>
      </c>
      <c r="U2733" s="51" t="s">
        <v>4166</v>
      </c>
      <c r="V2733" s="51" t="s">
        <v>2365</v>
      </c>
      <c r="W2733" s="51" t="s">
        <v>5917</v>
      </c>
      <c r="X2733" s="51" t="s">
        <v>2359</v>
      </c>
    </row>
    <row r="2734" customFormat="false" ht="14.25" hidden="true" customHeight="false" outlineLevel="0" collapsed="false">
      <c r="A2734" s="49" t="s">
        <v>2349</v>
      </c>
      <c r="B2734" s="49" t="s">
        <v>2350</v>
      </c>
      <c r="C2734" s="49" t="s">
        <v>5918</v>
      </c>
      <c r="D2734" s="49" t="s">
        <v>2352</v>
      </c>
      <c r="E2734" s="49" t="s">
        <v>4166</v>
      </c>
      <c r="F2734" s="49" t="s">
        <v>4167</v>
      </c>
      <c r="G2734" s="49" t="n">
        <v>0</v>
      </c>
      <c r="H2734" s="0" t="n">
        <v>0</v>
      </c>
      <c r="M2734" s="51" t="s">
        <v>5909</v>
      </c>
      <c r="N2734" s="49" t="n">
        <v>0</v>
      </c>
      <c r="O2734" s="53" t="n">
        <v>45701.576412037</v>
      </c>
      <c r="P2734" s="53" t="n">
        <v>45719.5924652778</v>
      </c>
      <c r="Q2734" s="53" t="n">
        <v>45701.576412037</v>
      </c>
      <c r="R2734" s="0" t="n">
        <v>0</v>
      </c>
      <c r="S2734" s="51" t="s">
        <v>2356</v>
      </c>
      <c r="T2734" s="51" t="s">
        <v>2356</v>
      </c>
      <c r="U2734" s="51" t="s">
        <v>4166</v>
      </c>
      <c r="V2734" s="51" t="s">
        <v>2365</v>
      </c>
      <c r="W2734" s="51" t="s">
        <v>5919</v>
      </c>
      <c r="X2734" s="51" t="s">
        <v>2359</v>
      </c>
    </row>
    <row r="2735" customFormat="false" ht="14.25" hidden="true" customHeight="false" outlineLevel="0" collapsed="false">
      <c r="A2735" s="49" t="s">
        <v>2349</v>
      </c>
      <c r="B2735" s="49" t="s">
        <v>2350</v>
      </c>
      <c r="C2735" s="49" t="s">
        <v>5920</v>
      </c>
      <c r="D2735" s="49" t="s">
        <v>2352</v>
      </c>
      <c r="E2735" s="49" t="str">
        <f aca="false">"12496983"</f>
        <v>12496983</v>
      </c>
      <c r="F2735" s="49" t="s">
        <v>4880</v>
      </c>
      <c r="G2735" s="49" t="n">
        <v>0</v>
      </c>
      <c r="H2735" s="0" t="n">
        <v>0</v>
      </c>
      <c r="M2735" s="51" t="s">
        <v>5921</v>
      </c>
      <c r="N2735" s="49" t="n">
        <v>0</v>
      </c>
      <c r="O2735" s="53" t="n">
        <v>45741.621412037</v>
      </c>
      <c r="P2735" s="53" t="n">
        <v>45876.8133333333</v>
      </c>
      <c r="Q2735" s="53" t="n">
        <v>45741.621412037</v>
      </c>
      <c r="R2735" s="0" t="n">
        <v>0</v>
      </c>
      <c r="S2735" s="51" t="s">
        <v>2376</v>
      </c>
      <c r="T2735" s="51" t="s">
        <v>2376</v>
      </c>
      <c r="U2735" s="0" t="str">
        <f aca="false">"12496983"</f>
        <v>12496983</v>
      </c>
      <c r="V2735" s="51" t="s">
        <v>2365</v>
      </c>
      <c r="W2735" s="51" t="s">
        <v>5922</v>
      </c>
      <c r="X2735" s="51" t="s">
        <v>2359</v>
      </c>
    </row>
    <row r="2736" customFormat="false" ht="14.25" hidden="true" customHeight="false" outlineLevel="0" collapsed="false">
      <c r="A2736" s="49" t="s">
        <v>2349</v>
      </c>
      <c r="B2736" s="49" t="s">
        <v>2350</v>
      </c>
      <c r="C2736" s="49" t="s">
        <v>5923</v>
      </c>
      <c r="D2736" s="49" t="s">
        <v>2352</v>
      </c>
      <c r="E2736" s="49" t="str">
        <f aca="false">"12464079"</f>
        <v>12464079</v>
      </c>
      <c r="F2736" s="49" t="s">
        <v>4706</v>
      </c>
      <c r="G2736" s="49" t="n">
        <v>0</v>
      </c>
      <c r="H2736" s="0" t="n">
        <v>0</v>
      </c>
      <c r="M2736" s="51" t="s">
        <v>5921</v>
      </c>
      <c r="N2736" s="49" t="n">
        <v>0</v>
      </c>
      <c r="O2736" s="53" t="n">
        <v>45741.6219328704</v>
      </c>
      <c r="P2736" s="53" t="n">
        <v>45743.0143287037</v>
      </c>
      <c r="Q2736" s="53" t="n">
        <v>45741.6219328704</v>
      </c>
      <c r="R2736" s="0" t="n">
        <v>0</v>
      </c>
      <c r="S2736" s="51" t="s">
        <v>2376</v>
      </c>
      <c r="T2736" s="51" t="s">
        <v>2376</v>
      </c>
      <c r="U2736" s="0" t="str">
        <f aca="false">"12464079"</f>
        <v>12464079</v>
      </c>
      <c r="V2736" s="51" t="s">
        <v>2365</v>
      </c>
      <c r="W2736" s="51" t="s">
        <v>5924</v>
      </c>
      <c r="X2736" s="51" t="s">
        <v>2359</v>
      </c>
    </row>
    <row r="2737" customFormat="false" ht="14.25" hidden="true" customHeight="false" outlineLevel="0" collapsed="false">
      <c r="A2737" s="49" t="s">
        <v>2349</v>
      </c>
      <c r="B2737" s="49" t="s">
        <v>2350</v>
      </c>
      <c r="C2737" s="49" t="s">
        <v>5925</v>
      </c>
      <c r="D2737" s="49" t="s">
        <v>2352</v>
      </c>
      <c r="E2737" s="49" t="str">
        <f aca="false">"12464079"</f>
        <v>12464079</v>
      </c>
      <c r="F2737" s="49" t="s">
        <v>4706</v>
      </c>
      <c r="G2737" s="49" t="n">
        <v>0</v>
      </c>
      <c r="H2737" s="0" t="n">
        <v>0</v>
      </c>
      <c r="M2737" s="51" t="s">
        <v>5921</v>
      </c>
      <c r="N2737" s="49" t="n">
        <v>0</v>
      </c>
      <c r="O2737" s="53" t="n">
        <v>45741.6216435185</v>
      </c>
      <c r="P2737" s="53" t="n">
        <v>45742.9329513889</v>
      </c>
      <c r="Q2737" s="53" t="n">
        <v>45741.6216435185</v>
      </c>
      <c r="R2737" s="0" t="n">
        <v>0</v>
      </c>
      <c r="S2737" s="51" t="s">
        <v>2376</v>
      </c>
      <c r="T2737" s="51" t="s">
        <v>2376</v>
      </c>
      <c r="U2737" s="0" t="str">
        <f aca="false">"12464079"</f>
        <v>12464079</v>
      </c>
      <c r="V2737" s="51" t="s">
        <v>2365</v>
      </c>
      <c r="W2737" s="51" t="s">
        <v>5926</v>
      </c>
      <c r="X2737" s="51" t="s">
        <v>2359</v>
      </c>
    </row>
    <row r="2738" customFormat="false" ht="14.25" hidden="true" customHeight="false" outlineLevel="0" collapsed="false">
      <c r="A2738" s="49" t="s">
        <v>2349</v>
      </c>
      <c r="B2738" s="49" t="s">
        <v>2350</v>
      </c>
      <c r="C2738" s="49" t="s">
        <v>5927</v>
      </c>
      <c r="D2738" s="49" t="s">
        <v>2352</v>
      </c>
      <c r="E2738" s="49" t="str">
        <f aca="false">"12452482"</f>
        <v>12452482</v>
      </c>
      <c r="F2738" s="49" t="s">
        <v>4179</v>
      </c>
      <c r="G2738" s="49" t="n">
        <v>0</v>
      </c>
      <c r="H2738" s="0" t="n">
        <v>0</v>
      </c>
      <c r="M2738" s="51" t="s">
        <v>5921</v>
      </c>
      <c r="N2738" s="49" t="n">
        <v>0</v>
      </c>
      <c r="O2738" s="53" t="n">
        <v>45741.6162268519</v>
      </c>
      <c r="P2738" s="53" t="n">
        <v>45789.3658796296</v>
      </c>
      <c r="Q2738" s="53" t="n">
        <v>45741.6162268519</v>
      </c>
      <c r="R2738" s="0" t="n">
        <v>0</v>
      </c>
      <c r="S2738" s="51" t="s">
        <v>2376</v>
      </c>
      <c r="T2738" s="51" t="s">
        <v>2376</v>
      </c>
      <c r="U2738" s="0" t="str">
        <f aca="false">"12452482"</f>
        <v>12452482</v>
      </c>
      <c r="V2738" s="51" t="s">
        <v>2365</v>
      </c>
      <c r="W2738" s="51" t="s">
        <v>4641</v>
      </c>
      <c r="X2738" s="51" t="s">
        <v>2359</v>
      </c>
    </row>
    <row r="2739" customFormat="false" ht="14.25" hidden="true" customHeight="false" outlineLevel="0" collapsed="false">
      <c r="A2739" s="49" t="s">
        <v>2349</v>
      </c>
      <c r="B2739" s="49" t="s">
        <v>2350</v>
      </c>
      <c r="C2739" s="49" t="s">
        <v>5928</v>
      </c>
      <c r="D2739" s="49" t="s">
        <v>2352</v>
      </c>
      <c r="E2739" s="49" t="str">
        <f aca="false">"12452482"</f>
        <v>12452482</v>
      </c>
      <c r="F2739" s="49" t="s">
        <v>4179</v>
      </c>
      <c r="G2739" s="49" t="n">
        <v>0</v>
      </c>
      <c r="H2739" s="0" t="n">
        <v>0</v>
      </c>
      <c r="M2739" s="51" t="s">
        <v>5921</v>
      </c>
      <c r="N2739" s="49" t="n">
        <v>0</v>
      </c>
      <c r="O2739" s="53" t="n">
        <v>45741.6159027778</v>
      </c>
      <c r="P2739" s="53" t="n">
        <v>45789.3684722222</v>
      </c>
      <c r="Q2739" s="53" t="n">
        <v>45741.6159027778</v>
      </c>
      <c r="R2739" s="0" t="n">
        <v>0</v>
      </c>
      <c r="S2739" s="51" t="s">
        <v>2376</v>
      </c>
      <c r="T2739" s="51" t="s">
        <v>2376</v>
      </c>
      <c r="U2739" s="0" t="str">
        <f aca="false">"12452482"</f>
        <v>12452482</v>
      </c>
      <c r="V2739" s="51" t="s">
        <v>2365</v>
      </c>
      <c r="W2739" s="51" t="s">
        <v>5630</v>
      </c>
      <c r="X2739" s="51" t="s">
        <v>2359</v>
      </c>
    </row>
    <row r="2740" customFormat="false" ht="14.25" hidden="true" customHeight="false" outlineLevel="0" collapsed="false">
      <c r="A2740" s="49" t="s">
        <v>2349</v>
      </c>
      <c r="B2740" s="49" t="s">
        <v>2350</v>
      </c>
      <c r="C2740" s="49" t="s">
        <v>5929</v>
      </c>
      <c r="D2740" s="49" t="s">
        <v>2352</v>
      </c>
      <c r="E2740" s="49" t="str">
        <f aca="false">"12464079"</f>
        <v>12464079</v>
      </c>
      <c r="F2740" s="49" t="s">
        <v>4706</v>
      </c>
      <c r="G2740" s="49" t="n">
        <v>0</v>
      </c>
      <c r="H2740" s="0" t="n">
        <v>0</v>
      </c>
      <c r="M2740" s="51" t="s">
        <v>5921</v>
      </c>
      <c r="N2740" s="49" t="n">
        <v>0</v>
      </c>
      <c r="O2740" s="53" t="n">
        <v>45741.6151273148</v>
      </c>
      <c r="P2740" s="53" t="n">
        <v>45762.7359143519</v>
      </c>
      <c r="Q2740" s="53" t="n">
        <v>45741.6151273148</v>
      </c>
      <c r="R2740" s="0" t="n">
        <v>0</v>
      </c>
      <c r="S2740" s="51" t="s">
        <v>2376</v>
      </c>
      <c r="T2740" s="51" t="s">
        <v>2376</v>
      </c>
      <c r="U2740" s="0" t="str">
        <f aca="false">"12464079"</f>
        <v>12464079</v>
      </c>
      <c r="V2740" s="51" t="s">
        <v>2365</v>
      </c>
      <c r="W2740" s="51" t="s">
        <v>5452</v>
      </c>
      <c r="X2740" s="51" t="s">
        <v>2359</v>
      </c>
    </row>
    <row r="2741" customFormat="false" ht="14.25" hidden="true" customHeight="false" outlineLevel="0" collapsed="false">
      <c r="A2741" s="49" t="s">
        <v>2349</v>
      </c>
      <c r="B2741" s="49" t="s">
        <v>2350</v>
      </c>
      <c r="C2741" s="49" t="s">
        <v>5930</v>
      </c>
      <c r="D2741" s="49" t="s">
        <v>2352</v>
      </c>
      <c r="E2741" s="49" t="str">
        <f aca="false">"12496983"</f>
        <v>12496983</v>
      </c>
      <c r="F2741" s="49" t="s">
        <v>4880</v>
      </c>
      <c r="G2741" s="49" t="n">
        <v>0</v>
      </c>
      <c r="H2741" s="0" t="n">
        <v>0</v>
      </c>
      <c r="M2741" s="51" t="s">
        <v>5921</v>
      </c>
      <c r="N2741" s="49" t="n">
        <v>0</v>
      </c>
      <c r="O2741" s="53" t="n">
        <v>45741.6199074074</v>
      </c>
      <c r="P2741" s="53" t="n">
        <v>45894.8144444445</v>
      </c>
      <c r="Q2741" s="53" t="n">
        <v>45741.6199074074</v>
      </c>
      <c r="R2741" s="0" t="n">
        <v>0</v>
      </c>
      <c r="S2741" s="51" t="s">
        <v>2376</v>
      </c>
      <c r="T2741" s="51" t="s">
        <v>2376</v>
      </c>
      <c r="U2741" s="0" t="str">
        <f aca="false">"12496983"</f>
        <v>12496983</v>
      </c>
      <c r="V2741" s="51" t="s">
        <v>2365</v>
      </c>
      <c r="W2741" s="51" t="s">
        <v>5931</v>
      </c>
      <c r="X2741" s="51" t="s">
        <v>2359</v>
      </c>
    </row>
    <row r="2742" customFormat="false" ht="14.25" hidden="true" customHeight="false" outlineLevel="0" collapsed="false">
      <c r="A2742" s="49" t="s">
        <v>2349</v>
      </c>
      <c r="B2742" s="49" t="s">
        <v>2350</v>
      </c>
      <c r="C2742" s="49" t="s">
        <v>5932</v>
      </c>
      <c r="D2742" s="49" t="s">
        <v>2352</v>
      </c>
      <c r="E2742" s="49" t="str">
        <f aca="false">"12464079"</f>
        <v>12464079</v>
      </c>
      <c r="F2742" s="49" t="s">
        <v>4706</v>
      </c>
      <c r="G2742" s="49" t="n">
        <v>0</v>
      </c>
      <c r="H2742" s="0" t="n">
        <v>0</v>
      </c>
      <c r="M2742" s="51" t="s">
        <v>5921</v>
      </c>
      <c r="N2742" s="49" t="n">
        <v>0</v>
      </c>
      <c r="O2742" s="53" t="n">
        <v>45741.6145486111</v>
      </c>
      <c r="P2742" s="53" t="n">
        <v>45750.4368634259</v>
      </c>
      <c r="Q2742" s="53" t="n">
        <v>45741.6145486111</v>
      </c>
      <c r="R2742" s="0" t="n">
        <v>0</v>
      </c>
      <c r="S2742" s="51" t="s">
        <v>2376</v>
      </c>
      <c r="T2742" s="51" t="s">
        <v>2376</v>
      </c>
      <c r="U2742" s="0" t="str">
        <f aca="false">"12464079"</f>
        <v>12464079</v>
      </c>
      <c r="V2742" s="51" t="s">
        <v>2365</v>
      </c>
      <c r="W2742" s="51" t="s">
        <v>5933</v>
      </c>
      <c r="X2742" s="51" t="s">
        <v>2359</v>
      </c>
    </row>
    <row r="2743" customFormat="false" ht="14.25" hidden="true" customHeight="false" outlineLevel="0" collapsed="false">
      <c r="A2743" s="49" t="s">
        <v>2349</v>
      </c>
      <c r="B2743" s="49" t="s">
        <v>2350</v>
      </c>
      <c r="C2743" s="49" t="s">
        <v>5934</v>
      </c>
      <c r="D2743" s="49" t="s">
        <v>2352</v>
      </c>
      <c r="E2743" s="49" t="str">
        <f aca="false">"12452482"</f>
        <v>12452482</v>
      </c>
      <c r="F2743" s="49" t="s">
        <v>4179</v>
      </c>
      <c r="G2743" s="49" t="n">
        <v>0</v>
      </c>
      <c r="H2743" s="0" t="n">
        <v>0</v>
      </c>
      <c r="M2743" s="51" t="s">
        <v>5921</v>
      </c>
      <c r="N2743" s="49" t="n">
        <v>0</v>
      </c>
      <c r="O2743" s="53" t="n">
        <v>45741.6168634259</v>
      </c>
      <c r="P2743" s="53" t="n">
        <v>45789.3615972222</v>
      </c>
      <c r="Q2743" s="53" t="n">
        <v>45741.6168634259</v>
      </c>
      <c r="R2743" s="0" t="n">
        <v>0</v>
      </c>
      <c r="S2743" s="51" t="s">
        <v>2376</v>
      </c>
      <c r="T2743" s="51" t="s">
        <v>2376</v>
      </c>
      <c r="U2743" s="0" t="str">
        <f aca="false">"12452482"</f>
        <v>12452482</v>
      </c>
      <c r="V2743" s="51" t="s">
        <v>2365</v>
      </c>
      <c r="W2743" s="51" t="s">
        <v>5818</v>
      </c>
      <c r="X2743" s="51" t="s">
        <v>2359</v>
      </c>
    </row>
    <row r="2744" customFormat="false" ht="14.25" hidden="true" customHeight="false" outlineLevel="0" collapsed="false">
      <c r="A2744" s="49" t="s">
        <v>2349</v>
      </c>
      <c r="B2744" s="49" t="s">
        <v>2350</v>
      </c>
      <c r="C2744" s="49" t="s">
        <v>5935</v>
      </c>
      <c r="D2744" s="49" t="s">
        <v>2352</v>
      </c>
      <c r="E2744" s="49" t="str">
        <f aca="false">"12207690"</f>
        <v>12207690</v>
      </c>
      <c r="F2744" s="49" t="s">
        <v>4199</v>
      </c>
      <c r="G2744" s="49" t="n">
        <v>0</v>
      </c>
      <c r="H2744" s="0" t="n">
        <v>0</v>
      </c>
      <c r="M2744" s="51" t="s">
        <v>5921</v>
      </c>
      <c r="N2744" s="49" t="n">
        <v>0</v>
      </c>
      <c r="O2744" s="53" t="n">
        <v>45741.6140856482</v>
      </c>
      <c r="P2744" s="53" t="n">
        <v>45771.9136226852</v>
      </c>
      <c r="Q2744" s="53" t="n">
        <v>45741.6140856482</v>
      </c>
      <c r="R2744" s="0" t="n">
        <v>0</v>
      </c>
      <c r="S2744" s="51" t="s">
        <v>2376</v>
      </c>
      <c r="T2744" s="51" t="s">
        <v>2376</v>
      </c>
      <c r="U2744" s="0" t="str">
        <f aca="false">"12207690"</f>
        <v>12207690</v>
      </c>
      <c r="V2744" s="51" t="s">
        <v>2365</v>
      </c>
      <c r="W2744" s="51" t="s">
        <v>5936</v>
      </c>
      <c r="X2744" s="51" t="s">
        <v>2359</v>
      </c>
    </row>
    <row r="2745" customFormat="false" ht="14.25" hidden="true" customHeight="false" outlineLevel="0" collapsed="false">
      <c r="A2745" s="49" t="s">
        <v>2349</v>
      </c>
      <c r="B2745" s="49" t="s">
        <v>2350</v>
      </c>
      <c r="C2745" s="49" t="s">
        <v>5937</v>
      </c>
      <c r="D2745" s="49" t="s">
        <v>2352</v>
      </c>
      <c r="E2745" s="49" t="str">
        <f aca="false">"12452482"</f>
        <v>12452482</v>
      </c>
      <c r="F2745" s="49" t="s">
        <v>4179</v>
      </c>
      <c r="G2745" s="49" t="n">
        <v>0</v>
      </c>
      <c r="H2745" s="0" t="n">
        <v>0</v>
      </c>
      <c r="M2745" s="51" t="s">
        <v>5921</v>
      </c>
      <c r="N2745" s="49" t="n">
        <v>0</v>
      </c>
      <c r="O2745" s="53" t="n">
        <v>45741.6192361111</v>
      </c>
      <c r="P2745" s="53" t="n">
        <v>45803.902962963</v>
      </c>
      <c r="Q2745" s="53" t="n">
        <v>45741.6192361111</v>
      </c>
      <c r="R2745" s="0" t="n">
        <v>0</v>
      </c>
      <c r="S2745" s="51" t="s">
        <v>2376</v>
      </c>
      <c r="T2745" s="51" t="s">
        <v>2376</v>
      </c>
      <c r="U2745" s="0" t="str">
        <f aca="false">"12452482"</f>
        <v>12452482</v>
      </c>
      <c r="V2745" s="51" t="s">
        <v>2365</v>
      </c>
      <c r="W2745" s="51" t="s">
        <v>5938</v>
      </c>
      <c r="X2745" s="51" t="s">
        <v>2359</v>
      </c>
    </row>
    <row r="2746" customFormat="false" ht="14.25" hidden="true" customHeight="false" outlineLevel="0" collapsed="false">
      <c r="A2746" s="49" t="s">
        <v>2349</v>
      </c>
      <c r="B2746" s="49" t="s">
        <v>2350</v>
      </c>
      <c r="C2746" s="49" t="s">
        <v>5939</v>
      </c>
      <c r="D2746" s="49" t="s">
        <v>2352</v>
      </c>
      <c r="E2746" s="49" t="str">
        <f aca="false">"12452482"</f>
        <v>12452482</v>
      </c>
      <c r="F2746" s="49" t="s">
        <v>4179</v>
      </c>
      <c r="G2746" s="49" t="n">
        <v>0</v>
      </c>
      <c r="H2746" s="0" t="n">
        <v>0</v>
      </c>
      <c r="M2746" s="51" t="s">
        <v>5921</v>
      </c>
      <c r="N2746" s="49" t="n">
        <v>0</v>
      </c>
      <c r="O2746" s="53" t="n">
        <v>45741.6189236111</v>
      </c>
      <c r="P2746" s="53" t="n">
        <v>45803.895</v>
      </c>
      <c r="Q2746" s="53" t="n">
        <v>45741.6189236111</v>
      </c>
      <c r="R2746" s="0" t="n">
        <v>0</v>
      </c>
      <c r="S2746" s="51" t="s">
        <v>2376</v>
      </c>
      <c r="T2746" s="51" t="s">
        <v>2376</v>
      </c>
      <c r="U2746" s="0" t="str">
        <f aca="false">"12452482"</f>
        <v>12452482</v>
      </c>
      <c r="V2746" s="51" t="s">
        <v>2365</v>
      </c>
      <c r="W2746" s="51" t="s">
        <v>5940</v>
      </c>
      <c r="X2746" s="51" t="s">
        <v>2359</v>
      </c>
    </row>
    <row r="2747" customFormat="false" ht="14.25" hidden="true" customHeight="false" outlineLevel="0" collapsed="false">
      <c r="A2747" s="49" t="s">
        <v>2349</v>
      </c>
      <c r="B2747" s="49" t="s">
        <v>2350</v>
      </c>
      <c r="C2747" s="49" t="s">
        <v>5941</v>
      </c>
      <c r="D2747" s="49" t="s">
        <v>2352</v>
      </c>
      <c r="E2747" s="49" t="str">
        <f aca="false">"12452482"</f>
        <v>12452482</v>
      </c>
      <c r="F2747" s="49" t="s">
        <v>4179</v>
      </c>
      <c r="G2747" s="49" t="n">
        <v>0</v>
      </c>
      <c r="H2747" s="0" t="n">
        <v>0</v>
      </c>
      <c r="M2747" s="51" t="s">
        <v>5921</v>
      </c>
      <c r="N2747" s="49" t="n">
        <v>0</v>
      </c>
      <c r="O2747" s="53" t="n">
        <v>45741.6175462963</v>
      </c>
      <c r="P2747" s="53" t="n">
        <v>45819.4666203704</v>
      </c>
      <c r="Q2747" s="53" t="n">
        <v>45741.6175462963</v>
      </c>
      <c r="R2747" s="0" t="n">
        <v>0</v>
      </c>
      <c r="S2747" s="51" t="s">
        <v>2376</v>
      </c>
      <c r="T2747" s="51" t="s">
        <v>2376</v>
      </c>
      <c r="U2747" s="0" t="str">
        <f aca="false">"12452482"</f>
        <v>12452482</v>
      </c>
      <c r="V2747" s="51" t="s">
        <v>2365</v>
      </c>
      <c r="W2747" s="51" t="s">
        <v>5942</v>
      </c>
      <c r="X2747" s="51" t="s">
        <v>2359</v>
      </c>
    </row>
    <row r="2748" customFormat="false" ht="14.25" hidden="true" customHeight="false" outlineLevel="0" collapsed="false">
      <c r="A2748" s="49" t="s">
        <v>2349</v>
      </c>
      <c r="B2748" s="49" t="s">
        <v>2350</v>
      </c>
      <c r="C2748" s="49" t="s">
        <v>5943</v>
      </c>
      <c r="D2748" s="49" t="s">
        <v>2352</v>
      </c>
      <c r="E2748" s="49" t="str">
        <f aca="false">"12207690"</f>
        <v>12207690</v>
      </c>
      <c r="F2748" s="49" t="s">
        <v>4199</v>
      </c>
      <c r="G2748" s="49" t="n">
        <v>0</v>
      </c>
      <c r="H2748" s="0" t="n">
        <v>0</v>
      </c>
      <c r="M2748" s="51" t="s">
        <v>5921</v>
      </c>
      <c r="N2748" s="49" t="n">
        <v>0</v>
      </c>
      <c r="O2748" s="53" t="n">
        <v>45741.6125231482</v>
      </c>
      <c r="P2748" s="53" t="n">
        <v>45743.0046643519</v>
      </c>
      <c r="Q2748" s="53" t="n">
        <v>45741.6125231482</v>
      </c>
      <c r="R2748" s="0" t="n">
        <v>0</v>
      </c>
      <c r="S2748" s="51" t="s">
        <v>2376</v>
      </c>
      <c r="T2748" s="51" t="s">
        <v>2376</v>
      </c>
      <c r="U2748" s="0" t="str">
        <f aca="false">"12207690"</f>
        <v>12207690</v>
      </c>
      <c r="V2748" s="51" t="s">
        <v>2365</v>
      </c>
      <c r="W2748" s="51" t="s">
        <v>4573</v>
      </c>
      <c r="X2748" s="51" t="s">
        <v>2359</v>
      </c>
    </row>
    <row r="2749" customFormat="false" ht="14.25" hidden="true" customHeight="false" outlineLevel="0" collapsed="false">
      <c r="A2749" s="49" t="s">
        <v>2349</v>
      </c>
      <c r="B2749" s="49" t="s">
        <v>2350</v>
      </c>
      <c r="C2749" s="49" t="s">
        <v>5944</v>
      </c>
      <c r="D2749" s="49" t="s">
        <v>2352</v>
      </c>
      <c r="E2749" s="49" t="str">
        <f aca="false">"12464079"</f>
        <v>12464079</v>
      </c>
      <c r="F2749" s="49" t="s">
        <v>4706</v>
      </c>
      <c r="G2749" s="49" t="n">
        <v>0</v>
      </c>
      <c r="H2749" s="0" t="n">
        <v>0</v>
      </c>
      <c r="M2749" s="51" t="s">
        <v>5921</v>
      </c>
      <c r="N2749" s="49" t="n">
        <v>0</v>
      </c>
      <c r="O2749" s="53" t="n">
        <v>45741.6131134259</v>
      </c>
      <c r="P2749" s="53" t="n">
        <v>45749.4507638889</v>
      </c>
      <c r="Q2749" s="53" t="n">
        <v>45741.6131134259</v>
      </c>
      <c r="R2749" s="0" t="n">
        <v>0</v>
      </c>
      <c r="S2749" s="51" t="s">
        <v>2376</v>
      </c>
      <c r="T2749" s="51" t="s">
        <v>2376</v>
      </c>
      <c r="U2749" s="0" t="str">
        <f aca="false">"12464079"</f>
        <v>12464079</v>
      </c>
      <c r="V2749" s="51" t="s">
        <v>2365</v>
      </c>
      <c r="W2749" s="51" t="s">
        <v>5945</v>
      </c>
      <c r="X2749" s="51" t="s">
        <v>2359</v>
      </c>
    </row>
    <row r="2750" customFormat="false" ht="14.25" hidden="true" customHeight="false" outlineLevel="0" collapsed="false">
      <c r="A2750" s="49" t="s">
        <v>2349</v>
      </c>
      <c r="B2750" s="49" t="s">
        <v>2350</v>
      </c>
      <c r="C2750" s="49" t="s">
        <v>5946</v>
      </c>
      <c r="D2750" s="49" t="s">
        <v>2352</v>
      </c>
      <c r="E2750" s="49" t="str">
        <f aca="false">"12464079"</f>
        <v>12464079</v>
      </c>
      <c r="F2750" s="49" t="s">
        <v>4706</v>
      </c>
      <c r="G2750" s="49" t="n">
        <v>0</v>
      </c>
      <c r="H2750" s="0" t="n">
        <v>0</v>
      </c>
      <c r="M2750" s="51" t="s">
        <v>5921</v>
      </c>
      <c r="N2750" s="49" t="n">
        <v>0</v>
      </c>
      <c r="O2750" s="53" t="n">
        <v>45741.612025463</v>
      </c>
      <c r="P2750" s="53" t="n">
        <v>45742.934837963</v>
      </c>
      <c r="Q2750" s="53" t="n">
        <v>45741.612025463</v>
      </c>
      <c r="R2750" s="0" t="n">
        <v>0</v>
      </c>
      <c r="S2750" s="51" t="s">
        <v>2376</v>
      </c>
      <c r="T2750" s="51" t="s">
        <v>2376</v>
      </c>
      <c r="U2750" s="0" t="str">
        <f aca="false">"12464079"</f>
        <v>12464079</v>
      </c>
      <c r="V2750" s="51" t="s">
        <v>2365</v>
      </c>
      <c r="W2750" s="51" t="s">
        <v>5947</v>
      </c>
      <c r="X2750" s="51" t="s">
        <v>2359</v>
      </c>
    </row>
    <row r="2751" customFormat="false" ht="14.25" hidden="true" customHeight="false" outlineLevel="0" collapsed="false">
      <c r="A2751" s="49" t="s">
        <v>2349</v>
      </c>
      <c r="B2751" s="49" t="s">
        <v>2350</v>
      </c>
      <c r="C2751" s="49" t="s">
        <v>5948</v>
      </c>
      <c r="D2751" s="49" t="s">
        <v>2352</v>
      </c>
      <c r="E2751" s="49" t="str">
        <f aca="false">"12464079"</f>
        <v>12464079</v>
      </c>
      <c r="F2751" s="49" t="s">
        <v>4706</v>
      </c>
      <c r="G2751" s="49" t="n">
        <v>0</v>
      </c>
      <c r="H2751" s="0" t="n">
        <v>0</v>
      </c>
      <c r="M2751" s="51" t="s">
        <v>5921</v>
      </c>
      <c r="N2751" s="49" t="n">
        <v>0</v>
      </c>
      <c r="O2751" s="53" t="n">
        <v>45741.6118055556</v>
      </c>
      <c r="P2751" s="53" t="n">
        <v>45742.9351967593</v>
      </c>
      <c r="Q2751" s="53" t="n">
        <v>45741.6118055556</v>
      </c>
      <c r="R2751" s="0" t="n">
        <v>0</v>
      </c>
      <c r="S2751" s="51" t="s">
        <v>2376</v>
      </c>
      <c r="T2751" s="51" t="s">
        <v>2376</v>
      </c>
      <c r="U2751" s="0" t="str">
        <f aca="false">"12464079"</f>
        <v>12464079</v>
      </c>
      <c r="V2751" s="51" t="s">
        <v>2365</v>
      </c>
      <c r="W2751" s="51" t="s">
        <v>5949</v>
      </c>
      <c r="X2751" s="51" t="s">
        <v>2359</v>
      </c>
    </row>
    <row r="2752" customFormat="false" ht="14.25" hidden="true" customHeight="false" outlineLevel="0" collapsed="false">
      <c r="A2752" s="49" t="s">
        <v>2349</v>
      </c>
      <c r="B2752" s="49" t="s">
        <v>2350</v>
      </c>
      <c r="C2752" s="49" t="s">
        <v>5950</v>
      </c>
      <c r="D2752" s="49" t="s">
        <v>2352</v>
      </c>
      <c r="E2752" s="49" t="str">
        <f aca="false">"12464079"</f>
        <v>12464079</v>
      </c>
      <c r="F2752" s="49" t="s">
        <v>4706</v>
      </c>
      <c r="G2752" s="49" t="n">
        <v>0</v>
      </c>
      <c r="H2752" s="0" t="n">
        <v>0</v>
      </c>
      <c r="M2752" s="51" t="s">
        <v>5921</v>
      </c>
      <c r="N2752" s="49" t="n">
        <v>0</v>
      </c>
      <c r="O2752" s="53" t="n">
        <v>45741.6115277778</v>
      </c>
      <c r="P2752" s="53" t="n">
        <v>45742.9355787037</v>
      </c>
      <c r="Q2752" s="53" t="n">
        <v>45741.6115277778</v>
      </c>
      <c r="R2752" s="0" t="n">
        <v>0</v>
      </c>
      <c r="S2752" s="51" t="s">
        <v>2376</v>
      </c>
      <c r="T2752" s="51" t="s">
        <v>2376</v>
      </c>
      <c r="U2752" s="0" t="str">
        <f aca="false">"12464079"</f>
        <v>12464079</v>
      </c>
      <c r="V2752" s="51" t="s">
        <v>2365</v>
      </c>
      <c r="W2752" s="51" t="s">
        <v>4627</v>
      </c>
      <c r="X2752" s="51" t="s">
        <v>2359</v>
      </c>
    </row>
    <row r="2753" customFormat="false" ht="14.25" hidden="true" customHeight="false" outlineLevel="0" collapsed="false">
      <c r="A2753" s="49" t="s">
        <v>2349</v>
      </c>
      <c r="B2753" s="49" t="s">
        <v>2350</v>
      </c>
      <c r="C2753" s="49" t="s">
        <v>5951</v>
      </c>
      <c r="D2753" s="49" t="s">
        <v>2352</v>
      </c>
      <c r="E2753" s="49" t="str">
        <f aca="false">"12452482"</f>
        <v>12452482</v>
      </c>
      <c r="F2753" s="49" t="s">
        <v>4179</v>
      </c>
      <c r="G2753" s="49" t="n">
        <v>0</v>
      </c>
      <c r="H2753" s="0" t="n">
        <v>0</v>
      </c>
      <c r="M2753" s="51" t="s">
        <v>5921</v>
      </c>
      <c r="N2753" s="49" t="n">
        <v>0</v>
      </c>
      <c r="O2753" s="53" t="n">
        <v>45741.6184143519</v>
      </c>
      <c r="P2753" s="53" t="n">
        <v>45825.932337963</v>
      </c>
      <c r="Q2753" s="53" t="n">
        <v>45741.6184143519</v>
      </c>
      <c r="R2753" s="0" t="n">
        <v>0</v>
      </c>
      <c r="S2753" s="51" t="s">
        <v>2376</v>
      </c>
      <c r="T2753" s="51" t="s">
        <v>2376</v>
      </c>
      <c r="U2753" s="0" t="str">
        <f aca="false">"12452482"</f>
        <v>12452482</v>
      </c>
      <c r="V2753" s="51" t="s">
        <v>2365</v>
      </c>
      <c r="W2753" s="51" t="s">
        <v>5952</v>
      </c>
      <c r="X2753" s="51" t="s">
        <v>2359</v>
      </c>
    </row>
    <row r="2754" customFormat="false" ht="14.25" hidden="true" customHeight="false" outlineLevel="0" collapsed="false">
      <c r="A2754" s="49" t="s">
        <v>2349</v>
      </c>
      <c r="B2754" s="49" t="s">
        <v>2350</v>
      </c>
      <c r="C2754" s="49" t="s">
        <v>5953</v>
      </c>
      <c r="D2754" s="49" t="s">
        <v>2352</v>
      </c>
      <c r="E2754" s="49" t="str">
        <f aca="false">"12207690"</f>
        <v>12207690</v>
      </c>
      <c r="F2754" s="49" t="s">
        <v>4199</v>
      </c>
      <c r="G2754" s="49" t="n">
        <v>0</v>
      </c>
      <c r="H2754" s="0" t="n">
        <v>0</v>
      </c>
      <c r="M2754" s="51" t="s">
        <v>5921</v>
      </c>
      <c r="N2754" s="49" t="n">
        <v>0</v>
      </c>
      <c r="O2754" s="53" t="n">
        <v>45741.6128356482</v>
      </c>
      <c r="P2754" s="53" t="n">
        <v>45771.9117824074</v>
      </c>
      <c r="Q2754" s="53" t="n">
        <v>45741.6128356482</v>
      </c>
      <c r="R2754" s="0" t="n">
        <v>0</v>
      </c>
      <c r="S2754" s="51" t="s">
        <v>2376</v>
      </c>
      <c r="T2754" s="51" t="s">
        <v>2376</v>
      </c>
      <c r="U2754" s="0" t="str">
        <f aca="false">"12207690"</f>
        <v>12207690</v>
      </c>
      <c r="V2754" s="51" t="s">
        <v>2365</v>
      </c>
      <c r="W2754" s="51" t="s">
        <v>5954</v>
      </c>
      <c r="X2754" s="51" t="s">
        <v>2359</v>
      </c>
    </row>
    <row r="2755" customFormat="false" ht="14.25" hidden="true" customHeight="false" outlineLevel="0" collapsed="false">
      <c r="A2755" s="49" t="s">
        <v>2349</v>
      </c>
      <c r="B2755" s="49" t="s">
        <v>2350</v>
      </c>
      <c r="C2755" s="49" t="s">
        <v>5955</v>
      </c>
      <c r="D2755" s="49" t="s">
        <v>2352</v>
      </c>
      <c r="E2755" s="49" t="str">
        <f aca="false">"12496983"</f>
        <v>12496983</v>
      </c>
      <c r="F2755" s="49" t="s">
        <v>4880</v>
      </c>
      <c r="G2755" s="49" t="n">
        <v>0</v>
      </c>
      <c r="H2755" s="0" t="n">
        <v>0</v>
      </c>
      <c r="M2755" s="51" t="s">
        <v>5921</v>
      </c>
      <c r="N2755" s="49" t="n">
        <v>0</v>
      </c>
      <c r="O2755" s="53" t="n">
        <v>45741.6209722222</v>
      </c>
      <c r="P2755" s="53" t="n">
        <v>45924.8012037037</v>
      </c>
      <c r="Q2755" s="53" t="n">
        <v>45741.6209722222</v>
      </c>
      <c r="R2755" s="0" t="n">
        <v>0</v>
      </c>
      <c r="S2755" s="51" t="s">
        <v>2376</v>
      </c>
      <c r="T2755" s="51" t="s">
        <v>2376</v>
      </c>
      <c r="U2755" s="0" t="str">
        <f aca="false">"12496983"</f>
        <v>12496983</v>
      </c>
      <c r="V2755" s="51" t="s">
        <v>2365</v>
      </c>
      <c r="W2755" s="51" t="s">
        <v>5956</v>
      </c>
      <c r="X2755" s="51" t="s">
        <v>2359</v>
      </c>
    </row>
    <row r="2756" customFormat="false" ht="14.25" hidden="true" customHeight="false" outlineLevel="0" collapsed="false">
      <c r="A2756" s="49" t="s">
        <v>2349</v>
      </c>
      <c r="B2756" s="49" t="s">
        <v>2350</v>
      </c>
      <c r="C2756" s="49" t="s">
        <v>5957</v>
      </c>
      <c r="D2756" s="49" t="s">
        <v>2352</v>
      </c>
      <c r="E2756" s="49" t="str">
        <f aca="false">"12496983"</f>
        <v>12496983</v>
      </c>
      <c r="F2756" s="49" t="s">
        <v>4880</v>
      </c>
      <c r="G2756" s="49" t="n">
        <v>0</v>
      </c>
      <c r="H2756" s="0" t="n">
        <v>0</v>
      </c>
      <c r="M2756" s="51" t="s">
        <v>5921</v>
      </c>
      <c r="N2756" s="49" t="n">
        <v>0</v>
      </c>
      <c r="O2756" s="53" t="n">
        <v>45741.6211921296</v>
      </c>
      <c r="P2756" s="53" t="n">
        <v>45894.8164699074</v>
      </c>
      <c r="Q2756" s="53" t="n">
        <v>45741.6211921296</v>
      </c>
      <c r="R2756" s="0" t="n">
        <v>0</v>
      </c>
      <c r="S2756" s="51" t="s">
        <v>2376</v>
      </c>
      <c r="T2756" s="51" t="s">
        <v>2376</v>
      </c>
      <c r="U2756" s="0" t="str">
        <f aca="false">"12496983"</f>
        <v>12496983</v>
      </c>
      <c r="V2756" s="51" t="s">
        <v>2365</v>
      </c>
      <c r="W2756" s="51" t="s">
        <v>5958</v>
      </c>
      <c r="X2756" s="51" t="s">
        <v>2359</v>
      </c>
    </row>
    <row r="2757" customFormat="false" ht="14.25" hidden="true" customHeight="false" outlineLevel="0" collapsed="false">
      <c r="A2757" s="49" t="s">
        <v>2349</v>
      </c>
      <c r="B2757" s="49" t="s">
        <v>2350</v>
      </c>
      <c r="C2757" s="49" t="s">
        <v>5959</v>
      </c>
      <c r="D2757" s="49" t="s">
        <v>2352</v>
      </c>
      <c r="E2757" s="49" t="str">
        <f aca="false">"12496983"</f>
        <v>12496983</v>
      </c>
      <c r="F2757" s="49" t="s">
        <v>4880</v>
      </c>
      <c r="G2757" s="49" t="n">
        <v>0</v>
      </c>
      <c r="H2757" s="0" t="n">
        <v>0</v>
      </c>
      <c r="M2757" s="51" t="s">
        <v>5921</v>
      </c>
      <c r="N2757" s="49" t="n">
        <v>0</v>
      </c>
      <c r="O2757" s="53" t="n">
        <v>45741.6225231482</v>
      </c>
      <c r="P2757" s="53" t="n">
        <v>45876.8117592593</v>
      </c>
      <c r="Q2757" s="53" t="n">
        <v>45741.6225231482</v>
      </c>
      <c r="R2757" s="0" t="n">
        <v>0</v>
      </c>
      <c r="S2757" s="51" t="s">
        <v>2376</v>
      </c>
      <c r="T2757" s="51" t="s">
        <v>2376</v>
      </c>
      <c r="U2757" s="0" t="str">
        <f aca="false">"12496983"</f>
        <v>12496983</v>
      </c>
      <c r="V2757" s="51" t="s">
        <v>2365</v>
      </c>
      <c r="W2757" s="51" t="s">
        <v>5960</v>
      </c>
      <c r="X2757" s="51" t="s">
        <v>2359</v>
      </c>
    </row>
    <row r="2758" customFormat="false" ht="14.25" hidden="true" customHeight="false" outlineLevel="0" collapsed="false">
      <c r="A2758" s="49" t="s">
        <v>2349</v>
      </c>
      <c r="B2758" s="49" t="s">
        <v>2350</v>
      </c>
      <c r="C2758" s="49" t="s">
        <v>5961</v>
      </c>
      <c r="D2758" s="49" t="s">
        <v>2352</v>
      </c>
      <c r="E2758" s="49" t="s">
        <v>4351</v>
      </c>
      <c r="F2758" s="49" t="s">
        <v>4352</v>
      </c>
      <c r="G2758" s="49" t="n">
        <v>0</v>
      </c>
      <c r="H2758" s="0" t="n">
        <v>0</v>
      </c>
      <c r="M2758" s="51" t="s">
        <v>5962</v>
      </c>
      <c r="N2758" s="49" t="n">
        <v>0</v>
      </c>
      <c r="O2758" s="53" t="n">
        <v>45741.6125694444</v>
      </c>
      <c r="P2758" s="53" t="n">
        <v>45761.669837963</v>
      </c>
      <c r="Q2758" s="53" t="n">
        <v>45741.6125694444</v>
      </c>
      <c r="R2758" s="0" t="n">
        <v>0</v>
      </c>
      <c r="S2758" s="51" t="s">
        <v>2356</v>
      </c>
      <c r="T2758" s="51" t="s">
        <v>2356</v>
      </c>
      <c r="U2758" s="51" t="s">
        <v>4351</v>
      </c>
      <c r="V2758" s="51" t="s">
        <v>2365</v>
      </c>
      <c r="W2758" s="51" t="s">
        <v>5722</v>
      </c>
      <c r="X2758" s="51" t="s">
        <v>2359</v>
      </c>
    </row>
    <row r="2759" customFormat="false" ht="14.25" hidden="true" customHeight="false" outlineLevel="0" collapsed="false">
      <c r="A2759" s="49" t="s">
        <v>2349</v>
      </c>
      <c r="B2759" s="49" t="s">
        <v>2350</v>
      </c>
      <c r="C2759" s="49" t="s">
        <v>5963</v>
      </c>
      <c r="D2759" s="49" t="s">
        <v>2352</v>
      </c>
      <c r="E2759" s="49" t="s">
        <v>4351</v>
      </c>
      <c r="F2759" s="49" t="s">
        <v>4352</v>
      </c>
      <c r="G2759" s="49" t="n">
        <v>0</v>
      </c>
      <c r="H2759" s="0" t="n">
        <v>0</v>
      </c>
      <c r="M2759" s="51" t="s">
        <v>5962</v>
      </c>
      <c r="N2759" s="49" t="n">
        <v>0</v>
      </c>
      <c r="O2759" s="53" t="n">
        <v>45741.6124189815</v>
      </c>
      <c r="P2759" s="53" t="n">
        <v>45752.6283449074</v>
      </c>
      <c r="Q2759" s="53" t="n">
        <v>45741.6124189815</v>
      </c>
      <c r="R2759" s="0" t="n">
        <v>0</v>
      </c>
      <c r="S2759" s="51" t="s">
        <v>2356</v>
      </c>
      <c r="T2759" s="51" t="s">
        <v>2356</v>
      </c>
      <c r="U2759" s="51" t="s">
        <v>4351</v>
      </c>
      <c r="V2759" s="51" t="s">
        <v>2365</v>
      </c>
      <c r="W2759" s="51" t="s">
        <v>4130</v>
      </c>
      <c r="X2759" s="51" t="s">
        <v>2359</v>
      </c>
    </row>
    <row r="2760" customFormat="false" ht="14.25" hidden="true" customHeight="false" outlineLevel="0" collapsed="false">
      <c r="A2760" s="49" t="s">
        <v>2349</v>
      </c>
      <c r="B2760" s="49" t="s">
        <v>2350</v>
      </c>
      <c r="C2760" s="49" t="s">
        <v>5964</v>
      </c>
      <c r="D2760" s="49" t="s">
        <v>2352</v>
      </c>
      <c r="E2760" s="49" t="s">
        <v>4351</v>
      </c>
      <c r="F2760" s="49" t="s">
        <v>4352</v>
      </c>
      <c r="G2760" s="49" t="n">
        <v>0</v>
      </c>
      <c r="H2760" s="0" t="n">
        <v>0</v>
      </c>
      <c r="M2760" s="51" t="s">
        <v>5962</v>
      </c>
      <c r="N2760" s="49" t="n">
        <v>0</v>
      </c>
      <c r="O2760" s="53" t="n">
        <v>45741.6122685185</v>
      </c>
      <c r="P2760" s="53" t="n">
        <v>45752.6281712963</v>
      </c>
      <c r="Q2760" s="53" t="n">
        <v>45741.6122685185</v>
      </c>
      <c r="R2760" s="0" t="n">
        <v>0</v>
      </c>
      <c r="S2760" s="51" t="s">
        <v>2356</v>
      </c>
      <c r="T2760" s="51" t="s">
        <v>2356</v>
      </c>
      <c r="U2760" s="51" t="s">
        <v>4351</v>
      </c>
      <c r="V2760" s="51" t="s">
        <v>2365</v>
      </c>
      <c r="W2760" s="51" t="s">
        <v>5748</v>
      </c>
      <c r="X2760" s="51" t="s">
        <v>2359</v>
      </c>
    </row>
    <row r="2761" customFormat="false" ht="14.25" hidden="true" customHeight="false" outlineLevel="0" collapsed="false">
      <c r="A2761" s="49" t="s">
        <v>2349</v>
      </c>
      <c r="B2761" s="49" t="s">
        <v>2350</v>
      </c>
      <c r="C2761" s="49" t="s">
        <v>5965</v>
      </c>
      <c r="D2761" s="49" t="s">
        <v>2352</v>
      </c>
      <c r="E2761" s="49" t="s">
        <v>4351</v>
      </c>
      <c r="F2761" s="49" t="s">
        <v>4352</v>
      </c>
      <c r="G2761" s="49" t="n">
        <v>0</v>
      </c>
      <c r="H2761" s="0" t="n">
        <v>0</v>
      </c>
      <c r="M2761" s="51" t="s">
        <v>5962</v>
      </c>
      <c r="N2761" s="49" t="n">
        <v>0</v>
      </c>
      <c r="O2761" s="53" t="n">
        <v>45741.6121759259</v>
      </c>
      <c r="P2761" s="53" t="n">
        <v>45752.6288310185</v>
      </c>
      <c r="Q2761" s="53" t="n">
        <v>45741.6121759259</v>
      </c>
      <c r="R2761" s="0" t="n">
        <v>0</v>
      </c>
      <c r="S2761" s="51" t="s">
        <v>2356</v>
      </c>
      <c r="T2761" s="51" t="s">
        <v>2356</v>
      </c>
      <c r="U2761" s="51" t="s">
        <v>4351</v>
      </c>
      <c r="V2761" s="51" t="s">
        <v>2365</v>
      </c>
      <c r="W2761" s="51" t="s">
        <v>5151</v>
      </c>
      <c r="X2761" s="51" t="s">
        <v>2359</v>
      </c>
    </row>
    <row r="2762" customFormat="false" ht="14.25" hidden="true" customHeight="false" outlineLevel="0" collapsed="false">
      <c r="A2762" s="49" t="s">
        <v>2349</v>
      </c>
      <c r="B2762" s="49" t="s">
        <v>2350</v>
      </c>
      <c r="C2762" s="49" t="s">
        <v>5966</v>
      </c>
      <c r="D2762" s="49" t="s">
        <v>2352</v>
      </c>
      <c r="E2762" s="49" t="s">
        <v>4351</v>
      </c>
      <c r="F2762" s="49" t="s">
        <v>4352</v>
      </c>
      <c r="G2762" s="49" t="n">
        <v>0</v>
      </c>
      <c r="H2762" s="0" t="n">
        <v>0</v>
      </c>
      <c r="M2762" s="51" t="s">
        <v>5962</v>
      </c>
      <c r="N2762" s="49" t="n">
        <v>0</v>
      </c>
      <c r="O2762" s="53" t="n">
        <v>45741.6120601852</v>
      </c>
      <c r="P2762" s="53" t="n">
        <v>45752.6292824074</v>
      </c>
      <c r="Q2762" s="53" t="n">
        <v>45741.6120601852</v>
      </c>
      <c r="R2762" s="0" t="n">
        <v>0</v>
      </c>
      <c r="S2762" s="51" t="s">
        <v>2356</v>
      </c>
      <c r="T2762" s="51" t="s">
        <v>2356</v>
      </c>
      <c r="U2762" s="51" t="s">
        <v>4351</v>
      </c>
      <c r="V2762" s="51" t="s">
        <v>2365</v>
      </c>
      <c r="W2762" s="51" t="s">
        <v>5147</v>
      </c>
      <c r="X2762" s="51" t="s">
        <v>2359</v>
      </c>
    </row>
    <row r="2763" customFormat="false" ht="14.25" hidden="true" customHeight="false" outlineLevel="0" collapsed="false">
      <c r="A2763" s="49" t="s">
        <v>2349</v>
      </c>
      <c r="B2763" s="49" t="s">
        <v>2350</v>
      </c>
      <c r="C2763" s="49" t="s">
        <v>5967</v>
      </c>
      <c r="D2763" s="49" t="s">
        <v>2352</v>
      </c>
      <c r="E2763" s="49" t="s">
        <v>4351</v>
      </c>
      <c r="F2763" s="49" t="s">
        <v>4352</v>
      </c>
      <c r="G2763" s="49" t="n">
        <v>0</v>
      </c>
      <c r="H2763" s="0" t="n">
        <v>0</v>
      </c>
      <c r="M2763" s="51" t="s">
        <v>5962</v>
      </c>
      <c r="N2763" s="49" t="n">
        <v>0</v>
      </c>
      <c r="O2763" s="53" t="n">
        <v>45741.6119907407</v>
      </c>
      <c r="P2763" s="53" t="n">
        <v>45757.5626736111</v>
      </c>
      <c r="Q2763" s="53" t="n">
        <v>45741.6119907407</v>
      </c>
      <c r="R2763" s="0" t="n">
        <v>0</v>
      </c>
      <c r="S2763" s="51" t="s">
        <v>2356</v>
      </c>
      <c r="T2763" s="51" t="s">
        <v>2356</v>
      </c>
      <c r="U2763" s="51" t="s">
        <v>4351</v>
      </c>
      <c r="V2763" s="51" t="s">
        <v>2365</v>
      </c>
      <c r="W2763" s="51" t="s">
        <v>5968</v>
      </c>
      <c r="X2763" s="51" t="s">
        <v>2359</v>
      </c>
    </row>
    <row r="2764" customFormat="false" ht="14.25" hidden="true" customHeight="false" outlineLevel="0" collapsed="false">
      <c r="A2764" s="49" t="s">
        <v>2349</v>
      </c>
      <c r="B2764" s="49" t="s">
        <v>2350</v>
      </c>
      <c r="C2764" s="49" t="s">
        <v>5969</v>
      </c>
      <c r="D2764" s="49" t="s">
        <v>2352</v>
      </c>
      <c r="E2764" s="49" t="s">
        <v>4351</v>
      </c>
      <c r="F2764" s="49" t="s">
        <v>4352</v>
      </c>
      <c r="G2764" s="49" t="n">
        <v>0</v>
      </c>
      <c r="H2764" s="0" t="n">
        <v>0</v>
      </c>
      <c r="M2764" s="51" t="s">
        <v>5962</v>
      </c>
      <c r="N2764" s="49" t="n">
        <v>0</v>
      </c>
      <c r="O2764" s="53" t="n">
        <v>45741.6119444444</v>
      </c>
      <c r="P2764" s="53" t="n">
        <v>45757.5632523148</v>
      </c>
      <c r="Q2764" s="53" t="n">
        <v>45741.6119444444</v>
      </c>
      <c r="R2764" s="0" t="n">
        <v>0</v>
      </c>
      <c r="S2764" s="51" t="s">
        <v>2356</v>
      </c>
      <c r="T2764" s="51" t="s">
        <v>2356</v>
      </c>
      <c r="U2764" s="51" t="s">
        <v>4351</v>
      </c>
      <c r="V2764" s="51" t="s">
        <v>2365</v>
      </c>
      <c r="W2764" s="51" t="s">
        <v>3749</v>
      </c>
      <c r="X2764" s="51" t="s">
        <v>2359</v>
      </c>
    </row>
    <row r="2765" customFormat="false" ht="14.25" hidden="true" customHeight="false" outlineLevel="0" collapsed="false">
      <c r="A2765" s="49" t="s">
        <v>2349</v>
      </c>
      <c r="B2765" s="49" t="s">
        <v>2350</v>
      </c>
      <c r="C2765" s="49" t="s">
        <v>5970</v>
      </c>
      <c r="D2765" s="49" t="s">
        <v>2352</v>
      </c>
      <c r="E2765" s="49" t="s">
        <v>4351</v>
      </c>
      <c r="F2765" s="49" t="s">
        <v>4352</v>
      </c>
      <c r="G2765" s="49" t="n">
        <v>0</v>
      </c>
      <c r="H2765" s="0" t="n">
        <v>0</v>
      </c>
      <c r="M2765" s="51" t="s">
        <v>5962</v>
      </c>
      <c r="N2765" s="49" t="n">
        <v>0</v>
      </c>
      <c r="O2765" s="53" t="n">
        <v>45741.6118865741</v>
      </c>
      <c r="P2765" s="53" t="n">
        <v>45756.5030671296</v>
      </c>
      <c r="Q2765" s="53" t="n">
        <v>45741.6118865741</v>
      </c>
      <c r="R2765" s="0" t="n">
        <v>0</v>
      </c>
      <c r="S2765" s="51" t="s">
        <v>2356</v>
      </c>
      <c r="T2765" s="51" t="s">
        <v>2356</v>
      </c>
      <c r="U2765" s="51" t="s">
        <v>4351</v>
      </c>
      <c r="V2765" s="51" t="s">
        <v>2365</v>
      </c>
      <c r="W2765" s="51" t="s">
        <v>3685</v>
      </c>
      <c r="X2765" s="51" t="s">
        <v>2359</v>
      </c>
    </row>
    <row r="2766" customFormat="false" ht="14.25" hidden="true" customHeight="false" outlineLevel="0" collapsed="false">
      <c r="A2766" s="49" t="s">
        <v>2349</v>
      </c>
      <c r="B2766" s="49" t="s">
        <v>2350</v>
      </c>
      <c r="C2766" s="49" t="s">
        <v>5971</v>
      </c>
      <c r="D2766" s="49" t="s">
        <v>2352</v>
      </c>
      <c r="E2766" s="49" t="s">
        <v>4351</v>
      </c>
      <c r="F2766" s="49" t="s">
        <v>4352</v>
      </c>
      <c r="G2766" s="49" t="n">
        <v>0</v>
      </c>
      <c r="H2766" s="0" t="n">
        <v>0</v>
      </c>
      <c r="M2766" s="51" t="s">
        <v>5962</v>
      </c>
      <c r="N2766" s="49" t="n">
        <v>0</v>
      </c>
      <c r="O2766" s="53" t="n">
        <v>45741.6118287037</v>
      </c>
      <c r="P2766" s="53" t="n">
        <v>45753.5868402778</v>
      </c>
      <c r="Q2766" s="53" t="n">
        <v>45741.6118287037</v>
      </c>
      <c r="R2766" s="0" t="n">
        <v>0</v>
      </c>
      <c r="S2766" s="51" t="s">
        <v>2356</v>
      </c>
      <c r="T2766" s="51" t="s">
        <v>2356</v>
      </c>
      <c r="U2766" s="51" t="s">
        <v>4351</v>
      </c>
      <c r="V2766" s="51" t="s">
        <v>2365</v>
      </c>
      <c r="W2766" s="51" t="s">
        <v>5157</v>
      </c>
      <c r="X2766" s="51" t="s">
        <v>2359</v>
      </c>
    </row>
    <row r="2767" customFormat="false" ht="14.25" hidden="true" customHeight="false" outlineLevel="0" collapsed="false">
      <c r="A2767" s="49" t="s">
        <v>2349</v>
      </c>
      <c r="B2767" s="49" t="s">
        <v>2350</v>
      </c>
      <c r="C2767" s="49" t="s">
        <v>5972</v>
      </c>
      <c r="D2767" s="49" t="s">
        <v>2352</v>
      </c>
      <c r="E2767" s="49" t="s">
        <v>4351</v>
      </c>
      <c r="F2767" s="49" t="s">
        <v>4352</v>
      </c>
      <c r="G2767" s="49" t="n">
        <v>0</v>
      </c>
      <c r="H2767" s="0" t="n">
        <v>0</v>
      </c>
      <c r="M2767" s="51" t="s">
        <v>5962</v>
      </c>
      <c r="N2767" s="49" t="n">
        <v>0</v>
      </c>
      <c r="O2767" s="53" t="n">
        <v>45741.6128819444</v>
      </c>
      <c r="P2767" s="53" t="n">
        <v>45753.5876851852</v>
      </c>
      <c r="Q2767" s="53" t="n">
        <v>45741.6128819444</v>
      </c>
      <c r="R2767" s="0" t="n">
        <v>0</v>
      </c>
      <c r="S2767" s="51" t="s">
        <v>2356</v>
      </c>
      <c r="T2767" s="51" t="s">
        <v>2356</v>
      </c>
      <c r="U2767" s="51" t="s">
        <v>4351</v>
      </c>
      <c r="V2767" s="51" t="s">
        <v>2365</v>
      </c>
      <c r="W2767" s="51" t="s">
        <v>4128</v>
      </c>
      <c r="X2767" s="51" t="s">
        <v>2359</v>
      </c>
    </row>
    <row r="2768" customFormat="false" ht="14.25" hidden="true" customHeight="false" outlineLevel="0" collapsed="false">
      <c r="A2768" s="49" t="s">
        <v>2349</v>
      </c>
      <c r="B2768" s="49" t="s">
        <v>2350</v>
      </c>
      <c r="C2768" s="49" t="s">
        <v>5973</v>
      </c>
      <c r="D2768" s="49" t="s">
        <v>2352</v>
      </c>
      <c r="E2768" s="49" t="s">
        <v>4351</v>
      </c>
      <c r="F2768" s="49" t="s">
        <v>4352</v>
      </c>
      <c r="G2768" s="49" t="n">
        <v>0</v>
      </c>
      <c r="H2768" s="0" t="n">
        <v>0</v>
      </c>
      <c r="M2768" s="51" t="s">
        <v>5962</v>
      </c>
      <c r="N2768" s="49" t="n">
        <v>0</v>
      </c>
      <c r="O2768" s="53" t="n">
        <v>45741.6117592593</v>
      </c>
      <c r="P2768" s="53" t="n">
        <v>45750.4646990741</v>
      </c>
      <c r="Q2768" s="53" t="n">
        <v>45741.6117592593</v>
      </c>
      <c r="R2768" s="0" t="n">
        <v>0</v>
      </c>
      <c r="S2768" s="51" t="s">
        <v>2356</v>
      </c>
      <c r="T2768" s="51" t="s">
        <v>2356</v>
      </c>
      <c r="U2768" s="51" t="s">
        <v>4351</v>
      </c>
      <c r="V2768" s="51" t="s">
        <v>2365</v>
      </c>
      <c r="W2768" s="51" t="s">
        <v>5750</v>
      </c>
      <c r="X2768" s="51" t="s">
        <v>2359</v>
      </c>
    </row>
    <row r="2769" customFormat="false" ht="14.25" hidden="true" customHeight="false" outlineLevel="0" collapsed="false">
      <c r="A2769" s="49" t="s">
        <v>2349</v>
      </c>
      <c r="B2769" s="49" t="s">
        <v>2350</v>
      </c>
      <c r="C2769" s="49" t="s">
        <v>5974</v>
      </c>
      <c r="D2769" s="49" t="s">
        <v>2352</v>
      </c>
      <c r="E2769" s="49" t="s">
        <v>4351</v>
      </c>
      <c r="F2769" s="49" t="s">
        <v>4352</v>
      </c>
      <c r="G2769" s="49" t="n">
        <v>0</v>
      </c>
      <c r="H2769" s="0" t="n">
        <v>0</v>
      </c>
      <c r="M2769" s="51" t="s">
        <v>5962</v>
      </c>
      <c r="N2769" s="49" t="n">
        <v>0</v>
      </c>
      <c r="O2769" s="53" t="n">
        <v>45741.611712963</v>
      </c>
      <c r="P2769" s="53" t="n">
        <v>45755.4516666667</v>
      </c>
      <c r="Q2769" s="53" t="n">
        <v>45741.611712963</v>
      </c>
      <c r="R2769" s="0" t="n">
        <v>0</v>
      </c>
      <c r="S2769" s="51" t="s">
        <v>2356</v>
      </c>
      <c r="T2769" s="51" t="s">
        <v>2356</v>
      </c>
      <c r="U2769" s="51" t="s">
        <v>4351</v>
      </c>
      <c r="V2769" s="51" t="s">
        <v>2365</v>
      </c>
      <c r="W2769" s="51" t="s">
        <v>4154</v>
      </c>
      <c r="X2769" s="51" t="s">
        <v>2359</v>
      </c>
    </row>
    <row r="2770" customFormat="false" ht="14.25" hidden="true" customHeight="false" outlineLevel="0" collapsed="false">
      <c r="A2770" s="49" t="s">
        <v>2349</v>
      </c>
      <c r="B2770" s="49" t="s">
        <v>2350</v>
      </c>
      <c r="C2770" s="49" t="s">
        <v>5975</v>
      </c>
      <c r="D2770" s="49" t="s">
        <v>2352</v>
      </c>
      <c r="E2770" s="49" t="s">
        <v>4351</v>
      </c>
      <c r="F2770" s="49" t="s">
        <v>4352</v>
      </c>
      <c r="G2770" s="49" t="n">
        <v>0</v>
      </c>
      <c r="H2770" s="0" t="n">
        <v>0</v>
      </c>
      <c r="M2770" s="51" t="s">
        <v>5962</v>
      </c>
      <c r="N2770" s="49" t="n">
        <v>0</v>
      </c>
      <c r="O2770" s="53" t="n">
        <v>45741.6116666667</v>
      </c>
      <c r="P2770" s="53" t="n">
        <v>45755.452650463</v>
      </c>
      <c r="Q2770" s="53" t="n">
        <v>45741.6116666667</v>
      </c>
      <c r="R2770" s="0" t="n">
        <v>0</v>
      </c>
      <c r="S2770" s="51" t="s">
        <v>2356</v>
      </c>
      <c r="T2770" s="51" t="s">
        <v>2356</v>
      </c>
      <c r="U2770" s="51" t="s">
        <v>4351</v>
      </c>
      <c r="V2770" s="51" t="s">
        <v>2365</v>
      </c>
      <c r="W2770" s="51" t="s">
        <v>4607</v>
      </c>
      <c r="X2770" s="51" t="s">
        <v>2359</v>
      </c>
    </row>
    <row r="2771" customFormat="false" ht="14.25" hidden="true" customHeight="false" outlineLevel="0" collapsed="false">
      <c r="A2771" s="49" t="s">
        <v>2349</v>
      </c>
      <c r="B2771" s="49" t="s">
        <v>2350</v>
      </c>
      <c r="C2771" s="49" t="s">
        <v>5976</v>
      </c>
      <c r="D2771" s="49" t="s">
        <v>2352</v>
      </c>
      <c r="E2771" s="49" t="s">
        <v>4351</v>
      </c>
      <c r="F2771" s="49" t="s">
        <v>4352</v>
      </c>
      <c r="G2771" s="49" t="n">
        <v>0</v>
      </c>
      <c r="H2771" s="0" t="n">
        <v>0</v>
      </c>
      <c r="M2771" s="51" t="s">
        <v>5962</v>
      </c>
      <c r="N2771" s="49" t="n">
        <v>0</v>
      </c>
      <c r="O2771" s="53" t="n">
        <v>45741.6115856482</v>
      </c>
      <c r="P2771" s="53" t="n">
        <v>45755.452962963</v>
      </c>
      <c r="Q2771" s="53" t="n">
        <v>45741.6115856482</v>
      </c>
      <c r="R2771" s="0" t="n">
        <v>0</v>
      </c>
      <c r="S2771" s="51" t="s">
        <v>2356</v>
      </c>
      <c r="T2771" s="51" t="s">
        <v>2356</v>
      </c>
      <c r="U2771" s="51" t="s">
        <v>4351</v>
      </c>
      <c r="V2771" s="51" t="s">
        <v>2365</v>
      </c>
      <c r="W2771" s="51" t="s">
        <v>4357</v>
      </c>
      <c r="X2771" s="51" t="s">
        <v>2359</v>
      </c>
    </row>
    <row r="2772" customFormat="false" ht="14.25" hidden="true" customHeight="false" outlineLevel="0" collapsed="false">
      <c r="A2772" s="49" t="s">
        <v>2349</v>
      </c>
      <c r="B2772" s="49" t="s">
        <v>2350</v>
      </c>
      <c r="C2772" s="49" t="s">
        <v>5977</v>
      </c>
      <c r="D2772" s="49" t="s">
        <v>2352</v>
      </c>
      <c r="E2772" s="49" t="s">
        <v>4351</v>
      </c>
      <c r="F2772" s="49" t="s">
        <v>4352</v>
      </c>
      <c r="G2772" s="49" t="n">
        <v>0</v>
      </c>
      <c r="H2772" s="0" t="n">
        <v>0</v>
      </c>
      <c r="M2772" s="51" t="s">
        <v>5962</v>
      </c>
      <c r="N2772" s="49" t="n">
        <v>0</v>
      </c>
      <c r="O2772" s="53" t="n">
        <v>45741.6115046296</v>
      </c>
      <c r="P2772" s="53" t="n">
        <v>45761.6726157407</v>
      </c>
      <c r="Q2772" s="53" t="n">
        <v>45741.6115046296</v>
      </c>
      <c r="R2772" s="0" t="n">
        <v>0</v>
      </c>
      <c r="S2772" s="51" t="s">
        <v>2356</v>
      </c>
      <c r="T2772" s="51" t="s">
        <v>2356</v>
      </c>
      <c r="U2772" s="51" t="s">
        <v>4351</v>
      </c>
      <c r="V2772" s="51" t="s">
        <v>2365</v>
      </c>
      <c r="W2772" s="51" t="s">
        <v>5494</v>
      </c>
      <c r="X2772" s="51" t="s">
        <v>2359</v>
      </c>
    </row>
    <row r="2773" customFormat="false" ht="14.25" hidden="true" customHeight="false" outlineLevel="0" collapsed="false">
      <c r="A2773" s="49" t="s">
        <v>2349</v>
      </c>
      <c r="B2773" s="49" t="s">
        <v>2350</v>
      </c>
      <c r="C2773" s="49" t="s">
        <v>5978</v>
      </c>
      <c r="D2773" s="49" t="s">
        <v>2352</v>
      </c>
      <c r="E2773" s="49" t="s">
        <v>4351</v>
      </c>
      <c r="F2773" s="49" t="s">
        <v>4352</v>
      </c>
      <c r="G2773" s="49" t="n">
        <v>0</v>
      </c>
      <c r="H2773" s="0" t="n">
        <v>0</v>
      </c>
      <c r="M2773" s="51" t="s">
        <v>5962</v>
      </c>
      <c r="N2773" s="49" t="n">
        <v>0</v>
      </c>
      <c r="O2773" s="53" t="n">
        <v>45741.6114814815</v>
      </c>
      <c r="P2773" s="53" t="n">
        <v>45757.5628935185</v>
      </c>
      <c r="Q2773" s="53" t="n">
        <v>45741.6114814815</v>
      </c>
      <c r="R2773" s="0" t="n">
        <v>0</v>
      </c>
      <c r="S2773" s="51" t="s">
        <v>2356</v>
      </c>
      <c r="T2773" s="51" t="s">
        <v>2356</v>
      </c>
      <c r="U2773" s="51" t="s">
        <v>4351</v>
      </c>
      <c r="V2773" s="51" t="s">
        <v>2365</v>
      </c>
      <c r="W2773" s="51" t="s">
        <v>5147</v>
      </c>
      <c r="X2773" s="51" t="s">
        <v>2359</v>
      </c>
    </row>
    <row r="2774" customFormat="false" ht="14.25" hidden="true" customHeight="false" outlineLevel="0" collapsed="false">
      <c r="A2774" s="49" t="s">
        <v>2349</v>
      </c>
      <c r="B2774" s="49" t="s">
        <v>2350</v>
      </c>
      <c r="C2774" s="49" t="s">
        <v>5979</v>
      </c>
      <c r="D2774" s="49" t="s">
        <v>2352</v>
      </c>
      <c r="E2774" s="49" t="s">
        <v>4351</v>
      </c>
      <c r="F2774" s="49" t="s">
        <v>4352</v>
      </c>
      <c r="G2774" s="49" t="n">
        <v>0</v>
      </c>
      <c r="H2774" s="0" t="n">
        <v>0</v>
      </c>
      <c r="M2774" s="51" t="s">
        <v>5962</v>
      </c>
      <c r="N2774" s="49" t="n">
        <v>0</v>
      </c>
      <c r="O2774" s="53" t="n">
        <v>45741.6114699074</v>
      </c>
      <c r="P2774" s="53" t="n">
        <v>45755.3719097222</v>
      </c>
      <c r="Q2774" s="53" t="n">
        <v>45741.6114699074</v>
      </c>
      <c r="R2774" s="0" t="n">
        <v>0</v>
      </c>
      <c r="S2774" s="51" t="s">
        <v>2356</v>
      </c>
      <c r="T2774" s="51" t="s">
        <v>2356</v>
      </c>
      <c r="U2774" s="51" t="s">
        <v>4351</v>
      </c>
      <c r="V2774" s="51" t="s">
        <v>2365</v>
      </c>
      <c r="W2774" s="51" t="s">
        <v>3683</v>
      </c>
      <c r="X2774" s="51" t="s">
        <v>2359</v>
      </c>
    </row>
    <row r="2775" customFormat="false" ht="14.25" hidden="true" customHeight="false" outlineLevel="0" collapsed="false">
      <c r="A2775" s="49" t="s">
        <v>2349</v>
      </c>
      <c r="B2775" s="49" t="s">
        <v>2350</v>
      </c>
      <c r="C2775" s="49" t="s">
        <v>5980</v>
      </c>
      <c r="D2775" s="49" t="s">
        <v>2352</v>
      </c>
      <c r="E2775" s="49" t="s">
        <v>4351</v>
      </c>
      <c r="F2775" s="49" t="s">
        <v>4352</v>
      </c>
      <c r="G2775" s="49" t="n">
        <v>0</v>
      </c>
      <c r="H2775" s="0" t="n">
        <v>0</v>
      </c>
      <c r="M2775" s="51" t="s">
        <v>5962</v>
      </c>
      <c r="N2775" s="49" t="n">
        <v>0</v>
      </c>
      <c r="O2775" s="53" t="n">
        <v>45741.6129861111</v>
      </c>
      <c r="P2775" s="53" t="n">
        <v>45743.7179513889</v>
      </c>
      <c r="Q2775" s="53" t="n">
        <v>45741.6129861111</v>
      </c>
      <c r="R2775" s="0" t="n">
        <v>0</v>
      </c>
      <c r="S2775" s="51" t="s">
        <v>2356</v>
      </c>
      <c r="T2775" s="51" t="s">
        <v>2356</v>
      </c>
      <c r="U2775" s="51" t="s">
        <v>4351</v>
      </c>
      <c r="V2775" s="51" t="s">
        <v>2365</v>
      </c>
      <c r="W2775" s="51" t="s">
        <v>4365</v>
      </c>
      <c r="X2775" s="51" t="s">
        <v>2359</v>
      </c>
    </row>
    <row r="2776" customFormat="false" ht="14.25" hidden="true" customHeight="false" outlineLevel="0" collapsed="false">
      <c r="A2776" s="49" t="s">
        <v>2349</v>
      </c>
      <c r="B2776" s="49" t="s">
        <v>2350</v>
      </c>
      <c r="C2776" s="49" t="s">
        <v>5981</v>
      </c>
      <c r="D2776" s="49" t="s">
        <v>2352</v>
      </c>
      <c r="E2776" s="49" t="s">
        <v>4351</v>
      </c>
      <c r="F2776" s="49" t="s">
        <v>4352</v>
      </c>
      <c r="G2776" s="49" t="n">
        <v>0</v>
      </c>
      <c r="H2776" s="0" t="n">
        <v>0</v>
      </c>
      <c r="M2776" s="51" t="s">
        <v>5962</v>
      </c>
      <c r="N2776" s="49" t="n">
        <v>0</v>
      </c>
      <c r="O2776" s="53" t="n">
        <v>45741.6114351852</v>
      </c>
      <c r="P2776" s="53" t="n">
        <v>45743.7176157407</v>
      </c>
      <c r="Q2776" s="53" t="n">
        <v>45741.6114351852</v>
      </c>
      <c r="R2776" s="0" t="n">
        <v>0</v>
      </c>
      <c r="S2776" s="51" t="s">
        <v>2356</v>
      </c>
      <c r="T2776" s="51" t="s">
        <v>2356</v>
      </c>
      <c r="U2776" s="51" t="s">
        <v>4351</v>
      </c>
      <c r="V2776" s="51" t="s">
        <v>2365</v>
      </c>
      <c r="W2776" s="51" t="s">
        <v>4144</v>
      </c>
      <c r="X2776" s="51" t="s">
        <v>2359</v>
      </c>
    </row>
    <row r="2777" customFormat="false" ht="14.25" hidden="true" customHeight="false" outlineLevel="0" collapsed="false">
      <c r="A2777" s="49" t="s">
        <v>2349</v>
      </c>
      <c r="B2777" s="49" t="s">
        <v>2350</v>
      </c>
      <c r="C2777" s="49" t="s">
        <v>5982</v>
      </c>
      <c r="D2777" s="49" t="s">
        <v>2352</v>
      </c>
      <c r="E2777" s="49" t="s">
        <v>4351</v>
      </c>
      <c r="F2777" s="49" t="s">
        <v>4352</v>
      </c>
      <c r="G2777" s="49" t="n">
        <v>0</v>
      </c>
      <c r="H2777" s="0" t="n">
        <v>0</v>
      </c>
      <c r="M2777" s="51" t="s">
        <v>5962</v>
      </c>
      <c r="N2777" s="49" t="n">
        <v>0</v>
      </c>
      <c r="O2777" s="53" t="n">
        <v>45741.6112962963</v>
      </c>
      <c r="P2777" s="53" t="n">
        <v>45743.316099537</v>
      </c>
      <c r="Q2777" s="53" t="n">
        <v>45741.6112962963</v>
      </c>
      <c r="R2777" s="0" t="n">
        <v>0</v>
      </c>
      <c r="S2777" s="51" t="s">
        <v>2356</v>
      </c>
      <c r="T2777" s="51" t="s">
        <v>2356</v>
      </c>
      <c r="U2777" s="51" t="s">
        <v>4351</v>
      </c>
      <c r="V2777" s="51" t="s">
        <v>2365</v>
      </c>
      <c r="W2777" s="51" t="s">
        <v>5983</v>
      </c>
      <c r="X2777" s="51" t="s">
        <v>2359</v>
      </c>
    </row>
    <row r="2778" customFormat="false" ht="14.25" hidden="true" customHeight="false" outlineLevel="0" collapsed="false">
      <c r="A2778" s="49" t="s">
        <v>2349</v>
      </c>
      <c r="B2778" s="49" t="s">
        <v>2350</v>
      </c>
      <c r="C2778" s="49" t="s">
        <v>5984</v>
      </c>
      <c r="D2778" s="49" t="s">
        <v>2352</v>
      </c>
      <c r="E2778" s="49" t="str">
        <f aca="false">"5060175133342"</f>
        <v>5060175133342</v>
      </c>
      <c r="F2778" s="49" t="s">
        <v>3849</v>
      </c>
      <c r="G2778" s="49" t="n">
        <v>0</v>
      </c>
      <c r="H2778" s="0" t="n">
        <v>0</v>
      </c>
      <c r="M2778" s="51" t="s">
        <v>5985</v>
      </c>
      <c r="N2778" s="49" t="n">
        <v>0</v>
      </c>
      <c r="O2778" s="53" t="n">
        <v>45738.528599537</v>
      </c>
      <c r="P2778" s="53" t="n">
        <v>45770.9379861111</v>
      </c>
      <c r="Q2778" s="53" t="n">
        <v>45738.528599537</v>
      </c>
      <c r="R2778" s="0" t="n">
        <v>0</v>
      </c>
      <c r="S2778" s="51" t="s">
        <v>2376</v>
      </c>
      <c r="T2778" s="51" t="s">
        <v>2376</v>
      </c>
      <c r="U2778" s="0" t="str">
        <f aca="false">"5060175133342"</f>
        <v>5060175133342</v>
      </c>
      <c r="V2778" s="51" t="s">
        <v>2365</v>
      </c>
      <c r="W2778" s="51" t="s">
        <v>4268</v>
      </c>
      <c r="X2778" s="51" t="s">
        <v>2359</v>
      </c>
    </row>
    <row r="2779" customFormat="false" ht="14.25" hidden="true" customHeight="false" outlineLevel="0" collapsed="false">
      <c r="A2779" s="49" t="s">
        <v>2349</v>
      </c>
      <c r="B2779" s="49" t="s">
        <v>2350</v>
      </c>
      <c r="C2779" s="49" t="s">
        <v>5986</v>
      </c>
      <c r="D2779" s="49" t="s">
        <v>2352</v>
      </c>
      <c r="E2779" s="49" t="str">
        <f aca="false">"5060175133342"</f>
        <v>5060175133342</v>
      </c>
      <c r="F2779" s="49" t="s">
        <v>3849</v>
      </c>
      <c r="G2779" s="49" t="n">
        <v>0</v>
      </c>
      <c r="H2779" s="0" t="n">
        <v>0</v>
      </c>
      <c r="M2779" s="51" t="s">
        <v>5985</v>
      </c>
      <c r="N2779" s="49" t="n">
        <v>0</v>
      </c>
      <c r="O2779" s="53" t="n">
        <v>45738.5288657407</v>
      </c>
      <c r="P2779" s="53" t="n">
        <v>45770.9392824074</v>
      </c>
      <c r="Q2779" s="53" t="n">
        <v>45738.5288657407</v>
      </c>
      <c r="R2779" s="0" t="n">
        <v>0</v>
      </c>
      <c r="S2779" s="51" t="s">
        <v>2376</v>
      </c>
      <c r="T2779" s="51" t="s">
        <v>2376</v>
      </c>
      <c r="U2779" s="0" t="str">
        <f aca="false">"5060175133342"</f>
        <v>5060175133342</v>
      </c>
      <c r="V2779" s="51" t="s">
        <v>2365</v>
      </c>
      <c r="W2779" s="51" t="s">
        <v>5987</v>
      </c>
      <c r="X2779" s="51" t="s">
        <v>2359</v>
      </c>
    </row>
    <row r="2780" customFormat="false" ht="14.25" hidden="true" customHeight="false" outlineLevel="0" collapsed="false">
      <c r="A2780" s="49" t="s">
        <v>2349</v>
      </c>
      <c r="B2780" s="49" t="s">
        <v>2350</v>
      </c>
      <c r="C2780" s="49" t="s">
        <v>5988</v>
      </c>
      <c r="D2780" s="49" t="s">
        <v>2352</v>
      </c>
      <c r="E2780" s="49" t="str">
        <f aca="false">"5060175133274"</f>
        <v>5060175133274</v>
      </c>
      <c r="F2780" s="49" t="s">
        <v>5130</v>
      </c>
      <c r="G2780" s="49" t="n">
        <v>0</v>
      </c>
      <c r="H2780" s="0" t="n">
        <v>0</v>
      </c>
      <c r="M2780" s="51" t="s">
        <v>5989</v>
      </c>
      <c r="N2780" s="49" t="n">
        <v>0</v>
      </c>
      <c r="O2780" s="53" t="n">
        <v>45739.6087384259</v>
      </c>
      <c r="P2780" s="53" t="n">
        <v>45764.564537037</v>
      </c>
      <c r="Q2780" s="53" t="n">
        <v>45739.6087384259</v>
      </c>
      <c r="R2780" s="0" t="n">
        <v>0</v>
      </c>
      <c r="S2780" s="51" t="s">
        <v>2376</v>
      </c>
      <c r="T2780" s="51" t="s">
        <v>2376</v>
      </c>
      <c r="U2780" s="0" t="str">
        <f aca="false">"5060175133274"</f>
        <v>5060175133274</v>
      </c>
      <c r="V2780" s="51" t="s">
        <v>2365</v>
      </c>
      <c r="W2780" s="51" t="s">
        <v>5990</v>
      </c>
      <c r="X2780" s="51" t="s">
        <v>2359</v>
      </c>
    </row>
    <row r="2781" customFormat="false" ht="14.25" hidden="true" customHeight="false" outlineLevel="0" collapsed="false">
      <c r="A2781" s="49" t="s">
        <v>2349</v>
      </c>
      <c r="B2781" s="49" t="s">
        <v>2350</v>
      </c>
      <c r="C2781" s="49" t="s">
        <v>5991</v>
      </c>
      <c r="D2781" s="49" t="s">
        <v>2352</v>
      </c>
      <c r="E2781" s="49" t="str">
        <f aca="false">"5060175133342"</f>
        <v>5060175133342</v>
      </c>
      <c r="F2781" s="49" t="s">
        <v>3849</v>
      </c>
      <c r="G2781" s="49" t="n">
        <v>0</v>
      </c>
      <c r="H2781" s="0" t="n">
        <v>0</v>
      </c>
      <c r="M2781" s="51" t="s">
        <v>5989</v>
      </c>
      <c r="N2781" s="49" t="n">
        <v>0</v>
      </c>
      <c r="O2781" s="53" t="n">
        <v>45739.6098842593</v>
      </c>
      <c r="P2781" s="53" t="n">
        <v>45770.9416782407</v>
      </c>
      <c r="Q2781" s="53" t="n">
        <v>45739.6098842593</v>
      </c>
      <c r="R2781" s="0" t="n">
        <v>0</v>
      </c>
      <c r="S2781" s="51" t="s">
        <v>2376</v>
      </c>
      <c r="T2781" s="51" t="s">
        <v>2376</v>
      </c>
      <c r="U2781" s="0" t="str">
        <f aca="false">"5060175133342"</f>
        <v>5060175133342</v>
      </c>
      <c r="V2781" s="51" t="s">
        <v>2365</v>
      </c>
      <c r="W2781" s="51" t="s">
        <v>5992</v>
      </c>
      <c r="X2781" s="51" t="s">
        <v>2359</v>
      </c>
    </row>
    <row r="2782" customFormat="false" ht="14.25" hidden="true" customHeight="false" outlineLevel="0" collapsed="false">
      <c r="A2782" s="49" t="s">
        <v>2349</v>
      </c>
      <c r="B2782" s="49" t="s">
        <v>2350</v>
      </c>
      <c r="C2782" s="49" t="s">
        <v>5993</v>
      </c>
      <c r="D2782" s="49" t="s">
        <v>2352</v>
      </c>
      <c r="E2782" s="49" t="str">
        <f aca="false">"5060175133342"</f>
        <v>5060175133342</v>
      </c>
      <c r="F2782" s="49" t="s">
        <v>3849</v>
      </c>
      <c r="G2782" s="49" t="n">
        <v>0</v>
      </c>
      <c r="H2782" s="0" t="n">
        <v>0</v>
      </c>
      <c r="M2782" s="51" t="s">
        <v>5989</v>
      </c>
      <c r="N2782" s="49" t="n">
        <v>0</v>
      </c>
      <c r="O2782" s="53" t="n">
        <v>45739.6110185185</v>
      </c>
      <c r="P2782" s="53" t="n">
        <v>45770.9407638889</v>
      </c>
      <c r="Q2782" s="53" t="n">
        <v>45739.6110185185</v>
      </c>
      <c r="R2782" s="0" t="n">
        <v>0</v>
      </c>
      <c r="S2782" s="51" t="s">
        <v>2376</v>
      </c>
      <c r="T2782" s="51" t="s">
        <v>2376</v>
      </c>
      <c r="U2782" s="0" t="str">
        <f aca="false">"5060175133342"</f>
        <v>5060175133342</v>
      </c>
      <c r="V2782" s="51" t="s">
        <v>2365</v>
      </c>
      <c r="W2782" s="51" t="s">
        <v>5882</v>
      </c>
      <c r="X2782" s="51" t="s">
        <v>2359</v>
      </c>
    </row>
    <row r="2783" customFormat="false" ht="14.25" hidden="true" customHeight="false" outlineLevel="0" collapsed="false">
      <c r="A2783" s="49" t="s">
        <v>2349</v>
      </c>
      <c r="B2783" s="49" t="s">
        <v>2350</v>
      </c>
      <c r="C2783" s="49" t="s">
        <v>5994</v>
      </c>
      <c r="D2783" s="49" t="s">
        <v>2352</v>
      </c>
      <c r="E2783" s="49" t="str">
        <f aca="false">"5060175133342"</f>
        <v>5060175133342</v>
      </c>
      <c r="F2783" s="49" t="s">
        <v>3849</v>
      </c>
      <c r="G2783" s="49" t="n">
        <v>0</v>
      </c>
      <c r="H2783" s="0" t="n">
        <v>0</v>
      </c>
      <c r="M2783" s="51" t="s">
        <v>5989</v>
      </c>
      <c r="N2783" s="49" t="n">
        <v>0</v>
      </c>
      <c r="O2783" s="53" t="n">
        <v>45739.6115972222</v>
      </c>
      <c r="P2783" s="53" t="n">
        <v>45770.9373958333</v>
      </c>
      <c r="Q2783" s="53" t="n">
        <v>45739.6115972222</v>
      </c>
      <c r="R2783" s="0" t="n">
        <v>0</v>
      </c>
      <c r="S2783" s="51" t="s">
        <v>2376</v>
      </c>
      <c r="T2783" s="51" t="s">
        <v>2376</v>
      </c>
      <c r="U2783" s="0" t="str">
        <f aca="false">"5060175133342"</f>
        <v>5060175133342</v>
      </c>
      <c r="V2783" s="51" t="s">
        <v>2365</v>
      </c>
      <c r="W2783" s="51" t="s">
        <v>5995</v>
      </c>
      <c r="X2783" s="51" t="s">
        <v>2359</v>
      </c>
    </row>
    <row r="2784" customFormat="false" ht="14.25" hidden="true" customHeight="false" outlineLevel="0" collapsed="false">
      <c r="A2784" s="49" t="s">
        <v>2349</v>
      </c>
      <c r="B2784" s="49" t="s">
        <v>2350</v>
      </c>
      <c r="C2784" s="49" t="s">
        <v>5996</v>
      </c>
      <c r="D2784" s="49" t="s">
        <v>2352</v>
      </c>
      <c r="E2784" s="49" t="str">
        <f aca="false">"5060175133342"</f>
        <v>5060175133342</v>
      </c>
      <c r="F2784" s="49" t="s">
        <v>3849</v>
      </c>
      <c r="G2784" s="49" t="n">
        <v>0</v>
      </c>
      <c r="H2784" s="0" t="n">
        <v>0</v>
      </c>
      <c r="M2784" s="51" t="s">
        <v>5989</v>
      </c>
      <c r="N2784" s="49" t="n">
        <v>0</v>
      </c>
      <c r="O2784" s="53" t="n">
        <v>45739.6094907407</v>
      </c>
      <c r="P2784" s="53" t="n">
        <v>45770.9427199074</v>
      </c>
      <c r="Q2784" s="53" t="n">
        <v>45739.6094907407</v>
      </c>
      <c r="R2784" s="0" t="n">
        <v>0</v>
      </c>
      <c r="S2784" s="51" t="s">
        <v>2376</v>
      </c>
      <c r="T2784" s="51" t="s">
        <v>2376</v>
      </c>
      <c r="U2784" s="0" t="str">
        <f aca="false">"5060175133342"</f>
        <v>5060175133342</v>
      </c>
      <c r="V2784" s="51" t="s">
        <v>2365</v>
      </c>
      <c r="W2784" s="51" t="s">
        <v>5283</v>
      </c>
      <c r="X2784" s="51" t="s">
        <v>2359</v>
      </c>
    </row>
    <row r="2785" customFormat="false" ht="14.25" hidden="true" customHeight="false" outlineLevel="0" collapsed="false">
      <c r="A2785" s="49" t="s">
        <v>2349</v>
      </c>
      <c r="B2785" s="49" t="s">
        <v>2350</v>
      </c>
      <c r="C2785" s="49" t="s">
        <v>5997</v>
      </c>
      <c r="D2785" s="49" t="s">
        <v>2352</v>
      </c>
      <c r="E2785" s="49" t="str">
        <f aca="false">"5060175133342"</f>
        <v>5060175133342</v>
      </c>
      <c r="F2785" s="49" t="s">
        <v>3849</v>
      </c>
      <c r="G2785" s="49" t="n">
        <v>0</v>
      </c>
      <c r="H2785" s="0" t="n">
        <v>0</v>
      </c>
      <c r="M2785" s="51" t="s">
        <v>5989</v>
      </c>
      <c r="N2785" s="49" t="n">
        <v>0</v>
      </c>
      <c r="O2785" s="53" t="n">
        <v>45739.6140393519</v>
      </c>
      <c r="P2785" s="53" t="n">
        <v>45762.2426851852</v>
      </c>
      <c r="Q2785" s="53" t="n">
        <v>45739.6140393519</v>
      </c>
      <c r="R2785" s="0" t="n">
        <v>0</v>
      </c>
      <c r="S2785" s="51" t="s">
        <v>2376</v>
      </c>
      <c r="T2785" s="51" t="s">
        <v>2376</v>
      </c>
      <c r="U2785" s="0" t="str">
        <f aca="false">"5060175133342"</f>
        <v>5060175133342</v>
      </c>
      <c r="V2785" s="51" t="s">
        <v>2365</v>
      </c>
      <c r="W2785" s="51" t="s">
        <v>5697</v>
      </c>
      <c r="X2785" s="51" t="s">
        <v>2359</v>
      </c>
    </row>
    <row r="2786" customFormat="false" ht="14.25" hidden="true" customHeight="false" outlineLevel="0" collapsed="false">
      <c r="A2786" s="49" t="s">
        <v>2349</v>
      </c>
      <c r="B2786" s="49" t="s">
        <v>2350</v>
      </c>
      <c r="C2786" s="49" t="s">
        <v>5998</v>
      </c>
      <c r="D2786" s="49" t="s">
        <v>2352</v>
      </c>
      <c r="E2786" s="49" t="str">
        <f aca="false">"10074865055175"</f>
        <v>10074865055175</v>
      </c>
      <c r="F2786" s="49" t="s">
        <v>5090</v>
      </c>
      <c r="G2786" s="49" t="n">
        <v>0</v>
      </c>
      <c r="H2786" s="0" t="n">
        <v>0</v>
      </c>
      <c r="M2786" s="51" t="s">
        <v>5999</v>
      </c>
      <c r="N2786" s="49" t="n">
        <v>0</v>
      </c>
      <c r="O2786" s="53" t="n">
        <v>45743.5138773148</v>
      </c>
      <c r="P2786" s="53" t="n">
        <v>45766.5942939815</v>
      </c>
      <c r="Q2786" s="53" t="n">
        <v>45743.5138657407</v>
      </c>
      <c r="R2786" s="0" t="n">
        <v>0</v>
      </c>
      <c r="S2786" s="51" t="s">
        <v>2383</v>
      </c>
      <c r="T2786" s="51" t="s">
        <v>2383</v>
      </c>
      <c r="U2786" s="0" t="str">
        <f aca="false">"10074865055175"</f>
        <v>10074865055175</v>
      </c>
      <c r="V2786" s="51" t="s">
        <v>2365</v>
      </c>
      <c r="W2786" s="51" t="s">
        <v>6000</v>
      </c>
      <c r="X2786" s="51" t="s">
        <v>2359</v>
      </c>
    </row>
    <row r="2787" customFormat="false" ht="14.25" hidden="true" customHeight="false" outlineLevel="0" collapsed="false">
      <c r="A2787" s="49" t="s">
        <v>2349</v>
      </c>
      <c r="B2787" s="49" t="s">
        <v>2350</v>
      </c>
      <c r="C2787" s="49" t="s">
        <v>6001</v>
      </c>
      <c r="D2787" s="49" t="s">
        <v>2352</v>
      </c>
      <c r="E2787" s="49" t="str">
        <f aca="false">"10074865055175"</f>
        <v>10074865055175</v>
      </c>
      <c r="F2787" s="49" t="s">
        <v>5090</v>
      </c>
      <c r="G2787" s="49" t="n">
        <v>0</v>
      </c>
      <c r="H2787" s="0" t="n">
        <v>0</v>
      </c>
      <c r="M2787" s="51" t="s">
        <v>5999</v>
      </c>
      <c r="N2787" s="49" t="n">
        <v>0</v>
      </c>
      <c r="O2787" s="53" t="n">
        <v>45743.5142476852</v>
      </c>
      <c r="P2787" s="53" t="n">
        <v>45766.5941898148</v>
      </c>
      <c r="Q2787" s="53" t="n">
        <v>45743.5142476852</v>
      </c>
      <c r="R2787" s="0" t="n">
        <v>0</v>
      </c>
      <c r="S2787" s="51" t="s">
        <v>2383</v>
      </c>
      <c r="T2787" s="51" t="s">
        <v>2383</v>
      </c>
      <c r="U2787" s="0" t="str">
        <f aca="false">"10074865055175"</f>
        <v>10074865055175</v>
      </c>
      <c r="V2787" s="51" t="s">
        <v>2365</v>
      </c>
      <c r="W2787" s="51" t="s">
        <v>6002</v>
      </c>
      <c r="X2787" s="51" t="s">
        <v>2359</v>
      </c>
    </row>
    <row r="2788" customFormat="false" ht="14.25" hidden="true" customHeight="false" outlineLevel="0" collapsed="false">
      <c r="A2788" s="49" t="s">
        <v>2349</v>
      </c>
      <c r="B2788" s="49" t="s">
        <v>2350</v>
      </c>
      <c r="C2788" s="49" t="s">
        <v>6003</v>
      </c>
      <c r="D2788" s="49" t="s">
        <v>2352</v>
      </c>
      <c r="E2788" s="49" t="str">
        <f aca="false">"10074865055175"</f>
        <v>10074865055175</v>
      </c>
      <c r="F2788" s="49" t="s">
        <v>5090</v>
      </c>
      <c r="G2788" s="49" t="n">
        <v>0</v>
      </c>
      <c r="H2788" s="0" t="n">
        <v>0</v>
      </c>
      <c r="M2788" s="51" t="s">
        <v>5999</v>
      </c>
      <c r="N2788" s="49" t="n">
        <v>0</v>
      </c>
      <c r="O2788" s="53" t="n">
        <v>45743.514525463</v>
      </c>
      <c r="P2788" s="53" t="n">
        <v>45766.5965856482</v>
      </c>
      <c r="Q2788" s="53" t="n">
        <v>45743.514525463</v>
      </c>
      <c r="R2788" s="0" t="n">
        <v>0</v>
      </c>
      <c r="S2788" s="51" t="s">
        <v>2383</v>
      </c>
      <c r="T2788" s="51" t="s">
        <v>2383</v>
      </c>
      <c r="U2788" s="0" t="str">
        <f aca="false">"10074865055175"</f>
        <v>10074865055175</v>
      </c>
      <c r="V2788" s="51" t="s">
        <v>2365</v>
      </c>
      <c r="W2788" s="51" t="s">
        <v>6004</v>
      </c>
      <c r="X2788" s="51" t="s">
        <v>2359</v>
      </c>
    </row>
    <row r="2789" customFormat="false" ht="14.25" hidden="true" customHeight="false" outlineLevel="0" collapsed="false">
      <c r="A2789" s="49" t="s">
        <v>2349</v>
      </c>
      <c r="B2789" s="49" t="s">
        <v>2350</v>
      </c>
      <c r="C2789" s="49" t="s">
        <v>6005</v>
      </c>
      <c r="D2789" s="49" t="s">
        <v>2352</v>
      </c>
      <c r="E2789" s="49" t="str">
        <f aca="false">"10074865055175"</f>
        <v>10074865055175</v>
      </c>
      <c r="F2789" s="49" t="s">
        <v>5090</v>
      </c>
      <c r="G2789" s="49" t="n">
        <v>0</v>
      </c>
      <c r="H2789" s="0" t="n">
        <v>0</v>
      </c>
      <c r="M2789" s="51" t="s">
        <v>5999</v>
      </c>
      <c r="N2789" s="49" t="n">
        <v>0</v>
      </c>
      <c r="O2789" s="53" t="n">
        <v>45743.5147569444</v>
      </c>
      <c r="P2789" s="53" t="n">
        <v>45766.5975115741</v>
      </c>
      <c r="Q2789" s="53" t="n">
        <v>45743.5147569444</v>
      </c>
      <c r="R2789" s="0" t="n">
        <v>0</v>
      </c>
      <c r="S2789" s="51" t="s">
        <v>2383</v>
      </c>
      <c r="T2789" s="51" t="s">
        <v>2383</v>
      </c>
      <c r="U2789" s="0" t="str">
        <f aca="false">"10074865055175"</f>
        <v>10074865055175</v>
      </c>
      <c r="V2789" s="51" t="s">
        <v>2365</v>
      </c>
      <c r="W2789" s="51" t="s">
        <v>6006</v>
      </c>
      <c r="X2789" s="51" t="s">
        <v>2359</v>
      </c>
    </row>
    <row r="2790" customFormat="false" ht="14.25" hidden="true" customHeight="false" outlineLevel="0" collapsed="false">
      <c r="A2790" s="49" t="s">
        <v>2349</v>
      </c>
      <c r="B2790" s="49" t="s">
        <v>2350</v>
      </c>
      <c r="C2790" s="49" t="s">
        <v>6007</v>
      </c>
      <c r="D2790" s="49" t="s">
        <v>2352</v>
      </c>
      <c r="E2790" s="49" t="str">
        <f aca="false">"10074865055175"</f>
        <v>10074865055175</v>
      </c>
      <c r="F2790" s="49" t="s">
        <v>5090</v>
      </c>
      <c r="G2790" s="49" t="n">
        <v>0</v>
      </c>
      <c r="H2790" s="0" t="n">
        <v>0</v>
      </c>
      <c r="M2790" s="51" t="s">
        <v>5999</v>
      </c>
      <c r="N2790" s="49" t="n">
        <v>0</v>
      </c>
      <c r="O2790" s="53" t="n">
        <v>45743.5150462963</v>
      </c>
      <c r="P2790" s="53" t="n">
        <v>45766.5971875</v>
      </c>
      <c r="Q2790" s="53" t="n">
        <v>45743.5150462963</v>
      </c>
      <c r="R2790" s="0" t="n">
        <v>0</v>
      </c>
      <c r="S2790" s="51" t="s">
        <v>2383</v>
      </c>
      <c r="T2790" s="51" t="s">
        <v>2383</v>
      </c>
      <c r="U2790" s="0" t="str">
        <f aca="false">"10074865055175"</f>
        <v>10074865055175</v>
      </c>
      <c r="V2790" s="51" t="s">
        <v>2365</v>
      </c>
      <c r="W2790" s="51" t="s">
        <v>6008</v>
      </c>
      <c r="X2790" s="51" t="s">
        <v>2359</v>
      </c>
    </row>
    <row r="2791" customFormat="false" ht="14.25" hidden="true" customHeight="false" outlineLevel="0" collapsed="false">
      <c r="A2791" s="49" t="s">
        <v>2349</v>
      </c>
      <c r="B2791" s="49" t="s">
        <v>2350</v>
      </c>
      <c r="C2791" s="49" t="s">
        <v>6009</v>
      </c>
      <c r="D2791" s="49" t="s">
        <v>2352</v>
      </c>
      <c r="E2791" s="49" t="str">
        <f aca="false">"10074865055175"</f>
        <v>10074865055175</v>
      </c>
      <c r="F2791" s="49" t="s">
        <v>5090</v>
      </c>
      <c r="G2791" s="49" t="n">
        <v>0</v>
      </c>
      <c r="H2791" s="0" t="n">
        <v>0</v>
      </c>
      <c r="M2791" s="51" t="s">
        <v>5999</v>
      </c>
      <c r="N2791" s="49" t="n">
        <v>0</v>
      </c>
      <c r="O2791" s="53" t="n">
        <v>45743.5153125</v>
      </c>
      <c r="P2791" s="53" t="n">
        <v>45766.5992476852</v>
      </c>
      <c r="Q2791" s="53" t="n">
        <v>45743.5153125</v>
      </c>
      <c r="R2791" s="0" t="n">
        <v>0</v>
      </c>
      <c r="S2791" s="51" t="s">
        <v>2383</v>
      </c>
      <c r="T2791" s="51" t="s">
        <v>2383</v>
      </c>
      <c r="U2791" s="0" t="str">
        <f aca="false">"10074865055175"</f>
        <v>10074865055175</v>
      </c>
      <c r="V2791" s="51" t="s">
        <v>2365</v>
      </c>
      <c r="W2791" s="51" t="s">
        <v>6010</v>
      </c>
      <c r="X2791" s="51" t="s">
        <v>2359</v>
      </c>
    </row>
    <row r="2792" customFormat="false" ht="14.25" hidden="true" customHeight="false" outlineLevel="0" collapsed="false">
      <c r="A2792" s="49" t="s">
        <v>2349</v>
      </c>
      <c r="B2792" s="49" t="s">
        <v>2350</v>
      </c>
      <c r="C2792" s="49" t="s">
        <v>6011</v>
      </c>
      <c r="D2792" s="49" t="s">
        <v>2352</v>
      </c>
      <c r="E2792" s="49" t="str">
        <f aca="false">"10074865055175"</f>
        <v>10074865055175</v>
      </c>
      <c r="F2792" s="49" t="s">
        <v>5090</v>
      </c>
      <c r="G2792" s="49" t="n">
        <v>0</v>
      </c>
      <c r="H2792" s="0" t="n">
        <v>0</v>
      </c>
      <c r="M2792" s="51" t="s">
        <v>5999</v>
      </c>
      <c r="N2792" s="49" t="n">
        <v>0</v>
      </c>
      <c r="O2792" s="53" t="n">
        <v>45743.5165856482</v>
      </c>
      <c r="P2792" s="53" t="n">
        <v>45818.6468287037</v>
      </c>
      <c r="Q2792" s="53" t="n">
        <v>45743.5165856482</v>
      </c>
      <c r="R2792" s="0" t="n">
        <v>0</v>
      </c>
      <c r="S2792" s="51" t="s">
        <v>2383</v>
      </c>
      <c r="T2792" s="51" t="s">
        <v>2383</v>
      </c>
      <c r="U2792" s="0" t="str">
        <f aca="false">"10074865055175"</f>
        <v>10074865055175</v>
      </c>
      <c r="V2792" s="51" t="s">
        <v>2365</v>
      </c>
      <c r="W2792" s="51" t="s">
        <v>6012</v>
      </c>
      <c r="X2792" s="51" t="s">
        <v>2359</v>
      </c>
    </row>
    <row r="2793" customFormat="false" ht="14.25" hidden="true" customHeight="false" outlineLevel="0" collapsed="false">
      <c r="A2793" s="49" t="s">
        <v>2349</v>
      </c>
      <c r="B2793" s="49" t="s">
        <v>2350</v>
      </c>
      <c r="C2793" s="49" t="s">
        <v>6013</v>
      </c>
      <c r="D2793" s="49" t="s">
        <v>2352</v>
      </c>
      <c r="E2793" s="49" t="str">
        <f aca="false">"10074865055175"</f>
        <v>10074865055175</v>
      </c>
      <c r="F2793" s="49" t="s">
        <v>5090</v>
      </c>
      <c r="G2793" s="49" t="n">
        <v>0</v>
      </c>
      <c r="H2793" s="0" t="n">
        <v>0</v>
      </c>
      <c r="M2793" s="51" t="s">
        <v>5999</v>
      </c>
      <c r="N2793" s="49" t="n">
        <v>0</v>
      </c>
      <c r="O2793" s="53" t="n">
        <v>45743.5164351852</v>
      </c>
      <c r="P2793" s="53" t="n">
        <v>45809.7743171296</v>
      </c>
      <c r="Q2793" s="53" t="n">
        <v>45743.5164351852</v>
      </c>
      <c r="R2793" s="0" t="n">
        <v>0</v>
      </c>
      <c r="S2793" s="51" t="s">
        <v>2383</v>
      </c>
      <c r="T2793" s="51" t="s">
        <v>2383</v>
      </c>
      <c r="U2793" s="0" t="str">
        <f aca="false">"10074865055175"</f>
        <v>10074865055175</v>
      </c>
      <c r="V2793" s="51" t="s">
        <v>2365</v>
      </c>
      <c r="W2793" s="51" t="s">
        <v>4288</v>
      </c>
      <c r="X2793" s="51" t="s">
        <v>2359</v>
      </c>
    </row>
    <row r="2794" customFormat="false" ht="14.25" hidden="true" customHeight="false" outlineLevel="0" collapsed="false">
      <c r="A2794" s="49" t="s">
        <v>2349</v>
      </c>
      <c r="B2794" s="49" t="s">
        <v>2350</v>
      </c>
      <c r="C2794" s="49" t="s">
        <v>6014</v>
      </c>
      <c r="D2794" s="49" t="s">
        <v>2352</v>
      </c>
      <c r="E2794" s="49" t="str">
        <f aca="false">"10074865055175"</f>
        <v>10074865055175</v>
      </c>
      <c r="F2794" s="49" t="s">
        <v>5090</v>
      </c>
      <c r="G2794" s="49" t="n">
        <v>0</v>
      </c>
      <c r="H2794" s="0" t="n">
        <v>0</v>
      </c>
      <c r="M2794" s="51" t="s">
        <v>5999</v>
      </c>
      <c r="N2794" s="49" t="n">
        <v>0</v>
      </c>
      <c r="O2794" s="53" t="n">
        <v>45743.5162268519</v>
      </c>
      <c r="P2794" s="53" t="n">
        <v>45819.575150463</v>
      </c>
      <c r="Q2794" s="53" t="n">
        <v>45743.5162268519</v>
      </c>
      <c r="R2794" s="0" t="n">
        <v>0</v>
      </c>
      <c r="S2794" s="51" t="s">
        <v>2383</v>
      </c>
      <c r="T2794" s="51" t="s">
        <v>2383</v>
      </c>
      <c r="U2794" s="0" t="str">
        <f aca="false">"10074865055175"</f>
        <v>10074865055175</v>
      </c>
      <c r="V2794" s="51" t="s">
        <v>2365</v>
      </c>
      <c r="W2794" s="51" t="s">
        <v>6015</v>
      </c>
      <c r="X2794" s="51" t="s">
        <v>2359</v>
      </c>
    </row>
    <row r="2795" customFormat="false" ht="14.25" hidden="true" customHeight="false" outlineLevel="0" collapsed="false">
      <c r="A2795" s="49" t="s">
        <v>2349</v>
      </c>
      <c r="B2795" s="49" t="s">
        <v>2350</v>
      </c>
      <c r="C2795" s="49" t="s">
        <v>6016</v>
      </c>
      <c r="D2795" s="49" t="s">
        <v>2352</v>
      </c>
      <c r="E2795" s="49" t="str">
        <f aca="false">"10074865055175"</f>
        <v>10074865055175</v>
      </c>
      <c r="F2795" s="49" t="s">
        <v>5090</v>
      </c>
      <c r="G2795" s="49" t="n">
        <v>0</v>
      </c>
      <c r="H2795" s="0" t="n">
        <v>0</v>
      </c>
      <c r="M2795" s="51" t="s">
        <v>5999</v>
      </c>
      <c r="N2795" s="49" t="n">
        <v>0</v>
      </c>
      <c r="O2795" s="53" t="n">
        <v>45743.5157986111</v>
      </c>
      <c r="P2795" s="53" t="n">
        <v>45766.5991203704</v>
      </c>
      <c r="Q2795" s="53" t="n">
        <v>45743.5157986111</v>
      </c>
      <c r="R2795" s="0" t="n">
        <v>0</v>
      </c>
      <c r="S2795" s="51" t="s">
        <v>2383</v>
      </c>
      <c r="T2795" s="51" t="s">
        <v>2383</v>
      </c>
      <c r="U2795" s="0" t="str">
        <f aca="false">"10074865055175"</f>
        <v>10074865055175</v>
      </c>
      <c r="V2795" s="51" t="s">
        <v>2365</v>
      </c>
      <c r="W2795" s="51" t="s">
        <v>6017</v>
      </c>
      <c r="X2795" s="51" t="s">
        <v>2359</v>
      </c>
    </row>
    <row r="2796" customFormat="false" ht="14.25" hidden="true" customHeight="false" outlineLevel="0" collapsed="false">
      <c r="A2796" s="49" t="s">
        <v>2349</v>
      </c>
      <c r="B2796" s="49" t="s">
        <v>2350</v>
      </c>
      <c r="C2796" s="49" t="s">
        <v>6018</v>
      </c>
      <c r="D2796" s="49" t="s">
        <v>2352</v>
      </c>
      <c r="E2796" s="49" t="str">
        <f aca="false">"10074865055175"</f>
        <v>10074865055175</v>
      </c>
      <c r="F2796" s="49" t="s">
        <v>5090</v>
      </c>
      <c r="G2796" s="49" t="n">
        <v>0</v>
      </c>
      <c r="H2796" s="0" t="n">
        <v>0</v>
      </c>
      <c r="M2796" s="51" t="s">
        <v>5999</v>
      </c>
      <c r="N2796" s="49" t="n">
        <v>0</v>
      </c>
      <c r="O2796" s="53" t="n">
        <v>45743.5159953704</v>
      </c>
      <c r="P2796" s="53" t="n">
        <v>45818.7019444444</v>
      </c>
      <c r="Q2796" s="53" t="n">
        <v>45743.5159953704</v>
      </c>
      <c r="R2796" s="0" t="n">
        <v>0</v>
      </c>
      <c r="S2796" s="51" t="s">
        <v>2383</v>
      </c>
      <c r="T2796" s="51" t="s">
        <v>2383</v>
      </c>
      <c r="U2796" s="0" t="str">
        <f aca="false">"10074865055175"</f>
        <v>10074865055175</v>
      </c>
      <c r="V2796" s="51" t="s">
        <v>2365</v>
      </c>
      <c r="W2796" s="51" t="s">
        <v>6019</v>
      </c>
      <c r="X2796" s="51" t="s">
        <v>2359</v>
      </c>
    </row>
    <row r="2797" customFormat="false" ht="14.25" hidden="true" customHeight="false" outlineLevel="0" collapsed="false">
      <c r="A2797" s="49" t="s">
        <v>2349</v>
      </c>
      <c r="B2797" s="49" t="s">
        <v>2350</v>
      </c>
      <c r="C2797" s="49" t="s">
        <v>6020</v>
      </c>
      <c r="D2797" s="49" t="s">
        <v>2352</v>
      </c>
      <c r="E2797" s="49" t="str">
        <f aca="false">"10074865055175"</f>
        <v>10074865055175</v>
      </c>
      <c r="F2797" s="49" t="s">
        <v>5090</v>
      </c>
      <c r="G2797" s="49" t="n">
        <v>0</v>
      </c>
      <c r="H2797" s="0" t="n">
        <v>0</v>
      </c>
      <c r="M2797" s="51" t="s">
        <v>5999</v>
      </c>
      <c r="N2797" s="49" t="n">
        <v>0</v>
      </c>
      <c r="O2797" s="53" t="n">
        <v>45743.5217824074</v>
      </c>
      <c r="P2797" s="53" t="n">
        <v>45818.6989351852</v>
      </c>
      <c r="Q2797" s="53" t="n">
        <v>45743.5217824074</v>
      </c>
      <c r="R2797" s="0" t="n">
        <v>0</v>
      </c>
      <c r="S2797" s="51" t="s">
        <v>2383</v>
      </c>
      <c r="T2797" s="51" t="s">
        <v>2383</v>
      </c>
      <c r="U2797" s="0" t="str">
        <f aca="false">"10074865055175"</f>
        <v>10074865055175</v>
      </c>
      <c r="V2797" s="51" t="s">
        <v>2365</v>
      </c>
      <c r="W2797" s="51" t="s">
        <v>6021</v>
      </c>
      <c r="X2797" s="51" t="s">
        <v>2359</v>
      </c>
    </row>
    <row r="2798" customFormat="false" ht="14.25" hidden="true" customHeight="false" outlineLevel="0" collapsed="false">
      <c r="A2798" s="49" t="s">
        <v>2349</v>
      </c>
      <c r="B2798" s="49" t="s">
        <v>2350</v>
      </c>
      <c r="C2798" s="49" t="s">
        <v>6022</v>
      </c>
      <c r="D2798" s="49" t="s">
        <v>2352</v>
      </c>
      <c r="E2798" s="49" t="str">
        <f aca="false">"10074865055175"</f>
        <v>10074865055175</v>
      </c>
      <c r="F2798" s="49" t="s">
        <v>5090</v>
      </c>
      <c r="G2798" s="49" t="n">
        <v>0</v>
      </c>
      <c r="H2798" s="0" t="n">
        <v>0</v>
      </c>
      <c r="M2798" s="51" t="s">
        <v>5999</v>
      </c>
      <c r="N2798" s="49" t="n">
        <v>0</v>
      </c>
      <c r="O2798" s="53" t="n">
        <v>45743.5214930556</v>
      </c>
      <c r="P2798" s="53" t="n">
        <v>45818.6981481482</v>
      </c>
      <c r="Q2798" s="53" t="n">
        <v>45743.5214930556</v>
      </c>
      <c r="R2798" s="0" t="n">
        <v>0</v>
      </c>
      <c r="S2798" s="51" t="s">
        <v>2383</v>
      </c>
      <c r="T2798" s="51" t="s">
        <v>2383</v>
      </c>
      <c r="U2798" s="0" t="str">
        <f aca="false">"10074865055175"</f>
        <v>10074865055175</v>
      </c>
      <c r="V2798" s="51" t="s">
        <v>2365</v>
      </c>
      <c r="W2798" s="51" t="s">
        <v>6023</v>
      </c>
      <c r="X2798" s="51" t="s">
        <v>2359</v>
      </c>
    </row>
    <row r="2799" customFormat="false" ht="14.25" hidden="true" customHeight="false" outlineLevel="0" collapsed="false">
      <c r="A2799" s="49" t="s">
        <v>2349</v>
      </c>
      <c r="B2799" s="49" t="s">
        <v>2350</v>
      </c>
      <c r="C2799" s="49" t="s">
        <v>6024</v>
      </c>
      <c r="D2799" s="49" t="s">
        <v>2352</v>
      </c>
      <c r="E2799" s="49" t="str">
        <f aca="false">"10074865055175"</f>
        <v>10074865055175</v>
      </c>
      <c r="F2799" s="49" t="s">
        <v>5090</v>
      </c>
      <c r="G2799" s="49" t="n">
        <v>0</v>
      </c>
      <c r="H2799" s="0" t="n">
        <v>0</v>
      </c>
      <c r="M2799" s="51" t="s">
        <v>5999</v>
      </c>
      <c r="N2799" s="49" t="n">
        <v>0</v>
      </c>
      <c r="O2799" s="53" t="n">
        <v>45743.5212731482</v>
      </c>
      <c r="P2799" s="53" t="n">
        <v>45810.8000925926</v>
      </c>
      <c r="Q2799" s="53" t="n">
        <v>45743.5212731482</v>
      </c>
      <c r="R2799" s="0" t="n">
        <v>0</v>
      </c>
      <c r="S2799" s="51" t="s">
        <v>2383</v>
      </c>
      <c r="T2799" s="51" t="s">
        <v>2383</v>
      </c>
      <c r="U2799" s="0" t="str">
        <f aca="false">"10074865055175"</f>
        <v>10074865055175</v>
      </c>
      <c r="V2799" s="51" t="s">
        <v>2365</v>
      </c>
      <c r="W2799" s="51" t="s">
        <v>6025</v>
      </c>
      <c r="X2799" s="51" t="s">
        <v>2359</v>
      </c>
    </row>
    <row r="2800" customFormat="false" ht="14.25" hidden="true" customHeight="false" outlineLevel="0" collapsed="false">
      <c r="A2800" s="49" t="s">
        <v>2349</v>
      </c>
      <c r="B2800" s="49" t="s">
        <v>2350</v>
      </c>
      <c r="C2800" s="49" t="s">
        <v>6026</v>
      </c>
      <c r="D2800" s="49" t="s">
        <v>2352</v>
      </c>
      <c r="E2800" s="49" t="str">
        <f aca="false">"10074865055175"</f>
        <v>10074865055175</v>
      </c>
      <c r="F2800" s="49" t="s">
        <v>5090</v>
      </c>
      <c r="G2800" s="49" t="n">
        <v>0</v>
      </c>
      <c r="H2800" s="0" t="n">
        <v>0</v>
      </c>
      <c r="M2800" s="51" t="s">
        <v>5999</v>
      </c>
      <c r="N2800" s="49" t="n">
        <v>0</v>
      </c>
      <c r="O2800" s="53" t="n">
        <v>45743.5211226852</v>
      </c>
      <c r="P2800" s="53" t="n">
        <v>45818.6974652778</v>
      </c>
      <c r="Q2800" s="53" t="n">
        <v>45743.5211226852</v>
      </c>
      <c r="R2800" s="0" t="n">
        <v>0</v>
      </c>
      <c r="S2800" s="51" t="s">
        <v>2383</v>
      </c>
      <c r="T2800" s="51" t="s">
        <v>2383</v>
      </c>
      <c r="U2800" s="0" t="str">
        <f aca="false">"10074865055175"</f>
        <v>10074865055175</v>
      </c>
      <c r="V2800" s="51" t="s">
        <v>2365</v>
      </c>
      <c r="W2800" s="51" t="s">
        <v>6027</v>
      </c>
      <c r="X2800" s="51" t="s">
        <v>2359</v>
      </c>
    </row>
    <row r="2801" customFormat="false" ht="14.25" hidden="true" customHeight="false" outlineLevel="0" collapsed="false">
      <c r="A2801" s="49" t="s">
        <v>2349</v>
      </c>
      <c r="B2801" s="49" t="s">
        <v>2350</v>
      </c>
      <c r="C2801" s="49" t="s">
        <v>6028</v>
      </c>
      <c r="D2801" s="49" t="s">
        <v>2352</v>
      </c>
      <c r="E2801" s="49" t="str">
        <f aca="false">"10074865055175"</f>
        <v>10074865055175</v>
      </c>
      <c r="F2801" s="49" t="s">
        <v>5090</v>
      </c>
      <c r="G2801" s="49" t="n">
        <v>0</v>
      </c>
      <c r="H2801" s="0" t="n">
        <v>0</v>
      </c>
      <c r="M2801" s="51" t="s">
        <v>5999</v>
      </c>
      <c r="N2801" s="49" t="n">
        <v>0</v>
      </c>
      <c r="O2801" s="53" t="n">
        <v>45743.5209606482</v>
      </c>
      <c r="P2801" s="53" t="n">
        <v>45818.6995833333</v>
      </c>
      <c r="Q2801" s="53" t="n">
        <v>45743.5209606482</v>
      </c>
      <c r="R2801" s="0" t="n">
        <v>0</v>
      </c>
      <c r="S2801" s="51" t="s">
        <v>2383</v>
      </c>
      <c r="T2801" s="51" t="s">
        <v>2383</v>
      </c>
      <c r="U2801" s="0" t="str">
        <f aca="false">"10074865055175"</f>
        <v>10074865055175</v>
      </c>
      <c r="V2801" s="51" t="s">
        <v>2365</v>
      </c>
      <c r="W2801" s="51" t="s">
        <v>6029</v>
      </c>
      <c r="X2801" s="51" t="s">
        <v>2359</v>
      </c>
    </row>
    <row r="2802" customFormat="false" ht="14.25" hidden="true" customHeight="false" outlineLevel="0" collapsed="false">
      <c r="A2802" s="49" t="s">
        <v>2349</v>
      </c>
      <c r="B2802" s="49" t="s">
        <v>2350</v>
      </c>
      <c r="C2802" s="49" t="s">
        <v>6030</v>
      </c>
      <c r="D2802" s="49" t="s">
        <v>2352</v>
      </c>
      <c r="E2802" s="49" t="str">
        <f aca="false">"10074865055175"</f>
        <v>10074865055175</v>
      </c>
      <c r="F2802" s="49" t="s">
        <v>5090</v>
      </c>
      <c r="G2802" s="49" t="n">
        <v>0</v>
      </c>
      <c r="H2802" s="0" t="n">
        <v>0</v>
      </c>
      <c r="M2802" s="51" t="s">
        <v>5999</v>
      </c>
      <c r="N2802" s="49" t="n">
        <v>0</v>
      </c>
      <c r="O2802" s="53" t="n">
        <v>45743.5207638889</v>
      </c>
      <c r="P2802" s="53" t="n">
        <v>45766.6316435185</v>
      </c>
      <c r="Q2802" s="53" t="n">
        <v>45743.5207638889</v>
      </c>
      <c r="R2802" s="0" t="n">
        <v>0</v>
      </c>
      <c r="S2802" s="51" t="s">
        <v>2383</v>
      </c>
      <c r="T2802" s="51" t="s">
        <v>2383</v>
      </c>
      <c r="U2802" s="0" t="str">
        <f aca="false">"10074865055175"</f>
        <v>10074865055175</v>
      </c>
      <c r="V2802" s="51" t="s">
        <v>2365</v>
      </c>
      <c r="W2802" s="51" t="s">
        <v>6031</v>
      </c>
      <c r="X2802" s="51" t="s">
        <v>2359</v>
      </c>
    </row>
    <row r="2803" customFormat="false" ht="14.25" hidden="true" customHeight="false" outlineLevel="0" collapsed="false">
      <c r="A2803" s="49" t="s">
        <v>2349</v>
      </c>
      <c r="B2803" s="49" t="s">
        <v>2350</v>
      </c>
      <c r="C2803" s="49" t="s">
        <v>6032</v>
      </c>
      <c r="D2803" s="49" t="s">
        <v>2352</v>
      </c>
      <c r="E2803" s="49" t="str">
        <f aca="false">"10074865055175"</f>
        <v>10074865055175</v>
      </c>
      <c r="F2803" s="49" t="s">
        <v>5090</v>
      </c>
      <c r="G2803" s="49" t="n">
        <v>0</v>
      </c>
      <c r="H2803" s="0" t="n">
        <v>0</v>
      </c>
      <c r="M2803" s="51" t="s">
        <v>5999</v>
      </c>
      <c r="N2803" s="49" t="n">
        <v>0</v>
      </c>
      <c r="O2803" s="53" t="n">
        <v>45743.5205671296</v>
      </c>
      <c r="P2803" s="53" t="n">
        <v>45766.6311342593</v>
      </c>
      <c r="Q2803" s="53" t="n">
        <v>45743.5205671296</v>
      </c>
      <c r="R2803" s="0" t="n">
        <v>0</v>
      </c>
      <c r="S2803" s="51" t="s">
        <v>2383</v>
      </c>
      <c r="T2803" s="51" t="s">
        <v>2383</v>
      </c>
      <c r="U2803" s="0" t="str">
        <f aca="false">"10074865055175"</f>
        <v>10074865055175</v>
      </c>
      <c r="V2803" s="51" t="s">
        <v>2365</v>
      </c>
      <c r="W2803" s="51" t="s">
        <v>6033</v>
      </c>
      <c r="X2803" s="51" t="s">
        <v>2359</v>
      </c>
    </row>
    <row r="2804" customFormat="false" ht="14.25" hidden="true" customHeight="false" outlineLevel="0" collapsed="false">
      <c r="A2804" s="49" t="s">
        <v>2349</v>
      </c>
      <c r="B2804" s="49" t="s">
        <v>2350</v>
      </c>
      <c r="C2804" s="49" t="s">
        <v>6034</v>
      </c>
      <c r="D2804" s="49" t="s">
        <v>2352</v>
      </c>
      <c r="E2804" s="49" t="str">
        <f aca="false">"10074865055175"</f>
        <v>10074865055175</v>
      </c>
      <c r="F2804" s="49" t="s">
        <v>5090</v>
      </c>
      <c r="G2804" s="49" t="n">
        <v>0</v>
      </c>
      <c r="H2804" s="0" t="n">
        <v>0</v>
      </c>
      <c r="M2804" s="51" t="s">
        <v>5999</v>
      </c>
      <c r="N2804" s="49" t="n">
        <v>0</v>
      </c>
      <c r="O2804" s="53" t="n">
        <v>45743.5203703704</v>
      </c>
      <c r="P2804" s="53" t="n">
        <v>45818.6943634259</v>
      </c>
      <c r="Q2804" s="53" t="n">
        <v>45743.5203703704</v>
      </c>
      <c r="R2804" s="0" t="n">
        <v>0</v>
      </c>
      <c r="S2804" s="51" t="s">
        <v>2383</v>
      </c>
      <c r="T2804" s="51" t="s">
        <v>2383</v>
      </c>
      <c r="U2804" s="0" t="str">
        <f aca="false">"10074865055175"</f>
        <v>10074865055175</v>
      </c>
      <c r="V2804" s="51" t="s">
        <v>2365</v>
      </c>
      <c r="W2804" s="51" t="s">
        <v>6035</v>
      </c>
      <c r="X2804" s="51" t="s">
        <v>2359</v>
      </c>
    </row>
    <row r="2805" customFormat="false" ht="14.25" hidden="true" customHeight="false" outlineLevel="0" collapsed="false">
      <c r="A2805" s="49" t="s">
        <v>2349</v>
      </c>
      <c r="B2805" s="49" t="s">
        <v>2350</v>
      </c>
      <c r="C2805" s="49" t="s">
        <v>6036</v>
      </c>
      <c r="D2805" s="49" t="s">
        <v>2352</v>
      </c>
      <c r="E2805" s="49" t="str">
        <f aca="false">"10074865055175"</f>
        <v>10074865055175</v>
      </c>
      <c r="F2805" s="49" t="s">
        <v>5090</v>
      </c>
      <c r="G2805" s="49" t="n">
        <v>0</v>
      </c>
      <c r="H2805" s="0" t="n">
        <v>0</v>
      </c>
      <c r="M2805" s="51" t="s">
        <v>5999</v>
      </c>
      <c r="N2805" s="49" t="n">
        <v>0</v>
      </c>
      <c r="O2805" s="53" t="n">
        <v>45743.5226851852</v>
      </c>
      <c r="P2805" s="53" t="n">
        <v>45787.3971990741</v>
      </c>
      <c r="Q2805" s="53" t="n">
        <v>45743.5226851852</v>
      </c>
      <c r="R2805" s="0" t="n">
        <v>0</v>
      </c>
      <c r="S2805" s="51" t="s">
        <v>2383</v>
      </c>
      <c r="T2805" s="51" t="s">
        <v>2383</v>
      </c>
      <c r="U2805" s="0" t="str">
        <f aca="false">"10074865055175"</f>
        <v>10074865055175</v>
      </c>
      <c r="V2805" s="51" t="s">
        <v>2365</v>
      </c>
      <c r="W2805" s="51" t="s">
        <v>6037</v>
      </c>
      <c r="X2805" s="51" t="s">
        <v>2359</v>
      </c>
    </row>
    <row r="2806" customFormat="false" ht="14.25" hidden="true" customHeight="false" outlineLevel="0" collapsed="false">
      <c r="A2806" s="49" t="s">
        <v>2349</v>
      </c>
      <c r="B2806" s="49" t="s">
        <v>2350</v>
      </c>
      <c r="C2806" s="49" t="s">
        <v>6038</v>
      </c>
      <c r="D2806" s="49" t="s">
        <v>2352</v>
      </c>
      <c r="E2806" s="49" t="str">
        <f aca="false">"10074865055175"</f>
        <v>10074865055175</v>
      </c>
      <c r="F2806" s="49" t="s">
        <v>5090</v>
      </c>
      <c r="G2806" s="49" t="n">
        <v>0</v>
      </c>
      <c r="H2806" s="0" t="n">
        <v>0</v>
      </c>
      <c r="M2806" s="51" t="s">
        <v>5999</v>
      </c>
      <c r="N2806" s="49" t="n">
        <v>0</v>
      </c>
      <c r="O2806" s="53" t="n">
        <v>45743.5231481481</v>
      </c>
      <c r="P2806" s="53" t="n">
        <v>45823.4078125</v>
      </c>
      <c r="Q2806" s="53" t="n">
        <v>45743.5231481481</v>
      </c>
      <c r="R2806" s="0" t="n">
        <v>0</v>
      </c>
      <c r="S2806" s="51" t="s">
        <v>2383</v>
      </c>
      <c r="T2806" s="51" t="s">
        <v>2383</v>
      </c>
      <c r="U2806" s="0" t="str">
        <f aca="false">"10074865055175"</f>
        <v>10074865055175</v>
      </c>
      <c r="V2806" s="51" t="s">
        <v>2365</v>
      </c>
      <c r="W2806" s="51" t="s">
        <v>6039</v>
      </c>
      <c r="X2806" s="51" t="s">
        <v>2359</v>
      </c>
    </row>
    <row r="2807" customFormat="false" ht="14.25" hidden="true" customHeight="false" outlineLevel="0" collapsed="false">
      <c r="A2807" s="49" t="s">
        <v>2349</v>
      </c>
      <c r="B2807" s="49" t="s">
        <v>2350</v>
      </c>
      <c r="C2807" s="49" t="s">
        <v>6040</v>
      </c>
      <c r="D2807" s="49" t="s">
        <v>2352</v>
      </c>
      <c r="E2807" s="49" t="str">
        <f aca="false">"10074865055175"</f>
        <v>10074865055175</v>
      </c>
      <c r="F2807" s="49" t="s">
        <v>5090</v>
      </c>
      <c r="G2807" s="49" t="n">
        <v>0</v>
      </c>
      <c r="H2807" s="0" t="n">
        <v>0</v>
      </c>
      <c r="M2807" s="51" t="s">
        <v>5999</v>
      </c>
      <c r="N2807" s="49" t="n">
        <v>0</v>
      </c>
      <c r="O2807" s="53" t="n">
        <v>45743.5235185185</v>
      </c>
      <c r="P2807" s="53" t="n">
        <v>45766.6174652778</v>
      </c>
      <c r="Q2807" s="53" t="n">
        <v>45743.5235185185</v>
      </c>
      <c r="R2807" s="0" t="n">
        <v>0</v>
      </c>
      <c r="S2807" s="51" t="s">
        <v>2383</v>
      </c>
      <c r="T2807" s="51" t="s">
        <v>2383</v>
      </c>
      <c r="U2807" s="0" t="str">
        <f aca="false">"10074865055175"</f>
        <v>10074865055175</v>
      </c>
      <c r="V2807" s="51" t="s">
        <v>2365</v>
      </c>
      <c r="W2807" s="51" t="s">
        <v>3990</v>
      </c>
      <c r="X2807" s="51" t="s">
        <v>2359</v>
      </c>
    </row>
    <row r="2808" customFormat="false" ht="14.25" hidden="true" customHeight="false" outlineLevel="0" collapsed="false">
      <c r="A2808" s="49" t="s">
        <v>2349</v>
      </c>
      <c r="B2808" s="49" t="s">
        <v>2350</v>
      </c>
      <c r="C2808" s="49" t="s">
        <v>6041</v>
      </c>
      <c r="D2808" s="49" t="s">
        <v>2352</v>
      </c>
      <c r="E2808" s="49" t="str">
        <f aca="false">"10074865055175"</f>
        <v>10074865055175</v>
      </c>
      <c r="F2808" s="49" t="s">
        <v>5090</v>
      </c>
      <c r="G2808" s="49" t="n">
        <v>0</v>
      </c>
      <c r="H2808" s="0" t="n">
        <v>0</v>
      </c>
      <c r="M2808" s="51" t="s">
        <v>5999</v>
      </c>
      <c r="N2808" s="49" t="n">
        <v>0</v>
      </c>
      <c r="O2808" s="53" t="n">
        <v>45743.5250347222</v>
      </c>
      <c r="P2808" s="53" t="n">
        <v>45819.5728587963</v>
      </c>
      <c r="Q2808" s="53" t="n">
        <v>45743.5250347222</v>
      </c>
      <c r="R2808" s="0" t="n">
        <v>0</v>
      </c>
      <c r="S2808" s="51" t="s">
        <v>2383</v>
      </c>
      <c r="T2808" s="51" t="s">
        <v>2383</v>
      </c>
      <c r="U2808" s="0" t="str">
        <f aca="false">"10074865055175"</f>
        <v>10074865055175</v>
      </c>
      <c r="V2808" s="51" t="s">
        <v>2365</v>
      </c>
      <c r="W2808" s="51" t="s">
        <v>6042</v>
      </c>
      <c r="X2808" s="51" t="s">
        <v>2359</v>
      </c>
    </row>
    <row r="2809" customFormat="false" ht="14.25" hidden="true" customHeight="false" outlineLevel="0" collapsed="false">
      <c r="A2809" s="49" t="s">
        <v>2349</v>
      </c>
      <c r="B2809" s="49" t="s">
        <v>2350</v>
      </c>
      <c r="C2809" s="49" t="s">
        <v>6043</v>
      </c>
      <c r="D2809" s="49" t="s">
        <v>2352</v>
      </c>
      <c r="E2809" s="49" t="str">
        <f aca="false">"10074865055175"</f>
        <v>10074865055175</v>
      </c>
      <c r="F2809" s="49" t="s">
        <v>5090</v>
      </c>
      <c r="G2809" s="49" t="n">
        <v>0</v>
      </c>
      <c r="H2809" s="0" t="n">
        <v>0</v>
      </c>
      <c r="M2809" s="51" t="s">
        <v>5999</v>
      </c>
      <c r="N2809" s="49" t="n">
        <v>0</v>
      </c>
      <c r="O2809" s="53" t="n">
        <v>45743.5248726852</v>
      </c>
      <c r="P2809" s="53" t="n">
        <v>45819.5716087963</v>
      </c>
      <c r="Q2809" s="53" t="n">
        <v>45743.5248726852</v>
      </c>
      <c r="R2809" s="0" t="n">
        <v>0</v>
      </c>
      <c r="S2809" s="51" t="s">
        <v>2383</v>
      </c>
      <c r="T2809" s="51" t="s">
        <v>2383</v>
      </c>
      <c r="U2809" s="0" t="str">
        <f aca="false">"10074865055175"</f>
        <v>10074865055175</v>
      </c>
      <c r="V2809" s="51" t="s">
        <v>2365</v>
      </c>
      <c r="W2809" s="51" t="s">
        <v>6044</v>
      </c>
      <c r="X2809" s="51" t="s">
        <v>2359</v>
      </c>
    </row>
    <row r="2810" customFormat="false" ht="14.25" hidden="true" customHeight="false" outlineLevel="0" collapsed="false">
      <c r="A2810" s="49" t="s">
        <v>2349</v>
      </c>
      <c r="B2810" s="49" t="s">
        <v>2350</v>
      </c>
      <c r="C2810" s="49" t="s">
        <v>6045</v>
      </c>
      <c r="D2810" s="49" t="s">
        <v>2352</v>
      </c>
      <c r="E2810" s="49" t="str">
        <f aca="false">"10074865055175"</f>
        <v>10074865055175</v>
      </c>
      <c r="F2810" s="49" t="s">
        <v>5090</v>
      </c>
      <c r="G2810" s="49" t="n">
        <v>0</v>
      </c>
      <c r="H2810" s="0" t="n">
        <v>0</v>
      </c>
      <c r="M2810" s="51" t="s">
        <v>5999</v>
      </c>
      <c r="N2810" s="49" t="n">
        <v>0</v>
      </c>
      <c r="O2810" s="53" t="n">
        <v>45743.5247337963</v>
      </c>
      <c r="P2810" s="53" t="n">
        <v>45819.5708101852</v>
      </c>
      <c r="Q2810" s="53" t="n">
        <v>45743.5247337963</v>
      </c>
      <c r="R2810" s="0" t="n">
        <v>0</v>
      </c>
      <c r="S2810" s="51" t="s">
        <v>2383</v>
      </c>
      <c r="T2810" s="51" t="s">
        <v>2383</v>
      </c>
      <c r="U2810" s="0" t="str">
        <f aca="false">"10074865055175"</f>
        <v>10074865055175</v>
      </c>
      <c r="V2810" s="51" t="s">
        <v>2365</v>
      </c>
      <c r="W2810" s="51" t="s">
        <v>6046</v>
      </c>
      <c r="X2810" s="51" t="s">
        <v>2359</v>
      </c>
    </row>
    <row r="2811" customFormat="false" ht="14.25" hidden="true" customHeight="false" outlineLevel="0" collapsed="false">
      <c r="A2811" s="49" t="s">
        <v>2349</v>
      </c>
      <c r="B2811" s="49" t="s">
        <v>2350</v>
      </c>
      <c r="C2811" s="49" t="s">
        <v>6047</v>
      </c>
      <c r="D2811" s="49" t="s">
        <v>2352</v>
      </c>
      <c r="E2811" s="49" t="str">
        <f aca="false">"10074865055175"</f>
        <v>10074865055175</v>
      </c>
      <c r="F2811" s="49" t="s">
        <v>5090</v>
      </c>
      <c r="G2811" s="49" t="n">
        <v>0</v>
      </c>
      <c r="H2811" s="0" t="n">
        <v>0</v>
      </c>
      <c r="M2811" s="51" t="s">
        <v>5999</v>
      </c>
      <c r="N2811" s="49" t="n">
        <v>0</v>
      </c>
      <c r="O2811" s="53" t="n">
        <v>45743.5245486111</v>
      </c>
      <c r="P2811" s="53" t="n">
        <v>45766.5918634259</v>
      </c>
      <c r="Q2811" s="53" t="n">
        <v>45743.5245486111</v>
      </c>
      <c r="R2811" s="0" t="n">
        <v>0</v>
      </c>
      <c r="S2811" s="51" t="s">
        <v>2383</v>
      </c>
      <c r="T2811" s="51" t="s">
        <v>2383</v>
      </c>
      <c r="U2811" s="0" t="str">
        <f aca="false">"10074865055175"</f>
        <v>10074865055175</v>
      </c>
      <c r="V2811" s="51" t="s">
        <v>2365</v>
      </c>
      <c r="W2811" s="51" t="s">
        <v>6048</v>
      </c>
      <c r="X2811" s="51" t="s">
        <v>2359</v>
      </c>
    </row>
    <row r="2812" customFormat="false" ht="14.25" hidden="true" customHeight="false" outlineLevel="0" collapsed="false">
      <c r="A2812" s="49" t="s">
        <v>2349</v>
      </c>
      <c r="B2812" s="49" t="s">
        <v>2350</v>
      </c>
      <c r="C2812" s="49" t="s">
        <v>6049</v>
      </c>
      <c r="D2812" s="49" t="s">
        <v>2352</v>
      </c>
      <c r="E2812" s="49" t="str">
        <f aca="false">"10074865055175"</f>
        <v>10074865055175</v>
      </c>
      <c r="F2812" s="49" t="s">
        <v>5090</v>
      </c>
      <c r="G2812" s="49" t="n">
        <v>0</v>
      </c>
      <c r="H2812" s="0" t="n">
        <v>0</v>
      </c>
      <c r="M2812" s="51" t="s">
        <v>5999</v>
      </c>
      <c r="N2812" s="49" t="n">
        <v>0</v>
      </c>
      <c r="O2812" s="53" t="n">
        <v>45743.5243634259</v>
      </c>
      <c r="P2812" s="53" t="n">
        <v>45818.7341782407</v>
      </c>
      <c r="Q2812" s="53" t="n">
        <v>45743.5243634259</v>
      </c>
      <c r="R2812" s="0" t="n">
        <v>0</v>
      </c>
      <c r="S2812" s="51" t="s">
        <v>2383</v>
      </c>
      <c r="T2812" s="51" t="s">
        <v>2383</v>
      </c>
      <c r="U2812" s="0" t="str">
        <f aca="false">"10074865055175"</f>
        <v>10074865055175</v>
      </c>
      <c r="V2812" s="51" t="s">
        <v>2365</v>
      </c>
      <c r="W2812" s="51" t="s">
        <v>6050</v>
      </c>
      <c r="X2812" s="51" t="s">
        <v>2359</v>
      </c>
    </row>
    <row r="2813" customFormat="false" ht="14.25" hidden="true" customHeight="false" outlineLevel="0" collapsed="false">
      <c r="A2813" s="49" t="s">
        <v>2349</v>
      </c>
      <c r="B2813" s="49" t="s">
        <v>2350</v>
      </c>
      <c r="C2813" s="49" t="s">
        <v>6051</v>
      </c>
      <c r="D2813" s="49" t="s">
        <v>2352</v>
      </c>
      <c r="E2813" s="49" t="str">
        <f aca="false">"5060175132963"</f>
        <v>5060175132963</v>
      </c>
      <c r="F2813" s="49" t="s">
        <v>6052</v>
      </c>
      <c r="G2813" s="49" t="n">
        <v>0</v>
      </c>
      <c r="H2813" s="0" t="n">
        <v>0</v>
      </c>
      <c r="M2813" s="51" t="s">
        <v>6053</v>
      </c>
      <c r="N2813" s="49" t="n">
        <v>0</v>
      </c>
      <c r="O2813" s="53" t="n">
        <v>45738.4878356482</v>
      </c>
      <c r="P2813" s="53" t="n">
        <v>45749.4637384259</v>
      </c>
      <c r="Q2813" s="53" t="n">
        <v>45738.4878356482</v>
      </c>
      <c r="R2813" s="0" t="n">
        <v>0</v>
      </c>
      <c r="S2813" s="51" t="s">
        <v>2376</v>
      </c>
      <c r="T2813" s="51" t="s">
        <v>2376</v>
      </c>
      <c r="U2813" s="0" t="str">
        <f aca="false">"5060175132963"</f>
        <v>5060175132963</v>
      </c>
      <c r="V2813" s="51" t="s">
        <v>2365</v>
      </c>
      <c r="W2813" s="51" t="s">
        <v>6054</v>
      </c>
      <c r="X2813" s="51" t="s">
        <v>2359</v>
      </c>
    </row>
    <row r="2814" customFormat="false" ht="14.25" hidden="true" customHeight="false" outlineLevel="0" collapsed="false">
      <c r="A2814" s="49" t="s">
        <v>2349</v>
      </c>
      <c r="B2814" s="49" t="s">
        <v>2350</v>
      </c>
      <c r="C2814" s="49" t="s">
        <v>6055</v>
      </c>
      <c r="D2814" s="49" t="s">
        <v>2352</v>
      </c>
      <c r="E2814" s="49" t="str">
        <f aca="false">"5060175132987"</f>
        <v>5060175132987</v>
      </c>
      <c r="F2814" s="49" t="s">
        <v>3953</v>
      </c>
      <c r="G2814" s="49" t="n">
        <v>0</v>
      </c>
      <c r="H2814" s="0" t="n">
        <v>0</v>
      </c>
      <c r="M2814" s="51" t="s">
        <v>6053</v>
      </c>
      <c r="N2814" s="49" t="n">
        <v>0</v>
      </c>
      <c r="O2814" s="53" t="n">
        <v>45738.486412037</v>
      </c>
      <c r="P2814" s="53" t="n">
        <v>45797.7974189815</v>
      </c>
      <c r="Q2814" s="53" t="n">
        <v>45738.486412037</v>
      </c>
      <c r="R2814" s="0" t="n">
        <v>0</v>
      </c>
      <c r="S2814" s="51" t="s">
        <v>2376</v>
      </c>
      <c r="T2814" s="51" t="s">
        <v>2376</v>
      </c>
      <c r="U2814" s="0" t="str">
        <f aca="false">"5060175132987"</f>
        <v>5060175132987</v>
      </c>
      <c r="V2814" s="51" t="s">
        <v>2365</v>
      </c>
      <c r="W2814" s="51" t="s">
        <v>4076</v>
      </c>
      <c r="X2814" s="51" t="s">
        <v>2359</v>
      </c>
    </row>
    <row r="2815" customFormat="false" ht="14.25" hidden="true" customHeight="false" outlineLevel="0" collapsed="false">
      <c r="A2815" s="49" t="s">
        <v>2349</v>
      </c>
      <c r="B2815" s="49" t="s">
        <v>2350</v>
      </c>
      <c r="C2815" s="49" t="s">
        <v>6056</v>
      </c>
      <c r="D2815" s="49" t="s">
        <v>2352</v>
      </c>
      <c r="E2815" s="49" t="str">
        <f aca="false">"5060175132963"</f>
        <v>5060175132963</v>
      </c>
      <c r="F2815" s="49" t="s">
        <v>6052</v>
      </c>
      <c r="G2815" s="49" t="n">
        <v>0</v>
      </c>
      <c r="H2815" s="0" t="n">
        <v>0</v>
      </c>
      <c r="M2815" s="51" t="s">
        <v>6053</v>
      </c>
      <c r="N2815" s="49" t="n">
        <v>0</v>
      </c>
      <c r="O2815" s="53" t="n">
        <v>45738.4880902778</v>
      </c>
      <c r="P2815" s="53" t="n">
        <v>45742.0961458333</v>
      </c>
      <c r="Q2815" s="53" t="n">
        <v>45738.4880902778</v>
      </c>
      <c r="R2815" s="0" t="n">
        <v>0</v>
      </c>
      <c r="S2815" s="51" t="s">
        <v>2376</v>
      </c>
      <c r="T2815" s="51" t="s">
        <v>2376</v>
      </c>
      <c r="U2815" s="0" t="str">
        <f aca="false">"5060175132963"</f>
        <v>5060175132963</v>
      </c>
      <c r="V2815" s="51" t="s">
        <v>2365</v>
      </c>
      <c r="W2815" s="51" t="s">
        <v>4998</v>
      </c>
      <c r="X2815" s="51" t="s">
        <v>2359</v>
      </c>
    </row>
    <row r="2816" customFormat="false" ht="14.25" hidden="true" customHeight="false" outlineLevel="0" collapsed="false">
      <c r="A2816" s="49" t="s">
        <v>2349</v>
      </c>
      <c r="B2816" s="49" t="s">
        <v>2350</v>
      </c>
      <c r="C2816" s="49" t="s">
        <v>6057</v>
      </c>
      <c r="D2816" s="49" t="s">
        <v>2352</v>
      </c>
      <c r="E2816" s="49" t="str">
        <f aca="false">"5060175132963"</f>
        <v>5060175132963</v>
      </c>
      <c r="F2816" s="49" t="s">
        <v>6052</v>
      </c>
      <c r="G2816" s="49" t="n">
        <v>0</v>
      </c>
      <c r="H2816" s="0" t="n">
        <v>0</v>
      </c>
      <c r="M2816" s="51" t="s">
        <v>6053</v>
      </c>
      <c r="N2816" s="49" t="n">
        <v>0</v>
      </c>
      <c r="O2816" s="53" t="n">
        <v>45738.4889467593</v>
      </c>
      <c r="P2816" s="53" t="n">
        <v>46021.154537037</v>
      </c>
      <c r="Q2816" s="53" t="n">
        <v>45738.4889467593</v>
      </c>
      <c r="R2816" s="0" t="n">
        <v>0</v>
      </c>
      <c r="S2816" s="51" t="s">
        <v>2376</v>
      </c>
      <c r="T2816" s="51" t="s">
        <v>2376</v>
      </c>
      <c r="U2816" s="0" t="str">
        <f aca="false">"5060175132963"</f>
        <v>5060175132963</v>
      </c>
      <c r="V2816" s="51" t="s">
        <v>2365</v>
      </c>
      <c r="W2816" s="51" t="s">
        <v>6058</v>
      </c>
      <c r="X2816" s="51" t="s">
        <v>2359</v>
      </c>
    </row>
    <row r="2817" customFormat="false" ht="14.25" hidden="true" customHeight="false" outlineLevel="0" collapsed="false">
      <c r="A2817" s="49" t="s">
        <v>2349</v>
      </c>
      <c r="B2817" s="49" t="s">
        <v>2350</v>
      </c>
      <c r="C2817" s="49" t="s">
        <v>6059</v>
      </c>
      <c r="D2817" s="49" t="s">
        <v>2352</v>
      </c>
      <c r="E2817" s="49" t="str">
        <f aca="false">"5060175132963"</f>
        <v>5060175132963</v>
      </c>
      <c r="F2817" s="49" t="s">
        <v>6052</v>
      </c>
      <c r="G2817" s="49" t="n">
        <v>0</v>
      </c>
      <c r="H2817" s="0" t="n">
        <v>0</v>
      </c>
      <c r="M2817" s="51" t="s">
        <v>6053</v>
      </c>
      <c r="N2817" s="49" t="n">
        <v>0</v>
      </c>
      <c r="O2817" s="53" t="n">
        <v>45738.4891319444</v>
      </c>
      <c r="P2817" s="53" t="n">
        <v>45801.4862731482</v>
      </c>
      <c r="Q2817" s="53" t="n">
        <v>45738.4891319444</v>
      </c>
      <c r="R2817" s="0" t="n">
        <v>0</v>
      </c>
      <c r="S2817" s="51" t="s">
        <v>2376</v>
      </c>
      <c r="T2817" s="51" t="s">
        <v>2376</v>
      </c>
      <c r="U2817" s="0" t="str">
        <f aca="false">"5060175132963"</f>
        <v>5060175132963</v>
      </c>
      <c r="V2817" s="51" t="s">
        <v>2365</v>
      </c>
      <c r="W2817" s="51" t="s">
        <v>5901</v>
      </c>
      <c r="X2817" s="51" t="s">
        <v>2359</v>
      </c>
    </row>
    <row r="2818" customFormat="false" ht="14.25" hidden="true" customHeight="false" outlineLevel="0" collapsed="false">
      <c r="A2818" s="49" t="s">
        <v>2349</v>
      </c>
      <c r="B2818" s="49" t="s">
        <v>2350</v>
      </c>
      <c r="C2818" s="49" t="s">
        <v>6060</v>
      </c>
      <c r="D2818" s="49" t="s">
        <v>2352</v>
      </c>
      <c r="E2818" s="49" t="str">
        <f aca="false">"5060175132963"</f>
        <v>5060175132963</v>
      </c>
      <c r="F2818" s="49" t="s">
        <v>6052</v>
      </c>
      <c r="G2818" s="49" t="n">
        <v>0</v>
      </c>
      <c r="H2818" s="0" t="n">
        <v>0</v>
      </c>
      <c r="M2818" s="51" t="s">
        <v>6053</v>
      </c>
      <c r="N2818" s="49" t="n">
        <v>0</v>
      </c>
      <c r="O2818" s="53" t="n">
        <v>45738.4893865741</v>
      </c>
      <c r="P2818" s="53" t="n">
        <v>45986.704837963</v>
      </c>
      <c r="Q2818" s="53" t="n">
        <v>45738.4893865741</v>
      </c>
      <c r="R2818" s="0" t="n">
        <v>0</v>
      </c>
      <c r="S2818" s="51" t="s">
        <v>2376</v>
      </c>
      <c r="T2818" s="51" t="s">
        <v>2376</v>
      </c>
      <c r="U2818" s="0" t="str">
        <f aca="false">"5060175132963"</f>
        <v>5060175132963</v>
      </c>
      <c r="V2818" s="51" t="s">
        <v>2365</v>
      </c>
      <c r="W2818" s="51" t="s">
        <v>4901</v>
      </c>
      <c r="X2818" s="51" t="s">
        <v>2359</v>
      </c>
    </row>
    <row r="2819" customFormat="false" ht="14.25" hidden="true" customHeight="false" outlineLevel="0" collapsed="false">
      <c r="A2819" s="49" t="s">
        <v>2349</v>
      </c>
      <c r="B2819" s="49" t="s">
        <v>2350</v>
      </c>
      <c r="C2819" s="49" t="s">
        <v>6061</v>
      </c>
      <c r="D2819" s="49" t="s">
        <v>2352</v>
      </c>
      <c r="E2819" s="49" t="str">
        <f aca="false">"5060175132963"</f>
        <v>5060175132963</v>
      </c>
      <c r="F2819" s="49" t="s">
        <v>6052</v>
      </c>
      <c r="G2819" s="49" t="n">
        <v>0</v>
      </c>
      <c r="H2819" s="0" t="n">
        <v>0</v>
      </c>
      <c r="M2819" s="51" t="s">
        <v>6053</v>
      </c>
      <c r="N2819" s="49" t="n">
        <v>0</v>
      </c>
      <c r="O2819" s="53" t="n">
        <v>45738.4895601852</v>
      </c>
      <c r="P2819" s="53" t="n">
        <v>45827.9486921296</v>
      </c>
      <c r="Q2819" s="53" t="n">
        <v>45738.4895601852</v>
      </c>
      <c r="R2819" s="0" t="n">
        <v>0</v>
      </c>
      <c r="S2819" s="51" t="s">
        <v>2376</v>
      </c>
      <c r="T2819" s="51" t="s">
        <v>2376</v>
      </c>
      <c r="U2819" s="0" t="str">
        <f aca="false">"5060175132963"</f>
        <v>5060175132963</v>
      </c>
      <c r="V2819" s="51" t="s">
        <v>2365</v>
      </c>
      <c r="W2819" s="51" t="s">
        <v>6062</v>
      </c>
      <c r="X2819" s="51" t="s">
        <v>2359</v>
      </c>
    </row>
    <row r="2820" customFormat="false" ht="14.25" hidden="true" customHeight="false" outlineLevel="0" collapsed="false">
      <c r="A2820" s="49" t="s">
        <v>2349</v>
      </c>
      <c r="B2820" s="49" t="s">
        <v>2350</v>
      </c>
      <c r="C2820" s="49" t="s">
        <v>6063</v>
      </c>
      <c r="D2820" s="49" t="s">
        <v>2352</v>
      </c>
      <c r="E2820" s="49" t="str">
        <f aca="false">"5060175132963"</f>
        <v>5060175132963</v>
      </c>
      <c r="F2820" s="49" t="s">
        <v>6052</v>
      </c>
      <c r="G2820" s="49" t="n">
        <v>0</v>
      </c>
      <c r="H2820" s="0" t="n">
        <v>0</v>
      </c>
      <c r="M2820" s="51" t="s">
        <v>6053</v>
      </c>
      <c r="N2820" s="49" t="n">
        <v>0</v>
      </c>
      <c r="O2820" s="53" t="n">
        <v>45738.4897453704</v>
      </c>
      <c r="P2820" s="53" t="n">
        <v>45749.4832407407</v>
      </c>
      <c r="Q2820" s="53" t="n">
        <v>45738.4897453704</v>
      </c>
      <c r="R2820" s="0" t="n">
        <v>0</v>
      </c>
      <c r="S2820" s="51" t="s">
        <v>2376</v>
      </c>
      <c r="T2820" s="51" t="s">
        <v>2376</v>
      </c>
      <c r="U2820" s="0" t="str">
        <f aca="false">"5060175132963"</f>
        <v>5060175132963</v>
      </c>
      <c r="V2820" s="51" t="s">
        <v>2365</v>
      </c>
      <c r="W2820" s="51" t="s">
        <v>6064</v>
      </c>
      <c r="X2820" s="51" t="s">
        <v>2359</v>
      </c>
    </row>
    <row r="2821" customFormat="false" ht="14.25" hidden="true" customHeight="false" outlineLevel="0" collapsed="false">
      <c r="A2821" s="49" t="s">
        <v>2349</v>
      </c>
      <c r="B2821" s="49" t="s">
        <v>2350</v>
      </c>
      <c r="C2821" s="49" t="s">
        <v>6065</v>
      </c>
      <c r="D2821" s="49" t="s">
        <v>2352</v>
      </c>
      <c r="E2821" s="49" t="str">
        <f aca="false">"5060175132963"</f>
        <v>5060175132963</v>
      </c>
      <c r="F2821" s="49" t="s">
        <v>6052</v>
      </c>
      <c r="G2821" s="49" t="n">
        <v>0</v>
      </c>
      <c r="H2821" s="0" t="n">
        <v>0</v>
      </c>
      <c r="M2821" s="51" t="s">
        <v>6053</v>
      </c>
      <c r="N2821" s="49" t="n">
        <v>0</v>
      </c>
      <c r="O2821" s="53" t="n">
        <v>45738.4899768519</v>
      </c>
      <c r="P2821" s="53" t="n">
        <v>45749.4840856481</v>
      </c>
      <c r="Q2821" s="53" t="n">
        <v>45738.4899768519</v>
      </c>
      <c r="R2821" s="0" t="n">
        <v>0</v>
      </c>
      <c r="S2821" s="51" t="s">
        <v>2376</v>
      </c>
      <c r="T2821" s="51" t="s">
        <v>2376</v>
      </c>
      <c r="U2821" s="0" t="str">
        <f aca="false">"5060175132963"</f>
        <v>5060175132963</v>
      </c>
      <c r="V2821" s="51" t="s">
        <v>2365</v>
      </c>
      <c r="W2821" s="51" t="s">
        <v>6066</v>
      </c>
      <c r="X2821" s="51" t="s">
        <v>2359</v>
      </c>
    </row>
    <row r="2822" customFormat="false" ht="14.25" hidden="true" customHeight="false" outlineLevel="0" collapsed="false">
      <c r="A2822" s="49" t="s">
        <v>2349</v>
      </c>
      <c r="B2822" s="49" t="s">
        <v>2350</v>
      </c>
      <c r="C2822" s="49" t="s">
        <v>6067</v>
      </c>
      <c r="D2822" s="49" t="s">
        <v>2352</v>
      </c>
      <c r="E2822" s="49" t="str">
        <f aca="false">"5060175132963"</f>
        <v>5060175132963</v>
      </c>
      <c r="F2822" s="49" t="s">
        <v>6052</v>
      </c>
      <c r="G2822" s="49" t="n">
        <v>0</v>
      </c>
      <c r="H2822" s="0" t="n">
        <v>0</v>
      </c>
      <c r="M2822" s="51" t="s">
        <v>6053</v>
      </c>
      <c r="N2822" s="49" t="n">
        <v>0</v>
      </c>
      <c r="O2822" s="53" t="n">
        <v>45738.4901388889</v>
      </c>
      <c r="P2822" s="53" t="n">
        <v>45792.9122222222</v>
      </c>
      <c r="Q2822" s="53" t="n">
        <v>45738.4901388889</v>
      </c>
      <c r="R2822" s="0" t="n">
        <v>0</v>
      </c>
      <c r="S2822" s="51" t="s">
        <v>2376</v>
      </c>
      <c r="T2822" s="51" t="s">
        <v>2376</v>
      </c>
      <c r="U2822" s="0" t="str">
        <f aca="false">"5060175132963"</f>
        <v>5060175132963</v>
      </c>
      <c r="V2822" s="51" t="s">
        <v>2365</v>
      </c>
      <c r="W2822" s="51" t="s">
        <v>6068</v>
      </c>
      <c r="X2822" s="51" t="s">
        <v>2359</v>
      </c>
    </row>
    <row r="2823" customFormat="false" ht="14.25" hidden="true" customHeight="false" outlineLevel="0" collapsed="false">
      <c r="A2823" s="49" t="s">
        <v>2349</v>
      </c>
      <c r="B2823" s="49" t="s">
        <v>2350</v>
      </c>
      <c r="C2823" s="49" t="s">
        <v>6069</v>
      </c>
      <c r="D2823" s="49" t="s">
        <v>2352</v>
      </c>
      <c r="E2823" s="49" t="str">
        <f aca="false">"5060175132963"</f>
        <v>5060175132963</v>
      </c>
      <c r="F2823" s="49" t="s">
        <v>6052</v>
      </c>
      <c r="G2823" s="49" t="n">
        <v>0</v>
      </c>
      <c r="H2823" s="0" t="n">
        <v>0</v>
      </c>
      <c r="M2823" s="51" t="s">
        <v>6053</v>
      </c>
      <c r="N2823" s="49" t="n">
        <v>0</v>
      </c>
      <c r="O2823" s="53" t="n">
        <v>45738.4905787037</v>
      </c>
      <c r="P2823" s="53" t="n">
        <v>45943.8892708333</v>
      </c>
      <c r="Q2823" s="53" t="n">
        <v>45738.4905787037</v>
      </c>
      <c r="R2823" s="0" t="n">
        <v>0</v>
      </c>
      <c r="S2823" s="51" t="s">
        <v>2376</v>
      </c>
      <c r="T2823" s="51" t="s">
        <v>2376</v>
      </c>
      <c r="U2823" s="0" t="str">
        <f aca="false">"5060175132963"</f>
        <v>5060175132963</v>
      </c>
      <c r="V2823" s="51" t="s">
        <v>2365</v>
      </c>
      <c r="W2823" s="51" t="s">
        <v>6070</v>
      </c>
      <c r="X2823" s="51" t="s">
        <v>2359</v>
      </c>
    </row>
    <row r="2824" customFormat="false" ht="14.25" hidden="true" customHeight="false" outlineLevel="0" collapsed="false">
      <c r="A2824" s="49" t="s">
        <v>2349</v>
      </c>
      <c r="B2824" s="49" t="s">
        <v>2350</v>
      </c>
      <c r="C2824" s="49" t="s">
        <v>6071</v>
      </c>
      <c r="D2824" s="49" t="s">
        <v>2352</v>
      </c>
      <c r="E2824" s="49" t="str">
        <f aca="false">"5060175132963"</f>
        <v>5060175132963</v>
      </c>
      <c r="F2824" s="49" t="s">
        <v>6052</v>
      </c>
      <c r="G2824" s="49" t="n">
        <v>0</v>
      </c>
      <c r="H2824" s="0" t="n">
        <v>0</v>
      </c>
      <c r="M2824" s="51" t="s">
        <v>6053</v>
      </c>
      <c r="N2824" s="49" t="n">
        <v>0</v>
      </c>
      <c r="O2824" s="53" t="n">
        <v>45738.4903472222</v>
      </c>
      <c r="P2824" s="53" t="n">
        <v>45859.8159259259</v>
      </c>
      <c r="Q2824" s="53" t="n">
        <v>45738.4903472222</v>
      </c>
      <c r="R2824" s="0" t="n">
        <v>0</v>
      </c>
      <c r="S2824" s="51" t="s">
        <v>2376</v>
      </c>
      <c r="T2824" s="51" t="s">
        <v>2376</v>
      </c>
      <c r="U2824" s="0" t="str">
        <f aca="false">"5060175132963"</f>
        <v>5060175132963</v>
      </c>
      <c r="V2824" s="51" t="s">
        <v>2365</v>
      </c>
      <c r="W2824" s="51" t="s">
        <v>6072</v>
      </c>
      <c r="X2824" s="51" t="s">
        <v>2359</v>
      </c>
    </row>
    <row r="2825" customFormat="false" ht="14.25" hidden="true" customHeight="false" outlineLevel="0" collapsed="false">
      <c r="A2825" s="49" t="s">
        <v>2349</v>
      </c>
      <c r="B2825" s="49" t="s">
        <v>2350</v>
      </c>
      <c r="C2825" s="49" t="s">
        <v>6073</v>
      </c>
      <c r="D2825" s="49" t="s">
        <v>2352</v>
      </c>
      <c r="E2825" s="49" t="str">
        <f aca="false">"5060175132963"</f>
        <v>5060175132963</v>
      </c>
      <c r="F2825" s="49" t="s">
        <v>6052</v>
      </c>
      <c r="G2825" s="49" t="n">
        <v>0</v>
      </c>
      <c r="H2825" s="0" t="n">
        <v>0</v>
      </c>
      <c r="M2825" s="51" t="s">
        <v>6053</v>
      </c>
      <c r="N2825" s="49" t="n">
        <v>0</v>
      </c>
      <c r="O2825" s="53" t="n">
        <v>45738.4907986111</v>
      </c>
      <c r="P2825" s="53" t="n">
        <v>45844.7814236111</v>
      </c>
      <c r="Q2825" s="53" t="n">
        <v>45738.4907986111</v>
      </c>
      <c r="R2825" s="0" t="n">
        <v>0</v>
      </c>
      <c r="S2825" s="51" t="s">
        <v>2376</v>
      </c>
      <c r="T2825" s="51" t="s">
        <v>2376</v>
      </c>
      <c r="U2825" s="0" t="str">
        <f aca="false">"5060175132963"</f>
        <v>5060175132963</v>
      </c>
      <c r="V2825" s="51" t="s">
        <v>2365</v>
      </c>
      <c r="W2825" s="51" t="s">
        <v>4252</v>
      </c>
      <c r="X2825" s="51" t="s">
        <v>2359</v>
      </c>
    </row>
    <row r="2826" customFormat="false" ht="14.25" hidden="true" customHeight="false" outlineLevel="0" collapsed="false">
      <c r="A2826" s="49" t="s">
        <v>2349</v>
      </c>
      <c r="B2826" s="49" t="s">
        <v>2350</v>
      </c>
      <c r="C2826" s="49" t="s">
        <v>6074</v>
      </c>
      <c r="D2826" s="49" t="s">
        <v>2352</v>
      </c>
      <c r="E2826" s="49" t="str">
        <f aca="false">"5060175132963"</f>
        <v>5060175132963</v>
      </c>
      <c r="F2826" s="49" t="s">
        <v>6052</v>
      </c>
      <c r="G2826" s="49" t="n">
        <v>0</v>
      </c>
      <c r="H2826" s="0" t="n">
        <v>0</v>
      </c>
      <c r="M2826" s="51" t="s">
        <v>6053</v>
      </c>
      <c r="N2826" s="49" t="n">
        <v>0</v>
      </c>
      <c r="O2826" s="53" t="n">
        <v>45738.4913425926</v>
      </c>
      <c r="P2826" s="53" t="n">
        <v>45742.476099537</v>
      </c>
      <c r="Q2826" s="53" t="n">
        <v>45738.4913425926</v>
      </c>
      <c r="R2826" s="0" t="n">
        <v>0</v>
      </c>
      <c r="S2826" s="51" t="s">
        <v>2376</v>
      </c>
      <c r="T2826" s="51" t="s">
        <v>2376</v>
      </c>
      <c r="U2826" s="0" t="str">
        <f aca="false">"5060175132963"</f>
        <v>5060175132963</v>
      </c>
      <c r="V2826" s="51" t="s">
        <v>2365</v>
      </c>
      <c r="W2826" s="51" t="s">
        <v>6075</v>
      </c>
      <c r="X2826" s="51" t="s">
        <v>2359</v>
      </c>
    </row>
    <row r="2827" customFormat="false" ht="14.25" hidden="true" customHeight="false" outlineLevel="0" collapsed="false">
      <c r="A2827" s="49" t="s">
        <v>2349</v>
      </c>
      <c r="B2827" s="49" t="s">
        <v>2350</v>
      </c>
      <c r="C2827" s="49" t="s">
        <v>6076</v>
      </c>
      <c r="D2827" s="49" t="s">
        <v>2352</v>
      </c>
      <c r="E2827" s="49" t="str">
        <f aca="false">"5060175132987"</f>
        <v>5060175132987</v>
      </c>
      <c r="F2827" s="49" t="s">
        <v>3953</v>
      </c>
      <c r="G2827" s="49" t="n">
        <v>0</v>
      </c>
      <c r="H2827" s="0" t="n">
        <v>0</v>
      </c>
      <c r="M2827" s="51" t="s">
        <v>6053</v>
      </c>
      <c r="N2827" s="49" t="n">
        <v>0</v>
      </c>
      <c r="O2827" s="53" t="n">
        <v>45738.4919791667</v>
      </c>
      <c r="P2827" s="53" t="n">
        <v>45797.7845486111</v>
      </c>
      <c r="Q2827" s="53" t="n">
        <v>45738.4919791667</v>
      </c>
      <c r="R2827" s="0" t="n">
        <v>0</v>
      </c>
      <c r="S2827" s="51" t="s">
        <v>2376</v>
      </c>
      <c r="T2827" s="51" t="s">
        <v>2376</v>
      </c>
      <c r="U2827" s="0" t="str">
        <f aca="false">"5060175132987"</f>
        <v>5060175132987</v>
      </c>
      <c r="V2827" s="51" t="s">
        <v>2365</v>
      </c>
      <c r="W2827" s="51" t="s">
        <v>6077</v>
      </c>
      <c r="X2827" s="51" t="s">
        <v>2359</v>
      </c>
    </row>
    <row r="2828" customFormat="false" ht="14.25" hidden="true" customHeight="false" outlineLevel="0" collapsed="false">
      <c r="A2828" s="49" t="s">
        <v>2349</v>
      </c>
      <c r="B2828" s="49" t="s">
        <v>2350</v>
      </c>
      <c r="C2828" s="49" t="s">
        <v>6078</v>
      </c>
      <c r="D2828" s="49" t="s">
        <v>2352</v>
      </c>
      <c r="E2828" s="49" t="str">
        <f aca="false">"5060175132963"</f>
        <v>5060175132963</v>
      </c>
      <c r="F2828" s="49" t="s">
        <v>6052</v>
      </c>
      <c r="G2828" s="49" t="n">
        <v>0</v>
      </c>
      <c r="H2828" s="0" t="n">
        <v>0</v>
      </c>
      <c r="M2828" s="51" t="s">
        <v>6053</v>
      </c>
      <c r="N2828" s="49" t="n">
        <v>0</v>
      </c>
      <c r="O2828" s="53" t="n">
        <v>45738.4925462963</v>
      </c>
      <c r="P2828" s="53" t="n">
        <v>45749.4651967593</v>
      </c>
      <c r="Q2828" s="53" t="n">
        <v>45738.4925462963</v>
      </c>
      <c r="R2828" s="0" t="n">
        <v>0</v>
      </c>
      <c r="S2828" s="51" t="s">
        <v>2376</v>
      </c>
      <c r="T2828" s="51" t="s">
        <v>2376</v>
      </c>
      <c r="U2828" s="0" t="str">
        <f aca="false">"5060175132963"</f>
        <v>5060175132963</v>
      </c>
      <c r="V2828" s="51" t="s">
        <v>2365</v>
      </c>
      <c r="W2828" s="51" t="s">
        <v>4627</v>
      </c>
      <c r="X2828" s="51" t="s">
        <v>2359</v>
      </c>
    </row>
    <row r="2829" customFormat="false" ht="14.25" hidden="true" customHeight="false" outlineLevel="0" collapsed="false">
      <c r="A2829" s="49" t="s">
        <v>2349</v>
      </c>
      <c r="B2829" s="49" t="s">
        <v>2350</v>
      </c>
      <c r="C2829" s="49" t="s">
        <v>6079</v>
      </c>
      <c r="D2829" s="49" t="s">
        <v>2352</v>
      </c>
      <c r="E2829" s="49" t="str">
        <f aca="false">"5060458890191"</f>
        <v>5060458890191</v>
      </c>
      <c r="F2829" s="49" t="s">
        <v>3656</v>
      </c>
      <c r="G2829" s="49" t="n">
        <v>0</v>
      </c>
      <c r="H2829" s="0" t="n">
        <v>0</v>
      </c>
      <c r="M2829" s="51" t="s">
        <v>6080</v>
      </c>
      <c r="N2829" s="49" t="n">
        <v>0</v>
      </c>
      <c r="O2829" s="53" t="n">
        <v>45735.735150463</v>
      </c>
      <c r="P2829" s="53" t="n">
        <v>45766.5648263889</v>
      </c>
      <c r="Q2829" s="53" t="n">
        <v>45735.735150463</v>
      </c>
      <c r="R2829" s="0" t="n">
        <v>0</v>
      </c>
      <c r="S2829" s="51" t="s">
        <v>2376</v>
      </c>
      <c r="T2829" s="51" t="s">
        <v>2376</v>
      </c>
      <c r="U2829" s="0" t="str">
        <f aca="false">"5060458890191"</f>
        <v>5060458890191</v>
      </c>
      <c r="V2829" s="51" t="s">
        <v>2142</v>
      </c>
      <c r="W2829" s="51" t="s">
        <v>4688</v>
      </c>
      <c r="X2829" s="51" t="s">
        <v>2359</v>
      </c>
    </row>
    <row r="2830" customFormat="false" ht="14.25" hidden="true" customHeight="false" outlineLevel="0" collapsed="false">
      <c r="A2830" s="49" t="s">
        <v>2349</v>
      </c>
      <c r="B2830" s="49" t="s">
        <v>2350</v>
      </c>
      <c r="C2830" s="49" t="s">
        <v>6081</v>
      </c>
      <c r="D2830" s="49" t="s">
        <v>2352</v>
      </c>
      <c r="E2830" s="49" t="str">
        <f aca="false">"5060458890191"</f>
        <v>5060458890191</v>
      </c>
      <c r="F2830" s="49" t="s">
        <v>3656</v>
      </c>
      <c r="G2830" s="49" t="n">
        <v>0</v>
      </c>
      <c r="H2830" s="0" t="n">
        <v>0</v>
      </c>
      <c r="M2830" s="51" t="s">
        <v>6080</v>
      </c>
      <c r="N2830" s="49" t="n">
        <v>0</v>
      </c>
      <c r="O2830" s="53" t="n">
        <v>45735.7350231482</v>
      </c>
      <c r="P2830" s="53" t="n">
        <v>45766.5635763889</v>
      </c>
      <c r="Q2830" s="53" t="n">
        <v>45735.7350231482</v>
      </c>
      <c r="R2830" s="0" t="n">
        <v>0</v>
      </c>
      <c r="S2830" s="51" t="s">
        <v>2376</v>
      </c>
      <c r="T2830" s="51" t="s">
        <v>2376</v>
      </c>
      <c r="U2830" s="0" t="str">
        <f aca="false">"5060458890191"</f>
        <v>5060458890191</v>
      </c>
      <c r="V2830" s="51" t="s">
        <v>2142</v>
      </c>
      <c r="W2830" s="51" t="s">
        <v>4686</v>
      </c>
      <c r="X2830" s="51" t="s">
        <v>2359</v>
      </c>
    </row>
    <row r="2831" customFormat="false" ht="14.25" hidden="true" customHeight="false" outlineLevel="0" collapsed="false">
      <c r="A2831" s="49" t="s">
        <v>2349</v>
      </c>
      <c r="B2831" s="49" t="s">
        <v>2350</v>
      </c>
      <c r="C2831" s="49" t="s">
        <v>6082</v>
      </c>
      <c r="D2831" s="49" t="s">
        <v>2352</v>
      </c>
      <c r="E2831" s="49" t="str">
        <f aca="false">"5060458890191"</f>
        <v>5060458890191</v>
      </c>
      <c r="F2831" s="49" t="s">
        <v>3656</v>
      </c>
      <c r="G2831" s="49" t="n">
        <v>0</v>
      </c>
      <c r="H2831" s="0" t="n">
        <v>0</v>
      </c>
      <c r="M2831" s="51" t="s">
        <v>6080</v>
      </c>
      <c r="N2831" s="49" t="n">
        <v>0</v>
      </c>
      <c r="O2831" s="53" t="n">
        <v>45735.7349074074</v>
      </c>
      <c r="P2831" s="53" t="n">
        <v>45766.5633333333</v>
      </c>
      <c r="Q2831" s="53" t="n">
        <v>45735.7349074074</v>
      </c>
      <c r="R2831" s="0" t="n">
        <v>0</v>
      </c>
      <c r="S2831" s="51" t="s">
        <v>2376</v>
      </c>
      <c r="T2831" s="51" t="s">
        <v>2376</v>
      </c>
      <c r="U2831" s="0" t="str">
        <f aca="false">"5060458890191"</f>
        <v>5060458890191</v>
      </c>
      <c r="V2831" s="51" t="s">
        <v>2142</v>
      </c>
      <c r="W2831" s="51" t="s">
        <v>4684</v>
      </c>
      <c r="X2831" s="51" t="s">
        <v>2359</v>
      </c>
    </row>
    <row r="2832" customFormat="false" ht="14.25" hidden="true" customHeight="false" outlineLevel="0" collapsed="false">
      <c r="A2832" s="49" t="s">
        <v>2349</v>
      </c>
      <c r="B2832" s="49" t="s">
        <v>2350</v>
      </c>
      <c r="C2832" s="49" t="s">
        <v>6083</v>
      </c>
      <c r="D2832" s="49" t="s">
        <v>2352</v>
      </c>
      <c r="E2832" s="49" t="str">
        <f aca="false">"5060458890191"</f>
        <v>5060458890191</v>
      </c>
      <c r="F2832" s="49" t="s">
        <v>3656</v>
      </c>
      <c r="G2832" s="49" t="n">
        <v>0</v>
      </c>
      <c r="H2832" s="0" t="n">
        <v>0</v>
      </c>
      <c r="M2832" s="51" t="s">
        <v>6080</v>
      </c>
      <c r="N2832" s="49" t="n">
        <v>0</v>
      </c>
      <c r="O2832" s="53" t="n">
        <v>45735.7347800926</v>
      </c>
      <c r="P2832" s="53" t="n">
        <v>45766.6574884259</v>
      </c>
      <c r="Q2832" s="53" t="n">
        <v>45735.7347800926</v>
      </c>
      <c r="R2832" s="0" t="n">
        <v>0</v>
      </c>
      <c r="S2832" s="51" t="s">
        <v>2376</v>
      </c>
      <c r="T2832" s="51" t="s">
        <v>2376</v>
      </c>
      <c r="U2832" s="0" t="str">
        <f aca="false">"5060458890191"</f>
        <v>5060458890191</v>
      </c>
      <c r="V2832" s="51" t="s">
        <v>2142</v>
      </c>
      <c r="W2832" s="51" t="s">
        <v>6084</v>
      </c>
      <c r="X2832" s="51" t="s">
        <v>2359</v>
      </c>
    </row>
    <row r="2833" customFormat="false" ht="14.25" hidden="true" customHeight="false" outlineLevel="0" collapsed="false">
      <c r="A2833" s="49" t="s">
        <v>2349</v>
      </c>
      <c r="B2833" s="49" t="s">
        <v>2350</v>
      </c>
      <c r="C2833" s="49" t="s">
        <v>6085</v>
      </c>
      <c r="D2833" s="49" t="s">
        <v>2352</v>
      </c>
      <c r="E2833" s="49" t="str">
        <f aca="false">"5060458890191"</f>
        <v>5060458890191</v>
      </c>
      <c r="F2833" s="49" t="s">
        <v>3656</v>
      </c>
      <c r="G2833" s="49" t="n">
        <v>0</v>
      </c>
      <c r="H2833" s="0" t="n">
        <v>0</v>
      </c>
      <c r="M2833" s="51" t="s">
        <v>6080</v>
      </c>
      <c r="N2833" s="49" t="n">
        <v>0</v>
      </c>
      <c r="O2833" s="53" t="n">
        <v>45735.7346412037</v>
      </c>
      <c r="P2833" s="53" t="n">
        <v>45766.6581944445</v>
      </c>
      <c r="Q2833" s="53" t="n">
        <v>45735.7346412037</v>
      </c>
      <c r="R2833" s="0" t="n">
        <v>0</v>
      </c>
      <c r="S2833" s="51" t="s">
        <v>2376</v>
      </c>
      <c r="T2833" s="51" t="s">
        <v>2376</v>
      </c>
      <c r="U2833" s="0" t="str">
        <f aca="false">"5060458890191"</f>
        <v>5060458890191</v>
      </c>
      <c r="V2833" s="51" t="s">
        <v>2142</v>
      </c>
      <c r="W2833" s="51" t="s">
        <v>4698</v>
      </c>
      <c r="X2833" s="51" t="s">
        <v>2359</v>
      </c>
    </row>
    <row r="2834" customFormat="false" ht="14.25" hidden="true" customHeight="false" outlineLevel="0" collapsed="false">
      <c r="A2834" s="49" t="s">
        <v>2349</v>
      </c>
      <c r="B2834" s="49" t="s">
        <v>2350</v>
      </c>
      <c r="C2834" s="49" t="s">
        <v>6086</v>
      </c>
      <c r="D2834" s="49" t="s">
        <v>2352</v>
      </c>
      <c r="E2834" s="49" t="str">
        <f aca="false">"5060458890191"</f>
        <v>5060458890191</v>
      </c>
      <c r="F2834" s="49" t="s">
        <v>3656</v>
      </c>
      <c r="G2834" s="49" t="n">
        <v>0</v>
      </c>
      <c r="H2834" s="0" t="n">
        <v>0</v>
      </c>
      <c r="M2834" s="51" t="s">
        <v>6080</v>
      </c>
      <c r="N2834" s="49" t="n">
        <v>0</v>
      </c>
      <c r="O2834" s="53" t="n">
        <v>45735.734537037</v>
      </c>
      <c r="P2834" s="53" t="n">
        <v>45778.743900463</v>
      </c>
      <c r="Q2834" s="53" t="n">
        <v>45735.734537037</v>
      </c>
      <c r="R2834" s="0" t="n">
        <v>0</v>
      </c>
      <c r="S2834" s="51" t="s">
        <v>2376</v>
      </c>
      <c r="T2834" s="51" t="s">
        <v>2376</v>
      </c>
      <c r="U2834" s="0" t="str">
        <f aca="false">"5060458890191"</f>
        <v>5060458890191</v>
      </c>
      <c r="V2834" s="51" t="s">
        <v>2142</v>
      </c>
      <c r="W2834" s="51" t="s">
        <v>4210</v>
      </c>
      <c r="X2834" s="51" t="s">
        <v>2359</v>
      </c>
    </row>
    <row r="2835" customFormat="false" ht="14.25" hidden="true" customHeight="false" outlineLevel="0" collapsed="false">
      <c r="A2835" s="49" t="s">
        <v>2349</v>
      </c>
      <c r="B2835" s="49" t="s">
        <v>2350</v>
      </c>
      <c r="C2835" s="49" t="s">
        <v>6087</v>
      </c>
      <c r="D2835" s="49" t="s">
        <v>2352</v>
      </c>
      <c r="E2835" s="49" t="str">
        <f aca="false">"5060458890191"</f>
        <v>5060458890191</v>
      </c>
      <c r="F2835" s="49" t="s">
        <v>3656</v>
      </c>
      <c r="G2835" s="49" t="n">
        <v>0</v>
      </c>
      <c r="H2835" s="0" t="n">
        <v>0</v>
      </c>
      <c r="M2835" s="51" t="s">
        <v>6080</v>
      </c>
      <c r="N2835" s="49" t="n">
        <v>0</v>
      </c>
      <c r="O2835" s="53" t="n">
        <v>45735.7344097222</v>
      </c>
      <c r="P2835" s="53" t="n">
        <v>45778.7449652778</v>
      </c>
      <c r="Q2835" s="53" t="n">
        <v>45735.7344097222</v>
      </c>
      <c r="R2835" s="0" t="n">
        <v>0</v>
      </c>
      <c r="S2835" s="51" t="s">
        <v>2376</v>
      </c>
      <c r="T2835" s="51" t="s">
        <v>2376</v>
      </c>
      <c r="U2835" s="0" t="str">
        <f aca="false">"5060458890191"</f>
        <v>5060458890191</v>
      </c>
      <c r="V2835" s="51" t="s">
        <v>2142</v>
      </c>
      <c r="W2835" s="51" t="s">
        <v>4541</v>
      </c>
      <c r="X2835" s="51" t="s">
        <v>2359</v>
      </c>
    </row>
    <row r="2836" customFormat="false" ht="14.25" hidden="true" customHeight="false" outlineLevel="0" collapsed="false">
      <c r="A2836" s="49" t="s">
        <v>2349</v>
      </c>
      <c r="B2836" s="49" t="s">
        <v>2350</v>
      </c>
      <c r="C2836" s="49" t="s">
        <v>6088</v>
      </c>
      <c r="D2836" s="49" t="s">
        <v>2352</v>
      </c>
      <c r="E2836" s="49" t="str">
        <f aca="false">"5060458890191"</f>
        <v>5060458890191</v>
      </c>
      <c r="F2836" s="49" t="s">
        <v>3656</v>
      </c>
      <c r="G2836" s="49" t="n">
        <v>0</v>
      </c>
      <c r="H2836" s="0" t="n">
        <v>0</v>
      </c>
      <c r="M2836" s="51" t="s">
        <v>6080</v>
      </c>
      <c r="N2836" s="49" t="n">
        <v>0</v>
      </c>
      <c r="O2836" s="53" t="n">
        <v>45735.7342708333</v>
      </c>
      <c r="P2836" s="53" t="n">
        <v>45778.7464930556</v>
      </c>
      <c r="Q2836" s="53" t="n">
        <v>45735.7342708333</v>
      </c>
      <c r="R2836" s="0" t="n">
        <v>0</v>
      </c>
      <c r="S2836" s="51" t="s">
        <v>2376</v>
      </c>
      <c r="T2836" s="51" t="s">
        <v>2376</v>
      </c>
      <c r="U2836" s="0" t="str">
        <f aca="false">"5060458890191"</f>
        <v>5060458890191</v>
      </c>
      <c r="V2836" s="51" t="s">
        <v>2142</v>
      </c>
      <c r="W2836" s="51" t="s">
        <v>5504</v>
      </c>
      <c r="X2836" s="51" t="s">
        <v>2359</v>
      </c>
    </row>
    <row r="2837" customFormat="false" ht="14.25" hidden="true" customHeight="false" outlineLevel="0" collapsed="false">
      <c r="A2837" s="49" t="s">
        <v>2349</v>
      </c>
      <c r="B2837" s="49" t="s">
        <v>2350</v>
      </c>
      <c r="C2837" s="49" t="s">
        <v>6089</v>
      </c>
      <c r="D2837" s="49" t="s">
        <v>2352</v>
      </c>
      <c r="E2837" s="49" t="str">
        <f aca="false">"5060458890191"</f>
        <v>5060458890191</v>
      </c>
      <c r="F2837" s="49" t="s">
        <v>3656</v>
      </c>
      <c r="G2837" s="49" t="n">
        <v>0</v>
      </c>
      <c r="H2837" s="0" t="n">
        <v>0</v>
      </c>
      <c r="M2837" s="51" t="s">
        <v>6080</v>
      </c>
      <c r="N2837" s="49" t="n">
        <v>0</v>
      </c>
      <c r="O2837" s="53" t="n">
        <v>45735.7341435185</v>
      </c>
      <c r="P2837" s="53" t="n">
        <v>45762.2337384259</v>
      </c>
      <c r="Q2837" s="53" t="n">
        <v>45735.7341435185</v>
      </c>
      <c r="R2837" s="0" t="n">
        <v>0</v>
      </c>
      <c r="S2837" s="51" t="s">
        <v>2376</v>
      </c>
      <c r="T2837" s="51" t="s">
        <v>2376</v>
      </c>
      <c r="U2837" s="0" t="str">
        <f aca="false">"5060458890191"</f>
        <v>5060458890191</v>
      </c>
      <c r="V2837" s="51" t="s">
        <v>2142</v>
      </c>
      <c r="W2837" s="51" t="s">
        <v>4696</v>
      </c>
      <c r="X2837" s="51" t="s">
        <v>2359</v>
      </c>
    </row>
    <row r="2838" customFormat="false" ht="14.25" hidden="true" customHeight="false" outlineLevel="0" collapsed="false">
      <c r="A2838" s="49" t="s">
        <v>2349</v>
      </c>
      <c r="B2838" s="49" t="s">
        <v>2350</v>
      </c>
      <c r="C2838" s="49" t="s">
        <v>6090</v>
      </c>
      <c r="D2838" s="49" t="s">
        <v>2352</v>
      </c>
      <c r="E2838" s="49" t="str">
        <f aca="false">"5060458890191"</f>
        <v>5060458890191</v>
      </c>
      <c r="F2838" s="49" t="s">
        <v>3656</v>
      </c>
      <c r="G2838" s="49" t="n">
        <v>0</v>
      </c>
      <c r="H2838" s="0" t="n">
        <v>0</v>
      </c>
      <c r="M2838" s="51" t="s">
        <v>6080</v>
      </c>
      <c r="N2838" s="49" t="n">
        <v>0</v>
      </c>
      <c r="O2838" s="53" t="n">
        <v>45735.7339814815</v>
      </c>
      <c r="P2838" s="53" t="n">
        <v>45778.7489930556</v>
      </c>
      <c r="Q2838" s="53" t="n">
        <v>45735.7339814815</v>
      </c>
      <c r="R2838" s="0" t="n">
        <v>0</v>
      </c>
      <c r="S2838" s="51" t="s">
        <v>2376</v>
      </c>
      <c r="T2838" s="51" t="s">
        <v>2376</v>
      </c>
      <c r="U2838" s="0" t="str">
        <f aca="false">"5060458890191"</f>
        <v>5060458890191</v>
      </c>
      <c r="V2838" s="51" t="s">
        <v>2142</v>
      </c>
      <c r="W2838" s="51" t="s">
        <v>5446</v>
      </c>
      <c r="X2838" s="51" t="s">
        <v>2359</v>
      </c>
    </row>
    <row r="2839" customFormat="false" ht="14.25" hidden="true" customHeight="false" outlineLevel="0" collapsed="false">
      <c r="A2839" s="49" t="s">
        <v>2349</v>
      </c>
      <c r="B2839" s="49" t="s">
        <v>2350</v>
      </c>
      <c r="C2839" s="49" t="s">
        <v>6091</v>
      </c>
      <c r="D2839" s="49" t="s">
        <v>2352</v>
      </c>
      <c r="E2839" s="49" t="str">
        <f aca="false">"5060458890191"</f>
        <v>5060458890191</v>
      </c>
      <c r="F2839" s="49" t="s">
        <v>3656</v>
      </c>
      <c r="G2839" s="49" t="n">
        <v>0</v>
      </c>
      <c r="H2839" s="0" t="n">
        <v>0</v>
      </c>
      <c r="M2839" s="51" t="s">
        <v>6080</v>
      </c>
      <c r="N2839" s="49" t="n">
        <v>0</v>
      </c>
      <c r="O2839" s="53" t="n">
        <v>45735.7338541667</v>
      </c>
      <c r="P2839" s="53" t="n">
        <v>45778.747650463</v>
      </c>
      <c r="Q2839" s="53" t="n">
        <v>45735.7338541667</v>
      </c>
      <c r="R2839" s="0" t="n">
        <v>0</v>
      </c>
      <c r="S2839" s="51" t="s">
        <v>2376</v>
      </c>
      <c r="T2839" s="51" t="s">
        <v>2376</v>
      </c>
      <c r="U2839" s="0" t="str">
        <f aca="false">"5060458890191"</f>
        <v>5060458890191</v>
      </c>
      <c r="V2839" s="51" t="s">
        <v>2142</v>
      </c>
      <c r="W2839" s="51" t="s">
        <v>5448</v>
      </c>
      <c r="X2839" s="51" t="s">
        <v>2359</v>
      </c>
    </row>
    <row r="2840" customFormat="false" ht="14.25" hidden="true" customHeight="false" outlineLevel="0" collapsed="false">
      <c r="A2840" s="49" t="s">
        <v>2349</v>
      </c>
      <c r="B2840" s="49" t="s">
        <v>2350</v>
      </c>
      <c r="C2840" s="49" t="s">
        <v>6092</v>
      </c>
      <c r="D2840" s="49" t="s">
        <v>2352</v>
      </c>
      <c r="E2840" s="49" t="str">
        <f aca="false">"5060458890191"</f>
        <v>5060458890191</v>
      </c>
      <c r="F2840" s="49" t="s">
        <v>3656</v>
      </c>
      <c r="G2840" s="49" t="n">
        <v>0</v>
      </c>
      <c r="H2840" s="0" t="n">
        <v>0</v>
      </c>
      <c r="M2840" s="51" t="s">
        <v>6080</v>
      </c>
      <c r="N2840" s="49" t="n">
        <v>0</v>
      </c>
      <c r="O2840" s="53" t="n">
        <v>45735.7336689815</v>
      </c>
      <c r="P2840" s="53" t="n">
        <v>45762.2295601852</v>
      </c>
      <c r="Q2840" s="53" t="n">
        <v>45735.7336689815</v>
      </c>
      <c r="R2840" s="0" t="n">
        <v>0</v>
      </c>
      <c r="S2840" s="51" t="s">
        <v>2376</v>
      </c>
      <c r="T2840" s="51" t="s">
        <v>2376</v>
      </c>
      <c r="U2840" s="0" t="str">
        <f aca="false">"5060458890191"</f>
        <v>5060458890191</v>
      </c>
      <c r="V2840" s="51" t="s">
        <v>2142</v>
      </c>
      <c r="W2840" s="51" t="s">
        <v>6093</v>
      </c>
      <c r="X2840" s="51" t="s">
        <v>2359</v>
      </c>
    </row>
    <row r="2841" customFormat="false" ht="14.25" hidden="true" customHeight="false" outlineLevel="0" collapsed="false">
      <c r="A2841" s="49" t="s">
        <v>2349</v>
      </c>
      <c r="B2841" s="49" t="s">
        <v>2350</v>
      </c>
      <c r="C2841" s="49" t="s">
        <v>6094</v>
      </c>
      <c r="D2841" s="49" t="s">
        <v>2352</v>
      </c>
      <c r="E2841" s="49" t="str">
        <f aca="false">"5060458890191"</f>
        <v>5060458890191</v>
      </c>
      <c r="F2841" s="49" t="s">
        <v>3656</v>
      </c>
      <c r="G2841" s="49" t="n">
        <v>0</v>
      </c>
      <c r="H2841" s="0" t="n">
        <v>0</v>
      </c>
      <c r="M2841" s="51" t="s">
        <v>6080</v>
      </c>
      <c r="N2841" s="49" t="n">
        <v>0</v>
      </c>
      <c r="O2841" s="53" t="n">
        <v>45735.7335185185</v>
      </c>
      <c r="P2841" s="53" t="n">
        <v>45766.5732638889</v>
      </c>
      <c r="Q2841" s="53" t="n">
        <v>45735.7335185185</v>
      </c>
      <c r="R2841" s="0" t="n">
        <v>0</v>
      </c>
      <c r="S2841" s="51" t="s">
        <v>2376</v>
      </c>
      <c r="T2841" s="51" t="s">
        <v>2376</v>
      </c>
      <c r="U2841" s="0" t="str">
        <f aca="false">"5060458890191"</f>
        <v>5060458890191</v>
      </c>
      <c r="V2841" s="51" t="s">
        <v>2142</v>
      </c>
      <c r="W2841" s="51" t="s">
        <v>6095</v>
      </c>
      <c r="X2841" s="51" t="s">
        <v>2359</v>
      </c>
    </row>
    <row r="2842" customFormat="false" ht="14.25" hidden="true" customHeight="false" outlineLevel="0" collapsed="false">
      <c r="A2842" s="49" t="s">
        <v>2349</v>
      </c>
      <c r="B2842" s="49" t="s">
        <v>2350</v>
      </c>
      <c r="C2842" s="49" t="s">
        <v>6096</v>
      </c>
      <c r="D2842" s="49" t="s">
        <v>2352</v>
      </c>
      <c r="E2842" s="49" t="str">
        <f aca="false">"5060458890191"</f>
        <v>5060458890191</v>
      </c>
      <c r="F2842" s="49" t="s">
        <v>3656</v>
      </c>
      <c r="G2842" s="49" t="n">
        <v>0</v>
      </c>
      <c r="H2842" s="0" t="n">
        <v>0</v>
      </c>
      <c r="M2842" s="51" t="s">
        <v>6080</v>
      </c>
      <c r="N2842" s="49" t="n">
        <v>0</v>
      </c>
      <c r="O2842" s="53" t="n">
        <v>45735.7319444444</v>
      </c>
      <c r="P2842" s="53" t="n">
        <v>45766.5866898148</v>
      </c>
      <c r="Q2842" s="53" t="n">
        <v>45735.7319444444</v>
      </c>
      <c r="R2842" s="0" t="n">
        <v>0</v>
      </c>
      <c r="S2842" s="51" t="s">
        <v>2376</v>
      </c>
      <c r="T2842" s="51" t="s">
        <v>2376</v>
      </c>
      <c r="U2842" s="0" t="str">
        <f aca="false">"5060458890191"</f>
        <v>5060458890191</v>
      </c>
      <c r="V2842" s="51" t="s">
        <v>2142</v>
      </c>
      <c r="W2842" s="51" t="s">
        <v>6097</v>
      </c>
      <c r="X2842" s="51" t="s">
        <v>2359</v>
      </c>
    </row>
    <row r="2843" customFormat="false" ht="14.25" hidden="true" customHeight="false" outlineLevel="0" collapsed="false">
      <c r="A2843" s="49" t="s">
        <v>2349</v>
      </c>
      <c r="B2843" s="49" t="s">
        <v>2350</v>
      </c>
      <c r="C2843" s="49" t="s">
        <v>6098</v>
      </c>
      <c r="D2843" s="49" t="s">
        <v>2352</v>
      </c>
      <c r="E2843" s="49" t="str">
        <f aca="false">"5060458890191"</f>
        <v>5060458890191</v>
      </c>
      <c r="F2843" s="49" t="s">
        <v>3656</v>
      </c>
      <c r="G2843" s="49" t="n">
        <v>0</v>
      </c>
      <c r="H2843" s="0" t="n">
        <v>0</v>
      </c>
      <c r="M2843" s="51" t="s">
        <v>6080</v>
      </c>
      <c r="N2843" s="49" t="n">
        <v>0</v>
      </c>
      <c r="O2843" s="53" t="n">
        <v>45735.7320601852</v>
      </c>
      <c r="P2843" s="53" t="n">
        <v>45766.5869328704</v>
      </c>
      <c r="Q2843" s="53" t="n">
        <v>45735.7320601852</v>
      </c>
      <c r="R2843" s="0" t="n">
        <v>0</v>
      </c>
      <c r="S2843" s="51" t="s">
        <v>2376</v>
      </c>
      <c r="T2843" s="51" t="s">
        <v>2376</v>
      </c>
      <c r="U2843" s="0" t="str">
        <f aca="false">"5060458890191"</f>
        <v>5060458890191</v>
      </c>
      <c r="V2843" s="51" t="s">
        <v>2142</v>
      </c>
      <c r="W2843" s="51" t="s">
        <v>6099</v>
      </c>
      <c r="X2843" s="51" t="s">
        <v>2359</v>
      </c>
    </row>
    <row r="2844" customFormat="false" ht="14.25" hidden="true" customHeight="false" outlineLevel="0" collapsed="false">
      <c r="A2844" s="49" t="s">
        <v>2349</v>
      </c>
      <c r="B2844" s="49" t="s">
        <v>2350</v>
      </c>
      <c r="C2844" s="49" t="s">
        <v>6100</v>
      </c>
      <c r="D2844" s="49" t="s">
        <v>2352</v>
      </c>
      <c r="E2844" s="49" t="str">
        <f aca="false">"5060458890191"</f>
        <v>5060458890191</v>
      </c>
      <c r="F2844" s="49" t="s">
        <v>3656</v>
      </c>
      <c r="G2844" s="49" t="n">
        <v>0</v>
      </c>
      <c r="H2844" s="0" t="n">
        <v>0</v>
      </c>
      <c r="M2844" s="51" t="s">
        <v>6080</v>
      </c>
      <c r="N2844" s="49" t="n">
        <v>0</v>
      </c>
      <c r="O2844" s="53" t="n">
        <v>45735.7321759259</v>
      </c>
      <c r="P2844" s="53" t="n">
        <v>45766.5874189815</v>
      </c>
      <c r="Q2844" s="53" t="n">
        <v>45735.7321759259</v>
      </c>
      <c r="R2844" s="0" t="n">
        <v>0</v>
      </c>
      <c r="S2844" s="51" t="s">
        <v>2376</v>
      </c>
      <c r="T2844" s="51" t="s">
        <v>2376</v>
      </c>
      <c r="U2844" s="0" t="str">
        <f aca="false">"5060458890191"</f>
        <v>5060458890191</v>
      </c>
      <c r="V2844" s="51" t="s">
        <v>2142</v>
      </c>
      <c r="W2844" s="51" t="s">
        <v>6101</v>
      </c>
      <c r="X2844" s="51" t="s">
        <v>2359</v>
      </c>
    </row>
    <row r="2845" customFormat="false" ht="14.25" hidden="true" customHeight="false" outlineLevel="0" collapsed="false">
      <c r="A2845" s="49" t="s">
        <v>2349</v>
      </c>
      <c r="B2845" s="49" t="s">
        <v>2350</v>
      </c>
      <c r="C2845" s="49" t="s">
        <v>6102</v>
      </c>
      <c r="D2845" s="49" t="s">
        <v>2352</v>
      </c>
      <c r="E2845" s="49" t="str">
        <f aca="false">"5060458890191"</f>
        <v>5060458890191</v>
      </c>
      <c r="F2845" s="49" t="s">
        <v>3656</v>
      </c>
      <c r="G2845" s="49" t="n">
        <v>0</v>
      </c>
      <c r="H2845" s="0" t="n">
        <v>0</v>
      </c>
      <c r="M2845" s="51" t="s">
        <v>6080</v>
      </c>
      <c r="N2845" s="49" t="n">
        <v>0</v>
      </c>
      <c r="O2845" s="53" t="n">
        <v>45735.7323958333</v>
      </c>
      <c r="P2845" s="53" t="n">
        <v>45766.576400463</v>
      </c>
      <c r="Q2845" s="53" t="n">
        <v>45735.7323958333</v>
      </c>
      <c r="R2845" s="0" t="n">
        <v>0</v>
      </c>
      <c r="S2845" s="51" t="s">
        <v>2376</v>
      </c>
      <c r="T2845" s="51" t="s">
        <v>2376</v>
      </c>
      <c r="U2845" s="0" t="str">
        <f aca="false">"5060458890191"</f>
        <v>5060458890191</v>
      </c>
      <c r="V2845" s="51" t="s">
        <v>2142</v>
      </c>
      <c r="W2845" s="51" t="s">
        <v>6103</v>
      </c>
      <c r="X2845" s="51" t="s">
        <v>2359</v>
      </c>
    </row>
    <row r="2846" customFormat="false" ht="14.25" hidden="true" customHeight="false" outlineLevel="0" collapsed="false">
      <c r="A2846" s="49" t="s">
        <v>2349</v>
      </c>
      <c r="B2846" s="49" t="s">
        <v>2350</v>
      </c>
      <c r="C2846" s="49" t="s">
        <v>6104</v>
      </c>
      <c r="D2846" s="49" t="s">
        <v>2352</v>
      </c>
      <c r="E2846" s="49" t="str">
        <f aca="false">"5060458890191"</f>
        <v>5060458890191</v>
      </c>
      <c r="F2846" s="49" t="s">
        <v>3656</v>
      </c>
      <c r="G2846" s="49" t="n">
        <v>0</v>
      </c>
      <c r="H2846" s="0" t="n">
        <v>0</v>
      </c>
      <c r="M2846" s="51" t="s">
        <v>6080</v>
      </c>
      <c r="N2846" s="49" t="n">
        <v>0</v>
      </c>
      <c r="O2846" s="53" t="n">
        <v>45735.7325462963</v>
      </c>
      <c r="P2846" s="53" t="n">
        <v>45766.5765277778</v>
      </c>
      <c r="Q2846" s="53" t="n">
        <v>45735.7325462963</v>
      </c>
      <c r="R2846" s="0" t="n">
        <v>0</v>
      </c>
      <c r="S2846" s="51" t="s">
        <v>2376</v>
      </c>
      <c r="T2846" s="51" t="s">
        <v>2376</v>
      </c>
      <c r="U2846" s="0" t="str">
        <f aca="false">"5060458890191"</f>
        <v>5060458890191</v>
      </c>
      <c r="V2846" s="51" t="s">
        <v>2142</v>
      </c>
      <c r="W2846" s="51" t="s">
        <v>6105</v>
      </c>
      <c r="X2846" s="51" t="s">
        <v>2359</v>
      </c>
    </row>
    <row r="2847" customFormat="false" ht="14.25" hidden="true" customHeight="false" outlineLevel="0" collapsed="false">
      <c r="A2847" s="49" t="s">
        <v>2349</v>
      </c>
      <c r="B2847" s="49" t="s">
        <v>2350</v>
      </c>
      <c r="C2847" s="49" t="s">
        <v>6106</v>
      </c>
      <c r="D2847" s="49" t="s">
        <v>2352</v>
      </c>
      <c r="E2847" s="49" t="str">
        <f aca="false">"5060458890191"</f>
        <v>5060458890191</v>
      </c>
      <c r="F2847" s="49" t="s">
        <v>3656</v>
      </c>
      <c r="G2847" s="49" t="n">
        <v>0</v>
      </c>
      <c r="H2847" s="0" t="n">
        <v>0</v>
      </c>
      <c r="M2847" s="51" t="s">
        <v>6080</v>
      </c>
      <c r="N2847" s="49" t="n">
        <v>0</v>
      </c>
      <c r="O2847" s="53" t="n">
        <v>45735.7326851852</v>
      </c>
      <c r="P2847" s="53" t="n">
        <v>45766.5737731482</v>
      </c>
      <c r="Q2847" s="53" t="n">
        <v>45735.7326851852</v>
      </c>
      <c r="R2847" s="0" t="n">
        <v>0</v>
      </c>
      <c r="S2847" s="51" t="s">
        <v>2376</v>
      </c>
      <c r="T2847" s="51" t="s">
        <v>2376</v>
      </c>
      <c r="U2847" s="0" t="str">
        <f aca="false">"5060458890191"</f>
        <v>5060458890191</v>
      </c>
      <c r="V2847" s="51" t="s">
        <v>2142</v>
      </c>
      <c r="W2847" s="51" t="s">
        <v>6107</v>
      </c>
      <c r="X2847" s="51" t="s">
        <v>2359</v>
      </c>
    </row>
    <row r="2848" customFormat="false" ht="14.25" hidden="true" customHeight="false" outlineLevel="0" collapsed="false">
      <c r="A2848" s="49" t="s">
        <v>2349</v>
      </c>
      <c r="B2848" s="49" t="s">
        <v>2350</v>
      </c>
      <c r="C2848" s="49" t="s">
        <v>6108</v>
      </c>
      <c r="D2848" s="49" t="s">
        <v>2352</v>
      </c>
      <c r="E2848" s="49" t="str">
        <f aca="false">"5060458890191"</f>
        <v>5060458890191</v>
      </c>
      <c r="F2848" s="49" t="s">
        <v>3656</v>
      </c>
      <c r="G2848" s="49" t="n">
        <v>0</v>
      </c>
      <c r="H2848" s="0" t="n">
        <v>0</v>
      </c>
      <c r="M2848" s="51" t="s">
        <v>6080</v>
      </c>
      <c r="N2848" s="49" t="n">
        <v>0</v>
      </c>
      <c r="O2848" s="53" t="n">
        <v>45735.7328472222</v>
      </c>
      <c r="P2848" s="53" t="n">
        <v>45766.5749537037</v>
      </c>
      <c r="Q2848" s="53" t="n">
        <v>45735.7328472222</v>
      </c>
      <c r="R2848" s="0" t="n">
        <v>0</v>
      </c>
      <c r="S2848" s="51" t="s">
        <v>2376</v>
      </c>
      <c r="T2848" s="51" t="s">
        <v>2376</v>
      </c>
      <c r="U2848" s="0" t="str">
        <f aca="false">"5060458890191"</f>
        <v>5060458890191</v>
      </c>
      <c r="V2848" s="51" t="s">
        <v>2142</v>
      </c>
      <c r="W2848" s="51" t="s">
        <v>6109</v>
      </c>
      <c r="X2848" s="51" t="s">
        <v>2359</v>
      </c>
    </row>
    <row r="2849" customFormat="false" ht="14.25" hidden="true" customHeight="false" outlineLevel="0" collapsed="false">
      <c r="A2849" s="49" t="s">
        <v>2349</v>
      </c>
      <c r="B2849" s="49" t="s">
        <v>2350</v>
      </c>
      <c r="C2849" s="49" t="s">
        <v>6110</v>
      </c>
      <c r="D2849" s="49" t="s">
        <v>2352</v>
      </c>
      <c r="E2849" s="49" t="str">
        <f aca="false">"5060458890191"</f>
        <v>5060458890191</v>
      </c>
      <c r="F2849" s="49" t="s">
        <v>3656</v>
      </c>
      <c r="G2849" s="49" t="n">
        <v>0</v>
      </c>
      <c r="H2849" s="0" t="n">
        <v>0</v>
      </c>
      <c r="M2849" s="51" t="s">
        <v>6080</v>
      </c>
      <c r="N2849" s="49" t="n">
        <v>0</v>
      </c>
      <c r="O2849" s="53" t="n">
        <v>45735.7332291667</v>
      </c>
      <c r="P2849" s="53" t="n">
        <v>45757.7949305556</v>
      </c>
      <c r="Q2849" s="53" t="n">
        <v>45735.7332291667</v>
      </c>
      <c r="R2849" s="0" t="n">
        <v>0</v>
      </c>
      <c r="S2849" s="51" t="s">
        <v>2376</v>
      </c>
      <c r="T2849" s="51" t="s">
        <v>2376</v>
      </c>
      <c r="U2849" s="0" t="str">
        <f aca="false">"5060458890191"</f>
        <v>5060458890191</v>
      </c>
      <c r="V2849" s="51" t="s">
        <v>2142</v>
      </c>
      <c r="W2849" s="51" t="s">
        <v>6111</v>
      </c>
      <c r="X2849" s="51" t="s">
        <v>2359</v>
      </c>
    </row>
    <row r="2850" customFormat="false" ht="14.25" hidden="true" customHeight="false" outlineLevel="0" collapsed="false">
      <c r="A2850" s="49" t="s">
        <v>2349</v>
      </c>
      <c r="B2850" s="49" t="s">
        <v>2350</v>
      </c>
      <c r="C2850" s="49" t="s">
        <v>6112</v>
      </c>
      <c r="D2850" s="49" t="s">
        <v>2352</v>
      </c>
      <c r="E2850" s="49" t="str">
        <f aca="false">"5060458890191"</f>
        <v>5060458890191</v>
      </c>
      <c r="F2850" s="49" t="s">
        <v>3656</v>
      </c>
      <c r="G2850" s="49" t="n">
        <v>0</v>
      </c>
      <c r="H2850" s="0" t="n">
        <v>0</v>
      </c>
      <c r="M2850" s="51" t="s">
        <v>6080</v>
      </c>
      <c r="N2850" s="49" t="n">
        <v>0</v>
      </c>
      <c r="O2850" s="53" t="n">
        <v>45735.7333796296</v>
      </c>
      <c r="P2850" s="53" t="n">
        <v>45757.7928587963</v>
      </c>
      <c r="Q2850" s="53" t="n">
        <v>45735.7333796296</v>
      </c>
      <c r="R2850" s="0" t="n">
        <v>0</v>
      </c>
      <c r="S2850" s="51" t="s">
        <v>2376</v>
      </c>
      <c r="T2850" s="51" t="s">
        <v>2376</v>
      </c>
      <c r="U2850" s="0" t="str">
        <f aca="false">"5060458890191"</f>
        <v>5060458890191</v>
      </c>
      <c r="V2850" s="51" t="s">
        <v>2142</v>
      </c>
      <c r="W2850" s="51" t="s">
        <v>6113</v>
      </c>
      <c r="X2850" s="51" t="s">
        <v>2359</v>
      </c>
    </row>
    <row r="2851" customFormat="false" ht="14.25" hidden="true" customHeight="false" outlineLevel="0" collapsed="false">
      <c r="A2851" s="49" t="s">
        <v>2349</v>
      </c>
      <c r="B2851" s="49" t="s">
        <v>2350</v>
      </c>
      <c r="C2851" s="49" t="s">
        <v>6114</v>
      </c>
      <c r="D2851" s="49" t="s">
        <v>2352</v>
      </c>
      <c r="E2851" s="49" t="str">
        <f aca="false">"5060458890191"</f>
        <v>5060458890191</v>
      </c>
      <c r="F2851" s="49" t="s">
        <v>3656</v>
      </c>
      <c r="G2851" s="49" t="n">
        <v>0</v>
      </c>
      <c r="H2851" s="0" t="n">
        <v>0</v>
      </c>
      <c r="M2851" s="51" t="s">
        <v>6080</v>
      </c>
      <c r="N2851" s="49" t="n">
        <v>0</v>
      </c>
      <c r="O2851" s="53" t="n">
        <v>45735.7352893519</v>
      </c>
      <c r="P2851" s="53" t="n">
        <v>45778.7429398148</v>
      </c>
      <c r="Q2851" s="53" t="n">
        <v>45735.7352893519</v>
      </c>
      <c r="R2851" s="0" t="n">
        <v>0</v>
      </c>
      <c r="S2851" s="51" t="s">
        <v>2376</v>
      </c>
      <c r="T2851" s="51" t="s">
        <v>2376</v>
      </c>
      <c r="U2851" s="0" t="str">
        <f aca="false">"5060458890191"</f>
        <v>5060458890191</v>
      </c>
      <c r="V2851" s="51" t="s">
        <v>2142</v>
      </c>
      <c r="W2851" s="51" t="s">
        <v>4849</v>
      </c>
      <c r="X2851" s="51" t="s">
        <v>2359</v>
      </c>
    </row>
    <row r="2852" customFormat="false" ht="14.25" hidden="true" customHeight="false" outlineLevel="0" collapsed="false">
      <c r="A2852" s="49" t="s">
        <v>2349</v>
      </c>
      <c r="B2852" s="49" t="s">
        <v>2350</v>
      </c>
      <c r="C2852" s="49" t="s">
        <v>6115</v>
      </c>
      <c r="D2852" s="49" t="s">
        <v>2352</v>
      </c>
      <c r="E2852" s="49" t="str">
        <f aca="false">"5060458890191"</f>
        <v>5060458890191</v>
      </c>
      <c r="F2852" s="49" t="s">
        <v>3656</v>
      </c>
      <c r="G2852" s="49" t="n">
        <v>0</v>
      </c>
      <c r="H2852" s="0" t="n">
        <v>0</v>
      </c>
      <c r="M2852" s="51" t="s">
        <v>6080</v>
      </c>
      <c r="N2852" s="49" t="n">
        <v>0</v>
      </c>
      <c r="O2852" s="53" t="n">
        <v>45735.7355439815</v>
      </c>
      <c r="P2852" s="53" t="n">
        <v>45778.7680092593</v>
      </c>
      <c r="Q2852" s="53" t="n">
        <v>45735.7355439815</v>
      </c>
      <c r="R2852" s="0" t="n">
        <v>0</v>
      </c>
      <c r="S2852" s="51" t="s">
        <v>2376</v>
      </c>
      <c r="T2852" s="51" t="s">
        <v>2376</v>
      </c>
      <c r="U2852" s="0" t="str">
        <f aca="false">"5060458890191"</f>
        <v>5060458890191</v>
      </c>
      <c r="V2852" s="51" t="s">
        <v>2142</v>
      </c>
      <c r="W2852" s="51" t="s">
        <v>5612</v>
      </c>
      <c r="X2852" s="51" t="s">
        <v>2359</v>
      </c>
    </row>
    <row r="2853" customFormat="false" ht="14.25" hidden="true" customHeight="false" outlineLevel="0" collapsed="false">
      <c r="A2853" s="49" t="s">
        <v>2349</v>
      </c>
      <c r="B2853" s="49" t="s">
        <v>2350</v>
      </c>
      <c r="C2853" s="49" t="s">
        <v>6116</v>
      </c>
      <c r="D2853" s="49" t="s">
        <v>2352</v>
      </c>
      <c r="E2853" s="49" t="str">
        <f aca="false">"5060458890191"</f>
        <v>5060458890191</v>
      </c>
      <c r="F2853" s="49" t="s">
        <v>3656</v>
      </c>
      <c r="G2853" s="49" t="n">
        <v>0</v>
      </c>
      <c r="H2853" s="0" t="n">
        <v>0</v>
      </c>
      <c r="M2853" s="51" t="s">
        <v>6080</v>
      </c>
      <c r="N2853" s="49" t="n">
        <v>0</v>
      </c>
      <c r="O2853" s="53" t="n">
        <v>45735.7356944445</v>
      </c>
      <c r="P2853" s="53" t="n">
        <v>45766.5753935185</v>
      </c>
      <c r="Q2853" s="53" t="n">
        <v>45735.7356944445</v>
      </c>
      <c r="R2853" s="0" t="n">
        <v>0</v>
      </c>
      <c r="S2853" s="51" t="s">
        <v>2376</v>
      </c>
      <c r="T2853" s="51" t="s">
        <v>2376</v>
      </c>
      <c r="U2853" s="0" t="str">
        <f aca="false">"5060458890191"</f>
        <v>5060458890191</v>
      </c>
      <c r="V2853" s="51" t="s">
        <v>2142</v>
      </c>
      <c r="W2853" s="51" t="s">
        <v>6117</v>
      </c>
      <c r="X2853" s="51" t="s">
        <v>2359</v>
      </c>
    </row>
    <row r="2854" customFormat="false" ht="14.25" hidden="true" customHeight="false" outlineLevel="0" collapsed="false">
      <c r="A2854" s="49" t="s">
        <v>2349</v>
      </c>
      <c r="B2854" s="49" t="s">
        <v>2350</v>
      </c>
      <c r="C2854" s="49" t="s">
        <v>6118</v>
      </c>
      <c r="D2854" s="49" t="s">
        <v>2352</v>
      </c>
      <c r="E2854" s="49" t="str">
        <f aca="false">"5060458890191"</f>
        <v>5060458890191</v>
      </c>
      <c r="F2854" s="49" t="s">
        <v>3656</v>
      </c>
      <c r="G2854" s="49" t="n">
        <v>0</v>
      </c>
      <c r="H2854" s="0" t="n">
        <v>0</v>
      </c>
      <c r="M2854" s="51" t="s">
        <v>6080</v>
      </c>
      <c r="N2854" s="49" t="n">
        <v>0</v>
      </c>
      <c r="O2854" s="53" t="n">
        <v>45735.7358333333</v>
      </c>
      <c r="P2854" s="53" t="n">
        <v>45766.5864583333</v>
      </c>
      <c r="Q2854" s="53" t="n">
        <v>45735.7358333333</v>
      </c>
      <c r="R2854" s="0" t="n">
        <v>0</v>
      </c>
      <c r="S2854" s="51" t="s">
        <v>2376</v>
      </c>
      <c r="T2854" s="51" t="s">
        <v>2376</v>
      </c>
      <c r="U2854" s="0" t="str">
        <f aca="false">"5060458890191"</f>
        <v>5060458890191</v>
      </c>
      <c r="V2854" s="51" t="s">
        <v>2142</v>
      </c>
      <c r="W2854" s="51" t="s">
        <v>6119</v>
      </c>
      <c r="X2854" s="51" t="s">
        <v>2359</v>
      </c>
    </row>
    <row r="2855" customFormat="false" ht="14.25" hidden="true" customHeight="false" outlineLevel="0" collapsed="false">
      <c r="A2855" s="49" t="s">
        <v>2349</v>
      </c>
      <c r="B2855" s="49" t="s">
        <v>2350</v>
      </c>
      <c r="C2855" s="49" t="s">
        <v>6120</v>
      </c>
      <c r="D2855" s="49" t="s">
        <v>2352</v>
      </c>
      <c r="E2855" s="49" t="str">
        <f aca="false">"5060458890191"</f>
        <v>5060458890191</v>
      </c>
      <c r="F2855" s="49" t="s">
        <v>3656</v>
      </c>
      <c r="G2855" s="49" t="n">
        <v>0</v>
      </c>
      <c r="H2855" s="0" t="n">
        <v>0</v>
      </c>
      <c r="M2855" s="51" t="s">
        <v>6080</v>
      </c>
      <c r="N2855" s="49" t="n">
        <v>0</v>
      </c>
      <c r="O2855" s="53" t="n">
        <v>45735.7361342593</v>
      </c>
      <c r="P2855" s="53" t="n">
        <v>45766.5872337963</v>
      </c>
      <c r="Q2855" s="53" t="n">
        <v>45735.7361342593</v>
      </c>
      <c r="R2855" s="0" t="n">
        <v>0</v>
      </c>
      <c r="S2855" s="51" t="s">
        <v>2376</v>
      </c>
      <c r="T2855" s="51" t="s">
        <v>2376</v>
      </c>
      <c r="U2855" s="0" t="str">
        <f aca="false">"5060458890191"</f>
        <v>5060458890191</v>
      </c>
      <c r="V2855" s="51" t="s">
        <v>2142</v>
      </c>
      <c r="W2855" s="51" t="s">
        <v>6121</v>
      </c>
      <c r="X2855" s="51" t="s">
        <v>2359</v>
      </c>
    </row>
    <row r="2856" customFormat="false" ht="14.25" hidden="true" customHeight="false" outlineLevel="0" collapsed="false">
      <c r="A2856" s="49" t="s">
        <v>2349</v>
      </c>
      <c r="B2856" s="49" t="s">
        <v>2350</v>
      </c>
      <c r="C2856" s="49" t="s">
        <v>6122</v>
      </c>
      <c r="D2856" s="49" t="s">
        <v>2352</v>
      </c>
      <c r="E2856" s="49" t="str">
        <f aca="false">"5060458890191"</f>
        <v>5060458890191</v>
      </c>
      <c r="F2856" s="49" t="s">
        <v>3656</v>
      </c>
      <c r="G2856" s="49" t="n">
        <v>0</v>
      </c>
      <c r="H2856" s="0" t="n">
        <v>0</v>
      </c>
      <c r="M2856" s="51" t="s">
        <v>6080</v>
      </c>
      <c r="N2856" s="49" t="n">
        <v>0</v>
      </c>
      <c r="O2856" s="53" t="n">
        <v>45735.7288078704</v>
      </c>
      <c r="P2856" s="53" t="n">
        <v>45757.7775462963</v>
      </c>
      <c r="Q2856" s="53" t="n">
        <v>45735.7288078704</v>
      </c>
      <c r="R2856" s="0" t="n">
        <v>0</v>
      </c>
      <c r="S2856" s="51" t="s">
        <v>2376</v>
      </c>
      <c r="T2856" s="51" t="s">
        <v>2376</v>
      </c>
      <c r="U2856" s="0" t="str">
        <f aca="false">"5060458890191"</f>
        <v>5060458890191</v>
      </c>
      <c r="V2856" s="51" t="s">
        <v>2142</v>
      </c>
      <c r="W2856" s="51" t="s">
        <v>4397</v>
      </c>
      <c r="X2856" s="51" t="s">
        <v>2359</v>
      </c>
    </row>
    <row r="2857" customFormat="false" ht="14.25" hidden="true" customHeight="false" outlineLevel="0" collapsed="false">
      <c r="A2857" s="49" t="s">
        <v>2349</v>
      </c>
      <c r="B2857" s="49" t="s">
        <v>2350</v>
      </c>
      <c r="C2857" s="49" t="s">
        <v>6123</v>
      </c>
      <c r="D2857" s="49" t="s">
        <v>2352</v>
      </c>
      <c r="E2857" s="49" t="str">
        <f aca="false">"5060458890191"</f>
        <v>5060458890191</v>
      </c>
      <c r="F2857" s="49" t="s">
        <v>3656</v>
      </c>
      <c r="G2857" s="49" t="n">
        <v>0</v>
      </c>
      <c r="H2857" s="0" t="n">
        <v>0</v>
      </c>
      <c r="M2857" s="51" t="s">
        <v>6124</v>
      </c>
      <c r="N2857" s="49" t="n">
        <v>0</v>
      </c>
      <c r="O2857" s="53" t="n">
        <v>45736.9082291667</v>
      </c>
      <c r="P2857" s="53" t="n">
        <v>45778.7662384259</v>
      </c>
      <c r="Q2857" s="53" t="n">
        <v>45736.9082291667</v>
      </c>
      <c r="R2857" s="0" t="n">
        <v>0</v>
      </c>
      <c r="S2857" s="51" t="s">
        <v>2376</v>
      </c>
      <c r="T2857" s="51" t="s">
        <v>2376</v>
      </c>
      <c r="U2857" s="0" t="str">
        <f aca="false">"5060458890191"</f>
        <v>5060458890191</v>
      </c>
      <c r="V2857" s="51" t="s">
        <v>2142</v>
      </c>
      <c r="W2857" s="51" t="s">
        <v>5218</v>
      </c>
      <c r="X2857" s="51" t="s">
        <v>2359</v>
      </c>
    </row>
    <row r="2858" customFormat="false" ht="14.25" hidden="true" customHeight="false" outlineLevel="0" collapsed="false">
      <c r="A2858" s="49" t="s">
        <v>2349</v>
      </c>
      <c r="B2858" s="49" t="s">
        <v>2350</v>
      </c>
      <c r="C2858" s="49" t="s">
        <v>6125</v>
      </c>
      <c r="D2858" s="49" t="s">
        <v>2352</v>
      </c>
      <c r="E2858" s="49" t="str">
        <f aca="false">"5060458890191"</f>
        <v>5060458890191</v>
      </c>
      <c r="F2858" s="49" t="s">
        <v>3656</v>
      </c>
      <c r="G2858" s="49" t="n">
        <v>0</v>
      </c>
      <c r="H2858" s="0" t="n">
        <v>0</v>
      </c>
      <c r="M2858" s="51" t="s">
        <v>6124</v>
      </c>
      <c r="N2858" s="49" t="n">
        <v>0</v>
      </c>
      <c r="O2858" s="53" t="n">
        <v>45736.9080787037</v>
      </c>
      <c r="P2858" s="53" t="n">
        <v>45766.6239351852</v>
      </c>
      <c r="Q2858" s="53" t="n">
        <v>45736.9080787037</v>
      </c>
      <c r="R2858" s="0" t="n">
        <v>0</v>
      </c>
      <c r="S2858" s="51" t="s">
        <v>2376</v>
      </c>
      <c r="T2858" s="51" t="s">
        <v>2376</v>
      </c>
      <c r="U2858" s="0" t="str">
        <f aca="false">"5060458890191"</f>
        <v>5060458890191</v>
      </c>
      <c r="V2858" s="51" t="s">
        <v>2142</v>
      </c>
      <c r="W2858" s="51" t="s">
        <v>5446</v>
      </c>
      <c r="X2858" s="51" t="s">
        <v>2359</v>
      </c>
    </row>
    <row r="2859" customFormat="false" ht="14.25" hidden="true" customHeight="false" outlineLevel="0" collapsed="false">
      <c r="A2859" s="49" t="s">
        <v>2349</v>
      </c>
      <c r="B2859" s="49" t="s">
        <v>2350</v>
      </c>
      <c r="C2859" s="49" t="s">
        <v>6126</v>
      </c>
      <c r="D2859" s="49" t="s">
        <v>2352</v>
      </c>
      <c r="E2859" s="49" t="str">
        <f aca="false">"5060458890191"</f>
        <v>5060458890191</v>
      </c>
      <c r="F2859" s="49" t="s">
        <v>3656</v>
      </c>
      <c r="G2859" s="49" t="n">
        <v>0</v>
      </c>
      <c r="H2859" s="0" t="n">
        <v>0</v>
      </c>
      <c r="M2859" s="51" t="s">
        <v>6124</v>
      </c>
      <c r="N2859" s="49" t="n">
        <v>0</v>
      </c>
      <c r="O2859" s="53" t="n">
        <v>45736.9079282407</v>
      </c>
      <c r="P2859" s="53" t="n">
        <v>45778.7717476852</v>
      </c>
      <c r="Q2859" s="53" t="n">
        <v>45736.9079282407</v>
      </c>
      <c r="R2859" s="0" t="n">
        <v>0</v>
      </c>
      <c r="S2859" s="51" t="s">
        <v>2376</v>
      </c>
      <c r="T2859" s="51" t="s">
        <v>2376</v>
      </c>
      <c r="U2859" s="0" t="str">
        <f aca="false">"5060458890191"</f>
        <v>5060458890191</v>
      </c>
      <c r="V2859" s="51" t="s">
        <v>2142</v>
      </c>
      <c r="W2859" s="51" t="s">
        <v>4050</v>
      </c>
      <c r="X2859" s="51" t="s">
        <v>2359</v>
      </c>
    </row>
    <row r="2860" customFormat="false" ht="14.25" hidden="true" customHeight="false" outlineLevel="0" collapsed="false">
      <c r="A2860" s="49" t="s">
        <v>2349</v>
      </c>
      <c r="B2860" s="49" t="s">
        <v>2350</v>
      </c>
      <c r="C2860" s="49" t="s">
        <v>6127</v>
      </c>
      <c r="D2860" s="49" t="s">
        <v>2352</v>
      </c>
      <c r="E2860" s="49" t="str">
        <f aca="false">"5060458890191"</f>
        <v>5060458890191</v>
      </c>
      <c r="F2860" s="49" t="s">
        <v>3656</v>
      </c>
      <c r="G2860" s="49" t="n">
        <v>0</v>
      </c>
      <c r="H2860" s="0" t="n">
        <v>0</v>
      </c>
      <c r="M2860" s="51" t="s">
        <v>6124</v>
      </c>
      <c r="N2860" s="49" t="n">
        <v>0</v>
      </c>
      <c r="O2860" s="53" t="n">
        <v>45736.9077893519</v>
      </c>
      <c r="P2860" s="53" t="n">
        <v>45766.6261342593</v>
      </c>
      <c r="Q2860" s="53" t="n">
        <v>45736.9077893519</v>
      </c>
      <c r="R2860" s="0" t="n">
        <v>0</v>
      </c>
      <c r="S2860" s="51" t="s">
        <v>2376</v>
      </c>
      <c r="T2860" s="51" t="s">
        <v>2376</v>
      </c>
      <c r="U2860" s="0" t="str">
        <f aca="false">"5060458890191"</f>
        <v>5060458890191</v>
      </c>
      <c r="V2860" s="51" t="s">
        <v>2142</v>
      </c>
      <c r="W2860" s="51" t="s">
        <v>5617</v>
      </c>
      <c r="X2860" s="51" t="s">
        <v>2359</v>
      </c>
    </row>
    <row r="2861" customFormat="false" ht="14.25" hidden="true" customHeight="false" outlineLevel="0" collapsed="false">
      <c r="A2861" s="49" t="s">
        <v>2349</v>
      </c>
      <c r="B2861" s="49" t="s">
        <v>2350</v>
      </c>
      <c r="C2861" s="49" t="s">
        <v>6128</v>
      </c>
      <c r="D2861" s="49" t="s">
        <v>2352</v>
      </c>
      <c r="E2861" s="49" t="str">
        <f aca="false">"5060458890191"</f>
        <v>5060458890191</v>
      </c>
      <c r="F2861" s="49" t="s">
        <v>3656</v>
      </c>
      <c r="G2861" s="49" t="n">
        <v>0</v>
      </c>
      <c r="H2861" s="0" t="n">
        <v>0</v>
      </c>
      <c r="M2861" s="51" t="s">
        <v>6124</v>
      </c>
      <c r="N2861" s="49" t="n">
        <v>0</v>
      </c>
      <c r="O2861" s="53" t="n">
        <v>45736.907662037</v>
      </c>
      <c r="P2861" s="53" t="n">
        <v>45766.626712963</v>
      </c>
      <c r="Q2861" s="53" t="n">
        <v>45736.907662037</v>
      </c>
      <c r="R2861" s="0" t="n">
        <v>0</v>
      </c>
      <c r="S2861" s="51" t="s">
        <v>2376</v>
      </c>
      <c r="T2861" s="51" t="s">
        <v>2376</v>
      </c>
      <c r="U2861" s="0" t="str">
        <f aca="false">"5060458890191"</f>
        <v>5060458890191</v>
      </c>
      <c r="V2861" s="51" t="s">
        <v>2142</v>
      </c>
      <c r="W2861" s="51" t="s">
        <v>5436</v>
      </c>
      <c r="X2861" s="51" t="s">
        <v>2359</v>
      </c>
    </row>
    <row r="2862" customFormat="false" ht="14.25" hidden="true" customHeight="false" outlineLevel="0" collapsed="false">
      <c r="A2862" s="49" t="s">
        <v>2349</v>
      </c>
      <c r="B2862" s="49" t="s">
        <v>2350</v>
      </c>
      <c r="C2862" s="49" t="s">
        <v>6129</v>
      </c>
      <c r="D2862" s="49" t="s">
        <v>2352</v>
      </c>
      <c r="E2862" s="49" t="str">
        <f aca="false">"5060458890191"</f>
        <v>5060458890191</v>
      </c>
      <c r="F2862" s="49" t="s">
        <v>3656</v>
      </c>
      <c r="G2862" s="49" t="n">
        <v>0</v>
      </c>
      <c r="H2862" s="0" t="n">
        <v>0</v>
      </c>
      <c r="M2862" s="51" t="s">
        <v>6124</v>
      </c>
      <c r="N2862" s="49" t="n">
        <v>0</v>
      </c>
      <c r="O2862" s="53" t="n">
        <v>45736.9075347222</v>
      </c>
      <c r="P2862" s="53" t="n">
        <v>45766.6270138889</v>
      </c>
      <c r="Q2862" s="53" t="n">
        <v>45736.9075231482</v>
      </c>
      <c r="R2862" s="0" t="n">
        <v>0</v>
      </c>
      <c r="S2862" s="51" t="s">
        <v>2376</v>
      </c>
      <c r="T2862" s="51" t="s">
        <v>2376</v>
      </c>
      <c r="U2862" s="0" t="str">
        <f aca="false">"5060458890191"</f>
        <v>5060458890191</v>
      </c>
      <c r="V2862" s="51" t="s">
        <v>2142</v>
      </c>
      <c r="W2862" s="51" t="s">
        <v>5604</v>
      </c>
      <c r="X2862" s="51" t="s">
        <v>2359</v>
      </c>
    </row>
    <row r="2863" customFormat="false" ht="14.25" hidden="true" customHeight="false" outlineLevel="0" collapsed="false">
      <c r="A2863" s="49" t="s">
        <v>2349</v>
      </c>
      <c r="B2863" s="49" t="s">
        <v>2350</v>
      </c>
      <c r="C2863" s="49" t="s">
        <v>6130</v>
      </c>
      <c r="D2863" s="49" t="s">
        <v>2352</v>
      </c>
      <c r="E2863" s="49" t="str">
        <f aca="false">"5060458890191"</f>
        <v>5060458890191</v>
      </c>
      <c r="F2863" s="49" t="s">
        <v>3656</v>
      </c>
      <c r="G2863" s="49" t="n">
        <v>0</v>
      </c>
      <c r="H2863" s="0" t="n">
        <v>0</v>
      </c>
      <c r="M2863" s="51" t="s">
        <v>6124</v>
      </c>
      <c r="N2863" s="49" t="n">
        <v>0</v>
      </c>
      <c r="O2863" s="53" t="n">
        <v>45736.9073958333</v>
      </c>
      <c r="P2863" s="53" t="n">
        <v>45778.7496990741</v>
      </c>
      <c r="Q2863" s="53" t="n">
        <v>45736.9073958333</v>
      </c>
      <c r="R2863" s="0" t="n">
        <v>0</v>
      </c>
      <c r="S2863" s="51" t="s">
        <v>2376</v>
      </c>
      <c r="T2863" s="51" t="s">
        <v>2376</v>
      </c>
      <c r="U2863" s="0" t="str">
        <f aca="false">"5060458890191"</f>
        <v>5060458890191</v>
      </c>
      <c r="V2863" s="51" t="s">
        <v>2142</v>
      </c>
      <c r="W2863" s="51" t="s">
        <v>4818</v>
      </c>
      <c r="X2863" s="51" t="s">
        <v>2359</v>
      </c>
    </row>
    <row r="2864" customFormat="false" ht="14.25" hidden="true" customHeight="false" outlineLevel="0" collapsed="false">
      <c r="A2864" s="49" t="s">
        <v>2349</v>
      </c>
      <c r="B2864" s="49" t="s">
        <v>2350</v>
      </c>
      <c r="C2864" s="49" t="s">
        <v>6131</v>
      </c>
      <c r="D2864" s="49" t="s">
        <v>2352</v>
      </c>
      <c r="E2864" s="49" t="str">
        <f aca="false">"5060458890191"</f>
        <v>5060458890191</v>
      </c>
      <c r="F2864" s="49" t="s">
        <v>3656</v>
      </c>
      <c r="G2864" s="49" t="n">
        <v>0</v>
      </c>
      <c r="H2864" s="0" t="n">
        <v>0</v>
      </c>
      <c r="M2864" s="51" t="s">
        <v>6124</v>
      </c>
      <c r="N2864" s="49" t="n">
        <v>0</v>
      </c>
      <c r="O2864" s="53" t="n">
        <v>45736.9072685185</v>
      </c>
      <c r="P2864" s="53" t="n">
        <v>45766.6525231482</v>
      </c>
      <c r="Q2864" s="53" t="n">
        <v>45736.9072685185</v>
      </c>
      <c r="R2864" s="0" t="n">
        <v>0</v>
      </c>
      <c r="S2864" s="51" t="s">
        <v>2376</v>
      </c>
      <c r="T2864" s="51" t="s">
        <v>2376</v>
      </c>
      <c r="U2864" s="0" t="str">
        <f aca="false">"5060458890191"</f>
        <v>5060458890191</v>
      </c>
      <c r="V2864" s="51" t="s">
        <v>2142</v>
      </c>
      <c r="W2864" s="51" t="s">
        <v>4824</v>
      </c>
      <c r="X2864" s="51" t="s">
        <v>2359</v>
      </c>
    </row>
    <row r="2865" customFormat="false" ht="14.25" hidden="true" customHeight="false" outlineLevel="0" collapsed="false">
      <c r="A2865" s="49" t="s">
        <v>2349</v>
      </c>
      <c r="B2865" s="49" t="s">
        <v>2350</v>
      </c>
      <c r="C2865" s="49" t="s">
        <v>6132</v>
      </c>
      <c r="D2865" s="49" t="s">
        <v>2352</v>
      </c>
      <c r="E2865" s="49" t="str">
        <f aca="false">"5060458890191"</f>
        <v>5060458890191</v>
      </c>
      <c r="F2865" s="49" t="s">
        <v>3656</v>
      </c>
      <c r="G2865" s="49" t="n">
        <v>0</v>
      </c>
      <c r="H2865" s="0" t="n">
        <v>0</v>
      </c>
      <c r="M2865" s="51" t="s">
        <v>6124</v>
      </c>
      <c r="N2865" s="49" t="n">
        <v>0</v>
      </c>
      <c r="O2865" s="53" t="n">
        <v>45736.9071064815</v>
      </c>
      <c r="P2865" s="53" t="n">
        <v>45766.6222106482</v>
      </c>
      <c r="Q2865" s="53" t="n">
        <v>45736.9071064815</v>
      </c>
      <c r="R2865" s="0" t="n">
        <v>0</v>
      </c>
      <c r="S2865" s="51" t="s">
        <v>2376</v>
      </c>
      <c r="T2865" s="51" t="s">
        <v>2376</v>
      </c>
      <c r="U2865" s="0" t="str">
        <f aca="false">"5060458890191"</f>
        <v>5060458890191</v>
      </c>
      <c r="V2865" s="51" t="s">
        <v>2142</v>
      </c>
      <c r="W2865" s="51" t="s">
        <v>4210</v>
      </c>
      <c r="X2865" s="51" t="s">
        <v>2359</v>
      </c>
    </row>
    <row r="2866" customFormat="false" ht="14.25" hidden="true" customHeight="false" outlineLevel="0" collapsed="false">
      <c r="A2866" s="49" t="s">
        <v>2349</v>
      </c>
      <c r="B2866" s="49" t="s">
        <v>2350</v>
      </c>
      <c r="C2866" s="49" t="s">
        <v>6133</v>
      </c>
      <c r="D2866" s="49" t="s">
        <v>2352</v>
      </c>
      <c r="E2866" s="49" t="str">
        <f aca="false">"5060458890191"</f>
        <v>5060458890191</v>
      </c>
      <c r="F2866" s="49" t="s">
        <v>3656</v>
      </c>
      <c r="G2866" s="49" t="n">
        <v>0</v>
      </c>
      <c r="H2866" s="0" t="n">
        <v>0</v>
      </c>
      <c r="M2866" s="51" t="s">
        <v>6124</v>
      </c>
      <c r="N2866" s="49" t="n">
        <v>0</v>
      </c>
      <c r="O2866" s="53" t="n">
        <v>45736.9068981482</v>
      </c>
      <c r="P2866" s="53" t="n">
        <v>45766.6540046296</v>
      </c>
      <c r="Q2866" s="53" t="n">
        <v>45736.9068981482</v>
      </c>
      <c r="R2866" s="0" t="n">
        <v>0</v>
      </c>
      <c r="S2866" s="51" t="s">
        <v>2376</v>
      </c>
      <c r="T2866" s="51" t="s">
        <v>2376</v>
      </c>
      <c r="U2866" s="0" t="str">
        <f aca="false">"5060458890191"</f>
        <v>5060458890191</v>
      </c>
      <c r="V2866" s="51" t="s">
        <v>2142</v>
      </c>
      <c r="W2866" s="51" t="s">
        <v>5365</v>
      </c>
      <c r="X2866" s="51" t="s">
        <v>2359</v>
      </c>
    </row>
    <row r="2867" customFormat="false" ht="14.25" hidden="true" customHeight="false" outlineLevel="0" collapsed="false">
      <c r="A2867" s="49" t="s">
        <v>2349</v>
      </c>
      <c r="B2867" s="49" t="s">
        <v>2350</v>
      </c>
      <c r="C2867" s="49" t="s">
        <v>6134</v>
      </c>
      <c r="D2867" s="49" t="s">
        <v>2352</v>
      </c>
      <c r="E2867" s="49" t="str">
        <f aca="false">"5060458890191"</f>
        <v>5060458890191</v>
      </c>
      <c r="F2867" s="49" t="s">
        <v>3656</v>
      </c>
      <c r="G2867" s="49" t="n">
        <v>0</v>
      </c>
      <c r="H2867" s="0" t="n">
        <v>0</v>
      </c>
      <c r="M2867" s="51" t="s">
        <v>6124</v>
      </c>
      <c r="N2867" s="49" t="n">
        <v>0</v>
      </c>
      <c r="O2867" s="53" t="n">
        <v>45736.9067824074</v>
      </c>
      <c r="P2867" s="53" t="n">
        <v>45766.6513773148</v>
      </c>
      <c r="Q2867" s="53" t="n">
        <v>45736.9067824074</v>
      </c>
      <c r="R2867" s="0" t="n">
        <v>0</v>
      </c>
      <c r="S2867" s="51" t="s">
        <v>2376</v>
      </c>
      <c r="T2867" s="51" t="s">
        <v>2376</v>
      </c>
      <c r="U2867" s="0" t="str">
        <f aca="false">"5060458890191"</f>
        <v>5060458890191</v>
      </c>
      <c r="V2867" s="51" t="s">
        <v>2142</v>
      </c>
      <c r="W2867" s="51" t="s">
        <v>4822</v>
      </c>
      <c r="X2867" s="51" t="s">
        <v>2359</v>
      </c>
    </row>
    <row r="2868" customFormat="false" ht="14.25" hidden="true" customHeight="false" outlineLevel="0" collapsed="false">
      <c r="A2868" s="49" t="s">
        <v>2349</v>
      </c>
      <c r="B2868" s="49" t="s">
        <v>2350</v>
      </c>
      <c r="C2868" s="49" t="s">
        <v>6135</v>
      </c>
      <c r="D2868" s="49" t="s">
        <v>2352</v>
      </c>
      <c r="E2868" s="49" t="str">
        <f aca="false">"5060458890191"</f>
        <v>5060458890191</v>
      </c>
      <c r="F2868" s="49" t="s">
        <v>3656</v>
      </c>
      <c r="G2868" s="49" t="n">
        <v>0</v>
      </c>
      <c r="H2868" s="0" t="n">
        <v>0</v>
      </c>
      <c r="M2868" s="51" t="s">
        <v>6124</v>
      </c>
      <c r="N2868" s="49" t="n">
        <v>0</v>
      </c>
      <c r="O2868" s="53" t="n">
        <v>45736.9066319445</v>
      </c>
      <c r="P2868" s="53" t="n">
        <v>45766.6502777778</v>
      </c>
      <c r="Q2868" s="53" t="n">
        <v>45736.9066319445</v>
      </c>
      <c r="R2868" s="0" t="n">
        <v>0</v>
      </c>
      <c r="S2868" s="51" t="s">
        <v>2376</v>
      </c>
      <c r="T2868" s="51" t="s">
        <v>2376</v>
      </c>
      <c r="U2868" s="0" t="str">
        <f aca="false">"5060458890191"</f>
        <v>5060458890191</v>
      </c>
      <c r="V2868" s="51" t="s">
        <v>2142</v>
      </c>
      <c r="W2868" s="51" t="s">
        <v>5517</v>
      </c>
      <c r="X2868" s="51" t="s">
        <v>2359</v>
      </c>
    </row>
    <row r="2869" customFormat="false" ht="14.25" hidden="true" customHeight="false" outlineLevel="0" collapsed="false">
      <c r="A2869" s="49" t="s">
        <v>2349</v>
      </c>
      <c r="B2869" s="49" t="s">
        <v>2350</v>
      </c>
      <c r="C2869" s="49" t="s">
        <v>6136</v>
      </c>
      <c r="D2869" s="49" t="s">
        <v>2352</v>
      </c>
      <c r="E2869" s="49" t="str">
        <f aca="false">"5060458890191"</f>
        <v>5060458890191</v>
      </c>
      <c r="F2869" s="49" t="s">
        <v>3656</v>
      </c>
      <c r="G2869" s="49" t="n">
        <v>0</v>
      </c>
      <c r="H2869" s="0" t="n">
        <v>0</v>
      </c>
      <c r="M2869" s="51" t="s">
        <v>6124</v>
      </c>
      <c r="N2869" s="49" t="n">
        <v>0</v>
      </c>
      <c r="O2869" s="53" t="n">
        <v>45736.9064814815</v>
      </c>
      <c r="P2869" s="53" t="n">
        <v>45766.6506944444</v>
      </c>
      <c r="Q2869" s="53" t="n">
        <v>45736.9064814815</v>
      </c>
      <c r="R2869" s="0" t="n">
        <v>0</v>
      </c>
      <c r="S2869" s="51" t="s">
        <v>2376</v>
      </c>
      <c r="T2869" s="51" t="s">
        <v>2376</v>
      </c>
      <c r="U2869" s="0" t="str">
        <f aca="false">"5060458890191"</f>
        <v>5060458890191</v>
      </c>
      <c r="V2869" s="51" t="s">
        <v>2142</v>
      </c>
      <c r="W2869" s="51" t="s">
        <v>4816</v>
      </c>
      <c r="X2869" s="51" t="s">
        <v>2359</v>
      </c>
    </row>
    <row r="2870" customFormat="false" ht="14.25" hidden="true" customHeight="false" outlineLevel="0" collapsed="false">
      <c r="A2870" s="49" t="s">
        <v>2349</v>
      </c>
      <c r="B2870" s="49" t="s">
        <v>2350</v>
      </c>
      <c r="C2870" s="49" t="s">
        <v>6137</v>
      </c>
      <c r="D2870" s="49" t="s">
        <v>2352</v>
      </c>
      <c r="E2870" s="49" t="str">
        <f aca="false">"5060458890191"</f>
        <v>5060458890191</v>
      </c>
      <c r="F2870" s="49" t="s">
        <v>3656</v>
      </c>
      <c r="G2870" s="49" t="n">
        <v>0</v>
      </c>
      <c r="H2870" s="0" t="n">
        <v>0</v>
      </c>
      <c r="M2870" s="51" t="s">
        <v>6124</v>
      </c>
      <c r="N2870" s="49" t="n">
        <v>0</v>
      </c>
      <c r="O2870" s="53" t="n">
        <v>45736.9046643519</v>
      </c>
      <c r="P2870" s="53" t="n">
        <v>45766.6532523148</v>
      </c>
      <c r="Q2870" s="53" t="n">
        <v>45736.9046643519</v>
      </c>
      <c r="R2870" s="0" t="n">
        <v>0</v>
      </c>
      <c r="S2870" s="51" t="s">
        <v>2376</v>
      </c>
      <c r="T2870" s="51" t="s">
        <v>2376</v>
      </c>
      <c r="U2870" s="0" t="str">
        <f aca="false">"5060458890191"</f>
        <v>5060458890191</v>
      </c>
      <c r="V2870" s="51" t="s">
        <v>2142</v>
      </c>
      <c r="W2870" s="51" t="s">
        <v>4829</v>
      </c>
      <c r="X2870" s="51" t="s">
        <v>2359</v>
      </c>
    </row>
    <row r="2871" customFormat="false" ht="14.25" hidden="true" customHeight="false" outlineLevel="0" collapsed="false">
      <c r="A2871" s="49" t="s">
        <v>2349</v>
      </c>
      <c r="B2871" s="49" t="s">
        <v>2350</v>
      </c>
      <c r="C2871" s="49" t="s">
        <v>6138</v>
      </c>
      <c r="D2871" s="49" t="s">
        <v>2352</v>
      </c>
      <c r="E2871" s="49" t="str">
        <f aca="false">"5060458890191"</f>
        <v>5060458890191</v>
      </c>
      <c r="F2871" s="49" t="s">
        <v>3656</v>
      </c>
      <c r="G2871" s="49" t="n">
        <v>0</v>
      </c>
      <c r="H2871" s="0" t="n">
        <v>0</v>
      </c>
      <c r="M2871" s="51" t="s">
        <v>6124</v>
      </c>
      <c r="N2871" s="49" t="n">
        <v>0</v>
      </c>
      <c r="O2871" s="53" t="n">
        <v>45736.9101736111</v>
      </c>
      <c r="P2871" s="53" t="n">
        <v>45766.655462963</v>
      </c>
      <c r="Q2871" s="53" t="n">
        <v>45736.9101736111</v>
      </c>
      <c r="R2871" s="0" t="n">
        <v>0</v>
      </c>
      <c r="S2871" s="51" t="s">
        <v>2376</v>
      </c>
      <c r="T2871" s="51" t="s">
        <v>2376</v>
      </c>
      <c r="U2871" s="0" t="str">
        <f aca="false">"5060458890191"</f>
        <v>5060458890191</v>
      </c>
      <c r="V2871" s="51" t="s">
        <v>2142</v>
      </c>
      <c r="W2871" s="51" t="s">
        <v>4411</v>
      </c>
      <c r="X2871" s="51" t="s">
        <v>2359</v>
      </c>
    </row>
    <row r="2872" customFormat="false" ht="14.25" hidden="true" customHeight="false" outlineLevel="0" collapsed="false">
      <c r="A2872" s="49" t="s">
        <v>2349</v>
      </c>
      <c r="B2872" s="49" t="s">
        <v>2350</v>
      </c>
      <c r="C2872" s="49" t="s">
        <v>6139</v>
      </c>
      <c r="D2872" s="49" t="s">
        <v>2352</v>
      </c>
      <c r="E2872" s="49" t="str">
        <f aca="false">"5060458890191"</f>
        <v>5060458890191</v>
      </c>
      <c r="F2872" s="49" t="s">
        <v>3656</v>
      </c>
      <c r="G2872" s="49" t="n">
        <v>0</v>
      </c>
      <c r="H2872" s="0" t="n">
        <v>0</v>
      </c>
      <c r="M2872" s="51" t="s">
        <v>6124</v>
      </c>
      <c r="N2872" s="49" t="n">
        <v>0</v>
      </c>
      <c r="O2872" s="53" t="n">
        <v>45736.9103009259</v>
      </c>
      <c r="P2872" s="53" t="n">
        <v>45766.6557986111</v>
      </c>
      <c r="Q2872" s="53" t="n">
        <v>45736.9103009259</v>
      </c>
      <c r="R2872" s="0" t="n">
        <v>0</v>
      </c>
      <c r="S2872" s="51" t="s">
        <v>2376</v>
      </c>
      <c r="T2872" s="51" t="s">
        <v>2376</v>
      </c>
      <c r="U2872" s="0" t="str">
        <f aca="false">"5060458890191"</f>
        <v>5060458890191</v>
      </c>
      <c r="V2872" s="51" t="s">
        <v>2142</v>
      </c>
      <c r="W2872" s="51" t="s">
        <v>4409</v>
      </c>
      <c r="X2872" s="51" t="s">
        <v>2359</v>
      </c>
    </row>
    <row r="2873" customFormat="false" ht="14.25" hidden="true" customHeight="false" outlineLevel="0" collapsed="false">
      <c r="A2873" s="49" t="s">
        <v>2349</v>
      </c>
      <c r="B2873" s="49" t="s">
        <v>2350</v>
      </c>
      <c r="C2873" s="49" t="s">
        <v>6140</v>
      </c>
      <c r="D2873" s="49" t="s">
        <v>2352</v>
      </c>
      <c r="E2873" s="49" t="str">
        <f aca="false">"5060458890191"</f>
        <v>5060458890191</v>
      </c>
      <c r="F2873" s="49" t="s">
        <v>3656</v>
      </c>
      <c r="G2873" s="49" t="n">
        <v>0</v>
      </c>
      <c r="H2873" s="0" t="n">
        <v>0</v>
      </c>
      <c r="M2873" s="51" t="s">
        <v>6124</v>
      </c>
      <c r="N2873" s="49" t="n">
        <v>0</v>
      </c>
      <c r="O2873" s="53" t="n">
        <v>45736.904537037</v>
      </c>
      <c r="P2873" s="53" t="n">
        <v>45766.6518171296</v>
      </c>
      <c r="Q2873" s="53" t="n">
        <v>45736.904537037</v>
      </c>
      <c r="R2873" s="0" t="n">
        <v>0</v>
      </c>
      <c r="S2873" s="51" t="s">
        <v>2376</v>
      </c>
      <c r="T2873" s="51" t="s">
        <v>2376</v>
      </c>
      <c r="U2873" s="0" t="str">
        <f aca="false">"5060458890191"</f>
        <v>5060458890191</v>
      </c>
      <c r="V2873" s="51" t="s">
        <v>2142</v>
      </c>
      <c r="W2873" s="51" t="s">
        <v>5428</v>
      </c>
      <c r="X2873" s="51" t="s">
        <v>2359</v>
      </c>
    </row>
    <row r="2874" customFormat="false" ht="14.25" hidden="true" customHeight="false" outlineLevel="0" collapsed="false">
      <c r="A2874" s="49" t="s">
        <v>2349</v>
      </c>
      <c r="B2874" s="49" t="s">
        <v>2350</v>
      </c>
      <c r="C2874" s="49" t="s">
        <v>6141</v>
      </c>
      <c r="D2874" s="49" t="s">
        <v>2352</v>
      </c>
      <c r="E2874" s="49" t="str">
        <f aca="false">"5060458890191"</f>
        <v>5060458890191</v>
      </c>
      <c r="F2874" s="49" t="s">
        <v>3656</v>
      </c>
      <c r="G2874" s="49" t="n">
        <v>0</v>
      </c>
      <c r="H2874" s="0" t="n">
        <v>0</v>
      </c>
      <c r="M2874" s="51" t="s">
        <v>6124</v>
      </c>
      <c r="N2874" s="49" t="n">
        <v>0</v>
      </c>
      <c r="O2874" s="53" t="n">
        <v>45736.9044212963</v>
      </c>
      <c r="P2874" s="53" t="n">
        <v>45766.6494907407</v>
      </c>
      <c r="Q2874" s="53" t="n">
        <v>45736.9044212963</v>
      </c>
      <c r="R2874" s="0" t="n">
        <v>0</v>
      </c>
      <c r="S2874" s="51" t="s">
        <v>2376</v>
      </c>
      <c r="T2874" s="51" t="s">
        <v>2376</v>
      </c>
      <c r="U2874" s="0" t="str">
        <f aca="false">"5060458890191"</f>
        <v>5060458890191</v>
      </c>
      <c r="V2874" s="51" t="s">
        <v>2142</v>
      </c>
      <c r="W2874" s="51" t="s">
        <v>5662</v>
      </c>
      <c r="X2874" s="51" t="s">
        <v>2359</v>
      </c>
    </row>
    <row r="2875" customFormat="false" ht="14.25" hidden="true" customHeight="false" outlineLevel="0" collapsed="false">
      <c r="A2875" s="49" t="s">
        <v>2349</v>
      </c>
      <c r="B2875" s="49" t="s">
        <v>2350</v>
      </c>
      <c r="C2875" s="49" t="s">
        <v>6142</v>
      </c>
      <c r="D2875" s="49" t="s">
        <v>2352</v>
      </c>
      <c r="E2875" s="49" t="str">
        <f aca="false">"5060458890191"</f>
        <v>5060458890191</v>
      </c>
      <c r="F2875" s="49" t="s">
        <v>3656</v>
      </c>
      <c r="G2875" s="49" t="n">
        <v>0</v>
      </c>
      <c r="H2875" s="0" t="n">
        <v>0</v>
      </c>
      <c r="M2875" s="51" t="s">
        <v>6124</v>
      </c>
      <c r="N2875" s="49" t="n">
        <v>0</v>
      </c>
      <c r="O2875" s="53" t="n">
        <v>45736.9042939815</v>
      </c>
      <c r="P2875" s="53" t="n">
        <v>45766.6510532407</v>
      </c>
      <c r="Q2875" s="53" t="n">
        <v>45736.9042939815</v>
      </c>
      <c r="R2875" s="0" t="n">
        <v>0</v>
      </c>
      <c r="S2875" s="51" t="s">
        <v>2376</v>
      </c>
      <c r="T2875" s="51" t="s">
        <v>2376</v>
      </c>
      <c r="U2875" s="0" t="str">
        <f aca="false">"5060458890191"</f>
        <v>5060458890191</v>
      </c>
      <c r="V2875" s="51" t="s">
        <v>2142</v>
      </c>
      <c r="W2875" s="51" t="s">
        <v>4820</v>
      </c>
      <c r="X2875" s="51" t="s">
        <v>2359</v>
      </c>
    </row>
    <row r="2876" customFormat="false" ht="14.25" hidden="true" customHeight="false" outlineLevel="0" collapsed="false">
      <c r="A2876" s="49" t="s">
        <v>2349</v>
      </c>
      <c r="B2876" s="49" t="s">
        <v>2350</v>
      </c>
      <c r="C2876" s="49" t="s">
        <v>6143</v>
      </c>
      <c r="D2876" s="49" t="s">
        <v>2352</v>
      </c>
      <c r="E2876" s="49" t="str">
        <f aca="false">"5060458890191"</f>
        <v>5060458890191</v>
      </c>
      <c r="F2876" s="49" t="s">
        <v>3656</v>
      </c>
      <c r="G2876" s="49" t="n">
        <v>0</v>
      </c>
      <c r="H2876" s="0" t="n">
        <v>0</v>
      </c>
      <c r="M2876" s="51" t="s">
        <v>6124</v>
      </c>
      <c r="N2876" s="49" t="n">
        <v>0</v>
      </c>
      <c r="O2876" s="53" t="n">
        <v>45736.91</v>
      </c>
      <c r="P2876" s="53" t="n">
        <v>45778.5661458333</v>
      </c>
      <c r="Q2876" s="53" t="n">
        <v>45736.91</v>
      </c>
      <c r="R2876" s="0" t="n">
        <v>0</v>
      </c>
      <c r="S2876" s="51" t="s">
        <v>2376</v>
      </c>
      <c r="T2876" s="51" t="s">
        <v>2376</v>
      </c>
      <c r="U2876" s="0" t="str">
        <f aca="false">"5060458890191"</f>
        <v>5060458890191</v>
      </c>
      <c r="V2876" s="51" t="s">
        <v>2142</v>
      </c>
      <c r="W2876" s="51" t="s">
        <v>4413</v>
      </c>
      <c r="X2876" s="51" t="s">
        <v>2359</v>
      </c>
    </row>
    <row r="2877" customFormat="false" ht="14.25" hidden="true" customHeight="false" outlineLevel="0" collapsed="false">
      <c r="A2877" s="49" t="s">
        <v>2349</v>
      </c>
      <c r="B2877" s="49" t="s">
        <v>2350</v>
      </c>
      <c r="C2877" s="49" t="s">
        <v>6144</v>
      </c>
      <c r="D2877" s="49" t="s">
        <v>2352</v>
      </c>
      <c r="E2877" s="49" t="str">
        <f aca="false">"5060458890191"</f>
        <v>5060458890191</v>
      </c>
      <c r="F2877" s="49" t="s">
        <v>3656</v>
      </c>
      <c r="G2877" s="49" t="n">
        <v>0</v>
      </c>
      <c r="H2877" s="0" t="n">
        <v>0</v>
      </c>
      <c r="M2877" s="51" t="s">
        <v>6124</v>
      </c>
      <c r="N2877" s="49" t="n">
        <v>0</v>
      </c>
      <c r="O2877" s="53" t="n">
        <v>45736.9098842593</v>
      </c>
      <c r="P2877" s="53" t="n">
        <v>45778.5667476852</v>
      </c>
      <c r="Q2877" s="53" t="n">
        <v>45736.9098842593</v>
      </c>
      <c r="R2877" s="0" t="n">
        <v>0</v>
      </c>
      <c r="S2877" s="51" t="s">
        <v>2376</v>
      </c>
      <c r="T2877" s="51" t="s">
        <v>2376</v>
      </c>
      <c r="U2877" s="0" t="str">
        <f aca="false">"5060458890191"</f>
        <v>5060458890191</v>
      </c>
      <c r="V2877" s="51" t="s">
        <v>2142</v>
      </c>
      <c r="W2877" s="51" t="s">
        <v>4407</v>
      </c>
      <c r="X2877" s="51" t="s">
        <v>2359</v>
      </c>
    </row>
    <row r="2878" customFormat="false" ht="14.25" hidden="true" customHeight="false" outlineLevel="0" collapsed="false">
      <c r="A2878" s="49" t="s">
        <v>2349</v>
      </c>
      <c r="B2878" s="49" t="s">
        <v>2350</v>
      </c>
      <c r="C2878" s="49" t="s">
        <v>6145</v>
      </c>
      <c r="D2878" s="49" t="s">
        <v>2352</v>
      </c>
      <c r="E2878" s="49" t="str">
        <f aca="false">"5060458890191"</f>
        <v>5060458890191</v>
      </c>
      <c r="F2878" s="49" t="s">
        <v>3656</v>
      </c>
      <c r="G2878" s="49" t="n">
        <v>0</v>
      </c>
      <c r="H2878" s="0" t="n">
        <v>0</v>
      </c>
      <c r="M2878" s="51" t="s">
        <v>6124</v>
      </c>
      <c r="N2878" s="49" t="n">
        <v>0</v>
      </c>
      <c r="O2878" s="53" t="n">
        <v>45736.9097685185</v>
      </c>
      <c r="P2878" s="53" t="n">
        <v>45766.6480092593</v>
      </c>
      <c r="Q2878" s="53" t="n">
        <v>45736.9097685185</v>
      </c>
      <c r="R2878" s="0" t="n">
        <v>0</v>
      </c>
      <c r="S2878" s="51" t="s">
        <v>2376</v>
      </c>
      <c r="T2878" s="51" t="s">
        <v>2376</v>
      </c>
      <c r="U2878" s="0" t="str">
        <f aca="false">"5060458890191"</f>
        <v>5060458890191</v>
      </c>
      <c r="V2878" s="51" t="s">
        <v>2142</v>
      </c>
      <c r="W2878" s="51" t="s">
        <v>5448</v>
      </c>
      <c r="X2878" s="51" t="s">
        <v>2359</v>
      </c>
    </row>
    <row r="2879" customFormat="false" ht="14.25" hidden="true" customHeight="false" outlineLevel="0" collapsed="false">
      <c r="A2879" s="49" t="s">
        <v>2349</v>
      </c>
      <c r="B2879" s="49" t="s">
        <v>2350</v>
      </c>
      <c r="C2879" s="49" t="s">
        <v>6146</v>
      </c>
      <c r="D2879" s="49" t="s">
        <v>2352</v>
      </c>
      <c r="E2879" s="49" t="str">
        <f aca="false">"5060458890191"</f>
        <v>5060458890191</v>
      </c>
      <c r="F2879" s="49" t="s">
        <v>3656</v>
      </c>
      <c r="G2879" s="49" t="n">
        <v>0</v>
      </c>
      <c r="H2879" s="0" t="n">
        <v>0</v>
      </c>
      <c r="M2879" s="51" t="s">
        <v>6124</v>
      </c>
      <c r="N2879" s="49" t="n">
        <v>0</v>
      </c>
      <c r="O2879" s="53" t="n">
        <v>45736.9096643519</v>
      </c>
      <c r="P2879" s="53" t="n">
        <v>45766.647349537</v>
      </c>
      <c r="Q2879" s="53" t="n">
        <v>45736.9096643519</v>
      </c>
      <c r="R2879" s="0" t="n">
        <v>0</v>
      </c>
      <c r="S2879" s="51" t="s">
        <v>2376</v>
      </c>
      <c r="T2879" s="51" t="s">
        <v>2376</v>
      </c>
      <c r="U2879" s="0" t="str">
        <f aca="false">"5060458890191"</f>
        <v>5060458890191</v>
      </c>
      <c r="V2879" s="51" t="s">
        <v>2142</v>
      </c>
      <c r="W2879" s="51" t="s">
        <v>3672</v>
      </c>
      <c r="X2879" s="51" t="s">
        <v>2359</v>
      </c>
    </row>
    <row r="2880" customFormat="false" ht="14.25" hidden="true" customHeight="false" outlineLevel="0" collapsed="false">
      <c r="A2880" s="49" t="s">
        <v>2349</v>
      </c>
      <c r="B2880" s="49" t="s">
        <v>2350</v>
      </c>
      <c r="C2880" s="49" t="s">
        <v>6147</v>
      </c>
      <c r="D2880" s="49" t="s">
        <v>2352</v>
      </c>
      <c r="E2880" s="49" t="str">
        <f aca="false">"5060458890191"</f>
        <v>5060458890191</v>
      </c>
      <c r="F2880" s="49" t="s">
        <v>3656</v>
      </c>
      <c r="G2880" s="49" t="n">
        <v>0</v>
      </c>
      <c r="H2880" s="0" t="n">
        <v>0</v>
      </c>
      <c r="M2880" s="51" t="s">
        <v>6124</v>
      </c>
      <c r="N2880" s="49" t="n">
        <v>0</v>
      </c>
      <c r="O2880" s="53" t="n">
        <v>45736.909537037</v>
      </c>
      <c r="P2880" s="53" t="n">
        <v>45766.6475925926</v>
      </c>
      <c r="Q2880" s="53" t="n">
        <v>45736.909537037</v>
      </c>
      <c r="R2880" s="0" t="n">
        <v>0</v>
      </c>
      <c r="S2880" s="51" t="s">
        <v>2376</v>
      </c>
      <c r="T2880" s="51" t="s">
        <v>2376</v>
      </c>
      <c r="U2880" s="0" t="str">
        <f aca="false">"5060458890191"</f>
        <v>5060458890191</v>
      </c>
      <c r="V2880" s="51" t="s">
        <v>2142</v>
      </c>
      <c r="W2880" s="51" t="s">
        <v>5504</v>
      </c>
      <c r="X2880" s="51" t="s">
        <v>2359</v>
      </c>
    </row>
    <row r="2881" customFormat="false" ht="14.25" hidden="true" customHeight="false" outlineLevel="0" collapsed="false">
      <c r="A2881" s="49" t="s">
        <v>2349</v>
      </c>
      <c r="B2881" s="49" t="s">
        <v>2350</v>
      </c>
      <c r="C2881" s="49" t="s">
        <v>6148</v>
      </c>
      <c r="D2881" s="49" t="s">
        <v>2352</v>
      </c>
      <c r="E2881" s="49" t="str">
        <f aca="false">"5060458890191"</f>
        <v>5060458890191</v>
      </c>
      <c r="F2881" s="49" t="s">
        <v>3656</v>
      </c>
      <c r="G2881" s="49" t="n">
        <v>0</v>
      </c>
      <c r="H2881" s="0" t="n">
        <v>0</v>
      </c>
      <c r="M2881" s="51" t="s">
        <v>6124</v>
      </c>
      <c r="N2881" s="49" t="n">
        <v>0</v>
      </c>
      <c r="O2881" s="53" t="n">
        <v>45736.9094328704</v>
      </c>
      <c r="P2881" s="53" t="n">
        <v>45778.5654861111</v>
      </c>
      <c r="Q2881" s="53" t="n">
        <v>45736.9094328704</v>
      </c>
      <c r="R2881" s="0" t="n">
        <v>0</v>
      </c>
      <c r="S2881" s="51" t="s">
        <v>2376</v>
      </c>
      <c r="T2881" s="51" t="s">
        <v>2376</v>
      </c>
      <c r="U2881" s="0" t="str">
        <f aca="false">"5060458890191"</f>
        <v>5060458890191</v>
      </c>
      <c r="V2881" s="51" t="s">
        <v>2142</v>
      </c>
      <c r="W2881" s="51" t="s">
        <v>4429</v>
      </c>
      <c r="X2881" s="51" t="s">
        <v>2359</v>
      </c>
    </row>
    <row r="2882" customFormat="false" ht="14.25" hidden="true" customHeight="false" outlineLevel="0" collapsed="false">
      <c r="A2882" s="49" t="s">
        <v>2349</v>
      </c>
      <c r="B2882" s="49" t="s">
        <v>2350</v>
      </c>
      <c r="C2882" s="49" t="s">
        <v>6149</v>
      </c>
      <c r="D2882" s="49" t="s">
        <v>2352</v>
      </c>
      <c r="E2882" s="49" t="str">
        <f aca="false">"5060458890191"</f>
        <v>5060458890191</v>
      </c>
      <c r="F2882" s="49" t="s">
        <v>3656</v>
      </c>
      <c r="G2882" s="49" t="n">
        <v>0</v>
      </c>
      <c r="H2882" s="0" t="n">
        <v>0</v>
      </c>
      <c r="M2882" s="51" t="s">
        <v>6124</v>
      </c>
      <c r="N2882" s="49" t="n">
        <v>0</v>
      </c>
      <c r="O2882" s="53" t="n">
        <v>45736.9093055556</v>
      </c>
      <c r="P2882" s="53" t="n">
        <v>45778.560775463</v>
      </c>
      <c r="Q2882" s="53" t="n">
        <v>45736.9093055556</v>
      </c>
      <c r="R2882" s="0" t="n">
        <v>0</v>
      </c>
      <c r="S2882" s="51" t="s">
        <v>2376</v>
      </c>
      <c r="T2882" s="51" t="s">
        <v>2376</v>
      </c>
      <c r="U2882" s="0" t="str">
        <f aca="false">"5060458890191"</f>
        <v>5060458890191</v>
      </c>
      <c r="V2882" s="51" t="s">
        <v>2142</v>
      </c>
      <c r="W2882" s="51" t="s">
        <v>5440</v>
      </c>
      <c r="X2882" s="51" t="s">
        <v>2359</v>
      </c>
    </row>
    <row r="2883" customFormat="false" ht="14.25" hidden="true" customHeight="false" outlineLevel="0" collapsed="false">
      <c r="A2883" s="49" t="s">
        <v>2349</v>
      </c>
      <c r="B2883" s="49" t="s">
        <v>2350</v>
      </c>
      <c r="C2883" s="49" t="s">
        <v>6150</v>
      </c>
      <c r="D2883" s="49" t="s">
        <v>2352</v>
      </c>
      <c r="E2883" s="49" t="str">
        <f aca="false">"5060458890191"</f>
        <v>5060458890191</v>
      </c>
      <c r="F2883" s="49" t="s">
        <v>3656</v>
      </c>
      <c r="G2883" s="49" t="n">
        <v>0</v>
      </c>
      <c r="H2883" s="0" t="n">
        <v>0</v>
      </c>
      <c r="M2883" s="51" t="s">
        <v>6124</v>
      </c>
      <c r="N2883" s="49" t="n">
        <v>0</v>
      </c>
      <c r="O2883" s="53" t="n">
        <v>45736.9091782407</v>
      </c>
      <c r="P2883" s="53" t="n">
        <v>45766.6548726852</v>
      </c>
      <c r="Q2883" s="53" t="n">
        <v>45736.9091782407</v>
      </c>
      <c r="R2883" s="0" t="n">
        <v>0</v>
      </c>
      <c r="S2883" s="51" t="s">
        <v>2376</v>
      </c>
      <c r="T2883" s="51" t="s">
        <v>2376</v>
      </c>
      <c r="U2883" s="0" t="str">
        <f aca="false">"5060458890191"</f>
        <v>5060458890191</v>
      </c>
      <c r="V2883" s="51" t="s">
        <v>2142</v>
      </c>
      <c r="W2883" s="51" t="s">
        <v>4425</v>
      </c>
      <c r="X2883" s="51" t="s">
        <v>2359</v>
      </c>
    </row>
    <row r="2884" customFormat="false" ht="14.25" hidden="true" customHeight="false" outlineLevel="0" collapsed="false">
      <c r="A2884" s="49" t="s">
        <v>2349</v>
      </c>
      <c r="B2884" s="49" t="s">
        <v>2350</v>
      </c>
      <c r="C2884" s="49" t="s">
        <v>6151</v>
      </c>
      <c r="D2884" s="49" t="s">
        <v>2352</v>
      </c>
      <c r="E2884" s="49" t="str">
        <f aca="false">"5060458890191"</f>
        <v>5060458890191</v>
      </c>
      <c r="F2884" s="49" t="s">
        <v>3656</v>
      </c>
      <c r="G2884" s="49" t="n">
        <v>0</v>
      </c>
      <c r="H2884" s="0" t="n">
        <v>0</v>
      </c>
      <c r="M2884" s="51" t="s">
        <v>6124</v>
      </c>
      <c r="N2884" s="49" t="n">
        <v>0</v>
      </c>
      <c r="O2884" s="53" t="n">
        <v>45736.9090509259</v>
      </c>
      <c r="P2884" s="53" t="n">
        <v>45778.5503240741</v>
      </c>
      <c r="Q2884" s="53" t="n">
        <v>45736.9090509259</v>
      </c>
      <c r="R2884" s="0" t="n">
        <v>0</v>
      </c>
      <c r="S2884" s="51" t="s">
        <v>2376</v>
      </c>
      <c r="T2884" s="51" t="s">
        <v>2376</v>
      </c>
      <c r="U2884" s="0" t="str">
        <f aca="false">"5060458890191"</f>
        <v>5060458890191</v>
      </c>
      <c r="V2884" s="51" t="s">
        <v>2142</v>
      </c>
      <c r="W2884" s="51" t="s">
        <v>5621</v>
      </c>
      <c r="X2884" s="51" t="s">
        <v>2359</v>
      </c>
    </row>
    <row r="2885" customFormat="false" ht="14.25" hidden="true" customHeight="false" outlineLevel="0" collapsed="false">
      <c r="A2885" s="49" t="s">
        <v>2349</v>
      </c>
      <c r="B2885" s="49" t="s">
        <v>2350</v>
      </c>
      <c r="C2885" s="49" t="s">
        <v>6152</v>
      </c>
      <c r="D2885" s="49" t="s">
        <v>2352</v>
      </c>
      <c r="E2885" s="49" t="str">
        <f aca="false">"5060458890191"</f>
        <v>5060458890191</v>
      </c>
      <c r="F2885" s="49" t="s">
        <v>3656</v>
      </c>
      <c r="G2885" s="49" t="n">
        <v>0</v>
      </c>
      <c r="H2885" s="0" t="n">
        <v>0</v>
      </c>
      <c r="M2885" s="51" t="s">
        <v>6124</v>
      </c>
      <c r="N2885" s="49" t="n">
        <v>0</v>
      </c>
      <c r="O2885" s="53" t="n">
        <v>45736.910625</v>
      </c>
      <c r="P2885" s="53" t="n">
        <v>45778.551412037</v>
      </c>
      <c r="Q2885" s="53" t="n">
        <v>45736.910625</v>
      </c>
      <c r="R2885" s="0" t="n">
        <v>0</v>
      </c>
      <c r="S2885" s="51" t="s">
        <v>2376</v>
      </c>
      <c r="T2885" s="51" t="s">
        <v>2376</v>
      </c>
      <c r="U2885" s="0" t="str">
        <f aca="false">"5060458890191"</f>
        <v>5060458890191</v>
      </c>
      <c r="V2885" s="51" t="s">
        <v>2142</v>
      </c>
      <c r="W2885" s="51" t="s">
        <v>4797</v>
      </c>
      <c r="X2885" s="51" t="s">
        <v>2359</v>
      </c>
    </row>
    <row r="2886" customFormat="false" ht="14.25" hidden="true" customHeight="false" outlineLevel="0" collapsed="false">
      <c r="A2886" s="49" t="s">
        <v>2349</v>
      </c>
      <c r="B2886" s="49" t="s">
        <v>2350</v>
      </c>
      <c r="C2886" s="49" t="s">
        <v>6153</v>
      </c>
      <c r="D2886" s="49" t="s">
        <v>2352</v>
      </c>
      <c r="E2886" s="49" t="str">
        <f aca="false">"5060458890191"</f>
        <v>5060458890191</v>
      </c>
      <c r="F2886" s="49" t="s">
        <v>3656</v>
      </c>
      <c r="G2886" s="49" t="n">
        <v>0</v>
      </c>
      <c r="H2886" s="0" t="n">
        <v>0</v>
      </c>
      <c r="M2886" s="51" t="s">
        <v>6124</v>
      </c>
      <c r="N2886" s="49" t="n">
        <v>0</v>
      </c>
      <c r="O2886" s="53" t="n">
        <v>45736.9109953704</v>
      </c>
      <c r="P2886" s="53" t="n">
        <v>45766.624537037</v>
      </c>
      <c r="Q2886" s="53" t="n">
        <v>45736.9109953704</v>
      </c>
      <c r="R2886" s="0" t="n">
        <v>0</v>
      </c>
      <c r="S2886" s="51" t="s">
        <v>2376</v>
      </c>
      <c r="T2886" s="51" t="s">
        <v>2376</v>
      </c>
      <c r="U2886" s="0" t="str">
        <f aca="false">"5060458890191"</f>
        <v>5060458890191</v>
      </c>
      <c r="V2886" s="51" t="s">
        <v>2142</v>
      </c>
      <c r="W2886" s="51" t="s">
        <v>6154</v>
      </c>
      <c r="X2886" s="51" t="s">
        <v>2359</v>
      </c>
    </row>
    <row r="2887" customFormat="false" ht="14.25" hidden="true" customHeight="false" outlineLevel="0" collapsed="false">
      <c r="A2887" s="49" t="s">
        <v>2349</v>
      </c>
      <c r="B2887" s="49" t="s">
        <v>2350</v>
      </c>
      <c r="C2887" s="49" t="s">
        <v>6155</v>
      </c>
      <c r="D2887" s="49" t="s">
        <v>2352</v>
      </c>
      <c r="E2887" s="49" t="s">
        <v>3751</v>
      </c>
      <c r="F2887" s="49" t="s">
        <v>3752</v>
      </c>
      <c r="G2887" s="49" t="n">
        <v>0</v>
      </c>
      <c r="H2887" s="0" t="n">
        <v>0</v>
      </c>
      <c r="M2887" s="51" t="s">
        <v>6156</v>
      </c>
      <c r="N2887" s="49" t="n">
        <v>0</v>
      </c>
      <c r="O2887" s="53" t="n">
        <v>45738.5101388889</v>
      </c>
      <c r="P2887" s="53" t="n">
        <v>45741.427037037</v>
      </c>
      <c r="Q2887" s="53" t="n">
        <v>45738.5101388889</v>
      </c>
      <c r="R2887" s="0" t="n">
        <v>0</v>
      </c>
      <c r="S2887" s="51" t="s">
        <v>2356</v>
      </c>
      <c r="T2887" s="51" t="s">
        <v>2356</v>
      </c>
      <c r="U2887" s="51" t="s">
        <v>3751</v>
      </c>
      <c r="V2887" s="51" t="s">
        <v>2357</v>
      </c>
      <c r="W2887" s="51" t="s">
        <v>5558</v>
      </c>
      <c r="X2887" s="51" t="s">
        <v>2359</v>
      </c>
    </row>
    <row r="2888" customFormat="false" ht="14.25" hidden="true" customHeight="false" outlineLevel="0" collapsed="false">
      <c r="A2888" s="49" t="s">
        <v>2349</v>
      </c>
      <c r="B2888" s="49" t="s">
        <v>2350</v>
      </c>
      <c r="C2888" s="49" t="s">
        <v>6157</v>
      </c>
      <c r="D2888" s="49" t="s">
        <v>2352</v>
      </c>
      <c r="E2888" s="49" t="str">
        <f aca="false">"5060175132987"</f>
        <v>5060175132987</v>
      </c>
      <c r="F2888" s="49" t="s">
        <v>3953</v>
      </c>
      <c r="G2888" s="49" t="n">
        <v>0</v>
      </c>
      <c r="H2888" s="0" t="n">
        <v>0</v>
      </c>
      <c r="M2888" s="51" t="s">
        <v>6158</v>
      </c>
      <c r="N2888" s="49" t="n">
        <v>0</v>
      </c>
      <c r="O2888" s="53" t="n">
        <v>45752.4451388889</v>
      </c>
      <c r="P2888" s="53" t="n">
        <v>45797.7937847222</v>
      </c>
      <c r="Q2888" s="53" t="n">
        <v>45752.4451388889</v>
      </c>
      <c r="R2888" s="0" t="n">
        <v>0</v>
      </c>
      <c r="S2888" s="51" t="s">
        <v>3780</v>
      </c>
      <c r="T2888" s="51" t="s">
        <v>3780</v>
      </c>
      <c r="U2888" s="0" t="str">
        <f aca="false">"5060175132987"</f>
        <v>5060175132987</v>
      </c>
      <c r="V2888" s="51" t="s">
        <v>2365</v>
      </c>
      <c r="W2888" s="51" t="s">
        <v>4883</v>
      </c>
      <c r="X2888" s="51" t="s">
        <v>2359</v>
      </c>
    </row>
    <row r="2889" customFormat="false" ht="14.25" hidden="true" customHeight="false" outlineLevel="0" collapsed="false">
      <c r="A2889" s="49" t="s">
        <v>2349</v>
      </c>
      <c r="B2889" s="49" t="s">
        <v>2350</v>
      </c>
      <c r="C2889" s="49" t="s">
        <v>6159</v>
      </c>
      <c r="D2889" s="49" t="s">
        <v>2352</v>
      </c>
      <c r="E2889" s="49" t="str">
        <f aca="false">"10074865055175"</f>
        <v>10074865055175</v>
      </c>
      <c r="F2889" s="49" t="s">
        <v>5090</v>
      </c>
      <c r="G2889" s="49" t="n">
        <v>0</v>
      </c>
      <c r="H2889" s="0" t="n">
        <v>0</v>
      </c>
      <c r="M2889" s="51" t="s">
        <v>6160</v>
      </c>
      <c r="N2889" s="49" t="n">
        <v>0</v>
      </c>
      <c r="O2889" s="53" t="n">
        <v>45752.596400463</v>
      </c>
      <c r="P2889" s="53" t="n">
        <v>45754.8200694444</v>
      </c>
      <c r="Q2889" s="53" t="n">
        <v>45752.596400463</v>
      </c>
      <c r="R2889" s="0" t="n">
        <v>0</v>
      </c>
      <c r="S2889" s="51" t="s">
        <v>4015</v>
      </c>
      <c r="T2889" s="51" t="s">
        <v>4015</v>
      </c>
      <c r="U2889" s="0" t="str">
        <f aca="false">"10074865055175"</f>
        <v>10074865055175</v>
      </c>
      <c r="V2889" s="51" t="s">
        <v>2365</v>
      </c>
      <c r="W2889" s="51" t="s">
        <v>6054</v>
      </c>
      <c r="X2889" s="51" t="s">
        <v>2359</v>
      </c>
    </row>
    <row r="2890" customFormat="false" ht="14.25" hidden="true" customHeight="false" outlineLevel="0" collapsed="false">
      <c r="A2890" s="49" t="s">
        <v>2349</v>
      </c>
      <c r="B2890" s="49" t="s">
        <v>2350</v>
      </c>
      <c r="C2890" s="49" t="s">
        <v>6161</v>
      </c>
      <c r="D2890" s="49" t="s">
        <v>2352</v>
      </c>
      <c r="E2890" s="49" t="str">
        <f aca="false">"10074865055175"</f>
        <v>10074865055175</v>
      </c>
      <c r="F2890" s="49" t="s">
        <v>5090</v>
      </c>
      <c r="G2890" s="49" t="n">
        <v>0</v>
      </c>
      <c r="H2890" s="0" t="n">
        <v>0</v>
      </c>
      <c r="M2890" s="51" t="s">
        <v>6162</v>
      </c>
      <c r="N2890" s="49" t="n">
        <v>0</v>
      </c>
      <c r="O2890" s="53" t="n">
        <v>45739.7273842593</v>
      </c>
      <c r="P2890" s="53" t="n">
        <v>45789.5558333333</v>
      </c>
      <c r="Q2890" s="53" t="n">
        <v>45739.7273842593</v>
      </c>
      <c r="R2890" s="0" t="n">
        <v>0</v>
      </c>
      <c r="S2890" s="51" t="s">
        <v>2376</v>
      </c>
      <c r="T2890" s="51" t="s">
        <v>2376</v>
      </c>
      <c r="U2890" s="0" t="str">
        <f aca="false">"10074865055175"</f>
        <v>10074865055175</v>
      </c>
      <c r="V2890" s="51" t="s">
        <v>2365</v>
      </c>
      <c r="W2890" s="51" t="s">
        <v>4634</v>
      </c>
      <c r="X2890" s="51" t="s">
        <v>2359</v>
      </c>
    </row>
    <row r="2891" customFormat="false" ht="14.25" hidden="true" customHeight="false" outlineLevel="0" collapsed="false">
      <c r="A2891" s="49" t="s">
        <v>2349</v>
      </c>
      <c r="B2891" s="49" t="s">
        <v>2350</v>
      </c>
      <c r="C2891" s="49" t="s">
        <v>6163</v>
      </c>
      <c r="D2891" s="49" t="s">
        <v>2352</v>
      </c>
      <c r="E2891" s="49" t="str">
        <f aca="false">"10074865055175"</f>
        <v>10074865055175</v>
      </c>
      <c r="F2891" s="49" t="s">
        <v>5090</v>
      </c>
      <c r="G2891" s="49" t="n">
        <v>0</v>
      </c>
      <c r="H2891" s="0" t="n">
        <v>0</v>
      </c>
      <c r="M2891" s="51" t="s">
        <v>6162</v>
      </c>
      <c r="N2891" s="49" t="n">
        <v>0</v>
      </c>
      <c r="O2891" s="53" t="n">
        <v>45739.727025463</v>
      </c>
      <c r="P2891" s="53" t="n">
        <v>45789.5563078704</v>
      </c>
      <c r="Q2891" s="53" t="n">
        <v>45739.727025463</v>
      </c>
      <c r="R2891" s="0" t="n">
        <v>0</v>
      </c>
      <c r="S2891" s="51" t="s">
        <v>2376</v>
      </c>
      <c r="T2891" s="51" t="s">
        <v>2376</v>
      </c>
      <c r="U2891" s="0" t="str">
        <f aca="false">"10074865055175"</f>
        <v>10074865055175</v>
      </c>
      <c r="V2891" s="51" t="s">
        <v>2365</v>
      </c>
      <c r="W2891" s="51" t="s">
        <v>4639</v>
      </c>
      <c r="X2891" s="51" t="s">
        <v>2359</v>
      </c>
    </row>
    <row r="2892" customFormat="false" ht="14.25" hidden="true" customHeight="false" outlineLevel="0" collapsed="false">
      <c r="A2892" s="49" t="s">
        <v>2349</v>
      </c>
      <c r="B2892" s="49" t="s">
        <v>2350</v>
      </c>
      <c r="C2892" s="49" t="s">
        <v>6164</v>
      </c>
      <c r="D2892" s="49" t="s">
        <v>2352</v>
      </c>
      <c r="E2892" s="49" t="str">
        <f aca="false">"10074865055175"</f>
        <v>10074865055175</v>
      </c>
      <c r="F2892" s="49" t="s">
        <v>5090</v>
      </c>
      <c r="G2892" s="49" t="n">
        <v>0</v>
      </c>
      <c r="H2892" s="0" t="n">
        <v>0</v>
      </c>
      <c r="M2892" s="51" t="s">
        <v>6162</v>
      </c>
      <c r="N2892" s="49" t="n">
        <v>0</v>
      </c>
      <c r="O2892" s="53" t="n">
        <v>45739.726712963</v>
      </c>
      <c r="P2892" s="53" t="n">
        <v>45787.3986805556</v>
      </c>
      <c r="Q2892" s="53" t="n">
        <v>45739.726712963</v>
      </c>
      <c r="R2892" s="0" t="n">
        <v>0</v>
      </c>
      <c r="S2892" s="51" t="s">
        <v>2376</v>
      </c>
      <c r="T2892" s="51" t="s">
        <v>2376</v>
      </c>
      <c r="U2892" s="0" t="str">
        <f aca="false">"10074865055175"</f>
        <v>10074865055175</v>
      </c>
      <c r="V2892" s="51" t="s">
        <v>2365</v>
      </c>
      <c r="W2892" s="51" t="s">
        <v>5358</v>
      </c>
      <c r="X2892" s="51" t="s">
        <v>2359</v>
      </c>
    </row>
    <row r="2893" customFormat="false" ht="14.25" hidden="true" customHeight="false" outlineLevel="0" collapsed="false">
      <c r="A2893" s="49" t="s">
        <v>2349</v>
      </c>
      <c r="B2893" s="49" t="s">
        <v>2350</v>
      </c>
      <c r="C2893" s="49" t="s">
        <v>6165</v>
      </c>
      <c r="D2893" s="49" t="s">
        <v>2352</v>
      </c>
      <c r="E2893" s="49" t="str">
        <f aca="false">"10074865055175"</f>
        <v>10074865055175</v>
      </c>
      <c r="F2893" s="49" t="s">
        <v>5090</v>
      </c>
      <c r="G2893" s="49" t="n">
        <v>0</v>
      </c>
      <c r="H2893" s="0" t="n">
        <v>0</v>
      </c>
      <c r="M2893" s="51" t="s">
        <v>6162</v>
      </c>
      <c r="N2893" s="49" t="n">
        <v>0</v>
      </c>
      <c r="O2893" s="53" t="n">
        <v>45739.7264351852</v>
      </c>
      <c r="P2893" s="53" t="n">
        <v>45809.5877546296</v>
      </c>
      <c r="Q2893" s="53" t="n">
        <v>45739.7264351852</v>
      </c>
      <c r="R2893" s="0" t="n">
        <v>0</v>
      </c>
      <c r="S2893" s="51" t="s">
        <v>2376</v>
      </c>
      <c r="T2893" s="51" t="s">
        <v>2376</v>
      </c>
      <c r="U2893" s="0" t="str">
        <f aca="false">"10074865055175"</f>
        <v>10074865055175</v>
      </c>
      <c r="V2893" s="51" t="s">
        <v>2365</v>
      </c>
      <c r="W2893" s="51" t="s">
        <v>6166</v>
      </c>
      <c r="X2893" s="51" t="s">
        <v>2359</v>
      </c>
    </row>
    <row r="2894" customFormat="false" ht="14.25" hidden="true" customHeight="false" outlineLevel="0" collapsed="false">
      <c r="A2894" s="49" t="s">
        <v>2349</v>
      </c>
      <c r="B2894" s="49" t="s">
        <v>2350</v>
      </c>
      <c r="C2894" s="49" t="s">
        <v>6167</v>
      </c>
      <c r="D2894" s="49" t="s">
        <v>2352</v>
      </c>
      <c r="E2894" s="49" t="str">
        <f aca="false">"10074865055175"</f>
        <v>10074865055175</v>
      </c>
      <c r="F2894" s="49" t="s">
        <v>5090</v>
      </c>
      <c r="G2894" s="49" t="n">
        <v>0</v>
      </c>
      <c r="H2894" s="0" t="n">
        <v>0</v>
      </c>
      <c r="M2894" s="51" t="s">
        <v>6162</v>
      </c>
      <c r="N2894" s="49" t="n">
        <v>0</v>
      </c>
      <c r="O2894" s="53" t="n">
        <v>45739.7254398148</v>
      </c>
      <c r="P2894" s="53" t="n">
        <v>45787.3979282407</v>
      </c>
      <c r="Q2894" s="53" t="n">
        <v>45739.7254398148</v>
      </c>
      <c r="R2894" s="0" t="n">
        <v>0</v>
      </c>
      <c r="S2894" s="51" t="s">
        <v>2376</v>
      </c>
      <c r="T2894" s="51" t="s">
        <v>2376</v>
      </c>
      <c r="U2894" s="0" t="str">
        <f aca="false">"10074865055175"</f>
        <v>10074865055175</v>
      </c>
      <c r="V2894" s="51" t="s">
        <v>2365</v>
      </c>
      <c r="W2894" s="51" t="s">
        <v>6168</v>
      </c>
      <c r="X2894" s="51" t="s">
        <v>2359</v>
      </c>
    </row>
    <row r="2895" customFormat="false" ht="14.25" hidden="true" customHeight="false" outlineLevel="0" collapsed="false">
      <c r="A2895" s="49" t="s">
        <v>2349</v>
      </c>
      <c r="B2895" s="49" t="s">
        <v>2350</v>
      </c>
      <c r="C2895" s="49" t="s">
        <v>6169</v>
      </c>
      <c r="D2895" s="49" t="s">
        <v>2352</v>
      </c>
      <c r="E2895" s="49" t="str">
        <f aca="false">"10074865055175"</f>
        <v>10074865055175</v>
      </c>
      <c r="F2895" s="49" t="s">
        <v>5090</v>
      </c>
      <c r="G2895" s="49" t="n">
        <v>0</v>
      </c>
      <c r="H2895" s="0" t="n">
        <v>0</v>
      </c>
      <c r="M2895" s="51" t="s">
        <v>6162</v>
      </c>
      <c r="N2895" s="49" t="n">
        <v>0</v>
      </c>
      <c r="O2895" s="53" t="n">
        <v>45739.725787037</v>
      </c>
      <c r="P2895" s="53" t="n">
        <v>45787.3993634259</v>
      </c>
      <c r="Q2895" s="53" t="n">
        <v>45739.725787037</v>
      </c>
      <c r="R2895" s="0" t="n">
        <v>0</v>
      </c>
      <c r="S2895" s="51" t="s">
        <v>2376</v>
      </c>
      <c r="T2895" s="51" t="s">
        <v>2376</v>
      </c>
      <c r="U2895" s="0" t="str">
        <f aca="false">"10074865055175"</f>
        <v>10074865055175</v>
      </c>
      <c r="V2895" s="51" t="s">
        <v>2365</v>
      </c>
      <c r="W2895" s="51" t="s">
        <v>6170</v>
      </c>
      <c r="X2895" s="51" t="s">
        <v>2359</v>
      </c>
    </row>
    <row r="2896" customFormat="false" ht="14.25" hidden="true" customHeight="false" outlineLevel="0" collapsed="false">
      <c r="A2896" s="49" t="s">
        <v>2349</v>
      </c>
      <c r="B2896" s="49" t="s">
        <v>2350</v>
      </c>
      <c r="C2896" s="49" t="s">
        <v>6171</v>
      </c>
      <c r="D2896" s="49" t="s">
        <v>2352</v>
      </c>
      <c r="E2896" s="49" t="str">
        <f aca="false">"10074865055175"</f>
        <v>10074865055175</v>
      </c>
      <c r="F2896" s="49" t="s">
        <v>5090</v>
      </c>
      <c r="G2896" s="49" t="n">
        <v>0</v>
      </c>
      <c r="H2896" s="0" t="n">
        <v>0</v>
      </c>
      <c r="M2896" s="51" t="s">
        <v>6162</v>
      </c>
      <c r="N2896" s="49" t="n">
        <v>0</v>
      </c>
      <c r="O2896" s="53" t="n">
        <v>45739.7280324074</v>
      </c>
      <c r="P2896" s="53" t="n">
        <v>45787.3919444445</v>
      </c>
      <c r="Q2896" s="53" t="n">
        <v>45739.7280324074</v>
      </c>
      <c r="R2896" s="0" t="n">
        <v>0</v>
      </c>
      <c r="S2896" s="51" t="s">
        <v>2376</v>
      </c>
      <c r="T2896" s="51" t="s">
        <v>2376</v>
      </c>
      <c r="U2896" s="0" t="str">
        <f aca="false">"10074865055175"</f>
        <v>10074865055175</v>
      </c>
      <c r="V2896" s="51" t="s">
        <v>2365</v>
      </c>
      <c r="W2896" s="51" t="s">
        <v>5778</v>
      </c>
      <c r="X2896" s="51" t="s">
        <v>2359</v>
      </c>
    </row>
    <row r="2897" customFormat="false" ht="14.25" hidden="true" customHeight="false" outlineLevel="0" collapsed="false">
      <c r="A2897" s="49" t="s">
        <v>2349</v>
      </c>
      <c r="B2897" s="49" t="s">
        <v>2350</v>
      </c>
      <c r="C2897" s="49" t="s">
        <v>6172</v>
      </c>
      <c r="D2897" s="49" t="s">
        <v>2352</v>
      </c>
      <c r="E2897" s="49" t="str">
        <f aca="false">"10074865055175"</f>
        <v>10074865055175</v>
      </c>
      <c r="F2897" s="49" t="s">
        <v>5090</v>
      </c>
      <c r="G2897" s="49" t="n">
        <v>0</v>
      </c>
      <c r="H2897" s="0" t="n">
        <v>0</v>
      </c>
      <c r="M2897" s="51" t="s">
        <v>6162</v>
      </c>
      <c r="N2897" s="49" t="n">
        <v>0</v>
      </c>
      <c r="O2897" s="53" t="n">
        <v>45739.728275463</v>
      </c>
      <c r="P2897" s="53" t="n">
        <v>45787.3907175926</v>
      </c>
      <c r="Q2897" s="53" t="n">
        <v>45739.728275463</v>
      </c>
      <c r="R2897" s="0" t="n">
        <v>0</v>
      </c>
      <c r="S2897" s="51" t="s">
        <v>2376</v>
      </c>
      <c r="T2897" s="51" t="s">
        <v>2376</v>
      </c>
      <c r="U2897" s="0" t="str">
        <f aca="false">"10074865055175"</f>
        <v>10074865055175</v>
      </c>
      <c r="V2897" s="51" t="s">
        <v>2365</v>
      </c>
      <c r="W2897" s="51" t="s">
        <v>4734</v>
      </c>
      <c r="X2897" s="51" t="s">
        <v>2359</v>
      </c>
    </row>
    <row r="2898" customFormat="false" ht="14.25" hidden="true" customHeight="false" outlineLevel="0" collapsed="false">
      <c r="A2898" s="49" t="s">
        <v>2349</v>
      </c>
      <c r="B2898" s="49" t="s">
        <v>2350</v>
      </c>
      <c r="C2898" s="49" t="s">
        <v>6173</v>
      </c>
      <c r="D2898" s="49" t="s">
        <v>2352</v>
      </c>
      <c r="E2898" s="49" t="str">
        <f aca="false">"10074865055175"</f>
        <v>10074865055175</v>
      </c>
      <c r="F2898" s="49" t="s">
        <v>5090</v>
      </c>
      <c r="G2898" s="49" t="n">
        <v>0</v>
      </c>
      <c r="H2898" s="0" t="n">
        <v>0</v>
      </c>
      <c r="M2898" s="51" t="s">
        <v>6162</v>
      </c>
      <c r="N2898" s="49" t="n">
        <v>0</v>
      </c>
      <c r="O2898" s="53" t="n">
        <v>45739.728599537</v>
      </c>
      <c r="P2898" s="53" t="n">
        <v>45787.3923148148</v>
      </c>
      <c r="Q2898" s="53" t="n">
        <v>45739.728599537</v>
      </c>
      <c r="R2898" s="0" t="n">
        <v>0</v>
      </c>
      <c r="S2898" s="51" t="s">
        <v>2376</v>
      </c>
      <c r="T2898" s="51" t="s">
        <v>2376</v>
      </c>
      <c r="U2898" s="0" t="str">
        <f aca="false">"10074865055175"</f>
        <v>10074865055175</v>
      </c>
      <c r="V2898" s="51" t="s">
        <v>2365</v>
      </c>
      <c r="W2898" s="51" t="s">
        <v>4765</v>
      </c>
      <c r="X2898" s="51" t="s">
        <v>2359</v>
      </c>
    </row>
    <row r="2899" customFormat="false" ht="14.25" hidden="true" customHeight="false" outlineLevel="0" collapsed="false">
      <c r="A2899" s="49" t="s">
        <v>2349</v>
      </c>
      <c r="B2899" s="49" t="s">
        <v>2350</v>
      </c>
      <c r="C2899" s="49" t="s">
        <v>6174</v>
      </c>
      <c r="D2899" s="49" t="s">
        <v>2352</v>
      </c>
      <c r="E2899" s="49" t="str">
        <f aca="false">"10074865055175"</f>
        <v>10074865055175</v>
      </c>
      <c r="F2899" s="49" t="s">
        <v>5090</v>
      </c>
      <c r="G2899" s="49" t="n">
        <v>0</v>
      </c>
      <c r="H2899" s="0" t="n">
        <v>0</v>
      </c>
      <c r="M2899" s="51" t="s">
        <v>6162</v>
      </c>
      <c r="N2899" s="49" t="n">
        <v>0</v>
      </c>
      <c r="O2899" s="53" t="n">
        <v>45739.7291898148</v>
      </c>
      <c r="P2899" s="53" t="n">
        <v>45787.3927777778</v>
      </c>
      <c r="Q2899" s="53" t="n">
        <v>45739.7291898148</v>
      </c>
      <c r="R2899" s="0" t="n">
        <v>0</v>
      </c>
      <c r="S2899" s="51" t="s">
        <v>2376</v>
      </c>
      <c r="T2899" s="51" t="s">
        <v>2376</v>
      </c>
      <c r="U2899" s="0" t="str">
        <f aca="false">"10074865055175"</f>
        <v>10074865055175</v>
      </c>
      <c r="V2899" s="51" t="s">
        <v>2365</v>
      </c>
      <c r="W2899" s="51" t="s">
        <v>4769</v>
      </c>
      <c r="X2899" s="51" t="s">
        <v>2359</v>
      </c>
    </row>
    <row r="2900" customFormat="false" ht="14.25" hidden="true" customHeight="false" outlineLevel="0" collapsed="false">
      <c r="A2900" s="49" t="s">
        <v>2349</v>
      </c>
      <c r="B2900" s="49" t="s">
        <v>2350</v>
      </c>
      <c r="C2900" s="49" t="s">
        <v>6175</v>
      </c>
      <c r="D2900" s="49" t="s">
        <v>2352</v>
      </c>
      <c r="E2900" s="49" t="str">
        <f aca="false">"10074865055175"</f>
        <v>10074865055175</v>
      </c>
      <c r="F2900" s="49" t="s">
        <v>5090</v>
      </c>
      <c r="G2900" s="49" t="n">
        <v>0</v>
      </c>
      <c r="H2900" s="0" t="n">
        <v>0</v>
      </c>
      <c r="M2900" s="51" t="s">
        <v>6162</v>
      </c>
      <c r="N2900" s="49" t="n">
        <v>0</v>
      </c>
      <c r="O2900" s="53" t="n">
        <v>45739.7301157407</v>
      </c>
      <c r="P2900" s="53" t="n">
        <v>45787.3960763889</v>
      </c>
      <c r="Q2900" s="53" t="n">
        <v>45739.7301157407</v>
      </c>
      <c r="R2900" s="0" t="n">
        <v>0</v>
      </c>
      <c r="S2900" s="51" t="s">
        <v>2376</v>
      </c>
      <c r="T2900" s="51" t="s">
        <v>2376</v>
      </c>
      <c r="U2900" s="0" t="str">
        <f aca="false">"10074865055175"</f>
        <v>10074865055175</v>
      </c>
      <c r="V2900" s="51" t="s">
        <v>2365</v>
      </c>
      <c r="W2900" s="51" t="s">
        <v>4761</v>
      </c>
      <c r="X2900" s="51" t="s">
        <v>2359</v>
      </c>
    </row>
    <row r="2901" customFormat="false" ht="14.25" hidden="true" customHeight="false" outlineLevel="0" collapsed="false">
      <c r="A2901" s="49" t="s">
        <v>2349</v>
      </c>
      <c r="B2901" s="49" t="s">
        <v>2350</v>
      </c>
      <c r="C2901" s="49" t="s">
        <v>6176</v>
      </c>
      <c r="D2901" s="49" t="s">
        <v>2352</v>
      </c>
      <c r="E2901" s="49" t="str">
        <f aca="false">"10074865055175"</f>
        <v>10074865055175</v>
      </c>
      <c r="F2901" s="49" t="s">
        <v>5090</v>
      </c>
      <c r="G2901" s="49" t="n">
        <v>0</v>
      </c>
      <c r="H2901" s="0" t="n">
        <v>0</v>
      </c>
      <c r="M2901" s="51" t="s">
        <v>6162</v>
      </c>
      <c r="N2901" s="49" t="n">
        <v>0</v>
      </c>
      <c r="O2901" s="53" t="n">
        <v>45739.7298263889</v>
      </c>
      <c r="P2901" s="53" t="n">
        <v>45782.1556597222</v>
      </c>
      <c r="Q2901" s="53" t="n">
        <v>45739.7298263889</v>
      </c>
      <c r="R2901" s="0" t="n">
        <v>0</v>
      </c>
      <c r="S2901" s="51" t="s">
        <v>2376</v>
      </c>
      <c r="T2901" s="51" t="s">
        <v>2376</v>
      </c>
      <c r="U2901" s="0" t="str">
        <f aca="false">"10074865055175"</f>
        <v>10074865055175</v>
      </c>
      <c r="V2901" s="51" t="s">
        <v>2365</v>
      </c>
      <c r="W2901" s="51" t="s">
        <v>6177</v>
      </c>
      <c r="X2901" s="51" t="s">
        <v>2359</v>
      </c>
    </row>
    <row r="2902" customFormat="false" ht="14.25" hidden="true" customHeight="false" outlineLevel="0" collapsed="false">
      <c r="A2902" s="49" t="s">
        <v>2349</v>
      </c>
      <c r="B2902" s="49" t="s">
        <v>2350</v>
      </c>
      <c r="C2902" s="49" t="s">
        <v>6178</v>
      </c>
      <c r="D2902" s="49" t="s">
        <v>2352</v>
      </c>
      <c r="E2902" s="49" t="str">
        <f aca="false">"10074865055175"</f>
        <v>10074865055175</v>
      </c>
      <c r="F2902" s="49" t="s">
        <v>5090</v>
      </c>
      <c r="G2902" s="49" t="n">
        <v>0</v>
      </c>
      <c r="H2902" s="0" t="n">
        <v>0</v>
      </c>
      <c r="M2902" s="51" t="s">
        <v>6162</v>
      </c>
      <c r="N2902" s="49" t="n">
        <v>0</v>
      </c>
      <c r="O2902" s="53" t="n">
        <v>45739.7295833333</v>
      </c>
      <c r="P2902" s="53" t="n">
        <v>45787.3944907407</v>
      </c>
      <c r="Q2902" s="53" t="n">
        <v>45739.7295833333</v>
      </c>
      <c r="R2902" s="0" t="n">
        <v>0</v>
      </c>
      <c r="S2902" s="51" t="s">
        <v>2376</v>
      </c>
      <c r="T2902" s="51" t="s">
        <v>2376</v>
      </c>
      <c r="U2902" s="0" t="str">
        <f aca="false">"10074865055175"</f>
        <v>10074865055175</v>
      </c>
      <c r="V2902" s="51" t="s">
        <v>2365</v>
      </c>
      <c r="W2902" s="51" t="s">
        <v>6179</v>
      </c>
      <c r="X2902" s="51" t="s">
        <v>2359</v>
      </c>
    </row>
    <row r="2903" customFormat="false" ht="14.25" hidden="true" customHeight="false" outlineLevel="0" collapsed="false">
      <c r="A2903" s="49" t="s">
        <v>2349</v>
      </c>
      <c r="B2903" s="49" t="s">
        <v>2350</v>
      </c>
      <c r="C2903" s="49" t="s">
        <v>6180</v>
      </c>
      <c r="D2903" s="49" t="s">
        <v>2352</v>
      </c>
      <c r="E2903" s="49" t="str">
        <f aca="false">"10074865055175"</f>
        <v>10074865055175</v>
      </c>
      <c r="F2903" s="49" t="s">
        <v>5090</v>
      </c>
      <c r="G2903" s="49" t="n">
        <v>0</v>
      </c>
      <c r="H2903" s="0" t="n">
        <v>0</v>
      </c>
      <c r="M2903" s="51" t="s">
        <v>6162</v>
      </c>
      <c r="N2903" s="49" t="n">
        <v>0</v>
      </c>
      <c r="O2903" s="53" t="n">
        <v>45739.7304050926</v>
      </c>
      <c r="P2903" s="53" t="n">
        <v>45801.5801967593</v>
      </c>
      <c r="Q2903" s="53" t="n">
        <v>45739.7304050926</v>
      </c>
      <c r="R2903" s="0" t="n">
        <v>0</v>
      </c>
      <c r="S2903" s="51" t="s">
        <v>2376</v>
      </c>
      <c r="T2903" s="51" t="s">
        <v>2376</v>
      </c>
      <c r="U2903" s="0" t="str">
        <f aca="false">"10074865055175"</f>
        <v>10074865055175</v>
      </c>
      <c r="V2903" s="51" t="s">
        <v>2365</v>
      </c>
      <c r="W2903" s="51" t="s">
        <v>6181</v>
      </c>
      <c r="X2903" s="51" t="s">
        <v>2359</v>
      </c>
    </row>
    <row r="2904" customFormat="false" ht="14.25" hidden="true" customHeight="false" outlineLevel="0" collapsed="false">
      <c r="A2904" s="49" t="s">
        <v>2349</v>
      </c>
      <c r="B2904" s="49" t="s">
        <v>2350</v>
      </c>
      <c r="C2904" s="49" t="s">
        <v>6182</v>
      </c>
      <c r="D2904" s="49" t="s">
        <v>2352</v>
      </c>
      <c r="E2904" s="49" t="str">
        <f aca="false">"10074865055175"</f>
        <v>10074865055175</v>
      </c>
      <c r="F2904" s="49" t="s">
        <v>5090</v>
      </c>
      <c r="G2904" s="49" t="n">
        <v>0</v>
      </c>
      <c r="H2904" s="0" t="n">
        <v>0</v>
      </c>
      <c r="M2904" s="51" t="s">
        <v>6162</v>
      </c>
      <c r="N2904" s="49" t="n">
        <v>0</v>
      </c>
      <c r="O2904" s="53" t="n">
        <v>45739.7307291667</v>
      </c>
      <c r="P2904" s="53" t="n">
        <v>45787.3931134259</v>
      </c>
      <c r="Q2904" s="53" t="n">
        <v>45739.7307291667</v>
      </c>
      <c r="R2904" s="0" t="n">
        <v>0</v>
      </c>
      <c r="S2904" s="51" t="s">
        <v>2376</v>
      </c>
      <c r="T2904" s="51" t="s">
        <v>2376</v>
      </c>
      <c r="U2904" s="0" t="str">
        <f aca="false">"10074865055175"</f>
        <v>10074865055175</v>
      </c>
      <c r="V2904" s="51" t="s">
        <v>2365</v>
      </c>
      <c r="W2904" s="51" t="s">
        <v>6183</v>
      </c>
      <c r="X2904" s="51" t="s">
        <v>2359</v>
      </c>
    </row>
    <row r="2905" customFormat="false" ht="14.25" hidden="true" customHeight="false" outlineLevel="0" collapsed="false">
      <c r="A2905" s="49" t="s">
        <v>2349</v>
      </c>
      <c r="B2905" s="49" t="s">
        <v>2350</v>
      </c>
      <c r="C2905" s="49" t="s">
        <v>6184</v>
      </c>
      <c r="D2905" s="49" t="s">
        <v>2352</v>
      </c>
      <c r="E2905" s="49" t="str">
        <f aca="false">"10074865055175"</f>
        <v>10074865055175</v>
      </c>
      <c r="F2905" s="49" t="s">
        <v>5090</v>
      </c>
      <c r="G2905" s="49" t="n">
        <v>0</v>
      </c>
      <c r="H2905" s="0" t="n">
        <v>0</v>
      </c>
      <c r="M2905" s="51" t="s">
        <v>6162</v>
      </c>
      <c r="N2905" s="49" t="n">
        <v>0</v>
      </c>
      <c r="O2905" s="53" t="n">
        <v>45739.7310185185</v>
      </c>
      <c r="P2905" s="53" t="n">
        <v>45787.3934722222</v>
      </c>
      <c r="Q2905" s="53" t="n">
        <v>45739.7310185185</v>
      </c>
      <c r="R2905" s="0" t="n">
        <v>0</v>
      </c>
      <c r="S2905" s="51" t="s">
        <v>2376</v>
      </c>
      <c r="T2905" s="51" t="s">
        <v>2376</v>
      </c>
      <c r="U2905" s="0" t="str">
        <f aca="false">"10074865055175"</f>
        <v>10074865055175</v>
      </c>
      <c r="V2905" s="51" t="s">
        <v>2365</v>
      </c>
      <c r="W2905" s="51" t="s">
        <v>6185</v>
      </c>
      <c r="X2905" s="51" t="s">
        <v>2359</v>
      </c>
    </row>
    <row r="2906" customFormat="false" ht="14.25" hidden="true" customHeight="false" outlineLevel="0" collapsed="false">
      <c r="A2906" s="49" t="s">
        <v>2349</v>
      </c>
      <c r="B2906" s="49" t="s">
        <v>2350</v>
      </c>
      <c r="C2906" s="49" t="s">
        <v>6186</v>
      </c>
      <c r="D2906" s="49" t="s">
        <v>2352</v>
      </c>
      <c r="E2906" s="49" t="str">
        <f aca="false">"10074865055175"</f>
        <v>10074865055175</v>
      </c>
      <c r="F2906" s="49" t="s">
        <v>5090</v>
      </c>
      <c r="G2906" s="49" t="n">
        <v>0</v>
      </c>
      <c r="H2906" s="0" t="n">
        <v>0</v>
      </c>
      <c r="M2906" s="51" t="s">
        <v>6162</v>
      </c>
      <c r="N2906" s="49" t="n">
        <v>0</v>
      </c>
      <c r="O2906" s="53" t="n">
        <v>45739.7313425926</v>
      </c>
      <c r="P2906" s="53" t="n">
        <v>45785.88375</v>
      </c>
      <c r="Q2906" s="53" t="n">
        <v>45739.7313425926</v>
      </c>
      <c r="R2906" s="0" t="n">
        <v>0</v>
      </c>
      <c r="S2906" s="51" t="s">
        <v>2376</v>
      </c>
      <c r="T2906" s="51" t="s">
        <v>2376</v>
      </c>
      <c r="U2906" s="0" t="str">
        <f aca="false">"10074865055175"</f>
        <v>10074865055175</v>
      </c>
      <c r="V2906" s="51" t="s">
        <v>2365</v>
      </c>
      <c r="W2906" s="51" t="s">
        <v>4757</v>
      </c>
      <c r="X2906" s="51" t="s">
        <v>2359</v>
      </c>
    </row>
    <row r="2907" customFormat="false" ht="14.25" hidden="true" customHeight="false" outlineLevel="0" collapsed="false">
      <c r="A2907" s="49" t="s">
        <v>2349</v>
      </c>
      <c r="B2907" s="49" t="s">
        <v>2350</v>
      </c>
      <c r="C2907" s="49" t="s">
        <v>6187</v>
      </c>
      <c r="D2907" s="49" t="s">
        <v>2352</v>
      </c>
      <c r="E2907" s="49" t="str">
        <f aca="false">"10074865055175"</f>
        <v>10074865055175</v>
      </c>
      <c r="F2907" s="49" t="s">
        <v>5090</v>
      </c>
      <c r="G2907" s="49" t="n">
        <v>0</v>
      </c>
      <c r="H2907" s="0" t="n">
        <v>0</v>
      </c>
      <c r="M2907" s="51" t="s">
        <v>6162</v>
      </c>
      <c r="N2907" s="49" t="n">
        <v>0</v>
      </c>
      <c r="O2907" s="53" t="n">
        <v>45739.7316203704</v>
      </c>
      <c r="P2907" s="53" t="n">
        <v>45787.3911689815</v>
      </c>
      <c r="Q2907" s="53" t="n">
        <v>45739.7316203704</v>
      </c>
      <c r="R2907" s="0" t="n">
        <v>0</v>
      </c>
      <c r="S2907" s="51" t="s">
        <v>2376</v>
      </c>
      <c r="T2907" s="51" t="s">
        <v>2376</v>
      </c>
      <c r="U2907" s="0" t="str">
        <f aca="false">"10074865055175"</f>
        <v>10074865055175</v>
      </c>
      <c r="V2907" s="51" t="s">
        <v>2365</v>
      </c>
      <c r="W2907" s="51" t="s">
        <v>4527</v>
      </c>
      <c r="X2907" s="51" t="s">
        <v>2359</v>
      </c>
    </row>
    <row r="2908" customFormat="false" ht="14.25" hidden="true" customHeight="false" outlineLevel="0" collapsed="false">
      <c r="A2908" s="49" t="s">
        <v>2349</v>
      </c>
      <c r="B2908" s="49" t="s">
        <v>2350</v>
      </c>
      <c r="C2908" s="49" t="s">
        <v>6188</v>
      </c>
      <c r="D2908" s="49" t="s">
        <v>2352</v>
      </c>
      <c r="E2908" s="49" t="str">
        <f aca="false">"10074865055175"</f>
        <v>10074865055175</v>
      </c>
      <c r="F2908" s="49" t="s">
        <v>5090</v>
      </c>
      <c r="G2908" s="49" t="n">
        <v>0</v>
      </c>
      <c r="H2908" s="0" t="n">
        <v>0</v>
      </c>
      <c r="M2908" s="51" t="s">
        <v>6162</v>
      </c>
      <c r="N2908" s="49" t="n">
        <v>0</v>
      </c>
      <c r="O2908" s="53" t="n">
        <v>45739.7318634259</v>
      </c>
      <c r="P2908" s="53" t="n">
        <v>45787.390474537</v>
      </c>
      <c r="Q2908" s="53" t="n">
        <v>45739.7318634259</v>
      </c>
      <c r="R2908" s="0" t="n">
        <v>0</v>
      </c>
      <c r="S2908" s="51" t="s">
        <v>2376</v>
      </c>
      <c r="T2908" s="51" t="s">
        <v>2376</v>
      </c>
      <c r="U2908" s="0" t="str">
        <f aca="false">"10074865055175"</f>
        <v>10074865055175</v>
      </c>
      <c r="V2908" s="51" t="s">
        <v>2365</v>
      </c>
      <c r="W2908" s="51" t="s">
        <v>4738</v>
      </c>
      <c r="X2908" s="51" t="s">
        <v>2359</v>
      </c>
    </row>
    <row r="2909" customFormat="false" ht="14.25" hidden="true" customHeight="false" outlineLevel="0" collapsed="false">
      <c r="A2909" s="49" t="s">
        <v>2349</v>
      </c>
      <c r="B2909" s="49" t="s">
        <v>2350</v>
      </c>
      <c r="C2909" s="49" t="s">
        <v>6189</v>
      </c>
      <c r="D2909" s="49" t="s">
        <v>2352</v>
      </c>
      <c r="E2909" s="49" t="str">
        <f aca="false">"10074865055175"</f>
        <v>10074865055175</v>
      </c>
      <c r="F2909" s="49" t="s">
        <v>5090</v>
      </c>
      <c r="G2909" s="49" t="n">
        <v>0</v>
      </c>
      <c r="H2909" s="0" t="n">
        <v>0</v>
      </c>
      <c r="M2909" s="51" t="s">
        <v>6162</v>
      </c>
      <c r="N2909" s="49" t="n">
        <v>0</v>
      </c>
      <c r="O2909" s="53" t="n">
        <v>45739.7321759259</v>
      </c>
      <c r="P2909" s="53" t="n">
        <v>45787.387037037</v>
      </c>
      <c r="Q2909" s="53" t="n">
        <v>45739.7321759259</v>
      </c>
      <c r="R2909" s="0" t="n">
        <v>0</v>
      </c>
      <c r="S2909" s="51" t="s">
        <v>2376</v>
      </c>
      <c r="T2909" s="51" t="s">
        <v>2376</v>
      </c>
      <c r="U2909" s="0" t="str">
        <f aca="false">"10074865055175"</f>
        <v>10074865055175</v>
      </c>
      <c r="V2909" s="51" t="s">
        <v>2365</v>
      </c>
      <c r="W2909" s="51" t="s">
        <v>6190</v>
      </c>
      <c r="X2909" s="51" t="s">
        <v>2359</v>
      </c>
    </row>
    <row r="2910" customFormat="false" ht="14.25" hidden="true" customHeight="false" outlineLevel="0" collapsed="false">
      <c r="A2910" s="49" t="s">
        <v>2349</v>
      </c>
      <c r="B2910" s="49" t="s">
        <v>2350</v>
      </c>
      <c r="C2910" s="49" t="s">
        <v>6191</v>
      </c>
      <c r="D2910" s="49" t="s">
        <v>2352</v>
      </c>
      <c r="E2910" s="49" t="str">
        <f aca="false">"10074865055175"</f>
        <v>10074865055175</v>
      </c>
      <c r="F2910" s="49" t="s">
        <v>5090</v>
      </c>
      <c r="G2910" s="49" t="n">
        <v>0</v>
      </c>
      <c r="H2910" s="0" t="n">
        <v>0</v>
      </c>
      <c r="M2910" s="51" t="s">
        <v>6162</v>
      </c>
      <c r="N2910" s="49" t="n">
        <v>0</v>
      </c>
      <c r="O2910" s="53" t="n">
        <v>45739.7325578704</v>
      </c>
      <c r="P2910" s="53" t="n">
        <v>45785.8836805556</v>
      </c>
      <c r="Q2910" s="53" t="n">
        <v>45739.7325578704</v>
      </c>
      <c r="R2910" s="0" t="n">
        <v>0</v>
      </c>
      <c r="S2910" s="51" t="s">
        <v>2376</v>
      </c>
      <c r="T2910" s="51" t="s">
        <v>2376</v>
      </c>
      <c r="U2910" s="0" t="str">
        <f aca="false">"10074865055175"</f>
        <v>10074865055175</v>
      </c>
      <c r="V2910" s="51" t="s">
        <v>2365</v>
      </c>
      <c r="W2910" s="51" t="s">
        <v>4740</v>
      </c>
      <c r="X2910" s="51" t="s">
        <v>2359</v>
      </c>
    </row>
    <row r="2911" customFormat="false" ht="14.25" hidden="true" customHeight="false" outlineLevel="0" collapsed="false">
      <c r="A2911" s="49" t="s">
        <v>2349</v>
      </c>
      <c r="B2911" s="49" t="s">
        <v>2350</v>
      </c>
      <c r="C2911" s="49" t="s">
        <v>6192</v>
      </c>
      <c r="D2911" s="49" t="s">
        <v>2352</v>
      </c>
      <c r="E2911" s="49" t="str">
        <f aca="false">"10074865055175"</f>
        <v>10074865055175</v>
      </c>
      <c r="F2911" s="49" t="s">
        <v>5090</v>
      </c>
      <c r="G2911" s="49" t="n">
        <v>0</v>
      </c>
      <c r="H2911" s="0" t="n">
        <v>0</v>
      </c>
      <c r="M2911" s="51" t="s">
        <v>6162</v>
      </c>
      <c r="N2911" s="49" t="n">
        <v>0</v>
      </c>
      <c r="O2911" s="53" t="n">
        <v>45739.7327893519</v>
      </c>
      <c r="P2911" s="53" t="n">
        <v>45775.9137037037</v>
      </c>
      <c r="Q2911" s="53" t="n">
        <v>45739.7327893519</v>
      </c>
      <c r="R2911" s="0" t="n">
        <v>0</v>
      </c>
      <c r="S2911" s="51" t="s">
        <v>2376</v>
      </c>
      <c r="T2911" s="51" t="s">
        <v>2376</v>
      </c>
      <c r="U2911" s="0" t="str">
        <f aca="false">"10074865055175"</f>
        <v>10074865055175</v>
      </c>
      <c r="V2911" s="51" t="s">
        <v>2365</v>
      </c>
      <c r="W2911" s="51" t="s">
        <v>6193</v>
      </c>
      <c r="X2911" s="51" t="s">
        <v>2359</v>
      </c>
    </row>
    <row r="2912" customFormat="false" ht="14.25" hidden="true" customHeight="false" outlineLevel="0" collapsed="false">
      <c r="A2912" s="49" t="s">
        <v>2349</v>
      </c>
      <c r="B2912" s="49" t="s">
        <v>2350</v>
      </c>
      <c r="C2912" s="49" t="s">
        <v>6194</v>
      </c>
      <c r="D2912" s="49" t="s">
        <v>2352</v>
      </c>
      <c r="E2912" s="49" t="str">
        <f aca="false">"10074865055175"</f>
        <v>10074865055175</v>
      </c>
      <c r="F2912" s="49" t="s">
        <v>5090</v>
      </c>
      <c r="G2912" s="49" t="n">
        <v>0</v>
      </c>
      <c r="H2912" s="0" t="n">
        <v>0</v>
      </c>
      <c r="M2912" s="51" t="s">
        <v>6162</v>
      </c>
      <c r="N2912" s="49" t="n">
        <v>0</v>
      </c>
      <c r="O2912" s="53" t="n">
        <v>45739.7330439815</v>
      </c>
      <c r="P2912" s="53" t="n">
        <v>45781.3644675926</v>
      </c>
      <c r="Q2912" s="53" t="n">
        <v>45739.7330439815</v>
      </c>
      <c r="R2912" s="0" t="n">
        <v>0</v>
      </c>
      <c r="S2912" s="51" t="s">
        <v>2376</v>
      </c>
      <c r="T2912" s="51" t="s">
        <v>2376</v>
      </c>
      <c r="U2912" s="0" t="str">
        <f aca="false">"10074865055175"</f>
        <v>10074865055175</v>
      </c>
      <c r="V2912" s="51" t="s">
        <v>2365</v>
      </c>
      <c r="W2912" s="51" t="s">
        <v>5703</v>
      </c>
      <c r="X2912" s="51" t="s">
        <v>2359</v>
      </c>
    </row>
    <row r="2913" customFormat="false" ht="14.25" hidden="true" customHeight="false" outlineLevel="0" collapsed="false">
      <c r="A2913" s="49" t="s">
        <v>2349</v>
      </c>
      <c r="B2913" s="49" t="s">
        <v>2350</v>
      </c>
      <c r="C2913" s="49" t="s">
        <v>6195</v>
      </c>
      <c r="D2913" s="49" t="s">
        <v>2352</v>
      </c>
      <c r="E2913" s="49" t="str">
        <f aca="false">"10074865055175"</f>
        <v>10074865055175</v>
      </c>
      <c r="F2913" s="49" t="s">
        <v>5090</v>
      </c>
      <c r="G2913" s="49" t="n">
        <v>0</v>
      </c>
      <c r="H2913" s="0" t="n">
        <v>0</v>
      </c>
      <c r="M2913" s="51" t="s">
        <v>6162</v>
      </c>
      <c r="N2913" s="49" t="n">
        <v>0</v>
      </c>
      <c r="O2913" s="53" t="n">
        <v>45739.7333333333</v>
      </c>
      <c r="P2913" s="53" t="n">
        <v>45790.4413310185</v>
      </c>
      <c r="Q2913" s="53" t="n">
        <v>45739.7333333333</v>
      </c>
      <c r="R2913" s="0" t="n">
        <v>0</v>
      </c>
      <c r="S2913" s="51" t="s">
        <v>2376</v>
      </c>
      <c r="T2913" s="51" t="s">
        <v>2376</v>
      </c>
      <c r="U2913" s="0" t="str">
        <f aca="false">"10074865055175"</f>
        <v>10074865055175</v>
      </c>
      <c r="V2913" s="51" t="s">
        <v>2365</v>
      </c>
      <c r="W2913" s="51" t="s">
        <v>6196</v>
      </c>
      <c r="X2913" s="51" t="s">
        <v>2359</v>
      </c>
    </row>
    <row r="2914" customFormat="false" ht="14.25" hidden="true" customHeight="false" outlineLevel="0" collapsed="false">
      <c r="A2914" s="49" t="s">
        <v>2349</v>
      </c>
      <c r="B2914" s="49" t="s">
        <v>2350</v>
      </c>
      <c r="C2914" s="49" t="s">
        <v>6197</v>
      </c>
      <c r="D2914" s="49" t="s">
        <v>2352</v>
      </c>
      <c r="E2914" s="49" t="str">
        <f aca="false">"10074865055175"</f>
        <v>10074865055175</v>
      </c>
      <c r="F2914" s="49" t="s">
        <v>5090</v>
      </c>
      <c r="G2914" s="49" t="n">
        <v>0</v>
      </c>
      <c r="H2914" s="0" t="n">
        <v>0</v>
      </c>
      <c r="M2914" s="51" t="s">
        <v>6162</v>
      </c>
      <c r="N2914" s="49" t="n">
        <v>0</v>
      </c>
      <c r="O2914" s="53" t="n">
        <v>45739.7408680556</v>
      </c>
      <c r="P2914" s="53" t="n">
        <v>45826.5929166667</v>
      </c>
      <c r="Q2914" s="53" t="n">
        <v>45739.7408680556</v>
      </c>
      <c r="R2914" s="0" t="n">
        <v>0</v>
      </c>
      <c r="S2914" s="51" t="s">
        <v>2376</v>
      </c>
      <c r="T2914" s="51" t="s">
        <v>2376</v>
      </c>
      <c r="U2914" s="0" t="str">
        <f aca="false">"10074865055175"</f>
        <v>10074865055175</v>
      </c>
      <c r="V2914" s="51" t="s">
        <v>2365</v>
      </c>
      <c r="W2914" s="51" t="s">
        <v>6198</v>
      </c>
      <c r="X2914" s="51" t="s">
        <v>2359</v>
      </c>
    </row>
    <row r="2915" customFormat="false" ht="14.25" hidden="true" customHeight="false" outlineLevel="0" collapsed="false">
      <c r="A2915" s="49" t="s">
        <v>2349</v>
      </c>
      <c r="B2915" s="49" t="s">
        <v>2350</v>
      </c>
      <c r="C2915" s="49" t="s">
        <v>6199</v>
      </c>
      <c r="D2915" s="49" t="s">
        <v>2352</v>
      </c>
      <c r="E2915" s="49" t="str">
        <f aca="false">"10074865055175"</f>
        <v>10074865055175</v>
      </c>
      <c r="F2915" s="49" t="s">
        <v>5090</v>
      </c>
      <c r="G2915" s="49" t="n">
        <v>0</v>
      </c>
      <c r="H2915" s="0" t="n">
        <v>0</v>
      </c>
      <c r="M2915" s="51" t="s">
        <v>6162</v>
      </c>
      <c r="N2915" s="49" t="n">
        <v>0</v>
      </c>
      <c r="O2915" s="53" t="n">
        <v>45739.741099537</v>
      </c>
      <c r="P2915" s="53" t="n">
        <v>45826.5930671296</v>
      </c>
      <c r="Q2915" s="53" t="n">
        <v>45739.741099537</v>
      </c>
      <c r="R2915" s="0" t="n">
        <v>0</v>
      </c>
      <c r="S2915" s="51" t="s">
        <v>2376</v>
      </c>
      <c r="T2915" s="51" t="s">
        <v>2376</v>
      </c>
      <c r="U2915" s="0" t="str">
        <f aca="false">"10074865055175"</f>
        <v>10074865055175</v>
      </c>
      <c r="V2915" s="51" t="s">
        <v>2365</v>
      </c>
      <c r="W2915" s="51" t="s">
        <v>6200</v>
      </c>
      <c r="X2915" s="51" t="s">
        <v>2359</v>
      </c>
    </row>
    <row r="2916" customFormat="false" ht="14.25" hidden="true" customHeight="false" outlineLevel="0" collapsed="false">
      <c r="A2916" s="49" t="s">
        <v>2349</v>
      </c>
      <c r="B2916" s="49" t="s">
        <v>2350</v>
      </c>
      <c r="C2916" s="49" t="s">
        <v>6201</v>
      </c>
      <c r="D2916" s="49" t="s">
        <v>2352</v>
      </c>
      <c r="E2916" s="49" t="str">
        <f aca="false">"10074865055175"</f>
        <v>10074865055175</v>
      </c>
      <c r="F2916" s="49" t="s">
        <v>5090</v>
      </c>
      <c r="G2916" s="49" t="n">
        <v>0</v>
      </c>
      <c r="H2916" s="0" t="n">
        <v>0</v>
      </c>
      <c r="M2916" s="51" t="s">
        <v>6162</v>
      </c>
      <c r="N2916" s="49" t="n">
        <v>0</v>
      </c>
      <c r="O2916" s="53" t="n">
        <v>45739.7397337963</v>
      </c>
      <c r="P2916" s="53" t="n">
        <v>45769.4364467593</v>
      </c>
      <c r="Q2916" s="53" t="n">
        <v>45739.7397337963</v>
      </c>
      <c r="R2916" s="0" t="n">
        <v>0</v>
      </c>
      <c r="S2916" s="51" t="s">
        <v>2376</v>
      </c>
      <c r="T2916" s="51" t="s">
        <v>2376</v>
      </c>
      <c r="U2916" s="0" t="str">
        <f aca="false">"10074865055175"</f>
        <v>10074865055175</v>
      </c>
      <c r="V2916" s="51" t="s">
        <v>2365</v>
      </c>
      <c r="W2916" s="51" t="s">
        <v>6202</v>
      </c>
      <c r="X2916" s="51" t="s">
        <v>2359</v>
      </c>
    </row>
    <row r="2917" customFormat="false" ht="14.25" hidden="true" customHeight="false" outlineLevel="0" collapsed="false">
      <c r="A2917" s="49" t="s">
        <v>2349</v>
      </c>
      <c r="B2917" s="49" t="s">
        <v>2350</v>
      </c>
      <c r="C2917" s="49" t="s">
        <v>6203</v>
      </c>
      <c r="D2917" s="49" t="s">
        <v>2397</v>
      </c>
      <c r="E2917" s="49" t="str">
        <f aca="false">"10074865055175"</f>
        <v>10074865055175</v>
      </c>
      <c r="F2917" s="49" t="s">
        <v>5090</v>
      </c>
      <c r="G2917" s="49" t="n">
        <v>0</v>
      </c>
      <c r="H2917" s="0" t="n">
        <v>0</v>
      </c>
      <c r="M2917" s="51" t="s">
        <v>6162</v>
      </c>
      <c r="N2917" s="49" t="n">
        <v>0</v>
      </c>
      <c r="O2917" s="53" t="n">
        <v>45735.7250231481</v>
      </c>
      <c r="P2917" s="53" t="n">
        <v>45736.5082638889</v>
      </c>
      <c r="Q2917" s="53" t="n">
        <v>45735.7250231481</v>
      </c>
      <c r="R2917" s="0" t="n">
        <v>0</v>
      </c>
      <c r="S2917" s="51" t="s">
        <v>2376</v>
      </c>
      <c r="T2917" s="51" t="s">
        <v>2376</v>
      </c>
      <c r="U2917" s="0" t="str">
        <f aca="false">"10074865055175"</f>
        <v>10074865055175</v>
      </c>
      <c r="V2917" s="51" t="s">
        <v>2365</v>
      </c>
      <c r="W2917" s="51" t="s">
        <v>5521</v>
      </c>
      <c r="X2917" s="51" t="s">
        <v>2359</v>
      </c>
    </row>
    <row r="2918" customFormat="false" ht="14.25" hidden="true" customHeight="false" outlineLevel="0" collapsed="false">
      <c r="A2918" s="49" t="s">
        <v>2349</v>
      </c>
      <c r="B2918" s="49" t="s">
        <v>2350</v>
      </c>
      <c r="C2918" s="49" t="s">
        <v>6204</v>
      </c>
      <c r="D2918" s="49" t="s">
        <v>2397</v>
      </c>
      <c r="E2918" s="49" t="str">
        <f aca="false">"10074865055175"</f>
        <v>10074865055175</v>
      </c>
      <c r="F2918" s="49" t="s">
        <v>5090</v>
      </c>
      <c r="G2918" s="49" t="n">
        <v>0</v>
      </c>
      <c r="H2918" s="0" t="n">
        <v>0</v>
      </c>
      <c r="M2918" s="51" t="s">
        <v>6162</v>
      </c>
      <c r="N2918" s="49" t="n">
        <v>0</v>
      </c>
      <c r="O2918" s="53" t="n">
        <v>45735.7247685185</v>
      </c>
      <c r="P2918" s="53" t="n">
        <v>45736.5093865741</v>
      </c>
      <c r="Q2918" s="53" t="n">
        <v>45735.7247685185</v>
      </c>
      <c r="R2918" s="0" t="n">
        <v>0</v>
      </c>
      <c r="S2918" s="51" t="s">
        <v>2376</v>
      </c>
      <c r="T2918" s="51" t="s">
        <v>2376</v>
      </c>
      <c r="U2918" s="0" t="str">
        <f aca="false">"10074865055175"</f>
        <v>10074865055175</v>
      </c>
      <c r="V2918" s="51" t="s">
        <v>2365</v>
      </c>
      <c r="W2918" s="51" t="s">
        <v>4110</v>
      </c>
      <c r="X2918" s="51" t="s">
        <v>2359</v>
      </c>
    </row>
    <row r="2919" customFormat="false" ht="14.25" hidden="true" customHeight="false" outlineLevel="0" collapsed="false">
      <c r="A2919" s="49" t="s">
        <v>2349</v>
      </c>
      <c r="B2919" s="49" t="s">
        <v>2350</v>
      </c>
      <c r="C2919" s="49" t="s">
        <v>6205</v>
      </c>
      <c r="D2919" s="49" t="s">
        <v>2397</v>
      </c>
      <c r="E2919" s="49" t="str">
        <f aca="false">"10074865055175"</f>
        <v>10074865055175</v>
      </c>
      <c r="F2919" s="49" t="s">
        <v>5090</v>
      </c>
      <c r="G2919" s="49" t="n">
        <v>0</v>
      </c>
      <c r="H2919" s="0" t="n">
        <v>0</v>
      </c>
      <c r="M2919" s="51" t="s">
        <v>6162</v>
      </c>
      <c r="N2919" s="49" t="n">
        <v>0</v>
      </c>
      <c r="O2919" s="53" t="n">
        <v>45735.7246064815</v>
      </c>
      <c r="P2919" s="53" t="n">
        <v>45736.5099074074</v>
      </c>
      <c r="Q2919" s="53" t="n">
        <v>45735.7246064815</v>
      </c>
      <c r="R2919" s="0" t="n">
        <v>0</v>
      </c>
      <c r="S2919" s="51" t="s">
        <v>2376</v>
      </c>
      <c r="T2919" s="51" t="s">
        <v>2376</v>
      </c>
      <c r="U2919" s="0" t="str">
        <f aca="false">"10074865055175"</f>
        <v>10074865055175</v>
      </c>
      <c r="V2919" s="51" t="s">
        <v>2365</v>
      </c>
      <c r="W2919" s="51" t="s">
        <v>4343</v>
      </c>
      <c r="X2919" s="51" t="s">
        <v>2359</v>
      </c>
    </row>
    <row r="2920" customFormat="false" ht="14.25" hidden="true" customHeight="false" outlineLevel="0" collapsed="false">
      <c r="A2920" s="49" t="s">
        <v>2349</v>
      </c>
      <c r="B2920" s="49" t="s">
        <v>2350</v>
      </c>
      <c r="C2920" s="49" t="s">
        <v>6206</v>
      </c>
      <c r="D2920" s="49" t="s">
        <v>2397</v>
      </c>
      <c r="E2920" s="49" t="str">
        <f aca="false">"10074865055175"</f>
        <v>10074865055175</v>
      </c>
      <c r="F2920" s="49" t="s">
        <v>5090</v>
      </c>
      <c r="G2920" s="49" t="n">
        <v>0</v>
      </c>
      <c r="H2920" s="0" t="n">
        <v>0</v>
      </c>
      <c r="M2920" s="51" t="s">
        <v>6162</v>
      </c>
      <c r="N2920" s="49" t="n">
        <v>0</v>
      </c>
      <c r="O2920" s="53" t="n">
        <v>45735.7244907407</v>
      </c>
      <c r="P2920" s="53" t="n">
        <v>45736.5107175926</v>
      </c>
      <c r="Q2920" s="53" t="n">
        <v>45735.7244907407</v>
      </c>
      <c r="R2920" s="0" t="n">
        <v>0</v>
      </c>
      <c r="S2920" s="51" t="s">
        <v>2376</v>
      </c>
      <c r="T2920" s="51" t="s">
        <v>2376</v>
      </c>
      <c r="U2920" s="0" t="str">
        <f aca="false">"10074865055175"</f>
        <v>10074865055175</v>
      </c>
      <c r="V2920" s="51" t="s">
        <v>2365</v>
      </c>
      <c r="W2920" s="51" t="s">
        <v>4978</v>
      </c>
      <c r="X2920" s="51" t="s">
        <v>2359</v>
      </c>
    </row>
    <row r="2921" customFormat="false" ht="14.25" hidden="true" customHeight="false" outlineLevel="0" collapsed="false">
      <c r="A2921" s="49" t="s">
        <v>2349</v>
      </c>
      <c r="B2921" s="49" t="s">
        <v>2350</v>
      </c>
      <c r="C2921" s="49" t="s">
        <v>6207</v>
      </c>
      <c r="D2921" s="49" t="s">
        <v>2397</v>
      </c>
      <c r="E2921" s="49" t="str">
        <f aca="false">"10074865055175"</f>
        <v>10074865055175</v>
      </c>
      <c r="F2921" s="49" t="s">
        <v>5090</v>
      </c>
      <c r="G2921" s="49" t="n">
        <v>0</v>
      </c>
      <c r="H2921" s="0" t="n">
        <v>0</v>
      </c>
      <c r="M2921" s="51" t="s">
        <v>6162</v>
      </c>
      <c r="N2921" s="49" t="n">
        <v>0</v>
      </c>
      <c r="O2921" s="53" t="n">
        <v>45735.7243518519</v>
      </c>
      <c r="P2921" s="53" t="n">
        <v>45736.5114236111</v>
      </c>
      <c r="Q2921" s="53" t="n">
        <v>45735.7243518519</v>
      </c>
      <c r="R2921" s="0" t="n">
        <v>0</v>
      </c>
      <c r="S2921" s="51" t="s">
        <v>2376</v>
      </c>
      <c r="T2921" s="51" t="s">
        <v>2376</v>
      </c>
      <c r="U2921" s="0" t="str">
        <f aca="false">"10074865055175"</f>
        <v>10074865055175</v>
      </c>
      <c r="V2921" s="51" t="s">
        <v>2365</v>
      </c>
      <c r="W2921" s="51" t="s">
        <v>4212</v>
      </c>
      <c r="X2921" s="51" t="s">
        <v>2359</v>
      </c>
    </row>
    <row r="2922" customFormat="false" ht="14.25" hidden="true" customHeight="false" outlineLevel="0" collapsed="false">
      <c r="A2922" s="49" t="s">
        <v>2349</v>
      </c>
      <c r="B2922" s="49" t="s">
        <v>2350</v>
      </c>
      <c r="C2922" s="49" t="s">
        <v>6208</v>
      </c>
      <c r="D2922" s="49" t="s">
        <v>2397</v>
      </c>
      <c r="E2922" s="49" t="str">
        <f aca="false">"10074865055175"</f>
        <v>10074865055175</v>
      </c>
      <c r="F2922" s="49" t="s">
        <v>5090</v>
      </c>
      <c r="G2922" s="49" t="n">
        <v>0</v>
      </c>
      <c r="H2922" s="0" t="n">
        <v>0</v>
      </c>
      <c r="M2922" s="51" t="s">
        <v>6162</v>
      </c>
      <c r="N2922" s="49" t="n">
        <v>0</v>
      </c>
      <c r="O2922" s="53" t="n">
        <v>45735.7242592593</v>
      </c>
      <c r="P2922" s="53" t="n">
        <v>45736.5119212963</v>
      </c>
      <c r="Q2922" s="53" t="n">
        <v>45735.7242592593</v>
      </c>
      <c r="R2922" s="0" t="n">
        <v>0</v>
      </c>
      <c r="S2922" s="51" t="s">
        <v>2376</v>
      </c>
      <c r="T2922" s="51" t="s">
        <v>2376</v>
      </c>
      <c r="U2922" s="0" t="str">
        <f aca="false">"10074865055175"</f>
        <v>10074865055175</v>
      </c>
      <c r="V2922" s="51" t="s">
        <v>2365</v>
      </c>
      <c r="W2922" s="51" t="s">
        <v>5532</v>
      </c>
      <c r="X2922" s="51" t="s">
        <v>2359</v>
      </c>
    </row>
    <row r="2923" customFormat="false" ht="14.25" hidden="true" customHeight="false" outlineLevel="0" collapsed="false">
      <c r="A2923" s="49" t="s">
        <v>2349</v>
      </c>
      <c r="B2923" s="49" t="s">
        <v>2350</v>
      </c>
      <c r="C2923" s="49" t="s">
        <v>6209</v>
      </c>
      <c r="D2923" s="49" t="s">
        <v>2397</v>
      </c>
      <c r="E2923" s="49" t="str">
        <f aca="false">"10074865055175"</f>
        <v>10074865055175</v>
      </c>
      <c r="F2923" s="49" t="s">
        <v>5090</v>
      </c>
      <c r="G2923" s="49" t="n">
        <v>0</v>
      </c>
      <c r="H2923" s="0" t="n">
        <v>0</v>
      </c>
      <c r="M2923" s="51" t="s">
        <v>6162</v>
      </c>
      <c r="N2923" s="49" t="n">
        <v>0</v>
      </c>
      <c r="O2923" s="53" t="n">
        <v>45735.7240046296</v>
      </c>
      <c r="P2923" s="53" t="n">
        <v>45736.5141087963</v>
      </c>
      <c r="Q2923" s="53" t="n">
        <v>45735.7240046296</v>
      </c>
      <c r="R2923" s="0" t="n">
        <v>0</v>
      </c>
      <c r="S2923" s="51" t="s">
        <v>2376</v>
      </c>
      <c r="T2923" s="51" t="s">
        <v>2376</v>
      </c>
      <c r="U2923" s="0" t="str">
        <f aca="false">"10074865055175"</f>
        <v>10074865055175</v>
      </c>
      <c r="V2923" s="51" t="s">
        <v>2365</v>
      </c>
      <c r="W2923" s="51" t="s">
        <v>4214</v>
      </c>
      <c r="X2923" s="51" t="s">
        <v>2359</v>
      </c>
    </row>
    <row r="2924" customFormat="false" ht="14.25" hidden="true" customHeight="false" outlineLevel="0" collapsed="false">
      <c r="A2924" s="49" t="s">
        <v>2349</v>
      </c>
      <c r="B2924" s="49" t="s">
        <v>2350</v>
      </c>
      <c r="C2924" s="49" t="s">
        <v>6210</v>
      </c>
      <c r="D2924" s="49" t="s">
        <v>2397</v>
      </c>
      <c r="E2924" s="49" t="str">
        <f aca="false">"10074865055175"</f>
        <v>10074865055175</v>
      </c>
      <c r="F2924" s="49" t="s">
        <v>5090</v>
      </c>
      <c r="G2924" s="49" t="n">
        <v>0</v>
      </c>
      <c r="H2924" s="0" t="n">
        <v>0</v>
      </c>
      <c r="M2924" s="51" t="s">
        <v>6162</v>
      </c>
      <c r="N2924" s="49" t="n">
        <v>0</v>
      </c>
      <c r="O2924" s="53" t="n">
        <v>45735.7241203704</v>
      </c>
      <c r="P2924" s="53" t="n">
        <v>45736.5151273148</v>
      </c>
      <c r="Q2924" s="53" t="n">
        <v>45735.7241203704</v>
      </c>
      <c r="R2924" s="0" t="n">
        <v>0</v>
      </c>
      <c r="S2924" s="51" t="s">
        <v>2376</v>
      </c>
      <c r="T2924" s="51" t="s">
        <v>2376</v>
      </c>
      <c r="U2924" s="0" t="str">
        <f aca="false">"10074865055175"</f>
        <v>10074865055175</v>
      </c>
      <c r="V2924" s="51" t="s">
        <v>2365</v>
      </c>
      <c r="W2924" s="51" t="s">
        <v>4210</v>
      </c>
      <c r="X2924" s="51" t="s">
        <v>2359</v>
      </c>
    </row>
    <row r="2925" customFormat="false" ht="14.25" hidden="true" customHeight="false" outlineLevel="0" collapsed="false">
      <c r="A2925" s="49" t="s">
        <v>2349</v>
      </c>
      <c r="B2925" s="49" t="s">
        <v>2350</v>
      </c>
      <c r="C2925" s="49" t="s">
        <v>6211</v>
      </c>
      <c r="D2925" s="49" t="s">
        <v>2397</v>
      </c>
      <c r="E2925" s="49" t="str">
        <f aca="false">"10074865055175"</f>
        <v>10074865055175</v>
      </c>
      <c r="F2925" s="49" t="s">
        <v>5090</v>
      </c>
      <c r="G2925" s="49" t="n">
        <v>0</v>
      </c>
      <c r="H2925" s="0" t="n">
        <v>0</v>
      </c>
      <c r="M2925" s="51" t="s">
        <v>6162</v>
      </c>
      <c r="N2925" s="49" t="n">
        <v>0</v>
      </c>
      <c r="O2925" s="53" t="n">
        <v>45735.7238888889</v>
      </c>
      <c r="P2925" s="53" t="n">
        <v>45736.5163657407</v>
      </c>
      <c r="Q2925" s="53" t="n">
        <v>45735.7238888889</v>
      </c>
      <c r="R2925" s="0" t="n">
        <v>0</v>
      </c>
      <c r="S2925" s="51" t="s">
        <v>2376</v>
      </c>
      <c r="T2925" s="51" t="s">
        <v>2376</v>
      </c>
      <c r="U2925" s="0" t="str">
        <f aca="false">"10074865055175"</f>
        <v>10074865055175</v>
      </c>
      <c r="V2925" s="51" t="s">
        <v>2365</v>
      </c>
      <c r="W2925" s="51" t="s">
        <v>4558</v>
      </c>
      <c r="X2925" s="51" t="s">
        <v>2359</v>
      </c>
    </row>
    <row r="2926" customFormat="false" ht="14.25" hidden="true" customHeight="false" outlineLevel="0" collapsed="false">
      <c r="A2926" s="49" t="s">
        <v>2349</v>
      </c>
      <c r="B2926" s="49" t="s">
        <v>2350</v>
      </c>
      <c r="C2926" s="49" t="s">
        <v>6212</v>
      </c>
      <c r="D2926" s="49" t="s">
        <v>2397</v>
      </c>
      <c r="E2926" s="49" t="str">
        <f aca="false">"10074865055175"</f>
        <v>10074865055175</v>
      </c>
      <c r="F2926" s="49" t="s">
        <v>5090</v>
      </c>
      <c r="G2926" s="49" t="n">
        <v>0</v>
      </c>
      <c r="H2926" s="0" t="n">
        <v>0</v>
      </c>
      <c r="M2926" s="51" t="s">
        <v>6162</v>
      </c>
      <c r="N2926" s="49" t="n">
        <v>0</v>
      </c>
      <c r="O2926" s="53" t="n">
        <v>45735.7237847222</v>
      </c>
      <c r="P2926" s="53" t="n">
        <v>45736.5172106482</v>
      </c>
      <c r="Q2926" s="53" t="n">
        <v>45735.7237847222</v>
      </c>
      <c r="R2926" s="0" t="n">
        <v>0</v>
      </c>
      <c r="S2926" s="51" t="s">
        <v>2376</v>
      </c>
      <c r="T2926" s="51" t="s">
        <v>2376</v>
      </c>
      <c r="U2926" s="0" t="str">
        <f aca="false">"10074865055175"</f>
        <v>10074865055175</v>
      </c>
      <c r="V2926" s="51" t="s">
        <v>2365</v>
      </c>
      <c r="W2926" s="51" t="s">
        <v>5636</v>
      </c>
      <c r="X2926" s="51" t="s">
        <v>2359</v>
      </c>
    </row>
    <row r="2927" customFormat="false" ht="14.25" hidden="true" customHeight="false" outlineLevel="0" collapsed="false">
      <c r="A2927" s="49" t="s">
        <v>2349</v>
      </c>
      <c r="B2927" s="49" t="s">
        <v>2350</v>
      </c>
      <c r="C2927" s="49" t="s">
        <v>6213</v>
      </c>
      <c r="D2927" s="49" t="s">
        <v>2397</v>
      </c>
      <c r="E2927" s="49" t="str">
        <f aca="false">"10074865055175"</f>
        <v>10074865055175</v>
      </c>
      <c r="F2927" s="49" t="s">
        <v>5090</v>
      </c>
      <c r="G2927" s="49" t="n">
        <v>0</v>
      </c>
      <c r="H2927" s="0" t="n">
        <v>0</v>
      </c>
      <c r="M2927" s="51" t="s">
        <v>6162</v>
      </c>
      <c r="N2927" s="49" t="n">
        <v>0</v>
      </c>
      <c r="O2927" s="53" t="n">
        <v>45735.7236574074</v>
      </c>
      <c r="P2927" s="53" t="n">
        <v>45736.5180902778</v>
      </c>
      <c r="Q2927" s="53" t="n">
        <v>45735.7236574074</v>
      </c>
      <c r="R2927" s="0" t="n">
        <v>0</v>
      </c>
      <c r="S2927" s="51" t="s">
        <v>2376</v>
      </c>
      <c r="T2927" s="51" t="s">
        <v>2376</v>
      </c>
      <c r="U2927" s="0" t="str">
        <f aca="false">"10074865055175"</f>
        <v>10074865055175</v>
      </c>
      <c r="V2927" s="51" t="s">
        <v>2365</v>
      </c>
      <c r="W2927" s="51" t="s">
        <v>5621</v>
      </c>
      <c r="X2927" s="51" t="s">
        <v>2359</v>
      </c>
    </row>
    <row r="2928" customFormat="false" ht="14.25" hidden="true" customHeight="false" outlineLevel="0" collapsed="false">
      <c r="A2928" s="49" t="s">
        <v>2349</v>
      </c>
      <c r="B2928" s="49" t="s">
        <v>2350</v>
      </c>
      <c r="C2928" s="49" t="s">
        <v>6214</v>
      </c>
      <c r="D2928" s="49" t="s">
        <v>2397</v>
      </c>
      <c r="E2928" s="49" t="str">
        <f aca="false">"10074865055175"</f>
        <v>10074865055175</v>
      </c>
      <c r="F2928" s="49" t="s">
        <v>5090</v>
      </c>
      <c r="G2928" s="49" t="n">
        <v>0</v>
      </c>
      <c r="H2928" s="0" t="n">
        <v>0</v>
      </c>
      <c r="M2928" s="51" t="s">
        <v>6162</v>
      </c>
      <c r="N2928" s="49" t="n">
        <v>0</v>
      </c>
      <c r="O2928" s="53" t="n">
        <v>45735.7235532407</v>
      </c>
      <c r="P2928" s="53" t="n">
        <v>45736.5187731482</v>
      </c>
      <c r="Q2928" s="53" t="n">
        <v>45735.7235532407</v>
      </c>
      <c r="R2928" s="0" t="n">
        <v>0</v>
      </c>
      <c r="S2928" s="51" t="s">
        <v>2376</v>
      </c>
      <c r="T2928" s="51" t="s">
        <v>2376</v>
      </c>
      <c r="U2928" s="0" t="str">
        <f aca="false">"10074865055175"</f>
        <v>10074865055175</v>
      </c>
      <c r="V2928" s="51" t="s">
        <v>2365</v>
      </c>
      <c r="W2928" s="51" t="s">
        <v>6215</v>
      </c>
      <c r="X2928" s="51" t="s">
        <v>2359</v>
      </c>
    </row>
    <row r="2929" customFormat="false" ht="14.25" hidden="true" customHeight="false" outlineLevel="0" collapsed="false">
      <c r="A2929" s="49" t="s">
        <v>2349</v>
      </c>
      <c r="B2929" s="49" t="s">
        <v>2350</v>
      </c>
      <c r="C2929" s="49" t="s">
        <v>6216</v>
      </c>
      <c r="D2929" s="49" t="s">
        <v>2397</v>
      </c>
      <c r="E2929" s="49" t="str">
        <f aca="false">"10074865055175"</f>
        <v>10074865055175</v>
      </c>
      <c r="F2929" s="49" t="s">
        <v>5090</v>
      </c>
      <c r="G2929" s="49" t="n">
        <v>0</v>
      </c>
      <c r="H2929" s="0" t="n">
        <v>0</v>
      </c>
      <c r="M2929" s="51" t="s">
        <v>6162</v>
      </c>
      <c r="N2929" s="49" t="n">
        <v>0</v>
      </c>
      <c r="O2929" s="53" t="n">
        <v>45735.7234259259</v>
      </c>
      <c r="P2929" s="53" t="n">
        <v>45736.5194097222</v>
      </c>
      <c r="Q2929" s="53" t="n">
        <v>45735.7234259259</v>
      </c>
      <c r="R2929" s="0" t="n">
        <v>0</v>
      </c>
      <c r="S2929" s="51" t="s">
        <v>2376</v>
      </c>
      <c r="T2929" s="51" t="s">
        <v>2376</v>
      </c>
      <c r="U2929" s="0" t="str">
        <f aca="false">"10074865055175"</f>
        <v>10074865055175</v>
      </c>
      <c r="V2929" s="51" t="s">
        <v>2365</v>
      </c>
      <c r="W2929" s="51" t="s">
        <v>5771</v>
      </c>
      <c r="X2929" s="51" t="s">
        <v>2359</v>
      </c>
    </row>
    <row r="2930" customFormat="false" ht="14.25" hidden="true" customHeight="false" outlineLevel="0" collapsed="false">
      <c r="A2930" s="49" t="s">
        <v>2349</v>
      </c>
      <c r="B2930" s="49" t="s">
        <v>2350</v>
      </c>
      <c r="C2930" s="49" t="s">
        <v>6217</v>
      </c>
      <c r="D2930" s="49" t="s">
        <v>2397</v>
      </c>
      <c r="E2930" s="49" t="str">
        <f aca="false">"10074865055175"</f>
        <v>10074865055175</v>
      </c>
      <c r="F2930" s="49" t="s">
        <v>5090</v>
      </c>
      <c r="G2930" s="49" t="n">
        <v>0</v>
      </c>
      <c r="H2930" s="0" t="n">
        <v>0</v>
      </c>
      <c r="M2930" s="51" t="s">
        <v>6162</v>
      </c>
      <c r="N2930" s="49" t="n">
        <v>0</v>
      </c>
      <c r="O2930" s="53" t="n">
        <v>45735.7232407407</v>
      </c>
      <c r="P2930" s="53" t="n">
        <v>45736.5201851852</v>
      </c>
      <c r="Q2930" s="53" t="n">
        <v>45735.7232407407</v>
      </c>
      <c r="R2930" s="0" t="n">
        <v>0</v>
      </c>
      <c r="S2930" s="51" t="s">
        <v>2376</v>
      </c>
      <c r="T2930" s="51" t="s">
        <v>2376</v>
      </c>
      <c r="U2930" s="0" t="str">
        <f aca="false">"10074865055175"</f>
        <v>10074865055175</v>
      </c>
      <c r="V2930" s="51" t="s">
        <v>2365</v>
      </c>
      <c r="W2930" s="51" t="s">
        <v>4771</v>
      </c>
      <c r="X2930" s="51" t="s">
        <v>2359</v>
      </c>
    </row>
    <row r="2931" customFormat="false" ht="14.25" hidden="true" customHeight="false" outlineLevel="0" collapsed="false">
      <c r="A2931" s="49" t="s">
        <v>2349</v>
      </c>
      <c r="B2931" s="49" t="s">
        <v>2350</v>
      </c>
      <c r="C2931" s="49" t="s">
        <v>6218</v>
      </c>
      <c r="D2931" s="49" t="s">
        <v>2397</v>
      </c>
      <c r="E2931" s="49" t="str">
        <f aca="false">"10074865055175"</f>
        <v>10074865055175</v>
      </c>
      <c r="F2931" s="49" t="s">
        <v>5090</v>
      </c>
      <c r="G2931" s="49" t="n">
        <v>0</v>
      </c>
      <c r="H2931" s="0" t="n">
        <v>0</v>
      </c>
      <c r="M2931" s="51" t="s">
        <v>6162</v>
      </c>
      <c r="N2931" s="49" t="n">
        <v>0</v>
      </c>
      <c r="O2931" s="53" t="n">
        <v>45735.723125</v>
      </c>
      <c r="P2931" s="53" t="n">
        <v>45736.5208680556</v>
      </c>
      <c r="Q2931" s="53" t="n">
        <v>45735.723125</v>
      </c>
      <c r="R2931" s="0" t="n">
        <v>0</v>
      </c>
      <c r="S2931" s="51" t="s">
        <v>2376</v>
      </c>
      <c r="T2931" s="51" t="s">
        <v>2376</v>
      </c>
      <c r="U2931" s="0" t="str">
        <f aca="false">"10074865055175"</f>
        <v>10074865055175</v>
      </c>
      <c r="V2931" s="51" t="s">
        <v>2365</v>
      </c>
      <c r="W2931" s="51" t="s">
        <v>5506</v>
      </c>
      <c r="X2931" s="51" t="s">
        <v>2359</v>
      </c>
    </row>
    <row r="2932" customFormat="false" ht="14.25" hidden="true" customHeight="false" outlineLevel="0" collapsed="false">
      <c r="A2932" s="49" t="s">
        <v>2349</v>
      </c>
      <c r="B2932" s="49" t="s">
        <v>2350</v>
      </c>
      <c r="C2932" s="49" t="s">
        <v>6219</v>
      </c>
      <c r="D2932" s="49" t="s">
        <v>2397</v>
      </c>
      <c r="E2932" s="49" t="str">
        <f aca="false">"10074865055175"</f>
        <v>10074865055175</v>
      </c>
      <c r="F2932" s="49" t="s">
        <v>5090</v>
      </c>
      <c r="G2932" s="49" t="n">
        <v>0</v>
      </c>
      <c r="H2932" s="0" t="n">
        <v>0</v>
      </c>
      <c r="M2932" s="51" t="s">
        <v>6162</v>
      </c>
      <c r="N2932" s="49" t="n">
        <v>0</v>
      </c>
      <c r="O2932" s="53" t="n">
        <v>45735.7230092593</v>
      </c>
      <c r="P2932" s="53" t="n">
        <v>45736.5215740741</v>
      </c>
      <c r="Q2932" s="53" t="n">
        <v>45735.7230092593</v>
      </c>
      <c r="R2932" s="0" t="n">
        <v>0</v>
      </c>
      <c r="S2932" s="51" t="s">
        <v>2376</v>
      </c>
      <c r="T2932" s="51" t="s">
        <v>2376</v>
      </c>
      <c r="U2932" s="0" t="str">
        <f aca="false">"10074865055175"</f>
        <v>10074865055175</v>
      </c>
      <c r="V2932" s="51" t="s">
        <v>2365</v>
      </c>
      <c r="W2932" s="51" t="s">
        <v>5222</v>
      </c>
      <c r="X2932" s="51" t="s">
        <v>2359</v>
      </c>
    </row>
    <row r="2933" customFormat="false" ht="14.25" hidden="true" customHeight="false" outlineLevel="0" collapsed="false">
      <c r="A2933" s="49" t="s">
        <v>2349</v>
      </c>
      <c r="B2933" s="49" t="s">
        <v>2350</v>
      </c>
      <c r="C2933" s="49" t="s">
        <v>6220</v>
      </c>
      <c r="D2933" s="49" t="s">
        <v>2397</v>
      </c>
      <c r="E2933" s="49" t="str">
        <f aca="false">"10074865055175"</f>
        <v>10074865055175</v>
      </c>
      <c r="F2933" s="49" t="s">
        <v>5090</v>
      </c>
      <c r="G2933" s="49" t="n">
        <v>0</v>
      </c>
      <c r="H2933" s="0" t="n">
        <v>0</v>
      </c>
      <c r="M2933" s="51" t="s">
        <v>6162</v>
      </c>
      <c r="N2933" s="49" t="n">
        <v>0</v>
      </c>
      <c r="O2933" s="53" t="n">
        <v>45735.7228356482</v>
      </c>
      <c r="P2933" s="53" t="n">
        <v>45736.5222685185</v>
      </c>
      <c r="Q2933" s="53" t="n">
        <v>45735.7228356482</v>
      </c>
      <c r="R2933" s="0" t="n">
        <v>0</v>
      </c>
      <c r="S2933" s="51" t="s">
        <v>2376</v>
      </c>
      <c r="T2933" s="51" t="s">
        <v>2376</v>
      </c>
      <c r="U2933" s="0" t="str">
        <f aca="false">"10074865055175"</f>
        <v>10074865055175</v>
      </c>
      <c r="V2933" s="51" t="s">
        <v>2365</v>
      </c>
      <c r="W2933" s="51" t="s">
        <v>4094</v>
      </c>
      <c r="X2933" s="51" t="s">
        <v>2359</v>
      </c>
    </row>
    <row r="2934" customFormat="false" ht="14.25" hidden="true" customHeight="false" outlineLevel="0" collapsed="false">
      <c r="A2934" s="49" t="s">
        <v>2349</v>
      </c>
      <c r="B2934" s="49" t="s">
        <v>2350</v>
      </c>
      <c r="C2934" s="49" t="s">
        <v>6221</v>
      </c>
      <c r="D2934" s="49" t="s">
        <v>2397</v>
      </c>
      <c r="E2934" s="49" t="str">
        <f aca="false">"10074865055175"</f>
        <v>10074865055175</v>
      </c>
      <c r="F2934" s="49" t="s">
        <v>5090</v>
      </c>
      <c r="G2934" s="49" t="n">
        <v>0</v>
      </c>
      <c r="H2934" s="0" t="n">
        <v>0</v>
      </c>
      <c r="M2934" s="51" t="s">
        <v>6162</v>
      </c>
      <c r="N2934" s="49" t="n">
        <v>0</v>
      </c>
      <c r="O2934" s="53" t="n">
        <v>45735.7226967593</v>
      </c>
      <c r="P2934" s="53" t="n">
        <v>45736.5228356481</v>
      </c>
      <c r="Q2934" s="53" t="n">
        <v>45735.7226967593</v>
      </c>
      <c r="R2934" s="0" t="n">
        <v>0</v>
      </c>
      <c r="S2934" s="51" t="s">
        <v>2376</v>
      </c>
      <c r="T2934" s="51" t="s">
        <v>2376</v>
      </c>
      <c r="U2934" s="0" t="str">
        <f aca="false">"10074865055175"</f>
        <v>10074865055175</v>
      </c>
      <c r="V2934" s="51" t="s">
        <v>2365</v>
      </c>
      <c r="W2934" s="51" t="s">
        <v>5186</v>
      </c>
      <c r="X2934" s="51" t="s">
        <v>2359</v>
      </c>
    </row>
    <row r="2935" customFormat="false" ht="14.25" hidden="true" customHeight="false" outlineLevel="0" collapsed="false">
      <c r="A2935" s="49" t="s">
        <v>2349</v>
      </c>
      <c r="B2935" s="49" t="s">
        <v>2350</v>
      </c>
      <c r="C2935" s="49" t="s">
        <v>6222</v>
      </c>
      <c r="D2935" s="49" t="s">
        <v>2397</v>
      </c>
      <c r="E2935" s="49" t="str">
        <f aca="false">"10074865055175"</f>
        <v>10074865055175</v>
      </c>
      <c r="F2935" s="49" t="s">
        <v>5090</v>
      </c>
      <c r="G2935" s="49" t="n">
        <v>0</v>
      </c>
      <c r="H2935" s="0" t="n">
        <v>0</v>
      </c>
      <c r="M2935" s="51" t="s">
        <v>6162</v>
      </c>
      <c r="N2935" s="49" t="n">
        <v>0</v>
      </c>
      <c r="O2935" s="53" t="n">
        <v>45735.7217592593</v>
      </c>
      <c r="P2935" s="53" t="n">
        <v>45736.5234143519</v>
      </c>
      <c r="Q2935" s="53" t="n">
        <v>45735.7217592593</v>
      </c>
      <c r="R2935" s="0" t="n">
        <v>0</v>
      </c>
      <c r="S2935" s="51" t="s">
        <v>2376</v>
      </c>
      <c r="T2935" s="51" t="s">
        <v>2376</v>
      </c>
      <c r="U2935" s="0" t="str">
        <f aca="false">"10074865055175"</f>
        <v>10074865055175</v>
      </c>
      <c r="V2935" s="51" t="s">
        <v>2365</v>
      </c>
      <c r="W2935" s="51" t="s">
        <v>5190</v>
      </c>
      <c r="X2935" s="51" t="s">
        <v>2359</v>
      </c>
    </row>
    <row r="2936" customFormat="false" ht="14.25" hidden="true" customHeight="false" outlineLevel="0" collapsed="false">
      <c r="A2936" s="49" t="s">
        <v>2349</v>
      </c>
      <c r="B2936" s="49" t="s">
        <v>2350</v>
      </c>
      <c r="C2936" s="49" t="s">
        <v>6223</v>
      </c>
      <c r="D2936" s="49" t="s">
        <v>2397</v>
      </c>
      <c r="E2936" s="49" t="str">
        <f aca="false">"10074865055175"</f>
        <v>10074865055175</v>
      </c>
      <c r="F2936" s="49" t="s">
        <v>5090</v>
      </c>
      <c r="G2936" s="49" t="n">
        <v>0</v>
      </c>
      <c r="H2936" s="0" t="n">
        <v>0</v>
      </c>
      <c r="M2936" s="51" t="s">
        <v>6162</v>
      </c>
      <c r="N2936" s="49" t="n">
        <v>0</v>
      </c>
      <c r="O2936" s="53" t="n">
        <v>45735.7215856482</v>
      </c>
      <c r="P2936" s="53" t="n">
        <v>45736.5238657407</v>
      </c>
      <c r="Q2936" s="53" t="n">
        <v>45735.7215856482</v>
      </c>
      <c r="R2936" s="0" t="n">
        <v>0</v>
      </c>
      <c r="S2936" s="51" t="s">
        <v>2376</v>
      </c>
      <c r="T2936" s="51" t="s">
        <v>2376</v>
      </c>
      <c r="U2936" s="0" t="str">
        <f aca="false">"10074865055175"</f>
        <v>10074865055175</v>
      </c>
      <c r="V2936" s="51" t="s">
        <v>2365</v>
      </c>
      <c r="W2936" s="51" t="s">
        <v>5281</v>
      </c>
      <c r="X2936" s="51" t="s">
        <v>2359</v>
      </c>
    </row>
    <row r="2937" customFormat="false" ht="14.25" hidden="true" customHeight="false" outlineLevel="0" collapsed="false">
      <c r="A2937" s="49" t="s">
        <v>2349</v>
      </c>
      <c r="B2937" s="49" t="s">
        <v>2350</v>
      </c>
      <c r="C2937" s="49" t="s">
        <v>6224</v>
      </c>
      <c r="D2937" s="49" t="s">
        <v>2397</v>
      </c>
      <c r="E2937" s="49" t="str">
        <f aca="false">"10074865055175"</f>
        <v>10074865055175</v>
      </c>
      <c r="F2937" s="49" t="s">
        <v>5090</v>
      </c>
      <c r="G2937" s="49" t="n">
        <v>0</v>
      </c>
      <c r="H2937" s="0" t="n">
        <v>0</v>
      </c>
      <c r="M2937" s="51" t="s">
        <v>6162</v>
      </c>
      <c r="N2937" s="49" t="n">
        <v>0</v>
      </c>
      <c r="O2937" s="53" t="n">
        <v>45735.7220601852</v>
      </c>
      <c r="P2937" s="53" t="n">
        <v>45736.5240856482</v>
      </c>
      <c r="Q2937" s="53" t="n">
        <v>45735.7220601852</v>
      </c>
      <c r="R2937" s="0" t="n">
        <v>0</v>
      </c>
      <c r="S2937" s="51" t="s">
        <v>2376</v>
      </c>
      <c r="T2937" s="51" t="s">
        <v>2376</v>
      </c>
      <c r="U2937" s="0" t="str">
        <f aca="false">"10074865055175"</f>
        <v>10074865055175</v>
      </c>
      <c r="V2937" s="51" t="s">
        <v>2365</v>
      </c>
      <c r="W2937" s="51" t="s">
        <v>5283</v>
      </c>
      <c r="X2937" s="51" t="s">
        <v>2359</v>
      </c>
    </row>
    <row r="2938" customFormat="false" ht="14.25" hidden="true" customHeight="false" outlineLevel="0" collapsed="false">
      <c r="A2938" s="49" t="s">
        <v>2349</v>
      </c>
      <c r="B2938" s="49" t="s">
        <v>2350</v>
      </c>
      <c r="C2938" s="49" t="s">
        <v>6225</v>
      </c>
      <c r="D2938" s="49" t="s">
        <v>2352</v>
      </c>
      <c r="E2938" s="49" t="str">
        <f aca="false">"10074865055175"</f>
        <v>10074865055175</v>
      </c>
      <c r="F2938" s="49" t="s">
        <v>5090</v>
      </c>
      <c r="G2938" s="49" t="n">
        <v>0</v>
      </c>
      <c r="H2938" s="0" t="n">
        <v>0</v>
      </c>
      <c r="M2938" s="51" t="s">
        <v>6226</v>
      </c>
      <c r="N2938" s="49" t="n">
        <v>0</v>
      </c>
      <c r="O2938" s="53" t="n">
        <v>45743.5897916667</v>
      </c>
      <c r="P2938" s="53" t="n">
        <v>45819.5661226852</v>
      </c>
      <c r="Q2938" s="53" t="n">
        <v>45743.5897916667</v>
      </c>
      <c r="R2938" s="0" t="n">
        <v>0</v>
      </c>
      <c r="S2938" s="51" t="s">
        <v>2383</v>
      </c>
      <c r="T2938" s="51" t="s">
        <v>2383</v>
      </c>
      <c r="U2938" s="0" t="str">
        <f aca="false">"10074865055175"</f>
        <v>10074865055175</v>
      </c>
      <c r="V2938" s="51" t="s">
        <v>2365</v>
      </c>
      <c r="W2938" s="51" t="s">
        <v>6227</v>
      </c>
      <c r="X2938" s="51" t="s">
        <v>2359</v>
      </c>
    </row>
    <row r="2939" customFormat="false" ht="14.25" hidden="true" customHeight="false" outlineLevel="0" collapsed="false">
      <c r="A2939" s="49" t="s">
        <v>2349</v>
      </c>
      <c r="B2939" s="49" t="s">
        <v>2350</v>
      </c>
      <c r="C2939" s="49" t="s">
        <v>6228</v>
      </c>
      <c r="D2939" s="49" t="s">
        <v>2352</v>
      </c>
      <c r="E2939" s="49" t="str">
        <f aca="false">"10074865055175"</f>
        <v>10074865055175</v>
      </c>
      <c r="F2939" s="49" t="s">
        <v>5090</v>
      </c>
      <c r="G2939" s="49" t="n">
        <v>0</v>
      </c>
      <c r="H2939" s="0" t="n">
        <v>0</v>
      </c>
      <c r="M2939" s="51" t="s">
        <v>6226</v>
      </c>
      <c r="N2939" s="49" t="n">
        <v>0</v>
      </c>
      <c r="O2939" s="53" t="n">
        <v>45743.5893518519</v>
      </c>
      <c r="P2939" s="53" t="n">
        <v>45819.562662037</v>
      </c>
      <c r="Q2939" s="53" t="n">
        <v>45743.5893518519</v>
      </c>
      <c r="R2939" s="0" t="n">
        <v>0</v>
      </c>
      <c r="S2939" s="51" t="s">
        <v>2383</v>
      </c>
      <c r="T2939" s="51" t="s">
        <v>2383</v>
      </c>
      <c r="U2939" s="0" t="str">
        <f aca="false">"10074865055175"</f>
        <v>10074865055175</v>
      </c>
      <c r="V2939" s="51" t="s">
        <v>2365</v>
      </c>
      <c r="W2939" s="51" t="s">
        <v>4824</v>
      </c>
      <c r="X2939" s="51" t="s">
        <v>2359</v>
      </c>
    </row>
    <row r="2940" customFormat="false" ht="14.25" hidden="true" customHeight="false" outlineLevel="0" collapsed="false">
      <c r="A2940" s="49" t="s">
        <v>2349</v>
      </c>
      <c r="B2940" s="49" t="s">
        <v>2350</v>
      </c>
      <c r="C2940" s="49" t="s">
        <v>6229</v>
      </c>
      <c r="D2940" s="49" t="s">
        <v>2352</v>
      </c>
      <c r="E2940" s="49" t="str">
        <f aca="false">"10074865055175"</f>
        <v>10074865055175</v>
      </c>
      <c r="F2940" s="49" t="s">
        <v>5090</v>
      </c>
      <c r="G2940" s="49" t="n">
        <v>0</v>
      </c>
      <c r="H2940" s="0" t="n">
        <v>0</v>
      </c>
      <c r="M2940" s="51" t="s">
        <v>6226</v>
      </c>
      <c r="N2940" s="49" t="n">
        <v>0</v>
      </c>
      <c r="O2940" s="53" t="n">
        <v>45743.5891666667</v>
      </c>
      <c r="P2940" s="53" t="n">
        <v>45822.8583333333</v>
      </c>
      <c r="Q2940" s="53" t="n">
        <v>45743.5891666667</v>
      </c>
      <c r="R2940" s="0" t="n">
        <v>0</v>
      </c>
      <c r="S2940" s="51" t="s">
        <v>2383</v>
      </c>
      <c r="T2940" s="51" t="s">
        <v>2383</v>
      </c>
      <c r="U2940" s="0" t="str">
        <f aca="false">"10074865055175"</f>
        <v>10074865055175</v>
      </c>
      <c r="V2940" s="51" t="s">
        <v>2365</v>
      </c>
      <c r="W2940" s="51" t="s">
        <v>6168</v>
      </c>
      <c r="X2940" s="51" t="s">
        <v>2359</v>
      </c>
    </row>
    <row r="2941" customFormat="false" ht="14.25" hidden="true" customHeight="false" outlineLevel="0" collapsed="false">
      <c r="A2941" s="49" t="s">
        <v>2349</v>
      </c>
      <c r="B2941" s="49" t="s">
        <v>2350</v>
      </c>
      <c r="C2941" s="49" t="s">
        <v>6230</v>
      </c>
      <c r="D2941" s="49" t="s">
        <v>2352</v>
      </c>
      <c r="E2941" s="49" t="str">
        <f aca="false">"10074865055175"</f>
        <v>10074865055175</v>
      </c>
      <c r="F2941" s="49" t="s">
        <v>5090</v>
      </c>
      <c r="G2941" s="49" t="n">
        <v>0</v>
      </c>
      <c r="H2941" s="0" t="n">
        <v>0</v>
      </c>
      <c r="M2941" s="51" t="s">
        <v>6226</v>
      </c>
      <c r="N2941" s="49" t="n">
        <v>0</v>
      </c>
      <c r="O2941" s="53" t="n">
        <v>45743.5888425926</v>
      </c>
      <c r="P2941" s="53" t="n">
        <v>45822.8559259259</v>
      </c>
      <c r="Q2941" s="53" t="n">
        <v>45743.5888425926</v>
      </c>
      <c r="R2941" s="0" t="n">
        <v>0</v>
      </c>
      <c r="S2941" s="51" t="s">
        <v>2383</v>
      </c>
      <c r="T2941" s="51" t="s">
        <v>2383</v>
      </c>
      <c r="U2941" s="0" t="str">
        <f aca="false">"10074865055175"</f>
        <v>10074865055175</v>
      </c>
      <c r="V2941" s="51" t="s">
        <v>2365</v>
      </c>
      <c r="W2941" s="51" t="s">
        <v>5377</v>
      </c>
      <c r="X2941" s="51" t="s">
        <v>2359</v>
      </c>
    </row>
    <row r="2942" customFormat="false" ht="14.25" hidden="true" customHeight="false" outlineLevel="0" collapsed="false">
      <c r="A2942" s="49" t="s">
        <v>2349</v>
      </c>
      <c r="B2942" s="49" t="s">
        <v>2350</v>
      </c>
      <c r="C2942" s="49" t="s">
        <v>6231</v>
      </c>
      <c r="D2942" s="49" t="s">
        <v>2352</v>
      </c>
      <c r="E2942" s="49" t="str">
        <f aca="false">"10074865055175"</f>
        <v>10074865055175</v>
      </c>
      <c r="F2942" s="49" t="s">
        <v>5090</v>
      </c>
      <c r="G2942" s="49" t="n">
        <v>0</v>
      </c>
      <c r="H2942" s="0" t="n">
        <v>0</v>
      </c>
      <c r="M2942" s="51" t="s">
        <v>6226</v>
      </c>
      <c r="N2942" s="49" t="n">
        <v>0</v>
      </c>
      <c r="O2942" s="53" t="n">
        <v>45743.5890046296</v>
      </c>
      <c r="P2942" s="53" t="n">
        <v>45822.8553819444</v>
      </c>
      <c r="Q2942" s="53" t="n">
        <v>45743.5890046296</v>
      </c>
      <c r="R2942" s="0" t="n">
        <v>0</v>
      </c>
      <c r="S2942" s="51" t="s">
        <v>2383</v>
      </c>
      <c r="T2942" s="51" t="s">
        <v>2383</v>
      </c>
      <c r="U2942" s="0" t="str">
        <f aca="false">"10074865055175"</f>
        <v>10074865055175</v>
      </c>
      <c r="V2942" s="51" t="s">
        <v>2365</v>
      </c>
      <c r="W2942" s="51" t="s">
        <v>6232</v>
      </c>
      <c r="X2942" s="51" t="s">
        <v>2359</v>
      </c>
    </row>
    <row r="2943" customFormat="false" ht="14.25" hidden="true" customHeight="false" outlineLevel="0" collapsed="false">
      <c r="A2943" s="49" t="s">
        <v>2349</v>
      </c>
      <c r="B2943" s="49" t="s">
        <v>2350</v>
      </c>
      <c r="C2943" s="49" t="s">
        <v>6233</v>
      </c>
      <c r="D2943" s="49" t="s">
        <v>2352</v>
      </c>
      <c r="E2943" s="49" t="str">
        <f aca="false">"10074865055175"</f>
        <v>10074865055175</v>
      </c>
      <c r="F2943" s="49" t="s">
        <v>5090</v>
      </c>
      <c r="G2943" s="49" t="n">
        <v>0</v>
      </c>
      <c r="H2943" s="0" t="n">
        <v>0</v>
      </c>
      <c r="M2943" s="51" t="s">
        <v>6226</v>
      </c>
      <c r="N2943" s="49" t="n">
        <v>0</v>
      </c>
      <c r="O2943" s="53" t="n">
        <v>45743.5903125</v>
      </c>
      <c r="P2943" s="53" t="n">
        <v>45819.4807291667</v>
      </c>
      <c r="Q2943" s="53" t="n">
        <v>45743.5903125</v>
      </c>
      <c r="R2943" s="0" t="n">
        <v>0</v>
      </c>
      <c r="S2943" s="51" t="s">
        <v>2383</v>
      </c>
      <c r="T2943" s="51" t="s">
        <v>2383</v>
      </c>
      <c r="U2943" s="0" t="str">
        <f aca="false">"10074865055175"</f>
        <v>10074865055175</v>
      </c>
      <c r="V2943" s="51" t="s">
        <v>2365</v>
      </c>
      <c r="W2943" s="51" t="s">
        <v>6234</v>
      </c>
      <c r="X2943" s="51" t="s">
        <v>2359</v>
      </c>
    </row>
    <row r="2944" customFormat="false" ht="14.25" hidden="true" customHeight="false" outlineLevel="0" collapsed="false">
      <c r="A2944" s="49" t="s">
        <v>2349</v>
      </c>
      <c r="B2944" s="49" t="s">
        <v>2350</v>
      </c>
      <c r="C2944" s="49" t="s">
        <v>6235</v>
      </c>
      <c r="D2944" s="49" t="s">
        <v>2352</v>
      </c>
      <c r="E2944" s="49" t="str">
        <f aca="false">"10074865055175"</f>
        <v>10074865055175</v>
      </c>
      <c r="F2944" s="49" t="s">
        <v>5090</v>
      </c>
      <c r="G2944" s="49" t="n">
        <v>0</v>
      </c>
      <c r="H2944" s="0" t="n">
        <v>0</v>
      </c>
      <c r="M2944" s="51" t="s">
        <v>6226</v>
      </c>
      <c r="N2944" s="49" t="n">
        <v>0</v>
      </c>
      <c r="O2944" s="53" t="n">
        <v>45743.5904861111</v>
      </c>
      <c r="P2944" s="53" t="n">
        <v>45822.8613425926</v>
      </c>
      <c r="Q2944" s="53" t="n">
        <v>45743.5904861111</v>
      </c>
      <c r="R2944" s="0" t="n">
        <v>0</v>
      </c>
      <c r="S2944" s="51" t="s">
        <v>2383</v>
      </c>
      <c r="T2944" s="51" t="s">
        <v>2383</v>
      </c>
      <c r="U2944" s="0" t="str">
        <f aca="false">"10074865055175"</f>
        <v>10074865055175</v>
      </c>
      <c r="V2944" s="51" t="s">
        <v>2365</v>
      </c>
      <c r="W2944" s="51" t="s">
        <v>5281</v>
      </c>
      <c r="X2944" s="51" t="s">
        <v>2359</v>
      </c>
    </row>
    <row r="2945" customFormat="false" ht="14.25" hidden="true" customHeight="false" outlineLevel="0" collapsed="false">
      <c r="A2945" s="49" t="s">
        <v>2349</v>
      </c>
      <c r="B2945" s="49" t="s">
        <v>2350</v>
      </c>
      <c r="C2945" s="49" t="s">
        <v>6236</v>
      </c>
      <c r="D2945" s="49" t="s">
        <v>2352</v>
      </c>
      <c r="E2945" s="49" t="str">
        <f aca="false">"10074865055175"</f>
        <v>10074865055175</v>
      </c>
      <c r="F2945" s="49" t="s">
        <v>5090</v>
      </c>
      <c r="G2945" s="49" t="n">
        <v>0</v>
      </c>
      <c r="H2945" s="0" t="n">
        <v>0</v>
      </c>
      <c r="M2945" s="51" t="s">
        <v>6226</v>
      </c>
      <c r="N2945" s="49" t="n">
        <v>0</v>
      </c>
      <c r="O2945" s="53" t="n">
        <v>45743.5907291667</v>
      </c>
      <c r="P2945" s="53" t="n">
        <v>45819.6042824074</v>
      </c>
      <c r="Q2945" s="53" t="n">
        <v>45743.5907291667</v>
      </c>
      <c r="R2945" s="0" t="n">
        <v>0</v>
      </c>
      <c r="S2945" s="51" t="s">
        <v>2383</v>
      </c>
      <c r="T2945" s="51" t="s">
        <v>2383</v>
      </c>
      <c r="U2945" s="0" t="str">
        <f aca="false">"10074865055175"</f>
        <v>10074865055175</v>
      </c>
      <c r="V2945" s="51" t="s">
        <v>2365</v>
      </c>
      <c r="W2945" s="51" t="s">
        <v>4820</v>
      </c>
      <c r="X2945" s="51" t="s">
        <v>2359</v>
      </c>
    </row>
    <row r="2946" customFormat="false" ht="14.25" hidden="true" customHeight="false" outlineLevel="0" collapsed="false">
      <c r="A2946" s="49" t="s">
        <v>2349</v>
      </c>
      <c r="B2946" s="49" t="s">
        <v>2350</v>
      </c>
      <c r="C2946" s="49" t="s">
        <v>6237</v>
      </c>
      <c r="D2946" s="49" t="s">
        <v>2352</v>
      </c>
      <c r="E2946" s="49" t="str">
        <f aca="false">"10074865055175"</f>
        <v>10074865055175</v>
      </c>
      <c r="F2946" s="49" t="s">
        <v>5090</v>
      </c>
      <c r="G2946" s="49" t="n">
        <v>0</v>
      </c>
      <c r="H2946" s="0" t="n">
        <v>0</v>
      </c>
      <c r="M2946" s="51" t="s">
        <v>6226</v>
      </c>
      <c r="N2946" s="49" t="n">
        <v>0</v>
      </c>
      <c r="O2946" s="53" t="n">
        <v>45743.5914351852</v>
      </c>
      <c r="P2946" s="53" t="n">
        <v>45819.5644212963</v>
      </c>
      <c r="Q2946" s="53" t="n">
        <v>45743.5914351852</v>
      </c>
      <c r="R2946" s="0" t="n">
        <v>0</v>
      </c>
      <c r="S2946" s="51" t="s">
        <v>2383</v>
      </c>
      <c r="T2946" s="51" t="s">
        <v>2383</v>
      </c>
      <c r="U2946" s="0" t="str">
        <f aca="false">"10074865055175"</f>
        <v>10074865055175</v>
      </c>
      <c r="V2946" s="51" t="s">
        <v>2365</v>
      </c>
      <c r="W2946" s="51" t="s">
        <v>6238</v>
      </c>
      <c r="X2946" s="51" t="s">
        <v>2359</v>
      </c>
    </row>
    <row r="2947" customFormat="false" ht="14.25" hidden="true" customHeight="false" outlineLevel="0" collapsed="false">
      <c r="A2947" s="49" t="s">
        <v>2349</v>
      </c>
      <c r="B2947" s="49" t="s">
        <v>2350</v>
      </c>
      <c r="C2947" s="49" t="s">
        <v>6239</v>
      </c>
      <c r="D2947" s="49" t="s">
        <v>2352</v>
      </c>
      <c r="E2947" s="49" t="str">
        <f aca="false">"10074865055175"</f>
        <v>10074865055175</v>
      </c>
      <c r="F2947" s="49" t="s">
        <v>5090</v>
      </c>
      <c r="G2947" s="49" t="n">
        <v>0</v>
      </c>
      <c r="H2947" s="0" t="n">
        <v>0</v>
      </c>
      <c r="M2947" s="51" t="s">
        <v>6226</v>
      </c>
      <c r="N2947" s="49" t="n">
        <v>0</v>
      </c>
      <c r="O2947" s="53" t="n">
        <v>45743.5912615741</v>
      </c>
      <c r="P2947" s="53" t="n">
        <v>45771.8647106482</v>
      </c>
      <c r="Q2947" s="53" t="n">
        <v>45743.5912615741</v>
      </c>
      <c r="R2947" s="0" t="n">
        <v>0</v>
      </c>
      <c r="S2947" s="51" t="s">
        <v>2383</v>
      </c>
      <c r="T2947" s="51" t="s">
        <v>2383</v>
      </c>
      <c r="U2947" s="0" t="str">
        <f aca="false">"10074865055175"</f>
        <v>10074865055175</v>
      </c>
      <c r="V2947" s="51" t="s">
        <v>2365</v>
      </c>
      <c r="W2947" s="51" t="s">
        <v>6240</v>
      </c>
      <c r="X2947" s="51" t="s">
        <v>2359</v>
      </c>
    </row>
    <row r="2948" customFormat="false" ht="14.25" hidden="true" customHeight="false" outlineLevel="0" collapsed="false">
      <c r="A2948" s="49" t="s">
        <v>2349</v>
      </c>
      <c r="B2948" s="49" t="s">
        <v>2350</v>
      </c>
      <c r="C2948" s="49" t="s">
        <v>6241</v>
      </c>
      <c r="D2948" s="49" t="s">
        <v>2352</v>
      </c>
      <c r="E2948" s="49" t="str">
        <f aca="false">"10074865055175"</f>
        <v>10074865055175</v>
      </c>
      <c r="F2948" s="49" t="s">
        <v>5090</v>
      </c>
      <c r="G2948" s="49" t="n">
        <v>0</v>
      </c>
      <c r="H2948" s="0" t="n">
        <v>0</v>
      </c>
      <c r="M2948" s="51" t="s">
        <v>6226</v>
      </c>
      <c r="N2948" s="49" t="n">
        <v>0</v>
      </c>
      <c r="O2948" s="53" t="n">
        <v>45743.591087963</v>
      </c>
      <c r="P2948" s="53" t="n">
        <v>45819.5555092593</v>
      </c>
      <c r="Q2948" s="53" t="n">
        <v>45743.591087963</v>
      </c>
      <c r="R2948" s="0" t="n">
        <v>0</v>
      </c>
      <c r="S2948" s="51" t="s">
        <v>2383</v>
      </c>
      <c r="T2948" s="51" t="s">
        <v>2383</v>
      </c>
      <c r="U2948" s="0" t="str">
        <f aca="false">"10074865055175"</f>
        <v>10074865055175</v>
      </c>
      <c r="V2948" s="51" t="s">
        <v>2365</v>
      </c>
      <c r="W2948" s="51" t="s">
        <v>6000</v>
      </c>
      <c r="X2948" s="51" t="s">
        <v>2359</v>
      </c>
    </row>
    <row r="2949" customFormat="false" ht="14.25" hidden="true" customHeight="false" outlineLevel="0" collapsed="false">
      <c r="A2949" s="49" t="s">
        <v>2349</v>
      </c>
      <c r="B2949" s="49" t="s">
        <v>2350</v>
      </c>
      <c r="C2949" s="49" t="s">
        <v>6242</v>
      </c>
      <c r="D2949" s="49" t="s">
        <v>2352</v>
      </c>
      <c r="E2949" s="49" t="str">
        <f aca="false">"10074865055175"</f>
        <v>10074865055175</v>
      </c>
      <c r="F2949" s="49" t="s">
        <v>5090</v>
      </c>
      <c r="G2949" s="49" t="n">
        <v>0</v>
      </c>
      <c r="H2949" s="0" t="n">
        <v>0</v>
      </c>
      <c r="M2949" s="51" t="s">
        <v>6226</v>
      </c>
      <c r="N2949" s="49" t="n">
        <v>0</v>
      </c>
      <c r="O2949" s="53" t="n">
        <v>45743.5909027778</v>
      </c>
      <c r="P2949" s="53" t="n">
        <v>45819.4793981482</v>
      </c>
      <c r="Q2949" s="53" t="n">
        <v>45743.5909027778</v>
      </c>
      <c r="R2949" s="0" t="n">
        <v>0</v>
      </c>
      <c r="S2949" s="51" t="s">
        <v>2383</v>
      </c>
      <c r="T2949" s="51" t="s">
        <v>2383</v>
      </c>
      <c r="U2949" s="0" t="str">
        <f aca="false">"10074865055175"</f>
        <v>10074865055175</v>
      </c>
      <c r="V2949" s="51" t="s">
        <v>2365</v>
      </c>
      <c r="W2949" s="51" t="s">
        <v>6243</v>
      </c>
      <c r="X2949" s="51" t="s">
        <v>2359</v>
      </c>
    </row>
    <row r="2950" customFormat="false" ht="14.25" hidden="true" customHeight="false" outlineLevel="0" collapsed="false">
      <c r="A2950" s="49" t="s">
        <v>2349</v>
      </c>
      <c r="B2950" s="49" t="s">
        <v>2350</v>
      </c>
      <c r="C2950" s="49" t="s">
        <v>6244</v>
      </c>
      <c r="D2950" s="49" t="s">
        <v>2352</v>
      </c>
      <c r="E2950" s="49" t="str">
        <f aca="false">"10074865055175"</f>
        <v>10074865055175</v>
      </c>
      <c r="F2950" s="49" t="s">
        <v>5090</v>
      </c>
      <c r="G2950" s="49" t="n">
        <v>0</v>
      </c>
      <c r="H2950" s="0" t="n">
        <v>0</v>
      </c>
      <c r="M2950" s="51" t="s">
        <v>6226</v>
      </c>
      <c r="N2950" s="49" t="n">
        <v>0</v>
      </c>
      <c r="O2950" s="53" t="n">
        <v>45743.5915856482</v>
      </c>
      <c r="P2950" s="53" t="n">
        <v>45822.8517013889</v>
      </c>
      <c r="Q2950" s="53" t="n">
        <v>45743.5915856482</v>
      </c>
      <c r="R2950" s="0" t="n">
        <v>0</v>
      </c>
      <c r="S2950" s="51" t="s">
        <v>2383</v>
      </c>
      <c r="T2950" s="51" t="s">
        <v>2383</v>
      </c>
      <c r="U2950" s="0" t="str">
        <f aca="false">"10074865055175"</f>
        <v>10074865055175</v>
      </c>
      <c r="V2950" s="51" t="s">
        <v>2365</v>
      </c>
      <c r="W2950" s="51" t="s">
        <v>6185</v>
      </c>
      <c r="X2950" s="51" t="s">
        <v>2359</v>
      </c>
    </row>
    <row r="2951" customFormat="false" ht="14.25" hidden="true" customHeight="false" outlineLevel="0" collapsed="false">
      <c r="A2951" s="49" t="s">
        <v>2349</v>
      </c>
      <c r="B2951" s="49" t="s">
        <v>2350</v>
      </c>
      <c r="C2951" s="49" t="s">
        <v>6245</v>
      </c>
      <c r="D2951" s="49" t="s">
        <v>2352</v>
      </c>
      <c r="E2951" s="49" t="str">
        <f aca="false">"10074865055175"</f>
        <v>10074865055175</v>
      </c>
      <c r="F2951" s="49" t="s">
        <v>5090</v>
      </c>
      <c r="G2951" s="49" t="n">
        <v>0</v>
      </c>
      <c r="H2951" s="0" t="n">
        <v>0</v>
      </c>
      <c r="M2951" s="51" t="s">
        <v>6226</v>
      </c>
      <c r="N2951" s="49" t="n">
        <v>0</v>
      </c>
      <c r="O2951" s="53" t="n">
        <v>45743.5920138889</v>
      </c>
      <c r="P2951" s="53" t="n">
        <v>45819.5595023148</v>
      </c>
      <c r="Q2951" s="53" t="n">
        <v>45743.5920138889</v>
      </c>
      <c r="R2951" s="0" t="n">
        <v>0</v>
      </c>
      <c r="S2951" s="51" t="s">
        <v>2383</v>
      </c>
      <c r="T2951" s="51" t="s">
        <v>2383</v>
      </c>
      <c r="U2951" s="0" t="str">
        <f aca="false">"10074865055175"</f>
        <v>10074865055175</v>
      </c>
      <c r="V2951" s="51" t="s">
        <v>2365</v>
      </c>
      <c r="W2951" s="51" t="s">
        <v>6246</v>
      </c>
      <c r="X2951" s="51" t="s">
        <v>2359</v>
      </c>
    </row>
    <row r="2952" customFormat="false" ht="14.25" hidden="true" customHeight="false" outlineLevel="0" collapsed="false">
      <c r="A2952" s="49" t="s">
        <v>2349</v>
      </c>
      <c r="B2952" s="49" t="s">
        <v>2350</v>
      </c>
      <c r="C2952" s="49" t="s">
        <v>6247</v>
      </c>
      <c r="D2952" s="49" t="s">
        <v>2352</v>
      </c>
      <c r="E2952" s="49" t="str">
        <f aca="false">"10074865055175"</f>
        <v>10074865055175</v>
      </c>
      <c r="F2952" s="49" t="s">
        <v>5090</v>
      </c>
      <c r="G2952" s="49" t="n">
        <v>0</v>
      </c>
      <c r="H2952" s="0" t="n">
        <v>0</v>
      </c>
      <c r="M2952" s="51" t="s">
        <v>6226</v>
      </c>
      <c r="N2952" s="49" t="n">
        <v>0</v>
      </c>
      <c r="O2952" s="53" t="n">
        <v>45743.5917361111</v>
      </c>
      <c r="P2952" s="53" t="n">
        <v>45822.8603240741</v>
      </c>
      <c r="Q2952" s="53" t="n">
        <v>45743.5917361111</v>
      </c>
      <c r="R2952" s="0" t="n">
        <v>0</v>
      </c>
      <c r="S2952" s="51" t="s">
        <v>2383</v>
      </c>
      <c r="T2952" s="51" t="s">
        <v>2383</v>
      </c>
      <c r="U2952" s="0" t="str">
        <f aca="false">"10074865055175"</f>
        <v>10074865055175</v>
      </c>
      <c r="V2952" s="51" t="s">
        <v>2365</v>
      </c>
      <c r="W2952" s="51" t="s">
        <v>5311</v>
      </c>
      <c r="X2952" s="51" t="s">
        <v>2359</v>
      </c>
    </row>
    <row r="2953" customFormat="false" ht="14.25" hidden="true" customHeight="false" outlineLevel="0" collapsed="false">
      <c r="A2953" s="49" t="s">
        <v>2349</v>
      </c>
      <c r="B2953" s="49" t="s">
        <v>2350</v>
      </c>
      <c r="C2953" s="49" t="s">
        <v>6248</v>
      </c>
      <c r="D2953" s="49" t="s">
        <v>2352</v>
      </c>
      <c r="E2953" s="49" t="str">
        <f aca="false">"10074865055175"</f>
        <v>10074865055175</v>
      </c>
      <c r="F2953" s="49" t="s">
        <v>5090</v>
      </c>
      <c r="G2953" s="49" t="n">
        <v>0</v>
      </c>
      <c r="H2953" s="0" t="n">
        <v>0</v>
      </c>
      <c r="M2953" s="51" t="s">
        <v>6226</v>
      </c>
      <c r="N2953" s="49" t="n">
        <v>0</v>
      </c>
      <c r="O2953" s="53" t="n">
        <v>45743.5923148148</v>
      </c>
      <c r="P2953" s="53" t="n">
        <v>45819.557650463</v>
      </c>
      <c r="Q2953" s="53" t="n">
        <v>45743.5923148148</v>
      </c>
      <c r="R2953" s="0" t="n">
        <v>0</v>
      </c>
      <c r="S2953" s="51" t="s">
        <v>2383</v>
      </c>
      <c r="T2953" s="51" t="s">
        <v>2383</v>
      </c>
      <c r="U2953" s="0" t="str">
        <f aca="false">"10074865055175"</f>
        <v>10074865055175</v>
      </c>
      <c r="V2953" s="51" t="s">
        <v>2365</v>
      </c>
      <c r="W2953" s="51" t="s">
        <v>6249</v>
      </c>
      <c r="X2953" s="51" t="s">
        <v>2359</v>
      </c>
    </row>
    <row r="2954" customFormat="false" ht="14.25" hidden="true" customHeight="false" outlineLevel="0" collapsed="false">
      <c r="A2954" s="49" t="s">
        <v>2349</v>
      </c>
      <c r="B2954" s="49" t="s">
        <v>2350</v>
      </c>
      <c r="C2954" s="49" t="s">
        <v>6250</v>
      </c>
      <c r="D2954" s="49" t="s">
        <v>2352</v>
      </c>
      <c r="E2954" s="49" t="str">
        <f aca="false">"10074865055175"</f>
        <v>10074865055175</v>
      </c>
      <c r="F2954" s="49" t="s">
        <v>5090</v>
      </c>
      <c r="G2954" s="49" t="n">
        <v>0</v>
      </c>
      <c r="H2954" s="0" t="n">
        <v>0</v>
      </c>
      <c r="M2954" s="51" t="s">
        <v>6226</v>
      </c>
      <c r="N2954" s="49" t="n">
        <v>0</v>
      </c>
      <c r="O2954" s="53" t="n">
        <v>45743.5930555556</v>
      </c>
      <c r="P2954" s="53" t="n">
        <v>45819.5551736111</v>
      </c>
      <c r="Q2954" s="53" t="n">
        <v>45743.5930555556</v>
      </c>
      <c r="R2954" s="0" t="n">
        <v>0</v>
      </c>
      <c r="S2954" s="51" t="s">
        <v>2383</v>
      </c>
      <c r="T2954" s="51" t="s">
        <v>2383</v>
      </c>
      <c r="U2954" s="0" t="str">
        <f aca="false">"10074865055175"</f>
        <v>10074865055175</v>
      </c>
      <c r="V2954" s="51" t="s">
        <v>2365</v>
      </c>
      <c r="W2954" s="51" t="s">
        <v>6251</v>
      </c>
      <c r="X2954" s="51" t="s">
        <v>2359</v>
      </c>
    </row>
    <row r="2955" customFormat="false" ht="14.25" hidden="true" customHeight="false" outlineLevel="0" collapsed="false">
      <c r="A2955" s="49" t="s">
        <v>2349</v>
      </c>
      <c r="B2955" s="49" t="s">
        <v>2350</v>
      </c>
      <c r="C2955" s="49" t="s">
        <v>6252</v>
      </c>
      <c r="D2955" s="49" t="s">
        <v>2352</v>
      </c>
      <c r="E2955" s="49" t="str">
        <f aca="false">"10074865055175"</f>
        <v>10074865055175</v>
      </c>
      <c r="F2955" s="49" t="s">
        <v>5090</v>
      </c>
      <c r="G2955" s="49" t="n">
        <v>0</v>
      </c>
      <c r="H2955" s="0" t="n">
        <v>0</v>
      </c>
      <c r="M2955" s="51" t="s">
        <v>6226</v>
      </c>
      <c r="N2955" s="49" t="n">
        <v>0</v>
      </c>
      <c r="O2955" s="53" t="n">
        <v>45743.5926388889</v>
      </c>
      <c r="P2955" s="53" t="n">
        <v>45822.8530787037</v>
      </c>
      <c r="Q2955" s="53" t="n">
        <v>45743.5926388889</v>
      </c>
      <c r="R2955" s="0" t="n">
        <v>0</v>
      </c>
      <c r="S2955" s="51" t="s">
        <v>2383</v>
      </c>
      <c r="T2955" s="51" t="s">
        <v>2383</v>
      </c>
      <c r="U2955" s="0" t="str">
        <f aca="false">"10074865055175"</f>
        <v>10074865055175</v>
      </c>
      <c r="V2955" s="51" t="s">
        <v>2365</v>
      </c>
      <c r="W2955" s="51" t="s">
        <v>6253</v>
      </c>
      <c r="X2955" s="51" t="s">
        <v>2359</v>
      </c>
    </row>
    <row r="2956" customFormat="false" ht="14.25" hidden="true" customHeight="false" outlineLevel="0" collapsed="false">
      <c r="A2956" s="49" t="s">
        <v>2349</v>
      </c>
      <c r="B2956" s="49" t="s">
        <v>2350</v>
      </c>
      <c r="C2956" s="49" t="s">
        <v>6254</v>
      </c>
      <c r="D2956" s="49" t="s">
        <v>2352</v>
      </c>
      <c r="E2956" s="49" t="str">
        <f aca="false">"10074865055175"</f>
        <v>10074865055175</v>
      </c>
      <c r="F2956" s="49" t="s">
        <v>5090</v>
      </c>
      <c r="G2956" s="49" t="n">
        <v>0</v>
      </c>
      <c r="H2956" s="0" t="n">
        <v>0</v>
      </c>
      <c r="M2956" s="51" t="s">
        <v>6226</v>
      </c>
      <c r="N2956" s="49" t="n">
        <v>0</v>
      </c>
      <c r="O2956" s="53" t="n">
        <v>45743.5933564815</v>
      </c>
      <c r="P2956" s="53" t="n">
        <v>45822.8498148148</v>
      </c>
      <c r="Q2956" s="53" t="n">
        <v>45743.5933564815</v>
      </c>
      <c r="R2956" s="0" t="n">
        <v>0</v>
      </c>
      <c r="S2956" s="51" t="s">
        <v>2383</v>
      </c>
      <c r="T2956" s="51" t="s">
        <v>2383</v>
      </c>
      <c r="U2956" s="0" t="str">
        <f aca="false">"10074865055175"</f>
        <v>10074865055175</v>
      </c>
      <c r="V2956" s="51" t="s">
        <v>2365</v>
      </c>
      <c r="W2956" s="51" t="s">
        <v>6255</v>
      </c>
      <c r="X2956" s="51" t="s">
        <v>2359</v>
      </c>
    </row>
    <row r="2957" customFormat="false" ht="14.25" hidden="true" customHeight="false" outlineLevel="0" collapsed="false">
      <c r="A2957" s="49" t="s">
        <v>2349</v>
      </c>
      <c r="B2957" s="49" t="s">
        <v>2350</v>
      </c>
      <c r="C2957" s="49" t="s">
        <v>6256</v>
      </c>
      <c r="D2957" s="49" t="s">
        <v>2352</v>
      </c>
      <c r="E2957" s="49" t="str">
        <f aca="false">"10074865055175"</f>
        <v>10074865055175</v>
      </c>
      <c r="F2957" s="49" t="s">
        <v>5090</v>
      </c>
      <c r="G2957" s="49" t="n">
        <v>0</v>
      </c>
      <c r="H2957" s="0" t="n">
        <v>0</v>
      </c>
      <c r="M2957" s="51" t="s">
        <v>6226</v>
      </c>
      <c r="N2957" s="49" t="n">
        <v>0</v>
      </c>
      <c r="O2957" s="53" t="n">
        <v>45743.5935069444</v>
      </c>
      <c r="P2957" s="53" t="n">
        <v>45822.8476273148</v>
      </c>
      <c r="Q2957" s="53" t="n">
        <v>45743.5935069444</v>
      </c>
      <c r="R2957" s="0" t="n">
        <v>0</v>
      </c>
      <c r="S2957" s="51" t="s">
        <v>2383</v>
      </c>
      <c r="T2957" s="51" t="s">
        <v>2383</v>
      </c>
      <c r="U2957" s="0" t="str">
        <f aca="false">"10074865055175"</f>
        <v>10074865055175</v>
      </c>
      <c r="V2957" s="51" t="s">
        <v>2365</v>
      </c>
      <c r="W2957" s="51" t="s">
        <v>6257</v>
      </c>
      <c r="X2957" s="51" t="s">
        <v>2359</v>
      </c>
    </row>
    <row r="2958" customFormat="false" ht="14.25" hidden="true" customHeight="false" outlineLevel="0" collapsed="false">
      <c r="A2958" s="49" t="s">
        <v>2349</v>
      </c>
      <c r="B2958" s="49" t="s">
        <v>2350</v>
      </c>
      <c r="C2958" s="49" t="s">
        <v>6258</v>
      </c>
      <c r="D2958" s="49" t="s">
        <v>2352</v>
      </c>
      <c r="E2958" s="49" t="str">
        <f aca="false">"10074865055175"</f>
        <v>10074865055175</v>
      </c>
      <c r="F2958" s="49" t="s">
        <v>5090</v>
      </c>
      <c r="G2958" s="49" t="n">
        <v>0</v>
      </c>
      <c r="H2958" s="0" t="n">
        <v>0</v>
      </c>
      <c r="M2958" s="51" t="s">
        <v>6226</v>
      </c>
      <c r="N2958" s="49" t="n">
        <v>0</v>
      </c>
      <c r="O2958" s="53" t="n">
        <v>45743.5936574074</v>
      </c>
      <c r="P2958" s="53" t="n">
        <v>45822.8488194444</v>
      </c>
      <c r="Q2958" s="53" t="n">
        <v>45743.5936574074</v>
      </c>
      <c r="R2958" s="0" t="n">
        <v>0</v>
      </c>
      <c r="S2958" s="51" t="s">
        <v>2383</v>
      </c>
      <c r="T2958" s="51" t="s">
        <v>2383</v>
      </c>
      <c r="U2958" s="0" t="str">
        <f aca="false">"10074865055175"</f>
        <v>10074865055175</v>
      </c>
      <c r="V2958" s="51" t="s">
        <v>2365</v>
      </c>
      <c r="W2958" s="51" t="s">
        <v>6259</v>
      </c>
      <c r="X2958" s="51" t="s">
        <v>2359</v>
      </c>
    </row>
    <row r="2959" customFormat="false" ht="14.25" hidden="true" customHeight="false" outlineLevel="0" collapsed="false">
      <c r="A2959" s="49" t="s">
        <v>2349</v>
      </c>
      <c r="B2959" s="49" t="s">
        <v>2350</v>
      </c>
      <c r="C2959" s="49" t="s">
        <v>6260</v>
      </c>
      <c r="D2959" s="49" t="s">
        <v>2352</v>
      </c>
      <c r="E2959" s="49" t="str">
        <f aca="false">"10074865055175"</f>
        <v>10074865055175</v>
      </c>
      <c r="F2959" s="49" t="s">
        <v>5090</v>
      </c>
      <c r="G2959" s="49" t="n">
        <v>0</v>
      </c>
      <c r="H2959" s="0" t="n">
        <v>0</v>
      </c>
      <c r="M2959" s="51" t="s">
        <v>6226</v>
      </c>
      <c r="N2959" s="49" t="n">
        <v>0</v>
      </c>
      <c r="O2959" s="53" t="n">
        <v>45743.5937962963</v>
      </c>
      <c r="P2959" s="53" t="n">
        <v>45819.567349537</v>
      </c>
      <c r="Q2959" s="53" t="n">
        <v>45743.5937962963</v>
      </c>
      <c r="R2959" s="0" t="n">
        <v>0</v>
      </c>
      <c r="S2959" s="51" t="s">
        <v>2383</v>
      </c>
      <c r="T2959" s="51" t="s">
        <v>2383</v>
      </c>
      <c r="U2959" s="0" t="str">
        <f aca="false">"10074865055175"</f>
        <v>10074865055175</v>
      </c>
      <c r="V2959" s="51" t="s">
        <v>2365</v>
      </c>
      <c r="W2959" s="51" t="s">
        <v>4056</v>
      </c>
      <c r="X2959" s="51" t="s">
        <v>2359</v>
      </c>
    </row>
    <row r="2960" customFormat="false" ht="14.25" hidden="true" customHeight="false" outlineLevel="0" collapsed="false">
      <c r="A2960" s="49" t="s">
        <v>2349</v>
      </c>
      <c r="B2960" s="49" t="s">
        <v>2350</v>
      </c>
      <c r="C2960" s="49" t="s">
        <v>6261</v>
      </c>
      <c r="D2960" s="49" t="s">
        <v>2352</v>
      </c>
      <c r="E2960" s="49" t="str">
        <f aca="false">"10074865055175"</f>
        <v>10074865055175</v>
      </c>
      <c r="F2960" s="49" t="s">
        <v>5090</v>
      </c>
      <c r="G2960" s="49" t="n">
        <v>0</v>
      </c>
      <c r="H2960" s="0" t="n">
        <v>0</v>
      </c>
      <c r="M2960" s="51" t="s">
        <v>6226</v>
      </c>
      <c r="N2960" s="49" t="n">
        <v>0</v>
      </c>
      <c r="O2960" s="53" t="n">
        <v>45743.5939814815</v>
      </c>
      <c r="P2960" s="53" t="n">
        <v>45766.6282638889</v>
      </c>
      <c r="Q2960" s="53" t="n">
        <v>45743.5939814815</v>
      </c>
      <c r="R2960" s="0" t="n">
        <v>0</v>
      </c>
      <c r="S2960" s="51" t="s">
        <v>2383</v>
      </c>
      <c r="T2960" s="51" t="s">
        <v>2383</v>
      </c>
      <c r="U2960" s="0" t="str">
        <f aca="false">"10074865055175"</f>
        <v>10074865055175</v>
      </c>
      <c r="V2960" s="51" t="s">
        <v>2365</v>
      </c>
      <c r="W2960" s="51" t="s">
        <v>4052</v>
      </c>
      <c r="X2960" s="51" t="s">
        <v>2359</v>
      </c>
    </row>
    <row r="2961" customFormat="false" ht="14.25" hidden="true" customHeight="false" outlineLevel="0" collapsed="false">
      <c r="A2961" s="49" t="s">
        <v>2349</v>
      </c>
      <c r="B2961" s="49" t="s">
        <v>2350</v>
      </c>
      <c r="C2961" s="49" t="s">
        <v>6262</v>
      </c>
      <c r="D2961" s="49" t="s">
        <v>2352</v>
      </c>
      <c r="E2961" s="49" t="str">
        <f aca="false">"10074865055175"</f>
        <v>10074865055175</v>
      </c>
      <c r="F2961" s="49" t="s">
        <v>5090</v>
      </c>
      <c r="G2961" s="49" t="n">
        <v>0</v>
      </c>
      <c r="H2961" s="0" t="n">
        <v>0</v>
      </c>
      <c r="M2961" s="51" t="s">
        <v>6226</v>
      </c>
      <c r="N2961" s="49" t="n">
        <v>0</v>
      </c>
      <c r="O2961" s="53" t="n">
        <v>45743.5941435185</v>
      </c>
      <c r="P2961" s="53" t="n">
        <v>45822.8424652778</v>
      </c>
      <c r="Q2961" s="53" t="n">
        <v>45743.5941435185</v>
      </c>
      <c r="R2961" s="0" t="n">
        <v>0</v>
      </c>
      <c r="S2961" s="51" t="s">
        <v>2383</v>
      </c>
      <c r="T2961" s="51" t="s">
        <v>2383</v>
      </c>
      <c r="U2961" s="0" t="str">
        <f aca="false">"10074865055175"</f>
        <v>10074865055175</v>
      </c>
      <c r="V2961" s="51" t="s">
        <v>2365</v>
      </c>
      <c r="W2961" s="51" t="s">
        <v>6263</v>
      </c>
      <c r="X2961" s="51" t="s">
        <v>2359</v>
      </c>
    </row>
    <row r="2962" customFormat="false" ht="14.25" hidden="true" customHeight="false" outlineLevel="0" collapsed="false">
      <c r="A2962" s="49" t="s">
        <v>2349</v>
      </c>
      <c r="B2962" s="49" t="s">
        <v>2350</v>
      </c>
      <c r="C2962" s="49" t="s">
        <v>6264</v>
      </c>
      <c r="D2962" s="49" t="s">
        <v>2352</v>
      </c>
      <c r="E2962" s="49" t="str">
        <f aca="false">"10074865055175"</f>
        <v>10074865055175</v>
      </c>
      <c r="F2962" s="49" t="s">
        <v>5090</v>
      </c>
      <c r="G2962" s="49" t="n">
        <v>0</v>
      </c>
      <c r="H2962" s="0" t="n">
        <v>0</v>
      </c>
      <c r="M2962" s="51" t="s">
        <v>6226</v>
      </c>
      <c r="N2962" s="49" t="n">
        <v>0</v>
      </c>
      <c r="O2962" s="53" t="n">
        <v>45743.5942939815</v>
      </c>
      <c r="P2962" s="53" t="n">
        <v>45819.5564236111</v>
      </c>
      <c r="Q2962" s="53" t="n">
        <v>45743.5942939815</v>
      </c>
      <c r="R2962" s="0" t="n">
        <v>0</v>
      </c>
      <c r="S2962" s="51" t="s">
        <v>2383</v>
      </c>
      <c r="T2962" s="51" t="s">
        <v>2383</v>
      </c>
      <c r="U2962" s="0" t="str">
        <f aca="false">"10074865055175"</f>
        <v>10074865055175</v>
      </c>
      <c r="V2962" s="51" t="s">
        <v>2365</v>
      </c>
      <c r="W2962" s="51" t="s">
        <v>6265</v>
      </c>
      <c r="X2962" s="51" t="s">
        <v>2359</v>
      </c>
    </row>
    <row r="2963" customFormat="false" ht="14.25" hidden="true" customHeight="false" outlineLevel="0" collapsed="false">
      <c r="A2963" s="49" t="s">
        <v>2349</v>
      </c>
      <c r="B2963" s="49" t="s">
        <v>2350</v>
      </c>
      <c r="C2963" s="49" t="s">
        <v>6266</v>
      </c>
      <c r="D2963" s="49" t="s">
        <v>2352</v>
      </c>
      <c r="E2963" s="49" t="str">
        <f aca="false">"10074865055175"</f>
        <v>10074865055175</v>
      </c>
      <c r="F2963" s="49" t="s">
        <v>5090</v>
      </c>
      <c r="G2963" s="49" t="n">
        <v>0</v>
      </c>
      <c r="H2963" s="0" t="n">
        <v>0</v>
      </c>
      <c r="M2963" s="51" t="s">
        <v>6226</v>
      </c>
      <c r="N2963" s="49" t="n">
        <v>0</v>
      </c>
      <c r="O2963" s="53" t="n">
        <v>45743.5944560185</v>
      </c>
      <c r="P2963" s="53" t="n">
        <v>45819.5684606481</v>
      </c>
      <c r="Q2963" s="53" t="n">
        <v>45743.5944560185</v>
      </c>
      <c r="R2963" s="0" t="n">
        <v>0</v>
      </c>
      <c r="S2963" s="51" t="s">
        <v>2383</v>
      </c>
      <c r="T2963" s="51" t="s">
        <v>2383</v>
      </c>
      <c r="U2963" s="0" t="str">
        <f aca="false">"10074865055175"</f>
        <v>10074865055175</v>
      </c>
      <c r="V2963" s="51" t="s">
        <v>2365</v>
      </c>
      <c r="W2963" s="51" t="s">
        <v>6267</v>
      </c>
      <c r="X2963" s="51" t="s">
        <v>2359</v>
      </c>
    </row>
    <row r="2964" customFormat="false" ht="14.25" hidden="true" customHeight="false" outlineLevel="0" collapsed="false">
      <c r="A2964" s="49" t="s">
        <v>2349</v>
      </c>
      <c r="B2964" s="49" t="s">
        <v>2350</v>
      </c>
      <c r="C2964" s="49" t="s">
        <v>6268</v>
      </c>
      <c r="D2964" s="49" t="s">
        <v>2352</v>
      </c>
      <c r="E2964" s="49" t="str">
        <f aca="false">"10074865055175"</f>
        <v>10074865055175</v>
      </c>
      <c r="F2964" s="49" t="s">
        <v>5090</v>
      </c>
      <c r="G2964" s="49" t="n">
        <v>0</v>
      </c>
      <c r="H2964" s="0" t="n">
        <v>0</v>
      </c>
      <c r="M2964" s="51" t="s">
        <v>6226</v>
      </c>
      <c r="N2964" s="49" t="n">
        <v>0</v>
      </c>
      <c r="O2964" s="53" t="n">
        <v>45743.5945949074</v>
      </c>
      <c r="P2964" s="53" t="n">
        <v>45837.4890625</v>
      </c>
      <c r="Q2964" s="53" t="n">
        <v>45743.5945949074</v>
      </c>
      <c r="R2964" s="0" t="n">
        <v>0</v>
      </c>
      <c r="S2964" s="51" t="s">
        <v>2383</v>
      </c>
      <c r="T2964" s="51" t="s">
        <v>2383</v>
      </c>
      <c r="U2964" s="0" t="str">
        <f aca="false">"10074865055175"</f>
        <v>10074865055175</v>
      </c>
      <c r="V2964" s="51" t="s">
        <v>2365</v>
      </c>
      <c r="W2964" s="51" t="s">
        <v>6257</v>
      </c>
      <c r="X2964" s="51" t="s">
        <v>2359</v>
      </c>
    </row>
    <row r="2965" customFormat="false" ht="14.25" hidden="true" customHeight="false" outlineLevel="0" collapsed="false">
      <c r="A2965" s="49" t="s">
        <v>2349</v>
      </c>
      <c r="B2965" s="49" t="s">
        <v>2350</v>
      </c>
      <c r="C2965" s="49" t="s">
        <v>6269</v>
      </c>
      <c r="D2965" s="49" t="s">
        <v>2352</v>
      </c>
      <c r="E2965" s="49" t="str">
        <f aca="false">"10074865055175"</f>
        <v>10074865055175</v>
      </c>
      <c r="F2965" s="49" t="s">
        <v>5090</v>
      </c>
      <c r="G2965" s="49" t="n">
        <v>0</v>
      </c>
      <c r="H2965" s="0" t="n">
        <v>0</v>
      </c>
      <c r="M2965" s="51" t="s">
        <v>6226</v>
      </c>
      <c r="N2965" s="49" t="n">
        <v>0</v>
      </c>
      <c r="O2965" s="53" t="n">
        <v>45743.5947337963</v>
      </c>
      <c r="P2965" s="53" t="n">
        <v>45822.8507291667</v>
      </c>
      <c r="Q2965" s="53" t="n">
        <v>45743.5947337963</v>
      </c>
      <c r="R2965" s="0" t="n">
        <v>0</v>
      </c>
      <c r="S2965" s="51" t="s">
        <v>2383</v>
      </c>
      <c r="T2965" s="51" t="s">
        <v>2383</v>
      </c>
      <c r="U2965" s="0" t="str">
        <f aca="false">"10074865055175"</f>
        <v>10074865055175</v>
      </c>
      <c r="V2965" s="51" t="s">
        <v>2365</v>
      </c>
      <c r="W2965" s="51" t="s">
        <v>6270</v>
      </c>
      <c r="X2965" s="51" t="s">
        <v>2359</v>
      </c>
    </row>
    <row r="2966" customFormat="false" ht="14.25" hidden="true" customHeight="false" outlineLevel="0" collapsed="false">
      <c r="A2966" s="49" t="s">
        <v>2349</v>
      </c>
      <c r="B2966" s="49" t="s">
        <v>2350</v>
      </c>
      <c r="C2966" s="49" t="s">
        <v>6271</v>
      </c>
      <c r="D2966" s="49" t="s">
        <v>2352</v>
      </c>
      <c r="E2966" s="49" t="str">
        <f aca="false">"10074865055175"</f>
        <v>10074865055175</v>
      </c>
      <c r="F2966" s="49" t="s">
        <v>5090</v>
      </c>
      <c r="G2966" s="49" t="n">
        <v>0</v>
      </c>
      <c r="H2966" s="0" t="n">
        <v>0</v>
      </c>
      <c r="M2966" s="51" t="s">
        <v>6226</v>
      </c>
      <c r="N2966" s="49" t="n">
        <v>0</v>
      </c>
      <c r="O2966" s="53" t="n">
        <v>45743.5886689815</v>
      </c>
      <c r="P2966" s="53" t="n">
        <v>45822.8640856482</v>
      </c>
      <c r="Q2966" s="53" t="n">
        <v>45743.5886574074</v>
      </c>
      <c r="R2966" s="0" t="n">
        <v>0</v>
      </c>
      <c r="S2966" s="51" t="s">
        <v>2383</v>
      </c>
      <c r="T2966" s="51" t="s">
        <v>2383</v>
      </c>
      <c r="U2966" s="0" t="str">
        <f aca="false">"10074865055175"</f>
        <v>10074865055175</v>
      </c>
      <c r="V2966" s="51" t="s">
        <v>2365</v>
      </c>
      <c r="W2966" s="51" t="s">
        <v>6050</v>
      </c>
      <c r="X2966" s="51" t="s">
        <v>2359</v>
      </c>
    </row>
    <row r="2967" customFormat="false" ht="14.25" hidden="true" customHeight="false" outlineLevel="0" collapsed="false">
      <c r="A2967" s="49" t="s">
        <v>2349</v>
      </c>
      <c r="B2967" s="49" t="s">
        <v>2350</v>
      </c>
      <c r="C2967" s="49" t="s">
        <v>6272</v>
      </c>
      <c r="D2967" s="49" t="s">
        <v>2352</v>
      </c>
      <c r="E2967" s="49" t="s">
        <v>3751</v>
      </c>
      <c r="F2967" s="49" t="s">
        <v>3752</v>
      </c>
      <c r="G2967" s="49" t="n">
        <v>0</v>
      </c>
      <c r="H2967" s="0" t="n">
        <v>0</v>
      </c>
      <c r="M2967" s="51" t="s">
        <v>6273</v>
      </c>
      <c r="N2967" s="49" t="n">
        <v>0</v>
      </c>
      <c r="O2967" s="53" t="n">
        <v>45732.4861458333</v>
      </c>
      <c r="P2967" s="53" t="n">
        <v>45738.4978125</v>
      </c>
      <c r="Q2967" s="53" t="n">
        <v>45732.4861458333</v>
      </c>
      <c r="R2967" s="0" t="n">
        <v>0</v>
      </c>
      <c r="S2967" s="51" t="s">
        <v>2356</v>
      </c>
      <c r="T2967" s="51" t="s">
        <v>2356</v>
      </c>
      <c r="U2967" s="51" t="s">
        <v>3751</v>
      </c>
      <c r="V2967" s="51" t="s">
        <v>2357</v>
      </c>
      <c r="W2967" s="51" t="s">
        <v>3689</v>
      </c>
      <c r="X2967" s="51" t="s">
        <v>2359</v>
      </c>
    </row>
    <row r="2968" customFormat="false" ht="14.25" hidden="true" customHeight="false" outlineLevel="0" collapsed="false">
      <c r="A2968" s="49" t="s">
        <v>2349</v>
      </c>
      <c r="B2968" s="49" t="s">
        <v>2350</v>
      </c>
      <c r="C2968" s="49" t="s">
        <v>6274</v>
      </c>
      <c r="D2968" s="49" t="s">
        <v>2352</v>
      </c>
      <c r="E2968" s="49" t="s">
        <v>3751</v>
      </c>
      <c r="F2968" s="49" t="s">
        <v>3752</v>
      </c>
      <c r="G2968" s="49" t="n">
        <v>0</v>
      </c>
      <c r="H2968" s="0" t="n">
        <v>0</v>
      </c>
      <c r="M2968" s="51" t="s">
        <v>6273</v>
      </c>
      <c r="N2968" s="49" t="n">
        <v>0</v>
      </c>
      <c r="O2968" s="53" t="n">
        <v>45732.4860532407</v>
      </c>
      <c r="P2968" s="53" t="n">
        <v>45736.5923842593</v>
      </c>
      <c r="Q2968" s="53" t="n">
        <v>45732.4860532407</v>
      </c>
      <c r="R2968" s="0" t="n">
        <v>0</v>
      </c>
      <c r="S2968" s="51" t="s">
        <v>2356</v>
      </c>
      <c r="T2968" s="51" t="s">
        <v>2356</v>
      </c>
      <c r="U2968" s="51" t="s">
        <v>3751</v>
      </c>
      <c r="V2968" s="51" t="s">
        <v>2357</v>
      </c>
      <c r="W2968" s="51" t="s">
        <v>5494</v>
      </c>
      <c r="X2968" s="51" t="s">
        <v>2359</v>
      </c>
    </row>
    <row r="2969" customFormat="false" ht="14.25" hidden="true" customHeight="false" outlineLevel="0" collapsed="false">
      <c r="A2969" s="49" t="s">
        <v>2349</v>
      </c>
      <c r="B2969" s="49" t="s">
        <v>2350</v>
      </c>
      <c r="C2969" s="49" t="s">
        <v>6275</v>
      </c>
      <c r="D2969" s="49" t="s">
        <v>2352</v>
      </c>
      <c r="E2969" s="49" t="str">
        <f aca="false">"734730225548"</f>
        <v>734730225548</v>
      </c>
      <c r="F2969" s="49" t="s">
        <v>2434</v>
      </c>
      <c r="G2969" s="49" t="n">
        <v>0</v>
      </c>
      <c r="H2969" s="0" t="n">
        <v>0</v>
      </c>
      <c r="M2969" s="51" t="s">
        <v>6276</v>
      </c>
      <c r="N2969" s="49" t="n">
        <v>0</v>
      </c>
      <c r="O2969" s="53" t="n">
        <v>45745.3467013889</v>
      </c>
      <c r="P2969" s="53" t="n">
        <v>45757.8795833333</v>
      </c>
      <c r="Q2969" s="53" t="n">
        <v>45745.3467013889</v>
      </c>
      <c r="R2969" s="0" t="n">
        <v>0</v>
      </c>
      <c r="S2969" s="51" t="s">
        <v>2380</v>
      </c>
      <c r="T2969" s="51" t="s">
        <v>2380</v>
      </c>
      <c r="U2969" s="0" t="str">
        <f aca="false">"734730225548"</f>
        <v>734730225548</v>
      </c>
      <c r="V2969" s="51" t="s">
        <v>2365</v>
      </c>
      <c r="W2969" s="51" t="s">
        <v>6277</v>
      </c>
      <c r="X2969" s="51" t="s">
        <v>2359</v>
      </c>
    </row>
    <row r="2970" customFormat="false" ht="14.25" hidden="true" customHeight="false" outlineLevel="0" collapsed="false">
      <c r="A2970" s="49" t="s">
        <v>2349</v>
      </c>
      <c r="B2970" s="49" t="s">
        <v>2350</v>
      </c>
      <c r="C2970" s="49" t="s">
        <v>6278</v>
      </c>
      <c r="D2970" s="49" t="s">
        <v>2352</v>
      </c>
      <c r="E2970" s="49" t="str">
        <f aca="false">"734730225548"</f>
        <v>734730225548</v>
      </c>
      <c r="F2970" s="49" t="s">
        <v>2434</v>
      </c>
      <c r="G2970" s="49" t="n">
        <v>0</v>
      </c>
      <c r="H2970" s="0" t="n">
        <v>0</v>
      </c>
      <c r="M2970" s="51" t="s">
        <v>6276</v>
      </c>
      <c r="N2970" s="49" t="n">
        <v>0</v>
      </c>
      <c r="O2970" s="53" t="n">
        <v>45745.3473032407</v>
      </c>
      <c r="P2970" s="53" t="n">
        <v>45757.8812962963</v>
      </c>
      <c r="Q2970" s="53" t="n">
        <v>45745.3473032407</v>
      </c>
      <c r="R2970" s="0" t="n">
        <v>0</v>
      </c>
      <c r="S2970" s="51" t="s">
        <v>2380</v>
      </c>
      <c r="T2970" s="51" t="s">
        <v>2380</v>
      </c>
      <c r="U2970" s="0" t="str">
        <f aca="false">"734730225548"</f>
        <v>734730225548</v>
      </c>
      <c r="V2970" s="51" t="s">
        <v>2365</v>
      </c>
      <c r="W2970" s="51" t="s">
        <v>6279</v>
      </c>
      <c r="X2970" s="51" t="s">
        <v>2359</v>
      </c>
    </row>
    <row r="2971" customFormat="false" ht="14.25" hidden="true" customHeight="false" outlineLevel="0" collapsed="false">
      <c r="A2971" s="49" t="s">
        <v>2349</v>
      </c>
      <c r="B2971" s="49" t="s">
        <v>2350</v>
      </c>
      <c r="C2971" s="49" t="s">
        <v>6280</v>
      </c>
      <c r="D2971" s="49" t="s">
        <v>2352</v>
      </c>
      <c r="E2971" s="49" t="str">
        <f aca="false">"734730225548"</f>
        <v>734730225548</v>
      </c>
      <c r="F2971" s="49" t="s">
        <v>2434</v>
      </c>
      <c r="G2971" s="49" t="n">
        <v>0</v>
      </c>
      <c r="H2971" s="0" t="n">
        <v>0</v>
      </c>
      <c r="M2971" s="51" t="s">
        <v>6276</v>
      </c>
      <c r="N2971" s="49" t="n">
        <v>0</v>
      </c>
      <c r="O2971" s="53" t="n">
        <v>45745.3489930556</v>
      </c>
      <c r="P2971" s="53" t="n">
        <v>45757.8828703704</v>
      </c>
      <c r="Q2971" s="53" t="n">
        <v>45745.3489930556</v>
      </c>
      <c r="R2971" s="0" t="n">
        <v>0</v>
      </c>
      <c r="S2971" s="51" t="s">
        <v>2380</v>
      </c>
      <c r="T2971" s="51" t="s">
        <v>2380</v>
      </c>
      <c r="U2971" s="0" t="str">
        <f aca="false">"734730225548"</f>
        <v>734730225548</v>
      </c>
      <c r="V2971" s="51" t="s">
        <v>2365</v>
      </c>
      <c r="W2971" s="51" t="s">
        <v>6281</v>
      </c>
      <c r="X2971" s="51" t="s">
        <v>2359</v>
      </c>
    </row>
    <row r="2972" customFormat="false" ht="14.25" hidden="true" customHeight="false" outlineLevel="0" collapsed="false">
      <c r="A2972" s="49" t="s">
        <v>2349</v>
      </c>
      <c r="B2972" s="49" t="s">
        <v>2350</v>
      </c>
      <c r="C2972" s="49" t="s">
        <v>6282</v>
      </c>
      <c r="D2972" s="49" t="s">
        <v>2352</v>
      </c>
      <c r="E2972" s="49" t="str">
        <f aca="false">"734730225548"</f>
        <v>734730225548</v>
      </c>
      <c r="F2972" s="49" t="s">
        <v>2434</v>
      </c>
      <c r="G2972" s="49" t="n">
        <v>0</v>
      </c>
      <c r="H2972" s="0" t="n">
        <v>0</v>
      </c>
      <c r="M2972" s="51" t="s">
        <v>6276</v>
      </c>
      <c r="N2972" s="49" t="n">
        <v>0</v>
      </c>
      <c r="O2972" s="53" t="n">
        <v>45745.352650463</v>
      </c>
      <c r="P2972" s="53" t="n">
        <v>45762.2219097222</v>
      </c>
      <c r="Q2972" s="53" t="n">
        <v>45745.352650463</v>
      </c>
      <c r="R2972" s="0" t="n">
        <v>0</v>
      </c>
      <c r="S2972" s="51" t="s">
        <v>2380</v>
      </c>
      <c r="T2972" s="51" t="s">
        <v>2380</v>
      </c>
      <c r="U2972" s="0" t="str">
        <f aca="false">"734730225548"</f>
        <v>734730225548</v>
      </c>
      <c r="V2972" s="51" t="s">
        <v>2365</v>
      </c>
      <c r="W2972" s="51" t="s">
        <v>6283</v>
      </c>
      <c r="X2972" s="51" t="s">
        <v>2359</v>
      </c>
    </row>
    <row r="2973" customFormat="false" ht="14.25" hidden="true" customHeight="false" outlineLevel="0" collapsed="false">
      <c r="A2973" s="49" t="s">
        <v>2349</v>
      </c>
      <c r="B2973" s="49" t="s">
        <v>2350</v>
      </c>
      <c r="C2973" s="49" t="s">
        <v>6284</v>
      </c>
      <c r="D2973" s="49" t="s">
        <v>2352</v>
      </c>
      <c r="E2973" s="49" t="str">
        <f aca="false">"734730225548"</f>
        <v>734730225548</v>
      </c>
      <c r="F2973" s="49" t="s">
        <v>2434</v>
      </c>
      <c r="G2973" s="49" t="n">
        <v>0</v>
      </c>
      <c r="H2973" s="0" t="n">
        <v>0</v>
      </c>
      <c r="M2973" s="51" t="s">
        <v>6276</v>
      </c>
      <c r="N2973" s="49" t="n">
        <v>0</v>
      </c>
      <c r="O2973" s="53" t="n">
        <v>45745.3531712963</v>
      </c>
      <c r="P2973" s="53" t="n">
        <v>45762.2226041667</v>
      </c>
      <c r="Q2973" s="53" t="n">
        <v>45745.3531712963</v>
      </c>
      <c r="R2973" s="0" t="n">
        <v>0</v>
      </c>
      <c r="S2973" s="51" t="s">
        <v>2380</v>
      </c>
      <c r="T2973" s="51" t="s">
        <v>2380</v>
      </c>
      <c r="U2973" s="0" t="str">
        <f aca="false">"734730225548"</f>
        <v>734730225548</v>
      </c>
      <c r="V2973" s="51" t="s">
        <v>2365</v>
      </c>
      <c r="W2973" s="51" t="s">
        <v>6285</v>
      </c>
      <c r="X2973" s="51" t="s">
        <v>2359</v>
      </c>
    </row>
    <row r="2974" customFormat="false" ht="14.25" hidden="true" customHeight="false" outlineLevel="0" collapsed="false">
      <c r="A2974" s="49" t="s">
        <v>2349</v>
      </c>
      <c r="B2974" s="49" t="s">
        <v>2350</v>
      </c>
      <c r="C2974" s="49" t="s">
        <v>6286</v>
      </c>
      <c r="D2974" s="49" t="s">
        <v>2352</v>
      </c>
      <c r="E2974" s="49" t="str">
        <f aca="false">"734730225548"</f>
        <v>734730225548</v>
      </c>
      <c r="F2974" s="49" t="s">
        <v>2434</v>
      </c>
      <c r="G2974" s="49" t="n">
        <v>0</v>
      </c>
      <c r="H2974" s="0" t="n">
        <v>0</v>
      </c>
      <c r="M2974" s="51" t="s">
        <v>6276</v>
      </c>
      <c r="N2974" s="49" t="n">
        <v>0</v>
      </c>
      <c r="O2974" s="53" t="n">
        <v>45745.3534722222</v>
      </c>
      <c r="P2974" s="53" t="n">
        <v>45762.2169560185</v>
      </c>
      <c r="Q2974" s="53" t="n">
        <v>45745.3534722222</v>
      </c>
      <c r="R2974" s="0" t="n">
        <v>0</v>
      </c>
      <c r="S2974" s="51" t="s">
        <v>2380</v>
      </c>
      <c r="T2974" s="51" t="s">
        <v>2380</v>
      </c>
      <c r="U2974" s="0" t="str">
        <f aca="false">"734730225548"</f>
        <v>734730225548</v>
      </c>
      <c r="V2974" s="51" t="s">
        <v>2365</v>
      </c>
      <c r="W2974" s="51" t="s">
        <v>6287</v>
      </c>
      <c r="X2974" s="51" t="s">
        <v>2359</v>
      </c>
    </row>
    <row r="2975" customFormat="false" ht="14.25" hidden="true" customHeight="false" outlineLevel="0" collapsed="false">
      <c r="A2975" s="49" t="s">
        <v>2349</v>
      </c>
      <c r="B2975" s="49" t="s">
        <v>2350</v>
      </c>
      <c r="C2975" s="49" t="s">
        <v>6288</v>
      </c>
      <c r="D2975" s="49" t="s">
        <v>2352</v>
      </c>
      <c r="E2975" s="49" t="str">
        <f aca="false">"734730225548"</f>
        <v>734730225548</v>
      </c>
      <c r="F2975" s="49" t="s">
        <v>2434</v>
      </c>
      <c r="G2975" s="49" t="n">
        <v>0</v>
      </c>
      <c r="H2975" s="0" t="n">
        <v>0</v>
      </c>
      <c r="M2975" s="51" t="s">
        <v>6276</v>
      </c>
      <c r="N2975" s="49" t="n">
        <v>0</v>
      </c>
      <c r="O2975" s="53" t="n">
        <v>45745.3546643519</v>
      </c>
      <c r="P2975" s="53" t="n">
        <v>45762.2189699074</v>
      </c>
      <c r="Q2975" s="53" t="n">
        <v>45745.3546643519</v>
      </c>
      <c r="R2975" s="0" t="n">
        <v>0</v>
      </c>
      <c r="S2975" s="51" t="s">
        <v>2380</v>
      </c>
      <c r="T2975" s="51" t="s">
        <v>2380</v>
      </c>
      <c r="U2975" s="0" t="str">
        <f aca="false">"734730225548"</f>
        <v>734730225548</v>
      </c>
      <c r="V2975" s="51" t="s">
        <v>2365</v>
      </c>
      <c r="W2975" s="51" t="s">
        <v>6289</v>
      </c>
      <c r="X2975" s="51" t="s">
        <v>2359</v>
      </c>
    </row>
    <row r="2976" customFormat="false" ht="14.25" hidden="true" customHeight="false" outlineLevel="0" collapsed="false">
      <c r="A2976" s="49" t="s">
        <v>2349</v>
      </c>
      <c r="B2976" s="49" t="s">
        <v>2350</v>
      </c>
      <c r="C2976" s="49" t="s">
        <v>6290</v>
      </c>
      <c r="D2976" s="49" t="s">
        <v>2352</v>
      </c>
      <c r="E2976" s="49" t="str">
        <f aca="false">"734730225548"</f>
        <v>734730225548</v>
      </c>
      <c r="F2976" s="49" t="s">
        <v>2434</v>
      </c>
      <c r="G2976" s="49" t="n">
        <v>0</v>
      </c>
      <c r="H2976" s="0" t="n">
        <v>0</v>
      </c>
      <c r="M2976" s="51" t="s">
        <v>6276</v>
      </c>
      <c r="N2976" s="49" t="n">
        <v>0</v>
      </c>
      <c r="O2976" s="53" t="n">
        <v>45745.3540046296</v>
      </c>
      <c r="P2976" s="53" t="n">
        <v>45762.2150231482</v>
      </c>
      <c r="Q2976" s="53" t="n">
        <v>45745.3540046296</v>
      </c>
      <c r="R2976" s="0" t="n">
        <v>0</v>
      </c>
      <c r="S2976" s="51" t="s">
        <v>2380</v>
      </c>
      <c r="T2976" s="51" t="s">
        <v>2380</v>
      </c>
      <c r="U2976" s="0" t="str">
        <f aca="false">"734730225548"</f>
        <v>734730225548</v>
      </c>
      <c r="V2976" s="51" t="s">
        <v>2365</v>
      </c>
      <c r="W2976" s="51" t="s">
        <v>6291</v>
      </c>
      <c r="X2976" s="51" t="s">
        <v>2359</v>
      </c>
    </row>
    <row r="2977" customFormat="false" ht="14.25" hidden="true" customHeight="false" outlineLevel="0" collapsed="false">
      <c r="A2977" s="49" t="s">
        <v>2349</v>
      </c>
      <c r="B2977" s="49" t="s">
        <v>2350</v>
      </c>
      <c r="C2977" s="49" t="s">
        <v>6292</v>
      </c>
      <c r="D2977" s="49" t="s">
        <v>2352</v>
      </c>
      <c r="E2977" s="49" t="str">
        <f aca="false">"734730225548"</f>
        <v>734730225548</v>
      </c>
      <c r="F2977" s="49" t="s">
        <v>2434</v>
      </c>
      <c r="G2977" s="49" t="n">
        <v>0</v>
      </c>
      <c r="H2977" s="0" t="n">
        <v>0</v>
      </c>
      <c r="M2977" s="51" t="s">
        <v>6276</v>
      </c>
      <c r="N2977" s="49" t="n">
        <v>0</v>
      </c>
      <c r="O2977" s="53" t="n">
        <v>45745.3542939815</v>
      </c>
      <c r="P2977" s="53" t="n">
        <v>45762.2178587963</v>
      </c>
      <c r="Q2977" s="53" t="n">
        <v>45745.3542939815</v>
      </c>
      <c r="R2977" s="0" t="n">
        <v>0</v>
      </c>
      <c r="S2977" s="51" t="s">
        <v>2380</v>
      </c>
      <c r="T2977" s="51" t="s">
        <v>2380</v>
      </c>
      <c r="U2977" s="0" t="str">
        <f aca="false">"734730225548"</f>
        <v>734730225548</v>
      </c>
      <c r="V2977" s="51" t="s">
        <v>2365</v>
      </c>
      <c r="W2977" s="51" t="s">
        <v>6293</v>
      </c>
      <c r="X2977" s="51" t="s">
        <v>2359</v>
      </c>
    </row>
    <row r="2978" customFormat="false" ht="14.25" hidden="true" customHeight="false" outlineLevel="0" collapsed="false">
      <c r="A2978" s="49" t="s">
        <v>2349</v>
      </c>
      <c r="B2978" s="49" t="s">
        <v>2350</v>
      </c>
      <c r="C2978" s="49" t="s">
        <v>6294</v>
      </c>
      <c r="D2978" s="49" t="s">
        <v>2352</v>
      </c>
      <c r="E2978" s="49" t="str">
        <f aca="false">"734730225548"</f>
        <v>734730225548</v>
      </c>
      <c r="F2978" s="49" t="s">
        <v>2434</v>
      </c>
      <c r="G2978" s="49" t="n">
        <v>0</v>
      </c>
      <c r="H2978" s="0" t="n">
        <v>0</v>
      </c>
      <c r="M2978" s="51" t="s">
        <v>6276</v>
      </c>
      <c r="N2978" s="49" t="n">
        <v>0</v>
      </c>
      <c r="O2978" s="53" t="n">
        <v>45745.3549884259</v>
      </c>
      <c r="P2978" s="53" t="n">
        <v>45762.2203703704</v>
      </c>
      <c r="Q2978" s="53" t="n">
        <v>45745.3549884259</v>
      </c>
      <c r="R2978" s="0" t="n">
        <v>0</v>
      </c>
      <c r="S2978" s="51" t="s">
        <v>2380</v>
      </c>
      <c r="T2978" s="51" t="s">
        <v>2380</v>
      </c>
      <c r="U2978" s="0" t="str">
        <f aca="false">"734730225548"</f>
        <v>734730225548</v>
      </c>
      <c r="V2978" s="51" t="s">
        <v>2365</v>
      </c>
      <c r="W2978" s="51" t="s">
        <v>6295</v>
      </c>
      <c r="X2978" s="51" t="s">
        <v>2359</v>
      </c>
    </row>
    <row r="2979" customFormat="false" ht="14.25" hidden="true" customHeight="false" outlineLevel="0" collapsed="false">
      <c r="A2979" s="49" t="s">
        <v>2349</v>
      </c>
      <c r="B2979" s="49" t="s">
        <v>2350</v>
      </c>
      <c r="C2979" s="49" t="s">
        <v>6296</v>
      </c>
      <c r="D2979" s="49" t="s">
        <v>2352</v>
      </c>
      <c r="E2979" s="49" t="str">
        <f aca="false">"734730225548"</f>
        <v>734730225548</v>
      </c>
      <c r="F2979" s="49" t="s">
        <v>2434</v>
      </c>
      <c r="G2979" s="49" t="n">
        <v>0</v>
      </c>
      <c r="H2979" s="0" t="n">
        <v>0</v>
      </c>
      <c r="M2979" s="51" t="s">
        <v>6276</v>
      </c>
      <c r="N2979" s="49" t="n">
        <v>0</v>
      </c>
      <c r="O2979" s="53" t="n">
        <v>45745.3577083333</v>
      </c>
      <c r="P2979" s="53" t="n">
        <v>45783.4769328704</v>
      </c>
      <c r="Q2979" s="53" t="n">
        <v>45745.3577083333</v>
      </c>
      <c r="R2979" s="0" t="n">
        <v>0</v>
      </c>
      <c r="S2979" s="51" t="s">
        <v>2380</v>
      </c>
      <c r="T2979" s="51" t="s">
        <v>2380</v>
      </c>
      <c r="U2979" s="0" t="str">
        <f aca="false">"734730225548"</f>
        <v>734730225548</v>
      </c>
      <c r="V2979" s="51" t="s">
        <v>2365</v>
      </c>
      <c r="W2979" s="51" t="s">
        <v>6006</v>
      </c>
      <c r="X2979" s="51" t="s">
        <v>2359</v>
      </c>
    </row>
    <row r="2980" customFormat="false" ht="14.25" hidden="true" customHeight="false" outlineLevel="0" collapsed="false">
      <c r="A2980" s="49" t="s">
        <v>2349</v>
      </c>
      <c r="B2980" s="49" t="s">
        <v>2350</v>
      </c>
      <c r="C2980" s="49" t="s">
        <v>6297</v>
      </c>
      <c r="D2980" s="49" t="s">
        <v>2352</v>
      </c>
      <c r="E2980" s="49" t="str">
        <f aca="false">"734730225548"</f>
        <v>734730225548</v>
      </c>
      <c r="F2980" s="49" t="s">
        <v>2434</v>
      </c>
      <c r="G2980" s="49" t="n">
        <v>0</v>
      </c>
      <c r="H2980" s="0" t="n">
        <v>0</v>
      </c>
      <c r="M2980" s="51" t="s">
        <v>6276</v>
      </c>
      <c r="N2980" s="49" t="n">
        <v>0</v>
      </c>
      <c r="O2980" s="53" t="n">
        <v>45745.3580671296</v>
      </c>
      <c r="P2980" s="53" t="n">
        <v>45757.8822222222</v>
      </c>
      <c r="Q2980" s="53" t="n">
        <v>45745.3580671296</v>
      </c>
      <c r="R2980" s="0" t="n">
        <v>0</v>
      </c>
      <c r="S2980" s="51" t="s">
        <v>2380</v>
      </c>
      <c r="T2980" s="51" t="s">
        <v>2380</v>
      </c>
      <c r="U2980" s="0" t="str">
        <f aca="false">"734730225548"</f>
        <v>734730225548</v>
      </c>
      <c r="V2980" s="51" t="s">
        <v>2365</v>
      </c>
      <c r="W2980" s="51" t="s">
        <v>5440</v>
      </c>
      <c r="X2980" s="51" t="s">
        <v>2359</v>
      </c>
    </row>
    <row r="2981" customFormat="false" ht="14.25" hidden="true" customHeight="false" outlineLevel="0" collapsed="false">
      <c r="A2981" s="49" t="s">
        <v>2349</v>
      </c>
      <c r="B2981" s="49" t="s">
        <v>2350</v>
      </c>
      <c r="C2981" s="49" t="s">
        <v>6298</v>
      </c>
      <c r="D2981" s="49" t="s">
        <v>2352</v>
      </c>
      <c r="E2981" s="49" t="str">
        <f aca="false">"734730225548"</f>
        <v>734730225548</v>
      </c>
      <c r="F2981" s="49" t="s">
        <v>2434</v>
      </c>
      <c r="G2981" s="49" t="n">
        <v>0</v>
      </c>
      <c r="H2981" s="0" t="n">
        <v>0</v>
      </c>
      <c r="M2981" s="51" t="s">
        <v>6276</v>
      </c>
      <c r="N2981" s="49" t="n">
        <v>0</v>
      </c>
      <c r="O2981" s="53" t="n">
        <v>45745.3584837963</v>
      </c>
      <c r="P2981" s="53" t="n">
        <v>45762.2137268519</v>
      </c>
      <c r="Q2981" s="53" t="n">
        <v>45745.3584837963</v>
      </c>
      <c r="R2981" s="0" t="n">
        <v>0</v>
      </c>
      <c r="S2981" s="51" t="s">
        <v>2380</v>
      </c>
      <c r="T2981" s="51" t="s">
        <v>2380</v>
      </c>
      <c r="U2981" s="0" t="str">
        <f aca="false">"734730225548"</f>
        <v>734730225548</v>
      </c>
      <c r="V2981" s="51" t="s">
        <v>2365</v>
      </c>
      <c r="W2981" s="51" t="s">
        <v>5346</v>
      </c>
      <c r="X2981" s="51" t="s">
        <v>2359</v>
      </c>
    </row>
    <row r="2982" customFormat="false" ht="14.25" hidden="true" customHeight="false" outlineLevel="0" collapsed="false">
      <c r="A2982" s="49" t="s">
        <v>2349</v>
      </c>
      <c r="B2982" s="49" t="s">
        <v>2350</v>
      </c>
      <c r="C2982" s="49" t="s">
        <v>6299</v>
      </c>
      <c r="D2982" s="49" t="s">
        <v>2352</v>
      </c>
      <c r="E2982" s="49" t="str">
        <f aca="false">"734730225548"</f>
        <v>734730225548</v>
      </c>
      <c r="F2982" s="49" t="s">
        <v>2434</v>
      </c>
      <c r="G2982" s="49" t="n">
        <v>0</v>
      </c>
      <c r="H2982" s="0" t="n">
        <v>0</v>
      </c>
      <c r="M2982" s="51" t="s">
        <v>6276</v>
      </c>
      <c r="N2982" s="49" t="n">
        <v>0</v>
      </c>
      <c r="O2982" s="53" t="n">
        <v>45745.3587037037</v>
      </c>
      <c r="P2982" s="53" t="n">
        <v>45757.8755092593</v>
      </c>
      <c r="Q2982" s="53" t="n">
        <v>45745.3587037037</v>
      </c>
      <c r="R2982" s="0" t="n">
        <v>0</v>
      </c>
      <c r="S2982" s="51" t="s">
        <v>2380</v>
      </c>
      <c r="T2982" s="51" t="s">
        <v>2380</v>
      </c>
      <c r="U2982" s="0" t="str">
        <f aca="false">"734730225548"</f>
        <v>734730225548</v>
      </c>
      <c r="V2982" s="51" t="s">
        <v>2365</v>
      </c>
      <c r="W2982" s="51" t="s">
        <v>5606</v>
      </c>
      <c r="X2982" s="51" t="s">
        <v>2359</v>
      </c>
    </row>
    <row r="2983" customFormat="false" ht="14.25" hidden="true" customHeight="false" outlineLevel="0" collapsed="false">
      <c r="A2983" s="49" t="s">
        <v>2349</v>
      </c>
      <c r="B2983" s="49" t="s">
        <v>2350</v>
      </c>
      <c r="C2983" s="49" t="s">
        <v>6300</v>
      </c>
      <c r="D2983" s="49" t="s">
        <v>2352</v>
      </c>
      <c r="E2983" s="49" t="str">
        <f aca="false">"734730225548"</f>
        <v>734730225548</v>
      </c>
      <c r="F2983" s="49" t="s">
        <v>2434</v>
      </c>
      <c r="G2983" s="49" t="n">
        <v>0</v>
      </c>
      <c r="H2983" s="0" t="n">
        <v>0</v>
      </c>
      <c r="M2983" s="51" t="s">
        <v>6276</v>
      </c>
      <c r="N2983" s="49" t="n">
        <v>0</v>
      </c>
      <c r="O2983" s="53" t="n">
        <v>45745.3590046296</v>
      </c>
      <c r="P2983" s="53" t="n">
        <v>45757.8815393519</v>
      </c>
      <c r="Q2983" s="53" t="n">
        <v>45745.3590046296</v>
      </c>
      <c r="R2983" s="0" t="n">
        <v>0</v>
      </c>
      <c r="S2983" s="51" t="s">
        <v>2380</v>
      </c>
      <c r="T2983" s="51" t="s">
        <v>2380</v>
      </c>
      <c r="U2983" s="0" t="str">
        <f aca="false">"734730225548"</f>
        <v>734730225548</v>
      </c>
      <c r="V2983" s="51" t="s">
        <v>2365</v>
      </c>
      <c r="W2983" s="51" t="s">
        <v>5442</v>
      </c>
      <c r="X2983" s="51" t="s">
        <v>2359</v>
      </c>
    </row>
    <row r="2984" customFormat="false" ht="14.25" hidden="true" customHeight="false" outlineLevel="0" collapsed="false">
      <c r="A2984" s="49" t="s">
        <v>2349</v>
      </c>
      <c r="B2984" s="49" t="s">
        <v>2350</v>
      </c>
      <c r="C2984" s="49" t="s">
        <v>6301</v>
      </c>
      <c r="D2984" s="49" t="s">
        <v>2352</v>
      </c>
      <c r="E2984" s="49" t="str">
        <f aca="false">"734730225548"</f>
        <v>734730225548</v>
      </c>
      <c r="F2984" s="49" t="s">
        <v>2434</v>
      </c>
      <c r="G2984" s="49" t="n">
        <v>0</v>
      </c>
      <c r="H2984" s="0" t="n">
        <v>0</v>
      </c>
      <c r="M2984" s="51" t="s">
        <v>6276</v>
      </c>
      <c r="N2984" s="49" t="n">
        <v>0</v>
      </c>
      <c r="O2984" s="53" t="n">
        <v>45745.359212963</v>
      </c>
      <c r="P2984" s="53" t="n">
        <v>45783.4780555556</v>
      </c>
      <c r="Q2984" s="53" t="n">
        <v>45745.359212963</v>
      </c>
      <c r="R2984" s="0" t="n">
        <v>0</v>
      </c>
      <c r="S2984" s="51" t="s">
        <v>2380</v>
      </c>
      <c r="T2984" s="51" t="s">
        <v>2380</v>
      </c>
      <c r="U2984" s="0" t="str">
        <f aca="false">"734730225548"</f>
        <v>734730225548</v>
      </c>
      <c r="V2984" s="51" t="s">
        <v>2365</v>
      </c>
      <c r="W2984" s="51" t="s">
        <v>4820</v>
      </c>
      <c r="X2984" s="51" t="s">
        <v>2359</v>
      </c>
    </row>
    <row r="2985" customFormat="false" ht="14.25" hidden="true" customHeight="false" outlineLevel="0" collapsed="false">
      <c r="A2985" s="49" t="s">
        <v>2349</v>
      </c>
      <c r="B2985" s="49" t="s">
        <v>2350</v>
      </c>
      <c r="C2985" s="49" t="s">
        <v>6302</v>
      </c>
      <c r="D2985" s="49" t="s">
        <v>2352</v>
      </c>
      <c r="E2985" s="49" t="str">
        <f aca="false">"734730225548"</f>
        <v>734730225548</v>
      </c>
      <c r="F2985" s="49" t="s">
        <v>2434</v>
      </c>
      <c r="G2985" s="49" t="n">
        <v>0</v>
      </c>
      <c r="H2985" s="0" t="n">
        <v>0</v>
      </c>
      <c r="M2985" s="51" t="s">
        <v>6276</v>
      </c>
      <c r="N2985" s="49" t="n">
        <v>0</v>
      </c>
      <c r="O2985" s="53" t="n">
        <v>45745.3594097222</v>
      </c>
      <c r="P2985" s="53" t="n">
        <v>45762.2268171296</v>
      </c>
      <c r="Q2985" s="53" t="n">
        <v>45745.3594097222</v>
      </c>
      <c r="R2985" s="0" t="n">
        <v>0</v>
      </c>
      <c r="S2985" s="51" t="s">
        <v>2380</v>
      </c>
      <c r="T2985" s="51" t="s">
        <v>2380</v>
      </c>
      <c r="U2985" s="0" t="str">
        <f aca="false">"734730225548"</f>
        <v>734730225548</v>
      </c>
      <c r="V2985" s="51" t="s">
        <v>2365</v>
      </c>
      <c r="W2985" s="51" t="s">
        <v>4376</v>
      </c>
      <c r="X2985" s="51" t="s">
        <v>2359</v>
      </c>
    </row>
    <row r="2986" customFormat="false" ht="14.25" hidden="true" customHeight="false" outlineLevel="0" collapsed="false">
      <c r="A2986" s="49" t="s">
        <v>2349</v>
      </c>
      <c r="B2986" s="49" t="s">
        <v>2350</v>
      </c>
      <c r="C2986" s="49" t="s">
        <v>6303</v>
      </c>
      <c r="D2986" s="49" t="s">
        <v>2352</v>
      </c>
      <c r="E2986" s="49" t="str">
        <f aca="false">"734730225548"</f>
        <v>734730225548</v>
      </c>
      <c r="F2986" s="49" t="s">
        <v>2434</v>
      </c>
      <c r="G2986" s="49" t="n">
        <v>0</v>
      </c>
      <c r="H2986" s="0" t="n">
        <v>0</v>
      </c>
      <c r="M2986" s="51" t="s">
        <v>6276</v>
      </c>
      <c r="N2986" s="49" t="n">
        <v>0</v>
      </c>
      <c r="O2986" s="53" t="n">
        <v>45745.3596064815</v>
      </c>
      <c r="P2986" s="53" t="n">
        <v>45783.5560069445</v>
      </c>
      <c r="Q2986" s="53" t="n">
        <v>45745.3596064815</v>
      </c>
      <c r="R2986" s="0" t="n">
        <v>0</v>
      </c>
      <c r="S2986" s="51" t="s">
        <v>2380</v>
      </c>
      <c r="T2986" s="51" t="s">
        <v>2380</v>
      </c>
      <c r="U2986" s="0" t="str">
        <f aca="false">"734730225548"</f>
        <v>734730225548</v>
      </c>
      <c r="V2986" s="51" t="s">
        <v>2365</v>
      </c>
      <c r="W2986" s="51" t="s">
        <v>6304</v>
      </c>
      <c r="X2986" s="51" t="s">
        <v>2359</v>
      </c>
    </row>
    <row r="2987" customFormat="false" ht="14.25" hidden="true" customHeight="false" outlineLevel="0" collapsed="false">
      <c r="A2987" s="49" t="s">
        <v>2349</v>
      </c>
      <c r="B2987" s="49" t="s">
        <v>2350</v>
      </c>
      <c r="C2987" s="49" t="s">
        <v>6305</v>
      </c>
      <c r="D2987" s="49" t="s">
        <v>2352</v>
      </c>
      <c r="E2987" s="49" t="str">
        <f aca="false">"734730225548"</f>
        <v>734730225548</v>
      </c>
      <c r="F2987" s="49" t="s">
        <v>2434</v>
      </c>
      <c r="G2987" s="49" t="n">
        <v>0</v>
      </c>
      <c r="H2987" s="0" t="n">
        <v>0</v>
      </c>
      <c r="M2987" s="51" t="s">
        <v>6276</v>
      </c>
      <c r="N2987" s="49" t="n">
        <v>0</v>
      </c>
      <c r="O2987" s="53" t="n">
        <v>45745.3598958333</v>
      </c>
      <c r="P2987" s="53" t="n">
        <v>45762.225</v>
      </c>
      <c r="Q2987" s="53" t="n">
        <v>45745.3598958333</v>
      </c>
      <c r="R2987" s="0" t="n">
        <v>0</v>
      </c>
      <c r="S2987" s="51" t="s">
        <v>2380</v>
      </c>
      <c r="T2987" s="51" t="s">
        <v>2380</v>
      </c>
      <c r="U2987" s="0" t="str">
        <f aca="false">"734730225548"</f>
        <v>734730225548</v>
      </c>
      <c r="V2987" s="51" t="s">
        <v>2365</v>
      </c>
      <c r="W2987" s="51" t="s">
        <v>4380</v>
      </c>
      <c r="X2987" s="51" t="s">
        <v>2359</v>
      </c>
    </row>
    <row r="2988" customFormat="false" ht="14.25" hidden="true" customHeight="false" outlineLevel="0" collapsed="false">
      <c r="A2988" s="49" t="s">
        <v>2349</v>
      </c>
      <c r="B2988" s="49" t="s">
        <v>2350</v>
      </c>
      <c r="C2988" s="49" t="s">
        <v>6306</v>
      </c>
      <c r="D2988" s="49" t="s">
        <v>2352</v>
      </c>
      <c r="E2988" s="49" t="str">
        <f aca="false">"734730225548"</f>
        <v>734730225548</v>
      </c>
      <c r="F2988" s="49" t="s">
        <v>2434</v>
      </c>
      <c r="G2988" s="49" t="n">
        <v>0</v>
      </c>
      <c r="H2988" s="0" t="n">
        <v>0</v>
      </c>
      <c r="M2988" s="51" t="s">
        <v>6276</v>
      </c>
      <c r="N2988" s="49" t="n">
        <v>0</v>
      </c>
      <c r="O2988" s="53" t="n">
        <v>45745.3600925926</v>
      </c>
      <c r="P2988" s="53" t="n">
        <v>45762.2257060185</v>
      </c>
      <c r="Q2988" s="53" t="n">
        <v>45745.3600925926</v>
      </c>
      <c r="R2988" s="0" t="n">
        <v>0</v>
      </c>
      <c r="S2988" s="51" t="s">
        <v>2380</v>
      </c>
      <c r="T2988" s="51" t="s">
        <v>2380</v>
      </c>
      <c r="U2988" s="0" t="str">
        <f aca="false">"734730225548"</f>
        <v>734730225548</v>
      </c>
      <c r="V2988" s="51" t="s">
        <v>2365</v>
      </c>
      <c r="W2988" s="51" t="s">
        <v>4395</v>
      </c>
      <c r="X2988" s="51" t="s">
        <v>2359</v>
      </c>
    </row>
    <row r="2989" customFormat="false" ht="14.25" hidden="true" customHeight="false" outlineLevel="0" collapsed="false">
      <c r="A2989" s="49" t="s">
        <v>2349</v>
      </c>
      <c r="B2989" s="49" t="s">
        <v>2350</v>
      </c>
      <c r="C2989" s="49" t="s">
        <v>6307</v>
      </c>
      <c r="D2989" s="49" t="s">
        <v>2352</v>
      </c>
      <c r="E2989" s="49" t="str">
        <f aca="false">"734730225548"</f>
        <v>734730225548</v>
      </c>
      <c r="F2989" s="49" t="s">
        <v>2434</v>
      </c>
      <c r="G2989" s="49" t="n">
        <v>0</v>
      </c>
      <c r="H2989" s="0" t="n">
        <v>0</v>
      </c>
      <c r="M2989" s="51" t="s">
        <v>6276</v>
      </c>
      <c r="N2989" s="49" t="n">
        <v>0</v>
      </c>
      <c r="O2989" s="53" t="n">
        <v>45745.3608564815</v>
      </c>
      <c r="P2989" s="53" t="n">
        <v>45762.2233796296</v>
      </c>
      <c r="Q2989" s="53" t="n">
        <v>45745.3608564815</v>
      </c>
      <c r="R2989" s="0" t="n">
        <v>0</v>
      </c>
      <c r="S2989" s="51" t="s">
        <v>2380</v>
      </c>
      <c r="T2989" s="51" t="s">
        <v>2380</v>
      </c>
      <c r="U2989" s="0" t="str">
        <f aca="false">"734730225548"</f>
        <v>734730225548</v>
      </c>
      <c r="V2989" s="51" t="s">
        <v>2365</v>
      </c>
      <c r="W2989" s="51" t="s">
        <v>6308</v>
      </c>
      <c r="X2989" s="51" t="s">
        <v>2359</v>
      </c>
    </row>
    <row r="2990" customFormat="false" ht="14.25" hidden="true" customHeight="false" outlineLevel="0" collapsed="false">
      <c r="A2990" s="49" t="s">
        <v>2349</v>
      </c>
      <c r="B2990" s="49" t="s">
        <v>2350</v>
      </c>
      <c r="C2990" s="49" t="s">
        <v>6309</v>
      </c>
      <c r="D2990" s="49" t="s">
        <v>2352</v>
      </c>
      <c r="E2990" s="49" t="str">
        <f aca="false">"734730225548"</f>
        <v>734730225548</v>
      </c>
      <c r="F2990" s="49" t="s">
        <v>2434</v>
      </c>
      <c r="G2990" s="49" t="n">
        <v>0</v>
      </c>
      <c r="H2990" s="0" t="n">
        <v>0</v>
      </c>
      <c r="M2990" s="51" t="s">
        <v>6276</v>
      </c>
      <c r="N2990" s="49" t="n">
        <v>0</v>
      </c>
      <c r="O2990" s="53" t="n">
        <v>45745.3603472222</v>
      </c>
      <c r="P2990" s="53" t="n">
        <v>45762.2244791667</v>
      </c>
      <c r="Q2990" s="53" t="n">
        <v>45745.3603472222</v>
      </c>
      <c r="R2990" s="0" t="n">
        <v>0</v>
      </c>
      <c r="S2990" s="51" t="s">
        <v>2380</v>
      </c>
      <c r="T2990" s="51" t="s">
        <v>2380</v>
      </c>
      <c r="U2990" s="0" t="str">
        <f aca="false">"734730225548"</f>
        <v>734730225548</v>
      </c>
      <c r="V2990" s="51" t="s">
        <v>2365</v>
      </c>
      <c r="W2990" s="51" t="s">
        <v>4391</v>
      </c>
      <c r="X2990" s="51" t="s">
        <v>2359</v>
      </c>
    </row>
    <row r="2991" customFormat="false" ht="14.25" hidden="true" customHeight="false" outlineLevel="0" collapsed="false">
      <c r="A2991" s="49" t="s">
        <v>2349</v>
      </c>
      <c r="B2991" s="49" t="s">
        <v>2350</v>
      </c>
      <c r="C2991" s="49" t="s">
        <v>6310</v>
      </c>
      <c r="D2991" s="49" t="s">
        <v>2352</v>
      </c>
      <c r="E2991" s="49" t="str">
        <f aca="false">"734730225548"</f>
        <v>734730225548</v>
      </c>
      <c r="F2991" s="49" t="s">
        <v>2434</v>
      </c>
      <c r="G2991" s="49" t="n">
        <v>0</v>
      </c>
      <c r="H2991" s="0" t="n">
        <v>0</v>
      </c>
      <c r="M2991" s="51" t="s">
        <v>6276</v>
      </c>
      <c r="N2991" s="49" t="n">
        <v>0</v>
      </c>
      <c r="O2991" s="53" t="n">
        <v>45745.3606018519</v>
      </c>
      <c r="P2991" s="53" t="n">
        <v>45757.8767476852</v>
      </c>
      <c r="Q2991" s="53" t="n">
        <v>45745.3606018519</v>
      </c>
      <c r="R2991" s="0" t="n">
        <v>0</v>
      </c>
      <c r="S2991" s="51" t="s">
        <v>2380</v>
      </c>
      <c r="T2991" s="51" t="s">
        <v>2380</v>
      </c>
      <c r="U2991" s="0" t="str">
        <f aca="false">"734730225548"</f>
        <v>734730225548</v>
      </c>
      <c r="V2991" s="51" t="s">
        <v>2365</v>
      </c>
      <c r="W2991" s="51" t="s">
        <v>6012</v>
      </c>
      <c r="X2991" s="51" t="s">
        <v>2359</v>
      </c>
    </row>
    <row r="2992" customFormat="false" ht="14.25" hidden="true" customHeight="false" outlineLevel="0" collapsed="false">
      <c r="A2992" s="49" t="s">
        <v>2349</v>
      </c>
      <c r="B2992" s="49" t="s">
        <v>2350</v>
      </c>
      <c r="C2992" s="49" t="s">
        <v>6311</v>
      </c>
      <c r="D2992" s="49" t="s">
        <v>2352</v>
      </c>
      <c r="E2992" s="49" t="str">
        <f aca="false">"734730225548"</f>
        <v>734730225548</v>
      </c>
      <c r="F2992" s="49" t="s">
        <v>2434</v>
      </c>
      <c r="G2992" s="49" t="n">
        <v>0</v>
      </c>
      <c r="H2992" s="0" t="n">
        <v>0</v>
      </c>
      <c r="M2992" s="51" t="s">
        <v>6276</v>
      </c>
      <c r="N2992" s="49" t="n">
        <v>0</v>
      </c>
      <c r="O2992" s="53" t="n">
        <v>45745.3613425926</v>
      </c>
      <c r="P2992" s="53" t="n">
        <v>45762.2212384259</v>
      </c>
      <c r="Q2992" s="53" t="n">
        <v>45745.3613425926</v>
      </c>
      <c r="R2992" s="0" t="n">
        <v>0</v>
      </c>
      <c r="S2992" s="51" t="s">
        <v>2380</v>
      </c>
      <c r="T2992" s="51" t="s">
        <v>2380</v>
      </c>
      <c r="U2992" s="0" t="str">
        <f aca="false">"734730225548"</f>
        <v>734730225548</v>
      </c>
      <c r="V2992" s="51" t="s">
        <v>2365</v>
      </c>
      <c r="W2992" s="51" t="s">
        <v>6312</v>
      </c>
      <c r="X2992" s="51" t="s">
        <v>2359</v>
      </c>
    </row>
    <row r="2993" customFormat="false" ht="14.25" hidden="true" customHeight="false" outlineLevel="0" collapsed="false">
      <c r="A2993" s="49" t="s">
        <v>2349</v>
      </c>
      <c r="B2993" s="49" t="s">
        <v>2350</v>
      </c>
      <c r="C2993" s="49" t="s">
        <v>6313</v>
      </c>
      <c r="D2993" s="49" t="s">
        <v>2352</v>
      </c>
      <c r="E2993" s="49" t="str">
        <f aca="false">"734730225548"</f>
        <v>734730225548</v>
      </c>
      <c r="F2993" s="49" t="s">
        <v>2434</v>
      </c>
      <c r="G2993" s="49" t="n">
        <v>0</v>
      </c>
      <c r="H2993" s="0" t="n">
        <v>0</v>
      </c>
      <c r="M2993" s="51" t="s">
        <v>6276</v>
      </c>
      <c r="N2993" s="49" t="n">
        <v>0</v>
      </c>
      <c r="O2993" s="53" t="n">
        <v>45745.3611342593</v>
      </c>
      <c r="P2993" s="53" t="n">
        <v>45757.8849768519</v>
      </c>
      <c r="Q2993" s="53" t="n">
        <v>45745.3611342593</v>
      </c>
      <c r="R2993" s="0" t="n">
        <v>0</v>
      </c>
      <c r="S2993" s="51" t="s">
        <v>2380</v>
      </c>
      <c r="T2993" s="51" t="s">
        <v>2380</v>
      </c>
      <c r="U2993" s="0" t="str">
        <f aca="false">"734730225548"</f>
        <v>734730225548</v>
      </c>
      <c r="V2993" s="51" t="s">
        <v>2365</v>
      </c>
      <c r="W2993" s="51" t="s">
        <v>6314</v>
      </c>
      <c r="X2993" s="51" t="s">
        <v>2359</v>
      </c>
    </row>
    <row r="2994" customFormat="false" ht="14.25" hidden="true" customHeight="false" outlineLevel="0" collapsed="false">
      <c r="A2994" s="49" t="s">
        <v>2349</v>
      </c>
      <c r="B2994" s="49" t="s">
        <v>2350</v>
      </c>
      <c r="C2994" s="49" t="s">
        <v>6315</v>
      </c>
      <c r="D2994" s="49" t="s">
        <v>2352</v>
      </c>
      <c r="E2994" s="49" t="str">
        <f aca="false">"734730225548"</f>
        <v>734730225548</v>
      </c>
      <c r="F2994" s="49" t="s">
        <v>2434</v>
      </c>
      <c r="G2994" s="49" t="n">
        <v>0</v>
      </c>
      <c r="H2994" s="0" t="n">
        <v>0</v>
      </c>
      <c r="M2994" s="51" t="s">
        <v>6276</v>
      </c>
      <c r="N2994" s="49" t="n">
        <v>0</v>
      </c>
      <c r="O2994" s="53" t="n">
        <v>45745.3617708333</v>
      </c>
      <c r="P2994" s="53" t="n">
        <v>45757.8778125</v>
      </c>
      <c r="Q2994" s="53" t="n">
        <v>45745.3617708333</v>
      </c>
      <c r="R2994" s="0" t="n">
        <v>0</v>
      </c>
      <c r="S2994" s="51" t="s">
        <v>2380</v>
      </c>
      <c r="T2994" s="51" t="s">
        <v>2380</v>
      </c>
      <c r="U2994" s="0" t="str">
        <f aca="false">"734730225548"</f>
        <v>734730225548</v>
      </c>
      <c r="V2994" s="51" t="s">
        <v>2365</v>
      </c>
      <c r="W2994" s="51" t="s">
        <v>5450</v>
      </c>
      <c r="X2994" s="51" t="s">
        <v>2359</v>
      </c>
    </row>
    <row r="2995" customFormat="false" ht="14.25" hidden="true" customHeight="false" outlineLevel="0" collapsed="false">
      <c r="A2995" s="49" t="s">
        <v>2349</v>
      </c>
      <c r="B2995" s="49" t="s">
        <v>2350</v>
      </c>
      <c r="C2995" s="49" t="s">
        <v>6316</v>
      </c>
      <c r="D2995" s="49" t="s">
        <v>2352</v>
      </c>
      <c r="E2995" s="49" t="str">
        <f aca="false">"734730225548"</f>
        <v>734730225548</v>
      </c>
      <c r="F2995" s="49" t="s">
        <v>2434</v>
      </c>
      <c r="G2995" s="49" t="n">
        <v>0</v>
      </c>
      <c r="H2995" s="0" t="n">
        <v>0</v>
      </c>
      <c r="M2995" s="51" t="s">
        <v>6276</v>
      </c>
      <c r="N2995" s="49" t="n">
        <v>0</v>
      </c>
      <c r="O2995" s="53" t="n">
        <v>45745.3619560185</v>
      </c>
      <c r="P2995" s="53" t="n">
        <v>45762.2354050926</v>
      </c>
      <c r="Q2995" s="53" t="n">
        <v>45745.3619560185</v>
      </c>
      <c r="R2995" s="0" t="n">
        <v>0</v>
      </c>
      <c r="S2995" s="51" t="s">
        <v>2380</v>
      </c>
      <c r="T2995" s="51" t="s">
        <v>2380</v>
      </c>
      <c r="U2995" s="0" t="str">
        <f aca="false">"734730225548"</f>
        <v>734730225548</v>
      </c>
      <c r="V2995" s="51" t="s">
        <v>2365</v>
      </c>
      <c r="W2995" s="51" t="s">
        <v>6317</v>
      </c>
      <c r="X2995" s="51" t="s">
        <v>2359</v>
      </c>
    </row>
    <row r="2996" customFormat="false" ht="14.25" hidden="true" customHeight="false" outlineLevel="0" collapsed="false">
      <c r="A2996" s="49" t="s">
        <v>2349</v>
      </c>
      <c r="B2996" s="49" t="s">
        <v>2350</v>
      </c>
      <c r="C2996" s="49" t="s">
        <v>6318</v>
      </c>
      <c r="D2996" s="49" t="s">
        <v>2352</v>
      </c>
      <c r="E2996" s="49" t="str">
        <f aca="false">"734730225548"</f>
        <v>734730225548</v>
      </c>
      <c r="F2996" s="49" t="s">
        <v>2434</v>
      </c>
      <c r="G2996" s="49" t="n">
        <v>0</v>
      </c>
      <c r="H2996" s="0" t="n">
        <v>0</v>
      </c>
      <c r="M2996" s="51" t="s">
        <v>6276</v>
      </c>
      <c r="N2996" s="49" t="n">
        <v>0</v>
      </c>
      <c r="O2996" s="53" t="n">
        <v>45745.3639814815</v>
      </c>
      <c r="P2996" s="53" t="n">
        <v>45762.212650463</v>
      </c>
      <c r="Q2996" s="53" t="n">
        <v>45745.3639814815</v>
      </c>
      <c r="R2996" s="0" t="n">
        <v>0</v>
      </c>
      <c r="S2996" s="51" t="s">
        <v>2380</v>
      </c>
      <c r="T2996" s="51" t="s">
        <v>2380</v>
      </c>
      <c r="U2996" s="0" t="str">
        <f aca="false">"734730225548"</f>
        <v>734730225548</v>
      </c>
      <c r="V2996" s="51" t="s">
        <v>2365</v>
      </c>
      <c r="W2996" s="51" t="s">
        <v>5338</v>
      </c>
      <c r="X2996" s="51" t="s">
        <v>2359</v>
      </c>
    </row>
    <row r="2997" customFormat="false" ht="14.25" hidden="true" customHeight="false" outlineLevel="0" collapsed="false">
      <c r="A2997" s="49" t="s">
        <v>2349</v>
      </c>
      <c r="B2997" s="49" t="s">
        <v>2350</v>
      </c>
      <c r="C2997" s="49" t="s">
        <v>6319</v>
      </c>
      <c r="D2997" s="49" t="s">
        <v>2352</v>
      </c>
      <c r="E2997" s="49" t="str">
        <f aca="false">"734730225548"</f>
        <v>734730225548</v>
      </c>
      <c r="F2997" s="49" t="s">
        <v>2434</v>
      </c>
      <c r="G2997" s="49" t="n">
        <v>0</v>
      </c>
      <c r="H2997" s="0" t="n">
        <v>0</v>
      </c>
      <c r="M2997" s="51" t="s">
        <v>6276</v>
      </c>
      <c r="N2997" s="49" t="n">
        <v>0</v>
      </c>
      <c r="O2997" s="53" t="n">
        <v>45745.3647106482</v>
      </c>
      <c r="P2997" s="53" t="n">
        <v>45762.22375</v>
      </c>
      <c r="Q2997" s="53" t="n">
        <v>45745.3647106482</v>
      </c>
      <c r="R2997" s="0" t="n">
        <v>0</v>
      </c>
      <c r="S2997" s="51" t="s">
        <v>2380</v>
      </c>
      <c r="T2997" s="51" t="s">
        <v>2380</v>
      </c>
      <c r="U2997" s="0" t="str">
        <f aca="false">"734730225548"</f>
        <v>734730225548</v>
      </c>
      <c r="V2997" s="51" t="s">
        <v>2365</v>
      </c>
      <c r="W2997" s="51" t="s">
        <v>5095</v>
      </c>
      <c r="X2997" s="51" t="s">
        <v>2359</v>
      </c>
    </row>
    <row r="2998" customFormat="false" ht="14.25" hidden="true" customHeight="false" outlineLevel="0" collapsed="false">
      <c r="A2998" s="49" t="s">
        <v>2349</v>
      </c>
      <c r="B2998" s="49" t="s">
        <v>2350</v>
      </c>
      <c r="C2998" s="49" t="s">
        <v>6320</v>
      </c>
      <c r="D2998" s="49" t="s">
        <v>2352</v>
      </c>
      <c r="E2998" s="49" t="str">
        <f aca="false">"734730225548"</f>
        <v>734730225548</v>
      </c>
      <c r="F2998" s="49" t="s">
        <v>2434</v>
      </c>
      <c r="G2998" s="49" t="n">
        <v>0</v>
      </c>
      <c r="H2998" s="0" t="n">
        <v>0</v>
      </c>
      <c r="M2998" s="51" t="s">
        <v>6276</v>
      </c>
      <c r="N2998" s="49" t="n">
        <v>0</v>
      </c>
      <c r="O2998" s="53" t="n">
        <v>45745.3648842593</v>
      </c>
      <c r="P2998" s="53" t="n">
        <v>45783.5564930556</v>
      </c>
      <c r="Q2998" s="53" t="n">
        <v>45745.3648842593</v>
      </c>
      <c r="R2998" s="0" t="n">
        <v>0</v>
      </c>
      <c r="S2998" s="51" t="s">
        <v>2380</v>
      </c>
      <c r="T2998" s="51" t="s">
        <v>2380</v>
      </c>
      <c r="U2998" s="0" t="str">
        <f aca="false">"734730225548"</f>
        <v>734730225548</v>
      </c>
      <c r="V2998" s="51" t="s">
        <v>2365</v>
      </c>
      <c r="W2998" s="51" t="s">
        <v>5230</v>
      </c>
      <c r="X2998" s="51" t="s">
        <v>2359</v>
      </c>
    </row>
    <row r="2999" customFormat="false" ht="14.25" hidden="true" customHeight="false" outlineLevel="0" collapsed="false">
      <c r="A2999" s="49" t="s">
        <v>2349</v>
      </c>
      <c r="B2999" s="49" t="s">
        <v>2350</v>
      </c>
      <c r="C2999" s="49" t="s">
        <v>6321</v>
      </c>
      <c r="D2999" s="49" t="s">
        <v>2352</v>
      </c>
      <c r="E2999" s="49" t="str">
        <f aca="false">"734730225548"</f>
        <v>734730225548</v>
      </c>
      <c r="F2999" s="49" t="s">
        <v>2434</v>
      </c>
      <c r="G2999" s="49" t="n">
        <v>0</v>
      </c>
      <c r="H2999" s="0" t="n">
        <v>0</v>
      </c>
      <c r="M2999" s="51" t="s">
        <v>6276</v>
      </c>
      <c r="N2999" s="49" t="n">
        <v>0</v>
      </c>
      <c r="O2999" s="53" t="n">
        <v>45745.3650578704</v>
      </c>
      <c r="P2999" s="53" t="n">
        <v>45783.5597569444</v>
      </c>
      <c r="Q2999" s="53" t="n">
        <v>45745.3650578704</v>
      </c>
      <c r="R2999" s="0" t="n">
        <v>0</v>
      </c>
      <c r="S2999" s="51" t="s">
        <v>2380</v>
      </c>
      <c r="T2999" s="51" t="s">
        <v>2380</v>
      </c>
      <c r="U2999" s="0" t="str">
        <f aca="false">"734730225548"</f>
        <v>734730225548</v>
      </c>
      <c r="V2999" s="51" t="s">
        <v>2365</v>
      </c>
      <c r="W2999" s="51" t="s">
        <v>4728</v>
      </c>
      <c r="X2999" s="51" t="s">
        <v>2359</v>
      </c>
    </row>
    <row r="3000" customFormat="false" ht="14.25" hidden="true" customHeight="false" outlineLevel="0" collapsed="false">
      <c r="A3000" s="49" t="s">
        <v>2349</v>
      </c>
      <c r="B3000" s="49" t="s">
        <v>2350</v>
      </c>
      <c r="C3000" s="49" t="s">
        <v>6322</v>
      </c>
      <c r="D3000" s="49" t="s">
        <v>2352</v>
      </c>
      <c r="E3000" s="49" t="str">
        <f aca="false">"734730225548"</f>
        <v>734730225548</v>
      </c>
      <c r="F3000" s="49" t="s">
        <v>2434</v>
      </c>
      <c r="G3000" s="49" t="n">
        <v>0</v>
      </c>
      <c r="H3000" s="0" t="n">
        <v>0</v>
      </c>
      <c r="M3000" s="51" t="s">
        <v>6276</v>
      </c>
      <c r="N3000" s="49" t="n">
        <v>0</v>
      </c>
      <c r="O3000" s="53" t="n">
        <v>45745.3652546296</v>
      </c>
      <c r="P3000" s="53" t="n">
        <v>45783.5576388889</v>
      </c>
      <c r="Q3000" s="53" t="n">
        <v>45745.3652546296</v>
      </c>
      <c r="R3000" s="0" t="n">
        <v>0</v>
      </c>
      <c r="S3000" s="51" t="s">
        <v>2380</v>
      </c>
      <c r="T3000" s="51" t="s">
        <v>2380</v>
      </c>
      <c r="U3000" s="0" t="str">
        <f aca="false">"734730225548"</f>
        <v>734730225548</v>
      </c>
      <c r="V3000" s="51" t="s">
        <v>2365</v>
      </c>
      <c r="W3000" s="51" t="s">
        <v>5226</v>
      </c>
      <c r="X3000" s="51" t="s">
        <v>2359</v>
      </c>
    </row>
    <row r="3001" customFormat="false" ht="14.25" hidden="true" customHeight="false" outlineLevel="0" collapsed="false">
      <c r="A3001" s="49" t="s">
        <v>2349</v>
      </c>
      <c r="B3001" s="49" t="s">
        <v>2350</v>
      </c>
      <c r="C3001" s="49" t="s">
        <v>6323</v>
      </c>
      <c r="D3001" s="49" t="s">
        <v>2352</v>
      </c>
      <c r="E3001" s="49" t="str">
        <f aca="false">"734730225548"</f>
        <v>734730225548</v>
      </c>
      <c r="F3001" s="49" t="s">
        <v>2434</v>
      </c>
      <c r="G3001" s="49" t="n">
        <v>0</v>
      </c>
      <c r="H3001" s="0" t="n">
        <v>0</v>
      </c>
      <c r="M3001" s="51" t="s">
        <v>6276</v>
      </c>
      <c r="N3001" s="49" t="n">
        <v>0</v>
      </c>
      <c r="O3001" s="53" t="n">
        <v>45745.3654398148</v>
      </c>
      <c r="P3001" s="53" t="n">
        <v>45783.5590625</v>
      </c>
      <c r="Q3001" s="53" t="n">
        <v>45745.3654398148</v>
      </c>
      <c r="R3001" s="0" t="n">
        <v>0</v>
      </c>
      <c r="S3001" s="51" t="s">
        <v>2380</v>
      </c>
      <c r="T3001" s="51" t="s">
        <v>2380</v>
      </c>
      <c r="U3001" s="0" t="str">
        <f aca="false">"734730225548"</f>
        <v>734730225548</v>
      </c>
      <c r="V3001" s="51" t="s">
        <v>2365</v>
      </c>
      <c r="W3001" s="51" t="s">
        <v>6324</v>
      </c>
      <c r="X3001" s="51" t="s">
        <v>2359</v>
      </c>
    </row>
    <row r="3002" customFormat="false" ht="14.25" hidden="true" customHeight="false" outlineLevel="0" collapsed="false">
      <c r="A3002" s="49" t="s">
        <v>2349</v>
      </c>
      <c r="B3002" s="49" t="s">
        <v>2350</v>
      </c>
      <c r="C3002" s="49" t="s">
        <v>6325</v>
      </c>
      <c r="D3002" s="49" t="s">
        <v>2352</v>
      </c>
      <c r="E3002" s="49" t="str">
        <f aca="false">"734730225548"</f>
        <v>734730225548</v>
      </c>
      <c r="F3002" s="49" t="s">
        <v>2434</v>
      </c>
      <c r="G3002" s="49" t="n">
        <v>0</v>
      </c>
      <c r="H3002" s="0" t="n">
        <v>0</v>
      </c>
      <c r="M3002" s="51" t="s">
        <v>6276</v>
      </c>
      <c r="N3002" s="49" t="n">
        <v>0</v>
      </c>
      <c r="O3002" s="53" t="n">
        <v>45745.3656481481</v>
      </c>
      <c r="P3002" s="53" t="n">
        <v>45783.5653240741</v>
      </c>
      <c r="Q3002" s="53" t="n">
        <v>45745.3656481481</v>
      </c>
      <c r="R3002" s="0" t="n">
        <v>0</v>
      </c>
      <c r="S3002" s="51" t="s">
        <v>2380</v>
      </c>
      <c r="T3002" s="51" t="s">
        <v>2380</v>
      </c>
      <c r="U3002" s="0" t="str">
        <f aca="false">"734730225548"</f>
        <v>734730225548</v>
      </c>
      <c r="V3002" s="51" t="s">
        <v>2365</v>
      </c>
      <c r="W3002" s="51" t="s">
        <v>6326</v>
      </c>
      <c r="X3002" s="51" t="s">
        <v>2359</v>
      </c>
    </row>
    <row r="3003" customFormat="false" ht="14.25" hidden="true" customHeight="false" outlineLevel="0" collapsed="false">
      <c r="A3003" s="49" t="s">
        <v>2349</v>
      </c>
      <c r="B3003" s="49" t="s">
        <v>2350</v>
      </c>
      <c r="C3003" s="49" t="s">
        <v>6327</v>
      </c>
      <c r="D3003" s="49" t="s">
        <v>2352</v>
      </c>
      <c r="E3003" s="49" t="str">
        <f aca="false">"734730225548"</f>
        <v>734730225548</v>
      </c>
      <c r="F3003" s="49" t="s">
        <v>2434</v>
      </c>
      <c r="G3003" s="49" t="n">
        <v>0</v>
      </c>
      <c r="H3003" s="0" t="n">
        <v>0</v>
      </c>
      <c r="M3003" s="51" t="s">
        <v>6276</v>
      </c>
      <c r="N3003" s="49" t="n">
        <v>0</v>
      </c>
      <c r="O3003" s="53" t="n">
        <v>45745.3658912037</v>
      </c>
      <c r="P3003" s="53" t="n">
        <v>45783.5670949074</v>
      </c>
      <c r="Q3003" s="53" t="n">
        <v>45745.3658912037</v>
      </c>
      <c r="R3003" s="0" t="n">
        <v>0</v>
      </c>
      <c r="S3003" s="51" t="s">
        <v>2380</v>
      </c>
      <c r="T3003" s="51" t="s">
        <v>2380</v>
      </c>
      <c r="U3003" s="0" t="str">
        <f aca="false">"734730225548"</f>
        <v>734730225548</v>
      </c>
      <c r="V3003" s="51" t="s">
        <v>2365</v>
      </c>
      <c r="W3003" s="51" t="s">
        <v>5218</v>
      </c>
      <c r="X3003" s="51" t="s">
        <v>2359</v>
      </c>
    </row>
    <row r="3004" customFormat="false" ht="14.25" hidden="true" customHeight="false" outlineLevel="0" collapsed="false">
      <c r="A3004" s="49" t="s">
        <v>2349</v>
      </c>
      <c r="B3004" s="49" t="s">
        <v>2350</v>
      </c>
      <c r="C3004" s="49" t="s">
        <v>6328</v>
      </c>
      <c r="D3004" s="49" t="s">
        <v>2352</v>
      </c>
      <c r="E3004" s="49" t="str">
        <f aca="false">"734730225548"</f>
        <v>734730225548</v>
      </c>
      <c r="F3004" s="49" t="s">
        <v>2434</v>
      </c>
      <c r="G3004" s="49" t="n">
        <v>0</v>
      </c>
      <c r="H3004" s="0" t="n">
        <v>0</v>
      </c>
      <c r="M3004" s="51" t="s">
        <v>6276</v>
      </c>
      <c r="N3004" s="49" t="n">
        <v>0</v>
      </c>
      <c r="O3004" s="53" t="n">
        <v>45745.3661111111</v>
      </c>
      <c r="P3004" s="53" t="n">
        <v>45783.4796643519</v>
      </c>
      <c r="Q3004" s="53" t="n">
        <v>45745.3661111111</v>
      </c>
      <c r="R3004" s="0" t="n">
        <v>0</v>
      </c>
      <c r="S3004" s="51" t="s">
        <v>2380</v>
      </c>
      <c r="T3004" s="51" t="s">
        <v>2380</v>
      </c>
      <c r="U3004" s="0" t="str">
        <f aca="false">"734730225548"</f>
        <v>734730225548</v>
      </c>
      <c r="V3004" s="51" t="s">
        <v>2365</v>
      </c>
      <c r="W3004" s="51" t="s">
        <v>6329</v>
      </c>
      <c r="X3004" s="51" t="s">
        <v>2359</v>
      </c>
    </row>
    <row r="3005" customFormat="false" ht="14.25" hidden="true" customHeight="false" outlineLevel="0" collapsed="false">
      <c r="A3005" s="49" t="s">
        <v>2349</v>
      </c>
      <c r="B3005" s="49" t="s">
        <v>2350</v>
      </c>
      <c r="C3005" s="49" t="s">
        <v>6330</v>
      </c>
      <c r="D3005" s="49" t="s">
        <v>2352</v>
      </c>
      <c r="E3005" s="49" t="str">
        <f aca="false">"734730225548"</f>
        <v>734730225548</v>
      </c>
      <c r="F3005" s="49" t="s">
        <v>2434</v>
      </c>
      <c r="G3005" s="49" t="n">
        <v>0</v>
      </c>
      <c r="H3005" s="0" t="n">
        <v>0</v>
      </c>
      <c r="M3005" s="51" t="s">
        <v>6276</v>
      </c>
      <c r="N3005" s="49" t="n">
        <v>0</v>
      </c>
      <c r="O3005" s="53" t="n">
        <v>45745.3663310185</v>
      </c>
      <c r="P3005" s="53" t="n">
        <v>45757.8740740741</v>
      </c>
      <c r="Q3005" s="53" t="n">
        <v>45745.3663310185</v>
      </c>
      <c r="R3005" s="0" t="n">
        <v>0</v>
      </c>
      <c r="S3005" s="51" t="s">
        <v>2380</v>
      </c>
      <c r="T3005" s="51" t="s">
        <v>2380</v>
      </c>
      <c r="U3005" s="0" t="str">
        <f aca="false">"734730225548"</f>
        <v>734730225548</v>
      </c>
      <c r="V3005" s="51" t="s">
        <v>2365</v>
      </c>
      <c r="W3005" s="51" t="s">
        <v>4558</v>
      </c>
      <c r="X3005" s="51" t="s">
        <v>2359</v>
      </c>
    </row>
    <row r="3006" customFormat="false" ht="14.25" hidden="true" customHeight="false" outlineLevel="0" collapsed="false">
      <c r="A3006" s="49" t="s">
        <v>2349</v>
      </c>
      <c r="B3006" s="49" t="s">
        <v>2350</v>
      </c>
      <c r="C3006" s="49" t="s">
        <v>6331</v>
      </c>
      <c r="D3006" s="49" t="s">
        <v>2352</v>
      </c>
      <c r="E3006" s="49" t="str">
        <f aca="false">"5060458890191"</f>
        <v>5060458890191</v>
      </c>
      <c r="F3006" s="49" t="s">
        <v>3656</v>
      </c>
      <c r="G3006" s="49" t="n">
        <v>0</v>
      </c>
      <c r="H3006" s="0" t="n">
        <v>0</v>
      </c>
      <c r="M3006" s="51" t="s">
        <v>6332</v>
      </c>
      <c r="N3006" s="49" t="n">
        <v>0</v>
      </c>
      <c r="O3006" s="53" t="n">
        <v>45735.7197685185</v>
      </c>
      <c r="P3006" s="53" t="n">
        <v>45787.4396180556</v>
      </c>
      <c r="Q3006" s="53" t="n">
        <v>45735.7197685185</v>
      </c>
      <c r="R3006" s="0" t="n">
        <v>0</v>
      </c>
      <c r="S3006" s="51" t="s">
        <v>2376</v>
      </c>
      <c r="T3006" s="51" t="s">
        <v>2376</v>
      </c>
      <c r="U3006" s="0" t="str">
        <f aca="false">"5060458890191"</f>
        <v>5060458890191</v>
      </c>
      <c r="V3006" s="51" t="s">
        <v>2142</v>
      </c>
      <c r="W3006" s="51" t="s">
        <v>4525</v>
      </c>
      <c r="X3006" s="51" t="s">
        <v>2359</v>
      </c>
    </row>
    <row r="3007" customFormat="false" ht="14.25" hidden="true" customHeight="false" outlineLevel="0" collapsed="false">
      <c r="A3007" s="49" t="s">
        <v>2349</v>
      </c>
      <c r="B3007" s="49" t="s">
        <v>2350</v>
      </c>
      <c r="C3007" s="49" t="s">
        <v>6333</v>
      </c>
      <c r="D3007" s="49" t="s">
        <v>2352</v>
      </c>
      <c r="E3007" s="49" t="str">
        <f aca="false">"5060458890191"</f>
        <v>5060458890191</v>
      </c>
      <c r="F3007" s="49" t="s">
        <v>3656</v>
      </c>
      <c r="G3007" s="49" t="n">
        <v>0</v>
      </c>
      <c r="H3007" s="0" t="n">
        <v>0</v>
      </c>
      <c r="M3007" s="51" t="s">
        <v>6332</v>
      </c>
      <c r="N3007" s="49" t="n">
        <v>0</v>
      </c>
      <c r="O3007" s="53" t="n">
        <v>45735.7196527778</v>
      </c>
      <c r="P3007" s="53" t="n">
        <v>45787.4384953704</v>
      </c>
      <c r="Q3007" s="53" t="n">
        <v>45735.7196527778</v>
      </c>
      <c r="R3007" s="0" t="n">
        <v>0</v>
      </c>
      <c r="S3007" s="51" t="s">
        <v>2376</v>
      </c>
      <c r="T3007" s="51" t="s">
        <v>2376</v>
      </c>
      <c r="U3007" s="0" t="str">
        <f aca="false">"5060458890191"</f>
        <v>5060458890191</v>
      </c>
      <c r="V3007" s="51" t="s">
        <v>2142</v>
      </c>
      <c r="W3007" s="51" t="s">
        <v>4535</v>
      </c>
      <c r="X3007" s="51" t="s">
        <v>2359</v>
      </c>
    </row>
    <row r="3008" customFormat="false" ht="14.25" hidden="true" customHeight="false" outlineLevel="0" collapsed="false">
      <c r="A3008" s="49" t="s">
        <v>2349</v>
      </c>
      <c r="B3008" s="49" t="s">
        <v>2350</v>
      </c>
      <c r="C3008" s="49" t="s">
        <v>6334</v>
      </c>
      <c r="D3008" s="49" t="s">
        <v>2352</v>
      </c>
      <c r="E3008" s="49" t="str">
        <f aca="false">"5060458890191"</f>
        <v>5060458890191</v>
      </c>
      <c r="F3008" s="49" t="s">
        <v>3656</v>
      </c>
      <c r="G3008" s="49" t="n">
        <v>0</v>
      </c>
      <c r="H3008" s="0" t="n">
        <v>0</v>
      </c>
      <c r="M3008" s="51" t="s">
        <v>6332</v>
      </c>
      <c r="N3008" s="49" t="n">
        <v>0</v>
      </c>
      <c r="O3008" s="53" t="n">
        <v>45735.7195023148</v>
      </c>
      <c r="P3008" s="53" t="n">
        <v>45787.4375925926</v>
      </c>
      <c r="Q3008" s="53" t="n">
        <v>45735.7195023148</v>
      </c>
      <c r="R3008" s="0" t="n">
        <v>0</v>
      </c>
      <c r="S3008" s="51" t="s">
        <v>2376</v>
      </c>
      <c r="T3008" s="51" t="s">
        <v>2376</v>
      </c>
      <c r="U3008" s="0" t="str">
        <f aca="false">"5060458890191"</f>
        <v>5060458890191</v>
      </c>
      <c r="V3008" s="51" t="s">
        <v>2142</v>
      </c>
      <c r="W3008" s="51" t="s">
        <v>4537</v>
      </c>
      <c r="X3008" s="51" t="s">
        <v>2359</v>
      </c>
    </row>
    <row r="3009" customFormat="false" ht="14.25" hidden="true" customHeight="false" outlineLevel="0" collapsed="false">
      <c r="A3009" s="49" t="s">
        <v>2349</v>
      </c>
      <c r="B3009" s="49" t="s">
        <v>2350</v>
      </c>
      <c r="C3009" s="49" t="s">
        <v>6335</v>
      </c>
      <c r="D3009" s="49" t="s">
        <v>2352</v>
      </c>
      <c r="E3009" s="49" t="str">
        <f aca="false">"5060458890191"</f>
        <v>5060458890191</v>
      </c>
      <c r="F3009" s="49" t="s">
        <v>3656</v>
      </c>
      <c r="G3009" s="49" t="n">
        <v>0</v>
      </c>
      <c r="H3009" s="0" t="n">
        <v>0</v>
      </c>
      <c r="M3009" s="51" t="s">
        <v>6332</v>
      </c>
      <c r="N3009" s="49" t="n">
        <v>0</v>
      </c>
      <c r="O3009" s="53" t="n">
        <v>45735.7193402778</v>
      </c>
      <c r="P3009" s="53" t="n">
        <v>45784.3713194444</v>
      </c>
      <c r="Q3009" s="53" t="n">
        <v>45735.7193402778</v>
      </c>
      <c r="R3009" s="0" t="n">
        <v>0</v>
      </c>
      <c r="S3009" s="51" t="s">
        <v>2376</v>
      </c>
      <c r="T3009" s="51" t="s">
        <v>2376</v>
      </c>
      <c r="U3009" s="0" t="str">
        <f aca="false">"5060458890191"</f>
        <v>5060458890191</v>
      </c>
      <c r="V3009" s="51" t="s">
        <v>2142</v>
      </c>
      <c r="W3009" s="51" t="s">
        <v>5285</v>
      </c>
      <c r="X3009" s="51" t="s">
        <v>2359</v>
      </c>
    </row>
    <row r="3010" customFormat="false" ht="14.25" hidden="true" customHeight="false" outlineLevel="0" collapsed="false">
      <c r="A3010" s="49" t="s">
        <v>2349</v>
      </c>
      <c r="B3010" s="49" t="s">
        <v>2350</v>
      </c>
      <c r="C3010" s="49" t="s">
        <v>6336</v>
      </c>
      <c r="D3010" s="49" t="s">
        <v>2352</v>
      </c>
      <c r="E3010" s="49" t="str">
        <f aca="false">"5060458890191"</f>
        <v>5060458890191</v>
      </c>
      <c r="F3010" s="49" t="s">
        <v>3656</v>
      </c>
      <c r="G3010" s="49" t="n">
        <v>0</v>
      </c>
      <c r="H3010" s="0" t="n">
        <v>0</v>
      </c>
      <c r="M3010" s="51" t="s">
        <v>6332</v>
      </c>
      <c r="N3010" s="49" t="n">
        <v>0</v>
      </c>
      <c r="O3010" s="53" t="n">
        <v>45735.7191898148</v>
      </c>
      <c r="P3010" s="53" t="n">
        <v>45778.7307638889</v>
      </c>
      <c r="Q3010" s="53" t="n">
        <v>45735.7191898148</v>
      </c>
      <c r="R3010" s="0" t="n">
        <v>0</v>
      </c>
      <c r="S3010" s="51" t="s">
        <v>2376</v>
      </c>
      <c r="T3010" s="51" t="s">
        <v>2376</v>
      </c>
      <c r="U3010" s="0" t="str">
        <f aca="false">"5060458890191"</f>
        <v>5060458890191</v>
      </c>
      <c r="V3010" s="51" t="s">
        <v>2142</v>
      </c>
      <c r="W3010" s="51" t="s">
        <v>5295</v>
      </c>
      <c r="X3010" s="51" t="s">
        <v>2359</v>
      </c>
    </row>
    <row r="3011" customFormat="false" ht="14.25" hidden="true" customHeight="false" outlineLevel="0" collapsed="false">
      <c r="A3011" s="49" t="s">
        <v>2349</v>
      </c>
      <c r="B3011" s="49" t="s">
        <v>2350</v>
      </c>
      <c r="C3011" s="49" t="s">
        <v>6337</v>
      </c>
      <c r="D3011" s="49" t="s">
        <v>2352</v>
      </c>
      <c r="E3011" s="49" t="str">
        <f aca="false">"5060458890191"</f>
        <v>5060458890191</v>
      </c>
      <c r="F3011" s="49" t="s">
        <v>3656</v>
      </c>
      <c r="G3011" s="49" t="n">
        <v>0</v>
      </c>
      <c r="H3011" s="0" t="n">
        <v>0</v>
      </c>
      <c r="M3011" s="51" t="s">
        <v>6332</v>
      </c>
      <c r="N3011" s="49" t="n">
        <v>0</v>
      </c>
      <c r="O3011" s="53" t="n">
        <v>45735.7190740741</v>
      </c>
      <c r="P3011" s="53" t="n">
        <v>45778.6083796296</v>
      </c>
      <c r="Q3011" s="53" t="n">
        <v>45735.7190740741</v>
      </c>
      <c r="R3011" s="0" t="n">
        <v>0</v>
      </c>
      <c r="S3011" s="51" t="s">
        <v>2376</v>
      </c>
      <c r="T3011" s="51" t="s">
        <v>2376</v>
      </c>
      <c r="U3011" s="0" t="str">
        <f aca="false">"5060458890191"</f>
        <v>5060458890191</v>
      </c>
      <c r="V3011" s="51" t="s">
        <v>2142</v>
      </c>
      <c r="W3011" s="51" t="s">
        <v>5293</v>
      </c>
      <c r="X3011" s="51" t="s">
        <v>2359</v>
      </c>
    </row>
    <row r="3012" customFormat="false" ht="14.25" hidden="true" customHeight="false" outlineLevel="0" collapsed="false">
      <c r="A3012" s="49" t="s">
        <v>2349</v>
      </c>
      <c r="B3012" s="49" t="s">
        <v>2350</v>
      </c>
      <c r="C3012" s="49" t="s">
        <v>6338</v>
      </c>
      <c r="D3012" s="49" t="s">
        <v>2352</v>
      </c>
      <c r="E3012" s="49" t="str">
        <f aca="false">"5060458890191"</f>
        <v>5060458890191</v>
      </c>
      <c r="F3012" s="49" t="s">
        <v>3656</v>
      </c>
      <c r="G3012" s="49" t="n">
        <v>0</v>
      </c>
      <c r="H3012" s="0" t="n">
        <v>0</v>
      </c>
      <c r="M3012" s="51" t="s">
        <v>6332</v>
      </c>
      <c r="N3012" s="49" t="n">
        <v>0</v>
      </c>
      <c r="O3012" s="53" t="n">
        <v>45735.718912037</v>
      </c>
      <c r="P3012" s="53" t="n">
        <v>45778.6082523148</v>
      </c>
      <c r="Q3012" s="53" t="n">
        <v>45735.718912037</v>
      </c>
      <c r="R3012" s="0" t="n">
        <v>0</v>
      </c>
      <c r="S3012" s="51" t="s">
        <v>2376</v>
      </c>
      <c r="T3012" s="51" t="s">
        <v>2376</v>
      </c>
      <c r="U3012" s="0" t="str">
        <f aca="false">"5060458890191"</f>
        <v>5060458890191</v>
      </c>
      <c r="V3012" s="51" t="s">
        <v>2142</v>
      </c>
      <c r="W3012" s="51" t="s">
        <v>5289</v>
      </c>
      <c r="X3012" s="51" t="s">
        <v>2359</v>
      </c>
    </row>
    <row r="3013" customFormat="false" ht="14.25" hidden="true" customHeight="false" outlineLevel="0" collapsed="false">
      <c r="A3013" s="49" t="s">
        <v>2349</v>
      </c>
      <c r="B3013" s="49" t="s">
        <v>2350</v>
      </c>
      <c r="C3013" s="49" t="s">
        <v>6339</v>
      </c>
      <c r="D3013" s="49" t="s">
        <v>2352</v>
      </c>
      <c r="E3013" s="49" t="str">
        <f aca="false">"5060458890191"</f>
        <v>5060458890191</v>
      </c>
      <c r="F3013" s="49" t="s">
        <v>3656</v>
      </c>
      <c r="G3013" s="49" t="n">
        <v>0</v>
      </c>
      <c r="H3013" s="0" t="n">
        <v>0</v>
      </c>
      <c r="M3013" s="51" t="s">
        <v>6332</v>
      </c>
      <c r="N3013" s="49" t="n">
        <v>0</v>
      </c>
      <c r="O3013" s="53" t="n">
        <v>45735.7187847222</v>
      </c>
      <c r="P3013" s="53" t="n">
        <v>45778.6081712963</v>
      </c>
      <c r="Q3013" s="53" t="n">
        <v>45735.7187847222</v>
      </c>
      <c r="R3013" s="0" t="n">
        <v>0</v>
      </c>
      <c r="S3013" s="51" t="s">
        <v>2376</v>
      </c>
      <c r="T3013" s="51" t="s">
        <v>2376</v>
      </c>
      <c r="U3013" s="0" t="str">
        <f aca="false">"5060458890191"</f>
        <v>5060458890191</v>
      </c>
      <c r="V3013" s="51" t="s">
        <v>2142</v>
      </c>
      <c r="W3013" s="51" t="s">
        <v>6340</v>
      </c>
      <c r="X3013" s="51" t="s">
        <v>2359</v>
      </c>
    </row>
    <row r="3014" customFormat="false" ht="14.25" hidden="true" customHeight="false" outlineLevel="0" collapsed="false">
      <c r="A3014" s="49" t="s">
        <v>2349</v>
      </c>
      <c r="B3014" s="49" t="s">
        <v>2350</v>
      </c>
      <c r="C3014" s="49" t="s">
        <v>6341</v>
      </c>
      <c r="D3014" s="49" t="s">
        <v>2352</v>
      </c>
      <c r="E3014" s="49" t="str">
        <f aca="false">"5060458890191"</f>
        <v>5060458890191</v>
      </c>
      <c r="F3014" s="49" t="s">
        <v>3656</v>
      </c>
      <c r="G3014" s="49" t="n">
        <v>0</v>
      </c>
      <c r="H3014" s="0" t="n">
        <v>0</v>
      </c>
      <c r="M3014" s="51" t="s">
        <v>6332</v>
      </c>
      <c r="N3014" s="49" t="n">
        <v>0</v>
      </c>
      <c r="O3014" s="53" t="n">
        <v>45735.7186458333</v>
      </c>
      <c r="P3014" s="53" t="n">
        <v>45778.6080787037</v>
      </c>
      <c r="Q3014" s="53" t="n">
        <v>45735.7186458333</v>
      </c>
      <c r="R3014" s="0" t="n">
        <v>0</v>
      </c>
      <c r="S3014" s="51" t="s">
        <v>2376</v>
      </c>
      <c r="T3014" s="51" t="s">
        <v>2376</v>
      </c>
      <c r="U3014" s="0" t="str">
        <f aca="false">"5060458890191"</f>
        <v>5060458890191</v>
      </c>
      <c r="V3014" s="51" t="s">
        <v>2142</v>
      </c>
      <c r="W3014" s="51" t="s">
        <v>5291</v>
      </c>
      <c r="X3014" s="51" t="s">
        <v>2359</v>
      </c>
    </row>
    <row r="3015" customFormat="false" ht="14.25" hidden="true" customHeight="false" outlineLevel="0" collapsed="false">
      <c r="A3015" s="49" t="s">
        <v>2349</v>
      </c>
      <c r="B3015" s="49" t="s">
        <v>2350</v>
      </c>
      <c r="C3015" s="49" t="s">
        <v>6342</v>
      </c>
      <c r="D3015" s="49" t="s">
        <v>2352</v>
      </c>
      <c r="E3015" s="49" t="str">
        <f aca="false">"5060458890191"</f>
        <v>5060458890191</v>
      </c>
      <c r="F3015" s="49" t="s">
        <v>3656</v>
      </c>
      <c r="G3015" s="49" t="n">
        <v>0</v>
      </c>
      <c r="H3015" s="0" t="n">
        <v>0</v>
      </c>
      <c r="M3015" s="51" t="s">
        <v>6332</v>
      </c>
      <c r="N3015" s="49" t="n">
        <v>0</v>
      </c>
      <c r="O3015" s="53" t="n">
        <v>45735.7185185185</v>
      </c>
      <c r="P3015" s="53" t="n">
        <v>45787.4586921296</v>
      </c>
      <c r="Q3015" s="53" t="n">
        <v>45735.7185185185</v>
      </c>
      <c r="R3015" s="0" t="n">
        <v>0</v>
      </c>
      <c r="S3015" s="51" t="s">
        <v>2376</v>
      </c>
      <c r="T3015" s="51" t="s">
        <v>2376</v>
      </c>
      <c r="U3015" s="0" t="str">
        <f aca="false">"5060458890191"</f>
        <v>5060458890191</v>
      </c>
      <c r="V3015" s="51" t="s">
        <v>2142</v>
      </c>
      <c r="W3015" s="51" t="s">
        <v>4743</v>
      </c>
      <c r="X3015" s="51" t="s">
        <v>2359</v>
      </c>
    </row>
    <row r="3016" customFormat="false" ht="14.25" hidden="true" customHeight="false" outlineLevel="0" collapsed="false">
      <c r="A3016" s="49" t="s">
        <v>2349</v>
      </c>
      <c r="B3016" s="49" t="s">
        <v>2350</v>
      </c>
      <c r="C3016" s="49" t="s">
        <v>6343</v>
      </c>
      <c r="D3016" s="49" t="s">
        <v>2352</v>
      </c>
      <c r="E3016" s="49" t="str">
        <f aca="false">"5060458890191"</f>
        <v>5060458890191</v>
      </c>
      <c r="F3016" s="49" t="s">
        <v>3656</v>
      </c>
      <c r="G3016" s="49" t="n">
        <v>0</v>
      </c>
      <c r="H3016" s="0" t="n">
        <v>0</v>
      </c>
      <c r="M3016" s="51" t="s">
        <v>6332</v>
      </c>
      <c r="N3016" s="49" t="n">
        <v>0</v>
      </c>
      <c r="O3016" s="53" t="n">
        <v>45735.7183680556</v>
      </c>
      <c r="P3016" s="53" t="n">
        <v>45788.4864699074</v>
      </c>
      <c r="Q3016" s="53" t="n">
        <v>45735.7183680556</v>
      </c>
      <c r="R3016" s="0" t="n">
        <v>0</v>
      </c>
      <c r="S3016" s="51" t="s">
        <v>2376</v>
      </c>
      <c r="T3016" s="51" t="s">
        <v>2376</v>
      </c>
      <c r="U3016" s="0" t="str">
        <f aca="false">"5060458890191"</f>
        <v>5060458890191</v>
      </c>
      <c r="V3016" s="51" t="s">
        <v>2142</v>
      </c>
      <c r="W3016" s="51" t="s">
        <v>5106</v>
      </c>
      <c r="X3016" s="51" t="s">
        <v>2359</v>
      </c>
    </row>
    <row r="3017" customFormat="false" ht="14.25" hidden="true" customHeight="false" outlineLevel="0" collapsed="false">
      <c r="A3017" s="49" t="s">
        <v>2349</v>
      </c>
      <c r="B3017" s="49" t="s">
        <v>2350</v>
      </c>
      <c r="C3017" s="49" t="s">
        <v>6344</v>
      </c>
      <c r="D3017" s="49" t="s">
        <v>2352</v>
      </c>
      <c r="E3017" s="49" t="str">
        <f aca="false">"5060458890191"</f>
        <v>5060458890191</v>
      </c>
      <c r="F3017" s="49" t="s">
        <v>3656</v>
      </c>
      <c r="G3017" s="49" t="n">
        <v>0</v>
      </c>
      <c r="H3017" s="0" t="n">
        <v>0</v>
      </c>
      <c r="M3017" s="51" t="s">
        <v>6332</v>
      </c>
      <c r="N3017" s="49" t="n">
        <v>0</v>
      </c>
      <c r="O3017" s="53" t="n">
        <v>45735.7200810185</v>
      </c>
      <c r="P3017" s="53" t="n">
        <v>45787.4441087963</v>
      </c>
      <c r="Q3017" s="53" t="n">
        <v>45735.7200810185</v>
      </c>
      <c r="R3017" s="0" t="n">
        <v>0</v>
      </c>
      <c r="S3017" s="51" t="s">
        <v>2376</v>
      </c>
      <c r="T3017" s="51" t="s">
        <v>2376</v>
      </c>
      <c r="U3017" s="0" t="str">
        <f aca="false">"5060458890191"</f>
        <v>5060458890191</v>
      </c>
      <c r="V3017" s="51" t="s">
        <v>2142</v>
      </c>
      <c r="W3017" s="51" t="s">
        <v>4509</v>
      </c>
      <c r="X3017" s="51" t="s">
        <v>2359</v>
      </c>
    </row>
    <row r="3018" customFormat="false" ht="14.25" hidden="true" customHeight="false" outlineLevel="0" collapsed="false">
      <c r="A3018" s="49" t="s">
        <v>2349</v>
      </c>
      <c r="B3018" s="49" t="s">
        <v>2350</v>
      </c>
      <c r="C3018" s="49" t="s">
        <v>6345</v>
      </c>
      <c r="D3018" s="49" t="s">
        <v>2352</v>
      </c>
      <c r="E3018" s="49" t="str">
        <f aca="false">"5060458890191"</f>
        <v>5060458890191</v>
      </c>
      <c r="F3018" s="49" t="s">
        <v>3656</v>
      </c>
      <c r="G3018" s="49" t="n">
        <v>0</v>
      </c>
      <c r="H3018" s="0" t="n">
        <v>0</v>
      </c>
      <c r="M3018" s="51" t="s">
        <v>6332</v>
      </c>
      <c r="N3018" s="49" t="n">
        <v>0</v>
      </c>
      <c r="O3018" s="53" t="n">
        <v>45735.7199074074</v>
      </c>
      <c r="P3018" s="53" t="n">
        <v>45787.4433564815</v>
      </c>
      <c r="Q3018" s="53" t="n">
        <v>45735.7199074074</v>
      </c>
      <c r="R3018" s="0" t="n">
        <v>0</v>
      </c>
      <c r="S3018" s="51" t="s">
        <v>2376</v>
      </c>
      <c r="T3018" s="51" t="s">
        <v>2376</v>
      </c>
      <c r="U3018" s="0" t="str">
        <f aca="false">"5060458890191"</f>
        <v>5060458890191</v>
      </c>
      <c r="V3018" s="51" t="s">
        <v>2142</v>
      </c>
      <c r="W3018" s="51" t="s">
        <v>4505</v>
      </c>
      <c r="X3018" s="51" t="s">
        <v>2359</v>
      </c>
    </row>
    <row r="3019" customFormat="false" ht="14.25" hidden="true" customHeight="false" outlineLevel="0" collapsed="false">
      <c r="A3019" s="49" t="s">
        <v>2349</v>
      </c>
      <c r="B3019" s="49" t="s">
        <v>2350</v>
      </c>
      <c r="C3019" s="49" t="s">
        <v>6346</v>
      </c>
      <c r="D3019" s="49" t="s">
        <v>2352</v>
      </c>
      <c r="E3019" s="49" t="str">
        <f aca="false">"5060458890191"</f>
        <v>5060458890191</v>
      </c>
      <c r="F3019" s="49" t="s">
        <v>3656</v>
      </c>
      <c r="G3019" s="49" t="n">
        <v>0</v>
      </c>
      <c r="H3019" s="0" t="n">
        <v>0</v>
      </c>
      <c r="M3019" s="51" t="s">
        <v>6332</v>
      </c>
      <c r="N3019" s="49" t="n">
        <v>0</v>
      </c>
      <c r="O3019" s="53" t="n">
        <v>45735.7182638889</v>
      </c>
      <c r="P3019" s="53" t="n">
        <v>45778.5519675926</v>
      </c>
      <c r="Q3019" s="53" t="n">
        <v>45735.7182638889</v>
      </c>
      <c r="R3019" s="0" t="n">
        <v>0</v>
      </c>
      <c r="S3019" s="51" t="s">
        <v>2376</v>
      </c>
      <c r="T3019" s="51" t="s">
        <v>2376</v>
      </c>
      <c r="U3019" s="0" t="str">
        <f aca="false">"5060458890191"</f>
        <v>5060458890191</v>
      </c>
      <c r="V3019" s="51" t="s">
        <v>2142</v>
      </c>
      <c r="W3019" s="51" t="s">
        <v>4288</v>
      </c>
      <c r="X3019" s="51" t="s">
        <v>2359</v>
      </c>
    </row>
    <row r="3020" customFormat="false" ht="14.25" hidden="true" customHeight="false" outlineLevel="0" collapsed="false">
      <c r="A3020" s="49" t="s">
        <v>2349</v>
      </c>
      <c r="B3020" s="49" t="s">
        <v>2350</v>
      </c>
      <c r="C3020" s="49" t="s">
        <v>6347</v>
      </c>
      <c r="D3020" s="49" t="s">
        <v>2352</v>
      </c>
      <c r="E3020" s="49" t="str">
        <f aca="false">"5060458890191"</f>
        <v>5060458890191</v>
      </c>
      <c r="F3020" s="49" t="s">
        <v>3656</v>
      </c>
      <c r="G3020" s="49" t="n">
        <v>0</v>
      </c>
      <c r="H3020" s="0" t="n">
        <v>0</v>
      </c>
      <c r="M3020" s="51" t="s">
        <v>6332</v>
      </c>
      <c r="N3020" s="49" t="n">
        <v>0</v>
      </c>
      <c r="O3020" s="53" t="n">
        <v>45735.7180787037</v>
      </c>
      <c r="P3020" s="53" t="n">
        <v>45778.6079976852</v>
      </c>
      <c r="Q3020" s="53" t="n">
        <v>45735.7180787037</v>
      </c>
      <c r="R3020" s="0" t="n">
        <v>0</v>
      </c>
      <c r="S3020" s="51" t="s">
        <v>2376</v>
      </c>
      <c r="T3020" s="51" t="s">
        <v>2376</v>
      </c>
      <c r="U3020" s="0" t="str">
        <f aca="false">"5060458890191"</f>
        <v>5060458890191</v>
      </c>
      <c r="V3020" s="51" t="s">
        <v>2142</v>
      </c>
      <c r="W3020" s="51" t="s">
        <v>6348</v>
      </c>
      <c r="X3020" s="51" t="s">
        <v>2359</v>
      </c>
    </row>
    <row r="3021" customFormat="false" ht="14.25" hidden="true" customHeight="false" outlineLevel="0" collapsed="false">
      <c r="A3021" s="49" t="s">
        <v>2349</v>
      </c>
      <c r="B3021" s="49" t="s">
        <v>2350</v>
      </c>
      <c r="C3021" s="49" t="s">
        <v>6349</v>
      </c>
      <c r="D3021" s="49" t="s">
        <v>2352</v>
      </c>
      <c r="E3021" s="49" t="str">
        <f aca="false">"5060458890191"</f>
        <v>5060458890191</v>
      </c>
      <c r="F3021" s="49" t="s">
        <v>3656</v>
      </c>
      <c r="G3021" s="49" t="n">
        <v>0</v>
      </c>
      <c r="H3021" s="0" t="n">
        <v>0</v>
      </c>
      <c r="M3021" s="51" t="s">
        <v>6332</v>
      </c>
      <c r="N3021" s="49" t="n">
        <v>0</v>
      </c>
      <c r="O3021" s="53" t="n">
        <v>45735.717025463</v>
      </c>
      <c r="P3021" s="53" t="n">
        <v>45787.4513773148</v>
      </c>
      <c r="Q3021" s="53" t="n">
        <v>45735.717025463</v>
      </c>
      <c r="R3021" s="0" t="n">
        <v>0</v>
      </c>
      <c r="S3021" s="51" t="s">
        <v>2376</v>
      </c>
      <c r="T3021" s="51" t="s">
        <v>2376</v>
      </c>
      <c r="U3021" s="0" t="str">
        <f aca="false">"5060458890191"</f>
        <v>5060458890191</v>
      </c>
      <c r="V3021" s="51" t="s">
        <v>2142</v>
      </c>
      <c r="W3021" s="51" t="s">
        <v>5374</v>
      </c>
      <c r="X3021" s="51" t="s">
        <v>2359</v>
      </c>
    </row>
    <row r="3022" customFormat="false" ht="14.25" hidden="true" customHeight="false" outlineLevel="0" collapsed="false">
      <c r="A3022" s="49" t="s">
        <v>2349</v>
      </c>
      <c r="B3022" s="49" t="s">
        <v>2350</v>
      </c>
      <c r="C3022" s="49" t="s">
        <v>6350</v>
      </c>
      <c r="D3022" s="49" t="s">
        <v>2352</v>
      </c>
      <c r="E3022" s="49" t="str">
        <f aca="false">"5060458890191"</f>
        <v>5060458890191</v>
      </c>
      <c r="F3022" s="49" t="s">
        <v>3656</v>
      </c>
      <c r="G3022" s="49" t="n">
        <v>0</v>
      </c>
      <c r="H3022" s="0" t="n">
        <v>0</v>
      </c>
      <c r="M3022" s="51" t="s">
        <v>6332</v>
      </c>
      <c r="N3022" s="49" t="n">
        <v>0</v>
      </c>
      <c r="O3022" s="53" t="n">
        <v>45735.7171643519</v>
      </c>
      <c r="P3022" s="53" t="n">
        <v>45787.4464467593</v>
      </c>
      <c r="Q3022" s="53" t="n">
        <v>45735.7171643519</v>
      </c>
      <c r="R3022" s="0" t="n">
        <v>0</v>
      </c>
      <c r="S3022" s="51" t="s">
        <v>2376</v>
      </c>
      <c r="T3022" s="51" t="s">
        <v>2376</v>
      </c>
      <c r="U3022" s="0" t="str">
        <f aca="false">"5060458890191"</f>
        <v>5060458890191</v>
      </c>
      <c r="V3022" s="51" t="s">
        <v>2142</v>
      </c>
      <c r="W3022" s="51" t="s">
        <v>5307</v>
      </c>
      <c r="X3022" s="51" t="s">
        <v>2359</v>
      </c>
    </row>
    <row r="3023" customFormat="false" ht="14.25" hidden="true" customHeight="false" outlineLevel="0" collapsed="false">
      <c r="A3023" s="49" t="s">
        <v>2349</v>
      </c>
      <c r="B3023" s="49" t="s">
        <v>2350</v>
      </c>
      <c r="C3023" s="49" t="s">
        <v>6351</v>
      </c>
      <c r="D3023" s="49" t="s">
        <v>2352</v>
      </c>
      <c r="E3023" s="49" t="str">
        <f aca="false">"5060458890191"</f>
        <v>5060458890191</v>
      </c>
      <c r="F3023" s="49" t="s">
        <v>3656</v>
      </c>
      <c r="G3023" s="49" t="n">
        <v>0</v>
      </c>
      <c r="H3023" s="0" t="n">
        <v>0</v>
      </c>
      <c r="M3023" s="51" t="s">
        <v>6332</v>
      </c>
      <c r="N3023" s="49" t="n">
        <v>0</v>
      </c>
      <c r="O3023" s="53" t="n">
        <v>45735.717337963</v>
      </c>
      <c r="P3023" s="53" t="n">
        <v>45787.4467939815</v>
      </c>
      <c r="Q3023" s="53" t="n">
        <v>45735.717337963</v>
      </c>
      <c r="R3023" s="0" t="n">
        <v>0</v>
      </c>
      <c r="S3023" s="51" t="s">
        <v>2376</v>
      </c>
      <c r="T3023" s="51" t="s">
        <v>2376</v>
      </c>
      <c r="U3023" s="0" t="str">
        <f aca="false">"5060458890191"</f>
        <v>5060458890191</v>
      </c>
      <c r="V3023" s="51" t="s">
        <v>2142</v>
      </c>
      <c r="W3023" s="51" t="s">
        <v>5305</v>
      </c>
      <c r="X3023" s="51" t="s">
        <v>2359</v>
      </c>
    </row>
    <row r="3024" customFormat="false" ht="14.25" hidden="true" customHeight="false" outlineLevel="0" collapsed="false">
      <c r="A3024" s="49" t="s">
        <v>2349</v>
      </c>
      <c r="B3024" s="49" t="s">
        <v>2350</v>
      </c>
      <c r="C3024" s="49" t="s">
        <v>6352</v>
      </c>
      <c r="D3024" s="49" t="s">
        <v>2352</v>
      </c>
      <c r="E3024" s="49" t="str">
        <f aca="false">"5060458890191"</f>
        <v>5060458890191</v>
      </c>
      <c r="F3024" s="49" t="s">
        <v>3656</v>
      </c>
      <c r="G3024" s="49" t="n">
        <v>0</v>
      </c>
      <c r="H3024" s="0" t="n">
        <v>0</v>
      </c>
      <c r="M3024" s="51" t="s">
        <v>6332</v>
      </c>
      <c r="N3024" s="49" t="n">
        <v>0</v>
      </c>
      <c r="O3024" s="53" t="n">
        <v>45735.7175115741</v>
      </c>
      <c r="P3024" s="53" t="n">
        <v>45787.4445138889</v>
      </c>
      <c r="Q3024" s="53" t="n">
        <v>45735.7175115741</v>
      </c>
      <c r="R3024" s="0" t="n">
        <v>0</v>
      </c>
      <c r="S3024" s="51" t="s">
        <v>2376</v>
      </c>
      <c r="T3024" s="51" t="s">
        <v>2376</v>
      </c>
      <c r="U3024" s="0" t="str">
        <f aca="false">"5060458890191"</f>
        <v>5060458890191</v>
      </c>
      <c r="V3024" s="51" t="s">
        <v>2142</v>
      </c>
      <c r="W3024" s="51" t="s">
        <v>4531</v>
      </c>
      <c r="X3024" s="51" t="s">
        <v>2359</v>
      </c>
    </row>
    <row r="3025" customFormat="false" ht="14.25" hidden="true" customHeight="false" outlineLevel="0" collapsed="false">
      <c r="A3025" s="49" t="s">
        <v>2349</v>
      </c>
      <c r="B3025" s="49" t="s">
        <v>2350</v>
      </c>
      <c r="C3025" s="49" t="s">
        <v>6353</v>
      </c>
      <c r="D3025" s="49" t="s">
        <v>2352</v>
      </c>
      <c r="E3025" s="49" t="str">
        <f aca="false">"5060458890191"</f>
        <v>5060458890191</v>
      </c>
      <c r="F3025" s="49" t="s">
        <v>3656</v>
      </c>
      <c r="G3025" s="49" t="n">
        <v>0</v>
      </c>
      <c r="H3025" s="0" t="n">
        <v>0</v>
      </c>
      <c r="M3025" s="51" t="s">
        <v>6332</v>
      </c>
      <c r="N3025" s="49" t="n">
        <v>0</v>
      </c>
      <c r="O3025" s="53" t="n">
        <v>45735.717650463</v>
      </c>
      <c r="P3025" s="53" t="n">
        <v>45787.4457060185</v>
      </c>
      <c r="Q3025" s="53" t="n">
        <v>45735.717650463</v>
      </c>
      <c r="R3025" s="0" t="n">
        <v>0</v>
      </c>
      <c r="S3025" s="51" t="s">
        <v>2376</v>
      </c>
      <c r="T3025" s="51" t="s">
        <v>2376</v>
      </c>
      <c r="U3025" s="0" t="str">
        <f aca="false">"5060458890191"</f>
        <v>5060458890191</v>
      </c>
      <c r="V3025" s="51" t="s">
        <v>2142</v>
      </c>
      <c r="W3025" s="51" t="s">
        <v>4507</v>
      </c>
      <c r="X3025" s="51" t="s">
        <v>2359</v>
      </c>
    </row>
    <row r="3026" customFormat="false" ht="14.25" hidden="true" customHeight="false" outlineLevel="0" collapsed="false">
      <c r="A3026" s="49" t="s">
        <v>2349</v>
      </c>
      <c r="B3026" s="49" t="s">
        <v>2350</v>
      </c>
      <c r="C3026" s="49" t="s">
        <v>6354</v>
      </c>
      <c r="D3026" s="49" t="s">
        <v>2352</v>
      </c>
      <c r="E3026" s="49" t="str">
        <f aca="false">"5060458890191"</f>
        <v>5060458890191</v>
      </c>
      <c r="F3026" s="49" t="s">
        <v>3656</v>
      </c>
      <c r="G3026" s="49" t="n">
        <v>0</v>
      </c>
      <c r="H3026" s="0" t="n">
        <v>0</v>
      </c>
      <c r="M3026" s="51" t="s">
        <v>6332</v>
      </c>
      <c r="N3026" s="49" t="n">
        <v>0</v>
      </c>
      <c r="O3026" s="53" t="n">
        <v>45735.7177893519</v>
      </c>
      <c r="P3026" s="53" t="n">
        <v>45787.4426851852</v>
      </c>
      <c r="Q3026" s="53" t="n">
        <v>45735.7177893519</v>
      </c>
      <c r="R3026" s="0" t="n">
        <v>0</v>
      </c>
      <c r="S3026" s="51" t="s">
        <v>2376</v>
      </c>
      <c r="T3026" s="51" t="s">
        <v>2376</v>
      </c>
      <c r="U3026" s="0" t="str">
        <f aca="false">"5060458890191"</f>
        <v>5060458890191</v>
      </c>
      <c r="V3026" s="51" t="s">
        <v>2142</v>
      </c>
      <c r="W3026" s="51" t="s">
        <v>4523</v>
      </c>
      <c r="X3026" s="51" t="s">
        <v>2359</v>
      </c>
    </row>
    <row r="3027" customFormat="false" ht="14.25" hidden="true" customHeight="false" outlineLevel="0" collapsed="false">
      <c r="A3027" s="49" t="s">
        <v>2349</v>
      </c>
      <c r="B3027" s="49" t="s">
        <v>2350</v>
      </c>
      <c r="C3027" s="49" t="s">
        <v>6355</v>
      </c>
      <c r="D3027" s="49" t="s">
        <v>2352</v>
      </c>
      <c r="E3027" s="49" t="str">
        <f aca="false">"5060458890191"</f>
        <v>5060458890191</v>
      </c>
      <c r="F3027" s="49" t="s">
        <v>3656</v>
      </c>
      <c r="G3027" s="49" t="n">
        <v>0</v>
      </c>
      <c r="H3027" s="0" t="n">
        <v>0</v>
      </c>
      <c r="M3027" s="51" t="s">
        <v>6332</v>
      </c>
      <c r="N3027" s="49" t="n">
        <v>0</v>
      </c>
      <c r="O3027" s="53" t="n">
        <v>45735.7179282407</v>
      </c>
      <c r="P3027" s="53" t="n">
        <v>45778.6079166667</v>
      </c>
      <c r="Q3027" s="53" t="n">
        <v>45735.7179282407</v>
      </c>
      <c r="R3027" s="0" t="n">
        <v>0</v>
      </c>
      <c r="S3027" s="51" t="s">
        <v>2376</v>
      </c>
      <c r="T3027" s="51" t="s">
        <v>2376</v>
      </c>
      <c r="U3027" s="0" t="str">
        <f aca="false">"5060458890191"</f>
        <v>5060458890191</v>
      </c>
      <c r="V3027" s="51" t="s">
        <v>2142</v>
      </c>
      <c r="W3027" s="51" t="s">
        <v>5184</v>
      </c>
      <c r="X3027" s="51" t="s">
        <v>2359</v>
      </c>
    </row>
    <row r="3028" customFormat="false" ht="14.25" hidden="true" customHeight="false" outlineLevel="0" collapsed="false">
      <c r="A3028" s="49" t="s">
        <v>2349</v>
      </c>
      <c r="B3028" s="49" t="s">
        <v>2350</v>
      </c>
      <c r="C3028" s="49" t="s">
        <v>6356</v>
      </c>
      <c r="D3028" s="49" t="s">
        <v>2352</v>
      </c>
      <c r="E3028" s="49" t="str">
        <f aca="false">"5060458890191"</f>
        <v>5060458890191</v>
      </c>
      <c r="F3028" s="49" t="s">
        <v>3656</v>
      </c>
      <c r="G3028" s="49" t="n">
        <v>0</v>
      </c>
      <c r="H3028" s="0" t="n">
        <v>0</v>
      </c>
      <c r="M3028" s="51" t="s">
        <v>6332</v>
      </c>
      <c r="N3028" s="49" t="n">
        <v>0</v>
      </c>
      <c r="O3028" s="53" t="n">
        <v>45735.7166666667</v>
      </c>
      <c r="P3028" s="53" t="n">
        <v>45787.4477083333</v>
      </c>
      <c r="Q3028" s="53" t="n">
        <v>45735.7166666667</v>
      </c>
      <c r="R3028" s="0" t="n">
        <v>0</v>
      </c>
      <c r="S3028" s="51" t="s">
        <v>2376</v>
      </c>
      <c r="T3028" s="51" t="s">
        <v>2376</v>
      </c>
      <c r="U3028" s="0" t="str">
        <f aca="false">"5060458890191"</f>
        <v>5060458890191</v>
      </c>
      <c r="V3028" s="51" t="s">
        <v>2142</v>
      </c>
      <c r="W3028" s="51" t="s">
        <v>5311</v>
      </c>
      <c r="X3028" s="51" t="s">
        <v>2359</v>
      </c>
    </row>
    <row r="3029" customFormat="false" ht="14.25" hidden="true" customHeight="false" outlineLevel="0" collapsed="false">
      <c r="A3029" s="49" t="s">
        <v>2349</v>
      </c>
      <c r="B3029" s="49" t="s">
        <v>2350</v>
      </c>
      <c r="C3029" s="49" t="s">
        <v>6357</v>
      </c>
      <c r="D3029" s="49" t="s">
        <v>2352</v>
      </c>
      <c r="E3029" s="49" t="str">
        <f aca="false">"5060458890191"</f>
        <v>5060458890191</v>
      </c>
      <c r="F3029" s="49" t="s">
        <v>3656</v>
      </c>
      <c r="G3029" s="49" t="n">
        <v>0</v>
      </c>
      <c r="H3029" s="0" t="n">
        <v>0</v>
      </c>
      <c r="M3029" s="51" t="s">
        <v>6332</v>
      </c>
      <c r="N3029" s="49" t="n">
        <v>0</v>
      </c>
      <c r="O3029" s="53" t="n">
        <v>45735.716875</v>
      </c>
      <c r="P3029" s="53" t="n">
        <v>45778.6073726852</v>
      </c>
      <c r="Q3029" s="53" t="n">
        <v>45735.716875</v>
      </c>
      <c r="R3029" s="0" t="n">
        <v>0</v>
      </c>
      <c r="S3029" s="51" t="s">
        <v>2376</v>
      </c>
      <c r="T3029" s="51" t="s">
        <v>2376</v>
      </c>
      <c r="U3029" s="0" t="str">
        <f aca="false">"5060458890191"</f>
        <v>5060458890191</v>
      </c>
      <c r="V3029" s="51" t="s">
        <v>2142</v>
      </c>
      <c r="W3029" s="51" t="s">
        <v>5226</v>
      </c>
      <c r="X3029" s="51" t="s">
        <v>2359</v>
      </c>
    </row>
    <row r="3030" customFormat="false" ht="14.25" hidden="true" customHeight="false" outlineLevel="0" collapsed="false">
      <c r="A3030" s="49" t="s">
        <v>2349</v>
      </c>
      <c r="B3030" s="49" t="s">
        <v>2350</v>
      </c>
      <c r="C3030" s="49" t="s">
        <v>6358</v>
      </c>
      <c r="D3030" s="49" t="s">
        <v>2352</v>
      </c>
      <c r="E3030" s="49" t="str">
        <f aca="false">"5060458890191"</f>
        <v>5060458890191</v>
      </c>
      <c r="F3030" s="49" t="s">
        <v>3656</v>
      </c>
      <c r="G3030" s="49" t="n">
        <v>0</v>
      </c>
      <c r="H3030" s="0" t="n">
        <v>0</v>
      </c>
      <c r="M3030" s="51" t="s">
        <v>6332</v>
      </c>
      <c r="N3030" s="49" t="n">
        <v>0</v>
      </c>
      <c r="O3030" s="53" t="n">
        <v>45735.7165277778</v>
      </c>
      <c r="P3030" s="53" t="n">
        <v>45787.4506018519</v>
      </c>
      <c r="Q3030" s="53" t="n">
        <v>45735.7165277778</v>
      </c>
      <c r="R3030" s="0" t="n">
        <v>0</v>
      </c>
      <c r="S3030" s="51" t="s">
        <v>2376</v>
      </c>
      <c r="T3030" s="51" t="s">
        <v>2376</v>
      </c>
      <c r="U3030" s="0" t="str">
        <f aca="false">"5060458890191"</f>
        <v>5060458890191</v>
      </c>
      <c r="V3030" s="51" t="s">
        <v>2142</v>
      </c>
      <c r="W3030" s="51" t="s">
        <v>5224</v>
      </c>
      <c r="X3030" s="51" t="s">
        <v>2359</v>
      </c>
    </row>
    <row r="3031" customFormat="false" ht="14.25" hidden="true" customHeight="false" outlineLevel="0" collapsed="false">
      <c r="A3031" s="49" t="s">
        <v>2349</v>
      </c>
      <c r="B3031" s="49" t="s">
        <v>2350</v>
      </c>
      <c r="C3031" s="49" t="s">
        <v>6359</v>
      </c>
      <c r="D3031" s="49" t="s">
        <v>2352</v>
      </c>
      <c r="E3031" s="49" t="str">
        <f aca="false">"5060458890191"</f>
        <v>5060458890191</v>
      </c>
      <c r="F3031" s="49" t="s">
        <v>3656</v>
      </c>
      <c r="G3031" s="49" t="n">
        <v>0</v>
      </c>
      <c r="H3031" s="0" t="n">
        <v>0</v>
      </c>
      <c r="M3031" s="51" t="s">
        <v>6332</v>
      </c>
      <c r="N3031" s="49" t="n">
        <v>0</v>
      </c>
      <c r="O3031" s="53" t="n">
        <v>45735.7161921296</v>
      </c>
      <c r="P3031" s="53" t="n">
        <v>45787.4499074074</v>
      </c>
      <c r="Q3031" s="53" t="n">
        <v>45735.7161921296</v>
      </c>
      <c r="R3031" s="0" t="n">
        <v>0</v>
      </c>
      <c r="S3031" s="51" t="s">
        <v>2376</v>
      </c>
      <c r="T3031" s="51" t="s">
        <v>2376</v>
      </c>
      <c r="U3031" s="0" t="str">
        <f aca="false">"5060458890191"</f>
        <v>5060458890191</v>
      </c>
      <c r="V3031" s="51" t="s">
        <v>2142</v>
      </c>
      <c r="W3031" s="51" t="s">
        <v>6360</v>
      </c>
      <c r="X3031" s="51" t="s">
        <v>2359</v>
      </c>
    </row>
    <row r="3032" customFormat="false" ht="14.25" hidden="true" customHeight="false" outlineLevel="0" collapsed="false">
      <c r="A3032" s="49" t="s">
        <v>2349</v>
      </c>
      <c r="B3032" s="49" t="s">
        <v>2350</v>
      </c>
      <c r="C3032" s="49" t="s">
        <v>6361</v>
      </c>
      <c r="D3032" s="49" t="s">
        <v>2352</v>
      </c>
      <c r="E3032" s="49" t="str">
        <f aca="false">"5060458890191"</f>
        <v>5060458890191</v>
      </c>
      <c r="F3032" s="49" t="s">
        <v>3656</v>
      </c>
      <c r="G3032" s="49" t="n">
        <v>0</v>
      </c>
      <c r="H3032" s="0" t="n">
        <v>0</v>
      </c>
      <c r="M3032" s="51" t="s">
        <v>6332</v>
      </c>
      <c r="N3032" s="49" t="n">
        <v>0</v>
      </c>
      <c r="O3032" s="53" t="n">
        <v>45735.7163541667</v>
      </c>
      <c r="P3032" s="53" t="n">
        <v>45787.4484375</v>
      </c>
      <c r="Q3032" s="53" t="n">
        <v>45735.7163541667</v>
      </c>
      <c r="R3032" s="0" t="n">
        <v>0</v>
      </c>
      <c r="S3032" s="51" t="s">
        <v>2376</v>
      </c>
      <c r="T3032" s="51" t="s">
        <v>2376</v>
      </c>
      <c r="U3032" s="0" t="str">
        <f aca="false">"5060458890191"</f>
        <v>5060458890191</v>
      </c>
      <c r="V3032" s="51" t="s">
        <v>2142</v>
      </c>
      <c r="W3032" s="51" t="s">
        <v>5309</v>
      </c>
      <c r="X3032" s="51" t="s">
        <v>2359</v>
      </c>
    </row>
    <row r="3033" customFormat="false" ht="14.25" hidden="true" customHeight="false" outlineLevel="0" collapsed="false">
      <c r="A3033" s="49" t="s">
        <v>2349</v>
      </c>
      <c r="B3033" s="49" t="s">
        <v>2350</v>
      </c>
      <c r="C3033" s="49" t="s">
        <v>6362</v>
      </c>
      <c r="D3033" s="49" t="s">
        <v>2352</v>
      </c>
      <c r="E3033" s="49" t="str">
        <f aca="false">"5060458890191"</f>
        <v>5060458890191</v>
      </c>
      <c r="F3033" s="49" t="s">
        <v>3656</v>
      </c>
      <c r="G3033" s="49" t="n">
        <v>0</v>
      </c>
      <c r="H3033" s="0" t="n">
        <v>0</v>
      </c>
      <c r="M3033" s="51" t="s">
        <v>6332</v>
      </c>
      <c r="N3033" s="49" t="n">
        <v>0</v>
      </c>
      <c r="O3033" s="53" t="n">
        <v>45735.7160069444</v>
      </c>
      <c r="P3033" s="53" t="n">
        <v>45787.4491898148</v>
      </c>
      <c r="Q3033" s="53" t="n">
        <v>45735.7160069444</v>
      </c>
      <c r="R3033" s="0" t="n">
        <v>0</v>
      </c>
      <c r="S3033" s="51" t="s">
        <v>2376</v>
      </c>
      <c r="T3033" s="51" t="s">
        <v>2376</v>
      </c>
      <c r="U3033" s="0" t="str">
        <f aca="false">"5060458890191"</f>
        <v>5060458890191</v>
      </c>
      <c r="V3033" s="51" t="s">
        <v>2142</v>
      </c>
      <c r="W3033" s="51" t="s">
        <v>5188</v>
      </c>
      <c r="X3033" s="51" t="s">
        <v>2359</v>
      </c>
    </row>
    <row r="3034" customFormat="false" ht="14.25" hidden="true" customHeight="false" outlineLevel="0" collapsed="false">
      <c r="A3034" s="49" t="s">
        <v>2349</v>
      </c>
      <c r="B3034" s="49" t="s">
        <v>2350</v>
      </c>
      <c r="C3034" s="49" t="s">
        <v>6363</v>
      </c>
      <c r="D3034" s="49" t="s">
        <v>2352</v>
      </c>
      <c r="E3034" s="49" t="str">
        <f aca="false">"5060458890191"</f>
        <v>5060458890191</v>
      </c>
      <c r="F3034" s="49" t="s">
        <v>3656</v>
      </c>
      <c r="G3034" s="49" t="n">
        <v>0</v>
      </c>
      <c r="H3034" s="0" t="n">
        <v>0</v>
      </c>
      <c r="M3034" s="51" t="s">
        <v>6332</v>
      </c>
      <c r="N3034" s="49" t="n">
        <v>0</v>
      </c>
      <c r="O3034" s="53" t="n">
        <v>45735.715775463</v>
      </c>
      <c r="P3034" s="53" t="n">
        <v>45787.4582291667</v>
      </c>
      <c r="Q3034" s="53" t="n">
        <v>45735.715775463</v>
      </c>
      <c r="R3034" s="0" t="n">
        <v>0</v>
      </c>
      <c r="S3034" s="51" t="s">
        <v>2376</v>
      </c>
      <c r="T3034" s="51" t="s">
        <v>2376</v>
      </c>
      <c r="U3034" s="0" t="str">
        <f aca="false">"5060458890191"</f>
        <v>5060458890191</v>
      </c>
      <c r="V3034" s="51" t="s">
        <v>2142</v>
      </c>
      <c r="W3034" s="51" t="s">
        <v>6364</v>
      </c>
      <c r="X3034" s="51" t="s">
        <v>2359</v>
      </c>
    </row>
    <row r="3035" customFormat="false" ht="14.25" hidden="true" customHeight="false" outlineLevel="0" collapsed="false">
      <c r="A3035" s="49" t="s">
        <v>2349</v>
      </c>
      <c r="B3035" s="49" t="s">
        <v>2350</v>
      </c>
      <c r="C3035" s="49" t="s">
        <v>6365</v>
      </c>
      <c r="D3035" s="49" t="s">
        <v>2352</v>
      </c>
      <c r="E3035" s="49" t="s">
        <v>3751</v>
      </c>
      <c r="F3035" s="49" t="s">
        <v>3752</v>
      </c>
      <c r="G3035" s="49" t="n">
        <v>0</v>
      </c>
      <c r="H3035" s="0" t="n">
        <v>0</v>
      </c>
      <c r="M3035" s="51" t="s">
        <v>6366</v>
      </c>
      <c r="N3035" s="49" t="n">
        <v>0</v>
      </c>
      <c r="O3035" s="53" t="n">
        <v>45742.5878587963</v>
      </c>
      <c r="P3035" s="53" t="n">
        <v>45743.6090277778</v>
      </c>
      <c r="Q3035" s="53" t="n">
        <v>45742.5878587963</v>
      </c>
      <c r="R3035" s="0" t="n">
        <v>0</v>
      </c>
      <c r="S3035" s="51" t="s">
        <v>2356</v>
      </c>
      <c r="T3035" s="51" t="s">
        <v>2356</v>
      </c>
      <c r="U3035" s="51" t="s">
        <v>3751</v>
      </c>
      <c r="V3035" s="51" t="s">
        <v>2357</v>
      </c>
      <c r="W3035" s="51" t="s">
        <v>5134</v>
      </c>
      <c r="X3035" s="51" t="s">
        <v>2359</v>
      </c>
    </row>
    <row r="3036" customFormat="false" ht="14.25" hidden="true" customHeight="false" outlineLevel="0" collapsed="false">
      <c r="A3036" s="49" t="s">
        <v>2349</v>
      </c>
      <c r="B3036" s="49" t="s">
        <v>2350</v>
      </c>
      <c r="C3036" s="49" t="s">
        <v>6367</v>
      </c>
      <c r="D3036" s="49" t="s">
        <v>2352</v>
      </c>
      <c r="E3036" s="49" t="s">
        <v>3960</v>
      </c>
      <c r="F3036" s="49" t="s">
        <v>3961</v>
      </c>
      <c r="G3036" s="49" t="n">
        <v>0</v>
      </c>
      <c r="H3036" s="0" t="n">
        <v>0</v>
      </c>
      <c r="M3036" s="51" t="s">
        <v>6368</v>
      </c>
      <c r="N3036" s="49" t="n">
        <v>0</v>
      </c>
      <c r="O3036" s="53" t="n">
        <v>45749.5456944444</v>
      </c>
      <c r="P3036" s="53" t="n">
        <v>45749.5810185185</v>
      </c>
      <c r="Q3036" s="53" t="n">
        <v>45749.5456944444</v>
      </c>
      <c r="R3036" s="0" t="n">
        <v>0</v>
      </c>
      <c r="S3036" s="51" t="s">
        <v>2356</v>
      </c>
      <c r="T3036" s="51" t="s">
        <v>2356</v>
      </c>
      <c r="U3036" s="51" t="s">
        <v>3960</v>
      </c>
      <c r="V3036" s="51" t="s">
        <v>2365</v>
      </c>
      <c r="W3036" s="51" t="s">
        <v>5322</v>
      </c>
      <c r="X3036" s="51" t="s">
        <v>2359</v>
      </c>
    </row>
    <row r="3037" customFormat="false" ht="14.25" hidden="true" customHeight="false" outlineLevel="0" collapsed="false">
      <c r="A3037" s="49" t="s">
        <v>2349</v>
      </c>
      <c r="B3037" s="49" t="s">
        <v>2350</v>
      </c>
      <c r="C3037" s="49" t="s">
        <v>6369</v>
      </c>
      <c r="D3037" s="49" t="s">
        <v>2352</v>
      </c>
      <c r="E3037" s="49" t="s">
        <v>3638</v>
      </c>
      <c r="F3037" s="49" t="s">
        <v>3639</v>
      </c>
      <c r="G3037" s="49" t="n">
        <v>0</v>
      </c>
      <c r="H3037" s="0" t="n">
        <v>0</v>
      </c>
      <c r="M3037" s="51" t="s">
        <v>6370</v>
      </c>
      <c r="N3037" s="49" t="n">
        <v>0</v>
      </c>
      <c r="O3037" s="53" t="n">
        <v>45732.6681018519</v>
      </c>
      <c r="P3037" s="53" t="n">
        <v>45752.5967824074</v>
      </c>
      <c r="Q3037" s="53" t="n">
        <v>45732.6681018519</v>
      </c>
      <c r="R3037" s="0" t="n">
        <v>0</v>
      </c>
      <c r="S3037" s="51" t="s">
        <v>2356</v>
      </c>
      <c r="T3037" s="51" t="s">
        <v>2356</v>
      </c>
      <c r="U3037" s="51" t="s">
        <v>3638</v>
      </c>
      <c r="V3037" s="51" t="s">
        <v>2357</v>
      </c>
      <c r="W3037" s="51" t="s">
        <v>6371</v>
      </c>
      <c r="X3037" s="51" t="s">
        <v>2359</v>
      </c>
    </row>
    <row r="3038" customFormat="false" ht="14.25" hidden="true" customHeight="false" outlineLevel="0" collapsed="false">
      <c r="A3038" s="49" t="s">
        <v>2349</v>
      </c>
      <c r="B3038" s="49" t="s">
        <v>2350</v>
      </c>
      <c r="C3038" s="49" t="s">
        <v>6372</v>
      </c>
      <c r="D3038" s="49" t="s">
        <v>2352</v>
      </c>
      <c r="E3038" s="49" t="s">
        <v>3638</v>
      </c>
      <c r="F3038" s="49" t="s">
        <v>3639</v>
      </c>
      <c r="G3038" s="49" t="n">
        <v>0</v>
      </c>
      <c r="H3038" s="0" t="n">
        <v>0</v>
      </c>
      <c r="M3038" s="51" t="s">
        <v>6370</v>
      </c>
      <c r="N3038" s="49" t="n">
        <v>0</v>
      </c>
      <c r="O3038" s="53" t="n">
        <v>45732.6682175926</v>
      </c>
      <c r="P3038" s="53" t="n">
        <v>45749.5816550926</v>
      </c>
      <c r="Q3038" s="53" t="n">
        <v>45732.6682175926</v>
      </c>
      <c r="R3038" s="0" t="n">
        <v>0</v>
      </c>
      <c r="S3038" s="51" t="s">
        <v>2356</v>
      </c>
      <c r="T3038" s="51" t="s">
        <v>2356</v>
      </c>
      <c r="U3038" s="51" t="s">
        <v>3638</v>
      </c>
      <c r="V3038" s="51" t="s">
        <v>2357</v>
      </c>
      <c r="W3038" s="51" t="s">
        <v>6373</v>
      </c>
      <c r="X3038" s="51" t="s">
        <v>2359</v>
      </c>
    </row>
    <row r="3039" customFormat="false" ht="14.25" hidden="true" customHeight="false" outlineLevel="0" collapsed="false">
      <c r="A3039" s="49" t="s">
        <v>2349</v>
      </c>
      <c r="B3039" s="49" t="s">
        <v>2350</v>
      </c>
      <c r="C3039" s="49" t="s">
        <v>6374</v>
      </c>
      <c r="D3039" s="49" t="s">
        <v>2352</v>
      </c>
      <c r="E3039" s="49" t="s">
        <v>3638</v>
      </c>
      <c r="F3039" s="49" t="s">
        <v>3639</v>
      </c>
      <c r="G3039" s="49" t="n">
        <v>0</v>
      </c>
      <c r="H3039" s="0" t="n">
        <v>0</v>
      </c>
      <c r="M3039" s="51" t="s">
        <v>6370</v>
      </c>
      <c r="N3039" s="49" t="n">
        <v>0</v>
      </c>
      <c r="O3039" s="53" t="n">
        <v>45732.668275463</v>
      </c>
      <c r="P3039" s="53" t="n">
        <v>45733.6034027778</v>
      </c>
      <c r="Q3039" s="53" t="n">
        <v>45732.668275463</v>
      </c>
      <c r="R3039" s="0" t="n">
        <v>0</v>
      </c>
      <c r="S3039" s="51" t="s">
        <v>2356</v>
      </c>
      <c r="T3039" s="51" t="s">
        <v>2356</v>
      </c>
      <c r="U3039" s="51" t="s">
        <v>3638</v>
      </c>
      <c r="V3039" s="51" t="s">
        <v>2357</v>
      </c>
      <c r="W3039" s="51" t="s">
        <v>6375</v>
      </c>
      <c r="X3039" s="51" t="s">
        <v>2359</v>
      </c>
    </row>
    <row r="3040" customFormat="false" ht="14.25" hidden="true" customHeight="false" outlineLevel="0" collapsed="false">
      <c r="A3040" s="49" t="s">
        <v>2349</v>
      </c>
      <c r="B3040" s="49" t="s">
        <v>2350</v>
      </c>
      <c r="C3040" s="49" t="s">
        <v>6376</v>
      </c>
      <c r="D3040" s="49" t="s">
        <v>2352</v>
      </c>
      <c r="E3040" s="49" t="s">
        <v>3638</v>
      </c>
      <c r="F3040" s="49" t="s">
        <v>3639</v>
      </c>
      <c r="G3040" s="49" t="n">
        <v>0</v>
      </c>
      <c r="H3040" s="0" t="n">
        <v>0</v>
      </c>
      <c r="M3040" s="51" t="s">
        <v>6370</v>
      </c>
      <c r="N3040" s="49" t="n">
        <v>0</v>
      </c>
      <c r="O3040" s="53" t="n">
        <v>45732.6685416667</v>
      </c>
      <c r="P3040" s="53" t="n">
        <v>45747.4771875</v>
      </c>
      <c r="Q3040" s="53" t="n">
        <v>45732.6685416667</v>
      </c>
      <c r="R3040" s="0" t="n">
        <v>0</v>
      </c>
      <c r="S3040" s="51" t="s">
        <v>2356</v>
      </c>
      <c r="T3040" s="51" t="s">
        <v>2356</v>
      </c>
      <c r="U3040" s="51" t="s">
        <v>3638</v>
      </c>
      <c r="V3040" s="51" t="s">
        <v>2357</v>
      </c>
      <c r="W3040" s="51" t="s">
        <v>3649</v>
      </c>
      <c r="X3040" s="51" t="s">
        <v>2359</v>
      </c>
    </row>
    <row r="3041" customFormat="false" ht="14.25" hidden="true" customHeight="false" outlineLevel="0" collapsed="false">
      <c r="A3041" s="49" t="s">
        <v>2349</v>
      </c>
      <c r="B3041" s="49" t="s">
        <v>2350</v>
      </c>
      <c r="C3041" s="49" t="s">
        <v>6377</v>
      </c>
      <c r="D3041" s="49" t="s">
        <v>2352</v>
      </c>
      <c r="E3041" s="49" t="str">
        <f aca="false">"5060175132970"</f>
        <v>5060175132970</v>
      </c>
      <c r="F3041" s="49" t="s">
        <v>3948</v>
      </c>
      <c r="G3041" s="49" t="n">
        <v>0</v>
      </c>
      <c r="H3041" s="0" t="n">
        <v>0</v>
      </c>
      <c r="M3041" s="51" t="s">
        <v>6378</v>
      </c>
      <c r="N3041" s="49" t="n">
        <v>0</v>
      </c>
      <c r="O3041" s="53" t="n">
        <v>45744.4510300926</v>
      </c>
      <c r="P3041" s="53" t="n">
        <v>45986.7088194444</v>
      </c>
      <c r="Q3041" s="53" t="n">
        <v>45744.4510300926</v>
      </c>
      <c r="R3041" s="0" t="n">
        <v>0</v>
      </c>
      <c r="S3041" s="51" t="s">
        <v>2380</v>
      </c>
      <c r="T3041" s="51" t="s">
        <v>2380</v>
      </c>
      <c r="U3041" s="0" t="str">
        <f aca="false">"5060175132970"</f>
        <v>5060175132970</v>
      </c>
      <c r="V3041" s="51" t="s">
        <v>2365</v>
      </c>
      <c r="W3041" s="51" t="s">
        <v>6379</v>
      </c>
      <c r="X3041" s="51" t="s">
        <v>2359</v>
      </c>
    </row>
    <row r="3042" customFormat="false" ht="14.25" hidden="true" customHeight="false" outlineLevel="0" collapsed="false">
      <c r="A3042" s="49" t="s">
        <v>2349</v>
      </c>
      <c r="B3042" s="49" t="s">
        <v>2350</v>
      </c>
      <c r="C3042" s="49" t="s">
        <v>6380</v>
      </c>
      <c r="D3042" s="49" t="s">
        <v>2352</v>
      </c>
      <c r="E3042" s="49" t="str">
        <f aca="false">"5060175133168"</f>
        <v>5060175133168</v>
      </c>
      <c r="F3042" s="49" t="s">
        <v>2391</v>
      </c>
      <c r="G3042" s="49" t="n">
        <v>0</v>
      </c>
      <c r="H3042" s="0" t="n">
        <v>0</v>
      </c>
      <c r="M3042" s="51" t="s">
        <v>6381</v>
      </c>
      <c r="N3042" s="49" t="n">
        <v>0</v>
      </c>
      <c r="O3042" s="53" t="n">
        <v>45754.7538078704</v>
      </c>
      <c r="P3042" s="53" t="n">
        <v>45762.2098032407</v>
      </c>
      <c r="Q3042" s="53" t="n">
        <v>45754.7538078704</v>
      </c>
      <c r="R3042" s="0" t="n">
        <v>0</v>
      </c>
      <c r="S3042" s="51" t="s">
        <v>2401</v>
      </c>
      <c r="T3042" s="51" t="s">
        <v>2401</v>
      </c>
      <c r="U3042" s="0" t="str">
        <f aca="false">"5060175133168"</f>
        <v>5060175133168</v>
      </c>
      <c r="V3042" s="51" t="s">
        <v>2365</v>
      </c>
      <c r="W3042" s="51" t="s">
        <v>4113</v>
      </c>
      <c r="X3042" s="51" t="s">
        <v>2359</v>
      </c>
    </row>
    <row r="3043" customFormat="false" ht="14.25" hidden="true" customHeight="false" outlineLevel="0" collapsed="false">
      <c r="A3043" s="49" t="s">
        <v>2349</v>
      </c>
      <c r="B3043" s="49" t="s">
        <v>2350</v>
      </c>
      <c r="C3043" s="49" t="s">
        <v>6382</v>
      </c>
      <c r="D3043" s="49" t="s">
        <v>2352</v>
      </c>
      <c r="E3043" s="49" t="str">
        <f aca="false">"5060175133274"</f>
        <v>5060175133274</v>
      </c>
      <c r="F3043" s="49" t="s">
        <v>5130</v>
      </c>
      <c r="G3043" s="49" t="n">
        <v>0</v>
      </c>
      <c r="H3043" s="0" t="n">
        <v>0</v>
      </c>
      <c r="M3043" s="51" t="s">
        <v>6381</v>
      </c>
      <c r="N3043" s="49" t="n">
        <v>0</v>
      </c>
      <c r="O3043" s="53" t="n">
        <v>45754.7542592593</v>
      </c>
      <c r="P3043" s="53" t="n">
        <v>45755.9669328704</v>
      </c>
      <c r="Q3043" s="53" t="n">
        <v>45754.7542592593</v>
      </c>
      <c r="R3043" s="0" t="n">
        <v>0</v>
      </c>
      <c r="S3043" s="51" t="s">
        <v>2401</v>
      </c>
      <c r="T3043" s="51" t="s">
        <v>2401</v>
      </c>
      <c r="U3043" s="0" t="str">
        <f aca="false">"5060175133274"</f>
        <v>5060175133274</v>
      </c>
      <c r="V3043" s="51" t="s">
        <v>2365</v>
      </c>
      <c r="W3043" s="51" t="s">
        <v>6383</v>
      </c>
      <c r="X3043" s="51" t="s">
        <v>2359</v>
      </c>
    </row>
    <row r="3044" customFormat="false" ht="14.25" hidden="true" customHeight="false" outlineLevel="0" collapsed="false">
      <c r="A3044" s="49" t="s">
        <v>2349</v>
      </c>
      <c r="B3044" s="49" t="s">
        <v>2350</v>
      </c>
      <c r="C3044" s="49" t="s">
        <v>6384</v>
      </c>
      <c r="D3044" s="49" t="s">
        <v>2352</v>
      </c>
      <c r="E3044" s="49" t="str">
        <f aca="false">"5060175133182"</f>
        <v>5060175133182</v>
      </c>
      <c r="F3044" s="49" t="s">
        <v>6385</v>
      </c>
      <c r="G3044" s="49" t="n">
        <v>0</v>
      </c>
      <c r="H3044" s="0" t="n">
        <v>0</v>
      </c>
      <c r="M3044" s="51" t="s">
        <v>6381</v>
      </c>
      <c r="N3044" s="49" t="n">
        <v>0</v>
      </c>
      <c r="O3044" s="53" t="n">
        <v>45754.7540972222</v>
      </c>
      <c r="P3044" s="53" t="n">
        <v>45755.9667708333</v>
      </c>
      <c r="Q3044" s="53" t="n">
        <v>45754.7540972222</v>
      </c>
      <c r="R3044" s="0" t="n">
        <v>0</v>
      </c>
      <c r="S3044" s="51" t="s">
        <v>2401</v>
      </c>
      <c r="T3044" s="51" t="s">
        <v>2401</v>
      </c>
      <c r="U3044" s="0" t="str">
        <f aca="false">"5060175133182"</f>
        <v>5060175133182</v>
      </c>
      <c r="V3044" s="51" t="s">
        <v>2365</v>
      </c>
      <c r="W3044" s="51" t="s">
        <v>6025</v>
      </c>
      <c r="X3044" s="51" t="s">
        <v>2359</v>
      </c>
    </row>
    <row r="3045" customFormat="false" ht="14.25" hidden="true" customHeight="false" outlineLevel="0" collapsed="false">
      <c r="A3045" s="49" t="s">
        <v>2349</v>
      </c>
      <c r="B3045" s="49" t="s">
        <v>2350</v>
      </c>
      <c r="C3045" s="49" t="s">
        <v>6386</v>
      </c>
      <c r="D3045" s="49" t="s">
        <v>2352</v>
      </c>
      <c r="E3045" s="49" t="str">
        <f aca="false">"5060175133366"</f>
        <v>5060175133366</v>
      </c>
      <c r="F3045" s="49" t="s">
        <v>5125</v>
      </c>
      <c r="G3045" s="49" t="n">
        <v>0</v>
      </c>
      <c r="H3045" s="0" t="n">
        <v>0</v>
      </c>
      <c r="M3045" s="51" t="s">
        <v>6381</v>
      </c>
      <c r="N3045" s="49" t="n">
        <v>0</v>
      </c>
      <c r="O3045" s="53" t="n">
        <v>45754.7544097222</v>
      </c>
      <c r="P3045" s="53" t="n">
        <v>45759.5542708333</v>
      </c>
      <c r="Q3045" s="53" t="n">
        <v>45754.7544097222</v>
      </c>
      <c r="R3045" s="0" t="n">
        <v>0</v>
      </c>
      <c r="S3045" s="51" t="s">
        <v>2401</v>
      </c>
      <c r="T3045" s="51" t="s">
        <v>2401</v>
      </c>
      <c r="U3045" s="0" t="str">
        <f aca="false">"5060175133366"</f>
        <v>5060175133366</v>
      </c>
      <c r="V3045" s="51" t="s">
        <v>2365</v>
      </c>
      <c r="W3045" s="51" t="s">
        <v>6387</v>
      </c>
      <c r="X3045" s="51" t="s">
        <v>2359</v>
      </c>
    </row>
    <row r="3046" customFormat="false" ht="14.25" hidden="true" customHeight="false" outlineLevel="0" collapsed="false">
      <c r="A3046" s="49" t="s">
        <v>2349</v>
      </c>
      <c r="B3046" s="49" t="s">
        <v>2350</v>
      </c>
      <c r="C3046" s="49" t="s">
        <v>6388</v>
      </c>
      <c r="D3046" s="49" t="s">
        <v>2352</v>
      </c>
      <c r="E3046" s="49" t="str">
        <f aca="false">"10074865055175"</f>
        <v>10074865055175</v>
      </c>
      <c r="F3046" s="49" t="s">
        <v>5090</v>
      </c>
      <c r="G3046" s="49" t="n">
        <v>0</v>
      </c>
      <c r="H3046" s="0" t="n">
        <v>0</v>
      </c>
      <c r="M3046" s="51" t="s">
        <v>6389</v>
      </c>
      <c r="N3046" s="49" t="n">
        <v>0</v>
      </c>
      <c r="O3046" s="53" t="n">
        <v>45743.5428472222</v>
      </c>
      <c r="P3046" s="53" t="n">
        <v>45766.6367361111</v>
      </c>
      <c r="Q3046" s="53" t="n">
        <v>45743.5428472222</v>
      </c>
      <c r="R3046" s="0" t="n">
        <v>0</v>
      </c>
      <c r="S3046" s="51" t="s">
        <v>2383</v>
      </c>
      <c r="T3046" s="51" t="s">
        <v>2383</v>
      </c>
      <c r="U3046" s="0" t="str">
        <f aca="false">"10074865055175"</f>
        <v>10074865055175</v>
      </c>
      <c r="V3046" s="51" t="s">
        <v>2365</v>
      </c>
      <c r="W3046" s="51" t="s">
        <v>5382</v>
      </c>
      <c r="X3046" s="51" t="s">
        <v>2359</v>
      </c>
    </row>
    <row r="3047" customFormat="false" ht="14.25" hidden="true" customHeight="false" outlineLevel="0" collapsed="false">
      <c r="A3047" s="49" t="s">
        <v>2349</v>
      </c>
      <c r="B3047" s="49" t="s">
        <v>2350</v>
      </c>
      <c r="C3047" s="49" t="s">
        <v>6390</v>
      </c>
      <c r="D3047" s="49" t="s">
        <v>2352</v>
      </c>
      <c r="E3047" s="49" t="str">
        <f aca="false">"10074865055175"</f>
        <v>10074865055175</v>
      </c>
      <c r="F3047" s="49" t="s">
        <v>5090</v>
      </c>
      <c r="G3047" s="49" t="n">
        <v>0</v>
      </c>
      <c r="H3047" s="0" t="n">
        <v>0</v>
      </c>
      <c r="M3047" s="51" t="s">
        <v>6389</v>
      </c>
      <c r="N3047" s="49" t="n">
        <v>0</v>
      </c>
      <c r="O3047" s="53" t="n">
        <v>45743.5425347222</v>
      </c>
      <c r="P3047" s="53" t="n">
        <v>45810.7209027778</v>
      </c>
      <c r="Q3047" s="53" t="n">
        <v>45743.5425347222</v>
      </c>
      <c r="R3047" s="0" t="n">
        <v>0</v>
      </c>
      <c r="S3047" s="51" t="s">
        <v>2383</v>
      </c>
      <c r="T3047" s="51" t="s">
        <v>2383</v>
      </c>
      <c r="U3047" s="0" t="str">
        <f aca="false">"10074865055175"</f>
        <v>10074865055175</v>
      </c>
      <c r="V3047" s="51" t="s">
        <v>2365</v>
      </c>
      <c r="W3047" s="51" t="s">
        <v>6391</v>
      </c>
      <c r="X3047" s="51" t="s">
        <v>2359</v>
      </c>
    </row>
    <row r="3048" customFormat="false" ht="14.25" hidden="true" customHeight="false" outlineLevel="0" collapsed="false">
      <c r="A3048" s="49" t="s">
        <v>2349</v>
      </c>
      <c r="B3048" s="49" t="s">
        <v>2350</v>
      </c>
      <c r="C3048" s="49" t="s">
        <v>6392</v>
      </c>
      <c r="D3048" s="49" t="s">
        <v>2352</v>
      </c>
      <c r="E3048" s="49" t="str">
        <f aca="false">"10074865055175"</f>
        <v>10074865055175</v>
      </c>
      <c r="F3048" s="49" t="s">
        <v>5090</v>
      </c>
      <c r="G3048" s="49" t="n">
        <v>0</v>
      </c>
      <c r="H3048" s="0" t="n">
        <v>0</v>
      </c>
      <c r="M3048" s="51" t="s">
        <v>6389</v>
      </c>
      <c r="N3048" s="49" t="n">
        <v>0</v>
      </c>
      <c r="O3048" s="53" t="n">
        <v>45743.5423611111</v>
      </c>
      <c r="P3048" s="53" t="n">
        <v>45766.6346759259</v>
      </c>
      <c r="Q3048" s="53" t="n">
        <v>45743.5423611111</v>
      </c>
      <c r="R3048" s="0" t="n">
        <v>0</v>
      </c>
      <c r="S3048" s="51" t="s">
        <v>2383</v>
      </c>
      <c r="T3048" s="51" t="s">
        <v>2383</v>
      </c>
      <c r="U3048" s="0" t="str">
        <f aca="false">"10074865055175"</f>
        <v>10074865055175</v>
      </c>
      <c r="V3048" s="51" t="s">
        <v>2365</v>
      </c>
      <c r="W3048" s="51" t="s">
        <v>6393</v>
      </c>
      <c r="X3048" s="51" t="s">
        <v>2359</v>
      </c>
    </row>
    <row r="3049" customFormat="false" ht="14.25" hidden="true" customHeight="false" outlineLevel="0" collapsed="false">
      <c r="A3049" s="49" t="s">
        <v>2349</v>
      </c>
      <c r="B3049" s="49" t="s">
        <v>2350</v>
      </c>
      <c r="C3049" s="49" t="s">
        <v>6394</v>
      </c>
      <c r="D3049" s="49" t="s">
        <v>2352</v>
      </c>
      <c r="E3049" s="49" t="str">
        <f aca="false">"10074865055175"</f>
        <v>10074865055175</v>
      </c>
      <c r="F3049" s="49" t="s">
        <v>5090</v>
      </c>
      <c r="G3049" s="49" t="n">
        <v>0</v>
      </c>
      <c r="H3049" s="0" t="n">
        <v>0</v>
      </c>
      <c r="M3049" s="51" t="s">
        <v>6389</v>
      </c>
      <c r="N3049" s="49" t="n">
        <v>0</v>
      </c>
      <c r="O3049" s="53" t="n">
        <v>45743.5421759259</v>
      </c>
      <c r="P3049" s="53" t="n">
        <v>45766.6341550926</v>
      </c>
      <c r="Q3049" s="53" t="n">
        <v>45743.5421759259</v>
      </c>
      <c r="R3049" s="0" t="n">
        <v>0</v>
      </c>
      <c r="S3049" s="51" t="s">
        <v>2383</v>
      </c>
      <c r="T3049" s="51" t="s">
        <v>2383</v>
      </c>
      <c r="U3049" s="0" t="str">
        <f aca="false">"10074865055175"</f>
        <v>10074865055175</v>
      </c>
      <c r="V3049" s="51" t="s">
        <v>2365</v>
      </c>
      <c r="W3049" s="51" t="s">
        <v>6395</v>
      </c>
      <c r="X3049" s="51" t="s">
        <v>2359</v>
      </c>
    </row>
    <row r="3050" customFormat="false" ht="14.25" hidden="true" customHeight="false" outlineLevel="0" collapsed="false">
      <c r="A3050" s="49" t="s">
        <v>2349</v>
      </c>
      <c r="B3050" s="49" t="s">
        <v>2350</v>
      </c>
      <c r="C3050" s="49" t="s">
        <v>6396</v>
      </c>
      <c r="D3050" s="49" t="s">
        <v>2352</v>
      </c>
      <c r="E3050" s="49" t="str">
        <f aca="false">"10074865055175"</f>
        <v>10074865055175</v>
      </c>
      <c r="F3050" s="49" t="s">
        <v>5090</v>
      </c>
      <c r="G3050" s="49" t="n">
        <v>0</v>
      </c>
      <c r="H3050" s="0" t="n">
        <v>0</v>
      </c>
      <c r="M3050" s="51" t="s">
        <v>6389</v>
      </c>
      <c r="N3050" s="49" t="n">
        <v>0</v>
      </c>
      <c r="O3050" s="53" t="n">
        <v>45743.5419560185</v>
      </c>
      <c r="P3050" s="53" t="n">
        <v>45766.6339467593</v>
      </c>
      <c r="Q3050" s="53" t="n">
        <v>45743.5419560185</v>
      </c>
      <c r="R3050" s="0" t="n">
        <v>0</v>
      </c>
      <c r="S3050" s="51" t="s">
        <v>2383</v>
      </c>
      <c r="T3050" s="51" t="s">
        <v>2383</v>
      </c>
      <c r="U3050" s="0" t="str">
        <f aca="false">"10074865055175"</f>
        <v>10074865055175</v>
      </c>
      <c r="V3050" s="51" t="s">
        <v>2365</v>
      </c>
      <c r="W3050" s="51" t="s">
        <v>6324</v>
      </c>
      <c r="X3050" s="51" t="s">
        <v>2359</v>
      </c>
    </row>
    <row r="3051" customFormat="false" ht="14.25" hidden="true" customHeight="false" outlineLevel="0" collapsed="false">
      <c r="A3051" s="49" t="s">
        <v>2349</v>
      </c>
      <c r="B3051" s="49" t="s">
        <v>2350</v>
      </c>
      <c r="C3051" s="49" t="s">
        <v>6397</v>
      </c>
      <c r="D3051" s="49" t="s">
        <v>2352</v>
      </c>
      <c r="E3051" s="49" t="str">
        <f aca="false">"10074865055175"</f>
        <v>10074865055175</v>
      </c>
      <c r="F3051" s="49" t="s">
        <v>5090</v>
      </c>
      <c r="G3051" s="49" t="n">
        <v>0</v>
      </c>
      <c r="H3051" s="0" t="n">
        <v>0</v>
      </c>
      <c r="M3051" s="51" t="s">
        <v>6389</v>
      </c>
      <c r="N3051" s="49" t="n">
        <v>0</v>
      </c>
      <c r="O3051" s="53" t="n">
        <v>45743.5485532407</v>
      </c>
      <c r="P3051" s="53" t="n">
        <v>45766.5964351852</v>
      </c>
      <c r="Q3051" s="53" t="n">
        <v>45743.5485532407</v>
      </c>
      <c r="R3051" s="0" t="n">
        <v>0</v>
      </c>
      <c r="S3051" s="51" t="s">
        <v>2383</v>
      </c>
      <c r="T3051" s="51" t="s">
        <v>2383</v>
      </c>
      <c r="U3051" s="0" t="str">
        <f aca="false">"10074865055175"</f>
        <v>10074865055175</v>
      </c>
      <c r="V3051" s="51" t="s">
        <v>2365</v>
      </c>
      <c r="W3051" s="51" t="s">
        <v>4074</v>
      </c>
      <c r="X3051" s="51" t="s">
        <v>2359</v>
      </c>
    </row>
    <row r="3052" customFormat="false" ht="14.25" hidden="true" customHeight="false" outlineLevel="0" collapsed="false">
      <c r="A3052" s="49" t="s">
        <v>2349</v>
      </c>
      <c r="B3052" s="49" t="s">
        <v>2350</v>
      </c>
      <c r="C3052" s="49" t="s">
        <v>6398</v>
      </c>
      <c r="D3052" s="49" t="s">
        <v>2352</v>
      </c>
      <c r="E3052" s="49" t="str">
        <f aca="false">"10074865055175"</f>
        <v>10074865055175</v>
      </c>
      <c r="F3052" s="49" t="s">
        <v>5090</v>
      </c>
      <c r="G3052" s="49" t="n">
        <v>0</v>
      </c>
      <c r="H3052" s="0" t="n">
        <v>0</v>
      </c>
      <c r="M3052" s="51" t="s">
        <v>6389</v>
      </c>
      <c r="N3052" s="49" t="n">
        <v>0</v>
      </c>
      <c r="O3052" s="53" t="n">
        <v>45743.5434143519</v>
      </c>
      <c r="P3052" s="53" t="n">
        <v>45818.6950810185</v>
      </c>
      <c r="Q3052" s="53" t="n">
        <v>45743.5434143519</v>
      </c>
      <c r="R3052" s="0" t="n">
        <v>0</v>
      </c>
      <c r="S3052" s="51" t="s">
        <v>2383</v>
      </c>
      <c r="T3052" s="51" t="s">
        <v>2383</v>
      </c>
      <c r="U3052" s="0" t="str">
        <f aca="false">"10074865055175"</f>
        <v>10074865055175</v>
      </c>
      <c r="V3052" s="51" t="s">
        <v>2365</v>
      </c>
      <c r="W3052" s="51" t="s">
        <v>6399</v>
      </c>
      <c r="X3052" s="51" t="s">
        <v>2359</v>
      </c>
    </row>
    <row r="3053" customFormat="false" ht="14.25" hidden="true" customHeight="false" outlineLevel="0" collapsed="false">
      <c r="A3053" s="49" t="s">
        <v>2349</v>
      </c>
      <c r="B3053" s="49" t="s">
        <v>2350</v>
      </c>
      <c r="C3053" s="49" t="s">
        <v>6400</v>
      </c>
      <c r="D3053" s="49" t="s">
        <v>2352</v>
      </c>
      <c r="E3053" s="49" t="str">
        <f aca="false">"10074865055175"</f>
        <v>10074865055175</v>
      </c>
      <c r="F3053" s="49" t="s">
        <v>5090</v>
      </c>
      <c r="G3053" s="49" t="n">
        <v>0</v>
      </c>
      <c r="H3053" s="0" t="n">
        <v>0</v>
      </c>
      <c r="M3053" s="51" t="s">
        <v>6389</v>
      </c>
      <c r="N3053" s="49" t="n">
        <v>0</v>
      </c>
      <c r="O3053" s="53" t="n">
        <v>45743.5432523148</v>
      </c>
      <c r="P3053" s="53" t="n">
        <v>45818.6919212963</v>
      </c>
      <c r="Q3053" s="53" t="n">
        <v>45743.5432523148</v>
      </c>
      <c r="R3053" s="0" t="n">
        <v>0</v>
      </c>
      <c r="S3053" s="51" t="s">
        <v>2383</v>
      </c>
      <c r="T3053" s="51" t="s">
        <v>2383</v>
      </c>
      <c r="U3053" s="0" t="str">
        <f aca="false">"10074865055175"</f>
        <v>10074865055175</v>
      </c>
      <c r="V3053" s="51" t="s">
        <v>2365</v>
      </c>
      <c r="W3053" s="51" t="s">
        <v>6401</v>
      </c>
      <c r="X3053" s="51" t="s">
        <v>2359</v>
      </c>
    </row>
    <row r="3054" customFormat="false" ht="14.25" hidden="true" customHeight="false" outlineLevel="0" collapsed="false">
      <c r="A3054" s="49" t="s">
        <v>2349</v>
      </c>
      <c r="B3054" s="49" t="s">
        <v>2350</v>
      </c>
      <c r="C3054" s="49" t="s">
        <v>6402</v>
      </c>
      <c r="D3054" s="49" t="s">
        <v>2352</v>
      </c>
      <c r="E3054" s="49" t="str">
        <f aca="false">"10074865055175"</f>
        <v>10074865055175</v>
      </c>
      <c r="F3054" s="49" t="s">
        <v>5090</v>
      </c>
      <c r="G3054" s="49" t="n">
        <v>0</v>
      </c>
      <c r="H3054" s="0" t="n">
        <v>0</v>
      </c>
      <c r="M3054" s="51" t="s">
        <v>6389</v>
      </c>
      <c r="N3054" s="49" t="n">
        <v>0</v>
      </c>
      <c r="O3054" s="53" t="n">
        <v>45743.5431365741</v>
      </c>
      <c r="P3054" s="53" t="n">
        <v>45818.6906944444</v>
      </c>
      <c r="Q3054" s="53" t="n">
        <v>45743.5431365741</v>
      </c>
      <c r="R3054" s="0" t="n">
        <v>0</v>
      </c>
      <c r="S3054" s="51" t="s">
        <v>2383</v>
      </c>
      <c r="T3054" s="51" t="s">
        <v>2383</v>
      </c>
      <c r="U3054" s="0" t="str">
        <f aca="false">"10074865055175"</f>
        <v>10074865055175</v>
      </c>
      <c r="V3054" s="51" t="s">
        <v>2365</v>
      </c>
      <c r="W3054" s="51" t="s">
        <v>6403</v>
      </c>
      <c r="X3054" s="51" t="s">
        <v>2359</v>
      </c>
    </row>
    <row r="3055" customFormat="false" ht="14.25" hidden="true" customHeight="false" outlineLevel="0" collapsed="false">
      <c r="A3055" s="49" t="s">
        <v>2349</v>
      </c>
      <c r="B3055" s="49" t="s">
        <v>2350</v>
      </c>
      <c r="C3055" s="49" t="s">
        <v>6404</v>
      </c>
      <c r="D3055" s="49" t="s">
        <v>2352</v>
      </c>
      <c r="E3055" s="49" t="str">
        <f aca="false">"10074865055175"</f>
        <v>10074865055175</v>
      </c>
      <c r="F3055" s="49" t="s">
        <v>5090</v>
      </c>
      <c r="G3055" s="49" t="n">
        <v>0</v>
      </c>
      <c r="H3055" s="0" t="n">
        <v>0</v>
      </c>
      <c r="M3055" s="51" t="s">
        <v>6389</v>
      </c>
      <c r="N3055" s="49" t="n">
        <v>0</v>
      </c>
      <c r="O3055" s="53" t="n">
        <v>45743.5487037037</v>
      </c>
      <c r="P3055" s="53" t="n">
        <v>45810.8617361111</v>
      </c>
      <c r="Q3055" s="53" t="n">
        <v>45743.5487037037</v>
      </c>
      <c r="R3055" s="0" t="n">
        <v>0</v>
      </c>
      <c r="S3055" s="51" t="s">
        <v>2383</v>
      </c>
      <c r="T3055" s="51" t="s">
        <v>2383</v>
      </c>
      <c r="U3055" s="0" t="str">
        <f aca="false">"10074865055175"</f>
        <v>10074865055175</v>
      </c>
      <c r="V3055" s="51" t="s">
        <v>2365</v>
      </c>
      <c r="W3055" s="51" t="s">
        <v>6405</v>
      </c>
      <c r="X3055" s="51" t="s">
        <v>2359</v>
      </c>
    </row>
    <row r="3056" customFormat="false" ht="14.25" hidden="true" customHeight="false" outlineLevel="0" collapsed="false">
      <c r="A3056" s="49" t="s">
        <v>2349</v>
      </c>
      <c r="B3056" s="49" t="s">
        <v>2350</v>
      </c>
      <c r="C3056" s="49" t="s">
        <v>6406</v>
      </c>
      <c r="D3056" s="49" t="s">
        <v>2352</v>
      </c>
      <c r="E3056" s="49" t="str">
        <f aca="false">"10074865055175"</f>
        <v>10074865055175</v>
      </c>
      <c r="F3056" s="49" t="s">
        <v>5090</v>
      </c>
      <c r="G3056" s="49" t="n">
        <v>0</v>
      </c>
      <c r="H3056" s="0" t="n">
        <v>0</v>
      </c>
      <c r="M3056" s="51" t="s">
        <v>6389</v>
      </c>
      <c r="N3056" s="49" t="n">
        <v>0</v>
      </c>
      <c r="O3056" s="53" t="n">
        <v>45743.5488425926</v>
      </c>
      <c r="P3056" s="53" t="n">
        <v>45766.6344328704</v>
      </c>
      <c r="Q3056" s="53" t="n">
        <v>45743.5488425926</v>
      </c>
      <c r="R3056" s="0" t="n">
        <v>0</v>
      </c>
      <c r="S3056" s="51" t="s">
        <v>2383</v>
      </c>
      <c r="T3056" s="51" t="s">
        <v>2383</v>
      </c>
      <c r="U3056" s="0" t="str">
        <f aca="false">"10074865055175"</f>
        <v>10074865055175</v>
      </c>
      <c r="V3056" s="51" t="s">
        <v>2365</v>
      </c>
      <c r="W3056" s="51" t="s">
        <v>6407</v>
      </c>
      <c r="X3056" s="51" t="s">
        <v>2359</v>
      </c>
    </row>
    <row r="3057" customFormat="false" ht="14.25" hidden="true" customHeight="false" outlineLevel="0" collapsed="false">
      <c r="A3057" s="49" t="s">
        <v>2349</v>
      </c>
      <c r="B3057" s="49" t="s">
        <v>2350</v>
      </c>
      <c r="C3057" s="49" t="s">
        <v>6408</v>
      </c>
      <c r="D3057" s="49" t="s">
        <v>2352</v>
      </c>
      <c r="E3057" s="49" t="str">
        <f aca="false">"10074865055175"</f>
        <v>10074865055175</v>
      </c>
      <c r="F3057" s="49" t="s">
        <v>5090</v>
      </c>
      <c r="G3057" s="49" t="n">
        <v>0</v>
      </c>
      <c r="H3057" s="0" t="n">
        <v>0</v>
      </c>
      <c r="M3057" s="51" t="s">
        <v>6389</v>
      </c>
      <c r="N3057" s="49" t="n">
        <v>0</v>
      </c>
      <c r="O3057" s="53" t="n">
        <v>45743.5490162037</v>
      </c>
      <c r="P3057" s="53" t="n">
        <v>45766.634525463</v>
      </c>
      <c r="Q3057" s="53" t="n">
        <v>45743.5490162037</v>
      </c>
      <c r="R3057" s="0" t="n">
        <v>0</v>
      </c>
      <c r="S3057" s="51" t="s">
        <v>2383</v>
      </c>
      <c r="T3057" s="51" t="s">
        <v>2383</v>
      </c>
      <c r="U3057" s="0" t="str">
        <f aca="false">"10074865055175"</f>
        <v>10074865055175</v>
      </c>
      <c r="V3057" s="51" t="s">
        <v>2365</v>
      </c>
      <c r="W3057" s="51" t="s">
        <v>6409</v>
      </c>
      <c r="X3057" s="51" t="s">
        <v>2359</v>
      </c>
    </row>
    <row r="3058" customFormat="false" ht="14.25" hidden="true" customHeight="false" outlineLevel="0" collapsed="false">
      <c r="A3058" s="49" t="s">
        <v>2349</v>
      </c>
      <c r="B3058" s="49" t="s">
        <v>2350</v>
      </c>
      <c r="C3058" s="49" t="s">
        <v>6410</v>
      </c>
      <c r="D3058" s="49" t="s">
        <v>2352</v>
      </c>
      <c r="E3058" s="49" t="str">
        <f aca="false">"10074865055175"</f>
        <v>10074865055175</v>
      </c>
      <c r="F3058" s="49" t="s">
        <v>5090</v>
      </c>
      <c r="G3058" s="49" t="n">
        <v>0</v>
      </c>
      <c r="H3058" s="0" t="n">
        <v>0</v>
      </c>
      <c r="M3058" s="51" t="s">
        <v>6389</v>
      </c>
      <c r="N3058" s="49" t="n">
        <v>0</v>
      </c>
      <c r="O3058" s="53" t="n">
        <v>45743.5492361111</v>
      </c>
      <c r="P3058" s="53" t="n">
        <v>45766.6326388889</v>
      </c>
      <c r="Q3058" s="53" t="n">
        <v>45743.5492361111</v>
      </c>
      <c r="R3058" s="0" t="n">
        <v>0</v>
      </c>
      <c r="S3058" s="51" t="s">
        <v>2383</v>
      </c>
      <c r="T3058" s="51" t="s">
        <v>2383</v>
      </c>
      <c r="U3058" s="0" t="str">
        <f aca="false">"10074865055175"</f>
        <v>10074865055175</v>
      </c>
      <c r="V3058" s="51" t="s">
        <v>2365</v>
      </c>
      <c r="W3058" s="51" t="s">
        <v>6411</v>
      </c>
      <c r="X3058" s="51" t="s">
        <v>2359</v>
      </c>
    </row>
    <row r="3059" customFormat="false" ht="14.25" hidden="true" customHeight="false" outlineLevel="0" collapsed="false">
      <c r="A3059" s="49" t="s">
        <v>2349</v>
      </c>
      <c r="B3059" s="49" t="s">
        <v>2350</v>
      </c>
      <c r="C3059" s="49" t="s">
        <v>6412</v>
      </c>
      <c r="D3059" s="49" t="s">
        <v>2352</v>
      </c>
      <c r="E3059" s="49" t="str">
        <f aca="false">"10074865055175"</f>
        <v>10074865055175</v>
      </c>
      <c r="F3059" s="49" t="s">
        <v>5090</v>
      </c>
      <c r="G3059" s="49" t="n">
        <v>0</v>
      </c>
      <c r="H3059" s="0" t="n">
        <v>0</v>
      </c>
      <c r="M3059" s="51" t="s">
        <v>6389</v>
      </c>
      <c r="N3059" s="49" t="n">
        <v>0</v>
      </c>
      <c r="O3059" s="53" t="n">
        <v>45743.5477199074</v>
      </c>
      <c r="P3059" s="53" t="n">
        <v>45766.6009837963</v>
      </c>
      <c r="Q3059" s="53" t="n">
        <v>45743.5477199074</v>
      </c>
      <c r="R3059" s="0" t="n">
        <v>0</v>
      </c>
      <c r="S3059" s="51" t="s">
        <v>2383</v>
      </c>
      <c r="T3059" s="51" t="s">
        <v>2383</v>
      </c>
      <c r="U3059" s="0" t="str">
        <f aca="false">"10074865055175"</f>
        <v>10074865055175</v>
      </c>
      <c r="V3059" s="51" t="s">
        <v>2365</v>
      </c>
      <c r="W3059" s="51" t="s">
        <v>6413</v>
      </c>
      <c r="X3059" s="51" t="s">
        <v>2359</v>
      </c>
    </row>
    <row r="3060" customFormat="false" ht="14.25" hidden="true" customHeight="false" outlineLevel="0" collapsed="false">
      <c r="A3060" s="49" t="s">
        <v>2349</v>
      </c>
      <c r="B3060" s="49" t="s">
        <v>2350</v>
      </c>
      <c r="C3060" s="49" t="s">
        <v>6414</v>
      </c>
      <c r="D3060" s="49" t="s">
        <v>2352</v>
      </c>
      <c r="E3060" s="49" t="str">
        <f aca="false">"10074865055175"</f>
        <v>10074865055175</v>
      </c>
      <c r="F3060" s="49" t="s">
        <v>5090</v>
      </c>
      <c r="G3060" s="49" t="n">
        <v>0</v>
      </c>
      <c r="H3060" s="0" t="n">
        <v>0</v>
      </c>
      <c r="M3060" s="51" t="s">
        <v>6389</v>
      </c>
      <c r="N3060" s="49" t="n">
        <v>0</v>
      </c>
      <c r="O3060" s="53" t="n">
        <v>45743.5478703704</v>
      </c>
      <c r="P3060" s="53" t="n">
        <v>45766.5997800926</v>
      </c>
      <c r="Q3060" s="53" t="n">
        <v>45743.5478703704</v>
      </c>
      <c r="R3060" s="0" t="n">
        <v>0</v>
      </c>
      <c r="S3060" s="51" t="s">
        <v>2383</v>
      </c>
      <c r="T3060" s="51" t="s">
        <v>2383</v>
      </c>
      <c r="U3060" s="0" t="str">
        <f aca="false">"10074865055175"</f>
        <v>10074865055175</v>
      </c>
      <c r="V3060" s="51" t="s">
        <v>2365</v>
      </c>
      <c r="W3060" s="51" t="s">
        <v>6249</v>
      </c>
      <c r="X3060" s="51" t="s">
        <v>2359</v>
      </c>
    </row>
    <row r="3061" customFormat="false" ht="14.25" hidden="true" customHeight="false" outlineLevel="0" collapsed="false">
      <c r="A3061" s="49" t="s">
        <v>2349</v>
      </c>
      <c r="B3061" s="49" t="s">
        <v>2350</v>
      </c>
      <c r="C3061" s="49" t="s">
        <v>6415</v>
      </c>
      <c r="D3061" s="49" t="s">
        <v>2352</v>
      </c>
      <c r="E3061" s="49" t="str">
        <f aca="false">"10074865055175"</f>
        <v>10074865055175</v>
      </c>
      <c r="F3061" s="49" t="s">
        <v>5090</v>
      </c>
      <c r="G3061" s="49" t="n">
        <v>0</v>
      </c>
      <c r="H3061" s="0" t="n">
        <v>0</v>
      </c>
      <c r="M3061" s="51" t="s">
        <v>6389</v>
      </c>
      <c r="N3061" s="49" t="n">
        <v>0</v>
      </c>
      <c r="O3061" s="53" t="n">
        <v>45743.5480787037</v>
      </c>
      <c r="P3061" s="53" t="n">
        <v>45766.5978819444</v>
      </c>
      <c r="Q3061" s="53" t="n">
        <v>45743.5480787037</v>
      </c>
      <c r="R3061" s="0" t="n">
        <v>0</v>
      </c>
      <c r="S3061" s="51" t="s">
        <v>2383</v>
      </c>
      <c r="T3061" s="51" t="s">
        <v>2383</v>
      </c>
      <c r="U3061" s="0" t="str">
        <f aca="false">"10074865055175"</f>
        <v>10074865055175</v>
      </c>
      <c r="V3061" s="51" t="s">
        <v>2365</v>
      </c>
      <c r="W3061" s="51" t="s">
        <v>2421</v>
      </c>
      <c r="X3061" s="51" t="s">
        <v>2359</v>
      </c>
    </row>
    <row r="3062" customFormat="false" ht="14.25" hidden="true" customHeight="false" outlineLevel="0" collapsed="false">
      <c r="A3062" s="49" t="s">
        <v>2349</v>
      </c>
      <c r="B3062" s="49" t="s">
        <v>2350</v>
      </c>
      <c r="C3062" s="49" t="s">
        <v>6416</v>
      </c>
      <c r="D3062" s="49" t="s">
        <v>2352</v>
      </c>
      <c r="E3062" s="49" t="str">
        <f aca="false">"10074865055175"</f>
        <v>10074865055175</v>
      </c>
      <c r="F3062" s="49" t="s">
        <v>5090</v>
      </c>
      <c r="G3062" s="49" t="n">
        <v>0</v>
      </c>
      <c r="H3062" s="0" t="n">
        <v>0</v>
      </c>
      <c r="M3062" s="51" t="s">
        <v>6389</v>
      </c>
      <c r="N3062" s="49" t="n">
        <v>0</v>
      </c>
      <c r="O3062" s="53" t="n">
        <v>45743.5483564815</v>
      </c>
      <c r="P3062" s="53" t="n">
        <v>45766.5983101852</v>
      </c>
      <c r="Q3062" s="53" t="n">
        <v>45743.5483564815</v>
      </c>
      <c r="R3062" s="0" t="n">
        <v>0</v>
      </c>
      <c r="S3062" s="51" t="s">
        <v>2383</v>
      </c>
      <c r="T3062" s="51" t="s">
        <v>2383</v>
      </c>
      <c r="U3062" s="0" t="str">
        <f aca="false">"10074865055175"</f>
        <v>10074865055175</v>
      </c>
      <c r="V3062" s="51" t="s">
        <v>2365</v>
      </c>
      <c r="W3062" s="51" t="s">
        <v>6417</v>
      </c>
      <c r="X3062" s="51" t="s">
        <v>2359</v>
      </c>
    </row>
    <row r="3063" customFormat="false" ht="14.25" hidden="true" customHeight="false" outlineLevel="0" collapsed="false">
      <c r="A3063" s="49" t="s">
        <v>2349</v>
      </c>
      <c r="B3063" s="49" t="s">
        <v>2350</v>
      </c>
      <c r="C3063" s="49" t="s">
        <v>6418</v>
      </c>
      <c r="D3063" s="49" t="s">
        <v>2352</v>
      </c>
      <c r="E3063" s="49" t="str">
        <f aca="false">"10074865055175"</f>
        <v>10074865055175</v>
      </c>
      <c r="F3063" s="49" t="s">
        <v>5090</v>
      </c>
      <c r="G3063" s="49" t="n">
        <v>0</v>
      </c>
      <c r="H3063" s="0" t="n">
        <v>0</v>
      </c>
      <c r="M3063" s="51" t="s">
        <v>6389</v>
      </c>
      <c r="N3063" s="49" t="n">
        <v>0</v>
      </c>
      <c r="O3063" s="53" t="n">
        <v>45743.5469444444</v>
      </c>
      <c r="P3063" s="53" t="n">
        <v>45818.7002662037</v>
      </c>
      <c r="Q3063" s="53" t="n">
        <v>45743.5469444444</v>
      </c>
      <c r="R3063" s="0" t="n">
        <v>0</v>
      </c>
      <c r="S3063" s="51" t="s">
        <v>2383</v>
      </c>
      <c r="T3063" s="51" t="s">
        <v>2383</v>
      </c>
      <c r="U3063" s="0" t="str">
        <f aca="false">"10074865055175"</f>
        <v>10074865055175</v>
      </c>
      <c r="V3063" s="51" t="s">
        <v>2365</v>
      </c>
      <c r="W3063" s="51" t="s">
        <v>6419</v>
      </c>
      <c r="X3063" s="51" t="s">
        <v>2359</v>
      </c>
    </row>
    <row r="3064" customFormat="false" ht="14.25" hidden="true" customHeight="false" outlineLevel="0" collapsed="false">
      <c r="A3064" s="49" t="s">
        <v>2349</v>
      </c>
      <c r="B3064" s="49" t="s">
        <v>2350</v>
      </c>
      <c r="C3064" s="49" t="s">
        <v>6420</v>
      </c>
      <c r="D3064" s="49" t="s">
        <v>2352</v>
      </c>
      <c r="E3064" s="49" t="str">
        <f aca="false">"10074865055175"</f>
        <v>10074865055175</v>
      </c>
      <c r="F3064" s="49" t="s">
        <v>5090</v>
      </c>
      <c r="G3064" s="49" t="n">
        <v>0</v>
      </c>
      <c r="H3064" s="0" t="n">
        <v>0</v>
      </c>
      <c r="M3064" s="51" t="s">
        <v>6389</v>
      </c>
      <c r="N3064" s="49" t="n">
        <v>0</v>
      </c>
      <c r="O3064" s="53" t="n">
        <v>45743.5471527778</v>
      </c>
      <c r="P3064" s="53" t="n">
        <v>45818.7008101852</v>
      </c>
      <c r="Q3064" s="53" t="n">
        <v>45743.5471527778</v>
      </c>
      <c r="R3064" s="0" t="n">
        <v>0</v>
      </c>
      <c r="S3064" s="51" t="s">
        <v>2383</v>
      </c>
      <c r="T3064" s="51" t="s">
        <v>2383</v>
      </c>
      <c r="U3064" s="0" t="str">
        <f aca="false">"10074865055175"</f>
        <v>10074865055175</v>
      </c>
      <c r="V3064" s="51" t="s">
        <v>2365</v>
      </c>
      <c r="W3064" s="51" t="s">
        <v>6421</v>
      </c>
      <c r="X3064" s="51" t="s">
        <v>2359</v>
      </c>
    </row>
    <row r="3065" customFormat="false" ht="14.25" hidden="true" customHeight="false" outlineLevel="0" collapsed="false">
      <c r="A3065" s="49" t="s">
        <v>2349</v>
      </c>
      <c r="B3065" s="49" t="s">
        <v>2350</v>
      </c>
      <c r="C3065" s="49" t="s">
        <v>6422</v>
      </c>
      <c r="D3065" s="49" t="s">
        <v>2352</v>
      </c>
      <c r="E3065" s="49" t="str">
        <f aca="false">"10074865055175"</f>
        <v>10074865055175</v>
      </c>
      <c r="F3065" s="49" t="s">
        <v>5090</v>
      </c>
      <c r="G3065" s="49" t="n">
        <v>0</v>
      </c>
      <c r="H3065" s="0" t="n">
        <v>0</v>
      </c>
      <c r="M3065" s="51" t="s">
        <v>6389</v>
      </c>
      <c r="N3065" s="49" t="n">
        <v>0</v>
      </c>
      <c r="O3065" s="53" t="n">
        <v>45743.5474074074</v>
      </c>
      <c r="P3065" s="53" t="n">
        <v>45766.6292939815</v>
      </c>
      <c r="Q3065" s="53" t="n">
        <v>45743.5474074074</v>
      </c>
      <c r="R3065" s="0" t="n">
        <v>0</v>
      </c>
      <c r="S3065" s="51" t="s">
        <v>2383</v>
      </c>
      <c r="T3065" s="51" t="s">
        <v>2383</v>
      </c>
      <c r="U3065" s="0" t="str">
        <f aca="false">"10074865055175"</f>
        <v>10074865055175</v>
      </c>
      <c r="V3065" s="51" t="s">
        <v>2365</v>
      </c>
      <c r="W3065" s="51" t="s">
        <v>4028</v>
      </c>
      <c r="X3065" s="51" t="s">
        <v>2359</v>
      </c>
    </row>
    <row r="3066" customFormat="false" ht="14.25" hidden="true" customHeight="false" outlineLevel="0" collapsed="false">
      <c r="A3066" s="49" t="s">
        <v>2349</v>
      </c>
      <c r="B3066" s="49" t="s">
        <v>2350</v>
      </c>
      <c r="C3066" s="49" t="s">
        <v>6423</v>
      </c>
      <c r="D3066" s="49" t="s">
        <v>2352</v>
      </c>
      <c r="E3066" s="49" t="str">
        <f aca="false">"10074865055175"</f>
        <v>10074865055175</v>
      </c>
      <c r="F3066" s="49" t="s">
        <v>5090</v>
      </c>
      <c r="G3066" s="49" t="n">
        <v>0</v>
      </c>
      <c r="H3066" s="0" t="n">
        <v>0</v>
      </c>
      <c r="M3066" s="51" t="s">
        <v>6389</v>
      </c>
      <c r="N3066" s="49" t="n">
        <v>0</v>
      </c>
      <c r="O3066" s="53" t="n">
        <v>45743.5475462963</v>
      </c>
      <c r="P3066" s="53" t="n">
        <v>45766.6001041667</v>
      </c>
      <c r="Q3066" s="53" t="n">
        <v>45743.5475462963</v>
      </c>
      <c r="R3066" s="0" t="n">
        <v>0</v>
      </c>
      <c r="S3066" s="51" t="s">
        <v>2383</v>
      </c>
      <c r="T3066" s="51" t="s">
        <v>2383</v>
      </c>
      <c r="U3066" s="0" t="str">
        <f aca="false">"10074865055175"</f>
        <v>10074865055175</v>
      </c>
      <c r="V3066" s="51" t="s">
        <v>2365</v>
      </c>
      <c r="W3066" s="51" t="s">
        <v>6329</v>
      </c>
      <c r="X3066" s="51" t="s">
        <v>2359</v>
      </c>
    </row>
    <row r="3067" customFormat="false" ht="14.25" hidden="true" customHeight="false" outlineLevel="0" collapsed="false">
      <c r="A3067" s="49" t="s">
        <v>2349</v>
      </c>
      <c r="B3067" s="49" t="s">
        <v>2350</v>
      </c>
      <c r="C3067" s="49" t="s">
        <v>6424</v>
      </c>
      <c r="D3067" s="49" t="s">
        <v>2352</v>
      </c>
      <c r="E3067" s="49" t="str">
        <f aca="false">"10074865055175"</f>
        <v>10074865055175</v>
      </c>
      <c r="F3067" s="49" t="s">
        <v>5090</v>
      </c>
      <c r="G3067" s="49" t="n">
        <v>0</v>
      </c>
      <c r="H3067" s="0" t="n">
        <v>0</v>
      </c>
      <c r="M3067" s="51" t="s">
        <v>6389</v>
      </c>
      <c r="N3067" s="49" t="n">
        <v>0</v>
      </c>
      <c r="O3067" s="53" t="n">
        <v>45743.5461574074</v>
      </c>
      <c r="P3067" s="53" t="n">
        <v>45818.6962615741</v>
      </c>
      <c r="Q3067" s="53" t="n">
        <v>45743.5461574074</v>
      </c>
      <c r="R3067" s="0" t="n">
        <v>0</v>
      </c>
      <c r="S3067" s="51" t="s">
        <v>2383</v>
      </c>
      <c r="T3067" s="51" t="s">
        <v>2383</v>
      </c>
      <c r="U3067" s="0" t="str">
        <f aca="false">"10074865055175"</f>
        <v>10074865055175</v>
      </c>
      <c r="V3067" s="51" t="s">
        <v>2365</v>
      </c>
      <c r="W3067" s="51" t="s">
        <v>6046</v>
      </c>
      <c r="X3067" s="51" t="s">
        <v>2359</v>
      </c>
    </row>
    <row r="3068" customFormat="false" ht="14.25" hidden="true" customHeight="false" outlineLevel="0" collapsed="false">
      <c r="A3068" s="49" t="s">
        <v>2349</v>
      </c>
      <c r="B3068" s="49" t="s">
        <v>2350</v>
      </c>
      <c r="C3068" s="49" t="s">
        <v>6425</v>
      </c>
      <c r="D3068" s="49" t="s">
        <v>2352</v>
      </c>
      <c r="E3068" s="49" t="str">
        <f aca="false">"10074865055175"</f>
        <v>10074865055175</v>
      </c>
      <c r="F3068" s="49" t="s">
        <v>5090</v>
      </c>
      <c r="G3068" s="49" t="n">
        <v>0</v>
      </c>
      <c r="H3068" s="0" t="n">
        <v>0</v>
      </c>
      <c r="M3068" s="51" t="s">
        <v>6389</v>
      </c>
      <c r="N3068" s="49" t="n">
        <v>0</v>
      </c>
      <c r="O3068" s="53" t="n">
        <v>45743.5463657407</v>
      </c>
      <c r="P3068" s="53" t="n">
        <v>45766.6278356482</v>
      </c>
      <c r="Q3068" s="53" t="n">
        <v>45743.5463657407</v>
      </c>
      <c r="R3068" s="0" t="n">
        <v>0</v>
      </c>
      <c r="S3068" s="51" t="s">
        <v>2383</v>
      </c>
      <c r="T3068" s="51" t="s">
        <v>2383</v>
      </c>
      <c r="U3068" s="0" t="str">
        <f aca="false">"10074865055175"</f>
        <v>10074865055175</v>
      </c>
      <c r="V3068" s="51" t="s">
        <v>2365</v>
      </c>
      <c r="W3068" s="51" t="s">
        <v>6426</v>
      </c>
      <c r="X3068" s="51" t="s">
        <v>2359</v>
      </c>
    </row>
    <row r="3069" customFormat="false" ht="14.25" hidden="true" customHeight="false" outlineLevel="0" collapsed="false">
      <c r="A3069" s="49" t="s">
        <v>2349</v>
      </c>
      <c r="B3069" s="49" t="s">
        <v>2350</v>
      </c>
      <c r="C3069" s="49" t="s">
        <v>6427</v>
      </c>
      <c r="D3069" s="49" t="s">
        <v>2352</v>
      </c>
      <c r="E3069" s="49" t="str">
        <f aca="false">"10074865055175"</f>
        <v>10074865055175</v>
      </c>
      <c r="F3069" s="49" t="s">
        <v>5090</v>
      </c>
      <c r="G3069" s="49" t="n">
        <v>0</v>
      </c>
      <c r="H3069" s="0" t="n">
        <v>0</v>
      </c>
      <c r="M3069" s="51" t="s">
        <v>6389</v>
      </c>
      <c r="N3069" s="49" t="n">
        <v>0</v>
      </c>
      <c r="O3069" s="53" t="n">
        <v>45743.5465625</v>
      </c>
      <c r="P3069" s="53" t="n">
        <v>45770.9129513889</v>
      </c>
      <c r="Q3069" s="53" t="n">
        <v>45743.5465625</v>
      </c>
      <c r="R3069" s="0" t="n">
        <v>0</v>
      </c>
      <c r="S3069" s="51" t="s">
        <v>2383</v>
      </c>
      <c r="T3069" s="51" t="s">
        <v>2383</v>
      </c>
      <c r="U3069" s="0" t="str">
        <f aca="false">"10074865055175"</f>
        <v>10074865055175</v>
      </c>
      <c r="V3069" s="51" t="s">
        <v>2365</v>
      </c>
      <c r="W3069" s="51" t="s">
        <v>6428</v>
      </c>
      <c r="X3069" s="51" t="s">
        <v>2359</v>
      </c>
    </row>
    <row r="3070" customFormat="false" ht="14.25" hidden="true" customHeight="false" outlineLevel="0" collapsed="false">
      <c r="A3070" s="49" t="s">
        <v>2349</v>
      </c>
      <c r="B3070" s="49" t="s">
        <v>2350</v>
      </c>
      <c r="C3070" s="49" t="s">
        <v>6429</v>
      </c>
      <c r="D3070" s="49" t="s">
        <v>2352</v>
      </c>
      <c r="E3070" s="49" t="str">
        <f aca="false">"10074865055175"</f>
        <v>10074865055175</v>
      </c>
      <c r="F3070" s="49" t="s">
        <v>5090</v>
      </c>
      <c r="G3070" s="49" t="n">
        <v>0</v>
      </c>
      <c r="H3070" s="0" t="n">
        <v>0</v>
      </c>
      <c r="M3070" s="51" t="s">
        <v>6389</v>
      </c>
      <c r="N3070" s="49" t="n">
        <v>0</v>
      </c>
      <c r="O3070" s="53" t="n">
        <v>45743.5459837963</v>
      </c>
      <c r="P3070" s="53" t="n">
        <v>45766.627349537</v>
      </c>
      <c r="Q3070" s="53" t="n">
        <v>45743.5459837963</v>
      </c>
      <c r="R3070" s="0" t="n">
        <v>0</v>
      </c>
      <c r="S3070" s="51" t="s">
        <v>2383</v>
      </c>
      <c r="T3070" s="51" t="s">
        <v>2383</v>
      </c>
      <c r="U3070" s="0" t="str">
        <f aca="false">"10074865055175"</f>
        <v>10074865055175</v>
      </c>
      <c r="V3070" s="51" t="s">
        <v>2365</v>
      </c>
      <c r="W3070" s="51" t="s">
        <v>6430</v>
      </c>
      <c r="X3070" s="51" t="s">
        <v>2359</v>
      </c>
    </row>
    <row r="3071" customFormat="false" ht="14.25" hidden="true" customHeight="false" outlineLevel="0" collapsed="false">
      <c r="A3071" s="49" t="s">
        <v>2349</v>
      </c>
      <c r="B3071" s="49" t="s">
        <v>2350</v>
      </c>
      <c r="C3071" s="49" t="s">
        <v>6431</v>
      </c>
      <c r="D3071" s="49" t="s">
        <v>2352</v>
      </c>
      <c r="E3071" s="49" t="s">
        <v>4351</v>
      </c>
      <c r="F3071" s="49" t="s">
        <v>4352</v>
      </c>
      <c r="G3071" s="49" t="n">
        <v>0</v>
      </c>
      <c r="H3071" s="0" t="n">
        <v>0</v>
      </c>
      <c r="M3071" s="51" t="s">
        <v>6432</v>
      </c>
      <c r="N3071" s="49" t="n">
        <v>0</v>
      </c>
      <c r="O3071" s="53" t="n">
        <v>45743.61625</v>
      </c>
      <c r="P3071" s="53" t="n">
        <v>45752.629837963</v>
      </c>
      <c r="Q3071" s="53" t="n">
        <v>45743.61625</v>
      </c>
      <c r="R3071" s="0" t="n">
        <v>0</v>
      </c>
      <c r="S3071" s="51" t="s">
        <v>2356</v>
      </c>
      <c r="T3071" s="51" t="s">
        <v>2356</v>
      </c>
      <c r="U3071" s="51" t="s">
        <v>4351</v>
      </c>
      <c r="V3071" s="51" t="s">
        <v>2365</v>
      </c>
      <c r="W3071" s="51" t="s">
        <v>4169</v>
      </c>
      <c r="X3071" s="51" t="s">
        <v>2359</v>
      </c>
    </row>
    <row r="3072" customFormat="false" ht="14.25" hidden="true" customHeight="false" outlineLevel="0" collapsed="false">
      <c r="A3072" s="49" t="s">
        <v>2349</v>
      </c>
      <c r="B3072" s="49" t="s">
        <v>2350</v>
      </c>
      <c r="C3072" s="49" t="s">
        <v>6433</v>
      </c>
      <c r="D3072" s="49" t="s">
        <v>2352</v>
      </c>
      <c r="E3072" s="49" t="s">
        <v>4351</v>
      </c>
      <c r="F3072" s="49" t="s">
        <v>4352</v>
      </c>
      <c r="G3072" s="49" t="n">
        <v>0</v>
      </c>
      <c r="H3072" s="0" t="n">
        <v>0</v>
      </c>
      <c r="M3072" s="51" t="s">
        <v>6432</v>
      </c>
      <c r="N3072" s="49" t="n">
        <v>0</v>
      </c>
      <c r="O3072" s="53" t="n">
        <v>45743.6161226852</v>
      </c>
      <c r="P3072" s="53" t="n">
        <v>45752.6294560185</v>
      </c>
      <c r="Q3072" s="53" t="n">
        <v>45743.6161226852</v>
      </c>
      <c r="R3072" s="0" t="n">
        <v>0</v>
      </c>
      <c r="S3072" s="51" t="s">
        <v>2356</v>
      </c>
      <c r="T3072" s="51" t="s">
        <v>2356</v>
      </c>
      <c r="U3072" s="51" t="s">
        <v>4351</v>
      </c>
      <c r="V3072" s="51" t="s">
        <v>2365</v>
      </c>
      <c r="W3072" s="51" t="s">
        <v>5159</v>
      </c>
      <c r="X3072" s="51" t="s">
        <v>2359</v>
      </c>
    </row>
    <row r="3073" customFormat="false" ht="14.25" hidden="true" customHeight="false" outlineLevel="0" collapsed="false">
      <c r="A3073" s="49" t="s">
        <v>2349</v>
      </c>
      <c r="B3073" s="49" t="s">
        <v>2350</v>
      </c>
      <c r="C3073" s="49" t="s">
        <v>6434</v>
      </c>
      <c r="D3073" s="49" t="s">
        <v>2352</v>
      </c>
      <c r="E3073" s="49" t="s">
        <v>4351</v>
      </c>
      <c r="F3073" s="49" t="s">
        <v>4352</v>
      </c>
      <c r="G3073" s="49" t="n">
        <v>0</v>
      </c>
      <c r="H3073" s="0" t="n">
        <v>0</v>
      </c>
      <c r="M3073" s="51" t="s">
        <v>6432</v>
      </c>
      <c r="N3073" s="49" t="n">
        <v>0</v>
      </c>
      <c r="O3073" s="53" t="n">
        <v>45743.6159837963</v>
      </c>
      <c r="P3073" s="53" t="n">
        <v>45752.6286574074</v>
      </c>
      <c r="Q3073" s="53" t="n">
        <v>45743.6159837963</v>
      </c>
      <c r="R3073" s="0" t="n">
        <v>0</v>
      </c>
      <c r="S3073" s="51" t="s">
        <v>2356</v>
      </c>
      <c r="T3073" s="51" t="s">
        <v>2356</v>
      </c>
      <c r="U3073" s="51" t="s">
        <v>4351</v>
      </c>
      <c r="V3073" s="51" t="s">
        <v>2365</v>
      </c>
      <c r="W3073" s="51" t="s">
        <v>4132</v>
      </c>
      <c r="X3073" s="51" t="s">
        <v>2359</v>
      </c>
    </row>
    <row r="3074" customFormat="false" ht="14.25" hidden="true" customHeight="false" outlineLevel="0" collapsed="false">
      <c r="A3074" s="49" t="s">
        <v>2349</v>
      </c>
      <c r="B3074" s="49" t="s">
        <v>2350</v>
      </c>
      <c r="C3074" s="49" t="s">
        <v>6435</v>
      </c>
      <c r="D3074" s="49" t="s">
        <v>2352</v>
      </c>
      <c r="E3074" s="49" t="s">
        <v>4351</v>
      </c>
      <c r="F3074" s="49" t="s">
        <v>4352</v>
      </c>
      <c r="G3074" s="49" t="n">
        <v>0</v>
      </c>
      <c r="H3074" s="0" t="n">
        <v>0</v>
      </c>
      <c r="M3074" s="51" t="s">
        <v>6432</v>
      </c>
      <c r="N3074" s="49" t="n">
        <v>0</v>
      </c>
      <c r="O3074" s="53" t="n">
        <v>45743.6158912037</v>
      </c>
      <c r="P3074" s="53" t="n">
        <v>45752.6290625</v>
      </c>
      <c r="Q3074" s="53" t="n">
        <v>45743.6158912037</v>
      </c>
      <c r="R3074" s="0" t="n">
        <v>0</v>
      </c>
      <c r="S3074" s="51" t="s">
        <v>2356</v>
      </c>
      <c r="T3074" s="51" t="s">
        <v>2356</v>
      </c>
      <c r="U3074" s="51" t="s">
        <v>4351</v>
      </c>
      <c r="V3074" s="51" t="s">
        <v>2365</v>
      </c>
      <c r="W3074" s="51" t="s">
        <v>5968</v>
      </c>
      <c r="X3074" s="51" t="s">
        <v>2359</v>
      </c>
    </row>
    <row r="3075" customFormat="false" ht="14.25" hidden="true" customHeight="false" outlineLevel="0" collapsed="false">
      <c r="A3075" s="49" t="s">
        <v>2349</v>
      </c>
      <c r="B3075" s="49" t="s">
        <v>2350</v>
      </c>
      <c r="C3075" s="49" t="s">
        <v>6436</v>
      </c>
      <c r="D3075" s="49" t="s">
        <v>2352</v>
      </c>
      <c r="E3075" s="49" t="s">
        <v>4351</v>
      </c>
      <c r="F3075" s="49" t="s">
        <v>4352</v>
      </c>
      <c r="G3075" s="49" t="n">
        <v>0</v>
      </c>
      <c r="H3075" s="0" t="n">
        <v>0</v>
      </c>
      <c r="M3075" s="51" t="s">
        <v>6432</v>
      </c>
      <c r="N3075" s="49" t="n">
        <v>0</v>
      </c>
      <c r="O3075" s="53" t="n">
        <v>45743.6157986111</v>
      </c>
      <c r="P3075" s="53" t="n">
        <v>45752.6303356482</v>
      </c>
      <c r="Q3075" s="53" t="n">
        <v>45743.6157986111</v>
      </c>
      <c r="R3075" s="0" t="n">
        <v>0</v>
      </c>
      <c r="S3075" s="51" t="s">
        <v>2356</v>
      </c>
      <c r="T3075" s="51" t="s">
        <v>2356</v>
      </c>
      <c r="U3075" s="51" t="s">
        <v>4351</v>
      </c>
      <c r="V3075" s="51" t="s">
        <v>2365</v>
      </c>
      <c r="W3075" s="51" t="s">
        <v>5466</v>
      </c>
      <c r="X3075" s="51" t="s">
        <v>2359</v>
      </c>
    </row>
    <row r="3076" customFormat="false" ht="14.25" hidden="true" customHeight="false" outlineLevel="0" collapsed="false">
      <c r="A3076" s="49" t="s">
        <v>2349</v>
      </c>
      <c r="B3076" s="49" t="s">
        <v>2350</v>
      </c>
      <c r="C3076" s="49" t="s">
        <v>6437</v>
      </c>
      <c r="D3076" s="49" t="s">
        <v>2352</v>
      </c>
      <c r="E3076" s="49" t="s">
        <v>4351</v>
      </c>
      <c r="F3076" s="49" t="s">
        <v>4352</v>
      </c>
      <c r="G3076" s="49" t="n">
        <v>0</v>
      </c>
      <c r="H3076" s="0" t="n">
        <v>0</v>
      </c>
      <c r="M3076" s="51" t="s">
        <v>6432</v>
      </c>
      <c r="N3076" s="49" t="n">
        <v>0</v>
      </c>
      <c r="O3076" s="53" t="n">
        <v>45743.6157175926</v>
      </c>
      <c r="P3076" s="53" t="n">
        <v>45752.6300578704</v>
      </c>
      <c r="Q3076" s="53" t="n">
        <v>45743.6157175926</v>
      </c>
      <c r="R3076" s="0" t="n">
        <v>0</v>
      </c>
      <c r="S3076" s="51" t="s">
        <v>2356</v>
      </c>
      <c r="T3076" s="51" t="s">
        <v>2356</v>
      </c>
      <c r="U3076" s="51" t="s">
        <v>4351</v>
      </c>
      <c r="V3076" s="51" t="s">
        <v>2365</v>
      </c>
      <c r="W3076" s="51" t="s">
        <v>4609</v>
      </c>
      <c r="X3076" s="51" t="s">
        <v>2359</v>
      </c>
    </row>
    <row r="3077" customFormat="false" ht="14.25" hidden="true" customHeight="false" outlineLevel="0" collapsed="false">
      <c r="A3077" s="49" t="s">
        <v>2349</v>
      </c>
      <c r="B3077" s="49" t="s">
        <v>2350</v>
      </c>
      <c r="C3077" s="49" t="s">
        <v>6438</v>
      </c>
      <c r="D3077" s="49" t="s">
        <v>2352</v>
      </c>
      <c r="E3077" s="49" t="s">
        <v>4351</v>
      </c>
      <c r="F3077" s="49" t="s">
        <v>4352</v>
      </c>
      <c r="G3077" s="49" t="n">
        <v>0</v>
      </c>
      <c r="H3077" s="0" t="n">
        <v>0</v>
      </c>
      <c r="M3077" s="51" t="s">
        <v>6432</v>
      </c>
      <c r="N3077" s="49" t="n">
        <v>0</v>
      </c>
      <c r="O3077" s="53" t="n">
        <v>45743.6156365741</v>
      </c>
      <c r="P3077" s="53" t="n">
        <v>45752.6305439815</v>
      </c>
      <c r="Q3077" s="53" t="n">
        <v>45743.6156365741</v>
      </c>
      <c r="R3077" s="0" t="n">
        <v>0</v>
      </c>
      <c r="S3077" s="51" t="s">
        <v>2356</v>
      </c>
      <c r="T3077" s="51" t="s">
        <v>2356</v>
      </c>
      <c r="U3077" s="51" t="s">
        <v>4351</v>
      </c>
      <c r="V3077" s="51" t="s">
        <v>2365</v>
      </c>
      <c r="W3077" s="51" t="s">
        <v>4144</v>
      </c>
      <c r="X3077" s="51" t="s">
        <v>2359</v>
      </c>
    </row>
    <row r="3078" customFormat="false" ht="14.25" hidden="true" customHeight="false" outlineLevel="0" collapsed="false">
      <c r="A3078" s="49" t="s">
        <v>2349</v>
      </c>
      <c r="B3078" s="49" t="s">
        <v>2350</v>
      </c>
      <c r="C3078" s="49" t="s">
        <v>6439</v>
      </c>
      <c r="D3078" s="49" t="s">
        <v>2352</v>
      </c>
      <c r="E3078" s="49" t="s">
        <v>4351</v>
      </c>
      <c r="F3078" s="49" t="s">
        <v>4352</v>
      </c>
      <c r="G3078" s="49" t="n">
        <v>0</v>
      </c>
      <c r="H3078" s="0" t="n">
        <v>0</v>
      </c>
      <c r="M3078" s="51" t="s">
        <v>6432</v>
      </c>
      <c r="N3078" s="49" t="n">
        <v>0</v>
      </c>
      <c r="O3078" s="53" t="n">
        <v>45743.6153819444</v>
      </c>
      <c r="P3078" s="53" t="n">
        <v>45752.6309722222</v>
      </c>
      <c r="Q3078" s="53" t="n">
        <v>45743.6153819444</v>
      </c>
      <c r="R3078" s="0" t="n">
        <v>0</v>
      </c>
      <c r="S3078" s="51" t="s">
        <v>2356</v>
      </c>
      <c r="T3078" s="51" t="s">
        <v>2356</v>
      </c>
      <c r="U3078" s="51" t="s">
        <v>4351</v>
      </c>
      <c r="V3078" s="51" t="s">
        <v>2365</v>
      </c>
      <c r="W3078" s="51" t="s">
        <v>5143</v>
      </c>
      <c r="X3078" s="51" t="s">
        <v>2359</v>
      </c>
    </row>
    <row r="3079" customFormat="false" ht="14.25" hidden="true" customHeight="false" outlineLevel="0" collapsed="false">
      <c r="A3079" s="49" t="s">
        <v>2349</v>
      </c>
      <c r="B3079" s="49" t="s">
        <v>2350</v>
      </c>
      <c r="C3079" s="49" t="s">
        <v>6440</v>
      </c>
      <c r="D3079" s="49" t="s">
        <v>2352</v>
      </c>
      <c r="E3079" s="49" t="s">
        <v>4351</v>
      </c>
      <c r="F3079" s="49" t="s">
        <v>4352</v>
      </c>
      <c r="G3079" s="49" t="n">
        <v>0</v>
      </c>
      <c r="H3079" s="0" t="n">
        <v>0</v>
      </c>
      <c r="M3079" s="51" t="s">
        <v>6432</v>
      </c>
      <c r="N3079" s="49" t="n">
        <v>0</v>
      </c>
      <c r="O3079" s="53" t="n">
        <v>45743.6153125</v>
      </c>
      <c r="P3079" s="53" t="n">
        <v>45752.6311921296</v>
      </c>
      <c r="Q3079" s="53" t="n">
        <v>45743.6153125</v>
      </c>
      <c r="R3079" s="0" t="n">
        <v>0</v>
      </c>
      <c r="S3079" s="51" t="s">
        <v>2356</v>
      </c>
      <c r="T3079" s="51" t="s">
        <v>2356</v>
      </c>
      <c r="U3079" s="51" t="s">
        <v>4351</v>
      </c>
      <c r="V3079" s="51" t="s">
        <v>2365</v>
      </c>
      <c r="W3079" s="51" t="s">
        <v>5560</v>
      </c>
      <c r="X3079" s="51" t="s">
        <v>2359</v>
      </c>
    </row>
    <row r="3080" customFormat="false" ht="14.25" hidden="true" customHeight="false" outlineLevel="0" collapsed="false">
      <c r="A3080" s="49" t="s">
        <v>2349</v>
      </c>
      <c r="B3080" s="49" t="s">
        <v>2350</v>
      </c>
      <c r="C3080" s="49" t="s">
        <v>6441</v>
      </c>
      <c r="D3080" s="49" t="s">
        <v>2352</v>
      </c>
      <c r="E3080" s="49" t="s">
        <v>4351</v>
      </c>
      <c r="F3080" s="49" t="s">
        <v>4352</v>
      </c>
      <c r="G3080" s="49" t="n">
        <v>0</v>
      </c>
      <c r="H3080" s="0" t="n">
        <v>0</v>
      </c>
      <c r="M3080" s="51" t="s">
        <v>6432</v>
      </c>
      <c r="N3080" s="49" t="n">
        <v>0</v>
      </c>
      <c r="O3080" s="53" t="n">
        <v>45743.6151157407</v>
      </c>
      <c r="P3080" s="53" t="n">
        <v>45752.6312962963</v>
      </c>
      <c r="Q3080" s="53" t="n">
        <v>45743.6151157407</v>
      </c>
      <c r="R3080" s="0" t="n">
        <v>0</v>
      </c>
      <c r="S3080" s="51" t="s">
        <v>2356</v>
      </c>
      <c r="T3080" s="51" t="s">
        <v>2356</v>
      </c>
      <c r="U3080" s="51" t="s">
        <v>4351</v>
      </c>
      <c r="V3080" s="51" t="s">
        <v>2365</v>
      </c>
      <c r="W3080" s="51" t="s">
        <v>5545</v>
      </c>
      <c r="X3080" s="51" t="s">
        <v>2359</v>
      </c>
    </row>
    <row r="3081" customFormat="false" ht="14.25" hidden="true" customHeight="false" outlineLevel="0" collapsed="false">
      <c r="A3081" s="49" t="s">
        <v>2349</v>
      </c>
      <c r="B3081" s="49" t="s">
        <v>2350</v>
      </c>
      <c r="C3081" s="49" t="s">
        <v>6442</v>
      </c>
      <c r="D3081" s="49" t="s">
        <v>2352</v>
      </c>
      <c r="E3081" s="49" t="s">
        <v>4351</v>
      </c>
      <c r="F3081" s="49" t="s">
        <v>4352</v>
      </c>
      <c r="G3081" s="49" t="n">
        <v>0</v>
      </c>
      <c r="H3081" s="0" t="n">
        <v>0</v>
      </c>
      <c r="M3081" s="51" t="s">
        <v>6432</v>
      </c>
      <c r="N3081" s="49" t="n">
        <v>0</v>
      </c>
      <c r="O3081" s="53" t="n">
        <v>45743.6149884259</v>
      </c>
      <c r="P3081" s="53" t="n">
        <v>45752.6312384259</v>
      </c>
      <c r="Q3081" s="53" t="n">
        <v>45743.6149884259</v>
      </c>
      <c r="R3081" s="0" t="n">
        <v>0</v>
      </c>
      <c r="S3081" s="51" t="s">
        <v>2356</v>
      </c>
      <c r="T3081" s="51" t="s">
        <v>2356</v>
      </c>
      <c r="U3081" s="51" t="s">
        <v>4351</v>
      </c>
      <c r="V3081" s="51" t="s">
        <v>2365</v>
      </c>
      <c r="W3081" s="51" t="s">
        <v>3767</v>
      </c>
      <c r="X3081" s="51" t="s">
        <v>2359</v>
      </c>
    </row>
    <row r="3082" customFormat="false" ht="14.25" hidden="true" customHeight="false" outlineLevel="0" collapsed="false">
      <c r="A3082" s="49" t="s">
        <v>2349</v>
      </c>
      <c r="B3082" s="49" t="s">
        <v>2350</v>
      </c>
      <c r="C3082" s="49" t="s">
        <v>6443</v>
      </c>
      <c r="D3082" s="49" t="s">
        <v>2352</v>
      </c>
      <c r="E3082" s="49" t="s">
        <v>4351</v>
      </c>
      <c r="F3082" s="49" t="s">
        <v>4352</v>
      </c>
      <c r="G3082" s="49" t="n">
        <v>0</v>
      </c>
      <c r="H3082" s="0" t="n">
        <v>0</v>
      </c>
      <c r="M3082" s="51" t="s">
        <v>6432</v>
      </c>
      <c r="N3082" s="49" t="n">
        <v>0</v>
      </c>
      <c r="O3082" s="53" t="n">
        <v>45743.6149189815</v>
      </c>
      <c r="P3082" s="53" t="n">
        <v>45752.6313425926</v>
      </c>
      <c r="Q3082" s="53" t="n">
        <v>45743.6149189815</v>
      </c>
      <c r="R3082" s="0" t="n">
        <v>0</v>
      </c>
      <c r="S3082" s="51" t="s">
        <v>2356</v>
      </c>
      <c r="T3082" s="51" t="s">
        <v>2356</v>
      </c>
      <c r="U3082" s="51" t="s">
        <v>4351</v>
      </c>
      <c r="V3082" s="51" t="s">
        <v>2365</v>
      </c>
      <c r="W3082" s="51" t="s">
        <v>5549</v>
      </c>
      <c r="X3082" s="51" t="s">
        <v>2359</v>
      </c>
    </row>
    <row r="3083" customFormat="false" ht="14.25" hidden="true" customHeight="false" outlineLevel="0" collapsed="false">
      <c r="A3083" s="49" t="s">
        <v>2349</v>
      </c>
      <c r="B3083" s="49" t="s">
        <v>2350</v>
      </c>
      <c r="C3083" s="49" t="s">
        <v>6444</v>
      </c>
      <c r="D3083" s="49" t="s">
        <v>2352</v>
      </c>
      <c r="E3083" s="49" t="s">
        <v>4351</v>
      </c>
      <c r="F3083" s="49" t="s">
        <v>4352</v>
      </c>
      <c r="G3083" s="49" t="n">
        <v>0</v>
      </c>
      <c r="H3083" s="0" t="n">
        <v>0</v>
      </c>
      <c r="M3083" s="51" t="s">
        <v>6432</v>
      </c>
      <c r="N3083" s="49" t="n">
        <v>0</v>
      </c>
      <c r="O3083" s="53" t="n">
        <v>45743.6148148148</v>
      </c>
      <c r="P3083" s="53" t="n">
        <v>45752.631400463</v>
      </c>
      <c r="Q3083" s="53" t="n">
        <v>45743.6148148148</v>
      </c>
      <c r="R3083" s="0" t="n">
        <v>0</v>
      </c>
      <c r="S3083" s="51" t="s">
        <v>2356</v>
      </c>
      <c r="T3083" s="51" t="s">
        <v>2356</v>
      </c>
      <c r="U3083" s="51" t="s">
        <v>4351</v>
      </c>
      <c r="V3083" s="51" t="s">
        <v>2365</v>
      </c>
      <c r="W3083" s="51" t="s">
        <v>6445</v>
      </c>
      <c r="X3083" s="51" t="s">
        <v>2359</v>
      </c>
    </row>
    <row r="3084" customFormat="false" ht="14.25" hidden="true" customHeight="false" outlineLevel="0" collapsed="false">
      <c r="A3084" s="49" t="s">
        <v>2349</v>
      </c>
      <c r="B3084" s="49" t="s">
        <v>2350</v>
      </c>
      <c r="C3084" s="49" t="s">
        <v>6446</v>
      </c>
      <c r="D3084" s="49" t="s">
        <v>2352</v>
      </c>
      <c r="E3084" s="49" t="s">
        <v>4351</v>
      </c>
      <c r="F3084" s="49" t="s">
        <v>4352</v>
      </c>
      <c r="G3084" s="49" t="n">
        <v>0</v>
      </c>
      <c r="H3084" s="0" t="n">
        <v>0</v>
      </c>
      <c r="M3084" s="51" t="s">
        <v>6432</v>
      </c>
      <c r="N3084" s="49" t="n">
        <v>0</v>
      </c>
      <c r="O3084" s="53" t="n">
        <v>45743.6146875</v>
      </c>
      <c r="P3084" s="53" t="n">
        <v>45752.6314583333</v>
      </c>
      <c r="Q3084" s="53" t="n">
        <v>45743.6146875</v>
      </c>
      <c r="R3084" s="0" t="n">
        <v>0</v>
      </c>
      <c r="S3084" s="51" t="s">
        <v>2356</v>
      </c>
      <c r="T3084" s="51" t="s">
        <v>2356</v>
      </c>
      <c r="U3084" s="51" t="s">
        <v>4351</v>
      </c>
      <c r="V3084" s="51" t="s">
        <v>2365</v>
      </c>
      <c r="W3084" s="51" t="s">
        <v>5553</v>
      </c>
      <c r="X3084" s="51" t="s">
        <v>2359</v>
      </c>
    </row>
    <row r="3085" customFormat="false" ht="14.25" hidden="true" customHeight="false" outlineLevel="0" collapsed="false">
      <c r="A3085" s="49" t="s">
        <v>2349</v>
      </c>
      <c r="B3085" s="49" t="s">
        <v>2350</v>
      </c>
      <c r="C3085" s="49" t="s">
        <v>6447</v>
      </c>
      <c r="D3085" s="49" t="s">
        <v>2352</v>
      </c>
      <c r="E3085" s="49" t="s">
        <v>4351</v>
      </c>
      <c r="F3085" s="49" t="s">
        <v>4352</v>
      </c>
      <c r="G3085" s="49" t="n">
        <v>0</v>
      </c>
      <c r="H3085" s="0" t="n">
        <v>0</v>
      </c>
      <c r="M3085" s="51" t="s">
        <v>6432</v>
      </c>
      <c r="N3085" s="49" t="n">
        <v>0</v>
      </c>
      <c r="O3085" s="53" t="n">
        <v>45743.6144097222</v>
      </c>
      <c r="P3085" s="53" t="n">
        <v>45752.6315162037</v>
      </c>
      <c r="Q3085" s="53" t="n">
        <v>45743.6144097222</v>
      </c>
      <c r="R3085" s="0" t="n">
        <v>0</v>
      </c>
      <c r="S3085" s="51" t="s">
        <v>2356</v>
      </c>
      <c r="T3085" s="51" t="s">
        <v>2356</v>
      </c>
      <c r="U3085" s="51" t="s">
        <v>4351</v>
      </c>
      <c r="V3085" s="51" t="s">
        <v>2365</v>
      </c>
      <c r="W3085" s="51" t="s">
        <v>5754</v>
      </c>
      <c r="X3085" s="51" t="s">
        <v>2359</v>
      </c>
    </row>
    <row r="3086" customFormat="false" ht="14.25" hidden="true" customHeight="false" outlineLevel="0" collapsed="false">
      <c r="A3086" s="49" t="s">
        <v>2349</v>
      </c>
      <c r="B3086" s="49" t="s">
        <v>2350</v>
      </c>
      <c r="C3086" s="49" t="s">
        <v>6448</v>
      </c>
      <c r="D3086" s="49" t="s">
        <v>2352</v>
      </c>
      <c r="E3086" s="49" t="s">
        <v>4351</v>
      </c>
      <c r="F3086" s="49" t="s">
        <v>4352</v>
      </c>
      <c r="G3086" s="49" t="n">
        <v>0</v>
      </c>
      <c r="H3086" s="0" t="n">
        <v>0</v>
      </c>
      <c r="M3086" s="51" t="s">
        <v>6432</v>
      </c>
      <c r="N3086" s="49" t="n">
        <v>0</v>
      </c>
      <c r="O3086" s="53" t="n">
        <v>45743.6142708333</v>
      </c>
      <c r="P3086" s="53" t="n">
        <v>45766.5854398148</v>
      </c>
      <c r="Q3086" s="53" t="n">
        <v>45743.6142708333</v>
      </c>
      <c r="R3086" s="0" t="n">
        <v>0</v>
      </c>
      <c r="S3086" s="51" t="s">
        <v>2356</v>
      </c>
      <c r="T3086" s="51" t="s">
        <v>2356</v>
      </c>
      <c r="U3086" s="51" t="s">
        <v>4351</v>
      </c>
      <c r="V3086" s="51" t="s">
        <v>2365</v>
      </c>
      <c r="W3086" s="51" t="s">
        <v>3963</v>
      </c>
      <c r="X3086" s="51" t="s">
        <v>2359</v>
      </c>
    </row>
    <row r="3087" customFormat="false" ht="14.25" hidden="true" customHeight="false" outlineLevel="0" collapsed="false">
      <c r="A3087" s="49" t="s">
        <v>2349</v>
      </c>
      <c r="B3087" s="49" t="s">
        <v>2350</v>
      </c>
      <c r="C3087" s="49" t="s">
        <v>6449</v>
      </c>
      <c r="D3087" s="49" t="s">
        <v>2352</v>
      </c>
      <c r="E3087" s="49" t="s">
        <v>4351</v>
      </c>
      <c r="F3087" s="49" t="s">
        <v>4352</v>
      </c>
      <c r="G3087" s="49" t="n">
        <v>0</v>
      </c>
      <c r="H3087" s="0" t="n">
        <v>0</v>
      </c>
      <c r="M3087" s="51" t="s">
        <v>6432</v>
      </c>
      <c r="N3087" s="49" t="n">
        <v>0</v>
      </c>
      <c r="O3087" s="53" t="n">
        <v>45743.6142013889</v>
      </c>
      <c r="P3087" s="53" t="n">
        <v>45759.5162384259</v>
      </c>
      <c r="Q3087" s="53" t="n">
        <v>45743.6142013889</v>
      </c>
      <c r="R3087" s="0" t="n">
        <v>0</v>
      </c>
      <c r="S3087" s="51" t="s">
        <v>2356</v>
      </c>
      <c r="T3087" s="51" t="s">
        <v>2356</v>
      </c>
      <c r="U3087" s="51" t="s">
        <v>4351</v>
      </c>
      <c r="V3087" s="51" t="s">
        <v>2365</v>
      </c>
      <c r="W3087" s="51" t="s">
        <v>3687</v>
      </c>
      <c r="X3087" s="51" t="s">
        <v>2359</v>
      </c>
    </row>
    <row r="3088" customFormat="false" ht="14.25" hidden="true" customHeight="false" outlineLevel="0" collapsed="false">
      <c r="A3088" s="49" t="s">
        <v>2349</v>
      </c>
      <c r="B3088" s="49" t="s">
        <v>2350</v>
      </c>
      <c r="C3088" s="49" t="s">
        <v>6450</v>
      </c>
      <c r="D3088" s="49" t="s">
        <v>2352</v>
      </c>
      <c r="E3088" s="49" t="s">
        <v>4351</v>
      </c>
      <c r="F3088" s="49" t="s">
        <v>4352</v>
      </c>
      <c r="G3088" s="49" t="n">
        <v>0</v>
      </c>
      <c r="H3088" s="0" t="n">
        <v>0</v>
      </c>
      <c r="M3088" s="51" t="s">
        <v>6432</v>
      </c>
      <c r="N3088" s="49" t="n">
        <v>0</v>
      </c>
      <c r="O3088" s="53" t="n">
        <v>45743.6141087963</v>
      </c>
      <c r="P3088" s="53" t="n">
        <v>45757.5630555556</v>
      </c>
      <c r="Q3088" s="53" t="n">
        <v>45743.6141087963</v>
      </c>
      <c r="R3088" s="0" t="n">
        <v>0</v>
      </c>
      <c r="S3088" s="51" t="s">
        <v>2356</v>
      </c>
      <c r="T3088" s="51" t="s">
        <v>2356</v>
      </c>
      <c r="U3088" s="51" t="s">
        <v>4351</v>
      </c>
      <c r="V3088" s="51" t="s">
        <v>2365</v>
      </c>
      <c r="W3088" s="51" t="s">
        <v>4614</v>
      </c>
      <c r="X3088" s="51" t="s">
        <v>2359</v>
      </c>
    </row>
    <row r="3089" customFormat="false" ht="14.25" hidden="true" customHeight="false" outlineLevel="0" collapsed="false">
      <c r="A3089" s="49" t="s">
        <v>2349</v>
      </c>
      <c r="B3089" s="49" t="s">
        <v>2350</v>
      </c>
      <c r="C3089" s="49" t="s">
        <v>6451</v>
      </c>
      <c r="D3089" s="49" t="s">
        <v>2352</v>
      </c>
      <c r="E3089" s="49" t="s">
        <v>4351</v>
      </c>
      <c r="F3089" s="49" t="s">
        <v>4352</v>
      </c>
      <c r="G3089" s="49" t="n">
        <v>0</v>
      </c>
      <c r="H3089" s="0" t="n">
        <v>0</v>
      </c>
      <c r="M3089" s="51" t="s">
        <v>6432</v>
      </c>
      <c r="N3089" s="49" t="n">
        <v>0</v>
      </c>
      <c r="O3089" s="53" t="n">
        <v>45743.6140046296</v>
      </c>
      <c r="P3089" s="53" t="n">
        <v>45755.3718171296</v>
      </c>
      <c r="Q3089" s="53" t="n">
        <v>45743.6140046296</v>
      </c>
      <c r="R3089" s="0" t="n">
        <v>0</v>
      </c>
      <c r="S3089" s="51" t="s">
        <v>2356</v>
      </c>
      <c r="T3089" s="51" t="s">
        <v>2356</v>
      </c>
      <c r="U3089" s="51" t="s">
        <v>4351</v>
      </c>
      <c r="V3089" s="51" t="s">
        <v>2365</v>
      </c>
      <c r="W3089" s="51" t="s">
        <v>4592</v>
      </c>
      <c r="X3089" s="51" t="s">
        <v>2359</v>
      </c>
    </row>
    <row r="3090" customFormat="false" ht="14.25" hidden="true" customHeight="false" outlineLevel="0" collapsed="false">
      <c r="A3090" s="49" t="s">
        <v>2349</v>
      </c>
      <c r="B3090" s="49" t="s">
        <v>2350</v>
      </c>
      <c r="C3090" s="49" t="s">
        <v>6452</v>
      </c>
      <c r="D3090" s="49" t="s">
        <v>2352</v>
      </c>
      <c r="E3090" s="49" t="s">
        <v>4351</v>
      </c>
      <c r="F3090" s="49" t="s">
        <v>4352</v>
      </c>
      <c r="G3090" s="49" t="n">
        <v>0</v>
      </c>
      <c r="H3090" s="0" t="n">
        <v>0</v>
      </c>
      <c r="M3090" s="51" t="s">
        <v>6432</v>
      </c>
      <c r="N3090" s="49" t="n">
        <v>0</v>
      </c>
      <c r="O3090" s="53" t="n">
        <v>45743.613912037</v>
      </c>
      <c r="P3090" s="53" t="n">
        <v>45752.6067013889</v>
      </c>
      <c r="Q3090" s="53" t="n">
        <v>45743.613912037</v>
      </c>
      <c r="R3090" s="0" t="n">
        <v>0</v>
      </c>
      <c r="S3090" s="51" t="s">
        <v>2356</v>
      </c>
      <c r="T3090" s="51" t="s">
        <v>2356</v>
      </c>
      <c r="U3090" s="51" t="s">
        <v>4351</v>
      </c>
      <c r="V3090" s="51" t="s">
        <v>2365</v>
      </c>
      <c r="W3090" s="51" t="s">
        <v>4134</v>
      </c>
      <c r="X3090" s="51" t="s">
        <v>2359</v>
      </c>
    </row>
    <row r="3091" customFormat="false" ht="14.25" hidden="true" customHeight="false" outlineLevel="0" collapsed="false">
      <c r="A3091" s="49" t="s">
        <v>2349</v>
      </c>
      <c r="B3091" s="49" t="s">
        <v>2350</v>
      </c>
      <c r="C3091" s="49" t="s">
        <v>6453</v>
      </c>
      <c r="D3091" s="49" t="s">
        <v>2352</v>
      </c>
      <c r="E3091" s="49" t="s">
        <v>3751</v>
      </c>
      <c r="F3091" s="49" t="s">
        <v>3752</v>
      </c>
      <c r="G3091" s="49" t="n">
        <v>0</v>
      </c>
      <c r="H3091" s="0" t="n">
        <v>0</v>
      </c>
      <c r="M3091" s="51" t="s">
        <v>6454</v>
      </c>
      <c r="N3091" s="49" t="n">
        <v>0</v>
      </c>
      <c r="O3091" s="53" t="n">
        <v>45752.6274768519</v>
      </c>
      <c r="P3091" s="53" t="n">
        <v>45827.4415740741</v>
      </c>
      <c r="Q3091" s="53" t="n">
        <v>45752.6274768519</v>
      </c>
      <c r="R3091" s="0" t="n">
        <v>0</v>
      </c>
      <c r="S3091" s="51" t="s">
        <v>2356</v>
      </c>
      <c r="T3091" s="51" t="s">
        <v>2356</v>
      </c>
      <c r="U3091" s="51" t="s">
        <v>3751</v>
      </c>
      <c r="V3091" s="51" t="s">
        <v>2357</v>
      </c>
      <c r="W3091" s="51" t="s">
        <v>5494</v>
      </c>
      <c r="X3091" s="51" t="s">
        <v>2359</v>
      </c>
    </row>
    <row r="3092" customFormat="false" ht="14.25" hidden="true" customHeight="false" outlineLevel="0" collapsed="false">
      <c r="A3092" s="49" t="s">
        <v>2349</v>
      </c>
      <c r="B3092" s="49" t="s">
        <v>2350</v>
      </c>
      <c r="C3092" s="49" t="s">
        <v>6455</v>
      </c>
      <c r="D3092" s="49" t="s">
        <v>2352</v>
      </c>
      <c r="E3092" s="49" t="s">
        <v>4140</v>
      </c>
      <c r="F3092" s="49" t="s">
        <v>4141</v>
      </c>
      <c r="G3092" s="49" t="n">
        <v>0</v>
      </c>
      <c r="H3092" s="0" t="n">
        <v>0</v>
      </c>
      <c r="M3092" s="51" t="s">
        <v>6456</v>
      </c>
      <c r="N3092" s="49" t="n">
        <v>0</v>
      </c>
      <c r="O3092" s="53" t="n">
        <v>45743.6723263889</v>
      </c>
      <c r="P3092" s="53" t="n">
        <v>45750.4710416667</v>
      </c>
      <c r="Q3092" s="53" t="n">
        <v>45743.6723263889</v>
      </c>
      <c r="R3092" s="0" t="n">
        <v>0</v>
      </c>
      <c r="S3092" s="51" t="s">
        <v>2356</v>
      </c>
      <c r="T3092" s="51" t="s">
        <v>2356</v>
      </c>
      <c r="U3092" s="51" t="s">
        <v>4140</v>
      </c>
      <c r="V3092" s="51" t="s">
        <v>3740</v>
      </c>
      <c r="W3092" s="51" t="s">
        <v>5558</v>
      </c>
      <c r="X3092" s="51" t="s">
        <v>2359</v>
      </c>
    </row>
    <row r="3093" customFormat="false" ht="14.25" hidden="true" customHeight="false" outlineLevel="0" collapsed="false">
      <c r="A3093" s="49" t="s">
        <v>2349</v>
      </c>
      <c r="B3093" s="49" t="s">
        <v>2350</v>
      </c>
      <c r="C3093" s="49" t="s">
        <v>6457</v>
      </c>
      <c r="D3093" s="49" t="s">
        <v>2352</v>
      </c>
      <c r="E3093" s="49" t="s">
        <v>4140</v>
      </c>
      <c r="F3093" s="49" t="s">
        <v>4141</v>
      </c>
      <c r="G3093" s="49" t="n">
        <v>0</v>
      </c>
      <c r="H3093" s="0" t="n">
        <v>0</v>
      </c>
      <c r="M3093" s="51" t="s">
        <v>6456</v>
      </c>
      <c r="N3093" s="49" t="n">
        <v>0</v>
      </c>
      <c r="O3093" s="53" t="n">
        <v>45743.6725810185</v>
      </c>
      <c r="P3093" s="53" t="n">
        <v>45750.4708680556</v>
      </c>
      <c r="Q3093" s="53" t="n">
        <v>45743.6725694445</v>
      </c>
      <c r="R3093" s="0" t="n">
        <v>0</v>
      </c>
      <c r="S3093" s="51" t="s">
        <v>2356</v>
      </c>
      <c r="T3093" s="51" t="s">
        <v>2356</v>
      </c>
      <c r="U3093" s="51" t="s">
        <v>4140</v>
      </c>
      <c r="V3093" s="51" t="s">
        <v>3740</v>
      </c>
      <c r="W3093" s="51" t="s">
        <v>6458</v>
      </c>
      <c r="X3093" s="51" t="s">
        <v>2359</v>
      </c>
    </row>
    <row r="3094" customFormat="false" ht="14.25" hidden="true" customHeight="false" outlineLevel="0" collapsed="false">
      <c r="A3094" s="49" t="s">
        <v>2349</v>
      </c>
      <c r="B3094" s="49" t="s">
        <v>2350</v>
      </c>
      <c r="C3094" s="49" t="s">
        <v>6459</v>
      </c>
      <c r="D3094" s="49" t="s">
        <v>2352</v>
      </c>
      <c r="E3094" s="49" t="s">
        <v>4140</v>
      </c>
      <c r="F3094" s="49" t="s">
        <v>4141</v>
      </c>
      <c r="G3094" s="49" t="n">
        <v>0</v>
      </c>
      <c r="H3094" s="0" t="n">
        <v>0</v>
      </c>
      <c r="M3094" s="51" t="s">
        <v>6456</v>
      </c>
      <c r="N3094" s="49" t="n">
        <v>0</v>
      </c>
      <c r="O3094" s="53" t="n">
        <v>45743.6727777778</v>
      </c>
      <c r="P3094" s="53" t="n">
        <v>45750.4707175926</v>
      </c>
      <c r="Q3094" s="53" t="n">
        <v>45743.6727777778</v>
      </c>
      <c r="R3094" s="0" t="n">
        <v>0</v>
      </c>
      <c r="S3094" s="51" t="s">
        <v>2356</v>
      </c>
      <c r="T3094" s="51" t="s">
        <v>2356</v>
      </c>
      <c r="U3094" s="51" t="s">
        <v>4140</v>
      </c>
      <c r="V3094" s="51" t="s">
        <v>3740</v>
      </c>
      <c r="W3094" s="51" t="s">
        <v>6460</v>
      </c>
      <c r="X3094" s="51" t="s">
        <v>2359</v>
      </c>
    </row>
    <row r="3095" customFormat="false" ht="14.25" hidden="true" customHeight="false" outlineLevel="0" collapsed="false">
      <c r="A3095" s="49" t="s">
        <v>2349</v>
      </c>
      <c r="B3095" s="49" t="s">
        <v>2350</v>
      </c>
      <c r="C3095" s="49" t="s">
        <v>6461</v>
      </c>
      <c r="D3095" s="49" t="s">
        <v>2352</v>
      </c>
      <c r="E3095" s="49" t="s">
        <v>4140</v>
      </c>
      <c r="F3095" s="49" t="s">
        <v>4141</v>
      </c>
      <c r="G3095" s="49" t="n">
        <v>0</v>
      </c>
      <c r="H3095" s="0" t="n">
        <v>0</v>
      </c>
      <c r="M3095" s="51" t="s">
        <v>6456</v>
      </c>
      <c r="N3095" s="49" t="n">
        <v>0</v>
      </c>
      <c r="O3095" s="53" t="n">
        <v>45743.6729282407</v>
      </c>
      <c r="P3095" s="53" t="n">
        <v>45750.4705671296</v>
      </c>
      <c r="Q3095" s="53" t="n">
        <v>45743.6729282407</v>
      </c>
      <c r="R3095" s="0" t="n">
        <v>0</v>
      </c>
      <c r="S3095" s="51" t="s">
        <v>2356</v>
      </c>
      <c r="T3095" s="51" t="s">
        <v>2356</v>
      </c>
      <c r="U3095" s="51" t="s">
        <v>4140</v>
      </c>
      <c r="V3095" s="51" t="s">
        <v>3740</v>
      </c>
      <c r="W3095" s="51" t="s">
        <v>6462</v>
      </c>
      <c r="X3095" s="51" t="s">
        <v>2359</v>
      </c>
    </row>
    <row r="3096" customFormat="false" ht="14.25" hidden="true" customHeight="false" outlineLevel="0" collapsed="false">
      <c r="A3096" s="49" t="s">
        <v>2349</v>
      </c>
      <c r="B3096" s="49" t="s">
        <v>2350</v>
      </c>
      <c r="C3096" s="49" t="s">
        <v>6463</v>
      </c>
      <c r="D3096" s="49" t="s">
        <v>2352</v>
      </c>
      <c r="E3096" s="49" t="s">
        <v>4140</v>
      </c>
      <c r="F3096" s="49" t="s">
        <v>4141</v>
      </c>
      <c r="G3096" s="49" t="n">
        <v>0</v>
      </c>
      <c r="H3096" s="0" t="n">
        <v>0</v>
      </c>
      <c r="M3096" s="51" t="s">
        <v>6456</v>
      </c>
      <c r="N3096" s="49" t="n">
        <v>0</v>
      </c>
      <c r="O3096" s="53" t="n">
        <v>45743.6730787037</v>
      </c>
      <c r="P3096" s="53" t="n">
        <v>45750.4703935185</v>
      </c>
      <c r="Q3096" s="53" t="n">
        <v>45743.6730787037</v>
      </c>
      <c r="R3096" s="0" t="n">
        <v>0</v>
      </c>
      <c r="S3096" s="51" t="s">
        <v>2356</v>
      </c>
      <c r="T3096" s="51" t="s">
        <v>2356</v>
      </c>
      <c r="U3096" s="51" t="s">
        <v>4140</v>
      </c>
      <c r="V3096" s="51" t="s">
        <v>3740</v>
      </c>
      <c r="W3096" s="51" t="s">
        <v>6464</v>
      </c>
      <c r="X3096" s="51" t="s">
        <v>2359</v>
      </c>
    </row>
    <row r="3097" customFormat="false" ht="14.25" hidden="true" customHeight="false" outlineLevel="0" collapsed="false">
      <c r="A3097" s="49" t="s">
        <v>2349</v>
      </c>
      <c r="B3097" s="49" t="s">
        <v>2350</v>
      </c>
      <c r="C3097" s="49" t="s">
        <v>6465</v>
      </c>
      <c r="D3097" s="49" t="s">
        <v>2352</v>
      </c>
      <c r="E3097" s="49" t="s">
        <v>4140</v>
      </c>
      <c r="F3097" s="49" t="s">
        <v>4141</v>
      </c>
      <c r="G3097" s="49" t="n">
        <v>0</v>
      </c>
      <c r="H3097" s="0" t="n">
        <v>0</v>
      </c>
      <c r="M3097" s="51" t="s">
        <v>6456</v>
      </c>
      <c r="N3097" s="49" t="n">
        <v>0</v>
      </c>
      <c r="O3097" s="53" t="n">
        <v>45743.6732291667</v>
      </c>
      <c r="P3097" s="53" t="n">
        <v>45750.4702314815</v>
      </c>
      <c r="Q3097" s="53" t="n">
        <v>45743.6732291667</v>
      </c>
      <c r="R3097" s="0" t="n">
        <v>0</v>
      </c>
      <c r="S3097" s="51" t="s">
        <v>2356</v>
      </c>
      <c r="T3097" s="51" t="s">
        <v>2356</v>
      </c>
      <c r="U3097" s="51" t="s">
        <v>4140</v>
      </c>
      <c r="V3097" s="51" t="s">
        <v>3740</v>
      </c>
      <c r="W3097" s="51" t="s">
        <v>6466</v>
      </c>
      <c r="X3097" s="51" t="s">
        <v>2359</v>
      </c>
    </row>
    <row r="3098" customFormat="false" ht="14.25" hidden="true" customHeight="false" outlineLevel="0" collapsed="false">
      <c r="A3098" s="49" t="s">
        <v>2349</v>
      </c>
      <c r="B3098" s="49" t="s">
        <v>2350</v>
      </c>
      <c r="C3098" s="49" t="s">
        <v>6467</v>
      </c>
      <c r="D3098" s="49" t="s">
        <v>2352</v>
      </c>
      <c r="E3098" s="49" t="s">
        <v>4140</v>
      </c>
      <c r="F3098" s="49" t="s">
        <v>4141</v>
      </c>
      <c r="G3098" s="49" t="n">
        <v>0</v>
      </c>
      <c r="H3098" s="0" t="n">
        <v>0</v>
      </c>
      <c r="M3098" s="51" t="s">
        <v>6456</v>
      </c>
      <c r="N3098" s="49" t="n">
        <v>0</v>
      </c>
      <c r="O3098" s="53" t="n">
        <v>45743.6734143519</v>
      </c>
      <c r="P3098" s="53" t="n">
        <v>45750.4698958333</v>
      </c>
      <c r="Q3098" s="53" t="n">
        <v>45743.6734143519</v>
      </c>
      <c r="R3098" s="0" t="n">
        <v>0</v>
      </c>
      <c r="S3098" s="51" t="s">
        <v>2356</v>
      </c>
      <c r="T3098" s="51" t="s">
        <v>2356</v>
      </c>
      <c r="U3098" s="51" t="s">
        <v>4140</v>
      </c>
      <c r="V3098" s="51" t="s">
        <v>3740</v>
      </c>
      <c r="W3098" s="51" t="s">
        <v>6468</v>
      </c>
      <c r="X3098" s="51" t="s">
        <v>2359</v>
      </c>
    </row>
    <row r="3099" customFormat="false" ht="14.25" hidden="true" customHeight="false" outlineLevel="0" collapsed="false">
      <c r="A3099" s="49" t="s">
        <v>2349</v>
      </c>
      <c r="B3099" s="49" t="s">
        <v>2350</v>
      </c>
      <c r="C3099" s="49" t="s">
        <v>6469</v>
      </c>
      <c r="D3099" s="49" t="s">
        <v>2352</v>
      </c>
      <c r="E3099" s="49" t="s">
        <v>4140</v>
      </c>
      <c r="F3099" s="49" t="s">
        <v>4141</v>
      </c>
      <c r="G3099" s="49" t="n">
        <v>0</v>
      </c>
      <c r="H3099" s="0" t="n">
        <v>0</v>
      </c>
      <c r="M3099" s="51" t="s">
        <v>6456</v>
      </c>
      <c r="N3099" s="49" t="n">
        <v>0</v>
      </c>
      <c r="O3099" s="53" t="n">
        <v>45743.6735648148</v>
      </c>
      <c r="P3099" s="53" t="n">
        <v>45750.4697222222</v>
      </c>
      <c r="Q3099" s="53" t="n">
        <v>45743.6735648148</v>
      </c>
      <c r="R3099" s="0" t="n">
        <v>0</v>
      </c>
      <c r="S3099" s="51" t="s">
        <v>2356</v>
      </c>
      <c r="T3099" s="51" t="s">
        <v>2356</v>
      </c>
      <c r="U3099" s="51" t="s">
        <v>4140</v>
      </c>
      <c r="V3099" s="51" t="s">
        <v>3740</v>
      </c>
      <c r="W3099" s="51" t="s">
        <v>6470</v>
      </c>
      <c r="X3099" s="51" t="s">
        <v>2359</v>
      </c>
    </row>
    <row r="3100" customFormat="false" ht="14.25" hidden="true" customHeight="false" outlineLevel="0" collapsed="false">
      <c r="A3100" s="49" t="s">
        <v>2349</v>
      </c>
      <c r="B3100" s="49" t="s">
        <v>2350</v>
      </c>
      <c r="C3100" s="49" t="s">
        <v>6471</v>
      </c>
      <c r="D3100" s="49" t="s">
        <v>2352</v>
      </c>
      <c r="E3100" s="49" t="s">
        <v>4140</v>
      </c>
      <c r="F3100" s="49" t="s">
        <v>4141</v>
      </c>
      <c r="G3100" s="49" t="n">
        <v>0</v>
      </c>
      <c r="H3100" s="0" t="n">
        <v>0</v>
      </c>
      <c r="M3100" s="51" t="s">
        <v>6456</v>
      </c>
      <c r="N3100" s="49" t="n">
        <v>0</v>
      </c>
      <c r="O3100" s="53" t="n">
        <v>45743.6737268519</v>
      </c>
      <c r="P3100" s="53" t="n">
        <v>45750.4694675926</v>
      </c>
      <c r="Q3100" s="53" t="n">
        <v>45743.6737268519</v>
      </c>
      <c r="R3100" s="0" t="n">
        <v>0</v>
      </c>
      <c r="S3100" s="51" t="s">
        <v>2356</v>
      </c>
      <c r="T3100" s="51" t="s">
        <v>2356</v>
      </c>
      <c r="U3100" s="51" t="s">
        <v>4140</v>
      </c>
      <c r="V3100" s="51" t="s">
        <v>3740</v>
      </c>
      <c r="W3100" s="51" t="s">
        <v>6472</v>
      </c>
      <c r="X3100" s="51" t="s">
        <v>2359</v>
      </c>
    </row>
    <row r="3101" customFormat="false" ht="14.25" hidden="true" customHeight="false" outlineLevel="0" collapsed="false">
      <c r="A3101" s="49" t="s">
        <v>2349</v>
      </c>
      <c r="B3101" s="49" t="s">
        <v>2350</v>
      </c>
      <c r="C3101" s="49" t="s">
        <v>6473</v>
      </c>
      <c r="D3101" s="49" t="s">
        <v>2352</v>
      </c>
      <c r="E3101" s="49" t="s">
        <v>4140</v>
      </c>
      <c r="F3101" s="49" t="s">
        <v>4141</v>
      </c>
      <c r="G3101" s="49" t="n">
        <v>0</v>
      </c>
      <c r="H3101" s="0" t="n">
        <v>0</v>
      </c>
      <c r="M3101" s="51" t="s">
        <v>6456</v>
      </c>
      <c r="N3101" s="49" t="n">
        <v>0</v>
      </c>
      <c r="O3101" s="53" t="n">
        <v>45743.673912037</v>
      </c>
      <c r="P3101" s="53" t="n">
        <v>45753.5897222222</v>
      </c>
      <c r="Q3101" s="53" t="n">
        <v>45743.673912037</v>
      </c>
      <c r="R3101" s="0" t="n">
        <v>0</v>
      </c>
      <c r="S3101" s="51" t="s">
        <v>2356</v>
      </c>
      <c r="T3101" s="51" t="s">
        <v>2356</v>
      </c>
      <c r="U3101" s="51" t="s">
        <v>4140</v>
      </c>
      <c r="V3101" s="51" t="s">
        <v>3740</v>
      </c>
      <c r="W3101" s="51" t="s">
        <v>5412</v>
      </c>
      <c r="X3101" s="51" t="s">
        <v>2359</v>
      </c>
    </row>
    <row r="3102" customFormat="false" ht="14.25" hidden="true" customHeight="false" outlineLevel="0" collapsed="false">
      <c r="A3102" s="49" t="s">
        <v>2349</v>
      </c>
      <c r="B3102" s="49" t="s">
        <v>2350</v>
      </c>
      <c r="C3102" s="49" t="s">
        <v>6474</v>
      </c>
      <c r="D3102" s="49" t="s">
        <v>2352</v>
      </c>
      <c r="E3102" s="49" t="s">
        <v>4140</v>
      </c>
      <c r="F3102" s="49" t="s">
        <v>4141</v>
      </c>
      <c r="G3102" s="49" t="n">
        <v>0</v>
      </c>
      <c r="H3102" s="0" t="n">
        <v>0</v>
      </c>
      <c r="M3102" s="51" t="s">
        <v>6456</v>
      </c>
      <c r="N3102" s="49" t="n">
        <v>0</v>
      </c>
      <c r="O3102" s="53" t="n">
        <v>45743.6741666667</v>
      </c>
      <c r="P3102" s="53" t="n">
        <v>45750.468599537</v>
      </c>
      <c r="Q3102" s="53" t="n">
        <v>45743.6741666667</v>
      </c>
      <c r="R3102" s="0" t="n">
        <v>0</v>
      </c>
      <c r="S3102" s="51" t="s">
        <v>2356</v>
      </c>
      <c r="T3102" s="51" t="s">
        <v>2356</v>
      </c>
      <c r="U3102" s="51" t="s">
        <v>4140</v>
      </c>
      <c r="V3102" s="51" t="s">
        <v>3740</v>
      </c>
      <c r="W3102" s="51" t="s">
        <v>5983</v>
      </c>
      <c r="X3102" s="51" t="s">
        <v>2359</v>
      </c>
    </row>
    <row r="3103" customFormat="false" ht="14.25" hidden="true" customHeight="false" outlineLevel="0" collapsed="false">
      <c r="A3103" s="49" t="s">
        <v>2349</v>
      </c>
      <c r="B3103" s="49" t="s">
        <v>2350</v>
      </c>
      <c r="C3103" s="49" t="s">
        <v>6475</v>
      </c>
      <c r="D3103" s="49" t="s">
        <v>2352</v>
      </c>
      <c r="E3103" s="49" t="s">
        <v>4140</v>
      </c>
      <c r="F3103" s="49" t="s">
        <v>4141</v>
      </c>
      <c r="G3103" s="49" t="n">
        <v>0</v>
      </c>
      <c r="H3103" s="0" t="n">
        <v>0</v>
      </c>
      <c r="M3103" s="51" t="s">
        <v>6456</v>
      </c>
      <c r="N3103" s="49" t="n">
        <v>0</v>
      </c>
      <c r="O3103" s="53" t="n">
        <v>45743.6743287037</v>
      </c>
      <c r="P3103" s="53" t="n">
        <v>45750.4687847222</v>
      </c>
      <c r="Q3103" s="53" t="n">
        <v>45743.6743287037</v>
      </c>
      <c r="R3103" s="0" t="n">
        <v>0</v>
      </c>
      <c r="S3103" s="51" t="s">
        <v>2356</v>
      </c>
      <c r="T3103" s="51" t="s">
        <v>2356</v>
      </c>
      <c r="U3103" s="51" t="s">
        <v>4140</v>
      </c>
      <c r="V3103" s="51" t="s">
        <v>3740</v>
      </c>
      <c r="W3103" s="51" t="s">
        <v>6476</v>
      </c>
      <c r="X3103" s="51" t="s">
        <v>2359</v>
      </c>
    </row>
    <row r="3104" customFormat="false" ht="14.25" hidden="true" customHeight="false" outlineLevel="0" collapsed="false">
      <c r="A3104" s="49" t="s">
        <v>2349</v>
      </c>
      <c r="B3104" s="49" t="s">
        <v>2350</v>
      </c>
      <c r="C3104" s="49" t="s">
        <v>6477</v>
      </c>
      <c r="D3104" s="49" t="s">
        <v>2352</v>
      </c>
      <c r="E3104" s="49" t="str">
        <f aca="false">"00041390050107"</f>
        <v>00041390050107</v>
      </c>
      <c r="F3104" s="49" t="s">
        <v>2378</v>
      </c>
      <c r="G3104" s="49" t="n">
        <v>0</v>
      </c>
      <c r="H3104" s="0" t="n">
        <v>0</v>
      </c>
      <c r="M3104" s="51" t="s">
        <v>2379</v>
      </c>
      <c r="N3104" s="49" t="n">
        <v>0</v>
      </c>
      <c r="O3104" s="53" t="n">
        <v>45753.5447106482</v>
      </c>
      <c r="P3104" s="53" t="n">
        <v>45986.4950347222</v>
      </c>
      <c r="Q3104" s="53" t="n">
        <v>45753.5447106482</v>
      </c>
      <c r="R3104" s="0" t="n">
        <v>0</v>
      </c>
      <c r="S3104" s="51" t="s">
        <v>2380</v>
      </c>
      <c r="T3104" s="51" t="s">
        <v>2380</v>
      </c>
      <c r="U3104" s="0" t="str">
        <f aca="false">"00041390050107"</f>
        <v>00041390050107</v>
      </c>
      <c r="V3104" s="51" t="s">
        <v>2365</v>
      </c>
      <c r="W3104" s="51" t="s">
        <v>4330</v>
      </c>
      <c r="X3104" s="51" t="s">
        <v>2359</v>
      </c>
    </row>
    <row r="3105" customFormat="false" ht="14.25" hidden="true" customHeight="false" outlineLevel="0" collapsed="false">
      <c r="A3105" s="49" t="s">
        <v>2349</v>
      </c>
      <c r="B3105" s="49" t="s">
        <v>2350</v>
      </c>
      <c r="C3105" s="49" t="s">
        <v>6478</v>
      </c>
      <c r="D3105" s="49" t="s">
        <v>2352</v>
      </c>
      <c r="E3105" s="49" t="str">
        <f aca="false">"41500055602"</f>
        <v>41500055602</v>
      </c>
      <c r="F3105" s="49" t="s">
        <v>6479</v>
      </c>
      <c r="G3105" s="49" t="n">
        <v>0</v>
      </c>
      <c r="H3105" s="0" t="n">
        <v>0</v>
      </c>
      <c r="M3105" s="51" t="s">
        <v>2379</v>
      </c>
      <c r="N3105" s="49" t="n">
        <v>0</v>
      </c>
      <c r="O3105" s="53" t="n">
        <v>45753.5488888889</v>
      </c>
      <c r="P3105" s="53" t="n">
        <v>45944.7485532407</v>
      </c>
      <c r="Q3105" s="53" t="n">
        <v>45753.5488888889</v>
      </c>
      <c r="R3105" s="0" t="n">
        <v>0</v>
      </c>
      <c r="S3105" s="51" t="s">
        <v>2380</v>
      </c>
      <c r="T3105" s="51" t="s">
        <v>2380</v>
      </c>
      <c r="U3105" s="0" t="str">
        <f aca="false">"41500055602"</f>
        <v>41500055602</v>
      </c>
      <c r="V3105" s="51" t="s">
        <v>2365</v>
      </c>
      <c r="W3105" s="51" t="s">
        <v>6480</v>
      </c>
      <c r="X3105" s="51" t="s">
        <v>2359</v>
      </c>
    </row>
    <row r="3106" customFormat="false" ht="14.25" hidden="true" customHeight="false" outlineLevel="0" collapsed="false">
      <c r="A3106" s="49" t="s">
        <v>2349</v>
      </c>
      <c r="B3106" s="49" t="s">
        <v>2350</v>
      </c>
      <c r="C3106" s="49" t="s">
        <v>6481</v>
      </c>
      <c r="D3106" s="49" t="s">
        <v>2352</v>
      </c>
      <c r="E3106" s="49" t="str">
        <f aca="false">"5060458890191"</f>
        <v>5060458890191</v>
      </c>
      <c r="F3106" s="49" t="s">
        <v>3656</v>
      </c>
      <c r="G3106" s="49" t="n">
        <v>0</v>
      </c>
      <c r="H3106" s="0" t="n">
        <v>0</v>
      </c>
      <c r="M3106" s="51" t="s">
        <v>6482</v>
      </c>
      <c r="N3106" s="49" t="n">
        <v>0</v>
      </c>
      <c r="O3106" s="53" t="n">
        <v>45734.7929976852</v>
      </c>
      <c r="P3106" s="53" t="n">
        <v>45766.6199074074</v>
      </c>
      <c r="Q3106" s="53" t="n">
        <v>45734.7929976852</v>
      </c>
      <c r="R3106" s="0" t="n">
        <v>0</v>
      </c>
      <c r="S3106" s="51" t="s">
        <v>2380</v>
      </c>
      <c r="T3106" s="51" t="s">
        <v>2380</v>
      </c>
      <c r="U3106" s="0" t="str">
        <f aca="false">"5060458890191"</f>
        <v>5060458890191</v>
      </c>
      <c r="V3106" s="51" t="s">
        <v>2142</v>
      </c>
      <c r="W3106" s="51" t="s">
        <v>5615</v>
      </c>
      <c r="X3106" s="51" t="s">
        <v>2359</v>
      </c>
    </row>
    <row r="3107" customFormat="false" ht="14.25" hidden="true" customHeight="false" outlineLevel="0" collapsed="false">
      <c r="A3107" s="49" t="s">
        <v>2349</v>
      </c>
      <c r="B3107" s="49" t="s">
        <v>2350</v>
      </c>
      <c r="C3107" s="49" t="s">
        <v>6483</v>
      </c>
      <c r="D3107" s="49" t="s">
        <v>2352</v>
      </c>
      <c r="E3107" s="49" t="str">
        <f aca="false">"5060458890191"</f>
        <v>5060458890191</v>
      </c>
      <c r="F3107" s="49" t="s">
        <v>3656</v>
      </c>
      <c r="G3107" s="49" t="n">
        <v>0</v>
      </c>
      <c r="H3107" s="0" t="n">
        <v>0</v>
      </c>
      <c r="M3107" s="51" t="s">
        <v>6482</v>
      </c>
      <c r="N3107" s="49" t="n">
        <v>0</v>
      </c>
      <c r="O3107" s="53" t="n">
        <v>45734.7928240741</v>
      </c>
      <c r="P3107" s="53" t="n">
        <v>45742.5316898148</v>
      </c>
      <c r="Q3107" s="53" t="n">
        <v>45734.7928240741</v>
      </c>
      <c r="R3107" s="0" t="n">
        <v>0</v>
      </c>
      <c r="S3107" s="51" t="s">
        <v>2380</v>
      </c>
      <c r="T3107" s="51" t="s">
        <v>2380</v>
      </c>
      <c r="U3107" s="0" t="str">
        <f aca="false">"5060458890191"</f>
        <v>5060458890191</v>
      </c>
      <c r="V3107" s="51" t="s">
        <v>2142</v>
      </c>
      <c r="W3107" s="51" t="s">
        <v>6484</v>
      </c>
      <c r="X3107" s="51" t="s">
        <v>2359</v>
      </c>
    </row>
    <row r="3108" customFormat="false" ht="14.25" hidden="true" customHeight="false" outlineLevel="0" collapsed="false">
      <c r="A3108" s="49" t="s">
        <v>2349</v>
      </c>
      <c r="B3108" s="49" t="s">
        <v>2350</v>
      </c>
      <c r="C3108" s="49" t="s">
        <v>6485</v>
      </c>
      <c r="D3108" s="49" t="s">
        <v>2352</v>
      </c>
      <c r="E3108" s="49" t="str">
        <f aca="false">"5060458890191"</f>
        <v>5060458890191</v>
      </c>
      <c r="F3108" s="49" t="s">
        <v>3656</v>
      </c>
      <c r="G3108" s="49" t="n">
        <v>0</v>
      </c>
      <c r="H3108" s="0" t="n">
        <v>0</v>
      </c>
      <c r="M3108" s="51" t="s">
        <v>6482</v>
      </c>
      <c r="N3108" s="49" t="n">
        <v>0</v>
      </c>
      <c r="O3108" s="53" t="n">
        <v>45734.7931712963</v>
      </c>
      <c r="P3108" s="53" t="n">
        <v>45778.5643518519</v>
      </c>
      <c r="Q3108" s="53" t="n">
        <v>45734.7931712963</v>
      </c>
      <c r="R3108" s="0" t="n">
        <v>0</v>
      </c>
      <c r="S3108" s="51" t="s">
        <v>2380</v>
      </c>
      <c r="T3108" s="51" t="s">
        <v>2380</v>
      </c>
      <c r="U3108" s="0" t="str">
        <f aca="false">"5060458890191"</f>
        <v>5060458890191</v>
      </c>
      <c r="V3108" s="51" t="s">
        <v>2142</v>
      </c>
      <c r="W3108" s="51" t="s">
        <v>4814</v>
      </c>
      <c r="X3108" s="51" t="s">
        <v>2359</v>
      </c>
    </row>
    <row r="3109" customFormat="false" ht="14.25" hidden="true" customHeight="false" outlineLevel="0" collapsed="false">
      <c r="A3109" s="49" t="s">
        <v>2349</v>
      </c>
      <c r="B3109" s="49" t="s">
        <v>2350</v>
      </c>
      <c r="C3109" s="49" t="s">
        <v>6486</v>
      </c>
      <c r="D3109" s="49" t="s">
        <v>2352</v>
      </c>
      <c r="E3109" s="49" t="str">
        <f aca="false">"5060458890191"</f>
        <v>5060458890191</v>
      </c>
      <c r="F3109" s="49" t="s">
        <v>3656</v>
      </c>
      <c r="G3109" s="49" t="n">
        <v>0</v>
      </c>
      <c r="H3109" s="0" t="n">
        <v>0</v>
      </c>
      <c r="M3109" s="51" t="s">
        <v>6482</v>
      </c>
      <c r="N3109" s="49" t="n">
        <v>0</v>
      </c>
      <c r="O3109" s="53" t="n">
        <v>45734.7933333333</v>
      </c>
      <c r="P3109" s="53" t="n">
        <v>45778.5649884259</v>
      </c>
      <c r="Q3109" s="53" t="n">
        <v>45734.7933333333</v>
      </c>
      <c r="R3109" s="0" t="n">
        <v>0</v>
      </c>
      <c r="S3109" s="51" t="s">
        <v>2380</v>
      </c>
      <c r="T3109" s="51" t="s">
        <v>2380</v>
      </c>
      <c r="U3109" s="0" t="str">
        <f aca="false">"5060458890191"</f>
        <v>5060458890191</v>
      </c>
      <c r="V3109" s="51" t="s">
        <v>2142</v>
      </c>
      <c r="W3109" s="51" t="s">
        <v>5245</v>
      </c>
      <c r="X3109" s="51" t="s">
        <v>2359</v>
      </c>
    </row>
    <row r="3110" customFormat="false" ht="14.25" hidden="true" customHeight="false" outlineLevel="0" collapsed="false">
      <c r="A3110" s="49" t="s">
        <v>2349</v>
      </c>
      <c r="B3110" s="49" t="s">
        <v>2350</v>
      </c>
      <c r="C3110" s="49" t="s">
        <v>6487</v>
      </c>
      <c r="D3110" s="49" t="s">
        <v>2352</v>
      </c>
      <c r="E3110" s="49" t="str">
        <f aca="false">"5060458890191"</f>
        <v>5060458890191</v>
      </c>
      <c r="F3110" s="49" t="s">
        <v>3656</v>
      </c>
      <c r="G3110" s="49" t="n">
        <v>0</v>
      </c>
      <c r="H3110" s="0" t="n">
        <v>0</v>
      </c>
      <c r="M3110" s="51" t="s">
        <v>6482</v>
      </c>
      <c r="N3110" s="49" t="n">
        <v>0</v>
      </c>
      <c r="O3110" s="53" t="n">
        <v>45734.7934722222</v>
      </c>
      <c r="P3110" s="53" t="n">
        <v>45766.5578587963</v>
      </c>
      <c r="Q3110" s="53" t="n">
        <v>45734.7934722222</v>
      </c>
      <c r="R3110" s="0" t="n">
        <v>0</v>
      </c>
      <c r="S3110" s="51" t="s">
        <v>2380</v>
      </c>
      <c r="T3110" s="51" t="s">
        <v>2380</v>
      </c>
      <c r="U3110" s="0" t="str">
        <f aca="false">"5060458890191"</f>
        <v>5060458890191</v>
      </c>
      <c r="V3110" s="51" t="s">
        <v>2142</v>
      </c>
      <c r="W3110" s="51" t="s">
        <v>5612</v>
      </c>
      <c r="X3110" s="51" t="s">
        <v>2359</v>
      </c>
    </row>
    <row r="3111" customFormat="false" ht="14.25" hidden="true" customHeight="false" outlineLevel="0" collapsed="false">
      <c r="A3111" s="49" t="s">
        <v>2349</v>
      </c>
      <c r="B3111" s="49" t="s">
        <v>2350</v>
      </c>
      <c r="C3111" s="49" t="s">
        <v>6488</v>
      </c>
      <c r="D3111" s="49" t="s">
        <v>2352</v>
      </c>
      <c r="E3111" s="49" t="str">
        <f aca="false">"5060458890191"</f>
        <v>5060458890191</v>
      </c>
      <c r="F3111" s="49" t="s">
        <v>3656</v>
      </c>
      <c r="G3111" s="49" t="n">
        <v>0</v>
      </c>
      <c r="H3111" s="0" t="n">
        <v>0</v>
      </c>
      <c r="M3111" s="51" t="s">
        <v>6482</v>
      </c>
      <c r="N3111" s="49" t="n">
        <v>0</v>
      </c>
      <c r="O3111" s="53" t="n">
        <v>45734.7939236111</v>
      </c>
      <c r="P3111" s="53" t="n">
        <v>45757.7657060185</v>
      </c>
      <c r="Q3111" s="53" t="n">
        <v>45734.7939236111</v>
      </c>
      <c r="R3111" s="0" t="n">
        <v>0</v>
      </c>
      <c r="S3111" s="51" t="s">
        <v>2380</v>
      </c>
      <c r="T3111" s="51" t="s">
        <v>2380</v>
      </c>
      <c r="U3111" s="0" t="str">
        <f aca="false">"5060458890191"</f>
        <v>5060458890191</v>
      </c>
      <c r="V3111" s="51" t="s">
        <v>2142</v>
      </c>
      <c r="W3111" s="51" t="s">
        <v>4399</v>
      </c>
      <c r="X3111" s="51" t="s">
        <v>2359</v>
      </c>
    </row>
    <row r="3112" customFormat="false" ht="14.25" hidden="true" customHeight="false" outlineLevel="0" collapsed="false">
      <c r="A3112" s="49" t="s">
        <v>2349</v>
      </c>
      <c r="B3112" s="49" t="s">
        <v>2350</v>
      </c>
      <c r="C3112" s="49" t="s">
        <v>6489</v>
      </c>
      <c r="D3112" s="49" t="s">
        <v>2352</v>
      </c>
      <c r="E3112" s="49" t="str">
        <f aca="false">"5060458890191"</f>
        <v>5060458890191</v>
      </c>
      <c r="F3112" s="49" t="s">
        <v>3656</v>
      </c>
      <c r="G3112" s="49" t="n">
        <v>0</v>
      </c>
      <c r="H3112" s="0" t="n">
        <v>0</v>
      </c>
      <c r="M3112" s="51" t="s">
        <v>6482</v>
      </c>
      <c r="N3112" s="49" t="n">
        <v>0</v>
      </c>
      <c r="O3112" s="53" t="n">
        <v>45734.7940972222</v>
      </c>
      <c r="P3112" s="53" t="n">
        <v>45766.6205787037</v>
      </c>
      <c r="Q3112" s="53" t="n">
        <v>45734.7940972222</v>
      </c>
      <c r="R3112" s="0" t="n">
        <v>0</v>
      </c>
      <c r="S3112" s="51" t="s">
        <v>2380</v>
      </c>
      <c r="T3112" s="51" t="s">
        <v>2380</v>
      </c>
      <c r="U3112" s="0" t="str">
        <f aca="false">"5060458890191"</f>
        <v>5060458890191</v>
      </c>
      <c r="V3112" s="51" t="s">
        <v>2142</v>
      </c>
      <c r="W3112" s="51" t="s">
        <v>4849</v>
      </c>
      <c r="X3112" s="51" t="s">
        <v>2359</v>
      </c>
    </row>
    <row r="3113" customFormat="false" ht="14.25" hidden="true" customHeight="false" outlineLevel="0" collapsed="false">
      <c r="A3113" s="49" t="s">
        <v>2349</v>
      </c>
      <c r="B3113" s="49" t="s">
        <v>2350</v>
      </c>
      <c r="C3113" s="49" t="s">
        <v>6490</v>
      </c>
      <c r="D3113" s="49" t="s">
        <v>2352</v>
      </c>
      <c r="E3113" s="49" t="str">
        <f aca="false">"5060458890191"</f>
        <v>5060458890191</v>
      </c>
      <c r="F3113" s="49" t="s">
        <v>3656</v>
      </c>
      <c r="G3113" s="49" t="n">
        <v>0</v>
      </c>
      <c r="H3113" s="0" t="n">
        <v>0</v>
      </c>
      <c r="M3113" s="51" t="s">
        <v>6482</v>
      </c>
      <c r="N3113" s="49" t="n">
        <v>0</v>
      </c>
      <c r="O3113" s="53" t="n">
        <v>45734.7944675926</v>
      </c>
      <c r="P3113" s="53" t="n">
        <v>45757.7140740741</v>
      </c>
      <c r="Q3113" s="53" t="n">
        <v>45734.7944675926</v>
      </c>
      <c r="R3113" s="0" t="n">
        <v>0</v>
      </c>
      <c r="S3113" s="51" t="s">
        <v>2380</v>
      </c>
      <c r="T3113" s="51" t="s">
        <v>2380</v>
      </c>
      <c r="U3113" s="0" t="str">
        <f aca="false">"5060458890191"</f>
        <v>5060458890191</v>
      </c>
      <c r="V3113" s="51" t="s">
        <v>2142</v>
      </c>
      <c r="W3113" s="51" t="s">
        <v>5619</v>
      </c>
      <c r="X3113" s="51" t="s">
        <v>2359</v>
      </c>
    </row>
    <row r="3114" customFormat="false" ht="14.25" hidden="true" customHeight="false" outlineLevel="0" collapsed="false">
      <c r="A3114" s="49" t="s">
        <v>2349</v>
      </c>
      <c r="B3114" s="49" t="s">
        <v>2350</v>
      </c>
      <c r="C3114" s="49" t="s">
        <v>6491</v>
      </c>
      <c r="D3114" s="49" t="s">
        <v>2352</v>
      </c>
      <c r="E3114" s="49" t="str">
        <f aca="false">"5060458890191"</f>
        <v>5060458890191</v>
      </c>
      <c r="F3114" s="49" t="s">
        <v>3656</v>
      </c>
      <c r="G3114" s="49" t="n">
        <v>0</v>
      </c>
      <c r="H3114" s="0" t="n">
        <v>0</v>
      </c>
      <c r="M3114" s="51" t="s">
        <v>6482</v>
      </c>
      <c r="N3114" s="49" t="n">
        <v>0</v>
      </c>
      <c r="O3114" s="53" t="n">
        <v>45734.7945833333</v>
      </c>
      <c r="P3114" s="53" t="n">
        <v>45766.6212962963</v>
      </c>
      <c r="Q3114" s="53" t="n">
        <v>45734.7945833333</v>
      </c>
      <c r="R3114" s="0" t="n">
        <v>0</v>
      </c>
      <c r="S3114" s="51" t="s">
        <v>2380</v>
      </c>
      <c r="T3114" s="51" t="s">
        <v>2380</v>
      </c>
      <c r="U3114" s="0" t="str">
        <f aca="false">"5060458890191"</f>
        <v>5060458890191</v>
      </c>
      <c r="V3114" s="51" t="s">
        <v>2142</v>
      </c>
      <c r="W3114" s="51" t="s">
        <v>4288</v>
      </c>
      <c r="X3114" s="51" t="s">
        <v>2359</v>
      </c>
    </row>
    <row r="3115" customFormat="false" ht="14.25" hidden="true" customHeight="false" outlineLevel="0" collapsed="false">
      <c r="A3115" s="49" t="s">
        <v>2349</v>
      </c>
      <c r="B3115" s="49" t="s">
        <v>2350</v>
      </c>
      <c r="C3115" s="49" t="s">
        <v>6492</v>
      </c>
      <c r="D3115" s="49" t="s">
        <v>2352</v>
      </c>
      <c r="E3115" s="49" t="str">
        <f aca="false">"5060458890191"</f>
        <v>5060458890191</v>
      </c>
      <c r="F3115" s="49" t="s">
        <v>3656</v>
      </c>
      <c r="G3115" s="49" t="n">
        <v>0</v>
      </c>
      <c r="H3115" s="0" t="n">
        <v>0</v>
      </c>
      <c r="M3115" s="51" t="s">
        <v>6482</v>
      </c>
      <c r="N3115" s="49" t="n">
        <v>0</v>
      </c>
      <c r="O3115" s="53" t="n">
        <v>45734.7947569444</v>
      </c>
      <c r="P3115" s="53" t="n">
        <v>45766.6231712963</v>
      </c>
      <c r="Q3115" s="53" t="n">
        <v>45734.7947569444</v>
      </c>
      <c r="R3115" s="0" t="n">
        <v>0</v>
      </c>
      <c r="S3115" s="51" t="s">
        <v>2380</v>
      </c>
      <c r="T3115" s="51" t="s">
        <v>2380</v>
      </c>
      <c r="U3115" s="0" t="str">
        <f aca="false">"5060458890191"</f>
        <v>5060458890191</v>
      </c>
      <c r="V3115" s="51" t="s">
        <v>2142</v>
      </c>
      <c r="W3115" s="51" t="s">
        <v>4541</v>
      </c>
      <c r="X3115" s="51" t="s">
        <v>2359</v>
      </c>
    </row>
    <row r="3116" customFormat="false" ht="14.25" hidden="true" customHeight="false" outlineLevel="0" collapsed="false">
      <c r="A3116" s="49" t="s">
        <v>2349</v>
      </c>
      <c r="B3116" s="49" t="s">
        <v>2350</v>
      </c>
      <c r="C3116" s="49" t="s">
        <v>6493</v>
      </c>
      <c r="D3116" s="49" t="s">
        <v>2352</v>
      </c>
      <c r="E3116" s="49" t="str">
        <f aca="false">"5060458890191"</f>
        <v>5060458890191</v>
      </c>
      <c r="F3116" s="49" t="s">
        <v>3656</v>
      </c>
      <c r="G3116" s="49" t="n">
        <v>0</v>
      </c>
      <c r="H3116" s="0" t="n">
        <v>0</v>
      </c>
      <c r="M3116" s="51" t="s">
        <v>6482</v>
      </c>
      <c r="N3116" s="49" t="n">
        <v>0</v>
      </c>
      <c r="O3116" s="53" t="n">
        <v>45734.7949189815</v>
      </c>
      <c r="P3116" s="53" t="n">
        <v>45761.4295717593</v>
      </c>
      <c r="Q3116" s="53" t="n">
        <v>45734.7949189815</v>
      </c>
      <c r="R3116" s="0" t="n">
        <v>0</v>
      </c>
      <c r="S3116" s="51" t="s">
        <v>2380</v>
      </c>
      <c r="T3116" s="51" t="s">
        <v>2380</v>
      </c>
      <c r="U3116" s="0" t="str">
        <f aca="false">"5060458890191"</f>
        <v>5060458890191</v>
      </c>
      <c r="V3116" s="51" t="s">
        <v>2142</v>
      </c>
      <c r="W3116" s="51" t="s">
        <v>4681</v>
      </c>
      <c r="X3116" s="51" t="s">
        <v>2359</v>
      </c>
    </row>
    <row r="3117" customFormat="false" ht="14.25" hidden="true" customHeight="false" outlineLevel="0" collapsed="false">
      <c r="A3117" s="49" t="s">
        <v>2349</v>
      </c>
      <c r="B3117" s="49" t="s">
        <v>2350</v>
      </c>
      <c r="C3117" s="49" t="s">
        <v>6494</v>
      </c>
      <c r="D3117" s="49" t="s">
        <v>2352</v>
      </c>
      <c r="E3117" s="49" t="str">
        <f aca="false">"5060458890191"</f>
        <v>5060458890191</v>
      </c>
      <c r="F3117" s="49" t="s">
        <v>3656</v>
      </c>
      <c r="G3117" s="49" t="n">
        <v>0</v>
      </c>
      <c r="H3117" s="0" t="n">
        <v>0</v>
      </c>
      <c r="M3117" s="51" t="s">
        <v>6482</v>
      </c>
      <c r="N3117" s="49" t="n">
        <v>0</v>
      </c>
      <c r="O3117" s="53" t="n">
        <v>45734.7950810185</v>
      </c>
      <c r="P3117" s="53" t="n">
        <v>45762.2282175926</v>
      </c>
      <c r="Q3117" s="53" t="n">
        <v>45734.7950810185</v>
      </c>
      <c r="R3117" s="0" t="n">
        <v>0</v>
      </c>
      <c r="S3117" s="51" t="s">
        <v>2380</v>
      </c>
      <c r="T3117" s="51" t="s">
        <v>2380</v>
      </c>
      <c r="U3117" s="0" t="str">
        <f aca="false">"5060458890191"</f>
        <v>5060458890191</v>
      </c>
      <c r="V3117" s="51" t="s">
        <v>2142</v>
      </c>
      <c r="W3117" s="51" t="s">
        <v>6495</v>
      </c>
      <c r="X3117" s="51" t="s">
        <v>2359</v>
      </c>
    </row>
    <row r="3118" customFormat="false" ht="14.25" hidden="true" customHeight="false" outlineLevel="0" collapsed="false">
      <c r="A3118" s="49" t="s">
        <v>2349</v>
      </c>
      <c r="B3118" s="49" t="s">
        <v>2350</v>
      </c>
      <c r="C3118" s="49" t="s">
        <v>6496</v>
      </c>
      <c r="D3118" s="49" t="s">
        <v>2352</v>
      </c>
      <c r="E3118" s="49" t="str">
        <f aca="false">"5060458890191"</f>
        <v>5060458890191</v>
      </c>
      <c r="F3118" s="49" t="s">
        <v>3656</v>
      </c>
      <c r="G3118" s="49" t="n">
        <v>0</v>
      </c>
      <c r="H3118" s="0" t="n">
        <v>0</v>
      </c>
      <c r="M3118" s="51" t="s">
        <v>6482</v>
      </c>
      <c r="N3118" s="49" t="n">
        <v>0</v>
      </c>
      <c r="O3118" s="53" t="n">
        <v>45734.7952083333</v>
      </c>
      <c r="P3118" s="53" t="n">
        <v>45762.2287731482</v>
      </c>
      <c r="Q3118" s="53" t="n">
        <v>45734.7952083333</v>
      </c>
      <c r="R3118" s="0" t="n">
        <v>0</v>
      </c>
      <c r="S3118" s="51" t="s">
        <v>2380</v>
      </c>
      <c r="T3118" s="51" t="s">
        <v>2380</v>
      </c>
      <c r="U3118" s="0" t="str">
        <f aca="false">"5060458890191"</f>
        <v>5060458890191</v>
      </c>
      <c r="V3118" s="51" t="s">
        <v>2142</v>
      </c>
      <c r="W3118" s="51" t="s">
        <v>6497</v>
      </c>
      <c r="X3118" s="51" t="s">
        <v>2359</v>
      </c>
    </row>
    <row r="3119" customFormat="false" ht="14.25" hidden="true" customHeight="false" outlineLevel="0" collapsed="false">
      <c r="A3119" s="49" t="s">
        <v>2349</v>
      </c>
      <c r="B3119" s="49" t="s">
        <v>2350</v>
      </c>
      <c r="C3119" s="49" t="s">
        <v>6498</v>
      </c>
      <c r="D3119" s="49" t="s">
        <v>2352</v>
      </c>
      <c r="E3119" s="49" t="str">
        <f aca="false">"5060458890191"</f>
        <v>5060458890191</v>
      </c>
      <c r="F3119" s="49" t="s">
        <v>3656</v>
      </c>
      <c r="G3119" s="49" t="n">
        <v>0</v>
      </c>
      <c r="H3119" s="0" t="n">
        <v>0</v>
      </c>
      <c r="M3119" s="51" t="s">
        <v>6482</v>
      </c>
      <c r="N3119" s="49" t="n">
        <v>0</v>
      </c>
      <c r="O3119" s="53" t="n">
        <v>45734.7953356481</v>
      </c>
      <c r="P3119" s="53" t="n">
        <v>45762.2303703704</v>
      </c>
      <c r="Q3119" s="53" t="n">
        <v>45734.7953356481</v>
      </c>
      <c r="R3119" s="0" t="n">
        <v>0</v>
      </c>
      <c r="S3119" s="51" t="s">
        <v>2380</v>
      </c>
      <c r="T3119" s="51" t="s">
        <v>2380</v>
      </c>
      <c r="U3119" s="0" t="str">
        <f aca="false">"5060458890191"</f>
        <v>5060458890191</v>
      </c>
      <c r="V3119" s="51" t="s">
        <v>2142</v>
      </c>
      <c r="W3119" s="51" t="s">
        <v>6499</v>
      </c>
      <c r="X3119" s="51" t="s">
        <v>2359</v>
      </c>
    </row>
    <row r="3120" customFormat="false" ht="14.25" hidden="true" customHeight="false" outlineLevel="0" collapsed="false">
      <c r="A3120" s="49" t="s">
        <v>2349</v>
      </c>
      <c r="B3120" s="49" t="s">
        <v>2350</v>
      </c>
      <c r="C3120" s="49" t="s">
        <v>6500</v>
      </c>
      <c r="D3120" s="49" t="s">
        <v>2352</v>
      </c>
      <c r="E3120" s="49" t="str">
        <f aca="false">"5060458890191"</f>
        <v>5060458890191</v>
      </c>
      <c r="F3120" s="49" t="s">
        <v>3656</v>
      </c>
      <c r="G3120" s="49" t="n">
        <v>0</v>
      </c>
      <c r="H3120" s="0" t="n">
        <v>0</v>
      </c>
      <c r="M3120" s="51" t="s">
        <v>6482</v>
      </c>
      <c r="N3120" s="49" t="n">
        <v>0</v>
      </c>
      <c r="O3120" s="53" t="n">
        <v>45734.795462963</v>
      </c>
      <c r="P3120" s="53" t="n">
        <v>45762.2329166667</v>
      </c>
      <c r="Q3120" s="53" t="n">
        <v>45734.795462963</v>
      </c>
      <c r="R3120" s="0" t="n">
        <v>0</v>
      </c>
      <c r="S3120" s="51" t="s">
        <v>2380</v>
      </c>
      <c r="T3120" s="51" t="s">
        <v>2380</v>
      </c>
      <c r="U3120" s="0" t="str">
        <f aca="false">"5060458890191"</f>
        <v>5060458890191</v>
      </c>
      <c r="V3120" s="51" t="s">
        <v>2142</v>
      </c>
      <c r="W3120" s="51" t="s">
        <v>6501</v>
      </c>
      <c r="X3120" s="51" t="s">
        <v>2359</v>
      </c>
    </row>
    <row r="3121" customFormat="false" ht="14.25" hidden="true" customHeight="false" outlineLevel="0" collapsed="false">
      <c r="A3121" s="49" t="s">
        <v>2349</v>
      </c>
      <c r="B3121" s="49" t="s">
        <v>2350</v>
      </c>
      <c r="C3121" s="49" t="s">
        <v>6502</v>
      </c>
      <c r="D3121" s="49" t="s">
        <v>2352</v>
      </c>
      <c r="E3121" s="49" t="str">
        <f aca="false">"5060458890191"</f>
        <v>5060458890191</v>
      </c>
      <c r="F3121" s="49" t="s">
        <v>3656</v>
      </c>
      <c r="G3121" s="49" t="n">
        <v>0</v>
      </c>
      <c r="H3121" s="0" t="n">
        <v>0</v>
      </c>
      <c r="M3121" s="51" t="s">
        <v>6482</v>
      </c>
      <c r="N3121" s="49" t="n">
        <v>0</v>
      </c>
      <c r="O3121" s="53" t="n">
        <v>45734.795625</v>
      </c>
      <c r="P3121" s="53" t="n">
        <v>45762.2344675926</v>
      </c>
      <c r="Q3121" s="53" t="n">
        <v>45734.795625</v>
      </c>
      <c r="R3121" s="0" t="n">
        <v>0</v>
      </c>
      <c r="S3121" s="51" t="s">
        <v>2380</v>
      </c>
      <c r="T3121" s="51" t="s">
        <v>2380</v>
      </c>
      <c r="U3121" s="0" t="str">
        <f aca="false">"5060458890191"</f>
        <v>5060458890191</v>
      </c>
      <c r="V3121" s="51" t="s">
        <v>2142</v>
      </c>
      <c r="W3121" s="51" t="s">
        <v>6503</v>
      </c>
      <c r="X3121" s="51" t="s">
        <v>2359</v>
      </c>
    </row>
    <row r="3122" customFormat="false" ht="14.25" hidden="true" customHeight="false" outlineLevel="0" collapsed="false">
      <c r="A3122" s="49" t="s">
        <v>2349</v>
      </c>
      <c r="B3122" s="49" t="s">
        <v>2350</v>
      </c>
      <c r="C3122" s="49" t="s">
        <v>6504</v>
      </c>
      <c r="D3122" s="49" t="s">
        <v>2352</v>
      </c>
      <c r="E3122" s="49" t="str">
        <f aca="false">"5060458890191"</f>
        <v>5060458890191</v>
      </c>
      <c r="F3122" s="49" t="s">
        <v>3656</v>
      </c>
      <c r="G3122" s="49" t="n">
        <v>0</v>
      </c>
      <c r="H3122" s="0" t="n">
        <v>0</v>
      </c>
      <c r="M3122" s="51" t="s">
        <v>6482</v>
      </c>
      <c r="N3122" s="49" t="n">
        <v>0</v>
      </c>
      <c r="O3122" s="53" t="n">
        <v>45734.7957523148</v>
      </c>
      <c r="P3122" s="53" t="n">
        <v>45766.6567939815</v>
      </c>
      <c r="Q3122" s="53" t="n">
        <v>45734.7957523148</v>
      </c>
      <c r="R3122" s="0" t="n">
        <v>0</v>
      </c>
      <c r="S3122" s="51" t="s">
        <v>2380</v>
      </c>
      <c r="T3122" s="51" t="s">
        <v>2380</v>
      </c>
      <c r="U3122" s="0" t="str">
        <f aca="false">"5060458890191"</f>
        <v>5060458890191</v>
      </c>
      <c r="V3122" s="51" t="s">
        <v>2142</v>
      </c>
      <c r="W3122" s="51" t="s">
        <v>6505</v>
      </c>
      <c r="X3122" s="51" t="s">
        <v>2359</v>
      </c>
    </row>
    <row r="3123" customFormat="false" ht="14.25" hidden="true" customHeight="false" outlineLevel="0" collapsed="false">
      <c r="A3123" s="49" t="s">
        <v>2349</v>
      </c>
      <c r="B3123" s="49" t="s">
        <v>2350</v>
      </c>
      <c r="C3123" s="49" t="s">
        <v>6506</v>
      </c>
      <c r="D3123" s="49" t="s">
        <v>2352</v>
      </c>
      <c r="E3123" s="49" t="str">
        <f aca="false">"5060458890191"</f>
        <v>5060458890191</v>
      </c>
      <c r="F3123" s="49" t="s">
        <v>3656</v>
      </c>
      <c r="G3123" s="49" t="n">
        <v>0</v>
      </c>
      <c r="H3123" s="0" t="n">
        <v>0</v>
      </c>
      <c r="M3123" s="51" t="s">
        <v>6482</v>
      </c>
      <c r="N3123" s="49" t="n">
        <v>0</v>
      </c>
      <c r="O3123" s="53" t="n">
        <v>45734.7958680556</v>
      </c>
      <c r="P3123" s="53" t="n">
        <v>45766.5616782407</v>
      </c>
      <c r="Q3123" s="53" t="n">
        <v>45734.7958680556</v>
      </c>
      <c r="R3123" s="0" t="n">
        <v>0</v>
      </c>
      <c r="S3123" s="51" t="s">
        <v>2380</v>
      </c>
      <c r="T3123" s="51" t="s">
        <v>2380</v>
      </c>
      <c r="U3123" s="0" t="str">
        <f aca="false">"5060458890191"</f>
        <v>5060458890191</v>
      </c>
      <c r="V3123" s="51" t="s">
        <v>2142</v>
      </c>
      <c r="W3123" s="51" t="s">
        <v>6507</v>
      </c>
      <c r="X3123" s="51" t="s">
        <v>2359</v>
      </c>
    </row>
    <row r="3124" customFormat="false" ht="14.25" hidden="true" customHeight="false" outlineLevel="0" collapsed="false">
      <c r="A3124" s="49" t="s">
        <v>2349</v>
      </c>
      <c r="B3124" s="49" t="s">
        <v>2350</v>
      </c>
      <c r="C3124" s="49" t="s">
        <v>6508</v>
      </c>
      <c r="D3124" s="49" t="s">
        <v>2352</v>
      </c>
      <c r="E3124" s="49" t="str">
        <f aca="false">"5060458890191"</f>
        <v>5060458890191</v>
      </c>
      <c r="F3124" s="49" t="s">
        <v>3656</v>
      </c>
      <c r="G3124" s="49" t="n">
        <v>0</v>
      </c>
      <c r="H3124" s="0" t="n">
        <v>0</v>
      </c>
      <c r="M3124" s="51" t="s">
        <v>6482</v>
      </c>
      <c r="N3124" s="49" t="n">
        <v>0</v>
      </c>
      <c r="O3124" s="53" t="n">
        <v>45734.7959837963</v>
      </c>
      <c r="P3124" s="53" t="n">
        <v>45778.5675925926</v>
      </c>
      <c r="Q3124" s="53" t="n">
        <v>45734.7959837963</v>
      </c>
      <c r="R3124" s="0" t="n">
        <v>0</v>
      </c>
      <c r="S3124" s="51" t="s">
        <v>2380</v>
      </c>
      <c r="T3124" s="51" t="s">
        <v>2380</v>
      </c>
      <c r="U3124" s="0" t="str">
        <f aca="false">"5060458890191"</f>
        <v>5060458890191</v>
      </c>
      <c r="V3124" s="51" t="s">
        <v>2142</v>
      </c>
      <c r="W3124" s="51" t="s">
        <v>6509</v>
      </c>
      <c r="X3124" s="51" t="s">
        <v>2359</v>
      </c>
    </row>
    <row r="3125" customFormat="false" ht="14.25" hidden="true" customHeight="false" outlineLevel="0" collapsed="false">
      <c r="A3125" s="49" t="s">
        <v>2349</v>
      </c>
      <c r="B3125" s="49" t="s">
        <v>2350</v>
      </c>
      <c r="C3125" s="49" t="s">
        <v>6510</v>
      </c>
      <c r="D3125" s="49" t="s">
        <v>2352</v>
      </c>
      <c r="E3125" s="49" t="str">
        <f aca="false">"5060458890191"</f>
        <v>5060458890191</v>
      </c>
      <c r="F3125" s="49" t="s">
        <v>3656</v>
      </c>
      <c r="G3125" s="49" t="n">
        <v>0</v>
      </c>
      <c r="H3125" s="0" t="n">
        <v>0</v>
      </c>
      <c r="M3125" s="51" t="s">
        <v>6482</v>
      </c>
      <c r="N3125" s="49" t="n">
        <v>0</v>
      </c>
      <c r="O3125" s="53" t="n">
        <v>45734.796099537</v>
      </c>
      <c r="P3125" s="53" t="n">
        <v>45766.5621527778</v>
      </c>
      <c r="Q3125" s="53" t="n">
        <v>45734.796099537</v>
      </c>
      <c r="R3125" s="0" t="n">
        <v>0</v>
      </c>
      <c r="S3125" s="51" t="s">
        <v>2380</v>
      </c>
      <c r="T3125" s="51" t="s">
        <v>2380</v>
      </c>
      <c r="U3125" s="0" t="str">
        <f aca="false">"5060458890191"</f>
        <v>5060458890191</v>
      </c>
      <c r="V3125" s="51" t="s">
        <v>2142</v>
      </c>
      <c r="W3125" s="51" t="s">
        <v>6511</v>
      </c>
      <c r="X3125" s="51" t="s">
        <v>2359</v>
      </c>
    </row>
    <row r="3126" customFormat="false" ht="14.25" hidden="true" customHeight="false" outlineLevel="0" collapsed="false">
      <c r="A3126" s="49" t="s">
        <v>2349</v>
      </c>
      <c r="B3126" s="49" t="s">
        <v>2350</v>
      </c>
      <c r="C3126" s="49" t="s">
        <v>6512</v>
      </c>
      <c r="D3126" s="49" t="s">
        <v>2352</v>
      </c>
      <c r="E3126" s="49" t="str">
        <f aca="false">"5060458890191"</f>
        <v>5060458890191</v>
      </c>
      <c r="F3126" s="49" t="s">
        <v>3656</v>
      </c>
      <c r="G3126" s="49" t="n">
        <v>0</v>
      </c>
      <c r="H3126" s="0" t="n">
        <v>0</v>
      </c>
      <c r="M3126" s="51" t="s">
        <v>6482</v>
      </c>
      <c r="N3126" s="49" t="n">
        <v>0</v>
      </c>
      <c r="O3126" s="53" t="n">
        <v>45734.7962384259</v>
      </c>
      <c r="P3126" s="53" t="n">
        <v>45766.5627662037</v>
      </c>
      <c r="Q3126" s="53" t="n">
        <v>45734.7962384259</v>
      </c>
      <c r="R3126" s="0" t="n">
        <v>0</v>
      </c>
      <c r="S3126" s="51" t="s">
        <v>2380</v>
      </c>
      <c r="T3126" s="51" t="s">
        <v>2380</v>
      </c>
      <c r="U3126" s="0" t="str">
        <f aca="false">"5060458890191"</f>
        <v>5060458890191</v>
      </c>
      <c r="V3126" s="51" t="s">
        <v>2142</v>
      </c>
      <c r="W3126" s="51" t="s">
        <v>6513</v>
      </c>
      <c r="X3126" s="51" t="s">
        <v>2359</v>
      </c>
    </row>
    <row r="3127" customFormat="false" ht="14.25" hidden="true" customHeight="false" outlineLevel="0" collapsed="false">
      <c r="A3127" s="49" t="s">
        <v>2349</v>
      </c>
      <c r="B3127" s="49" t="s">
        <v>2350</v>
      </c>
      <c r="C3127" s="49" t="s">
        <v>6514</v>
      </c>
      <c r="D3127" s="49" t="s">
        <v>2352</v>
      </c>
      <c r="E3127" s="49" t="str">
        <f aca="false">"5060458890191"</f>
        <v>5060458890191</v>
      </c>
      <c r="F3127" s="49" t="s">
        <v>3656</v>
      </c>
      <c r="G3127" s="49" t="n">
        <v>0</v>
      </c>
      <c r="H3127" s="0" t="n">
        <v>0</v>
      </c>
      <c r="M3127" s="51" t="s">
        <v>6482</v>
      </c>
      <c r="N3127" s="49" t="n">
        <v>0</v>
      </c>
      <c r="O3127" s="53" t="n">
        <v>45734.7964814815</v>
      </c>
      <c r="P3127" s="53" t="n">
        <v>45766.6587268519</v>
      </c>
      <c r="Q3127" s="53" t="n">
        <v>45734.7964814815</v>
      </c>
      <c r="R3127" s="0" t="n">
        <v>0</v>
      </c>
      <c r="S3127" s="51" t="s">
        <v>2380</v>
      </c>
      <c r="T3127" s="51" t="s">
        <v>2380</v>
      </c>
      <c r="U3127" s="0" t="str">
        <f aca="false">"5060458890191"</f>
        <v>5060458890191</v>
      </c>
      <c r="V3127" s="51" t="s">
        <v>2142</v>
      </c>
      <c r="W3127" s="51" t="s">
        <v>6515</v>
      </c>
      <c r="X3127" s="51" t="s">
        <v>2359</v>
      </c>
    </row>
    <row r="3128" customFormat="false" ht="14.25" hidden="true" customHeight="false" outlineLevel="0" collapsed="false">
      <c r="A3128" s="49" t="s">
        <v>2349</v>
      </c>
      <c r="B3128" s="49" t="s">
        <v>2350</v>
      </c>
      <c r="C3128" s="49" t="s">
        <v>6516</v>
      </c>
      <c r="D3128" s="49" t="s">
        <v>2352</v>
      </c>
      <c r="E3128" s="49" t="str">
        <f aca="false">"5060458890191"</f>
        <v>5060458890191</v>
      </c>
      <c r="F3128" s="49" t="s">
        <v>3656</v>
      </c>
      <c r="G3128" s="49" t="n">
        <v>0</v>
      </c>
      <c r="H3128" s="0" t="n">
        <v>0</v>
      </c>
      <c r="M3128" s="51" t="s">
        <v>6482</v>
      </c>
      <c r="N3128" s="49" t="n">
        <v>0</v>
      </c>
      <c r="O3128" s="53" t="n">
        <v>45734.7966203704</v>
      </c>
      <c r="P3128" s="53" t="n">
        <v>45766.6606828704</v>
      </c>
      <c r="Q3128" s="53" t="n">
        <v>45734.7966203704</v>
      </c>
      <c r="R3128" s="0" t="n">
        <v>0</v>
      </c>
      <c r="S3128" s="51" t="s">
        <v>2380</v>
      </c>
      <c r="T3128" s="51" t="s">
        <v>2380</v>
      </c>
      <c r="U3128" s="0" t="str">
        <f aca="false">"5060458890191"</f>
        <v>5060458890191</v>
      </c>
      <c r="V3128" s="51" t="s">
        <v>2142</v>
      </c>
      <c r="W3128" s="51" t="s">
        <v>6517</v>
      </c>
      <c r="X3128" s="51" t="s">
        <v>2359</v>
      </c>
    </row>
    <row r="3129" customFormat="false" ht="14.25" hidden="true" customHeight="false" outlineLevel="0" collapsed="false">
      <c r="A3129" s="49" t="s">
        <v>2349</v>
      </c>
      <c r="B3129" s="49" t="s">
        <v>2350</v>
      </c>
      <c r="C3129" s="49" t="s">
        <v>6518</v>
      </c>
      <c r="D3129" s="49" t="s">
        <v>2352</v>
      </c>
      <c r="E3129" s="49" t="str">
        <f aca="false">"5060458890191"</f>
        <v>5060458890191</v>
      </c>
      <c r="F3129" s="49" t="s">
        <v>3656</v>
      </c>
      <c r="G3129" s="49" t="n">
        <v>0</v>
      </c>
      <c r="H3129" s="0" t="n">
        <v>0</v>
      </c>
      <c r="M3129" s="51" t="s">
        <v>6482</v>
      </c>
      <c r="N3129" s="49" t="n">
        <v>0</v>
      </c>
      <c r="O3129" s="53" t="n">
        <v>45734.7967361111</v>
      </c>
      <c r="P3129" s="53" t="n">
        <v>45766.6612731482</v>
      </c>
      <c r="Q3129" s="53" t="n">
        <v>45734.7967361111</v>
      </c>
      <c r="R3129" s="0" t="n">
        <v>0</v>
      </c>
      <c r="S3129" s="51" t="s">
        <v>2380</v>
      </c>
      <c r="T3129" s="51" t="s">
        <v>2380</v>
      </c>
      <c r="U3129" s="0" t="str">
        <f aca="false">"5060458890191"</f>
        <v>5060458890191</v>
      </c>
      <c r="V3129" s="51" t="s">
        <v>2142</v>
      </c>
      <c r="W3129" s="51" t="s">
        <v>6519</v>
      </c>
      <c r="X3129" s="51" t="s">
        <v>2359</v>
      </c>
    </row>
    <row r="3130" customFormat="false" ht="14.25" hidden="true" customHeight="false" outlineLevel="0" collapsed="false">
      <c r="A3130" s="49" t="s">
        <v>2349</v>
      </c>
      <c r="B3130" s="49" t="s">
        <v>2350</v>
      </c>
      <c r="C3130" s="49" t="s">
        <v>6520</v>
      </c>
      <c r="D3130" s="49" t="s">
        <v>2352</v>
      </c>
      <c r="E3130" s="49" t="str">
        <f aca="false">"5060458890191"</f>
        <v>5060458890191</v>
      </c>
      <c r="F3130" s="49" t="s">
        <v>3656</v>
      </c>
      <c r="G3130" s="49" t="n">
        <v>0</v>
      </c>
      <c r="H3130" s="0" t="n">
        <v>0</v>
      </c>
      <c r="M3130" s="51" t="s">
        <v>6482</v>
      </c>
      <c r="N3130" s="49" t="n">
        <v>0</v>
      </c>
      <c r="O3130" s="53" t="n">
        <v>45734.796875</v>
      </c>
      <c r="P3130" s="53" t="n">
        <v>45766.5643287037</v>
      </c>
      <c r="Q3130" s="53" t="n">
        <v>45734.796875</v>
      </c>
      <c r="R3130" s="0" t="n">
        <v>0</v>
      </c>
      <c r="S3130" s="51" t="s">
        <v>2380</v>
      </c>
      <c r="T3130" s="51" t="s">
        <v>2380</v>
      </c>
      <c r="U3130" s="0" t="str">
        <f aca="false">"5060458890191"</f>
        <v>5060458890191</v>
      </c>
      <c r="V3130" s="51" t="s">
        <v>2142</v>
      </c>
      <c r="W3130" s="51" t="s">
        <v>6521</v>
      </c>
      <c r="X3130" s="51" t="s">
        <v>2359</v>
      </c>
    </row>
    <row r="3131" customFormat="false" ht="14.25" hidden="true" customHeight="false" outlineLevel="0" collapsed="false">
      <c r="A3131" s="49" t="s">
        <v>2349</v>
      </c>
      <c r="B3131" s="49" t="s">
        <v>2350</v>
      </c>
      <c r="C3131" s="49" t="s">
        <v>6522</v>
      </c>
      <c r="D3131" s="49" t="s">
        <v>2352</v>
      </c>
      <c r="E3131" s="49" t="str">
        <f aca="false">"5060458890191"</f>
        <v>5060458890191</v>
      </c>
      <c r="F3131" s="49" t="s">
        <v>3656</v>
      </c>
      <c r="G3131" s="49" t="n">
        <v>0</v>
      </c>
      <c r="H3131" s="0" t="n">
        <v>0</v>
      </c>
      <c r="M3131" s="51" t="s">
        <v>6482</v>
      </c>
      <c r="N3131" s="49" t="n">
        <v>0</v>
      </c>
      <c r="O3131" s="53" t="n">
        <v>45734.797037037</v>
      </c>
      <c r="P3131" s="53" t="n">
        <v>45766.5653009259</v>
      </c>
      <c r="Q3131" s="53" t="n">
        <v>45734.797037037</v>
      </c>
      <c r="R3131" s="0" t="n">
        <v>0</v>
      </c>
      <c r="S3131" s="51" t="s">
        <v>2380</v>
      </c>
      <c r="T3131" s="51" t="s">
        <v>2380</v>
      </c>
      <c r="U3131" s="0" t="str">
        <f aca="false">"5060458890191"</f>
        <v>5060458890191</v>
      </c>
      <c r="V3131" s="51" t="s">
        <v>2142</v>
      </c>
      <c r="W3131" s="51" t="s">
        <v>6523</v>
      </c>
      <c r="X3131" s="51" t="s">
        <v>2359</v>
      </c>
    </row>
    <row r="3132" customFormat="false" ht="14.25" hidden="true" customHeight="false" outlineLevel="0" collapsed="false">
      <c r="A3132" s="49" t="s">
        <v>2349</v>
      </c>
      <c r="B3132" s="49" t="s">
        <v>2350</v>
      </c>
      <c r="C3132" s="49" t="s">
        <v>6524</v>
      </c>
      <c r="D3132" s="49" t="s">
        <v>2352</v>
      </c>
      <c r="E3132" s="49" t="str">
        <f aca="false">"5060458890191"</f>
        <v>5060458890191</v>
      </c>
      <c r="F3132" s="49" t="s">
        <v>3656</v>
      </c>
      <c r="G3132" s="49" t="n">
        <v>0</v>
      </c>
      <c r="H3132" s="0" t="n">
        <v>0</v>
      </c>
      <c r="M3132" s="51" t="s">
        <v>6482</v>
      </c>
      <c r="N3132" s="49" t="n">
        <v>0</v>
      </c>
      <c r="O3132" s="53" t="n">
        <v>45734.7971759259</v>
      </c>
      <c r="P3132" s="53" t="n">
        <v>45766.6625115741</v>
      </c>
      <c r="Q3132" s="53" t="n">
        <v>45734.7971759259</v>
      </c>
      <c r="R3132" s="0" t="n">
        <v>0</v>
      </c>
      <c r="S3132" s="51" t="s">
        <v>2380</v>
      </c>
      <c r="T3132" s="51" t="s">
        <v>2380</v>
      </c>
      <c r="U3132" s="0" t="str">
        <f aca="false">"5060458890191"</f>
        <v>5060458890191</v>
      </c>
      <c r="V3132" s="51" t="s">
        <v>2142</v>
      </c>
      <c r="W3132" s="51" t="s">
        <v>6525</v>
      </c>
      <c r="X3132" s="51" t="s">
        <v>2359</v>
      </c>
    </row>
    <row r="3133" customFormat="false" ht="14.25" hidden="true" customHeight="false" outlineLevel="0" collapsed="false">
      <c r="A3133" s="49" t="s">
        <v>2349</v>
      </c>
      <c r="B3133" s="49" t="s">
        <v>2350</v>
      </c>
      <c r="C3133" s="49" t="s">
        <v>6526</v>
      </c>
      <c r="D3133" s="49" t="s">
        <v>2352</v>
      </c>
      <c r="E3133" s="49" t="str">
        <f aca="false">"5060458890191"</f>
        <v>5060458890191</v>
      </c>
      <c r="F3133" s="49" t="s">
        <v>3656</v>
      </c>
      <c r="G3133" s="49" t="n">
        <v>0</v>
      </c>
      <c r="H3133" s="0" t="n">
        <v>0</v>
      </c>
      <c r="M3133" s="51" t="s">
        <v>6482</v>
      </c>
      <c r="N3133" s="49" t="n">
        <v>0</v>
      </c>
      <c r="O3133" s="53" t="n">
        <v>45734.7972916667</v>
      </c>
      <c r="P3133" s="53" t="n">
        <v>45766.6638194444</v>
      </c>
      <c r="Q3133" s="53" t="n">
        <v>45734.7972916667</v>
      </c>
      <c r="R3133" s="0" t="n">
        <v>0</v>
      </c>
      <c r="S3133" s="51" t="s">
        <v>2380</v>
      </c>
      <c r="T3133" s="51" t="s">
        <v>2380</v>
      </c>
      <c r="U3133" s="0" t="str">
        <f aca="false">"5060458890191"</f>
        <v>5060458890191</v>
      </c>
      <c r="V3133" s="51" t="s">
        <v>2142</v>
      </c>
      <c r="W3133" s="51" t="s">
        <v>6527</v>
      </c>
      <c r="X3133" s="51" t="s">
        <v>2359</v>
      </c>
    </row>
    <row r="3134" customFormat="false" ht="14.25" hidden="true" customHeight="false" outlineLevel="0" collapsed="false">
      <c r="A3134" s="49" t="s">
        <v>2349</v>
      </c>
      <c r="B3134" s="49" t="s">
        <v>2350</v>
      </c>
      <c r="C3134" s="49" t="s">
        <v>6528</v>
      </c>
      <c r="D3134" s="49" t="s">
        <v>2352</v>
      </c>
      <c r="E3134" s="49" t="str">
        <f aca="false">"5060458890191"</f>
        <v>5060458890191</v>
      </c>
      <c r="F3134" s="49" t="s">
        <v>3656</v>
      </c>
      <c r="G3134" s="49" t="n">
        <v>0</v>
      </c>
      <c r="H3134" s="0" t="n">
        <v>0</v>
      </c>
      <c r="M3134" s="51" t="s">
        <v>6482</v>
      </c>
      <c r="N3134" s="49" t="n">
        <v>0</v>
      </c>
      <c r="O3134" s="53" t="n">
        <v>45734.7974421296</v>
      </c>
      <c r="P3134" s="53" t="n">
        <v>45766.5718402778</v>
      </c>
      <c r="Q3134" s="53" t="n">
        <v>45734.7974421296</v>
      </c>
      <c r="R3134" s="0" t="n">
        <v>0</v>
      </c>
      <c r="S3134" s="51" t="s">
        <v>2380</v>
      </c>
      <c r="T3134" s="51" t="s">
        <v>2380</v>
      </c>
      <c r="U3134" s="0" t="str">
        <f aca="false">"5060458890191"</f>
        <v>5060458890191</v>
      </c>
      <c r="V3134" s="51" t="s">
        <v>2142</v>
      </c>
      <c r="W3134" s="51" t="s">
        <v>6529</v>
      </c>
      <c r="X3134" s="51" t="s">
        <v>2359</v>
      </c>
    </row>
    <row r="3135" customFormat="false" ht="14.25" hidden="true" customHeight="false" outlineLevel="0" collapsed="false">
      <c r="A3135" s="49" t="s">
        <v>2349</v>
      </c>
      <c r="B3135" s="49" t="s">
        <v>2350</v>
      </c>
      <c r="C3135" s="49" t="s">
        <v>6530</v>
      </c>
      <c r="D3135" s="49" t="s">
        <v>2352</v>
      </c>
      <c r="E3135" s="49" t="str">
        <f aca="false">"10074865055175"</f>
        <v>10074865055175</v>
      </c>
      <c r="F3135" s="49" t="s">
        <v>5090</v>
      </c>
      <c r="G3135" s="49" t="n">
        <v>0</v>
      </c>
      <c r="H3135" s="0" t="n">
        <v>0</v>
      </c>
      <c r="M3135" s="51" t="s">
        <v>6531</v>
      </c>
      <c r="N3135" s="49" t="n">
        <v>0</v>
      </c>
      <c r="O3135" s="53" t="n">
        <v>45752.5965856482</v>
      </c>
      <c r="P3135" s="53" t="n">
        <v>45755.9592361111</v>
      </c>
      <c r="Q3135" s="53" t="n">
        <v>45752.5965856482</v>
      </c>
      <c r="R3135" s="0" t="n">
        <v>0</v>
      </c>
      <c r="S3135" s="51" t="s">
        <v>4015</v>
      </c>
      <c r="T3135" s="51" t="s">
        <v>4015</v>
      </c>
      <c r="U3135" s="0" t="str">
        <f aca="false">"10074865055175"</f>
        <v>10074865055175</v>
      </c>
      <c r="V3135" s="51" t="s">
        <v>2365</v>
      </c>
      <c r="W3135" s="51" t="s">
        <v>6054</v>
      </c>
      <c r="X3135" s="51" t="s">
        <v>2359</v>
      </c>
    </row>
    <row r="3136" customFormat="false" ht="17.55" hidden="true" customHeight="false" outlineLevel="0" collapsed="false">
      <c r="A3136" s="49" t="s">
        <v>2349</v>
      </c>
      <c r="B3136" s="49" t="s">
        <v>2350</v>
      </c>
      <c r="C3136" s="49" t="s">
        <v>6532</v>
      </c>
      <c r="D3136" s="49" t="s">
        <v>2352</v>
      </c>
      <c r="E3136" s="49" t="str">
        <f aca="false">"6281024902554"</f>
        <v>6281024902554</v>
      </c>
      <c r="F3136" s="49" t="s">
        <v>4579</v>
      </c>
      <c r="G3136" s="49" t="n">
        <v>0</v>
      </c>
      <c r="H3136" s="0" t="n">
        <v>0</v>
      </c>
      <c r="M3136" s="51" t="s">
        <v>6533</v>
      </c>
      <c r="N3136" s="49" t="n">
        <v>0</v>
      </c>
      <c r="O3136" s="53" t="n">
        <v>45750.4448726852</v>
      </c>
      <c r="P3136" s="53" t="n">
        <v>45846.3148032407</v>
      </c>
      <c r="Q3136" s="53" t="n">
        <v>45750.4448726852</v>
      </c>
      <c r="R3136" s="0" t="n">
        <v>0</v>
      </c>
      <c r="S3136" s="51" t="s">
        <v>2356</v>
      </c>
      <c r="T3136" s="51" t="s">
        <v>2356</v>
      </c>
      <c r="U3136" s="0" t="str">
        <f aca="false">"6281024902554"</f>
        <v>6281024902554</v>
      </c>
      <c r="V3136" s="51" t="s">
        <v>2365</v>
      </c>
      <c r="W3136" s="51" t="s">
        <v>6534</v>
      </c>
      <c r="X3136" s="51" t="s">
        <v>2359</v>
      </c>
    </row>
    <row r="3137" customFormat="false" ht="17.55" hidden="true" customHeight="false" outlineLevel="0" collapsed="false">
      <c r="A3137" s="49" t="s">
        <v>2349</v>
      </c>
      <c r="B3137" s="49" t="s">
        <v>2350</v>
      </c>
      <c r="C3137" s="49" t="s">
        <v>6535</v>
      </c>
      <c r="D3137" s="49" t="s">
        <v>2352</v>
      </c>
      <c r="E3137" s="49" t="str">
        <f aca="false">"6281024902554"</f>
        <v>6281024902554</v>
      </c>
      <c r="F3137" s="49" t="s">
        <v>4579</v>
      </c>
      <c r="G3137" s="49" t="n">
        <v>0</v>
      </c>
      <c r="H3137" s="0" t="n">
        <v>0</v>
      </c>
      <c r="M3137" s="51" t="s">
        <v>6533</v>
      </c>
      <c r="N3137" s="49" t="n">
        <v>0</v>
      </c>
      <c r="O3137" s="53" t="n">
        <v>45750.4445486111</v>
      </c>
      <c r="P3137" s="53" t="n">
        <v>45787.6202893519</v>
      </c>
      <c r="Q3137" s="53" t="n">
        <v>45750.4445486111</v>
      </c>
      <c r="R3137" s="0" t="n">
        <v>0</v>
      </c>
      <c r="S3137" s="51" t="s">
        <v>2356</v>
      </c>
      <c r="T3137" s="51" t="s">
        <v>2356</v>
      </c>
      <c r="U3137" s="0" t="str">
        <f aca="false">"6281024902554"</f>
        <v>6281024902554</v>
      </c>
      <c r="V3137" s="51" t="s">
        <v>2365</v>
      </c>
      <c r="W3137" s="51" t="s">
        <v>6536</v>
      </c>
      <c r="X3137" s="51" t="s">
        <v>2359</v>
      </c>
    </row>
    <row r="3138" customFormat="false" ht="17.55" hidden="true" customHeight="false" outlineLevel="0" collapsed="false">
      <c r="A3138" s="49" t="s">
        <v>2349</v>
      </c>
      <c r="B3138" s="49" t="s">
        <v>2350</v>
      </c>
      <c r="C3138" s="49" t="s">
        <v>6537</v>
      </c>
      <c r="D3138" s="49" t="s">
        <v>2352</v>
      </c>
      <c r="E3138" s="49" t="str">
        <f aca="false">"6281024902554"</f>
        <v>6281024902554</v>
      </c>
      <c r="F3138" s="49" t="s">
        <v>4579</v>
      </c>
      <c r="G3138" s="49" t="n">
        <v>0</v>
      </c>
      <c r="H3138" s="0" t="n">
        <v>0</v>
      </c>
      <c r="M3138" s="51" t="s">
        <v>6533</v>
      </c>
      <c r="N3138" s="49" t="n">
        <v>0</v>
      </c>
      <c r="O3138" s="53" t="n">
        <v>45750.4441782407</v>
      </c>
      <c r="P3138" s="53" t="n">
        <v>45782.5871990741</v>
      </c>
      <c r="Q3138" s="53" t="n">
        <v>45750.4441782407</v>
      </c>
      <c r="R3138" s="0" t="n">
        <v>0</v>
      </c>
      <c r="S3138" s="51" t="s">
        <v>2356</v>
      </c>
      <c r="T3138" s="51" t="s">
        <v>2356</v>
      </c>
      <c r="U3138" s="0" t="str">
        <f aca="false">"6281024902554"</f>
        <v>6281024902554</v>
      </c>
      <c r="V3138" s="51" t="s">
        <v>2365</v>
      </c>
      <c r="W3138" s="51" t="s">
        <v>6538</v>
      </c>
      <c r="X3138" s="51" t="s">
        <v>2359</v>
      </c>
    </row>
    <row r="3139" customFormat="false" ht="17.55" hidden="true" customHeight="false" outlineLevel="0" collapsed="false">
      <c r="A3139" s="49" t="s">
        <v>2349</v>
      </c>
      <c r="B3139" s="49" t="s">
        <v>2350</v>
      </c>
      <c r="C3139" s="49" t="s">
        <v>6539</v>
      </c>
      <c r="D3139" s="49" t="s">
        <v>2352</v>
      </c>
      <c r="E3139" s="49" t="str">
        <f aca="false">"6281024902554"</f>
        <v>6281024902554</v>
      </c>
      <c r="F3139" s="49" t="s">
        <v>4579</v>
      </c>
      <c r="G3139" s="49" t="n">
        <v>0</v>
      </c>
      <c r="H3139" s="0" t="n">
        <v>0</v>
      </c>
      <c r="M3139" s="51" t="s">
        <v>6533</v>
      </c>
      <c r="N3139" s="49" t="n">
        <v>0</v>
      </c>
      <c r="O3139" s="53" t="n">
        <v>45750.4434606481</v>
      </c>
      <c r="P3139" s="53" t="n">
        <v>45846.3149537037</v>
      </c>
      <c r="Q3139" s="53" t="n">
        <v>45750.4434606481</v>
      </c>
      <c r="R3139" s="0" t="n">
        <v>0</v>
      </c>
      <c r="S3139" s="51" t="s">
        <v>2356</v>
      </c>
      <c r="T3139" s="51" t="s">
        <v>2356</v>
      </c>
      <c r="U3139" s="0" t="str">
        <f aca="false">"6281024902554"</f>
        <v>6281024902554</v>
      </c>
      <c r="V3139" s="51" t="s">
        <v>2365</v>
      </c>
      <c r="W3139" s="51" t="s">
        <v>6534</v>
      </c>
      <c r="X3139" s="51" t="s">
        <v>2359</v>
      </c>
    </row>
    <row r="3140" customFormat="false" ht="17.55" hidden="true" customHeight="false" outlineLevel="0" collapsed="false">
      <c r="A3140" s="49" t="s">
        <v>2349</v>
      </c>
      <c r="B3140" s="49" t="s">
        <v>2350</v>
      </c>
      <c r="C3140" s="49" t="s">
        <v>6540</v>
      </c>
      <c r="D3140" s="49" t="s">
        <v>2352</v>
      </c>
      <c r="E3140" s="49" t="str">
        <f aca="false">"6281024902554"</f>
        <v>6281024902554</v>
      </c>
      <c r="F3140" s="49" t="s">
        <v>4579</v>
      </c>
      <c r="G3140" s="49" t="n">
        <v>0</v>
      </c>
      <c r="H3140" s="0" t="n">
        <v>0</v>
      </c>
      <c r="M3140" s="51" t="s">
        <v>6533</v>
      </c>
      <c r="N3140" s="49" t="n">
        <v>0</v>
      </c>
      <c r="O3140" s="53" t="n">
        <v>45750.4429282407</v>
      </c>
      <c r="P3140" s="53" t="n">
        <v>45806.578912037</v>
      </c>
      <c r="Q3140" s="53" t="n">
        <v>45750.4429282407</v>
      </c>
      <c r="R3140" s="0" t="n">
        <v>0</v>
      </c>
      <c r="S3140" s="51" t="s">
        <v>2356</v>
      </c>
      <c r="T3140" s="51" t="s">
        <v>2356</v>
      </c>
      <c r="U3140" s="0" t="str">
        <f aca="false">"6281024902554"</f>
        <v>6281024902554</v>
      </c>
      <c r="V3140" s="51" t="s">
        <v>2365</v>
      </c>
      <c r="W3140" s="51" t="s">
        <v>4581</v>
      </c>
      <c r="X3140" s="51" t="s">
        <v>2359</v>
      </c>
    </row>
    <row r="3141" customFormat="false" ht="14.25" hidden="true" customHeight="false" outlineLevel="0" collapsed="false">
      <c r="A3141" s="49" t="s">
        <v>2349</v>
      </c>
      <c r="B3141" s="49" t="s">
        <v>2350</v>
      </c>
      <c r="C3141" s="49" t="s">
        <v>6541</v>
      </c>
      <c r="D3141" s="49" t="s">
        <v>2352</v>
      </c>
      <c r="E3141" s="49" t="s">
        <v>4012</v>
      </c>
      <c r="F3141" s="49" t="s">
        <v>4013</v>
      </c>
      <c r="G3141" s="49" t="n">
        <v>0</v>
      </c>
      <c r="H3141" s="0" t="n">
        <v>0</v>
      </c>
      <c r="M3141" s="51" t="s">
        <v>6542</v>
      </c>
      <c r="N3141" s="49" t="n">
        <v>0</v>
      </c>
      <c r="O3141" s="53" t="n">
        <v>45759.6780787037</v>
      </c>
      <c r="P3141" s="53" t="n">
        <v>45909.8950231482</v>
      </c>
      <c r="Q3141" s="53" t="n">
        <v>45759.6780787037</v>
      </c>
      <c r="R3141" s="0" t="n">
        <v>0</v>
      </c>
      <c r="S3141" s="51" t="s">
        <v>2401</v>
      </c>
      <c r="T3141" s="51" t="s">
        <v>2401</v>
      </c>
      <c r="U3141" s="51" t="s">
        <v>4012</v>
      </c>
      <c r="V3141" s="51" t="s">
        <v>2365</v>
      </c>
      <c r="W3141" s="51" t="s">
        <v>5901</v>
      </c>
      <c r="X3141" s="51" t="s">
        <v>2359</v>
      </c>
    </row>
    <row r="3142" customFormat="false" ht="14.25" hidden="true" customHeight="false" outlineLevel="0" collapsed="false">
      <c r="A3142" s="49" t="s">
        <v>2349</v>
      </c>
      <c r="B3142" s="49" t="s">
        <v>2350</v>
      </c>
      <c r="C3142" s="49" t="s">
        <v>6543</v>
      </c>
      <c r="D3142" s="49" t="s">
        <v>2352</v>
      </c>
      <c r="E3142" s="49" t="s">
        <v>4012</v>
      </c>
      <c r="F3142" s="49" t="s">
        <v>4013</v>
      </c>
      <c r="G3142" s="49" t="n">
        <v>0</v>
      </c>
      <c r="H3142" s="0" t="n">
        <v>0</v>
      </c>
      <c r="M3142" s="51" t="s">
        <v>6542</v>
      </c>
      <c r="N3142" s="49" t="n">
        <v>0</v>
      </c>
      <c r="O3142" s="53" t="n">
        <v>45759.6774537037</v>
      </c>
      <c r="P3142" s="53" t="n">
        <v>45908.378125</v>
      </c>
      <c r="Q3142" s="53" t="n">
        <v>45759.6774537037</v>
      </c>
      <c r="R3142" s="0" t="n">
        <v>0</v>
      </c>
      <c r="S3142" s="51" t="s">
        <v>2401</v>
      </c>
      <c r="T3142" s="51" t="s">
        <v>2401</v>
      </c>
      <c r="U3142" s="51" t="s">
        <v>4012</v>
      </c>
      <c r="V3142" s="51" t="s">
        <v>2365</v>
      </c>
      <c r="W3142" s="51" t="s">
        <v>6544</v>
      </c>
      <c r="X3142" s="51" t="s">
        <v>2359</v>
      </c>
    </row>
    <row r="3143" customFormat="false" ht="14.25" hidden="true" customHeight="false" outlineLevel="0" collapsed="false">
      <c r="A3143" s="49" t="s">
        <v>2349</v>
      </c>
      <c r="B3143" s="49" t="s">
        <v>2350</v>
      </c>
      <c r="C3143" s="49" t="s">
        <v>6545</v>
      </c>
      <c r="D3143" s="49" t="s">
        <v>2352</v>
      </c>
      <c r="E3143" s="49" t="s">
        <v>4012</v>
      </c>
      <c r="F3143" s="49" t="s">
        <v>4013</v>
      </c>
      <c r="G3143" s="49" t="n">
        <v>0</v>
      </c>
      <c r="H3143" s="0" t="n">
        <v>0</v>
      </c>
      <c r="M3143" s="51" t="s">
        <v>6542</v>
      </c>
      <c r="N3143" s="49" t="n">
        <v>0</v>
      </c>
      <c r="O3143" s="53" t="n">
        <v>45759.6771643519</v>
      </c>
      <c r="P3143" s="53" t="n">
        <v>45879.7659837963</v>
      </c>
      <c r="Q3143" s="53" t="n">
        <v>45759.6771643519</v>
      </c>
      <c r="R3143" s="0" t="n">
        <v>0</v>
      </c>
      <c r="S3143" s="51" t="s">
        <v>2401</v>
      </c>
      <c r="T3143" s="51" t="s">
        <v>2401</v>
      </c>
      <c r="U3143" s="51" t="s">
        <v>4012</v>
      </c>
      <c r="V3143" s="51" t="s">
        <v>2365</v>
      </c>
      <c r="W3143" s="51" t="s">
        <v>5995</v>
      </c>
      <c r="X3143" s="51" t="s">
        <v>2359</v>
      </c>
    </row>
    <row r="3144" customFormat="false" ht="14.25" hidden="true" customHeight="false" outlineLevel="0" collapsed="false">
      <c r="A3144" s="49" t="s">
        <v>2349</v>
      </c>
      <c r="B3144" s="49" t="s">
        <v>2350</v>
      </c>
      <c r="C3144" s="49" t="s">
        <v>6546</v>
      </c>
      <c r="D3144" s="49" t="s">
        <v>2352</v>
      </c>
      <c r="E3144" s="49" t="s">
        <v>4012</v>
      </c>
      <c r="F3144" s="49" t="s">
        <v>4013</v>
      </c>
      <c r="G3144" s="49" t="n">
        <v>0</v>
      </c>
      <c r="H3144" s="0" t="n">
        <v>0</v>
      </c>
      <c r="M3144" s="51" t="s">
        <v>6542</v>
      </c>
      <c r="N3144" s="49" t="n">
        <v>0</v>
      </c>
      <c r="O3144" s="53" t="n">
        <v>45759.6766087963</v>
      </c>
      <c r="P3144" s="53" t="n">
        <v>45879.7591435185</v>
      </c>
      <c r="Q3144" s="53" t="n">
        <v>45759.6766087963</v>
      </c>
      <c r="R3144" s="0" t="n">
        <v>0</v>
      </c>
      <c r="S3144" s="51" t="s">
        <v>2401</v>
      </c>
      <c r="T3144" s="51" t="s">
        <v>2401</v>
      </c>
      <c r="U3144" s="51" t="s">
        <v>4012</v>
      </c>
      <c r="V3144" s="51" t="s">
        <v>2365</v>
      </c>
      <c r="W3144" s="51" t="s">
        <v>6054</v>
      </c>
      <c r="X3144" s="51" t="s">
        <v>2359</v>
      </c>
    </row>
    <row r="3145" customFormat="false" ht="14.25" hidden="true" customHeight="false" outlineLevel="0" collapsed="false">
      <c r="A3145" s="49" t="s">
        <v>2349</v>
      </c>
      <c r="B3145" s="49" t="s">
        <v>2350</v>
      </c>
      <c r="C3145" s="49" t="s">
        <v>6547</v>
      </c>
      <c r="D3145" s="49" t="s">
        <v>2352</v>
      </c>
      <c r="E3145" s="49" t="s">
        <v>4012</v>
      </c>
      <c r="F3145" s="49" t="s">
        <v>4013</v>
      </c>
      <c r="G3145" s="49" t="n">
        <v>0</v>
      </c>
      <c r="H3145" s="0" t="n">
        <v>0</v>
      </c>
      <c r="M3145" s="51" t="s">
        <v>6542</v>
      </c>
      <c r="N3145" s="49" t="n">
        <v>0</v>
      </c>
      <c r="O3145" s="53" t="n">
        <v>45759.6764699074</v>
      </c>
      <c r="P3145" s="53" t="n">
        <v>45879.7586689815</v>
      </c>
      <c r="Q3145" s="53" t="n">
        <v>45759.6764699074</v>
      </c>
      <c r="R3145" s="0" t="n">
        <v>0</v>
      </c>
      <c r="S3145" s="51" t="s">
        <v>2401</v>
      </c>
      <c r="T3145" s="51" t="s">
        <v>2401</v>
      </c>
      <c r="U3145" s="51" t="s">
        <v>4012</v>
      </c>
      <c r="V3145" s="51" t="s">
        <v>2365</v>
      </c>
      <c r="W3145" s="51" t="s">
        <v>6548</v>
      </c>
      <c r="X3145" s="51" t="s">
        <v>2359</v>
      </c>
    </row>
    <row r="3146" customFormat="false" ht="14.25" hidden="true" customHeight="false" outlineLevel="0" collapsed="false">
      <c r="A3146" s="49" t="s">
        <v>2349</v>
      </c>
      <c r="B3146" s="49" t="s">
        <v>2350</v>
      </c>
      <c r="C3146" s="49" t="s">
        <v>6549</v>
      </c>
      <c r="D3146" s="49" t="s">
        <v>2352</v>
      </c>
      <c r="E3146" s="49" t="s">
        <v>4012</v>
      </c>
      <c r="F3146" s="49" t="s">
        <v>4013</v>
      </c>
      <c r="G3146" s="49" t="n">
        <v>0</v>
      </c>
      <c r="H3146" s="0" t="n">
        <v>0</v>
      </c>
      <c r="M3146" s="51" t="s">
        <v>6542</v>
      </c>
      <c r="N3146" s="49" t="n">
        <v>0</v>
      </c>
      <c r="O3146" s="53" t="n">
        <v>45759.6763078704</v>
      </c>
      <c r="P3146" s="53" t="n">
        <v>45872.9392476852</v>
      </c>
      <c r="Q3146" s="53" t="n">
        <v>45759.6763078704</v>
      </c>
      <c r="R3146" s="0" t="n">
        <v>0</v>
      </c>
      <c r="S3146" s="51" t="s">
        <v>2401</v>
      </c>
      <c r="T3146" s="51" t="s">
        <v>2401</v>
      </c>
      <c r="U3146" s="51" t="s">
        <v>4012</v>
      </c>
      <c r="V3146" s="51" t="s">
        <v>2365</v>
      </c>
      <c r="W3146" s="51" t="s">
        <v>6550</v>
      </c>
      <c r="X3146" s="51" t="s">
        <v>2359</v>
      </c>
    </row>
    <row r="3147" customFormat="false" ht="14.25" hidden="true" customHeight="false" outlineLevel="0" collapsed="false">
      <c r="A3147" s="49" t="s">
        <v>2349</v>
      </c>
      <c r="B3147" s="49" t="s">
        <v>2350</v>
      </c>
      <c r="C3147" s="49" t="s">
        <v>6551</v>
      </c>
      <c r="D3147" s="49" t="s">
        <v>2352</v>
      </c>
      <c r="E3147" s="49" t="s">
        <v>4012</v>
      </c>
      <c r="F3147" s="49" t="s">
        <v>4013</v>
      </c>
      <c r="G3147" s="49" t="n">
        <v>0</v>
      </c>
      <c r="H3147" s="0" t="n">
        <v>0</v>
      </c>
      <c r="M3147" s="51" t="s">
        <v>6542</v>
      </c>
      <c r="N3147" s="49" t="n">
        <v>0</v>
      </c>
      <c r="O3147" s="53" t="n">
        <v>45759.676099537</v>
      </c>
      <c r="P3147" s="53" t="n">
        <v>45875.4674074074</v>
      </c>
      <c r="Q3147" s="53" t="n">
        <v>45759.676099537</v>
      </c>
      <c r="R3147" s="0" t="n">
        <v>0</v>
      </c>
      <c r="S3147" s="51" t="s">
        <v>2401</v>
      </c>
      <c r="T3147" s="51" t="s">
        <v>2401</v>
      </c>
      <c r="U3147" s="51" t="s">
        <v>4012</v>
      </c>
      <c r="V3147" s="51" t="s">
        <v>2365</v>
      </c>
      <c r="W3147" s="51" t="s">
        <v>6552</v>
      </c>
      <c r="X3147" s="51" t="s">
        <v>2359</v>
      </c>
    </row>
    <row r="3148" customFormat="false" ht="14.25" hidden="true" customHeight="false" outlineLevel="0" collapsed="false">
      <c r="A3148" s="49" t="s">
        <v>2349</v>
      </c>
      <c r="B3148" s="49" t="s">
        <v>2350</v>
      </c>
      <c r="C3148" s="49" t="s">
        <v>6553</v>
      </c>
      <c r="D3148" s="49" t="s">
        <v>2352</v>
      </c>
      <c r="E3148" s="49" t="s">
        <v>4012</v>
      </c>
      <c r="F3148" s="49" t="s">
        <v>4013</v>
      </c>
      <c r="G3148" s="49" t="n">
        <v>0</v>
      </c>
      <c r="H3148" s="0" t="n">
        <v>0</v>
      </c>
      <c r="M3148" s="51" t="s">
        <v>6542</v>
      </c>
      <c r="N3148" s="49" t="n">
        <v>0</v>
      </c>
      <c r="O3148" s="53" t="n">
        <v>45759.6757175926</v>
      </c>
      <c r="P3148" s="53" t="n">
        <v>45880.9032523148</v>
      </c>
      <c r="Q3148" s="53" t="n">
        <v>45759.6757175926</v>
      </c>
      <c r="R3148" s="0" t="n">
        <v>0</v>
      </c>
      <c r="S3148" s="51" t="s">
        <v>2401</v>
      </c>
      <c r="T3148" s="51" t="s">
        <v>2401</v>
      </c>
      <c r="U3148" s="51" t="s">
        <v>4012</v>
      </c>
      <c r="V3148" s="51" t="s">
        <v>2365</v>
      </c>
      <c r="W3148" s="51" t="s">
        <v>5896</v>
      </c>
      <c r="X3148" s="51" t="s">
        <v>2359</v>
      </c>
    </row>
    <row r="3149" customFormat="false" ht="14.25" hidden="true" customHeight="false" outlineLevel="0" collapsed="false">
      <c r="A3149" s="49" t="s">
        <v>2349</v>
      </c>
      <c r="B3149" s="49" t="s">
        <v>2350</v>
      </c>
      <c r="C3149" s="49" t="s">
        <v>6554</v>
      </c>
      <c r="D3149" s="49" t="s">
        <v>2352</v>
      </c>
      <c r="E3149" s="49" t="s">
        <v>4012</v>
      </c>
      <c r="F3149" s="49" t="s">
        <v>4013</v>
      </c>
      <c r="G3149" s="49" t="n">
        <v>0</v>
      </c>
      <c r="H3149" s="0" t="n">
        <v>0</v>
      </c>
      <c r="M3149" s="51" t="s">
        <v>6542</v>
      </c>
      <c r="N3149" s="49" t="n">
        <v>0</v>
      </c>
      <c r="O3149" s="53" t="n">
        <v>45759.6755787037</v>
      </c>
      <c r="P3149" s="53" t="n">
        <v>45908.3795138889</v>
      </c>
      <c r="Q3149" s="53" t="n">
        <v>45759.6755787037</v>
      </c>
      <c r="R3149" s="0" t="n">
        <v>0</v>
      </c>
      <c r="S3149" s="51" t="s">
        <v>2401</v>
      </c>
      <c r="T3149" s="51" t="s">
        <v>2401</v>
      </c>
      <c r="U3149" s="51" t="s">
        <v>4012</v>
      </c>
      <c r="V3149" s="51" t="s">
        <v>2365</v>
      </c>
      <c r="W3149" s="51" t="s">
        <v>4266</v>
      </c>
      <c r="X3149" s="51" t="s">
        <v>2359</v>
      </c>
    </row>
    <row r="3150" customFormat="false" ht="14.25" hidden="true" customHeight="false" outlineLevel="0" collapsed="false">
      <c r="A3150" s="49" t="s">
        <v>2349</v>
      </c>
      <c r="B3150" s="49" t="s">
        <v>2350</v>
      </c>
      <c r="C3150" s="49" t="s">
        <v>6555</v>
      </c>
      <c r="D3150" s="49" t="s">
        <v>2352</v>
      </c>
      <c r="E3150" s="49" t="s">
        <v>4012</v>
      </c>
      <c r="F3150" s="49" t="s">
        <v>4013</v>
      </c>
      <c r="G3150" s="49" t="n">
        <v>0</v>
      </c>
      <c r="H3150" s="0" t="n">
        <v>0</v>
      </c>
      <c r="M3150" s="51" t="s">
        <v>6542</v>
      </c>
      <c r="N3150" s="49" t="n">
        <v>0</v>
      </c>
      <c r="O3150" s="53" t="n">
        <v>45759.6751388889</v>
      </c>
      <c r="P3150" s="53" t="n">
        <v>45908.3789583333</v>
      </c>
      <c r="Q3150" s="53" t="n">
        <v>45759.6751388889</v>
      </c>
      <c r="R3150" s="0" t="n">
        <v>0</v>
      </c>
      <c r="S3150" s="51" t="s">
        <v>2401</v>
      </c>
      <c r="T3150" s="51" t="s">
        <v>2401</v>
      </c>
      <c r="U3150" s="51" t="s">
        <v>4012</v>
      </c>
      <c r="V3150" s="51" t="s">
        <v>2365</v>
      </c>
      <c r="W3150" s="51" t="s">
        <v>5898</v>
      </c>
      <c r="X3150" s="51" t="s">
        <v>2359</v>
      </c>
    </row>
    <row r="3151" customFormat="false" ht="14.25" hidden="true" customHeight="false" outlineLevel="0" collapsed="false">
      <c r="A3151" s="49" t="s">
        <v>2349</v>
      </c>
      <c r="B3151" s="49" t="s">
        <v>2350</v>
      </c>
      <c r="C3151" s="49" t="s">
        <v>6556</v>
      </c>
      <c r="D3151" s="49" t="s">
        <v>2352</v>
      </c>
      <c r="E3151" s="49" t="s">
        <v>4012</v>
      </c>
      <c r="F3151" s="49" t="s">
        <v>4013</v>
      </c>
      <c r="G3151" s="49" t="n">
        <v>0</v>
      </c>
      <c r="H3151" s="0" t="n">
        <v>0</v>
      </c>
      <c r="M3151" s="51" t="s">
        <v>6542</v>
      </c>
      <c r="N3151" s="49" t="n">
        <v>0</v>
      </c>
      <c r="O3151" s="53" t="n">
        <v>45759.6749768519</v>
      </c>
      <c r="P3151" s="53" t="n">
        <v>45909.4858333333</v>
      </c>
      <c r="Q3151" s="53" t="n">
        <v>45759.6749768519</v>
      </c>
      <c r="R3151" s="0" t="n">
        <v>0</v>
      </c>
      <c r="S3151" s="51" t="s">
        <v>2401</v>
      </c>
      <c r="T3151" s="51" t="s">
        <v>2401</v>
      </c>
      <c r="U3151" s="51" t="s">
        <v>4012</v>
      </c>
      <c r="V3151" s="51" t="s">
        <v>2365</v>
      </c>
      <c r="W3151" s="51" t="s">
        <v>6557</v>
      </c>
      <c r="X3151" s="51" t="s">
        <v>2359</v>
      </c>
    </row>
    <row r="3152" customFormat="false" ht="14.25" hidden="true" customHeight="false" outlineLevel="0" collapsed="false">
      <c r="A3152" s="49" t="s">
        <v>2349</v>
      </c>
      <c r="B3152" s="49" t="s">
        <v>2350</v>
      </c>
      <c r="C3152" s="49" t="s">
        <v>6558</v>
      </c>
      <c r="D3152" s="49" t="s">
        <v>2352</v>
      </c>
      <c r="E3152" s="49" t="s">
        <v>4012</v>
      </c>
      <c r="F3152" s="49" t="s">
        <v>4013</v>
      </c>
      <c r="G3152" s="49" t="n">
        <v>0</v>
      </c>
      <c r="H3152" s="0" t="n">
        <v>0</v>
      </c>
      <c r="M3152" s="51" t="s">
        <v>6542</v>
      </c>
      <c r="N3152" s="49" t="n">
        <v>0</v>
      </c>
      <c r="O3152" s="53" t="n">
        <v>45759.6732407407</v>
      </c>
      <c r="P3152" s="53" t="n">
        <v>45879.7574884259</v>
      </c>
      <c r="Q3152" s="53" t="n">
        <v>45759.6732407407</v>
      </c>
      <c r="R3152" s="0" t="n">
        <v>0</v>
      </c>
      <c r="S3152" s="51" t="s">
        <v>2401</v>
      </c>
      <c r="T3152" s="51" t="s">
        <v>2401</v>
      </c>
      <c r="U3152" s="51" t="s">
        <v>4012</v>
      </c>
      <c r="V3152" s="51" t="s">
        <v>2365</v>
      </c>
      <c r="W3152" s="51" t="s">
        <v>5121</v>
      </c>
      <c r="X3152" s="51" t="s">
        <v>2359</v>
      </c>
    </row>
    <row r="3153" customFormat="false" ht="14.25" hidden="true" customHeight="false" outlineLevel="0" collapsed="false">
      <c r="A3153" s="49" t="s">
        <v>2349</v>
      </c>
      <c r="B3153" s="49" t="s">
        <v>2350</v>
      </c>
      <c r="C3153" s="49" t="s">
        <v>6559</v>
      </c>
      <c r="D3153" s="49" t="s">
        <v>2352</v>
      </c>
      <c r="E3153" s="49" t="s">
        <v>4012</v>
      </c>
      <c r="F3153" s="49" t="s">
        <v>4013</v>
      </c>
      <c r="G3153" s="49" t="n">
        <v>0</v>
      </c>
      <c r="H3153" s="0" t="n">
        <v>0</v>
      </c>
      <c r="M3153" s="51" t="s">
        <v>6542</v>
      </c>
      <c r="N3153" s="49" t="n">
        <v>0</v>
      </c>
      <c r="O3153" s="53" t="n">
        <v>45759.6722800926</v>
      </c>
      <c r="P3153" s="53" t="n">
        <v>45876.7604398148</v>
      </c>
      <c r="Q3153" s="53" t="n">
        <v>45759.6722800926</v>
      </c>
      <c r="R3153" s="0" t="n">
        <v>0</v>
      </c>
      <c r="S3153" s="51" t="s">
        <v>2401</v>
      </c>
      <c r="T3153" s="51" t="s">
        <v>2401</v>
      </c>
      <c r="U3153" s="51" t="s">
        <v>4012</v>
      </c>
      <c r="V3153" s="51" t="s">
        <v>2365</v>
      </c>
      <c r="W3153" s="51" t="s">
        <v>5697</v>
      </c>
      <c r="X3153" s="51" t="s">
        <v>2359</v>
      </c>
    </row>
    <row r="3154" customFormat="false" ht="14.25" hidden="true" customHeight="false" outlineLevel="0" collapsed="false">
      <c r="A3154" s="49" t="s">
        <v>2349</v>
      </c>
      <c r="B3154" s="49" t="s">
        <v>2350</v>
      </c>
      <c r="C3154" s="49" t="s">
        <v>6560</v>
      </c>
      <c r="D3154" s="49" t="s">
        <v>2352</v>
      </c>
      <c r="E3154" s="49" t="s">
        <v>4012</v>
      </c>
      <c r="F3154" s="49" t="s">
        <v>4013</v>
      </c>
      <c r="G3154" s="49" t="n">
        <v>0</v>
      </c>
      <c r="H3154" s="0" t="n">
        <v>0</v>
      </c>
      <c r="M3154" s="51" t="s">
        <v>6542</v>
      </c>
      <c r="N3154" s="49" t="n">
        <v>0</v>
      </c>
      <c r="O3154" s="53" t="n">
        <v>45759.6715046296</v>
      </c>
      <c r="P3154" s="53" t="n">
        <v>45879.7590277778</v>
      </c>
      <c r="Q3154" s="53" t="n">
        <v>45759.6715046296</v>
      </c>
      <c r="R3154" s="0" t="n">
        <v>0</v>
      </c>
      <c r="S3154" s="51" t="s">
        <v>2401</v>
      </c>
      <c r="T3154" s="51" t="s">
        <v>2401</v>
      </c>
      <c r="U3154" s="51" t="s">
        <v>4012</v>
      </c>
      <c r="V3154" s="51" t="s">
        <v>2365</v>
      </c>
      <c r="W3154" s="51" t="s">
        <v>4797</v>
      </c>
      <c r="X3154" s="51" t="s">
        <v>2359</v>
      </c>
    </row>
    <row r="3155" customFormat="false" ht="14.25" hidden="true" customHeight="false" outlineLevel="0" collapsed="false">
      <c r="A3155" s="49" t="s">
        <v>2349</v>
      </c>
      <c r="B3155" s="49" t="s">
        <v>2350</v>
      </c>
      <c r="C3155" s="49" t="s">
        <v>6561</v>
      </c>
      <c r="D3155" s="49" t="s">
        <v>2352</v>
      </c>
      <c r="E3155" s="49" t="s">
        <v>4012</v>
      </c>
      <c r="F3155" s="49" t="s">
        <v>4013</v>
      </c>
      <c r="G3155" s="49" t="n">
        <v>0</v>
      </c>
      <c r="H3155" s="0" t="n">
        <v>0</v>
      </c>
      <c r="M3155" s="51" t="s">
        <v>6542</v>
      </c>
      <c r="N3155" s="49" t="n">
        <v>0</v>
      </c>
      <c r="O3155" s="53" t="n">
        <v>45759.6711458333</v>
      </c>
      <c r="P3155" s="53" t="n">
        <v>45879.7587847222</v>
      </c>
      <c r="Q3155" s="53" t="n">
        <v>45759.6711458333</v>
      </c>
      <c r="R3155" s="0" t="n">
        <v>0</v>
      </c>
      <c r="S3155" s="51" t="s">
        <v>2401</v>
      </c>
      <c r="T3155" s="51" t="s">
        <v>2401</v>
      </c>
      <c r="U3155" s="51" t="s">
        <v>4012</v>
      </c>
      <c r="V3155" s="51" t="s">
        <v>2365</v>
      </c>
      <c r="W3155" s="51" t="s">
        <v>6562</v>
      </c>
      <c r="X3155" s="51" t="s">
        <v>2359</v>
      </c>
    </row>
    <row r="3156" customFormat="false" ht="14.25" hidden="true" customHeight="false" outlineLevel="0" collapsed="false">
      <c r="A3156" s="49" t="s">
        <v>2349</v>
      </c>
      <c r="B3156" s="49" t="s">
        <v>2350</v>
      </c>
      <c r="C3156" s="49" t="s">
        <v>6563</v>
      </c>
      <c r="D3156" s="49" t="s">
        <v>2352</v>
      </c>
      <c r="E3156" s="49" t="s">
        <v>4012</v>
      </c>
      <c r="F3156" s="49" t="s">
        <v>4013</v>
      </c>
      <c r="G3156" s="49" t="n">
        <v>0</v>
      </c>
      <c r="H3156" s="0" t="n">
        <v>0</v>
      </c>
      <c r="M3156" s="51" t="s">
        <v>6542</v>
      </c>
      <c r="N3156" s="49" t="n">
        <v>0</v>
      </c>
      <c r="O3156" s="53" t="n">
        <v>45759.6699652778</v>
      </c>
      <c r="P3156" s="53" t="n">
        <v>45880.9003819445</v>
      </c>
      <c r="Q3156" s="53" t="n">
        <v>45759.6699652778</v>
      </c>
      <c r="R3156" s="0" t="n">
        <v>0</v>
      </c>
      <c r="S3156" s="51" t="s">
        <v>2401</v>
      </c>
      <c r="T3156" s="51" t="s">
        <v>2401</v>
      </c>
      <c r="U3156" s="51" t="s">
        <v>4012</v>
      </c>
      <c r="V3156" s="51" t="s">
        <v>2365</v>
      </c>
      <c r="W3156" s="51" t="s">
        <v>6564</v>
      </c>
      <c r="X3156" s="51" t="s">
        <v>2359</v>
      </c>
    </row>
    <row r="3157" customFormat="false" ht="14.25" hidden="true" customHeight="false" outlineLevel="0" collapsed="false">
      <c r="A3157" s="49" t="s">
        <v>2349</v>
      </c>
      <c r="B3157" s="49" t="s">
        <v>2350</v>
      </c>
      <c r="C3157" s="49" t="s">
        <v>6565</v>
      </c>
      <c r="D3157" s="49" t="s">
        <v>2352</v>
      </c>
      <c r="E3157" s="49" t="s">
        <v>4012</v>
      </c>
      <c r="F3157" s="49" t="s">
        <v>4013</v>
      </c>
      <c r="G3157" s="49" t="n">
        <v>0</v>
      </c>
      <c r="H3157" s="0" t="n">
        <v>0</v>
      </c>
      <c r="M3157" s="51" t="s">
        <v>6542</v>
      </c>
      <c r="N3157" s="49" t="n">
        <v>0</v>
      </c>
      <c r="O3157" s="53" t="n">
        <v>45759.6697685185</v>
      </c>
      <c r="P3157" s="53" t="n">
        <v>45879.7732060185</v>
      </c>
      <c r="Q3157" s="53" t="n">
        <v>45759.6697685185</v>
      </c>
      <c r="R3157" s="0" t="n">
        <v>0</v>
      </c>
      <c r="S3157" s="51" t="s">
        <v>2401</v>
      </c>
      <c r="T3157" s="51" t="s">
        <v>2401</v>
      </c>
      <c r="U3157" s="51" t="s">
        <v>4012</v>
      </c>
      <c r="V3157" s="51" t="s">
        <v>2365</v>
      </c>
      <c r="W3157" s="51" t="s">
        <v>6566</v>
      </c>
      <c r="X3157" s="51" t="s">
        <v>2359</v>
      </c>
    </row>
    <row r="3158" customFormat="false" ht="14.25" hidden="true" customHeight="false" outlineLevel="0" collapsed="false">
      <c r="A3158" s="49" t="s">
        <v>2349</v>
      </c>
      <c r="B3158" s="49" t="s">
        <v>2350</v>
      </c>
      <c r="C3158" s="49" t="s">
        <v>6567</v>
      </c>
      <c r="D3158" s="49" t="s">
        <v>2352</v>
      </c>
      <c r="E3158" s="49" t="s">
        <v>4012</v>
      </c>
      <c r="F3158" s="49" t="s">
        <v>4013</v>
      </c>
      <c r="G3158" s="49" t="n">
        <v>0</v>
      </c>
      <c r="H3158" s="0" t="n">
        <v>0</v>
      </c>
      <c r="M3158" s="51" t="s">
        <v>6542</v>
      </c>
      <c r="N3158" s="49" t="n">
        <v>0</v>
      </c>
      <c r="O3158" s="53" t="n">
        <v>45759.6695949074</v>
      </c>
      <c r="P3158" s="53" t="n">
        <v>45879.7717476852</v>
      </c>
      <c r="Q3158" s="53" t="n">
        <v>45759.6695949074</v>
      </c>
      <c r="R3158" s="0" t="n">
        <v>0</v>
      </c>
      <c r="S3158" s="51" t="s">
        <v>2401</v>
      </c>
      <c r="T3158" s="51" t="s">
        <v>2401</v>
      </c>
      <c r="U3158" s="51" t="s">
        <v>4012</v>
      </c>
      <c r="V3158" s="51" t="s">
        <v>2365</v>
      </c>
      <c r="W3158" s="51" t="s">
        <v>6568</v>
      </c>
      <c r="X3158" s="51" t="s">
        <v>2359</v>
      </c>
    </row>
    <row r="3159" customFormat="false" ht="14.25" hidden="true" customHeight="false" outlineLevel="0" collapsed="false">
      <c r="A3159" s="49" t="s">
        <v>2349</v>
      </c>
      <c r="B3159" s="49" t="s">
        <v>2350</v>
      </c>
      <c r="C3159" s="49" t="s">
        <v>6569</v>
      </c>
      <c r="D3159" s="49" t="s">
        <v>2352</v>
      </c>
      <c r="E3159" s="49" t="s">
        <v>4012</v>
      </c>
      <c r="F3159" s="49" t="s">
        <v>4013</v>
      </c>
      <c r="G3159" s="49" t="n">
        <v>0</v>
      </c>
      <c r="H3159" s="0" t="n">
        <v>0</v>
      </c>
      <c r="M3159" s="51" t="s">
        <v>6542</v>
      </c>
      <c r="N3159" s="49" t="n">
        <v>0</v>
      </c>
      <c r="O3159" s="53" t="n">
        <v>45759.669375</v>
      </c>
      <c r="P3159" s="53" t="n">
        <v>45778.8216666667</v>
      </c>
      <c r="Q3159" s="53" t="n">
        <v>45759.669375</v>
      </c>
      <c r="R3159" s="0" t="n">
        <v>0</v>
      </c>
      <c r="S3159" s="51" t="s">
        <v>2401</v>
      </c>
      <c r="T3159" s="51" t="s">
        <v>2401</v>
      </c>
      <c r="U3159" s="51" t="s">
        <v>4012</v>
      </c>
      <c r="V3159" s="51" t="s">
        <v>2365</v>
      </c>
      <c r="W3159" s="51" t="s">
        <v>5949</v>
      </c>
      <c r="X3159" s="51" t="s">
        <v>2359</v>
      </c>
    </row>
    <row r="3160" customFormat="false" ht="14.25" hidden="true" customHeight="false" outlineLevel="0" collapsed="false">
      <c r="A3160" s="49" t="s">
        <v>2349</v>
      </c>
      <c r="B3160" s="49" t="s">
        <v>2350</v>
      </c>
      <c r="C3160" s="49" t="s">
        <v>6570</v>
      </c>
      <c r="D3160" s="49" t="s">
        <v>2352</v>
      </c>
      <c r="E3160" s="49" t="s">
        <v>4012</v>
      </c>
      <c r="F3160" s="49" t="s">
        <v>4013</v>
      </c>
      <c r="G3160" s="49" t="n">
        <v>0</v>
      </c>
      <c r="H3160" s="0" t="n">
        <v>0</v>
      </c>
      <c r="M3160" s="51" t="s">
        <v>6542</v>
      </c>
      <c r="N3160" s="49" t="n">
        <v>0</v>
      </c>
      <c r="O3160" s="53" t="n">
        <v>45759.6692013889</v>
      </c>
      <c r="P3160" s="53" t="n">
        <v>45873.9459606482</v>
      </c>
      <c r="Q3160" s="53" t="n">
        <v>45759.6692013889</v>
      </c>
      <c r="R3160" s="0" t="n">
        <v>0</v>
      </c>
      <c r="S3160" s="51" t="s">
        <v>2401</v>
      </c>
      <c r="T3160" s="51" t="s">
        <v>2401</v>
      </c>
      <c r="U3160" s="51" t="s">
        <v>4012</v>
      </c>
      <c r="V3160" s="51" t="s">
        <v>2365</v>
      </c>
      <c r="W3160" s="51" t="s">
        <v>6571</v>
      </c>
      <c r="X3160" s="51" t="s">
        <v>2359</v>
      </c>
    </row>
    <row r="3161" customFormat="false" ht="14.25" hidden="true" customHeight="false" outlineLevel="0" collapsed="false">
      <c r="A3161" s="49" t="s">
        <v>2349</v>
      </c>
      <c r="B3161" s="49" t="s">
        <v>2350</v>
      </c>
      <c r="C3161" s="49" t="s">
        <v>6572</v>
      </c>
      <c r="D3161" s="49" t="s">
        <v>2352</v>
      </c>
      <c r="E3161" s="49" t="s">
        <v>4012</v>
      </c>
      <c r="F3161" s="49" t="s">
        <v>4013</v>
      </c>
      <c r="G3161" s="49" t="n">
        <v>0</v>
      </c>
      <c r="H3161" s="0" t="n">
        <v>0</v>
      </c>
      <c r="M3161" s="51" t="s">
        <v>6542</v>
      </c>
      <c r="N3161" s="49" t="n">
        <v>0</v>
      </c>
      <c r="O3161" s="53" t="n">
        <v>45759.6689930556</v>
      </c>
      <c r="P3161" s="53" t="n">
        <v>45778.8162847222</v>
      </c>
      <c r="Q3161" s="53" t="n">
        <v>45759.6689930556</v>
      </c>
      <c r="R3161" s="0" t="n">
        <v>0</v>
      </c>
      <c r="S3161" s="51" t="s">
        <v>2401</v>
      </c>
      <c r="T3161" s="51" t="s">
        <v>2401</v>
      </c>
      <c r="U3161" s="51" t="s">
        <v>4012</v>
      </c>
      <c r="V3161" s="51" t="s">
        <v>2365</v>
      </c>
      <c r="W3161" s="51" t="s">
        <v>6573</v>
      </c>
      <c r="X3161" s="51" t="s">
        <v>2359</v>
      </c>
    </row>
    <row r="3162" customFormat="false" ht="14.25" hidden="true" customHeight="false" outlineLevel="0" collapsed="false">
      <c r="A3162" s="49" t="s">
        <v>2349</v>
      </c>
      <c r="B3162" s="49" t="s">
        <v>2350</v>
      </c>
      <c r="C3162" s="49" t="s">
        <v>6574</v>
      </c>
      <c r="D3162" s="49" t="s">
        <v>2352</v>
      </c>
      <c r="E3162" s="49" t="s">
        <v>4012</v>
      </c>
      <c r="F3162" s="49" t="s">
        <v>4013</v>
      </c>
      <c r="G3162" s="49" t="n">
        <v>0</v>
      </c>
      <c r="H3162" s="0" t="n">
        <v>0</v>
      </c>
      <c r="M3162" s="51" t="s">
        <v>6542</v>
      </c>
      <c r="N3162" s="49" t="n">
        <v>0</v>
      </c>
      <c r="O3162" s="53" t="n">
        <v>45759.6684143519</v>
      </c>
      <c r="P3162" s="53" t="n">
        <v>45879.7588773148</v>
      </c>
      <c r="Q3162" s="53" t="n">
        <v>45759.6684143519</v>
      </c>
      <c r="R3162" s="0" t="n">
        <v>0</v>
      </c>
      <c r="S3162" s="51" t="s">
        <v>2401</v>
      </c>
      <c r="T3162" s="51" t="s">
        <v>2401</v>
      </c>
      <c r="U3162" s="51" t="s">
        <v>4012</v>
      </c>
      <c r="V3162" s="51" t="s">
        <v>2365</v>
      </c>
      <c r="W3162" s="51" t="s">
        <v>5833</v>
      </c>
      <c r="X3162" s="51" t="s">
        <v>2359</v>
      </c>
    </row>
    <row r="3163" customFormat="false" ht="14.25" hidden="true" customHeight="false" outlineLevel="0" collapsed="false">
      <c r="A3163" s="49" t="s">
        <v>2349</v>
      </c>
      <c r="B3163" s="49" t="s">
        <v>2350</v>
      </c>
      <c r="C3163" s="49" t="s">
        <v>6575</v>
      </c>
      <c r="D3163" s="49" t="s">
        <v>2352</v>
      </c>
      <c r="E3163" s="49" t="s">
        <v>4012</v>
      </c>
      <c r="F3163" s="49" t="s">
        <v>4013</v>
      </c>
      <c r="G3163" s="49" t="n">
        <v>0</v>
      </c>
      <c r="H3163" s="0" t="n">
        <v>0</v>
      </c>
      <c r="M3163" s="51" t="s">
        <v>6542</v>
      </c>
      <c r="N3163" s="49" t="n">
        <v>0</v>
      </c>
      <c r="O3163" s="53" t="n">
        <v>45759.6681365741</v>
      </c>
      <c r="P3163" s="53" t="n">
        <v>45916.8863773148</v>
      </c>
      <c r="Q3163" s="53" t="n">
        <v>45759.6681365741</v>
      </c>
      <c r="R3163" s="0" t="n">
        <v>0</v>
      </c>
      <c r="S3163" s="51" t="s">
        <v>2401</v>
      </c>
      <c r="T3163" s="51" t="s">
        <v>2401</v>
      </c>
      <c r="U3163" s="51" t="s">
        <v>4012</v>
      </c>
      <c r="V3163" s="51" t="s">
        <v>2365</v>
      </c>
      <c r="W3163" s="51" t="s">
        <v>5903</v>
      </c>
      <c r="X3163" s="51" t="s">
        <v>2359</v>
      </c>
    </row>
    <row r="3164" customFormat="false" ht="14.25" hidden="true" customHeight="false" outlineLevel="0" collapsed="false">
      <c r="A3164" s="49" t="s">
        <v>2349</v>
      </c>
      <c r="B3164" s="49" t="s">
        <v>2350</v>
      </c>
      <c r="C3164" s="49" t="s">
        <v>6576</v>
      </c>
      <c r="D3164" s="49" t="s">
        <v>2352</v>
      </c>
      <c r="E3164" s="49" t="str">
        <f aca="false">"19582390577"</f>
        <v>19582390577</v>
      </c>
      <c r="F3164" s="49" t="s">
        <v>2374</v>
      </c>
      <c r="G3164" s="49" t="n">
        <v>0</v>
      </c>
      <c r="H3164" s="0" t="n">
        <v>0</v>
      </c>
      <c r="M3164" s="51" t="s">
        <v>2388</v>
      </c>
      <c r="N3164" s="49" t="n">
        <v>0</v>
      </c>
      <c r="O3164" s="53" t="n">
        <v>45755.584375</v>
      </c>
      <c r="P3164" s="53" t="n">
        <v>45879.8215625</v>
      </c>
      <c r="Q3164" s="53" t="n">
        <v>45755.584375</v>
      </c>
      <c r="R3164" s="0" t="n">
        <v>0</v>
      </c>
      <c r="S3164" s="51" t="s">
        <v>2380</v>
      </c>
      <c r="T3164" s="51" t="s">
        <v>2380</v>
      </c>
      <c r="U3164" s="0" t="str">
        <f aca="false">"19582390577"</f>
        <v>19582390577</v>
      </c>
      <c r="V3164" s="51" t="s">
        <v>2365</v>
      </c>
      <c r="W3164" s="51" t="s">
        <v>4953</v>
      </c>
      <c r="X3164" s="51" t="s">
        <v>2359</v>
      </c>
    </row>
    <row r="3165" customFormat="false" ht="14.25" hidden="true" customHeight="false" outlineLevel="0" collapsed="false">
      <c r="A3165" s="49" t="s">
        <v>2349</v>
      </c>
      <c r="B3165" s="49" t="s">
        <v>2350</v>
      </c>
      <c r="C3165" s="49" t="s">
        <v>6577</v>
      </c>
      <c r="D3165" s="49" t="s">
        <v>2352</v>
      </c>
      <c r="E3165" s="49" t="str">
        <f aca="false">"051600003014"</f>
        <v>051600003014</v>
      </c>
      <c r="F3165" s="49" t="s">
        <v>5809</v>
      </c>
      <c r="G3165" s="49" t="n">
        <v>0</v>
      </c>
      <c r="H3165" s="0" t="n">
        <v>0</v>
      </c>
      <c r="M3165" s="51" t="s">
        <v>2388</v>
      </c>
      <c r="N3165" s="49" t="n">
        <v>0</v>
      </c>
      <c r="O3165" s="53" t="n">
        <v>45755.5947337963</v>
      </c>
      <c r="P3165" s="53" t="n">
        <v>45960.9381365741</v>
      </c>
      <c r="Q3165" s="53" t="n">
        <v>45755.5947337963</v>
      </c>
      <c r="R3165" s="0" t="n">
        <v>0</v>
      </c>
      <c r="S3165" s="51" t="s">
        <v>2380</v>
      </c>
      <c r="T3165" s="51" t="s">
        <v>2380</v>
      </c>
      <c r="U3165" s="0" t="str">
        <f aca="false">"051600003014"</f>
        <v>051600003014</v>
      </c>
      <c r="V3165" s="51" t="s">
        <v>2365</v>
      </c>
      <c r="W3165" s="51" t="s">
        <v>6578</v>
      </c>
      <c r="X3165" s="51" t="s">
        <v>2359</v>
      </c>
    </row>
    <row r="3166" customFormat="false" ht="14.25" hidden="true" customHeight="false" outlineLevel="0" collapsed="false">
      <c r="A3166" s="49" t="s">
        <v>2349</v>
      </c>
      <c r="B3166" s="49" t="s">
        <v>2350</v>
      </c>
      <c r="C3166" s="49" t="s">
        <v>6579</v>
      </c>
      <c r="D3166" s="49" t="s">
        <v>2352</v>
      </c>
      <c r="E3166" s="49" t="str">
        <f aca="false">"051600003014"</f>
        <v>051600003014</v>
      </c>
      <c r="F3166" s="49" t="s">
        <v>5809</v>
      </c>
      <c r="G3166" s="49" t="n">
        <v>0</v>
      </c>
      <c r="H3166" s="0" t="n">
        <v>0</v>
      </c>
      <c r="M3166" s="51" t="s">
        <v>2388</v>
      </c>
      <c r="N3166" s="49" t="n">
        <v>0</v>
      </c>
      <c r="O3166" s="53" t="n">
        <v>45755.5912384259</v>
      </c>
      <c r="P3166" s="53" t="n">
        <v>45918.9225578704</v>
      </c>
      <c r="Q3166" s="53" t="n">
        <v>45755.5912384259</v>
      </c>
      <c r="R3166" s="0" t="n">
        <v>0</v>
      </c>
      <c r="S3166" s="51" t="s">
        <v>2380</v>
      </c>
      <c r="T3166" s="51" t="s">
        <v>2380</v>
      </c>
      <c r="U3166" s="0" t="str">
        <f aca="false">"051600003014"</f>
        <v>051600003014</v>
      </c>
      <c r="V3166" s="51" t="s">
        <v>2365</v>
      </c>
      <c r="W3166" s="51" t="s">
        <v>4829</v>
      </c>
      <c r="X3166" s="51" t="s">
        <v>2359</v>
      </c>
    </row>
    <row r="3167" customFormat="false" ht="14.25" hidden="true" customHeight="false" outlineLevel="0" collapsed="false">
      <c r="A3167" s="49" t="s">
        <v>2349</v>
      </c>
      <c r="B3167" s="49" t="s">
        <v>2350</v>
      </c>
      <c r="C3167" s="49" t="s">
        <v>6580</v>
      </c>
      <c r="D3167" s="49" t="s">
        <v>2352</v>
      </c>
      <c r="E3167" s="49" t="str">
        <f aca="false">"202187781202"</f>
        <v>202187781202</v>
      </c>
      <c r="F3167" s="49" t="s">
        <v>2386</v>
      </c>
      <c r="G3167" s="49" t="n">
        <v>0</v>
      </c>
      <c r="H3167" s="0" t="n">
        <v>0</v>
      </c>
      <c r="M3167" s="51" t="s">
        <v>2388</v>
      </c>
      <c r="N3167" s="49" t="n">
        <v>0</v>
      </c>
      <c r="O3167" s="53" t="n">
        <v>45755.6081134259</v>
      </c>
      <c r="P3167" s="53" t="n">
        <v>45787.4565972222</v>
      </c>
      <c r="Q3167" s="53" t="n">
        <v>45755.6081134259</v>
      </c>
      <c r="R3167" s="0" t="n">
        <v>0</v>
      </c>
      <c r="S3167" s="51" t="s">
        <v>2380</v>
      </c>
      <c r="T3167" s="51" t="s">
        <v>2380</v>
      </c>
      <c r="U3167" s="0" t="str">
        <f aca="false">"202187781202"</f>
        <v>202187781202</v>
      </c>
      <c r="V3167" s="51" t="s">
        <v>2365</v>
      </c>
      <c r="W3167" s="51" t="s">
        <v>4529</v>
      </c>
      <c r="X3167" s="51" t="s">
        <v>2359</v>
      </c>
    </row>
    <row r="3168" customFormat="false" ht="14.25" hidden="true" customHeight="false" outlineLevel="0" collapsed="false">
      <c r="A3168" s="49" t="s">
        <v>2349</v>
      </c>
      <c r="B3168" s="49" t="s">
        <v>2350</v>
      </c>
      <c r="C3168" s="49" t="s">
        <v>6581</v>
      </c>
      <c r="D3168" s="49" t="s">
        <v>2352</v>
      </c>
      <c r="E3168" s="49" t="str">
        <f aca="false">"202187781202"</f>
        <v>202187781202</v>
      </c>
      <c r="F3168" s="49" t="s">
        <v>2386</v>
      </c>
      <c r="G3168" s="49" t="n">
        <v>0</v>
      </c>
      <c r="H3168" s="0" t="n">
        <v>0</v>
      </c>
      <c r="M3168" s="51" t="s">
        <v>2388</v>
      </c>
      <c r="N3168" s="49" t="n">
        <v>0</v>
      </c>
      <c r="O3168" s="53" t="n">
        <v>45755.61125</v>
      </c>
      <c r="P3168" s="53" t="n">
        <v>45987.7583912037</v>
      </c>
      <c r="Q3168" s="53" t="n">
        <v>45755.61125</v>
      </c>
      <c r="R3168" s="0" t="n">
        <v>0</v>
      </c>
      <c r="S3168" s="51" t="s">
        <v>2380</v>
      </c>
      <c r="T3168" s="51" t="s">
        <v>2380</v>
      </c>
      <c r="U3168" s="0" t="str">
        <f aca="false">"202187781202"</f>
        <v>202187781202</v>
      </c>
      <c r="V3168" s="51" t="s">
        <v>2365</v>
      </c>
      <c r="W3168" s="51" t="s">
        <v>6582</v>
      </c>
      <c r="X3168" s="51" t="s">
        <v>2359</v>
      </c>
    </row>
    <row r="3169" customFormat="false" ht="14.25" hidden="true" customHeight="false" outlineLevel="0" collapsed="false">
      <c r="A3169" s="49" t="s">
        <v>2349</v>
      </c>
      <c r="B3169" s="49" t="s">
        <v>2350</v>
      </c>
      <c r="C3169" s="49" t="s">
        <v>6583</v>
      </c>
      <c r="D3169" s="49" t="s">
        <v>2352</v>
      </c>
      <c r="E3169" s="49" t="str">
        <f aca="false">"202187781202"</f>
        <v>202187781202</v>
      </c>
      <c r="F3169" s="49" t="s">
        <v>2386</v>
      </c>
      <c r="G3169" s="49" t="n">
        <v>0</v>
      </c>
      <c r="H3169" s="0" t="n">
        <v>0</v>
      </c>
      <c r="M3169" s="51" t="s">
        <v>2388</v>
      </c>
      <c r="N3169" s="49" t="n">
        <v>0</v>
      </c>
      <c r="O3169" s="53" t="n">
        <v>45755.6115162037</v>
      </c>
      <c r="P3169" s="53" t="n">
        <v>45895.8490509259</v>
      </c>
      <c r="Q3169" s="53" t="n">
        <v>45755.6115162037</v>
      </c>
      <c r="R3169" s="0" t="n">
        <v>0</v>
      </c>
      <c r="S3169" s="51" t="s">
        <v>2380</v>
      </c>
      <c r="T3169" s="51" t="s">
        <v>2380</v>
      </c>
      <c r="U3169" s="0" t="str">
        <f aca="false">"202187781202"</f>
        <v>202187781202</v>
      </c>
      <c r="V3169" s="51" t="s">
        <v>2365</v>
      </c>
      <c r="W3169" s="51" t="s">
        <v>6004</v>
      </c>
      <c r="X3169" s="51" t="s">
        <v>2359</v>
      </c>
    </row>
    <row r="3170" customFormat="false" ht="14.25" hidden="true" customHeight="false" outlineLevel="0" collapsed="false">
      <c r="A3170" s="49" t="s">
        <v>2349</v>
      </c>
      <c r="B3170" s="49" t="s">
        <v>2350</v>
      </c>
      <c r="C3170" s="49" t="s">
        <v>6584</v>
      </c>
      <c r="D3170" s="49" t="s">
        <v>2352</v>
      </c>
      <c r="E3170" s="49" t="str">
        <f aca="false">"202187781202"</f>
        <v>202187781202</v>
      </c>
      <c r="F3170" s="49" t="s">
        <v>2386</v>
      </c>
      <c r="G3170" s="49" t="n">
        <v>0</v>
      </c>
      <c r="H3170" s="0" t="n">
        <v>0</v>
      </c>
      <c r="M3170" s="51" t="s">
        <v>2388</v>
      </c>
      <c r="N3170" s="49" t="n">
        <v>0</v>
      </c>
      <c r="O3170" s="53" t="n">
        <v>45755.6118055556</v>
      </c>
      <c r="P3170" s="53" t="n">
        <v>45829.449525463</v>
      </c>
      <c r="Q3170" s="53" t="n">
        <v>45755.6118055556</v>
      </c>
      <c r="R3170" s="0" t="n">
        <v>0</v>
      </c>
      <c r="S3170" s="51" t="s">
        <v>2380</v>
      </c>
      <c r="T3170" s="51" t="s">
        <v>2380</v>
      </c>
      <c r="U3170" s="0" t="str">
        <f aca="false">"202187781202"</f>
        <v>202187781202</v>
      </c>
      <c r="V3170" s="51" t="s">
        <v>2365</v>
      </c>
      <c r="W3170" s="51" t="s">
        <v>6196</v>
      </c>
      <c r="X3170" s="51" t="s">
        <v>2359</v>
      </c>
    </row>
    <row r="3171" customFormat="false" ht="14.25" hidden="true" customHeight="false" outlineLevel="0" collapsed="false">
      <c r="A3171" s="49" t="s">
        <v>2349</v>
      </c>
      <c r="B3171" s="49" t="s">
        <v>2350</v>
      </c>
      <c r="C3171" s="49" t="s">
        <v>6585</v>
      </c>
      <c r="D3171" s="49" t="s">
        <v>2352</v>
      </c>
      <c r="E3171" s="49" t="str">
        <f aca="false">"202187781202"</f>
        <v>202187781202</v>
      </c>
      <c r="F3171" s="49" t="s">
        <v>2386</v>
      </c>
      <c r="G3171" s="49" t="n">
        <v>0</v>
      </c>
      <c r="H3171" s="0" t="n">
        <v>0</v>
      </c>
      <c r="M3171" s="51" t="s">
        <v>2388</v>
      </c>
      <c r="N3171" s="49" t="n">
        <v>0</v>
      </c>
      <c r="O3171" s="53" t="n">
        <v>45755.6125925926</v>
      </c>
      <c r="P3171" s="53" t="n">
        <v>45987.7603703704</v>
      </c>
      <c r="Q3171" s="53" t="n">
        <v>45755.6125925926</v>
      </c>
      <c r="R3171" s="0" t="n">
        <v>0</v>
      </c>
      <c r="S3171" s="51" t="s">
        <v>2380</v>
      </c>
      <c r="T3171" s="51" t="s">
        <v>2380</v>
      </c>
      <c r="U3171" s="0" t="str">
        <f aca="false">"202187781202"</f>
        <v>202187781202</v>
      </c>
      <c r="V3171" s="51" t="s">
        <v>2365</v>
      </c>
      <c r="W3171" s="51" t="s">
        <v>6586</v>
      </c>
      <c r="X3171" s="51" t="s">
        <v>2359</v>
      </c>
    </row>
    <row r="3172" customFormat="false" ht="14.25" hidden="true" customHeight="false" outlineLevel="0" collapsed="false">
      <c r="A3172" s="49" t="s">
        <v>2349</v>
      </c>
      <c r="B3172" s="49" t="s">
        <v>2350</v>
      </c>
      <c r="C3172" s="49" t="s">
        <v>6587</v>
      </c>
      <c r="D3172" s="49" t="s">
        <v>2352</v>
      </c>
      <c r="E3172" s="49" t="str">
        <f aca="false">"202187781202"</f>
        <v>202187781202</v>
      </c>
      <c r="F3172" s="49" t="s">
        <v>2386</v>
      </c>
      <c r="G3172" s="49" t="n">
        <v>0</v>
      </c>
      <c r="H3172" s="0" t="n">
        <v>0</v>
      </c>
      <c r="M3172" s="51" t="s">
        <v>2388</v>
      </c>
      <c r="N3172" s="49" t="n">
        <v>0</v>
      </c>
      <c r="O3172" s="53" t="n">
        <v>45755.6130671296</v>
      </c>
      <c r="P3172" s="53" t="n">
        <v>45778.8538773148</v>
      </c>
      <c r="Q3172" s="53" t="n">
        <v>45755.6130671296</v>
      </c>
      <c r="R3172" s="0" t="n">
        <v>0</v>
      </c>
      <c r="S3172" s="51" t="s">
        <v>2380</v>
      </c>
      <c r="T3172" s="51" t="s">
        <v>2380</v>
      </c>
      <c r="U3172" s="0" t="str">
        <f aca="false">"202187781202"</f>
        <v>202187781202</v>
      </c>
      <c r="V3172" s="51" t="s">
        <v>2365</v>
      </c>
      <c r="W3172" s="51" t="s">
        <v>6588</v>
      </c>
      <c r="X3172" s="51" t="s">
        <v>2359</v>
      </c>
    </row>
    <row r="3173" customFormat="false" ht="14.25" hidden="true" customHeight="false" outlineLevel="0" collapsed="false">
      <c r="A3173" s="49" t="s">
        <v>2349</v>
      </c>
      <c r="B3173" s="49" t="s">
        <v>2350</v>
      </c>
      <c r="C3173" s="49" t="s">
        <v>6589</v>
      </c>
      <c r="D3173" s="49" t="s">
        <v>2352</v>
      </c>
      <c r="E3173" s="49" t="str">
        <f aca="false">"202187781202"</f>
        <v>202187781202</v>
      </c>
      <c r="F3173" s="49" t="s">
        <v>2386</v>
      </c>
      <c r="G3173" s="49" t="n">
        <v>0</v>
      </c>
      <c r="H3173" s="0" t="n">
        <v>0</v>
      </c>
      <c r="M3173" s="51" t="s">
        <v>2388</v>
      </c>
      <c r="N3173" s="49" t="n">
        <v>0</v>
      </c>
      <c r="O3173" s="53" t="n">
        <v>45755.6133333333</v>
      </c>
      <c r="P3173" s="53" t="n">
        <v>45827.9016087963</v>
      </c>
      <c r="Q3173" s="53" t="n">
        <v>45755.6133333333</v>
      </c>
      <c r="R3173" s="0" t="n">
        <v>0</v>
      </c>
      <c r="S3173" s="51" t="s">
        <v>2380</v>
      </c>
      <c r="T3173" s="51" t="s">
        <v>2380</v>
      </c>
      <c r="U3173" s="0" t="str">
        <f aca="false">"202187781202"</f>
        <v>202187781202</v>
      </c>
      <c r="V3173" s="51" t="s">
        <v>2365</v>
      </c>
      <c r="W3173" s="51" t="s">
        <v>5291</v>
      </c>
      <c r="X3173" s="51" t="s">
        <v>2359</v>
      </c>
    </row>
    <row r="3174" customFormat="false" ht="14.25" hidden="true" customHeight="false" outlineLevel="0" collapsed="false">
      <c r="A3174" s="49" t="s">
        <v>2349</v>
      </c>
      <c r="B3174" s="49" t="s">
        <v>2350</v>
      </c>
      <c r="C3174" s="49" t="s">
        <v>6590</v>
      </c>
      <c r="D3174" s="49" t="s">
        <v>2352</v>
      </c>
      <c r="E3174" s="49" t="str">
        <f aca="false">"202187781202"</f>
        <v>202187781202</v>
      </c>
      <c r="F3174" s="49" t="s">
        <v>2386</v>
      </c>
      <c r="G3174" s="49" t="n">
        <v>0</v>
      </c>
      <c r="H3174" s="0" t="n">
        <v>0</v>
      </c>
      <c r="M3174" s="51" t="s">
        <v>2388</v>
      </c>
      <c r="N3174" s="49" t="n">
        <v>0</v>
      </c>
      <c r="O3174" s="53" t="n">
        <v>45755.6134953704</v>
      </c>
      <c r="P3174" s="53" t="n">
        <v>45787.4563078704</v>
      </c>
      <c r="Q3174" s="53" t="n">
        <v>45755.6134953704</v>
      </c>
      <c r="R3174" s="0" t="n">
        <v>0</v>
      </c>
      <c r="S3174" s="51" t="s">
        <v>2380</v>
      </c>
      <c r="T3174" s="51" t="s">
        <v>2380</v>
      </c>
      <c r="U3174" s="0" t="str">
        <f aca="false">"202187781202"</f>
        <v>202187781202</v>
      </c>
      <c r="V3174" s="51" t="s">
        <v>2365</v>
      </c>
      <c r="W3174" s="51" t="s">
        <v>6591</v>
      </c>
      <c r="X3174" s="51" t="s">
        <v>2359</v>
      </c>
    </row>
    <row r="3175" customFormat="false" ht="14.25" hidden="true" customHeight="false" outlineLevel="0" collapsed="false">
      <c r="A3175" s="49" t="s">
        <v>2349</v>
      </c>
      <c r="B3175" s="49" t="s">
        <v>2350</v>
      </c>
      <c r="C3175" s="49" t="s">
        <v>6592</v>
      </c>
      <c r="D3175" s="49" t="s">
        <v>2352</v>
      </c>
      <c r="E3175" s="49" t="str">
        <f aca="false">"202187781202"</f>
        <v>202187781202</v>
      </c>
      <c r="F3175" s="49" t="s">
        <v>2386</v>
      </c>
      <c r="G3175" s="49" t="n">
        <v>0</v>
      </c>
      <c r="H3175" s="0" t="n">
        <v>0</v>
      </c>
      <c r="M3175" s="51" t="s">
        <v>2388</v>
      </c>
      <c r="N3175" s="49" t="n">
        <v>0</v>
      </c>
      <c r="O3175" s="53" t="n">
        <v>45755.6138078704</v>
      </c>
      <c r="P3175" s="53" t="n">
        <v>45829.4472685185</v>
      </c>
      <c r="Q3175" s="53" t="n">
        <v>45755.6138078704</v>
      </c>
      <c r="R3175" s="0" t="n">
        <v>0</v>
      </c>
      <c r="S3175" s="51" t="s">
        <v>2380</v>
      </c>
      <c r="T3175" s="51" t="s">
        <v>2380</v>
      </c>
      <c r="U3175" s="0" t="str">
        <f aca="false">"202187781202"</f>
        <v>202187781202</v>
      </c>
      <c r="V3175" s="51" t="s">
        <v>2365</v>
      </c>
      <c r="W3175" s="51" t="s">
        <v>6593</v>
      </c>
      <c r="X3175" s="51" t="s">
        <v>2359</v>
      </c>
    </row>
    <row r="3176" customFormat="false" ht="14.25" hidden="true" customHeight="false" outlineLevel="0" collapsed="false">
      <c r="A3176" s="49" t="s">
        <v>2349</v>
      </c>
      <c r="B3176" s="49" t="s">
        <v>2350</v>
      </c>
      <c r="C3176" s="49" t="s">
        <v>6594</v>
      </c>
      <c r="D3176" s="49" t="s">
        <v>2352</v>
      </c>
      <c r="E3176" s="49" t="str">
        <f aca="false">"202187781202"</f>
        <v>202187781202</v>
      </c>
      <c r="F3176" s="49" t="s">
        <v>2386</v>
      </c>
      <c r="G3176" s="49" t="n">
        <v>0</v>
      </c>
      <c r="H3176" s="0" t="n">
        <v>0</v>
      </c>
      <c r="M3176" s="51" t="s">
        <v>2388</v>
      </c>
      <c r="N3176" s="49" t="n">
        <v>0</v>
      </c>
      <c r="O3176" s="53" t="n">
        <v>45755.610150463</v>
      </c>
      <c r="P3176" s="53" t="n">
        <v>45778.8516435185</v>
      </c>
      <c r="Q3176" s="53" t="n">
        <v>45755.610150463</v>
      </c>
      <c r="R3176" s="0" t="n">
        <v>0</v>
      </c>
      <c r="S3176" s="51" t="s">
        <v>2380</v>
      </c>
      <c r="T3176" s="51" t="s">
        <v>2380</v>
      </c>
      <c r="U3176" s="0" t="str">
        <f aca="false">"202187781202"</f>
        <v>202187781202</v>
      </c>
      <c r="V3176" s="51" t="s">
        <v>2365</v>
      </c>
      <c r="W3176" s="51" t="s">
        <v>6595</v>
      </c>
      <c r="X3176" s="51" t="s">
        <v>2359</v>
      </c>
    </row>
    <row r="3177" customFormat="false" ht="14.25" hidden="true" customHeight="false" outlineLevel="0" collapsed="false">
      <c r="A3177" s="49" t="s">
        <v>2349</v>
      </c>
      <c r="B3177" s="49" t="s">
        <v>2350</v>
      </c>
      <c r="C3177" s="49" t="s">
        <v>6596</v>
      </c>
      <c r="D3177" s="49" t="s">
        <v>2352</v>
      </c>
      <c r="E3177" s="49" t="str">
        <f aca="false">"202187781202"</f>
        <v>202187781202</v>
      </c>
      <c r="F3177" s="49" t="s">
        <v>2386</v>
      </c>
      <c r="G3177" s="49" t="n">
        <v>0</v>
      </c>
      <c r="H3177" s="0" t="n">
        <v>0</v>
      </c>
      <c r="M3177" s="51" t="s">
        <v>2388</v>
      </c>
      <c r="N3177" s="49" t="n">
        <v>0</v>
      </c>
      <c r="O3177" s="53" t="n">
        <v>45755.609837963</v>
      </c>
      <c r="P3177" s="53" t="n">
        <v>45895.8484953704</v>
      </c>
      <c r="Q3177" s="53" t="n">
        <v>45755.609837963</v>
      </c>
      <c r="R3177" s="0" t="n">
        <v>0</v>
      </c>
      <c r="S3177" s="51" t="s">
        <v>2380</v>
      </c>
      <c r="T3177" s="51" t="s">
        <v>2380</v>
      </c>
      <c r="U3177" s="0" t="str">
        <f aca="false">"202187781202"</f>
        <v>202187781202</v>
      </c>
      <c r="V3177" s="51" t="s">
        <v>2365</v>
      </c>
      <c r="W3177" s="51" t="s">
        <v>6597</v>
      </c>
      <c r="X3177" s="51" t="s">
        <v>2359</v>
      </c>
    </row>
    <row r="3178" customFormat="false" ht="14.25" hidden="true" customHeight="false" outlineLevel="0" collapsed="false">
      <c r="A3178" s="49" t="s">
        <v>2349</v>
      </c>
      <c r="B3178" s="49" t="s">
        <v>2350</v>
      </c>
      <c r="C3178" s="49" t="s">
        <v>6598</v>
      </c>
      <c r="D3178" s="49" t="s">
        <v>2352</v>
      </c>
      <c r="E3178" s="49" t="str">
        <f aca="false">"202187781202"</f>
        <v>202187781202</v>
      </c>
      <c r="F3178" s="49" t="s">
        <v>2386</v>
      </c>
      <c r="G3178" s="49" t="n">
        <v>0</v>
      </c>
      <c r="H3178" s="0" t="n">
        <v>0</v>
      </c>
      <c r="M3178" s="51" t="s">
        <v>2388</v>
      </c>
      <c r="N3178" s="49" t="n">
        <v>0</v>
      </c>
      <c r="O3178" s="53" t="n">
        <v>45755.6094097222</v>
      </c>
      <c r="P3178" s="53" t="n">
        <v>45901.3925231482</v>
      </c>
      <c r="Q3178" s="53" t="n">
        <v>45755.6094097222</v>
      </c>
      <c r="R3178" s="0" t="n">
        <v>0</v>
      </c>
      <c r="S3178" s="51" t="s">
        <v>2380</v>
      </c>
      <c r="T3178" s="51" t="s">
        <v>2380</v>
      </c>
      <c r="U3178" s="0" t="str">
        <f aca="false">"202187781202"</f>
        <v>202187781202</v>
      </c>
      <c r="V3178" s="51" t="s">
        <v>2365</v>
      </c>
      <c r="W3178" s="51" t="s">
        <v>5532</v>
      </c>
      <c r="X3178" s="51" t="s">
        <v>2359</v>
      </c>
    </row>
    <row r="3179" customFormat="false" ht="14.25" hidden="true" customHeight="false" outlineLevel="0" collapsed="false">
      <c r="A3179" s="49" t="s">
        <v>2349</v>
      </c>
      <c r="B3179" s="49" t="s">
        <v>2350</v>
      </c>
      <c r="C3179" s="49" t="s">
        <v>6599</v>
      </c>
      <c r="D3179" s="49" t="s">
        <v>2352</v>
      </c>
      <c r="E3179" s="49" t="str">
        <f aca="false">"202187781202"</f>
        <v>202187781202</v>
      </c>
      <c r="F3179" s="49" t="s">
        <v>2386</v>
      </c>
      <c r="G3179" s="49" t="n">
        <v>0</v>
      </c>
      <c r="H3179" s="0" t="n">
        <v>0</v>
      </c>
      <c r="M3179" s="51" t="s">
        <v>2388</v>
      </c>
      <c r="N3179" s="49" t="n">
        <v>0</v>
      </c>
      <c r="O3179" s="53" t="n">
        <v>45755.6090625</v>
      </c>
      <c r="P3179" s="53" t="n">
        <v>45987.7513773148</v>
      </c>
      <c r="Q3179" s="53" t="n">
        <v>45755.6090625</v>
      </c>
      <c r="R3179" s="0" t="n">
        <v>0</v>
      </c>
      <c r="S3179" s="51" t="s">
        <v>2380</v>
      </c>
      <c r="T3179" s="51" t="s">
        <v>2380</v>
      </c>
      <c r="U3179" s="0" t="str">
        <f aca="false">"202187781202"</f>
        <v>202187781202</v>
      </c>
      <c r="V3179" s="51" t="s">
        <v>2365</v>
      </c>
      <c r="W3179" s="51" t="s">
        <v>3921</v>
      </c>
      <c r="X3179" s="51" t="s">
        <v>2359</v>
      </c>
    </row>
    <row r="3180" customFormat="false" ht="14.25" hidden="true" customHeight="false" outlineLevel="0" collapsed="false">
      <c r="A3180" s="49" t="s">
        <v>2349</v>
      </c>
      <c r="B3180" s="49" t="s">
        <v>2350</v>
      </c>
      <c r="C3180" s="49" t="s">
        <v>6600</v>
      </c>
      <c r="D3180" s="49" t="s">
        <v>2352</v>
      </c>
      <c r="E3180" s="49" t="str">
        <f aca="false">"202187781202"</f>
        <v>202187781202</v>
      </c>
      <c r="F3180" s="49" t="s">
        <v>2386</v>
      </c>
      <c r="G3180" s="49" t="n">
        <v>0</v>
      </c>
      <c r="H3180" s="0" t="n">
        <v>0</v>
      </c>
      <c r="M3180" s="51" t="s">
        <v>2388</v>
      </c>
      <c r="N3180" s="49" t="n">
        <v>0</v>
      </c>
      <c r="O3180" s="53" t="n">
        <v>45755.6084606481</v>
      </c>
      <c r="P3180" s="53" t="n">
        <v>45778.8442476852</v>
      </c>
      <c r="Q3180" s="53" t="n">
        <v>45755.6084606481</v>
      </c>
      <c r="R3180" s="0" t="n">
        <v>0</v>
      </c>
      <c r="S3180" s="51" t="s">
        <v>2380</v>
      </c>
      <c r="T3180" s="51" t="s">
        <v>2380</v>
      </c>
      <c r="U3180" s="0" t="str">
        <f aca="false">"202187781202"</f>
        <v>202187781202</v>
      </c>
      <c r="V3180" s="51" t="s">
        <v>2365</v>
      </c>
      <c r="W3180" s="51" t="s">
        <v>6304</v>
      </c>
      <c r="X3180" s="51" t="s">
        <v>2359</v>
      </c>
    </row>
    <row r="3181" customFormat="false" ht="14.25" hidden="true" customHeight="false" outlineLevel="0" collapsed="false">
      <c r="A3181" s="49" t="s">
        <v>2349</v>
      </c>
      <c r="B3181" s="49" t="s">
        <v>2350</v>
      </c>
      <c r="C3181" s="49" t="s">
        <v>6601</v>
      </c>
      <c r="D3181" s="49" t="s">
        <v>2352</v>
      </c>
      <c r="E3181" s="49" t="str">
        <f aca="false">"8908020441070"</f>
        <v>8908020441070</v>
      </c>
      <c r="F3181" s="49" t="s">
        <v>5404</v>
      </c>
      <c r="G3181" s="49" t="n">
        <v>0</v>
      </c>
      <c r="H3181" s="0" t="n">
        <v>0</v>
      </c>
      <c r="M3181" s="51" t="s">
        <v>6602</v>
      </c>
      <c r="N3181" s="49" t="n">
        <v>0</v>
      </c>
      <c r="O3181" s="53" t="n">
        <v>45759.3105671296</v>
      </c>
      <c r="P3181" s="53" t="n">
        <v>45774.5844444444</v>
      </c>
      <c r="Q3181" s="53" t="n">
        <v>45759.3105671296</v>
      </c>
      <c r="R3181" s="0" t="n">
        <v>0</v>
      </c>
      <c r="S3181" s="51" t="s">
        <v>2356</v>
      </c>
      <c r="T3181" s="51" t="s">
        <v>2356</v>
      </c>
      <c r="U3181" s="0" t="str">
        <f aca="false">"8908020441070"</f>
        <v>8908020441070</v>
      </c>
      <c r="V3181" s="51" t="s">
        <v>5386</v>
      </c>
      <c r="W3181" s="51" t="s">
        <v>6603</v>
      </c>
      <c r="X3181" s="51" t="s">
        <v>2359</v>
      </c>
    </row>
    <row r="3182" customFormat="false" ht="14.25" hidden="true" customHeight="false" outlineLevel="0" collapsed="false">
      <c r="A3182" s="49" t="s">
        <v>2349</v>
      </c>
      <c r="B3182" s="49" t="s">
        <v>2350</v>
      </c>
      <c r="C3182" s="49" t="s">
        <v>6604</v>
      </c>
      <c r="D3182" s="49" t="s">
        <v>2352</v>
      </c>
      <c r="E3182" s="49" t="s">
        <v>4148</v>
      </c>
      <c r="F3182" s="49" t="s">
        <v>4149</v>
      </c>
      <c r="G3182" s="49" t="n">
        <v>0</v>
      </c>
      <c r="H3182" s="0" t="n">
        <v>0</v>
      </c>
      <c r="M3182" s="51" t="s">
        <v>6602</v>
      </c>
      <c r="N3182" s="49" t="n">
        <v>0</v>
      </c>
      <c r="O3182" s="53" t="n">
        <v>45759.3103703704</v>
      </c>
      <c r="P3182" s="53" t="n">
        <v>45760.5407060185</v>
      </c>
      <c r="Q3182" s="53" t="n">
        <v>45759.3103703704</v>
      </c>
      <c r="R3182" s="0" t="n">
        <v>0</v>
      </c>
      <c r="S3182" s="51" t="s">
        <v>2356</v>
      </c>
      <c r="T3182" s="51" t="s">
        <v>2356</v>
      </c>
      <c r="U3182" s="51" t="s">
        <v>4148</v>
      </c>
      <c r="V3182" s="51" t="s">
        <v>2365</v>
      </c>
      <c r="W3182" s="51" t="s">
        <v>3749</v>
      </c>
      <c r="X3182" s="51" t="s">
        <v>2359</v>
      </c>
    </row>
    <row r="3183" customFormat="false" ht="14.25" hidden="true" customHeight="false" outlineLevel="0" collapsed="false">
      <c r="A3183" s="49" t="s">
        <v>2349</v>
      </c>
      <c r="B3183" s="49" t="s">
        <v>2350</v>
      </c>
      <c r="C3183" s="49" t="s">
        <v>6605</v>
      </c>
      <c r="D3183" s="49" t="s">
        <v>2352</v>
      </c>
      <c r="E3183" s="49" t="s">
        <v>4166</v>
      </c>
      <c r="F3183" s="49" t="s">
        <v>4167</v>
      </c>
      <c r="G3183" s="49" t="n">
        <v>0</v>
      </c>
      <c r="H3183" s="0" t="n">
        <v>0</v>
      </c>
      <c r="M3183" s="51" t="s">
        <v>6606</v>
      </c>
      <c r="N3183" s="49" t="n">
        <v>0</v>
      </c>
      <c r="O3183" s="53" t="n">
        <v>45761.6232407407</v>
      </c>
      <c r="P3183" s="53" t="n">
        <v>45762.6188310185</v>
      </c>
      <c r="Q3183" s="53" t="n">
        <v>45761.6232407407</v>
      </c>
      <c r="R3183" s="0" t="n">
        <v>0</v>
      </c>
      <c r="S3183" s="51" t="s">
        <v>6607</v>
      </c>
      <c r="T3183" s="51" t="s">
        <v>6607</v>
      </c>
      <c r="U3183" s="51" t="s">
        <v>4166</v>
      </c>
      <c r="V3183" s="51" t="s">
        <v>2365</v>
      </c>
      <c r="W3183" s="51" t="s">
        <v>6608</v>
      </c>
      <c r="X3183" s="51" t="s">
        <v>2359</v>
      </c>
    </row>
    <row r="3184" customFormat="false" ht="14.25" hidden="true" customHeight="false" outlineLevel="0" collapsed="false">
      <c r="A3184" s="49" t="s">
        <v>2349</v>
      </c>
      <c r="B3184" s="49" t="s">
        <v>2350</v>
      </c>
      <c r="C3184" s="49" t="s">
        <v>6609</v>
      </c>
      <c r="D3184" s="49" t="s">
        <v>2352</v>
      </c>
      <c r="E3184" s="49" t="s">
        <v>4166</v>
      </c>
      <c r="F3184" s="49" t="s">
        <v>4167</v>
      </c>
      <c r="G3184" s="49" t="n">
        <v>0</v>
      </c>
      <c r="H3184" s="0" t="n">
        <v>0</v>
      </c>
      <c r="M3184" s="51" t="s">
        <v>6606</v>
      </c>
      <c r="N3184" s="49" t="n">
        <v>0</v>
      </c>
      <c r="O3184" s="53" t="n">
        <v>45761.6232407407</v>
      </c>
      <c r="P3184" s="53" t="n">
        <v>45762.61875</v>
      </c>
      <c r="Q3184" s="53" t="n">
        <v>45761.6232407407</v>
      </c>
      <c r="R3184" s="0" t="n">
        <v>0</v>
      </c>
      <c r="S3184" s="51" t="s">
        <v>6607</v>
      </c>
      <c r="T3184" s="51" t="s">
        <v>6607</v>
      </c>
      <c r="U3184" s="51" t="s">
        <v>4166</v>
      </c>
      <c r="V3184" s="51" t="s">
        <v>2365</v>
      </c>
      <c r="W3184" s="51" t="s">
        <v>3760</v>
      </c>
      <c r="X3184" s="51" t="s">
        <v>2359</v>
      </c>
    </row>
    <row r="3185" customFormat="false" ht="14.25" hidden="true" customHeight="false" outlineLevel="0" collapsed="false">
      <c r="A3185" s="49" t="s">
        <v>2349</v>
      </c>
      <c r="B3185" s="49" t="s">
        <v>2350</v>
      </c>
      <c r="C3185" s="49" t="s">
        <v>6610</v>
      </c>
      <c r="D3185" s="49" t="s">
        <v>2352</v>
      </c>
      <c r="E3185" s="49" t="s">
        <v>4166</v>
      </c>
      <c r="F3185" s="49" t="s">
        <v>4167</v>
      </c>
      <c r="G3185" s="49" t="n">
        <v>0</v>
      </c>
      <c r="H3185" s="0" t="n">
        <v>0</v>
      </c>
      <c r="M3185" s="51" t="s">
        <v>6606</v>
      </c>
      <c r="N3185" s="49" t="n">
        <v>0</v>
      </c>
      <c r="O3185" s="53" t="n">
        <v>45761.6232407407</v>
      </c>
      <c r="P3185" s="53" t="n">
        <v>45762.6187037037</v>
      </c>
      <c r="Q3185" s="53" t="n">
        <v>45761.6232407407</v>
      </c>
      <c r="R3185" s="0" t="n">
        <v>0</v>
      </c>
      <c r="S3185" s="51" t="s">
        <v>6607</v>
      </c>
      <c r="T3185" s="51" t="s">
        <v>6607</v>
      </c>
      <c r="U3185" s="51" t="s">
        <v>4166</v>
      </c>
      <c r="V3185" s="51" t="s">
        <v>2365</v>
      </c>
      <c r="W3185" s="51" t="s">
        <v>6468</v>
      </c>
      <c r="X3185" s="51" t="s">
        <v>2359</v>
      </c>
    </row>
    <row r="3186" customFormat="false" ht="14.25" hidden="true" customHeight="false" outlineLevel="0" collapsed="false">
      <c r="A3186" s="49" t="s">
        <v>2349</v>
      </c>
      <c r="B3186" s="49" t="s">
        <v>2350</v>
      </c>
      <c r="C3186" s="49" t="s">
        <v>6611</v>
      </c>
      <c r="D3186" s="49" t="s">
        <v>2352</v>
      </c>
      <c r="E3186" s="49" t="s">
        <v>4166</v>
      </c>
      <c r="F3186" s="49" t="s">
        <v>4167</v>
      </c>
      <c r="G3186" s="49" t="n">
        <v>0</v>
      </c>
      <c r="H3186" s="0" t="n">
        <v>0</v>
      </c>
      <c r="M3186" s="51" t="s">
        <v>6606</v>
      </c>
      <c r="N3186" s="49" t="n">
        <v>0</v>
      </c>
      <c r="O3186" s="53" t="n">
        <v>45761.6232523148</v>
      </c>
      <c r="P3186" s="53" t="n">
        <v>45762.6186458333</v>
      </c>
      <c r="Q3186" s="53" t="n">
        <v>45761.6232523148</v>
      </c>
      <c r="R3186" s="0" t="n">
        <v>0</v>
      </c>
      <c r="S3186" s="51" t="s">
        <v>6607</v>
      </c>
      <c r="T3186" s="51" t="s">
        <v>6607</v>
      </c>
      <c r="U3186" s="51" t="s">
        <v>4166</v>
      </c>
      <c r="V3186" s="51" t="s">
        <v>2365</v>
      </c>
      <c r="W3186" s="51" t="s">
        <v>6470</v>
      </c>
      <c r="X3186" s="51" t="s">
        <v>2359</v>
      </c>
    </row>
    <row r="3187" customFormat="false" ht="14.25" hidden="true" customHeight="false" outlineLevel="0" collapsed="false">
      <c r="A3187" s="49" t="s">
        <v>2349</v>
      </c>
      <c r="B3187" s="49" t="s">
        <v>2350</v>
      </c>
      <c r="C3187" s="49" t="s">
        <v>6612</v>
      </c>
      <c r="D3187" s="49" t="s">
        <v>2352</v>
      </c>
      <c r="E3187" s="49" t="s">
        <v>4166</v>
      </c>
      <c r="F3187" s="49" t="s">
        <v>4167</v>
      </c>
      <c r="G3187" s="49" t="n">
        <v>0</v>
      </c>
      <c r="H3187" s="0" t="n">
        <v>0</v>
      </c>
      <c r="M3187" s="51" t="s">
        <v>6606</v>
      </c>
      <c r="N3187" s="49" t="n">
        <v>0</v>
      </c>
      <c r="O3187" s="53" t="n">
        <v>45761.6232638889</v>
      </c>
      <c r="P3187" s="53" t="n">
        <v>45762.618587963</v>
      </c>
      <c r="Q3187" s="53" t="n">
        <v>45761.6232638889</v>
      </c>
      <c r="R3187" s="0" t="n">
        <v>0</v>
      </c>
      <c r="S3187" s="51" t="s">
        <v>6607</v>
      </c>
      <c r="T3187" s="51" t="s">
        <v>6607</v>
      </c>
      <c r="U3187" s="51" t="s">
        <v>4166</v>
      </c>
      <c r="V3187" s="51" t="s">
        <v>2365</v>
      </c>
      <c r="W3187" s="51" t="s">
        <v>6472</v>
      </c>
      <c r="X3187" s="51" t="s">
        <v>2359</v>
      </c>
    </row>
    <row r="3188" customFormat="false" ht="14.25" hidden="true" customHeight="false" outlineLevel="0" collapsed="false">
      <c r="A3188" s="49" t="s">
        <v>2349</v>
      </c>
      <c r="B3188" s="49" t="s">
        <v>2350</v>
      </c>
      <c r="C3188" s="49" t="s">
        <v>6613</v>
      </c>
      <c r="D3188" s="49" t="s">
        <v>2352</v>
      </c>
      <c r="E3188" s="49" t="s">
        <v>4166</v>
      </c>
      <c r="F3188" s="49" t="s">
        <v>4167</v>
      </c>
      <c r="G3188" s="49" t="n">
        <v>0</v>
      </c>
      <c r="H3188" s="0" t="n">
        <v>0</v>
      </c>
      <c r="M3188" s="51" t="s">
        <v>6606</v>
      </c>
      <c r="N3188" s="49" t="n">
        <v>0</v>
      </c>
      <c r="O3188" s="53" t="n">
        <v>45761.6232638889</v>
      </c>
      <c r="P3188" s="53" t="n">
        <v>45762.6185069445</v>
      </c>
      <c r="Q3188" s="53" t="n">
        <v>45761.6232638889</v>
      </c>
      <c r="R3188" s="0" t="n">
        <v>0</v>
      </c>
      <c r="S3188" s="51" t="s">
        <v>6607</v>
      </c>
      <c r="T3188" s="51" t="s">
        <v>6607</v>
      </c>
      <c r="U3188" s="51" t="s">
        <v>4166</v>
      </c>
      <c r="V3188" s="51" t="s">
        <v>2365</v>
      </c>
      <c r="W3188" s="51" t="s">
        <v>5412</v>
      </c>
      <c r="X3188" s="51" t="s">
        <v>2359</v>
      </c>
    </row>
    <row r="3189" customFormat="false" ht="14.25" hidden="true" customHeight="false" outlineLevel="0" collapsed="false">
      <c r="A3189" s="49" t="s">
        <v>2349</v>
      </c>
      <c r="B3189" s="49" t="s">
        <v>2350</v>
      </c>
      <c r="C3189" s="49" t="s">
        <v>6614</v>
      </c>
      <c r="D3189" s="49" t="s">
        <v>2352</v>
      </c>
      <c r="E3189" s="49" t="s">
        <v>4166</v>
      </c>
      <c r="F3189" s="49" t="s">
        <v>4167</v>
      </c>
      <c r="G3189" s="49" t="n">
        <v>0</v>
      </c>
      <c r="H3189" s="0" t="n">
        <v>0</v>
      </c>
      <c r="M3189" s="51" t="s">
        <v>6606</v>
      </c>
      <c r="N3189" s="49" t="n">
        <v>0</v>
      </c>
      <c r="O3189" s="53" t="n">
        <v>45761.6232638889</v>
      </c>
      <c r="P3189" s="53" t="n">
        <v>45762.6183217593</v>
      </c>
      <c r="Q3189" s="53" t="n">
        <v>45761.6232638889</v>
      </c>
      <c r="R3189" s="0" t="n">
        <v>0</v>
      </c>
      <c r="S3189" s="51" t="s">
        <v>6607</v>
      </c>
      <c r="T3189" s="51" t="s">
        <v>6607</v>
      </c>
      <c r="U3189" s="51" t="s">
        <v>4166</v>
      </c>
      <c r="V3189" s="51" t="s">
        <v>2365</v>
      </c>
      <c r="W3189" s="51" t="s">
        <v>6476</v>
      </c>
      <c r="X3189" s="51" t="s">
        <v>2359</v>
      </c>
    </row>
    <row r="3190" customFormat="false" ht="14.25" hidden="true" customHeight="false" outlineLevel="0" collapsed="false">
      <c r="A3190" s="49" t="s">
        <v>2349</v>
      </c>
      <c r="B3190" s="49" t="s">
        <v>2350</v>
      </c>
      <c r="C3190" s="49" t="s">
        <v>6615</v>
      </c>
      <c r="D3190" s="49" t="s">
        <v>2352</v>
      </c>
      <c r="E3190" s="49" t="s">
        <v>4166</v>
      </c>
      <c r="F3190" s="49" t="s">
        <v>4167</v>
      </c>
      <c r="G3190" s="49" t="n">
        <v>0</v>
      </c>
      <c r="H3190" s="0" t="n">
        <v>0</v>
      </c>
      <c r="M3190" s="51" t="s">
        <v>6606</v>
      </c>
      <c r="N3190" s="49" t="n">
        <v>0</v>
      </c>
      <c r="O3190" s="53" t="n">
        <v>45761.623275463</v>
      </c>
      <c r="P3190" s="53" t="n">
        <v>45764.7779050926</v>
      </c>
      <c r="Q3190" s="53" t="n">
        <v>45761.623275463</v>
      </c>
      <c r="R3190" s="0" t="n">
        <v>0</v>
      </c>
      <c r="S3190" s="51" t="s">
        <v>6607</v>
      </c>
      <c r="T3190" s="51" t="s">
        <v>6607</v>
      </c>
      <c r="U3190" s="51" t="s">
        <v>4166</v>
      </c>
      <c r="V3190" s="51" t="s">
        <v>2365</v>
      </c>
      <c r="W3190" s="51" t="s">
        <v>6616</v>
      </c>
      <c r="X3190" s="51" t="s">
        <v>2359</v>
      </c>
    </row>
    <row r="3191" customFormat="false" ht="14.25" hidden="true" customHeight="false" outlineLevel="0" collapsed="false">
      <c r="A3191" s="49" t="s">
        <v>2349</v>
      </c>
      <c r="B3191" s="49" t="s">
        <v>2350</v>
      </c>
      <c r="C3191" s="49" t="s">
        <v>6617</v>
      </c>
      <c r="D3191" s="49" t="s">
        <v>2352</v>
      </c>
      <c r="E3191" s="49" t="s">
        <v>4166</v>
      </c>
      <c r="F3191" s="49" t="s">
        <v>4167</v>
      </c>
      <c r="G3191" s="49" t="n">
        <v>0</v>
      </c>
      <c r="H3191" s="0" t="n">
        <v>0</v>
      </c>
      <c r="M3191" s="51" t="s">
        <v>6606</v>
      </c>
      <c r="N3191" s="49" t="n">
        <v>0</v>
      </c>
      <c r="O3191" s="53" t="n">
        <v>45761.623275463</v>
      </c>
      <c r="P3191" s="53" t="n">
        <v>45762.6199768519</v>
      </c>
      <c r="Q3191" s="53" t="n">
        <v>45761.623275463</v>
      </c>
      <c r="R3191" s="0" t="n">
        <v>0</v>
      </c>
      <c r="S3191" s="51" t="s">
        <v>6607</v>
      </c>
      <c r="T3191" s="51" t="s">
        <v>6607</v>
      </c>
      <c r="U3191" s="51" t="s">
        <v>4166</v>
      </c>
      <c r="V3191" s="51" t="s">
        <v>2365</v>
      </c>
      <c r="W3191" s="51" t="s">
        <v>6618</v>
      </c>
      <c r="X3191" s="51" t="s">
        <v>2359</v>
      </c>
    </row>
    <row r="3192" customFormat="false" ht="14.25" hidden="true" customHeight="false" outlineLevel="0" collapsed="false">
      <c r="A3192" s="49" t="s">
        <v>2349</v>
      </c>
      <c r="B3192" s="49" t="s">
        <v>2350</v>
      </c>
      <c r="C3192" s="49" t="s">
        <v>6619</v>
      </c>
      <c r="D3192" s="49" t="s">
        <v>2352</v>
      </c>
      <c r="E3192" s="49" t="s">
        <v>4166</v>
      </c>
      <c r="F3192" s="49" t="s">
        <v>4167</v>
      </c>
      <c r="G3192" s="49" t="n">
        <v>0</v>
      </c>
      <c r="H3192" s="0" t="n">
        <v>0</v>
      </c>
      <c r="M3192" s="51" t="s">
        <v>6606</v>
      </c>
      <c r="N3192" s="49" t="n">
        <v>0</v>
      </c>
      <c r="O3192" s="53" t="n">
        <v>45761.623275463</v>
      </c>
      <c r="P3192" s="53" t="n">
        <v>45762.6190162037</v>
      </c>
      <c r="Q3192" s="53" t="n">
        <v>45761.623275463</v>
      </c>
      <c r="R3192" s="0" t="n">
        <v>0</v>
      </c>
      <c r="S3192" s="51" t="s">
        <v>6607</v>
      </c>
      <c r="T3192" s="51" t="s">
        <v>6607</v>
      </c>
      <c r="U3192" s="51" t="s">
        <v>4166</v>
      </c>
      <c r="V3192" s="51" t="s">
        <v>2365</v>
      </c>
      <c r="W3192" s="51" t="s">
        <v>5566</v>
      </c>
      <c r="X3192" s="51" t="s">
        <v>2359</v>
      </c>
    </row>
    <row r="3193" customFormat="false" ht="14.25" hidden="true" customHeight="false" outlineLevel="0" collapsed="false">
      <c r="A3193" s="49" t="s">
        <v>2349</v>
      </c>
      <c r="B3193" s="49" t="s">
        <v>2350</v>
      </c>
      <c r="C3193" s="49" t="s">
        <v>6620</v>
      </c>
      <c r="D3193" s="49" t="s">
        <v>2352</v>
      </c>
      <c r="E3193" s="49" t="s">
        <v>4166</v>
      </c>
      <c r="F3193" s="49" t="s">
        <v>4167</v>
      </c>
      <c r="G3193" s="49" t="n">
        <v>0</v>
      </c>
      <c r="H3193" s="0" t="n">
        <v>0</v>
      </c>
      <c r="M3193" s="51" t="s">
        <v>6606</v>
      </c>
      <c r="N3193" s="49" t="n">
        <v>0</v>
      </c>
      <c r="O3193" s="53" t="n">
        <v>45761.623275463</v>
      </c>
      <c r="P3193" s="53" t="n">
        <v>45768.6568055556</v>
      </c>
      <c r="Q3193" s="53" t="n">
        <v>45761.623275463</v>
      </c>
      <c r="R3193" s="0" t="n">
        <v>0</v>
      </c>
      <c r="S3193" s="51" t="s">
        <v>6607</v>
      </c>
      <c r="T3193" s="51" t="s">
        <v>6607</v>
      </c>
      <c r="U3193" s="51" t="s">
        <v>4166</v>
      </c>
      <c r="V3193" s="51" t="s">
        <v>2365</v>
      </c>
      <c r="W3193" s="51" t="s">
        <v>6621</v>
      </c>
      <c r="X3193" s="51" t="s">
        <v>2359</v>
      </c>
    </row>
    <row r="3194" customFormat="false" ht="14.25" hidden="true" customHeight="false" outlineLevel="0" collapsed="false">
      <c r="A3194" s="49" t="s">
        <v>2349</v>
      </c>
      <c r="B3194" s="49" t="s">
        <v>2350</v>
      </c>
      <c r="C3194" s="49" t="s">
        <v>6622</v>
      </c>
      <c r="D3194" s="49" t="s">
        <v>2352</v>
      </c>
      <c r="E3194" s="49" t="s">
        <v>4166</v>
      </c>
      <c r="F3194" s="49" t="s">
        <v>4167</v>
      </c>
      <c r="G3194" s="49" t="n">
        <v>0</v>
      </c>
      <c r="H3194" s="0" t="n">
        <v>0</v>
      </c>
      <c r="M3194" s="51" t="s">
        <v>6606</v>
      </c>
      <c r="N3194" s="49" t="n">
        <v>0</v>
      </c>
      <c r="O3194" s="53" t="n">
        <v>45761.623287037</v>
      </c>
      <c r="P3194" s="53" t="n">
        <v>45768.6571643519</v>
      </c>
      <c r="Q3194" s="53" t="n">
        <v>45761.623287037</v>
      </c>
      <c r="R3194" s="0" t="n">
        <v>0</v>
      </c>
      <c r="S3194" s="51" t="s">
        <v>6607</v>
      </c>
      <c r="T3194" s="51" t="s">
        <v>6607</v>
      </c>
      <c r="U3194" s="51" t="s">
        <v>4166</v>
      </c>
      <c r="V3194" s="51" t="s">
        <v>2365</v>
      </c>
      <c r="W3194" s="51" t="s">
        <v>6623</v>
      </c>
      <c r="X3194" s="51" t="s">
        <v>2359</v>
      </c>
    </row>
    <row r="3195" customFormat="false" ht="14.25" hidden="true" customHeight="false" outlineLevel="0" collapsed="false">
      <c r="A3195" s="49" t="s">
        <v>2349</v>
      </c>
      <c r="B3195" s="49" t="s">
        <v>2350</v>
      </c>
      <c r="C3195" s="49" t="s">
        <v>6624</v>
      </c>
      <c r="D3195" s="49" t="s">
        <v>2352</v>
      </c>
      <c r="E3195" s="49" t="s">
        <v>4166</v>
      </c>
      <c r="F3195" s="49" t="s">
        <v>4167</v>
      </c>
      <c r="G3195" s="49" t="n">
        <v>0</v>
      </c>
      <c r="H3195" s="0" t="n">
        <v>0</v>
      </c>
      <c r="M3195" s="51" t="s">
        <v>6606</v>
      </c>
      <c r="N3195" s="49" t="n">
        <v>0</v>
      </c>
      <c r="O3195" s="53" t="n">
        <v>45761.623287037</v>
      </c>
      <c r="P3195" s="53" t="n">
        <v>45768.6574189815</v>
      </c>
      <c r="Q3195" s="53" t="n">
        <v>45761.623287037</v>
      </c>
      <c r="R3195" s="0" t="n">
        <v>0</v>
      </c>
      <c r="S3195" s="51" t="s">
        <v>6607</v>
      </c>
      <c r="T3195" s="51" t="s">
        <v>6607</v>
      </c>
      <c r="U3195" s="51" t="s">
        <v>4166</v>
      </c>
      <c r="V3195" s="51" t="s">
        <v>2365</v>
      </c>
      <c r="W3195" s="51" t="s">
        <v>6625</v>
      </c>
      <c r="X3195" s="51" t="s">
        <v>2359</v>
      </c>
    </row>
    <row r="3196" customFormat="false" ht="14.25" hidden="true" customHeight="false" outlineLevel="0" collapsed="false">
      <c r="A3196" s="49" t="s">
        <v>2349</v>
      </c>
      <c r="B3196" s="49" t="s">
        <v>2350</v>
      </c>
      <c r="C3196" s="49" t="s">
        <v>6626</v>
      </c>
      <c r="D3196" s="49" t="s">
        <v>2352</v>
      </c>
      <c r="E3196" s="49" t="s">
        <v>4166</v>
      </c>
      <c r="F3196" s="49" t="s">
        <v>4167</v>
      </c>
      <c r="G3196" s="49" t="n">
        <v>0</v>
      </c>
      <c r="H3196" s="0" t="n">
        <v>0</v>
      </c>
      <c r="M3196" s="51" t="s">
        <v>6606</v>
      </c>
      <c r="N3196" s="49" t="n">
        <v>0</v>
      </c>
      <c r="O3196" s="53" t="n">
        <v>45761.623287037</v>
      </c>
      <c r="P3196" s="53" t="n">
        <v>45768.6573263889</v>
      </c>
      <c r="Q3196" s="53" t="n">
        <v>45761.623287037</v>
      </c>
      <c r="R3196" s="0" t="n">
        <v>0</v>
      </c>
      <c r="S3196" s="51" t="s">
        <v>6607</v>
      </c>
      <c r="T3196" s="51" t="s">
        <v>6607</v>
      </c>
      <c r="U3196" s="51" t="s">
        <v>4166</v>
      </c>
      <c r="V3196" s="51" t="s">
        <v>2365</v>
      </c>
      <c r="W3196" s="51" t="s">
        <v>6627</v>
      </c>
      <c r="X3196" s="51" t="s">
        <v>2359</v>
      </c>
    </row>
    <row r="3197" customFormat="false" ht="14.25" hidden="true" customHeight="false" outlineLevel="0" collapsed="false">
      <c r="A3197" s="49" t="s">
        <v>2349</v>
      </c>
      <c r="B3197" s="49" t="s">
        <v>2350</v>
      </c>
      <c r="C3197" s="49" t="s">
        <v>6628</v>
      </c>
      <c r="D3197" s="49" t="s">
        <v>2352</v>
      </c>
      <c r="E3197" s="49" t="s">
        <v>4166</v>
      </c>
      <c r="F3197" s="49" t="s">
        <v>4167</v>
      </c>
      <c r="G3197" s="49" t="n">
        <v>0</v>
      </c>
      <c r="H3197" s="0" t="n">
        <v>0</v>
      </c>
      <c r="M3197" s="51" t="s">
        <v>6606</v>
      </c>
      <c r="N3197" s="49" t="n">
        <v>0</v>
      </c>
      <c r="O3197" s="53" t="n">
        <v>45761.623287037</v>
      </c>
      <c r="P3197" s="53" t="n">
        <v>45789.4305324074</v>
      </c>
      <c r="Q3197" s="53" t="n">
        <v>45761.623287037</v>
      </c>
      <c r="R3197" s="0" t="n">
        <v>0</v>
      </c>
      <c r="S3197" s="51" t="s">
        <v>6607</v>
      </c>
      <c r="T3197" s="51" t="s">
        <v>6607</v>
      </c>
      <c r="U3197" s="51" t="s">
        <v>4166</v>
      </c>
      <c r="V3197" s="51" t="s">
        <v>2365</v>
      </c>
      <c r="W3197" s="51" t="s">
        <v>6629</v>
      </c>
      <c r="X3197" s="51" t="s">
        <v>2359</v>
      </c>
    </row>
    <row r="3198" customFormat="false" ht="14.25" hidden="true" customHeight="false" outlineLevel="0" collapsed="false">
      <c r="A3198" s="49" t="s">
        <v>2349</v>
      </c>
      <c r="B3198" s="49" t="s">
        <v>2350</v>
      </c>
      <c r="C3198" s="49" t="s">
        <v>6630</v>
      </c>
      <c r="D3198" s="49" t="s">
        <v>2352</v>
      </c>
      <c r="E3198" s="49" t="s">
        <v>4166</v>
      </c>
      <c r="F3198" s="49" t="s">
        <v>4167</v>
      </c>
      <c r="G3198" s="49" t="n">
        <v>0</v>
      </c>
      <c r="H3198" s="0" t="n">
        <v>0</v>
      </c>
      <c r="M3198" s="51" t="s">
        <v>6606</v>
      </c>
      <c r="N3198" s="49" t="n">
        <v>0</v>
      </c>
      <c r="O3198" s="53" t="n">
        <v>45761.6232986111</v>
      </c>
      <c r="P3198" s="53" t="n">
        <v>45771.6666319444</v>
      </c>
      <c r="Q3198" s="53" t="n">
        <v>45761.6232986111</v>
      </c>
      <c r="R3198" s="0" t="n">
        <v>0</v>
      </c>
      <c r="S3198" s="51" t="s">
        <v>6607</v>
      </c>
      <c r="T3198" s="51" t="s">
        <v>6607</v>
      </c>
      <c r="U3198" s="51" t="s">
        <v>4166</v>
      </c>
      <c r="V3198" s="51" t="s">
        <v>2365</v>
      </c>
      <c r="W3198" s="51" t="s">
        <v>6623</v>
      </c>
      <c r="X3198" s="51" t="s">
        <v>2359</v>
      </c>
    </row>
    <row r="3199" customFormat="false" ht="14.25" hidden="true" customHeight="false" outlineLevel="0" collapsed="false">
      <c r="A3199" s="49" t="s">
        <v>2349</v>
      </c>
      <c r="B3199" s="49" t="s">
        <v>2350</v>
      </c>
      <c r="C3199" s="49" t="s">
        <v>6631</v>
      </c>
      <c r="D3199" s="49" t="s">
        <v>2352</v>
      </c>
      <c r="E3199" s="49" t="s">
        <v>4166</v>
      </c>
      <c r="F3199" s="49" t="s">
        <v>4167</v>
      </c>
      <c r="G3199" s="49" t="n">
        <v>0</v>
      </c>
      <c r="H3199" s="0" t="n">
        <v>0</v>
      </c>
      <c r="M3199" s="51" t="s">
        <v>6606</v>
      </c>
      <c r="N3199" s="49" t="n">
        <v>0</v>
      </c>
      <c r="O3199" s="53" t="n">
        <v>45761.6232986111</v>
      </c>
      <c r="P3199" s="53" t="n">
        <v>45768.6570949074</v>
      </c>
      <c r="Q3199" s="53" t="n">
        <v>45761.6232986111</v>
      </c>
      <c r="R3199" s="0" t="n">
        <v>0</v>
      </c>
      <c r="S3199" s="51" t="s">
        <v>6607</v>
      </c>
      <c r="T3199" s="51" t="s">
        <v>6607</v>
      </c>
      <c r="U3199" s="51" t="s">
        <v>4166</v>
      </c>
      <c r="V3199" s="51" t="s">
        <v>2365</v>
      </c>
      <c r="W3199" s="51" t="s">
        <v>6632</v>
      </c>
      <c r="X3199" s="51" t="s">
        <v>2359</v>
      </c>
    </row>
    <row r="3200" customFormat="false" ht="14.25" hidden="true" customHeight="false" outlineLevel="0" collapsed="false">
      <c r="A3200" s="49" t="s">
        <v>2349</v>
      </c>
      <c r="B3200" s="49" t="s">
        <v>2350</v>
      </c>
      <c r="C3200" s="49" t="s">
        <v>6633</v>
      </c>
      <c r="D3200" s="49" t="s">
        <v>2352</v>
      </c>
      <c r="E3200" s="49" t="s">
        <v>4166</v>
      </c>
      <c r="F3200" s="49" t="s">
        <v>4167</v>
      </c>
      <c r="G3200" s="49" t="n">
        <v>0</v>
      </c>
      <c r="H3200" s="0" t="n">
        <v>0</v>
      </c>
      <c r="M3200" s="51" t="s">
        <v>6606</v>
      </c>
      <c r="N3200" s="49" t="n">
        <v>0</v>
      </c>
      <c r="O3200" s="53" t="n">
        <v>45761.6232986111</v>
      </c>
      <c r="P3200" s="53" t="n">
        <v>45768.6602777778</v>
      </c>
      <c r="Q3200" s="53" t="n">
        <v>45761.6232986111</v>
      </c>
      <c r="R3200" s="0" t="n">
        <v>0</v>
      </c>
      <c r="S3200" s="51" t="s">
        <v>6607</v>
      </c>
      <c r="T3200" s="51" t="s">
        <v>6607</v>
      </c>
      <c r="U3200" s="51" t="s">
        <v>4166</v>
      </c>
      <c r="V3200" s="51" t="s">
        <v>2365</v>
      </c>
      <c r="W3200" s="51" t="s">
        <v>3767</v>
      </c>
      <c r="X3200" s="51" t="s">
        <v>2359</v>
      </c>
    </row>
    <row r="3201" customFormat="false" ht="14.25" hidden="true" customHeight="false" outlineLevel="0" collapsed="false">
      <c r="A3201" s="49" t="s">
        <v>2349</v>
      </c>
      <c r="B3201" s="49" t="s">
        <v>2350</v>
      </c>
      <c r="C3201" s="49" t="s">
        <v>6634</v>
      </c>
      <c r="D3201" s="49" t="s">
        <v>2352</v>
      </c>
      <c r="E3201" s="49" t="s">
        <v>4166</v>
      </c>
      <c r="F3201" s="49" t="s">
        <v>4167</v>
      </c>
      <c r="G3201" s="49" t="n">
        <v>0</v>
      </c>
      <c r="H3201" s="0" t="n">
        <v>0</v>
      </c>
      <c r="M3201" s="51" t="s">
        <v>6606</v>
      </c>
      <c r="N3201" s="49" t="n">
        <v>0</v>
      </c>
      <c r="O3201" s="53" t="n">
        <v>45761.6232986111</v>
      </c>
      <c r="P3201" s="53" t="n">
        <v>45768.6566782407</v>
      </c>
      <c r="Q3201" s="53" t="n">
        <v>45761.6232986111</v>
      </c>
      <c r="R3201" s="0" t="n">
        <v>0</v>
      </c>
      <c r="S3201" s="51" t="s">
        <v>6607</v>
      </c>
      <c r="T3201" s="51" t="s">
        <v>6607</v>
      </c>
      <c r="U3201" s="51" t="s">
        <v>4166</v>
      </c>
      <c r="V3201" s="51" t="s">
        <v>2365</v>
      </c>
      <c r="W3201" s="51" t="s">
        <v>5545</v>
      </c>
      <c r="X3201" s="51" t="s">
        <v>2359</v>
      </c>
    </row>
    <row r="3202" customFormat="false" ht="14.25" hidden="true" customHeight="false" outlineLevel="0" collapsed="false">
      <c r="A3202" s="49" t="s">
        <v>2349</v>
      </c>
      <c r="B3202" s="49" t="s">
        <v>2350</v>
      </c>
      <c r="C3202" s="49" t="s">
        <v>6635</v>
      </c>
      <c r="D3202" s="49" t="s">
        <v>2352</v>
      </c>
      <c r="E3202" s="49" t="s">
        <v>4166</v>
      </c>
      <c r="F3202" s="49" t="s">
        <v>4167</v>
      </c>
      <c r="G3202" s="49" t="n">
        <v>0</v>
      </c>
      <c r="H3202" s="0" t="n">
        <v>0</v>
      </c>
      <c r="M3202" s="51" t="s">
        <v>6606</v>
      </c>
      <c r="N3202" s="49" t="n">
        <v>0</v>
      </c>
      <c r="O3202" s="53" t="n">
        <v>45761.6233101852</v>
      </c>
      <c r="P3202" s="53" t="n">
        <v>45768.6567361111</v>
      </c>
      <c r="Q3202" s="53" t="n">
        <v>45761.6233101852</v>
      </c>
      <c r="R3202" s="0" t="n">
        <v>0</v>
      </c>
      <c r="S3202" s="51" t="s">
        <v>6607</v>
      </c>
      <c r="T3202" s="51" t="s">
        <v>6607</v>
      </c>
      <c r="U3202" s="51" t="s">
        <v>4166</v>
      </c>
      <c r="V3202" s="51" t="s">
        <v>2365</v>
      </c>
      <c r="W3202" s="51" t="s">
        <v>5549</v>
      </c>
      <c r="X3202" s="51" t="s">
        <v>2359</v>
      </c>
    </row>
    <row r="3203" customFormat="false" ht="14.25" hidden="true" customHeight="false" outlineLevel="0" collapsed="false">
      <c r="A3203" s="49" t="s">
        <v>2349</v>
      </c>
      <c r="B3203" s="49" t="s">
        <v>2350</v>
      </c>
      <c r="C3203" s="49" t="s">
        <v>6636</v>
      </c>
      <c r="D3203" s="49" t="s">
        <v>2352</v>
      </c>
      <c r="E3203" s="49" t="str">
        <f aca="false">"5414920037148"</f>
        <v>5414920037148</v>
      </c>
      <c r="F3203" s="49" t="s">
        <v>4008</v>
      </c>
      <c r="G3203" s="49" t="n">
        <v>0</v>
      </c>
      <c r="H3203" s="0" t="n">
        <v>0</v>
      </c>
      <c r="M3203" s="51" t="s">
        <v>6637</v>
      </c>
      <c r="N3203" s="49" t="n">
        <v>0</v>
      </c>
      <c r="O3203" s="53" t="n">
        <v>45755.6001736111</v>
      </c>
      <c r="P3203" s="53" t="n">
        <v>45809.5214814815</v>
      </c>
      <c r="Q3203" s="53" t="n">
        <v>45755.6001736111</v>
      </c>
      <c r="R3203" s="0" t="n">
        <v>0</v>
      </c>
      <c r="S3203" s="51" t="s">
        <v>2356</v>
      </c>
      <c r="T3203" s="51" t="s">
        <v>2356</v>
      </c>
      <c r="U3203" s="0" t="str">
        <f aca="false">"5414920037148"</f>
        <v>5414920037148</v>
      </c>
      <c r="V3203" s="51" t="s">
        <v>2365</v>
      </c>
      <c r="W3203" s="51" t="s">
        <v>5494</v>
      </c>
      <c r="X3203" s="51" t="s">
        <v>2359</v>
      </c>
    </row>
    <row r="3204" customFormat="false" ht="14.25" hidden="true" customHeight="false" outlineLevel="0" collapsed="false">
      <c r="A3204" s="49" t="s">
        <v>2349</v>
      </c>
      <c r="B3204" s="49" t="s">
        <v>2350</v>
      </c>
      <c r="C3204" s="49" t="s">
        <v>6638</v>
      </c>
      <c r="D3204" s="49" t="s">
        <v>2352</v>
      </c>
      <c r="E3204" s="49" t="str">
        <f aca="false">"8022180000122"</f>
        <v>8022180000122</v>
      </c>
      <c r="F3204" s="49" t="s">
        <v>3971</v>
      </c>
      <c r="G3204" s="49" t="n">
        <v>0</v>
      </c>
      <c r="H3204" s="0" t="n">
        <v>0</v>
      </c>
      <c r="M3204" s="51" t="s">
        <v>6639</v>
      </c>
      <c r="N3204" s="49" t="n">
        <v>0</v>
      </c>
      <c r="O3204" s="53" t="n">
        <v>45756.4100347222</v>
      </c>
      <c r="P3204" s="53" t="n">
        <v>45766.8826388889</v>
      </c>
      <c r="Q3204" s="53" t="n">
        <v>45756.4100347222</v>
      </c>
      <c r="R3204" s="0" t="n">
        <v>0</v>
      </c>
      <c r="S3204" s="51" t="s">
        <v>2380</v>
      </c>
      <c r="T3204" s="51" t="s">
        <v>2380</v>
      </c>
      <c r="U3204" s="0" t="str">
        <f aca="false">"8022180000122"</f>
        <v>8022180000122</v>
      </c>
      <c r="V3204" s="51" t="s">
        <v>2365</v>
      </c>
      <c r="W3204" s="51" t="s">
        <v>6383</v>
      </c>
      <c r="X3204" s="51" t="s">
        <v>2359</v>
      </c>
    </row>
    <row r="3205" customFormat="false" ht="14.25" hidden="true" customHeight="false" outlineLevel="0" collapsed="false">
      <c r="A3205" s="49" t="s">
        <v>2349</v>
      </c>
      <c r="B3205" s="49" t="s">
        <v>2350</v>
      </c>
      <c r="C3205" s="49" t="s">
        <v>6640</v>
      </c>
      <c r="D3205" s="49" t="s">
        <v>2352</v>
      </c>
      <c r="E3205" s="49" t="str">
        <f aca="false">"5060175133380"</f>
        <v>5060175133380</v>
      </c>
      <c r="F3205" s="49" t="s">
        <v>3978</v>
      </c>
      <c r="G3205" s="49" t="n">
        <v>0</v>
      </c>
      <c r="H3205" s="0" t="n">
        <v>0</v>
      </c>
      <c r="M3205" s="51" t="s">
        <v>6639</v>
      </c>
      <c r="N3205" s="49" t="n">
        <v>0</v>
      </c>
      <c r="O3205" s="53" t="n">
        <v>45756.4074421296</v>
      </c>
      <c r="P3205" s="53" t="n">
        <v>45778.4105787037</v>
      </c>
      <c r="Q3205" s="53" t="n">
        <v>45756.4074421296</v>
      </c>
      <c r="R3205" s="0" t="n">
        <v>0</v>
      </c>
      <c r="S3205" s="51" t="s">
        <v>2380</v>
      </c>
      <c r="T3205" s="51" t="s">
        <v>2380</v>
      </c>
      <c r="U3205" s="0" t="str">
        <f aca="false">"5060175133380"</f>
        <v>5060175133380</v>
      </c>
      <c r="V3205" s="51" t="s">
        <v>2365</v>
      </c>
      <c r="W3205" s="51" t="s">
        <v>6025</v>
      </c>
      <c r="X3205" s="51" t="s">
        <v>2359</v>
      </c>
    </row>
    <row r="3206" customFormat="false" ht="14.25" hidden="true" customHeight="false" outlineLevel="0" collapsed="false">
      <c r="A3206" s="49" t="s">
        <v>2349</v>
      </c>
      <c r="B3206" s="49" t="s">
        <v>2350</v>
      </c>
      <c r="C3206" s="49" t="s">
        <v>6641</v>
      </c>
      <c r="D3206" s="49" t="s">
        <v>2352</v>
      </c>
      <c r="E3206" s="49" t="str">
        <f aca="false">"5060175133182"</f>
        <v>5060175133182</v>
      </c>
      <c r="F3206" s="49" t="s">
        <v>6385</v>
      </c>
      <c r="G3206" s="49" t="n">
        <v>0</v>
      </c>
      <c r="H3206" s="0" t="n">
        <v>0</v>
      </c>
      <c r="M3206" s="51" t="s">
        <v>6639</v>
      </c>
      <c r="N3206" s="49" t="n">
        <v>0</v>
      </c>
      <c r="O3206" s="53" t="n">
        <v>45756.4069791667</v>
      </c>
      <c r="P3206" s="53" t="n">
        <v>45784.9551851852</v>
      </c>
      <c r="Q3206" s="53" t="n">
        <v>45756.4069791667</v>
      </c>
      <c r="R3206" s="0" t="n">
        <v>0</v>
      </c>
      <c r="S3206" s="51" t="s">
        <v>2380</v>
      </c>
      <c r="T3206" s="51" t="s">
        <v>2380</v>
      </c>
      <c r="U3206" s="0" t="str">
        <f aca="false">"5060175133182"</f>
        <v>5060175133182</v>
      </c>
      <c r="V3206" s="51" t="s">
        <v>2365</v>
      </c>
      <c r="W3206" s="51" t="s">
        <v>6383</v>
      </c>
      <c r="X3206" s="51" t="s">
        <v>2359</v>
      </c>
    </row>
    <row r="3207" customFormat="false" ht="14.25" hidden="true" customHeight="false" outlineLevel="0" collapsed="false">
      <c r="A3207" s="49" t="s">
        <v>2349</v>
      </c>
      <c r="B3207" s="49" t="s">
        <v>2350</v>
      </c>
      <c r="C3207" s="49" t="s">
        <v>6642</v>
      </c>
      <c r="D3207" s="49" t="s">
        <v>2352</v>
      </c>
      <c r="E3207" s="49" t="str">
        <f aca="false">"5060175133274"</f>
        <v>5060175133274</v>
      </c>
      <c r="F3207" s="49" t="s">
        <v>5130</v>
      </c>
      <c r="G3207" s="49" t="n">
        <v>0</v>
      </c>
      <c r="H3207" s="0" t="n">
        <v>0</v>
      </c>
      <c r="M3207" s="51" t="s">
        <v>6639</v>
      </c>
      <c r="N3207" s="49" t="n">
        <v>0</v>
      </c>
      <c r="O3207" s="53" t="n">
        <v>45756.4064236111</v>
      </c>
      <c r="P3207" s="53" t="n">
        <v>45764.5668287037</v>
      </c>
      <c r="Q3207" s="53" t="n">
        <v>45756.4064236111</v>
      </c>
      <c r="R3207" s="0" t="n">
        <v>0</v>
      </c>
      <c r="S3207" s="51" t="s">
        <v>2380</v>
      </c>
      <c r="T3207" s="51" t="s">
        <v>2380</v>
      </c>
      <c r="U3207" s="0" t="str">
        <f aca="false">"5060175133274"</f>
        <v>5060175133274</v>
      </c>
      <c r="V3207" s="51" t="s">
        <v>2365</v>
      </c>
      <c r="W3207" s="51" t="s">
        <v>6025</v>
      </c>
      <c r="X3207" s="51" t="s">
        <v>2359</v>
      </c>
    </row>
    <row r="3208" customFormat="false" ht="14.25" hidden="true" customHeight="false" outlineLevel="0" collapsed="false">
      <c r="A3208" s="49" t="s">
        <v>2349</v>
      </c>
      <c r="B3208" s="49" t="s">
        <v>2350</v>
      </c>
      <c r="C3208" s="49" t="s">
        <v>6643</v>
      </c>
      <c r="D3208" s="49" t="s">
        <v>2352</v>
      </c>
      <c r="E3208" s="49" t="str">
        <f aca="false">"12492587"</f>
        <v>12492587</v>
      </c>
      <c r="F3208" s="49" t="s">
        <v>6644</v>
      </c>
      <c r="G3208" s="49" t="n">
        <v>0</v>
      </c>
      <c r="H3208" s="0" t="n">
        <v>0</v>
      </c>
      <c r="M3208" s="51" t="s">
        <v>6645</v>
      </c>
      <c r="N3208" s="49" t="n">
        <v>0</v>
      </c>
      <c r="O3208" s="53" t="n">
        <v>45760.445787037</v>
      </c>
      <c r="P3208" s="53" t="n">
        <v>45762.2477430556</v>
      </c>
      <c r="Q3208" s="53" t="n">
        <v>45760.445787037</v>
      </c>
      <c r="R3208" s="0" t="n">
        <v>0</v>
      </c>
      <c r="S3208" s="51" t="s">
        <v>2380</v>
      </c>
      <c r="T3208" s="51" t="s">
        <v>2380</v>
      </c>
      <c r="U3208" s="0" t="str">
        <f aca="false">"12492587"</f>
        <v>12492587</v>
      </c>
      <c r="V3208" s="51" t="s">
        <v>2365</v>
      </c>
      <c r="W3208" s="51" t="s">
        <v>6568</v>
      </c>
      <c r="X3208" s="51" t="s">
        <v>2359</v>
      </c>
    </row>
    <row r="3209" customFormat="false" ht="14.25" hidden="true" customHeight="false" outlineLevel="0" collapsed="false">
      <c r="A3209" s="49" t="s">
        <v>2349</v>
      </c>
      <c r="B3209" s="49" t="s">
        <v>2350</v>
      </c>
      <c r="C3209" s="49" t="s">
        <v>6646</v>
      </c>
      <c r="D3209" s="49" t="s">
        <v>2352</v>
      </c>
      <c r="E3209" s="49" t="str">
        <f aca="false">"5942326400223"</f>
        <v>5942326400223</v>
      </c>
      <c r="F3209" s="49" t="s">
        <v>3798</v>
      </c>
      <c r="G3209" s="49" t="n">
        <v>0</v>
      </c>
      <c r="H3209" s="0" t="n">
        <v>0</v>
      </c>
      <c r="M3209" s="51" t="s">
        <v>6647</v>
      </c>
      <c r="N3209" s="49" t="n">
        <v>0</v>
      </c>
      <c r="O3209" s="53" t="n">
        <v>45762.6302662037</v>
      </c>
      <c r="P3209" s="53" t="n">
        <v>45858.9756365741</v>
      </c>
      <c r="Q3209" s="53" t="n">
        <v>45762.6302546296</v>
      </c>
      <c r="R3209" s="0" t="n">
        <v>0</v>
      </c>
      <c r="S3209" s="51" t="s">
        <v>2380</v>
      </c>
      <c r="T3209" s="51" t="s">
        <v>2380</v>
      </c>
      <c r="U3209" s="0" t="str">
        <f aca="false">"5942326400223"</f>
        <v>5942326400223</v>
      </c>
      <c r="V3209" s="51" t="s">
        <v>2365</v>
      </c>
      <c r="W3209" s="51" t="s">
        <v>6648</v>
      </c>
      <c r="X3209" s="51" t="s">
        <v>2359</v>
      </c>
    </row>
    <row r="3210" customFormat="false" ht="14.25" hidden="true" customHeight="false" outlineLevel="0" collapsed="false">
      <c r="A3210" s="49" t="s">
        <v>2349</v>
      </c>
      <c r="B3210" s="49" t="s">
        <v>2350</v>
      </c>
      <c r="C3210" s="49" t="s">
        <v>6649</v>
      </c>
      <c r="D3210" s="49" t="s">
        <v>2352</v>
      </c>
      <c r="E3210" s="49" t="str">
        <f aca="false">"5942326400216"</f>
        <v>5942326400216</v>
      </c>
      <c r="F3210" s="49" t="s">
        <v>3777</v>
      </c>
      <c r="G3210" s="49" t="n">
        <v>0</v>
      </c>
      <c r="H3210" s="0" t="n">
        <v>0</v>
      </c>
      <c r="M3210" s="51" t="s">
        <v>6647</v>
      </c>
      <c r="N3210" s="49" t="n">
        <v>0</v>
      </c>
      <c r="O3210" s="53" t="n">
        <v>45762.6180671296</v>
      </c>
      <c r="P3210" s="53" t="n">
        <v>45801.4808217593</v>
      </c>
      <c r="Q3210" s="53" t="n">
        <v>45762.6180671296</v>
      </c>
      <c r="R3210" s="0" t="n">
        <v>0</v>
      </c>
      <c r="S3210" s="51" t="s">
        <v>2380</v>
      </c>
      <c r="T3210" s="51" t="s">
        <v>2380</v>
      </c>
      <c r="U3210" s="0" t="str">
        <f aca="false">"5942326400216"</f>
        <v>5942326400216</v>
      </c>
      <c r="V3210" s="51" t="s">
        <v>2365</v>
      </c>
      <c r="W3210" s="51" t="s">
        <v>4763</v>
      </c>
      <c r="X3210" s="51" t="s">
        <v>2359</v>
      </c>
    </row>
    <row r="3211" customFormat="false" ht="14.25" hidden="true" customHeight="false" outlineLevel="0" collapsed="false">
      <c r="A3211" s="49" t="s">
        <v>2349</v>
      </c>
      <c r="B3211" s="49" t="s">
        <v>2350</v>
      </c>
      <c r="C3211" s="49" t="s">
        <v>6650</v>
      </c>
      <c r="D3211" s="49" t="s">
        <v>2352</v>
      </c>
      <c r="E3211" s="49" t="str">
        <f aca="false">"5942326400216"</f>
        <v>5942326400216</v>
      </c>
      <c r="F3211" s="49" t="s">
        <v>3777</v>
      </c>
      <c r="G3211" s="49" t="n">
        <v>0</v>
      </c>
      <c r="H3211" s="0" t="n">
        <v>0</v>
      </c>
      <c r="M3211" s="51" t="s">
        <v>6647</v>
      </c>
      <c r="N3211" s="49" t="n">
        <v>0</v>
      </c>
      <c r="O3211" s="53" t="n">
        <v>45762.6182060185</v>
      </c>
      <c r="P3211" s="53" t="n">
        <v>45801.4909953704</v>
      </c>
      <c r="Q3211" s="53" t="n">
        <v>45762.6182060185</v>
      </c>
      <c r="R3211" s="0" t="n">
        <v>0</v>
      </c>
      <c r="S3211" s="51" t="s">
        <v>2380</v>
      </c>
      <c r="T3211" s="51" t="s">
        <v>2380</v>
      </c>
      <c r="U3211" s="0" t="str">
        <f aca="false">"5942326400216"</f>
        <v>5942326400216</v>
      </c>
      <c r="V3211" s="51" t="s">
        <v>2365</v>
      </c>
      <c r="W3211" s="51" t="s">
        <v>5662</v>
      </c>
      <c r="X3211" s="51" t="s">
        <v>2359</v>
      </c>
    </row>
    <row r="3212" customFormat="false" ht="14.25" hidden="true" customHeight="false" outlineLevel="0" collapsed="false">
      <c r="A3212" s="49" t="s">
        <v>2349</v>
      </c>
      <c r="B3212" s="49" t="s">
        <v>2350</v>
      </c>
      <c r="C3212" s="49" t="s">
        <v>6651</v>
      </c>
      <c r="D3212" s="49" t="s">
        <v>2352</v>
      </c>
      <c r="E3212" s="49" t="str">
        <f aca="false">"5942326400216"</f>
        <v>5942326400216</v>
      </c>
      <c r="F3212" s="49" t="s">
        <v>3777</v>
      </c>
      <c r="G3212" s="49" t="n">
        <v>0</v>
      </c>
      <c r="H3212" s="0" t="n">
        <v>0</v>
      </c>
      <c r="M3212" s="51" t="s">
        <v>6647</v>
      </c>
      <c r="N3212" s="49" t="n">
        <v>0</v>
      </c>
      <c r="O3212" s="53" t="n">
        <v>45762.6183333333</v>
      </c>
      <c r="P3212" s="53" t="n">
        <v>45766.6085416667</v>
      </c>
      <c r="Q3212" s="53" t="n">
        <v>45762.6183333333</v>
      </c>
      <c r="R3212" s="0" t="n">
        <v>0</v>
      </c>
      <c r="S3212" s="51" t="s">
        <v>2380</v>
      </c>
      <c r="T3212" s="51" t="s">
        <v>2380</v>
      </c>
      <c r="U3212" s="0" t="str">
        <f aca="false">"5942326400216"</f>
        <v>5942326400216</v>
      </c>
      <c r="V3212" s="51" t="s">
        <v>2365</v>
      </c>
      <c r="W3212" s="51" t="s">
        <v>4405</v>
      </c>
      <c r="X3212" s="51" t="s">
        <v>2359</v>
      </c>
    </row>
    <row r="3213" customFormat="false" ht="14.25" hidden="true" customHeight="false" outlineLevel="0" collapsed="false">
      <c r="A3213" s="49" t="s">
        <v>2349</v>
      </c>
      <c r="B3213" s="49" t="s">
        <v>2350</v>
      </c>
      <c r="C3213" s="49" t="s">
        <v>6652</v>
      </c>
      <c r="D3213" s="49" t="s">
        <v>2352</v>
      </c>
      <c r="E3213" s="49" t="str">
        <f aca="false">"5942326400216"</f>
        <v>5942326400216</v>
      </c>
      <c r="F3213" s="49" t="s">
        <v>3777</v>
      </c>
      <c r="G3213" s="49" t="n">
        <v>0</v>
      </c>
      <c r="H3213" s="0" t="n">
        <v>0</v>
      </c>
      <c r="M3213" s="51" t="s">
        <v>6647</v>
      </c>
      <c r="N3213" s="49" t="n">
        <v>0</v>
      </c>
      <c r="O3213" s="53" t="n">
        <v>45762.6185416667</v>
      </c>
      <c r="P3213" s="53" t="n">
        <v>45801.4785300926</v>
      </c>
      <c r="Q3213" s="53" t="n">
        <v>45762.6185416667</v>
      </c>
      <c r="R3213" s="0" t="n">
        <v>0</v>
      </c>
      <c r="S3213" s="51" t="s">
        <v>2380</v>
      </c>
      <c r="T3213" s="51" t="s">
        <v>2380</v>
      </c>
      <c r="U3213" s="0" t="str">
        <f aca="false">"5942326400216"</f>
        <v>5942326400216</v>
      </c>
      <c r="V3213" s="51" t="s">
        <v>2365</v>
      </c>
      <c r="W3213" s="51" t="s">
        <v>5612</v>
      </c>
      <c r="X3213" s="51" t="s">
        <v>2359</v>
      </c>
    </row>
    <row r="3214" customFormat="false" ht="14.25" hidden="true" customHeight="false" outlineLevel="0" collapsed="false">
      <c r="A3214" s="49" t="s">
        <v>2349</v>
      </c>
      <c r="B3214" s="49" t="s">
        <v>2350</v>
      </c>
      <c r="C3214" s="49" t="s">
        <v>6653</v>
      </c>
      <c r="D3214" s="49" t="s">
        <v>2352</v>
      </c>
      <c r="E3214" s="49" t="str">
        <f aca="false">"5942326400476"</f>
        <v>5942326400476</v>
      </c>
      <c r="F3214" s="49" t="s">
        <v>5167</v>
      </c>
      <c r="G3214" s="49" t="n">
        <v>0</v>
      </c>
      <c r="H3214" s="0" t="n">
        <v>0</v>
      </c>
      <c r="M3214" s="51" t="s">
        <v>6647</v>
      </c>
      <c r="N3214" s="49" t="n">
        <v>0</v>
      </c>
      <c r="O3214" s="53" t="n">
        <v>45762.6212962963</v>
      </c>
      <c r="P3214" s="53" t="n">
        <v>45766.6093171296</v>
      </c>
      <c r="Q3214" s="53" t="n">
        <v>45762.6212962963</v>
      </c>
      <c r="R3214" s="0" t="n">
        <v>0</v>
      </c>
      <c r="S3214" s="51" t="s">
        <v>2380</v>
      </c>
      <c r="T3214" s="51" t="s">
        <v>2380</v>
      </c>
      <c r="U3214" s="0" t="str">
        <f aca="false">"5942326400476"</f>
        <v>5942326400476</v>
      </c>
      <c r="V3214" s="51" t="s">
        <v>2365</v>
      </c>
      <c r="W3214" s="51" t="s">
        <v>4376</v>
      </c>
      <c r="X3214" s="51" t="s">
        <v>2359</v>
      </c>
    </row>
    <row r="3215" customFormat="false" ht="14.25" hidden="true" customHeight="false" outlineLevel="0" collapsed="false">
      <c r="A3215" s="49" t="s">
        <v>2349</v>
      </c>
      <c r="B3215" s="49" t="s">
        <v>2350</v>
      </c>
      <c r="C3215" s="49" t="s">
        <v>6654</v>
      </c>
      <c r="D3215" s="49" t="s">
        <v>2352</v>
      </c>
      <c r="E3215" s="49" t="str">
        <f aca="false">"5942326400476"</f>
        <v>5942326400476</v>
      </c>
      <c r="F3215" s="49" t="s">
        <v>5167</v>
      </c>
      <c r="G3215" s="49" t="n">
        <v>0</v>
      </c>
      <c r="H3215" s="0" t="n">
        <v>0</v>
      </c>
      <c r="M3215" s="51" t="s">
        <v>6647</v>
      </c>
      <c r="N3215" s="49" t="n">
        <v>0</v>
      </c>
      <c r="O3215" s="53" t="n">
        <v>45762.6215046296</v>
      </c>
      <c r="P3215" s="53" t="n">
        <v>45766.6388773148</v>
      </c>
      <c r="Q3215" s="53" t="n">
        <v>45762.6215046296</v>
      </c>
      <c r="R3215" s="0" t="n">
        <v>0</v>
      </c>
      <c r="S3215" s="51" t="s">
        <v>2380</v>
      </c>
      <c r="T3215" s="51" t="s">
        <v>2380</v>
      </c>
      <c r="U3215" s="0" t="str">
        <f aca="false">"5942326400476"</f>
        <v>5942326400476</v>
      </c>
      <c r="V3215" s="51" t="s">
        <v>2365</v>
      </c>
      <c r="W3215" s="51" t="s">
        <v>4349</v>
      </c>
      <c r="X3215" s="51" t="s">
        <v>2359</v>
      </c>
    </row>
    <row r="3216" customFormat="false" ht="14.25" hidden="true" customHeight="false" outlineLevel="0" collapsed="false">
      <c r="A3216" s="49" t="s">
        <v>2349</v>
      </c>
      <c r="B3216" s="49" t="s">
        <v>2350</v>
      </c>
      <c r="C3216" s="49" t="s">
        <v>6655</v>
      </c>
      <c r="D3216" s="49" t="s">
        <v>2352</v>
      </c>
      <c r="E3216" s="49" t="str">
        <f aca="false">"5942326400476"</f>
        <v>5942326400476</v>
      </c>
      <c r="F3216" s="49" t="s">
        <v>5167</v>
      </c>
      <c r="G3216" s="49" t="n">
        <v>0</v>
      </c>
      <c r="H3216" s="0" t="n">
        <v>0</v>
      </c>
      <c r="M3216" s="51" t="s">
        <v>6647</v>
      </c>
      <c r="N3216" s="49" t="n">
        <v>0</v>
      </c>
      <c r="O3216" s="53" t="n">
        <v>45762.622025463</v>
      </c>
      <c r="P3216" s="53" t="n">
        <v>45766.6382291667</v>
      </c>
      <c r="Q3216" s="53" t="n">
        <v>45762.622025463</v>
      </c>
      <c r="R3216" s="0" t="n">
        <v>0</v>
      </c>
      <c r="S3216" s="51" t="s">
        <v>2380</v>
      </c>
      <c r="T3216" s="51" t="s">
        <v>2380</v>
      </c>
      <c r="U3216" s="0" t="str">
        <f aca="false">"5942326400476"</f>
        <v>5942326400476</v>
      </c>
      <c r="V3216" s="51" t="s">
        <v>2365</v>
      </c>
      <c r="W3216" s="51" t="s">
        <v>4812</v>
      </c>
      <c r="X3216" s="51" t="s">
        <v>2359</v>
      </c>
    </row>
    <row r="3217" customFormat="false" ht="14.25" hidden="true" customHeight="false" outlineLevel="0" collapsed="false">
      <c r="A3217" s="49" t="s">
        <v>2349</v>
      </c>
      <c r="B3217" s="49" t="s">
        <v>2350</v>
      </c>
      <c r="C3217" s="49" t="s">
        <v>6656</v>
      </c>
      <c r="D3217" s="49" t="s">
        <v>2352</v>
      </c>
      <c r="E3217" s="49" t="str">
        <f aca="false">"5942326400476"</f>
        <v>5942326400476</v>
      </c>
      <c r="F3217" s="49" t="s">
        <v>5167</v>
      </c>
      <c r="G3217" s="49" t="n">
        <v>0</v>
      </c>
      <c r="H3217" s="0" t="n">
        <v>0</v>
      </c>
      <c r="M3217" s="51" t="s">
        <v>6647</v>
      </c>
      <c r="N3217" s="49" t="n">
        <v>0</v>
      </c>
      <c r="O3217" s="53" t="n">
        <v>45762.6221643519</v>
      </c>
      <c r="P3217" s="53" t="n">
        <v>45766.639537037</v>
      </c>
      <c r="Q3217" s="53" t="n">
        <v>45762.6221643519</v>
      </c>
      <c r="R3217" s="0" t="n">
        <v>0</v>
      </c>
      <c r="S3217" s="51" t="s">
        <v>2380</v>
      </c>
      <c r="T3217" s="51" t="s">
        <v>2380</v>
      </c>
      <c r="U3217" s="0" t="str">
        <f aca="false">"5942326400476"</f>
        <v>5942326400476</v>
      </c>
      <c r="V3217" s="51" t="s">
        <v>2365</v>
      </c>
      <c r="W3217" s="51" t="s">
        <v>4397</v>
      </c>
      <c r="X3217" s="51" t="s">
        <v>2359</v>
      </c>
    </row>
    <row r="3218" customFormat="false" ht="14.25" hidden="true" customHeight="false" outlineLevel="0" collapsed="false">
      <c r="A3218" s="49" t="s">
        <v>2349</v>
      </c>
      <c r="B3218" s="49" t="s">
        <v>2350</v>
      </c>
      <c r="C3218" s="49" t="s">
        <v>6657</v>
      </c>
      <c r="D3218" s="49" t="s">
        <v>2352</v>
      </c>
      <c r="E3218" s="49" t="str">
        <f aca="false">"5942326400223"</f>
        <v>5942326400223</v>
      </c>
      <c r="F3218" s="49" t="s">
        <v>3798</v>
      </c>
      <c r="G3218" s="49" t="n">
        <v>0</v>
      </c>
      <c r="H3218" s="0" t="n">
        <v>0</v>
      </c>
      <c r="M3218" s="51" t="s">
        <v>6647</v>
      </c>
      <c r="N3218" s="49" t="n">
        <v>0</v>
      </c>
      <c r="O3218" s="53" t="n">
        <v>45762.63</v>
      </c>
      <c r="P3218" s="53" t="n">
        <v>45830.8069560185</v>
      </c>
      <c r="Q3218" s="53" t="n">
        <v>45762.63</v>
      </c>
      <c r="R3218" s="0" t="n">
        <v>0</v>
      </c>
      <c r="S3218" s="51" t="s">
        <v>2380</v>
      </c>
      <c r="T3218" s="51" t="s">
        <v>2380</v>
      </c>
      <c r="U3218" s="0" t="str">
        <f aca="false">"5942326400223"</f>
        <v>5942326400223</v>
      </c>
      <c r="V3218" s="51" t="s">
        <v>2365</v>
      </c>
      <c r="W3218" s="51" t="s">
        <v>6004</v>
      </c>
      <c r="X3218" s="51" t="s">
        <v>2359</v>
      </c>
    </row>
    <row r="3219" customFormat="false" ht="14.25" hidden="true" customHeight="false" outlineLevel="0" collapsed="false">
      <c r="A3219" s="49" t="s">
        <v>2349</v>
      </c>
      <c r="B3219" s="49" t="s">
        <v>2350</v>
      </c>
      <c r="C3219" s="49" t="s">
        <v>6658</v>
      </c>
      <c r="D3219" s="49" t="s">
        <v>2352</v>
      </c>
      <c r="E3219" s="49" t="str">
        <f aca="false">"5942326400483"</f>
        <v>5942326400483</v>
      </c>
      <c r="F3219" s="49" t="s">
        <v>3651</v>
      </c>
      <c r="G3219" s="49" t="n">
        <v>0</v>
      </c>
      <c r="H3219" s="0" t="n">
        <v>0</v>
      </c>
      <c r="M3219" s="51" t="s">
        <v>6647</v>
      </c>
      <c r="N3219" s="49" t="n">
        <v>0</v>
      </c>
      <c r="O3219" s="53" t="n">
        <v>45762.6248842593</v>
      </c>
      <c r="P3219" s="53" t="n">
        <v>45766.6107638889</v>
      </c>
      <c r="Q3219" s="53" t="n">
        <v>45762.6248842593</v>
      </c>
      <c r="R3219" s="0" t="n">
        <v>0</v>
      </c>
      <c r="S3219" s="51" t="s">
        <v>2380</v>
      </c>
      <c r="T3219" s="51" t="s">
        <v>2380</v>
      </c>
      <c r="U3219" s="0" t="str">
        <f aca="false">"5942326400483"</f>
        <v>5942326400483</v>
      </c>
      <c r="V3219" s="51" t="s">
        <v>2365</v>
      </c>
      <c r="W3219" s="51" t="s">
        <v>4401</v>
      </c>
      <c r="X3219" s="51" t="s">
        <v>2359</v>
      </c>
    </row>
    <row r="3220" customFormat="false" ht="14.25" hidden="true" customHeight="false" outlineLevel="0" collapsed="false">
      <c r="A3220" s="49" t="s">
        <v>2349</v>
      </c>
      <c r="B3220" s="49" t="s">
        <v>2350</v>
      </c>
      <c r="C3220" s="49" t="s">
        <v>6659</v>
      </c>
      <c r="D3220" s="49" t="s">
        <v>2352</v>
      </c>
      <c r="E3220" s="49" t="str">
        <f aca="false">"5942326400483"</f>
        <v>5942326400483</v>
      </c>
      <c r="F3220" s="49" t="s">
        <v>3651</v>
      </c>
      <c r="G3220" s="49" t="n">
        <v>0</v>
      </c>
      <c r="H3220" s="0" t="n">
        <v>0</v>
      </c>
      <c r="M3220" s="51" t="s">
        <v>6647</v>
      </c>
      <c r="N3220" s="49" t="n">
        <v>0</v>
      </c>
      <c r="O3220" s="53" t="n">
        <v>45762.6254861111</v>
      </c>
      <c r="P3220" s="53" t="n">
        <v>45778.8447222222</v>
      </c>
      <c r="Q3220" s="53" t="n">
        <v>45762.6254861111</v>
      </c>
      <c r="R3220" s="0" t="n">
        <v>0</v>
      </c>
      <c r="S3220" s="51" t="s">
        <v>2380</v>
      </c>
      <c r="T3220" s="51" t="s">
        <v>2380</v>
      </c>
      <c r="U3220" s="0" t="str">
        <f aca="false">"5942326400483"</f>
        <v>5942326400483</v>
      </c>
      <c r="V3220" s="51" t="s">
        <v>2365</v>
      </c>
      <c r="W3220" s="51" t="s">
        <v>4431</v>
      </c>
      <c r="X3220" s="51" t="s">
        <v>2359</v>
      </c>
    </row>
    <row r="3221" customFormat="false" ht="14.25" hidden="true" customHeight="false" outlineLevel="0" collapsed="false">
      <c r="A3221" s="49" t="s">
        <v>2349</v>
      </c>
      <c r="B3221" s="49" t="s">
        <v>2350</v>
      </c>
      <c r="C3221" s="49" t="s">
        <v>6660</v>
      </c>
      <c r="D3221" s="49" t="s">
        <v>2352</v>
      </c>
      <c r="E3221" s="49" t="str">
        <f aca="false">"5942326400483"</f>
        <v>5942326400483</v>
      </c>
      <c r="F3221" s="49" t="s">
        <v>3651</v>
      </c>
      <c r="G3221" s="49" t="n">
        <v>0</v>
      </c>
      <c r="H3221" s="0" t="n">
        <v>0</v>
      </c>
      <c r="M3221" s="51" t="s">
        <v>6647</v>
      </c>
      <c r="N3221" s="49" t="n">
        <v>0</v>
      </c>
      <c r="O3221" s="53" t="n">
        <v>45762.625625</v>
      </c>
      <c r="P3221" s="53" t="n">
        <v>45788.4604976852</v>
      </c>
      <c r="Q3221" s="53" t="n">
        <v>45762.625625</v>
      </c>
      <c r="R3221" s="0" t="n">
        <v>0</v>
      </c>
      <c r="S3221" s="51" t="s">
        <v>2380</v>
      </c>
      <c r="T3221" s="51" t="s">
        <v>2380</v>
      </c>
      <c r="U3221" s="0" t="str">
        <f aca="false">"5942326400483"</f>
        <v>5942326400483</v>
      </c>
      <c r="V3221" s="51" t="s">
        <v>2365</v>
      </c>
      <c r="W3221" s="51" t="s">
        <v>6661</v>
      </c>
      <c r="X3221" s="51" t="s">
        <v>2359</v>
      </c>
    </row>
    <row r="3222" customFormat="false" ht="14.25" hidden="true" customHeight="false" outlineLevel="0" collapsed="false">
      <c r="A3222" s="49" t="s">
        <v>2349</v>
      </c>
      <c r="B3222" s="49" t="s">
        <v>2350</v>
      </c>
      <c r="C3222" s="49" t="s">
        <v>6662</v>
      </c>
      <c r="D3222" s="49" t="s">
        <v>2352</v>
      </c>
      <c r="E3222" s="49" t="str">
        <f aca="false">"5942326400483"</f>
        <v>5942326400483</v>
      </c>
      <c r="F3222" s="49" t="s">
        <v>3651</v>
      </c>
      <c r="G3222" s="49" t="n">
        <v>0</v>
      </c>
      <c r="H3222" s="0" t="n">
        <v>0</v>
      </c>
      <c r="M3222" s="51" t="s">
        <v>6647</v>
      </c>
      <c r="N3222" s="49" t="n">
        <v>0</v>
      </c>
      <c r="O3222" s="53" t="n">
        <v>45762.6257986111</v>
      </c>
      <c r="P3222" s="53" t="n">
        <v>45798.8764236111</v>
      </c>
      <c r="Q3222" s="53" t="n">
        <v>45762.6257986111</v>
      </c>
      <c r="R3222" s="0" t="n">
        <v>0</v>
      </c>
      <c r="S3222" s="51" t="s">
        <v>2380</v>
      </c>
      <c r="T3222" s="51" t="s">
        <v>2380</v>
      </c>
      <c r="U3222" s="0" t="str">
        <f aca="false">"5942326400483"</f>
        <v>5942326400483</v>
      </c>
      <c r="V3222" s="51" t="s">
        <v>2365</v>
      </c>
      <c r="W3222" s="51" t="s">
        <v>6663</v>
      </c>
      <c r="X3222" s="51" t="s">
        <v>2359</v>
      </c>
    </row>
    <row r="3223" customFormat="false" ht="14.25" hidden="true" customHeight="false" outlineLevel="0" collapsed="false">
      <c r="A3223" s="49" t="s">
        <v>2349</v>
      </c>
      <c r="B3223" s="49" t="s">
        <v>2350</v>
      </c>
      <c r="C3223" s="49" t="s">
        <v>6664</v>
      </c>
      <c r="D3223" s="49" t="s">
        <v>2352</v>
      </c>
      <c r="E3223" s="49" t="str">
        <f aca="false">"5942326400483"</f>
        <v>5942326400483</v>
      </c>
      <c r="F3223" s="49" t="s">
        <v>3651</v>
      </c>
      <c r="G3223" s="49" t="n">
        <v>0</v>
      </c>
      <c r="H3223" s="0" t="n">
        <v>0</v>
      </c>
      <c r="M3223" s="51" t="s">
        <v>6647</v>
      </c>
      <c r="N3223" s="49" t="n">
        <v>0</v>
      </c>
      <c r="O3223" s="53" t="n">
        <v>45762.6259837963</v>
      </c>
      <c r="P3223" s="53" t="n">
        <v>45794.7895949074</v>
      </c>
      <c r="Q3223" s="53" t="n">
        <v>45762.6259837963</v>
      </c>
      <c r="R3223" s="0" t="n">
        <v>0</v>
      </c>
      <c r="S3223" s="51" t="s">
        <v>2380</v>
      </c>
      <c r="T3223" s="51" t="s">
        <v>2380</v>
      </c>
      <c r="U3223" s="0" t="str">
        <f aca="false">"5942326400483"</f>
        <v>5942326400483</v>
      </c>
      <c r="V3223" s="51" t="s">
        <v>2365</v>
      </c>
      <c r="W3223" s="51" t="s">
        <v>4822</v>
      </c>
      <c r="X3223" s="51" t="s">
        <v>2359</v>
      </c>
    </row>
    <row r="3224" customFormat="false" ht="14.25" hidden="true" customHeight="false" outlineLevel="0" collapsed="false">
      <c r="A3224" s="49" t="s">
        <v>2349</v>
      </c>
      <c r="B3224" s="49" t="s">
        <v>2350</v>
      </c>
      <c r="C3224" s="49" t="s">
        <v>6665</v>
      </c>
      <c r="D3224" s="49" t="s">
        <v>2352</v>
      </c>
      <c r="E3224" s="49" t="str">
        <f aca="false">"5942326400483"</f>
        <v>5942326400483</v>
      </c>
      <c r="F3224" s="49" t="s">
        <v>3651</v>
      </c>
      <c r="G3224" s="49" t="n">
        <v>0</v>
      </c>
      <c r="H3224" s="0" t="n">
        <v>0</v>
      </c>
      <c r="M3224" s="51" t="s">
        <v>6647</v>
      </c>
      <c r="N3224" s="49" t="n">
        <v>0</v>
      </c>
      <c r="O3224" s="53" t="n">
        <v>45762.6261574074</v>
      </c>
      <c r="P3224" s="53" t="n">
        <v>45796.8927199074</v>
      </c>
      <c r="Q3224" s="53" t="n">
        <v>45762.6261574074</v>
      </c>
      <c r="R3224" s="0" t="n">
        <v>0</v>
      </c>
      <c r="S3224" s="51" t="s">
        <v>2380</v>
      </c>
      <c r="T3224" s="51" t="s">
        <v>2380</v>
      </c>
      <c r="U3224" s="0" t="str">
        <f aca="false">"5942326400483"</f>
        <v>5942326400483</v>
      </c>
      <c r="V3224" s="51" t="s">
        <v>2365</v>
      </c>
      <c r="W3224" s="51" t="s">
        <v>6666</v>
      </c>
      <c r="X3224" s="51" t="s">
        <v>2359</v>
      </c>
    </row>
    <row r="3225" customFormat="false" ht="14.25" hidden="true" customHeight="false" outlineLevel="0" collapsed="false">
      <c r="A3225" s="49" t="s">
        <v>2349</v>
      </c>
      <c r="B3225" s="49" t="s">
        <v>2350</v>
      </c>
      <c r="C3225" s="49" t="s">
        <v>6667</v>
      </c>
      <c r="D3225" s="49" t="s">
        <v>2352</v>
      </c>
      <c r="E3225" s="49" t="str">
        <f aca="false">"5942326400483"</f>
        <v>5942326400483</v>
      </c>
      <c r="F3225" s="49" t="s">
        <v>3651</v>
      </c>
      <c r="G3225" s="49" t="n">
        <v>0</v>
      </c>
      <c r="H3225" s="0" t="n">
        <v>0</v>
      </c>
      <c r="M3225" s="51" t="s">
        <v>6647</v>
      </c>
      <c r="N3225" s="49" t="n">
        <v>0</v>
      </c>
      <c r="O3225" s="53" t="n">
        <v>45762.6274189815</v>
      </c>
      <c r="P3225" s="53" t="n">
        <v>45766.6130902778</v>
      </c>
      <c r="Q3225" s="53" t="n">
        <v>45762.6274189815</v>
      </c>
      <c r="R3225" s="0" t="n">
        <v>0</v>
      </c>
      <c r="S3225" s="51" t="s">
        <v>2380</v>
      </c>
      <c r="T3225" s="51" t="s">
        <v>2380</v>
      </c>
      <c r="U3225" s="0" t="str">
        <f aca="false">"5942326400483"</f>
        <v>5942326400483</v>
      </c>
      <c r="V3225" s="51" t="s">
        <v>2365</v>
      </c>
      <c r="W3225" s="51" t="s">
        <v>6668</v>
      </c>
      <c r="X3225" s="51" t="s">
        <v>2359</v>
      </c>
    </row>
    <row r="3226" customFormat="false" ht="14.25" hidden="true" customHeight="false" outlineLevel="0" collapsed="false">
      <c r="A3226" s="49" t="s">
        <v>2349</v>
      </c>
      <c r="B3226" s="49" t="s">
        <v>2350</v>
      </c>
      <c r="C3226" s="49" t="s">
        <v>6669</v>
      </c>
      <c r="D3226" s="49" t="s">
        <v>2352</v>
      </c>
      <c r="E3226" s="49" t="str">
        <f aca="false">"5942326400483"</f>
        <v>5942326400483</v>
      </c>
      <c r="F3226" s="49" t="s">
        <v>3651</v>
      </c>
      <c r="G3226" s="49" t="n">
        <v>0</v>
      </c>
      <c r="H3226" s="0" t="n">
        <v>0</v>
      </c>
      <c r="M3226" s="51" t="s">
        <v>6647</v>
      </c>
      <c r="N3226" s="49" t="n">
        <v>0</v>
      </c>
      <c r="O3226" s="53" t="n">
        <v>45762.6275810185</v>
      </c>
      <c r="P3226" s="53" t="n">
        <v>45766.6112615741</v>
      </c>
      <c r="Q3226" s="53" t="n">
        <v>45762.6275810185</v>
      </c>
      <c r="R3226" s="0" t="n">
        <v>0</v>
      </c>
      <c r="S3226" s="51" t="s">
        <v>2380</v>
      </c>
      <c r="T3226" s="51" t="s">
        <v>2380</v>
      </c>
      <c r="U3226" s="0" t="str">
        <f aca="false">"5942326400483"</f>
        <v>5942326400483</v>
      </c>
      <c r="V3226" s="51" t="s">
        <v>2365</v>
      </c>
      <c r="W3226" s="51" t="s">
        <v>6495</v>
      </c>
      <c r="X3226" s="51" t="s">
        <v>2359</v>
      </c>
    </row>
    <row r="3227" customFormat="false" ht="14.25" hidden="true" customHeight="false" outlineLevel="0" collapsed="false">
      <c r="A3227" s="49" t="s">
        <v>2349</v>
      </c>
      <c r="B3227" s="49" t="s">
        <v>2350</v>
      </c>
      <c r="C3227" s="49" t="s">
        <v>6670</v>
      </c>
      <c r="D3227" s="49" t="s">
        <v>2352</v>
      </c>
      <c r="E3227" s="49" t="str">
        <f aca="false">"5942326400483"</f>
        <v>5942326400483</v>
      </c>
      <c r="F3227" s="49" t="s">
        <v>3651</v>
      </c>
      <c r="G3227" s="49" t="n">
        <v>0</v>
      </c>
      <c r="H3227" s="0" t="n">
        <v>0</v>
      </c>
      <c r="M3227" s="51" t="s">
        <v>6647</v>
      </c>
      <c r="N3227" s="49" t="n">
        <v>0</v>
      </c>
      <c r="O3227" s="53" t="n">
        <v>45762.6277430556</v>
      </c>
      <c r="P3227" s="53" t="n">
        <v>45766.6128935185</v>
      </c>
      <c r="Q3227" s="53" t="n">
        <v>45762.6277430556</v>
      </c>
      <c r="R3227" s="0" t="n">
        <v>0</v>
      </c>
      <c r="S3227" s="51" t="s">
        <v>2380</v>
      </c>
      <c r="T3227" s="51" t="s">
        <v>2380</v>
      </c>
      <c r="U3227" s="0" t="str">
        <f aca="false">"5942326400483"</f>
        <v>5942326400483</v>
      </c>
      <c r="V3227" s="51" t="s">
        <v>2365</v>
      </c>
      <c r="W3227" s="51" t="s">
        <v>6497</v>
      </c>
      <c r="X3227" s="51" t="s">
        <v>2359</v>
      </c>
    </row>
    <row r="3228" customFormat="false" ht="14.25" hidden="true" customHeight="false" outlineLevel="0" collapsed="false">
      <c r="A3228" s="49" t="s">
        <v>2349</v>
      </c>
      <c r="B3228" s="49" t="s">
        <v>2350</v>
      </c>
      <c r="C3228" s="49" t="s">
        <v>6671</v>
      </c>
      <c r="D3228" s="49" t="s">
        <v>2352</v>
      </c>
      <c r="E3228" s="49" t="str">
        <f aca="false">"5942326400483"</f>
        <v>5942326400483</v>
      </c>
      <c r="F3228" s="49" t="s">
        <v>3651</v>
      </c>
      <c r="G3228" s="49" t="n">
        <v>0</v>
      </c>
      <c r="H3228" s="0" t="n">
        <v>0</v>
      </c>
      <c r="M3228" s="51" t="s">
        <v>6647</v>
      </c>
      <c r="N3228" s="49" t="n">
        <v>0</v>
      </c>
      <c r="O3228" s="53" t="n">
        <v>45762.6279513889</v>
      </c>
      <c r="P3228" s="53" t="n">
        <v>45766.6135763889</v>
      </c>
      <c r="Q3228" s="53" t="n">
        <v>45762.6279513889</v>
      </c>
      <c r="R3228" s="0" t="n">
        <v>0</v>
      </c>
      <c r="S3228" s="51" t="s">
        <v>2380</v>
      </c>
      <c r="T3228" s="51" t="s">
        <v>2380</v>
      </c>
      <c r="U3228" s="0" t="str">
        <f aca="false">"5942326400483"</f>
        <v>5942326400483</v>
      </c>
      <c r="V3228" s="51" t="s">
        <v>2365</v>
      </c>
      <c r="W3228" s="51" t="s">
        <v>6499</v>
      </c>
      <c r="X3228" s="51" t="s">
        <v>2359</v>
      </c>
    </row>
    <row r="3229" customFormat="false" ht="14.25" hidden="true" customHeight="false" outlineLevel="0" collapsed="false">
      <c r="A3229" s="49" t="s">
        <v>2349</v>
      </c>
      <c r="B3229" s="49" t="s">
        <v>2350</v>
      </c>
      <c r="C3229" s="49" t="s">
        <v>6672</v>
      </c>
      <c r="D3229" s="49" t="s">
        <v>2352</v>
      </c>
      <c r="E3229" s="49" t="str">
        <f aca="false">"5942326400483"</f>
        <v>5942326400483</v>
      </c>
      <c r="F3229" s="49" t="s">
        <v>3651</v>
      </c>
      <c r="G3229" s="49" t="n">
        <v>0</v>
      </c>
      <c r="H3229" s="0" t="n">
        <v>0</v>
      </c>
      <c r="M3229" s="51" t="s">
        <v>6647</v>
      </c>
      <c r="N3229" s="49" t="n">
        <v>0</v>
      </c>
      <c r="O3229" s="53" t="n">
        <v>45762.6281134259</v>
      </c>
      <c r="P3229" s="53" t="n">
        <v>45774.4577083333</v>
      </c>
      <c r="Q3229" s="53" t="n">
        <v>45762.6281134259</v>
      </c>
      <c r="R3229" s="0" t="n">
        <v>0</v>
      </c>
      <c r="S3229" s="51" t="s">
        <v>2380</v>
      </c>
      <c r="T3229" s="51" t="s">
        <v>2380</v>
      </c>
      <c r="U3229" s="0" t="str">
        <f aca="false">"5942326400483"</f>
        <v>5942326400483</v>
      </c>
      <c r="V3229" s="51" t="s">
        <v>2365</v>
      </c>
      <c r="W3229" s="51" t="s">
        <v>3672</v>
      </c>
      <c r="X3229" s="51" t="s">
        <v>2359</v>
      </c>
    </row>
    <row r="3230" customFormat="false" ht="14.25" hidden="true" customHeight="false" outlineLevel="0" collapsed="false">
      <c r="A3230" s="49" t="s">
        <v>2349</v>
      </c>
      <c r="B3230" s="49" t="s">
        <v>2350</v>
      </c>
      <c r="C3230" s="49" t="s">
        <v>6673</v>
      </c>
      <c r="D3230" s="49" t="s">
        <v>2352</v>
      </c>
      <c r="E3230" s="49" t="str">
        <f aca="false">"041500819389"</f>
        <v>041500819389</v>
      </c>
      <c r="F3230" s="49" t="s">
        <v>6674</v>
      </c>
      <c r="G3230" s="49" t="n">
        <v>0</v>
      </c>
      <c r="H3230" s="0" t="n">
        <v>0</v>
      </c>
      <c r="M3230" s="51" t="s">
        <v>6675</v>
      </c>
      <c r="N3230" s="49" t="n">
        <v>0</v>
      </c>
      <c r="O3230" s="53" t="n">
        <v>45757.373287037</v>
      </c>
      <c r="P3230" s="53" t="n">
        <v>45760.7663773148</v>
      </c>
      <c r="Q3230" s="53" t="n">
        <v>45757.373287037</v>
      </c>
      <c r="R3230" s="0" t="n">
        <v>0</v>
      </c>
      <c r="S3230" s="51" t="s">
        <v>2380</v>
      </c>
      <c r="T3230" s="51" t="s">
        <v>2380</v>
      </c>
      <c r="U3230" s="0" t="str">
        <f aca="false">"041500819389"</f>
        <v>041500819389</v>
      </c>
      <c r="V3230" s="51" t="s">
        <v>2365</v>
      </c>
      <c r="W3230" s="51" t="s">
        <v>5361</v>
      </c>
      <c r="X3230" s="51" t="s">
        <v>2359</v>
      </c>
    </row>
    <row r="3231" customFormat="false" ht="14.25" hidden="true" customHeight="false" outlineLevel="0" collapsed="false">
      <c r="A3231" s="49" t="s">
        <v>2349</v>
      </c>
      <c r="B3231" s="49" t="s">
        <v>2350</v>
      </c>
      <c r="C3231" s="49" t="s">
        <v>6676</v>
      </c>
      <c r="D3231" s="49" t="s">
        <v>2352</v>
      </c>
      <c r="E3231" s="49" t="str">
        <f aca="false">"041500819389"</f>
        <v>041500819389</v>
      </c>
      <c r="F3231" s="49" t="s">
        <v>6674</v>
      </c>
      <c r="G3231" s="49" t="n">
        <v>0</v>
      </c>
      <c r="H3231" s="0" t="n">
        <v>0</v>
      </c>
      <c r="M3231" s="51" t="s">
        <v>6675</v>
      </c>
      <c r="N3231" s="49" t="n">
        <v>0</v>
      </c>
      <c r="O3231" s="53" t="n">
        <v>45757.3736226852</v>
      </c>
      <c r="P3231" s="53" t="n">
        <v>45760.7680439815</v>
      </c>
      <c r="Q3231" s="53" t="n">
        <v>45757.3736226852</v>
      </c>
      <c r="R3231" s="0" t="n">
        <v>0</v>
      </c>
      <c r="S3231" s="51" t="s">
        <v>2380</v>
      </c>
      <c r="T3231" s="51" t="s">
        <v>2380</v>
      </c>
      <c r="U3231" s="0" t="str">
        <f aca="false">"041500819389"</f>
        <v>041500819389</v>
      </c>
      <c r="V3231" s="51" t="s">
        <v>2365</v>
      </c>
      <c r="W3231" s="51" t="s">
        <v>4405</v>
      </c>
      <c r="X3231" s="51" t="s">
        <v>2359</v>
      </c>
    </row>
    <row r="3232" customFormat="false" ht="14.25" hidden="true" customHeight="false" outlineLevel="0" collapsed="false">
      <c r="A3232" s="49" t="s">
        <v>2349</v>
      </c>
      <c r="B3232" s="49" t="s">
        <v>2350</v>
      </c>
      <c r="C3232" s="49" t="s">
        <v>6677</v>
      </c>
      <c r="D3232" s="49" t="s">
        <v>2352</v>
      </c>
      <c r="E3232" s="49" t="str">
        <f aca="false">"10074865055175"</f>
        <v>10074865055175</v>
      </c>
      <c r="F3232" s="49" t="s">
        <v>5090</v>
      </c>
      <c r="G3232" s="49" t="n">
        <v>0</v>
      </c>
      <c r="H3232" s="0" t="n">
        <v>0</v>
      </c>
      <c r="M3232" s="51" t="s">
        <v>6678</v>
      </c>
      <c r="N3232" s="49" t="n">
        <v>0</v>
      </c>
      <c r="O3232" s="53" t="n">
        <v>45761.4768055556</v>
      </c>
      <c r="P3232" s="53" t="n">
        <v>45837.4403240741</v>
      </c>
      <c r="Q3232" s="53" t="n">
        <v>45761.4768055556</v>
      </c>
      <c r="R3232" s="0" t="n">
        <v>0</v>
      </c>
      <c r="S3232" s="51" t="s">
        <v>2380</v>
      </c>
      <c r="T3232" s="51" t="s">
        <v>2380</v>
      </c>
      <c r="U3232" s="0" t="str">
        <f aca="false">"10074865055175"</f>
        <v>10074865055175</v>
      </c>
      <c r="V3232" s="51" t="s">
        <v>2365</v>
      </c>
      <c r="W3232" s="51" t="s">
        <v>6679</v>
      </c>
      <c r="X3232" s="51" t="s">
        <v>2359</v>
      </c>
    </row>
    <row r="3233" customFormat="false" ht="14.25" hidden="true" customHeight="false" outlineLevel="0" collapsed="false">
      <c r="A3233" s="49" t="s">
        <v>2349</v>
      </c>
      <c r="B3233" s="49" t="s">
        <v>2350</v>
      </c>
      <c r="C3233" s="49" t="s">
        <v>6680</v>
      </c>
      <c r="D3233" s="49" t="s">
        <v>2352</v>
      </c>
      <c r="E3233" s="49" t="str">
        <f aca="false">"10074865055175"</f>
        <v>10074865055175</v>
      </c>
      <c r="F3233" s="49" t="s">
        <v>5090</v>
      </c>
      <c r="G3233" s="49" t="n">
        <v>0</v>
      </c>
      <c r="H3233" s="0" t="n">
        <v>0</v>
      </c>
      <c r="M3233" s="51" t="s">
        <v>6678</v>
      </c>
      <c r="N3233" s="49" t="n">
        <v>0</v>
      </c>
      <c r="O3233" s="53" t="n">
        <v>45761.4775115741</v>
      </c>
      <c r="P3233" s="53" t="n">
        <v>45846.3741203704</v>
      </c>
      <c r="Q3233" s="53" t="n">
        <v>45761.4775115741</v>
      </c>
      <c r="R3233" s="0" t="n">
        <v>0</v>
      </c>
      <c r="S3233" s="51" t="s">
        <v>2380</v>
      </c>
      <c r="T3233" s="51" t="s">
        <v>2380</v>
      </c>
      <c r="U3233" s="0" t="str">
        <f aca="false">"10074865055175"</f>
        <v>10074865055175</v>
      </c>
      <c r="V3233" s="51" t="s">
        <v>2365</v>
      </c>
      <c r="W3233" s="51" t="s">
        <v>6681</v>
      </c>
      <c r="X3233" s="51" t="s">
        <v>2359</v>
      </c>
    </row>
    <row r="3234" customFormat="false" ht="14.25" hidden="true" customHeight="false" outlineLevel="0" collapsed="false">
      <c r="A3234" s="49" t="s">
        <v>2349</v>
      </c>
      <c r="B3234" s="49" t="s">
        <v>2350</v>
      </c>
      <c r="C3234" s="49" t="s">
        <v>6682</v>
      </c>
      <c r="D3234" s="49" t="s">
        <v>2352</v>
      </c>
      <c r="E3234" s="49" t="str">
        <f aca="false">"10074865055175"</f>
        <v>10074865055175</v>
      </c>
      <c r="F3234" s="49" t="s">
        <v>5090</v>
      </c>
      <c r="G3234" s="49" t="n">
        <v>0</v>
      </c>
      <c r="H3234" s="0" t="n">
        <v>0</v>
      </c>
      <c r="M3234" s="51" t="s">
        <v>6678</v>
      </c>
      <c r="N3234" s="49" t="n">
        <v>0</v>
      </c>
      <c r="O3234" s="53" t="n">
        <v>45761.477974537</v>
      </c>
      <c r="P3234" s="53" t="n">
        <v>45855.9413888889</v>
      </c>
      <c r="Q3234" s="53" t="n">
        <v>45761.477974537</v>
      </c>
      <c r="R3234" s="0" t="n">
        <v>0</v>
      </c>
      <c r="S3234" s="51" t="s">
        <v>2380</v>
      </c>
      <c r="T3234" s="51" t="s">
        <v>2380</v>
      </c>
      <c r="U3234" s="0" t="str">
        <f aca="false">"10074865055175"</f>
        <v>10074865055175</v>
      </c>
      <c r="V3234" s="51" t="s">
        <v>2365</v>
      </c>
      <c r="W3234" s="51" t="s">
        <v>6683</v>
      </c>
      <c r="X3234" s="51" t="s">
        <v>2359</v>
      </c>
    </row>
    <row r="3235" customFormat="false" ht="14.25" hidden="true" customHeight="false" outlineLevel="0" collapsed="false">
      <c r="A3235" s="49" t="s">
        <v>2349</v>
      </c>
      <c r="B3235" s="49" t="s">
        <v>2350</v>
      </c>
      <c r="C3235" s="49" t="s">
        <v>6684</v>
      </c>
      <c r="D3235" s="49" t="s">
        <v>2352</v>
      </c>
      <c r="E3235" s="49" t="str">
        <f aca="false">"10074865055175"</f>
        <v>10074865055175</v>
      </c>
      <c r="F3235" s="49" t="s">
        <v>5090</v>
      </c>
      <c r="G3235" s="49" t="n">
        <v>0</v>
      </c>
      <c r="H3235" s="0" t="n">
        <v>0</v>
      </c>
      <c r="M3235" s="51" t="s">
        <v>6678</v>
      </c>
      <c r="N3235" s="49" t="n">
        <v>0</v>
      </c>
      <c r="O3235" s="53" t="n">
        <v>45761.4786342593</v>
      </c>
      <c r="P3235" s="53" t="n">
        <v>45900.7760069444</v>
      </c>
      <c r="Q3235" s="53" t="n">
        <v>45761.4786342593</v>
      </c>
      <c r="R3235" s="0" t="n">
        <v>0</v>
      </c>
      <c r="S3235" s="51" t="s">
        <v>2380</v>
      </c>
      <c r="T3235" s="51" t="s">
        <v>2380</v>
      </c>
      <c r="U3235" s="0" t="str">
        <f aca="false">"10074865055175"</f>
        <v>10074865055175</v>
      </c>
      <c r="V3235" s="51" t="s">
        <v>2365</v>
      </c>
      <c r="W3235" s="51" t="s">
        <v>4816</v>
      </c>
      <c r="X3235" s="51" t="s">
        <v>2359</v>
      </c>
    </row>
    <row r="3236" customFormat="false" ht="14.25" hidden="true" customHeight="false" outlineLevel="0" collapsed="false">
      <c r="A3236" s="49" t="s">
        <v>2349</v>
      </c>
      <c r="B3236" s="49" t="s">
        <v>2350</v>
      </c>
      <c r="C3236" s="49" t="s">
        <v>6685</v>
      </c>
      <c r="D3236" s="49" t="s">
        <v>2352</v>
      </c>
      <c r="E3236" s="49" t="str">
        <f aca="false">"10074865055175"</f>
        <v>10074865055175</v>
      </c>
      <c r="F3236" s="49" t="s">
        <v>5090</v>
      </c>
      <c r="G3236" s="49" t="n">
        <v>0</v>
      </c>
      <c r="H3236" s="0" t="n">
        <v>0</v>
      </c>
      <c r="M3236" s="51" t="s">
        <v>6678</v>
      </c>
      <c r="N3236" s="49" t="n">
        <v>0</v>
      </c>
      <c r="O3236" s="53" t="n">
        <v>45761.4790972222</v>
      </c>
      <c r="P3236" s="53" t="n">
        <v>45908.4047800926</v>
      </c>
      <c r="Q3236" s="53" t="n">
        <v>45761.4790972222</v>
      </c>
      <c r="R3236" s="0" t="n">
        <v>0</v>
      </c>
      <c r="S3236" s="51" t="s">
        <v>2380</v>
      </c>
      <c r="T3236" s="51" t="s">
        <v>2380</v>
      </c>
      <c r="U3236" s="0" t="str">
        <f aca="false">"10074865055175"</f>
        <v>10074865055175</v>
      </c>
      <c r="V3236" s="51" t="s">
        <v>2365</v>
      </c>
      <c r="W3236" s="51" t="s">
        <v>4959</v>
      </c>
      <c r="X3236" s="51" t="s">
        <v>2359</v>
      </c>
    </row>
    <row r="3237" customFormat="false" ht="14.25" hidden="true" customHeight="false" outlineLevel="0" collapsed="false">
      <c r="A3237" s="49" t="s">
        <v>2349</v>
      </c>
      <c r="B3237" s="49" t="s">
        <v>2350</v>
      </c>
      <c r="C3237" s="49" t="s">
        <v>6686</v>
      </c>
      <c r="D3237" s="49" t="s">
        <v>2352</v>
      </c>
      <c r="E3237" s="49" t="str">
        <f aca="false">"10074865055175"</f>
        <v>10074865055175</v>
      </c>
      <c r="F3237" s="49" t="s">
        <v>5090</v>
      </c>
      <c r="G3237" s="49" t="n">
        <v>0</v>
      </c>
      <c r="H3237" s="0" t="n">
        <v>0</v>
      </c>
      <c r="M3237" s="51" t="s">
        <v>6678</v>
      </c>
      <c r="N3237" s="49" t="n">
        <v>0</v>
      </c>
      <c r="O3237" s="53" t="n">
        <v>45761.4794444444</v>
      </c>
      <c r="P3237" s="53" t="n">
        <v>45908.4108680556</v>
      </c>
      <c r="Q3237" s="53" t="n">
        <v>45761.4794444444</v>
      </c>
      <c r="R3237" s="0" t="n">
        <v>0</v>
      </c>
      <c r="S3237" s="51" t="s">
        <v>2380</v>
      </c>
      <c r="T3237" s="51" t="s">
        <v>2380</v>
      </c>
      <c r="U3237" s="0" t="str">
        <f aca="false">"10074865055175"</f>
        <v>10074865055175</v>
      </c>
      <c r="V3237" s="51" t="s">
        <v>2365</v>
      </c>
      <c r="W3237" s="51" t="s">
        <v>6648</v>
      </c>
      <c r="X3237" s="51" t="s">
        <v>2359</v>
      </c>
    </row>
    <row r="3238" customFormat="false" ht="14.25" hidden="true" customHeight="false" outlineLevel="0" collapsed="false">
      <c r="A3238" s="49" t="s">
        <v>2349</v>
      </c>
      <c r="B3238" s="49" t="s">
        <v>2350</v>
      </c>
      <c r="C3238" s="49" t="s">
        <v>6687</v>
      </c>
      <c r="D3238" s="49" t="s">
        <v>2352</v>
      </c>
      <c r="E3238" s="49" t="str">
        <f aca="false">"10074865055175"</f>
        <v>10074865055175</v>
      </c>
      <c r="F3238" s="49" t="s">
        <v>5090</v>
      </c>
      <c r="G3238" s="49" t="n">
        <v>0</v>
      </c>
      <c r="H3238" s="0" t="n">
        <v>0</v>
      </c>
      <c r="M3238" s="51" t="s">
        <v>6678</v>
      </c>
      <c r="N3238" s="49" t="n">
        <v>0</v>
      </c>
      <c r="O3238" s="53" t="n">
        <v>45761.4805092593</v>
      </c>
      <c r="P3238" s="53" t="n">
        <v>45914.5731365741</v>
      </c>
      <c r="Q3238" s="53" t="n">
        <v>45761.4805092593</v>
      </c>
      <c r="R3238" s="0" t="n">
        <v>0</v>
      </c>
      <c r="S3238" s="51" t="s">
        <v>2380</v>
      </c>
      <c r="T3238" s="51" t="s">
        <v>2380</v>
      </c>
      <c r="U3238" s="0" t="str">
        <f aca="false">"10074865055175"</f>
        <v>10074865055175</v>
      </c>
      <c r="V3238" s="51" t="s">
        <v>2365</v>
      </c>
      <c r="W3238" s="51" t="s">
        <v>6688</v>
      </c>
      <c r="X3238" s="51" t="s">
        <v>2359</v>
      </c>
    </row>
    <row r="3239" customFormat="false" ht="14.25" hidden="true" customHeight="false" outlineLevel="0" collapsed="false">
      <c r="A3239" s="49" t="s">
        <v>2349</v>
      </c>
      <c r="B3239" s="49" t="s">
        <v>2350</v>
      </c>
      <c r="C3239" s="49" t="s">
        <v>6689</v>
      </c>
      <c r="D3239" s="49" t="s">
        <v>2352</v>
      </c>
      <c r="E3239" s="49" t="str">
        <f aca="false">"10074865055175"</f>
        <v>10074865055175</v>
      </c>
      <c r="F3239" s="49" t="s">
        <v>5090</v>
      </c>
      <c r="G3239" s="49" t="n">
        <v>0</v>
      </c>
      <c r="H3239" s="0" t="n">
        <v>0</v>
      </c>
      <c r="M3239" s="51" t="s">
        <v>6678</v>
      </c>
      <c r="N3239" s="49" t="n">
        <v>0</v>
      </c>
      <c r="O3239" s="53" t="n">
        <v>45761.480787037</v>
      </c>
      <c r="P3239" s="53" t="n">
        <v>45837.4234722222</v>
      </c>
      <c r="Q3239" s="53" t="n">
        <v>45761.480787037</v>
      </c>
      <c r="R3239" s="0" t="n">
        <v>0</v>
      </c>
      <c r="S3239" s="51" t="s">
        <v>2380</v>
      </c>
      <c r="T3239" s="51" t="s">
        <v>2380</v>
      </c>
      <c r="U3239" s="0" t="str">
        <f aca="false">"10074865055175"</f>
        <v>10074865055175</v>
      </c>
      <c r="V3239" s="51" t="s">
        <v>2365</v>
      </c>
      <c r="W3239" s="51" t="s">
        <v>6690</v>
      </c>
      <c r="X3239" s="51" t="s">
        <v>2359</v>
      </c>
    </row>
    <row r="3240" customFormat="false" ht="14.25" hidden="true" customHeight="false" outlineLevel="0" collapsed="false">
      <c r="A3240" s="49" t="s">
        <v>2349</v>
      </c>
      <c r="B3240" s="49" t="s">
        <v>2350</v>
      </c>
      <c r="C3240" s="49" t="s">
        <v>6691</v>
      </c>
      <c r="D3240" s="49" t="s">
        <v>2352</v>
      </c>
      <c r="E3240" s="49" t="str">
        <f aca="false">"10074865055175"</f>
        <v>10074865055175</v>
      </c>
      <c r="F3240" s="49" t="s">
        <v>5090</v>
      </c>
      <c r="G3240" s="49" t="n">
        <v>0</v>
      </c>
      <c r="H3240" s="0" t="n">
        <v>0</v>
      </c>
      <c r="M3240" s="51" t="s">
        <v>6678</v>
      </c>
      <c r="N3240" s="49" t="n">
        <v>0</v>
      </c>
      <c r="O3240" s="53" t="n">
        <v>45761.4810763889</v>
      </c>
      <c r="P3240" s="53" t="n">
        <v>45964.9392708333</v>
      </c>
      <c r="Q3240" s="53" t="n">
        <v>45761.4810763889</v>
      </c>
      <c r="R3240" s="0" t="n">
        <v>0</v>
      </c>
      <c r="S3240" s="51" t="s">
        <v>2380</v>
      </c>
      <c r="T3240" s="51" t="s">
        <v>2380</v>
      </c>
      <c r="U3240" s="0" t="str">
        <f aca="false">"10074865055175"</f>
        <v>10074865055175</v>
      </c>
      <c r="V3240" s="51" t="s">
        <v>2365</v>
      </c>
      <c r="W3240" s="51" t="s">
        <v>4618</v>
      </c>
      <c r="X3240" s="51" t="s">
        <v>2359</v>
      </c>
    </row>
    <row r="3241" customFormat="false" ht="14.25" hidden="true" customHeight="false" outlineLevel="0" collapsed="false">
      <c r="A3241" s="49" t="s">
        <v>2349</v>
      </c>
      <c r="B3241" s="49" t="s">
        <v>2350</v>
      </c>
      <c r="C3241" s="49" t="s">
        <v>6692</v>
      </c>
      <c r="D3241" s="49" t="s">
        <v>2352</v>
      </c>
      <c r="E3241" s="49" t="str">
        <f aca="false">"10074865055175"</f>
        <v>10074865055175</v>
      </c>
      <c r="F3241" s="49" t="s">
        <v>5090</v>
      </c>
      <c r="G3241" s="49" t="n">
        <v>0</v>
      </c>
      <c r="H3241" s="0" t="n">
        <v>0</v>
      </c>
      <c r="M3241" s="51" t="s">
        <v>6678</v>
      </c>
      <c r="N3241" s="49" t="n">
        <v>0</v>
      </c>
      <c r="O3241" s="53" t="n">
        <v>45761.4817592593</v>
      </c>
      <c r="P3241" s="53" t="n">
        <v>45868.785775463</v>
      </c>
      <c r="Q3241" s="53" t="n">
        <v>45761.4817592593</v>
      </c>
      <c r="R3241" s="0" t="n">
        <v>0</v>
      </c>
      <c r="S3241" s="51" t="s">
        <v>2380</v>
      </c>
      <c r="T3241" s="51" t="s">
        <v>2380</v>
      </c>
      <c r="U3241" s="0" t="str">
        <f aca="false">"10074865055175"</f>
        <v>10074865055175</v>
      </c>
      <c r="V3241" s="51" t="s">
        <v>2365</v>
      </c>
      <c r="W3241" s="51" t="s">
        <v>6693</v>
      </c>
      <c r="X3241" s="51" t="s">
        <v>2359</v>
      </c>
    </row>
    <row r="3242" customFormat="false" ht="14.25" hidden="true" customHeight="false" outlineLevel="0" collapsed="false">
      <c r="A3242" s="49" t="s">
        <v>2349</v>
      </c>
      <c r="B3242" s="49" t="s">
        <v>2350</v>
      </c>
      <c r="C3242" s="49" t="s">
        <v>6694</v>
      </c>
      <c r="D3242" s="49" t="s">
        <v>2352</v>
      </c>
      <c r="E3242" s="49" t="str">
        <f aca="false">"10074865055175"</f>
        <v>10074865055175</v>
      </c>
      <c r="F3242" s="49" t="s">
        <v>5090</v>
      </c>
      <c r="G3242" s="49" t="n">
        <v>0</v>
      </c>
      <c r="H3242" s="0" t="n">
        <v>0</v>
      </c>
      <c r="M3242" s="51" t="s">
        <v>6678</v>
      </c>
      <c r="N3242" s="49" t="n">
        <v>0</v>
      </c>
      <c r="O3242" s="53" t="n">
        <v>45761.4821990741</v>
      </c>
      <c r="P3242" s="53" t="n">
        <v>45873.9020023148</v>
      </c>
      <c r="Q3242" s="53" t="n">
        <v>45761.4821990741</v>
      </c>
      <c r="R3242" s="0" t="n">
        <v>0</v>
      </c>
      <c r="S3242" s="51" t="s">
        <v>2380</v>
      </c>
      <c r="T3242" s="51" t="s">
        <v>2380</v>
      </c>
      <c r="U3242" s="0" t="str">
        <f aca="false">"10074865055175"</f>
        <v>10074865055175</v>
      </c>
      <c r="V3242" s="51" t="s">
        <v>2365</v>
      </c>
      <c r="W3242" s="51" t="s">
        <v>6695</v>
      </c>
      <c r="X3242" s="51" t="s">
        <v>2359</v>
      </c>
    </row>
    <row r="3243" customFormat="false" ht="14.25" hidden="true" customHeight="false" outlineLevel="0" collapsed="false">
      <c r="A3243" s="49" t="s">
        <v>2349</v>
      </c>
      <c r="B3243" s="49" t="s">
        <v>2350</v>
      </c>
      <c r="C3243" s="49" t="s">
        <v>6696</v>
      </c>
      <c r="D3243" s="49" t="s">
        <v>2352</v>
      </c>
      <c r="E3243" s="49" t="str">
        <f aca="false">"10074865055175"</f>
        <v>10074865055175</v>
      </c>
      <c r="F3243" s="49" t="s">
        <v>5090</v>
      </c>
      <c r="G3243" s="49" t="n">
        <v>0</v>
      </c>
      <c r="H3243" s="0" t="n">
        <v>0</v>
      </c>
      <c r="M3243" s="51" t="s">
        <v>6678</v>
      </c>
      <c r="N3243" s="49" t="n">
        <v>0</v>
      </c>
      <c r="O3243" s="53" t="n">
        <v>45761.4824652778</v>
      </c>
      <c r="P3243" s="53" t="n">
        <v>45868.7826388889</v>
      </c>
      <c r="Q3243" s="53" t="n">
        <v>45761.4824652778</v>
      </c>
      <c r="R3243" s="0" t="n">
        <v>0</v>
      </c>
      <c r="S3243" s="51" t="s">
        <v>2380</v>
      </c>
      <c r="T3243" s="51" t="s">
        <v>2380</v>
      </c>
      <c r="U3243" s="0" t="str">
        <f aca="false">"10074865055175"</f>
        <v>10074865055175</v>
      </c>
      <c r="V3243" s="51" t="s">
        <v>2365</v>
      </c>
      <c r="W3243" s="51" t="s">
        <v>6697</v>
      </c>
      <c r="X3243" s="51" t="s">
        <v>2359</v>
      </c>
    </row>
    <row r="3244" customFormat="false" ht="14.25" hidden="true" customHeight="false" outlineLevel="0" collapsed="false">
      <c r="A3244" s="49" t="s">
        <v>2349</v>
      </c>
      <c r="B3244" s="49" t="s">
        <v>2350</v>
      </c>
      <c r="C3244" s="49" t="s">
        <v>6698</v>
      </c>
      <c r="D3244" s="49" t="s">
        <v>2352</v>
      </c>
      <c r="E3244" s="49" t="str">
        <f aca="false">"10074865055175"</f>
        <v>10074865055175</v>
      </c>
      <c r="F3244" s="49" t="s">
        <v>5090</v>
      </c>
      <c r="G3244" s="49" t="n">
        <v>0</v>
      </c>
      <c r="H3244" s="0" t="n">
        <v>0</v>
      </c>
      <c r="M3244" s="51" t="s">
        <v>6678</v>
      </c>
      <c r="N3244" s="49" t="n">
        <v>0</v>
      </c>
      <c r="O3244" s="53" t="n">
        <v>45761.4830671296</v>
      </c>
      <c r="P3244" s="53" t="n">
        <v>45914.7878819444</v>
      </c>
      <c r="Q3244" s="53" t="n">
        <v>45761.4830671296</v>
      </c>
      <c r="R3244" s="0" t="n">
        <v>0</v>
      </c>
      <c r="S3244" s="51" t="s">
        <v>2380</v>
      </c>
      <c r="T3244" s="51" t="s">
        <v>2380</v>
      </c>
      <c r="U3244" s="0" t="str">
        <f aca="false">"10074865055175"</f>
        <v>10074865055175</v>
      </c>
      <c r="V3244" s="51" t="s">
        <v>2365</v>
      </c>
      <c r="W3244" s="51" t="s">
        <v>5774</v>
      </c>
      <c r="X3244" s="51" t="s">
        <v>2359</v>
      </c>
    </row>
    <row r="3245" customFormat="false" ht="14.25" hidden="true" customHeight="false" outlineLevel="0" collapsed="false">
      <c r="A3245" s="49" t="s">
        <v>2349</v>
      </c>
      <c r="B3245" s="49" t="s">
        <v>2350</v>
      </c>
      <c r="C3245" s="49" t="s">
        <v>6699</v>
      </c>
      <c r="D3245" s="49" t="s">
        <v>2352</v>
      </c>
      <c r="E3245" s="49" t="str">
        <f aca="false">"10074865055175"</f>
        <v>10074865055175</v>
      </c>
      <c r="F3245" s="49" t="s">
        <v>5090</v>
      </c>
      <c r="G3245" s="49" t="n">
        <v>0</v>
      </c>
      <c r="H3245" s="0" t="n">
        <v>0</v>
      </c>
      <c r="M3245" s="51" t="s">
        <v>6678</v>
      </c>
      <c r="N3245" s="49" t="n">
        <v>0</v>
      </c>
      <c r="O3245" s="53" t="n">
        <v>45761.4832407407</v>
      </c>
      <c r="P3245" s="53" t="n">
        <v>45855.9414814815</v>
      </c>
      <c r="Q3245" s="53" t="n">
        <v>45761.4832407407</v>
      </c>
      <c r="R3245" s="0" t="n">
        <v>0</v>
      </c>
      <c r="S3245" s="51" t="s">
        <v>2380</v>
      </c>
      <c r="T3245" s="51" t="s">
        <v>2380</v>
      </c>
      <c r="U3245" s="0" t="str">
        <f aca="false">"10074865055175"</f>
        <v>10074865055175</v>
      </c>
      <c r="V3245" s="51" t="s">
        <v>2365</v>
      </c>
      <c r="W3245" s="51" t="s">
        <v>6700</v>
      </c>
      <c r="X3245" s="51" t="s">
        <v>2359</v>
      </c>
    </row>
    <row r="3246" customFormat="false" ht="14.25" hidden="true" customHeight="false" outlineLevel="0" collapsed="false">
      <c r="A3246" s="49" t="s">
        <v>2349</v>
      </c>
      <c r="B3246" s="49" t="s">
        <v>2350</v>
      </c>
      <c r="C3246" s="49" t="s">
        <v>6701</v>
      </c>
      <c r="D3246" s="49" t="s">
        <v>2352</v>
      </c>
      <c r="E3246" s="49" t="str">
        <f aca="false">"10074865055175"</f>
        <v>10074865055175</v>
      </c>
      <c r="F3246" s="49" t="s">
        <v>5090</v>
      </c>
      <c r="G3246" s="49" t="n">
        <v>0</v>
      </c>
      <c r="H3246" s="0" t="n">
        <v>0</v>
      </c>
      <c r="M3246" s="51" t="s">
        <v>6678</v>
      </c>
      <c r="N3246" s="49" t="n">
        <v>0</v>
      </c>
      <c r="O3246" s="53" t="n">
        <v>45761.4837615741</v>
      </c>
      <c r="P3246" s="53" t="n">
        <v>45865.430775463</v>
      </c>
      <c r="Q3246" s="53" t="n">
        <v>45761.4837615741</v>
      </c>
      <c r="R3246" s="0" t="n">
        <v>0</v>
      </c>
      <c r="S3246" s="51" t="s">
        <v>2380</v>
      </c>
      <c r="T3246" s="51" t="s">
        <v>2380</v>
      </c>
      <c r="U3246" s="0" t="str">
        <f aca="false">"10074865055175"</f>
        <v>10074865055175</v>
      </c>
      <c r="V3246" s="51" t="s">
        <v>2365</v>
      </c>
      <c r="W3246" s="51" t="s">
        <v>6693</v>
      </c>
      <c r="X3246" s="51" t="s">
        <v>2359</v>
      </c>
    </row>
    <row r="3247" customFormat="false" ht="14.25" hidden="true" customHeight="false" outlineLevel="0" collapsed="false">
      <c r="A3247" s="49" t="s">
        <v>2349</v>
      </c>
      <c r="B3247" s="49" t="s">
        <v>2350</v>
      </c>
      <c r="C3247" s="49" t="s">
        <v>6702</v>
      </c>
      <c r="D3247" s="49" t="s">
        <v>2352</v>
      </c>
      <c r="E3247" s="49" t="str">
        <f aca="false">"10074865055175"</f>
        <v>10074865055175</v>
      </c>
      <c r="F3247" s="49" t="s">
        <v>5090</v>
      </c>
      <c r="G3247" s="49" t="n">
        <v>0</v>
      </c>
      <c r="H3247" s="0" t="n">
        <v>0</v>
      </c>
      <c r="M3247" s="51" t="s">
        <v>6678</v>
      </c>
      <c r="N3247" s="49" t="n">
        <v>0</v>
      </c>
      <c r="O3247" s="53" t="n">
        <v>45761.4840046296</v>
      </c>
      <c r="P3247" s="53" t="n">
        <v>45839.8806828704</v>
      </c>
      <c r="Q3247" s="53" t="n">
        <v>45761.4840046296</v>
      </c>
      <c r="R3247" s="0" t="n">
        <v>0</v>
      </c>
      <c r="S3247" s="51" t="s">
        <v>2380</v>
      </c>
      <c r="T3247" s="51" t="s">
        <v>2380</v>
      </c>
      <c r="U3247" s="0" t="str">
        <f aca="false">"10074865055175"</f>
        <v>10074865055175</v>
      </c>
      <c r="V3247" s="51" t="s">
        <v>2365</v>
      </c>
      <c r="W3247" s="51" t="s">
        <v>6703</v>
      </c>
      <c r="X3247" s="51" t="s">
        <v>2359</v>
      </c>
    </row>
    <row r="3248" customFormat="false" ht="14.25" hidden="true" customHeight="false" outlineLevel="0" collapsed="false">
      <c r="A3248" s="49" t="s">
        <v>2349</v>
      </c>
      <c r="B3248" s="49" t="s">
        <v>2350</v>
      </c>
      <c r="C3248" s="49" t="s">
        <v>6704</v>
      </c>
      <c r="D3248" s="49" t="s">
        <v>2352</v>
      </c>
      <c r="E3248" s="49" t="str">
        <f aca="false">"10074865055175"</f>
        <v>10074865055175</v>
      </c>
      <c r="F3248" s="49" t="s">
        <v>5090</v>
      </c>
      <c r="G3248" s="49" t="n">
        <v>0</v>
      </c>
      <c r="H3248" s="0" t="n">
        <v>0</v>
      </c>
      <c r="M3248" s="51" t="s">
        <v>6678</v>
      </c>
      <c r="N3248" s="49" t="n">
        <v>0</v>
      </c>
      <c r="O3248" s="53" t="n">
        <v>45761.4842824074</v>
      </c>
      <c r="P3248" s="53" t="n">
        <v>45839.6720717593</v>
      </c>
      <c r="Q3248" s="53" t="n">
        <v>45761.4842824074</v>
      </c>
      <c r="R3248" s="0" t="n">
        <v>0</v>
      </c>
      <c r="S3248" s="51" t="s">
        <v>2380</v>
      </c>
      <c r="T3248" s="51" t="s">
        <v>2380</v>
      </c>
      <c r="U3248" s="0" t="str">
        <f aca="false">"10074865055175"</f>
        <v>10074865055175</v>
      </c>
      <c r="V3248" s="51" t="s">
        <v>2365</v>
      </c>
      <c r="W3248" s="51" t="s">
        <v>6705</v>
      </c>
      <c r="X3248" s="51" t="s">
        <v>2359</v>
      </c>
    </row>
    <row r="3249" customFormat="false" ht="14.25" hidden="true" customHeight="false" outlineLevel="0" collapsed="false">
      <c r="A3249" s="49" t="s">
        <v>2349</v>
      </c>
      <c r="B3249" s="49" t="s">
        <v>2350</v>
      </c>
      <c r="C3249" s="49" t="s">
        <v>6706</v>
      </c>
      <c r="D3249" s="49" t="s">
        <v>2352</v>
      </c>
      <c r="E3249" s="49" t="str">
        <f aca="false">"10074865055175"</f>
        <v>10074865055175</v>
      </c>
      <c r="F3249" s="49" t="s">
        <v>5090</v>
      </c>
      <c r="G3249" s="49" t="n">
        <v>0</v>
      </c>
      <c r="H3249" s="0" t="n">
        <v>0</v>
      </c>
      <c r="M3249" s="51" t="s">
        <v>6678</v>
      </c>
      <c r="N3249" s="49" t="n">
        <v>0</v>
      </c>
      <c r="O3249" s="53" t="n">
        <v>45761.4847569445</v>
      </c>
      <c r="P3249" s="53" t="n">
        <v>45837.4240162037</v>
      </c>
      <c r="Q3249" s="53" t="n">
        <v>45761.4847569445</v>
      </c>
      <c r="R3249" s="0" t="n">
        <v>0</v>
      </c>
      <c r="S3249" s="51" t="s">
        <v>2380</v>
      </c>
      <c r="T3249" s="51" t="s">
        <v>2380</v>
      </c>
      <c r="U3249" s="0" t="str">
        <f aca="false">"10074865055175"</f>
        <v>10074865055175</v>
      </c>
      <c r="V3249" s="51" t="s">
        <v>2365</v>
      </c>
      <c r="W3249" s="51" t="s">
        <v>6707</v>
      </c>
      <c r="X3249" s="51" t="s">
        <v>2359</v>
      </c>
    </row>
    <row r="3250" customFormat="false" ht="14.25" hidden="true" customHeight="false" outlineLevel="0" collapsed="false">
      <c r="A3250" s="49" t="s">
        <v>2349</v>
      </c>
      <c r="B3250" s="49" t="s">
        <v>2350</v>
      </c>
      <c r="C3250" s="49" t="s">
        <v>6708</v>
      </c>
      <c r="D3250" s="49" t="s">
        <v>2352</v>
      </c>
      <c r="E3250" s="49" t="str">
        <f aca="false">"10074865055175"</f>
        <v>10074865055175</v>
      </c>
      <c r="F3250" s="49" t="s">
        <v>5090</v>
      </c>
      <c r="G3250" s="49" t="n">
        <v>0</v>
      </c>
      <c r="H3250" s="0" t="n">
        <v>0</v>
      </c>
      <c r="M3250" s="51" t="s">
        <v>6678</v>
      </c>
      <c r="N3250" s="49" t="n">
        <v>0</v>
      </c>
      <c r="O3250" s="53" t="n">
        <v>45761.4858217593</v>
      </c>
      <c r="P3250" s="53" t="n">
        <v>45825.8672916667</v>
      </c>
      <c r="Q3250" s="53" t="n">
        <v>45761.4858217593</v>
      </c>
      <c r="R3250" s="0" t="n">
        <v>0</v>
      </c>
      <c r="S3250" s="51" t="s">
        <v>2380</v>
      </c>
      <c r="T3250" s="51" t="s">
        <v>2380</v>
      </c>
      <c r="U3250" s="0" t="str">
        <f aca="false">"10074865055175"</f>
        <v>10074865055175</v>
      </c>
      <c r="V3250" s="51" t="s">
        <v>2365</v>
      </c>
      <c r="W3250" s="51" t="s">
        <v>5949</v>
      </c>
      <c r="X3250" s="51" t="s">
        <v>2359</v>
      </c>
    </row>
    <row r="3251" customFormat="false" ht="14.25" hidden="true" customHeight="false" outlineLevel="0" collapsed="false">
      <c r="A3251" s="49" t="s">
        <v>2349</v>
      </c>
      <c r="B3251" s="49" t="s">
        <v>2350</v>
      </c>
      <c r="C3251" s="49" t="s">
        <v>6709</v>
      </c>
      <c r="D3251" s="49" t="s">
        <v>2352</v>
      </c>
      <c r="E3251" s="49" t="str">
        <f aca="false">"10074865055175"</f>
        <v>10074865055175</v>
      </c>
      <c r="F3251" s="49" t="s">
        <v>5090</v>
      </c>
      <c r="G3251" s="49" t="n">
        <v>0</v>
      </c>
      <c r="H3251" s="0" t="n">
        <v>0</v>
      </c>
      <c r="M3251" s="51" t="s">
        <v>6678</v>
      </c>
      <c r="N3251" s="49" t="n">
        <v>0</v>
      </c>
      <c r="O3251" s="53" t="n">
        <v>45761.4854398148</v>
      </c>
      <c r="P3251" s="53" t="n">
        <v>45873.9048263889</v>
      </c>
      <c r="Q3251" s="53" t="n">
        <v>45761.4854398148</v>
      </c>
      <c r="R3251" s="0" t="n">
        <v>0</v>
      </c>
      <c r="S3251" s="51" t="s">
        <v>2380</v>
      </c>
      <c r="T3251" s="51" t="s">
        <v>2380</v>
      </c>
      <c r="U3251" s="0" t="str">
        <f aca="false">"10074865055175"</f>
        <v>10074865055175</v>
      </c>
      <c r="V3251" s="51" t="s">
        <v>2365</v>
      </c>
      <c r="W3251" s="51" t="s">
        <v>6710</v>
      </c>
      <c r="X3251" s="51" t="s">
        <v>2359</v>
      </c>
    </row>
    <row r="3252" customFormat="false" ht="14.25" hidden="true" customHeight="false" outlineLevel="0" collapsed="false">
      <c r="A3252" s="49" t="s">
        <v>2349</v>
      </c>
      <c r="B3252" s="49" t="s">
        <v>2350</v>
      </c>
      <c r="C3252" s="49" t="s">
        <v>6711</v>
      </c>
      <c r="D3252" s="49" t="s">
        <v>2352</v>
      </c>
      <c r="E3252" s="49" t="str">
        <f aca="false">"10074865055175"</f>
        <v>10074865055175</v>
      </c>
      <c r="F3252" s="49" t="s">
        <v>5090</v>
      </c>
      <c r="G3252" s="49" t="n">
        <v>0</v>
      </c>
      <c r="H3252" s="0" t="n">
        <v>0</v>
      </c>
      <c r="M3252" s="51" t="s">
        <v>6678</v>
      </c>
      <c r="N3252" s="49" t="n">
        <v>0</v>
      </c>
      <c r="O3252" s="53" t="n">
        <v>45761.48625</v>
      </c>
      <c r="P3252" s="53" t="n">
        <v>45872.7914351852</v>
      </c>
      <c r="Q3252" s="53" t="n">
        <v>45761.48625</v>
      </c>
      <c r="R3252" s="0" t="n">
        <v>0</v>
      </c>
      <c r="S3252" s="51" t="s">
        <v>2380</v>
      </c>
      <c r="T3252" s="51" t="s">
        <v>2380</v>
      </c>
      <c r="U3252" s="0" t="str">
        <f aca="false">"10074865055175"</f>
        <v>10074865055175</v>
      </c>
      <c r="V3252" s="51" t="s">
        <v>2365</v>
      </c>
      <c r="W3252" s="51" t="s">
        <v>6712</v>
      </c>
      <c r="X3252" s="51" t="s">
        <v>2359</v>
      </c>
    </row>
    <row r="3253" customFormat="false" ht="14.25" hidden="true" customHeight="false" outlineLevel="0" collapsed="false">
      <c r="A3253" s="49" t="s">
        <v>2349</v>
      </c>
      <c r="B3253" s="49" t="s">
        <v>2350</v>
      </c>
      <c r="C3253" s="49" t="s">
        <v>6713</v>
      </c>
      <c r="D3253" s="49" t="s">
        <v>2352</v>
      </c>
      <c r="E3253" s="49" t="str">
        <f aca="false">"10074865055175"</f>
        <v>10074865055175</v>
      </c>
      <c r="F3253" s="49" t="s">
        <v>5090</v>
      </c>
      <c r="G3253" s="49" t="n">
        <v>0</v>
      </c>
      <c r="H3253" s="0" t="n">
        <v>0</v>
      </c>
      <c r="M3253" s="51" t="s">
        <v>6678</v>
      </c>
      <c r="N3253" s="49" t="n">
        <v>0</v>
      </c>
      <c r="O3253" s="53" t="n">
        <v>45761.4864814815</v>
      </c>
      <c r="P3253" s="53" t="n">
        <v>45914.8083912037</v>
      </c>
      <c r="Q3253" s="53" t="n">
        <v>45761.4864814815</v>
      </c>
      <c r="R3253" s="0" t="n">
        <v>0</v>
      </c>
      <c r="S3253" s="51" t="s">
        <v>2380</v>
      </c>
      <c r="T3253" s="51" t="s">
        <v>2380</v>
      </c>
      <c r="U3253" s="0" t="str">
        <f aca="false">"10074865055175"</f>
        <v>10074865055175</v>
      </c>
      <c r="V3253" s="51" t="s">
        <v>2365</v>
      </c>
      <c r="W3253" s="51" t="s">
        <v>6714</v>
      </c>
      <c r="X3253" s="51" t="s">
        <v>2359</v>
      </c>
    </row>
    <row r="3254" customFormat="false" ht="14.25" hidden="true" customHeight="false" outlineLevel="0" collapsed="false">
      <c r="A3254" s="49" t="s">
        <v>2349</v>
      </c>
      <c r="B3254" s="49" t="s">
        <v>2350</v>
      </c>
      <c r="C3254" s="49" t="s">
        <v>6715</v>
      </c>
      <c r="D3254" s="49" t="s">
        <v>2352</v>
      </c>
      <c r="E3254" s="49" t="str">
        <f aca="false">"10074865055175"</f>
        <v>10074865055175</v>
      </c>
      <c r="F3254" s="49" t="s">
        <v>5090</v>
      </c>
      <c r="G3254" s="49" t="n">
        <v>0</v>
      </c>
      <c r="H3254" s="0" t="n">
        <v>0</v>
      </c>
      <c r="M3254" s="51" t="s">
        <v>6678</v>
      </c>
      <c r="N3254" s="49" t="n">
        <v>0</v>
      </c>
      <c r="O3254" s="53" t="n">
        <v>45761.4867824074</v>
      </c>
      <c r="P3254" s="53" t="n">
        <v>45908.3952777778</v>
      </c>
      <c r="Q3254" s="53" t="n">
        <v>45761.4867824074</v>
      </c>
      <c r="R3254" s="0" t="n">
        <v>0</v>
      </c>
      <c r="S3254" s="51" t="s">
        <v>2380</v>
      </c>
      <c r="T3254" s="51" t="s">
        <v>2380</v>
      </c>
      <c r="U3254" s="0" t="str">
        <f aca="false">"10074865055175"</f>
        <v>10074865055175</v>
      </c>
      <c r="V3254" s="51" t="s">
        <v>2365</v>
      </c>
      <c r="W3254" s="51" t="s">
        <v>6202</v>
      </c>
      <c r="X3254" s="51" t="s">
        <v>2359</v>
      </c>
    </row>
    <row r="3255" customFormat="false" ht="14.25" hidden="true" customHeight="false" outlineLevel="0" collapsed="false">
      <c r="A3255" s="49" t="s">
        <v>2349</v>
      </c>
      <c r="B3255" s="49" t="s">
        <v>2350</v>
      </c>
      <c r="C3255" s="49" t="s">
        <v>6716</v>
      </c>
      <c r="D3255" s="49" t="s">
        <v>2352</v>
      </c>
      <c r="E3255" s="49" t="str">
        <f aca="false">"10074865055175"</f>
        <v>10074865055175</v>
      </c>
      <c r="F3255" s="49" t="s">
        <v>5090</v>
      </c>
      <c r="G3255" s="49" t="n">
        <v>0</v>
      </c>
      <c r="H3255" s="0" t="n">
        <v>0</v>
      </c>
      <c r="M3255" s="51" t="s">
        <v>6678</v>
      </c>
      <c r="N3255" s="49" t="n">
        <v>0</v>
      </c>
      <c r="O3255" s="53" t="n">
        <v>45761.487037037</v>
      </c>
      <c r="P3255" s="53" t="n">
        <v>45837.4415856482</v>
      </c>
      <c r="Q3255" s="53" t="n">
        <v>45761.487037037</v>
      </c>
      <c r="R3255" s="0" t="n">
        <v>0</v>
      </c>
      <c r="S3255" s="51" t="s">
        <v>2380</v>
      </c>
      <c r="T3255" s="51" t="s">
        <v>2380</v>
      </c>
      <c r="U3255" s="0" t="str">
        <f aca="false">"10074865055175"</f>
        <v>10074865055175</v>
      </c>
      <c r="V3255" s="51" t="s">
        <v>2365</v>
      </c>
      <c r="W3255" s="51" t="s">
        <v>5499</v>
      </c>
      <c r="X3255" s="51" t="s">
        <v>2359</v>
      </c>
    </row>
    <row r="3256" customFormat="false" ht="14.25" hidden="true" customHeight="false" outlineLevel="0" collapsed="false">
      <c r="A3256" s="49" t="s">
        <v>2349</v>
      </c>
      <c r="B3256" s="49" t="s">
        <v>2350</v>
      </c>
      <c r="C3256" s="49" t="s">
        <v>6717</v>
      </c>
      <c r="D3256" s="49" t="s">
        <v>2352</v>
      </c>
      <c r="E3256" s="49" t="str">
        <f aca="false">"10074865055175"</f>
        <v>10074865055175</v>
      </c>
      <c r="F3256" s="49" t="s">
        <v>5090</v>
      </c>
      <c r="G3256" s="49" t="n">
        <v>0</v>
      </c>
      <c r="H3256" s="0" t="n">
        <v>0</v>
      </c>
      <c r="M3256" s="51" t="s">
        <v>6678</v>
      </c>
      <c r="N3256" s="49" t="n">
        <v>0</v>
      </c>
      <c r="O3256" s="53" t="n">
        <v>45761.4885532407</v>
      </c>
      <c r="P3256" s="53" t="n">
        <v>45837.4343287037</v>
      </c>
      <c r="Q3256" s="53" t="n">
        <v>45761.4885532407</v>
      </c>
      <c r="R3256" s="0" t="n">
        <v>0</v>
      </c>
      <c r="S3256" s="51" t="s">
        <v>2380</v>
      </c>
      <c r="T3256" s="51" t="s">
        <v>2380</v>
      </c>
      <c r="U3256" s="0" t="str">
        <f aca="false">"10074865055175"</f>
        <v>10074865055175</v>
      </c>
      <c r="V3256" s="51" t="s">
        <v>2365</v>
      </c>
      <c r="W3256" s="51" t="s">
        <v>4541</v>
      </c>
      <c r="X3256" s="51" t="s">
        <v>2359</v>
      </c>
    </row>
    <row r="3257" customFormat="false" ht="14.25" hidden="true" customHeight="false" outlineLevel="0" collapsed="false">
      <c r="A3257" s="49" t="s">
        <v>2349</v>
      </c>
      <c r="B3257" s="49" t="s">
        <v>2350</v>
      </c>
      <c r="C3257" s="49" t="s">
        <v>6718</v>
      </c>
      <c r="D3257" s="49" t="s">
        <v>2352</v>
      </c>
      <c r="E3257" s="49" t="str">
        <f aca="false">"10074865055175"</f>
        <v>10074865055175</v>
      </c>
      <c r="F3257" s="49" t="s">
        <v>5090</v>
      </c>
      <c r="G3257" s="49" t="n">
        <v>0</v>
      </c>
      <c r="H3257" s="0" t="n">
        <v>0</v>
      </c>
      <c r="M3257" s="51" t="s">
        <v>6678</v>
      </c>
      <c r="N3257" s="49" t="n">
        <v>0</v>
      </c>
      <c r="O3257" s="53" t="n">
        <v>45761.4883333333</v>
      </c>
      <c r="P3257" s="53" t="n">
        <v>45837.4423958333</v>
      </c>
      <c r="Q3257" s="53" t="n">
        <v>45761.4883333333</v>
      </c>
      <c r="R3257" s="0" t="n">
        <v>0</v>
      </c>
      <c r="S3257" s="51" t="s">
        <v>2380</v>
      </c>
      <c r="T3257" s="51" t="s">
        <v>2380</v>
      </c>
      <c r="U3257" s="0" t="str">
        <f aca="false">"10074865055175"</f>
        <v>10074865055175</v>
      </c>
      <c r="V3257" s="51" t="s">
        <v>2365</v>
      </c>
      <c r="W3257" s="51" t="s">
        <v>4564</v>
      </c>
      <c r="X3257" s="51" t="s">
        <v>2359</v>
      </c>
    </row>
    <row r="3258" customFormat="false" ht="14.25" hidden="true" customHeight="false" outlineLevel="0" collapsed="false">
      <c r="A3258" s="49" t="s">
        <v>2349</v>
      </c>
      <c r="B3258" s="49" t="s">
        <v>2350</v>
      </c>
      <c r="C3258" s="49" t="s">
        <v>6719</v>
      </c>
      <c r="D3258" s="49" t="s">
        <v>2352</v>
      </c>
      <c r="E3258" s="49" t="str">
        <f aca="false">"10074865055175"</f>
        <v>10074865055175</v>
      </c>
      <c r="F3258" s="49" t="s">
        <v>5090</v>
      </c>
      <c r="G3258" s="49" t="n">
        <v>0</v>
      </c>
      <c r="H3258" s="0" t="n">
        <v>0</v>
      </c>
      <c r="M3258" s="51" t="s">
        <v>6678</v>
      </c>
      <c r="N3258" s="49" t="n">
        <v>0</v>
      </c>
      <c r="O3258" s="53" t="n">
        <v>45830.624525463</v>
      </c>
      <c r="P3258" s="53" t="n">
        <v>45914.5469560185</v>
      </c>
      <c r="R3258" s="0" t="n">
        <v>0</v>
      </c>
      <c r="T3258" s="51" t="s">
        <v>2401</v>
      </c>
      <c r="U3258" s="0" t="str">
        <f aca="false">"10074865055175"</f>
        <v>10074865055175</v>
      </c>
      <c r="V3258" s="51" t="s">
        <v>2365</v>
      </c>
      <c r="W3258" s="51" t="s">
        <v>6196</v>
      </c>
      <c r="X3258" s="51" t="s">
        <v>2359</v>
      </c>
    </row>
    <row r="3259" customFormat="false" ht="14.25" hidden="true" customHeight="false" outlineLevel="0" collapsed="false">
      <c r="A3259" s="49" t="s">
        <v>2349</v>
      </c>
      <c r="B3259" s="49" t="s">
        <v>2350</v>
      </c>
      <c r="C3259" s="49" t="s">
        <v>6720</v>
      </c>
      <c r="D3259" s="49" t="s">
        <v>2352</v>
      </c>
      <c r="E3259" s="49" t="str">
        <f aca="false">"10074865055175"</f>
        <v>10074865055175</v>
      </c>
      <c r="F3259" s="49" t="s">
        <v>5090</v>
      </c>
      <c r="G3259" s="49" t="n">
        <v>0</v>
      </c>
      <c r="H3259" s="0" t="n">
        <v>0</v>
      </c>
      <c r="M3259" s="51" t="s">
        <v>6678</v>
      </c>
      <c r="N3259" s="49" t="n">
        <v>0</v>
      </c>
      <c r="O3259" s="53" t="n">
        <v>45952.6447337963</v>
      </c>
      <c r="P3259" s="53" t="n">
        <v>45964.9321875</v>
      </c>
      <c r="R3259" s="0" t="n">
        <v>0</v>
      </c>
      <c r="T3259" s="51" t="s">
        <v>2394</v>
      </c>
      <c r="U3259" s="0" t="str">
        <f aca="false">"10074865055175"</f>
        <v>10074865055175</v>
      </c>
      <c r="V3259" s="51" t="s">
        <v>2365</v>
      </c>
      <c r="W3259" s="51" t="s">
        <v>6721</v>
      </c>
      <c r="X3259" s="51" t="s">
        <v>2359</v>
      </c>
    </row>
    <row r="3260" customFormat="false" ht="14.25" hidden="true" customHeight="false" outlineLevel="0" collapsed="false">
      <c r="A3260" s="49" t="s">
        <v>2349</v>
      </c>
      <c r="B3260" s="49" t="s">
        <v>2350</v>
      </c>
      <c r="C3260" s="49" t="s">
        <v>6722</v>
      </c>
      <c r="D3260" s="49" t="s">
        <v>2352</v>
      </c>
      <c r="E3260" s="49" t="str">
        <f aca="false">"8908020441070"</f>
        <v>8908020441070</v>
      </c>
      <c r="F3260" s="49" t="s">
        <v>5404</v>
      </c>
      <c r="G3260" s="49" t="n">
        <v>0</v>
      </c>
      <c r="H3260" s="0" t="n">
        <v>0</v>
      </c>
      <c r="M3260" s="51" t="s">
        <v>6723</v>
      </c>
      <c r="N3260" s="49" t="n">
        <v>0</v>
      </c>
      <c r="O3260" s="53" t="n">
        <v>45755.4475115741</v>
      </c>
      <c r="P3260" s="53" t="n">
        <v>45774.5842824074</v>
      </c>
      <c r="Q3260" s="53" t="n">
        <v>45755.4475115741</v>
      </c>
      <c r="R3260" s="0" t="n">
        <v>0</v>
      </c>
      <c r="S3260" s="51" t="s">
        <v>2356</v>
      </c>
      <c r="T3260" s="51" t="s">
        <v>2356</v>
      </c>
      <c r="U3260" s="0" t="str">
        <f aca="false">"8908020441070"</f>
        <v>8908020441070</v>
      </c>
      <c r="V3260" s="51" t="s">
        <v>5386</v>
      </c>
      <c r="W3260" s="51" t="s">
        <v>5414</v>
      </c>
      <c r="X3260" s="51" t="s">
        <v>2359</v>
      </c>
    </row>
    <row r="3261" customFormat="false" ht="14.25" hidden="true" customHeight="false" outlineLevel="0" collapsed="false">
      <c r="A3261" s="49" t="s">
        <v>2349</v>
      </c>
      <c r="B3261" s="49" t="s">
        <v>2350</v>
      </c>
      <c r="C3261" s="49" t="s">
        <v>6724</v>
      </c>
      <c r="D3261" s="49" t="s">
        <v>2352</v>
      </c>
      <c r="E3261" s="49" t="s">
        <v>4012</v>
      </c>
      <c r="F3261" s="49" t="s">
        <v>4013</v>
      </c>
      <c r="G3261" s="49" t="n">
        <v>0</v>
      </c>
      <c r="H3261" s="0" t="n">
        <v>0</v>
      </c>
      <c r="M3261" s="51" t="s">
        <v>6725</v>
      </c>
      <c r="N3261" s="49" t="n">
        <v>0</v>
      </c>
      <c r="O3261" s="53" t="n">
        <v>45760.3673032407</v>
      </c>
      <c r="P3261" s="53" t="n">
        <v>45778.8227777778</v>
      </c>
      <c r="Q3261" s="53" t="n">
        <v>45760.3673032407</v>
      </c>
      <c r="R3261" s="0" t="n">
        <v>0</v>
      </c>
      <c r="S3261" s="51" t="s">
        <v>2380</v>
      </c>
      <c r="T3261" s="51" t="s">
        <v>2380</v>
      </c>
      <c r="U3261" s="51" t="s">
        <v>4012</v>
      </c>
      <c r="V3261" s="51" t="s">
        <v>2365</v>
      </c>
      <c r="W3261" s="51" t="s">
        <v>4871</v>
      </c>
      <c r="X3261" s="51" t="s">
        <v>2359</v>
      </c>
    </row>
    <row r="3262" customFormat="false" ht="14.25" hidden="true" customHeight="false" outlineLevel="0" collapsed="false">
      <c r="A3262" s="49" t="s">
        <v>2349</v>
      </c>
      <c r="B3262" s="49" t="s">
        <v>2350</v>
      </c>
      <c r="C3262" s="49" t="s">
        <v>6726</v>
      </c>
      <c r="D3262" s="49" t="s">
        <v>2352</v>
      </c>
      <c r="E3262" s="49" t="s">
        <v>4012</v>
      </c>
      <c r="F3262" s="49" t="s">
        <v>4013</v>
      </c>
      <c r="G3262" s="49" t="n">
        <v>0</v>
      </c>
      <c r="H3262" s="0" t="n">
        <v>0</v>
      </c>
      <c r="M3262" s="51" t="s">
        <v>6725</v>
      </c>
      <c r="N3262" s="49" t="n">
        <v>0</v>
      </c>
      <c r="O3262" s="53" t="n">
        <v>45760.3674652778</v>
      </c>
      <c r="P3262" s="53" t="n">
        <v>45784.3674421296</v>
      </c>
      <c r="Q3262" s="53" t="n">
        <v>45760.3674652778</v>
      </c>
      <c r="R3262" s="0" t="n">
        <v>0</v>
      </c>
      <c r="S3262" s="51" t="s">
        <v>2380</v>
      </c>
      <c r="T3262" s="51" t="s">
        <v>2380</v>
      </c>
      <c r="U3262" s="51" t="s">
        <v>4012</v>
      </c>
      <c r="V3262" s="51" t="s">
        <v>2365</v>
      </c>
      <c r="W3262" s="51" t="s">
        <v>6314</v>
      </c>
      <c r="X3262" s="51" t="s">
        <v>2359</v>
      </c>
    </row>
    <row r="3263" customFormat="false" ht="14.25" hidden="true" customHeight="false" outlineLevel="0" collapsed="false">
      <c r="A3263" s="49" t="s">
        <v>2349</v>
      </c>
      <c r="B3263" s="49" t="s">
        <v>2350</v>
      </c>
      <c r="C3263" s="49" t="s">
        <v>6727</v>
      </c>
      <c r="D3263" s="49" t="s">
        <v>2352</v>
      </c>
      <c r="E3263" s="49" t="s">
        <v>4012</v>
      </c>
      <c r="F3263" s="49" t="s">
        <v>4013</v>
      </c>
      <c r="G3263" s="49" t="n">
        <v>0</v>
      </c>
      <c r="H3263" s="0" t="n">
        <v>0</v>
      </c>
      <c r="M3263" s="51" t="s">
        <v>6725</v>
      </c>
      <c r="N3263" s="49" t="n">
        <v>0</v>
      </c>
      <c r="O3263" s="53" t="n">
        <v>45760.3676273148</v>
      </c>
      <c r="P3263" s="53" t="n">
        <v>45819.4903125</v>
      </c>
      <c r="Q3263" s="53" t="n">
        <v>45760.3676273148</v>
      </c>
      <c r="R3263" s="0" t="n">
        <v>0</v>
      </c>
      <c r="S3263" s="51" t="s">
        <v>2380</v>
      </c>
      <c r="T3263" s="51" t="s">
        <v>2380</v>
      </c>
      <c r="U3263" s="51" t="s">
        <v>4012</v>
      </c>
      <c r="V3263" s="51" t="s">
        <v>2365</v>
      </c>
      <c r="W3263" s="51" t="s">
        <v>5873</v>
      </c>
      <c r="X3263" s="51" t="s">
        <v>2359</v>
      </c>
    </row>
    <row r="3264" customFormat="false" ht="14.25" hidden="true" customHeight="false" outlineLevel="0" collapsed="false">
      <c r="A3264" s="49" t="s">
        <v>2349</v>
      </c>
      <c r="B3264" s="49" t="s">
        <v>2350</v>
      </c>
      <c r="C3264" s="49" t="s">
        <v>6728</v>
      </c>
      <c r="D3264" s="49" t="s">
        <v>2352</v>
      </c>
      <c r="E3264" s="49" t="s">
        <v>4012</v>
      </c>
      <c r="F3264" s="49" t="s">
        <v>4013</v>
      </c>
      <c r="G3264" s="49" t="n">
        <v>0</v>
      </c>
      <c r="H3264" s="0" t="n">
        <v>0</v>
      </c>
      <c r="M3264" s="51" t="s">
        <v>6725</v>
      </c>
      <c r="N3264" s="49" t="n">
        <v>0</v>
      </c>
      <c r="O3264" s="53" t="n">
        <v>45760.3677893519</v>
      </c>
      <c r="P3264" s="53" t="n">
        <v>45809.7375462963</v>
      </c>
      <c r="Q3264" s="53" t="n">
        <v>45760.3677893519</v>
      </c>
      <c r="R3264" s="0" t="n">
        <v>0</v>
      </c>
      <c r="S3264" s="51" t="s">
        <v>2380</v>
      </c>
      <c r="T3264" s="51" t="s">
        <v>2380</v>
      </c>
      <c r="U3264" s="51" t="s">
        <v>4012</v>
      </c>
      <c r="V3264" s="51" t="s">
        <v>2365</v>
      </c>
      <c r="W3264" s="51" t="s">
        <v>6729</v>
      </c>
      <c r="X3264" s="51" t="s">
        <v>2359</v>
      </c>
    </row>
    <row r="3265" customFormat="false" ht="14.25" hidden="true" customHeight="false" outlineLevel="0" collapsed="false">
      <c r="A3265" s="49" t="s">
        <v>2349</v>
      </c>
      <c r="B3265" s="49" t="s">
        <v>2350</v>
      </c>
      <c r="C3265" s="49" t="s">
        <v>6730</v>
      </c>
      <c r="D3265" s="49" t="s">
        <v>2352</v>
      </c>
      <c r="E3265" s="49" t="s">
        <v>4012</v>
      </c>
      <c r="F3265" s="49" t="s">
        <v>4013</v>
      </c>
      <c r="G3265" s="49" t="n">
        <v>0</v>
      </c>
      <c r="H3265" s="0" t="n">
        <v>0</v>
      </c>
      <c r="M3265" s="51" t="s">
        <v>6725</v>
      </c>
      <c r="N3265" s="49" t="n">
        <v>0</v>
      </c>
      <c r="O3265" s="53" t="n">
        <v>45760.3679282407</v>
      </c>
      <c r="P3265" s="53" t="n">
        <v>45808.437025463</v>
      </c>
      <c r="Q3265" s="53" t="n">
        <v>45760.3679282407</v>
      </c>
      <c r="R3265" s="0" t="n">
        <v>0</v>
      </c>
      <c r="S3265" s="51" t="s">
        <v>2380</v>
      </c>
      <c r="T3265" s="51" t="s">
        <v>2380</v>
      </c>
      <c r="U3265" s="51" t="s">
        <v>4012</v>
      </c>
      <c r="V3265" s="51" t="s">
        <v>2365</v>
      </c>
      <c r="W3265" s="51" t="s">
        <v>5875</v>
      </c>
      <c r="X3265" s="51" t="s">
        <v>2359</v>
      </c>
    </row>
    <row r="3266" customFormat="false" ht="14.25" hidden="true" customHeight="false" outlineLevel="0" collapsed="false">
      <c r="A3266" s="49" t="s">
        <v>2349</v>
      </c>
      <c r="B3266" s="49" t="s">
        <v>2350</v>
      </c>
      <c r="C3266" s="49" t="s">
        <v>6731</v>
      </c>
      <c r="D3266" s="49" t="s">
        <v>2352</v>
      </c>
      <c r="E3266" s="49" t="s">
        <v>4012</v>
      </c>
      <c r="F3266" s="49" t="s">
        <v>4013</v>
      </c>
      <c r="G3266" s="49" t="n">
        <v>0</v>
      </c>
      <c r="H3266" s="0" t="n">
        <v>0</v>
      </c>
      <c r="M3266" s="51" t="s">
        <v>6725</v>
      </c>
      <c r="N3266" s="49" t="n">
        <v>0</v>
      </c>
      <c r="O3266" s="53" t="n">
        <v>45760.3680787037</v>
      </c>
      <c r="P3266" s="53" t="n">
        <v>45832.7900694445</v>
      </c>
      <c r="Q3266" s="53" t="n">
        <v>45760.3680787037</v>
      </c>
      <c r="R3266" s="0" t="n">
        <v>0</v>
      </c>
      <c r="S3266" s="51" t="s">
        <v>2380</v>
      </c>
      <c r="T3266" s="51" t="s">
        <v>2380</v>
      </c>
      <c r="U3266" s="51" t="s">
        <v>4012</v>
      </c>
      <c r="V3266" s="51" t="s">
        <v>2365</v>
      </c>
      <c r="W3266" s="51" t="s">
        <v>6732</v>
      </c>
      <c r="X3266" s="51" t="s">
        <v>2359</v>
      </c>
    </row>
    <row r="3267" customFormat="false" ht="14.25" hidden="true" customHeight="false" outlineLevel="0" collapsed="false">
      <c r="A3267" s="49" t="s">
        <v>2349</v>
      </c>
      <c r="B3267" s="49" t="s">
        <v>2350</v>
      </c>
      <c r="C3267" s="49" t="s">
        <v>6733</v>
      </c>
      <c r="D3267" s="49" t="s">
        <v>2352</v>
      </c>
      <c r="E3267" s="49" t="s">
        <v>4012</v>
      </c>
      <c r="F3267" s="49" t="s">
        <v>4013</v>
      </c>
      <c r="G3267" s="49" t="n">
        <v>0</v>
      </c>
      <c r="H3267" s="0" t="n">
        <v>0</v>
      </c>
      <c r="M3267" s="51" t="s">
        <v>6725</v>
      </c>
      <c r="N3267" s="49" t="n">
        <v>0</v>
      </c>
      <c r="O3267" s="53" t="n">
        <v>45760.3682175926</v>
      </c>
      <c r="P3267" s="53" t="n">
        <v>45825.860775463</v>
      </c>
      <c r="Q3267" s="53" t="n">
        <v>45760.3682175926</v>
      </c>
      <c r="R3267" s="0" t="n">
        <v>0</v>
      </c>
      <c r="S3267" s="51" t="s">
        <v>2380</v>
      </c>
      <c r="T3267" s="51" t="s">
        <v>2380</v>
      </c>
      <c r="U3267" s="51" t="s">
        <v>4012</v>
      </c>
      <c r="V3267" s="51" t="s">
        <v>2365</v>
      </c>
      <c r="W3267" s="51" t="s">
        <v>4878</v>
      </c>
      <c r="X3267" s="51" t="s">
        <v>2359</v>
      </c>
    </row>
    <row r="3268" customFormat="false" ht="14.25" hidden="true" customHeight="false" outlineLevel="0" collapsed="false">
      <c r="A3268" s="49" t="s">
        <v>2349</v>
      </c>
      <c r="B3268" s="49" t="s">
        <v>2350</v>
      </c>
      <c r="C3268" s="49" t="s">
        <v>6734</v>
      </c>
      <c r="D3268" s="49" t="s">
        <v>2352</v>
      </c>
      <c r="E3268" s="49" t="s">
        <v>4012</v>
      </c>
      <c r="F3268" s="49" t="s">
        <v>4013</v>
      </c>
      <c r="G3268" s="49" t="n">
        <v>0</v>
      </c>
      <c r="H3268" s="0" t="n">
        <v>0</v>
      </c>
      <c r="M3268" s="51" t="s">
        <v>6725</v>
      </c>
      <c r="N3268" s="49" t="n">
        <v>0</v>
      </c>
      <c r="O3268" s="53" t="n">
        <v>45760.3684375</v>
      </c>
      <c r="P3268" s="53" t="n">
        <v>45832.7905092593</v>
      </c>
      <c r="Q3268" s="53" t="n">
        <v>45760.3684375</v>
      </c>
      <c r="R3268" s="0" t="n">
        <v>0</v>
      </c>
      <c r="S3268" s="51" t="s">
        <v>2380</v>
      </c>
      <c r="T3268" s="51" t="s">
        <v>2380</v>
      </c>
      <c r="U3268" s="51" t="s">
        <v>4012</v>
      </c>
      <c r="V3268" s="51" t="s">
        <v>2365</v>
      </c>
      <c r="W3268" s="51" t="s">
        <v>5641</v>
      </c>
      <c r="X3268" s="51" t="s">
        <v>2359</v>
      </c>
    </row>
    <row r="3269" customFormat="false" ht="14.25" hidden="true" customHeight="false" outlineLevel="0" collapsed="false">
      <c r="A3269" s="49" t="s">
        <v>2349</v>
      </c>
      <c r="B3269" s="49" t="s">
        <v>2350</v>
      </c>
      <c r="C3269" s="49" t="s">
        <v>6735</v>
      </c>
      <c r="D3269" s="49" t="s">
        <v>2352</v>
      </c>
      <c r="E3269" s="49" t="s">
        <v>4012</v>
      </c>
      <c r="F3269" s="49" t="s">
        <v>4013</v>
      </c>
      <c r="G3269" s="49" t="n">
        <v>0</v>
      </c>
      <c r="H3269" s="0" t="n">
        <v>0</v>
      </c>
      <c r="M3269" s="51" t="s">
        <v>6725</v>
      </c>
      <c r="N3269" s="49" t="n">
        <v>0</v>
      </c>
      <c r="O3269" s="53" t="n">
        <v>45760.3650462963</v>
      </c>
      <c r="P3269" s="53" t="n">
        <v>45852.5583333333</v>
      </c>
      <c r="Q3269" s="53" t="n">
        <v>45760.3650462963</v>
      </c>
      <c r="R3269" s="0" t="n">
        <v>0</v>
      </c>
      <c r="S3269" s="51" t="s">
        <v>2380</v>
      </c>
      <c r="T3269" s="51" t="s">
        <v>2380</v>
      </c>
      <c r="U3269" s="51" t="s">
        <v>4012</v>
      </c>
      <c r="V3269" s="51" t="s">
        <v>2365</v>
      </c>
      <c r="W3269" s="51" t="s">
        <v>5898</v>
      </c>
      <c r="X3269" s="51" t="s">
        <v>2359</v>
      </c>
    </row>
    <row r="3270" customFormat="false" ht="14.25" hidden="true" customHeight="false" outlineLevel="0" collapsed="false">
      <c r="A3270" s="49" t="s">
        <v>2349</v>
      </c>
      <c r="B3270" s="49" t="s">
        <v>2350</v>
      </c>
      <c r="C3270" s="49" t="s">
        <v>6736</v>
      </c>
      <c r="D3270" s="49" t="s">
        <v>2352</v>
      </c>
      <c r="E3270" s="49" t="s">
        <v>4012</v>
      </c>
      <c r="F3270" s="49" t="s">
        <v>4013</v>
      </c>
      <c r="G3270" s="49" t="n">
        <v>0</v>
      </c>
      <c r="H3270" s="0" t="n">
        <v>0</v>
      </c>
      <c r="M3270" s="51" t="s">
        <v>6725</v>
      </c>
      <c r="N3270" s="49" t="n">
        <v>0</v>
      </c>
      <c r="O3270" s="53" t="n">
        <v>45760.3652083333</v>
      </c>
      <c r="P3270" s="53" t="n">
        <v>45840.8688888889</v>
      </c>
      <c r="Q3270" s="53" t="n">
        <v>45760.3652083333</v>
      </c>
      <c r="R3270" s="0" t="n">
        <v>0</v>
      </c>
      <c r="S3270" s="51" t="s">
        <v>2380</v>
      </c>
      <c r="T3270" s="51" t="s">
        <v>2380</v>
      </c>
      <c r="U3270" s="51" t="s">
        <v>4012</v>
      </c>
      <c r="V3270" s="51" t="s">
        <v>2365</v>
      </c>
      <c r="W3270" s="51" t="s">
        <v>5896</v>
      </c>
      <c r="X3270" s="51" t="s">
        <v>2359</v>
      </c>
    </row>
    <row r="3271" customFormat="false" ht="14.25" hidden="true" customHeight="false" outlineLevel="0" collapsed="false">
      <c r="A3271" s="49" t="s">
        <v>2349</v>
      </c>
      <c r="B3271" s="49" t="s">
        <v>2350</v>
      </c>
      <c r="C3271" s="49" t="s">
        <v>6737</v>
      </c>
      <c r="D3271" s="49" t="s">
        <v>2352</v>
      </c>
      <c r="E3271" s="49" t="s">
        <v>4012</v>
      </c>
      <c r="F3271" s="49" t="s">
        <v>4013</v>
      </c>
      <c r="G3271" s="49" t="n">
        <v>0</v>
      </c>
      <c r="H3271" s="0" t="n">
        <v>0</v>
      </c>
      <c r="M3271" s="51" t="s">
        <v>6725</v>
      </c>
      <c r="N3271" s="49" t="n">
        <v>0</v>
      </c>
      <c r="O3271" s="53" t="n">
        <v>45760.3653587963</v>
      </c>
      <c r="P3271" s="53" t="n">
        <v>45832.7939583333</v>
      </c>
      <c r="Q3271" s="53" t="n">
        <v>45760.3653587963</v>
      </c>
      <c r="R3271" s="0" t="n">
        <v>0</v>
      </c>
      <c r="S3271" s="51" t="s">
        <v>2380</v>
      </c>
      <c r="T3271" s="51" t="s">
        <v>2380</v>
      </c>
      <c r="U3271" s="51" t="s">
        <v>4012</v>
      </c>
      <c r="V3271" s="51" t="s">
        <v>2365</v>
      </c>
      <c r="W3271" s="51" t="s">
        <v>5894</v>
      </c>
      <c r="X3271" s="51" t="s">
        <v>2359</v>
      </c>
    </row>
    <row r="3272" customFormat="false" ht="14.25" hidden="true" customHeight="false" outlineLevel="0" collapsed="false">
      <c r="A3272" s="49" t="s">
        <v>2349</v>
      </c>
      <c r="B3272" s="49" t="s">
        <v>2350</v>
      </c>
      <c r="C3272" s="49" t="s">
        <v>6738</v>
      </c>
      <c r="D3272" s="49" t="s">
        <v>2352</v>
      </c>
      <c r="E3272" s="49" t="s">
        <v>4012</v>
      </c>
      <c r="F3272" s="49" t="s">
        <v>4013</v>
      </c>
      <c r="G3272" s="49" t="n">
        <v>0</v>
      </c>
      <c r="H3272" s="0" t="n">
        <v>0</v>
      </c>
      <c r="M3272" s="51" t="s">
        <v>6725</v>
      </c>
      <c r="N3272" s="49" t="n">
        <v>0</v>
      </c>
      <c r="O3272" s="53" t="n">
        <v>45760.3654976852</v>
      </c>
      <c r="P3272" s="53" t="n">
        <v>45832.7926851852</v>
      </c>
      <c r="Q3272" s="53" t="n">
        <v>45760.3654976852</v>
      </c>
      <c r="R3272" s="0" t="n">
        <v>0</v>
      </c>
      <c r="S3272" s="51" t="s">
        <v>2380</v>
      </c>
      <c r="T3272" s="51" t="s">
        <v>2380</v>
      </c>
      <c r="U3272" s="51" t="s">
        <v>4012</v>
      </c>
      <c r="V3272" s="51" t="s">
        <v>2365</v>
      </c>
      <c r="W3272" s="51" t="s">
        <v>5890</v>
      </c>
      <c r="X3272" s="51" t="s">
        <v>2359</v>
      </c>
    </row>
    <row r="3273" customFormat="false" ht="14.25" hidden="true" customHeight="false" outlineLevel="0" collapsed="false">
      <c r="A3273" s="49" t="s">
        <v>2349</v>
      </c>
      <c r="B3273" s="49" t="s">
        <v>2350</v>
      </c>
      <c r="C3273" s="49" t="s">
        <v>6739</v>
      </c>
      <c r="D3273" s="49" t="s">
        <v>2352</v>
      </c>
      <c r="E3273" s="49" t="s">
        <v>4012</v>
      </c>
      <c r="F3273" s="49" t="s">
        <v>4013</v>
      </c>
      <c r="G3273" s="49" t="n">
        <v>0</v>
      </c>
      <c r="H3273" s="0" t="n">
        <v>0</v>
      </c>
      <c r="M3273" s="51" t="s">
        <v>6725</v>
      </c>
      <c r="N3273" s="49" t="n">
        <v>0</v>
      </c>
      <c r="O3273" s="53" t="n">
        <v>45760.3656712963</v>
      </c>
      <c r="P3273" s="53" t="n">
        <v>45832.7918865741</v>
      </c>
      <c r="Q3273" s="53" t="n">
        <v>45760.3656712963</v>
      </c>
      <c r="R3273" s="0" t="n">
        <v>0</v>
      </c>
      <c r="S3273" s="51" t="s">
        <v>2380</v>
      </c>
      <c r="T3273" s="51" t="s">
        <v>2380</v>
      </c>
      <c r="U3273" s="51" t="s">
        <v>4012</v>
      </c>
      <c r="V3273" s="51" t="s">
        <v>2365</v>
      </c>
      <c r="W3273" s="51" t="s">
        <v>5887</v>
      </c>
      <c r="X3273" s="51" t="s">
        <v>2359</v>
      </c>
    </row>
    <row r="3274" customFormat="false" ht="14.25" hidden="true" customHeight="false" outlineLevel="0" collapsed="false">
      <c r="A3274" s="49" t="s">
        <v>2349</v>
      </c>
      <c r="B3274" s="49" t="s">
        <v>2350</v>
      </c>
      <c r="C3274" s="49" t="s">
        <v>6740</v>
      </c>
      <c r="D3274" s="49" t="s">
        <v>2352</v>
      </c>
      <c r="E3274" s="49" t="s">
        <v>4012</v>
      </c>
      <c r="F3274" s="49" t="s">
        <v>4013</v>
      </c>
      <c r="G3274" s="49" t="n">
        <v>0</v>
      </c>
      <c r="H3274" s="0" t="n">
        <v>0</v>
      </c>
      <c r="M3274" s="51" t="s">
        <v>6725</v>
      </c>
      <c r="N3274" s="49" t="n">
        <v>0</v>
      </c>
      <c r="O3274" s="53" t="n">
        <v>45760.366724537</v>
      </c>
      <c r="P3274" s="53" t="n">
        <v>45834.8239583333</v>
      </c>
      <c r="Q3274" s="53" t="n">
        <v>45760.366724537</v>
      </c>
      <c r="R3274" s="0" t="n">
        <v>0</v>
      </c>
      <c r="S3274" s="51" t="s">
        <v>2380</v>
      </c>
      <c r="T3274" s="51" t="s">
        <v>2380</v>
      </c>
      <c r="U3274" s="51" t="s">
        <v>4012</v>
      </c>
      <c r="V3274" s="51" t="s">
        <v>2365</v>
      </c>
      <c r="W3274" s="51" t="s">
        <v>6741</v>
      </c>
      <c r="X3274" s="51" t="s">
        <v>2359</v>
      </c>
    </row>
    <row r="3275" customFormat="false" ht="14.25" hidden="true" customHeight="false" outlineLevel="0" collapsed="false">
      <c r="A3275" s="49" t="s">
        <v>2349</v>
      </c>
      <c r="B3275" s="49" t="s">
        <v>2350</v>
      </c>
      <c r="C3275" s="49" t="s">
        <v>6742</v>
      </c>
      <c r="D3275" s="49" t="s">
        <v>2352</v>
      </c>
      <c r="E3275" s="49" t="s">
        <v>4012</v>
      </c>
      <c r="F3275" s="49" t="s">
        <v>4013</v>
      </c>
      <c r="G3275" s="49" t="n">
        <v>0</v>
      </c>
      <c r="H3275" s="0" t="n">
        <v>0</v>
      </c>
      <c r="M3275" s="51" t="s">
        <v>6725</v>
      </c>
      <c r="N3275" s="49" t="n">
        <v>0</v>
      </c>
      <c r="O3275" s="53" t="n">
        <v>45760.3669097222</v>
      </c>
      <c r="P3275" s="53" t="n">
        <v>45819.8834375</v>
      </c>
      <c r="Q3275" s="53" t="n">
        <v>45760.3669097222</v>
      </c>
      <c r="R3275" s="0" t="n">
        <v>0</v>
      </c>
      <c r="S3275" s="51" t="s">
        <v>2380</v>
      </c>
      <c r="T3275" s="51" t="s">
        <v>2380</v>
      </c>
      <c r="U3275" s="51" t="s">
        <v>4012</v>
      </c>
      <c r="V3275" s="51" t="s">
        <v>2365</v>
      </c>
      <c r="W3275" s="51" t="s">
        <v>4218</v>
      </c>
      <c r="X3275" s="51" t="s">
        <v>2359</v>
      </c>
    </row>
    <row r="3276" customFormat="false" ht="14.25" hidden="true" customHeight="false" outlineLevel="0" collapsed="false">
      <c r="A3276" s="49" t="s">
        <v>2349</v>
      </c>
      <c r="B3276" s="49" t="s">
        <v>2350</v>
      </c>
      <c r="C3276" s="49" t="s">
        <v>6743</v>
      </c>
      <c r="D3276" s="49" t="s">
        <v>2352</v>
      </c>
      <c r="E3276" s="49" t="s">
        <v>4012</v>
      </c>
      <c r="F3276" s="49" t="s">
        <v>4013</v>
      </c>
      <c r="G3276" s="49" t="n">
        <v>0</v>
      </c>
      <c r="H3276" s="0" t="n">
        <v>0</v>
      </c>
      <c r="M3276" s="51" t="s">
        <v>6725</v>
      </c>
      <c r="N3276" s="49" t="n">
        <v>0</v>
      </c>
      <c r="O3276" s="53" t="n">
        <v>45760.364837963</v>
      </c>
      <c r="P3276" s="53" t="n">
        <v>45832.784837963</v>
      </c>
      <c r="Q3276" s="53" t="n">
        <v>45760.364837963</v>
      </c>
      <c r="R3276" s="0" t="n">
        <v>0</v>
      </c>
      <c r="S3276" s="51" t="s">
        <v>2380</v>
      </c>
      <c r="T3276" s="51" t="s">
        <v>2380</v>
      </c>
      <c r="U3276" s="51" t="s">
        <v>4012</v>
      </c>
      <c r="V3276" s="51" t="s">
        <v>2365</v>
      </c>
      <c r="W3276" s="51" t="s">
        <v>4575</v>
      </c>
      <c r="X3276" s="51" t="s">
        <v>2359</v>
      </c>
    </row>
    <row r="3277" customFormat="false" ht="14.25" hidden="true" customHeight="false" outlineLevel="0" collapsed="false">
      <c r="A3277" s="49" t="s">
        <v>2349</v>
      </c>
      <c r="B3277" s="49" t="s">
        <v>2350</v>
      </c>
      <c r="C3277" s="49" t="s">
        <v>6744</v>
      </c>
      <c r="D3277" s="49" t="s">
        <v>2352</v>
      </c>
      <c r="E3277" s="49" t="s">
        <v>4012</v>
      </c>
      <c r="F3277" s="49" t="s">
        <v>4013</v>
      </c>
      <c r="G3277" s="49" t="n">
        <v>0</v>
      </c>
      <c r="H3277" s="0" t="n">
        <v>0</v>
      </c>
      <c r="M3277" s="51" t="s">
        <v>6725</v>
      </c>
      <c r="N3277" s="49" t="n">
        <v>0</v>
      </c>
      <c r="O3277" s="53" t="n">
        <v>45760.3646064815</v>
      </c>
      <c r="P3277" s="53" t="n">
        <v>45832.7861111111</v>
      </c>
      <c r="Q3277" s="53" t="n">
        <v>45760.3646064815</v>
      </c>
      <c r="R3277" s="0" t="n">
        <v>0</v>
      </c>
      <c r="S3277" s="51" t="s">
        <v>2380</v>
      </c>
      <c r="T3277" s="51" t="s">
        <v>2380</v>
      </c>
      <c r="U3277" s="51" t="s">
        <v>4012</v>
      </c>
      <c r="V3277" s="51" t="s">
        <v>2365</v>
      </c>
      <c r="W3277" s="51" t="s">
        <v>4577</v>
      </c>
      <c r="X3277" s="51" t="s">
        <v>2359</v>
      </c>
    </row>
    <row r="3278" customFormat="false" ht="14.25" hidden="true" customHeight="false" outlineLevel="0" collapsed="false">
      <c r="A3278" s="49" t="s">
        <v>2349</v>
      </c>
      <c r="B3278" s="49" t="s">
        <v>2350</v>
      </c>
      <c r="C3278" s="49" t="s">
        <v>6745</v>
      </c>
      <c r="D3278" s="49" t="s">
        <v>2352</v>
      </c>
      <c r="E3278" s="49" t="s">
        <v>4012</v>
      </c>
      <c r="F3278" s="49" t="s">
        <v>4013</v>
      </c>
      <c r="G3278" s="49" t="n">
        <v>0</v>
      </c>
      <c r="H3278" s="0" t="n">
        <v>0</v>
      </c>
      <c r="M3278" s="51" t="s">
        <v>6725</v>
      </c>
      <c r="N3278" s="49" t="n">
        <v>0</v>
      </c>
      <c r="O3278" s="53" t="n">
        <v>45760.364375</v>
      </c>
      <c r="P3278" s="53" t="n">
        <v>45916.8871990741</v>
      </c>
      <c r="Q3278" s="53" t="n">
        <v>45760.364375</v>
      </c>
      <c r="R3278" s="0" t="n">
        <v>0</v>
      </c>
      <c r="S3278" s="51" t="s">
        <v>2380</v>
      </c>
      <c r="T3278" s="51" t="s">
        <v>2380</v>
      </c>
      <c r="U3278" s="51" t="s">
        <v>4012</v>
      </c>
      <c r="V3278" s="51" t="s">
        <v>2365</v>
      </c>
      <c r="W3278" s="51" t="s">
        <v>3844</v>
      </c>
      <c r="X3278" s="51" t="s">
        <v>2359</v>
      </c>
    </row>
    <row r="3279" customFormat="false" ht="14.25" hidden="true" customHeight="false" outlineLevel="0" collapsed="false">
      <c r="A3279" s="49" t="s">
        <v>2349</v>
      </c>
      <c r="B3279" s="49" t="s">
        <v>2350</v>
      </c>
      <c r="C3279" s="49" t="s">
        <v>6746</v>
      </c>
      <c r="D3279" s="49" t="s">
        <v>2352</v>
      </c>
      <c r="E3279" s="49" t="s">
        <v>4012</v>
      </c>
      <c r="F3279" s="49" t="s">
        <v>4013</v>
      </c>
      <c r="G3279" s="49" t="n">
        <v>0</v>
      </c>
      <c r="H3279" s="0" t="n">
        <v>0</v>
      </c>
      <c r="M3279" s="51" t="s">
        <v>6725</v>
      </c>
      <c r="N3279" s="49" t="n">
        <v>0</v>
      </c>
      <c r="O3279" s="53" t="n">
        <v>45760.3641666667</v>
      </c>
      <c r="P3279" s="53" t="n">
        <v>45778.8154861111</v>
      </c>
      <c r="Q3279" s="53" t="n">
        <v>45760.3641666667</v>
      </c>
      <c r="R3279" s="0" t="n">
        <v>0</v>
      </c>
      <c r="S3279" s="51" t="s">
        <v>2380</v>
      </c>
      <c r="T3279" s="51" t="s">
        <v>2380</v>
      </c>
      <c r="U3279" s="51" t="s">
        <v>4012</v>
      </c>
      <c r="V3279" s="51" t="s">
        <v>2365</v>
      </c>
      <c r="W3279" s="51" t="s">
        <v>5619</v>
      </c>
      <c r="X3279" s="51" t="s">
        <v>2359</v>
      </c>
    </row>
    <row r="3280" customFormat="false" ht="14.25" hidden="true" customHeight="false" outlineLevel="0" collapsed="false">
      <c r="A3280" s="49" t="s">
        <v>2349</v>
      </c>
      <c r="B3280" s="49" t="s">
        <v>2350</v>
      </c>
      <c r="C3280" s="49" t="s">
        <v>6747</v>
      </c>
      <c r="D3280" s="49" t="s">
        <v>2352</v>
      </c>
      <c r="E3280" s="49" t="s">
        <v>4012</v>
      </c>
      <c r="F3280" s="49" t="s">
        <v>4013</v>
      </c>
      <c r="G3280" s="49" t="n">
        <v>0</v>
      </c>
      <c r="H3280" s="0" t="n">
        <v>0</v>
      </c>
      <c r="M3280" s="51" t="s">
        <v>6725</v>
      </c>
      <c r="N3280" s="49" t="n">
        <v>0</v>
      </c>
      <c r="O3280" s="53" t="n">
        <v>45760.3638888889</v>
      </c>
      <c r="P3280" s="53" t="n">
        <v>45778.807662037</v>
      </c>
      <c r="Q3280" s="53" t="n">
        <v>45760.3638888889</v>
      </c>
      <c r="R3280" s="0" t="n">
        <v>0</v>
      </c>
      <c r="S3280" s="51" t="s">
        <v>2380</v>
      </c>
      <c r="T3280" s="51" t="s">
        <v>2380</v>
      </c>
      <c r="U3280" s="51" t="s">
        <v>4012</v>
      </c>
      <c r="V3280" s="51" t="s">
        <v>2365</v>
      </c>
      <c r="W3280" s="51" t="s">
        <v>6552</v>
      </c>
      <c r="X3280" s="51" t="s">
        <v>2359</v>
      </c>
    </row>
    <row r="3281" customFormat="false" ht="14.25" hidden="true" customHeight="false" outlineLevel="0" collapsed="false">
      <c r="A3281" s="49" t="s">
        <v>2349</v>
      </c>
      <c r="B3281" s="49" t="s">
        <v>2350</v>
      </c>
      <c r="C3281" s="49" t="s">
        <v>6748</v>
      </c>
      <c r="D3281" s="49" t="s">
        <v>2352</v>
      </c>
      <c r="E3281" s="49" t="s">
        <v>4012</v>
      </c>
      <c r="F3281" s="49" t="s">
        <v>4013</v>
      </c>
      <c r="G3281" s="49" t="n">
        <v>0</v>
      </c>
      <c r="H3281" s="0" t="n">
        <v>0</v>
      </c>
      <c r="M3281" s="51" t="s">
        <v>6725</v>
      </c>
      <c r="N3281" s="49" t="n">
        <v>0</v>
      </c>
      <c r="O3281" s="53" t="n">
        <v>45760.3636111111</v>
      </c>
      <c r="P3281" s="53" t="n">
        <v>45778.8058333333</v>
      </c>
      <c r="Q3281" s="53" t="n">
        <v>45760.3636111111</v>
      </c>
      <c r="R3281" s="0" t="n">
        <v>0</v>
      </c>
      <c r="S3281" s="51" t="s">
        <v>2380</v>
      </c>
      <c r="T3281" s="51" t="s">
        <v>2380</v>
      </c>
      <c r="U3281" s="51" t="s">
        <v>4012</v>
      </c>
      <c r="V3281" s="51" t="s">
        <v>2365</v>
      </c>
      <c r="W3281" s="51" t="s">
        <v>6550</v>
      </c>
      <c r="X3281" s="51" t="s">
        <v>2359</v>
      </c>
    </row>
    <row r="3282" customFormat="false" ht="14.25" hidden="true" customHeight="false" outlineLevel="0" collapsed="false">
      <c r="A3282" s="49" t="s">
        <v>2349</v>
      </c>
      <c r="B3282" s="49" t="s">
        <v>2350</v>
      </c>
      <c r="C3282" s="49" t="s">
        <v>6749</v>
      </c>
      <c r="D3282" s="49" t="s">
        <v>2352</v>
      </c>
      <c r="E3282" s="49" t="s">
        <v>4012</v>
      </c>
      <c r="F3282" s="49" t="s">
        <v>4013</v>
      </c>
      <c r="G3282" s="49" t="n">
        <v>0</v>
      </c>
      <c r="H3282" s="0" t="n">
        <v>0</v>
      </c>
      <c r="M3282" s="51" t="s">
        <v>6725</v>
      </c>
      <c r="N3282" s="49" t="n">
        <v>0</v>
      </c>
      <c r="O3282" s="53" t="n">
        <v>45760.3632523148</v>
      </c>
      <c r="P3282" s="53" t="n">
        <v>45778.8050231482</v>
      </c>
      <c r="Q3282" s="53" t="n">
        <v>45760.3632523148</v>
      </c>
      <c r="R3282" s="0" t="n">
        <v>0</v>
      </c>
      <c r="S3282" s="51" t="s">
        <v>2380</v>
      </c>
      <c r="T3282" s="51" t="s">
        <v>2380</v>
      </c>
      <c r="U3282" s="51" t="s">
        <v>4012</v>
      </c>
      <c r="V3282" s="51" t="s">
        <v>2365</v>
      </c>
      <c r="W3282" s="51" t="s">
        <v>4501</v>
      </c>
      <c r="X3282" s="51" t="s">
        <v>2359</v>
      </c>
    </row>
    <row r="3283" customFormat="false" ht="14.25" hidden="true" customHeight="false" outlineLevel="0" collapsed="false">
      <c r="A3283" s="49" t="s">
        <v>2349</v>
      </c>
      <c r="B3283" s="49" t="s">
        <v>2350</v>
      </c>
      <c r="C3283" s="49" t="s">
        <v>6750</v>
      </c>
      <c r="D3283" s="49" t="s">
        <v>2352</v>
      </c>
      <c r="E3283" s="49" t="s">
        <v>4012</v>
      </c>
      <c r="F3283" s="49" t="s">
        <v>4013</v>
      </c>
      <c r="G3283" s="49" t="n">
        <v>0</v>
      </c>
      <c r="H3283" s="0" t="n">
        <v>0</v>
      </c>
      <c r="M3283" s="51" t="s">
        <v>6725</v>
      </c>
      <c r="N3283" s="49" t="n">
        <v>0</v>
      </c>
      <c r="O3283" s="53" t="n">
        <v>45823.5956944445</v>
      </c>
      <c r="P3283" s="53" t="n">
        <v>45824.7233912037</v>
      </c>
      <c r="R3283" s="0" t="n">
        <v>0</v>
      </c>
      <c r="T3283" s="51" t="s">
        <v>4015</v>
      </c>
      <c r="U3283" s="51" t="s">
        <v>4012</v>
      </c>
      <c r="V3283" s="51" t="s">
        <v>2365</v>
      </c>
      <c r="W3283" s="51" t="s">
        <v>4878</v>
      </c>
      <c r="X3283" s="51" t="s">
        <v>2359</v>
      </c>
    </row>
    <row r="3284" customFormat="false" ht="14.25" hidden="true" customHeight="false" outlineLevel="0" collapsed="false">
      <c r="A3284" s="49" t="s">
        <v>2349</v>
      </c>
      <c r="B3284" s="49" t="s">
        <v>2350</v>
      </c>
      <c r="C3284" s="49" t="s">
        <v>6751</v>
      </c>
      <c r="D3284" s="49" t="s">
        <v>2352</v>
      </c>
      <c r="E3284" s="49" t="s">
        <v>4012</v>
      </c>
      <c r="F3284" s="49" t="s">
        <v>4013</v>
      </c>
      <c r="G3284" s="49" t="n">
        <v>0</v>
      </c>
      <c r="H3284" s="0" t="n">
        <v>0</v>
      </c>
      <c r="M3284" s="51" t="s">
        <v>6725</v>
      </c>
      <c r="N3284" s="49" t="n">
        <v>0</v>
      </c>
      <c r="O3284" s="53" t="n">
        <v>45823.5950694445</v>
      </c>
      <c r="P3284" s="53" t="n">
        <v>45918.4693402778</v>
      </c>
      <c r="R3284" s="0" t="n">
        <v>0</v>
      </c>
      <c r="T3284" s="51" t="s">
        <v>4015</v>
      </c>
      <c r="U3284" s="51" t="s">
        <v>4012</v>
      </c>
      <c r="V3284" s="51" t="s">
        <v>2365</v>
      </c>
      <c r="W3284" s="51" t="s">
        <v>6752</v>
      </c>
      <c r="X3284" s="51" t="s">
        <v>2359</v>
      </c>
    </row>
    <row r="3285" customFormat="false" ht="14.25" hidden="true" customHeight="false" outlineLevel="0" collapsed="false">
      <c r="A3285" s="49" t="s">
        <v>2349</v>
      </c>
      <c r="B3285" s="49" t="s">
        <v>2350</v>
      </c>
      <c r="C3285" s="49" t="s">
        <v>6753</v>
      </c>
      <c r="D3285" s="49" t="s">
        <v>2352</v>
      </c>
      <c r="E3285" s="49" t="str">
        <f aca="false">"5060175132970"</f>
        <v>5060175132970</v>
      </c>
      <c r="F3285" s="49" t="s">
        <v>3948</v>
      </c>
      <c r="G3285" s="49" t="n">
        <v>0</v>
      </c>
      <c r="H3285" s="0" t="n">
        <v>0</v>
      </c>
      <c r="M3285" s="51" t="s">
        <v>6754</v>
      </c>
      <c r="N3285" s="49" t="n">
        <v>0</v>
      </c>
      <c r="O3285" s="53" t="n">
        <v>45754.5240509259</v>
      </c>
      <c r="P3285" s="53" t="n">
        <v>46000.1713888889</v>
      </c>
      <c r="Q3285" s="53" t="n">
        <v>45754.5240509259</v>
      </c>
      <c r="R3285" s="0" t="n">
        <v>0</v>
      </c>
      <c r="S3285" s="51" t="s">
        <v>2380</v>
      </c>
      <c r="T3285" s="51" t="s">
        <v>2380</v>
      </c>
      <c r="U3285" s="0" t="str">
        <f aca="false">"5060175132970"</f>
        <v>5060175132970</v>
      </c>
      <c r="V3285" s="51" t="s">
        <v>2365</v>
      </c>
      <c r="W3285" s="51" t="s">
        <v>4899</v>
      </c>
      <c r="X3285" s="51" t="s">
        <v>2359</v>
      </c>
    </row>
    <row r="3286" customFormat="false" ht="14.25" hidden="true" customHeight="false" outlineLevel="0" collapsed="false">
      <c r="A3286" s="49" t="s">
        <v>2349</v>
      </c>
      <c r="B3286" s="49" t="s">
        <v>2350</v>
      </c>
      <c r="C3286" s="49" t="s">
        <v>6755</v>
      </c>
      <c r="D3286" s="49" t="s">
        <v>2352</v>
      </c>
      <c r="E3286" s="49" t="str">
        <f aca="false">"5060175132970"</f>
        <v>5060175132970</v>
      </c>
      <c r="F3286" s="49" t="s">
        <v>3948</v>
      </c>
      <c r="G3286" s="49" t="n">
        <v>0</v>
      </c>
      <c r="H3286" s="0" t="n">
        <v>0</v>
      </c>
      <c r="M3286" s="51" t="s">
        <v>6754</v>
      </c>
      <c r="N3286" s="49" t="n">
        <v>0</v>
      </c>
      <c r="O3286" s="53" t="n">
        <v>45754.5245949074</v>
      </c>
      <c r="P3286" s="53" t="n">
        <v>45950.5893981482</v>
      </c>
      <c r="Q3286" s="53" t="n">
        <v>45754.5245949074</v>
      </c>
      <c r="R3286" s="0" t="n">
        <v>0</v>
      </c>
      <c r="S3286" s="51" t="s">
        <v>2380</v>
      </c>
      <c r="T3286" s="51" t="s">
        <v>2380</v>
      </c>
      <c r="U3286" s="0" t="str">
        <f aca="false">"5060175132970"</f>
        <v>5060175132970</v>
      </c>
      <c r="V3286" s="51" t="s">
        <v>2365</v>
      </c>
      <c r="W3286" s="51" t="s">
        <v>4901</v>
      </c>
      <c r="X3286" s="51" t="s">
        <v>2359</v>
      </c>
    </row>
    <row r="3287" customFormat="false" ht="14.25" hidden="true" customHeight="false" outlineLevel="0" collapsed="false">
      <c r="A3287" s="49" t="s">
        <v>2349</v>
      </c>
      <c r="B3287" s="49" t="s">
        <v>2350</v>
      </c>
      <c r="C3287" s="49" t="s">
        <v>6756</v>
      </c>
      <c r="D3287" s="49" t="s">
        <v>2352</v>
      </c>
      <c r="E3287" s="49" t="str">
        <f aca="false">"5060175132970"</f>
        <v>5060175132970</v>
      </c>
      <c r="F3287" s="49" t="s">
        <v>3948</v>
      </c>
      <c r="G3287" s="49" t="n">
        <v>0</v>
      </c>
      <c r="H3287" s="0" t="n">
        <v>0</v>
      </c>
      <c r="M3287" s="51" t="s">
        <v>6754</v>
      </c>
      <c r="N3287" s="49" t="n">
        <v>0</v>
      </c>
      <c r="O3287" s="53" t="n">
        <v>45754.5255902778</v>
      </c>
      <c r="P3287" s="53" t="n">
        <v>46013.4604861111</v>
      </c>
      <c r="Q3287" s="53" t="n">
        <v>45754.5255902778</v>
      </c>
      <c r="R3287" s="0" t="n">
        <v>0</v>
      </c>
      <c r="S3287" s="51" t="s">
        <v>2380</v>
      </c>
      <c r="T3287" s="51" t="s">
        <v>2380</v>
      </c>
      <c r="U3287" s="0" t="str">
        <f aca="false">"5060175132970"</f>
        <v>5060175132970</v>
      </c>
      <c r="V3287" s="51" t="s">
        <v>2365</v>
      </c>
      <c r="W3287" s="51" t="s">
        <v>6757</v>
      </c>
      <c r="X3287" s="51" t="s">
        <v>2359</v>
      </c>
    </row>
    <row r="3288" customFormat="false" ht="14.25" hidden="true" customHeight="false" outlineLevel="0" collapsed="false">
      <c r="A3288" s="49" t="s">
        <v>2349</v>
      </c>
      <c r="B3288" s="49" t="s">
        <v>2350</v>
      </c>
      <c r="C3288" s="49" t="s">
        <v>6758</v>
      </c>
      <c r="D3288" s="49" t="s">
        <v>2352</v>
      </c>
      <c r="E3288" s="49" t="str">
        <f aca="false">"5060175132970"</f>
        <v>5060175132970</v>
      </c>
      <c r="F3288" s="49" t="s">
        <v>3948</v>
      </c>
      <c r="G3288" s="49" t="n">
        <v>0</v>
      </c>
      <c r="H3288" s="0" t="n">
        <v>0</v>
      </c>
      <c r="M3288" s="51" t="s">
        <v>6754</v>
      </c>
      <c r="N3288" s="49" t="n">
        <v>0</v>
      </c>
      <c r="O3288" s="53" t="n">
        <v>45754.5258217593</v>
      </c>
      <c r="P3288" s="53" t="n">
        <v>46013.4575347222</v>
      </c>
      <c r="Q3288" s="53" t="n">
        <v>45754.5258217593</v>
      </c>
      <c r="R3288" s="0" t="n">
        <v>0</v>
      </c>
      <c r="S3288" s="51" t="s">
        <v>2380</v>
      </c>
      <c r="T3288" s="51" t="s">
        <v>2380</v>
      </c>
      <c r="U3288" s="0" t="str">
        <f aca="false">"5060175132970"</f>
        <v>5060175132970</v>
      </c>
      <c r="V3288" s="51" t="s">
        <v>2365</v>
      </c>
      <c r="W3288" s="51" t="s">
        <v>4181</v>
      </c>
      <c r="X3288" s="51" t="s">
        <v>2359</v>
      </c>
    </row>
    <row r="3289" customFormat="false" ht="14.25" hidden="true" customHeight="false" outlineLevel="0" collapsed="false">
      <c r="A3289" s="49" t="s">
        <v>2349</v>
      </c>
      <c r="B3289" s="49" t="s">
        <v>2350</v>
      </c>
      <c r="C3289" s="49" t="s">
        <v>6759</v>
      </c>
      <c r="D3289" s="49" t="s">
        <v>2352</v>
      </c>
      <c r="E3289" s="49" t="str">
        <f aca="false">"5060175132970"</f>
        <v>5060175132970</v>
      </c>
      <c r="F3289" s="49" t="s">
        <v>3948</v>
      </c>
      <c r="G3289" s="49" t="n">
        <v>0</v>
      </c>
      <c r="H3289" s="0" t="n">
        <v>0</v>
      </c>
      <c r="M3289" s="51" t="s">
        <v>6754</v>
      </c>
      <c r="N3289" s="49" t="n">
        <v>0</v>
      </c>
      <c r="O3289" s="53" t="n">
        <v>45754.5261689815</v>
      </c>
      <c r="P3289" s="53" t="n">
        <v>46041.9083217593</v>
      </c>
      <c r="Q3289" s="53" t="n">
        <v>45754.5261689815</v>
      </c>
      <c r="R3289" s="0" t="n">
        <v>0</v>
      </c>
      <c r="S3289" s="51" t="s">
        <v>2380</v>
      </c>
      <c r="T3289" s="51" t="s">
        <v>2380</v>
      </c>
      <c r="U3289" s="0" t="str">
        <f aca="false">"5060175132970"</f>
        <v>5060175132970</v>
      </c>
      <c r="V3289" s="51" t="s">
        <v>2365</v>
      </c>
      <c r="W3289" s="51" t="s">
        <v>6760</v>
      </c>
      <c r="X3289" s="51" t="s">
        <v>2359</v>
      </c>
    </row>
    <row r="3290" customFormat="false" ht="14.25" hidden="true" customHeight="false" outlineLevel="0" collapsed="false">
      <c r="A3290" s="49" t="s">
        <v>2349</v>
      </c>
      <c r="B3290" s="49" t="s">
        <v>2350</v>
      </c>
      <c r="C3290" s="49" t="s">
        <v>6761</v>
      </c>
      <c r="D3290" s="49" t="s">
        <v>2352</v>
      </c>
      <c r="E3290" s="49" t="s">
        <v>4012</v>
      </c>
      <c r="F3290" s="49" t="s">
        <v>4013</v>
      </c>
      <c r="G3290" s="49" t="n">
        <v>0</v>
      </c>
      <c r="H3290" s="0" t="n">
        <v>0</v>
      </c>
      <c r="M3290" s="51" t="s">
        <v>6762</v>
      </c>
      <c r="N3290" s="49" t="n">
        <v>0</v>
      </c>
      <c r="O3290" s="53" t="n">
        <v>45754.6129166667</v>
      </c>
      <c r="P3290" s="53" t="n">
        <v>45778.8152546296</v>
      </c>
      <c r="Q3290" s="53" t="n">
        <v>45754.6129166667</v>
      </c>
      <c r="R3290" s="0" t="n">
        <v>0</v>
      </c>
      <c r="S3290" s="51" t="s">
        <v>2380</v>
      </c>
      <c r="T3290" s="51" t="s">
        <v>2380</v>
      </c>
      <c r="U3290" s="51" t="s">
        <v>4012</v>
      </c>
      <c r="V3290" s="51" t="s">
        <v>2365</v>
      </c>
      <c r="W3290" s="51" t="s">
        <v>6763</v>
      </c>
      <c r="X3290" s="51" t="s">
        <v>2359</v>
      </c>
    </row>
    <row r="3291" customFormat="false" ht="14.25" hidden="true" customHeight="false" outlineLevel="0" collapsed="false">
      <c r="A3291" s="49" t="s">
        <v>2349</v>
      </c>
      <c r="B3291" s="49" t="s">
        <v>2350</v>
      </c>
      <c r="C3291" s="49" t="s">
        <v>6764</v>
      </c>
      <c r="D3291" s="49" t="s">
        <v>2352</v>
      </c>
      <c r="E3291" s="49" t="s">
        <v>4012</v>
      </c>
      <c r="F3291" s="49" t="s">
        <v>4013</v>
      </c>
      <c r="G3291" s="49" t="n">
        <v>0</v>
      </c>
      <c r="H3291" s="0" t="n">
        <v>0</v>
      </c>
      <c r="M3291" s="51" t="s">
        <v>6762</v>
      </c>
      <c r="N3291" s="49" t="n">
        <v>0</v>
      </c>
      <c r="O3291" s="53" t="n">
        <v>45754.6143981482</v>
      </c>
      <c r="P3291" s="53" t="n">
        <v>45778.8247800926</v>
      </c>
      <c r="Q3291" s="53" t="n">
        <v>45754.6143981482</v>
      </c>
      <c r="R3291" s="0" t="n">
        <v>0</v>
      </c>
      <c r="S3291" s="51" t="s">
        <v>2380</v>
      </c>
      <c r="T3291" s="51" t="s">
        <v>2380</v>
      </c>
      <c r="U3291" s="51" t="s">
        <v>4012</v>
      </c>
      <c r="V3291" s="51" t="s">
        <v>2365</v>
      </c>
      <c r="W3291" s="51" t="s">
        <v>6025</v>
      </c>
      <c r="X3291" s="51" t="s">
        <v>2359</v>
      </c>
    </row>
    <row r="3292" customFormat="false" ht="14.25" hidden="true" customHeight="false" outlineLevel="0" collapsed="false">
      <c r="A3292" s="49" t="s">
        <v>2349</v>
      </c>
      <c r="B3292" s="49" t="s">
        <v>2350</v>
      </c>
      <c r="C3292" s="49" t="s">
        <v>6765</v>
      </c>
      <c r="D3292" s="49" t="s">
        <v>2352</v>
      </c>
      <c r="E3292" s="49" t="s">
        <v>4012</v>
      </c>
      <c r="F3292" s="49" t="s">
        <v>4013</v>
      </c>
      <c r="G3292" s="49" t="n">
        <v>0</v>
      </c>
      <c r="H3292" s="0" t="n">
        <v>0</v>
      </c>
      <c r="M3292" s="51" t="s">
        <v>6762</v>
      </c>
      <c r="N3292" s="49" t="n">
        <v>0</v>
      </c>
      <c r="O3292" s="53" t="n">
        <v>45754.6148958333</v>
      </c>
      <c r="P3292" s="53" t="n">
        <v>45771.8845601852</v>
      </c>
      <c r="Q3292" s="53" t="n">
        <v>45754.6148958333</v>
      </c>
      <c r="R3292" s="0" t="n">
        <v>0</v>
      </c>
      <c r="S3292" s="51" t="s">
        <v>2380</v>
      </c>
      <c r="T3292" s="51" t="s">
        <v>2380</v>
      </c>
      <c r="U3292" s="51" t="s">
        <v>4012</v>
      </c>
      <c r="V3292" s="51" t="s">
        <v>2365</v>
      </c>
      <c r="W3292" s="51" t="s">
        <v>6571</v>
      </c>
      <c r="X3292" s="51" t="s">
        <v>2359</v>
      </c>
    </row>
    <row r="3293" customFormat="false" ht="14.25" hidden="true" customHeight="false" outlineLevel="0" collapsed="false">
      <c r="A3293" s="49" t="s">
        <v>2349</v>
      </c>
      <c r="B3293" s="49" t="s">
        <v>2350</v>
      </c>
      <c r="C3293" s="49" t="s">
        <v>6766</v>
      </c>
      <c r="D3293" s="49" t="s">
        <v>2352</v>
      </c>
      <c r="E3293" s="49" t="s">
        <v>4012</v>
      </c>
      <c r="F3293" s="49" t="s">
        <v>4013</v>
      </c>
      <c r="G3293" s="49" t="n">
        <v>0</v>
      </c>
      <c r="H3293" s="0" t="n">
        <v>0</v>
      </c>
      <c r="M3293" s="51" t="s">
        <v>6762</v>
      </c>
      <c r="N3293" s="49" t="n">
        <v>0</v>
      </c>
      <c r="O3293" s="53" t="n">
        <v>45754.6168634259</v>
      </c>
      <c r="P3293" s="53" t="n">
        <v>45778.8119791667</v>
      </c>
      <c r="Q3293" s="53" t="n">
        <v>45754.6168634259</v>
      </c>
      <c r="R3293" s="0" t="n">
        <v>0</v>
      </c>
      <c r="S3293" s="51" t="s">
        <v>2380</v>
      </c>
      <c r="T3293" s="51" t="s">
        <v>2380</v>
      </c>
      <c r="U3293" s="51" t="s">
        <v>4012</v>
      </c>
      <c r="V3293" s="51" t="s">
        <v>2365</v>
      </c>
      <c r="W3293" s="51" t="s">
        <v>6548</v>
      </c>
      <c r="X3293" s="51" t="s">
        <v>2359</v>
      </c>
    </row>
    <row r="3294" customFormat="false" ht="14.25" hidden="true" customHeight="false" outlineLevel="0" collapsed="false">
      <c r="A3294" s="49" t="s">
        <v>2349</v>
      </c>
      <c r="B3294" s="49" t="s">
        <v>2350</v>
      </c>
      <c r="C3294" s="49" t="s">
        <v>6767</v>
      </c>
      <c r="D3294" s="49" t="s">
        <v>2352</v>
      </c>
      <c r="E3294" s="49" t="s">
        <v>4012</v>
      </c>
      <c r="F3294" s="49" t="s">
        <v>4013</v>
      </c>
      <c r="G3294" s="49" t="n">
        <v>0</v>
      </c>
      <c r="H3294" s="0" t="n">
        <v>0</v>
      </c>
      <c r="M3294" s="51" t="s">
        <v>6762</v>
      </c>
      <c r="N3294" s="49" t="n">
        <v>0</v>
      </c>
      <c r="O3294" s="53" t="n">
        <v>45754.6175231482</v>
      </c>
      <c r="P3294" s="53" t="n">
        <v>45778.8070833333</v>
      </c>
      <c r="Q3294" s="53" t="n">
        <v>45754.6175231482</v>
      </c>
      <c r="R3294" s="0" t="n">
        <v>0</v>
      </c>
      <c r="S3294" s="51" t="s">
        <v>2380</v>
      </c>
      <c r="T3294" s="51" t="s">
        <v>2380</v>
      </c>
      <c r="U3294" s="51" t="s">
        <v>4012</v>
      </c>
      <c r="V3294" s="51" t="s">
        <v>2365</v>
      </c>
      <c r="W3294" s="51" t="s">
        <v>6571</v>
      </c>
      <c r="X3294" s="51" t="s">
        <v>2359</v>
      </c>
    </row>
    <row r="3295" customFormat="false" ht="14.25" hidden="true" customHeight="false" outlineLevel="0" collapsed="false">
      <c r="A3295" s="49" t="s">
        <v>2349</v>
      </c>
      <c r="B3295" s="49" t="s">
        <v>2350</v>
      </c>
      <c r="C3295" s="49" t="s">
        <v>6768</v>
      </c>
      <c r="D3295" s="49" t="s">
        <v>2352</v>
      </c>
      <c r="E3295" s="49" t="s">
        <v>4012</v>
      </c>
      <c r="F3295" s="49" t="s">
        <v>4013</v>
      </c>
      <c r="G3295" s="49" t="n">
        <v>0</v>
      </c>
      <c r="H3295" s="0" t="n">
        <v>0</v>
      </c>
      <c r="M3295" s="51" t="s">
        <v>6762</v>
      </c>
      <c r="N3295" s="49" t="n">
        <v>0</v>
      </c>
      <c r="O3295" s="53" t="n">
        <v>45754.6184953704</v>
      </c>
      <c r="P3295" s="53" t="n">
        <v>45780.4796875</v>
      </c>
      <c r="Q3295" s="53" t="n">
        <v>45754.6184953704</v>
      </c>
      <c r="R3295" s="0" t="n">
        <v>0</v>
      </c>
      <c r="S3295" s="51" t="s">
        <v>2380</v>
      </c>
      <c r="T3295" s="51" t="s">
        <v>2380</v>
      </c>
      <c r="U3295" s="51" t="s">
        <v>4012</v>
      </c>
      <c r="V3295" s="51" t="s">
        <v>2365</v>
      </c>
      <c r="W3295" s="51" t="s">
        <v>6769</v>
      </c>
      <c r="X3295" s="51" t="s">
        <v>2359</v>
      </c>
    </row>
    <row r="3296" customFormat="false" ht="14.25" hidden="true" customHeight="false" outlineLevel="0" collapsed="false">
      <c r="A3296" s="49" t="s">
        <v>2349</v>
      </c>
      <c r="B3296" s="49" t="s">
        <v>2350</v>
      </c>
      <c r="C3296" s="49" t="s">
        <v>6770</v>
      </c>
      <c r="D3296" s="49" t="s">
        <v>2352</v>
      </c>
      <c r="E3296" s="49" t="s">
        <v>4012</v>
      </c>
      <c r="F3296" s="49" t="s">
        <v>4013</v>
      </c>
      <c r="G3296" s="49" t="n">
        <v>0</v>
      </c>
      <c r="H3296" s="0" t="n">
        <v>0</v>
      </c>
      <c r="M3296" s="51" t="s">
        <v>6762</v>
      </c>
      <c r="N3296" s="49" t="n">
        <v>0</v>
      </c>
      <c r="O3296" s="53" t="n">
        <v>45754.618900463</v>
      </c>
      <c r="P3296" s="53" t="n">
        <v>45778.8102662037</v>
      </c>
      <c r="Q3296" s="53" t="n">
        <v>45754.618900463</v>
      </c>
      <c r="R3296" s="0" t="n">
        <v>0</v>
      </c>
      <c r="S3296" s="51" t="s">
        <v>2380</v>
      </c>
      <c r="T3296" s="51" t="s">
        <v>2380</v>
      </c>
      <c r="U3296" s="51" t="s">
        <v>4012</v>
      </c>
      <c r="V3296" s="51" t="s">
        <v>2365</v>
      </c>
      <c r="W3296" s="51" t="s">
        <v>6771</v>
      </c>
      <c r="X3296" s="51" t="s">
        <v>2359</v>
      </c>
    </row>
    <row r="3297" customFormat="false" ht="14.25" hidden="true" customHeight="false" outlineLevel="0" collapsed="false">
      <c r="A3297" s="49" t="s">
        <v>2349</v>
      </c>
      <c r="B3297" s="49" t="s">
        <v>2350</v>
      </c>
      <c r="C3297" s="49" t="s">
        <v>6772</v>
      </c>
      <c r="D3297" s="49" t="s">
        <v>2352</v>
      </c>
      <c r="E3297" s="49" t="s">
        <v>4012</v>
      </c>
      <c r="F3297" s="49" t="s">
        <v>4013</v>
      </c>
      <c r="G3297" s="49" t="n">
        <v>0</v>
      </c>
      <c r="H3297" s="0" t="n">
        <v>0</v>
      </c>
      <c r="M3297" s="51" t="s">
        <v>6762</v>
      </c>
      <c r="N3297" s="49" t="n">
        <v>0</v>
      </c>
      <c r="O3297" s="53" t="n">
        <v>45754.6191435185</v>
      </c>
      <c r="P3297" s="53" t="n">
        <v>45778.8127777778</v>
      </c>
      <c r="Q3297" s="53" t="n">
        <v>45754.6191435185</v>
      </c>
      <c r="R3297" s="0" t="n">
        <v>0</v>
      </c>
      <c r="S3297" s="51" t="s">
        <v>2380</v>
      </c>
      <c r="T3297" s="51" t="s">
        <v>2380</v>
      </c>
      <c r="U3297" s="51" t="s">
        <v>4012</v>
      </c>
      <c r="V3297" s="51" t="s">
        <v>2365</v>
      </c>
      <c r="W3297" s="51" t="s">
        <v>5172</v>
      </c>
      <c r="X3297" s="51" t="s">
        <v>2359</v>
      </c>
    </row>
    <row r="3298" customFormat="false" ht="14.25" hidden="true" customHeight="false" outlineLevel="0" collapsed="false">
      <c r="A3298" s="49" t="s">
        <v>2349</v>
      </c>
      <c r="B3298" s="49" t="s">
        <v>2350</v>
      </c>
      <c r="C3298" s="49" t="s">
        <v>6773</v>
      </c>
      <c r="D3298" s="49" t="s">
        <v>2352</v>
      </c>
      <c r="E3298" s="49" t="s">
        <v>4012</v>
      </c>
      <c r="F3298" s="49" t="s">
        <v>4013</v>
      </c>
      <c r="G3298" s="49" t="n">
        <v>0</v>
      </c>
      <c r="H3298" s="0" t="n">
        <v>0</v>
      </c>
      <c r="M3298" s="51" t="s">
        <v>6762</v>
      </c>
      <c r="N3298" s="49" t="n">
        <v>0</v>
      </c>
      <c r="O3298" s="53" t="n">
        <v>45754.6194791667</v>
      </c>
      <c r="P3298" s="53" t="n">
        <v>45778.8136689815</v>
      </c>
      <c r="Q3298" s="53" t="n">
        <v>45754.6194791667</v>
      </c>
      <c r="R3298" s="0" t="n">
        <v>0</v>
      </c>
      <c r="S3298" s="51" t="s">
        <v>2380</v>
      </c>
      <c r="T3298" s="51" t="s">
        <v>2380</v>
      </c>
      <c r="U3298" s="51" t="s">
        <v>4012</v>
      </c>
      <c r="V3298" s="51" t="s">
        <v>2365</v>
      </c>
      <c r="W3298" s="51" t="s">
        <v>4278</v>
      </c>
      <c r="X3298" s="51" t="s">
        <v>2359</v>
      </c>
    </row>
    <row r="3299" customFormat="false" ht="14.25" hidden="true" customHeight="false" outlineLevel="0" collapsed="false">
      <c r="A3299" s="49" t="s">
        <v>2349</v>
      </c>
      <c r="B3299" s="49" t="s">
        <v>2350</v>
      </c>
      <c r="C3299" s="49" t="s">
        <v>6774</v>
      </c>
      <c r="D3299" s="49" t="s">
        <v>2352</v>
      </c>
      <c r="E3299" s="49" t="s">
        <v>4012</v>
      </c>
      <c r="F3299" s="49" t="s">
        <v>4013</v>
      </c>
      <c r="G3299" s="49" t="n">
        <v>0</v>
      </c>
      <c r="H3299" s="0" t="n">
        <v>0</v>
      </c>
      <c r="M3299" s="51" t="s">
        <v>6762</v>
      </c>
      <c r="N3299" s="49" t="n">
        <v>0</v>
      </c>
      <c r="O3299" s="53" t="n">
        <v>45754.6196875</v>
      </c>
      <c r="P3299" s="53" t="n">
        <v>45778.8143171296</v>
      </c>
      <c r="Q3299" s="53" t="n">
        <v>45754.6196875</v>
      </c>
      <c r="R3299" s="0" t="n">
        <v>0</v>
      </c>
      <c r="S3299" s="51" t="s">
        <v>2380</v>
      </c>
      <c r="T3299" s="51" t="s">
        <v>2380</v>
      </c>
      <c r="U3299" s="51" t="s">
        <v>4012</v>
      </c>
      <c r="V3299" s="51" t="s">
        <v>2365</v>
      </c>
      <c r="W3299" s="51" t="s">
        <v>6775</v>
      </c>
      <c r="X3299" s="51" t="s">
        <v>2359</v>
      </c>
    </row>
    <row r="3300" customFormat="false" ht="14.25" hidden="true" customHeight="false" outlineLevel="0" collapsed="false">
      <c r="A3300" s="49" t="s">
        <v>2349</v>
      </c>
      <c r="B3300" s="49" t="s">
        <v>2350</v>
      </c>
      <c r="C3300" s="49" t="s">
        <v>6776</v>
      </c>
      <c r="D3300" s="49" t="s">
        <v>2352</v>
      </c>
      <c r="E3300" s="49" t="str">
        <f aca="false">"10074865055175"</f>
        <v>10074865055175</v>
      </c>
      <c r="F3300" s="49" t="s">
        <v>5090</v>
      </c>
      <c r="G3300" s="49" t="n">
        <v>0</v>
      </c>
      <c r="H3300" s="0" t="n">
        <v>0</v>
      </c>
      <c r="M3300" s="51" t="s">
        <v>6777</v>
      </c>
      <c r="N3300" s="49" t="n">
        <v>0</v>
      </c>
      <c r="O3300" s="53" t="n">
        <v>45760.5979861111</v>
      </c>
      <c r="P3300" s="53" t="n">
        <v>45837.4305208333</v>
      </c>
      <c r="Q3300" s="53" t="n">
        <v>45760.5979861111</v>
      </c>
      <c r="R3300" s="0" t="n">
        <v>0</v>
      </c>
      <c r="S3300" s="51" t="s">
        <v>2380</v>
      </c>
      <c r="T3300" s="51" t="s">
        <v>2380</v>
      </c>
      <c r="U3300" s="0" t="str">
        <f aca="false">"10074865055175"</f>
        <v>10074865055175</v>
      </c>
      <c r="V3300" s="51" t="s">
        <v>2365</v>
      </c>
      <c r="W3300" s="51" t="s">
        <v>6778</v>
      </c>
      <c r="X3300" s="51" t="s">
        <v>2359</v>
      </c>
    </row>
    <row r="3301" customFormat="false" ht="14.25" hidden="true" customHeight="false" outlineLevel="0" collapsed="false">
      <c r="A3301" s="49" t="s">
        <v>2349</v>
      </c>
      <c r="B3301" s="49" t="s">
        <v>2350</v>
      </c>
      <c r="C3301" s="49" t="s">
        <v>6779</v>
      </c>
      <c r="D3301" s="49" t="s">
        <v>2352</v>
      </c>
      <c r="E3301" s="49" t="str">
        <f aca="false">"10074865055175"</f>
        <v>10074865055175</v>
      </c>
      <c r="F3301" s="49" t="s">
        <v>5090</v>
      </c>
      <c r="G3301" s="49" t="n">
        <v>0</v>
      </c>
      <c r="H3301" s="0" t="n">
        <v>0</v>
      </c>
      <c r="M3301" s="51" t="s">
        <v>6777</v>
      </c>
      <c r="N3301" s="49" t="n">
        <v>0</v>
      </c>
      <c r="O3301" s="53" t="n">
        <v>45760.5888657407</v>
      </c>
      <c r="P3301" s="53" t="n">
        <v>45908.3966898148</v>
      </c>
      <c r="Q3301" s="53" t="n">
        <v>45760.5888657407</v>
      </c>
      <c r="R3301" s="0" t="n">
        <v>0</v>
      </c>
      <c r="S3301" s="51" t="s">
        <v>2380</v>
      </c>
      <c r="T3301" s="51" t="s">
        <v>2380</v>
      </c>
      <c r="U3301" s="0" t="str">
        <f aca="false">"10074865055175"</f>
        <v>10074865055175</v>
      </c>
      <c r="V3301" s="51" t="s">
        <v>2365</v>
      </c>
      <c r="W3301" s="51" t="s">
        <v>6780</v>
      </c>
      <c r="X3301" s="51" t="s">
        <v>2359</v>
      </c>
    </row>
    <row r="3302" customFormat="false" ht="14.25" hidden="true" customHeight="false" outlineLevel="0" collapsed="false">
      <c r="A3302" s="49" t="s">
        <v>2349</v>
      </c>
      <c r="B3302" s="49" t="s">
        <v>2350</v>
      </c>
      <c r="C3302" s="49" t="s">
        <v>6781</v>
      </c>
      <c r="D3302" s="49" t="s">
        <v>2352</v>
      </c>
      <c r="E3302" s="49" t="str">
        <f aca="false">"10074865055175"</f>
        <v>10074865055175</v>
      </c>
      <c r="F3302" s="49" t="s">
        <v>5090</v>
      </c>
      <c r="G3302" s="49" t="n">
        <v>0</v>
      </c>
      <c r="H3302" s="0" t="n">
        <v>0</v>
      </c>
      <c r="M3302" s="51" t="s">
        <v>6777</v>
      </c>
      <c r="N3302" s="49" t="n">
        <v>0</v>
      </c>
      <c r="O3302" s="53" t="n">
        <v>45760.5892592593</v>
      </c>
      <c r="P3302" s="53" t="n">
        <v>45837.4379861111</v>
      </c>
      <c r="Q3302" s="53" t="n">
        <v>45760.5892592593</v>
      </c>
      <c r="R3302" s="0" t="n">
        <v>0</v>
      </c>
      <c r="S3302" s="51" t="s">
        <v>2380</v>
      </c>
      <c r="T3302" s="51" t="s">
        <v>2380</v>
      </c>
      <c r="U3302" s="0" t="str">
        <f aca="false">"10074865055175"</f>
        <v>10074865055175</v>
      </c>
      <c r="V3302" s="51" t="s">
        <v>2365</v>
      </c>
      <c r="W3302" s="51" t="s">
        <v>3672</v>
      </c>
      <c r="X3302" s="51" t="s">
        <v>2359</v>
      </c>
    </row>
    <row r="3303" customFormat="false" ht="14.25" hidden="true" customHeight="false" outlineLevel="0" collapsed="false">
      <c r="A3303" s="49" t="s">
        <v>2349</v>
      </c>
      <c r="B3303" s="49" t="s">
        <v>2350</v>
      </c>
      <c r="C3303" s="49" t="s">
        <v>6782</v>
      </c>
      <c r="D3303" s="49" t="s">
        <v>2352</v>
      </c>
      <c r="E3303" s="49" t="str">
        <f aca="false">"10074865055175"</f>
        <v>10074865055175</v>
      </c>
      <c r="F3303" s="49" t="s">
        <v>5090</v>
      </c>
      <c r="G3303" s="49" t="n">
        <v>0</v>
      </c>
      <c r="H3303" s="0" t="n">
        <v>0</v>
      </c>
      <c r="M3303" s="51" t="s">
        <v>6777</v>
      </c>
      <c r="N3303" s="49" t="n">
        <v>0</v>
      </c>
      <c r="O3303" s="53" t="n">
        <v>45760.5894907407</v>
      </c>
      <c r="P3303" s="53" t="n">
        <v>45908.4088888889</v>
      </c>
      <c r="Q3303" s="53" t="n">
        <v>45760.5894907407</v>
      </c>
      <c r="R3303" s="0" t="n">
        <v>0</v>
      </c>
      <c r="S3303" s="51" t="s">
        <v>2380</v>
      </c>
      <c r="T3303" s="51" t="s">
        <v>2380</v>
      </c>
      <c r="U3303" s="0" t="str">
        <f aca="false">"10074865055175"</f>
        <v>10074865055175</v>
      </c>
      <c r="V3303" s="51" t="s">
        <v>2365</v>
      </c>
      <c r="W3303" s="51" t="s">
        <v>5088</v>
      </c>
      <c r="X3303" s="51" t="s">
        <v>2359</v>
      </c>
    </row>
    <row r="3304" customFormat="false" ht="14.25" hidden="true" customHeight="false" outlineLevel="0" collapsed="false">
      <c r="A3304" s="49" t="s">
        <v>2349</v>
      </c>
      <c r="B3304" s="49" t="s">
        <v>2350</v>
      </c>
      <c r="C3304" s="49" t="s">
        <v>6783</v>
      </c>
      <c r="D3304" s="49" t="s">
        <v>2352</v>
      </c>
      <c r="E3304" s="49" t="str">
        <f aca="false">"10074865055175"</f>
        <v>10074865055175</v>
      </c>
      <c r="F3304" s="49" t="s">
        <v>5090</v>
      </c>
      <c r="G3304" s="49" t="n">
        <v>0</v>
      </c>
      <c r="H3304" s="0" t="n">
        <v>0</v>
      </c>
      <c r="M3304" s="51" t="s">
        <v>6777</v>
      </c>
      <c r="N3304" s="49" t="n">
        <v>0</v>
      </c>
      <c r="O3304" s="53" t="n">
        <v>45760.5896759259</v>
      </c>
      <c r="P3304" s="53" t="n">
        <v>45848.4447685185</v>
      </c>
      <c r="Q3304" s="53" t="n">
        <v>45760.5896759259</v>
      </c>
      <c r="R3304" s="0" t="n">
        <v>0</v>
      </c>
      <c r="S3304" s="51" t="s">
        <v>2380</v>
      </c>
      <c r="T3304" s="51" t="s">
        <v>2380</v>
      </c>
      <c r="U3304" s="0" t="str">
        <f aca="false">"10074865055175"</f>
        <v>10074865055175</v>
      </c>
      <c r="V3304" s="51" t="s">
        <v>2365</v>
      </c>
      <c r="W3304" s="51" t="s">
        <v>5450</v>
      </c>
      <c r="X3304" s="51" t="s">
        <v>2359</v>
      </c>
    </row>
    <row r="3305" customFormat="false" ht="14.25" hidden="true" customHeight="false" outlineLevel="0" collapsed="false">
      <c r="A3305" s="49" t="s">
        <v>2349</v>
      </c>
      <c r="B3305" s="49" t="s">
        <v>2350</v>
      </c>
      <c r="C3305" s="49" t="s">
        <v>6784</v>
      </c>
      <c r="D3305" s="49" t="s">
        <v>2352</v>
      </c>
      <c r="E3305" s="49" t="str">
        <f aca="false">"10074865055175"</f>
        <v>10074865055175</v>
      </c>
      <c r="F3305" s="49" t="s">
        <v>5090</v>
      </c>
      <c r="G3305" s="49" t="n">
        <v>0</v>
      </c>
      <c r="H3305" s="0" t="n">
        <v>0</v>
      </c>
      <c r="M3305" s="51" t="s">
        <v>6777</v>
      </c>
      <c r="N3305" s="49" t="n">
        <v>0</v>
      </c>
      <c r="O3305" s="53" t="n">
        <v>45760.589849537</v>
      </c>
      <c r="P3305" s="53" t="n">
        <v>45858.3958333333</v>
      </c>
      <c r="Q3305" s="53" t="n">
        <v>45760.589849537</v>
      </c>
      <c r="R3305" s="0" t="n">
        <v>0</v>
      </c>
      <c r="S3305" s="51" t="s">
        <v>2380</v>
      </c>
      <c r="T3305" s="51" t="s">
        <v>2380</v>
      </c>
      <c r="U3305" s="0" t="str">
        <f aca="false">"10074865055175"</f>
        <v>10074865055175</v>
      </c>
      <c r="V3305" s="51" t="s">
        <v>2365</v>
      </c>
      <c r="W3305" s="51" t="s">
        <v>6693</v>
      </c>
      <c r="X3305" s="51" t="s">
        <v>2359</v>
      </c>
    </row>
    <row r="3306" customFormat="false" ht="14.25" hidden="true" customHeight="false" outlineLevel="0" collapsed="false">
      <c r="A3306" s="49" t="s">
        <v>2349</v>
      </c>
      <c r="B3306" s="49" t="s">
        <v>2350</v>
      </c>
      <c r="C3306" s="49" t="s">
        <v>6785</v>
      </c>
      <c r="D3306" s="49" t="s">
        <v>2352</v>
      </c>
      <c r="E3306" s="49" t="str">
        <f aca="false">"10074865055175"</f>
        <v>10074865055175</v>
      </c>
      <c r="F3306" s="49" t="s">
        <v>5090</v>
      </c>
      <c r="G3306" s="49" t="n">
        <v>0</v>
      </c>
      <c r="H3306" s="0" t="n">
        <v>0</v>
      </c>
      <c r="M3306" s="51" t="s">
        <v>6777</v>
      </c>
      <c r="N3306" s="49" t="n">
        <v>0</v>
      </c>
      <c r="O3306" s="53" t="n">
        <v>45760.5902430556</v>
      </c>
      <c r="P3306" s="53" t="n">
        <v>45837.4282291667</v>
      </c>
      <c r="Q3306" s="53" t="n">
        <v>45760.5902430556</v>
      </c>
      <c r="R3306" s="0" t="n">
        <v>0</v>
      </c>
      <c r="S3306" s="51" t="s">
        <v>2380</v>
      </c>
      <c r="T3306" s="51" t="s">
        <v>2380</v>
      </c>
      <c r="U3306" s="0" t="str">
        <f aca="false">"10074865055175"</f>
        <v>10074865055175</v>
      </c>
      <c r="V3306" s="51" t="s">
        <v>2365</v>
      </c>
      <c r="W3306" s="51" t="s">
        <v>6786</v>
      </c>
      <c r="X3306" s="51" t="s">
        <v>2359</v>
      </c>
    </row>
    <row r="3307" customFormat="false" ht="14.25" hidden="true" customHeight="false" outlineLevel="0" collapsed="false">
      <c r="A3307" s="49" t="s">
        <v>2349</v>
      </c>
      <c r="B3307" s="49" t="s">
        <v>2350</v>
      </c>
      <c r="C3307" s="49" t="s">
        <v>6787</v>
      </c>
      <c r="D3307" s="49" t="s">
        <v>2352</v>
      </c>
      <c r="E3307" s="49" t="str">
        <f aca="false">"10074865055175"</f>
        <v>10074865055175</v>
      </c>
      <c r="F3307" s="49" t="s">
        <v>5090</v>
      </c>
      <c r="G3307" s="49" t="n">
        <v>0</v>
      </c>
      <c r="H3307" s="0" t="n">
        <v>0</v>
      </c>
      <c r="M3307" s="51" t="s">
        <v>6777</v>
      </c>
      <c r="N3307" s="49" t="n">
        <v>0</v>
      </c>
      <c r="O3307" s="53" t="n">
        <v>45760.5903819444</v>
      </c>
      <c r="P3307" s="53" t="n">
        <v>45908.3978935185</v>
      </c>
      <c r="Q3307" s="53" t="n">
        <v>45760.5903819444</v>
      </c>
      <c r="R3307" s="0" t="n">
        <v>0</v>
      </c>
      <c r="S3307" s="51" t="s">
        <v>2380</v>
      </c>
      <c r="T3307" s="51" t="s">
        <v>2380</v>
      </c>
      <c r="U3307" s="0" t="str">
        <f aca="false">"10074865055175"</f>
        <v>10074865055175</v>
      </c>
      <c r="V3307" s="51" t="s">
        <v>2365</v>
      </c>
      <c r="W3307" s="51" t="s">
        <v>4042</v>
      </c>
      <c r="X3307" s="51" t="s">
        <v>2359</v>
      </c>
    </row>
    <row r="3308" customFormat="false" ht="14.25" hidden="true" customHeight="false" outlineLevel="0" collapsed="false">
      <c r="A3308" s="49" t="s">
        <v>2349</v>
      </c>
      <c r="B3308" s="49" t="s">
        <v>2350</v>
      </c>
      <c r="C3308" s="49" t="s">
        <v>6788</v>
      </c>
      <c r="D3308" s="49" t="s">
        <v>2352</v>
      </c>
      <c r="E3308" s="49" t="str">
        <f aca="false">"10074865055175"</f>
        <v>10074865055175</v>
      </c>
      <c r="F3308" s="49" t="s">
        <v>5090</v>
      </c>
      <c r="G3308" s="49" t="n">
        <v>0</v>
      </c>
      <c r="H3308" s="0" t="n">
        <v>0</v>
      </c>
      <c r="M3308" s="51" t="s">
        <v>6777</v>
      </c>
      <c r="N3308" s="49" t="n">
        <v>0</v>
      </c>
      <c r="O3308" s="53" t="n">
        <v>45760.5905671296</v>
      </c>
      <c r="P3308" s="53" t="n">
        <v>45908.3950810185</v>
      </c>
      <c r="Q3308" s="53" t="n">
        <v>45760.5905671296</v>
      </c>
      <c r="R3308" s="0" t="n">
        <v>0</v>
      </c>
      <c r="S3308" s="51" t="s">
        <v>2380</v>
      </c>
      <c r="T3308" s="51" t="s">
        <v>2380</v>
      </c>
      <c r="U3308" s="0" t="str">
        <f aca="false">"10074865055175"</f>
        <v>10074865055175</v>
      </c>
      <c r="V3308" s="51" t="s">
        <v>2365</v>
      </c>
      <c r="W3308" s="51" t="s">
        <v>6190</v>
      </c>
      <c r="X3308" s="51" t="s">
        <v>2359</v>
      </c>
    </row>
    <row r="3309" customFormat="false" ht="14.25" hidden="true" customHeight="false" outlineLevel="0" collapsed="false">
      <c r="A3309" s="49" t="s">
        <v>2349</v>
      </c>
      <c r="B3309" s="49" t="s">
        <v>2350</v>
      </c>
      <c r="C3309" s="49" t="s">
        <v>6789</v>
      </c>
      <c r="D3309" s="49" t="s">
        <v>2352</v>
      </c>
      <c r="E3309" s="49" t="str">
        <f aca="false">"10074865055175"</f>
        <v>10074865055175</v>
      </c>
      <c r="F3309" s="49" t="s">
        <v>5090</v>
      </c>
      <c r="G3309" s="49" t="n">
        <v>0</v>
      </c>
      <c r="H3309" s="0" t="n">
        <v>0</v>
      </c>
      <c r="M3309" s="51" t="s">
        <v>6777</v>
      </c>
      <c r="N3309" s="49" t="n">
        <v>0</v>
      </c>
      <c r="O3309" s="53" t="n">
        <v>45760.590775463</v>
      </c>
      <c r="P3309" s="53" t="n">
        <v>45875.7653819444</v>
      </c>
      <c r="Q3309" s="53" t="n">
        <v>45760.590775463</v>
      </c>
      <c r="R3309" s="0" t="n">
        <v>0</v>
      </c>
      <c r="S3309" s="51" t="s">
        <v>2380</v>
      </c>
      <c r="T3309" s="51" t="s">
        <v>2380</v>
      </c>
      <c r="U3309" s="0" t="str">
        <f aca="false">"10074865055175"</f>
        <v>10074865055175</v>
      </c>
      <c r="V3309" s="51" t="s">
        <v>2365</v>
      </c>
      <c r="W3309" s="51" t="s">
        <v>6790</v>
      </c>
      <c r="X3309" s="51" t="s">
        <v>2359</v>
      </c>
    </row>
    <row r="3310" customFormat="false" ht="14.25" hidden="true" customHeight="false" outlineLevel="0" collapsed="false">
      <c r="A3310" s="49" t="s">
        <v>2349</v>
      </c>
      <c r="B3310" s="49" t="s">
        <v>2350</v>
      </c>
      <c r="C3310" s="49" t="s">
        <v>6791</v>
      </c>
      <c r="D3310" s="49" t="s">
        <v>2352</v>
      </c>
      <c r="E3310" s="49" t="str">
        <f aca="false">"10074865055175"</f>
        <v>10074865055175</v>
      </c>
      <c r="F3310" s="49" t="s">
        <v>5090</v>
      </c>
      <c r="G3310" s="49" t="n">
        <v>0</v>
      </c>
      <c r="H3310" s="0" t="n">
        <v>0</v>
      </c>
      <c r="M3310" s="51" t="s">
        <v>6777</v>
      </c>
      <c r="N3310" s="49" t="n">
        <v>0</v>
      </c>
      <c r="O3310" s="53" t="n">
        <v>45760.5913425926</v>
      </c>
      <c r="P3310" s="53" t="n">
        <v>45914.5688773148</v>
      </c>
      <c r="Q3310" s="53" t="n">
        <v>45760.5913425926</v>
      </c>
      <c r="R3310" s="0" t="n">
        <v>0</v>
      </c>
      <c r="S3310" s="51" t="s">
        <v>2380</v>
      </c>
      <c r="T3310" s="51" t="s">
        <v>2380</v>
      </c>
      <c r="U3310" s="0" t="str">
        <f aca="false">"10074865055175"</f>
        <v>10074865055175</v>
      </c>
      <c r="V3310" s="51" t="s">
        <v>2365</v>
      </c>
      <c r="W3310" s="51" t="s">
        <v>6179</v>
      </c>
      <c r="X3310" s="51" t="s">
        <v>2359</v>
      </c>
    </row>
    <row r="3311" customFormat="false" ht="14.25" hidden="true" customHeight="false" outlineLevel="0" collapsed="false">
      <c r="A3311" s="49" t="s">
        <v>2349</v>
      </c>
      <c r="B3311" s="49" t="s">
        <v>2350</v>
      </c>
      <c r="C3311" s="49" t="s">
        <v>6792</v>
      </c>
      <c r="D3311" s="49" t="s">
        <v>2352</v>
      </c>
      <c r="E3311" s="49" t="str">
        <f aca="false">"10074865055175"</f>
        <v>10074865055175</v>
      </c>
      <c r="F3311" s="49" t="s">
        <v>5090</v>
      </c>
      <c r="G3311" s="49" t="n">
        <v>0</v>
      </c>
      <c r="H3311" s="0" t="n">
        <v>0</v>
      </c>
      <c r="M3311" s="51" t="s">
        <v>6777</v>
      </c>
      <c r="N3311" s="49" t="n">
        <v>0</v>
      </c>
      <c r="O3311" s="53" t="n">
        <v>45760.5915509259</v>
      </c>
      <c r="P3311" s="53" t="n">
        <v>45848.4481828704</v>
      </c>
      <c r="Q3311" s="53" t="n">
        <v>45760.5915509259</v>
      </c>
      <c r="R3311" s="0" t="n">
        <v>0</v>
      </c>
      <c r="S3311" s="51" t="s">
        <v>2380</v>
      </c>
      <c r="T3311" s="51" t="s">
        <v>2380</v>
      </c>
      <c r="U3311" s="0" t="str">
        <f aca="false">"10074865055175"</f>
        <v>10074865055175</v>
      </c>
      <c r="V3311" s="51" t="s">
        <v>2365</v>
      </c>
      <c r="W3311" s="51" t="s">
        <v>6793</v>
      </c>
      <c r="X3311" s="51" t="s">
        <v>2359</v>
      </c>
    </row>
    <row r="3312" customFormat="false" ht="14.25" hidden="true" customHeight="false" outlineLevel="0" collapsed="false">
      <c r="A3312" s="49" t="s">
        <v>2349</v>
      </c>
      <c r="B3312" s="49" t="s">
        <v>2350</v>
      </c>
      <c r="C3312" s="49" t="s">
        <v>6794</v>
      </c>
      <c r="D3312" s="49" t="s">
        <v>2352</v>
      </c>
      <c r="E3312" s="49" t="str">
        <f aca="false">"10074865055175"</f>
        <v>10074865055175</v>
      </c>
      <c r="F3312" s="49" t="s">
        <v>5090</v>
      </c>
      <c r="G3312" s="49" t="n">
        <v>0</v>
      </c>
      <c r="H3312" s="0" t="n">
        <v>0</v>
      </c>
      <c r="M3312" s="51" t="s">
        <v>6777</v>
      </c>
      <c r="N3312" s="49" t="n">
        <v>0</v>
      </c>
      <c r="O3312" s="53" t="n">
        <v>45760.591712963</v>
      </c>
      <c r="P3312" s="53" t="n">
        <v>45914.5535648148</v>
      </c>
      <c r="Q3312" s="53" t="n">
        <v>45760.591712963</v>
      </c>
      <c r="R3312" s="0" t="n">
        <v>0</v>
      </c>
      <c r="S3312" s="51" t="s">
        <v>2380</v>
      </c>
      <c r="T3312" s="51" t="s">
        <v>2380</v>
      </c>
      <c r="U3312" s="0" t="str">
        <f aca="false">"10074865055175"</f>
        <v>10074865055175</v>
      </c>
      <c r="V3312" s="51" t="s">
        <v>2365</v>
      </c>
      <c r="W3312" s="51" t="s">
        <v>6795</v>
      </c>
      <c r="X3312" s="51" t="s">
        <v>2359</v>
      </c>
    </row>
    <row r="3313" customFormat="false" ht="14.25" hidden="true" customHeight="false" outlineLevel="0" collapsed="false">
      <c r="A3313" s="49" t="s">
        <v>2349</v>
      </c>
      <c r="B3313" s="49" t="s">
        <v>2350</v>
      </c>
      <c r="C3313" s="49" t="s">
        <v>6796</v>
      </c>
      <c r="D3313" s="49" t="s">
        <v>2352</v>
      </c>
      <c r="E3313" s="49" t="str">
        <f aca="false">"10074865055175"</f>
        <v>10074865055175</v>
      </c>
      <c r="F3313" s="49" t="s">
        <v>5090</v>
      </c>
      <c r="G3313" s="49" t="n">
        <v>0</v>
      </c>
      <c r="H3313" s="0" t="n">
        <v>0</v>
      </c>
      <c r="M3313" s="51" t="s">
        <v>6777</v>
      </c>
      <c r="N3313" s="49" t="n">
        <v>0</v>
      </c>
      <c r="O3313" s="53" t="n">
        <v>45760.5918518519</v>
      </c>
      <c r="P3313" s="53" t="n">
        <v>45837.4247453704</v>
      </c>
      <c r="Q3313" s="53" t="n">
        <v>45760.5918518519</v>
      </c>
      <c r="R3313" s="0" t="n">
        <v>0</v>
      </c>
      <c r="S3313" s="51" t="s">
        <v>2380</v>
      </c>
      <c r="T3313" s="51" t="s">
        <v>2380</v>
      </c>
      <c r="U3313" s="0" t="str">
        <f aca="false">"10074865055175"</f>
        <v>10074865055175</v>
      </c>
      <c r="V3313" s="51" t="s">
        <v>2365</v>
      </c>
      <c r="W3313" s="51" t="s">
        <v>5619</v>
      </c>
      <c r="X3313" s="51" t="s">
        <v>2359</v>
      </c>
    </row>
    <row r="3314" customFormat="false" ht="14.25" hidden="true" customHeight="false" outlineLevel="0" collapsed="false">
      <c r="A3314" s="49" t="s">
        <v>2349</v>
      </c>
      <c r="B3314" s="49" t="s">
        <v>2350</v>
      </c>
      <c r="C3314" s="49" t="s">
        <v>6797</v>
      </c>
      <c r="D3314" s="49" t="s">
        <v>2352</v>
      </c>
      <c r="E3314" s="49" t="str">
        <f aca="false">"10074865055175"</f>
        <v>10074865055175</v>
      </c>
      <c r="F3314" s="49" t="s">
        <v>5090</v>
      </c>
      <c r="G3314" s="49" t="n">
        <v>0</v>
      </c>
      <c r="H3314" s="0" t="n">
        <v>0</v>
      </c>
      <c r="M3314" s="51" t="s">
        <v>6777</v>
      </c>
      <c r="N3314" s="49" t="n">
        <v>0</v>
      </c>
      <c r="O3314" s="53" t="n">
        <v>45760.5922916667</v>
      </c>
      <c r="P3314" s="53" t="n">
        <v>45848.4427777778</v>
      </c>
      <c r="Q3314" s="53" t="n">
        <v>45760.5922916667</v>
      </c>
      <c r="R3314" s="0" t="n">
        <v>0</v>
      </c>
      <c r="S3314" s="51" t="s">
        <v>2380</v>
      </c>
      <c r="T3314" s="51" t="s">
        <v>2380</v>
      </c>
      <c r="U3314" s="0" t="str">
        <f aca="false">"10074865055175"</f>
        <v>10074865055175</v>
      </c>
      <c r="V3314" s="51" t="s">
        <v>2365</v>
      </c>
      <c r="W3314" s="51" t="s">
        <v>5446</v>
      </c>
      <c r="X3314" s="51" t="s">
        <v>2359</v>
      </c>
    </row>
    <row r="3315" customFormat="false" ht="14.25" hidden="true" customHeight="false" outlineLevel="0" collapsed="false">
      <c r="A3315" s="49" t="s">
        <v>2349</v>
      </c>
      <c r="B3315" s="49" t="s">
        <v>2350</v>
      </c>
      <c r="C3315" s="49" t="s">
        <v>6798</v>
      </c>
      <c r="D3315" s="49" t="s">
        <v>2352</v>
      </c>
      <c r="E3315" s="49" t="str">
        <f aca="false">"10074865055175"</f>
        <v>10074865055175</v>
      </c>
      <c r="F3315" s="49" t="s">
        <v>5090</v>
      </c>
      <c r="G3315" s="49" t="n">
        <v>0</v>
      </c>
      <c r="H3315" s="0" t="n">
        <v>0</v>
      </c>
      <c r="M3315" s="51" t="s">
        <v>6777</v>
      </c>
      <c r="N3315" s="49" t="n">
        <v>0</v>
      </c>
      <c r="O3315" s="53" t="n">
        <v>45760.5925347222</v>
      </c>
      <c r="P3315" s="53" t="n">
        <v>45837.4255671296</v>
      </c>
      <c r="Q3315" s="53" t="n">
        <v>45760.5925347222</v>
      </c>
      <c r="R3315" s="0" t="n">
        <v>0</v>
      </c>
      <c r="S3315" s="51" t="s">
        <v>2380</v>
      </c>
      <c r="T3315" s="51" t="s">
        <v>2380</v>
      </c>
      <c r="U3315" s="0" t="str">
        <f aca="false">"10074865055175"</f>
        <v>10074865055175</v>
      </c>
      <c r="V3315" s="51" t="s">
        <v>2365</v>
      </c>
      <c r="W3315" s="51" t="s">
        <v>6215</v>
      </c>
      <c r="X3315" s="51" t="s">
        <v>2359</v>
      </c>
    </row>
    <row r="3316" customFormat="false" ht="14.25" hidden="true" customHeight="false" outlineLevel="0" collapsed="false">
      <c r="A3316" s="49" t="s">
        <v>2349</v>
      </c>
      <c r="B3316" s="49" t="s">
        <v>2350</v>
      </c>
      <c r="C3316" s="49" t="s">
        <v>6799</v>
      </c>
      <c r="D3316" s="49" t="s">
        <v>2352</v>
      </c>
      <c r="E3316" s="49" t="str">
        <f aca="false">"10074865055175"</f>
        <v>10074865055175</v>
      </c>
      <c r="F3316" s="49" t="s">
        <v>5090</v>
      </c>
      <c r="G3316" s="49" t="n">
        <v>0</v>
      </c>
      <c r="H3316" s="0" t="n">
        <v>0</v>
      </c>
      <c r="M3316" s="51" t="s">
        <v>6777</v>
      </c>
      <c r="N3316" s="49" t="n">
        <v>0</v>
      </c>
      <c r="O3316" s="53" t="n">
        <v>45760.5927199074</v>
      </c>
      <c r="P3316" s="53" t="n">
        <v>45850.3409722222</v>
      </c>
      <c r="Q3316" s="53" t="n">
        <v>45760.5927199074</v>
      </c>
      <c r="R3316" s="0" t="n">
        <v>0</v>
      </c>
      <c r="S3316" s="51" t="s">
        <v>2380</v>
      </c>
      <c r="T3316" s="51" t="s">
        <v>2380</v>
      </c>
      <c r="U3316" s="0" t="str">
        <f aca="false">"10074865055175"</f>
        <v>10074865055175</v>
      </c>
      <c r="V3316" s="51" t="s">
        <v>2365</v>
      </c>
      <c r="W3316" s="51" t="s">
        <v>6025</v>
      </c>
      <c r="X3316" s="51" t="s">
        <v>2359</v>
      </c>
    </row>
    <row r="3317" customFormat="false" ht="14.25" hidden="true" customHeight="false" outlineLevel="0" collapsed="false">
      <c r="A3317" s="49" t="s">
        <v>2349</v>
      </c>
      <c r="B3317" s="49" t="s">
        <v>2350</v>
      </c>
      <c r="C3317" s="49" t="s">
        <v>6800</v>
      </c>
      <c r="D3317" s="49" t="s">
        <v>2352</v>
      </c>
      <c r="E3317" s="49" t="str">
        <f aca="false">"10074865055175"</f>
        <v>10074865055175</v>
      </c>
      <c r="F3317" s="49" t="s">
        <v>5090</v>
      </c>
      <c r="G3317" s="49" t="n">
        <v>0</v>
      </c>
      <c r="H3317" s="0" t="n">
        <v>0</v>
      </c>
      <c r="M3317" s="51" t="s">
        <v>6777</v>
      </c>
      <c r="N3317" s="49" t="n">
        <v>0</v>
      </c>
      <c r="O3317" s="53" t="n">
        <v>45760.5928703704</v>
      </c>
      <c r="P3317" s="53" t="n">
        <v>45840.4539699074</v>
      </c>
      <c r="Q3317" s="53" t="n">
        <v>45760.5928703704</v>
      </c>
      <c r="R3317" s="0" t="n">
        <v>0</v>
      </c>
      <c r="S3317" s="51" t="s">
        <v>2380</v>
      </c>
      <c r="T3317" s="51" t="s">
        <v>2380</v>
      </c>
      <c r="U3317" s="0" t="str">
        <f aca="false">"10074865055175"</f>
        <v>10074865055175</v>
      </c>
      <c r="V3317" s="51" t="s">
        <v>2365</v>
      </c>
      <c r="W3317" s="51" t="s">
        <v>5506</v>
      </c>
      <c r="X3317" s="51" t="s">
        <v>2359</v>
      </c>
    </row>
    <row r="3318" customFormat="false" ht="14.25" hidden="true" customHeight="false" outlineLevel="0" collapsed="false">
      <c r="A3318" s="49" t="s">
        <v>2349</v>
      </c>
      <c r="B3318" s="49" t="s">
        <v>2350</v>
      </c>
      <c r="C3318" s="49" t="s">
        <v>6801</v>
      </c>
      <c r="D3318" s="49" t="s">
        <v>2352</v>
      </c>
      <c r="E3318" s="49" t="str">
        <f aca="false">"10074865055175"</f>
        <v>10074865055175</v>
      </c>
      <c r="F3318" s="49" t="s">
        <v>5090</v>
      </c>
      <c r="G3318" s="49" t="n">
        <v>0</v>
      </c>
      <c r="H3318" s="0" t="n">
        <v>0</v>
      </c>
      <c r="M3318" s="51" t="s">
        <v>6777</v>
      </c>
      <c r="N3318" s="49" t="n">
        <v>0</v>
      </c>
      <c r="O3318" s="53" t="n">
        <v>45760.5930208333</v>
      </c>
      <c r="P3318" s="53" t="n">
        <v>45914.8055787037</v>
      </c>
      <c r="Q3318" s="53" t="n">
        <v>45760.5930208333</v>
      </c>
      <c r="R3318" s="0" t="n">
        <v>0</v>
      </c>
      <c r="S3318" s="51" t="s">
        <v>2380</v>
      </c>
      <c r="T3318" s="51" t="s">
        <v>2380</v>
      </c>
      <c r="U3318" s="0" t="str">
        <f aca="false">"10074865055175"</f>
        <v>10074865055175</v>
      </c>
      <c r="V3318" s="51" t="s">
        <v>2365</v>
      </c>
      <c r="W3318" s="51" t="s">
        <v>5295</v>
      </c>
      <c r="X3318" s="51" t="s">
        <v>2359</v>
      </c>
    </row>
    <row r="3319" customFormat="false" ht="14.25" hidden="true" customHeight="false" outlineLevel="0" collapsed="false">
      <c r="A3319" s="49" t="s">
        <v>2349</v>
      </c>
      <c r="B3319" s="49" t="s">
        <v>2350</v>
      </c>
      <c r="C3319" s="49" t="s">
        <v>6802</v>
      </c>
      <c r="D3319" s="49" t="s">
        <v>2352</v>
      </c>
      <c r="E3319" s="49" t="str">
        <f aca="false">"10074865055175"</f>
        <v>10074865055175</v>
      </c>
      <c r="F3319" s="49" t="s">
        <v>5090</v>
      </c>
      <c r="G3319" s="49" t="n">
        <v>0</v>
      </c>
      <c r="H3319" s="0" t="n">
        <v>0</v>
      </c>
      <c r="M3319" s="51" t="s">
        <v>6777</v>
      </c>
      <c r="N3319" s="49" t="n">
        <v>0</v>
      </c>
      <c r="O3319" s="53" t="n">
        <v>45760.5931597222</v>
      </c>
      <c r="P3319" s="53" t="n">
        <v>45837.4252083333</v>
      </c>
      <c r="Q3319" s="53" t="n">
        <v>45760.5931597222</v>
      </c>
      <c r="R3319" s="0" t="n">
        <v>0</v>
      </c>
      <c r="S3319" s="51" t="s">
        <v>2380</v>
      </c>
      <c r="T3319" s="51" t="s">
        <v>2380</v>
      </c>
      <c r="U3319" s="0" t="str">
        <f aca="false">"10074865055175"</f>
        <v>10074865055175</v>
      </c>
      <c r="V3319" s="51" t="s">
        <v>2365</v>
      </c>
      <c r="W3319" s="51" t="s">
        <v>4989</v>
      </c>
      <c r="X3319" s="51" t="s">
        <v>2359</v>
      </c>
    </row>
    <row r="3320" customFormat="false" ht="14.25" hidden="true" customHeight="false" outlineLevel="0" collapsed="false">
      <c r="A3320" s="49" t="s">
        <v>2349</v>
      </c>
      <c r="B3320" s="49" t="s">
        <v>2350</v>
      </c>
      <c r="C3320" s="49" t="s">
        <v>6803</v>
      </c>
      <c r="D3320" s="49" t="s">
        <v>2352</v>
      </c>
      <c r="E3320" s="49" t="str">
        <f aca="false">"10074865055175"</f>
        <v>10074865055175</v>
      </c>
      <c r="F3320" s="49" t="s">
        <v>5090</v>
      </c>
      <c r="G3320" s="49" t="n">
        <v>0</v>
      </c>
      <c r="H3320" s="0" t="n">
        <v>0</v>
      </c>
      <c r="M3320" s="51" t="s">
        <v>6777</v>
      </c>
      <c r="N3320" s="49" t="n">
        <v>0</v>
      </c>
      <c r="O3320" s="53" t="n">
        <v>45760.5938657407</v>
      </c>
      <c r="P3320" s="53" t="n">
        <v>45914.5553703704</v>
      </c>
      <c r="Q3320" s="53" t="n">
        <v>45760.5938657407</v>
      </c>
      <c r="R3320" s="0" t="n">
        <v>0</v>
      </c>
      <c r="S3320" s="51" t="s">
        <v>2380</v>
      </c>
      <c r="T3320" s="51" t="s">
        <v>2380</v>
      </c>
      <c r="U3320" s="0" t="str">
        <f aca="false">"10074865055175"</f>
        <v>10074865055175</v>
      </c>
      <c r="V3320" s="51" t="s">
        <v>2365</v>
      </c>
      <c r="W3320" s="51" t="s">
        <v>5778</v>
      </c>
      <c r="X3320" s="51" t="s">
        <v>2359</v>
      </c>
    </row>
    <row r="3321" customFormat="false" ht="14.25" hidden="true" customHeight="false" outlineLevel="0" collapsed="false">
      <c r="A3321" s="49" t="s">
        <v>2349</v>
      </c>
      <c r="B3321" s="49" t="s">
        <v>2350</v>
      </c>
      <c r="C3321" s="49" t="s">
        <v>6804</v>
      </c>
      <c r="D3321" s="49" t="s">
        <v>2352</v>
      </c>
      <c r="E3321" s="49" t="str">
        <f aca="false">"10074865055175"</f>
        <v>10074865055175</v>
      </c>
      <c r="F3321" s="49" t="s">
        <v>5090</v>
      </c>
      <c r="G3321" s="49" t="n">
        <v>0</v>
      </c>
      <c r="H3321" s="0" t="n">
        <v>0</v>
      </c>
      <c r="M3321" s="51" t="s">
        <v>6777</v>
      </c>
      <c r="N3321" s="49" t="n">
        <v>0</v>
      </c>
      <c r="O3321" s="53" t="n">
        <v>45760.5941203704</v>
      </c>
      <c r="P3321" s="53" t="n">
        <v>45873.9056365741</v>
      </c>
      <c r="Q3321" s="53" t="n">
        <v>45760.5941203704</v>
      </c>
      <c r="R3321" s="0" t="n">
        <v>0</v>
      </c>
      <c r="S3321" s="51" t="s">
        <v>2380</v>
      </c>
      <c r="T3321" s="51" t="s">
        <v>2380</v>
      </c>
      <c r="U3321" s="0" t="str">
        <f aca="false">"10074865055175"</f>
        <v>10074865055175</v>
      </c>
      <c r="V3321" s="51" t="s">
        <v>2365</v>
      </c>
      <c r="W3321" s="51" t="s">
        <v>5517</v>
      </c>
      <c r="X3321" s="51" t="s">
        <v>2359</v>
      </c>
    </row>
    <row r="3322" customFormat="false" ht="14.25" hidden="true" customHeight="false" outlineLevel="0" collapsed="false">
      <c r="A3322" s="49" t="s">
        <v>2349</v>
      </c>
      <c r="B3322" s="49" t="s">
        <v>2350</v>
      </c>
      <c r="C3322" s="49" t="s">
        <v>6805</v>
      </c>
      <c r="D3322" s="49" t="s">
        <v>2352</v>
      </c>
      <c r="E3322" s="49" t="str">
        <f aca="false">"10074865055175"</f>
        <v>10074865055175</v>
      </c>
      <c r="F3322" s="49" t="s">
        <v>5090</v>
      </c>
      <c r="G3322" s="49" t="n">
        <v>0</v>
      </c>
      <c r="H3322" s="0" t="n">
        <v>0</v>
      </c>
      <c r="M3322" s="51" t="s">
        <v>6777</v>
      </c>
      <c r="N3322" s="49" t="n">
        <v>0</v>
      </c>
      <c r="O3322" s="53" t="n">
        <v>45760.5942824074</v>
      </c>
      <c r="P3322" s="53" t="n">
        <v>45837.4399074074</v>
      </c>
      <c r="Q3322" s="53" t="n">
        <v>45760.5942824074</v>
      </c>
      <c r="R3322" s="0" t="n">
        <v>0</v>
      </c>
      <c r="S3322" s="51" t="s">
        <v>2380</v>
      </c>
      <c r="T3322" s="51" t="s">
        <v>2380</v>
      </c>
      <c r="U3322" s="0" t="str">
        <f aca="false">"10074865055175"</f>
        <v>10074865055175</v>
      </c>
      <c r="V3322" s="51" t="s">
        <v>2365</v>
      </c>
      <c r="W3322" s="51" t="s">
        <v>5632</v>
      </c>
      <c r="X3322" s="51" t="s">
        <v>2359</v>
      </c>
    </row>
    <row r="3323" customFormat="false" ht="14.25" hidden="true" customHeight="false" outlineLevel="0" collapsed="false">
      <c r="A3323" s="49" t="s">
        <v>2349</v>
      </c>
      <c r="B3323" s="49" t="s">
        <v>2350</v>
      </c>
      <c r="C3323" s="49" t="s">
        <v>6806</v>
      </c>
      <c r="D3323" s="49" t="s">
        <v>2352</v>
      </c>
      <c r="E3323" s="49" t="str">
        <f aca="false">"10074865055175"</f>
        <v>10074865055175</v>
      </c>
      <c r="F3323" s="49" t="s">
        <v>5090</v>
      </c>
      <c r="G3323" s="49" t="n">
        <v>0</v>
      </c>
      <c r="H3323" s="0" t="n">
        <v>0</v>
      </c>
      <c r="M3323" s="51" t="s">
        <v>6777</v>
      </c>
      <c r="N3323" s="49" t="n">
        <v>0</v>
      </c>
      <c r="O3323" s="53" t="n">
        <v>45760.5944675926</v>
      </c>
      <c r="P3323" s="53" t="n">
        <v>45837.433599537</v>
      </c>
      <c r="Q3323" s="53" t="n">
        <v>45760.5944675926</v>
      </c>
      <c r="R3323" s="0" t="n">
        <v>0</v>
      </c>
      <c r="S3323" s="51" t="s">
        <v>2380</v>
      </c>
      <c r="T3323" s="51" t="s">
        <v>2380</v>
      </c>
      <c r="U3323" s="0" t="str">
        <f aca="false">"10074865055175"</f>
        <v>10074865055175</v>
      </c>
      <c r="V3323" s="51" t="s">
        <v>2365</v>
      </c>
      <c r="W3323" s="51" t="s">
        <v>6790</v>
      </c>
      <c r="X3323" s="51" t="s">
        <v>2359</v>
      </c>
    </row>
    <row r="3324" customFormat="false" ht="14.25" hidden="true" customHeight="false" outlineLevel="0" collapsed="false">
      <c r="A3324" s="49" t="s">
        <v>2349</v>
      </c>
      <c r="B3324" s="49" t="s">
        <v>2350</v>
      </c>
      <c r="C3324" s="49" t="s">
        <v>6807</v>
      </c>
      <c r="D3324" s="49" t="s">
        <v>2352</v>
      </c>
      <c r="E3324" s="49" t="str">
        <f aca="false">"10074865055175"</f>
        <v>10074865055175</v>
      </c>
      <c r="F3324" s="49" t="s">
        <v>5090</v>
      </c>
      <c r="G3324" s="49" t="n">
        <v>0</v>
      </c>
      <c r="H3324" s="0" t="n">
        <v>0</v>
      </c>
      <c r="M3324" s="51" t="s">
        <v>6777</v>
      </c>
      <c r="N3324" s="49" t="n">
        <v>0</v>
      </c>
      <c r="O3324" s="53" t="n">
        <v>45760.594849537</v>
      </c>
      <c r="P3324" s="53" t="n">
        <v>45908.4033101852</v>
      </c>
      <c r="Q3324" s="53" t="n">
        <v>45760.594849537</v>
      </c>
      <c r="R3324" s="0" t="n">
        <v>0</v>
      </c>
      <c r="S3324" s="51" t="s">
        <v>2380</v>
      </c>
      <c r="T3324" s="51" t="s">
        <v>2380</v>
      </c>
      <c r="U3324" s="0" t="str">
        <f aca="false">"10074865055175"</f>
        <v>10074865055175</v>
      </c>
      <c r="V3324" s="51" t="s">
        <v>2365</v>
      </c>
      <c r="W3324" s="51" t="s">
        <v>6808</v>
      </c>
      <c r="X3324" s="51" t="s">
        <v>2359</v>
      </c>
    </row>
    <row r="3325" customFormat="false" ht="14.25" hidden="true" customHeight="false" outlineLevel="0" collapsed="false">
      <c r="A3325" s="49" t="s">
        <v>2349</v>
      </c>
      <c r="B3325" s="49" t="s">
        <v>2350</v>
      </c>
      <c r="C3325" s="49" t="s">
        <v>6809</v>
      </c>
      <c r="D3325" s="49" t="s">
        <v>2352</v>
      </c>
      <c r="E3325" s="49" t="str">
        <f aca="false">"10074865055175"</f>
        <v>10074865055175</v>
      </c>
      <c r="F3325" s="49" t="s">
        <v>5090</v>
      </c>
      <c r="G3325" s="49" t="n">
        <v>0</v>
      </c>
      <c r="H3325" s="0" t="n">
        <v>0</v>
      </c>
      <c r="M3325" s="51" t="s">
        <v>6777</v>
      </c>
      <c r="N3325" s="49" t="n">
        <v>0</v>
      </c>
      <c r="O3325" s="53" t="n">
        <v>45830.6270486111</v>
      </c>
      <c r="P3325" s="53" t="n">
        <v>45914.5467592593</v>
      </c>
      <c r="R3325" s="0" t="n">
        <v>0</v>
      </c>
      <c r="T3325" s="51" t="s">
        <v>2401</v>
      </c>
      <c r="U3325" s="0" t="str">
        <f aca="false">"10074865055175"</f>
        <v>10074865055175</v>
      </c>
      <c r="V3325" s="51" t="s">
        <v>2365</v>
      </c>
      <c r="W3325" s="51" t="s">
        <v>6196</v>
      </c>
      <c r="X3325" s="51" t="s">
        <v>2359</v>
      </c>
    </row>
    <row r="3326" customFormat="false" ht="14.25" hidden="true" customHeight="false" outlineLevel="0" collapsed="false">
      <c r="A3326" s="49" t="s">
        <v>2349</v>
      </c>
      <c r="B3326" s="49" t="s">
        <v>2350</v>
      </c>
      <c r="C3326" s="49" t="s">
        <v>6810</v>
      </c>
      <c r="D3326" s="49" t="s">
        <v>2352</v>
      </c>
      <c r="E3326" s="49" t="str">
        <f aca="false">"00041500831190"</f>
        <v>00041500831190</v>
      </c>
      <c r="F3326" s="49" t="s">
        <v>2418</v>
      </c>
      <c r="G3326" s="49" t="n">
        <v>0</v>
      </c>
      <c r="H3326" s="0" t="n">
        <v>0</v>
      </c>
      <c r="M3326" s="51" t="s">
        <v>2420</v>
      </c>
      <c r="N3326" s="49" t="n">
        <v>0</v>
      </c>
      <c r="O3326" s="53" t="n">
        <v>45757.3779861111</v>
      </c>
      <c r="P3326" s="53" t="n">
        <v>45778.8549884259</v>
      </c>
      <c r="Q3326" s="53" t="n">
        <v>45757.377974537</v>
      </c>
      <c r="R3326" s="0" t="n">
        <v>0</v>
      </c>
      <c r="S3326" s="51" t="s">
        <v>2380</v>
      </c>
      <c r="T3326" s="51" t="s">
        <v>2380</v>
      </c>
      <c r="U3326" s="0" t="str">
        <f aca="false">"00041500831190"</f>
        <v>00041500831190</v>
      </c>
      <c r="V3326" s="51" t="s">
        <v>2365</v>
      </c>
      <c r="W3326" s="51" t="s">
        <v>4403</v>
      </c>
      <c r="X3326" s="51" t="s">
        <v>2359</v>
      </c>
    </row>
    <row r="3327" customFormat="false" ht="14.25" hidden="true" customHeight="false" outlineLevel="0" collapsed="false">
      <c r="A3327" s="49" t="s">
        <v>2349</v>
      </c>
      <c r="B3327" s="49" t="s">
        <v>2350</v>
      </c>
      <c r="C3327" s="49" t="s">
        <v>6811</v>
      </c>
      <c r="D3327" s="49" t="s">
        <v>2352</v>
      </c>
      <c r="E3327" s="49" t="str">
        <f aca="false">"12518490"</f>
        <v>12518490</v>
      </c>
      <c r="F3327" s="49" t="s">
        <v>4858</v>
      </c>
      <c r="G3327" s="49" t="n">
        <v>0</v>
      </c>
      <c r="H3327" s="0" t="n">
        <v>0</v>
      </c>
      <c r="M3327" s="51" t="s">
        <v>6812</v>
      </c>
      <c r="N3327" s="49" t="n">
        <v>0</v>
      </c>
      <c r="O3327" s="53" t="n">
        <v>45757.3849189815</v>
      </c>
      <c r="P3327" s="53" t="n">
        <v>45784.4048032407</v>
      </c>
      <c r="Q3327" s="53" t="n">
        <v>45757.3849189815</v>
      </c>
      <c r="R3327" s="0" t="n">
        <v>0</v>
      </c>
      <c r="S3327" s="51" t="s">
        <v>2380</v>
      </c>
      <c r="T3327" s="51" t="s">
        <v>2380</v>
      </c>
      <c r="U3327" s="0" t="str">
        <f aca="false">"12518490"</f>
        <v>12518490</v>
      </c>
      <c r="V3327" s="51" t="s">
        <v>2365</v>
      </c>
      <c r="W3327" s="51" t="s">
        <v>4641</v>
      </c>
      <c r="X3327" s="51" t="s">
        <v>2359</v>
      </c>
    </row>
    <row r="3328" customFormat="false" ht="14.25" hidden="true" customHeight="false" outlineLevel="0" collapsed="false">
      <c r="A3328" s="49" t="s">
        <v>2349</v>
      </c>
      <c r="B3328" s="49" t="s">
        <v>2350</v>
      </c>
      <c r="C3328" s="49" t="s">
        <v>6813</v>
      </c>
      <c r="D3328" s="49" t="s">
        <v>2352</v>
      </c>
      <c r="E3328" s="49" t="s">
        <v>3960</v>
      </c>
      <c r="F3328" s="49" t="s">
        <v>3961</v>
      </c>
      <c r="G3328" s="49" t="n">
        <v>0</v>
      </c>
      <c r="H3328" s="0" t="n">
        <v>0</v>
      </c>
      <c r="M3328" s="51" t="s">
        <v>6814</v>
      </c>
      <c r="N3328" s="49" t="n">
        <v>0</v>
      </c>
      <c r="O3328" s="53" t="n">
        <v>45764.3876736111</v>
      </c>
      <c r="P3328" s="53" t="n">
        <v>45787.6123148148</v>
      </c>
      <c r="Q3328" s="53" t="n">
        <v>45764.3876736111</v>
      </c>
      <c r="R3328" s="0" t="n">
        <v>0</v>
      </c>
      <c r="S3328" s="51" t="s">
        <v>2356</v>
      </c>
      <c r="T3328" s="51" t="s">
        <v>2356</v>
      </c>
      <c r="U3328" s="51" t="s">
        <v>3960</v>
      </c>
      <c r="V3328" s="51" t="s">
        <v>2365</v>
      </c>
      <c r="W3328" s="51" t="s">
        <v>4614</v>
      </c>
      <c r="X3328" s="51" t="s">
        <v>2359</v>
      </c>
    </row>
    <row r="3329" customFormat="false" ht="14.25" hidden="true" customHeight="false" outlineLevel="0" collapsed="false">
      <c r="A3329" s="49" t="s">
        <v>2349</v>
      </c>
      <c r="B3329" s="49" t="s">
        <v>2350</v>
      </c>
      <c r="C3329" s="49" t="s">
        <v>6815</v>
      </c>
      <c r="D3329" s="49" t="s">
        <v>2352</v>
      </c>
      <c r="E3329" s="49" t="s">
        <v>3960</v>
      </c>
      <c r="F3329" s="49" t="s">
        <v>3961</v>
      </c>
      <c r="G3329" s="49" t="n">
        <v>0</v>
      </c>
      <c r="H3329" s="0" t="n">
        <v>0</v>
      </c>
      <c r="M3329" s="51" t="s">
        <v>6814</v>
      </c>
      <c r="N3329" s="49" t="n">
        <v>0</v>
      </c>
      <c r="O3329" s="53" t="n">
        <v>45764.3882175926</v>
      </c>
      <c r="P3329" s="53" t="n">
        <v>45795.5870717593</v>
      </c>
      <c r="Q3329" s="53" t="n">
        <v>45764.3882175926</v>
      </c>
      <c r="R3329" s="0" t="n">
        <v>0</v>
      </c>
      <c r="S3329" s="51" t="s">
        <v>2356</v>
      </c>
      <c r="T3329" s="51" t="s">
        <v>2356</v>
      </c>
      <c r="U3329" s="51" t="s">
        <v>3960</v>
      </c>
      <c r="V3329" s="51" t="s">
        <v>2365</v>
      </c>
      <c r="W3329" s="51" t="s">
        <v>3734</v>
      </c>
      <c r="X3329" s="51" t="s">
        <v>2359</v>
      </c>
    </row>
    <row r="3330" customFormat="false" ht="14.25" hidden="true" customHeight="false" outlineLevel="0" collapsed="false">
      <c r="A3330" s="49" t="s">
        <v>2349</v>
      </c>
      <c r="B3330" s="49" t="s">
        <v>2350</v>
      </c>
      <c r="C3330" s="49" t="s">
        <v>6816</v>
      </c>
      <c r="D3330" s="49" t="s">
        <v>2352</v>
      </c>
      <c r="E3330" s="49" t="s">
        <v>3960</v>
      </c>
      <c r="F3330" s="49" t="s">
        <v>3961</v>
      </c>
      <c r="G3330" s="49" t="n">
        <v>0</v>
      </c>
      <c r="H3330" s="0" t="n">
        <v>0</v>
      </c>
      <c r="M3330" s="51" t="s">
        <v>6814</v>
      </c>
      <c r="N3330" s="49" t="n">
        <v>0</v>
      </c>
      <c r="O3330" s="53" t="n">
        <v>45764.388587963</v>
      </c>
      <c r="P3330" s="53" t="n">
        <v>45787.6123958333</v>
      </c>
      <c r="Q3330" s="53" t="n">
        <v>45764.388587963</v>
      </c>
      <c r="R3330" s="0" t="n">
        <v>0</v>
      </c>
      <c r="S3330" s="51" t="s">
        <v>2356</v>
      </c>
      <c r="T3330" s="51" t="s">
        <v>2356</v>
      </c>
      <c r="U3330" s="51" t="s">
        <v>3960</v>
      </c>
      <c r="V3330" s="51" t="s">
        <v>2365</v>
      </c>
      <c r="W3330" s="51" t="s">
        <v>6817</v>
      </c>
      <c r="X3330" s="51" t="s">
        <v>2359</v>
      </c>
    </row>
    <row r="3331" customFormat="false" ht="14.25" hidden="true" customHeight="false" outlineLevel="0" collapsed="false">
      <c r="A3331" s="49" t="s">
        <v>2349</v>
      </c>
      <c r="B3331" s="49" t="s">
        <v>2350</v>
      </c>
      <c r="C3331" s="49" t="s">
        <v>6818</v>
      </c>
      <c r="D3331" s="49" t="s">
        <v>2352</v>
      </c>
      <c r="E3331" s="49" t="s">
        <v>3960</v>
      </c>
      <c r="F3331" s="49" t="s">
        <v>3961</v>
      </c>
      <c r="G3331" s="49" t="n">
        <v>0</v>
      </c>
      <c r="H3331" s="0" t="n">
        <v>0</v>
      </c>
      <c r="M3331" s="51" t="s">
        <v>6814</v>
      </c>
      <c r="N3331" s="49" t="n">
        <v>0</v>
      </c>
      <c r="O3331" s="53" t="n">
        <v>45764.3888541667</v>
      </c>
      <c r="P3331" s="53" t="n">
        <v>45769.3517013889</v>
      </c>
      <c r="Q3331" s="53" t="n">
        <v>45764.3888541667</v>
      </c>
      <c r="R3331" s="0" t="n">
        <v>0</v>
      </c>
      <c r="S3331" s="51" t="s">
        <v>2356</v>
      </c>
      <c r="T3331" s="51" t="s">
        <v>2356</v>
      </c>
      <c r="U3331" s="51" t="s">
        <v>3960</v>
      </c>
      <c r="V3331" s="51" t="s">
        <v>2365</v>
      </c>
      <c r="W3331" s="51" t="s">
        <v>5968</v>
      </c>
      <c r="X3331" s="51" t="s">
        <v>2359</v>
      </c>
    </row>
    <row r="3332" customFormat="false" ht="14.25" hidden="true" customHeight="false" outlineLevel="0" collapsed="false">
      <c r="A3332" s="49" t="s">
        <v>2349</v>
      </c>
      <c r="B3332" s="49" t="s">
        <v>2350</v>
      </c>
      <c r="C3332" s="49" t="s">
        <v>6819</v>
      </c>
      <c r="D3332" s="49" t="s">
        <v>2352</v>
      </c>
      <c r="E3332" s="49" t="s">
        <v>3960</v>
      </c>
      <c r="F3332" s="49" t="s">
        <v>3961</v>
      </c>
      <c r="G3332" s="49" t="n">
        <v>0</v>
      </c>
      <c r="H3332" s="0" t="n">
        <v>0</v>
      </c>
      <c r="M3332" s="51" t="s">
        <v>6814</v>
      </c>
      <c r="N3332" s="49" t="n">
        <v>0</v>
      </c>
      <c r="O3332" s="53" t="n">
        <v>45764.3890625</v>
      </c>
      <c r="P3332" s="53" t="n">
        <v>45769.3511574074</v>
      </c>
      <c r="Q3332" s="53" t="n">
        <v>45764.3890625</v>
      </c>
      <c r="R3332" s="0" t="n">
        <v>0</v>
      </c>
      <c r="S3332" s="51" t="s">
        <v>2356</v>
      </c>
      <c r="T3332" s="51" t="s">
        <v>2356</v>
      </c>
      <c r="U3332" s="51" t="s">
        <v>3960</v>
      </c>
      <c r="V3332" s="51" t="s">
        <v>2365</v>
      </c>
      <c r="W3332" s="51" t="s">
        <v>4134</v>
      </c>
      <c r="X3332" s="51" t="s">
        <v>2359</v>
      </c>
    </row>
    <row r="3333" customFormat="false" ht="14.25" hidden="true" customHeight="false" outlineLevel="0" collapsed="false">
      <c r="A3333" s="49" t="s">
        <v>2349</v>
      </c>
      <c r="B3333" s="49" t="s">
        <v>2350</v>
      </c>
      <c r="C3333" s="49" t="s">
        <v>6820</v>
      </c>
      <c r="D3333" s="49" t="s">
        <v>2352</v>
      </c>
      <c r="E3333" s="49" t="s">
        <v>3960</v>
      </c>
      <c r="F3333" s="49" t="s">
        <v>3961</v>
      </c>
      <c r="G3333" s="49" t="n">
        <v>0</v>
      </c>
      <c r="H3333" s="0" t="n">
        <v>0</v>
      </c>
      <c r="M3333" s="51" t="s">
        <v>6814</v>
      </c>
      <c r="N3333" s="49" t="n">
        <v>0</v>
      </c>
      <c r="O3333" s="53" t="n">
        <v>45764.3893402778</v>
      </c>
      <c r="P3333" s="53" t="n">
        <v>45769.3513078704</v>
      </c>
      <c r="Q3333" s="53" t="n">
        <v>45764.3893402778</v>
      </c>
      <c r="R3333" s="0" t="n">
        <v>0</v>
      </c>
      <c r="S3333" s="51" t="s">
        <v>2356</v>
      </c>
      <c r="T3333" s="51" t="s">
        <v>2356</v>
      </c>
      <c r="U3333" s="51" t="s">
        <v>3960</v>
      </c>
      <c r="V3333" s="51" t="s">
        <v>2365</v>
      </c>
      <c r="W3333" s="51" t="s">
        <v>5748</v>
      </c>
      <c r="X3333" s="51" t="s">
        <v>2359</v>
      </c>
    </row>
    <row r="3334" customFormat="false" ht="14.25" hidden="true" customHeight="false" outlineLevel="0" collapsed="false">
      <c r="A3334" s="49" t="s">
        <v>2349</v>
      </c>
      <c r="B3334" s="49" t="s">
        <v>2350</v>
      </c>
      <c r="C3334" s="49" t="s">
        <v>6821</v>
      </c>
      <c r="D3334" s="49" t="s">
        <v>2352</v>
      </c>
      <c r="E3334" s="49" t="s">
        <v>3960</v>
      </c>
      <c r="F3334" s="49" t="s">
        <v>3961</v>
      </c>
      <c r="G3334" s="49" t="n">
        <v>0</v>
      </c>
      <c r="H3334" s="0" t="n">
        <v>0</v>
      </c>
      <c r="M3334" s="51" t="s">
        <v>6814</v>
      </c>
      <c r="N3334" s="49" t="n">
        <v>0</v>
      </c>
      <c r="O3334" s="53" t="n">
        <v>45764.3896412037</v>
      </c>
      <c r="P3334" s="53" t="n">
        <v>45787.6080902778</v>
      </c>
      <c r="Q3334" s="53" t="n">
        <v>45764.3896412037</v>
      </c>
      <c r="R3334" s="0" t="n">
        <v>0</v>
      </c>
      <c r="S3334" s="51" t="s">
        <v>2356</v>
      </c>
      <c r="T3334" s="51" t="s">
        <v>2356</v>
      </c>
      <c r="U3334" s="51" t="s">
        <v>3960</v>
      </c>
      <c r="V3334" s="51" t="s">
        <v>2365</v>
      </c>
      <c r="W3334" s="51" t="s">
        <v>3692</v>
      </c>
      <c r="X3334" s="51" t="s">
        <v>2359</v>
      </c>
    </row>
    <row r="3335" customFormat="false" ht="14.25" hidden="true" customHeight="false" outlineLevel="0" collapsed="false">
      <c r="A3335" s="49" t="s">
        <v>2349</v>
      </c>
      <c r="B3335" s="49" t="s">
        <v>2350</v>
      </c>
      <c r="C3335" s="49" t="s">
        <v>6822</v>
      </c>
      <c r="D3335" s="49" t="s">
        <v>2352</v>
      </c>
      <c r="E3335" s="49" t="str">
        <f aca="false">"12496983"</f>
        <v>12496983</v>
      </c>
      <c r="F3335" s="49" t="s">
        <v>4880</v>
      </c>
      <c r="G3335" s="49" t="n">
        <v>0</v>
      </c>
      <c r="H3335" s="0" t="n">
        <v>0</v>
      </c>
      <c r="M3335" s="51" t="s">
        <v>6823</v>
      </c>
      <c r="N3335" s="49" t="n">
        <v>0</v>
      </c>
      <c r="O3335" s="53" t="n">
        <v>45741.5361921296</v>
      </c>
      <c r="P3335" s="53" t="n">
        <v>45853.9017476852</v>
      </c>
      <c r="Q3335" s="53" t="n">
        <v>45741.5361921296</v>
      </c>
      <c r="R3335" s="0" t="n">
        <v>0</v>
      </c>
      <c r="S3335" s="51" t="s">
        <v>2376</v>
      </c>
      <c r="T3335" s="51" t="s">
        <v>2376</v>
      </c>
      <c r="U3335" s="0" t="str">
        <f aca="false">"12496983"</f>
        <v>12496983</v>
      </c>
      <c r="V3335" s="51" t="s">
        <v>2365</v>
      </c>
      <c r="W3335" s="51" t="s">
        <v>6824</v>
      </c>
      <c r="X3335" s="51" t="s">
        <v>2359</v>
      </c>
    </row>
    <row r="3336" customFormat="false" ht="14.25" hidden="true" customHeight="false" outlineLevel="0" collapsed="false">
      <c r="A3336" s="49" t="s">
        <v>2349</v>
      </c>
      <c r="B3336" s="49" t="s">
        <v>2350</v>
      </c>
      <c r="C3336" s="49" t="s">
        <v>6825</v>
      </c>
      <c r="D3336" s="49" t="s">
        <v>2352</v>
      </c>
      <c r="E3336" s="49" t="str">
        <f aca="false">"12496983"</f>
        <v>12496983</v>
      </c>
      <c r="F3336" s="49" t="s">
        <v>4880</v>
      </c>
      <c r="G3336" s="49" t="n">
        <v>0</v>
      </c>
      <c r="H3336" s="0" t="n">
        <v>0</v>
      </c>
      <c r="M3336" s="51" t="s">
        <v>6823</v>
      </c>
      <c r="N3336" s="49" t="n">
        <v>0</v>
      </c>
      <c r="O3336" s="53" t="n">
        <v>45741.5364699074</v>
      </c>
      <c r="P3336" s="53" t="n">
        <v>45825.9343981482</v>
      </c>
      <c r="Q3336" s="53" t="n">
        <v>45741.5364699074</v>
      </c>
      <c r="R3336" s="0" t="n">
        <v>0</v>
      </c>
      <c r="S3336" s="51" t="s">
        <v>2376</v>
      </c>
      <c r="T3336" s="51" t="s">
        <v>2376</v>
      </c>
      <c r="U3336" s="0" t="str">
        <f aca="false">"12496983"</f>
        <v>12496983</v>
      </c>
      <c r="V3336" s="51" t="s">
        <v>2365</v>
      </c>
      <c r="W3336" s="51" t="s">
        <v>6826</v>
      </c>
      <c r="X3336" s="51" t="s">
        <v>2359</v>
      </c>
    </row>
    <row r="3337" customFormat="false" ht="14.25" hidden="true" customHeight="false" outlineLevel="0" collapsed="false">
      <c r="A3337" s="49" t="s">
        <v>2349</v>
      </c>
      <c r="B3337" s="49" t="s">
        <v>2350</v>
      </c>
      <c r="C3337" s="49" t="s">
        <v>6827</v>
      </c>
      <c r="D3337" s="49" t="s">
        <v>2352</v>
      </c>
      <c r="E3337" s="49" t="str">
        <f aca="false">"12496983"</f>
        <v>12496983</v>
      </c>
      <c r="F3337" s="49" t="s">
        <v>4880</v>
      </c>
      <c r="G3337" s="49" t="n">
        <v>0</v>
      </c>
      <c r="H3337" s="0" t="n">
        <v>0</v>
      </c>
      <c r="M3337" s="51" t="s">
        <v>6823</v>
      </c>
      <c r="N3337" s="49" t="n">
        <v>0</v>
      </c>
      <c r="O3337" s="53" t="n">
        <v>45741.5366782407</v>
      </c>
      <c r="P3337" s="53" t="n">
        <v>45876.8209143519</v>
      </c>
      <c r="Q3337" s="53" t="n">
        <v>45741.5366782407</v>
      </c>
      <c r="R3337" s="0" t="n">
        <v>0</v>
      </c>
      <c r="S3337" s="51" t="s">
        <v>2376</v>
      </c>
      <c r="T3337" s="51" t="s">
        <v>2376</v>
      </c>
      <c r="U3337" s="0" t="str">
        <f aca="false">"12496983"</f>
        <v>12496983</v>
      </c>
      <c r="V3337" s="51" t="s">
        <v>2365</v>
      </c>
      <c r="W3337" s="51" t="s">
        <v>5699</v>
      </c>
      <c r="X3337" s="51" t="s">
        <v>2359</v>
      </c>
    </row>
    <row r="3338" customFormat="false" ht="14.25" hidden="true" customHeight="false" outlineLevel="0" collapsed="false">
      <c r="A3338" s="49" t="s">
        <v>2349</v>
      </c>
      <c r="B3338" s="49" t="s">
        <v>2350</v>
      </c>
      <c r="C3338" s="49" t="s">
        <v>6828</v>
      </c>
      <c r="D3338" s="49" t="s">
        <v>2352</v>
      </c>
      <c r="E3338" s="49" t="str">
        <f aca="false">"12496983"</f>
        <v>12496983</v>
      </c>
      <c r="F3338" s="49" t="s">
        <v>4880</v>
      </c>
      <c r="G3338" s="49" t="n">
        <v>0</v>
      </c>
      <c r="H3338" s="0" t="n">
        <v>0</v>
      </c>
      <c r="M3338" s="51" t="s">
        <v>6823</v>
      </c>
      <c r="N3338" s="49" t="n">
        <v>0</v>
      </c>
      <c r="O3338" s="53" t="n">
        <v>45741.5359143519</v>
      </c>
      <c r="P3338" s="53" t="n">
        <v>45844.7980555556</v>
      </c>
      <c r="Q3338" s="53" t="n">
        <v>45741.5359143519</v>
      </c>
      <c r="R3338" s="0" t="n">
        <v>0</v>
      </c>
      <c r="S3338" s="51" t="s">
        <v>2376</v>
      </c>
      <c r="T3338" s="51" t="s">
        <v>2376</v>
      </c>
      <c r="U3338" s="0" t="str">
        <f aca="false">"12496983"</f>
        <v>12496983</v>
      </c>
      <c r="V3338" s="51" t="s">
        <v>2365</v>
      </c>
      <c r="W3338" s="51" t="s">
        <v>6826</v>
      </c>
      <c r="X3338" s="51" t="s">
        <v>2359</v>
      </c>
    </row>
    <row r="3339" customFormat="false" ht="14.25" hidden="true" customHeight="false" outlineLevel="0" collapsed="false">
      <c r="A3339" s="49" t="s">
        <v>2349</v>
      </c>
      <c r="B3339" s="49" t="s">
        <v>2350</v>
      </c>
      <c r="C3339" s="49" t="s">
        <v>6829</v>
      </c>
      <c r="D3339" s="49" t="s">
        <v>2352</v>
      </c>
      <c r="E3339" s="49" t="str">
        <f aca="false">"12496983"</f>
        <v>12496983</v>
      </c>
      <c r="F3339" s="49" t="s">
        <v>4880</v>
      </c>
      <c r="G3339" s="49" t="n">
        <v>0</v>
      </c>
      <c r="H3339" s="0" t="n">
        <v>0</v>
      </c>
      <c r="M3339" s="51" t="s">
        <v>6823</v>
      </c>
      <c r="N3339" s="49" t="n">
        <v>0</v>
      </c>
      <c r="O3339" s="53" t="n">
        <v>45741.5354861111</v>
      </c>
      <c r="P3339" s="53" t="n">
        <v>45762.2412962963</v>
      </c>
      <c r="Q3339" s="53" t="n">
        <v>45741.5354861111</v>
      </c>
      <c r="R3339" s="0" t="n">
        <v>0</v>
      </c>
      <c r="S3339" s="51" t="s">
        <v>2376</v>
      </c>
      <c r="T3339" s="51" t="s">
        <v>2376</v>
      </c>
      <c r="U3339" s="0" t="str">
        <f aca="false">"12496983"</f>
        <v>12496983</v>
      </c>
      <c r="V3339" s="51" t="s">
        <v>2365</v>
      </c>
      <c r="W3339" s="51" t="s">
        <v>6830</v>
      </c>
      <c r="X3339" s="51" t="s">
        <v>2359</v>
      </c>
    </row>
    <row r="3340" customFormat="false" ht="14.25" hidden="true" customHeight="false" outlineLevel="0" collapsed="false">
      <c r="A3340" s="49" t="s">
        <v>2349</v>
      </c>
      <c r="B3340" s="49" t="s">
        <v>2350</v>
      </c>
      <c r="C3340" s="49" t="s">
        <v>6831</v>
      </c>
      <c r="D3340" s="49" t="s">
        <v>2352</v>
      </c>
      <c r="E3340" s="49" t="str">
        <f aca="false">"12496983"</f>
        <v>12496983</v>
      </c>
      <c r="F3340" s="49" t="s">
        <v>4880</v>
      </c>
      <c r="G3340" s="49" t="n">
        <v>0</v>
      </c>
      <c r="H3340" s="0" t="n">
        <v>0</v>
      </c>
      <c r="M3340" s="51" t="s">
        <v>6823</v>
      </c>
      <c r="N3340" s="49" t="n">
        <v>0</v>
      </c>
      <c r="O3340" s="53" t="n">
        <v>45741.5350578704</v>
      </c>
      <c r="P3340" s="53" t="n">
        <v>45924.8029398148</v>
      </c>
      <c r="Q3340" s="53" t="n">
        <v>45741.5350578704</v>
      </c>
      <c r="R3340" s="0" t="n">
        <v>0</v>
      </c>
      <c r="S3340" s="51" t="s">
        <v>2376</v>
      </c>
      <c r="T3340" s="51" t="s">
        <v>2376</v>
      </c>
      <c r="U3340" s="0" t="str">
        <f aca="false">"12496983"</f>
        <v>12496983</v>
      </c>
      <c r="V3340" s="51" t="s">
        <v>2365</v>
      </c>
      <c r="W3340" s="51" t="s">
        <v>3824</v>
      </c>
      <c r="X3340" s="51" t="s">
        <v>2359</v>
      </c>
    </row>
    <row r="3341" customFormat="false" ht="14.25" hidden="true" customHeight="false" outlineLevel="0" collapsed="false">
      <c r="A3341" s="49" t="s">
        <v>2349</v>
      </c>
      <c r="B3341" s="49" t="s">
        <v>2350</v>
      </c>
      <c r="C3341" s="49" t="s">
        <v>6832</v>
      </c>
      <c r="D3341" s="49" t="s">
        <v>2352</v>
      </c>
      <c r="E3341" s="49" t="str">
        <f aca="false">"12456742"</f>
        <v>12456742</v>
      </c>
      <c r="F3341" s="49" t="s">
        <v>6833</v>
      </c>
      <c r="G3341" s="49" t="n">
        <v>0</v>
      </c>
      <c r="H3341" s="0" t="n">
        <v>0</v>
      </c>
      <c r="M3341" s="51" t="s">
        <v>6823</v>
      </c>
      <c r="N3341" s="49" t="n">
        <v>0</v>
      </c>
      <c r="O3341" s="53" t="n">
        <v>45741.5395833333</v>
      </c>
      <c r="P3341" s="53" t="n">
        <v>45824.9346875</v>
      </c>
      <c r="Q3341" s="53" t="n">
        <v>45741.5395833333</v>
      </c>
      <c r="R3341" s="0" t="n">
        <v>0</v>
      </c>
      <c r="S3341" s="51" t="s">
        <v>2376</v>
      </c>
      <c r="T3341" s="51" t="s">
        <v>2376</v>
      </c>
      <c r="U3341" s="0" t="str">
        <f aca="false">"12456742"</f>
        <v>12456742</v>
      </c>
      <c r="V3341" s="51" t="s">
        <v>2365</v>
      </c>
      <c r="W3341" s="51" t="s">
        <v>6834</v>
      </c>
      <c r="X3341" s="51" t="s">
        <v>2359</v>
      </c>
    </row>
    <row r="3342" customFormat="false" ht="14.25" hidden="true" customHeight="false" outlineLevel="0" collapsed="false">
      <c r="A3342" s="49" t="s">
        <v>2349</v>
      </c>
      <c r="B3342" s="49" t="s">
        <v>2350</v>
      </c>
      <c r="C3342" s="49" t="s">
        <v>6835</v>
      </c>
      <c r="D3342" s="49" t="s">
        <v>2352</v>
      </c>
      <c r="E3342" s="49" t="str">
        <f aca="false">"12462263"</f>
        <v>12462263</v>
      </c>
      <c r="F3342" s="49" t="s">
        <v>6836</v>
      </c>
      <c r="G3342" s="49" t="n">
        <v>0</v>
      </c>
      <c r="H3342" s="0" t="n">
        <v>0</v>
      </c>
      <c r="M3342" s="51" t="s">
        <v>6823</v>
      </c>
      <c r="N3342" s="49" t="n">
        <v>0</v>
      </c>
      <c r="O3342" s="53" t="n">
        <v>45741.5404166667</v>
      </c>
      <c r="P3342" s="53" t="n">
        <v>45824.9338310185</v>
      </c>
      <c r="Q3342" s="53" t="n">
        <v>45741.5404166667</v>
      </c>
      <c r="R3342" s="0" t="n">
        <v>0</v>
      </c>
      <c r="S3342" s="51" t="s">
        <v>2376</v>
      </c>
      <c r="T3342" s="51" t="s">
        <v>2376</v>
      </c>
      <c r="U3342" s="0" t="str">
        <f aca="false">"12462263"</f>
        <v>12462263</v>
      </c>
      <c r="V3342" s="51" t="s">
        <v>2365</v>
      </c>
      <c r="W3342" s="51" t="s">
        <v>6837</v>
      </c>
      <c r="X3342" s="51" t="s">
        <v>2359</v>
      </c>
    </row>
    <row r="3343" customFormat="false" ht="14.25" hidden="true" customHeight="false" outlineLevel="0" collapsed="false">
      <c r="A3343" s="49" t="s">
        <v>2349</v>
      </c>
      <c r="B3343" s="49" t="s">
        <v>2350</v>
      </c>
      <c r="C3343" s="49" t="s">
        <v>6838</v>
      </c>
      <c r="D3343" s="49" t="s">
        <v>2352</v>
      </c>
      <c r="E3343" s="49" t="str">
        <f aca="false">"12452482"</f>
        <v>12452482</v>
      </c>
      <c r="F3343" s="49" t="s">
        <v>4179</v>
      </c>
      <c r="G3343" s="49" t="n">
        <v>0</v>
      </c>
      <c r="H3343" s="0" t="n">
        <v>0</v>
      </c>
      <c r="M3343" s="51" t="s">
        <v>6823</v>
      </c>
      <c r="N3343" s="49" t="n">
        <v>0</v>
      </c>
      <c r="O3343" s="53" t="n">
        <v>45741.5594097222</v>
      </c>
      <c r="P3343" s="53" t="n">
        <v>45789.365474537</v>
      </c>
      <c r="Q3343" s="53" t="n">
        <v>45741.5594097222</v>
      </c>
      <c r="R3343" s="0" t="n">
        <v>0</v>
      </c>
      <c r="S3343" s="51" t="s">
        <v>2376</v>
      </c>
      <c r="T3343" s="51" t="s">
        <v>2376</v>
      </c>
      <c r="U3343" s="0" t="str">
        <f aca="false">"12452482"</f>
        <v>12452482</v>
      </c>
      <c r="V3343" s="51" t="s">
        <v>2365</v>
      </c>
      <c r="W3343" s="51" t="s">
        <v>3824</v>
      </c>
      <c r="X3343" s="51" t="s">
        <v>2359</v>
      </c>
    </row>
    <row r="3344" customFormat="false" ht="14.25" hidden="true" customHeight="false" outlineLevel="0" collapsed="false">
      <c r="A3344" s="49" t="s">
        <v>2349</v>
      </c>
      <c r="B3344" s="49" t="s">
        <v>2350</v>
      </c>
      <c r="C3344" s="49" t="s">
        <v>6839</v>
      </c>
      <c r="D3344" s="49" t="s">
        <v>2352</v>
      </c>
      <c r="E3344" s="49" t="str">
        <f aca="false">"12452482"</f>
        <v>12452482</v>
      </c>
      <c r="F3344" s="49" t="s">
        <v>4179</v>
      </c>
      <c r="G3344" s="49" t="n">
        <v>0</v>
      </c>
      <c r="H3344" s="0" t="n">
        <v>0</v>
      </c>
      <c r="M3344" s="51" t="s">
        <v>6823</v>
      </c>
      <c r="N3344" s="49" t="n">
        <v>0</v>
      </c>
      <c r="O3344" s="53" t="n">
        <v>45741.5599189815</v>
      </c>
      <c r="P3344" s="53" t="n">
        <v>45785.905775463</v>
      </c>
      <c r="Q3344" s="53" t="n">
        <v>45741.5599189815</v>
      </c>
      <c r="R3344" s="0" t="n">
        <v>0</v>
      </c>
      <c r="S3344" s="51" t="s">
        <v>2376</v>
      </c>
      <c r="T3344" s="51" t="s">
        <v>2376</v>
      </c>
      <c r="U3344" s="0" t="str">
        <f aca="false">"12452482"</f>
        <v>12452482</v>
      </c>
      <c r="V3344" s="51" t="s">
        <v>2365</v>
      </c>
      <c r="W3344" s="51" t="s">
        <v>6840</v>
      </c>
      <c r="X3344" s="51" t="s">
        <v>2359</v>
      </c>
    </row>
    <row r="3345" customFormat="false" ht="14.25" hidden="true" customHeight="false" outlineLevel="0" collapsed="false">
      <c r="A3345" s="49" t="s">
        <v>2349</v>
      </c>
      <c r="B3345" s="49" t="s">
        <v>2350</v>
      </c>
      <c r="C3345" s="49" t="s">
        <v>6841</v>
      </c>
      <c r="D3345" s="49" t="s">
        <v>2352</v>
      </c>
      <c r="E3345" s="49" t="str">
        <f aca="false">"12492587"</f>
        <v>12492587</v>
      </c>
      <c r="F3345" s="49" t="s">
        <v>6644</v>
      </c>
      <c r="G3345" s="49" t="n">
        <v>0</v>
      </c>
      <c r="H3345" s="0" t="n">
        <v>0</v>
      </c>
      <c r="M3345" s="51" t="s">
        <v>6823</v>
      </c>
      <c r="N3345" s="49" t="n">
        <v>0</v>
      </c>
      <c r="O3345" s="53" t="n">
        <v>45741.5605902778</v>
      </c>
      <c r="P3345" s="53" t="n">
        <v>45811.4485648148</v>
      </c>
      <c r="Q3345" s="53" t="n">
        <v>45741.5605902778</v>
      </c>
      <c r="R3345" s="0" t="n">
        <v>0</v>
      </c>
      <c r="S3345" s="51" t="s">
        <v>2376</v>
      </c>
      <c r="T3345" s="51" t="s">
        <v>2376</v>
      </c>
      <c r="U3345" s="0" t="str">
        <f aca="false">"12492587"</f>
        <v>12492587</v>
      </c>
      <c r="V3345" s="51" t="s">
        <v>2365</v>
      </c>
      <c r="W3345" s="51" t="s">
        <v>6840</v>
      </c>
      <c r="X3345" s="51" t="s">
        <v>2359</v>
      </c>
    </row>
    <row r="3346" customFormat="false" ht="14.25" hidden="true" customHeight="false" outlineLevel="0" collapsed="false">
      <c r="A3346" s="49" t="s">
        <v>2349</v>
      </c>
      <c r="B3346" s="49" t="s">
        <v>2350</v>
      </c>
      <c r="C3346" s="49" t="s">
        <v>6842</v>
      </c>
      <c r="D3346" s="49" t="s">
        <v>2352</v>
      </c>
      <c r="E3346" s="49" t="str">
        <f aca="false">"12452482"</f>
        <v>12452482</v>
      </c>
      <c r="F3346" s="49" t="s">
        <v>4179</v>
      </c>
      <c r="G3346" s="49" t="n">
        <v>0</v>
      </c>
      <c r="H3346" s="0" t="n">
        <v>0</v>
      </c>
      <c r="M3346" s="51" t="s">
        <v>6823</v>
      </c>
      <c r="N3346" s="49" t="n">
        <v>0</v>
      </c>
      <c r="O3346" s="53" t="n">
        <v>45741.5615972222</v>
      </c>
      <c r="P3346" s="53" t="n">
        <v>45791.0431134259</v>
      </c>
      <c r="Q3346" s="53" t="n">
        <v>45741.5615972222</v>
      </c>
      <c r="R3346" s="0" t="n">
        <v>0</v>
      </c>
      <c r="S3346" s="51" t="s">
        <v>2376</v>
      </c>
      <c r="T3346" s="51" t="s">
        <v>2376</v>
      </c>
      <c r="U3346" s="0" t="str">
        <f aca="false">"12452482"</f>
        <v>12452482</v>
      </c>
      <c r="V3346" s="51" t="s">
        <v>2365</v>
      </c>
      <c r="W3346" s="51" t="s">
        <v>5807</v>
      </c>
      <c r="X3346" s="51" t="s">
        <v>2359</v>
      </c>
    </row>
    <row r="3347" customFormat="false" ht="14.25" hidden="true" customHeight="false" outlineLevel="0" collapsed="false">
      <c r="A3347" s="49" t="s">
        <v>2349</v>
      </c>
      <c r="B3347" s="49" t="s">
        <v>2350</v>
      </c>
      <c r="C3347" s="49" t="s">
        <v>6843</v>
      </c>
      <c r="D3347" s="49" t="s">
        <v>2352</v>
      </c>
      <c r="E3347" s="49" t="str">
        <f aca="false">"12452482"</f>
        <v>12452482</v>
      </c>
      <c r="F3347" s="49" t="s">
        <v>4179</v>
      </c>
      <c r="G3347" s="49" t="n">
        <v>0</v>
      </c>
      <c r="H3347" s="0" t="n">
        <v>0</v>
      </c>
      <c r="M3347" s="51" t="s">
        <v>6823</v>
      </c>
      <c r="N3347" s="49" t="n">
        <v>0</v>
      </c>
      <c r="O3347" s="53" t="n">
        <v>45741.5628240741</v>
      </c>
      <c r="P3347" s="53" t="n">
        <v>45791.0425462963</v>
      </c>
      <c r="Q3347" s="53" t="n">
        <v>45741.5628240741</v>
      </c>
      <c r="R3347" s="0" t="n">
        <v>0</v>
      </c>
      <c r="S3347" s="51" t="s">
        <v>2376</v>
      </c>
      <c r="T3347" s="51" t="s">
        <v>2376</v>
      </c>
      <c r="U3347" s="0" t="str">
        <f aca="false">"12452482"</f>
        <v>12452482</v>
      </c>
      <c r="V3347" s="51" t="s">
        <v>2365</v>
      </c>
      <c r="W3347" s="51" t="s">
        <v>6844</v>
      </c>
      <c r="X3347" s="51" t="s">
        <v>2359</v>
      </c>
    </row>
    <row r="3348" customFormat="false" ht="14.25" hidden="true" customHeight="false" outlineLevel="0" collapsed="false">
      <c r="A3348" s="49" t="s">
        <v>2349</v>
      </c>
      <c r="B3348" s="49" t="s">
        <v>2350</v>
      </c>
      <c r="C3348" s="49" t="s">
        <v>6845</v>
      </c>
      <c r="D3348" s="49" t="s">
        <v>2352</v>
      </c>
      <c r="E3348" s="49" t="str">
        <f aca="false">"12452482"</f>
        <v>12452482</v>
      </c>
      <c r="F3348" s="49" t="s">
        <v>4179</v>
      </c>
      <c r="G3348" s="49" t="n">
        <v>0</v>
      </c>
      <c r="H3348" s="0" t="n">
        <v>0</v>
      </c>
      <c r="M3348" s="51" t="s">
        <v>6823</v>
      </c>
      <c r="N3348" s="49" t="n">
        <v>0</v>
      </c>
      <c r="O3348" s="53" t="n">
        <v>45741.5625462963</v>
      </c>
      <c r="P3348" s="53" t="n">
        <v>45789.3628703704</v>
      </c>
      <c r="Q3348" s="53" t="n">
        <v>45741.5625462963</v>
      </c>
      <c r="R3348" s="0" t="n">
        <v>0</v>
      </c>
      <c r="S3348" s="51" t="s">
        <v>2376</v>
      </c>
      <c r="T3348" s="51" t="s">
        <v>2376</v>
      </c>
      <c r="U3348" s="0" t="str">
        <f aca="false">"12452482"</f>
        <v>12452482</v>
      </c>
      <c r="V3348" s="51" t="s">
        <v>2365</v>
      </c>
      <c r="W3348" s="51" t="s">
        <v>5814</v>
      </c>
      <c r="X3348" s="51" t="s">
        <v>2359</v>
      </c>
    </row>
    <row r="3349" customFormat="false" ht="14.25" hidden="true" customHeight="false" outlineLevel="0" collapsed="false">
      <c r="A3349" s="49" t="s">
        <v>2349</v>
      </c>
      <c r="B3349" s="49" t="s">
        <v>2350</v>
      </c>
      <c r="C3349" s="49" t="s">
        <v>6846</v>
      </c>
      <c r="D3349" s="49" t="s">
        <v>2352</v>
      </c>
      <c r="E3349" s="49" t="str">
        <f aca="false">"12452482"</f>
        <v>12452482</v>
      </c>
      <c r="F3349" s="49" t="s">
        <v>4179</v>
      </c>
      <c r="G3349" s="49" t="n">
        <v>0</v>
      </c>
      <c r="H3349" s="0" t="n">
        <v>0</v>
      </c>
      <c r="M3349" s="51" t="s">
        <v>6823</v>
      </c>
      <c r="N3349" s="49" t="n">
        <v>0</v>
      </c>
      <c r="O3349" s="53" t="n">
        <v>45741.5621875</v>
      </c>
      <c r="P3349" s="53" t="n">
        <v>45791.0412268519</v>
      </c>
      <c r="Q3349" s="53" t="n">
        <v>45741.5621875</v>
      </c>
      <c r="R3349" s="0" t="n">
        <v>0</v>
      </c>
      <c r="S3349" s="51" t="s">
        <v>2376</v>
      </c>
      <c r="T3349" s="51" t="s">
        <v>2376</v>
      </c>
      <c r="U3349" s="0" t="str">
        <f aca="false">"12452482"</f>
        <v>12452482</v>
      </c>
      <c r="V3349" s="51" t="s">
        <v>2365</v>
      </c>
      <c r="W3349" s="51" t="s">
        <v>6847</v>
      </c>
      <c r="X3349" s="51" t="s">
        <v>2359</v>
      </c>
    </row>
    <row r="3350" customFormat="false" ht="14.25" hidden="true" customHeight="false" outlineLevel="0" collapsed="false">
      <c r="A3350" s="49" t="s">
        <v>2349</v>
      </c>
      <c r="B3350" s="49" t="s">
        <v>2350</v>
      </c>
      <c r="C3350" s="49" t="s">
        <v>6848</v>
      </c>
      <c r="D3350" s="49" t="s">
        <v>2352</v>
      </c>
      <c r="E3350" s="49" t="str">
        <f aca="false">"12207690"</f>
        <v>12207690</v>
      </c>
      <c r="F3350" s="49" t="s">
        <v>4199</v>
      </c>
      <c r="G3350" s="49" t="n">
        <v>0</v>
      </c>
      <c r="H3350" s="0" t="n">
        <v>0</v>
      </c>
      <c r="M3350" s="51" t="s">
        <v>6823</v>
      </c>
      <c r="N3350" s="49" t="n">
        <v>0</v>
      </c>
      <c r="O3350" s="53" t="n">
        <v>45741.5496527778</v>
      </c>
      <c r="P3350" s="53" t="n">
        <v>45771.9143055556</v>
      </c>
      <c r="Q3350" s="53" t="n">
        <v>45741.5496527778</v>
      </c>
      <c r="R3350" s="0" t="n">
        <v>0</v>
      </c>
      <c r="S3350" s="51" t="s">
        <v>2376</v>
      </c>
      <c r="T3350" s="51" t="s">
        <v>2376</v>
      </c>
      <c r="U3350" s="0" t="str">
        <f aca="false">"12207690"</f>
        <v>12207690</v>
      </c>
      <c r="V3350" s="51" t="s">
        <v>2365</v>
      </c>
      <c r="W3350" s="51" t="s">
        <v>5938</v>
      </c>
      <c r="X3350" s="51" t="s">
        <v>2359</v>
      </c>
    </row>
    <row r="3351" customFormat="false" ht="14.25" hidden="true" customHeight="false" outlineLevel="0" collapsed="false">
      <c r="A3351" s="49" t="s">
        <v>2349</v>
      </c>
      <c r="B3351" s="49" t="s">
        <v>2350</v>
      </c>
      <c r="C3351" s="49" t="s">
        <v>6849</v>
      </c>
      <c r="D3351" s="49" t="s">
        <v>2352</v>
      </c>
      <c r="E3351" s="49" t="str">
        <f aca="false">"12207690"</f>
        <v>12207690</v>
      </c>
      <c r="F3351" s="49" t="s">
        <v>4199</v>
      </c>
      <c r="G3351" s="49" t="n">
        <v>0</v>
      </c>
      <c r="H3351" s="0" t="n">
        <v>0</v>
      </c>
      <c r="M3351" s="51" t="s">
        <v>6823</v>
      </c>
      <c r="N3351" s="49" t="n">
        <v>0</v>
      </c>
      <c r="O3351" s="53" t="n">
        <v>45741.5484375</v>
      </c>
      <c r="P3351" s="53" t="n">
        <v>45771.9183564815</v>
      </c>
      <c r="Q3351" s="53" t="n">
        <v>45741.5484375</v>
      </c>
      <c r="R3351" s="0" t="n">
        <v>0</v>
      </c>
      <c r="S3351" s="51" t="s">
        <v>2376</v>
      </c>
      <c r="T3351" s="51" t="s">
        <v>2376</v>
      </c>
      <c r="U3351" s="0" t="str">
        <f aca="false">"12207690"</f>
        <v>12207690</v>
      </c>
      <c r="V3351" s="51" t="s">
        <v>2365</v>
      </c>
      <c r="W3351" s="51" t="s">
        <v>4569</v>
      </c>
      <c r="X3351" s="51" t="s">
        <v>2359</v>
      </c>
    </row>
    <row r="3352" customFormat="false" ht="14.25" hidden="true" customHeight="false" outlineLevel="0" collapsed="false">
      <c r="A3352" s="49" t="s">
        <v>2349</v>
      </c>
      <c r="B3352" s="49" t="s">
        <v>2350</v>
      </c>
      <c r="C3352" s="49" t="s">
        <v>6850</v>
      </c>
      <c r="D3352" s="49" t="s">
        <v>2352</v>
      </c>
      <c r="E3352" s="49" t="str">
        <f aca="false">"12207690"</f>
        <v>12207690</v>
      </c>
      <c r="F3352" s="49" t="s">
        <v>4199</v>
      </c>
      <c r="G3352" s="49" t="n">
        <v>0</v>
      </c>
      <c r="H3352" s="0" t="n">
        <v>0</v>
      </c>
      <c r="M3352" s="51" t="s">
        <v>6823</v>
      </c>
      <c r="N3352" s="49" t="n">
        <v>0</v>
      </c>
      <c r="O3352" s="53" t="n">
        <v>45741.548125</v>
      </c>
      <c r="P3352" s="53" t="n">
        <v>45778.3857523148</v>
      </c>
      <c r="Q3352" s="53" t="n">
        <v>45741.548125</v>
      </c>
      <c r="R3352" s="0" t="n">
        <v>0</v>
      </c>
      <c r="S3352" s="51" t="s">
        <v>2376</v>
      </c>
      <c r="T3352" s="51" t="s">
        <v>2376</v>
      </c>
      <c r="U3352" s="0" t="str">
        <f aca="false">"12207690"</f>
        <v>12207690</v>
      </c>
      <c r="V3352" s="51" t="s">
        <v>2365</v>
      </c>
      <c r="W3352" s="51" t="s">
        <v>4499</v>
      </c>
      <c r="X3352" s="51" t="s">
        <v>2359</v>
      </c>
    </row>
    <row r="3353" customFormat="false" ht="14.25" hidden="true" customHeight="false" outlineLevel="0" collapsed="false">
      <c r="A3353" s="49" t="s">
        <v>2349</v>
      </c>
      <c r="B3353" s="49" t="s">
        <v>2350</v>
      </c>
      <c r="C3353" s="49" t="s">
        <v>6851</v>
      </c>
      <c r="D3353" s="49" t="s">
        <v>2352</v>
      </c>
      <c r="E3353" s="49" t="str">
        <f aca="false">"12393792"</f>
        <v>12393792</v>
      </c>
      <c r="F3353" s="49" t="s">
        <v>2368</v>
      </c>
      <c r="G3353" s="49" t="n">
        <v>0</v>
      </c>
      <c r="H3353" s="0" t="n">
        <v>0</v>
      </c>
      <c r="M3353" s="51" t="s">
        <v>6823</v>
      </c>
      <c r="N3353" s="49" t="n">
        <v>0</v>
      </c>
      <c r="O3353" s="53" t="n">
        <v>45742.3900115741</v>
      </c>
      <c r="P3353" s="53" t="n">
        <v>45797.7676273148</v>
      </c>
      <c r="Q3353" s="53" t="n">
        <v>45742.3900115741</v>
      </c>
      <c r="R3353" s="0" t="n">
        <v>0</v>
      </c>
      <c r="S3353" s="51" t="s">
        <v>2376</v>
      </c>
      <c r="T3353" s="51" t="s">
        <v>2376</v>
      </c>
      <c r="U3353" s="0" t="str">
        <f aca="false">"12393792"</f>
        <v>12393792</v>
      </c>
      <c r="V3353" s="51" t="s">
        <v>2365</v>
      </c>
      <c r="W3353" s="51" t="s">
        <v>5945</v>
      </c>
      <c r="X3353" s="51" t="s">
        <v>2359</v>
      </c>
    </row>
    <row r="3354" customFormat="false" ht="14.25" hidden="true" customHeight="false" outlineLevel="0" collapsed="false">
      <c r="A3354" s="49" t="s">
        <v>2349</v>
      </c>
      <c r="B3354" s="49" t="s">
        <v>2350</v>
      </c>
      <c r="C3354" s="49" t="s">
        <v>6852</v>
      </c>
      <c r="D3354" s="49" t="s">
        <v>2352</v>
      </c>
      <c r="E3354" s="49" t="s">
        <v>6853</v>
      </c>
      <c r="F3354" s="49" t="s">
        <v>6854</v>
      </c>
      <c r="G3354" s="49" t="n">
        <v>0</v>
      </c>
      <c r="H3354" s="0" t="n">
        <v>0</v>
      </c>
      <c r="M3354" s="51" t="s">
        <v>6855</v>
      </c>
      <c r="N3354" s="49" t="n">
        <v>0</v>
      </c>
      <c r="O3354" s="53" t="n">
        <v>45775.7222453704</v>
      </c>
      <c r="P3354" s="53" t="n">
        <v>45907.4724305556</v>
      </c>
      <c r="Q3354" s="53" t="n">
        <v>45775.7222453704</v>
      </c>
      <c r="R3354" s="0" t="n">
        <v>0</v>
      </c>
      <c r="S3354" s="51" t="s">
        <v>2356</v>
      </c>
      <c r="T3354" s="51" t="s">
        <v>2356</v>
      </c>
      <c r="U3354" s="51" t="s">
        <v>6853</v>
      </c>
      <c r="V3354" s="51" t="s">
        <v>2357</v>
      </c>
      <c r="W3354" s="51" t="s">
        <v>4010</v>
      </c>
      <c r="X3354" s="51" t="s">
        <v>2359</v>
      </c>
    </row>
    <row r="3355" customFormat="false" ht="14.25" hidden="true" customHeight="false" outlineLevel="0" collapsed="false">
      <c r="A3355" s="49" t="s">
        <v>2349</v>
      </c>
      <c r="B3355" s="49" t="s">
        <v>2350</v>
      </c>
      <c r="C3355" s="49" t="s">
        <v>6856</v>
      </c>
      <c r="D3355" s="49" t="s">
        <v>2352</v>
      </c>
      <c r="E3355" s="49" t="s">
        <v>3643</v>
      </c>
      <c r="F3355" s="49" t="s">
        <v>3644</v>
      </c>
      <c r="G3355" s="49" t="n">
        <v>0</v>
      </c>
      <c r="H3355" s="0" t="n">
        <v>0</v>
      </c>
      <c r="M3355" s="51" t="s">
        <v>6855</v>
      </c>
      <c r="N3355" s="49" t="n">
        <v>0</v>
      </c>
      <c r="O3355" s="53" t="n">
        <v>45775.7293865741</v>
      </c>
      <c r="P3355" s="53" t="n">
        <v>45789.6387615741</v>
      </c>
      <c r="Q3355" s="53" t="n">
        <v>45775.7293865741</v>
      </c>
      <c r="R3355" s="0" t="n">
        <v>0</v>
      </c>
      <c r="S3355" s="51" t="s">
        <v>2356</v>
      </c>
      <c r="T3355" s="51" t="s">
        <v>2356</v>
      </c>
      <c r="U3355" s="51" t="s">
        <v>3643</v>
      </c>
      <c r="V3355" s="51" t="s">
        <v>2357</v>
      </c>
      <c r="W3355" s="51" t="s">
        <v>6857</v>
      </c>
      <c r="X3355" s="51" t="s">
        <v>2359</v>
      </c>
    </row>
    <row r="3356" customFormat="false" ht="14.25" hidden="true" customHeight="false" outlineLevel="0" collapsed="false">
      <c r="A3356" s="49" t="s">
        <v>2349</v>
      </c>
      <c r="B3356" s="49" t="s">
        <v>2350</v>
      </c>
      <c r="C3356" s="49" t="s">
        <v>6858</v>
      </c>
      <c r="D3356" s="49" t="s">
        <v>2352</v>
      </c>
      <c r="E3356" s="49" t="s">
        <v>3643</v>
      </c>
      <c r="F3356" s="49" t="s">
        <v>3644</v>
      </c>
      <c r="G3356" s="49" t="n">
        <v>0</v>
      </c>
      <c r="H3356" s="0" t="n">
        <v>0</v>
      </c>
      <c r="M3356" s="51" t="s">
        <v>6855</v>
      </c>
      <c r="N3356" s="49" t="n">
        <v>0</v>
      </c>
      <c r="O3356" s="53" t="n">
        <v>45775.7285300926</v>
      </c>
      <c r="P3356" s="53" t="n">
        <v>45802.4254976852</v>
      </c>
      <c r="Q3356" s="53" t="n">
        <v>45775.7285300926</v>
      </c>
      <c r="R3356" s="0" t="n">
        <v>0</v>
      </c>
      <c r="S3356" s="51" t="s">
        <v>2356</v>
      </c>
      <c r="T3356" s="51" t="s">
        <v>2356</v>
      </c>
      <c r="U3356" s="51" t="s">
        <v>3643</v>
      </c>
      <c r="V3356" s="51" t="s">
        <v>2357</v>
      </c>
      <c r="W3356" s="51" t="s">
        <v>3679</v>
      </c>
      <c r="X3356" s="51" t="s">
        <v>2359</v>
      </c>
    </row>
    <row r="3357" customFormat="false" ht="14.25" hidden="true" customHeight="false" outlineLevel="0" collapsed="false">
      <c r="A3357" s="49" t="s">
        <v>2349</v>
      </c>
      <c r="B3357" s="49" t="s">
        <v>2350</v>
      </c>
      <c r="C3357" s="49" t="s">
        <v>6859</v>
      </c>
      <c r="D3357" s="49" t="s">
        <v>2352</v>
      </c>
      <c r="E3357" s="49" t="s">
        <v>3643</v>
      </c>
      <c r="F3357" s="49" t="s">
        <v>3644</v>
      </c>
      <c r="G3357" s="49" t="n">
        <v>0</v>
      </c>
      <c r="H3357" s="0" t="n">
        <v>0</v>
      </c>
      <c r="M3357" s="51" t="s">
        <v>6855</v>
      </c>
      <c r="N3357" s="49" t="n">
        <v>0</v>
      </c>
      <c r="O3357" s="53" t="n">
        <v>45775.7283101852</v>
      </c>
      <c r="P3357" s="53" t="n">
        <v>45795.5858333333</v>
      </c>
      <c r="Q3357" s="53" t="n">
        <v>45775.7283101852</v>
      </c>
      <c r="R3357" s="0" t="n">
        <v>0</v>
      </c>
      <c r="S3357" s="51" t="s">
        <v>2356</v>
      </c>
      <c r="T3357" s="51" t="s">
        <v>2356</v>
      </c>
      <c r="U3357" s="51" t="s">
        <v>3643</v>
      </c>
      <c r="V3357" s="51" t="s">
        <v>2357</v>
      </c>
      <c r="W3357" s="51" t="s">
        <v>6860</v>
      </c>
      <c r="X3357" s="51" t="s">
        <v>2359</v>
      </c>
    </row>
    <row r="3358" customFormat="false" ht="14.25" hidden="true" customHeight="false" outlineLevel="0" collapsed="false">
      <c r="A3358" s="49" t="s">
        <v>2349</v>
      </c>
      <c r="B3358" s="49" t="s">
        <v>2350</v>
      </c>
      <c r="C3358" s="49" t="s">
        <v>6861</v>
      </c>
      <c r="D3358" s="49" t="s">
        <v>2352</v>
      </c>
      <c r="E3358" s="49" t="s">
        <v>3643</v>
      </c>
      <c r="F3358" s="49" t="s">
        <v>3644</v>
      </c>
      <c r="G3358" s="49" t="n">
        <v>0</v>
      </c>
      <c r="H3358" s="0" t="n">
        <v>0</v>
      </c>
      <c r="M3358" s="51" t="s">
        <v>6855</v>
      </c>
      <c r="N3358" s="49" t="n">
        <v>0</v>
      </c>
      <c r="O3358" s="53" t="n">
        <v>45775.7278125</v>
      </c>
      <c r="P3358" s="53" t="n">
        <v>45809.463912037</v>
      </c>
      <c r="Q3358" s="53" t="n">
        <v>45775.7278125</v>
      </c>
      <c r="R3358" s="0" t="n">
        <v>0</v>
      </c>
      <c r="S3358" s="51" t="s">
        <v>2356</v>
      </c>
      <c r="T3358" s="51" t="s">
        <v>2356</v>
      </c>
      <c r="U3358" s="51" t="s">
        <v>3643</v>
      </c>
      <c r="V3358" s="51" t="s">
        <v>2357</v>
      </c>
      <c r="W3358" s="51" t="s">
        <v>4596</v>
      </c>
      <c r="X3358" s="51" t="s">
        <v>2359</v>
      </c>
    </row>
    <row r="3359" customFormat="false" ht="14.25" hidden="true" customHeight="false" outlineLevel="0" collapsed="false">
      <c r="A3359" s="49" t="s">
        <v>2349</v>
      </c>
      <c r="B3359" s="49" t="s">
        <v>2350</v>
      </c>
      <c r="C3359" s="49" t="s">
        <v>6862</v>
      </c>
      <c r="D3359" s="49" t="s">
        <v>2352</v>
      </c>
      <c r="E3359" s="49" t="s">
        <v>3638</v>
      </c>
      <c r="F3359" s="49" t="s">
        <v>3639</v>
      </c>
      <c r="G3359" s="49" t="n">
        <v>0</v>
      </c>
      <c r="H3359" s="0" t="n">
        <v>0</v>
      </c>
      <c r="M3359" s="51" t="s">
        <v>6855</v>
      </c>
      <c r="N3359" s="49" t="n">
        <v>0</v>
      </c>
      <c r="O3359" s="53" t="n">
        <v>45775.7192708333</v>
      </c>
      <c r="P3359" s="53" t="n">
        <v>45777.6217476852</v>
      </c>
      <c r="Q3359" s="53" t="n">
        <v>45775.7192708333</v>
      </c>
      <c r="R3359" s="0" t="n">
        <v>0</v>
      </c>
      <c r="S3359" s="51" t="s">
        <v>2356</v>
      </c>
      <c r="T3359" s="51" t="s">
        <v>2356</v>
      </c>
      <c r="U3359" s="51" t="s">
        <v>3638</v>
      </c>
      <c r="V3359" s="51" t="s">
        <v>2357</v>
      </c>
      <c r="W3359" s="51" t="s">
        <v>6863</v>
      </c>
      <c r="X3359" s="51" t="s">
        <v>2359</v>
      </c>
    </row>
    <row r="3360" customFormat="false" ht="14.25" hidden="true" customHeight="false" outlineLevel="0" collapsed="false">
      <c r="A3360" s="49" t="s">
        <v>2349</v>
      </c>
      <c r="B3360" s="49" t="s">
        <v>2350</v>
      </c>
      <c r="C3360" s="49" t="s">
        <v>6864</v>
      </c>
      <c r="D3360" s="49" t="s">
        <v>2352</v>
      </c>
      <c r="E3360" s="49" t="s">
        <v>3638</v>
      </c>
      <c r="F3360" s="49" t="s">
        <v>3639</v>
      </c>
      <c r="G3360" s="49" t="n">
        <v>0</v>
      </c>
      <c r="H3360" s="0" t="n">
        <v>0</v>
      </c>
      <c r="M3360" s="51" t="s">
        <v>6855</v>
      </c>
      <c r="N3360" s="49" t="n">
        <v>0</v>
      </c>
      <c r="O3360" s="53" t="n">
        <v>45775.7172685185</v>
      </c>
      <c r="P3360" s="53" t="n">
        <v>45785.3991435185</v>
      </c>
      <c r="Q3360" s="53" t="n">
        <v>45775.7172685185</v>
      </c>
      <c r="R3360" s="0" t="n">
        <v>0</v>
      </c>
      <c r="S3360" s="51" t="s">
        <v>2356</v>
      </c>
      <c r="T3360" s="51" t="s">
        <v>2356</v>
      </c>
      <c r="U3360" s="51" t="s">
        <v>3638</v>
      </c>
      <c r="V3360" s="51" t="s">
        <v>2357</v>
      </c>
      <c r="W3360" s="51" t="s">
        <v>6865</v>
      </c>
      <c r="X3360" s="51" t="s">
        <v>2359</v>
      </c>
    </row>
    <row r="3361" customFormat="false" ht="14.25" hidden="true" customHeight="false" outlineLevel="0" collapsed="false">
      <c r="A3361" s="49" t="s">
        <v>2349</v>
      </c>
      <c r="B3361" s="49" t="s">
        <v>2350</v>
      </c>
      <c r="C3361" s="49" t="s">
        <v>6866</v>
      </c>
      <c r="D3361" s="49" t="s">
        <v>2352</v>
      </c>
      <c r="E3361" s="49" t="s">
        <v>3638</v>
      </c>
      <c r="F3361" s="49" t="s">
        <v>3639</v>
      </c>
      <c r="G3361" s="49" t="n">
        <v>0</v>
      </c>
      <c r="H3361" s="0" t="n">
        <v>0</v>
      </c>
      <c r="M3361" s="51" t="s">
        <v>6855</v>
      </c>
      <c r="N3361" s="49" t="n">
        <v>0</v>
      </c>
      <c r="O3361" s="53" t="n">
        <v>45775.7159375</v>
      </c>
      <c r="P3361" s="53" t="n">
        <v>45778.7048032407</v>
      </c>
      <c r="Q3361" s="53" t="n">
        <v>45775.7159375</v>
      </c>
      <c r="R3361" s="0" t="n">
        <v>0</v>
      </c>
      <c r="S3361" s="51" t="s">
        <v>2356</v>
      </c>
      <c r="T3361" s="51" t="s">
        <v>2356</v>
      </c>
      <c r="U3361" s="51" t="s">
        <v>3638</v>
      </c>
      <c r="V3361" s="51" t="s">
        <v>2357</v>
      </c>
      <c r="W3361" s="51" t="s">
        <v>6867</v>
      </c>
      <c r="X3361" s="51" t="s">
        <v>2359</v>
      </c>
    </row>
    <row r="3362" customFormat="false" ht="14.25" hidden="true" customHeight="false" outlineLevel="0" collapsed="false">
      <c r="A3362" s="49" t="s">
        <v>2349</v>
      </c>
      <c r="B3362" s="49" t="s">
        <v>2350</v>
      </c>
      <c r="C3362" s="49" t="s">
        <v>6868</v>
      </c>
      <c r="D3362" s="49" t="s">
        <v>2352</v>
      </c>
      <c r="E3362" s="49" t="s">
        <v>3638</v>
      </c>
      <c r="F3362" s="49" t="s">
        <v>3639</v>
      </c>
      <c r="G3362" s="49" t="n">
        <v>0</v>
      </c>
      <c r="H3362" s="0" t="n">
        <v>0</v>
      </c>
      <c r="M3362" s="51" t="s">
        <v>6855</v>
      </c>
      <c r="N3362" s="49" t="n">
        <v>0</v>
      </c>
      <c r="O3362" s="53" t="n">
        <v>45775.7147685185</v>
      </c>
      <c r="P3362" s="53" t="n">
        <v>45867.5883680556</v>
      </c>
      <c r="Q3362" s="53" t="n">
        <v>45775.7147685185</v>
      </c>
      <c r="R3362" s="0" t="n">
        <v>0</v>
      </c>
      <c r="S3362" s="51" t="s">
        <v>2356</v>
      </c>
      <c r="T3362" s="51" t="s">
        <v>2356</v>
      </c>
      <c r="U3362" s="51" t="s">
        <v>3638</v>
      </c>
      <c r="V3362" s="51" t="s">
        <v>2357</v>
      </c>
      <c r="W3362" s="51" t="s">
        <v>6869</v>
      </c>
      <c r="X3362" s="51" t="s">
        <v>2359</v>
      </c>
    </row>
    <row r="3363" customFormat="false" ht="14.25" hidden="true" customHeight="false" outlineLevel="0" collapsed="false">
      <c r="A3363" s="49" t="s">
        <v>2349</v>
      </c>
      <c r="B3363" s="49" t="s">
        <v>2350</v>
      </c>
      <c r="C3363" s="49" t="s">
        <v>6870</v>
      </c>
      <c r="D3363" s="49" t="s">
        <v>2352</v>
      </c>
      <c r="E3363" s="49" t="s">
        <v>3638</v>
      </c>
      <c r="F3363" s="49" t="s">
        <v>3639</v>
      </c>
      <c r="G3363" s="49" t="n">
        <v>0</v>
      </c>
      <c r="H3363" s="0" t="n">
        <v>0</v>
      </c>
      <c r="M3363" s="51" t="s">
        <v>6855</v>
      </c>
      <c r="N3363" s="49" t="n">
        <v>0</v>
      </c>
      <c r="O3363" s="53" t="n">
        <v>45775.712962963</v>
      </c>
      <c r="P3363" s="53" t="n">
        <v>45785.3993287037</v>
      </c>
      <c r="Q3363" s="53" t="n">
        <v>45775.712962963</v>
      </c>
      <c r="R3363" s="0" t="n">
        <v>0</v>
      </c>
      <c r="S3363" s="51" t="s">
        <v>2356</v>
      </c>
      <c r="T3363" s="51" t="s">
        <v>2356</v>
      </c>
      <c r="U3363" s="51" t="s">
        <v>3638</v>
      </c>
      <c r="V3363" s="51" t="s">
        <v>2357</v>
      </c>
      <c r="W3363" s="51" t="s">
        <v>6871</v>
      </c>
      <c r="X3363" s="51" t="s">
        <v>2359</v>
      </c>
    </row>
    <row r="3364" customFormat="false" ht="14.25" hidden="true" customHeight="false" outlineLevel="0" collapsed="false">
      <c r="A3364" s="49" t="s">
        <v>2349</v>
      </c>
      <c r="B3364" s="49" t="s">
        <v>2350</v>
      </c>
      <c r="C3364" s="49" t="s">
        <v>6872</v>
      </c>
      <c r="D3364" s="49" t="s">
        <v>2352</v>
      </c>
      <c r="E3364" s="49" t="s">
        <v>3638</v>
      </c>
      <c r="F3364" s="49" t="s">
        <v>3639</v>
      </c>
      <c r="G3364" s="49" t="n">
        <v>0</v>
      </c>
      <c r="H3364" s="0" t="n">
        <v>0</v>
      </c>
      <c r="M3364" s="51" t="s">
        <v>6855</v>
      </c>
      <c r="N3364" s="49" t="n">
        <v>0</v>
      </c>
      <c r="O3364" s="53" t="n">
        <v>45775.7124652778</v>
      </c>
      <c r="P3364" s="53" t="n">
        <v>45785.3994791667</v>
      </c>
      <c r="Q3364" s="53" t="n">
        <v>45775.7124652778</v>
      </c>
      <c r="R3364" s="0" t="n">
        <v>0</v>
      </c>
      <c r="S3364" s="51" t="s">
        <v>2356</v>
      </c>
      <c r="T3364" s="51" t="s">
        <v>2356</v>
      </c>
      <c r="U3364" s="51" t="s">
        <v>3638</v>
      </c>
      <c r="V3364" s="51" t="s">
        <v>2357</v>
      </c>
      <c r="W3364" s="51" t="s">
        <v>6873</v>
      </c>
      <c r="X3364" s="51" t="s">
        <v>2359</v>
      </c>
    </row>
    <row r="3365" customFormat="false" ht="14.25" hidden="true" customHeight="false" outlineLevel="0" collapsed="false">
      <c r="A3365" s="49" t="s">
        <v>2349</v>
      </c>
      <c r="B3365" s="49" t="s">
        <v>2350</v>
      </c>
      <c r="C3365" s="49" t="s">
        <v>6874</v>
      </c>
      <c r="D3365" s="49" t="s">
        <v>2352</v>
      </c>
      <c r="E3365" s="49" t="s">
        <v>6853</v>
      </c>
      <c r="F3365" s="49" t="s">
        <v>6854</v>
      </c>
      <c r="G3365" s="49" t="n">
        <v>0</v>
      </c>
      <c r="H3365" s="0" t="n">
        <v>0</v>
      </c>
      <c r="M3365" s="51" t="s">
        <v>6855</v>
      </c>
      <c r="N3365" s="49" t="n">
        <v>0</v>
      </c>
      <c r="O3365" s="53" t="n">
        <v>45790.4118171296</v>
      </c>
      <c r="P3365" s="53" t="n">
        <v>45810.5625231481</v>
      </c>
      <c r="R3365" s="0" t="n">
        <v>0</v>
      </c>
      <c r="T3365" s="51" t="s">
        <v>2356</v>
      </c>
      <c r="U3365" s="51" t="s">
        <v>6853</v>
      </c>
      <c r="V3365" s="51" t="s">
        <v>2357</v>
      </c>
      <c r="W3365" s="51" t="s">
        <v>4154</v>
      </c>
      <c r="X3365" s="51" t="s">
        <v>2359</v>
      </c>
    </row>
    <row r="3366" customFormat="false" ht="14.25" hidden="true" customHeight="false" outlineLevel="0" collapsed="false">
      <c r="A3366" s="49" t="s">
        <v>2349</v>
      </c>
      <c r="B3366" s="49" t="s">
        <v>2350</v>
      </c>
      <c r="C3366" s="49" t="s">
        <v>6875</v>
      </c>
      <c r="D3366" s="49" t="s">
        <v>2352</v>
      </c>
      <c r="E3366" s="49" t="str">
        <f aca="false">"8908020441040"</f>
        <v>8908020441040</v>
      </c>
      <c r="F3366" s="49" t="s">
        <v>6876</v>
      </c>
      <c r="G3366" s="49" t="n">
        <v>0</v>
      </c>
      <c r="H3366" s="0" t="n">
        <v>0</v>
      </c>
      <c r="M3366" s="51" t="s">
        <v>6877</v>
      </c>
      <c r="N3366" s="49" t="n">
        <v>0</v>
      </c>
      <c r="O3366" s="53" t="n">
        <v>45773.3402430556</v>
      </c>
      <c r="P3366" s="53" t="n">
        <v>45883.6416319445</v>
      </c>
      <c r="Q3366" s="53" t="n">
        <v>45773.3402430556</v>
      </c>
      <c r="R3366" s="0" t="n">
        <v>0</v>
      </c>
      <c r="S3366" s="51" t="s">
        <v>2356</v>
      </c>
      <c r="T3366" s="51" t="s">
        <v>2356</v>
      </c>
      <c r="U3366" s="0" t="str">
        <f aca="false">"8908020441040"</f>
        <v>8908020441040</v>
      </c>
      <c r="V3366" s="51" t="s">
        <v>5386</v>
      </c>
      <c r="W3366" s="51" t="s">
        <v>4128</v>
      </c>
      <c r="X3366" s="51" t="s">
        <v>2359</v>
      </c>
    </row>
    <row r="3367" customFormat="false" ht="14.25" hidden="true" customHeight="false" outlineLevel="0" collapsed="false">
      <c r="A3367" s="49" t="s">
        <v>2349</v>
      </c>
      <c r="B3367" s="49" t="s">
        <v>2350</v>
      </c>
      <c r="C3367" s="49" t="s">
        <v>6878</v>
      </c>
      <c r="D3367" s="49" t="s">
        <v>2352</v>
      </c>
      <c r="E3367" s="49" t="str">
        <f aca="false">"8908020441040"</f>
        <v>8908020441040</v>
      </c>
      <c r="F3367" s="49" t="s">
        <v>6876</v>
      </c>
      <c r="G3367" s="49" t="n">
        <v>0</v>
      </c>
      <c r="H3367" s="0" t="n">
        <v>0</v>
      </c>
      <c r="M3367" s="51" t="s">
        <v>6877</v>
      </c>
      <c r="N3367" s="49" t="n">
        <v>0</v>
      </c>
      <c r="O3367" s="53" t="n">
        <v>45773.3404166667</v>
      </c>
      <c r="P3367" s="53" t="n">
        <v>45805.5218171296</v>
      </c>
      <c r="Q3367" s="53" t="n">
        <v>45773.3404166667</v>
      </c>
      <c r="R3367" s="0" t="n">
        <v>0</v>
      </c>
      <c r="S3367" s="51" t="s">
        <v>2356</v>
      </c>
      <c r="T3367" s="51" t="s">
        <v>2356</v>
      </c>
      <c r="U3367" s="0" t="str">
        <f aca="false">"8908020441040"</f>
        <v>8908020441040</v>
      </c>
      <c r="V3367" s="51" t="s">
        <v>5386</v>
      </c>
      <c r="W3367" s="51" t="s">
        <v>6879</v>
      </c>
      <c r="X3367" s="51" t="s">
        <v>2359</v>
      </c>
    </row>
    <row r="3368" customFormat="false" ht="14.25" hidden="true" customHeight="false" outlineLevel="0" collapsed="false">
      <c r="A3368" s="49" t="s">
        <v>2349</v>
      </c>
      <c r="B3368" s="49" t="s">
        <v>2350</v>
      </c>
      <c r="C3368" s="49" t="s">
        <v>6880</v>
      </c>
      <c r="D3368" s="49" t="s">
        <v>2352</v>
      </c>
      <c r="E3368" s="49" t="str">
        <f aca="false">"8908020441040"</f>
        <v>8908020441040</v>
      </c>
      <c r="F3368" s="49" t="s">
        <v>6876</v>
      </c>
      <c r="G3368" s="49" t="n">
        <v>0</v>
      </c>
      <c r="H3368" s="0" t="n">
        <v>0</v>
      </c>
      <c r="M3368" s="51" t="s">
        <v>6877</v>
      </c>
      <c r="N3368" s="49" t="n">
        <v>0</v>
      </c>
      <c r="O3368" s="53" t="n">
        <v>45773.3405787037</v>
      </c>
      <c r="P3368" s="53" t="n">
        <v>45838.5295023148</v>
      </c>
      <c r="Q3368" s="53" t="n">
        <v>45773.3405787037</v>
      </c>
      <c r="R3368" s="0" t="n">
        <v>0</v>
      </c>
      <c r="S3368" s="51" t="s">
        <v>2356</v>
      </c>
      <c r="T3368" s="51" t="s">
        <v>2356</v>
      </c>
      <c r="U3368" s="0" t="str">
        <f aca="false">"8908020441040"</f>
        <v>8908020441040</v>
      </c>
      <c r="V3368" s="51" t="s">
        <v>5386</v>
      </c>
      <c r="W3368" s="51" t="s">
        <v>6881</v>
      </c>
      <c r="X3368" s="51" t="s">
        <v>2359</v>
      </c>
    </row>
    <row r="3369" customFormat="false" ht="14.25" hidden="true" customHeight="false" outlineLevel="0" collapsed="false">
      <c r="A3369" s="49" t="s">
        <v>2349</v>
      </c>
      <c r="B3369" s="49" t="s">
        <v>2350</v>
      </c>
      <c r="C3369" s="49" t="s">
        <v>6882</v>
      </c>
      <c r="D3369" s="49" t="s">
        <v>2352</v>
      </c>
      <c r="E3369" s="49" t="str">
        <f aca="false">"8908020441040"</f>
        <v>8908020441040</v>
      </c>
      <c r="F3369" s="49" t="s">
        <v>6876</v>
      </c>
      <c r="G3369" s="49" t="n">
        <v>0</v>
      </c>
      <c r="H3369" s="0" t="n">
        <v>0</v>
      </c>
      <c r="M3369" s="51" t="s">
        <v>6877</v>
      </c>
      <c r="N3369" s="49" t="n">
        <v>0</v>
      </c>
      <c r="O3369" s="53" t="n">
        <v>45773.3407175926</v>
      </c>
      <c r="P3369" s="53" t="n">
        <v>45869.492962963</v>
      </c>
      <c r="Q3369" s="53" t="n">
        <v>45773.3407175926</v>
      </c>
      <c r="R3369" s="0" t="n">
        <v>0</v>
      </c>
      <c r="S3369" s="51" t="s">
        <v>2356</v>
      </c>
      <c r="T3369" s="51" t="s">
        <v>2356</v>
      </c>
      <c r="U3369" s="0" t="str">
        <f aca="false">"8908020441040"</f>
        <v>8908020441040</v>
      </c>
      <c r="V3369" s="51" t="s">
        <v>5386</v>
      </c>
      <c r="W3369" s="51" t="s">
        <v>4175</v>
      </c>
      <c r="X3369" s="51" t="s">
        <v>2359</v>
      </c>
    </row>
    <row r="3370" customFormat="false" ht="14.25" hidden="true" customHeight="false" outlineLevel="0" collapsed="false">
      <c r="A3370" s="49" t="s">
        <v>2349</v>
      </c>
      <c r="B3370" s="49" t="s">
        <v>2350</v>
      </c>
      <c r="C3370" s="49" t="s">
        <v>6883</v>
      </c>
      <c r="D3370" s="49" t="s">
        <v>2352</v>
      </c>
      <c r="E3370" s="49" t="str">
        <f aca="false">"8908020441040"</f>
        <v>8908020441040</v>
      </c>
      <c r="F3370" s="49" t="s">
        <v>6876</v>
      </c>
      <c r="G3370" s="49" t="n">
        <v>0</v>
      </c>
      <c r="H3370" s="0" t="n">
        <v>0</v>
      </c>
      <c r="M3370" s="51" t="s">
        <v>6877</v>
      </c>
      <c r="N3370" s="49" t="n">
        <v>0</v>
      </c>
      <c r="O3370" s="53" t="n">
        <v>45773.3408680556</v>
      </c>
      <c r="P3370" s="53" t="n">
        <v>45871.5749074074</v>
      </c>
      <c r="Q3370" s="53" t="n">
        <v>45773.3408680556</v>
      </c>
      <c r="R3370" s="0" t="n">
        <v>0</v>
      </c>
      <c r="S3370" s="51" t="s">
        <v>2356</v>
      </c>
      <c r="T3370" s="51" t="s">
        <v>2356</v>
      </c>
      <c r="U3370" s="0" t="str">
        <f aca="false">"8908020441040"</f>
        <v>8908020441040</v>
      </c>
      <c r="V3370" s="51" t="s">
        <v>5386</v>
      </c>
      <c r="W3370" s="51" t="s">
        <v>5490</v>
      </c>
      <c r="X3370" s="51" t="s">
        <v>2359</v>
      </c>
    </row>
    <row r="3371" customFormat="false" ht="14.25" hidden="true" customHeight="false" outlineLevel="0" collapsed="false">
      <c r="A3371" s="49" t="s">
        <v>2349</v>
      </c>
      <c r="B3371" s="49" t="s">
        <v>2350</v>
      </c>
      <c r="C3371" s="49" t="s">
        <v>6884</v>
      </c>
      <c r="D3371" s="49" t="s">
        <v>2352</v>
      </c>
      <c r="E3371" s="49" t="str">
        <f aca="false">"8908020441040"</f>
        <v>8908020441040</v>
      </c>
      <c r="F3371" s="49" t="s">
        <v>6876</v>
      </c>
      <c r="G3371" s="49" t="n">
        <v>0</v>
      </c>
      <c r="H3371" s="0" t="n">
        <v>0</v>
      </c>
      <c r="M3371" s="51" t="s">
        <v>6877</v>
      </c>
      <c r="N3371" s="49" t="n">
        <v>0</v>
      </c>
      <c r="O3371" s="53" t="n">
        <v>45773.3410069444</v>
      </c>
      <c r="P3371" s="53" t="n">
        <v>45820.4746296296</v>
      </c>
      <c r="Q3371" s="53" t="n">
        <v>45773.3410069444</v>
      </c>
      <c r="R3371" s="0" t="n">
        <v>0</v>
      </c>
      <c r="S3371" s="51" t="s">
        <v>2356</v>
      </c>
      <c r="T3371" s="51" t="s">
        <v>2356</v>
      </c>
      <c r="U3371" s="0" t="str">
        <f aca="false">"8908020441040"</f>
        <v>8908020441040</v>
      </c>
      <c r="V3371" s="51" t="s">
        <v>5386</v>
      </c>
      <c r="W3371" s="51" t="s">
        <v>6879</v>
      </c>
      <c r="X3371" s="51" t="s">
        <v>2359</v>
      </c>
    </row>
    <row r="3372" customFormat="false" ht="14.25" hidden="true" customHeight="false" outlineLevel="0" collapsed="false">
      <c r="A3372" s="49" t="s">
        <v>2349</v>
      </c>
      <c r="B3372" s="49" t="s">
        <v>2350</v>
      </c>
      <c r="C3372" s="49" t="s">
        <v>6885</v>
      </c>
      <c r="D3372" s="49" t="s">
        <v>2352</v>
      </c>
      <c r="E3372" s="49" t="str">
        <f aca="false">"8908020441040"</f>
        <v>8908020441040</v>
      </c>
      <c r="F3372" s="49" t="s">
        <v>6876</v>
      </c>
      <c r="G3372" s="49" t="n">
        <v>0</v>
      </c>
      <c r="H3372" s="0" t="n">
        <v>0</v>
      </c>
      <c r="M3372" s="51" t="s">
        <v>6877</v>
      </c>
      <c r="N3372" s="49" t="n">
        <v>0</v>
      </c>
      <c r="O3372" s="53" t="n">
        <v>45773.3411689815</v>
      </c>
      <c r="P3372" s="53" t="n">
        <v>45812.7337615741</v>
      </c>
      <c r="Q3372" s="53" t="n">
        <v>45773.3411689815</v>
      </c>
      <c r="R3372" s="0" t="n">
        <v>0</v>
      </c>
      <c r="S3372" s="51" t="s">
        <v>2356</v>
      </c>
      <c r="T3372" s="51" t="s">
        <v>2356</v>
      </c>
      <c r="U3372" s="0" t="str">
        <f aca="false">"8908020441040"</f>
        <v>8908020441040</v>
      </c>
      <c r="V3372" s="51" t="s">
        <v>5386</v>
      </c>
      <c r="W3372" s="51" t="s">
        <v>4132</v>
      </c>
      <c r="X3372" s="51" t="s">
        <v>2359</v>
      </c>
    </row>
    <row r="3373" customFormat="false" ht="14.25" hidden="true" customHeight="false" outlineLevel="0" collapsed="false">
      <c r="A3373" s="49" t="s">
        <v>2349</v>
      </c>
      <c r="B3373" s="49" t="s">
        <v>2350</v>
      </c>
      <c r="C3373" s="49" t="s">
        <v>6886</v>
      </c>
      <c r="D3373" s="49" t="s">
        <v>2352</v>
      </c>
      <c r="E3373" s="49" t="str">
        <f aca="false">"8908020441040"</f>
        <v>8908020441040</v>
      </c>
      <c r="F3373" s="49" t="s">
        <v>6876</v>
      </c>
      <c r="G3373" s="49" t="n">
        <v>0</v>
      </c>
      <c r="H3373" s="0" t="n">
        <v>0</v>
      </c>
      <c r="M3373" s="51" t="s">
        <v>6877</v>
      </c>
      <c r="N3373" s="49" t="n">
        <v>0</v>
      </c>
      <c r="O3373" s="53" t="n">
        <v>45773.3385648148</v>
      </c>
      <c r="P3373" s="53" t="n">
        <v>45831.848275463</v>
      </c>
      <c r="Q3373" s="53" t="n">
        <v>45773.3385648148</v>
      </c>
      <c r="R3373" s="0" t="n">
        <v>0</v>
      </c>
      <c r="S3373" s="51" t="s">
        <v>2356</v>
      </c>
      <c r="T3373" s="51" t="s">
        <v>2356</v>
      </c>
      <c r="U3373" s="0" t="str">
        <f aca="false">"8908020441040"</f>
        <v>8908020441040</v>
      </c>
      <c r="V3373" s="51" t="s">
        <v>5386</v>
      </c>
      <c r="W3373" s="51" t="s">
        <v>6879</v>
      </c>
      <c r="X3373" s="51" t="s">
        <v>2359</v>
      </c>
    </row>
    <row r="3374" customFormat="false" ht="14.25" hidden="true" customHeight="false" outlineLevel="0" collapsed="false">
      <c r="A3374" s="49" t="s">
        <v>2349</v>
      </c>
      <c r="B3374" s="49" t="s">
        <v>2350</v>
      </c>
      <c r="C3374" s="49" t="s">
        <v>6887</v>
      </c>
      <c r="D3374" s="49" t="s">
        <v>2352</v>
      </c>
      <c r="E3374" s="49" t="str">
        <f aca="false">"8908020441040"</f>
        <v>8908020441040</v>
      </c>
      <c r="F3374" s="49" t="s">
        <v>6876</v>
      </c>
      <c r="G3374" s="49" t="n">
        <v>0</v>
      </c>
      <c r="H3374" s="0" t="n">
        <v>0</v>
      </c>
      <c r="M3374" s="51" t="s">
        <v>6877</v>
      </c>
      <c r="N3374" s="49" t="n">
        <v>0</v>
      </c>
      <c r="O3374" s="53" t="n">
        <v>45773.3389583333</v>
      </c>
      <c r="P3374" s="53" t="n">
        <v>45858.6437847222</v>
      </c>
      <c r="Q3374" s="53" t="n">
        <v>45773.3389583333</v>
      </c>
      <c r="R3374" s="0" t="n">
        <v>0</v>
      </c>
      <c r="S3374" s="51" t="s">
        <v>2356</v>
      </c>
      <c r="T3374" s="51" t="s">
        <v>2356</v>
      </c>
      <c r="U3374" s="0" t="str">
        <f aca="false">"8908020441040"</f>
        <v>8908020441040</v>
      </c>
      <c r="V3374" s="51" t="s">
        <v>5386</v>
      </c>
      <c r="W3374" s="51" t="s">
        <v>6888</v>
      </c>
      <c r="X3374" s="51" t="s">
        <v>2359</v>
      </c>
    </row>
    <row r="3375" customFormat="false" ht="14.25" hidden="true" customHeight="false" outlineLevel="0" collapsed="false">
      <c r="A3375" s="49" t="s">
        <v>2349</v>
      </c>
      <c r="B3375" s="49" t="s">
        <v>2350</v>
      </c>
      <c r="C3375" s="49" t="s">
        <v>6889</v>
      </c>
      <c r="D3375" s="49" t="s">
        <v>2352</v>
      </c>
      <c r="E3375" s="49" t="str">
        <f aca="false">"8908020441040"</f>
        <v>8908020441040</v>
      </c>
      <c r="F3375" s="49" t="s">
        <v>6876</v>
      </c>
      <c r="G3375" s="49" t="n">
        <v>0</v>
      </c>
      <c r="H3375" s="0" t="n">
        <v>0</v>
      </c>
      <c r="M3375" s="51" t="s">
        <v>6877</v>
      </c>
      <c r="N3375" s="49" t="n">
        <v>0</v>
      </c>
      <c r="O3375" s="53" t="n">
        <v>45773.3391898148</v>
      </c>
      <c r="P3375" s="53" t="n">
        <v>45871.5749768519</v>
      </c>
      <c r="Q3375" s="53" t="n">
        <v>45773.3391898148</v>
      </c>
      <c r="R3375" s="0" t="n">
        <v>0</v>
      </c>
      <c r="S3375" s="51" t="s">
        <v>2356</v>
      </c>
      <c r="T3375" s="51" t="s">
        <v>2356</v>
      </c>
      <c r="U3375" s="0" t="str">
        <f aca="false">"8908020441040"</f>
        <v>8908020441040</v>
      </c>
      <c r="V3375" s="51" t="s">
        <v>5386</v>
      </c>
      <c r="W3375" s="51" t="s">
        <v>5388</v>
      </c>
      <c r="X3375" s="51" t="s">
        <v>2359</v>
      </c>
    </row>
    <row r="3376" customFormat="false" ht="14.25" hidden="true" customHeight="false" outlineLevel="0" collapsed="false">
      <c r="A3376" s="49" t="s">
        <v>2349</v>
      </c>
      <c r="B3376" s="49" t="s">
        <v>2350</v>
      </c>
      <c r="C3376" s="49" t="s">
        <v>6890</v>
      </c>
      <c r="D3376" s="49" t="s">
        <v>2352</v>
      </c>
      <c r="E3376" s="49" t="str">
        <f aca="false">"8908020441040"</f>
        <v>8908020441040</v>
      </c>
      <c r="F3376" s="49" t="s">
        <v>6876</v>
      </c>
      <c r="G3376" s="49" t="n">
        <v>0</v>
      </c>
      <c r="H3376" s="0" t="n">
        <v>0</v>
      </c>
      <c r="M3376" s="51" t="s">
        <v>6877</v>
      </c>
      <c r="N3376" s="49" t="n">
        <v>0</v>
      </c>
      <c r="O3376" s="53" t="n">
        <v>45773.3394560185</v>
      </c>
      <c r="P3376" s="53" t="n">
        <v>45888.3036805556</v>
      </c>
      <c r="Q3376" s="53" t="n">
        <v>45773.3394560185</v>
      </c>
      <c r="R3376" s="0" t="n">
        <v>0</v>
      </c>
      <c r="S3376" s="51" t="s">
        <v>2356</v>
      </c>
      <c r="T3376" s="51" t="s">
        <v>2356</v>
      </c>
      <c r="U3376" s="0" t="str">
        <f aca="false">"8908020441040"</f>
        <v>8908020441040</v>
      </c>
      <c r="V3376" s="51" t="s">
        <v>5386</v>
      </c>
      <c r="W3376" s="51" t="s">
        <v>4154</v>
      </c>
      <c r="X3376" s="51" t="s">
        <v>2359</v>
      </c>
    </row>
    <row r="3377" customFormat="false" ht="14.25" hidden="true" customHeight="false" outlineLevel="0" collapsed="false">
      <c r="A3377" s="49" t="s">
        <v>2349</v>
      </c>
      <c r="B3377" s="49" t="s">
        <v>2350</v>
      </c>
      <c r="C3377" s="49" t="s">
        <v>6891</v>
      </c>
      <c r="D3377" s="49" t="s">
        <v>2352</v>
      </c>
      <c r="E3377" s="49" t="str">
        <f aca="false">"8908020441040"</f>
        <v>8908020441040</v>
      </c>
      <c r="F3377" s="49" t="s">
        <v>6876</v>
      </c>
      <c r="G3377" s="49" t="n">
        <v>0</v>
      </c>
      <c r="H3377" s="0" t="n">
        <v>0</v>
      </c>
      <c r="M3377" s="51" t="s">
        <v>6877</v>
      </c>
      <c r="N3377" s="49" t="n">
        <v>0</v>
      </c>
      <c r="O3377" s="53" t="n">
        <v>45773.3396412037</v>
      </c>
      <c r="P3377" s="53" t="n">
        <v>45844.6404398148</v>
      </c>
      <c r="Q3377" s="53" t="n">
        <v>45773.3396412037</v>
      </c>
      <c r="R3377" s="0" t="n">
        <v>0</v>
      </c>
      <c r="S3377" s="51" t="s">
        <v>2356</v>
      </c>
      <c r="T3377" s="51" t="s">
        <v>2356</v>
      </c>
      <c r="U3377" s="0" t="str">
        <f aca="false">"8908020441040"</f>
        <v>8908020441040</v>
      </c>
      <c r="V3377" s="51" t="s">
        <v>5386</v>
      </c>
      <c r="W3377" s="51" t="s">
        <v>5917</v>
      </c>
      <c r="X3377" s="51" t="s">
        <v>2359</v>
      </c>
    </row>
    <row r="3378" customFormat="false" ht="14.25" hidden="true" customHeight="false" outlineLevel="0" collapsed="false">
      <c r="A3378" s="49" t="s">
        <v>2349</v>
      </c>
      <c r="B3378" s="49" t="s">
        <v>2350</v>
      </c>
      <c r="C3378" s="49" t="s">
        <v>6892</v>
      </c>
      <c r="D3378" s="49" t="s">
        <v>2352</v>
      </c>
      <c r="E3378" s="49" t="str">
        <f aca="false">"8908020441040"</f>
        <v>8908020441040</v>
      </c>
      <c r="F3378" s="49" t="s">
        <v>6876</v>
      </c>
      <c r="G3378" s="49" t="n">
        <v>0</v>
      </c>
      <c r="H3378" s="0" t="n">
        <v>0</v>
      </c>
      <c r="M3378" s="51" t="s">
        <v>6877</v>
      </c>
      <c r="N3378" s="49" t="n">
        <v>0</v>
      </c>
      <c r="O3378" s="53" t="n">
        <v>45773.3398032407</v>
      </c>
      <c r="P3378" s="53" t="n">
        <v>45918.3041435185</v>
      </c>
      <c r="Q3378" s="53" t="n">
        <v>45773.3398032407</v>
      </c>
      <c r="R3378" s="0" t="n">
        <v>0</v>
      </c>
      <c r="S3378" s="51" t="s">
        <v>2356</v>
      </c>
      <c r="T3378" s="51" t="s">
        <v>2356</v>
      </c>
      <c r="U3378" s="0" t="str">
        <f aca="false">"8908020441040"</f>
        <v>8908020441040</v>
      </c>
      <c r="V3378" s="51" t="s">
        <v>5386</v>
      </c>
      <c r="W3378" s="51" t="s">
        <v>6860</v>
      </c>
      <c r="X3378" s="51" t="s">
        <v>2359</v>
      </c>
    </row>
    <row r="3379" customFormat="false" ht="14.25" hidden="true" customHeight="false" outlineLevel="0" collapsed="false">
      <c r="A3379" s="49" t="s">
        <v>2349</v>
      </c>
      <c r="B3379" s="49" t="s">
        <v>2350</v>
      </c>
      <c r="C3379" s="49" t="s">
        <v>6893</v>
      </c>
      <c r="D3379" s="49" t="s">
        <v>2352</v>
      </c>
      <c r="E3379" s="49" t="str">
        <f aca="false">"8908020441040"</f>
        <v>8908020441040</v>
      </c>
      <c r="F3379" s="49" t="s">
        <v>6876</v>
      </c>
      <c r="G3379" s="49" t="n">
        <v>0</v>
      </c>
      <c r="H3379" s="0" t="n">
        <v>0</v>
      </c>
      <c r="M3379" s="51" t="s">
        <v>6877</v>
      </c>
      <c r="N3379" s="49" t="n">
        <v>0</v>
      </c>
      <c r="O3379" s="53" t="n">
        <v>45773.3399768519</v>
      </c>
      <c r="P3379" s="53" t="n">
        <v>45901.6569791667</v>
      </c>
      <c r="Q3379" s="53" t="n">
        <v>45773.3399768519</v>
      </c>
      <c r="R3379" s="0" t="n">
        <v>0</v>
      </c>
      <c r="S3379" s="51" t="s">
        <v>2356</v>
      </c>
      <c r="T3379" s="51" t="s">
        <v>2356</v>
      </c>
      <c r="U3379" s="0" t="str">
        <f aca="false">"8908020441040"</f>
        <v>8908020441040</v>
      </c>
      <c r="V3379" s="51" t="s">
        <v>5386</v>
      </c>
      <c r="W3379" s="51" t="s">
        <v>4154</v>
      </c>
      <c r="X3379" s="51" t="s">
        <v>2359</v>
      </c>
    </row>
    <row r="3380" customFormat="false" ht="14.25" hidden="true" customHeight="false" outlineLevel="0" collapsed="false">
      <c r="A3380" s="49" t="s">
        <v>2349</v>
      </c>
      <c r="B3380" s="49" t="s">
        <v>2350</v>
      </c>
      <c r="C3380" s="49" t="s">
        <v>6894</v>
      </c>
      <c r="D3380" s="49" t="s">
        <v>2352</v>
      </c>
      <c r="E3380" s="49" t="str">
        <f aca="false">"5060458890191"</f>
        <v>5060458890191</v>
      </c>
      <c r="F3380" s="49" t="s">
        <v>3656</v>
      </c>
      <c r="G3380" s="49" t="n">
        <v>0</v>
      </c>
      <c r="H3380" s="0" t="n">
        <v>0</v>
      </c>
      <c r="M3380" s="51" t="s">
        <v>6895</v>
      </c>
      <c r="N3380" s="49" t="n">
        <v>0</v>
      </c>
      <c r="O3380" s="53" t="n">
        <v>45769.6502777778</v>
      </c>
      <c r="P3380" s="53" t="n">
        <v>45776.8990277778</v>
      </c>
      <c r="Q3380" s="53" t="n">
        <v>45769.6502777778</v>
      </c>
      <c r="R3380" s="0" t="n">
        <v>0</v>
      </c>
      <c r="S3380" s="51" t="s">
        <v>2416</v>
      </c>
      <c r="T3380" s="51" t="s">
        <v>2416</v>
      </c>
      <c r="U3380" s="0" t="str">
        <f aca="false">"5060458890191"</f>
        <v>5060458890191</v>
      </c>
      <c r="V3380" s="51" t="s">
        <v>2142</v>
      </c>
      <c r="W3380" s="51" t="s">
        <v>4425</v>
      </c>
      <c r="X3380" s="51" t="s">
        <v>2359</v>
      </c>
    </row>
    <row r="3381" customFormat="false" ht="14.25" hidden="true" customHeight="false" outlineLevel="0" collapsed="false">
      <c r="A3381" s="49" t="s">
        <v>2349</v>
      </c>
      <c r="B3381" s="49" t="s">
        <v>2350</v>
      </c>
      <c r="C3381" s="49" t="s">
        <v>6896</v>
      </c>
      <c r="D3381" s="49" t="s">
        <v>2352</v>
      </c>
      <c r="E3381" s="49" t="str">
        <f aca="false">"5060458890191"</f>
        <v>5060458890191</v>
      </c>
      <c r="F3381" s="49" t="s">
        <v>3656</v>
      </c>
      <c r="G3381" s="49" t="n">
        <v>0</v>
      </c>
      <c r="H3381" s="0" t="n">
        <v>0</v>
      </c>
      <c r="M3381" s="51" t="s">
        <v>6895</v>
      </c>
      <c r="N3381" s="49" t="n">
        <v>0</v>
      </c>
      <c r="O3381" s="53" t="n">
        <v>45769.6504513889</v>
      </c>
      <c r="P3381" s="53" t="n">
        <v>45798.8867939815</v>
      </c>
      <c r="Q3381" s="53" t="n">
        <v>45769.6504513889</v>
      </c>
      <c r="R3381" s="0" t="n">
        <v>0</v>
      </c>
      <c r="S3381" s="51" t="s">
        <v>2416</v>
      </c>
      <c r="T3381" s="51" t="s">
        <v>2416</v>
      </c>
      <c r="U3381" s="0" t="str">
        <f aca="false">"5060458890191"</f>
        <v>5060458890191</v>
      </c>
      <c r="V3381" s="51" t="s">
        <v>2142</v>
      </c>
      <c r="W3381" s="51" t="s">
        <v>4849</v>
      </c>
      <c r="X3381" s="51" t="s">
        <v>2359</v>
      </c>
    </row>
    <row r="3382" customFormat="false" ht="14.25" hidden="true" customHeight="false" outlineLevel="0" collapsed="false">
      <c r="A3382" s="49" t="s">
        <v>2349</v>
      </c>
      <c r="B3382" s="49" t="s">
        <v>2350</v>
      </c>
      <c r="C3382" s="49" t="s">
        <v>6897</v>
      </c>
      <c r="D3382" s="49" t="s">
        <v>2352</v>
      </c>
      <c r="E3382" s="49" t="str">
        <f aca="false">"5060458890191"</f>
        <v>5060458890191</v>
      </c>
      <c r="F3382" s="49" t="s">
        <v>3656</v>
      </c>
      <c r="G3382" s="49" t="n">
        <v>0</v>
      </c>
      <c r="H3382" s="0" t="n">
        <v>0</v>
      </c>
      <c r="M3382" s="51" t="s">
        <v>6895</v>
      </c>
      <c r="N3382" s="49" t="n">
        <v>0</v>
      </c>
      <c r="O3382" s="53" t="n">
        <v>45769.650625</v>
      </c>
      <c r="P3382" s="53" t="n">
        <v>45801.4913425926</v>
      </c>
      <c r="Q3382" s="53" t="n">
        <v>45769.650625</v>
      </c>
      <c r="R3382" s="0" t="n">
        <v>0</v>
      </c>
      <c r="S3382" s="51" t="s">
        <v>2416</v>
      </c>
      <c r="T3382" s="51" t="s">
        <v>2416</v>
      </c>
      <c r="U3382" s="0" t="str">
        <f aca="false">"5060458890191"</f>
        <v>5060458890191</v>
      </c>
      <c r="V3382" s="51" t="s">
        <v>2142</v>
      </c>
      <c r="W3382" s="51" t="s">
        <v>6002</v>
      </c>
      <c r="X3382" s="51" t="s">
        <v>2359</v>
      </c>
    </row>
    <row r="3383" customFormat="false" ht="14.25" hidden="true" customHeight="false" outlineLevel="0" collapsed="false">
      <c r="A3383" s="49" t="s">
        <v>2349</v>
      </c>
      <c r="B3383" s="49" t="s">
        <v>2350</v>
      </c>
      <c r="C3383" s="49" t="s">
        <v>6898</v>
      </c>
      <c r="D3383" s="49" t="s">
        <v>2352</v>
      </c>
      <c r="E3383" s="49" t="str">
        <f aca="false">"5060458890191"</f>
        <v>5060458890191</v>
      </c>
      <c r="F3383" s="49" t="s">
        <v>3656</v>
      </c>
      <c r="G3383" s="49" t="n">
        <v>0</v>
      </c>
      <c r="H3383" s="0" t="n">
        <v>0</v>
      </c>
      <c r="M3383" s="51" t="s">
        <v>6895</v>
      </c>
      <c r="N3383" s="49" t="n">
        <v>0</v>
      </c>
      <c r="O3383" s="53" t="n">
        <v>45769.6507407407</v>
      </c>
      <c r="P3383" s="53" t="n">
        <v>45777.4742013889</v>
      </c>
      <c r="Q3383" s="53" t="n">
        <v>45769.6507407407</v>
      </c>
      <c r="R3383" s="0" t="n">
        <v>0</v>
      </c>
      <c r="S3383" s="51" t="s">
        <v>2416</v>
      </c>
      <c r="T3383" s="51" t="s">
        <v>2416</v>
      </c>
      <c r="U3383" s="0" t="str">
        <f aca="false">"5060458890191"</f>
        <v>5060458890191</v>
      </c>
      <c r="V3383" s="51" t="s">
        <v>2142</v>
      </c>
      <c r="W3383" s="51" t="s">
        <v>4397</v>
      </c>
      <c r="X3383" s="51" t="s">
        <v>2359</v>
      </c>
    </row>
    <row r="3384" customFormat="false" ht="14.25" hidden="true" customHeight="false" outlineLevel="0" collapsed="false">
      <c r="A3384" s="49" t="s">
        <v>2349</v>
      </c>
      <c r="B3384" s="49" t="s">
        <v>2350</v>
      </c>
      <c r="C3384" s="49" t="s">
        <v>6899</v>
      </c>
      <c r="D3384" s="49" t="s">
        <v>2352</v>
      </c>
      <c r="E3384" s="49" t="str">
        <f aca="false">"5060458890191"</f>
        <v>5060458890191</v>
      </c>
      <c r="F3384" s="49" t="s">
        <v>3656</v>
      </c>
      <c r="G3384" s="49" t="n">
        <v>0</v>
      </c>
      <c r="H3384" s="0" t="n">
        <v>0</v>
      </c>
      <c r="M3384" s="51" t="s">
        <v>6895</v>
      </c>
      <c r="N3384" s="49" t="n">
        <v>0</v>
      </c>
      <c r="O3384" s="53" t="n">
        <v>45769.6509375</v>
      </c>
      <c r="P3384" s="53" t="n">
        <v>45778.5549768519</v>
      </c>
      <c r="Q3384" s="53" t="n">
        <v>45769.6509375</v>
      </c>
      <c r="R3384" s="0" t="n">
        <v>0</v>
      </c>
      <c r="S3384" s="51" t="s">
        <v>2416</v>
      </c>
      <c r="T3384" s="51" t="s">
        <v>2416</v>
      </c>
      <c r="U3384" s="0" t="str">
        <f aca="false">"5060458890191"</f>
        <v>5060458890191</v>
      </c>
      <c r="V3384" s="51" t="s">
        <v>2142</v>
      </c>
      <c r="W3384" s="51" t="s">
        <v>4401</v>
      </c>
      <c r="X3384" s="51" t="s">
        <v>2359</v>
      </c>
    </row>
    <row r="3385" customFormat="false" ht="14.25" hidden="true" customHeight="false" outlineLevel="0" collapsed="false">
      <c r="A3385" s="49" t="s">
        <v>2349</v>
      </c>
      <c r="B3385" s="49" t="s">
        <v>2350</v>
      </c>
      <c r="C3385" s="49" t="s">
        <v>6900</v>
      </c>
      <c r="D3385" s="49" t="s">
        <v>2352</v>
      </c>
      <c r="E3385" s="49" t="str">
        <f aca="false">"5060458890191"</f>
        <v>5060458890191</v>
      </c>
      <c r="F3385" s="49" t="s">
        <v>3656</v>
      </c>
      <c r="G3385" s="49" t="n">
        <v>0</v>
      </c>
      <c r="H3385" s="0" t="n">
        <v>0</v>
      </c>
      <c r="M3385" s="51" t="s">
        <v>6895</v>
      </c>
      <c r="N3385" s="49" t="n">
        <v>0</v>
      </c>
      <c r="O3385" s="53" t="n">
        <v>45769.651099537</v>
      </c>
      <c r="P3385" s="53" t="n">
        <v>45778.5750925926</v>
      </c>
      <c r="Q3385" s="53" t="n">
        <v>45769.651099537</v>
      </c>
      <c r="R3385" s="0" t="n">
        <v>0</v>
      </c>
      <c r="S3385" s="51" t="s">
        <v>2416</v>
      </c>
      <c r="T3385" s="51" t="s">
        <v>2416</v>
      </c>
      <c r="U3385" s="0" t="str">
        <f aca="false">"5060458890191"</f>
        <v>5060458890191</v>
      </c>
      <c r="V3385" s="51" t="s">
        <v>2142</v>
      </c>
      <c r="W3385" s="51" t="s">
        <v>4409</v>
      </c>
      <c r="X3385" s="51" t="s">
        <v>2359</v>
      </c>
    </row>
    <row r="3386" customFormat="false" ht="14.25" hidden="true" customHeight="false" outlineLevel="0" collapsed="false">
      <c r="A3386" s="49" t="s">
        <v>2349</v>
      </c>
      <c r="B3386" s="49" t="s">
        <v>2350</v>
      </c>
      <c r="C3386" s="49" t="s">
        <v>6901</v>
      </c>
      <c r="D3386" s="49" t="s">
        <v>2352</v>
      </c>
      <c r="E3386" s="49" t="str">
        <f aca="false">"5060458890191"</f>
        <v>5060458890191</v>
      </c>
      <c r="F3386" s="49" t="s">
        <v>3656</v>
      </c>
      <c r="G3386" s="49" t="n">
        <v>0</v>
      </c>
      <c r="H3386" s="0" t="n">
        <v>0</v>
      </c>
      <c r="M3386" s="51" t="s">
        <v>6895</v>
      </c>
      <c r="N3386" s="49" t="n">
        <v>0</v>
      </c>
      <c r="O3386" s="53" t="n">
        <v>45769.6512268519</v>
      </c>
      <c r="P3386" s="53" t="n">
        <v>45778.5556481482</v>
      </c>
      <c r="Q3386" s="53" t="n">
        <v>45769.6512268519</v>
      </c>
      <c r="R3386" s="0" t="n">
        <v>0</v>
      </c>
      <c r="S3386" s="51" t="s">
        <v>2416</v>
      </c>
      <c r="T3386" s="51" t="s">
        <v>2416</v>
      </c>
      <c r="U3386" s="0" t="str">
        <f aca="false">"5060458890191"</f>
        <v>5060458890191</v>
      </c>
      <c r="V3386" s="51" t="s">
        <v>2142</v>
      </c>
      <c r="W3386" s="51" t="s">
        <v>6902</v>
      </c>
      <c r="X3386" s="51" t="s">
        <v>2359</v>
      </c>
    </row>
    <row r="3387" customFormat="false" ht="14.25" hidden="true" customHeight="false" outlineLevel="0" collapsed="false">
      <c r="A3387" s="49" t="s">
        <v>2349</v>
      </c>
      <c r="B3387" s="49" t="s">
        <v>2350</v>
      </c>
      <c r="C3387" s="49" t="s">
        <v>6903</v>
      </c>
      <c r="D3387" s="49" t="s">
        <v>2352</v>
      </c>
      <c r="E3387" s="49" t="str">
        <f aca="false">"5060458890191"</f>
        <v>5060458890191</v>
      </c>
      <c r="F3387" s="49" t="s">
        <v>3656</v>
      </c>
      <c r="G3387" s="49" t="n">
        <v>0</v>
      </c>
      <c r="H3387" s="0" t="n">
        <v>0</v>
      </c>
      <c r="M3387" s="51" t="s">
        <v>6895</v>
      </c>
      <c r="N3387" s="49" t="n">
        <v>0</v>
      </c>
      <c r="O3387" s="53" t="n">
        <v>45769.6513888889</v>
      </c>
      <c r="P3387" s="53" t="n">
        <v>45778.5608912037</v>
      </c>
      <c r="Q3387" s="53" t="n">
        <v>45769.6513888889</v>
      </c>
      <c r="R3387" s="0" t="n">
        <v>0</v>
      </c>
      <c r="S3387" s="51" t="s">
        <v>2416</v>
      </c>
      <c r="T3387" s="51" t="s">
        <v>2416</v>
      </c>
      <c r="U3387" s="0" t="str">
        <f aca="false">"5060458890191"</f>
        <v>5060458890191</v>
      </c>
      <c r="V3387" s="51" t="s">
        <v>2142</v>
      </c>
      <c r="W3387" s="51" t="s">
        <v>6513</v>
      </c>
      <c r="X3387" s="51" t="s">
        <v>2359</v>
      </c>
    </row>
    <row r="3388" customFormat="false" ht="14.25" hidden="true" customHeight="false" outlineLevel="0" collapsed="false">
      <c r="A3388" s="49" t="s">
        <v>2349</v>
      </c>
      <c r="B3388" s="49" t="s">
        <v>2350</v>
      </c>
      <c r="C3388" s="49" t="s">
        <v>6904</v>
      </c>
      <c r="D3388" s="49" t="s">
        <v>2352</v>
      </c>
      <c r="E3388" s="49" t="str">
        <f aca="false">"5060458890191"</f>
        <v>5060458890191</v>
      </c>
      <c r="F3388" s="49" t="s">
        <v>3656</v>
      </c>
      <c r="G3388" s="49" t="n">
        <v>0</v>
      </c>
      <c r="H3388" s="0" t="n">
        <v>0</v>
      </c>
      <c r="M3388" s="51" t="s">
        <v>6895</v>
      </c>
      <c r="N3388" s="49" t="n">
        <v>0</v>
      </c>
      <c r="O3388" s="53" t="n">
        <v>45769.6515393519</v>
      </c>
      <c r="P3388" s="53" t="n">
        <v>45778.5603935185</v>
      </c>
      <c r="Q3388" s="53" t="n">
        <v>45769.6515393519</v>
      </c>
      <c r="R3388" s="0" t="n">
        <v>0</v>
      </c>
      <c r="S3388" s="51" t="s">
        <v>2416</v>
      </c>
      <c r="T3388" s="51" t="s">
        <v>2416</v>
      </c>
      <c r="U3388" s="0" t="str">
        <f aca="false">"5060458890191"</f>
        <v>5060458890191</v>
      </c>
      <c r="V3388" s="51" t="s">
        <v>2142</v>
      </c>
      <c r="W3388" s="51" t="s">
        <v>6511</v>
      </c>
      <c r="X3388" s="51" t="s">
        <v>2359</v>
      </c>
    </row>
    <row r="3389" customFormat="false" ht="14.25" hidden="true" customHeight="false" outlineLevel="0" collapsed="false">
      <c r="A3389" s="49" t="s">
        <v>2349</v>
      </c>
      <c r="B3389" s="49" t="s">
        <v>2350</v>
      </c>
      <c r="C3389" s="49" t="s">
        <v>6905</v>
      </c>
      <c r="D3389" s="49" t="s">
        <v>2352</v>
      </c>
      <c r="E3389" s="49" t="str">
        <f aca="false">"5060458890191"</f>
        <v>5060458890191</v>
      </c>
      <c r="F3389" s="49" t="s">
        <v>3656</v>
      </c>
      <c r="G3389" s="49" t="n">
        <v>0</v>
      </c>
      <c r="H3389" s="0" t="n">
        <v>0</v>
      </c>
      <c r="M3389" s="51" t="s">
        <v>6895</v>
      </c>
      <c r="N3389" s="49" t="n">
        <v>0</v>
      </c>
      <c r="O3389" s="53" t="n">
        <v>45769.6530092593</v>
      </c>
      <c r="P3389" s="53" t="n">
        <v>45778.5754976852</v>
      </c>
      <c r="Q3389" s="53" t="n">
        <v>45769.6530092593</v>
      </c>
      <c r="R3389" s="0" t="n">
        <v>0</v>
      </c>
      <c r="S3389" s="51" t="s">
        <v>2416</v>
      </c>
      <c r="T3389" s="51" t="s">
        <v>2416</v>
      </c>
      <c r="U3389" s="0" t="str">
        <f aca="false">"5060458890191"</f>
        <v>5060458890191</v>
      </c>
      <c r="V3389" s="51" t="s">
        <v>2142</v>
      </c>
      <c r="W3389" s="51" t="s">
        <v>6495</v>
      </c>
      <c r="X3389" s="51" t="s">
        <v>2359</v>
      </c>
    </row>
    <row r="3390" customFormat="false" ht="14.25" hidden="true" customHeight="false" outlineLevel="0" collapsed="false">
      <c r="A3390" s="49" t="s">
        <v>2349</v>
      </c>
      <c r="B3390" s="49" t="s">
        <v>2350</v>
      </c>
      <c r="C3390" s="49" t="s">
        <v>6906</v>
      </c>
      <c r="D3390" s="49" t="s">
        <v>2352</v>
      </c>
      <c r="E3390" s="49" t="str">
        <f aca="false">"5060458890191"</f>
        <v>5060458890191</v>
      </c>
      <c r="F3390" s="49" t="s">
        <v>3656</v>
      </c>
      <c r="G3390" s="49" t="n">
        <v>0</v>
      </c>
      <c r="H3390" s="0" t="n">
        <v>0</v>
      </c>
      <c r="M3390" s="51" t="s">
        <v>6895</v>
      </c>
      <c r="N3390" s="49" t="n">
        <v>0</v>
      </c>
      <c r="O3390" s="53" t="n">
        <v>45769.6531481482</v>
      </c>
      <c r="P3390" s="53" t="n">
        <v>45778.5557523148</v>
      </c>
      <c r="Q3390" s="53" t="n">
        <v>45769.6531481482</v>
      </c>
      <c r="R3390" s="0" t="n">
        <v>0</v>
      </c>
      <c r="S3390" s="51" t="s">
        <v>2416</v>
      </c>
      <c r="T3390" s="51" t="s">
        <v>2416</v>
      </c>
      <c r="U3390" s="0" t="str">
        <f aca="false">"5060458890191"</f>
        <v>5060458890191</v>
      </c>
      <c r="V3390" s="51" t="s">
        <v>2142</v>
      </c>
      <c r="W3390" s="51" t="s">
        <v>6499</v>
      </c>
      <c r="X3390" s="51" t="s">
        <v>2359</v>
      </c>
    </row>
    <row r="3391" customFormat="false" ht="14.25" hidden="true" customHeight="false" outlineLevel="0" collapsed="false">
      <c r="A3391" s="49" t="s">
        <v>2349</v>
      </c>
      <c r="B3391" s="49" t="s">
        <v>2350</v>
      </c>
      <c r="C3391" s="49" t="s">
        <v>6907</v>
      </c>
      <c r="D3391" s="49" t="s">
        <v>2352</v>
      </c>
      <c r="E3391" s="49" t="str">
        <f aca="false">"5060458890191"</f>
        <v>5060458890191</v>
      </c>
      <c r="F3391" s="49" t="s">
        <v>3656</v>
      </c>
      <c r="G3391" s="49" t="n">
        <v>0</v>
      </c>
      <c r="H3391" s="0" t="n">
        <v>0</v>
      </c>
      <c r="M3391" s="51" t="s">
        <v>6895</v>
      </c>
      <c r="N3391" s="49" t="n">
        <v>0</v>
      </c>
      <c r="O3391" s="53" t="n">
        <v>45769.6532407407</v>
      </c>
      <c r="P3391" s="53" t="n">
        <v>45778.5562615741</v>
      </c>
      <c r="Q3391" s="53" t="n">
        <v>45769.6532407407</v>
      </c>
      <c r="R3391" s="0" t="n">
        <v>0</v>
      </c>
      <c r="S3391" s="51" t="s">
        <v>2416</v>
      </c>
      <c r="T3391" s="51" t="s">
        <v>2416</v>
      </c>
      <c r="U3391" s="0" t="str">
        <f aca="false">"5060458890191"</f>
        <v>5060458890191</v>
      </c>
      <c r="V3391" s="51" t="s">
        <v>2142</v>
      </c>
      <c r="W3391" s="51" t="s">
        <v>4696</v>
      </c>
      <c r="X3391" s="51" t="s">
        <v>2359</v>
      </c>
    </row>
    <row r="3392" customFormat="false" ht="14.25" hidden="true" customHeight="false" outlineLevel="0" collapsed="false">
      <c r="A3392" s="49" t="s">
        <v>2349</v>
      </c>
      <c r="B3392" s="49" t="s">
        <v>2350</v>
      </c>
      <c r="C3392" s="49" t="s">
        <v>6908</v>
      </c>
      <c r="D3392" s="49" t="s">
        <v>2352</v>
      </c>
      <c r="E3392" s="49" t="str">
        <f aca="false">"5060458890191"</f>
        <v>5060458890191</v>
      </c>
      <c r="F3392" s="49" t="s">
        <v>3656</v>
      </c>
      <c r="G3392" s="49" t="n">
        <v>0</v>
      </c>
      <c r="H3392" s="0" t="n">
        <v>0</v>
      </c>
      <c r="M3392" s="51" t="s">
        <v>6895</v>
      </c>
      <c r="N3392" s="49" t="n">
        <v>0</v>
      </c>
      <c r="O3392" s="53" t="n">
        <v>45769.6533680556</v>
      </c>
      <c r="P3392" s="53" t="n">
        <v>45778.7633333333</v>
      </c>
      <c r="Q3392" s="53" t="n">
        <v>45769.6533680556</v>
      </c>
      <c r="R3392" s="0" t="n">
        <v>0</v>
      </c>
      <c r="S3392" s="51" t="s">
        <v>2416</v>
      </c>
      <c r="T3392" s="51" t="s">
        <v>2416</v>
      </c>
      <c r="U3392" s="0" t="str">
        <f aca="false">"5060458890191"</f>
        <v>5060458890191</v>
      </c>
      <c r="V3392" s="51" t="s">
        <v>2142</v>
      </c>
      <c r="W3392" s="51" t="s">
        <v>6121</v>
      </c>
      <c r="X3392" s="51" t="s">
        <v>2359</v>
      </c>
    </row>
    <row r="3393" customFormat="false" ht="14.25" hidden="true" customHeight="false" outlineLevel="0" collapsed="false">
      <c r="A3393" s="49" t="s">
        <v>2349</v>
      </c>
      <c r="B3393" s="49" t="s">
        <v>2350</v>
      </c>
      <c r="C3393" s="49" t="s">
        <v>6909</v>
      </c>
      <c r="D3393" s="49" t="s">
        <v>2352</v>
      </c>
      <c r="E3393" s="49" t="str">
        <f aca="false">"5060458890191"</f>
        <v>5060458890191</v>
      </c>
      <c r="F3393" s="49" t="s">
        <v>3656</v>
      </c>
      <c r="G3393" s="49" t="n">
        <v>0</v>
      </c>
      <c r="H3393" s="0" t="n">
        <v>0</v>
      </c>
      <c r="M3393" s="51" t="s">
        <v>6895</v>
      </c>
      <c r="N3393" s="49" t="n">
        <v>0</v>
      </c>
      <c r="O3393" s="53" t="n">
        <v>45769.6534953704</v>
      </c>
      <c r="P3393" s="53" t="n">
        <v>45778.7649421296</v>
      </c>
      <c r="Q3393" s="53" t="n">
        <v>45769.6534953704</v>
      </c>
      <c r="R3393" s="0" t="n">
        <v>0</v>
      </c>
      <c r="S3393" s="51" t="s">
        <v>2416</v>
      </c>
      <c r="T3393" s="51" t="s">
        <v>2416</v>
      </c>
      <c r="U3393" s="0" t="str">
        <f aca="false">"5060458890191"</f>
        <v>5060458890191</v>
      </c>
      <c r="V3393" s="51" t="s">
        <v>2142</v>
      </c>
      <c r="W3393" s="51" t="s">
        <v>6101</v>
      </c>
      <c r="X3393" s="51" t="s">
        <v>2359</v>
      </c>
    </row>
    <row r="3394" customFormat="false" ht="14.25" hidden="true" customHeight="false" outlineLevel="0" collapsed="false">
      <c r="A3394" s="49" t="s">
        <v>2349</v>
      </c>
      <c r="B3394" s="49" t="s">
        <v>2350</v>
      </c>
      <c r="C3394" s="49" t="s">
        <v>6910</v>
      </c>
      <c r="D3394" s="49" t="s">
        <v>2352</v>
      </c>
      <c r="E3394" s="49" t="str">
        <f aca="false">"5060458890191"</f>
        <v>5060458890191</v>
      </c>
      <c r="F3394" s="49" t="s">
        <v>3656</v>
      </c>
      <c r="G3394" s="49" t="n">
        <v>0</v>
      </c>
      <c r="H3394" s="0" t="n">
        <v>0</v>
      </c>
      <c r="M3394" s="51" t="s">
        <v>6895</v>
      </c>
      <c r="N3394" s="49" t="n">
        <v>0</v>
      </c>
      <c r="O3394" s="53" t="n">
        <v>45769.6536342593</v>
      </c>
      <c r="P3394" s="53" t="n">
        <v>45778.5589351852</v>
      </c>
      <c r="Q3394" s="53" t="n">
        <v>45769.6536226852</v>
      </c>
      <c r="R3394" s="0" t="n">
        <v>0</v>
      </c>
      <c r="S3394" s="51" t="s">
        <v>2416</v>
      </c>
      <c r="T3394" s="51" t="s">
        <v>2416</v>
      </c>
      <c r="U3394" s="0" t="str">
        <f aca="false">"5060458890191"</f>
        <v>5060458890191</v>
      </c>
      <c r="V3394" s="51" t="s">
        <v>2142</v>
      </c>
      <c r="W3394" s="51" t="s">
        <v>6084</v>
      </c>
      <c r="X3394" s="51" t="s">
        <v>2359</v>
      </c>
    </row>
    <row r="3395" customFormat="false" ht="14.25" hidden="true" customHeight="false" outlineLevel="0" collapsed="false">
      <c r="A3395" s="49" t="s">
        <v>2349</v>
      </c>
      <c r="B3395" s="49" t="s">
        <v>2350</v>
      </c>
      <c r="C3395" s="49" t="s">
        <v>6911</v>
      </c>
      <c r="D3395" s="49" t="s">
        <v>2352</v>
      </c>
      <c r="E3395" s="49" t="str">
        <f aca="false">"5060458890191"</f>
        <v>5060458890191</v>
      </c>
      <c r="F3395" s="49" t="s">
        <v>3656</v>
      </c>
      <c r="G3395" s="49" t="n">
        <v>0</v>
      </c>
      <c r="H3395" s="0" t="n">
        <v>0</v>
      </c>
      <c r="M3395" s="51" t="s">
        <v>6895</v>
      </c>
      <c r="N3395" s="49" t="n">
        <v>0</v>
      </c>
      <c r="O3395" s="53" t="n">
        <v>45769.6537152778</v>
      </c>
      <c r="P3395" s="53" t="n">
        <v>45778.5585300926</v>
      </c>
      <c r="Q3395" s="53" t="n">
        <v>45769.6537152778</v>
      </c>
      <c r="R3395" s="0" t="n">
        <v>0</v>
      </c>
      <c r="S3395" s="51" t="s">
        <v>2416</v>
      </c>
      <c r="T3395" s="51" t="s">
        <v>2416</v>
      </c>
      <c r="U3395" s="0" t="str">
        <f aca="false">"5060458890191"</f>
        <v>5060458890191</v>
      </c>
      <c r="V3395" s="51" t="s">
        <v>2142</v>
      </c>
      <c r="W3395" s="51" t="s">
        <v>6912</v>
      </c>
      <c r="X3395" s="51" t="s">
        <v>2359</v>
      </c>
    </row>
    <row r="3396" customFormat="false" ht="14.25" hidden="true" customHeight="false" outlineLevel="0" collapsed="false">
      <c r="A3396" s="49" t="s">
        <v>2349</v>
      </c>
      <c r="B3396" s="49" t="s">
        <v>2350</v>
      </c>
      <c r="C3396" s="49" t="s">
        <v>6913</v>
      </c>
      <c r="D3396" s="49" t="s">
        <v>2352</v>
      </c>
      <c r="E3396" s="49" t="str">
        <f aca="false">"5060458890191"</f>
        <v>5060458890191</v>
      </c>
      <c r="F3396" s="49" t="s">
        <v>3656</v>
      </c>
      <c r="G3396" s="49" t="n">
        <v>0</v>
      </c>
      <c r="H3396" s="0" t="n">
        <v>0</v>
      </c>
      <c r="M3396" s="51" t="s">
        <v>6895</v>
      </c>
      <c r="N3396" s="49" t="n">
        <v>0</v>
      </c>
      <c r="O3396" s="53" t="n">
        <v>45769.6538078704</v>
      </c>
      <c r="P3396" s="53" t="n">
        <v>45778.5610185185</v>
      </c>
      <c r="Q3396" s="53" t="n">
        <v>45769.6538078704</v>
      </c>
      <c r="R3396" s="0" t="n">
        <v>0</v>
      </c>
      <c r="S3396" s="51" t="s">
        <v>2416</v>
      </c>
      <c r="T3396" s="51" t="s">
        <v>2416</v>
      </c>
      <c r="U3396" s="0" t="str">
        <f aca="false">"5060458890191"</f>
        <v>5060458890191</v>
      </c>
      <c r="V3396" s="51" t="s">
        <v>2142</v>
      </c>
      <c r="W3396" s="51" t="s">
        <v>4698</v>
      </c>
      <c r="X3396" s="51" t="s">
        <v>2359</v>
      </c>
    </row>
    <row r="3397" customFormat="false" ht="14.25" hidden="true" customHeight="false" outlineLevel="0" collapsed="false">
      <c r="A3397" s="49" t="s">
        <v>2349</v>
      </c>
      <c r="B3397" s="49" t="s">
        <v>2350</v>
      </c>
      <c r="C3397" s="49" t="s">
        <v>6914</v>
      </c>
      <c r="D3397" s="49" t="s">
        <v>2352</v>
      </c>
      <c r="E3397" s="49" t="str">
        <f aca="false">"5060458890191"</f>
        <v>5060458890191</v>
      </c>
      <c r="F3397" s="49" t="s">
        <v>3656</v>
      </c>
      <c r="G3397" s="49" t="n">
        <v>0</v>
      </c>
      <c r="H3397" s="0" t="n">
        <v>0</v>
      </c>
      <c r="M3397" s="51" t="s">
        <v>6895</v>
      </c>
      <c r="N3397" s="49" t="n">
        <v>0</v>
      </c>
      <c r="O3397" s="53" t="n">
        <v>45769.6538773148</v>
      </c>
      <c r="P3397" s="53" t="n">
        <v>45778.557037037</v>
      </c>
      <c r="Q3397" s="53" t="n">
        <v>45769.6538773148</v>
      </c>
      <c r="R3397" s="0" t="n">
        <v>0</v>
      </c>
      <c r="S3397" s="51" t="s">
        <v>2416</v>
      </c>
      <c r="T3397" s="51" t="s">
        <v>2416</v>
      </c>
      <c r="U3397" s="0" t="str">
        <f aca="false">"5060458890191"</f>
        <v>5060458890191</v>
      </c>
      <c r="V3397" s="51" t="s">
        <v>2142</v>
      </c>
      <c r="W3397" s="51" t="s">
        <v>6915</v>
      </c>
      <c r="X3397" s="51" t="s">
        <v>2359</v>
      </c>
    </row>
    <row r="3398" customFormat="false" ht="14.25" hidden="true" customHeight="false" outlineLevel="0" collapsed="false">
      <c r="A3398" s="49" t="s">
        <v>2349</v>
      </c>
      <c r="B3398" s="49" t="s">
        <v>2350</v>
      </c>
      <c r="C3398" s="49" t="s">
        <v>6916</v>
      </c>
      <c r="D3398" s="49" t="s">
        <v>2352</v>
      </c>
      <c r="E3398" s="49" t="str">
        <f aca="false">"5060458890191"</f>
        <v>5060458890191</v>
      </c>
      <c r="F3398" s="49" t="s">
        <v>3656</v>
      </c>
      <c r="G3398" s="49" t="n">
        <v>0</v>
      </c>
      <c r="H3398" s="0" t="n">
        <v>0</v>
      </c>
      <c r="M3398" s="51" t="s">
        <v>6895</v>
      </c>
      <c r="N3398" s="49" t="n">
        <v>0</v>
      </c>
      <c r="O3398" s="53" t="n">
        <v>45769.6539583333</v>
      </c>
      <c r="P3398" s="53" t="n">
        <v>45778.5568865741</v>
      </c>
      <c r="Q3398" s="53" t="n">
        <v>45769.6539583333</v>
      </c>
      <c r="R3398" s="0" t="n">
        <v>0</v>
      </c>
      <c r="S3398" s="51" t="s">
        <v>2416</v>
      </c>
      <c r="T3398" s="51" t="s">
        <v>2416</v>
      </c>
      <c r="U3398" s="0" t="str">
        <f aca="false">"5060458890191"</f>
        <v>5060458890191</v>
      </c>
      <c r="V3398" s="51" t="s">
        <v>2142</v>
      </c>
      <c r="W3398" s="51" t="s">
        <v>4694</v>
      </c>
      <c r="X3398" s="51" t="s">
        <v>2359</v>
      </c>
    </row>
    <row r="3399" customFormat="false" ht="14.25" hidden="true" customHeight="false" outlineLevel="0" collapsed="false">
      <c r="A3399" s="49" t="s">
        <v>2349</v>
      </c>
      <c r="B3399" s="49" t="s">
        <v>2350</v>
      </c>
      <c r="C3399" s="49" t="s">
        <v>6917</v>
      </c>
      <c r="D3399" s="49" t="s">
        <v>2352</v>
      </c>
      <c r="E3399" s="49" t="str">
        <f aca="false">"5060458890191"</f>
        <v>5060458890191</v>
      </c>
      <c r="F3399" s="49" t="s">
        <v>3656</v>
      </c>
      <c r="G3399" s="49" t="n">
        <v>0</v>
      </c>
      <c r="H3399" s="0" t="n">
        <v>0</v>
      </c>
      <c r="M3399" s="51" t="s">
        <v>6895</v>
      </c>
      <c r="N3399" s="49" t="n">
        <v>0</v>
      </c>
      <c r="O3399" s="53" t="n">
        <v>45769.6540509259</v>
      </c>
      <c r="P3399" s="53" t="n">
        <v>45778.5560648148</v>
      </c>
      <c r="Q3399" s="53" t="n">
        <v>45769.6540509259</v>
      </c>
      <c r="R3399" s="0" t="n">
        <v>0</v>
      </c>
      <c r="S3399" s="51" t="s">
        <v>2416</v>
      </c>
      <c r="T3399" s="51" t="s">
        <v>2416</v>
      </c>
      <c r="U3399" s="0" t="str">
        <f aca="false">"5060458890191"</f>
        <v>5060458890191</v>
      </c>
      <c r="V3399" s="51" t="s">
        <v>2142</v>
      </c>
      <c r="W3399" s="51" t="s">
        <v>4700</v>
      </c>
      <c r="X3399" s="51" t="s">
        <v>2359</v>
      </c>
    </row>
    <row r="3400" customFormat="false" ht="14.25" hidden="true" customHeight="false" outlineLevel="0" collapsed="false">
      <c r="A3400" s="49" t="s">
        <v>2349</v>
      </c>
      <c r="B3400" s="49" t="s">
        <v>2350</v>
      </c>
      <c r="C3400" s="49" t="s">
        <v>6918</v>
      </c>
      <c r="D3400" s="49" t="s">
        <v>2352</v>
      </c>
      <c r="E3400" s="49" t="str">
        <f aca="false">"5060458890191"</f>
        <v>5060458890191</v>
      </c>
      <c r="F3400" s="49" t="s">
        <v>3656</v>
      </c>
      <c r="G3400" s="49" t="n">
        <v>0</v>
      </c>
      <c r="H3400" s="0" t="n">
        <v>0</v>
      </c>
      <c r="M3400" s="51" t="s">
        <v>6895</v>
      </c>
      <c r="N3400" s="49" t="n">
        <v>0</v>
      </c>
      <c r="O3400" s="53" t="n">
        <v>45769.6541319444</v>
      </c>
      <c r="P3400" s="53" t="n">
        <v>45778.5554861111</v>
      </c>
      <c r="Q3400" s="53" t="n">
        <v>45769.6541319444</v>
      </c>
      <c r="R3400" s="0" t="n">
        <v>0</v>
      </c>
      <c r="S3400" s="51" t="s">
        <v>2416</v>
      </c>
      <c r="T3400" s="51" t="s">
        <v>2416</v>
      </c>
      <c r="U3400" s="0" t="str">
        <f aca="false">"5060458890191"</f>
        <v>5060458890191</v>
      </c>
      <c r="V3400" s="51" t="s">
        <v>2142</v>
      </c>
      <c r="W3400" s="51" t="s">
        <v>6093</v>
      </c>
      <c r="X3400" s="51" t="s">
        <v>2359</v>
      </c>
    </row>
    <row r="3401" customFormat="false" ht="14.25" hidden="true" customHeight="false" outlineLevel="0" collapsed="false">
      <c r="A3401" s="49" t="s">
        <v>2349</v>
      </c>
      <c r="B3401" s="49" t="s">
        <v>2350</v>
      </c>
      <c r="C3401" s="49" t="s">
        <v>6919</v>
      </c>
      <c r="D3401" s="49" t="s">
        <v>2352</v>
      </c>
      <c r="E3401" s="49" t="str">
        <f aca="false">"5060458890191"</f>
        <v>5060458890191</v>
      </c>
      <c r="F3401" s="49" t="s">
        <v>3656</v>
      </c>
      <c r="G3401" s="49" t="n">
        <v>0</v>
      </c>
      <c r="H3401" s="0" t="n">
        <v>0</v>
      </c>
      <c r="M3401" s="51" t="s">
        <v>6895</v>
      </c>
      <c r="N3401" s="49" t="n">
        <v>0</v>
      </c>
      <c r="O3401" s="53" t="n">
        <v>45769.654224537</v>
      </c>
      <c r="P3401" s="53" t="n">
        <v>45777.4739930556</v>
      </c>
      <c r="Q3401" s="53" t="n">
        <v>45769.654224537</v>
      </c>
      <c r="R3401" s="0" t="n">
        <v>0</v>
      </c>
      <c r="S3401" s="51" t="s">
        <v>2416</v>
      </c>
      <c r="T3401" s="51" t="s">
        <v>2416</v>
      </c>
      <c r="U3401" s="0" t="str">
        <f aca="false">"5060458890191"</f>
        <v>5060458890191</v>
      </c>
      <c r="V3401" s="51" t="s">
        <v>2142</v>
      </c>
      <c r="W3401" s="51" t="s">
        <v>4812</v>
      </c>
      <c r="X3401" s="51" t="s">
        <v>2359</v>
      </c>
    </row>
    <row r="3402" customFormat="false" ht="14.25" hidden="true" customHeight="false" outlineLevel="0" collapsed="false">
      <c r="A3402" s="49" t="s">
        <v>2349</v>
      </c>
      <c r="B3402" s="49" t="s">
        <v>2350</v>
      </c>
      <c r="C3402" s="49" t="s">
        <v>6920</v>
      </c>
      <c r="D3402" s="49" t="s">
        <v>2352</v>
      </c>
      <c r="E3402" s="49" t="str">
        <f aca="false">"5060458890191"</f>
        <v>5060458890191</v>
      </c>
      <c r="F3402" s="49" t="s">
        <v>3656</v>
      </c>
      <c r="G3402" s="49" t="n">
        <v>0</v>
      </c>
      <c r="H3402" s="0" t="n">
        <v>0</v>
      </c>
      <c r="M3402" s="51" t="s">
        <v>6895</v>
      </c>
      <c r="N3402" s="49" t="n">
        <v>0</v>
      </c>
      <c r="O3402" s="53" t="n">
        <v>45769.6543287037</v>
      </c>
      <c r="P3402" s="53" t="n">
        <v>45776.0288310185</v>
      </c>
      <c r="Q3402" s="53" t="n">
        <v>45769.6543287037</v>
      </c>
      <c r="R3402" s="0" t="n">
        <v>0</v>
      </c>
      <c r="S3402" s="51" t="s">
        <v>2416</v>
      </c>
      <c r="T3402" s="51" t="s">
        <v>2416</v>
      </c>
      <c r="U3402" s="0" t="str">
        <f aca="false">"5060458890191"</f>
        <v>5060458890191</v>
      </c>
      <c r="V3402" s="51" t="s">
        <v>2142</v>
      </c>
      <c r="W3402" s="51" t="s">
        <v>4391</v>
      </c>
      <c r="X3402" s="51" t="s">
        <v>2359</v>
      </c>
    </row>
    <row r="3403" customFormat="false" ht="14.25" hidden="true" customHeight="false" outlineLevel="0" collapsed="false">
      <c r="A3403" s="49" t="s">
        <v>2349</v>
      </c>
      <c r="B3403" s="49" t="s">
        <v>2350</v>
      </c>
      <c r="C3403" s="49" t="s">
        <v>6921</v>
      </c>
      <c r="D3403" s="49" t="s">
        <v>2352</v>
      </c>
      <c r="E3403" s="49" t="str">
        <f aca="false">"5060458890191"</f>
        <v>5060458890191</v>
      </c>
      <c r="F3403" s="49" t="s">
        <v>3656</v>
      </c>
      <c r="G3403" s="49" t="n">
        <v>0</v>
      </c>
      <c r="H3403" s="0" t="n">
        <v>0</v>
      </c>
      <c r="M3403" s="51" t="s">
        <v>6895</v>
      </c>
      <c r="N3403" s="49" t="n">
        <v>0</v>
      </c>
      <c r="O3403" s="53" t="n">
        <v>45769.6544444444</v>
      </c>
      <c r="P3403" s="53" t="n">
        <v>45774.9376388889</v>
      </c>
      <c r="Q3403" s="53" t="n">
        <v>45769.6544444444</v>
      </c>
      <c r="R3403" s="0" t="n">
        <v>0</v>
      </c>
      <c r="S3403" s="51" t="s">
        <v>2416</v>
      </c>
      <c r="T3403" s="51" t="s">
        <v>2416</v>
      </c>
      <c r="U3403" s="0" t="str">
        <f aca="false">"5060458890191"</f>
        <v>5060458890191</v>
      </c>
      <c r="V3403" s="51" t="s">
        <v>2142</v>
      </c>
      <c r="W3403" s="51" t="s">
        <v>5269</v>
      </c>
      <c r="X3403" s="51" t="s">
        <v>2359</v>
      </c>
    </row>
    <row r="3404" customFormat="false" ht="14.25" hidden="true" customHeight="false" outlineLevel="0" collapsed="false">
      <c r="A3404" s="49" t="s">
        <v>2349</v>
      </c>
      <c r="B3404" s="49" t="s">
        <v>2350</v>
      </c>
      <c r="C3404" s="49" t="s">
        <v>6922</v>
      </c>
      <c r="D3404" s="49" t="s">
        <v>2352</v>
      </c>
      <c r="E3404" s="49" t="str">
        <f aca="false">"5060458890191"</f>
        <v>5060458890191</v>
      </c>
      <c r="F3404" s="49" t="s">
        <v>3656</v>
      </c>
      <c r="G3404" s="49" t="n">
        <v>0</v>
      </c>
      <c r="H3404" s="0" t="n">
        <v>0</v>
      </c>
      <c r="M3404" s="51" t="s">
        <v>6895</v>
      </c>
      <c r="N3404" s="49" t="n">
        <v>0</v>
      </c>
      <c r="O3404" s="53" t="n">
        <v>45769.6545486111</v>
      </c>
      <c r="P3404" s="53" t="n">
        <v>45774.9416435185</v>
      </c>
      <c r="Q3404" s="53" t="n">
        <v>45769.6545486111</v>
      </c>
      <c r="R3404" s="0" t="n">
        <v>0</v>
      </c>
      <c r="S3404" s="51" t="s">
        <v>2416</v>
      </c>
      <c r="T3404" s="51" t="s">
        <v>2416</v>
      </c>
      <c r="U3404" s="0" t="str">
        <f aca="false">"5060458890191"</f>
        <v>5060458890191</v>
      </c>
      <c r="V3404" s="51" t="s">
        <v>2142</v>
      </c>
      <c r="W3404" s="51" t="s">
        <v>5365</v>
      </c>
      <c r="X3404" s="51" t="s">
        <v>2359</v>
      </c>
    </row>
    <row r="3405" customFormat="false" ht="14.25" hidden="true" customHeight="false" outlineLevel="0" collapsed="false">
      <c r="A3405" s="49" t="s">
        <v>2349</v>
      </c>
      <c r="B3405" s="49" t="s">
        <v>2350</v>
      </c>
      <c r="C3405" s="49" t="s">
        <v>6923</v>
      </c>
      <c r="D3405" s="49" t="s">
        <v>2352</v>
      </c>
      <c r="E3405" s="49" t="str">
        <f aca="false">"5060458890191"</f>
        <v>5060458890191</v>
      </c>
      <c r="F3405" s="49" t="s">
        <v>3656</v>
      </c>
      <c r="G3405" s="49" t="n">
        <v>0</v>
      </c>
      <c r="H3405" s="0" t="n">
        <v>0</v>
      </c>
      <c r="M3405" s="51" t="s">
        <v>6895</v>
      </c>
      <c r="N3405" s="49" t="n">
        <v>0</v>
      </c>
      <c r="O3405" s="53" t="n">
        <v>45769.6546990741</v>
      </c>
      <c r="P3405" s="53" t="n">
        <v>45771.870462963</v>
      </c>
      <c r="Q3405" s="53" t="n">
        <v>45769.6546990741</v>
      </c>
      <c r="R3405" s="0" t="n">
        <v>0</v>
      </c>
      <c r="S3405" s="51" t="s">
        <v>2416</v>
      </c>
      <c r="T3405" s="51" t="s">
        <v>2416</v>
      </c>
      <c r="U3405" s="0" t="str">
        <f aca="false">"5060458890191"</f>
        <v>5060458890191</v>
      </c>
      <c r="V3405" s="51" t="s">
        <v>2142</v>
      </c>
      <c r="W3405" s="51" t="s">
        <v>6202</v>
      </c>
      <c r="X3405" s="51" t="s">
        <v>2359</v>
      </c>
    </row>
    <row r="3406" customFormat="false" ht="14.25" hidden="true" customHeight="false" outlineLevel="0" collapsed="false">
      <c r="A3406" s="49" t="s">
        <v>2349</v>
      </c>
      <c r="B3406" s="49" t="s">
        <v>2350</v>
      </c>
      <c r="C3406" s="49" t="s">
        <v>6924</v>
      </c>
      <c r="D3406" s="49" t="s">
        <v>2352</v>
      </c>
      <c r="E3406" s="49" t="str">
        <f aca="false">"5060458890191"</f>
        <v>5060458890191</v>
      </c>
      <c r="F3406" s="49" t="s">
        <v>3656</v>
      </c>
      <c r="G3406" s="49" t="n">
        <v>0</v>
      </c>
      <c r="H3406" s="0" t="n">
        <v>0</v>
      </c>
      <c r="M3406" s="51" t="s">
        <v>6895</v>
      </c>
      <c r="N3406" s="49" t="n">
        <v>0</v>
      </c>
      <c r="O3406" s="53" t="n">
        <v>45769.6548032407</v>
      </c>
      <c r="P3406" s="53" t="n">
        <v>45774.9385763889</v>
      </c>
      <c r="Q3406" s="53" t="n">
        <v>45769.6548032407</v>
      </c>
      <c r="R3406" s="0" t="n">
        <v>0</v>
      </c>
      <c r="S3406" s="51" t="s">
        <v>2416</v>
      </c>
      <c r="T3406" s="51" t="s">
        <v>2416</v>
      </c>
      <c r="U3406" s="0" t="str">
        <f aca="false">"5060458890191"</f>
        <v>5060458890191</v>
      </c>
      <c r="V3406" s="51" t="s">
        <v>2142</v>
      </c>
      <c r="W3406" s="51" t="s">
        <v>4405</v>
      </c>
      <c r="X3406" s="51" t="s">
        <v>2359</v>
      </c>
    </row>
    <row r="3407" customFormat="false" ht="14.25" hidden="true" customHeight="false" outlineLevel="0" collapsed="false">
      <c r="A3407" s="49" t="s">
        <v>2349</v>
      </c>
      <c r="B3407" s="49" t="s">
        <v>2350</v>
      </c>
      <c r="C3407" s="49" t="s">
        <v>6925</v>
      </c>
      <c r="D3407" s="49" t="s">
        <v>2352</v>
      </c>
      <c r="E3407" s="49" t="str">
        <f aca="false">"5060458890191"</f>
        <v>5060458890191</v>
      </c>
      <c r="F3407" s="49" t="s">
        <v>3656</v>
      </c>
      <c r="G3407" s="49" t="n">
        <v>0</v>
      </c>
      <c r="H3407" s="0" t="n">
        <v>0</v>
      </c>
      <c r="M3407" s="51" t="s">
        <v>6895</v>
      </c>
      <c r="N3407" s="49" t="n">
        <v>0</v>
      </c>
      <c r="O3407" s="53" t="n">
        <v>45769.6549189815</v>
      </c>
      <c r="P3407" s="53" t="n">
        <v>45778.5745833333</v>
      </c>
      <c r="Q3407" s="53" t="n">
        <v>45769.6549189815</v>
      </c>
      <c r="R3407" s="0" t="n">
        <v>0</v>
      </c>
      <c r="S3407" s="51" t="s">
        <v>2416</v>
      </c>
      <c r="T3407" s="51" t="s">
        <v>2416</v>
      </c>
      <c r="U3407" s="0" t="str">
        <f aca="false">"5060458890191"</f>
        <v>5060458890191</v>
      </c>
      <c r="V3407" s="51" t="s">
        <v>2142</v>
      </c>
      <c r="W3407" s="51" t="s">
        <v>4411</v>
      </c>
      <c r="X3407" s="51" t="s">
        <v>2359</v>
      </c>
    </row>
    <row r="3408" customFormat="false" ht="14.25" hidden="true" customHeight="false" outlineLevel="0" collapsed="false">
      <c r="A3408" s="49" t="s">
        <v>2349</v>
      </c>
      <c r="B3408" s="49" t="s">
        <v>2350</v>
      </c>
      <c r="C3408" s="49" t="s">
        <v>6926</v>
      </c>
      <c r="D3408" s="49" t="s">
        <v>2352</v>
      </c>
      <c r="E3408" s="49" t="str">
        <f aca="false">"5060458890191"</f>
        <v>5060458890191</v>
      </c>
      <c r="F3408" s="49" t="s">
        <v>3656</v>
      </c>
      <c r="G3408" s="49" t="n">
        <v>0</v>
      </c>
      <c r="H3408" s="0" t="n">
        <v>0</v>
      </c>
      <c r="M3408" s="51" t="s">
        <v>6895</v>
      </c>
      <c r="N3408" s="49" t="n">
        <v>0</v>
      </c>
      <c r="O3408" s="53" t="n">
        <v>45769.6554050926</v>
      </c>
      <c r="P3408" s="53" t="n">
        <v>45778.7707638889</v>
      </c>
      <c r="Q3408" s="53" t="n">
        <v>45769.6554050926</v>
      </c>
      <c r="R3408" s="0" t="n">
        <v>0</v>
      </c>
      <c r="S3408" s="51" t="s">
        <v>2416</v>
      </c>
      <c r="T3408" s="51" t="s">
        <v>2416</v>
      </c>
      <c r="U3408" s="0" t="str">
        <f aca="false">"5060458890191"</f>
        <v>5060458890191</v>
      </c>
      <c r="V3408" s="51" t="s">
        <v>2142</v>
      </c>
      <c r="W3408" s="51" t="s">
        <v>6927</v>
      </c>
      <c r="X3408" s="51" t="s">
        <v>2359</v>
      </c>
    </row>
    <row r="3409" customFormat="false" ht="14.25" hidden="true" customHeight="false" outlineLevel="0" collapsed="false">
      <c r="A3409" s="49" t="s">
        <v>2349</v>
      </c>
      <c r="B3409" s="49" t="s">
        <v>2350</v>
      </c>
      <c r="C3409" s="49" t="s">
        <v>6928</v>
      </c>
      <c r="D3409" s="49" t="s">
        <v>2352</v>
      </c>
      <c r="E3409" s="49" t="str">
        <f aca="false">"12464079"</f>
        <v>12464079</v>
      </c>
      <c r="F3409" s="49" t="s">
        <v>4706</v>
      </c>
      <c r="G3409" s="49" t="n">
        <v>0</v>
      </c>
      <c r="H3409" s="0" t="n">
        <v>0</v>
      </c>
      <c r="M3409" s="51" t="s">
        <v>6929</v>
      </c>
      <c r="N3409" s="49" t="n">
        <v>0</v>
      </c>
      <c r="O3409" s="53" t="n">
        <v>45773.6197685185</v>
      </c>
      <c r="P3409" s="53" t="n">
        <v>45789.4071643519</v>
      </c>
      <c r="Q3409" s="53" t="n">
        <v>45773.6197685185</v>
      </c>
      <c r="R3409" s="0" t="n">
        <v>0</v>
      </c>
      <c r="S3409" s="51" t="s">
        <v>2383</v>
      </c>
      <c r="T3409" s="51" t="s">
        <v>2383</v>
      </c>
      <c r="U3409" s="0" t="str">
        <f aca="false">"12464079"</f>
        <v>12464079</v>
      </c>
      <c r="V3409" s="51" t="s">
        <v>2365</v>
      </c>
      <c r="W3409" s="51" t="s">
        <v>6930</v>
      </c>
      <c r="X3409" s="51" t="s">
        <v>2359</v>
      </c>
    </row>
    <row r="3410" customFormat="false" ht="14.25" hidden="true" customHeight="false" outlineLevel="0" collapsed="false">
      <c r="A3410" s="49" t="s">
        <v>2349</v>
      </c>
      <c r="B3410" s="49" t="s">
        <v>2350</v>
      </c>
      <c r="C3410" s="49" t="s">
        <v>6931</v>
      </c>
      <c r="D3410" s="49" t="s">
        <v>2352</v>
      </c>
      <c r="E3410" s="49" t="str">
        <f aca="false">"12464079"</f>
        <v>12464079</v>
      </c>
      <c r="F3410" s="49" t="s">
        <v>4706</v>
      </c>
      <c r="G3410" s="49" t="n">
        <v>0</v>
      </c>
      <c r="H3410" s="0" t="n">
        <v>0</v>
      </c>
      <c r="M3410" s="51" t="s">
        <v>6929</v>
      </c>
      <c r="N3410" s="49" t="n">
        <v>0</v>
      </c>
      <c r="O3410" s="53" t="n">
        <v>45773.6195949074</v>
      </c>
      <c r="P3410" s="53" t="n">
        <v>45789.4062268519</v>
      </c>
      <c r="Q3410" s="53" t="n">
        <v>45773.6195949074</v>
      </c>
      <c r="R3410" s="0" t="n">
        <v>0</v>
      </c>
      <c r="S3410" s="51" t="s">
        <v>2383</v>
      </c>
      <c r="T3410" s="51" t="s">
        <v>2383</v>
      </c>
      <c r="U3410" s="0" t="str">
        <f aca="false">"12464079"</f>
        <v>12464079</v>
      </c>
      <c r="V3410" s="51" t="s">
        <v>2365</v>
      </c>
      <c r="W3410" s="51" t="s">
        <v>6932</v>
      </c>
      <c r="X3410" s="51" t="s">
        <v>2359</v>
      </c>
    </row>
    <row r="3411" customFormat="false" ht="14.25" hidden="true" customHeight="false" outlineLevel="0" collapsed="false">
      <c r="A3411" s="49" t="s">
        <v>2349</v>
      </c>
      <c r="B3411" s="49" t="s">
        <v>2350</v>
      </c>
      <c r="C3411" s="49" t="s">
        <v>6933</v>
      </c>
      <c r="D3411" s="49" t="s">
        <v>2352</v>
      </c>
      <c r="E3411" s="49" t="str">
        <f aca="false">"12464079"</f>
        <v>12464079</v>
      </c>
      <c r="F3411" s="49" t="s">
        <v>4706</v>
      </c>
      <c r="G3411" s="49" t="n">
        <v>0</v>
      </c>
      <c r="H3411" s="0" t="n">
        <v>0</v>
      </c>
      <c r="M3411" s="51" t="s">
        <v>6929</v>
      </c>
      <c r="N3411" s="49" t="n">
        <v>0</v>
      </c>
      <c r="O3411" s="53" t="n">
        <v>45773.6187268519</v>
      </c>
      <c r="P3411" s="53" t="n">
        <v>45789.405474537</v>
      </c>
      <c r="Q3411" s="53" t="n">
        <v>45773.6187268519</v>
      </c>
      <c r="R3411" s="0" t="n">
        <v>0</v>
      </c>
      <c r="S3411" s="51" t="s">
        <v>2383</v>
      </c>
      <c r="T3411" s="51" t="s">
        <v>2383</v>
      </c>
      <c r="U3411" s="0" t="str">
        <f aca="false">"12464079"</f>
        <v>12464079</v>
      </c>
      <c r="V3411" s="51" t="s">
        <v>2365</v>
      </c>
      <c r="W3411" s="51" t="s">
        <v>6934</v>
      </c>
      <c r="X3411" s="51" t="s">
        <v>2359</v>
      </c>
    </row>
    <row r="3412" customFormat="false" ht="14.25" hidden="true" customHeight="false" outlineLevel="0" collapsed="false">
      <c r="A3412" s="49" t="s">
        <v>2349</v>
      </c>
      <c r="B3412" s="49" t="s">
        <v>2350</v>
      </c>
      <c r="C3412" s="49" t="s">
        <v>6935</v>
      </c>
      <c r="D3412" s="49" t="s">
        <v>2352</v>
      </c>
      <c r="E3412" s="49" t="str">
        <f aca="false">"12464079"</f>
        <v>12464079</v>
      </c>
      <c r="F3412" s="49" t="s">
        <v>4706</v>
      </c>
      <c r="G3412" s="49" t="n">
        <v>0</v>
      </c>
      <c r="H3412" s="0" t="n">
        <v>0</v>
      </c>
      <c r="M3412" s="51" t="s">
        <v>6929</v>
      </c>
      <c r="N3412" s="49" t="n">
        <v>0</v>
      </c>
      <c r="O3412" s="53" t="n">
        <v>45773.6185069445</v>
      </c>
      <c r="P3412" s="53" t="n">
        <v>45785.8929976852</v>
      </c>
      <c r="Q3412" s="53" t="n">
        <v>45773.6185069445</v>
      </c>
      <c r="R3412" s="0" t="n">
        <v>0</v>
      </c>
      <c r="S3412" s="51" t="s">
        <v>2383</v>
      </c>
      <c r="T3412" s="51" t="s">
        <v>2383</v>
      </c>
      <c r="U3412" s="0" t="str">
        <f aca="false">"12464079"</f>
        <v>12464079</v>
      </c>
      <c r="V3412" s="51" t="s">
        <v>2365</v>
      </c>
      <c r="W3412" s="51" t="s">
        <v>6936</v>
      </c>
      <c r="X3412" s="51" t="s">
        <v>2359</v>
      </c>
    </row>
    <row r="3413" customFormat="false" ht="14.25" hidden="true" customHeight="false" outlineLevel="0" collapsed="false">
      <c r="A3413" s="49" t="s">
        <v>2349</v>
      </c>
      <c r="B3413" s="49" t="s">
        <v>2350</v>
      </c>
      <c r="C3413" s="49" t="s">
        <v>6937</v>
      </c>
      <c r="D3413" s="49" t="s">
        <v>2352</v>
      </c>
      <c r="E3413" s="49" t="str">
        <f aca="false">"12464079"</f>
        <v>12464079</v>
      </c>
      <c r="F3413" s="49" t="s">
        <v>4706</v>
      </c>
      <c r="G3413" s="49" t="n">
        <v>0</v>
      </c>
      <c r="H3413" s="0" t="n">
        <v>0</v>
      </c>
      <c r="M3413" s="51" t="s">
        <v>6929</v>
      </c>
      <c r="N3413" s="49" t="n">
        <v>0</v>
      </c>
      <c r="O3413" s="53" t="n">
        <v>45773.6182986111</v>
      </c>
      <c r="P3413" s="53" t="n">
        <v>45789.4012962963</v>
      </c>
      <c r="Q3413" s="53" t="n">
        <v>45773.6182986111</v>
      </c>
      <c r="R3413" s="0" t="n">
        <v>0</v>
      </c>
      <c r="S3413" s="51" t="s">
        <v>2383</v>
      </c>
      <c r="T3413" s="51" t="s">
        <v>2383</v>
      </c>
      <c r="U3413" s="0" t="str">
        <f aca="false">"12464079"</f>
        <v>12464079</v>
      </c>
      <c r="V3413" s="51" t="s">
        <v>2365</v>
      </c>
      <c r="W3413" s="51" t="s">
        <v>6938</v>
      </c>
      <c r="X3413" s="51" t="s">
        <v>2359</v>
      </c>
    </row>
    <row r="3414" customFormat="false" ht="14.25" hidden="true" customHeight="false" outlineLevel="0" collapsed="false">
      <c r="A3414" s="49" t="s">
        <v>2349</v>
      </c>
      <c r="B3414" s="49" t="s">
        <v>2350</v>
      </c>
      <c r="C3414" s="49" t="s">
        <v>6939</v>
      </c>
      <c r="D3414" s="49" t="s">
        <v>2352</v>
      </c>
      <c r="E3414" s="49" t="str">
        <f aca="false">"12464079"</f>
        <v>12464079</v>
      </c>
      <c r="F3414" s="49" t="s">
        <v>4706</v>
      </c>
      <c r="G3414" s="49" t="n">
        <v>0</v>
      </c>
      <c r="H3414" s="0" t="n">
        <v>0</v>
      </c>
      <c r="M3414" s="51" t="s">
        <v>6929</v>
      </c>
      <c r="N3414" s="49" t="n">
        <v>0</v>
      </c>
      <c r="O3414" s="53" t="n">
        <v>45773.6181018519</v>
      </c>
      <c r="P3414" s="53" t="n">
        <v>45784.9643287037</v>
      </c>
      <c r="Q3414" s="53" t="n">
        <v>45773.6181018519</v>
      </c>
      <c r="R3414" s="0" t="n">
        <v>0</v>
      </c>
      <c r="S3414" s="51" t="s">
        <v>2383</v>
      </c>
      <c r="T3414" s="51" t="s">
        <v>2383</v>
      </c>
      <c r="U3414" s="0" t="str">
        <f aca="false">"12464079"</f>
        <v>12464079</v>
      </c>
      <c r="V3414" s="51" t="s">
        <v>2365</v>
      </c>
      <c r="W3414" s="51" t="s">
        <v>6940</v>
      </c>
      <c r="X3414" s="51" t="s">
        <v>2359</v>
      </c>
    </row>
    <row r="3415" customFormat="false" ht="14.25" hidden="true" customHeight="false" outlineLevel="0" collapsed="false">
      <c r="A3415" s="49" t="s">
        <v>2349</v>
      </c>
      <c r="B3415" s="49" t="s">
        <v>2350</v>
      </c>
      <c r="C3415" s="49" t="s">
        <v>6941</v>
      </c>
      <c r="D3415" s="49" t="s">
        <v>2352</v>
      </c>
      <c r="E3415" s="49" t="str">
        <f aca="false">"12464079"</f>
        <v>12464079</v>
      </c>
      <c r="F3415" s="49" t="s">
        <v>4706</v>
      </c>
      <c r="G3415" s="49" t="n">
        <v>0</v>
      </c>
      <c r="H3415" s="0" t="n">
        <v>0</v>
      </c>
      <c r="M3415" s="51" t="s">
        <v>6929</v>
      </c>
      <c r="N3415" s="49" t="n">
        <v>0</v>
      </c>
      <c r="O3415" s="53" t="n">
        <v>45773.617962963</v>
      </c>
      <c r="P3415" s="53" t="n">
        <v>45775.9664814815</v>
      </c>
      <c r="Q3415" s="53" t="n">
        <v>45773.617962963</v>
      </c>
      <c r="R3415" s="0" t="n">
        <v>0</v>
      </c>
      <c r="S3415" s="51" t="s">
        <v>2383</v>
      </c>
      <c r="T3415" s="51" t="s">
        <v>2383</v>
      </c>
      <c r="U3415" s="0" t="str">
        <f aca="false">"12464079"</f>
        <v>12464079</v>
      </c>
      <c r="V3415" s="51" t="s">
        <v>2365</v>
      </c>
      <c r="W3415" s="51" t="s">
        <v>5697</v>
      </c>
      <c r="X3415" s="51" t="s">
        <v>2359</v>
      </c>
    </row>
    <row r="3416" customFormat="false" ht="14.25" hidden="true" customHeight="false" outlineLevel="0" collapsed="false">
      <c r="A3416" s="49" t="s">
        <v>2349</v>
      </c>
      <c r="B3416" s="49" t="s">
        <v>2350</v>
      </c>
      <c r="C3416" s="49" t="s">
        <v>6942</v>
      </c>
      <c r="D3416" s="49" t="s">
        <v>2352</v>
      </c>
      <c r="E3416" s="49" t="str">
        <f aca="false">"12464079"</f>
        <v>12464079</v>
      </c>
      <c r="F3416" s="49" t="s">
        <v>4706</v>
      </c>
      <c r="G3416" s="49" t="n">
        <v>0</v>
      </c>
      <c r="H3416" s="0" t="n">
        <v>0</v>
      </c>
      <c r="M3416" s="51" t="s">
        <v>6929</v>
      </c>
      <c r="N3416" s="49" t="n">
        <v>0</v>
      </c>
      <c r="O3416" s="53" t="n">
        <v>45773.6177199074</v>
      </c>
      <c r="P3416" s="53" t="n">
        <v>45784.7406712963</v>
      </c>
      <c r="Q3416" s="53" t="n">
        <v>45773.6177199074</v>
      </c>
      <c r="R3416" s="0" t="n">
        <v>0</v>
      </c>
      <c r="S3416" s="51" t="s">
        <v>2383</v>
      </c>
      <c r="T3416" s="51" t="s">
        <v>2383</v>
      </c>
      <c r="U3416" s="0" t="str">
        <f aca="false">"12464079"</f>
        <v>12464079</v>
      </c>
      <c r="V3416" s="51" t="s">
        <v>2365</v>
      </c>
      <c r="W3416" s="51" t="s">
        <v>6943</v>
      </c>
      <c r="X3416" s="51" t="s">
        <v>2359</v>
      </c>
    </row>
    <row r="3417" customFormat="false" ht="14.25" hidden="true" customHeight="false" outlineLevel="0" collapsed="false">
      <c r="A3417" s="49" t="s">
        <v>2349</v>
      </c>
      <c r="B3417" s="49" t="s">
        <v>2350</v>
      </c>
      <c r="C3417" s="49" t="s">
        <v>6944</v>
      </c>
      <c r="D3417" s="49" t="s">
        <v>2352</v>
      </c>
      <c r="E3417" s="49" t="str">
        <f aca="false">"12464079"</f>
        <v>12464079</v>
      </c>
      <c r="F3417" s="49" t="s">
        <v>4706</v>
      </c>
      <c r="G3417" s="49" t="n">
        <v>0</v>
      </c>
      <c r="H3417" s="0" t="n">
        <v>0</v>
      </c>
      <c r="M3417" s="51" t="s">
        <v>6929</v>
      </c>
      <c r="N3417" s="49" t="n">
        <v>0</v>
      </c>
      <c r="O3417" s="53" t="n">
        <v>45773.6175462963</v>
      </c>
      <c r="P3417" s="53" t="n">
        <v>45775.9972222222</v>
      </c>
      <c r="Q3417" s="53" t="n">
        <v>45773.6175462963</v>
      </c>
      <c r="R3417" s="0" t="n">
        <v>0</v>
      </c>
      <c r="S3417" s="51" t="s">
        <v>2383</v>
      </c>
      <c r="T3417" s="51" t="s">
        <v>2383</v>
      </c>
      <c r="U3417" s="0" t="str">
        <f aca="false">"12464079"</f>
        <v>12464079</v>
      </c>
      <c r="V3417" s="51" t="s">
        <v>2365</v>
      </c>
      <c r="W3417" s="51" t="s">
        <v>5995</v>
      </c>
      <c r="X3417" s="51" t="s">
        <v>2359</v>
      </c>
    </row>
    <row r="3418" customFormat="false" ht="14.25" hidden="true" customHeight="false" outlineLevel="0" collapsed="false">
      <c r="A3418" s="49" t="s">
        <v>2349</v>
      </c>
      <c r="B3418" s="49" t="s">
        <v>2350</v>
      </c>
      <c r="C3418" s="49" t="s">
        <v>6945</v>
      </c>
      <c r="D3418" s="49" t="s">
        <v>2352</v>
      </c>
      <c r="E3418" s="49" t="str">
        <f aca="false">"12464079"</f>
        <v>12464079</v>
      </c>
      <c r="F3418" s="49" t="s">
        <v>4706</v>
      </c>
      <c r="G3418" s="49" t="n">
        <v>0</v>
      </c>
      <c r="H3418" s="0" t="n">
        <v>0</v>
      </c>
      <c r="M3418" s="51" t="s">
        <v>6929</v>
      </c>
      <c r="N3418" s="49" t="n">
        <v>0</v>
      </c>
      <c r="O3418" s="53" t="n">
        <v>45773.6171527778</v>
      </c>
      <c r="P3418" s="53" t="n">
        <v>45781.4582986111</v>
      </c>
      <c r="Q3418" s="53" t="n">
        <v>45773.6171527778</v>
      </c>
      <c r="R3418" s="0" t="n">
        <v>0</v>
      </c>
      <c r="S3418" s="51" t="s">
        <v>2383</v>
      </c>
      <c r="T3418" s="51" t="s">
        <v>2383</v>
      </c>
      <c r="U3418" s="0" t="str">
        <f aca="false">"12464079"</f>
        <v>12464079</v>
      </c>
      <c r="V3418" s="51" t="s">
        <v>2365</v>
      </c>
      <c r="W3418" s="51" t="s">
        <v>6409</v>
      </c>
      <c r="X3418" s="51" t="s">
        <v>2359</v>
      </c>
    </row>
    <row r="3419" customFormat="false" ht="14.25" hidden="true" customHeight="false" outlineLevel="0" collapsed="false">
      <c r="A3419" s="49" t="s">
        <v>2349</v>
      </c>
      <c r="B3419" s="49" t="s">
        <v>2350</v>
      </c>
      <c r="C3419" s="49" t="s">
        <v>6946</v>
      </c>
      <c r="D3419" s="49" t="s">
        <v>2352</v>
      </c>
      <c r="E3419" s="49" t="str">
        <f aca="false">"12464079"</f>
        <v>12464079</v>
      </c>
      <c r="F3419" s="49" t="s">
        <v>4706</v>
      </c>
      <c r="G3419" s="49" t="n">
        <v>0</v>
      </c>
      <c r="H3419" s="0" t="n">
        <v>0</v>
      </c>
      <c r="M3419" s="51" t="s">
        <v>6929</v>
      </c>
      <c r="N3419" s="49" t="n">
        <v>0</v>
      </c>
      <c r="O3419" s="53" t="n">
        <v>45773.6173611111</v>
      </c>
      <c r="P3419" s="53" t="n">
        <v>45781.4575347222</v>
      </c>
      <c r="Q3419" s="53" t="n">
        <v>45773.6173611111</v>
      </c>
      <c r="R3419" s="0" t="n">
        <v>0</v>
      </c>
      <c r="S3419" s="51" t="s">
        <v>2383</v>
      </c>
      <c r="T3419" s="51" t="s">
        <v>2383</v>
      </c>
      <c r="U3419" s="0" t="str">
        <f aca="false">"12464079"</f>
        <v>12464079</v>
      </c>
      <c r="V3419" s="51" t="s">
        <v>2365</v>
      </c>
      <c r="W3419" s="51" t="s">
        <v>6947</v>
      </c>
      <c r="X3419" s="51" t="s">
        <v>2359</v>
      </c>
    </row>
    <row r="3420" customFormat="false" ht="14.25" hidden="true" customHeight="false" outlineLevel="0" collapsed="false">
      <c r="A3420" s="49" t="s">
        <v>2349</v>
      </c>
      <c r="B3420" s="49" t="s">
        <v>2350</v>
      </c>
      <c r="C3420" s="49" t="s">
        <v>6948</v>
      </c>
      <c r="D3420" s="49" t="s">
        <v>2352</v>
      </c>
      <c r="E3420" s="49" t="str">
        <f aca="false">"12464079"</f>
        <v>12464079</v>
      </c>
      <c r="F3420" s="49" t="s">
        <v>4706</v>
      </c>
      <c r="G3420" s="49" t="n">
        <v>0</v>
      </c>
      <c r="H3420" s="0" t="n">
        <v>0</v>
      </c>
      <c r="M3420" s="51" t="s">
        <v>6929</v>
      </c>
      <c r="N3420" s="49" t="n">
        <v>0</v>
      </c>
      <c r="O3420" s="53" t="n">
        <v>45773.6199652778</v>
      </c>
      <c r="P3420" s="53" t="n">
        <v>45795.4975</v>
      </c>
      <c r="Q3420" s="53" t="n">
        <v>45773.6199652778</v>
      </c>
      <c r="R3420" s="0" t="n">
        <v>0</v>
      </c>
      <c r="S3420" s="51" t="s">
        <v>2383</v>
      </c>
      <c r="T3420" s="51" t="s">
        <v>2383</v>
      </c>
      <c r="U3420" s="0" t="str">
        <f aca="false">"12464079"</f>
        <v>12464079</v>
      </c>
      <c r="V3420" s="51" t="s">
        <v>2365</v>
      </c>
      <c r="W3420" s="51" t="s">
        <v>6949</v>
      </c>
      <c r="X3420" s="51" t="s">
        <v>2359</v>
      </c>
    </row>
    <row r="3421" customFormat="false" ht="14.25" hidden="true" customHeight="false" outlineLevel="0" collapsed="false">
      <c r="A3421" s="49" t="s">
        <v>2349</v>
      </c>
      <c r="B3421" s="49" t="s">
        <v>2350</v>
      </c>
      <c r="C3421" s="49" t="s">
        <v>6950</v>
      </c>
      <c r="D3421" s="49" t="s">
        <v>2352</v>
      </c>
      <c r="E3421" s="49" t="str">
        <f aca="false">"12464079"</f>
        <v>12464079</v>
      </c>
      <c r="F3421" s="49" t="s">
        <v>4706</v>
      </c>
      <c r="G3421" s="49" t="n">
        <v>0</v>
      </c>
      <c r="H3421" s="0" t="n">
        <v>0</v>
      </c>
      <c r="M3421" s="51" t="s">
        <v>6929</v>
      </c>
      <c r="N3421" s="49" t="n">
        <v>0</v>
      </c>
      <c r="O3421" s="53" t="n">
        <v>45773.6235069444</v>
      </c>
      <c r="P3421" s="53" t="n">
        <v>45775.9596064815</v>
      </c>
      <c r="Q3421" s="53" t="n">
        <v>45773.6235069444</v>
      </c>
      <c r="R3421" s="0" t="n">
        <v>0</v>
      </c>
      <c r="S3421" s="51" t="s">
        <v>2383</v>
      </c>
      <c r="T3421" s="51" t="s">
        <v>2383</v>
      </c>
      <c r="U3421" s="0" t="str">
        <f aca="false">"12464079"</f>
        <v>12464079</v>
      </c>
      <c r="V3421" s="51" t="s">
        <v>2365</v>
      </c>
      <c r="W3421" s="51" t="s">
        <v>6951</v>
      </c>
      <c r="X3421" s="51" t="s">
        <v>2359</v>
      </c>
    </row>
    <row r="3422" customFormat="false" ht="14.25" hidden="true" customHeight="false" outlineLevel="0" collapsed="false">
      <c r="A3422" s="49" t="s">
        <v>2349</v>
      </c>
      <c r="B3422" s="49" t="s">
        <v>2350</v>
      </c>
      <c r="C3422" s="49" t="s">
        <v>6952</v>
      </c>
      <c r="D3422" s="49" t="s">
        <v>2352</v>
      </c>
      <c r="E3422" s="49" t="str">
        <f aca="false">"12464079"</f>
        <v>12464079</v>
      </c>
      <c r="F3422" s="49" t="s">
        <v>4706</v>
      </c>
      <c r="G3422" s="49" t="n">
        <v>0</v>
      </c>
      <c r="H3422" s="0" t="n">
        <v>0</v>
      </c>
      <c r="M3422" s="51" t="s">
        <v>6929</v>
      </c>
      <c r="N3422" s="49" t="n">
        <v>0</v>
      </c>
      <c r="O3422" s="53" t="n">
        <v>45773.6236805556</v>
      </c>
      <c r="P3422" s="53" t="n">
        <v>45776.644212963</v>
      </c>
      <c r="Q3422" s="53" t="n">
        <v>45773.6236805556</v>
      </c>
      <c r="R3422" s="0" t="n">
        <v>0</v>
      </c>
      <c r="S3422" s="51" t="s">
        <v>2383</v>
      </c>
      <c r="T3422" s="51" t="s">
        <v>2383</v>
      </c>
      <c r="U3422" s="0" t="str">
        <f aca="false">"12464079"</f>
        <v>12464079</v>
      </c>
      <c r="V3422" s="51" t="s">
        <v>2365</v>
      </c>
      <c r="W3422" s="51" t="s">
        <v>5283</v>
      </c>
      <c r="X3422" s="51" t="s">
        <v>2359</v>
      </c>
    </row>
    <row r="3423" customFormat="false" ht="14.25" hidden="true" customHeight="false" outlineLevel="0" collapsed="false">
      <c r="A3423" s="49" t="s">
        <v>2349</v>
      </c>
      <c r="B3423" s="49" t="s">
        <v>2350</v>
      </c>
      <c r="C3423" s="49" t="s">
        <v>6953</v>
      </c>
      <c r="D3423" s="49" t="s">
        <v>2352</v>
      </c>
      <c r="E3423" s="49" t="str">
        <f aca="false">"12464079"</f>
        <v>12464079</v>
      </c>
      <c r="F3423" s="49" t="s">
        <v>4706</v>
      </c>
      <c r="G3423" s="49" t="n">
        <v>0</v>
      </c>
      <c r="H3423" s="0" t="n">
        <v>0</v>
      </c>
      <c r="M3423" s="51" t="s">
        <v>6929</v>
      </c>
      <c r="N3423" s="49" t="n">
        <v>0</v>
      </c>
      <c r="O3423" s="53" t="n">
        <v>45773.6238657407</v>
      </c>
      <c r="P3423" s="53" t="n">
        <v>45775.9610069444</v>
      </c>
      <c r="Q3423" s="53" t="n">
        <v>45773.6238657407</v>
      </c>
      <c r="R3423" s="0" t="n">
        <v>0</v>
      </c>
      <c r="S3423" s="51" t="s">
        <v>2383</v>
      </c>
      <c r="T3423" s="51" t="s">
        <v>2383</v>
      </c>
      <c r="U3423" s="0" t="str">
        <f aca="false">"12464079"</f>
        <v>12464079</v>
      </c>
      <c r="V3423" s="51" t="s">
        <v>2365</v>
      </c>
      <c r="W3423" s="51" t="s">
        <v>6954</v>
      </c>
      <c r="X3423" s="51" t="s">
        <v>2359</v>
      </c>
    </row>
    <row r="3424" customFormat="false" ht="14.25" hidden="true" customHeight="false" outlineLevel="0" collapsed="false">
      <c r="A3424" s="49" t="s">
        <v>2349</v>
      </c>
      <c r="B3424" s="49" t="s">
        <v>2350</v>
      </c>
      <c r="C3424" s="49" t="s">
        <v>6955</v>
      </c>
      <c r="D3424" s="49" t="s">
        <v>2352</v>
      </c>
      <c r="E3424" s="49" t="str">
        <f aca="false">"12464079"</f>
        <v>12464079</v>
      </c>
      <c r="F3424" s="49" t="s">
        <v>4706</v>
      </c>
      <c r="G3424" s="49" t="n">
        <v>0</v>
      </c>
      <c r="H3424" s="0" t="n">
        <v>0</v>
      </c>
      <c r="M3424" s="51" t="s">
        <v>6929</v>
      </c>
      <c r="N3424" s="49" t="n">
        <v>0</v>
      </c>
      <c r="O3424" s="53" t="n">
        <v>45773.6209490741</v>
      </c>
      <c r="P3424" s="53" t="n">
        <v>45776.6431712963</v>
      </c>
      <c r="Q3424" s="53" t="n">
        <v>45773.6209375</v>
      </c>
      <c r="R3424" s="0" t="n">
        <v>0</v>
      </c>
      <c r="S3424" s="51" t="s">
        <v>2383</v>
      </c>
      <c r="T3424" s="51" t="s">
        <v>2383</v>
      </c>
      <c r="U3424" s="0" t="str">
        <f aca="false">"12464079"</f>
        <v>12464079</v>
      </c>
      <c r="V3424" s="51" t="s">
        <v>2365</v>
      </c>
      <c r="W3424" s="51" t="s">
        <v>6956</v>
      </c>
      <c r="X3424" s="51" t="s">
        <v>2359</v>
      </c>
    </row>
    <row r="3425" customFormat="false" ht="14.25" hidden="true" customHeight="false" outlineLevel="0" collapsed="false">
      <c r="A3425" s="49" t="s">
        <v>2349</v>
      </c>
      <c r="B3425" s="49" t="s">
        <v>2350</v>
      </c>
      <c r="C3425" s="49" t="s">
        <v>6957</v>
      </c>
      <c r="D3425" s="49" t="s">
        <v>2352</v>
      </c>
      <c r="E3425" s="49" t="str">
        <f aca="false">"12464079"</f>
        <v>12464079</v>
      </c>
      <c r="F3425" s="49" t="s">
        <v>4706</v>
      </c>
      <c r="G3425" s="49" t="n">
        <v>0</v>
      </c>
      <c r="H3425" s="0" t="n">
        <v>0</v>
      </c>
      <c r="M3425" s="51" t="s">
        <v>6929</v>
      </c>
      <c r="N3425" s="49" t="n">
        <v>0</v>
      </c>
      <c r="O3425" s="53" t="n">
        <v>45773.6206944444</v>
      </c>
      <c r="P3425" s="53" t="n">
        <v>45796.8855324074</v>
      </c>
      <c r="Q3425" s="53" t="n">
        <v>45773.6206944444</v>
      </c>
      <c r="R3425" s="0" t="n">
        <v>0</v>
      </c>
      <c r="S3425" s="51" t="s">
        <v>2383</v>
      </c>
      <c r="T3425" s="51" t="s">
        <v>2383</v>
      </c>
      <c r="U3425" s="0" t="str">
        <f aca="false">"12464079"</f>
        <v>12464079</v>
      </c>
      <c r="V3425" s="51" t="s">
        <v>2365</v>
      </c>
      <c r="W3425" s="51" t="s">
        <v>6958</v>
      </c>
      <c r="X3425" s="51" t="s">
        <v>2359</v>
      </c>
    </row>
    <row r="3426" customFormat="false" ht="14.25" hidden="true" customHeight="false" outlineLevel="0" collapsed="false">
      <c r="A3426" s="49" t="s">
        <v>2349</v>
      </c>
      <c r="B3426" s="49" t="s">
        <v>2350</v>
      </c>
      <c r="C3426" s="49" t="s">
        <v>6959</v>
      </c>
      <c r="D3426" s="49" t="s">
        <v>2352</v>
      </c>
      <c r="E3426" s="49" t="str">
        <f aca="false">"12464079"</f>
        <v>12464079</v>
      </c>
      <c r="F3426" s="49" t="s">
        <v>4706</v>
      </c>
      <c r="G3426" s="49" t="n">
        <v>0</v>
      </c>
      <c r="H3426" s="0" t="n">
        <v>0</v>
      </c>
      <c r="M3426" s="51" t="s">
        <v>6929</v>
      </c>
      <c r="N3426" s="49" t="n">
        <v>0</v>
      </c>
      <c r="O3426" s="53" t="n">
        <v>45773.620462963</v>
      </c>
      <c r="P3426" s="53" t="n">
        <v>45797.7709490741</v>
      </c>
      <c r="Q3426" s="53" t="n">
        <v>45773.620462963</v>
      </c>
      <c r="R3426" s="0" t="n">
        <v>0</v>
      </c>
      <c r="S3426" s="51" t="s">
        <v>2383</v>
      </c>
      <c r="T3426" s="51" t="s">
        <v>2383</v>
      </c>
      <c r="U3426" s="0" t="str">
        <f aca="false">"12464079"</f>
        <v>12464079</v>
      </c>
      <c r="V3426" s="51" t="s">
        <v>2365</v>
      </c>
      <c r="W3426" s="51" t="s">
        <v>6960</v>
      </c>
      <c r="X3426" s="51" t="s">
        <v>2359</v>
      </c>
    </row>
    <row r="3427" customFormat="false" ht="14.25" hidden="true" customHeight="false" outlineLevel="0" collapsed="false">
      <c r="A3427" s="49" t="s">
        <v>2349</v>
      </c>
      <c r="B3427" s="49" t="s">
        <v>2350</v>
      </c>
      <c r="C3427" s="49" t="s">
        <v>6961</v>
      </c>
      <c r="D3427" s="49" t="s">
        <v>2352</v>
      </c>
      <c r="E3427" s="49" t="str">
        <f aca="false">"12464079"</f>
        <v>12464079</v>
      </c>
      <c r="F3427" s="49" t="s">
        <v>4706</v>
      </c>
      <c r="G3427" s="49" t="n">
        <v>0</v>
      </c>
      <c r="H3427" s="0" t="n">
        <v>0</v>
      </c>
      <c r="M3427" s="51" t="s">
        <v>6929</v>
      </c>
      <c r="N3427" s="49" t="n">
        <v>0</v>
      </c>
      <c r="O3427" s="53" t="n">
        <v>45773.6240277778</v>
      </c>
      <c r="P3427" s="53" t="n">
        <v>45775.9574652778</v>
      </c>
      <c r="Q3427" s="53" t="n">
        <v>45773.6240277778</v>
      </c>
      <c r="R3427" s="0" t="n">
        <v>0</v>
      </c>
      <c r="S3427" s="51" t="s">
        <v>2383</v>
      </c>
      <c r="T3427" s="51" t="s">
        <v>2383</v>
      </c>
      <c r="U3427" s="0" t="str">
        <f aca="false">"12464079"</f>
        <v>12464079</v>
      </c>
      <c r="V3427" s="51" t="s">
        <v>2365</v>
      </c>
      <c r="W3427" s="51" t="s">
        <v>6962</v>
      </c>
      <c r="X3427" s="51" t="s">
        <v>2359</v>
      </c>
    </row>
    <row r="3428" customFormat="false" ht="14.25" hidden="true" customHeight="false" outlineLevel="0" collapsed="false">
      <c r="A3428" s="49" t="s">
        <v>2349</v>
      </c>
      <c r="B3428" s="49" t="s">
        <v>2350</v>
      </c>
      <c r="C3428" s="49" t="s">
        <v>6963</v>
      </c>
      <c r="D3428" s="49" t="s">
        <v>2352</v>
      </c>
      <c r="E3428" s="49" t="str">
        <f aca="false">"12464079"</f>
        <v>12464079</v>
      </c>
      <c r="F3428" s="49" t="s">
        <v>4706</v>
      </c>
      <c r="G3428" s="49" t="n">
        <v>0</v>
      </c>
      <c r="H3428" s="0" t="n">
        <v>0</v>
      </c>
      <c r="M3428" s="51" t="s">
        <v>6929</v>
      </c>
      <c r="N3428" s="49" t="n">
        <v>0</v>
      </c>
      <c r="O3428" s="53" t="n">
        <v>45773.6169560185</v>
      </c>
      <c r="P3428" s="53" t="n">
        <v>45776.6422569445</v>
      </c>
      <c r="Q3428" s="53" t="n">
        <v>45773.6169560185</v>
      </c>
      <c r="R3428" s="0" t="n">
        <v>0</v>
      </c>
      <c r="S3428" s="51" t="s">
        <v>2383</v>
      </c>
      <c r="T3428" s="51" t="s">
        <v>2383</v>
      </c>
      <c r="U3428" s="0" t="str">
        <f aca="false">"12464079"</f>
        <v>12464079</v>
      </c>
      <c r="V3428" s="51" t="s">
        <v>2365</v>
      </c>
      <c r="W3428" s="51" t="s">
        <v>6964</v>
      </c>
      <c r="X3428" s="51" t="s">
        <v>2359</v>
      </c>
    </row>
    <row r="3429" customFormat="false" ht="14.25" hidden="true" customHeight="false" outlineLevel="0" collapsed="false">
      <c r="A3429" s="49" t="s">
        <v>2349</v>
      </c>
      <c r="B3429" s="49" t="s">
        <v>2350</v>
      </c>
      <c r="C3429" s="49" t="s">
        <v>6965</v>
      </c>
      <c r="D3429" s="49" t="s">
        <v>2352</v>
      </c>
      <c r="E3429" s="49" t="str">
        <f aca="false">"12464079"</f>
        <v>12464079</v>
      </c>
      <c r="F3429" s="49" t="s">
        <v>4706</v>
      </c>
      <c r="G3429" s="49" t="n">
        <v>0</v>
      </c>
      <c r="H3429" s="0" t="n">
        <v>0</v>
      </c>
      <c r="M3429" s="51" t="s">
        <v>6929</v>
      </c>
      <c r="N3429" s="49" t="n">
        <v>0</v>
      </c>
      <c r="O3429" s="53" t="n">
        <v>45773.6167708333</v>
      </c>
      <c r="P3429" s="53" t="n">
        <v>45776.6415277778</v>
      </c>
      <c r="Q3429" s="53" t="n">
        <v>45773.6167708333</v>
      </c>
      <c r="R3429" s="0" t="n">
        <v>0</v>
      </c>
      <c r="S3429" s="51" t="s">
        <v>2383</v>
      </c>
      <c r="T3429" s="51" t="s">
        <v>2383</v>
      </c>
      <c r="U3429" s="0" t="str">
        <f aca="false">"12464079"</f>
        <v>12464079</v>
      </c>
      <c r="V3429" s="51" t="s">
        <v>2365</v>
      </c>
      <c r="W3429" s="51" t="s">
        <v>6966</v>
      </c>
      <c r="X3429" s="51" t="s">
        <v>2359</v>
      </c>
    </row>
    <row r="3430" customFormat="false" ht="14.25" hidden="true" customHeight="false" outlineLevel="0" collapsed="false">
      <c r="A3430" s="49" t="s">
        <v>2349</v>
      </c>
      <c r="B3430" s="49" t="s">
        <v>2350</v>
      </c>
      <c r="C3430" s="49" t="s">
        <v>6967</v>
      </c>
      <c r="D3430" s="49" t="s">
        <v>2352</v>
      </c>
      <c r="E3430" s="49" t="str">
        <f aca="false">"12464079"</f>
        <v>12464079</v>
      </c>
      <c r="F3430" s="49" t="s">
        <v>4706</v>
      </c>
      <c r="G3430" s="49" t="n">
        <v>0</v>
      </c>
      <c r="H3430" s="0" t="n">
        <v>0</v>
      </c>
      <c r="M3430" s="51" t="s">
        <v>6929</v>
      </c>
      <c r="N3430" s="49" t="n">
        <v>0</v>
      </c>
      <c r="O3430" s="53" t="n">
        <v>45773.6165046296</v>
      </c>
      <c r="P3430" s="53" t="n">
        <v>45776.6398032407</v>
      </c>
      <c r="Q3430" s="53" t="n">
        <v>45773.6165046296</v>
      </c>
      <c r="R3430" s="0" t="n">
        <v>0</v>
      </c>
      <c r="S3430" s="51" t="s">
        <v>2383</v>
      </c>
      <c r="T3430" s="51" t="s">
        <v>2383</v>
      </c>
      <c r="U3430" s="0" t="str">
        <f aca="false">"12464079"</f>
        <v>12464079</v>
      </c>
      <c r="V3430" s="51" t="s">
        <v>2365</v>
      </c>
      <c r="W3430" s="51" t="s">
        <v>6407</v>
      </c>
      <c r="X3430" s="51" t="s">
        <v>2359</v>
      </c>
    </row>
    <row r="3431" customFormat="false" ht="14.25" hidden="true" customHeight="false" outlineLevel="0" collapsed="false">
      <c r="A3431" s="49" t="s">
        <v>2349</v>
      </c>
      <c r="B3431" s="49" t="s">
        <v>2350</v>
      </c>
      <c r="C3431" s="49" t="s">
        <v>6968</v>
      </c>
      <c r="D3431" s="49" t="s">
        <v>2352</v>
      </c>
      <c r="E3431" s="49" t="str">
        <f aca="false">"12464079"</f>
        <v>12464079</v>
      </c>
      <c r="F3431" s="49" t="s">
        <v>4706</v>
      </c>
      <c r="G3431" s="49" t="n">
        <v>0</v>
      </c>
      <c r="H3431" s="0" t="n">
        <v>0</v>
      </c>
      <c r="M3431" s="51" t="s">
        <v>6929</v>
      </c>
      <c r="N3431" s="49" t="n">
        <v>0</v>
      </c>
      <c r="O3431" s="53" t="n">
        <v>45773.6162731481</v>
      </c>
      <c r="P3431" s="53" t="n">
        <v>45781.4013773148</v>
      </c>
      <c r="Q3431" s="53" t="n">
        <v>45773.6162731481</v>
      </c>
      <c r="R3431" s="0" t="n">
        <v>0</v>
      </c>
      <c r="S3431" s="51" t="s">
        <v>2383</v>
      </c>
      <c r="T3431" s="51" t="s">
        <v>2383</v>
      </c>
      <c r="U3431" s="0" t="str">
        <f aca="false">"12464079"</f>
        <v>12464079</v>
      </c>
      <c r="V3431" s="51" t="s">
        <v>2365</v>
      </c>
      <c r="W3431" s="51" t="s">
        <v>6969</v>
      </c>
      <c r="X3431" s="51" t="s">
        <v>2359</v>
      </c>
    </row>
    <row r="3432" customFormat="false" ht="14.25" hidden="true" customHeight="false" outlineLevel="0" collapsed="false">
      <c r="A3432" s="49" t="s">
        <v>2349</v>
      </c>
      <c r="B3432" s="49" t="s">
        <v>2350</v>
      </c>
      <c r="C3432" s="49" t="s">
        <v>6970</v>
      </c>
      <c r="D3432" s="49" t="s">
        <v>2352</v>
      </c>
      <c r="E3432" s="49" t="str">
        <f aca="false">"12464079"</f>
        <v>12464079</v>
      </c>
      <c r="F3432" s="49" t="s">
        <v>4706</v>
      </c>
      <c r="G3432" s="49" t="n">
        <v>0</v>
      </c>
      <c r="H3432" s="0" t="n">
        <v>0</v>
      </c>
      <c r="M3432" s="51" t="s">
        <v>6929</v>
      </c>
      <c r="N3432" s="49" t="n">
        <v>0</v>
      </c>
      <c r="O3432" s="53" t="n">
        <v>45773.6156828704</v>
      </c>
      <c r="P3432" s="53" t="n">
        <v>45775.9628240741</v>
      </c>
      <c r="Q3432" s="53" t="n">
        <v>45773.6156828704</v>
      </c>
      <c r="R3432" s="0" t="n">
        <v>0</v>
      </c>
      <c r="S3432" s="51" t="s">
        <v>2383</v>
      </c>
      <c r="T3432" s="51" t="s">
        <v>2383</v>
      </c>
      <c r="U3432" s="0" t="str">
        <f aca="false">"12464079"</f>
        <v>12464079</v>
      </c>
      <c r="V3432" s="51" t="s">
        <v>2365</v>
      </c>
      <c r="W3432" s="51" t="s">
        <v>6324</v>
      </c>
      <c r="X3432" s="51" t="s">
        <v>2359</v>
      </c>
    </row>
    <row r="3433" customFormat="false" ht="14.25" hidden="true" customHeight="false" outlineLevel="0" collapsed="false">
      <c r="A3433" s="49" t="s">
        <v>2349</v>
      </c>
      <c r="B3433" s="49" t="s">
        <v>2350</v>
      </c>
      <c r="C3433" s="49" t="s">
        <v>6971</v>
      </c>
      <c r="D3433" s="49" t="s">
        <v>2352</v>
      </c>
      <c r="E3433" s="49" t="str">
        <f aca="false">"12464079"</f>
        <v>12464079</v>
      </c>
      <c r="F3433" s="49" t="s">
        <v>4706</v>
      </c>
      <c r="G3433" s="49" t="n">
        <v>0</v>
      </c>
      <c r="H3433" s="0" t="n">
        <v>0</v>
      </c>
      <c r="M3433" s="51" t="s">
        <v>6929</v>
      </c>
      <c r="N3433" s="49" t="n">
        <v>0</v>
      </c>
      <c r="O3433" s="53" t="n">
        <v>45773.6154976852</v>
      </c>
      <c r="P3433" s="53" t="n">
        <v>45775.9755787037</v>
      </c>
      <c r="Q3433" s="53" t="n">
        <v>45773.6154976852</v>
      </c>
      <c r="R3433" s="0" t="n">
        <v>0</v>
      </c>
      <c r="S3433" s="51" t="s">
        <v>2383</v>
      </c>
      <c r="T3433" s="51" t="s">
        <v>2383</v>
      </c>
      <c r="U3433" s="0" t="str">
        <f aca="false">"12464079"</f>
        <v>12464079</v>
      </c>
      <c r="V3433" s="51" t="s">
        <v>2365</v>
      </c>
      <c r="W3433" s="51" t="s">
        <v>6048</v>
      </c>
      <c r="X3433" s="51" t="s">
        <v>2359</v>
      </c>
    </row>
    <row r="3434" customFormat="false" ht="14.25" hidden="true" customHeight="false" outlineLevel="0" collapsed="false">
      <c r="A3434" s="49" t="s">
        <v>2349</v>
      </c>
      <c r="B3434" s="49" t="s">
        <v>2350</v>
      </c>
      <c r="C3434" s="49" t="s">
        <v>6972</v>
      </c>
      <c r="D3434" s="49" t="s">
        <v>2352</v>
      </c>
      <c r="E3434" s="49" t="str">
        <f aca="false">"12464079"</f>
        <v>12464079</v>
      </c>
      <c r="F3434" s="49" t="s">
        <v>4706</v>
      </c>
      <c r="G3434" s="49" t="n">
        <v>0</v>
      </c>
      <c r="H3434" s="0" t="n">
        <v>0</v>
      </c>
      <c r="M3434" s="51" t="s">
        <v>6929</v>
      </c>
      <c r="N3434" s="49" t="n">
        <v>0</v>
      </c>
      <c r="O3434" s="53" t="n">
        <v>45773.6153009259</v>
      </c>
      <c r="P3434" s="53" t="n">
        <v>45775.96375</v>
      </c>
      <c r="Q3434" s="53" t="n">
        <v>45773.6153009259</v>
      </c>
      <c r="R3434" s="0" t="n">
        <v>0</v>
      </c>
      <c r="S3434" s="51" t="s">
        <v>2383</v>
      </c>
      <c r="T3434" s="51" t="s">
        <v>2383</v>
      </c>
      <c r="U3434" s="0" t="str">
        <f aca="false">"12464079"</f>
        <v>12464079</v>
      </c>
      <c r="V3434" s="51" t="s">
        <v>2365</v>
      </c>
      <c r="W3434" s="51" t="s">
        <v>6411</v>
      </c>
      <c r="X3434" s="51" t="s">
        <v>2359</v>
      </c>
    </row>
    <row r="3435" customFormat="false" ht="14.25" hidden="true" customHeight="false" outlineLevel="0" collapsed="false">
      <c r="A3435" s="49" t="s">
        <v>2349</v>
      </c>
      <c r="B3435" s="49" t="s">
        <v>2350</v>
      </c>
      <c r="C3435" s="49" t="s">
        <v>6973</v>
      </c>
      <c r="D3435" s="49" t="s">
        <v>2352</v>
      </c>
      <c r="E3435" s="49" t="str">
        <f aca="false">"12464079"</f>
        <v>12464079</v>
      </c>
      <c r="F3435" s="49" t="s">
        <v>4706</v>
      </c>
      <c r="G3435" s="49" t="n">
        <v>0</v>
      </c>
      <c r="H3435" s="0" t="n">
        <v>0</v>
      </c>
      <c r="M3435" s="51" t="s">
        <v>6929</v>
      </c>
      <c r="N3435" s="49" t="n">
        <v>0</v>
      </c>
      <c r="O3435" s="53" t="n">
        <v>45773.6148032407</v>
      </c>
      <c r="P3435" s="53" t="n">
        <v>45775.9966435185</v>
      </c>
      <c r="Q3435" s="53" t="n">
        <v>45773.6148032407</v>
      </c>
      <c r="R3435" s="0" t="n">
        <v>0</v>
      </c>
      <c r="S3435" s="51" t="s">
        <v>2383</v>
      </c>
      <c r="T3435" s="51" t="s">
        <v>2383</v>
      </c>
      <c r="U3435" s="0" t="str">
        <f aca="false">"12464079"</f>
        <v>12464079</v>
      </c>
      <c r="V3435" s="51" t="s">
        <v>2365</v>
      </c>
      <c r="W3435" s="51" t="s">
        <v>6974</v>
      </c>
      <c r="X3435" s="51" t="s">
        <v>2359</v>
      </c>
    </row>
    <row r="3436" customFormat="false" ht="14.25" hidden="true" customHeight="false" outlineLevel="0" collapsed="false">
      <c r="A3436" s="49" t="s">
        <v>2349</v>
      </c>
      <c r="B3436" s="49" t="s">
        <v>2350</v>
      </c>
      <c r="C3436" s="49" t="s">
        <v>6975</v>
      </c>
      <c r="D3436" s="49" t="s">
        <v>2352</v>
      </c>
      <c r="E3436" s="49" t="str">
        <f aca="false">"12464079"</f>
        <v>12464079</v>
      </c>
      <c r="F3436" s="49" t="s">
        <v>4706</v>
      </c>
      <c r="G3436" s="49" t="n">
        <v>0</v>
      </c>
      <c r="H3436" s="0" t="n">
        <v>0</v>
      </c>
      <c r="M3436" s="51" t="s">
        <v>6929</v>
      </c>
      <c r="N3436" s="49" t="n">
        <v>0</v>
      </c>
      <c r="O3436" s="53" t="n">
        <v>45773.6150347222</v>
      </c>
      <c r="P3436" s="53" t="n">
        <v>45775.9683333333</v>
      </c>
      <c r="Q3436" s="53" t="n">
        <v>45773.6150347222</v>
      </c>
      <c r="R3436" s="0" t="n">
        <v>0</v>
      </c>
      <c r="S3436" s="51" t="s">
        <v>2383</v>
      </c>
      <c r="T3436" s="51" t="s">
        <v>2383</v>
      </c>
      <c r="U3436" s="0" t="str">
        <f aca="false">"12464079"</f>
        <v>12464079</v>
      </c>
      <c r="V3436" s="51" t="s">
        <v>2365</v>
      </c>
      <c r="W3436" s="51" t="s">
        <v>6484</v>
      </c>
      <c r="X3436" s="51" t="s">
        <v>2359</v>
      </c>
    </row>
    <row r="3437" customFormat="false" ht="14.25" hidden="true" customHeight="false" outlineLevel="0" collapsed="false">
      <c r="A3437" s="49" t="s">
        <v>2349</v>
      </c>
      <c r="B3437" s="49" t="s">
        <v>2350</v>
      </c>
      <c r="C3437" s="49" t="s">
        <v>6976</v>
      </c>
      <c r="D3437" s="49" t="s">
        <v>2352</v>
      </c>
      <c r="E3437" s="49" t="str">
        <f aca="false">"12464079"</f>
        <v>12464079</v>
      </c>
      <c r="F3437" s="49" t="s">
        <v>4706</v>
      </c>
      <c r="G3437" s="49" t="n">
        <v>0</v>
      </c>
      <c r="H3437" s="0" t="n">
        <v>0</v>
      </c>
      <c r="M3437" s="51" t="s">
        <v>6929</v>
      </c>
      <c r="N3437" s="49" t="n">
        <v>0</v>
      </c>
      <c r="O3437" s="53" t="n">
        <v>45773.6227430556</v>
      </c>
      <c r="P3437" s="53" t="n">
        <v>45775.9251041667</v>
      </c>
      <c r="Q3437" s="53" t="n">
        <v>45773.6227430556</v>
      </c>
      <c r="R3437" s="0" t="n">
        <v>0</v>
      </c>
      <c r="S3437" s="51" t="s">
        <v>2383</v>
      </c>
      <c r="T3437" s="51" t="s">
        <v>2383</v>
      </c>
      <c r="U3437" s="0" t="str">
        <f aca="false">"12464079"</f>
        <v>12464079</v>
      </c>
      <c r="V3437" s="51" t="s">
        <v>2365</v>
      </c>
      <c r="W3437" s="51" t="s">
        <v>6066</v>
      </c>
      <c r="X3437" s="51" t="s">
        <v>2359</v>
      </c>
    </row>
    <row r="3438" customFormat="false" ht="14.25" hidden="true" customHeight="false" outlineLevel="0" collapsed="false">
      <c r="A3438" s="49" t="s">
        <v>2349</v>
      </c>
      <c r="B3438" s="49" t="s">
        <v>2350</v>
      </c>
      <c r="C3438" s="49" t="s">
        <v>6977</v>
      </c>
      <c r="D3438" s="49" t="s">
        <v>2352</v>
      </c>
      <c r="E3438" s="49" t="str">
        <f aca="false">"12464079"</f>
        <v>12464079</v>
      </c>
      <c r="F3438" s="49" t="s">
        <v>4706</v>
      </c>
      <c r="G3438" s="49" t="n">
        <v>0</v>
      </c>
      <c r="H3438" s="0" t="n">
        <v>0</v>
      </c>
      <c r="M3438" s="51" t="s">
        <v>6929</v>
      </c>
      <c r="N3438" s="49" t="n">
        <v>0</v>
      </c>
      <c r="O3438" s="53" t="n">
        <v>45773.6216898148</v>
      </c>
      <c r="P3438" s="53" t="n">
        <v>45776.0531597222</v>
      </c>
      <c r="Q3438" s="53" t="n">
        <v>45773.6216898148</v>
      </c>
      <c r="R3438" s="0" t="n">
        <v>0</v>
      </c>
      <c r="S3438" s="51" t="s">
        <v>2383</v>
      </c>
      <c r="T3438" s="51" t="s">
        <v>2383</v>
      </c>
      <c r="U3438" s="0" t="str">
        <f aca="false">"12464079"</f>
        <v>12464079</v>
      </c>
      <c r="V3438" s="51" t="s">
        <v>2365</v>
      </c>
      <c r="W3438" s="51" t="s">
        <v>6978</v>
      </c>
      <c r="X3438" s="51" t="s">
        <v>2359</v>
      </c>
    </row>
    <row r="3439" customFormat="false" ht="14.25" hidden="true" customHeight="false" outlineLevel="0" collapsed="false">
      <c r="A3439" s="49" t="s">
        <v>2349</v>
      </c>
      <c r="B3439" s="49" t="s">
        <v>2350</v>
      </c>
      <c r="C3439" s="49" t="s">
        <v>6979</v>
      </c>
      <c r="D3439" s="49" t="s">
        <v>2352</v>
      </c>
      <c r="E3439" s="49" t="str">
        <f aca="false">"12464079"</f>
        <v>12464079</v>
      </c>
      <c r="F3439" s="49" t="s">
        <v>4706</v>
      </c>
      <c r="G3439" s="49" t="n">
        <v>0</v>
      </c>
      <c r="H3439" s="0" t="n">
        <v>0</v>
      </c>
      <c r="M3439" s="51" t="s">
        <v>6929</v>
      </c>
      <c r="N3439" s="49" t="n">
        <v>0</v>
      </c>
      <c r="O3439" s="53" t="n">
        <v>45773.6219560185</v>
      </c>
      <c r="P3439" s="53" t="n">
        <v>45776.0522800926</v>
      </c>
      <c r="Q3439" s="53" t="n">
        <v>45773.6219560185</v>
      </c>
      <c r="R3439" s="0" t="n">
        <v>0</v>
      </c>
      <c r="S3439" s="51" t="s">
        <v>2383</v>
      </c>
      <c r="T3439" s="51" t="s">
        <v>2383</v>
      </c>
      <c r="U3439" s="0" t="str">
        <f aca="false">"12464079"</f>
        <v>12464079</v>
      </c>
      <c r="V3439" s="51" t="s">
        <v>2365</v>
      </c>
      <c r="W3439" s="51" t="s">
        <v>6980</v>
      </c>
      <c r="X3439" s="51" t="s">
        <v>2359</v>
      </c>
    </row>
    <row r="3440" customFormat="false" ht="14.25" hidden="true" customHeight="false" outlineLevel="0" collapsed="false">
      <c r="A3440" s="49" t="s">
        <v>2349</v>
      </c>
      <c r="B3440" s="49" t="s">
        <v>2350</v>
      </c>
      <c r="C3440" s="49" t="s">
        <v>6981</v>
      </c>
      <c r="D3440" s="49" t="s">
        <v>2352</v>
      </c>
      <c r="E3440" s="49" t="str">
        <f aca="false">"12464079"</f>
        <v>12464079</v>
      </c>
      <c r="F3440" s="49" t="s">
        <v>4706</v>
      </c>
      <c r="G3440" s="49" t="n">
        <v>0</v>
      </c>
      <c r="H3440" s="0" t="n">
        <v>0</v>
      </c>
      <c r="M3440" s="51" t="s">
        <v>6929</v>
      </c>
      <c r="N3440" s="49" t="n">
        <v>0</v>
      </c>
      <c r="O3440" s="53" t="n">
        <v>45773.6121180556</v>
      </c>
      <c r="P3440" s="53" t="n">
        <v>45775.9561574074</v>
      </c>
      <c r="Q3440" s="53" t="n">
        <v>45773.6121180556</v>
      </c>
      <c r="R3440" s="0" t="n">
        <v>0</v>
      </c>
      <c r="S3440" s="51" t="s">
        <v>2383</v>
      </c>
      <c r="T3440" s="51" t="s">
        <v>2383</v>
      </c>
      <c r="U3440" s="0" t="str">
        <f aca="false">"12464079"</f>
        <v>12464079</v>
      </c>
      <c r="V3440" s="51" t="s">
        <v>2365</v>
      </c>
      <c r="W3440" s="51" t="s">
        <v>5987</v>
      </c>
      <c r="X3440" s="51" t="s">
        <v>2359</v>
      </c>
    </row>
    <row r="3441" customFormat="false" ht="14.25" hidden="true" customHeight="false" outlineLevel="0" collapsed="false">
      <c r="A3441" s="49" t="s">
        <v>2349</v>
      </c>
      <c r="B3441" s="49" t="s">
        <v>2350</v>
      </c>
      <c r="C3441" s="49" t="s">
        <v>6982</v>
      </c>
      <c r="D3441" s="49" t="s">
        <v>2352</v>
      </c>
      <c r="E3441" s="49" t="str">
        <f aca="false">"12464079"</f>
        <v>12464079</v>
      </c>
      <c r="F3441" s="49" t="s">
        <v>4706</v>
      </c>
      <c r="G3441" s="49" t="n">
        <v>0</v>
      </c>
      <c r="H3441" s="0" t="n">
        <v>0</v>
      </c>
      <c r="M3441" s="51" t="s">
        <v>6929</v>
      </c>
      <c r="N3441" s="49" t="n">
        <v>0</v>
      </c>
      <c r="O3441" s="53" t="n">
        <v>45773.6119212963</v>
      </c>
      <c r="P3441" s="53" t="n">
        <v>45775.9269907407</v>
      </c>
      <c r="Q3441" s="53" t="n">
        <v>45773.6119212963</v>
      </c>
      <c r="R3441" s="0" t="n">
        <v>0</v>
      </c>
      <c r="S3441" s="51" t="s">
        <v>2383</v>
      </c>
      <c r="T3441" s="51" t="s">
        <v>2383</v>
      </c>
      <c r="U3441" s="0" t="str">
        <f aca="false">"12464079"</f>
        <v>12464079</v>
      </c>
      <c r="V3441" s="51" t="s">
        <v>2365</v>
      </c>
      <c r="W3441" s="51" t="s">
        <v>6983</v>
      </c>
      <c r="X3441" s="51" t="s">
        <v>2359</v>
      </c>
    </row>
    <row r="3442" customFormat="false" ht="14.25" hidden="true" customHeight="false" outlineLevel="0" collapsed="false">
      <c r="A3442" s="49" t="s">
        <v>2349</v>
      </c>
      <c r="B3442" s="49" t="s">
        <v>2350</v>
      </c>
      <c r="C3442" s="49" t="s">
        <v>6984</v>
      </c>
      <c r="D3442" s="49" t="s">
        <v>2352</v>
      </c>
      <c r="E3442" s="49" t="str">
        <f aca="false">"12464079"</f>
        <v>12464079</v>
      </c>
      <c r="F3442" s="49" t="s">
        <v>4706</v>
      </c>
      <c r="G3442" s="49" t="n">
        <v>0</v>
      </c>
      <c r="H3442" s="0" t="n">
        <v>0</v>
      </c>
      <c r="M3442" s="51" t="s">
        <v>6929</v>
      </c>
      <c r="N3442" s="49" t="n">
        <v>0</v>
      </c>
      <c r="O3442" s="53" t="n">
        <v>45773.611724537</v>
      </c>
      <c r="P3442" s="53" t="n">
        <v>45775.9690277778</v>
      </c>
      <c r="Q3442" s="53" t="n">
        <v>45773.611724537</v>
      </c>
      <c r="R3442" s="0" t="n">
        <v>0</v>
      </c>
      <c r="S3442" s="51" t="s">
        <v>2383</v>
      </c>
      <c r="T3442" s="51" t="s">
        <v>2383</v>
      </c>
      <c r="U3442" s="0" t="str">
        <f aca="false">"12464079"</f>
        <v>12464079</v>
      </c>
      <c r="V3442" s="51" t="s">
        <v>2365</v>
      </c>
      <c r="W3442" s="51" t="s">
        <v>6985</v>
      </c>
      <c r="X3442" s="51" t="s">
        <v>2359</v>
      </c>
    </row>
    <row r="3443" customFormat="false" ht="14.25" hidden="true" customHeight="false" outlineLevel="0" collapsed="false">
      <c r="A3443" s="49" t="s">
        <v>2349</v>
      </c>
      <c r="B3443" s="49" t="s">
        <v>2350</v>
      </c>
      <c r="C3443" s="49" t="s">
        <v>6986</v>
      </c>
      <c r="D3443" s="49" t="s">
        <v>2352</v>
      </c>
      <c r="E3443" s="49" t="str">
        <f aca="false">"12464079"</f>
        <v>12464079</v>
      </c>
      <c r="F3443" s="49" t="s">
        <v>4706</v>
      </c>
      <c r="G3443" s="49" t="n">
        <v>0</v>
      </c>
      <c r="H3443" s="0" t="n">
        <v>0</v>
      </c>
      <c r="M3443" s="51" t="s">
        <v>6929</v>
      </c>
      <c r="N3443" s="49" t="n">
        <v>0</v>
      </c>
      <c r="O3443" s="53" t="n">
        <v>45773.6114467593</v>
      </c>
      <c r="P3443" s="53" t="n">
        <v>45775.9671296296</v>
      </c>
      <c r="Q3443" s="53" t="n">
        <v>45773.6114467593</v>
      </c>
      <c r="R3443" s="0" t="n">
        <v>0</v>
      </c>
      <c r="S3443" s="51" t="s">
        <v>2383</v>
      </c>
      <c r="T3443" s="51" t="s">
        <v>2383</v>
      </c>
      <c r="U3443" s="0" t="str">
        <f aca="false">"12464079"</f>
        <v>12464079</v>
      </c>
      <c r="V3443" s="51" t="s">
        <v>2365</v>
      </c>
      <c r="W3443" s="51" t="s">
        <v>4511</v>
      </c>
      <c r="X3443" s="51" t="s">
        <v>2359</v>
      </c>
    </row>
    <row r="3444" customFormat="false" ht="14.25" hidden="true" customHeight="false" outlineLevel="0" collapsed="false">
      <c r="A3444" s="49" t="s">
        <v>2349</v>
      </c>
      <c r="B3444" s="49" t="s">
        <v>2350</v>
      </c>
      <c r="C3444" s="49" t="s">
        <v>6987</v>
      </c>
      <c r="D3444" s="49" t="s">
        <v>2352</v>
      </c>
      <c r="E3444" s="49" t="str">
        <f aca="false">"12464079"</f>
        <v>12464079</v>
      </c>
      <c r="F3444" s="49" t="s">
        <v>4706</v>
      </c>
      <c r="G3444" s="49" t="n">
        <v>0</v>
      </c>
      <c r="H3444" s="0" t="n">
        <v>0</v>
      </c>
      <c r="M3444" s="51" t="s">
        <v>6929</v>
      </c>
      <c r="N3444" s="49" t="n">
        <v>0</v>
      </c>
      <c r="O3444" s="53" t="n">
        <v>45773.61125</v>
      </c>
      <c r="P3444" s="53" t="n">
        <v>45776.6312962963</v>
      </c>
      <c r="Q3444" s="53" t="n">
        <v>45773.61125</v>
      </c>
      <c r="R3444" s="0" t="n">
        <v>0</v>
      </c>
      <c r="S3444" s="51" t="s">
        <v>2383</v>
      </c>
      <c r="T3444" s="51" t="s">
        <v>2383</v>
      </c>
      <c r="U3444" s="0" t="str">
        <f aca="false">"12464079"</f>
        <v>12464079</v>
      </c>
      <c r="V3444" s="51" t="s">
        <v>2365</v>
      </c>
      <c r="W3444" s="51" t="s">
        <v>6988</v>
      </c>
      <c r="X3444" s="51" t="s">
        <v>2359</v>
      </c>
    </row>
    <row r="3445" customFormat="false" ht="14.25" hidden="true" customHeight="false" outlineLevel="0" collapsed="false">
      <c r="A3445" s="49" t="s">
        <v>2349</v>
      </c>
      <c r="B3445" s="49" t="s">
        <v>2350</v>
      </c>
      <c r="C3445" s="49" t="s">
        <v>6989</v>
      </c>
      <c r="D3445" s="49" t="s">
        <v>2352</v>
      </c>
      <c r="E3445" s="49" t="str">
        <f aca="false">"12464079"</f>
        <v>12464079</v>
      </c>
      <c r="F3445" s="49" t="s">
        <v>4706</v>
      </c>
      <c r="G3445" s="49" t="n">
        <v>0</v>
      </c>
      <c r="H3445" s="0" t="n">
        <v>0</v>
      </c>
      <c r="M3445" s="51" t="s">
        <v>6929</v>
      </c>
      <c r="N3445" s="49" t="n">
        <v>0</v>
      </c>
      <c r="O3445" s="53" t="n">
        <v>45773.6109606482</v>
      </c>
      <c r="P3445" s="53" t="n">
        <v>45776.0556481482</v>
      </c>
      <c r="Q3445" s="53" t="n">
        <v>45773.6109606482</v>
      </c>
      <c r="R3445" s="0" t="n">
        <v>0</v>
      </c>
      <c r="S3445" s="51" t="s">
        <v>2383</v>
      </c>
      <c r="T3445" s="51" t="s">
        <v>2383</v>
      </c>
      <c r="U3445" s="0" t="str">
        <f aca="false">"12464079"</f>
        <v>12464079</v>
      </c>
      <c r="V3445" s="51" t="s">
        <v>2365</v>
      </c>
      <c r="W3445" s="51" t="s">
        <v>6990</v>
      </c>
      <c r="X3445" s="51" t="s">
        <v>2359</v>
      </c>
    </row>
    <row r="3446" customFormat="false" ht="14.25" hidden="true" customHeight="false" outlineLevel="0" collapsed="false">
      <c r="A3446" s="49" t="s">
        <v>2349</v>
      </c>
      <c r="B3446" s="49" t="s">
        <v>2350</v>
      </c>
      <c r="C3446" s="49" t="s">
        <v>6991</v>
      </c>
      <c r="D3446" s="49" t="s">
        <v>2352</v>
      </c>
      <c r="E3446" s="49" t="str">
        <f aca="false">"12464079"</f>
        <v>12464079</v>
      </c>
      <c r="F3446" s="49" t="s">
        <v>4706</v>
      </c>
      <c r="G3446" s="49" t="n">
        <v>0</v>
      </c>
      <c r="H3446" s="0" t="n">
        <v>0</v>
      </c>
      <c r="M3446" s="51" t="s">
        <v>6929</v>
      </c>
      <c r="N3446" s="49" t="n">
        <v>0</v>
      </c>
      <c r="O3446" s="53" t="n">
        <v>45773.6104282407</v>
      </c>
      <c r="P3446" s="53" t="n">
        <v>45775.924525463</v>
      </c>
      <c r="Q3446" s="53" t="n">
        <v>45773.6104282407</v>
      </c>
      <c r="R3446" s="0" t="n">
        <v>0</v>
      </c>
      <c r="S3446" s="51" t="s">
        <v>2383</v>
      </c>
      <c r="T3446" s="51" t="s">
        <v>2383</v>
      </c>
      <c r="U3446" s="0" t="str">
        <f aca="false">"12464079"</f>
        <v>12464079</v>
      </c>
      <c r="V3446" s="51" t="s">
        <v>2365</v>
      </c>
      <c r="W3446" s="51" t="s">
        <v>6992</v>
      </c>
      <c r="X3446" s="51" t="s">
        <v>2359</v>
      </c>
    </row>
    <row r="3447" customFormat="false" ht="14.25" hidden="true" customHeight="false" outlineLevel="0" collapsed="false">
      <c r="A3447" s="49" t="s">
        <v>2349</v>
      </c>
      <c r="B3447" s="49" t="s">
        <v>2350</v>
      </c>
      <c r="C3447" s="49" t="s">
        <v>6993</v>
      </c>
      <c r="D3447" s="49" t="s">
        <v>2352</v>
      </c>
      <c r="E3447" s="49" t="str">
        <f aca="false">"12464079"</f>
        <v>12464079</v>
      </c>
      <c r="F3447" s="49" t="s">
        <v>4706</v>
      </c>
      <c r="G3447" s="49" t="n">
        <v>0</v>
      </c>
      <c r="H3447" s="0" t="n">
        <v>0</v>
      </c>
      <c r="M3447" s="51" t="s">
        <v>6929</v>
      </c>
      <c r="N3447" s="49" t="n">
        <v>0</v>
      </c>
      <c r="O3447" s="53" t="n">
        <v>45773.6101041667</v>
      </c>
      <c r="P3447" s="53" t="n">
        <v>45775.974212963</v>
      </c>
      <c r="Q3447" s="53" t="n">
        <v>45773.6101041667</v>
      </c>
      <c r="R3447" s="0" t="n">
        <v>0</v>
      </c>
      <c r="S3447" s="51" t="s">
        <v>2383</v>
      </c>
      <c r="T3447" s="51" t="s">
        <v>2383</v>
      </c>
      <c r="U3447" s="0" t="str">
        <f aca="false">"12464079"</f>
        <v>12464079</v>
      </c>
      <c r="V3447" s="51" t="s">
        <v>2365</v>
      </c>
      <c r="W3447" s="51" t="s">
        <v>6994</v>
      </c>
      <c r="X3447" s="51" t="s">
        <v>2359</v>
      </c>
    </row>
    <row r="3448" customFormat="false" ht="14.25" hidden="true" customHeight="false" outlineLevel="0" collapsed="false">
      <c r="A3448" s="49" t="s">
        <v>2349</v>
      </c>
      <c r="B3448" s="49" t="s">
        <v>2350</v>
      </c>
      <c r="C3448" s="49" t="s">
        <v>6995</v>
      </c>
      <c r="D3448" s="49" t="s">
        <v>2352</v>
      </c>
      <c r="E3448" s="49" t="str">
        <f aca="false">"12464079"</f>
        <v>12464079</v>
      </c>
      <c r="F3448" s="49" t="s">
        <v>4706</v>
      </c>
      <c r="G3448" s="49" t="n">
        <v>0</v>
      </c>
      <c r="H3448" s="0" t="n">
        <v>0</v>
      </c>
      <c r="M3448" s="51" t="s">
        <v>6929</v>
      </c>
      <c r="N3448" s="49" t="n">
        <v>0</v>
      </c>
      <c r="O3448" s="53" t="n">
        <v>45773.6099074074</v>
      </c>
      <c r="P3448" s="53" t="n">
        <v>45775.9731134259</v>
      </c>
      <c r="Q3448" s="53" t="n">
        <v>45773.6099074074</v>
      </c>
      <c r="R3448" s="0" t="n">
        <v>0</v>
      </c>
      <c r="S3448" s="51" t="s">
        <v>2383</v>
      </c>
      <c r="T3448" s="51" t="s">
        <v>2383</v>
      </c>
      <c r="U3448" s="0" t="str">
        <f aca="false">"12464079"</f>
        <v>12464079</v>
      </c>
      <c r="V3448" s="51" t="s">
        <v>2365</v>
      </c>
      <c r="W3448" s="51" t="s">
        <v>5170</v>
      </c>
      <c r="X3448" s="51" t="s">
        <v>2359</v>
      </c>
    </row>
    <row r="3449" customFormat="false" ht="14.25" hidden="true" customHeight="false" outlineLevel="0" collapsed="false">
      <c r="A3449" s="49" t="s">
        <v>2349</v>
      </c>
      <c r="B3449" s="49" t="s">
        <v>2350</v>
      </c>
      <c r="C3449" s="49" t="s">
        <v>6996</v>
      </c>
      <c r="D3449" s="49" t="s">
        <v>2352</v>
      </c>
      <c r="E3449" s="49" t="str">
        <f aca="false">"12464079"</f>
        <v>12464079</v>
      </c>
      <c r="F3449" s="49" t="s">
        <v>4706</v>
      </c>
      <c r="G3449" s="49" t="n">
        <v>0</v>
      </c>
      <c r="H3449" s="0" t="n">
        <v>0</v>
      </c>
      <c r="M3449" s="51" t="s">
        <v>6929</v>
      </c>
      <c r="N3449" s="49" t="n">
        <v>0</v>
      </c>
      <c r="O3449" s="53" t="n">
        <v>45773.6097453704</v>
      </c>
      <c r="P3449" s="53" t="n">
        <v>45775.9821990741</v>
      </c>
      <c r="Q3449" s="53" t="n">
        <v>45773.6097453704</v>
      </c>
      <c r="R3449" s="0" t="n">
        <v>0</v>
      </c>
      <c r="S3449" s="51" t="s">
        <v>2383</v>
      </c>
      <c r="T3449" s="51" t="s">
        <v>2383</v>
      </c>
      <c r="U3449" s="0" t="str">
        <f aca="false">"12464079"</f>
        <v>12464079</v>
      </c>
      <c r="V3449" s="51" t="s">
        <v>2365</v>
      </c>
      <c r="W3449" s="51" t="s">
        <v>4276</v>
      </c>
      <c r="X3449" s="51" t="s">
        <v>2359</v>
      </c>
    </row>
    <row r="3450" customFormat="false" ht="14.25" hidden="true" customHeight="false" outlineLevel="0" collapsed="false">
      <c r="A3450" s="49" t="s">
        <v>2349</v>
      </c>
      <c r="B3450" s="49" t="s">
        <v>2350</v>
      </c>
      <c r="C3450" s="49" t="s">
        <v>6997</v>
      </c>
      <c r="D3450" s="49" t="s">
        <v>2352</v>
      </c>
      <c r="E3450" s="49" t="str">
        <f aca="false">"12464079"</f>
        <v>12464079</v>
      </c>
      <c r="F3450" s="49" t="s">
        <v>4706</v>
      </c>
      <c r="G3450" s="49" t="n">
        <v>0</v>
      </c>
      <c r="H3450" s="0" t="n">
        <v>0</v>
      </c>
      <c r="M3450" s="51" t="s">
        <v>6929</v>
      </c>
      <c r="N3450" s="49" t="n">
        <v>0</v>
      </c>
      <c r="O3450" s="53" t="n">
        <v>45773.6095601852</v>
      </c>
      <c r="P3450" s="53" t="n">
        <v>45775.9983333333</v>
      </c>
      <c r="Q3450" s="53" t="n">
        <v>45773.6095601852</v>
      </c>
      <c r="R3450" s="0" t="n">
        <v>0</v>
      </c>
      <c r="S3450" s="51" t="s">
        <v>2383</v>
      </c>
      <c r="T3450" s="51" t="s">
        <v>2383</v>
      </c>
      <c r="U3450" s="0" t="str">
        <f aca="false">"12464079"</f>
        <v>12464079</v>
      </c>
      <c r="V3450" s="51" t="s">
        <v>2365</v>
      </c>
      <c r="W3450" s="51" t="s">
        <v>6998</v>
      </c>
      <c r="X3450" s="51" t="s">
        <v>2359</v>
      </c>
    </row>
    <row r="3451" customFormat="false" ht="14.25" hidden="true" customHeight="false" outlineLevel="0" collapsed="false">
      <c r="A3451" s="49" t="s">
        <v>2349</v>
      </c>
      <c r="B3451" s="49" t="s">
        <v>2350</v>
      </c>
      <c r="C3451" s="49" t="s">
        <v>6999</v>
      </c>
      <c r="D3451" s="49" t="s">
        <v>2352</v>
      </c>
      <c r="E3451" s="49" t="str">
        <f aca="false">"12464079"</f>
        <v>12464079</v>
      </c>
      <c r="F3451" s="49" t="s">
        <v>4706</v>
      </c>
      <c r="G3451" s="49" t="n">
        <v>0</v>
      </c>
      <c r="H3451" s="0" t="n">
        <v>0</v>
      </c>
      <c r="M3451" s="51" t="s">
        <v>6929</v>
      </c>
      <c r="N3451" s="49" t="n">
        <v>0</v>
      </c>
      <c r="O3451" s="53" t="n">
        <v>45773.6093865741</v>
      </c>
      <c r="P3451" s="53" t="n">
        <v>45775.9852546296</v>
      </c>
      <c r="Q3451" s="53" t="n">
        <v>45773.6093865741</v>
      </c>
      <c r="R3451" s="0" t="n">
        <v>0</v>
      </c>
      <c r="S3451" s="51" t="s">
        <v>2383</v>
      </c>
      <c r="T3451" s="51" t="s">
        <v>2383</v>
      </c>
      <c r="U3451" s="0" t="str">
        <f aca="false">"12464079"</f>
        <v>12464079</v>
      </c>
      <c r="V3451" s="51" t="s">
        <v>2365</v>
      </c>
      <c r="W3451" s="51" t="s">
        <v>6243</v>
      </c>
      <c r="X3451" s="51" t="s">
        <v>2359</v>
      </c>
    </row>
    <row r="3452" customFormat="false" ht="14.25" hidden="true" customHeight="false" outlineLevel="0" collapsed="false">
      <c r="A3452" s="49" t="s">
        <v>2349</v>
      </c>
      <c r="B3452" s="49" t="s">
        <v>2350</v>
      </c>
      <c r="C3452" s="49" t="s">
        <v>7000</v>
      </c>
      <c r="D3452" s="49" t="s">
        <v>2352</v>
      </c>
      <c r="E3452" s="49" t="str">
        <f aca="false">"12464079"</f>
        <v>12464079</v>
      </c>
      <c r="F3452" s="49" t="s">
        <v>4706</v>
      </c>
      <c r="G3452" s="49" t="n">
        <v>0</v>
      </c>
      <c r="H3452" s="0" t="n">
        <v>0</v>
      </c>
      <c r="M3452" s="51" t="s">
        <v>6929</v>
      </c>
      <c r="N3452" s="49" t="n">
        <v>0</v>
      </c>
      <c r="O3452" s="53" t="n">
        <v>45773.6091435185</v>
      </c>
      <c r="P3452" s="53" t="n">
        <v>45775.9678009259</v>
      </c>
      <c r="Q3452" s="53" t="n">
        <v>45773.6091435185</v>
      </c>
      <c r="R3452" s="0" t="n">
        <v>0</v>
      </c>
      <c r="S3452" s="51" t="s">
        <v>2383</v>
      </c>
      <c r="T3452" s="51" t="s">
        <v>2383</v>
      </c>
      <c r="U3452" s="0" t="str">
        <f aca="false">"12464079"</f>
        <v>12464079</v>
      </c>
      <c r="V3452" s="51" t="s">
        <v>2365</v>
      </c>
      <c r="W3452" s="51" t="s">
        <v>7001</v>
      </c>
      <c r="X3452" s="51" t="s">
        <v>2359</v>
      </c>
    </row>
    <row r="3453" customFormat="false" ht="14.25" hidden="true" customHeight="false" outlineLevel="0" collapsed="false">
      <c r="A3453" s="49" t="s">
        <v>2349</v>
      </c>
      <c r="B3453" s="49" t="s">
        <v>2350</v>
      </c>
      <c r="C3453" s="49" t="s">
        <v>7002</v>
      </c>
      <c r="D3453" s="49" t="s">
        <v>2352</v>
      </c>
      <c r="E3453" s="49" t="str">
        <f aca="false">"12464079"</f>
        <v>12464079</v>
      </c>
      <c r="F3453" s="49" t="s">
        <v>4706</v>
      </c>
      <c r="G3453" s="49" t="n">
        <v>0</v>
      </c>
      <c r="H3453" s="0" t="n">
        <v>0</v>
      </c>
      <c r="M3453" s="51" t="s">
        <v>6929</v>
      </c>
      <c r="N3453" s="49" t="n">
        <v>0</v>
      </c>
      <c r="O3453" s="53" t="n">
        <v>45773.6088078704</v>
      </c>
      <c r="P3453" s="53" t="n">
        <v>45776.0571296296</v>
      </c>
      <c r="Q3453" s="53" t="n">
        <v>45773.6088078704</v>
      </c>
      <c r="R3453" s="0" t="n">
        <v>0</v>
      </c>
      <c r="S3453" s="51" t="s">
        <v>2383</v>
      </c>
      <c r="T3453" s="51" t="s">
        <v>2383</v>
      </c>
      <c r="U3453" s="0" t="str">
        <f aca="false">"12464079"</f>
        <v>12464079</v>
      </c>
      <c r="V3453" s="51" t="s">
        <v>2365</v>
      </c>
      <c r="W3453" s="51" t="s">
        <v>5954</v>
      </c>
      <c r="X3453" s="51" t="s">
        <v>2359</v>
      </c>
    </row>
    <row r="3454" customFormat="false" ht="14.25" hidden="true" customHeight="false" outlineLevel="0" collapsed="false">
      <c r="A3454" s="49" t="s">
        <v>2349</v>
      </c>
      <c r="B3454" s="49" t="s">
        <v>2350</v>
      </c>
      <c r="C3454" s="49" t="s">
        <v>7003</v>
      </c>
      <c r="D3454" s="49" t="s">
        <v>2352</v>
      </c>
      <c r="E3454" s="49" t="str">
        <f aca="false">"12464079"</f>
        <v>12464079</v>
      </c>
      <c r="F3454" s="49" t="s">
        <v>4706</v>
      </c>
      <c r="G3454" s="49" t="n">
        <v>0</v>
      </c>
      <c r="H3454" s="0" t="n">
        <v>0</v>
      </c>
      <c r="M3454" s="51" t="s">
        <v>6929</v>
      </c>
      <c r="N3454" s="49" t="n">
        <v>0</v>
      </c>
      <c r="O3454" s="53" t="n">
        <v>45773.608587963</v>
      </c>
      <c r="P3454" s="53" t="n">
        <v>45776.0509837963</v>
      </c>
      <c r="Q3454" s="53" t="n">
        <v>45773.608587963</v>
      </c>
      <c r="R3454" s="0" t="n">
        <v>0</v>
      </c>
      <c r="S3454" s="51" t="s">
        <v>2383</v>
      </c>
      <c r="T3454" s="51" t="s">
        <v>2383</v>
      </c>
      <c r="U3454" s="0" t="str">
        <f aca="false">"12464079"</f>
        <v>12464079</v>
      </c>
      <c r="V3454" s="51" t="s">
        <v>2365</v>
      </c>
      <c r="W3454" s="51" t="s">
        <v>4280</v>
      </c>
      <c r="X3454" s="51" t="s">
        <v>2359</v>
      </c>
    </row>
    <row r="3455" customFormat="false" ht="14.25" hidden="true" customHeight="false" outlineLevel="0" collapsed="false">
      <c r="A3455" s="49" t="s">
        <v>2349</v>
      </c>
      <c r="B3455" s="49" t="s">
        <v>2350</v>
      </c>
      <c r="C3455" s="49" t="s">
        <v>7004</v>
      </c>
      <c r="D3455" s="49" t="s">
        <v>2352</v>
      </c>
      <c r="E3455" s="49" t="str">
        <f aca="false">"12464079"</f>
        <v>12464079</v>
      </c>
      <c r="F3455" s="49" t="s">
        <v>4706</v>
      </c>
      <c r="G3455" s="49" t="n">
        <v>0</v>
      </c>
      <c r="H3455" s="0" t="n">
        <v>0</v>
      </c>
      <c r="M3455" s="51" t="s">
        <v>6929</v>
      </c>
      <c r="N3455" s="49" t="n">
        <v>0</v>
      </c>
      <c r="O3455" s="53" t="n">
        <v>45773.6080092593</v>
      </c>
      <c r="P3455" s="53" t="n">
        <v>45775.9749074074</v>
      </c>
      <c r="Q3455" s="53" t="n">
        <v>45773.6080092593</v>
      </c>
      <c r="R3455" s="0" t="n">
        <v>0</v>
      </c>
      <c r="S3455" s="51" t="s">
        <v>2383</v>
      </c>
      <c r="T3455" s="51" t="s">
        <v>2383</v>
      </c>
      <c r="U3455" s="0" t="str">
        <f aca="false">"12464079"</f>
        <v>12464079</v>
      </c>
      <c r="V3455" s="51" t="s">
        <v>2365</v>
      </c>
      <c r="W3455" s="51" t="s">
        <v>4795</v>
      </c>
      <c r="X3455" s="51" t="s">
        <v>2359</v>
      </c>
    </row>
    <row r="3456" customFormat="false" ht="14.25" hidden="true" customHeight="false" outlineLevel="0" collapsed="false">
      <c r="A3456" s="49" t="s">
        <v>2349</v>
      </c>
      <c r="B3456" s="49" t="s">
        <v>2350</v>
      </c>
      <c r="C3456" s="49" t="s">
        <v>7005</v>
      </c>
      <c r="D3456" s="49" t="s">
        <v>2352</v>
      </c>
      <c r="E3456" s="49" t="str">
        <f aca="false">"12207690"</f>
        <v>12207690</v>
      </c>
      <c r="F3456" s="49" t="s">
        <v>4199</v>
      </c>
      <c r="G3456" s="49" t="n">
        <v>0</v>
      </c>
      <c r="H3456" s="0" t="n">
        <v>0</v>
      </c>
      <c r="M3456" s="51" t="s">
        <v>6929</v>
      </c>
      <c r="N3456" s="49" t="n">
        <v>0</v>
      </c>
      <c r="O3456" s="53" t="n">
        <v>45773.6286226852</v>
      </c>
      <c r="P3456" s="53" t="n">
        <v>45778.3875347222</v>
      </c>
      <c r="Q3456" s="53" t="n">
        <v>45773.6286226852</v>
      </c>
      <c r="R3456" s="0" t="n">
        <v>0</v>
      </c>
      <c r="S3456" s="51" t="s">
        <v>2383</v>
      </c>
      <c r="T3456" s="51" t="s">
        <v>2383</v>
      </c>
      <c r="U3456" s="0" t="str">
        <f aca="false">"12207690"</f>
        <v>12207690</v>
      </c>
      <c r="V3456" s="51" t="s">
        <v>2365</v>
      </c>
      <c r="W3456" s="51" t="s">
        <v>7006</v>
      </c>
      <c r="X3456" s="51" t="s">
        <v>2359</v>
      </c>
    </row>
    <row r="3457" customFormat="false" ht="14.25" hidden="true" customHeight="false" outlineLevel="0" collapsed="false">
      <c r="A3457" s="49" t="s">
        <v>2349</v>
      </c>
      <c r="B3457" s="49" t="s">
        <v>2350</v>
      </c>
      <c r="C3457" s="49" t="s">
        <v>7007</v>
      </c>
      <c r="D3457" s="49" t="s">
        <v>2352</v>
      </c>
      <c r="E3457" s="49" t="str">
        <f aca="false">"12207690"</f>
        <v>12207690</v>
      </c>
      <c r="F3457" s="49" t="s">
        <v>4199</v>
      </c>
      <c r="G3457" s="49" t="n">
        <v>0</v>
      </c>
      <c r="H3457" s="0" t="n">
        <v>0</v>
      </c>
      <c r="M3457" s="51" t="s">
        <v>6929</v>
      </c>
      <c r="N3457" s="49" t="n">
        <v>0</v>
      </c>
      <c r="O3457" s="53" t="n">
        <v>45773.6293865741</v>
      </c>
      <c r="P3457" s="53" t="n">
        <v>45778.3807175926</v>
      </c>
      <c r="Q3457" s="53" t="n">
        <v>45773.6293865741</v>
      </c>
      <c r="R3457" s="0" t="n">
        <v>0</v>
      </c>
      <c r="S3457" s="51" t="s">
        <v>2383</v>
      </c>
      <c r="T3457" s="51" t="s">
        <v>2383</v>
      </c>
      <c r="U3457" s="0" t="str">
        <f aca="false">"12207690"</f>
        <v>12207690</v>
      </c>
      <c r="V3457" s="51" t="s">
        <v>2365</v>
      </c>
      <c r="W3457" s="51" t="s">
        <v>7008</v>
      </c>
      <c r="X3457" s="51" t="s">
        <v>2359</v>
      </c>
    </row>
    <row r="3458" customFormat="false" ht="14.25" hidden="true" customHeight="false" outlineLevel="0" collapsed="false">
      <c r="A3458" s="49" t="s">
        <v>2349</v>
      </c>
      <c r="B3458" s="49" t="s">
        <v>2350</v>
      </c>
      <c r="C3458" s="49" t="s">
        <v>7009</v>
      </c>
      <c r="D3458" s="49" t="s">
        <v>2352</v>
      </c>
      <c r="E3458" s="49" t="str">
        <f aca="false">"12207690"</f>
        <v>12207690</v>
      </c>
      <c r="F3458" s="49" t="s">
        <v>4199</v>
      </c>
      <c r="G3458" s="49" t="n">
        <v>0</v>
      </c>
      <c r="H3458" s="0" t="n">
        <v>0</v>
      </c>
      <c r="M3458" s="51" t="s">
        <v>6929</v>
      </c>
      <c r="N3458" s="49" t="n">
        <v>0</v>
      </c>
      <c r="O3458" s="53" t="n">
        <v>45773.6322800926</v>
      </c>
      <c r="P3458" s="53" t="n">
        <v>45778.3794791667</v>
      </c>
      <c r="Q3458" s="53" t="n">
        <v>45773.6322800926</v>
      </c>
      <c r="R3458" s="0" t="n">
        <v>0</v>
      </c>
      <c r="S3458" s="51" t="s">
        <v>2383</v>
      </c>
      <c r="T3458" s="51" t="s">
        <v>2383</v>
      </c>
      <c r="U3458" s="0" t="str">
        <f aca="false">"12207690"</f>
        <v>12207690</v>
      </c>
      <c r="V3458" s="51" t="s">
        <v>2365</v>
      </c>
      <c r="W3458" s="51" t="s">
        <v>7010</v>
      </c>
      <c r="X3458" s="51" t="s">
        <v>2359</v>
      </c>
    </row>
    <row r="3459" customFormat="false" ht="14.25" hidden="true" customHeight="false" outlineLevel="0" collapsed="false">
      <c r="A3459" s="49" t="s">
        <v>2349</v>
      </c>
      <c r="B3459" s="49" t="s">
        <v>2350</v>
      </c>
      <c r="C3459" s="49" t="s">
        <v>7011</v>
      </c>
      <c r="D3459" s="49" t="s">
        <v>2352</v>
      </c>
      <c r="E3459" s="49" t="str">
        <f aca="false">"12207690"</f>
        <v>12207690</v>
      </c>
      <c r="F3459" s="49" t="s">
        <v>4199</v>
      </c>
      <c r="G3459" s="49" t="n">
        <v>0</v>
      </c>
      <c r="H3459" s="0" t="n">
        <v>0</v>
      </c>
      <c r="M3459" s="51" t="s">
        <v>6929</v>
      </c>
      <c r="N3459" s="49" t="n">
        <v>0</v>
      </c>
      <c r="O3459" s="53" t="n">
        <v>45773.6314467593</v>
      </c>
      <c r="P3459" s="53" t="n">
        <v>45778.3889236111</v>
      </c>
      <c r="Q3459" s="53" t="n">
        <v>45773.6314467593</v>
      </c>
      <c r="R3459" s="0" t="n">
        <v>0</v>
      </c>
      <c r="S3459" s="51" t="s">
        <v>2383</v>
      </c>
      <c r="T3459" s="51" t="s">
        <v>2383</v>
      </c>
      <c r="U3459" s="0" t="str">
        <f aca="false">"12207690"</f>
        <v>12207690</v>
      </c>
      <c r="V3459" s="51" t="s">
        <v>2365</v>
      </c>
      <c r="W3459" s="51" t="s">
        <v>7012</v>
      </c>
      <c r="X3459" s="51" t="s">
        <v>2359</v>
      </c>
    </row>
    <row r="3460" customFormat="false" ht="14.25" hidden="true" customHeight="false" outlineLevel="0" collapsed="false">
      <c r="A3460" s="49" t="s">
        <v>2349</v>
      </c>
      <c r="B3460" s="49" t="s">
        <v>2350</v>
      </c>
      <c r="C3460" s="49" t="s">
        <v>7013</v>
      </c>
      <c r="D3460" s="49" t="s">
        <v>2352</v>
      </c>
      <c r="E3460" s="49" t="str">
        <f aca="false">"12207690"</f>
        <v>12207690</v>
      </c>
      <c r="F3460" s="49" t="s">
        <v>4199</v>
      </c>
      <c r="G3460" s="49" t="n">
        <v>0</v>
      </c>
      <c r="H3460" s="0" t="n">
        <v>0</v>
      </c>
      <c r="M3460" s="51" t="s">
        <v>6929</v>
      </c>
      <c r="N3460" s="49" t="n">
        <v>0</v>
      </c>
      <c r="O3460" s="53" t="n">
        <v>45773.6309953704</v>
      </c>
      <c r="P3460" s="53" t="n">
        <v>45778.3889814815</v>
      </c>
      <c r="Q3460" s="53" t="n">
        <v>45773.6309953704</v>
      </c>
      <c r="R3460" s="0" t="n">
        <v>0</v>
      </c>
      <c r="S3460" s="51" t="s">
        <v>2383</v>
      </c>
      <c r="T3460" s="51" t="s">
        <v>2383</v>
      </c>
      <c r="U3460" s="0" t="str">
        <f aca="false">"12207690"</f>
        <v>12207690</v>
      </c>
      <c r="V3460" s="51" t="s">
        <v>2365</v>
      </c>
      <c r="W3460" s="51" t="s">
        <v>7014</v>
      </c>
      <c r="X3460" s="51" t="s">
        <v>2359</v>
      </c>
    </row>
    <row r="3461" customFormat="false" ht="14.25" hidden="true" customHeight="false" outlineLevel="0" collapsed="false">
      <c r="A3461" s="49" t="s">
        <v>2349</v>
      </c>
      <c r="B3461" s="49" t="s">
        <v>2350</v>
      </c>
      <c r="C3461" s="49" t="s">
        <v>7015</v>
      </c>
      <c r="D3461" s="49" t="s">
        <v>2352</v>
      </c>
      <c r="E3461" s="49" t="str">
        <f aca="false">"12207690"</f>
        <v>12207690</v>
      </c>
      <c r="F3461" s="49" t="s">
        <v>4199</v>
      </c>
      <c r="G3461" s="49" t="n">
        <v>0</v>
      </c>
      <c r="H3461" s="0" t="n">
        <v>0</v>
      </c>
      <c r="M3461" s="51" t="s">
        <v>6929</v>
      </c>
      <c r="N3461" s="49" t="n">
        <v>0</v>
      </c>
      <c r="O3461" s="53" t="n">
        <v>45773.6318287037</v>
      </c>
      <c r="P3461" s="53" t="n">
        <v>45778.3879398148</v>
      </c>
      <c r="Q3461" s="53" t="n">
        <v>45773.6318287037</v>
      </c>
      <c r="R3461" s="0" t="n">
        <v>0</v>
      </c>
      <c r="S3461" s="51" t="s">
        <v>2383</v>
      </c>
      <c r="T3461" s="51" t="s">
        <v>2383</v>
      </c>
      <c r="U3461" s="0" t="str">
        <f aca="false">"12207690"</f>
        <v>12207690</v>
      </c>
      <c r="V3461" s="51" t="s">
        <v>2365</v>
      </c>
      <c r="W3461" s="51" t="s">
        <v>6830</v>
      </c>
      <c r="X3461" s="51" t="s">
        <v>2359</v>
      </c>
    </row>
    <row r="3462" customFormat="false" ht="14.25" hidden="true" customHeight="false" outlineLevel="0" collapsed="false">
      <c r="A3462" s="49" t="s">
        <v>2349</v>
      </c>
      <c r="B3462" s="49" t="s">
        <v>2350</v>
      </c>
      <c r="C3462" s="49" t="s">
        <v>7016</v>
      </c>
      <c r="D3462" s="49" t="s">
        <v>2352</v>
      </c>
      <c r="E3462" s="49" t="str">
        <f aca="false">"12207690"</f>
        <v>12207690</v>
      </c>
      <c r="F3462" s="49" t="s">
        <v>4199</v>
      </c>
      <c r="G3462" s="49" t="n">
        <v>0</v>
      </c>
      <c r="H3462" s="0" t="n">
        <v>0</v>
      </c>
      <c r="M3462" s="51" t="s">
        <v>6929</v>
      </c>
      <c r="N3462" s="49" t="n">
        <v>0</v>
      </c>
      <c r="O3462" s="53" t="n">
        <v>45773.6333101852</v>
      </c>
      <c r="P3462" s="53" t="n">
        <v>45778.3820486111</v>
      </c>
      <c r="Q3462" s="53" t="n">
        <v>45773.6333101852</v>
      </c>
      <c r="R3462" s="0" t="n">
        <v>0</v>
      </c>
      <c r="S3462" s="51" t="s">
        <v>2383</v>
      </c>
      <c r="T3462" s="51" t="s">
        <v>2383</v>
      </c>
      <c r="U3462" s="0" t="str">
        <f aca="false">"12207690"</f>
        <v>12207690</v>
      </c>
      <c r="V3462" s="51" t="s">
        <v>2365</v>
      </c>
      <c r="W3462" s="51" t="s">
        <v>7017</v>
      </c>
      <c r="X3462" s="51" t="s">
        <v>2359</v>
      </c>
    </row>
    <row r="3463" customFormat="false" ht="14.25" hidden="true" customHeight="false" outlineLevel="0" collapsed="false">
      <c r="A3463" s="49" t="s">
        <v>2349</v>
      </c>
      <c r="B3463" s="49" t="s">
        <v>2350</v>
      </c>
      <c r="C3463" s="49" t="s">
        <v>7018</v>
      </c>
      <c r="D3463" s="49" t="s">
        <v>2352</v>
      </c>
      <c r="E3463" s="49" t="str">
        <f aca="false">"12207690"</f>
        <v>12207690</v>
      </c>
      <c r="F3463" s="49" t="s">
        <v>4199</v>
      </c>
      <c r="G3463" s="49" t="n">
        <v>0</v>
      </c>
      <c r="H3463" s="0" t="n">
        <v>0</v>
      </c>
      <c r="M3463" s="51" t="s">
        <v>6929</v>
      </c>
      <c r="N3463" s="49" t="n">
        <v>0</v>
      </c>
      <c r="O3463" s="53" t="n">
        <v>45773.6335185185</v>
      </c>
      <c r="P3463" s="53" t="n">
        <v>45778.3838773148</v>
      </c>
      <c r="Q3463" s="53" t="n">
        <v>45773.6335185185</v>
      </c>
      <c r="R3463" s="0" t="n">
        <v>0</v>
      </c>
      <c r="S3463" s="51" t="s">
        <v>2383</v>
      </c>
      <c r="T3463" s="51" t="s">
        <v>2383</v>
      </c>
      <c r="U3463" s="0" t="str">
        <f aca="false">"12207690"</f>
        <v>12207690</v>
      </c>
      <c r="V3463" s="51" t="s">
        <v>2365</v>
      </c>
      <c r="W3463" s="51" t="s">
        <v>5936</v>
      </c>
      <c r="X3463" s="51" t="s">
        <v>2359</v>
      </c>
    </row>
    <row r="3464" customFormat="false" ht="14.25" hidden="true" customHeight="false" outlineLevel="0" collapsed="false">
      <c r="A3464" s="49" t="s">
        <v>2349</v>
      </c>
      <c r="B3464" s="49" t="s">
        <v>2350</v>
      </c>
      <c r="C3464" s="49" t="s">
        <v>7019</v>
      </c>
      <c r="D3464" s="49" t="s">
        <v>2352</v>
      </c>
      <c r="E3464" s="49" t="str">
        <f aca="false">"12207690"</f>
        <v>12207690</v>
      </c>
      <c r="F3464" s="49" t="s">
        <v>4199</v>
      </c>
      <c r="G3464" s="49" t="n">
        <v>0</v>
      </c>
      <c r="H3464" s="0" t="n">
        <v>0</v>
      </c>
      <c r="M3464" s="51" t="s">
        <v>6929</v>
      </c>
      <c r="N3464" s="49" t="n">
        <v>0</v>
      </c>
      <c r="O3464" s="53" t="n">
        <v>45773.6337384259</v>
      </c>
      <c r="P3464" s="53" t="n">
        <v>45778.8434259259</v>
      </c>
      <c r="Q3464" s="53" t="n">
        <v>45773.6337384259</v>
      </c>
      <c r="R3464" s="0" t="n">
        <v>0</v>
      </c>
      <c r="S3464" s="51" t="s">
        <v>2383</v>
      </c>
      <c r="T3464" s="51" t="s">
        <v>2383</v>
      </c>
      <c r="U3464" s="0" t="str">
        <f aca="false">"12207690"</f>
        <v>12207690</v>
      </c>
      <c r="V3464" s="51" t="s">
        <v>2365</v>
      </c>
      <c r="W3464" s="51" t="s">
        <v>7020</v>
      </c>
      <c r="X3464" s="51" t="s">
        <v>2359</v>
      </c>
    </row>
    <row r="3465" customFormat="false" ht="14.25" hidden="true" customHeight="false" outlineLevel="0" collapsed="false">
      <c r="A3465" s="49" t="s">
        <v>2349</v>
      </c>
      <c r="B3465" s="49" t="s">
        <v>2350</v>
      </c>
      <c r="C3465" s="49" t="s">
        <v>7021</v>
      </c>
      <c r="D3465" s="49" t="s">
        <v>2352</v>
      </c>
      <c r="E3465" s="49" t="str">
        <f aca="false">"12207690"</f>
        <v>12207690</v>
      </c>
      <c r="F3465" s="49" t="s">
        <v>4199</v>
      </c>
      <c r="G3465" s="49" t="n">
        <v>0</v>
      </c>
      <c r="H3465" s="0" t="n">
        <v>0</v>
      </c>
      <c r="M3465" s="51" t="s">
        <v>6929</v>
      </c>
      <c r="N3465" s="49" t="n">
        <v>0</v>
      </c>
      <c r="O3465" s="53" t="n">
        <v>45773.6339814815</v>
      </c>
      <c r="P3465" s="53" t="n">
        <v>45778.8426388889</v>
      </c>
      <c r="Q3465" s="53" t="n">
        <v>45773.6339814815</v>
      </c>
      <c r="R3465" s="0" t="n">
        <v>0</v>
      </c>
      <c r="S3465" s="51" t="s">
        <v>2383</v>
      </c>
      <c r="T3465" s="51" t="s">
        <v>2383</v>
      </c>
      <c r="U3465" s="0" t="str">
        <f aca="false">"12207690"</f>
        <v>12207690</v>
      </c>
      <c r="V3465" s="51" t="s">
        <v>2365</v>
      </c>
      <c r="W3465" s="51" t="s">
        <v>7020</v>
      </c>
      <c r="X3465" s="51" t="s">
        <v>2359</v>
      </c>
    </row>
    <row r="3466" customFormat="false" ht="14.25" hidden="true" customHeight="false" outlineLevel="0" collapsed="false">
      <c r="A3466" s="49" t="s">
        <v>2349</v>
      </c>
      <c r="B3466" s="49" t="s">
        <v>2350</v>
      </c>
      <c r="C3466" s="49" t="s">
        <v>7022</v>
      </c>
      <c r="D3466" s="49" t="s">
        <v>2352</v>
      </c>
      <c r="E3466" s="49" t="str">
        <f aca="false">"12207690"</f>
        <v>12207690</v>
      </c>
      <c r="F3466" s="49" t="s">
        <v>4199</v>
      </c>
      <c r="G3466" s="49" t="n">
        <v>0</v>
      </c>
      <c r="H3466" s="0" t="n">
        <v>0</v>
      </c>
      <c r="M3466" s="51" t="s">
        <v>6929</v>
      </c>
      <c r="N3466" s="49" t="n">
        <v>0</v>
      </c>
      <c r="O3466" s="53" t="n">
        <v>45773.6341782407</v>
      </c>
      <c r="P3466" s="53" t="n">
        <v>45778.8403587963</v>
      </c>
      <c r="Q3466" s="53" t="n">
        <v>45773.6341782407</v>
      </c>
      <c r="R3466" s="0" t="n">
        <v>0</v>
      </c>
      <c r="S3466" s="51" t="s">
        <v>2383</v>
      </c>
      <c r="T3466" s="51" t="s">
        <v>2383</v>
      </c>
      <c r="U3466" s="0" t="str">
        <f aca="false">"12207690"</f>
        <v>12207690</v>
      </c>
      <c r="V3466" s="51" t="s">
        <v>2365</v>
      </c>
      <c r="W3466" s="51" t="s">
        <v>7023</v>
      </c>
      <c r="X3466" s="51" t="s">
        <v>2359</v>
      </c>
    </row>
    <row r="3467" customFormat="false" ht="14.25" hidden="true" customHeight="false" outlineLevel="0" collapsed="false">
      <c r="A3467" s="49" t="s">
        <v>2349</v>
      </c>
      <c r="B3467" s="49" t="s">
        <v>2350</v>
      </c>
      <c r="C3467" s="49" t="s">
        <v>7024</v>
      </c>
      <c r="D3467" s="49" t="s">
        <v>2352</v>
      </c>
      <c r="E3467" s="49" t="str">
        <f aca="false">"12207690"</f>
        <v>12207690</v>
      </c>
      <c r="F3467" s="49" t="s">
        <v>4199</v>
      </c>
      <c r="G3467" s="49" t="n">
        <v>0</v>
      </c>
      <c r="H3467" s="0" t="n">
        <v>0</v>
      </c>
      <c r="M3467" s="51" t="s">
        <v>6929</v>
      </c>
      <c r="N3467" s="49" t="n">
        <v>0</v>
      </c>
      <c r="O3467" s="53" t="n">
        <v>45773.6343634259</v>
      </c>
      <c r="P3467" s="53" t="n">
        <v>45778.3896990741</v>
      </c>
      <c r="Q3467" s="53" t="n">
        <v>45773.6343634259</v>
      </c>
      <c r="R3467" s="0" t="n">
        <v>0</v>
      </c>
      <c r="S3467" s="51" t="s">
        <v>2383</v>
      </c>
      <c r="T3467" s="51" t="s">
        <v>2383</v>
      </c>
      <c r="U3467" s="0" t="str">
        <f aca="false">"12207690"</f>
        <v>12207690</v>
      </c>
      <c r="V3467" s="51" t="s">
        <v>2365</v>
      </c>
      <c r="W3467" s="51" t="s">
        <v>7025</v>
      </c>
      <c r="X3467" s="51" t="s">
        <v>2359</v>
      </c>
    </row>
    <row r="3468" customFormat="false" ht="14.25" hidden="true" customHeight="false" outlineLevel="0" collapsed="false">
      <c r="A3468" s="49" t="s">
        <v>2349</v>
      </c>
      <c r="B3468" s="49" t="s">
        <v>2350</v>
      </c>
      <c r="C3468" s="49" t="s">
        <v>7026</v>
      </c>
      <c r="D3468" s="49" t="s">
        <v>2352</v>
      </c>
      <c r="E3468" s="49" t="str">
        <f aca="false">"12520129"</f>
        <v>12520129</v>
      </c>
      <c r="F3468" s="49" t="s">
        <v>4870</v>
      </c>
      <c r="G3468" s="49" t="n">
        <v>0</v>
      </c>
      <c r="H3468" s="0" t="n">
        <v>0</v>
      </c>
      <c r="M3468" s="51" t="s">
        <v>6929</v>
      </c>
      <c r="N3468" s="49" t="n">
        <v>0</v>
      </c>
      <c r="O3468" s="53" t="n">
        <v>45773.6370833333</v>
      </c>
      <c r="P3468" s="53" t="n">
        <v>45775.5650347222</v>
      </c>
      <c r="Q3468" s="53" t="n">
        <v>45773.6370833333</v>
      </c>
      <c r="R3468" s="0" t="n">
        <v>0</v>
      </c>
      <c r="S3468" s="51" t="s">
        <v>2383</v>
      </c>
      <c r="T3468" s="51" t="s">
        <v>2383</v>
      </c>
      <c r="U3468" s="0" t="str">
        <f aca="false">"12520129"</f>
        <v>12520129</v>
      </c>
      <c r="V3468" s="51" t="s">
        <v>2365</v>
      </c>
      <c r="W3468" s="51" t="s">
        <v>4266</v>
      </c>
      <c r="X3468" s="51" t="s">
        <v>2359</v>
      </c>
    </row>
    <row r="3469" customFormat="false" ht="14.25" hidden="true" customHeight="false" outlineLevel="0" collapsed="false">
      <c r="A3469" s="49" t="s">
        <v>2349</v>
      </c>
      <c r="B3469" s="49" t="s">
        <v>2350</v>
      </c>
      <c r="C3469" s="49" t="s">
        <v>7027</v>
      </c>
      <c r="D3469" s="49" t="s">
        <v>2352</v>
      </c>
      <c r="E3469" s="49" t="str">
        <f aca="false">"12520129"</f>
        <v>12520129</v>
      </c>
      <c r="F3469" s="49" t="s">
        <v>4870</v>
      </c>
      <c r="G3469" s="49" t="n">
        <v>0</v>
      </c>
      <c r="H3469" s="0" t="n">
        <v>0</v>
      </c>
      <c r="M3469" s="51" t="s">
        <v>6929</v>
      </c>
      <c r="N3469" s="49" t="n">
        <v>0</v>
      </c>
      <c r="O3469" s="53" t="n">
        <v>45773.6377083333</v>
      </c>
      <c r="P3469" s="53" t="n">
        <v>45775.5640740741</v>
      </c>
      <c r="Q3469" s="53" t="n">
        <v>45773.6377083333</v>
      </c>
      <c r="R3469" s="0" t="n">
        <v>0</v>
      </c>
      <c r="S3469" s="51" t="s">
        <v>2383</v>
      </c>
      <c r="T3469" s="51" t="s">
        <v>2383</v>
      </c>
      <c r="U3469" s="0" t="str">
        <f aca="false">"12520129"</f>
        <v>12520129</v>
      </c>
      <c r="V3469" s="51" t="s">
        <v>2365</v>
      </c>
      <c r="W3469" s="51" t="s">
        <v>7028</v>
      </c>
      <c r="X3469" s="51" t="s">
        <v>2359</v>
      </c>
    </row>
    <row r="3470" customFormat="false" ht="14.25" hidden="true" customHeight="false" outlineLevel="0" collapsed="false">
      <c r="A3470" s="49" t="s">
        <v>2349</v>
      </c>
      <c r="B3470" s="49" t="s">
        <v>2350</v>
      </c>
      <c r="C3470" s="49" t="s">
        <v>7029</v>
      </c>
      <c r="D3470" s="49" t="s">
        <v>2352</v>
      </c>
      <c r="E3470" s="49" t="str">
        <f aca="false">"12520129"</f>
        <v>12520129</v>
      </c>
      <c r="F3470" s="49" t="s">
        <v>4870</v>
      </c>
      <c r="G3470" s="49" t="n">
        <v>0</v>
      </c>
      <c r="H3470" s="0" t="n">
        <v>0</v>
      </c>
      <c r="M3470" s="51" t="s">
        <v>6929</v>
      </c>
      <c r="N3470" s="49" t="n">
        <v>0</v>
      </c>
      <c r="O3470" s="53" t="n">
        <v>45773.6383101852</v>
      </c>
      <c r="P3470" s="53" t="n">
        <v>45775.5661921296</v>
      </c>
      <c r="Q3470" s="53" t="n">
        <v>45773.6383101852</v>
      </c>
      <c r="R3470" s="0" t="n">
        <v>0</v>
      </c>
      <c r="S3470" s="51" t="s">
        <v>2383</v>
      </c>
      <c r="T3470" s="51" t="s">
        <v>2383</v>
      </c>
      <c r="U3470" s="0" t="str">
        <f aca="false">"12520129"</f>
        <v>12520129</v>
      </c>
      <c r="V3470" s="51" t="s">
        <v>2365</v>
      </c>
      <c r="W3470" s="51" t="s">
        <v>5938</v>
      </c>
      <c r="X3470" s="51" t="s">
        <v>2359</v>
      </c>
    </row>
    <row r="3471" customFormat="false" ht="14.25" hidden="true" customHeight="false" outlineLevel="0" collapsed="false">
      <c r="A3471" s="49" t="s">
        <v>2349</v>
      </c>
      <c r="B3471" s="49" t="s">
        <v>2350</v>
      </c>
      <c r="C3471" s="49" t="s">
        <v>7030</v>
      </c>
      <c r="D3471" s="49" t="s">
        <v>2352</v>
      </c>
      <c r="E3471" s="49" t="str">
        <f aca="false">"12482691"</f>
        <v>12482691</v>
      </c>
      <c r="F3471" s="49" t="s">
        <v>7031</v>
      </c>
      <c r="G3471" s="49" t="n">
        <v>0</v>
      </c>
      <c r="H3471" s="0" t="n">
        <v>0</v>
      </c>
      <c r="M3471" s="51" t="s">
        <v>6929</v>
      </c>
      <c r="N3471" s="49" t="n">
        <v>0</v>
      </c>
      <c r="O3471" s="53" t="n">
        <v>45773.6418518519</v>
      </c>
      <c r="P3471" s="53" t="n">
        <v>45776.016400463</v>
      </c>
      <c r="Q3471" s="53" t="n">
        <v>45773.6418518519</v>
      </c>
      <c r="R3471" s="0" t="n">
        <v>0</v>
      </c>
      <c r="S3471" s="51" t="s">
        <v>2383</v>
      </c>
      <c r="T3471" s="51" t="s">
        <v>2383</v>
      </c>
      <c r="U3471" s="0" t="str">
        <f aca="false">"12482691"</f>
        <v>12482691</v>
      </c>
      <c r="V3471" s="51" t="s">
        <v>2365</v>
      </c>
      <c r="W3471" s="51" t="s">
        <v>5882</v>
      </c>
      <c r="X3471" s="51" t="s">
        <v>2359</v>
      </c>
    </row>
    <row r="3472" customFormat="false" ht="14.25" hidden="true" customHeight="false" outlineLevel="0" collapsed="false">
      <c r="A3472" s="49" t="s">
        <v>2349</v>
      </c>
      <c r="B3472" s="49" t="s">
        <v>2350</v>
      </c>
      <c r="C3472" s="49" t="s">
        <v>7032</v>
      </c>
      <c r="D3472" s="49" t="s">
        <v>2352</v>
      </c>
      <c r="E3472" s="49" t="str">
        <f aca="false">"12482691"</f>
        <v>12482691</v>
      </c>
      <c r="F3472" s="49" t="s">
        <v>7031</v>
      </c>
      <c r="G3472" s="49" t="n">
        <v>0</v>
      </c>
      <c r="H3472" s="0" t="n">
        <v>0</v>
      </c>
      <c r="M3472" s="51" t="s">
        <v>6929</v>
      </c>
      <c r="N3472" s="49" t="n">
        <v>0</v>
      </c>
      <c r="O3472" s="53" t="n">
        <v>45773.6424189815</v>
      </c>
      <c r="P3472" s="53" t="n">
        <v>45776.0144560185</v>
      </c>
      <c r="Q3472" s="53" t="n">
        <v>45773.6424189815</v>
      </c>
      <c r="R3472" s="0" t="n">
        <v>0</v>
      </c>
      <c r="S3472" s="51" t="s">
        <v>2383</v>
      </c>
      <c r="T3472" s="51" t="s">
        <v>2383</v>
      </c>
      <c r="U3472" s="0" t="str">
        <f aca="false">"12482691"</f>
        <v>12482691</v>
      </c>
      <c r="V3472" s="51" t="s">
        <v>2365</v>
      </c>
      <c r="W3472" s="51" t="s">
        <v>4577</v>
      </c>
      <c r="X3472" s="51" t="s">
        <v>2359</v>
      </c>
    </row>
    <row r="3473" customFormat="false" ht="14.25" hidden="true" customHeight="false" outlineLevel="0" collapsed="false">
      <c r="A3473" s="49" t="s">
        <v>2349</v>
      </c>
      <c r="B3473" s="49" t="s">
        <v>2350</v>
      </c>
      <c r="C3473" s="49" t="s">
        <v>7033</v>
      </c>
      <c r="D3473" s="49" t="s">
        <v>2352</v>
      </c>
      <c r="E3473" s="49" t="str">
        <f aca="false">"12482691"</f>
        <v>12482691</v>
      </c>
      <c r="F3473" s="49" t="s">
        <v>7031</v>
      </c>
      <c r="G3473" s="49" t="n">
        <v>0</v>
      </c>
      <c r="H3473" s="0" t="n">
        <v>0</v>
      </c>
      <c r="M3473" s="51" t="s">
        <v>6929</v>
      </c>
      <c r="N3473" s="49" t="n">
        <v>0</v>
      </c>
      <c r="O3473" s="53" t="n">
        <v>45773.6427893519</v>
      </c>
      <c r="P3473" s="53" t="n">
        <v>45776.0130439815</v>
      </c>
      <c r="Q3473" s="53" t="n">
        <v>45773.6427893519</v>
      </c>
      <c r="R3473" s="0" t="n">
        <v>0</v>
      </c>
      <c r="S3473" s="51" t="s">
        <v>2383</v>
      </c>
      <c r="T3473" s="51" t="s">
        <v>2383</v>
      </c>
      <c r="U3473" s="0" t="str">
        <f aca="false">"12482691"</f>
        <v>12482691</v>
      </c>
      <c r="V3473" s="51" t="s">
        <v>2365</v>
      </c>
      <c r="W3473" s="51" t="s">
        <v>6741</v>
      </c>
      <c r="X3473" s="51" t="s">
        <v>2359</v>
      </c>
    </row>
    <row r="3474" customFormat="false" ht="14.25" hidden="true" customHeight="false" outlineLevel="0" collapsed="false">
      <c r="A3474" s="49" t="s">
        <v>2349</v>
      </c>
      <c r="B3474" s="49" t="s">
        <v>2350</v>
      </c>
      <c r="C3474" s="49" t="s">
        <v>7034</v>
      </c>
      <c r="D3474" s="49" t="s">
        <v>2352</v>
      </c>
      <c r="E3474" s="49" t="str">
        <f aca="false">"12482691"</f>
        <v>12482691</v>
      </c>
      <c r="F3474" s="49" t="s">
        <v>7031</v>
      </c>
      <c r="G3474" s="49" t="n">
        <v>0</v>
      </c>
      <c r="H3474" s="0" t="n">
        <v>0</v>
      </c>
      <c r="M3474" s="51" t="s">
        <v>6929</v>
      </c>
      <c r="N3474" s="49" t="n">
        <v>0</v>
      </c>
      <c r="O3474" s="53" t="n">
        <v>45773.6430671296</v>
      </c>
      <c r="P3474" s="53" t="n">
        <v>45776.0172337963</v>
      </c>
      <c r="Q3474" s="53" t="n">
        <v>45773.6430671296</v>
      </c>
      <c r="R3474" s="0" t="n">
        <v>0</v>
      </c>
      <c r="S3474" s="51" t="s">
        <v>2383</v>
      </c>
      <c r="T3474" s="51" t="s">
        <v>2383</v>
      </c>
      <c r="U3474" s="0" t="str">
        <f aca="false">"12482691"</f>
        <v>12482691</v>
      </c>
      <c r="V3474" s="51" t="s">
        <v>2365</v>
      </c>
      <c r="W3474" s="51" t="s">
        <v>7035</v>
      </c>
      <c r="X3474" s="51" t="s">
        <v>2359</v>
      </c>
    </row>
    <row r="3475" customFormat="false" ht="14.25" hidden="true" customHeight="false" outlineLevel="0" collapsed="false">
      <c r="A3475" s="49" t="s">
        <v>2349</v>
      </c>
      <c r="B3475" s="49" t="s">
        <v>2350</v>
      </c>
      <c r="C3475" s="49" t="s">
        <v>7036</v>
      </c>
      <c r="D3475" s="49" t="s">
        <v>2352</v>
      </c>
      <c r="E3475" s="49" t="str">
        <f aca="false">"12482691"</f>
        <v>12482691</v>
      </c>
      <c r="F3475" s="49" t="s">
        <v>7031</v>
      </c>
      <c r="G3475" s="49" t="n">
        <v>0</v>
      </c>
      <c r="H3475" s="0" t="n">
        <v>0</v>
      </c>
      <c r="M3475" s="51" t="s">
        <v>6929</v>
      </c>
      <c r="N3475" s="49" t="n">
        <v>0</v>
      </c>
      <c r="O3475" s="53" t="n">
        <v>45773.6432986111</v>
      </c>
      <c r="P3475" s="53" t="n">
        <v>45873.3975115741</v>
      </c>
      <c r="Q3475" s="53" t="n">
        <v>45773.6432986111</v>
      </c>
      <c r="R3475" s="0" t="n">
        <v>0</v>
      </c>
      <c r="S3475" s="51" t="s">
        <v>2383</v>
      </c>
      <c r="T3475" s="51" t="s">
        <v>2383</v>
      </c>
      <c r="U3475" s="0" t="str">
        <f aca="false">"12482691"</f>
        <v>12482691</v>
      </c>
      <c r="V3475" s="51" t="s">
        <v>2365</v>
      </c>
      <c r="W3475" s="51" t="s">
        <v>5532</v>
      </c>
      <c r="X3475" s="51" t="s">
        <v>2359</v>
      </c>
    </row>
    <row r="3476" customFormat="false" ht="14.25" hidden="true" customHeight="false" outlineLevel="0" collapsed="false">
      <c r="A3476" s="49" t="s">
        <v>2349</v>
      </c>
      <c r="B3476" s="49" t="s">
        <v>2350</v>
      </c>
      <c r="C3476" s="49" t="s">
        <v>7037</v>
      </c>
      <c r="D3476" s="49" t="s">
        <v>2397</v>
      </c>
      <c r="E3476" s="49" t="str">
        <f aca="false">"12527929"</f>
        <v>12527929</v>
      </c>
      <c r="F3476" s="49" t="s">
        <v>7038</v>
      </c>
      <c r="G3476" s="49" t="n">
        <v>0</v>
      </c>
      <c r="H3476" s="0" t="n">
        <v>0</v>
      </c>
      <c r="M3476" s="51" t="s">
        <v>6929</v>
      </c>
      <c r="N3476" s="49" t="n">
        <v>0</v>
      </c>
      <c r="O3476" s="53" t="n">
        <v>45773.6490509259</v>
      </c>
      <c r="P3476" s="53" t="n">
        <v>45774.4956365741</v>
      </c>
      <c r="Q3476" s="53" t="n">
        <v>45773.6490509259</v>
      </c>
      <c r="R3476" s="0" t="n">
        <v>0</v>
      </c>
      <c r="S3476" s="51" t="s">
        <v>2383</v>
      </c>
      <c r="T3476" s="51" t="s">
        <v>2383</v>
      </c>
      <c r="U3476" s="0" t="str">
        <f aca="false">"12527929"</f>
        <v>12527929</v>
      </c>
      <c r="V3476" s="51" t="s">
        <v>2365</v>
      </c>
      <c r="W3476" s="51" t="s">
        <v>7039</v>
      </c>
      <c r="X3476" s="51" t="s">
        <v>2359</v>
      </c>
    </row>
    <row r="3477" customFormat="false" ht="14.25" hidden="true" customHeight="false" outlineLevel="0" collapsed="false">
      <c r="A3477" s="49" t="s">
        <v>2349</v>
      </c>
      <c r="B3477" s="49" t="s">
        <v>2350</v>
      </c>
      <c r="C3477" s="49" t="s">
        <v>7040</v>
      </c>
      <c r="D3477" s="49" t="s">
        <v>2352</v>
      </c>
      <c r="E3477" s="49" t="str">
        <f aca="false">"12363202"</f>
        <v>12363202</v>
      </c>
      <c r="F3477" s="49" t="s">
        <v>7041</v>
      </c>
      <c r="G3477" s="49" t="n">
        <v>0</v>
      </c>
      <c r="H3477" s="0" t="n">
        <v>0</v>
      </c>
      <c r="M3477" s="51" t="s">
        <v>6929</v>
      </c>
      <c r="N3477" s="49" t="n">
        <v>0</v>
      </c>
      <c r="O3477" s="53" t="n">
        <v>45773.6524305556</v>
      </c>
      <c r="P3477" s="53" t="n">
        <v>45783.4250810185</v>
      </c>
      <c r="Q3477" s="53" t="n">
        <v>45773.6524305556</v>
      </c>
      <c r="R3477" s="0" t="n">
        <v>0</v>
      </c>
      <c r="S3477" s="51" t="s">
        <v>2383</v>
      </c>
      <c r="T3477" s="51" t="s">
        <v>2383</v>
      </c>
      <c r="U3477" s="0" t="str">
        <f aca="false">"12363202"</f>
        <v>12363202</v>
      </c>
      <c r="V3477" s="51" t="s">
        <v>2365</v>
      </c>
      <c r="W3477" s="51" t="s">
        <v>7042</v>
      </c>
      <c r="X3477" s="51" t="s">
        <v>2359</v>
      </c>
    </row>
    <row r="3478" customFormat="false" ht="14.25" hidden="true" customHeight="false" outlineLevel="0" collapsed="false">
      <c r="A3478" s="49" t="s">
        <v>2349</v>
      </c>
      <c r="B3478" s="49" t="s">
        <v>2350</v>
      </c>
      <c r="C3478" s="49" t="s">
        <v>7043</v>
      </c>
      <c r="D3478" s="49" t="s">
        <v>2352</v>
      </c>
      <c r="E3478" s="49" t="str">
        <f aca="false">"12363202"</f>
        <v>12363202</v>
      </c>
      <c r="F3478" s="49" t="s">
        <v>7041</v>
      </c>
      <c r="G3478" s="49" t="n">
        <v>0</v>
      </c>
      <c r="H3478" s="0" t="n">
        <v>0</v>
      </c>
      <c r="M3478" s="51" t="s">
        <v>6929</v>
      </c>
      <c r="N3478" s="49" t="n">
        <v>0</v>
      </c>
      <c r="O3478" s="53" t="n">
        <v>45773.6518171296</v>
      </c>
      <c r="P3478" s="53" t="n">
        <v>45776.0481481482</v>
      </c>
      <c r="Q3478" s="53" t="n">
        <v>45773.6518171296</v>
      </c>
      <c r="R3478" s="0" t="n">
        <v>0</v>
      </c>
      <c r="S3478" s="51" t="s">
        <v>2383</v>
      </c>
      <c r="T3478" s="51" t="s">
        <v>2383</v>
      </c>
      <c r="U3478" s="0" t="str">
        <f aca="false">"12363202"</f>
        <v>12363202</v>
      </c>
      <c r="V3478" s="51" t="s">
        <v>2365</v>
      </c>
      <c r="W3478" s="51" t="s">
        <v>7044</v>
      </c>
      <c r="X3478" s="51" t="s">
        <v>2359</v>
      </c>
    </row>
    <row r="3479" customFormat="false" ht="14.25" hidden="true" customHeight="false" outlineLevel="0" collapsed="false">
      <c r="A3479" s="49" t="s">
        <v>2349</v>
      </c>
      <c r="B3479" s="49" t="s">
        <v>2350</v>
      </c>
      <c r="C3479" s="49" t="s">
        <v>7045</v>
      </c>
      <c r="D3479" s="49" t="s">
        <v>2352</v>
      </c>
      <c r="E3479" s="49" t="str">
        <f aca="false">"12428864"</f>
        <v>12428864</v>
      </c>
      <c r="F3479" s="49" t="s">
        <v>4251</v>
      </c>
      <c r="G3479" s="49" t="n">
        <v>0</v>
      </c>
      <c r="H3479" s="0" t="n">
        <v>0</v>
      </c>
      <c r="M3479" s="51" t="s">
        <v>6929</v>
      </c>
      <c r="N3479" s="49" t="n">
        <v>0</v>
      </c>
      <c r="O3479" s="53" t="n">
        <v>45773.6560416667</v>
      </c>
      <c r="P3479" s="53" t="n">
        <v>45901.8077546296</v>
      </c>
      <c r="Q3479" s="53" t="n">
        <v>45773.6560416667</v>
      </c>
      <c r="R3479" s="0" t="n">
        <v>0</v>
      </c>
      <c r="S3479" s="51" t="s">
        <v>2383</v>
      </c>
      <c r="T3479" s="51" t="s">
        <v>2383</v>
      </c>
      <c r="U3479" s="0" t="str">
        <f aca="false">"12428864"</f>
        <v>12428864</v>
      </c>
      <c r="V3479" s="51" t="s">
        <v>2365</v>
      </c>
      <c r="W3479" s="51" t="s">
        <v>6666</v>
      </c>
      <c r="X3479" s="51" t="s">
        <v>2359</v>
      </c>
    </row>
    <row r="3480" customFormat="false" ht="14.25" hidden="true" customHeight="false" outlineLevel="0" collapsed="false">
      <c r="A3480" s="49" t="s">
        <v>2349</v>
      </c>
      <c r="B3480" s="49" t="s">
        <v>2350</v>
      </c>
      <c r="C3480" s="49" t="s">
        <v>7046</v>
      </c>
      <c r="D3480" s="49" t="s">
        <v>2352</v>
      </c>
      <c r="E3480" s="49" t="str">
        <f aca="false">"12428864"</f>
        <v>12428864</v>
      </c>
      <c r="F3480" s="49" t="s">
        <v>4251</v>
      </c>
      <c r="G3480" s="49" t="n">
        <v>0</v>
      </c>
      <c r="H3480" s="0" t="n">
        <v>0</v>
      </c>
      <c r="M3480" s="51" t="s">
        <v>6929</v>
      </c>
      <c r="N3480" s="49" t="n">
        <v>0</v>
      </c>
      <c r="O3480" s="53" t="n">
        <v>45773.6565046296</v>
      </c>
      <c r="P3480" s="53" t="n">
        <v>45776.0493634259</v>
      </c>
      <c r="Q3480" s="53" t="n">
        <v>45773.6565046296</v>
      </c>
      <c r="R3480" s="0" t="n">
        <v>0</v>
      </c>
      <c r="S3480" s="51" t="s">
        <v>2383</v>
      </c>
      <c r="T3480" s="51" t="s">
        <v>2383</v>
      </c>
      <c r="U3480" s="0" t="str">
        <f aca="false">"12428864"</f>
        <v>12428864</v>
      </c>
      <c r="V3480" s="51" t="s">
        <v>2365</v>
      </c>
      <c r="W3480" s="51" t="s">
        <v>5379</v>
      </c>
      <c r="X3480" s="51" t="s">
        <v>2359</v>
      </c>
    </row>
    <row r="3481" customFormat="false" ht="14.25" hidden="true" customHeight="false" outlineLevel="0" collapsed="false">
      <c r="A3481" s="49" t="s">
        <v>2349</v>
      </c>
      <c r="B3481" s="49" t="s">
        <v>2350</v>
      </c>
      <c r="C3481" s="49" t="s">
        <v>7047</v>
      </c>
      <c r="D3481" s="49" t="s">
        <v>2352</v>
      </c>
      <c r="E3481" s="49" t="str">
        <f aca="false">"12428864"</f>
        <v>12428864</v>
      </c>
      <c r="F3481" s="49" t="s">
        <v>4251</v>
      </c>
      <c r="G3481" s="49" t="n">
        <v>0</v>
      </c>
      <c r="H3481" s="0" t="n">
        <v>0</v>
      </c>
      <c r="M3481" s="51" t="s">
        <v>6929</v>
      </c>
      <c r="N3481" s="49" t="n">
        <v>0</v>
      </c>
      <c r="O3481" s="53" t="n">
        <v>45773.6569675926</v>
      </c>
      <c r="P3481" s="53" t="n">
        <v>45776.053912037</v>
      </c>
      <c r="Q3481" s="53" t="n">
        <v>45773.6569675926</v>
      </c>
      <c r="R3481" s="0" t="n">
        <v>0</v>
      </c>
      <c r="S3481" s="51" t="s">
        <v>2383</v>
      </c>
      <c r="T3481" s="51" t="s">
        <v>2383</v>
      </c>
      <c r="U3481" s="0" t="str">
        <f aca="false">"12428864"</f>
        <v>12428864</v>
      </c>
      <c r="V3481" s="51" t="s">
        <v>2365</v>
      </c>
      <c r="W3481" s="51" t="s">
        <v>6568</v>
      </c>
      <c r="X3481" s="51" t="s">
        <v>2359</v>
      </c>
    </row>
    <row r="3482" customFormat="false" ht="14.25" hidden="true" customHeight="false" outlineLevel="0" collapsed="false">
      <c r="A3482" s="49" t="s">
        <v>2349</v>
      </c>
      <c r="B3482" s="49" t="s">
        <v>2350</v>
      </c>
      <c r="C3482" s="49" t="s">
        <v>7048</v>
      </c>
      <c r="D3482" s="49" t="s">
        <v>2352</v>
      </c>
      <c r="E3482" s="49" t="str">
        <f aca="false">"12428864"</f>
        <v>12428864</v>
      </c>
      <c r="F3482" s="49" t="s">
        <v>4251</v>
      </c>
      <c r="G3482" s="49" t="n">
        <v>0</v>
      </c>
      <c r="H3482" s="0" t="n">
        <v>0</v>
      </c>
      <c r="M3482" s="51" t="s">
        <v>6929</v>
      </c>
      <c r="N3482" s="49" t="n">
        <v>0</v>
      </c>
      <c r="O3482" s="53" t="n">
        <v>45773.6572800926</v>
      </c>
      <c r="P3482" s="53" t="n">
        <v>45776.0546759259</v>
      </c>
      <c r="Q3482" s="53" t="n">
        <v>45773.6572800926</v>
      </c>
      <c r="R3482" s="0" t="n">
        <v>0</v>
      </c>
      <c r="S3482" s="51" t="s">
        <v>2383</v>
      </c>
      <c r="T3482" s="51" t="s">
        <v>2383</v>
      </c>
      <c r="U3482" s="0" t="str">
        <f aca="false">"12428864"</f>
        <v>12428864</v>
      </c>
      <c r="V3482" s="51" t="s">
        <v>2365</v>
      </c>
      <c r="W3482" s="51" t="s">
        <v>6564</v>
      </c>
      <c r="X3482" s="51" t="s">
        <v>2359</v>
      </c>
    </row>
    <row r="3483" customFormat="false" ht="14.25" hidden="true" customHeight="false" outlineLevel="0" collapsed="false">
      <c r="A3483" s="49" t="s">
        <v>2349</v>
      </c>
      <c r="B3483" s="49" t="s">
        <v>2350</v>
      </c>
      <c r="C3483" s="49" t="s">
        <v>7049</v>
      </c>
      <c r="D3483" s="49" t="s">
        <v>2352</v>
      </c>
      <c r="E3483" s="49" t="str">
        <f aca="false">"12428864"</f>
        <v>12428864</v>
      </c>
      <c r="F3483" s="49" t="s">
        <v>4251</v>
      </c>
      <c r="G3483" s="49" t="n">
        <v>0</v>
      </c>
      <c r="H3483" s="0" t="n">
        <v>0</v>
      </c>
      <c r="M3483" s="51" t="s">
        <v>6929</v>
      </c>
      <c r="N3483" s="49" t="n">
        <v>0</v>
      </c>
      <c r="O3483" s="53" t="n">
        <v>45773.6576388889</v>
      </c>
      <c r="P3483" s="53" t="n">
        <v>45802.7301273148</v>
      </c>
      <c r="Q3483" s="53" t="n">
        <v>45773.6576388889</v>
      </c>
      <c r="R3483" s="0" t="n">
        <v>0</v>
      </c>
      <c r="S3483" s="51" t="s">
        <v>2383</v>
      </c>
      <c r="T3483" s="51" t="s">
        <v>2383</v>
      </c>
      <c r="U3483" s="0" t="str">
        <f aca="false">"12428864"</f>
        <v>12428864</v>
      </c>
      <c r="V3483" s="51" t="s">
        <v>2365</v>
      </c>
      <c r="W3483" s="51" t="s">
        <v>7050</v>
      </c>
      <c r="X3483" s="51" t="s">
        <v>2359</v>
      </c>
    </row>
    <row r="3484" customFormat="false" ht="14.25" hidden="true" customHeight="false" outlineLevel="0" collapsed="false">
      <c r="A3484" s="49" t="s">
        <v>2349</v>
      </c>
      <c r="B3484" s="49" t="s">
        <v>2350</v>
      </c>
      <c r="C3484" s="49" t="s">
        <v>7051</v>
      </c>
      <c r="D3484" s="49" t="s">
        <v>2352</v>
      </c>
      <c r="E3484" s="49" t="str">
        <f aca="false">"12428864"</f>
        <v>12428864</v>
      </c>
      <c r="F3484" s="49" t="s">
        <v>4251</v>
      </c>
      <c r="G3484" s="49" t="n">
        <v>0</v>
      </c>
      <c r="H3484" s="0" t="n">
        <v>0</v>
      </c>
      <c r="M3484" s="51" t="s">
        <v>6929</v>
      </c>
      <c r="N3484" s="49" t="n">
        <v>0</v>
      </c>
      <c r="O3484" s="53" t="n">
        <v>45773.6552314815</v>
      </c>
      <c r="P3484" s="53" t="n">
        <v>45776.0503009259</v>
      </c>
      <c r="Q3484" s="53" t="n">
        <v>45773.6552314815</v>
      </c>
      <c r="R3484" s="0" t="n">
        <v>0</v>
      </c>
      <c r="S3484" s="51" t="s">
        <v>2383</v>
      </c>
      <c r="T3484" s="51" t="s">
        <v>2383</v>
      </c>
      <c r="U3484" s="0" t="str">
        <f aca="false">"12428864"</f>
        <v>12428864</v>
      </c>
      <c r="V3484" s="51" t="s">
        <v>2365</v>
      </c>
      <c r="W3484" s="51" t="s">
        <v>4775</v>
      </c>
      <c r="X3484" s="51" t="s">
        <v>2359</v>
      </c>
    </row>
    <row r="3485" customFormat="false" ht="14.25" hidden="true" customHeight="false" outlineLevel="0" collapsed="false">
      <c r="A3485" s="49" t="s">
        <v>2349</v>
      </c>
      <c r="B3485" s="49" t="s">
        <v>2350</v>
      </c>
      <c r="C3485" s="49" t="s">
        <v>7052</v>
      </c>
      <c r="D3485" s="49" t="s">
        <v>2352</v>
      </c>
      <c r="E3485" s="49" t="s">
        <v>4124</v>
      </c>
      <c r="F3485" s="49" t="s">
        <v>4125</v>
      </c>
      <c r="G3485" s="49" t="n">
        <v>0</v>
      </c>
      <c r="H3485" s="0" t="n">
        <v>0</v>
      </c>
      <c r="M3485" s="51" t="s">
        <v>7053</v>
      </c>
      <c r="N3485" s="49" t="n">
        <v>0</v>
      </c>
      <c r="O3485" s="53" t="n">
        <v>45770.6201967593</v>
      </c>
      <c r="P3485" s="53" t="n">
        <v>45773.6458564815</v>
      </c>
      <c r="Q3485" s="53" t="n">
        <v>45770.6201967593</v>
      </c>
      <c r="R3485" s="0" t="n">
        <v>0</v>
      </c>
      <c r="S3485" s="51" t="s">
        <v>2356</v>
      </c>
      <c r="T3485" s="51" t="s">
        <v>2356</v>
      </c>
      <c r="U3485" s="51" t="s">
        <v>4124</v>
      </c>
      <c r="V3485" s="51" t="s">
        <v>2365</v>
      </c>
      <c r="W3485" s="51" t="s">
        <v>7054</v>
      </c>
      <c r="X3485" s="51" t="s">
        <v>2359</v>
      </c>
    </row>
    <row r="3486" customFormat="false" ht="14.25" hidden="true" customHeight="false" outlineLevel="0" collapsed="false">
      <c r="A3486" s="49" t="s">
        <v>2349</v>
      </c>
      <c r="B3486" s="49" t="s">
        <v>2350</v>
      </c>
      <c r="C3486" s="49" t="s">
        <v>7055</v>
      </c>
      <c r="D3486" s="49" t="s">
        <v>2352</v>
      </c>
      <c r="E3486" s="49" t="s">
        <v>4124</v>
      </c>
      <c r="F3486" s="49" t="s">
        <v>4125</v>
      </c>
      <c r="G3486" s="49" t="n">
        <v>0</v>
      </c>
      <c r="H3486" s="0" t="n">
        <v>0</v>
      </c>
      <c r="M3486" s="51" t="s">
        <v>7053</v>
      </c>
      <c r="N3486" s="49" t="n">
        <v>0</v>
      </c>
      <c r="O3486" s="53" t="n">
        <v>45770.6197800926</v>
      </c>
      <c r="P3486" s="53" t="n">
        <v>45773.6456828704</v>
      </c>
      <c r="Q3486" s="53" t="n">
        <v>45770.6197800926</v>
      </c>
      <c r="R3486" s="0" t="n">
        <v>0</v>
      </c>
      <c r="S3486" s="51" t="s">
        <v>2356</v>
      </c>
      <c r="T3486" s="51" t="s">
        <v>2356</v>
      </c>
      <c r="U3486" s="51" t="s">
        <v>4124</v>
      </c>
      <c r="V3486" s="51" t="s">
        <v>2365</v>
      </c>
      <c r="W3486" s="51" t="s">
        <v>7056</v>
      </c>
      <c r="X3486" s="51" t="s">
        <v>2359</v>
      </c>
    </row>
    <row r="3487" customFormat="false" ht="14.25" hidden="true" customHeight="false" outlineLevel="0" collapsed="false">
      <c r="A3487" s="49" t="s">
        <v>2349</v>
      </c>
      <c r="B3487" s="49" t="s">
        <v>2350</v>
      </c>
      <c r="C3487" s="49" t="s">
        <v>7057</v>
      </c>
      <c r="D3487" s="49" t="s">
        <v>2352</v>
      </c>
      <c r="E3487" s="49" t="s">
        <v>4124</v>
      </c>
      <c r="F3487" s="49" t="s">
        <v>4125</v>
      </c>
      <c r="G3487" s="49" t="n">
        <v>0</v>
      </c>
      <c r="H3487" s="0" t="n">
        <v>0</v>
      </c>
      <c r="M3487" s="51" t="s">
        <v>7053</v>
      </c>
      <c r="N3487" s="49" t="n">
        <v>0</v>
      </c>
      <c r="O3487" s="53" t="n">
        <v>45770.618900463</v>
      </c>
      <c r="P3487" s="53" t="n">
        <v>45773.645474537</v>
      </c>
      <c r="Q3487" s="53" t="n">
        <v>45770.618900463</v>
      </c>
      <c r="R3487" s="0" t="n">
        <v>0</v>
      </c>
      <c r="S3487" s="51" t="s">
        <v>2356</v>
      </c>
      <c r="T3487" s="51" t="s">
        <v>2356</v>
      </c>
      <c r="U3487" s="51" t="s">
        <v>4124</v>
      </c>
      <c r="V3487" s="51" t="s">
        <v>2365</v>
      </c>
      <c r="W3487" s="51" t="s">
        <v>7058</v>
      </c>
      <c r="X3487" s="51" t="s">
        <v>2359</v>
      </c>
    </row>
    <row r="3488" customFormat="false" ht="14.25" hidden="true" customHeight="false" outlineLevel="0" collapsed="false">
      <c r="A3488" s="49" t="s">
        <v>2349</v>
      </c>
      <c r="B3488" s="49" t="s">
        <v>2350</v>
      </c>
      <c r="C3488" s="49" t="s">
        <v>7059</v>
      </c>
      <c r="D3488" s="49" t="s">
        <v>2352</v>
      </c>
      <c r="E3488" s="49" t="str">
        <f aca="false">"12476048"</f>
        <v>12476048</v>
      </c>
      <c r="F3488" s="49" t="s">
        <v>4272</v>
      </c>
      <c r="G3488" s="49" t="n">
        <v>0</v>
      </c>
      <c r="H3488" s="0" t="n">
        <v>0</v>
      </c>
      <c r="M3488" s="51" t="s">
        <v>7060</v>
      </c>
      <c r="N3488" s="49" t="n">
        <v>0</v>
      </c>
      <c r="O3488" s="53" t="n">
        <v>45774.576724537</v>
      </c>
      <c r="P3488" s="53" t="n">
        <v>45878.4700810185</v>
      </c>
      <c r="Q3488" s="53" t="n">
        <v>45774.576724537</v>
      </c>
      <c r="R3488" s="0" t="n">
        <v>0</v>
      </c>
      <c r="S3488" s="51" t="s">
        <v>2383</v>
      </c>
      <c r="T3488" s="51" t="s">
        <v>2383</v>
      </c>
      <c r="U3488" s="0" t="str">
        <f aca="false">"12476048"</f>
        <v>12476048</v>
      </c>
      <c r="V3488" s="51" t="s">
        <v>2365</v>
      </c>
      <c r="W3488" s="51" t="s">
        <v>7039</v>
      </c>
      <c r="X3488" s="51" t="s">
        <v>2359</v>
      </c>
    </row>
    <row r="3489" customFormat="false" ht="14.25" hidden="true" customHeight="false" outlineLevel="0" collapsed="false">
      <c r="A3489" s="49" t="s">
        <v>2349</v>
      </c>
      <c r="B3489" s="49" t="s">
        <v>2350</v>
      </c>
      <c r="C3489" s="49" t="s">
        <v>7061</v>
      </c>
      <c r="D3489" s="49" t="s">
        <v>2352</v>
      </c>
      <c r="E3489" s="49" t="str">
        <f aca="false">"8908020441060"</f>
        <v>8908020441060</v>
      </c>
      <c r="F3489" s="49" t="s">
        <v>7062</v>
      </c>
      <c r="G3489" s="49" t="n">
        <v>0</v>
      </c>
      <c r="H3489" s="0" t="n">
        <v>0</v>
      </c>
      <c r="M3489" s="51" t="s">
        <v>7063</v>
      </c>
      <c r="N3489" s="49" t="n">
        <v>0</v>
      </c>
      <c r="O3489" s="53" t="n">
        <v>45773.627650463</v>
      </c>
      <c r="P3489" s="53" t="n">
        <v>45964.4545601852</v>
      </c>
      <c r="Q3489" s="53" t="n">
        <v>45773.627650463</v>
      </c>
      <c r="R3489" s="0" t="n">
        <v>0</v>
      </c>
      <c r="S3489" s="51" t="s">
        <v>2356</v>
      </c>
      <c r="T3489" s="51" t="s">
        <v>2356</v>
      </c>
      <c r="U3489" s="0" t="str">
        <f aca="false">"8908020441060"</f>
        <v>8908020441060</v>
      </c>
      <c r="V3489" s="51" t="s">
        <v>2365</v>
      </c>
      <c r="W3489" s="51" t="s">
        <v>7064</v>
      </c>
      <c r="X3489" s="51" t="s">
        <v>2359</v>
      </c>
    </row>
    <row r="3490" customFormat="false" ht="14.25" hidden="true" customHeight="false" outlineLevel="0" collapsed="false">
      <c r="A3490" s="49" t="s">
        <v>2349</v>
      </c>
      <c r="B3490" s="49" t="s">
        <v>2350</v>
      </c>
      <c r="C3490" s="49" t="s">
        <v>7065</v>
      </c>
      <c r="D3490" s="49" t="s">
        <v>2352</v>
      </c>
      <c r="E3490" s="49" t="str">
        <f aca="false">"8908020441060"</f>
        <v>8908020441060</v>
      </c>
      <c r="F3490" s="49" t="s">
        <v>7062</v>
      </c>
      <c r="G3490" s="49" t="n">
        <v>0</v>
      </c>
      <c r="H3490" s="0" t="n">
        <v>0</v>
      </c>
      <c r="M3490" s="51" t="s">
        <v>7063</v>
      </c>
      <c r="N3490" s="49" t="n">
        <v>0</v>
      </c>
      <c r="O3490" s="53" t="n">
        <v>45773.6274537037</v>
      </c>
      <c r="P3490" s="53" t="n">
        <v>46007.6628240741</v>
      </c>
      <c r="Q3490" s="53" t="n">
        <v>45773.6274537037</v>
      </c>
      <c r="R3490" s="0" t="n">
        <v>0</v>
      </c>
      <c r="S3490" s="51" t="s">
        <v>2356</v>
      </c>
      <c r="T3490" s="51" t="s">
        <v>2356</v>
      </c>
      <c r="U3490" s="0" t="str">
        <f aca="false">"8908020441060"</f>
        <v>8908020441060</v>
      </c>
      <c r="V3490" s="51" t="s">
        <v>2365</v>
      </c>
      <c r="W3490" s="51" t="s">
        <v>4132</v>
      </c>
      <c r="X3490" s="51" t="s">
        <v>2359</v>
      </c>
    </row>
    <row r="3491" customFormat="false" ht="14.25" hidden="true" customHeight="false" outlineLevel="0" collapsed="false">
      <c r="A3491" s="49" t="s">
        <v>2349</v>
      </c>
      <c r="B3491" s="49" t="s">
        <v>2350</v>
      </c>
      <c r="C3491" s="49" t="s">
        <v>7066</v>
      </c>
      <c r="D3491" s="49" t="s">
        <v>2352</v>
      </c>
      <c r="E3491" s="49" t="str">
        <f aca="false">"8908020441060"</f>
        <v>8908020441060</v>
      </c>
      <c r="F3491" s="49" t="s">
        <v>7062</v>
      </c>
      <c r="G3491" s="49" t="n">
        <v>0</v>
      </c>
      <c r="H3491" s="0" t="n">
        <v>0</v>
      </c>
      <c r="M3491" s="51" t="s">
        <v>7063</v>
      </c>
      <c r="N3491" s="49" t="n">
        <v>0</v>
      </c>
      <c r="O3491" s="53" t="n">
        <v>45773.6271643519</v>
      </c>
      <c r="P3491" s="53" t="n">
        <v>45946.327349537</v>
      </c>
      <c r="Q3491" s="53" t="n">
        <v>45773.6271643519</v>
      </c>
      <c r="R3491" s="0" t="n">
        <v>0</v>
      </c>
      <c r="S3491" s="51" t="s">
        <v>2356</v>
      </c>
      <c r="T3491" s="51" t="s">
        <v>2356</v>
      </c>
      <c r="U3491" s="0" t="str">
        <f aca="false">"8908020441060"</f>
        <v>8908020441060</v>
      </c>
      <c r="V3491" s="51" t="s">
        <v>2365</v>
      </c>
      <c r="W3491" s="51" t="s">
        <v>7067</v>
      </c>
      <c r="X3491" s="51" t="s">
        <v>2359</v>
      </c>
    </row>
    <row r="3492" customFormat="false" ht="14.25" hidden="true" customHeight="false" outlineLevel="0" collapsed="false">
      <c r="A3492" s="49" t="s">
        <v>2349</v>
      </c>
      <c r="B3492" s="49" t="s">
        <v>2350</v>
      </c>
      <c r="C3492" s="49" t="s">
        <v>7068</v>
      </c>
      <c r="D3492" s="49" t="s">
        <v>2352</v>
      </c>
      <c r="E3492" s="49" t="str">
        <f aca="false">"8908020441060"</f>
        <v>8908020441060</v>
      </c>
      <c r="F3492" s="49" t="s">
        <v>7062</v>
      </c>
      <c r="G3492" s="49" t="n">
        <v>0</v>
      </c>
      <c r="H3492" s="0" t="n">
        <v>0</v>
      </c>
      <c r="M3492" s="51" t="s">
        <v>7063</v>
      </c>
      <c r="N3492" s="49" t="n">
        <v>0</v>
      </c>
      <c r="O3492" s="53" t="n">
        <v>45773.6278819444</v>
      </c>
      <c r="P3492" s="53" t="n">
        <v>45987.6564930556</v>
      </c>
      <c r="Q3492" s="53" t="n">
        <v>45773.6278819444</v>
      </c>
      <c r="R3492" s="0" t="n">
        <v>0</v>
      </c>
      <c r="S3492" s="51" t="s">
        <v>2356</v>
      </c>
      <c r="T3492" s="51" t="s">
        <v>2356</v>
      </c>
      <c r="U3492" s="0" t="str">
        <f aca="false">"8908020441060"</f>
        <v>8908020441060</v>
      </c>
      <c r="V3492" s="51" t="s">
        <v>2365</v>
      </c>
      <c r="W3492" s="51" t="s">
        <v>4134</v>
      </c>
      <c r="X3492" s="51" t="s">
        <v>2359</v>
      </c>
    </row>
    <row r="3493" customFormat="false" ht="14.25" hidden="true" customHeight="false" outlineLevel="0" collapsed="false">
      <c r="A3493" s="49" t="s">
        <v>2349</v>
      </c>
      <c r="B3493" s="49" t="s">
        <v>2350</v>
      </c>
      <c r="C3493" s="49" t="s">
        <v>7069</v>
      </c>
      <c r="D3493" s="49" t="s">
        <v>2352</v>
      </c>
      <c r="E3493" s="49" t="str">
        <f aca="false">"8908020441060"</f>
        <v>8908020441060</v>
      </c>
      <c r="F3493" s="49" t="s">
        <v>7062</v>
      </c>
      <c r="G3493" s="49" t="n">
        <v>0</v>
      </c>
      <c r="H3493" s="0" t="n">
        <v>0</v>
      </c>
      <c r="M3493" s="51" t="s">
        <v>7063</v>
      </c>
      <c r="N3493" s="49" t="n">
        <v>0</v>
      </c>
      <c r="O3493" s="53" t="n">
        <v>45773.6280555556</v>
      </c>
      <c r="P3493" s="53" t="n">
        <v>45993.6428009259</v>
      </c>
      <c r="Q3493" s="53" t="n">
        <v>45773.6280555556</v>
      </c>
      <c r="R3493" s="0" t="n">
        <v>0</v>
      </c>
      <c r="S3493" s="51" t="s">
        <v>2356</v>
      </c>
      <c r="T3493" s="51" t="s">
        <v>2356</v>
      </c>
      <c r="U3493" s="0" t="str">
        <f aca="false">"8908020441060"</f>
        <v>8908020441060</v>
      </c>
      <c r="V3493" s="51" t="s">
        <v>2365</v>
      </c>
      <c r="W3493" s="51" t="s">
        <v>4134</v>
      </c>
      <c r="X3493" s="51" t="s">
        <v>2359</v>
      </c>
    </row>
    <row r="3494" customFormat="false" ht="14.25" hidden="true" customHeight="false" outlineLevel="0" collapsed="false">
      <c r="A3494" s="49" t="s">
        <v>2349</v>
      </c>
      <c r="B3494" s="49" t="s">
        <v>2350</v>
      </c>
      <c r="C3494" s="49" t="s">
        <v>7070</v>
      </c>
      <c r="D3494" s="49" t="s">
        <v>2352</v>
      </c>
      <c r="E3494" s="49" t="str">
        <f aca="false">"8908020441060"</f>
        <v>8908020441060</v>
      </c>
      <c r="F3494" s="49" t="s">
        <v>7062</v>
      </c>
      <c r="G3494" s="49" t="n">
        <v>0</v>
      </c>
      <c r="H3494" s="0" t="n">
        <v>0</v>
      </c>
      <c r="M3494" s="51" t="s">
        <v>7063</v>
      </c>
      <c r="N3494" s="49" t="n">
        <v>0</v>
      </c>
      <c r="O3494" s="53" t="n">
        <v>45773.6281828704</v>
      </c>
      <c r="P3494" s="53" t="n">
        <v>45939.4240162037</v>
      </c>
      <c r="Q3494" s="53" t="n">
        <v>45773.6281828704</v>
      </c>
      <c r="R3494" s="0" t="n">
        <v>0</v>
      </c>
      <c r="S3494" s="51" t="s">
        <v>2356</v>
      </c>
      <c r="T3494" s="51" t="s">
        <v>2356</v>
      </c>
      <c r="U3494" s="0" t="str">
        <f aca="false">"8908020441060"</f>
        <v>8908020441060</v>
      </c>
      <c r="V3494" s="51" t="s">
        <v>2365</v>
      </c>
      <c r="W3494" s="51" t="s">
        <v>3685</v>
      </c>
      <c r="X3494" s="51" t="s">
        <v>2359</v>
      </c>
    </row>
    <row r="3495" customFormat="false" ht="14.25" hidden="true" customHeight="false" outlineLevel="0" collapsed="false">
      <c r="A3495" s="49" t="s">
        <v>2349</v>
      </c>
      <c r="B3495" s="49" t="s">
        <v>2350</v>
      </c>
      <c r="C3495" s="49" t="s">
        <v>7071</v>
      </c>
      <c r="D3495" s="49" t="s">
        <v>2352</v>
      </c>
      <c r="E3495" s="49" t="str">
        <f aca="false">"8908020441060"</f>
        <v>8908020441060</v>
      </c>
      <c r="F3495" s="49" t="s">
        <v>7062</v>
      </c>
      <c r="G3495" s="49" t="n">
        <v>0</v>
      </c>
      <c r="H3495" s="0" t="n">
        <v>0</v>
      </c>
      <c r="M3495" s="51" t="s">
        <v>7063</v>
      </c>
      <c r="N3495" s="49" t="n">
        <v>0</v>
      </c>
      <c r="O3495" s="53" t="n">
        <v>45773.6283333333</v>
      </c>
      <c r="P3495" s="53" t="n">
        <v>45906.6115625</v>
      </c>
      <c r="Q3495" s="53" t="n">
        <v>45773.6283333333</v>
      </c>
      <c r="R3495" s="0" t="n">
        <v>0</v>
      </c>
      <c r="S3495" s="51" t="s">
        <v>2356</v>
      </c>
      <c r="T3495" s="51" t="s">
        <v>2356</v>
      </c>
      <c r="U3495" s="0" t="str">
        <f aca="false">"8908020441060"</f>
        <v>8908020441060</v>
      </c>
      <c r="V3495" s="51" t="s">
        <v>2365</v>
      </c>
      <c r="W3495" s="51" t="s">
        <v>3685</v>
      </c>
      <c r="X3495" s="51" t="s">
        <v>2359</v>
      </c>
    </row>
    <row r="3496" customFormat="false" ht="14.25" hidden="true" customHeight="false" outlineLevel="0" collapsed="false">
      <c r="A3496" s="49" t="s">
        <v>2349</v>
      </c>
      <c r="B3496" s="49" t="s">
        <v>2350</v>
      </c>
      <c r="C3496" s="49" t="s">
        <v>7072</v>
      </c>
      <c r="D3496" s="49" t="s">
        <v>2352</v>
      </c>
      <c r="E3496" s="49" t="str">
        <f aca="false">"8908020441060"</f>
        <v>8908020441060</v>
      </c>
      <c r="F3496" s="49" t="s">
        <v>7062</v>
      </c>
      <c r="G3496" s="49" t="n">
        <v>0</v>
      </c>
      <c r="H3496" s="0" t="n">
        <v>0</v>
      </c>
      <c r="M3496" s="51" t="s">
        <v>7063</v>
      </c>
      <c r="N3496" s="49" t="n">
        <v>0</v>
      </c>
      <c r="O3496" s="53" t="n">
        <v>45773.6284722222</v>
      </c>
      <c r="P3496" s="53" t="n">
        <v>45888.3457523148</v>
      </c>
      <c r="Q3496" s="53" t="n">
        <v>45773.6284722222</v>
      </c>
      <c r="R3496" s="0" t="n">
        <v>0</v>
      </c>
      <c r="S3496" s="51" t="s">
        <v>2356</v>
      </c>
      <c r="T3496" s="51" t="s">
        <v>2356</v>
      </c>
      <c r="U3496" s="0" t="str">
        <f aca="false">"8908020441060"</f>
        <v>8908020441060</v>
      </c>
      <c r="V3496" s="51" t="s">
        <v>2365</v>
      </c>
      <c r="W3496" s="51" t="s">
        <v>3685</v>
      </c>
      <c r="X3496" s="51" t="s">
        <v>2359</v>
      </c>
    </row>
    <row r="3497" customFormat="false" ht="14.25" hidden="true" customHeight="false" outlineLevel="0" collapsed="false">
      <c r="A3497" s="49" t="s">
        <v>2349</v>
      </c>
      <c r="B3497" s="49" t="s">
        <v>2350</v>
      </c>
      <c r="C3497" s="49" t="s">
        <v>7073</v>
      </c>
      <c r="D3497" s="49" t="s">
        <v>2352</v>
      </c>
      <c r="E3497" s="49" t="str">
        <f aca="false">"8908020441060"</f>
        <v>8908020441060</v>
      </c>
      <c r="F3497" s="49" t="s">
        <v>7062</v>
      </c>
      <c r="G3497" s="49" t="n">
        <v>0</v>
      </c>
      <c r="H3497" s="0" t="n">
        <v>0</v>
      </c>
      <c r="M3497" s="51" t="s">
        <v>7063</v>
      </c>
      <c r="N3497" s="49" t="n">
        <v>0</v>
      </c>
      <c r="O3497" s="53" t="n">
        <v>45773.6286111111</v>
      </c>
      <c r="P3497" s="53" t="n">
        <v>46026.3805092593</v>
      </c>
      <c r="Q3497" s="53" t="n">
        <v>45773.6286111111</v>
      </c>
      <c r="R3497" s="0" t="n">
        <v>0</v>
      </c>
      <c r="S3497" s="51" t="s">
        <v>2356</v>
      </c>
      <c r="T3497" s="51" t="s">
        <v>2356</v>
      </c>
      <c r="U3497" s="0" t="str">
        <f aca="false">"8908020441060"</f>
        <v>8908020441060</v>
      </c>
      <c r="V3497" s="51" t="s">
        <v>2365</v>
      </c>
      <c r="W3497" s="51" t="s">
        <v>5151</v>
      </c>
      <c r="X3497" s="51" t="s">
        <v>2359</v>
      </c>
    </row>
    <row r="3498" customFormat="false" ht="14.25" hidden="true" customHeight="false" outlineLevel="0" collapsed="false">
      <c r="A3498" s="49" t="s">
        <v>2349</v>
      </c>
      <c r="B3498" s="49" t="s">
        <v>2350</v>
      </c>
      <c r="C3498" s="49" t="s">
        <v>7074</v>
      </c>
      <c r="D3498" s="49" t="s">
        <v>2352</v>
      </c>
      <c r="E3498" s="49" t="str">
        <f aca="false">"5060175133304"</f>
        <v>5060175133304</v>
      </c>
      <c r="F3498" s="49" t="s">
        <v>3983</v>
      </c>
      <c r="G3498" s="49" t="n">
        <v>0</v>
      </c>
      <c r="H3498" s="0" t="n">
        <v>0</v>
      </c>
      <c r="M3498" s="51" t="s">
        <v>7075</v>
      </c>
      <c r="N3498" s="49" t="n">
        <v>0</v>
      </c>
      <c r="O3498" s="53" t="n">
        <v>45767.4171180556</v>
      </c>
      <c r="P3498" s="53" t="n">
        <v>45767.9129513889</v>
      </c>
      <c r="Q3498" s="53" t="n">
        <v>45767.4171180556</v>
      </c>
      <c r="R3498" s="0" t="n">
        <v>0</v>
      </c>
      <c r="S3498" s="51" t="s">
        <v>2416</v>
      </c>
      <c r="T3498" s="51" t="s">
        <v>2416</v>
      </c>
      <c r="U3498" s="0" t="str">
        <f aca="false">"5060175133304"</f>
        <v>5060175133304</v>
      </c>
      <c r="V3498" s="51" t="s">
        <v>2365</v>
      </c>
      <c r="W3498" s="51" t="s">
        <v>6048</v>
      </c>
      <c r="X3498" s="51" t="s">
        <v>2359</v>
      </c>
    </row>
    <row r="3499" customFormat="false" ht="14.25" hidden="true" customHeight="false" outlineLevel="0" collapsed="false">
      <c r="A3499" s="49" t="s">
        <v>2349</v>
      </c>
      <c r="B3499" s="49" t="s">
        <v>2350</v>
      </c>
      <c r="C3499" s="49" t="s">
        <v>7076</v>
      </c>
      <c r="D3499" s="49" t="s">
        <v>2352</v>
      </c>
      <c r="E3499" s="49" t="s">
        <v>2353</v>
      </c>
      <c r="F3499" s="49" t="s">
        <v>2354</v>
      </c>
      <c r="G3499" s="49" t="n">
        <v>0</v>
      </c>
      <c r="H3499" s="0" t="n">
        <v>0</v>
      </c>
      <c r="M3499" s="51" t="s">
        <v>7077</v>
      </c>
      <c r="N3499" s="49" t="n">
        <v>0</v>
      </c>
      <c r="O3499" s="53" t="n">
        <v>45764.8022106482</v>
      </c>
      <c r="P3499" s="53" t="n">
        <v>45836.4608912037</v>
      </c>
      <c r="Q3499" s="53" t="n">
        <v>45764.8022106482</v>
      </c>
      <c r="R3499" s="0" t="n">
        <v>0</v>
      </c>
      <c r="S3499" s="51" t="s">
        <v>2356</v>
      </c>
      <c r="T3499" s="51" t="s">
        <v>2356</v>
      </c>
      <c r="U3499" s="51" t="s">
        <v>2353</v>
      </c>
      <c r="V3499" s="51" t="s">
        <v>2357</v>
      </c>
      <c r="W3499" s="51" t="s">
        <v>5157</v>
      </c>
      <c r="X3499" s="51" t="s">
        <v>2359</v>
      </c>
    </row>
    <row r="3500" customFormat="false" ht="14.25" hidden="true" customHeight="false" outlineLevel="0" collapsed="false">
      <c r="A3500" s="49" t="s">
        <v>2349</v>
      </c>
      <c r="B3500" s="49" t="s">
        <v>2350</v>
      </c>
      <c r="C3500" s="49" t="s">
        <v>7078</v>
      </c>
      <c r="D3500" s="49" t="s">
        <v>2352</v>
      </c>
      <c r="E3500" s="49" t="s">
        <v>7079</v>
      </c>
      <c r="F3500" s="49" t="s">
        <v>7080</v>
      </c>
      <c r="G3500" s="49" t="n">
        <v>0</v>
      </c>
      <c r="H3500" s="0" t="n">
        <v>0</v>
      </c>
      <c r="M3500" s="51" t="s">
        <v>7077</v>
      </c>
      <c r="N3500" s="49" t="n">
        <v>0</v>
      </c>
      <c r="O3500" s="53" t="n">
        <v>45764.7908564815</v>
      </c>
      <c r="P3500" s="53" t="n">
        <v>45781.6235185185</v>
      </c>
      <c r="Q3500" s="53" t="n">
        <v>45764.7908564815</v>
      </c>
      <c r="R3500" s="0" t="n">
        <v>0</v>
      </c>
      <c r="S3500" s="51" t="s">
        <v>2356</v>
      </c>
      <c r="T3500" s="51" t="s">
        <v>2356</v>
      </c>
      <c r="U3500" s="51" t="s">
        <v>7079</v>
      </c>
      <c r="V3500" s="51" t="s">
        <v>2365</v>
      </c>
      <c r="W3500" s="51" t="s">
        <v>4590</v>
      </c>
      <c r="X3500" s="51" t="s">
        <v>2359</v>
      </c>
    </row>
    <row r="3501" customFormat="false" ht="14.25" hidden="true" customHeight="false" outlineLevel="0" collapsed="false">
      <c r="A3501" s="49" t="s">
        <v>2349</v>
      </c>
      <c r="B3501" s="49" t="s">
        <v>2350</v>
      </c>
      <c r="C3501" s="49" t="s">
        <v>7081</v>
      </c>
      <c r="D3501" s="49" t="s">
        <v>2352</v>
      </c>
      <c r="E3501" s="49" t="s">
        <v>7079</v>
      </c>
      <c r="F3501" s="49" t="s">
        <v>7080</v>
      </c>
      <c r="G3501" s="49" t="n">
        <v>0</v>
      </c>
      <c r="H3501" s="0" t="n">
        <v>0</v>
      </c>
      <c r="M3501" s="51" t="s">
        <v>7077</v>
      </c>
      <c r="N3501" s="49" t="n">
        <v>0</v>
      </c>
      <c r="O3501" s="53" t="n">
        <v>45764.7888657407</v>
      </c>
      <c r="P3501" s="53" t="n">
        <v>45969.3068518519</v>
      </c>
      <c r="Q3501" s="53" t="n">
        <v>45764.7888657407</v>
      </c>
      <c r="R3501" s="0" t="n">
        <v>0</v>
      </c>
      <c r="S3501" s="51" t="s">
        <v>2356</v>
      </c>
      <c r="T3501" s="51" t="s">
        <v>2356</v>
      </c>
      <c r="U3501" s="51" t="s">
        <v>7079</v>
      </c>
      <c r="V3501" s="51" t="s">
        <v>2365</v>
      </c>
      <c r="W3501" s="51" t="s">
        <v>4361</v>
      </c>
      <c r="X3501" s="51" t="s">
        <v>2359</v>
      </c>
    </row>
    <row r="3502" customFormat="false" ht="14.25" hidden="true" customHeight="false" outlineLevel="0" collapsed="false">
      <c r="A3502" s="49" t="s">
        <v>2349</v>
      </c>
      <c r="B3502" s="49" t="s">
        <v>2350</v>
      </c>
      <c r="C3502" s="49" t="s">
        <v>7082</v>
      </c>
      <c r="D3502" s="49" t="s">
        <v>2352</v>
      </c>
      <c r="E3502" s="49" t="s">
        <v>3633</v>
      </c>
      <c r="F3502" s="49" t="s">
        <v>3634</v>
      </c>
      <c r="G3502" s="49" t="n">
        <v>0</v>
      </c>
      <c r="H3502" s="0" t="n">
        <v>0</v>
      </c>
      <c r="M3502" s="51" t="s">
        <v>7083</v>
      </c>
      <c r="N3502" s="49" t="n">
        <v>0</v>
      </c>
      <c r="O3502" s="53" t="n">
        <v>45764.8569791667</v>
      </c>
      <c r="P3502" s="53" t="n">
        <v>45771.6682638889</v>
      </c>
      <c r="Q3502" s="53" t="n">
        <v>45764.8569791667</v>
      </c>
      <c r="R3502" s="0" t="n">
        <v>0</v>
      </c>
      <c r="S3502" s="51" t="s">
        <v>2356</v>
      </c>
      <c r="T3502" s="51" t="s">
        <v>2356</v>
      </c>
      <c r="U3502" s="51" t="s">
        <v>3633</v>
      </c>
      <c r="V3502" s="51" t="s">
        <v>2357</v>
      </c>
      <c r="W3502" s="51" t="s">
        <v>7056</v>
      </c>
      <c r="X3502" s="51" t="s">
        <v>2359</v>
      </c>
    </row>
    <row r="3503" customFormat="false" ht="14.25" hidden="true" customHeight="false" outlineLevel="0" collapsed="false">
      <c r="A3503" s="49" t="s">
        <v>2349</v>
      </c>
      <c r="B3503" s="49" t="s">
        <v>2350</v>
      </c>
      <c r="C3503" s="49" t="s">
        <v>7084</v>
      </c>
      <c r="D3503" s="49" t="s">
        <v>2352</v>
      </c>
      <c r="E3503" s="49" t="s">
        <v>3633</v>
      </c>
      <c r="F3503" s="49" t="s">
        <v>3634</v>
      </c>
      <c r="G3503" s="49" t="n">
        <v>0</v>
      </c>
      <c r="H3503" s="0" t="n">
        <v>0</v>
      </c>
      <c r="M3503" s="51" t="s">
        <v>7083</v>
      </c>
      <c r="N3503" s="49" t="n">
        <v>0</v>
      </c>
      <c r="O3503" s="53" t="n">
        <v>45764.8612384259</v>
      </c>
      <c r="P3503" s="53" t="n">
        <v>45801.5608333333</v>
      </c>
      <c r="Q3503" s="53" t="n">
        <v>45764.8612384259</v>
      </c>
      <c r="R3503" s="0" t="n">
        <v>0</v>
      </c>
      <c r="S3503" s="51" t="s">
        <v>2356</v>
      </c>
      <c r="T3503" s="51" t="s">
        <v>2356</v>
      </c>
      <c r="U3503" s="51" t="s">
        <v>3633</v>
      </c>
      <c r="V3503" s="51" t="s">
        <v>2357</v>
      </c>
      <c r="W3503" s="51" t="s">
        <v>6466</v>
      </c>
      <c r="X3503" s="51" t="s">
        <v>2359</v>
      </c>
    </row>
    <row r="3504" customFormat="false" ht="14.25" hidden="true" customHeight="false" outlineLevel="0" collapsed="false">
      <c r="A3504" s="49" t="s">
        <v>2349</v>
      </c>
      <c r="B3504" s="49" t="s">
        <v>2350</v>
      </c>
      <c r="C3504" s="49" t="s">
        <v>7085</v>
      </c>
      <c r="D3504" s="49" t="s">
        <v>2352</v>
      </c>
      <c r="E3504" s="49" t="s">
        <v>3633</v>
      </c>
      <c r="F3504" s="49" t="s">
        <v>3634</v>
      </c>
      <c r="G3504" s="49" t="n">
        <v>0</v>
      </c>
      <c r="H3504" s="0" t="n">
        <v>0</v>
      </c>
      <c r="M3504" s="51" t="s">
        <v>7083</v>
      </c>
      <c r="N3504" s="49" t="n">
        <v>0</v>
      </c>
      <c r="O3504" s="53" t="n">
        <v>45764.8655902778</v>
      </c>
      <c r="P3504" s="53" t="n">
        <v>45769.3521643519</v>
      </c>
      <c r="Q3504" s="53" t="n">
        <v>45764.8655902778</v>
      </c>
      <c r="R3504" s="0" t="n">
        <v>0</v>
      </c>
      <c r="S3504" s="51" t="s">
        <v>2356</v>
      </c>
      <c r="T3504" s="51" t="s">
        <v>2356</v>
      </c>
      <c r="U3504" s="51" t="s">
        <v>3633</v>
      </c>
      <c r="V3504" s="51" t="s">
        <v>2357</v>
      </c>
      <c r="W3504" s="51" t="s">
        <v>7086</v>
      </c>
      <c r="X3504" s="51" t="s">
        <v>2359</v>
      </c>
    </row>
    <row r="3505" customFormat="false" ht="14.25" hidden="true" customHeight="false" outlineLevel="0" collapsed="false">
      <c r="A3505" s="49" t="s">
        <v>2349</v>
      </c>
      <c r="B3505" s="49" t="s">
        <v>2350</v>
      </c>
      <c r="C3505" s="49" t="s">
        <v>7087</v>
      </c>
      <c r="D3505" s="49" t="s">
        <v>2352</v>
      </c>
      <c r="E3505" s="49" t="s">
        <v>3633</v>
      </c>
      <c r="F3505" s="49" t="s">
        <v>3634</v>
      </c>
      <c r="G3505" s="49" t="n">
        <v>0</v>
      </c>
      <c r="H3505" s="0" t="n">
        <v>0</v>
      </c>
      <c r="M3505" s="51" t="s">
        <v>7083</v>
      </c>
      <c r="N3505" s="49" t="n">
        <v>0</v>
      </c>
      <c r="O3505" s="53" t="n">
        <v>45764.8802662037</v>
      </c>
      <c r="P3505" s="53" t="n">
        <v>45777.6201388889</v>
      </c>
      <c r="Q3505" s="53" t="n">
        <v>45764.8802662037</v>
      </c>
      <c r="R3505" s="0" t="n">
        <v>0</v>
      </c>
      <c r="S3505" s="51" t="s">
        <v>2356</v>
      </c>
      <c r="T3505" s="51" t="s">
        <v>2356</v>
      </c>
      <c r="U3505" s="51" t="s">
        <v>3633</v>
      </c>
      <c r="V3505" s="51" t="s">
        <v>2357</v>
      </c>
      <c r="W3505" s="51" t="s">
        <v>7088</v>
      </c>
      <c r="X3505" s="51" t="s">
        <v>2359</v>
      </c>
    </row>
    <row r="3506" customFormat="false" ht="14.25" hidden="true" customHeight="false" outlineLevel="0" collapsed="false">
      <c r="A3506" s="49" t="s">
        <v>2349</v>
      </c>
      <c r="B3506" s="49" t="s">
        <v>2350</v>
      </c>
      <c r="C3506" s="49" t="s">
        <v>7089</v>
      </c>
      <c r="D3506" s="49" t="s">
        <v>2352</v>
      </c>
      <c r="E3506" s="49" t="s">
        <v>3633</v>
      </c>
      <c r="F3506" s="49" t="s">
        <v>3634</v>
      </c>
      <c r="G3506" s="49" t="n">
        <v>0</v>
      </c>
      <c r="H3506" s="0" t="n">
        <v>0</v>
      </c>
      <c r="M3506" s="51" t="s">
        <v>7083</v>
      </c>
      <c r="N3506" s="49" t="n">
        <v>0</v>
      </c>
      <c r="O3506" s="53" t="n">
        <v>45790.3947106482</v>
      </c>
      <c r="P3506" s="53" t="n">
        <v>45801.5607523148</v>
      </c>
      <c r="R3506" s="0" t="n">
        <v>0</v>
      </c>
      <c r="T3506" s="51" t="s">
        <v>2356</v>
      </c>
      <c r="U3506" s="51" t="s">
        <v>3633</v>
      </c>
      <c r="V3506" s="51" t="s">
        <v>2357</v>
      </c>
      <c r="W3506" s="51" t="s">
        <v>3681</v>
      </c>
      <c r="X3506" s="51" t="s">
        <v>2359</v>
      </c>
    </row>
    <row r="3507" customFormat="false" ht="14.25" hidden="true" customHeight="false" outlineLevel="0" collapsed="false">
      <c r="A3507" s="49" t="s">
        <v>2349</v>
      </c>
      <c r="B3507" s="49" t="s">
        <v>2350</v>
      </c>
      <c r="C3507" s="49" t="s">
        <v>7090</v>
      </c>
      <c r="D3507" s="49" t="s">
        <v>2352</v>
      </c>
      <c r="E3507" s="49" t="str">
        <f aca="false">"5060458890191"</f>
        <v>5060458890191</v>
      </c>
      <c r="F3507" s="49" t="s">
        <v>3656</v>
      </c>
      <c r="G3507" s="49" t="n">
        <v>0</v>
      </c>
      <c r="H3507" s="0" t="n">
        <v>0</v>
      </c>
      <c r="M3507" s="51" t="s">
        <v>7091</v>
      </c>
      <c r="N3507" s="49" t="n">
        <v>0</v>
      </c>
      <c r="O3507" s="53" t="n">
        <v>45769.3600115741</v>
      </c>
      <c r="P3507" s="53" t="n">
        <v>45778.563912037</v>
      </c>
      <c r="Q3507" s="53" t="n">
        <v>45769.3600115741</v>
      </c>
      <c r="R3507" s="0" t="n">
        <v>0</v>
      </c>
      <c r="S3507" s="51" t="s">
        <v>2416</v>
      </c>
      <c r="T3507" s="51" t="s">
        <v>2416</v>
      </c>
      <c r="U3507" s="0" t="str">
        <f aca="false">"5060458890191"</f>
        <v>5060458890191</v>
      </c>
      <c r="V3507" s="51" t="s">
        <v>2142</v>
      </c>
      <c r="W3507" s="51" t="s">
        <v>6517</v>
      </c>
      <c r="X3507" s="51" t="s">
        <v>2359</v>
      </c>
    </row>
    <row r="3508" customFormat="false" ht="14.25" hidden="true" customHeight="false" outlineLevel="0" collapsed="false">
      <c r="A3508" s="49" t="s">
        <v>2349</v>
      </c>
      <c r="B3508" s="49" t="s">
        <v>2350</v>
      </c>
      <c r="C3508" s="49" t="s">
        <v>7092</v>
      </c>
      <c r="D3508" s="49" t="s">
        <v>2352</v>
      </c>
      <c r="E3508" s="49" t="str">
        <f aca="false">"5060458890191"</f>
        <v>5060458890191</v>
      </c>
      <c r="F3508" s="49" t="s">
        <v>3656</v>
      </c>
      <c r="G3508" s="49" t="n">
        <v>0</v>
      </c>
      <c r="H3508" s="0" t="n">
        <v>0</v>
      </c>
      <c r="M3508" s="51" t="s">
        <v>7091</v>
      </c>
      <c r="N3508" s="49" t="n">
        <v>0</v>
      </c>
      <c r="O3508" s="53" t="n">
        <v>45769.3602546296</v>
      </c>
      <c r="P3508" s="53" t="n">
        <v>45778.7671527778</v>
      </c>
      <c r="Q3508" s="53" t="n">
        <v>45769.3602546296</v>
      </c>
      <c r="R3508" s="0" t="n">
        <v>0</v>
      </c>
      <c r="S3508" s="51" t="s">
        <v>2416</v>
      </c>
      <c r="T3508" s="51" t="s">
        <v>2416</v>
      </c>
      <c r="U3508" s="0" t="str">
        <f aca="false">"5060458890191"</f>
        <v>5060458890191</v>
      </c>
      <c r="V3508" s="51" t="s">
        <v>2142</v>
      </c>
      <c r="W3508" s="51" t="s">
        <v>6521</v>
      </c>
      <c r="X3508" s="51" t="s">
        <v>2359</v>
      </c>
    </row>
    <row r="3509" customFormat="false" ht="14.25" hidden="true" customHeight="false" outlineLevel="0" collapsed="false">
      <c r="A3509" s="49" t="s">
        <v>2349</v>
      </c>
      <c r="B3509" s="49" t="s">
        <v>2350</v>
      </c>
      <c r="C3509" s="49" t="s">
        <v>7093</v>
      </c>
      <c r="D3509" s="49" t="s">
        <v>2352</v>
      </c>
      <c r="E3509" s="49" t="str">
        <f aca="false">"5060458890191"</f>
        <v>5060458890191</v>
      </c>
      <c r="F3509" s="49" t="s">
        <v>3656</v>
      </c>
      <c r="G3509" s="49" t="n">
        <v>0</v>
      </c>
      <c r="H3509" s="0" t="n">
        <v>0</v>
      </c>
      <c r="M3509" s="51" t="s">
        <v>7091</v>
      </c>
      <c r="N3509" s="49" t="n">
        <v>0</v>
      </c>
      <c r="O3509" s="53" t="n">
        <v>45769.3604166667</v>
      </c>
      <c r="P3509" s="53" t="n">
        <v>45778.5758449074</v>
      </c>
      <c r="Q3509" s="53" t="n">
        <v>45769.3604166667</v>
      </c>
      <c r="R3509" s="0" t="n">
        <v>0</v>
      </c>
      <c r="S3509" s="51" t="s">
        <v>2416</v>
      </c>
      <c r="T3509" s="51" t="s">
        <v>2416</v>
      </c>
      <c r="U3509" s="0" t="str">
        <f aca="false">"5060458890191"</f>
        <v>5060458890191</v>
      </c>
      <c r="V3509" s="51" t="s">
        <v>2142</v>
      </c>
      <c r="W3509" s="51" t="s">
        <v>6497</v>
      </c>
      <c r="X3509" s="51" t="s">
        <v>2359</v>
      </c>
    </row>
    <row r="3510" customFormat="false" ht="14.25" hidden="true" customHeight="false" outlineLevel="0" collapsed="false">
      <c r="A3510" s="49" t="s">
        <v>2349</v>
      </c>
      <c r="B3510" s="49" t="s">
        <v>2350</v>
      </c>
      <c r="C3510" s="49" t="s">
        <v>7094</v>
      </c>
      <c r="D3510" s="49" t="s">
        <v>2352</v>
      </c>
      <c r="E3510" s="49" t="str">
        <f aca="false">"5060458890191"</f>
        <v>5060458890191</v>
      </c>
      <c r="F3510" s="49" t="s">
        <v>3656</v>
      </c>
      <c r="G3510" s="49" t="n">
        <v>0</v>
      </c>
      <c r="H3510" s="0" t="n">
        <v>0</v>
      </c>
      <c r="M3510" s="51" t="s">
        <v>7091</v>
      </c>
      <c r="N3510" s="49" t="n">
        <v>0</v>
      </c>
      <c r="O3510" s="53" t="n">
        <v>45769.3605092593</v>
      </c>
      <c r="P3510" s="53" t="n">
        <v>45778.5566898148</v>
      </c>
      <c r="Q3510" s="53" t="n">
        <v>45769.3605092593</v>
      </c>
      <c r="R3510" s="0" t="n">
        <v>0</v>
      </c>
      <c r="S3510" s="51" t="s">
        <v>2416</v>
      </c>
      <c r="T3510" s="51" t="s">
        <v>2416</v>
      </c>
      <c r="U3510" s="0" t="str">
        <f aca="false">"5060458890191"</f>
        <v>5060458890191</v>
      </c>
      <c r="V3510" s="51" t="s">
        <v>2142</v>
      </c>
      <c r="W3510" s="51" t="s">
        <v>6505</v>
      </c>
      <c r="X3510" s="51" t="s">
        <v>2359</v>
      </c>
    </row>
    <row r="3511" customFormat="false" ht="14.25" hidden="true" customHeight="false" outlineLevel="0" collapsed="false">
      <c r="A3511" s="49" t="s">
        <v>2349</v>
      </c>
      <c r="B3511" s="49" t="s">
        <v>2350</v>
      </c>
      <c r="C3511" s="49" t="s">
        <v>7095</v>
      </c>
      <c r="D3511" s="49" t="s">
        <v>2352</v>
      </c>
      <c r="E3511" s="49" t="str">
        <f aca="false">"5060458890191"</f>
        <v>5060458890191</v>
      </c>
      <c r="F3511" s="49" t="s">
        <v>3656</v>
      </c>
      <c r="G3511" s="49" t="n">
        <v>0</v>
      </c>
      <c r="H3511" s="0" t="n">
        <v>0</v>
      </c>
      <c r="M3511" s="51" t="s">
        <v>7091</v>
      </c>
      <c r="N3511" s="49" t="n">
        <v>0</v>
      </c>
      <c r="O3511" s="53" t="n">
        <v>45769.3607638889</v>
      </c>
      <c r="P3511" s="53" t="n">
        <v>45778.5578587963</v>
      </c>
      <c r="Q3511" s="53" t="n">
        <v>45769.3607638889</v>
      </c>
      <c r="R3511" s="0" t="n">
        <v>0</v>
      </c>
      <c r="S3511" s="51" t="s">
        <v>2416</v>
      </c>
      <c r="T3511" s="51" t="s">
        <v>2416</v>
      </c>
      <c r="U3511" s="0" t="str">
        <f aca="false">"5060458890191"</f>
        <v>5060458890191</v>
      </c>
      <c r="V3511" s="51" t="s">
        <v>2142</v>
      </c>
      <c r="W3511" s="51" t="s">
        <v>6507</v>
      </c>
      <c r="X3511" s="51" t="s">
        <v>2359</v>
      </c>
    </row>
    <row r="3512" customFormat="false" ht="14.25" hidden="true" customHeight="false" outlineLevel="0" collapsed="false">
      <c r="A3512" s="49" t="s">
        <v>2349</v>
      </c>
      <c r="B3512" s="49" t="s">
        <v>2350</v>
      </c>
      <c r="C3512" s="49" t="s">
        <v>7096</v>
      </c>
      <c r="D3512" s="49" t="s">
        <v>2352</v>
      </c>
      <c r="E3512" s="49" t="str">
        <f aca="false">"5060458890191"</f>
        <v>5060458890191</v>
      </c>
      <c r="F3512" s="49" t="s">
        <v>3656</v>
      </c>
      <c r="G3512" s="49" t="n">
        <v>0</v>
      </c>
      <c r="H3512" s="0" t="n">
        <v>0</v>
      </c>
      <c r="M3512" s="51" t="s">
        <v>7091</v>
      </c>
      <c r="N3512" s="49" t="n">
        <v>0</v>
      </c>
      <c r="O3512" s="53" t="n">
        <v>45769.3608796296</v>
      </c>
      <c r="P3512" s="53" t="n">
        <v>45778.5647453704</v>
      </c>
      <c r="Q3512" s="53" t="n">
        <v>45769.3608796296</v>
      </c>
      <c r="R3512" s="0" t="n">
        <v>0</v>
      </c>
      <c r="S3512" s="51" t="s">
        <v>2416</v>
      </c>
      <c r="T3512" s="51" t="s">
        <v>2416</v>
      </c>
      <c r="U3512" s="0" t="str">
        <f aca="false">"5060458890191"</f>
        <v>5060458890191</v>
      </c>
      <c r="V3512" s="51" t="s">
        <v>2142</v>
      </c>
      <c r="W3512" s="51" t="s">
        <v>6519</v>
      </c>
      <c r="X3512" s="51" t="s">
        <v>2359</v>
      </c>
    </row>
    <row r="3513" customFormat="false" ht="14.25" hidden="true" customHeight="false" outlineLevel="0" collapsed="false">
      <c r="A3513" s="49" t="s">
        <v>2349</v>
      </c>
      <c r="B3513" s="49" t="s">
        <v>2350</v>
      </c>
      <c r="C3513" s="49" t="s">
        <v>7097</v>
      </c>
      <c r="D3513" s="49" t="s">
        <v>2352</v>
      </c>
      <c r="E3513" s="49" t="str">
        <f aca="false">"5060458890191"</f>
        <v>5060458890191</v>
      </c>
      <c r="F3513" s="49" t="s">
        <v>3656</v>
      </c>
      <c r="G3513" s="49" t="n">
        <v>0</v>
      </c>
      <c r="H3513" s="0" t="n">
        <v>0</v>
      </c>
      <c r="M3513" s="51" t="s">
        <v>7091</v>
      </c>
      <c r="N3513" s="49" t="n">
        <v>0</v>
      </c>
      <c r="O3513" s="53" t="n">
        <v>45769.3609837963</v>
      </c>
      <c r="P3513" s="53" t="n">
        <v>45778.563125</v>
      </c>
      <c r="Q3513" s="53" t="n">
        <v>45769.3609837963</v>
      </c>
      <c r="R3513" s="0" t="n">
        <v>0</v>
      </c>
      <c r="S3513" s="51" t="s">
        <v>2416</v>
      </c>
      <c r="T3513" s="51" t="s">
        <v>2416</v>
      </c>
      <c r="U3513" s="0" t="str">
        <f aca="false">"5060458890191"</f>
        <v>5060458890191</v>
      </c>
      <c r="V3513" s="51" t="s">
        <v>2142</v>
      </c>
      <c r="W3513" s="51" t="s">
        <v>6515</v>
      </c>
      <c r="X3513" s="51" t="s">
        <v>2359</v>
      </c>
    </row>
    <row r="3514" customFormat="false" ht="14.25" hidden="true" customHeight="false" outlineLevel="0" collapsed="false">
      <c r="A3514" s="49" t="s">
        <v>2349</v>
      </c>
      <c r="B3514" s="49" t="s">
        <v>2350</v>
      </c>
      <c r="C3514" s="49" t="s">
        <v>7098</v>
      </c>
      <c r="D3514" s="49" t="s">
        <v>2352</v>
      </c>
      <c r="E3514" s="49" t="str">
        <f aca="false">"5060458890191"</f>
        <v>5060458890191</v>
      </c>
      <c r="F3514" s="49" t="s">
        <v>3656</v>
      </c>
      <c r="G3514" s="49" t="n">
        <v>0</v>
      </c>
      <c r="H3514" s="0" t="n">
        <v>0</v>
      </c>
      <c r="M3514" s="51" t="s">
        <v>7091</v>
      </c>
      <c r="N3514" s="49" t="n">
        <v>0</v>
      </c>
      <c r="O3514" s="53" t="n">
        <v>45769.3611111111</v>
      </c>
      <c r="P3514" s="53" t="n">
        <v>45778.7617592593</v>
      </c>
      <c r="Q3514" s="53" t="n">
        <v>45769.3611111111</v>
      </c>
      <c r="R3514" s="0" t="n">
        <v>0</v>
      </c>
      <c r="S3514" s="51" t="s">
        <v>2416</v>
      </c>
      <c r="T3514" s="51" t="s">
        <v>2416</v>
      </c>
      <c r="U3514" s="0" t="str">
        <f aca="false">"5060458890191"</f>
        <v>5060458890191</v>
      </c>
      <c r="V3514" s="51" t="s">
        <v>2142</v>
      </c>
      <c r="W3514" s="51" t="s">
        <v>6099</v>
      </c>
      <c r="X3514" s="51" t="s">
        <v>2359</v>
      </c>
    </row>
    <row r="3515" customFormat="false" ht="14.25" hidden="true" customHeight="false" outlineLevel="0" collapsed="false">
      <c r="A3515" s="49" t="s">
        <v>2349</v>
      </c>
      <c r="B3515" s="49" t="s">
        <v>2350</v>
      </c>
      <c r="C3515" s="49" t="s">
        <v>7099</v>
      </c>
      <c r="D3515" s="49" t="s">
        <v>2352</v>
      </c>
      <c r="E3515" s="49" t="str">
        <f aca="false">"5060458890191"</f>
        <v>5060458890191</v>
      </c>
      <c r="F3515" s="49" t="s">
        <v>3656</v>
      </c>
      <c r="G3515" s="49" t="n">
        <v>0</v>
      </c>
      <c r="H3515" s="0" t="n">
        <v>0</v>
      </c>
      <c r="M3515" s="51" t="s">
        <v>7091</v>
      </c>
      <c r="N3515" s="49" t="n">
        <v>0</v>
      </c>
      <c r="O3515" s="53" t="n">
        <v>45769.36125</v>
      </c>
      <c r="P3515" s="53" t="n">
        <v>45778.7540625</v>
      </c>
      <c r="Q3515" s="53" t="n">
        <v>45769.36125</v>
      </c>
      <c r="R3515" s="0" t="n">
        <v>0</v>
      </c>
      <c r="S3515" s="51" t="s">
        <v>2416</v>
      </c>
      <c r="T3515" s="51" t="s">
        <v>2416</v>
      </c>
      <c r="U3515" s="0" t="str">
        <f aca="false">"5060458890191"</f>
        <v>5060458890191</v>
      </c>
      <c r="V3515" s="51" t="s">
        <v>2142</v>
      </c>
      <c r="W3515" s="51" t="s">
        <v>7100</v>
      </c>
      <c r="X3515" s="51" t="s">
        <v>2359</v>
      </c>
    </row>
    <row r="3516" customFormat="false" ht="14.25" hidden="true" customHeight="false" outlineLevel="0" collapsed="false">
      <c r="A3516" s="49" t="s">
        <v>2349</v>
      </c>
      <c r="B3516" s="49" t="s">
        <v>2350</v>
      </c>
      <c r="C3516" s="49" t="s">
        <v>7101</v>
      </c>
      <c r="D3516" s="49" t="s">
        <v>2352</v>
      </c>
      <c r="E3516" s="49" t="str">
        <f aca="false">"5060458890191"</f>
        <v>5060458890191</v>
      </c>
      <c r="F3516" s="49" t="s">
        <v>3656</v>
      </c>
      <c r="G3516" s="49" t="n">
        <v>0</v>
      </c>
      <c r="H3516" s="0" t="n">
        <v>0</v>
      </c>
      <c r="M3516" s="51" t="s">
        <v>7091</v>
      </c>
      <c r="N3516" s="49" t="n">
        <v>0</v>
      </c>
      <c r="O3516" s="53" t="n">
        <v>45769.3614930556</v>
      </c>
      <c r="P3516" s="53" t="n">
        <v>45778.7551736111</v>
      </c>
      <c r="Q3516" s="53" t="n">
        <v>45769.3614930556</v>
      </c>
      <c r="R3516" s="0" t="n">
        <v>0</v>
      </c>
      <c r="S3516" s="51" t="s">
        <v>2416</v>
      </c>
      <c r="T3516" s="51" t="s">
        <v>2416</v>
      </c>
      <c r="U3516" s="0" t="str">
        <f aca="false">"5060458890191"</f>
        <v>5060458890191</v>
      </c>
      <c r="V3516" s="51" t="s">
        <v>2142</v>
      </c>
      <c r="W3516" s="51" t="s">
        <v>6529</v>
      </c>
      <c r="X3516" s="51" t="s">
        <v>2359</v>
      </c>
    </row>
    <row r="3517" customFormat="false" ht="14.25" hidden="true" customHeight="false" outlineLevel="0" collapsed="false">
      <c r="A3517" s="49" t="s">
        <v>2349</v>
      </c>
      <c r="B3517" s="49" t="s">
        <v>2350</v>
      </c>
      <c r="C3517" s="49" t="s">
        <v>7102</v>
      </c>
      <c r="D3517" s="49" t="s">
        <v>2352</v>
      </c>
      <c r="E3517" s="49" t="str">
        <f aca="false">"5060458890191"</f>
        <v>5060458890191</v>
      </c>
      <c r="F3517" s="49" t="s">
        <v>3656</v>
      </c>
      <c r="G3517" s="49" t="n">
        <v>0</v>
      </c>
      <c r="H3517" s="0" t="n">
        <v>0</v>
      </c>
      <c r="M3517" s="51" t="s">
        <v>7091</v>
      </c>
      <c r="N3517" s="49" t="n">
        <v>0</v>
      </c>
      <c r="O3517" s="53" t="n">
        <v>45769.3616203704</v>
      </c>
      <c r="P3517" s="53" t="n">
        <v>45778.7517824074</v>
      </c>
      <c r="Q3517" s="53" t="n">
        <v>45769.3616203704</v>
      </c>
      <c r="R3517" s="0" t="n">
        <v>0</v>
      </c>
      <c r="S3517" s="51" t="s">
        <v>2416</v>
      </c>
      <c r="T3517" s="51" t="s">
        <v>2416</v>
      </c>
      <c r="U3517" s="0" t="str">
        <f aca="false">"5060458890191"</f>
        <v>5060458890191</v>
      </c>
      <c r="V3517" s="51" t="s">
        <v>2142</v>
      </c>
      <c r="W3517" s="51" t="s">
        <v>6525</v>
      </c>
      <c r="X3517" s="51" t="s">
        <v>2359</v>
      </c>
    </row>
    <row r="3518" customFormat="false" ht="14.25" hidden="true" customHeight="false" outlineLevel="0" collapsed="false">
      <c r="A3518" s="49" t="s">
        <v>2349</v>
      </c>
      <c r="B3518" s="49" t="s">
        <v>2350</v>
      </c>
      <c r="C3518" s="49" t="s">
        <v>7103</v>
      </c>
      <c r="D3518" s="49" t="s">
        <v>2352</v>
      </c>
      <c r="E3518" s="49" t="str">
        <f aca="false">"5060458890191"</f>
        <v>5060458890191</v>
      </c>
      <c r="F3518" s="49" t="s">
        <v>3656</v>
      </c>
      <c r="G3518" s="49" t="n">
        <v>0</v>
      </c>
      <c r="H3518" s="0" t="n">
        <v>0</v>
      </c>
      <c r="M3518" s="51" t="s">
        <v>7091</v>
      </c>
      <c r="N3518" s="49" t="n">
        <v>0</v>
      </c>
      <c r="O3518" s="53" t="n">
        <v>45769.3618518519</v>
      </c>
      <c r="P3518" s="53" t="n">
        <v>45778.750787037</v>
      </c>
      <c r="Q3518" s="53" t="n">
        <v>45769.3618518519</v>
      </c>
      <c r="R3518" s="0" t="n">
        <v>0</v>
      </c>
      <c r="S3518" s="51" t="s">
        <v>2416</v>
      </c>
      <c r="T3518" s="51" t="s">
        <v>2416</v>
      </c>
      <c r="U3518" s="0" t="str">
        <f aca="false">"5060458890191"</f>
        <v>5060458890191</v>
      </c>
      <c r="V3518" s="51" t="s">
        <v>2142</v>
      </c>
      <c r="W3518" s="51" t="s">
        <v>6523</v>
      </c>
      <c r="X3518" s="51" t="s">
        <v>2359</v>
      </c>
    </row>
    <row r="3519" customFormat="false" ht="14.25" hidden="true" customHeight="false" outlineLevel="0" collapsed="false">
      <c r="A3519" s="49" t="s">
        <v>2349</v>
      </c>
      <c r="B3519" s="49" t="s">
        <v>2350</v>
      </c>
      <c r="C3519" s="49" t="s">
        <v>7104</v>
      </c>
      <c r="D3519" s="49" t="s">
        <v>2352</v>
      </c>
      <c r="E3519" s="49" t="str">
        <f aca="false">"5060458890191"</f>
        <v>5060458890191</v>
      </c>
      <c r="F3519" s="49" t="s">
        <v>3656</v>
      </c>
      <c r="G3519" s="49" t="n">
        <v>0</v>
      </c>
      <c r="H3519" s="0" t="n">
        <v>0</v>
      </c>
      <c r="M3519" s="51" t="s">
        <v>7091</v>
      </c>
      <c r="N3519" s="49" t="n">
        <v>0</v>
      </c>
      <c r="O3519" s="53" t="n">
        <v>45769.4060300926</v>
      </c>
      <c r="P3519" s="53" t="n">
        <v>45798.890162037</v>
      </c>
      <c r="Q3519" s="53" t="n">
        <v>45769.4060300926</v>
      </c>
      <c r="R3519" s="0" t="n">
        <v>0</v>
      </c>
      <c r="S3519" s="51" t="s">
        <v>2416</v>
      </c>
      <c r="T3519" s="51" t="s">
        <v>2416</v>
      </c>
      <c r="U3519" s="0" t="str">
        <f aca="false">"5060458890191"</f>
        <v>5060458890191</v>
      </c>
      <c r="V3519" s="51" t="s">
        <v>2142</v>
      </c>
      <c r="W3519" s="51" t="s">
        <v>5287</v>
      </c>
      <c r="X3519" s="51" t="s">
        <v>2359</v>
      </c>
    </row>
    <row r="3520" customFormat="false" ht="14.25" hidden="true" customHeight="false" outlineLevel="0" collapsed="false">
      <c r="A3520" s="49" t="s">
        <v>2349</v>
      </c>
      <c r="B3520" s="49" t="s">
        <v>2350</v>
      </c>
      <c r="C3520" s="49" t="s">
        <v>7105</v>
      </c>
      <c r="D3520" s="49" t="s">
        <v>2352</v>
      </c>
      <c r="E3520" s="49" t="str">
        <f aca="false">"5060458890191"</f>
        <v>5060458890191</v>
      </c>
      <c r="F3520" s="49" t="s">
        <v>3656</v>
      </c>
      <c r="G3520" s="49" t="n">
        <v>0</v>
      </c>
      <c r="H3520" s="0" t="n">
        <v>0</v>
      </c>
      <c r="M3520" s="51" t="s">
        <v>7091</v>
      </c>
      <c r="N3520" s="49" t="n">
        <v>0</v>
      </c>
      <c r="O3520" s="53" t="n">
        <v>45769.4089351852</v>
      </c>
      <c r="P3520" s="53" t="n">
        <v>45801.5634490741</v>
      </c>
      <c r="Q3520" s="53" t="n">
        <v>45769.4089351852</v>
      </c>
      <c r="R3520" s="0" t="n">
        <v>0</v>
      </c>
      <c r="S3520" s="51" t="s">
        <v>2416</v>
      </c>
      <c r="T3520" s="51" t="s">
        <v>2416</v>
      </c>
      <c r="U3520" s="0" t="str">
        <f aca="false">"5060458890191"</f>
        <v>5060458890191</v>
      </c>
      <c r="V3520" s="51" t="s">
        <v>2142</v>
      </c>
      <c r="W3520" s="51" t="s">
        <v>6010</v>
      </c>
      <c r="X3520" s="51" t="s">
        <v>2359</v>
      </c>
    </row>
    <row r="3521" customFormat="false" ht="14.25" hidden="true" customHeight="false" outlineLevel="0" collapsed="false">
      <c r="A3521" s="49" t="s">
        <v>2349</v>
      </c>
      <c r="B3521" s="49" t="s">
        <v>2350</v>
      </c>
      <c r="C3521" s="49" t="s">
        <v>7106</v>
      </c>
      <c r="D3521" s="49" t="s">
        <v>2352</v>
      </c>
      <c r="E3521" s="49" t="str">
        <f aca="false">"5060458890191"</f>
        <v>5060458890191</v>
      </c>
      <c r="F3521" s="49" t="s">
        <v>3656</v>
      </c>
      <c r="G3521" s="49" t="n">
        <v>0</v>
      </c>
      <c r="H3521" s="0" t="n">
        <v>0</v>
      </c>
      <c r="M3521" s="51" t="s">
        <v>7091</v>
      </c>
      <c r="N3521" s="49" t="n">
        <v>0</v>
      </c>
      <c r="O3521" s="53" t="n">
        <v>45769.4063310185</v>
      </c>
      <c r="P3521" s="53" t="n">
        <v>45801.5835532407</v>
      </c>
      <c r="Q3521" s="53" t="n">
        <v>45769.4063310185</v>
      </c>
      <c r="R3521" s="0" t="n">
        <v>0</v>
      </c>
      <c r="S3521" s="51" t="s">
        <v>2416</v>
      </c>
      <c r="T3521" s="51" t="s">
        <v>2416</v>
      </c>
      <c r="U3521" s="0" t="str">
        <f aca="false">"5060458890191"</f>
        <v>5060458890191</v>
      </c>
      <c r="V3521" s="51" t="s">
        <v>2142</v>
      </c>
      <c r="W3521" s="51" t="s">
        <v>7107</v>
      </c>
      <c r="X3521" s="51" t="s">
        <v>2359</v>
      </c>
    </row>
    <row r="3522" customFormat="false" ht="14.25" hidden="true" customHeight="false" outlineLevel="0" collapsed="false">
      <c r="A3522" s="49" t="s">
        <v>2349</v>
      </c>
      <c r="B3522" s="49" t="s">
        <v>2350</v>
      </c>
      <c r="C3522" s="49" t="s">
        <v>7108</v>
      </c>
      <c r="D3522" s="49" t="s">
        <v>2352</v>
      </c>
      <c r="E3522" s="49" t="str">
        <f aca="false">"5060458890191"</f>
        <v>5060458890191</v>
      </c>
      <c r="F3522" s="49" t="s">
        <v>3656</v>
      </c>
      <c r="G3522" s="49" t="n">
        <v>0</v>
      </c>
      <c r="H3522" s="0" t="n">
        <v>0</v>
      </c>
      <c r="M3522" s="51" t="s">
        <v>7091</v>
      </c>
      <c r="N3522" s="49" t="n">
        <v>0</v>
      </c>
      <c r="O3522" s="53" t="n">
        <v>45769.4065046296</v>
      </c>
      <c r="P3522" s="53" t="n">
        <v>45801.5843981481</v>
      </c>
      <c r="Q3522" s="53" t="n">
        <v>45769.4065046296</v>
      </c>
      <c r="R3522" s="0" t="n">
        <v>0</v>
      </c>
      <c r="S3522" s="51" t="s">
        <v>2416</v>
      </c>
      <c r="T3522" s="51" t="s">
        <v>2416</v>
      </c>
      <c r="U3522" s="0" t="str">
        <f aca="false">"5060458890191"</f>
        <v>5060458890191</v>
      </c>
      <c r="V3522" s="51" t="s">
        <v>2142</v>
      </c>
      <c r="W3522" s="51" t="s">
        <v>5291</v>
      </c>
      <c r="X3522" s="51" t="s">
        <v>2359</v>
      </c>
    </row>
    <row r="3523" customFormat="false" ht="14.25" hidden="true" customHeight="false" outlineLevel="0" collapsed="false">
      <c r="A3523" s="49" t="s">
        <v>2349</v>
      </c>
      <c r="B3523" s="49" t="s">
        <v>2350</v>
      </c>
      <c r="C3523" s="49" t="s">
        <v>7109</v>
      </c>
      <c r="D3523" s="49" t="s">
        <v>2352</v>
      </c>
      <c r="E3523" s="49" t="str">
        <f aca="false">"5060458890191"</f>
        <v>5060458890191</v>
      </c>
      <c r="F3523" s="49" t="s">
        <v>3656</v>
      </c>
      <c r="G3523" s="49" t="n">
        <v>0</v>
      </c>
      <c r="H3523" s="0" t="n">
        <v>0</v>
      </c>
      <c r="M3523" s="51" t="s">
        <v>7091</v>
      </c>
      <c r="N3523" s="49" t="n">
        <v>0</v>
      </c>
      <c r="O3523" s="53" t="n">
        <v>45769.4086574074</v>
      </c>
      <c r="P3523" s="53" t="n">
        <v>45801.5835069444</v>
      </c>
      <c r="Q3523" s="53" t="n">
        <v>45769.4086574074</v>
      </c>
      <c r="R3523" s="0" t="n">
        <v>0</v>
      </c>
      <c r="S3523" s="51" t="s">
        <v>2416</v>
      </c>
      <c r="T3523" s="51" t="s">
        <v>2416</v>
      </c>
      <c r="U3523" s="0" t="str">
        <f aca="false">"5060458890191"</f>
        <v>5060458890191</v>
      </c>
      <c r="V3523" s="51" t="s">
        <v>2142</v>
      </c>
      <c r="W3523" s="51" t="s">
        <v>6348</v>
      </c>
      <c r="X3523" s="51" t="s">
        <v>2359</v>
      </c>
    </row>
    <row r="3524" customFormat="false" ht="14.25" hidden="true" customHeight="false" outlineLevel="0" collapsed="false">
      <c r="A3524" s="49" t="s">
        <v>2349</v>
      </c>
      <c r="B3524" s="49" t="s">
        <v>2350</v>
      </c>
      <c r="C3524" s="49" t="s">
        <v>7110</v>
      </c>
      <c r="D3524" s="49" t="s">
        <v>2352</v>
      </c>
      <c r="E3524" s="49" t="str">
        <f aca="false">"5060458890191"</f>
        <v>5060458890191</v>
      </c>
      <c r="F3524" s="49" t="s">
        <v>3656</v>
      </c>
      <c r="G3524" s="49" t="n">
        <v>0</v>
      </c>
      <c r="H3524" s="0" t="n">
        <v>0</v>
      </c>
      <c r="M3524" s="51" t="s">
        <v>7091</v>
      </c>
      <c r="N3524" s="49" t="n">
        <v>0</v>
      </c>
      <c r="O3524" s="53" t="n">
        <v>45769.4066666667</v>
      </c>
      <c r="P3524" s="53" t="n">
        <v>45801.5831018519</v>
      </c>
      <c r="Q3524" s="53" t="n">
        <v>45769.4066666667</v>
      </c>
      <c r="R3524" s="0" t="n">
        <v>0</v>
      </c>
      <c r="S3524" s="51" t="s">
        <v>2416</v>
      </c>
      <c r="T3524" s="51" t="s">
        <v>2416</v>
      </c>
      <c r="U3524" s="0" t="str">
        <f aca="false">"5060458890191"</f>
        <v>5060458890191</v>
      </c>
      <c r="V3524" s="51" t="s">
        <v>2142</v>
      </c>
      <c r="W3524" s="51" t="s">
        <v>5184</v>
      </c>
      <c r="X3524" s="51" t="s">
        <v>2359</v>
      </c>
    </row>
    <row r="3525" customFormat="false" ht="14.25" hidden="true" customHeight="false" outlineLevel="0" collapsed="false">
      <c r="A3525" s="49" t="s">
        <v>2349</v>
      </c>
      <c r="B3525" s="49" t="s">
        <v>2350</v>
      </c>
      <c r="C3525" s="49" t="s">
        <v>7111</v>
      </c>
      <c r="D3525" s="49" t="s">
        <v>2352</v>
      </c>
      <c r="E3525" s="49" t="str">
        <f aca="false">"5060458890191"</f>
        <v>5060458890191</v>
      </c>
      <c r="F3525" s="49" t="s">
        <v>3656</v>
      </c>
      <c r="G3525" s="49" t="n">
        <v>0</v>
      </c>
      <c r="H3525" s="0" t="n">
        <v>0</v>
      </c>
      <c r="M3525" s="51" t="s">
        <v>7091</v>
      </c>
      <c r="N3525" s="49" t="n">
        <v>0</v>
      </c>
      <c r="O3525" s="53" t="n">
        <v>45769.4085069444</v>
      </c>
      <c r="P3525" s="53" t="n">
        <v>45778.7528240741</v>
      </c>
      <c r="Q3525" s="53" t="n">
        <v>45769.4085069444</v>
      </c>
      <c r="R3525" s="0" t="n">
        <v>0</v>
      </c>
      <c r="S3525" s="51" t="s">
        <v>2416</v>
      </c>
      <c r="T3525" s="51" t="s">
        <v>2416</v>
      </c>
      <c r="U3525" s="0" t="str">
        <f aca="false">"5060458890191"</f>
        <v>5060458890191</v>
      </c>
      <c r="V3525" s="51" t="s">
        <v>2142</v>
      </c>
      <c r="W3525" s="51" t="s">
        <v>7112</v>
      </c>
      <c r="X3525" s="51" t="s">
        <v>2359</v>
      </c>
    </row>
    <row r="3526" customFormat="false" ht="14.25" hidden="true" customHeight="false" outlineLevel="0" collapsed="false">
      <c r="A3526" s="49" t="s">
        <v>2349</v>
      </c>
      <c r="B3526" s="49" t="s">
        <v>2350</v>
      </c>
      <c r="C3526" s="49" t="s">
        <v>7113</v>
      </c>
      <c r="D3526" s="49" t="s">
        <v>2352</v>
      </c>
      <c r="E3526" s="49" t="str">
        <f aca="false">"5060458890191"</f>
        <v>5060458890191</v>
      </c>
      <c r="F3526" s="49" t="s">
        <v>3656</v>
      </c>
      <c r="G3526" s="49" t="n">
        <v>0</v>
      </c>
      <c r="H3526" s="0" t="n">
        <v>0</v>
      </c>
      <c r="M3526" s="51" t="s">
        <v>7091</v>
      </c>
      <c r="N3526" s="49" t="n">
        <v>0</v>
      </c>
      <c r="O3526" s="53" t="n">
        <v>45769.4068634259</v>
      </c>
      <c r="P3526" s="53" t="n">
        <v>45798.8893171296</v>
      </c>
      <c r="Q3526" s="53" t="n">
        <v>45769.4068634259</v>
      </c>
      <c r="R3526" s="0" t="n">
        <v>0</v>
      </c>
      <c r="S3526" s="51" t="s">
        <v>2416</v>
      </c>
      <c r="T3526" s="51" t="s">
        <v>2416</v>
      </c>
      <c r="U3526" s="0" t="str">
        <f aca="false">"5060458890191"</f>
        <v>5060458890191</v>
      </c>
      <c r="V3526" s="51" t="s">
        <v>2142</v>
      </c>
      <c r="W3526" s="51" t="s">
        <v>5350</v>
      </c>
      <c r="X3526" s="51" t="s">
        <v>2359</v>
      </c>
    </row>
    <row r="3527" customFormat="false" ht="14.25" hidden="true" customHeight="false" outlineLevel="0" collapsed="false">
      <c r="A3527" s="49" t="s">
        <v>2349</v>
      </c>
      <c r="B3527" s="49" t="s">
        <v>2350</v>
      </c>
      <c r="C3527" s="49" t="s">
        <v>7114</v>
      </c>
      <c r="D3527" s="49" t="s">
        <v>2352</v>
      </c>
      <c r="E3527" s="49" t="str">
        <f aca="false">"5060458890191"</f>
        <v>5060458890191</v>
      </c>
      <c r="F3527" s="49" t="s">
        <v>3656</v>
      </c>
      <c r="G3527" s="49" t="n">
        <v>0</v>
      </c>
      <c r="H3527" s="0" t="n">
        <v>0</v>
      </c>
      <c r="M3527" s="51" t="s">
        <v>7091</v>
      </c>
      <c r="N3527" s="49" t="n">
        <v>0</v>
      </c>
      <c r="O3527" s="53" t="n">
        <v>45769.4083564815</v>
      </c>
      <c r="P3527" s="53" t="n">
        <v>45798.8885069444</v>
      </c>
      <c r="Q3527" s="53" t="n">
        <v>45769.4083564815</v>
      </c>
      <c r="R3527" s="0" t="n">
        <v>0</v>
      </c>
      <c r="S3527" s="51" t="s">
        <v>2416</v>
      </c>
      <c r="T3527" s="51" t="s">
        <v>2416</v>
      </c>
      <c r="U3527" s="0" t="str">
        <f aca="false">"5060458890191"</f>
        <v>5060458890191</v>
      </c>
      <c r="V3527" s="51" t="s">
        <v>2142</v>
      </c>
      <c r="W3527" s="51" t="s">
        <v>5348</v>
      </c>
      <c r="X3527" s="51" t="s">
        <v>2359</v>
      </c>
    </row>
    <row r="3528" customFormat="false" ht="14.25" hidden="true" customHeight="false" outlineLevel="0" collapsed="false">
      <c r="A3528" s="49" t="s">
        <v>2349</v>
      </c>
      <c r="B3528" s="49" t="s">
        <v>2350</v>
      </c>
      <c r="C3528" s="49" t="s">
        <v>7115</v>
      </c>
      <c r="D3528" s="49" t="s">
        <v>2352</v>
      </c>
      <c r="E3528" s="49" t="str">
        <f aca="false">"5060458890191"</f>
        <v>5060458890191</v>
      </c>
      <c r="F3528" s="49" t="s">
        <v>3656</v>
      </c>
      <c r="G3528" s="49" t="n">
        <v>0</v>
      </c>
      <c r="H3528" s="0" t="n">
        <v>0</v>
      </c>
      <c r="M3528" s="51" t="s">
        <v>7091</v>
      </c>
      <c r="N3528" s="49" t="n">
        <v>0</v>
      </c>
      <c r="O3528" s="53" t="n">
        <v>45769.4069907407</v>
      </c>
      <c r="P3528" s="53" t="n">
        <v>45778.75625</v>
      </c>
      <c r="Q3528" s="53" t="n">
        <v>45769.4069907407</v>
      </c>
      <c r="R3528" s="0" t="n">
        <v>0</v>
      </c>
      <c r="S3528" s="51" t="s">
        <v>2416</v>
      </c>
      <c r="T3528" s="51" t="s">
        <v>2416</v>
      </c>
      <c r="U3528" s="0" t="str">
        <f aca="false">"5060458890191"</f>
        <v>5060458890191</v>
      </c>
      <c r="V3528" s="51" t="s">
        <v>2142</v>
      </c>
      <c r="W3528" s="51" t="s">
        <v>6107</v>
      </c>
      <c r="X3528" s="51" t="s">
        <v>2359</v>
      </c>
    </row>
    <row r="3529" customFormat="false" ht="14.25" hidden="true" customHeight="false" outlineLevel="0" collapsed="false">
      <c r="A3529" s="49" t="s">
        <v>2349</v>
      </c>
      <c r="B3529" s="49" t="s">
        <v>2350</v>
      </c>
      <c r="C3529" s="49" t="s">
        <v>7116</v>
      </c>
      <c r="D3529" s="49" t="s">
        <v>2352</v>
      </c>
      <c r="E3529" s="49" t="str">
        <f aca="false">"5060458890191"</f>
        <v>5060458890191</v>
      </c>
      <c r="F3529" s="49" t="s">
        <v>3656</v>
      </c>
      <c r="G3529" s="49" t="n">
        <v>0</v>
      </c>
      <c r="H3529" s="0" t="n">
        <v>0</v>
      </c>
      <c r="M3529" s="51" t="s">
        <v>7091</v>
      </c>
      <c r="N3529" s="49" t="n">
        <v>0</v>
      </c>
      <c r="O3529" s="53" t="n">
        <v>45769.4081597222</v>
      </c>
      <c r="P3529" s="53" t="n">
        <v>45801.5806018519</v>
      </c>
      <c r="Q3529" s="53" t="n">
        <v>45769.4081597222</v>
      </c>
      <c r="R3529" s="0" t="n">
        <v>0</v>
      </c>
      <c r="S3529" s="51" t="s">
        <v>2416</v>
      </c>
      <c r="T3529" s="51" t="s">
        <v>2416</v>
      </c>
      <c r="U3529" s="0" t="str">
        <f aca="false">"5060458890191"</f>
        <v>5060458890191</v>
      </c>
      <c r="V3529" s="51" t="s">
        <v>2142</v>
      </c>
      <c r="W3529" s="51" t="s">
        <v>5340</v>
      </c>
      <c r="X3529" s="51" t="s">
        <v>2359</v>
      </c>
    </row>
    <row r="3530" customFormat="false" ht="14.25" hidden="true" customHeight="false" outlineLevel="0" collapsed="false">
      <c r="A3530" s="49" t="s">
        <v>2349</v>
      </c>
      <c r="B3530" s="49" t="s">
        <v>2350</v>
      </c>
      <c r="C3530" s="49" t="s">
        <v>7117</v>
      </c>
      <c r="D3530" s="49" t="s">
        <v>2352</v>
      </c>
      <c r="E3530" s="49" t="str">
        <f aca="false">"5060458890191"</f>
        <v>5060458890191</v>
      </c>
      <c r="F3530" s="49" t="s">
        <v>3656</v>
      </c>
      <c r="G3530" s="49" t="n">
        <v>0</v>
      </c>
      <c r="H3530" s="0" t="n">
        <v>0</v>
      </c>
      <c r="M3530" s="51" t="s">
        <v>7091</v>
      </c>
      <c r="N3530" s="49" t="n">
        <v>0</v>
      </c>
      <c r="O3530" s="53" t="n">
        <v>45769.4071643519</v>
      </c>
      <c r="P3530" s="53" t="n">
        <v>45801.5825925926</v>
      </c>
      <c r="Q3530" s="53" t="n">
        <v>45769.4071643519</v>
      </c>
      <c r="R3530" s="0" t="n">
        <v>0</v>
      </c>
      <c r="S3530" s="51" t="s">
        <v>2416</v>
      </c>
      <c r="T3530" s="51" t="s">
        <v>2416</v>
      </c>
      <c r="U3530" s="0" t="str">
        <f aca="false">"5060458890191"</f>
        <v>5060458890191</v>
      </c>
      <c r="V3530" s="51" t="s">
        <v>2142</v>
      </c>
      <c r="W3530" s="51" t="s">
        <v>5293</v>
      </c>
      <c r="X3530" s="51" t="s">
        <v>2359</v>
      </c>
    </row>
    <row r="3531" customFormat="false" ht="14.25" hidden="true" customHeight="false" outlineLevel="0" collapsed="false">
      <c r="A3531" s="49" t="s">
        <v>2349</v>
      </c>
      <c r="B3531" s="49" t="s">
        <v>2350</v>
      </c>
      <c r="C3531" s="49" t="s">
        <v>7118</v>
      </c>
      <c r="D3531" s="49" t="s">
        <v>2352</v>
      </c>
      <c r="E3531" s="49" t="str">
        <f aca="false">"5060458890191"</f>
        <v>5060458890191</v>
      </c>
      <c r="F3531" s="49" t="s">
        <v>3656</v>
      </c>
      <c r="G3531" s="49" t="n">
        <v>0</v>
      </c>
      <c r="H3531" s="0" t="n">
        <v>0</v>
      </c>
      <c r="M3531" s="51" t="s">
        <v>7091</v>
      </c>
      <c r="N3531" s="49" t="n">
        <v>0</v>
      </c>
      <c r="O3531" s="53" t="n">
        <v>45769.4080092593</v>
      </c>
      <c r="P3531" s="53" t="n">
        <v>45778.7573842593</v>
      </c>
      <c r="Q3531" s="53" t="n">
        <v>45769.4080092593</v>
      </c>
      <c r="R3531" s="0" t="n">
        <v>0</v>
      </c>
      <c r="S3531" s="51" t="s">
        <v>2416</v>
      </c>
      <c r="T3531" s="51" t="s">
        <v>2416</v>
      </c>
      <c r="U3531" s="0" t="str">
        <f aca="false">"5060458890191"</f>
        <v>5060458890191</v>
      </c>
      <c r="V3531" s="51" t="s">
        <v>2142</v>
      </c>
      <c r="W3531" s="51" t="s">
        <v>6103</v>
      </c>
      <c r="X3531" s="51" t="s">
        <v>2359</v>
      </c>
    </row>
    <row r="3532" customFormat="false" ht="14.25" hidden="true" customHeight="false" outlineLevel="0" collapsed="false">
      <c r="A3532" s="49" t="s">
        <v>2349</v>
      </c>
      <c r="B3532" s="49" t="s">
        <v>2350</v>
      </c>
      <c r="C3532" s="49" t="s">
        <v>7119</v>
      </c>
      <c r="D3532" s="49" t="s">
        <v>2352</v>
      </c>
      <c r="E3532" s="49" t="str">
        <f aca="false">"5060458890191"</f>
        <v>5060458890191</v>
      </c>
      <c r="F3532" s="49" t="s">
        <v>3656</v>
      </c>
      <c r="G3532" s="49" t="n">
        <v>0</v>
      </c>
      <c r="H3532" s="0" t="n">
        <v>0</v>
      </c>
      <c r="M3532" s="51" t="s">
        <v>7091</v>
      </c>
      <c r="N3532" s="49" t="n">
        <v>0</v>
      </c>
      <c r="O3532" s="53" t="n">
        <v>45769.4072916667</v>
      </c>
      <c r="P3532" s="53" t="n">
        <v>45801.5827777778</v>
      </c>
      <c r="Q3532" s="53" t="n">
        <v>45769.4072916667</v>
      </c>
      <c r="R3532" s="0" t="n">
        <v>0</v>
      </c>
      <c r="S3532" s="51" t="s">
        <v>2416</v>
      </c>
      <c r="T3532" s="51" t="s">
        <v>2416</v>
      </c>
      <c r="U3532" s="0" t="str">
        <f aca="false">"5060458890191"</f>
        <v>5060458890191</v>
      </c>
      <c r="V3532" s="51" t="s">
        <v>2142</v>
      </c>
      <c r="W3532" s="51" t="s">
        <v>5382</v>
      </c>
      <c r="X3532" s="51" t="s">
        <v>2359</v>
      </c>
    </row>
    <row r="3533" customFormat="false" ht="14.25" hidden="true" customHeight="false" outlineLevel="0" collapsed="false">
      <c r="A3533" s="49" t="s">
        <v>2349</v>
      </c>
      <c r="B3533" s="49" t="s">
        <v>2350</v>
      </c>
      <c r="C3533" s="49" t="s">
        <v>7120</v>
      </c>
      <c r="D3533" s="49" t="s">
        <v>2352</v>
      </c>
      <c r="E3533" s="49" t="str">
        <f aca="false">"5060458890191"</f>
        <v>5060458890191</v>
      </c>
      <c r="F3533" s="49" t="s">
        <v>3656</v>
      </c>
      <c r="G3533" s="49" t="n">
        <v>0</v>
      </c>
      <c r="H3533" s="0" t="n">
        <v>0</v>
      </c>
      <c r="M3533" s="51" t="s">
        <v>7091</v>
      </c>
      <c r="N3533" s="49" t="n">
        <v>0</v>
      </c>
      <c r="O3533" s="53" t="n">
        <v>45769.4077893519</v>
      </c>
      <c r="P3533" s="53" t="n">
        <v>45778.7585185185</v>
      </c>
      <c r="Q3533" s="53" t="n">
        <v>45769.4077893519</v>
      </c>
      <c r="R3533" s="0" t="n">
        <v>0</v>
      </c>
      <c r="S3533" s="51" t="s">
        <v>2416</v>
      </c>
      <c r="T3533" s="51" t="s">
        <v>2416</v>
      </c>
      <c r="U3533" s="0" t="str">
        <f aca="false">"5060458890191"</f>
        <v>5060458890191</v>
      </c>
      <c r="V3533" s="51" t="s">
        <v>2142</v>
      </c>
      <c r="W3533" s="51" t="s">
        <v>6105</v>
      </c>
      <c r="X3533" s="51" t="s">
        <v>2359</v>
      </c>
    </row>
    <row r="3534" customFormat="false" ht="14.25" hidden="true" customHeight="false" outlineLevel="0" collapsed="false">
      <c r="A3534" s="49" t="s">
        <v>2349</v>
      </c>
      <c r="B3534" s="49" t="s">
        <v>2350</v>
      </c>
      <c r="C3534" s="49" t="s">
        <v>7121</v>
      </c>
      <c r="D3534" s="49" t="s">
        <v>2352</v>
      </c>
      <c r="E3534" s="49" t="str">
        <f aca="false">"5060458890191"</f>
        <v>5060458890191</v>
      </c>
      <c r="F3534" s="49" t="s">
        <v>3656</v>
      </c>
      <c r="G3534" s="49" t="n">
        <v>0</v>
      </c>
      <c r="H3534" s="0" t="n">
        <v>0</v>
      </c>
      <c r="M3534" s="51" t="s">
        <v>7091</v>
      </c>
      <c r="N3534" s="49" t="n">
        <v>0</v>
      </c>
      <c r="O3534" s="53" t="n">
        <v>45769.4074421296</v>
      </c>
      <c r="P3534" s="53" t="n">
        <v>45778.759537037</v>
      </c>
      <c r="Q3534" s="53" t="n">
        <v>45769.4074421296</v>
      </c>
      <c r="R3534" s="0" t="n">
        <v>0</v>
      </c>
      <c r="S3534" s="51" t="s">
        <v>2416</v>
      </c>
      <c r="T3534" s="51" t="s">
        <v>2416</v>
      </c>
      <c r="U3534" s="0" t="str">
        <f aca="false">"5060458890191"</f>
        <v>5060458890191</v>
      </c>
      <c r="V3534" s="51" t="s">
        <v>2142</v>
      </c>
      <c r="W3534" s="51" t="s">
        <v>6111</v>
      </c>
      <c r="X3534" s="51" t="s">
        <v>2359</v>
      </c>
    </row>
    <row r="3535" customFormat="false" ht="14.25" hidden="true" customHeight="false" outlineLevel="0" collapsed="false">
      <c r="A3535" s="49" t="s">
        <v>2349</v>
      </c>
      <c r="B3535" s="49" t="s">
        <v>2350</v>
      </c>
      <c r="C3535" s="49" t="s">
        <v>7122</v>
      </c>
      <c r="D3535" s="49" t="s">
        <v>2352</v>
      </c>
      <c r="E3535" s="49" t="str">
        <f aca="false">"5060458890191"</f>
        <v>5060458890191</v>
      </c>
      <c r="F3535" s="49" t="s">
        <v>3656</v>
      </c>
      <c r="G3535" s="49" t="n">
        <v>0</v>
      </c>
      <c r="H3535" s="0" t="n">
        <v>0</v>
      </c>
      <c r="M3535" s="51" t="s">
        <v>7091</v>
      </c>
      <c r="N3535" s="49" t="n">
        <v>0</v>
      </c>
      <c r="O3535" s="53" t="n">
        <v>45769.4075578704</v>
      </c>
      <c r="P3535" s="53" t="n">
        <v>45778.760474537</v>
      </c>
      <c r="Q3535" s="53" t="n">
        <v>45769.4075578704</v>
      </c>
      <c r="R3535" s="0" t="n">
        <v>0</v>
      </c>
      <c r="S3535" s="51" t="s">
        <v>2416</v>
      </c>
      <c r="T3535" s="51" t="s">
        <v>2416</v>
      </c>
      <c r="U3535" s="0" t="str">
        <f aca="false">"5060458890191"</f>
        <v>5060458890191</v>
      </c>
      <c r="V3535" s="51" t="s">
        <v>2142</v>
      </c>
      <c r="W3535" s="51" t="s">
        <v>6097</v>
      </c>
      <c r="X3535" s="51" t="s">
        <v>2359</v>
      </c>
    </row>
    <row r="3536" customFormat="false" ht="14.25" hidden="true" customHeight="false" outlineLevel="0" collapsed="false">
      <c r="A3536" s="49" t="s">
        <v>2349</v>
      </c>
      <c r="B3536" s="49" t="s">
        <v>2350</v>
      </c>
      <c r="C3536" s="49" t="s">
        <v>7123</v>
      </c>
      <c r="D3536" s="49" t="s">
        <v>2352</v>
      </c>
      <c r="E3536" s="49" t="str">
        <f aca="false">"5060458890191"</f>
        <v>5060458890191</v>
      </c>
      <c r="F3536" s="49" t="s">
        <v>3656</v>
      </c>
      <c r="G3536" s="49" t="n">
        <v>0</v>
      </c>
      <c r="H3536" s="0" t="n">
        <v>0</v>
      </c>
      <c r="M3536" s="51" t="s">
        <v>7124</v>
      </c>
      <c r="N3536" s="49" t="n">
        <v>0</v>
      </c>
      <c r="O3536" s="53" t="n">
        <v>45771.375</v>
      </c>
      <c r="P3536" s="53" t="n">
        <v>45795.9281018519</v>
      </c>
      <c r="Q3536" s="53" t="n">
        <v>45771.375</v>
      </c>
      <c r="R3536" s="0" t="n">
        <v>0</v>
      </c>
      <c r="S3536" s="51" t="s">
        <v>2416</v>
      </c>
      <c r="T3536" s="51" t="s">
        <v>2416</v>
      </c>
      <c r="U3536" s="0" t="str">
        <f aca="false">"5060458890191"</f>
        <v>5060458890191</v>
      </c>
      <c r="V3536" s="51" t="s">
        <v>2142</v>
      </c>
      <c r="W3536" s="51" t="s">
        <v>5186</v>
      </c>
      <c r="X3536" s="51" t="s">
        <v>2359</v>
      </c>
    </row>
    <row r="3537" customFormat="false" ht="14.25" hidden="true" customHeight="false" outlineLevel="0" collapsed="false">
      <c r="A3537" s="49" t="s">
        <v>2349</v>
      </c>
      <c r="B3537" s="49" t="s">
        <v>2350</v>
      </c>
      <c r="C3537" s="49" t="s">
        <v>7125</v>
      </c>
      <c r="D3537" s="49" t="s">
        <v>2352</v>
      </c>
      <c r="E3537" s="49" t="str">
        <f aca="false">"5060458890191"</f>
        <v>5060458890191</v>
      </c>
      <c r="F3537" s="49" t="s">
        <v>3656</v>
      </c>
      <c r="G3537" s="49" t="n">
        <v>0</v>
      </c>
      <c r="H3537" s="0" t="n">
        <v>0</v>
      </c>
      <c r="M3537" s="51" t="s">
        <v>7124</v>
      </c>
      <c r="N3537" s="49" t="n">
        <v>0</v>
      </c>
      <c r="O3537" s="53" t="n">
        <v>45771.3753356482</v>
      </c>
      <c r="P3537" s="53" t="n">
        <v>45798.4765509259</v>
      </c>
      <c r="Q3537" s="53" t="n">
        <v>45771.3753356482</v>
      </c>
      <c r="R3537" s="0" t="n">
        <v>0</v>
      </c>
      <c r="S3537" s="51" t="s">
        <v>2416</v>
      </c>
      <c r="T3537" s="51" t="s">
        <v>2416</v>
      </c>
      <c r="U3537" s="0" t="str">
        <f aca="false">"5060458890191"</f>
        <v>5060458890191</v>
      </c>
      <c r="V3537" s="51" t="s">
        <v>2142</v>
      </c>
      <c r="W3537" s="51" t="s">
        <v>5517</v>
      </c>
      <c r="X3537" s="51" t="s">
        <v>2359</v>
      </c>
    </row>
    <row r="3538" customFormat="false" ht="14.25" hidden="true" customHeight="false" outlineLevel="0" collapsed="false">
      <c r="A3538" s="49" t="s">
        <v>2349</v>
      </c>
      <c r="B3538" s="49" t="s">
        <v>2350</v>
      </c>
      <c r="C3538" s="49" t="s">
        <v>7126</v>
      </c>
      <c r="D3538" s="49" t="s">
        <v>2352</v>
      </c>
      <c r="E3538" s="49" t="str">
        <f aca="false">"5060458890191"</f>
        <v>5060458890191</v>
      </c>
      <c r="F3538" s="49" t="s">
        <v>3656</v>
      </c>
      <c r="G3538" s="49" t="n">
        <v>0</v>
      </c>
      <c r="H3538" s="0" t="n">
        <v>0</v>
      </c>
      <c r="M3538" s="51" t="s">
        <v>7124</v>
      </c>
      <c r="N3538" s="49" t="n">
        <v>0</v>
      </c>
      <c r="O3538" s="53" t="n">
        <v>45771.375462963</v>
      </c>
      <c r="P3538" s="53" t="n">
        <v>45794.806724537</v>
      </c>
      <c r="Q3538" s="53" t="n">
        <v>45771.375462963</v>
      </c>
      <c r="R3538" s="0" t="n">
        <v>0</v>
      </c>
      <c r="S3538" s="51" t="s">
        <v>2416</v>
      </c>
      <c r="T3538" s="51" t="s">
        <v>2416</v>
      </c>
      <c r="U3538" s="0" t="str">
        <f aca="false">"5060458890191"</f>
        <v>5060458890191</v>
      </c>
      <c r="V3538" s="51" t="s">
        <v>2142</v>
      </c>
      <c r="W3538" s="51" t="s">
        <v>4816</v>
      </c>
      <c r="X3538" s="51" t="s">
        <v>2359</v>
      </c>
    </row>
    <row r="3539" customFormat="false" ht="14.25" hidden="true" customHeight="false" outlineLevel="0" collapsed="false">
      <c r="A3539" s="49" t="s">
        <v>2349</v>
      </c>
      <c r="B3539" s="49" t="s">
        <v>2350</v>
      </c>
      <c r="C3539" s="49" t="s">
        <v>7127</v>
      </c>
      <c r="D3539" s="49" t="s">
        <v>2352</v>
      </c>
      <c r="E3539" s="49" t="str">
        <f aca="false">"5060458890191"</f>
        <v>5060458890191</v>
      </c>
      <c r="F3539" s="49" t="s">
        <v>3656</v>
      </c>
      <c r="G3539" s="49" t="n">
        <v>0</v>
      </c>
      <c r="H3539" s="0" t="n">
        <v>0</v>
      </c>
      <c r="M3539" s="51" t="s">
        <v>7124</v>
      </c>
      <c r="N3539" s="49" t="n">
        <v>0</v>
      </c>
      <c r="O3539" s="53" t="n">
        <v>45771.3755787037</v>
      </c>
      <c r="P3539" s="53" t="n">
        <v>45794.8715856482</v>
      </c>
      <c r="Q3539" s="53" t="n">
        <v>45771.3755787037</v>
      </c>
      <c r="R3539" s="0" t="n">
        <v>0</v>
      </c>
      <c r="S3539" s="51" t="s">
        <v>2416</v>
      </c>
      <c r="T3539" s="51" t="s">
        <v>2416</v>
      </c>
      <c r="U3539" s="0" t="str">
        <f aca="false">"5060458890191"</f>
        <v>5060458890191</v>
      </c>
      <c r="V3539" s="51" t="s">
        <v>2142</v>
      </c>
      <c r="W3539" s="51" t="s">
        <v>4818</v>
      </c>
      <c r="X3539" s="51" t="s">
        <v>2359</v>
      </c>
    </row>
    <row r="3540" customFormat="false" ht="14.25" hidden="true" customHeight="false" outlineLevel="0" collapsed="false">
      <c r="A3540" s="49" t="s">
        <v>2349</v>
      </c>
      <c r="B3540" s="49" t="s">
        <v>2350</v>
      </c>
      <c r="C3540" s="49" t="s">
        <v>7128</v>
      </c>
      <c r="D3540" s="49" t="s">
        <v>2352</v>
      </c>
      <c r="E3540" s="49" t="str">
        <f aca="false">"5060458890191"</f>
        <v>5060458890191</v>
      </c>
      <c r="F3540" s="49" t="s">
        <v>3656</v>
      </c>
      <c r="G3540" s="49" t="n">
        <v>0</v>
      </c>
      <c r="H3540" s="0" t="n">
        <v>0</v>
      </c>
      <c r="M3540" s="51" t="s">
        <v>7124</v>
      </c>
      <c r="N3540" s="49" t="n">
        <v>0</v>
      </c>
      <c r="O3540" s="53" t="n">
        <v>45771.3756828704</v>
      </c>
      <c r="P3540" s="53" t="n">
        <v>45796.8772569444</v>
      </c>
      <c r="Q3540" s="53" t="n">
        <v>45771.3756828704</v>
      </c>
      <c r="R3540" s="0" t="n">
        <v>0</v>
      </c>
      <c r="S3540" s="51" t="s">
        <v>2416</v>
      </c>
      <c r="T3540" s="51" t="s">
        <v>2416</v>
      </c>
      <c r="U3540" s="0" t="str">
        <f aca="false">"5060458890191"</f>
        <v>5060458890191</v>
      </c>
      <c r="V3540" s="51" t="s">
        <v>2142</v>
      </c>
      <c r="W3540" s="51" t="s">
        <v>5365</v>
      </c>
      <c r="X3540" s="51" t="s">
        <v>2359</v>
      </c>
    </row>
    <row r="3541" customFormat="false" ht="14.25" hidden="true" customHeight="false" outlineLevel="0" collapsed="false">
      <c r="A3541" s="49" t="s">
        <v>2349</v>
      </c>
      <c r="B3541" s="49" t="s">
        <v>2350</v>
      </c>
      <c r="C3541" s="49" t="s">
        <v>7129</v>
      </c>
      <c r="D3541" s="49" t="s">
        <v>2352</v>
      </c>
      <c r="E3541" s="49" t="str">
        <f aca="false">"5060458890191"</f>
        <v>5060458890191</v>
      </c>
      <c r="F3541" s="49" t="s">
        <v>3656</v>
      </c>
      <c r="G3541" s="49" t="n">
        <v>0</v>
      </c>
      <c r="H3541" s="0" t="n">
        <v>0</v>
      </c>
      <c r="M3541" s="51" t="s">
        <v>7124</v>
      </c>
      <c r="N3541" s="49" t="n">
        <v>0</v>
      </c>
      <c r="O3541" s="53" t="n">
        <v>45771.3757986111</v>
      </c>
      <c r="P3541" s="53" t="n">
        <v>45794.8639583333</v>
      </c>
      <c r="Q3541" s="53" t="n">
        <v>45771.3757986111</v>
      </c>
      <c r="R3541" s="0" t="n">
        <v>0</v>
      </c>
      <c r="S3541" s="51" t="s">
        <v>2416</v>
      </c>
      <c r="T3541" s="51" t="s">
        <v>2416</v>
      </c>
      <c r="U3541" s="0" t="str">
        <f aca="false">"5060458890191"</f>
        <v>5060458890191</v>
      </c>
      <c r="V3541" s="51" t="s">
        <v>2142</v>
      </c>
      <c r="W3541" s="51" t="s">
        <v>6430</v>
      </c>
      <c r="X3541" s="51" t="s">
        <v>2359</v>
      </c>
    </row>
    <row r="3542" customFormat="false" ht="14.25" hidden="true" customHeight="false" outlineLevel="0" collapsed="false">
      <c r="A3542" s="49" t="s">
        <v>2349</v>
      </c>
      <c r="B3542" s="49" t="s">
        <v>2350</v>
      </c>
      <c r="C3542" s="49" t="s">
        <v>7130</v>
      </c>
      <c r="D3542" s="49" t="s">
        <v>2352</v>
      </c>
      <c r="E3542" s="49" t="str">
        <f aca="false">"5060458890191"</f>
        <v>5060458890191</v>
      </c>
      <c r="F3542" s="49" t="s">
        <v>3656</v>
      </c>
      <c r="G3542" s="49" t="n">
        <v>0</v>
      </c>
      <c r="H3542" s="0" t="n">
        <v>0</v>
      </c>
      <c r="M3542" s="51" t="s">
        <v>7124</v>
      </c>
      <c r="N3542" s="49" t="n">
        <v>0</v>
      </c>
      <c r="O3542" s="53" t="n">
        <v>45771.3759143519</v>
      </c>
      <c r="P3542" s="53" t="n">
        <v>45798.4770023148</v>
      </c>
      <c r="Q3542" s="53" t="n">
        <v>45771.3759143519</v>
      </c>
      <c r="R3542" s="0" t="n">
        <v>0</v>
      </c>
      <c r="S3542" s="51" t="s">
        <v>2416</v>
      </c>
      <c r="T3542" s="51" t="s">
        <v>2416</v>
      </c>
      <c r="U3542" s="0" t="str">
        <f aca="false">"5060458890191"</f>
        <v>5060458890191</v>
      </c>
      <c r="V3542" s="51" t="s">
        <v>2142</v>
      </c>
      <c r="W3542" s="51" t="s">
        <v>6426</v>
      </c>
      <c r="X3542" s="51" t="s">
        <v>2359</v>
      </c>
    </row>
    <row r="3543" customFormat="false" ht="14.25" hidden="true" customHeight="false" outlineLevel="0" collapsed="false">
      <c r="A3543" s="49" t="s">
        <v>2349</v>
      </c>
      <c r="B3543" s="49" t="s">
        <v>2350</v>
      </c>
      <c r="C3543" s="49" t="s">
        <v>7131</v>
      </c>
      <c r="D3543" s="49" t="s">
        <v>2352</v>
      </c>
      <c r="E3543" s="49" t="str">
        <f aca="false">"5060458890191"</f>
        <v>5060458890191</v>
      </c>
      <c r="F3543" s="49" t="s">
        <v>3656</v>
      </c>
      <c r="G3543" s="49" t="n">
        <v>0</v>
      </c>
      <c r="H3543" s="0" t="n">
        <v>0</v>
      </c>
      <c r="M3543" s="51" t="s">
        <v>7124</v>
      </c>
      <c r="N3543" s="49" t="n">
        <v>0</v>
      </c>
      <c r="O3543" s="53" t="n">
        <v>45771.3761921296</v>
      </c>
      <c r="P3543" s="53" t="n">
        <v>45795.9039814815</v>
      </c>
      <c r="Q3543" s="53" t="n">
        <v>45771.3761921296</v>
      </c>
      <c r="R3543" s="0" t="n">
        <v>0</v>
      </c>
      <c r="S3543" s="51" t="s">
        <v>2416</v>
      </c>
      <c r="T3543" s="51" t="s">
        <v>2416</v>
      </c>
      <c r="U3543" s="0" t="str">
        <f aca="false">"5060458890191"</f>
        <v>5060458890191</v>
      </c>
      <c r="V3543" s="51" t="s">
        <v>2142</v>
      </c>
      <c r="W3543" s="51" t="s">
        <v>6393</v>
      </c>
      <c r="X3543" s="51" t="s">
        <v>2359</v>
      </c>
    </row>
    <row r="3544" customFormat="false" ht="14.25" hidden="true" customHeight="false" outlineLevel="0" collapsed="false">
      <c r="A3544" s="49" t="s">
        <v>2349</v>
      </c>
      <c r="B3544" s="49" t="s">
        <v>2350</v>
      </c>
      <c r="C3544" s="49" t="s">
        <v>7132</v>
      </c>
      <c r="D3544" s="49" t="s">
        <v>2352</v>
      </c>
      <c r="E3544" s="49" t="str">
        <f aca="false">"5060458890191"</f>
        <v>5060458890191</v>
      </c>
      <c r="F3544" s="49" t="s">
        <v>3656</v>
      </c>
      <c r="G3544" s="49" t="n">
        <v>0</v>
      </c>
      <c r="H3544" s="0" t="n">
        <v>0</v>
      </c>
      <c r="M3544" s="51" t="s">
        <v>7124</v>
      </c>
      <c r="N3544" s="49" t="n">
        <v>0</v>
      </c>
      <c r="O3544" s="53" t="n">
        <v>45771.3763310185</v>
      </c>
      <c r="P3544" s="53" t="n">
        <v>45789.9094328704</v>
      </c>
      <c r="Q3544" s="53" t="n">
        <v>45771.3763310185</v>
      </c>
      <c r="R3544" s="0" t="n">
        <v>0</v>
      </c>
      <c r="S3544" s="51" t="s">
        <v>2416</v>
      </c>
      <c r="T3544" s="51" t="s">
        <v>2416</v>
      </c>
      <c r="U3544" s="0" t="str">
        <f aca="false">"5060458890191"</f>
        <v>5060458890191</v>
      </c>
      <c r="V3544" s="51" t="s">
        <v>2142</v>
      </c>
      <c r="W3544" s="51" t="s">
        <v>5615</v>
      </c>
      <c r="X3544" s="51" t="s">
        <v>2359</v>
      </c>
    </row>
    <row r="3545" customFormat="false" ht="14.25" hidden="true" customHeight="false" outlineLevel="0" collapsed="false">
      <c r="A3545" s="49" t="s">
        <v>2349</v>
      </c>
      <c r="B3545" s="49" t="s">
        <v>2350</v>
      </c>
      <c r="C3545" s="49" t="s">
        <v>7133</v>
      </c>
      <c r="D3545" s="49" t="s">
        <v>2352</v>
      </c>
      <c r="E3545" s="49" t="str">
        <f aca="false">"5060458890191"</f>
        <v>5060458890191</v>
      </c>
      <c r="F3545" s="49" t="s">
        <v>3656</v>
      </c>
      <c r="G3545" s="49" t="n">
        <v>0</v>
      </c>
      <c r="H3545" s="0" t="n">
        <v>0</v>
      </c>
      <c r="M3545" s="51" t="s">
        <v>7124</v>
      </c>
      <c r="N3545" s="49" t="n">
        <v>0</v>
      </c>
      <c r="O3545" s="53" t="n">
        <v>45771.3764236111</v>
      </c>
      <c r="P3545" s="53" t="n">
        <v>45794.8713425926</v>
      </c>
      <c r="Q3545" s="53" t="n">
        <v>45771.3764236111</v>
      </c>
      <c r="R3545" s="0" t="n">
        <v>0</v>
      </c>
      <c r="S3545" s="51" t="s">
        <v>2416</v>
      </c>
      <c r="T3545" s="51" t="s">
        <v>2416</v>
      </c>
      <c r="U3545" s="0" t="str">
        <f aca="false">"5060458890191"</f>
        <v>5060458890191</v>
      </c>
      <c r="V3545" s="51" t="s">
        <v>2142</v>
      </c>
      <c r="W3545" s="51" t="s">
        <v>4028</v>
      </c>
      <c r="X3545" s="51" t="s">
        <v>2359</v>
      </c>
    </row>
    <row r="3546" customFormat="false" ht="14.25" hidden="true" customHeight="false" outlineLevel="0" collapsed="false">
      <c r="A3546" s="49" t="s">
        <v>2349</v>
      </c>
      <c r="B3546" s="49" t="s">
        <v>2350</v>
      </c>
      <c r="C3546" s="49" t="s">
        <v>7134</v>
      </c>
      <c r="D3546" s="49" t="s">
        <v>2352</v>
      </c>
      <c r="E3546" s="49" t="str">
        <f aca="false">"5060458890191"</f>
        <v>5060458890191</v>
      </c>
      <c r="F3546" s="49" t="s">
        <v>3656</v>
      </c>
      <c r="G3546" s="49" t="n">
        <v>0</v>
      </c>
      <c r="H3546" s="0" t="n">
        <v>0</v>
      </c>
      <c r="M3546" s="51" t="s">
        <v>7124</v>
      </c>
      <c r="N3546" s="49" t="n">
        <v>0</v>
      </c>
      <c r="O3546" s="53" t="n">
        <v>45771.374849537</v>
      </c>
      <c r="P3546" s="53" t="n">
        <v>45794.8714351852</v>
      </c>
      <c r="Q3546" s="53" t="n">
        <v>45771.374849537</v>
      </c>
      <c r="R3546" s="0" t="n">
        <v>0</v>
      </c>
      <c r="S3546" s="51" t="s">
        <v>2416</v>
      </c>
      <c r="T3546" s="51" t="s">
        <v>2416</v>
      </c>
      <c r="U3546" s="0" t="str">
        <f aca="false">"5060458890191"</f>
        <v>5060458890191</v>
      </c>
      <c r="V3546" s="51" t="s">
        <v>2142</v>
      </c>
      <c r="W3546" s="51" t="s">
        <v>4050</v>
      </c>
      <c r="X3546" s="51" t="s">
        <v>2359</v>
      </c>
    </row>
    <row r="3547" customFormat="false" ht="14.25" hidden="true" customHeight="false" outlineLevel="0" collapsed="false">
      <c r="A3547" s="49" t="s">
        <v>2349</v>
      </c>
      <c r="B3547" s="49" t="s">
        <v>2350</v>
      </c>
      <c r="C3547" s="49" t="s">
        <v>7135</v>
      </c>
      <c r="D3547" s="49" t="s">
        <v>2352</v>
      </c>
      <c r="E3547" s="49" t="str">
        <f aca="false">"5060458890191"</f>
        <v>5060458890191</v>
      </c>
      <c r="F3547" s="49" t="s">
        <v>3656</v>
      </c>
      <c r="G3547" s="49" t="n">
        <v>0</v>
      </c>
      <c r="H3547" s="0" t="n">
        <v>0</v>
      </c>
      <c r="M3547" s="51" t="s">
        <v>7124</v>
      </c>
      <c r="N3547" s="49" t="n">
        <v>0</v>
      </c>
      <c r="O3547" s="53" t="n">
        <v>45771.3751041667</v>
      </c>
      <c r="P3547" s="53" t="n">
        <v>45794.8069328704</v>
      </c>
      <c r="Q3547" s="53" t="n">
        <v>45771.3751041667</v>
      </c>
      <c r="R3547" s="0" t="n">
        <v>0</v>
      </c>
      <c r="S3547" s="51" t="s">
        <v>2416</v>
      </c>
      <c r="T3547" s="51" t="s">
        <v>2416</v>
      </c>
      <c r="U3547" s="0" t="str">
        <f aca="false">"5060458890191"</f>
        <v>5060458890191</v>
      </c>
      <c r="V3547" s="51" t="s">
        <v>2142</v>
      </c>
      <c r="W3547" s="51" t="s">
        <v>6008</v>
      </c>
      <c r="X3547" s="51" t="s">
        <v>2359</v>
      </c>
    </row>
    <row r="3548" customFormat="false" ht="14.25" hidden="true" customHeight="false" outlineLevel="0" collapsed="false">
      <c r="A3548" s="49" t="s">
        <v>2349</v>
      </c>
      <c r="B3548" s="49" t="s">
        <v>2350</v>
      </c>
      <c r="C3548" s="49" t="s">
        <v>7136</v>
      </c>
      <c r="D3548" s="49" t="s">
        <v>2352</v>
      </c>
      <c r="E3548" s="49" t="str">
        <f aca="false">"5060458890191"</f>
        <v>5060458890191</v>
      </c>
      <c r="F3548" s="49" t="s">
        <v>3656</v>
      </c>
      <c r="G3548" s="49" t="n">
        <v>0</v>
      </c>
      <c r="H3548" s="0" t="n">
        <v>0</v>
      </c>
      <c r="M3548" s="51" t="s">
        <v>7124</v>
      </c>
      <c r="N3548" s="49" t="n">
        <v>0</v>
      </c>
      <c r="O3548" s="53" t="n">
        <v>45771.3765162037</v>
      </c>
      <c r="P3548" s="53" t="n">
        <v>45795.9271527778</v>
      </c>
      <c r="Q3548" s="53" t="n">
        <v>45771.3765162037</v>
      </c>
      <c r="R3548" s="0" t="n">
        <v>0</v>
      </c>
      <c r="S3548" s="51" t="s">
        <v>2416</v>
      </c>
      <c r="T3548" s="51" t="s">
        <v>2416</v>
      </c>
      <c r="U3548" s="0" t="str">
        <f aca="false">"5060458890191"</f>
        <v>5060458890191</v>
      </c>
      <c r="V3548" s="51" t="s">
        <v>2142</v>
      </c>
      <c r="W3548" s="51" t="s">
        <v>5281</v>
      </c>
      <c r="X3548" s="51" t="s">
        <v>2359</v>
      </c>
    </row>
    <row r="3549" customFormat="false" ht="14.25" hidden="true" customHeight="false" outlineLevel="0" collapsed="false">
      <c r="A3549" s="49" t="s">
        <v>2349</v>
      </c>
      <c r="B3549" s="49" t="s">
        <v>2350</v>
      </c>
      <c r="C3549" s="49" t="s">
        <v>7137</v>
      </c>
      <c r="D3549" s="49" t="s">
        <v>2352</v>
      </c>
      <c r="E3549" s="49" t="str">
        <f aca="false">"5060458890191"</f>
        <v>5060458890191</v>
      </c>
      <c r="F3549" s="49" t="s">
        <v>3656</v>
      </c>
      <c r="G3549" s="49" t="n">
        <v>0</v>
      </c>
      <c r="H3549" s="0" t="n">
        <v>0</v>
      </c>
      <c r="M3549" s="51" t="s">
        <v>7124</v>
      </c>
      <c r="N3549" s="49" t="n">
        <v>0</v>
      </c>
      <c r="O3549" s="53" t="n">
        <v>45771.3766435185</v>
      </c>
      <c r="P3549" s="53" t="n">
        <v>45794.798900463</v>
      </c>
      <c r="Q3549" s="53" t="n">
        <v>45771.3766435185</v>
      </c>
      <c r="R3549" s="0" t="n">
        <v>0</v>
      </c>
      <c r="S3549" s="51" t="s">
        <v>2416</v>
      </c>
      <c r="T3549" s="51" t="s">
        <v>2416</v>
      </c>
      <c r="U3549" s="0" t="str">
        <f aca="false">"5060458890191"</f>
        <v>5060458890191</v>
      </c>
      <c r="V3549" s="51" t="s">
        <v>2142</v>
      </c>
      <c r="W3549" s="51" t="s">
        <v>5709</v>
      </c>
      <c r="X3549" s="51" t="s">
        <v>2359</v>
      </c>
    </row>
    <row r="3550" customFormat="false" ht="14.25" hidden="true" customHeight="false" outlineLevel="0" collapsed="false">
      <c r="A3550" s="49" t="s">
        <v>2349</v>
      </c>
      <c r="B3550" s="49" t="s">
        <v>2350</v>
      </c>
      <c r="C3550" s="49" t="s">
        <v>7138</v>
      </c>
      <c r="D3550" s="49" t="s">
        <v>2352</v>
      </c>
      <c r="E3550" s="49" t="str">
        <f aca="false">"5060458890191"</f>
        <v>5060458890191</v>
      </c>
      <c r="F3550" s="49" t="s">
        <v>3656</v>
      </c>
      <c r="G3550" s="49" t="n">
        <v>0</v>
      </c>
      <c r="H3550" s="0" t="n">
        <v>0</v>
      </c>
      <c r="M3550" s="51" t="s">
        <v>7124</v>
      </c>
      <c r="N3550" s="49" t="n">
        <v>0</v>
      </c>
      <c r="O3550" s="53" t="n">
        <v>45771.3767476852</v>
      </c>
      <c r="P3550" s="53" t="n">
        <v>45798.4684722222</v>
      </c>
      <c r="Q3550" s="53" t="n">
        <v>45771.3767476852</v>
      </c>
      <c r="R3550" s="0" t="n">
        <v>0</v>
      </c>
      <c r="S3550" s="51" t="s">
        <v>2416</v>
      </c>
      <c r="T3550" s="51" t="s">
        <v>2416</v>
      </c>
      <c r="U3550" s="0" t="str">
        <f aca="false">"5060458890191"</f>
        <v>5060458890191</v>
      </c>
      <c r="V3550" s="51" t="s">
        <v>2142</v>
      </c>
      <c r="W3550" s="51" t="s">
        <v>5446</v>
      </c>
      <c r="X3550" s="51" t="s">
        <v>2359</v>
      </c>
    </row>
    <row r="3551" customFormat="false" ht="14.25" hidden="true" customHeight="false" outlineLevel="0" collapsed="false">
      <c r="A3551" s="49" t="s">
        <v>2349</v>
      </c>
      <c r="B3551" s="49" t="s">
        <v>2350</v>
      </c>
      <c r="C3551" s="49" t="s">
        <v>7139</v>
      </c>
      <c r="D3551" s="49" t="s">
        <v>2352</v>
      </c>
      <c r="E3551" s="49" t="str">
        <f aca="false">"5060458890191"</f>
        <v>5060458890191</v>
      </c>
      <c r="F3551" s="49" t="s">
        <v>3656</v>
      </c>
      <c r="G3551" s="49" t="n">
        <v>0</v>
      </c>
      <c r="H3551" s="0" t="n">
        <v>0</v>
      </c>
      <c r="M3551" s="51" t="s">
        <v>7124</v>
      </c>
      <c r="N3551" s="49" t="n">
        <v>0</v>
      </c>
      <c r="O3551" s="53" t="n">
        <v>45771.3768865741</v>
      </c>
      <c r="P3551" s="53" t="n">
        <v>45794.8040393519</v>
      </c>
      <c r="Q3551" s="53" t="n">
        <v>45771.3768865741</v>
      </c>
      <c r="R3551" s="0" t="n">
        <v>0</v>
      </c>
      <c r="S3551" s="51" t="s">
        <v>2416</v>
      </c>
      <c r="T3551" s="51" t="s">
        <v>2416</v>
      </c>
      <c r="U3551" s="0" t="str">
        <f aca="false">"5060458890191"</f>
        <v>5060458890191</v>
      </c>
      <c r="V3551" s="51" t="s">
        <v>2142</v>
      </c>
      <c r="W3551" s="51" t="s">
        <v>5448</v>
      </c>
      <c r="X3551" s="51" t="s">
        <v>2359</v>
      </c>
    </row>
    <row r="3552" customFormat="false" ht="14.25" hidden="true" customHeight="false" outlineLevel="0" collapsed="false">
      <c r="A3552" s="49" t="s">
        <v>2349</v>
      </c>
      <c r="B3552" s="49" t="s">
        <v>2350</v>
      </c>
      <c r="C3552" s="49" t="s">
        <v>7140</v>
      </c>
      <c r="D3552" s="49" t="s">
        <v>2352</v>
      </c>
      <c r="E3552" s="49" t="str">
        <f aca="false">"5060458890191"</f>
        <v>5060458890191</v>
      </c>
      <c r="F3552" s="49" t="s">
        <v>3656</v>
      </c>
      <c r="G3552" s="49" t="n">
        <v>0</v>
      </c>
      <c r="H3552" s="0" t="n">
        <v>0</v>
      </c>
      <c r="M3552" s="51" t="s">
        <v>7124</v>
      </c>
      <c r="N3552" s="49" t="n">
        <v>0</v>
      </c>
      <c r="O3552" s="53" t="n">
        <v>45771.3770023148</v>
      </c>
      <c r="P3552" s="53" t="n">
        <v>45794.7991550926</v>
      </c>
      <c r="Q3552" s="53" t="n">
        <v>45771.3770023148</v>
      </c>
      <c r="R3552" s="0" t="n">
        <v>0</v>
      </c>
      <c r="S3552" s="51" t="s">
        <v>2416</v>
      </c>
      <c r="T3552" s="51" t="s">
        <v>2416</v>
      </c>
      <c r="U3552" s="0" t="str">
        <f aca="false">"5060458890191"</f>
        <v>5060458890191</v>
      </c>
      <c r="V3552" s="51" t="s">
        <v>2142</v>
      </c>
      <c r="W3552" s="51" t="s">
        <v>5504</v>
      </c>
      <c r="X3552" s="51" t="s">
        <v>2359</v>
      </c>
    </row>
    <row r="3553" customFormat="false" ht="14.25" hidden="true" customHeight="false" outlineLevel="0" collapsed="false">
      <c r="A3553" s="49" t="s">
        <v>2349</v>
      </c>
      <c r="B3553" s="49" t="s">
        <v>2350</v>
      </c>
      <c r="C3553" s="49" t="s">
        <v>7141</v>
      </c>
      <c r="D3553" s="49" t="s">
        <v>2352</v>
      </c>
      <c r="E3553" s="49" t="str">
        <f aca="false">"5060458890191"</f>
        <v>5060458890191</v>
      </c>
      <c r="F3553" s="49" t="s">
        <v>3656</v>
      </c>
      <c r="G3553" s="49" t="n">
        <v>0</v>
      </c>
      <c r="H3553" s="0" t="n">
        <v>0</v>
      </c>
      <c r="M3553" s="51" t="s">
        <v>7124</v>
      </c>
      <c r="N3553" s="49" t="n">
        <v>0</v>
      </c>
      <c r="O3553" s="53" t="n">
        <v>45771.3770949074</v>
      </c>
      <c r="P3553" s="53" t="n">
        <v>45794.8638773148</v>
      </c>
      <c r="Q3553" s="53" t="n">
        <v>45771.3770949074</v>
      </c>
      <c r="R3553" s="0" t="n">
        <v>0</v>
      </c>
      <c r="S3553" s="51" t="s">
        <v>2416</v>
      </c>
      <c r="T3553" s="51" t="s">
        <v>2416</v>
      </c>
      <c r="U3553" s="0" t="str">
        <f aca="false">"5060458890191"</f>
        <v>5060458890191</v>
      </c>
      <c r="V3553" s="51" t="s">
        <v>2142</v>
      </c>
      <c r="W3553" s="51" t="s">
        <v>6202</v>
      </c>
      <c r="X3553" s="51" t="s">
        <v>2359</v>
      </c>
    </row>
    <row r="3554" customFormat="false" ht="14.25" hidden="true" customHeight="false" outlineLevel="0" collapsed="false">
      <c r="A3554" s="49" t="s">
        <v>2349</v>
      </c>
      <c r="B3554" s="49" t="s">
        <v>2350</v>
      </c>
      <c r="C3554" s="49" t="s">
        <v>7142</v>
      </c>
      <c r="D3554" s="49" t="s">
        <v>2352</v>
      </c>
      <c r="E3554" s="49" t="str">
        <f aca="false">"5060458890191"</f>
        <v>5060458890191</v>
      </c>
      <c r="F3554" s="49" t="s">
        <v>3656</v>
      </c>
      <c r="G3554" s="49" t="n">
        <v>0</v>
      </c>
      <c r="H3554" s="0" t="n">
        <v>0</v>
      </c>
      <c r="M3554" s="51" t="s">
        <v>7124</v>
      </c>
      <c r="N3554" s="49" t="n">
        <v>0</v>
      </c>
      <c r="O3554" s="53" t="n">
        <v>45771.3771875</v>
      </c>
      <c r="P3554" s="53" t="n">
        <v>45794.8623611111</v>
      </c>
      <c r="Q3554" s="53" t="n">
        <v>45771.3771875</v>
      </c>
      <c r="R3554" s="0" t="n">
        <v>0</v>
      </c>
      <c r="S3554" s="51" t="s">
        <v>2416</v>
      </c>
      <c r="T3554" s="51" t="s">
        <v>2416</v>
      </c>
      <c r="U3554" s="0" t="str">
        <f aca="false">"5060458890191"</f>
        <v>5060458890191</v>
      </c>
      <c r="V3554" s="51" t="s">
        <v>2142</v>
      </c>
      <c r="W3554" s="51" t="s">
        <v>5428</v>
      </c>
      <c r="X3554" s="51" t="s">
        <v>2359</v>
      </c>
    </row>
    <row r="3555" customFormat="false" ht="14.25" hidden="true" customHeight="false" outlineLevel="0" collapsed="false">
      <c r="A3555" s="49" t="s">
        <v>2349</v>
      </c>
      <c r="B3555" s="49" t="s">
        <v>2350</v>
      </c>
      <c r="C3555" s="49" t="s">
        <v>7143</v>
      </c>
      <c r="D3555" s="49" t="s">
        <v>2352</v>
      </c>
      <c r="E3555" s="49" t="str">
        <f aca="false">"5060458890191"</f>
        <v>5060458890191</v>
      </c>
      <c r="F3555" s="49" t="s">
        <v>3656</v>
      </c>
      <c r="G3555" s="49" t="n">
        <v>0</v>
      </c>
      <c r="H3555" s="0" t="n">
        <v>0</v>
      </c>
      <c r="M3555" s="51" t="s">
        <v>7124</v>
      </c>
      <c r="N3555" s="49" t="n">
        <v>0</v>
      </c>
      <c r="O3555" s="53" t="n">
        <v>45771.3773148148</v>
      </c>
      <c r="P3555" s="53" t="n">
        <v>45794.863599537</v>
      </c>
      <c r="Q3555" s="53" t="n">
        <v>45771.3773148148</v>
      </c>
      <c r="R3555" s="0" t="n">
        <v>0</v>
      </c>
      <c r="S3555" s="51" t="s">
        <v>2416</v>
      </c>
      <c r="T3555" s="51" t="s">
        <v>2416</v>
      </c>
      <c r="U3555" s="0" t="str">
        <f aca="false">"5060458890191"</f>
        <v>5060458890191</v>
      </c>
      <c r="V3555" s="51" t="s">
        <v>2142</v>
      </c>
      <c r="W3555" s="51" t="s">
        <v>5436</v>
      </c>
      <c r="X3555" s="51" t="s">
        <v>2359</v>
      </c>
    </row>
    <row r="3556" customFormat="false" ht="14.25" hidden="true" customHeight="false" outlineLevel="0" collapsed="false">
      <c r="A3556" s="49" t="s">
        <v>2349</v>
      </c>
      <c r="B3556" s="49" t="s">
        <v>2350</v>
      </c>
      <c r="C3556" s="49" t="s">
        <v>7144</v>
      </c>
      <c r="D3556" s="49" t="s">
        <v>2352</v>
      </c>
      <c r="E3556" s="49" t="str">
        <f aca="false">"5060458890191"</f>
        <v>5060458890191</v>
      </c>
      <c r="F3556" s="49" t="s">
        <v>3656</v>
      </c>
      <c r="G3556" s="49" t="n">
        <v>0</v>
      </c>
      <c r="H3556" s="0" t="n">
        <v>0</v>
      </c>
      <c r="M3556" s="51" t="s">
        <v>7124</v>
      </c>
      <c r="N3556" s="49" t="n">
        <v>0</v>
      </c>
      <c r="O3556" s="53" t="n">
        <v>45771.3774189815</v>
      </c>
      <c r="P3556" s="53" t="n">
        <v>45794.8613541667</v>
      </c>
      <c r="Q3556" s="53" t="n">
        <v>45771.3774189815</v>
      </c>
      <c r="R3556" s="0" t="n">
        <v>0</v>
      </c>
      <c r="S3556" s="51" t="s">
        <v>2416</v>
      </c>
      <c r="T3556" s="51" t="s">
        <v>2416</v>
      </c>
      <c r="U3556" s="0" t="str">
        <f aca="false">"5060458890191"</f>
        <v>5060458890191</v>
      </c>
      <c r="V3556" s="51" t="s">
        <v>2142</v>
      </c>
      <c r="W3556" s="51" t="s">
        <v>5617</v>
      </c>
      <c r="X3556" s="51" t="s">
        <v>2359</v>
      </c>
    </row>
    <row r="3557" customFormat="false" ht="14.25" hidden="true" customHeight="false" outlineLevel="0" collapsed="false">
      <c r="A3557" s="49" t="s">
        <v>2349</v>
      </c>
      <c r="B3557" s="49" t="s">
        <v>2350</v>
      </c>
      <c r="C3557" s="49" t="s">
        <v>7145</v>
      </c>
      <c r="D3557" s="49" t="s">
        <v>2352</v>
      </c>
      <c r="E3557" s="49" t="str">
        <f aca="false">"5060458890191"</f>
        <v>5060458890191</v>
      </c>
      <c r="F3557" s="49" t="s">
        <v>3656</v>
      </c>
      <c r="G3557" s="49" t="n">
        <v>0</v>
      </c>
      <c r="H3557" s="0" t="n">
        <v>0</v>
      </c>
      <c r="M3557" s="51" t="s">
        <v>7124</v>
      </c>
      <c r="N3557" s="49" t="n">
        <v>0</v>
      </c>
      <c r="O3557" s="53" t="n">
        <v>45771.3775462963</v>
      </c>
      <c r="P3557" s="53" t="n">
        <v>45798.8959027778</v>
      </c>
      <c r="Q3557" s="53" t="n">
        <v>45771.3775462963</v>
      </c>
      <c r="R3557" s="0" t="n">
        <v>0</v>
      </c>
      <c r="S3557" s="51" t="s">
        <v>2416</v>
      </c>
      <c r="T3557" s="51" t="s">
        <v>2416</v>
      </c>
      <c r="U3557" s="0" t="str">
        <f aca="false">"5060458890191"</f>
        <v>5060458890191</v>
      </c>
      <c r="V3557" s="51" t="s">
        <v>2142</v>
      </c>
      <c r="W3557" s="51" t="s">
        <v>6193</v>
      </c>
      <c r="X3557" s="51" t="s">
        <v>2359</v>
      </c>
    </row>
    <row r="3558" customFormat="false" ht="14.25" hidden="true" customHeight="false" outlineLevel="0" collapsed="false">
      <c r="A3558" s="49" t="s">
        <v>2349</v>
      </c>
      <c r="B3558" s="49" t="s">
        <v>2350</v>
      </c>
      <c r="C3558" s="49" t="s">
        <v>7146</v>
      </c>
      <c r="D3558" s="49" t="s">
        <v>2352</v>
      </c>
      <c r="E3558" s="49" t="str">
        <f aca="false">"5060458890191"</f>
        <v>5060458890191</v>
      </c>
      <c r="F3558" s="49" t="s">
        <v>3656</v>
      </c>
      <c r="G3558" s="49" t="n">
        <v>0</v>
      </c>
      <c r="H3558" s="0" t="n">
        <v>0</v>
      </c>
      <c r="M3558" s="51" t="s">
        <v>7124</v>
      </c>
      <c r="N3558" s="49" t="n">
        <v>0</v>
      </c>
      <c r="O3558" s="53" t="n">
        <v>45771.3776967593</v>
      </c>
      <c r="P3558" s="53" t="n">
        <v>45794.7990625</v>
      </c>
      <c r="Q3558" s="53" t="n">
        <v>45771.3776967593</v>
      </c>
      <c r="R3558" s="0" t="n">
        <v>0</v>
      </c>
      <c r="S3558" s="51" t="s">
        <v>2416</v>
      </c>
      <c r="T3558" s="51" t="s">
        <v>2416</v>
      </c>
      <c r="U3558" s="0" t="str">
        <f aca="false">"5060458890191"</f>
        <v>5060458890191</v>
      </c>
      <c r="V3558" s="51" t="s">
        <v>2142</v>
      </c>
      <c r="W3558" s="51" t="s">
        <v>3672</v>
      </c>
      <c r="X3558" s="51" t="s">
        <v>2359</v>
      </c>
    </row>
    <row r="3559" customFormat="false" ht="14.25" hidden="true" customHeight="false" outlineLevel="0" collapsed="false">
      <c r="A3559" s="49" t="s">
        <v>2349</v>
      </c>
      <c r="B3559" s="49" t="s">
        <v>2350</v>
      </c>
      <c r="C3559" s="49" t="s">
        <v>7147</v>
      </c>
      <c r="D3559" s="49" t="s">
        <v>2352</v>
      </c>
      <c r="E3559" s="49" t="str">
        <f aca="false">"5060458890191"</f>
        <v>5060458890191</v>
      </c>
      <c r="F3559" s="49" t="s">
        <v>3656</v>
      </c>
      <c r="G3559" s="49" t="n">
        <v>0</v>
      </c>
      <c r="H3559" s="0" t="n">
        <v>0</v>
      </c>
      <c r="M3559" s="51" t="s">
        <v>7124</v>
      </c>
      <c r="N3559" s="49" t="n">
        <v>0</v>
      </c>
      <c r="O3559" s="53" t="n">
        <v>45771.3778356482</v>
      </c>
      <c r="P3559" s="53" t="n">
        <v>45794.8635185185</v>
      </c>
      <c r="Q3559" s="53" t="n">
        <v>45771.3778356482</v>
      </c>
      <c r="R3559" s="0" t="n">
        <v>0</v>
      </c>
      <c r="S3559" s="51" t="s">
        <v>2416</v>
      </c>
      <c r="T3559" s="51" t="s">
        <v>2416</v>
      </c>
      <c r="U3559" s="0" t="str">
        <f aca="false">"5060458890191"</f>
        <v>5060458890191</v>
      </c>
      <c r="V3559" s="51" t="s">
        <v>2142</v>
      </c>
      <c r="W3559" s="51" t="s">
        <v>4829</v>
      </c>
      <c r="X3559" s="51" t="s">
        <v>2359</v>
      </c>
    </row>
    <row r="3560" customFormat="false" ht="14.25" hidden="true" customHeight="false" outlineLevel="0" collapsed="false">
      <c r="A3560" s="49" t="s">
        <v>2349</v>
      </c>
      <c r="B3560" s="49" t="s">
        <v>2350</v>
      </c>
      <c r="C3560" s="49" t="s">
        <v>7148</v>
      </c>
      <c r="D3560" s="49" t="s">
        <v>2352</v>
      </c>
      <c r="E3560" s="49" t="str">
        <f aca="false">"5060458890191"</f>
        <v>5060458890191</v>
      </c>
      <c r="F3560" s="49" t="s">
        <v>3656</v>
      </c>
      <c r="G3560" s="49" t="n">
        <v>0</v>
      </c>
      <c r="H3560" s="0" t="n">
        <v>0</v>
      </c>
      <c r="M3560" s="51" t="s">
        <v>7124</v>
      </c>
      <c r="N3560" s="49" t="n">
        <v>0</v>
      </c>
      <c r="O3560" s="53" t="n">
        <v>45771.3779513889</v>
      </c>
      <c r="P3560" s="53" t="n">
        <v>45794.8634375</v>
      </c>
      <c r="Q3560" s="53" t="n">
        <v>45771.3779513889</v>
      </c>
      <c r="R3560" s="0" t="n">
        <v>0</v>
      </c>
      <c r="S3560" s="51" t="s">
        <v>2416</v>
      </c>
      <c r="T3560" s="51" t="s">
        <v>2416</v>
      </c>
      <c r="U3560" s="0" t="str">
        <f aca="false">"5060458890191"</f>
        <v>5060458890191</v>
      </c>
      <c r="V3560" s="51" t="s">
        <v>2142</v>
      </c>
      <c r="W3560" s="51" t="s">
        <v>4824</v>
      </c>
      <c r="X3560" s="51" t="s">
        <v>2359</v>
      </c>
    </row>
    <row r="3561" customFormat="false" ht="14.25" hidden="true" customHeight="false" outlineLevel="0" collapsed="false">
      <c r="A3561" s="49" t="s">
        <v>2349</v>
      </c>
      <c r="B3561" s="49" t="s">
        <v>2350</v>
      </c>
      <c r="C3561" s="49" t="s">
        <v>7149</v>
      </c>
      <c r="D3561" s="49" t="s">
        <v>2352</v>
      </c>
      <c r="E3561" s="49" t="str">
        <f aca="false">"5060458890191"</f>
        <v>5060458890191</v>
      </c>
      <c r="F3561" s="49" t="s">
        <v>3656</v>
      </c>
      <c r="G3561" s="49" t="n">
        <v>0</v>
      </c>
      <c r="H3561" s="0" t="n">
        <v>0</v>
      </c>
      <c r="M3561" s="51" t="s">
        <v>7124</v>
      </c>
      <c r="N3561" s="49" t="n">
        <v>0</v>
      </c>
      <c r="O3561" s="53" t="n">
        <v>45771.3780671296</v>
      </c>
      <c r="P3561" s="53" t="n">
        <v>45794.8004861111</v>
      </c>
      <c r="Q3561" s="53" t="n">
        <v>45771.3780671296</v>
      </c>
      <c r="R3561" s="0" t="n">
        <v>0</v>
      </c>
      <c r="S3561" s="51" t="s">
        <v>2416</v>
      </c>
      <c r="T3561" s="51" t="s">
        <v>2416</v>
      </c>
      <c r="U3561" s="0" t="str">
        <f aca="false">"5060458890191"</f>
        <v>5060458890191</v>
      </c>
      <c r="V3561" s="51" t="s">
        <v>2142</v>
      </c>
      <c r="W3561" s="51" t="s">
        <v>4268</v>
      </c>
      <c r="X3561" s="51" t="s">
        <v>2359</v>
      </c>
    </row>
    <row r="3562" customFormat="false" ht="14.25" hidden="true" customHeight="false" outlineLevel="0" collapsed="false">
      <c r="A3562" s="49" t="s">
        <v>2349</v>
      </c>
      <c r="B3562" s="49" t="s">
        <v>2350</v>
      </c>
      <c r="C3562" s="49" t="s">
        <v>7150</v>
      </c>
      <c r="D3562" s="49" t="s">
        <v>2352</v>
      </c>
      <c r="E3562" s="49" t="str">
        <f aca="false">"5060458890191"</f>
        <v>5060458890191</v>
      </c>
      <c r="F3562" s="49" t="s">
        <v>3656</v>
      </c>
      <c r="G3562" s="49" t="n">
        <v>0</v>
      </c>
      <c r="H3562" s="0" t="n">
        <v>0</v>
      </c>
      <c r="M3562" s="51" t="s">
        <v>7124</v>
      </c>
      <c r="N3562" s="49" t="n">
        <v>0</v>
      </c>
      <c r="O3562" s="53" t="n">
        <v>45771.3782291667</v>
      </c>
      <c r="P3562" s="53" t="n">
        <v>45798.4665625</v>
      </c>
      <c r="Q3562" s="53" t="n">
        <v>45771.3782291667</v>
      </c>
      <c r="R3562" s="0" t="n">
        <v>0</v>
      </c>
      <c r="S3562" s="51" t="s">
        <v>2416</v>
      </c>
      <c r="T3562" s="51" t="s">
        <v>2416</v>
      </c>
      <c r="U3562" s="0" t="str">
        <f aca="false">"5060458890191"</f>
        <v>5060458890191</v>
      </c>
      <c r="V3562" s="51" t="s">
        <v>2142</v>
      </c>
      <c r="W3562" s="51" t="s">
        <v>4989</v>
      </c>
      <c r="X3562" s="51" t="s">
        <v>2359</v>
      </c>
    </row>
    <row r="3563" customFormat="false" ht="14.25" hidden="true" customHeight="false" outlineLevel="0" collapsed="false">
      <c r="A3563" s="49" t="s">
        <v>2349</v>
      </c>
      <c r="B3563" s="49" t="s">
        <v>2350</v>
      </c>
      <c r="C3563" s="49" t="s">
        <v>7151</v>
      </c>
      <c r="D3563" s="49" t="s">
        <v>2352</v>
      </c>
      <c r="E3563" s="49" t="str">
        <f aca="false">"5060458890191"</f>
        <v>5060458890191</v>
      </c>
      <c r="F3563" s="49" t="s">
        <v>3656</v>
      </c>
      <c r="G3563" s="49" t="n">
        <v>0</v>
      </c>
      <c r="H3563" s="0" t="n">
        <v>0</v>
      </c>
      <c r="M3563" s="51" t="s">
        <v>7124</v>
      </c>
      <c r="N3563" s="49" t="n">
        <v>0</v>
      </c>
      <c r="O3563" s="53" t="n">
        <v>45771.3783101852</v>
      </c>
      <c r="P3563" s="53" t="n">
        <v>45795.9023842593</v>
      </c>
      <c r="Q3563" s="53" t="n">
        <v>45771.3783101852</v>
      </c>
      <c r="R3563" s="0" t="n">
        <v>0</v>
      </c>
      <c r="S3563" s="51" t="s">
        <v>2416</v>
      </c>
      <c r="T3563" s="51" t="s">
        <v>2416</v>
      </c>
      <c r="U3563" s="0" t="str">
        <f aca="false">"5060458890191"</f>
        <v>5060458890191</v>
      </c>
      <c r="V3563" s="51" t="s">
        <v>2142</v>
      </c>
      <c r="W3563" s="51" t="s">
        <v>6031</v>
      </c>
      <c r="X3563" s="51" t="s">
        <v>2359</v>
      </c>
    </row>
    <row r="3564" customFormat="false" ht="14.25" hidden="true" customHeight="false" outlineLevel="0" collapsed="false">
      <c r="A3564" s="49" t="s">
        <v>2349</v>
      </c>
      <c r="B3564" s="49" t="s">
        <v>2350</v>
      </c>
      <c r="C3564" s="49" t="s">
        <v>7152</v>
      </c>
      <c r="D3564" s="49" t="s">
        <v>2352</v>
      </c>
      <c r="E3564" s="49" t="str">
        <f aca="false">"5060458890191"</f>
        <v>5060458890191</v>
      </c>
      <c r="F3564" s="49" t="s">
        <v>3656</v>
      </c>
      <c r="G3564" s="49" t="n">
        <v>0</v>
      </c>
      <c r="H3564" s="0" t="n">
        <v>0</v>
      </c>
      <c r="M3564" s="51" t="s">
        <v>7124</v>
      </c>
      <c r="N3564" s="49" t="n">
        <v>0</v>
      </c>
      <c r="O3564" s="53" t="n">
        <v>45771.3784606482</v>
      </c>
      <c r="P3564" s="53" t="n">
        <v>45795.9022800926</v>
      </c>
      <c r="Q3564" s="53" t="n">
        <v>45771.3784606482</v>
      </c>
      <c r="R3564" s="0" t="n">
        <v>0</v>
      </c>
      <c r="S3564" s="51" t="s">
        <v>2416</v>
      </c>
      <c r="T3564" s="51" t="s">
        <v>2416</v>
      </c>
      <c r="U3564" s="0" t="str">
        <f aca="false">"5060458890191"</f>
        <v>5060458890191</v>
      </c>
      <c r="V3564" s="51" t="s">
        <v>2142</v>
      </c>
      <c r="W3564" s="51" t="s">
        <v>6033</v>
      </c>
      <c r="X3564" s="51" t="s">
        <v>2359</v>
      </c>
    </row>
    <row r="3565" customFormat="false" ht="14.25" hidden="true" customHeight="false" outlineLevel="0" collapsed="false">
      <c r="A3565" s="49" t="s">
        <v>2349</v>
      </c>
      <c r="B3565" s="49" t="s">
        <v>2350</v>
      </c>
      <c r="C3565" s="49" t="s">
        <v>7153</v>
      </c>
      <c r="D3565" s="49" t="s">
        <v>2352</v>
      </c>
      <c r="E3565" s="49" t="str">
        <f aca="false">"5060458890191"</f>
        <v>5060458890191</v>
      </c>
      <c r="F3565" s="49" t="s">
        <v>3656</v>
      </c>
      <c r="G3565" s="49" t="n">
        <v>0</v>
      </c>
      <c r="H3565" s="0" t="n">
        <v>0</v>
      </c>
      <c r="M3565" s="51" t="s">
        <v>7154</v>
      </c>
      <c r="N3565" s="49" t="n">
        <v>0</v>
      </c>
      <c r="O3565" s="53" t="n">
        <v>45768.3715509259</v>
      </c>
      <c r="P3565" s="53" t="n">
        <v>45778.6078009259</v>
      </c>
      <c r="Q3565" s="53" t="n">
        <v>45768.3715509259</v>
      </c>
      <c r="R3565" s="0" t="n">
        <v>0</v>
      </c>
      <c r="S3565" s="51" t="s">
        <v>2416</v>
      </c>
      <c r="T3565" s="51" t="s">
        <v>2416</v>
      </c>
      <c r="U3565" s="0" t="str">
        <f aca="false">"5060458890191"</f>
        <v>5060458890191</v>
      </c>
      <c r="V3565" s="51" t="s">
        <v>2142</v>
      </c>
      <c r="W3565" s="51" t="s">
        <v>5382</v>
      </c>
      <c r="X3565" s="51" t="s">
        <v>2359</v>
      </c>
    </row>
    <row r="3566" customFormat="false" ht="14.25" hidden="true" customHeight="false" outlineLevel="0" collapsed="false">
      <c r="A3566" s="49" t="s">
        <v>2349</v>
      </c>
      <c r="B3566" s="49" t="s">
        <v>2350</v>
      </c>
      <c r="C3566" s="49" t="s">
        <v>7155</v>
      </c>
      <c r="D3566" s="49" t="s">
        <v>2352</v>
      </c>
      <c r="E3566" s="49" t="str">
        <f aca="false">"5060458890191"</f>
        <v>5060458890191</v>
      </c>
      <c r="F3566" s="49" t="s">
        <v>3656</v>
      </c>
      <c r="G3566" s="49" t="n">
        <v>0</v>
      </c>
      <c r="H3566" s="0" t="n">
        <v>0</v>
      </c>
      <c r="M3566" s="51" t="s">
        <v>7154</v>
      </c>
      <c r="N3566" s="49" t="n">
        <v>0</v>
      </c>
      <c r="O3566" s="53" t="n">
        <v>45768.3714351852</v>
      </c>
      <c r="P3566" s="53" t="n">
        <v>45778.6065046296</v>
      </c>
      <c r="Q3566" s="53" t="n">
        <v>45768.3714351852</v>
      </c>
      <c r="R3566" s="0" t="n">
        <v>0</v>
      </c>
      <c r="S3566" s="51" t="s">
        <v>2416</v>
      </c>
      <c r="T3566" s="51" t="s">
        <v>2416</v>
      </c>
      <c r="U3566" s="0" t="str">
        <f aca="false">"5060458890191"</f>
        <v>5060458890191</v>
      </c>
      <c r="V3566" s="51" t="s">
        <v>2142</v>
      </c>
      <c r="W3566" s="51" t="s">
        <v>7156</v>
      </c>
      <c r="X3566" s="51" t="s">
        <v>2359</v>
      </c>
    </row>
    <row r="3567" customFormat="false" ht="14.25" hidden="true" customHeight="false" outlineLevel="0" collapsed="false">
      <c r="A3567" s="49" t="s">
        <v>2349</v>
      </c>
      <c r="B3567" s="49" t="s">
        <v>2350</v>
      </c>
      <c r="C3567" s="49" t="s">
        <v>7157</v>
      </c>
      <c r="D3567" s="49" t="s">
        <v>2352</v>
      </c>
      <c r="E3567" s="49" t="str">
        <f aca="false">"5060458890191"</f>
        <v>5060458890191</v>
      </c>
      <c r="F3567" s="49" t="s">
        <v>3656</v>
      </c>
      <c r="G3567" s="49" t="n">
        <v>0</v>
      </c>
      <c r="H3567" s="0" t="n">
        <v>0</v>
      </c>
      <c r="M3567" s="51" t="s">
        <v>7154</v>
      </c>
      <c r="N3567" s="49" t="n">
        <v>0</v>
      </c>
      <c r="O3567" s="53" t="n">
        <v>45768.3712847222</v>
      </c>
      <c r="P3567" s="53" t="n">
        <v>45778.6072222222</v>
      </c>
      <c r="Q3567" s="53" t="n">
        <v>45768.3712847222</v>
      </c>
      <c r="R3567" s="0" t="n">
        <v>0</v>
      </c>
      <c r="S3567" s="51" t="s">
        <v>2416</v>
      </c>
      <c r="T3567" s="51" t="s">
        <v>2416</v>
      </c>
      <c r="U3567" s="0" t="str">
        <f aca="false">"5060458890191"</f>
        <v>5060458890191</v>
      </c>
      <c r="V3567" s="51" t="s">
        <v>2142</v>
      </c>
      <c r="W3567" s="51" t="s">
        <v>4028</v>
      </c>
      <c r="X3567" s="51" t="s">
        <v>2359</v>
      </c>
    </row>
    <row r="3568" customFormat="false" ht="14.25" hidden="true" customHeight="false" outlineLevel="0" collapsed="false">
      <c r="A3568" s="49" t="s">
        <v>2349</v>
      </c>
      <c r="B3568" s="49" t="s">
        <v>2350</v>
      </c>
      <c r="C3568" s="49" t="s">
        <v>7158</v>
      </c>
      <c r="D3568" s="49" t="s">
        <v>2352</v>
      </c>
      <c r="E3568" s="49" t="str">
        <f aca="false">"5060458890191"</f>
        <v>5060458890191</v>
      </c>
      <c r="F3568" s="49" t="s">
        <v>3656</v>
      </c>
      <c r="G3568" s="49" t="n">
        <v>0</v>
      </c>
      <c r="H3568" s="0" t="n">
        <v>0</v>
      </c>
      <c r="M3568" s="51" t="s">
        <v>7154</v>
      </c>
      <c r="N3568" s="49" t="n">
        <v>0</v>
      </c>
      <c r="O3568" s="53" t="n">
        <v>45768.3711574074</v>
      </c>
      <c r="P3568" s="53" t="n">
        <v>45778.6071643519</v>
      </c>
      <c r="Q3568" s="53" t="n">
        <v>45768.3711574074</v>
      </c>
      <c r="R3568" s="0" t="n">
        <v>0</v>
      </c>
      <c r="S3568" s="51" t="s">
        <v>2416</v>
      </c>
      <c r="T3568" s="51" t="s">
        <v>2416</v>
      </c>
      <c r="U3568" s="0" t="str">
        <f aca="false">"5060458890191"</f>
        <v>5060458890191</v>
      </c>
      <c r="V3568" s="51" t="s">
        <v>2142</v>
      </c>
      <c r="W3568" s="51" t="s">
        <v>4052</v>
      </c>
      <c r="X3568" s="51" t="s">
        <v>2359</v>
      </c>
    </row>
    <row r="3569" customFormat="false" ht="14.25" hidden="true" customHeight="false" outlineLevel="0" collapsed="false">
      <c r="A3569" s="49" t="s">
        <v>2349</v>
      </c>
      <c r="B3569" s="49" t="s">
        <v>2350</v>
      </c>
      <c r="C3569" s="49" t="s">
        <v>7159</v>
      </c>
      <c r="D3569" s="49" t="s">
        <v>2352</v>
      </c>
      <c r="E3569" s="49" t="str">
        <f aca="false">"5060458890191"</f>
        <v>5060458890191</v>
      </c>
      <c r="F3569" s="49" t="s">
        <v>3656</v>
      </c>
      <c r="G3569" s="49" t="n">
        <v>0</v>
      </c>
      <c r="H3569" s="0" t="n">
        <v>0</v>
      </c>
      <c r="M3569" s="51" t="s">
        <v>7154</v>
      </c>
      <c r="N3569" s="49" t="n">
        <v>0</v>
      </c>
      <c r="O3569" s="53" t="n">
        <v>45768.3703703704</v>
      </c>
      <c r="P3569" s="53" t="n">
        <v>45794.8637847222</v>
      </c>
      <c r="Q3569" s="53" t="n">
        <v>45768.3703703704</v>
      </c>
      <c r="R3569" s="0" t="n">
        <v>0</v>
      </c>
      <c r="S3569" s="51" t="s">
        <v>2416</v>
      </c>
      <c r="T3569" s="51" t="s">
        <v>2416</v>
      </c>
      <c r="U3569" s="0" t="str">
        <f aca="false">"5060458890191"</f>
        <v>5060458890191</v>
      </c>
      <c r="V3569" s="51" t="s">
        <v>2142</v>
      </c>
      <c r="W3569" s="51" t="s">
        <v>5604</v>
      </c>
      <c r="X3569" s="51" t="s">
        <v>2359</v>
      </c>
    </row>
    <row r="3570" customFormat="false" ht="14.25" hidden="true" customHeight="false" outlineLevel="0" collapsed="false">
      <c r="A3570" s="49" t="s">
        <v>2349</v>
      </c>
      <c r="B3570" s="49" t="s">
        <v>2350</v>
      </c>
      <c r="C3570" s="49" t="s">
        <v>7160</v>
      </c>
      <c r="D3570" s="49" t="s">
        <v>2352</v>
      </c>
      <c r="E3570" s="49" t="str">
        <f aca="false">"5060458890191"</f>
        <v>5060458890191</v>
      </c>
      <c r="F3570" s="49" t="s">
        <v>3656</v>
      </c>
      <c r="G3570" s="49" t="n">
        <v>0</v>
      </c>
      <c r="H3570" s="0" t="n">
        <v>0</v>
      </c>
      <c r="M3570" s="51" t="s">
        <v>7154</v>
      </c>
      <c r="N3570" s="49" t="n">
        <v>0</v>
      </c>
      <c r="O3570" s="53" t="n">
        <v>45768.3708217593</v>
      </c>
      <c r="P3570" s="53" t="n">
        <v>45778.6070486111</v>
      </c>
      <c r="Q3570" s="53" t="n">
        <v>45768.3708217593</v>
      </c>
      <c r="R3570" s="0" t="n">
        <v>0</v>
      </c>
      <c r="S3570" s="51" t="s">
        <v>2416</v>
      </c>
      <c r="T3570" s="51" t="s">
        <v>2416</v>
      </c>
      <c r="U3570" s="0" t="str">
        <f aca="false">"5060458890191"</f>
        <v>5060458890191</v>
      </c>
      <c r="V3570" s="51" t="s">
        <v>2142</v>
      </c>
      <c r="W3570" s="51" t="s">
        <v>6430</v>
      </c>
      <c r="X3570" s="51" t="s">
        <v>2359</v>
      </c>
    </row>
    <row r="3571" customFormat="false" ht="14.25" hidden="true" customHeight="false" outlineLevel="0" collapsed="false">
      <c r="A3571" s="49" t="s">
        <v>2349</v>
      </c>
      <c r="B3571" s="49" t="s">
        <v>2350</v>
      </c>
      <c r="C3571" s="49" t="s">
        <v>7161</v>
      </c>
      <c r="D3571" s="49" t="s">
        <v>2352</v>
      </c>
      <c r="E3571" s="49" t="str">
        <f aca="false">"5060458890191"</f>
        <v>5060458890191</v>
      </c>
      <c r="F3571" s="49" t="s">
        <v>3656</v>
      </c>
      <c r="G3571" s="49" t="n">
        <v>0</v>
      </c>
      <c r="H3571" s="0" t="n">
        <v>0</v>
      </c>
      <c r="M3571" s="51" t="s">
        <v>7154</v>
      </c>
      <c r="N3571" s="49" t="n">
        <v>0</v>
      </c>
      <c r="O3571" s="53" t="n">
        <v>45768.3691898148</v>
      </c>
      <c r="P3571" s="53" t="n">
        <v>45778.6071064815</v>
      </c>
      <c r="Q3571" s="53" t="n">
        <v>45768.3691898148</v>
      </c>
      <c r="R3571" s="0" t="n">
        <v>0</v>
      </c>
      <c r="S3571" s="51" t="s">
        <v>2416</v>
      </c>
      <c r="T3571" s="51" t="s">
        <v>2416</v>
      </c>
      <c r="U3571" s="0" t="str">
        <f aca="false">"5060458890191"</f>
        <v>5060458890191</v>
      </c>
      <c r="V3571" s="51" t="s">
        <v>2142</v>
      </c>
      <c r="W3571" s="51" t="s">
        <v>6426</v>
      </c>
      <c r="X3571" s="51" t="s">
        <v>2359</v>
      </c>
    </row>
    <row r="3572" customFormat="false" ht="14.25" hidden="true" customHeight="false" outlineLevel="0" collapsed="false">
      <c r="A3572" s="49" t="s">
        <v>2349</v>
      </c>
      <c r="B3572" s="49" t="s">
        <v>2350</v>
      </c>
      <c r="C3572" s="49" t="s">
        <v>7162</v>
      </c>
      <c r="D3572" s="49" t="s">
        <v>2352</v>
      </c>
      <c r="E3572" s="49" t="str">
        <f aca="false">"5060458890191"</f>
        <v>5060458890191</v>
      </c>
      <c r="F3572" s="49" t="s">
        <v>3656</v>
      </c>
      <c r="G3572" s="49" t="n">
        <v>0</v>
      </c>
      <c r="H3572" s="0" t="n">
        <v>0</v>
      </c>
      <c r="M3572" s="51" t="s">
        <v>7154</v>
      </c>
      <c r="N3572" s="49" t="n">
        <v>0</v>
      </c>
      <c r="O3572" s="53" t="n">
        <v>45768.3690277778</v>
      </c>
      <c r="P3572" s="53" t="n">
        <v>45778.6068865741</v>
      </c>
      <c r="Q3572" s="53" t="n">
        <v>45768.3690277778</v>
      </c>
      <c r="R3572" s="0" t="n">
        <v>0</v>
      </c>
      <c r="S3572" s="51" t="s">
        <v>2416</v>
      </c>
      <c r="T3572" s="51" t="s">
        <v>2416</v>
      </c>
      <c r="U3572" s="0" t="str">
        <f aca="false">"5060458890191"</f>
        <v>5060458890191</v>
      </c>
      <c r="V3572" s="51" t="s">
        <v>2142</v>
      </c>
      <c r="W3572" s="51" t="s">
        <v>5436</v>
      </c>
      <c r="X3572" s="51" t="s">
        <v>2359</v>
      </c>
    </row>
    <row r="3573" customFormat="false" ht="14.25" hidden="true" customHeight="false" outlineLevel="0" collapsed="false">
      <c r="A3573" s="49" t="s">
        <v>2349</v>
      </c>
      <c r="B3573" s="49" t="s">
        <v>2350</v>
      </c>
      <c r="C3573" s="49" t="s">
        <v>7163</v>
      </c>
      <c r="D3573" s="49" t="s">
        <v>2352</v>
      </c>
      <c r="E3573" s="49" t="str">
        <f aca="false">"5060458890191"</f>
        <v>5060458890191</v>
      </c>
      <c r="F3573" s="49" t="s">
        <v>3656</v>
      </c>
      <c r="G3573" s="49" t="n">
        <v>0</v>
      </c>
      <c r="H3573" s="0" t="n">
        <v>0</v>
      </c>
      <c r="M3573" s="51" t="s">
        <v>7154</v>
      </c>
      <c r="N3573" s="49" t="n">
        <v>0</v>
      </c>
      <c r="O3573" s="53" t="n">
        <v>45768.3689236111</v>
      </c>
      <c r="P3573" s="53" t="n">
        <v>45778.6067361111</v>
      </c>
      <c r="Q3573" s="53" t="n">
        <v>45768.3689236111</v>
      </c>
      <c r="R3573" s="0" t="n">
        <v>0</v>
      </c>
      <c r="S3573" s="51" t="s">
        <v>2416</v>
      </c>
      <c r="T3573" s="51" t="s">
        <v>2416</v>
      </c>
      <c r="U3573" s="0" t="str">
        <f aca="false">"5060458890191"</f>
        <v>5060458890191</v>
      </c>
      <c r="V3573" s="51" t="s">
        <v>2142</v>
      </c>
      <c r="W3573" s="51" t="s">
        <v>4824</v>
      </c>
      <c r="X3573" s="51" t="s">
        <v>2359</v>
      </c>
    </row>
    <row r="3574" customFormat="false" ht="14.25" hidden="true" customHeight="false" outlineLevel="0" collapsed="false">
      <c r="A3574" s="49" t="s">
        <v>2349</v>
      </c>
      <c r="B3574" s="49" t="s">
        <v>2350</v>
      </c>
      <c r="C3574" s="49" t="s">
        <v>7164</v>
      </c>
      <c r="D3574" s="49" t="s">
        <v>2352</v>
      </c>
      <c r="E3574" s="49" t="str">
        <f aca="false">"5060458890191"</f>
        <v>5060458890191</v>
      </c>
      <c r="F3574" s="49" t="s">
        <v>3656</v>
      </c>
      <c r="G3574" s="49" t="n">
        <v>0</v>
      </c>
      <c r="H3574" s="0" t="n">
        <v>0</v>
      </c>
      <c r="M3574" s="51" t="s">
        <v>7154</v>
      </c>
      <c r="N3574" s="49" t="n">
        <v>0</v>
      </c>
      <c r="O3574" s="53" t="n">
        <v>45768.3687847222</v>
      </c>
      <c r="P3574" s="53" t="n">
        <v>45778.6068171296</v>
      </c>
      <c r="Q3574" s="53" t="n">
        <v>45768.3687847222</v>
      </c>
      <c r="R3574" s="0" t="n">
        <v>0</v>
      </c>
      <c r="S3574" s="51" t="s">
        <v>2416</v>
      </c>
      <c r="T3574" s="51" t="s">
        <v>2416</v>
      </c>
      <c r="U3574" s="0" t="str">
        <f aca="false">"5060458890191"</f>
        <v>5060458890191</v>
      </c>
      <c r="V3574" s="51" t="s">
        <v>2142</v>
      </c>
      <c r="W3574" s="51" t="s">
        <v>4829</v>
      </c>
      <c r="X3574" s="51" t="s">
        <v>2359</v>
      </c>
    </row>
    <row r="3575" customFormat="false" ht="14.25" hidden="true" customHeight="false" outlineLevel="0" collapsed="false">
      <c r="A3575" s="49" t="s">
        <v>2349</v>
      </c>
      <c r="B3575" s="49" t="s">
        <v>2350</v>
      </c>
      <c r="C3575" s="49" t="s">
        <v>7165</v>
      </c>
      <c r="D3575" s="49" t="s">
        <v>2352</v>
      </c>
      <c r="E3575" s="49" t="str">
        <f aca="false">"5060458890191"</f>
        <v>5060458890191</v>
      </c>
      <c r="F3575" s="49" t="s">
        <v>3656</v>
      </c>
      <c r="G3575" s="49" t="n">
        <v>0</v>
      </c>
      <c r="H3575" s="0" t="n">
        <v>0</v>
      </c>
      <c r="M3575" s="51" t="s">
        <v>7154</v>
      </c>
      <c r="N3575" s="49" t="n">
        <v>0</v>
      </c>
      <c r="O3575" s="53" t="n">
        <v>45768.3686458333</v>
      </c>
      <c r="P3575" s="53" t="n">
        <v>45778.6066666667</v>
      </c>
      <c r="Q3575" s="53" t="n">
        <v>45768.3686458333</v>
      </c>
      <c r="R3575" s="0" t="n">
        <v>0</v>
      </c>
      <c r="S3575" s="51" t="s">
        <v>2416</v>
      </c>
      <c r="T3575" s="51" t="s">
        <v>2416</v>
      </c>
      <c r="U3575" s="0" t="str">
        <f aca="false">"5060458890191"</f>
        <v>5060458890191</v>
      </c>
      <c r="V3575" s="51" t="s">
        <v>2142</v>
      </c>
      <c r="W3575" s="51" t="s">
        <v>6413</v>
      </c>
      <c r="X3575" s="51" t="s">
        <v>2359</v>
      </c>
    </row>
    <row r="3576" customFormat="false" ht="14.25" hidden="true" customHeight="false" outlineLevel="0" collapsed="false">
      <c r="A3576" s="49" t="s">
        <v>2349</v>
      </c>
      <c r="B3576" s="49" t="s">
        <v>2350</v>
      </c>
      <c r="C3576" s="49" t="s">
        <v>7166</v>
      </c>
      <c r="D3576" s="49" t="s">
        <v>2352</v>
      </c>
      <c r="E3576" s="49" t="str">
        <f aca="false">"5060458890191"</f>
        <v>5060458890191</v>
      </c>
      <c r="F3576" s="49" t="s">
        <v>3656</v>
      </c>
      <c r="G3576" s="49" t="n">
        <v>0</v>
      </c>
      <c r="H3576" s="0" t="n">
        <v>0</v>
      </c>
      <c r="M3576" s="51" t="s">
        <v>7154</v>
      </c>
      <c r="N3576" s="49" t="n">
        <v>0</v>
      </c>
      <c r="O3576" s="53" t="n">
        <v>45768.3685185185</v>
      </c>
      <c r="P3576" s="53" t="n">
        <v>45778.6064351852</v>
      </c>
      <c r="Q3576" s="53" t="n">
        <v>45768.3685185185</v>
      </c>
      <c r="R3576" s="0" t="n">
        <v>0</v>
      </c>
      <c r="S3576" s="51" t="s">
        <v>2416</v>
      </c>
      <c r="T3576" s="51" t="s">
        <v>2416</v>
      </c>
      <c r="U3576" s="0" t="str">
        <f aca="false">"5060458890191"</f>
        <v>5060458890191</v>
      </c>
      <c r="V3576" s="51" t="s">
        <v>2142</v>
      </c>
      <c r="W3576" s="51" t="s">
        <v>5428</v>
      </c>
      <c r="X3576" s="51" t="s">
        <v>2359</v>
      </c>
    </row>
    <row r="3577" customFormat="false" ht="14.25" hidden="true" customHeight="false" outlineLevel="0" collapsed="false">
      <c r="A3577" s="49" t="s">
        <v>2349</v>
      </c>
      <c r="B3577" s="49" t="s">
        <v>2350</v>
      </c>
      <c r="C3577" s="49" t="s">
        <v>7167</v>
      </c>
      <c r="D3577" s="49" t="s">
        <v>2352</v>
      </c>
      <c r="E3577" s="49" t="str">
        <f aca="false">"5060458890191"</f>
        <v>5060458890191</v>
      </c>
      <c r="F3577" s="49" t="s">
        <v>3656</v>
      </c>
      <c r="G3577" s="49" t="n">
        <v>0</v>
      </c>
      <c r="H3577" s="0" t="n">
        <v>0</v>
      </c>
      <c r="M3577" s="51" t="s">
        <v>7154</v>
      </c>
      <c r="N3577" s="49" t="n">
        <v>0</v>
      </c>
      <c r="O3577" s="53" t="n">
        <v>45768.3683796296</v>
      </c>
      <c r="P3577" s="53" t="n">
        <v>45778.6065972222</v>
      </c>
      <c r="Q3577" s="53" t="n">
        <v>45768.3683796296</v>
      </c>
      <c r="R3577" s="0" t="n">
        <v>0</v>
      </c>
      <c r="S3577" s="51" t="s">
        <v>2416</v>
      </c>
      <c r="T3577" s="51" t="s">
        <v>2416</v>
      </c>
      <c r="U3577" s="0" t="str">
        <f aca="false">"5060458890191"</f>
        <v>5060458890191</v>
      </c>
      <c r="V3577" s="51" t="s">
        <v>2142</v>
      </c>
      <c r="W3577" s="51" t="s">
        <v>6329</v>
      </c>
      <c r="X3577" s="51" t="s">
        <v>2359</v>
      </c>
    </row>
    <row r="3578" customFormat="false" ht="14.25" hidden="true" customHeight="false" outlineLevel="0" collapsed="false">
      <c r="A3578" s="49" t="s">
        <v>2349</v>
      </c>
      <c r="B3578" s="49" t="s">
        <v>2350</v>
      </c>
      <c r="C3578" s="49" t="s">
        <v>7168</v>
      </c>
      <c r="D3578" s="49" t="s">
        <v>2352</v>
      </c>
      <c r="E3578" s="49" t="str">
        <f aca="false">"5060458890191"</f>
        <v>5060458890191</v>
      </c>
      <c r="F3578" s="49" t="s">
        <v>3656</v>
      </c>
      <c r="G3578" s="49" t="n">
        <v>0</v>
      </c>
      <c r="H3578" s="0" t="n">
        <v>0</v>
      </c>
      <c r="M3578" s="51" t="s">
        <v>7154</v>
      </c>
      <c r="N3578" s="49" t="n">
        <v>0</v>
      </c>
      <c r="O3578" s="53" t="n">
        <v>45768.3681712963</v>
      </c>
      <c r="P3578" s="53" t="n">
        <v>45778.6063773148</v>
      </c>
      <c r="Q3578" s="53" t="n">
        <v>45768.3681712963</v>
      </c>
      <c r="R3578" s="0" t="n">
        <v>0</v>
      </c>
      <c r="S3578" s="51" t="s">
        <v>2416</v>
      </c>
      <c r="T3578" s="51" t="s">
        <v>2416</v>
      </c>
      <c r="U3578" s="0" t="str">
        <f aca="false">"5060458890191"</f>
        <v>5060458890191</v>
      </c>
      <c r="V3578" s="51" t="s">
        <v>2142</v>
      </c>
      <c r="W3578" s="51" t="s">
        <v>4822</v>
      </c>
      <c r="X3578" s="51" t="s">
        <v>2359</v>
      </c>
    </row>
    <row r="3579" customFormat="false" ht="14.25" hidden="true" customHeight="false" outlineLevel="0" collapsed="false">
      <c r="A3579" s="49" t="s">
        <v>2349</v>
      </c>
      <c r="B3579" s="49" t="s">
        <v>2350</v>
      </c>
      <c r="C3579" s="49" t="s">
        <v>7169</v>
      </c>
      <c r="D3579" s="49" t="s">
        <v>2352</v>
      </c>
      <c r="E3579" s="49" t="str">
        <f aca="false">"5060458890191"</f>
        <v>5060458890191</v>
      </c>
      <c r="F3579" s="49" t="s">
        <v>3656</v>
      </c>
      <c r="G3579" s="49" t="n">
        <v>0</v>
      </c>
      <c r="H3579" s="0" t="n">
        <v>0</v>
      </c>
      <c r="M3579" s="51" t="s">
        <v>7154</v>
      </c>
      <c r="N3579" s="49" t="n">
        <v>0</v>
      </c>
      <c r="O3579" s="53" t="n">
        <v>45768.3680439815</v>
      </c>
      <c r="P3579" s="53" t="n">
        <v>45778.6062962963</v>
      </c>
      <c r="Q3579" s="53" t="n">
        <v>45768.3680439815</v>
      </c>
      <c r="R3579" s="0" t="n">
        <v>0</v>
      </c>
      <c r="S3579" s="51" t="s">
        <v>2416</v>
      </c>
      <c r="T3579" s="51" t="s">
        <v>2416</v>
      </c>
      <c r="U3579" s="0" t="str">
        <f aca="false">"5060458890191"</f>
        <v>5060458890191</v>
      </c>
      <c r="V3579" s="51" t="s">
        <v>2142</v>
      </c>
      <c r="W3579" s="51" t="s">
        <v>5617</v>
      </c>
      <c r="X3579" s="51" t="s">
        <v>2359</v>
      </c>
    </row>
    <row r="3580" customFormat="false" ht="14.25" hidden="true" customHeight="false" outlineLevel="0" collapsed="false">
      <c r="A3580" s="49" t="s">
        <v>2349</v>
      </c>
      <c r="B3580" s="49" t="s">
        <v>2350</v>
      </c>
      <c r="C3580" s="49" t="s">
        <v>7170</v>
      </c>
      <c r="D3580" s="49" t="s">
        <v>2352</v>
      </c>
      <c r="E3580" s="49" t="str">
        <f aca="false">"5060458890191"</f>
        <v>5060458890191</v>
      </c>
      <c r="F3580" s="49" t="s">
        <v>3656</v>
      </c>
      <c r="G3580" s="49" t="n">
        <v>0</v>
      </c>
      <c r="H3580" s="0" t="n">
        <v>0</v>
      </c>
      <c r="M3580" s="51" t="s">
        <v>7154</v>
      </c>
      <c r="N3580" s="49" t="n">
        <v>0</v>
      </c>
      <c r="O3580" s="53" t="n">
        <v>45768.3679398148</v>
      </c>
      <c r="P3580" s="53" t="n">
        <v>45778.6062152778</v>
      </c>
      <c r="Q3580" s="53" t="n">
        <v>45768.3679398148</v>
      </c>
      <c r="R3580" s="0" t="n">
        <v>0</v>
      </c>
      <c r="S3580" s="51" t="s">
        <v>2416</v>
      </c>
      <c r="T3580" s="51" t="s">
        <v>2416</v>
      </c>
      <c r="U3580" s="0" t="str">
        <f aca="false">"5060458890191"</f>
        <v>5060458890191</v>
      </c>
      <c r="V3580" s="51" t="s">
        <v>2142</v>
      </c>
      <c r="W3580" s="51" t="s">
        <v>4820</v>
      </c>
      <c r="X3580" s="51" t="s">
        <v>2359</v>
      </c>
    </row>
    <row r="3581" customFormat="false" ht="14.25" hidden="true" customHeight="false" outlineLevel="0" collapsed="false">
      <c r="A3581" s="49" t="s">
        <v>2349</v>
      </c>
      <c r="B3581" s="49" t="s">
        <v>2350</v>
      </c>
      <c r="C3581" s="49" t="s">
        <v>7171</v>
      </c>
      <c r="D3581" s="49" t="s">
        <v>2352</v>
      </c>
      <c r="E3581" s="49" t="str">
        <f aca="false">"5060458890191"</f>
        <v>5060458890191</v>
      </c>
      <c r="F3581" s="49" t="s">
        <v>3656</v>
      </c>
      <c r="G3581" s="49" t="n">
        <v>0</v>
      </c>
      <c r="H3581" s="0" t="n">
        <v>0</v>
      </c>
      <c r="M3581" s="51" t="s">
        <v>7154</v>
      </c>
      <c r="N3581" s="49" t="n">
        <v>0</v>
      </c>
      <c r="O3581" s="53" t="n">
        <v>45768.3678240741</v>
      </c>
      <c r="P3581" s="53" t="n">
        <v>45778.5583217593</v>
      </c>
      <c r="Q3581" s="53" t="n">
        <v>45768.3678240741</v>
      </c>
      <c r="R3581" s="0" t="n">
        <v>0</v>
      </c>
      <c r="S3581" s="51" t="s">
        <v>2416</v>
      </c>
      <c r="T3581" s="51" t="s">
        <v>2416</v>
      </c>
      <c r="U3581" s="0" t="str">
        <f aca="false">"5060458890191"</f>
        <v>5060458890191</v>
      </c>
      <c r="V3581" s="51" t="s">
        <v>2142</v>
      </c>
      <c r="W3581" s="51" t="s">
        <v>6010</v>
      </c>
      <c r="X3581" s="51" t="s">
        <v>2359</v>
      </c>
    </row>
    <row r="3582" customFormat="false" ht="14.25" hidden="true" customHeight="false" outlineLevel="0" collapsed="false">
      <c r="A3582" s="49" t="s">
        <v>2349</v>
      </c>
      <c r="B3582" s="49" t="s">
        <v>2350</v>
      </c>
      <c r="C3582" s="49" t="s">
        <v>7172</v>
      </c>
      <c r="D3582" s="49" t="s">
        <v>2352</v>
      </c>
      <c r="E3582" s="49" t="str">
        <f aca="false">"5060458890191"</f>
        <v>5060458890191</v>
      </c>
      <c r="F3582" s="49" t="s">
        <v>3656</v>
      </c>
      <c r="G3582" s="49" t="n">
        <v>0</v>
      </c>
      <c r="H3582" s="0" t="n">
        <v>0</v>
      </c>
      <c r="M3582" s="51" t="s">
        <v>7154</v>
      </c>
      <c r="N3582" s="49" t="n">
        <v>0</v>
      </c>
      <c r="O3582" s="53" t="n">
        <v>45768.3676851852</v>
      </c>
      <c r="P3582" s="53" t="n">
        <v>45778.5581828704</v>
      </c>
      <c r="Q3582" s="53" t="n">
        <v>45768.3676851852</v>
      </c>
      <c r="R3582" s="0" t="n">
        <v>0</v>
      </c>
      <c r="S3582" s="51" t="s">
        <v>2416</v>
      </c>
      <c r="T3582" s="51" t="s">
        <v>2416</v>
      </c>
      <c r="U3582" s="0" t="str">
        <f aca="false">"5060458890191"</f>
        <v>5060458890191</v>
      </c>
      <c r="V3582" s="51" t="s">
        <v>2142</v>
      </c>
      <c r="W3582" s="51" t="s">
        <v>6017</v>
      </c>
      <c r="X3582" s="51" t="s">
        <v>2359</v>
      </c>
    </row>
    <row r="3583" customFormat="false" ht="14.25" hidden="true" customHeight="false" outlineLevel="0" collapsed="false">
      <c r="A3583" s="49" t="s">
        <v>2349</v>
      </c>
      <c r="B3583" s="49" t="s">
        <v>2350</v>
      </c>
      <c r="C3583" s="49" t="s">
        <v>7173</v>
      </c>
      <c r="D3583" s="49" t="s">
        <v>2352</v>
      </c>
      <c r="E3583" s="49" t="str">
        <f aca="false">"5060458890191"</f>
        <v>5060458890191</v>
      </c>
      <c r="F3583" s="49" t="s">
        <v>3656</v>
      </c>
      <c r="G3583" s="49" t="n">
        <v>0</v>
      </c>
      <c r="H3583" s="0" t="n">
        <v>0</v>
      </c>
      <c r="M3583" s="51" t="s">
        <v>7154</v>
      </c>
      <c r="N3583" s="49" t="n">
        <v>0</v>
      </c>
      <c r="O3583" s="53" t="n">
        <v>45768.3675</v>
      </c>
      <c r="P3583" s="53" t="n">
        <v>45778.6061574074</v>
      </c>
      <c r="Q3583" s="53" t="n">
        <v>45768.3675</v>
      </c>
      <c r="R3583" s="0" t="n">
        <v>0</v>
      </c>
      <c r="S3583" s="51" t="s">
        <v>2416</v>
      </c>
      <c r="T3583" s="51" t="s">
        <v>2416</v>
      </c>
      <c r="U3583" s="0" t="str">
        <f aca="false">"5060458890191"</f>
        <v>5060458890191</v>
      </c>
      <c r="V3583" s="51" t="s">
        <v>2142</v>
      </c>
      <c r="W3583" s="51" t="s">
        <v>6249</v>
      </c>
      <c r="X3583" s="51" t="s">
        <v>2359</v>
      </c>
    </row>
    <row r="3584" customFormat="false" ht="14.25" hidden="true" customHeight="false" outlineLevel="0" collapsed="false">
      <c r="A3584" s="49" t="s">
        <v>2349</v>
      </c>
      <c r="B3584" s="49" t="s">
        <v>2350</v>
      </c>
      <c r="C3584" s="49" t="s">
        <v>7174</v>
      </c>
      <c r="D3584" s="49" t="s">
        <v>2352</v>
      </c>
      <c r="E3584" s="49" t="str">
        <f aca="false">"5060458890191"</f>
        <v>5060458890191</v>
      </c>
      <c r="F3584" s="49" t="s">
        <v>3656</v>
      </c>
      <c r="G3584" s="49" t="n">
        <v>0</v>
      </c>
      <c r="H3584" s="0" t="n">
        <v>0</v>
      </c>
      <c r="M3584" s="51" t="s">
        <v>7154</v>
      </c>
      <c r="N3584" s="49" t="n">
        <v>0</v>
      </c>
      <c r="O3584" s="53" t="n">
        <v>45768.3673726852</v>
      </c>
      <c r="P3584" s="53" t="n">
        <v>45778.5571296296</v>
      </c>
      <c r="Q3584" s="53" t="n">
        <v>45768.3673726852</v>
      </c>
      <c r="R3584" s="0" t="n">
        <v>0</v>
      </c>
      <c r="S3584" s="51" t="s">
        <v>2416</v>
      </c>
      <c r="T3584" s="51" t="s">
        <v>2416</v>
      </c>
      <c r="U3584" s="0" t="str">
        <f aca="false">"5060458890191"</f>
        <v>5060458890191</v>
      </c>
      <c r="V3584" s="51" t="s">
        <v>2142</v>
      </c>
      <c r="W3584" s="51" t="s">
        <v>2421</v>
      </c>
      <c r="X3584" s="51" t="s">
        <v>2359</v>
      </c>
    </row>
    <row r="3585" customFormat="false" ht="14.25" hidden="true" customHeight="false" outlineLevel="0" collapsed="false">
      <c r="A3585" s="49" t="s">
        <v>2349</v>
      </c>
      <c r="B3585" s="49" t="s">
        <v>2350</v>
      </c>
      <c r="C3585" s="49" t="s">
        <v>7175</v>
      </c>
      <c r="D3585" s="49" t="s">
        <v>2352</v>
      </c>
      <c r="E3585" s="49" t="str">
        <f aca="false">"5060458890191"</f>
        <v>5060458890191</v>
      </c>
      <c r="F3585" s="49" t="s">
        <v>3656</v>
      </c>
      <c r="G3585" s="49" t="n">
        <v>0</v>
      </c>
      <c r="H3585" s="0" t="n">
        <v>0</v>
      </c>
      <c r="M3585" s="51" t="s">
        <v>7154</v>
      </c>
      <c r="N3585" s="49" t="n">
        <v>0</v>
      </c>
      <c r="O3585" s="53" t="n">
        <v>45768.3672337963</v>
      </c>
      <c r="P3585" s="53" t="n">
        <v>45778.5560185185</v>
      </c>
      <c r="Q3585" s="53" t="n">
        <v>45768.3672337963</v>
      </c>
      <c r="R3585" s="0" t="n">
        <v>0</v>
      </c>
      <c r="S3585" s="51" t="s">
        <v>2416</v>
      </c>
      <c r="T3585" s="51" t="s">
        <v>2416</v>
      </c>
      <c r="U3585" s="0" t="str">
        <f aca="false">"5060458890191"</f>
        <v>5060458890191</v>
      </c>
      <c r="V3585" s="51" t="s">
        <v>2142</v>
      </c>
      <c r="W3585" s="51" t="s">
        <v>6006</v>
      </c>
      <c r="X3585" s="51" t="s">
        <v>2359</v>
      </c>
    </row>
    <row r="3586" customFormat="false" ht="14.25" hidden="true" customHeight="false" outlineLevel="0" collapsed="false">
      <c r="A3586" s="49" t="s">
        <v>2349</v>
      </c>
      <c r="B3586" s="49" t="s">
        <v>2350</v>
      </c>
      <c r="C3586" s="49" t="s">
        <v>7176</v>
      </c>
      <c r="D3586" s="49" t="s">
        <v>2352</v>
      </c>
      <c r="E3586" s="49" t="str">
        <f aca="false">"5060458890191"</f>
        <v>5060458890191</v>
      </c>
      <c r="F3586" s="49" t="s">
        <v>3656</v>
      </c>
      <c r="G3586" s="49" t="n">
        <v>0</v>
      </c>
      <c r="H3586" s="0" t="n">
        <v>0</v>
      </c>
      <c r="M3586" s="51" t="s">
        <v>7154</v>
      </c>
      <c r="N3586" s="49" t="n">
        <v>0</v>
      </c>
      <c r="O3586" s="53" t="n">
        <v>45768.3671064815</v>
      </c>
      <c r="P3586" s="53" t="n">
        <v>45778.5576851852</v>
      </c>
      <c r="Q3586" s="53" t="n">
        <v>45768.3671064815</v>
      </c>
      <c r="R3586" s="0" t="n">
        <v>0</v>
      </c>
      <c r="S3586" s="51" t="s">
        <v>2416</v>
      </c>
      <c r="T3586" s="51" t="s">
        <v>2416</v>
      </c>
      <c r="U3586" s="0" t="str">
        <f aca="false">"5060458890191"</f>
        <v>5060458890191</v>
      </c>
      <c r="V3586" s="51" t="s">
        <v>2142</v>
      </c>
      <c r="W3586" s="51" t="s">
        <v>6417</v>
      </c>
      <c r="X3586" s="51" t="s">
        <v>2359</v>
      </c>
    </row>
    <row r="3587" customFormat="false" ht="14.25" hidden="true" customHeight="false" outlineLevel="0" collapsed="false">
      <c r="A3587" s="49" t="s">
        <v>2349</v>
      </c>
      <c r="B3587" s="49" t="s">
        <v>2350</v>
      </c>
      <c r="C3587" s="49" t="s">
        <v>7177</v>
      </c>
      <c r="D3587" s="49" t="s">
        <v>2352</v>
      </c>
      <c r="E3587" s="49" t="str">
        <f aca="false">"5060458890191"</f>
        <v>5060458890191</v>
      </c>
      <c r="F3587" s="49" t="s">
        <v>3656</v>
      </c>
      <c r="G3587" s="49" t="n">
        <v>0</v>
      </c>
      <c r="H3587" s="0" t="n">
        <v>0</v>
      </c>
      <c r="M3587" s="51" t="s">
        <v>7154</v>
      </c>
      <c r="N3587" s="49" t="n">
        <v>0</v>
      </c>
      <c r="O3587" s="53" t="n">
        <v>45768.3669907407</v>
      </c>
      <c r="P3587" s="53" t="n">
        <v>45778.5559259259</v>
      </c>
      <c r="Q3587" s="53" t="n">
        <v>45768.3669907407</v>
      </c>
      <c r="R3587" s="0" t="n">
        <v>0</v>
      </c>
      <c r="S3587" s="51" t="s">
        <v>2416</v>
      </c>
      <c r="T3587" s="51" t="s">
        <v>2416</v>
      </c>
      <c r="U3587" s="0" t="str">
        <f aca="false">"5060458890191"</f>
        <v>5060458890191</v>
      </c>
      <c r="V3587" s="51" t="s">
        <v>2142</v>
      </c>
      <c r="W3587" s="51" t="s">
        <v>6008</v>
      </c>
      <c r="X3587" s="51" t="s">
        <v>2359</v>
      </c>
    </row>
    <row r="3588" customFormat="false" ht="14.25" hidden="true" customHeight="false" outlineLevel="0" collapsed="false">
      <c r="A3588" s="49" t="s">
        <v>2349</v>
      </c>
      <c r="B3588" s="49" t="s">
        <v>2350</v>
      </c>
      <c r="C3588" s="49" t="s">
        <v>7178</v>
      </c>
      <c r="D3588" s="49" t="s">
        <v>2352</v>
      </c>
      <c r="E3588" s="49" t="str">
        <f aca="false">"5060458890191"</f>
        <v>5060458890191</v>
      </c>
      <c r="F3588" s="49" t="s">
        <v>3656</v>
      </c>
      <c r="G3588" s="49" t="n">
        <v>0</v>
      </c>
      <c r="H3588" s="0" t="n">
        <v>0</v>
      </c>
      <c r="M3588" s="51" t="s">
        <v>7154</v>
      </c>
      <c r="N3588" s="49" t="n">
        <v>0</v>
      </c>
      <c r="O3588" s="53" t="n">
        <v>45768.3668402778</v>
      </c>
      <c r="P3588" s="53" t="n">
        <v>45778.5556712963</v>
      </c>
      <c r="Q3588" s="53" t="n">
        <v>45768.3668402778</v>
      </c>
      <c r="R3588" s="0" t="n">
        <v>0</v>
      </c>
      <c r="S3588" s="51" t="s">
        <v>2416</v>
      </c>
      <c r="T3588" s="51" t="s">
        <v>2416</v>
      </c>
      <c r="U3588" s="0" t="str">
        <f aca="false">"5060458890191"</f>
        <v>5060458890191</v>
      </c>
      <c r="V3588" s="51" t="s">
        <v>2142</v>
      </c>
      <c r="W3588" s="51" t="s">
        <v>4816</v>
      </c>
      <c r="X3588" s="51" t="s">
        <v>2359</v>
      </c>
    </row>
    <row r="3589" customFormat="false" ht="14.25" hidden="true" customHeight="false" outlineLevel="0" collapsed="false">
      <c r="A3589" s="49" t="s">
        <v>2349</v>
      </c>
      <c r="B3589" s="49" t="s">
        <v>2350</v>
      </c>
      <c r="C3589" s="49" t="s">
        <v>7179</v>
      </c>
      <c r="D3589" s="49" t="s">
        <v>2352</v>
      </c>
      <c r="E3589" s="49" t="str">
        <f aca="false">"5060458890191"</f>
        <v>5060458890191</v>
      </c>
      <c r="F3589" s="49" t="s">
        <v>3656</v>
      </c>
      <c r="G3589" s="49" t="n">
        <v>0</v>
      </c>
      <c r="H3589" s="0" t="n">
        <v>0</v>
      </c>
      <c r="M3589" s="51" t="s">
        <v>7154</v>
      </c>
      <c r="N3589" s="49" t="n">
        <v>0</v>
      </c>
      <c r="O3589" s="53" t="n">
        <v>45768.366724537</v>
      </c>
      <c r="P3589" s="53" t="n">
        <v>45778.5549768519</v>
      </c>
      <c r="Q3589" s="53" t="n">
        <v>45768.366724537</v>
      </c>
      <c r="R3589" s="0" t="n">
        <v>0</v>
      </c>
      <c r="S3589" s="51" t="s">
        <v>2416</v>
      </c>
      <c r="T3589" s="51" t="s">
        <v>2416</v>
      </c>
      <c r="U3589" s="0" t="str">
        <f aca="false">"5060458890191"</f>
        <v>5060458890191</v>
      </c>
      <c r="V3589" s="51" t="s">
        <v>2142</v>
      </c>
      <c r="W3589" s="51" t="s">
        <v>5517</v>
      </c>
      <c r="X3589" s="51" t="s">
        <v>2359</v>
      </c>
    </row>
    <row r="3590" customFormat="false" ht="14.25" hidden="true" customHeight="false" outlineLevel="0" collapsed="false">
      <c r="A3590" s="49" t="s">
        <v>2349</v>
      </c>
      <c r="B3590" s="49" t="s">
        <v>2350</v>
      </c>
      <c r="C3590" s="49" t="s">
        <v>7180</v>
      </c>
      <c r="D3590" s="49" t="s">
        <v>2352</v>
      </c>
      <c r="E3590" s="49" t="str">
        <f aca="false">"5060458890191"</f>
        <v>5060458890191</v>
      </c>
      <c r="F3590" s="49" t="s">
        <v>3656</v>
      </c>
      <c r="G3590" s="49" t="n">
        <v>0</v>
      </c>
      <c r="H3590" s="0" t="n">
        <v>0</v>
      </c>
      <c r="M3590" s="51" t="s">
        <v>7154</v>
      </c>
      <c r="N3590" s="49" t="n">
        <v>0</v>
      </c>
      <c r="O3590" s="53" t="n">
        <v>45768.3665972222</v>
      </c>
      <c r="P3590" s="53" t="n">
        <v>45778.5538425926</v>
      </c>
      <c r="Q3590" s="53" t="n">
        <v>45768.3665972222</v>
      </c>
      <c r="R3590" s="0" t="n">
        <v>0</v>
      </c>
      <c r="S3590" s="51" t="s">
        <v>2416</v>
      </c>
      <c r="T3590" s="51" t="s">
        <v>2416</v>
      </c>
      <c r="U3590" s="0" t="str">
        <f aca="false">"5060458890191"</f>
        <v>5060458890191</v>
      </c>
      <c r="V3590" s="51" t="s">
        <v>2142</v>
      </c>
      <c r="W3590" s="51" t="s">
        <v>4074</v>
      </c>
      <c r="X3590" s="51" t="s">
        <v>2359</v>
      </c>
    </row>
    <row r="3591" customFormat="false" ht="14.25" hidden="true" customHeight="false" outlineLevel="0" collapsed="false">
      <c r="A3591" s="49" t="s">
        <v>2349</v>
      </c>
      <c r="B3591" s="49" t="s">
        <v>2350</v>
      </c>
      <c r="C3591" s="49" t="s">
        <v>7181</v>
      </c>
      <c r="D3591" s="49" t="s">
        <v>2352</v>
      </c>
      <c r="E3591" s="49" t="str">
        <f aca="false">"5060458890191"</f>
        <v>5060458890191</v>
      </c>
      <c r="F3591" s="49" t="s">
        <v>3656</v>
      </c>
      <c r="G3591" s="49" t="n">
        <v>0</v>
      </c>
      <c r="H3591" s="0" t="n">
        <v>0</v>
      </c>
      <c r="M3591" s="51" t="s">
        <v>7154</v>
      </c>
      <c r="N3591" s="49" t="n">
        <v>0</v>
      </c>
      <c r="O3591" s="53" t="n">
        <v>45768.3662615741</v>
      </c>
      <c r="P3591" s="53" t="n">
        <v>45778.5532407407</v>
      </c>
      <c r="Q3591" s="53" t="n">
        <v>45768.3662615741</v>
      </c>
      <c r="R3591" s="0" t="n">
        <v>0</v>
      </c>
      <c r="S3591" s="51" t="s">
        <v>2416</v>
      </c>
      <c r="T3591" s="51" t="s">
        <v>2416</v>
      </c>
      <c r="U3591" s="0" t="str">
        <f aca="false">"5060458890191"</f>
        <v>5060458890191</v>
      </c>
      <c r="V3591" s="51" t="s">
        <v>2142</v>
      </c>
      <c r="W3591" s="51" t="s">
        <v>6000</v>
      </c>
      <c r="X3591" s="51" t="s">
        <v>2359</v>
      </c>
    </row>
    <row r="3592" customFormat="false" ht="14.25" hidden="true" customHeight="false" outlineLevel="0" collapsed="false">
      <c r="A3592" s="49" t="s">
        <v>2349</v>
      </c>
      <c r="B3592" s="49" t="s">
        <v>2350</v>
      </c>
      <c r="C3592" s="49" t="s">
        <v>7182</v>
      </c>
      <c r="D3592" s="49" t="s">
        <v>2352</v>
      </c>
      <c r="E3592" s="49" t="str">
        <f aca="false">"5060458890191"</f>
        <v>5060458890191</v>
      </c>
      <c r="F3592" s="49" t="s">
        <v>3656</v>
      </c>
      <c r="G3592" s="49" t="n">
        <v>0</v>
      </c>
      <c r="H3592" s="0" t="n">
        <v>0</v>
      </c>
      <c r="M3592" s="51" t="s">
        <v>7154</v>
      </c>
      <c r="N3592" s="49" t="n">
        <v>0</v>
      </c>
      <c r="O3592" s="53" t="n">
        <v>45768.3657175926</v>
      </c>
      <c r="P3592" s="53" t="n">
        <v>45778.5527662037</v>
      </c>
      <c r="Q3592" s="53" t="n">
        <v>45768.3657175926</v>
      </c>
      <c r="R3592" s="0" t="n">
        <v>0</v>
      </c>
      <c r="S3592" s="51" t="s">
        <v>2416</v>
      </c>
      <c r="T3592" s="51" t="s">
        <v>2416</v>
      </c>
      <c r="U3592" s="0" t="str">
        <f aca="false">"5060458890191"</f>
        <v>5060458890191</v>
      </c>
      <c r="V3592" s="51" t="s">
        <v>2142</v>
      </c>
      <c r="W3592" s="51" t="s">
        <v>6002</v>
      </c>
      <c r="X3592" s="51" t="s">
        <v>2359</v>
      </c>
    </row>
    <row r="3593" customFormat="false" ht="14.25" hidden="true" customHeight="false" outlineLevel="0" collapsed="false">
      <c r="A3593" s="49" t="s">
        <v>2349</v>
      </c>
      <c r="B3593" s="49" t="s">
        <v>2350</v>
      </c>
      <c r="C3593" s="49" t="s">
        <v>7183</v>
      </c>
      <c r="D3593" s="49" t="s">
        <v>2352</v>
      </c>
      <c r="E3593" s="49" t="str">
        <f aca="false">"5060458890191"</f>
        <v>5060458890191</v>
      </c>
      <c r="F3593" s="49" t="s">
        <v>3656</v>
      </c>
      <c r="G3593" s="49" t="n">
        <v>0</v>
      </c>
      <c r="H3593" s="0" t="n">
        <v>0</v>
      </c>
      <c r="M3593" s="51" t="s">
        <v>7154</v>
      </c>
      <c r="N3593" s="49" t="n">
        <v>0</v>
      </c>
      <c r="O3593" s="53" t="n">
        <v>45768.3664467593</v>
      </c>
      <c r="P3593" s="53" t="n">
        <v>45778.5546412037</v>
      </c>
      <c r="Q3593" s="53" t="n">
        <v>45768.3664467593</v>
      </c>
      <c r="R3593" s="0" t="n">
        <v>0</v>
      </c>
      <c r="S3593" s="51" t="s">
        <v>2416</v>
      </c>
      <c r="T3593" s="51" t="s">
        <v>2416</v>
      </c>
      <c r="U3593" s="0" t="str">
        <f aca="false">"5060458890191"</f>
        <v>5060458890191</v>
      </c>
      <c r="V3593" s="51" t="s">
        <v>2142</v>
      </c>
      <c r="W3593" s="51" t="s">
        <v>6004</v>
      </c>
      <c r="X3593" s="51" t="s">
        <v>2359</v>
      </c>
    </row>
    <row r="3594" customFormat="false" ht="14.25" hidden="true" customHeight="false" outlineLevel="0" collapsed="false">
      <c r="A3594" s="49" t="s">
        <v>2349</v>
      </c>
      <c r="B3594" s="49" t="s">
        <v>2350</v>
      </c>
      <c r="C3594" s="49" t="s">
        <v>7184</v>
      </c>
      <c r="D3594" s="49" t="s">
        <v>2352</v>
      </c>
      <c r="E3594" s="49" t="str">
        <f aca="false">"8908020441040"</f>
        <v>8908020441040</v>
      </c>
      <c r="F3594" s="49" t="s">
        <v>6876</v>
      </c>
      <c r="G3594" s="49" t="n">
        <v>0</v>
      </c>
      <c r="H3594" s="0" t="n">
        <v>0</v>
      </c>
      <c r="M3594" s="0" t="str">
        <f aca="false">"01430"</f>
        <v>01430</v>
      </c>
      <c r="N3594" s="49" t="n">
        <v>0</v>
      </c>
      <c r="O3594" s="53" t="n">
        <v>45770.4238194445</v>
      </c>
      <c r="P3594" s="53" t="n">
        <v>45935.3630324074</v>
      </c>
      <c r="Q3594" s="53" t="n">
        <v>45770.4238194445</v>
      </c>
      <c r="R3594" s="0" t="n">
        <v>0</v>
      </c>
      <c r="S3594" s="51" t="s">
        <v>2356</v>
      </c>
      <c r="T3594" s="51" t="s">
        <v>2356</v>
      </c>
      <c r="U3594" s="0" t="str">
        <f aca="false">"8908020441040"</f>
        <v>8908020441040</v>
      </c>
      <c r="V3594" s="51" t="s">
        <v>5386</v>
      </c>
      <c r="W3594" s="51" t="s">
        <v>3963</v>
      </c>
      <c r="X3594" s="51" t="s">
        <v>2359</v>
      </c>
    </row>
    <row r="3595" customFormat="false" ht="14.25" hidden="true" customHeight="false" outlineLevel="0" collapsed="false">
      <c r="A3595" s="49" t="s">
        <v>2349</v>
      </c>
      <c r="B3595" s="49" t="s">
        <v>2350</v>
      </c>
      <c r="C3595" s="49" t="s">
        <v>7185</v>
      </c>
      <c r="D3595" s="49" t="s">
        <v>2352</v>
      </c>
      <c r="E3595" s="49" t="str">
        <f aca="false">"8908020441040"</f>
        <v>8908020441040</v>
      </c>
      <c r="F3595" s="49" t="s">
        <v>6876</v>
      </c>
      <c r="G3595" s="49" t="n">
        <v>0</v>
      </c>
      <c r="H3595" s="0" t="n">
        <v>0</v>
      </c>
      <c r="M3595" s="0" t="str">
        <f aca="false">"01430"</f>
        <v>01430</v>
      </c>
      <c r="N3595" s="49" t="n">
        <v>0</v>
      </c>
      <c r="O3595" s="53" t="n">
        <v>45770.4239699074</v>
      </c>
      <c r="P3595" s="53" t="n">
        <v>45929.3473611111</v>
      </c>
      <c r="Q3595" s="53" t="n">
        <v>45770.4239699074</v>
      </c>
      <c r="R3595" s="0" t="n">
        <v>0</v>
      </c>
      <c r="S3595" s="51" t="s">
        <v>2356</v>
      </c>
      <c r="T3595" s="51" t="s">
        <v>2356</v>
      </c>
      <c r="U3595" s="0" t="str">
        <f aca="false">"8908020441040"</f>
        <v>8908020441040</v>
      </c>
      <c r="V3595" s="51" t="s">
        <v>5386</v>
      </c>
      <c r="W3595" s="51" t="s">
        <v>3681</v>
      </c>
      <c r="X3595" s="51" t="s">
        <v>2359</v>
      </c>
    </row>
    <row r="3596" customFormat="false" ht="14.25" hidden="true" customHeight="false" outlineLevel="0" collapsed="false">
      <c r="A3596" s="49" t="s">
        <v>2349</v>
      </c>
      <c r="B3596" s="49" t="s">
        <v>2350</v>
      </c>
      <c r="C3596" s="49" t="s">
        <v>7186</v>
      </c>
      <c r="D3596" s="49" t="s">
        <v>2352</v>
      </c>
      <c r="E3596" s="49" t="str">
        <f aca="false">"8908020441040"</f>
        <v>8908020441040</v>
      </c>
      <c r="F3596" s="49" t="s">
        <v>6876</v>
      </c>
      <c r="G3596" s="49" t="n">
        <v>0</v>
      </c>
      <c r="H3596" s="0" t="n">
        <v>0</v>
      </c>
      <c r="M3596" s="0" t="str">
        <f aca="false">"01430"</f>
        <v>01430</v>
      </c>
      <c r="N3596" s="49" t="n">
        <v>0</v>
      </c>
      <c r="O3596" s="53" t="n">
        <v>45770.4241087963</v>
      </c>
      <c r="P3596" s="53" t="n">
        <v>45945.3752662037</v>
      </c>
      <c r="Q3596" s="53" t="n">
        <v>45770.4241087963</v>
      </c>
      <c r="R3596" s="0" t="n">
        <v>0</v>
      </c>
      <c r="S3596" s="51" t="s">
        <v>2356</v>
      </c>
      <c r="T3596" s="51" t="s">
        <v>2356</v>
      </c>
      <c r="U3596" s="0" t="str">
        <f aca="false">"8908020441040"</f>
        <v>8908020441040</v>
      </c>
      <c r="V3596" s="51" t="s">
        <v>5386</v>
      </c>
      <c r="W3596" s="51" t="s">
        <v>7187</v>
      </c>
      <c r="X3596" s="51" t="s">
        <v>2359</v>
      </c>
    </row>
    <row r="3597" customFormat="false" ht="14.25" hidden="true" customHeight="false" outlineLevel="0" collapsed="false">
      <c r="A3597" s="49" t="s">
        <v>2349</v>
      </c>
      <c r="B3597" s="49" t="s">
        <v>2350</v>
      </c>
      <c r="C3597" s="49" t="s">
        <v>7188</v>
      </c>
      <c r="D3597" s="49" t="s">
        <v>2352</v>
      </c>
      <c r="E3597" s="49" t="str">
        <f aca="false">"8908020441040"</f>
        <v>8908020441040</v>
      </c>
      <c r="F3597" s="49" t="s">
        <v>6876</v>
      </c>
      <c r="G3597" s="49" t="n">
        <v>0</v>
      </c>
      <c r="H3597" s="0" t="n">
        <v>0</v>
      </c>
      <c r="M3597" s="0" t="str">
        <f aca="false">"01430"</f>
        <v>01430</v>
      </c>
      <c r="N3597" s="49" t="n">
        <v>0</v>
      </c>
      <c r="O3597" s="53" t="n">
        <v>45770.4242476852</v>
      </c>
      <c r="P3597" s="53" t="n">
        <v>45945.3751157407</v>
      </c>
      <c r="Q3597" s="53" t="n">
        <v>45770.4242476852</v>
      </c>
      <c r="R3597" s="0" t="n">
        <v>0</v>
      </c>
      <c r="S3597" s="51" t="s">
        <v>2356</v>
      </c>
      <c r="T3597" s="51" t="s">
        <v>2356</v>
      </c>
      <c r="U3597" s="0" t="str">
        <f aca="false">"8908020441040"</f>
        <v>8908020441040</v>
      </c>
      <c r="V3597" s="51" t="s">
        <v>5386</v>
      </c>
      <c r="W3597" s="51" t="s">
        <v>5677</v>
      </c>
      <c r="X3597" s="51" t="s">
        <v>2359</v>
      </c>
    </row>
    <row r="3598" customFormat="false" ht="14.25" hidden="true" customHeight="false" outlineLevel="0" collapsed="false">
      <c r="A3598" s="49" t="s">
        <v>2349</v>
      </c>
      <c r="B3598" s="49" t="s">
        <v>2350</v>
      </c>
      <c r="C3598" s="49" t="s">
        <v>7189</v>
      </c>
      <c r="D3598" s="49" t="s">
        <v>2352</v>
      </c>
      <c r="E3598" s="49" t="str">
        <f aca="false">"8908020441040"</f>
        <v>8908020441040</v>
      </c>
      <c r="F3598" s="49" t="s">
        <v>6876</v>
      </c>
      <c r="G3598" s="49" t="n">
        <v>0</v>
      </c>
      <c r="H3598" s="0" t="n">
        <v>0</v>
      </c>
      <c r="M3598" s="0" t="str">
        <f aca="false">"01430"</f>
        <v>01430</v>
      </c>
      <c r="N3598" s="49" t="n">
        <v>0</v>
      </c>
      <c r="O3598" s="53" t="n">
        <v>45770.4236226852</v>
      </c>
      <c r="P3598" s="53" t="n">
        <v>45953.8455092593</v>
      </c>
      <c r="Q3598" s="53" t="n">
        <v>45770.4236226852</v>
      </c>
      <c r="R3598" s="0" t="n">
        <v>0</v>
      </c>
      <c r="S3598" s="51" t="s">
        <v>2356</v>
      </c>
      <c r="T3598" s="51" t="s">
        <v>2356</v>
      </c>
      <c r="U3598" s="0" t="str">
        <f aca="false">"8908020441040"</f>
        <v>8908020441040</v>
      </c>
      <c r="V3598" s="51" t="s">
        <v>5386</v>
      </c>
      <c r="W3598" s="51" t="s">
        <v>3675</v>
      </c>
      <c r="X3598" s="51" t="s">
        <v>2359</v>
      </c>
    </row>
    <row r="3599" customFormat="false" ht="14.25" hidden="true" customHeight="false" outlineLevel="0" collapsed="false">
      <c r="A3599" s="49" t="s">
        <v>2349</v>
      </c>
      <c r="B3599" s="49" t="s">
        <v>2350</v>
      </c>
      <c r="C3599" s="49" t="s">
        <v>7190</v>
      </c>
      <c r="D3599" s="49" t="s">
        <v>2352</v>
      </c>
      <c r="E3599" s="49" t="str">
        <f aca="false">"8908020441040"</f>
        <v>8908020441040</v>
      </c>
      <c r="F3599" s="49" t="s">
        <v>6876</v>
      </c>
      <c r="G3599" s="49" t="n">
        <v>0</v>
      </c>
      <c r="H3599" s="0" t="n">
        <v>0</v>
      </c>
      <c r="M3599" s="0" t="str">
        <f aca="false">"01430"</f>
        <v>01430</v>
      </c>
      <c r="N3599" s="49" t="n">
        <v>0</v>
      </c>
      <c r="O3599" s="53" t="n">
        <v>45770.4233796296</v>
      </c>
      <c r="P3599" s="53" t="n">
        <v>45806.5775231481</v>
      </c>
      <c r="Q3599" s="53" t="n">
        <v>45770.4233796296</v>
      </c>
      <c r="R3599" s="0" t="n">
        <v>0</v>
      </c>
      <c r="S3599" s="51" t="s">
        <v>2356</v>
      </c>
      <c r="T3599" s="51" t="s">
        <v>2356</v>
      </c>
      <c r="U3599" s="0" t="str">
        <f aca="false">"8908020441040"</f>
        <v>8908020441040</v>
      </c>
      <c r="V3599" s="51" t="s">
        <v>5386</v>
      </c>
      <c r="W3599" s="51" t="s">
        <v>4130</v>
      </c>
      <c r="X3599" s="51" t="s">
        <v>2359</v>
      </c>
    </row>
    <row r="3600" customFormat="false" ht="14.25" hidden="true" customHeight="false" outlineLevel="0" collapsed="false">
      <c r="A3600" s="49" t="s">
        <v>2349</v>
      </c>
      <c r="B3600" s="49" t="s">
        <v>2350</v>
      </c>
      <c r="C3600" s="49" t="s">
        <v>7191</v>
      </c>
      <c r="D3600" s="49" t="s">
        <v>2352</v>
      </c>
      <c r="E3600" s="49" t="s">
        <v>7192</v>
      </c>
      <c r="F3600" s="49" t="s">
        <v>7193</v>
      </c>
      <c r="G3600" s="49" t="n">
        <v>0</v>
      </c>
      <c r="H3600" s="0" t="n">
        <v>0</v>
      </c>
      <c r="M3600" s="0" t="str">
        <f aca="false">"01430"</f>
        <v>01430</v>
      </c>
      <c r="N3600" s="49" t="n">
        <v>0</v>
      </c>
      <c r="O3600" s="53" t="n">
        <v>45770.4209027778</v>
      </c>
      <c r="P3600" s="53" t="n">
        <v>45796.4396990741</v>
      </c>
      <c r="Q3600" s="53" t="n">
        <v>45770.4209027778</v>
      </c>
      <c r="R3600" s="0" t="n">
        <v>0</v>
      </c>
      <c r="S3600" s="51" t="s">
        <v>2356</v>
      </c>
      <c r="T3600" s="51" t="s">
        <v>2356</v>
      </c>
      <c r="U3600" s="51" t="s">
        <v>7192</v>
      </c>
      <c r="V3600" s="51" t="s">
        <v>2365</v>
      </c>
      <c r="W3600" s="51" t="s">
        <v>4020</v>
      </c>
      <c r="X3600" s="51" t="s">
        <v>2359</v>
      </c>
    </row>
    <row r="3601" customFormat="false" ht="14.25" hidden="true" customHeight="false" outlineLevel="0" collapsed="false">
      <c r="A3601" s="49" t="s">
        <v>2349</v>
      </c>
      <c r="B3601" s="49" t="s">
        <v>2350</v>
      </c>
      <c r="C3601" s="49" t="s">
        <v>7194</v>
      </c>
      <c r="D3601" s="49" t="s">
        <v>2352</v>
      </c>
      <c r="E3601" s="49" t="s">
        <v>7192</v>
      </c>
      <c r="F3601" s="49" t="s">
        <v>7193</v>
      </c>
      <c r="G3601" s="49" t="n">
        <v>0</v>
      </c>
      <c r="H3601" s="0" t="n">
        <v>0</v>
      </c>
      <c r="M3601" s="0" t="str">
        <f aca="false">"01430"</f>
        <v>01430</v>
      </c>
      <c r="N3601" s="49" t="n">
        <v>0</v>
      </c>
      <c r="O3601" s="53" t="n">
        <v>45770.4214583333</v>
      </c>
      <c r="P3601" s="53" t="n">
        <v>45847.5890625</v>
      </c>
      <c r="Q3601" s="53" t="n">
        <v>45770.4214583333</v>
      </c>
      <c r="R3601" s="0" t="n">
        <v>0</v>
      </c>
      <c r="S3601" s="51" t="s">
        <v>2356</v>
      </c>
      <c r="T3601" s="51" t="s">
        <v>2356</v>
      </c>
      <c r="U3601" s="51" t="s">
        <v>7192</v>
      </c>
      <c r="V3601" s="51" t="s">
        <v>2365</v>
      </c>
      <c r="W3601" s="51" t="s">
        <v>3699</v>
      </c>
      <c r="X3601" s="51" t="s">
        <v>2359</v>
      </c>
    </row>
    <row r="3602" customFormat="false" ht="14.25" hidden="true" customHeight="false" outlineLevel="0" collapsed="false">
      <c r="A3602" s="49" t="s">
        <v>2349</v>
      </c>
      <c r="B3602" s="49" t="s">
        <v>2350</v>
      </c>
      <c r="C3602" s="49" t="s">
        <v>7195</v>
      </c>
      <c r="D3602" s="49" t="s">
        <v>2352</v>
      </c>
      <c r="E3602" s="49" t="s">
        <v>7192</v>
      </c>
      <c r="F3602" s="49" t="s">
        <v>7193</v>
      </c>
      <c r="G3602" s="49" t="n">
        <v>0</v>
      </c>
      <c r="H3602" s="0" t="n">
        <v>0</v>
      </c>
      <c r="M3602" s="0" t="str">
        <f aca="false">"01430"</f>
        <v>01430</v>
      </c>
      <c r="N3602" s="49" t="n">
        <v>0</v>
      </c>
      <c r="O3602" s="53" t="n">
        <v>45770.4218055556</v>
      </c>
      <c r="P3602" s="53" t="n">
        <v>45826.6443981482</v>
      </c>
      <c r="Q3602" s="53" t="n">
        <v>45770.4218055556</v>
      </c>
      <c r="R3602" s="0" t="n">
        <v>0</v>
      </c>
      <c r="S3602" s="51" t="s">
        <v>2356</v>
      </c>
      <c r="T3602" s="51" t="s">
        <v>2356</v>
      </c>
      <c r="U3602" s="51" t="s">
        <v>7192</v>
      </c>
      <c r="V3602" s="51" t="s">
        <v>2365</v>
      </c>
      <c r="W3602" s="51" t="s">
        <v>3683</v>
      </c>
      <c r="X3602" s="51" t="s">
        <v>2359</v>
      </c>
    </row>
    <row r="3603" customFormat="false" ht="14.25" hidden="true" customHeight="false" outlineLevel="0" collapsed="false">
      <c r="A3603" s="49" t="s">
        <v>2349</v>
      </c>
      <c r="B3603" s="49" t="s">
        <v>2350</v>
      </c>
      <c r="C3603" s="49" t="s">
        <v>7196</v>
      </c>
      <c r="D3603" s="49" t="s">
        <v>2352</v>
      </c>
      <c r="E3603" s="49" t="s">
        <v>7192</v>
      </c>
      <c r="F3603" s="49" t="s">
        <v>7193</v>
      </c>
      <c r="G3603" s="49" t="n">
        <v>0</v>
      </c>
      <c r="H3603" s="0" t="n">
        <v>0</v>
      </c>
      <c r="M3603" s="0" t="str">
        <f aca="false">"01430"</f>
        <v>01430</v>
      </c>
      <c r="N3603" s="49" t="n">
        <v>0</v>
      </c>
      <c r="O3603" s="53" t="n">
        <v>45770.4221875</v>
      </c>
      <c r="P3603" s="53" t="n">
        <v>45875.5619328704</v>
      </c>
      <c r="Q3603" s="53" t="n">
        <v>45770.4221875</v>
      </c>
      <c r="R3603" s="0" t="n">
        <v>0</v>
      </c>
      <c r="S3603" s="51" t="s">
        <v>2356</v>
      </c>
      <c r="T3603" s="51" t="s">
        <v>2356</v>
      </c>
      <c r="U3603" s="51" t="s">
        <v>7192</v>
      </c>
      <c r="V3603" s="51" t="s">
        <v>2365</v>
      </c>
      <c r="W3603" s="51" t="s">
        <v>3694</v>
      </c>
      <c r="X3603" s="51" t="s">
        <v>2359</v>
      </c>
    </row>
    <row r="3604" customFormat="false" ht="14.25" hidden="true" customHeight="false" outlineLevel="0" collapsed="false">
      <c r="A3604" s="49" t="s">
        <v>2349</v>
      </c>
      <c r="B3604" s="49" t="s">
        <v>2350</v>
      </c>
      <c r="C3604" s="49" t="s">
        <v>7197</v>
      </c>
      <c r="D3604" s="49" t="s">
        <v>2352</v>
      </c>
      <c r="E3604" s="49" t="s">
        <v>7198</v>
      </c>
      <c r="F3604" s="49" t="s">
        <v>7199</v>
      </c>
      <c r="G3604" s="49" t="n">
        <v>0</v>
      </c>
      <c r="H3604" s="0" t="n">
        <v>0</v>
      </c>
      <c r="M3604" s="51" t="s">
        <v>7200</v>
      </c>
      <c r="N3604" s="49" t="n">
        <v>0</v>
      </c>
      <c r="O3604" s="53" t="n">
        <v>45773.6119675926</v>
      </c>
      <c r="P3604" s="53" t="n">
        <v>45824.8005208333</v>
      </c>
      <c r="Q3604" s="53" t="n">
        <v>45773.6119675926</v>
      </c>
      <c r="R3604" s="0" t="n">
        <v>0</v>
      </c>
      <c r="S3604" s="51" t="s">
        <v>2356</v>
      </c>
      <c r="T3604" s="51" t="s">
        <v>2356</v>
      </c>
      <c r="U3604" s="51" t="s">
        <v>7198</v>
      </c>
      <c r="V3604" s="51" t="s">
        <v>2365</v>
      </c>
      <c r="W3604" s="51" t="s">
        <v>7201</v>
      </c>
      <c r="X3604" s="51" t="s">
        <v>2359</v>
      </c>
    </row>
    <row r="3605" customFormat="false" ht="14.25" hidden="true" customHeight="false" outlineLevel="0" collapsed="false">
      <c r="A3605" s="49" t="s">
        <v>2349</v>
      </c>
      <c r="B3605" s="49" t="s">
        <v>2350</v>
      </c>
      <c r="C3605" s="49" t="s">
        <v>7202</v>
      </c>
      <c r="D3605" s="49" t="s">
        <v>2352</v>
      </c>
      <c r="E3605" s="49" t="s">
        <v>7198</v>
      </c>
      <c r="F3605" s="49" t="s">
        <v>7199</v>
      </c>
      <c r="G3605" s="49" t="n">
        <v>0</v>
      </c>
      <c r="H3605" s="0" t="n">
        <v>0</v>
      </c>
      <c r="M3605" s="51" t="s">
        <v>7200</v>
      </c>
      <c r="N3605" s="49" t="n">
        <v>0</v>
      </c>
      <c r="O3605" s="53" t="n">
        <v>45773.6113773148</v>
      </c>
      <c r="P3605" s="53" t="n">
        <v>45802.6301851852</v>
      </c>
      <c r="Q3605" s="53" t="n">
        <v>45773.6113773148</v>
      </c>
      <c r="R3605" s="0" t="n">
        <v>0</v>
      </c>
      <c r="S3605" s="51" t="s">
        <v>2356</v>
      </c>
      <c r="T3605" s="51" t="s">
        <v>2356</v>
      </c>
      <c r="U3605" s="51" t="s">
        <v>7198</v>
      </c>
      <c r="V3605" s="51" t="s">
        <v>2365</v>
      </c>
      <c r="W3605" s="51" t="s">
        <v>7201</v>
      </c>
      <c r="X3605" s="51" t="s">
        <v>2359</v>
      </c>
    </row>
    <row r="3606" customFormat="false" ht="14.25" hidden="true" customHeight="false" outlineLevel="0" collapsed="false">
      <c r="A3606" s="49" t="s">
        <v>2349</v>
      </c>
      <c r="B3606" s="49" t="s">
        <v>2350</v>
      </c>
      <c r="C3606" s="49" t="s">
        <v>7203</v>
      </c>
      <c r="D3606" s="49" t="s">
        <v>2352</v>
      </c>
      <c r="E3606" s="49" t="s">
        <v>7198</v>
      </c>
      <c r="F3606" s="49" t="s">
        <v>7199</v>
      </c>
      <c r="G3606" s="49" t="n">
        <v>0</v>
      </c>
      <c r="H3606" s="0" t="n">
        <v>0</v>
      </c>
      <c r="M3606" s="51" t="s">
        <v>7200</v>
      </c>
      <c r="N3606" s="49" t="n">
        <v>0</v>
      </c>
      <c r="O3606" s="53" t="n">
        <v>45773.6094907407</v>
      </c>
      <c r="P3606" s="53" t="n">
        <v>45782.482349537</v>
      </c>
      <c r="Q3606" s="53" t="n">
        <v>45773.6094907407</v>
      </c>
      <c r="R3606" s="0" t="n">
        <v>0</v>
      </c>
      <c r="S3606" s="51" t="s">
        <v>2356</v>
      </c>
      <c r="T3606" s="51" t="s">
        <v>2356</v>
      </c>
      <c r="U3606" s="51" t="s">
        <v>7198</v>
      </c>
      <c r="V3606" s="51" t="s">
        <v>2365</v>
      </c>
      <c r="W3606" s="51" t="s">
        <v>7204</v>
      </c>
      <c r="X3606" s="51" t="s">
        <v>2359</v>
      </c>
    </row>
    <row r="3607" customFormat="false" ht="14.25" hidden="true" customHeight="false" outlineLevel="0" collapsed="false">
      <c r="A3607" s="49" t="s">
        <v>2349</v>
      </c>
      <c r="B3607" s="49" t="s">
        <v>2350</v>
      </c>
      <c r="C3607" s="49" t="s">
        <v>7205</v>
      </c>
      <c r="D3607" s="49" t="s">
        <v>2352</v>
      </c>
      <c r="E3607" s="49" t="s">
        <v>7198</v>
      </c>
      <c r="F3607" s="49" t="s">
        <v>7199</v>
      </c>
      <c r="G3607" s="49" t="n">
        <v>0</v>
      </c>
      <c r="H3607" s="0" t="n">
        <v>0</v>
      </c>
      <c r="M3607" s="51" t="s">
        <v>7200</v>
      </c>
      <c r="N3607" s="49" t="n">
        <v>0</v>
      </c>
      <c r="O3607" s="53" t="n">
        <v>45773.6138078704</v>
      </c>
      <c r="P3607" s="53" t="n">
        <v>45773.7423842593</v>
      </c>
      <c r="Q3607" s="53" t="n">
        <v>45773.6138078704</v>
      </c>
      <c r="R3607" s="0" t="n">
        <v>0</v>
      </c>
      <c r="S3607" s="51" t="s">
        <v>2356</v>
      </c>
      <c r="T3607" s="51" t="s">
        <v>2356</v>
      </c>
      <c r="U3607" s="51" t="s">
        <v>7198</v>
      </c>
      <c r="V3607" s="51" t="s">
        <v>2365</v>
      </c>
      <c r="W3607" s="51" t="s">
        <v>7206</v>
      </c>
      <c r="X3607" s="51" t="s">
        <v>2359</v>
      </c>
    </row>
    <row r="3608" customFormat="false" ht="14.25" hidden="true" customHeight="false" outlineLevel="0" collapsed="false">
      <c r="A3608" s="49" t="s">
        <v>2349</v>
      </c>
      <c r="B3608" s="49" t="s">
        <v>2350</v>
      </c>
      <c r="C3608" s="49" t="s">
        <v>7207</v>
      </c>
      <c r="D3608" s="49" t="s">
        <v>2352</v>
      </c>
      <c r="E3608" s="49" t="s">
        <v>7198</v>
      </c>
      <c r="F3608" s="49" t="s">
        <v>7199</v>
      </c>
      <c r="G3608" s="49" t="n">
        <v>0</v>
      </c>
      <c r="H3608" s="0" t="n">
        <v>0</v>
      </c>
      <c r="M3608" s="51" t="s">
        <v>7200</v>
      </c>
      <c r="N3608" s="49" t="n">
        <v>0</v>
      </c>
      <c r="O3608" s="53" t="n">
        <v>45773.6136458333</v>
      </c>
      <c r="P3608" s="53" t="n">
        <v>45773.7420023148</v>
      </c>
      <c r="Q3608" s="53" t="n">
        <v>45773.6136458333</v>
      </c>
      <c r="R3608" s="0" t="n">
        <v>0</v>
      </c>
      <c r="S3608" s="51" t="s">
        <v>2356</v>
      </c>
      <c r="T3608" s="51" t="s">
        <v>2356</v>
      </c>
      <c r="U3608" s="51" t="s">
        <v>7198</v>
      </c>
      <c r="V3608" s="51" t="s">
        <v>2365</v>
      </c>
      <c r="W3608" s="51" t="s">
        <v>6371</v>
      </c>
      <c r="X3608" s="51" t="s">
        <v>2359</v>
      </c>
    </row>
    <row r="3609" customFormat="false" ht="14.25" hidden="true" customHeight="false" outlineLevel="0" collapsed="false">
      <c r="A3609" s="49" t="s">
        <v>2349</v>
      </c>
      <c r="B3609" s="49" t="s">
        <v>2350</v>
      </c>
      <c r="C3609" s="49" t="s">
        <v>7208</v>
      </c>
      <c r="D3609" s="49" t="s">
        <v>2352</v>
      </c>
      <c r="E3609" s="49" t="s">
        <v>7198</v>
      </c>
      <c r="F3609" s="49" t="s">
        <v>7199</v>
      </c>
      <c r="G3609" s="49" t="n">
        <v>0</v>
      </c>
      <c r="H3609" s="0" t="n">
        <v>0</v>
      </c>
      <c r="M3609" s="51" t="s">
        <v>7200</v>
      </c>
      <c r="N3609" s="49" t="n">
        <v>0</v>
      </c>
      <c r="O3609" s="53" t="n">
        <v>45773.6132986111</v>
      </c>
      <c r="P3609" s="53" t="n">
        <v>45773.7434722222</v>
      </c>
      <c r="Q3609" s="53" t="n">
        <v>45773.6132986111</v>
      </c>
      <c r="R3609" s="0" t="n">
        <v>0</v>
      </c>
      <c r="S3609" s="51" t="s">
        <v>2356</v>
      </c>
      <c r="T3609" s="51" t="s">
        <v>2356</v>
      </c>
      <c r="U3609" s="51" t="s">
        <v>7198</v>
      </c>
      <c r="V3609" s="51" t="s">
        <v>2365</v>
      </c>
      <c r="W3609" s="51" t="s">
        <v>7209</v>
      </c>
      <c r="X3609" s="51" t="s">
        <v>2359</v>
      </c>
    </row>
    <row r="3610" customFormat="false" ht="14.25" hidden="true" customHeight="false" outlineLevel="0" collapsed="false">
      <c r="A3610" s="49" t="s">
        <v>2349</v>
      </c>
      <c r="B3610" s="49" t="s">
        <v>2350</v>
      </c>
      <c r="C3610" s="49" t="s">
        <v>7210</v>
      </c>
      <c r="D3610" s="49" t="s">
        <v>2352</v>
      </c>
      <c r="E3610" s="49" t="s">
        <v>7198</v>
      </c>
      <c r="F3610" s="49" t="s">
        <v>7199</v>
      </c>
      <c r="G3610" s="49" t="n">
        <v>0</v>
      </c>
      <c r="H3610" s="0" t="n">
        <v>0</v>
      </c>
      <c r="M3610" s="51" t="s">
        <v>7200</v>
      </c>
      <c r="N3610" s="49" t="n">
        <v>0</v>
      </c>
      <c r="O3610" s="53" t="n">
        <v>45773.6124537037</v>
      </c>
      <c r="P3610" s="53" t="n">
        <v>45773.743587963</v>
      </c>
      <c r="Q3610" s="53" t="n">
        <v>45773.6124537037</v>
      </c>
      <c r="R3610" s="0" t="n">
        <v>0</v>
      </c>
      <c r="S3610" s="51" t="s">
        <v>2356</v>
      </c>
      <c r="T3610" s="51" t="s">
        <v>2356</v>
      </c>
      <c r="U3610" s="51" t="s">
        <v>7198</v>
      </c>
      <c r="V3610" s="51" t="s">
        <v>2365</v>
      </c>
      <c r="W3610" s="51" t="s">
        <v>7211</v>
      </c>
      <c r="X3610" s="51" t="s">
        <v>2359</v>
      </c>
    </row>
    <row r="3611" customFormat="false" ht="14.25" hidden="true" customHeight="false" outlineLevel="0" collapsed="false">
      <c r="A3611" s="49" t="s">
        <v>2349</v>
      </c>
      <c r="B3611" s="49" t="s">
        <v>2350</v>
      </c>
      <c r="C3611" s="49" t="s">
        <v>7212</v>
      </c>
      <c r="D3611" s="49" t="s">
        <v>2352</v>
      </c>
      <c r="E3611" s="49" t="s">
        <v>7198</v>
      </c>
      <c r="F3611" s="49" t="s">
        <v>7199</v>
      </c>
      <c r="G3611" s="49" t="n">
        <v>0</v>
      </c>
      <c r="H3611" s="0" t="n">
        <v>0</v>
      </c>
      <c r="M3611" s="51" t="s">
        <v>7200</v>
      </c>
      <c r="N3611" s="49" t="n">
        <v>0</v>
      </c>
      <c r="O3611" s="53" t="n">
        <v>45773.6122916667</v>
      </c>
      <c r="P3611" s="53" t="n">
        <v>45782.4822453704</v>
      </c>
      <c r="Q3611" s="53" t="n">
        <v>45773.6122916667</v>
      </c>
      <c r="R3611" s="0" t="n">
        <v>0</v>
      </c>
      <c r="S3611" s="51" t="s">
        <v>2356</v>
      </c>
      <c r="T3611" s="51" t="s">
        <v>2356</v>
      </c>
      <c r="U3611" s="51" t="s">
        <v>7198</v>
      </c>
      <c r="V3611" s="51" t="s">
        <v>2365</v>
      </c>
      <c r="W3611" s="51" t="s">
        <v>7213</v>
      </c>
      <c r="X3611" s="51" t="s">
        <v>2359</v>
      </c>
    </row>
    <row r="3612" customFormat="false" ht="14.25" hidden="true" customHeight="false" outlineLevel="0" collapsed="false">
      <c r="A3612" s="49" t="s">
        <v>2349</v>
      </c>
      <c r="B3612" s="49" t="s">
        <v>2350</v>
      </c>
      <c r="C3612" s="49" t="s">
        <v>7214</v>
      </c>
      <c r="D3612" s="49" t="s">
        <v>2352</v>
      </c>
      <c r="E3612" s="49" t="s">
        <v>7198</v>
      </c>
      <c r="F3612" s="49" t="s">
        <v>7199</v>
      </c>
      <c r="G3612" s="49" t="n">
        <v>0</v>
      </c>
      <c r="H3612" s="0" t="n">
        <v>0</v>
      </c>
      <c r="M3612" s="51" t="s">
        <v>7200</v>
      </c>
      <c r="N3612" s="49" t="n">
        <v>0</v>
      </c>
      <c r="O3612" s="53" t="n">
        <v>45773.6174189815</v>
      </c>
      <c r="P3612" s="53" t="n">
        <v>45804.5653587963</v>
      </c>
      <c r="Q3612" s="53" t="n">
        <v>45773.6174189815</v>
      </c>
      <c r="R3612" s="0" t="n">
        <v>0</v>
      </c>
      <c r="S3612" s="51" t="s">
        <v>2356</v>
      </c>
      <c r="T3612" s="51" t="s">
        <v>2356</v>
      </c>
      <c r="U3612" s="51" t="s">
        <v>7198</v>
      </c>
      <c r="V3612" s="51" t="s">
        <v>2365</v>
      </c>
      <c r="W3612" s="51" t="s">
        <v>7215</v>
      </c>
      <c r="X3612" s="51" t="s">
        <v>2359</v>
      </c>
    </row>
    <row r="3613" customFormat="false" ht="14.25" hidden="true" customHeight="false" outlineLevel="0" collapsed="false">
      <c r="A3613" s="49" t="s">
        <v>2349</v>
      </c>
      <c r="B3613" s="49" t="s">
        <v>2350</v>
      </c>
      <c r="C3613" s="49" t="s">
        <v>7216</v>
      </c>
      <c r="D3613" s="49" t="s">
        <v>2352</v>
      </c>
      <c r="E3613" s="49" t="s">
        <v>7198</v>
      </c>
      <c r="F3613" s="49" t="s">
        <v>7199</v>
      </c>
      <c r="G3613" s="49" t="n">
        <v>0</v>
      </c>
      <c r="H3613" s="0" t="n">
        <v>0</v>
      </c>
      <c r="M3613" s="51" t="s">
        <v>7200</v>
      </c>
      <c r="N3613" s="49" t="n">
        <v>0</v>
      </c>
      <c r="O3613" s="53" t="n">
        <v>45773.6171412037</v>
      </c>
      <c r="P3613" s="53" t="n">
        <v>45804.5652893519</v>
      </c>
      <c r="Q3613" s="53" t="n">
        <v>45773.6171412037</v>
      </c>
      <c r="R3613" s="0" t="n">
        <v>0</v>
      </c>
      <c r="S3613" s="51" t="s">
        <v>2356</v>
      </c>
      <c r="T3613" s="51" t="s">
        <v>2356</v>
      </c>
      <c r="U3613" s="51" t="s">
        <v>7198</v>
      </c>
      <c r="V3613" s="51" t="s">
        <v>2365</v>
      </c>
      <c r="W3613" s="51" t="s">
        <v>7217</v>
      </c>
      <c r="X3613" s="51" t="s">
        <v>2359</v>
      </c>
    </row>
    <row r="3614" customFormat="false" ht="14.25" hidden="true" customHeight="false" outlineLevel="0" collapsed="false">
      <c r="A3614" s="49" t="s">
        <v>2349</v>
      </c>
      <c r="B3614" s="49" t="s">
        <v>2350</v>
      </c>
      <c r="C3614" s="49" t="s">
        <v>7218</v>
      </c>
      <c r="D3614" s="49" t="s">
        <v>2352</v>
      </c>
      <c r="E3614" s="49" t="s">
        <v>7198</v>
      </c>
      <c r="F3614" s="49" t="s">
        <v>7199</v>
      </c>
      <c r="G3614" s="49" t="n">
        <v>0</v>
      </c>
      <c r="H3614" s="0" t="n">
        <v>0</v>
      </c>
      <c r="M3614" s="51" t="s">
        <v>7200</v>
      </c>
      <c r="N3614" s="49" t="n">
        <v>0</v>
      </c>
      <c r="O3614" s="53" t="n">
        <v>45773.6170023148</v>
      </c>
      <c r="P3614" s="53" t="n">
        <v>45778.6848726852</v>
      </c>
      <c r="Q3614" s="53" t="n">
        <v>45773.6170023148</v>
      </c>
      <c r="R3614" s="0" t="n">
        <v>0</v>
      </c>
      <c r="S3614" s="51" t="s">
        <v>2356</v>
      </c>
      <c r="T3614" s="51" t="s">
        <v>2356</v>
      </c>
      <c r="U3614" s="51" t="s">
        <v>7198</v>
      </c>
      <c r="V3614" s="51" t="s">
        <v>2365</v>
      </c>
      <c r="W3614" s="51" t="s">
        <v>7219</v>
      </c>
      <c r="X3614" s="51" t="s">
        <v>2359</v>
      </c>
    </row>
    <row r="3615" customFormat="false" ht="14.25" hidden="true" customHeight="false" outlineLevel="0" collapsed="false">
      <c r="A3615" s="49" t="s">
        <v>2349</v>
      </c>
      <c r="B3615" s="49" t="s">
        <v>2350</v>
      </c>
      <c r="C3615" s="49" t="s">
        <v>7220</v>
      </c>
      <c r="D3615" s="49" t="s">
        <v>2352</v>
      </c>
      <c r="E3615" s="49" t="s">
        <v>7198</v>
      </c>
      <c r="F3615" s="49" t="s">
        <v>7199</v>
      </c>
      <c r="G3615" s="49" t="n">
        <v>0</v>
      </c>
      <c r="H3615" s="0" t="n">
        <v>0</v>
      </c>
      <c r="M3615" s="51" t="s">
        <v>7200</v>
      </c>
      <c r="N3615" s="49" t="n">
        <v>0</v>
      </c>
      <c r="O3615" s="53" t="n">
        <v>45773.6168634259</v>
      </c>
      <c r="P3615" s="53" t="n">
        <v>45824.8005902778</v>
      </c>
      <c r="Q3615" s="53" t="n">
        <v>45773.6168634259</v>
      </c>
      <c r="R3615" s="0" t="n">
        <v>0</v>
      </c>
      <c r="S3615" s="51" t="s">
        <v>2356</v>
      </c>
      <c r="T3615" s="51" t="s">
        <v>2356</v>
      </c>
      <c r="U3615" s="51" t="s">
        <v>7198</v>
      </c>
      <c r="V3615" s="51" t="s">
        <v>2365</v>
      </c>
      <c r="W3615" s="51" t="s">
        <v>7221</v>
      </c>
      <c r="X3615" s="51" t="s">
        <v>2359</v>
      </c>
    </row>
    <row r="3616" customFormat="false" ht="14.25" hidden="true" customHeight="false" outlineLevel="0" collapsed="false">
      <c r="A3616" s="49" t="s">
        <v>2349</v>
      </c>
      <c r="B3616" s="49" t="s">
        <v>2350</v>
      </c>
      <c r="C3616" s="49" t="s">
        <v>7222</v>
      </c>
      <c r="D3616" s="49" t="s">
        <v>2352</v>
      </c>
      <c r="E3616" s="49" t="s">
        <v>7198</v>
      </c>
      <c r="F3616" s="49" t="s">
        <v>7199</v>
      </c>
      <c r="G3616" s="49" t="n">
        <v>0</v>
      </c>
      <c r="H3616" s="0" t="n">
        <v>0</v>
      </c>
      <c r="M3616" s="51" t="s">
        <v>7200</v>
      </c>
      <c r="N3616" s="49" t="n">
        <v>0</v>
      </c>
      <c r="O3616" s="53" t="n">
        <v>45773.616712963</v>
      </c>
      <c r="P3616" s="53" t="n">
        <v>45804.5654513889</v>
      </c>
      <c r="Q3616" s="53" t="n">
        <v>45773.616712963</v>
      </c>
      <c r="R3616" s="0" t="n">
        <v>0</v>
      </c>
      <c r="S3616" s="51" t="s">
        <v>2356</v>
      </c>
      <c r="T3616" s="51" t="s">
        <v>2356</v>
      </c>
      <c r="U3616" s="51" t="s">
        <v>7198</v>
      </c>
      <c r="V3616" s="51" t="s">
        <v>2365</v>
      </c>
      <c r="W3616" s="51" t="s">
        <v>7223</v>
      </c>
      <c r="X3616" s="51" t="s">
        <v>2359</v>
      </c>
    </row>
    <row r="3617" customFormat="false" ht="14.25" hidden="true" customHeight="false" outlineLevel="0" collapsed="false">
      <c r="A3617" s="49" t="s">
        <v>2349</v>
      </c>
      <c r="B3617" s="49" t="s">
        <v>2350</v>
      </c>
      <c r="C3617" s="49" t="s">
        <v>7224</v>
      </c>
      <c r="D3617" s="49" t="s">
        <v>2352</v>
      </c>
      <c r="E3617" s="49" t="s">
        <v>7198</v>
      </c>
      <c r="F3617" s="49" t="s">
        <v>7199</v>
      </c>
      <c r="G3617" s="49" t="n">
        <v>0</v>
      </c>
      <c r="H3617" s="0" t="n">
        <v>0</v>
      </c>
      <c r="M3617" s="51" t="s">
        <v>7200</v>
      </c>
      <c r="N3617" s="49" t="n">
        <v>0</v>
      </c>
      <c r="O3617" s="53" t="n">
        <v>45773.6165856481</v>
      </c>
      <c r="P3617" s="53" t="n">
        <v>45777.3050462963</v>
      </c>
      <c r="Q3617" s="53" t="n">
        <v>45773.6165856481</v>
      </c>
      <c r="R3617" s="0" t="n">
        <v>0</v>
      </c>
      <c r="S3617" s="51" t="s">
        <v>2356</v>
      </c>
      <c r="T3617" s="51" t="s">
        <v>2356</v>
      </c>
      <c r="U3617" s="51" t="s">
        <v>7198</v>
      </c>
      <c r="V3617" s="51" t="s">
        <v>2365</v>
      </c>
      <c r="W3617" s="51" t="s">
        <v>7225</v>
      </c>
      <c r="X3617" s="51" t="s">
        <v>2359</v>
      </c>
    </row>
    <row r="3618" customFormat="false" ht="14.25" hidden="true" customHeight="false" outlineLevel="0" collapsed="false">
      <c r="A3618" s="49" t="s">
        <v>2349</v>
      </c>
      <c r="B3618" s="49" t="s">
        <v>2350</v>
      </c>
      <c r="C3618" s="49" t="s">
        <v>7226</v>
      </c>
      <c r="D3618" s="49" t="s">
        <v>2352</v>
      </c>
      <c r="E3618" s="49" t="s">
        <v>7198</v>
      </c>
      <c r="F3618" s="49" t="s">
        <v>7199</v>
      </c>
      <c r="G3618" s="49" t="n">
        <v>0</v>
      </c>
      <c r="H3618" s="0" t="n">
        <v>0</v>
      </c>
      <c r="M3618" s="51" t="s">
        <v>7200</v>
      </c>
      <c r="N3618" s="49" t="n">
        <v>0</v>
      </c>
      <c r="O3618" s="53" t="n">
        <v>45773.6164467593</v>
      </c>
      <c r="P3618" s="53" t="n">
        <v>45782.482650463</v>
      </c>
      <c r="Q3618" s="53" t="n">
        <v>45773.6164467593</v>
      </c>
      <c r="R3618" s="0" t="n">
        <v>0</v>
      </c>
      <c r="S3618" s="51" t="s">
        <v>2356</v>
      </c>
      <c r="T3618" s="51" t="s">
        <v>2356</v>
      </c>
      <c r="U3618" s="51" t="s">
        <v>7198</v>
      </c>
      <c r="V3618" s="51" t="s">
        <v>2365</v>
      </c>
      <c r="W3618" s="51" t="s">
        <v>7227</v>
      </c>
      <c r="X3618" s="51" t="s">
        <v>2359</v>
      </c>
    </row>
    <row r="3619" customFormat="false" ht="14.25" hidden="true" customHeight="false" outlineLevel="0" collapsed="false">
      <c r="A3619" s="49" t="s">
        <v>2349</v>
      </c>
      <c r="B3619" s="49" t="s">
        <v>2350</v>
      </c>
      <c r="C3619" s="49" t="s">
        <v>7228</v>
      </c>
      <c r="D3619" s="49" t="s">
        <v>2352</v>
      </c>
      <c r="E3619" s="49" t="s">
        <v>7198</v>
      </c>
      <c r="F3619" s="49" t="s">
        <v>7199</v>
      </c>
      <c r="G3619" s="49" t="n">
        <v>0</v>
      </c>
      <c r="H3619" s="0" t="n">
        <v>0</v>
      </c>
      <c r="M3619" s="51" t="s">
        <v>7200</v>
      </c>
      <c r="N3619" s="49" t="n">
        <v>0</v>
      </c>
      <c r="O3619" s="53" t="n">
        <v>45773.6163310185</v>
      </c>
      <c r="P3619" s="53" t="n">
        <v>45778.6865277778</v>
      </c>
      <c r="Q3619" s="53" t="n">
        <v>45773.6163310185</v>
      </c>
      <c r="R3619" s="0" t="n">
        <v>0</v>
      </c>
      <c r="S3619" s="51" t="s">
        <v>2356</v>
      </c>
      <c r="T3619" s="51" t="s">
        <v>2356</v>
      </c>
      <c r="U3619" s="51" t="s">
        <v>7198</v>
      </c>
      <c r="V3619" s="51" t="s">
        <v>2365</v>
      </c>
      <c r="W3619" s="51" t="s">
        <v>7229</v>
      </c>
      <c r="X3619" s="51" t="s">
        <v>2359</v>
      </c>
    </row>
    <row r="3620" customFormat="false" ht="14.25" hidden="true" customHeight="false" outlineLevel="0" collapsed="false">
      <c r="A3620" s="49" t="s">
        <v>2349</v>
      </c>
      <c r="B3620" s="49" t="s">
        <v>2350</v>
      </c>
      <c r="C3620" s="49" t="s">
        <v>7230</v>
      </c>
      <c r="D3620" s="49" t="s">
        <v>2352</v>
      </c>
      <c r="E3620" s="49" t="s">
        <v>7198</v>
      </c>
      <c r="F3620" s="49" t="s">
        <v>7199</v>
      </c>
      <c r="G3620" s="49" t="n">
        <v>0</v>
      </c>
      <c r="H3620" s="0" t="n">
        <v>0</v>
      </c>
      <c r="M3620" s="51" t="s">
        <v>7200</v>
      </c>
      <c r="N3620" s="49" t="n">
        <v>0</v>
      </c>
      <c r="O3620" s="53" t="n">
        <v>45773.6161226852</v>
      </c>
      <c r="P3620" s="53" t="n">
        <v>45778.6860763889</v>
      </c>
      <c r="Q3620" s="53" t="n">
        <v>45773.6161226852</v>
      </c>
      <c r="R3620" s="0" t="n">
        <v>0</v>
      </c>
      <c r="S3620" s="51" t="s">
        <v>2356</v>
      </c>
      <c r="T3620" s="51" t="s">
        <v>2356</v>
      </c>
      <c r="U3620" s="51" t="s">
        <v>7198</v>
      </c>
      <c r="V3620" s="51" t="s">
        <v>2365</v>
      </c>
      <c r="W3620" s="51" t="s">
        <v>7231</v>
      </c>
      <c r="X3620" s="51" t="s">
        <v>2359</v>
      </c>
    </row>
    <row r="3621" customFormat="false" ht="14.25" hidden="true" customHeight="false" outlineLevel="0" collapsed="false">
      <c r="A3621" s="49" t="s">
        <v>2349</v>
      </c>
      <c r="B3621" s="49" t="s">
        <v>2350</v>
      </c>
      <c r="C3621" s="49" t="s">
        <v>7232</v>
      </c>
      <c r="D3621" s="49" t="s">
        <v>2352</v>
      </c>
      <c r="E3621" s="49" t="s">
        <v>7198</v>
      </c>
      <c r="F3621" s="49" t="s">
        <v>7199</v>
      </c>
      <c r="G3621" s="49" t="n">
        <v>0</v>
      </c>
      <c r="H3621" s="0" t="n">
        <v>0</v>
      </c>
      <c r="M3621" s="51" t="s">
        <v>7200</v>
      </c>
      <c r="N3621" s="49" t="n">
        <v>0</v>
      </c>
      <c r="O3621" s="53" t="n">
        <v>45773.6158217593</v>
      </c>
      <c r="P3621" s="53" t="n">
        <v>45778.685787037</v>
      </c>
      <c r="Q3621" s="53" t="n">
        <v>45773.6158217593</v>
      </c>
      <c r="R3621" s="0" t="n">
        <v>0</v>
      </c>
      <c r="S3621" s="51" t="s">
        <v>2356</v>
      </c>
      <c r="T3621" s="51" t="s">
        <v>2356</v>
      </c>
      <c r="U3621" s="51" t="s">
        <v>7198</v>
      </c>
      <c r="V3621" s="51" t="s">
        <v>2365</v>
      </c>
      <c r="W3621" s="51" t="s">
        <v>7233</v>
      </c>
      <c r="X3621" s="51" t="s">
        <v>2359</v>
      </c>
    </row>
    <row r="3622" customFormat="false" ht="14.25" hidden="true" customHeight="false" outlineLevel="0" collapsed="false">
      <c r="A3622" s="49" t="s">
        <v>2349</v>
      </c>
      <c r="B3622" s="49" t="s">
        <v>2350</v>
      </c>
      <c r="C3622" s="49" t="s">
        <v>7234</v>
      </c>
      <c r="D3622" s="49" t="s">
        <v>2352</v>
      </c>
      <c r="E3622" s="49" t="s">
        <v>7198</v>
      </c>
      <c r="F3622" s="49" t="s">
        <v>7199</v>
      </c>
      <c r="G3622" s="49" t="n">
        <v>0</v>
      </c>
      <c r="H3622" s="0" t="n">
        <v>0</v>
      </c>
      <c r="M3622" s="51" t="s">
        <v>7200</v>
      </c>
      <c r="N3622" s="49" t="n">
        <v>0</v>
      </c>
      <c r="O3622" s="53" t="n">
        <v>45773.6156712963</v>
      </c>
      <c r="P3622" s="53" t="n">
        <v>45778.6853935185</v>
      </c>
      <c r="Q3622" s="53" t="n">
        <v>45773.6156712963</v>
      </c>
      <c r="R3622" s="0" t="n">
        <v>0</v>
      </c>
      <c r="S3622" s="51" t="s">
        <v>2356</v>
      </c>
      <c r="T3622" s="51" t="s">
        <v>2356</v>
      </c>
      <c r="U3622" s="51" t="s">
        <v>7198</v>
      </c>
      <c r="V3622" s="51" t="s">
        <v>2365</v>
      </c>
      <c r="W3622" s="51" t="s">
        <v>7219</v>
      </c>
      <c r="X3622" s="51" t="s">
        <v>2359</v>
      </c>
    </row>
    <row r="3623" customFormat="false" ht="14.25" hidden="true" customHeight="false" outlineLevel="0" collapsed="false">
      <c r="A3623" s="49" t="s">
        <v>2349</v>
      </c>
      <c r="B3623" s="49" t="s">
        <v>2350</v>
      </c>
      <c r="C3623" s="49" t="s">
        <v>7235</v>
      </c>
      <c r="D3623" s="49" t="s">
        <v>2352</v>
      </c>
      <c r="E3623" s="49" t="s">
        <v>7198</v>
      </c>
      <c r="F3623" s="49" t="s">
        <v>7199</v>
      </c>
      <c r="G3623" s="49" t="n">
        <v>0</v>
      </c>
      <c r="H3623" s="0" t="n">
        <v>0</v>
      </c>
      <c r="M3623" s="51" t="s">
        <v>7200</v>
      </c>
      <c r="N3623" s="49" t="n">
        <v>0</v>
      </c>
      <c r="O3623" s="53" t="n">
        <v>45773.6155092593</v>
      </c>
      <c r="P3623" s="53" t="n">
        <v>45778.6846064815</v>
      </c>
      <c r="Q3623" s="53" t="n">
        <v>45773.6155092593</v>
      </c>
      <c r="R3623" s="0" t="n">
        <v>0</v>
      </c>
      <c r="S3623" s="51" t="s">
        <v>2356</v>
      </c>
      <c r="T3623" s="51" t="s">
        <v>2356</v>
      </c>
      <c r="U3623" s="51" t="s">
        <v>7198</v>
      </c>
      <c r="V3623" s="51" t="s">
        <v>2365</v>
      </c>
      <c r="W3623" s="51" t="s">
        <v>7236</v>
      </c>
      <c r="X3623" s="51" t="s">
        <v>2359</v>
      </c>
    </row>
    <row r="3624" customFormat="false" ht="14.25" hidden="true" customHeight="false" outlineLevel="0" collapsed="false">
      <c r="A3624" s="49" t="s">
        <v>2349</v>
      </c>
      <c r="B3624" s="49" t="s">
        <v>2350</v>
      </c>
      <c r="C3624" s="49" t="s">
        <v>7237</v>
      </c>
      <c r="D3624" s="49" t="s">
        <v>2352</v>
      </c>
      <c r="E3624" s="49" t="s">
        <v>4351</v>
      </c>
      <c r="F3624" s="49" t="s">
        <v>4352</v>
      </c>
      <c r="G3624" s="49" t="n">
        <v>0</v>
      </c>
      <c r="H3624" s="0" t="n">
        <v>0</v>
      </c>
      <c r="M3624" s="51" t="s">
        <v>7238</v>
      </c>
      <c r="N3624" s="49" t="n">
        <v>0</v>
      </c>
      <c r="O3624" s="53" t="n">
        <v>45773.7101041667</v>
      </c>
      <c r="P3624" s="53" t="n">
        <v>45773.7430671296</v>
      </c>
      <c r="Q3624" s="53" t="n">
        <v>45773.7101041667</v>
      </c>
      <c r="R3624" s="0" t="n">
        <v>0</v>
      </c>
      <c r="S3624" s="51" t="s">
        <v>2356</v>
      </c>
      <c r="T3624" s="51" t="s">
        <v>2356</v>
      </c>
      <c r="U3624" s="51" t="s">
        <v>4351</v>
      </c>
      <c r="V3624" s="51" t="s">
        <v>2365</v>
      </c>
      <c r="W3624" s="51" t="s">
        <v>7239</v>
      </c>
      <c r="X3624" s="51" t="s">
        <v>2359</v>
      </c>
    </row>
    <row r="3625" customFormat="false" ht="14.25" hidden="true" customHeight="false" outlineLevel="0" collapsed="false">
      <c r="A3625" s="49" t="s">
        <v>2349</v>
      </c>
      <c r="B3625" s="49" t="s">
        <v>2350</v>
      </c>
      <c r="C3625" s="49" t="s">
        <v>7240</v>
      </c>
      <c r="D3625" s="49" t="s">
        <v>2352</v>
      </c>
      <c r="E3625" s="49" t="s">
        <v>4351</v>
      </c>
      <c r="F3625" s="49" t="s">
        <v>4352</v>
      </c>
      <c r="G3625" s="49" t="n">
        <v>0</v>
      </c>
      <c r="H3625" s="0" t="n">
        <v>0</v>
      </c>
      <c r="M3625" s="51" t="s">
        <v>7238</v>
      </c>
      <c r="N3625" s="49" t="n">
        <v>0</v>
      </c>
      <c r="O3625" s="53" t="n">
        <v>45773.7096643519</v>
      </c>
      <c r="P3625" s="53" t="n">
        <v>45773.743275463</v>
      </c>
      <c r="Q3625" s="53" t="n">
        <v>45773.7096643519</v>
      </c>
      <c r="R3625" s="0" t="n">
        <v>0</v>
      </c>
      <c r="S3625" s="51" t="s">
        <v>2356</v>
      </c>
      <c r="T3625" s="51" t="s">
        <v>2356</v>
      </c>
      <c r="U3625" s="51" t="s">
        <v>4351</v>
      </c>
      <c r="V3625" s="51" t="s">
        <v>2365</v>
      </c>
      <c r="W3625" s="51" t="s">
        <v>7239</v>
      </c>
      <c r="X3625" s="51" t="s">
        <v>2359</v>
      </c>
    </row>
    <row r="3626" customFormat="false" ht="14.25" hidden="true" customHeight="false" outlineLevel="0" collapsed="false">
      <c r="A3626" s="49" t="s">
        <v>2349</v>
      </c>
      <c r="B3626" s="49" t="s">
        <v>2350</v>
      </c>
      <c r="C3626" s="49" t="s">
        <v>7241</v>
      </c>
      <c r="D3626" s="49" t="s">
        <v>2352</v>
      </c>
      <c r="E3626" s="49" t="s">
        <v>4351</v>
      </c>
      <c r="F3626" s="49" t="s">
        <v>4352</v>
      </c>
      <c r="G3626" s="49" t="n">
        <v>0</v>
      </c>
      <c r="H3626" s="0" t="n">
        <v>0</v>
      </c>
      <c r="M3626" s="51" t="s">
        <v>7238</v>
      </c>
      <c r="N3626" s="49" t="n">
        <v>0</v>
      </c>
      <c r="O3626" s="53" t="n">
        <v>45773.7091782407</v>
      </c>
      <c r="P3626" s="53" t="n">
        <v>45773.7429050926</v>
      </c>
      <c r="Q3626" s="53" t="n">
        <v>45773.7091782407</v>
      </c>
      <c r="R3626" s="0" t="n">
        <v>0</v>
      </c>
      <c r="S3626" s="51" t="s">
        <v>2356</v>
      </c>
      <c r="T3626" s="51" t="s">
        <v>2356</v>
      </c>
      <c r="U3626" s="51" t="s">
        <v>4351</v>
      </c>
      <c r="V3626" s="51" t="s">
        <v>2365</v>
      </c>
      <c r="W3626" s="51" t="s">
        <v>7242</v>
      </c>
      <c r="X3626" s="51" t="s">
        <v>2359</v>
      </c>
    </row>
    <row r="3627" customFormat="false" ht="14.25" hidden="true" customHeight="false" outlineLevel="0" collapsed="false">
      <c r="A3627" s="49" t="s">
        <v>2349</v>
      </c>
      <c r="B3627" s="49" t="s">
        <v>2350</v>
      </c>
      <c r="C3627" s="49" t="s">
        <v>7243</v>
      </c>
      <c r="D3627" s="49" t="s">
        <v>2352</v>
      </c>
      <c r="E3627" s="49" t="s">
        <v>4351</v>
      </c>
      <c r="F3627" s="49" t="s">
        <v>4352</v>
      </c>
      <c r="G3627" s="49" t="n">
        <v>0</v>
      </c>
      <c r="H3627" s="0" t="n">
        <v>0</v>
      </c>
      <c r="M3627" s="51" t="s">
        <v>7238</v>
      </c>
      <c r="N3627" s="49" t="n">
        <v>0</v>
      </c>
      <c r="O3627" s="53" t="n">
        <v>45773.7086226852</v>
      </c>
      <c r="P3627" s="53" t="n">
        <v>45773.7427314815</v>
      </c>
      <c r="Q3627" s="53" t="n">
        <v>45773.7086226852</v>
      </c>
      <c r="R3627" s="0" t="n">
        <v>0</v>
      </c>
      <c r="S3627" s="51" t="s">
        <v>2356</v>
      </c>
      <c r="T3627" s="51" t="s">
        <v>2356</v>
      </c>
      <c r="U3627" s="51" t="s">
        <v>4351</v>
      </c>
      <c r="V3627" s="51" t="s">
        <v>2365</v>
      </c>
      <c r="W3627" s="51" t="s">
        <v>7242</v>
      </c>
      <c r="X3627" s="51" t="s">
        <v>2359</v>
      </c>
    </row>
    <row r="3628" customFormat="false" ht="14.25" hidden="true" customHeight="false" outlineLevel="0" collapsed="false">
      <c r="A3628" s="49" t="s">
        <v>2349</v>
      </c>
      <c r="B3628" s="49" t="s">
        <v>2350</v>
      </c>
      <c r="C3628" s="49" t="s">
        <v>7244</v>
      </c>
      <c r="D3628" s="49" t="s">
        <v>2352</v>
      </c>
      <c r="E3628" s="49" t="s">
        <v>4351</v>
      </c>
      <c r="F3628" s="49" t="s">
        <v>4352</v>
      </c>
      <c r="G3628" s="49" t="n">
        <v>0</v>
      </c>
      <c r="H3628" s="0" t="n">
        <v>0</v>
      </c>
      <c r="M3628" s="51" t="s">
        <v>7238</v>
      </c>
      <c r="N3628" s="49" t="n">
        <v>0</v>
      </c>
      <c r="O3628" s="53" t="n">
        <v>45773.708125</v>
      </c>
      <c r="P3628" s="53" t="n">
        <v>45773.7425925926</v>
      </c>
      <c r="Q3628" s="53" t="n">
        <v>45773.708125</v>
      </c>
      <c r="R3628" s="0" t="n">
        <v>0</v>
      </c>
      <c r="S3628" s="51" t="s">
        <v>2356</v>
      </c>
      <c r="T3628" s="51" t="s">
        <v>2356</v>
      </c>
      <c r="U3628" s="51" t="s">
        <v>4351</v>
      </c>
      <c r="V3628" s="51" t="s">
        <v>2365</v>
      </c>
      <c r="W3628" s="51" t="s">
        <v>7245</v>
      </c>
      <c r="X3628" s="51" t="s">
        <v>2359</v>
      </c>
    </row>
    <row r="3629" customFormat="false" ht="14.25" hidden="true" customHeight="false" outlineLevel="0" collapsed="false">
      <c r="A3629" s="49" t="s">
        <v>2349</v>
      </c>
      <c r="B3629" s="49" t="s">
        <v>2350</v>
      </c>
      <c r="C3629" s="49" t="s">
        <v>7246</v>
      </c>
      <c r="D3629" s="49" t="s">
        <v>2352</v>
      </c>
      <c r="E3629" s="49" t="s">
        <v>4351</v>
      </c>
      <c r="F3629" s="49" t="s">
        <v>4352</v>
      </c>
      <c r="G3629" s="49" t="n">
        <v>0</v>
      </c>
      <c r="H3629" s="0" t="n">
        <v>0</v>
      </c>
      <c r="M3629" s="51" t="s">
        <v>7238</v>
      </c>
      <c r="N3629" s="49" t="n">
        <v>0</v>
      </c>
      <c r="O3629" s="53" t="n">
        <v>45773.707650463</v>
      </c>
      <c r="P3629" s="53" t="n">
        <v>45773.7421759259</v>
      </c>
      <c r="Q3629" s="53" t="n">
        <v>45773.707650463</v>
      </c>
      <c r="R3629" s="0" t="n">
        <v>0</v>
      </c>
      <c r="S3629" s="51" t="s">
        <v>2356</v>
      </c>
      <c r="T3629" s="51" t="s">
        <v>2356</v>
      </c>
      <c r="U3629" s="51" t="s">
        <v>4351</v>
      </c>
      <c r="V3629" s="51" t="s">
        <v>2365</v>
      </c>
      <c r="W3629" s="51" t="s">
        <v>7247</v>
      </c>
      <c r="X3629" s="51" t="s">
        <v>2359</v>
      </c>
    </row>
    <row r="3630" customFormat="false" ht="14.25" hidden="true" customHeight="false" outlineLevel="0" collapsed="false">
      <c r="A3630" s="49" t="s">
        <v>2349</v>
      </c>
      <c r="B3630" s="49" t="s">
        <v>2350</v>
      </c>
      <c r="C3630" s="49" t="s">
        <v>7248</v>
      </c>
      <c r="D3630" s="49" t="s">
        <v>2352</v>
      </c>
      <c r="E3630" s="49" t="s">
        <v>4351</v>
      </c>
      <c r="F3630" s="49" t="s">
        <v>4352</v>
      </c>
      <c r="G3630" s="49" t="n">
        <v>0</v>
      </c>
      <c r="H3630" s="0" t="n">
        <v>0</v>
      </c>
      <c r="M3630" s="51" t="s">
        <v>7238</v>
      </c>
      <c r="N3630" s="49" t="n">
        <v>0</v>
      </c>
      <c r="O3630" s="53" t="n">
        <v>45773.7014467593</v>
      </c>
      <c r="P3630" s="53" t="n">
        <v>45802.6300925926</v>
      </c>
      <c r="Q3630" s="53" t="n">
        <v>45773.7014467593</v>
      </c>
      <c r="R3630" s="0" t="n">
        <v>0</v>
      </c>
      <c r="S3630" s="51" t="s">
        <v>2356</v>
      </c>
      <c r="T3630" s="51" t="s">
        <v>2356</v>
      </c>
      <c r="U3630" s="51" t="s">
        <v>4351</v>
      </c>
      <c r="V3630" s="51" t="s">
        <v>2365</v>
      </c>
      <c r="W3630" s="51" t="s">
        <v>4367</v>
      </c>
      <c r="X3630" s="51" t="s">
        <v>2359</v>
      </c>
    </row>
    <row r="3631" customFormat="false" ht="14.25" hidden="true" customHeight="false" outlineLevel="0" collapsed="false">
      <c r="A3631" s="49" t="s">
        <v>2349</v>
      </c>
      <c r="B3631" s="49" t="s">
        <v>2350</v>
      </c>
      <c r="C3631" s="49" t="s">
        <v>7249</v>
      </c>
      <c r="D3631" s="49" t="s">
        <v>2352</v>
      </c>
      <c r="E3631" s="49" t="s">
        <v>4351</v>
      </c>
      <c r="F3631" s="49" t="s">
        <v>4352</v>
      </c>
      <c r="G3631" s="49" t="n">
        <v>0</v>
      </c>
      <c r="H3631" s="0" t="n">
        <v>0</v>
      </c>
      <c r="M3631" s="51" t="s">
        <v>7238</v>
      </c>
      <c r="N3631" s="49" t="n">
        <v>0</v>
      </c>
      <c r="O3631" s="53" t="n">
        <v>45773.7009143519</v>
      </c>
      <c r="P3631" s="53" t="n">
        <v>45782.4817013889</v>
      </c>
      <c r="Q3631" s="53" t="n">
        <v>45773.7009143519</v>
      </c>
      <c r="R3631" s="0" t="n">
        <v>0</v>
      </c>
      <c r="S3631" s="51" t="s">
        <v>2356</v>
      </c>
      <c r="T3631" s="51" t="s">
        <v>2356</v>
      </c>
      <c r="U3631" s="51" t="s">
        <v>4351</v>
      </c>
      <c r="V3631" s="51" t="s">
        <v>2365</v>
      </c>
      <c r="W3631" s="51" t="s">
        <v>4931</v>
      </c>
      <c r="X3631" s="51" t="s">
        <v>2359</v>
      </c>
    </row>
    <row r="3632" customFormat="false" ht="14.25" hidden="true" customHeight="false" outlineLevel="0" collapsed="false">
      <c r="A3632" s="49" t="s">
        <v>2349</v>
      </c>
      <c r="B3632" s="49" t="s">
        <v>2350</v>
      </c>
      <c r="C3632" s="49" t="s">
        <v>7250</v>
      </c>
      <c r="D3632" s="49" t="s">
        <v>2352</v>
      </c>
      <c r="E3632" s="49" t="s">
        <v>4351</v>
      </c>
      <c r="F3632" s="49" t="s">
        <v>4352</v>
      </c>
      <c r="G3632" s="49" t="n">
        <v>0</v>
      </c>
      <c r="H3632" s="0" t="n">
        <v>0</v>
      </c>
      <c r="M3632" s="51" t="s">
        <v>7238</v>
      </c>
      <c r="N3632" s="49" t="n">
        <v>0</v>
      </c>
      <c r="O3632" s="53" t="n">
        <v>45773.7005208333</v>
      </c>
      <c r="P3632" s="53" t="n">
        <v>45782.4815625</v>
      </c>
      <c r="Q3632" s="53" t="n">
        <v>45773.7005208333</v>
      </c>
      <c r="R3632" s="0" t="n">
        <v>0</v>
      </c>
      <c r="S3632" s="51" t="s">
        <v>2356</v>
      </c>
      <c r="T3632" s="51" t="s">
        <v>2356</v>
      </c>
      <c r="U3632" s="51" t="s">
        <v>4351</v>
      </c>
      <c r="V3632" s="51" t="s">
        <v>2365</v>
      </c>
      <c r="W3632" s="51" t="s">
        <v>7251</v>
      </c>
      <c r="X3632" s="51" t="s">
        <v>2359</v>
      </c>
    </row>
    <row r="3633" customFormat="false" ht="14.25" hidden="true" customHeight="false" outlineLevel="0" collapsed="false">
      <c r="A3633" s="49" t="s">
        <v>2349</v>
      </c>
      <c r="B3633" s="49" t="s">
        <v>2350</v>
      </c>
      <c r="C3633" s="49" t="s">
        <v>7252</v>
      </c>
      <c r="D3633" s="49" t="s">
        <v>2352</v>
      </c>
      <c r="E3633" s="49" t="s">
        <v>4351</v>
      </c>
      <c r="F3633" s="49" t="s">
        <v>4352</v>
      </c>
      <c r="G3633" s="49" t="n">
        <v>0</v>
      </c>
      <c r="H3633" s="0" t="n">
        <v>0</v>
      </c>
      <c r="M3633" s="51" t="s">
        <v>7238</v>
      </c>
      <c r="N3633" s="49" t="n">
        <v>0</v>
      </c>
      <c r="O3633" s="53" t="n">
        <v>45773.7000462963</v>
      </c>
      <c r="P3633" s="53" t="n">
        <v>45782.4814930556</v>
      </c>
      <c r="Q3633" s="53" t="n">
        <v>45773.7000462963</v>
      </c>
      <c r="R3633" s="0" t="n">
        <v>0</v>
      </c>
      <c r="S3633" s="51" t="s">
        <v>2356</v>
      </c>
      <c r="T3633" s="51" t="s">
        <v>2356</v>
      </c>
      <c r="U3633" s="51" t="s">
        <v>4351</v>
      </c>
      <c r="V3633" s="51" t="s">
        <v>2365</v>
      </c>
      <c r="W3633" s="51" t="s">
        <v>4588</v>
      </c>
      <c r="X3633" s="51" t="s">
        <v>2359</v>
      </c>
    </row>
    <row r="3634" customFormat="false" ht="14.25" hidden="true" customHeight="false" outlineLevel="0" collapsed="false">
      <c r="A3634" s="49" t="s">
        <v>2349</v>
      </c>
      <c r="B3634" s="49" t="s">
        <v>2350</v>
      </c>
      <c r="C3634" s="49" t="s">
        <v>7253</v>
      </c>
      <c r="D3634" s="49" t="s">
        <v>2352</v>
      </c>
      <c r="E3634" s="49" t="s">
        <v>4351</v>
      </c>
      <c r="F3634" s="49" t="s">
        <v>4352</v>
      </c>
      <c r="G3634" s="49" t="n">
        <v>0</v>
      </c>
      <c r="H3634" s="0" t="n">
        <v>0</v>
      </c>
      <c r="M3634" s="51" t="s">
        <v>7238</v>
      </c>
      <c r="N3634" s="49" t="n">
        <v>0</v>
      </c>
      <c r="O3634" s="53" t="n">
        <v>45773.698912037</v>
      </c>
      <c r="P3634" s="53" t="n">
        <v>45782.4816319444</v>
      </c>
      <c r="Q3634" s="53" t="n">
        <v>45773.698912037</v>
      </c>
      <c r="R3634" s="0" t="n">
        <v>0</v>
      </c>
      <c r="S3634" s="51" t="s">
        <v>2356</v>
      </c>
      <c r="T3634" s="51" t="s">
        <v>2356</v>
      </c>
      <c r="U3634" s="51" t="s">
        <v>4351</v>
      </c>
      <c r="V3634" s="51" t="s">
        <v>2365</v>
      </c>
      <c r="W3634" s="51" t="s">
        <v>4146</v>
      </c>
      <c r="X3634" s="51" t="s">
        <v>2359</v>
      </c>
    </row>
    <row r="3635" customFormat="false" ht="14.25" hidden="true" customHeight="false" outlineLevel="0" collapsed="false">
      <c r="A3635" s="49" t="s">
        <v>2349</v>
      </c>
      <c r="B3635" s="49" t="s">
        <v>2350</v>
      </c>
      <c r="C3635" s="49" t="s">
        <v>7254</v>
      </c>
      <c r="D3635" s="49" t="s">
        <v>2352</v>
      </c>
      <c r="E3635" s="49" t="s">
        <v>4351</v>
      </c>
      <c r="F3635" s="49" t="s">
        <v>4352</v>
      </c>
      <c r="G3635" s="49" t="n">
        <v>0</v>
      </c>
      <c r="H3635" s="0" t="n">
        <v>0</v>
      </c>
      <c r="M3635" s="51" t="s">
        <v>7238</v>
      </c>
      <c r="N3635" s="49" t="n">
        <v>0</v>
      </c>
      <c r="O3635" s="53" t="n">
        <v>45773.711724537</v>
      </c>
      <c r="P3635" s="53" t="n">
        <v>45794.5490509259</v>
      </c>
      <c r="Q3635" s="53" t="n">
        <v>45773.711724537</v>
      </c>
      <c r="R3635" s="0" t="n">
        <v>0</v>
      </c>
      <c r="S3635" s="51" t="s">
        <v>2356</v>
      </c>
      <c r="T3635" s="51" t="s">
        <v>2356</v>
      </c>
      <c r="U3635" s="51" t="s">
        <v>4351</v>
      </c>
      <c r="V3635" s="51" t="s">
        <v>2365</v>
      </c>
      <c r="W3635" s="51" t="s">
        <v>5137</v>
      </c>
      <c r="X3635" s="51" t="s">
        <v>2359</v>
      </c>
    </row>
    <row r="3636" customFormat="false" ht="14.25" hidden="true" customHeight="false" outlineLevel="0" collapsed="false">
      <c r="A3636" s="49" t="s">
        <v>2349</v>
      </c>
      <c r="B3636" s="49" t="s">
        <v>2350</v>
      </c>
      <c r="C3636" s="49" t="s">
        <v>7255</v>
      </c>
      <c r="D3636" s="49" t="s">
        <v>2352</v>
      </c>
      <c r="E3636" s="49" t="s">
        <v>4351</v>
      </c>
      <c r="F3636" s="49" t="s">
        <v>4352</v>
      </c>
      <c r="G3636" s="49" t="n">
        <v>0</v>
      </c>
      <c r="H3636" s="0" t="n">
        <v>0</v>
      </c>
      <c r="M3636" s="51" t="s">
        <v>7238</v>
      </c>
      <c r="N3636" s="49" t="n">
        <v>0</v>
      </c>
      <c r="O3636" s="53" t="n">
        <v>45773.7113888889</v>
      </c>
      <c r="P3636" s="53" t="n">
        <v>45777.3106481481</v>
      </c>
      <c r="Q3636" s="53" t="n">
        <v>45773.7113888889</v>
      </c>
      <c r="R3636" s="0" t="n">
        <v>0</v>
      </c>
      <c r="S3636" s="51" t="s">
        <v>2356</v>
      </c>
      <c r="T3636" s="51" t="s">
        <v>2356</v>
      </c>
      <c r="U3636" s="51" t="s">
        <v>4351</v>
      </c>
      <c r="V3636" s="51" t="s">
        <v>2365</v>
      </c>
      <c r="W3636" s="51" t="s">
        <v>7256</v>
      </c>
      <c r="X3636" s="51" t="s">
        <v>2359</v>
      </c>
    </row>
    <row r="3637" customFormat="false" ht="14.25" hidden="true" customHeight="false" outlineLevel="0" collapsed="false">
      <c r="A3637" s="49" t="s">
        <v>2349</v>
      </c>
      <c r="B3637" s="49" t="s">
        <v>2350</v>
      </c>
      <c r="C3637" s="49" t="s">
        <v>7257</v>
      </c>
      <c r="D3637" s="49" t="s">
        <v>2352</v>
      </c>
      <c r="E3637" s="49" t="s">
        <v>4351</v>
      </c>
      <c r="F3637" s="49" t="s">
        <v>4352</v>
      </c>
      <c r="G3637" s="49" t="n">
        <v>0</v>
      </c>
      <c r="H3637" s="0" t="n">
        <v>0</v>
      </c>
      <c r="M3637" s="51" t="s">
        <v>7238</v>
      </c>
      <c r="N3637" s="49" t="n">
        <v>0</v>
      </c>
      <c r="O3637" s="53" t="n">
        <v>45773.7110532407</v>
      </c>
      <c r="P3637" s="53" t="n">
        <v>45777.6228703704</v>
      </c>
      <c r="Q3637" s="53" t="n">
        <v>45773.7110532407</v>
      </c>
      <c r="R3637" s="0" t="n">
        <v>0</v>
      </c>
      <c r="S3637" s="51" t="s">
        <v>2356</v>
      </c>
      <c r="T3637" s="51" t="s">
        <v>2356</v>
      </c>
      <c r="U3637" s="51" t="s">
        <v>4351</v>
      </c>
      <c r="V3637" s="51" t="s">
        <v>2365</v>
      </c>
      <c r="W3637" s="51" t="s">
        <v>7258</v>
      </c>
      <c r="X3637" s="51" t="s">
        <v>2359</v>
      </c>
    </row>
    <row r="3638" customFormat="false" ht="14.25" hidden="true" customHeight="false" outlineLevel="0" collapsed="false">
      <c r="A3638" s="49" t="s">
        <v>2349</v>
      </c>
      <c r="B3638" s="49" t="s">
        <v>2350</v>
      </c>
      <c r="C3638" s="49" t="s">
        <v>7259</v>
      </c>
      <c r="D3638" s="49" t="s">
        <v>2352</v>
      </c>
      <c r="E3638" s="49" t="s">
        <v>4351</v>
      </c>
      <c r="F3638" s="49" t="s">
        <v>4352</v>
      </c>
      <c r="G3638" s="49" t="n">
        <v>0</v>
      </c>
      <c r="H3638" s="0" t="n">
        <v>0</v>
      </c>
      <c r="M3638" s="51" t="s">
        <v>7238</v>
      </c>
      <c r="N3638" s="49" t="n">
        <v>0</v>
      </c>
      <c r="O3638" s="53" t="n">
        <v>45773.7106712963</v>
      </c>
      <c r="P3638" s="53" t="n">
        <v>45777.6236226852</v>
      </c>
      <c r="Q3638" s="53" t="n">
        <v>45773.7106712963</v>
      </c>
      <c r="R3638" s="0" t="n">
        <v>0</v>
      </c>
      <c r="S3638" s="51" t="s">
        <v>2356</v>
      </c>
      <c r="T3638" s="51" t="s">
        <v>2356</v>
      </c>
      <c r="U3638" s="51" t="s">
        <v>4351</v>
      </c>
      <c r="V3638" s="51" t="s">
        <v>2365</v>
      </c>
      <c r="W3638" s="51" t="s">
        <v>5983</v>
      </c>
      <c r="X3638" s="51" t="s">
        <v>2359</v>
      </c>
    </row>
    <row r="3639" customFormat="false" ht="14.25" hidden="true" customHeight="false" outlineLevel="0" collapsed="false">
      <c r="A3639" s="49" t="s">
        <v>2349</v>
      </c>
      <c r="B3639" s="49" t="s">
        <v>2350</v>
      </c>
      <c r="C3639" s="49" t="s">
        <v>7260</v>
      </c>
      <c r="D3639" s="49" t="s">
        <v>2352</v>
      </c>
      <c r="E3639" s="49" t="s">
        <v>4351</v>
      </c>
      <c r="F3639" s="49" t="s">
        <v>4352</v>
      </c>
      <c r="G3639" s="49" t="n">
        <v>0</v>
      </c>
      <c r="H3639" s="0" t="n">
        <v>0</v>
      </c>
      <c r="M3639" s="51" t="s">
        <v>7238</v>
      </c>
      <c r="N3639" s="49" t="n">
        <v>0</v>
      </c>
      <c r="O3639" s="53" t="n">
        <v>45773.7071296296</v>
      </c>
      <c r="P3639" s="53" t="n">
        <v>45802.6299537037</v>
      </c>
      <c r="Q3639" s="53" t="n">
        <v>45773.7071296296</v>
      </c>
      <c r="R3639" s="0" t="n">
        <v>0</v>
      </c>
      <c r="S3639" s="51" t="s">
        <v>2356</v>
      </c>
      <c r="T3639" s="51" t="s">
        <v>2356</v>
      </c>
      <c r="U3639" s="51" t="s">
        <v>4351</v>
      </c>
      <c r="V3639" s="51" t="s">
        <v>2365</v>
      </c>
      <c r="W3639" s="51" t="s">
        <v>4171</v>
      </c>
      <c r="X3639" s="51" t="s">
        <v>2359</v>
      </c>
    </row>
    <row r="3640" customFormat="false" ht="14.25" hidden="true" customHeight="false" outlineLevel="0" collapsed="false">
      <c r="A3640" s="49" t="s">
        <v>2349</v>
      </c>
      <c r="B3640" s="49" t="s">
        <v>2350</v>
      </c>
      <c r="C3640" s="49" t="s">
        <v>7261</v>
      </c>
      <c r="D3640" s="49" t="s">
        <v>2352</v>
      </c>
      <c r="E3640" s="49" t="s">
        <v>4351</v>
      </c>
      <c r="F3640" s="49" t="s">
        <v>4352</v>
      </c>
      <c r="G3640" s="49" t="n">
        <v>0</v>
      </c>
      <c r="H3640" s="0" t="n">
        <v>0</v>
      </c>
      <c r="M3640" s="51" t="s">
        <v>7238</v>
      </c>
      <c r="N3640" s="49" t="n">
        <v>0</v>
      </c>
      <c r="O3640" s="53" t="n">
        <v>45773.7066782407</v>
      </c>
      <c r="P3640" s="53" t="n">
        <v>45794.5487268519</v>
      </c>
      <c r="Q3640" s="53" t="n">
        <v>45773.7066782407</v>
      </c>
      <c r="R3640" s="0" t="n">
        <v>0</v>
      </c>
      <c r="S3640" s="51" t="s">
        <v>2356</v>
      </c>
      <c r="T3640" s="51" t="s">
        <v>2356</v>
      </c>
      <c r="U3640" s="51" t="s">
        <v>4351</v>
      </c>
      <c r="V3640" s="51" t="s">
        <v>2365</v>
      </c>
      <c r="W3640" s="51" t="s">
        <v>5756</v>
      </c>
      <c r="X3640" s="51" t="s">
        <v>2359</v>
      </c>
    </row>
    <row r="3641" customFormat="false" ht="14.25" hidden="true" customHeight="false" outlineLevel="0" collapsed="false">
      <c r="A3641" s="49" t="s">
        <v>2349</v>
      </c>
      <c r="B3641" s="49" t="s">
        <v>2350</v>
      </c>
      <c r="C3641" s="49" t="s">
        <v>7262</v>
      </c>
      <c r="D3641" s="49" t="s">
        <v>2352</v>
      </c>
      <c r="E3641" s="49" t="s">
        <v>4351</v>
      </c>
      <c r="F3641" s="49" t="s">
        <v>4352</v>
      </c>
      <c r="G3641" s="49" t="n">
        <v>0</v>
      </c>
      <c r="H3641" s="0" t="n">
        <v>0</v>
      </c>
      <c r="M3641" s="51" t="s">
        <v>7238</v>
      </c>
      <c r="N3641" s="49" t="n">
        <v>0</v>
      </c>
      <c r="O3641" s="53" t="n">
        <v>45773.7062615741</v>
      </c>
      <c r="P3641" s="53" t="n">
        <v>45777.3105787037</v>
      </c>
      <c r="Q3641" s="53" t="n">
        <v>45773.7062615741</v>
      </c>
      <c r="R3641" s="0" t="n">
        <v>0</v>
      </c>
      <c r="S3641" s="51" t="s">
        <v>2356</v>
      </c>
      <c r="T3641" s="51" t="s">
        <v>2356</v>
      </c>
      <c r="U3641" s="51" t="s">
        <v>4351</v>
      </c>
      <c r="V3641" s="51" t="s">
        <v>2365</v>
      </c>
      <c r="W3641" s="51" t="s">
        <v>5157</v>
      </c>
      <c r="X3641" s="51" t="s">
        <v>2359</v>
      </c>
    </row>
    <row r="3642" customFormat="false" ht="14.25" hidden="true" customHeight="false" outlineLevel="0" collapsed="false">
      <c r="A3642" s="49" t="s">
        <v>2349</v>
      </c>
      <c r="B3642" s="49" t="s">
        <v>2350</v>
      </c>
      <c r="C3642" s="49" t="s">
        <v>7263</v>
      </c>
      <c r="D3642" s="49" t="s">
        <v>2352</v>
      </c>
      <c r="E3642" s="49" t="s">
        <v>4351</v>
      </c>
      <c r="F3642" s="49" t="s">
        <v>4352</v>
      </c>
      <c r="G3642" s="49" t="n">
        <v>0</v>
      </c>
      <c r="H3642" s="0" t="n">
        <v>0</v>
      </c>
      <c r="M3642" s="51" t="s">
        <v>7238</v>
      </c>
      <c r="N3642" s="49" t="n">
        <v>0</v>
      </c>
      <c r="O3642" s="53" t="n">
        <v>45773.7058564815</v>
      </c>
      <c r="P3642" s="53" t="n">
        <v>45794.5478009259</v>
      </c>
      <c r="Q3642" s="53" t="n">
        <v>45773.7058564815</v>
      </c>
      <c r="R3642" s="0" t="n">
        <v>0</v>
      </c>
      <c r="S3642" s="51" t="s">
        <v>2356</v>
      </c>
      <c r="T3642" s="51" t="s">
        <v>2356</v>
      </c>
      <c r="U3642" s="51" t="s">
        <v>4351</v>
      </c>
      <c r="V3642" s="51" t="s">
        <v>2365</v>
      </c>
      <c r="W3642" s="51" t="s">
        <v>3749</v>
      </c>
      <c r="X3642" s="51" t="s">
        <v>2359</v>
      </c>
    </row>
    <row r="3643" customFormat="false" ht="14.25" hidden="true" customHeight="false" outlineLevel="0" collapsed="false">
      <c r="A3643" s="49" t="s">
        <v>2349</v>
      </c>
      <c r="B3643" s="49" t="s">
        <v>2350</v>
      </c>
      <c r="C3643" s="49" t="s">
        <v>7264</v>
      </c>
      <c r="D3643" s="49" t="s">
        <v>2352</v>
      </c>
      <c r="E3643" s="49" t="s">
        <v>4351</v>
      </c>
      <c r="F3643" s="49" t="s">
        <v>4352</v>
      </c>
      <c r="G3643" s="49" t="n">
        <v>0</v>
      </c>
      <c r="H3643" s="0" t="n">
        <v>0</v>
      </c>
      <c r="M3643" s="51" t="s">
        <v>7238</v>
      </c>
      <c r="N3643" s="49" t="n">
        <v>0</v>
      </c>
      <c r="O3643" s="53" t="n">
        <v>45773.7053009259</v>
      </c>
      <c r="P3643" s="53" t="n">
        <v>45795.4956828704</v>
      </c>
      <c r="Q3643" s="53" t="n">
        <v>45773.7053009259</v>
      </c>
      <c r="R3643" s="0" t="n">
        <v>0</v>
      </c>
      <c r="S3643" s="51" t="s">
        <v>2356</v>
      </c>
      <c r="T3643" s="51" t="s">
        <v>2356</v>
      </c>
      <c r="U3643" s="51" t="s">
        <v>4351</v>
      </c>
      <c r="V3643" s="51" t="s">
        <v>2365</v>
      </c>
      <c r="W3643" s="51" t="s">
        <v>7265</v>
      </c>
      <c r="X3643" s="51" t="s">
        <v>2359</v>
      </c>
    </row>
    <row r="3644" customFormat="false" ht="14.25" hidden="true" customHeight="false" outlineLevel="0" collapsed="false">
      <c r="A3644" s="49" t="s">
        <v>2349</v>
      </c>
      <c r="B3644" s="49" t="s">
        <v>2350</v>
      </c>
      <c r="C3644" s="49" t="s">
        <v>7266</v>
      </c>
      <c r="D3644" s="49" t="s">
        <v>2352</v>
      </c>
      <c r="E3644" s="49" t="s">
        <v>4351</v>
      </c>
      <c r="F3644" s="49" t="s">
        <v>4352</v>
      </c>
      <c r="G3644" s="49" t="n">
        <v>0</v>
      </c>
      <c r="H3644" s="0" t="n">
        <v>0</v>
      </c>
      <c r="M3644" s="51" t="s">
        <v>7267</v>
      </c>
      <c r="N3644" s="49" t="n">
        <v>0</v>
      </c>
      <c r="O3644" s="53" t="n">
        <v>45774.6351041667</v>
      </c>
      <c r="P3644" s="53" t="n">
        <v>45778.6975462963</v>
      </c>
      <c r="Q3644" s="53" t="n">
        <v>45774.6351041667</v>
      </c>
      <c r="R3644" s="0" t="n">
        <v>0</v>
      </c>
      <c r="S3644" s="51" t="s">
        <v>2356</v>
      </c>
      <c r="T3644" s="51" t="s">
        <v>2356</v>
      </c>
      <c r="U3644" s="51" t="s">
        <v>4351</v>
      </c>
      <c r="V3644" s="51" t="s">
        <v>2365</v>
      </c>
      <c r="W3644" s="51" t="s">
        <v>7268</v>
      </c>
      <c r="X3644" s="51" t="s">
        <v>2359</v>
      </c>
    </row>
    <row r="3645" customFormat="false" ht="14.25" hidden="true" customHeight="false" outlineLevel="0" collapsed="false">
      <c r="A3645" s="49" t="s">
        <v>2349</v>
      </c>
      <c r="B3645" s="49" t="s">
        <v>2350</v>
      </c>
      <c r="C3645" s="49" t="s">
        <v>7269</v>
      </c>
      <c r="D3645" s="49" t="s">
        <v>2352</v>
      </c>
      <c r="E3645" s="49" t="s">
        <v>4351</v>
      </c>
      <c r="F3645" s="49" t="s">
        <v>4352</v>
      </c>
      <c r="G3645" s="49" t="n">
        <v>0</v>
      </c>
      <c r="H3645" s="0" t="n">
        <v>0</v>
      </c>
      <c r="M3645" s="51" t="s">
        <v>7267</v>
      </c>
      <c r="N3645" s="49" t="n">
        <v>0</v>
      </c>
      <c r="O3645" s="53" t="n">
        <v>45774.6349537037</v>
      </c>
      <c r="P3645" s="53" t="n">
        <v>45778.6982175926</v>
      </c>
      <c r="Q3645" s="53" t="n">
        <v>45774.6349537037</v>
      </c>
      <c r="R3645" s="0" t="n">
        <v>0</v>
      </c>
      <c r="S3645" s="51" t="s">
        <v>2356</v>
      </c>
      <c r="T3645" s="51" t="s">
        <v>2356</v>
      </c>
      <c r="U3645" s="51" t="s">
        <v>4351</v>
      </c>
      <c r="V3645" s="51" t="s">
        <v>2365</v>
      </c>
      <c r="W3645" s="51" t="s">
        <v>7270</v>
      </c>
      <c r="X3645" s="51" t="s">
        <v>2359</v>
      </c>
    </row>
    <row r="3646" customFormat="false" ht="14.25" hidden="true" customHeight="false" outlineLevel="0" collapsed="false">
      <c r="A3646" s="49" t="s">
        <v>2349</v>
      </c>
      <c r="B3646" s="49" t="s">
        <v>2350</v>
      </c>
      <c r="C3646" s="49" t="s">
        <v>7271</v>
      </c>
      <c r="D3646" s="49" t="s">
        <v>2352</v>
      </c>
      <c r="E3646" s="49" t="s">
        <v>4351</v>
      </c>
      <c r="F3646" s="49" t="s">
        <v>4352</v>
      </c>
      <c r="G3646" s="49" t="n">
        <v>0</v>
      </c>
      <c r="H3646" s="0" t="n">
        <v>0</v>
      </c>
      <c r="M3646" s="51" t="s">
        <v>7267</v>
      </c>
      <c r="N3646" s="49" t="n">
        <v>0</v>
      </c>
      <c r="O3646" s="53" t="n">
        <v>45774.6347685185</v>
      </c>
      <c r="P3646" s="53" t="n">
        <v>45778.6968981482</v>
      </c>
      <c r="Q3646" s="53" t="n">
        <v>45774.6347685185</v>
      </c>
      <c r="R3646" s="0" t="n">
        <v>0</v>
      </c>
      <c r="S3646" s="51" t="s">
        <v>2356</v>
      </c>
      <c r="T3646" s="51" t="s">
        <v>2356</v>
      </c>
      <c r="U3646" s="51" t="s">
        <v>4351</v>
      </c>
      <c r="V3646" s="51" t="s">
        <v>2365</v>
      </c>
      <c r="W3646" s="51" t="s">
        <v>7272</v>
      </c>
      <c r="X3646" s="51" t="s">
        <v>2359</v>
      </c>
    </row>
    <row r="3647" customFormat="false" ht="14.25" hidden="true" customHeight="false" outlineLevel="0" collapsed="false">
      <c r="A3647" s="49" t="s">
        <v>2349</v>
      </c>
      <c r="B3647" s="49" t="s">
        <v>2350</v>
      </c>
      <c r="C3647" s="49" t="s">
        <v>7273</v>
      </c>
      <c r="D3647" s="49" t="s">
        <v>2352</v>
      </c>
      <c r="E3647" s="49" t="s">
        <v>4351</v>
      </c>
      <c r="F3647" s="49" t="s">
        <v>4352</v>
      </c>
      <c r="G3647" s="49" t="n">
        <v>0</v>
      </c>
      <c r="H3647" s="0" t="n">
        <v>0</v>
      </c>
      <c r="M3647" s="51" t="s">
        <v>7267</v>
      </c>
      <c r="N3647" s="49" t="n">
        <v>0</v>
      </c>
      <c r="O3647" s="53" t="n">
        <v>45774.6346412037</v>
      </c>
      <c r="P3647" s="53" t="n">
        <v>45778.6981481482</v>
      </c>
      <c r="Q3647" s="53" t="n">
        <v>45774.6346412037</v>
      </c>
      <c r="R3647" s="0" t="n">
        <v>0</v>
      </c>
      <c r="S3647" s="51" t="s">
        <v>2356</v>
      </c>
      <c r="T3647" s="51" t="s">
        <v>2356</v>
      </c>
      <c r="U3647" s="51" t="s">
        <v>4351</v>
      </c>
      <c r="V3647" s="51" t="s">
        <v>2365</v>
      </c>
      <c r="W3647" s="51" t="s">
        <v>5141</v>
      </c>
      <c r="X3647" s="51" t="s">
        <v>2359</v>
      </c>
    </row>
    <row r="3648" customFormat="false" ht="14.25" hidden="true" customHeight="false" outlineLevel="0" collapsed="false">
      <c r="A3648" s="49" t="s">
        <v>2349</v>
      </c>
      <c r="B3648" s="49" t="s">
        <v>2350</v>
      </c>
      <c r="C3648" s="49" t="s">
        <v>7274</v>
      </c>
      <c r="D3648" s="49" t="s">
        <v>2352</v>
      </c>
      <c r="E3648" s="49" t="s">
        <v>4351</v>
      </c>
      <c r="F3648" s="49" t="s">
        <v>4352</v>
      </c>
      <c r="G3648" s="49" t="n">
        <v>0</v>
      </c>
      <c r="H3648" s="0" t="n">
        <v>0</v>
      </c>
      <c r="M3648" s="51" t="s">
        <v>7267</v>
      </c>
      <c r="N3648" s="49" t="n">
        <v>0</v>
      </c>
      <c r="O3648" s="53" t="n">
        <v>45774.6344675926</v>
      </c>
      <c r="P3648" s="53" t="n">
        <v>45785.3980787037</v>
      </c>
      <c r="Q3648" s="53" t="n">
        <v>45774.6344675926</v>
      </c>
      <c r="R3648" s="0" t="n">
        <v>0</v>
      </c>
      <c r="S3648" s="51" t="s">
        <v>2356</v>
      </c>
      <c r="T3648" s="51" t="s">
        <v>2356</v>
      </c>
      <c r="U3648" s="51" t="s">
        <v>4351</v>
      </c>
      <c r="V3648" s="51" t="s">
        <v>2365</v>
      </c>
      <c r="W3648" s="51" t="s">
        <v>3646</v>
      </c>
      <c r="X3648" s="51" t="s">
        <v>2359</v>
      </c>
    </row>
    <row r="3649" customFormat="false" ht="14.25" hidden="true" customHeight="false" outlineLevel="0" collapsed="false">
      <c r="A3649" s="49" t="s">
        <v>2349</v>
      </c>
      <c r="B3649" s="49" t="s">
        <v>2350</v>
      </c>
      <c r="C3649" s="49" t="s">
        <v>7275</v>
      </c>
      <c r="D3649" s="49" t="s">
        <v>2352</v>
      </c>
      <c r="E3649" s="49" t="s">
        <v>4351</v>
      </c>
      <c r="F3649" s="49" t="s">
        <v>4352</v>
      </c>
      <c r="G3649" s="49" t="n">
        <v>0</v>
      </c>
      <c r="H3649" s="0" t="n">
        <v>0</v>
      </c>
      <c r="M3649" s="51" t="s">
        <v>7267</v>
      </c>
      <c r="N3649" s="49" t="n">
        <v>0</v>
      </c>
      <c r="O3649" s="53" t="n">
        <v>45774.6343171296</v>
      </c>
      <c r="P3649" s="53" t="n">
        <v>45778.6972569445</v>
      </c>
      <c r="Q3649" s="53" t="n">
        <v>45774.6343171296</v>
      </c>
      <c r="R3649" s="0" t="n">
        <v>0</v>
      </c>
      <c r="S3649" s="51" t="s">
        <v>2356</v>
      </c>
      <c r="T3649" s="51" t="s">
        <v>2356</v>
      </c>
      <c r="U3649" s="51" t="s">
        <v>4351</v>
      </c>
      <c r="V3649" s="51" t="s">
        <v>2365</v>
      </c>
      <c r="W3649" s="51" t="s">
        <v>7276</v>
      </c>
      <c r="X3649" s="51" t="s">
        <v>2359</v>
      </c>
    </row>
    <row r="3650" customFormat="false" ht="14.25" hidden="true" customHeight="false" outlineLevel="0" collapsed="false">
      <c r="A3650" s="49" t="s">
        <v>2349</v>
      </c>
      <c r="B3650" s="49" t="s">
        <v>2350</v>
      </c>
      <c r="C3650" s="49" t="s">
        <v>7277</v>
      </c>
      <c r="D3650" s="49" t="s">
        <v>2352</v>
      </c>
      <c r="E3650" s="49" t="s">
        <v>4351</v>
      </c>
      <c r="F3650" s="49" t="s">
        <v>4352</v>
      </c>
      <c r="G3650" s="49" t="n">
        <v>0</v>
      </c>
      <c r="H3650" s="0" t="n">
        <v>0</v>
      </c>
      <c r="M3650" s="51" t="s">
        <v>7267</v>
      </c>
      <c r="N3650" s="49" t="n">
        <v>0</v>
      </c>
      <c r="O3650" s="53" t="n">
        <v>45774.6341666667</v>
      </c>
      <c r="P3650" s="53" t="n">
        <v>45778.6980787037</v>
      </c>
      <c r="Q3650" s="53" t="n">
        <v>45774.6341666667</v>
      </c>
      <c r="R3650" s="0" t="n">
        <v>0</v>
      </c>
      <c r="S3650" s="51" t="s">
        <v>2356</v>
      </c>
      <c r="T3650" s="51" t="s">
        <v>2356</v>
      </c>
      <c r="U3650" s="51" t="s">
        <v>4351</v>
      </c>
      <c r="V3650" s="51" t="s">
        <v>2365</v>
      </c>
      <c r="W3650" s="51" t="s">
        <v>5756</v>
      </c>
      <c r="X3650" s="51" t="s">
        <v>2359</v>
      </c>
    </row>
    <row r="3651" customFormat="false" ht="14.25" hidden="true" customHeight="false" outlineLevel="0" collapsed="false">
      <c r="A3651" s="49" t="s">
        <v>2349</v>
      </c>
      <c r="B3651" s="49" t="s">
        <v>2350</v>
      </c>
      <c r="C3651" s="49" t="s">
        <v>7278</v>
      </c>
      <c r="D3651" s="49" t="s">
        <v>2352</v>
      </c>
      <c r="E3651" s="49" t="s">
        <v>4351</v>
      </c>
      <c r="F3651" s="49" t="s">
        <v>4352</v>
      </c>
      <c r="G3651" s="49" t="n">
        <v>0</v>
      </c>
      <c r="H3651" s="0" t="n">
        <v>0</v>
      </c>
      <c r="M3651" s="51" t="s">
        <v>7267</v>
      </c>
      <c r="N3651" s="49" t="n">
        <v>0</v>
      </c>
      <c r="O3651" s="53" t="n">
        <v>45774.6334837963</v>
      </c>
      <c r="P3651" s="53" t="n">
        <v>45782.4818981482</v>
      </c>
      <c r="Q3651" s="53" t="n">
        <v>45774.6334837963</v>
      </c>
      <c r="R3651" s="0" t="n">
        <v>0</v>
      </c>
      <c r="S3651" s="51" t="s">
        <v>2356</v>
      </c>
      <c r="T3651" s="51" t="s">
        <v>2356</v>
      </c>
      <c r="U3651" s="51" t="s">
        <v>4351</v>
      </c>
      <c r="V3651" s="51" t="s">
        <v>2365</v>
      </c>
      <c r="W3651" s="51" t="s">
        <v>5919</v>
      </c>
      <c r="X3651" s="51" t="s">
        <v>2359</v>
      </c>
    </row>
    <row r="3652" customFormat="false" ht="14.25" hidden="true" customHeight="false" outlineLevel="0" collapsed="false">
      <c r="A3652" s="49" t="s">
        <v>2349</v>
      </c>
      <c r="B3652" s="49" t="s">
        <v>2350</v>
      </c>
      <c r="C3652" s="49" t="s">
        <v>7279</v>
      </c>
      <c r="D3652" s="49" t="s">
        <v>2352</v>
      </c>
      <c r="E3652" s="49" t="s">
        <v>4351</v>
      </c>
      <c r="F3652" s="49" t="s">
        <v>4352</v>
      </c>
      <c r="G3652" s="49" t="n">
        <v>0</v>
      </c>
      <c r="H3652" s="0" t="n">
        <v>0</v>
      </c>
      <c r="M3652" s="51" t="s">
        <v>7267</v>
      </c>
      <c r="N3652" s="49" t="n">
        <v>0</v>
      </c>
      <c r="O3652" s="53" t="n">
        <v>45774.6329050926</v>
      </c>
      <c r="P3652" s="53" t="n">
        <v>45783.6502430556</v>
      </c>
      <c r="Q3652" s="53" t="n">
        <v>45774.6329050926</v>
      </c>
      <c r="R3652" s="0" t="n">
        <v>0</v>
      </c>
      <c r="S3652" s="51" t="s">
        <v>2356</v>
      </c>
      <c r="T3652" s="51" t="s">
        <v>2356</v>
      </c>
      <c r="U3652" s="51" t="s">
        <v>4351</v>
      </c>
      <c r="V3652" s="51" t="s">
        <v>2365</v>
      </c>
      <c r="W3652" s="51" t="s">
        <v>7280</v>
      </c>
      <c r="X3652" s="51" t="s">
        <v>2359</v>
      </c>
    </row>
    <row r="3653" customFormat="false" ht="14.25" hidden="true" customHeight="false" outlineLevel="0" collapsed="false">
      <c r="A3653" s="49" t="s">
        <v>2349</v>
      </c>
      <c r="B3653" s="49" t="s">
        <v>2350</v>
      </c>
      <c r="C3653" s="49" t="s">
        <v>7281</v>
      </c>
      <c r="D3653" s="49" t="s">
        <v>2352</v>
      </c>
      <c r="E3653" s="49" t="s">
        <v>4351</v>
      </c>
      <c r="F3653" s="49" t="s">
        <v>4352</v>
      </c>
      <c r="G3653" s="49" t="n">
        <v>0</v>
      </c>
      <c r="H3653" s="0" t="n">
        <v>0</v>
      </c>
      <c r="M3653" s="51" t="s">
        <v>7267</v>
      </c>
      <c r="N3653" s="49" t="n">
        <v>0</v>
      </c>
      <c r="O3653" s="53" t="n">
        <v>45774.6327893519</v>
      </c>
      <c r="P3653" s="53" t="n">
        <v>45795.4959259259</v>
      </c>
      <c r="Q3653" s="53" t="n">
        <v>45774.6327893519</v>
      </c>
      <c r="R3653" s="0" t="n">
        <v>0</v>
      </c>
      <c r="S3653" s="51" t="s">
        <v>2356</v>
      </c>
      <c r="T3653" s="51" t="s">
        <v>2356</v>
      </c>
      <c r="U3653" s="51" t="s">
        <v>4351</v>
      </c>
      <c r="V3653" s="51" t="s">
        <v>2365</v>
      </c>
      <c r="W3653" s="51" t="s">
        <v>7282</v>
      </c>
      <c r="X3653" s="51" t="s">
        <v>2359</v>
      </c>
    </row>
    <row r="3654" customFormat="false" ht="14.25" hidden="true" customHeight="false" outlineLevel="0" collapsed="false">
      <c r="A3654" s="49" t="s">
        <v>2349</v>
      </c>
      <c r="B3654" s="49" t="s">
        <v>2350</v>
      </c>
      <c r="C3654" s="49" t="s">
        <v>7283</v>
      </c>
      <c r="D3654" s="49" t="s">
        <v>2352</v>
      </c>
      <c r="E3654" s="49" t="s">
        <v>4351</v>
      </c>
      <c r="F3654" s="49" t="s">
        <v>4352</v>
      </c>
      <c r="G3654" s="49" t="n">
        <v>0</v>
      </c>
      <c r="H3654" s="0" t="n">
        <v>0</v>
      </c>
      <c r="M3654" s="51" t="s">
        <v>7267</v>
      </c>
      <c r="N3654" s="49" t="n">
        <v>0</v>
      </c>
      <c r="O3654" s="53" t="n">
        <v>45774.632662037</v>
      </c>
      <c r="P3654" s="53" t="n">
        <v>45783.6503240741</v>
      </c>
      <c r="Q3654" s="53" t="n">
        <v>45774.632662037</v>
      </c>
      <c r="R3654" s="0" t="n">
        <v>0</v>
      </c>
      <c r="S3654" s="51" t="s">
        <v>2356</v>
      </c>
      <c r="T3654" s="51" t="s">
        <v>2356</v>
      </c>
      <c r="U3654" s="51" t="s">
        <v>4351</v>
      </c>
      <c r="V3654" s="51" t="s">
        <v>2365</v>
      </c>
      <c r="W3654" s="51" t="s">
        <v>3675</v>
      </c>
      <c r="X3654" s="51" t="s">
        <v>2359</v>
      </c>
    </row>
    <row r="3655" customFormat="false" ht="14.25" hidden="true" customHeight="false" outlineLevel="0" collapsed="false">
      <c r="A3655" s="49" t="s">
        <v>2349</v>
      </c>
      <c r="B3655" s="49" t="s">
        <v>2350</v>
      </c>
      <c r="C3655" s="49" t="s">
        <v>7284</v>
      </c>
      <c r="D3655" s="49" t="s">
        <v>2352</v>
      </c>
      <c r="E3655" s="49" t="s">
        <v>4351</v>
      </c>
      <c r="F3655" s="49" t="s">
        <v>4352</v>
      </c>
      <c r="G3655" s="49" t="n">
        <v>0</v>
      </c>
      <c r="H3655" s="0" t="n">
        <v>0</v>
      </c>
      <c r="M3655" s="51" t="s">
        <v>7267</v>
      </c>
      <c r="N3655" s="49" t="n">
        <v>0</v>
      </c>
      <c r="O3655" s="53" t="n">
        <v>45774.6325</v>
      </c>
      <c r="P3655" s="53" t="n">
        <v>45794.5505324074</v>
      </c>
      <c r="Q3655" s="53" t="n">
        <v>45774.6325</v>
      </c>
      <c r="R3655" s="0" t="n">
        <v>0</v>
      </c>
      <c r="S3655" s="51" t="s">
        <v>2356</v>
      </c>
      <c r="T3655" s="51" t="s">
        <v>2356</v>
      </c>
      <c r="U3655" s="51" t="s">
        <v>4351</v>
      </c>
      <c r="V3655" s="51" t="s">
        <v>2365</v>
      </c>
      <c r="W3655" s="51" t="s">
        <v>4365</v>
      </c>
      <c r="X3655" s="51" t="s">
        <v>2359</v>
      </c>
    </row>
    <row r="3656" customFormat="false" ht="14.25" hidden="true" customHeight="false" outlineLevel="0" collapsed="false">
      <c r="A3656" s="49" t="s">
        <v>2349</v>
      </c>
      <c r="B3656" s="49" t="s">
        <v>2350</v>
      </c>
      <c r="C3656" s="49" t="s">
        <v>7285</v>
      </c>
      <c r="D3656" s="49" t="s">
        <v>2352</v>
      </c>
      <c r="E3656" s="49" t="s">
        <v>4351</v>
      </c>
      <c r="F3656" s="49" t="s">
        <v>4352</v>
      </c>
      <c r="G3656" s="49" t="n">
        <v>0</v>
      </c>
      <c r="H3656" s="0" t="n">
        <v>0</v>
      </c>
      <c r="M3656" s="51" t="s">
        <v>7267</v>
      </c>
      <c r="N3656" s="49" t="n">
        <v>0</v>
      </c>
      <c r="O3656" s="53" t="n">
        <v>45774.632337963</v>
      </c>
      <c r="P3656" s="53" t="n">
        <v>45789.5572800926</v>
      </c>
      <c r="Q3656" s="53" t="n">
        <v>45774.632337963</v>
      </c>
      <c r="R3656" s="0" t="n">
        <v>0</v>
      </c>
      <c r="S3656" s="51" t="s">
        <v>2356</v>
      </c>
      <c r="T3656" s="51" t="s">
        <v>2356</v>
      </c>
      <c r="U3656" s="51" t="s">
        <v>4351</v>
      </c>
      <c r="V3656" s="51" t="s">
        <v>2365</v>
      </c>
      <c r="W3656" s="51" t="s">
        <v>7286</v>
      </c>
      <c r="X3656" s="51" t="s">
        <v>2359</v>
      </c>
    </row>
    <row r="3657" customFormat="false" ht="14.25" hidden="true" customHeight="false" outlineLevel="0" collapsed="false">
      <c r="A3657" s="49" t="s">
        <v>2349</v>
      </c>
      <c r="B3657" s="49" t="s">
        <v>2350</v>
      </c>
      <c r="C3657" s="49" t="s">
        <v>7287</v>
      </c>
      <c r="D3657" s="49" t="s">
        <v>2352</v>
      </c>
      <c r="E3657" s="49" t="s">
        <v>4351</v>
      </c>
      <c r="F3657" s="49" t="s">
        <v>4352</v>
      </c>
      <c r="G3657" s="49" t="n">
        <v>0</v>
      </c>
      <c r="H3657" s="0" t="n">
        <v>0</v>
      </c>
      <c r="M3657" s="51" t="s">
        <v>7267</v>
      </c>
      <c r="N3657" s="49" t="n">
        <v>0</v>
      </c>
      <c r="O3657" s="53" t="n">
        <v>45774.6317476852</v>
      </c>
      <c r="P3657" s="53" t="n">
        <v>45788.6746064815</v>
      </c>
      <c r="Q3657" s="53" t="n">
        <v>45774.6317476852</v>
      </c>
      <c r="R3657" s="0" t="n">
        <v>0</v>
      </c>
      <c r="S3657" s="51" t="s">
        <v>2356</v>
      </c>
      <c r="T3657" s="51" t="s">
        <v>2356</v>
      </c>
      <c r="U3657" s="51" t="s">
        <v>4351</v>
      </c>
      <c r="V3657" s="51" t="s">
        <v>2365</v>
      </c>
      <c r="W3657" s="51" t="s">
        <v>7288</v>
      </c>
      <c r="X3657" s="51" t="s">
        <v>2359</v>
      </c>
    </row>
    <row r="3658" customFormat="false" ht="14.25" hidden="true" customHeight="false" outlineLevel="0" collapsed="false">
      <c r="A3658" s="49" t="s">
        <v>2349</v>
      </c>
      <c r="B3658" s="49" t="s">
        <v>2350</v>
      </c>
      <c r="C3658" s="49" t="s">
        <v>7289</v>
      </c>
      <c r="D3658" s="49" t="s">
        <v>2352</v>
      </c>
      <c r="E3658" s="49" t="s">
        <v>4351</v>
      </c>
      <c r="F3658" s="49" t="s">
        <v>4352</v>
      </c>
      <c r="G3658" s="49" t="n">
        <v>0</v>
      </c>
      <c r="H3658" s="0" t="n">
        <v>0</v>
      </c>
      <c r="M3658" s="51" t="s">
        <v>7267</v>
      </c>
      <c r="N3658" s="49" t="n">
        <v>0</v>
      </c>
      <c r="O3658" s="53" t="n">
        <v>45774.6315972222</v>
      </c>
      <c r="P3658" s="53" t="n">
        <v>45788.6747106482</v>
      </c>
      <c r="Q3658" s="53" t="n">
        <v>45774.6315972222</v>
      </c>
      <c r="R3658" s="0" t="n">
        <v>0</v>
      </c>
      <c r="S3658" s="51" t="s">
        <v>2356</v>
      </c>
      <c r="T3658" s="51" t="s">
        <v>2356</v>
      </c>
      <c r="U3658" s="51" t="s">
        <v>4351</v>
      </c>
      <c r="V3658" s="51" t="s">
        <v>2365</v>
      </c>
      <c r="W3658" s="51" t="s">
        <v>7290</v>
      </c>
      <c r="X3658" s="51" t="s">
        <v>2359</v>
      </c>
    </row>
    <row r="3659" customFormat="false" ht="14.25" hidden="true" customHeight="false" outlineLevel="0" collapsed="false">
      <c r="A3659" s="49" t="s">
        <v>2349</v>
      </c>
      <c r="B3659" s="49" t="s">
        <v>2350</v>
      </c>
      <c r="C3659" s="49" t="s">
        <v>7291</v>
      </c>
      <c r="D3659" s="49" t="s">
        <v>2352</v>
      </c>
      <c r="E3659" s="49" t="s">
        <v>4351</v>
      </c>
      <c r="F3659" s="49" t="s">
        <v>4352</v>
      </c>
      <c r="G3659" s="49" t="n">
        <v>0</v>
      </c>
      <c r="H3659" s="0" t="n">
        <v>0</v>
      </c>
      <c r="M3659" s="51" t="s">
        <v>7267</v>
      </c>
      <c r="N3659" s="49" t="n">
        <v>0</v>
      </c>
      <c r="O3659" s="53" t="n">
        <v>45774.6313541667</v>
      </c>
      <c r="P3659" s="53" t="n">
        <v>45789.6395717593</v>
      </c>
      <c r="Q3659" s="53" t="n">
        <v>45774.6313541667</v>
      </c>
      <c r="R3659" s="0" t="n">
        <v>0</v>
      </c>
      <c r="S3659" s="51" t="s">
        <v>2356</v>
      </c>
      <c r="T3659" s="51" t="s">
        <v>2356</v>
      </c>
      <c r="U3659" s="51" t="s">
        <v>4351</v>
      </c>
      <c r="V3659" s="51" t="s">
        <v>2365</v>
      </c>
      <c r="W3659" s="51" t="s">
        <v>3675</v>
      </c>
      <c r="X3659" s="51" t="s">
        <v>2359</v>
      </c>
    </row>
    <row r="3660" customFormat="false" ht="14.25" hidden="true" customHeight="false" outlineLevel="0" collapsed="false">
      <c r="A3660" s="49" t="s">
        <v>2349</v>
      </c>
      <c r="B3660" s="49" t="s">
        <v>2350</v>
      </c>
      <c r="C3660" s="49" t="s">
        <v>7292</v>
      </c>
      <c r="D3660" s="49" t="s">
        <v>2352</v>
      </c>
      <c r="E3660" s="49" t="s">
        <v>4351</v>
      </c>
      <c r="F3660" s="49" t="s">
        <v>4352</v>
      </c>
      <c r="G3660" s="49" t="n">
        <v>0</v>
      </c>
      <c r="H3660" s="0" t="n">
        <v>0</v>
      </c>
      <c r="M3660" s="51" t="s">
        <v>7267</v>
      </c>
      <c r="N3660" s="49" t="n">
        <v>0</v>
      </c>
      <c r="O3660" s="53" t="n">
        <v>45774.6311689815</v>
      </c>
      <c r="P3660" s="53" t="n">
        <v>45785.3977199074</v>
      </c>
      <c r="Q3660" s="53" t="n">
        <v>45774.6311689815</v>
      </c>
      <c r="R3660" s="0" t="n">
        <v>0</v>
      </c>
      <c r="S3660" s="51" t="s">
        <v>2356</v>
      </c>
      <c r="T3660" s="51" t="s">
        <v>2356</v>
      </c>
      <c r="U3660" s="51" t="s">
        <v>4351</v>
      </c>
      <c r="V3660" s="51" t="s">
        <v>2365</v>
      </c>
      <c r="W3660" s="51" t="s">
        <v>7293</v>
      </c>
      <c r="X3660" s="51" t="s">
        <v>2359</v>
      </c>
    </row>
    <row r="3661" customFormat="false" ht="14.25" hidden="true" customHeight="false" outlineLevel="0" collapsed="false">
      <c r="A3661" s="49" t="s">
        <v>2349</v>
      </c>
      <c r="B3661" s="49" t="s">
        <v>2350</v>
      </c>
      <c r="C3661" s="49" t="s">
        <v>7294</v>
      </c>
      <c r="D3661" s="49" t="s">
        <v>2352</v>
      </c>
      <c r="E3661" s="49" t="s">
        <v>4351</v>
      </c>
      <c r="F3661" s="49" t="s">
        <v>4352</v>
      </c>
      <c r="G3661" s="49" t="n">
        <v>0</v>
      </c>
      <c r="H3661" s="0" t="n">
        <v>0</v>
      </c>
      <c r="M3661" s="51" t="s">
        <v>7267</v>
      </c>
      <c r="N3661" s="49" t="n">
        <v>0</v>
      </c>
      <c r="O3661" s="53" t="n">
        <v>45774.6310069444</v>
      </c>
      <c r="P3661" s="53" t="n">
        <v>45788.5106944444</v>
      </c>
      <c r="Q3661" s="53" t="n">
        <v>45774.6310069444</v>
      </c>
      <c r="R3661" s="0" t="n">
        <v>0</v>
      </c>
      <c r="S3661" s="51" t="s">
        <v>2356</v>
      </c>
      <c r="T3661" s="51" t="s">
        <v>2356</v>
      </c>
      <c r="U3661" s="51" t="s">
        <v>4351</v>
      </c>
      <c r="V3661" s="51" t="s">
        <v>2365</v>
      </c>
      <c r="W3661" s="51" t="s">
        <v>3963</v>
      </c>
      <c r="X3661" s="51" t="s">
        <v>2359</v>
      </c>
    </row>
    <row r="3662" customFormat="false" ht="14.25" hidden="true" customHeight="false" outlineLevel="0" collapsed="false">
      <c r="A3662" s="49" t="s">
        <v>2349</v>
      </c>
      <c r="B3662" s="49" t="s">
        <v>2350</v>
      </c>
      <c r="C3662" s="49" t="s">
        <v>7295</v>
      </c>
      <c r="D3662" s="49" t="s">
        <v>2352</v>
      </c>
      <c r="E3662" s="49" t="s">
        <v>4351</v>
      </c>
      <c r="F3662" s="49" t="s">
        <v>4352</v>
      </c>
      <c r="G3662" s="49" t="n">
        <v>0</v>
      </c>
      <c r="H3662" s="0" t="n">
        <v>0</v>
      </c>
      <c r="M3662" s="51" t="s">
        <v>7267</v>
      </c>
      <c r="N3662" s="49" t="n">
        <v>0</v>
      </c>
      <c r="O3662" s="53" t="n">
        <v>45774.6296412037</v>
      </c>
      <c r="P3662" s="53" t="n">
        <v>45785.397662037</v>
      </c>
      <c r="Q3662" s="53" t="n">
        <v>45774.6296412037</v>
      </c>
      <c r="R3662" s="0" t="n">
        <v>0</v>
      </c>
      <c r="S3662" s="51" t="s">
        <v>2356</v>
      </c>
      <c r="T3662" s="51" t="s">
        <v>2356</v>
      </c>
      <c r="U3662" s="51" t="s">
        <v>4351</v>
      </c>
      <c r="V3662" s="51" t="s">
        <v>2365</v>
      </c>
      <c r="W3662" s="51" t="s">
        <v>7296</v>
      </c>
      <c r="X3662" s="51" t="s">
        <v>2359</v>
      </c>
    </row>
    <row r="3663" customFormat="false" ht="14.25" hidden="true" customHeight="false" outlineLevel="0" collapsed="false">
      <c r="A3663" s="49" t="s">
        <v>2349</v>
      </c>
      <c r="B3663" s="49" t="s">
        <v>2350</v>
      </c>
      <c r="C3663" s="49" t="s">
        <v>7297</v>
      </c>
      <c r="D3663" s="49" t="s">
        <v>2352</v>
      </c>
      <c r="E3663" s="49" t="s">
        <v>4351</v>
      </c>
      <c r="F3663" s="49" t="s">
        <v>4352</v>
      </c>
      <c r="G3663" s="49" t="n">
        <v>0</v>
      </c>
      <c r="H3663" s="0" t="n">
        <v>0</v>
      </c>
      <c r="M3663" s="51" t="s">
        <v>7267</v>
      </c>
      <c r="N3663" s="49" t="n">
        <v>0</v>
      </c>
      <c r="O3663" s="53" t="n">
        <v>45774.6283796296</v>
      </c>
      <c r="P3663" s="53" t="n">
        <v>45778.698287037</v>
      </c>
      <c r="Q3663" s="53" t="n">
        <v>45774.6283796296</v>
      </c>
      <c r="R3663" s="0" t="n">
        <v>0</v>
      </c>
      <c r="S3663" s="51" t="s">
        <v>2356</v>
      </c>
      <c r="T3663" s="51" t="s">
        <v>2356</v>
      </c>
      <c r="U3663" s="51" t="s">
        <v>4351</v>
      </c>
      <c r="V3663" s="51" t="s">
        <v>2365</v>
      </c>
      <c r="W3663" s="51" t="s">
        <v>5137</v>
      </c>
      <c r="X3663" s="51" t="s">
        <v>2359</v>
      </c>
    </row>
    <row r="3664" customFormat="false" ht="14.25" hidden="true" customHeight="false" outlineLevel="0" collapsed="false">
      <c r="A3664" s="49" t="s">
        <v>2349</v>
      </c>
      <c r="B3664" s="49" t="s">
        <v>2350</v>
      </c>
      <c r="C3664" s="49" t="s">
        <v>7298</v>
      </c>
      <c r="D3664" s="49" t="s">
        <v>2352</v>
      </c>
      <c r="E3664" s="49" t="s">
        <v>3633</v>
      </c>
      <c r="F3664" s="49" t="s">
        <v>3634</v>
      </c>
      <c r="G3664" s="49" t="n">
        <v>0</v>
      </c>
      <c r="H3664" s="0" t="n">
        <v>0</v>
      </c>
      <c r="M3664" s="51" t="s">
        <v>7299</v>
      </c>
      <c r="N3664" s="49" t="n">
        <v>0</v>
      </c>
      <c r="O3664" s="53" t="n">
        <v>45769.504224537</v>
      </c>
      <c r="P3664" s="53" t="n">
        <v>45788.5166435185</v>
      </c>
      <c r="Q3664" s="53" t="n">
        <v>45769.504224537</v>
      </c>
      <c r="R3664" s="0" t="n">
        <v>0</v>
      </c>
      <c r="S3664" s="51" t="s">
        <v>2356</v>
      </c>
      <c r="T3664" s="51" t="s">
        <v>2356</v>
      </c>
      <c r="U3664" s="51" t="s">
        <v>3633</v>
      </c>
      <c r="V3664" s="51" t="s">
        <v>2357</v>
      </c>
      <c r="W3664" s="51" t="s">
        <v>7300</v>
      </c>
      <c r="X3664" s="51" t="s">
        <v>2359</v>
      </c>
    </row>
    <row r="3665" customFormat="false" ht="14.25" hidden="true" customHeight="false" outlineLevel="0" collapsed="false">
      <c r="A3665" s="49" t="s">
        <v>2349</v>
      </c>
      <c r="B3665" s="49" t="s">
        <v>2350</v>
      </c>
      <c r="C3665" s="49" t="s">
        <v>7301</v>
      </c>
      <c r="D3665" s="49" t="s">
        <v>2352</v>
      </c>
      <c r="E3665" s="49" t="s">
        <v>3633</v>
      </c>
      <c r="F3665" s="49" t="s">
        <v>3634</v>
      </c>
      <c r="G3665" s="49" t="n">
        <v>0</v>
      </c>
      <c r="H3665" s="0" t="n">
        <v>0</v>
      </c>
      <c r="M3665" s="51" t="s">
        <v>7299</v>
      </c>
      <c r="N3665" s="49" t="n">
        <v>0</v>
      </c>
      <c r="O3665" s="53" t="n">
        <v>45769.5059027778</v>
      </c>
      <c r="P3665" s="53" t="n">
        <v>45806.4143981482</v>
      </c>
      <c r="Q3665" s="53" t="n">
        <v>45769.5059027778</v>
      </c>
      <c r="R3665" s="0" t="n">
        <v>0</v>
      </c>
      <c r="S3665" s="51" t="s">
        <v>2356</v>
      </c>
      <c r="T3665" s="51" t="s">
        <v>2356</v>
      </c>
      <c r="U3665" s="51" t="s">
        <v>3633</v>
      </c>
      <c r="V3665" s="51" t="s">
        <v>2357</v>
      </c>
      <c r="W3665" s="51" t="s">
        <v>4169</v>
      </c>
      <c r="X3665" s="51" t="s">
        <v>2359</v>
      </c>
    </row>
    <row r="3666" customFormat="false" ht="14.25" hidden="true" customHeight="false" outlineLevel="0" collapsed="false">
      <c r="A3666" s="49" t="s">
        <v>2349</v>
      </c>
      <c r="B3666" s="49" t="s">
        <v>2350</v>
      </c>
      <c r="C3666" s="49" t="s">
        <v>7302</v>
      </c>
      <c r="D3666" s="49" t="s">
        <v>2352</v>
      </c>
      <c r="E3666" s="49" t="s">
        <v>3633</v>
      </c>
      <c r="F3666" s="49" t="s">
        <v>3634</v>
      </c>
      <c r="G3666" s="49" t="n">
        <v>0</v>
      </c>
      <c r="H3666" s="0" t="n">
        <v>0</v>
      </c>
      <c r="M3666" s="51" t="s">
        <v>7299</v>
      </c>
      <c r="N3666" s="49" t="n">
        <v>0</v>
      </c>
      <c r="O3666" s="53" t="n">
        <v>45769.5063773148</v>
      </c>
      <c r="P3666" s="53" t="n">
        <v>45826.6455208333</v>
      </c>
      <c r="Q3666" s="53" t="n">
        <v>45769.5063773148</v>
      </c>
      <c r="R3666" s="0" t="n">
        <v>0</v>
      </c>
      <c r="S3666" s="51" t="s">
        <v>2356</v>
      </c>
      <c r="T3666" s="51" t="s">
        <v>2356</v>
      </c>
      <c r="U3666" s="51" t="s">
        <v>3633</v>
      </c>
      <c r="V3666" s="51" t="s">
        <v>2357</v>
      </c>
      <c r="W3666" s="51" t="s">
        <v>4363</v>
      </c>
      <c r="X3666" s="51" t="s">
        <v>2359</v>
      </c>
    </row>
    <row r="3667" customFormat="false" ht="14.25" hidden="true" customHeight="false" outlineLevel="0" collapsed="false">
      <c r="A3667" s="49" t="s">
        <v>2349</v>
      </c>
      <c r="B3667" s="49" t="s">
        <v>2350</v>
      </c>
      <c r="C3667" s="49" t="s">
        <v>7303</v>
      </c>
      <c r="D3667" s="49" t="s">
        <v>2352</v>
      </c>
      <c r="E3667" s="49" t="s">
        <v>3633</v>
      </c>
      <c r="F3667" s="49" t="s">
        <v>3634</v>
      </c>
      <c r="G3667" s="49" t="n">
        <v>0</v>
      </c>
      <c r="H3667" s="0" t="n">
        <v>0</v>
      </c>
      <c r="M3667" s="51" t="s">
        <v>7299</v>
      </c>
      <c r="N3667" s="49" t="n">
        <v>0</v>
      </c>
      <c r="O3667" s="53" t="n">
        <v>45769.5075694444</v>
      </c>
      <c r="P3667" s="53" t="n">
        <v>45774.3138310185</v>
      </c>
      <c r="Q3667" s="53" t="n">
        <v>45769.5075694444</v>
      </c>
      <c r="R3667" s="0" t="n">
        <v>0</v>
      </c>
      <c r="S3667" s="51" t="s">
        <v>2356</v>
      </c>
      <c r="T3667" s="51" t="s">
        <v>2356</v>
      </c>
      <c r="U3667" s="51" t="s">
        <v>3633</v>
      </c>
      <c r="V3667" s="51" t="s">
        <v>2357</v>
      </c>
      <c r="W3667" s="51" t="s">
        <v>7304</v>
      </c>
      <c r="X3667" s="51" t="s">
        <v>2359</v>
      </c>
    </row>
    <row r="3668" customFormat="false" ht="14.25" hidden="true" customHeight="false" outlineLevel="0" collapsed="false">
      <c r="A3668" s="49" t="s">
        <v>2349</v>
      </c>
      <c r="B3668" s="49" t="s">
        <v>2350</v>
      </c>
      <c r="C3668" s="49" t="s">
        <v>7305</v>
      </c>
      <c r="D3668" s="49" t="s">
        <v>2352</v>
      </c>
      <c r="E3668" s="49" t="s">
        <v>3633</v>
      </c>
      <c r="F3668" s="49" t="s">
        <v>3634</v>
      </c>
      <c r="G3668" s="49" t="n">
        <v>0</v>
      </c>
      <c r="H3668" s="0" t="n">
        <v>0</v>
      </c>
      <c r="M3668" s="51" t="s">
        <v>7299</v>
      </c>
      <c r="N3668" s="49" t="n">
        <v>0</v>
      </c>
      <c r="O3668" s="53" t="n">
        <v>45769.5853819444</v>
      </c>
      <c r="P3668" s="53" t="n">
        <v>45784.6457523148</v>
      </c>
      <c r="Q3668" s="53" t="n">
        <v>45769.5853819444</v>
      </c>
      <c r="R3668" s="0" t="n">
        <v>0</v>
      </c>
      <c r="S3668" s="51" t="s">
        <v>2356</v>
      </c>
      <c r="T3668" s="51" t="s">
        <v>2356</v>
      </c>
      <c r="U3668" s="51" t="s">
        <v>3633</v>
      </c>
      <c r="V3668" s="51" t="s">
        <v>2357</v>
      </c>
      <c r="W3668" s="51" t="s">
        <v>7306</v>
      </c>
      <c r="X3668" s="51" t="s">
        <v>2359</v>
      </c>
    </row>
    <row r="3669" customFormat="false" ht="14.25" hidden="true" customHeight="false" outlineLevel="0" collapsed="false">
      <c r="A3669" s="49" t="s">
        <v>2349</v>
      </c>
      <c r="B3669" s="49" t="s">
        <v>2350</v>
      </c>
      <c r="C3669" s="49" t="s">
        <v>7307</v>
      </c>
      <c r="D3669" s="49" t="s">
        <v>2352</v>
      </c>
      <c r="E3669" s="49" t="s">
        <v>3633</v>
      </c>
      <c r="F3669" s="49" t="s">
        <v>3634</v>
      </c>
      <c r="G3669" s="49" t="n">
        <v>0</v>
      </c>
      <c r="H3669" s="0" t="n">
        <v>0</v>
      </c>
      <c r="M3669" s="51" t="s">
        <v>7299</v>
      </c>
      <c r="N3669" s="49" t="n">
        <v>0</v>
      </c>
      <c r="O3669" s="53" t="n">
        <v>45769.5860763889</v>
      </c>
      <c r="P3669" s="53" t="n">
        <v>45788.5164814815</v>
      </c>
      <c r="Q3669" s="53" t="n">
        <v>45769.5860763889</v>
      </c>
      <c r="R3669" s="0" t="n">
        <v>0</v>
      </c>
      <c r="S3669" s="51" t="s">
        <v>2356</v>
      </c>
      <c r="T3669" s="51" t="s">
        <v>2356</v>
      </c>
      <c r="U3669" s="51" t="s">
        <v>3633</v>
      </c>
      <c r="V3669" s="51" t="s">
        <v>2357</v>
      </c>
      <c r="W3669" s="51" t="s">
        <v>7308</v>
      </c>
      <c r="X3669" s="51" t="s">
        <v>2359</v>
      </c>
    </row>
    <row r="3670" customFormat="false" ht="14.25" hidden="true" customHeight="false" outlineLevel="0" collapsed="false">
      <c r="A3670" s="49" t="s">
        <v>2349</v>
      </c>
      <c r="B3670" s="49" t="s">
        <v>2350</v>
      </c>
      <c r="C3670" s="49" t="s">
        <v>7309</v>
      </c>
      <c r="D3670" s="49" t="s">
        <v>2352</v>
      </c>
      <c r="E3670" s="49" t="s">
        <v>3633</v>
      </c>
      <c r="F3670" s="49" t="s">
        <v>3634</v>
      </c>
      <c r="G3670" s="49" t="n">
        <v>0</v>
      </c>
      <c r="H3670" s="0" t="n">
        <v>0</v>
      </c>
      <c r="M3670" s="51" t="s">
        <v>7299</v>
      </c>
      <c r="N3670" s="49" t="n">
        <v>0</v>
      </c>
      <c r="O3670" s="53" t="n">
        <v>45769.5895833333</v>
      </c>
      <c r="P3670" s="53" t="n">
        <v>45804.704837963</v>
      </c>
      <c r="Q3670" s="53" t="n">
        <v>45769.5895833333</v>
      </c>
      <c r="R3670" s="0" t="n">
        <v>0</v>
      </c>
      <c r="S3670" s="51" t="s">
        <v>2356</v>
      </c>
      <c r="T3670" s="51" t="s">
        <v>2356</v>
      </c>
      <c r="U3670" s="51" t="s">
        <v>3633</v>
      </c>
      <c r="V3670" s="51" t="s">
        <v>2357</v>
      </c>
      <c r="W3670" s="51" t="s">
        <v>4604</v>
      </c>
      <c r="X3670" s="51" t="s">
        <v>2359</v>
      </c>
    </row>
    <row r="3671" customFormat="false" ht="14.25" hidden="true" customHeight="false" outlineLevel="0" collapsed="false">
      <c r="A3671" s="49" t="s">
        <v>2349</v>
      </c>
      <c r="B3671" s="49" t="s">
        <v>2350</v>
      </c>
      <c r="C3671" s="49" t="s">
        <v>7310</v>
      </c>
      <c r="D3671" s="49" t="s">
        <v>2352</v>
      </c>
      <c r="E3671" s="49" t="str">
        <f aca="false">"12207690"</f>
        <v>12207690</v>
      </c>
      <c r="F3671" s="49" t="s">
        <v>4199</v>
      </c>
      <c r="G3671" s="49" t="n">
        <v>0</v>
      </c>
      <c r="H3671" s="0" t="n">
        <v>0</v>
      </c>
      <c r="M3671" s="51" t="s">
        <v>7311</v>
      </c>
      <c r="N3671" s="49" t="n">
        <v>0</v>
      </c>
      <c r="O3671" s="53" t="n">
        <v>45776.6226273148</v>
      </c>
      <c r="P3671" s="53" t="n">
        <v>45778.8453240741</v>
      </c>
      <c r="Q3671" s="53" t="n">
        <v>45776.6226273148</v>
      </c>
      <c r="R3671" s="0" t="n">
        <v>0</v>
      </c>
      <c r="S3671" s="51" t="s">
        <v>2416</v>
      </c>
      <c r="T3671" s="51" t="s">
        <v>2416</v>
      </c>
      <c r="U3671" s="0" t="str">
        <f aca="false">"12207690"</f>
        <v>12207690</v>
      </c>
      <c r="V3671" s="51" t="s">
        <v>2365</v>
      </c>
      <c r="W3671" s="51" t="s">
        <v>6411</v>
      </c>
      <c r="X3671" s="51" t="s">
        <v>2359</v>
      </c>
    </row>
    <row r="3672" customFormat="false" ht="14.25" hidden="true" customHeight="false" outlineLevel="0" collapsed="false">
      <c r="A3672" s="49" t="s">
        <v>2349</v>
      </c>
      <c r="B3672" s="49" t="s">
        <v>2350</v>
      </c>
      <c r="C3672" s="49" t="s">
        <v>7312</v>
      </c>
      <c r="D3672" s="49" t="s">
        <v>2352</v>
      </c>
      <c r="E3672" s="49" t="str">
        <f aca="false">"12207690"</f>
        <v>12207690</v>
      </c>
      <c r="F3672" s="49" t="s">
        <v>4199</v>
      </c>
      <c r="G3672" s="49" t="n">
        <v>0</v>
      </c>
      <c r="H3672" s="0" t="n">
        <v>0</v>
      </c>
      <c r="M3672" s="51" t="s">
        <v>7311</v>
      </c>
      <c r="N3672" s="49" t="n">
        <v>0</v>
      </c>
      <c r="O3672" s="53" t="n">
        <v>45776.6237037037</v>
      </c>
      <c r="P3672" s="53" t="n">
        <v>45778.8462152778</v>
      </c>
      <c r="Q3672" s="53" t="n">
        <v>45776.6237037037</v>
      </c>
      <c r="R3672" s="0" t="n">
        <v>0</v>
      </c>
      <c r="S3672" s="51" t="s">
        <v>2416</v>
      </c>
      <c r="T3672" s="51" t="s">
        <v>2416</v>
      </c>
      <c r="U3672" s="0" t="str">
        <f aca="false">"12207690"</f>
        <v>12207690</v>
      </c>
      <c r="V3672" s="51" t="s">
        <v>2365</v>
      </c>
      <c r="W3672" s="51" t="s">
        <v>6324</v>
      </c>
      <c r="X3672" s="51" t="s">
        <v>2359</v>
      </c>
    </row>
    <row r="3673" customFormat="false" ht="14.25" hidden="true" customHeight="false" outlineLevel="0" collapsed="false">
      <c r="A3673" s="49" t="s">
        <v>2349</v>
      </c>
      <c r="B3673" s="49" t="s">
        <v>2350</v>
      </c>
      <c r="C3673" s="49" t="s">
        <v>7313</v>
      </c>
      <c r="D3673" s="49" t="s">
        <v>2352</v>
      </c>
      <c r="E3673" s="49" t="str">
        <f aca="false">"12207690"</f>
        <v>12207690</v>
      </c>
      <c r="F3673" s="49" t="s">
        <v>4199</v>
      </c>
      <c r="G3673" s="49" t="n">
        <v>0</v>
      </c>
      <c r="H3673" s="0" t="n">
        <v>0</v>
      </c>
      <c r="M3673" s="51" t="s">
        <v>7311</v>
      </c>
      <c r="N3673" s="49" t="n">
        <v>0</v>
      </c>
      <c r="O3673" s="53" t="n">
        <v>45776.6299074074</v>
      </c>
      <c r="P3673" s="53" t="n">
        <v>45784.38</v>
      </c>
      <c r="Q3673" s="53" t="n">
        <v>45776.6299074074</v>
      </c>
      <c r="R3673" s="0" t="n">
        <v>0</v>
      </c>
      <c r="S3673" s="51" t="s">
        <v>2416</v>
      </c>
      <c r="T3673" s="51" t="s">
        <v>2416</v>
      </c>
      <c r="U3673" s="0" t="str">
        <f aca="false">"12207690"</f>
        <v>12207690</v>
      </c>
      <c r="V3673" s="51" t="s">
        <v>2365</v>
      </c>
      <c r="W3673" s="51" t="s">
        <v>6407</v>
      </c>
      <c r="X3673" s="51" t="s">
        <v>2359</v>
      </c>
    </row>
    <row r="3674" customFormat="false" ht="14.25" hidden="true" customHeight="false" outlineLevel="0" collapsed="false">
      <c r="A3674" s="49" t="s">
        <v>2349</v>
      </c>
      <c r="B3674" s="49" t="s">
        <v>2350</v>
      </c>
      <c r="C3674" s="49" t="s">
        <v>7314</v>
      </c>
      <c r="D3674" s="49" t="s">
        <v>2352</v>
      </c>
      <c r="E3674" s="49" t="str">
        <f aca="false">"12363202"</f>
        <v>12363202</v>
      </c>
      <c r="F3674" s="49" t="s">
        <v>7041</v>
      </c>
      <c r="G3674" s="49" t="n">
        <v>0</v>
      </c>
      <c r="H3674" s="0" t="n">
        <v>0</v>
      </c>
      <c r="M3674" s="51" t="s">
        <v>7311</v>
      </c>
      <c r="N3674" s="49" t="n">
        <v>0</v>
      </c>
      <c r="O3674" s="53" t="n">
        <v>45776.6297106482</v>
      </c>
      <c r="P3674" s="53" t="n">
        <v>45778.8533217593</v>
      </c>
      <c r="Q3674" s="53" t="n">
        <v>45776.6297106482</v>
      </c>
      <c r="R3674" s="0" t="n">
        <v>0</v>
      </c>
      <c r="S3674" s="51" t="s">
        <v>2416</v>
      </c>
      <c r="T3674" s="51" t="s">
        <v>2416</v>
      </c>
      <c r="U3674" s="0" t="str">
        <f aca="false">"12363202"</f>
        <v>12363202</v>
      </c>
      <c r="V3674" s="51" t="s">
        <v>2365</v>
      </c>
      <c r="W3674" s="51" t="s">
        <v>7315</v>
      </c>
      <c r="X3674" s="51" t="s">
        <v>2359</v>
      </c>
    </row>
    <row r="3675" customFormat="false" ht="14.25" hidden="true" customHeight="false" outlineLevel="0" collapsed="false">
      <c r="A3675" s="49" t="s">
        <v>2349</v>
      </c>
      <c r="B3675" s="49" t="s">
        <v>2350</v>
      </c>
      <c r="C3675" s="49" t="s">
        <v>7316</v>
      </c>
      <c r="D3675" s="49" t="s">
        <v>2352</v>
      </c>
      <c r="E3675" s="49" t="str">
        <f aca="false">"12207690"</f>
        <v>12207690</v>
      </c>
      <c r="F3675" s="49" t="s">
        <v>4199</v>
      </c>
      <c r="G3675" s="49" t="n">
        <v>0</v>
      </c>
      <c r="H3675" s="0" t="n">
        <v>0</v>
      </c>
      <c r="M3675" s="51" t="s">
        <v>7311</v>
      </c>
      <c r="N3675" s="49" t="n">
        <v>0</v>
      </c>
      <c r="O3675" s="53" t="n">
        <v>45776.6293402778</v>
      </c>
      <c r="P3675" s="53" t="n">
        <v>45784.3774652778</v>
      </c>
      <c r="Q3675" s="53" t="n">
        <v>45776.6293402778</v>
      </c>
      <c r="R3675" s="0" t="n">
        <v>0</v>
      </c>
      <c r="S3675" s="51" t="s">
        <v>2416</v>
      </c>
      <c r="T3675" s="51" t="s">
        <v>2416</v>
      </c>
      <c r="U3675" s="0" t="str">
        <f aca="false">"12207690"</f>
        <v>12207690</v>
      </c>
      <c r="V3675" s="51" t="s">
        <v>2365</v>
      </c>
      <c r="W3675" s="51" t="s">
        <v>6411</v>
      </c>
      <c r="X3675" s="51" t="s">
        <v>2359</v>
      </c>
    </row>
    <row r="3676" customFormat="false" ht="14.25" hidden="true" customHeight="false" outlineLevel="0" collapsed="false">
      <c r="A3676" s="49" t="s">
        <v>2349</v>
      </c>
      <c r="B3676" s="49" t="s">
        <v>2350</v>
      </c>
      <c r="C3676" s="49" t="s">
        <v>7317</v>
      </c>
      <c r="D3676" s="49" t="s">
        <v>2352</v>
      </c>
      <c r="E3676" s="49" t="str">
        <f aca="false">"12363202"</f>
        <v>12363202</v>
      </c>
      <c r="F3676" s="49" t="s">
        <v>7041</v>
      </c>
      <c r="G3676" s="49" t="n">
        <v>0</v>
      </c>
      <c r="H3676" s="0" t="n">
        <v>0</v>
      </c>
      <c r="M3676" s="51" t="s">
        <v>7311</v>
      </c>
      <c r="N3676" s="49" t="n">
        <v>0</v>
      </c>
      <c r="O3676" s="53" t="n">
        <v>45776.6290856482</v>
      </c>
      <c r="P3676" s="53" t="n">
        <v>45778.8126273148</v>
      </c>
      <c r="Q3676" s="53" t="n">
        <v>45776.6290856482</v>
      </c>
      <c r="R3676" s="0" t="n">
        <v>0</v>
      </c>
      <c r="S3676" s="51" t="s">
        <v>2416</v>
      </c>
      <c r="T3676" s="51" t="s">
        <v>2416</v>
      </c>
      <c r="U3676" s="0" t="str">
        <f aca="false">"12363202"</f>
        <v>12363202</v>
      </c>
      <c r="V3676" s="51" t="s">
        <v>2365</v>
      </c>
      <c r="W3676" s="51" t="s">
        <v>4763</v>
      </c>
      <c r="X3676" s="51" t="s">
        <v>2359</v>
      </c>
    </row>
    <row r="3677" customFormat="false" ht="14.25" hidden="true" customHeight="false" outlineLevel="0" collapsed="false">
      <c r="A3677" s="49" t="s">
        <v>2349</v>
      </c>
      <c r="B3677" s="49" t="s">
        <v>2350</v>
      </c>
      <c r="C3677" s="49" t="s">
        <v>7318</v>
      </c>
      <c r="D3677" s="49" t="s">
        <v>2352</v>
      </c>
      <c r="E3677" s="49" t="str">
        <f aca="false">"12207690"</f>
        <v>12207690</v>
      </c>
      <c r="F3677" s="49" t="s">
        <v>4199</v>
      </c>
      <c r="G3677" s="49" t="n">
        <v>0</v>
      </c>
      <c r="H3677" s="0" t="n">
        <v>0</v>
      </c>
      <c r="M3677" s="51" t="s">
        <v>7311</v>
      </c>
      <c r="N3677" s="49" t="n">
        <v>0</v>
      </c>
      <c r="O3677" s="53" t="n">
        <v>45776.6284953704</v>
      </c>
      <c r="P3677" s="53" t="n">
        <v>45778.8603819445</v>
      </c>
      <c r="Q3677" s="53" t="n">
        <v>45776.6284953704</v>
      </c>
      <c r="R3677" s="0" t="n">
        <v>0</v>
      </c>
      <c r="S3677" s="51" t="s">
        <v>2416</v>
      </c>
      <c r="T3677" s="51" t="s">
        <v>2416</v>
      </c>
      <c r="U3677" s="0" t="str">
        <f aca="false">"12207690"</f>
        <v>12207690</v>
      </c>
      <c r="V3677" s="51" t="s">
        <v>2365</v>
      </c>
      <c r="W3677" s="51" t="s">
        <v>6974</v>
      </c>
      <c r="X3677" s="51" t="s">
        <v>2359</v>
      </c>
    </row>
    <row r="3678" customFormat="false" ht="14.25" hidden="true" customHeight="false" outlineLevel="0" collapsed="false">
      <c r="A3678" s="49" t="s">
        <v>2349</v>
      </c>
      <c r="B3678" s="49" t="s">
        <v>2350</v>
      </c>
      <c r="C3678" s="49" t="s">
        <v>7319</v>
      </c>
      <c r="D3678" s="49" t="s">
        <v>2352</v>
      </c>
      <c r="E3678" s="49" t="str">
        <f aca="false">"12207690"</f>
        <v>12207690</v>
      </c>
      <c r="F3678" s="49" t="s">
        <v>4199</v>
      </c>
      <c r="G3678" s="49" t="n">
        <v>0</v>
      </c>
      <c r="H3678" s="0" t="n">
        <v>0</v>
      </c>
      <c r="M3678" s="51" t="s">
        <v>7311</v>
      </c>
      <c r="N3678" s="49" t="n">
        <v>0</v>
      </c>
      <c r="O3678" s="53" t="n">
        <v>45776.6282291667</v>
      </c>
      <c r="P3678" s="53" t="n">
        <v>45791.7083564815</v>
      </c>
      <c r="Q3678" s="53" t="n">
        <v>45776.6282291667</v>
      </c>
      <c r="R3678" s="0" t="n">
        <v>0</v>
      </c>
      <c r="S3678" s="51" t="s">
        <v>2416</v>
      </c>
      <c r="T3678" s="51" t="s">
        <v>2416</v>
      </c>
      <c r="U3678" s="0" t="str">
        <f aca="false">"12207690"</f>
        <v>12207690</v>
      </c>
      <c r="V3678" s="51" t="s">
        <v>2365</v>
      </c>
      <c r="W3678" s="51" t="s">
        <v>6966</v>
      </c>
      <c r="X3678" s="51" t="s">
        <v>2359</v>
      </c>
    </row>
    <row r="3679" customFormat="false" ht="14.25" hidden="true" customHeight="false" outlineLevel="0" collapsed="false">
      <c r="A3679" s="49" t="s">
        <v>2349</v>
      </c>
      <c r="B3679" s="49" t="s">
        <v>2350</v>
      </c>
      <c r="C3679" s="49" t="s">
        <v>7320</v>
      </c>
      <c r="D3679" s="49" t="s">
        <v>2352</v>
      </c>
      <c r="E3679" s="49" t="str">
        <f aca="false">"12363202"</f>
        <v>12363202</v>
      </c>
      <c r="F3679" s="49" t="s">
        <v>7041</v>
      </c>
      <c r="G3679" s="49" t="n">
        <v>0</v>
      </c>
      <c r="H3679" s="0" t="n">
        <v>0</v>
      </c>
      <c r="M3679" s="51" t="s">
        <v>7311</v>
      </c>
      <c r="N3679" s="49" t="n">
        <v>0</v>
      </c>
      <c r="O3679" s="53" t="n">
        <v>45776.6259837963</v>
      </c>
      <c r="P3679" s="53" t="n">
        <v>45778.8483333333</v>
      </c>
      <c r="Q3679" s="53" t="n">
        <v>45776.6259837963</v>
      </c>
      <c r="R3679" s="0" t="n">
        <v>0</v>
      </c>
      <c r="S3679" s="51" t="s">
        <v>2416</v>
      </c>
      <c r="T3679" s="51" t="s">
        <v>2416</v>
      </c>
      <c r="U3679" s="0" t="str">
        <f aca="false">"12363202"</f>
        <v>12363202</v>
      </c>
      <c r="V3679" s="51" t="s">
        <v>2365</v>
      </c>
      <c r="W3679" s="51" t="s">
        <v>6964</v>
      </c>
      <c r="X3679" s="51" t="s">
        <v>2359</v>
      </c>
    </row>
    <row r="3680" customFormat="false" ht="14.25" hidden="true" customHeight="false" outlineLevel="0" collapsed="false">
      <c r="A3680" s="49" t="s">
        <v>2349</v>
      </c>
      <c r="B3680" s="49" t="s">
        <v>2350</v>
      </c>
      <c r="C3680" s="49" t="s">
        <v>7321</v>
      </c>
      <c r="D3680" s="49" t="s">
        <v>2352</v>
      </c>
      <c r="E3680" s="49" t="str">
        <f aca="false">"12363202"</f>
        <v>12363202</v>
      </c>
      <c r="F3680" s="49" t="s">
        <v>7041</v>
      </c>
      <c r="G3680" s="49" t="n">
        <v>0</v>
      </c>
      <c r="H3680" s="0" t="n">
        <v>0</v>
      </c>
      <c r="M3680" s="51" t="s">
        <v>7311</v>
      </c>
      <c r="N3680" s="49" t="n">
        <v>0</v>
      </c>
      <c r="O3680" s="53" t="n">
        <v>45776.6216782407</v>
      </c>
      <c r="P3680" s="53" t="n">
        <v>45778.8597222222</v>
      </c>
      <c r="Q3680" s="53" t="n">
        <v>45776.6216782407</v>
      </c>
      <c r="R3680" s="0" t="n">
        <v>0</v>
      </c>
      <c r="S3680" s="51" t="s">
        <v>2416</v>
      </c>
      <c r="T3680" s="51" t="s">
        <v>2416</v>
      </c>
      <c r="U3680" s="0" t="str">
        <f aca="false">"12363202"</f>
        <v>12363202</v>
      </c>
      <c r="V3680" s="51" t="s">
        <v>2365</v>
      </c>
      <c r="W3680" s="51" t="s">
        <v>6484</v>
      </c>
      <c r="X3680" s="51" t="s">
        <v>2359</v>
      </c>
    </row>
    <row r="3681" customFormat="false" ht="14.25" hidden="true" customHeight="false" outlineLevel="0" collapsed="false">
      <c r="A3681" s="49" t="s">
        <v>2349</v>
      </c>
      <c r="B3681" s="49" t="s">
        <v>2350</v>
      </c>
      <c r="C3681" s="49" t="s">
        <v>7322</v>
      </c>
      <c r="D3681" s="49" t="s">
        <v>2352</v>
      </c>
      <c r="E3681" s="49" t="s">
        <v>4124</v>
      </c>
      <c r="F3681" s="49" t="s">
        <v>4125</v>
      </c>
      <c r="G3681" s="49" t="n">
        <v>0</v>
      </c>
      <c r="H3681" s="0" t="n">
        <v>0</v>
      </c>
      <c r="M3681" s="51" t="s">
        <v>7323</v>
      </c>
      <c r="N3681" s="49" t="n">
        <v>0</v>
      </c>
      <c r="O3681" s="53" t="n">
        <v>45770.6279282407</v>
      </c>
      <c r="P3681" s="53" t="n">
        <v>45796.4407986111</v>
      </c>
      <c r="Q3681" s="53" t="n">
        <v>45770.6279282407</v>
      </c>
      <c r="R3681" s="0" t="n">
        <v>0</v>
      </c>
      <c r="S3681" s="51" t="s">
        <v>2356</v>
      </c>
      <c r="T3681" s="51" t="s">
        <v>2356</v>
      </c>
      <c r="U3681" s="51" t="s">
        <v>4124</v>
      </c>
      <c r="V3681" s="51" t="s">
        <v>2365</v>
      </c>
      <c r="W3681" s="51" t="s">
        <v>4361</v>
      </c>
      <c r="X3681" s="51" t="s">
        <v>2359</v>
      </c>
    </row>
    <row r="3682" customFormat="false" ht="14.25" hidden="true" customHeight="false" outlineLevel="0" collapsed="false">
      <c r="A3682" s="49" t="s">
        <v>2349</v>
      </c>
      <c r="B3682" s="49" t="s">
        <v>2350</v>
      </c>
      <c r="C3682" s="49" t="s">
        <v>7324</v>
      </c>
      <c r="D3682" s="49" t="s">
        <v>2352</v>
      </c>
      <c r="E3682" s="49" t="str">
        <f aca="false">"734730225548"</f>
        <v>734730225548</v>
      </c>
      <c r="F3682" s="49" t="s">
        <v>2434</v>
      </c>
      <c r="G3682" s="49" t="n">
        <v>0</v>
      </c>
      <c r="H3682" s="0" t="n">
        <v>0</v>
      </c>
      <c r="M3682" s="51" t="s">
        <v>7325</v>
      </c>
      <c r="N3682" s="49" t="n">
        <v>0</v>
      </c>
      <c r="O3682" s="53" t="n">
        <v>45794.4118865741</v>
      </c>
      <c r="P3682" s="53" t="n">
        <v>45818.6588773148</v>
      </c>
      <c r="Q3682" s="53" t="n">
        <v>45794.4118865741</v>
      </c>
      <c r="R3682" s="0" t="n">
        <v>0</v>
      </c>
      <c r="S3682" s="51" t="s">
        <v>2416</v>
      </c>
      <c r="T3682" s="51" t="s">
        <v>2416</v>
      </c>
      <c r="U3682" s="0" t="str">
        <f aca="false">"734730225548"</f>
        <v>734730225548</v>
      </c>
      <c r="V3682" s="51" t="s">
        <v>2365</v>
      </c>
      <c r="W3682" s="51" t="s">
        <v>7326</v>
      </c>
      <c r="X3682" s="51" t="s">
        <v>2359</v>
      </c>
    </row>
    <row r="3683" customFormat="false" ht="14.25" hidden="true" customHeight="false" outlineLevel="0" collapsed="false">
      <c r="A3683" s="49" t="s">
        <v>2349</v>
      </c>
      <c r="B3683" s="49" t="s">
        <v>2350</v>
      </c>
      <c r="C3683" s="49" t="s">
        <v>7327</v>
      </c>
      <c r="D3683" s="49" t="s">
        <v>2352</v>
      </c>
      <c r="E3683" s="49" t="str">
        <f aca="false">"734730225548"</f>
        <v>734730225548</v>
      </c>
      <c r="F3683" s="49" t="s">
        <v>2434</v>
      </c>
      <c r="G3683" s="49" t="n">
        <v>0</v>
      </c>
      <c r="H3683" s="0" t="n">
        <v>0</v>
      </c>
      <c r="M3683" s="51" t="s">
        <v>7325</v>
      </c>
      <c r="N3683" s="49" t="n">
        <v>0</v>
      </c>
      <c r="O3683" s="53" t="n">
        <v>45794.4120717593</v>
      </c>
      <c r="P3683" s="53" t="n">
        <v>45855.9126851852</v>
      </c>
      <c r="Q3683" s="53" t="n">
        <v>45794.4120717593</v>
      </c>
      <c r="R3683" s="0" t="n">
        <v>0</v>
      </c>
      <c r="S3683" s="51" t="s">
        <v>2416</v>
      </c>
      <c r="T3683" s="51" t="s">
        <v>2416</v>
      </c>
      <c r="U3683" s="0" t="str">
        <f aca="false">"734730225548"</f>
        <v>734730225548</v>
      </c>
      <c r="V3683" s="51" t="s">
        <v>2365</v>
      </c>
      <c r="W3683" s="51" t="s">
        <v>7328</v>
      </c>
      <c r="X3683" s="51" t="s">
        <v>2359</v>
      </c>
    </row>
    <row r="3684" customFormat="false" ht="14.25" hidden="true" customHeight="false" outlineLevel="0" collapsed="false">
      <c r="A3684" s="49" t="s">
        <v>2349</v>
      </c>
      <c r="B3684" s="49" t="s">
        <v>2350</v>
      </c>
      <c r="C3684" s="49" t="s">
        <v>7329</v>
      </c>
      <c r="D3684" s="49" t="s">
        <v>2352</v>
      </c>
      <c r="E3684" s="49" t="str">
        <f aca="false">"734730225548"</f>
        <v>734730225548</v>
      </c>
      <c r="F3684" s="49" t="s">
        <v>2434</v>
      </c>
      <c r="G3684" s="49" t="n">
        <v>0</v>
      </c>
      <c r="H3684" s="0" t="n">
        <v>0</v>
      </c>
      <c r="M3684" s="51" t="s">
        <v>7325</v>
      </c>
      <c r="N3684" s="49" t="n">
        <v>0</v>
      </c>
      <c r="O3684" s="53" t="n">
        <v>45794.4121990741</v>
      </c>
      <c r="P3684" s="53" t="n">
        <v>45855.9143055556</v>
      </c>
      <c r="Q3684" s="53" t="n">
        <v>45794.4121990741</v>
      </c>
      <c r="R3684" s="0" t="n">
        <v>0</v>
      </c>
      <c r="S3684" s="51" t="s">
        <v>2416</v>
      </c>
      <c r="T3684" s="51" t="s">
        <v>2416</v>
      </c>
      <c r="U3684" s="0" t="str">
        <f aca="false">"734730225548"</f>
        <v>734730225548</v>
      </c>
      <c r="V3684" s="51" t="s">
        <v>2365</v>
      </c>
      <c r="W3684" s="51" t="s">
        <v>7330</v>
      </c>
      <c r="X3684" s="51" t="s">
        <v>2359</v>
      </c>
    </row>
    <row r="3685" customFormat="false" ht="14.25" hidden="true" customHeight="false" outlineLevel="0" collapsed="false">
      <c r="A3685" s="49" t="s">
        <v>2349</v>
      </c>
      <c r="B3685" s="49" t="s">
        <v>2350</v>
      </c>
      <c r="C3685" s="49" t="s">
        <v>7331</v>
      </c>
      <c r="D3685" s="49" t="s">
        <v>2352</v>
      </c>
      <c r="E3685" s="49" t="str">
        <f aca="false">"734730225548"</f>
        <v>734730225548</v>
      </c>
      <c r="F3685" s="49" t="s">
        <v>2434</v>
      </c>
      <c r="G3685" s="49" t="n">
        <v>0</v>
      </c>
      <c r="H3685" s="0" t="n">
        <v>0</v>
      </c>
      <c r="M3685" s="51" t="s">
        <v>7325</v>
      </c>
      <c r="N3685" s="49" t="n">
        <v>0</v>
      </c>
      <c r="O3685" s="53" t="n">
        <v>45794.4123148148</v>
      </c>
      <c r="P3685" s="53" t="n">
        <v>45855.9091782407</v>
      </c>
      <c r="Q3685" s="53" t="n">
        <v>45794.4123148148</v>
      </c>
      <c r="R3685" s="0" t="n">
        <v>0</v>
      </c>
      <c r="S3685" s="51" t="s">
        <v>2416</v>
      </c>
      <c r="T3685" s="51" t="s">
        <v>2416</v>
      </c>
      <c r="U3685" s="0" t="str">
        <f aca="false">"734730225548"</f>
        <v>734730225548</v>
      </c>
      <c r="V3685" s="51" t="s">
        <v>2365</v>
      </c>
      <c r="W3685" s="51" t="s">
        <v>6168</v>
      </c>
      <c r="X3685" s="51" t="s">
        <v>2359</v>
      </c>
    </row>
    <row r="3686" customFormat="false" ht="14.25" hidden="true" customHeight="false" outlineLevel="0" collapsed="false">
      <c r="A3686" s="49" t="s">
        <v>2349</v>
      </c>
      <c r="B3686" s="49" t="s">
        <v>2350</v>
      </c>
      <c r="C3686" s="49" t="s">
        <v>7332</v>
      </c>
      <c r="D3686" s="49" t="s">
        <v>2352</v>
      </c>
      <c r="E3686" s="49" t="str">
        <f aca="false">"734730225548"</f>
        <v>734730225548</v>
      </c>
      <c r="F3686" s="49" t="s">
        <v>2434</v>
      </c>
      <c r="G3686" s="49" t="n">
        <v>0</v>
      </c>
      <c r="H3686" s="0" t="n">
        <v>0</v>
      </c>
      <c r="M3686" s="51" t="s">
        <v>7325</v>
      </c>
      <c r="N3686" s="49" t="n">
        <v>0</v>
      </c>
      <c r="O3686" s="53" t="n">
        <v>45794.4124421296</v>
      </c>
      <c r="P3686" s="53" t="n">
        <v>45855.9109143519</v>
      </c>
      <c r="Q3686" s="53" t="n">
        <v>45794.4124421296</v>
      </c>
      <c r="R3686" s="0" t="n">
        <v>0</v>
      </c>
      <c r="S3686" s="51" t="s">
        <v>2416</v>
      </c>
      <c r="T3686" s="51" t="s">
        <v>2416</v>
      </c>
      <c r="U3686" s="0" t="str">
        <f aca="false">"734730225548"</f>
        <v>734730225548</v>
      </c>
      <c r="V3686" s="51" t="s">
        <v>2365</v>
      </c>
      <c r="W3686" s="51" t="s">
        <v>7333</v>
      </c>
      <c r="X3686" s="51" t="s">
        <v>2359</v>
      </c>
    </row>
    <row r="3687" customFormat="false" ht="14.25" hidden="true" customHeight="false" outlineLevel="0" collapsed="false">
      <c r="A3687" s="49" t="s">
        <v>2349</v>
      </c>
      <c r="B3687" s="49" t="s">
        <v>2350</v>
      </c>
      <c r="C3687" s="49" t="s">
        <v>7334</v>
      </c>
      <c r="D3687" s="49" t="s">
        <v>2352</v>
      </c>
      <c r="E3687" s="49" t="str">
        <f aca="false">"734730225548"</f>
        <v>734730225548</v>
      </c>
      <c r="F3687" s="49" t="s">
        <v>2434</v>
      </c>
      <c r="G3687" s="49" t="n">
        <v>0</v>
      </c>
      <c r="H3687" s="0" t="n">
        <v>0</v>
      </c>
      <c r="M3687" s="51" t="s">
        <v>7325</v>
      </c>
      <c r="N3687" s="49" t="n">
        <v>0</v>
      </c>
      <c r="O3687" s="53" t="n">
        <v>45794.4125694444</v>
      </c>
      <c r="P3687" s="53" t="n">
        <v>45803.7694212963</v>
      </c>
      <c r="Q3687" s="53" t="n">
        <v>45794.4125694444</v>
      </c>
      <c r="R3687" s="0" t="n">
        <v>0</v>
      </c>
      <c r="S3687" s="51" t="s">
        <v>2416</v>
      </c>
      <c r="T3687" s="51" t="s">
        <v>2416</v>
      </c>
      <c r="U3687" s="0" t="str">
        <f aca="false">"734730225548"</f>
        <v>734730225548</v>
      </c>
      <c r="V3687" s="51" t="s">
        <v>2365</v>
      </c>
      <c r="W3687" s="51" t="s">
        <v>5172</v>
      </c>
      <c r="X3687" s="51" t="s">
        <v>2359</v>
      </c>
    </row>
    <row r="3688" customFormat="false" ht="14.25" hidden="true" customHeight="false" outlineLevel="0" collapsed="false">
      <c r="A3688" s="49" t="s">
        <v>2349</v>
      </c>
      <c r="B3688" s="49" t="s">
        <v>2350</v>
      </c>
      <c r="C3688" s="49" t="s">
        <v>7335</v>
      </c>
      <c r="D3688" s="49" t="s">
        <v>2352</v>
      </c>
      <c r="E3688" s="49" t="str">
        <f aca="false">"734730225548"</f>
        <v>734730225548</v>
      </c>
      <c r="F3688" s="49" t="s">
        <v>2434</v>
      </c>
      <c r="G3688" s="49" t="n">
        <v>0</v>
      </c>
      <c r="H3688" s="0" t="n">
        <v>0</v>
      </c>
      <c r="M3688" s="51" t="s">
        <v>7325</v>
      </c>
      <c r="N3688" s="49" t="n">
        <v>0</v>
      </c>
      <c r="O3688" s="53" t="n">
        <v>45794.4126851852</v>
      </c>
      <c r="P3688" s="53" t="n">
        <v>45818.654537037</v>
      </c>
      <c r="Q3688" s="53" t="n">
        <v>45794.4126851852</v>
      </c>
      <c r="R3688" s="0" t="n">
        <v>0</v>
      </c>
      <c r="S3688" s="51" t="s">
        <v>2416</v>
      </c>
      <c r="T3688" s="51" t="s">
        <v>2416</v>
      </c>
      <c r="U3688" s="0" t="str">
        <f aca="false">"734730225548"</f>
        <v>734730225548</v>
      </c>
      <c r="V3688" s="51" t="s">
        <v>2365</v>
      </c>
      <c r="W3688" s="51" t="s">
        <v>5945</v>
      </c>
      <c r="X3688" s="51" t="s">
        <v>2359</v>
      </c>
    </row>
    <row r="3689" customFormat="false" ht="14.25" hidden="true" customHeight="false" outlineLevel="0" collapsed="false">
      <c r="A3689" s="49" t="s">
        <v>2349</v>
      </c>
      <c r="B3689" s="49" t="s">
        <v>2350</v>
      </c>
      <c r="C3689" s="49" t="s">
        <v>7336</v>
      </c>
      <c r="D3689" s="49" t="s">
        <v>2352</v>
      </c>
      <c r="E3689" s="49" t="str">
        <f aca="false">"734730225548"</f>
        <v>734730225548</v>
      </c>
      <c r="F3689" s="49" t="s">
        <v>2434</v>
      </c>
      <c r="G3689" s="49" t="n">
        <v>0</v>
      </c>
      <c r="H3689" s="0" t="n">
        <v>0</v>
      </c>
      <c r="M3689" s="51" t="s">
        <v>7325</v>
      </c>
      <c r="N3689" s="49" t="n">
        <v>0</v>
      </c>
      <c r="O3689" s="53" t="n">
        <v>45794.4128009259</v>
      </c>
      <c r="P3689" s="53" t="n">
        <v>45818.6524768519</v>
      </c>
      <c r="Q3689" s="53" t="n">
        <v>45794.4128009259</v>
      </c>
      <c r="R3689" s="0" t="n">
        <v>0</v>
      </c>
      <c r="S3689" s="51" t="s">
        <v>2416</v>
      </c>
      <c r="T3689" s="51" t="s">
        <v>2416</v>
      </c>
      <c r="U3689" s="0" t="str">
        <f aca="false">"734730225548"</f>
        <v>734730225548</v>
      </c>
      <c r="V3689" s="51" t="s">
        <v>2365</v>
      </c>
      <c r="W3689" s="51" t="s">
        <v>7337</v>
      </c>
      <c r="X3689" s="51" t="s">
        <v>2359</v>
      </c>
    </row>
    <row r="3690" customFormat="false" ht="14.25" hidden="true" customHeight="false" outlineLevel="0" collapsed="false">
      <c r="A3690" s="49" t="s">
        <v>2349</v>
      </c>
      <c r="B3690" s="49" t="s">
        <v>2350</v>
      </c>
      <c r="C3690" s="49" t="s">
        <v>7338</v>
      </c>
      <c r="D3690" s="49" t="s">
        <v>2352</v>
      </c>
      <c r="E3690" s="49" t="str">
        <f aca="false">"734730225548"</f>
        <v>734730225548</v>
      </c>
      <c r="F3690" s="49" t="s">
        <v>2434</v>
      </c>
      <c r="G3690" s="49" t="n">
        <v>0</v>
      </c>
      <c r="H3690" s="0" t="n">
        <v>0</v>
      </c>
      <c r="M3690" s="51" t="s">
        <v>7325</v>
      </c>
      <c r="N3690" s="49" t="n">
        <v>0</v>
      </c>
      <c r="O3690" s="53" t="n">
        <v>45794.4129282407</v>
      </c>
      <c r="P3690" s="53" t="n">
        <v>45818.6551388889</v>
      </c>
      <c r="Q3690" s="53" t="n">
        <v>45794.4129282407</v>
      </c>
      <c r="R3690" s="0" t="n">
        <v>0</v>
      </c>
      <c r="S3690" s="51" t="s">
        <v>2416</v>
      </c>
      <c r="T3690" s="51" t="s">
        <v>2416</v>
      </c>
      <c r="U3690" s="0" t="str">
        <f aca="false">"734730225548"</f>
        <v>734730225548</v>
      </c>
      <c r="V3690" s="51" t="s">
        <v>2365</v>
      </c>
      <c r="W3690" s="51" t="s">
        <v>4883</v>
      </c>
      <c r="X3690" s="51" t="s">
        <v>2359</v>
      </c>
    </row>
    <row r="3691" customFormat="false" ht="14.25" hidden="true" customHeight="false" outlineLevel="0" collapsed="false">
      <c r="A3691" s="49" t="s">
        <v>2349</v>
      </c>
      <c r="B3691" s="49" t="s">
        <v>2350</v>
      </c>
      <c r="C3691" s="49" t="s">
        <v>7339</v>
      </c>
      <c r="D3691" s="49" t="s">
        <v>2352</v>
      </c>
      <c r="E3691" s="49" t="str">
        <f aca="false">"734730225548"</f>
        <v>734730225548</v>
      </c>
      <c r="F3691" s="49" t="s">
        <v>2434</v>
      </c>
      <c r="G3691" s="49" t="n">
        <v>0</v>
      </c>
      <c r="H3691" s="0" t="n">
        <v>0</v>
      </c>
      <c r="M3691" s="51" t="s">
        <v>7325</v>
      </c>
      <c r="N3691" s="49" t="n">
        <v>0</v>
      </c>
      <c r="O3691" s="53" t="n">
        <v>45794.4130439815</v>
      </c>
      <c r="P3691" s="53" t="n">
        <v>45818.6666782407</v>
      </c>
      <c r="Q3691" s="53" t="n">
        <v>45794.4130439815</v>
      </c>
      <c r="R3691" s="0" t="n">
        <v>0</v>
      </c>
      <c r="S3691" s="51" t="s">
        <v>2416</v>
      </c>
      <c r="T3691" s="51" t="s">
        <v>2416</v>
      </c>
      <c r="U3691" s="0" t="str">
        <f aca="false">"734730225548"</f>
        <v>734730225548</v>
      </c>
      <c r="V3691" s="51" t="s">
        <v>2365</v>
      </c>
      <c r="W3691" s="51" t="s">
        <v>7340</v>
      </c>
      <c r="X3691" s="51" t="s">
        <v>2359</v>
      </c>
    </row>
    <row r="3692" customFormat="false" ht="14.25" hidden="true" customHeight="false" outlineLevel="0" collapsed="false">
      <c r="A3692" s="49" t="s">
        <v>2349</v>
      </c>
      <c r="B3692" s="49" t="s">
        <v>2350</v>
      </c>
      <c r="C3692" s="49" t="s">
        <v>7341</v>
      </c>
      <c r="D3692" s="49" t="s">
        <v>2352</v>
      </c>
      <c r="E3692" s="49" t="str">
        <f aca="false">"734730225548"</f>
        <v>734730225548</v>
      </c>
      <c r="F3692" s="49" t="s">
        <v>2434</v>
      </c>
      <c r="G3692" s="49" t="n">
        <v>0</v>
      </c>
      <c r="H3692" s="0" t="n">
        <v>0</v>
      </c>
      <c r="M3692" s="51" t="s">
        <v>7325</v>
      </c>
      <c r="N3692" s="49" t="n">
        <v>0</v>
      </c>
      <c r="O3692" s="53" t="n">
        <v>45794.4131597222</v>
      </c>
      <c r="P3692" s="53" t="n">
        <v>45818.6655324074</v>
      </c>
      <c r="Q3692" s="53" t="n">
        <v>45794.4131597222</v>
      </c>
      <c r="R3692" s="0" t="n">
        <v>0</v>
      </c>
      <c r="S3692" s="51" t="s">
        <v>2416</v>
      </c>
      <c r="T3692" s="51" t="s">
        <v>2416</v>
      </c>
      <c r="U3692" s="0" t="str">
        <f aca="false">"734730225548"</f>
        <v>734730225548</v>
      </c>
      <c r="V3692" s="51" t="s">
        <v>2365</v>
      </c>
      <c r="W3692" s="51" t="s">
        <v>7342</v>
      </c>
      <c r="X3692" s="51" t="s">
        <v>2359</v>
      </c>
    </row>
    <row r="3693" customFormat="false" ht="14.25" hidden="true" customHeight="false" outlineLevel="0" collapsed="false">
      <c r="A3693" s="49" t="s">
        <v>2349</v>
      </c>
      <c r="B3693" s="49" t="s">
        <v>2350</v>
      </c>
      <c r="C3693" s="49" t="s">
        <v>7343</v>
      </c>
      <c r="D3693" s="49" t="s">
        <v>2352</v>
      </c>
      <c r="E3693" s="49" t="str">
        <f aca="false">"734730225548"</f>
        <v>734730225548</v>
      </c>
      <c r="F3693" s="49" t="s">
        <v>2434</v>
      </c>
      <c r="G3693" s="49" t="n">
        <v>0</v>
      </c>
      <c r="H3693" s="0" t="n">
        <v>0</v>
      </c>
      <c r="M3693" s="51" t="s">
        <v>7325</v>
      </c>
      <c r="N3693" s="49" t="n">
        <v>0</v>
      </c>
      <c r="O3693" s="53" t="n">
        <v>45794.4133680556</v>
      </c>
      <c r="P3693" s="53" t="n">
        <v>45818.6646643519</v>
      </c>
      <c r="Q3693" s="53" t="n">
        <v>45794.4133680556</v>
      </c>
      <c r="R3693" s="0" t="n">
        <v>0</v>
      </c>
      <c r="S3693" s="51" t="s">
        <v>2416</v>
      </c>
      <c r="T3693" s="51" t="s">
        <v>2416</v>
      </c>
      <c r="U3693" s="0" t="str">
        <f aca="false">"734730225548"</f>
        <v>734730225548</v>
      </c>
      <c r="V3693" s="51" t="s">
        <v>2365</v>
      </c>
      <c r="W3693" s="51" t="s">
        <v>7344</v>
      </c>
      <c r="X3693" s="51" t="s">
        <v>2359</v>
      </c>
    </row>
    <row r="3694" customFormat="false" ht="14.25" hidden="true" customHeight="false" outlineLevel="0" collapsed="false">
      <c r="A3694" s="49" t="s">
        <v>2349</v>
      </c>
      <c r="B3694" s="49" t="s">
        <v>2350</v>
      </c>
      <c r="C3694" s="49" t="s">
        <v>7345</v>
      </c>
      <c r="D3694" s="49" t="s">
        <v>2352</v>
      </c>
      <c r="E3694" s="49" t="str">
        <f aca="false">"734730225548"</f>
        <v>734730225548</v>
      </c>
      <c r="F3694" s="49" t="s">
        <v>2434</v>
      </c>
      <c r="G3694" s="49" t="n">
        <v>0</v>
      </c>
      <c r="H3694" s="0" t="n">
        <v>0</v>
      </c>
      <c r="M3694" s="51" t="s">
        <v>7325</v>
      </c>
      <c r="N3694" s="49" t="n">
        <v>0</v>
      </c>
      <c r="O3694" s="53" t="n">
        <v>45794.4135300926</v>
      </c>
      <c r="P3694" s="53" t="n">
        <v>45818.6674074074</v>
      </c>
      <c r="Q3694" s="53" t="n">
        <v>45794.4135300926</v>
      </c>
      <c r="R3694" s="0" t="n">
        <v>0</v>
      </c>
      <c r="S3694" s="51" t="s">
        <v>2416</v>
      </c>
      <c r="T3694" s="51" t="s">
        <v>2416</v>
      </c>
      <c r="U3694" s="0" t="str">
        <f aca="false">"734730225548"</f>
        <v>734730225548</v>
      </c>
      <c r="V3694" s="51" t="s">
        <v>2365</v>
      </c>
      <c r="W3694" s="51" t="s">
        <v>7346</v>
      </c>
      <c r="X3694" s="51" t="s">
        <v>2359</v>
      </c>
    </row>
    <row r="3695" customFormat="false" ht="14.25" hidden="true" customHeight="false" outlineLevel="0" collapsed="false">
      <c r="A3695" s="49" t="s">
        <v>2349</v>
      </c>
      <c r="B3695" s="49" t="s">
        <v>2350</v>
      </c>
      <c r="C3695" s="49" t="s">
        <v>7347</v>
      </c>
      <c r="D3695" s="49" t="s">
        <v>2352</v>
      </c>
      <c r="E3695" s="49" t="str">
        <f aca="false">"734730225548"</f>
        <v>734730225548</v>
      </c>
      <c r="F3695" s="49" t="s">
        <v>2434</v>
      </c>
      <c r="G3695" s="49" t="n">
        <v>0</v>
      </c>
      <c r="H3695" s="0" t="n">
        <v>0</v>
      </c>
      <c r="M3695" s="51" t="s">
        <v>7325</v>
      </c>
      <c r="N3695" s="49" t="n">
        <v>0</v>
      </c>
      <c r="O3695" s="53" t="n">
        <v>45794.4117592593</v>
      </c>
      <c r="P3695" s="53" t="n">
        <v>45855.9046296296</v>
      </c>
      <c r="Q3695" s="53" t="n">
        <v>45794.4117592593</v>
      </c>
      <c r="R3695" s="0" t="n">
        <v>0</v>
      </c>
      <c r="S3695" s="51" t="s">
        <v>2416</v>
      </c>
      <c r="T3695" s="51" t="s">
        <v>2416</v>
      </c>
      <c r="U3695" s="0" t="str">
        <f aca="false">"734730225548"</f>
        <v>734730225548</v>
      </c>
      <c r="V3695" s="51" t="s">
        <v>2365</v>
      </c>
      <c r="W3695" s="51" t="s">
        <v>7348</v>
      </c>
      <c r="X3695" s="51" t="s">
        <v>2359</v>
      </c>
    </row>
    <row r="3696" customFormat="false" ht="14.25" hidden="true" customHeight="false" outlineLevel="0" collapsed="false">
      <c r="A3696" s="49" t="s">
        <v>2349</v>
      </c>
      <c r="B3696" s="49" t="s">
        <v>2350</v>
      </c>
      <c r="C3696" s="49" t="s">
        <v>7349</v>
      </c>
      <c r="D3696" s="49" t="s">
        <v>2352</v>
      </c>
      <c r="E3696" s="49" t="str">
        <f aca="false">"734730225548"</f>
        <v>734730225548</v>
      </c>
      <c r="F3696" s="49" t="s">
        <v>2434</v>
      </c>
      <c r="G3696" s="49" t="n">
        <v>0</v>
      </c>
      <c r="H3696" s="0" t="n">
        <v>0</v>
      </c>
      <c r="M3696" s="51" t="s">
        <v>7325</v>
      </c>
      <c r="N3696" s="49" t="n">
        <v>0</v>
      </c>
      <c r="O3696" s="53" t="n">
        <v>45794.4116203704</v>
      </c>
      <c r="P3696" s="53" t="n">
        <v>45818.6620601852</v>
      </c>
      <c r="Q3696" s="53" t="n">
        <v>45794.4116203704</v>
      </c>
      <c r="R3696" s="0" t="n">
        <v>0</v>
      </c>
      <c r="S3696" s="51" t="s">
        <v>2416</v>
      </c>
      <c r="T3696" s="51" t="s">
        <v>2416</v>
      </c>
      <c r="U3696" s="0" t="str">
        <f aca="false">"734730225548"</f>
        <v>734730225548</v>
      </c>
      <c r="V3696" s="51" t="s">
        <v>2365</v>
      </c>
      <c r="W3696" s="51" t="s">
        <v>7350</v>
      </c>
      <c r="X3696" s="51" t="s">
        <v>2359</v>
      </c>
    </row>
    <row r="3697" customFormat="false" ht="14.25" hidden="true" customHeight="false" outlineLevel="0" collapsed="false">
      <c r="A3697" s="49" t="s">
        <v>2349</v>
      </c>
      <c r="B3697" s="49" t="s">
        <v>2350</v>
      </c>
      <c r="C3697" s="49" t="s">
        <v>7351</v>
      </c>
      <c r="D3697" s="49" t="s">
        <v>2352</v>
      </c>
      <c r="E3697" s="49" t="str">
        <f aca="false">"734730225548"</f>
        <v>734730225548</v>
      </c>
      <c r="F3697" s="49" t="s">
        <v>2434</v>
      </c>
      <c r="G3697" s="49" t="n">
        <v>0</v>
      </c>
      <c r="H3697" s="0" t="n">
        <v>0</v>
      </c>
      <c r="M3697" s="51" t="s">
        <v>7325</v>
      </c>
      <c r="N3697" s="49" t="n">
        <v>0</v>
      </c>
      <c r="O3697" s="53" t="n">
        <v>45794.4115046296</v>
      </c>
      <c r="P3697" s="53" t="n">
        <v>45818.6732175926</v>
      </c>
      <c r="Q3697" s="53" t="n">
        <v>45794.4115046296</v>
      </c>
      <c r="R3697" s="0" t="n">
        <v>0</v>
      </c>
      <c r="S3697" s="51" t="s">
        <v>2416</v>
      </c>
      <c r="T3697" s="51" t="s">
        <v>2416</v>
      </c>
      <c r="U3697" s="0" t="str">
        <f aca="false">"734730225548"</f>
        <v>734730225548</v>
      </c>
      <c r="V3697" s="51" t="s">
        <v>2365</v>
      </c>
      <c r="W3697" s="51" t="s">
        <v>7352</v>
      </c>
      <c r="X3697" s="51" t="s">
        <v>2359</v>
      </c>
    </row>
    <row r="3698" customFormat="false" ht="14.25" hidden="true" customHeight="false" outlineLevel="0" collapsed="false">
      <c r="A3698" s="49" t="s">
        <v>2349</v>
      </c>
      <c r="B3698" s="49" t="s">
        <v>2350</v>
      </c>
      <c r="C3698" s="49" t="s">
        <v>7353</v>
      </c>
      <c r="D3698" s="49" t="s">
        <v>2352</v>
      </c>
      <c r="E3698" s="49" t="str">
        <f aca="false">"734730225548"</f>
        <v>734730225548</v>
      </c>
      <c r="F3698" s="49" t="s">
        <v>2434</v>
      </c>
      <c r="G3698" s="49" t="n">
        <v>0</v>
      </c>
      <c r="H3698" s="0" t="n">
        <v>0</v>
      </c>
      <c r="M3698" s="51" t="s">
        <v>7325</v>
      </c>
      <c r="N3698" s="49" t="n">
        <v>0</v>
      </c>
      <c r="O3698" s="53" t="n">
        <v>45794.4144444445</v>
      </c>
      <c r="P3698" s="53" t="n">
        <v>45832.4717013889</v>
      </c>
      <c r="Q3698" s="53" t="n">
        <v>45794.4144444445</v>
      </c>
      <c r="R3698" s="0" t="n">
        <v>0</v>
      </c>
      <c r="S3698" s="51" t="s">
        <v>2416</v>
      </c>
      <c r="T3698" s="51" t="s">
        <v>2416</v>
      </c>
      <c r="U3698" s="0" t="str">
        <f aca="false">"734730225548"</f>
        <v>734730225548</v>
      </c>
      <c r="V3698" s="51" t="s">
        <v>2365</v>
      </c>
      <c r="W3698" s="51" t="s">
        <v>7354</v>
      </c>
      <c r="X3698" s="51" t="s">
        <v>2359</v>
      </c>
    </row>
    <row r="3699" customFormat="false" ht="14.25" hidden="true" customHeight="false" outlineLevel="0" collapsed="false">
      <c r="A3699" s="49" t="s">
        <v>2349</v>
      </c>
      <c r="B3699" s="49" t="s">
        <v>2350</v>
      </c>
      <c r="C3699" s="49" t="s">
        <v>7355</v>
      </c>
      <c r="D3699" s="49" t="s">
        <v>2352</v>
      </c>
      <c r="E3699" s="49" t="str">
        <f aca="false">"734730225548"</f>
        <v>734730225548</v>
      </c>
      <c r="F3699" s="49" t="s">
        <v>2434</v>
      </c>
      <c r="G3699" s="49" t="n">
        <v>0</v>
      </c>
      <c r="H3699" s="0" t="n">
        <v>0</v>
      </c>
      <c r="M3699" s="51" t="s">
        <v>7325</v>
      </c>
      <c r="N3699" s="49" t="n">
        <v>0</v>
      </c>
      <c r="O3699" s="53" t="n">
        <v>45794.4146643519</v>
      </c>
      <c r="P3699" s="53" t="n">
        <v>45818.6746527778</v>
      </c>
      <c r="Q3699" s="53" t="n">
        <v>45794.4146643519</v>
      </c>
      <c r="R3699" s="0" t="n">
        <v>0</v>
      </c>
      <c r="S3699" s="51" t="s">
        <v>2416</v>
      </c>
      <c r="T3699" s="51" t="s">
        <v>2416</v>
      </c>
      <c r="U3699" s="0" t="str">
        <f aca="false">"734730225548"</f>
        <v>734730225548</v>
      </c>
      <c r="V3699" s="51" t="s">
        <v>2365</v>
      </c>
      <c r="W3699" s="51" t="s">
        <v>7356</v>
      </c>
      <c r="X3699" s="51" t="s">
        <v>2359</v>
      </c>
    </row>
    <row r="3700" customFormat="false" ht="14.25" hidden="true" customHeight="false" outlineLevel="0" collapsed="false">
      <c r="A3700" s="49" t="s">
        <v>2349</v>
      </c>
      <c r="B3700" s="49" t="s">
        <v>2350</v>
      </c>
      <c r="C3700" s="49" t="s">
        <v>7357</v>
      </c>
      <c r="D3700" s="49" t="s">
        <v>2352</v>
      </c>
      <c r="E3700" s="49" t="str">
        <f aca="false">"734730225548"</f>
        <v>734730225548</v>
      </c>
      <c r="F3700" s="49" t="s">
        <v>2434</v>
      </c>
      <c r="G3700" s="49" t="n">
        <v>0</v>
      </c>
      <c r="H3700" s="0" t="n">
        <v>0</v>
      </c>
      <c r="M3700" s="51" t="s">
        <v>7325</v>
      </c>
      <c r="N3700" s="49" t="n">
        <v>0</v>
      </c>
      <c r="O3700" s="53" t="n">
        <v>45794.4147916667</v>
      </c>
      <c r="P3700" s="53" t="n">
        <v>45818.6689814815</v>
      </c>
      <c r="Q3700" s="53" t="n">
        <v>45794.4147916667</v>
      </c>
      <c r="R3700" s="0" t="n">
        <v>0</v>
      </c>
      <c r="S3700" s="51" t="s">
        <v>2416</v>
      </c>
      <c r="T3700" s="51" t="s">
        <v>2416</v>
      </c>
      <c r="U3700" s="0" t="str">
        <f aca="false">"734730225548"</f>
        <v>734730225548</v>
      </c>
      <c r="V3700" s="51" t="s">
        <v>2365</v>
      </c>
      <c r="W3700" s="51" t="s">
        <v>4497</v>
      </c>
      <c r="X3700" s="51" t="s">
        <v>2359</v>
      </c>
    </row>
    <row r="3701" customFormat="false" ht="14.25" hidden="true" customHeight="false" outlineLevel="0" collapsed="false">
      <c r="A3701" s="49" t="s">
        <v>2349</v>
      </c>
      <c r="B3701" s="49" t="s">
        <v>2350</v>
      </c>
      <c r="C3701" s="49" t="s">
        <v>7358</v>
      </c>
      <c r="D3701" s="49" t="s">
        <v>2352</v>
      </c>
      <c r="E3701" s="49" t="str">
        <f aca="false">"734730225548"</f>
        <v>734730225548</v>
      </c>
      <c r="F3701" s="49" t="s">
        <v>2434</v>
      </c>
      <c r="G3701" s="49" t="n">
        <v>0</v>
      </c>
      <c r="H3701" s="0" t="n">
        <v>0</v>
      </c>
      <c r="M3701" s="51" t="s">
        <v>7325</v>
      </c>
      <c r="N3701" s="49" t="n">
        <v>0</v>
      </c>
      <c r="O3701" s="53" t="n">
        <v>45794.4149305556</v>
      </c>
      <c r="P3701" s="53" t="n">
        <v>45827.9065625</v>
      </c>
      <c r="Q3701" s="53" t="n">
        <v>45794.4149305556</v>
      </c>
      <c r="R3701" s="0" t="n">
        <v>0</v>
      </c>
      <c r="S3701" s="51" t="s">
        <v>2416</v>
      </c>
      <c r="T3701" s="51" t="s">
        <v>2416</v>
      </c>
      <c r="U3701" s="0" t="str">
        <f aca="false">"734730225548"</f>
        <v>734730225548</v>
      </c>
      <c r="V3701" s="51" t="s">
        <v>2365</v>
      </c>
      <c r="W3701" s="51" t="s">
        <v>7356</v>
      </c>
      <c r="X3701" s="51" t="s">
        <v>2359</v>
      </c>
    </row>
    <row r="3702" customFormat="false" ht="14.25" hidden="true" customHeight="false" outlineLevel="0" collapsed="false">
      <c r="A3702" s="49" t="s">
        <v>2349</v>
      </c>
      <c r="B3702" s="49" t="s">
        <v>2350</v>
      </c>
      <c r="C3702" s="49" t="s">
        <v>7359</v>
      </c>
      <c r="D3702" s="49" t="s">
        <v>2352</v>
      </c>
      <c r="E3702" s="49" t="str">
        <f aca="false">"734730225548"</f>
        <v>734730225548</v>
      </c>
      <c r="F3702" s="49" t="s">
        <v>2434</v>
      </c>
      <c r="G3702" s="49" t="n">
        <v>0</v>
      </c>
      <c r="H3702" s="0" t="n">
        <v>0</v>
      </c>
      <c r="M3702" s="51" t="s">
        <v>7325</v>
      </c>
      <c r="N3702" s="49" t="n">
        <v>0</v>
      </c>
      <c r="O3702" s="53" t="n">
        <v>45794.4150694445</v>
      </c>
      <c r="P3702" s="53" t="n">
        <v>45832.4738773148</v>
      </c>
      <c r="Q3702" s="53" t="n">
        <v>45794.4150694445</v>
      </c>
      <c r="R3702" s="0" t="n">
        <v>0</v>
      </c>
      <c r="S3702" s="51" t="s">
        <v>2416</v>
      </c>
      <c r="T3702" s="51" t="s">
        <v>2416</v>
      </c>
      <c r="U3702" s="0" t="str">
        <f aca="false">"734730225548"</f>
        <v>734730225548</v>
      </c>
      <c r="V3702" s="51" t="s">
        <v>2365</v>
      </c>
      <c r="W3702" s="51" t="s">
        <v>7360</v>
      </c>
      <c r="X3702" s="51" t="s">
        <v>2359</v>
      </c>
    </row>
    <row r="3703" customFormat="false" ht="14.25" hidden="true" customHeight="false" outlineLevel="0" collapsed="false">
      <c r="A3703" s="49" t="s">
        <v>2349</v>
      </c>
      <c r="B3703" s="49" t="s">
        <v>2350</v>
      </c>
      <c r="C3703" s="49" t="s">
        <v>7361</v>
      </c>
      <c r="D3703" s="49" t="s">
        <v>2352</v>
      </c>
      <c r="E3703" s="49" t="str">
        <f aca="false">"734730225548"</f>
        <v>734730225548</v>
      </c>
      <c r="F3703" s="49" t="s">
        <v>2434</v>
      </c>
      <c r="G3703" s="49" t="n">
        <v>0</v>
      </c>
      <c r="H3703" s="0" t="n">
        <v>0</v>
      </c>
      <c r="M3703" s="51" t="s">
        <v>7325</v>
      </c>
      <c r="N3703" s="49" t="n">
        <v>0</v>
      </c>
      <c r="O3703" s="53" t="n">
        <v>45794.4152430556</v>
      </c>
      <c r="P3703" s="53" t="n">
        <v>45855.4894328704</v>
      </c>
      <c r="Q3703" s="53" t="n">
        <v>45794.4152430556</v>
      </c>
      <c r="R3703" s="0" t="n">
        <v>0</v>
      </c>
      <c r="S3703" s="51" t="s">
        <v>2416</v>
      </c>
      <c r="T3703" s="51" t="s">
        <v>2416</v>
      </c>
      <c r="U3703" s="0" t="str">
        <f aca="false">"734730225548"</f>
        <v>734730225548</v>
      </c>
      <c r="V3703" s="51" t="s">
        <v>2365</v>
      </c>
      <c r="W3703" s="51" t="s">
        <v>7362</v>
      </c>
      <c r="X3703" s="51" t="s">
        <v>2359</v>
      </c>
    </row>
    <row r="3704" customFormat="false" ht="14.25" hidden="true" customHeight="false" outlineLevel="0" collapsed="false">
      <c r="A3704" s="49" t="s">
        <v>2349</v>
      </c>
      <c r="B3704" s="49" t="s">
        <v>2350</v>
      </c>
      <c r="C3704" s="49" t="s">
        <v>7363</v>
      </c>
      <c r="D3704" s="49" t="s">
        <v>2352</v>
      </c>
      <c r="E3704" s="49" t="str">
        <f aca="false">"734730225548"</f>
        <v>734730225548</v>
      </c>
      <c r="F3704" s="49" t="s">
        <v>2434</v>
      </c>
      <c r="G3704" s="49" t="n">
        <v>0</v>
      </c>
      <c r="H3704" s="0" t="n">
        <v>0</v>
      </c>
      <c r="M3704" s="51" t="s">
        <v>7325</v>
      </c>
      <c r="N3704" s="49" t="n">
        <v>0</v>
      </c>
      <c r="O3704" s="53" t="n">
        <v>45794.4153240741</v>
      </c>
      <c r="P3704" s="53" t="n">
        <v>45855.4982060185</v>
      </c>
      <c r="Q3704" s="53" t="n">
        <v>45794.4153240741</v>
      </c>
      <c r="R3704" s="0" t="n">
        <v>0</v>
      </c>
      <c r="S3704" s="51" t="s">
        <v>2416</v>
      </c>
      <c r="T3704" s="51" t="s">
        <v>2416</v>
      </c>
      <c r="U3704" s="0" t="str">
        <f aca="false">"734730225548"</f>
        <v>734730225548</v>
      </c>
      <c r="V3704" s="51" t="s">
        <v>2365</v>
      </c>
      <c r="W3704" s="51" t="s">
        <v>7364</v>
      </c>
      <c r="X3704" s="51" t="s">
        <v>2359</v>
      </c>
    </row>
    <row r="3705" customFormat="false" ht="14.25" hidden="true" customHeight="false" outlineLevel="0" collapsed="false">
      <c r="A3705" s="49" t="s">
        <v>2349</v>
      </c>
      <c r="B3705" s="49" t="s">
        <v>2350</v>
      </c>
      <c r="C3705" s="49" t="s">
        <v>7365</v>
      </c>
      <c r="D3705" s="49" t="s">
        <v>2352</v>
      </c>
      <c r="E3705" s="49" t="str">
        <f aca="false">"734730225548"</f>
        <v>734730225548</v>
      </c>
      <c r="F3705" s="49" t="s">
        <v>2434</v>
      </c>
      <c r="G3705" s="49" t="n">
        <v>0</v>
      </c>
      <c r="H3705" s="0" t="n">
        <v>0</v>
      </c>
      <c r="M3705" s="51" t="s">
        <v>7325</v>
      </c>
      <c r="N3705" s="49" t="n">
        <v>0</v>
      </c>
      <c r="O3705" s="53" t="n">
        <v>45794.4154282407</v>
      </c>
      <c r="P3705" s="53" t="n">
        <v>45850.3138425926</v>
      </c>
      <c r="Q3705" s="53" t="n">
        <v>45794.4154282407</v>
      </c>
      <c r="R3705" s="0" t="n">
        <v>0</v>
      </c>
      <c r="S3705" s="51" t="s">
        <v>2416</v>
      </c>
      <c r="T3705" s="51" t="s">
        <v>2416</v>
      </c>
      <c r="U3705" s="0" t="str">
        <f aca="false">"734730225548"</f>
        <v>734730225548</v>
      </c>
      <c r="V3705" s="51" t="s">
        <v>2365</v>
      </c>
      <c r="W3705" s="51" t="s">
        <v>6240</v>
      </c>
      <c r="X3705" s="51" t="s">
        <v>2359</v>
      </c>
    </row>
    <row r="3706" customFormat="false" ht="14.25" hidden="true" customHeight="false" outlineLevel="0" collapsed="false">
      <c r="A3706" s="49" t="s">
        <v>2349</v>
      </c>
      <c r="B3706" s="49" t="s">
        <v>2350</v>
      </c>
      <c r="C3706" s="49" t="s">
        <v>7366</v>
      </c>
      <c r="D3706" s="49" t="s">
        <v>2352</v>
      </c>
      <c r="E3706" s="49" t="str">
        <f aca="false">"734730225548"</f>
        <v>734730225548</v>
      </c>
      <c r="F3706" s="49" t="s">
        <v>2434</v>
      </c>
      <c r="G3706" s="49" t="n">
        <v>0</v>
      </c>
      <c r="H3706" s="0" t="n">
        <v>0</v>
      </c>
      <c r="M3706" s="51" t="s">
        <v>7325</v>
      </c>
      <c r="N3706" s="49" t="n">
        <v>0</v>
      </c>
      <c r="O3706" s="53" t="n">
        <v>45794.4155439815</v>
      </c>
      <c r="P3706" s="53" t="n">
        <v>45841.8599768519</v>
      </c>
      <c r="Q3706" s="53" t="n">
        <v>45794.4155439815</v>
      </c>
      <c r="R3706" s="0" t="n">
        <v>0</v>
      </c>
      <c r="S3706" s="51" t="s">
        <v>2416</v>
      </c>
      <c r="T3706" s="51" t="s">
        <v>2416</v>
      </c>
      <c r="U3706" s="0" t="str">
        <f aca="false">"734730225548"</f>
        <v>734730225548</v>
      </c>
      <c r="V3706" s="51" t="s">
        <v>2365</v>
      </c>
      <c r="W3706" s="51" t="s">
        <v>7367</v>
      </c>
      <c r="X3706" s="51" t="s">
        <v>2359</v>
      </c>
    </row>
    <row r="3707" customFormat="false" ht="14.25" hidden="true" customHeight="false" outlineLevel="0" collapsed="false">
      <c r="A3707" s="49" t="s">
        <v>2349</v>
      </c>
      <c r="B3707" s="49" t="s">
        <v>2350</v>
      </c>
      <c r="C3707" s="49" t="s">
        <v>7368</v>
      </c>
      <c r="D3707" s="49" t="s">
        <v>2352</v>
      </c>
      <c r="E3707" s="49" t="str">
        <f aca="false">"734730225548"</f>
        <v>734730225548</v>
      </c>
      <c r="F3707" s="49" t="s">
        <v>2434</v>
      </c>
      <c r="G3707" s="49" t="n">
        <v>0</v>
      </c>
      <c r="H3707" s="0" t="n">
        <v>0</v>
      </c>
      <c r="M3707" s="51" t="s">
        <v>7325</v>
      </c>
      <c r="N3707" s="49" t="n">
        <v>0</v>
      </c>
      <c r="O3707" s="53" t="n">
        <v>45794.4156481482</v>
      </c>
      <c r="P3707" s="53" t="n">
        <v>45819.4658796296</v>
      </c>
      <c r="Q3707" s="53" t="n">
        <v>45794.4156481482</v>
      </c>
      <c r="R3707" s="0" t="n">
        <v>0</v>
      </c>
      <c r="S3707" s="51" t="s">
        <v>2416</v>
      </c>
      <c r="T3707" s="51" t="s">
        <v>2416</v>
      </c>
      <c r="U3707" s="0" t="str">
        <f aca="false">"734730225548"</f>
        <v>734730225548</v>
      </c>
      <c r="V3707" s="51" t="s">
        <v>2365</v>
      </c>
      <c r="W3707" s="51" t="s">
        <v>6008</v>
      </c>
      <c r="X3707" s="51" t="s">
        <v>2359</v>
      </c>
    </row>
    <row r="3708" customFormat="false" ht="14.25" hidden="true" customHeight="false" outlineLevel="0" collapsed="false">
      <c r="A3708" s="49" t="s">
        <v>2349</v>
      </c>
      <c r="B3708" s="49" t="s">
        <v>2350</v>
      </c>
      <c r="C3708" s="49" t="s">
        <v>7369</v>
      </c>
      <c r="D3708" s="49" t="s">
        <v>2352</v>
      </c>
      <c r="E3708" s="49" t="str">
        <f aca="false">"734730225548"</f>
        <v>734730225548</v>
      </c>
      <c r="F3708" s="49" t="s">
        <v>2434</v>
      </c>
      <c r="G3708" s="49" t="n">
        <v>0</v>
      </c>
      <c r="H3708" s="0" t="n">
        <v>0</v>
      </c>
      <c r="M3708" s="51" t="s">
        <v>7325</v>
      </c>
      <c r="N3708" s="49" t="n">
        <v>0</v>
      </c>
      <c r="O3708" s="53" t="n">
        <v>45794.415775463</v>
      </c>
      <c r="P3708" s="53" t="n">
        <v>45818.6595023148</v>
      </c>
      <c r="Q3708" s="53" t="n">
        <v>45794.415775463</v>
      </c>
      <c r="R3708" s="0" t="n">
        <v>0</v>
      </c>
      <c r="S3708" s="51" t="s">
        <v>2416</v>
      </c>
      <c r="T3708" s="51" t="s">
        <v>2416</v>
      </c>
      <c r="U3708" s="0" t="str">
        <f aca="false">"734730225548"</f>
        <v>734730225548</v>
      </c>
      <c r="V3708" s="51" t="s">
        <v>2365</v>
      </c>
      <c r="W3708" s="51" t="s">
        <v>7370</v>
      </c>
      <c r="X3708" s="51" t="s">
        <v>2359</v>
      </c>
    </row>
    <row r="3709" customFormat="false" ht="14.25" hidden="true" customHeight="false" outlineLevel="0" collapsed="false">
      <c r="A3709" s="49" t="s">
        <v>2349</v>
      </c>
      <c r="B3709" s="49" t="s">
        <v>2350</v>
      </c>
      <c r="C3709" s="49" t="s">
        <v>7371</v>
      </c>
      <c r="D3709" s="49" t="s">
        <v>2352</v>
      </c>
      <c r="E3709" s="49" t="str">
        <f aca="false">"734730225548"</f>
        <v>734730225548</v>
      </c>
      <c r="F3709" s="49" t="s">
        <v>2434</v>
      </c>
      <c r="G3709" s="49" t="n">
        <v>0</v>
      </c>
      <c r="H3709" s="0" t="n">
        <v>0</v>
      </c>
      <c r="M3709" s="51" t="s">
        <v>7325</v>
      </c>
      <c r="N3709" s="49" t="n">
        <v>0</v>
      </c>
      <c r="O3709" s="53" t="n">
        <v>45794.4163773148</v>
      </c>
      <c r="P3709" s="53" t="n">
        <v>45819.7827777778</v>
      </c>
      <c r="Q3709" s="53" t="n">
        <v>45794.4163773148</v>
      </c>
      <c r="R3709" s="0" t="n">
        <v>0</v>
      </c>
      <c r="S3709" s="51" t="s">
        <v>2416</v>
      </c>
      <c r="T3709" s="51" t="s">
        <v>2416</v>
      </c>
      <c r="U3709" s="0" t="str">
        <f aca="false">"734730225548"</f>
        <v>734730225548</v>
      </c>
      <c r="V3709" s="51" t="s">
        <v>2365</v>
      </c>
      <c r="W3709" s="51" t="s">
        <v>7372</v>
      </c>
      <c r="X3709" s="51" t="s">
        <v>2359</v>
      </c>
    </row>
    <row r="3710" customFormat="false" ht="14.25" hidden="true" customHeight="false" outlineLevel="0" collapsed="false">
      <c r="A3710" s="49" t="s">
        <v>2349</v>
      </c>
      <c r="B3710" s="49" t="s">
        <v>2350</v>
      </c>
      <c r="C3710" s="49" t="s">
        <v>7373</v>
      </c>
      <c r="D3710" s="49" t="s">
        <v>2352</v>
      </c>
      <c r="E3710" s="49" t="str">
        <f aca="false">"734730225548"</f>
        <v>734730225548</v>
      </c>
      <c r="F3710" s="49" t="s">
        <v>2434</v>
      </c>
      <c r="G3710" s="49" t="n">
        <v>0</v>
      </c>
      <c r="H3710" s="0" t="n">
        <v>0</v>
      </c>
      <c r="M3710" s="51" t="s">
        <v>7325</v>
      </c>
      <c r="N3710" s="49" t="n">
        <v>0</v>
      </c>
      <c r="O3710" s="53" t="n">
        <v>45794.4164699074</v>
      </c>
      <c r="P3710" s="53" t="n">
        <v>45826.7340972222</v>
      </c>
      <c r="Q3710" s="53" t="n">
        <v>45794.4164699074</v>
      </c>
      <c r="R3710" s="0" t="n">
        <v>0</v>
      </c>
      <c r="S3710" s="51" t="s">
        <v>2416</v>
      </c>
      <c r="T3710" s="51" t="s">
        <v>2416</v>
      </c>
      <c r="U3710" s="0" t="str">
        <f aca="false">"734730225548"</f>
        <v>734730225548</v>
      </c>
      <c r="V3710" s="51" t="s">
        <v>2365</v>
      </c>
      <c r="W3710" s="51" t="s">
        <v>5630</v>
      </c>
      <c r="X3710" s="51" t="s">
        <v>2359</v>
      </c>
    </row>
    <row r="3711" customFormat="false" ht="14.25" hidden="true" customHeight="false" outlineLevel="0" collapsed="false">
      <c r="A3711" s="49" t="s">
        <v>2349</v>
      </c>
      <c r="B3711" s="49" t="s">
        <v>2350</v>
      </c>
      <c r="C3711" s="49" t="s">
        <v>7374</v>
      </c>
      <c r="D3711" s="49" t="s">
        <v>2352</v>
      </c>
      <c r="E3711" s="49" t="str">
        <f aca="false">"734730225548"</f>
        <v>734730225548</v>
      </c>
      <c r="F3711" s="49" t="s">
        <v>2434</v>
      </c>
      <c r="G3711" s="49" t="n">
        <v>0</v>
      </c>
      <c r="H3711" s="0" t="n">
        <v>0</v>
      </c>
      <c r="M3711" s="51" t="s">
        <v>7325</v>
      </c>
      <c r="N3711" s="49" t="n">
        <v>0</v>
      </c>
      <c r="O3711" s="53" t="n">
        <v>45794.4165972222</v>
      </c>
      <c r="P3711" s="53" t="n">
        <v>45818.6476388889</v>
      </c>
      <c r="Q3711" s="53" t="n">
        <v>45794.4165972222</v>
      </c>
      <c r="R3711" s="0" t="n">
        <v>0</v>
      </c>
      <c r="S3711" s="51" t="s">
        <v>2416</v>
      </c>
      <c r="T3711" s="51" t="s">
        <v>2416</v>
      </c>
      <c r="U3711" s="0" t="str">
        <f aca="false">"734730225548"</f>
        <v>734730225548</v>
      </c>
      <c r="V3711" s="51" t="s">
        <v>2365</v>
      </c>
      <c r="W3711" s="51" t="s">
        <v>7375</v>
      </c>
      <c r="X3711" s="51" t="s">
        <v>2359</v>
      </c>
    </row>
    <row r="3712" customFormat="false" ht="14.25" hidden="true" customHeight="false" outlineLevel="0" collapsed="false">
      <c r="A3712" s="49" t="s">
        <v>2349</v>
      </c>
      <c r="B3712" s="49" t="s">
        <v>2350</v>
      </c>
      <c r="C3712" s="49" t="s">
        <v>7376</v>
      </c>
      <c r="D3712" s="49" t="s">
        <v>2352</v>
      </c>
      <c r="E3712" s="49" t="str">
        <f aca="false">"734730225548"</f>
        <v>734730225548</v>
      </c>
      <c r="F3712" s="49" t="s">
        <v>2434</v>
      </c>
      <c r="G3712" s="49" t="n">
        <v>0</v>
      </c>
      <c r="H3712" s="0" t="n">
        <v>0</v>
      </c>
      <c r="M3712" s="51" t="s">
        <v>7325</v>
      </c>
      <c r="N3712" s="49" t="n">
        <v>0</v>
      </c>
      <c r="O3712" s="53" t="n">
        <v>45794.4167013889</v>
      </c>
      <c r="P3712" s="53" t="n">
        <v>45818.6498263889</v>
      </c>
      <c r="Q3712" s="53" t="n">
        <v>45794.4167013889</v>
      </c>
      <c r="R3712" s="0" t="n">
        <v>0</v>
      </c>
      <c r="S3712" s="51" t="s">
        <v>2416</v>
      </c>
      <c r="T3712" s="51" t="s">
        <v>2416</v>
      </c>
      <c r="U3712" s="0" t="str">
        <f aca="false">"734730225548"</f>
        <v>734730225548</v>
      </c>
      <c r="V3712" s="51" t="s">
        <v>2365</v>
      </c>
      <c r="W3712" s="51" t="s">
        <v>4076</v>
      </c>
      <c r="X3712" s="51" t="s">
        <v>2359</v>
      </c>
    </row>
    <row r="3713" customFormat="false" ht="14.25" hidden="true" customHeight="false" outlineLevel="0" collapsed="false">
      <c r="A3713" s="49" t="s">
        <v>2349</v>
      </c>
      <c r="B3713" s="49" t="s">
        <v>2350</v>
      </c>
      <c r="C3713" s="49" t="s">
        <v>7377</v>
      </c>
      <c r="D3713" s="49" t="s">
        <v>2352</v>
      </c>
      <c r="E3713" s="49" t="str">
        <f aca="false">"734730225548"</f>
        <v>734730225548</v>
      </c>
      <c r="F3713" s="49" t="s">
        <v>2434</v>
      </c>
      <c r="G3713" s="49" t="n">
        <v>0</v>
      </c>
      <c r="H3713" s="0" t="n">
        <v>0</v>
      </c>
      <c r="M3713" s="51" t="s">
        <v>7325</v>
      </c>
      <c r="N3713" s="49" t="n">
        <v>0</v>
      </c>
      <c r="O3713" s="53" t="n">
        <v>45794.4168055556</v>
      </c>
      <c r="P3713" s="53" t="n">
        <v>45855.9004166667</v>
      </c>
      <c r="Q3713" s="53" t="n">
        <v>45794.4168055556</v>
      </c>
      <c r="R3713" s="0" t="n">
        <v>0</v>
      </c>
      <c r="S3713" s="51" t="s">
        <v>2416</v>
      </c>
      <c r="T3713" s="51" t="s">
        <v>2416</v>
      </c>
      <c r="U3713" s="0" t="str">
        <f aca="false">"734730225548"</f>
        <v>734730225548</v>
      </c>
      <c r="V3713" s="51" t="s">
        <v>2365</v>
      </c>
      <c r="W3713" s="51" t="s">
        <v>5778</v>
      </c>
      <c r="X3713" s="51" t="s">
        <v>2359</v>
      </c>
    </row>
    <row r="3714" customFormat="false" ht="14.25" hidden="true" customHeight="false" outlineLevel="0" collapsed="false">
      <c r="A3714" s="49" t="s">
        <v>2349</v>
      </c>
      <c r="B3714" s="49" t="s">
        <v>2350</v>
      </c>
      <c r="C3714" s="49" t="s">
        <v>7378</v>
      </c>
      <c r="D3714" s="49" t="s">
        <v>2352</v>
      </c>
      <c r="E3714" s="49" t="str">
        <f aca="false">"734730225548"</f>
        <v>734730225548</v>
      </c>
      <c r="F3714" s="49" t="s">
        <v>2434</v>
      </c>
      <c r="G3714" s="49" t="n">
        <v>0</v>
      </c>
      <c r="H3714" s="0" t="n">
        <v>0</v>
      </c>
      <c r="M3714" s="51" t="s">
        <v>7325</v>
      </c>
      <c r="N3714" s="49" t="n">
        <v>0</v>
      </c>
      <c r="O3714" s="53" t="n">
        <v>45794.4175462963</v>
      </c>
      <c r="P3714" s="53" t="n">
        <v>45818.6582291667</v>
      </c>
      <c r="Q3714" s="53" t="n">
        <v>45794.4175462963</v>
      </c>
      <c r="R3714" s="0" t="n">
        <v>0</v>
      </c>
      <c r="S3714" s="51" t="s">
        <v>2416</v>
      </c>
      <c r="T3714" s="51" t="s">
        <v>2416</v>
      </c>
      <c r="U3714" s="0" t="str">
        <f aca="false">"734730225548"</f>
        <v>734730225548</v>
      </c>
      <c r="V3714" s="51" t="s">
        <v>2365</v>
      </c>
      <c r="W3714" s="51" t="s">
        <v>5657</v>
      </c>
      <c r="X3714" s="51" t="s">
        <v>2359</v>
      </c>
    </row>
    <row r="3715" customFormat="false" ht="14.25" hidden="true" customHeight="false" outlineLevel="0" collapsed="false">
      <c r="A3715" s="49" t="s">
        <v>2349</v>
      </c>
      <c r="B3715" s="49" t="s">
        <v>2350</v>
      </c>
      <c r="C3715" s="49" t="s">
        <v>7379</v>
      </c>
      <c r="D3715" s="49" t="s">
        <v>2352</v>
      </c>
      <c r="E3715" s="49" t="str">
        <f aca="false">"734730225548"</f>
        <v>734730225548</v>
      </c>
      <c r="F3715" s="49" t="s">
        <v>2434</v>
      </c>
      <c r="G3715" s="49" t="n">
        <v>0</v>
      </c>
      <c r="H3715" s="0" t="n">
        <v>0</v>
      </c>
      <c r="M3715" s="51" t="s">
        <v>7325</v>
      </c>
      <c r="N3715" s="49" t="n">
        <v>0</v>
      </c>
      <c r="O3715" s="53" t="n">
        <v>45794.4173726852</v>
      </c>
      <c r="P3715" s="53" t="n">
        <v>45855.9038888889</v>
      </c>
      <c r="Q3715" s="53" t="n">
        <v>45794.4173726852</v>
      </c>
      <c r="R3715" s="0" t="n">
        <v>0</v>
      </c>
      <c r="S3715" s="51" t="s">
        <v>2416</v>
      </c>
      <c r="T3715" s="51" t="s">
        <v>2416</v>
      </c>
      <c r="U3715" s="0" t="str">
        <f aca="false">"734730225548"</f>
        <v>734730225548</v>
      </c>
      <c r="V3715" s="51" t="s">
        <v>2365</v>
      </c>
      <c r="W3715" s="51" t="s">
        <v>7380</v>
      </c>
      <c r="X3715" s="51" t="s">
        <v>2359</v>
      </c>
    </row>
    <row r="3716" customFormat="false" ht="14.25" hidden="true" customHeight="false" outlineLevel="0" collapsed="false">
      <c r="A3716" s="49" t="s">
        <v>2349</v>
      </c>
      <c r="B3716" s="49" t="s">
        <v>2350</v>
      </c>
      <c r="C3716" s="49" t="s">
        <v>7381</v>
      </c>
      <c r="D3716" s="49" t="s">
        <v>2352</v>
      </c>
      <c r="E3716" s="49" t="str">
        <f aca="false">"734730225548"</f>
        <v>734730225548</v>
      </c>
      <c r="F3716" s="49" t="s">
        <v>2434</v>
      </c>
      <c r="G3716" s="49" t="n">
        <v>0</v>
      </c>
      <c r="H3716" s="0" t="n">
        <v>0</v>
      </c>
      <c r="M3716" s="51" t="s">
        <v>7325</v>
      </c>
      <c r="N3716" s="49" t="n">
        <v>0</v>
      </c>
      <c r="O3716" s="53" t="n">
        <v>45794.4109722222</v>
      </c>
      <c r="P3716" s="53" t="n">
        <v>45855.903287037</v>
      </c>
      <c r="Q3716" s="53" t="n">
        <v>45794.4109722222</v>
      </c>
      <c r="R3716" s="0" t="n">
        <v>0</v>
      </c>
      <c r="S3716" s="51" t="s">
        <v>2416</v>
      </c>
      <c r="T3716" s="51" t="s">
        <v>2416</v>
      </c>
      <c r="U3716" s="0" t="str">
        <f aca="false">"734730225548"</f>
        <v>734730225548</v>
      </c>
      <c r="V3716" s="51" t="s">
        <v>2365</v>
      </c>
      <c r="W3716" s="51" t="s">
        <v>7382</v>
      </c>
      <c r="X3716" s="51" t="s">
        <v>2359</v>
      </c>
    </row>
    <row r="3717" customFormat="false" ht="14.25" hidden="true" customHeight="false" outlineLevel="0" collapsed="false">
      <c r="A3717" s="49" t="s">
        <v>2349</v>
      </c>
      <c r="B3717" s="49" t="s">
        <v>2350</v>
      </c>
      <c r="C3717" s="49" t="s">
        <v>7383</v>
      </c>
      <c r="D3717" s="49" t="s">
        <v>2352</v>
      </c>
      <c r="E3717" s="49" t="str">
        <f aca="false">"734730225548"</f>
        <v>734730225548</v>
      </c>
      <c r="F3717" s="49" t="s">
        <v>2434</v>
      </c>
      <c r="G3717" s="49" t="n">
        <v>0</v>
      </c>
      <c r="H3717" s="0" t="n">
        <v>0</v>
      </c>
      <c r="M3717" s="51" t="s">
        <v>7325</v>
      </c>
      <c r="N3717" s="49" t="n">
        <v>0</v>
      </c>
      <c r="O3717" s="53" t="n">
        <v>45794.4112152778</v>
      </c>
      <c r="P3717" s="53" t="n">
        <v>45795.8654861111</v>
      </c>
      <c r="Q3717" s="53" t="n">
        <v>45794.4112152778</v>
      </c>
      <c r="R3717" s="0" t="n">
        <v>0</v>
      </c>
      <c r="S3717" s="51" t="s">
        <v>2416</v>
      </c>
      <c r="T3717" s="51" t="s">
        <v>2416</v>
      </c>
      <c r="U3717" s="0" t="str">
        <f aca="false">"734730225548"</f>
        <v>734730225548</v>
      </c>
      <c r="V3717" s="51" t="s">
        <v>2365</v>
      </c>
      <c r="W3717" s="51" t="s">
        <v>5172</v>
      </c>
      <c r="X3717" s="51" t="s">
        <v>2359</v>
      </c>
    </row>
    <row r="3718" customFormat="false" ht="14.25" hidden="true" customHeight="false" outlineLevel="0" collapsed="false">
      <c r="A3718" s="49" t="s">
        <v>2349</v>
      </c>
      <c r="B3718" s="49" t="s">
        <v>2350</v>
      </c>
      <c r="C3718" s="49" t="s">
        <v>7384</v>
      </c>
      <c r="D3718" s="49" t="s">
        <v>2352</v>
      </c>
      <c r="E3718" s="49" t="str">
        <f aca="false">"734730225548"</f>
        <v>734730225548</v>
      </c>
      <c r="F3718" s="49" t="s">
        <v>2434</v>
      </c>
      <c r="G3718" s="49" t="n">
        <v>0</v>
      </c>
      <c r="H3718" s="0" t="n">
        <v>0</v>
      </c>
      <c r="M3718" s="51" t="s">
        <v>7325</v>
      </c>
      <c r="N3718" s="49" t="n">
        <v>0</v>
      </c>
      <c r="O3718" s="53" t="n">
        <v>45795.4590046296</v>
      </c>
      <c r="P3718" s="53" t="n">
        <v>45855.9073958333</v>
      </c>
      <c r="Q3718" s="53" t="n">
        <v>45795.4590046296</v>
      </c>
      <c r="R3718" s="0" t="n">
        <v>0</v>
      </c>
      <c r="S3718" s="51" t="s">
        <v>2383</v>
      </c>
      <c r="T3718" s="51" t="s">
        <v>2383</v>
      </c>
      <c r="U3718" s="0" t="str">
        <f aca="false">"734730225548"</f>
        <v>734730225548</v>
      </c>
      <c r="V3718" s="51" t="s">
        <v>2365</v>
      </c>
      <c r="W3718" s="51" t="s">
        <v>6031</v>
      </c>
      <c r="X3718" s="51" t="s">
        <v>2359</v>
      </c>
    </row>
    <row r="3719" customFormat="false" ht="14.25" hidden="true" customHeight="false" outlineLevel="0" collapsed="false">
      <c r="A3719" s="49" t="s">
        <v>2349</v>
      </c>
      <c r="B3719" s="49" t="s">
        <v>2350</v>
      </c>
      <c r="C3719" s="49" t="s">
        <v>7385</v>
      </c>
      <c r="D3719" s="49" t="s">
        <v>2352</v>
      </c>
      <c r="E3719" s="49" t="str">
        <f aca="false">"734730225548"</f>
        <v>734730225548</v>
      </c>
      <c r="F3719" s="49" t="s">
        <v>2434</v>
      </c>
      <c r="G3719" s="49" t="n">
        <v>0</v>
      </c>
      <c r="H3719" s="0" t="n">
        <v>0</v>
      </c>
      <c r="M3719" s="51" t="s">
        <v>7325</v>
      </c>
      <c r="N3719" s="49" t="n">
        <v>0</v>
      </c>
      <c r="O3719" s="53" t="n">
        <v>45795.4588425926</v>
      </c>
      <c r="P3719" s="53" t="n">
        <v>45855.9069444445</v>
      </c>
      <c r="Q3719" s="53" t="n">
        <v>45795.4588425926</v>
      </c>
      <c r="R3719" s="0" t="n">
        <v>0</v>
      </c>
      <c r="S3719" s="51" t="s">
        <v>2383</v>
      </c>
      <c r="T3719" s="51" t="s">
        <v>2383</v>
      </c>
      <c r="U3719" s="0" t="str">
        <f aca="false">"734730225548"</f>
        <v>734730225548</v>
      </c>
      <c r="V3719" s="51" t="s">
        <v>2365</v>
      </c>
      <c r="W3719" s="51" t="s">
        <v>6033</v>
      </c>
      <c r="X3719" s="51" t="s">
        <v>2359</v>
      </c>
    </row>
    <row r="3720" customFormat="false" ht="14.25" hidden="true" customHeight="false" outlineLevel="0" collapsed="false">
      <c r="A3720" s="49" t="s">
        <v>2349</v>
      </c>
      <c r="B3720" s="49" t="s">
        <v>2350</v>
      </c>
      <c r="C3720" s="49" t="s">
        <v>7386</v>
      </c>
      <c r="D3720" s="49" t="s">
        <v>2352</v>
      </c>
      <c r="E3720" s="49" t="str">
        <f aca="false">"734730225548"</f>
        <v>734730225548</v>
      </c>
      <c r="F3720" s="49" t="s">
        <v>2434</v>
      </c>
      <c r="G3720" s="49" t="n">
        <v>0</v>
      </c>
      <c r="H3720" s="0" t="n">
        <v>0</v>
      </c>
      <c r="M3720" s="51" t="s">
        <v>7325</v>
      </c>
      <c r="N3720" s="49" t="n">
        <v>0</v>
      </c>
      <c r="O3720" s="53" t="n">
        <v>45795.4584490741</v>
      </c>
      <c r="P3720" s="53" t="n">
        <v>45855.9173726852</v>
      </c>
      <c r="Q3720" s="53" t="n">
        <v>45795.4584490741</v>
      </c>
      <c r="R3720" s="0" t="n">
        <v>0</v>
      </c>
      <c r="S3720" s="51" t="s">
        <v>2383</v>
      </c>
      <c r="T3720" s="51" t="s">
        <v>2383</v>
      </c>
      <c r="U3720" s="0" t="str">
        <f aca="false">"734730225548"</f>
        <v>734730225548</v>
      </c>
      <c r="V3720" s="51" t="s">
        <v>2365</v>
      </c>
      <c r="W3720" s="51" t="s">
        <v>7387</v>
      </c>
      <c r="X3720" s="51" t="s">
        <v>2359</v>
      </c>
    </row>
    <row r="3721" customFormat="false" ht="14.25" hidden="true" customHeight="false" outlineLevel="0" collapsed="false">
      <c r="A3721" s="49" t="s">
        <v>2349</v>
      </c>
      <c r="B3721" s="49" t="s">
        <v>2350</v>
      </c>
      <c r="C3721" s="49" t="s">
        <v>7388</v>
      </c>
      <c r="D3721" s="49" t="s">
        <v>2352</v>
      </c>
      <c r="E3721" s="49" t="str">
        <f aca="false">"734730225548"</f>
        <v>734730225548</v>
      </c>
      <c r="F3721" s="49" t="s">
        <v>2434</v>
      </c>
      <c r="G3721" s="49" t="n">
        <v>0</v>
      </c>
      <c r="H3721" s="0" t="n">
        <v>0</v>
      </c>
      <c r="M3721" s="51" t="s">
        <v>7325</v>
      </c>
      <c r="N3721" s="49" t="n">
        <v>0</v>
      </c>
      <c r="O3721" s="53" t="n">
        <v>45795.4581828704</v>
      </c>
      <c r="P3721" s="53" t="n">
        <v>45818.6566319445</v>
      </c>
      <c r="Q3721" s="53" t="n">
        <v>45795.4581828704</v>
      </c>
      <c r="R3721" s="0" t="n">
        <v>0</v>
      </c>
      <c r="S3721" s="51" t="s">
        <v>2383</v>
      </c>
      <c r="T3721" s="51" t="s">
        <v>2383</v>
      </c>
      <c r="U3721" s="0" t="str">
        <f aca="false">"734730225548"</f>
        <v>734730225548</v>
      </c>
      <c r="V3721" s="51" t="s">
        <v>2365</v>
      </c>
      <c r="W3721" s="51" t="s">
        <v>5878</v>
      </c>
      <c r="X3721" s="51" t="s">
        <v>2359</v>
      </c>
    </row>
    <row r="3722" customFormat="false" ht="14.25" hidden="true" customHeight="false" outlineLevel="0" collapsed="false">
      <c r="A3722" s="49" t="s">
        <v>2349</v>
      </c>
      <c r="B3722" s="49" t="s">
        <v>2350</v>
      </c>
      <c r="C3722" s="49" t="s">
        <v>7389</v>
      </c>
      <c r="D3722" s="49" t="s">
        <v>2352</v>
      </c>
      <c r="E3722" s="49" t="str">
        <f aca="false">"734730225548"</f>
        <v>734730225548</v>
      </c>
      <c r="F3722" s="49" t="s">
        <v>2434</v>
      </c>
      <c r="G3722" s="49" t="n">
        <v>0</v>
      </c>
      <c r="H3722" s="0" t="n">
        <v>0</v>
      </c>
      <c r="M3722" s="51" t="s">
        <v>7325</v>
      </c>
      <c r="N3722" s="49" t="n">
        <v>0</v>
      </c>
      <c r="O3722" s="53" t="n">
        <v>45795.4578472222</v>
      </c>
      <c r="P3722" s="53" t="n">
        <v>45802.4731828704</v>
      </c>
      <c r="Q3722" s="53" t="n">
        <v>45795.4578472222</v>
      </c>
      <c r="R3722" s="0" t="n">
        <v>0</v>
      </c>
      <c r="S3722" s="51" t="s">
        <v>2383</v>
      </c>
      <c r="T3722" s="51" t="s">
        <v>2383</v>
      </c>
      <c r="U3722" s="0" t="str">
        <f aca="false">"734730225548"</f>
        <v>734730225548</v>
      </c>
      <c r="V3722" s="51" t="s">
        <v>2365</v>
      </c>
      <c r="W3722" s="51" t="s">
        <v>6985</v>
      </c>
      <c r="X3722" s="51" t="s">
        <v>2359</v>
      </c>
    </row>
    <row r="3723" customFormat="false" ht="14.25" hidden="true" customHeight="false" outlineLevel="0" collapsed="false">
      <c r="A3723" s="49" t="s">
        <v>2349</v>
      </c>
      <c r="B3723" s="49" t="s">
        <v>2350</v>
      </c>
      <c r="C3723" s="49" t="s">
        <v>7390</v>
      </c>
      <c r="D3723" s="49" t="s">
        <v>2352</v>
      </c>
      <c r="E3723" s="49" t="s">
        <v>4166</v>
      </c>
      <c r="F3723" s="49" t="s">
        <v>4167</v>
      </c>
      <c r="G3723" s="49" t="n">
        <v>0</v>
      </c>
      <c r="H3723" s="0" t="n">
        <v>0</v>
      </c>
      <c r="M3723" s="51" t="s">
        <v>7391</v>
      </c>
      <c r="N3723" s="49" t="n">
        <v>0</v>
      </c>
      <c r="O3723" s="53" t="n">
        <v>45799.5097337963</v>
      </c>
      <c r="P3723" s="53" t="n">
        <v>45806.4147222222</v>
      </c>
      <c r="Q3723" s="53" t="n">
        <v>45799.5097337963</v>
      </c>
      <c r="R3723" s="0" t="n">
        <v>0</v>
      </c>
      <c r="S3723" s="51" t="s">
        <v>2356</v>
      </c>
      <c r="T3723" s="51" t="s">
        <v>2356</v>
      </c>
      <c r="U3723" s="51" t="s">
        <v>4166</v>
      </c>
      <c r="V3723" s="51" t="s">
        <v>2365</v>
      </c>
      <c r="W3723" s="51" t="s">
        <v>5392</v>
      </c>
      <c r="X3723" s="51" t="s">
        <v>2359</v>
      </c>
    </row>
    <row r="3724" customFormat="false" ht="14.25" hidden="true" customHeight="false" outlineLevel="0" collapsed="false">
      <c r="A3724" s="49" t="s">
        <v>2349</v>
      </c>
      <c r="B3724" s="49" t="s">
        <v>2350</v>
      </c>
      <c r="C3724" s="49" t="s">
        <v>7392</v>
      </c>
      <c r="D3724" s="49" t="s">
        <v>2352</v>
      </c>
      <c r="E3724" s="49" t="s">
        <v>4166</v>
      </c>
      <c r="F3724" s="49" t="s">
        <v>4167</v>
      </c>
      <c r="G3724" s="49" t="n">
        <v>0</v>
      </c>
      <c r="H3724" s="0" t="n">
        <v>0</v>
      </c>
      <c r="M3724" s="51" t="s">
        <v>7391</v>
      </c>
      <c r="N3724" s="49" t="n">
        <v>0</v>
      </c>
      <c r="O3724" s="53" t="n">
        <v>45799.5091666667</v>
      </c>
      <c r="P3724" s="53" t="n">
        <v>45806.4148611111</v>
      </c>
      <c r="Q3724" s="53" t="n">
        <v>45799.5091666667</v>
      </c>
      <c r="R3724" s="0" t="n">
        <v>0</v>
      </c>
      <c r="S3724" s="51" t="s">
        <v>2356</v>
      </c>
      <c r="T3724" s="51" t="s">
        <v>2356</v>
      </c>
      <c r="U3724" s="51" t="s">
        <v>4166</v>
      </c>
      <c r="V3724" s="51" t="s">
        <v>2365</v>
      </c>
      <c r="W3724" s="51" t="s">
        <v>7256</v>
      </c>
      <c r="X3724" s="51" t="s">
        <v>2359</v>
      </c>
    </row>
    <row r="3725" customFormat="false" ht="14.25" hidden="true" customHeight="false" outlineLevel="0" collapsed="false">
      <c r="A3725" s="49" t="s">
        <v>2349</v>
      </c>
      <c r="B3725" s="49" t="s">
        <v>2350</v>
      </c>
      <c r="C3725" s="49" t="s">
        <v>7393</v>
      </c>
      <c r="D3725" s="49" t="s">
        <v>2352</v>
      </c>
      <c r="E3725" s="49" t="s">
        <v>4166</v>
      </c>
      <c r="F3725" s="49" t="s">
        <v>4167</v>
      </c>
      <c r="G3725" s="49" t="n">
        <v>0</v>
      </c>
      <c r="H3725" s="0" t="n">
        <v>0</v>
      </c>
      <c r="M3725" s="51" t="s">
        <v>7391</v>
      </c>
      <c r="N3725" s="49" t="n">
        <v>0</v>
      </c>
      <c r="O3725" s="53" t="n">
        <v>45799.5084143519</v>
      </c>
      <c r="P3725" s="53" t="n">
        <v>45806.4145601852</v>
      </c>
      <c r="Q3725" s="53" t="n">
        <v>45799.5084143519</v>
      </c>
      <c r="R3725" s="0" t="n">
        <v>0</v>
      </c>
      <c r="S3725" s="51" t="s">
        <v>2356</v>
      </c>
      <c r="T3725" s="51" t="s">
        <v>2356</v>
      </c>
      <c r="U3725" s="51" t="s">
        <v>4166</v>
      </c>
      <c r="V3725" s="51" t="s">
        <v>2365</v>
      </c>
      <c r="W3725" s="51" t="s">
        <v>5484</v>
      </c>
      <c r="X3725" s="51" t="s">
        <v>2359</v>
      </c>
    </row>
    <row r="3726" customFormat="false" ht="14.25" hidden="true" customHeight="false" outlineLevel="0" collapsed="false">
      <c r="A3726" s="49" t="s">
        <v>2349</v>
      </c>
      <c r="B3726" s="49" t="s">
        <v>2350</v>
      </c>
      <c r="C3726" s="49" t="s">
        <v>7394</v>
      </c>
      <c r="D3726" s="49" t="s">
        <v>2352</v>
      </c>
      <c r="E3726" s="49" t="s">
        <v>4166</v>
      </c>
      <c r="F3726" s="49" t="s">
        <v>4167</v>
      </c>
      <c r="G3726" s="49" t="n">
        <v>0</v>
      </c>
      <c r="H3726" s="0" t="n">
        <v>0</v>
      </c>
      <c r="M3726" s="51" t="s">
        <v>7391</v>
      </c>
      <c r="N3726" s="49" t="n">
        <v>0</v>
      </c>
      <c r="O3726" s="53" t="n">
        <v>45799.5045833333</v>
      </c>
      <c r="P3726" s="53" t="n">
        <v>45799.6423611111</v>
      </c>
      <c r="Q3726" s="53" t="n">
        <v>45799.5045833333</v>
      </c>
      <c r="R3726" s="0" t="n">
        <v>0</v>
      </c>
      <c r="S3726" s="51" t="s">
        <v>2356</v>
      </c>
      <c r="T3726" s="51" t="s">
        <v>2356</v>
      </c>
      <c r="U3726" s="51" t="s">
        <v>4166</v>
      </c>
      <c r="V3726" s="51" t="s">
        <v>2365</v>
      </c>
      <c r="W3726" s="51" t="s">
        <v>4122</v>
      </c>
      <c r="X3726" s="51" t="s">
        <v>2359</v>
      </c>
    </row>
    <row r="3727" customFormat="false" ht="14.25" hidden="true" customHeight="false" outlineLevel="0" collapsed="false">
      <c r="A3727" s="49" t="s">
        <v>2349</v>
      </c>
      <c r="B3727" s="49" t="s">
        <v>2350</v>
      </c>
      <c r="C3727" s="49" t="s">
        <v>7395</v>
      </c>
      <c r="D3727" s="49" t="s">
        <v>2352</v>
      </c>
      <c r="E3727" s="49" t="s">
        <v>4166</v>
      </c>
      <c r="F3727" s="49" t="s">
        <v>4167</v>
      </c>
      <c r="G3727" s="49" t="n">
        <v>0</v>
      </c>
      <c r="H3727" s="0" t="n">
        <v>0</v>
      </c>
      <c r="M3727" s="51" t="s">
        <v>7391</v>
      </c>
      <c r="N3727" s="49" t="n">
        <v>0</v>
      </c>
      <c r="O3727" s="53" t="n">
        <v>45799.5041782407</v>
      </c>
      <c r="P3727" s="53" t="n">
        <v>45799.6423032407</v>
      </c>
      <c r="Q3727" s="53" t="n">
        <v>45799.5041782407</v>
      </c>
      <c r="R3727" s="0" t="n">
        <v>0</v>
      </c>
      <c r="S3727" s="51" t="s">
        <v>2356</v>
      </c>
      <c r="T3727" s="51" t="s">
        <v>2356</v>
      </c>
      <c r="U3727" s="51" t="s">
        <v>4166</v>
      </c>
      <c r="V3727" s="51" t="s">
        <v>2365</v>
      </c>
      <c r="W3727" s="51" t="s">
        <v>4120</v>
      </c>
      <c r="X3727" s="51" t="s">
        <v>2359</v>
      </c>
    </row>
    <row r="3728" customFormat="false" ht="14.25" hidden="true" customHeight="false" outlineLevel="0" collapsed="false">
      <c r="A3728" s="49" t="s">
        <v>2349</v>
      </c>
      <c r="B3728" s="49" t="s">
        <v>2350</v>
      </c>
      <c r="C3728" s="49" t="s">
        <v>7396</v>
      </c>
      <c r="D3728" s="49" t="s">
        <v>2352</v>
      </c>
      <c r="E3728" s="49" t="s">
        <v>4166</v>
      </c>
      <c r="F3728" s="49" t="s">
        <v>4167</v>
      </c>
      <c r="G3728" s="49" t="n">
        <v>0</v>
      </c>
      <c r="H3728" s="0" t="n">
        <v>0</v>
      </c>
      <c r="M3728" s="51" t="s">
        <v>7391</v>
      </c>
      <c r="N3728" s="49" t="n">
        <v>0</v>
      </c>
      <c r="O3728" s="53" t="n">
        <v>45799.5035648148</v>
      </c>
      <c r="P3728" s="53" t="n">
        <v>45799.6419444445</v>
      </c>
      <c r="Q3728" s="53" t="n">
        <v>45799.5035648148</v>
      </c>
      <c r="R3728" s="0" t="n">
        <v>0</v>
      </c>
      <c r="S3728" s="51" t="s">
        <v>2356</v>
      </c>
      <c r="T3728" s="51" t="s">
        <v>2356</v>
      </c>
      <c r="U3728" s="51" t="s">
        <v>4166</v>
      </c>
      <c r="V3728" s="51" t="s">
        <v>2365</v>
      </c>
      <c r="W3728" s="51" t="s">
        <v>7397</v>
      </c>
      <c r="X3728" s="51" t="s">
        <v>2359</v>
      </c>
    </row>
    <row r="3729" customFormat="false" ht="14.25" hidden="true" customHeight="false" outlineLevel="0" collapsed="false">
      <c r="A3729" s="49" t="s">
        <v>2349</v>
      </c>
      <c r="B3729" s="49" t="s">
        <v>2350</v>
      </c>
      <c r="C3729" s="49" t="s">
        <v>7398</v>
      </c>
      <c r="D3729" s="49" t="s">
        <v>2352</v>
      </c>
      <c r="E3729" s="49" t="s">
        <v>4166</v>
      </c>
      <c r="F3729" s="49" t="s">
        <v>4167</v>
      </c>
      <c r="G3729" s="49" t="n">
        <v>0</v>
      </c>
      <c r="H3729" s="0" t="n">
        <v>0</v>
      </c>
      <c r="M3729" s="51" t="s">
        <v>7391</v>
      </c>
      <c r="N3729" s="49" t="n">
        <v>0</v>
      </c>
      <c r="O3729" s="53" t="n">
        <v>45799.5031828704</v>
      </c>
      <c r="P3729" s="53" t="n">
        <v>45799.6428356482</v>
      </c>
      <c r="Q3729" s="53" t="n">
        <v>45799.5031828704</v>
      </c>
      <c r="R3729" s="0" t="n">
        <v>0</v>
      </c>
      <c r="S3729" s="51" t="s">
        <v>2356</v>
      </c>
      <c r="T3729" s="51" t="s">
        <v>2356</v>
      </c>
      <c r="U3729" s="51" t="s">
        <v>4166</v>
      </c>
      <c r="V3729" s="51" t="s">
        <v>2365</v>
      </c>
      <c r="W3729" s="51" t="s">
        <v>3745</v>
      </c>
      <c r="X3729" s="51" t="s">
        <v>2359</v>
      </c>
    </row>
    <row r="3730" customFormat="false" ht="14.25" hidden="true" customHeight="false" outlineLevel="0" collapsed="false">
      <c r="A3730" s="49" t="s">
        <v>2349</v>
      </c>
      <c r="B3730" s="49" t="s">
        <v>2350</v>
      </c>
      <c r="C3730" s="49" t="s">
        <v>7399</v>
      </c>
      <c r="D3730" s="49" t="s">
        <v>2352</v>
      </c>
      <c r="E3730" s="49" t="s">
        <v>4166</v>
      </c>
      <c r="F3730" s="49" t="s">
        <v>4167</v>
      </c>
      <c r="G3730" s="49" t="n">
        <v>0</v>
      </c>
      <c r="H3730" s="0" t="n">
        <v>0</v>
      </c>
      <c r="M3730" s="51" t="s">
        <v>7391</v>
      </c>
      <c r="N3730" s="49" t="n">
        <v>0</v>
      </c>
      <c r="O3730" s="53" t="n">
        <v>45799.5024074074</v>
      </c>
      <c r="P3730" s="53" t="n">
        <v>45799.6425115741</v>
      </c>
      <c r="Q3730" s="53" t="n">
        <v>45799.5024074074</v>
      </c>
      <c r="R3730" s="0" t="n">
        <v>0</v>
      </c>
      <c r="S3730" s="51" t="s">
        <v>2356</v>
      </c>
      <c r="T3730" s="51" t="s">
        <v>2356</v>
      </c>
      <c r="U3730" s="51" t="s">
        <v>4166</v>
      </c>
      <c r="V3730" s="51" t="s">
        <v>2365</v>
      </c>
      <c r="W3730" s="51" t="s">
        <v>5487</v>
      </c>
      <c r="X3730" s="51" t="s">
        <v>2359</v>
      </c>
    </row>
    <row r="3731" customFormat="false" ht="14.25" hidden="true" customHeight="false" outlineLevel="0" collapsed="false">
      <c r="A3731" s="49" t="s">
        <v>2349</v>
      </c>
      <c r="B3731" s="49" t="s">
        <v>2350</v>
      </c>
      <c r="C3731" s="49" t="s">
        <v>7400</v>
      </c>
      <c r="D3731" s="49" t="s">
        <v>2352</v>
      </c>
      <c r="E3731" s="49" t="s">
        <v>4166</v>
      </c>
      <c r="F3731" s="49" t="s">
        <v>4167</v>
      </c>
      <c r="G3731" s="49" t="n">
        <v>0</v>
      </c>
      <c r="H3731" s="0" t="n">
        <v>0</v>
      </c>
      <c r="M3731" s="51" t="s">
        <v>7391</v>
      </c>
      <c r="N3731" s="49" t="n">
        <v>0</v>
      </c>
      <c r="O3731" s="53" t="n">
        <v>45799.5019212963</v>
      </c>
      <c r="P3731" s="53" t="n">
        <v>45799.6424189815</v>
      </c>
      <c r="Q3731" s="53" t="n">
        <v>45799.5019212963</v>
      </c>
      <c r="R3731" s="0" t="n">
        <v>0</v>
      </c>
      <c r="S3731" s="51" t="s">
        <v>2356</v>
      </c>
      <c r="T3731" s="51" t="s">
        <v>2356</v>
      </c>
      <c r="U3731" s="51" t="s">
        <v>4166</v>
      </c>
      <c r="V3731" s="51" t="s">
        <v>2365</v>
      </c>
      <c r="W3731" s="51" t="s">
        <v>7401</v>
      </c>
      <c r="X3731" s="51" t="s">
        <v>2359</v>
      </c>
    </row>
    <row r="3732" customFormat="false" ht="14.25" hidden="true" customHeight="false" outlineLevel="0" collapsed="false">
      <c r="A3732" s="49" t="s">
        <v>2349</v>
      </c>
      <c r="B3732" s="49" t="s">
        <v>2350</v>
      </c>
      <c r="C3732" s="49" t="s">
        <v>7402</v>
      </c>
      <c r="D3732" s="49" t="s">
        <v>2352</v>
      </c>
      <c r="E3732" s="49" t="s">
        <v>4166</v>
      </c>
      <c r="F3732" s="49" t="s">
        <v>4167</v>
      </c>
      <c r="G3732" s="49" t="n">
        <v>0</v>
      </c>
      <c r="H3732" s="0" t="n">
        <v>0</v>
      </c>
      <c r="M3732" s="51" t="s">
        <v>7391</v>
      </c>
      <c r="N3732" s="49" t="n">
        <v>0</v>
      </c>
      <c r="O3732" s="53" t="n">
        <v>45799.5013888889</v>
      </c>
      <c r="P3732" s="53" t="n">
        <v>45806.4152199074</v>
      </c>
      <c r="Q3732" s="53" t="n">
        <v>45799.5013888889</v>
      </c>
      <c r="R3732" s="0" t="n">
        <v>0</v>
      </c>
      <c r="S3732" s="51" t="s">
        <v>2356</v>
      </c>
      <c r="T3732" s="51" t="s">
        <v>2356</v>
      </c>
      <c r="U3732" s="51" t="s">
        <v>4166</v>
      </c>
      <c r="V3732" s="51" t="s">
        <v>2365</v>
      </c>
      <c r="W3732" s="51" t="s">
        <v>7403</v>
      </c>
      <c r="X3732" s="51" t="s">
        <v>2359</v>
      </c>
    </row>
    <row r="3733" customFormat="false" ht="14.25" hidden="true" customHeight="false" outlineLevel="0" collapsed="false">
      <c r="A3733" s="49" t="s">
        <v>2349</v>
      </c>
      <c r="B3733" s="49" t="s">
        <v>2350</v>
      </c>
      <c r="C3733" s="49" t="s">
        <v>7404</v>
      </c>
      <c r="D3733" s="49" t="s">
        <v>2352</v>
      </c>
      <c r="E3733" s="49" t="s">
        <v>4166</v>
      </c>
      <c r="F3733" s="49" t="s">
        <v>4167</v>
      </c>
      <c r="G3733" s="49" t="n">
        <v>0</v>
      </c>
      <c r="H3733" s="0" t="n">
        <v>0</v>
      </c>
      <c r="M3733" s="51" t="s">
        <v>7391</v>
      </c>
      <c r="N3733" s="49" t="n">
        <v>0</v>
      </c>
      <c r="O3733" s="53" t="n">
        <v>45799.5009606482</v>
      </c>
      <c r="P3733" s="53" t="n">
        <v>45799.6420833333</v>
      </c>
      <c r="Q3733" s="53" t="n">
        <v>45799.5009606482</v>
      </c>
      <c r="R3733" s="0" t="n">
        <v>0</v>
      </c>
      <c r="S3733" s="51" t="s">
        <v>2356</v>
      </c>
      <c r="T3733" s="51" t="s">
        <v>2356</v>
      </c>
      <c r="U3733" s="51" t="s">
        <v>4166</v>
      </c>
      <c r="V3733" s="51" t="s">
        <v>2365</v>
      </c>
      <c r="W3733" s="51" t="s">
        <v>7405</v>
      </c>
      <c r="X3733" s="51" t="s">
        <v>2359</v>
      </c>
    </row>
    <row r="3734" customFormat="false" ht="14.25" hidden="true" customHeight="false" outlineLevel="0" collapsed="false">
      <c r="A3734" s="49" t="s">
        <v>2349</v>
      </c>
      <c r="B3734" s="49" t="s">
        <v>2350</v>
      </c>
      <c r="C3734" s="49" t="s">
        <v>7406</v>
      </c>
      <c r="D3734" s="49" t="s">
        <v>2352</v>
      </c>
      <c r="E3734" s="49" t="s">
        <v>7407</v>
      </c>
      <c r="F3734" s="49" t="s">
        <v>7408</v>
      </c>
      <c r="G3734" s="49" t="n">
        <v>0</v>
      </c>
      <c r="H3734" s="0" t="n">
        <v>0</v>
      </c>
      <c r="M3734" s="51" t="s">
        <v>7409</v>
      </c>
      <c r="N3734" s="49" t="n">
        <v>0</v>
      </c>
      <c r="O3734" s="53" t="n">
        <v>45782.4287037037</v>
      </c>
      <c r="P3734" s="53" t="n">
        <v>45810.5615046296</v>
      </c>
      <c r="Q3734" s="53" t="n">
        <v>45782.4287037037</v>
      </c>
      <c r="R3734" s="0" t="n">
        <v>0</v>
      </c>
      <c r="S3734" s="51" t="s">
        <v>2356</v>
      </c>
      <c r="T3734" s="51" t="s">
        <v>2356</v>
      </c>
      <c r="U3734" s="51" t="s">
        <v>7407</v>
      </c>
      <c r="V3734" s="51" t="s">
        <v>2357</v>
      </c>
      <c r="W3734" s="51" t="s">
        <v>4361</v>
      </c>
      <c r="X3734" s="51" t="s">
        <v>2359</v>
      </c>
    </row>
    <row r="3735" customFormat="false" ht="14.25" hidden="true" customHeight="false" outlineLevel="0" collapsed="false">
      <c r="A3735" s="49" t="s">
        <v>2349</v>
      </c>
      <c r="B3735" s="49" t="s">
        <v>2350</v>
      </c>
      <c r="C3735" s="49" t="s">
        <v>7410</v>
      </c>
      <c r="D3735" s="49" t="s">
        <v>2352</v>
      </c>
      <c r="E3735" s="49" t="s">
        <v>4166</v>
      </c>
      <c r="F3735" s="49" t="s">
        <v>4167</v>
      </c>
      <c r="G3735" s="49" t="n">
        <v>0</v>
      </c>
      <c r="H3735" s="0" t="n">
        <v>0</v>
      </c>
      <c r="M3735" s="51" t="s">
        <v>7411</v>
      </c>
      <c r="N3735" s="49" t="n">
        <v>0</v>
      </c>
      <c r="O3735" s="53" t="n">
        <v>45782.6780208333</v>
      </c>
      <c r="P3735" s="53" t="n">
        <v>45783.6179513889</v>
      </c>
      <c r="Q3735" s="53" t="n">
        <v>45782.6780208333</v>
      </c>
      <c r="R3735" s="0" t="n">
        <v>0</v>
      </c>
      <c r="S3735" s="51" t="s">
        <v>2356</v>
      </c>
      <c r="T3735" s="51" t="s">
        <v>2356</v>
      </c>
      <c r="U3735" s="51" t="s">
        <v>4166</v>
      </c>
      <c r="V3735" s="51" t="s">
        <v>2365</v>
      </c>
      <c r="W3735" s="51" t="s">
        <v>4588</v>
      </c>
      <c r="X3735" s="51" t="s">
        <v>2359</v>
      </c>
    </row>
    <row r="3736" customFormat="false" ht="14.25" hidden="true" customHeight="false" outlineLevel="0" collapsed="false">
      <c r="A3736" s="49" t="s">
        <v>2349</v>
      </c>
      <c r="B3736" s="49" t="s">
        <v>2350</v>
      </c>
      <c r="C3736" s="49" t="s">
        <v>7412</v>
      </c>
      <c r="D3736" s="49" t="s">
        <v>2352</v>
      </c>
      <c r="E3736" s="49" t="s">
        <v>4166</v>
      </c>
      <c r="F3736" s="49" t="s">
        <v>4167</v>
      </c>
      <c r="G3736" s="49" t="n">
        <v>0</v>
      </c>
      <c r="H3736" s="0" t="n">
        <v>0</v>
      </c>
      <c r="M3736" s="51" t="s">
        <v>7411</v>
      </c>
      <c r="N3736" s="49" t="n">
        <v>0</v>
      </c>
      <c r="O3736" s="53" t="n">
        <v>45782.6783101852</v>
      </c>
      <c r="P3736" s="53" t="n">
        <v>45787.6083680556</v>
      </c>
      <c r="Q3736" s="53" t="n">
        <v>45782.6783101852</v>
      </c>
      <c r="R3736" s="0" t="n">
        <v>0</v>
      </c>
      <c r="S3736" s="51" t="s">
        <v>2356</v>
      </c>
      <c r="T3736" s="51" t="s">
        <v>2356</v>
      </c>
      <c r="U3736" s="51" t="s">
        <v>4166</v>
      </c>
      <c r="V3736" s="51" t="s">
        <v>2365</v>
      </c>
      <c r="W3736" s="51" t="s">
        <v>5392</v>
      </c>
      <c r="X3736" s="51" t="s">
        <v>2359</v>
      </c>
    </row>
    <row r="3737" customFormat="false" ht="14.25" hidden="true" customHeight="false" outlineLevel="0" collapsed="false">
      <c r="A3737" s="49" t="s">
        <v>2349</v>
      </c>
      <c r="B3737" s="49" t="s">
        <v>2350</v>
      </c>
      <c r="C3737" s="49" t="s">
        <v>7413</v>
      </c>
      <c r="D3737" s="49" t="s">
        <v>2352</v>
      </c>
      <c r="E3737" s="49" t="s">
        <v>4166</v>
      </c>
      <c r="F3737" s="49" t="s">
        <v>4167</v>
      </c>
      <c r="G3737" s="49" t="n">
        <v>0</v>
      </c>
      <c r="H3737" s="0" t="n">
        <v>0</v>
      </c>
      <c r="M3737" s="51" t="s">
        <v>7411</v>
      </c>
      <c r="N3737" s="49" t="n">
        <v>0</v>
      </c>
      <c r="O3737" s="53" t="n">
        <v>45782.6788078704</v>
      </c>
      <c r="P3737" s="53" t="n">
        <v>45783.6180439815</v>
      </c>
      <c r="Q3737" s="53" t="n">
        <v>45782.6788078704</v>
      </c>
      <c r="R3737" s="0" t="n">
        <v>0</v>
      </c>
      <c r="S3737" s="51" t="s">
        <v>2356</v>
      </c>
      <c r="T3737" s="51" t="s">
        <v>2356</v>
      </c>
      <c r="U3737" s="51" t="s">
        <v>4166</v>
      </c>
      <c r="V3737" s="51" t="s">
        <v>2365</v>
      </c>
      <c r="W3737" s="51" t="s">
        <v>4931</v>
      </c>
      <c r="X3737" s="51" t="s">
        <v>2359</v>
      </c>
    </row>
    <row r="3738" customFormat="false" ht="14.25" hidden="true" customHeight="false" outlineLevel="0" collapsed="false">
      <c r="A3738" s="49" t="s">
        <v>2349</v>
      </c>
      <c r="B3738" s="49" t="s">
        <v>2350</v>
      </c>
      <c r="C3738" s="49" t="s">
        <v>7414</v>
      </c>
      <c r="D3738" s="49" t="s">
        <v>2352</v>
      </c>
      <c r="E3738" s="49" t="s">
        <v>4166</v>
      </c>
      <c r="F3738" s="49" t="s">
        <v>4167</v>
      </c>
      <c r="G3738" s="49" t="n">
        <v>0</v>
      </c>
      <c r="H3738" s="0" t="n">
        <v>0</v>
      </c>
      <c r="M3738" s="51" t="s">
        <v>7411</v>
      </c>
      <c r="N3738" s="49" t="n">
        <v>0</v>
      </c>
      <c r="O3738" s="53" t="n">
        <v>45782.6791666667</v>
      </c>
      <c r="P3738" s="53" t="n">
        <v>45783.6175231482</v>
      </c>
      <c r="Q3738" s="53" t="n">
        <v>45782.6791666667</v>
      </c>
      <c r="R3738" s="0" t="n">
        <v>0</v>
      </c>
      <c r="S3738" s="51" t="s">
        <v>2356</v>
      </c>
      <c r="T3738" s="51" t="s">
        <v>2356</v>
      </c>
      <c r="U3738" s="51" t="s">
        <v>4166</v>
      </c>
      <c r="V3738" s="51" t="s">
        <v>2365</v>
      </c>
      <c r="W3738" s="51" t="s">
        <v>7415</v>
      </c>
      <c r="X3738" s="51" t="s">
        <v>2359</v>
      </c>
    </row>
    <row r="3739" customFormat="false" ht="14.25" hidden="true" customHeight="false" outlineLevel="0" collapsed="false">
      <c r="A3739" s="49" t="s">
        <v>2349</v>
      </c>
      <c r="B3739" s="49" t="s">
        <v>2350</v>
      </c>
      <c r="C3739" s="49" t="s">
        <v>7416</v>
      </c>
      <c r="D3739" s="49" t="s">
        <v>2352</v>
      </c>
      <c r="E3739" s="49" t="s">
        <v>7079</v>
      </c>
      <c r="F3739" s="49" t="s">
        <v>7080</v>
      </c>
      <c r="G3739" s="49" t="n">
        <v>0</v>
      </c>
      <c r="H3739" s="0" t="n">
        <v>0</v>
      </c>
      <c r="M3739" s="51" t="s">
        <v>7417</v>
      </c>
      <c r="N3739" s="49" t="n">
        <v>0</v>
      </c>
      <c r="O3739" s="53" t="n">
        <v>45791.628912037</v>
      </c>
      <c r="P3739" s="53" t="n">
        <v>45792.3543287037</v>
      </c>
      <c r="Q3739" s="53" t="n">
        <v>45791.628912037</v>
      </c>
      <c r="R3739" s="0" t="n">
        <v>0</v>
      </c>
      <c r="S3739" s="51" t="s">
        <v>2356</v>
      </c>
      <c r="T3739" s="51" t="s">
        <v>2356</v>
      </c>
      <c r="U3739" s="51" t="s">
        <v>7079</v>
      </c>
      <c r="V3739" s="51" t="s">
        <v>2365</v>
      </c>
      <c r="W3739" s="51" t="s">
        <v>5414</v>
      </c>
      <c r="X3739" s="51" t="s">
        <v>2359</v>
      </c>
    </row>
    <row r="3740" customFormat="false" ht="14.25" hidden="true" customHeight="false" outlineLevel="0" collapsed="false">
      <c r="A3740" s="49" t="s">
        <v>2349</v>
      </c>
      <c r="B3740" s="49" t="s">
        <v>2350</v>
      </c>
      <c r="C3740" s="49" t="s">
        <v>7418</v>
      </c>
      <c r="D3740" s="49" t="s">
        <v>2352</v>
      </c>
      <c r="E3740" s="49" t="s">
        <v>7079</v>
      </c>
      <c r="F3740" s="49" t="s">
        <v>7080</v>
      </c>
      <c r="G3740" s="49" t="n">
        <v>0</v>
      </c>
      <c r="H3740" s="0" t="n">
        <v>0</v>
      </c>
      <c r="M3740" s="51" t="s">
        <v>7417</v>
      </c>
      <c r="N3740" s="49" t="n">
        <v>0</v>
      </c>
      <c r="O3740" s="53" t="n">
        <v>45791.6282175926</v>
      </c>
      <c r="P3740" s="53" t="n">
        <v>45808.5216319444</v>
      </c>
      <c r="Q3740" s="53" t="n">
        <v>45791.6282175926</v>
      </c>
      <c r="R3740" s="0" t="n">
        <v>0</v>
      </c>
      <c r="S3740" s="51" t="s">
        <v>2356</v>
      </c>
      <c r="T3740" s="51" t="s">
        <v>2356</v>
      </c>
      <c r="U3740" s="51" t="s">
        <v>7079</v>
      </c>
      <c r="V3740" s="51" t="s">
        <v>2365</v>
      </c>
      <c r="W3740" s="51" t="s">
        <v>3692</v>
      </c>
      <c r="X3740" s="51" t="s">
        <v>2359</v>
      </c>
    </row>
    <row r="3741" customFormat="false" ht="14.25" hidden="true" customHeight="false" outlineLevel="0" collapsed="false">
      <c r="A3741" s="49" t="s">
        <v>2349</v>
      </c>
      <c r="B3741" s="49" t="s">
        <v>2350</v>
      </c>
      <c r="C3741" s="49" t="s">
        <v>7419</v>
      </c>
      <c r="D3741" s="49" t="s">
        <v>2352</v>
      </c>
      <c r="E3741" s="49" t="s">
        <v>7079</v>
      </c>
      <c r="F3741" s="49" t="s">
        <v>7080</v>
      </c>
      <c r="G3741" s="49" t="n">
        <v>0</v>
      </c>
      <c r="H3741" s="0" t="n">
        <v>0</v>
      </c>
      <c r="M3741" s="51" t="s">
        <v>7417</v>
      </c>
      <c r="N3741" s="49" t="n">
        <v>0</v>
      </c>
      <c r="O3741" s="53" t="n">
        <v>45791.6255439815</v>
      </c>
      <c r="P3741" s="53" t="n">
        <v>45808.5218287037</v>
      </c>
      <c r="Q3741" s="53" t="n">
        <v>45791.6255439815</v>
      </c>
      <c r="R3741" s="0" t="n">
        <v>0</v>
      </c>
      <c r="S3741" s="51" t="s">
        <v>2356</v>
      </c>
      <c r="T3741" s="51" t="s">
        <v>2356</v>
      </c>
      <c r="U3741" s="51" t="s">
        <v>7079</v>
      </c>
      <c r="V3741" s="51" t="s">
        <v>2365</v>
      </c>
      <c r="W3741" s="51" t="s">
        <v>3687</v>
      </c>
      <c r="X3741" s="51" t="s">
        <v>2359</v>
      </c>
    </row>
    <row r="3742" customFormat="false" ht="14.25" hidden="true" customHeight="false" outlineLevel="0" collapsed="false">
      <c r="A3742" s="49" t="s">
        <v>2349</v>
      </c>
      <c r="B3742" s="49" t="s">
        <v>2350</v>
      </c>
      <c r="C3742" s="49" t="s">
        <v>7420</v>
      </c>
      <c r="D3742" s="49" t="s">
        <v>2352</v>
      </c>
      <c r="E3742" s="49" t="s">
        <v>3960</v>
      </c>
      <c r="F3742" s="49" t="s">
        <v>3961</v>
      </c>
      <c r="G3742" s="49" t="n">
        <v>0</v>
      </c>
      <c r="H3742" s="0" t="n">
        <v>0</v>
      </c>
      <c r="M3742" s="51" t="s">
        <v>7421</v>
      </c>
      <c r="N3742" s="49" t="n">
        <v>0</v>
      </c>
      <c r="O3742" s="53" t="n">
        <v>45791.6376851852</v>
      </c>
      <c r="P3742" s="53" t="n">
        <v>45795.5863310185</v>
      </c>
      <c r="Q3742" s="53" t="n">
        <v>45791.6376851852</v>
      </c>
      <c r="R3742" s="0" t="n">
        <v>0</v>
      </c>
      <c r="S3742" s="51" t="s">
        <v>2356</v>
      </c>
      <c r="T3742" s="51" t="s">
        <v>2356</v>
      </c>
      <c r="U3742" s="51" t="s">
        <v>3960</v>
      </c>
      <c r="V3742" s="51" t="s">
        <v>2365</v>
      </c>
      <c r="W3742" s="51" t="s">
        <v>4614</v>
      </c>
      <c r="X3742" s="51" t="s">
        <v>2359</v>
      </c>
    </row>
    <row r="3743" customFormat="false" ht="14.25" hidden="true" customHeight="false" outlineLevel="0" collapsed="false">
      <c r="A3743" s="49" t="s">
        <v>2349</v>
      </c>
      <c r="B3743" s="49" t="s">
        <v>2350</v>
      </c>
      <c r="C3743" s="49" t="s">
        <v>7422</v>
      </c>
      <c r="D3743" s="49" t="s">
        <v>2352</v>
      </c>
      <c r="E3743" s="49" t="s">
        <v>3960</v>
      </c>
      <c r="F3743" s="49" t="s">
        <v>3961</v>
      </c>
      <c r="G3743" s="49" t="n">
        <v>0</v>
      </c>
      <c r="H3743" s="0" t="n">
        <v>0</v>
      </c>
      <c r="M3743" s="51" t="s">
        <v>7421</v>
      </c>
      <c r="N3743" s="49" t="n">
        <v>0</v>
      </c>
      <c r="O3743" s="53" t="n">
        <v>45791.6380671296</v>
      </c>
      <c r="P3743" s="53" t="n">
        <v>45794.5498148148</v>
      </c>
      <c r="Q3743" s="53" t="n">
        <v>45791.6380671296</v>
      </c>
      <c r="R3743" s="0" t="n">
        <v>0</v>
      </c>
      <c r="S3743" s="51" t="s">
        <v>2356</v>
      </c>
      <c r="T3743" s="51" t="s">
        <v>2356</v>
      </c>
      <c r="U3743" s="51" t="s">
        <v>3960</v>
      </c>
      <c r="V3743" s="51" t="s">
        <v>2365</v>
      </c>
      <c r="W3743" s="51" t="s">
        <v>5147</v>
      </c>
      <c r="X3743" s="51" t="s">
        <v>2359</v>
      </c>
    </row>
    <row r="3744" customFormat="false" ht="14.25" hidden="true" customHeight="false" outlineLevel="0" collapsed="false">
      <c r="A3744" s="49" t="s">
        <v>2349</v>
      </c>
      <c r="B3744" s="49" t="s">
        <v>2350</v>
      </c>
      <c r="C3744" s="49" t="s">
        <v>7423</v>
      </c>
      <c r="D3744" s="49" t="s">
        <v>2352</v>
      </c>
      <c r="E3744" s="49" t="s">
        <v>3960</v>
      </c>
      <c r="F3744" s="49" t="s">
        <v>3961</v>
      </c>
      <c r="G3744" s="49" t="n">
        <v>0</v>
      </c>
      <c r="H3744" s="0" t="n">
        <v>0</v>
      </c>
      <c r="M3744" s="51" t="s">
        <v>7421</v>
      </c>
      <c r="N3744" s="49" t="n">
        <v>0</v>
      </c>
      <c r="O3744" s="53" t="n">
        <v>45791.6383564815</v>
      </c>
      <c r="P3744" s="53" t="n">
        <v>45795.4274652778</v>
      </c>
      <c r="Q3744" s="53" t="n">
        <v>45791.6383564815</v>
      </c>
      <c r="R3744" s="0" t="n">
        <v>0</v>
      </c>
      <c r="S3744" s="51" t="s">
        <v>2356</v>
      </c>
      <c r="T3744" s="51" t="s">
        <v>2356</v>
      </c>
      <c r="U3744" s="51" t="s">
        <v>3960</v>
      </c>
      <c r="V3744" s="51" t="s">
        <v>2365</v>
      </c>
      <c r="W3744" s="51" t="s">
        <v>5968</v>
      </c>
      <c r="X3744" s="51" t="s">
        <v>2359</v>
      </c>
    </row>
    <row r="3745" customFormat="false" ht="14.25" hidden="true" customHeight="false" outlineLevel="0" collapsed="false">
      <c r="A3745" s="49" t="s">
        <v>2349</v>
      </c>
      <c r="B3745" s="49" t="s">
        <v>2350</v>
      </c>
      <c r="C3745" s="49" t="s">
        <v>7424</v>
      </c>
      <c r="D3745" s="49" t="s">
        <v>2352</v>
      </c>
      <c r="E3745" s="49" t="s">
        <v>3960</v>
      </c>
      <c r="F3745" s="49" t="s">
        <v>3961</v>
      </c>
      <c r="G3745" s="49" t="n">
        <v>0</v>
      </c>
      <c r="H3745" s="0" t="n">
        <v>0</v>
      </c>
      <c r="M3745" s="51" t="s">
        <v>7421</v>
      </c>
      <c r="N3745" s="49" t="n">
        <v>0</v>
      </c>
      <c r="O3745" s="53" t="n">
        <v>45791.6388657407</v>
      </c>
      <c r="P3745" s="53" t="n">
        <v>45795.4283912037</v>
      </c>
      <c r="Q3745" s="53" t="n">
        <v>45791.6388657407</v>
      </c>
      <c r="R3745" s="0" t="n">
        <v>0</v>
      </c>
      <c r="S3745" s="51" t="s">
        <v>2356</v>
      </c>
      <c r="T3745" s="51" t="s">
        <v>2356</v>
      </c>
      <c r="U3745" s="51" t="s">
        <v>3960</v>
      </c>
      <c r="V3745" s="51" t="s">
        <v>2365</v>
      </c>
      <c r="W3745" s="51" t="s">
        <v>4146</v>
      </c>
      <c r="X3745" s="51" t="s">
        <v>2359</v>
      </c>
    </row>
    <row r="3746" customFormat="false" ht="14.25" hidden="true" customHeight="false" outlineLevel="0" collapsed="false">
      <c r="A3746" s="49" t="s">
        <v>2349</v>
      </c>
      <c r="B3746" s="49" t="s">
        <v>2350</v>
      </c>
      <c r="C3746" s="49" t="s">
        <v>7425</v>
      </c>
      <c r="D3746" s="49" t="s">
        <v>2352</v>
      </c>
      <c r="E3746" s="49" t="s">
        <v>3960</v>
      </c>
      <c r="F3746" s="49" t="s">
        <v>3961</v>
      </c>
      <c r="G3746" s="49" t="n">
        <v>0</v>
      </c>
      <c r="H3746" s="0" t="n">
        <v>0</v>
      </c>
      <c r="M3746" s="51" t="s">
        <v>7421</v>
      </c>
      <c r="N3746" s="49" t="n">
        <v>0</v>
      </c>
      <c r="O3746" s="53" t="n">
        <v>45791.6358564815</v>
      </c>
      <c r="P3746" s="53" t="n">
        <v>45795.4282175926</v>
      </c>
      <c r="Q3746" s="53" t="n">
        <v>45791.6358564815</v>
      </c>
      <c r="R3746" s="0" t="n">
        <v>0</v>
      </c>
      <c r="S3746" s="51" t="s">
        <v>2356</v>
      </c>
      <c r="T3746" s="51" t="s">
        <v>2356</v>
      </c>
      <c r="U3746" s="51" t="s">
        <v>3960</v>
      </c>
      <c r="V3746" s="51" t="s">
        <v>2365</v>
      </c>
      <c r="W3746" s="51" t="s">
        <v>4588</v>
      </c>
      <c r="X3746" s="51" t="s">
        <v>2359</v>
      </c>
    </row>
    <row r="3747" customFormat="false" ht="14.25" hidden="true" customHeight="false" outlineLevel="0" collapsed="false">
      <c r="A3747" s="49" t="s">
        <v>2349</v>
      </c>
      <c r="B3747" s="49" t="s">
        <v>2350</v>
      </c>
      <c r="C3747" s="49" t="s">
        <v>7426</v>
      </c>
      <c r="D3747" s="49" t="s">
        <v>2352</v>
      </c>
      <c r="E3747" s="49" t="s">
        <v>3960</v>
      </c>
      <c r="F3747" s="49" t="s">
        <v>3961</v>
      </c>
      <c r="G3747" s="49" t="n">
        <v>0</v>
      </c>
      <c r="H3747" s="0" t="n">
        <v>0</v>
      </c>
      <c r="M3747" s="51" t="s">
        <v>7421</v>
      </c>
      <c r="N3747" s="49" t="n">
        <v>0</v>
      </c>
      <c r="O3747" s="53" t="n">
        <v>45791.6366666667</v>
      </c>
      <c r="P3747" s="53" t="n">
        <v>45820.4753240741</v>
      </c>
      <c r="Q3747" s="53" t="n">
        <v>45791.6366666667</v>
      </c>
      <c r="R3747" s="0" t="n">
        <v>0</v>
      </c>
      <c r="S3747" s="51" t="s">
        <v>2356</v>
      </c>
      <c r="T3747" s="51" t="s">
        <v>2356</v>
      </c>
      <c r="U3747" s="51" t="s">
        <v>3960</v>
      </c>
      <c r="V3747" s="51" t="s">
        <v>2365</v>
      </c>
      <c r="W3747" s="51" t="s">
        <v>5317</v>
      </c>
      <c r="X3747" s="51" t="s">
        <v>2359</v>
      </c>
    </row>
    <row r="3748" customFormat="false" ht="14.25" hidden="true" customHeight="false" outlineLevel="0" collapsed="false">
      <c r="A3748" s="49" t="s">
        <v>2349</v>
      </c>
      <c r="B3748" s="49" t="s">
        <v>2350</v>
      </c>
      <c r="C3748" s="49" t="s">
        <v>7427</v>
      </c>
      <c r="D3748" s="49" t="s">
        <v>2352</v>
      </c>
      <c r="E3748" s="49" t="s">
        <v>3960</v>
      </c>
      <c r="F3748" s="49" t="s">
        <v>3961</v>
      </c>
      <c r="G3748" s="49" t="n">
        <v>0</v>
      </c>
      <c r="H3748" s="0" t="n">
        <v>0</v>
      </c>
      <c r="M3748" s="51" t="s">
        <v>7421</v>
      </c>
      <c r="N3748" s="49" t="n">
        <v>0</v>
      </c>
      <c r="O3748" s="53" t="n">
        <v>45791.6370486111</v>
      </c>
      <c r="P3748" s="53" t="n">
        <v>45795.4280555556</v>
      </c>
      <c r="Q3748" s="53" t="n">
        <v>45791.6370486111</v>
      </c>
      <c r="R3748" s="0" t="n">
        <v>0</v>
      </c>
      <c r="S3748" s="51" t="s">
        <v>2356</v>
      </c>
      <c r="T3748" s="51" t="s">
        <v>2356</v>
      </c>
      <c r="U3748" s="51" t="s">
        <v>3960</v>
      </c>
      <c r="V3748" s="51" t="s">
        <v>2365</v>
      </c>
      <c r="W3748" s="51" t="s">
        <v>7428</v>
      </c>
      <c r="X3748" s="51" t="s">
        <v>2359</v>
      </c>
    </row>
    <row r="3749" customFormat="false" ht="14.25" hidden="true" customHeight="false" outlineLevel="0" collapsed="false">
      <c r="A3749" s="49" t="s">
        <v>2349</v>
      </c>
      <c r="B3749" s="49" t="s">
        <v>2350</v>
      </c>
      <c r="C3749" s="49" t="s">
        <v>7429</v>
      </c>
      <c r="D3749" s="49" t="s">
        <v>2352</v>
      </c>
      <c r="E3749" s="49" t="str">
        <f aca="false">"734730225548"</f>
        <v>734730225548</v>
      </c>
      <c r="F3749" s="49" t="s">
        <v>2434</v>
      </c>
      <c r="G3749" s="49" t="n">
        <v>0</v>
      </c>
      <c r="H3749" s="0" t="n">
        <v>0</v>
      </c>
      <c r="M3749" s="51" t="s">
        <v>7430</v>
      </c>
      <c r="N3749" s="49" t="n">
        <v>0</v>
      </c>
      <c r="O3749" s="53" t="n">
        <v>45795.3533796296</v>
      </c>
      <c r="P3749" s="53" t="n">
        <v>45795.8721759259</v>
      </c>
      <c r="Q3749" s="53" t="n">
        <v>45795.3533796296</v>
      </c>
      <c r="R3749" s="0" t="n">
        <v>0</v>
      </c>
      <c r="S3749" s="51" t="s">
        <v>2401</v>
      </c>
      <c r="T3749" s="51" t="s">
        <v>2401</v>
      </c>
      <c r="U3749" s="0" t="str">
        <f aca="false">"734730225548"</f>
        <v>734730225548</v>
      </c>
      <c r="V3749" s="51" t="s">
        <v>2365</v>
      </c>
      <c r="W3749" s="51" t="s">
        <v>4554</v>
      </c>
      <c r="X3749" s="51" t="s">
        <v>2359</v>
      </c>
    </row>
    <row r="3750" customFormat="false" ht="14.25" hidden="true" customHeight="false" outlineLevel="0" collapsed="false">
      <c r="A3750" s="49" t="s">
        <v>2349</v>
      </c>
      <c r="B3750" s="49" t="s">
        <v>2350</v>
      </c>
      <c r="C3750" s="49" t="s">
        <v>7431</v>
      </c>
      <c r="D3750" s="49" t="s">
        <v>2352</v>
      </c>
      <c r="E3750" s="49" t="str">
        <f aca="false">"734730225548"</f>
        <v>734730225548</v>
      </c>
      <c r="F3750" s="49" t="s">
        <v>2434</v>
      </c>
      <c r="G3750" s="49" t="n">
        <v>0</v>
      </c>
      <c r="H3750" s="0" t="n">
        <v>0</v>
      </c>
      <c r="M3750" s="51" t="s">
        <v>7430</v>
      </c>
      <c r="N3750" s="49" t="n">
        <v>0</v>
      </c>
      <c r="O3750" s="53" t="n">
        <v>45795.3542939815</v>
      </c>
      <c r="P3750" s="53" t="n">
        <v>45795.8724537037</v>
      </c>
      <c r="Q3750" s="53" t="n">
        <v>45795.3542939815</v>
      </c>
      <c r="R3750" s="0" t="n">
        <v>0</v>
      </c>
      <c r="S3750" s="51" t="s">
        <v>2401</v>
      </c>
      <c r="T3750" s="51" t="s">
        <v>2401</v>
      </c>
      <c r="U3750" s="0" t="str">
        <f aca="false">"734730225548"</f>
        <v>734730225548</v>
      </c>
      <c r="V3750" s="51" t="s">
        <v>2365</v>
      </c>
      <c r="W3750" s="51" t="s">
        <v>7432</v>
      </c>
      <c r="X3750" s="51" t="s">
        <v>2359</v>
      </c>
    </row>
    <row r="3751" customFormat="false" ht="14.25" hidden="true" customHeight="false" outlineLevel="0" collapsed="false">
      <c r="A3751" s="49" t="s">
        <v>2349</v>
      </c>
      <c r="B3751" s="49" t="s">
        <v>2350</v>
      </c>
      <c r="C3751" s="49" t="s">
        <v>7433</v>
      </c>
      <c r="D3751" s="49" t="s">
        <v>2352</v>
      </c>
      <c r="E3751" s="49" t="str">
        <f aca="false">"734730225548"</f>
        <v>734730225548</v>
      </c>
      <c r="F3751" s="49" t="s">
        <v>2434</v>
      </c>
      <c r="G3751" s="49" t="n">
        <v>0</v>
      </c>
      <c r="H3751" s="0" t="n">
        <v>0</v>
      </c>
      <c r="M3751" s="51" t="s">
        <v>7430</v>
      </c>
      <c r="N3751" s="49" t="n">
        <v>0</v>
      </c>
      <c r="O3751" s="53" t="n">
        <v>45795.3546990741</v>
      </c>
      <c r="P3751" s="53" t="n">
        <v>45795.8723148148</v>
      </c>
      <c r="Q3751" s="53" t="n">
        <v>45795.3546990741</v>
      </c>
      <c r="R3751" s="0" t="n">
        <v>0</v>
      </c>
      <c r="S3751" s="51" t="s">
        <v>2401</v>
      </c>
      <c r="T3751" s="51" t="s">
        <v>2401</v>
      </c>
      <c r="U3751" s="0" t="str">
        <f aca="false">"734730225548"</f>
        <v>734730225548</v>
      </c>
      <c r="V3751" s="51" t="s">
        <v>2365</v>
      </c>
      <c r="W3751" s="51" t="s">
        <v>7434</v>
      </c>
      <c r="X3751" s="51" t="s">
        <v>2359</v>
      </c>
    </row>
    <row r="3752" customFormat="false" ht="14.25" hidden="true" customHeight="false" outlineLevel="0" collapsed="false">
      <c r="A3752" s="49" t="s">
        <v>2349</v>
      </c>
      <c r="B3752" s="49" t="s">
        <v>2350</v>
      </c>
      <c r="C3752" s="49" t="s">
        <v>7435</v>
      </c>
      <c r="D3752" s="49" t="s">
        <v>2352</v>
      </c>
      <c r="E3752" s="49" t="str">
        <f aca="false">"734730225548"</f>
        <v>734730225548</v>
      </c>
      <c r="F3752" s="49" t="s">
        <v>2434</v>
      </c>
      <c r="G3752" s="49" t="n">
        <v>0</v>
      </c>
      <c r="H3752" s="0" t="n">
        <v>0</v>
      </c>
      <c r="M3752" s="51" t="s">
        <v>7430</v>
      </c>
      <c r="N3752" s="49" t="n">
        <v>0</v>
      </c>
      <c r="O3752" s="53" t="n">
        <v>45795.3548842593</v>
      </c>
      <c r="P3752" s="53" t="n">
        <v>45795.8725347222</v>
      </c>
      <c r="Q3752" s="53" t="n">
        <v>45795.3548842593</v>
      </c>
      <c r="R3752" s="0" t="n">
        <v>0</v>
      </c>
      <c r="S3752" s="51" t="s">
        <v>2401</v>
      </c>
      <c r="T3752" s="51" t="s">
        <v>2401</v>
      </c>
      <c r="U3752" s="0" t="str">
        <f aca="false">"734730225548"</f>
        <v>734730225548</v>
      </c>
      <c r="V3752" s="51" t="s">
        <v>2365</v>
      </c>
      <c r="W3752" s="51" t="s">
        <v>4552</v>
      </c>
      <c r="X3752" s="51" t="s">
        <v>2359</v>
      </c>
    </row>
    <row r="3753" customFormat="false" ht="14.25" hidden="true" customHeight="false" outlineLevel="0" collapsed="false">
      <c r="A3753" s="49" t="s">
        <v>2349</v>
      </c>
      <c r="B3753" s="49" t="s">
        <v>2350</v>
      </c>
      <c r="C3753" s="49" t="s">
        <v>7436</v>
      </c>
      <c r="D3753" s="49" t="s">
        <v>2352</v>
      </c>
      <c r="E3753" s="49" t="str">
        <f aca="false">"734730225548"</f>
        <v>734730225548</v>
      </c>
      <c r="F3753" s="49" t="s">
        <v>2434</v>
      </c>
      <c r="G3753" s="49" t="n">
        <v>0</v>
      </c>
      <c r="H3753" s="0" t="n">
        <v>0</v>
      </c>
      <c r="M3753" s="51" t="s">
        <v>7430</v>
      </c>
      <c r="N3753" s="49" t="n">
        <v>0</v>
      </c>
      <c r="O3753" s="53" t="n">
        <v>45795.3550810185</v>
      </c>
      <c r="P3753" s="53" t="n">
        <v>45795.8726273148</v>
      </c>
      <c r="Q3753" s="53" t="n">
        <v>45795.3550810185</v>
      </c>
      <c r="R3753" s="0" t="n">
        <v>0</v>
      </c>
      <c r="S3753" s="51" t="s">
        <v>2401</v>
      </c>
      <c r="T3753" s="51" t="s">
        <v>2401</v>
      </c>
      <c r="U3753" s="0" t="str">
        <f aca="false">"734730225548"</f>
        <v>734730225548</v>
      </c>
      <c r="V3753" s="51" t="s">
        <v>2365</v>
      </c>
      <c r="W3753" s="51" t="s">
        <v>4533</v>
      </c>
      <c r="X3753" s="51" t="s">
        <v>2359</v>
      </c>
    </row>
    <row r="3754" customFormat="false" ht="14.25" hidden="true" customHeight="false" outlineLevel="0" collapsed="false">
      <c r="A3754" s="49" t="s">
        <v>2349</v>
      </c>
      <c r="B3754" s="49" t="s">
        <v>2350</v>
      </c>
      <c r="C3754" s="49" t="s">
        <v>7437</v>
      </c>
      <c r="D3754" s="49" t="s">
        <v>2352</v>
      </c>
      <c r="E3754" s="49" t="str">
        <f aca="false">"734730225548"</f>
        <v>734730225548</v>
      </c>
      <c r="F3754" s="49" t="s">
        <v>2434</v>
      </c>
      <c r="G3754" s="49" t="n">
        <v>0</v>
      </c>
      <c r="H3754" s="0" t="n">
        <v>0</v>
      </c>
      <c r="M3754" s="51" t="s">
        <v>7430</v>
      </c>
      <c r="N3754" s="49" t="n">
        <v>0</v>
      </c>
      <c r="O3754" s="53" t="n">
        <v>45795.3553356482</v>
      </c>
      <c r="P3754" s="53" t="n">
        <v>45795.8727083333</v>
      </c>
      <c r="Q3754" s="53" t="n">
        <v>45795.3553356482</v>
      </c>
      <c r="R3754" s="0" t="n">
        <v>0</v>
      </c>
      <c r="S3754" s="51" t="s">
        <v>2401</v>
      </c>
      <c r="T3754" s="51" t="s">
        <v>2401</v>
      </c>
      <c r="U3754" s="0" t="str">
        <f aca="false">"734730225548"</f>
        <v>734730225548</v>
      </c>
      <c r="V3754" s="51" t="s">
        <v>2365</v>
      </c>
      <c r="W3754" s="51" t="s">
        <v>7438</v>
      </c>
      <c r="X3754" s="51" t="s">
        <v>2359</v>
      </c>
    </row>
    <row r="3755" customFormat="false" ht="14.25" hidden="true" customHeight="false" outlineLevel="0" collapsed="false">
      <c r="A3755" s="49" t="s">
        <v>2349</v>
      </c>
      <c r="B3755" s="49" t="s">
        <v>2350</v>
      </c>
      <c r="C3755" s="49" t="s">
        <v>7439</v>
      </c>
      <c r="D3755" s="49" t="s">
        <v>2352</v>
      </c>
      <c r="E3755" s="49" t="str">
        <f aca="false">"734730225548"</f>
        <v>734730225548</v>
      </c>
      <c r="F3755" s="49" t="s">
        <v>2434</v>
      </c>
      <c r="G3755" s="49" t="n">
        <v>0</v>
      </c>
      <c r="H3755" s="0" t="n">
        <v>0</v>
      </c>
      <c r="M3755" s="51" t="s">
        <v>7430</v>
      </c>
      <c r="N3755" s="49" t="n">
        <v>0</v>
      </c>
      <c r="O3755" s="53" t="n">
        <v>45795.3558217593</v>
      </c>
      <c r="P3755" s="53" t="n">
        <v>45795.8753240741</v>
      </c>
      <c r="Q3755" s="53" t="n">
        <v>45795.3558217593</v>
      </c>
      <c r="R3755" s="0" t="n">
        <v>0</v>
      </c>
      <c r="S3755" s="51" t="s">
        <v>2401</v>
      </c>
      <c r="T3755" s="51" t="s">
        <v>2401</v>
      </c>
      <c r="U3755" s="0" t="str">
        <f aca="false">"734730225548"</f>
        <v>734730225548</v>
      </c>
      <c r="V3755" s="51" t="s">
        <v>2365</v>
      </c>
      <c r="W3755" s="51" t="s">
        <v>4529</v>
      </c>
      <c r="X3755" s="51" t="s">
        <v>2359</v>
      </c>
    </row>
    <row r="3756" customFormat="false" ht="14.25" hidden="true" customHeight="false" outlineLevel="0" collapsed="false">
      <c r="A3756" s="49" t="s">
        <v>2349</v>
      </c>
      <c r="B3756" s="49" t="s">
        <v>2350</v>
      </c>
      <c r="C3756" s="49" t="s">
        <v>7440</v>
      </c>
      <c r="D3756" s="49" t="s">
        <v>2352</v>
      </c>
      <c r="E3756" s="49" t="str">
        <f aca="false">"734730225548"</f>
        <v>734730225548</v>
      </c>
      <c r="F3756" s="49" t="s">
        <v>2434</v>
      </c>
      <c r="G3756" s="49" t="n">
        <v>0</v>
      </c>
      <c r="H3756" s="0" t="n">
        <v>0</v>
      </c>
      <c r="M3756" s="51" t="s">
        <v>7430</v>
      </c>
      <c r="N3756" s="49" t="n">
        <v>0</v>
      </c>
      <c r="O3756" s="53" t="n">
        <v>45795.3561226852</v>
      </c>
      <c r="P3756" s="53" t="n">
        <v>45795.8759027778</v>
      </c>
      <c r="Q3756" s="53" t="n">
        <v>45795.3561226852</v>
      </c>
      <c r="R3756" s="0" t="n">
        <v>0</v>
      </c>
      <c r="S3756" s="51" t="s">
        <v>2401</v>
      </c>
      <c r="T3756" s="51" t="s">
        <v>2401</v>
      </c>
      <c r="U3756" s="0" t="str">
        <f aca="false">"734730225548"</f>
        <v>734730225548</v>
      </c>
      <c r="V3756" s="51" t="s">
        <v>2365</v>
      </c>
      <c r="W3756" s="51" t="s">
        <v>7441</v>
      </c>
      <c r="X3756" s="51" t="s">
        <v>2359</v>
      </c>
    </row>
    <row r="3757" customFormat="false" ht="14.25" hidden="true" customHeight="false" outlineLevel="0" collapsed="false">
      <c r="A3757" s="49" t="s">
        <v>2349</v>
      </c>
      <c r="B3757" s="49" t="s">
        <v>2350</v>
      </c>
      <c r="C3757" s="49" t="s">
        <v>7442</v>
      </c>
      <c r="D3757" s="49" t="s">
        <v>2352</v>
      </c>
      <c r="E3757" s="49" t="str">
        <f aca="false">"734730225548"</f>
        <v>734730225548</v>
      </c>
      <c r="F3757" s="49" t="s">
        <v>2434</v>
      </c>
      <c r="G3757" s="49" t="n">
        <v>0</v>
      </c>
      <c r="H3757" s="0" t="n">
        <v>0</v>
      </c>
      <c r="M3757" s="51" t="s">
        <v>7430</v>
      </c>
      <c r="N3757" s="49" t="n">
        <v>0</v>
      </c>
      <c r="O3757" s="53" t="n">
        <v>45795.3519907407</v>
      </c>
      <c r="P3757" s="53" t="n">
        <v>45795.8758101852</v>
      </c>
      <c r="Q3757" s="53" t="n">
        <v>45795.3519907407</v>
      </c>
      <c r="R3757" s="0" t="n">
        <v>0</v>
      </c>
      <c r="S3757" s="51" t="s">
        <v>2401</v>
      </c>
      <c r="T3757" s="51" t="s">
        <v>2401</v>
      </c>
      <c r="U3757" s="0" t="str">
        <f aca="false">"734730225548"</f>
        <v>734730225548</v>
      </c>
      <c r="V3757" s="51" t="s">
        <v>2365</v>
      </c>
      <c r="W3757" s="51" t="s">
        <v>7443</v>
      </c>
      <c r="X3757" s="51" t="s">
        <v>2359</v>
      </c>
    </row>
    <row r="3758" customFormat="false" ht="14.25" hidden="true" customHeight="false" outlineLevel="0" collapsed="false">
      <c r="A3758" s="49" t="s">
        <v>2349</v>
      </c>
      <c r="B3758" s="49" t="s">
        <v>2350</v>
      </c>
      <c r="C3758" s="49" t="s">
        <v>7444</v>
      </c>
      <c r="D3758" s="49" t="s">
        <v>2352</v>
      </c>
      <c r="E3758" s="49" t="str">
        <f aca="false">"734730225548"</f>
        <v>734730225548</v>
      </c>
      <c r="F3758" s="49" t="s">
        <v>2434</v>
      </c>
      <c r="G3758" s="49" t="n">
        <v>0</v>
      </c>
      <c r="H3758" s="0" t="n">
        <v>0</v>
      </c>
      <c r="M3758" s="51" t="s">
        <v>7430</v>
      </c>
      <c r="N3758" s="49" t="n">
        <v>0</v>
      </c>
      <c r="O3758" s="53" t="n">
        <v>45795.3523148148</v>
      </c>
      <c r="P3758" s="53" t="n">
        <v>45795.8755555556</v>
      </c>
      <c r="Q3758" s="53" t="n">
        <v>45795.3523148148</v>
      </c>
      <c r="R3758" s="0" t="n">
        <v>0</v>
      </c>
      <c r="S3758" s="51" t="s">
        <v>2401</v>
      </c>
      <c r="T3758" s="51" t="s">
        <v>2401</v>
      </c>
      <c r="U3758" s="0" t="str">
        <f aca="false">"734730225548"</f>
        <v>734730225548</v>
      </c>
      <c r="V3758" s="51" t="s">
        <v>2365</v>
      </c>
      <c r="W3758" s="51" t="s">
        <v>7445</v>
      </c>
      <c r="X3758" s="51" t="s">
        <v>2359</v>
      </c>
    </row>
    <row r="3759" customFormat="false" ht="14.25" hidden="true" customHeight="false" outlineLevel="0" collapsed="false">
      <c r="A3759" s="49" t="s">
        <v>2349</v>
      </c>
      <c r="B3759" s="49" t="s">
        <v>2350</v>
      </c>
      <c r="C3759" s="49" t="s">
        <v>7446</v>
      </c>
      <c r="D3759" s="49" t="s">
        <v>2352</v>
      </c>
      <c r="E3759" s="49" t="str">
        <f aca="false">"734730225548"</f>
        <v>734730225548</v>
      </c>
      <c r="F3759" s="49" t="s">
        <v>2434</v>
      </c>
      <c r="G3759" s="49" t="n">
        <v>0</v>
      </c>
      <c r="H3759" s="0" t="n">
        <v>0</v>
      </c>
      <c r="M3759" s="51" t="s">
        <v>7430</v>
      </c>
      <c r="N3759" s="49" t="n">
        <v>0</v>
      </c>
      <c r="O3759" s="53" t="n">
        <v>45795.3526388889</v>
      </c>
      <c r="P3759" s="53" t="n">
        <v>45795.8757175926</v>
      </c>
      <c r="Q3759" s="53" t="n">
        <v>45795.3526388889</v>
      </c>
      <c r="R3759" s="0" t="n">
        <v>0</v>
      </c>
      <c r="S3759" s="51" t="s">
        <v>2401</v>
      </c>
      <c r="T3759" s="51" t="s">
        <v>2401</v>
      </c>
      <c r="U3759" s="0" t="str">
        <f aca="false">"734730225548"</f>
        <v>734730225548</v>
      </c>
      <c r="V3759" s="51" t="s">
        <v>2365</v>
      </c>
      <c r="W3759" s="51" t="s">
        <v>4517</v>
      </c>
      <c r="X3759" s="51" t="s">
        <v>2359</v>
      </c>
    </row>
    <row r="3760" customFormat="false" ht="14.25" hidden="true" customHeight="false" outlineLevel="0" collapsed="false">
      <c r="A3760" s="49" t="s">
        <v>2349</v>
      </c>
      <c r="B3760" s="49" t="s">
        <v>2350</v>
      </c>
      <c r="C3760" s="49" t="s">
        <v>7447</v>
      </c>
      <c r="D3760" s="49" t="s">
        <v>2352</v>
      </c>
      <c r="E3760" s="49" t="str">
        <f aca="false">"734730225548"</f>
        <v>734730225548</v>
      </c>
      <c r="F3760" s="49" t="s">
        <v>2434</v>
      </c>
      <c r="G3760" s="49" t="n">
        <v>0</v>
      </c>
      <c r="H3760" s="0" t="n">
        <v>0</v>
      </c>
      <c r="M3760" s="51" t="s">
        <v>7430</v>
      </c>
      <c r="N3760" s="49" t="n">
        <v>0</v>
      </c>
      <c r="O3760" s="53" t="n">
        <v>45795.3529976852</v>
      </c>
      <c r="P3760" s="53" t="n">
        <v>45795.8756365741</v>
      </c>
      <c r="Q3760" s="53" t="n">
        <v>45795.3529976852</v>
      </c>
      <c r="R3760" s="0" t="n">
        <v>0</v>
      </c>
      <c r="S3760" s="51" t="s">
        <v>2401</v>
      </c>
      <c r="T3760" s="51" t="s">
        <v>2401</v>
      </c>
      <c r="U3760" s="0" t="str">
        <f aca="false">"734730225548"</f>
        <v>734730225548</v>
      </c>
      <c r="V3760" s="51" t="s">
        <v>2365</v>
      </c>
      <c r="W3760" s="51" t="s">
        <v>7448</v>
      </c>
      <c r="X3760" s="51" t="s">
        <v>2359</v>
      </c>
    </row>
    <row r="3761" customFormat="false" ht="14.25" hidden="true" customHeight="false" outlineLevel="0" collapsed="false">
      <c r="A3761" s="49" t="s">
        <v>2349</v>
      </c>
      <c r="B3761" s="49" t="s">
        <v>2350</v>
      </c>
      <c r="C3761" s="49" t="s">
        <v>7449</v>
      </c>
      <c r="D3761" s="49" t="s">
        <v>2352</v>
      </c>
      <c r="E3761" s="49" t="str">
        <f aca="false">"734730225548"</f>
        <v>734730225548</v>
      </c>
      <c r="F3761" s="49" t="s">
        <v>2434</v>
      </c>
      <c r="G3761" s="49" t="n">
        <v>0</v>
      </c>
      <c r="H3761" s="0" t="n">
        <v>0</v>
      </c>
      <c r="M3761" s="51" t="s">
        <v>7430</v>
      </c>
      <c r="N3761" s="49" t="n">
        <v>0</v>
      </c>
      <c r="O3761" s="53" t="n">
        <v>45795.3563541667</v>
      </c>
      <c r="P3761" s="53" t="n">
        <v>45818.6708912037</v>
      </c>
      <c r="Q3761" s="53" t="n">
        <v>45795.3563541667</v>
      </c>
      <c r="R3761" s="0" t="n">
        <v>0</v>
      </c>
      <c r="S3761" s="51" t="s">
        <v>2401</v>
      </c>
      <c r="T3761" s="51" t="s">
        <v>2401</v>
      </c>
      <c r="U3761" s="0" t="str">
        <f aca="false">"734730225548"</f>
        <v>734730225548</v>
      </c>
      <c r="V3761" s="51" t="s">
        <v>2365</v>
      </c>
      <c r="W3761" s="51" t="s">
        <v>7450</v>
      </c>
      <c r="X3761" s="51" t="s">
        <v>2359</v>
      </c>
    </row>
    <row r="3762" customFormat="false" ht="14.25" hidden="true" customHeight="false" outlineLevel="0" collapsed="false">
      <c r="A3762" s="49" t="s">
        <v>2349</v>
      </c>
      <c r="B3762" s="49" t="s">
        <v>2350</v>
      </c>
      <c r="C3762" s="49" t="s">
        <v>7451</v>
      </c>
      <c r="D3762" s="49" t="s">
        <v>2352</v>
      </c>
      <c r="E3762" s="49" t="str">
        <f aca="false">"734730225548"</f>
        <v>734730225548</v>
      </c>
      <c r="F3762" s="49" t="s">
        <v>2434</v>
      </c>
      <c r="G3762" s="49" t="n">
        <v>0</v>
      </c>
      <c r="H3762" s="0" t="n">
        <v>0</v>
      </c>
      <c r="M3762" s="51" t="s">
        <v>7430</v>
      </c>
      <c r="N3762" s="49" t="n">
        <v>0</v>
      </c>
      <c r="O3762" s="53" t="n">
        <v>45795.3565856482</v>
      </c>
      <c r="P3762" s="53" t="n">
        <v>45818.6612384259</v>
      </c>
      <c r="Q3762" s="53" t="n">
        <v>45795.3565856482</v>
      </c>
      <c r="R3762" s="0" t="n">
        <v>0</v>
      </c>
      <c r="S3762" s="51" t="s">
        <v>2401</v>
      </c>
      <c r="T3762" s="51" t="s">
        <v>2401</v>
      </c>
      <c r="U3762" s="0" t="str">
        <f aca="false">"734730225548"</f>
        <v>734730225548</v>
      </c>
      <c r="V3762" s="51" t="s">
        <v>2365</v>
      </c>
      <c r="W3762" s="51" t="s">
        <v>7452</v>
      </c>
      <c r="X3762" s="51" t="s">
        <v>2359</v>
      </c>
    </row>
    <row r="3763" customFormat="false" ht="14.25" hidden="true" customHeight="false" outlineLevel="0" collapsed="false">
      <c r="A3763" s="49" t="s">
        <v>2349</v>
      </c>
      <c r="B3763" s="49" t="s">
        <v>2350</v>
      </c>
      <c r="C3763" s="49" t="s">
        <v>7453</v>
      </c>
      <c r="D3763" s="49" t="s">
        <v>2352</v>
      </c>
      <c r="E3763" s="49" t="str">
        <f aca="false">"734730225548"</f>
        <v>734730225548</v>
      </c>
      <c r="F3763" s="49" t="s">
        <v>2434</v>
      </c>
      <c r="G3763" s="49" t="n">
        <v>0</v>
      </c>
      <c r="H3763" s="0" t="n">
        <v>0</v>
      </c>
      <c r="M3763" s="51" t="s">
        <v>7430</v>
      </c>
      <c r="N3763" s="49" t="n">
        <v>0</v>
      </c>
      <c r="O3763" s="53" t="n">
        <v>45795.3569675926</v>
      </c>
      <c r="P3763" s="53" t="n">
        <v>45818.6719328704</v>
      </c>
      <c r="Q3763" s="53" t="n">
        <v>45795.3569675926</v>
      </c>
      <c r="R3763" s="0" t="n">
        <v>0</v>
      </c>
      <c r="S3763" s="51" t="s">
        <v>2401</v>
      </c>
      <c r="T3763" s="51" t="s">
        <v>2401</v>
      </c>
      <c r="U3763" s="0" t="str">
        <f aca="false">"734730225548"</f>
        <v>734730225548</v>
      </c>
      <c r="V3763" s="51" t="s">
        <v>2365</v>
      </c>
      <c r="W3763" s="51" t="s">
        <v>7454</v>
      </c>
      <c r="X3763" s="51" t="s">
        <v>2359</v>
      </c>
    </row>
    <row r="3764" customFormat="false" ht="14.25" hidden="true" customHeight="false" outlineLevel="0" collapsed="false">
      <c r="A3764" s="49" t="s">
        <v>2349</v>
      </c>
      <c r="B3764" s="49" t="s">
        <v>2350</v>
      </c>
      <c r="C3764" s="49" t="s">
        <v>7455</v>
      </c>
      <c r="D3764" s="49" t="s">
        <v>2352</v>
      </c>
      <c r="E3764" s="49" t="str">
        <f aca="false">"734730225548"</f>
        <v>734730225548</v>
      </c>
      <c r="F3764" s="49" t="s">
        <v>2434</v>
      </c>
      <c r="G3764" s="49" t="n">
        <v>0</v>
      </c>
      <c r="H3764" s="0" t="n">
        <v>0</v>
      </c>
      <c r="M3764" s="51" t="s">
        <v>7430</v>
      </c>
      <c r="N3764" s="49" t="n">
        <v>0</v>
      </c>
      <c r="O3764" s="53" t="n">
        <v>45795.3571527778</v>
      </c>
      <c r="P3764" s="53" t="n">
        <v>45801.4752314815</v>
      </c>
      <c r="Q3764" s="53" t="n">
        <v>45795.3571527778</v>
      </c>
      <c r="R3764" s="0" t="n">
        <v>0</v>
      </c>
      <c r="S3764" s="51" t="s">
        <v>2401</v>
      </c>
      <c r="T3764" s="51" t="s">
        <v>2401</v>
      </c>
      <c r="U3764" s="0" t="str">
        <f aca="false">"734730225548"</f>
        <v>734730225548</v>
      </c>
      <c r="V3764" s="51" t="s">
        <v>2365</v>
      </c>
      <c r="W3764" s="51" t="s">
        <v>4501</v>
      </c>
      <c r="X3764" s="51" t="s">
        <v>2359</v>
      </c>
    </row>
    <row r="3765" customFormat="false" ht="14.25" hidden="true" customHeight="false" outlineLevel="0" collapsed="false">
      <c r="A3765" s="49" t="s">
        <v>2349</v>
      </c>
      <c r="B3765" s="49" t="s">
        <v>2350</v>
      </c>
      <c r="C3765" s="49" t="s">
        <v>7456</v>
      </c>
      <c r="D3765" s="49" t="s">
        <v>2352</v>
      </c>
      <c r="E3765" s="49" t="str">
        <f aca="false">"734730225548"</f>
        <v>734730225548</v>
      </c>
      <c r="F3765" s="49" t="s">
        <v>2434</v>
      </c>
      <c r="G3765" s="49" t="n">
        <v>0</v>
      </c>
      <c r="H3765" s="0" t="n">
        <v>0</v>
      </c>
      <c r="M3765" s="51" t="s">
        <v>7430</v>
      </c>
      <c r="N3765" s="49" t="n">
        <v>0</v>
      </c>
      <c r="O3765" s="53" t="n">
        <v>45795.3573611111</v>
      </c>
      <c r="P3765" s="53" t="n">
        <v>45818.6602662037</v>
      </c>
      <c r="Q3765" s="53" t="n">
        <v>45795.3573611111</v>
      </c>
      <c r="R3765" s="0" t="n">
        <v>0</v>
      </c>
      <c r="S3765" s="51" t="s">
        <v>2401</v>
      </c>
      <c r="T3765" s="51" t="s">
        <v>2401</v>
      </c>
      <c r="U3765" s="0" t="str">
        <f aca="false">"734730225548"</f>
        <v>734730225548</v>
      </c>
      <c r="V3765" s="51" t="s">
        <v>2365</v>
      </c>
      <c r="W3765" s="51" t="s">
        <v>7457</v>
      </c>
      <c r="X3765" s="51" t="s">
        <v>2359</v>
      </c>
    </row>
    <row r="3766" customFormat="false" ht="14.25" hidden="true" customHeight="false" outlineLevel="0" collapsed="false">
      <c r="A3766" s="49" t="s">
        <v>2349</v>
      </c>
      <c r="B3766" s="49" t="s">
        <v>2350</v>
      </c>
      <c r="C3766" s="49" t="s">
        <v>7458</v>
      </c>
      <c r="D3766" s="49" t="s">
        <v>2352</v>
      </c>
      <c r="E3766" s="49" t="str">
        <f aca="false">"734730225548"</f>
        <v>734730225548</v>
      </c>
      <c r="F3766" s="49" t="s">
        <v>2434</v>
      </c>
      <c r="G3766" s="49" t="n">
        <v>0</v>
      </c>
      <c r="H3766" s="0" t="n">
        <v>0</v>
      </c>
      <c r="M3766" s="51" t="s">
        <v>7430</v>
      </c>
      <c r="N3766" s="49" t="n">
        <v>0</v>
      </c>
      <c r="O3766" s="53" t="n">
        <v>45795.3575347222</v>
      </c>
      <c r="P3766" s="53" t="n">
        <v>45801.475625</v>
      </c>
      <c r="Q3766" s="53" t="n">
        <v>45795.3575347222</v>
      </c>
      <c r="R3766" s="0" t="n">
        <v>0</v>
      </c>
      <c r="S3766" s="51" t="s">
        <v>2401</v>
      </c>
      <c r="T3766" s="51" t="s">
        <v>2401</v>
      </c>
      <c r="U3766" s="0" t="str">
        <f aca="false">"734730225548"</f>
        <v>734730225548</v>
      </c>
      <c r="V3766" s="51" t="s">
        <v>2365</v>
      </c>
      <c r="W3766" s="51" t="s">
        <v>7459</v>
      </c>
      <c r="X3766" s="51" t="s">
        <v>2359</v>
      </c>
    </row>
    <row r="3767" customFormat="false" ht="14.25" hidden="true" customHeight="false" outlineLevel="0" collapsed="false">
      <c r="A3767" s="49" t="s">
        <v>2349</v>
      </c>
      <c r="B3767" s="49" t="s">
        <v>2350</v>
      </c>
      <c r="C3767" s="49" t="s">
        <v>7460</v>
      </c>
      <c r="D3767" s="49" t="s">
        <v>2352</v>
      </c>
      <c r="E3767" s="49" t="str">
        <f aca="false">"734730225548"</f>
        <v>734730225548</v>
      </c>
      <c r="F3767" s="49" t="s">
        <v>2434</v>
      </c>
      <c r="G3767" s="49" t="n">
        <v>0</v>
      </c>
      <c r="H3767" s="0" t="n">
        <v>0</v>
      </c>
      <c r="M3767" s="51" t="s">
        <v>7430</v>
      </c>
      <c r="N3767" s="49" t="n">
        <v>0</v>
      </c>
      <c r="O3767" s="53" t="n">
        <v>45795.3577893519</v>
      </c>
      <c r="P3767" s="53" t="n">
        <v>45795.8754050926</v>
      </c>
      <c r="Q3767" s="53" t="n">
        <v>45795.3577893519</v>
      </c>
      <c r="R3767" s="0" t="n">
        <v>0</v>
      </c>
      <c r="S3767" s="51" t="s">
        <v>2401</v>
      </c>
      <c r="T3767" s="51" t="s">
        <v>2401</v>
      </c>
      <c r="U3767" s="0" t="str">
        <f aca="false">"734730225548"</f>
        <v>734730225548</v>
      </c>
      <c r="V3767" s="51" t="s">
        <v>2365</v>
      </c>
      <c r="W3767" s="51" t="s">
        <v>7461</v>
      </c>
      <c r="X3767" s="51" t="s">
        <v>2359</v>
      </c>
    </row>
    <row r="3768" customFormat="false" ht="14.25" hidden="true" customHeight="false" outlineLevel="0" collapsed="false">
      <c r="A3768" s="49" t="s">
        <v>2349</v>
      </c>
      <c r="B3768" s="49" t="s">
        <v>2350</v>
      </c>
      <c r="C3768" s="49" t="s">
        <v>7462</v>
      </c>
      <c r="D3768" s="49" t="s">
        <v>2352</v>
      </c>
      <c r="E3768" s="49" t="str">
        <f aca="false">"734730225548"</f>
        <v>734730225548</v>
      </c>
      <c r="F3768" s="49" t="s">
        <v>2434</v>
      </c>
      <c r="G3768" s="49" t="n">
        <v>0</v>
      </c>
      <c r="H3768" s="0" t="n">
        <v>0</v>
      </c>
      <c r="M3768" s="51" t="s">
        <v>7430</v>
      </c>
      <c r="N3768" s="49" t="n">
        <v>0</v>
      </c>
      <c r="O3768" s="53" t="n">
        <v>45795.3584606481</v>
      </c>
      <c r="P3768" s="53" t="n">
        <v>45795.8740046296</v>
      </c>
      <c r="Q3768" s="53" t="n">
        <v>45795.3584606481</v>
      </c>
      <c r="R3768" s="0" t="n">
        <v>0</v>
      </c>
      <c r="S3768" s="51" t="s">
        <v>2401</v>
      </c>
      <c r="T3768" s="51" t="s">
        <v>2401</v>
      </c>
      <c r="U3768" s="0" t="str">
        <f aca="false">"734730225548"</f>
        <v>734730225548</v>
      </c>
      <c r="V3768" s="51" t="s">
        <v>2365</v>
      </c>
      <c r="W3768" s="51" t="s">
        <v>7463</v>
      </c>
      <c r="X3768" s="51" t="s">
        <v>2359</v>
      </c>
    </row>
    <row r="3769" customFormat="false" ht="14.25" hidden="true" customHeight="false" outlineLevel="0" collapsed="false">
      <c r="A3769" s="49" t="s">
        <v>2349</v>
      </c>
      <c r="B3769" s="49" t="s">
        <v>2350</v>
      </c>
      <c r="C3769" s="49" t="s">
        <v>7464</v>
      </c>
      <c r="D3769" s="49" t="s">
        <v>2352</v>
      </c>
      <c r="E3769" s="49" t="str">
        <f aca="false">"734730225548"</f>
        <v>734730225548</v>
      </c>
      <c r="F3769" s="49" t="s">
        <v>2434</v>
      </c>
      <c r="G3769" s="49" t="n">
        <v>0</v>
      </c>
      <c r="H3769" s="0" t="n">
        <v>0</v>
      </c>
      <c r="M3769" s="51" t="s">
        <v>7430</v>
      </c>
      <c r="N3769" s="49" t="n">
        <v>0</v>
      </c>
      <c r="O3769" s="53" t="n">
        <v>45795.3587268519</v>
      </c>
      <c r="P3769" s="53" t="n">
        <v>45795.8732060185</v>
      </c>
      <c r="Q3769" s="53" t="n">
        <v>45795.3587268519</v>
      </c>
      <c r="R3769" s="0" t="n">
        <v>0</v>
      </c>
      <c r="S3769" s="51" t="s">
        <v>2401</v>
      </c>
      <c r="T3769" s="51" t="s">
        <v>2401</v>
      </c>
      <c r="U3769" s="0" t="str">
        <f aca="false">"734730225548"</f>
        <v>734730225548</v>
      </c>
      <c r="V3769" s="51" t="s">
        <v>2365</v>
      </c>
      <c r="W3769" s="51" t="s">
        <v>7465</v>
      </c>
      <c r="X3769" s="51" t="s">
        <v>2359</v>
      </c>
    </row>
    <row r="3770" customFormat="false" ht="14.25" hidden="true" customHeight="false" outlineLevel="0" collapsed="false">
      <c r="A3770" s="49" t="s">
        <v>2349</v>
      </c>
      <c r="B3770" s="49" t="s">
        <v>2350</v>
      </c>
      <c r="C3770" s="49" t="s">
        <v>7466</v>
      </c>
      <c r="D3770" s="49" t="s">
        <v>2352</v>
      </c>
      <c r="E3770" s="49" t="str">
        <f aca="false">"734730225548"</f>
        <v>734730225548</v>
      </c>
      <c r="F3770" s="49" t="s">
        <v>2434</v>
      </c>
      <c r="G3770" s="49" t="n">
        <v>0</v>
      </c>
      <c r="H3770" s="0" t="n">
        <v>0</v>
      </c>
      <c r="M3770" s="51" t="s">
        <v>7430</v>
      </c>
      <c r="N3770" s="49" t="n">
        <v>0</v>
      </c>
      <c r="O3770" s="53" t="n">
        <v>45795.3593865741</v>
      </c>
      <c r="P3770" s="53" t="n">
        <v>45795.8729166667</v>
      </c>
      <c r="Q3770" s="53" t="n">
        <v>45795.3593865741</v>
      </c>
      <c r="R3770" s="0" t="n">
        <v>0</v>
      </c>
      <c r="S3770" s="51" t="s">
        <v>2401</v>
      </c>
      <c r="T3770" s="51" t="s">
        <v>2401</v>
      </c>
      <c r="U3770" s="0" t="str">
        <f aca="false">"734730225548"</f>
        <v>734730225548</v>
      </c>
      <c r="V3770" s="51" t="s">
        <v>2365</v>
      </c>
      <c r="W3770" s="51" t="s">
        <v>7467</v>
      </c>
      <c r="X3770" s="51" t="s">
        <v>2359</v>
      </c>
    </row>
    <row r="3771" customFormat="false" ht="14.25" hidden="true" customHeight="false" outlineLevel="0" collapsed="false">
      <c r="A3771" s="49" t="s">
        <v>2349</v>
      </c>
      <c r="B3771" s="49" t="s">
        <v>2350</v>
      </c>
      <c r="C3771" s="49" t="s">
        <v>7468</v>
      </c>
      <c r="D3771" s="49" t="s">
        <v>2352</v>
      </c>
      <c r="E3771" s="49" t="str">
        <f aca="false">"734730225548"</f>
        <v>734730225548</v>
      </c>
      <c r="F3771" s="49" t="s">
        <v>2434</v>
      </c>
      <c r="G3771" s="49" t="n">
        <v>0</v>
      </c>
      <c r="H3771" s="0" t="n">
        <v>0</v>
      </c>
      <c r="M3771" s="51" t="s">
        <v>7430</v>
      </c>
      <c r="N3771" s="49" t="n">
        <v>0</v>
      </c>
      <c r="O3771" s="53" t="n">
        <v>45795.3596759259</v>
      </c>
      <c r="P3771" s="53" t="n">
        <v>45795.8730555556</v>
      </c>
      <c r="Q3771" s="53" t="n">
        <v>45795.3596759259</v>
      </c>
      <c r="R3771" s="0" t="n">
        <v>0</v>
      </c>
      <c r="S3771" s="51" t="s">
        <v>2401</v>
      </c>
      <c r="T3771" s="51" t="s">
        <v>2401</v>
      </c>
      <c r="U3771" s="0" t="str">
        <f aca="false">"734730225548"</f>
        <v>734730225548</v>
      </c>
      <c r="V3771" s="51" t="s">
        <v>2365</v>
      </c>
      <c r="W3771" s="51" t="s">
        <v>7469</v>
      </c>
      <c r="X3771" s="51" t="s">
        <v>2359</v>
      </c>
    </row>
    <row r="3772" customFormat="false" ht="14.25" hidden="true" customHeight="false" outlineLevel="0" collapsed="false">
      <c r="A3772" s="49" t="s">
        <v>2349</v>
      </c>
      <c r="B3772" s="49" t="s">
        <v>2350</v>
      </c>
      <c r="C3772" s="49" t="s">
        <v>7470</v>
      </c>
      <c r="D3772" s="49" t="s">
        <v>2352</v>
      </c>
      <c r="E3772" s="49" t="str">
        <f aca="false">"734730225548"</f>
        <v>734730225548</v>
      </c>
      <c r="F3772" s="49" t="s">
        <v>2434</v>
      </c>
      <c r="G3772" s="49" t="n">
        <v>0</v>
      </c>
      <c r="H3772" s="0" t="n">
        <v>0</v>
      </c>
      <c r="M3772" s="51" t="s">
        <v>7430</v>
      </c>
      <c r="N3772" s="49" t="n">
        <v>0</v>
      </c>
      <c r="O3772" s="53" t="n">
        <v>45795.361400463</v>
      </c>
      <c r="P3772" s="53" t="n">
        <v>45855.9013078704</v>
      </c>
      <c r="Q3772" s="53" t="n">
        <v>45795.361400463</v>
      </c>
      <c r="R3772" s="0" t="n">
        <v>0</v>
      </c>
      <c r="S3772" s="51" t="s">
        <v>2401</v>
      </c>
      <c r="T3772" s="51" t="s">
        <v>2401</v>
      </c>
      <c r="U3772" s="0" t="str">
        <f aca="false">"734730225548"</f>
        <v>734730225548</v>
      </c>
      <c r="V3772" s="51" t="s">
        <v>2365</v>
      </c>
      <c r="W3772" s="51" t="s">
        <v>7471</v>
      </c>
      <c r="X3772" s="51" t="s">
        <v>2359</v>
      </c>
    </row>
    <row r="3773" customFormat="false" ht="14.25" hidden="true" customHeight="false" outlineLevel="0" collapsed="false">
      <c r="A3773" s="49" t="s">
        <v>2349</v>
      </c>
      <c r="B3773" s="49" t="s">
        <v>2350</v>
      </c>
      <c r="C3773" s="49" t="s">
        <v>7472</v>
      </c>
      <c r="D3773" s="49" t="s">
        <v>2352</v>
      </c>
      <c r="E3773" s="49" t="str">
        <f aca="false">"734730225548"</f>
        <v>734730225548</v>
      </c>
      <c r="F3773" s="49" t="s">
        <v>2434</v>
      </c>
      <c r="G3773" s="49" t="n">
        <v>0</v>
      </c>
      <c r="H3773" s="0" t="n">
        <v>0</v>
      </c>
      <c r="M3773" s="51" t="s">
        <v>7430</v>
      </c>
      <c r="N3773" s="49" t="n">
        <v>0</v>
      </c>
      <c r="O3773" s="53" t="n">
        <v>45795.3616203704</v>
      </c>
      <c r="P3773" s="53" t="n">
        <v>45812.5219097222</v>
      </c>
      <c r="Q3773" s="53" t="n">
        <v>45795.3616203704</v>
      </c>
      <c r="R3773" s="0" t="n">
        <v>0</v>
      </c>
      <c r="S3773" s="51" t="s">
        <v>2401</v>
      </c>
      <c r="T3773" s="51" t="s">
        <v>2401</v>
      </c>
      <c r="U3773" s="0" t="str">
        <f aca="false">"734730225548"</f>
        <v>734730225548</v>
      </c>
      <c r="V3773" s="51" t="s">
        <v>2365</v>
      </c>
      <c r="W3773" s="51" t="s">
        <v>4575</v>
      </c>
      <c r="X3773" s="51" t="s">
        <v>2359</v>
      </c>
    </row>
    <row r="3774" customFormat="false" ht="14.25" hidden="true" customHeight="false" outlineLevel="0" collapsed="false">
      <c r="A3774" s="49" t="s">
        <v>2349</v>
      </c>
      <c r="B3774" s="49" t="s">
        <v>2350</v>
      </c>
      <c r="C3774" s="49" t="s">
        <v>7473</v>
      </c>
      <c r="D3774" s="49" t="s">
        <v>2352</v>
      </c>
      <c r="E3774" s="49" t="str">
        <f aca="false">"734730225548"</f>
        <v>734730225548</v>
      </c>
      <c r="F3774" s="49" t="s">
        <v>2434</v>
      </c>
      <c r="G3774" s="49" t="n">
        <v>0</v>
      </c>
      <c r="H3774" s="0" t="n">
        <v>0</v>
      </c>
      <c r="M3774" s="51" t="s">
        <v>7430</v>
      </c>
      <c r="N3774" s="49" t="n">
        <v>0</v>
      </c>
      <c r="O3774" s="53" t="n">
        <v>45795.3618287037</v>
      </c>
      <c r="P3774" s="53" t="n">
        <v>45818.6638773148</v>
      </c>
      <c r="Q3774" s="53" t="n">
        <v>45795.3618287037</v>
      </c>
      <c r="R3774" s="0" t="n">
        <v>0</v>
      </c>
      <c r="S3774" s="51" t="s">
        <v>2401</v>
      </c>
      <c r="T3774" s="51" t="s">
        <v>2401</v>
      </c>
      <c r="U3774" s="0" t="str">
        <f aca="false">"734730225548"</f>
        <v>734730225548</v>
      </c>
      <c r="V3774" s="51" t="s">
        <v>2365</v>
      </c>
      <c r="W3774" s="51" t="s">
        <v>6426</v>
      </c>
      <c r="X3774" s="51" t="s">
        <v>2359</v>
      </c>
    </row>
    <row r="3775" customFormat="false" ht="14.25" hidden="true" customHeight="false" outlineLevel="0" collapsed="false">
      <c r="A3775" s="49" t="s">
        <v>2349</v>
      </c>
      <c r="B3775" s="49" t="s">
        <v>2350</v>
      </c>
      <c r="C3775" s="49" t="s">
        <v>7474</v>
      </c>
      <c r="D3775" s="49" t="s">
        <v>2352</v>
      </c>
      <c r="E3775" s="49" t="str">
        <f aca="false">"734730225548"</f>
        <v>734730225548</v>
      </c>
      <c r="F3775" s="49" t="s">
        <v>2434</v>
      </c>
      <c r="G3775" s="49" t="n">
        <v>0</v>
      </c>
      <c r="H3775" s="0" t="n">
        <v>0</v>
      </c>
      <c r="M3775" s="51" t="s">
        <v>7430</v>
      </c>
      <c r="N3775" s="49" t="n">
        <v>0</v>
      </c>
      <c r="O3775" s="53" t="n">
        <v>45795.3621412037</v>
      </c>
      <c r="P3775" s="53" t="n">
        <v>45818.6516550926</v>
      </c>
      <c r="Q3775" s="53" t="n">
        <v>45795.3621412037</v>
      </c>
      <c r="R3775" s="0" t="n">
        <v>0</v>
      </c>
      <c r="S3775" s="51" t="s">
        <v>2401</v>
      </c>
      <c r="T3775" s="51" t="s">
        <v>2401</v>
      </c>
      <c r="U3775" s="0" t="str">
        <f aca="false">"734730225548"</f>
        <v>734730225548</v>
      </c>
      <c r="V3775" s="51" t="s">
        <v>2365</v>
      </c>
      <c r="W3775" s="51" t="s">
        <v>7475</v>
      </c>
      <c r="X3775" s="51" t="s">
        <v>2359</v>
      </c>
    </row>
    <row r="3776" customFormat="false" ht="14.25" hidden="true" customHeight="false" outlineLevel="0" collapsed="false">
      <c r="A3776" s="49" t="s">
        <v>2349</v>
      </c>
      <c r="B3776" s="49" t="s">
        <v>2350</v>
      </c>
      <c r="C3776" s="49" t="s">
        <v>7476</v>
      </c>
      <c r="D3776" s="49" t="s">
        <v>2352</v>
      </c>
      <c r="E3776" s="49" t="str">
        <f aca="false">"734730225548"</f>
        <v>734730225548</v>
      </c>
      <c r="F3776" s="49" t="s">
        <v>2434</v>
      </c>
      <c r="G3776" s="49" t="n">
        <v>0</v>
      </c>
      <c r="H3776" s="0" t="n">
        <v>0</v>
      </c>
      <c r="M3776" s="51" t="s">
        <v>7430</v>
      </c>
      <c r="N3776" s="49" t="n">
        <v>0</v>
      </c>
      <c r="O3776" s="53" t="n">
        <v>45795.3623611111</v>
      </c>
      <c r="P3776" s="53" t="n">
        <v>45818.6628240741</v>
      </c>
      <c r="Q3776" s="53" t="n">
        <v>45795.3623611111</v>
      </c>
      <c r="R3776" s="0" t="n">
        <v>0</v>
      </c>
      <c r="S3776" s="51" t="s">
        <v>2401</v>
      </c>
      <c r="T3776" s="51" t="s">
        <v>2401</v>
      </c>
      <c r="U3776" s="0" t="str">
        <f aca="false">"734730225548"</f>
        <v>734730225548</v>
      </c>
      <c r="V3776" s="51" t="s">
        <v>2365</v>
      </c>
      <c r="W3776" s="51" t="s">
        <v>7477</v>
      </c>
      <c r="X3776" s="51" t="s">
        <v>2359</v>
      </c>
    </row>
    <row r="3777" customFormat="false" ht="14.25" hidden="true" customHeight="false" outlineLevel="0" collapsed="false">
      <c r="A3777" s="49" t="s">
        <v>2349</v>
      </c>
      <c r="B3777" s="49" t="s">
        <v>2350</v>
      </c>
      <c r="C3777" s="49" t="s">
        <v>7478</v>
      </c>
      <c r="D3777" s="49" t="s">
        <v>2352</v>
      </c>
      <c r="E3777" s="49" t="str">
        <f aca="false">"734730225548"</f>
        <v>734730225548</v>
      </c>
      <c r="F3777" s="49" t="s">
        <v>2434</v>
      </c>
      <c r="G3777" s="49" t="n">
        <v>0</v>
      </c>
      <c r="H3777" s="0" t="n">
        <v>0</v>
      </c>
      <c r="M3777" s="51" t="s">
        <v>7430</v>
      </c>
      <c r="N3777" s="49" t="n">
        <v>0</v>
      </c>
      <c r="O3777" s="53" t="n">
        <v>45795.3628356482</v>
      </c>
      <c r="P3777" s="53" t="n">
        <v>45818.6490277778</v>
      </c>
      <c r="Q3777" s="53" t="n">
        <v>45795.3628356482</v>
      </c>
      <c r="R3777" s="0" t="n">
        <v>0</v>
      </c>
      <c r="S3777" s="51" t="s">
        <v>2401</v>
      </c>
      <c r="T3777" s="51" t="s">
        <v>2401</v>
      </c>
      <c r="U3777" s="0" t="str">
        <f aca="false">"734730225548"</f>
        <v>734730225548</v>
      </c>
      <c r="V3777" s="51" t="s">
        <v>2365</v>
      </c>
      <c r="W3777" s="51" t="s">
        <v>7479</v>
      </c>
      <c r="X3777" s="51" t="s">
        <v>2359</v>
      </c>
    </row>
    <row r="3778" customFormat="false" ht="14.25" hidden="true" customHeight="false" outlineLevel="0" collapsed="false">
      <c r="A3778" s="49" t="s">
        <v>2349</v>
      </c>
      <c r="B3778" s="49" t="s">
        <v>2350</v>
      </c>
      <c r="C3778" s="49" t="s">
        <v>7480</v>
      </c>
      <c r="D3778" s="49" t="s">
        <v>2352</v>
      </c>
      <c r="E3778" s="49" t="str">
        <f aca="false">"734730225548"</f>
        <v>734730225548</v>
      </c>
      <c r="F3778" s="49" t="s">
        <v>2434</v>
      </c>
      <c r="G3778" s="49" t="n">
        <v>0</v>
      </c>
      <c r="H3778" s="0" t="n">
        <v>0</v>
      </c>
      <c r="M3778" s="51" t="s">
        <v>7430</v>
      </c>
      <c r="N3778" s="49" t="n">
        <v>0</v>
      </c>
      <c r="O3778" s="53" t="n">
        <v>45795.3632291667</v>
      </c>
      <c r="P3778" s="53" t="n">
        <v>45812.5229398148</v>
      </c>
      <c r="Q3778" s="53" t="n">
        <v>45795.3632291667</v>
      </c>
      <c r="R3778" s="0" t="n">
        <v>0</v>
      </c>
      <c r="S3778" s="51" t="s">
        <v>2401</v>
      </c>
      <c r="T3778" s="51" t="s">
        <v>2401</v>
      </c>
      <c r="U3778" s="0" t="str">
        <f aca="false">"734730225548"</f>
        <v>734730225548</v>
      </c>
      <c r="V3778" s="51" t="s">
        <v>2365</v>
      </c>
      <c r="W3778" s="51" t="s">
        <v>7481</v>
      </c>
      <c r="X3778" s="51" t="s">
        <v>2359</v>
      </c>
    </row>
    <row r="3779" customFormat="false" ht="14.25" hidden="true" customHeight="false" outlineLevel="0" collapsed="false">
      <c r="A3779" s="49" t="s">
        <v>2349</v>
      </c>
      <c r="B3779" s="49" t="s">
        <v>2350</v>
      </c>
      <c r="C3779" s="49" t="s">
        <v>7482</v>
      </c>
      <c r="D3779" s="49" t="s">
        <v>2352</v>
      </c>
      <c r="E3779" s="49" t="str">
        <f aca="false">"5060175133380"</f>
        <v>5060175133380</v>
      </c>
      <c r="F3779" s="49" t="s">
        <v>3978</v>
      </c>
      <c r="G3779" s="49" t="n">
        <v>0</v>
      </c>
      <c r="H3779" s="0" t="n">
        <v>0</v>
      </c>
      <c r="M3779" s="51" t="s">
        <v>7483</v>
      </c>
      <c r="N3779" s="49" t="n">
        <v>0</v>
      </c>
      <c r="O3779" s="53" t="n">
        <v>45800.4541898148</v>
      </c>
      <c r="P3779" s="53" t="n">
        <v>45806.4752893519</v>
      </c>
      <c r="Q3779" s="53" t="n">
        <v>45800.4541898148</v>
      </c>
      <c r="R3779" s="0" t="n">
        <v>0</v>
      </c>
      <c r="S3779" s="51" t="s">
        <v>2383</v>
      </c>
      <c r="T3779" s="51" t="s">
        <v>2383</v>
      </c>
      <c r="U3779" s="0" t="str">
        <f aca="false">"5060175133380"</f>
        <v>5060175133380</v>
      </c>
      <c r="V3779" s="51" t="s">
        <v>2365</v>
      </c>
      <c r="W3779" s="51" t="s">
        <v>5170</v>
      </c>
      <c r="X3779" s="51" t="s">
        <v>2359</v>
      </c>
    </row>
    <row r="3780" customFormat="false" ht="14.25" hidden="true" customHeight="false" outlineLevel="0" collapsed="false">
      <c r="A3780" s="49" t="s">
        <v>2349</v>
      </c>
      <c r="B3780" s="49" t="s">
        <v>2350</v>
      </c>
      <c r="C3780" s="49" t="s">
        <v>7484</v>
      </c>
      <c r="D3780" s="49" t="s">
        <v>2352</v>
      </c>
      <c r="E3780" s="49" t="str">
        <f aca="false">"5060458890191"</f>
        <v>5060458890191</v>
      </c>
      <c r="F3780" s="49" t="s">
        <v>3656</v>
      </c>
      <c r="G3780" s="49" t="n">
        <v>0</v>
      </c>
      <c r="H3780" s="0" t="n">
        <v>0</v>
      </c>
      <c r="M3780" s="51" t="s">
        <v>7485</v>
      </c>
      <c r="N3780" s="49" t="n">
        <v>0</v>
      </c>
      <c r="O3780" s="53" t="n">
        <v>45785.6248032407</v>
      </c>
      <c r="P3780" s="53" t="n">
        <v>45818.6845717593</v>
      </c>
      <c r="Q3780" s="53" t="n">
        <v>45785.6248032407</v>
      </c>
      <c r="R3780" s="0" t="n">
        <v>0</v>
      </c>
      <c r="S3780" s="51" t="s">
        <v>2416</v>
      </c>
      <c r="T3780" s="51" t="s">
        <v>2416</v>
      </c>
      <c r="U3780" s="0" t="str">
        <f aca="false">"5060458890191"</f>
        <v>5060458890191</v>
      </c>
      <c r="V3780" s="51" t="s">
        <v>2142</v>
      </c>
      <c r="W3780" s="51" t="s">
        <v>6037</v>
      </c>
      <c r="X3780" s="51" t="s">
        <v>2359</v>
      </c>
    </row>
    <row r="3781" customFormat="false" ht="14.25" hidden="true" customHeight="false" outlineLevel="0" collapsed="false">
      <c r="A3781" s="49" t="s">
        <v>2349</v>
      </c>
      <c r="B3781" s="49" t="s">
        <v>2350</v>
      </c>
      <c r="C3781" s="49" t="s">
        <v>7486</v>
      </c>
      <c r="D3781" s="49" t="s">
        <v>2352</v>
      </c>
      <c r="E3781" s="49" t="str">
        <f aca="false">"5060458890191"</f>
        <v>5060458890191</v>
      </c>
      <c r="F3781" s="49" t="s">
        <v>3656</v>
      </c>
      <c r="G3781" s="49" t="n">
        <v>0</v>
      </c>
      <c r="H3781" s="0" t="n">
        <v>0</v>
      </c>
      <c r="M3781" s="51" t="s">
        <v>7485</v>
      </c>
      <c r="N3781" s="49" t="n">
        <v>0</v>
      </c>
      <c r="O3781" s="53" t="n">
        <v>45785.6246064815</v>
      </c>
      <c r="P3781" s="53" t="n">
        <v>45802.8871875</v>
      </c>
      <c r="Q3781" s="53" t="n">
        <v>45785.6246064815</v>
      </c>
      <c r="R3781" s="0" t="n">
        <v>0</v>
      </c>
      <c r="S3781" s="51" t="s">
        <v>2416</v>
      </c>
      <c r="T3781" s="51" t="s">
        <v>2416</v>
      </c>
      <c r="U3781" s="0" t="str">
        <f aca="false">"5060458890191"</f>
        <v>5060458890191</v>
      </c>
      <c r="V3781" s="51" t="s">
        <v>2142</v>
      </c>
      <c r="W3781" s="51" t="s">
        <v>4569</v>
      </c>
      <c r="X3781" s="51" t="s">
        <v>2359</v>
      </c>
    </row>
    <row r="3782" customFormat="false" ht="14.25" hidden="true" customHeight="false" outlineLevel="0" collapsed="false">
      <c r="A3782" s="49" t="s">
        <v>2349</v>
      </c>
      <c r="B3782" s="49" t="s">
        <v>2350</v>
      </c>
      <c r="C3782" s="49" t="s">
        <v>7487</v>
      </c>
      <c r="D3782" s="49" t="s">
        <v>2352</v>
      </c>
      <c r="E3782" s="49" t="str">
        <f aca="false">"5060458890191"</f>
        <v>5060458890191</v>
      </c>
      <c r="F3782" s="49" t="s">
        <v>3656</v>
      </c>
      <c r="G3782" s="49" t="n">
        <v>0</v>
      </c>
      <c r="H3782" s="0" t="n">
        <v>0</v>
      </c>
      <c r="M3782" s="51" t="s">
        <v>7485</v>
      </c>
      <c r="N3782" s="49" t="n">
        <v>0</v>
      </c>
      <c r="O3782" s="53" t="n">
        <v>45785.6249537037</v>
      </c>
      <c r="P3782" s="53" t="n">
        <v>45818.6851157407</v>
      </c>
      <c r="Q3782" s="53" t="n">
        <v>45785.6249537037</v>
      </c>
      <c r="R3782" s="0" t="n">
        <v>0</v>
      </c>
      <c r="S3782" s="51" t="s">
        <v>2416</v>
      </c>
      <c r="T3782" s="51" t="s">
        <v>2416</v>
      </c>
      <c r="U3782" s="0" t="str">
        <f aca="false">"5060458890191"</f>
        <v>5060458890191</v>
      </c>
      <c r="V3782" s="51" t="s">
        <v>2142</v>
      </c>
      <c r="W3782" s="51" t="s">
        <v>7488</v>
      </c>
      <c r="X3782" s="51" t="s">
        <v>2359</v>
      </c>
    </row>
    <row r="3783" customFormat="false" ht="14.25" hidden="true" customHeight="false" outlineLevel="0" collapsed="false">
      <c r="A3783" s="49" t="s">
        <v>2349</v>
      </c>
      <c r="B3783" s="49" t="s">
        <v>2350</v>
      </c>
      <c r="C3783" s="49" t="s">
        <v>7489</v>
      </c>
      <c r="D3783" s="49" t="s">
        <v>2352</v>
      </c>
      <c r="E3783" s="49" t="str">
        <f aca="false">"5060458890191"</f>
        <v>5060458890191</v>
      </c>
      <c r="F3783" s="49" t="s">
        <v>3656</v>
      </c>
      <c r="G3783" s="49" t="n">
        <v>0</v>
      </c>
      <c r="H3783" s="0" t="n">
        <v>0</v>
      </c>
      <c r="M3783" s="51" t="s">
        <v>7485</v>
      </c>
      <c r="N3783" s="49" t="n">
        <v>0</v>
      </c>
      <c r="O3783" s="53" t="n">
        <v>45785.6251273148</v>
      </c>
      <c r="P3783" s="53" t="n">
        <v>45818.6869444444</v>
      </c>
      <c r="Q3783" s="53" t="n">
        <v>45785.6251273148</v>
      </c>
      <c r="R3783" s="0" t="n">
        <v>0</v>
      </c>
      <c r="S3783" s="51" t="s">
        <v>2416</v>
      </c>
      <c r="T3783" s="51" t="s">
        <v>2416</v>
      </c>
      <c r="U3783" s="0" t="str">
        <f aca="false">"5060458890191"</f>
        <v>5060458890191</v>
      </c>
      <c r="V3783" s="51" t="s">
        <v>2142</v>
      </c>
      <c r="W3783" s="51" t="s">
        <v>7490</v>
      </c>
      <c r="X3783" s="51" t="s">
        <v>2359</v>
      </c>
    </row>
    <row r="3784" customFormat="false" ht="14.25" hidden="true" customHeight="false" outlineLevel="0" collapsed="false">
      <c r="A3784" s="49" t="s">
        <v>2349</v>
      </c>
      <c r="B3784" s="49" t="s">
        <v>2350</v>
      </c>
      <c r="C3784" s="49" t="s">
        <v>7491</v>
      </c>
      <c r="D3784" s="49" t="s">
        <v>2352</v>
      </c>
      <c r="E3784" s="49" t="str">
        <f aca="false">"5060458890191"</f>
        <v>5060458890191</v>
      </c>
      <c r="F3784" s="49" t="s">
        <v>3656</v>
      </c>
      <c r="G3784" s="49" t="n">
        <v>0</v>
      </c>
      <c r="H3784" s="0" t="n">
        <v>0</v>
      </c>
      <c r="M3784" s="51" t="s">
        <v>7485</v>
      </c>
      <c r="N3784" s="49" t="n">
        <v>0</v>
      </c>
      <c r="O3784" s="53" t="n">
        <v>45785.6252314815</v>
      </c>
      <c r="P3784" s="53" t="n">
        <v>45818.7178009259</v>
      </c>
      <c r="Q3784" s="53" t="n">
        <v>45785.6252314815</v>
      </c>
      <c r="R3784" s="0" t="n">
        <v>0</v>
      </c>
      <c r="S3784" s="51" t="s">
        <v>2416</v>
      </c>
      <c r="T3784" s="51" t="s">
        <v>2416</v>
      </c>
      <c r="U3784" s="0" t="str">
        <f aca="false">"5060458890191"</f>
        <v>5060458890191</v>
      </c>
      <c r="V3784" s="51" t="s">
        <v>2142</v>
      </c>
      <c r="W3784" s="51" t="s">
        <v>7492</v>
      </c>
      <c r="X3784" s="51" t="s">
        <v>2359</v>
      </c>
    </row>
    <row r="3785" customFormat="false" ht="14.25" hidden="true" customHeight="false" outlineLevel="0" collapsed="false">
      <c r="A3785" s="49" t="s">
        <v>2349</v>
      </c>
      <c r="B3785" s="49" t="s">
        <v>2350</v>
      </c>
      <c r="C3785" s="49" t="s">
        <v>7493</v>
      </c>
      <c r="D3785" s="49" t="s">
        <v>2352</v>
      </c>
      <c r="E3785" s="49" t="str">
        <f aca="false">"5060458890191"</f>
        <v>5060458890191</v>
      </c>
      <c r="F3785" s="49" t="s">
        <v>3656</v>
      </c>
      <c r="G3785" s="49" t="n">
        <v>0</v>
      </c>
      <c r="H3785" s="0" t="n">
        <v>0</v>
      </c>
      <c r="M3785" s="51" t="s">
        <v>7485</v>
      </c>
      <c r="N3785" s="49" t="n">
        <v>0</v>
      </c>
      <c r="O3785" s="53" t="n">
        <v>45785.6253472222</v>
      </c>
      <c r="P3785" s="53" t="n">
        <v>45818.6864351852</v>
      </c>
      <c r="Q3785" s="53" t="n">
        <v>45785.6253472222</v>
      </c>
      <c r="R3785" s="0" t="n">
        <v>0</v>
      </c>
      <c r="S3785" s="51" t="s">
        <v>2416</v>
      </c>
      <c r="T3785" s="51" t="s">
        <v>2416</v>
      </c>
      <c r="U3785" s="0" t="str">
        <f aca="false">"5060458890191"</f>
        <v>5060458890191</v>
      </c>
      <c r="V3785" s="51" t="s">
        <v>2142</v>
      </c>
      <c r="W3785" s="51" t="s">
        <v>7494</v>
      </c>
      <c r="X3785" s="51" t="s">
        <v>2359</v>
      </c>
    </row>
    <row r="3786" customFormat="false" ht="14.25" hidden="true" customHeight="false" outlineLevel="0" collapsed="false">
      <c r="A3786" s="49" t="s">
        <v>2349</v>
      </c>
      <c r="B3786" s="49" t="s">
        <v>2350</v>
      </c>
      <c r="C3786" s="49" t="s">
        <v>7495</v>
      </c>
      <c r="D3786" s="49" t="s">
        <v>2352</v>
      </c>
      <c r="E3786" s="49" t="str">
        <f aca="false">"5060458890191"</f>
        <v>5060458890191</v>
      </c>
      <c r="F3786" s="49" t="s">
        <v>3656</v>
      </c>
      <c r="G3786" s="49" t="n">
        <v>0</v>
      </c>
      <c r="H3786" s="0" t="n">
        <v>0</v>
      </c>
      <c r="M3786" s="51" t="s">
        <v>7485</v>
      </c>
      <c r="N3786" s="49" t="n">
        <v>0</v>
      </c>
      <c r="O3786" s="53" t="n">
        <v>45785.625462963</v>
      </c>
      <c r="P3786" s="53" t="n">
        <v>45787.4552662037</v>
      </c>
      <c r="Q3786" s="53" t="n">
        <v>45785.625462963</v>
      </c>
      <c r="R3786" s="0" t="n">
        <v>0</v>
      </c>
      <c r="S3786" s="51" t="s">
        <v>2416</v>
      </c>
      <c r="T3786" s="51" t="s">
        <v>2416</v>
      </c>
      <c r="U3786" s="0" t="str">
        <f aca="false">"5060458890191"</f>
        <v>5060458890191</v>
      </c>
      <c r="V3786" s="51" t="s">
        <v>2142</v>
      </c>
      <c r="W3786" s="51" t="s">
        <v>7496</v>
      </c>
      <c r="X3786" s="51" t="s">
        <v>2359</v>
      </c>
    </row>
    <row r="3787" customFormat="false" ht="14.25" hidden="true" customHeight="false" outlineLevel="0" collapsed="false">
      <c r="A3787" s="49" t="s">
        <v>2349</v>
      </c>
      <c r="B3787" s="49" t="s">
        <v>2350</v>
      </c>
      <c r="C3787" s="49" t="s">
        <v>7497</v>
      </c>
      <c r="D3787" s="49" t="s">
        <v>2352</v>
      </c>
      <c r="E3787" s="49" t="str">
        <f aca="false">"5060458890191"</f>
        <v>5060458890191</v>
      </c>
      <c r="F3787" s="49" t="s">
        <v>3656</v>
      </c>
      <c r="G3787" s="49" t="n">
        <v>0</v>
      </c>
      <c r="H3787" s="0" t="n">
        <v>0</v>
      </c>
      <c r="M3787" s="51" t="s">
        <v>7485</v>
      </c>
      <c r="N3787" s="49" t="n">
        <v>0</v>
      </c>
      <c r="O3787" s="53" t="n">
        <v>45785.6255902778</v>
      </c>
      <c r="P3787" s="53" t="n">
        <v>45818.7055787037</v>
      </c>
      <c r="Q3787" s="53" t="n">
        <v>45785.6255902778</v>
      </c>
      <c r="R3787" s="0" t="n">
        <v>0</v>
      </c>
      <c r="S3787" s="51" t="s">
        <v>2416</v>
      </c>
      <c r="T3787" s="51" t="s">
        <v>2416</v>
      </c>
      <c r="U3787" s="0" t="str">
        <f aca="false">"5060458890191"</f>
        <v>5060458890191</v>
      </c>
      <c r="V3787" s="51" t="s">
        <v>2142</v>
      </c>
      <c r="W3787" s="51" t="s">
        <v>7498</v>
      </c>
      <c r="X3787" s="51" t="s">
        <v>2359</v>
      </c>
    </row>
    <row r="3788" customFormat="false" ht="14.25" hidden="true" customHeight="false" outlineLevel="0" collapsed="false">
      <c r="A3788" s="49" t="s">
        <v>2349</v>
      </c>
      <c r="B3788" s="49" t="s">
        <v>2350</v>
      </c>
      <c r="C3788" s="49" t="s">
        <v>7499</v>
      </c>
      <c r="D3788" s="49" t="s">
        <v>2352</v>
      </c>
      <c r="E3788" s="49" t="str">
        <f aca="false">"5060458890191"</f>
        <v>5060458890191</v>
      </c>
      <c r="F3788" s="49" t="s">
        <v>3656</v>
      </c>
      <c r="G3788" s="49" t="n">
        <v>0</v>
      </c>
      <c r="H3788" s="0" t="n">
        <v>0</v>
      </c>
      <c r="M3788" s="51" t="s">
        <v>7485</v>
      </c>
      <c r="N3788" s="49" t="n">
        <v>0</v>
      </c>
      <c r="O3788" s="53" t="n">
        <v>45785.6257060185</v>
      </c>
      <c r="P3788" s="53" t="n">
        <v>45818.7042939815</v>
      </c>
      <c r="Q3788" s="53" t="n">
        <v>45785.6257060185</v>
      </c>
      <c r="R3788" s="0" t="n">
        <v>0</v>
      </c>
      <c r="S3788" s="51" t="s">
        <v>2416</v>
      </c>
      <c r="T3788" s="51" t="s">
        <v>2416</v>
      </c>
      <c r="U3788" s="0" t="str">
        <f aca="false">"5060458890191"</f>
        <v>5060458890191</v>
      </c>
      <c r="V3788" s="51" t="s">
        <v>2142</v>
      </c>
      <c r="W3788" s="51" t="s">
        <v>7500</v>
      </c>
      <c r="X3788" s="51" t="s">
        <v>2359</v>
      </c>
    </row>
    <row r="3789" customFormat="false" ht="14.25" hidden="true" customHeight="false" outlineLevel="0" collapsed="false">
      <c r="A3789" s="49" t="s">
        <v>2349</v>
      </c>
      <c r="B3789" s="49" t="s">
        <v>2350</v>
      </c>
      <c r="C3789" s="49" t="s">
        <v>7501</v>
      </c>
      <c r="D3789" s="49" t="s">
        <v>2352</v>
      </c>
      <c r="E3789" s="49" t="str">
        <f aca="false">"5060458890191"</f>
        <v>5060458890191</v>
      </c>
      <c r="F3789" s="49" t="s">
        <v>3656</v>
      </c>
      <c r="G3789" s="49" t="n">
        <v>0</v>
      </c>
      <c r="H3789" s="0" t="n">
        <v>0</v>
      </c>
      <c r="M3789" s="51" t="s">
        <v>7485</v>
      </c>
      <c r="N3789" s="49" t="n">
        <v>0</v>
      </c>
      <c r="O3789" s="53" t="n">
        <v>45785.6258333333</v>
      </c>
      <c r="P3789" s="53" t="n">
        <v>45818.718900463</v>
      </c>
      <c r="Q3789" s="53" t="n">
        <v>45785.6258333333</v>
      </c>
      <c r="R3789" s="0" t="n">
        <v>0</v>
      </c>
      <c r="S3789" s="51" t="s">
        <v>2416</v>
      </c>
      <c r="T3789" s="51" t="s">
        <v>2416</v>
      </c>
      <c r="U3789" s="0" t="str">
        <f aca="false">"5060458890191"</f>
        <v>5060458890191</v>
      </c>
      <c r="V3789" s="51" t="s">
        <v>2142</v>
      </c>
      <c r="W3789" s="51" t="s">
        <v>7502</v>
      </c>
      <c r="X3789" s="51" t="s">
        <v>2359</v>
      </c>
    </row>
    <row r="3790" customFormat="false" ht="14.25" hidden="true" customHeight="false" outlineLevel="0" collapsed="false">
      <c r="A3790" s="49" t="s">
        <v>2349</v>
      </c>
      <c r="B3790" s="49" t="s">
        <v>2350</v>
      </c>
      <c r="C3790" s="49" t="s">
        <v>7503</v>
      </c>
      <c r="D3790" s="49" t="s">
        <v>2352</v>
      </c>
      <c r="E3790" s="49" t="str">
        <f aca="false">"5060458890191"</f>
        <v>5060458890191</v>
      </c>
      <c r="F3790" s="49" t="s">
        <v>3656</v>
      </c>
      <c r="G3790" s="49" t="n">
        <v>0</v>
      </c>
      <c r="H3790" s="0" t="n">
        <v>0</v>
      </c>
      <c r="M3790" s="51" t="s">
        <v>7485</v>
      </c>
      <c r="N3790" s="49" t="n">
        <v>0</v>
      </c>
      <c r="O3790" s="53" t="n">
        <v>45785.6259490741</v>
      </c>
      <c r="P3790" s="53" t="n">
        <v>45818.7229861111</v>
      </c>
      <c r="Q3790" s="53" t="n">
        <v>45785.6259490741</v>
      </c>
      <c r="R3790" s="0" t="n">
        <v>0</v>
      </c>
      <c r="S3790" s="51" t="s">
        <v>2416</v>
      </c>
      <c r="T3790" s="51" t="s">
        <v>2416</v>
      </c>
      <c r="U3790" s="0" t="str">
        <f aca="false">"5060458890191"</f>
        <v>5060458890191</v>
      </c>
      <c r="V3790" s="51" t="s">
        <v>2142</v>
      </c>
      <c r="W3790" s="51" t="s">
        <v>7504</v>
      </c>
      <c r="X3790" s="51" t="s">
        <v>2359</v>
      </c>
    </row>
    <row r="3791" customFormat="false" ht="14.25" hidden="true" customHeight="false" outlineLevel="0" collapsed="false">
      <c r="A3791" s="49" t="s">
        <v>2349</v>
      </c>
      <c r="B3791" s="49" t="s">
        <v>2350</v>
      </c>
      <c r="C3791" s="49" t="s">
        <v>7505</v>
      </c>
      <c r="D3791" s="49" t="s">
        <v>2352</v>
      </c>
      <c r="E3791" s="49" t="str">
        <f aca="false">"5060458890191"</f>
        <v>5060458890191</v>
      </c>
      <c r="F3791" s="49" t="s">
        <v>3656</v>
      </c>
      <c r="G3791" s="49" t="n">
        <v>0</v>
      </c>
      <c r="H3791" s="0" t="n">
        <v>0</v>
      </c>
      <c r="M3791" s="51" t="s">
        <v>7485</v>
      </c>
      <c r="N3791" s="49" t="n">
        <v>0</v>
      </c>
      <c r="O3791" s="53" t="n">
        <v>45785.6270949074</v>
      </c>
      <c r="P3791" s="53" t="n">
        <v>45818.712025463</v>
      </c>
      <c r="Q3791" s="53" t="n">
        <v>45785.6270949074</v>
      </c>
      <c r="R3791" s="0" t="n">
        <v>0</v>
      </c>
      <c r="S3791" s="51" t="s">
        <v>2416</v>
      </c>
      <c r="T3791" s="51" t="s">
        <v>2416</v>
      </c>
      <c r="U3791" s="0" t="str">
        <f aca="false">"5060458890191"</f>
        <v>5060458890191</v>
      </c>
      <c r="V3791" s="51" t="s">
        <v>2142</v>
      </c>
      <c r="W3791" s="51" t="s">
        <v>7506</v>
      </c>
      <c r="X3791" s="51" t="s">
        <v>2359</v>
      </c>
    </row>
    <row r="3792" customFormat="false" ht="14.25" hidden="true" customHeight="false" outlineLevel="0" collapsed="false">
      <c r="A3792" s="49" t="s">
        <v>2349</v>
      </c>
      <c r="B3792" s="49" t="s">
        <v>2350</v>
      </c>
      <c r="C3792" s="49" t="s">
        <v>7507</v>
      </c>
      <c r="D3792" s="49" t="s">
        <v>2352</v>
      </c>
      <c r="E3792" s="49" t="str">
        <f aca="false">"5060458890191"</f>
        <v>5060458890191</v>
      </c>
      <c r="F3792" s="49" t="s">
        <v>3656</v>
      </c>
      <c r="G3792" s="49" t="n">
        <v>0</v>
      </c>
      <c r="H3792" s="0" t="n">
        <v>0</v>
      </c>
      <c r="M3792" s="51" t="s">
        <v>7485</v>
      </c>
      <c r="N3792" s="49" t="n">
        <v>0</v>
      </c>
      <c r="O3792" s="53" t="n">
        <v>45785.6272337963</v>
      </c>
      <c r="P3792" s="53" t="n">
        <v>45818.7101388889</v>
      </c>
      <c r="Q3792" s="53" t="n">
        <v>45785.6272337963</v>
      </c>
      <c r="R3792" s="0" t="n">
        <v>0</v>
      </c>
      <c r="S3792" s="51" t="s">
        <v>2416</v>
      </c>
      <c r="T3792" s="51" t="s">
        <v>2416</v>
      </c>
      <c r="U3792" s="0" t="str">
        <f aca="false">"5060458890191"</f>
        <v>5060458890191</v>
      </c>
      <c r="V3792" s="51" t="s">
        <v>2142</v>
      </c>
      <c r="W3792" s="51" t="s">
        <v>7508</v>
      </c>
      <c r="X3792" s="51" t="s">
        <v>2359</v>
      </c>
    </row>
    <row r="3793" customFormat="false" ht="14.25" hidden="true" customHeight="false" outlineLevel="0" collapsed="false">
      <c r="A3793" s="49" t="s">
        <v>2349</v>
      </c>
      <c r="B3793" s="49" t="s">
        <v>2350</v>
      </c>
      <c r="C3793" s="49" t="s">
        <v>7509</v>
      </c>
      <c r="D3793" s="49" t="s">
        <v>2352</v>
      </c>
      <c r="E3793" s="49" t="str">
        <f aca="false">"5060458890191"</f>
        <v>5060458890191</v>
      </c>
      <c r="F3793" s="49" t="s">
        <v>3656</v>
      </c>
      <c r="G3793" s="49" t="n">
        <v>0</v>
      </c>
      <c r="H3793" s="0" t="n">
        <v>0</v>
      </c>
      <c r="M3793" s="51" t="s">
        <v>7485</v>
      </c>
      <c r="N3793" s="49" t="n">
        <v>0</v>
      </c>
      <c r="O3793" s="53" t="n">
        <v>45785.6273611111</v>
      </c>
      <c r="P3793" s="53" t="n">
        <v>45818.7092361111</v>
      </c>
      <c r="Q3793" s="53" t="n">
        <v>45785.6273611111</v>
      </c>
      <c r="R3793" s="0" t="n">
        <v>0</v>
      </c>
      <c r="S3793" s="51" t="s">
        <v>2416</v>
      </c>
      <c r="T3793" s="51" t="s">
        <v>2416</v>
      </c>
      <c r="U3793" s="0" t="str">
        <f aca="false">"5060458890191"</f>
        <v>5060458890191</v>
      </c>
      <c r="V3793" s="51" t="s">
        <v>2142</v>
      </c>
      <c r="W3793" s="51" t="s">
        <v>7510</v>
      </c>
      <c r="X3793" s="51" t="s">
        <v>2359</v>
      </c>
    </row>
    <row r="3794" customFormat="false" ht="14.25" hidden="true" customHeight="false" outlineLevel="0" collapsed="false">
      <c r="A3794" s="49" t="s">
        <v>2349</v>
      </c>
      <c r="B3794" s="49" t="s">
        <v>2350</v>
      </c>
      <c r="C3794" s="49" t="s">
        <v>7511</v>
      </c>
      <c r="D3794" s="49" t="s">
        <v>2352</v>
      </c>
      <c r="E3794" s="49" t="str">
        <f aca="false">"5060458890191"</f>
        <v>5060458890191</v>
      </c>
      <c r="F3794" s="49" t="s">
        <v>3656</v>
      </c>
      <c r="G3794" s="49" t="n">
        <v>0</v>
      </c>
      <c r="H3794" s="0" t="n">
        <v>0</v>
      </c>
      <c r="M3794" s="51" t="s">
        <v>7485</v>
      </c>
      <c r="N3794" s="49" t="n">
        <v>0</v>
      </c>
      <c r="O3794" s="53" t="n">
        <v>45785.6274652778</v>
      </c>
      <c r="P3794" s="53" t="n">
        <v>45802.8636805556</v>
      </c>
      <c r="Q3794" s="53" t="n">
        <v>45785.6274652778</v>
      </c>
      <c r="R3794" s="0" t="n">
        <v>0</v>
      </c>
      <c r="S3794" s="51" t="s">
        <v>2416</v>
      </c>
      <c r="T3794" s="51" t="s">
        <v>2416</v>
      </c>
      <c r="U3794" s="0" t="str">
        <f aca="false">"5060458890191"</f>
        <v>5060458890191</v>
      </c>
      <c r="V3794" s="51" t="s">
        <v>2142</v>
      </c>
      <c r="W3794" s="51" t="s">
        <v>7014</v>
      </c>
      <c r="X3794" s="51" t="s">
        <v>2359</v>
      </c>
    </row>
    <row r="3795" customFormat="false" ht="14.25" hidden="true" customHeight="false" outlineLevel="0" collapsed="false">
      <c r="A3795" s="49" t="s">
        <v>2349</v>
      </c>
      <c r="B3795" s="49" t="s">
        <v>2350</v>
      </c>
      <c r="C3795" s="49" t="s">
        <v>7512</v>
      </c>
      <c r="D3795" s="49" t="s">
        <v>2352</v>
      </c>
      <c r="E3795" s="49" t="str">
        <f aca="false">"5060458890191"</f>
        <v>5060458890191</v>
      </c>
      <c r="F3795" s="49" t="s">
        <v>3656</v>
      </c>
      <c r="G3795" s="49" t="n">
        <v>0</v>
      </c>
      <c r="H3795" s="0" t="n">
        <v>0</v>
      </c>
      <c r="M3795" s="51" t="s">
        <v>7485</v>
      </c>
      <c r="N3795" s="49" t="n">
        <v>0</v>
      </c>
      <c r="O3795" s="53" t="n">
        <v>45785.6275694444</v>
      </c>
      <c r="P3795" s="53" t="n">
        <v>45802.8612268519</v>
      </c>
      <c r="Q3795" s="53" t="n">
        <v>45785.6275694444</v>
      </c>
      <c r="R3795" s="0" t="n">
        <v>0</v>
      </c>
      <c r="S3795" s="51" t="s">
        <v>2416</v>
      </c>
      <c r="T3795" s="51" t="s">
        <v>2416</v>
      </c>
      <c r="U3795" s="0" t="str">
        <f aca="false">"5060458890191"</f>
        <v>5060458890191</v>
      </c>
      <c r="V3795" s="51" t="s">
        <v>2142</v>
      </c>
      <c r="W3795" s="51" t="s">
        <v>7513</v>
      </c>
      <c r="X3795" s="51" t="s">
        <v>2359</v>
      </c>
    </row>
    <row r="3796" customFormat="false" ht="14.25" hidden="true" customHeight="false" outlineLevel="0" collapsed="false">
      <c r="A3796" s="49" t="s">
        <v>2349</v>
      </c>
      <c r="B3796" s="49" t="s">
        <v>2350</v>
      </c>
      <c r="C3796" s="49" t="s">
        <v>7514</v>
      </c>
      <c r="D3796" s="49" t="s">
        <v>2352</v>
      </c>
      <c r="E3796" s="49" t="str">
        <f aca="false">"5060458890191"</f>
        <v>5060458890191</v>
      </c>
      <c r="F3796" s="49" t="s">
        <v>3656</v>
      </c>
      <c r="G3796" s="49" t="n">
        <v>0</v>
      </c>
      <c r="H3796" s="0" t="n">
        <v>0</v>
      </c>
      <c r="M3796" s="51" t="s">
        <v>7485</v>
      </c>
      <c r="N3796" s="49" t="n">
        <v>0</v>
      </c>
      <c r="O3796" s="53" t="n">
        <v>45785.6277314815</v>
      </c>
      <c r="P3796" s="53" t="n">
        <v>45810.77</v>
      </c>
      <c r="Q3796" s="53" t="n">
        <v>45785.6277314815</v>
      </c>
      <c r="R3796" s="0" t="n">
        <v>0</v>
      </c>
      <c r="S3796" s="51" t="s">
        <v>2416</v>
      </c>
      <c r="T3796" s="51" t="s">
        <v>2416</v>
      </c>
      <c r="U3796" s="0" t="str">
        <f aca="false">"5060458890191"</f>
        <v>5060458890191</v>
      </c>
      <c r="V3796" s="51" t="s">
        <v>2142</v>
      </c>
      <c r="W3796" s="51" t="s">
        <v>4519</v>
      </c>
      <c r="X3796" s="51" t="s">
        <v>2359</v>
      </c>
    </row>
    <row r="3797" customFormat="false" ht="14.25" hidden="true" customHeight="false" outlineLevel="0" collapsed="false">
      <c r="A3797" s="49" t="s">
        <v>2349</v>
      </c>
      <c r="B3797" s="49" t="s">
        <v>2350</v>
      </c>
      <c r="C3797" s="49" t="s">
        <v>7515</v>
      </c>
      <c r="D3797" s="49" t="s">
        <v>2352</v>
      </c>
      <c r="E3797" s="49" t="str">
        <f aca="false">"5060458890191"</f>
        <v>5060458890191</v>
      </c>
      <c r="F3797" s="49" t="s">
        <v>3656</v>
      </c>
      <c r="G3797" s="49" t="n">
        <v>0</v>
      </c>
      <c r="H3797" s="0" t="n">
        <v>0</v>
      </c>
      <c r="M3797" s="51" t="s">
        <v>7485</v>
      </c>
      <c r="N3797" s="49" t="n">
        <v>0</v>
      </c>
      <c r="O3797" s="53" t="n">
        <v>45785.6278703704</v>
      </c>
      <c r="P3797" s="53" t="n">
        <v>45808.5829513889</v>
      </c>
      <c r="Q3797" s="53" t="n">
        <v>45785.6278703704</v>
      </c>
      <c r="R3797" s="0" t="n">
        <v>0</v>
      </c>
      <c r="S3797" s="51" t="s">
        <v>2416</v>
      </c>
      <c r="T3797" s="51" t="s">
        <v>2416</v>
      </c>
      <c r="U3797" s="0" t="str">
        <f aca="false">"5060458890191"</f>
        <v>5060458890191</v>
      </c>
      <c r="V3797" s="51" t="s">
        <v>2142</v>
      </c>
      <c r="W3797" s="51" t="s">
        <v>7516</v>
      </c>
      <c r="X3797" s="51" t="s">
        <v>2359</v>
      </c>
    </row>
    <row r="3798" customFormat="false" ht="14.25" hidden="true" customHeight="false" outlineLevel="0" collapsed="false">
      <c r="A3798" s="49" t="s">
        <v>2349</v>
      </c>
      <c r="B3798" s="49" t="s">
        <v>2350</v>
      </c>
      <c r="C3798" s="49" t="s">
        <v>7517</v>
      </c>
      <c r="D3798" s="49" t="s">
        <v>2352</v>
      </c>
      <c r="E3798" s="49" t="str">
        <f aca="false">"5060458890191"</f>
        <v>5060458890191</v>
      </c>
      <c r="F3798" s="49" t="s">
        <v>3656</v>
      </c>
      <c r="G3798" s="49" t="n">
        <v>0</v>
      </c>
      <c r="H3798" s="0" t="n">
        <v>0</v>
      </c>
      <c r="M3798" s="51" t="s">
        <v>7485</v>
      </c>
      <c r="N3798" s="49" t="n">
        <v>0</v>
      </c>
      <c r="O3798" s="53" t="n">
        <v>45785.627962963</v>
      </c>
      <c r="P3798" s="53" t="n">
        <v>45802.8893287037</v>
      </c>
      <c r="Q3798" s="53" t="n">
        <v>45785.627962963</v>
      </c>
      <c r="R3798" s="0" t="n">
        <v>0</v>
      </c>
      <c r="S3798" s="51" t="s">
        <v>2416</v>
      </c>
      <c r="T3798" s="51" t="s">
        <v>2416</v>
      </c>
      <c r="U3798" s="0" t="str">
        <f aca="false">"5060458890191"</f>
        <v>5060458890191</v>
      </c>
      <c r="V3798" s="51" t="s">
        <v>2142</v>
      </c>
      <c r="W3798" s="51" t="s">
        <v>4499</v>
      </c>
      <c r="X3798" s="51" t="s">
        <v>2359</v>
      </c>
    </row>
    <row r="3799" customFormat="false" ht="14.25" hidden="true" customHeight="false" outlineLevel="0" collapsed="false">
      <c r="A3799" s="49" t="s">
        <v>2349</v>
      </c>
      <c r="B3799" s="49" t="s">
        <v>2350</v>
      </c>
      <c r="C3799" s="49" t="s">
        <v>7518</v>
      </c>
      <c r="D3799" s="49" t="s">
        <v>2352</v>
      </c>
      <c r="E3799" s="49" t="str">
        <f aca="false">"5060458890191"</f>
        <v>5060458890191</v>
      </c>
      <c r="F3799" s="49" t="s">
        <v>3656</v>
      </c>
      <c r="G3799" s="49" t="n">
        <v>0</v>
      </c>
      <c r="H3799" s="0" t="n">
        <v>0</v>
      </c>
      <c r="M3799" s="51" t="s">
        <v>7485</v>
      </c>
      <c r="N3799" s="49" t="n">
        <v>0</v>
      </c>
      <c r="O3799" s="53" t="n">
        <v>45785.6281712963</v>
      </c>
      <c r="P3799" s="53" t="n">
        <v>45802.8781481482</v>
      </c>
      <c r="Q3799" s="53" t="n">
        <v>45785.6281712963</v>
      </c>
      <c r="R3799" s="0" t="n">
        <v>0</v>
      </c>
      <c r="S3799" s="51" t="s">
        <v>2416</v>
      </c>
      <c r="T3799" s="51" t="s">
        <v>2416</v>
      </c>
      <c r="U3799" s="0" t="str">
        <f aca="false">"5060458890191"</f>
        <v>5060458890191</v>
      </c>
      <c r="V3799" s="51" t="s">
        <v>2142</v>
      </c>
      <c r="W3799" s="51" t="s">
        <v>4721</v>
      </c>
      <c r="X3799" s="51" t="s">
        <v>2359</v>
      </c>
    </row>
    <row r="3800" customFormat="false" ht="14.25" hidden="true" customHeight="false" outlineLevel="0" collapsed="false">
      <c r="A3800" s="49" t="s">
        <v>2349</v>
      </c>
      <c r="B3800" s="49" t="s">
        <v>2350</v>
      </c>
      <c r="C3800" s="49" t="s">
        <v>7519</v>
      </c>
      <c r="D3800" s="49" t="s">
        <v>2352</v>
      </c>
      <c r="E3800" s="49" t="str">
        <f aca="false">"5060458890191"</f>
        <v>5060458890191</v>
      </c>
      <c r="F3800" s="49" t="s">
        <v>3656</v>
      </c>
      <c r="G3800" s="49" t="n">
        <v>0</v>
      </c>
      <c r="H3800" s="0" t="n">
        <v>0</v>
      </c>
      <c r="M3800" s="51" t="s">
        <v>7485</v>
      </c>
      <c r="N3800" s="49" t="n">
        <v>0</v>
      </c>
      <c r="O3800" s="53" t="n">
        <v>45785.628287037</v>
      </c>
      <c r="P3800" s="53" t="n">
        <v>45806.4550810185</v>
      </c>
      <c r="Q3800" s="53" t="n">
        <v>45785.628287037</v>
      </c>
      <c r="R3800" s="0" t="n">
        <v>0</v>
      </c>
      <c r="S3800" s="51" t="s">
        <v>2416</v>
      </c>
      <c r="T3800" s="51" t="s">
        <v>2416</v>
      </c>
      <c r="U3800" s="0" t="str">
        <f aca="false">"5060458890191"</f>
        <v>5060458890191</v>
      </c>
      <c r="V3800" s="51" t="s">
        <v>2142</v>
      </c>
      <c r="W3800" s="51" t="s">
        <v>7520</v>
      </c>
      <c r="X3800" s="51" t="s">
        <v>2359</v>
      </c>
    </row>
    <row r="3801" customFormat="false" ht="14.25" hidden="true" customHeight="false" outlineLevel="0" collapsed="false">
      <c r="A3801" s="49" t="s">
        <v>2349</v>
      </c>
      <c r="B3801" s="49" t="s">
        <v>2350</v>
      </c>
      <c r="C3801" s="49" t="s">
        <v>7521</v>
      </c>
      <c r="D3801" s="49" t="s">
        <v>2352</v>
      </c>
      <c r="E3801" s="49" t="str">
        <f aca="false">"5060458890191"</f>
        <v>5060458890191</v>
      </c>
      <c r="F3801" s="49" t="s">
        <v>3656</v>
      </c>
      <c r="G3801" s="49" t="n">
        <v>0</v>
      </c>
      <c r="H3801" s="0" t="n">
        <v>0</v>
      </c>
      <c r="M3801" s="51" t="s">
        <v>7485</v>
      </c>
      <c r="N3801" s="49" t="n">
        <v>0</v>
      </c>
      <c r="O3801" s="53" t="n">
        <v>45785.6284027778</v>
      </c>
      <c r="P3801" s="53" t="n">
        <v>45802.8622337963</v>
      </c>
      <c r="Q3801" s="53" t="n">
        <v>45785.6284027778</v>
      </c>
      <c r="R3801" s="0" t="n">
        <v>0</v>
      </c>
      <c r="S3801" s="51" t="s">
        <v>2416</v>
      </c>
      <c r="T3801" s="51" t="s">
        <v>2416</v>
      </c>
      <c r="U3801" s="0" t="str">
        <f aca="false">"5060458890191"</f>
        <v>5060458890191</v>
      </c>
      <c r="V3801" s="51" t="s">
        <v>2142</v>
      </c>
      <c r="W3801" s="51" t="s">
        <v>7025</v>
      </c>
      <c r="X3801" s="51" t="s">
        <v>2359</v>
      </c>
    </row>
    <row r="3802" customFormat="false" ht="14.25" hidden="true" customHeight="false" outlineLevel="0" collapsed="false">
      <c r="A3802" s="49" t="s">
        <v>2349</v>
      </c>
      <c r="B3802" s="49" t="s">
        <v>2350</v>
      </c>
      <c r="C3802" s="49" t="s">
        <v>7522</v>
      </c>
      <c r="D3802" s="49" t="s">
        <v>2352</v>
      </c>
      <c r="E3802" s="49" t="str">
        <f aca="false">"5060458890191"</f>
        <v>5060458890191</v>
      </c>
      <c r="F3802" s="49" t="s">
        <v>3656</v>
      </c>
      <c r="G3802" s="49" t="n">
        <v>0</v>
      </c>
      <c r="H3802" s="0" t="n">
        <v>0</v>
      </c>
      <c r="M3802" s="51" t="s">
        <v>7485</v>
      </c>
      <c r="N3802" s="49" t="n">
        <v>0</v>
      </c>
      <c r="O3802" s="53" t="n">
        <v>45785.6285300926</v>
      </c>
      <c r="P3802" s="53" t="n">
        <v>45812.5213425926</v>
      </c>
      <c r="Q3802" s="53" t="n">
        <v>45785.6285300926</v>
      </c>
      <c r="R3802" s="0" t="n">
        <v>0</v>
      </c>
      <c r="S3802" s="51" t="s">
        <v>2416</v>
      </c>
      <c r="T3802" s="51" t="s">
        <v>2416</v>
      </c>
      <c r="U3802" s="0" t="str">
        <f aca="false">"5060458890191"</f>
        <v>5060458890191</v>
      </c>
      <c r="V3802" s="51" t="s">
        <v>2142</v>
      </c>
      <c r="W3802" s="51" t="s">
        <v>4185</v>
      </c>
      <c r="X3802" s="51" t="s">
        <v>2359</v>
      </c>
    </row>
    <row r="3803" customFormat="false" ht="14.25" hidden="true" customHeight="false" outlineLevel="0" collapsed="false">
      <c r="A3803" s="49" t="s">
        <v>2349</v>
      </c>
      <c r="B3803" s="49" t="s">
        <v>2350</v>
      </c>
      <c r="C3803" s="49" t="s">
        <v>7523</v>
      </c>
      <c r="D3803" s="49" t="s">
        <v>2352</v>
      </c>
      <c r="E3803" s="49" t="str">
        <f aca="false">"5060458890191"</f>
        <v>5060458890191</v>
      </c>
      <c r="F3803" s="49" t="s">
        <v>3656</v>
      </c>
      <c r="G3803" s="49" t="n">
        <v>0</v>
      </c>
      <c r="H3803" s="0" t="n">
        <v>0</v>
      </c>
      <c r="M3803" s="51" t="s">
        <v>7485</v>
      </c>
      <c r="N3803" s="49" t="n">
        <v>0</v>
      </c>
      <c r="O3803" s="53" t="n">
        <v>45785.6286342593</v>
      </c>
      <c r="P3803" s="53" t="n">
        <v>45788.4859953704</v>
      </c>
      <c r="Q3803" s="53" t="n">
        <v>45785.6286342593</v>
      </c>
      <c r="R3803" s="0" t="n">
        <v>0</v>
      </c>
      <c r="S3803" s="51" t="s">
        <v>2416</v>
      </c>
      <c r="T3803" s="51" t="s">
        <v>2416</v>
      </c>
      <c r="U3803" s="0" t="str">
        <f aca="false">"5060458890191"</f>
        <v>5060458890191</v>
      </c>
      <c r="V3803" s="51" t="s">
        <v>2142</v>
      </c>
      <c r="W3803" s="51" t="s">
        <v>7524</v>
      </c>
      <c r="X3803" s="51" t="s">
        <v>2359</v>
      </c>
    </row>
    <row r="3804" customFormat="false" ht="14.25" hidden="true" customHeight="false" outlineLevel="0" collapsed="false">
      <c r="A3804" s="49" t="s">
        <v>2349</v>
      </c>
      <c r="B3804" s="49" t="s">
        <v>2350</v>
      </c>
      <c r="C3804" s="49" t="s">
        <v>7525</v>
      </c>
      <c r="D3804" s="49" t="s">
        <v>2352</v>
      </c>
      <c r="E3804" s="49" t="str">
        <f aca="false">"5060458890191"</f>
        <v>5060458890191</v>
      </c>
      <c r="F3804" s="49" t="s">
        <v>3656</v>
      </c>
      <c r="G3804" s="49" t="n">
        <v>0</v>
      </c>
      <c r="H3804" s="0" t="n">
        <v>0</v>
      </c>
      <c r="M3804" s="51" t="s">
        <v>7485</v>
      </c>
      <c r="N3804" s="49" t="n">
        <v>0</v>
      </c>
      <c r="O3804" s="53" t="n">
        <v>45785.6287384259</v>
      </c>
      <c r="P3804" s="53" t="n">
        <v>45802.8796064815</v>
      </c>
      <c r="Q3804" s="53" t="n">
        <v>45785.6287384259</v>
      </c>
      <c r="R3804" s="0" t="n">
        <v>0</v>
      </c>
      <c r="S3804" s="51" t="s">
        <v>2416</v>
      </c>
      <c r="T3804" s="51" t="s">
        <v>2416</v>
      </c>
      <c r="U3804" s="0" t="str">
        <f aca="false">"5060458890191"</f>
        <v>5060458890191</v>
      </c>
      <c r="V3804" s="51" t="s">
        <v>2142</v>
      </c>
      <c r="W3804" s="51" t="s">
        <v>4566</v>
      </c>
      <c r="X3804" s="51" t="s">
        <v>2359</v>
      </c>
    </row>
    <row r="3805" customFormat="false" ht="14.25" hidden="true" customHeight="false" outlineLevel="0" collapsed="false">
      <c r="A3805" s="49" t="s">
        <v>2349</v>
      </c>
      <c r="B3805" s="49" t="s">
        <v>2350</v>
      </c>
      <c r="C3805" s="49" t="s">
        <v>7526</v>
      </c>
      <c r="D3805" s="49" t="s">
        <v>2352</v>
      </c>
      <c r="E3805" s="49" t="str">
        <f aca="false">"5060458890191"</f>
        <v>5060458890191</v>
      </c>
      <c r="F3805" s="49" t="s">
        <v>3656</v>
      </c>
      <c r="G3805" s="49" t="n">
        <v>0</v>
      </c>
      <c r="H3805" s="0" t="n">
        <v>0</v>
      </c>
      <c r="M3805" s="51" t="s">
        <v>7485</v>
      </c>
      <c r="N3805" s="49" t="n">
        <v>0</v>
      </c>
      <c r="O3805" s="53" t="n">
        <v>45785.6288773148</v>
      </c>
      <c r="P3805" s="53" t="n">
        <v>45811.4888657407</v>
      </c>
      <c r="Q3805" s="53" t="n">
        <v>45785.6288773148</v>
      </c>
      <c r="R3805" s="0" t="n">
        <v>0</v>
      </c>
      <c r="S3805" s="51" t="s">
        <v>2416</v>
      </c>
      <c r="T3805" s="51" t="s">
        <v>2416</v>
      </c>
      <c r="U3805" s="0" t="str">
        <f aca="false">"5060458890191"</f>
        <v>5060458890191</v>
      </c>
      <c r="V3805" s="51" t="s">
        <v>2142</v>
      </c>
      <c r="W3805" s="51" t="s">
        <v>7527</v>
      </c>
      <c r="X3805" s="51" t="s">
        <v>2359</v>
      </c>
    </row>
    <row r="3806" customFormat="false" ht="14.25" hidden="true" customHeight="false" outlineLevel="0" collapsed="false">
      <c r="A3806" s="49" t="s">
        <v>2349</v>
      </c>
      <c r="B3806" s="49" t="s">
        <v>2350</v>
      </c>
      <c r="C3806" s="49" t="s">
        <v>7528</v>
      </c>
      <c r="D3806" s="49" t="s">
        <v>2352</v>
      </c>
      <c r="E3806" s="49" t="str">
        <f aca="false">"5060458890191"</f>
        <v>5060458890191</v>
      </c>
      <c r="F3806" s="49" t="s">
        <v>3656</v>
      </c>
      <c r="G3806" s="49" t="n">
        <v>0</v>
      </c>
      <c r="H3806" s="0" t="n">
        <v>0</v>
      </c>
      <c r="M3806" s="51" t="s">
        <v>7485</v>
      </c>
      <c r="N3806" s="49" t="n">
        <v>0</v>
      </c>
      <c r="O3806" s="53" t="n">
        <v>45785.6289814815</v>
      </c>
      <c r="P3806" s="53" t="n">
        <v>45809.8681828704</v>
      </c>
      <c r="Q3806" s="53" t="n">
        <v>45785.6289814815</v>
      </c>
      <c r="R3806" s="0" t="n">
        <v>0</v>
      </c>
      <c r="S3806" s="51" t="s">
        <v>2416</v>
      </c>
      <c r="T3806" s="51" t="s">
        <v>2416</v>
      </c>
      <c r="U3806" s="0" t="str">
        <f aca="false">"5060458890191"</f>
        <v>5060458890191</v>
      </c>
      <c r="V3806" s="51" t="s">
        <v>2142</v>
      </c>
      <c r="W3806" s="51" t="s">
        <v>7529</v>
      </c>
      <c r="X3806" s="51" t="s">
        <v>2359</v>
      </c>
    </row>
    <row r="3807" customFormat="false" ht="14.25" hidden="true" customHeight="false" outlineLevel="0" collapsed="false">
      <c r="A3807" s="49" t="s">
        <v>2349</v>
      </c>
      <c r="B3807" s="49" t="s">
        <v>2350</v>
      </c>
      <c r="C3807" s="49" t="s">
        <v>7530</v>
      </c>
      <c r="D3807" s="49" t="s">
        <v>2352</v>
      </c>
      <c r="E3807" s="49" t="str">
        <f aca="false">"5060458890191"</f>
        <v>5060458890191</v>
      </c>
      <c r="F3807" s="49" t="s">
        <v>3656</v>
      </c>
      <c r="G3807" s="49" t="n">
        <v>0</v>
      </c>
      <c r="H3807" s="0" t="n">
        <v>0</v>
      </c>
      <c r="M3807" s="51" t="s">
        <v>7485</v>
      </c>
      <c r="N3807" s="49" t="n">
        <v>0</v>
      </c>
      <c r="O3807" s="53" t="n">
        <v>45785.6291203704</v>
      </c>
      <c r="P3807" s="53" t="n">
        <v>45803.8806365741</v>
      </c>
      <c r="Q3807" s="53" t="n">
        <v>45785.6291203704</v>
      </c>
      <c r="R3807" s="0" t="n">
        <v>0</v>
      </c>
      <c r="S3807" s="51" t="s">
        <v>2416</v>
      </c>
      <c r="T3807" s="51" t="s">
        <v>2416</v>
      </c>
      <c r="U3807" s="0" t="str">
        <f aca="false">"5060458890191"</f>
        <v>5060458890191</v>
      </c>
      <c r="V3807" s="51" t="s">
        <v>2142</v>
      </c>
      <c r="W3807" s="51" t="s">
        <v>7531</v>
      </c>
      <c r="X3807" s="51" t="s">
        <v>2359</v>
      </c>
    </row>
    <row r="3808" customFormat="false" ht="14.25" hidden="true" customHeight="false" outlineLevel="0" collapsed="false">
      <c r="A3808" s="49" t="s">
        <v>2349</v>
      </c>
      <c r="B3808" s="49" t="s">
        <v>2350</v>
      </c>
      <c r="C3808" s="49" t="s">
        <v>7532</v>
      </c>
      <c r="D3808" s="49" t="s">
        <v>2352</v>
      </c>
      <c r="E3808" s="49" t="str">
        <f aca="false">"5060458890191"</f>
        <v>5060458890191</v>
      </c>
      <c r="F3808" s="49" t="s">
        <v>3656</v>
      </c>
      <c r="G3808" s="49" t="n">
        <v>0</v>
      </c>
      <c r="H3808" s="0" t="n">
        <v>0</v>
      </c>
      <c r="M3808" s="51" t="s">
        <v>7485</v>
      </c>
      <c r="N3808" s="49" t="n">
        <v>0</v>
      </c>
      <c r="O3808" s="53" t="n">
        <v>45785.6291898148</v>
      </c>
      <c r="P3808" s="53" t="n">
        <v>45808.5809027778</v>
      </c>
      <c r="Q3808" s="53" t="n">
        <v>45785.6291898148</v>
      </c>
      <c r="R3808" s="0" t="n">
        <v>0</v>
      </c>
      <c r="S3808" s="51" t="s">
        <v>2416</v>
      </c>
      <c r="T3808" s="51" t="s">
        <v>2416</v>
      </c>
      <c r="U3808" s="0" t="str">
        <f aca="false">"5060458890191"</f>
        <v>5060458890191</v>
      </c>
      <c r="V3808" s="51" t="s">
        <v>2142</v>
      </c>
      <c r="W3808" s="51" t="s">
        <v>7533</v>
      </c>
      <c r="X3808" s="51" t="s">
        <v>2359</v>
      </c>
    </row>
    <row r="3809" customFormat="false" ht="14.25" hidden="true" customHeight="false" outlineLevel="0" collapsed="false">
      <c r="A3809" s="49" t="s">
        <v>2349</v>
      </c>
      <c r="B3809" s="49" t="s">
        <v>2350</v>
      </c>
      <c r="C3809" s="49" t="s">
        <v>7534</v>
      </c>
      <c r="D3809" s="49" t="s">
        <v>2352</v>
      </c>
      <c r="E3809" s="49" t="str">
        <f aca="false">"5060458890191"</f>
        <v>5060458890191</v>
      </c>
      <c r="F3809" s="49" t="s">
        <v>3656</v>
      </c>
      <c r="G3809" s="49" t="n">
        <v>0</v>
      </c>
      <c r="H3809" s="0" t="n">
        <v>0</v>
      </c>
      <c r="M3809" s="51" t="s">
        <v>7485</v>
      </c>
      <c r="N3809" s="49" t="n">
        <v>0</v>
      </c>
      <c r="O3809" s="53" t="n">
        <v>45785.6292939815</v>
      </c>
      <c r="P3809" s="53" t="n">
        <v>45808.578275463</v>
      </c>
      <c r="Q3809" s="53" t="n">
        <v>45785.6292939815</v>
      </c>
      <c r="R3809" s="0" t="n">
        <v>0</v>
      </c>
      <c r="S3809" s="51" t="s">
        <v>2416</v>
      </c>
      <c r="T3809" s="51" t="s">
        <v>2416</v>
      </c>
      <c r="U3809" s="0" t="str">
        <f aca="false">"5060458890191"</f>
        <v>5060458890191</v>
      </c>
      <c r="V3809" s="51" t="s">
        <v>2142</v>
      </c>
      <c r="W3809" s="51" t="s">
        <v>4290</v>
      </c>
      <c r="X3809" s="51" t="s">
        <v>2359</v>
      </c>
    </row>
    <row r="3810" customFormat="false" ht="14.25" hidden="true" customHeight="false" outlineLevel="0" collapsed="false">
      <c r="A3810" s="49" t="s">
        <v>2349</v>
      </c>
      <c r="B3810" s="49" t="s">
        <v>2350</v>
      </c>
      <c r="C3810" s="49" t="s">
        <v>7535</v>
      </c>
      <c r="D3810" s="49" t="s">
        <v>2352</v>
      </c>
      <c r="E3810" s="49" t="str">
        <f aca="false">"5060458890191"</f>
        <v>5060458890191</v>
      </c>
      <c r="F3810" s="49" t="s">
        <v>3656</v>
      </c>
      <c r="G3810" s="49" t="n">
        <v>0</v>
      </c>
      <c r="H3810" s="0" t="n">
        <v>0</v>
      </c>
      <c r="M3810" s="51" t="s">
        <v>7485</v>
      </c>
      <c r="N3810" s="49" t="n">
        <v>0</v>
      </c>
      <c r="O3810" s="53" t="n">
        <v>45785.6294212963</v>
      </c>
      <c r="P3810" s="53" t="n">
        <v>45810.769837963</v>
      </c>
      <c r="Q3810" s="53" t="n">
        <v>45785.6294212963</v>
      </c>
      <c r="R3810" s="0" t="n">
        <v>0</v>
      </c>
      <c r="S3810" s="51" t="s">
        <v>2416</v>
      </c>
      <c r="T3810" s="51" t="s">
        <v>2416</v>
      </c>
      <c r="U3810" s="0" t="str">
        <f aca="false">"5060458890191"</f>
        <v>5060458890191</v>
      </c>
      <c r="V3810" s="51" t="s">
        <v>2142</v>
      </c>
      <c r="W3810" s="51" t="s">
        <v>7536</v>
      </c>
      <c r="X3810" s="51" t="s">
        <v>2359</v>
      </c>
    </row>
    <row r="3811" customFormat="false" ht="14.25" hidden="true" customHeight="false" outlineLevel="0" collapsed="false">
      <c r="A3811" s="49" t="s">
        <v>2349</v>
      </c>
      <c r="B3811" s="49" t="s">
        <v>2350</v>
      </c>
      <c r="C3811" s="49" t="s">
        <v>7537</v>
      </c>
      <c r="D3811" s="49" t="s">
        <v>2352</v>
      </c>
      <c r="E3811" s="49" t="str">
        <f aca="false">"5060458890191"</f>
        <v>5060458890191</v>
      </c>
      <c r="F3811" s="49" t="s">
        <v>3656</v>
      </c>
      <c r="G3811" s="49" t="n">
        <v>0</v>
      </c>
      <c r="H3811" s="0" t="n">
        <v>0</v>
      </c>
      <c r="M3811" s="51" t="s">
        <v>7485</v>
      </c>
      <c r="N3811" s="49" t="n">
        <v>0</v>
      </c>
      <c r="O3811" s="53" t="n">
        <v>45785.629537037</v>
      </c>
      <c r="P3811" s="53" t="n">
        <v>45802.8815277778</v>
      </c>
      <c r="Q3811" s="53" t="n">
        <v>45785.629537037</v>
      </c>
      <c r="R3811" s="0" t="n">
        <v>0</v>
      </c>
      <c r="S3811" s="51" t="s">
        <v>2416</v>
      </c>
      <c r="T3811" s="51" t="s">
        <v>2416</v>
      </c>
      <c r="U3811" s="0" t="str">
        <f aca="false">"5060458890191"</f>
        <v>5060458890191</v>
      </c>
      <c r="V3811" s="51" t="s">
        <v>2142</v>
      </c>
      <c r="W3811" s="51" t="s">
        <v>4088</v>
      </c>
      <c r="X3811" s="51" t="s">
        <v>2359</v>
      </c>
    </row>
    <row r="3812" customFormat="false" ht="14.25" hidden="true" customHeight="false" outlineLevel="0" collapsed="false">
      <c r="A3812" s="49" t="s">
        <v>2349</v>
      </c>
      <c r="B3812" s="49" t="s">
        <v>2350</v>
      </c>
      <c r="C3812" s="49" t="s">
        <v>7538</v>
      </c>
      <c r="D3812" s="49" t="s">
        <v>2352</v>
      </c>
      <c r="E3812" s="49" t="str">
        <f aca="false">"5060458890191"</f>
        <v>5060458890191</v>
      </c>
      <c r="F3812" s="49" t="s">
        <v>3656</v>
      </c>
      <c r="G3812" s="49" t="n">
        <v>0</v>
      </c>
      <c r="H3812" s="0" t="n">
        <v>0</v>
      </c>
      <c r="M3812" s="51" t="s">
        <v>7485</v>
      </c>
      <c r="N3812" s="49" t="n">
        <v>0</v>
      </c>
      <c r="O3812" s="53" t="n">
        <v>45785.6244675926</v>
      </c>
      <c r="P3812" s="53" t="n">
        <v>45818.6839351852</v>
      </c>
      <c r="Q3812" s="53" t="n">
        <v>45785.6244675926</v>
      </c>
      <c r="R3812" s="0" t="n">
        <v>0</v>
      </c>
      <c r="S3812" s="51" t="s">
        <v>2416</v>
      </c>
      <c r="T3812" s="51" t="s">
        <v>2416</v>
      </c>
      <c r="U3812" s="0" t="str">
        <f aca="false">"5060458890191"</f>
        <v>5060458890191</v>
      </c>
      <c r="V3812" s="51" t="s">
        <v>2142</v>
      </c>
      <c r="W3812" s="51" t="s">
        <v>7539</v>
      </c>
      <c r="X3812" s="51" t="s">
        <v>2359</v>
      </c>
    </row>
    <row r="3813" customFormat="false" ht="14.25" hidden="true" customHeight="false" outlineLevel="0" collapsed="false">
      <c r="A3813" s="49" t="s">
        <v>2349</v>
      </c>
      <c r="B3813" s="49" t="s">
        <v>2350</v>
      </c>
      <c r="C3813" s="49" t="s">
        <v>7540</v>
      </c>
      <c r="D3813" s="49" t="s">
        <v>2352</v>
      </c>
      <c r="E3813" s="49" t="str">
        <f aca="false">"5060458890191"</f>
        <v>5060458890191</v>
      </c>
      <c r="F3813" s="49" t="s">
        <v>3656</v>
      </c>
      <c r="G3813" s="49" t="n">
        <v>0</v>
      </c>
      <c r="H3813" s="0" t="n">
        <v>0</v>
      </c>
      <c r="M3813" s="51" t="s">
        <v>7485</v>
      </c>
      <c r="N3813" s="49" t="n">
        <v>0</v>
      </c>
      <c r="O3813" s="53" t="n">
        <v>45785.6308101852</v>
      </c>
      <c r="P3813" s="53" t="n">
        <v>45818.7081828704</v>
      </c>
      <c r="Q3813" s="53" t="n">
        <v>45785.6308101852</v>
      </c>
      <c r="R3813" s="0" t="n">
        <v>0</v>
      </c>
      <c r="S3813" s="51" t="s">
        <v>2416</v>
      </c>
      <c r="T3813" s="51" t="s">
        <v>2416</v>
      </c>
      <c r="U3813" s="0" t="str">
        <f aca="false">"5060458890191"</f>
        <v>5060458890191</v>
      </c>
      <c r="V3813" s="51" t="s">
        <v>2142</v>
      </c>
      <c r="W3813" s="51" t="s">
        <v>7541</v>
      </c>
      <c r="X3813" s="51" t="s">
        <v>2359</v>
      </c>
    </row>
    <row r="3814" customFormat="false" ht="14.25" hidden="true" customHeight="false" outlineLevel="0" collapsed="false">
      <c r="A3814" s="49" t="s">
        <v>2349</v>
      </c>
      <c r="B3814" s="49" t="s">
        <v>2350</v>
      </c>
      <c r="C3814" s="49" t="s">
        <v>7542</v>
      </c>
      <c r="D3814" s="49" t="s">
        <v>2352</v>
      </c>
      <c r="E3814" s="49" t="str">
        <f aca="false">"5060458890191"</f>
        <v>5060458890191</v>
      </c>
      <c r="F3814" s="49" t="s">
        <v>3656</v>
      </c>
      <c r="G3814" s="49" t="n">
        <v>0</v>
      </c>
      <c r="H3814" s="0" t="n">
        <v>0</v>
      </c>
      <c r="M3814" s="51" t="s">
        <v>7485</v>
      </c>
      <c r="N3814" s="49" t="n">
        <v>0</v>
      </c>
      <c r="O3814" s="53" t="n">
        <v>45785.6307291667</v>
      </c>
      <c r="P3814" s="53" t="n">
        <v>45818.7071296296</v>
      </c>
      <c r="Q3814" s="53" t="n">
        <v>45785.6307291667</v>
      </c>
      <c r="R3814" s="0" t="n">
        <v>0</v>
      </c>
      <c r="S3814" s="51" t="s">
        <v>2416</v>
      </c>
      <c r="T3814" s="51" t="s">
        <v>2416</v>
      </c>
      <c r="U3814" s="0" t="str">
        <f aca="false">"5060458890191"</f>
        <v>5060458890191</v>
      </c>
      <c r="V3814" s="51" t="s">
        <v>2142</v>
      </c>
      <c r="W3814" s="51" t="s">
        <v>7541</v>
      </c>
      <c r="X3814" s="51" t="s">
        <v>2359</v>
      </c>
    </row>
    <row r="3815" customFormat="false" ht="14.25" hidden="true" customHeight="false" outlineLevel="0" collapsed="false">
      <c r="A3815" s="49" t="s">
        <v>2349</v>
      </c>
      <c r="B3815" s="49" t="s">
        <v>2350</v>
      </c>
      <c r="C3815" s="49" t="s">
        <v>7543</v>
      </c>
      <c r="D3815" s="49" t="s">
        <v>2352</v>
      </c>
      <c r="E3815" s="49" t="str">
        <f aca="false">"5060458890191"</f>
        <v>5060458890191</v>
      </c>
      <c r="F3815" s="49" t="s">
        <v>3656</v>
      </c>
      <c r="G3815" s="49" t="n">
        <v>0</v>
      </c>
      <c r="H3815" s="0" t="n">
        <v>0</v>
      </c>
      <c r="M3815" s="51" t="s">
        <v>7485</v>
      </c>
      <c r="N3815" s="49" t="n">
        <v>0</v>
      </c>
      <c r="O3815" s="53" t="n">
        <v>45785.6314236111</v>
      </c>
      <c r="P3815" s="53" t="n">
        <v>45801.8796064815</v>
      </c>
      <c r="Q3815" s="53" t="n">
        <v>45785.6314236111</v>
      </c>
      <c r="R3815" s="0" t="n">
        <v>0</v>
      </c>
      <c r="S3815" s="51" t="s">
        <v>2416</v>
      </c>
      <c r="T3815" s="51" t="s">
        <v>2416</v>
      </c>
      <c r="U3815" s="0" t="str">
        <f aca="false">"5060458890191"</f>
        <v>5060458890191</v>
      </c>
      <c r="V3815" s="51" t="s">
        <v>2142</v>
      </c>
      <c r="W3815" s="51" t="s">
        <v>6484</v>
      </c>
      <c r="X3815" s="51" t="s">
        <v>2359</v>
      </c>
    </row>
    <row r="3816" customFormat="false" ht="14.25" hidden="true" customHeight="false" outlineLevel="0" collapsed="false">
      <c r="A3816" s="49" t="s">
        <v>2349</v>
      </c>
      <c r="B3816" s="49" t="s">
        <v>2350</v>
      </c>
      <c r="C3816" s="49" t="s">
        <v>7544</v>
      </c>
      <c r="D3816" s="49" t="s">
        <v>2352</v>
      </c>
      <c r="E3816" s="49" t="str">
        <f aca="false">"5060458890191"</f>
        <v>5060458890191</v>
      </c>
      <c r="F3816" s="49" t="s">
        <v>3656</v>
      </c>
      <c r="G3816" s="49" t="n">
        <v>0</v>
      </c>
      <c r="H3816" s="0" t="n">
        <v>0</v>
      </c>
      <c r="M3816" s="51" t="s">
        <v>7485</v>
      </c>
      <c r="N3816" s="49" t="n">
        <v>0</v>
      </c>
      <c r="O3816" s="53" t="n">
        <v>45785.6315509259</v>
      </c>
      <c r="P3816" s="53" t="n">
        <v>45802.8770023148</v>
      </c>
      <c r="Q3816" s="53" t="n">
        <v>45785.6315509259</v>
      </c>
      <c r="R3816" s="0" t="n">
        <v>0</v>
      </c>
      <c r="S3816" s="51" t="s">
        <v>2416</v>
      </c>
      <c r="T3816" s="51" t="s">
        <v>2416</v>
      </c>
      <c r="U3816" s="0" t="str">
        <f aca="false">"5060458890191"</f>
        <v>5060458890191</v>
      </c>
      <c r="V3816" s="51" t="s">
        <v>2142</v>
      </c>
      <c r="W3816" s="51" t="s">
        <v>7545</v>
      </c>
      <c r="X3816" s="51" t="s">
        <v>2359</v>
      </c>
    </row>
    <row r="3817" customFormat="false" ht="14.25" hidden="true" customHeight="false" outlineLevel="0" collapsed="false">
      <c r="A3817" s="49" t="s">
        <v>2349</v>
      </c>
      <c r="B3817" s="49" t="s">
        <v>2350</v>
      </c>
      <c r="C3817" s="49" t="s">
        <v>7546</v>
      </c>
      <c r="D3817" s="49" t="s">
        <v>2352</v>
      </c>
      <c r="E3817" s="49" t="str">
        <f aca="false">"5060458890191"</f>
        <v>5060458890191</v>
      </c>
      <c r="F3817" s="49" t="s">
        <v>3656</v>
      </c>
      <c r="G3817" s="49" t="n">
        <v>0</v>
      </c>
      <c r="H3817" s="0" t="n">
        <v>0</v>
      </c>
      <c r="M3817" s="51" t="s">
        <v>7485</v>
      </c>
      <c r="N3817" s="49" t="n">
        <v>0</v>
      </c>
      <c r="O3817" s="53" t="n">
        <v>45785.6317013889</v>
      </c>
      <c r="P3817" s="53" t="n">
        <v>45809.8569675926</v>
      </c>
      <c r="Q3817" s="53" t="n">
        <v>45785.6317013889</v>
      </c>
      <c r="R3817" s="0" t="n">
        <v>0</v>
      </c>
      <c r="S3817" s="51" t="s">
        <v>2416</v>
      </c>
      <c r="T3817" s="51" t="s">
        <v>2416</v>
      </c>
      <c r="U3817" s="0" t="str">
        <f aca="false">"5060458890191"</f>
        <v>5060458890191</v>
      </c>
      <c r="V3817" s="51" t="s">
        <v>2142</v>
      </c>
      <c r="W3817" s="51" t="s">
        <v>7547</v>
      </c>
      <c r="X3817" s="51" t="s">
        <v>2359</v>
      </c>
    </row>
    <row r="3818" customFormat="false" ht="14.25" hidden="true" customHeight="false" outlineLevel="0" collapsed="false">
      <c r="A3818" s="49" t="s">
        <v>2349</v>
      </c>
      <c r="B3818" s="49" t="s">
        <v>2350</v>
      </c>
      <c r="C3818" s="49" t="s">
        <v>7548</v>
      </c>
      <c r="D3818" s="49" t="s">
        <v>2352</v>
      </c>
      <c r="E3818" s="49" t="str">
        <f aca="false">"5060458890191"</f>
        <v>5060458890191</v>
      </c>
      <c r="F3818" s="49" t="s">
        <v>3656</v>
      </c>
      <c r="G3818" s="49" t="n">
        <v>0</v>
      </c>
      <c r="H3818" s="0" t="n">
        <v>0</v>
      </c>
      <c r="M3818" s="51" t="s">
        <v>7485</v>
      </c>
      <c r="N3818" s="49" t="n">
        <v>0</v>
      </c>
      <c r="O3818" s="53" t="n">
        <v>45785.6318402778</v>
      </c>
      <c r="P3818" s="53" t="n">
        <v>45810.7690046296</v>
      </c>
      <c r="Q3818" s="53" t="n">
        <v>45785.6318402778</v>
      </c>
      <c r="R3818" s="0" t="n">
        <v>0</v>
      </c>
      <c r="S3818" s="51" t="s">
        <v>2416</v>
      </c>
      <c r="T3818" s="51" t="s">
        <v>2416</v>
      </c>
      <c r="U3818" s="0" t="str">
        <f aca="false">"5060458890191"</f>
        <v>5060458890191</v>
      </c>
      <c r="V3818" s="51" t="s">
        <v>2142</v>
      </c>
      <c r="W3818" s="51" t="s">
        <v>7549</v>
      </c>
      <c r="X3818" s="51" t="s">
        <v>2359</v>
      </c>
    </row>
    <row r="3819" customFormat="false" ht="14.25" hidden="true" customHeight="false" outlineLevel="0" collapsed="false">
      <c r="A3819" s="49" t="s">
        <v>2349</v>
      </c>
      <c r="B3819" s="49" t="s">
        <v>2350</v>
      </c>
      <c r="C3819" s="49" t="s">
        <v>7550</v>
      </c>
      <c r="D3819" s="49" t="s">
        <v>2352</v>
      </c>
      <c r="E3819" s="49" t="str">
        <f aca="false">"5060458890191"</f>
        <v>5060458890191</v>
      </c>
      <c r="F3819" s="49" t="s">
        <v>3656</v>
      </c>
      <c r="G3819" s="49" t="n">
        <v>0</v>
      </c>
      <c r="H3819" s="0" t="n">
        <v>0</v>
      </c>
      <c r="M3819" s="51" t="s">
        <v>7485</v>
      </c>
      <c r="N3819" s="49" t="n">
        <v>0</v>
      </c>
      <c r="O3819" s="53" t="n">
        <v>45785.6319675926</v>
      </c>
      <c r="P3819" s="53" t="n">
        <v>45811.4887962963</v>
      </c>
      <c r="Q3819" s="53" t="n">
        <v>45785.6319675926</v>
      </c>
      <c r="R3819" s="0" t="n">
        <v>0</v>
      </c>
      <c r="S3819" s="51" t="s">
        <v>2416</v>
      </c>
      <c r="T3819" s="51" t="s">
        <v>2416</v>
      </c>
      <c r="U3819" s="0" t="str">
        <f aca="false">"5060458890191"</f>
        <v>5060458890191</v>
      </c>
      <c r="V3819" s="51" t="s">
        <v>2142</v>
      </c>
      <c r="W3819" s="51" t="s">
        <v>6329</v>
      </c>
      <c r="X3819" s="51" t="s">
        <v>2359</v>
      </c>
    </row>
    <row r="3820" customFormat="false" ht="14.25" hidden="true" customHeight="false" outlineLevel="0" collapsed="false">
      <c r="A3820" s="49" t="s">
        <v>2349</v>
      </c>
      <c r="B3820" s="49" t="s">
        <v>2350</v>
      </c>
      <c r="C3820" s="49" t="s">
        <v>7551</v>
      </c>
      <c r="D3820" s="49" t="s">
        <v>2352</v>
      </c>
      <c r="E3820" s="49" t="str">
        <f aca="false">"5060458890191"</f>
        <v>5060458890191</v>
      </c>
      <c r="F3820" s="49" t="s">
        <v>3656</v>
      </c>
      <c r="G3820" s="49" t="n">
        <v>0</v>
      </c>
      <c r="H3820" s="0" t="n">
        <v>0</v>
      </c>
      <c r="M3820" s="51" t="s">
        <v>7485</v>
      </c>
      <c r="N3820" s="49" t="n">
        <v>0</v>
      </c>
      <c r="O3820" s="53" t="n">
        <v>45785.6321180556</v>
      </c>
      <c r="P3820" s="53" t="n">
        <v>45809.8755902778</v>
      </c>
      <c r="Q3820" s="53" t="n">
        <v>45785.6321180556</v>
      </c>
      <c r="R3820" s="0" t="n">
        <v>0</v>
      </c>
      <c r="S3820" s="51" t="s">
        <v>2416</v>
      </c>
      <c r="T3820" s="51" t="s">
        <v>2416</v>
      </c>
      <c r="U3820" s="0" t="str">
        <f aca="false">"5060458890191"</f>
        <v>5060458890191</v>
      </c>
      <c r="V3820" s="51" t="s">
        <v>2142</v>
      </c>
      <c r="W3820" s="51" t="s">
        <v>7552</v>
      </c>
      <c r="X3820" s="51" t="s">
        <v>2359</v>
      </c>
    </row>
    <row r="3821" customFormat="false" ht="14.25" hidden="true" customHeight="false" outlineLevel="0" collapsed="false">
      <c r="A3821" s="49" t="s">
        <v>2349</v>
      </c>
      <c r="B3821" s="49" t="s">
        <v>2350</v>
      </c>
      <c r="C3821" s="49" t="s">
        <v>7553</v>
      </c>
      <c r="D3821" s="49" t="s">
        <v>2352</v>
      </c>
      <c r="E3821" s="49" t="str">
        <f aca="false">"5060458890191"</f>
        <v>5060458890191</v>
      </c>
      <c r="F3821" s="49" t="s">
        <v>3656</v>
      </c>
      <c r="G3821" s="49" t="n">
        <v>0</v>
      </c>
      <c r="H3821" s="0" t="n">
        <v>0</v>
      </c>
      <c r="M3821" s="51" t="s">
        <v>7485</v>
      </c>
      <c r="N3821" s="49" t="n">
        <v>0</v>
      </c>
      <c r="O3821" s="53" t="n">
        <v>45785.6328587963</v>
      </c>
      <c r="P3821" s="53" t="n">
        <v>45802.8909837963</v>
      </c>
      <c r="Q3821" s="53" t="n">
        <v>45785.6328587963</v>
      </c>
      <c r="R3821" s="0" t="n">
        <v>0</v>
      </c>
      <c r="S3821" s="51" t="s">
        <v>2416</v>
      </c>
      <c r="T3821" s="51" t="s">
        <v>2416</v>
      </c>
      <c r="U3821" s="0" t="str">
        <f aca="false">"5060458890191"</f>
        <v>5060458890191</v>
      </c>
      <c r="V3821" s="51" t="s">
        <v>2142</v>
      </c>
      <c r="W3821" s="51" t="s">
        <v>6830</v>
      </c>
      <c r="X3821" s="51" t="s">
        <v>2359</v>
      </c>
    </row>
    <row r="3822" customFormat="false" ht="14.25" hidden="true" customHeight="false" outlineLevel="0" collapsed="false">
      <c r="A3822" s="49" t="s">
        <v>2349</v>
      </c>
      <c r="B3822" s="49" t="s">
        <v>2350</v>
      </c>
      <c r="C3822" s="49" t="s">
        <v>7554</v>
      </c>
      <c r="D3822" s="49" t="s">
        <v>2352</v>
      </c>
      <c r="E3822" s="49" t="str">
        <f aca="false">"5060458890191"</f>
        <v>5060458890191</v>
      </c>
      <c r="F3822" s="49" t="s">
        <v>3656</v>
      </c>
      <c r="G3822" s="49" t="n">
        <v>0</v>
      </c>
      <c r="H3822" s="0" t="n">
        <v>0</v>
      </c>
      <c r="M3822" s="51" t="s">
        <v>7485</v>
      </c>
      <c r="N3822" s="49" t="n">
        <v>0</v>
      </c>
      <c r="O3822" s="53" t="n">
        <v>45785.633587963</v>
      </c>
      <c r="P3822" s="53" t="n">
        <v>45812.5284606482</v>
      </c>
      <c r="Q3822" s="53" t="n">
        <v>45785.633587963</v>
      </c>
      <c r="R3822" s="0" t="n">
        <v>0</v>
      </c>
      <c r="S3822" s="51" t="s">
        <v>2416</v>
      </c>
      <c r="T3822" s="51" t="s">
        <v>2416</v>
      </c>
      <c r="U3822" s="0" t="str">
        <f aca="false">"5060458890191"</f>
        <v>5060458890191</v>
      </c>
      <c r="V3822" s="51" t="s">
        <v>2142</v>
      </c>
      <c r="W3822" s="51" t="s">
        <v>7555</v>
      </c>
      <c r="X3822" s="51" t="s">
        <v>2359</v>
      </c>
    </row>
    <row r="3823" customFormat="false" ht="14.25" hidden="true" customHeight="false" outlineLevel="0" collapsed="false">
      <c r="A3823" s="49" t="s">
        <v>2349</v>
      </c>
      <c r="B3823" s="49" t="s">
        <v>2350</v>
      </c>
      <c r="C3823" s="49" t="s">
        <v>7556</v>
      </c>
      <c r="D3823" s="49" t="s">
        <v>2352</v>
      </c>
      <c r="E3823" s="49" t="s">
        <v>4140</v>
      </c>
      <c r="F3823" s="49" t="s">
        <v>4141</v>
      </c>
      <c r="G3823" s="49" t="n">
        <v>0</v>
      </c>
      <c r="H3823" s="0" t="n">
        <v>0</v>
      </c>
      <c r="M3823" s="51" t="s">
        <v>7557</v>
      </c>
      <c r="N3823" s="49" t="n">
        <v>0</v>
      </c>
      <c r="O3823" s="53" t="n">
        <v>45797.3771990741</v>
      </c>
      <c r="P3823" s="53" t="n">
        <v>45808.5341087963</v>
      </c>
      <c r="Q3823" s="53" t="n">
        <v>45797.3771990741</v>
      </c>
      <c r="R3823" s="0" t="n">
        <v>0</v>
      </c>
      <c r="S3823" s="51" t="s">
        <v>2356</v>
      </c>
      <c r="T3823" s="51" t="s">
        <v>2356</v>
      </c>
      <c r="U3823" s="51" t="s">
        <v>4140</v>
      </c>
      <c r="V3823" s="51" t="s">
        <v>3740</v>
      </c>
      <c r="W3823" s="51" t="s">
        <v>3734</v>
      </c>
      <c r="X3823" s="51" t="s">
        <v>2359</v>
      </c>
    </row>
    <row r="3824" customFormat="false" ht="14.25" hidden="true" customHeight="false" outlineLevel="0" collapsed="false">
      <c r="A3824" s="49" t="s">
        <v>2349</v>
      </c>
      <c r="B3824" s="49" t="s">
        <v>2350</v>
      </c>
      <c r="C3824" s="49" t="s">
        <v>7558</v>
      </c>
      <c r="D3824" s="49" t="s">
        <v>2352</v>
      </c>
      <c r="E3824" s="49" t="s">
        <v>4140</v>
      </c>
      <c r="F3824" s="49" t="s">
        <v>4141</v>
      </c>
      <c r="G3824" s="49" t="n">
        <v>0</v>
      </c>
      <c r="H3824" s="0" t="n">
        <v>0</v>
      </c>
      <c r="M3824" s="51" t="s">
        <v>7557</v>
      </c>
      <c r="N3824" s="49" t="n">
        <v>0</v>
      </c>
      <c r="O3824" s="53" t="n">
        <v>45797.377962963</v>
      </c>
      <c r="P3824" s="53" t="n">
        <v>45808.5335069444</v>
      </c>
      <c r="Q3824" s="53" t="n">
        <v>45797.377962963</v>
      </c>
      <c r="R3824" s="0" t="n">
        <v>0</v>
      </c>
      <c r="S3824" s="51" t="s">
        <v>2356</v>
      </c>
      <c r="T3824" s="51" t="s">
        <v>2356</v>
      </c>
      <c r="U3824" s="51" t="s">
        <v>4140</v>
      </c>
      <c r="V3824" s="51" t="s">
        <v>3740</v>
      </c>
      <c r="W3824" s="51" t="s">
        <v>3696</v>
      </c>
      <c r="X3824" s="51" t="s">
        <v>2359</v>
      </c>
    </row>
    <row r="3825" customFormat="false" ht="14.25" hidden="true" customHeight="false" outlineLevel="0" collapsed="false">
      <c r="A3825" s="49" t="s">
        <v>2349</v>
      </c>
      <c r="B3825" s="49" t="s">
        <v>2350</v>
      </c>
      <c r="C3825" s="49" t="s">
        <v>7559</v>
      </c>
      <c r="D3825" s="49" t="s">
        <v>2352</v>
      </c>
      <c r="E3825" s="49" t="str">
        <f aca="false">"5060458890191"</f>
        <v>5060458890191</v>
      </c>
      <c r="F3825" s="49" t="s">
        <v>3656</v>
      </c>
      <c r="G3825" s="49" t="n">
        <v>0</v>
      </c>
      <c r="H3825" s="0" t="n">
        <v>0</v>
      </c>
      <c r="M3825" s="51" t="s">
        <v>7560</v>
      </c>
      <c r="N3825" s="49" t="n">
        <v>0</v>
      </c>
      <c r="O3825" s="53" t="n">
        <v>45844.6298032407</v>
      </c>
      <c r="P3825" s="53" t="n">
        <v>45861.7694560185</v>
      </c>
      <c r="Q3825" s="53" t="n">
        <v>45844.6298032407</v>
      </c>
      <c r="R3825" s="0" t="n">
        <v>0</v>
      </c>
      <c r="S3825" s="51" t="s">
        <v>4015</v>
      </c>
      <c r="T3825" s="51" t="s">
        <v>4015</v>
      </c>
      <c r="U3825" s="0" t="str">
        <f aca="false">"5060458890191"</f>
        <v>5060458890191</v>
      </c>
      <c r="V3825" s="51" t="s">
        <v>2142</v>
      </c>
      <c r="W3825" s="51" t="s">
        <v>7561</v>
      </c>
      <c r="X3825" s="51" t="s">
        <v>2359</v>
      </c>
    </row>
    <row r="3826" customFormat="false" ht="14.25" hidden="true" customHeight="false" outlineLevel="0" collapsed="false">
      <c r="A3826" s="49" t="s">
        <v>2349</v>
      </c>
      <c r="B3826" s="49" t="s">
        <v>2350</v>
      </c>
      <c r="C3826" s="49" t="s">
        <v>7562</v>
      </c>
      <c r="D3826" s="49" t="s">
        <v>2352</v>
      </c>
      <c r="E3826" s="49" t="str">
        <f aca="false">"5060458890191"</f>
        <v>5060458890191</v>
      </c>
      <c r="F3826" s="49" t="s">
        <v>3656</v>
      </c>
      <c r="G3826" s="49" t="n">
        <v>0</v>
      </c>
      <c r="H3826" s="0" t="n">
        <v>0</v>
      </c>
      <c r="M3826" s="51" t="s">
        <v>7560</v>
      </c>
      <c r="N3826" s="49" t="n">
        <v>0</v>
      </c>
      <c r="O3826" s="53" t="n">
        <v>45844.6297106482</v>
      </c>
      <c r="P3826" s="53" t="n">
        <v>45845.6116319444</v>
      </c>
      <c r="Q3826" s="53" t="n">
        <v>45844.6297106482</v>
      </c>
      <c r="R3826" s="0" t="n">
        <v>0</v>
      </c>
      <c r="S3826" s="51" t="s">
        <v>4015</v>
      </c>
      <c r="T3826" s="51" t="s">
        <v>4015</v>
      </c>
      <c r="U3826" s="0" t="str">
        <f aca="false">"5060458890191"</f>
        <v>5060458890191</v>
      </c>
      <c r="V3826" s="51" t="s">
        <v>2142</v>
      </c>
      <c r="W3826" s="51" t="s">
        <v>7563</v>
      </c>
      <c r="X3826" s="51" t="s">
        <v>2359</v>
      </c>
    </row>
    <row r="3827" customFormat="false" ht="14.25" hidden="true" customHeight="false" outlineLevel="0" collapsed="false">
      <c r="A3827" s="49" t="s">
        <v>2349</v>
      </c>
      <c r="B3827" s="49" t="s">
        <v>2350</v>
      </c>
      <c r="C3827" s="49" t="s">
        <v>7564</v>
      </c>
      <c r="D3827" s="49" t="s">
        <v>2352</v>
      </c>
      <c r="E3827" s="49" t="str">
        <f aca="false">"5060458890191"</f>
        <v>5060458890191</v>
      </c>
      <c r="F3827" s="49" t="s">
        <v>3656</v>
      </c>
      <c r="G3827" s="49" t="n">
        <v>0</v>
      </c>
      <c r="H3827" s="0" t="n">
        <v>0</v>
      </c>
      <c r="M3827" s="51" t="s">
        <v>7560</v>
      </c>
      <c r="N3827" s="49" t="n">
        <v>0</v>
      </c>
      <c r="O3827" s="53" t="n">
        <v>45844.6296180556</v>
      </c>
      <c r="P3827" s="53" t="n">
        <v>45864.4175694444</v>
      </c>
      <c r="Q3827" s="53" t="n">
        <v>45844.6296180556</v>
      </c>
      <c r="R3827" s="0" t="n">
        <v>0</v>
      </c>
      <c r="S3827" s="51" t="s">
        <v>4015</v>
      </c>
      <c r="T3827" s="51" t="s">
        <v>4015</v>
      </c>
      <c r="U3827" s="0" t="str">
        <f aca="false">"5060458890191"</f>
        <v>5060458890191</v>
      </c>
      <c r="V3827" s="51" t="s">
        <v>2142</v>
      </c>
      <c r="W3827" s="51" t="s">
        <v>5220</v>
      </c>
      <c r="X3827" s="51" t="s">
        <v>2359</v>
      </c>
    </row>
    <row r="3828" customFormat="false" ht="14.25" hidden="true" customHeight="false" outlineLevel="0" collapsed="false">
      <c r="A3828" s="49" t="s">
        <v>2349</v>
      </c>
      <c r="B3828" s="49" t="s">
        <v>2350</v>
      </c>
      <c r="C3828" s="49" t="s">
        <v>7565</v>
      </c>
      <c r="D3828" s="49" t="s">
        <v>2352</v>
      </c>
      <c r="E3828" s="49" t="str">
        <f aca="false">"5060458890191"</f>
        <v>5060458890191</v>
      </c>
      <c r="F3828" s="49" t="s">
        <v>3656</v>
      </c>
      <c r="G3828" s="49" t="n">
        <v>0</v>
      </c>
      <c r="H3828" s="0" t="n">
        <v>0</v>
      </c>
      <c r="M3828" s="51" t="s">
        <v>7560</v>
      </c>
      <c r="N3828" s="49" t="n">
        <v>0</v>
      </c>
      <c r="O3828" s="53" t="n">
        <v>45844.6295023148</v>
      </c>
      <c r="P3828" s="53" t="n">
        <v>45864.416400463</v>
      </c>
      <c r="Q3828" s="53" t="n">
        <v>45844.6295023148</v>
      </c>
      <c r="R3828" s="0" t="n">
        <v>0</v>
      </c>
      <c r="S3828" s="51" t="s">
        <v>4015</v>
      </c>
      <c r="T3828" s="51" t="s">
        <v>4015</v>
      </c>
      <c r="U3828" s="0" t="str">
        <f aca="false">"5060458890191"</f>
        <v>5060458890191</v>
      </c>
      <c r="V3828" s="51" t="s">
        <v>2142</v>
      </c>
      <c r="W3828" s="51" t="s">
        <v>5311</v>
      </c>
      <c r="X3828" s="51" t="s">
        <v>2359</v>
      </c>
    </row>
    <row r="3829" customFormat="false" ht="14.25" hidden="true" customHeight="false" outlineLevel="0" collapsed="false">
      <c r="A3829" s="49" t="s">
        <v>2349</v>
      </c>
      <c r="B3829" s="49" t="s">
        <v>2350</v>
      </c>
      <c r="C3829" s="49" t="s">
        <v>7566</v>
      </c>
      <c r="D3829" s="49" t="s">
        <v>2352</v>
      </c>
      <c r="E3829" s="49" t="str">
        <f aca="false">"5060458890191"</f>
        <v>5060458890191</v>
      </c>
      <c r="F3829" s="49" t="s">
        <v>3656</v>
      </c>
      <c r="G3829" s="49" t="n">
        <v>0</v>
      </c>
      <c r="H3829" s="0" t="n">
        <v>0</v>
      </c>
      <c r="M3829" s="51" t="s">
        <v>7560</v>
      </c>
      <c r="N3829" s="49" t="n">
        <v>0</v>
      </c>
      <c r="O3829" s="53" t="n">
        <v>45844.6294212963</v>
      </c>
      <c r="P3829" s="53" t="n">
        <v>45861.7643287037</v>
      </c>
      <c r="Q3829" s="53" t="n">
        <v>45844.6294212963</v>
      </c>
      <c r="R3829" s="0" t="n">
        <v>0</v>
      </c>
      <c r="S3829" s="51" t="s">
        <v>4015</v>
      </c>
      <c r="T3829" s="51" t="s">
        <v>4015</v>
      </c>
      <c r="U3829" s="0" t="str">
        <f aca="false">"5060458890191"</f>
        <v>5060458890191</v>
      </c>
      <c r="V3829" s="51" t="s">
        <v>2142</v>
      </c>
      <c r="W3829" s="51" t="s">
        <v>6421</v>
      </c>
      <c r="X3829" s="51" t="s">
        <v>2359</v>
      </c>
    </row>
    <row r="3830" customFormat="false" ht="14.25" hidden="true" customHeight="false" outlineLevel="0" collapsed="false">
      <c r="A3830" s="49" t="s">
        <v>2349</v>
      </c>
      <c r="B3830" s="49" t="s">
        <v>2350</v>
      </c>
      <c r="C3830" s="49" t="s">
        <v>7567</v>
      </c>
      <c r="D3830" s="49" t="s">
        <v>2352</v>
      </c>
      <c r="E3830" s="49" t="str">
        <f aca="false">"5060458890191"</f>
        <v>5060458890191</v>
      </c>
      <c r="F3830" s="49" t="s">
        <v>3656</v>
      </c>
      <c r="G3830" s="49" t="n">
        <v>0</v>
      </c>
      <c r="H3830" s="0" t="n">
        <v>0</v>
      </c>
      <c r="M3830" s="51" t="s">
        <v>7560</v>
      </c>
      <c r="N3830" s="49" t="n">
        <v>0</v>
      </c>
      <c r="O3830" s="53" t="n">
        <v>45844.6293518519</v>
      </c>
      <c r="P3830" s="53" t="n">
        <v>45864.4097453704</v>
      </c>
      <c r="Q3830" s="53" t="n">
        <v>45844.6293518519</v>
      </c>
      <c r="R3830" s="0" t="n">
        <v>0</v>
      </c>
      <c r="S3830" s="51" t="s">
        <v>4015</v>
      </c>
      <c r="T3830" s="51" t="s">
        <v>4015</v>
      </c>
      <c r="U3830" s="0" t="str">
        <f aca="false">"5060458890191"</f>
        <v>5060458890191</v>
      </c>
      <c r="V3830" s="51" t="s">
        <v>2142</v>
      </c>
      <c r="W3830" s="51" t="s">
        <v>6419</v>
      </c>
      <c r="X3830" s="51" t="s">
        <v>2359</v>
      </c>
    </row>
    <row r="3831" customFormat="false" ht="14.25" hidden="true" customHeight="false" outlineLevel="0" collapsed="false">
      <c r="A3831" s="49" t="s">
        <v>2349</v>
      </c>
      <c r="B3831" s="49" t="s">
        <v>2350</v>
      </c>
      <c r="C3831" s="49" t="s">
        <v>7568</v>
      </c>
      <c r="D3831" s="49" t="s">
        <v>2352</v>
      </c>
      <c r="E3831" s="49" t="str">
        <f aca="false">"5060458890191"</f>
        <v>5060458890191</v>
      </c>
      <c r="F3831" s="49" t="s">
        <v>3656</v>
      </c>
      <c r="G3831" s="49" t="n">
        <v>0</v>
      </c>
      <c r="H3831" s="0" t="n">
        <v>0</v>
      </c>
      <c r="M3831" s="51" t="s">
        <v>7560</v>
      </c>
      <c r="N3831" s="49" t="n">
        <v>0</v>
      </c>
      <c r="O3831" s="53" t="n">
        <v>45844.6292708333</v>
      </c>
      <c r="P3831" s="53" t="n">
        <v>45845.6109375</v>
      </c>
      <c r="Q3831" s="53" t="n">
        <v>45844.6292708333</v>
      </c>
      <c r="R3831" s="0" t="n">
        <v>0</v>
      </c>
      <c r="S3831" s="51" t="s">
        <v>4015</v>
      </c>
      <c r="T3831" s="51" t="s">
        <v>4015</v>
      </c>
      <c r="U3831" s="0" t="str">
        <f aca="false">"5060458890191"</f>
        <v>5060458890191</v>
      </c>
      <c r="V3831" s="51" t="s">
        <v>2142</v>
      </c>
      <c r="W3831" s="51" t="s">
        <v>4519</v>
      </c>
      <c r="X3831" s="51" t="s">
        <v>2359</v>
      </c>
    </row>
    <row r="3832" customFormat="false" ht="14.25" hidden="true" customHeight="false" outlineLevel="0" collapsed="false">
      <c r="A3832" s="49" t="s">
        <v>2349</v>
      </c>
      <c r="B3832" s="49" t="s">
        <v>2350</v>
      </c>
      <c r="C3832" s="49" t="s">
        <v>7569</v>
      </c>
      <c r="D3832" s="49" t="s">
        <v>2352</v>
      </c>
      <c r="E3832" s="49" t="str">
        <f aca="false">"5060458890191"</f>
        <v>5060458890191</v>
      </c>
      <c r="F3832" s="49" t="s">
        <v>3656</v>
      </c>
      <c r="G3832" s="49" t="n">
        <v>0</v>
      </c>
      <c r="H3832" s="0" t="n">
        <v>0</v>
      </c>
      <c r="M3832" s="51" t="s">
        <v>7560</v>
      </c>
      <c r="N3832" s="49" t="n">
        <v>0</v>
      </c>
      <c r="O3832" s="53" t="n">
        <v>45844.6291319444</v>
      </c>
      <c r="P3832" s="53" t="n">
        <v>45845.5894097222</v>
      </c>
      <c r="Q3832" s="53" t="n">
        <v>45844.6291319444</v>
      </c>
      <c r="R3832" s="0" t="n">
        <v>0</v>
      </c>
      <c r="S3832" s="51" t="s">
        <v>4015</v>
      </c>
      <c r="T3832" s="51" t="s">
        <v>4015</v>
      </c>
      <c r="U3832" s="0" t="str">
        <f aca="false">"5060458890191"</f>
        <v>5060458890191</v>
      </c>
      <c r="V3832" s="51" t="s">
        <v>2142</v>
      </c>
      <c r="W3832" s="51" t="s">
        <v>7570</v>
      </c>
      <c r="X3832" s="51" t="s">
        <v>2359</v>
      </c>
    </row>
    <row r="3833" customFormat="false" ht="14.25" hidden="true" customHeight="false" outlineLevel="0" collapsed="false">
      <c r="A3833" s="49" t="s">
        <v>2349</v>
      </c>
      <c r="B3833" s="49" t="s">
        <v>2350</v>
      </c>
      <c r="C3833" s="49" t="s">
        <v>7571</v>
      </c>
      <c r="D3833" s="49" t="s">
        <v>2352</v>
      </c>
      <c r="E3833" s="49" t="str">
        <f aca="false">"5060458890191"</f>
        <v>5060458890191</v>
      </c>
      <c r="F3833" s="49" t="s">
        <v>3656</v>
      </c>
      <c r="G3833" s="49" t="n">
        <v>0</v>
      </c>
      <c r="H3833" s="0" t="n">
        <v>0</v>
      </c>
      <c r="M3833" s="51" t="s">
        <v>7560</v>
      </c>
      <c r="N3833" s="49" t="n">
        <v>0</v>
      </c>
      <c r="O3833" s="53" t="n">
        <v>45844.6290046296</v>
      </c>
      <c r="P3833" s="53" t="n">
        <v>45861.4563657407</v>
      </c>
      <c r="Q3833" s="53" t="n">
        <v>45844.6290046296</v>
      </c>
      <c r="R3833" s="0" t="n">
        <v>0</v>
      </c>
      <c r="S3833" s="51" t="s">
        <v>4015</v>
      </c>
      <c r="T3833" s="51" t="s">
        <v>4015</v>
      </c>
      <c r="U3833" s="0" t="str">
        <f aca="false">"5060458890191"</f>
        <v>5060458890191</v>
      </c>
      <c r="V3833" s="51" t="s">
        <v>2142</v>
      </c>
      <c r="W3833" s="51" t="s">
        <v>5713</v>
      </c>
      <c r="X3833" s="51" t="s">
        <v>2359</v>
      </c>
    </row>
    <row r="3834" customFormat="false" ht="14.25" hidden="true" customHeight="false" outlineLevel="0" collapsed="false">
      <c r="A3834" s="49" t="s">
        <v>2349</v>
      </c>
      <c r="B3834" s="49" t="s">
        <v>2350</v>
      </c>
      <c r="C3834" s="49" t="s">
        <v>7572</v>
      </c>
      <c r="D3834" s="49" t="s">
        <v>2352</v>
      </c>
      <c r="E3834" s="49" t="str">
        <f aca="false">"5060458890191"</f>
        <v>5060458890191</v>
      </c>
      <c r="F3834" s="49" t="s">
        <v>3656</v>
      </c>
      <c r="G3834" s="49" t="n">
        <v>0</v>
      </c>
      <c r="H3834" s="0" t="n">
        <v>0</v>
      </c>
      <c r="M3834" s="51" t="s">
        <v>7560</v>
      </c>
      <c r="N3834" s="49" t="n">
        <v>0</v>
      </c>
      <c r="O3834" s="53" t="n">
        <v>45844.6288773148</v>
      </c>
      <c r="P3834" s="53" t="n">
        <v>45845.6014467593</v>
      </c>
      <c r="Q3834" s="53" t="n">
        <v>45844.6288773148</v>
      </c>
      <c r="R3834" s="0" t="n">
        <v>0</v>
      </c>
      <c r="S3834" s="51" t="s">
        <v>4015</v>
      </c>
      <c r="T3834" s="51" t="s">
        <v>4015</v>
      </c>
      <c r="U3834" s="0" t="str">
        <f aca="false">"5060458890191"</f>
        <v>5060458890191</v>
      </c>
      <c r="V3834" s="51" t="s">
        <v>2142</v>
      </c>
      <c r="W3834" s="51" t="s">
        <v>4218</v>
      </c>
      <c r="X3834" s="51" t="s">
        <v>2359</v>
      </c>
    </row>
    <row r="3835" customFormat="false" ht="14.25" hidden="true" customHeight="false" outlineLevel="0" collapsed="false">
      <c r="A3835" s="49" t="s">
        <v>2349</v>
      </c>
      <c r="B3835" s="49" t="s">
        <v>2350</v>
      </c>
      <c r="C3835" s="49" t="s">
        <v>7573</v>
      </c>
      <c r="D3835" s="49" t="s">
        <v>2352</v>
      </c>
      <c r="E3835" s="49" t="str">
        <f aca="false">"5060458890191"</f>
        <v>5060458890191</v>
      </c>
      <c r="F3835" s="49" t="s">
        <v>3656</v>
      </c>
      <c r="G3835" s="49" t="n">
        <v>0</v>
      </c>
      <c r="H3835" s="0" t="n">
        <v>0</v>
      </c>
      <c r="M3835" s="51" t="s">
        <v>7560</v>
      </c>
      <c r="N3835" s="49" t="n">
        <v>0</v>
      </c>
      <c r="O3835" s="53" t="n">
        <v>45844.6288078704</v>
      </c>
      <c r="P3835" s="53" t="n">
        <v>45845.6007060185</v>
      </c>
      <c r="Q3835" s="53" t="n">
        <v>45844.6288078704</v>
      </c>
      <c r="R3835" s="0" t="n">
        <v>0</v>
      </c>
      <c r="S3835" s="51" t="s">
        <v>4015</v>
      </c>
      <c r="T3835" s="51" t="s">
        <v>4015</v>
      </c>
      <c r="U3835" s="0" t="str">
        <f aca="false">"5060458890191"</f>
        <v>5060458890191</v>
      </c>
      <c r="V3835" s="51" t="s">
        <v>2142</v>
      </c>
      <c r="W3835" s="51" t="s">
        <v>5448</v>
      </c>
      <c r="X3835" s="51" t="s">
        <v>2359</v>
      </c>
    </row>
    <row r="3836" customFormat="false" ht="14.25" hidden="true" customHeight="false" outlineLevel="0" collapsed="false">
      <c r="A3836" s="49" t="s">
        <v>2349</v>
      </c>
      <c r="B3836" s="49" t="s">
        <v>2350</v>
      </c>
      <c r="C3836" s="49" t="s">
        <v>7574</v>
      </c>
      <c r="D3836" s="49" t="s">
        <v>2352</v>
      </c>
      <c r="E3836" s="49" t="str">
        <f aca="false">"5060458890191"</f>
        <v>5060458890191</v>
      </c>
      <c r="F3836" s="49" t="s">
        <v>3656</v>
      </c>
      <c r="G3836" s="49" t="n">
        <v>0</v>
      </c>
      <c r="H3836" s="0" t="n">
        <v>0</v>
      </c>
      <c r="M3836" s="51" t="s">
        <v>7560</v>
      </c>
      <c r="N3836" s="49" t="n">
        <v>0</v>
      </c>
      <c r="O3836" s="53" t="n">
        <v>45844.6287268519</v>
      </c>
      <c r="P3836" s="53" t="n">
        <v>45845.5991782407</v>
      </c>
      <c r="Q3836" s="53" t="n">
        <v>45844.6287268519</v>
      </c>
      <c r="R3836" s="0" t="n">
        <v>0</v>
      </c>
      <c r="S3836" s="51" t="s">
        <v>4015</v>
      </c>
      <c r="T3836" s="51" t="s">
        <v>4015</v>
      </c>
      <c r="U3836" s="0" t="str">
        <f aca="false">"5060458890191"</f>
        <v>5060458890191</v>
      </c>
      <c r="V3836" s="51" t="s">
        <v>2142</v>
      </c>
      <c r="W3836" s="51" t="s">
        <v>4779</v>
      </c>
      <c r="X3836" s="51" t="s">
        <v>2359</v>
      </c>
    </row>
    <row r="3837" customFormat="false" ht="14.25" hidden="true" customHeight="false" outlineLevel="0" collapsed="false">
      <c r="A3837" s="49" t="s">
        <v>2349</v>
      </c>
      <c r="B3837" s="49" t="s">
        <v>2350</v>
      </c>
      <c r="C3837" s="49" t="s">
        <v>7575</v>
      </c>
      <c r="D3837" s="49" t="s">
        <v>2352</v>
      </c>
      <c r="E3837" s="49" t="str">
        <f aca="false">"5060458890191"</f>
        <v>5060458890191</v>
      </c>
      <c r="F3837" s="49" t="s">
        <v>3656</v>
      </c>
      <c r="G3837" s="49" t="n">
        <v>0</v>
      </c>
      <c r="H3837" s="0" t="n">
        <v>0</v>
      </c>
      <c r="M3837" s="51" t="s">
        <v>7560</v>
      </c>
      <c r="N3837" s="49" t="n">
        <v>0</v>
      </c>
      <c r="O3837" s="53" t="n">
        <v>45844.6286458333</v>
      </c>
      <c r="P3837" s="53" t="n">
        <v>45859.488587963</v>
      </c>
      <c r="Q3837" s="53" t="n">
        <v>45844.6286458333</v>
      </c>
      <c r="R3837" s="0" t="n">
        <v>0</v>
      </c>
      <c r="S3837" s="51" t="s">
        <v>4015</v>
      </c>
      <c r="T3837" s="51" t="s">
        <v>4015</v>
      </c>
      <c r="U3837" s="0" t="str">
        <f aca="false">"5060458890191"</f>
        <v>5060458890191</v>
      </c>
      <c r="V3837" s="51" t="s">
        <v>2142</v>
      </c>
      <c r="W3837" s="51" t="s">
        <v>5499</v>
      </c>
      <c r="X3837" s="51" t="s">
        <v>2359</v>
      </c>
    </row>
    <row r="3838" customFormat="false" ht="14.25" hidden="true" customHeight="false" outlineLevel="0" collapsed="false">
      <c r="A3838" s="49" t="s">
        <v>2349</v>
      </c>
      <c r="B3838" s="49" t="s">
        <v>2350</v>
      </c>
      <c r="C3838" s="49" t="s">
        <v>7576</v>
      </c>
      <c r="D3838" s="49" t="s">
        <v>2352</v>
      </c>
      <c r="E3838" s="49" t="str">
        <f aca="false">"5060458890191"</f>
        <v>5060458890191</v>
      </c>
      <c r="F3838" s="49" t="s">
        <v>3656</v>
      </c>
      <c r="G3838" s="49" t="n">
        <v>0</v>
      </c>
      <c r="H3838" s="0" t="n">
        <v>0</v>
      </c>
      <c r="M3838" s="51" t="s">
        <v>7560</v>
      </c>
      <c r="N3838" s="49" t="n">
        <v>0</v>
      </c>
      <c r="O3838" s="53" t="n">
        <v>45844.6285763889</v>
      </c>
      <c r="P3838" s="53" t="n">
        <v>45856.4644444444</v>
      </c>
      <c r="Q3838" s="53" t="n">
        <v>45844.6285763889</v>
      </c>
      <c r="R3838" s="0" t="n">
        <v>0</v>
      </c>
      <c r="S3838" s="51" t="s">
        <v>4015</v>
      </c>
      <c r="T3838" s="51" t="s">
        <v>4015</v>
      </c>
      <c r="U3838" s="0" t="str">
        <f aca="false">"5060458890191"</f>
        <v>5060458890191</v>
      </c>
      <c r="V3838" s="51" t="s">
        <v>2142</v>
      </c>
      <c r="W3838" s="51" t="s">
        <v>4503</v>
      </c>
      <c r="X3838" s="51" t="s">
        <v>2359</v>
      </c>
    </row>
    <row r="3839" customFormat="false" ht="14.25" hidden="true" customHeight="false" outlineLevel="0" collapsed="false">
      <c r="A3839" s="49" t="s">
        <v>2349</v>
      </c>
      <c r="B3839" s="49" t="s">
        <v>2350</v>
      </c>
      <c r="C3839" s="49" t="s">
        <v>7577</v>
      </c>
      <c r="D3839" s="49" t="s">
        <v>2352</v>
      </c>
      <c r="E3839" s="49" t="str">
        <f aca="false">"5060458890191"</f>
        <v>5060458890191</v>
      </c>
      <c r="F3839" s="49" t="s">
        <v>3656</v>
      </c>
      <c r="G3839" s="49" t="n">
        <v>0</v>
      </c>
      <c r="H3839" s="0" t="n">
        <v>0</v>
      </c>
      <c r="M3839" s="51" t="s">
        <v>7560</v>
      </c>
      <c r="N3839" s="49" t="n">
        <v>0</v>
      </c>
      <c r="O3839" s="53" t="n">
        <v>45844.6284953704</v>
      </c>
      <c r="P3839" s="53" t="n">
        <v>45856.4633333333</v>
      </c>
      <c r="Q3839" s="53" t="n">
        <v>45844.6284953704</v>
      </c>
      <c r="R3839" s="0" t="n">
        <v>0</v>
      </c>
      <c r="S3839" s="51" t="s">
        <v>4015</v>
      </c>
      <c r="T3839" s="51" t="s">
        <v>4015</v>
      </c>
      <c r="U3839" s="0" t="str">
        <f aca="false">"5060458890191"</f>
        <v>5060458890191</v>
      </c>
      <c r="V3839" s="51" t="s">
        <v>2142</v>
      </c>
      <c r="W3839" s="51" t="s">
        <v>7578</v>
      </c>
      <c r="X3839" s="51" t="s">
        <v>2359</v>
      </c>
    </row>
    <row r="3840" customFormat="false" ht="14.25" hidden="true" customHeight="false" outlineLevel="0" collapsed="false">
      <c r="A3840" s="49" t="s">
        <v>2349</v>
      </c>
      <c r="B3840" s="49" t="s">
        <v>2350</v>
      </c>
      <c r="C3840" s="49" t="s">
        <v>7579</v>
      </c>
      <c r="D3840" s="49" t="s">
        <v>2352</v>
      </c>
      <c r="E3840" s="49" t="str">
        <f aca="false">"5060458890191"</f>
        <v>5060458890191</v>
      </c>
      <c r="F3840" s="49" t="s">
        <v>3656</v>
      </c>
      <c r="G3840" s="49" t="n">
        <v>0</v>
      </c>
      <c r="H3840" s="0" t="n">
        <v>0</v>
      </c>
      <c r="M3840" s="51" t="s">
        <v>7560</v>
      </c>
      <c r="N3840" s="49" t="n">
        <v>0</v>
      </c>
      <c r="O3840" s="53" t="n">
        <v>45844.6283796296</v>
      </c>
      <c r="P3840" s="53" t="n">
        <v>45856.462349537</v>
      </c>
      <c r="Q3840" s="53" t="n">
        <v>45844.6283796296</v>
      </c>
      <c r="R3840" s="0" t="n">
        <v>0</v>
      </c>
      <c r="S3840" s="51" t="s">
        <v>4015</v>
      </c>
      <c r="T3840" s="51" t="s">
        <v>4015</v>
      </c>
      <c r="U3840" s="0" t="str">
        <f aca="false">"5060458890191"</f>
        <v>5060458890191</v>
      </c>
      <c r="V3840" s="51" t="s">
        <v>2142</v>
      </c>
      <c r="W3840" s="51" t="s">
        <v>4212</v>
      </c>
      <c r="X3840" s="51" t="s">
        <v>2359</v>
      </c>
    </row>
    <row r="3841" customFormat="false" ht="14.25" hidden="true" customHeight="false" outlineLevel="0" collapsed="false">
      <c r="A3841" s="49" t="s">
        <v>2349</v>
      </c>
      <c r="B3841" s="49" t="s">
        <v>2350</v>
      </c>
      <c r="C3841" s="49" t="s">
        <v>7580</v>
      </c>
      <c r="D3841" s="49" t="s">
        <v>2352</v>
      </c>
      <c r="E3841" s="49" t="str">
        <f aca="false">"5060458890191"</f>
        <v>5060458890191</v>
      </c>
      <c r="F3841" s="49" t="s">
        <v>3656</v>
      </c>
      <c r="G3841" s="49" t="n">
        <v>0</v>
      </c>
      <c r="H3841" s="0" t="n">
        <v>0</v>
      </c>
      <c r="M3841" s="51" t="s">
        <v>7560</v>
      </c>
      <c r="N3841" s="49" t="n">
        <v>0</v>
      </c>
      <c r="O3841" s="53" t="n">
        <v>45844.628287037</v>
      </c>
      <c r="P3841" s="53" t="n">
        <v>45845.6167708333</v>
      </c>
      <c r="Q3841" s="53" t="n">
        <v>45844.628287037</v>
      </c>
      <c r="R3841" s="0" t="n">
        <v>0</v>
      </c>
      <c r="S3841" s="51" t="s">
        <v>4015</v>
      </c>
      <c r="T3841" s="51" t="s">
        <v>4015</v>
      </c>
      <c r="U3841" s="0" t="str">
        <f aca="false">"5060458890191"</f>
        <v>5060458890191</v>
      </c>
      <c r="V3841" s="51" t="s">
        <v>2142</v>
      </c>
      <c r="W3841" s="51" t="s">
        <v>4548</v>
      </c>
      <c r="X3841" s="51" t="s">
        <v>2359</v>
      </c>
    </row>
    <row r="3842" customFormat="false" ht="14.25" hidden="true" customHeight="false" outlineLevel="0" collapsed="false">
      <c r="A3842" s="49" t="s">
        <v>2349</v>
      </c>
      <c r="B3842" s="49" t="s">
        <v>2350</v>
      </c>
      <c r="C3842" s="49" t="s">
        <v>7581</v>
      </c>
      <c r="D3842" s="49" t="s">
        <v>2352</v>
      </c>
      <c r="E3842" s="49" t="str">
        <f aca="false">"5060458890191"</f>
        <v>5060458890191</v>
      </c>
      <c r="F3842" s="49" t="s">
        <v>3656</v>
      </c>
      <c r="G3842" s="49" t="n">
        <v>0</v>
      </c>
      <c r="H3842" s="0" t="n">
        <v>0</v>
      </c>
      <c r="M3842" s="51" t="s">
        <v>7560</v>
      </c>
      <c r="N3842" s="49" t="n">
        <v>0</v>
      </c>
      <c r="O3842" s="53" t="n">
        <v>45844.6281712963</v>
      </c>
      <c r="P3842" s="53" t="n">
        <v>45845.5936226852</v>
      </c>
      <c r="Q3842" s="53" t="n">
        <v>45844.6281712963</v>
      </c>
      <c r="R3842" s="0" t="n">
        <v>0</v>
      </c>
      <c r="S3842" s="51" t="s">
        <v>4015</v>
      </c>
      <c r="T3842" s="51" t="s">
        <v>4015</v>
      </c>
      <c r="U3842" s="0" t="str">
        <f aca="false">"5060458890191"</f>
        <v>5060458890191</v>
      </c>
      <c r="V3842" s="51" t="s">
        <v>2142</v>
      </c>
      <c r="W3842" s="51" t="s">
        <v>4210</v>
      </c>
      <c r="X3842" s="51" t="s">
        <v>2359</v>
      </c>
    </row>
    <row r="3843" customFormat="false" ht="14.25" hidden="true" customHeight="false" outlineLevel="0" collapsed="false">
      <c r="A3843" s="49" t="s">
        <v>2349</v>
      </c>
      <c r="B3843" s="49" t="s">
        <v>2350</v>
      </c>
      <c r="C3843" s="49" t="s">
        <v>7582</v>
      </c>
      <c r="D3843" s="49" t="s">
        <v>2352</v>
      </c>
      <c r="E3843" s="49" t="str">
        <f aca="false">"5060458890191"</f>
        <v>5060458890191</v>
      </c>
      <c r="F3843" s="49" t="s">
        <v>3656</v>
      </c>
      <c r="G3843" s="49" t="n">
        <v>0</v>
      </c>
      <c r="H3843" s="0" t="n">
        <v>0</v>
      </c>
      <c r="M3843" s="51" t="s">
        <v>7560</v>
      </c>
      <c r="N3843" s="49" t="n">
        <v>0</v>
      </c>
      <c r="O3843" s="53" t="n">
        <v>45844.6280324074</v>
      </c>
      <c r="P3843" s="53" t="n">
        <v>45856.4546759259</v>
      </c>
      <c r="Q3843" s="53" t="n">
        <v>45844.6280324074</v>
      </c>
      <c r="R3843" s="0" t="n">
        <v>0</v>
      </c>
      <c r="S3843" s="51" t="s">
        <v>4015</v>
      </c>
      <c r="T3843" s="51" t="s">
        <v>4015</v>
      </c>
      <c r="U3843" s="0" t="str">
        <f aca="false">"5060458890191"</f>
        <v>5060458890191</v>
      </c>
      <c r="V3843" s="51" t="s">
        <v>2142</v>
      </c>
      <c r="W3843" s="51" t="s">
        <v>7459</v>
      </c>
      <c r="X3843" s="51" t="s">
        <v>2359</v>
      </c>
    </row>
    <row r="3844" customFormat="false" ht="14.25" hidden="true" customHeight="false" outlineLevel="0" collapsed="false">
      <c r="A3844" s="49" t="s">
        <v>2349</v>
      </c>
      <c r="B3844" s="49" t="s">
        <v>2350</v>
      </c>
      <c r="C3844" s="49" t="s">
        <v>7583</v>
      </c>
      <c r="D3844" s="49" t="s">
        <v>2352</v>
      </c>
      <c r="E3844" s="49" t="str">
        <f aca="false">"5060458890191"</f>
        <v>5060458890191</v>
      </c>
      <c r="F3844" s="49" t="s">
        <v>3656</v>
      </c>
      <c r="G3844" s="49" t="n">
        <v>0</v>
      </c>
      <c r="H3844" s="0" t="n">
        <v>0</v>
      </c>
      <c r="M3844" s="51" t="s">
        <v>7560</v>
      </c>
      <c r="N3844" s="49" t="n">
        <v>0</v>
      </c>
      <c r="O3844" s="53" t="n">
        <v>45844.6279513889</v>
      </c>
      <c r="P3844" s="53" t="n">
        <v>45856.4561921296</v>
      </c>
      <c r="Q3844" s="53" t="n">
        <v>45844.6279513889</v>
      </c>
      <c r="R3844" s="0" t="n">
        <v>0</v>
      </c>
      <c r="S3844" s="51" t="s">
        <v>4015</v>
      </c>
      <c r="T3844" s="51" t="s">
        <v>4015</v>
      </c>
      <c r="U3844" s="0" t="str">
        <f aca="false">"5060458890191"</f>
        <v>5060458890191</v>
      </c>
      <c r="V3844" s="51" t="s">
        <v>2142</v>
      </c>
      <c r="W3844" s="51" t="s">
        <v>6690</v>
      </c>
      <c r="X3844" s="51" t="s">
        <v>2359</v>
      </c>
    </row>
    <row r="3845" customFormat="false" ht="14.25" hidden="true" customHeight="false" outlineLevel="0" collapsed="false">
      <c r="A3845" s="49" t="s">
        <v>2349</v>
      </c>
      <c r="B3845" s="49" t="s">
        <v>2350</v>
      </c>
      <c r="C3845" s="49" t="s">
        <v>7584</v>
      </c>
      <c r="D3845" s="49" t="s">
        <v>2352</v>
      </c>
      <c r="E3845" s="49" t="str">
        <f aca="false">"5060458890191"</f>
        <v>5060458890191</v>
      </c>
      <c r="F3845" s="49" t="s">
        <v>3656</v>
      </c>
      <c r="G3845" s="49" t="n">
        <v>0</v>
      </c>
      <c r="H3845" s="0" t="n">
        <v>0</v>
      </c>
      <c r="M3845" s="51" t="s">
        <v>7560</v>
      </c>
      <c r="N3845" s="49" t="n">
        <v>0</v>
      </c>
      <c r="O3845" s="53" t="n">
        <v>45844.6278587963</v>
      </c>
      <c r="P3845" s="53" t="n">
        <v>45856.4605787037</v>
      </c>
      <c r="Q3845" s="53" t="n">
        <v>45844.6278587963</v>
      </c>
      <c r="R3845" s="0" t="n">
        <v>0</v>
      </c>
      <c r="S3845" s="51" t="s">
        <v>4015</v>
      </c>
      <c r="T3845" s="51" t="s">
        <v>4015</v>
      </c>
      <c r="U3845" s="0" t="str">
        <f aca="false">"5060458890191"</f>
        <v>5060458890191</v>
      </c>
      <c r="V3845" s="51" t="s">
        <v>2142</v>
      </c>
      <c r="W3845" s="51" t="s">
        <v>4849</v>
      </c>
      <c r="X3845" s="51" t="s">
        <v>2359</v>
      </c>
    </row>
    <row r="3846" customFormat="false" ht="14.25" hidden="true" customHeight="false" outlineLevel="0" collapsed="false">
      <c r="A3846" s="49" t="s">
        <v>2349</v>
      </c>
      <c r="B3846" s="49" t="s">
        <v>2350</v>
      </c>
      <c r="C3846" s="49" t="s">
        <v>7585</v>
      </c>
      <c r="D3846" s="49" t="s">
        <v>2352</v>
      </c>
      <c r="E3846" s="49" t="str">
        <f aca="false">"5060458890191"</f>
        <v>5060458890191</v>
      </c>
      <c r="F3846" s="49" t="s">
        <v>3656</v>
      </c>
      <c r="G3846" s="49" t="n">
        <v>0</v>
      </c>
      <c r="H3846" s="0" t="n">
        <v>0</v>
      </c>
      <c r="M3846" s="51" t="s">
        <v>7560</v>
      </c>
      <c r="N3846" s="49" t="n">
        <v>0</v>
      </c>
      <c r="O3846" s="53" t="n">
        <v>45844.6277662037</v>
      </c>
      <c r="P3846" s="53" t="n">
        <v>45856.4595138889</v>
      </c>
      <c r="Q3846" s="53" t="n">
        <v>45844.6277662037</v>
      </c>
      <c r="R3846" s="0" t="n">
        <v>0</v>
      </c>
      <c r="S3846" s="51" t="s">
        <v>4015</v>
      </c>
      <c r="T3846" s="51" t="s">
        <v>4015</v>
      </c>
      <c r="U3846" s="0" t="str">
        <f aca="false">"5060458890191"</f>
        <v>5060458890191</v>
      </c>
      <c r="V3846" s="51" t="s">
        <v>2142</v>
      </c>
      <c r="W3846" s="51" t="s">
        <v>6974</v>
      </c>
      <c r="X3846" s="51" t="s">
        <v>2359</v>
      </c>
    </row>
    <row r="3847" customFormat="false" ht="14.25" hidden="true" customHeight="false" outlineLevel="0" collapsed="false">
      <c r="A3847" s="49" t="s">
        <v>2349</v>
      </c>
      <c r="B3847" s="49" t="s">
        <v>2350</v>
      </c>
      <c r="C3847" s="49" t="s">
        <v>7586</v>
      </c>
      <c r="D3847" s="49" t="s">
        <v>2352</v>
      </c>
      <c r="E3847" s="49" t="str">
        <f aca="false">"5060458890191"</f>
        <v>5060458890191</v>
      </c>
      <c r="F3847" s="49" t="s">
        <v>3656</v>
      </c>
      <c r="G3847" s="49" t="n">
        <v>0</v>
      </c>
      <c r="H3847" s="0" t="n">
        <v>0</v>
      </c>
      <c r="M3847" s="51" t="s">
        <v>7560</v>
      </c>
      <c r="N3847" s="49" t="n">
        <v>0</v>
      </c>
      <c r="O3847" s="53" t="n">
        <v>45844.627650463</v>
      </c>
      <c r="P3847" s="53" t="n">
        <v>45856.4570833333</v>
      </c>
      <c r="Q3847" s="53" t="n">
        <v>45844.627650463</v>
      </c>
      <c r="R3847" s="0" t="n">
        <v>0</v>
      </c>
      <c r="S3847" s="51" t="s">
        <v>4015</v>
      </c>
      <c r="T3847" s="51" t="s">
        <v>4015</v>
      </c>
      <c r="U3847" s="0" t="str">
        <f aca="false">"5060458890191"</f>
        <v>5060458890191</v>
      </c>
      <c r="V3847" s="51" t="s">
        <v>2142</v>
      </c>
      <c r="W3847" s="51" t="s">
        <v>4558</v>
      </c>
      <c r="X3847" s="51" t="s">
        <v>2359</v>
      </c>
    </row>
    <row r="3848" customFormat="false" ht="14.25" hidden="true" customHeight="false" outlineLevel="0" collapsed="false">
      <c r="A3848" s="49" t="s">
        <v>2349</v>
      </c>
      <c r="B3848" s="49" t="s">
        <v>2350</v>
      </c>
      <c r="C3848" s="49" t="s">
        <v>7587</v>
      </c>
      <c r="D3848" s="49" t="s">
        <v>2352</v>
      </c>
      <c r="E3848" s="49" t="str">
        <f aca="false">"5060458890191"</f>
        <v>5060458890191</v>
      </c>
      <c r="F3848" s="49" t="s">
        <v>3656</v>
      </c>
      <c r="G3848" s="49" t="n">
        <v>0</v>
      </c>
      <c r="H3848" s="0" t="n">
        <v>0</v>
      </c>
      <c r="M3848" s="51" t="s">
        <v>7560</v>
      </c>
      <c r="N3848" s="49" t="n">
        <v>0</v>
      </c>
      <c r="O3848" s="53" t="n">
        <v>45844.6275578704</v>
      </c>
      <c r="P3848" s="53" t="n">
        <v>45856.4553819444</v>
      </c>
      <c r="Q3848" s="53" t="n">
        <v>45844.6275578704</v>
      </c>
      <c r="R3848" s="0" t="n">
        <v>0</v>
      </c>
      <c r="S3848" s="51" t="s">
        <v>4015</v>
      </c>
      <c r="T3848" s="51" t="s">
        <v>4015</v>
      </c>
      <c r="U3848" s="0" t="str">
        <f aca="false">"5060458890191"</f>
        <v>5060458890191</v>
      </c>
      <c r="V3848" s="51" t="s">
        <v>2142</v>
      </c>
      <c r="W3848" s="51" t="s">
        <v>5621</v>
      </c>
      <c r="X3848" s="51" t="s">
        <v>2359</v>
      </c>
    </row>
    <row r="3849" customFormat="false" ht="14.25" hidden="true" customHeight="false" outlineLevel="0" collapsed="false">
      <c r="A3849" s="49" t="s">
        <v>2349</v>
      </c>
      <c r="B3849" s="49" t="s">
        <v>2350</v>
      </c>
      <c r="C3849" s="49" t="s">
        <v>7588</v>
      </c>
      <c r="D3849" s="49" t="s">
        <v>2352</v>
      </c>
      <c r="E3849" s="49" t="str">
        <f aca="false">"5060458890191"</f>
        <v>5060458890191</v>
      </c>
      <c r="F3849" s="49" t="s">
        <v>3656</v>
      </c>
      <c r="G3849" s="49" t="n">
        <v>0</v>
      </c>
      <c r="H3849" s="0" t="n">
        <v>0</v>
      </c>
      <c r="M3849" s="51" t="s">
        <v>7560</v>
      </c>
      <c r="N3849" s="49" t="n">
        <v>0</v>
      </c>
      <c r="O3849" s="53" t="n">
        <v>45844.6274652778</v>
      </c>
      <c r="P3849" s="53" t="n">
        <v>45861.4591666667</v>
      </c>
      <c r="Q3849" s="53" t="n">
        <v>45844.6274652778</v>
      </c>
      <c r="R3849" s="0" t="n">
        <v>0</v>
      </c>
      <c r="S3849" s="51" t="s">
        <v>4015</v>
      </c>
      <c r="T3849" s="51" t="s">
        <v>4015</v>
      </c>
      <c r="U3849" s="0" t="str">
        <f aca="false">"5060458890191"</f>
        <v>5060458890191</v>
      </c>
      <c r="V3849" s="51" t="s">
        <v>2142</v>
      </c>
      <c r="W3849" s="51" t="s">
        <v>6000</v>
      </c>
      <c r="X3849" s="51" t="s">
        <v>2359</v>
      </c>
    </row>
    <row r="3850" customFormat="false" ht="14.25" hidden="true" customHeight="false" outlineLevel="0" collapsed="false">
      <c r="A3850" s="49" t="s">
        <v>2349</v>
      </c>
      <c r="B3850" s="49" t="s">
        <v>2350</v>
      </c>
      <c r="C3850" s="49" t="s">
        <v>7589</v>
      </c>
      <c r="D3850" s="49" t="s">
        <v>2352</v>
      </c>
      <c r="E3850" s="49" t="str">
        <f aca="false">"5060458890191"</f>
        <v>5060458890191</v>
      </c>
      <c r="F3850" s="49" t="s">
        <v>3656</v>
      </c>
      <c r="G3850" s="49" t="n">
        <v>0</v>
      </c>
      <c r="H3850" s="0" t="n">
        <v>0</v>
      </c>
      <c r="M3850" s="51" t="s">
        <v>7560</v>
      </c>
      <c r="N3850" s="49" t="n">
        <v>0</v>
      </c>
      <c r="O3850" s="53" t="n">
        <v>45844.627337963</v>
      </c>
      <c r="P3850" s="53" t="n">
        <v>45864.4086111111</v>
      </c>
      <c r="Q3850" s="53" t="n">
        <v>45844.627337963</v>
      </c>
      <c r="R3850" s="0" t="n">
        <v>0</v>
      </c>
      <c r="S3850" s="51" t="s">
        <v>4015</v>
      </c>
      <c r="T3850" s="51" t="s">
        <v>4015</v>
      </c>
      <c r="U3850" s="0" t="str">
        <f aca="false">"5060458890191"</f>
        <v>5060458890191</v>
      </c>
      <c r="V3850" s="51" t="s">
        <v>2142</v>
      </c>
      <c r="W3850" s="51" t="s">
        <v>6170</v>
      </c>
      <c r="X3850" s="51" t="s">
        <v>2359</v>
      </c>
    </row>
    <row r="3851" customFormat="false" ht="14.25" hidden="true" customHeight="false" outlineLevel="0" collapsed="false">
      <c r="A3851" s="49" t="s">
        <v>2349</v>
      </c>
      <c r="B3851" s="49" t="s">
        <v>2350</v>
      </c>
      <c r="C3851" s="49" t="s">
        <v>7590</v>
      </c>
      <c r="D3851" s="49" t="s">
        <v>2352</v>
      </c>
      <c r="E3851" s="49" t="str">
        <f aca="false">"5060458890191"</f>
        <v>5060458890191</v>
      </c>
      <c r="F3851" s="49" t="s">
        <v>3656</v>
      </c>
      <c r="G3851" s="49" t="n">
        <v>0</v>
      </c>
      <c r="H3851" s="0" t="n">
        <v>0</v>
      </c>
      <c r="M3851" s="51" t="s">
        <v>7560</v>
      </c>
      <c r="N3851" s="49" t="n">
        <v>0</v>
      </c>
      <c r="O3851" s="53" t="n">
        <v>45844.6269328704</v>
      </c>
      <c r="P3851" s="53" t="n">
        <v>45845.6133680556</v>
      </c>
      <c r="Q3851" s="53" t="n">
        <v>45844.6269328704</v>
      </c>
      <c r="R3851" s="0" t="n">
        <v>0</v>
      </c>
      <c r="S3851" s="51" t="s">
        <v>4015</v>
      </c>
      <c r="T3851" s="51" t="s">
        <v>4015</v>
      </c>
      <c r="U3851" s="0" t="str">
        <f aca="false">"5060458890191"</f>
        <v>5060458890191</v>
      </c>
      <c r="V3851" s="51" t="s">
        <v>2142</v>
      </c>
      <c r="W3851" s="51" t="s">
        <v>5382</v>
      </c>
      <c r="X3851" s="51" t="s">
        <v>2359</v>
      </c>
    </row>
    <row r="3852" customFormat="false" ht="14.25" hidden="true" customHeight="false" outlineLevel="0" collapsed="false">
      <c r="A3852" s="49" t="s">
        <v>2349</v>
      </c>
      <c r="B3852" s="49" t="s">
        <v>2350</v>
      </c>
      <c r="C3852" s="49" t="s">
        <v>7591</v>
      </c>
      <c r="D3852" s="49" t="s">
        <v>2352</v>
      </c>
      <c r="E3852" s="49" t="str">
        <f aca="false">"5060458890191"</f>
        <v>5060458890191</v>
      </c>
      <c r="F3852" s="49" t="s">
        <v>3656</v>
      </c>
      <c r="G3852" s="49" t="n">
        <v>0</v>
      </c>
      <c r="H3852" s="0" t="n">
        <v>0</v>
      </c>
      <c r="M3852" s="51" t="s">
        <v>7560</v>
      </c>
      <c r="N3852" s="49" t="n">
        <v>0</v>
      </c>
      <c r="O3852" s="53" t="n">
        <v>45844.6268171296</v>
      </c>
      <c r="P3852" s="53" t="n">
        <v>45845.4300694445</v>
      </c>
      <c r="Q3852" s="53" t="n">
        <v>45844.6268171296</v>
      </c>
      <c r="R3852" s="0" t="n">
        <v>0</v>
      </c>
      <c r="S3852" s="51" t="s">
        <v>4015</v>
      </c>
      <c r="T3852" s="51" t="s">
        <v>4015</v>
      </c>
      <c r="U3852" s="0" t="str">
        <f aca="false">"5060458890191"</f>
        <v>5060458890191</v>
      </c>
      <c r="V3852" s="51" t="s">
        <v>2142</v>
      </c>
      <c r="W3852" s="51" t="s">
        <v>4864</v>
      </c>
      <c r="X3852" s="51" t="s">
        <v>2359</v>
      </c>
    </row>
    <row r="3853" customFormat="false" ht="14.25" hidden="true" customHeight="false" outlineLevel="0" collapsed="false">
      <c r="A3853" s="49" t="s">
        <v>2349</v>
      </c>
      <c r="B3853" s="49" t="s">
        <v>2350</v>
      </c>
      <c r="C3853" s="49" t="s">
        <v>7592</v>
      </c>
      <c r="D3853" s="49" t="s">
        <v>2352</v>
      </c>
      <c r="E3853" s="49" t="str">
        <f aca="false">"5060458890191"</f>
        <v>5060458890191</v>
      </c>
      <c r="F3853" s="49" t="s">
        <v>3656</v>
      </c>
      <c r="G3853" s="49" t="n">
        <v>0</v>
      </c>
      <c r="H3853" s="0" t="n">
        <v>0</v>
      </c>
      <c r="M3853" s="51" t="s">
        <v>7560</v>
      </c>
      <c r="N3853" s="49" t="n">
        <v>0</v>
      </c>
      <c r="O3853" s="53" t="n">
        <v>45844.6266898148</v>
      </c>
      <c r="P3853" s="53" t="n">
        <v>45845.4298842593</v>
      </c>
      <c r="Q3853" s="53" t="n">
        <v>45844.6266898148</v>
      </c>
      <c r="R3853" s="0" t="n">
        <v>0</v>
      </c>
      <c r="S3853" s="51" t="s">
        <v>4015</v>
      </c>
      <c r="T3853" s="51" t="s">
        <v>4015</v>
      </c>
      <c r="U3853" s="0" t="str">
        <f aca="false">"5060458890191"</f>
        <v>5060458890191</v>
      </c>
      <c r="V3853" s="51" t="s">
        <v>2142</v>
      </c>
      <c r="W3853" s="51" t="s">
        <v>4728</v>
      </c>
      <c r="X3853" s="51" t="s">
        <v>2359</v>
      </c>
    </row>
    <row r="3854" customFormat="false" ht="14.25" hidden="true" customHeight="false" outlineLevel="0" collapsed="false">
      <c r="A3854" s="49" t="s">
        <v>2349</v>
      </c>
      <c r="B3854" s="49" t="s">
        <v>2350</v>
      </c>
      <c r="C3854" s="49" t="s">
        <v>7593</v>
      </c>
      <c r="D3854" s="49" t="s">
        <v>2352</v>
      </c>
      <c r="E3854" s="49" t="str">
        <f aca="false">"5942326400582"</f>
        <v>5942326400582</v>
      </c>
      <c r="F3854" s="49" t="s">
        <v>7594</v>
      </c>
      <c r="G3854" s="49" t="n">
        <v>0</v>
      </c>
      <c r="H3854" s="0" t="n">
        <v>0</v>
      </c>
      <c r="M3854" s="51" t="s">
        <v>7595</v>
      </c>
      <c r="N3854" s="49" t="n">
        <v>0</v>
      </c>
      <c r="O3854" s="53" t="n">
        <v>45791.5304166667</v>
      </c>
      <c r="P3854" s="53" t="n">
        <v>45978.8125578704</v>
      </c>
      <c r="Q3854" s="53" t="n">
        <v>45791.5304166667</v>
      </c>
      <c r="R3854" s="0" t="n">
        <v>0</v>
      </c>
      <c r="S3854" s="51" t="s">
        <v>2416</v>
      </c>
      <c r="T3854" s="51" t="s">
        <v>2416</v>
      </c>
      <c r="U3854" s="0" t="str">
        <f aca="false">"5942326400582"</f>
        <v>5942326400582</v>
      </c>
      <c r="V3854" s="51" t="s">
        <v>7596</v>
      </c>
      <c r="W3854" s="51" t="s">
        <v>4245</v>
      </c>
      <c r="X3854" s="51" t="s">
        <v>2359</v>
      </c>
    </row>
    <row r="3855" customFormat="false" ht="14.25" hidden="true" customHeight="false" outlineLevel="0" collapsed="false">
      <c r="A3855" s="49" t="s">
        <v>2349</v>
      </c>
      <c r="B3855" s="49" t="s">
        <v>2350</v>
      </c>
      <c r="C3855" s="49" t="s">
        <v>7597</v>
      </c>
      <c r="D3855" s="49" t="s">
        <v>2352</v>
      </c>
      <c r="E3855" s="49" t="str">
        <f aca="false">"5942326400476"</f>
        <v>5942326400476</v>
      </c>
      <c r="F3855" s="49" t="s">
        <v>5167</v>
      </c>
      <c r="G3855" s="49" t="n">
        <v>0</v>
      </c>
      <c r="H3855" s="0" t="n">
        <v>0</v>
      </c>
      <c r="M3855" s="51" t="s">
        <v>7595</v>
      </c>
      <c r="N3855" s="49" t="n">
        <v>0</v>
      </c>
      <c r="O3855" s="53" t="n">
        <v>45791.5322685185</v>
      </c>
      <c r="P3855" s="53" t="n">
        <v>45812.4901041667</v>
      </c>
      <c r="Q3855" s="53" t="n">
        <v>45791.5322685185</v>
      </c>
      <c r="R3855" s="0" t="n">
        <v>0</v>
      </c>
      <c r="S3855" s="51" t="s">
        <v>2416</v>
      </c>
      <c r="T3855" s="51" t="s">
        <v>2416</v>
      </c>
      <c r="U3855" s="0" t="str">
        <f aca="false">"5942326400476"</f>
        <v>5942326400476</v>
      </c>
      <c r="V3855" s="51" t="s">
        <v>2365</v>
      </c>
      <c r="W3855" s="51" t="s">
        <v>5428</v>
      </c>
      <c r="X3855" s="51" t="s">
        <v>2359</v>
      </c>
    </row>
    <row r="3856" customFormat="false" ht="14.25" hidden="true" customHeight="false" outlineLevel="0" collapsed="false">
      <c r="A3856" s="49" t="s">
        <v>2349</v>
      </c>
      <c r="B3856" s="49" t="s">
        <v>2350</v>
      </c>
      <c r="C3856" s="49" t="s">
        <v>7598</v>
      </c>
      <c r="D3856" s="49" t="s">
        <v>2352</v>
      </c>
      <c r="E3856" s="49" t="str">
        <f aca="false">"5942326400476"</f>
        <v>5942326400476</v>
      </c>
      <c r="F3856" s="49" t="s">
        <v>5167</v>
      </c>
      <c r="G3856" s="49" t="n">
        <v>0</v>
      </c>
      <c r="H3856" s="0" t="n">
        <v>0</v>
      </c>
      <c r="M3856" s="51" t="s">
        <v>7595</v>
      </c>
      <c r="N3856" s="49" t="n">
        <v>0</v>
      </c>
      <c r="O3856" s="53" t="n">
        <v>45791.5327662037</v>
      </c>
      <c r="P3856" s="53" t="n">
        <v>45801.6123726852</v>
      </c>
      <c r="Q3856" s="53" t="n">
        <v>45791.5327662037</v>
      </c>
      <c r="R3856" s="0" t="n">
        <v>0</v>
      </c>
      <c r="S3856" s="51" t="s">
        <v>2416</v>
      </c>
      <c r="T3856" s="51" t="s">
        <v>2416</v>
      </c>
      <c r="U3856" s="0" t="str">
        <f aca="false">"5942326400476"</f>
        <v>5942326400476</v>
      </c>
      <c r="V3856" s="51" t="s">
        <v>2365</v>
      </c>
      <c r="W3856" s="51" t="s">
        <v>4822</v>
      </c>
      <c r="X3856" s="51" t="s">
        <v>2359</v>
      </c>
    </row>
    <row r="3857" customFormat="false" ht="14.25" hidden="true" customHeight="false" outlineLevel="0" collapsed="false">
      <c r="A3857" s="49" t="s">
        <v>2349</v>
      </c>
      <c r="B3857" s="49" t="s">
        <v>2350</v>
      </c>
      <c r="C3857" s="49" t="s">
        <v>7599</v>
      </c>
      <c r="D3857" s="49" t="s">
        <v>2352</v>
      </c>
      <c r="E3857" s="49" t="str">
        <f aca="false">"5942326400476"</f>
        <v>5942326400476</v>
      </c>
      <c r="F3857" s="49" t="s">
        <v>5167</v>
      </c>
      <c r="G3857" s="49" t="n">
        <v>0</v>
      </c>
      <c r="H3857" s="0" t="n">
        <v>0</v>
      </c>
      <c r="M3857" s="51" t="s">
        <v>7595</v>
      </c>
      <c r="N3857" s="49" t="n">
        <v>0</v>
      </c>
      <c r="O3857" s="53" t="n">
        <v>45791.5329282407</v>
      </c>
      <c r="P3857" s="53" t="n">
        <v>45831.4276041667</v>
      </c>
      <c r="Q3857" s="53" t="n">
        <v>45791.5329282407</v>
      </c>
      <c r="R3857" s="0" t="n">
        <v>0</v>
      </c>
      <c r="S3857" s="51" t="s">
        <v>2416</v>
      </c>
      <c r="T3857" s="51" t="s">
        <v>2416</v>
      </c>
      <c r="U3857" s="0" t="str">
        <f aca="false">"5942326400476"</f>
        <v>5942326400476</v>
      </c>
      <c r="V3857" s="51" t="s">
        <v>2365</v>
      </c>
      <c r="W3857" s="51" t="s">
        <v>6430</v>
      </c>
      <c r="X3857" s="51" t="s">
        <v>2359</v>
      </c>
    </row>
    <row r="3858" customFormat="false" ht="14.25" hidden="true" customHeight="false" outlineLevel="0" collapsed="false">
      <c r="A3858" s="49" t="s">
        <v>2349</v>
      </c>
      <c r="B3858" s="49" t="s">
        <v>2350</v>
      </c>
      <c r="C3858" s="49" t="s">
        <v>7600</v>
      </c>
      <c r="D3858" s="49" t="s">
        <v>2352</v>
      </c>
      <c r="E3858" s="49" t="str">
        <f aca="false">"5942326400476"</f>
        <v>5942326400476</v>
      </c>
      <c r="F3858" s="49" t="s">
        <v>5167</v>
      </c>
      <c r="G3858" s="49" t="n">
        <v>0</v>
      </c>
      <c r="H3858" s="0" t="n">
        <v>0</v>
      </c>
      <c r="M3858" s="51" t="s">
        <v>7595</v>
      </c>
      <c r="N3858" s="49" t="n">
        <v>0</v>
      </c>
      <c r="O3858" s="53" t="n">
        <v>45791.5331134259</v>
      </c>
      <c r="P3858" s="53" t="n">
        <v>45831.4274652778</v>
      </c>
      <c r="Q3858" s="53" t="n">
        <v>45791.5331134259</v>
      </c>
      <c r="R3858" s="0" t="n">
        <v>0</v>
      </c>
      <c r="S3858" s="51" t="s">
        <v>2416</v>
      </c>
      <c r="T3858" s="51" t="s">
        <v>2416</v>
      </c>
      <c r="U3858" s="0" t="str">
        <f aca="false">"5942326400476"</f>
        <v>5942326400476</v>
      </c>
      <c r="V3858" s="51" t="s">
        <v>2365</v>
      </c>
      <c r="W3858" s="51" t="s">
        <v>5604</v>
      </c>
      <c r="X3858" s="51" t="s">
        <v>2359</v>
      </c>
    </row>
    <row r="3859" customFormat="false" ht="14.25" hidden="true" customHeight="false" outlineLevel="0" collapsed="false">
      <c r="A3859" s="49" t="s">
        <v>2349</v>
      </c>
      <c r="B3859" s="49" t="s">
        <v>2350</v>
      </c>
      <c r="C3859" s="49" t="s">
        <v>7601</v>
      </c>
      <c r="D3859" s="49" t="s">
        <v>2352</v>
      </c>
      <c r="E3859" s="49" t="str">
        <f aca="false">"5942326400476"</f>
        <v>5942326400476</v>
      </c>
      <c r="F3859" s="49" t="s">
        <v>5167</v>
      </c>
      <c r="G3859" s="49" t="n">
        <v>0</v>
      </c>
      <c r="H3859" s="0" t="n">
        <v>0</v>
      </c>
      <c r="M3859" s="51" t="s">
        <v>7595</v>
      </c>
      <c r="N3859" s="49" t="n">
        <v>0</v>
      </c>
      <c r="O3859" s="53" t="n">
        <v>45791.5332523148</v>
      </c>
      <c r="P3859" s="53" t="n">
        <v>45822.9225925926</v>
      </c>
      <c r="Q3859" s="53" t="n">
        <v>45791.5332523148</v>
      </c>
      <c r="R3859" s="0" t="n">
        <v>0</v>
      </c>
      <c r="S3859" s="51" t="s">
        <v>2416</v>
      </c>
      <c r="T3859" s="51" t="s">
        <v>2416</v>
      </c>
      <c r="U3859" s="0" t="str">
        <f aca="false">"5942326400476"</f>
        <v>5942326400476</v>
      </c>
      <c r="V3859" s="51" t="s">
        <v>2365</v>
      </c>
      <c r="W3859" s="51" t="s">
        <v>5436</v>
      </c>
      <c r="X3859" s="51" t="s">
        <v>2359</v>
      </c>
    </row>
    <row r="3860" customFormat="false" ht="14.25" hidden="true" customHeight="false" outlineLevel="0" collapsed="false">
      <c r="A3860" s="49" t="s">
        <v>2349</v>
      </c>
      <c r="B3860" s="49" t="s">
        <v>2350</v>
      </c>
      <c r="C3860" s="49" t="s">
        <v>7602</v>
      </c>
      <c r="D3860" s="49" t="s">
        <v>2352</v>
      </c>
      <c r="E3860" s="49" t="str">
        <f aca="false">"5942326400476"</f>
        <v>5942326400476</v>
      </c>
      <c r="F3860" s="49" t="s">
        <v>5167</v>
      </c>
      <c r="G3860" s="49" t="n">
        <v>0</v>
      </c>
      <c r="H3860" s="0" t="n">
        <v>0</v>
      </c>
      <c r="M3860" s="51" t="s">
        <v>7595</v>
      </c>
      <c r="N3860" s="49" t="n">
        <v>0</v>
      </c>
      <c r="O3860" s="53" t="n">
        <v>45791.5334027778</v>
      </c>
      <c r="P3860" s="53" t="n">
        <v>45803.8610185185</v>
      </c>
      <c r="Q3860" s="53" t="n">
        <v>45791.5334027778</v>
      </c>
      <c r="R3860" s="0" t="n">
        <v>0</v>
      </c>
      <c r="S3860" s="51" t="s">
        <v>2416</v>
      </c>
      <c r="T3860" s="51" t="s">
        <v>2416</v>
      </c>
      <c r="U3860" s="0" t="str">
        <f aca="false">"5942326400476"</f>
        <v>5942326400476</v>
      </c>
      <c r="V3860" s="51" t="s">
        <v>2365</v>
      </c>
      <c r="W3860" s="51" t="s">
        <v>4816</v>
      </c>
      <c r="X3860" s="51" t="s">
        <v>2359</v>
      </c>
    </row>
    <row r="3861" customFormat="false" ht="14.25" hidden="true" customHeight="false" outlineLevel="0" collapsed="false">
      <c r="A3861" s="49" t="s">
        <v>2349</v>
      </c>
      <c r="B3861" s="49" t="s">
        <v>2350</v>
      </c>
      <c r="C3861" s="49" t="s">
        <v>7603</v>
      </c>
      <c r="D3861" s="49" t="s">
        <v>2352</v>
      </c>
      <c r="E3861" s="49" t="str">
        <f aca="false">"5942326400476"</f>
        <v>5942326400476</v>
      </c>
      <c r="F3861" s="49" t="s">
        <v>5167</v>
      </c>
      <c r="G3861" s="49" t="n">
        <v>0</v>
      </c>
      <c r="H3861" s="0" t="n">
        <v>0</v>
      </c>
      <c r="M3861" s="51" t="s">
        <v>7595</v>
      </c>
      <c r="N3861" s="49" t="n">
        <v>0</v>
      </c>
      <c r="O3861" s="53" t="n">
        <v>45791.5335648148</v>
      </c>
      <c r="P3861" s="53" t="n">
        <v>45801.4822916667</v>
      </c>
      <c r="Q3861" s="53" t="n">
        <v>45791.5335648148</v>
      </c>
      <c r="R3861" s="0" t="n">
        <v>0</v>
      </c>
      <c r="S3861" s="51" t="s">
        <v>2416</v>
      </c>
      <c r="T3861" s="51" t="s">
        <v>2416</v>
      </c>
      <c r="U3861" s="0" t="str">
        <f aca="false">"5942326400476"</f>
        <v>5942326400476</v>
      </c>
      <c r="V3861" s="51" t="s">
        <v>2365</v>
      </c>
      <c r="W3861" s="51" t="s">
        <v>7604</v>
      </c>
      <c r="X3861" s="51" t="s">
        <v>2359</v>
      </c>
    </row>
    <row r="3862" customFormat="false" ht="14.25" hidden="true" customHeight="false" outlineLevel="0" collapsed="false">
      <c r="A3862" s="49" t="s">
        <v>2349</v>
      </c>
      <c r="B3862" s="49" t="s">
        <v>2350</v>
      </c>
      <c r="C3862" s="49" t="s">
        <v>7605</v>
      </c>
      <c r="D3862" s="49" t="s">
        <v>2352</v>
      </c>
      <c r="E3862" s="49" t="str">
        <f aca="false">"5942326400476"</f>
        <v>5942326400476</v>
      </c>
      <c r="F3862" s="49" t="s">
        <v>5167</v>
      </c>
      <c r="G3862" s="49" t="n">
        <v>0</v>
      </c>
      <c r="H3862" s="0" t="n">
        <v>0</v>
      </c>
      <c r="M3862" s="51" t="s">
        <v>7595</v>
      </c>
      <c r="N3862" s="49" t="n">
        <v>0</v>
      </c>
      <c r="O3862" s="53" t="n">
        <v>45791.5337037037</v>
      </c>
      <c r="P3862" s="53" t="n">
        <v>45801.4830324074</v>
      </c>
      <c r="Q3862" s="53" t="n">
        <v>45791.5337037037</v>
      </c>
      <c r="R3862" s="0" t="n">
        <v>0</v>
      </c>
      <c r="S3862" s="51" t="s">
        <v>2416</v>
      </c>
      <c r="T3862" s="51" t="s">
        <v>2416</v>
      </c>
      <c r="U3862" s="0" t="str">
        <f aca="false">"5942326400476"</f>
        <v>5942326400476</v>
      </c>
      <c r="V3862" s="51" t="s">
        <v>2365</v>
      </c>
      <c r="W3862" s="51" t="s">
        <v>4268</v>
      </c>
      <c r="X3862" s="51" t="s">
        <v>2359</v>
      </c>
    </row>
    <row r="3863" customFormat="false" ht="14.25" hidden="true" customHeight="false" outlineLevel="0" collapsed="false">
      <c r="A3863" s="49" t="s">
        <v>2349</v>
      </c>
      <c r="B3863" s="49" t="s">
        <v>2350</v>
      </c>
      <c r="C3863" s="49" t="s">
        <v>7606</v>
      </c>
      <c r="D3863" s="49" t="s">
        <v>2352</v>
      </c>
      <c r="E3863" s="49" t="str">
        <f aca="false">"5942326400476"</f>
        <v>5942326400476</v>
      </c>
      <c r="F3863" s="49" t="s">
        <v>5167</v>
      </c>
      <c r="G3863" s="49" t="n">
        <v>0</v>
      </c>
      <c r="H3863" s="0" t="n">
        <v>0</v>
      </c>
      <c r="M3863" s="51" t="s">
        <v>7595</v>
      </c>
      <c r="N3863" s="49" t="n">
        <v>0</v>
      </c>
      <c r="O3863" s="53" t="n">
        <v>45791.5338773148</v>
      </c>
      <c r="P3863" s="53" t="n">
        <v>45801.4818171296</v>
      </c>
      <c r="Q3863" s="53" t="n">
        <v>45791.5338773148</v>
      </c>
      <c r="R3863" s="0" t="n">
        <v>0</v>
      </c>
      <c r="S3863" s="51" t="s">
        <v>2416</v>
      </c>
      <c r="T3863" s="51" t="s">
        <v>2416</v>
      </c>
      <c r="U3863" s="0" t="str">
        <f aca="false">"5942326400476"</f>
        <v>5942326400476</v>
      </c>
      <c r="V3863" s="51" t="s">
        <v>2365</v>
      </c>
      <c r="W3863" s="51" t="s">
        <v>4784</v>
      </c>
      <c r="X3863" s="51" t="s">
        <v>2359</v>
      </c>
    </row>
    <row r="3864" customFormat="false" ht="14.25" hidden="true" customHeight="false" outlineLevel="0" collapsed="false">
      <c r="A3864" s="49" t="s">
        <v>2349</v>
      </c>
      <c r="B3864" s="49" t="s">
        <v>2350</v>
      </c>
      <c r="C3864" s="49" t="s">
        <v>7607</v>
      </c>
      <c r="D3864" s="49" t="s">
        <v>2352</v>
      </c>
      <c r="E3864" s="49" t="str">
        <f aca="false">"5942326400483"</f>
        <v>5942326400483</v>
      </c>
      <c r="F3864" s="49" t="s">
        <v>3651</v>
      </c>
      <c r="G3864" s="49" t="n">
        <v>0</v>
      </c>
      <c r="H3864" s="0" t="n">
        <v>0</v>
      </c>
      <c r="M3864" s="51" t="s">
        <v>7595</v>
      </c>
      <c r="N3864" s="49" t="n">
        <v>0</v>
      </c>
      <c r="O3864" s="53" t="n">
        <v>45791.5365046296</v>
      </c>
      <c r="P3864" s="53" t="n">
        <v>45822.9174768519</v>
      </c>
      <c r="Q3864" s="53" t="n">
        <v>45791.5365046296</v>
      </c>
      <c r="R3864" s="0" t="n">
        <v>0</v>
      </c>
      <c r="S3864" s="51" t="s">
        <v>2416</v>
      </c>
      <c r="T3864" s="51" t="s">
        <v>2416</v>
      </c>
      <c r="U3864" s="0" t="str">
        <f aca="false">"5942326400483"</f>
        <v>5942326400483</v>
      </c>
      <c r="V3864" s="51" t="s">
        <v>2365</v>
      </c>
      <c r="W3864" s="51" t="s">
        <v>7608</v>
      </c>
      <c r="X3864" s="51" t="s">
        <v>2359</v>
      </c>
    </row>
    <row r="3865" customFormat="false" ht="14.25" hidden="true" customHeight="false" outlineLevel="0" collapsed="false">
      <c r="A3865" s="49" t="s">
        <v>2349</v>
      </c>
      <c r="B3865" s="49" t="s">
        <v>2350</v>
      </c>
      <c r="C3865" s="49" t="s">
        <v>7609</v>
      </c>
      <c r="D3865" s="49" t="s">
        <v>2352</v>
      </c>
      <c r="E3865" s="49" t="str">
        <f aca="false">"5942326400483"</f>
        <v>5942326400483</v>
      </c>
      <c r="F3865" s="49" t="s">
        <v>3651</v>
      </c>
      <c r="G3865" s="49" t="n">
        <v>0</v>
      </c>
      <c r="H3865" s="0" t="n">
        <v>0</v>
      </c>
      <c r="M3865" s="51" t="s">
        <v>7595</v>
      </c>
      <c r="N3865" s="49" t="n">
        <v>0</v>
      </c>
      <c r="O3865" s="53" t="n">
        <v>45791.5369212963</v>
      </c>
      <c r="P3865" s="53" t="n">
        <v>45806.5560648148</v>
      </c>
      <c r="Q3865" s="53" t="n">
        <v>45791.5369212963</v>
      </c>
      <c r="R3865" s="0" t="n">
        <v>0</v>
      </c>
      <c r="S3865" s="51" t="s">
        <v>2416</v>
      </c>
      <c r="T3865" s="51" t="s">
        <v>2416</v>
      </c>
      <c r="U3865" s="0" t="str">
        <f aca="false">"5942326400483"</f>
        <v>5942326400483</v>
      </c>
      <c r="V3865" s="51" t="s">
        <v>2365</v>
      </c>
      <c r="W3865" s="51" t="s">
        <v>5709</v>
      </c>
      <c r="X3865" s="51" t="s">
        <v>2359</v>
      </c>
    </row>
    <row r="3866" customFormat="false" ht="14.25" hidden="true" customHeight="false" outlineLevel="0" collapsed="false">
      <c r="A3866" s="49" t="s">
        <v>2349</v>
      </c>
      <c r="B3866" s="49" t="s">
        <v>2350</v>
      </c>
      <c r="C3866" s="49" t="s">
        <v>7610</v>
      </c>
      <c r="D3866" s="49" t="s">
        <v>2352</v>
      </c>
      <c r="E3866" s="49" t="str">
        <f aca="false">"5942326400483"</f>
        <v>5942326400483</v>
      </c>
      <c r="F3866" s="49" t="s">
        <v>3651</v>
      </c>
      <c r="G3866" s="49" t="n">
        <v>0</v>
      </c>
      <c r="H3866" s="0" t="n">
        <v>0</v>
      </c>
      <c r="M3866" s="51" t="s">
        <v>7595</v>
      </c>
      <c r="N3866" s="49" t="n">
        <v>0</v>
      </c>
      <c r="O3866" s="53" t="n">
        <v>45791.5370833333</v>
      </c>
      <c r="P3866" s="53" t="n">
        <v>45803.8689351852</v>
      </c>
      <c r="Q3866" s="53" t="n">
        <v>45791.5370833333</v>
      </c>
      <c r="R3866" s="0" t="n">
        <v>0</v>
      </c>
      <c r="S3866" s="51" t="s">
        <v>2416</v>
      </c>
      <c r="T3866" s="51" t="s">
        <v>2416</v>
      </c>
      <c r="U3866" s="0" t="str">
        <f aca="false">"5942326400483"</f>
        <v>5942326400483</v>
      </c>
      <c r="V3866" s="51" t="s">
        <v>2365</v>
      </c>
      <c r="W3866" s="51" t="s">
        <v>4627</v>
      </c>
      <c r="X3866" s="51" t="s">
        <v>2359</v>
      </c>
    </row>
    <row r="3867" customFormat="false" ht="14.25" hidden="true" customHeight="false" outlineLevel="0" collapsed="false">
      <c r="A3867" s="49" t="s">
        <v>2349</v>
      </c>
      <c r="B3867" s="49" t="s">
        <v>2350</v>
      </c>
      <c r="C3867" s="49" t="s">
        <v>7611</v>
      </c>
      <c r="D3867" s="49" t="s">
        <v>2352</v>
      </c>
      <c r="E3867" s="49" t="str">
        <f aca="false">"5942326400483"</f>
        <v>5942326400483</v>
      </c>
      <c r="F3867" s="49" t="s">
        <v>3651</v>
      </c>
      <c r="G3867" s="49" t="n">
        <v>0</v>
      </c>
      <c r="H3867" s="0" t="n">
        <v>0</v>
      </c>
      <c r="M3867" s="51" t="s">
        <v>7595</v>
      </c>
      <c r="N3867" s="49" t="n">
        <v>0</v>
      </c>
      <c r="O3867" s="53" t="n">
        <v>45791.5372569444</v>
      </c>
      <c r="P3867" s="53" t="n">
        <v>45811.4883796296</v>
      </c>
      <c r="Q3867" s="53" t="n">
        <v>45791.5372569444</v>
      </c>
      <c r="R3867" s="0" t="n">
        <v>0</v>
      </c>
      <c r="S3867" s="51" t="s">
        <v>2416</v>
      </c>
      <c r="T3867" s="51" t="s">
        <v>2416</v>
      </c>
      <c r="U3867" s="0" t="str">
        <f aca="false">"5942326400483"</f>
        <v>5942326400483</v>
      </c>
      <c r="V3867" s="51" t="s">
        <v>2365</v>
      </c>
      <c r="W3867" s="51" t="s">
        <v>5448</v>
      </c>
      <c r="X3867" s="51" t="s">
        <v>2359</v>
      </c>
    </row>
    <row r="3868" customFormat="false" ht="14.25" hidden="true" customHeight="false" outlineLevel="0" collapsed="false">
      <c r="A3868" s="49" t="s">
        <v>2349</v>
      </c>
      <c r="B3868" s="49" t="s">
        <v>2350</v>
      </c>
      <c r="C3868" s="49" t="s">
        <v>7612</v>
      </c>
      <c r="D3868" s="49" t="s">
        <v>2352</v>
      </c>
      <c r="E3868" s="49" t="str">
        <f aca="false">"5942326400223"</f>
        <v>5942326400223</v>
      </c>
      <c r="F3868" s="49" t="s">
        <v>3798</v>
      </c>
      <c r="G3868" s="49" t="n">
        <v>0</v>
      </c>
      <c r="H3868" s="0" t="n">
        <v>0</v>
      </c>
      <c r="M3868" s="51" t="s">
        <v>7595</v>
      </c>
      <c r="N3868" s="49" t="n">
        <v>0</v>
      </c>
      <c r="O3868" s="53" t="n">
        <v>45791.5380208333</v>
      </c>
      <c r="P3868" s="53" t="n">
        <v>45917.4631944444</v>
      </c>
      <c r="Q3868" s="53" t="n">
        <v>45791.5380208333</v>
      </c>
      <c r="R3868" s="0" t="n">
        <v>0</v>
      </c>
      <c r="S3868" s="51" t="s">
        <v>2416</v>
      </c>
      <c r="T3868" s="51" t="s">
        <v>2416</v>
      </c>
      <c r="U3868" s="0" t="str">
        <f aca="false">"5942326400223"</f>
        <v>5942326400223</v>
      </c>
      <c r="V3868" s="51" t="s">
        <v>2365</v>
      </c>
      <c r="W3868" s="51" t="s">
        <v>4627</v>
      </c>
      <c r="X3868" s="51" t="s">
        <v>2359</v>
      </c>
    </row>
    <row r="3869" customFormat="false" ht="14.25" hidden="true" customHeight="false" outlineLevel="0" collapsed="false">
      <c r="A3869" s="49" t="s">
        <v>2349</v>
      </c>
      <c r="B3869" s="49" t="s">
        <v>2350</v>
      </c>
      <c r="C3869" s="49" t="s">
        <v>7613</v>
      </c>
      <c r="D3869" s="49" t="s">
        <v>2352</v>
      </c>
      <c r="E3869" s="49" t="str">
        <f aca="false">"5942326400223"</f>
        <v>5942326400223</v>
      </c>
      <c r="F3869" s="49" t="s">
        <v>3798</v>
      </c>
      <c r="G3869" s="49" t="n">
        <v>0</v>
      </c>
      <c r="H3869" s="0" t="n">
        <v>0</v>
      </c>
      <c r="M3869" s="51" t="s">
        <v>7595</v>
      </c>
      <c r="N3869" s="49" t="n">
        <v>0</v>
      </c>
      <c r="O3869" s="53" t="n">
        <v>45791.5381712963</v>
      </c>
      <c r="P3869" s="53" t="n">
        <v>45962.7967824074</v>
      </c>
      <c r="Q3869" s="53" t="n">
        <v>45791.5381712963</v>
      </c>
      <c r="R3869" s="0" t="n">
        <v>0</v>
      </c>
      <c r="S3869" s="51" t="s">
        <v>2416</v>
      </c>
      <c r="T3869" s="51" t="s">
        <v>2416</v>
      </c>
      <c r="U3869" s="0" t="str">
        <f aca="false">"5942326400223"</f>
        <v>5942326400223</v>
      </c>
      <c r="V3869" s="51" t="s">
        <v>2365</v>
      </c>
      <c r="W3869" s="51" t="s">
        <v>7614</v>
      </c>
      <c r="X3869" s="51" t="s">
        <v>2359</v>
      </c>
    </row>
    <row r="3870" customFormat="false" ht="14.25" hidden="true" customHeight="false" outlineLevel="0" collapsed="false">
      <c r="A3870" s="49" t="s">
        <v>2349</v>
      </c>
      <c r="B3870" s="49" t="s">
        <v>2350</v>
      </c>
      <c r="C3870" s="49" t="s">
        <v>7615</v>
      </c>
      <c r="D3870" s="49" t="s">
        <v>2352</v>
      </c>
      <c r="E3870" s="49" t="str">
        <f aca="false">"5942326400216"</f>
        <v>5942326400216</v>
      </c>
      <c r="F3870" s="49" t="s">
        <v>3777</v>
      </c>
      <c r="G3870" s="49" t="n">
        <v>0</v>
      </c>
      <c r="H3870" s="0" t="n">
        <v>0</v>
      </c>
      <c r="M3870" s="51" t="s">
        <v>7595</v>
      </c>
      <c r="N3870" s="49" t="n">
        <v>0</v>
      </c>
      <c r="O3870" s="53" t="n">
        <v>45791.5267013889</v>
      </c>
      <c r="P3870" s="53" t="n">
        <v>45897.6996296296</v>
      </c>
      <c r="Q3870" s="53" t="n">
        <v>45791.5267013889</v>
      </c>
      <c r="R3870" s="0" t="n">
        <v>0</v>
      </c>
      <c r="S3870" s="51" t="s">
        <v>2416</v>
      </c>
      <c r="T3870" s="51" t="s">
        <v>2416</v>
      </c>
      <c r="U3870" s="0" t="str">
        <f aca="false">"5942326400216"</f>
        <v>5942326400216</v>
      </c>
      <c r="V3870" s="51" t="s">
        <v>2365</v>
      </c>
      <c r="W3870" s="51" t="s">
        <v>7616</v>
      </c>
      <c r="X3870" s="51" t="s">
        <v>2359</v>
      </c>
    </row>
    <row r="3871" customFormat="false" ht="14.25" hidden="true" customHeight="false" outlineLevel="0" collapsed="false">
      <c r="A3871" s="49" t="s">
        <v>2349</v>
      </c>
      <c r="B3871" s="49" t="s">
        <v>2350</v>
      </c>
      <c r="C3871" s="49" t="s">
        <v>7617</v>
      </c>
      <c r="D3871" s="49" t="s">
        <v>2352</v>
      </c>
      <c r="E3871" s="49" t="str">
        <f aca="false">"5942326400216"</f>
        <v>5942326400216</v>
      </c>
      <c r="F3871" s="49" t="s">
        <v>3777</v>
      </c>
      <c r="G3871" s="49" t="n">
        <v>0</v>
      </c>
      <c r="H3871" s="0" t="n">
        <v>0</v>
      </c>
      <c r="M3871" s="51" t="s">
        <v>7595</v>
      </c>
      <c r="N3871" s="49" t="n">
        <v>0</v>
      </c>
      <c r="O3871" s="53" t="n">
        <v>45791.5271875</v>
      </c>
      <c r="P3871" s="53" t="n">
        <v>45917.4894791667</v>
      </c>
      <c r="Q3871" s="53" t="n">
        <v>45791.5271875</v>
      </c>
      <c r="R3871" s="0" t="n">
        <v>0</v>
      </c>
      <c r="S3871" s="51" t="s">
        <v>2416</v>
      </c>
      <c r="T3871" s="51" t="s">
        <v>2416</v>
      </c>
      <c r="U3871" s="0" t="str">
        <f aca="false">"5942326400216"</f>
        <v>5942326400216</v>
      </c>
      <c r="V3871" s="51" t="s">
        <v>2365</v>
      </c>
      <c r="W3871" s="51" t="s">
        <v>6257</v>
      </c>
      <c r="X3871" s="51" t="s">
        <v>2359</v>
      </c>
    </row>
    <row r="3872" customFormat="false" ht="14.25" hidden="true" customHeight="false" outlineLevel="0" collapsed="false">
      <c r="A3872" s="49" t="s">
        <v>2349</v>
      </c>
      <c r="B3872" s="49" t="s">
        <v>2350</v>
      </c>
      <c r="C3872" s="49" t="s">
        <v>7618</v>
      </c>
      <c r="D3872" s="49" t="s">
        <v>2352</v>
      </c>
      <c r="E3872" s="49" t="str">
        <f aca="false">"5942326400216"</f>
        <v>5942326400216</v>
      </c>
      <c r="F3872" s="49" t="s">
        <v>3777</v>
      </c>
      <c r="G3872" s="49" t="n">
        <v>0</v>
      </c>
      <c r="H3872" s="0" t="n">
        <v>0</v>
      </c>
      <c r="M3872" s="51" t="s">
        <v>7595</v>
      </c>
      <c r="N3872" s="49" t="n">
        <v>0</v>
      </c>
      <c r="O3872" s="53" t="n">
        <v>45791.5273611111</v>
      </c>
      <c r="P3872" s="53" t="n">
        <v>45822.9203472222</v>
      </c>
      <c r="Q3872" s="53" t="n">
        <v>45791.5273611111</v>
      </c>
      <c r="R3872" s="0" t="n">
        <v>0</v>
      </c>
      <c r="S3872" s="51" t="s">
        <v>2416</v>
      </c>
      <c r="T3872" s="51" t="s">
        <v>2416</v>
      </c>
      <c r="U3872" s="0" t="str">
        <f aca="false">"5942326400216"</f>
        <v>5942326400216</v>
      </c>
      <c r="V3872" s="51" t="s">
        <v>2365</v>
      </c>
      <c r="W3872" s="51" t="s">
        <v>7619</v>
      </c>
      <c r="X3872" s="51" t="s">
        <v>2359</v>
      </c>
    </row>
    <row r="3873" customFormat="false" ht="14.25" hidden="true" customHeight="false" outlineLevel="0" collapsed="false">
      <c r="A3873" s="49" t="s">
        <v>2349</v>
      </c>
      <c r="B3873" s="49" t="s">
        <v>2350</v>
      </c>
      <c r="C3873" s="49" t="s">
        <v>7620</v>
      </c>
      <c r="D3873" s="49" t="s">
        <v>2352</v>
      </c>
      <c r="E3873" s="49" t="str">
        <f aca="false">"5942326400216"</f>
        <v>5942326400216</v>
      </c>
      <c r="F3873" s="49" t="s">
        <v>3777</v>
      </c>
      <c r="G3873" s="49" t="n">
        <v>0</v>
      </c>
      <c r="H3873" s="0" t="n">
        <v>0</v>
      </c>
      <c r="M3873" s="51" t="s">
        <v>7595</v>
      </c>
      <c r="N3873" s="49" t="n">
        <v>0</v>
      </c>
      <c r="O3873" s="53" t="n">
        <v>45791.5276041667</v>
      </c>
      <c r="P3873" s="53" t="n">
        <v>45809.7508101852</v>
      </c>
      <c r="Q3873" s="53" t="n">
        <v>45791.5276041667</v>
      </c>
      <c r="R3873" s="0" t="n">
        <v>0</v>
      </c>
      <c r="S3873" s="51" t="s">
        <v>2416</v>
      </c>
      <c r="T3873" s="51" t="s">
        <v>2416</v>
      </c>
      <c r="U3873" s="0" t="str">
        <f aca="false">"5942326400216"</f>
        <v>5942326400216</v>
      </c>
      <c r="V3873" s="51" t="s">
        <v>2365</v>
      </c>
      <c r="W3873" s="51" t="s">
        <v>6068</v>
      </c>
      <c r="X3873" s="51" t="s">
        <v>2359</v>
      </c>
    </row>
    <row r="3874" customFormat="false" ht="14.25" hidden="true" customHeight="false" outlineLevel="0" collapsed="false">
      <c r="A3874" s="49" t="s">
        <v>2349</v>
      </c>
      <c r="B3874" s="49" t="s">
        <v>2350</v>
      </c>
      <c r="C3874" s="49" t="s">
        <v>7621</v>
      </c>
      <c r="D3874" s="49" t="s">
        <v>2352</v>
      </c>
      <c r="E3874" s="49" t="str">
        <f aca="false">"5060175133366"</f>
        <v>5060175133366</v>
      </c>
      <c r="F3874" s="49" t="s">
        <v>5125</v>
      </c>
      <c r="G3874" s="49" t="n">
        <v>0</v>
      </c>
      <c r="H3874" s="0" t="n">
        <v>0</v>
      </c>
      <c r="M3874" s="51" t="s">
        <v>7622</v>
      </c>
      <c r="N3874" s="49" t="n">
        <v>0</v>
      </c>
      <c r="O3874" s="53" t="n">
        <v>45784.3750810185</v>
      </c>
      <c r="P3874" s="53" t="n">
        <v>45808.5103240741</v>
      </c>
      <c r="Q3874" s="53" t="n">
        <v>45784.3750810185</v>
      </c>
      <c r="R3874" s="0" t="n">
        <v>0</v>
      </c>
      <c r="S3874" s="51" t="s">
        <v>2416</v>
      </c>
      <c r="T3874" s="51" t="s">
        <v>2416</v>
      </c>
      <c r="U3874" s="0" t="str">
        <f aca="false">"5060175133366"</f>
        <v>5060175133366</v>
      </c>
      <c r="V3874" s="51" t="s">
        <v>2365</v>
      </c>
      <c r="W3874" s="51" t="s">
        <v>7623</v>
      </c>
      <c r="X3874" s="51" t="s">
        <v>2359</v>
      </c>
    </row>
    <row r="3875" customFormat="false" ht="14.25" hidden="true" customHeight="false" outlineLevel="0" collapsed="false">
      <c r="A3875" s="49" t="s">
        <v>2349</v>
      </c>
      <c r="B3875" s="49" t="s">
        <v>2350</v>
      </c>
      <c r="C3875" s="49" t="s">
        <v>7624</v>
      </c>
      <c r="D3875" s="49" t="s">
        <v>2352</v>
      </c>
      <c r="E3875" s="49" t="str">
        <f aca="false">"12482691"</f>
        <v>12482691</v>
      </c>
      <c r="F3875" s="49" t="s">
        <v>7031</v>
      </c>
      <c r="G3875" s="49" t="n">
        <v>0</v>
      </c>
      <c r="H3875" s="0" t="n">
        <v>0</v>
      </c>
      <c r="M3875" s="51" t="s">
        <v>7625</v>
      </c>
      <c r="N3875" s="49" t="n">
        <v>0</v>
      </c>
      <c r="O3875" s="53" t="n">
        <v>45801.6147685185</v>
      </c>
      <c r="P3875" s="53" t="n">
        <v>45810.7867592593</v>
      </c>
      <c r="Q3875" s="53" t="n">
        <v>45801.6147685185</v>
      </c>
      <c r="R3875" s="0" t="n">
        <v>0</v>
      </c>
      <c r="S3875" s="51" t="s">
        <v>4015</v>
      </c>
      <c r="T3875" s="51" t="s">
        <v>4015</v>
      </c>
      <c r="U3875" s="0" t="str">
        <f aca="false">"12482691"</f>
        <v>12482691</v>
      </c>
      <c r="V3875" s="51" t="s">
        <v>2365</v>
      </c>
      <c r="W3875" s="51" t="s">
        <v>5901</v>
      </c>
      <c r="X3875" s="51" t="s">
        <v>2359</v>
      </c>
    </row>
    <row r="3876" customFormat="false" ht="14.25" hidden="true" customHeight="false" outlineLevel="0" collapsed="false">
      <c r="A3876" s="49" t="s">
        <v>2349</v>
      </c>
      <c r="B3876" s="49" t="s">
        <v>2350</v>
      </c>
      <c r="C3876" s="49" t="s">
        <v>7626</v>
      </c>
      <c r="D3876" s="49" t="s">
        <v>2352</v>
      </c>
      <c r="E3876" s="49" t="str">
        <f aca="false">"12482691"</f>
        <v>12482691</v>
      </c>
      <c r="F3876" s="49" t="s">
        <v>7031</v>
      </c>
      <c r="G3876" s="49" t="n">
        <v>0</v>
      </c>
      <c r="H3876" s="0" t="n">
        <v>0</v>
      </c>
      <c r="M3876" s="51" t="s">
        <v>7625</v>
      </c>
      <c r="N3876" s="49" t="n">
        <v>0</v>
      </c>
      <c r="O3876" s="53" t="n">
        <v>45801.6143171296</v>
      </c>
      <c r="P3876" s="53" t="n">
        <v>45862.8225115741</v>
      </c>
      <c r="Q3876" s="53" t="n">
        <v>45801.6143171296</v>
      </c>
      <c r="R3876" s="0" t="n">
        <v>0</v>
      </c>
      <c r="S3876" s="51" t="s">
        <v>4015</v>
      </c>
      <c r="T3876" s="51" t="s">
        <v>4015</v>
      </c>
      <c r="U3876" s="0" t="str">
        <f aca="false">"12482691"</f>
        <v>12482691</v>
      </c>
      <c r="V3876" s="51" t="s">
        <v>2365</v>
      </c>
      <c r="W3876" s="51" t="s">
        <v>6383</v>
      </c>
      <c r="X3876" s="51" t="s">
        <v>2359</v>
      </c>
    </row>
    <row r="3877" customFormat="false" ht="14.25" hidden="true" customHeight="false" outlineLevel="0" collapsed="false">
      <c r="A3877" s="49" t="s">
        <v>2349</v>
      </c>
      <c r="B3877" s="49" t="s">
        <v>2350</v>
      </c>
      <c r="C3877" s="49" t="s">
        <v>7627</v>
      </c>
      <c r="D3877" s="49" t="s">
        <v>2352</v>
      </c>
      <c r="E3877" s="49" t="str">
        <f aca="false">"12482691"</f>
        <v>12482691</v>
      </c>
      <c r="F3877" s="49" t="s">
        <v>7031</v>
      </c>
      <c r="G3877" s="49" t="n">
        <v>0</v>
      </c>
      <c r="H3877" s="0" t="n">
        <v>0</v>
      </c>
      <c r="M3877" s="51" t="s">
        <v>7625</v>
      </c>
      <c r="N3877" s="49" t="n">
        <v>0</v>
      </c>
      <c r="O3877" s="53" t="n">
        <v>45801.6136458333</v>
      </c>
      <c r="P3877" s="53" t="n">
        <v>45810.7852430556</v>
      </c>
      <c r="Q3877" s="53" t="n">
        <v>45801.6136458333</v>
      </c>
      <c r="R3877" s="0" t="n">
        <v>0</v>
      </c>
      <c r="S3877" s="51" t="s">
        <v>4015</v>
      </c>
      <c r="T3877" s="51" t="s">
        <v>4015</v>
      </c>
      <c r="U3877" s="0" t="str">
        <f aca="false">"12482691"</f>
        <v>12482691</v>
      </c>
      <c r="V3877" s="51" t="s">
        <v>2365</v>
      </c>
      <c r="W3877" s="51" t="s">
        <v>6564</v>
      </c>
      <c r="X3877" s="51" t="s">
        <v>2359</v>
      </c>
    </row>
    <row r="3878" customFormat="false" ht="14.25" hidden="true" customHeight="false" outlineLevel="0" collapsed="false">
      <c r="A3878" s="49" t="s">
        <v>2349</v>
      </c>
      <c r="B3878" s="49" t="s">
        <v>2350</v>
      </c>
      <c r="C3878" s="49" t="s">
        <v>7628</v>
      </c>
      <c r="D3878" s="49" t="s">
        <v>2352</v>
      </c>
      <c r="E3878" s="49" t="str">
        <f aca="false">"12482691"</f>
        <v>12482691</v>
      </c>
      <c r="F3878" s="49" t="s">
        <v>7031</v>
      </c>
      <c r="G3878" s="49" t="n">
        <v>0</v>
      </c>
      <c r="H3878" s="0" t="n">
        <v>0</v>
      </c>
      <c r="M3878" s="51" t="s">
        <v>7625</v>
      </c>
      <c r="N3878" s="49" t="n">
        <v>0</v>
      </c>
      <c r="O3878" s="53" t="n">
        <v>45801.6127083333</v>
      </c>
      <c r="P3878" s="53" t="n">
        <v>45810.7838888889</v>
      </c>
      <c r="Q3878" s="53" t="n">
        <v>45801.6127083333</v>
      </c>
      <c r="R3878" s="0" t="n">
        <v>0</v>
      </c>
      <c r="S3878" s="51" t="s">
        <v>4015</v>
      </c>
      <c r="T3878" s="51" t="s">
        <v>4015</v>
      </c>
      <c r="U3878" s="0" t="str">
        <f aca="false">"12482691"</f>
        <v>12482691</v>
      </c>
      <c r="V3878" s="51" t="s">
        <v>2365</v>
      </c>
      <c r="W3878" s="51" t="s">
        <v>6566</v>
      </c>
      <c r="X3878" s="51" t="s">
        <v>2359</v>
      </c>
    </row>
    <row r="3879" customFormat="false" ht="14.25" hidden="true" customHeight="false" outlineLevel="0" collapsed="false">
      <c r="A3879" s="49" t="s">
        <v>2349</v>
      </c>
      <c r="B3879" s="49" t="s">
        <v>2350</v>
      </c>
      <c r="C3879" s="49" t="s">
        <v>7629</v>
      </c>
      <c r="D3879" s="49" t="s">
        <v>2352</v>
      </c>
      <c r="E3879" s="49" t="str">
        <f aca="false">"12482691"</f>
        <v>12482691</v>
      </c>
      <c r="F3879" s="49" t="s">
        <v>7031</v>
      </c>
      <c r="G3879" s="49" t="n">
        <v>0</v>
      </c>
      <c r="H3879" s="0" t="n">
        <v>0</v>
      </c>
      <c r="M3879" s="51" t="s">
        <v>7625</v>
      </c>
      <c r="N3879" s="49" t="n">
        <v>0</v>
      </c>
      <c r="O3879" s="53" t="n">
        <v>45801.6124189815</v>
      </c>
      <c r="P3879" s="53" t="n">
        <v>45810.7814583333</v>
      </c>
      <c r="Q3879" s="53" t="n">
        <v>45801.6124189815</v>
      </c>
      <c r="R3879" s="0" t="n">
        <v>0</v>
      </c>
      <c r="S3879" s="51" t="s">
        <v>4015</v>
      </c>
      <c r="T3879" s="51" t="s">
        <v>4015</v>
      </c>
      <c r="U3879" s="0" t="str">
        <f aca="false">"12482691"</f>
        <v>12482691</v>
      </c>
      <c r="V3879" s="51" t="s">
        <v>2365</v>
      </c>
      <c r="W3879" s="51" t="s">
        <v>6568</v>
      </c>
      <c r="X3879" s="51" t="s">
        <v>2359</v>
      </c>
    </row>
    <row r="3880" customFormat="false" ht="14.25" hidden="true" customHeight="false" outlineLevel="0" collapsed="false">
      <c r="A3880" s="49" t="s">
        <v>2349</v>
      </c>
      <c r="B3880" s="49" t="s">
        <v>2350</v>
      </c>
      <c r="C3880" s="49" t="s">
        <v>7630</v>
      </c>
      <c r="D3880" s="49" t="s">
        <v>2352</v>
      </c>
      <c r="E3880" s="49" t="str">
        <f aca="false">"12464079"</f>
        <v>12464079</v>
      </c>
      <c r="F3880" s="49" t="s">
        <v>4706</v>
      </c>
      <c r="G3880" s="49" t="n">
        <v>0</v>
      </c>
      <c r="H3880" s="0" t="n">
        <v>0</v>
      </c>
      <c r="M3880" s="51" t="s">
        <v>7625</v>
      </c>
      <c r="N3880" s="49" t="n">
        <v>0</v>
      </c>
      <c r="O3880" s="53" t="n">
        <v>45801.607962963</v>
      </c>
      <c r="P3880" s="53" t="n">
        <v>45803.8570717593</v>
      </c>
      <c r="Q3880" s="53" t="n">
        <v>45801.607962963</v>
      </c>
      <c r="R3880" s="0" t="n">
        <v>0</v>
      </c>
      <c r="S3880" s="51" t="s">
        <v>4015</v>
      </c>
      <c r="T3880" s="51" t="s">
        <v>4015</v>
      </c>
      <c r="U3880" s="0" t="str">
        <f aca="false">"12464079"</f>
        <v>12464079</v>
      </c>
      <c r="V3880" s="51" t="s">
        <v>2365</v>
      </c>
      <c r="W3880" s="51" t="s">
        <v>5837</v>
      </c>
      <c r="X3880" s="51" t="s">
        <v>2359</v>
      </c>
    </row>
    <row r="3881" customFormat="false" ht="14.25" hidden="true" customHeight="false" outlineLevel="0" collapsed="false">
      <c r="A3881" s="49" t="s">
        <v>2349</v>
      </c>
      <c r="B3881" s="49" t="s">
        <v>2350</v>
      </c>
      <c r="C3881" s="49" t="s">
        <v>7631</v>
      </c>
      <c r="D3881" s="49" t="s">
        <v>2352</v>
      </c>
      <c r="E3881" s="49" t="str">
        <f aca="false">"12464079"</f>
        <v>12464079</v>
      </c>
      <c r="F3881" s="49" t="s">
        <v>4706</v>
      </c>
      <c r="G3881" s="49" t="n">
        <v>0</v>
      </c>
      <c r="H3881" s="0" t="n">
        <v>0</v>
      </c>
      <c r="M3881" s="51" t="s">
        <v>7625</v>
      </c>
      <c r="N3881" s="49" t="n">
        <v>0</v>
      </c>
      <c r="O3881" s="53" t="n">
        <v>45801.6074884259</v>
      </c>
      <c r="P3881" s="53" t="n">
        <v>45803.8865740741</v>
      </c>
      <c r="Q3881" s="53" t="n">
        <v>45801.6074884259</v>
      </c>
      <c r="R3881" s="0" t="n">
        <v>0</v>
      </c>
      <c r="S3881" s="51" t="s">
        <v>4015</v>
      </c>
      <c r="T3881" s="51" t="s">
        <v>4015</v>
      </c>
      <c r="U3881" s="0" t="str">
        <f aca="false">"12464079"</f>
        <v>12464079</v>
      </c>
      <c r="V3881" s="51" t="s">
        <v>2365</v>
      </c>
      <c r="W3881" s="51" t="s">
        <v>4157</v>
      </c>
      <c r="X3881" s="51" t="s">
        <v>2359</v>
      </c>
    </row>
    <row r="3882" customFormat="false" ht="14.25" hidden="true" customHeight="false" outlineLevel="0" collapsed="false">
      <c r="A3882" s="49" t="s">
        <v>2349</v>
      </c>
      <c r="B3882" s="49" t="s">
        <v>2350</v>
      </c>
      <c r="C3882" s="49" t="s">
        <v>7632</v>
      </c>
      <c r="D3882" s="49" t="s">
        <v>2352</v>
      </c>
      <c r="E3882" s="49" t="str">
        <f aca="false">"12464079"</f>
        <v>12464079</v>
      </c>
      <c r="F3882" s="49" t="s">
        <v>4706</v>
      </c>
      <c r="G3882" s="49" t="n">
        <v>0</v>
      </c>
      <c r="H3882" s="0" t="n">
        <v>0</v>
      </c>
      <c r="M3882" s="51" t="s">
        <v>7625</v>
      </c>
      <c r="N3882" s="49" t="n">
        <v>0</v>
      </c>
      <c r="O3882" s="53" t="n">
        <v>45801.6072569444</v>
      </c>
      <c r="P3882" s="53" t="n">
        <v>45803.8882291667</v>
      </c>
      <c r="Q3882" s="53" t="n">
        <v>45801.6072569444</v>
      </c>
      <c r="R3882" s="0" t="n">
        <v>0</v>
      </c>
      <c r="S3882" s="51" t="s">
        <v>4015</v>
      </c>
      <c r="T3882" s="51" t="s">
        <v>4015</v>
      </c>
      <c r="U3882" s="0" t="str">
        <f aca="false">"12464079"</f>
        <v>12464079</v>
      </c>
      <c r="V3882" s="51" t="s">
        <v>2365</v>
      </c>
      <c r="W3882" s="51" t="s">
        <v>6484</v>
      </c>
      <c r="X3882" s="51" t="s">
        <v>2359</v>
      </c>
    </row>
    <row r="3883" customFormat="false" ht="14.25" hidden="true" customHeight="false" outlineLevel="0" collapsed="false">
      <c r="A3883" s="49" t="s">
        <v>2349</v>
      </c>
      <c r="B3883" s="49" t="s">
        <v>2350</v>
      </c>
      <c r="C3883" s="49" t="s">
        <v>7633</v>
      </c>
      <c r="D3883" s="49" t="s">
        <v>2352</v>
      </c>
      <c r="E3883" s="49" t="str">
        <f aca="false">"12464079"</f>
        <v>12464079</v>
      </c>
      <c r="F3883" s="49" t="s">
        <v>4706</v>
      </c>
      <c r="G3883" s="49" t="n">
        <v>0</v>
      </c>
      <c r="H3883" s="0" t="n">
        <v>0</v>
      </c>
      <c r="M3883" s="51" t="s">
        <v>7625</v>
      </c>
      <c r="N3883" s="49" t="n">
        <v>0</v>
      </c>
      <c r="O3883" s="53" t="n">
        <v>45801.6068402778</v>
      </c>
      <c r="P3883" s="53" t="n">
        <v>45803.7928356482</v>
      </c>
      <c r="Q3883" s="53" t="n">
        <v>45801.6068402778</v>
      </c>
      <c r="R3883" s="0" t="n">
        <v>0</v>
      </c>
      <c r="S3883" s="51" t="s">
        <v>4015</v>
      </c>
      <c r="T3883" s="51" t="s">
        <v>4015</v>
      </c>
      <c r="U3883" s="0" t="str">
        <f aca="false">"12464079"</f>
        <v>12464079</v>
      </c>
      <c r="V3883" s="51" t="s">
        <v>2365</v>
      </c>
      <c r="W3883" s="51" t="s">
        <v>6974</v>
      </c>
      <c r="X3883" s="51" t="s">
        <v>2359</v>
      </c>
    </row>
    <row r="3884" customFormat="false" ht="14.25" hidden="true" customHeight="false" outlineLevel="0" collapsed="false">
      <c r="A3884" s="49" t="s">
        <v>2349</v>
      </c>
      <c r="B3884" s="49" t="s">
        <v>2350</v>
      </c>
      <c r="C3884" s="49" t="s">
        <v>7634</v>
      </c>
      <c r="D3884" s="49" t="s">
        <v>2352</v>
      </c>
      <c r="E3884" s="49" t="str">
        <f aca="false">"12428864"</f>
        <v>12428864</v>
      </c>
      <c r="F3884" s="49" t="s">
        <v>4251</v>
      </c>
      <c r="G3884" s="49" t="n">
        <v>0</v>
      </c>
      <c r="H3884" s="0" t="n">
        <v>0</v>
      </c>
      <c r="M3884" s="51" t="s">
        <v>7625</v>
      </c>
      <c r="N3884" s="49" t="n">
        <v>0</v>
      </c>
      <c r="O3884" s="53" t="n">
        <v>45801.6046064815</v>
      </c>
      <c r="P3884" s="53" t="n">
        <v>45834.8279166667</v>
      </c>
      <c r="Q3884" s="53" t="n">
        <v>45801.6046064815</v>
      </c>
      <c r="R3884" s="0" t="n">
        <v>0</v>
      </c>
      <c r="S3884" s="51" t="s">
        <v>4015</v>
      </c>
      <c r="T3884" s="51" t="s">
        <v>4015</v>
      </c>
      <c r="U3884" s="0" t="str">
        <f aca="false">"12428864"</f>
        <v>12428864</v>
      </c>
      <c r="V3884" s="51" t="s">
        <v>2365</v>
      </c>
      <c r="W3884" s="51" t="s">
        <v>4784</v>
      </c>
      <c r="X3884" s="51" t="s">
        <v>2359</v>
      </c>
    </row>
    <row r="3885" customFormat="false" ht="14.25" hidden="true" customHeight="false" outlineLevel="0" collapsed="false">
      <c r="A3885" s="49" t="s">
        <v>2349</v>
      </c>
      <c r="B3885" s="49" t="s">
        <v>2350</v>
      </c>
      <c r="C3885" s="49" t="s">
        <v>7635</v>
      </c>
      <c r="D3885" s="49" t="s">
        <v>2352</v>
      </c>
      <c r="E3885" s="49" t="str">
        <f aca="false">"12428864"</f>
        <v>12428864</v>
      </c>
      <c r="F3885" s="49" t="s">
        <v>4251</v>
      </c>
      <c r="G3885" s="49" t="n">
        <v>0</v>
      </c>
      <c r="H3885" s="0" t="n">
        <v>0</v>
      </c>
      <c r="M3885" s="51" t="s">
        <v>7625</v>
      </c>
      <c r="N3885" s="49" t="n">
        <v>0</v>
      </c>
      <c r="O3885" s="53" t="n">
        <v>45801.6049421296</v>
      </c>
      <c r="P3885" s="53" t="n">
        <v>45819.860775463</v>
      </c>
      <c r="Q3885" s="53" t="n">
        <v>45801.6049421296</v>
      </c>
      <c r="R3885" s="0" t="n">
        <v>0</v>
      </c>
      <c r="S3885" s="51" t="s">
        <v>4015</v>
      </c>
      <c r="T3885" s="51" t="s">
        <v>4015</v>
      </c>
      <c r="U3885" s="0" t="str">
        <f aca="false">"12428864"</f>
        <v>12428864</v>
      </c>
      <c r="V3885" s="51" t="s">
        <v>2365</v>
      </c>
      <c r="W3885" s="51" t="s">
        <v>4943</v>
      </c>
      <c r="X3885" s="51" t="s">
        <v>2359</v>
      </c>
    </row>
    <row r="3886" customFormat="false" ht="14.25" hidden="true" customHeight="false" outlineLevel="0" collapsed="false">
      <c r="A3886" s="49" t="s">
        <v>2349</v>
      </c>
      <c r="B3886" s="49" t="s">
        <v>2350</v>
      </c>
      <c r="C3886" s="49" t="s">
        <v>7636</v>
      </c>
      <c r="D3886" s="49" t="s">
        <v>2352</v>
      </c>
      <c r="E3886" s="49" t="str">
        <f aca="false">"12428864"</f>
        <v>12428864</v>
      </c>
      <c r="F3886" s="49" t="s">
        <v>4251</v>
      </c>
      <c r="G3886" s="49" t="n">
        <v>0</v>
      </c>
      <c r="H3886" s="0" t="n">
        <v>0</v>
      </c>
      <c r="M3886" s="51" t="s">
        <v>7625</v>
      </c>
      <c r="N3886" s="49" t="n">
        <v>0</v>
      </c>
      <c r="O3886" s="53" t="n">
        <v>45801.6051388889</v>
      </c>
      <c r="P3886" s="53" t="n">
        <v>45805.8782291667</v>
      </c>
      <c r="Q3886" s="53" t="n">
        <v>45801.6051388889</v>
      </c>
      <c r="R3886" s="0" t="n">
        <v>0</v>
      </c>
      <c r="S3886" s="51" t="s">
        <v>4015</v>
      </c>
      <c r="T3886" s="51" t="s">
        <v>4015</v>
      </c>
      <c r="U3886" s="0" t="str">
        <f aca="false">"12428864"</f>
        <v>12428864</v>
      </c>
      <c r="V3886" s="51" t="s">
        <v>2365</v>
      </c>
      <c r="W3886" s="51" t="s">
        <v>6775</v>
      </c>
      <c r="X3886" s="51" t="s">
        <v>2359</v>
      </c>
    </row>
    <row r="3887" customFormat="false" ht="14.25" hidden="true" customHeight="false" outlineLevel="0" collapsed="false">
      <c r="A3887" s="49" t="s">
        <v>2349</v>
      </c>
      <c r="B3887" s="49" t="s">
        <v>2350</v>
      </c>
      <c r="C3887" s="49" t="s">
        <v>7637</v>
      </c>
      <c r="D3887" s="49" t="s">
        <v>2352</v>
      </c>
      <c r="E3887" s="49" t="str">
        <f aca="false">"12428864"</f>
        <v>12428864</v>
      </c>
      <c r="F3887" s="49" t="s">
        <v>4251</v>
      </c>
      <c r="G3887" s="49" t="n">
        <v>0</v>
      </c>
      <c r="H3887" s="0" t="n">
        <v>0</v>
      </c>
      <c r="M3887" s="51" t="s">
        <v>7625</v>
      </c>
      <c r="N3887" s="49" t="n">
        <v>0</v>
      </c>
      <c r="O3887" s="53" t="n">
        <v>45801.6055555556</v>
      </c>
      <c r="P3887" s="53" t="n">
        <v>45805.8758449074</v>
      </c>
      <c r="Q3887" s="53" t="n">
        <v>45801.6055555556</v>
      </c>
      <c r="R3887" s="0" t="n">
        <v>0</v>
      </c>
      <c r="S3887" s="51" t="s">
        <v>4015</v>
      </c>
      <c r="T3887" s="51" t="s">
        <v>4015</v>
      </c>
      <c r="U3887" s="0" t="str">
        <f aca="false">"12428864"</f>
        <v>12428864</v>
      </c>
      <c r="V3887" s="51" t="s">
        <v>2365</v>
      </c>
      <c r="W3887" s="51" t="s">
        <v>4501</v>
      </c>
      <c r="X3887" s="51" t="s">
        <v>2359</v>
      </c>
    </row>
    <row r="3888" customFormat="false" ht="14.25" hidden="true" customHeight="false" outlineLevel="0" collapsed="false">
      <c r="A3888" s="49" t="s">
        <v>2349</v>
      </c>
      <c r="B3888" s="49" t="s">
        <v>2350</v>
      </c>
      <c r="C3888" s="49" t="s">
        <v>7638</v>
      </c>
      <c r="D3888" s="49" t="s">
        <v>2352</v>
      </c>
      <c r="E3888" s="49" t="str">
        <f aca="false">"12428864"</f>
        <v>12428864</v>
      </c>
      <c r="F3888" s="49" t="s">
        <v>4251</v>
      </c>
      <c r="G3888" s="49" t="n">
        <v>0</v>
      </c>
      <c r="H3888" s="0" t="n">
        <v>0</v>
      </c>
      <c r="M3888" s="51" t="s">
        <v>7625</v>
      </c>
      <c r="N3888" s="49" t="n">
        <v>0</v>
      </c>
      <c r="O3888" s="53" t="n">
        <v>45801.6052893519</v>
      </c>
      <c r="P3888" s="53" t="n">
        <v>45805.8773958333</v>
      </c>
      <c r="Q3888" s="53" t="n">
        <v>45801.6052893519</v>
      </c>
      <c r="R3888" s="0" t="n">
        <v>0</v>
      </c>
      <c r="S3888" s="51" t="s">
        <v>4015</v>
      </c>
      <c r="T3888" s="51" t="s">
        <v>4015</v>
      </c>
      <c r="U3888" s="0" t="str">
        <f aca="false">"12428864"</f>
        <v>12428864</v>
      </c>
      <c r="V3888" s="51" t="s">
        <v>2365</v>
      </c>
      <c r="W3888" s="51" t="s">
        <v>7459</v>
      </c>
      <c r="X3888" s="51" t="s">
        <v>2359</v>
      </c>
    </row>
    <row r="3889" customFormat="false" ht="14.25" hidden="true" customHeight="false" outlineLevel="0" collapsed="false">
      <c r="A3889" s="49" t="s">
        <v>2349</v>
      </c>
      <c r="B3889" s="49" t="s">
        <v>2350</v>
      </c>
      <c r="C3889" s="49" t="s">
        <v>7639</v>
      </c>
      <c r="D3889" s="49" t="s">
        <v>2352</v>
      </c>
      <c r="E3889" s="49" t="s">
        <v>4140</v>
      </c>
      <c r="F3889" s="49" t="s">
        <v>4141</v>
      </c>
      <c r="G3889" s="49" t="n">
        <v>0</v>
      </c>
      <c r="H3889" s="0" t="n">
        <v>0</v>
      </c>
      <c r="M3889" s="51" t="s">
        <v>7640</v>
      </c>
      <c r="N3889" s="49" t="n">
        <v>0</v>
      </c>
      <c r="O3889" s="53" t="n">
        <v>45799.5633912037</v>
      </c>
      <c r="P3889" s="53" t="n">
        <v>45808.5345717593</v>
      </c>
      <c r="Q3889" s="53" t="n">
        <v>45799.5633912037</v>
      </c>
      <c r="R3889" s="0" t="n">
        <v>0</v>
      </c>
      <c r="S3889" s="51" t="s">
        <v>2356</v>
      </c>
      <c r="T3889" s="51" t="s">
        <v>2356</v>
      </c>
      <c r="U3889" s="51" t="s">
        <v>4140</v>
      </c>
      <c r="V3889" s="51" t="s">
        <v>3740</v>
      </c>
      <c r="W3889" s="51" t="s">
        <v>5756</v>
      </c>
      <c r="X3889" s="51" t="s">
        <v>2359</v>
      </c>
    </row>
    <row r="3890" customFormat="false" ht="14.25" hidden="true" customHeight="false" outlineLevel="0" collapsed="false">
      <c r="A3890" s="49" t="s">
        <v>2349</v>
      </c>
      <c r="B3890" s="49" t="s">
        <v>2350</v>
      </c>
      <c r="C3890" s="49" t="s">
        <v>7641</v>
      </c>
      <c r="D3890" s="49" t="s">
        <v>2352</v>
      </c>
      <c r="E3890" s="49" t="s">
        <v>4140</v>
      </c>
      <c r="F3890" s="49" t="s">
        <v>4141</v>
      </c>
      <c r="G3890" s="49" t="n">
        <v>0</v>
      </c>
      <c r="H3890" s="0" t="n">
        <v>0</v>
      </c>
      <c r="M3890" s="51" t="s">
        <v>7640</v>
      </c>
      <c r="N3890" s="49" t="n">
        <v>0</v>
      </c>
      <c r="O3890" s="53" t="n">
        <v>45799.5681828704</v>
      </c>
      <c r="P3890" s="53" t="n">
        <v>45808.534375</v>
      </c>
      <c r="Q3890" s="53" t="n">
        <v>45799.5681828704</v>
      </c>
      <c r="R3890" s="0" t="n">
        <v>0</v>
      </c>
      <c r="S3890" s="51" t="s">
        <v>2356</v>
      </c>
      <c r="T3890" s="51" t="s">
        <v>2356</v>
      </c>
      <c r="U3890" s="51" t="s">
        <v>4140</v>
      </c>
      <c r="V3890" s="51" t="s">
        <v>3740</v>
      </c>
      <c r="W3890" s="51" t="s">
        <v>5494</v>
      </c>
      <c r="X3890" s="51" t="s">
        <v>2359</v>
      </c>
    </row>
    <row r="3891" customFormat="false" ht="14.25" hidden="true" customHeight="false" outlineLevel="0" collapsed="false">
      <c r="A3891" s="49" t="s">
        <v>2349</v>
      </c>
      <c r="B3891" s="49" t="s">
        <v>2350</v>
      </c>
      <c r="C3891" s="49" t="s">
        <v>7642</v>
      </c>
      <c r="D3891" s="49" t="s">
        <v>2352</v>
      </c>
      <c r="E3891" s="49" t="s">
        <v>4140</v>
      </c>
      <c r="F3891" s="49" t="s">
        <v>4141</v>
      </c>
      <c r="G3891" s="49" t="n">
        <v>0</v>
      </c>
      <c r="H3891" s="0" t="n">
        <v>0</v>
      </c>
      <c r="M3891" s="51" t="s">
        <v>7640</v>
      </c>
      <c r="N3891" s="49" t="n">
        <v>0</v>
      </c>
      <c r="O3891" s="53" t="n">
        <v>45799.5666550926</v>
      </c>
      <c r="P3891" s="53" t="n">
        <v>45808.5341666667</v>
      </c>
      <c r="Q3891" s="53" t="n">
        <v>45799.5666550926</v>
      </c>
      <c r="R3891" s="0" t="n">
        <v>0</v>
      </c>
      <c r="S3891" s="51" t="s">
        <v>2356</v>
      </c>
      <c r="T3891" s="51" t="s">
        <v>2356</v>
      </c>
      <c r="U3891" s="51" t="s">
        <v>4140</v>
      </c>
      <c r="V3891" s="51" t="s">
        <v>3740</v>
      </c>
      <c r="W3891" s="51" t="s">
        <v>4361</v>
      </c>
      <c r="X3891" s="51" t="s">
        <v>2359</v>
      </c>
    </row>
    <row r="3892" customFormat="false" ht="14.25" hidden="true" customHeight="false" outlineLevel="0" collapsed="false">
      <c r="A3892" s="49" t="s">
        <v>2349</v>
      </c>
      <c r="B3892" s="49" t="s">
        <v>2350</v>
      </c>
      <c r="C3892" s="49" t="s">
        <v>7643</v>
      </c>
      <c r="D3892" s="49" t="s">
        <v>2352</v>
      </c>
      <c r="E3892" s="49" t="s">
        <v>4140</v>
      </c>
      <c r="F3892" s="49" t="s">
        <v>4141</v>
      </c>
      <c r="G3892" s="49" t="n">
        <v>0</v>
      </c>
      <c r="H3892" s="0" t="n">
        <v>0</v>
      </c>
      <c r="M3892" s="51" t="s">
        <v>7640</v>
      </c>
      <c r="N3892" s="49" t="n">
        <v>0</v>
      </c>
      <c r="O3892" s="53" t="n">
        <v>45799.5652893519</v>
      </c>
      <c r="P3892" s="53" t="n">
        <v>45808.5344907407</v>
      </c>
      <c r="Q3892" s="53" t="n">
        <v>45799.5652893519</v>
      </c>
      <c r="R3892" s="0" t="n">
        <v>0</v>
      </c>
      <c r="S3892" s="51" t="s">
        <v>2356</v>
      </c>
      <c r="T3892" s="51" t="s">
        <v>2356</v>
      </c>
      <c r="U3892" s="51" t="s">
        <v>4140</v>
      </c>
      <c r="V3892" s="51" t="s">
        <v>3740</v>
      </c>
      <c r="W3892" s="51" t="s">
        <v>4160</v>
      </c>
      <c r="X3892" s="51" t="s">
        <v>2359</v>
      </c>
    </row>
    <row r="3893" customFormat="false" ht="14.25" hidden="true" customHeight="false" outlineLevel="0" collapsed="false">
      <c r="A3893" s="49" t="s">
        <v>2349</v>
      </c>
      <c r="B3893" s="49" t="s">
        <v>2350</v>
      </c>
      <c r="C3893" s="49" t="s">
        <v>7644</v>
      </c>
      <c r="D3893" s="49" t="s">
        <v>2352</v>
      </c>
      <c r="E3893" s="49" t="s">
        <v>4140</v>
      </c>
      <c r="F3893" s="49" t="s">
        <v>4141</v>
      </c>
      <c r="G3893" s="49" t="n">
        <v>0</v>
      </c>
      <c r="H3893" s="0" t="n">
        <v>0</v>
      </c>
      <c r="M3893" s="51" t="s">
        <v>7640</v>
      </c>
      <c r="N3893" s="49" t="n">
        <v>0</v>
      </c>
      <c r="O3893" s="53" t="n">
        <v>45799.5628125</v>
      </c>
      <c r="P3893" s="53" t="n">
        <v>45808.5339814815</v>
      </c>
      <c r="Q3893" s="53" t="n">
        <v>45799.5628125</v>
      </c>
      <c r="R3893" s="0" t="n">
        <v>0</v>
      </c>
      <c r="S3893" s="51" t="s">
        <v>2356</v>
      </c>
      <c r="T3893" s="51" t="s">
        <v>2356</v>
      </c>
      <c r="U3893" s="51" t="s">
        <v>4140</v>
      </c>
      <c r="V3893" s="51" t="s">
        <v>3740</v>
      </c>
      <c r="W3893" s="51" t="s">
        <v>4144</v>
      </c>
      <c r="X3893" s="51" t="s">
        <v>2359</v>
      </c>
    </row>
    <row r="3894" customFormat="false" ht="14.25" hidden="true" customHeight="false" outlineLevel="0" collapsed="false">
      <c r="A3894" s="49" t="s">
        <v>2349</v>
      </c>
      <c r="B3894" s="49" t="s">
        <v>2350</v>
      </c>
      <c r="C3894" s="49" t="s">
        <v>7645</v>
      </c>
      <c r="D3894" s="49" t="s">
        <v>2352</v>
      </c>
      <c r="E3894" s="49" t="s">
        <v>4140</v>
      </c>
      <c r="F3894" s="49" t="s">
        <v>4141</v>
      </c>
      <c r="G3894" s="49" t="n">
        <v>0</v>
      </c>
      <c r="H3894" s="0" t="n">
        <v>0</v>
      </c>
      <c r="M3894" s="51" t="s">
        <v>7640</v>
      </c>
      <c r="N3894" s="49" t="n">
        <v>0</v>
      </c>
      <c r="O3894" s="53" t="n">
        <v>45799.5626273148</v>
      </c>
      <c r="P3894" s="53" t="n">
        <v>45808.5346875</v>
      </c>
      <c r="Q3894" s="53" t="n">
        <v>45799.5626273148</v>
      </c>
      <c r="R3894" s="0" t="n">
        <v>0</v>
      </c>
      <c r="S3894" s="51" t="s">
        <v>2356</v>
      </c>
      <c r="T3894" s="51" t="s">
        <v>2356</v>
      </c>
      <c r="U3894" s="51" t="s">
        <v>4140</v>
      </c>
      <c r="V3894" s="51" t="s">
        <v>3740</v>
      </c>
      <c r="W3894" s="51" t="s">
        <v>5492</v>
      </c>
      <c r="X3894" s="51" t="s">
        <v>2359</v>
      </c>
    </row>
    <row r="3895" customFormat="false" ht="14.25" hidden="true" customHeight="false" outlineLevel="0" collapsed="false">
      <c r="A3895" s="49" t="s">
        <v>2349</v>
      </c>
      <c r="B3895" s="49" t="s">
        <v>2350</v>
      </c>
      <c r="C3895" s="49" t="s">
        <v>7646</v>
      </c>
      <c r="D3895" s="49" t="s">
        <v>2352</v>
      </c>
      <c r="E3895" s="49" t="s">
        <v>4140</v>
      </c>
      <c r="F3895" s="49" t="s">
        <v>4141</v>
      </c>
      <c r="G3895" s="49" t="n">
        <v>0</v>
      </c>
      <c r="H3895" s="0" t="n">
        <v>0</v>
      </c>
      <c r="M3895" s="51" t="s">
        <v>7640</v>
      </c>
      <c r="N3895" s="49" t="n">
        <v>0</v>
      </c>
      <c r="O3895" s="53" t="n">
        <v>45799.5609606481</v>
      </c>
      <c r="P3895" s="53" t="n">
        <v>45808.5346296296</v>
      </c>
      <c r="Q3895" s="53" t="n">
        <v>45799.5609606481</v>
      </c>
      <c r="R3895" s="0" t="n">
        <v>0</v>
      </c>
      <c r="S3895" s="51" t="s">
        <v>2356</v>
      </c>
      <c r="T3895" s="51" t="s">
        <v>2356</v>
      </c>
      <c r="U3895" s="51" t="s">
        <v>4140</v>
      </c>
      <c r="V3895" s="51" t="s">
        <v>3740</v>
      </c>
      <c r="W3895" s="51" t="s">
        <v>7306</v>
      </c>
      <c r="X3895" s="51" t="s">
        <v>2359</v>
      </c>
    </row>
    <row r="3896" customFormat="false" ht="14.25" hidden="true" customHeight="false" outlineLevel="0" collapsed="false">
      <c r="A3896" s="49" t="s">
        <v>2349</v>
      </c>
      <c r="B3896" s="49" t="s">
        <v>2350</v>
      </c>
      <c r="C3896" s="49" t="s">
        <v>7647</v>
      </c>
      <c r="D3896" s="49" t="s">
        <v>2352</v>
      </c>
      <c r="E3896" s="49" t="s">
        <v>4140</v>
      </c>
      <c r="F3896" s="49" t="s">
        <v>4141</v>
      </c>
      <c r="G3896" s="49" t="n">
        <v>0</v>
      </c>
      <c r="H3896" s="0" t="n">
        <v>0</v>
      </c>
      <c r="M3896" s="51" t="s">
        <v>7640</v>
      </c>
      <c r="N3896" s="49" t="n">
        <v>0</v>
      </c>
      <c r="O3896" s="53" t="n">
        <v>45799.5611342593</v>
      </c>
      <c r="P3896" s="53" t="n">
        <v>45808.5338657407</v>
      </c>
      <c r="Q3896" s="53" t="n">
        <v>45799.5611342593</v>
      </c>
      <c r="R3896" s="0" t="n">
        <v>0</v>
      </c>
      <c r="S3896" s="51" t="s">
        <v>2356</v>
      </c>
      <c r="T3896" s="51" t="s">
        <v>2356</v>
      </c>
      <c r="U3896" s="51" t="s">
        <v>4140</v>
      </c>
      <c r="V3896" s="51" t="s">
        <v>3740</v>
      </c>
      <c r="W3896" s="51" t="s">
        <v>7296</v>
      </c>
      <c r="X3896" s="51" t="s">
        <v>2359</v>
      </c>
    </row>
    <row r="3897" customFormat="false" ht="14.25" hidden="true" customHeight="false" outlineLevel="0" collapsed="false">
      <c r="A3897" s="49" t="s">
        <v>2349</v>
      </c>
      <c r="B3897" s="49" t="s">
        <v>2350</v>
      </c>
      <c r="C3897" s="49" t="s">
        <v>7648</v>
      </c>
      <c r="D3897" s="49" t="s">
        <v>2352</v>
      </c>
      <c r="E3897" s="49" t="s">
        <v>4140</v>
      </c>
      <c r="F3897" s="49" t="s">
        <v>4141</v>
      </c>
      <c r="G3897" s="49" t="n">
        <v>0</v>
      </c>
      <c r="H3897" s="0" t="n">
        <v>0</v>
      </c>
      <c r="M3897" s="51" t="s">
        <v>7640</v>
      </c>
      <c r="N3897" s="49" t="n">
        <v>0</v>
      </c>
      <c r="O3897" s="53" t="n">
        <v>45799.5612731481</v>
      </c>
      <c r="P3897" s="53" t="n">
        <v>45808.5338078704</v>
      </c>
      <c r="Q3897" s="53" t="n">
        <v>45799.5612731481</v>
      </c>
      <c r="R3897" s="0" t="n">
        <v>0</v>
      </c>
      <c r="S3897" s="51" t="s">
        <v>2356</v>
      </c>
      <c r="T3897" s="51" t="s">
        <v>2356</v>
      </c>
      <c r="U3897" s="51" t="s">
        <v>4140</v>
      </c>
      <c r="V3897" s="51" t="s">
        <v>3740</v>
      </c>
      <c r="W3897" s="51" t="s">
        <v>7265</v>
      </c>
      <c r="X3897" s="51" t="s">
        <v>2359</v>
      </c>
    </row>
    <row r="3898" customFormat="false" ht="14.25" hidden="true" customHeight="false" outlineLevel="0" collapsed="false">
      <c r="A3898" s="49" t="s">
        <v>2349</v>
      </c>
      <c r="B3898" s="49" t="s">
        <v>2350</v>
      </c>
      <c r="C3898" s="49" t="s">
        <v>7649</v>
      </c>
      <c r="D3898" s="49" t="s">
        <v>2352</v>
      </c>
      <c r="E3898" s="49" t="s">
        <v>4140</v>
      </c>
      <c r="F3898" s="49" t="s">
        <v>4141</v>
      </c>
      <c r="G3898" s="49" t="n">
        <v>0</v>
      </c>
      <c r="H3898" s="0" t="n">
        <v>0</v>
      </c>
      <c r="M3898" s="51" t="s">
        <v>7640</v>
      </c>
      <c r="N3898" s="49" t="n">
        <v>0</v>
      </c>
      <c r="O3898" s="53" t="n">
        <v>45799.5614583333</v>
      </c>
      <c r="P3898" s="53" t="n">
        <v>45808.5335763889</v>
      </c>
      <c r="Q3898" s="53" t="n">
        <v>45799.5614583333</v>
      </c>
      <c r="R3898" s="0" t="n">
        <v>0</v>
      </c>
      <c r="S3898" s="51" t="s">
        <v>2356</v>
      </c>
      <c r="T3898" s="51" t="s">
        <v>2356</v>
      </c>
      <c r="U3898" s="51" t="s">
        <v>4140</v>
      </c>
      <c r="V3898" s="51" t="s">
        <v>3740</v>
      </c>
      <c r="W3898" s="51" t="s">
        <v>7258</v>
      </c>
      <c r="X3898" s="51" t="s">
        <v>2359</v>
      </c>
    </row>
    <row r="3899" customFormat="false" ht="14.25" hidden="true" customHeight="false" outlineLevel="0" collapsed="false">
      <c r="A3899" s="49" t="s">
        <v>2349</v>
      </c>
      <c r="B3899" s="49" t="s">
        <v>2350</v>
      </c>
      <c r="C3899" s="49" t="s">
        <v>7650</v>
      </c>
      <c r="D3899" s="49" t="s">
        <v>2352</v>
      </c>
      <c r="E3899" s="49" t="s">
        <v>4140</v>
      </c>
      <c r="F3899" s="49" t="s">
        <v>4141</v>
      </c>
      <c r="G3899" s="49" t="n">
        <v>0</v>
      </c>
      <c r="H3899" s="0" t="n">
        <v>0</v>
      </c>
      <c r="M3899" s="51" t="s">
        <v>7640</v>
      </c>
      <c r="N3899" s="49" t="n">
        <v>0</v>
      </c>
      <c r="O3899" s="53" t="n">
        <v>45799.5616666667</v>
      </c>
      <c r="P3899" s="53" t="n">
        <v>45808.5344328704</v>
      </c>
      <c r="Q3899" s="53" t="n">
        <v>45799.5616666667</v>
      </c>
      <c r="R3899" s="0" t="n">
        <v>0</v>
      </c>
      <c r="S3899" s="51" t="s">
        <v>2356</v>
      </c>
      <c r="T3899" s="51" t="s">
        <v>2356</v>
      </c>
      <c r="U3899" s="51" t="s">
        <v>4140</v>
      </c>
      <c r="V3899" s="51" t="s">
        <v>3740</v>
      </c>
      <c r="W3899" s="51" t="s">
        <v>4152</v>
      </c>
      <c r="X3899" s="51" t="s">
        <v>2359</v>
      </c>
    </row>
    <row r="3900" customFormat="false" ht="14.25" hidden="true" customHeight="false" outlineLevel="0" collapsed="false">
      <c r="A3900" s="49" t="s">
        <v>2349</v>
      </c>
      <c r="B3900" s="49" t="s">
        <v>2350</v>
      </c>
      <c r="C3900" s="49" t="s">
        <v>7651</v>
      </c>
      <c r="D3900" s="49" t="s">
        <v>2352</v>
      </c>
      <c r="E3900" s="49" t="s">
        <v>4140</v>
      </c>
      <c r="F3900" s="49" t="s">
        <v>4141</v>
      </c>
      <c r="G3900" s="49" t="n">
        <v>0</v>
      </c>
      <c r="H3900" s="0" t="n">
        <v>0</v>
      </c>
      <c r="M3900" s="51" t="s">
        <v>7640</v>
      </c>
      <c r="N3900" s="49" t="n">
        <v>0</v>
      </c>
      <c r="O3900" s="53" t="n">
        <v>45799.5618402778</v>
      </c>
      <c r="P3900" s="53" t="n">
        <v>45808.5339236111</v>
      </c>
      <c r="Q3900" s="53" t="n">
        <v>45799.5618402778</v>
      </c>
      <c r="R3900" s="0" t="n">
        <v>0</v>
      </c>
      <c r="S3900" s="51" t="s">
        <v>2356</v>
      </c>
      <c r="T3900" s="51" t="s">
        <v>2356</v>
      </c>
      <c r="U3900" s="51" t="s">
        <v>4140</v>
      </c>
      <c r="V3900" s="51" t="s">
        <v>3740</v>
      </c>
      <c r="W3900" s="51" t="s">
        <v>4594</v>
      </c>
      <c r="X3900" s="51" t="s">
        <v>2359</v>
      </c>
    </row>
    <row r="3901" customFormat="false" ht="14.25" hidden="true" customHeight="false" outlineLevel="0" collapsed="false">
      <c r="A3901" s="49" t="s">
        <v>2349</v>
      </c>
      <c r="B3901" s="49" t="s">
        <v>2350</v>
      </c>
      <c r="C3901" s="49" t="s">
        <v>7652</v>
      </c>
      <c r="D3901" s="49" t="s">
        <v>2352</v>
      </c>
      <c r="E3901" s="49" t="s">
        <v>4140</v>
      </c>
      <c r="F3901" s="49" t="s">
        <v>4141</v>
      </c>
      <c r="G3901" s="49" t="n">
        <v>0</v>
      </c>
      <c r="H3901" s="0" t="n">
        <v>0</v>
      </c>
      <c r="M3901" s="51" t="s">
        <v>7640</v>
      </c>
      <c r="N3901" s="49" t="n">
        <v>0</v>
      </c>
      <c r="O3901" s="53" t="n">
        <v>45799.5619791667</v>
      </c>
      <c r="P3901" s="53" t="n">
        <v>45808.5347569444</v>
      </c>
      <c r="Q3901" s="53" t="n">
        <v>45799.5619791667</v>
      </c>
      <c r="R3901" s="0" t="n">
        <v>0</v>
      </c>
      <c r="S3901" s="51" t="s">
        <v>2356</v>
      </c>
      <c r="T3901" s="51" t="s">
        <v>2356</v>
      </c>
      <c r="U3901" s="51" t="s">
        <v>4140</v>
      </c>
      <c r="V3901" s="51" t="s">
        <v>3740</v>
      </c>
      <c r="W3901" s="51" t="s">
        <v>5919</v>
      </c>
      <c r="X3901" s="51" t="s">
        <v>2359</v>
      </c>
    </row>
    <row r="3902" customFormat="false" ht="14.25" hidden="true" customHeight="false" outlineLevel="0" collapsed="false">
      <c r="A3902" s="49" t="s">
        <v>2349</v>
      </c>
      <c r="B3902" s="49" t="s">
        <v>2350</v>
      </c>
      <c r="C3902" s="49" t="s">
        <v>7653</v>
      </c>
      <c r="D3902" s="49" t="s">
        <v>2352</v>
      </c>
      <c r="E3902" s="49" t="s">
        <v>4140</v>
      </c>
      <c r="F3902" s="49" t="s">
        <v>4141</v>
      </c>
      <c r="G3902" s="49" t="n">
        <v>0</v>
      </c>
      <c r="H3902" s="0" t="n">
        <v>0</v>
      </c>
      <c r="M3902" s="51" t="s">
        <v>7640</v>
      </c>
      <c r="N3902" s="49" t="n">
        <v>0</v>
      </c>
      <c r="O3902" s="53" t="n">
        <v>45799.5621180556</v>
      </c>
      <c r="P3902" s="53" t="n">
        <v>45808.5334259259</v>
      </c>
      <c r="Q3902" s="53" t="n">
        <v>45799.5621180556</v>
      </c>
      <c r="R3902" s="0" t="n">
        <v>0</v>
      </c>
      <c r="S3902" s="51" t="s">
        <v>2356</v>
      </c>
      <c r="T3902" s="51" t="s">
        <v>2356</v>
      </c>
      <c r="U3902" s="51" t="s">
        <v>4140</v>
      </c>
      <c r="V3902" s="51" t="s">
        <v>3740</v>
      </c>
      <c r="W3902" s="51" t="s">
        <v>4611</v>
      </c>
      <c r="X3902" s="51" t="s">
        <v>2359</v>
      </c>
    </row>
    <row r="3903" customFormat="false" ht="14.25" hidden="true" customHeight="false" outlineLevel="0" collapsed="false">
      <c r="A3903" s="49" t="s">
        <v>2349</v>
      </c>
      <c r="B3903" s="49" t="s">
        <v>2350</v>
      </c>
      <c r="C3903" s="49" t="s">
        <v>7654</v>
      </c>
      <c r="D3903" s="49" t="s">
        <v>2352</v>
      </c>
      <c r="E3903" s="49" t="s">
        <v>4140</v>
      </c>
      <c r="F3903" s="49" t="s">
        <v>4141</v>
      </c>
      <c r="G3903" s="49" t="n">
        <v>0</v>
      </c>
      <c r="H3903" s="0" t="n">
        <v>0</v>
      </c>
      <c r="M3903" s="51" t="s">
        <v>7640</v>
      </c>
      <c r="N3903" s="49" t="n">
        <v>0</v>
      </c>
      <c r="O3903" s="53" t="n">
        <v>45799.5622222222</v>
      </c>
      <c r="P3903" s="53" t="n">
        <v>45808.53375</v>
      </c>
      <c r="Q3903" s="53" t="n">
        <v>45799.5622222222</v>
      </c>
      <c r="R3903" s="0" t="n">
        <v>0</v>
      </c>
      <c r="S3903" s="51" t="s">
        <v>2356</v>
      </c>
      <c r="T3903" s="51" t="s">
        <v>2356</v>
      </c>
      <c r="U3903" s="51" t="s">
        <v>4140</v>
      </c>
      <c r="V3903" s="51" t="s">
        <v>3740</v>
      </c>
      <c r="W3903" s="51" t="s">
        <v>4607</v>
      </c>
      <c r="X3903" s="51" t="s">
        <v>2359</v>
      </c>
    </row>
    <row r="3904" customFormat="false" ht="14.25" hidden="true" customHeight="false" outlineLevel="0" collapsed="false">
      <c r="A3904" s="49" t="s">
        <v>2349</v>
      </c>
      <c r="B3904" s="49" t="s">
        <v>2350</v>
      </c>
      <c r="C3904" s="49" t="s">
        <v>7655</v>
      </c>
      <c r="D3904" s="49" t="s">
        <v>2352</v>
      </c>
      <c r="E3904" s="49" t="s">
        <v>4140</v>
      </c>
      <c r="F3904" s="49" t="s">
        <v>4141</v>
      </c>
      <c r="G3904" s="49" t="n">
        <v>0</v>
      </c>
      <c r="H3904" s="0" t="n">
        <v>0</v>
      </c>
      <c r="M3904" s="51" t="s">
        <v>7640</v>
      </c>
      <c r="N3904" s="49" t="n">
        <v>0</v>
      </c>
      <c r="O3904" s="53" t="n">
        <v>45799.5637268519</v>
      </c>
      <c r="P3904" s="53" t="n">
        <v>45808.5343055556</v>
      </c>
      <c r="Q3904" s="53" t="n">
        <v>45799.5637268519</v>
      </c>
      <c r="R3904" s="0" t="n">
        <v>0</v>
      </c>
      <c r="S3904" s="51" t="s">
        <v>2356</v>
      </c>
      <c r="T3904" s="51" t="s">
        <v>2356</v>
      </c>
      <c r="U3904" s="51" t="s">
        <v>4140</v>
      </c>
      <c r="V3904" s="51" t="s">
        <v>3740</v>
      </c>
      <c r="W3904" s="51" t="s">
        <v>5494</v>
      </c>
      <c r="X3904" s="51" t="s">
        <v>2359</v>
      </c>
    </row>
    <row r="3905" customFormat="false" ht="14.25" hidden="true" customHeight="false" outlineLevel="0" collapsed="false">
      <c r="A3905" s="49" t="s">
        <v>2349</v>
      </c>
      <c r="B3905" s="49" t="s">
        <v>2350</v>
      </c>
      <c r="C3905" s="49" t="s">
        <v>7656</v>
      </c>
      <c r="D3905" s="49" t="s">
        <v>2352</v>
      </c>
      <c r="E3905" s="49" t="s">
        <v>2353</v>
      </c>
      <c r="F3905" s="49" t="s">
        <v>2354</v>
      </c>
      <c r="G3905" s="49" t="n">
        <v>0</v>
      </c>
      <c r="H3905" s="0" t="n">
        <v>0</v>
      </c>
      <c r="M3905" s="51" t="s">
        <v>7657</v>
      </c>
      <c r="N3905" s="49" t="n">
        <v>0</v>
      </c>
      <c r="O3905" s="53" t="n">
        <v>45783.6171064815</v>
      </c>
      <c r="P3905" s="53" t="n">
        <v>45803.6243865741</v>
      </c>
      <c r="Q3905" s="53" t="n">
        <v>45783.6171064815</v>
      </c>
      <c r="R3905" s="0" t="n">
        <v>0</v>
      </c>
      <c r="S3905" s="51" t="s">
        <v>2356</v>
      </c>
      <c r="T3905" s="51" t="s">
        <v>2356</v>
      </c>
      <c r="U3905" s="51" t="s">
        <v>2353</v>
      </c>
      <c r="V3905" s="51" t="s">
        <v>2357</v>
      </c>
      <c r="W3905" s="51" t="s">
        <v>4486</v>
      </c>
      <c r="X3905" s="51" t="s">
        <v>2359</v>
      </c>
    </row>
    <row r="3906" customFormat="false" ht="14.25" hidden="true" customHeight="false" outlineLevel="0" collapsed="false">
      <c r="A3906" s="49" t="s">
        <v>2349</v>
      </c>
      <c r="B3906" s="49" t="s">
        <v>2350</v>
      </c>
      <c r="C3906" s="49" t="s">
        <v>7658</v>
      </c>
      <c r="D3906" s="49" t="s">
        <v>2352</v>
      </c>
      <c r="E3906" s="49" t="s">
        <v>4148</v>
      </c>
      <c r="F3906" s="49" t="s">
        <v>4149</v>
      </c>
      <c r="G3906" s="49" t="n">
        <v>0</v>
      </c>
      <c r="H3906" s="0" t="n">
        <v>0</v>
      </c>
      <c r="M3906" s="51" t="s">
        <v>7659</v>
      </c>
      <c r="N3906" s="49" t="n">
        <v>0</v>
      </c>
      <c r="O3906" s="53" t="n">
        <v>45788.3755439815</v>
      </c>
      <c r="P3906" s="53" t="n">
        <v>45789.588900463</v>
      </c>
      <c r="Q3906" s="53" t="n">
        <v>45788.3755439815</v>
      </c>
      <c r="R3906" s="0" t="n">
        <v>0</v>
      </c>
      <c r="S3906" s="51" t="s">
        <v>2356</v>
      </c>
      <c r="T3906" s="51" t="s">
        <v>2356</v>
      </c>
      <c r="U3906" s="51" t="s">
        <v>4148</v>
      </c>
      <c r="V3906" s="51" t="s">
        <v>2365</v>
      </c>
      <c r="W3906" s="51" t="s">
        <v>4010</v>
      </c>
      <c r="X3906" s="51" t="s">
        <v>2359</v>
      </c>
    </row>
    <row r="3907" customFormat="false" ht="14.25" hidden="true" customHeight="false" outlineLevel="0" collapsed="false">
      <c r="A3907" s="49" t="s">
        <v>2349</v>
      </c>
      <c r="B3907" s="49" t="s">
        <v>2350</v>
      </c>
      <c r="C3907" s="49" t="s">
        <v>7660</v>
      </c>
      <c r="D3907" s="49" t="s">
        <v>2352</v>
      </c>
      <c r="E3907" s="49" t="s">
        <v>4148</v>
      </c>
      <c r="F3907" s="49" t="s">
        <v>4149</v>
      </c>
      <c r="G3907" s="49" t="n">
        <v>0</v>
      </c>
      <c r="H3907" s="0" t="n">
        <v>0</v>
      </c>
      <c r="M3907" s="51" t="s">
        <v>7659</v>
      </c>
      <c r="N3907" s="49" t="n">
        <v>0</v>
      </c>
      <c r="O3907" s="53" t="n">
        <v>45788.3757060185</v>
      </c>
      <c r="P3907" s="53" t="n">
        <v>45789.5882060185</v>
      </c>
      <c r="Q3907" s="53" t="n">
        <v>45788.3757060185</v>
      </c>
      <c r="R3907" s="0" t="n">
        <v>0</v>
      </c>
      <c r="S3907" s="51" t="s">
        <v>2356</v>
      </c>
      <c r="T3907" s="51" t="s">
        <v>2356</v>
      </c>
      <c r="U3907" s="51" t="s">
        <v>4148</v>
      </c>
      <c r="V3907" s="51" t="s">
        <v>2365</v>
      </c>
      <c r="W3907" s="51" t="s">
        <v>7661</v>
      </c>
      <c r="X3907" s="51" t="s">
        <v>2359</v>
      </c>
    </row>
    <row r="3908" customFormat="false" ht="14.25" hidden="true" customHeight="false" outlineLevel="0" collapsed="false">
      <c r="A3908" s="49" t="s">
        <v>2349</v>
      </c>
      <c r="B3908" s="49" t="s">
        <v>2350</v>
      </c>
      <c r="C3908" s="49" t="s">
        <v>7662</v>
      </c>
      <c r="D3908" s="49" t="s">
        <v>2352</v>
      </c>
      <c r="E3908" s="49" t="s">
        <v>4124</v>
      </c>
      <c r="F3908" s="49" t="s">
        <v>4125</v>
      </c>
      <c r="G3908" s="49" t="n">
        <v>0</v>
      </c>
      <c r="H3908" s="0" t="n">
        <v>0</v>
      </c>
      <c r="M3908" s="51" t="s">
        <v>7659</v>
      </c>
      <c r="N3908" s="49" t="n">
        <v>0</v>
      </c>
      <c r="O3908" s="53" t="n">
        <v>45788.3734027778</v>
      </c>
      <c r="P3908" s="53" t="n">
        <v>45799.642650463</v>
      </c>
      <c r="Q3908" s="53" t="n">
        <v>45788.3734027778</v>
      </c>
      <c r="R3908" s="0" t="n">
        <v>0</v>
      </c>
      <c r="S3908" s="51" t="s">
        <v>2356</v>
      </c>
      <c r="T3908" s="51" t="s">
        <v>2356</v>
      </c>
      <c r="U3908" s="51" t="s">
        <v>4124</v>
      </c>
      <c r="V3908" s="51" t="s">
        <v>2365</v>
      </c>
      <c r="W3908" s="51" t="s">
        <v>5744</v>
      </c>
      <c r="X3908" s="51" t="s">
        <v>2359</v>
      </c>
    </row>
    <row r="3909" customFormat="false" ht="14.25" hidden="true" customHeight="false" outlineLevel="0" collapsed="false">
      <c r="A3909" s="49" t="s">
        <v>2349</v>
      </c>
      <c r="B3909" s="49" t="s">
        <v>2350</v>
      </c>
      <c r="C3909" s="49" t="s">
        <v>7663</v>
      </c>
      <c r="D3909" s="49" t="s">
        <v>2352</v>
      </c>
      <c r="E3909" s="49" t="s">
        <v>4124</v>
      </c>
      <c r="F3909" s="49" t="s">
        <v>4125</v>
      </c>
      <c r="G3909" s="49" t="n">
        <v>0</v>
      </c>
      <c r="H3909" s="0" t="n">
        <v>0</v>
      </c>
      <c r="M3909" s="51" t="s">
        <v>7659</v>
      </c>
      <c r="N3909" s="49" t="n">
        <v>0</v>
      </c>
      <c r="O3909" s="53" t="n">
        <v>45788.3736458333</v>
      </c>
      <c r="P3909" s="53" t="n">
        <v>45789.5886689815</v>
      </c>
      <c r="Q3909" s="53" t="n">
        <v>45788.3736458333</v>
      </c>
      <c r="R3909" s="0" t="n">
        <v>0</v>
      </c>
      <c r="S3909" s="51" t="s">
        <v>2356</v>
      </c>
      <c r="T3909" s="51" t="s">
        <v>2356</v>
      </c>
      <c r="U3909" s="51" t="s">
        <v>4124</v>
      </c>
      <c r="V3909" s="51" t="s">
        <v>2365</v>
      </c>
      <c r="W3909" s="51" t="s">
        <v>7405</v>
      </c>
      <c r="X3909" s="51" t="s">
        <v>2359</v>
      </c>
    </row>
    <row r="3910" customFormat="false" ht="14.25" hidden="true" customHeight="false" outlineLevel="0" collapsed="false">
      <c r="A3910" s="49" t="s">
        <v>2349</v>
      </c>
      <c r="B3910" s="49" t="s">
        <v>2350</v>
      </c>
      <c r="C3910" s="49" t="s">
        <v>7664</v>
      </c>
      <c r="D3910" s="49" t="s">
        <v>2352</v>
      </c>
      <c r="E3910" s="49" t="s">
        <v>4124</v>
      </c>
      <c r="F3910" s="49" t="s">
        <v>4125</v>
      </c>
      <c r="G3910" s="49" t="n">
        <v>0</v>
      </c>
      <c r="H3910" s="0" t="n">
        <v>0</v>
      </c>
      <c r="M3910" s="51" t="s">
        <v>7659</v>
      </c>
      <c r="N3910" s="49" t="n">
        <v>0</v>
      </c>
      <c r="O3910" s="53" t="n">
        <v>45788.3738425926</v>
      </c>
      <c r="P3910" s="53" t="n">
        <v>45789.588587963</v>
      </c>
      <c r="Q3910" s="53" t="n">
        <v>45788.3738425926</v>
      </c>
      <c r="R3910" s="0" t="n">
        <v>0</v>
      </c>
      <c r="S3910" s="51" t="s">
        <v>2356</v>
      </c>
      <c r="T3910" s="51" t="s">
        <v>2356</v>
      </c>
      <c r="U3910" s="51" t="s">
        <v>4124</v>
      </c>
      <c r="V3910" s="51" t="s">
        <v>2365</v>
      </c>
      <c r="W3910" s="51" t="s">
        <v>7428</v>
      </c>
      <c r="X3910" s="51" t="s">
        <v>2359</v>
      </c>
    </row>
    <row r="3911" customFormat="false" ht="14.25" hidden="true" customHeight="false" outlineLevel="0" collapsed="false">
      <c r="A3911" s="49" t="s">
        <v>2349</v>
      </c>
      <c r="B3911" s="49" t="s">
        <v>2350</v>
      </c>
      <c r="C3911" s="49" t="s">
        <v>7665</v>
      </c>
      <c r="D3911" s="49" t="s">
        <v>2352</v>
      </c>
      <c r="E3911" s="49" t="s">
        <v>4124</v>
      </c>
      <c r="F3911" s="49" t="s">
        <v>4125</v>
      </c>
      <c r="G3911" s="49" t="n">
        <v>0</v>
      </c>
      <c r="H3911" s="0" t="n">
        <v>0</v>
      </c>
      <c r="M3911" s="51" t="s">
        <v>7659</v>
      </c>
      <c r="N3911" s="49" t="n">
        <v>0</v>
      </c>
      <c r="O3911" s="53" t="n">
        <v>45788.3740740741</v>
      </c>
      <c r="P3911" s="53" t="n">
        <v>45799.6425925926</v>
      </c>
      <c r="Q3911" s="53" t="n">
        <v>45788.3740740741</v>
      </c>
      <c r="R3911" s="0" t="n">
        <v>0</v>
      </c>
      <c r="S3911" s="51" t="s">
        <v>2356</v>
      </c>
      <c r="T3911" s="51" t="s">
        <v>2356</v>
      </c>
      <c r="U3911" s="51" t="s">
        <v>4124</v>
      </c>
      <c r="V3911" s="51" t="s">
        <v>2365</v>
      </c>
      <c r="W3911" s="51" t="s">
        <v>4927</v>
      </c>
      <c r="X3911" s="51" t="s">
        <v>2359</v>
      </c>
    </row>
    <row r="3912" customFormat="false" ht="14.25" hidden="true" customHeight="false" outlineLevel="0" collapsed="false">
      <c r="A3912" s="49" t="s">
        <v>2349</v>
      </c>
      <c r="B3912" s="49" t="s">
        <v>2350</v>
      </c>
      <c r="C3912" s="49" t="s">
        <v>7666</v>
      </c>
      <c r="D3912" s="49" t="s">
        <v>2352</v>
      </c>
      <c r="E3912" s="49" t="s">
        <v>4124</v>
      </c>
      <c r="F3912" s="49" t="s">
        <v>4125</v>
      </c>
      <c r="G3912" s="49" t="n">
        <v>0</v>
      </c>
      <c r="H3912" s="0" t="n">
        <v>0</v>
      </c>
      <c r="M3912" s="51" t="s">
        <v>7659</v>
      </c>
      <c r="N3912" s="49" t="n">
        <v>0</v>
      </c>
      <c r="O3912" s="53" t="n">
        <v>45788.3742361111</v>
      </c>
      <c r="P3912" s="53" t="n">
        <v>45789.5884953704</v>
      </c>
      <c r="Q3912" s="53" t="n">
        <v>45788.3742361111</v>
      </c>
      <c r="R3912" s="0" t="n">
        <v>0</v>
      </c>
      <c r="S3912" s="51" t="s">
        <v>2356</v>
      </c>
      <c r="T3912" s="51" t="s">
        <v>2356</v>
      </c>
      <c r="U3912" s="51" t="s">
        <v>4124</v>
      </c>
      <c r="V3912" s="51" t="s">
        <v>2365</v>
      </c>
      <c r="W3912" s="51" t="s">
        <v>4792</v>
      </c>
      <c r="X3912" s="51" t="s">
        <v>2359</v>
      </c>
    </row>
    <row r="3913" customFormat="false" ht="14.25" hidden="true" customHeight="false" outlineLevel="0" collapsed="false">
      <c r="A3913" s="49" t="s">
        <v>2349</v>
      </c>
      <c r="B3913" s="49" t="s">
        <v>2350</v>
      </c>
      <c r="C3913" s="49" t="s">
        <v>7667</v>
      </c>
      <c r="D3913" s="49" t="s">
        <v>2352</v>
      </c>
      <c r="E3913" s="49" t="s">
        <v>4124</v>
      </c>
      <c r="F3913" s="49" t="s">
        <v>4125</v>
      </c>
      <c r="G3913" s="49" t="n">
        <v>0</v>
      </c>
      <c r="H3913" s="0" t="n">
        <v>0</v>
      </c>
      <c r="M3913" s="51" t="s">
        <v>7659</v>
      </c>
      <c r="N3913" s="49" t="n">
        <v>0</v>
      </c>
      <c r="O3913" s="53" t="n">
        <v>45788.3744212963</v>
      </c>
      <c r="P3913" s="53" t="n">
        <v>45789.5884143519</v>
      </c>
      <c r="Q3913" s="53" t="n">
        <v>45788.3744212963</v>
      </c>
      <c r="R3913" s="0" t="n">
        <v>0</v>
      </c>
      <c r="S3913" s="51" t="s">
        <v>2356</v>
      </c>
      <c r="T3913" s="51" t="s">
        <v>2356</v>
      </c>
      <c r="U3913" s="51" t="s">
        <v>4124</v>
      </c>
      <c r="V3913" s="51" t="s">
        <v>2365</v>
      </c>
      <c r="W3913" s="51" t="s">
        <v>5414</v>
      </c>
      <c r="X3913" s="51" t="s">
        <v>2359</v>
      </c>
    </row>
    <row r="3914" customFormat="false" ht="14.25" hidden="true" customHeight="false" outlineLevel="0" collapsed="false">
      <c r="A3914" s="49" t="s">
        <v>2349</v>
      </c>
      <c r="B3914" s="49" t="s">
        <v>2350</v>
      </c>
      <c r="C3914" s="49" t="s">
        <v>7668</v>
      </c>
      <c r="D3914" s="49" t="s">
        <v>2352</v>
      </c>
      <c r="E3914" s="49" t="s">
        <v>4124</v>
      </c>
      <c r="F3914" s="49" t="s">
        <v>4125</v>
      </c>
      <c r="G3914" s="49" t="n">
        <v>0</v>
      </c>
      <c r="H3914" s="0" t="n">
        <v>0</v>
      </c>
      <c r="M3914" s="51" t="s">
        <v>7659</v>
      </c>
      <c r="N3914" s="49" t="n">
        <v>0</v>
      </c>
      <c r="O3914" s="53" t="n">
        <v>45788.3745486111</v>
      </c>
      <c r="P3914" s="53" t="n">
        <v>45789.5880902778</v>
      </c>
      <c r="Q3914" s="53" t="n">
        <v>45788.3745486111</v>
      </c>
      <c r="R3914" s="0" t="n">
        <v>0</v>
      </c>
      <c r="S3914" s="51" t="s">
        <v>2356</v>
      </c>
      <c r="T3914" s="51" t="s">
        <v>2356</v>
      </c>
      <c r="U3914" s="51" t="s">
        <v>4124</v>
      </c>
      <c r="V3914" s="51" t="s">
        <v>2365</v>
      </c>
      <c r="W3914" s="51" t="s">
        <v>5750</v>
      </c>
      <c r="X3914" s="51" t="s">
        <v>2359</v>
      </c>
    </row>
    <row r="3915" customFormat="false" ht="14.25" hidden="true" customHeight="false" outlineLevel="0" collapsed="false">
      <c r="A3915" s="49" t="s">
        <v>2349</v>
      </c>
      <c r="B3915" s="49" t="s">
        <v>2350</v>
      </c>
      <c r="C3915" s="49" t="s">
        <v>7669</v>
      </c>
      <c r="D3915" s="49" t="s">
        <v>2352</v>
      </c>
      <c r="E3915" s="49" t="s">
        <v>4115</v>
      </c>
      <c r="F3915" s="49" t="s">
        <v>4116</v>
      </c>
      <c r="G3915" s="49" t="n">
        <v>0</v>
      </c>
      <c r="H3915" s="0" t="n">
        <v>0</v>
      </c>
      <c r="M3915" s="51" t="s">
        <v>7659</v>
      </c>
      <c r="N3915" s="49" t="n">
        <v>0</v>
      </c>
      <c r="O3915" s="53" t="n">
        <v>45788.3770601852</v>
      </c>
      <c r="P3915" s="53" t="n">
        <v>45790.3118865741</v>
      </c>
      <c r="Q3915" s="53" t="n">
        <v>45788.3770601852</v>
      </c>
      <c r="R3915" s="0" t="n">
        <v>0</v>
      </c>
      <c r="S3915" s="51" t="s">
        <v>2356</v>
      </c>
      <c r="T3915" s="51" t="s">
        <v>2356</v>
      </c>
      <c r="U3915" s="51" t="s">
        <v>4115</v>
      </c>
      <c r="V3915" s="51" t="s">
        <v>2365</v>
      </c>
      <c r="W3915" s="51" t="s">
        <v>7251</v>
      </c>
      <c r="X3915" s="51" t="s">
        <v>2359</v>
      </c>
    </row>
    <row r="3916" customFormat="false" ht="14.25" hidden="true" customHeight="false" outlineLevel="0" collapsed="false">
      <c r="A3916" s="49" t="s">
        <v>2349</v>
      </c>
      <c r="B3916" s="49" t="s">
        <v>2350</v>
      </c>
      <c r="C3916" s="49" t="s">
        <v>7670</v>
      </c>
      <c r="D3916" s="49" t="s">
        <v>2352</v>
      </c>
      <c r="E3916" s="49" t="s">
        <v>4115</v>
      </c>
      <c r="F3916" s="49" t="s">
        <v>4116</v>
      </c>
      <c r="G3916" s="49" t="n">
        <v>0</v>
      </c>
      <c r="H3916" s="0" t="n">
        <v>0</v>
      </c>
      <c r="M3916" s="51" t="s">
        <v>7659</v>
      </c>
      <c r="N3916" s="49" t="n">
        <v>0</v>
      </c>
      <c r="O3916" s="53" t="n">
        <v>45788.3769212963</v>
      </c>
      <c r="P3916" s="53" t="n">
        <v>45788.6744444444</v>
      </c>
      <c r="Q3916" s="53" t="n">
        <v>45788.3769212963</v>
      </c>
      <c r="R3916" s="0" t="n">
        <v>0</v>
      </c>
      <c r="S3916" s="51" t="s">
        <v>2356</v>
      </c>
      <c r="T3916" s="51" t="s">
        <v>2356</v>
      </c>
      <c r="U3916" s="51" t="s">
        <v>4115</v>
      </c>
      <c r="V3916" s="51" t="s">
        <v>2365</v>
      </c>
      <c r="W3916" s="51" t="s">
        <v>7401</v>
      </c>
      <c r="X3916" s="51" t="s">
        <v>2359</v>
      </c>
    </row>
    <row r="3917" customFormat="false" ht="14.25" hidden="true" customHeight="false" outlineLevel="0" collapsed="false">
      <c r="A3917" s="49" t="s">
        <v>2349</v>
      </c>
      <c r="B3917" s="49" t="s">
        <v>2350</v>
      </c>
      <c r="C3917" s="49" t="s">
        <v>7671</v>
      </c>
      <c r="D3917" s="49" t="s">
        <v>2352</v>
      </c>
      <c r="E3917" s="49" t="s">
        <v>4115</v>
      </c>
      <c r="F3917" s="49" t="s">
        <v>4116</v>
      </c>
      <c r="G3917" s="49" t="n">
        <v>0</v>
      </c>
      <c r="H3917" s="0" t="n">
        <v>0</v>
      </c>
      <c r="M3917" s="51" t="s">
        <v>7659</v>
      </c>
      <c r="N3917" s="49" t="n">
        <v>0</v>
      </c>
      <c r="O3917" s="53" t="n">
        <v>45788.3765740741</v>
      </c>
      <c r="P3917" s="53" t="n">
        <v>45809.6180787037</v>
      </c>
      <c r="Q3917" s="53" t="n">
        <v>45788.3765740741</v>
      </c>
      <c r="R3917" s="0" t="n">
        <v>0</v>
      </c>
      <c r="S3917" s="51" t="s">
        <v>2356</v>
      </c>
      <c r="T3917" s="51" t="s">
        <v>2356</v>
      </c>
      <c r="U3917" s="51" t="s">
        <v>4115</v>
      </c>
      <c r="V3917" s="51" t="s">
        <v>2365</v>
      </c>
      <c r="W3917" s="51" t="s">
        <v>5317</v>
      </c>
      <c r="X3917" s="51" t="s">
        <v>2359</v>
      </c>
    </row>
    <row r="3918" customFormat="false" ht="14.25" hidden="true" customHeight="false" outlineLevel="0" collapsed="false">
      <c r="A3918" s="49" t="s">
        <v>2349</v>
      </c>
      <c r="B3918" s="49" t="s">
        <v>2350</v>
      </c>
      <c r="C3918" s="49" t="s">
        <v>7672</v>
      </c>
      <c r="D3918" s="49" t="s">
        <v>2352</v>
      </c>
      <c r="E3918" s="49" t="str">
        <f aca="false">"5060175133366"</f>
        <v>5060175133366</v>
      </c>
      <c r="F3918" s="49" t="s">
        <v>5125</v>
      </c>
      <c r="G3918" s="49" t="n">
        <v>0</v>
      </c>
      <c r="H3918" s="0" t="n">
        <v>0</v>
      </c>
      <c r="M3918" s="51" t="s">
        <v>7673</v>
      </c>
      <c r="N3918" s="49" t="n">
        <v>0</v>
      </c>
      <c r="O3918" s="53" t="n">
        <v>45796.8873263889</v>
      </c>
      <c r="P3918" s="53" t="n">
        <v>45808.5078356481</v>
      </c>
      <c r="Q3918" s="53" t="n">
        <v>45796.8873263889</v>
      </c>
      <c r="R3918" s="0" t="n">
        <v>0</v>
      </c>
      <c r="S3918" s="51" t="s">
        <v>2371</v>
      </c>
      <c r="T3918" s="51" t="s">
        <v>2371</v>
      </c>
      <c r="U3918" s="0" t="str">
        <f aca="false">"5060175133366"</f>
        <v>5060175133366</v>
      </c>
      <c r="V3918" s="51" t="s">
        <v>2365</v>
      </c>
      <c r="W3918" s="51" t="s">
        <v>7674</v>
      </c>
      <c r="X3918" s="51" t="s">
        <v>2359</v>
      </c>
    </row>
    <row r="3919" customFormat="false" ht="14.25" hidden="true" customHeight="false" outlineLevel="0" collapsed="false">
      <c r="A3919" s="49" t="s">
        <v>2349</v>
      </c>
      <c r="B3919" s="49" t="s">
        <v>2350</v>
      </c>
      <c r="C3919" s="49" t="s">
        <v>7675</v>
      </c>
      <c r="D3919" s="49" t="s">
        <v>2397</v>
      </c>
      <c r="E3919" s="49" t="s">
        <v>4166</v>
      </c>
      <c r="F3919" s="49" t="s">
        <v>4167</v>
      </c>
      <c r="G3919" s="49" t="n">
        <v>0</v>
      </c>
      <c r="H3919" s="0" t="n">
        <v>0</v>
      </c>
      <c r="M3919" s="51" t="s">
        <v>7676</v>
      </c>
      <c r="N3919" s="49" t="n">
        <v>0</v>
      </c>
      <c r="O3919" s="53" t="n">
        <v>45785.6184375</v>
      </c>
      <c r="P3919" s="53" t="n">
        <v>45785.7874305556</v>
      </c>
      <c r="Q3919" s="53" t="n">
        <v>45785.6184375</v>
      </c>
      <c r="R3919" s="0" t="n">
        <v>0</v>
      </c>
      <c r="S3919" s="51" t="s">
        <v>2356</v>
      </c>
      <c r="T3919" s="51" t="s">
        <v>2356</v>
      </c>
      <c r="U3919" s="51" t="s">
        <v>4166</v>
      </c>
      <c r="V3919" s="51" t="s">
        <v>2365</v>
      </c>
      <c r="W3919" s="51" t="s">
        <v>7677</v>
      </c>
      <c r="X3919" s="51" t="s">
        <v>2359</v>
      </c>
    </row>
    <row r="3920" customFormat="false" ht="14.25" hidden="true" customHeight="false" outlineLevel="0" collapsed="false">
      <c r="A3920" s="49" t="s">
        <v>2349</v>
      </c>
      <c r="B3920" s="49" t="s">
        <v>2350</v>
      </c>
      <c r="C3920" s="49" t="s">
        <v>7678</v>
      </c>
      <c r="D3920" s="49" t="s">
        <v>2397</v>
      </c>
      <c r="E3920" s="49" t="s">
        <v>4166</v>
      </c>
      <c r="F3920" s="49" t="s">
        <v>4167</v>
      </c>
      <c r="G3920" s="49" t="n">
        <v>0</v>
      </c>
      <c r="H3920" s="0" t="n">
        <v>0</v>
      </c>
      <c r="M3920" s="51" t="s">
        <v>7676</v>
      </c>
      <c r="N3920" s="49" t="n">
        <v>0</v>
      </c>
      <c r="O3920" s="53" t="n">
        <v>45785.6182638889</v>
      </c>
      <c r="P3920" s="53" t="n">
        <v>45785.7876041667</v>
      </c>
      <c r="Q3920" s="53" t="n">
        <v>45785.6182638889</v>
      </c>
      <c r="R3920" s="0" t="n">
        <v>0</v>
      </c>
      <c r="S3920" s="51" t="s">
        <v>2356</v>
      </c>
      <c r="T3920" s="51" t="s">
        <v>2356</v>
      </c>
      <c r="U3920" s="51" t="s">
        <v>4166</v>
      </c>
      <c r="V3920" s="51" t="s">
        <v>2365</v>
      </c>
      <c r="W3920" s="51" t="s">
        <v>5915</v>
      </c>
      <c r="X3920" s="51" t="s">
        <v>2359</v>
      </c>
    </row>
    <row r="3921" customFormat="false" ht="14.25" hidden="true" customHeight="false" outlineLevel="0" collapsed="false">
      <c r="A3921" s="49" t="s">
        <v>2349</v>
      </c>
      <c r="B3921" s="49" t="s">
        <v>2350</v>
      </c>
      <c r="C3921" s="49" t="s">
        <v>7679</v>
      </c>
      <c r="D3921" s="49" t="s">
        <v>2397</v>
      </c>
      <c r="E3921" s="49" t="s">
        <v>4166</v>
      </c>
      <c r="F3921" s="49" t="s">
        <v>4167</v>
      </c>
      <c r="G3921" s="49" t="n">
        <v>0</v>
      </c>
      <c r="H3921" s="0" t="n">
        <v>0</v>
      </c>
      <c r="M3921" s="51" t="s">
        <v>7676</v>
      </c>
      <c r="N3921" s="49" t="n">
        <v>0</v>
      </c>
      <c r="O3921" s="53" t="n">
        <v>45785.6196180556</v>
      </c>
      <c r="P3921" s="53" t="n">
        <v>45785.7879050926</v>
      </c>
      <c r="Q3921" s="53" t="n">
        <v>45785.6196180556</v>
      </c>
      <c r="R3921" s="0" t="n">
        <v>0</v>
      </c>
      <c r="S3921" s="51" t="s">
        <v>2356</v>
      </c>
      <c r="T3921" s="51" t="s">
        <v>2356</v>
      </c>
      <c r="U3921" s="51" t="s">
        <v>4166</v>
      </c>
      <c r="V3921" s="51" t="s">
        <v>2365</v>
      </c>
      <c r="W3921" s="51" t="s">
        <v>5494</v>
      </c>
      <c r="X3921" s="51" t="s">
        <v>2359</v>
      </c>
    </row>
    <row r="3922" customFormat="false" ht="14.25" hidden="true" customHeight="false" outlineLevel="0" collapsed="false">
      <c r="A3922" s="49" t="s">
        <v>2349</v>
      </c>
      <c r="B3922" s="49" t="s">
        <v>2350</v>
      </c>
      <c r="C3922" s="49" t="s">
        <v>7680</v>
      </c>
      <c r="D3922" s="49" t="s">
        <v>2397</v>
      </c>
      <c r="E3922" s="49" t="s">
        <v>4166</v>
      </c>
      <c r="F3922" s="49" t="s">
        <v>4167</v>
      </c>
      <c r="G3922" s="49" t="n">
        <v>0</v>
      </c>
      <c r="H3922" s="0" t="n">
        <v>0</v>
      </c>
      <c r="M3922" s="51" t="s">
        <v>7676</v>
      </c>
      <c r="N3922" s="49" t="n">
        <v>0</v>
      </c>
      <c r="O3922" s="53" t="n">
        <v>45785.6193518519</v>
      </c>
      <c r="P3922" s="53" t="n">
        <v>45785.7877662037</v>
      </c>
      <c r="Q3922" s="53" t="n">
        <v>45785.6193518519</v>
      </c>
      <c r="R3922" s="0" t="n">
        <v>0</v>
      </c>
      <c r="S3922" s="51" t="s">
        <v>2356</v>
      </c>
      <c r="T3922" s="51" t="s">
        <v>2356</v>
      </c>
      <c r="U3922" s="51" t="s">
        <v>4166</v>
      </c>
      <c r="V3922" s="51" t="s">
        <v>2365</v>
      </c>
      <c r="W3922" s="51" t="s">
        <v>4367</v>
      </c>
      <c r="X3922" s="51" t="s">
        <v>2359</v>
      </c>
    </row>
    <row r="3923" customFormat="false" ht="14.25" hidden="true" customHeight="false" outlineLevel="0" collapsed="false">
      <c r="A3923" s="49" t="s">
        <v>2349</v>
      </c>
      <c r="B3923" s="49" t="s">
        <v>2350</v>
      </c>
      <c r="C3923" s="49" t="s">
        <v>7681</v>
      </c>
      <c r="D3923" s="49" t="s">
        <v>2397</v>
      </c>
      <c r="E3923" s="49" t="s">
        <v>4166</v>
      </c>
      <c r="F3923" s="49" t="s">
        <v>4167</v>
      </c>
      <c r="G3923" s="49" t="n">
        <v>0</v>
      </c>
      <c r="H3923" s="0" t="n">
        <v>0</v>
      </c>
      <c r="M3923" s="51" t="s">
        <v>7676</v>
      </c>
      <c r="N3923" s="49" t="n">
        <v>0</v>
      </c>
      <c r="O3923" s="53" t="n">
        <v>45785.6191319445</v>
      </c>
      <c r="P3923" s="53" t="n">
        <v>45785.7880324074</v>
      </c>
      <c r="Q3923" s="53" t="n">
        <v>45785.6191319445</v>
      </c>
      <c r="R3923" s="0" t="n">
        <v>0</v>
      </c>
      <c r="S3923" s="51" t="s">
        <v>2356</v>
      </c>
      <c r="T3923" s="51" t="s">
        <v>2356</v>
      </c>
      <c r="U3923" s="51" t="s">
        <v>4166</v>
      </c>
      <c r="V3923" s="51" t="s">
        <v>2365</v>
      </c>
      <c r="W3923" s="51" t="s">
        <v>4367</v>
      </c>
      <c r="X3923" s="51" t="s">
        <v>2359</v>
      </c>
    </row>
    <row r="3924" customFormat="false" ht="14.25" hidden="true" customHeight="false" outlineLevel="0" collapsed="false">
      <c r="A3924" s="49" t="s">
        <v>2349</v>
      </c>
      <c r="B3924" s="49" t="s">
        <v>2350</v>
      </c>
      <c r="C3924" s="49" t="s">
        <v>7682</v>
      </c>
      <c r="D3924" s="49" t="s">
        <v>2397</v>
      </c>
      <c r="E3924" s="49" t="s">
        <v>4166</v>
      </c>
      <c r="F3924" s="49" t="s">
        <v>4167</v>
      </c>
      <c r="G3924" s="49" t="n">
        <v>0</v>
      </c>
      <c r="H3924" s="0" t="n">
        <v>0</v>
      </c>
      <c r="M3924" s="51" t="s">
        <v>7676</v>
      </c>
      <c r="N3924" s="49" t="n">
        <v>0</v>
      </c>
      <c r="O3924" s="53" t="n">
        <v>45785.6189814815</v>
      </c>
      <c r="P3924" s="53" t="n">
        <v>45785.7880902778</v>
      </c>
      <c r="Q3924" s="53" t="n">
        <v>45785.6189814815</v>
      </c>
      <c r="R3924" s="0" t="n">
        <v>0</v>
      </c>
      <c r="S3924" s="51" t="s">
        <v>2356</v>
      </c>
      <c r="T3924" s="51" t="s">
        <v>2356</v>
      </c>
      <c r="U3924" s="51" t="s">
        <v>4166</v>
      </c>
      <c r="V3924" s="51" t="s">
        <v>2365</v>
      </c>
      <c r="W3924" s="51" t="s">
        <v>7296</v>
      </c>
      <c r="X3924" s="51" t="s">
        <v>2359</v>
      </c>
    </row>
    <row r="3925" customFormat="false" ht="14.25" hidden="true" customHeight="false" outlineLevel="0" collapsed="false">
      <c r="A3925" s="49" t="s">
        <v>2349</v>
      </c>
      <c r="B3925" s="49" t="s">
        <v>2350</v>
      </c>
      <c r="C3925" s="49" t="s">
        <v>7683</v>
      </c>
      <c r="D3925" s="49" t="s">
        <v>2397</v>
      </c>
      <c r="E3925" s="49" t="s">
        <v>4166</v>
      </c>
      <c r="F3925" s="49" t="s">
        <v>4167</v>
      </c>
      <c r="G3925" s="49" t="n">
        <v>0</v>
      </c>
      <c r="H3925" s="0" t="n">
        <v>0</v>
      </c>
      <c r="M3925" s="51" t="s">
        <v>7676</v>
      </c>
      <c r="N3925" s="49" t="n">
        <v>0</v>
      </c>
      <c r="O3925" s="53" t="n">
        <v>45785.6146064815</v>
      </c>
      <c r="P3925" s="53" t="n">
        <v>45785.7875347222</v>
      </c>
      <c r="Q3925" s="53" t="n">
        <v>45785.6146064815</v>
      </c>
      <c r="R3925" s="0" t="n">
        <v>0</v>
      </c>
      <c r="S3925" s="51" t="s">
        <v>2356</v>
      </c>
      <c r="T3925" s="51" t="s">
        <v>2356</v>
      </c>
      <c r="U3925" s="51" t="s">
        <v>4166</v>
      </c>
      <c r="V3925" s="51" t="s">
        <v>2365</v>
      </c>
      <c r="W3925" s="51" t="s">
        <v>5968</v>
      </c>
      <c r="X3925" s="51" t="s">
        <v>2359</v>
      </c>
    </row>
    <row r="3926" customFormat="false" ht="14.25" hidden="true" customHeight="false" outlineLevel="0" collapsed="false">
      <c r="A3926" s="49" t="s">
        <v>2349</v>
      </c>
      <c r="B3926" s="49" t="s">
        <v>2350</v>
      </c>
      <c r="C3926" s="49" t="s">
        <v>7684</v>
      </c>
      <c r="D3926" s="49" t="s">
        <v>2397</v>
      </c>
      <c r="E3926" s="49" t="s">
        <v>4166</v>
      </c>
      <c r="F3926" s="49" t="s">
        <v>4167</v>
      </c>
      <c r="G3926" s="49" t="n">
        <v>0</v>
      </c>
      <c r="H3926" s="0" t="n">
        <v>0</v>
      </c>
      <c r="M3926" s="51" t="s">
        <v>7676</v>
      </c>
      <c r="N3926" s="49" t="n">
        <v>0</v>
      </c>
      <c r="O3926" s="53" t="n">
        <v>45785.6148032407</v>
      </c>
      <c r="P3926" s="53" t="n">
        <v>45785.7876967593</v>
      </c>
      <c r="Q3926" s="53" t="n">
        <v>45785.6148032407</v>
      </c>
      <c r="R3926" s="0" t="n">
        <v>0</v>
      </c>
      <c r="S3926" s="51" t="s">
        <v>2356</v>
      </c>
      <c r="T3926" s="51" t="s">
        <v>2356</v>
      </c>
      <c r="U3926" s="51" t="s">
        <v>4166</v>
      </c>
      <c r="V3926" s="51" t="s">
        <v>2365</v>
      </c>
      <c r="W3926" s="51" t="s">
        <v>5414</v>
      </c>
      <c r="X3926" s="51" t="s">
        <v>2359</v>
      </c>
    </row>
    <row r="3927" customFormat="false" ht="14.25" hidden="true" customHeight="false" outlineLevel="0" collapsed="false">
      <c r="A3927" s="49" t="s">
        <v>2349</v>
      </c>
      <c r="B3927" s="49" t="s">
        <v>2350</v>
      </c>
      <c r="C3927" s="49" t="s">
        <v>7685</v>
      </c>
      <c r="D3927" s="49" t="s">
        <v>2397</v>
      </c>
      <c r="E3927" s="49" t="s">
        <v>4166</v>
      </c>
      <c r="F3927" s="49" t="s">
        <v>4167</v>
      </c>
      <c r="G3927" s="49" t="n">
        <v>0</v>
      </c>
      <c r="H3927" s="0" t="n">
        <v>0</v>
      </c>
      <c r="M3927" s="51" t="s">
        <v>7676</v>
      </c>
      <c r="N3927" s="49" t="n">
        <v>0</v>
      </c>
      <c r="O3927" s="53" t="n">
        <v>45785.6149421296</v>
      </c>
      <c r="P3927" s="53" t="n">
        <v>45785.7882291667</v>
      </c>
      <c r="Q3927" s="53" t="n">
        <v>45785.6149421296</v>
      </c>
      <c r="R3927" s="0" t="n">
        <v>0</v>
      </c>
      <c r="S3927" s="51" t="s">
        <v>2356</v>
      </c>
      <c r="T3927" s="51" t="s">
        <v>2356</v>
      </c>
      <c r="U3927" s="51" t="s">
        <v>4166</v>
      </c>
      <c r="V3927" s="51" t="s">
        <v>2365</v>
      </c>
      <c r="W3927" s="51" t="s">
        <v>4792</v>
      </c>
      <c r="X3927" s="51" t="s">
        <v>2359</v>
      </c>
    </row>
    <row r="3928" customFormat="false" ht="14.25" hidden="true" customHeight="false" outlineLevel="0" collapsed="false">
      <c r="A3928" s="49" t="s">
        <v>2349</v>
      </c>
      <c r="B3928" s="49" t="s">
        <v>2350</v>
      </c>
      <c r="C3928" s="49" t="s">
        <v>7686</v>
      </c>
      <c r="D3928" s="49" t="s">
        <v>2397</v>
      </c>
      <c r="E3928" s="49" t="s">
        <v>4166</v>
      </c>
      <c r="F3928" s="49" t="s">
        <v>4167</v>
      </c>
      <c r="G3928" s="49" t="n">
        <v>0</v>
      </c>
      <c r="H3928" s="0" t="n">
        <v>0</v>
      </c>
      <c r="M3928" s="51" t="s">
        <v>7676</v>
      </c>
      <c r="N3928" s="49" t="n">
        <v>0</v>
      </c>
      <c r="O3928" s="53" t="n">
        <v>45785.6152430556</v>
      </c>
      <c r="P3928" s="53" t="n">
        <v>45785.7882986111</v>
      </c>
      <c r="Q3928" s="53" t="n">
        <v>45785.6152430556</v>
      </c>
      <c r="R3928" s="0" t="n">
        <v>0</v>
      </c>
      <c r="S3928" s="51" t="s">
        <v>2356</v>
      </c>
      <c r="T3928" s="51" t="s">
        <v>2356</v>
      </c>
      <c r="U3928" s="51" t="s">
        <v>4166</v>
      </c>
      <c r="V3928" s="51" t="s">
        <v>2365</v>
      </c>
      <c r="W3928" s="51" t="s">
        <v>7401</v>
      </c>
      <c r="X3928" s="51" t="s">
        <v>2359</v>
      </c>
    </row>
    <row r="3929" customFormat="false" ht="14.25" hidden="true" customHeight="false" outlineLevel="0" collapsed="false">
      <c r="A3929" s="49" t="s">
        <v>2349</v>
      </c>
      <c r="B3929" s="49" t="s">
        <v>2350</v>
      </c>
      <c r="C3929" s="49" t="s">
        <v>7687</v>
      </c>
      <c r="D3929" s="49" t="s">
        <v>2397</v>
      </c>
      <c r="E3929" s="49" t="s">
        <v>4166</v>
      </c>
      <c r="F3929" s="49" t="s">
        <v>4167</v>
      </c>
      <c r="G3929" s="49" t="n">
        <v>0</v>
      </c>
      <c r="H3929" s="0" t="n">
        <v>0</v>
      </c>
      <c r="M3929" s="51" t="s">
        <v>7676</v>
      </c>
      <c r="N3929" s="49" t="n">
        <v>0</v>
      </c>
      <c r="O3929" s="53" t="n">
        <v>45785.6154050926</v>
      </c>
      <c r="P3929" s="53" t="n">
        <v>45785.7884259259</v>
      </c>
      <c r="Q3929" s="53" t="n">
        <v>45785.6154050926</v>
      </c>
      <c r="R3929" s="0" t="n">
        <v>0</v>
      </c>
      <c r="S3929" s="51" t="s">
        <v>2356</v>
      </c>
      <c r="T3929" s="51" t="s">
        <v>2356</v>
      </c>
      <c r="U3929" s="51" t="s">
        <v>4166</v>
      </c>
      <c r="V3929" s="51" t="s">
        <v>2365</v>
      </c>
      <c r="W3929" s="51" t="s">
        <v>7688</v>
      </c>
      <c r="X3929" s="51" t="s">
        <v>2359</v>
      </c>
    </row>
    <row r="3930" customFormat="false" ht="14.25" hidden="true" customHeight="false" outlineLevel="0" collapsed="false">
      <c r="A3930" s="49" t="s">
        <v>2349</v>
      </c>
      <c r="B3930" s="49" t="s">
        <v>2350</v>
      </c>
      <c r="C3930" s="49" t="s">
        <v>7689</v>
      </c>
      <c r="D3930" s="49" t="s">
        <v>2397</v>
      </c>
      <c r="E3930" s="49" t="s">
        <v>4166</v>
      </c>
      <c r="F3930" s="49" t="s">
        <v>4167</v>
      </c>
      <c r="G3930" s="49" t="n">
        <v>0</v>
      </c>
      <c r="H3930" s="0" t="n">
        <v>0</v>
      </c>
      <c r="M3930" s="51" t="s">
        <v>7676</v>
      </c>
      <c r="N3930" s="49" t="n">
        <v>0</v>
      </c>
      <c r="O3930" s="53" t="n">
        <v>45785.6156134259</v>
      </c>
      <c r="P3930" s="53" t="n">
        <v>45785.7885532407</v>
      </c>
      <c r="Q3930" s="53" t="n">
        <v>45785.6156134259</v>
      </c>
      <c r="R3930" s="0" t="n">
        <v>0</v>
      </c>
      <c r="S3930" s="51" t="s">
        <v>2356</v>
      </c>
      <c r="T3930" s="51" t="s">
        <v>2356</v>
      </c>
      <c r="U3930" s="51" t="s">
        <v>4166</v>
      </c>
      <c r="V3930" s="51" t="s">
        <v>2365</v>
      </c>
      <c r="W3930" s="51" t="s">
        <v>5487</v>
      </c>
      <c r="X3930" s="51" t="s">
        <v>2359</v>
      </c>
    </row>
    <row r="3931" customFormat="false" ht="14.25" hidden="true" customHeight="false" outlineLevel="0" collapsed="false">
      <c r="A3931" s="49" t="s">
        <v>2349</v>
      </c>
      <c r="B3931" s="49" t="s">
        <v>2350</v>
      </c>
      <c r="C3931" s="49" t="s">
        <v>7690</v>
      </c>
      <c r="D3931" s="49" t="s">
        <v>2397</v>
      </c>
      <c r="E3931" s="49" t="s">
        <v>4166</v>
      </c>
      <c r="F3931" s="49" t="s">
        <v>4167</v>
      </c>
      <c r="G3931" s="49" t="n">
        <v>0</v>
      </c>
      <c r="H3931" s="0" t="n">
        <v>0</v>
      </c>
      <c r="M3931" s="51" t="s">
        <v>7676</v>
      </c>
      <c r="N3931" s="49" t="n">
        <v>0</v>
      </c>
      <c r="O3931" s="53" t="n">
        <v>45785.6157523148</v>
      </c>
      <c r="P3931" s="53" t="n">
        <v>45785.787974537</v>
      </c>
      <c r="Q3931" s="53" t="n">
        <v>45785.6157523148</v>
      </c>
      <c r="R3931" s="0" t="n">
        <v>0</v>
      </c>
      <c r="S3931" s="51" t="s">
        <v>2356</v>
      </c>
      <c r="T3931" s="51" t="s">
        <v>2356</v>
      </c>
      <c r="U3931" s="51" t="s">
        <v>4166</v>
      </c>
      <c r="V3931" s="51" t="s">
        <v>2365</v>
      </c>
      <c r="W3931" s="51" t="s">
        <v>5484</v>
      </c>
      <c r="X3931" s="51" t="s">
        <v>2359</v>
      </c>
    </row>
    <row r="3932" customFormat="false" ht="14.25" hidden="true" customHeight="false" outlineLevel="0" collapsed="false">
      <c r="A3932" s="49" t="s">
        <v>2349</v>
      </c>
      <c r="B3932" s="49" t="s">
        <v>2350</v>
      </c>
      <c r="C3932" s="49" t="s">
        <v>7691</v>
      </c>
      <c r="D3932" s="49" t="s">
        <v>2397</v>
      </c>
      <c r="E3932" s="49" t="s">
        <v>4166</v>
      </c>
      <c r="F3932" s="49" t="s">
        <v>4167</v>
      </c>
      <c r="G3932" s="49" t="n">
        <v>0</v>
      </c>
      <c r="H3932" s="0" t="n">
        <v>0</v>
      </c>
      <c r="M3932" s="51" t="s">
        <v>7676</v>
      </c>
      <c r="N3932" s="49" t="n">
        <v>0</v>
      </c>
      <c r="O3932" s="53" t="n">
        <v>45785.6159027778</v>
      </c>
      <c r="P3932" s="53" t="n">
        <v>45785.7886226852</v>
      </c>
      <c r="Q3932" s="53" t="n">
        <v>45785.6159027778</v>
      </c>
      <c r="R3932" s="0" t="n">
        <v>0</v>
      </c>
      <c r="S3932" s="51" t="s">
        <v>2356</v>
      </c>
      <c r="T3932" s="51" t="s">
        <v>2356</v>
      </c>
      <c r="U3932" s="51" t="s">
        <v>4166</v>
      </c>
      <c r="V3932" s="51" t="s">
        <v>2365</v>
      </c>
      <c r="W3932" s="51" t="s">
        <v>7258</v>
      </c>
      <c r="X3932" s="51" t="s">
        <v>2359</v>
      </c>
    </row>
    <row r="3933" customFormat="false" ht="14.25" hidden="true" customHeight="false" outlineLevel="0" collapsed="false">
      <c r="A3933" s="49" t="s">
        <v>2349</v>
      </c>
      <c r="B3933" s="49" t="s">
        <v>2350</v>
      </c>
      <c r="C3933" s="49" t="s">
        <v>7692</v>
      </c>
      <c r="D3933" s="49" t="s">
        <v>2397</v>
      </c>
      <c r="E3933" s="49" t="s">
        <v>4166</v>
      </c>
      <c r="F3933" s="49" t="s">
        <v>4167</v>
      </c>
      <c r="G3933" s="49" t="n">
        <v>0</v>
      </c>
      <c r="H3933" s="0" t="n">
        <v>0</v>
      </c>
      <c r="M3933" s="51" t="s">
        <v>7676</v>
      </c>
      <c r="N3933" s="49" t="n">
        <v>0</v>
      </c>
      <c r="O3933" s="53" t="n">
        <v>45785.6166666667</v>
      </c>
      <c r="P3933" s="53" t="n">
        <v>45785.7886921296</v>
      </c>
      <c r="Q3933" s="53" t="n">
        <v>45785.6166666667</v>
      </c>
      <c r="R3933" s="0" t="n">
        <v>0</v>
      </c>
      <c r="S3933" s="51" t="s">
        <v>2356</v>
      </c>
      <c r="T3933" s="51" t="s">
        <v>2356</v>
      </c>
      <c r="U3933" s="51" t="s">
        <v>4166</v>
      </c>
      <c r="V3933" s="51" t="s">
        <v>2365</v>
      </c>
      <c r="W3933" s="51" t="s">
        <v>5983</v>
      </c>
      <c r="X3933" s="51" t="s">
        <v>2359</v>
      </c>
    </row>
    <row r="3934" customFormat="false" ht="14.25" hidden="true" customHeight="false" outlineLevel="0" collapsed="false">
      <c r="A3934" s="49" t="s">
        <v>2349</v>
      </c>
      <c r="B3934" s="49" t="s">
        <v>2350</v>
      </c>
      <c r="C3934" s="49" t="s">
        <v>7693</v>
      </c>
      <c r="D3934" s="49" t="s">
        <v>2397</v>
      </c>
      <c r="E3934" s="49" t="s">
        <v>4166</v>
      </c>
      <c r="F3934" s="49" t="s">
        <v>4167</v>
      </c>
      <c r="G3934" s="49" t="n">
        <v>0</v>
      </c>
      <c r="H3934" s="0" t="n">
        <v>0</v>
      </c>
      <c r="M3934" s="51" t="s">
        <v>7676</v>
      </c>
      <c r="N3934" s="49" t="n">
        <v>0</v>
      </c>
      <c r="O3934" s="53" t="n">
        <v>45785.6168287037</v>
      </c>
      <c r="P3934" s="53" t="n">
        <v>45785.7890277778</v>
      </c>
      <c r="Q3934" s="53" t="n">
        <v>45785.6168287037</v>
      </c>
      <c r="R3934" s="0" t="n">
        <v>0</v>
      </c>
      <c r="S3934" s="51" t="s">
        <v>2356</v>
      </c>
      <c r="T3934" s="51" t="s">
        <v>2356</v>
      </c>
      <c r="U3934" s="51" t="s">
        <v>4166</v>
      </c>
      <c r="V3934" s="51" t="s">
        <v>2365</v>
      </c>
      <c r="W3934" s="51" t="s">
        <v>3745</v>
      </c>
      <c r="X3934" s="51" t="s">
        <v>2359</v>
      </c>
    </row>
    <row r="3935" customFormat="false" ht="14.25" hidden="true" customHeight="false" outlineLevel="0" collapsed="false">
      <c r="A3935" s="49" t="s">
        <v>2349</v>
      </c>
      <c r="B3935" s="49" t="s">
        <v>2350</v>
      </c>
      <c r="C3935" s="49" t="s">
        <v>7694</v>
      </c>
      <c r="D3935" s="49" t="s">
        <v>2397</v>
      </c>
      <c r="E3935" s="49" t="s">
        <v>4166</v>
      </c>
      <c r="F3935" s="49" t="s">
        <v>4167</v>
      </c>
      <c r="G3935" s="49" t="n">
        <v>0</v>
      </c>
      <c r="H3935" s="0" t="n">
        <v>0</v>
      </c>
      <c r="M3935" s="51" t="s">
        <v>7676</v>
      </c>
      <c r="N3935" s="49" t="n">
        <v>0</v>
      </c>
      <c r="O3935" s="53" t="n">
        <v>45785.6170138889</v>
      </c>
      <c r="P3935" s="53" t="n">
        <v>45785.7878356481</v>
      </c>
      <c r="Q3935" s="53" t="n">
        <v>45785.6170138889</v>
      </c>
      <c r="R3935" s="0" t="n">
        <v>0</v>
      </c>
      <c r="S3935" s="51" t="s">
        <v>2356</v>
      </c>
      <c r="T3935" s="51" t="s">
        <v>2356</v>
      </c>
      <c r="U3935" s="51" t="s">
        <v>4166</v>
      </c>
      <c r="V3935" s="51" t="s">
        <v>2365</v>
      </c>
      <c r="W3935" s="51" t="s">
        <v>5392</v>
      </c>
      <c r="X3935" s="51" t="s">
        <v>2359</v>
      </c>
    </row>
    <row r="3936" customFormat="false" ht="14.25" hidden="true" customHeight="false" outlineLevel="0" collapsed="false">
      <c r="A3936" s="49" t="s">
        <v>2349</v>
      </c>
      <c r="B3936" s="49" t="s">
        <v>2350</v>
      </c>
      <c r="C3936" s="49" t="s">
        <v>7695</v>
      </c>
      <c r="D3936" s="49" t="s">
        <v>2397</v>
      </c>
      <c r="E3936" s="49" t="s">
        <v>4166</v>
      </c>
      <c r="F3936" s="49" t="s">
        <v>4167</v>
      </c>
      <c r="G3936" s="49" t="n">
        <v>0</v>
      </c>
      <c r="H3936" s="0" t="n">
        <v>0</v>
      </c>
      <c r="M3936" s="51" t="s">
        <v>7676</v>
      </c>
      <c r="N3936" s="49" t="n">
        <v>0</v>
      </c>
      <c r="O3936" s="53" t="n">
        <v>45785.6171527778</v>
      </c>
      <c r="P3936" s="53" t="n">
        <v>45785.78875</v>
      </c>
      <c r="Q3936" s="53" t="n">
        <v>45785.6171527778</v>
      </c>
      <c r="R3936" s="0" t="n">
        <v>0</v>
      </c>
      <c r="S3936" s="51" t="s">
        <v>2356</v>
      </c>
      <c r="T3936" s="51" t="s">
        <v>2356</v>
      </c>
      <c r="U3936" s="51" t="s">
        <v>4166</v>
      </c>
      <c r="V3936" s="51" t="s">
        <v>2365</v>
      </c>
      <c r="W3936" s="51" t="s">
        <v>4931</v>
      </c>
      <c r="X3936" s="51" t="s">
        <v>2359</v>
      </c>
    </row>
    <row r="3937" customFormat="false" ht="14.25" hidden="true" customHeight="false" outlineLevel="0" collapsed="false">
      <c r="A3937" s="49" t="s">
        <v>2349</v>
      </c>
      <c r="B3937" s="49" t="s">
        <v>2350</v>
      </c>
      <c r="C3937" s="49" t="s">
        <v>7696</v>
      </c>
      <c r="D3937" s="49" t="s">
        <v>2397</v>
      </c>
      <c r="E3937" s="49" t="s">
        <v>4166</v>
      </c>
      <c r="F3937" s="49" t="s">
        <v>4167</v>
      </c>
      <c r="G3937" s="49" t="n">
        <v>0</v>
      </c>
      <c r="H3937" s="0" t="n">
        <v>0</v>
      </c>
      <c r="M3937" s="51" t="s">
        <v>7676</v>
      </c>
      <c r="N3937" s="49" t="n">
        <v>0</v>
      </c>
      <c r="O3937" s="53" t="n">
        <v>45785.617337963</v>
      </c>
      <c r="P3937" s="53" t="n">
        <v>45785.7884837963</v>
      </c>
      <c r="Q3937" s="53" t="n">
        <v>45785.617337963</v>
      </c>
      <c r="R3937" s="0" t="n">
        <v>0</v>
      </c>
      <c r="S3937" s="51" t="s">
        <v>2356</v>
      </c>
      <c r="T3937" s="51" t="s">
        <v>2356</v>
      </c>
      <c r="U3937" s="51" t="s">
        <v>4166</v>
      </c>
      <c r="V3937" s="51" t="s">
        <v>2365</v>
      </c>
      <c r="W3937" s="51" t="s">
        <v>7415</v>
      </c>
      <c r="X3937" s="51" t="s">
        <v>2359</v>
      </c>
    </row>
    <row r="3938" customFormat="false" ht="14.25" hidden="true" customHeight="false" outlineLevel="0" collapsed="false">
      <c r="A3938" s="49" t="s">
        <v>2349</v>
      </c>
      <c r="B3938" s="49" t="s">
        <v>2350</v>
      </c>
      <c r="C3938" s="49" t="s">
        <v>7697</v>
      </c>
      <c r="D3938" s="49" t="s">
        <v>2397</v>
      </c>
      <c r="E3938" s="49" t="s">
        <v>4166</v>
      </c>
      <c r="F3938" s="49" t="s">
        <v>4167</v>
      </c>
      <c r="G3938" s="49" t="n">
        <v>0</v>
      </c>
      <c r="H3938" s="0" t="n">
        <v>0</v>
      </c>
      <c r="M3938" s="51" t="s">
        <v>7676</v>
      </c>
      <c r="N3938" s="49" t="n">
        <v>0</v>
      </c>
      <c r="O3938" s="53" t="n">
        <v>45785.6174768519</v>
      </c>
      <c r="P3938" s="53" t="n">
        <v>45785.7883680556</v>
      </c>
      <c r="Q3938" s="53" t="n">
        <v>45785.6174768519</v>
      </c>
      <c r="R3938" s="0" t="n">
        <v>0</v>
      </c>
      <c r="S3938" s="51" t="s">
        <v>2356</v>
      </c>
      <c r="T3938" s="51" t="s">
        <v>2356</v>
      </c>
      <c r="U3938" s="51" t="s">
        <v>4166</v>
      </c>
      <c r="V3938" s="51" t="s">
        <v>2365</v>
      </c>
      <c r="W3938" s="51" t="s">
        <v>5761</v>
      </c>
      <c r="X3938" s="51" t="s">
        <v>2359</v>
      </c>
    </row>
    <row r="3939" customFormat="false" ht="14.25" hidden="true" customHeight="false" outlineLevel="0" collapsed="false">
      <c r="A3939" s="49" t="s">
        <v>2349</v>
      </c>
      <c r="B3939" s="49" t="s">
        <v>2350</v>
      </c>
      <c r="C3939" s="49" t="s">
        <v>7698</v>
      </c>
      <c r="D3939" s="49" t="s">
        <v>2397</v>
      </c>
      <c r="E3939" s="49" t="s">
        <v>4166</v>
      </c>
      <c r="F3939" s="49" t="s">
        <v>4167</v>
      </c>
      <c r="G3939" s="49" t="n">
        <v>0</v>
      </c>
      <c r="H3939" s="0" t="n">
        <v>0</v>
      </c>
      <c r="M3939" s="51" t="s">
        <v>7676</v>
      </c>
      <c r="N3939" s="49" t="n">
        <v>0</v>
      </c>
      <c r="O3939" s="53" t="n">
        <v>45785.6176851852</v>
      </c>
      <c r="P3939" s="53" t="n">
        <v>45785.7881712963</v>
      </c>
      <c r="Q3939" s="53" t="n">
        <v>45785.6176851852</v>
      </c>
      <c r="R3939" s="0" t="n">
        <v>0</v>
      </c>
      <c r="S3939" s="51" t="s">
        <v>2356</v>
      </c>
      <c r="T3939" s="51" t="s">
        <v>2356</v>
      </c>
      <c r="U3939" s="51" t="s">
        <v>4166</v>
      </c>
      <c r="V3939" s="51" t="s">
        <v>2365</v>
      </c>
      <c r="W3939" s="51" t="s">
        <v>4486</v>
      </c>
      <c r="X3939" s="51" t="s">
        <v>2359</v>
      </c>
    </row>
    <row r="3940" customFormat="false" ht="14.25" hidden="true" customHeight="false" outlineLevel="0" collapsed="false">
      <c r="A3940" s="49" t="s">
        <v>2349</v>
      </c>
      <c r="B3940" s="49" t="s">
        <v>2350</v>
      </c>
      <c r="C3940" s="49" t="s">
        <v>7699</v>
      </c>
      <c r="D3940" s="49" t="s">
        <v>2352</v>
      </c>
      <c r="E3940" s="49" t="str">
        <f aca="false">"5060175133144"</f>
        <v>5060175133144</v>
      </c>
      <c r="F3940" s="49" t="s">
        <v>7700</v>
      </c>
      <c r="G3940" s="49" t="n">
        <v>0</v>
      </c>
      <c r="H3940" s="0" t="n">
        <v>0</v>
      </c>
      <c r="M3940" s="51" t="s">
        <v>7701</v>
      </c>
      <c r="N3940" s="49" t="n">
        <v>0</v>
      </c>
      <c r="O3940" s="53" t="n">
        <v>45791.4900578704</v>
      </c>
      <c r="P3940" s="53" t="n">
        <v>45794.883900463</v>
      </c>
      <c r="Q3940" s="53" t="n">
        <v>45791.4900578704</v>
      </c>
      <c r="R3940" s="0" t="n">
        <v>0</v>
      </c>
      <c r="S3940" s="51" t="s">
        <v>2416</v>
      </c>
      <c r="T3940" s="51" t="s">
        <v>2416</v>
      </c>
      <c r="U3940" s="0" t="str">
        <f aca="false">"5060175133144"</f>
        <v>5060175133144</v>
      </c>
      <c r="V3940" s="51" t="s">
        <v>2365</v>
      </c>
      <c r="W3940" s="51" t="s">
        <v>7702</v>
      </c>
      <c r="X3940" s="51" t="s">
        <v>2359</v>
      </c>
    </row>
    <row r="3941" customFormat="false" ht="14.25" hidden="true" customHeight="false" outlineLevel="0" collapsed="false">
      <c r="A3941" s="49" t="s">
        <v>2349</v>
      </c>
      <c r="B3941" s="49" t="s">
        <v>2350</v>
      </c>
      <c r="C3941" s="49" t="s">
        <v>7703</v>
      </c>
      <c r="D3941" s="49" t="s">
        <v>2352</v>
      </c>
      <c r="E3941" s="49" t="str">
        <f aca="false">"5060458890191"</f>
        <v>5060458890191</v>
      </c>
      <c r="F3941" s="49" t="s">
        <v>3656</v>
      </c>
      <c r="G3941" s="49" t="n">
        <v>0</v>
      </c>
      <c r="H3941" s="0" t="n">
        <v>0</v>
      </c>
      <c r="M3941" s="51" t="s">
        <v>7704</v>
      </c>
      <c r="N3941" s="49" t="n">
        <v>0</v>
      </c>
      <c r="O3941" s="53" t="n">
        <v>45845.6174305556</v>
      </c>
      <c r="P3941" s="53" t="n">
        <v>45960.8258101852</v>
      </c>
      <c r="Q3941" s="53" t="n">
        <v>45845.6174305556</v>
      </c>
      <c r="R3941" s="0" t="n">
        <v>0</v>
      </c>
      <c r="S3941" s="51" t="s">
        <v>4015</v>
      </c>
      <c r="T3941" s="51" t="s">
        <v>4015</v>
      </c>
      <c r="U3941" s="0" t="str">
        <f aca="false">"5060458890191"</f>
        <v>5060458890191</v>
      </c>
      <c r="V3941" s="51" t="s">
        <v>2142</v>
      </c>
      <c r="W3941" s="51" t="s">
        <v>7705</v>
      </c>
      <c r="X3941" s="51" t="s">
        <v>2359</v>
      </c>
    </row>
    <row r="3942" customFormat="false" ht="14.25" hidden="true" customHeight="false" outlineLevel="0" collapsed="false">
      <c r="A3942" s="49" t="s">
        <v>2349</v>
      </c>
      <c r="B3942" s="49" t="s">
        <v>2350</v>
      </c>
      <c r="C3942" s="49" t="s">
        <v>7706</v>
      </c>
      <c r="D3942" s="49" t="s">
        <v>2352</v>
      </c>
      <c r="E3942" s="49" t="str">
        <f aca="false">"5060458890191"</f>
        <v>5060458890191</v>
      </c>
      <c r="F3942" s="49" t="s">
        <v>3656</v>
      </c>
      <c r="G3942" s="49" t="n">
        <v>0</v>
      </c>
      <c r="H3942" s="0" t="n">
        <v>0</v>
      </c>
      <c r="M3942" s="51" t="s">
        <v>7704</v>
      </c>
      <c r="N3942" s="49" t="n">
        <v>0</v>
      </c>
      <c r="O3942" s="53" t="n">
        <v>45845.6136805556</v>
      </c>
      <c r="P3942" s="53" t="n">
        <v>45848.6193171296</v>
      </c>
      <c r="Q3942" s="53" t="n">
        <v>45845.6136805556</v>
      </c>
      <c r="R3942" s="0" t="n">
        <v>0</v>
      </c>
      <c r="S3942" s="51" t="s">
        <v>4015</v>
      </c>
      <c r="T3942" s="51" t="s">
        <v>4015</v>
      </c>
      <c r="U3942" s="0" t="str">
        <f aca="false">"5060458890191"</f>
        <v>5060458890191</v>
      </c>
      <c r="V3942" s="51" t="s">
        <v>2142</v>
      </c>
      <c r="W3942" s="51" t="s">
        <v>4210</v>
      </c>
      <c r="X3942" s="51" t="s">
        <v>2359</v>
      </c>
    </row>
    <row r="3943" customFormat="false" ht="14.25" hidden="true" customHeight="false" outlineLevel="0" collapsed="false">
      <c r="A3943" s="49" t="s">
        <v>2349</v>
      </c>
      <c r="B3943" s="49" t="s">
        <v>2350</v>
      </c>
      <c r="C3943" s="49" t="s">
        <v>7707</v>
      </c>
      <c r="D3943" s="49" t="s">
        <v>2352</v>
      </c>
      <c r="E3943" s="49" t="str">
        <f aca="false">"5060458890191"</f>
        <v>5060458890191</v>
      </c>
      <c r="F3943" s="49" t="s">
        <v>3656</v>
      </c>
      <c r="G3943" s="49" t="n">
        <v>0</v>
      </c>
      <c r="H3943" s="0" t="n">
        <v>0</v>
      </c>
      <c r="M3943" s="51" t="s">
        <v>7704</v>
      </c>
      <c r="N3943" s="49" t="n">
        <v>0</v>
      </c>
      <c r="O3943" s="53" t="n">
        <v>45845.6138657407</v>
      </c>
      <c r="P3943" s="53" t="n">
        <v>45856.4613425926</v>
      </c>
      <c r="Q3943" s="53" t="n">
        <v>45845.6138657407</v>
      </c>
      <c r="R3943" s="0" t="n">
        <v>0</v>
      </c>
      <c r="S3943" s="51" t="s">
        <v>4015</v>
      </c>
      <c r="T3943" s="51" t="s">
        <v>4015</v>
      </c>
      <c r="U3943" s="0" t="str">
        <f aca="false">"5060458890191"</f>
        <v>5060458890191</v>
      </c>
      <c r="V3943" s="51" t="s">
        <v>2142</v>
      </c>
      <c r="W3943" s="51" t="s">
        <v>6786</v>
      </c>
      <c r="X3943" s="51" t="s">
        <v>2359</v>
      </c>
    </row>
    <row r="3944" customFormat="false" ht="14.25" hidden="true" customHeight="false" outlineLevel="0" collapsed="false">
      <c r="A3944" s="49" t="s">
        <v>2349</v>
      </c>
      <c r="B3944" s="49" t="s">
        <v>2350</v>
      </c>
      <c r="C3944" s="49" t="s">
        <v>7708</v>
      </c>
      <c r="D3944" s="49" t="s">
        <v>2352</v>
      </c>
      <c r="E3944" s="49" t="str">
        <f aca="false">"5060458890191"</f>
        <v>5060458890191</v>
      </c>
      <c r="F3944" s="49" t="s">
        <v>3656</v>
      </c>
      <c r="G3944" s="49" t="n">
        <v>0</v>
      </c>
      <c r="H3944" s="0" t="n">
        <v>0</v>
      </c>
      <c r="M3944" s="51" t="s">
        <v>7704</v>
      </c>
      <c r="N3944" s="49" t="n">
        <v>0</v>
      </c>
      <c r="O3944" s="53" t="n">
        <v>45845.6140393519</v>
      </c>
      <c r="P3944" s="53" t="n">
        <v>45848.6218865741</v>
      </c>
      <c r="Q3944" s="53" t="n">
        <v>45845.6140393519</v>
      </c>
      <c r="R3944" s="0" t="n">
        <v>0</v>
      </c>
      <c r="S3944" s="51" t="s">
        <v>4015</v>
      </c>
      <c r="T3944" s="51" t="s">
        <v>4015</v>
      </c>
      <c r="U3944" s="0" t="str">
        <f aca="false">"5060458890191"</f>
        <v>5060458890191</v>
      </c>
      <c r="V3944" s="51" t="s">
        <v>2142</v>
      </c>
      <c r="W3944" s="51" t="s">
        <v>4548</v>
      </c>
      <c r="X3944" s="51" t="s">
        <v>2359</v>
      </c>
    </row>
    <row r="3945" customFormat="false" ht="14.25" hidden="true" customHeight="false" outlineLevel="0" collapsed="false">
      <c r="A3945" s="49" t="s">
        <v>2349</v>
      </c>
      <c r="B3945" s="49" t="s">
        <v>2350</v>
      </c>
      <c r="C3945" s="49" t="s">
        <v>7709</v>
      </c>
      <c r="D3945" s="49" t="s">
        <v>2352</v>
      </c>
      <c r="E3945" s="49" t="str">
        <f aca="false">"5060458890191"</f>
        <v>5060458890191</v>
      </c>
      <c r="F3945" s="49" t="s">
        <v>3656</v>
      </c>
      <c r="G3945" s="49" t="n">
        <v>0</v>
      </c>
      <c r="H3945" s="0" t="n">
        <v>0</v>
      </c>
      <c r="M3945" s="51" t="s">
        <v>7704</v>
      </c>
      <c r="N3945" s="49" t="n">
        <v>0</v>
      </c>
      <c r="O3945" s="53" t="n">
        <v>45845.6141319444</v>
      </c>
      <c r="P3945" s="53" t="n">
        <v>45848.6235532407</v>
      </c>
      <c r="Q3945" s="53" t="n">
        <v>45845.6141319444</v>
      </c>
      <c r="R3945" s="0" t="n">
        <v>0</v>
      </c>
      <c r="S3945" s="51" t="s">
        <v>4015</v>
      </c>
      <c r="T3945" s="51" t="s">
        <v>4015</v>
      </c>
      <c r="U3945" s="0" t="str">
        <f aca="false">"5060458890191"</f>
        <v>5060458890191</v>
      </c>
      <c r="V3945" s="51" t="s">
        <v>2142</v>
      </c>
      <c r="W3945" s="51" t="s">
        <v>4541</v>
      </c>
      <c r="X3945" s="51" t="s">
        <v>2359</v>
      </c>
    </row>
    <row r="3946" customFormat="false" ht="14.25" hidden="true" customHeight="false" outlineLevel="0" collapsed="false">
      <c r="A3946" s="49" t="s">
        <v>2349</v>
      </c>
      <c r="B3946" s="49" t="s">
        <v>2350</v>
      </c>
      <c r="C3946" s="49" t="s">
        <v>7710</v>
      </c>
      <c r="D3946" s="49" t="s">
        <v>2352</v>
      </c>
      <c r="E3946" s="49" t="str">
        <f aca="false">"5060458890191"</f>
        <v>5060458890191</v>
      </c>
      <c r="F3946" s="49" t="s">
        <v>3656</v>
      </c>
      <c r="G3946" s="49" t="n">
        <v>0</v>
      </c>
      <c r="H3946" s="0" t="n">
        <v>0</v>
      </c>
      <c r="M3946" s="51" t="s">
        <v>7704</v>
      </c>
      <c r="N3946" s="49" t="n">
        <v>0</v>
      </c>
      <c r="O3946" s="53" t="n">
        <v>45845.614224537</v>
      </c>
      <c r="P3946" s="53" t="n">
        <v>45848.6252546296</v>
      </c>
      <c r="Q3946" s="53" t="n">
        <v>45845.614224537</v>
      </c>
      <c r="R3946" s="0" t="n">
        <v>0</v>
      </c>
      <c r="S3946" s="51" t="s">
        <v>4015</v>
      </c>
      <c r="T3946" s="51" t="s">
        <v>4015</v>
      </c>
      <c r="U3946" s="0" t="str">
        <f aca="false">"5060458890191"</f>
        <v>5060458890191</v>
      </c>
      <c r="V3946" s="51" t="s">
        <v>2142</v>
      </c>
      <c r="W3946" s="51" t="s">
        <v>3672</v>
      </c>
      <c r="X3946" s="51" t="s">
        <v>2359</v>
      </c>
    </row>
    <row r="3947" customFormat="false" ht="14.25" hidden="true" customHeight="false" outlineLevel="0" collapsed="false">
      <c r="A3947" s="49" t="s">
        <v>2349</v>
      </c>
      <c r="B3947" s="49" t="s">
        <v>2350</v>
      </c>
      <c r="C3947" s="49" t="s">
        <v>7711</v>
      </c>
      <c r="D3947" s="49" t="s">
        <v>2352</v>
      </c>
      <c r="E3947" s="49" t="str">
        <f aca="false">"5060458890191"</f>
        <v>5060458890191</v>
      </c>
      <c r="F3947" s="49" t="s">
        <v>3656</v>
      </c>
      <c r="G3947" s="49" t="n">
        <v>0</v>
      </c>
      <c r="H3947" s="0" t="n">
        <v>0</v>
      </c>
      <c r="M3947" s="51" t="s">
        <v>7704</v>
      </c>
      <c r="N3947" s="49" t="n">
        <v>0</v>
      </c>
      <c r="O3947" s="53" t="n">
        <v>45845.6143287037</v>
      </c>
      <c r="P3947" s="53" t="n">
        <v>45856.4658333333</v>
      </c>
      <c r="Q3947" s="53" t="n">
        <v>45845.6143287037</v>
      </c>
      <c r="R3947" s="0" t="n">
        <v>0</v>
      </c>
      <c r="S3947" s="51" t="s">
        <v>4015</v>
      </c>
      <c r="T3947" s="51" t="s">
        <v>4015</v>
      </c>
      <c r="U3947" s="0" t="str">
        <f aca="false">"5060458890191"</f>
        <v>5060458890191</v>
      </c>
      <c r="V3947" s="51" t="s">
        <v>2142</v>
      </c>
      <c r="W3947" s="51" t="s">
        <v>5537</v>
      </c>
      <c r="X3947" s="51" t="s">
        <v>2359</v>
      </c>
    </row>
    <row r="3948" customFormat="false" ht="14.25" hidden="true" customHeight="false" outlineLevel="0" collapsed="false">
      <c r="A3948" s="49" t="s">
        <v>2349</v>
      </c>
      <c r="B3948" s="49" t="s">
        <v>2350</v>
      </c>
      <c r="C3948" s="49" t="s">
        <v>7712</v>
      </c>
      <c r="D3948" s="49" t="s">
        <v>2352</v>
      </c>
      <c r="E3948" s="49" t="str">
        <f aca="false">"5060458890191"</f>
        <v>5060458890191</v>
      </c>
      <c r="F3948" s="49" t="s">
        <v>3656</v>
      </c>
      <c r="G3948" s="49" t="n">
        <v>0</v>
      </c>
      <c r="H3948" s="0" t="n">
        <v>0</v>
      </c>
      <c r="M3948" s="51" t="s">
        <v>7704</v>
      </c>
      <c r="N3948" s="49" t="n">
        <v>0</v>
      </c>
      <c r="O3948" s="53" t="n">
        <v>45845.6144212963</v>
      </c>
      <c r="P3948" s="53" t="n">
        <v>45848.6243055556</v>
      </c>
      <c r="Q3948" s="53" t="n">
        <v>45845.6144212963</v>
      </c>
      <c r="R3948" s="0" t="n">
        <v>0</v>
      </c>
      <c r="S3948" s="51" t="s">
        <v>4015</v>
      </c>
      <c r="T3948" s="51" t="s">
        <v>4015</v>
      </c>
      <c r="U3948" s="0" t="str">
        <f aca="false">"5060458890191"</f>
        <v>5060458890191</v>
      </c>
      <c r="V3948" s="51" t="s">
        <v>2142</v>
      </c>
      <c r="W3948" s="51" t="s">
        <v>5709</v>
      </c>
      <c r="X3948" s="51" t="s">
        <v>2359</v>
      </c>
    </row>
    <row r="3949" customFormat="false" ht="14.25" hidden="true" customHeight="false" outlineLevel="0" collapsed="false">
      <c r="A3949" s="49" t="s">
        <v>2349</v>
      </c>
      <c r="B3949" s="49" t="s">
        <v>2350</v>
      </c>
      <c r="C3949" s="49" t="s">
        <v>7713</v>
      </c>
      <c r="D3949" s="49" t="s">
        <v>2352</v>
      </c>
      <c r="E3949" s="49" t="str">
        <f aca="false">"5060458890191"</f>
        <v>5060458890191</v>
      </c>
      <c r="F3949" s="49" t="s">
        <v>3656</v>
      </c>
      <c r="G3949" s="49" t="n">
        <v>0</v>
      </c>
      <c r="H3949" s="0" t="n">
        <v>0</v>
      </c>
      <c r="M3949" s="51" t="s">
        <v>7704</v>
      </c>
      <c r="N3949" s="49" t="n">
        <v>0</v>
      </c>
      <c r="O3949" s="53" t="n">
        <v>45845.6145601852</v>
      </c>
      <c r="P3949" s="53" t="n">
        <v>45848.6259837963</v>
      </c>
      <c r="Q3949" s="53" t="n">
        <v>45845.6145601852</v>
      </c>
      <c r="R3949" s="0" t="n">
        <v>0</v>
      </c>
      <c r="S3949" s="51" t="s">
        <v>4015</v>
      </c>
      <c r="T3949" s="51" t="s">
        <v>4015</v>
      </c>
      <c r="U3949" s="0" t="str">
        <f aca="false">"5060458890191"</f>
        <v>5060458890191</v>
      </c>
      <c r="V3949" s="51" t="s">
        <v>2142</v>
      </c>
      <c r="W3949" s="51" t="s">
        <v>4779</v>
      </c>
      <c r="X3949" s="51" t="s">
        <v>2359</v>
      </c>
    </row>
    <row r="3950" customFormat="false" ht="14.25" hidden="true" customHeight="false" outlineLevel="0" collapsed="false">
      <c r="A3950" s="49" t="s">
        <v>2349</v>
      </c>
      <c r="B3950" s="49" t="s">
        <v>2350</v>
      </c>
      <c r="C3950" s="49" t="s">
        <v>7714</v>
      </c>
      <c r="D3950" s="49" t="s">
        <v>2352</v>
      </c>
      <c r="E3950" s="49" t="str">
        <f aca="false">"5060458890191"</f>
        <v>5060458890191</v>
      </c>
      <c r="F3950" s="49" t="s">
        <v>3656</v>
      </c>
      <c r="G3950" s="49" t="n">
        <v>0</v>
      </c>
      <c r="H3950" s="0" t="n">
        <v>0</v>
      </c>
      <c r="M3950" s="51" t="s">
        <v>7704</v>
      </c>
      <c r="N3950" s="49" t="n">
        <v>0</v>
      </c>
      <c r="O3950" s="53" t="n">
        <v>45845.6146759259</v>
      </c>
      <c r="P3950" s="53" t="n">
        <v>45848.6274884259</v>
      </c>
      <c r="Q3950" s="53" t="n">
        <v>45845.6146759259</v>
      </c>
      <c r="R3950" s="0" t="n">
        <v>0</v>
      </c>
      <c r="S3950" s="51" t="s">
        <v>4015</v>
      </c>
      <c r="T3950" s="51" t="s">
        <v>4015</v>
      </c>
      <c r="U3950" s="0" t="str">
        <f aca="false">"5060458890191"</f>
        <v>5060458890191</v>
      </c>
      <c r="V3950" s="51" t="s">
        <v>2142</v>
      </c>
      <c r="W3950" s="51" t="s">
        <v>4562</v>
      </c>
      <c r="X3950" s="51" t="s">
        <v>2359</v>
      </c>
    </row>
    <row r="3951" customFormat="false" ht="14.25" hidden="true" customHeight="false" outlineLevel="0" collapsed="false">
      <c r="A3951" s="49" t="s">
        <v>2349</v>
      </c>
      <c r="B3951" s="49" t="s">
        <v>2350</v>
      </c>
      <c r="C3951" s="49" t="s">
        <v>7715</v>
      </c>
      <c r="D3951" s="49" t="s">
        <v>2352</v>
      </c>
      <c r="E3951" s="49" t="str">
        <f aca="false">"5060458890191"</f>
        <v>5060458890191</v>
      </c>
      <c r="F3951" s="49" t="s">
        <v>3656</v>
      </c>
      <c r="G3951" s="49" t="n">
        <v>0</v>
      </c>
      <c r="H3951" s="0" t="n">
        <v>0</v>
      </c>
      <c r="M3951" s="51" t="s">
        <v>7704</v>
      </c>
      <c r="N3951" s="49" t="n">
        <v>0</v>
      </c>
      <c r="O3951" s="53" t="n">
        <v>45845.6147569444</v>
      </c>
      <c r="P3951" s="53" t="n">
        <v>45848.6281134259</v>
      </c>
      <c r="Q3951" s="53" t="n">
        <v>45845.6147569444</v>
      </c>
      <c r="R3951" s="0" t="n">
        <v>0</v>
      </c>
      <c r="S3951" s="51" t="s">
        <v>4015</v>
      </c>
      <c r="T3951" s="51" t="s">
        <v>4015</v>
      </c>
      <c r="U3951" s="0" t="str">
        <f aca="false">"5060458890191"</f>
        <v>5060458890191</v>
      </c>
      <c r="V3951" s="51" t="s">
        <v>2142</v>
      </c>
      <c r="W3951" s="51" t="s">
        <v>5448</v>
      </c>
      <c r="X3951" s="51" t="s">
        <v>2359</v>
      </c>
    </row>
    <row r="3952" customFormat="false" ht="14.25" hidden="true" customHeight="false" outlineLevel="0" collapsed="false">
      <c r="A3952" s="49" t="s">
        <v>2349</v>
      </c>
      <c r="B3952" s="49" t="s">
        <v>2350</v>
      </c>
      <c r="C3952" s="49" t="s">
        <v>7716</v>
      </c>
      <c r="D3952" s="49" t="s">
        <v>2352</v>
      </c>
      <c r="E3952" s="49" t="str">
        <f aca="false">"5060458890191"</f>
        <v>5060458890191</v>
      </c>
      <c r="F3952" s="49" t="s">
        <v>3656</v>
      </c>
      <c r="G3952" s="49" t="n">
        <v>0</v>
      </c>
      <c r="H3952" s="0" t="n">
        <v>0</v>
      </c>
      <c r="M3952" s="51" t="s">
        <v>7704</v>
      </c>
      <c r="N3952" s="49" t="n">
        <v>0</v>
      </c>
      <c r="O3952" s="53" t="n">
        <v>45845.6151851852</v>
      </c>
      <c r="P3952" s="53" t="n">
        <v>45848.6288425926</v>
      </c>
      <c r="Q3952" s="53" t="n">
        <v>45845.6151851852</v>
      </c>
      <c r="R3952" s="0" t="n">
        <v>0</v>
      </c>
      <c r="S3952" s="51" t="s">
        <v>4015</v>
      </c>
      <c r="T3952" s="51" t="s">
        <v>4015</v>
      </c>
      <c r="U3952" s="0" t="str">
        <f aca="false">"5060458890191"</f>
        <v>5060458890191</v>
      </c>
      <c r="V3952" s="51" t="s">
        <v>2142</v>
      </c>
      <c r="W3952" s="51" t="s">
        <v>4771</v>
      </c>
      <c r="X3952" s="51" t="s">
        <v>2359</v>
      </c>
    </row>
    <row r="3953" customFormat="false" ht="14.25" hidden="true" customHeight="false" outlineLevel="0" collapsed="false">
      <c r="A3953" s="49" t="s">
        <v>2349</v>
      </c>
      <c r="B3953" s="49" t="s">
        <v>2350</v>
      </c>
      <c r="C3953" s="49" t="s">
        <v>7717</v>
      </c>
      <c r="D3953" s="49" t="s">
        <v>2352</v>
      </c>
      <c r="E3953" s="49" t="str">
        <f aca="false">"5060458890191"</f>
        <v>5060458890191</v>
      </c>
      <c r="F3953" s="49" t="s">
        <v>3656</v>
      </c>
      <c r="G3953" s="49" t="n">
        <v>0</v>
      </c>
      <c r="H3953" s="0" t="n">
        <v>0</v>
      </c>
      <c r="M3953" s="51" t="s">
        <v>7704</v>
      </c>
      <c r="N3953" s="49" t="n">
        <v>0</v>
      </c>
      <c r="O3953" s="53" t="n">
        <v>45845.6153240741</v>
      </c>
      <c r="P3953" s="53" t="n">
        <v>45848.6176388889</v>
      </c>
      <c r="Q3953" s="53" t="n">
        <v>45845.6153240741</v>
      </c>
      <c r="R3953" s="0" t="n">
        <v>0</v>
      </c>
      <c r="S3953" s="51" t="s">
        <v>4015</v>
      </c>
      <c r="T3953" s="51" t="s">
        <v>4015</v>
      </c>
      <c r="U3953" s="0" t="str">
        <f aca="false">"5060458890191"</f>
        <v>5060458890191</v>
      </c>
      <c r="V3953" s="51" t="s">
        <v>2142</v>
      </c>
      <c r="W3953" s="51" t="s">
        <v>4288</v>
      </c>
      <c r="X3953" s="51" t="s">
        <v>2359</v>
      </c>
    </row>
    <row r="3954" customFormat="false" ht="14.25" hidden="true" customHeight="false" outlineLevel="0" collapsed="false">
      <c r="A3954" s="49" t="s">
        <v>2349</v>
      </c>
      <c r="B3954" s="49" t="s">
        <v>2350</v>
      </c>
      <c r="C3954" s="49" t="s">
        <v>7718</v>
      </c>
      <c r="D3954" s="49" t="s">
        <v>2352</v>
      </c>
      <c r="E3954" s="49" t="str">
        <f aca="false">"5060458890191"</f>
        <v>5060458890191</v>
      </c>
      <c r="F3954" s="49" t="s">
        <v>3656</v>
      </c>
      <c r="G3954" s="49" t="n">
        <v>0</v>
      </c>
      <c r="H3954" s="0" t="n">
        <v>0</v>
      </c>
      <c r="M3954" s="51" t="s">
        <v>7704</v>
      </c>
      <c r="N3954" s="49" t="n">
        <v>0</v>
      </c>
      <c r="O3954" s="53" t="n">
        <v>45845.6154976852</v>
      </c>
      <c r="P3954" s="53" t="n">
        <v>45848.5982523148</v>
      </c>
      <c r="Q3954" s="53" t="n">
        <v>45845.6154976852</v>
      </c>
      <c r="R3954" s="0" t="n">
        <v>0</v>
      </c>
      <c r="S3954" s="51" t="s">
        <v>4015</v>
      </c>
      <c r="T3954" s="51" t="s">
        <v>4015</v>
      </c>
      <c r="U3954" s="0" t="str">
        <f aca="false">"5060458890191"</f>
        <v>5060458890191</v>
      </c>
      <c r="V3954" s="51" t="s">
        <v>2142</v>
      </c>
      <c r="W3954" s="51" t="s">
        <v>7570</v>
      </c>
      <c r="X3954" s="51" t="s">
        <v>2359</v>
      </c>
    </row>
    <row r="3955" customFormat="false" ht="14.25" hidden="true" customHeight="false" outlineLevel="0" collapsed="false">
      <c r="A3955" s="49" t="s">
        <v>2349</v>
      </c>
      <c r="B3955" s="49" t="s">
        <v>2350</v>
      </c>
      <c r="C3955" s="49" t="s">
        <v>7719</v>
      </c>
      <c r="D3955" s="49" t="s">
        <v>2352</v>
      </c>
      <c r="E3955" s="49" t="str">
        <f aca="false">"5060458890191"</f>
        <v>5060458890191</v>
      </c>
      <c r="F3955" s="49" t="s">
        <v>3656</v>
      </c>
      <c r="G3955" s="49" t="n">
        <v>0</v>
      </c>
      <c r="H3955" s="0" t="n">
        <v>0</v>
      </c>
      <c r="M3955" s="51" t="s">
        <v>7704</v>
      </c>
      <c r="N3955" s="49" t="n">
        <v>0</v>
      </c>
      <c r="O3955" s="53" t="n">
        <v>45845.6157291667</v>
      </c>
      <c r="P3955" s="53" t="n">
        <v>45848.5971296296</v>
      </c>
      <c r="Q3955" s="53" t="n">
        <v>45845.6157291667</v>
      </c>
      <c r="R3955" s="0" t="n">
        <v>0</v>
      </c>
      <c r="S3955" s="51" t="s">
        <v>4015</v>
      </c>
      <c r="T3955" s="51" t="s">
        <v>4015</v>
      </c>
      <c r="U3955" s="0" t="str">
        <f aca="false">"5060458890191"</f>
        <v>5060458890191</v>
      </c>
      <c r="V3955" s="51" t="s">
        <v>2142</v>
      </c>
      <c r="W3955" s="51" t="s">
        <v>5606</v>
      </c>
      <c r="X3955" s="51" t="s">
        <v>2359</v>
      </c>
    </row>
    <row r="3956" customFormat="false" ht="14.25" hidden="true" customHeight="false" outlineLevel="0" collapsed="false">
      <c r="A3956" s="49" t="s">
        <v>2349</v>
      </c>
      <c r="B3956" s="49" t="s">
        <v>2350</v>
      </c>
      <c r="C3956" s="49" t="s">
        <v>7720</v>
      </c>
      <c r="D3956" s="49" t="s">
        <v>2352</v>
      </c>
      <c r="E3956" s="49" t="str">
        <f aca="false">"5060458890191"</f>
        <v>5060458890191</v>
      </c>
      <c r="F3956" s="49" t="s">
        <v>3656</v>
      </c>
      <c r="G3956" s="49" t="n">
        <v>0</v>
      </c>
      <c r="H3956" s="0" t="n">
        <v>0</v>
      </c>
      <c r="M3956" s="51" t="s">
        <v>7704</v>
      </c>
      <c r="N3956" s="49" t="n">
        <v>0</v>
      </c>
      <c r="O3956" s="53" t="n">
        <v>45845.6158680556</v>
      </c>
      <c r="P3956" s="53" t="n">
        <v>45847.7808564815</v>
      </c>
      <c r="Q3956" s="53" t="n">
        <v>45845.6158680556</v>
      </c>
      <c r="R3956" s="0" t="n">
        <v>0</v>
      </c>
      <c r="S3956" s="51" t="s">
        <v>4015</v>
      </c>
      <c r="T3956" s="51" t="s">
        <v>4015</v>
      </c>
      <c r="U3956" s="0" t="str">
        <f aca="false">"5060458890191"</f>
        <v>5060458890191</v>
      </c>
      <c r="V3956" s="51" t="s">
        <v>2142</v>
      </c>
      <c r="W3956" s="51" t="s">
        <v>7721</v>
      </c>
      <c r="X3956" s="51" t="s">
        <v>2359</v>
      </c>
    </row>
    <row r="3957" customFormat="false" ht="14.25" hidden="true" customHeight="false" outlineLevel="0" collapsed="false">
      <c r="A3957" s="49" t="s">
        <v>2349</v>
      </c>
      <c r="B3957" s="49" t="s">
        <v>2350</v>
      </c>
      <c r="C3957" s="49" t="s">
        <v>7722</v>
      </c>
      <c r="D3957" s="49" t="s">
        <v>2352</v>
      </c>
      <c r="E3957" s="49" t="str">
        <f aca="false">"5060458890191"</f>
        <v>5060458890191</v>
      </c>
      <c r="F3957" s="49" t="s">
        <v>3656</v>
      </c>
      <c r="G3957" s="49" t="n">
        <v>0</v>
      </c>
      <c r="H3957" s="0" t="n">
        <v>0</v>
      </c>
      <c r="M3957" s="51" t="s">
        <v>7704</v>
      </c>
      <c r="N3957" s="49" t="n">
        <v>0</v>
      </c>
      <c r="O3957" s="53" t="n">
        <v>45845.6159722222</v>
      </c>
      <c r="P3957" s="53" t="n">
        <v>45848.6170949074</v>
      </c>
      <c r="Q3957" s="53" t="n">
        <v>45845.6159722222</v>
      </c>
      <c r="R3957" s="0" t="n">
        <v>0</v>
      </c>
      <c r="S3957" s="51" t="s">
        <v>4015</v>
      </c>
      <c r="T3957" s="51" t="s">
        <v>4015</v>
      </c>
      <c r="U3957" s="0" t="str">
        <f aca="false">"5060458890191"</f>
        <v>5060458890191</v>
      </c>
      <c r="V3957" s="51" t="s">
        <v>2142</v>
      </c>
      <c r="W3957" s="51" t="s">
        <v>4521</v>
      </c>
      <c r="X3957" s="51" t="s">
        <v>2359</v>
      </c>
    </row>
    <row r="3958" customFormat="false" ht="14.25" hidden="true" customHeight="false" outlineLevel="0" collapsed="false">
      <c r="A3958" s="49" t="s">
        <v>2349</v>
      </c>
      <c r="B3958" s="49" t="s">
        <v>2350</v>
      </c>
      <c r="C3958" s="49" t="s">
        <v>7723</v>
      </c>
      <c r="D3958" s="49" t="s">
        <v>2352</v>
      </c>
      <c r="E3958" s="49" t="str">
        <f aca="false">"5060458890191"</f>
        <v>5060458890191</v>
      </c>
      <c r="F3958" s="49" t="s">
        <v>3656</v>
      </c>
      <c r="G3958" s="49" t="n">
        <v>0</v>
      </c>
      <c r="H3958" s="0" t="n">
        <v>0</v>
      </c>
      <c r="M3958" s="51" t="s">
        <v>7704</v>
      </c>
      <c r="N3958" s="49" t="n">
        <v>0</v>
      </c>
      <c r="O3958" s="53" t="n">
        <v>45845.6160648148</v>
      </c>
      <c r="P3958" s="53" t="n">
        <v>45856.4586921296</v>
      </c>
      <c r="Q3958" s="53" t="n">
        <v>45845.6160648148</v>
      </c>
      <c r="R3958" s="0" t="n">
        <v>0</v>
      </c>
      <c r="S3958" s="51" t="s">
        <v>4015</v>
      </c>
      <c r="T3958" s="51" t="s">
        <v>4015</v>
      </c>
      <c r="U3958" s="0" t="str">
        <f aca="false">"5060458890191"</f>
        <v>5060458890191</v>
      </c>
      <c r="V3958" s="51" t="s">
        <v>2142</v>
      </c>
      <c r="W3958" s="51" t="s">
        <v>6707</v>
      </c>
      <c r="X3958" s="51" t="s">
        <v>2359</v>
      </c>
    </row>
    <row r="3959" customFormat="false" ht="14.25" hidden="true" customHeight="false" outlineLevel="0" collapsed="false">
      <c r="A3959" s="49" t="s">
        <v>2349</v>
      </c>
      <c r="B3959" s="49" t="s">
        <v>2350</v>
      </c>
      <c r="C3959" s="49" t="s">
        <v>7724</v>
      </c>
      <c r="D3959" s="49" t="s">
        <v>2352</v>
      </c>
      <c r="E3959" s="49" t="str">
        <f aca="false">"5060458890191"</f>
        <v>5060458890191</v>
      </c>
      <c r="F3959" s="49" t="s">
        <v>3656</v>
      </c>
      <c r="G3959" s="49" t="n">
        <v>0</v>
      </c>
      <c r="H3959" s="0" t="n">
        <v>0</v>
      </c>
      <c r="M3959" s="51" t="s">
        <v>7704</v>
      </c>
      <c r="N3959" s="49" t="n">
        <v>0</v>
      </c>
      <c r="O3959" s="53" t="n">
        <v>45845.6161574074</v>
      </c>
      <c r="P3959" s="53" t="n">
        <v>45848.5960648148</v>
      </c>
      <c r="Q3959" s="53" t="n">
        <v>45845.6161574074</v>
      </c>
      <c r="R3959" s="0" t="n">
        <v>0</v>
      </c>
      <c r="S3959" s="51" t="s">
        <v>4015</v>
      </c>
      <c r="T3959" s="51" t="s">
        <v>4015</v>
      </c>
      <c r="U3959" s="0" t="str">
        <f aca="false">"5060458890191"</f>
        <v>5060458890191</v>
      </c>
      <c r="V3959" s="51" t="s">
        <v>2142</v>
      </c>
      <c r="W3959" s="51" t="s">
        <v>5615</v>
      </c>
      <c r="X3959" s="51" t="s">
        <v>2359</v>
      </c>
    </row>
    <row r="3960" customFormat="false" ht="14.25" hidden="true" customHeight="false" outlineLevel="0" collapsed="false">
      <c r="A3960" s="49" t="s">
        <v>2349</v>
      </c>
      <c r="B3960" s="49" t="s">
        <v>2350</v>
      </c>
      <c r="C3960" s="49" t="s">
        <v>7725</v>
      </c>
      <c r="D3960" s="49" t="s">
        <v>2352</v>
      </c>
      <c r="E3960" s="49" t="str">
        <f aca="false">"5060458890191"</f>
        <v>5060458890191</v>
      </c>
      <c r="F3960" s="49" t="s">
        <v>3656</v>
      </c>
      <c r="G3960" s="49" t="n">
        <v>0</v>
      </c>
      <c r="H3960" s="0" t="n">
        <v>0</v>
      </c>
      <c r="M3960" s="51" t="s">
        <v>7704</v>
      </c>
      <c r="N3960" s="49" t="n">
        <v>0</v>
      </c>
      <c r="O3960" s="53" t="n">
        <v>45845.6162615741</v>
      </c>
      <c r="P3960" s="53" t="n">
        <v>45848.594849537</v>
      </c>
      <c r="Q3960" s="53" t="n">
        <v>45845.6162615741</v>
      </c>
      <c r="R3960" s="0" t="n">
        <v>0</v>
      </c>
      <c r="S3960" s="51" t="s">
        <v>4015</v>
      </c>
      <c r="T3960" s="51" t="s">
        <v>4015</v>
      </c>
      <c r="U3960" s="0" t="str">
        <f aca="false">"5060458890191"</f>
        <v>5060458890191</v>
      </c>
      <c r="V3960" s="51" t="s">
        <v>2142</v>
      </c>
      <c r="W3960" s="51" t="s">
        <v>5612</v>
      </c>
      <c r="X3960" s="51" t="s">
        <v>2359</v>
      </c>
    </row>
    <row r="3961" customFormat="false" ht="14.25" hidden="true" customHeight="false" outlineLevel="0" collapsed="false">
      <c r="A3961" s="49" t="s">
        <v>2349</v>
      </c>
      <c r="B3961" s="49" t="s">
        <v>2350</v>
      </c>
      <c r="C3961" s="49" t="s">
        <v>7726</v>
      </c>
      <c r="D3961" s="49" t="s">
        <v>2352</v>
      </c>
      <c r="E3961" s="49" t="str">
        <f aca="false">"5060458890191"</f>
        <v>5060458890191</v>
      </c>
      <c r="F3961" s="49" t="s">
        <v>3656</v>
      </c>
      <c r="G3961" s="49" t="n">
        <v>0</v>
      </c>
      <c r="H3961" s="0" t="n">
        <v>0</v>
      </c>
      <c r="M3961" s="51" t="s">
        <v>7704</v>
      </c>
      <c r="N3961" s="49" t="n">
        <v>0</v>
      </c>
      <c r="O3961" s="53" t="n">
        <v>45845.6163773148</v>
      </c>
      <c r="P3961" s="53" t="n">
        <v>45847.3620717593</v>
      </c>
      <c r="Q3961" s="53" t="n">
        <v>45845.6163773148</v>
      </c>
      <c r="R3961" s="0" t="n">
        <v>0</v>
      </c>
      <c r="S3961" s="51" t="s">
        <v>4015</v>
      </c>
      <c r="T3961" s="51" t="s">
        <v>4015</v>
      </c>
      <c r="U3961" s="0" t="str">
        <f aca="false">"5060458890191"</f>
        <v>5060458890191</v>
      </c>
      <c r="V3961" s="51" t="s">
        <v>2142</v>
      </c>
      <c r="W3961" s="51" t="s">
        <v>4763</v>
      </c>
      <c r="X3961" s="51" t="s">
        <v>2359</v>
      </c>
    </row>
    <row r="3962" customFormat="false" ht="14.25" hidden="true" customHeight="false" outlineLevel="0" collapsed="false">
      <c r="A3962" s="49" t="s">
        <v>2349</v>
      </c>
      <c r="B3962" s="49" t="s">
        <v>2350</v>
      </c>
      <c r="C3962" s="49" t="s">
        <v>7727</v>
      </c>
      <c r="D3962" s="49" t="s">
        <v>2352</v>
      </c>
      <c r="E3962" s="49" t="str">
        <f aca="false">"5060458890191"</f>
        <v>5060458890191</v>
      </c>
      <c r="F3962" s="49" t="s">
        <v>3656</v>
      </c>
      <c r="G3962" s="49" t="n">
        <v>0</v>
      </c>
      <c r="H3962" s="0" t="n">
        <v>0</v>
      </c>
      <c r="M3962" s="51" t="s">
        <v>7704</v>
      </c>
      <c r="N3962" s="49" t="n">
        <v>0</v>
      </c>
      <c r="O3962" s="53" t="n">
        <v>45845.6165046296</v>
      </c>
      <c r="P3962" s="53" t="n">
        <v>45848.6343287037</v>
      </c>
      <c r="Q3962" s="53" t="n">
        <v>45845.6165046296</v>
      </c>
      <c r="R3962" s="0" t="n">
        <v>0</v>
      </c>
      <c r="S3962" s="51" t="s">
        <v>4015</v>
      </c>
      <c r="T3962" s="51" t="s">
        <v>4015</v>
      </c>
      <c r="U3962" s="0" t="str">
        <f aca="false">"5060458890191"</f>
        <v>5060458890191</v>
      </c>
      <c r="V3962" s="51" t="s">
        <v>2142</v>
      </c>
      <c r="W3962" s="51" t="s">
        <v>4218</v>
      </c>
      <c r="X3962" s="51" t="s">
        <v>2359</v>
      </c>
    </row>
    <row r="3963" customFormat="false" ht="14.25" hidden="true" customHeight="false" outlineLevel="0" collapsed="false">
      <c r="A3963" s="49" t="s">
        <v>2349</v>
      </c>
      <c r="B3963" s="49" t="s">
        <v>2350</v>
      </c>
      <c r="C3963" s="49" t="s">
        <v>7728</v>
      </c>
      <c r="D3963" s="49" t="s">
        <v>2352</v>
      </c>
      <c r="E3963" s="49" t="str">
        <f aca="false">"5060458890191"</f>
        <v>5060458890191</v>
      </c>
      <c r="F3963" s="49" t="s">
        <v>3656</v>
      </c>
      <c r="G3963" s="49" t="n">
        <v>0</v>
      </c>
      <c r="H3963" s="0" t="n">
        <v>0</v>
      </c>
      <c r="M3963" s="51" t="s">
        <v>7704</v>
      </c>
      <c r="N3963" s="49" t="n">
        <v>0</v>
      </c>
      <c r="O3963" s="53" t="n">
        <v>45845.6166203704</v>
      </c>
      <c r="P3963" s="53" t="n">
        <v>45848.6374305556</v>
      </c>
      <c r="Q3963" s="53" t="n">
        <v>45845.6166203704</v>
      </c>
      <c r="R3963" s="0" t="n">
        <v>0</v>
      </c>
      <c r="S3963" s="51" t="s">
        <v>4015</v>
      </c>
      <c r="T3963" s="51" t="s">
        <v>4015</v>
      </c>
      <c r="U3963" s="0" t="str">
        <f aca="false">"5060458890191"</f>
        <v>5060458890191</v>
      </c>
      <c r="V3963" s="51" t="s">
        <v>2142</v>
      </c>
      <c r="W3963" s="51" t="s">
        <v>4878</v>
      </c>
      <c r="X3963" s="51" t="s">
        <v>2359</v>
      </c>
    </row>
    <row r="3964" customFormat="false" ht="14.25" hidden="true" customHeight="false" outlineLevel="0" collapsed="false">
      <c r="A3964" s="49" t="s">
        <v>2349</v>
      </c>
      <c r="B3964" s="49" t="s">
        <v>2350</v>
      </c>
      <c r="C3964" s="49" t="s">
        <v>7729</v>
      </c>
      <c r="D3964" s="49" t="s">
        <v>2352</v>
      </c>
      <c r="E3964" s="49" t="str">
        <f aca="false">"5060458890191"</f>
        <v>5060458890191</v>
      </c>
      <c r="F3964" s="49" t="s">
        <v>3656</v>
      </c>
      <c r="G3964" s="49" t="n">
        <v>0</v>
      </c>
      <c r="H3964" s="0" t="n">
        <v>0</v>
      </c>
      <c r="M3964" s="51" t="s">
        <v>7704</v>
      </c>
      <c r="N3964" s="49" t="n">
        <v>0</v>
      </c>
      <c r="O3964" s="53" t="n">
        <v>45845.616712963</v>
      </c>
      <c r="P3964" s="53" t="n">
        <v>45848.6265393519</v>
      </c>
      <c r="Q3964" s="53" t="n">
        <v>45845.616712963</v>
      </c>
      <c r="R3964" s="0" t="n">
        <v>0</v>
      </c>
      <c r="S3964" s="51" t="s">
        <v>4015</v>
      </c>
      <c r="T3964" s="51" t="s">
        <v>4015</v>
      </c>
      <c r="U3964" s="0" t="str">
        <f aca="false">"5060458890191"</f>
        <v>5060458890191</v>
      </c>
      <c r="V3964" s="51" t="s">
        <v>2142</v>
      </c>
      <c r="W3964" s="51" t="s">
        <v>5882</v>
      </c>
      <c r="X3964" s="51" t="s">
        <v>2359</v>
      </c>
    </row>
    <row r="3965" customFormat="false" ht="14.25" hidden="true" customHeight="false" outlineLevel="0" collapsed="false">
      <c r="A3965" s="49" t="s">
        <v>2349</v>
      </c>
      <c r="B3965" s="49" t="s">
        <v>2350</v>
      </c>
      <c r="C3965" s="49" t="s">
        <v>7730</v>
      </c>
      <c r="D3965" s="49" t="s">
        <v>2352</v>
      </c>
      <c r="E3965" s="49" t="str">
        <f aca="false">"5060458890191"</f>
        <v>5060458890191</v>
      </c>
      <c r="F3965" s="49" t="s">
        <v>3656</v>
      </c>
      <c r="G3965" s="49" t="n">
        <v>0</v>
      </c>
      <c r="H3965" s="0" t="n">
        <v>0</v>
      </c>
      <c r="M3965" s="51" t="s">
        <v>7704</v>
      </c>
      <c r="N3965" s="49" t="n">
        <v>0</v>
      </c>
      <c r="O3965" s="53" t="n">
        <v>45845.6168055556</v>
      </c>
      <c r="P3965" s="53" t="n">
        <v>45864.4013194444</v>
      </c>
      <c r="Q3965" s="53" t="n">
        <v>45845.6168055556</v>
      </c>
      <c r="R3965" s="0" t="n">
        <v>0</v>
      </c>
      <c r="S3965" s="51" t="s">
        <v>4015</v>
      </c>
      <c r="T3965" s="51" t="s">
        <v>4015</v>
      </c>
      <c r="U3965" s="0" t="str">
        <f aca="false">"5060458890191"</f>
        <v>5060458890191</v>
      </c>
      <c r="V3965" s="51" t="s">
        <v>2142</v>
      </c>
      <c r="W3965" s="51" t="s">
        <v>4728</v>
      </c>
      <c r="X3965" s="51" t="s">
        <v>2359</v>
      </c>
    </row>
    <row r="3966" customFormat="false" ht="14.25" hidden="true" customHeight="false" outlineLevel="0" collapsed="false">
      <c r="A3966" s="49" t="s">
        <v>2349</v>
      </c>
      <c r="B3966" s="49" t="s">
        <v>2350</v>
      </c>
      <c r="C3966" s="49" t="s">
        <v>7731</v>
      </c>
      <c r="D3966" s="49" t="s">
        <v>2352</v>
      </c>
      <c r="E3966" s="49" t="str">
        <f aca="false">"5060458890191"</f>
        <v>5060458890191</v>
      </c>
      <c r="F3966" s="49" t="s">
        <v>3656</v>
      </c>
      <c r="G3966" s="49" t="n">
        <v>0</v>
      </c>
      <c r="H3966" s="0" t="n">
        <v>0</v>
      </c>
      <c r="M3966" s="51" t="s">
        <v>7704</v>
      </c>
      <c r="N3966" s="49" t="n">
        <v>0</v>
      </c>
      <c r="O3966" s="53" t="n">
        <v>45845.6168981481</v>
      </c>
      <c r="P3966" s="53" t="n">
        <v>45848.6512384259</v>
      </c>
      <c r="Q3966" s="53" t="n">
        <v>45845.6168981481</v>
      </c>
      <c r="R3966" s="0" t="n">
        <v>0</v>
      </c>
      <c r="S3966" s="51" t="s">
        <v>4015</v>
      </c>
      <c r="T3966" s="51" t="s">
        <v>4015</v>
      </c>
      <c r="U3966" s="0" t="str">
        <f aca="false">"5060458890191"</f>
        <v>5060458890191</v>
      </c>
      <c r="V3966" s="51" t="s">
        <v>2142</v>
      </c>
      <c r="W3966" s="51" t="s">
        <v>7563</v>
      </c>
      <c r="X3966" s="51" t="s">
        <v>2359</v>
      </c>
    </row>
    <row r="3967" customFormat="false" ht="14.25" hidden="true" customHeight="false" outlineLevel="0" collapsed="false">
      <c r="A3967" s="49" t="s">
        <v>2349</v>
      </c>
      <c r="B3967" s="49" t="s">
        <v>2350</v>
      </c>
      <c r="C3967" s="49" t="s">
        <v>7732</v>
      </c>
      <c r="D3967" s="49" t="s">
        <v>2352</v>
      </c>
      <c r="E3967" s="49" t="str">
        <f aca="false">"5060458890191"</f>
        <v>5060458890191</v>
      </c>
      <c r="F3967" s="49" t="s">
        <v>3656</v>
      </c>
      <c r="G3967" s="49" t="n">
        <v>0</v>
      </c>
      <c r="H3967" s="0" t="n">
        <v>0</v>
      </c>
      <c r="M3967" s="51" t="s">
        <v>7704</v>
      </c>
      <c r="N3967" s="49" t="n">
        <v>0</v>
      </c>
      <c r="O3967" s="53" t="n">
        <v>45845.6169791667</v>
      </c>
      <c r="P3967" s="53" t="n">
        <v>45848.6227083333</v>
      </c>
      <c r="Q3967" s="53" t="n">
        <v>45845.6169791667</v>
      </c>
      <c r="R3967" s="0" t="n">
        <v>0</v>
      </c>
      <c r="S3967" s="51" t="s">
        <v>4015</v>
      </c>
      <c r="T3967" s="51" t="s">
        <v>4015</v>
      </c>
      <c r="U3967" s="0" t="str">
        <f aca="false">"5060458890191"</f>
        <v>5060458890191</v>
      </c>
      <c r="V3967" s="51" t="s">
        <v>2142</v>
      </c>
      <c r="W3967" s="51" t="s">
        <v>7733</v>
      </c>
      <c r="X3967" s="51" t="s">
        <v>2359</v>
      </c>
    </row>
    <row r="3968" customFormat="false" ht="14.25" hidden="true" customHeight="false" outlineLevel="0" collapsed="false">
      <c r="A3968" s="49" t="s">
        <v>2349</v>
      </c>
      <c r="B3968" s="49" t="s">
        <v>2350</v>
      </c>
      <c r="C3968" s="49" t="s">
        <v>7734</v>
      </c>
      <c r="D3968" s="49" t="s">
        <v>2352</v>
      </c>
      <c r="E3968" s="49" t="str">
        <f aca="false">"5060458890191"</f>
        <v>5060458890191</v>
      </c>
      <c r="F3968" s="49" t="s">
        <v>3656</v>
      </c>
      <c r="G3968" s="49" t="n">
        <v>0</v>
      </c>
      <c r="H3968" s="0" t="n">
        <v>0</v>
      </c>
      <c r="M3968" s="51" t="s">
        <v>7704</v>
      </c>
      <c r="N3968" s="49" t="n">
        <v>0</v>
      </c>
      <c r="O3968" s="53" t="n">
        <v>45845.6170717593</v>
      </c>
      <c r="P3968" s="53" t="n">
        <v>45848.6524189815</v>
      </c>
      <c r="Q3968" s="53" t="n">
        <v>45845.6170717593</v>
      </c>
      <c r="R3968" s="0" t="n">
        <v>0</v>
      </c>
      <c r="S3968" s="51" t="s">
        <v>4015</v>
      </c>
      <c r="T3968" s="51" t="s">
        <v>4015</v>
      </c>
      <c r="U3968" s="0" t="str">
        <f aca="false">"5060458890191"</f>
        <v>5060458890191</v>
      </c>
      <c r="V3968" s="51" t="s">
        <v>2142</v>
      </c>
      <c r="W3968" s="51" t="s">
        <v>5382</v>
      </c>
      <c r="X3968" s="51" t="s">
        <v>2359</v>
      </c>
    </row>
    <row r="3969" customFormat="false" ht="14.25" hidden="true" customHeight="false" outlineLevel="0" collapsed="false">
      <c r="A3969" s="49" t="s">
        <v>2349</v>
      </c>
      <c r="B3969" s="49" t="s">
        <v>2350</v>
      </c>
      <c r="C3969" s="49" t="s">
        <v>7735</v>
      </c>
      <c r="D3969" s="49" t="s">
        <v>2352</v>
      </c>
      <c r="E3969" s="49" t="str">
        <f aca="false">"5060458890191"</f>
        <v>5060458890191</v>
      </c>
      <c r="F3969" s="49" t="s">
        <v>3656</v>
      </c>
      <c r="G3969" s="49" t="n">
        <v>0</v>
      </c>
      <c r="H3969" s="0" t="n">
        <v>0</v>
      </c>
      <c r="M3969" s="51" t="s">
        <v>7704</v>
      </c>
      <c r="N3969" s="49" t="n">
        <v>0</v>
      </c>
      <c r="O3969" s="53" t="n">
        <v>45845.6171527778</v>
      </c>
      <c r="P3969" s="53" t="n">
        <v>45864.4020601852</v>
      </c>
      <c r="Q3969" s="53" t="n">
        <v>45845.6171527778</v>
      </c>
      <c r="R3969" s="0" t="n">
        <v>0</v>
      </c>
      <c r="S3969" s="51" t="s">
        <v>4015</v>
      </c>
      <c r="T3969" s="51" t="s">
        <v>4015</v>
      </c>
      <c r="U3969" s="0" t="str">
        <f aca="false">"5060458890191"</f>
        <v>5060458890191</v>
      </c>
      <c r="V3969" s="51" t="s">
        <v>2142</v>
      </c>
      <c r="W3969" s="51" t="s">
        <v>4864</v>
      </c>
      <c r="X3969" s="51" t="s">
        <v>2359</v>
      </c>
    </row>
    <row r="3970" customFormat="false" ht="14.25" hidden="true" customHeight="false" outlineLevel="0" collapsed="false">
      <c r="A3970" s="49" t="s">
        <v>2349</v>
      </c>
      <c r="B3970" s="49" t="s">
        <v>2350</v>
      </c>
      <c r="C3970" s="49" t="s">
        <v>7736</v>
      </c>
      <c r="D3970" s="49" t="s">
        <v>2352</v>
      </c>
      <c r="E3970" s="49" t="str">
        <f aca="false">"10859585004074"</f>
        <v>10859585004074</v>
      </c>
      <c r="F3970" s="49" t="s">
        <v>7737</v>
      </c>
      <c r="G3970" s="49" t="n">
        <v>0</v>
      </c>
      <c r="H3970" s="0" t="n">
        <v>0</v>
      </c>
      <c r="M3970" s="51" t="s">
        <v>7738</v>
      </c>
      <c r="N3970" s="49" t="n">
        <v>0</v>
      </c>
      <c r="O3970" s="53" t="n">
        <v>45792.5163773148</v>
      </c>
      <c r="P3970" s="53" t="n">
        <v>45796.7626736111</v>
      </c>
      <c r="Q3970" s="53" t="n">
        <v>45792.5163773148</v>
      </c>
      <c r="R3970" s="0" t="n">
        <v>0</v>
      </c>
      <c r="S3970" s="51" t="s">
        <v>2416</v>
      </c>
      <c r="T3970" s="51" t="s">
        <v>2416</v>
      </c>
      <c r="U3970" s="0" t="str">
        <f aca="false">"10859585004074"</f>
        <v>10859585004074</v>
      </c>
      <c r="V3970" s="51" t="s">
        <v>7596</v>
      </c>
      <c r="W3970" s="51" t="s">
        <v>6966</v>
      </c>
      <c r="X3970" s="51" t="s">
        <v>2359</v>
      </c>
    </row>
    <row r="3971" customFormat="false" ht="14.25" hidden="true" customHeight="false" outlineLevel="0" collapsed="false">
      <c r="A3971" s="49" t="s">
        <v>2349</v>
      </c>
      <c r="B3971" s="49" t="s">
        <v>2350</v>
      </c>
      <c r="C3971" s="49" t="s">
        <v>7739</v>
      </c>
      <c r="D3971" s="49" t="s">
        <v>2352</v>
      </c>
      <c r="E3971" s="49" t="str">
        <f aca="false">"10859585004074"</f>
        <v>10859585004074</v>
      </c>
      <c r="F3971" s="49" t="s">
        <v>7737</v>
      </c>
      <c r="G3971" s="49" t="n">
        <v>0</v>
      </c>
      <c r="H3971" s="0" t="n">
        <v>0</v>
      </c>
      <c r="M3971" s="51" t="s">
        <v>7738</v>
      </c>
      <c r="N3971" s="49" t="n">
        <v>0</v>
      </c>
      <c r="O3971" s="53" t="n">
        <v>45792.5171990741</v>
      </c>
      <c r="P3971" s="53" t="n">
        <v>45796.7506018519</v>
      </c>
      <c r="Q3971" s="53" t="n">
        <v>45792.5171990741</v>
      </c>
      <c r="R3971" s="0" t="n">
        <v>0</v>
      </c>
      <c r="S3971" s="51" t="s">
        <v>2416</v>
      </c>
      <c r="T3971" s="51" t="s">
        <v>2416</v>
      </c>
      <c r="U3971" s="0" t="str">
        <f aca="false">"10859585004074"</f>
        <v>10859585004074</v>
      </c>
      <c r="V3971" s="51" t="s">
        <v>7596</v>
      </c>
      <c r="W3971" s="51" t="s">
        <v>4920</v>
      </c>
      <c r="X3971" s="51" t="s">
        <v>2359</v>
      </c>
    </row>
    <row r="3972" customFormat="false" ht="14.25" hidden="true" customHeight="false" outlineLevel="0" collapsed="false">
      <c r="A3972" s="49" t="s">
        <v>2349</v>
      </c>
      <c r="B3972" s="49" t="s">
        <v>2350</v>
      </c>
      <c r="C3972" s="49" t="s">
        <v>7740</v>
      </c>
      <c r="D3972" s="49" t="s">
        <v>2352</v>
      </c>
      <c r="E3972" s="49" t="str">
        <f aca="false">"10859585004074"</f>
        <v>10859585004074</v>
      </c>
      <c r="F3972" s="49" t="s">
        <v>7737</v>
      </c>
      <c r="G3972" s="49" t="n">
        <v>0</v>
      </c>
      <c r="H3972" s="0" t="n">
        <v>0</v>
      </c>
      <c r="M3972" s="51" t="s">
        <v>7738</v>
      </c>
      <c r="N3972" s="49" t="n">
        <v>0</v>
      </c>
      <c r="O3972" s="53" t="n">
        <v>45792.517650463</v>
      </c>
      <c r="P3972" s="53" t="n">
        <v>45796.7519097222</v>
      </c>
      <c r="Q3972" s="53" t="n">
        <v>45792.517650463</v>
      </c>
      <c r="R3972" s="0" t="n">
        <v>0</v>
      </c>
      <c r="S3972" s="51" t="s">
        <v>2416</v>
      </c>
      <c r="T3972" s="51" t="s">
        <v>2416</v>
      </c>
      <c r="U3972" s="0" t="str">
        <f aca="false">"10859585004074"</f>
        <v>10859585004074</v>
      </c>
      <c r="V3972" s="51" t="s">
        <v>7596</v>
      </c>
      <c r="W3972" s="51" t="s">
        <v>4185</v>
      </c>
      <c r="X3972" s="51" t="s">
        <v>2359</v>
      </c>
    </row>
    <row r="3973" customFormat="false" ht="14.25" hidden="true" customHeight="false" outlineLevel="0" collapsed="false">
      <c r="A3973" s="49" t="s">
        <v>2349</v>
      </c>
      <c r="B3973" s="49" t="s">
        <v>2350</v>
      </c>
      <c r="C3973" s="49" t="s">
        <v>7741</v>
      </c>
      <c r="D3973" s="49" t="s">
        <v>2352</v>
      </c>
      <c r="E3973" s="49" t="str">
        <f aca="false">"10859585004074"</f>
        <v>10859585004074</v>
      </c>
      <c r="F3973" s="49" t="s">
        <v>7737</v>
      </c>
      <c r="G3973" s="49" t="n">
        <v>0</v>
      </c>
      <c r="H3973" s="0" t="n">
        <v>0</v>
      </c>
      <c r="M3973" s="51" t="s">
        <v>7738</v>
      </c>
      <c r="N3973" s="49" t="n">
        <v>0</v>
      </c>
      <c r="O3973" s="53" t="n">
        <v>45792.5178125</v>
      </c>
      <c r="P3973" s="53" t="n">
        <v>45796.7531597222</v>
      </c>
      <c r="Q3973" s="53" t="n">
        <v>45792.5178125</v>
      </c>
      <c r="R3973" s="0" t="n">
        <v>0</v>
      </c>
      <c r="S3973" s="51" t="s">
        <v>2416</v>
      </c>
      <c r="T3973" s="51" t="s">
        <v>2416</v>
      </c>
      <c r="U3973" s="0" t="str">
        <f aca="false">"10859585004074"</f>
        <v>10859585004074</v>
      </c>
      <c r="V3973" s="51" t="s">
        <v>7596</v>
      </c>
      <c r="W3973" s="51" t="s">
        <v>5630</v>
      </c>
      <c r="X3973" s="51" t="s">
        <v>2359</v>
      </c>
    </row>
    <row r="3974" customFormat="false" ht="14.25" hidden="true" customHeight="false" outlineLevel="0" collapsed="false">
      <c r="A3974" s="49" t="s">
        <v>2349</v>
      </c>
      <c r="B3974" s="49" t="s">
        <v>2350</v>
      </c>
      <c r="C3974" s="49" t="s">
        <v>7742</v>
      </c>
      <c r="D3974" s="49" t="s">
        <v>2352</v>
      </c>
      <c r="E3974" s="49" t="str">
        <f aca="false">"10859585004074"</f>
        <v>10859585004074</v>
      </c>
      <c r="F3974" s="49" t="s">
        <v>7737</v>
      </c>
      <c r="G3974" s="49" t="n">
        <v>0</v>
      </c>
      <c r="H3974" s="0" t="n">
        <v>0</v>
      </c>
      <c r="M3974" s="51" t="s">
        <v>7738</v>
      </c>
      <c r="N3974" s="49" t="n">
        <v>0</v>
      </c>
      <c r="O3974" s="53" t="n">
        <v>45792.5182638889</v>
      </c>
      <c r="P3974" s="53" t="n">
        <v>45796.7546875</v>
      </c>
      <c r="Q3974" s="53" t="n">
        <v>45792.5182638889</v>
      </c>
      <c r="R3974" s="0" t="n">
        <v>0</v>
      </c>
      <c r="S3974" s="51" t="s">
        <v>2416</v>
      </c>
      <c r="T3974" s="51" t="s">
        <v>2416</v>
      </c>
      <c r="U3974" s="0" t="str">
        <f aca="false">"10859585004074"</f>
        <v>10859585004074</v>
      </c>
      <c r="V3974" s="51" t="s">
        <v>7596</v>
      </c>
      <c r="W3974" s="51" t="s">
        <v>6072</v>
      </c>
      <c r="X3974" s="51" t="s">
        <v>2359</v>
      </c>
    </row>
    <row r="3975" customFormat="false" ht="14.25" hidden="true" customHeight="false" outlineLevel="0" collapsed="false">
      <c r="A3975" s="49" t="s">
        <v>2349</v>
      </c>
      <c r="B3975" s="49" t="s">
        <v>2350</v>
      </c>
      <c r="C3975" s="49" t="s">
        <v>7743</v>
      </c>
      <c r="D3975" s="49" t="s">
        <v>2352</v>
      </c>
      <c r="E3975" s="49" t="str">
        <f aca="false">"10859585004074"</f>
        <v>10859585004074</v>
      </c>
      <c r="F3975" s="49" t="s">
        <v>7737</v>
      </c>
      <c r="G3975" s="49" t="n">
        <v>0</v>
      </c>
      <c r="H3975" s="0" t="n">
        <v>0</v>
      </c>
      <c r="M3975" s="51" t="s">
        <v>7738</v>
      </c>
      <c r="N3975" s="49" t="n">
        <v>0</v>
      </c>
      <c r="O3975" s="53" t="n">
        <v>45792.5183912037</v>
      </c>
      <c r="P3975" s="53" t="n">
        <v>45796.7595601852</v>
      </c>
      <c r="Q3975" s="53" t="n">
        <v>45792.5183912037</v>
      </c>
      <c r="R3975" s="0" t="n">
        <v>0</v>
      </c>
      <c r="S3975" s="51" t="s">
        <v>2416</v>
      </c>
      <c r="T3975" s="51" t="s">
        <v>2416</v>
      </c>
      <c r="U3975" s="0" t="str">
        <f aca="false">"10859585004074"</f>
        <v>10859585004074</v>
      </c>
      <c r="V3975" s="51" t="s">
        <v>7596</v>
      </c>
      <c r="W3975" s="51" t="s">
        <v>7744</v>
      </c>
      <c r="X3975" s="51" t="s">
        <v>2359</v>
      </c>
    </row>
    <row r="3976" customFormat="false" ht="14.25" hidden="true" customHeight="false" outlineLevel="0" collapsed="false">
      <c r="A3976" s="49" t="s">
        <v>2349</v>
      </c>
      <c r="B3976" s="49" t="s">
        <v>2350</v>
      </c>
      <c r="C3976" s="49" t="s">
        <v>7745</v>
      </c>
      <c r="D3976" s="49" t="s">
        <v>2352</v>
      </c>
      <c r="E3976" s="49" t="str">
        <f aca="false">"10859585004074"</f>
        <v>10859585004074</v>
      </c>
      <c r="F3976" s="49" t="s">
        <v>7737</v>
      </c>
      <c r="G3976" s="49" t="n">
        <v>0</v>
      </c>
      <c r="H3976" s="0" t="n">
        <v>0</v>
      </c>
      <c r="M3976" s="51" t="s">
        <v>7738</v>
      </c>
      <c r="N3976" s="49" t="n">
        <v>0</v>
      </c>
      <c r="O3976" s="53" t="n">
        <v>45792.5185416667</v>
      </c>
      <c r="P3976" s="53" t="n">
        <v>45796.7575462963</v>
      </c>
      <c r="Q3976" s="53" t="n">
        <v>45792.5185416667</v>
      </c>
      <c r="R3976" s="0" t="n">
        <v>0</v>
      </c>
      <c r="S3976" s="51" t="s">
        <v>2416</v>
      </c>
      <c r="T3976" s="51" t="s">
        <v>2416</v>
      </c>
      <c r="U3976" s="0" t="str">
        <f aca="false">"10859585004074"</f>
        <v>10859585004074</v>
      </c>
      <c r="V3976" s="51" t="s">
        <v>7596</v>
      </c>
      <c r="W3976" s="51" t="s">
        <v>5778</v>
      </c>
      <c r="X3976" s="51" t="s">
        <v>2359</v>
      </c>
    </row>
    <row r="3977" customFormat="false" ht="14.25" hidden="true" customHeight="false" outlineLevel="0" collapsed="false">
      <c r="A3977" s="49" t="s">
        <v>2349</v>
      </c>
      <c r="B3977" s="49" t="s">
        <v>2350</v>
      </c>
      <c r="C3977" s="49" t="s">
        <v>7746</v>
      </c>
      <c r="D3977" s="49" t="s">
        <v>2352</v>
      </c>
      <c r="E3977" s="49" t="str">
        <f aca="false">"10859585004074"</f>
        <v>10859585004074</v>
      </c>
      <c r="F3977" s="49" t="s">
        <v>7737</v>
      </c>
      <c r="G3977" s="49" t="n">
        <v>0</v>
      </c>
      <c r="H3977" s="0" t="n">
        <v>0</v>
      </c>
      <c r="M3977" s="51" t="s">
        <v>7738</v>
      </c>
      <c r="N3977" s="49" t="n">
        <v>0</v>
      </c>
      <c r="O3977" s="53" t="n">
        <v>45792.5186921296</v>
      </c>
      <c r="P3977" s="53" t="n">
        <v>45796.7324189815</v>
      </c>
      <c r="Q3977" s="53" t="n">
        <v>45792.5186921296</v>
      </c>
      <c r="R3977" s="0" t="n">
        <v>0</v>
      </c>
      <c r="S3977" s="51" t="s">
        <v>2416</v>
      </c>
      <c r="T3977" s="51" t="s">
        <v>2416</v>
      </c>
      <c r="U3977" s="0" t="str">
        <f aca="false">"10859585004074"</f>
        <v>10859585004074</v>
      </c>
      <c r="V3977" s="51" t="s">
        <v>7596</v>
      </c>
      <c r="W3977" s="51" t="s">
        <v>6597</v>
      </c>
      <c r="X3977" s="51" t="s">
        <v>2359</v>
      </c>
    </row>
    <row r="3978" customFormat="false" ht="14.25" hidden="true" customHeight="false" outlineLevel="0" collapsed="false">
      <c r="A3978" s="49" t="s">
        <v>2349</v>
      </c>
      <c r="B3978" s="49" t="s">
        <v>2350</v>
      </c>
      <c r="C3978" s="49" t="s">
        <v>7747</v>
      </c>
      <c r="D3978" s="49" t="s">
        <v>2352</v>
      </c>
      <c r="E3978" s="49" t="str">
        <f aca="false">"10859585004074"</f>
        <v>10859585004074</v>
      </c>
      <c r="F3978" s="49" t="s">
        <v>7737</v>
      </c>
      <c r="G3978" s="49" t="n">
        <v>0</v>
      </c>
      <c r="H3978" s="0" t="n">
        <v>0</v>
      </c>
      <c r="M3978" s="51" t="s">
        <v>7738</v>
      </c>
      <c r="N3978" s="49" t="n">
        <v>0</v>
      </c>
      <c r="O3978" s="53" t="n">
        <v>45792.5199305556</v>
      </c>
      <c r="P3978" s="53" t="n">
        <v>45796.7394212963</v>
      </c>
      <c r="Q3978" s="53" t="n">
        <v>45792.5199305556</v>
      </c>
      <c r="R3978" s="0" t="n">
        <v>0</v>
      </c>
      <c r="S3978" s="51" t="s">
        <v>2416</v>
      </c>
      <c r="T3978" s="51" t="s">
        <v>2416</v>
      </c>
      <c r="U3978" s="0" t="str">
        <f aca="false">"10859585004074"</f>
        <v>10859585004074</v>
      </c>
      <c r="V3978" s="51" t="s">
        <v>7596</v>
      </c>
      <c r="W3978" s="51" t="s">
        <v>7516</v>
      </c>
      <c r="X3978" s="51" t="s">
        <v>2359</v>
      </c>
    </row>
    <row r="3979" customFormat="false" ht="14.25" hidden="true" customHeight="false" outlineLevel="0" collapsed="false">
      <c r="A3979" s="49" t="s">
        <v>2349</v>
      </c>
      <c r="B3979" s="49" t="s">
        <v>2350</v>
      </c>
      <c r="C3979" s="49" t="s">
        <v>7748</v>
      </c>
      <c r="D3979" s="49" t="s">
        <v>2352</v>
      </c>
      <c r="E3979" s="49" t="str">
        <f aca="false">"10859585004074"</f>
        <v>10859585004074</v>
      </c>
      <c r="F3979" s="49" t="s">
        <v>7737</v>
      </c>
      <c r="G3979" s="49" t="n">
        <v>0</v>
      </c>
      <c r="H3979" s="0" t="n">
        <v>0</v>
      </c>
      <c r="M3979" s="51" t="s">
        <v>7738</v>
      </c>
      <c r="N3979" s="49" t="n">
        <v>0</v>
      </c>
      <c r="O3979" s="53" t="n">
        <v>45792.5201967593</v>
      </c>
      <c r="P3979" s="53" t="n">
        <v>45796.7948263889</v>
      </c>
      <c r="Q3979" s="53" t="n">
        <v>45792.5201967593</v>
      </c>
      <c r="R3979" s="0" t="n">
        <v>0</v>
      </c>
      <c r="S3979" s="51" t="s">
        <v>2416</v>
      </c>
      <c r="T3979" s="51" t="s">
        <v>2416</v>
      </c>
      <c r="U3979" s="0" t="str">
        <f aca="false">"10859585004074"</f>
        <v>10859585004074</v>
      </c>
      <c r="V3979" s="51" t="s">
        <v>7596</v>
      </c>
      <c r="W3979" s="51" t="s">
        <v>7749</v>
      </c>
      <c r="X3979" s="51" t="s">
        <v>2359</v>
      </c>
    </row>
    <row r="3980" customFormat="false" ht="14.25" hidden="true" customHeight="false" outlineLevel="0" collapsed="false">
      <c r="A3980" s="49" t="s">
        <v>2349</v>
      </c>
      <c r="B3980" s="49" t="s">
        <v>2350</v>
      </c>
      <c r="C3980" s="49" t="s">
        <v>7750</v>
      </c>
      <c r="D3980" s="49" t="s">
        <v>2352</v>
      </c>
      <c r="E3980" s="49" t="str">
        <f aca="false">"10859585004074"</f>
        <v>10859585004074</v>
      </c>
      <c r="F3980" s="49" t="s">
        <v>7737</v>
      </c>
      <c r="G3980" s="49" t="n">
        <v>0</v>
      </c>
      <c r="H3980" s="0" t="n">
        <v>0</v>
      </c>
      <c r="M3980" s="51" t="s">
        <v>7738</v>
      </c>
      <c r="N3980" s="49" t="n">
        <v>0</v>
      </c>
      <c r="O3980" s="53" t="n">
        <v>45792.5207986111</v>
      </c>
      <c r="P3980" s="53" t="n">
        <v>45796.7385185185</v>
      </c>
      <c r="Q3980" s="53" t="n">
        <v>45792.5207986111</v>
      </c>
      <c r="R3980" s="0" t="n">
        <v>0</v>
      </c>
      <c r="S3980" s="51" t="s">
        <v>2416</v>
      </c>
      <c r="T3980" s="51" t="s">
        <v>2416</v>
      </c>
      <c r="U3980" s="0" t="str">
        <f aca="false">"10859585004074"</f>
        <v>10859585004074</v>
      </c>
      <c r="V3980" s="51" t="s">
        <v>7596</v>
      </c>
      <c r="W3980" s="51" t="s">
        <v>7370</v>
      </c>
      <c r="X3980" s="51" t="s">
        <v>2359</v>
      </c>
    </row>
    <row r="3981" customFormat="false" ht="14.25" hidden="true" customHeight="false" outlineLevel="0" collapsed="false">
      <c r="A3981" s="49" t="s">
        <v>2349</v>
      </c>
      <c r="B3981" s="49" t="s">
        <v>2350</v>
      </c>
      <c r="C3981" s="49" t="s">
        <v>7751</v>
      </c>
      <c r="D3981" s="49" t="s">
        <v>2352</v>
      </c>
      <c r="E3981" s="49" t="str">
        <f aca="false">"10859585004074"</f>
        <v>10859585004074</v>
      </c>
      <c r="F3981" s="49" t="s">
        <v>7737</v>
      </c>
      <c r="G3981" s="49" t="n">
        <v>0</v>
      </c>
      <c r="H3981" s="0" t="n">
        <v>0</v>
      </c>
      <c r="M3981" s="51" t="s">
        <v>7738</v>
      </c>
      <c r="N3981" s="49" t="n">
        <v>0</v>
      </c>
      <c r="O3981" s="53" t="n">
        <v>45792.5209837963</v>
      </c>
      <c r="P3981" s="53" t="n">
        <v>45796.8014699074</v>
      </c>
      <c r="Q3981" s="53" t="n">
        <v>45792.5209837963</v>
      </c>
      <c r="R3981" s="0" t="n">
        <v>0</v>
      </c>
      <c r="S3981" s="51" t="s">
        <v>2416</v>
      </c>
      <c r="T3981" s="51" t="s">
        <v>2416</v>
      </c>
      <c r="U3981" s="0" t="str">
        <f aca="false">"10859585004074"</f>
        <v>10859585004074</v>
      </c>
      <c r="V3981" s="51" t="s">
        <v>7596</v>
      </c>
      <c r="W3981" s="51" t="s">
        <v>7752</v>
      </c>
      <c r="X3981" s="51" t="s">
        <v>2359</v>
      </c>
    </row>
    <row r="3982" customFormat="false" ht="14.25" hidden="true" customHeight="false" outlineLevel="0" collapsed="false">
      <c r="A3982" s="49" t="s">
        <v>2349</v>
      </c>
      <c r="B3982" s="49" t="s">
        <v>2350</v>
      </c>
      <c r="C3982" s="49" t="s">
        <v>7753</v>
      </c>
      <c r="D3982" s="49" t="s">
        <v>2352</v>
      </c>
      <c r="E3982" s="49" t="str">
        <f aca="false">"10859585004074"</f>
        <v>10859585004074</v>
      </c>
      <c r="F3982" s="49" t="s">
        <v>7737</v>
      </c>
      <c r="G3982" s="49" t="n">
        <v>0</v>
      </c>
      <c r="H3982" s="0" t="n">
        <v>0</v>
      </c>
      <c r="M3982" s="51" t="s">
        <v>7738</v>
      </c>
      <c r="N3982" s="49" t="n">
        <v>0</v>
      </c>
      <c r="O3982" s="53" t="n">
        <v>45792.5212731482</v>
      </c>
      <c r="P3982" s="53" t="n">
        <v>45796.7421064815</v>
      </c>
      <c r="Q3982" s="53" t="n">
        <v>45792.5212731482</v>
      </c>
      <c r="R3982" s="0" t="n">
        <v>0</v>
      </c>
      <c r="S3982" s="51" t="s">
        <v>2416</v>
      </c>
      <c r="T3982" s="51" t="s">
        <v>2416</v>
      </c>
      <c r="U3982" s="0" t="str">
        <f aca="false">"10859585004074"</f>
        <v>10859585004074</v>
      </c>
      <c r="V3982" s="51" t="s">
        <v>7596</v>
      </c>
      <c r="W3982" s="51" t="s">
        <v>7457</v>
      </c>
      <c r="X3982" s="51" t="s">
        <v>2359</v>
      </c>
    </row>
    <row r="3983" customFormat="false" ht="14.25" hidden="true" customHeight="false" outlineLevel="0" collapsed="false">
      <c r="A3983" s="49" t="s">
        <v>2349</v>
      </c>
      <c r="B3983" s="49" t="s">
        <v>2350</v>
      </c>
      <c r="C3983" s="49" t="s">
        <v>7754</v>
      </c>
      <c r="D3983" s="49" t="s">
        <v>2352</v>
      </c>
      <c r="E3983" s="49" t="str">
        <f aca="false">"10859585004074"</f>
        <v>10859585004074</v>
      </c>
      <c r="F3983" s="49" t="s">
        <v>7737</v>
      </c>
      <c r="G3983" s="49" t="n">
        <v>0</v>
      </c>
      <c r="H3983" s="0" t="n">
        <v>0</v>
      </c>
      <c r="M3983" s="51" t="s">
        <v>7738</v>
      </c>
      <c r="N3983" s="49" t="n">
        <v>0</v>
      </c>
      <c r="O3983" s="53" t="n">
        <v>45792.521412037</v>
      </c>
      <c r="P3983" s="53" t="n">
        <v>45796.8023148148</v>
      </c>
      <c r="Q3983" s="53" t="n">
        <v>45792.521412037</v>
      </c>
      <c r="R3983" s="0" t="n">
        <v>0</v>
      </c>
      <c r="S3983" s="51" t="s">
        <v>2416</v>
      </c>
      <c r="T3983" s="51" t="s">
        <v>2416</v>
      </c>
      <c r="U3983" s="0" t="str">
        <f aca="false">"10859585004074"</f>
        <v>10859585004074</v>
      </c>
      <c r="V3983" s="51" t="s">
        <v>7596</v>
      </c>
      <c r="W3983" s="51" t="s">
        <v>7755</v>
      </c>
      <c r="X3983" s="51" t="s">
        <v>2359</v>
      </c>
    </row>
    <row r="3984" customFormat="false" ht="14.25" hidden="true" customHeight="false" outlineLevel="0" collapsed="false">
      <c r="A3984" s="49" t="s">
        <v>2349</v>
      </c>
      <c r="B3984" s="49" t="s">
        <v>2350</v>
      </c>
      <c r="C3984" s="49" t="s">
        <v>7756</v>
      </c>
      <c r="D3984" s="49" t="s">
        <v>2352</v>
      </c>
      <c r="E3984" s="49" t="str">
        <f aca="false">"10859585004074"</f>
        <v>10859585004074</v>
      </c>
      <c r="F3984" s="49" t="s">
        <v>7737</v>
      </c>
      <c r="G3984" s="49" t="n">
        <v>0</v>
      </c>
      <c r="H3984" s="0" t="n">
        <v>0</v>
      </c>
      <c r="M3984" s="51" t="s">
        <v>7738</v>
      </c>
      <c r="N3984" s="49" t="n">
        <v>0</v>
      </c>
      <c r="O3984" s="53" t="n">
        <v>45792.5228009259</v>
      </c>
      <c r="P3984" s="53" t="n">
        <v>45808.5043055556</v>
      </c>
      <c r="Q3984" s="53" t="n">
        <v>45792.5228009259</v>
      </c>
      <c r="R3984" s="0" t="n">
        <v>0</v>
      </c>
      <c r="S3984" s="51" t="s">
        <v>2416</v>
      </c>
      <c r="T3984" s="51" t="s">
        <v>2416</v>
      </c>
      <c r="U3984" s="0" t="str">
        <f aca="false">"10859585004074"</f>
        <v>10859585004074</v>
      </c>
      <c r="V3984" s="51" t="s">
        <v>7596</v>
      </c>
      <c r="W3984" s="51" t="s">
        <v>6002</v>
      </c>
      <c r="X3984" s="51" t="s">
        <v>2359</v>
      </c>
    </row>
    <row r="3985" customFormat="false" ht="14.25" hidden="true" customHeight="false" outlineLevel="0" collapsed="false">
      <c r="A3985" s="49" t="s">
        <v>2349</v>
      </c>
      <c r="B3985" s="49" t="s">
        <v>2350</v>
      </c>
      <c r="C3985" s="49" t="s">
        <v>7757</v>
      </c>
      <c r="D3985" s="49" t="s">
        <v>2352</v>
      </c>
      <c r="E3985" s="49" t="str">
        <f aca="false">"10859585004074"</f>
        <v>10859585004074</v>
      </c>
      <c r="F3985" s="49" t="s">
        <v>7737</v>
      </c>
      <c r="G3985" s="49" t="n">
        <v>0</v>
      </c>
      <c r="H3985" s="0" t="n">
        <v>0</v>
      </c>
      <c r="M3985" s="51" t="s">
        <v>7738</v>
      </c>
      <c r="N3985" s="49" t="n">
        <v>0</v>
      </c>
      <c r="O3985" s="53" t="n">
        <v>45792.5225115741</v>
      </c>
      <c r="P3985" s="53" t="n">
        <v>45796.8676273148</v>
      </c>
      <c r="Q3985" s="53" t="n">
        <v>45792.5225115741</v>
      </c>
      <c r="R3985" s="0" t="n">
        <v>0</v>
      </c>
      <c r="S3985" s="51" t="s">
        <v>2416</v>
      </c>
      <c r="T3985" s="51" t="s">
        <v>2416</v>
      </c>
      <c r="U3985" s="0" t="str">
        <f aca="false">"10859585004074"</f>
        <v>10859585004074</v>
      </c>
      <c r="V3985" s="51" t="s">
        <v>7596</v>
      </c>
      <c r="W3985" s="51" t="s">
        <v>7758</v>
      </c>
      <c r="X3985" s="51" t="s">
        <v>2359</v>
      </c>
    </row>
    <row r="3986" customFormat="false" ht="14.25" hidden="true" customHeight="false" outlineLevel="0" collapsed="false">
      <c r="A3986" s="49" t="s">
        <v>2349</v>
      </c>
      <c r="B3986" s="49" t="s">
        <v>2350</v>
      </c>
      <c r="C3986" s="49" t="s">
        <v>7759</v>
      </c>
      <c r="D3986" s="49" t="s">
        <v>2352</v>
      </c>
      <c r="E3986" s="49" t="str">
        <f aca="false">"10859585004074"</f>
        <v>10859585004074</v>
      </c>
      <c r="F3986" s="49" t="s">
        <v>7737</v>
      </c>
      <c r="G3986" s="49" t="n">
        <v>0</v>
      </c>
      <c r="H3986" s="0" t="n">
        <v>0</v>
      </c>
      <c r="M3986" s="51" t="s">
        <v>7738</v>
      </c>
      <c r="N3986" s="49" t="n">
        <v>0</v>
      </c>
      <c r="O3986" s="53" t="n">
        <v>45792.5226736111</v>
      </c>
      <c r="P3986" s="53" t="n">
        <v>45796.7828125</v>
      </c>
      <c r="Q3986" s="53" t="n">
        <v>45792.5226736111</v>
      </c>
      <c r="R3986" s="0" t="n">
        <v>0</v>
      </c>
      <c r="S3986" s="51" t="s">
        <v>2416</v>
      </c>
      <c r="T3986" s="51" t="s">
        <v>2416</v>
      </c>
      <c r="U3986" s="0" t="str">
        <f aca="false">"10859585004074"</f>
        <v>10859585004074</v>
      </c>
      <c r="V3986" s="51" t="s">
        <v>7596</v>
      </c>
      <c r="W3986" s="51" t="s">
        <v>7760</v>
      </c>
      <c r="X3986" s="51" t="s">
        <v>2359</v>
      </c>
    </row>
    <row r="3987" customFormat="false" ht="14.25" hidden="true" customHeight="false" outlineLevel="0" collapsed="false">
      <c r="A3987" s="49" t="s">
        <v>2349</v>
      </c>
      <c r="B3987" s="49" t="s">
        <v>2350</v>
      </c>
      <c r="C3987" s="49" t="s">
        <v>7761</v>
      </c>
      <c r="D3987" s="49" t="s">
        <v>2352</v>
      </c>
      <c r="E3987" s="49" t="str">
        <f aca="false">"10859585004074"</f>
        <v>10859585004074</v>
      </c>
      <c r="F3987" s="49" t="s">
        <v>7737</v>
      </c>
      <c r="G3987" s="49" t="n">
        <v>0</v>
      </c>
      <c r="H3987" s="0" t="n">
        <v>0</v>
      </c>
      <c r="M3987" s="51" t="s">
        <v>7738</v>
      </c>
      <c r="N3987" s="49" t="n">
        <v>0</v>
      </c>
      <c r="O3987" s="53" t="n">
        <v>45792.523287037</v>
      </c>
      <c r="P3987" s="53" t="n">
        <v>45796.7409953704</v>
      </c>
      <c r="Q3987" s="53" t="n">
        <v>45792.523287037</v>
      </c>
      <c r="R3987" s="0" t="n">
        <v>0</v>
      </c>
      <c r="S3987" s="51" t="s">
        <v>2416</v>
      </c>
      <c r="T3987" s="51" t="s">
        <v>2416</v>
      </c>
      <c r="U3987" s="0" t="str">
        <f aca="false">"10859585004074"</f>
        <v>10859585004074</v>
      </c>
      <c r="V3987" s="51" t="s">
        <v>7596</v>
      </c>
      <c r="W3987" s="51" t="s">
        <v>7452</v>
      </c>
      <c r="X3987" s="51" t="s">
        <v>2359</v>
      </c>
    </row>
    <row r="3988" customFormat="false" ht="14.25" hidden="true" customHeight="false" outlineLevel="0" collapsed="false">
      <c r="A3988" s="49" t="s">
        <v>2349</v>
      </c>
      <c r="B3988" s="49" t="s">
        <v>2350</v>
      </c>
      <c r="C3988" s="49" t="s">
        <v>7762</v>
      </c>
      <c r="D3988" s="49" t="s">
        <v>2352</v>
      </c>
      <c r="E3988" s="49" t="str">
        <f aca="false">"10859585004074"</f>
        <v>10859585004074</v>
      </c>
      <c r="F3988" s="49" t="s">
        <v>7737</v>
      </c>
      <c r="G3988" s="49" t="n">
        <v>0</v>
      </c>
      <c r="H3988" s="0" t="n">
        <v>0</v>
      </c>
      <c r="M3988" s="51" t="s">
        <v>7738</v>
      </c>
      <c r="N3988" s="49" t="n">
        <v>0</v>
      </c>
      <c r="O3988" s="53" t="n">
        <v>45792.523125</v>
      </c>
      <c r="P3988" s="53" t="n">
        <v>45796.8677083333</v>
      </c>
      <c r="Q3988" s="53" t="n">
        <v>45792.523125</v>
      </c>
      <c r="R3988" s="0" t="n">
        <v>0</v>
      </c>
      <c r="S3988" s="51" t="s">
        <v>2416</v>
      </c>
      <c r="T3988" s="51" t="s">
        <v>2416</v>
      </c>
      <c r="U3988" s="0" t="str">
        <f aca="false">"10859585004074"</f>
        <v>10859585004074</v>
      </c>
      <c r="V3988" s="51" t="s">
        <v>7596</v>
      </c>
      <c r="W3988" s="51" t="s">
        <v>7763</v>
      </c>
      <c r="X3988" s="51" t="s">
        <v>2359</v>
      </c>
    </row>
    <row r="3989" customFormat="false" ht="14.25" hidden="true" customHeight="false" outlineLevel="0" collapsed="false">
      <c r="A3989" s="49" t="s">
        <v>2349</v>
      </c>
      <c r="B3989" s="49" t="s">
        <v>2350</v>
      </c>
      <c r="C3989" s="49" t="s">
        <v>7764</v>
      </c>
      <c r="D3989" s="49" t="s">
        <v>2352</v>
      </c>
      <c r="E3989" s="49" t="str">
        <f aca="false">"10859585004074"</f>
        <v>10859585004074</v>
      </c>
      <c r="F3989" s="49" t="s">
        <v>7737</v>
      </c>
      <c r="G3989" s="49" t="n">
        <v>0</v>
      </c>
      <c r="H3989" s="0" t="n">
        <v>0</v>
      </c>
      <c r="M3989" s="51" t="s">
        <v>7738</v>
      </c>
      <c r="N3989" s="49" t="n">
        <v>0</v>
      </c>
      <c r="O3989" s="53" t="n">
        <v>45792.5237962963</v>
      </c>
      <c r="P3989" s="53" t="n">
        <v>45796.7362037037</v>
      </c>
      <c r="Q3989" s="53" t="n">
        <v>45792.5237962963</v>
      </c>
      <c r="R3989" s="0" t="n">
        <v>0</v>
      </c>
      <c r="S3989" s="51" t="s">
        <v>2416</v>
      </c>
      <c r="T3989" s="51" t="s">
        <v>2416</v>
      </c>
      <c r="U3989" s="0" t="str">
        <f aca="false">"10859585004074"</f>
        <v>10859585004074</v>
      </c>
      <c r="V3989" s="51" t="s">
        <v>7596</v>
      </c>
      <c r="W3989" s="51" t="s">
        <v>4282</v>
      </c>
      <c r="X3989" s="51" t="s">
        <v>2359</v>
      </c>
    </row>
    <row r="3990" customFormat="false" ht="14.25" hidden="true" customHeight="false" outlineLevel="0" collapsed="false">
      <c r="A3990" s="49" t="s">
        <v>2349</v>
      </c>
      <c r="B3990" s="49" t="s">
        <v>2350</v>
      </c>
      <c r="C3990" s="49" t="s">
        <v>7765</v>
      </c>
      <c r="D3990" s="49" t="s">
        <v>2352</v>
      </c>
      <c r="E3990" s="49" t="str">
        <f aca="false">"10859585004074"</f>
        <v>10859585004074</v>
      </c>
      <c r="F3990" s="49" t="s">
        <v>7737</v>
      </c>
      <c r="G3990" s="49" t="n">
        <v>0</v>
      </c>
      <c r="H3990" s="0" t="n">
        <v>0</v>
      </c>
      <c r="M3990" s="51" t="s">
        <v>7738</v>
      </c>
      <c r="N3990" s="49" t="n">
        <v>0</v>
      </c>
      <c r="O3990" s="53" t="n">
        <v>45792.5236458333</v>
      </c>
      <c r="P3990" s="53" t="n">
        <v>45796.7453819444</v>
      </c>
      <c r="Q3990" s="53" t="n">
        <v>45792.5236458333</v>
      </c>
      <c r="R3990" s="0" t="n">
        <v>0</v>
      </c>
      <c r="S3990" s="51" t="s">
        <v>2416</v>
      </c>
      <c r="T3990" s="51" t="s">
        <v>2416</v>
      </c>
      <c r="U3990" s="0" t="str">
        <f aca="false">"10859585004074"</f>
        <v>10859585004074</v>
      </c>
      <c r="V3990" s="51" t="s">
        <v>7596</v>
      </c>
      <c r="W3990" s="51" t="s">
        <v>4519</v>
      </c>
      <c r="X3990" s="51" t="s">
        <v>2359</v>
      </c>
    </row>
    <row r="3991" customFormat="false" ht="14.25" hidden="true" customHeight="false" outlineLevel="0" collapsed="false">
      <c r="A3991" s="49" t="s">
        <v>2349</v>
      </c>
      <c r="B3991" s="49" t="s">
        <v>2350</v>
      </c>
      <c r="C3991" s="49" t="s">
        <v>7766</v>
      </c>
      <c r="D3991" s="49" t="s">
        <v>2352</v>
      </c>
      <c r="E3991" s="49" t="str">
        <f aca="false">"10859585004074"</f>
        <v>10859585004074</v>
      </c>
      <c r="F3991" s="49" t="s">
        <v>7737</v>
      </c>
      <c r="G3991" s="49" t="n">
        <v>0</v>
      </c>
      <c r="H3991" s="0" t="n">
        <v>0</v>
      </c>
      <c r="M3991" s="51" t="s">
        <v>7738</v>
      </c>
      <c r="N3991" s="49" t="n">
        <v>0</v>
      </c>
      <c r="O3991" s="53" t="n">
        <v>45792.5245833333</v>
      </c>
      <c r="P3991" s="53" t="n">
        <v>45796.7463310185</v>
      </c>
      <c r="Q3991" s="53" t="n">
        <v>45792.5245833333</v>
      </c>
      <c r="R3991" s="0" t="n">
        <v>0</v>
      </c>
      <c r="S3991" s="51" t="s">
        <v>2416</v>
      </c>
      <c r="T3991" s="51" t="s">
        <v>2416</v>
      </c>
      <c r="U3991" s="0" t="str">
        <f aca="false">"10859585004074"</f>
        <v>10859585004074</v>
      </c>
      <c r="V3991" s="51" t="s">
        <v>7596</v>
      </c>
      <c r="W3991" s="51" t="s">
        <v>4513</v>
      </c>
      <c r="X3991" s="51" t="s">
        <v>2359</v>
      </c>
    </row>
    <row r="3992" customFormat="false" ht="14.25" hidden="true" customHeight="false" outlineLevel="0" collapsed="false">
      <c r="A3992" s="49" t="s">
        <v>2349</v>
      </c>
      <c r="B3992" s="49" t="s">
        <v>2350</v>
      </c>
      <c r="C3992" s="49" t="s">
        <v>7767</v>
      </c>
      <c r="D3992" s="49" t="s">
        <v>2352</v>
      </c>
      <c r="E3992" s="49" t="str">
        <f aca="false">"10859585004074"</f>
        <v>10859585004074</v>
      </c>
      <c r="F3992" s="49" t="s">
        <v>7737</v>
      </c>
      <c r="G3992" s="49" t="n">
        <v>0</v>
      </c>
      <c r="H3992" s="0" t="n">
        <v>0</v>
      </c>
      <c r="M3992" s="51" t="s">
        <v>7738</v>
      </c>
      <c r="N3992" s="49" t="n">
        <v>0</v>
      </c>
      <c r="O3992" s="53" t="n">
        <v>45792.5247569445</v>
      </c>
      <c r="P3992" s="53" t="n">
        <v>45796.735</v>
      </c>
      <c r="Q3992" s="53" t="n">
        <v>45792.5247569445</v>
      </c>
      <c r="R3992" s="0" t="n">
        <v>0</v>
      </c>
      <c r="S3992" s="51" t="s">
        <v>2416</v>
      </c>
      <c r="T3992" s="51" t="s">
        <v>2416</v>
      </c>
      <c r="U3992" s="0" t="str">
        <f aca="false">"10859585004074"</f>
        <v>10859585004074</v>
      </c>
      <c r="V3992" s="51" t="s">
        <v>7596</v>
      </c>
      <c r="W3992" s="51" t="s">
        <v>7520</v>
      </c>
      <c r="X3992" s="51" t="s">
        <v>2359</v>
      </c>
    </row>
    <row r="3993" customFormat="false" ht="14.25" hidden="true" customHeight="false" outlineLevel="0" collapsed="false">
      <c r="A3993" s="49" t="s">
        <v>2349</v>
      </c>
      <c r="B3993" s="49" t="s">
        <v>2350</v>
      </c>
      <c r="C3993" s="49" t="s">
        <v>7768</v>
      </c>
      <c r="D3993" s="49" t="s">
        <v>2352</v>
      </c>
      <c r="E3993" s="49" t="str">
        <f aca="false">"10859585004074"</f>
        <v>10859585004074</v>
      </c>
      <c r="F3993" s="49" t="s">
        <v>7737</v>
      </c>
      <c r="G3993" s="49" t="n">
        <v>0</v>
      </c>
      <c r="H3993" s="0" t="n">
        <v>0</v>
      </c>
      <c r="M3993" s="51" t="s">
        <v>7738</v>
      </c>
      <c r="N3993" s="49" t="n">
        <v>0</v>
      </c>
      <c r="O3993" s="53" t="n">
        <v>45792.5253240741</v>
      </c>
      <c r="P3993" s="53" t="n">
        <v>45796.7442939815</v>
      </c>
      <c r="Q3993" s="53" t="n">
        <v>45792.5253240741</v>
      </c>
      <c r="R3993" s="0" t="n">
        <v>0</v>
      </c>
      <c r="S3993" s="51" t="s">
        <v>2416</v>
      </c>
      <c r="T3993" s="51" t="s">
        <v>2416</v>
      </c>
      <c r="U3993" s="0" t="str">
        <f aca="false">"10859585004074"</f>
        <v>10859585004074</v>
      </c>
      <c r="V3993" s="51" t="s">
        <v>7596</v>
      </c>
      <c r="W3993" s="51" t="s">
        <v>7350</v>
      </c>
      <c r="X3993" s="51" t="s">
        <v>2359</v>
      </c>
    </row>
    <row r="3994" customFormat="false" ht="14.25" hidden="true" customHeight="false" outlineLevel="0" collapsed="false">
      <c r="A3994" s="49" t="s">
        <v>2349</v>
      </c>
      <c r="B3994" s="49" t="s">
        <v>2350</v>
      </c>
      <c r="C3994" s="49" t="s">
        <v>7769</v>
      </c>
      <c r="D3994" s="49" t="s">
        <v>2352</v>
      </c>
      <c r="E3994" s="49" t="str">
        <f aca="false">"10859585004074"</f>
        <v>10859585004074</v>
      </c>
      <c r="F3994" s="49" t="s">
        <v>7737</v>
      </c>
      <c r="G3994" s="49" t="n">
        <v>0</v>
      </c>
      <c r="H3994" s="0" t="n">
        <v>0</v>
      </c>
      <c r="M3994" s="51" t="s">
        <v>7738</v>
      </c>
      <c r="N3994" s="49" t="n">
        <v>0</v>
      </c>
      <c r="O3994" s="53" t="n">
        <v>45792.525474537</v>
      </c>
      <c r="P3994" s="53" t="n">
        <v>45796.7336574074</v>
      </c>
      <c r="Q3994" s="53" t="n">
        <v>45792.525474537</v>
      </c>
      <c r="R3994" s="0" t="n">
        <v>0</v>
      </c>
      <c r="S3994" s="51" t="s">
        <v>2416</v>
      </c>
      <c r="T3994" s="51" t="s">
        <v>2416</v>
      </c>
      <c r="U3994" s="0" t="str">
        <f aca="false">"10859585004074"</f>
        <v>10859585004074</v>
      </c>
      <c r="V3994" s="51" t="s">
        <v>7596</v>
      </c>
      <c r="W3994" s="51" t="s">
        <v>7770</v>
      </c>
      <c r="X3994" s="51" t="s">
        <v>2359</v>
      </c>
    </row>
    <row r="3995" customFormat="false" ht="14.25" hidden="true" customHeight="false" outlineLevel="0" collapsed="false">
      <c r="A3995" s="49" t="s">
        <v>2349</v>
      </c>
      <c r="B3995" s="49" t="s">
        <v>2350</v>
      </c>
      <c r="C3995" s="49" t="s">
        <v>7771</v>
      </c>
      <c r="D3995" s="49" t="s">
        <v>2352</v>
      </c>
      <c r="E3995" s="49" t="str">
        <f aca="false">"10859585004074"</f>
        <v>10859585004074</v>
      </c>
      <c r="F3995" s="49" t="s">
        <v>7737</v>
      </c>
      <c r="G3995" s="49" t="n">
        <v>0</v>
      </c>
      <c r="H3995" s="0" t="n">
        <v>0</v>
      </c>
      <c r="M3995" s="51" t="s">
        <v>7738</v>
      </c>
      <c r="N3995" s="49" t="n">
        <v>0</v>
      </c>
      <c r="O3995" s="53" t="n">
        <v>45792.5258449074</v>
      </c>
      <c r="P3995" s="53" t="n">
        <v>45796.7370717593</v>
      </c>
      <c r="Q3995" s="53" t="n">
        <v>45792.5258449074</v>
      </c>
      <c r="R3995" s="0" t="n">
        <v>0</v>
      </c>
      <c r="S3995" s="51" t="s">
        <v>2416</v>
      </c>
      <c r="T3995" s="51" t="s">
        <v>2416</v>
      </c>
      <c r="U3995" s="0" t="str">
        <f aca="false">"10859585004074"</f>
        <v>10859585004074</v>
      </c>
      <c r="V3995" s="51" t="s">
        <v>7596</v>
      </c>
      <c r="W3995" s="51" t="s">
        <v>7772</v>
      </c>
      <c r="X3995" s="51" t="s">
        <v>2359</v>
      </c>
    </row>
    <row r="3996" customFormat="false" ht="14.25" hidden="true" customHeight="false" outlineLevel="0" collapsed="false">
      <c r="A3996" s="49" t="s">
        <v>2349</v>
      </c>
      <c r="B3996" s="49" t="s">
        <v>2350</v>
      </c>
      <c r="C3996" s="49" t="s">
        <v>7773</v>
      </c>
      <c r="D3996" s="49" t="s">
        <v>2352</v>
      </c>
      <c r="E3996" s="49" t="str">
        <f aca="false">"10859585004074"</f>
        <v>10859585004074</v>
      </c>
      <c r="F3996" s="49" t="s">
        <v>7737</v>
      </c>
      <c r="G3996" s="49" t="n">
        <v>0</v>
      </c>
      <c r="H3996" s="0" t="n">
        <v>0</v>
      </c>
      <c r="M3996" s="51" t="s">
        <v>7738</v>
      </c>
      <c r="N3996" s="49" t="n">
        <v>0</v>
      </c>
      <c r="O3996" s="53" t="n">
        <v>45792.5401967593</v>
      </c>
      <c r="P3996" s="53" t="n">
        <v>45796.7850115741</v>
      </c>
      <c r="Q3996" s="53" t="n">
        <v>45792.5401967593</v>
      </c>
      <c r="R3996" s="0" t="n">
        <v>0</v>
      </c>
      <c r="S3996" s="51" t="s">
        <v>2416</v>
      </c>
      <c r="T3996" s="51" t="s">
        <v>2416</v>
      </c>
      <c r="U3996" s="0" t="str">
        <f aca="false">"10859585004074"</f>
        <v>10859585004074</v>
      </c>
      <c r="V3996" s="51" t="s">
        <v>7596</v>
      </c>
      <c r="W3996" s="51" t="s">
        <v>7774</v>
      </c>
      <c r="X3996" s="51" t="s">
        <v>2359</v>
      </c>
    </row>
    <row r="3997" customFormat="false" ht="14.25" hidden="true" customHeight="false" outlineLevel="0" collapsed="false">
      <c r="A3997" s="49" t="s">
        <v>2349</v>
      </c>
      <c r="B3997" s="49" t="s">
        <v>2350</v>
      </c>
      <c r="C3997" s="49" t="s">
        <v>7775</v>
      </c>
      <c r="D3997" s="49" t="s">
        <v>2352</v>
      </c>
      <c r="E3997" s="49" t="str">
        <f aca="false">"10859585004074"</f>
        <v>10859585004074</v>
      </c>
      <c r="F3997" s="49" t="s">
        <v>7737</v>
      </c>
      <c r="G3997" s="49" t="n">
        <v>0</v>
      </c>
      <c r="H3997" s="0" t="n">
        <v>0</v>
      </c>
      <c r="M3997" s="51" t="s">
        <v>7738</v>
      </c>
      <c r="N3997" s="49" t="n">
        <v>0</v>
      </c>
      <c r="O3997" s="53" t="n">
        <v>45792.5404861111</v>
      </c>
      <c r="P3997" s="53" t="n">
        <v>45796.783912037</v>
      </c>
      <c r="Q3997" s="53" t="n">
        <v>45792.5404861111</v>
      </c>
      <c r="R3997" s="0" t="n">
        <v>0</v>
      </c>
      <c r="S3997" s="51" t="s">
        <v>2416</v>
      </c>
      <c r="T3997" s="51" t="s">
        <v>2416</v>
      </c>
      <c r="U3997" s="0" t="str">
        <f aca="false">"10859585004074"</f>
        <v>10859585004074</v>
      </c>
      <c r="V3997" s="51" t="s">
        <v>7596</v>
      </c>
      <c r="W3997" s="51" t="s">
        <v>7776</v>
      </c>
      <c r="X3997" s="51" t="s">
        <v>2359</v>
      </c>
    </row>
    <row r="3998" customFormat="false" ht="14.25" hidden="true" customHeight="false" outlineLevel="0" collapsed="false">
      <c r="A3998" s="49" t="s">
        <v>2349</v>
      </c>
      <c r="B3998" s="49" t="s">
        <v>2350</v>
      </c>
      <c r="C3998" s="49" t="s">
        <v>7777</v>
      </c>
      <c r="D3998" s="49" t="s">
        <v>2352</v>
      </c>
      <c r="E3998" s="49" t="str">
        <f aca="false">"10859585004074"</f>
        <v>10859585004074</v>
      </c>
      <c r="F3998" s="49" t="s">
        <v>7737</v>
      </c>
      <c r="G3998" s="49" t="n">
        <v>0</v>
      </c>
      <c r="H3998" s="0" t="n">
        <v>0</v>
      </c>
      <c r="M3998" s="51" t="s">
        <v>7738</v>
      </c>
      <c r="N3998" s="49" t="n">
        <v>0</v>
      </c>
      <c r="O3998" s="53" t="n">
        <v>45792.5483912037</v>
      </c>
      <c r="P3998" s="53" t="n">
        <v>45796.7775462963</v>
      </c>
      <c r="Q3998" s="53" t="n">
        <v>45792.5483912037</v>
      </c>
      <c r="R3998" s="0" t="n">
        <v>0</v>
      </c>
      <c r="S3998" s="51" t="s">
        <v>2416</v>
      </c>
      <c r="T3998" s="51" t="s">
        <v>2416</v>
      </c>
      <c r="U3998" s="0" t="str">
        <f aca="false">"10859585004074"</f>
        <v>10859585004074</v>
      </c>
      <c r="V3998" s="51" t="s">
        <v>7596</v>
      </c>
      <c r="W3998" s="51" t="s">
        <v>7778</v>
      </c>
      <c r="X3998" s="51" t="s">
        <v>2359</v>
      </c>
    </row>
    <row r="3999" customFormat="false" ht="14.25" hidden="true" customHeight="false" outlineLevel="0" collapsed="false">
      <c r="A3999" s="49" t="s">
        <v>2349</v>
      </c>
      <c r="B3999" s="49" t="s">
        <v>2350</v>
      </c>
      <c r="C3999" s="49" t="s">
        <v>7779</v>
      </c>
      <c r="D3999" s="49" t="s">
        <v>2352</v>
      </c>
      <c r="E3999" s="49" t="str">
        <f aca="false">"10859585004074"</f>
        <v>10859585004074</v>
      </c>
      <c r="F3999" s="49" t="s">
        <v>7737</v>
      </c>
      <c r="G3999" s="49" t="n">
        <v>0</v>
      </c>
      <c r="H3999" s="0" t="n">
        <v>0</v>
      </c>
      <c r="M3999" s="51" t="s">
        <v>7738</v>
      </c>
      <c r="N3999" s="49" t="n">
        <v>0</v>
      </c>
      <c r="O3999" s="53" t="n">
        <v>45792.5488541667</v>
      </c>
      <c r="P3999" s="53" t="n">
        <v>45796.7757638889</v>
      </c>
      <c r="Q3999" s="53" t="n">
        <v>45792.5488541667</v>
      </c>
      <c r="R3999" s="0" t="n">
        <v>0</v>
      </c>
      <c r="S3999" s="51" t="s">
        <v>2416</v>
      </c>
      <c r="T3999" s="51" t="s">
        <v>2416</v>
      </c>
      <c r="U3999" s="0" t="str">
        <f aca="false">"10859585004074"</f>
        <v>10859585004074</v>
      </c>
      <c r="V3999" s="51" t="s">
        <v>7596</v>
      </c>
      <c r="W3999" s="51" t="s">
        <v>7780</v>
      </c>
      <c r="X3999" s="51" t="s">
        <v>2359</v>
      </c>
    </row>
    <row r="4000" customFormat="false" ht="14.25" hidden="true" customHeight="false" outlineLevel="0" collapsed="false">
      <c r="A4000" s="49" t="s">
        <v>2349</v>
      </c>
      <c r="B4000" s="49" t="s">
        <v>2350</v>
      </c>
      <c r="C4000" s="49" t="s">
        <v>7781</v>
      </c>
      <c r="D4000" s="49" t="s">
        <v>2352</v>
      </c>
      <c r="E4000" s="49" t="str">
        <f aca="false">"10859585004074"</f>
        <v>10859585004074</v>
      </c>
      <c r="F4000" s="49" t="s">
        <v>7737</v>
      </c>
      <c r="G4000" s="49" t="n">
        <v>0</v>
      </c>
      <c r="H4000" s="0" t="n">
        <v>0</v>
      </c>
      <c r="M4000" s="51" t="s">
        <v>7738</v>
      </c>
      <c r="N4000" s="49" t="n">
        <v>0</v>
      </c>
      <c r="O4000" s="53" t="n">
        <v>45792.5494328704</v>
      </c>
      <c r="P4000" s="53" t="n">
        <v>45796.7723148148</v>
      </c>
      <c r="Q4000" s="53" t="n">
        <v>45792.5494328704</v>
      </c>
      <c r="R4000" s="0" t="n">
        <v>0</v>
      </c>
      <c r="S4000" s="51" t="s">
        <v>2416</v>
      </c>
      <c r="T4000" s="51" t="s">
        <v>2416</v>
      </c>
      <c r="U4000" s="0" t="str">
        <f aca="false">"10859585004074"</f>
        <v>10859585004074</v>
      </c>
      <c r="V4000" s="51" t="s">
        <v>7596</v>
      </c>
      <c r="W4000" s="51" t="s">
        <v>7782</v>
      </c>
      <c r="X4000" s="51" t="s">
        <v>2359</v>
      </c>
    </row>
    <row r="4001" customFormat="false" ht="14.25" hidden="true" customHeight="false" outlineLevel="0" collapsed="false">
      <c r="A4001" s="49" t="s">
        <v>2349</v>
      </c>
      <c r="B4001" s="49" t="s">
        <v>2350</v>
      </c>
      <c r="C4001" s="49" t="s">
        <v>7783</v>
      </c>
      <c r="D4001" s="49" t="s">
        <v>2352</v>
      </c>
      <c r="E4001" s="49" t="str">
        <f aca="false">"10859585004074"</f>
        <v>10859585004074</v>
      </c>
      <c r="F4001" s="49" t="s">
        <v>7737</v>
      </c>
      <c r="G4001" s="49" t="n">
        <v>0</v>
      </c>
      <c r="H4001" s="0" t="n">
        <v>0</v>
      </c>
      <c r="M4001" s="51" t="s">
        <v>7738</v>
      </c>
      <c r="N4001" s="49" t="n">
        <v>0</v>
      </c>
      <c r="O4001" s="53" t="n">
        <v>45792.5496875</v>
      </c>
      <c r="P4001" s="53" t="n">
        <v>45796.7711574074</v>
      </c>
      <c r="Q4001" s="53" t="n">
        <v>45792.5496875</v>
      </c>
      <c r="R4001" s="0" t="n">
        <v>0</v>
      </c>
      <c r="S4001" s="51" t="s">
        <v>2416</v>
      </c>
      <c r="T4001" s="51" t="s">
        <v>2416</v>
      </c>
      <c r="U4001" s="0" t="str">
        <f aca="false">"10859585004074"</f>
        <v>10859585004074</v>
      </c>
      <c r="V4001" s="51" t="s">
        <v>7596</v>
      </c>
      <c r="W4001" s="51" t="s">
        <v>7784</v>
      </c>
      <c r="X4001" s="51" t="s">
        <v>2359</v>
      </c>
    </row>
    <row r="4002" customFormat="false" ht="14.25" hidden="true" customHeight="false" outlineLevel="0" collapsed="false">
      <c r="A4002" s="49" t="s">
        <v>2349</v>
      </c>
      <c r="B4002" s="49" t="s">
        <v>2350</v>
      </c>
      <c r="C4002" s="49" t="s">
        <v>7785</v>
      </c>
      <c r="D4002" s="49" t="s">
        <v>2352</v>
      </c>
      <c r="E4002" s="49" t="str">
        <f aca="false">"10859585004074"</f>
        <v>10859585004074</v>
      </c>
      <c r="F4002" s="49" t="s">
        <v>7737</v>
      </c>
      <c r="G4002" s="49" t="n">
        <v>0</v>
      </c>
      <c r="H4002" s="0" t="n">
        <v>0</v>
      </c>
      <c r="M4002" s="51" t="s">
        <v>7738</v>
      </c>
      <c r="N4002" s="49" t="n">
        <v>0</v>
      </c>
      <c r="O4002" s="53" t="n">
        <v>45792.5498958333</v>
      </c>
      <c r="P4002" s="53" t="n">
        <v>45796.7668518519</v>
      </c>
      <c r="Q4002" s="53" t="n">
        <v>45792.5498958333</v>
      </c>
      <c r="R4002" s="0" t="n">
        <v>0</v>
      </c>
      <c r="S4002" s="51" t="s">
        <v>2416</v>
      </c>
      <c r="T4002" s="51" t="s">
        <v>2416</v>
      </c>
      <c r="U4002" s="0" t="str">
        <f aca="false">"10859585004074"</f>
        <v>10859585004074</v>
      </c>
      <c r="V4002" s="51" t="s">
        <v>7596</v>
      </c>
      <c r="W4002" s="51" t="s">
        <v>7786</v>
      </c>
      <c r="X4002" s="51" t="s">
        <v>2359</v>
      </c>
    </row>
    <row r="4003" customFormat="false" ht="14.25" hidden="true" customHeight="false" outlineLevel="0" collapsed="false">
      <c r="A4003" s="49" t="s">
        <v>2349</v>
      </c>
      <c r="B4003" s="49" t="s">
        <v>2350</v>
      </c>
      <c r="C4003" s="49" t="s">
        <v>7787</v>
      </c>
      <c r="D4003" s="49" t="s">
        <v>2352</v>
      </c>
      <c r="E4003" s="49" t="str">
        <f aca="false">"10074865055175"</f>
        <v>10074865055175</v>
      </c>
      <c r="F4003" s="49" t="s">
        <v>5090</v>
      </c>
      <c r="G4003" s="49" t="n">
        <v>0</v>
      </c>
      <c r="H4003" s="0" t="n">
        <v>0</v>
      </c>
      <c r="M4003" s="51" t="s">
        <v>7788</v>
      </c>
      <c r="N4003" s="49" t="n">
        <v>0</v>
      </c>
      <c r="O4003" s="53" t="n">
        <v>45782.560462963</v>
      </c>
      <c r="P4003" s="53" t="n">
        <v>45908.4147685185</v>
      </c>
      <c r="Q4003" s="53" t="n">
        <v>45782.560462963</v>
      </c>
      <c r="R4003" s="0" t="n">
        <v>0</v>
      </c>
      <c r="S4003" s="51" t="s">
        <v>2416</v>
      </c>
      <c r="T4003" s="51" t="s">
        <v>2416</v>
      </c>
      <c r="U4003" s="0" t="str">
        <f aca="false">"10074865055175"</f>
        <v>10074865055175</v>
      </c>
      <c r="V4003" s="51" t="s">
        <v>2365</v>
      </c>
      <c r="W4003" s="51" t="s">
        <v>5646</v>
      </c>
      <c r="X4003" s="51" t="s">
        <v>2359</v>
      </c>
    </row>
    <row r="4004" customFormat="false" ht="14.25" hidden="true" customHeight="false" outlineLevel="0" collapsed="false">
      <c r="A4004" s="49" t="s">
        <v>2349</v>
      </c>
      <c r="B4004" s="49" t="s">
        <v>2350</v>
      </c>
      <c r="C4004" s="49" t="s">
        <v>7789</v>
      </c>
      <c r="D4004" s="49" t="s">
        <v>2352</v>
      </c>
      <c r="E4004" s="49" t="str">
        <f aca="false">"10074865055175"</f>
        <v>10074865055175</v>
      </c>
      <c r="F4004" s="49" t="s">
        <v>5090</v>
      </c>
      <c r="G4004" s="49" t="n">
        <v>0</v>
      </c>
      <c r="H4004" s="0" t="n">
        <v>0</v>
      </c>
      <c r="M4004" s="51" t="s">
        <v>7788</v>
      </c>
      <c r="N4004" s="49" t="n">
        <v>0</v>
      </c>
      <c r="O4004" s="53" t="n">
        <v>45782.5608217593</v>
      </c>
      <c r="P4004" s="53" t="n">
        <v>45914.5769097222</v>
      </c>
      <c r="Q4004" s="53" t="n">
        <v>45782.5608217593</v>
      </c>
      <c r="R4004" s="0" t="n">
        <v>0</v>
      </c>
      <c r="S4004" s="51" t="s">
        <v>2416</v>
      </c>
      <c r="T4004" s="51" t="s">
        <v>2416</v>
      </c>
      <c r="U4004" s="0" t="str">
        <f aca="false">"10074865055175"</f>
        <v>10074865055175</v>
      </c>
      <c r="V4004" s="51" t="s">
        <v>2365</v>
      </c>
      <c r="W4004" s="51" t="s">
        <v>7790</v>
      </c>
      <c r="X4004" s="51" t="s">
        <v>2359</v>
      </c>
    </row>
    <row r="4005" customFormat="false" ht="14.25" hidden="true" customHeight="false" outlineLevel="0" collapsed="false">
      <c r="A4005" s="49" t="s">
        <v>2349</v>
      </c>
      <c r="B4005" s="49" t="s">
        <v>2350</v>
      </c>
      <c r="C4005" s="49" t="s">
        <v>7791</v>
      </c>
      <c r="D4005" s="49" t="s">
        <v>2352</v>
      </c>
      <c r="E4005" s="49" t="str">
        <f aca="false">"10074865055175"</f>
        <v>10074865055175</v>
      </c>
      <c r="F4005" s="49" t="s">
        <v>5090</v>
      </c>
      <c r="G4005" s="49" t="n">
        <v>0</v>
      </c>
      <c r="H4005" s="0" t="n">
        <v>0</v>
      </c>
      <c r="M4005" s="51" t="s">
        <v>7788</v>
      </c>
      <c r="N4005" s="49" t="n">
        <v>0</v>
      </c>
      <c r="O4005" s="53" t="n">
        <v>45782.5772569444</v>
      </c>
      <c r="P4005" s="53" t="n">
        <v>45908.3992361111</v>
      </c>
      <c r="Q4005" s="53" t="n">
        <v>45782.5772569444</v>
      </c>
      <c r="R4005" s="0" t="n">
        <v>0</v>
      </c>
      <c r="S4005" s="51" t="s">
        <v>2416</v>
      </c>
      <c r="T4005" s="51" t="s">
        <v>2416</v>
      </c>
      <c r="U4005" s="0" t="str">
        <f aca="false">"10074865055175"</f>
        <v>10074865055175</v>
      </c>
      <c r="V4005" s="51" t="s">
        <v>2365</v>
      </c>
      <c r="W4005" s="51" t="s">
        <v>7792</v>
      </c>
      <c r="X4005" s="51" t="s">
        <v>2359</v>
      </c>
    </row>
    <row r="4006" customFormat="false" ht="14.25" hidden="true" customHeight="false" outlineLevel="0" collapsed="false">
      <c r="A4006" s="49" t="s">
        <v>2349</v>
      </c>
      <c r="B4006" s="49" t="s">
        <v>2350</v>
      </c>
      <c r="C4006" s="49" t="s">
        <v>7793</v>
      </c>
      <c r="D4006" s="49" t="s">
        <v>2352</v>
      </c>
      <c r="E4006" s="49" t="str">
        <f aca="false">"10074865055175"</f>
        <v>10074865055175</v>
      </c>
      <c r="F4006" s="49" t="s">
        <v>5090</v>
      </c>
      <c r="G4006" s="49" t="n">
        <v>0</v>
      </c>
      <c r="H4006" s="0" t="n">
        <v>0</v>
      </c>
      <c r="M4006" s="51" t="s">
        <v>7788</v>
      </c>
      <c r="N4006" s="49" t="n">
        <v>0</v>
      </c>
      <c r="O4006" s="53" t="n">
        <v>45782.5554513889</v>
      </c>
      <c r="P4006" s="53" t="n">
        <v>45837.429837963</v>
      </c>
      <c r="Q4006" s="53" t="n">
        <v>45782.5554513889</v>
      </c>
      <c r="R4006" s="0" t="n">
        <v>0</v>
      </c>
      <c r="S4006" s="51" t="s">
        <v>2416</v>
      </c>
      <c r="T4006" s="51" t="s">
        <v>2416</v>
      </c>
      <c r="U4006" s="0" t="str">
        <f aca="false">"10074865055175"</f>
        <v>10074865055175</v>
      </c>
      <c r="V4006" s="51" t="s">
        <v>2365</v>
      </c>
      <c r="W4006" s="51" t="s">
        <v>5858</v>
      </c>
      <c r="X4006" s="51" t="s">
        <v>2359</v>
      </c>
    </row>
    <row r="4007" customFormat="false" ht="14.25" hidden="true" customHeight="false" outlineLevel="0" collapsed="false">
      <c r="A4007" s="49" t="s">
        <v>2349</v>
      </c>
      <c r="B4007" s="49" t="s">
        <v>2350</v>
      </c>
      <c r="C4007" s="49" t="s">
        <v>7794</v>
      </c>
      <c r="D4007" s="49" t="s">
        <v>2352</v>
      </c>
      <c r="E4007" s="49" t="str">
        <f aca="false">"10074865055175"</f>
        <v>10074865055175</v>
      </c>
      <c r="F4007" s="49" t="s">
        <v>5090</v>
      </c>
      <c r="G4007" s="49" t="n">
        <v>0</v>
      </c>
      <c r="H4007" s="0" t="n">
        <v>0</v>
      </c>
      <c r="M4007" s="51" t="s">
        <v>7788</v>
      </c>
      <c r="N4007" s="49" t="n">
        <v>0</v>
      </c>
      <c r="O4007" s="53" t="n">
        <v>45782.5494675926</v>
      </c>
      <c r="P4007" s="53" t="n">
        <v>45914.7908680556</v>
      </c>
      <c r="Q4007" s="53" t="n">
        <v>45782.5494675926</v>
      </c>
      <c r="R4007" s="0" t="n">
        <v>0</v>
      </c>
      <c r="S4007" s="51" t="s">
        <v>2416</v>
      </c>
      <c r="T4007" s="51" t="s">
        <v>2416</v>
      </c>
      <c r="U4007" s="0" t="str">
        <f aca="false">"10074865055175"</f>
        <v>10074865055175</v>
      </c>
      <c r="V4007" s="51" t="s">
        <v>2365</v>
      </c>
      <c r="W4007" s="51" t="s">
        <v>5283</v>
      </c>
      <c r="X4007" s="51" t="s">
        <v>2359</v>
      </c>
    </row>
    <row r="4008" customFormat="false" ht="14.25" hidden="true" customHeight="false" outlineLevel="0" collapsed="false">
      <c r="A4008" s="49" t="s">
        <v>2349</v>
      </c>
      <c r="B4008" s="49" t="s">
        <v>2350</v>
      </c>
      <c r="C4008" s="49" t="s">
        <v>7795</v>
      </c>
      <c r="D4008" s="49" t="s">
        <v>2352</v>
      </c>
      <c r="E4008" s="49" t="str">
        <f aca="false">"10074865055175"</f>
        <v>10074865055175</v>
      </c>
      <c r="F4008" s="49" t="s">
        <v>5090</v>
      </c>
      <c r="G4008" s="49" t="n">
        <v>0</v>
      </c>
      <c r="H4008" s="0" t="n">
        <v>0</v>
      </c>
      <c r="M4008" s="51" t="s">
        <v>7788</v>
      </c>
      <c r="N4008" s="49" t="n">
        <v>0</v>
      </c>
      <c r="O4008" s="53" t="n">
        <v>45782.5504398148</v>
      </c>
      <c r="P4008" s="53" t="n">
        <v>45851.8873263889</v>
      </c>
      <c r="Q4008" s="53" t="n">
        <v>45782.5504398148</v>
      </c>
      <c r="R4008" s="0" t="n">
        <v>0</v>
      </c>
      <c r="S4008" s="51" t="s">
        <v>2416</v>
      </c>
      <c r="T4008" s="51" t="s">
        <v>2416</v>
      </c>
      <c r="U4008" s="0" t="str">
        <f aca="false">"10074865055175"</f>
        <v>10074865055175</v>
      </c>
      <c r="V4008" s="51" t="s">
        <v>2365</v>
      </c>
      <c r="W4008" s="51" t="s">
        <v>6793</v>
      </c>
      <c r="X4008" s="51" t="s">
        <v>2359</v>
      </c>
    </row>
    <row r="4009" customFormat="false" ht="14.25" hidden="true" customHeight="false" outlineLevel="0" collapsed="false">
      <c r="A4009" s="49" t="s">
        <v>2349</v>
      </c>
      <c r="B4009" s="49" t="s">
        <v>2350</v>
      </c>
      <c r="C4009" s="49" t="s">
        <v>7796</v>
      </c>
      <c r="D4009" s="49" t="s">
        <v>2352</v>
      </c>
      <c r="E4009" s="49" t="str">
        <f aca="false">"10074865055175"</f>
        <v>10074865055175</v>
      </c>
      <c r="F4009" s="49" t="s">
        <v>5090</v>
      </c>
      <c r="G4009" s="49" t="n">
        <v>0</v>
      </c>
      <c r="H4009" s="0" t="n">
        <v>0</v>
      </c>
      <c r="M4009" s="51" t="s">
        <v>7788</v>
      </c>
      <c r="N4009" s="49" t="n">
        <v>0</v>
      </c>
      <c r="O4009" s="53" t="n">
        <v>45782.5524652778</v>
      </c>
      <c r="P4009" s="53" t="n">
        <v>45914.8215277778</v>
      </c>
      <c r="Q4009" s="53" t="n">
        <v>45782.5524652778</v>
      </c>
      <c r="R4009" s="0" t="n">
        <v>0</v>
      </c>
      <c r="S4009" s="51" t="s">
        <v>2416</v>
      </c>
      <c r="T4009" s="51" t="s">
        <v>2416</v>
      </c>
      <c r="U4009" s="0" t="str">
        <f aca="false">"10074865055175"</f>
        <v>10074865055175</v>
      </c>
      <c r="V4009" s="51" t="s">
        <v>2365</v>
      </c>
      <c r="W4009" s="51" t="s">
        <v>7797</v>
      </c>
      <c r="X4009" s="51" t="s">
        <v>2359</v>
      </c>
    </row>
    <row r="4010" customFormat="false" ht="14.25" hidden="true" customHeight="false" outlineLevel="0" collapsed="false">
      <c r="A4010" s="49" t="s">
        <v>2349</v>
      </c>
      <c r="B4010" s="49" t="s">
        <v>2350</v>
      </c>
      <c r="C4010" s="49" t="s">
        <v>7798</v>
      </c>
      <c r="D4010" s="49" t="s">
        <v>2352</v>
      </c>
      <c r="E4010" s="49" t="str">
        <f aca="false">"10074865055175"</f>
        <v>10074865055175</v>
      </c>
      <c r="F4010" s="49" t="s">
        <v>5090</v>
      </c>
      <c r="G4010" s="49" t="n">
        <v>0</v>
      </c>
      <c r="H4010" s="0" t="n">
        <v>0</v>
      </c>
      <c r="M4010" s="51" t="s">
        <v>7788</v>
      </c>
      <c r="N4010" s="49" t="n">
        <v>0</v>
      </c>
      <c r="O4010" s="53" t="n">
        <v>45782.5522800926</v>
      </c>
      <c r="P4010" s="53" t="n">
        <v>45879.4986458333</v>
      </c>
      <c r="Q4010" s="53" t="n">
        <v>45782.5522800926</v>
      </c>
      <c r="R4010" s="0" t="n">
        <v>0</v>
      </c>
      <c r="S4010" s="51" t="s">
        <v>2416</v>
      </c>
      <c r="T4010" s="51" t="s">
        <v>2416</v>
      </c>
      <c r="U4010" s="0" t="str">
        <f aca="false">"10074865055175"</f>
        <v>10074865055175</v>
      </c>
      <c r="V4010" s="51" t="s">
        <v>2365</v>
      </c>
      <c r="W4010" s="51" t="s">
        <v>5940</v>
      </c>
      <c r="X4010" s="51" t="s">
        <v>2359</v>
      </c>
    </row>
    <row r="4011" customFormat="false" ht="14.25" hidden="true" customHeight="false" outlineLevel="0" collapsed="false">
      <c r="A4011" s="49" t="s">
        <v>2349</v>
      </c>
      <c r="B4011" s="49" t="s">
        <v>2350</v>
      </c>
      <c r="C4011" s="49" t="s">
        <v>7799</v>
      </c>
      <c r="D4011" s="49" t="s">
        <v>2352</v>
      </c>
      <c r="E4011" s="49" t="str">
        <f aca="false">"10074865055175"</f>
        <v>10074865055175</v>
      </c>
      <c r="F4011" s="49" t="s">
        <v>5090</v>
      </c>
      <c r="G4011" s="49" t="n">
        <v>0</v>
      </c>
      <c r="H4011" s="0" t="n">
        <v>0</v>
      </c>
      <c r="M4011" s="51" t="s">
        <v>7788</v>
      </c>
      <c r="N4011" s="49" t="n">
        <v>0</v>
      </c>
      <c r="O4011" s="53" t="n">
        <v>45782.5520833333</v>
      </c>
      <c r="P4011" s="53" t="n">
        <v>45914.8080439815</v>
      </c>
      <c r="Q4011" s="53" t="n">
        <v>45782.5520833333</v>
      </c>
      <c r="R4011" s="0" t="n">
        <v>0</v>
      </c>
      <c r="S4011" s="51" t="s">
        <v>2416</v>
      </c>
      <c r="T4011" s="51" t="s">
        <v>2416</v>
      </c>
      <c r="U4011" s="0" t="str">
        <f aca="false">"10074865055175"</f>
        <v>10074865055175</v>
      </c>
      <c r="V4011" s="51" t="s">
        <v>2365</v>
      </c>
      <c r="W4011" s="51" t="s">
        <v>7800</v>
      </c>
      <c r="X4011" s="51" t="s">
        <v>2359</v>
      </c>
    </row>
    <row r="4012" customFormat="false" ht="14.25" hidden="true" customHeight="false" outlineLevel="0" collapsed="false">
      <c r="A4012" s="49" t="s">
        <v>2349</v>
      </c>
      <c r="B4012" s="49" t="s">
        <v>2350</v>
      </c>
      <c r="C4012" s="49" t="s">
        <v>7801</v>
      </c>
      <c r="D4012" s="49" t="s">
        <v>2352</v>
      </c>
      <c r="E4012" s="49" t="str">
        <f aca="false">"10074865055175"</f>
        <v>10074865055175</v>
      </c>
      <c r="F4012" s="49" t="s">
        <v>5090</v>
      </c>
      <c r="G4012" s="49" t="n">
        <v>0</v>
      </c>
      <c r="H4012" s="0" t="n">
        <v>0</v>
      </c>
      <c r="M4012" s="51" t="s">
        <v>7788</v>
      </c>
      <c r="N4012" s="49" t="n">
        <v>0</v>
      </c>
      <c r="O4012" s="53" t="n">
        <v>45782.5519097222</v>
      </c>
      <c r="P4012" s="53" t="n">
        <v>45914.5514236111</v>
      </c>
      <c r="Q4012" s="53" t="n">
        <v>45782.5519097222</v>
      </c>
      <c r="R4012" s="0" t="n">
        <v>0</v>
      </c>
      <c r="S4012" s="51" t="s">
        <v>2416</v>
      </c>
      <c r="T4012" s="51" t="s">
        <v>2416</v>
      </c>
      <c r="U4012" s="0" t="str">
        <f aca="false">"10074865055175"</f>
        <v>10074865055175</v>
      </c>
      <c r="V4012" s="51" t="s">
        <v>2365</v>
      </c>
      <c r="W4012" s="51" t="s">
        <v>7802</v>
      </c>
      <c r="X4012" s="51" t="s">
        <v>2359</v>
      </c>
    </row>
    <row r="4013" customFormat="false" ht="14.25" hidden="true" customHeight="false" outlineLevel="0" collapsed="false">
      <c r="A4013" s="49" t="s">
        <v>2349</v>
      </c>
      <c r="B4013" s="49" t="s">
        <v>2350</v>
      </c>
      <c r="C4013" s="49" t="s">
        <v>7803</v>
      </c>
      <c r="D4013" s="49" t="s">
        <v>2352</v>
      </c>
      <c r="E4013" s="49" t="str">
        <f aca="false">"10074865055175"</f>
        <v>10074865055175</v>
      </c>
      <c r="F4013" s="49" t="s">
        <v>5090</v>
      </c>
      <c r="G4013" s="49" t="n">
        <v>0</v>
      </c>
      <c r="H4013" s="0" t="n">
        <v>0</v>
      </c>
      <c r="M4013" s="51" t="s">
        <v>7788</v>
      </c>
      <c r="N4013" s="49" t="n">
        <v>0</v>
      </c>
      <c r="O4013" s="53" t="n">
        <v>45782.551724537</v>
      </c>
      <c r="P4013" s="53" t="n">
        <v>45964.934224537</v>
      </c>
      <c r="Q4013" s="53" t="n">
        <v>45782.551724537</v>
      </c>
      <c r="R4013" s="0" t="n">
        <v>0</v>
      </c>
      <c r="S4013" s="51" t="s">
        <v>2416</v>
      </c>
      <c r="T4013" s="51" t="s">
        <v>2416</v>
      </c>
      <c r="U4013" s="0" t="str">
        <f aca="false">"10074865055175"</f>
        <v>10074865055175</v>
      </c>
      <c r="V4013" s="51" t="s">
        <v>2365</v>
      </c>
      <c r="W4013" s="51" t="s">
        <v>7804</v>
      </c>
      <c r="X4013" s="51" t="s">
        <v>2359</v>
      </c>
    </row>
    <row r="4014" customFormat="false" ht="14.25" hidden="true" customHeight="false" outlineLevel="0" collapsed="false">
      <c r="A4014" s="49" t="s">
        <v>2349</v>
      </c>
      <c r="B4014" s="49" t="s">
        <v>2350</v>
      </c>
      <c r="C4014" s="49" t="s">
        <v>7805</v>
      </c>
      <c r="D4014" s="49" t="s">
        <v>2352</v>
      </c>
      <c r="E4014" s="49" t="str">
        <f aca="false">"10074865055175"</f>
        <v>10074865055175</v>
      </c>
      <c r="F4014" s="49" t="s">
        <v>5090</v>
      </c>
      <c r="G4014" s="49" t="n">
        <v>0</v>
      </c>
      <c r="H4014" s="0" t="n">
        <v>0</v>
      </c>
      <c r="M4014" s="51" t="s">
        <v>7788</v>
      </c>
      <c r="N4014" s="49" t="n">
        <v>0</v>
      </c>
      <c r="O4014" s="53" t="n">
        <v>45782.5516087963</v>
      </c>
      <c r="P4014" s="53" t="n">
        <v>45914.7919675926</v>
      </c>
      <c r="Q4014" s="53" t="n">
        <v>45782.5516087963</v>
      </c>
      <c r="R4014" s="0" t="n">
        <v>0</v>
      </c>
      <c r="S4014" s="51" t="s">
        <v>2416</v>
      </c>
      <c r="T4014" s="51" t="s">
        <v>2416</v>
      </c>
      <c r="U4014" s="0" t="str">
        <f aca="false">"10074865055175"</f>
        <v>10074865055175</v>
      </c>
      <c r="V4014" s="51" t="s">
        <v>2365</v>
      </c>
      <c r="W4014" s="51" t="s">
        <v>5281</v>
      </c>
      <c r="X4014" s="51" t="s">
        <v>2359</v>
      </c>
    </row>
    <row r="4015" customFormat="false" ht="14.25" hidden="true" customHeight="false" outlineLevel="0" collapsed="false">
      <c r="A4015" s="49" t="s">
        <v>2349</v>
      </c>
      <c r="B4015" s="49" t="s">
        <v>2350</v>
      </c>
      <c r="C4015" s="49" t="s">
        <v>7806</v>
      </c>
      <c r="D4015" s="49" t="s">
        <v>2352</v>
      </c>
      <c r="E4015" s="49" t="str">
        <f aca="false">"10074865055175"</f>
        <v>10074865055175</v>
      </c>
      <c r="F4015" s="49" t="s">
        <v>5090</v>
      </c>
      <c r="G4015" s="49" t="n">
        <v>0</v>
      </c>
      <c r="H4015" s="0" t="n">
        <v>0</v>
      </c>
      <c r="M4015" s="51" t="s">
        <v>7788</v>
      </c>
      <c r="N4015" s="49" t="n">
        <v>0</v>
      </c>
      <c r="O4015" s="53" t="n">
        <v>45782.552974537</v>
      </c>
      <c r="P4015" s="53" t="n">
        <v>45907.422962963</v>
      </c>
      <c r="Q4015" s="53" t="n">
        <v>45782.552974537</v>
      </c>
      <c r="R4015" s="0" t="n">
        <v>0</v>
      </c>
      <c r="S4015" s="51" t="s">
        <v>2416</v>
      </c>
      <c r="T4015" s="51" t="s">
        <v>2416</v>
      </c>
      <c r="U4015" s="0" t="str">
        <f aca="false">"10074865055175"</f>
        <v>10074865055175</v>
      </c>
      <c r="V4015" s="51" t="s">
        <v>2365</v>
      </c>
      <c r="W4015" s="51" t="s">
        <v>4816</v>
      </c>
      <c r="X4015" s="51" t="s">
        <v>2359</v>
      </c>
    </row>
    <row r="4016" customFormat="false" ht="14.25" hidden="true" customHeight="false" outlineLevel="0" collapsed="false">
      <c r="A4016" s="49" t="s">
        <v>2349</v>
      </c>
      <c r="B4016" s="49" t="s">
        <v>2350</v>
      </c>
      <c r="C4016" s="49" t="s">
        <v>7807</v>
      </c>
      <c r="D4016" s="49" t="s">
        <v>2352</v>
      </c>
      <c r="E4016" s="49" t="str">
        <f aca="false">"10074865055175"</f>
        <v>10074865055175</v>
      </c>
      <c r="F4016" s="49" t="s">
        <v>5090</v>
      </c>
      <c r="G4016" s="49" t="n">
        <v>0</v>
      </c>
      <c r="H4016" s="0" t="n">
        <v>0</v>
      </c>
      <c r="M4016" s="51" t="s">
        <v>7788</v>
      </c>
      <c r="N4016" s="49" t="n">
        <v>0</v>
      </c>
      <c r="O4016" s="53" t="n">
        <v>45782.5513078704</v>
      </c>
      <c r="P4016" s="53" t="n">
        <v>45914.5787731482</v>
      </c>
      <c r="Q4016" s="53" t="n">
        <v>45782.5513078704</v>
      </c>
      <c r="R4016" s="0" t="n">
        <v>0</v>
      </c>
      <c r="S4016" s="51" t="s">
        <v>2416</v>
      </c>
      <c r="T4016" s="51" t="s">
        <v>2416</v>
      </c>
      <c r="U4016" s="0" t="str">
        <f aca="false">"10074865055175"</f>
        <v>10074865055175</v>
      </c>
      <c r="V4016" s="51" t="s">
        <v>2365</v>
      </c>
      <c r="W4016" s="51" t="s">
        <v>4962</v>
      </c>
      <c r="X4016" s="51" t="s">
        <v>2359</v>
      </c>
    </row>
    <row r="4017" customFormat="false" ht="14.25" hidden="true" customHeight="false" outlineLevel="0" collapsed="false">
      <c r="A4017" s="49" t="s">
        <v>2349</v>
      </c>
      <c r="B4017" s="49" t="s">
        <v>2350</v>
      </c>
      <c r="C4017" s="49" t="s">
        <v>7808</v>
      </c>
      <c r="D4017" s="49" t="s">
        <v>2352</v>
      </c>
      <c r="E4017" s="49" t="str">
        <f aca="false">"10074865055175"</f>
        <v>10074865055175</v>
      </c>
      <c r="F4017" s="49" t="s">
        <v>5090</v>
      </c>
      <c r="G4017" s="49" t="n">
        <v>0</v>
      </c>
      <c r="H4017" s="0" t="n">
        <v>0</v>
      </c>
      <c r="M4017" s="51" t="s">
        <v>7788</v>
      </c>
      <c r="N4017" s="49" t="n">
        <v>0</v>
      </c>
      <c r="O4017" s="53" t="n">
        <v>45782.5531018519</v>
      </c>
      <c r="P4017" s="53" t="n">
        <v>45902.8883449074</v>
      </c>
      <c r="Q4017" s="53" t="n">
        <v>45782.5531018519</v>
      </c>
      <c r="R4017" s="0" t="n">
        <v>0</v>
      </c>
      <c r="S4017" s="51" t="s">
        <v>2416</v>
      </c>
      <c r="T4017" s="51" t="s">
        <v>2416</v>
      </c>
      <c r="U4017" s="0" t="str">
        <f aca="false">"10074865055175"</f>
        <v>10074865055175</v>
      </c>
      <c r="V4017" s="51" t="s">
        <v>2365</v>
      </c>
      <c r="W4017" s="51" t="s">
        <v>4816</v>
      </c>
      <c r="X4017" s="51" t="s">
        <v>2359</v>
      </c>
    </row>
    <row r="4018" customFormat="false" ht="14.25" hidden="true" customHeight="false" outlineLevel="0" collapsed="false">
      <c r="A4018" s="49" t="s">
        <v>2349</v>
      </c>
      <c r="B4018" s="49" t="s">
        <v>2350</v>
      </c>
      <c r="C4018" s="49" t="s">
        <v>7809</v>
      </c>
      <c r="D4018" s="49" t="s">
        <v>2352</v>
      </c>
      <c r="E4018" s="49" t="str">
        <f aca="false">"10074865055175"</f>
        <v>10074865055175</v>
      </c>
      <c r="F4018" s="49" t="s">
        <v>5090</v>
      </c>
      <c r="G4018" s="49" t="n">
        <v>0</v>
      </c>
      <c r="H4018" s="0" t="n">
        <v>0</v>
      </c>
      <c r="M4018" s="51" t="s">
        <v>7788</v>
      </c>
      <c r="N4018" s="49" t="n">
        <v>0</v>
      </c>
      <c r="O4018" s="53" t="n">
        <v>45782.5511805556</v>
      </c>
      <c r="P4018" s="53" t="n">
        <v>45890.5582638889</v>
      </c>
      <c r="Q4018" s="53" t="n">
        <v>45782.5511805556</v>
      </c>
      <c r="R4018" s="0" t="n">
        <v>0</v>
      </c>
      <c r="S4018" s="51" t="s">
        <v>2416</v>
      </c>
      <c r="T4018" s="51" t="s">
        <v>2416</v>
      </c>
      <c r="U4018" s="0" t="str">
        <f aca="false">"10074865055175"</f>
        <v>10074865055175</v>
      </c>
      <c r="V4018" s="51" t="s">
        <v>2365</v>
      </c>
      <c r="W4018" s="51" t="s">
        <v>7810</v>
      </c>
      <c r="X4018" s="51" t="s">
        <v>2359</v>
      </c>
    </row>
    <row r="4019" customFormat="false" ht="14.25" hidden="true" customHeight="false" outlineLevel="0" collapsed="false">
      <c r="A4019" s="49" t="s">
        <v>2349</v>
      </c>
      <c r="B4019" s="49" t="s">
        <v>2350</v>
      </c>
      <c r="C4019" s="49" t="s">
        <v>7811</v>
      </c>
      <c r="D4019" s="49" t="s">
        <v>2352</v>
      </c>
      <c r="E4019" s="49" t="str">
        <f aca="false">"10074865055175"</f>
        <v>10074865055175</v>
      </c>
      <c r="F4019" s="49" t="s">
        <v>5090</v>
      </c>
      <c r="G4019" s="49" t="n">
        <v>0</v>
      </c>
      <c r="H4019" s="0" t="n">
        <v>0</v>
      </c>
      <c r="M4019" s="51" t="s">
        <v>7788</v>
      </c>
      <c r="N4019" s="49" t="n">
        <v>0</v>
      </c>
      <c r="O4019" s="53" t="n">
        <v>45782.5501736111</v>
      </c>
      <c r="P4019" s="53" t="n">
        <v>45914.8063541667</v>
      </c>
      <c r="Q4019" s="53" t="n">
        <v>45782.5501736111</v>
      </c>
      <c r="R4019" s="0" t="n">
        <v>0</v>
      </c>
      <c r="S4019" s="51" t="s">
        <v>2416</v>
      </c>
      <c r="T4019" s="51" t="s">
        <v>2416</v>
      </c>
      <c r="U4019" s="0" t="str">
        <f aca="false">"10074865055175"</f>
        <v>10074865055175</v>
      </c>
      <c r="V4019" s="51" t="s">
        <v>2365</v>
      </c>
      <c r="W4019" s="51" t="s">
        <v>5459</v>
      </c>
      <c r="X4019" s="51" t="s">
        <v>2359</v>
      </c>
    </row>
    <row r="4020" customFormat="false" ht="14.25" hidden="true" customHeight="false" outlineLevel="0" collapsed="false">
      <c r="A4020" s="49" t="s">
        <v>2349</v>
      </c>
      <c r="B4020" s="49" t="s">
        <v>2350</v>
      </c>
      <c r="C4020" s="49" t="s">
        <v>7812</v>
      </c>
      <c r="D4020" s="49" t="s">
        <v>2352</v>
      </c>
      <c r="E4020" s="49" t="str">
        <f aca="false">"10074865055175"</f>
        <v>10074865055175</v>
      </c>
      <c r="F4020" s="49" t="s">
        <v>5090</v>
      </c>
      <c r="G4020" s="49" t="n">
        <v>0</v>
      </c>
      <c r="H4020" s="0" t="n">
        <v>0</v>
      </c>
      <c r="M4020" s="51" t="s">
        <v>7788</v>
      </c>
      <c r="N4020" s="49" t="n">
        <v>0</v>
      </c>
      <c r="O4020" s="53" t="n">
        <v>45782.5499768519</v>
      </c>
      <c r="P4020" s="53" t="n">
        <v>45908.4013888889</v>
      </c>
      <c r="Q4020" s="53" t="n">
        <v>45782.5499768519</v>
      </c>
      <c r="R4020" s="0" t="n">
        <v>0</v>
      </c>
      <c r="S4020" s="51" t="s">
        <v>2416</v>
      </c>
      <c r="T4020" s="51" t="s">
        <v>2416</v>
      </c>
      <c r="U4020" s="0" t="str">
        <f aca="false">"10074865055175"</f>
        <v>10074865055175</v>
      </c>
      <c r="V4020" s="51" t="s">
        <v>2365</v>
      </c>
      <c r="W4020" s="51" t="s">
        <v>7813</v>
      </c>
      <c r="X4020" s="51" t="s">
        <v>2359</v>
      </c>
    </row>
    <row r="4021" customFormat="false" ht="14.25" hidden="true" customHeight="false" outlineLevel="0" collapsed="false">
      <c r="A4021" s="49" t="s">
        <v>2349</v>
      </c>
      <c r="B4021" s="49" t="s">
        <v>2350</v>
      </c>
      <c r="C4021" s="49" t="s">
        <v>7814</v>
      </c>
      <c r="D4021" s="49" t="s">
        <v>2352</v>
      </c>
      <c r="E4021" s="49" t="str">
        <f aca="false">"10074865055175"</f>
        <v>10074865055175</v>
      </c>
      <c r="F4021" s="49" t="s">
        <v>5090</v>
      </c>
      <c r="G4021" s="49" t="n">
        <v>0</v>
      </c>
      <c r="H4021" s="0" t="n">
        <v>0</v>
      </c>
      <c r="M4021" s="51" t="s">
        <v>7788</v>
      </c>
      <c r="N4021" s="49" t="n">
        <v>0</v>
      </c>
      <c r="O4021" s="53" t="n">
        <v>45782.5538657407</v>
      </c>
      <c r="P4021" s="53" t="n">
        <v>45914.5586226852</v>
      </c>
      <c r="Q4021" s="53" t="n">
        <v>45782.5538657407</v>
      </c>
      <c r="R4021" s="0" t="n">
        <v>0</v>
      </c>
      <c r="S4021" s="51" t="s">
        <v>2416</v>
      </c>
      <c r="T4021" s="51" t="s">
        <v>2416</v>
      </c>
      <c r="U4021" s="0" t="str">
        <f aca="false">"10074865055175"</f>
        <v>10074865055175</v>
      </c>
      <c r="V4021" s="51" t="s">
        <v>2365</v>
      </c>
      <c r="W4021" s="51" t="s">
        <v>7815</v>
      </c>
      <c r="X4021" s="51" t="s">
        <v>2359</v>
      </c>
    </row>
    <row r="4022" customFormat="false" ht="14.25" hidden="true" customHeight="false" outlineLevel="0" collapsed="false">
      <c r="A4022" s="49" t="s">
        <v>2349</v>
      </c>
      <c r="B4022" s="49" t="s">
        <v>2350</v>
      </c>
      <c r="C4022" s="49" t="s">
        <v>7816</v>
      </c>
      <c r="D4022" s="49" t="s">
        <v>2352</v>
      </c>
      <c r="E4022" s="49" t="str">
        <f aca="false">"10074865055175"</f>
        <v>10074865055175</v>
      </c>
      <c r="F4022" s="49" t="s">
        <v>5090</v>
      </c>
      <c r="G4022" s="49" t="n">
        <v>0</v>
      </c>
      <c r="H4022" s="0" t="n">
        <v>0</v>
      </c>
      <c r="M4022" s="51" t="s">
        <v>7788</v>
      </c>
      <c r="N4022" s="49" t="n">
        <v>0</v>
      </c>
      <c r="O4022" s="53" t="n">
        <v>45782.5497685185</v>
      </c>
      <c r="P4022" s="53" t="n">
        <v>45914.8283680556</v>
      </c>
      <c r="Q4022" s="53" t="n">
        <v>45782.5497685185</v>
      </c>
      <c r="R4022" s="0" t="n">
        <v>0</v>
      </c>
      <c r="S4022" s="51" t="s">
        <v>2416</v>
      </c>
      <c r="T4022" s="51" t="s">
        <v>2416</v>
      </c>
      <c r="U4022" s="0" t="str">
        <f aca="false">"10074865055175"</f>
        <v>10074865055175</v>
      </c>
      <c r="V4022" s="51" t="s">
        <v>2365</v>
      </c>
      <c r="W4022" s="51" t="s">
        <v>7817</v>
      </c>
      <c r="X4022" s="51" t="s">
        <v>2359</v>
      </c>
    </row>
    <row r="4023" customFormat="false" ht="14.25" hidden="true" customHeight="false" outlineLevel="0" collapsed="false">
      <c r="A4023" s="49" t="s">
        <v>2349</v>
      </c>
      <c r="B4023" s="49" t="s">
        <v>2350</v>
      </c>
      <c r="C4023" s="49" t="s">
        <v>7818</v>
      </c>
      <c r="D4023" s="49" t="s">
        <v>2352</v>
      </c>
      <c r="E4023" s="49" t="str">
        <f aca="false">"10074865055175"</f>
        <v>10074865055175</v>
      </c>
      <c r="F4023" s="49" t="s">
        <v>5090</v>
      </c>
      <c r="G4023" s="49" t="n">
        <v>0</v>
      </c>
      <c r="H4023" s="0" t="n">
        <v>0</v>
      </c>
      <c r="M4023" s="51" t="s">
        <v>7788</v>
      </c>
      <c r="N4023" s="49" t="n">
        <v>0</v>
      </c>
      <c r="O4023" s="53" t="n">
        <v>45782.5495949074</v>
      </c>
      <c r="P4023" s="53" t="n">
        <v>45914.828900463</v>
      </c>
      <c r="Q4023" s="53" t="n">
        <v>45782.5495949074</v>
      </c>
      <c r="R4023" s="0" t="n">
        <v>0</v>
      </c>
      <c r="S4023" s="51" t="s">
        <v>2416</v>
      </c>
      <c r="T4023" s="51" t="s">
        <v>2416</v>
      </c>
      <c r="U4023" s="0" t="str">
        <f aca="false">"10074865055175"</f>
        <v>10074865055175</v>
      </c>
      <c r="V4023" s="51" t="s">
        <v>2365</v>
      </c>
      <c r="W4023" s="51" t="s">
        <v>7819</v>
      </c>
      <c r="X4023" s="51" t="s">
        <v>2359</v>
      </c>
    </row>
    <row r="4024" customFormat="false" ht="14.25" hidden="true" customHeight="false" outlineLevel="0" collapsed="false">
      <c r="A4024" s="49" t="s">
        <v>2349</v>
      </c>
      <c r="B4024" s="49" t="s">
        <v>2350</v>
      </c>
      <c r="C4024" s="49" t="s">
        <v>7820</v>
      </c>
      <c r="D4024" s="49" t="s">
        <v>2352</v>
      </c>
      <c r="E4024" s="49" t="str">
        <f aca="false">"10074865055175"</f>
        <v>10074865055175</v>
      </c>
      <c r="F4024" s="49" t="s">
        <v>5090</v>
      </c>
      <c r="G4024" s="49" t="n">
        <v>0</v>
      </c>
      <c r="H4024" s="0" t="n">
        <v>0</v>
      </c>
      <c r="M4024" s="51" t="s">
        <v>7788</v>
      </c>
      <c r="N4024" s="49" t="n">
        <v>0</v>
      </c>
      <c r="O4024" s="53" t="n">
        <v>45782.5536805556</v>
      </c>
      <c r="P4024" s="53" t="n">
        <v>45914.7890162037</v>
      </c>
      <c r="Q4024" s="53" t="n">
        <v>45782.5536805556</v>
      </c>
      <c r="R4024" s="0" t="n">
        <v>0</v>
      </c>
      <c r="S4024" s="51" t="s">
        <v>2416</v>
      </c>
      <c r="T4024" s="51" t="s">
        <v>2416</v>
      </c>
      <c r="U4024" s="0" t="str">
        <f aca="false">"10074865055175"</f>
        <v>10074865055175</v>
      </c>
      <c r="V4024" s="51" t="s">
        <v>2365</v>
      </c>
      <c r="W4024" s="51" t="s">
        <v>7821</v>
      </c>
      <c r="X4024" s="51" t="s">
        <v>2359</v>
      </c>
    </row>
    <row r="4025" customFormat="false" ht="14.25" hidden="true" customHeight="false" outlineLevel="0" collapsed="false">
      <c r="A4025" s="49" t="s">
        <v>2349</v>
      </c>
      <c r="B4025" s="49" t="s">
        <v>2350</v>
      </c>
      <c r="C4025" s="49" t="s">
        <v>7822</v>
      </c>
      <c r="D4025" s="49" t="s">
        <v>2352</v>
      </c>
      <c r="E4025" s="49" t="str">
        <f aca="false">"10074865055175"</f>
        <v>10074865055175</v>
      </c>
      <c r="F4025" s="49" t="s">
        <v>5090</v>
      </c>
      <c r="G4025" s="49" t="n">
        <v>0</v>
      </c>
      <c r="H4025" s="0" t="n">
        <v>0</v>
      </c>
      <c r="M4025" s="51" t="s">
        <v>7788</v>
      </c>
      <c r="N4025" s="49" t="n">
        <v>0</v>
      </c>
      <c r="O4025" s="53" t="n">
        <v>45782.5493171296</v>
      </c>
      <c r="P4025" s="53" t="n">
        <v>45914.5714467593</v>
      </c>
      <c r="Q4025" s="53" t="n">
        <v>45782.5493171296</v>
      </c>
      <c r="R4025" s="0" t="n">
        <v>0</v>
      </c>
      <c r="S4025" s="51" t="s">
        <v>2416</v>
      </c>
      <c r="T4025" s="51" t="s">
        <v>2416</v>
      </c>
      <c r="U4025" s="0" t="str">
        <f aca="false">"10074865055175"</f>
        <v>10074865055175</v>
      </c>
      <c r="V4025" s="51" t="s">
        <v>2365</v>
      </c>
      <c r="W4025" s="51" t="s">
        <v>4996</v>
      </c>
      <c r="X4025" s="51" t="s">
        <v>2359</v>
      </c>
    </row>
    <row r="4026" customFormat="false" ht="14.25" hidden="true" customHeight="false" outlineLevel="0" collapsed="false">
      <c r="A4026" s="49" t="s">
        <v>2349</v>
      </c>
      <c r="B4026" s="49" t="s">
        <v>2350</v>
      </c>
      <c r="C4026" s="49" t="s">
        <v>7823</v>
      </c>
      <c r="D4026" s="49" t="s">
        <v>2352</v>
      </c>
      <c r="E4026" s="49" t="str">
        <f aca="false">"10074865055175"</f>
        <v>10074865055175</v>
      </c>
      <c r="F4026" s="49" t="s">
        <v>5090</v>
      </c>
      <c r="G4026" s="49" t="n">
        <v>0</v>
      </c>
      <c r="H4026" s="0" t="n">
        <v>0</v>
      </c>
      <c r="M4026" s="51" t="s">
        <v>7788</v>
      </c>
      <c r="N4026" s="49" t="n">
        <v>0</v>
      </c>
      <c r="O4026" s="53" t="n">
        <v>45782.5534490741</v>
      </c>
      <c r="P4026" s="53" t="n">
        <v>45914.5748148148</v>
      </c>
      <c r="Q4026" s="53" t="n">
        <v>45782.5534490741</v>
      </c>
      <c r="R4026" s="0" t="n">
        <v>0</v>
      </c>
      <c r="S4026" s="51" t="s">
        <v>2416</v>
      </c>
      <c r="T4026" s="51" t="s">
        <v>2416</v>
      </c>
      <c r="U4026" s="0" t="str">
        <f aca="false">"10074865055175"</f>
        <v>10074865055175</v>
      </c>
      <c r="V4026" s="51" t="s">
        <v>2365</v>
      </c>
      <c r="W4026" s="51" t="s">
        <v>7824</v>
      </c>
      <c r="X4026" s="51" t="s">
        <v>2359</v>
      </c>
    </row>
    <row r="4027" customFormat="false" ht="14.25" hidden="true" customHeight="false" outlineLevel="0" collapsed="false">
      <c r="A4027" s="49" t="s">
        <v>2349</v>
      </c>
      <c r="B4027" s="49" t="s">
        <v>2350</v>
      </c>
      <c r="C4027" s="49" t="s">
        <v>7825</v>
      </c>
      <c r="D4027" s="49" t="s">
        <v>2352</v>
      </c>
      <c r="E4027" s="49" t="str">
        <f aca="false">"10074865055175"</f>
        <v>10074865055175</v>
      </c>
      <c r="F4027" s="49" t="s">
        <v>5090</v>
      </c>
      <c r="G4027" s="49" t="n">
        <v>0</v>
      </c>
      <c r="H4027" s="0" t="n">
        <v>0</v>
      </c>
      <c r="M4027" s="51" t="s">
        <v>7788</v>
      </c>
      <c r="N4027" s="49" t="n">
        <v>0</v>
      </c>
      <c r="O4027" s="53" t="n">
        <v>45782.5490972222</v>
      </c>
      <c r="P4027" s="53" t="n">
        <v>45908.4023726852</v>
      </c>
      <c r="Q4027" s="53" t="n">
        <v>45782.5490972222</v>
      </c>
      <c r="R4027" s="0" t="n">
        <v>0</v>
      </c>
      <c r="S4027" s="51" t="s">
        <v>2416</v>
      </c>
      <c r="T4027" s="51" t="s">
        <v>2416</v>
      </c>
      <c r="U4027" s="0" t="str">
        <f aca="false">"10074865055175"</f>
        <v>10074865055175</v>
      </c>
      <c r="V4027" s="51" t="s">
        <v>2365</v>
      </c>
      <c r="W4027" s="51" t="s">
        <v>7826</v>
      </c>
      <c r="X4027" s="51" t="s">
        <v>2359</v>
      </c>
    </row>
    <row r="4028" customFormat="false" ht="14.25" hidden="true" customHeight="false" outlineLevel="0" collapsed="false">
      <c r="A4028" s="49" t="s">
        <v>2349</v>
      </c>
      <c r="B4028" s="49" t="s">
        <v>2350</v>
      </c>
      <c r="C4028" s="49" t="s">
        <v>7827</v>
      </c>
      <c r="D4028" s="49" t="s">
        <v>2352</v>
      </c>
      <c r="E4028" s="49" t="str">
        <f aca="false">"10074865055175"</f>
        <v>10074865055175</v>
      </c>
      <c r="F4028" s="49" t="s">
        <v>5090</v>
      </c>
      <c r="G4028" s="49" t="n">
        <v>0</v>
      </c>
      <c r="H4028" s="0" t="n">
        <v>0</v>
      </c>
      <c r="M4028" s="51" t="s">
        <v>7788</v>
      </c>
      <c r="N4028" s="49" t="n">
        <v>0</v>
      </c>
      <c r="O4028" s="53" t="n">
        <v>45782.5488773148</v>
      </c>
      <c r="P4028" s="53" t="n">
        <v>45914.5809259259</v>
      </c>
      <c r="Q4028" s="53" t="n">
        <v>45782.5488773148</v>
      </c>
      <c r="R4028" s="0" t="n">
        <v>0</v>
      </c>
      <c r="S4028" s="51" t="s">
        <v>2416</v>
      </c>
      <c r="T4028" s="51" t="s">
        <v>2416</v>
      </c>
      <c r="U4028" s="0" t="str">
        <f aca="false">"10074865055175"</f>
        <v>10074865055175</v>
      </c>
      <c r="V4028" s="51" t="s">
        <v>2365</v>
      </c>
      <c r="W4028" s="51" t="s">
        <v>6340</v>
      </c>
      <c r="X4028" s="51" t="s">
        <v>2359</v>
      </c>
    </row>
    <row r="4029" customFormat="false" ht="14.25" hidden="true" customHeight="false" outlineLevel="0" collapsed="false">
      <c r="A4029" s="49" t="s">
        <v>2349</v>
      </c>
      <c r="B4029" s="49" t="s">
        <v>2350</v>
      </c>
      <c r="C4029" s="49" t="s">
        <v>7828</v>
      </c>
      <c r="D4029" s="49" t="s">
        <v>2352</v>
      </c>
      <c r="E4029" s="49" t="str">
        <f aca="false">"10074865055175"</f>
        <v>10074865055175</v>
      </c>
      <c r="F4029" s="49" t="s">
        <v>5090</v>
      </c>
      <c r="G4029" s="49" t="n">
        <v>0</v>
      </c>
      <c r="H4029" s="0" t="n">
        <v>0</v>
      </c>
      <c r="M4029" s="51" t="s">
        <v>7788</v>
      </c>
      <c r="N4029" s="49" t="n">
        <v>0</v>
      </c>
      <c r="O4029" s="53" t="n">
        <v>45782.5484606482</v>
      </c>
      <c r="P4029" s="53" t="n">
        <v>45914.7903356482</v>
      </c>
      <c r="Q4029" s="53" t="n">
        <v>45782.5484606482</v>
      </c>
      <c r="R4029" s="0" t="n">
        <v>0</v>
      </c>
      <c r="S4029" s="51" t="s">
        <v>2416</v>
      </c>
      <c r="T4029" s="51" t="s">
        <v>2416</v>
      </c>
      <c r="U4029" s="0" t="str">
        <f aca="false">"10074865055175"</f>
        <v>10074865055175</v>
      </c>
      <c r="V4029" s="51" t="s">
        <v>2365</v>
      </c>
      <c r="W4029" s="51" t="s">
        <v>7829</v>
      </c>
      <c r="X4029" s="51" t="s">
        <v>2359</v>
      </c>
    </row>
    <row r="4030" customFormat="false" ht="14.25" hidden="true" customHeight="false" outlineLevel="0" collapsed="false">
      <c r="A4030" s="49" t="s">
        <v>2349</v>
      </c>
      <c r="B4030" s="49" t="s">
        <v>2350</v>
      </c>
      <c r="C4030" s="49" t="s">
        <v>7830</v>
      </c>
      <c r="D4030" s="49" t="s">
        <v>2352</v>
      </c>
      <c r="E4030" s="49" t="str">
        <f aca="false">"10074865055175"</f>
        <v>10074865055175</v>
      </c>
      <c r="F4030" s="49" t="s">
        <v>5090</v>
      </c>
      <c r="G4030" s="49" t="n">
        <v>0</v>
      </c>
      <c r="H4030" s="0" t="n">
        <v>0</v>
      </c>
      <c r="M4030" s="51" t="s">
        <v>7788</v>
      </c>
      <c r="N4030" s="49" t="n">
        <v>0</v>
      </c>
      <c r="O4030" s="53" t="n">
        <v>45782.5532523148</v>
      </c>
      <c r="P4030" s="53" t="n">
        <v>45837.4374189815</v>
      </c>
      <c r="Q4030" s="53" t="n">
        <v>45782.5532523148</v>
      </c>
      <c r="R4030" s="0" t="n">
        <v>0</v>
      </c>
      <c r="S4030" s="51" t="s">
        <v>2416</v>
      </c>
      <c r="T4030" s="51" t="s">
        <v>2416</v>
      </c>
      <c r="U4030" s="0" t="str">
        <f aca="false">"10074865055175"</f>
        <v>10074865055175</v>
      </c>
      <c r="V4030" s="51" t="s">
        <v>2365</v>
      </c>
      <c r="W4030" s="51" t="s">
        <v>7831</v>
      </c>
      <c r="X4030" s="51" t="s">
        <v>2359</v>
      </c>
    </row>
    <row r="4031" customFormat="false" ht="14.25" hidden="true" customHeight="false" outlineLevel="0" collapsed="false">
      <c r="A4031" s="49" t="s">
        <v>2349</v>
      </c>
      <c r="B4031" s="49" t="s">
        <v>2350</v>
      </c>
      <c r="C4031" s="49" t="s">
        <v>7832</v>
      </c>
      <c r="D4031" s="49" t="s">
        <v>2352</v>
      </c>
      <c r="E4031" s="49" t="str">
        <f aca="false">"10074865055175"</f>
        <v>10074865055175</v>
      </c>
      <c r="F4031" s="49" t="s">
        <v>5090</v>
      </c>
      <c r="G4031" s="49" t="n">
        <v>0</v>
      </c>
      <c r="H4031" s="0" t="n">
        <v>0</v>
      </c>
      <c r="M4031" s="51" t="s">
        <v>7788</v>
      </c>
      <c r="N4031" s="49" t="n">
        <v>0</v>
      </c>
      <c r="O4031" s="53" t="n">
        <v>45782.5486921296</v>
      </c>
      <c r="P4031" s="53" t="n">
        <v>45908.4004166667</v>
      </c>
      <c r="Q4031" s="53" t="n">
        <v>45782.5486921296</v>
      </c>
      <c r="R4031" s="0" t="n">
        <v>0</v>
      </c>
      <c r="S4031" s="51" t="s">
        <v>2416</v>
      </c>
      <c r="T4031" s="51" t="s">
        <v>2416</v>
      </c>
      <c r="U4031" s="0" t="str">
        <f aca="false">"10074865055175"</f>
        <v>10074865055175</v>
      </c>
      <c r="V4031" s="51" t="s">
        <v>2365</v>
      </c>
      <c r="W4031" s="51" t="s">
        <v>7833</v>
      </c>
      <c r="X4031" s="51" t="s">
        <v>2359</v>
      </c>
    </row>
    <row r="4032" customFormat="false" ht="14.25" hidden="true" customHeight="false" outlineLevel="0" collapsed="false">
      <c r="A4032" s="49" t="s">
        <v>2349</v>
      </c>
      <c r="B4032" s="49" t="s">
        <v>2350</v>
      </c>
      <c r="C4032" s="49" t="s">
        <v>7834</v>
      </c>
      <c r="D4032" s="49" t="s">
        <v>2352</v>
      </c>
      <c r="E4032" s="49" t="str">
        <f aca="false">"10074865055175"</f>
        <v>10074865055175</v>
      </c>
      <c r="F4032" s="49" t="s">
        <v>5090</v>
      </c>
      <c r="G4032" s="49" t="n">
        <v>0</v>
      </c>
      <c r="H4032" s="0" t="n">
        <v>0</v>
      </c>
      <c r="M4032" s="51" t="s">
        <v>7788</v>
      </c>
      <c r="N4032" s="49" t="n">
        <v>0</v>
      </c>
      <c r="O4032" s="53" t="n">
        <v>45782.5482060185</v>
      </c>
      <c r="P4032" s="53" t="n">
        <v>45914.5457060185</v>
      </c>
      <c r="Q4032" s="53" t="n">
        <v>45782.5482060185</v>
      </c>
      <c r="R4032" s="0" t="n">
        <v>0</v>
      </c>
      <c r="S4032" s="51" t="s">
        <v>2416</v>
      </c>
      <c r="T4032" s="51" t="s">
        <v>2416</v>
      </c>
      <c r="U4032" s="0" t="str">
        <f aca="false">"10074865055175"</f>
        <v>10074865055175</v>
      </c>
      <c r="V4032" s="51" t="s">
        <v>2365</v>
      </c>
      <c r="W4032" s="51" t="s">
        <v>5088</v>
      </c>
      <c r="X4032" s="51" t="s">
        <v>2359</v>
      </c>
    </row>
    <row r="4033" customFormat="false" ht="14.25" hidden="true" customHeight="false" outlineLevel="0" collapsed="false">
      <c r="A4033" s="49" t="s">
        <v>2349</v>
      </c>
      <c r="B4033" s="49" t="s">
        <v>2350</v>
      </c>
      <c r="C4033" s="49" t="s">
        <v>7835</v>
      </c>
      <c r="D4033" s="49" t="s">
        <v>2352</v>
      </c>
      <c r="E4033" s="49" t="str">
        <f aca="false">"10074865055175"</f>
        <v>10074865055175</v>
      </c>
      <c r="F4033" s="49" t="s">
        <v>5090</v>
      </c>
      <c r="G4033" s="49" t="n">
        <v>0</v>
      </c>
      <c r="H4033" s="0" t="n">
        <v>0</v>
      </c>
      <c r="M4033" s="51" t="s">
        <v>7788</v>
      </c>
      <c r="N4033" s="49" t="n">
        <v>0</v>
      </c>
      <c r="O4033" s="53" t="n">
        <v>45782.5479398148</v>
      </c>
      <c r="P4033" s="53" t="n">
        <v>45914.5608101852</v>
      </c>
      <c r="Q4033" s="53" t="n">
        <v>45782.5479398148</v>
      </c>
      <c r="R4033" s="0" t="n">
        <v>0</v>
      </c>
      <c r="S4033" s="51" t="s">
        <v>2416</v>
      </c>
      <c r="T4033" s="51" t="s">
        <v>2416</v>
      </c>
      <c r="U4033" s="0" t="str">
        <f aca="false">"10074865055175"</f>
        <v>10074865055175</v>
      </c>
      <c r="V4033" s="51" t="s">
        <v>2365</v>
      </c>
      <c r="W4033" s="51" t="s">
        <v>7836</v>
      </c>
      <c r="X4033" s="51" t="s">
        <v>2359</v>
      </c>
    </row>
    <row r="4034" customFormat="false" ht="14.25" hidden="true" customHeight="false" outlineLevel="0" collapsed="false">
      <c r="A4034" s="49" t="s">
        <v>2349</v>
      </c>
      <c r="B4034" s="49" t="s">
        <v>2350</v>
      </c>
      <c r="C4034" s="49" t="s">
        <v>7837</v>
      </c>
      <c r="D4034" s="49" t="s">
        <v>2352</v>
      </c>
      <c r="E4034" s="49" t="str">
        <f aca="false">"10074865055175"</f>
        <v>10074865055175</v>
      </c>
      <c r="F4034" s="49" t="s">
        <v>5090</v>
      </c>
      <c r="G4034" s="49" t="n">
        <v>0</v>
      </c>
      <c r="H4034" s="0" t="n">
        <v>0</v>
      </c>
      <c r="M4034" s="51" t="s">
        <v>7788</v>
      </c>
      <c r="N4034" s="49" t="n">
        <v>0</v>
      </c>
      <c r="O4034" s="53" t="n">
        <v>45782.5477777778</v>
      </c>
      <c r="P4034" s="53" t="n">
        <v>45873.9033449074</v>
      </c>
      <c r="Q4034" s="53" t="n">
        <v>45782.5477777778</v>
      </c>
      <c r="R4034" s="0" t="n">
        <v>0</v>
      </c>
      <c r="S4034" s="51" t="s">
        <v>2416</v>
      </c>
      <c r="T4034" s="51" t="s">
        <v>2416</v>
      </c>
      <c r="U4034" s="0" t="str">
        <f aca="false">"10074865055175"</f>
        <v>10074865055175</v>
      </c>
      <c r="V4034" s="51" t="s">
        <v>2365</v>
      </c>
      <c r="W4034" s="51" t="s">
        <v>7770</v>
      </c>
      <c r="X4034" s="51" t="s">
        <v>2359</v>
      </c>
    </row>
    <row r="4035" customFormat="false" ht="14.25" hidden="true" customHeight="false" outlineLevel="0" collapsed="false">
      <c r="A4035" s="49" t="s">
        <v>2349</v>
      </c>
      <c r="B4035" s="49" t="s">
        <v>2350</v>
      </c>
      <c r="C4035" s="49" t="s">
        <v>7838</v>
      </c>
      <c r="D4035" s="49" t="s">
        <v>2352</v>
      </c>
      <c r="E4035" s="49" t="str">
        <f aca="false">"10074865055175"</f>
        <v>10074865055175</v>
      </c>
      <c r="F4035" s="49" t="s">
        <v>5090</v>
      </c>
      <c r="G4035" s="49" t="n">
        <v>0</v>
      </c>
      <c r="H4035" s="0" t="n">
        <v>0</v>
      </c>
      <c r="M4035" s="51" t="s">
        <v>7788</v>
      </c>
      <c r="N4035" s="49" t="n">
        <v>0</v>
      </c>
      <c r="O4035" s="53" t="n">
        <v>45782.5476273148</v>
      </c>
      <c r="P4035" s="53" t="n">
        <v>45908.3975925926</v>
      </c>
      <c r="Q4035" s="53" t="n">
        <v>45782.5476273148</v>
      </c>
      <c r="R4035" s="0" t="n">
        <v>0</v>
      </c>
      <c r="S4035" s="51" t="s">
        <v>2416</v>
      </c>
      <c r="T4035" s="51" t="s">
        <v>2416</v>
      </c>
      <c r="U4035" s="0" t="str">
        <f aca="false">"10074865055175"</f>
        <v>10074865055175</v>
      </c>
      <c r="V4035" s="51" t="s">
        <v>2365</v>
      </c>
      <c r="W4035" s="51" t="s">
        <v>7344</v>
      </c>
      <c r="X4035" s="51" t="s">
        <v>2359</v>
      </c>
    </row>
    <row r="4036" customFormat="false" ht="14.25" hidden="true" customHeight="false" outlineLevel="0" collapsed="false">
      <c r="A4036" s="49" t="s">
        <v>2349</v>
      </c>
      <c r="B4036" s="49" t="s">
        <v>2350</v>
      </c>
      <c r="C4036" s="49" t="s">
        <v>7839</v>
      </c>
      <c r="D4036" s="49" t="s">
        <v>2352</v>
      </c>
      <c r="E4036" s="49" t="str">
        <f aca="false">"10074865055175"</f>
        <v>10074865055175</v>
      </c>
      <c r="F4036" s="49" t="s">
        <v>5090</v>
      </c>
      <c r="G4036" s="49" t="n">
        <v>0</v>
      </c>
      <c r="H4036" s="0" t="n">
        <v>0</v>
      </c>
      <c r="M4036" s="51" t="s">
        <v>7788</v>
      </c>
      <c r="N4036" s="49" t="n">
        <v>0</v>
      </c>
      <c r="O4036" s="53" t="n">
        <v>45782.5474652778</v>
      </c>
      <c r="P4036" s="53" t="n">
        <v>45897.6895949074</v>
      </c>
      <c r="Q4036" s="53" t="n">
        <v>45782.5474652778</v>
      </c>
      <c r="R4036" s="0" t="n">
        <v>0</v>
      </c>
      <c r="S4036" s="51" t="s">
        <v>2416</v>
      </c>
      <c r="T4036" s="51" t="s">
        <v>2416</v>
      </c>
      <c r="U4036" s="0" t="str">
        <f aca="false">"10074865055175"</f>
        <v>10074865055175</v>
      </c>
      <c r="V4036" s="51" t="s">
        <v>2365</v>
      </c>
      <c r="W4036" s="51" t="s">
        <v>4241</v>
      </c>
      <c r="X4036" s="51" t="s">
        <v>2359</v>
      </c>
    </row>
    <row r="4037" customFormat="false" ht="14.25" hidden="true" customHeight="false" outlineLevel="0" collapsed="false">
      <c r="A4037" s="49" t="s">
        <v>2349</v>
      </c>
      <c r="B4037" s="49" t="s">
        <v>2350</v>
      </c>
      <c r="C4037" s="49" t="s">
        <v>7840</v>
      </c>
      <c r="D4037" s="49" t="s">
        <v>2352</v>
      </c>
      <c r="E4037" s="49" t="str">
        <f aca="false">"10074865055175"</f>
        <v>10074865055175</v>
      </c>
      <c r="F4037" s="49" t="s">
        <v>5090</v>
      </c>
      <c r="G4037" s="49" t="n">
        <v>0</v>
      </c>
      <c r="H4037" s="0" t="n">
        <v>0</v>
      </c>
      <c r="M4037" s="51" t="s">
        <v>7788</v>
      </c>
      <c r="N4037" s="49" t="n">
        <v>0</v>
      </c>
      <c r="O4037" s="53" t="n">
        <v>45782.5470833333</v>
      </c>
      <c r="P4037" s="53" t="n">
        <v>45964.9386805556</v>
      </c>
      <c r="Q4037" s="53" t="n">
        <v>45782.5470833333</v>
      </c>
      <c r="R4037" s="0" t="n">
        <v>0</v>
      </c>
      <c r="S4037" s="51" t="s">
        <v>2416</v>
      </c>
      <c r="T4037" s="51" t="s">
        <v>2416</v>
      </c>
      <c r="U4037" s="0" t="str">
        <f aca="false">"10074865055175"</f>
        <v>10074865055175</v>
      </c>
      <c r="V4037" s="51" t="s">
        <v>2365</v>
      </c>
      <c r="W4037" s="51" t="s">
        <v>7841</v>
      </c>
      <c r="X4037" s="51" t="s">
        <v>2359</v>
      </c>
    </row>
    <row r="4038" customFormat="false" ht="14.25" hidden="true" customHeight="false" outlineLevel="0" collapsed="false">
      <c r="A4038" s="49" t="s">
        <v>2349</v>
      </c>
      <c r="B4038" s="49" t="s">
        <v>2350</v>
      </c>
      <c r="C4038" s="49" t="s">
        <v>7842</v>
      </c>
      <c r="D4038" s="49" t="s">
        <v>2352</v>
      </c>
      <c r="E4038" s="49" t="str">
        <f aca="false">"10074865055175"</f>
        <v>10074865055175</v>
      </c>
      <c r="F4038" s="49" t="s">
        <v>5090</v>
      </c>
      <c r="G4038" s="49" t="n">
        <v>0</v>
      </c>
      <c r="H4038" s="0" t="n">
        <v>0</v>
      </c>
      <c r="M4038" s="51" t="s">
        <v>7788</v>
      </c>
      <c r="N4038" s="49" t="n">
        <v>0</v>
      </c>
      <c r="O4038" s="53" t="n">
        <v>45782.5445833333</v>
      </c>
      <c r="P4038" s="53" t="n">
        <v>45837.4291319444</v>
      </c>
      <c r="Q4038" s="53" t="n">
        <v>45782.5445833333</v>
      </c>
      <c r="R4038" s="0" t="n">
        <v>0</v>
      </c>
      <c r="S4038" s="51" t="s">
        <v>2416</v>
      </c>
      <c r="T4038" s="51" t="s">
        <v>2416</v>
      </c>
      <c r="U4038" s="0" t="str">
        <f aca="false">"10074865055175"</f>
        <v>10074865055175</v>
      </c>
      <c r="V4038" s="51" t="s">
        <v>2365</v>
      </c>
      <c r="W4038" s="51" t="s">
        <v>7843</v>
      </c>
      <c r="X4038" s="51" t="s">
        <v>2359</v>
      </c>
    </row>
    <row r="4039" customFormat="false" ht="14.25" hidden="true" customHeight="false" outlineLevel="0" collapsed="false">
      <c r="A4039" s="49" t="s">
        <v>2349</v>
      </c>
      <c r="B4039" s="49" t="s">
        <v>2350</v>
      </c>
      <c r="C4039" s="49" t="s">
        <v>7844</v>
      </c>
      <c r="D4039" s="49" t="s">
        <v>2352</v>
      </c>
      <c r="E4039" s="49" t="str">
        <f aca="false">"10074865055175"</f>
        <v>10074865055175</v>
      </c>
      <c r="F4039" s="49" t="s">
        <v>5090</v>
      </c>
      <c r="G4039" s="49" t="n">
        <v>0</v>
      </c>
      <c r="H4039" s="0" t="n">
        <v>0</v>
      </c>
      <c r="M4039" s="51" t="s">
        <v>7788</v>
      </c>
      <c r="N4039" s="49" t="n">
        <v>0</v>
      </c>
      <c r="O4039" s="53" t="n">
        <v>45782.5442361111</v>
      </c>
      <c r="P4039" s="53" t="n">
        <v>45964.9370949074</v>
      </c>
      <c r="Q4039" s="53" t="n">
        <v>45782.5442361111</v>
      </c>
      <c r="R4039" s="0" t="n">
        <v>0</v>
      </c>
      <c r="S4039" s="51" t="s">
        <v>2416</v>
      </c>
      <c r="T4039" s="51" t="s">
        <v>2416</v>
      </c>
      <c r="U4039" s="0" t="str">
        <f aca="false">"10074865055175"</f>
        <v>10074865055175</v>
      </c>
      <c r="V4039" s="51" t="s">
        <v>2365</v>
      </c>
      <c r="W4039" s="51" t="s">
        <v>7845</v>
      </c>
      <c r="X4039" s="51" t="s">
        <v>2359</v>
      </c>
    </row>
    <row r="4040" customFormat="false" ht="14.25" hidden="true" customHeight="false" outlineLevel="0" collapsed="false">
      <c r="A4040" s="49" t="s">
        <v>2349</v>
      </c>
      <c r="B4040" s="49" t="s">
        <v>2350</v>
      </c>
      <c r="C4040" s="49" t="s">
        <v>7846</v>
      </c>
      <c r="D4040" s="49" t="s">
        <v>2352</v>
      </c>
      <c r="E4040" s="49" t="str">
        <f aca="false">"10074865055175"</f>
        <v>10074865055175</v>
      </c>
      <c r="F4040" s="49" t="s">
        <v>5090</v>
      </c>
      <c r="G4040" s="49" t="n">
        <v>0</v>
      </c>
      <c r="H4040" s="0" t="n">
        <v>0</v>
      </c>
      <c r="M4040" s="51" t="s">
        <v>7788</v>
      </c>
      <c r="N4040" s="49" t="n">
        <v>0</v>
      </c>
      <c r="O4040" s="53" t="n">
        <v>45782.5440972222</v>
      </c>
      <c r="P4040" s="53" t="n">
        <v>45964.9061458333</v>
      </c>
      <c r="Q4040" s="53" t="n">
        <v>45782.5440972222</v>
      </c>
      <c r="R4040" s="0" t="n">
        <v>0</v>
      </c>
      <c r="S4040" s="51" t="s">
        <v>2416</v>
      </c>
      <c r="T4040" s="51" t="s">
        <v>2416</v>
      </c>
      <c r="U4040" s="0" t="str">
        <f aca="false">"10074865055175"</f>
        <v>10074865055175</v>
      </c>
      <c r="V4040" s="51" t="s">
        <v>2365</v>
      </c>
      <c r="W4040" s="51" t="s">
        <v>7847</v>
      </c>
      <c r="X4040" s="51" t="s">
        <v>2359</v>
      </c>
    </row>
    <row r="4041" customFormat="false" ht="17.55" hidden="true" customHeight="false" outlineLevel="0" collapsed="false">
      <c r="A4041" s="49" t="s">
        <v>2349</v>
      </c>
      <c r="B4041" s="49" t="s">
        <v>2350</v>
      </c>
      <c r="C4041" s="49" t="s">
        <v>7848</v>
      </c>
      <c r="D4041" s="49" t="s">
        <v>2352</v>
      </c>
      <c r="E4041" s="49" t="str">
        <f aca="false">"6281024902554"</f>
        <v>6281024902554</v>
      </c>
      <c r="F4041" s="49" t="s">
        <v>4579</v>
      </c>
      <c r="G4041" s="49" t="n">
        <v>0</v>
      </c>
      <c r="H4041" s="0" t="n">
        <v>0</v>
      </c>
      <c r="M4041" s="51" t="s">
        <v>7849</v>
      </c>
      <c r="N4041" s="49" t="n">
        <v>0</v>
      </c>
      <c r="O4041" s="53" t="n">
        <v>45844.6442476852</v>
      </c>
      <c r="P4041" s="53" t="n">
        <v>45910.3375578704</v>
      </c>
      <c r="Q4041" s="53" t="n">
        <v>45844.6442476852</v>
      </c>
      <c r="R4041" s="0" t="n">
        <v>0</v>
      </c>
      <c r="S4041" s="51" t="s">
        <v>2356</v>
      </c>
      <c r="T4041" s="51" t="s">
        <v>2356</v>
      </c>
      <c r="U4041" s="0" t="str">
        <f aca="false">"6281024902554"</f>
        <v>6281024902554</v>
      </c>
      <c r="V4041" s="51" t="s">
        <v>2365</v>
      </c>
      <c r="W4041" s="51" t="s">
        <v>5494</v>
      </c>
      <c r="X4041" s="51" t="s">
        <v>2359</v>
      </c>
    </row>
    <row r="4042" customFormat="false" ht="17.55" hidden="true" customHeight="false" outlineLevel="0" collapsed="false">
      <c r="A4042" s="49" t="s">
        <v>2349</v>
      </c>
      <c r="B4042" s="49" t="s">
        <v>2350</v>
      </c>
      <c r="C4042" s="49" t="s">
        <v>7850</v>
      </c>
      <c r="D4042" s="49" t="s">
        <v>2352</v>
      </c>
      <c r="E4042" s="49" t="str">
        <f aca="false">"6281024902554"</f>
        <v>6281024902554</v>
      </c>
      <c r="F4042" s="49" t="s">
        <v>4579</v>
      </c>
      <c r="G4042" s="49" t="n">
        <v>0</v>
      </c>
      <c r="H4042" s="0" t="n">
        <v>0</v>
      </c>
      <c r="M4042" s="51" t="s">
        <v>7849</v>
      </c>
      <c r="N4042" s="49" t="n">
        <v>0</v>
      </c>
      <c r="O4042" s="53" t="n">
        <v>45844.6443865741</v>
      </c>
      <c r="P4042" s="53" t="n">
        <v>45858.5740277778</v>
      </c>
      <c r="Q4042" s="53" t="n">
        <v>45844.6443865741</v>
      </c>
      <c r="R4042" s="0" t="n">
        <v>0</v>
      </c>
      <c r="S4042" s="51" t="s">
        <v>2356</v>
      </c>
      <c r="T4042" s="51" t="s">
        <v>2356</v>
      </c>
      <c r="U4042" s="0" t="str">
        <f aca="false">"6281024902554"</f>
        <v>6281024902554</v>
      </c>
      <c r="V4042" s="51" t="s">
        <v>2365</v>
      </c>
      <c r="W4042" s="51" t="s">
        <v>7851</v>
      </c>
      <c r="X4042" s="51" t="s">
        <v>2359</v>
      </c>
    </row>
    <row r="4043" customFormat="false" ht="17.55" hidden="true" customHeight="false" outlineLevel="0" collapsed="false">
      <c r="A4043" s="49" t="s">
        <v>2349</v>
      </c>
      <c r="B4043" s="49" t="s">
        <v>2350</v>
      </c>
      <c r="C4043" s="49" t="s">
        <v>7852</v>
      </c>
      <c r="D4043" s="49" t="s">
        <v>2352</v>
      </c>
      <c r="E4043" s="49" t="str">
        <f aca="false">"6281024902554"</f>
        <v>6281024902554</v>
      </c>
      <c r="F4043" s="49" t="s">
        <v>4579</v>
      </c>
      <c r="G4043" s="49" t="n">
        <v>0</v>
      </c>
      <c r="H4043" s="0" t="n">
        <v>0</v>
      </c>
      <c r="M4043" s="51" t="s">
        <v>7849</v>
      </c>
      <c r="N4043" s="49" t="n">
        <v>0</v>
      </c>
      <c r="O4043" s="53" t="n">
        <v>45844.6445023148</v>
      </c>
      <c r="P4043" s="53" t="n">
        <v>45880.5835532407</v>
      </c>
      <c r="Q4043" s="53" t="n">
        <v>45844.6445023148</v>
      </c>
      <c r="R4043" s="0" t="n">
        <v>0</v>
      </c>
      <c r="S4043" s="51" t="s">
        <v>2356</v>
      </c>
      <c r="T4043" s="51" t="s">
        <v>2356</v>
      </c>
      <c r="U4043" s="0" t="str">
        <f aca="false">"6281024902554"</f>
        <v>6281024902554</v>
      </c>
      <c r="V4043" s="51" t="s">
        <v>2365</v>
      </c>
      <c r="W4043" s="51" t="s">
        <v>4583</v>
      </c>
      <c r="X4043" s="51" t="s">
        <v>2359</v>
      </c>
    </row>
    <row r="4044" customFormat="false" ht="17.55" hidden="true" customHeight="false" outlineLevel="0" collapsed="false">
      <c r="A4044" s="49" t="s">
        <v>2349</v>
      </c>
      <c r="B4044" s="49" t="s">
        <v>2350</v>
      </c>
      <c r="C4044" s="49" t="s">
        <v>7853</v>
      </c>
      <c r="D4044" s="49" t="s">
        <v>2352</v>
      </c>
      <c r="E4044" s="49" t="str">
        <f aca="false">"6281024902554"</f>
        <v>6281024902554</v>
      </c>
      <c r="F4044" s="49" t="s">
        <v>4579</v>
      </c>
      <c r="G4044" s="49" t="n">
        <v>0</v>
      </c>
      <c r="H4044" s="0" t="n">
        <v>0</v>
      </c>
      <c r="M4044" s="51" t="s">
        <v>7849</v>
      </c>
      <c r="N4044" s="49" t="n">
        <v>0</v>
      </c>
      <c r="O4044" s="53" t="n">
        <v>45844.6446180556</v>
      </c>
      <c r="P4044" s="53" t="n">
        <v>45920.5012847222</v>
      </c>
      <c r="Q4044" s="53" t="n">
        <v>45844.6446180556</v>
      </c>
      <c r="R4044" s="0" t="n">
        <v>0</v>
      </c>
      <c r="S4044" s="51" t="s">
        <v>2356</v>
      </c>
      <c r="T4044" s="51" t="s">
        <v>2356</v>
      </c>
      <c r="U4044" s="0" t="str">
        <f aca="false">"6281024902554"</f>
        <v>6281024902554</v>
      </c>
      <c r="V4044" s="51" t="s">
        <v>2365</v>
      </c>
      <c r="W4044" s="51" t="s">
        <v>6534</v>
      </c>
      <c r="X4044" s="51" t="s">
        <v>2359</v>
      </c>
    </row>
    <row r="4045" customFormat="false" ht="17.55" hidden="true" customHeight="false" outlineLevel="0" collapsed="false">
      <c r="A4045" s="49" t="s">
        <v>2349</v>
      </c>
      <c r="B4045" s="49" t="s">
        <v>2350</v>
      </c>
      <c r="C4045" s="49" t="s">
        <v>7854</v>
      </c>
      <c r="D4045" s="49" t="s">
        <v>2352</v>
      </c>
      <c r="E4045" s="49" t="str">
        <f aca="false">"6281024902554"</f>
        <v>6281024902554</v>
      </c>
      <c r="F4045" s="49" t="s">
        <v>4579</v>
      </c>
      <c r="G4045" s="49" t="n">
        <v>0</v>
      </c>
      <c r="H4045" s="0" t="n">
        <v>0</v>
      </c>
      <c r="M4045" s="51" t="s">
        <v>7849</v>
      </c>
      <c r="N4045" s="49" t="n">
        <v>0</v>
      </c>
      <c r="O4045" s="53" t="n">
        <v>45844.6447222222</v>
      </c>
      <c r="P4045" s="53" t="n">
        <v>45894.6110069445</v>
      </c>
      <c r="Q4045" s="53" t="n">
        <v>45844.6447222222</v>
      </c>
      <c r="R4045" s="0" t="n">
        <v>0</v>
      </c>
      <c r="S4045" s="51" t="s">
        <v>2356</v>
      </c>
      <c r="T4045" s="51" t="s">
        <v>2356</v>
      </c>
      <c r="U4045" s="0" t="str">
        <f aca="false">"6281024902554"</f>
        <v>6281024902554</v>
      </c>
      <c r="V4045" s="51" t="s">
        <v>2365</v>
      </c>
      <c r="W4045" s="51" t="s">
        <v>7855</v>
      </c>
      <c r="X4045" s="51" t="s">
        <v>2359</v>
      </c>
    </row>
    <row r="4046" customFormat="false" ht="14.25" hidden="true" customHeight="false" outlineLevel="0" collapsed="false">
      <c r="A4046" s="49" t="s">
        <v>2349</v>
      </c>
      <c r="B4046" s="49" t="s">
        <v>2350</v>
      </c>
      <c r="C4046" s="49" t="s">
        <v>7856</v>
      </c>
      <c r="D4046" s="49" t="s">
        <v>2352</v>
      </c>
      <c r="E4046" s="49" t="str">
        <f aca="false">"12464079"</f>
        <v>12464079</v>
      </c>
      <c r="F4046" s="49" t="s">
        <v>4706</v>
      </c>
      <c r="G4046" s="49" t="n">
        <v>0</v>
      </c>
      <c r="H4046" s="0" t="n">
        <v>0</v>
      </c>
      <c r="M4046" s="51" t="s">
        <v>7857</v>
      </c>
      <c r="N4046" s="49" t="n">
        <v>0</v>
      </c>
      <c r="O4046" s="53" t="n">
        <v>45799.5927662037</v>
      </c>
      <c r="P4046" s="53" t="n">
        <v>45832.8153125</v>
      </c>
      <c r="Q4046" s="53" t="n">
        <v>45799.5927662037</v>
      </c>
      <c r="R4046" s="0" t="n">
        <v>0</v>
      </c>
      <c r="S4046" s="51" t="s">
        <v>2383</v>
      </c>
      <c r="T4046" s="51" t="s">
        <v>2383</v>
      </c>
      <c r="U4046" s="0" t="str">
        <f aca="false">"12464079"</f>
        <v>12464079</v>
      </c>
      <c r="V4046" s="51" t="s">
        <v>2365</v>
      </c>
      <c r="W4046" s="51" t="s">
        <v>4030</v>
      </c>
      <c r="X4046" s="51" t="s">
        <v>2359</v>
      </c>
    </row>
    <row r="4047" customFormat="false" ht="14.25" hidden="true" customHeight="false" outlineLevel="0" collapsed="false">
      <c r="A4047" s="49" t="s">
        <v>2349</v>
      </c>
      <c r="B4047" s="49" t="s">
        <v>2350</v>
      </c>
      <c r="C4047" s="49" t="s">
        <v>7858</v>
      </c>
      <c r="D4047" s="49" t="s">
        <v>2352</v>
      </c>
      <c r="E4047" s="49" t="str">
        <f aca="false">"12464079"</f>
        <v>12464079</v>
      </c>
      <c r="F4047" s="49" t="s">
        <v>4706</v>
      </c>
      <c r="G4047" s="49" t="n">
        <v>0</v>
      </c>
      <c r="H4047" s="0" t="n">
        <v>0</v>
      </c>
      <c r="M4047" s="51" t="s">
        <v>7857</v>
      </c>
      <c r="N4047" s="49" t="n">
        <v>0</v>
      </c>
      <c r="O4047" s="53" t="n">
        <v>45799.5925115741</v>
      </c>
      <c r="P4047" s="53" t="n">
        <v>45831.423275463</v>
      </c>
      <c r="Q4047" s="53" t="n">
        <v>45799.5925115741</v>
      </c>
      <c r="R4047" s="0" t="n">
        <v>0</v>
      </c>
      <c r="S4047" s="51" t="s">
        <v>2383</v>
      </c>
      <c r="T4047" s="51" t="s">
        <v>2383</v>
      </c>
      <c r="U4047" s="0" t="str">
        <f aca="false">"12464079"</f>
        <v>12464079</v>
      </c>
      <c r="V4047" s="51" t="s">
        <v>2365</v>
      </c>
      <c r="W4047" s="51" t="s">
        <v>7859</v>
      </c>
      <c r="X4047" s="51" t="s">
        <v>2359</v>
      </c>
    </row>
    <row r="4048" customFormat="false" ht="14.25" hidden="true" customHeight="false" outlineLevel="0" collapsed="false">
      <c r="A4048" s="49" t="s">
        <v>2349</v>
      </c>
      <c r="B4048" s="49" t="s">
        <v>2350</v>
      </c>
      <c r="C4048" s="49" t="s">
        <v>7860</v>
      </c>
      <c r="D4048" s="49" t="s">
        <v>2352</v>
      </c>
      <c r="E4048" s="49" t="str">
        <f aca="false">"12464079"</f>
        <v>12464079</v>
      </c>
      <c r="F4048" s="49" t="s">
        <v>4706</v>
      </c>
      <c r="G4048" s="49" t="n">
        <v>0</v>
      </c>
      <c r="H4048" s="0" t="n">
        <v>0</v>
      </c>
      <c r="M4048" s="51" t="s">
        <v>7857</v>
      </c>
      <c r="N4048" s="49" t="n">
        <v>0</v>
      </c>
      <c r="O4048" s="53" t="n">
        <v>45799.5922453704</v>
      </c>
      <c r="P4048" s="53" t="n">
        <v>45834.8943171296</v>
      </c>
      <c r="Q4048" s="53" t="n">
        <v>45799.5922453704</v>
      </c>
      <c r="R4048" s="0" t="n">
        <v>0</v>
      </c>
      <c r="S4048" s="51" t="s">
        <v>2383</v>
      </c>
      <c r="T4048" s="51" t="s">
        <v>2383</v>
      </c>
      <c r="U4048" s="0" t="str">
        <f aca="false">"12464079"</f>
        <v>12464079</v>
      </c>
      <c r="V4048" s="51" t="s">
        <v>2365</v>
      </c>
      <c r="W4048" s="51" t="s">
        <v>5291</v>
      </c>
      <c r="X4048" s="51" t="s">
        <v>2359</v>
      </c>
    </row>
    <row r="4049" customFormat="false" ht="14.25" hidden="true" customHeight="false" outlineLevel="0" collapsed="false">
      <c r="A4049" s="49" t="s">
        <v>2349</v>
      </c>
      <c r="B4049" s="49" t="s">
        <v>2350</v>
      </c>
      <c r="C4049" s="49" t="s">
        <v>7861</v>
      </c>
      <c r="D4049" s="49" t="s">
        <v>2352</v>
      </c>
      <c r="E4049" s="49" t="str">
        <f aca="false">"12464079"</f>
        <v>12464079</v>
      </c>
      <c r="F4049" s="49" t="s">
        <v>4706</v>
      </c>
      <c r="G4049" s="49" t="n">
        <v>0</v>
      </c>
      <c r="H4049" s="0" t="n">
        <v>0</v>
      </c>
      <c r="M4049" s="51" t="s">
        <v>7857</v>
      </c>
      <c r="N4049" s="49" t="n">
        <v>0</v>
      </c>
      <c r="O4049" s="53" t="n">
        <v>45799.5920601852</v>
      </c>
      <c r="P4049" s="53" t="n">
        <v>45834.8937384259</v>
      </c>
      <c r="Q4049" s="53" t="n">
        <v>45799.5920601852</v>
      </c>
      <c r="R4049" s="0" t="n">
        <v>0</v>
      </c>
      <c r="S4049" s="51" t="s">
        <v>2383</v>
      </c>
      <c r="T4049" s="51" t="s">
        <v>2383</v>
      </c>
      <c r="U4049" s="0" t="str">
        <f aca="false">"12464079"</f>
        <v>12464079</v>
      </c>
      <c r="V4049" s="51" t="s">
        <v>2365</v>
      </c>
      <c r="W4049" s="51" t="s">
        <v>6419</v>
      </c>
      <c r="X4049" s="51" t="s">
        <v>2359</v>
      </c>
    </row>
    <row r="4050" customFormat="false" ht="14.25" hidden="true" customHeight="false" outlineLevel="0" collapsed="false">
      <c r="A4050" s="49" t="s">
        <v>2349</v>
      </c>
      <c r="B4050" s="49" t="s">
        <v>2350</v>
      </c>
      <c r="C4050" s="49" t="s">
        <v>7862</v>
      </c>
      <c r="D4050" s="49" t="s">
        <v>2352</v>
      </c>
      <c r="E4050" s="49" t="str">
        <f aca="false">"12464079"</f>
        <v>12464079</v>
      </c>
      <c r="F4050" s="49" t="s">
        <v>4706</v>
      </c>
      <c r="G4050" s="49" t="n">
        <v>0</v>
      </c>
      <c r="H4050" s="0" t="n">
        <v>0</v>
      </c>
      <c r="M4050" s="51" t="s">
        <v>7857</v>
      </c>
      <c r="N4050" s="49" t="n">
        <v>0</v>
      </c>
      <c r="O4050" s="53" t="n">
        <v>45799.5917476852</v>
      </c>
      <c r="P4050" s="53" t="n">
        <v>45803.9025925926</v>
      </c>
      <c r="Q4050" s="53" t="n">
        <v>45799.5917476852</v>
      </c>
      <c r="R4050" s="0" t="n">
        <v>0</v>
      </c>
      <c r="S4050" s="51" t="s">
        <v>2383</v>
      </c>
      <c r="T4050" s="51" t="s">
        <v>2383</v>
      </c>
      <c r="U4050" s="0" t="str">
        <f aca="false">"12464079"</f>
        <v>12464079</v>
      </c>
      <c r="V4050" s="51" t="s">
        <v>2365</v>
      </c>
      <c r="W4050" s="51" t="s">
        <v>7863</v>
      </c>
      <c r="X4050" s="51" t="s">
        <v>2359</v>
      </c>
    </row>
    <row r="4051" customFormat="false" ht="14.25" hidden="true" customHeight="false" outlineLevel="0" collapsed="false">
      <c r="A4051" s="49" t="s">
        <v>2349</v>
      </c>
      <c r="B4051" s="49" t="s">
        <v>2350</v>
      </c>
      <c r="C4051" s="49" t="s">
        <v>7864</v>
      </c>
      <c r="D4051" s="49" t="s">
        <v>2352</v>
      </c>
      <c r="E4051" s="49" t="str">
        <f aca="false">"12464079"</f>
        <v>12464079</v>
      </c>
      <c r="F4051" s="49" t="s">
        <v>4706</v>
      </c>
      <c r="G4051" s="49" t="n">
        <v>0</v>
      </c>
      <c r="H4051" s="0" t="n">
        <v>0</v>
      </c>
      <c r="M4051" s="51" t="s">
        <v>7857</v>
      </c>
      <c r="N4051" s="49" t="n">
        <v>0</v>
      </c>
      <c r="O4051" s="53" t="n">
        <v>45799.5915046296</v>
      </c>
      <c r="P4051" s="53" t="n">
        <v>45832.8151851852</v>
      </c>
      <c r="Q4051" s="53" t="n">
        <v>45799.5915046296</v>
      </c>
      <c r="R4051" s="0" t="n">
        <v>0</v>
      </c>
      <c r="S4051" s="51" t="s">
        <v>2383</v>
      </c>
      <c r="T4051" s="51" t="s">
        <v>2383</v>
      </c>
      <c r="U4051" s="0" t="str">
        <f aca="false">"12464079"</f>
        <v>12464079</v>
      </c>
      <c r="V4051" s="51" t="s">
        <v>2365</v>
      </c>
      <c r="W4051" s="51" t="s">
        <v>4042</v>
      </c>
      <c r="X4051" s="51" t="s">
        <v>2359</v>
      </c>
    </row>
    <row r="4052" customFormat="false" ht="14.25" hidden="true" customHeight="false" outlineLevel="0" collapsed="false">
      <c r="A4052" s="49" t="s">
        <v>2349</v>
      </c>
      <c r="B4052" s="49" t="s">
        <v>2350</v>
      </c>
      <c r="C4052" s="49" t="s">
        <v>7865</v>
      </c>
      <c r="D4052" s="49" t="s">
        <v>2352</v>
      </c>
      <c r="E4052" s="49" t="str">
        <f aca="false">"12464079"</f>
        <v>12464079</v>
      </c>
      <c r="F4052" s="49" t="s">
        <v>4706</v>
      </c>
      <c r="G4052" s="49" t="n">
        <v>0</v>
      </c>
      <c r="H4052" s="0" t="n">
        <v>0</v>
      </c>
      <c r="M4052" s="51" t="s">
        <v>7857</v>
      </c>
      <c r="N4052" s="49" t="n">
        <v>0</v>
      </c>
      <c r="O4052" s="53" t="n">
        <v>45799.5913194444</v>
      </c>
      <c r="P4052" s="53" t="n">
        <v>45803.9014583333</v>
      </c>
      <c r="Q4052" s="53" t="n">
        <v>45799.5913194444</v>
      </c>
      <c r="R4052" s="0" t="n">
        <v>0</v>
      </c>
      <c r="S4052" s="51" t="s">
        <v>2383</v>
      </c>
      <c r="T4052" s="51" t="s">
        <v>2383</v>
      </c>
      <c r="U4052" s="0" t="str">
        <f aca="false">"12464079"</f>
        <v>12464079</v>
      </c>
      <c r="V4052" s="51" t="s">
        <v>2365</v>
      </c>
      <c r="W4052" s="51" t="s">
        <v>6077</v>
      </c>
      <c r="X4052" s="51" t="s">
        <v>2359</v>
      </c>
    </row>
    <row r="4053" customFormat="false" ht="14.25" hidden="true" customHeight="false" outlineLevel="0" collapsed="false">
      <c r="A4053" s="49" t="s">
        <v>2349</v>
      </c>
      <c r="B4053" s="49" t="s">
        <v>2350</v>
      </c>
      <c r="C4053" s="49" t="s">
        <v>7866</v>
      </c>
      <c r="D4053" s="49" t="s">
        <v>2352</v>
      </c>
      <c r="E4053" s="49" t="str">
        <f aca="false">"12464079"</f>
        <v>12464079</v>
      </c>
      <c r="F4053" s="49" t="s">
        <v>4706</v>
      </c>
      <c r="G4053" s="49" t="n">
        <v>0</v>
      </c>
      <c r="H4053" s="0" t="n">
        <v>0</v>
      </c>
      <c r="M4053" s="51" t="s">
        <v>7857</v>
      </c>
      <c r="N4053" s="49" t="n">
        <v>0</v>
      </c>
      <c r="O4053" s="53" t="n">
        <v>45799.5911111111</v>
      </c>
      <c r="P4053" s="53" t="n">
        <v>45834.8928819444</v>
      </c>
      <c r="Q4053" s="53" t="n">
        <v>45799.5911111111</v>
      </c>
      <c r="R4053" s="0" t="n">
        <v>0</v>
      </c>
      <c r="S4053" s="51" t="s">
        <v>2383</v>
      </c>
      <c r="T4053" s="51" t="s">
        <v>2383</v>
      </c>
      <c r="U4053" s="0" t="str">
        <f aca="false">"12464079"</f>
        <v>12464079</v>
      </c>
      <c r="V4053" s="51" t="s">
        <v>2365</v>
      </c>
      <c r="W4053" s="51" t="s">
        <v>6077</v>
      </c>
      <c r="X4053" s="51" t="s">
        <v>2359</v>
      </c>
    </row>
    <row r="4054" customFormat="false" ht="14.25" hidden="true" customHeight="false" outlineLevel="0" collapsed="false">
      <c r="A4054" s="49" t="s">
        <v>2349</v>
      </c>
      <c r="B4054" s="49" t="s">
        <v>2350</v>
      </c>
      <c r="C4054" s="49" t="s">
        <v>7867</v>
      </c>
      <c r="D4054" s="49" t="s">
        <v>2352</v>
      </c>
      <c r="E4054" s="49" t="str">
        <f aca="false">"12464079"</f>
        <v>12464079</v>
      </c>
      <c r="F4054" s="49" t="s">
        <v>4706</v>
      </c>
      <c r="G4054" s="49" t="n">
        <v>0</v>
      </c>
      <c r="H4054" s="0" t="n">
        <v>0</v>
      </c>
      <c r="M4054" s="51" t="s">
        <v>7857</v>
      </c>
      <c r="N4054" s="49" t="n">
        <v>0</v>
      </c>
      <c r="O4054" s="53" t="n">
        <v>45799.5905208333</v>
      </c>
      <c r="P4054" s="53" t="n">
        <v>45803.9010185185</v>
      </c>
      <c r="Q4054" s="53" t="n">
        <v>45799.5905208333</v>
      </c>
      <c r="R4054" s="0" t="n">
        <v>0</v>
      </c>
      <c r="S4054" s="51" t="s">
        <v>2383</v>
      </c>
      <c r="T4054" s="51" t="s">
        <v>2383</v>
      </c>
      <c r="U4054" s="0" t="str">
        <f aca="false">"12464079"</f>
        <v>12464079</v>
      </c>
      <c r="V4054" s="51" t="s">
        <v>2365</v>
      </c>
      <c r="W4054" s="51" t="s">
        <v>7868</v>
      </c>
      <c r="X4054" s="51" t="s">
        <v>2359</v>
      </c>
    </row>
    <row r="4055" customFormat="false" ht="14.25" hidden="true" customHeight="false" outlineLevel="0" collapsed="false">
      <c r="A4055" s="49" t="s">
        <v>2349</v>
      </c>
      <c r="B4055" s="49" t="s">
        <v>2350</v>
      </c>
      <c r="C4055" s="49" t="s">
        <v>7869</v>
      </c>
      <c r="D4055" s="49" t="s">
        <v>2352</v>
      </c>
      <c r="E4055" s="49" t="str">
        <f aca="false">"12464079"</f>
        <v>12464079</v>
      </c>
      <c r="F4055" s="49" t="s">
        <v>4706</v>
      </c>
      <c r="G4055" s="49" t="n">
        <v>0</v>
      </c>
      <c r="H4055" s="0" t="n">
        <v>0</v>
      </c>
      <c r="M4055" s="51" t="s">
        <v>7857</v>
      </c>
      <c r="N4055" s="49" t="n">
        <v>0</v>
      </c>
      <c r="O4055" s="53" t="n">
        <v>45799.593287037</v>
      </c>
      <c r="P4055" s="53" t="n">
        <v>45831.4209490741</v>
      </c>
      <c r="Q4055" s="53" t="n">
        <v>45799.593287037</v>
      </c>
      <c r="R4055" s="0" t="n">
        <v>0</v>
      </c>
      <c r="S4055" s="51" t="s">
        <v>2383</v>
      </c>
      <c r="T4055" s="51" t="s">
        <v>2383</v>
      </c>
      <c r="U4055" s="0" t="str">
        <f aca="false">"12464079"</f>
        <v>12464079</v>
      </c>
      <c r="V4055" s="51" t="s">
        <v>2365</v>
      </c>
      <c r="W4055" s="51" t="s">
        <v>7870</v>
      </c>
      <c r="X4055" s="51" t="s">
        <v>2359</v>
      </c>
    </row>
    <row r="4056" customFormat="false" ht="14.25" hidden="true" customHeight="false" outlineLevel="0" collapsed="false">
      <c r="A4056" s="49" t="s">
        <v>2349</v>
      </c>
      <c r="B4056" s="49" t="s">
        <v>2350</v>
      </c>
      <c r="C4056" s="49" t="s">
        <v>7871</v>
      </c>
      <c r="D4056" s="49" t="s">
        <v>2352</v>
      </c>
      <c r="E4056" s="49" t="str">
        <f aca="false">"12464079"</f>
        <v>12464079</v>
      </c>
      <c r="F4056" s="49" t="s">
        <v>4706</v>
      </c>
      <c r="G4056" s="49" t="n">
        <v>0</v>
      </c>
      <c r="H4056" s="0" t="n">
        <v>0</v>
      </c>
      <c r="M4056" s="51" t="s">
        <v>7857</v>
      </c>
      <c r="N4056" s="49" t="n">
        <v>0</v>
      </c>
      <c r="O4056" s="53" t="n">
        <v>45799.5934837963</v>
      </c>
      <c r="P4056" s="53" t="n">
        <v>45834.7760532407</v>
      </c>
      <c r="Q4056" s="53" t="n">
        <v>45799.5934837963</v>
      </c>
      <c r="R4056" s="0" t="n">
        <v>0</v>
      </c>
      <c r="S4056" s="51" t="s">
        <v>2383</v>
      </c>
      <c r="T4056" s="51" t="s">
        <v>2383</v>
      </c>
      <c r="U4056" s="0" t="str">
        <f aca="false">"12464079"</f>
        <v>12464079</v>
      </c>
      <c r="V4056" s="51" t="s">
        <v>2365</v>
      </c>
      <c r="W4056" s="51" t="s">
        <v>7817</v>
      </c>
      <c r="X4056" s="51" t="s">
        <v>2359</v>
      </c>
    </row>
    <row r="4057" customFormat="false" ht="14.25" hidden="true" customHeight="false" outlineLevel="0" collapsed="false">
      <c r="A4057" s="49" t="s">
        <v>2349</v>
      </c>
      <c r="B4057" s="49" t="s">
        <v>2350</v>
      </c>
      <c r="C4057" s="49" t="s">
        <v>7872</v>
      </c>
      <c r="D4057" s="49" t="s">
        <v>2352</v>
      </c>
      <c r="E4057" s="49" t="str">
        <f aca="false">"12464079"</f>
        <v>12464079</v>
      </c>
      <c r="F4057" s="49" t="s">
        <v>4706</v>
      </c>
      <c r="G4057" s="49" t="n">
        <v>0</v>
      </c>
      <c r="H4057" s="0" t="n">
        <v>0</v>
      </c>
      <c r="M4057" s="51" t="s">
        <v>7857</v>
      </c>
      <c r="N4057" s="49" t="n">
        <v>0</v>
      </c>
      <c r="O4057" s="53" t="n">
        <v>45799.5936574074</v>
      </c>
      <c r="P4057" s="53" t="n">
        <v>45831.4220717593</v>
      </c>
      <c r="Q4057" s="53" t="n">
        <v>45799.5936574074</v>
      </c>
      <c r="R4057" s="0" t="n">
        <v>0</v>
      </c>
      <c r="S4057" s="51" t="s">
        <v>2383</v>
      </c>
      <c r="T4057" s="51" t="s">
        <v>2383</v>
      </c>
      <c r="U4057" s="0" t="str">
        <f aca="false">"12464079"</f>
        <v>12464079</v>
      </c>
      <c r="V4057" s="51" t="s">
        <v>2365</v>
      </c>
      <c r="W4057" s="51" t="s">
        <v>7873</v>
      </c>
      <c r="X4057" s="51" t="s">
        <v>2359</v>
      </c>
    </row>
    <row r="4058" customFormat="false" ht="14.25" hidden="true" customHeight="false" outlineLevel="0" collapsed="false">
      <c r="A4058" s="49" t="s">
        <v>2349</v>
      </c>
      <c r="B4058" s="49" t="s">
        <v>2350</v>
      </c>
      <c r="C4058" s="49" t="s">
        <v>7874</v>
      </c>
      <c r="D4058" s="49" t="s">
        <v>2352</v>
      </c>
      <c r="E4058" s="49" t="str">
        <f aca="false">"12464079"</f>
        <v>12464079</v>
      </c>
      <c r="F4058" s="49" t="s">
        <v>4706</v>
      </c>
      <c r="G4058" s="49" t="n">
        <v>0</v>
      </c>
      <c r="H4058" s="0" t="n">
        <v>0</v>
      </c>
      <c r="M4058" s="51" t="s">
        <v>7857</v>
      </c>
      <c r="N4058" s="49" t="n">
        <v>0</v>
      </c>
      <c r="O4058" s="53" t="n">
        <v>45799.5938425926</v>
      </c>
      <c r="P4058" s="53" t="n">
        <v>45834.8912731482</v>
      </c>
      <c r="Q4058" s="53" t="n">
        <v>45799.5938425926</v>
      </c>
      <c r="R4058" s="0" t="n">
        <v>0</v>
      </c>
      <c r="S4058" s="51" t="s">
        <v>2383</v>
      </c>
      <c r="T4058" s="51" t="s">
        <v>2383</v>
      </c>
      <c r="U4058" s="0" t="str">
        <f aca="false">"12464079"</f>
        <v>12464079</v>
      </c>
      <c r="V4058" s="51" t="s">
        <v>2365</v>
      </c>
      <c r="W4058" s="51" t="s">
        <v>4864</v>
      </c>
      <c r="X4058" s="51" t="s">
        <v>2359</v>
      </c>
    </row>
    <row r="4059" customFormat="false" ht="14.25" hidden="true" customHeight="false" outlineLevel="0" collapsed="false">
      <c r="A4059" s="49" t="s">
        <v>2349</v>
      </c>
      <c r="B4059" s="49" t="s">
        <v>2350</v>
      </c>
      <c r="C4059" s="49" t="s">
        <v>7875</v>
      </c>
      <c r="D4059" s="49" t="s">
        <v>2352</v>
      </c>
      <c r="E4059" s="49" t="str">
        <f aca="false">"12464079"</f>
        <v>12464079</v>
      </c>
      <c r="F4059" s="49" t="s">
        <v>4706</v>
      </c>
      <c r="G4059" s="49" t="n">
        <v>0</v>
      </c>
      <c r="H4059" s="0" t="n">
        <v>0</v>
      </c>
      <c r="M4059" s="51" t="s">
        <v>7857</v>
      </c>
      <c r="N4059" s="49" t="n">
        <v>0</v>
      </c>
      <c r="O4059" s="53" t="n">
        <v>45799.5940162037</v>
      </c>
      <c r="P4059" s="53" t="n">
        <v>45809.7804282407</v>
      </c>
      <c r="Q4059" s="53" t="n">
        <v>45799.5940162037</v>
      </c>
      <c r="R4059" s="0" t="n">
        <v>0</v>
      </c>
      <c r="S4059" s="51" t="s">
        <v>2383</v>
      </c>
      <c r="T4059" s="51" t="s">
        <v>2383</v>
      </c>
      <c r="U4059" s="0" t="str">
        <f aca="false">"12464079"</f>
        <v>12464079</v>
      </c>
      <c r="V4059" s="51" t="s">
        <v>2365</v>
      </c>
      <c r="W4059" s="51" t="s">
        <v>5837</v>
      </c>
      <c r="X4059" s="51" t="s">
        <v>2359</v>
      </c>
    </row>
    <row r="4060" customFormat="false" ht="14.25" hidden="true" customHeight="false" outlineLevel="0" collapsed="false">
      <c r="A4060" s="49" t="s">
        <v>2349</v>
      </c>
      <c r="B4060" s="49" t="s">
        <v>2350</v>
      </c>
      <c r="C4060" s="49" t="s">
        <v>7876</v>
      </c>
      <c r="D4060" s="49" t="s">
        <v>2352</v>
      </c>
      <c r="E4060" s="49" t="str">
        <f aca="false">"12520129"</f>
        <v>12520129</v>
      </c>
      <c r="F4060" s="49" t="s">
        <v>4870</v>
      </c>
      <c r="G4060" s="49" t="n">
        <v>0</v>
      </c>
      <c r="H4060" s="0" t="n">
        <v>0</v>
      </c>
      <c r="M4060" s="51" t="s">
        <v>7857</v>
      </c>
      <c r="N4060" s="49" t="n">
        <v>0</v>
      </c>
      <c r="O4060" s="53" t="n">
        <v>45799.5945717593</v>
      </c>
      <c r="P4060" s="53" t="n">
        <v>45803.7878703704</v>
      </c>
      <c r="Q4060" s="53" t="n">
        <v>45799.5945717593</v>
      </c>
      <c r="R4060" s="0" t="n">
        <v>0</v>
      </c>
      <c r="S4060" s="51" t="s">
        <v>2383</v>
      </c>
      <c r="T4060" s="51" t="s">
        <v>2383</v>
      </c>
      <c r="U4060" s="0" t="str">
        <f aca="false">"12520129"</f>
        <v>12520129</v>
      </c>
      <c r="V4060" s="51" t="s">
        <v>2365</v>
      </c>
      <c r="W4060" s="51" t="s">
        <v>6181</v>
      </c>
      <c r="X4060" s="51" t="s">
        <v>2359</v>
      </c>
    </row>
    <row r="4061" customFormat="false" ht="14.25" hidden="true" customHeight="false" outlineLevel="0" collapsed="false">
      <c r="A4061" s="49" t="s">
        <v>2349</v>
      </c>
      <c r="B4061" s="49" t="s">
        <v>2350</v>
      </c>
      <c r="C4061" s="49" t="s">
        <v>7877</v>
      </c>
      <c r="D4061" s="49" t="s">
        <v>2352</v>
      </c>
      <c r="E4061" s="49" t="str">
        <f aca="false">"12520129"</f>
        <v>12520129</v>
      </c>
      <c r="F4061" s="49" t="s">
        <v>4870</v>
      </c>
      <c r="G4061" s="49" t="n">
        <v>0</v>
      </c>
      <c r="H4061" s="0" t="n">
        <v>0</v>
      </c>
      <c r="M4061" s="51" t="s">
        <v>7857</v>
      </c>
      <c r="N4061" s="49" t="n">
        <v>0</v>
      </c>
      <c r="O4061" s="53" t="n">
        <v>45799.5947916667</v>
      </c>
      <c r="P4061" s="53" t="n">
        <v>45803.7891087963</v>
      </c>
      <c r="Q4061" s="53" t="n">
        <v>45799.5947916667</v>
      </c>
      <c r="R4061" s="0" t="n">
        <v>0</v>
      </c>
      <c r="S4061" s="51" t="s">
        <v>2383</v>
      </c>
      <c r="T4061" s="51" t="s">
        <v>2383</v>
      </c>
      <c r="U4061" s="0" t="str">
        <f aca="false">"12520129"</f>
        <v>12520129</v>
      </c>
      <c r="V4061" s="51" t="s">
        <v>2365</v>
      </c>
      <c r="W4061" s="51" t="s">
        <v>7878</v>
      </c>
      <c r="X4061" s="51" t="s">
        <v>2359</v>
      </c>
    </row>
    <row r="4062" customFormat="false" ht="14.25" hidden="true" customHeight="false" outlineLevel="0" collapsed="false">
      <c r="A4062" s="49" t="s">
        <v>2349</v>
      </c>
      <c r="B4062" s="49" t="s">
        <v>2350</v>
      </c>
      <c r="C4062" s="49" t="s">
        <v>7879</v>
      </c>
      <c r="D4062" s="49" t="s">
        <v>2397</v>
      </c>
      <c r="E4062" s="49" t="str">
        <f aca="false">"12560652"</f>
        <v>12560652</v>
      </c>
      <c r="F4062" s="49" t="s">
        <v>7880</v>
      </c>
      <c r="G4062" s="49" t="n">
        <v>0</v>
      </c>
      <c r="H4062" s="0" t="n">
        <v>0</v>
      </c>
      <c r="M4062" s="51" t="s">
        <v>7857</v>
      </c>
      <c r="N4062" s="49" t="n">
        <v>0</v>
      </c>
      <c r="O4062" s="53" t="n">
        <v>45799.5952893519</v>
      </c>
      <c r="P4062" s="53" t="n">
        <v>45802.5766550926</v>
      </c>
      <c r="Q4062" s="53" t="n">
        <v>45799.5952893519</v>
      </c>
      <c r="R4062" s="0" t="n">
        <v>0</v>
      </c>
      <c r="S4062" s="51" t="s">
        <v>2383</v>
      </c>
      <c r="T4062" s="51" t="s">
        <v>2383</v>
      </c>
      <c r="U4062" s="0" t="str">
        <f aca="false">"12560652"</f>
        <v>12560652</v>
      </c>
      <c r="V4062" s="51" t="s">
        <v>2365</v>
      </c>
      <c r="W4062" s="51" t="s">
        <v>7881</v>
      </c>
      <c r="X4062" s="51" t="s">
        <v>2359</v>
      </c>
    </row>
    <row r="4063" customFormat="false" ht="14.25" hidden="true" customHeight="false" outlineLevel="0" collapsed="false">
      <c r="A4063" s="49" t="s">
        <v>2349</v>
      </c>
      <c r="B4063" s="49" t="s">
        <v>2350</v>
      </c>
      <c r="C4063" s="49" t="s">
        <v>7882</v>
      </c>
      <c r="D4063" s="49" t="s">
        <v>2352</v>
      </c>
      <c r="E4063" s="49" t="str">
        <f aca="false">"12464079"</f>
        <v>12464079</v>
      </c>
      <c r="F4063" s="49" t="s">
        <v>4706</v>
      </c>
      <c r="G4063" s="49" t="n">
        <v>0</v>
      </c>
      <c r="H4063" s="0" t="n">
        <v>0</v>
      </c>
      <c r="M4063" s="51" t="s">
        <v>7857</v>
      </c>
      <c r="N4063" s="49" t="n">
        <v>0</v>
      </c>
      <c r="O4063" s="53" t="n">
        <v>45799.5984490741</v>
      </c>
      <c r="P4063" s="53" t="n">
        <v>45803.8998726852</v>
      </c>
      <c r="Q4063" s="53" t="n">
        <v>45799.5984490741</v>
      </c>
      <c r="R4063" s="0" t="n">
        <v>0</v>
      </c>
      <c r="S4063" s="51" t="s">
        <v>2383</v>
      </c>
      <c r="T4063" s="51" t="s">
        <v>2383</v>
      </c>
      <c r="U4063" s="0" t="str">
        <f aca="false">"12464079"</f>
        <v>12464079</v>
      </c>
      <c r="V4063" s="51" t="s">
        <v>2365</v>
      </c>
      <c r="W4063" s="51" t="s">
        <v>7883</v>
      </c>
      <c r="X4063" s="51" t="s">
        <v>2359</v>
      </c>
    </row>
    <row r="4064" customFormat="false" ht="14.25" hidden="true" customHeight="false" outlineLevel="0" collapsed="false">
      <c r="A4064" s="49" t="s">
        <v>2349</v>
      </c>
      <c r="B4064" s="49" t="s">
        <v>2350</v>
      </c>
      <c r="C4064" s="49" t="s">
        <v>7884</v>
      </c>
      <c r="D4064" s="49" t="s">
        <v>2352</v>
      </c>
      <c r="E4064" s="49" t="str">
        <f aca="false">"12464079"</f>
        <v>12464079</v>
      </c>
      <c r="F4064" s="49" t="s">
        <v>4706</v>
      </c>
      <c r="G4064" s="49" t="n">
        <v>0</v>
      </c>
      <c r="H4064" s="0" t="n">
        <v>0</v>
      </c>
      <c r="M4064" s="51" t="s">
        <v>7857</v>
      </c>
      <c r="N4064" s="49" t="n">
        <v>0</v>
      </c>
      <c r="O4064" s="53" t="n">
        <v>45799.5981597222</v>
      </c>
      <c r="P4064" s="53" t="n">
        <v>45834.7860416667</v>
      </c>
      <c r="Q4064" s="53" t="n">
        <v>45799.5981597222</v>
      </c>
      <c r="R4064" s="0" t="n">
        <v>0</v>
      </c>
      <c r="S4064" s="51" t="s">
        <v>2383</v>
      </c>
      <c r="T4064" s="51" t="s">
        <v>2383</v>
      </c>
      <c r="U4064" s="0" t="str">
        <f aca="false">"12464079"</f>
        <v>12464079</v>
      </c>
      <c r="V4064" s="51" t="s">
        <v>2365</v>
      </c>
      <c r="W4064" s="51" t="s">
        <v>5693</v>
      </c>
      <c r="X4064" s="51" t="s">
        <v>2359</v>
      </c>
    </row>
    <row r="4065" customFormat="false" ht="14.25" hidden="true" customHeight="false" outlineLevel="0" collapsed="false">
      <c r="A4065" s="49" t="s">
        <v>2349</v>
      </c>
      <c r="B4065" s="49" t="s">
        <v>2350</v>
      </c>
      <c r="C4065" s="49" t="s">
        <v>7885</v>
      </c>
      <c r="D4065" s="49" t="s">
        <v>2352</v>
      </c>
      <c r="E4065" s="49" t="str">
        <f aca="false">"12464079"</f>
        <v>12464079</v>
      </c>
      <c r="F4065" s="49" t="s">
        <v>4706</v>
      </c>
      <c r="G4065" s="49" t="n">
        <v>0</v>
      </c>
      <c r="H4065" s="0" t="n">
        <v>0</v>
      </c>
      <c r="M4065" s="51" t="s">
        <v>7857</v>
      </c>
      <c r="N4065" s="49" t="n">
        <v>0</v>
      </c>
      <c r="O4065" s="53" t="n">
        <v>45799.5979861111</v>
      </c>
      <c r="P4065" s="53" t="n">
        <v>45832.8168981482</v>
      </c>
      <c r="Q4065" s="53" t="n">
        <v>45799.5979861111</v>
      </c>
      <c r="R4065" s="0" t="n">
        <v>0</v>
      </c>
      <c r="S4065" s="51" t="s">
        <v>2383</v>
      </c>
      <c r="T4065" s="51" t="s">
        <v>2383</v>
      </c>
      <c r="U4065" s="0" t="str">
        <f aca="false">"12464079"</f>
        <v>12464079</v>
      </c>
      <c r="V4065" s="51" t="s">
        <v>2365</v>
      </c>
      <c r="W4065" s="51" t="s">
        <v>6193</v>
      </c>
      <c r="X4065" s="51" t="s">
        <v>2359</v>
      </c>
    </row>
    <row r="4066" customFormat="false" ht="14.25" hidden="true" customHeight="false" outlineLevel="0" collapsed="false">
      <c r="A4066" s="49" t="s">
        <v>2349</v>
      </c>
      <c r="B4066" s="49" t="s">
        <v>2350</v>
      </c>
      <c r="C4066" s="49" t="s">
        <v>7886</v>
      </c>
      <c r="D4066" s="49" t="s">
        <v>2352</v>
      </c>
      <c r="E4066" s="49" t="str">
        <f aca="false">"12464079"</f>
        <v>12464079</v>
      </c>
      <c r="F4066" s="49" t="s">
        <v>4706</v>
      </c>
      <c r="G4066" s="49" t="n">
        <v>0</v>
      </c>
      <c r="H4066" s="0" t="n">
        <v>0</v>
      </c>
      <c r="M4066" s="51" t="s">
        <v>7857</v>
      </c>
      <c r="N4066" s="49" t="n">
        <v>0</v>
      </c>
      <c r="O4066" s="53" t="n">
        <v>45799.5977893519</v>
      </c>
      <c r="P4066" s="53" t="n">
        <v>45803.8979861111</v>
      </c>
      <c r="Q4066" s="53" t="n">
        <v>45799.5977893519</v>
      </c>
      <c r="R4066" s="0" t="n">
        <v>0</v>
      </c>
      <c r="S4066" s="51" t="s">
        <v>2383</v>
      </c>
      <c r="T4066" s="51" t="s">
        <v>2383</v>
      </c>
      <c r="U4066" s="0" t="str">
        <f aca="false">"12464079"</f>
        <v>12464079</v>
      </c>
      <c r="V4066" s="51" t="s">
        <v>2365</v>
      </c>
      <c r="W4066" s="51" t="s">
        <v>4189</v>
      </c>
      <c r="X4066" s="51" t="s">
        <v>2359</v>
      </c>
    </row>
    <row r="4067" customFormat="false" ht="14.25" hidden="true" customHeight="false" outlineLevel="0" collapsed="false">
      <c r="A4067" s="49" t="s">
        <v>2349</v>
      </c>
      <c r="B4067" s="49" t="s">
        <v>2350</v>
      </c>
      <c r="C4067" s="49" t="s">
        <v>7887</v>
      </c>
      <c r="D4067" s="49" t="s">
        <v>2352</v>
      </c>
      <c r="E4067" s="49" t="str">
        <f aca="false">"12464079"</f>
        <v>12464079</v>
      </c>
      <c r="F4067" s="49" t="s">
        <v>4706</v>
      </c>
      <c r="G4067" s="49" t="n">
        <v>0</v>
      </c>
      <c r="H4067" s="0" t="n">
        <v>0</v>
      </c>
      <c r="M4067" s="51" t="s">
        <v>7857</v>
      </c>
      <c r="N4067" s="49" t="n">
        <v>0</v>
      </c>
      <c r="O4067" s="53" t="n">
        <v>45799.5976388889</v>
      </c>
      <c r="P4067" s="53" t="n">
        <v>45834.7825</v>
      </c>
      <c r="Q4067" s="53" t="n">
        <v>45799.5976388889</v>
      </c>
      <c r="R4067" s="0" t="n">
        <v>0</v>
      </c>
      <c r="S4067" s="51" t="s">
        <v>2383</v>
      </c>
      <c r="T4067" s="51" t="s">
        <v>2383</v>
      </c>
      <c r="U4067" s="0" t="str">
        <f aca="false">"12464079"</f>
        <v>12464079</v>
      </c>
      <c r="V4067" s="51" t="s">
        <v>2365</v>
      </c>
      <c r="W4067" s="51" t="s">
        <v>7888</v>
      </c>
      <c r="X4067" s="51" t="s">
        <v>2359</v>
      </c>
    </row>
    <row r="4068" customFormat="false" ht="14.25" hidden="true" customHeight="false" outlineLevel="0" collapsed="false">
      <c r="A4068" s="49" t="s">
        <v>2349</v>
      </c>
      <c r="B4068" s="49" t="s">
        <v>2350</v>
      </c>
      <c r="C4068" s="49" t="s">
        <v>7889</v>
      </c>
      <c r="D4068" s="49" t="s">
        <v>2352</v>
      </c>
      <c r="E4068" s="49" t="str">
        <f aca="false">"12464079"</f>
        <v>12464079</v>
      </c>
      <c r="F4068" s="49" t="s">
        <v>4706</v>
      </c>
      <c r="G4068" s="49" t="n">
        <v>0</v>
      </c>
      <c r="H4068" s="0" t="n">
        <v>0</v>
      </c>
      <c r="M4068" s="51" t="s">
        <v>7857</v>
      </c>
      <c r="N4068" s="49" t="n">
        <v>0</v>
      </c>
      <c r="O4068" s="53" t="n">
        <v>45799.5974652778</v>
      </c>
      <c r="P4068" s="53" t="n">
        <v>45803.8958912037</v>
      </c>
      <c r="Q4068" s="53" t="n">
        <v>45799.5974652778</v>
      </c>
      <c r="R4068" s="0" t="n">
        <v>0</v>
      </c>
      <c r="S4068" s="51" t="s">
        <v>2383</v>
      </c>
      <c r="T4068" s="51" t="s">
        <v>2383</v>
      </c>
      <c r="U4068" s="0" t="str">
        <f aca="false">"12464079"</f>
        <v>12464079</v>
      </c>
      <c r="V4068" s="51" t="s">
        <v>2365</v>
      </c>
      <c r="W4068" s="51" t="s">
        <v>7890</v>
      </c>
      <c r="X4068" s="51" t="s">
        <v>2359</v>
      </c>
    </row>
    <row r="4069" customFormat="false" ht="14.25" hidden="true" customHeight="false" outlineLevel="0" collapsed="false">
      <c r="A4069" s="49" t="s">
        <v>2349</v>
      </c>
      <c r="B4069" s="49" t="s">
        <v>2350</v>
      </c>
      <c r="C4069" s="49" t="s">
        <v>7891</v>
      </c>
      <c r="D4069" s="49" t="s">
        <v>2352</v>
      </c>
      <c r="E4069" s="49" t="str">
        <f aca="false">"12464079"</f>
        <v>12464079</v>
      </c>
      <c r="F4069" s="49" t="s">
        <v>4706</v>
      </c>
      <c r="G4069" s="49" t="n">
        <v>0</v>
      </c>
      <c r="H4069" s="0" t="n">
        <v>0</v>
      </c>
      <c r="M4069" s="51" t="s">
        <v>7857</v>
      </c>
      <c r="N4069" s="49" t="n">
        <v>0</v>
      </c>
      <c r="O4069" s="53" t="n">
        <v>45799.5973263889</v>
      </c>
      <c r="P4069" s="53" t="n">
        <v>45803.7930671296</v>
      </c>
      <c r="Q4069" s="53" t="n">
        <v>45799.5973263889</v>
      </c>
      <c r="R4069" s="0" t="n">
        <v>0</v>
      </c>
      <c r="S4069" s="51" t="s">
        <v>2383</v>
      </c>
      <c r="T4069" s="51" t="s">
        <v>2383</v>
      </c>
      <c r="U4069" s="0" t="str">
        <f aca="false">"12464079"</f>
        <v>12464079</v>
      </c>
      <c r="V4069" s="51" t="s">
        <v>2365</v>
      </c>
      <c r="W4069" s="51" t="s">
        <v>4849</v>
      </c>
      <c r="X4069" s="51" t="s">
        <v>2359</v>
      </c>
    </row>
    <row r="4070" customFormat="false" ht="14.25" hidden="true" customHeight="false" outlineLevel="0" collapsed="false">
      <c r="A4070" s="49" t="s">
        <v>2349</v>
      </c>
      <c r="B4070" s="49" t="s">
        <v>2350</v>
      </c>
      <c r="C4070" s="49" t="s">
        <v>7892</v>
      </c>
      <c r="D4070" s="49" t="s">
        <v>2352</v>
      </c>
      <c r="E4070" s="49" t="str">
        <f aca="false">"12464079"</f>
        <v>12464079</v>
      </c>
      <c r="F4070" s="49" t="s">
        <v>4706</v>
      </c>
      <c r="G4070" s="49" t="n">
        <v>0</v>
      </c>
      <c r="H4070" s="0" t="n">
        <v>0</v>
      </c>
      <c r="M4070" s="51" t="s">
        <v>7857</v>
      </c>
      <c r="N4070" s="49" t="n">
        <v>0</v>
      </c>
      <c r="O4070" s="53" t="n">
        <v>45799.5971527778</v>
      </c>
      <c r="P4070" s="53" t="n">
        <v>45803.9035300926</v>
      </c>
      <c r="Q4070" s="53" t="n">
        <v>45799.5971527778</v>
      </c>
      <c r="R4070" s="0" t="n">
        <v>0</v>
      </c>
      <c r="S4070" s="51" t="s">
        <v>2383</v>
      </c>
      <c r="T4070" s="51" t="s">
        <v>2383</v>
      </c>
      <c r="U4070" s="0" t="str">
        <f aca="false">"12464079"</f>
        <v>12464079</v>
      </c>
      <c r="V4070" s="51" t="s">
        <v>2365</v>
      </c>
      <c r="W4070" s="51" t="s">
        <v>7893</v>
      </c>
      <c r="X4070" s="51" t="s">
        <v>2359</v>
      </c>
    </row>
    <row r="4071" customFormat="false" ht="14.25" hidden="true" customHeight="false" outlineLevel="0" collapsed="false">
      <c r="A4071" s="49" t="s">
        <v>2349</v>
      </c>
      <c r="B4071" s="49" t="s">
        <v>2350</v>
      </c>
      <c r="C4071" s="49" t="s">
        <v>7894</v>
      </c>
      <c r="D4071" s="49" t="s">
        <v>2352</v>
      </c>
      <c r="E4071" s="49" t="str">
        <f aca="false">"12520129"</f>
        <v>12520129</v>
      </c>
      <c r="F4071" s="49" t="s">
        <v>4870</v>
      </c>
      <c r="G4071" s="49" t="n">
        <v>0</v>
      </c>
      <c r="H4071" s="0" t="n">
        <v>0</v>
      </c>
      <c r="M4071" s="51" t="s">
        <v>7857</v>
      </c>
      <c r="N4071" s="49" t="n">
        <v>0</v>
      </c>
      <c r="O4071" s="53" t="n">
        <v>45799.5956365741</v>
      </c>
      <c r="P4071" s="53" t="n">
        <v>45803.7907060185</v>
      </c>
      <c r="Q4071" s="53" t="n">
        <v>45799.5956365741</v>
      </c>
      <c r="R4071" s="0" t="n">
        <v>0</v>
      </c>
      <c r="S4071" s="51" t="s">
        <v>2383</v>
      </c>
      <c r="T4071" s="51" t="s">
        <v>2383</v>
      </c>
      <c r="U4071" s="0" t="str">
        <f aca="false">"12520129"</f>
        <v>12520129</v>
      </c>
      <c r="V4071" s="51" t="s">
        <v>2365</v>
      </c>
      <c r="W4071" s="51" t="s">
        <v>7895</v>
      </c>
      <c r="X4071" s="51" t="s">
        <v>2359</v>
      </c>
    </row>
    <row r="4072" customFormat="false" ht="14.25" hidden="true" customHeight="false" outlineLevel="0" collapsed="false">
      <c r="A4072" s="49" t="s">
        <v>2349</v>
      </c>
      <c r="B4072" s="49" t="s">
        <v>2350</v>
      </c>
      <c r="C4072" s="49" t="s">
        <v>7896</v>
      </c>
      <c r="D4072" s="49" t="s">
        <v>2352</v>
      </c>
      <c r="E4072" s="49" t="str">
        <f aca="false">"12464079"</f>
        <v>12464079</v>
      </c>
      <c r="F4072" s="49" t="s">
        <v>4706</v>
      </c>
      <c r="G4072" s="49" t="n">
        <v>0</v>
      </c>
      <c r="H4072" s="0" t="n">
        <v>0</v>
      </c>
      <c r="M4072" s="51" t="s">
        <v>7857</v>
      </c>
      <c r="N4072" s="49" t="n">
        <v>0</v>
      </c>
      <c r="O4072" s="53" t="n">
        <v>45799.5958680556</v>
      </c>
      <c r="P4072" s="53" t="n">
        <v>45825.8554166667</v>
      </c>
      <c r="Q4072" s="53" t="n">
        <v>45799.5958680556</v>
      </c>
      <c r="R4072" s="0" t="n">
        <v>0</v>
      </c>
      <c r="S4072" s="51" t="s">
        <v>2383</v>
      </c>
      <c r="T4072" s="51" t="s">
        <v>2383</v>
      </c>
      <c r="U4072" s="0" t="str">
        <f aca="false">"12464079"</f>
        <v>12464079</v>
      </c>
      <c r="V4072" s="51" t="s">
        <v>2365</v>
      </c>
      <c r="W4072" s="51" t="s">
        <v>6064</v>
      </c>
      <c r="X4072" s="51" t="s">
        <v>2359</v>
      </c>
    </row>
    <row r="4073" customFormat="false" ht="14.25" hidden="true" customHeight="false" outlineLevel="0" collapsed="false">
      <c r="A4073" s="49" t="s">
        <v>2349</v>
      </c>
      <c r="B4073" s="49" t="s">
        <v>2350</v>
      </c>
      <c r="C4073" s="49" t="s">
        <v>7897</v>
      </c>
      <c r="D4073" s="49" t="s">
        <v>2352</v>
      </c>
      <c r="E4073" s="49" t="str">
        <f aca="false">"5060458890191"</f>
        <v>5060458890191</v>
      </c>
      <c r="F4073" s="49" t="s">
        <v>3656</v>
      </c>
      <c r="G4073" s="49" t="n">
        <v>0</v>
      </c>
      <c r="H4073" s="0" t="n">
        <v>0</v>
      </c>
      <c r="M4073" s="51" t="s">
        <v>7898</v>
      </c>
      <c r="N4073" s="49" t="n">
        <v>0</v>
      </c>
      <c r="O4073" s="53" t="n">
        <v>45784.623587963</v>
      </c>
      <c r="P4073" s="53" t="n">
        <v>45784.9259027778</v>
      </c>
      <c r="Q4073" s="53" t="n">
        <v>45784.623587963</v>
      </c>
      <c r="R4073" s="0" t="n">
        <v>0</v>
      </c>
      <c r="S4073" s="51" t="s">
        <v>2416</v>
      </c>
      <c r="T4073" s="51" t="s">
        <v>2416</v>
      </c>
      <c r="U4073" s="0" t="str">
        <f aca="false">"5060458890191"</f>
        <v>5060458890191</v>
      </c>
      <c r="V4073" s="51" t="s">
        <v>2142</v>
      </c>
      <c r="W4073" s="51" t="s">
        <v>6550</v>
      </c>
      <c r="X4073" s="51" t="s">
        <v>2359</v>
      </c>
    </row>
    <row r="4074" customFormat="false" ht="14.25" hidden="true" customHeight="false" outlineLevel="0" collapsed="false">
      <c r="A4074" s="49" t="s">
        <v>2349</v>
      </c>
      <c r="B4074" s="49" t="s">
        <v>2350</v>
      </c>
      <c r="C4074" s="49" t="s">
        <v>7899</v>
      </c>
      <c r="D4074" s="49" t="s">
        <v>2352</v>
      </c>
      <c r="E4074" s="49" t="str">
        <f aca="false">"5060458890191"</f>
        <v>5060458890191</v>
      </c>
      <c r="F4074" s="49" t="s">
        <v>3656</v>
      </c>
      <c r="G4074" s="49" t="n">
        <v>0</v>
      </c>
      <c r="H4074" s="0" t="n">
        <v>0</v>
      </c>
      <c r="M4074" s="51" t="s">
        <v>7898</v>
      </c>
      <c r="N4074" s="49" t="n">
        <v>0</v>
      </c>
      <c r="O4074" s="53" t="n">
        <v>45784.6237268519</v>
      </c>
      <c r="P4074" s="53" t="n">
        <v>45784.9095717593</v>
      </c>
      <c r="Q4074" s="53" t="n">
        <v>45784.6237268519</v>
      </c>
      <c r="R4074" s="0" t="n">
        <v>0</v>
      </c>
      <c r="S4074" s="51" t="s">
        <v>2416</v>
      </c>
      <c r="T4074" s="51" t="s">
        <v>2416</v>
      </c>
      <c r="U4074" s="0" t="str">
        <f aca="false">"5060458890191"</f>
        <v>5060458890191</v>
      </c>
      <c r="V4074" s="51" t="s">
        <v>2142</v>
      </c>
      <c r="W4074" s="51" t="s">
        <v>6552</v>
      </c>
      <c r="X4074" s="51" t="s">
        <v>2359</v>
      </c>
    </row>
    <row r="4075" customFormat="false" ht="14.25" hidden="true" customHeight="false" outlineLevel="0" collapsed="false">
      <c r="A4075" s="49" t="s">
        <v>2349</v>
      </c>
      <c r="B4075" s="49" t="s">
        <v>2350</v>
      </c>
      <c r="C4075" s="49" t="s">
        <v>7900</v>
      </c>
      <c r="D4075" s="49" t="s">
        <v>2352</v>
      </c>
      <c r="E4075" s="49" t="str">
        <f aca="false">"5060458890191"</f>
        <v>5060458890191</v>
      </c>
      <c r="F4075" s="49" t="s">
        <v>3656</v>
      </c>
      <c r="G4075" s="49" t="n">
        <v>0</v>
      </c>
      <c r="H4075" s="0" t="n">
        <v>0</v>
      </c>
      <c r="M4075" s="51" t="s">
        <v>7898</v>
      </c>
      <c r="N4075" s="49" t="n">
        <v>0</v>
      </c>
      <c r="O4075" s="53" t="n">
        <v>45784.6238657407</v>
      </c>
      <c r="P4075" s="53" t="n">
        <v>45784.9103009259</v>
      </c>
      <c r="Q4075" s="53" t="n">
        <v>45784.6238657407</v>
      </c>
      <c r="R4075" s="0" t="n">
        <v>0</v>
      </c>
      <c r="S4075" s="51" t="s">
        <v>2416</v>
      </c>
      <c r="T4075" s="51" t="s">
        <v>2416</v>
      </c>
      <c r="U4075" s="0" t="str">
        <f aca="false">"5060458890191"</f>
        <v>5060458890191</v>
      </c>
      <c r="V4075" s="51" t="s">
        <v>2142</v>
      </c>
      <c r="W4075" s="51" t="s">
        <v>5833</v>
      </c>
      <c r="X4075" s="51" t="s">
        <v>2359</v>
      </c>
    </row>
    <row r="4076" customFormat="false" ht="14.25" hidden="true" customHeight="false" outlineLevel="0" collapsed="false">
      <c r="A4076" s="49" t="s">
        <v>2349</v>
      </c>
      <c r="B4076" s="49" t="s">
        <v>2350</v>
      </c>
      <c r="C4076" s="49" t="s">
        <v>7901</v>
      </c>
      <c r="D4076" s="49" t="s">
        <v>2352</v>
      </c>
      <c r="E4076" s="49" t="str">
        <f aca="false">"5060458890191"</f>
        <v>5060458890191</v>
      </c>
      <c r="F4076" s="49" t="s">
        <v>3656</v>
      </c>
      <c r="G4076" s="49" t="n">
        <v>0</v>
      </c>
      <c r="H4076" s="0" t="n">
        <v>0</v>
      </c>
      <c r="M4076" s="51" t="s">
        <v>7898</v>
      </c>
      <c r="N4076" s="49" t="n">
        <v>0</v>
      </c>
      <c r="O4076" s="53" t="n">
        <v>45784.6239583333</v>
      </c>
      <c r="P4076" s="53" t="n">
        <v>45784.9099074074</v>
      </c>
      <c r="Q4076" s="53" t="n">
        <v>45784.6239583333</v>
      </c>
      <c r="R4076" s="0" t="n">
        <v>0</v>
      </c>
      <c r="S4076" s="51" t="s">
        <v>2416</v>
      </c>
      <c r="T4076" s="51" t="s">
        <v>2416</v>
      </c>
      <c r="U4076" s="0" t="str">
        <f aca="false">"5060458890191"</f>
        <v>5060458890191</v>
      </c>
      <c r="V4076" s="51" t="s">
        <v>2142</v>
      </c>
      <c r="W4076" s="51" t="s">
        <v>6548</v>
      </c>
      <c r="X4076" s="51" t="s">
        <v>2359</v>
      </c>
    </row>
    <row r="4077" customFormat="false" ht="14.25" hidden="true" customHeight="false" outlineLevel="0" collapsed="false">
      <c r="A4077" s="49" t="s">
        <v>2349</v>
      </c>
      <c r="B4077" s="49" t="s">
        <v>2350</v>
      </c>
      <c r="C4077" s="49" t="s">
        <v>7902</v>
      </c>
      <c r="D4077" s="49" t="s">
        <v>2352</v>
      </c>
      <c r="E4077" s="49" t="str">
        <f aca="false">"5060458890191"</f>
        <v>5060458890191</v>
      </c>
      <c r="F4077" s="49" t="s">
        <v>3656</v>
      </c>
      <c r="G4077" s="49" t="n">
        <v>0</v>
      </c>
      <c r="H4077" s="0" t="n">
        <v>0</v>
      </c>
      <c r="M4077" s="51" t="s">
        <v>7898</v>
      </c>
      <c r="N4077" s="49" t="n">
        <v>0</v>
      </c>
      <c r="O4077" s="53" t="n">
        <v>45784.6240972222</v>
      </c>
      <c r="P4077" s="53" t="n">
        <v>45785.874224537</v>
      </c>
      <c r="Q4077" s="53" t="n">
        <v>45784.6240972222</v>
      </c>
      <c r="R4077" s="0" t="n">
        <v>0</v>
      </c>
      <c r="S4077" s="51" t="s">
        <v>2416</v>
      </c>
      <c r="T4077" s="51" t="s">
        <v>2416</v>
      </c>
      <c r="U4077" s="0" t="str">
        <f aca="false">"5060458890191"</f>
        <v>5060458890191</v>
      </c>
      <c r="V4077" s="51" t="s">
        <v>2142</v>
      </c>
      <c r="W4077" s="51" t="s">
        <v>6775</v>
      </c>
      <c r="X4077" s="51" t="s">
        <v>2359</v>
      </c>
    </row>
    <row r="4078" customFormat="false" ht="14.25" hidden="true" customHeight="false" outlineLevel="0" collapsed="false">
      <c r="A4078" s="49" t="s">
        <v>2349</v>
      </c>
      <c r="B4078" s="49" t="s">
        <v>2350</v>
      </c>
      <c r="C4078" s="49" t="s">
        <v>7903</v>
      </c>
      <c r="D4078" s="49" t="s">
        <v>2352</v>
      </c>
      <c r="E4078" s="49" t="str">
        <f aca="false">"5060458890191"</f>
        <v>5060458890191</v>
      </c>
      <c r="F4078" s="49" t="s">
        <v>3656</v>
      </c>
      <c r="G4078" s="49" t="n">
        <v>0</v>
      </c>
      <c r="H4078" s="0" t="n">
        <v>0</v>
      </c>
      <c r="M4078" s="51" t="s">
        <v>7898</v>
      </c>
      <c r="N4078" s="49" t="n">
        <v>0</v>
      </c>
      <c r="O4078" s="53" t="n">
        <v>45784.624212963</v>
      </c>
      <c r="P4078" s="53" t="n">
        <v>45784.9052314815</v>
      </c>
      <c r="Q4078" s="53" t="n">
        <v>45784.624212963</v>
      </c>
      <c r="R4078" s="0" t="n">
        <v>0</v>
      </c>
      <c r="S4078" s="51" t="s">
        <v>2416</v>
      </c>
      <c r="T4078" s="51" t="s">
        <v>2416</v>
      </c>
      <c r="U4078" s="0" t="str">
        <f aca="false">"5060458890191"</f>
        <v>5060458890191</v>
      </c>
      <c r="V4078" s="51" t="s">
        <v>2142</v>
      </c>
      <c r="W4078" s="51" t="s">
        <v>5172</v>
      </c>
      <c r="X4078" s="51" t="s">
        <v>2359</v>
      </c>
    </row>
    <row r="4079" customFormat="false" ht="14.25" hidden="true" customHeight="false" outlineLevel="0" collapsed="false">
      <c r="A4079" s="49" t="s">
        <v>2349</v>
      </c>
      <c r="B4079" s="49" t="s">
        <v>2350</v>
      </c>
      <c r="C4079" s="49" t="s">
        <v>7904</v>
      </c>
      <c r="D4079" s="49" t="s">
        <v>2352</v>
      </c>
      <c r="E4079" s="49" t="str">
        <f aca="false">"5060458890191"</f>
        <v>5060458890191</v>
      </c>
      <c r="F4079" s="49" t="s">
        <v>3656</v>
      </c>
      <c r="G4079" s="49" t="n">
        <v>0</v>
      </c>
      <c r="H4079" s="0" t="n">
        <v>0</v>
      </c>
      <c r="M4079" s="51" t="s">
        <v>7898</v>
      </c>
      <c r="N4079" s="49" t="n">
        <v>0</v>
      </c>
      <c r="O4079" s="53" t="n">
        <v>45784.6243171296</v>
      </c>
      <c r="P4079" s="53" t="n">
        <v>45785.872337963</v>
      </c>
      <c r="Q4079" s="53" t="n">
        <v>45784.6243171296</v>
      </c>
      <c r="R4079" s="0" t="n">
        <v>0</v>
      </c>
      <c r="S4079" s="51" t="s">
        <v>2416</v>
      </c>
      <c r="T4079" s="51" t="s">
        <v>2416</v>
      </c>
      <c r="U4079" s="0" t="str">
        <f aca="false">"5060458890191"</f>
        <v>5060458890191</v>
      </c>
      <c r="V4079" s="51" t="s">
        <v>2142</v>
      </c>
      <c r="W4079" s="51" t="s">
        <v>6763</v>
      </c>
      <c r="X4079" s="51" t="s">
        <v>2359</v>
      </c>
    </row>
    <row r="4080" customFormat="false" ht="14.25" hidden="true" customHeight="false" outlineLevel="0" collapsed="false">
      <c r="A4080" s="49" t="s">
        <v>2349</v>
      </c>
      <c r="B4080" s="49" t="s">
        <v>2350</v>
      </c>
      <c r="C4080" s="49" t="s">
        <v>7905</v>
      </c>
      <c r="D4080" s="49" t="s">
        <v>2352</v>
      </c>
      <c r="E4080" s="49" t="str">
        <f aca="false">"5060458890191"</f>
        <v>5060458890191</v>
      </c>
      <c r="F4080" s="49" t="s">
        <v>3656</v>
      </c>
      <c r="G4080" s="49" t="n">
        <v>0</v>
      </c>
      <c r="H4080" s="0" t="n">
        <v>0</v>
      </c>
      <c r="M4080" s="51" t="s">
        <v>7898</v>
      </c>
      <c r="N4080" s="49" t="n">
        <v>0</v>
      </c>
      <c r="O4080" s="53" t="n">
        <v>45784.6244791667</v>
      </c>
      <c r="P4080" s="53" t="n">
        <v>45784.9047106481</v>
      </c>
      <c r="Q4080" s="53" t="n">
        <v>45784.6244791667</v>
      </c>
      <c r="R4080" s="0" t="n">
        <v>0</v>
      </c>
      <c r="S4080" s="51" t="s">
        <v>2416</v>
      </c>
      <c r="T4080" s="51" t="s">
        <v>2416</v>
      </c>
      <c r="U4080" s="0" t="str">
        <f aca="false">"5060458890191"</f>
        <v>5060458890191</v>
      </c>
      <c r="V4080" s="51" t="s">
        <v>2142</v>
      </c>
      <c r="W4080" s="51" t="s">
        <v>4797</v>
      </c>
      <c r="X4080" s="51" t="s">
        <v>2359</v>
      </c>
    </row>
    <row r="4081" customFormat="false" ht="14.25" hidden="true" customHeight="false" outlineLevel="0" collapsed="false">
      <c r="A4081" s="49" t="s">
        <v>2349</v>
      </c>
      <c r="B4081" s="49" t="s">
        <v>2350</v>
      </c>
      <c r="C4081" s="49" t="s">
        <v>7906</v>
      </c>
      <c r="D4081" s="49" t="s">
        <v>2352</v>
      </c>
      <c r="E4081" s="49" t="str">
        <f aca="false">"5060458890191"</f>
        <v>5060458890191</v>
      </c>
      <c r="F4081" s="49" t="s">
        <v>3656</v>
      </c>
      <c r="G4081" s="49" t="n">
        <v>0</v>
      </c>
      <c r="H4081" s="0" t="n">
        <v>0</v>
      </c>
      <c r="M4081" s="51" t="s">
        <v>7898</v>
      </c>
      <c r="N4081" s="49" t="n">
        <v>0</v>
      </c>
      <c r="O4081" s="53" t="n">
        <v>45784.6248032407</v>
      </c>
      <c r="P4081" s="53" t="n">
        <v>45801.4814467593</v>
      </c>
      <c r="Q4081" s="53" t="n">
        <v>45784.6248032407</v>
      </c>
      <c r="R4081" s="0" t="n">
        <v>0</v>
      </c>
      <c r="S4081" s="51" t="s">
        <v>2416</v>
      </c>
      <c r="T4081" s="51" t="s">
        <v>2416</v>
      </c>
      <c r="U4081" s="0" t="str">
        <f aca="false">"5060458890191"</f>
        <v>5060458890191</v>
      </c>
      <c r="V4081" s="51" t="s">
        <v>2142</v>
      </c>
      <c r="W4081" s="51" t="s">
        <v>6974</v>
      </c>
      <c r="X4081" s="51" t="s">
        <v>2359</v>
      </c>
    </row>
    <row r="4082" customFormat="false" ht="14.25" hidden="true" customHeight="false" outlineLevel="0" collapsed="false">
      <c r="A4082" s="49" t="s">
        <v>2349</v>
      </c>
      <c r="B4082" s="49" t="s">
        <v>2350</v>
      </c>
      <c r="C4082" s="49" t="s">
        <v>7907</v>
      </c>
      <c r="D4082" s="49" t="s">
        <v>2352</v>
      </c>
      <c r="E4082" s="49" t="str">
        <f aca="false">"5060458890191"</f>
        <v>5060458890191</v>
      </c>
      <c r="F4082" s="49" t="s">
        <v>3656</v>
      </c>
      <c r="G4082" s="49" t="n">
        <v>0</v>
      </c>
      <c r="H4082" s="0" t="n">
        <v>0</v>
      </c>
      <c r="M4082" s="51" t="s">
        <v>7898</v>
      </c>
      <c r="N4082" s="49" t="n">
        <v>0</v>
      </c>
      <c r="O4082" s="53" t="n">
        <v>45784.6250347222</v>
      </c>
      <c r="P4082" s="53" t="n">
        <v>45801.4819675926</v>
      </c>
      <c r="Q4082" s="53" t="n">
        <v>45784.6250347222</v>
      </c>
      <c r="R4082" s="0" t="n">
        <v>0</v>
      </c>
      <c r="S4082" s="51" t="s">
        <v>2416</v>
      </c>
      <c r="T4082" s="51" t="s">
        <v>2416</v>
      </c>
      <c r="U4082" s="0" t="str">
        <f aca="false">"5060458890191"</f>
        <v>5060458890191</v>
      </c>
      <c r="V4082" s="51" t="s">
        <v>2142</v>
      </c>
      <c r="W4082" s="51" t="s">
        <v>4943</v>
      </c>
      <c r="X4082" s="51" t="s">
        <v>2359</v>
      </c>
    </row>
    <row r="4083" customFormat="false" ht="14.25" hidden="true" customHeight="false" outlineLevel="0" collapsed="false">
      <c r="A4083" s="49" t="s">
        <v>2349</v>
      </c>
      <c r="B4083" s="49" t="s">
        <v>2350</v>
      </c>
      <c r="C4083" s="49" t="s">
        <v>7908</v>
      </c>
      <c r="D4083" s="49" t="s">
        <v>2352</v>
      </c>
      <c r="E4083" s="49" t="str">
        <f aca="false">"5060458890191"</f>
        <v>5060458890191</v>
      </c>
      <c r="F4083" s="49" t="s">
        <v>3656</v>
      </c>
      <c r="G4083" s="49" t="n">
        <v>0</v>
      </c>
      <c r="H4083" s="0" t="n">
        <v>0</v>
      </c>
      <c r="M4083" s="51" t="s">
        <v>7898</v>
      </c>
      <c r="N4083" s="49" t="n">
        <v>0</v>
      </c>
      <c r="O4083" s="53" t="n">
        <v>45784.6251388889</v>
      </c>
      <c r="P4083" s="53" t="n">
        <v>45801.4829050926</v>
      </c>
      <c r="Q4083" s="53" t="n">
        <v>45784.6251388889</v>
      </c>
      <c r="R4083" s="0" t="n">
        <v>0</v>
      </c>
      <c r="S4083" s="51" t="s">
        <v>2416</v>
      </c>
      <c r="T4083" s="51" t="s">
        <v>2416</v>
      </c>
      <c r="U4083" s="0" t="str">
        <f aca="false">"5060458890191"</f>
        <v>5060458890191</v>
      </c>
      <c r="V4083" s="51" t="s">
        <v>2142</v>
      </c>
      <c r="W4083" s="51" t="s">
        <v>5837</v>
      </c>
      <c r="X4083" s="51" t="s">
        <v>2359</v>
      </c>
    </row>
    <row r="4084" customFormat="false" ht="14.25" hidden="true" customHeight="false" outlineLevel="0" collapsed="false">
      <c r="A4084" s="49" t="s">
        <v>2349</v>
      </c>
      <c r="B4084" s="49" t="s">
        <v>2350</v>
      </c>
      <c r="C4084" s="49" t="s">
        <v>7909</v>
      </c>
      <c r="D4084" s="49" t="s">
        <v>2352</v>
      </c>
      <c r="E4084" s="49" t="str">
        <f aca="false">"5060458890191"</f>
        <v>5060458890191</v>
      </c>
      <c r="F4084" s="49" t="s">
        <v>3656</v>
      </c>
      <c r="G4084" s="49" t="n">
        <v>0</v>
      </c>
      <c r="H4084" s="0" t="n">
        <v>0</v>
      </c>
      <c r="M4084" s="51" t="s">
        <v>7898</v>
      </c>
      <c r="N4084" s="49" t="n">
        <v>0</v>
      </c>
      <c r="O4084" s="53" t="n">
        <v>45784.6252199074</v>
      </c>
      <c r="P4084" s="53" t="n">
        <v>45801.4824652778</v>
      </c>
      <c r="Q4084" s="53" t="n">
        <v>45784.6252199074</v>
      </c>
      <c r="R4084" s="0" t="n">
        <v>0</v>
      </c>
      <c r="S4084" s="51" t="s">
        <v>2416</v>
      </c>
      <c r="T4084" s="51" t="s">
        <v>2416</v>
      </c>
      <c r="U4084" s="0" t="str">
        <f aca="false">"5060458890191"</f>
        <v>5060458890191</v>
      </c>
      <c r="V4084" s="51" t="s">
        <v>2142</v>
      </c>
      <c r="W4084" s="51" t="s">
        <v>6048</v>
      </c>
      <c r="X4084" s="51" t="s">
        <v>2359</v>
      </c>
    </row>
    <row r="4085" customFormat="false" ht="14.25" hidden="true" customHeight="false" outlineLevel="0" collapsed="false">
      <c r="A4085" s="49" t="s">
        <v>2349</v>
      </c>
      <c r="B4085" s="49" t="s">
        <v>2350</v>
      </c>
      <c r="C4085" s="49" t="s">
        <v>7910</v>
      </c>
      <c r="D4085" s="49" t="s">
        <v>2352</v>
      </c>
      <c r="E4085" s="49" t="str">
        <f aca="false">"5060458890191"</f>
        <v>5060458890191</v>
      </c>
      <c r="F4085" s="49" t="s">
        <v>3656</v>
      </c>
      <c r="G4085" s="49" t="n">
        <v>0</v>
      </c>
      <c r="H4085" s="0" t="n">
        <v>0</v>
      </c>
      <c r="M4085" s="51" t="s">
        <v>7898</v>
      </c>
      <c r="N4085" s="49" t="n">
        <v>0</v>
      </c>
      <c r="O4085" s="53" t="n">
        <v>45784.6253240741</v>
      </c>
      <c r="P4085" s="53" t="n">
        <v>45801.4833101852</v>
      </c>
      <c r="Q4085" s="53" t="n">
        <v>45784.6253240741</v>
      </c>
      <c r="R4085" s="0" t="n">
        <v>0</v>
      </c>
      <c r="S4085" s="51" t="s">
        <v>2416</v>
      </c>
      <c r="T4085" s="51" t="s">
        <v>2416</v>
      </c>
      <c r="U4085" s="0" t="str">
        <f aca="false">"5060458890191"</f>
        <v>5060458890191</v>
      </c>
      <c r="V4085" s="51" t="s">
        <v>2142</v>
      </c>
      <c r="W4085" s="51" t="s">
        <v>5949</v>
      </c>
      <c r="X4085" s="51" t="s">
        <v>2359</v>
      </c>
    </row>
    <row r="4086" customFormat="false" ht="14.25" hidden="true" customHeight="false" outlineLevel="0" collapsed="false">
      <c r="A4086" s="49" t="s">
        <v>2349</v>
      </c>
      <c r="B4086" s="49" t="s">
        <v>2350</v>
      </c>
      <c r="C4086" s="49" t="s">
        <v>7911</v>
      </c>
      <c r="D4086" s="49" t="s">
        <v>2352</v>
      </c>
      <c r="E4086" s="49" t="str">
        <f aca="false">"5060458890191"</f>
        <v>5060458890191</v>
      </c>
      <c r="F4086" s="49" t="s">
        <v>3656</v>
      </c>
      <c r="G4086" s="49" t="n">
        <v>0</v>
      </c>
      <c r="H4086" s="0" t="n">
        <v>0</v>
      </c>
      <c r="M4086" s="51" t="s">
        <v>7898</v>
      </c>
      <c r="N4086" s="49" t="n">
        <v>0</v>
      </c>
      <c r="O4086" s="53" t="n">
        <v>45784.625462963</v>
      </c>
      <c r="P4086" s="53" t="n">
        <v>45801.4838888889</v>
      </c>
      <c r="Q4086" s="53" t="n">
        <v>45784.625462963</v>
      </c>
      <c r="R4086" s="0" t="n">
        <v>0</v>
      </c>
      <c r="S4086" s="51" t="s">
        <v>2416</v>
      </c>
      <c r="T4086" s="51" t="s">
        <v>2416</v>
      </c>
      <c r="U4086" s="0" t="str">
        <f aca="false">"5060458890191"</f>
        <v>5060458890191</v>
      </c>
      <c r="V4086" s="51" t="s">
        <v>2142</v>
      </c>
      <c r="W4086" s="51" t="s">
        <v>6568</v>
      </c>
      <c r="X4086" s="51" t="s">
        <v>2359</v>
      </c>
    </row>
    <row r="4087" customFormat="false" ht="14.25" hidden="true" customHeight="false" outlineLevel="0" collapsed="false">
      <c r="A4087" s="49" t="s">
        <v>2349</v>
      </c>
      <c r="B4087" s="49" t="s">
        <v>2350</v>
      </c>
      <c r="C4087" s="49" t="s">
        <v>7912</v>
      </c>
      <c r="D4087" s="49" t="s">
        <v>2352</v>
      </c>
      <c r="E4087" s="49" t="str">
        <f aca="false">"5060458890191"</f>
        <v>5060458890191</v>
      </c>
      <c r="F4087" s="49" t="s">
        <v>3656</v>
      </c>
      <c r="G4087" s="49" t="n">
        <v>0</v>
      </c>
      <c r="H4087" s="0" t="n">
        <v>0</v>
      </c>
      <c r="M4087" s="51" t="s">
        <v>7898</v>
      </c>
      <c r="N4087" s="49" t="n">
        <v>0</v>
      </c>
      <c r="O4087" s="53" t="n">
        <v>45784.6255555556</v>
      </c>
      <c r="P4087" s="53" t="n">
        <v>45801.4845949074</v>
      </c>
      <c r="Q4087" s="53" t="n">
        <v>45784.6255555556</v>
      </c>
      <c r="R4087" s="0" t="n">
        <v>0</v>
      </c>
      <c r="S4087" s="51" t="s">
        <v>2416</v>
      </c>
      <c r="T4087" s="51" t="s">
        <v>2416</v>
      </c>
      <c r="U4087" s="0" t="str">
        <f aca="false">"5060458890191"</f>
        <v>5060458890191</v>
      </c>
      <c r="V4087" s="51" t="s">
        <v>2142</v>
      </c>
      <c r="W4087" s="51" t="s">
        <v>6564</v>
      </c>
      <c r="X4087" s="51" t="s">
        <v>2359</v>
      </c>
    </row>
    <row r="4088" customFormat="false" ht="14.25" hidden="true" customHeight="false" outlineLevel="0" collapsed="false">
      <c r="A4088" s="49" t="s">
        <v>2349</v>
      </c>
      <c r="B4088" s="49" t="s">
        <v>2350</v>
      </c>
      <c r="C4088" s="49" t="s">
        <v>7913</v>
      </c>
      <c r="D4088" s="49" t="s">
        <v>2352</v>
      </c>
      <c r="E4088" s="49" t="str">
        <f aca="false">"5060458890191"</f>
        <v>5060458890191</v>
      </c>
      <c r="F4088" s="49" t="s">
        <v>3656</v>
      </c>
      <c r="G4088" s="49" t="n">
        <v>0</v>
      </c>
      <c r="H4088" s="0" t="n">
        <v>0</v>
      </c>
      <c r="M4088" s="51" t="s">
        <v>7898</v>
      </c>
      <c r="N4088" s="49" t="n">
        <v>0</v>
      </c>
      <c r="O4088" s="53" t="n">
        <v>45784.6256944445</v>
      </c>
      <c r="P4088" s="53" t="n">
        <v>45801.4853240741</v>
      </c>
      <c r="Q4088" s="53" t="n">
        <v>45784.6256944445</v>
      </c>
      <c r="R4088" s="0" t="n">
        <v>0</v>
      </c>
      <c r="S4088" s="51" t="s">
        <v>2416</v>
      </c>
      <c r="T4088" s="51" t="s">
        <v>2416</v>
      </c>
      <c r="U4088" s="0" t="str">
        <f aca="false">"5060458890191"</f>
        <v>5060458890191</v>
      </c>
      <c r="V4088" s="51" t="s">
        <v>2142</v>
      </c>
      <c r="W4088" s="51" t="s">
        <v>5863</v>
      </c>
      <c r="X4088" s="51" t="s">
        <v>2359</v>
      </c>
    </row>
    <row r="4089" customFormat="false" ht="14.25" hidden="true" customHeight="false" outlineLevel="0" collapsed="false">
      <c r="A4089" s="49" t="s">
        <v>2349</v>
      </c>
      <c r="B4089" s="49" t="s">
        <v>2350</v>
      </c>
      <c r="C4089" s="49" t="s">
        <v>7914</v>
      </c>
      <c r="D4089" s="49" t="s">
        <v>2352</v>
      </c>
      <c r="E4089" s="49" t="str">
        <f aca="false">"5060458890191"</f>
        <v>5060458890191</v>
      </c>
      <c r="F4089" s="49" t="s">
        <v>3656</v>
      </c>
      <c r="G4089" s="49" t="n">
        <v>0</v>
      </c>
      <c r="H4089" s="0" t="n">
        <v>0</v>
      </c>
      <c r="M4089" s="51" t="s">
        <v>7898</v>
      </c>
      <c r="N4089" s="49" t="n">
        <v>0</v>
      </c>
      <c r="O4089" s="53" t="n">
        <v>45784.625787037</v>
      </c>
      <c r="P4089" s="53" t="n">
        <v>45801.4860185185</v>
      </c>
      <c r="Q4089" s="53" t="n">
        <v>45784.625787037</v>
      </c>
      <c r="R4089" s="0" t="n">
        <v>0</v>
      </c>
      <c r="S4089" s="51" t="s">
        <v>2416</v>
      </c>
      <c r="T4089" s="51" t="s">
        <v>2416</v>
      </c>
      <c r="U4089" s="0" t="str">
        <f aca="false">"5060458890191"</f>
        <v>5060458890191</v>
      </c>
      <c r="V4089" s="51" t="s">
        <v>2142</v>
      </c>
      <c r="W4089" s="51" t="s">
        <v>5856</v>
      </c>
      <c r="X4089" s="51" t="s">
        <v>2359</v>
      </c>
    </row>
    <row r="4090" customFormat="false" ht="14.25" hidden="true" customHeight="false" outlineLevel="0" collapsed="false">
      <c r="A4090" s="49" t="s">
        <v>2349</v>
      </c>
      <c r="B4090" s="49" t="s">
        <v>2350</v>
      </c>
      <c r="C4090" s="49" t="s">
        <v>7915</v>
      </c>
      <c r="D4090" s="49" t="s">
        <v>2352</v>
      </c>
      <c r="E4090" s="49" t="str">
        <f aca="false">"5060458890191"</f>
        <v>5060458890191</v>
      </c>
      <c r="F4090" s="49" t="s">
        <v>3656</v>
      </c>
      <c r="G4090" s="49" t="n">
        <v>0</v>
      </c>
      <c r="H4090" s="0" t="n">
        <v>0</v>
      </c>
      <c r="M4090" s="51" t="s">
        <v>7898</v>
      </c>
      <c r="N4090" s="49" t="n">
        <v>0</v>
      </c>
      <c r="O4090" s="53" t="n">
        <v>45784.6259027778</v>
      </c>
      <c r="P4090" s="53" t="n">
        <v>45801.486712963</v>
      </c>
      <c r="Q4090" s="53" t="n">
        <v>45784.6259027778</v>
      </c>
      <c r="R4090" s="0" t="n">
        <v>0</v>
      </c>
      <c r="S4090" s="51" t="s">
        <v>2416</v>
      </c>
      <c r="T4090" s="51" t="s">
        <v>2416</v>
      </c>
      <c r="U4090" s="0" t="str">
        <f aca="false">"5060458890191"</f>
        <v>5060458890191</v>
      </c>
      <c r="V4090" s="51" t="s">
        <v>2142</v>
      </c>
      <c r="W4090" s="51" t="s">
        <v>3672</v>
      </c>
      <c r="X4090" s="51" t="s">
        <v>2359</v>
      </c>
    </row>
    <row r="4091" customFormat="false" ht="14.25" hidden="true" customHeight="false" outlineLevel="0" collapsed="false">
      <c r="A4091" s="49" t="s">
        <v>2349</v>
      </c>
      <c r="B4091" s="49" t="s">
        <v>2350</v>
      </c>
      <c r="C4091" s="49" t="s">
        <v>7916</v>
      </c>
      <c r="D4091" s="49" t="s">
        <v>2352</v>
      </c>
      <c r="E4091" s="49" t="str">
        <f aca="false">"5060458890191"</f>
        <v>5060458890191</v>
      </c>
      <c r="F4091" s="49" t="s">
        <v>3656</v>
      </c>
      <c r="G4091" s="49" t="n">
        <v>0</v>
      </c>
      <c r="H4091" s="0" t="n">
        <v>0</v>
      </c>
      <c r="M4091" s="51" t="s">
        <v>7898</v>
      </c>
      <c r="N4091" s="49" t="n">
        <v>0</v>
      </c>
      <c r="O4091" s="53" t="n">
        <v>45784.6260763889</v>
      </c>
      <c r="P4091" s="53" t="n">
        <v>45819.483912037</v>
      </c>
      <c r="Q4091" s="53" t="n">
        <v>45784.6260763889</v>
      </c>
      <c r="R4091" s="0" t="n">
        <v>0</v>
      </c>
      <c r="S4091" s="51" t="s">
        <v>2416</v>
      </c>
      <c r="T4091" s="51" t="s">
        <v>2416</v>
      </c>
      <c r="U4091" s="0" t="str">
        <f aca="false">"5060458890191"</f>
        <v>5060458890191</v>
      </c>
      <c r="V4091" s="51" t="s">
        <v>2142</v>
      </c>
      <c r="W4091" s="51" t="s">
        <v>6314</v>
      </c>
      <c r="X4091" s="51" t="s">
        <v>2359</v>
      </c>
    </row>
    <row r="4092" customFormat="false" ht="14.25" hidden="true" customHeight="false" outlineLevel="0" collapsed="false">
      <c r="A4092" s="49" t="s">
        <v>2349</v>
      </c>
      <c r="B4092" s="49" t="s">
        <v>2350</v>
      </c>
      <c r="C4092" s="49" t="s">
        <v>7917</v>
      </c>
      <c r="D4092" s="49" t="s">
        <v>2352</v>
      </c>
      <c r="E4092" s="49" t="str">
        <f aca="false">"5060458890191"</f>
        <v>5060458890191</v>
      </c>
      <c r="F4092" s="49" t="s">
        <v>3656</v>
      </c>
      <c r="G4092" s="49" t="n">
        <v>0</v>
      </c>
      <c r="H4092" s="0" t="n">
        <v>0</v>
      </c>
      <c r="M4092" s="51" t="s">
        <v>7898</v>
      </c>
      <c r="N4092" s="49" t="n">
        <v>0</v>
      </c>
      <c r="O4092" s="53" t="n">
        <v>45784.6262384259</v>
      </c>
      <c r="P4092" s="53" t="n">
        <v>45801.4879166667</v>
      </c>
      <c r="Q4092" s="53" t="n">
        <v>45784.6262384259</v>
      </c>
      <c r="R4092" s="0" t="n">
        <v>0</v>
      </c>
      <c r="S4092" s="51" t="s">
        <v>2416</v>
      </c>
      <c r="T4092" s="51" t="s">
        <v>2416</v>
      </c>
      <c r="U4092" s="0" t="str">
        <f aca="false">"5060458890191"</f>
        <v>5060458890191</v>
      </c>
      <c r="V4092" s="51" t="s">
        <v>2142</v>
      </c>
      <c r="W4092" s="51" t="s">
        <v>4871</v>
      </c>
      <c r="X4092" s="51" t="s">
        <v>2359</v>
      </c>
    </row>
    <row r="4093" customFormat="false" ht="14.25" hidden="true" customHeight="false" outlineLevel="0" collapsed="false">
      <c r="A4093" s="49" t="s">
        <v>2349</v>
      </c>
      <c r="B4093" s="49" t="s">
        <v>2350</v>
      </c>
      <c r="C4093" s="49" t="s">
        <v>7918</v>
      </c>
      <c r="D4093" s="49" t="s">
        <v>2352</v>
      </c>
      <c r="E4093" s="49" t="str">
        <f aca="false">"5060458890191"</f>
        <v>5060458890191</v>
      </c>
      <c r="F4093" s="49" t="s">
        <v>3656</v>
      </c>
      <c r="G4093" s="49" t="n">
        <v>0</v>
      </c>
      <c r="H4093" s="0" t="n">
        <v>0</v>
      </c>
      <c r="M4093" s="51" t="s">
        <v>7898</v>
      </c>
      <c r="N4093" s="49" t="n">
        <v>0</v>
      </c>
      <c r="O4093" s="53" t="n">
        <v>45784.6263541667</v>
      </c>
      <c r="P4093" s="53" t="n">
        <v>45799.8985532407</v>
      </c>
      <c r="Q4093" s="53" t="n">
        <v>45784.6263541667</v>
      </c>
      <c r="R4093" s="0" t="n">
        <v>0</v>
      </c>
      <c r="S4093" s="51" t="s">
        <v>2416</v>
      </c>
      <c r="T4093" s="51" t="s">
        <v>2416</v>
      </c>
      <c r="U4093" s="0" t="str">
        <f aca="false">"5060458890191"</f>
        <v>5060458890191</v>
      </c>
      <c r="V4093" s="51" t="s">
        <v>2142</v>
      </c>
      <c r="W4093" s="51" t="s">
        <v>5987</v>
      </c>
      <c r="X4093" s="51" t="s">
        <v>2359</v>
      </c>
    </row>
    <row r="4094" customFormat="false" ht="14.25" hidden="true" customHeight="false" outlineLevel="0" collapsed="false">
      <c r="A4094" s="49" t="s">
        <v>2349</v>
      </c>
      <c r="B4094" s="49" t="s">
        <v>2350</v>
      </c>
      <c r="C4094" s="49" t="s">
        <v>7919</v>
      </c>
      <c r="D4094" s="49" t="s">
        <v>2352</v>
      </c>
      <c r="E4094" s="49" t="str">
        <f aca="false">"5060458890191"</f>
        <v>5060458890191</v>
      </c>
      <c r="F4094" s="49" t="s">
        <v>3656</v>
      </c>
      <c r="G4094" s="49" t="n">
        <v>0</v>
      </c>
      <c r="H4094" s="0" t="n">
        <v>0</v>
      </c>
      <c r="M4094" s="51" t="s">
        <v>7898</v>
      </c>
      <c r="N4094" s="49" t="n">
        <v>0</v>
      </c>
      <c r="O4094" s="53" t="n">
        <v>45784.6264814815</v>
      </c>
      <c r="P4094" s="53" t="n">
        <v>45819.4846180556</v>
      </c>
      <c r="Q4094" s="53" t="n">
        <v>45784.6264814815</v>
      </c>
      <c r="R4094" s="0" t="n">
        <v>0</v>
      </c>
      <c r="S4094" s="51" t="s">
        <v>2416</v>
      </c>
      <c r="T4094" s="51" t="s">
        <v>2416</v>
      </c>
      <c r="U4094" s="0" t="str">
        <f aca="false">"5060458890191"</f>
        <v>5060458890191</v>
      </c>
      <c r="V4094" s="51" t="s">
        <v>2142</v>
      </c>
      <c r="W4094" s="51" t="s">
        <v>5882</v>
      </c>
      <c r="X4094" s="51" t="s">
        <v>2359</v>
      </c>
    </row>
    <row r="4095" customFormat="false" ht="14.25" hidden="true" customHeight="false" outlineLevel="0" collapsed="false">
      <c r="A4095" s="49" t="s">
        <v>2349</v>
      </c>
      <c r="B4095" s="49" t="s">
        <v>2350</v>
      </c>
      <c r="C4095" s="49" t="s">
        <v>7920</v>
      </c>
      <c r="D4095" s="49" t="s">
        <v>2352</v>
      </c>
      <c r="E4095" s="49" t="str">
        <f aca="false">"5060458890191"</f>
        <v>5060458890191</v>
      </c>
      <c r="F4095" s="49" t="s">
        <v>3656</v>
      </c>
      <c r="G4095" s="49" t="n">
        <v>0</v>
      </c>
      <c r="H4095" s="0" t="n">
        <v>0</v>
      </c>
      <c r="M4095" s="51" t="s">
        <v>7898</v>
      </c>
      <c r="N4095" s="49" t="n">
        <v>0</v>
      </c>
      <c r="O4095" s="53" t="n">
        <v>45784.6265740741</v>
      </c>
      <c r="P4095" s="53" t="n">
        <v>45824.7301041667</v>
      </c>
      <c r="Q4095" s="53" t="n">
        <v>45784.6265740741</v>
      </c>
      <c r="R4095" s="0" t="n">
        <v>0</v>
      </c>
      <c r="S4095" s="51" t="s">
        <v>2416</v>
      </c>
      <c r="T4095" s="51" t="s">
        <v>2416</v>
      </c>
      <c r="U4095" s="0" t="str">
        <f aca="false">"5060458890191"</f>
        <v>5060458890191</v>
      </c>
      <c r="V4095" s="51" t="s">
        <v>2142</v>
      </c>
      <c r="W4095" s="51" t="s">
        <v>5861</v>
      </c>
      <c r="X4095" s="51" t="s">
        <v>2359</v>
      </c>
    </row>
    <row r="4096" customFormat="false" ht="14.25" hidden="true" customHeight="false" outlineLevel="0" collapsed="false">
      <c r="A4096" s="49" t="s">
        <v>2349</v>
      </c>
      <c r="B4096" s="49" t="s">
        <v>2350</v>
      </c>
      <c r="C4096" s="49" t="s">
        <v>7921</v>
      </c>
      <c r="D4096" s="49" t="s">
        <v>2352</v>
      </c>
      <c r="E4096" s="49" t="str">
        <f aca="false">"5060458890191"</f>
        <v>5060458890191</v>
      </c>
      <c r="F4096" s="49" t="s">
        <v>3656</v>
      </c>
      <c r="G4096" s="49" t="n">
        <v>0</v>
      </c>
      <c r="H4096" s="0" t="n">
        <v>0</v>
      </c>
      <c r="M4096" s="51" t="s">
        <v>7898</v>
      </c>
      <c r="N4096" s="49" t="n">
        <v>0</v>
      </c>
      <c r="O4096" s="53" t="n">
        <v>45784.6266782407</v>
      </c>
      <c r="P4096" s="53" t="n">
        <v>45819.8739351852</v>
      </c>
      <c r="Q4096" s="53" t="n">
        <v>45784.6266782407</v>
      </c>
      <c r="R4096" s="0" t="n">
        <v>0</v>
      </c>
      <c r="S4096" s="51" t="s">
        <v>2416</v>
      </c>
      <c r="T4096" s="51" t="s">
        <v>2416</v>
      </c>
      <c r="U4096" s="0" t="str">
        <f aca="false">"5060458890191"</f>
        <v>5060458890191</v>
      </c>
      <c r="V4096" s="51" t="s">
        <v>2142</v>
      </c>
      <c r="W4096" s="51" t="s">
        <v>4266</v>
      </c>
      <c r="X4096" s="51" t="s">
        <v>2359</v>
      </c>
    </row>
    <row r="4097" customFormat="false" ht="14.25" hidden="true" customHeight="false" outlineLevel="0" collapsed="false">
      <c r="A4097" s="49" t="s">
        <v>2349</v>
      </c>
      <c r="B4097" s="49" t="s">
        <v>2350</v>
      </c>
      <c r="C4097" s="49" t="s">
        <v>7922</v>
      </c>
      <c r="D4097" s="49" t="s">
        <v>2352</v>
      </c>
      <c r="E4097" s="49" t="str">
        <f aca="false">"5060458890191"</f>
        <v>5060458890191</v>
      </c>
      <c r="F4097" s="49" t="s">
        <v>3656</v>
      </c>
      <c r="G4097" s="49" t="n">
        <v>0</v>
      </c>
      <c r="H4097" s="0" t="n">
        <v>0</v>
      </c>
      <c r="M4097" s="51" t="s">
        <v>7898</v>
      </c>
      <c r="N4097" s="49" t="n">
        <v>0</v>
      </c>
      <c r="O4097" s="53" t="n">
        <v>45784.6268402778</v>
      </c>
      <c r="P4097" s="53" t="n">
        <v>45811.4890972222</v>
      </c>
      <c r="Q4097" s="53" t="n">
        <v>45784.6268402778</v>
      </c>
      <c r="R4097" s="0" t="n">
        <v>0</v>
      </c>
      <c r="S4097" s="51" t="s">
        <v>2416</v>
      </c>
      <c r="T4097" s="51" t="s">
        <v>2416</v>
      </c>
      <c r="U4097" s="0" t="str">
        <f aca="false">"5060458890191"</f>
        <v>5060458890191</v>
      </c>
      <c r="V4097" s="51" t="s">
        <v>2142</v>
      </c>
      <c r="W4097" s="51" t="s">
        <v>7923</v>
      </c>
      <c r="X4097" s="51" t="s">
        <v>2359</v>
      </c>
    </row>
    <row r="4098" customFormat="false" ht="14.25" hidden="true" customHeight="false" outlineLevel="0" collapsed="false">
      <c r="A4098" s="49" t="s">
        <v>2349</v>
      </c>
      <c r="B4098" s="49" t="s">
        <v>2350</v>
      </c>
      <c r="C4098" s="49" t="s">
        <v>7924</v>
      </c>
      <c r="D4098" s="49" t="s">
        <v>2352</v>
      </c>
      <c r="E4098" s="49" t="str">
        <f aca="false">"5060458890191"</f>
        <v>5060458890191</v>
      </c>
      <c r="F4098" s="49" t="s">
        <v>3656</v>
      </c>
      <c r="G4098" s="49" t="n">
        <v>0</v>
      </c>
      <c r="H4098" s="0" t="n">
        <v>0</v>
      </c>
      <c r="M4098" s="51" t="s">
        <v>7898</v>
      </c>
      <c r="N4098" s="49" t="n">
        <v>0</v>
      </c>
      <c r="O4098" s="53" t="n">
        <v>45784.6269560185</v>
      </c>
      <c r="P4098" s="53" t="n">
        <v>45812.5283217593</v>
      </c>
      <c r="Q4098" s="53" t="n">
        <v>45784.6269560185</v>
      </c>
      <c r="R4098" s="0" t="n">
        <v>0</v>
      </c>
      <c r="S4098" s="51" t="s">
        <v>2416</v>
      </c>
      <c r="T4098" s="51" t="s">
        <v>2416</v>
      </c>
      <c r="U4098" s="0" t="str">
        <f aca="false">"5060458890191"</f>
        <v>5060458890191</v>
      </c>
      <c r="V4098" s="51" t="s">
        <v>2142</v>
      </c>
      <c r="W4098" s="51" t="s">
        <v>7925</v>
      </c>
      <c r="X4098" s="51" t="s">
        <v>2359</v>
      </c>
    </row>
    <row r="4099" customFormat="false" ht="14.25" hidden="true" customHeight="false" outlineLevel="0" collapsed="false">
      <c r="A4099" s="49" t="s">
        <v>2349</v>
      </c>
      <c r="B4099" s="49" t="s">
        <v>2350</v>
      </c>
      <c r="C4099" s="49" t="s">
        <v>7926</v>
      </c>
      <c r="D4099" s="49" t="s">
        <v>2352</v>
      </c>
      <c r="E4099" s="49" t="str">
        <f aca="false">"5060458890191"</f>
        <v>5060458890191</v>
      </c>
      <c r="F4099" s="49" t="s">
        <v>3656</v>
      </c>
      <c r="G4099" s="49" t="n">
        <v>0</v>
      </c>
      <c r="H4099" s="0" t="n">
        <v>0</v>
      </c>
      <c r="M4099" s="51" t="s">
        <v>7898</v>
      </c>
      <c r="N4099" s="49" t="n">
        <v>0</v>
      </c>
      <c r="O4099" s="53" t="n">
        <v>45784.6271296296</v>
      </c>
      <c r="P4099" s="53" t="n">
        <v>45812.4732986111</v>
      </c>
      <c r="Q4099" s="53" t="n">
        <v>45784.6271296296</v>
      </c>
      <c r="R4099" s="0" t="n">
        <v>0</v>
      </c>
      <c r="S4099" s="51" t="s">
        <v>2416</v>
      </c>
      <c r="T4099" s="51" t="s">
        <v>2416</v>
      </c>
      <c r="U4099" s="0" t="str">
        <f aca="false">"5060458890191"</f>
        <v>5060458890191</v>
      </c>
      <c r="V4099" s="51" t="s">
        <v>2142</v>
      </c>
      <c r="W4099" s="51" t="s">
        <v>6428</v>
      </c>
      <c r="X4099" s="51" t="s">
        <v>2359</v>
      </c>
    </row>
    <row r="4100" customFormat="false" ht="14.25" hidden="true" customHeight="false" outlineLevel="0" collapsed="false">
      <c r="A4100" s="49" t="s">
        <v>2349</v>
      </c>
      <c r="B4100" s="49" t="s">
        <v>2350</v>
      </c>
      <c r="C4100" s="49" t="s">
        <v>7927</v>
      </c>
      <c r="D4100" s="49" t="s">
        <v>2352</v>
      </c>
      <c r="E4100" s="49" t="str">
        <f aca="false">"5060458890191"</f>
        <v>5060458890191</v>
      </c>
      <c r="F4100" s="49" t="s">
        <v>3656</v>
      </c>
      <c r="G4100" s="49" t="n">
        <v>0</v>
      </c>
      <c r="H4100" s="0" t="n">
        <v>0</v>
      </c>
      <c r="M4100" s="51" t="s">
        <v>7898</v>
      </c>
      <c r="N4100" s="49" t="n">
        <v>0</v>
      </c>
      <c r="O4100" s="53" t="n">
        <v>45784.6272800926</v>
      </c>
      <c r="P4100" s="53" t="n">
        <v>45825.8276736111</v>
      </c>
      <c r="Q4100" s="53" t="n">
        <v>45784.6272800926</v>
      </c>
      <c r="R4100" s="0" t="n">
        <v>0</v>
      </c>
      <c r="S4100" s="51" t="s">
        <v>2416</v>
      </c>
      <c r="T4100" s="51" t="s">
        <v>2416</v>
      </c>
      <c r="U4100" s="0" t="str">
        <f aca="false">"5060458890191"</f>
        <v>5060458890191</v>
      </c>
      <c r="V4100" s="51" t="s">
        <v>2142</v>
      </c>
      <c r="W4100" s="51" t="s">
        <v>5000</v>
      </c>
      <c r="X4100" s="51" t="s">
        <v>2359</v>
      </c>
    </row>
    <row r="4101" customFormat="false" ht="14.25" hidden="true" customHeight="false" outlineLevel="0" collapsed="false">
      <c r="A4101" s="49" t="s">
        <v>2349</v>
      </c>
      <c r="B4101" s="49" t="s">
        <v>2350</v>
      </c>
      <c r="C4101" s="49" t="s">
        <v>7928</v>
      </c>
      <c r="D4101" s="49" t="s">
        <v>2352</v>
      </c>
      <c r="E4101" s="49" t="str">
        <f aca="false">"5060458890191"</f>
        <v>5060458890191</v>
      </c>
      <c r="F4101" s="49" t="s">
        <v>3656</v>
      </c>
      <c r="G4101" s="49" t="n">
        <v>0</v>
      </c>
      <c r="H4101" s="0" t="n">
        <v>0</v>
      </c>
      <c r="M4101" s="51" t="s">
        <v>7898</v>
      </c>
      <c r="N4101" s="49" t="n">
        <v>0</v>
      </c>
      <c r="O4101" s="53" t="n">
        <v>45784.6274074074</v>
      </c>
      <c r="P4101" s="53" t="n">
        <v>45818.7027777778</v>
      </c>
      <c r="Q4101" s="53" t="n">
        <v>45784.6274074074</v>
      </c>
      <c r="R4101" s="0" t="n">
        <v>0</v>
      </c>
      <c r="S4101" s="51" t="s">
        <v>2416</v>
      </c>
      <c r="T4101" s="51" t="s">
        <v>2416</v>
      </c>
      <c r="U4101" s="0" t="str">
        <f aca="false">"5060458890191"</f>
        <v>5060458890191</v>
      </c>
      <c r="V4101" s="51" t="s">
        <v>2142</v>
      </c>
      <c r="W4101" s="51" t="s">
        <v>6340</v>
      </c>
      <c r="X4101" s="51" t="s">
        <v>2359</v>
      </c>
    </row>
    <row r="4102" customFormat="false" ht="14.25" hidden="true" customHeight="false" outlineLevel="0" collapsed="false">
      <c r="A4102" s="49" t="s">
        <v>2349</v>
      </c>
      <c r="B4102" s="49" t="s">
        <v>2350</v>
      </c>
      <c r="C4102" s="49" t="s">
        <v>7929</v>
      </c>
      <c r="D4102" s="49" t="s">
        <v>2352</v>
      </c>
      <c r="E4102" s="49" t="str">
        <f aca="false">"5060458890191"</f>
        <v>5060458890191</v>
      </c>
      <c r="F4102" s="49" t="s">
        <v>3656</v>
      </c>
      <c r="G4102" s="49" t="n">
        <v>0</v>
      </c>
      <c r="H4102" s="0" t="n">
        <v>0</v>
      </c>
      <c r="M4102" s="51" t="s">
        <v>7898</v>
      </c>
      <c r="N4102" s="49" t="n">
        <v>0</v>
      </c>
      <c r="O4102" s="53" t="n">
        <v>45784.6275462963</v>
      </c>
      <c r="P4102" s="53" t="n">
        <v>45809.4547916667</v>
      </c>
      <c r="Q4102" s="53" t="n">
        <v>45784.6275462963</v>
      </c>
      <c r="R4102" s="0" t="n">
        <v>0</v>
      </c>
      <c r="S4102" s="51" t="s">
        <v>2416</v>
      </c>
      <c r="T4102" s="51" t="s">
        <v>2416</v>
      </c>
      <c r="U4102" s="0" t="str">
        <f aca="false">"5060458890191"</f>
        <v>5060458890191</v>
      </c>
      <c r="V4102" s="51" t="s">
        <v>2142</v>
      </c>
      <c r="W4102" s="51" t="s">
        <v>7156</v>
      </c>
      <c r="X4102" s="51" t="s">
        <v>2359</v>
      </c>
    </row>
    <row r="4103" customFormat="false" ht="14.25" hidden="true" customHeight="false" outlineLevel="0" collapsed="false">
      <c r="A4103" s="49" t="s">
        <v>2349</v>
      </c>
      <c r="B4103" s="49" t="s">
        <v>2350</v>
      </c>
      <c r="C4103" s="49" t="s">
        <v>7930</v>
      </c>
      <c r="D4103" s="49" t="s">
        <v>2352</v>
      </c>
      <c r="E4103" s="49" t="str">
        <f aca="false">"5060458890191"</f>
        <v>5060458890191</v>
      </c>
      <c r="F4103" s="49" t="s">
        <v>3656</v>
      </c>
      <c r="G4103" s="49" t="n">
        <v>0</v>
      </c>
      <c r="H4103" s="0" t="n">
        <v>0</v>
      </c>
      <c r="M4103" s="51" t="s">
        <v>7898</v>
      </c>
      <c r="N4103" s="49" t="n">
        <v>0</v>
      </c>
      <c r="O4103" s="53" t="n">
        <v>45784.6276388889</v>
      </c>
      <c r="P4103" s="53" t="n">
        <v>45825.8267708333</v>
      </c>
      <c r="Q4103" s="53" t="n">
        <v>45784.6276388889</v>
      </c>
      <c r="R4103" s="0" t="n">
        <v>0</v>
      </c>
      <c r="S4103" s="51" t="s">
        <v>2416</v>
      </c>
      <c r="T4103" s="51" t="s">
        <v>2416</v>
      </c>
      <c r="U4103" s="0" t="str">
        <f aca="false">"5060458890191"</f>
        <v>5060458890191</v>
      </c>
      <c r="V4103" s="51" t="s">
        <v>2142</v>
      </c>
      <c r="W4103" s="51" t="s">
        <v>4962</v>
      </c>
      <c r="X4103" s="51" t="s">
        <v>2359</v>
      </c>
    </row>
    <row r="4104" customFormat="false" ht="14.25" hidden="true" customHeight="false" outlineLevel="0" collapsed="false">
      <c r="A4104" s="49" t="s">
        <v>2349</v>
      </c>
      <c r="B4104" s="49" t="s">
        <v>2350</v>
      </c>
      <c r="C4104" s="49" t="s">
        <v>7931</v>
      </c>
      <c r="D4104" s="49" t="s">
        <v>2352</v>
      </c>
      <c r="E4104" s="49" t="str">
        <f aca="false">"5060458890191"</f>
        <v>5060458890191</v>
      </c>
      <c r="F4104" s="49" t="s">
        <v>3656</v>
      </c>
      <c r="G4104" s="49" t="n">
        <v>0</v>
      </c>
      <c r="H4104" s="0" t="n">
        <v>0</v>
      </c>
      <c r="M4104" s="51" t="s">
        <v>7898</v>
      </c>
      <c r="N4104" s="49" t="n">
        <v>0</v>
      </c>
      <c r="O4104" s="53" t="n">
        <v>45784.6277662037</v>
      </c>
      <c r="P4104" s="53" t="n">
        <v>45819.4875694444</v>
      </c>
      <c r="Q4104" s="53" t="n">
        <v>45784.6277662037</v>
      </c>
      <c r="R4104" s="0" t="n">
        <v>0</v>
      </c>
      <c r="S4104" s="51" t="s">
        <v>2416</v>
      </c>
      <c r="T4104" s="51" t="s">
        <v>2416</v>
      </c>
      <c r="U4104" s="0" t="str">
        <f aca="false">"5060458890191"</f>
        <v>5060458890191</v>
      </c>
      <c r="V4104" s="51" t="s">
        <v>2142</v>
      </c>
      <c r="W4104" s="51" t="s">
        <v>7932</v>
      </c>
      <c r="X4104" s="51" t="s">
        <v>2359</v>
      </c>
    </row>
    <row r="4105" customFormat="false" ht="14.25" hidden="true" customHeight="false" outlineLevel="0" collapsed="false">
      <c r="A4105" s="49" t="s">
        <v>2349</v>
      </c>
      <c r="B4105" s="49" t="s">
        <v>2350</v>
      </c>
      <c r="C4105" s="49" t="s">
        <v>7933</v>
      </c>
      <c r="D4105" s="49" t="s">
        <v>2352</v>
      </c>
      <c r="E4105" s="49" t="str">
        <f aca="false">"5060458890191"</f>
        <v>5060458890191</v>
      </c>
      <c r="F4105" s="49" t="s">
        <v>3656</v>
      </c>
      <c r="G4105" s="49" t="n">
        <v>0</v>
      </c>
      <c r="H4105" s="0" t="n">
        <v>0</v>
      </c>
      <c r="M4105" s="51" t="s">
        <v>7898</v>
      </c>
      <c r="N4105" s="49" t="n">
        <v>0</v>
      </c>
      <c r="O4105" s="53" t="n">
        <v>45784.6279166667</v>
      </c>
      <c r="P4105" s="53" t="n">
        <v>45808.5825231482</v>
      </c>
      <c r="Q4105" s="53" t="n">
        <v>45784.6279166667</v>
      </c>
      <c r="R4105" s="0" t="n">
        <v>0</v>
      </c>
      <c r="S4105" s="51" t="s">
        <v>2416</v>
      </c>
      <c r="T4105" s="51" t="s">
        <v>2416</v>
      </c>
      <c r="U4105" s="0" t="str">
        <f aca="false">"5060458890191"</f>
        <v>5060458890191</v>
      </c>
      <c r="V4105" s="51" t="s">
        <v>2142</v>
      </c>
      <c r="W4105" s="51" t="s">
        <v>7934</v>
      </c>
      <c r="X4105" s="51" t="s">
        <v>2359</v>
      </c>
    </row>
    <row r="4106" customFormat="false" ht="14.25" hidden="true" customHeight="false" outlineLevel="0" collapsed="false">
      <c r="A4106" s="49" t="s">
        <v>2349</v>
      </c>
      <c r="B4106" s="49" t="s">
        <v>2350</v>
      </c>
      <c r="C4106" s="49" t="s">
        <v>7935</v>
      </c>
      <c r="D4106" s="49" t="s">
        <v>2352</v>
      </c>
      <c r="E4106" s="49" t="str">
        <f aca="false">"5060458890191"</f>
        <v>5060458890191</v>
      </c>
      <c r="F4106" s="49" t="s">
        <v>3656</v>
      </c>
      <c r="G4106" s="49" t="n">
        <v>0</v>
      </c>
      <c r="H4106" s="0" t="n">
        <v>0</v>
      </c>
      <c r="M4106" s="51" t="s">
        <v>7898</v>
      </c>
      <c r="N4106" s="49" t="n">
        <v>0</v>
      </c>
      <c r="O4106" s="53" t="n">
        <v>45784.6455671296</v>
      </c>
      <c r="P4106" s="53" t="n">
        <v>45819.8703935185</v>
      </c>
      <c r="Q4106" s="53" t="n">
        <v>45784.6455671296</v>
      </c>
      <c r="R4106" s="0" t="n">
        <v>0</v>
      </c>
      <c r="S4106" s="51" t="s">
        <v>2416</v>
      </c>
      <c r="T4106" s="51" t="s">
        <v>2416</v>
      </c>
      <c r="U4106" s="0" t="str">
        <f aca="false">"5060458890191"</f>
        <v>5060458890191</v>
      </c>
      <c r="V4106" s="51" t="s">
        <v>2142</v>
      </c>
      <c r="W4106" s="51" t="s">
        <v>7936</v>
      </c>
      <c r="X4106" s="51" t="s">
        <v>2359</v>
      </c>
    </row>
    <row r="4107" customFormat="false" ht="14.25" hidden="true" customHeight="false" outlineLevel="0" collapsed="false">
      <c r="A4107" s="49" t="s">
        <v>2349</v>
      </c>
      <c r="B4107" s="49" t="s">
        <v>2350</v>
      </c>
      <c r="C4107" s="49" t="s">
        <v>7937</v>
      </c>
      <c r="D4107" s="49" t="s">
        <v>2352</v>
      </c>
      <c r="E4107" s="49" t="str">
        <f aca="false">"5060458890191"</f>
        <v>5060458890191</v>
      </c>
      <c r="F4107" s="49" t="s">
        <v>3656</v>
      </c>
      <c r="G4107" s="49" t="n">
        <v>0</v>
      </c>
      <c r="H4107" s="0" t="n">
        <v>0</v>
      </c>
      <c r="M4107" s="51" t="s">
        <v>7898</v>
      </c>
      <c r="N4107" s="49" t="n">
        <v>0</v>
      </c>
      <c r="O4107" s="53" t="n">
        <v>45784.6452777778</v>
      </c>
      <c r="P4107" s="53" t="n">
        <v>45819.8679976852</v>
      </c>
      <c r="Q4107" s="53" t="n">
        <v>45784.6452777778</v>
      </c>
      <c r="R4107" s="0" t="n">
        <v>0</v>
      </c>
      <c r="S4107" s="51" t="s">
        <v>2416</v>
      </c>
      <c r="T4107" s="51" t="s">
        <v>2416</v>
      </c>
      <c r="U4107" s="0" t="str">
        <f aca="false">"5060458890191"</f>
        <v>5060458890191</v>
      </c>
      <c r="V4107" s="51" t="s">
        <v>2142</v>
      </c>
      <c r="W4107" s="51" t="s">
        <v>7938</v>
      </c>
      <c r="X4107" s="51" t="s">
        <v>2359</v>
      </c>
    </row>
    <row r="4108" customFormat="false" ht="14.25" hidden="true" customHeight="false" outlineLevel="0" collapsed="false">
      <c r="A4108" s="49" t="s">
        <v>2349</v>
      </c>
      <c r="B4108" s="49" t="s">
        <v>2350</v>
      </c>
      <c r="C4108" s="49" t="s">
        <v>7939</v>
      </c>
      <c r="D4108" s="49" t="s">
        <v>2352</v>
      </c>
      <c r="E4108" s="49" t="str">
        <f aca="false">"5060458890191"</f>
        <v>5060458890191</v>
      </c>
      <c r="F4108" s="49" t="s">
        <v>3656</v>
      </c>
      <c r="G4108" s="49" t="n">
        <v>0</v>
      </c>
      <c r="H4108" s="0" t="n">
        <v>0</v>
      </c>
      <c r="M4108" s="51" t="s">
        <v>7898</v>
      </c>
      <c r="N4108" s="49" t="n">
        <v>0</v>
      </c>
      <c r="O4108" s="53" t="n">
        <v>45784.644849537</v>
      </c>
      <c r="P4108" s="53" t="n">
        <v>45801.5802199074</v>
      </c>
      <c r="Q4108" s="53" t="n">
        <v>45784.644849537</v>
      </c>
      <c r="R4108" s="0" t="n">
        <v>0</v>
      </c>
      <c r="S4108" s="51" t="s">
        <v>2416</v>
      </c>
      <c r="T4108" s="51" t="s">
        <v>2416</v>
      </c>
      <c r="U4108" s="0" t="str">
        <f aca="false">"5060458890191"</f>
        <v>5060458890191</v>
      </c>
      <c r="V4108" s="51" t="s">
        <v>2142</v>
      </c>
      <c r="W4108" s="51" t="s">
        <v>6409</v>
      </c>
      <c r="X4108" s="51" t="s">
        <v>2359</v>
      </c>
    </row>
    <row r="4109" customFormat="false" ht="14.25" hidden="true" customHeight="false" outlineLevel="0" collapsed="false">
      <c r="A4109" s="49" t="s">
        <v>2349</v>
      </c>
      <c r="B4109" s="49" t="s">
        <v>2350</v>
      </c>
      <c r="C4109" s="49" t="s">
        <v>7940</v>
      </c>
      <c r="D4109" s="49" t="s">
        <v>2352</v>
      </c>
      <c r="E4109" s="49" t="str">
        <f aca="false">"5060458890191"</f>
        <v>5060458890191</v>
      </c>
      <c r="F4109" s="49" t="s">
        <v>3656</v>
      </c>
      <c r="G4109" s="49" t="n">
        <v>0</v>
      </c>
      <c r="H4109" s="0" t="n">
        <v>0</v>
      </c>
      <c r="M4109" s="51" t="s">
        <v>7898</v>
      </c>
      <c r="N4109" s="49" t="n">
        <v>0</v>
      </c>
      <c r="O4109" s="53" t="n">
        <v>45784.6450810185</v>
      </c>
      <c r="P4109" s="53" t="n">
        <v>45819.4831365741</v>
      </c>
      <c r="Q4109" s="53" t="n">
        <v>45784.6450810185</v>
      </c>
      <c r="R4109" s="0" t="n">
        <v>0</v>
      </c>
      <c r="S4109" s="51" t="s">
        <v>2416</v>
      </c>
      <c r="T4109" s="51" t="s">
        <v>2416</v>
      </c>
      <c r="U4109" s="0" t="str">
        <f aca="false">"5060458890191"</f>
        <v>5060458890191</v>
      </c>
      <c r="V4109" s="51" t="s">
        <v>2142</v>
      </c>
      <c r="W4109" s="51" t="s">
        <v>7545</v>
      </c>
      <c r="X4109" s="51" t="s">
        <v>2359</v>
      </c>
    </row>
    <row r="4110" customFormat="false" ht="14.25" hidden="true" customHeight="false" outlineLevel="0" collapsed="false">
      <c r="A4110" s="49" t="s">
        <v>2349</v>
      </c>
      <c r="B4110" s="49" t="s">
        <v>2350</v>
      </c>
      <c r="C4110" s="49" t="s">
        <v>7941</v>
      </c>
      <c r="D4110" s="49" t="s">
        <v>2352</v>
      </c>
      <c r="E4110" s="49" t="str">
        <f aca="false">"5060458890191"</f>
        <v>5060458890191</v>
      </c>
      <c r="F4110" s="49" t="s">
        <v>3656</v>
      </c>
      <c r="G4110" s="49" t="n">
        <v>0</v>
      </c>
      <c r="H4110" s="0" t="n">
        <v>0</v>
      </c>
      <c r="M4110" s="51" t="s">
        <v>7898</v>
      </c>
      <c r="N4110" s="49" t="n">
        <v>0</v>
      </c>
      <c r="O4110" s="53" t="n">
        <v>45784.629537037</v>
      </c>
      <c r="P4110" s="53" t="n">
        <v>45785.8724189815</v>
      </c>
      <c r="Q4110" s="53" t="n">
        <v>45784.629537037</v>
      </c>
      <c r="R4110" s="0" t="n">
        <v>0</v>
      </c>
      <c r="S4110" s="51" t="s">
        <v>2416</v>
      </c>
      <c r="T4110" s="51" t="s">
        <v>2416</v>
      </c>
      <c r="U4110" s="0" t="str">
        <f aca="false">"5060458890191"</f>
        <v>5060458890191</v>
      </c>
      <c r="V4110" s="51" t="s">
        <v>2142</v>
      </c>
      <c r="W4110" s="51" t="s">
        <v>6324</v>
      </c>
      <c r="X4110" s="51" t="s">
        <v>2359</v>
      </c>
    </row>
    <row r="4111" customFormat="false" ht="14.25" hidden="true" customHeight="false" outlineLevel="0" collapsed="false">
      <c r="A4111" s="49" t="s">
        <v>2349</v>
      </c>
      <c r="B4111" s="49" t="s">
        <v>2350</v>
      </c>
      <c r="C4111" s="49" t="s">
        <v>7942</v>
      </c>
      <c r="D4111" s="49" t="s">
        <v>2352</v>
      </c>
      <c r="E4111" s="49" t="str">
        <f aca="false">"5060458890191"</f>
        <v>5060458890191</v>
      </c>
      <c r="F4111" s="49" t="s">
        <v>3656</v>
      </c>
      <c r="G4111" s="49" t="n">
        <v>0</v>
      </c>
      <c r="H4111" s="0" t="n">
        <v>0</v>
      </c>
      <c r="M4111" s="51" t="s">
        <v>7898</v>
      </c>
      <c r="N4111" s="49" t="n">
        <v>0</v>
      </c>
      <c r="O4111" s="53" t="n">
        <v>45784.6296759259</v>
      </c>
      <c r="P4111" s="53" t="n">
        <v>45825.8262615741</v>
      </c>
      <c r="Q4111" s="53" t="n">
        <v>45784.6296759259</v>
      </c>
      <c r="R4111" s="0" t="n">
        <v>0</v>
      </c>
      <c r="S4111" s="51" t="s">
        <v>2416</v>
      </c>
      <c r="T4111" s="51" t="s">
        <v>2416</v>
      </c>
      <c r="U4111" s="0" t="str">
        <f aca="false">"5060458890191"</f>
        <v>5060458890191</v>
      </c>
      <c r="V4111" s="51" t="s">
        <v>2142</v>
      </c>
      <c r="W4111" s="51" t="s">
        <v>6964</v>
      </c>
      <c r="X4111" s="51" t="s">
        <v>2359</v>
      </c>
    </row>
    <row r="4112" customFormat="false" ht="14.25" hidden="true" customHeight="false" outlineLevel="0" collapsed="false">
      <c r="A4112" s="49" t="s">
        <v>2349</v>
      </c>
      <c r="B4112" s="49" t="s">
        <v>2350</v>
      </c>
      <c r="C4112" s="49" t="s">
        <v>7943</v>
      </c>
      <c r="D4112" s="49" t="s">
        <v>2352</v>
      </c>
      <c r="E4112" s="49" t="str">
        <f aca="false">"5060458890191"</f>
        <v>5060458890191</v>
      </c>
      <c r="F4112" s="49" t="s">
        <v>3656</v>
      </c>
      <c r="G4112" s="49" t="n">
        <v>0</v>
      </c>
      <c r="H4112" s="0" t="n">
        <v>0</v>
      </c>
      <c r="M4112" s="51" t="s">
        <v>7898</v>
      </c>
      <c r="N4112" s="49" t="n">
        <v>0</v>
      </c>
      <c r="O4112" s="53" t="n">
        <v>45784.629837963</v>
      </c>
      <c r="P4112" s="53" t="n">
        <v>45801.5795486111</v>
      </c>
      <c r="Q4112" s="53" t="n">
        <v>45784.629837963</v>
      </c>
      <c r="R4112" s="0" t="n">
        <v>0</v>
      </c>
      <c r="S4112" s="51" t="s">
        <v>2416</v>
      </c>
      <c r="T4112" s="51" t="s">
        <v>2416</v>
      </c>
      <c r="U4112" s="0" t="str">
        <f aca="false">"5060458890191"</f>
        <v>5060458890191</v>
      </c>
      <c r="V4112" s="51" t="s">
        <v>2142</v>
      </c>
      <c r="W4112" s="51" t="s">
        <v>6407</v>
      </c>
      <c r="X4112" s="51" t="s">
        <v>2359</v>
      </c>
    </row>
    <row r="4113" customFormat="false" ht="14.25" hidden="true" customHeight="false" outlineLevel="0" collapsed="false">
      <c r="A4113" s="49" t="s">
        <v>2349</v>
      </c>
      <c r="B4113" s="49" t="s">
        <v>2350</v>
      </c>
      <c r="C4113" s="49" t="s">
        <v>7944</v>
      </c>
      <c r="D4113" s="49" t="s">
        <v>2352</v>
      </c>
      <c r="E4113" s="49" t="str">
        <f aca="false">"5060458890191"</f>
        <v>5060458890191</v>
      </c>
      <c r="F4113" s="49" t="s">
        <v>3656</v>
      </c>
      <c r="G4113" s="49" t="n">
        <v>0</v>
      </c>
      <c r="H4113" s="0" t="n">
        <v>0</v>
      </c>
      <c r="M4113" s="51" t="s">
        <v>7898</v>
      </c>
      <c r="N4113" s="49" t="n">
        <v>0</v>
      </c>
      <c r="O4113" s="53" t="n">
        <v>45784.63</v>
      </c>
      <c r="P4113" s="53" t="n">
        <v>45787.4352777778</v>
      </c>
      <c r="Q4113" s="53" t="n">
        <v>45784.63</v>
      </c>
      <c r="R4113" s="0" t="n">
        <v>0</v>
      </c>
      <c r="S4113" s="51" t="s">
        <v>2416</v>
      </c>
      <c r="T4113" s="51" t="s">
        <v>2416</v>
      </c>
      <c r="U4113" s="0" t="str">
        <f aca="false">"5060458890191"</f>
        <v>5060458890191</v>
      </c>
      <c r="V4113" s="51" t="s">
        <v>2142</v>
      </c>
      <c r="W4113" s="51" t="s">
        <v>6943</v>
      </c>
      <c r="X4113" s="51" t="s">
        <v>2359</v>
      </c>
    </row>
    <row r="4114" customFormat="false" ht="14.25" hidden="true" customHeight="false" outlineLevel="0" collapsed="false">
      <c r="A4114" s="49" t="s">
        <v>2349</v>
      </c>
      <c r="B4114" s="49" t="s">
        <v>2350</v>
      </c>
      <c r="C4114" s="49" t="s">
        <v>7945</v>
      </c>
      <c r="D4114" s="49" t="s">
        <v>2352</v>
      </c>
      <c r="E4114" s="49" t="str">
        <f aca="false">"5060458890191"</f>
        <v>5060458890191</v>
      </c>
      <c r="F4114" s="49" t="s">
        <v>3656</v>
      </c>
      <c r="G4114" s="49" t="n">
        <v>0</v>
      </c>
      <c r="H4114" s="0" t="n">
        <v>0</v>
      </c>
      <c r="M4114" s="51" t="s">
        <v>7898</v>
      </c>
      <c r="N4114" s="49" t="n">
        <v>0</v>
      </c>
      <c r="O4114" s="53" t="n">
        <v>45784.630150463</v>
      </c>
      <c r="P4114" s="53" t="n">
        <v>45801.5528935185</v>
      </c>
      <c r="Q4114" s="53" t="n">
        <v>45784.630150463</v>
      </c>
      <c r="R4114" s="0" t="n">
        <v>0</v>
      </c>
      <c r="S4114" s="51" t="s">
        <v>2416</v>
      </c>
      <c r="T4114" s="51" t="s">
        <v>2416</v>
      </c>
      <c r="U4114" s="0" t="str">
        <f aca="false">"5060458890191"</f>
        <v>5060458890191</v>
      </c>
      <c r="V4114" s="51" t="s">
        <v>2142</v>
      </c>
      <c r="W4114" s="51" t="s">
        <v>7946</v>
      </c>
      <c r="X4114" s="51" t="s">
        <v>2359</v>
      </c>
    </row>
    <row r="4115" customFormat="false" ht="14.25" hidden="true" customHeight="false" outlineLevel="0" collapsed="false">
      <c r="A4115" s="49" t="s">
        <v>2349</v>
      </c>
      <c r="B4115" s="49" t="s">
        <v>2350</v>
      </c>
      <c r="C4115" s="49" t="s">
        <v>7947</v>
      </c>
      <c r="D4115" s="49" t="s">
        <v>2352</v>
      </c>
      <c r="E4115" s="49" t="str">
        <f aca="false">"5060458890191"</f>
        <v>5060458890191</v>
      </c>
      <c r="F4115" s="49" t="s">
        <v>3656</v>
      </c>
      <c r="G4115" s="49" t="n">
        <v>0</v>
      </c>
      <c r="H4115" s="0" t="n">
        <v>0</v>
      </c>
      <c r="M4115" s="51" t="s">
        <v>7898</v>
      </c>
      <c r="N4115" s="49" t="n">
        <v>0</v>
      </c>
      <c r="O4115" s="53" t="n">
        <v>45784.6311342593</v>
      </c>
      <c r="P4115" s="53" t="n">
        <v>45825.8244560185</v>
      </c>
      <c r="Q4115" s="53" t="n">
        <v>45784.6311342593</v>
      </c>
      <c r="R4115" s="0" t="n">
        <v>0</v>
      </c>
      <c r="S4115" s="51" t="s">
        <v>2416</v>
      </c>
      <c r="T4115" s="51" t="s">
        <v>2416</v>
      </c>
      <c r="U4115" s="0" t="str">
        <f aca="false">"5060458890191"</f>
        <v>5060458890191</v>
      </c>
      <c r="V4115" s="51" t="s">
        <v>2142</v>
      </c>
      <c r="W4115" s="51" t="s">
        <v>7948</v>
      </c>
      <c r="X4115" s="51" t="s">
        <v>2359</v>
      </c>
    </row>
    <row r="4116" customFormat="false" ht="14.25" hidden="true" customHeight="false" outlineLevel="0" collapsed="false">
      <c r="A4116" s="49" t="s">
        <v>2349</v>
      </c>
      <c r="B4116" s="49" t="s">
        <v>2350</v>
      </c>
      <c r="C4116" s="49" t="s">
        <v>7949</v>
      </c>
      <c r="D4116" s="49" t="s">
        <v>2352</v>
      </c>
      <c r="E4116" s="49" t="str">
        <f aca="false">"10859585004074"</f>
        <v>10859585004074</v>
      </c>
      <c r="F4116" s="49" t="s">
        <v>7737</v>
      </c>
      <c r="G4116" s="49" t="n">
        <v>0</v>
      </c>
      <c r="H4116" s="0" t="n">
        <v>0</v>
      </c>
      <c r="M4116" s="51" t="s">
        <v>7950</v>
      </c>
      <c r="N4116" s="49" t="n">
        <v>0</v>
      </c>
      <c r="O4116" s="53" t="n">
        <v>45791.5503472222</v>
      </c>
      <c r="P4116" s="53" t="n">
        <v>45796.7631365741</v>
      </c>
      <c r="Q4116" s="53" t="n">
        <v>45791.5503472222</v>
      </c>
      <c r="R4116" s="0" t="n">
        <v>0</v>
      </c>
      <c r="S4116" s="51" t="s">
        <v>2416</v>
      </c>
      <c r="T4116" s="51" t="s">
        <v>2416</v>
      </c>
      <c r="U4116" s="0" t="str">
        <f aca="false">"10859585004074"</f>
        <v>10859585004074</v>
      </c>
      <c r="V4116" s="51" t="s">
        <v>7596</v>
      </c>
      <c r="W4116" s="51" t="s">
        <v>5289</v>
      </c>
      <c r="X4116" s="51" t="s">
        <v>2359</v>
      </c>
    </row>
    <row r="4117" customFormat="false" ht="14.25" hidden="true" customHeight="false" outlineLevel="0" collapsed="false">
      <c r="A4117" s="49" t="s">
        <v>2349</v>
      </c>
      <c r="B4117" s="49" t="s">
        <v>2350</v>
      </c>
      <c r="C4117" s="49" t="s">
        <v>7951</v>
      </c>
      <c r="D4117" s="49" t="s">
        <v>2352</v>
      </c>
      <c r="E4117" s="49" t="str">
        <f aca="false">"10859585004074"</f>
        <v>10859585004074</v>
      </c>
      <c r="F4117" s="49" t="s">
        <v>7737</v>
      </c>
      <c r="G4117" s="49" t="n">
        <v>0</v>
      </c>
      <c r="H4117" s="0" t="n">
        <v>0</v>
      </c>
      <c r="M4117" s="51" t="s">
        <v>7950</v>
      </c>
      <c r="N4117" s="49" t="n">
        <v>0</v>
      </c>
      <c r="O4117" s="53" t="n">
        <v>45791.5506018519</v>
      </c>
      <c r="P4117" s="53" t="n">
        <v>45796.7608217593</v>
      </c>
      <c r="Q4117" s="53" t="n">
        <v>45791.5506018519</v>
      </c>
      <c r="R4117" s="0" t="n">
        <v>0</v>
      </c>
      <c r="S4117" s="51" t="s">
        <v>2416</v>
      </c>
      <c r="T4117" s="51" t="s">
        <v>2416</v>
      </c>
      <c r="U4117" s="0" t="str">
        <f aca="false">"10859585004074"</f>
        <v>10859585004074</v>
      </c>
      <c r="V4117" s="51" t="s">
        <v>7596</v>
      </c>
      <c r="W4117" s="51" t="s">
        <v>6181</v>
      </c>
      <c r="X4117" s="51" t="s">
        <v>2359</v>
      </c>
    </row>
    <row r="4118" customFormat="false" ht="14.25" hidden="true" customHeight="false" outlineLevel="0" collapsed="false">
      <c r="A4118" s="49" t="s">
        <v>2349</v>
      </c>
      <c r="B4118" s="49" t="s">
        <v>2350</v>
      </c>
      <c r="C4118" s="49" t="s">
        <v>7952</v>
      </c>
      <c r="D4118" s="49" t="s">
        <v>2352</v>
      </c>
      <c r="E4118" s="49" t="str">
        <f aca="false">"10859585004074"</f>
        <v>10859585004074</v>
      </c>
      <c r="F4118" s="49" t="s">
        <v>7737</v>
      </c>
      <c r="G4118" s="49" t="n">
        <v>0</v>
      </c>
      <c r="H4118" s="0" t="n">
        <v>0</v>
      </c>
      <c r="M4118" s="51" t="s">
        <v>7950</v>
      </c>
      <c r="N4118" s="49" t="n">
        <v>0</v>
      </c>
      <c r="O4118" s="53" t="n">
        <v>45791.5507523148</v>
      </c>
      <c r="P4118" s="53" t="n">
        <v>45796.7555787037</v>
      </c>
      <c r="Q4118" s="53" t="n">
        <v>45791.5507523148</v>
      </c>
      <c r="R4118" s="0" t="n">
        <v>0</v>
      </c>
      <c r="S4118" s="51" t="s">
        <v>2416</v>
      </c>
      <c r="T4118" s="51" t="s">
        <v>2416</v>
      </c>
      <c r="U4118" s="0" t="str">
        <f aca="false">"10859585004074"</f>
        <v>10859585004074</v>
      </c>
      <c r="V4118" s="51" t="s">
        <v>7596</v>
      </c>
      <c r="W4118" s="51" t="s">
        <v>6196</v>
      </c>
      <c r="X4118" s="51" t="s">
        <v>2359</v>
      </c>
    </row>
    <row r="4119" customFormat="false" ht="14.25" hidden="true" customHeight="false" outlineLevel="0" collapsed="false">
      <c r="A4119" s="49" t="s">
        <v>2349</v>
      </c>
      <c r="B4119" s="49" t="s">
        <v>2350</v>
      </c>
      <c r="C4119" s="49" t="s">
        <v>7953</v>
      </c>
      <c r="D4119" s="49" t="s">
        <v>2352</v>
      </c>
      <c r="E4119" s="49" t="str">
        <f aca="false">"10859585004074"</f>
        <v>10859585004074</v>
      </c>
      <c r="F4119" s="49" t="s">
        <v>7737</v>
      </c>
      <c r="G4119" s="49" t="n">
        <v>0</v>
      </c>
      <c r="H4119" s="0" t="n">
        <v>0</v>
      </c>
      <c r="M4119" s="51" t="s">
        <v>7950</v>
      </c>
      <c r="N4119" s="49" t="n">
        <v>0</v>
      </c>
      <c r="O4119" s="53" t="n">
        <v>45791.551087963</v>
      </c>
      <c r="P4119" s="53" t="n">
        <v>45796.8034953704</v>
      </c>
      <c r="Q4119" s="53" t="n">
        <v>45791.551087963</v>
      </c>
      <c r="R4119" s="0" t="n">
        <v>0</v>
      </c>
      <c r="S4119" s="51" t="s">
        <v>2416</v>
      </c>
      <c r="T4119" s="51" t="s">
        <v>2416</v>
      </c>
      <c r="U4119" s="0" t="str">
        <f aca="false">"10859585004074"</f>
        <v>10859585004074</v>
      </c>
      <c r="V4119" s="51" t="s">
        <v>7596</v>
      </c>
      <c r="W4119" s="51" t="s">
        <v>7954</v>
      </c>
      <c r="X4119" s="51" t="s">
        <v>2359</v>
      </c>
    </row>
    <row r="4120" customFormat="false" ht="14.25" hidden="true" customHeight="false" outlineLevel="0" collapsed="false">
      <c r="A4120" s="49" t="s">
        <v>2349</v>
      </c>
      <c r="B4120" s="49" t="s">
        <v>2350</v>
      </c>
      <c r="C4120" s="49" t="s">
        <v>7955</v>
      </c>
      <c r="D4120" s="49" t="s">
        <v>2352</v>
      </c>
      <c r="E4120" s="49" t="str">
        <f aca="false">"10859585004074"</f>
        <v>10859585004074</v>
      </c>
      <c r="F4120" s="49" t="s">
        <v>7737</v>
      </c>
      <c r="G4120" s="49" t="n">
        <v>0</v>
      </c>
      <c r="H4120" s="0" t="n">
        <v>0</v>
      </c>
      <c r="M4120" s="51" t="s">
        <v>7950</v>
      </c>
      <c r="N4120" s="49" t="n">
        <v>0</v>
      </c>
      <c r="O4120" s="53" t="n">
        <v>45791.5513310185</v>
      </c>
      <c r="P4120" s="53" t="n">
        <v>45796.7961342593</v>
      </c>
      <c r="Q4120" s="53" t="n">
        <v>45791.5513310185</v>
      </c>
      <c r="R4120" s="0" t="n">
        <v>0</v>
      </c>
      <c r="S4120" s="51" t="s">
        <v>2416</v>
      </c>
      <c r="T4120" s="51" t="s">
        <v>2416</v>
      </c>
      <c r="U4120" s="0" t="str">
        <f aca="false">"10859585004074"</f>
        <v>10859585004074</v>
      </c>
      <c r="V4120" s="51" t="s">
        <v>7596</v>
      </c>
      <c r="W4120" s="51" t="s">
        <v>7956</v>
      </c>
      <c r="X4120" s="51" t="s">
        <v>2359</v>
      </c>
    </row>
    <row r="4121" customFormat="false" ht="14.25" hidden="true" customHeight="false" outlineLevel="0" collapsed="false">
      <c r="A4121" s="49" t="s">
        <v>2349</v>
      </c>
      <c r="B4121" s="49" t="s">
        <v>2350</v>
      </c>
      <c r="C4121" s="49" t="s">
        <v>7957</v>
      </c>
      <c r="D4121" s="49" t="s">
        <v>2352</v>
      </c>
      <c r="E4121" s="49" t="str">
        <f aca="false">"10859585004074"</f>
        <v>10859585004074</v>
      </c>
      <c r="F4121" s="49" t="s">
        <v>7737</v>
      </c>
      <c r="G4121" s="49" t="n">
        <v>0</v>
      </c>
      <c r="H4121" s="0" t="n">
        <v>0</v>
      </c>
      <c r="M4121" s="51" t="s">
        <v>7950</v>
      </c>
      <c r="N4121" s="49" t="n">
        <v>0</v>
      </c>
      <c r="O4121" s="53" t="n">
        <v>45791.5514930556</v>
      </c>
      <c r="P4121" s="53" t="n">
        <v>45796.7860648148</v>
      </c>
      <c r="Q4121" s="53" t="n">
        <v>45791.5514930556</v>
      </c>
      <c r="R4121" s="0" t="n">
        <v>0</v>
      </c>
      <c r="S4121" s="51" t="s">
        <v>2416</v>
      </c>
      <c r="T4121" s="51" t="s">
        <v>2416</v>
      </c>
      <c r="U4121" s="0" t="str">
        <f aca="false">"10859585004074"</f>
        <v>10859585004074</v>
      </c>
      <c r="V4121" s="51" t="s">
        <v>7596</v>
      </c>
      <c r="W4121" s="51" t="s">
        <v>7958</v>
      </c>
      <c r="X4121" s="51" t="s">
        <v>2359</v>
      </c>
    </row>
    <row r="4122" customFormat="false" ht="14.25" hidden="true" customHeight="false" outlineLevel="0" collapsed="false">
      <c r="A4122" s="49" t="s">
        <v>2349</v>
      </c>
      <c r="B4122" s="49" t="s">
        <v>2350</v>
      </c>
      <c r="C4122" s="49" t="s">
        <v>7959</v>
      </c>
      <c r="D4122" s="49" t="s">
        <v>2352</v>
      </c>
      <c r="E4122" s="49" t="str">
        <f aca="false">"10859585004074"</f>
        <v>10859585004074</v>
      </c>
      <c r="F4122" s="49" t="s">
        <v>7737</v>
      </c>
      <c r="G4122" s="49" t="n">
        <v>0</v>
      </c>
      <c r="H4122" s="0" t="n">
        <v>0</v>
      </c>
      <c r="M4122" s="51" t="s">
        <v>7950</v>
      </c>
      <c r="N4122" s="49" t="n">
        <v>0</v>
      </c>
      <c r="O4122" s="53" t="n">
        <v>45791.5516898148</v>
      </c>
      <c r="P4122" s="53" t="n">
        <v>45796.7799652778</v>
      </c>
      <c r="Q4122" s="53" t="n">
        <v>45791.5516898148</v>
      </c>
      <c r="R4122" s="0" t="n">
        <v>0</v>
      </c>
      <c r="S4122" s="51" t="s">
        <v>2416</v>
      </c>
      <c r="T4122" s="51" t="s">
        <v>2416</v>
      </c>
      <c r="U4122" s="0" t="str">
        <f aca="false">"10859585004074"</f>
        <v>10859585004074</v>
      </c>
      <c r="V4122" s="51" t="s">
        <v>7596</v>
      </c>
      <c r="W4122" s="51" t="s">
        <v>7960</v>
      </c>
      <c r="X4122" s="51" t="s">
        <v>2359</v>
      </c>
    </row>
    <row r="4123" customFormat="false" ht="14.25" hidden="true" customHeight="false" outlineLevel="0" collapsed="false">
      <c r="A4123" s="49" t="s">
        <v>2349</v>
      </c>
      <c r="B4123" s="49" t="s">
        <v>2350</v>
      </c>
      <c r="C4123" s="49" t="s">
        <v>7961</v>
      </c>
      <c r="D4123" s="49" t="s">
        <v>2352</v>
      </c>
      <c r="E4123" s="49" t="str">
        <f aca="false">"10859585004074"</f>
        <v>10859585004074</v>
      </c>
      <c r="F4123" s="49" t="s">
        <v>7737</v>
      </c>
      <c r="G4123" s="49" t="n">
        <v>0</v>
      </c>
      <c r="H4123" s="0" t="n">
        <v>0</v>
      </c>
      <c r="M4123" s="51" t="s">
        <v>7950</v>
      </c>
      <c r="N4123" s="49" t="n">
        <v>0</v>
      </c>
      <c r="O4123" s="53" t="n">
        <v>45791.5518518519</v>
      </c>
      <c r="P4123" s="53" t="n">
        <v>45796.7785185185</v>
      </c>
      <c r="Q4123" s="53" t="n">
        <v>45791.5518518519</v>
      </c>
      <c r="R4123" s="0" t="n">
        <v>0</v>
      </c>
      <c r="S4123" s="51" t="s">
        <v>2416</v>
      </c>
      <c r="T4123" s="51" t="s">
        <v>2416</v>
      </c>
      <c r="U4123" s="0" t="str">
        <f aca="false">"10859585004074"</f>
        <v>10859585004074</v>
      </c>
      <c r="V4123" s="51" t="s">
        <v>7596</v>
      </c>
      <c r="W4123" s="51" t="s">
        <v>7962</v>
      </c>
      <c r="X4123" s="51" t="s">
        <v>2359</v>
      </c>
    </row>
    <row r="4124" customFormat="false" ht="14.25" hidden="true" customHeight="false" outlineLevel="0" collapsed="false">
      <c r="A4124" s="49" t="s">
        <v>2349</v>
      </c>
      <c r="B4124" s="49" t="s">
        <v>2350</v>
      </c>
      <c r="C4124" s="49" t="s">
        <v>7963</v>
      </c>
      <c r="D4124" s="49" t="s">
        <v>2352</v>
      </c>
      <c r="E4124" s="49" t="str">
        <f aca="false">"10859585004074"</f>
        <v>10859585004074</v>
      </c>
      <c r="F4124" s="49" t="s">
        <v>7737</v>
      </c>
      <c r="G4124" s="49" t="n">
        <v>0</v>
      </c>
      <c r="H4124" s="0" t="n">
        <v>0</v>
      </c>
      <c r="M4124" s="51" t="s">
        <v>7950</v>
      </c>
      <c r="N4124" s="49" t="n">
        <v>0</v>
      </c>
      <c r="O4124" s="53" t="n">
        <v>45791.552025463</v>
      </c>
      <c r="P4124" s="53" t="n">
        <v>45796.7745486111</v>
      </c>
      <c r="Q4124" s="53" t="n">
        <v>45791.552025463</v>
      </c>
      <c r="R4124" s="0" t="n">
        <v>0</v>
      </c>
      <c r="S4124" s="51" t="s">
        <v>2416</v>
      </c>
      <c r="T4124" s="51" t="s">
        <v>2416</v>
      </c>
      <c r="U4124" s="0" t="str">
        <f aca="false">"10859585004074"</f>
        <v>10859585004074</v>
      </c>
      <c r="V4124" s="51" t="s">
        <v>7596</v>
      </c>
      <c r="W4124" s="51" t="s">
        <v>7964</v>
      </c>
      <c r="X4124" s="51" t="s">
        <v>2359</v>
      </c>
    </row>
    <row r="4125" customFormat="false" ht="14.25" hidden="true" customHeight="false" outlineLevel="0" collapsed="false">
      <c r="A4125" s="49" t="s">
        <v>2349</v>
      </c>
      <c r="B4125" s="49" t="s">
        <v>2350</v>
      </c>
      <c r="C4125" s="49" t="s">
        <v>7965</v>
      </c>
      <c r="D4125" s="49" t="s">
        <v>2352</v>
      </c>
      <c r="E4125" s="49" t="str">
        <f aca="false">"10859585004074"</f>
        <v>10859585004074</v>
      </c>
      <c r="F4125" s="49" t="s">
        <v>7737</v>
      </c>
      <c r="G4125" s="49" t="n">
        <v>0</v>
      </c>
      <c r="H4125" s="0" t="n">
        <v>0</v>
      </c>
      <c r="M4125" s="51" t="s">
        <v>7950</v>
      </c>
      <c r="N4125" s="49" t="n">
        <v>0</v>
      </c>
      <c r="O4125" s="53" t="n">
        <v>45791.5524884259</v>
      </c>
      <c r="P4125" s="53" t="n">
        <v>45796.7643402778</v>
      </c>
      <c r="Q4125" s="53" t="n">
        <v>45791.5524884259</v>
      </c>
      <c r="R4125" s="0" t="n">
        <v>0</v>
      </c>
      <c r="S4125" s="51" t="s">
        <v>2416</v>
      </c>
      <c r="T4125" s="51" t="s">
        <v>2416</v>
      </c>
      <c r="U4125" s="0" t="str">
        <f aca="false">"10859585004074"</f>
        <v>10859585004074</v>
      </c>
      <c r="V4125" s="51" t="s">
        <v>7596</v>
      </c>
      <c r="W4125" s="51" t="s">
        <v>7966</v>
      </c>
      <c r="X4125" s="51" t="s">
        <v>2359</v>
      </c>
    </row>
    <row r="4126" customFormat="false" ht="14.25" hidden="true" customHeight="false" outlineLevel="0" collapsed="false">
      <c r="A4126" s="49" t="s">
        <v>2349</v>
      </c>
      <c r="B4126" s="49" t="s">
        <v>2350</v>
      </c>
      <c r="C4126" s="49" t="s">
        <v>7967</v>
      </c>
      <c r="D4126" s="49" t="s">
        <v>2352</v>
      </c>
      <c r="E4126" s="49" t="str">
        <f aca="false">"10859585004074"</f>
        <v>10859585004074</v>
      </c>
      <c r="F4126" s="49" t="s">
        <v>7737</v>
      </c>
      <c r="G4126" s="49" t="n">
        <v>0</v>
      </c>
      <c r="H4126" s="0" t="n">
        <v>0</v>
      </c>
      <c r="M4126" s="51" t="s">
        <v>7950</v>
      </c>
      <c r="N4126" s="49" t="n">
        <v>0</v>
      </c>
      <c r="O4126" s="53" t="n">
        <v>45791.5526273148</v>
      </c>
      <c r="P4126" s="53" t="n">
        <v>45796.7695833333</v>
      </c>
      <c r="Q4126" s="53" t="n">
        <v>45791.5526273148</v>
      </c>
      <c r="R4126" s="0" t="n">
        <v>0</v>
      </c>
      <c r="S4126" s="51" t="s">
        <v>2416</v>
      </c>
      <c r="T4126" s="51" t="s">
        <v>2416</v>
      </c>
      <c r="U4126" s="0" t="str">
        <f aca="false">"10859585004074"</f>
        <v>10859585004074</v>
      </c>
      <c r="V4126" s="51" t="s">
        <v>7596</v>
      </c>
      <c r="W4126" s="51" t="s">
        <v>7968</v>
      </c>
      <c r="X4126" s="51" t="s">
        <v>2359</v>
      </c>
    </row>
    <row r="4127" customFormat="false" ht="14.25" hidden="true" customHeight="false" outlineLevel="0" collapsed="false">
      <c r="A4127" s="49" t="s">
        <v>2349</v>
      </c>
      <c r="B4127" s="49" t="s">
        <v>2350</v>
      </c>
      <c r="C4127" s="49" t="s">
        <v>7969</v>
      </c>
      <c r="D4127" s="49" t="s">
        <v>2352</v>
      </c>
      <c r="E4127" s="49" t="str">
        <f aca="false">"10859585004074"</f>
        <v>10859585004074</v>
      </c>
      <c r="F4127" s="49" t="s">
        <v>7737</v>
      </c>
      <c r="G4127" s="49" t="n">
        <v>0</v>
      </c>
      <c r="H4127" s="0" t="n">
        <v>0</v>
      </c>
      <c r="M4127" s="51" t="s">
        <v>7950</v>
      </c>
      <c r="N4127" s="49" t="n">
        <v>0</v>
      </c>
      <c r="O4127" s="53" t="n">
        <v>45791.5522337963</v>
      </c>
      <c r="P4127" s="53" t="n">
        <v>45796.7734143519</v>
      </c>
      <c r="Q4127" s="53" t="n">
        <v>45791.5522337963</v>
      </c>
      <c r="R4127" s="0" t="n">
        <v>0</v>
      </c>
      <c r="S4127" s="51" t="s">
        <v>2416</v>
      </c>
      <c r="T4127" s="51" t="s">
        <v>2416</v>
      </c>
      <c r="U4127" s="0" t="str">
        <f aca="false">"10859585004074"</f>
        <v>10859585004074</v>
      </c>
      <c r="V4127" s="51" t="s">
        <v>7596</v>
      </c>
      <c r="W4127" s="51" t="s">
        <v>7970</v>
      </c>
      <c r="X4127" s="51" t="s">
        <v>2359</v>
      </c>
    </row>
    <row r="4128" customFormat="false" ht="14.25" hidden="true" customHeight="false" outlineLevel="0" collapsed="false">
      <c r="A4128" s="49" t="s">
        <v>2349</v>
      </c>
      <c r="B4128" s="49" t="s">
        <v>2350</v>
      </c>
      <c r="C4128" s="49" t="s">
        <v>7971</v>
      </c>
      <c r="D4128" s="49" t="s">
        <v>2352</v>
      </c>
      <c r="E4128" s="49" t="str">
        <f aca="false">"10859585004074"</f>
        <v>10859585004074</v>
      </c>
      <c r="F4128" s="49" t="s">
        <v>7737</v>
      </c>
      <c r="G4128" s="49" t="n">
        <v>0</v>
      </c>
      <c r="H4128" s="0" t="n">
        <v>0</v>
      </c>
      <c r="M4128" s="51" t="s">
        <v>7950</v>
      </c>
      <c r="N4128" s="49" t="n">
        <v>0</v>
      </c>
      <c r="O4128" s="53" t="n">
        <v>45791.5636921296</v>
      </c>
      <c r="P4128" s="53" t="n">
        <v>45808.504212963</v>
      </c>
      <c r="Q4128" s="53" t="n">
        <v>45791.5636921296</v>
      </c>
      <c r="R4128" s="0" t="n">
        <v>0</v>
      </c>
      <c r="S4128" s="51" t="s">
        <v>2416</v>
      </c>
      <c r="T4128" s="51" t="s">
        <v>2416</v>
      </c>
      <c r="U4128" s="0" t="str">
        <f aca="false">"10859585004074"</f>
        <v>10859585004074</v>
      </c>
      <c r="V4128" s="51" t="s">
        <v>7596</v>
      </c>
      <c r="W4128" s="51" t="s">
        <v>6002</v>
      </c>
      <c r="X4128" s="51" t="s">
        <v>2359</v>
      </c>
    </row>
    <row r="4129" customFormat="false" ht="14.25" hidden="true" customHeight="false" outlineLevel="0" collapsed="false">
      <c r="A4129" s="49" t="s">
        <v>2349</v>
      </c>
      <c r="B4129" s="49" t="s">
        <v>2350</v>
      </c>
      <c r="C4129" s="49" t="s">
        <v>7972</v>
      </c>
      <c r="D4129" s="49" t="s">
        <v>2352</v>
      </c>
      <c r="E4129" s="49" t="str">
        <f aca="false">"10859585004074"</f>
        <v>10859585004074</v>
      </c>
      <c r="F4129" s="49" t="s">
        <v>7737</v>
      </c>
      <c r="G4129" s="49" t="n">
        <v>0</v>
      </c>
      <c r="H4129" s="0" t="n">
        <v>0</v>
      </c>
      <c r="M4129" s="51" t="s">
        <v>7950</v>
      </c>
      <c r="N4129" s="49" t="n">
        <v>0</v>
      </c>
      <c r="O4129" s="53" t="n">
        <v>45791.5641550926</v>
      </c>
      <c r="P4129" s="53" t="n">
        <v>45796.7679050926</v>
      </c>
      <c r="Q4129" s="53" t="n">
        <v>45791.5641550926</v>
      </c>
      <c r="R4129" s="0" t="n">
        <v>0</v>
      </c>
      <c r="S4129" s="51" t="s">
        <v>2416</v>
      </c>
      <c r="T4129" s="51" t="s">
        <v>2416</v>
      </c>
      <c r="U4129" s="0" t="str">
        <f aca="false">"10859585004074"</f>
        <v>10859585004074</v>
      </c>
      <c r="V4129" s="51" t="s">
        <v>7596</v>
      </c>
      <c r="W4129" s="51" t="s">
        <v>7973</v>
      </c>
      <c r="X4129" s="51" t="s">
        <v>2359</v>
      </c>
    </row>
    <row r="4130" customFormat="false" ht="14.25" hidden="true" customHeight="false" outlineLevel="0" collapsed="false">
      <c r="A4130" s="49" t="s">
        <v>2349</v>
      </c>
      <c r="B4130" s="49" t="s">
        <v>2350</v>
      </c>
      <c r="C4130" s="49" t="s">
        <v>7974</v>
      </c>
      <c r="D4130" s="49" t="s">
        <v>2352</v>
      </c>
      <c r="E4130" s="49" t="str">
        <f aca="false">"10859585004074"</f>
        <v>10859585004074</v>
      </c>
      <c r="F4130" s="49" t="s">
        <v>7737</v>
      </c>
      <c r="G4130" s="49" t="n">
        <v>0</v>
      </c>
      <c r="H4130" s="0" t="n">
        <v>0</v>
      </c>
      <c r="M4130" s="51" t="s">
        <v>7950</v>
      </c>
      <c r="N4130" s="49" t="n">
        <v>0</v>
      </c>
      <c r="O4130" s="53" t="n">
        <v>45791.5634722222</v>
      </c>
      <c r="P4130" s="53" t="n">
        <v>45796.7973842593</v>
      </c>
      <c r="Q4130" s="53" t="n">
        <v>45791.5634722222</v>
      </c>
      <c r="R4130" s="0" t="n">
        <v>0</v>
      </c>
      <c r="S4130" s="51" t="s">
        <v>2416</v>
      </c>
      <c r="T4130" s="51" t="s">
        <v>2416</v>
      </c>
      <c r="U4130" s="0" t="str">
        <f aca="false">"10859585004074"</f>
        <v>10859585004074</v>
      </c>
      <c r="V4130" s="51" t="s">
        <v>7596</v>
      </c>
      <c r="W4130" s="51" t="s">
        <v>7975</v>
      </c>
      <c r="X4130" s="51" t="s">
        <v>2359</v>
      </c>
    </row>
    <row r="4131" customFormat="false" ht="14.25" hidden="true" customHeight="false" outlineLevel="0" collapsed="false">
      <c r="A4131" s="49" t="s">
        <v>2349</v>
      </c>
      <c r="B4131" s="49" t="s">
        <v>2350</v>
      </c>
      <c r="C4131" s="49" t="s">
        <v>7976</v>
      </c>
      <c r="D4131" s="49" t="s">
        <v>2352</v>
      </c>
      <c r="E4131" s="49" t="str">
        <f aca="false">"10859585004074"</f>
        <v>10859585004074</v>
      </c>
      <c r="F4131" s="49" t="s">
        <v>7737</v>
      </c>
      <c r="G4131" s="49" t="n">
        <v>0</v>
      </c>
      <c r="H4131" s="0" t="n">
        <v>0</v>
      </c>
      <c r="M4131" s="51" t="s">
        <v>7950</v>
      </c>
      <c r="N4131" s="49" t="n">
        <v>0</v>
      </c>
      <c r="O4131" s="53" t="n">
        <v>45791.5491898148</v>
      </c>
      <c r="P4131" s="53" t="n">
        <v>45796.805</v>
      </c>
      <c r="Q4131" s="53" t="n">
        <v>45791.5491898148</v>
      </c>
      <c r="R4131" s="0" t="n">
        <v>0</v>
      </c>
      <c r="S4131" s="51" t="s">
        <v>2416</v>
      </c>
      <c r="T4131" s="51" t="s">
        <v>2416</v>
      </c>
      <c r="U4131" s="0" t="str">
        <f aca="false">"10859585004074"</f>
        <v>10859585004074</v>
      </c>
      <c r="V4131" s="51" t="s">
        <v>7596</v>
      </c>
      <c r="W4131" s="51" t="s">
        <v>7977</v>
      </c>
      <c r="X4131" s="51" t="s">
        <v>2359</v>
      </c>
    </row>
    <row r="4132" customFormat="false" ht="14.25" hidden="true" customHeight="false" outlineLevel="0" collapsed="false">
      <c r="A4132" s="49" t="s">
        <v>2349</v>
      </c>
      <c r="B4132" s="49" t="s">
        <v>2350</v>
      </c>
      <c r="C4132" s="49" t="s">
        <v>7978</v>
      </c>
      <c r="D4132" s="49" t="s">
        <v>2352</v>
      </c>
      <c r="E4132" s="49" t="str">
        <f aca="false">"10859585004074"</f>
        <v>10859585004074</v>
      </c>
      <c r="F4132" s="49" t="s">
        <v>7737</v>
      </c>
      <c r="G4132" s="49" t="n">
        <v>0</v>
      </c>
      <c r="H4132" s="0" t="n">
        <v>0</v>
      </c>
      <c r="M4132" s="51" t="s">
        <v>7950</v>
      </c>
      <c r="N4132" s="49" t="n">
        <v>0</v>
      </c>
      <c r="O4132" s="53" t="n">
        <v>45791.5493171296</v>
      </c>
      <c r="P4132" s="53" t="n">
        <v>45796.8061689815</v>
      </c>
      <c r="Q4132" s="53" t="n">
        <v>45791.5493171296</v>
      </c>
      <c r="R4132" s="0" t="n">
        <v>0</v>
      </c>
      <c r="S4132" s="51" t="s">
        <v>2416</v>
      </c>
      <c r="T4132" s="51" t="s">
        <v>2416</v>
      </c>
      <c r="U4132" s="0" t="str">
        <f aca="false">"10859585004074"</f>
        <v>10859585004074</v>
      </c>
      <c r="V4132" s="51" t="s">
        <v>7596</v>
      </c>
      <c r="W4132" s="51" t="s">
        <v>7979</v>
      </c>
      <c r="X4132" s="51" t="s">
        <v>2359</v>
      </c>
    </row>
    <row r="4133" customFormat="false" ht="14.25" hidden="true" customHeight="false" outlineLevel="0" collapsed="false">
      <c r="A4133" s="49" t="s">
        <v>2349</v>
      </c>
      <c r="B4133" s="49" t="s">
        <v>2350</v>
      </c>
      <c r="C4133" s="49" t="s">
        <v>7980</v>
      </c>
      <c r="D4133" s="49" t="s">
        <v>2352</v>
      </c>
      <c r="E4133" s="49" t="str">
        <f aca="false">"10859585004074"</f>
        <v>10859585004074</v>
      </c>
      <c r="F4133" s="49" t="s">
        <v>7737</v>
      </c>
      <c r="G4133" s="49" t="n">
        <v>0</v>
      </c>
      <c r="H4133" s="0" t="n">
        <v>0</v>
      </c>
      <c r="M4133" s="51" t="s">
        <v>7950</v>
      </c>
      <c r="N4133" s="49" t="n">
        <v>0</v>
      </c>
      <c r="O4133" s="53" t="n">
        <v>45791.5494328704</v>
      </c>
      <c r="P4133" s="53" t="n">
        <v>45796.7985763889</v>
      </c>
      <c r="Q4133" s="53" t="n">
        <v>45791.5494328704</v>
      </c>
      <c r="R4133" s="0" t="n">
        <v>0</v>
      </c>
      <c r="S4133" s="51" t="s">
        <v>2416</v>
      </c>
      <c r="T4133" s="51" t="s">
        <v>2416</v>
      </c>
      <c r="U4133" s="0" t="str">
        <f aca="false">"10859585004074"</f>
        <v>10859585004074</v>
      </c>
      <c r="V4133" s="51" t="s">
        <v>7596</v>
      </c>
      <c r="W4133" s="51" t="s">
        <v>7981</v>
      </c>
      <c r="X4133" s="51" t="s">
        <v>2359</v>
      </c>
    </row>
    <row r="4134" customFormat="false" ht="14.25" hidden="true" customHeight="false" outlineLevel="0" collapsed="false">
      <c r="A4134" s="49" t="s">
        <v>2349</v>
      </c>
      <c r="B4134" s="49" t="s">
        <v>2350</v>
      </c>
      <c r="C4134" s="49" t="s">
        <v>7982</v>
      </c>
      <c r="D4134" s="49" t="s">
        <v>2352</v>
      </c>
      <c r="E4134" s="49" t="str">
        <f aca="false">"10859585004074"</f>
        <v>10859585004074</v>
      </c>
      <c r="F4134" s="49" t="s">
        <v>7737</v>
      </c>
      <c r="G4134" s="49" t="n">
        <v>0</v>
      </c>
      <c r="H4134" s="0" t="n">
        <v>0</v>
      </c>
      <c r="M4134" s="51" t="s">
        <v>7950</v>
      </c>
      <c r="N4134" s="49" t="n">
        <v>0</v>
      </c>
      <c r="O4134" s="53" t="n">
        <v>45791.5497106482</v>
      </c>
      <c r="P4134" s="53" t="n">
        <v>45796.7935300926</v>
      </c>
      <c r="Q4134" s="53" t="n">
        <v>45791.5497106482</v>
      </c>
      <c r="R4134" s="0" t="n">
        <v>0</v>
      </c>
      <c r="S4134" s="51" t="s">
        <v>2416</v>
      </c>
      <c r="T4134" s="51" t="s">
        <v>2416</v>
      </c>
      <c r="U4134" s="0" t="str">
        <f aca="false">"10859585004074"</f>
        <v>10859585004074</v>
      </c>
      <c r="V4134" s="51" t="s">
        <v>7596</v>
      </c>
      <c r="W4134" s="51" t="s">
        <v>4096</v>
      </c>
      <c r="X4134" s="51" t="s">
        <v>2359</v>
      </c>
    </row>
    <row r="4135" customFormat="false" ht="14.25" hidden="true" customHeight="false" outlineLevel="0" collapsed="false">
      <c r="A4135" s="49" t="s">
        <v>2349</v>
      </c>
      <c r="B4135" s="49" t="s">
        <v>2350</v>
      </c>
      <c r="C4135" s="49" t="s">
        <v>7983</v>
      </c>
      <c r="D4135" s="49" t="s">
        <v>2352</v>
      </c>
      <c r="E4135" s="49" t="str">
        <f aca="false">"10859585004074"</f>
        <v>10859585004074</v>
      </c>
      <c r="F4135" s="49" t="s">
        <v>7737</v>
      </c>
      <c r="G4135" s="49" t="n">
        <v>0</v>
      </c>
      <c r="H4135" s="0" t="n">
        <v>0</v>
      </c>
      <c r="M4135" s="51" t="s">
        <v>7950</v>
      </c>
      <c r="N4135" s="49" t="n">
        <v>0</v>
      </c>
      <c r="O4135" s="53" t="n">
        <v>45791.5499537037</v>
      </c>
      <c r="P4135" s="53" t="n">
        <v>45796.7811111111</v>
      </c>
      <c r="Q4135" s="53" t="n">
        <v>45791.5499537037</v>
      </c>
      <c r="R4135" s="0" t="n">
        <v>0</v>
      </c>
      <c r="S4135" s="51" t="s">
        <v>2416</v>
      </c>
      <c r="T4135" s="51" t="s">
        <v>2416</v>
      </c>
      <c r="U4135" s="0" t="str">
        <f aca="false">"10859585004074"</f>
        <v>10859585004074</v>
      </c>
      <c r="V4135" s="51" t="s">
        <v>7596</v>
      </c>
      <c r="W4135" s="51" t="s">
        <v>4100</v>
      </c>
      <c r="X4135" s="51" t="s">
        <v>2359</v>
      </c>
    </row>
    <row r="4136" customFormat="false" ht="14.25" hidden="true" customHeight="false" outlineLevel="0" collapsed="false">
      <c r="A4136" s="49" t="s">
        <v>2349</v>
      </c>
      <c r="B4136" s="49" t="s">
        <v>2350</v>
      </c>
      <c r="C4136" s="49" t="s">
        <v>7984</v>
      </c>
      <c r="D4136" s="49" t="s">
        <v>2352</v>
      </c>
      <c r="E4136" s="49" t="str">
        <f aca="false">"71505021166"</f>
        <v>71505021166</v>
      </c>
      <c r="F4136" s="49" t="s">
        <v>7985</v>
      </c>
      <c r="G4136" s="49" t="n">
        <v>0</v>
      </c>
      <c r="H4136" s="0" t="n">
        <v>0</v>
      </c>
      <c r="M4136" s="51" t="s">
        <v>7986</v>
      </c>
      <c r="N4136" s="49" t="n">
        <v>0</v>
      </c>
      <c r="O4136" s="53" t="n">
        <v>45790.6320601852</v>
      </c>
      <c r="P4136" s="53" t="n">
        <v>45797.6290856482</v>
      </c>
      <c r="Q4136" s="53" t="n">
        <v>45790.6320601852</v>
      </c>
      <c r="R4136" s="0" t="n">
        <v>0</v>
      </c>
      <c r="S4136" s="51" t="s">
        <v>2356</v>
      </c>
      <c r="T4136" s="51" t="s">
        <v>2356</v>
      </c>
      <c r="U4136" s="0" t="str">
        <f aca="false">"71505021166"</f>
        <v>71505021166</v>
      </c>
      <c r="V4136" s="51" t="s">
        <v>5386</v>
      </c>
      <c r="W4136" s="51" t="s">
        <v>7987</v>
      </c>
      <c r="X4136" s="51" t="s">
        <v>2359</v>
      </c>
    </row>
    <row r="4137" customFormat="false" ht="14.25" hidden="true" customHeight="false" outlineLevel="0" collapsed="false">
      <c r="A4137" s="49" t="s">
        <v>2349</v>
      </c>
      <c r="B4137" s="49" t="s">
        <v>2350</v>
      </c>
      <c r="C4137" s="49" t="s">
        <v>7988</v>
      </c>
      <c r="D4137" s="49" t="s">
        <v>2352</v>
      </c>
      <c r="E4137" s="49" t="str">
        <f aca="false">"71505021166"</f>
        <v>71505021166</v>
      </c>
      <c r="F4137" s="49" t="s">
        <v>7985</v>
      </c>
      <c r="G4137" s="49" t="n">
        <v>0</v>
      </c>
      <c r="H4137" s="0" t="n">
        <v>0</v>
      </c>
      <c r="M4137" s="51" t="s">
        <v>7986</v>
      </c>
      <c r="N4137" s="49" t="n">
        <v>0</v>
      </c>
      <c r="O4137" s="53" t="n">
        <v>45790.6323148148</v>
      </c>
      <c r="P4137" s="53" t="n">
        <v>45797.6287615741</v>
      </c>
      <c r="Q4137" s="53" t="n">
        <v>45790.6323148148</v>
      </c>
      <c r="R4137" s="0" t="n">
        <v>0</v>
      </c>
      <c r="S4137" s="51" t="s">
        <v>2356</v>
      </c>
      <c r="T4137" s="51" t="s">
        <v>2356</v>
      </c>
      <c r="U4137" s="0" t="str">
        <f aca="false">"71505021166"</f>
        <v>71505021166</v>
      </c>
      <c r="V4137" s="51" t="s">
        <v>5386</v>
      </c>
      <c r="W4137" s="51" t="s">
        <v>4583</v>
      </c>
      <c r="X4137" s="51" t="s">
        <v>2359</v>
      </c>
    </row>
    <row r="4138" customFormat="false" ht="14.25" hidden="true" customHeight="false" outlineLevel="0" collapsed="false">
      <c r="A4138" s="49" t="s">
        <v>2349</v>
      </c>
      <c r="B4138" s="49" t="s">
        <v>2350</v>
      </c>
      <c r="C4138" s="49" t="s">
        <v>7989</v>
      </c>
      <c r="D4138" s="49" t="s">
        <v>2352</v>
      </c>
      <c r="E4138" s="49" t="str">
        <f aca="false">"71505021166"</f>
        <v>71505021166</v>
      </c>
      <c r="F4138" s="49" t="s">
        <v>7985</v>
      </c>
      <c r="G4138" s="49" t="n">
        <v>0</v>
      </c>
      <c r="H4138" s="0" t="n">
        <v>0</v>
      </c>
      <c r="M4138" s="51" t="s">
        <v>7986</v>
      </c>
      <c r="N4138" s="49" t="n">
        <v>0</v>
      </c>
      <c r="O4138" s="53" t="n">
        <v>45790.6334143519</v>
      </c>
      <c r="P4138" s="53" t="n">
        <v>45797.6289814815</v>
      </c>
      <c r="Q4138" s="53" t="n">
        <v>45790.6334143519</v>
      </c>
      <c r="R4138" s="0" t="n">
        <v>0</v>
      </c>
      <c r="S4138" s="51" t="s">
        <v>2356</v>
      </c>
      <c r="T4138" s="51" t="s">
        <v>2356</v>
      </c>
      <c r="U4138" s="0" t="str">
        <f aca="false">"71505021166"</f>
        <v>71505021166</v>
      </c>
      <c r="V4138" s="51" t="s">
        <v>5386</v>
      </c>
      <c r="W4138" s="51" t="s">
        <v>7990</v>
      </c>
      <c r="X4138" s="51" t="s">
        <v>2359</v>
      </c>
    </row>
    <row r="4139" customFormat="false" ht="14.25" hidden="true" customHeight="false" outlineLevel="0" collapsed="false">
      <c r="A4139" s="49" t="s">
        <v>2349</v>
      </c>
      <c r="B4139" s="49" t="s">
        <v>2350</v>
      </c>
      <c r="C4139" s="49" t="s">
        <v>7991</v>
      </c>
      <c r="D4139" s="49" t="s">
        <v>2352</v>
      </c>
      <c r="E4139" s="49" t="str">
        <f aca="false">"71505021166"</f>
        <v>71505021166</v>
      </c>
      <c r="F4139" s="49" t="s">
        <v>7985</v>
      </c>
      <c r="G4139" s="49" t="n">
        <v>0</v>
      </c>
      <c r="H4139" s="0" t="n">
        <v>0</v>
      </c>
      <c r="M4139" s="51" t="s">
        <v>7986</v>
      </c>
      <c r="N4139" s="49" t="n">
        <v>0</v>
      </c>
      <c r="O4139" s="53" t="n">
        <v>45790.633125</v>
      </c>
      <c r="P4139" s="53" t="n">
        <v>45797.628912037</v>
      </c>
      <c r="Q4139" s="53" t="n">
        <v>45790.633125</v>
      </c>
      <c r="R4139" s="0" t="n">
        <v>0</v>
      </c>
      <c r="S4139" s="51" t="s">
        <v>2356</v>
      </c>
      <c r="T4139" s="51" t="s">
        <v>2356</v>
      </c>
      <c r="U4139" s="0" t="str">
        <f aca="false">"71505021166"</f>
        <v>71505021166</v>
      </c>
      <c r="V4139" s="51" t="s">
        <v>5386</v>
      </c>
      <c r="W4139" s="51" t="s">
        <v>7992</v>
      </c>
      <c r="X4139" s="51" t="s">
        <v>2359</v>
      </c>
    </row>
    <row r="4140" customFormat="false" ht="14.25" hidden="true" customHeight="false" outlineLevel="0" collapsed="false">
      <c r="A4140" s="49" t="s">
        <v>2349</v>
      </c>
      <c r="B4140" s="49" t="s">
        <v>2350</v>
      </c>
      <c r="C4140" s="49" t="s">
        <v>7993</v>
      </c>
      <c r="D4140" s="49" t="s">
        <v>2352</v>
      </c>
      <c r="E4140" s="49" t="str">
        <f aca="false">"71505021166"</f>
        <v>71505021166</v>
      </c>
      <c r="F4140" s="49" t="s">
        <v>7985</v>
      </c>
      <c r="G4140" s="49" t="n">
        <v>0</v>
      </c>
      <c r="H4140" s="0" t="n">
        <v>0</v>
      </c>
      <c r="M4140" s="51" t="s">
        <v>7986</v>
      </c>
      <c r="N4140" s="49" t="n">
        <v>0</v>
      </c>
      <c r="O4140" s="53" t="n">
        <v>45790.6327083333</v>
      </c>
      <c r="P4140" s="53" t="n">
        <v>45797.6288310185</v>
      </c>
      <c r="Q4140" s="53" t="n">
        <v>45790.6327083333</v>
      </c>
      <c r="R4140" s="0" t="n">
        <v>0</v>
      </c>
      <c r="S4140" s="51" t="s">
        <v>2356</v>
      </c>
      <c r="T4140" s="51" t="s">
        <v>2356</v>
      </c>
      <c r="U4140" s="0" t="str">
        <f aca="false">"71505021166"</f>
        <v>71505021166</v>
      </c>
      <c r="V4140" s="51" t="s">
        <v>5386</v>
      </c>
      <c r="W4140" s="51" t="s">
        <v>7855</v>
      </c>
      <c r="X4140" s="51" t="s">
        <v>2359</v>
      </c>
    </row>
    <row r="4141" customFormat="false" ht="14.25" hidden="true" customHeight="false" outlineLevel="0" collapsed="false">
      <c r="A4141" s="49" t="s">
        <v>2349</v>
      </c>
      <c r="B4141" s="49" t="s">
        <v>2350</v>
      </c>
      <c r="C4141" s="49" t="s">
        <v>7994</v>
      </c>
      <c r="D4141" s="49" t="s">
        <v>2352</v>
      </c>
      <c r="E4141" s="49" t="str">
        <f aca="false">"5060458890191"</f>
        <v>5060458890191</v>
      </c>
      <c r="F4141" s="49" t="s">
        <v>3656</v>
      </c>
      <c r="G4141" s="49" t="n">
        <v>0</v>
      </c>
      <c r="H4141" s="0" t="n">
        <v>0</v>
      </c>
      <c r="M4141" s="51" t="s">
        <v>7995</v>
      </c>
      <c r="N4141" s="49" t="n">
        <v>0</v>
      </c>
      <c r="O4141" s="53" t="n">
        <v>45788.6240277778</v>
      </c>
      <c r="P4141" s="53" t="n">
        <v>45819.4774074074</v>
      </c>
      <c r="Q4141" s="53" t="n">
        <v>45788.6240277778</v>
      </c>
      <c r="R4141" s="0" t="n">
        <v>0</v>
      </c>
      <c r="S4141" s="51" t="s">
        <v>2416</v>
      </c>
      <c r="T4141" s="51" t="s">
        <v>2416</v>
      </c>
      <c r="U4141" s="0" t="str">
        <f aca="false">"5060458890191"</f>
        <v>5060458890191</v>
      </c>
      <c r="V4141" s="51" t="s">
        <v>2142</v>
      </c>
      <c r="W4141" s="51" t="s">
        <v>7996</v>
      </c>
      <c r="X4141" s="51" t="s">
        <v>2359</v>
      </c>
    </row>
    <row r="4142" customFormat="false" ht="14.25" hidden="true" customHeight="false" outlineLevel="0" collapsed="false">
      <c r="A4142" s="49" t="s">
        <v>2349</v>
      </c>
      <c r="B4142" s="49" t="s">
        <v>2350</v>
      </c>
      <c r="C4142" s="49" t="s">
        <v>7997</v>
      </c>
      <c r="D4142" s="49" t="s">
        <v>2352</v>
      </c>
      <c r="E4142" s="49" t="str">
        <f aca="false">"5060458890191"</f>
        <v>5060458890191</v>
      </c>
      <c r="F4142" s="49" t="s">
        <v>3656</v>
      </c>
      <c r="G4142" s="49" t="n">
        <v>0</v>
      </c>
      <c r="H4142" s="0" t="n">
        <v>0</v>
      </c>
      <c r="M4142" s="51" t="s">
        <v>7995</v>
      </c>
      <c r="N4142" s="49" t="n">
        <v>0</v>
      </c>
      <c r="O4142" s="53" t="n">
        <v>45788.6243981481</v>
      </c>
      <c r="P4142" s="53" t="n">
        <v>45834.922025463</v>
      </c>
      <c r="Q4142" s="53" t="n">
        <v>45788.6243981481</v>
      </c>
      <c r="R4142" s="0" t="n">
        <v>0</v>
      </c>
      <c r="S4142" s="51" t="s">
        <v>2416</v>
      </c>
      <c r="T4142" s="51" t="s">
        <v>2416</v>
      </c>
      <c r="U4142" s="0" t="str">
        <f aca="false">"5060458890191"</f>
        <v>5060458890191</v>
      </c>
      <c r="V4142" s="51" t="s">
        <v>2142</v>
      </c>
      <c r="W4142" s="51" t="s">
        <v>7998</v>
      </c>
      <c r="X4142" s="51" t="s">
        <v>2359</v>
      </c>
    </row>
    <row r="4143" customFormat="false" ht="14.25" hidden="true" customHeight="false" outlineLevel="0" collapsed="false">
      <c r="A4143" s="49" t="s">
        <v>2349</v>
      </c>
      <c r="B4143" s="49" t="s">
        <v>2350</v>
      </c>
      <c r="C4143" s="49" t="s">
        <v>7999</v>
      </c>
      <c r="D4143" s="49" t="s">
        <v>2352</v>
      </c>
      <c r="E4143" s="49" t="str">
        <f aca="false">"5060458890191"</f>
        <v>5060458890191</v>
      </c>
      <c r="F4143" s="49" t="s">
        <v>3656</v>
      </c>
      <c r="G4143" s="49" t="n">
        <v>0</v>
      </c>
      <c r="H4143" s="0" t="n">
        <v>0</v>
      </c>
      <c r="M4143" s="51" t="s">
        <v>7995</v>
      </c>
      <c r="N4143" s="49" t="n">
        <v>0</v>
      </c>
      <c r="O4143" s="53" t="n">
        <v>45788.624537037</v>
      </c>
      <c r="P4143" s="53" t="n">
        <v>45832.3294560185</v>
      </c>
      <c r="Q4143" s="53" t="n">
        <v>45788.624537037</v>
      </c>
      <c r="R4143" s="0" t="n">
        <v>0</v>
      </c>
      <c r="S4143" s="51" t="s">
        <v>2416</v>
      </c>
      <c r="T4143" s="51" t="s">
        <v>2416</v>
      </c>
      <c r="U4143" s="0" t="str">
        <f aca="false">"5060458890191"</f>
        <v>5060458890191</v>
      </c>
      <c r="V4143" s="51" t="s">
        <v>2142</v>
      </c>
      <c r="W4143" s="51" t="s">
        <v>7342</v>
      </c>
      <c r="X4143" s="51" t="s">
        <v>2359</v>
      </c>
    </row>
    <row r="4144" customFormat="false" ht="14.25" hidden="true" customHeight="false" outlineLevel="0" collapsed="false">
      <c r="A4144" s="49" t="s">
        <v>2349</v>
      </c>
      <c r="B4144" s="49" t="s">
        <v>2350</v>
      </c>
      <c r="C4144" s="49" t="s">
        <v>8000</v>
      </c>
      <c r="D4144" s="49" t="s">
        <v>2352</v>
      </c>
      <c r="E4144" s="49" t="str">
        <f aca="false">"5060458890191"</f>
        <v>5060458890191</v>
      </c>
      <c r="F4144" s="49" t="s">
        <v>3656</v>
      </c>
      <c r="G4144" s="49" t="n">
        <v>0</v>
      </c>
      <c r="H4144" s="0" t="n">
        <v>0</v>
      </c>
      <c r="M4144" s="51" t="s">
        <v>7995</v>
      </c>
      <c r="N4144" s="49" t="n">
        <v>0</v>
      </c>
      <c r="O4144" s="53" t="n">
        <v>45788.6246759259</v>
      </c>
      <c r="P4144" s="53" t="n">
        <v>45830.9130787037</v>
      </c>
      <c r="Q4144" s="53" t="n">
        <v>45788.6246759259</v>
      </c>
      <c r="R4144" s="0" t="n">
        <v>0</v>
      </c>
      <c r="S4144" s="51" t="s">
        <v>2416</v>
      </c>
      <c r="T4144" s="51" t="s">
        <v>2416</v>
      </c>
      <c r="U4144" s="0" t="str">
        <f aca="false">"5060458890191"</f>
        <v>5060458890191</v>
      </c>
      <c r="V4144" s="51" t="s">
        <v>2142</v>
      </c>
      <c r="W4144" s="51" t="s">
        <v>4959</v>
      </c>
      <c r="X4144" s="51" t="s">
        <v>2359</v>
      </c>
    </row>
    <row r="4145" customFormat="false" ht="14.25" hidden="true" customHeight="false" outlineLevel="0" collapsed="false">
      <c r="A4145" s="49" t="s">
        <v>2349</v>
      </c>
      <c r="B4145" s="49" t="s">
        <v>2350</v>
      </c>
      <c r="C4145" s="49" t="s">
        <v>8001</v>
      </c>
      <c r="D4145" s="49" t="s">
        <v>2352</v>
      </c>
      <c r="E4145" s="49" t="str">
        <f aca="false">"5060458890191"</f>
        <v>5060458890191</v>
      </c>
      <c r="F4145" s="49" t="s">
        <v>3656</v>
      </c>
      <c r="G4145" s="49" t="n">
        <v>0</v>
      </c>
      <c r="H4145" s="0" t="n">
        <v>0</v>
      </c>
      <c r="M4145" s="51" t="s">
        <v>7995</v>
      </c>
      <c r="N4145" s="49" t="n">
        <v>0</v>
      </c>
      <c r="O4145" s="53" t="n">
        <v>45788.6247569444</v>
      </c>
      <c r="P4145" s="53" t="n">
        <v>45844.46</v>
      </c>
      <c r="Q4145" s="53" t="n">
        <v>45788.6247569444</v>
      </c>
      <c r="R4145" s="0" t="n">
        <v>0</v>
      </c>
      <c r="S4145" s="51" t="s">
        <v>2416</v>
      </c>
      <c r="T4145" s="51" t="s">
        <v>2416</v>
      </c>
      <c r="U4145" s="0" t="str">
        <f aca="false">"5060458890191"</f>
        <v>5060458890191</v>
      </c>
      <c r="V4145" s="51" t="s">
        <v>2142</v>
      </c>
      <c r="W4145" s="51" t="s">
        <v>8002</v>
      </c>
      <c r="X4145" s="51" t="s">
        <v>2359</v>
      </c>
    </row>
    <row r="4146" customFormat="false" ht="14.25" hidden="true" customHeight="false" outlineLevel="0" collapsed="false">
      <c r="A4146" s="49" t="s">
        <v>2349</v>
      </c>
      <c r="B4146" s="49" t="s">
        <v>2350</v>
      </c>
      <c r="C4146" s="49" t="s">
        <v>8003</v>
      </c>
      <c r="D4146" s="49" t="s">
        <v>2352</v>
      </c>
      <c r="E4146" s="49" t="str">
        <f aca="false">"5060458890191"</f>
        <v>5060458890191</v>
      </c>
      <c r="F4146" s="49" t="s">
        <v>3656</v>
      </c>
      <c r="G4146" s="49" t="n">
        <v>0</v>
      </c>
      <c r="H4146" s="0" t="n">
        <v>0</v>
      </c>
      <c r="M4146" s="51" t="s">
        <v>7995</v>
      </c>
      <c r="N4146" s="49" t="n">
        <v>0</v>
      </c>
      <c r="O4146" s="53" t="n">
        <v>45788.6248611111</v>
      </c>
      <c r="P4146" s="53" t="n">
        <v>45838.4057986111</v>
      </c>
      <c r="Q4146" s="53" t="n">
        <v>45788.6248611111</v>
      </c>
      <c r="R4146" s="0" t="n">
        <v>0</v>
      </c>
      <c r="S4146" s="51" t="s">
        <v>2416</v>
      </c>
      <c r="T4146" s="51" t="s">
        <v>2416</v>
      </c>
      <c r="U4146" s="0" t="str">
        <f aca="false">"5060458890191"</f>
        <v>5060458890191</v>
      </c>
      <c r="V4146" s="51" t="s">
        <v>2142</v>
      </c>
      <c r="W4146" s="51" t="s">
        <v>5220</v>
      </c>
      <c r="X4146" s="51" t="s">
        <v>2359</v>
      </c>
    </row>
    <row r="4147" customFormat="false" ht="14.25" hidden="true" customHeight="false" outlineLevel="0" collapsed="false">
      <c r="A4147" s="49" t="s">
        <v>2349</v>
      </c>
      <c r="B4147" s="49" t="s">
        <v>2350</v>
      </c>
      <c r="C4147" s="49" t="s">
        <v>8004</v>
      </c>
      <c r="D4147" s="49" t="s">
        <v>2352</v>
      </c>
      <c r="E4147" s="49" t="str">
        <f aca="false">"5060458890191"</f>
        <v>5060458890191</v>
      </c>
      <c r="F4147" s="49" t="s">
        <v>3656</v>
      </c>
      <c r="G4147" s="49" t="n">
        <v>0</v>
      </c>
      <c r="H4147" s="0" t="n">
        <v>0</v>
      </c>
      <c r="M4147" s="51" t="s">
        <v>7995</v>
      </c>
      <c r="N4147" s="49" t="n">
        <v>0</v>
      </c>
      <c r="O4147" s="53" t="n">
        <v>45788.6249652778</v>
      </c>
      <c r="P4147" s="53" t="n">
        <v>45825.8206828704</v>
      </c>
      <c r="Q4147" s="53" t="n">
        <v>45788.6249652778</v>
      </c>
      <c r="R4147" s="0" t="n">
        <v>0</v>
      </c>
      <c r="S4147" s="51" t="s">
        <v>2416</v>
      </c>
      <c r="T4147" s="51" t="s">
        <v>2416</v>
      </c>
      <c r="U4147" s="0" t="str">
        <f aca="false">"5060458890191"</f>
        <v>5060458890191</v>
      </c>
      <c r="V4147" s="51" t="s">
        <v>2142</v>
      </c>
      <c r="W4147" s="51" t="s">
        <v>5420</v>
      </c>
      <c r="X4147" s="51" t="s">
        <v>2359</v>
      </c>
    </row>
    <row r="4148" customFormat="false" ht="14.25" hidden="true" customHeight="false" outlineLevel="0" collapsed="false">
      <c r="A4148" s="49" t="s">
        <v>2349</v>
      </c>
      <c r="B4148" s="49" t="s">
        <v>2350</v>
      </c>
      <c r="C4148" s="49" t="s">
        <v>8005</v>
      </c>
      <c r="D4148" s="49" t="s">
        <v>2352</v>
      </c>
      <c r="E4148" s="49" t="str">
        <f aca="false">"5060458890191"</f>
        <v>5060458890191</v>
      </c>
      <c r="F4148" s="49" t="s">
        <v>3656</v>
      </c>
      <c r="G4148" s="49" t="n">
        <v>0</v>
      </c>
      <c r="H4148" s="0" t="n">
        <v>0</v>
      </c>
      <c r="M4148" s="51" t="s">
        <v>7995</v>
      </c>
      <c r="N4148" s="49" t="n">
        <v>0</v>
      </c>
      <c r="O4148" s="53" t="n">
        <v>45788.6250925926</v>
      </c>
      <c r="P4148" s="53" t="n">
        <v>45825.8230439815</v>
      </c>
      <c r="Q4148" s="53" t="n">
        <v>45788.6250925926</v>
      </c>
      <c r="R4148" s="0" t="n">
        <v>0</v>
      </c>
      <c r="S4148" s="51" t="s">
        <v>2416</v>
      </c>
      <c r="T4148" s="51" t="s">
        <v>2416</v>
      </c>
      <c r="U4148" s="0" t="str">
        <f aca="false">"5060458890191"</f>
        <v>5060458890191</v>
      </c>
      <c r="V4148" s="51" t="s">
        <v>2142</v>
      </c>
      <c r="W4148" s="51" t="s">
        <v>5220</v>
      </c>
      <c r="X4148" s="51" t="s">
        <v>2359</v>
      </c>
    </row>
    <row r="4149" customFormat="false" ht="14.25" hidden="true" customHeight="false" outlineLevel="0" collapsed="false">
      <c r="A4149" s="49" t="s">
        <v>2349</v>
      </c>
      <c r="B4149" s="49" t="s">
        <v>2350</v>
      </c>
      <c r="C4149" s="49" t="s">
        <v>8006</v>
      </c>
      <c r="D4149" s="49" t="s">
        <v>2352</v>
      </c>
      <c r="E4149" s="49" t="str">
        <f aca="false">"5060458890191"</f>
        <v>5060458890191</v>
      </c>
      <c r="F4149" s="49" t="s">
        <v>3656</v>
      </c>
      <c r="G4149" s="49" t="n">
        <v>0</v>
      </c>
      <c r="H4149" s="0" t="n">
        <v>0</v>
      </c>
      <c r="M4149" s="51" t="s">
        <v>7995</v>
      </c>
      <c r="N4149" s="49" t="n">
        <v>0</v>
      </c>
      <c r="O4149" s="53" t="n">
        <v>45788.6251967593</v>
      </c>
      <c r="P4149" s="53" t="n">
        <v>45832.8525925926</v>
      </c>
      <c r="Q4149" s="53" t="n">
        <v>45788.6251967593</v>
      </c>
      <c r="R4149" s="0" t="n">
        <v>0</v>
      </c>
      <c r="S4149" s="51" t="s">
        <v>2416</v>
      </c>
      <c r="T4149" s="51" t="s">
        <v>2416</v>
      </c>
      <c r="U4149" s="0" t="str">
        <f aca="false">"5060458890191"</f>
        <v>5060458890191</v>
      </c>
      <c r="V4149" s="51" t="s">
        <v>2142</v>
      </c>
      <c r="W4149" s="51" t="s">
        <v>5220</v>
      </c>
      <c r="X4149" s="51" t="s">
        <v>2359</v>
      </c>
    </row>
    <row r="4150" customFormat="false" ht="14.25" hidden="true" customHeight="false" outlineLevel="0" collapsed="false">
      <c r="A4150" s="49" t="s">
        <v>2349</v>
      </c>
      <c r="B4150" s="49" t="s">
        <v>2350</v>
      </c>
      <c r="C4150" s="49" t="s">
        <v>8007</v>
      </c>
      <c r="D4150" s="49" t="s">
        <v>2352</v>
      </c>
      <c r="E4150" s="49" t="str">
        <f aca="false">"5060458890191"</f>
        <v>5060458890191</v>
      </c>
      <c r="F4150" s="49" t="s">
        <v>3656</v>
      </c>
      <c r="G4150" s="49" t="n">
        <v>0</v>
      </c>
      <c r="H4150" s="0" t="n">
        <v>0</v>
      </c>
      <c r="M4150" s="51" t="s">
        <v>7995</v>
      </c>
      <c r="N4150" s="49" t="n">
        <v>0</v>
      </c>
      <c r="O4150" s="53" t="n">
        <v>45788.6252893519</v>
      </c>
      <c r="P4150" s="53" t="n">
        <v>45825.8097453704</v>
      </c>
      <c r="Q4150" s="53" t="n">
        <v>45788.6252893519</v>
      </c>
      <c r="R4150" s="0" t="n">
        <v>0</v>
      </c>
      <c r="S4150" s="51" t="s">
        <v>2416</v>
      </c>
      <c r="T4150" s="51" t="s">
        <v>2416</v>
      </c>
      <c r="U4150" s="0" t="str">
        <f aca="false">"5060458890191"</f>
        <v>5060458890191</v>
      </c>
      <c r="V4150" s="51" t="s">
        <v>2142</v>
      </c>
      <c r="W4150" s="51" t="s">
        <v>8008</v>
      </c>
      <c r="X4150" s="51" t="s">
        <v>2359</v>
      </c>
    </row>
    <row r="4151" customFormat="false" ht="14.25" hidden="true" customHeight="false" outlineLevel="0" collapsed="false">
      <c r="A4151" s="49" t="s">
        <v>2349</v>
      </c>
      <c r="B4151" s="49" t="s">
        <v>2350</v>
      </c>
      <c r="C4151" s="49" t="s">
        <v>8009</v>
      </c>
      <c r="D4151" s="49" t="s">
        <v>2352</v>
      </c>
      <c r="E4151" s="49" t="str">
        <f aca="false">"5060458890191"</f>
        <v>5060458890191</v>
      </c>
      <c r="F4151" s="49" t="s">
        <v>3656</v>
      </c>
      <c r="G4151" s="49" t="n">
        <v>0</v>
      </c>
      <c r="H4151" s="0" t="n">
        <v>0</v>
      </c>
      <c r="M4151" s="51" t="s">
        <v>7995</v>
      </c>
      <c r="N4151" s="49" t="n">
        <v>0</v>
      </c>
      <c r="O4151" s="53" t="n">
        <v>45788.6253935185</v>
      </c>
      <c r="P4151" s="53" t="n">
        <v>45834.9183796296</v>
      </c>
      <c r="Q4151" s="53" t="n">
        <v>45788.6253935185</v>
      </c>
      <c r="R4151" s="0" t="n">
        <v>0</v>
      </c>
      <c r="S4151" s="51" t="s">
        <v>2416</v>
      </c>
      <c r="T4151" s="51" t="s">
        <v>2416</v>
      </c>
      <c r="U4151" s="0" t="str">
        <f aca="false">"5060458890191"</f>
        <v>5060458890191</v>
      </c>
      <c r="V4151" s="51" t="s">
        <v>2142</v>
      </c>
      <c r="W4151" s="51" t="s">
        <v>5220</v>
      </c>
      <c r="X4151" s="51" t="s">
        <v>2359</v>
      </c>
    </row>
    <row r="4152" customFormat="false" ht="14.25" hidden="true" customHeight="false" outlineLevel="0" collapsed="false">
      <c r="A4152" s="49" t="s">
        <v>2349</v>
      </c>
      <c r="B4152" s="49" t="s">
        <v>2350</v>
      </c>
      <c r="C4152" s="49" t="s">
        <v>8010</v>
      </c>
      <c r="D4152" s="49" t="s">
        <v>2352</v>
      </c>
      <c r="E4152" s="49" t="str">
        <f aca="false">"5060458890191"</f>
        <v>5060458890191</v>
      </c>
      <c r="F4152" s="49" t="s">
        <v>3656</v>
      </c>
      <c r="G4152" s="49" t="n">
        <v>0</v>
      </c>
      <c r="H4152" s="0" t="n">
        <v>0</v>
      </c>
      <c r="M4152" s="51" t="s">
        <v>7995</v>
      </c>
      <c r="N4152" s="49" t="n">
        <v>0</v>
      </c>
      <c r="O4152" s="53" t="n">
        <v>45788.625474537</v>
      </c>
      <c r="P4152" s="53" t="n">
        <v>45825.8126041667</v>
      </c>
      <c r="Q4152" s="53" t="n">
        <v>45788.625474537</v>
      </c>
      <c r="R4152" s="0" t="n">
        <v>0</v>
      </c>
      <c r="S4152" s="51" t="s">
        <v>2416</v>
      </c>
      <c r="T4152" s="51" t="s">
        <v>2416</v>
      </c>
      <c r="U4152" s="0" t="str">
        <f aca="false">"5060458890191"</f>
        <v>5060458890191</v>
      </c>
      <c r="V4152" s="51" t="s">
        <v>2142</v>
      </c>
      <c r="W4152" s="51" t="s">
        <v>8011</v>
      </c>
      <c r="X4152" s="51" t="s">
        <v>2359</v>
      </c>
    </row>
    <row r="4153" customFormat="false" ht="14.25" hidden="true" customHeight="false" outlineLevel="0" collapsed="false">
      <c r="A4153" s="49" t="s">
        <v>2349</v>
      </c>
      <c r="B4153" s="49" t="s">
        <v>2350</v>
      </c>
      <c r="C4153" s="49" t="s">
        <v>8012</v>
      </c>
      <c r="D4153" s="49" t="s">
        <v>2352</v>
      </c>
      <c r="E4153" s="49" t="str">
        <f aca="false">"5060458890191"</f>
        <v>5060458890191</v>
      </c>
      <c r="F4153" s="49" t="s">
        <v>3656</v>
      </c>
      <c r="G4153" s="49" t="n">
        <v>0</v>
      </c>
      <c r="H4153" s="0" t="n">
        <v>0</v>
      </c>
      <c r="M4153" s="51" t="s">
        <v>7995</v>
      </c>
      <c r="N4153" s="49" t="n">
        <v>0</v>
      </c>
      <c r="O4153" s="53" t="n">
        <v>45788.6255787037</v>
      </c>
      <c r="P4153" s="53" t="n">
        <v>45834.9191666667</v>
      </c>
      <c r="Q4153" s="53" t="n">
        <v>45788.6255787037</v>
      </c>
      <c r="R4153" s="0" t="n">
        <v>0</v>
      </c>
      <c r="S4153" s="51" t="s">
        <v>2416</v>
      </c>
      <c r="T4153" s="51" t="s">
        <v>2416</v>
      </c>
      <c r="U4153" s="0" t="str">
        <f aca="false">"5060458890191"</f>
        <v>5060458890191</v>
      </c>
      <c r="V4153" s="51" t="s">
        <v>2142</v>
      </c>
      <c r="W4153" s="51" t="s">
        <v>8013</v>
      </c>
      <c r="X4153" s="51" t="s">
        <v>2359</v>
      </c>
    </row>
    <row r="4154" customFormat="false" ht="14.25" hidden="true" customHeight="false" outlineLevel="0" collapsed="false">
      <c r="A4154" s="49" t="s">
        <v>2349</v>
      </c>
      <c r="B4154" s="49" t="s">
        <v>2350</v>
      </c>
      <c r="C4154" s="49" t="s">
        <v>8014</v>
      </c>
      <c r="D4154" s="49" t="s">
        <v>2352</v>
      </c>
      <c r="E4154" s="49" t="str">
        <f aca="false">"5060458890191"</f>
        <v>5060458890191</v>
      </c>
      <c r="F4154" s="49" t="s">
        <v>3656</v>
      </c>
      <c r="G4154" s="49" t="n">
        <v>0</v>
      </c>
      <c r="H4154" s="0" t="n">
        <v>0</v>
      </c>
      <c r="M4154" s="51" t="s">
        <v>7995</v>
      </c>
      <c r="N4154" s="49" t="n">
        <v>0</v>
      </c>
      <c r="O4154" s="53" t="n">
        <v>45788.6257060185</v>
      </c>
      <c r="P4154" s="53" t="n">
        <v>45819.5774537037</v>
      </c>
      <c r="Q4154" s="53" t="n">
        <v>45788.6257060185</v>
      </c>
      <c r="R4154" s="0" t="n">
        <v>0</v>
      </c>
      <c r="S4154" s="51" t="s">
        <v>2416</v>
      </c>
      <c r="T4154" s="51" t="s">
        <v>2416</v>
      </c>
      <c r="U4154" s="0" t="str">
        <f aca="false">"5060458890191"</f>
        <v>5060458890191</v>
      </c>
      <c r="V4154" s="51" t="s">
        <v>2142</v>
      </c>
      <c r="W4154" s="51" t="s">
        <v>7998</v>
      </c>
      <c r="X4154" s="51" t="s">
        <v>2359</v>
      </c>
    </row>
    <row r="4155" customFormat="false" ht="14.25" hidden="true" customHeight="false" outlineLevel="0" collapsed="false">
      <c r="A4155" s="49" t="s">
        <v>2349</v>
      </c>
      <c r="B4155" s="49" t="s">
        <v>2350</v>
      </c>
      <c r="C4155" s="49" t="s">
        <v>8015</v>
      </c>
      <c r="D4155" s="49" t="s">
        <v>2352</v>
      </c>
      <c r="E4155" s="49" t="str">
        <f aca="false">"5060458890191"</f>
        <v>5060458890191</v>
      </c>
      <c r="F4155" s="49" t="s">
        <v>3656</v>
      </c>
      <c r="G4155" s="49" t="n">
        <v>0</v>
      </c>
      <c r="H4155" s="0" t="n">
        <v>0</v>
      </c>
      <c r="M4155" s="51" t="s">
        <v>7995</v>
      </c>
      <c r="N4155" s="49" t="n">
        <v>0</v>
      </c>
      <c r="O4155" s="53" t="n">
        <v>45788.6258217593</v>
      </c>
      <c r="P4155" s="53" t="n">
        <v>45811.4890046296</v>
      </c>
      <c r="Q4155" s="53" t="n">
        <v>45788.6258217593</v>
      </c>
      <c r="R4155" s="0" t="n">
        <v>0</v>
      </c>
      <c r="S4155" s="51" t="s">
        <v>2416</v>
      </c>
      <c r="T4155" s="51" t="s">
        <v>2416</v>
      </c>
      <c r="U4155" s="0" t="str">
        <f aca="false">"5060458890191"</f>
        <v>5060458890191</v>
      </c>
      <c r="V4155" s="51" t="s">
        <v>2142</v>
      </c>
      <c r="W4155" s="51" t="s">
        <v>8016</v>
      </c>
      <c r="X4155" s="51" t="s">
        <v>2359</v>
      </c>
    </row>
    <row r="4156" customFormat="false" ht="14.25" hidden="true" customHeight="false" outlineLevel="0" collapsed="false">
      <c r="A4156" s="49" t="s">
        <v>2349</v>
      </c>
      <c r="B4156" s="49" t="s">
        <v>2350</v>
      </c>
      <c r="C4156" s="49" t="s">
        <v>8017</v>
      </c>
      <c r="D4156" s="49" t="s">
        <v>2352</v>
      </c>
      <c r="E4156" s="49" t="str">
        <f aca="false">"5060458890191"</f>
        <v>5060458890191</v>
      </c>
      <c r="F4156" s="49" t="s">
        <v>3656</v>
      </c>
      <c r="G4156" s="49" t="n">
        <v>0</v>
      </c>
      <c r="H4156" s="0" t="n">
        <v>0</v>
      </c>
      <c r="M4156" s="51" t="s">
        <v>7995</v>
      </c>
      <c r="N4156" s="49" t="n">
        <v>0</v>
      </c>
      <c r="O4156" s="53" t="n">
        <v>45788.6259259259</v>
      </c>
      <c r="P4156" s="53" t="n">
        <v>45810.7560648148</v>
      </c>
      <c r="Q4156" s="53" t="n">
        <v>45788.6259259259</v>
      </c>
      <c r="R4156" s="0" t="n">
        <v>0</v>
      </c>
      <c r="S4156" s="51" t="s">
        <v>2416</v>
      </c>
      <c r="T4156" s="51" t="s">
        <v>2416</v>
      </c>
      <c r="U4156" s="0" t="str">
        <f aca="false">"5060458890191"</f>
        <v>5060458890191</v>
      </c>
      <c r="V4156" s="51" t="s">
        <v>2142</v>
      </c>
      <c r="W4156" s="51" t="s">
        <v>6329</v>
      </c>
      <c r="X4156" s="51" t="s">
        <v>2359</v>
      </c>
    </row>
    <row r="4157" customFormat="false" ht="14.25" hidden="true" customHeight="false" outlineLevel="0" collapsed="false">
      <c r="A4157" s="49" t="s">
        <v>2349</v>
      </c>
      <c r="B4157" s="49" t="s">
        <v>2350</v>
      </c>
      <c r="C4157" s="49" t="s">
        <v>8018</v>
      </c>
      <c r="D4157" s="49" t="s">
        <v>2352</v>
      </c>
      <c r="E4157" s="49" t="str">
        <f aca="false">"5060458890191"</f>
        <v>5060458890191</v>
      </c>
      <c r="F4157" s="49" t="s">
        <v>3656</v>
      </c>
      <c r="G4157" s="49" t="n">
        <v>0</v>
      </c>
      <c r="H4157" s="0" t="n">
        <v>0</v>
      </c>
      <c r="M4157" s="51" t="s">
        <v>7995</v>
      </c>
      <c r="N4157" s="49" t="n">
        <v>0</v>
      </c>
      <c r="O4157" s="53" t="n">
        <v>45788.6260185185</v>
      </c>
      <c r="P4157" s="53" t="n">
        <v>45819.5701388889</v>
      </c>
      <c r="Q4157" s="53" t="n">
        <v>45788.6260185185</v>
      </c>
      <c r="R4157" s="0" t="n">
        <v>0</v>
      </c>
      <c r="S4157" s="51" t="s">
        <v>2416</v>
      </c>
      <c r="T4157" s="51" t="s">
        <v>2416</v>
      </c>
      <c r="U4157" s="0" t="str">
        <f aca="false">"5060458890191"</f>
        <v>5060458890191</v>
      </c>
      <c r="V4157" s="51" t="s">
        <v>2142</v>
      </c>
      <c r="W4157" s="51" t="s">
        <v>5382</v>
      </c>
      <c r="X4157" s="51" t="s">
        <v>2359</v>
      </c>
    </row>
    <row r="4158" customFormat="false" ht="14.25" hidden="true" customHeight="false" outlineLevel="0" collapsed="false">
      <c r="A4158" s="49" t="s">
        <v>2349</v>
      </c>
      <c r="B4158" s="49" t="s">
        <v>2350</v>
      </c>
      <c r="C4158" s="49" t="s">
        <v>8019</v>
      </c>
      <c r="D4158" s="49" t="s">
        <v>2352</v>
      </c>
      <c r="E4158" s="49" t="str">
        <f aca="false">"5060458890191"</f>
        <v>5060458890191</v>
      </c>
      <c r="F4158" s="49" t="s">
        <v>3656</v>
      </c>
      <c r="G4158" s="49" t="n">
        <v>0</v>
      </c>
      <c r="H4158" s="0" t="n">
        <v>0</v>
      </c>
      <c r="M4158" s="51" t="s">
        <v>7995</v>
      </c>
      <c r="N4158" s="49" t="n">
        <v>0</v>
      </c>
      <c r="O4158" s="53" t="n">
        <v>45788.6261111111</v>
      </c>
      <c r="P4158" s="53" t="n">
        <v>45818.7246296296</v>
      </c>
      <c r="Q4158" s="53" t="n">
        <v>45788.6261111111</v>
      </c>
      <c r="R4158" s="0" t="n">
        <v>0</v>
      </c>
      <c r="S4158" s="51" t="s">
        <v>2416</v>
      </c>
      <c r="T4158" s="51" t="s">
        <v>2416</v>
      </c>
      <c r="U4158" s="0" t="str">
        <f aca="false">"5060458890191"</f>
        <v>5060458890191</v>
      </c>
      <c r="V4158" s="51" t="s">
        <v>2142</v>
      </c>
      <c r="W4158" s="51" t="s">
        <v>8020</v>
      </c>
      <c r="X4158" s="51" t="s">
        <v>2359</v>
      </c>
    </row>
    <row r="4159" customFormat="false" ht="14.25" hidden="true" customHeight="false" outlineLevel="0" collapsed="false">
      <c r="A4159" s="49" t="s">
        <v>2349</v>
      </c>
      <c r="B4159" s="49" t="s">
        <v>2350</v>
      </c>
      <c r="C4159" s="49" t="s">
        <v>8021</v>
      </c>
      <c r="D4159" s="49" t="s">
        <v>2352</v>
      </c>
      <c r="E4159" s="49" t="str">
        <f aca="false">"5060458890191"</f>
        <v>5060458890191</v>
      </c>
      <c r="F4159" s="49" t="s">
        <v>3656</v>
      </c>
      <c r="G4159" s="49" t="n">
        <v>0</v>
      </c>
      <c r="H4159" s="0" t="n">
        <v>0</v>
      </c>
      <c r="M4159" s="51" t="s">
        <v>7995</v>
      </c>
      <c r="N4159" s="49" t="n">
        <v>0</v>
      </c>
      <c r="O4159" s="53" t="n">
        <v>45788.6262037037</v>
      </c>
      <c r="P4159" s="53" t="n">
        <v>45825.8066782407</v>
      </c>
      <c r="Q4159" s="53" t="n">
        <v>45788.6262037037</v>
      </c>
      <c r="R4159" s="0" t="n">
        <v>0</v>
      </c>
      <c r="S4159" s="51" t="s">
        <v>2416</v>
      </c>
      <c r="T4159" s="51" t="s">
        <v>2416</v>
      </c>
      <c r="U4159" s="0" t="str">
        <f aca="false">"5060458890191"</f>
        <v>5060458890191</v>
      </c>
      <c r="V4159" s="51" t="s">
        <v>2142</v>
      </c>
      <c r="W4159" s="51" t="s">
        <v>8022</v>
      </c>
      <c r="X4159" s="51" t="s">
        <v>2359</v>
      </c>
    </row>
    <row r="4160" customFormat="false" ht="14.25" hidden="true" customHeight="false" outlineLevel="0" collapsed="false">
      <c r="A4160" s="49" t="s">
        <v>2349</v>
      </c>
      <c r="B4160" s="49" t="s">
        <v>2350</v>
      </c>
      <c r="C4160" s="49" t="s">
        <v>8023</v>
      </c>
      <c r="D4160" s="49" t="s">
        <v>2352</v>
      </c>
      <c r="E4160" s="49" t="str">
        <f aca="false">"5060458890191"</f>
        <v>5060458890191</v>
      </c>
      <c r="F4160" s="49" t="s">
        <v>3656</v>
      </c>
      <c r="G4160" s="49" t="n">
        <v>0</v>
      </c>
      <c r="H4160" s="0" t="n">
        <v>0</v>
      </c>
      <c r="M4160" s="51" t="s">
        <v>7995</v>
      </c>
      <c r="N4160" s="49" t="n">
        <v>0</v>
      </c>
      <c r="O4160" s="53" t="n">
        <v>45788.6262962963</v>
      </c>
      <c r="P4160" s="53" t="n">
        <v>45812.5219444444</v>
      </c>
      <c r="Q4160" s="53" t="n">
        <v>45788.6262962963</v>
      </c>
      <c r="R4160" s="0" t="n">
        <v>0</v>
      </c>
      <c r="S4160" s="51" t="s">
        <v>2416</v>
      </c>
      <c r="T4160" s="51" t="s">
        <v>2416</v>
      </c>
      <c r="U4160" s="0" t="str">
        <f aca="false">"5060458890191"</f>
        <v>5060458890191</v>
      </c>
      <c r="V4160" s="51" t="s">
        <v>2142</v>
      </c>
      <c r="W4160" s="51" t="s">
        <v>8024</v>
      </c>
      <c r="X4160" s="51" t="s">
        <v>2359</v>
      </c>
    </row>
    <row r="4161" customFormat="false" ht="14.25" hidden="true" customHeight="false" outlineLevel="0" collapsed="false">
      <c r="A4161" s="49" t="s">
        <v>2349</v>
      </c>
      <c r="B4161" s="49" t="s">
        <v>2350</v>
      </c>
      <c r="C4161" s="49" t="s">
        <v>8025</v>
      </c>
      <c r="D4161" s="49" t="s">
        <v>2352</v>
      </c>
      <c r="E4161" s="49" t="str">
        <f aca="false">"5060458890191"</f>
        <v>5060458890191</v>
      </c>
      <c r="F4161" s="49" t="s">
        <v>3656</v>
      </c>
      <c r="G4161" s="49" t="n">
        <v>0</v>
      </c>
      <c r="H4161" s="0" t="n">
        <v>0</v>
      </c>
      <c r="M4161" s="51" t="s">
        <v>7995</v>
      </c>
      <c r="N4161" s="49" t="n">
        <v>0</v>
      </c>
      <c r="O4161" s="53" t="n">
        <v>45788.626400463</v>
      </c>
      <c r="P4161" s="53" t="n">
        <v>45844.4613310185</v>
      </c>
      <c r="Q4161" s="53" t="n">
        <v>45788.626400463</v>
      </c>
      <c r="R4161" s="0" t="n">
        <v>0</v>
      </c>
      <c r="S4161" s="51" t="s">
        <v>2416</v>
      </c>
      <c r="T4161" s="51" t="s">
        <v>2416</v>
      </c>
      <c r="U4161" s="0" t="str">
        <f aca="false">"5060458890191"</f>
        <v>5060458890191</v>
      </c>
      <c r="V4161" s="51" t="s">
        <v>2142</v>
      </c>
      <c r="W4161" s="51" t="s">
        <v>5220</v>
      </c>
      <c r="X4161" s="51" t="s">
        <v>2359</v>
      </c>
    </row>
    <row r="4162" customFormat="false" ht="14.25" hidden="true" customHeight="false" outlineLevel="0" collapsed="false">
      <c r="A4162" s="49" t="s">
        <v>2349</v>
      </c>
      <c r="B4162" s="49" t="s">
        <v>2350</v>
      </c>
      <c r="C4162" s="49" t="s">
        <v>8026</v>
      </c>
      <c r="D4162" s="49" t="s">
        <v>2352</v>
      </c>
      <c r="E4162" s="49" t="str">
        <f aca="false">"5060458890191"</f>
        <v>5060458890191</v>
      </c>
      <c r="F4162" s="49" t="s">
        <v>3656</v>
      </c>
      <c r="G4162" s="49" t="n">
        <v>0</v>
      </c>
      <c r="H4162" s="0" t="n">
        <v>0</v>
      </c>
      <c r="M4162" s="51" t="s">
        <v>7995</v>
      </c>
      <c r="N4162" s="49" t="n">
        <v>0</v>
      </c>
      <c r="O4162" s="53" t="n">
        <v>45788.6264814815</v>
      </c>
      <c r="P4162" s="53" t="n">
        <v>45826.7118171296</v>
      </c>
      <c r="Q4162" s="53" t="n">
        <v>45788.6264814815</v>
      </c>
      <c r="R4162" s="0" t="n">
        <v>0</v>
      </c>
      <c r="S4162" s="51" t="s">
        <v>2416</v>
      </c>
      <c r="T4162" s="51" t="s">
        <v>2416</v>
      </c>
      <c r="U4162" s="0" t="str">
        <f aca="false">"5060458890191"</f>
        <v>5060458890191</v>
      </c>
      <c r="V4162" s="51" t="s">
        <v>2142</v>
      </c>
      <c r="W4162" s="51" t="s">
        <v>5664</v>
      </c>
      <c r="X4162" s="51" t="s">
        <v>2359</v>
      </c>
    </row>
    <row r="4163" customFormat="false" ht="14.25" hidden="true" customHeight="false" outlineLevel="0" collapsed="false">
      <c r="A4163" s="49" t="s">
        <v>2349</v>
      </c>
      <c r="B4163" s="49" t="s">
        <v>2350</v>
      </c>
      <c r="C4163" s="49" t="s">
        <v>8027</v>
      </c>
      <c r="D4163" s="49" t="s">
        <v>2352</v>
      </c>
      <c r="E4163" s="49" t="str">
        <f aca="false">"5060458890191"</f>
        <v>5060458890191</v>
      </c>
      <c r="F4163" s="49" t="s">
        <v>3656</v>
      </c>
      <c r="G4163" s="49" t="n">
        <v>0</v>
      </c>
      <c r="H4163" s="0" t="n">
        <v>0</v>
      </c>
      <c r="M4163" s="51" t="s">
        <v>7995</v>
      </c>
      <c r="N4163" s="49" t="n">
        <v>0</v>
      </c>
      <c r="O4163" s="53" t="n">
        <v>45788.6266319445</v>
      </c>
      <c r="P4163" s="53" t="n">
        <v>45818.7136689815</v>
      </c>
      <c r="Q4163" s="53" t="n">
        <v>45788.6266319445</v>
      </c>
      <c r="R4163" s="0" t="n">
        <v>0</v>
      </c>
      <c r="S4163" s="51" t="s">
        <v>2416</v>
      </c>
      <c r="T4163" s="51" t="s">
        <v>2416</v>
      </c>
      <c r="U4163" s="0" t="str">
        <f aca="false">"5060458890191"</f>
        <v>5060458890191</v>
      </c>
      <c r="V4163" s="51" t="s">
        <v>2142</v>
      </c>
      <c r="W4163" s="51" t="s">
        <v>8028</v>
      </c>
      <c r="X4163" s="51" t="s">
        <v>2359</v>
      </c>
    </row>
    <row r="4164" customFormat="false" ht="14.25" hidden="true" customHeight="false" outlineLevel="0" collapsed="false">
      <c r="A4164" s="49" t="s">
        <v>2349</v>
      </c>
      <c r="B4164" s="49" t="s">
        <v>2350</v>
      </c>
      <c r="C4164" s="49" t="s">
        <v>8029</v>
      </c>
      <c r="D4164" s="49" t="s">
        <v>2352</v>
      </c>
      <c r="E4164" s="49" t="str">
        <f aca="false">"5060458890191"</f>
        <v>5060458890191</v>
      </c>
      <c r="F4164" s="49" t="s">
        <v>3656</v>
      </c>
      <c r="G4164" s="49" t="n">
        <v>0</v>
      </c>
      <c r="H4164" s="0" t="n">
        <v>0</v>
      </c>
      <c r="M4164" s="51" t="s">
        <v>7995</v>
      </c>
      <c r="N4164" s="49" t="n">
        <v>0</v>
      </c>
      <c r="O4164" s="53" t="n">
        <v>45788.6267476852</v>
      </c>
      <c r="P4164" s="53" t="n">
        <v>45825.8218287037</v>
      </c>
      <c r="Q4164" s="53" t="n">
        <v>45788.6267476852</v>
      </c>
      <c r="R4164" s="0" t="n">
        <v>0</v>
      </c>
      <c r="S4164" s="51" t="s">
        <v>2416</v>
      </c>
      <c r="T4164" s="51" t="s">
        <v>2416</v>
      </c>
      <c r="U4164" s="0" t="str">
        <f aca="false">"5060458890191"</f>
        <v>5060458890191</v>
      </c>
      <c r="V4164" s="51" t="s">
        <v>2142</v>
      </c>
      <c r="W4164" s="51" t="s">
        <v>8030</v>
      </c>
      <c r="X4164" s="51" t="s">
        <v>2359</v>
      </c>
    </row>
    <row r="4165" customFormat="false" ht="14.25" hidden="true" customHeight="false" outlineLevel="0" collapsed="false">
      <c r="A4165" s="49" t="s">
        <v>2349</v>
      </c>
      <c r="B4165" s="49" t="s">
        <v>2350</v>
      </c>
      <c r="C4165" s="49" t="s">
        <v>8031</v>
      </c>
      <c r="D4165" s="49" t="s">
        <v>2352</v>
      </c>
      <c r="E4165" s="49" t="str">
        <f aca="false">"5060458890191"</f>
        <v>5060458890191</v>
      </c>
      <c r="F4165" s="49" t="s">
        <v>3656</v>
      </c>
      <c r="G4165" s="49" t="n">
        <v>0</v>
      </c>
      <c r="H4165" s="0" t="n">
        <v>0</v>
      </c>
      <c r="M4165" s="51" t="s">
        <v>7995</v>
      </c>
      <c r="N4165" s="49" t="n">
        <v>0</v>
      </c>
      <c r="O4165" s="53" t="n">
        <v>45788.626875</v>
      </c>
      <c r="P4165" s="53" t="n">
        <v>45818.7150231482</v>
      </c>
      <c r="Q4165" s="53" t="n">
        <v>45788.626875</v>
      </c>
      <c r="R4165" s="0" t="n">
        <v>0</v>
      </c>
      <c r="S4165" s="51" t="s">
        <v>2416</v>
      </c>
      <c r="T4165" s="51" t="s">
        <v>2416</v>
      </c>
      <c r="U4165" s="0" t="str">
        <f aca="false">"5060458890191"</f>
        <v>5060458890191</v>
      </c>
      <c r="V4165" s="51" t="s">
        <v>2142</v>
      </c>
      <c r="W4165" s="51" t="s">
        <v>8032</v>
      </c>
      <c r="X4165" s="51" t="s">
        <v>2359</v>
      </c>
    </row>
    <row r="4166" customFormat="false" ht="14.25" hidden="true" customHeight="false" outlineLevel="0" collapsed="false">
      <c r="A4166" s="49" t="s">
        <v>2349</v>
      </c>
      <c r="B4166" s="49" t="s">
        <v>2350</v>
      </c>
      <c r="C4166" s="49" t="s">
        <v>8033</v>
      </c>
      <c r="D4166" s="49" t="s">
        <v>2352</v>
      </c>
      <c r="E4166" s="49" t="str">
        <f aca="false">"5060458890191"</f>
        <v>5060458890191</v>
      </c>
      <c r="F4166" s="49" t="s">
        <v>3656</v>
      </c>
      <c r="G4166" s="49" t="n">
        <v>0</v>
      </c>
      <c r="H4166" s="0" t="n">
        <v>0</v>
      </c>
      <c r="M4166" s="51" t="s">
        <v>7995</v>
      </c>
      <c r="N4166" s="49" t="n">
        <v>0</v>
      </c>
      <c r="O4166" s="53" t="n">
        <v>45788.6269791667</v>
      </c>
      <c r="P4166" s="53" t="n">
        <v>45818.7169097222</v>
      </c>
      <c r="Q4166" s="53" t="n">
        <v>45788.6269791667</v>
      </c>
      <c r="R4166" s="0" t="n">
        <v>0</v>
      </c>
      <c r="S4166" s="51" t="s">
        <v>2416</v>
      </c>
      <c r="T4166" s="51" t="s">
        <v>2416</v>
      </c>
      <c r="U4166" s="0" t="str">
        <f aca="false">"5060458890191"</f>
        <v>5060458890191</v>
      </c>
      <c r="V4166" s="51" t="s">
        <v>2142</v>
      </c>
      <c r="W4166" s="51" t="s">
        <v>8034</v>
      </c>
      <c r="X4166" s="51" t="s">
        <v>2359</v>
      </c>
    </row>
    <row r="4167" customFormat="false" ht="14.25" hidden="true" customHeight="false" outlineLevel="0" collapsed="false">
      <c r="A4167" s="49" t="s">
        <v>2349</v>
      </c>
      <c r="B4167" s="49" t="s">
        <v>2350</v>
      </c>
      <c r="C4167" s="49" t="s">
        <v>8035</v>
      </c>
      <c r="D4167" s="49" t="s">
        <v>2352</v>
      </c>
      <c r="E4167" s="49" t="str">
        <f aca="false">"5060458890191"</f>
        <v>5060458890191</v>
      </c>
      <c r="F4167" s="49" t="s">
        <v>3656</v>
      </c>
      <c r="G4167" s="49" t="n">
        <v>0</v>
      </c>
      <c r="H4167" s="0" t="n">
        <v>0</v>
      </c>
      <c r="M4167" s="51" t="s">
        <v>7995</v>
      </c>
      <c r="N4167" s="49" t="n">
        <v>0</v>
      </c>
      <c r="O4167" s="53" t="n">
        <v>45788.6270949074</v>
      </c>
      <c r="P4167" s="53" t="n">
        <v>45818.7201967593</v>
      </c>
      <c r="Q4167" s="53" t="n">
        <v>45788.6270949074</v>
      </c>
      <c r="R4167" s="0" t="n">
        <v>0</v>
      </c>
      <c r="S4167" s="51" t="s">
        <v>2416</v>
      </c>
      <c r="T4167" s="51" t="s">
        <v>2416</v>
      </c>
      <c r="U4167" s="0" t="str">
        <f aca="false">"5060458890191"</f>
        <v>5060458890191</v>
      </c>
      <c r="V4167" s="51" t="s">
        <v>2142</v>
      </c>
      <c r="W4167" s="51" t="s">
        <v>8036</v>
      </c>
      <c r="X4167" s="51" t="s">
        <v>2359</v>
      </c>
    </row>
    <row r="4168" customFormat="false" ht="14.25" hidden="true" customHeight="false" outlineLevel="0" collapsed="false">
      <c r="A4168" s="49" t="s">
        <v>2349</v>
      </c>
      <c r="B4168" s="49" t="s">
        <v>2350</v>
      </c>
      <c r="C4168" s="49" t="s">
        <v>8037</v>
      </c>
      <c r="D4168" s="49" t="s">
        <v>2352</v>
      </c>
      <c r="E4168" s="49" t="str">
        <f aca="false">"5060458890191"</f>
        <v>5060458890191</v>
      </c>
      <c r="F4168" s="49" t="s">
        <v>3656</v>
      </c>
      <c r="G4168" s="49" t="n">
        <v>0</v>
      </c>
      <c r="H4168" s="0" t="n">
        <v>0</v>
      </c>
      <c r="M4168" s="51" t="s">
        <v>7995</v>
      </c>
      <c r="N4168" s="49" t="n">
        <v>0</v>
      </c>
      <c r="O4168" s="53" t="n">
        <v>45788.6272106482</v>
      </c>
      <c r="P4168" s="53" t="n">
        <v>45818.7222800926</v>
      </c>
      <c r="Q4168" s="53" t="n">
        <v>45788.6272106482</v>
      </c>
      <c r="R4168" s="0" t="n">
        <v>0</v>
      </c>
      <c r="S4168" s="51" t="s">
        <v>2416</v>
      </c>
      <c r="T4168" s="51" t="s">
        <v>2416</v>
      </c>
      <c r="U4168" s="0" t="str">
        <f aca="false">"5060458890191"</f>
        <v>5060458890191</v>
      </c>
      <c r="V4168" s="51" t="s">
        <v>2142</v>
      </c>
      <c r="W4168" s="51" t="s">
        <v>8038</v>
      </c>
      <c r="X4168" s="51" t="s">
        <v>2359</v>
      </c>
    </row>
    <row r="4169" customFormat="false" ht="14.25" hidden="true" customHeight="false" outlineLevel="0" collapsed="false">
      <c r="A4169" s="49" t="s">
        <v>2349</v>
      </c>
      <c r="B4169" s="49" t="s">
        <v>2350</v>
      </c>
      <c r="C4169" s="49" t="s">
        <v>8039</v>
      </c>
      <c r="D4169" s="49" t="s">
        <v>2352</v>
      </c>
      <c r="E4169" s="49" t="str">
        <f aca="false">"5060458890191"</f>
        <v>5060458890191</v>
      </c>
      <c r="F4169" s="49" t="s">
        <v>3656</v>
      </c>
      <c r="G4169" s="49" t="n">
        <v>0</v>
      </c>
      <c r="H4169" s="0" t="n">
        <v>0</v>
      </c>
      <c r="M4169" s="51" t="s">
        <v>7995</v>
      </c>
      <c r="N4169" s="49" t="n">
        <v>0</v>
      </c>
      <c r="O4169" s="53" t="n">
        <v>45788.627349537</v>
      </c>
      <c r="P4169" s="53" t="n">
        <v>45805.4669560185</v>
      </c>
      <c r="Q4169" s="53" t="n">
        <v>45788.627349537</v>
      </c>
      <c r="R4169" s="0" t="n">
        <v>0</v>
      </c>
      <c r="S4169" s="51" t="s">
        <v>2416</v>
      </c>
      <c r="T4169" s="51" t="s">
        <v>2416</v>
      </c>
      <c r="U4169" s="0" t="str">
        <f aca="false">"5060458890191"</f>
        <v>5060458890191</v>
      </c>
      <c r="V4169" s="51" t="s">
        <v>2142</v>
      </c>
      <c r="W4169" s="51" t="s">
        <v>6661</v>
      </c>
      <c r="X4169" s="51" t="s">
        <v>2359</v>
      </c>
    </row>
    <row r="4170" customFormat="false" ht="14.25" hidden="true" customHeight="false" outlineLevel="0" collapsed="false">
      <c r="A4170" s="49" t="s">
        <v>2349</v>
      </c>
      <c r="B4170" s="49" t="s">
        <v>2350</v>
      </c>
      <c r="C4170" s="49" t="s">
        <v>8040</v>
      </c>
      <c r="D4170" s="49" t="s">
        <v>2352</v>
      </c>
      <c r="E4170" s="49" t="str">
        <f aca="false">"5060458890191"</f>
        <v>5060458890191</v>
      </c>
      <c r="F4170" s="49" t="s">
        <v>3656</v>
      </c>
      <c r="G4170" s="49" t="n">
        <v>0</v>
      </c>
      <c r="H4170" s="0" t="n">
        <v>0</v>
      </c>
      <c r="M4170" s="51" t="s">
        <v>7995</v>
      </c>
      <c r="N4170" s="49" t="n">
        <v>0</v>
      </c>
      <c r="O4170" s="53" t="n">
        <v>45788.6274537037</v>
      </c>
      <c r="P4170" s="53" t="n">
        <v>45818.685787037</v>
      </c>
      <c r="Q4170" s="53" t="n">
        <v>45788.6274537037</v>
      </c>
      <c r="R4170" s="0" t="n">
        <v>0</v>
      </c>
      <c r="S4170" s="51" t="s">
        <v>2416</v>
      </c>
      <c r="T4170" s="51" t="s">
        <v>2416</v>
      </c>
      <c r="U4170" s="0" t="str">
        <f aca="false">"5060458890191"</f>
        <v>5060458890191</v>
      </c>
      <c r="V4170" s="51" t="s">
        <v>2142</v>
      </c>
      <c r="W4170" s="51" t="s">
        <v>8041</v>
      </c>
      <c r="X4170" s="51" t="s">
        <v>2359</v>
      </c>
    </row>
    <row r="4171" customFormat="false" ht="14.25" hidden="true" customHeight="false" outlineLevel="0" collapsed="false">
      <c r="A4171" s="49" t="s">
        <v>2349</v>
      </c>
      <c r="B4171" s="49" t="s">
        <v>2350</v>
      </c>
      <c r="C4171" s="49" t="s">
        <v>8042</v>
      </c>
      <c r="D4171" s="49" t="s">
        <v>2352</v>
      </c>
      <c r="E4171" s="49" t="str">
        <f aca="false">"5060458890191"</f>
        <v>5060458890191</v>
      </c>
      <c r="F4171" s="49" t="s">
        <v>3656</v>
      </c>
      <c r="G4171" s="49" t="n">
        <v>0</v>
      </c>
      <c r="H4171" s="0" t="n">
        <v>0</v>
      </c>
      <c r="M4171" s="51" t="s">
        <v>7995</v>
      </c>
      <c r="N4171" s="49" t="n">
        <v>0</v>
      </c>
      <c r="O4171" s="53" t="n">
        <v>45788.6275462963</v>
      </c>
      <c r="P4171" s="53" t="n">
        <v>45818.689525463</v>
      </c>
      <c r="Q4171" s="53" t="n">
        <v>45788.6275462963</v>
      </c>
      <c r="R4171" s="0" t="n">
        <v>0</v>
      </c>
      <c r="S4171" s="51" t="s">
        <v>2416</v>
      </c>
      <c r="T4171" s="51" t="s">
        <v>2416</v>
      </c>
      <c r="U4171" s="0" t="str">
        <f aca="false">"5060458890191"</f>
        <v>5060458890191</v>
      </c>
      <c r="V4171" s="51" t="s">
        <v>2142</v>
      </c>
      <c r="W4171" s="51" t="s">
        <v>8043</v>
      </c>
      <c r="X4171" s="51" t="s">
        <v>2359</v>
      </c>
    </row>
    <row r="4172" customFormat="false" ht="14.25" hidden="true" customHeight="false" outlineLevel="0" collapsed="false">
      <c r="A4172" s="49" t="s">
        <v>2349</v>
      </c>
      <c r="B4172" s="49" t="s">
        <v>2350</v>
      </c>
      <c r="C4172" s="49" t="s">
        <v>8044</v>
      </c>
      <c r="D4172" s="49" t="s">
        <v>2352</v>
      </c>
      <c r="E4172" s="49" t="str">
        <f aca="false">"5060458890191"</f>
        <v>5060458890191</v>
      </c>
      <c r="F4172" s="49" t="s">
        <v>3656</v>
      </c>
      <c r="G4172" s="49" t="n">
        <v>0</v>
      </c>
      <c r="H4172" s="0" t="n">
        <v>0</v>
      </c>
      <c r="M4172" s="51" t="s">
        <v>7995</v>
      </c>
      <c r="N4172" s="49" t="n">
        <v>0</v>
      </c>
      <c r="O4172" s="53" t="n">
        <v>45788.627650463</v>
      </c>
      <c r="P4172" s="53" t="n">
        <v>45818.6903009259</v>
      </c>
      <c r="Q4172" s="53" t="n">
        <v>45788.627650463</v>
      </c>
      <c r="R4172" s="0" t="n">
        <v>0</v>
      </c>
      <c r="S4172" s="51" t="s">
        <v>2416</v>
      </c>
      <c r="T4172" s="51" t="s">
        <v>2416</v>
      </c>
      <c r="U4172" s="0" t="str">
        <f aca="false">"5060458890191"</f>
        <v>5060458890191</v>
      </c>
      <c r="V4172" s="51" t="s">
        <v>2142</v>
      </c>
      <c r="W4172" s="51" t="s">
        <v>6943</v>
      </c>
      <c r="X4172" s="51" t="s">
        <v>2359</v>
      </c>
    </row>
    <row r="4173" customFormat="false" ht="14.25" hidden="true" customHeight="false" outlineLevel="0" collapsed="false">
      <c r="A4173" s="49" t="s">
        <v>2349</v>
      </c>
      <c r="B4173" s="49" t="s">
        <v>2350</v>
      </c>
      <c r="C4173" s="49" t="s">
        <v>8045</v>
      </c>
      <c r="D4173" s="49" t="s">
        <v>2352</v>
      </c>
      <c r="E4173" s="49" t="str">
        <f aca="false">"5060458890191"</f>
        <v>5060458890191</v>
      </c>
      <c r="F4173" s="49" t="s">
        <v>3656</v>
      </c>
      <c r="G4173" s="49" t="n">
        <v>0</v>
      </c>
      <c r="H4173" s="0" t="n">
        <v>0</v>
      </c>
      <c r="M4173" s="51" t="s">
        <v>7995</v>
      </c>
      <c r="N4173" s="49" t="n">
        <v>0</v>
      </c>
      <c r="O4173" s="53" t="n">
        <v>45788.6277314815</v>
      </c>
      <c r="P4173" s="53" t="n">
        <v>45818.6927430556</v>
      </c>
      <c r="Q4173" s="53" t="n">
        <v>45788.6277314815</v>
      </c>
      <c r="R4173" s="0" t="n">
        <v>0</v>
      </c>
      <c r="S4173" s="51" t="s">
        <v>2416</v>
      </c>
      <c r="T4173" s="51" t="s">
        <v>2416</v>
      </c>
      <c r="U4173" s="0" t="str">
        <f aca="false">"5060458890191"</f>
        <v>5060458890191</v>
      </c>
      <c r="V4173" s="51" t="s">
        <v>2142</v>
      </c>
      <c r="W4173" s="51" t="s">
        <v>8046</v>
      </c>
      <c r="X4173" s="51" t="s">
        <v>2359</v>
      </c>
    </row>
    <row r="4174" customFormat="false" ht="14.25" hidden="true" customHeight="false" outlineLevel="0" collapsed="false">
      <c r="A4174" s="49" t="s">
        <v>2349</v>
      </c>
      <c r="B4174" s="49" t="s">
        <v>2350</v>
      </c>
      <c r="C4174" s="49" t="s">
        <v>8047</v>
      </c>
      <c r="D4174" s="49" t="s">
        <v>2352</v>
      </c>
      <c r="E4174" s="49" t="str">
        <f aca="false">"5060458890191"</f>
        <v>5060458890191</v>
      </c>
      <c r="F4174" s="49" t="s">
        <v>3656</v>
      </c>
      <c r="G4174" s="49" t="n">
        <v>0</v>
      </c>
      <c r="H4174" s="0" t="n">
        <v>0</v>
      </c>
      <c r="M4174" s="51" t="s">
        <v>7995</v>
      </c>
      <c r="N4174" s="49" t="n">
        <v>0</v>
      </c>
      <c r="O4174" s="53" t="n">
        <v>45788.6278472222</v>
      </c>
      <c r="P4174" s="53" t="n">
        <v>45818.6957638889</v>
      </c>
      <c r="Q4174" s="53" t="n">
        <v>45788.6278472222</v>
      </c>
      <c r="R4174" s="0" t="n">
        <v>0</v>
      </c>
      <c r="S4174" s="51" t="s">
        <v>2416</v>
      </c>
      <c r="T4174" s="51" t="s">
        <v>2416</v>
      </c>
      <c r="U4174" s="0" t="str">
        <f aca="false">"5060458890191"</f>
        <v>5060458890191</v>
      </c>
      <c r="V4174" s="51" t="s">
        <v>2142</v>
      </c>
      <c r="W4174" s="51" t="s">
        <v>8048</v>
      </c>
      <c r="X4174" s="51" t="s">
        <v>2359</v>
      </c>
    </row>
    <row r="4175" customFormat="false" ht="14.25" hidden="true" customHeight="false" outlineLevel="0" collapsed="false">
      <c r="A4175" s="49" t="s">
        <v>2349</v>
      </c>
      <c r="B4175" s="49" t="s">
        <v>2350</v>
      </c>
      <c r="C4175" s="49" t="s">
        <v>8049</v>
      </c>
      <c r="D4175" s="49" t="s">
        <v>2352</v>
      </c>
      <c r="E4175" s="49" t="str">
        <f aca="false">"5060458890191"</f>
        <v>5060458890191</v>
      </c>
      <c r="F4175" s="49" t="s">
        <v>3656</v>
      </c>
      <c r="G4175" s="49" t="n">
        <v>0</v>
      </c>
      <c r="H4175" s="0" t="n">
        <v>0</v>
      </c>
      <c r="M4175" s="51" t="s">
        <v>7995</v>
      </c>
      <c r="N4175" s="49" t="n">
        <v>0</v>
      </c>
      <c r="O4175" s="53" t="n">
        <v>45788.6281018519</v>
      </c>
      <c r="P4175" s="53" t="n">
        <v>45818.6934027778</v>
      </c>
      <c r="Q4175" s="53" t="n">
        <v>45788.6281018519</v>
      </c>
      <c r="R4175" s="0" t="n">
        <v>0</v>
      </c>
      <c r="S4175" s="51" t="s">
        <v>2416</v>
      </c>
      <c r="T4175" s="51" t="s">
        <v>2416</v>
      </c>
      <c r="U4175" s="0" t="str">
        <f aca="false">"5060458890191"</f>
        <v>5060458890191</v>
      </c>
      <c r="V4175" s="51" t="s">
        <v>2142</v>
      </c>
      <c r="W4175" s="51" t="s">
        <v>8050</v>
      </c>
      <c r="X4175" s="51" t="s">
        <v>2359</v>
      </c>
    </row>
    <row r="4176" customFormat="false" ht="14.25" hidden="true" customHeight="false" outlineLevel="0" collapsed="false">
      <c r="A4176" s="49" t="s">
        <v>2349</v>
      </c>
      <c r="B4176" s="49" t="s">
        <v>2350</v>
      </c>
      <c r="C4176" s="49" t="s">
        <v>8051</v>
      </c>
      <c r="D4176" s="49" t="s">
        <v>2352</v>
      </c>
      <c r="E4176" s="49" t="str">
        <f aca="false">"5060458890191"</f>
        <v>5060458890191</v>
      </c>
      <c r="F4176" s="49" t="s">
        <v>3656</v>
      </c>
      <c r="G4176" s="49" t="n">
        <v>0</v>
      </c>
      <c r="H4176" s="0" t="n">
        <v>0</v>
      </c>
      <c r="M4176" s="51" t="s">
        <v>7995</v>
      </c>
      <c r="N4176" s="49" t="n">
        <v>0</v>
      </c>
      <c r="O4176" s="53" t="n">
        <v>45788.6282175926</v>
      </c>
      <c r="P4176" s="53" t="n">
        <v>45818.7106597222</v>
      </c>
      <c r="Q4176" s="53" t="n">
        <v>45788.6282175926</v>
      </c>
      <c r="R4176" s="0" t="n">
        <v>0</v>
      </c>
      <c r="S4176" s="51" t="s">
        <v>2416</v>
      </c>
      <c r="T4176" s="51" t="s">
        <v>2416</v>
      </c>
      <c r="U4176" s="0" t="str">
        <f aca="false">"5060458890191"</f>
        <v>5060458890191</v>
      </c>
      <c r="V4176" s="51" t="s">
        <v>2142</v>
      </c>
      <c r="W4176" s="51" t="s">
        <v>5459</v>
      </c>
      <c r="X4176" s="51" t="s">
        <v>2359</v>
      </c>
    </row>
    <row r="4177" customFormat="false" ht="14.25" hidden="true" customHeight="false" outlineLevel="0" collapsed="false">
      <c r="A4177" s="49" t="s">
        <v>2349</v>
      </c>
      <c r="B4177" s="49" t="s">
        <v>2350</v>
      </c>
      <c r="C4177" s="49" t="s">
        <v>8052</v>
      </c>
      <c r="D4177" s="49" t="s">
        <v>2352</v>
      </c>
      <c r="E4177" s="49" t="str">
        <f aca="false">"5060458890191"</f>
        <v>5060458890191</v>
      </c>
      <c r="F4177" s="49" t="s">
        <v>3656</v>
      </c>
      <c r="G4177" s="49" t="n">
        <v>0</v>
      </c>
      <c r="H4177" s="0" t="n">
        <v>0</v>
      </c>
      <c r="M4177" s="51" t="s">
        <v>7995</v>
      </c>
      <c r="N4177" s="49" t="n">
        <v>0</v>
      </c>
      <c r="O4177" s="53" t="n">
        <v>45788.6283333333</v>
      </c>
      <c r="P4177" s="53" t="n">
        <v>45818.7159027778</v>
      </c>
      <c r="Q4177" s="53" t="n">
        <v>45788.6283333333</v>
      </c>
      <c r="R4177" s="0" t="n">
        <v>0</v>
      </c>
      <c r="S4177" s="51" t="s">
        <v>2416</v>
      </c>
      <c r="T4177" s="51" t="s">
        <v>2416</v>
      </c>
      <c r="U4177" s="0" t="str">
        <f aca="false">"5060458890191"</f>
        <v>5060458890191</v>
      </c>
      <c r="V4177" s="51" t="s">
        <v>2142</v>
      </c>
      <c r="W4177" s="51" t="s">
        <v>8053</v>
      </c>
      <c r="X4177" s="51" t="s">
        <v>2359</v>
      </c>
    </row>
    <row r="4178" customFormat="false" ht="14.25" hidden="true" customHeight="false" outlineLevel="0" collapsed="false">
      <c r="A4178" s="49" t="s">
        <v>2349</v>
      </c>
      <c r="B4178" s="49" t="s">
        <v>2350</v>
      </c>
      <c r="C4178" s="49" t="s">
        <v>8054</v>
      </c>
      <c r="D4178" s="49" t="s">
        <v>2352</v>
      </c>
      <c r="E4178" s="49" t="str">
        <f aca="false">"5060458890191"</f>
        <v>5060458890191</v>
      </c>
      <c r="F4178" s="49" t="s">
        <v>3656</v>
      </c>
      <c r="G4178" s="49" t="n">
        <v>0</v>
      </c>
      <c r="H4178" s="0" t="n">
        <v>0</v>
      </c>
      <c r="M4178" s="51" t="s">
        <v>7995</v>
      </c>
      <c r="N4178" s="49" t="n">
        <v>0</v>
      </c>
      <c r="O4178" s="53" t="n">
        <v>45788.6284722222</v>
      </c>
      <c r="P4178" s="53" t="n">
        <v>45818.7129282407</v>
      </c>
      <c r="Q4178" s="53" t="n">
        <v>45788.6284722222</v>
      </c>
      <c r="R4178" s="0" t="n">
        <v>0</v>
      </c>
      <c r="S4178" s="51" t="s">
        <v>2416</v>
      </c>
      <c r="T4178" s="51" t="s">
        <v>2416</v>
      </c>
      <c r="U4178" s="0" t="str">
        <f aca="false">"5060458890191"</f>
        <v>5060458890191</v>
      </c>
      <c r="V4178" s="51" t="s">
        <v>2142</v>
      </c>
      <c r="W4178" s="51" t="s">
        <v>8055</v>
      </c>
      <c r="X4178" s="51" t="s">
        <v>2359</v>
      </c>
    </row>
    <row r="4179" customFormat="false" ht="14.25" hidden="true" customHeight="false" outlineLevel="0" collapsed="false">
      <c r="A4179" s="49" t="s">
        <v>2349</v>
      </c>
      <c r="B4179" s="49" t="s">
        <v>2350</v>
      </c>
      <c r="C4179" s="49" t="s">
        <v>8056</v>
      </c>
      <c r="D4179" s="49" t="s">
        <v>2352</v>
      </c>
      <c r="E4179" s="49" t="str">
        <f aca="false">"5060458890191"</f>
        <v>5060458890191</v>
      </c>
      <c r="F4179" s="49" t="s">
        <v>3656</v>
      </c>
      <c r="G4179" s="49" t="n">
        <v>0</v>
      </c>
      <c r="H4179" s="0" t="n">
        <v>0</v>
      </c>
      <c r="M4179" s="51" t="s">
        <v>7995</v>
      </c>
      <c r="N4179" s="49" t="n">
        <v>0</v>
      </c>
      <c r="O4179" s="53" t="n">
        <v>45788.6286111111</v>
      </c>
      <c r="P4179" s="53" t="n">
        <v>45818.6829166667</v>
      </c>
      <c r="Q4179" s="53" t="n">
        <v>45788.6286111111</v>
      </c>
      <c r="R4179" s="0" t="n">
        <v>0</v>
      </c>
      <c r="S4179" s="51" t="s">
        <v>2416</v>
      </c>
      <c r="T4179" s="51" t="s">
        <v>2416</v>
      </c>
      <c r="U4179" s="0" t="str">
        <f aca="false">"5060458890191"</f>
        <v>5060458890191</v>
      </c>
      <c r="V4179" s="51" t="s">
        <v>2142</v>
      </c>
      <c r="W4179" s="51" t="s">
        <v>8057</v>
      </c>
      <c r="X4179" s="51" t="s">
        <v>2359</v>
      </c>
    </row>
    <row r="4180" customFormat="false" ht="14.25" hidden="true" customHeight="false" outlineLevel="0" collapsed="false">
      <c r="A4180" s="49" t="s">
        <v>2349</v>
      </c>
      <c r="B4180" s="49" t="s">
        <v>2350</v>
      </c>
      <c r="C4180" s="49" t="s">
        <v>8058</v>
      </c>
      <c r="D4180" s="49" t="s">
        <v>2352</v>
      </c>
      <c r="E4180" s="49" t="str">
        <f aca="false">"5060458890191"</f>
        <v>5060458890191</v>
      </c>
      <c r="F4180" s="49" t="s">
        <v>3656</v>
      </c>
      <c r="G4180" s="49" t="n">
        <v>0</v>
      </c>
      <c r="H4180" s="0" t="n">
        <v>0</v>
      </c>
      <c r="M4180" s="51" t="s">
        <v>7995</v>
      </c>
      <c r="N4180" s="49" t="n">
        <v>0</v>
      </c>
      <c r="O4180" s="53" t="n">
        <v>45788.6287152778</v>
      </c>
      <c r="P4180" s="53" t="n">
        <v>45812.5186689815</v>
      </c>
      <c r="Q4180" s="53" t="n">
        <v>45788.6287152778</v>
      </c>
      <c r="R4180" s="0" t="n">
        <v>0</v>
      </c>
      <c r="S4180" s="51" t="s">
        <v>2416</v>
      </c>
      <c r="T4180" s="51" t="s">
        <v>2416</v>
      </c>
      <c r="U4180" s="0" t="str">
        <f aca="false">"5060458890191"</f>
        <v>5060458890191</v>
      </c>
      <c r="V4180" s="51" t="s">
        <v>2142</v>
      </c>
      <c r="W4180" s="51" t="s">
        <v>4920</v>
      </c>
      <c r="X4180" s="51" t="s">
        <v>2359</v>
      </c>
    </row>
    <row r="4181" customFormat="false" ht="14.25" hidden="true" customHeight="false" outlineLevel="0" collapsed="false">
      <c r="A4181" s="49" t="s">
        <v>2349</v>
      </c>
      <c r="B4181" s="49" t="s">
        <v>2350</v>
      </c>
      <c r="C4181" s="49" t="s">
        <v>8059</v>
      </c>
      <c r="D4181" s="49" t="s">
        <v>2352</v>
      </c>
      <c r="E4181" s="49" t="str">
        <f aca="false">"5060458890191"</f>
        <v>5060458890191</v>
      </c>
      <c r="F4181" s="49" t="s">
        <v>3656</v>
      </c>
      <c r="G4181" s="49" t="n">
        <v>0</v>
      </c>
      <c r="H4181" s="0" t="n">
        <v>0</v>
      </c>
      <c r="M4181" s="51" t="s">
        <v>7995</v>
      </c>
      <c r="N4181" s="49" t="n">
        <v>0</v>
      </c>
      <c r="O4181" s="53" t="n">
        <v>45788.6288078704</v>
      </c>
      <c r="P4181" s="53" t="n">
        <v>45819.5755208333</v>
      </c>
      <c r="Q4181" s="53" t="n">
        <v>45788.6288078704</v>
      </c>
      <c r="R4181" s="0" t="n">
        <v>0</v>
      </c>
      <c r="S4181" s="51" t="s">
        <v>2416</v>
      </c>
      <c r="T4181" s="51" t="s">
        <v>2416</v>
      </c>
      <c r="U4181" s="0" t="str">
        <f aca="false">"5060458890191"</f>
        <v>5060458890191</v>
      </c>
      <c r="V4181" s="51" t="s">
        <v>2142</v>
      </c>
      <c r="W4181" s="51" t="s">
        <v>6360</v>
      </c>
      <c r="X4181" s="51" t="s">
        <v>2359</v>
      </c>
    </row>
    <row r="4182" customFormat="false" ht="14.25" hidden="true" customHeight="false" outlineLevel="0" collapsed="false">
      <c r="A4182" s="49" t="s">
        <v>2349</v>
      </c>
      <c r="B4182" s="49" t="s">
        <v>2350</v>
      </c>
      <c r="C4182" s="49" t="s">
        <v>8060</v>
      </c>
      <c r="D4182" s="49" t="s">
        <v>2352</v>
      </c>
      <c r="E4182" s="49" t="str">
        <f aca="false">"5060458890191"</f>
        <v>5060458890191</v>
      </c>
      <c r="F4182" s="49" t="s">
        <v>3656</v>
      </c>
      <c r="G4182" s="49" t="n">
        <v>0</v>
      </c>
      <c r="H4182" s="0" t="n">
        <v>0</v>
      </c>
      <c r="M4182" s="51" t="s">
        <v>7995</v>
      </c>
      <c r="N4182" s="49" t="n">
        <v>0</v>
      </c>
      <c r="O4182" s="53" t="n">
        <v>45788.6291435185</v>
      </c>
      <c r="P4182" s="53" t="n">
        <v>45818.7211921296</v>
      </c>
      <c r="Q4182" s="53" t="n">
        <v>45788.6291435185</v>
      </c>
      <c r="R4182" s="0" t="n">
        <v>0</v>
      </c>
      <c r="S4182" s="51" t="s">
        <v>2416</v>
      </c>
      <c r="T4182" s="51" t="s">
        <v>2416</v>
      </c>
      <c r="U4182" s="0" t="str">
        <f aca="false">"5060458890191"</f>
        <v>5060458890191</v>
      </c>
      <c r="V4182" s="51" t="s">
        <v>2142</v>
      </c>
      <c r="W4182" s="51" t="s">
        <v>8061</v>
      </c>
      <c r="X4182" s="51" t="s">
        <v>2359</v>
      </c>
    </row>
    <row r="4183" customFormat="false" ht="14.25" hidden="true" customHeight="false" outlineLevel="0" collapsed="false">
      <c r="A4183" s="49" t="s">
        <v>2349</v>
      </c>
      <c r="B4183" s="49" t="s">
        <v>2350</v>
      </c>
      <c r="C4183" s="49" t="s">
        <v>8062</v>
      </c>
      <c r="D4183" s="49" t="s">
        <v>2352</v>
      </c>
      <c r="E4183" s="49" t="str">
        <f aca="false">"5060458890191"</f>
        <v>5060458890191</v>
      </c>
      <c r="F4183" s="49" t="s">
        <v>3656</v>
      </c>
      <c r="G4183" s="49" t="n">
        <v>0</v>
      </c>
      <c r="H4183" s="0" t="n">
        <v>0</v>
      </c>
      <c r="M4183" s="51" t="s">
        <v>7995</v>
      </c>
      <c r="N4183" s="49" t="n">
        <v>0</v>
      </c>
      <c r="O4183" s="53" t="n">
        <v>45788.6292476852</v>
      </c>
      <c r="P4183" s="53" t="n">
        <v>45812.5179513889</v>
      </c>
      <c r="Q4183" s="53" t="n">
        <v>45788.6292476852</v>
      </c>
      <c r="R4183" s="0" t="n">
        <v>0</v>
      </c>
      <c r="S4183" s="51" t="s">
        <v>2416</v>
      </c>
      <c r="T4183" s="51" t="s">
        <v>2416</v>
      </c>
      <c r="U4183" s="0" t="str">
        <f aca="false">"5060458890191"</f>
        <v>5060458890191</v>
      </c>
      <c r="V4183" s="51" t="s">
        <v>2142</v>
      </c>
      <c r="W4183" s="51" t="s">
        <v>8063</v>
      </c>
      <c r="X4183" s="51" t="s">
        <v>2359</v>
      </c>
    </row>
    <row r="4184" customFormat="false" ht="14.25" hidden="true" customHeight="false" outlineLevel="0" collapsed="false">
      <c r="A4184" s="49" t="s">
        <v>2349</v>
      </c>
      <c r="B4184" s="49" t="s">
        <v>2350</v>
      </c>
      <c r="C4184" s="49" t="s">
        <v>8064</v>
      </c>
      <c r="D4184" s="49" t="s">
        <v>2352</v>
      </c>
      <c r="E4184" s="49" t="str">
        <f aca="false">"12464079"</f>
        <v>12464079</v>
      </c>
      <c r="F4184" s="49" t="s">
        <v>4706</v>
      </c>
      <c r="G4184" s="49" t="n">
        <v>0</v>
      </c>
      <c r="H4184" s="0" t="n">
        <v>0</v>
      </c>
      <c r="M4184" s="51" t="s">
        <v>8065</v>
      </c>
      <c r="N4184" s="49" t="n">
        <v>0</v>
      </c>
      <c r="O4184" s="53" t="n">
        <v>45831.5970949074</v>
      </c>
      <c r="P4184" s="53" t="n">
        <v>45832.3119444444</v>
      </c>
      <c r="R4184" s="0" t="n">
        <v>0</v>
      </c>
      <c r="T4184" s="51" t="s">
        <v>2436</v>
      </c>
      <c r="U4184" s="0" t="str">
        <f aca="false">"12464079"</f>
        <v>12464079</v>
      </c>
      <c r="V4184" s="51" t="s">
        <v>2365</v>
      </c>
      <c r="W4184" s="51" t="s">
        <v>4501</v>
      </c>
      <c r="X4184" s="51" t="s">
        <v>2359</v>
      </c>
    </row>
    <row r="4185" customFormat="false" ht="14.25" hidden="true" customHeight="false" outlineLevel="0" collapsed="false">
      <c r="A4185" s="49" t="s">
        <v>2349</v>
      </c>
      <c r="B4185" s="49" t="s">
        <v>2350</v>
      </c>
      <c r="C4185" s="49" t="s">
        <v>8066</v>
      </c>
      <c r="D4185" s="49" t="s">
        <v>2352</v>
      </c>
      <c r="E4185" s="49" t="str">
        <f aca="false">"12464079"</f>
        <v>12464079</v>
      </c>
      <c r="F4185" s="49" t="s">
        <v>4706</v>
      </c>
      <c r="G4185" s="49" t="n">
        <v>0</v>
      </c>
      <c r="H4185" s="0" t="n">
        <v>0</v>
      </c>
      <c r="M4185" s="51" t="s">
        <v>8065</v>
      </c>
      <c r="N4185" s="49" t="n">
        <v>0</v>
      </c>
      <c r="O4185" s="53" t="n">
        <v>45801.6007175926</v>
      </c>
      <c r="P4185" s="53" t="n">
        <v>45832.8161921296</v>
      </c>
      <c r="Q4185" s="53" t="n">
        <v>45801.6007175926</v>
      </c>
      <c r="R4185" s="0" t="n">
        <v>0</v>
      </c>
      <c r="S4185" s="51" t="s">
        <v>4015</v>
      </c>
      <c r="T4185" s="51" t="s">
        <v>4015</v>
      </c>
      <c r="U4185" s="0" t="str">
        <f aca="false">"12464079"</f>
        <v>12464079</v>
      </c>
      <c r="V4185" s="51" t="s">
        <v>2365</v>
      </c>
      <c r="W4185" s="51" t="s">
        <v>8067</v>
      </c>
      <c r="X4185" s="51" t="s">
        <v>2359</v>
      </c>
    </row>
    <row r="4186" customFormat="false" ht="14.25" hidden="true" customHeight="false" outlineLevel="0" collapsed="false">
      <c r="A4186" s="49" t="s">
        <v>2349</v>
      </c>
      <c r="B4186" s="49" t="s">
        <v>2350</v>
      </c>
      <c r="C4186" s="49" t="s">
        <v>8068</v>
      </c>
      <c r="D4186" s="49" t="s">
        <v>2352</v>
      </c>
      <c r="E4186" s="49" t="str">
        <f aca="false">"12464079"</f>
        <v>12464079</v>
      </c>
      <c r="F4186" s="49" t="s">
        <v>4706</v>
      </c>
      <c r="G4186" s="49" t="n">
        <v>0</v>
      </c>
      <c r="H4186" s="0" t="n">
        <v>0</v>
      </c>
      <c r="M4186" s="51" t="s">
        <v>8065</v>
      </c>
      <c r="N4186" s="49" t="n">
        <v>0</v>
      </c>
      <c r="O4186" s="53" t="n">
        <v>45801.6008564815</v>
      </c>
      <c r="P4186" s="53" t="n">
        <v>45825.8526736111</v>
      </c>
      <c r="Q4186" s="53" t="n">
        <v>45801.6008564815</v>
      </c>
      <c r="R4186" s="0" t="n">
        <v>0</v>
      </c>
      <c r="S4186" s="51" t="s">
        <v>4015</v>
      </c>
      <c r="T4186" s="51" t="s">
        <v>4015</v>
      </c>
      <c r="U4186" s="0" t="str">
        <f aca="false">"12464079"</f>
        <v>12464079</v>
      </c>
      <c r="V4186" s="51" t="s">
        <v>2365</v>
      </c>
      <c r="W4186" s="51" t="s">
        <v>4871</v>
      </c>
      <c r="X4186" s="51" t="s">
        <v>2359</v>
      </c>
    </row>
    <row r="4187" customFormat="false" ht="14.25" hidden="true" customHeight="false" outlineLevel="0" collapsed="false">
      <c r="A4187" s="49" t="s">
        <v>2349</v>
      </c>
      <c r="B4187" s="49" t="s">
        <v>2350</v>
      </c>
      <c r="C4187" s="49" t="s">
        <v>8069</v>
      </c>
      <c r="D4187" s="49" t="s">
        <v>2352</v>
      </c>
      <c r="E4187" s="49" t="str">
        <f aca="false">"12464079"</f>
        <v>12464079</v>
      </c>
      <c r="F4187" s="49" t="s">
        <v>4706</v>
      </c>
      <c r="G4187" s="49" t="n">
        <v>0</v>
      </c>
      <c r="H4187" s="0" t="n">
        <v>0</v>
      </c>
      <c r="M4187" s="51" t="s">
        <v>8065</v>
      </c>
      <c r="N4187" s="49" t="n">
        <v>0</v>
      </c>
      <c r="O4187" s="53" t="n">
        <v>45801.6010069444</v>
      </c>
      <c r="P4187" s="53" t="n">
        <v>45832.3139814815</v>
      </c>
      <c r="Q4187" s="53" t="n">
        <v>45801.6010069444</v>
      </c>
      <c r="R4187" s="0" t="n">
        <v>0</v>
      </c>
      <c r="S4187" s="51" t="s">
        <v>4015</v>
      </c>
      <c r="T4187" s="51" t="s">
        <v>4015</v>
      </c>
      <c r="U4187" s="0" t="str">
        <f aca="false">"12464079"</f>
        <v>12464079</v>
      </c>
      <c r="V4187" s="51" t="s">
        <v>2365</v>
      </c>
      <c r="W4187" s="51" t="s">
        <v>8070</v>
      </c>
      <c r="X4187" s="51" t="s">
        <v>2359</v>
      </c>
    </row>
    <row r="4188" customFormat="false" ht="14.25" hidden="true" customHeight="false" outlineLevel="0" collapsed="false">
      <c r="A4188" s="49" t="s">
        <v>2349</v>
      </c>
      <c r="B4188" s="49" t="s">
        <v>2350</v>
      </c>
      <c r="C4188" s="49" t="s">
        <v>8071</v>
      </c>
      <c r="D4188" s="49" t="s">
        <v>2352</v>
      </c>
      <c r="E4188" s="49" t="str">
        <f aca="false">"12464079"</f>
        <v>12464079</v>
      </c>
      <c r="F4188" s="49" t="s">
        <v>4706</v>
      </c>
      <c r="G4188" s="49" t="n">
        <v>0</v>
      </c>
      <c r="H4188" s="0" t="n">
        <v>0</v>
      </c>
      <c r="M4188" s="51" t="s">
        <v>8065</v>
      </c>
      <c r="N4188" s="49" t="n">
        <v>0</v>
      </c>
      <c r="O4188" s="53" t="n">
        <v>45801.6011805556</v>
      </c>
      <c r="P4188" s="53" t="n">
        <v>45820.8075231482</v>
      </c>
      <c r="Q4188" s="53" t="n">
        <v>45801.6011805556</v>
      </c>
      <c r="R4188" s="0" t="n">
        <v>0</v>
      </c>
      <c r="S4188" s="51" t="s">
        <v>4015</v>
      </c>
      <c r="T4188" s="51" t="s">
        <v>4015</v>
      </c>
      <c r="U4188" s="0" t="str">
        <f aca="false">"12464079"</f>
        <v>12464079</v>
      </c>
      <c r="V4188" s="51" t="s">
        <v>2365</v>
      </c>
      <c r="W4188" s="51" t="s">
        <v>5863</v>
      </c>
      <c r="X4188" s="51" t="s">
        <v>2359</v>
      </c>
    </row>
    <row r="4189" customFormat="false" ht="14.25" hidden="true" customHeight="false" outlineLevel="0" collapsed="false">
      <c r="A4189" s="49" t="s">
        <v>2349</v>
      </c>
      <c r="B4189" s="49" t="s">
        <v>2350</v>
      </c>
      <c r="C4189" s="49" t="s">
        <v>8072</v>
      </c>
      <c r="D4189" s="49" t="s">
        <v>2352</v>
      </c>
      <c r="E4189" s="49" t="str">
        <f aca="false">"12464079"</f>
        <v>12464079</v>
      </c>
      <c r="F4189" s="49" t="s">
        <v>4706</v>
      </c>
      <c r="G4189" s="49" t="n">
        <v>0</v>
      </c>
      <c r="H4189" s="0" t="n">
        <v>0</v>
      </c>
      <c r="M4189" s="51" t="s">
        <v>8065</v>
      </c>
      <c r="N4189" s="49" t="n">
        <v>0</v>
      </c>
      <c r="O4189" s="53" t="n">
        <v>45801.6013773148</v>
      </c>
      <c r="P4189" s="53" t="n">
        <v>45823.7726736111</v>
      </c>
      <c r="Q4189" s="53" t="n">
        <v>45801.6013773148</v>
      </c>
      <c r="R4189" s="0" t="n">
        <v>0</v>
      </c>
      <c r="S4189" s="51" t="s">
        <v>4015</v>
      </c>
      <c r="T4189" s="51" t="s">
        <v>4015</v>
      </c>
      <c r="U4189" s="0" t="str">
        <f aca="false">"12464079"</f>
        <v>12464079</v>
      </c>
      <c r="V4189" s="51" t="s">
        <v>2365</v>
      </c>
      <c r="W4189" s="51" t="s">
        <v>5954</v>
      </c>
      <c r="X4189" s="51" t="s">
        <v>2359</v>
      </c>
    </row>
    <row r="4190" customFormat="false" ht="14.25" hidden="true" customHeight="false" outlineLevel="0" collapsed="false">
      <c r="A4190" s="49" t="s">
        <v>2349</v>
      </c>
      <c r="B4190" s="49" t="s">
        <v>2350</v>
      </c>
      <c r="C4190" s="49" t="s">
        <v>8073</v>
      </c>
      <c r="D4190" s="49" t="s">
        <v>2352</v>
      </c>
      <c r="E4190" s="49" t="str">
        <f aca="false">"12464079"</f>
        <v>12464079</v>
      </c>
      <c r="F4190" s="49" t="s">
        <v>4706</v>
      </c>
      <c r="G4190" s="49" t="n">
        <v>0</v>
      </c>
      <c r="H4190" s="0" t="n">
        <v>0</v>
      </c>
      <c r="M4190" s="51" t="s">
        <v>8065</v>
      </c>
      <c r="N4190" s="49" t="n">
        <v>0</v>
      </c>
      <c r="O4190" s="53" t="n">
        <v>45801.6015046296</v>
      </c>
      <c r="P4190" s="53" t="n">
        <v>45808.4765046296</v>
      </c>
      <c r="Q4190" s="53" t="n">
        <v>45801.6015046296</v>
      </c>
      <c r="R4190" s="0" t="n">
        <v>0</v>
      </c>
      <c r="S4190" s="51" t="s">
        <v>4015</v>
      </c>
      <c r="T4190" s="51" t="s">
        <v>4015</v>
      </c>
      <c r="U4190" s="0" t="str">
        <f aca="false">"12464079"</f>
        <v>12464079</v>
      </c>
      <c r="V4190" s="51" t="s">
        <v>2365</v>
      </c>
      <c r="W4190" s="51" t="s">
        <v>6048</v>
      </c>
      <c r="X4190" s="51" t="s">
        <v>2359</v>
      </c>
    </row>
    <row r="4191" customFormat="false" ht="14.25" hidden="true" customHeight="false" outlineLevel="0" collapsed="false">
      <c r="A4191" s="49" t="s">
        <v>2349</v>
      </c>
      <c r="B4191" s="49" t="s">
        <v>2350</v>
      </c>
      <c r="C4191" s="49" t="s">
        <v>8074</v>
      </c>
      <c r="D4191" s="49" t="s">
        <v>2352</v>
      </c>
      <c r="E4191" s="49" t="str">
        <f aca="false">"12464079"</f>
        <v>12464079</v>
      </c>
      <c r="F4191" s="49" t="s">
        <v>4706</v>
      </c>
      <c r="G4191" s="49" t="n">
        <v>0</v>
      </c>
      <c r="H4191" s="0" t="n">
        <v>0</v>
      </c>
      <c r="M4191" s="51" t="s">
        <v>8065</v>
      </c>
      <c r="N4191" s="49" t="n">
        <v>0</v>
      </c>
      <c r="O4191" s="53" t="n">
        <v>45801.599375</v>
      </c>
      <c r="P4191" s="53" t="n">
        <v>45832.8181597222</v>
      </c>
      <c r="Q4191" s="53" t="n">
        <v>45801.599375</v>
      </c>
      <c r="R4191" s="0" t="n">
        <v>0</v>
      </c>
      <c r="S4191" s="51" t="s">
        <v>4015</v>
      </c>
      <c r="T4191" s="51" t="s">
        <v>4015</v>
      </c>
      <c r="U4191" s="0" t="str">
        <f aca="false">"12464079"</f>
        <v>12464079</v>
      </c>
      <c r="V4191" s="51" t="s">
        <v>2365</v>
      </c>
      <c r="W4191" s="51" t="s">
        <v>5377</v>
      </c>
      <c r="X4191" s="51" t="s">
        <v>2359</v>
      </c>
    </row>
    <row r="4192" customFormat="false" ht="14.25" hidden="true" customHeight="false" outlineLevel="0" collapsed="false">
      <c r="A4192" s="49" t="s">
        <v>2349</v>
      </c>
      <c r="B4192" s="49" t="s">
        <v>2350</v>
      </c>
      <c r="C4192" s="49" t="s">
        <v>8075</v>
      </c>
      <c r="D4192" s="49" t="s">
        <v>2352</v>
      </c>
      <c r="E4192" s="49" t="str">
        <f aca="false">"12464079"</f>
        <v>12464079</v>
      </c>
      <c r="F4192" s="49" t="s">
        <v>4706</v>
      </c>
      <c r="G4192" s="49" t="n">
        <v>0</v>
      </c>
      <c r="H4192" s="0" t="n">
        <v>0</v>
      </c>
      <c r="M4192" s="51" t="s">
        <v>8065</v>
      </c>
      <c r="N4192" s="49" t="n">
        <v>0</v>
      </c>
      <c r="O4192" s="53" t="n">
        <v>45801.5996064815</v>
      </c>
      <c r="P4192" s="53" t="n">
        <v>45812.4986921296</v>
      </c>
      <c r="Q4192" s="53" t="n">
        <v>45801.5996064815</v>
      </c>
      <c r="R4192" s="0" t="n">
        <v>0</v>
      </c>
      <c r="S4192" s="51" t="s">
        <v>4015</v>
      </c>
      <c r="T4192" s="51" t="s">
        <v>4015</v>
      </c>
      <c r="U4192" s="0" t="str">
        <f aca="false">"12464079"</f>
        <v>12464079</v>
      </c>
      <c r="V4192" s="51" t="s">
        <v>2365</v>
      </c>
      <c r="W4192" s="51" t="s">
        <v>5949</v>
      </c>
      <c r="X4192" s="51" t="s">
        <v>2359</v>
      </c>
    </row>
    <row r="4193" customFormat="false" ht="14.25" hidden="true" customHeight="false" outlineLevel="0" collapsed="false">
      <c r="A4193" s="49" t="s">
        <v>2349</v>
      </c>
      <c r="B4193" s="49" t="s">
        <v>2350</v>
      </c>
      <c r="C4193" s="49" t="s">
        <v>8076</v>
      </c>
      <c r="D4193" s="49" t="s">
        <v>2352</v>
      </c>
      <c r="E4193" s="49" t="str">
        <f aca="false">"12464079"</f>
        <v>12464079</v>
      </c>
      <c r="F4193" s="49" t="s">
        <v>4706</v>
      </c>
      <c r="G4193" s="49" t="n">
        <v>0</v>
      </c>
      <c r="H4193" s="0" t="n">
        <v>0</v>
      </c>
      <c r="M4193" s="51" t="s">
        <v>8065</v>
      </c>
      <c r="N4193" s="49" t="n">
        <v>0</v>
      </c>
      <c r="O4193" s="53" t="n">
        <v>45801.5997916667</v>
      </c>
      <c r="P4193" s="53" t="n">
        <v>45823.7724768519</v>
      </c>
      <c r="Q4193" s="53" t="n">
        <v>45801.5997916667</v>
      </c>
      <c r="R4193" s="0" t="n">
        <v>0</v>
      </c>
      <c r="S4193" s="51" t="s">
        <v>4015</v>
      </c>
      <c r="T4193" s="51" t="s">
        <v>4015</v>
      </c>
      <c r="U4193" s="0" t="str">
        <f aca="false">"12464079"</f>
        <v>12464079</v>
      </c>
      <c r="V4193" s="51" t="s">
        <v>2365</v>
      </c>
      <c r="W4193" s="51" t="s">
        <v>5856</v>
      </c>
      <c r="X4193" s="51" t="s">
        <v>2359</v>
      </c>
    </row>
    <row r="4194" customFormat="false" ht="14.25" hidden="true" customHeight="false" outlineLevel="0" collapsed="false">
      <c r="A4194" s="49" t="s">
        <v>2349</v>
      </c>
      <c r="B4194" s="49" t="s">
        <v>2350</v>
      </c>
      <c r="C4194" s="49" t="s">
        <v>8077</v>
      </c>
      <c r="D4194" s="49" t="s">
        <v>2352</v>
      </c>
      <c r="E4194" s="49" t="str">
        <f aca="false">"12464079"</f>
        <v>12464079</v>
      </c>
      <c r="F4194" s="49" t="s">
        <v>4706</v>
      </c>
      <c r="G4194" s="49" t="n">
        <v>0</v>
      </c>
      <c r="H4194" s="0" t="n">
        <v>0</v>
      </c>
      <c r="M4194" s="51" t="s">
        <v>8065</v>
      </c>
      <c r="N4194" s="49" t="n">
        <v>0</v>
      </c>
      <c r="O4194" s="53" t="n">
        <v>45801.5999537037</v>
      </c>
      <c r="P4194" s="53" t="n">
        <v>45825.8525810185</v>
      </c>
      <c r="Q4194" s="53" t="n">
        <v>45801.5999537037</v>
      </c>
      <c r="R4194" s="0" t="n">
        <v>0</v>
      </c>
      <c r="S4194" s="51" t="s">
        <v>4015</v>
      </c>
      <c r="T4194" s="51" t="s">
        <v>4015</v>
      </c>
      <c r="U4194" s="0" t="str">
        <f aca="false">"12464079"</f>
        <v>12464079</v>
      </c>
      <c r="V4194" s="51" t="s">
        <v>2365</v>
      </c>
      <c r="W4194" s="51" t="s">
        <v>5987</v>
      </c>
      <c r="X4194" s="51" t="s">
        <v>2359</v>
      </c>
    </row>
    <row r="4195" customFormat="false" ht="14.25" hidden="true" customHeight="false" outlineLevel="0" collapsed="false">
      <c r="A4195" s="49" t="s">
        <v>2349</v>
      </c>
      <c r="B4195" s="49" t="s">
        <v>2350</v>
      </c>
      <c r="C4195" s="49" t="s">
        <v>8078</v>
      </c>
      <c r="D4195" s="49" t="s">
        <v>2352</v>
      </c>
      <c r="E4195" s="49" t="str">
        <f aca="false">"12464079"</f>
        <v>12464079</v>
      </c>
      <c r="F4195" s="49" t="s">
        <v>4706</v>
      </c>
      <c r="G4195" s="49" t="n">
        <v>0</v>
      </c>
      <c r="H4195" s="0" t="n">
        <v>0</v>
      </c>
      <c r="M4195" s="51" t="s">
        <v>8065</v>
      </c>
      <c r="N4195" s="49" t="n">
        <v>0</v>
      </c>
      <c r="O4195" s="53" t="n">
        <v>45801.6001273148</v>
      </c>
      <c r="P4195" s="53" t="n">
        <v>45803.8898148148</v>
      </c>
      <c r="Q4195" s="53" t="n">
        <v>45801.6001273148</v>
      </c>
      <c r="R4195" s="0" t="n">
        <v>0</v>
      </c>
      <c r="S4195" s="51" t="s">
        <v>4015</v>
      </c>
      <c r="T4195" s="51" t="s">
        <v>4015</v>
      </c>
      <c r="U4195" s="0" t="str">
        <f aca="false">"12464079"</f>
        <v>12464079</v>
      </c>
      <c r="V4195" s="51" t="s">
        <v>2365</v>
      </c>
      <c r="W4195" s="51" t="s">
        <v>4573</v>
      </c>
      <c r="X4195" s="51" t="s">
        <v>2359</v>
      </c>
    </row>
    <row r="4196" customFormat="false" ht="14.25" hidden="true" customHeight="false" outlineLevel="0" collapsed="false">
      <c r="A4196" s="49" t="s">
        <v>2349</v>
      </c>
      <c r="B4196" s="49" t="s">
        <v>2350</v>
      </c>
      <c r="C4196" s="49" t="s">
        <v>8079</v>
      </c>
      <c r="D4196" s="49" t="s">
        <v>2352</v>
      </c>
      <c r="E4196" s="49" t="str">
        <f aca="false">"12464079"</f>
        <v>12464079</v>
      </c>
      <c r="F4196" s="49" t="s">
        <v>4706</v>
      </c>
      <c r="G4196" s="49" t="n">
        <v>0</v>
      </c>
      <c r="H4196" s="0" t="n">
        <v>0</v>
      </c>
      <c r="M4196" s="51" t="s">
        <v>8065</v>
      </c>
      <c r="N4196" s="49" t="n">
        <v>0</v>
      </c>
      <c r="O4196" s="53" t="n">
        <v>45801.6004166667</v>
      </c>
      <c r="P4196" s="53" t="n">
        <v>45838.3234375</v>
      </c>
      <c r="Q4196" s="53" t="n">
        <v>45801.6004166667</v>
      </c>
      <c r="R4196" s="0" t="n">
        <v>0</v>
      </c>
      <c r="S4196" s="51" t="s">
        <v>4015</v>
      </c>
      <c r="T4196" s="51" t="s">
        <v>4015</v>
      </c>
      <c r="U4196" s="0" t="str">
        <f aca="false">"12464079"</f>
        <v>12464079</v>
      </c>
      <c r="V4196" s="51" t="s">
        <v>2365</v>
      </c>
      <c r="W4196" s="51" t="s">
        <v>4728</v>
      </c>
      <c r="X4196" s="51" t="s">
        <v>2359</v>
      </c>
    </row>
    <row r="4197" customFormat="false" ht="14.25" hidden="true" customHeight="false" outlineLevel="0" collapsed="false">
      <c r="A4197" s="49" t="s">
        <v>2349</v>
      </c>
      <c r="B4197" s="49" t="s">
        <v>2350</v>
      </c>
      <c r="C4197" s="49" t="s">
        <v>8080</v>
      </c>
      <c r="D4197" s="49" t="s">
        <v>2352</v>
      </c>
      <c r="E4197" s="49" t="str">
        <f aca="false">"12464079"</f>
        <v>12464079</v>
      </c>
      <c r="F4197" s="49" t="s">
        <v>4706</v>
      </c>
      <c r="G4197" s="49" t="n">
        <v>0</v>
      </c>
      <c r="H4197" s="0" t="n">
        <v>0</v>
      </c>
      <c r="M4197" s="51" t="s">
        <v>8065</v>
      </c>
      <c r="N4197" s="49" t="n">
        <v>0</v>
      </c>
      <c r="O4197" s="53" t="n">
        <v>45801.6005439815</v>
      </c>
      <c r="P4197" s="53" t="n">
        <v>45834.8919791667</v>
      </c>
      <c r="Q4197" s="53" t="n">
        <v>45801.6005439815</v>
      </c>
      <c r="R4197" s="0" t="n">
        <v>0</v>
      </c>
      <c r="S4197" s="51" t="s">
        <v>4015</v>
      </c>
      <c r="T4197" s="51" t="s">
        <v>4015</v>
      </c>
      <c r="U4197" s="0" t="str">
        <f aca="false">"12464079"</f>
        <v>12464079</v>
      </c>
      <c r="V4197" s="51" t="s">
        <v>2365</v>
      </c>
      <c r="W4197" s="51" t="s">
        <v>5382</v>
      </c>
      <c r="X4197" s="51" t="s">
        <v>2359</v>
      </c>
    </row>
    <row r="4198" customFormat="false" ht="14.25" hidden="true" customHeight="false" outlineLevel="0" collapsed="false">
      <c r="A4198" s="49" t="s">
        <v>2349</v>
      </c>
      <c r="B4198" s="49" t="s">
        <v>2350</v>
      </c>
      <c r="C4198" s="49" t="s">
        <v>8081</v>
      </c>
      <c r="D4198" s="49" t="s">
        <v>2352</v>
      </c>
      <c r="E4198" s="49" t="str">
        <f aca="false">"12464079"</f>
        <v>12464079</v>
      </c>
      <c r="F4198" s="49" t="s">
        <v>4706</v>
      </c>
      <c r="G4198" s="49" t="n">
        <v>0</v>
      </c>
      <c r="H4198" s="0" t="n">
        <v>0</v>
      </c>
      <c r="M4198" s="51" t="s">
        <v>8065</v>
      </c>
      <c r="N4198" s="49" t="n">
        <v>0</v>
      </c>
      <c r="O4198" s="53" t="n">
        <v>45801.5971759259</v>
      </c>
      <c r="P4198" s="53" t="n">
        <v>45803.904537037</v>
      </c>
      <c r="Q4198" s="53" t="n">
        <v>45801.5971759259</v>
      </c>
      <c r="R4198" s="0" t="n">
        <v>0</v>
      </c>
      <c r="S4198" s="51" t="s">
        <v>4015</v>
      </c>
      <c r="T4198" s="51" t="s">
        <v>4015</v>
      </c>
      <c r="U4198" s="0" t="str">
        <f aca="false">"12464079"</f>
        <v>12464079</v>
      </c>
      <c r="V4198" s="51" t="s">
        <v>2365</v>
      </c>
      <c r="W4198" s="51" t="s">
        <v>7107</v>
      </c>
      <c r="X4198" s="51" t="s">
        <v>2359</v>
      </c>
    </row>
    <row r="4199" customFormat="false" ht="14.25" hidden="true" customHeight="false" outlineLevel="0" collapsed="false">
      <c r="A4199" s="49" t="s">
        <v>2349</v>
      </c>
      <c r="B4199" s="49" t="s">
        <v>2350</v>
      </c>
      <c r="C4199" s="49" t="s">
        <v>8082</v>
      </c>
      <c r="D4199" s="49" t="s">
        <v>2352</v>
      </c>
      <c r="E4199" s="49" t="str">
        <f aca="false">"12464079"</f>
        <v>12464079</v>
      </c>
      <c r="F4199" s="49" t="s">
        <v>4706</v>
      </c>
      <c r="G4199" s="49" t="n">
        <v>0</v>
      </c>
      <c r="H4199" s="0" t="n">
        <v>0</v>
      </c>
      <c r="M4199" s="51" t="s">
        <v>8065</v>
      </c>
      <c r="N4199" s="49" t="n">
        <v>0</v>
      </c>
      <c r="O4199" s="53" t="n">
        <v>45801.5976273148</v>
      </c>
      <c r="P4199" s="53" t="n">
        <v>45834.8901736111</v>
      </c>
      <c r="Q4199" s="53" t="n">
        <v>45801.5976273148</v>
      </c>
      <c r="R4199" s="0" t="n">
        <v>0</v>
      </c>
      <c r="S4199" s="51" t="s">
        <v>4015</v>
      </c>
      <c r="T4199" s="51" t="s">
        <v>4015</v>
      </c>
      <c r="U4199" s="0" t="str">
        <f aca="false">"12464079"</f>
        <v>12464079</v>
      </c>
      <c r="V4199" s="51" t="s">
        <v>2365</v>
      </c>
      <c r="W4199" s="51" t="s">
        <v>8083</v>
      </c>
      <c r="X4199" s="51" t="s">
        <v>2359</v>
      </c>
    </row>
    <row r="4200" customFormat="false" ht="14.25" hidden="true" customHeight="false" outlineLevel="0" collapsed="false">
      <c r="A4200" s="49" t="s">
        <v>2349</v>
      </c>
      <c r="B4200" s="49" t="s">
        <v>2350</v>
      </c>
      <c r="C4200" s="49" t="s">
        <v>8084</v>
      </c>
      <c r="D4200" s="49" t="s">
        <v>2352</v>
      </c>
      <c r="E4200" s="49" t="str">
        <f aca="false">"12464079"</f>
        <v>12464079</v>
      </c>
      <c r="F4200" s="49" t="s">
        <v>4706</v>
      </c>
      <c r="G4200" s="49" t="n">
        <v>0</v>
      </c>
      <c r="H4200" s="0" t="n">
        <v>0</v>
      </c>
      <c r="M4200" s="51" t="s">
        <v>8065</v>
      </c>
      <c r="N4200" s="49" t="n">
        <v>0</v>
      </c>
      <c r="O4200" s="53" t="n">
        <v>45801.5982407407</v>
      </c>
      <c r="P4200" s="53" t="n">
        <v>45838.3803819444</v>
      </c>
      <c r="Q4200" s="53" t="n">
        <v>45801.5982407407</v>
      </c>
      <c r="R4200" s="0" t="n">
        <v>0</v>
      </c>
      <c r="S4200" s="51" t="s">
        <v>4015</v>
      </c>
      <c r="T4200" s="51" t="s">
        <v>4015</v>
      </c>
      <c r="U4200" s="0" t="str">
        <f aca="false">"12464079"</f>
        <v>12464079</v>
      </c>
      <c r="V4200" s="51" t="s">
        <v>2365</v>
      </c>
      <c r="W4200" s="51" t="s">
        <v>5293</v>
      </c>
      <c r="X4200" s="51" t="s">
        <v>2359</v>
      </c>
    </row>
    <row r="4201" customFormat="false" ht="14.25" hidden="true" customHeight="false" outlineLevel="0" collapsed="false">
      <c r="A4201" s="49" t="s">
        <v>2349</v>
      </c>
      <c r="B4201" s="49" t="s">
        <v>2350</v>
      </c>
      <c r="C4201" s="49" t="s">
        <v>8085</v>
      </c>
      <c r="D4201" s="49" t="s">
        <v>2352</v>
      </c>
      <c r="E4201" s="49" t="str">
        <f aca="false">"12464079"</f>
        <v>12464079</v>
      </c>
      <c r="F4201" s="49" t="s">
        <v>4706</v>
      </c>
      <c r="G4201" s="49" t="n">
        <v>0</v>
      </c>
      <c r="H4201" s="0" t="n">
        <v>0</v>
      </c>
      <c r="M4201" s="51" t="s">
        <v>8065</v>
      </c>
      <c r="N4201" s="49" t="n">
        <v>0</v>
      </c>
      <c r="O4201" s="53" t="n">
        <v>45801.5984259259</v>
      </c>
      <c r="P4201" s="53" t="n">
        <v>45834.7834953704</v>
      </c>
      <c r="Q4201" s="53" t="n">
        <v>45801.5984259259</v>
      </c>
      <c r="R4201" s="0" t="n">
        <v>0</v>
      </c>
      <c r="S4201" s="51" t="s">
        <v>4015</v>
      </c>
      <c r="T4201" s="51" t="s">
        <v>4015</v>
      </c>
      <c r="U4201" s="0" t="str">
        <f aca="false">"12464079"</f>
        <v>12464079</v>
      </c>
      <c r="V4201" s="51" t="s">
        <v>2365</v>
      </c>
      <c r="W4201" s="51" t="s">
        <v>5000</v>
      </c>
      <c r="X4201" s="51" t="s">
        <v>2359</v>
      </c>
    </row>
    <row r="4202" customFormat="false" ht="14.25" hidden="true" customHeight="false" outlineLevel="0" collapsed="false">
      <c r="A4202" s="49" t="s">
        <v>2349</v>
      </c>
      <c r="B4202" s="49" t="s">
        <v>2350</v>
      </c>
      <c r="C4202" s="49" t="s">
        <v>8086</v>
      </c>
      <c r="D4202" s="49" t="s">
        <v>2352</v>
      </c>
      <c r="E4202" s="49" t="str">
        <f aca="false">"12464079"</f>
        <v>12464079</v>
      </c>
      <c r="F4202" s="49" t="s">
        <v>4706</v>
      </c>
      <c r="G4202" s="49" t="n">
        <v>0</v>
      </c>
      <c r="H4202" s="0" t="n">
        <v>0</v>
      </c>
      <c r="M4202" s="51" t="s">
        <v>8065</v>
      </c>
      <c r="N4202" s="49" t="n">
        <v>0</v>
      </c>
      <c r="O4202" s="53" t="n">
        <v>45801.5986805556</v>
      </c>
      <c r="P4202" s="53" t="n">
        <v>45834.7873032407</v>
      </c>
      <c r="Q4202" s="53" t="n">
        <v>45801.5986805556</v>
      </c>
      <c r="R4202" s="0" t="n">
        <v>0</v>
      </c>
      <c r="S4202" s="51" t="s">
        <v>4015</v>
      </c>
      <c r="T4202" s="51" t="s">
        <v>4015</v>
      </c>
      <c r="U4202" s="0" t="str">
        <f aca="false">"12464079"</f>
        <v>12464079</v>
      </c>
      <c r="V4202" s="51" t="s">
        <v>2365</v>
      </c>
      <c r="W4202" s="51" t="s">
        <v>8087</v>
      </c>
      <c r="X4202" s="51" t="s">
        <v>2359</v>
      </c>
    </row>
    <row r="4203" customFormat="false" ht="14.25" hidden="true" customHeight="false" outlineLevel="0" collapsed="false">
      <c r="A4203" s="49" t="s">
        <v>2349</v>
      </c>
      <c r="B4203" s="49" t="s">
        <v>2350</v>
      </c>
      <c r="C4203" s="49" t="s">
        <v>8088</v>
      </c>
      <c r="D4203" s="49" t="s">
        <v>2352</v>
      </c>
      <c r="E4203" s="49" t="str">
        <f aca="false">"12464079"</f>
        <v>12464079</v>
      </c>
      <c r="F4203" s="49" t="s">
        <v>4706</v>
      </c>
      <c r="G4203" s="49" t="n">
        <v>0</v>
      </c>
      <c r="H4203" s="0" t="n">
        <v>0</v>
      </c>
      <c r="M4203" s="51" t="s">
        <v>8065</v>
      </c>
      <c r="N4203" s="49" t="n">
        <v>0</v>
      </c>
      <c r="O4203" s="53" t="n">
        <v>45801.5988657407</v>
      </c>
      <c r="P4203" s="53" t="n">
        <v>45832.816724537</v>
      </c>
      <c r="Q4203" s="53" t="n">
        <v>45801.5988657407</v>
      </c>
      <c r="R4203" s="0" t="n">
        <v>0</v>
      </c>
      <c r="S4203" s="51" t="s">
        <v>4015</v>
      </c>
      <c r="T4203" s="51" t="s">
        <v>4015</v>
      </c>
      <c r="U4203" s="0" t="str">
        <f aca="false">"12464079"</f>
        <v>12464079</v>
      </c>
      <c r="V4203" s="51" t="s">
        <v>2365</v>
      </c>
      <c r="W4203" s="51" t="s">
        <v>6070</v>
      </c>
      <c r="X4203" s="51" t="s">
        <v>2359</v>
      </c>
    </row>
    <row r="4204" customFormat="false" ht="14.25" hidden="true" customHeight="false" outlineLevel="0" collapsed="false">
      <c r="A4204" s="49" t="s">
        <v>2349</v>
      </c>
      <c r="B4204" s="49" t="s">
        <v>2350</v>
      </c>
      <c r="C4204" s="49" t="s">
        <v>8089</v>
      </c>
      <c r="D4204" s="49" t="s">
        <v>2352</v>
      </c>
      <c r="E4204" s="49" t="str">
        <f aca="false">"12464079"</f>
        <v>12464079</v>
      </c>
      <c r="F4204" s="49" t="s">
        <v>4706</v>
      </c>
      <c r="G4204" s="49" t="n">
        <v>0</v>
      </c>
      <c r="H4204" s="0" t="n">
        <v>0</v>
      </c>
      <c r="M4204" s="51" t="s">
        <v>8065</v>
      </c>
      <c r="N4204" s="49" t="n">
        <v>0</v>
      </c>
      <c r="O4204" s="53" t="n">
        <v>45801.5990625</v>
      </c>
      <c r="P4204" s="53" t="n">
        <v>45834.7847569444</v>
      </c>
      <c r="Q4204" s="53" t="n">
        <v>45801.5990625</v>
      </c>
      <c r="R4204" s="0" t="n">
        <v>0</v>
      </c>
      <c r="S4204" s="51" t="s">
        <v>4015</v>
      </c>
      <c r="T4204" s="51" t="s">
        <v>4015</v>
      </c>
      <c r="U4204" s="0" t="str">
        <f aca="false">"12464079"</f>
        <v>12464079</v>
      </c>
      <c r="V4204" s="51" t="s">
        <v>2365</v>
      </c>
      <c r="W4204" s="51" t="s">
        <v>5672</v>
      </c>
      <c r="X4204" s="51" t="s">
        <v>2359</v>
      </c>
    </row>
    <row r="4205" customFormat="false" ht="14.25" hidden="true" customHeight="false" outlineLevel="0" collapsed="false">
      <c r="A4205" s="49" t="s">
        <v>2349</v>
      </c>
      <c r="B4205" s="49" t="s">
        <v>2350</v>
      </c>
      <c r="C4205" s="49" t="s">
        <v>8090</v>
      </c>
      <c r="D4205" s="49" t="s">
        <v>2352</v>
      </c>
      <c r="E4205" s="49" t="s">
        <v>3960</v>
      </c>
      <c r="F4205" s="49" t="s">
        <v>3961</v>
      </c>
      <c r="G4205" s="49" t="n">
        <v>0</v>
      </c>
      <c r="H4205" s="0" t="n">
        <v>0</v>
      </c>
      <c r="M4205" s="51" t="s">
        <v>8091</v>
      </c>
      <c r="N4205" s="49" t="n">
        <v>0</v>
      </c>
      <c r="O4205" s="53" t="n">
        <v>45799.4882060185</v>
      </c>
      <c r="P4205" s="53" t="n">
        <v>45806.6141435185</v>
      </c>
      <c r="Q4205" s="53" t="n">
        <v>45799.4882060185</v>
      </c>
      <c r="R4205" s="0" t="n">
        <v>0</v>
      </c>
      <c r="S4205" s="51" t="s">
        <v>2356</v>
      </c>
      <c r="T4205" s="51" t="s">
        <v>2356</v>
      </c>
      <c r="U4205" s="51" t="s">
        <v>3960</v>
      </c>
      <c r="V4205" s="51" t="s">
        <v>2365</v>
      </c>
      <c r="W4205" s="51" t="s">
        <v>7677</v>
      </c>
      <c r="X4205" s="51" t="s">
        <v>2359</v>
      </c>
    </row>
    <row r="4206" customFormat="false" ht="14.25" hidden="true" customHeight="false" outlineLevel="0" collapsed="false">
      <c r="A4206" s="49" t="s">
        <v>2349</v>
      </c>
      <c r="B4206" s="49" t="s">
        <v>2350</v>
      </c>
      <c r="C4206" s="49" t="s">
        <v>8092</v>
      </c>
      <c r="D4206" s="49" t="s">
        <v>2352</v>
      </c>
      <c r="E4206" s="49" t="s">
        <v>3960</v>
      </c>
      <c r="F4206" s="49" t="s">
        <v>3961</v>
      </c>
      <c r="G4206" s="49" t="n">
        <v>0</v>
      </c>
      <c r="H4206" s="0" t="n">
        <v>0</v>
      </c>
      <c r="M4206" s="51" t="s">
        <v>8091</v>
      </c>
      <c r="N4206" s="49" t="n">
        <v>0</v>
      </c>
      <c r="O4206" s="53" t="n">
        <v>45799.4880208333</v>
      </c>
      <c r="P4206" s="53" t="n">
        <v>45803.6249768519</v>
      </c>
      <c r="Q4206" s="53" t="n">
        <v>45799.4880208333</v>
      </c>
      <c r="R4206" s="0" t="n">
        <v>0</v>
      </c>
      <c r="S4206" s="51" t="s">
        <v>2356</v>
      </c>
      <c r="T4206" s="51" t="s">
        <v>2356</v>
      </c>
      <c r="U4206" s="51" t="s">
        <v>3960</v>
      </c>
      <c r="V4206" s="51" t="s">
        <v>2365</v>
      </c>
      <c r="W4206" s="51" t="s">
        <v>5331</v>
      </c>
      <c r="X4206" s="51" t="s">
        <v>2359</v>
      </c>
    </row>
    <row r="4207" customFormat="false" ht="14.25" hidden="true" customHeight="false" outlineLevel="0" collapsed="false">
      <c r="A4207" s="49" t="s">
        <v>2349</v>
      </c>
      <c r="B4207" s="49" t="s">
        <v>2350</v>
      </c>
      <c r="C4207" s="49" t="s">
        <v>8093</v>
      </c>
      <c r="D4207" s="49" t="s">
        <v>2352</v>
      </c>
      <c r="E4207" s="49" t="s">
        <v>3960</v>
      </c>
      <c r="F4207" s="49" t="s">
        <v>3961</v>
      </c>
      <c r="G4207" s="49" t="n">
        <v>0</v>
      </c>
      <c r="H4207" s="0" t="n">
        <v>0</v>
      </c>
      <c r="M4207" s="51" t="s">
        <v>8091</v>
      </c>
      <c r="N4207" s="49" t="n">
        <v>0</v>
      </c>
      <c r="O4207" s="53" t="n">
        <v>45799.4878356482</v>
      </c>
      <c r="P4207" s="53" t="n">
        <v>45801.5603703704</v>
      </c>
      <c r="Q4207" s="53" t="n">
        <v>45799.4878356482</v>
      </c>
      <c r="R4207" s="0" t="n">
        <v>0</v>
      </c>
      <c r="S4207" s="51" t="s">
        <v>2356</v>
      </c>
      <c r="T4207" s="51" t="s">
        <v>2356</v>
      </c>
      <c r="U4207" s="51" t="s">
        <v>3960</v>
      </c>
      <c r="V4207" s="51" t="s">
        <v>2365</v>
      </c>
      <c r="W4207" s="51" t="s">
        <v>6860</v>
      </c>
      <c r="X4207" s="51" t="s">
        <v>2359</v>
      </c>
    </row>
    <row r="4208" customFormat="false" ht="14.25" hidden="true" customHeight="false" outlineLevel="0" collapsed="false">
      <c r="A4208" s="49" t="s">
        <v>2349</v>
      </c>
      <c r="B4208" s="49" t="s">
        <v>2350</v>
      </c>
      <c r="C4208" s="49" t="s">
        <v>8094</v>
      </c>
      <c r="D4208" s="49" t="s">
        <v>2397</v>
      </c>
      <c r="E4208" s="49" t="str">
        <f aca="false">"5060175133298"</f>
        <v>5060175133298</v>
      </c>
      <c r="F4208" s="49" t="s">
        <v>3985</v>
      </c>
      <c r="G4208" s="49" t="n">
        <v>0</v>
      </c>
      <c r="H4208" s="0" t="n">
        <v>0</v>
      </c>
      <c r="M4208" s="51" t="s">
        <v>8095</v>
      </c>
      <c r="N4208" s="49" t="n">
        <v>0</v>
      </c>
      <c r="O4208" s="53" t="n">
        <v>45789.8352777778</v>
      </c>
      <c r="P4208" s="53" t="n">
        <v>45791.405787037</v>
      </c>
      <c r="Q4208" s="53" t="n">
        <v>45789.8352777778</v>
      </c>
      <c r="R4208" s="0" t="n">
        <v>0</v>
      </c>
      <c r="S4208" s="51" t="s">
        <v>2380</v>
      </c>
      <c r="T4208" s="51" t="s">
        <v>2380</v>
      </c>
      <c r="U4208" s="0" t="str">
        <f aca="false">"5060175133298"</f>
        <v>5060175133298</v>
      </c>
      <c r="V4208" s="51" t="s">
        <v>2365</v>
      </c>
      <c r="W4208" s="51" t="s">
        <v>7619</v>
      </c>
      <c r="X4208" s="51" t="s">
        <v>2359</v>
      </c>
    </row>
    <row r="4209" customFormat="false" ht="14.25" hidden="true" customHeight="false" outlineLevel="0" collapsed="false">
      <c r="A4209" s="49" t="s">
        <v>2349</v>
      </c>
      <c r="B4209" s="49" t="s">
        <v>2350</v>
      </c>
      <c r="C4209" s="49" t="s">
        <v>8096</v>
      </c>
      <c r="D4209" s="49" t="s">
        <v>2352</v>
      </c>
      <c r="E4209" s="49" t="str">
        <f aca="false">"10074865055175"</f>
        <v>10074865055175</v>
      </c>
      <c r="F4209" s="49" t="s">
        <v>5090</v>
      </c>
      <c r="G4209" s="49" t="n">
        <v>0</v>
      </c>
      <c r="H4209" s="0" t="n">
        <v>0</v>
      </c>
      <c r="M4209" s="51" t="s">
        <v>8097</v>
      </c>
      <c r="N4209" s="49" t="n">
        <v>0</v>
      </c>
      <c r="O4209" s="53" t="n">
        <v>45789.8320949074</v>
      </c>
      <c r="P4209" s="53" t="n">
        <v>45822.8207291667</v>
      </c>
      <c r="Q4209" s="53" t="n">
        <v>45789.8320949074</v>
      </c>
      <c r="R4209" s="0" t="n">
        <v>0</v>
      </c>
      <c r="S4209" s="51" t="s">
        <v>2380</v>
      </c>
      <c r="T4209" s="51" t="s">
        <v>2380</v>
      </c>
      <c r="U4209" s="0" t="str">
        <f aca="false">"10074865055175"</f>
        <v>10074865055175</v>
      </c>
      <c r="V4209" s="51" t="s">
        <v>2365</v>
      </c>
      <c r="W4209" s="51" t="s">
        <v>8098</v>
      </c>
      <c r="X4209" s="51" t="s">
        <v>2359</v>
      </c>
    </row>
    <row r="4210" customFormat="false" ht="14.25" hidden="true" customHeight="false" outlineLevel="0" collapsed="false">
      <c r="A4210" s="49" t="s">
        <v>2349</v>
      </c>
      <c r="B4210" s="49" t="s">
        <v>2350</v>
      </c>
      <c r="C4210" s="49" t="s">
        <v>8099</v>
      </c>
      <c r="D4210" s="49" t="s">
        <v>2352</v>
      </c>
      <c r="E4210" s="49" t="str">
        <f aca="false">"10074865055175"</f>
        <v>10074865055175</v>
      </c>
      <c r="F4210" s="49" t="s">
        <v>5090</v>
      </c>
      <c r="G4210" s="49" t="n">
        <v>0</v>
      </c>
      <c r="H4210" s="0" t="n">
        <v>0</v>
      </c>
      <c r="M4210" s="51" t="s">
        <v>8097</v>
      </c>
      <c r="N4210" s="49" t="n">
        <v>0</v>
      </c>
      <c r="O4210" s="53" t="n">
        <v>45789.8325347222</v>
      </c>
      <c r="P4210" s="53" t="n">
        <v>45822.8346296296</v>
      </c>
      <c r="Q4210" s="53" t="n">
        <v>45789.8325347222</v>
      </c>
      <c r="R4210" s="0" t="n">
        <v>0</v>
      </c>
      <c r="S4210" s="51" t="s">
        <v>2380</v>
      </c>
      <c r="T4210" s="51" t="s">
        <v>2380</v>
      </c>
      <c r="U4210" s="0" t="str">
        <f aca="false">"10074865055175"</f>
        <v>10074865055175</v>
      </c>
      <c r="V4210" s="51" t="s">
        <v>2365</v>
      </c>
      <c r="W4210" s="51" t="s">
        <v>6847</v>
      </c>
      <c r="X4210" s="51" t="s">
        <v>2359</v>
      </c>
    </row>
    <row r="4211" customFormat="false" ht="14.25" hidden="true" customHeight="false" outlineLevel="0" collapsed="false">
      <c r="A4211" s="49" t="s">
        <v>2349</v>
      </c>
      <c r="B4211" s="49" t="s">
        <v>2350</v>
      </c>
      <c r="C4211" s="49" t="s">
        <v>8100</v>
      </c>
      <c r="D4211" s="49" t="s">
        <v>2352</v>
      </c>
      <c r="E4211" s="49" t="str">
        <f aca="false">"10074865055175"</f>
        <v>10074865055175</v>
      </c>
      <c r="F4211" s="49" t="s">
        <v>5090</v>
      </c>
      <c r="G4211" s="49" t="n">
        <v>0</v>
      </c>
      <c r="H4211" s="0" t="n">
        <v>0</v>
      </c>
      <c r="M4211" s="51" t="s">
        <v>8097</v>
      </c>
      <c r="N4211" s="49" t="n">
        <v>0</v>
      </c>
      <c r="O4211" s="53" t="n">
        <v>45789.8323842593</v>
      </c>
      <c r="P4211" s="53" t="n">
        <v>45822.8265509259</v>
      </c>
      <c r="Q4211" s="53" t="n">
        <v>45789.8323842593</v>
      </c>
      <c r="R4211" s="0" t="n">
        <v>0</v>
      </c>
      <c r="S4211" s="51" t="s">
        <v>2380</v>
      </c>
      <c r="T4211" s="51" t="s">
        <v>2380</v>
      </c>
      <c r="U4211" s="0" t="str">
        <f aca="false">"10074865055175"</f>
        <v>10074865055175</v>
      </c>
      <c r="V4211" s="51" t="s">
        <v>2365</v>
      </c>
      <c r="W4211" s="51" t="s">
        <v>8101</v>
      </c>
      <c r="X4211" s="51" t="s">
        <v>2359</v>
      </c>
    </row>
    <row r="4212" customFormat="false" ht="14.25" hidden="true" customHeight="false" outlineLevel="0" collapsed="false">
      <c r="A4212" s="49" t="s">
        <v>2349</v>
      </c>
      <c r="B4212" s="49" t="s">
        <v>2350</v>
      </c>
      <c r="C4212" s="49" t="s">
        <v>8102</v>
      </c>
      <c r="D4212" s="49" t="s">
        <v>2352</v>
      </c>
      <c r="E4212" s="49" t="str">
        <f aca="false">"10074865055175"</f>
        <v>10074865055175</v>
      </c>
      <c r="F4212" s="49" t="s">
        <v>5090</v>
      </c>
      <c r="G4212" s="49" t="n">
        <v>0</v>
      </c>
      <c r="H4212" s="0" t="n">
        <v>0</v>
      </c>
      <c r="M4212" s="51" t="s">
        <v>8097</v>
      </c>
      <c r="N4212" s="49" t="n">
        <v>0</v>
      </c>
      <c r="O4212" s="53" t="n">
        <v>45789.8317476852</v>
      </c>
      <c r="P4212" s="53" t="n">
        <v>45837.4608101852</v>
      </c>
      <c r="Q4212" s="53" t="n">
        <v>45789.8317476852</v>
      </c>
      <c r="R4212" s="0" t="n">
        <v>0</v>
      </c>
      <c r="S4212" s="51" t="s">
        <v>2380</v>
      </c>
      <c r="T4212" s="51" t="s">
        <v>2380</v>
      </c>
      <c r="U4212" s="0" t="str">
        <f aca="false">"10074865055175"</f>
        <v>10074865055175</v>
      </c>
      <c r="V4212" s="51" t="s">
        <v>2365</v>
      </c>
      <c r="W4212" s="51" t="s">
        <v>4054</v>
      </c>
      <c r="X4212" s="51" t="s">
        <v>2359</v>
      </c>
    </row>
    <row r="4213" customFormat="false" ht="14.25" hidden="true" customHeight="false" outlineLevel="0" collapsed="false">
      <c r="A4213" s="49" t="s">
        <v>2349</v>
      </c>
      <c r="B4213" s="49" t="s">
        <v>2350</v>
      </c>
      <c r="C4213" s="49" t="s">
        <v>8103</v>
      </c>
      <c r="D4213" s="49" t="s">
        <v>2352</v>
      </c>
      <c r="E4213" s="49" t="str">
        <f aca="false">"10074865055175"</f>
        <v>10074865055175</v>
      </c>
      <c r="F4213" s="49" t="s">
        <v>5090</v>
      </c>
      <c r="G4213" s="49" t="n">
        <v>0</v>
      </c>
      <c r="H4213" s="0" t="n">
        <v>0</v>
      </c>
      <c r="M4213" s="51" t="s">
        <v>8097</v>
      </c>
      <c r="N4213" s="49" t="n">
        <v>0</v>
      </c>
      <c r="O4213" s="53" t="n">
        <v>45789.8314583333</v>
      </c>
      <c r="P4213" s="53" t="n">
        <v>45837.4603472222</v>
      </c>
      <c r="Q4213" s="53" t="n">
        <v>45789.8314583333</v>
      </c>
      <c r="R4213" s="0" t="n">
        <v>0</v>
      </c>
      <c r="S4213" s="51" t="s">
        <v>2380</v>
      </c>
      <c r="T4213" s="51" t="s">
        <v>2380</v>
      </c>
      <c r="U4213" s="0" t="str">
        <f aca="false">"10074865055175"</f>
        <v>10074865055175</v>
      </c>
      <c r="V4213" s="51" t="s">
        <v>2365</v>
      </c>
      <c r="W4213" s="51" t="s">
        <v>4056</v>
      </c>
      <c r="X4213" s="51" t="s">
        <v>2359</v>
      </c>
    </row>
    <row r="4214" customFormat="false" ht="14.25" hidden="true" customHeight="false" outlineLevel="0" collapsed="false">
      <c r="A4214" s="49" t="s">
        <v>2349</v>
      </c>
      <c r="B4214" s="49" t="s">
        <v>2350</v>
      </c>
      <c r="C4214" s="49" t="s">
        <v>8104</v>
      </c>
      <c r="D4214" s="49" t="s">
        <v>2352</v>
      </c>
      <c r="E4214" s="49" t="str">
        <f aca="false">"10074865055175"</f>
        <v>10074865055175</v>
      </c>
      <c r="F4214" s="49" t="s">
        <v>5090</v>
      </c>
      <c r="G4214" s="49" t="n">
        <v>0</v>
      </c>
      <c r="H4214" s="0" t="n">
        <v>0</v>
      </c>
      <c r="M4214" s="51" t="s">
        <v>8097</v>
      </c>
      <c r="N4214" s="49" t="n">
        <v>0</v>
      </c>
      <c r="O4214" s="53" t="n">
        <v>45789.8312037037</v>
      </c>
      <c r="P4214" s="53" t="n">
        <v>45837.4565393519</v>
      </c>
      <c r="Q4214" s="53" t="n">
        <v>45789.8312037037</v>
      </c>
      <c r="R4214" s="0" t="n">
        <v>0</v>
      </c>
      <c r="S4214" s="51" t="s">
        <v>2380</v>
      </c>
      <c r="T4214" s="51" t="s">
        <v>2380</v>
      </c>
      <c r="U4214" s="0" t="str">
        <f aca="false">"10074865055175"</f>
        <v>10074865055175</v>
      </c>
      <c r="V4214" s="51" t="s">
        <v>2365</v>
      </c>
      <c r="W4214" s="51" t="s">
        <v>4860</v>
      </c>
      <c r="X4214" s="51" t="s">
        <v>2359</v>
      </c>
    </row>
    <row r="4215" customFormat="false" ht="14.25" hidden="true" customHeight="false" outlineLevel="0" collapsed="false">
      <c r="A4215" s="49" t="s">
        <v>2349</v>
      </c>
      <c r="B4215" s="49" t="s">
        <v>2350</v>
      </c>
      <c r="C4215" s="49" t="s">
        <v>8105</v>
      </c>
      <c r="D4215" s="49" t="s">
        <v>2352</v>
      </c>
      <c r="E4215" s="49" t="str">
        <f aca="false">"10074865055175"</f>
        <v>10074865055175</v>
      </c>
      <c r="F4215" s="49" t="s">
        <v>5090</v>
      </c>
      <c r="G4215" s="49" t="n">
        <v>0</v>
      </c>
      <c r="H4215" s="0" t="n">
        <v>0</v>
      </c>
      <c r="M4215" s="51" t="s">
        <v>8097</v>
      </c>
      <c r="N4215" s="49" t="n">
        <v>0</v>
      </c>
      <c r="O4215" s="53" t="n">
        <v>45789.8309722222</v>
      </c>
      <c r="P4215" s="53" t="n">
        <v>45837.4680787037</v>
      </c>
      <c r="Q4215" s="53" t="n">
        <v>45789.8309722222</v>
      </c>
      <c r="R4215" s="0" t="n">
        <v>0</v>
      </c>
      <c r="S4215" s="51" t="s">
        <v>2380</v>
      </c>
      <c r="T4215" s="51" t="s">
        <v>2380</v>
      </c>
      <c r="U4215" s="0" t="str">
        <f aca="false">"10074865055175"</f>
        <v>10074865055175</v>
      </c>
      <c r="V4215" s="51" t="s">
        <v>2365</v>
      </c>
      <c r="W4215" s="51" t="s">
        <v>8106</v>
      </c>
      <c r="X4215" s="51" t="s">
        <v>2359</v>
      </c>
    </row>
    <row r="4216" customFormat="false" ht="14.25" hidden="true" customHeight="false" outlineLevel="0" collapsed="false">
      <c r="A4216" s="49" t="s">
        <v>2349</v>
      </c>
      <c r="B4216" s="49" t="s">
        <v>2350</v>
      </c>
      <c r="C4216" s="49" t="s">
        <v>8107</v>
      </c>
      <c r="D4216" s="49" t="s">
        <v>2352</v>
      </c>
      <c r="E4216" s="49" t="str">
        <f aca="false">"10074865055175"</f>
        <v>10074865055175</v>
      </c>
      <c r="F4216" s="49" t="s">
        <v>5090</v>
      </c>
      <c r="G4216" s="49" t="n">
        <v>0</v>
      </c>
      <c r="H4216" s="0" t="n">
        <v>0</v>
      </c>
      <c r="M4216" s="51" t="s">
        <v>8097</v>
      </c>
      <c r="N4216" s="49" t="n">
        <v>0</v>
      </c>
      <c r="O4216" s="53" t="n">
        <v>45789.8306018519</v>
      </c>
      <c r="P4216" s="53" t="n">
        <v>45837.4673958333</v>
      </c>
      <c r="Q4216" s="53" t="n">
        <v>45789.8306018519</v>
      </c>
      <c r="R4216" s="0" t="n">
        <v>0</v>
      </c>
      <c r="S4216" s="51" t="s">
        <v>2380</v>
      </c>
      <c r="T4216" s="51" t="s">
        <v>2380</v>
      </c>
      <c r="U4216" s="0" t="str">
        <f aca="false">"10074865055175"</f>
        <v>10074865055175</v>
      </c>
      <c r="V4216" s="51" t="s">
        <v>2365</v>
      </c>
      <c r="W4216" s="51" t="s">
        <v>8108</v>
      </c>
      <c r="X4216" s="51" t="s">
        <v>2359</v>
      </c>
    </row>
    <row r="4217" customFormat="false" ht="14.25" hidden="true" customHeight="false" outlineLevel="0" collapsed="false">
      <c r="A4217" s="49" t="s">
        <v>2349</v>
      </c>
      <c r="B4217" s="49" t="s">
        <v>2350</v>
      </c>
      <c r="C4217" s="49" t="s">
        <v>8109</v>
      </c>
      <c r="D4217" s="49" t="s">
        <v>2352</v>
      </c>
      <c r="E4217" s="49" t="str">
        <f aca="false">"10074865055175"</f>
        <v>10074865055175</v>
      </c>
      <c r="F4217" s="49" t="s">
        <v>5090</v>
      </c>
      <c r="G4217" s="49" t="n">
        <v>0</v>
      </c>
      <c r="H4217" s="0" t="n">
        <v>0</v>
      </c>
      <c r="M4217" s="51" t="s">
        <v>8097</v>
      </c>
      <c r="N4217" s="49" t="n">
        <v>0</v>
      </c>
      <c r="O4217" s="53" t="n">
        <v>45789.8304282407</v>
      </c>
      <c r="P4217" s="53" t="n">
        <v>45822.7793865741</v>
      </c>
      <c r="Q4217" s="53" t="n">
        <v>45789.8304282407</v>
      </c>
      <c r="R4217" s="0" t="n">
        <v>0</v>
      </c>
      <c r="S4217" s="51" t="s">
        <v>2380</v>
      </c>
      <c r="T4217" s="51" t="s">
        <v>2380</v>
      </c>
      <c r="U4217" s="0" t="str">
        <f aca="false">"10074865055175"</f>
        <v>10074865055175</v>
      </c>
      <c r="V4217" s="51" t="s">
        <v>2365</v>
      </c>
      <c r="W4217" s="51" t="s">
        <v>6769</v>
      </c>
      <c r="X4217" s="51" t="s">
        <v>2359</v>
      </c>
    </row>
    <row r="4218" customFormat="false" ht="14.25" hidden="true" customHeight="false" outlineLevel="0" collapsed="false">
      <c r="A4218" s="49" t="s">
        <v>2349</v>
      </c>
      <c r="B4218" s="49" t="s">
        <v>2350</v>
      </c>
      <c r="C4218" s="49" t="s">
        <v>8110</v>
      </c>
      <c r="D4218" s="49" t="s">
        <v>2352</v>
      </c>
      <c r="E4218" s="49" t="str">
        <f aca="false">"10074865055175"</f>
        <v>10074865055175</v>
      </c>
      <c r="F4218" s="49" t="s">
        <v>5090</v>
      </c>
      <c r="G4218" s="49" t="n">
        <v>0</v>
      </c>
      <c r="H4218" s="0" t="n">
        <v>0</v>
      </c>
      <c r="M4218" s="51" t="s">
        <v>8097</v>
      </c>
      <c r="N4218" s="49" t="n">
        <v>0</v>
      </c>
      <c r="O4218" s="53" t="n">
        <v>45789.8302199074</v>
      </c>
      <c r="P4218" s="53" t="n">
        <v>45822.7903819445</v>
      </c>
      <c r="Q4218" s="53" t="n">
        <v>45789.8302199074</v>
      </c>
      <c r="R4218" s="0" t="n">
        <v>0</v>
      </c>
      <c r="S4218" s="51" t="s">
        <v>2380</v>
      </c>
      <c r="T4218" s="51" t="s">
        <v>2380</v>
      </c>
      <c r="U4218" s="0" t="str">
        <f aca="false">"10074865055175"</f>
        <v>10074865055175</v>
      </c>
      <c r="V4218" s="51" t="s">
        <v>2365</v>
      </c>
      <c r="W4218" s="51" t="s">
        <v>5121</v>
      </c>
      <c r="X4218" s="51" t="s">
        <v>2359</v>
      </c>
    </row>
    <row r="4219" customFormat="false" ht="14.25" hidden="true" customHeight="false" outlineLevel="0" collapsed="false">
      <c r="A4219" s="49" t="s">
        <v>2349</v>
      </c>
      <c r="B4219" s="49" t="s">
        <v>2350</v>
      </c>
      <c r="C4219" s="49" t="s">
        <v>8111</v>
      </c>
      <c r="D4219" s="49" t="s">
        <v>2352</v>
      </c>
      <c r="E4219" s="49" t="str">
        <f aca="false">"10074865055175"</f>
        <v>10074865055175</v>
      </c>
      <c r="F4219" s="49" t="s">
        <v>5090</v>
      </c>
      <c r="G4219" s="49" t="n">
        <v>0</v>
      </c>
      <c r="H4219" s="0" t="n">
        <v>0</v>
      </c>
      <c r="M4219" s="51" t="s">
        <v>8097</v>
      </c>
      <c r="N4219" s="49" t="n">
        <v>0</v>
      </c>
      <c r="O4219" s="53" t="n">
        <v>45789.8299768519</v>
      </c>
      <c r="P4219" s="53" t="n">
        <v>45837.4665972222</v>
      </c>
      <c r="Q4219" s="53" t="n">
        <v>45789.8299768519</v>
      </c>
      <c r="R4219" s="0" t="n">
        <v>0</v>
      </c>
      <c r="S4219" s="51" t="s">
        <v>2380</v>
      </c>
      <c r="T4219" s="51" t="s">
        <v>2380</v>
      </c>
      <c r="U4219" s="0" t="str">
        <f aca="false">"10074865055175"</f>
        <v>10074865055175</v>
      </c>
      <c r="V4219" s="51" t="s">
        <v>2365</v>
      </c>
      <c r="W4219" s="51" t="s">
        <v>8112</v>
      </c>
      <c r="X4219" s="51" t="s">
        <v>2359</v>
      </c>
    </row>
    <row r="4220" customFormat="false" ht="14.25" hidden="true" customHeight="false" outlineLevel="0" collapsed="false">
      <c r="A4220" s="49" t="s">
        <v>2349</v>
      </c>
      <c r="B4220" s="49" t="s">
        <v>2350</v>
      </c>
      <c r="C4220" s="49" t="s">
        <v>8113</v>
      </c>
      <c r="D4220" s="49" t="s">
        <v>2352</v>
      </c>
      <c r="E4220" s="49" t="str">
        <f aca="false">"10074865055175"</f>
        <v>10074865055175</v>
      </c>
      <c r="F4220" s="49" t="s">
        <v>5090</v>
      </c>
      <c r="G4220" s="49" t="n">
        <v>0</v>
      </c>
      <c r="H4220" s="0" t="n">
        <v>0</v>
      </c>
      <c r="M4220" s="51" t="s">
        <v>8097</v>
      </c>
      <c r="N4220" s="49" t="n">
        <v>0</v>
      </c>
      <c r="O4220" s="53" t="n">
        <v>45789.8297337963</v>
      </c>
      <c r="P4220" s="53" t="n">
        <v>45837.4556134259</v>
      </c>
      <c r="Q4220" s="53" t="n">
        <v>45789.8297337963</v>
      </c>
      <c r="R4220" s="0" t="n">
        <v>0</v>
      </c>
      <c r="S4220" s="51" t="s">
        <v>2380</v>
      </c>
      <c r="T4220" s="51" t="s">
        <v>2380</v>
      </c>
      <c r="U4220" s="0" t="str">
        <f aca="false">"10074865055175"</f>
        <v>10074865055175</v>
      </c>
      <c r="V4220" s="51" t="s">
        <v>2365</v>
      </c>
      <c r="W4220" s="51" t="s">
        <v>8114</v>
      </c>
      <c r="X4220" s="51" t="s">
        <v>2359</v>
      </c>
    </row>
    <row r="4221" customFormat="false" ht="14.25" hidden="true" customHeight="false" outlineLevel="0" collapsed="false">
      <c r="A4221" s="49" t="s">
        <v>2349</v>
      </c>
      <c r="B4221" s="49" t="s">
        <v>2350</v>
      </c>
      <c r="C4221" s="49" t="s">
        <v>8115</v>
      </c>
      <c r="D4221" s="49" t="s">
        <v>2352</v>
      </c>
      <c r="E4221" s="49" t="str">
        <f aca="false">"10074865055175"</f>
        <v>10074865055175</v>
      </c>
      <c r="F4221" s="49" t="s">
        <v>5090</v>
      </c>
      <c r="G4221" s="49" t="n">
        <v>0</v>
      </c>
      <c r="H4221" s="0" t="n">
        <v>0</v>
      </c>
      <c r="M4221" s="51" t="s">
        <v>8097</v>
      </c>
      <c r="N4221" s="49" t="n">
        <v>0</v>
      </c>
      <c r="O4221" s="53" t="n">
        <v>45789.829537037</v>
      </c>
      <c r="P4221" s="53" t="n">
        <v>45837.4586342593</v>
      </c>
      <c r="Q4221" s="53" t="n">
        <v>45789.829537037</v>
      </c>
      <c r="R4221" s="0" t="n">
        <v>0</v>
      </c>
      <c r="S4221" s="51" t="s">
        <v>2380</v>
      </c>
      <c r="T4221" s="51" t="s">
        <v>2380</v>
      </c>
      <c r="U4221" s="0" t="str">
        <f aca="false">"10074865055175"</f>
        <v>10074865055175</v>
      </c>
      <c r="V4221" s="51" t="s">
        <v>2365</v>
      </c>
      <c r="W4221" s="51" t="s">
        <v>4040</v>
      </c>
      <c r="X4221" s="51" t="s">
        <v>2359</v>
      </c>
    </row>
    <row r="4222" customFormat="false" ht="14.25" hidden="true" customHeight="false" outlineLevel="0" collapsed="false">
      <c r="A4222" s="49" t="s">
        <v>2349</v>
      </c>
      <c r="B4222" s="49" t="s">
        <v>2350</v>
      </c>
      <c r="C4222" s="49" t="s">
        <v>8116</v>
      </c>
      <c r="D4222" s="49" t="s">
        <v>2352</v>
      </c>
      <c r="E4222" s="49" t="str">
        <f aca="false">"10074865055175"</f>
        <v>10074865055175</v>
      </c>
      <c r="F4222" s="49" t="s">
        <v>5090</v>
      </c>
      <c r="G4222" s="49" t="n">
        <v>0</v>
      </c>
      <c r="H4222" s="0" t="n">
        <v>0</v>
      </c>
      <c r="M4222" s="51" t="s">
        <v>8097</v>
      </c>
      <c r="N4222" s="49" t="n">
        <v>0</v>
      </c>
      <c r="O4222" s="53" t="n">
        <v>45789.8293171296</v>
      </c>
      <c r="P4222" s="53" t="n">
        <v>45914.7840393519</v>
      </c>
      <c r="Q4222" s="53" t="n">
        <v>45789.8293171296</v>
      </c>
      <c r="R4222" s="0" t="n">
        <v>0</v>
      </c>
      <c r="S4222" s="51" t="s">
        <v>2380</v>
      </c>
      <c r="T4222" s="51" t="s">
        <v>2380</v>
      </c>
      <c r="U4222" s="0" t="str">
        <f aca="false">"10074865055175"</f>
        <v>10074865055175</v>
      </c>
      <c r="V4222" s="51" t="s">
        <v>2365</v>
      </c>
      <c r="W4222" s="51" t="s">
        <v>8117</v>
      </c>
      <c r="X4222" s="51" t="s">
        <v>2359</v>
      </c>
    </row>
    <row r="4223" customFormat="false" ht="14.25" hidden="true" customHeight="false" outlineLevel="0" collapsed="false">
      <c r="A4223" s="49" t="s">
        <v>2349</v>
      </c>
      <c r="B4223" s="49" t="s">
        <v>2350</v>
      </c>
      <c r="C4223" s="49" t="s">
        <v>8118</v>
      </c>
      <c r="D4223" s="49" t="s">
        <v>2352</v>
      </c>
      <c r="E4223" s="49" t="str">
        <f aca="false">"10074865055175"</f>
        <v>10074865055175</v>
      </c>
      <c r="F4223" s="49" t="s">
        <v>5090</v>
      </c>
      <c r="G4223" s="49" t="n">
        <v>0</v>
      </c>
      <c r="H4223" s="0" t="n">
        <v>0</v>
      </c>
      <c r="M4223" s="51" t="s">
        <v>8097</v>
      </c>
      <c r="N4223" s="49" t="n">
        <v>0</v>
      </c>
      <c r="O4223" s="53" t="n">
        <v>45789.8290393519</v>
      </c>
      <c r="P4223" s="53" t="n">
        <v>45837.4691666667</v>
      </c>
      <c r="Q4223" s="53" t="n">
        <v>45789.8290393519</v>
      </c>
      <c r="R4223" s="0" t="n">
        <v>0</v>
      </c>
      <c r="S4223" s="51" t="s">
        <v>2380</v>
      </c>
      <c r="T4223" s="51" t="s">
        <v>2380</v>
      </c>
      <c r="U4223" s="0" t="str">
        <f aca="false">"10074865055175"</f>
        <v>10074865055175</v>
      </c>
      <c r="V4223" s="51" t="s">
        <v>2365</v>
      </c>
      <c r="W4223" s="51" t="s">
        <v>8119</v>
      </c>
      <c r="X4223" s="51" t="s">
        <v>2359</v>
      </c>
    </row>
    <row r="4224" customFormat="false" ht="14.25" hidden="true" customHeight="false" outlineLevel="0" collapsed="false">
      <c r="A4224" s="49" t="s">
        <v>2349</v>
      </c>
      <c r="B4224" s="49" t="s">
        <v>2350</v>
      </c>
      <c r="C4224" s="49" t="s">
        <v>8120</v>
      </c>
      <c r="D4224" s="49" t="s">
        <v>2352</v>
      </c>
      <c r="E4224" s="49" t="str">
        <f aca="false">"10074865055175"</f>
        <v>10074865055175</v>
      </c>
      <c r="F4224" s="49" t="s">
        <v>5090</v>
      </c>
      <c r="G4224" s="49" t="n">
        <v>0</v>
      </c>
      <c r="H4224" s="0" t="n">
        <v>0</v>
      </c>
      <c r="M4224" s="51" t="s">
        <v>8097</v>
      </c>
      <c r="N4224" s="49" t="n">
        <v>0</v>
      </c>
      <c r="O4224" s="53" t="n">
        <v>45789.8287268519</v>
      </c>
      <c r="P4224" s="53" t="n">
        <v>45822.8358796296</v>
      </c>
      <c r="Q4224" s="53" t="n">
        <v>45789.8287268519</v>
      </c>
      <c r="R4224" s="0" t="n">
        <v>0</v>
      </c>
      <c r="S4224" s="51" t="s">
        <v>2380</v>
      </c>
      <c r="T4224" s="51" t="s">
        <v>2380</v>
      </c>
      <c r="U4224" s="0" t="str">
        <f aca="false">"10074865055175"</f>
        <v>10074865055175</v>
      </c>
      <c r="V4224" s="51" t="s">
        <v>2365</v>
      </c>
      <c r="W4224" s="51" t="s">
        <v>6844</v>
      </c>
      <c r="X4224" s="51" t="s">
        <v>2359</v>
      </c>
    </row>
    <row r="4225" customFormat="false" ht="14.25" hidden="true" customHeight="false" outlineLevel="0" collapsed="false">
      <c r="A4225" s="49" t="s">
        <v>2349</v>
      </c>
      <c r="B4225" s="49" t="s">
        <v>2350</v>
      </c>
      <c r="C4225" s="49" t="s">
        <v>8121</v>
      </c>
      <c r="D4225" s="49" t="s">
        <v>2352</v>
      </c>
      <c r="E4225" s="49" t="str">
        <f aca="false">"10074865055175"</f>
        <v>10074865055175</v>
      </c>
      <c r="F4225" s="49" t="s">
        <v>5090</v>
      </c>
      <c r="G4225" s="49" t="n">
        <v>0</v>
      </c>
      <c r="H4225" s="0" t="n">
        <v>0</v>
      </c>
      <c r="M4225" s="51" t="s">
        <v>8097</v>
      </c>
      <c r="N4225" s="49" t="n">
        <v>0</v>
      </c>
      <c r="O4225" s="53" t="n">
        <v>45789.8284722222</v>
      </c>
      <c r="P4225" s="53" t="n">
        <v>45837.4481018519</v>
      </c>
      <c r="Q4225" s="53" t="n">
        <v>45789.8284722222</v>
      </c>
      <c r="R4225" s="0" t="n">
        <v>0</v>
      </c>
      <c r="S4225" s="51" t="s">
        <v>2380</v>
      </c>
      <c r="T4225" s="51" t="s">
        <v>2380</v>
      </c>
      <c r="U4225" s="0" t="str">
        <f aca="false">"10074865055175"</f>
        <v>10074865055175</v>
      </c>
      <c r="V4225" s="51" t="s">
        <v>2365</v>
      </c>
      <c r="W4225" s="51" t="s">
        <v>7023</v>
      </c>
      <c r="X4225" s="51" t="s">
        <v>2359</v>
      </c>
    </row>
    <row r="4226" customFormat="false" ht="14.25" hidden="true" customHeight="false" outlineLevel="0" collapsed="false">
      <c r="A4226" s="49" t="s">
        <v>2349</v>
      </c>
      <c r="B4226" s="49" t="s">
        <v>2350</v>
      </c>
      <c r="C4226" s="49" t="s">
        <v>8122</v>
      </c>
      <c r="D4226" s="49" t="s">
        <v>2352</v>
      </c>
      <c r="E4226" s="49" t="str">
        <f aca="false">"10074865055175"</f>
        <v>10074865055175</v>
      </c>
      <c r="F4226" s="49" t="s">
        <v>5090</v>
      </c>
      <c r="G4226" s="49" t="n">
        <v>0</v>
      </c>
      <c r="H4226" s="0" t="n">
        <v>0</v>
      </c>
      <c r="M4226" s="51" t="s">
        <v>8097</v>
      </c>
      <c r="N4226" s="49" t="n">
        <v>0</v>
      </c>
      <c r="O4226" s="53" t="n">
        <v>45789.8282175926</v>
      </c>
      <c r="P4226" s="53" t="n">
        <v>45837.4530439815</v>
      </c>
      <c r="Q4226" s="53" t="n">
        <v>45789.8282175926</v>
      </c>
      <c r="R4226" s="0" t="n">
        <v>0</v>
      </c>
      <c r="S4226" s="51" t="s">
        <v>2380</v>
      </c>
      <c r="T4226" s="51" t="s">
        <v>2380</v>
      </c>
      <c r="U4226" s="0" t="str">
        <f aca="false">"10074865055175"</f>
        <v>10074865055175</v>
      </c>
      <c r="V4226" s="51" t="s">
        <v>2365</v>
      </c>
      <c r="W4226" s="51" t="s">
        <v>5903</v>
      </c>
      <c r="X4226" s="51" t="s">
        <v>2359</v>
      </c>
    </row>
    <row r="4227" customFormat="false" ht="14.25" hidden="true" customHeight="false" outlineLevel="0" collapsed="false">
      <c r="A4227" s="49" t="s">
        <v>2349</v>
      </c>
      <c r="B4227" s="49" t="s">
        <v>2350</v>
      </c>
      <c r="C4227" s="49" t="s">
        <v>8123</v>
      </c>
      <c r="D4227" s="49" t="s">
        <v>2352</v>
      </c>
      <c r="E4227" s="49" t="str">
        <f aca="false">"10074865055175"</f>
        <v>10074865055175</v>
      </c>
      <c r="F4227" s="49" t="s">
        <v>5090</v>
      </c>
      <c r="G4227" s="49" t="n">
        <v>0</v>
      </c>
      <c r="H4227" s="0" t="n">
        <v>0</v>
      </c>
      <c r="M4227" s="51" t="s">
        <v>8097</v>
      </c>
      <c r="N4227" s="49" t="n">
        <v>0</v>
      </c>
      <c r="O4227" s="53" t="n">
        <v>45789.8278819444</v>
      </c>
      <c r="P4227" s="53" t="n">
        <v>45837.4658449074</v>
      </c>
      <c r="Q4227" s="53" t="n">
        <v>45789.8278819444</v>
      </c>
      <c r="R4227" s="0" t="n">
        <v>0</v>
      </c>
      <c r="S4227" s="51" t="s">
        <v>2380</v>
      </c>
      <c r="T4227" s="51" t="s">
        <v>2380</v>
      </c>
      <c r="U4227" s="0" t="str">
        <f aca="false">"10074865055175"</f>
        <v>10074865055175</v>
      </c>
      <c r="V4227" s="51" t="s">
        <v>2365</v>
      </c>
      <c r="W4227" s="51" t="s">
        <v>8124</v>
      </c>
      <c r="X4227" s="51" t="s">
        <v>2359</v>
      </c>
    </row>
    <row r="4228" customFormat="false" ht="14.25" hidden="true" customHeight="false" outlineLevel="0" collapsed="false">
      <c r="A4228" s="49" t="s">
        <v>2349</v>
      </c>
      <c r="B4228" s="49" t="s">
        <v>2350</v>
      </c>
      <c r="C4228" s="49" t="s">
        <v>8125</v>
      </c>
      <c r="D4228" s="49" t="s">
        <v>2352</v>
      </c>
      <c r="E4228" s="49" t="str">
        <f aca="false">"10074865055175"</f>
        <v>10074865055175</v>
      </c>
      <c r="F4228" s="49" t="s">
        <v>5090</v>
      </c>
      <c r="G4228" s="49" t="n">
        <v>0</v>
      </c>
      <c r="H4228" s="0" t="n">
        <v>0</v>
      </c>
      <c r="M4228" s="51" t="s">
        <v>8097</v>
      </c>
      <c r="N4228" s="49" t="n">
        <v>0</v>
      </c>
      <c r="O4228" s="53" t="n">
        <v>45789.8273842593</v>
      </c>
      <c r="P4228" s="53" t="n">
        <v>45837.4598842593</v>
      </c>
      <c r="Q4228" s="53" t="n">
        <v>45789.8273842593</v>
      </c>
      <c r="R4228" s="0" t="n">
        <v>0</v>
      </c>
      <c r="S4228" s="51" t="s">
        <v>2380</v>
      </c>
      <c r="T4228" s="51" t="s">
        <v>2380</v>
      </c>
      <c r="U4228" s="0" t="str">
        <f aca="false">"10074865055175"</f>
        <v>10074865055175</v>
      </c>
      <c r="V4228" s="51" t="s">
        <v>2365</v>
      </c>
      <c r="W4228" s="51" t="s">
        <v>8126</v>
      </c>
      <c r="X4228" s="51" t="s">
        <v>2359</v>
      </c>
    </row>
    <row r="4229" customFormat="false" ht="14.25" hidden="true" customHeight="false" outlineLevel="0" collapsed="false">
      <c r="A4229" s="49" t="s">
        <v>2349</v>
      </c>
      <c r="B4229" s="49" t="s">
        <v>2350</v>
      </c>
      <c r="C4229" s="49" t="s">
        <v>8127</v>
      </c>
      <c r="D4229" s="49" t="s">
        <v>2352</v>
      </c>
      <c r="E4229" s="49" t="str">
        <f aca="false">"10074865055175"</f>
        <v>10074865055175</v>
      </c>
      <c r="F4229" s="49" t="s">
        <v>5090</v>
      </c>
      <c r="G4229" s="49" t="n">
        <v>0</v>
      </c>
      <c r="H4229" s="0" t="n">
        <v>0</v>
      </c>
      <c r="M4229" s="51" t="s">
        <v>8097</v>
      </c>
      <c r="N4229" s="49" t="n">
        <v>0</v>
      </c>
      <c r="O4229" s="53" t="n">
        <v>45789.8270949074</v>
      </c>
      <c r="P4229" s="53" t="n">
        <v>45837.4646180556</v>
      </c>
      <c r="Q4229" s="53" t="n">
        <v>45789.8270949074</v>
      </c>
      <c r="R4229" s="0" t="n">
        <v>0</v>
      </c>
      <c r="S4229" s="51" t="s">
        <v>2380</v>
      </c>
      <c r="T4229" s="51" t="s">
        <v>2380</v>
      </c>
      <c r="U4229" s="0" t="str">
        <f aca="false">"10074865055175"</f>
        <v>10074865055175</v>
      </c>
      <c r="V4229" s="51" t="s">
        <v>2365</v>
      </c>
      <c r="W4229" s="51" t="s">
        <v>8128</v>
      </c>
      <c r="X4229" s="51" t="s">
        <v>2359</v>
      </c>
    </row>
    <row r="4230" customFormat="false" ht="14.25" hidden="true" customHeight="false" outlineLevel="0" collapsed="false">
      <c r="A4230" s="49" t="s">
        <v>2349</v>
      </c>
      <c r="B4230" s="49" t="s">
        <v>2350</v>
      </c>
      <c r="C4230" s="49" t="s">
        <v>8129</v>
      </c>
      <c r="D4230" s="49" t="s">
        <v>2352</v>
      </c>
      <c r="E4230" s="49" t="str">
        <f aca="false">"10074865055175"</f>
        <v>10074865055175</v>
      </c>
      <c r="F4230" s="49" t="s">
        <v>5090</v>
      </c>
      <c r="G4230" s="49" t="n">
        <v>0</v>
      </c>
      <c r="H4230" s="0" t="n">
        <v>0</v>
      </c>
      <c r="M4230" s="51" t="s">
        <v>8097</v>
      </c>
      <c r="N4230" s="49" t="n">
        <v>0</v>
      </c>
      <c r="O4230" s="53" t="n">
        <v>45789.8265856481</v>
      </c>
      <c r="P4230" s="53" t="n">
        <v>45822.7990046296</v>
      </c>
      <c r="Q4230" s="53" t="n">
        <v>45789.8265856481</v>
      </c>
      <c r="R4230" s="0" t="n">
        <v>0</v>
      </c>
      <c r="S4230" s="51" t="s">
        <v>2380</v>
      </c>
      <c r="T4230" s="51" t="s">
        <v>2380</v>
      </c>
      <c r="U4230" s="0" t="str">
        <f aca="false">"10074865055175"</f>
        <v>10074865055175</v>
      </c>
      <c r="V4230" s="51" t="s">
        <v>2365</v>
      </c>
      <c r="W4230" s="51" t="s">
        <v>8130</v>
      </c>
      <c r="X4230" s="51" t="s">
        <v>2359</v>
      </c>
    </row>
    <row r="4231" customFormat="false" ht="14.25" hidden="true" customHeight="false" outlineLevel="0" collapsed="false">
      <c r="A4231" s="49" t="s">
        <v>2349</v>
      </c>
      <c r="B4231" s="49" t="s">
        <v>2350</v>
      </c>
      <c r="C4231" s="49" t="s">
        <v>8131</v>
      </c>
      <c r="D4231" s="49" t="s">
        <v>2352</v>
      </c>
      <c r="E4231" s="49" t="str">
        <f aca="false">"10074865055175"</f>
        <v>10074865055175</v>
      </c>
      <c r="F4231" s="49" t="s">
        <v>5090</v>
      </c>
      <c r="G4231" s="49" t="n">
        <v>0</v>
      </c>
      <c r="H4231" s="0" t="n">
        <v>0</v>
      </c>
      <c r="M4231" s="51" t="s">
        <v>8097</v>
      </c>
      <c r="N4231" s="49" t="n">
        <v>0</v>
      </c>
      <c r="O4231" s="53" t="n">
        <v>45789.8262847222</v>
      </c>
      <c r="P4231" s="53" t="n">
        <v>45822.8157638889</v>
      </c>
      <c r="Q4231" s="53" t="n">
        <v>45789.8262847222</v>
      </c>
      <c r="R4231" s="0" t="n">
        <v>0</v>
      </c>
      <c r="S4231" s="51" t="s">
        <v>2380</v>
      </c>
      <c r="T4231" s="51" t="s">
        <v>2380</v>
      </c>
      <c r="U4231" s="0" t="str">
        <f aca="false">"10074865055175"</f>
        <v>10074865055175</v>
      </c>
      <c r="V4231" s="51" t="s">
        <v>2365</v>
      </c>
      <c r="W4231" s="51" t="s">
        <v>4795</v>
      </c>
      <c r="X4231" s="51" t="s">
        <v>2359</v>
      </c>
    </row>
    <row r="4232" customFormat="false" ht="14.25" hidden="true" customHeight="false" outlineLevel="0" collapsed="false">
      <c r="A4232" s="49" t="s">
        <v>2349</v>
      </c>
      <c r="B4232" s="49" t="s">
        <v>2350</v>
      </c>
      <c r="C4232" s="49" t="s">
        <v>8132</v>
      </c>
      <c r="D4232" s="49" t="s">
        <v>2352</v>
      </c>
      <c r="E4232" s="49" t="str">
        <f aca="false">"10074865055175"</f>
        <v>10074865055175</v>
      </c>
      <c r="F4232" s="49" t="s">
        <v>5090</v>
      </c>
      <c r="G4232" s="49" t="n">
        <v>0</v>
      </c>
      <c r="H4232" s="0" t="n">
        <v>0</v>
      </c>
      <c r="M4232" s="51" t="s">
        <v>8097</v>
      </c>
      <c r="N4232" s="49" t="n">
        <v>0</v>
      </c>
      <c r="O4232" s="53" t="n">
        <v>45789.8259143519</v>
      </c>
      <c r="P4232" s="53" t="n">
        <v>45822.829212963</v>
      </c>
      <c r="Q4232" s="53" t="n">
        <v>45789.8259143519</v>
      </c>
      <c r="R4232" s="0" t="n">
        <v>0</v>
      </c>
      <c r="S4232" s="51" t="s">
        <v>2380</v>
      </c>
      <c r="T4232" s="51" t="s">
        <v>2380</v>
      </c>
      <c r="U4232" s="0" t="str">
        <f aca="false">"10074865055175"</f>
        <v>10074865055175</v>
      </c>
      <c r="V4232" s="51" t="s">
        <v>2365</v>
      </c>
      <c r="W4232" s="51" t="s">
        <v>8133</v>
      </c>
      <c r="X4232" s="51" t="s">
        <v>2359</v>
      </c>
    </row>
    <row r="4233" customFormat="false" ht="14.25" hidden="true" customHeight="false" outlineLevel="0" collapsed="false">
      <c r="A4233" s="49" t="s">
        <v>2349</v>
      </c>
      <c r="B4233" s="49" t="s">
        <v>2350</v>
      </c>
      <c r="C4233" s="49" t="s">
        <v>8134</v>
      </c>
      <c r="D4233" s="49" t="s">
        <v>2352</v>
      </c>
      <c r="E4233" s="49" t="str">
        <f aca="false">"10074865055175"</f>
        <v>10074865055175</v>
      </c>
      <c r="F4233" s="49" t="s">
        <v>5090</v>
      </c>
      <c r="G4233" s="49" t="n">
        <v>0</v>
      </c>
      <c r="H4233" s="0" t="n">
        <v>0</v>
      </c>
      <c r="M4233" s="51" t="s">
        <v>8097</v>
      </c>
      <c r="N4233" s="49" t="n">
        <v>0</v>
      </c>
      <c r="O4233" s="53" t="n">
        <v>45789.8254050926</v>
      </c>
      <c r="P4233" s="53" t="n">
        <v>45822.8163541667</v>
      </c>
      <c r="Q4233" s="53" t="n">
        <v>45789.8254050926</v>
      </c>
      <c r="R4233" s="0" t="n">
        <v>0</v>
      </c>
      <c r="S4233" s="51" t="s">
        <v>2380</v>
      </c>
      <c r="T4233" s="51" t="s">
        <v>2380</v>
      </c>
      <c r="U4233" s="0" t="str">
        <f aca="false">"10074865055175"</f>
        <v>10074865055175</v>
      </c>
      <c r="V4233" s="51" t="s">
        <v>2365</v>
      </c>
      <c r="W4233" s="51" t="s">
        <v>5995</v>
      </c>
      <c r="X4233" s="51" t="s">
        <v>2359</v>
      </c>
    </row>
    <row r="4234" customFormat="false" ht="14.25" hidden="true" customHeight="false" outlineLevel="0" collapsed="false">
      <c r="A4234" s="49" t="s">
        <v>2349</v>
      </c>
      <c r="B4234" s="49" t="s">
        <v>2350</v>
      </c>
      <c r="C4234" s="49" t="s">
        <v>8135</v>
      </c>
      <c r="D4234" s="49" t="s">
        <v>2352</v>
      </c>
      <c r="E4234" s="49" t="str">
        <f aca="false">"10074865055175"</f>
        <v>10074865055175</v>
      </c>
      <c r="F4234" s="49" t="s">
        <v>5090</v>
      </c>
      <c r="G4234" s="49" t="n">
        <v>0</v>
      </c>
      <c r="H4234" s="0" t="n">
        <v>0</v>
      </c>
      <c r="M4234" s="51" t="s">
        <v>8097</v>
      </c>
      <c r="N4234" s="49" t="n">
        <v>0</v>
      </c>
      <c r="O4234" s="53" t="n">
        <v>45789.825162037</v>
      </c>
      <c r="P4234" s="53" t="n">
        <v>45822.7927314815</v>
      </c>
      <c r="Q4234" s="53" t="n">
        <v>45789.825162037</v>
      </c>
      <c r="R4234" s="0" t="n">
        <v>0</v>
      </c>
      <c r="S4234" s="51" t="s">
        <v>2380</v>
      </c>
      <c r="T4234" s="51" t="s">
        <v>2380</v>
      </c>
      <c r="U4234" s="0" t="str">
        <f aca="false">"10074865055175"</f>
        <v>10074865055175</v>
      </c>
      <c r="V4234" s="51" t="s">
        <v>2365</v>
      </c>
      <c r="W4234" s="51" t="s">
        <v>8136</v>
      </c>
      <c r="X4234" s="51" t="s">
        <v>2359</v>
      </c>
    </row>
    <row r="4235" customFormat="false" ht="14.25" hidden="true" customHeight="false" outlineLevel="0" collapsed="false">
      <c r="A4235" s="49" t="s">
        <v>2349</v>
      </c>
      <c r="B4235" s="49" t="s">
        <v>2350</v>
      </c>
      <c r="C4235" s="49" t="s">
        <v>8137</v>
      </c>
      <c r="D4235" s="49" t="s">
        <v>2352</v>
      </c>
      <c r="E4235" s="49" t="str">
        <f aca="false">"10074865055175"</f>
        <v>10074865055175</v>
      </c>
      <c r="F4235" s="49" t="s">
        <v>5090</v>
      </c>
      <c r="G4235" s="49" t="n">
        <v>0</v>
      </c>
      <c r="H4235" s="0" t="n">
        <v>0</v>
      </c>
      <c r="M4235" s="51" t="s">
        <v>8097</v>
      </c>
      <c r="N4235" s="49" t="n">
        <v>0</v>
      </c>
      <c r="O4235" s="53" t="n">
        <v>45789.8249305556</v>
      </c>
      <c r="P4235" s="53" t="n">
        <v>45822.8330439815</v>
      </c>
      <c r="Q4235" s="53" t="n">
        <v>45789.8249305556</v>
      </c>
      <c r="R4235" s="0" t="n">
        <v>0</v>
      </c>
      <c r="S4235" s="51" t="s">
        <v>2380</v>
      </c>
      <c r="T4235" s="51" t="s">
        <v>2380</v>
      </c>
      <c r="U4235" s="0" t="str">
        <f aca="false">"10074865055175"</f>
        <v>10074865055175</v>
      </c>
      <c r="V4235" s="51" t="s">
        <v>2365</v>
      </c>
      <c r="W4235" s="51" t="s">
        <v>8138</v>
      </c>
      <c r="X4235" s="51" t="s">
        <v>2359</v>
      </c>
    </row>
    <row r="4236" customFormat="false" ht="14.25" hidden="true" customHeight="false" outlineLevel="0" collapsed="false">
      <c r="A4236" s="49" t="s">
        <v>2349</v>
      </c>
      <c r="B4236" s="49" t="s">
        <v>2350</v>
      </c>
      <c r="C4236" s="49" t="s">
        <v>8139</v>
      </c>
      <c r="D4236" s="49" t="s">
        <v>2352</v>
      </c>
      <c r="E4236" s="49" t="str">
        <f aca="false">"10074865055175"</f>
        <v>10074865055175</v>
      </c>
      <c r="F4236" s="49" t="s">
        <v>5090</v>
      </c>
      <c r="G4236" s="49" t="n">
        <v>0</v>
      </c>
      <c r="H4236" s="0" t="n">
        <v>0</v>
      </c>
      <c r="M4236" s="51" t="s">
        <v>8097</v>
      </c>
      <c r="N4236" s="49" t="n">
        <v>0</v>
      </c>
      <c r="O4236" s="53" t="n">
        <v>45789.8246064815</v>
      </c>
      <c r="P4236" s="53" t="n">
        <v>45827.8258564815</v>
      </c>
      <c r="Q4236" s="53" t="n">
        <v>45789.8246064815</v>
      </c>
      <c r="R4236" s="0" t="n">
        <v>0</v>
      </c>
      <c r="S4236" s="51" t="s">
        <v>2380</v>
      </c>
      <c r="T4236" s="51" t="s">
        <v>2380</v>
      </c>
      <c r="U4236" s="0" t="str">
        <f aca="false">"10074865055175"</f>
        <v>10074865055175</v>
      </c>
      <c r="V4236" s="51" t="s">
        <v>2365</v>
      </c>
      <c r="W4236" s="51" t="s">
        <v>5699</v>
      </c>
      <c r="X4236" s="51" t="s">
        <v>2359</v>
      </c>
    </row>
    <row r="4237" customFormat="false" ht="14.25" hidden="true" customHeight="false" outlineLevel="0" collapsed="false">
      <c r="A4237" s="49" t="s">
        <v>2349</v>
      </c>
      <c r="B4237" s="49" t="s">
        <v>2350</v>
      </c>
      <c r="C4237" s="49" t="s">
        <v>8140</v>
      </c>
      <c r="D4237" s="49" t="s">
        <v>2352</v>
      </c>
      <c r="E4237" s="49" t="str">
        <f aca="false">"10074865055175"</f>
        <v>10074865055175</v>
      </c>
      <c r="F4237" s="49" t="s">
        <v>5090</v>
      </c>
      <c r="G4237" s="49" t="n">
        <v>0</v>
      </c>
      <c r="H4237" s="0" t="n">
        <v>0</v>
      </c>
      <c r="M4237" s="51" t="s">
        <v>8097</v>
      </c>
      <c r="N4237" s="49" t="n">
        <v>0</v>
      </c>
      <c r="O4237" s="53" t="n">
        <v>45789.8243634259</v>
      </c>
      <c r="P4237" s="53" t="n">
        <v>45822.8381828704</v>
      </c>
      <c r="Q4237" s="53" t="n">
        <v>45789.8243634259</v>
      </c>
      <c r="R4237" s="0" t="n">
        <v>0</v>
      </c>
      <c r="S4237" s="51" t="s">
        <v>2380</v>
      </c>
      <c r="T4237" s="51" t="s">
        <v>2380</v>
      </c>
      <c r="U4237" s="0" t="str">
        <f aca="false">"10074865055175"</f>
        <v>10074865055175</v>
      </c>
      <c r="V4237" s="51" t="s">
        <v>2365</v>
      </c>
      <c r="W4237" s="51" t="s">
        <v>5807</v>
      </c>
      <c r="X4237" s="51" t="s">
        <v>2359</v>
      </c>
    </row>
    <row r="4238" customFormat="false" ht="14.25" hidden="true" customHeight="false" outlineLevel="0" collapsed="false">
      <c r="A4238" s="49" t="s">
        <v>2349</v>
      </c>
      <c r="B4238" s="49" t="s">
        <v>2350</v>
      </c>
      <c r="C4238" s="49" t="s">
        <v>8141</v>
      </c>
      <c r="D4238" s="49" t="s">
        <v>2352</v>
      </c>
      <c r="E4238" s="49" t="str">
        <f aca="false">"10074865055175"</f>
        <v>10074865055175</v>
      </c>
      <c r="F4238" s="49" t="s">
        <v>5090</v>
      </c>
      <c r="G4238" s="49" t="n">
        <v>0</v>
      </c>
      <c r="H4238" s="0" t="n">
        <v>0</v>
      </c>
      <c r="M4238" s="51" t="s">
        <v>8097</v>
      </c>
      <c r="N4238" s="49" t="n">
        <v>0</v>
      </c>
      <c r="O4238" s="53" t="n">
        <v>45789.8240393519</v>
      </c>
      <c r="P4238" s="53" t="n">
        <v>45837.4510648148</v>
      </c>
      <c r="Q4238" s="53" t="n">
        <v>45789.8240393519</v>
      </c>
      <c r="R4238" s="0" t="n">
        <v>0</v>
      </c>
      <c r="S4238" s="51" t="s">
        <v>2380</v>
      </c>
      <c r="T4238" s="51" t="s">
        <v>2380</v>
      </c>
      <c r="U4238" s="0" t="str">
        <f aca="false">"10074865055175"</f>
        <v>10074865055175</v>
      </c>
      <c r="V4238" s="51" t="s">
        <v>2365</v>
      </c>
      <c r="W4238" s="51" t="s">
        <v>8142</v>
      </c>
      <c r="X4238" s="51" t="s">
        <v>2359</v>
      </c>
    </row>
    <row r="4239" customFormat="false" ht="14.25" hidden="true" customHeight="false" outlineLevel="0" collapsed="false">
      <c r="A4239" s="49" t="s">
        <v>2349</v>
      </c>
      <c r="B4239" s="49" t="s">
        <v>2350</v>
      </c>
      <c r="C4239" s="49" t="s">
        <v>8143</v>
      </c>
      <c r="D4239" s="49" t="s">
        <v>2352</v>
      </c>
      <c r="E4239" s="49" t="str">
        <f aca="false">"10074865055175"</f>
        <v>10074865055175</v>
      </c>
      <c r="F4239" s="49" t="s">
        <v>5090</v>
      </c>
      <c r="G4239" s="49" t="n">
        <v>0</v>
      </c>
      <c r="H4239" s="0" t="n">
        <v>0</v>
      </c>
      <c r="M4239" s="51" t="s">
        <v>8097</v>
      </c>
      <c r="N4239" s="49" t="n">
        <v>0</v>
      </c>
      <c r="O4239" s="53" t="n">
        <v>45789.8237731482</v>
      </c>
      <c r="P4239" s="53" t="n">
        <v>45837.4514467593</v>
      </c>
      <c r="Q4239" s="53" t="n">
        <v>45789.8237731482</v>
      </c>
      <c r="R4239" s="0" t="n">
        <v>0</v>
      </c>
      <c r="S4239" s="51" t="s">
        <v>2380</v>
      </c>
      <c r="T4239" s="51" t="s">
        <v>2380</v>
      </c>
      <c r="U4239" s="0" t="str">
        <f aca="false">"10074865055175"</f>
        <v>10074865055175</v>
      </c>
      <c r="V4239" s="51" t="s">
        <v>2365</v>
      </c>
      <c r="W4239" s="51" t="s">
        <v>7020</v>
      </c>
      <c r="X4239" s="51" t="s">
        <v>2359</v>
      </c>
    </row>
    <row r="4240" customFormat="false" ht="14.25" hidden="true" customHeight="false" outlineLevel="0" collapsed="false">
      <c r="A4240" s="49" t="s">
        <v>2349</v>
      </c>
      <c r="B4240" s="49" t="s">
        <v>2350</v>
      </c>
      <c r="C4240" s="49" t="s">
        <v>8144</v>
      </c>
      <c r="D4240" s="49" t="s">
        <v>2352</v>
      </c>
      <c r="E4240" s="49" t="str">
        <f aca="false">"10074865055175"</f>
        <v>10074865055175</v>
      </c>
      <c r="F4240" s="49" t="s">
        <v>5090</v>
      </c>
      <c r="G4240" s="49" t="n">
        <v>0</v>
      </c>
      <c r="H4240" s="0" t="n">
        <v>0</v>
      </c>
      <c r="M4240" s="51" t="s">
        <v>8097</v>
      </c>
      <c r="N4240" s="49" t="n">
        <v>0</v>
      </c>
      <c r="O4240" s="53" t="n">
        <v>45789.8234259259</v>
      </c>
      <c r="P4240" s="53" t="n">
        <v>45837.4452777778</v>
      </c>
      <c r="Q4240" s="53" t="n">
        <v>45789.8234259259</v>
      </c>
      <c r="R4240" s="0" t="n">
        <v>0</v>
      </c>
      <c r="S4240" s="51" t="s">
        <v>2380</v>
      </c>
      <c r="T4240" s="51" t="s">
        <v>2380</v>
      </c>
      <c r="U4240" s="0" t="str">
        <f aca="false">"10074865055175"</f>
        <v>10074865055175</v>
      </c>
      <c r="V4240" s="51" t="s">
        <v>2365</v>
      </c>
      <c r="W4240" s="51" t="s">
        <v>4878</v>
      </c>
      <c r="X4240" s="51" t="s">
        <v>2359</v>
      </c>
    </row>
    <row r="4241" customFormat="false" ht="14.25" hidden="true" customHeight="false" outlineLevel="0" collapsed="false">
      <c r="A4241" s="49" t="s">
        <v>2349</v>
      </c>
      <c r="B4241" s="49" t="s">
        <v>2350</v>
      </c>
      <c r="C4241" s="49" t="s">
        <v>8145</v>
      </c>
      <c r="D4241" s="49" t="s">
        <v>2352</v>
      </c>
      <c r="E4241" s="49" t="str">
        <f aca="false">"10074865055175"</f>
        <v>10074865055175</v>
      </c>
      <c r="F4241" s="49" t="s">
        <v>5090</v>
      </c>
      <c r="G4241" s="49" t="n">
        <v>0</v>
      </c>
      <c r="H4241" s="0" t="n">
        <v>0</v>
      </c>
      <c r="M4241" s="51" t="s">
        <v>8097</v>
      </c>
      <c r="N4241" s="49" t="n">
        <v>0</v>
      </c>
      <c r="O4241" s="53" t="n">
        <v>45789.8230902778</v>
      </c>
      <c r="P4241" s="53" t="n">
        <v>45837.445462963</v>
      </c>
      <c r="Q4241" s="53" t="n">
        <v>45789.8230902778</v>
      </c>
      <c r="R4241" s="0" t="n">
        <v>0</v>
      </c>
      <c r="S4241" s="51" t="s">
        <v>2380</v>
      </c>
      <c r="T4241" s="51" t="s">
        <v>2380</v>
      </c>
      <c r="U4241" s="0" t="str">
        <f aca="false">"10074865055175"</f>
        <v>10074865055175</v>
      </c>
      <c r="V4241" s="51" t="s">
        <v>2365</v>
      </c>
      <c r="W4241" s="51" t="s">
        <v>4878</v>
      </c>
      <c r="X4241" s="51" t="s">
        <v>2359</v>
      </c>
    </row>
    <row r="4242" customFormat="false" ht="14.25" hidden="true" customHeight="false" outlineLevel="0" collapsed="false">
      <c r="A4242" s="49" t="s">
        <v>2349</v>
      </c>
      <c r="B4242" s="49" t="s">
        <v>2350</v>
      </c>
      <c r="C4242" s="49" t="s">
        <v>8146</v>
      </c>
      <c r="D4242" s="49" t="s">
        <v>2352</v>
      </c>
      <c r="E4242" s="49" t="str">
        <f aca="false">"10074865055175"</f>
        <v>10074865055175</v>
      </c>
      <c r="F4242" s="49" t="s">
        <v>5090</v>
      </c>
      <c r="G4242" s="49" t="n">
        <v>0</v>
      </c>
      <c r="H4242" s="0" t="n">
        <v>0</v>
      </c>
      <c r="M4242" s="51" t="s">
        <v>8097</v>
      </c>
      <c r="N4242" s="49" t="n">
        <v>0</v>
      </c>
      <c r="O4242" s="53" t="n">
        <v>45789.8338657407</v>
      </c>
      <c r="P4242" s="53" t="n">
        <v>45822.8304050926</v>
      </c>
      <c r="Q4242" s="53" t="n">
        <v>45789.8338657407</v>
      </c>
      <c r="R4242" s="0" t="n">
        <v>0</v>
      </c>
      <c r="S4242" s="51" t="s">
        <v>2380</v>
      </c>
      <c r="T4242" s="51" t="s">
        <v>2380</v>
      </c>
      <c r="U4242" s="0" t="str">
        <f aca="false">"10074865055175"</f>
        <v>10074865055175</v>
      </c>
      <c r="V4242" s="51" t="s">
        <v>2365</v>
      </c>
      <c r="W4242" s="51" t="s">
        <v>4280</v>
      </c>
      <c r="X4242" s="51" t="s">
        <v>2359</v>
      </c>
    </row>
    <row r="4243" customFormat="false" ht="14.25" hidden="true" customHeight="false" outlineLevel="0" collapsed="false">
      <c r="A4243" s="49" t="s">
        <v>2349</v>
      </c>
      <c r="B4243" s="49" t="s">
        <v>2350</v>
      </c>
      <c r="C4243" s="49" t="s">
        <v>8147</v>
      </c>
      <c r="D4243" s="49" t="s">
        <v>2352</v>
      </c>
      <c r="E4243" s="49" t="str">
        <f aca="false">"10074865055175"</f>
        <v>10074865055175</v>
      </c>
      <c r="F4243" s="49" t="s">
        <v>5090</v>
      </c>
      <c r="G4243" s="49" t="n">
        <v>0</v>
      </c>
      <c r="H4243" s="0" t="n">
        <v>0</v>
      </c>
      <c r="M4243" s="51" t="s">
        <v>8097</v>
      </c>
      <c r="N4243" s="49" t="n">
        <v>0</v>
      </c>
      <c r="O4243" s="53" t="n">
        <v>45789.8340625</v>
      </c>
      <c r="P4243" s="53" t="n">
        <v>45822.7928472222</v>
      </c>
      <c r="Q4243" s="53" t="n">
        <v>45789.8340625</v>
      </c>
      <c r="R4243" s="0" t="n">
        <v>0</v>
      </c>
      <c r="S4243" s="51" t="s">
        <v>2380</v>
      </c>
      <c r="T4243" s="51" t="s">
        <v>2380</v>
      </c>
      <c r="U4243" s="0" t="str">
        <f aca="false">"10074865055175"</f>
        <v>10074865055175</v>
      </c>
      <c r="V4243" s="51" t="s">
        <v>2365</v>
      </c>
      <c r="W4243" s="51" t="s">
        <v>6771</v>
      </c>
      <c r="X4243" s="51" t="s">
        <v>2359</v>
      </c>
    </row>
    <row r="4244" customFormat="false" ht="14.25" hidden="true" customHeight="false" outlineLevel="0" collapsed="false">
      <c r="A4244" s="49" t="s">
        <v>2349</v>
      </c>
      <c r="B4244" s="49" t="s">
        <v>2350</v>
      </c>
      <c r="C4244" s="49" t="s">
        <v>8148</v>
      </c>
      <c r="D4244" s="49" t="s">
        <v>2352</v>
      </c>
      <c r="E4244" s="49" t="str">
        <f aca="false">"10074865055175"</f>
        <v>10074865055175</v>
      </c>
      <c r="F4244" s="49" t="s">
        <v>5090</v>
      </c>
      <c r="G4244" s="49" t="n">
        <v>0</v>
      </c>
      <c r="H4244" s="0" t="n">
        <v>0</v>
      </c>
      <c r="M4244" s="51" t="s">
        <v>8097</v>
      </c>
      <c r="N4244" s="49" t="n">
        <v>0</v>
      </c>
      <c r="O4244" s="53" t="n">
        <v>45789.8333217593</v>
      </c>
      <c r="P4244" s="53" t="n">
        <v>45822.827337963</v>
      </c>
      <c r="Q4244" s="53" t="n">
        <v>45789.8333217593</v>
      </c>
      <c r="R4244" s="0" t="n">
        <v>0</v>
      </c>
      <c r="S4244" s="51" t="s">
        <v>2380</v>
      </c>
      <c r="T4244" s="51" t="s">
        <v>2380</v>
      </c>
      <c r="U4244" s="0" t="str">
        <f aca="false">"10074865055175"</f>
        <v>10074865055175</v>
      </c>
      <c r="V4244" s="51" t="s">
        <v>2365</v>
      </c>
      <c r="W4244" s="51" t="s">
        <v>5379</v>
      </c>
      <c r="X4244" s="51" t="s">
        <v>2359</v>
      </c>
    </row>
    <row r="4245" customFormat="false" ht="14.25" hidden="true" customHeight="false" outlineLevel="0" collapsed="false">
      <c r="A4245" s="49" t="s">
        <v>2349</v>
      </c>
      <c r="B4245" s="49" t="s">
        <v>2350</v>
      </c>
      <c r="C4245" s="49" t="s">
        <v>8149</v>
      </c>
      <c r="D4245" s="49" t="s">
        <v>2352</v>
      </c>
      <c r="E4245" s="49" t="str">
        <f aca="false">"10074865055175"</f>
        <v>10074865055175</v>
      </c>
      <c r="F4245" s="49" t="s">
        <v>5090</v>
      </c>
      <c r="G4245" s="49" t="n">
        <v>0</v>
      </c>
      <c r="H4245" s="0" t="n">
        <v>0</v>
      </c>
      <c r="M4245" s="51" t="s">
        <v>8097</v>
      </c>
      <c r="N4245" s="49" t="n">
        <v>0</v>
      </c>
      <c r="O4245" s="53" t="n">
        <v>45789.8409259259</v>
      </c>
      <c r="P4245" s="53" t="n">
        <v>45837.4579166667</v>
      </c>
      <c r="Q4245" s="53" t="n">
        <v>45789.8409259259</v>
      </c>
      <c r="R4245" s="0" t="n">
        <v>0</v>
      </c>
      <c r="S4245" s="51" t="s">
        <v>2380</v>
      </c>
      <c r="T4245" s="51" t="s">
        <v>2380</v>
      </c>
      <c r="U4245" s="0" t="str">
        <f aca="false">"10074865055175"</f>
        <v>10074865055175</v>
      </c>
      <c r="V4245" s="51" t="s">
        <v>2365</v>
      </c>
      <c r="W4245" s="51" t="s">
        <v>6938</v>
      </c>
      <c r="X4245" s="51" t="s">
        <v>2359</v>
      </c>
    </row>
    <row r="4246" customFormat="false" ht="14.25" hidden="true" customHeight="false" outlineLevel="0" collapsed="false">
      <c r="A4246" s="49" t="s">
        <v>2349</v>
      </c>
      <c r="B4246" s="49" t="s">
        <v>2350</v>
      </c>
      <c r="C4246" s="49" t="s">
        <v>8150</v>
      </c>
      <c r="D4246" s="49" t="s">
        <v>2352</v>
      </c>
      <c r="E4246" s="49" t="str">
        <f aca="false">"10074865055175"</f>
        <v>10074865055175</v>
      </c>
      <c r="F4246" s="49" t="s">
        <v>5090</v>
      </c>
      <c r="G4246" s="49" t="n">
        <v>0</v>
      </c>
      <c r="H4246" s="0" t="n">
        <v>0</v>
      </c>
      <c r="M4246" s="51" t="s">
        <v>8097</v>
      </c>
      <c r="N4246" s="49" t="n">
        <v>0</v>
      </c>
      <c r="O4246" s="53" t="n">
        <v>45830.6180555556</v>
      </c>
      <c r="P4246" s="53" t="n">
        <v>45914.7860185185</v>
      </c>
      <c r="R4246" s="0" t="n">
        <v>0</v>
      </c>
      <c r="T4246" s="51" t="s">
        <v>2401</v>
      </c>
      <c r="U4246" s="0" t="str">
        <f aca="false">"10074865055175"</f>
        <v>10074865055175</v>
      </c>
      <c r="V4246" s="51" t="s">
        <v>2365</v>
      </c>
      <c r="W4246" s="51" t="s">
        <v>6196</v>
      </c>
      <c r="X4246" s="51" t="s">
        <v>2359</v>
      </c>
    </row>
    <row r="4247" customFormat="false" ht="14.25" hidden="true" customHeight="false" outlineLevel="0" collapsed="false">
      <c r="A4247" s="49" t="s">
        <v>2349</v>
      </c>
      <c r="B4247" s="49" t="s">
        <v>2350</v>
      </c>
      <c r="C4247" s="49" t="s">
        <v>8151</v>
      </c>
      <c r="D4247" s="49" t="s">
        <v>2352</v>
      </c>
      <c r="E4247" s="49" t="str">
        <f aca="false">"10074865055175"</f>
        <v>10074865055175</v>
      </c>
      <c r="F4247" s="49" t="s">
        <v>5090</v>
      </c>
      <c r="G4247" s="49" t="n">
        <v>0</v>
      </c>
      <c r="H4247" s="0" t="n">
        <v>0</v>
      </c>
      <c r="M4247" s="51" t="s">
        <v>8097</v>
      </c>
      <c r="N4247" s="49" t="n">
        <v>0</v>
      </c>
      <c r="O4247" s="53" t="n">
        <v>45830.6258912037</v>
      </c>
      <c r="P4247" s="53" t="n">
        <v>45837.4618055556</v>
      </c>
      <c r="R4247" s="0" t="n">
        <v>0</v>
      </c>
      <c r="T4247" s="51" t="s">
        <v>2401</v>
      </c>
      <c r="U4247" s="0" t="str">
        <f aca="false">"10074865055175"</f>
        <v>10074865055175</v>
      </c>
      <c r="V4247" s="51" t="s">
        <v>2365</v>
      </c>
      <c r="W4247" s="51" t="s">
        <v>6257</v>
      </c>
      <c r="X4247" s="51" t="s">
        <v>2359</v>
      </c>
    </row>
    <row r="4248" customFormat="false" ht="14.25" hidden="true" customHeight="false" outlineLevel="0" collapsed="false">
      <c r="A4248" s="49" t="s">
        <v>2349</v>
      </c>
      <c r="B4248" s="49" t="s">
        <v>2350</v>
      </c>
      <c r="C4248" s="49" t="s">
        <v>8152</v>
      </c>
      <c r="D4248" s="49" t="s">
        <v>2352</v>
      </c>
      <c r="E4248" s="49" t="str">
        <f aca="false">"12464079"</f>
        <v>12464079</v>
      </c>
      <c r="F4248" s="49" t="s">
        <v>4706</v>
      </c>
      <c r="G4248" s="49" t="n">
        <v>0</v>
      </c>
      <c r="H4248" s="0" t="n">
        <v>0</v>
      </c>
      <c r="M4248" s="51" t="s">
        <v>8153</v>
      </c>
      <c r="N4248" s="49" t="n">
        <v>0</v>
      </c>
      <c r="O4248" s="53" t="n">
        <v>45792.5058796296</v>
      </c>
      <c r="P4248" s="53" t="n">
        <v>45792.8644444444</v>
      </c>
      <c r="Q4248" s="53" t="n">
        <v>45792.5058796296</v>
      </c>
      <c r="R4248" s="0" t="n">
        <v>0</v>
      </c>
      <c r="S4248" s="51" t="s">
        <v>2416</v>
      </c>
      <c r="T4248" s="51" t="s">
        <v>2416</v>
      </c>
      <c r="U4248" s="0" t="str">
        <f aca="false">"12464079"</f>
        <v>12464079</v>
      </c>
      <c r="V4248" s="51" t="s">
        <v>2365</v>
      </c>
      <c r="W4248" s="51" t="s">
        <v>5172</v>
      </c>
      <c r="X4248" s="51" t="s">
        <v>2359</v>
      </c>
    </row>
    <row r="4249" customFormat="false" ht="14.25" hidden="true" customHeight="false" outlineLevel="0" collapsed="false">
      <c r="A4249" s="49" t="s">
        <v>2349</v>
      </c>
      <c r="B4249" s="49" t="s">
        <v>2350</v>
      </c>
      <c r="C4249" s="49" t="s">
        <v>8154</v>
      </c>
      <c r="D4249" s="49" t="s">
        <v>2352</v>
      </c>
      <c r="E4249" s="49" t="str">
        <f aca="false">"12464079"</f>
        <v>12464079</v>
      </c>
      <c r="F4249" s="49" t="s">
        <v>4706</v>
      </c>
      <c r="G4249" s="49" t="n">
        <v>0</v>
      </c>
      <c r="H4249" s="0" t="n">
        <v>0</v>
      </c>
      <c r="M4249" s="51" t="s">
        <v>8153</v>
      </c>
      <c r="N4249" s="49" t="n">
        <v>0</v>
      </c>
      <c r="O4249" s="53" t="n">
        <v>45792.5057060185</v>
      </c>
      <c r="P4249" s="53" t="n">
        <v>45792.8668055556</v>
      </c>
      <c r="Q4249" s="53" t="n">
        <v>45792.5057060185</v>
      </c>
      <c r="R4249" s="0" t="n">
        <v>0</v>
      </c>
      <c r="S4249" s="51" t="s">
        <v>2416</v>
      </c>
      <c r="T4249" s="51" t="s">
        <v>2416</v>
      </c>
      <c r="U4249" s="0" t="str">
        <f aca="false">"12464079"</f>
        <v>12464079</v>
      </c>
      <c r="V4249" s="51" t="s">
        <v>2365</v>
      </c>
      <c r="W4249" s="51" t="s">
        <v>4784</v>
      </c>
      <c r="X4249" s="51" t="s">
        <v>2359</v>
      </c>
    </row>
    <row r="4250" customFormat="false" ht="14.25" hidden="true" customHeight="false" outlineLevel="0" collapsed="false">
      <c r="A4250" s="49" t="s">
        <v>2349</v>
      </c>
      <c r="B4250" s="49" t="s">
        <v>2350</v>
      </c>
      <c r="C4250" s="49" t="s">
        <v>8155</v>
      </c>
      <c r="D4250" s="49" t="s">
        <v>2352</v>
      </c>
      <c r="E4250" s="49" t="str">
        <f aca="false">"12464079"</f>
        <v>12464079</v>
      </c>
      <c r="F4250" s="49" t="s">
        <v>4706</v>
      </c>
      <c r="G4250" s="49" t="n">
        <v>0</v>
      </c>
      <c r="H4250" s="0" t="n">
        <v>0</v>
      </c>
      <c r="M4250" s="51" t="s">
        <v>8153</v>
      </c>
      <c r="N4250" s="49" t="n">
        <v>0</v>
      </c>
      <c r="O4250" s="53" t="n">
        <v>45792.5055092593</v>
      </c>
      <c r="P4250" s="53" t="n">
        <v>45792.8683912037</v>
      </c>
      <c r="Q4250" s="53" t="n">
        <v>45792.5055092593</v>
      </c>
      <c r="R4250" s="0" t="n">
        <v>0</v>
      </c>
      <c r="S4250" s="51" t="s">
        <v>2416</v>
      </c>
      <c r="T4250" s="51" t="s">
        <v>2416</v>
      </c>
      <c r="U4250" s="0" t="str">
        <f aca="false">"12464079"</f>
        <v>12464079</v>
      </c>
      <c r="V4250" s="51" t="s">
        <v>2365</v>
      </c>
      <c r="W4250" s="51" t="s">
        <v>4874</v>
      </c>
      <c r="X4250" s="51" t="s">
        <v>2359</v>
      </c>
    </row>
    <row r="4251" customFormat="false" ht="14.25" hidden="true" customHeight="false" outlineLevel="0" collapsed="false">
      <c r="A4251" s="49" t="s">
        <v>2349</v>
      </c>
      <c r="B4251" s="49" t="s">
        <v>2350</v>
      </c>
      <c r="C4251" s="49" t="s">
        <v>8156</v>
      </c>
      <c r="D4251" s="49" t="s">
        <v>2352</v>
      </c>
      <c r="E4251" s="49" t="str">
        <f aca="false">"12464079"</f>
        <v>12464079</v>
      </c>
      <c r="F4251" s="49" t="s">
        <v>4706</v>
      </c>
      <c r="G4251" s="49" t="n">
        <v>0</v>
      </c>
      <c r="H4251" s="0" t="n">
        <v>0</v>
      </c>
      <c r="M4251" s="51" t="s">
        <v>8153</v>
      </c>
      <c r="N4251" s="49" t="n">
        <v>0</v>
      </c>
      <c r="O4251" s="53" t="n">
        <v>45792.5050231482</v>
      </c>
      <c r="P4251" s="53" t="n">
        <v>45795.4942592593</v>
      </c>
      <c r="Q4251" s="53" t="n">
        <v>45792.5050231482</v>
      </c>
      <c r="R4251" s="0" t="n">
        <v>0</v>
      </c>
      <c r="S4251" s="51" t="s">
        <v>2416</v>
      </c>
      <c r="T4251" s="51" t="s">
        <v>2416</v>
      </c>
      <c r="U4251" s="0" t="str">
        <f aca="false">"12464079"</f>
        <v>12464079</v>
      </c>
      <c r="V4251" s="51" t="s">
        <v>2365</v>
      </c>
      <c r="W4251" s="51" t="s">
        <v>5878</v>
      </c>
      <c r="X4251" s="51" t="s">
        <v>2359</v>
      </c>
    </row>
    <row r="4252" customFormat="false" ht="14.25" hidden="true" customHeight="false" outlineLevel="0" collapsed="false">
      <c r="A4252" s="49" t="s">
        <v>2349</v>
      </c>
      <c r="B4252" s="49" t="s">
        <v>2350</v>
      </c>
      <c r="C4252" s="49" t="s">
        <v>8157</v>
      </c>
      <c r="D4252" s="49" t="s">
        <v>2352</v>
      </c>
      <c r="E4252" s="49" t="s">
        <v>4166</v>
      </c>
      <c r="F4252" s="49" t="s">
        <v>4167</v>
      </c>
      <c r="G4252" s="49" t="n">
        <v>0</v>
      </c>
      <c r="H4252" s="0" t="n">
        <v>0</v>
      </c>
      <c r="M4252" s="51" t="s">
        <v>8158</v>
      </c>
      <c r="N4252" s="49" t="n">
        <v>0</v>
      </c>
      <c r="O4252" s="53" t="n">
        <v>45787.4537847222</v>
      </c>
      <c r="P4252" s="53" t="n">
        <v>45787.6080208333</v>
      </c>
      <c r="Q4252" s="53" t="n">
        <v>45787.4537847222</v>
      </c>
      <c r="R4252" s="0" t="n">
        <v>0</v>
      </c>
      <c r="S4252" s="51" t="s">
        <v>2356</v>
      </c>
      <c r="T4252" s="51" t="s">
        <v>2356</v>
      </c>
      <c r="U4252" s="51" t="s">
        <v>4166</v>
      </c>
      <c r="V4252" s="51" t="s">
        <v>2365</v>
      </c>
      <c r="W4252" s="51" t="s">
        <v>5484</v>
      </c>
      <c r="X4252" s="51" t="s">
        <v>2359</v>
      </c>
    </row>
    <row r="4253" customFormat="false" ht="14.25" hidden="true" customHeight="false" outlineLevel="0" collapsed="false">
      <c r="A4253" s="49" t="s">
        <v>2349</v>
      </c>
      <c r="B4253" s="49" t="s">
        <v>2350</v>
      </c>
      <c r="C4253" s="49" t="s">
        <v>8159</v>
      </c>
      <c r="D4253" s="49" t="s">
        <v>2352</v>
      </c>
      <c r="E4253" s="49" t="s">
        <v>4166</v>
      </c>
      <c r="F4253" s="49" t="s">
        <v>4167</v>
      </c>
      <c r="G4253" s="49" t="n">
        <v>0</v>
      </c>
      <c r="H4253" s="0" t="n">
        <v>0</v>
      </c>
      <c r="M4253" s="51" t="s">
        <v>8158</v>
      </c>
      <c r="N4253" s="49" t="n">
        <v>0</v>
      </c>
      <c r="O4253" s="53" t="n">
        <v>45787.453587963</v>
      </c>
      <c r="P4253" s="53" t="n">
        <v>45787.6084606481</v>
      </c>
      <c r="Q4253" s="53" t="n">
        <v>45787.453587963</v>
      </c>
      <c r="R4253" s="0" t="n">
        <v>0</v>
      </c>
      <c r="S4253" s="51" t="s">
        <v>2356</v>
      </c>
      <c r="T4253" s="51" t="s">
        <v>2356</v>
      </c>
      <c r="U4253" s="51" t="s">
        <v>4166</v>
      </c>
      <c r="V4253" s="51" t="s">
        <v>2365</v>
      </c>
      <c r="W4253" s="51" t="s">
        <v>7258</v>
      </c>
      <c r="X4253" s="51" t="s">
        <v>2359</v>
      </c>
    </row>
    <row r="4254" customFormat="false" ht="14.25" hidden="true" customHeight="false" outlineLevel="0" collapsed="false">
      <c r="A4254" s="49" t="s">
        <v>2349</v>
      </c>
      <c r="B4254" s="49" t="s">
        <v>2350</v>
      </c>
      <c r="C4254" s="49" t="s">
        <v>8160</v>
      </c>
      <c r="D4254" s="49" t="s">
        <v>2352</v>
      </c>
      <c r="E4254" s="49" t="s">
        <v>4166</v>
      </c>
      <c r="F4254" s="49" t="s">
        <v>4167</v>
      </c>
      <c r="G4254" s="49" t="n">
        <v>0</v>
      </c>
      <c r="H4254" s="0" t="n">
        <v>0</v>
      </c>
      <c r="M4254" s="51" t="s">
        <v>8158</v>
      </c>
      <c r="N4254" s="49" t="n">
        <v>0</v>
      </c>
      <c r="O4254" s="53" t="n">
        <v>45787.4534259259</v>
      </c>
      <c r="P4254" s="53" t="n">
        <v>45789.4303587963</v>
      </c>
      <c r="Q4254" s="53" t="n">
        <v>45787.4534259259</v>
      </c>
      <c r="R4254" s="0" t="n">
        <v>0</v>
      </c>
      <c r="S4254" s="51" t="s">
        <v>2356</v>
      </c>
      <c r="T4254" s="51" t="s">
        <v>2356</v>
      </c>
      <c r="U4254" s="51" t="s">
        <v>4166</v>
      </c>
      <c r="V4254" s="51" t="s">
        <v>2365</v>
      </c>
      <c r="W4254" s="51" t="s">
        <v>5739</v>
      </c>
      <c r="X4254" s="51" t="s">
        <v>2359</v>
      </c>
    </row>
    <row r="4255" customFormat="false" ht="14.25" hidden="true" customHeight="false" outlineLevel="0" collapsed="false">
      <c r="A4255" s="49" t="s">
        <v>2349</v>
      </c>
      <c r="B4255" s="49" t="s">
        <v>2350</v>
      </c>
      <c r="C4255" s="49" t="s">
        <v>8161</v>
      </c>
      <c r="D4255" s="49" t="s">
        <v>2352</v>
      </c>
      <c r="E4255" s="49" t="s">
        <v>4166</v>
      </c>
      <c r="F4255" s="49" t="s">
        <v>4167</v>
      </c>
      <c r="G4255" s="49" t="n">
        <v>0</v>
      </c>
      <c r="H4255" s="0" t="n">
        <v>0</v>
      </c>
      <c r="M4255" s="51" t="s">
        <v>8158</v>
      </c>
      <c r="N4255" s="49" t="n">
        <v>0</v>
      </c>
      <c r="O4255" s="53" t="n">
        <v>45787.453275463</v>
      </c>
      <c r="P4255" s="53" t="n">
        <v>45787.6084143519</v>
      </c>
      <c r="Q4255" s="53" t="n">
        <v>45787.453275463</v>
      </c>
      <c r="R4255" s="0" t="n">
        <v>0</v>
      </c>
      <c r="S4255" s="51" t="s">
        <v>2356</v>
      </c>
      <c r="T4255" s="51" t="s">
        <v>2356</v>
      </c>
      <c r="U4255" s="51" t="s">
        <v>4166</v>
      </c>
      <c r="V4255" s="51" t="s">
        <v>2365</v>
      </c>
      <c r="W4255" s="51" t="s">
        <v>3745</v>
      </c>
      <c r="X4255" s="51" t="s">
        <v>2359</v>
      </c>
    </row>
    <row r="4256" customFormat="false" ht="14.25" hidden="true" customHeight="false" outlineLevel="0" collapsed="false">
      <c r="A4256" s="49" t="s">
        <v>2349</v>
      </c>
      <c r="B4256" s="49" t="s">
        <v>2350</v>
      </c>
      <c r="C4256" s="49" t="s">
        <v>8162</v>
      </c>
      <c r="D4256" s="49" t="s">
        <v>2352</v>
      </c>
      <c r="E4256" s="49" t="s">
        <v>4166</v>
      </c>
      <c r="F4256" s="49" t="s">
        <v>4167</v>
      </c>
      <c r="G4256" s="49" t="n">
        <v>0</v>
      </c>
      <c r="H4256" s="0" t="n">
        <v>0</v>
      </c>
      <c r="M4256" s="51" t="s">
        <v>8158</v>
      </c>
      <c r="N4256" s="49" t="n">
        <v>0</v>
      </c>
      <c r="O4256" s="53" t="n">
        <v>45787.4531365741</v>
      </c>
      <c r="P4256" s="53" t="n">
        <v>45787.6082175926</v>
      </c>
      <c r="Q4256" s="53" t="n">
        <v>45787.4531365741</v>
      </c>
      <c r="R4256" s="0" t="n">
        <v>0</v>
      </c>
      <c r="S4256" s="51" t="s">
        <v>2356</v>
      </c>
      <c r="T4256" s="51" t="s">
        <v>2356</v>
      </c>
      <c r="U4256" s="51" t="s">
        <v>4166</v>
      </c>
      <c r="V4256" s="51" t="s">
        <v>2365</v>
      </c>
      <c r="W4256" s="51" t="s">
        <v>5392</v>
      </c>
      <c r="X4256" s="51" t="s">
        <v>2359</v>
      </c>
    </row>
    <row r="4257" customFormat="false" ht="14.25" hidden="true" customHeight="false" outlineLevel="0" collapsed="false">
      <c r="A4257" s="49" t="s">
        <v>2349</v>
      </c>
      <c r="B4257" s="49" t="s">
        <v>2350</v>
      </c>
      <c r="C4257" s="49" t="s">
        <v>8163</v>
      </c>
      <c r="D4257" s="49" t="s">
        <v>2352</v>
      </c>
      <c r="E4257" s="49" t="s">
        <v>4166</v>
      </c>
      <c r="F4257" s="49" t="s">
        <v>4167</v>
      </c>
      <c r="G4257" s="49" t="n">
        <v>0</v>
      </c>
      <c r="H4257" s="0" t="n">
        <v>0</v>
      </c>
      <c r="M4257" s="51" t="s">
        <v>8158</v>
      </c>
      <c r="N4257" s="49" t="n">
        <v>0</v>
      </c>
      <c r="O4257" s="53" t="n">
        <v>45787.4521875</v>
      </c>
      <c r="P4257" s="53" t="n">
        <v>45789.4298611111</v>
      </c>
      <c r="Q4257" s="53" t="n">
        <v>45787.4521875</v>
      </c>
      <c r="R4257" s="0" t="n">
        <v>0</v>
      </c>
      <c r="S4257" s="51" t="s">
        <v>2356</v>
      </c>
      <c r="T4257" s="51" t="s">
        <v>2356</v>
      </c>
      <c r="U4257" s="51" t="s">
        <v>4166</v>
      </c>
      <c r="V4257" s="51" t="s">
        <v>2365</v>
      </c>
      <c r="W4257" s="51" t="s">
        <v>7415</v>
      </c>
      <c r="X4257" s="51" t="s">
        <v>2359</v>
      </c>
    </row>
    <row r="4258" customFormat="false" ht="14.25" hidden="true" customHeight="false" outlineLevel="0" collapsed="false">
      <c r="A4258" s="49" t="s">
        <v>2349</v>
      </c>
      <c r="B4258" s="49" t="s">
        <v>2350</v>
      </c>
      <c r="C4258" s="49" t="s">
        <v>8164</v>
      </c>
      <c r="D4258" s="49" t="s">
        <v>2352</v>
      </c>
      <c r="E4258" s="49" t="s">
        <v>4166</v>
      </c>
      <c r="F4258" s="49" t="s">
        <v>4167</v>
      </c>
      <c r="G4258" s="49" t="n">
        <v>0</v>
      </c>
      <c r="H4258" s="0" t="n">
        <v>0</v>
      </c>
      <c r="M4258" s="51" t="s">
        <v>8158</v>
      </c>
      <c r="N4258" s="49" t="n">
        <v>0</v>
      </c>
      <c r="O4258" s="53" t="n">
        <v>45787.4519675926</v>
      </c>
      <c r="P4258" s="53" t="n">
        <v>45789.4299537037</v>
      </c>
      <c r="Q4258" s="53" t="n">
        <v>45787.4519675926</v>
      </c>
      <c r="R4258" s="0" t="n">
        <v>0</v>
      </c>
      <c r="S4258" s="51" t="s">
        <v>2356</v>
      </c>
      <c r="T4258" s="51" t="s">
        <v>2356</v>
      </c>
      <c r="U4258" s="51" t="s">
        <v>4166</v>
      </c>
      <c r="V4258" s="51" t="s">
        <v>2365</v>
      </c>
      <c r="W4258" s="51" t="s">
        <v>4931</v>
      </c>
      <c r="X4258" s="51" t="s">
        <v>2359</v>
      </c>
    </row>
    <row r="4259" customFormat="false" ht="14.25" hidden="true" customHeight="false" outlineLevel="0" collapsed="false">
      <c r="A4259" s="49" t="s">
        <v>2349</v>
      </c>
      <c r="B4259" s="49" t="s">
        <v>2350</v>
      </c>
      <c r="C4259" s="49" t="s">
        <v>8165</v>
      </c>
      <c r="D4259" s="49" t="s">
        <v>2352</v>
      </c>
      <c r="E4259" s="49" t="s">
        <v>4166</v>
      </c>
      <c r="F4259" s="49" t="s">
        <v>4167</v>
      </c>
      <c r="G4259" s="49" t="n">
        <v>0</v>
      </c>
      <c r="H4259" s="0" t="n">
        <v>0</v>
      </c>
      <c r="M4259" s="51" t="s">
        <v>8158</v>
      </c>
      <c r="N4259" s="49" t="n">
        <v>0</v>
      </c>
      <c r="O4259" s="53" t="n">
        <v>45787.4515625</v>
      </c>
      <c r="P4259" s="53" t="n">
        <v>45789.4300115741</v>
      </c>
      <c r="Q4259" s="53" t="n">
        <v>45787.4515625</v>
      </c>
      <c r="R4259" s="0" t="n">
        <v>0</v>
      </c>
      <c r="S4259" s="51" t="s">
        <v>2356</v>
      </c>
      <c r="T4259" s="51" t="s">
        <v>2356</v>
      </c>
      <c r="U4259" s="51" t="s">
        <v>4166</v>
      </c>
      <c r="V4259" s="51" t="s">
        <v>2365</v>
      </c>
      <c r="W4259" s="51" t="s">
        <v>7296</v>
      </c>
      <c r="X4259" s="51" t="s">
        <v>2359</v>
      </c>
    </row>
    <row r="4260" customFormat="false" ht="14.25" hidden="true" customHeight="false" outlineLevel="0" collapsed="false">
      <c r="A4260" s="49" t="s">
        <v>2349</v>
      </c>
      <c r="B4260" s="49" t="s">
        <v>2350</v>
      </c>
      <c r="C4260" s="49" t="s">
        <v>8166</v>
      </c>
      <c r="D4260" s="49" t="s">
        <v>2352</v>
      </c>
      <c r="E4260" s="49" t="s">
        <v>4166</v>
      </c>
      <c r="F4260" s="49" t="s">
        <v>4167</v>
      </c>
      <c r="G4260" s="49" t="n">
        <v>0</v>
      </c>
      <c r="H4260" s="0" t="n">
        <v>0</v>
      </c>
      <c r="M4260" s="51" t="s">
        <v>8158</v>
      </c>
      <c r="N4260" s="49" t="n">
        <v>0</v>
      </c>
      <c r="O4260" s="53" t="n">
        <v>45787.4512615741</v>
      </c>
      <c r="P4260" s="53" t="n">
        <v>45789.4304166667</v>
      </c>
      <c r="Q4260" s="53" t="n">
        <v>45787.4512615741</v>
      </c>
      <c r="R4260" s="0" t="n">
        <v>0</v>
      </c>
      <c r="S4260" s="51" t="s">
        <v>2356</v>
      </c>
      <c r="T4260" s="51" t="s">
        <v>2356</v>
      </c>
      <c r="U4260" s="51" t="s">
        <v>4166</v>
      </c>
      <c r="V4260" s="51" t="s">
        <v>2365</v>
      </c>
      <c r="W4260" s="51" t="s">
        <v>5919</v>
      </c>
      <c r="X4260" s="51" t="s">
        <v>2359</v>
      </c>
    </row>
    <row r="4261" customFormat="false" ht="14.25" hidden="true" customHeight="false" outlineLevel="0" collapsed="false">
      <c r="A4261" s="49" t="s">
        <v>2349</v>
      </c>
      <c r="B4261" s="49" t="s">
        <v>2350</v>
      </c>
      <c r="C4261" s="49" t="s">
        <v>8167</v>
      </c>
      <c r="D4261" s="49" t="s">
        <v>2352</v>
      </c>
      <c r="E4261" s="49" t="s">
        <v>4166</v>
      </c>
      <c r="F4261" s="49" t="s">
        <v>4167</v>
      </c>
      <c r="G4261" s="49" t="n">
        <v>0</v>
      </c>
      <c r="H4261" s="0" t="n">
        <v>0</v>
      </c>
      <c r="M4261" s="51" t="s">
        <v>8158</v>
      </c>
      <c r="N4261" s="49" t="n">
        <v>0</v>
      </c>
      <c r="O4261" s="53" t="n">
        <v>45787.4510069444</v>
      </c>
      <c r="P4261" s="53" t="n">
        <v>45789.4297800926</v>
      </c>
      <c r="Q4261" s="53" t="n">
        <v>45787.4510069444</v>
      </c>
      <c r="R4261" s="0" t="n">
        <v>0</v>
      </c>
      <c r="S4261" s="51" t="s">
        <v>2356</v>
      </c>
      <c r="T4261" s="51" t="s">
        <v>2356</v>
      </c>
      <c r="U4261" s="51" t="s">
        <v>4166</v>
      </c>
      <c r="V4261" s="51" t="s">
        <v>2365</v>
      </c>
      <c r="W4261" s="51" t="s">
        <v>5968</v>
      </c>
      <c r="X4261" s="51" t="s">
        <v>2359</v>
      </c>
    </row>
    <row r="4262" customFormat="false" ht="14.25" hidden="true" customHeight="false" outlineLevel="0" collapsed="false">
      <c r="A4262" s="49" t="s">
        <v>2349</v>
      </c>
      <c r="B4262" s="49" t="s">
        <v>2350</v>
      </c>
      <c r="C4262" s="49" t="s">
        <v>8168</v>
      </c>
      <c r="D4262" s="49" t="s">
        <v>2352</v>
      </c>
      <c r="E4262" s="49" t="s">
        <v>4351</v>
      </c>
      <c r="F4262" s="49" t="s">
        <v>4352</v>
      </c>
      <c r="G4262" s="49" t="n">
        <v>0</v>
      </c>
      <c r="H4262" s="0" t="n">
        <v>0</v>
      </c>
      <c r="M4262" s="51" t="s">
        <v>8158</v>
      </c>
      <c r="N4262" s="49" t="n">
        <v>0</v>
      </c>
      <c r="O4262" s="53" t="n">
        <v>45787.4474652778</v>
      </c>
      <c r="P4262" s="53" t="n">
        <v>45795.5875</v>
      </c>
      <c r="Q4262" s="53" t="n">
        <v>45787.4474652778</v>
      </c>
      <c r="R4262" s="0" t="n">
        <v>0</v>
      </c>
      <c r="S4262" s="51" t="s">
        <v>2356</v>
      </c>
      <c r="T4262" s="51" t="s">
        <v>2356</v>
      </c>
      <c r="U4262" s="51" t="s">
        <v>4351</v>
      </c>
      <c r="V4262" s="51" t="s">
        <v>2365</v>
      </c>
      <c r="W4262" s="51" t="s">
        <v>5915</v>
      </c>
      <c r="X4262" s="51" t="s">
        <v>2359</v>
      </c>
    </row>
    <row r="4263" customFormat="false" ht="14.25" hidden="true" customHeight="false" outlineLevel="0" collapsed="false">
      <c r="A4263" s="49" t="s">
        <v>2349</v>
      </c>
      <c r="B4263" s="49" t="s">
        <v>2350</v>
      </c>
      <c r="C4263" s="49" t="s">
        <v>8169</v>
      </c>
      <c r="D4263" s="49" t="s">
        <v>2352</v>
      </c>
      <c r="E4263" s="49" t="s">
        <v>4351</v>
      </c>
      <c r="F4263" s="49" t="s">
        <v>4352</v>
      </c>
      <c r="G4263" s="49" t="n">
        <v>0</v>
      </c>
      <c r="H4263" s="0" t="n">
        <v>0</v>
      </c>
      <c r="M4263" s="51" t="s">
        <v>8158</v>
      </c>
      <c r="N4263" s="49" t="n">
        <v>0</v>
      </c>
      <c r="O4263" s="53" t="n">
        <v>45787.4472453704</v>
      </c>
      <c r="P4263" s="53" t="n">
        <v>45795.5873611111</v>
      </c>
      <c r="Q4263" s="53" t="n">
        <v>45787.4472453704</v>
      </c>
      <c r="R4263" s="0" t="n">
        <v>0</v>
      </c>
      <c r="S4263" s="51" t="s">
        <v>2356</v>
      </c>
      <c r="T4263" s="51" t="s">
        <v>2356</v>
      </c>
      <c r="U4263" s="51" t="s">
        <v>4351</v>
      </c>
      <c r="V4263" s="51" t="s">
        <v>2365</v>
      </c>
      <c r="W4263" s="51" t="s">
        <v>7677</v>
      </c>
      <c r="X4263" s="51" t="s">
        <v>2359</v>
      </c>
    </row>
    <row r="4264" customFormat="false" ht="14.25" hidden="true" customHeight="false" outlineLevel="0" collapsed="false">
      <c r="A4264" s="49" t="s">
        <v>2349</v>
      </c>
      <c r="B4264" s="49" t="s">
        <v>2350</v>
      </c>
      <c r="C4264" s="49" t="s">
        <v>8170</v>
      </c>
      <c r="D4264" s="49" t="s">
        <v>2352</v>
      </c>
      <c r="E4264" s="49" t="s">
        <v>4166</v>
      </c>
      <c r="F4264" s="49" t="s">
        <v>4167</v>
      </c>
      <c r="G4264" s="49" t="n">
        <v>0</v>
      </c>
      <c r="H4264" s="0" t="n">
        <v>0</v>
      </c>
      <c r="M4264" s="51" t="s">
        <v>8158</v>
      </c>
      <c r="N4264" s="49" t="n">
        <v>0</v>
      </c>
      <c r="O4264" s="53" t="n">
        <v>45787.4484143519</v>
      </c>
      <c r="P4264" s="53" t="n">
        <v>45789.4302199074</v>
      </c>
      <c r="Q4264" s="53" t="n">
        <v>45787.4484143519</v>
      </c>
      <c r="R4264" s="0" t="n">
        <v>0</v>
      </c>
      <c r="S4264" s="51" t="s">
        <v>2356</v>
      </c>
      <c r="T4264" s="51" t="s">
        <v>2356</v>
      </c>
      <c r="U4264" s="51" t="s">
        <v>4166</v>
      </c>
      <c r="V4264" s="51" t="s">
        <v>2365</v>
      </c>
      <c r="W4264" s="51" t="s">
        <v>4367</v>
      </c>
      <c r="X4264" s="51" t="s">
        <v>2359</v>
      </c>
    </row>
    <row r="4265" customFormat="false" ht="14.25" hidden="true" customHeight="false" outlineLevel="0" collapsed="false">
      <c r="A4265" s="49" t="s">
        <v>2349</v>
      </c>
      <c r="B4265" s="49" t="s">
        <v>2350</v>
      </c>
      <c r="C4265" s="49" t="s">
        <v>8171</v>
      </c>
      <c r="D4265" s="49" t="s">
        <v>2352</v>
      </c>
      <c r="E4265" s="49" t="s">
        <v>4166</v>
      </c>
      <c r="F4265" s="49" t="s">
        <v>4167</v>
      </c>
      <c r="G4265" s="49" t="n">
        <v>0</v>
      </c>
      <c r="H4265" s="0" t="n">
        <v>0</v>
      </c>
      <c r="M4265" s="51" t="s">
        <v>8158</v>
      </c>
      <c r="N4265" s="49" t="n">
        <v>0</v>
      </c>
      <c r="O4265" s="53" t="n">
        <v>45787.4482175926</v>
      </c>
      <c r="P4265" s="53" t="n">
        <v>45789.430162037</v>
      </c>
      <c r="Q4265" s="53" t="n">
        <v>45787.4482175926</v>
      </c>
      <c r="R4265" s="0" t="n">
        <v>0</v>
      </c>
      <c r="S4265" s="51" t="s">
        <v>2356</v>
      </c>
      <c r="T4265" s="51" t="s">
        <v>2356</v>
      </c>
      <c r="U4265" s="51" t="s">
        <v>4166</v>
      </c>
      <c r="V4265" s="51" t="s">
        <v>2365</v>
      </c>
      <c r="W4265" s="51" t="s">
        <v>4604</v>
      </c>
      <c r="X4265" s="51" t="s">
        <v>2359</v>
      </c>
    </row>
    <row r="4266" customFormat="false" ht="14.25" hidden="true" customHeight="false" outlineLevel="0" collapsed="false">
      <c r="A4266" s="49" t="s">
        <v>2349</v>
      </c>
      <c r="B4266" s="49" t="s">
        <v>2350</v>
      </c>
      <c r="C4266" s="49" t="s">
        <v>8172</v>
      </c>
      <c r="D4266" s="49" t="s">
        <v>2352</v>
      </c>
      <c r="E4266" s="49" t="s">
        <v>4166</v>
      </c>
      <c r="F4266" s="49" t="s">
        <v>4167</v>
      </c>
      <c r="G4266" s="49" t="n">
        <v>0</v>
      </c>
      <c r="H4266" s="0" t="n">
        <v>0</v>
      </c>
      <c r="M4266" s="51" t="s">
        <v>8158</v>
      </c>
      <c r="N4266" s="49" t="n">
        <v>0</v>
      </c>
      <c r="O4266" s="53" t="n">
        <v>45787.4480439815</v>
      </c>
      <c r="P4266" s="53" t="n">
        <v>45789.4301041667</v>
      </c>
      <c r="Q4266" s="53" t="n">
        <v>45787.4480439815</v>
      </c>
      <c r="R4266" s="0" t="n">
        <v>0</v>
      </c>
      <c r="S4266" s="51" t="s">
        <v>2356</v>
      </c>
      <c r="T4266" s="51" t="s">
        <v>2356</v>
      </c>
      <c r="U4266" s="51" t="s">
        <v>4166</v>
      </c>
      <c r="V4266" s="51" t="s">
        <v>2365</v>
      </c>
      <c r="W4266" s="51" t="s">
        <v>5761</v>
      </c>
      <c r="X4266" s="51" t="s">
        <v>2359</v>
      </c>
    </row>
    <row r="4267" customFormat="false" ht="14.25" hidden="true" customHeight="false" outlineLevel="0" collapsed="false">
      <c r="A4267" s="49" t="s">
        <v>2349</v>
      </c>
      <c r="B4267" s="49" t="s">
        <v>2350</v>
      </c>
      <c r="C4267" s="49" t="s">
        <v>8173</v>
      </c>
      <c r="D4267" s="49" t="s">
        <v>2352</v>
      </c>
      <c r="E4267" s="49" t="s">
        <v>4166</v>
      </c>
      <c r="F4267" s="49" t="s">
        <v>4167</v>
      </c>
      <c r="G4267" s="49" t="n">
        <v>0</v>
      </c>
      <c r="H4267" s="0" t="n">
        <v>0</v>
      </c>
      <c r="M4267" s="51" t="s">
        <v>8158</v>
      </c>
      <c r="N4267" s="49" t="n">
        <v>0</v>
      </c>
      <c r="O4267" s="53" t="n">
        <v>45787.4555208333</v>
      </c>
      <c r="P4267" s="53" t="n">
        <v>45789.4302777778</v>
      </c>
      <c r="Q4267" s="53" t="n">
        <v>45787.4555208333</v>
      </c>
      <c r="R4267" s="0" t="n">
        <v>0</v>
      </c>
      <c r="S4267" s="51" t="s">
        <v>2356</v>
      </c>
      <c r="T4267" s="51" t="s">
        <v>2356</v>
      </c>
      <c r="U4267" s="51" t="s">
        <v>4166</v>
      </c>
      <c r="V4267" s="51" t="s">
        <v>2365</v>
      </c>
      <c r="W4267" s="51" t="s">
        <v>4160</v>
      </c>
      <c r="X4267" s="51" t="s">
        <v>2359</v>
      </c>
    </row>
    <row r="4268" customFormat="false" ht="14.25" hidden="true" customHeight="false" outlineLevel="0" collapsed="false">
      <c r="A4268" s="49" t="s">
        <v>2349</v>
      </c>
      <c r="B4268" s="49" t="s">
        <v>2350</v>
      </c>
      <c r="C4268" s="49" t="s">
        <v>8174</v>
      </c>
      <c r="D4268" s="49" t="s">
        <v>2352</v>
      </c>
      <c r="E4268" s="49" t="s">
        <v>4166</v>
      </c>
      <c r="F4268" s="49" t="s">
        <v>4167</v>
      </c>
      <c r="G4268" s="49" t="n">
        <v>0</v>
      </c>
      <c r="H4268" s="0" t="n">
        <v>0</v>
      </c>
      <c r="M4268" s="51" t="s">
        <v>8158</v>
      </c>
      <c r="N4268" s="49" t="n">
        <v>0</v>
      </c>
      <c r="O4268" s="53" t="n">
        <v>45787.4501041667</v>
      </c>
      <c r="P4268" s="53" t="n">
        <v>45787.6072569444</v>
      </c>
      <c r="Q4268" s="53" t="n">
        <v>45787.4501041667</v>
      </c>
      <c r="R4268" s="0" t="n">
        <v>0</v>
      </c>
      <c r="S4268" s="51" t="s">
        <v>2356</v>
      </c>
      <c r="T4268" s="51" t="s">
        <v>2356</v>
      </c>
      <c r="U4268" s="51" t="s">
        <v>4166</v>
      </c>
      <c r="V4268" s="51" t="s">
        <v>2365</v>
      </c>
      <c r="W4268" s="51" t="s">
        <v>5414</v>
      </c>
      <c r="X4268" s="51" t="s">
        <v>2359</v>
      </c>
    </row>
    <row r="4269" customFormat="false" ht="14.25" hidden="true" customHeight="false" outlineLevel="0" collapsed="false">
      <c r="A4269" s="49" t="s">
        <v>2349</v>
      </c>
      <c r="B4269" s="49" t="s">
        <v>2350</v>
      </c>
      <c r="C4269" s="49" t="s">
        <v>8175</v>
      </c>
      <c r="D4269" s="49" t="s">
        <v>2352</v>
      </c>
      <c r="E4269" s="49" t="s">
        <v>4166</v>
      </c>
      <c r="F4269" s="49" t="s">
        <v>4167</v>
      </c>
      <c r="G4269" s="49" t="n">
        <v>0</v>
      </c>
      <c r="H4269" s="0" t="n">
        <v>0</v>
      </c>
      <c r="M4269" s="51" t="s">
        <v>8158</v>
      </c>
      <c r="N4269" s="49" t="n">
        <v>0</v>
      </c>
      <c r="O4269" s="53" t="n">
        <v>45787.4499421296</v>
      </c>
      <c r="P4269" s="53" t="n">
        <v>45787.6079513889</v>
      </c>
      <c r="Q4269" s="53" t="n">
        <v>45787.4499421296</v>
      </c>
      <c r="R4269" s="0" t="n">
        <v>0</v>
      </c>
      <c r="S4269" s="51" t="s">
        <v>2356</v>
      </c>
      <c r="T4269" s="51" t="s">
        <v>2356</v>
      </c>
      <c r="U4269" s="51" t="s">
        <v>4166</v>
      </c>
      <c r="V4269" s="51" t="s">
        <v>2365</v>
      </c>
      <c r="W4269" s="51" t="s">
        <v>5487</v>
      </c>
      <c r="X4269" s="51" t="s">
        <v>2359</v>
      </c>
    </row>
    <row r="4270" customFormat="false" ht="14.25" hidden="true" customHeight="false" outlineLevel="0" collapsed="false">
      <c r="A4270" s="49" t="s">
        <v>2349</v>
      </c>
      <c r="B4270" s="49" t="s">
        <v>2350</v>
      </c>
      <c r="C4270" s="49" t="s">
        <v>8176</v>
      </c>
      <c r="D4270" s="49" t="s">
        <v>2352</v>
      </c>
      <c r="E4270" s="49" t="s">
        <v>4166</v>
      </c>
      <c r="F4270" s="49" t="s">
        <v>4167</v>
      </c>
      <c r="G4270" s="49" t="n">
        <v>0</v>
      </c>
      <c r="H4270" s="0" t="n">
        <v>0</v>
      </c>
      <c r="M4270" s="51" t="s">
        <v>8158</v>
      </c>
      <c r="N4270" s="49" t="n">
        <v>0</v>
      </c>
      <c r="O4270" s="53" t="n">
        <v>45787.4497337963</v>
      </c>
      <c r="P4270" s="53" t="n">
        <v>45787.6076851852</v>
      </c>
      <c r="Q4270" s="53" t="n">
        <v>45787.4497337963</v>
      </c>
      <c r="R4270" s="0" t="n">
        <v>0</v>
      </c>
      <c r="S4270" s="51" t="s">
        <v>2356</v>
      </c>
      <c r="T4270" s="51" t="s">
        <v>2356</v>
      </c>
      <c r="U4270" s="51" t="s">
        <v>4166</v>
      </c>
      <c r="V4270" s="51" t="s">
        <v>2365</v>
      </c>
      <c r="W4270" s="51" t="s">
        <v>7688</v>
      </c>
      <c r="X4270" s="51" t="s">
        <v>2359</v>
      </c>
    </row>
    <row r="4271" customFormat="false" ht="14.25" hidden="true" customHeight="false" outlineLevel="0" collapsed="false">
      <c r="A4271" s="49" t="s">
        <v>2349</v>
      </c>
      <c r="B4271" s="49" t="s">
        <v>2350</v>
      </c>
      <c r="C4271" s="49" t="s">
        <v>8177</v>
      </c>
      <c r="D4271" s="49" t="s">
        <v>2352</v>
      </c>
      <c r="E4271" s="49" t="s">
        <v>4166</v>
      </c>
      <c r="F4271" s="49" t="s">
        <v>4167</v>
      </c>
      <c r="G4271" s="49" t="n">
        <v>0</v>
      </c>
      <c r="H4271" s="0" t="n">
        <v>0</v>
      </c>
      <c r="M4271" s="51" t="s">
        <v>8158</v>
      </c>
      <c r="N4271" s="49" t="n">
        <v>0</v>
      </c>
      <c r="O4271" s="53" t="n">
        <v>45787.4495717593</v>
      </c>
      <c r="P4271" s="53" t="n">
        <v>45787.6076157407</v>
      </c>
      <c r="Q4271" s="53" t="n">
        <v>45787.4495717593</v>
      </c>
      <c r="R4271" s="0" t="n">
        <v>0</v>
      </c>
      <c r="S4271" s="51" t="s">
        <v>2356</v>
      </c>
      <c r="T4271" s="51" t="s">
        <v>2356</v>
      </c>
      <c r="U4271" s="51" t="s">
        <v>4166</v>
      </c>
      <c r="V4271" s="51" t="s">
        <v>2365</v>
      </c>
      <c r="W4271" s="51" t="s">
        <v>7401</v>
      </c>
      <c r="X4271" s="51" t="s">
        <v>2359</v>
      </c>
    </row>
    <row r="4272" customFormat="false" ht="14.25" hidden="true" customHeight="false" outlineLevel="0" collapsed="false">
      <c r="A4272" s="49" t="s">
        <v>2349</v>
      </c>
      <c r="B4272" s="49" t="s">
        <v>2350</v>
      </c>
      <c r="C4272" s="49" t="s">
        <v>8178</v>
      </c>
      <c r="D4272" s="49" t="s">
        <v>2352</v>
      </c>
      <c r="E4272" s="49" t="s">
        <v>4166</v>
      </c>
      <c r="F4272" s="49" t="s">
        <v>4167</v>
      </c>
      <c r="G4272" s="49" t="n">
        <v>0</v>
      </c>
      <c r="H4272" s="0" t="n">
        <v>0</v>
      </c>
      <c r="M4272" s="51" t="s">
        <v>8158</v>
      </c>
      <c r="N4272" s="49" t="n">
        <v>0</v>
      </c>
      <c r="O4272" s="53" t="n">
        <v>45787.4493287037</v>
      </c>
      <c r="P4272" s="53" t="n">
        <v>45787.607349537</v>
      </c>
      <c r="Q4272" s="53" t="n">
        <v>45787.4493287037</v>
      </c>
      <c r="R4272" s="0" t="n">
        <v>0</v>
      </c>
      <c r="S4272" s="51" t="s">
        <v>2356</v>
      </c>
      <c r="T4272" s="51" t="s">
        <v>2356</v>
      </c>
      <c r="U4272" s="51" t="s">
        <v>4166</v>
      </c>
      <c r="V4272" s="51" t="s">
        <v>2365</v>
      </c>
      <c r="W4272" s="51" t="s">
        <v>4792</v>
      </c>
      <c r="X4272" s="51" t="s">
        <v>2359</v>
      </c>
    </row>
    <row r="4273" customFormat="false" ht="14.25" hidden="true" customHeight="false" outlineLevel="0" collapsed="false">
      <c r="A4273" s="49" t="s">
        <v>2349</v>
      </c>
      <c r="B4273" s="49" t="s">
        <v>2350</v>
      </c>
      <c r="C4273" s="49" t="s">
        <v>8179</v>
      </c>
      <c r="D4273" s="49" t="s">
        <v>2352</v>
      </c>
      <c r="E4273" s="49" t="str">
        <f aca="false">"5060458890191"</f>
        <v>5060458890191</v>
      </c>
      <c r="F4273" s="49" t="s">
        <v>3656</v>
      </c>
      <c r="G4273" s="49" t="n">
        <v>0</v>
      </c>
      <c r="H4273" s="0" t="n">
        <v>0</v>
      </c>
      <c r="M4273" s="51" t="s">
        <v>8180</v>
      </c>
      <c r="N4273" s="49" t="n">
        <v>0</v>
      </c>
      <c r="O4273" s="53" t="n">
        <v>45789.6526157407</v>
      </c>
      <c r="P4273" s="53" t="n">
        <v>45819.8659375</v>
      </c>
      <c r="Q4273" s="53" t="n">
        <v>45789.6526157407</v>
      </c>
      <c r="R4273" s="0" t="n">
        <v>0</v>
      </c>
      <c r="S4273" s="51" t="s">
        <v>2416</v>
      </c>
      <c r="T4273" s="51" t="s">
        <v>2416</v>
      </c>
      <c r="U4273" s="0" t="str">
        <f aca="false">"5060458890191"</f>
        <v>5060458890191</v>
      </c>
      <c r="V4273" s="51" t="s">
        <v>2142</v>
      </c>
      <c r="W4273" s="51" t="s">
        <v>4878</v>
      </c>
      <c r="X4273" s="51" t="s">
        <v>2359</v>
      </c>
    </row>
    <row r="4274" customFormat="false" ht="14.25" hidden="true" customHeight="false" outlineLevel="0" collapsed="false">
      <c r="A4274" s="49" t="s">
        <v>2349</v>
      </c>
      <c r="B4274" s="49" t="s">
        <v>2350</v>
      </c>
      <c r="C4274" s="49" t="s">
        <v>8181</v>
      </c>
      <c r="D4274" s="49" t="s">
        <v>2352</v>
      </c>
      <c r="E4274" s="49" t="str">
        <f aca="false">"5060458890191"</f>
        <v>5060458890191</v>
      </c>
      <c r="F4274" s="49" t="s">
        <v>3656</v>
      </c>
      <c r="G4274" s="49" t="n">
        <v>0</v>
      </c>
      <c r="H4274" s="0" t="n">
        <v>0</v>
      </c>
      <c r="M4274" s="51" t="s">
        <v>8180</v>
      </c>
      <c r="N4274" s="49" t="n">
        <v>0</v>
      </c>
      <c r="O4274" s="53" t="n">
        <v>45789.648599537</v>
      </c>
      <c r="P4274" s="53" t="n">
        <v>45825.8112731481</v>
      </c>
      <c r="Q4274" s="53" t="n">
        <v>45789.648599537</v>
      </c>
      <c r="R4274" s="0" t="n">
        <v>0</v>
      </c>
      <c r="S4274" s="51" t="s">
        <v>2416</v>
      </c>
      <c r="T4274" s="51" t="s">
        <v>2416</v>
      </c>
      <c r="U4274" s="0" t="str">
        <f aca="false">"5060458890191"</f>
        <v>5060458890191</v>
      </c>
      <c r="V4274" s="51" t="s">
        <v>2142</v>
      </c>
      <c r="W4274" s="51" t="s">
        <v>4030</v>
      </c>
      <c r="X4274" s="51" t="s">
        <v>2359</v>
      </c>
    </row>
    <row r="4275" customFormat="false" ht="14.25" hidden="true" customHeight="false" outlineLevel="0" collapsed="false">
      <c r="A4275" s="49" t="s">
        <v>2349</v>
      </c>
      <c r="B4275" s="49" t="s">
        <v>2350</v>
      </c>
      <c r="C4275" s="49" t="s">
        <v>8182</v>
      </c>
      <c r="D4275" s="49" t="s">
        <v>2352</v>
      </c>
      <c r="E4275" s="49" t="str">
        <f aca="false">"5060458890191"</f>
        <v>5060458890191</v>
      </c>
      <c r="F4275" s="49" t="s">
        <v>3656</v>
      </c>
      <c r="G4275" s="49" t="n">
        <v>0</v>
      </c>
      <c r="H4275" s="0" t="n">
        <v>0</v>
      </c>
      <c r="M4275" s="51" t="s">
        <v>8180</v>
      </c>
      <c r="N4275" s="49" t="n">
        <v>0</v>
      </c>
      <c r="O4275" s="53" t="n">
        <v>45789.6487037037</v>
      </c>
      <c r="P4275" s="53" t="n">
        <v>45825.8103472222</v>
      </c>
      <c r="Q4275" s="53" t="n">
        <v>45789.6487037037</v>
      </c>
      <c r="R4275" s="0" t="n">
        <v>0</v>
      </c>
      <c r="S4275" s="51" t="s">
        <v>2416</v>
      </c>
      <c r="T4275" s="51" t="s">
        <v>2416</v>
      </c>
      <c r="U4275" s="0" t="str">
        <f aca="false">"5060458890191"</f>
        <v>5060458890191</v>
      </c>
      <c r="V4275" s="51" t="s">
        <v>2142</v>
      </c>
      <c r="W4275" s="51" t="s">
        <v>4042</v>
      </c>
      <c r="X4275" s="51" t="s">
        <v>2359</v>
      </c>
    </row>
    <row r="4276" customFormat="false" ht="14.25" hidden="true" customHeight="false" outlineLevel="0" collapsed="false">
      <c r="A4276" s="49" t="s">
        <v>2349</v>
      </c>
      <c r="B4276" s="49" t="s">
        <v>2350</v>
      </c>
      <c r="C4276" s="49" t="s">
        <v>8183</v>
      </c>
      <c r="D4276" s="49" t="s">
        <v>2352</v>
      </c>
      <c r="E4276" s="49" t="str">
        <f aca="false">"5060458890191"</f>
        <v>5060458890191</v>
      </c>
      <c r="F4276" s="49" t="s">
        <v>3656</v>
      </c>
      <c r="G4276" s="49" t="n">
        <v>0</v>
      </c>
      <c r="H4276" s="0" t="n">
        <v>0</v>
      </c>
      <c r="M4276" s="51" t="s">
        <v>8180</v>
      </c>
      <c r="N4276" s="49" t="n">
        <v>0</v>
      </c>
      <c r="O4276" s="53" t="n">
        <v>45789.6487847222</v>
      </c>
      <c r="P4276" s="53" t="n">
        <v>45825.8084143519</v>
      </c>
      <c r="Q4276" s="53" t="n">
        <v>45789.6487847222</v>
      </c>
      <c r="R4276" s="0" t="n">
        <v>0</v>
      </c>
      <c r="S4276" s="51" t="s">
        <v>2416</v>
      </c>
      <c r="T4276" s="51" t="s">
        <v>2416</v>
      </c>
      <c r="U4276" s="0" t="str">
        <f aca="false">"5060458890191"</f>
        <v>5060458890191</v>
      </c>
      <c r="V4276" s="51" t="s">
        <v>2142</v>
      </c>
      <c r="W4276" s="51" t="s">
        <v>6202</v>
      </c>
      <c r="X4276" s="51" t="s">
        <v>2359</v>
      </c>
    </row>
    <row r="4277" customFormat="false" ht="14.25" hidden="true" customHeight="false" outlineLevel="0" collapsed="false">
      <c r="A4277" s="49" t="s">
        <v>2349</v>
      </c>
      <c r="B4277" s="49" t="s">
        <v>2350</v>
      </c>
      <c r="C4277" s="49" t="s">
        <v>8184</v>
      </c>
      <c r="D4277" s="49" t="s">
        <v>2352</v>
      </c>
      <c r="E4277" s="49" t="str">
        <f aca="false">"5060458890191"</f>
        <v>5060458890191</v>
      </c>
      <c r="F4277" s="49" t="s">
        <v>3656</v>
      </c>
      <c r="G4277" s="49" t="n">
        <v>0</v>
      </c>
      <c r="H4277" s="0" t="n">
        <v>0</v>
      </c>
      <c r="M4277" s="51" t="s">
        <v>8180</v>
      </c>
      <c r="N4277" s="49" t="n">
        <v>0</v>
      </c>
      <c r="O4277" s="53" t="n">
        <v>45789.6489699074</v>
      </c>
      <c r="P4277" s="53" t="n">
        <v>45808.5812152778</v>
      </c>
      <c r="Q4277" s="53" t="n">
        <v>45789.6489699074</v>
      </c>
      <c r="R4277" s="0" t="n">
        <v>0</v>
      </c>
      <c r="S4277" s="51" t="s">
        <v>2416</v>
      </c>
      <c r="T4277" s="51" t="s">
        <v>2416</v>
      </c>
      <c r="U4277" s="0" t="str">
        <f aca="false">"5060458890191"</f>
        <v>5060458890191</v>
      </c>
      <c r="V4277" s="51" t="s">
        <v>2142</v>
      </c>
      <c r="W4277" s="51" t="s">
        <v>5617</v>
      </c>
      <c r="X4277" s="51" t="s">
        <v>2359</v>
      </c>
    </row>
    <row r="4278" customFormat="false" ht="14.25" hidden="true" customHeight="false" outlineLevel="0" collapsed="false">
      <c r="A4278" s="49" t="s">
        <v>2349</v>
      </c>
      <c r="B4278" s="49" t="s">
        <v>2350</v>
      </c>
      <c r="C4278" s="49" t="s">
        <v>8185</v>
      </c>
      <c r="D4278" s="49" t="s">
        <v>2352</v>
      </c>
      <c r="E4278" s="49" t="str">
        <f aca="false">"5060458890191"</f>
        <v>5060458890191</v>
      </c>
      <c r="F4278" s="49" t="s">
        <v>3656</v>
      </c>
      <c r="G4278" s="49" t="n">
        <v>0</v>
      </c>
      <c r="H4278" s="0" t="n">
        <v>0</v>
      </c>
      <c r="M4278" s="51" t="s">
        <v>8180</v>
      </c>
      <c r="N4278" s="49" t="n">
        <v>0</v>
      </c>
      <c r="O4278" s="53" t="n">
        <v>45789.6493634259</v>
      </c>
      <c r="P4278" s="53" t="n">
        <v>45808.5787731482</v>
      </c>
      <c r="Q4278" s="53" t="n">
        <v>45789.6493634259</v>
      </c>
      <c r="R4278" s="0" t="n">
        <v>0</v>
      </c>
      <c r="S4278" s="51" t="s">
        <v>2416</v>
      </c>
      <c r="T4278" s="51" t="s">
        <v>2416</v>
      </c>
      <c r="U4278" s="0" t="str">
        <f aca="false">"5060458890191"</f>
        <v>5060458890191</v>
      </c>
      <c r="V4278" s="51" t="s">
        <v>2142</v>
      </c>
      <c r="W4278" s="51" t="s">
        <v>6008</v>
      </c>
      <c r="X4278" s="51" t="s">
        <v>2359</v>
      </c>
    </row>
    <row r="4279" customFormat="false" ht="14.25" hidden="true" customHeight="false" outlineLevel="0" collapsed="false">
      <c r="A4279" s="49" t="s">
        <v>2349</v>
      </c>
      <c r="B4279" s="49" t="s">
        <v>2350</v>
      </c>
      <c r="C4279" s="49" t="s">
        <v>8186</v>
      </c>
      <c r="D4279" s="49" t="s">
        <v>2352</v>
      </c>
      <c r="E4279" s="49" t="str">
        <f aca="false">"5060458890191"</f>
        <v>5060458890191</v>
      </c>
      <c r="F4279" s="49" t="s">
        <v>3656</v>
      </c>
      <c r="G4279" s="49" t="n">
        <v>0</v>
      </c>
      <c r="H4279" s="0" t="n">
        <v>0</v>
      </c>
      <c r="M4279" s="51" t="s">
        <v>8180</v>
      </c>
      <c r="N4279" s="49" t="n">
        <v>0</v>
      </c>
      <c r="O4279" s="53" t="n">
        <v>45789.6494444445</v>
      </c>
      <c r="P4279" s="53" t="n">
        <v>45794.8814930556</v>
      </c>
      <c r="Q4279" s="53" t="n">
        <v>45789.6494444445</v>
      </c>
      <c r="R4279" s="0" t="n">
        <v>0</v>
      </c>
      <c r="S4279" s="51" t="s">
        <v>2416</v>
      </c>
      <c r="T4279" s="51" t="s">
        <v>2416</v>
      </c>
      <c r="U4279" s="0" t="str">
        <f aca="false">"5060458890191"</f>
        <v>5060458890191</v>
      </c>
      <c r="V4279" s="51" t="s">
        <v>2142</v>
      </c>
      <c r="W4279" s="51" t="s">
        <v>8187</v>
      </c>
      <c r="X4279" s="51" t="s">
        <v>2359</v>
      </c>
    </row>
    <row r="4280" customFormat="false" ht="14.25" hidden="true" customHeight="false" outlineLevel="0" collapsed="false">
      <c r="A4280" s="49" t="s">
        <v>2349</v>
      </c>
      <c r="B4280" s="49" t="s">
        <v>2350</v>
      </c>
      <c r="C4280" s="49" t="s">
        <v>8188</v>
      </c>
      <c r="D4280" s="49" t="s">
        <v>2352</v>
      </c>
      <c r="E4280" s="49" t="str">
        <f aca="false">"5060458890191"</f>
        <v>5060458890191</v>
      </c>
      <c r="F4280" s="49" t="s">
        <v>3656</v>
      </c>
      <c r="G4280" s="49" t="n">
        <v>0</v>
      </c>
      <c r="H4280" s="0" t="n">
        <v>0</v>
      </c>
      <c r="M4280" s="51" t="s">
        <v>8180</v>
      </c>
      <c r="N4280" s="49" t="n">
        <v>0</v>
      </c>
      <c r="O4280" s="53" t="n">
        <v>45789.6495486111</v>
      </c>
      <c r="P4280" s="53" t="n">
        <v>45798.8913194445</v>
      </c>
      <c r="Q4280" s="53" t="n">
        <v>45789.6495486111</v>
      </c>
      <c r="R4280" s="0" t="n">
        <v>0</v>
      </c>
      <c r="S4280" s="51" t="s">
        <v>2416</v>
      </c>
      <c r="T4280" s="51" t="s">
        <v>2416</v>
      </c>
      <c r="U4280" s="0" t="str">
        <f aca="false">"5060458890191"</f>
        <v>5060458890191</v>
      </c>
      <c r="V4280" s="51" t="s">
        <v>2142</v>
      </c>
      <c r="W4280" s="51" t="s">
        <v>4634</v>
      </c>
      <c r="X4280" s="51" t="s">
        <v>2359</v>
      </c>
    </row>
    <row r="4281" customFormat="false" ht="14.25" hidden="true" customHeight="false" outlineLevel="0" collapsed="false">
      <c r="A4281" s="49" t="s">
        <v>2349</v>
      </c>
      <c r="B4281" s="49" t="s">
        <v>2350</v>
      </c>
      <c r="C4281" s="49" t="s">
        <v>8189</v>
      </c>
      <c r="D4281" s="49" t="s">
        <v>2352</v>
      </c>
      <c r="E4281" s="49" t="str">
        <f aca="false">"5060458890191"</f>
        <v>5060458890191</v>
      </c>
      <c r="F4281" s="49" t="s">
        <v>3656</v>
      </c>
      <c r="G4281" s="49" t="n">
        <v>0</v>
      </c>
      <c r="H4281" s="0" t="n">
        <v>0</v>
      </c>
      <c r="M4281" s="51" t="s">
        <v>8180</v>
      </c>
      <c r="N4281" s="49" t="n">
        <v>0</v>
      </c>
      <c r="O4281" s="53" t="n">
        <v>45789.6496412037</v>
      </c>
      <c r="P4281" s="53" t="n">
        <v>45801.5837268519</v>
      </c>
      <c r="Q4281" s="53" t="n">
        <v>45789.6496412037</v>
      </c>
      <c r="R4281" s="0" t="n">
        <v>0</v>
      </c>
      <c r="S4281" s="51" t="s">
        <v>2416</v>
      </c>
      <c r="T4281" s="51" t="s">
        <v>2416</v>
      </c>
      <c r="U4281" s="0" t="str">
        <f aca="false">"5060458890191"</f>
        <v>5060458890191</v>
      </c>
      <c r="V4281" s="51" t="s">
        <v>2142</v>
      </c>
      <c r="W4281" s="51" t="s">
        <v>4639</v>
      </c>
      <c r="X4281" s="51" t="s">
        <v>2359</v>
      </c>
    </row>
    <row r="4282" customFormat="false" ht="14.25" hidden="true" customHeight="false" outlineLevel="0" collapsed="false">
      <c r="A4282" s="49" t="s">
        <v>2349</v>
      </c>
      <c r="B4282" s="49" t="s">
        <v>2350</v>
      </c>
      <c r="C4282" s="49" t="s">
        <v>8190</v>
      </c>
      <c r="D4282" s="49" t="s">
        <v>2352</v>
      </c>
      <c r="E4282" s="49" t="str">
        <f aca="false">"5060458890191"</f>
        <v>5060458890191</v>
      </c>
      <c r="F4282" s="49" t="s">
        <v>3656</v>
      </c>
      <c r="G4282" s="49" t="n">
        <v>0</v>
      </c>
      <c r="H4282" s="0" t="n">
        <v>0</v>
      </c>
      <c r="M4282" s="51" t="s">
        <v>8180</v>
      </c>
      <c r="N4282" s="49" t="n">
        <v>0</v>
      </c>
      <c r="O4282" s="53" t="n">
        <v>45789.6497453704</v>
      </c>
      <c r="P4282" s="53" t="n">
        <v>45794.8773958333</v>
      </c>
      <c r="Q4282" s="53" t="n">
        <v>45789.6497453704</v>
      </c>
      <c r="R4282" s="0" t="n">
        <v>0</v>
      </c>
      <c r="S4282" s="51" t="s">
        <v>2416</v>
      </c>
      <c r="T4282" s="51" t="s">
        <v>2416</v>
      </c>
      <c r="U4282" s="0" t="str">
        <f aca="false">"5060458890191"</f>
        <v>5060458890191</v>
      </c>
      <c r="V4282" s="51" t="s">
        <v>2142</v>
      </c>
      <c r="W4282" s="51" t="s">
        <v>4639</v>
      </c>
      <c r="X4282" s="51" t="s">
        <v>2359</v>
      </c>
    </row>
    <row r="4283" customFormat="false" ht="14.25" hidden="true" customHeight="false" outlineLevel="0" collapsed="false">
      <c r="A4283" s="49" t="s">
        <v>2349</v>
      </c>
      <c r="B4283" s="49" t="s">
        <v>2350</v>
      </c>
      <c r="C4283" s="49" t="s">
        <v>8191</v>
      </c>
      <c r="D4283" s="49" t="s">
        <v>2352</v>
      </c>
      <c r="E4283" s="49" t="str">
        <f aca="false">"5060458890191"</f>
        <v>5060458890191</v>
      </c>
      <c r="F4283" s="49" t="s">
        <v>3656</v>
      </c>
      <c r="G4283" s="49" t="n">
        <v>0</v>
      </c>
      <c r="H4283" s="0" t="n">
        <v>0</v>
      </c>
      <c r="M4283" s="51" t="s">
        <v>8180</v>
      </c>
      <c r="N4283" s="49" t="n">
        <v>0</v>
      </c>
      <c r="O4283" s="53" t="n">
        <v>45789.6498958333</v>
      </c>
      <c r="P4283" s="53" t="n">
        <v>45794.8768402778</v>
      </c>
      <c r="Q4283" s="53" t="n">
        <v>45789.6498958333</v>
      </c>
      <c r="R4283" s="0" t="n">
        <v>0</v>
      </c>
      <c r="S4283" s="51" t="s">
        <v>2416</v>
      </c>
      <c r="T4283" s="51" t="s">
        <v>2416</v>
      </c>
      <c r="U4283" s="0" t="str">
        <f aca="false">"5060458890191"</f>
        <v>5060458890191</v>
      </c>
      <c r="V4283" s="51" t="s">
        <v>2142</v>
      </c>
      <c r="W4283" s="51" t="s">
        <v>4634</v>
      </c>
      <c r="X4283" s="51" t="s">
        <v>2359</v>
      </c>
    </row>
    <row r="4284" customFormat="false" ht="14.25" hidden="true" customHeight="false" outlineLevel="0" collapsed="false">
      <c r="A4284" s="49" t="s">
        <v>2349</v>
      </c>
      <c r="B4284" s="49" t="s">
        <v>2350</v>
      </c>
      <c r="C4284" s="49" t="s">
        <v>8192</v>
      </c>
      <c r="D4284" s="49" t="s">
        <v>2352</v>
      </c>
      <c r="E4284" s="49" t="str">
        <f aca="false">"5060458890191"</f>
        <v>5060458890191</v>
      </c>
      <c r="F4284" s="49" t="s">
        <v>3656</v>
      </c>
      <c r="G4284" s="49" t="n">
        <v>0</v>
      </c>
      <c r="H4284" s="0" t="n">
        <v>0</v>
      </c>
      <c r="M4284" s="51" t="s">
        <v>8180</v>
      </c>
      <c r="N4284" s="49" t="n">
        <v>0</v>
      </c>
      <c r="O4284" s="53" t="n">
        <v>45789.6502893519</v>
      </c>
      <c r="P4284" s="53" t="n">
        <v>45798.8923611111</v>
      </c>
      <c r="Q4284" s="53" t="n">
        <v>45789.6502893519</v>
      </c>
      <c r="R4284" s="0" t="n">
        <v>0</v>
      </c>
      <c r="S4284" s="51" t="s">
        <v>2416</v>
      </c>
      <c r="T4284" s="51" t="s">
        <v>2416</v>
      </c>
      <c r="U4284" s="0" t="str">
        <f aca="false">"5060458890191"</f>
        <v>5060458890191</v>
      </c>
      <c r="V4284" s="51" t="s">
        <v>2142</v>
      </c>
      <c r="W4284" s="51" t="s">
        <v>5444</v>
      </c>
      <c r="X4284" s="51" t="s">
        <v>2359</v>
      </c>
    </row>
    <row r="4285" customFormat="false" ht="14.25" hidden="true" customHeight="false" outlineLevel="0" collapsed="false">
      <c r="A4285" s="49" t="s">
        <v>2349</v>
      </c>
      <c r="B4285" s="49" t="s">
        <v>2350</v>
      </c>
      <c r="C4285" s="49" t="s">
        <v>8193</v>
      </c>
      <c r="D4285" s="49" t="s">
        <v>2352</v>
      </c>
      <c r="E4285" s="49" t="str">
        <f aca="false">"5060458890191"</f>
        <v>5060458890191</v>
      </c>
      <c r="F4285" s="49" t="s">
        <v>3656</v>
      </c>
      <c r="G4285" s="49" t="n">
        <v>0</v>
      </c>
      <c r="H4285" s="0" t="n">
        <v>0</v>
      </c>
      <c r="M4285" s="51" t="s">
        <v>8180</v>
      </c>
      <c r="N4285" s="49" t="n">
        <v>0</v>
      </c>
      <c r="O4285" s="53" t="n">
        <v>45789.6504513889</v>
      </c>
      <c r="P4285" s="53" t="n">
        <v>45801.5643981482</v>
      </c>
      <c r="Q4285" s="53" t="n">
        <v>45789.6504513889</v>
      </c>
      <c r="R4285" s="0" t="n">
        <v>0</v>
      </c>
      <c r="S4285" s="51" t="s">
        <v>2416</v>
      </c>
      <c r="T4285" s="51" t="s">
        <v>2416</v>
      </c>
      <c r="U4285" s="0" t="str">
        <f aca="false">"5060458890191"</f>
        <v>5060458890191</v>
      </c>
      <c r="V4285" s="51" t="s">
        <v>2142</v>
      </c>
      <c r="W4285" s="51" t="s">
        <v>8194</v>
      </c>
      <c r="X4285" s="51" t="s">
        <v>2359</v>
      </c>
    </row>
    <row r="4286" customFormat="false" ht="14.25" hidden="true" customHeight="false" outlineLevel="0" collapsed="false">
      <c r="A4286" s="49" t="s">
        <v>2349</v>
      </c>
      <c r="B4286" s="49" t="s">
        <v>2350</v>
      </c>
      <c r="C4286" s="49" t="s">
        <v>8195</v>
      </c>
      <c r="D4286" s="49" t="s">
        <v>2352</v>
      </c>
      <c r="E4286" s="49" t="str">
        <f aca="false">"5060458890191"</f>
        <v>5060458890191</v>
      </c>
      <c r="F4286" s="49" t="s">
        <v>3656</v>
      </c>
      <c r="G4286" s="49" t="n">
        <v>0</v>
      </c>
      <c r="H4286" s="0" t="n">
        <v>0</v>
      </c>
      <c r="M4286" s="51" t="s">
        <v>8180</v>
      </c>
      <c r="N4286" s="49" t="n">
        <v>0</v>
      </c>
      <c r="O4286" s="53" t="n">
        <v>45789.6505439815</v>
      </c>
      <c r="P4286" s="53" t="n">
        <v>45825.8296990741</v>
      </c>
      <c r="Q4286" s="53" t="n">
        <v>45789.6505439815</v>
      </c>
      <c r="R4286" s="0" t="n">
        <v>0</v>
      </c>
      <c r="S4286" s="51" t="s">
        <v>2416</v>
      </c>
      <c r="T4286" s="51" t="s">
        <v>2416</v>
      </c>
      <c r="U4286" s="0" t="str">
        <f aca="false">"5060458890191"</f>
        <v>5060458890191</v>
      </c>
      <c r="V4286" s="51" t="s">
        <v>2142</v>
      </c>
      <c r="W4286" s="51" t="s">
        <v>8196</v>
      </c>
      <c r="X4286" s="51" t="s">
        <v>2359</v>
      </c>
    </row>
    <row r="4287" customFormat="false" ht="14.25" hidden="true" customHeight="false" outlineLevel="0" collapsed="false">
      <c r="A4287" s="49" t="s">
        <v>2349</v>
      </c>
      <c r="B4287" s="49" t="s">
        <v>2350</v>
      </c>
      <c r="C4287" s="49" t="s">
        <v>8197</v>
      </c>
      <c r="D4287" s="49" t="s">
        <v>2352</v>
      </c>
      <c r="E4287" s="49" t="str">
        <f aca="false">"5060458890191"</f>
        <v>5060458890191</v>
      </c>
      <c r="F4287" s="49" t="s">
        <v>3656</v>
      </c>
      <c r="G4287" s="49" t="n">
        <v>0</v>
      </c>
      <c r="H4287" s="0" t="n">
        <v>0</v>
      </c>
      <c r="M4287" s="51" t="s">
        <v>8180</v>
      </c>
      <c r="N4287" s="49" t="n">
        <v>0</v>
      </c>
      <c r="O4287" s="53" t="n">
        <v>45789.6506481482</v>
      </c>
      <c r="P4287" s="53" t="n">
        <v>45820.9019097222</v>
      </c>
      <c r="Q4287" s="53" t="n">
        <v>45789.6506481482</v>
      </c>
      <c r="R4287" s="0" t="n">
        <v>0</v>
      </c>
      <c r="S4287" s="51" t="s">
        <v>2416</v>
      </c>
      <c r="T4287" s="51" t="s">
        <v>2416</v>
      </c>
      <c r="U4287" s="0" t="str">
        <f aca="false">"5060458890191"</f>
        <v>5060458890191</v>
      </c>
      <c r="V4287" s="51" t="s">
        <v>2142</v>
      </c>
      <c r="W4287" s="51" t="s">
        <v>5711</v>
      </c>
      <c r="X4287" s="51" t="s">
        <v>2359</v>
      </c>
    </row>
    <row r="4288" customFormat="false" ht="14.25" hidden="true" customHeight="false" outlineLevel="0" collapsed="false">
      <c r="A4288" s="49" t="s">
        <v>2349</v>
      </c>
      <c r="B4288" s="49" t="s">
        <v>2350</v>
      </c>
      <c r="C4288" s="49" t="s">
        <v>8198</v>
      </c>
      <c r="D4288" s="49" t="s">
        <v>2352</v>
      </c>
      <c r="E4288" s="49" t="str">
        <f aca="false">"5060458890191"</f>
        <v>5060458890191</v>
      </c>
      <c r="F4288" s="49" t="s">
        <v>3656</v>
      </c>
      <c r="G4288" s="49" t="n">
        <v>0</v>
      </c>
      <c r="H4288" s="0" t="n">
        <v>0</v>
      </c>
      <c r="M4288" s="51" t="s">
        <v>8180</v>
      </c>
      <c r="N4288" s="49" t="n">
        <v>0</v>
      </c>
      <c r="O4288" s="53" t="n">
        <v>45789.6507638889</v>
      </c>
      <c r="P4288" s="53" t="n">
        <v>45824.7346296296</v>
      </c>
      <c r="Q4288" s="53" t="n">
        <v>45789.6507638889</v>
      </c>
      <c r="R4288" s="0" t="n">
        <v>0</v>
      </c>
      <c r="S4288" s="51" t="s">
        <v>2416</v>
      </c>
      <c r="T4288" s="51" t="s">
        <v>2416</v>
      </c>
      <c r="U4288" s="0" t="str">
        <f aca="false">"5060458890191"</f>
        <v>5060458890191</v>
      </c>
      <c r="V4288" s="51" t="s">
        <v>2142</v>
      </c>
      <c r="W4288" s="51" t="s">
        <v>8199</v>
      </c>
      <c r="X4288" s="51" t="s">
        <v>2359</v>
      </c>
    </row>
    <row r="4289" customFormat="false" ht="14.25" hidden="true" customHeight="false" outlineLevel="0" collapsed="false">
      <c r="A4289" s="49" t="s">
        <v>2349</v>
      </c>
      <c r="B4289" s="49" t="s">
        <v>2350</v>
      </c>
      <c r="C4289" s="49" t="s">
        <v>8200</v>
      </c>
      <c r="D4289" s="49" t="s">
        <v>2352</v>
      </c>
      <c r="E4289" s="49" t="str">
        <f aca="false">"5060458890191"</f>
        <v>5060458890191</v>
      </c>
      <c r="F4289" s="49" t="s">
        <v>3656</v>
      </c>
      <c r="G4289" s="49" t="n">
        <v>0</v>
      </c>
      <c r="H4289" s="0" t="n">
        <v>0</v>
      </c>
      <c r="M4289" s="51" t="s">
        <v>8180</v>
      </c>
      <c r="N4289" s="49" t="n">
        <v>0</v>
      </c>
      <c r="O4289" s="53" t="n">
        <v>45789.6510763889</v>
      </c>
      <c r="P4289" s="53" t="n">
        <v>45791.7521296296</v>
      </c>
      <c r="Q4289" s="53" t="n">
        <v>45789.6510763889</v>
      </c>
      <c r="R4289" s="0" t="n">
        <v>0</v>
      </c>
      <c r="S4289" s="51" t="s">
        <v>2416</v>
      </c>
      <c r="T4289" s="51" t="s">
        <v>2416</v>
      </c>
      <c r="U4289" s="0" t="str">
        <f aca="false">"5060458890191"</f>
        <v>5060458890191</v>
      </c>
      <c r="V4289" s="51" t="s">
        <v>2142</v>
      </c>
      <c r="W4289" s="51" t="s">
        <v>4874</v>
      </c>
      <c r="X4289" s="51" t="s">
        <v>2359</v>
      </c>
    </row>
    <row r="4290" customFormat="false" ht="14.25" hidden="true" customHeight="false" outlineLevel="0" collapsed="false">
      <c r="A4290" s="49" t="s">
        <v>2349</v>
      </c>
      <c r="B4290" s="49" t="s">
        <v>2350</v>
      </c>
      <c r="C4290" s="49" t="s">
        <v>8201</v>
      </c>
      <c r="D4290" s="49" t="s">
        <v>2352</v>
      </c>
      <c r="E4290" s="49" t="str">
        <f aca="false">"5060458890191"</f>
        <v>5060458890191</v>
      </c>
      <c r="F4290" s="49" t="s">
        <v>3656</v>
      </c>
      <c r="G4290" s="49" t="n">
        <v>0</v>
      </c>
      <c r="H4290" s="0" t="n">
        <v>0</v>
      </c>
      <c r="M4290" s="51" t="s">
        <v>8180</v>
      </c>
      <c r="N4290" s="49" t="n">
        <v>0</v>
      </c>
      <c r="O4290" s="53" t="n">
        <v>45789.6512268519</v>
      </c>
      <c r="P4290" s="53" t="n">
        <v>45791.7835532407</v>
      </c>
      <c r="Q4290" s="53" t="n">
        <v>45789.6512268519</v>
      </c>
      <c r="R4290" s="0" t="n">
        <v>0</v>
      </c>
      <c r="S4290" s="51" t="s">
        <v>2416</v>
      </c>
      <c r="T4290" s="51" t="s">
        <v>2416</v>
      </c>
      <c r="U4290" s="0" t="str">
        <f aca="false">"5060458890191"</f>
        <v>5060458890191</v>
      </c>
      <c r="V4290" s="51" t="s">
        <v>2142</v>
      </c>
      <c r="W4290" s="51" t="s">
        <v>5878</v>
      </c>
      <c r="X4290" s="51" t="s">
        <v>2359</v>
      </c>
    </row>
    <row r="4291" customFormat="false" ht="14.25" hidden="true" customHeight="false" outlineLevel="0" collapsed="false">
      <c r="A4291" s="49" t="s">
        <v>2349</v>
      </c>
      <c r="B4291" s="49" t="s">
        <v>2350</v>
      </c>
      <c r="C4291" s="49" t="s">
        <v>8202</v>
      </c>
      <c r="D4291" s="49" t="s">
        <v>2352</v>
      </c>
      <c r="E4291" s="49" t="str">
        <f aca="false">"5060458890191"</f>
        <v>5060458890191</v>
      </c>
      <c r="F4291" s="49" t="s">
        <v>3656</v>
      </c>
      <c r="G4291" s="49" t="n">
        <v>0</v>
      </c>
      <c r="H4291" s="0" t="n">
        <v>0</v>
      </c>
      <c r="M4291" s="51" t="s">
        <v>8180</v>
      </c>
      <c r="N4291" s="49" t="n">
        <v>0</v>
      </c>
      <c r="O4291" s="53" t="n">
        <v>45789.6513425926</v>
      </c>
      <c r="P4291" s="53" t="n">
        <v>45819.4863773148</v>
      </c>
      <c r="Q4291" s="53" t="n">
        <v>45789.6513425926</v>
      </c>
      <c r="R4291" s="0" t="n">
        <v>0</v>
      </c>
      <c r="S4291" s="51" t="s">
        <v>2416</v>
      </c>
      <c r="T4291" s="51" t="s">
        <v>2416</v>
      </c>
      <c r="U4291" s="0" t="str">
        <f aca="false">"5060458890191"</f>
        <v>5060458890191</v>
      </c>
      <c r="V4291" s="51" t="s">
        <v>2142</v>
      </c>
      <c r="W4291" s="51" t="s">
        <v>5818</v>
      </c>
      <c r="X4291" s="51" t="s">
        <v>2359</v>
      </c>
    </row>
    <row r="4292" customFormat="false" ht="14.25" hidden="true" customHeight="false" outlineLevel="0" collapsed="false">
      <c r="A4292" s="49" t="s">
        <v>2349</v>
      </c>
      <c r="B4292" s="49" t="s">
        <v>2350</v>
      </c>
      <c r="C4292" s="49" t="s">
        <v>8203</v>
      </c>
      <c r="D4292" s="49" t="s">
        <v>2352</v>
      </c>
      <c r="E4292" s="49" t="str">
        <f aca="false">"5060458890191"</f>
        <v>5060458890191</v>
      </c>
      <c r="F4292" s="49" t="s">
        <v>3656</v>
      </c>
      <c r="G4292" s="49" t="n">
        <v>0</v>
      </c>
      <c r="H4292" s="0" t="n">
        <v>0</v>
      </c>
      <c r="M4292" s="51" t="s">
        <v>8180</v>
      </c>
      <c r="N4292" s="49" t="n">
        <v>0</v>
      </c>
      <c r="O4292" s="53" t="n">
        <v>45789.6515162037</v>
      </c>
      <c r="P4292" s="53" t="n">
        <v>45819.4840856481</v>
      </c>
      <c r="Q4292" s="53" t="n">
        <v>45789.6515162037</v>
      </c>
      <c r="R4292" s="0" t="n">
        <v>0</v>
      </c>
      <c r="S4292" s="51" t="s">
        <v>2416</v>
      </c>
      <c r="T4292" s="51" t="s">
        <v>2416</v>
      </c>
      <c r="U4292" s="0" t="str">
        <f aca="false">"5060458890191"</f>
        <v>5060458890191</v>
      </c>
      <c r="V4292" s="51" t="s">
        <v>2142</v>
      </c>
      <c r="W4292" s="51" t="s">
        <v>4543</v>
      </c>
      <c r="X4292" s="51" t="s">
        <v>2359</v>
      </c>
    </row>
    <row r="4293" customFormat="false" ht="14.25" hidden="true" customHeight="false" outlineLevel="0" collapsed="false">
      <c r="A4293" s="49" t="s">
        <v>2349</v>
      </c>
      <c r="B4293" s="49" t="s">
        <v>2350</v>
      </c>
      <c r="C4293" s="49" t="s">
        <v>8204</v>
      </c>
      <c r="D4293" s="49" t="s">
        <v>2352</v>
      </c>
      <c r="E4293" s="49" t="str">
        <f aca="false">"5060458890191"</f>
        <v>5060458890191</v>
      </c>
      <c r="F4293" s="49" t="s">
        <v>3656</v>
      </c>
      <c r="G4293" s="49" t="n">
        <v>0</v>
      </c>
      <c r="H4293" s="0" t="n">
        <v>0</v>
      </c>
      <c r="M4293" s="51" t="s">
        <v>8180</v>
      </c>
      <c r="N4293" s="49" t="n">
        <v>0</v>
      </c>
      <c r="O4293" s="53" t="n">
        <v>45789.6516087963</v>
      </c>
      <c r="P4293" s="53" t="n">
        <v>45819.4892476852</v>
      </c>
      <c r="Q4293" s="53" t="n">
        <v>45789.6516087963</v>
      </c>
      <c r="R4293" s="0" t="n">
        <v>0</v>
      </c>
      <c r="S4293" s="51" t="s">
        <v>2416</v>
      </c>
      <c r="T4293" s="51" t="s">
        <v>2416</v>
      </c>
      <c r="U4293" s="0" t="str">
        <f aca="false">"5060458890191"</f>
        <v>5060458890191</v>
      </c>
      <c r="V4293" s="51" t="s">
        <v>2142</v>
      </c>
      <c r="W4293" s="51" t="s">
        <v>5814</v>
      </c>
      <c r="X4293" s="51" t="s">
        <v>2359</v>
      </c>
    </row>
    <row r="4294" customFormat="false" ht="14.25" hidden="true" customHeight="false" outlineLevel="0" collapsed="false">
      <c r="A4294" s="49" t="s">
        <v>2349</v>
      </c>
      <c r="B4294" s="49" t="s">
        <v>2350</v>
      </c>
      <c r="C4294" s="49" t="s">
        <v>8205</v>
      </c>
      <c r="D4294" s="49" t="s">
        <v>2352</v>
      </c>
      <c r="E4294" s="49" t="str">
        <f aca="false">"5060458890191"</f>
        <v>5060458890191</v>
      </c>
      <c r="F4294" s="49" t="s">
        <v>3656</v>
      </c>
      <c r="G4294" s="49" t="n">
        <v>0</v>
      </c>
      <c r="H4294" s="0" t="n">
        <v>0</v>
      </c>
      <c r="M4294" s="51" t="s">
        <v>8180</v>
      </c>
      <c r="N4294" s="49" t="n">
        <v>0</v>
      </c>
      <c r="O4294" s="53" t="n">
        <v>45789.6517824074</v>
      </c>
      <c r="P4294" s="53" t="n">
        <v>45819.7978472222</v>
      </c>
      <c r="Q4294" s="53" t="n">
        <v>45789.6517824074</v>
      </c>
      <c r="R4294" s="0" t="n">
        <v>0</v>
      </c>
      <c r="S4294" s="51" t="s">
        <v>2416</v>
      </c>
      <c r="T4294" s="51" t="s">
        <v>2416</v>
      </c>
      <c r="U4294" s="0" t="str">
        <f aca="false">"5060458890191"</f>
        <v>5060458890191</v>
      </c>
      <c r="V4294" s="51" t="s">
        <v>2142</v>
      </c>
      <c r="W4294" s="51" t="s">
        <v>5534</v>
      </c>
      <c r="X4294" s="51" t="s">
        <v>2359</v>
      </c>
    </row>
    <row r="4295" customFormat="false" ht="14.25" hidden="true" customHeight="false" outlineLevel="0" collapsed="false">
      <c r="A4295" s="49" t="s">
        <v>2349</v>
      </c>
      <c r="B4295" s="49" t="s">
        <v>2350</v>
      </c>
      <c r="C4295" s="49" t="s">
        <v>8206</v>
      </c>
      <c r="D4295" s="49" t="s">
        <v>2352</v>
      </c>
      <c r="E4295" s="49" t="str">
        <f aca="false">"5060458890191"</f>
        <v>5060458890191</v>
      </c>
      <c r="F4295" s="49" t="s">
        <v>3656</v>
      </c>
      <c r="G4295" s="49" t="n">
        <v>0</v>
      </c>
      <c r="H4295" s="0" t="n">
        <v>0</v>
      </c>
      <c r="M4295" s="51" t="s">
        <v>8180</v>
      </c>
      <c r="N4295" s="49" t="n">
        <v>0</v>
      </c>
      <c r="O4295" s="53" t="n">
        <v>45789.6556134259</v>
      </c>
      <c r="P4295" s="53" t="n">
        <v>45802.8739467593</v>
      </c>
      <c r="Q4295" s="53" t="n">
        <v>45789.6556134259</v>
      </c>
      <c r="R4295" s="0" t="n">
        <v>0</v>
      </c>
      <c r="S4295" s="51" t="s">
        <v>2416</v>
      </c>
      <c r="T4295" s="51" t="s">
        <v>2416</v>
      </c>
      <c r="U4295" s="0" t="str">
        <f aca="false">"5060458890191"</f>
        <v>5060458890191</v>
      </c>
      <c r="V4295" s="51" t="s">
        <v>2142</v>
      </c>
      <c r="W4295" s="51" t="s">
        <v>5615</v>
      </c>
      <c r="X4295" s="51" t="s">
        <v>2359</v>
      </c>
    </row>
    <row r="4296" customFormat="false" ht="14.25" hidden="true" customHeight="false" outlineLevel="0" collapsed="false">
      <c r="A4296" s="49" t="s">
        <v>2349</v>
      </c>
      <c r="B4296" s="49" t="s">
        <v>2350</v>
      </c>
      <c r="C4296" s="49" t="s">
        <v>8207</v>
      </c>
      <c r="D4296" s="49" t="s">
        <v>2352</v>
      </c>
      <c r="E4296" s="49" t="str">
        <f aca="false">"5060458890191"</f>
        <v>5060458890191</v>
      </c>
      <c r="F4296" s="49" t="s">
        <v>3656</v>
      </c>
      <c r="G4296" s="49" t="n">
        <v>0</v>
      </c>
      <c r="H4296" s="0" t="n">
        <v>0</v>
      </c>
      <c r="M4296" s="51" t="s">
        <v>8180</v>
      </c>
      <c r="N4296" s="49" t="n">
        <v>0</v>
      </c>
      <c r="O4296" s="53" t="n">
        <v>45789.6554513889</v>
      </c>
      <c r="P4296" s="53" t="n">
        <v>45802.8751273148</v>
      </c>
      <c r="Q4296" s="53" t="n">
        <v>45789.6554513889</v>
      </c>
      <c r="R4296" s="0" t="n">
        <v>0</v>
      </c>
      <c r="S4296" s="51" t="s">
        <v>2416</v>
      </c>
      <c r="T4296" s="51" t="s">
        <v>2416</v>
      </c>
      <c r="U4296" s="0" t="str">
        <f aca="false">"5060458890191"</f>
        <v>5060458890191</v>
      </c>
      <c r="V4296" s="51" t="s">
        <v>2142</v>
      </c>
      <c r="W4296" s="51" t="s">
        <v>6763</v>
      </c>
      <c r="X4296" s="51" t="s">
        <v>2359</v>
      </c>
    </row>
    <row r="4297" customFormat="false" ht="14.25" hidden="true" customHeight="false" outlineLevel="0" collapsed="false">
      <c r="A4297" s="49" t="s">
        <v>2349</v>
      </c>
      <c r="B4297" s="49" t="s">
        <v>2350</v>
      </c>
      <c r="C4297" s="49" t="s">
        <v>8208</v>
      </c>
      <c r="D4297" s="49" t="s">
        <v>2352</v>
      </c>
      <c r="E4297" s="49" t="str">
        <f aca="false">"5060458890191"</f>
        <v>5060458890191</v>
      </c>
      <c r="F4297" s="49" t="s">
        <v>3656</v>
      </c>
      <c r="G4297" s="49" t="n">
        <v>0</v>
      </c>
      <c r="H4297" s="0" t="n">
        <v>0</v>
      </c>
      <c r="M4297" s="51" t="s">
        <v>8180</v>
      </c>
      <c r="N4297" s="49" t="n">
        <v>0</v>
      </c>
      <c r="O4297" s="53" t="n">
        <v>45789.6553125</v>
      </c>
      <c r="P4297" s="53" t="n">
        <v>45801.8802083333</v>
      </c>
      <c r="Q4297" s="53" t="n">
        <v>45789.6553125</v>
      </c>
      <c r="R4297" s="0" t="n">
        <v>0</v>
      </c>
      <c r="S4297" s="51" t="s">
        <v>2416</v>
      </c>
      <c r="T4297" s="51" t="s">
        <v>2416</v>
      </c>
      <c r="U4297" s="0" t="str">
        <f aca="false">"5060458890191"</f>
        <v>5060458890191</v>
      </c>
      <c r="V4297" s="51" t="s">
        <v>2142</v>
      </c>
      <c r="W4297" s="51" t="s">
        <v>6775</v>
      </c>
      <c r="X4297" s="51" t="s">
        <v>2359</v>
      </c>
    </row>
    <row r="4298" customFormat="false" ht="14.25" hidden="true" customHeight="false" outlineLevel="0" collapsed="false">
      <c r="A4298" s="49" t="s">
        <v>2349</v>
      </c>
      <c r="B4298" s="49" t="s">
        <v>2350</v>
      </c>
      <c r="C4298" s="49" t="s">
        <v>8209</v>
      </c>
      <c r="D4298" s="49" t="s">
        <v>2352</v>
      </c>
      <c r="E4298" s="49" t="str">
        <f aca="false">"5060458890191"</f>
        <v>5060458890191</v>
      </c>
      <c r="F4298" s="49" t="s">
        <v>3656</v>
      </c>
      <c r="G4298" s="49" t="n">
        <v>0</v>
      </c>
      <c r="H4298" s="0" t="n">
        <v>0</v>
      </c>
      <c r="M4298" s="51" t="s">
        <v>8180</v>
      </c>
      <c r="N4298" s="49" t="n">
        <v>0</v>
      </c>
      <c r="O4298" s="53" t="n">
        <v>45789.6551851852</v>
      </c>
      <c r="P4298" s="53" t="n">
        <v>45819.4769907407</v>
      </c>
      <c r="Q4298" s="53" t="n">
        <v>45789.6551851852</v>
      </c>
      <c r="R4298" s="0" t="n">
        <v>0</v>
      </c>
      <c r="S4298" s="51" t="s">
        <v>2416</v>
      </c>
      <c r="T4298" s="51" t="s">
        <v>2416</v>
      </c>
      <c r="U4298" s="0" t="str">
        <f aca="false">"5060458890191"</f>
        <v>5060458890191</v>
      </c>
      <c r="V4298" s="51" t="s">
        <v>2142</v>
      </c>
      <c r="W4298" s="51" t="s">
        <v>4797</v>
      </c>
      <c r="X4298" s="51" t="s">
        <v>2359</v>
      </c>
    </row>
    <row r="4299" customFormat="false" ht="14.25" hidden="true" customHeight="false" outlineLevel="0" collapsed="false">
      <c r="A4299" s="49" t="s">
        <v>2349</v>
      </c>
      <c r="B4299" s="49" t="s">
        <v>2350</v>
      </c>
      <c r="C4299" s="49" t="s">
        <v>8210</v>
      </c>
      <c r="D4299" s="49" t="s">
        <v>2352</v>
      </c>
      <c r="E4299" s="49" t="str">
        <f aca="false">"5060458890191"</f>
        <v>5060458890191</v>
      </c>
      <c r="F4299" s="49" t="s">
        <v>3656</v>
      </c>
      <c r="G4299" s="49" t="n">
        <v>0</v>
      </c>
      <c r="H4299" s="0" t="n">
        <v>0</v>
      </c>
      <c r="M4299" s="51" t="s">
        <v>8180</v>
      </c>
      <c r="N4299" s="49" t="n">
        <v>0</v>
      </c>
      <c r="O4299" s="53" t="n">
        <v>45789.6550578704</v>
      </c>
      <c r="P4299" s="53" t="n">
        <v>45801.48</v>
      </c>
      <c r="Q4299" s="53" t="n">
        <v>45789.6550578704</v>
      </c>
      <c r="R4299" s="0" t="n">
        <v>0</v>
      </c>
      <c r="S4299" s="51" t="s">
        <v>2416</v>
      </c>
      <c r="T4299" s="51" t="s">
        <v>2416</v>
      </c>
      <c r="U4299" s="0" t="str">
        <f aca="false">"5060458890191"</f>
        <v>5060458890191</v>
      </c>
      <c r="V4299" s="51" t="s">
        <v>2142</v>
      </c>
      <c r="W4299" s="51" t="s">
        <v>8211</v>
      </c>
      <c r="X4299" s="51" t="s">
        <v>2359</v>
      </c>
    </row>
    <row r="4300" customFormat="false" ht="14.25" hidden="true" customHeight="false" outlineLevel="0" collapsed="false">
      <c r="A4300" s="49" t="s">
        <v>2349</v>
      </c>
      <c r="B4300" s="49" t="s">
        <v>2350</v>
      </c>
      <c r="C4300" s="49" t="s">
        <v>8212</v>
      </c>
      <c r="D4300" s="49" t="s">
        <v>2352</v>
      </c>
      <c r="E4300" s="49" t="str">
        <f aca="false">"5060458890191"</f>
        <v>5060458890191</v>
      </c>
      <c r="F4300" s="49" t="s">
        <v>3656</v>
      </c>
      <c r="G4300" s="49" t="n">
        <v>0</v>
      </c>
      <c r="H4300" s="0" t="n">
        <v>0</v>
      </c>
      <c r="M4300" s="51" t="s">
        <v>8180</v>
      </c>
      <c r="N4300" s="49" t="n">
        <v>0</v>
      </c>
      <c r="O4300" s="53" t="n">
        <v>45789.6540740741</v>
      </c>
      <c r="P4300" s="53" t="n">
        <v>45802.8832523148</v>
      </c>
      <c r="Q4300" s="53" t="n">
        <v>45789.6540740741</v>
      </c>
      <c r="R4300" s="0" t="n">
        <v>0</v>
      </c>
      <c r="S4300" s="51" t="s">
        <v>2416</v>
      </c>
      <c r="T4300" s="51" t="s">
        <v>2416</v>
      </c>
      <c r="U4300" s="0" t="str">
        <f aca="false">"5060458890191"</f>
        <v>5060458890191</v>
      </c>
      <c r="V4300" s="51" t="s">
        <v>2142</v>
      </c>
      <c r="W4300" s="51" t="s">
        <v>8213</v>
      </c>
      <c r="X4300" s="51" t="s">
        <v>2359</v>
      </c>
    </row>
    <row r="4301" customFormat="false" ht="14.25" hidden="true" customHeight="false" outlineLevel="0" collapsed="false">
      <c r="A4301" s="49" t="s">
        <v>2349</v>
      </c>
      <c r="B4301" s="49" t="s">
        <v>2350</v>
      </c>
      <c r="C4301" s="49" t="s">
        <v>8214</v>
      </c>
      <c r="D4301" s="49" t="s">
        <v>2352</v>
      </c>
      <c r="E4301" s="49" t="str">
        <f aca="false">"5060458890191"</f>
        <v>5060458890191</v>
      </c>
      <c r="F4301" s="49" t="s">
        <v>3656</v>
      </c>
      <c r="G4301" s="49" t="n">
        <v>0</v>
      </c>
      <c r="H4301" s="0" t="n">
        <v>0</v>
      </c>
      <c r="M4301" s="51" t="s">
        <v>8180</v>
      </c>
      <c r="N4301" s="49" t="n">
        <v>0</v>
      </c>
      <c r="O4301" s="53" t="n">
        <v>45789.6543981481</v>
      </c>
      <c r="P4301" s="53" t="n">
        <v>45794.8796412037</v>
      </c>
      <c r="Q4301" s="53" t="n">
        <v>45789.6543981481</v>
      </c>
      <c r="R4301" s="0" t="n">
        <v>0</v>
      </c>
      <c r="S4301" s="51" t="s">
        <v>2416</v>
      </c>
      <c r="T4301" s="51" t="s">
        <v>2416</v>
      </c>
      <c r="U4301" s="0" t="str">
        <f aca="false">"5060458890191"</f>
        <v>5060458890191</v>
      </c>
      <c r="V4301" s="51" t="s">
        <v>2142</v>
      </c>
      <c r="W4301" s="51" t="s">
        <v>6308</v>
      </c>
      <c r="X4301" s="51" t="s">
        <v>2359</v>
      </c>
    </row>
    <row r="4302" customFormat="false" ht="14.25" hidden="true" customHeight="false" outlineLevel="0" collapsed="false">
      <c r="A4302" s="49" t="s">
        <v>2349</v>
      </c>
      <c r="B4302" s="49" t="s">
        <v>2350</v>
      </c>
      <c r="C4302" s="49" t="s">
        <v>8215</v>
      </c>
      <c r="D4302" s="49" t="s">
        <v>2352</v>
      </c>
      <c r="E4302" s="49" t="str">
        <f aca="false">"5060175134721"</f>
        <v>5060175134721</v>
      </c>
      <c r="F4302" s="49" t="s">
        <v>4488</v>
      </c>
      <c r="G4302" s="49" t="n">
        <v>0</v>
      </c>
      <c r="H4302" s="0" t="n">
        <v>0</v>
      </c>
      <c r="M4302" s="51" t="s">
        <v>8216</v>
      </c>
      <c r="N4302" s="49" t="n">
        <v>0</v>
      </c>
      <c r="O4302" s="53" t="n">
        <v>45796.5857175926</v>
      </c>
      <c r="P4302" s="53" t="n">
        <v>45822.9050231481</v>
      </c>
      <c r="Q4302" s="53" t="n">
        <v>45796.5857175926</v>
      </c>
      <c r="R4302" s="0" t="n">
        <v>0</v>
      </c>
      <c r="S4302" s="51" t="s">
        <v>2383</v>
      </c>
      <c r="T4302" s="51" t="s">
        <v>2383</v>
      </c>
      <c r="U4302" s="0" t="str">
        <f aca="false">"5060175134721"</f>
        <v>5060175134721</v>
      </c>
      <c r="V4302" s="51" t="s">
        <v>2365</v>
      </c>
      <c r="W4302" s="51" t="s">
        <v>7539</v>
      </c>
      <c r="X4302" s="51" t="s">
        <v>2359</v>
      </c>
    </row>
    <row r="4303" customFormat="false" ht="14.25" hidden="true" customHeight="false" outlineLevel="0" collapsed="false">
      <c r="A4303" s="49" t="s">
        <v>2349</v>
      </c>
      <c r="B4303" s="49" t="s">
        <v>2350</v>
      </c>
      <c r="C4303" s="49" t="s">
        <v>8217</v>
      </c>
      <c r="D4303" s="49" t="s">
        <v>2352</v>
      </c>
      <c r="E4303" s="49" t="str">
        <f aca="false">"5060175134721"</f>
        <v>5060175134721</v>
      </c>
      <c r="F4303" s="49" t="s">
        <v>4488</v>
      </c>
      <c r="G4303" s="49" t="n">
        <v>0</v>
      </c>
      <c r="H4303" s="0" t="n">
        <v>0</v>
      </c>
      <c r="M4303" s="51" t="s">
        <v>8216</v>
      </c>
      <c r="N4303" s="49" t="n">
        <v>0</v>
      </c>
      <c r="O4303" s="53" t="n">
        <v>45796.5862037037</v>
      </c>
      <c r="P4303" s="53" t="n">
        <v>45801.5561111111</v>
      </c>
      <c r="Q4303" s="53" t="n">
        <v>45796.5862037037</v>
      </c>
      <c r="R4303" s="0" t="n">
        <v>0</v>
      </c>
      <c r="S4303" s="51" t="s">
        <v>2383</v>
      </c>
      <c r="T4303" s="51" t="s">
        <v>2383</v>
      </c>
      <c r="U4303" s="0" t="str">
        <f aca="false">"5060175134721"</f>
        <v>5060175134721</v>
      </c>
      <c r="V4303" s="51" t="s">
        <v>2365</v>
      </c>
      <c r="W4303" s="51" t="s">
        <v>6304</v>
      </c>
      <c r="X4303" s="51" t="s">
        <v>2359</v>
      </c>
    </row>
    <row r="4304" customFormat="false" ht="14.25" hidden="true" customHeight="false" outlineLevel="0" collapsed="false">
      <c r="A4304" s="49" t="s">
        <v>2349</v>
      </c>
      <c r="B4304" s="49" t="s">
        <v>2350</v>
      </c>
      <c r="C4304" s="49" t="s">
        <v>8218</v>
      </c>
      <c r="D4304" s="49" t="s">
        <v>2352</v>
      </c>
      <c r="E4304" s="49" t="str">
        <f aca="false">"5060175134813"</f>
        <v>5060175134813</v>
      </c>
      <c r="F4304" s="49" t="s">
        <v>8219</v>
      </c>
      <c r="G4304" s="49" t="n">
        <v>0</v>
      </c>
      <c r="H4304" s="0" t="n">
        <v>0</v>
      </c>
      <c r="M4304" s="51" t="s">
        <v>8216</v>
      </c>
      <c r="N4304" s="49" t="n">
        <v>0</v>
      </c>
      <c r="O4304" s="53" t="n">
        <v>45796.5871643519</v>
      </c>
      <c r="P4304" s="53" t="n">
        <v>45823.7363310185</v>
      </c>
      <c r="Q4304" s="53" t="n">
        <v>45796.5871643519</v>
      </c>
      <c r="R4304" s="0" t="n">
        <v>0</v>
      </c>
      <c r="S4304" s="51" t="s">
        <v>2383</v>
      </c>
      <c r="T4304" s="51" t="s">
        <v>2383</v>
      </c>
      <c r="U4304" s="0" t="str">
        <f aca="false">"5060175134813"</f>
        <v>5060175134813</v>
      </c>
      <c r="V4304" s="51" t="s">
        <v>2365</v>
      </c>
      <c r="W4304" s="51" t="s">
        <v>6025</v>
      </c>
      <c r="X4304" s="51" t="s">
        <v>2359</v>
      </c>
    </row>
    <row r="4305" customFormat="false" ht="14.25" hidden="true" customHeight="false" outlineLevel="0" collapsed="false">
      <c r="A4305" s="49" t="s">
        <v>2349</v>
      </c>
      <c r="B4305" s="49" t="s">
        <v>2350</v>
      </c>
      <c r="C4305" s="49" t="s">
        <v>8220</v>
      </c>
      <c r="D4305" s="49" t="s">
        <v>2352</v>
      </c>
      <c r="E4305" s="49" t="str">
        <f aca="false">"5060175134813"</f>
        <v>5060175134813</v>
      </c>
      <c r="F4305" s="49" t="s">
        <v>8219</v>
      </c>
      <c r="G4305" s="49" t="n">
        <v>0</v>
      </c>
      <c r="H4305" s="0" t="n">
        <v>0</v>
      </c>
      <c r="M4305" s="51" t="s">
        <v>8216</v>
      </c>
      <c r="N4305" s="49" t="n">
        <v>0</v>
      </c>
      <c r="O4305" s="53" t="n">
        <v>45796.5876273148</v>
      </c>
      <c r="P4305" s="53" t="n">
        <v>45801.5782291667</v>
      </c>
      <c r="Q4305" s="53" t="n">
        <v>45796.5876273148</v>
      </c>
      <c r="R4305" s="0" t="n">
        <v>0</v>
      </c>
      <c r="S4305" s="51" t="s">
        <v>2383</v>
      </c>
      <c r="T4305" s="51" t="s">
        <v>2383</v>
      </c>
      <c r="U4305" s="0" t="str">
        <f aca="false">"5060175134813"</f>
        <v>5060175134813</v>
      </c>
      <c r="V4305" s="51" t="s">
        <v>2365</v>
      </c>
      <c r="W4305" s="51" t="s">
        <v>5361</v>
      </c>
      <c r="X4305" s="51" t="s">
        <v>2359</v>
      </c>
    </row>
    <row r="4306" customFormat="false" ht="14.25" hidden="true" customHeight="false" outlineLevel="0" collapsed="false">
      <c r="A4306" s="49" t="s">
        <v>2349</v>
      </c>
      <c r="B4306" s="49" t="s">
        <v>2350</v>
      </c>
      <c r="C4306" s="49" t="s">
        <v>8221</v>
      </c>
      <c r="D4306" s="49" t="s">
        <v>2352</v>
      </c>
      <c r="E4306" s="49" t="str">
        <f aca="false">"5060175135957"</f>
        <v>5060175135957</v>
      </c>
      <c r="F4306" s="49" t="s">
        <v>8222</v>
      </c>
      <c r="G4306" s="49" t="n">
        <v>0</v>
      </c>
      <c r="H4306" s="0" t="n">
        <v>0</v>
      </c>
      <c r="M4306" s="51" t="s">
        <v>8216</v>
      </c>
      <c r="N4306" s="49" t="n">
        <v>0</v>
      </c>
      <c r="O4306" s="53" t="n">
        <v>45796.5887731482</v>
      </c>
      <c r="P4306" s="53" t="n">
        <v>45801.5823032407</v>
      </c>
      <c r="Q4306" s="53" t="n">
        <v>45796.5887731482</v>
      </c>
      <c r="R4306" s="0" t="n">
        <v>0</v>
      </c>
      <c r="S4306" s="51" t="s">
        <v>2383</v>
      </c>
      <c r="T4306" s="51" t="s">
        <v>2383</v>
      </c>
      <c r="U4306" s="0" t="str">
        <f aca="false">"5060175135957"</f>
        <v>5060175135957</v>
      </c>
      <c r="V4306" s="51" t="s">
        <v>2365</v>
      </c>
      <c r="W4306" s="51" t="s">
        <v>6393</v>
      </c>
      <c r="X4306" s="51" t="s">
        <v>2359</v>
      </c>
    </row>
    <row r="4307" customFormat="false" ht="14.25" hidden="true" customHeight="false" outlineLevel="0" collapsed="false">
      <c r="A4307" s="49" t="s">
        <v>2349</v>
      </c>
      <c r="B4307" s="49" t="s">
        <v>2350</v>
      </c>
      <c r="C4307" s="49" t="s">
        <v>8223</v>
      </c>
      <c r="D4307" s="49" t="s">
        <v>2352</v>
      </c>
      <c r="E4307" s="49" t="str">
        <f aca="false">"5060175133144"</f>
        <v>5060175133144</v>
      </c>
      <c r="F4307" s="49" t="s">
        <v>7700</v>
      </c>
      <c r="G4307" s="49" t="n">
        <v>0</v>
      </c>
      <c r="H4307" s="0" t="n">
        <v>0</v>
      </c>
      <c r="M4307" s="51" t="s">
        <v>8216</v>
      </c>
      <c r="N4307" s="49" t="n">
        <v>0</v>
      </c>
      <c r="O4307" s="53" t="n">
        <v>45796.5917476852</v>
      </c>
      <c r="P4307" s="53" t="n">
        <v>45801.5977777778</v>
      </c>
      <c r="Q4307" s="53" t="n">
        <v>45796.5917476852</v>
      </c>
      <c r="R4307" s="0" t="n">
        <v>0</v>
      </c>
      <c r="S4307" s="51" t="s">
        <v>2383</v>
      </c>
      <c r="T4307" s="51" t="s">
        <v>2383</v>
      </c>
      <c r="U4307" s="0" t="str">
        <f aca="false">"5060175133144"</f>
        <v>5060175133144</v>
      </c>
      <c r="V4307" s="51" t="s">
        <v>2365</v>
      </c>
      <c r="W4307" s="51" t="s">
        <v>8224</v>
      </c>
      <c r="X4307" s="51" t="s">
        <v>2359</v>
      </c>
    </row>
    <row r="4308" customFormat="false" ht="14.25" hidden="true" customHeight="false" outlineLevel="0" collapsed="false">
      <c r="A4308" s="49" t="s">
        <v>2349</v>
      </c>
      <c r="B4308" s="49" t="s">
        <v>2350</v>
      </c>
      <c r="C4308" s="49" t="s">
        <v>8225</v>
      </c>
      <c r="D4308" s="49" t="s">
        <v>2352</v>
      </c>
      <c r="E4308" s="49" t="s">
        <v>4351</v>
      </c>
      <c r="F4308" s="49" t="s">
        <v>4352</v>
      </c>
      <c r="G4308" s="49" t="n">
        <v>0</v>
      </c>
      <c r="H4308" s="0" t="n">
        <v>0</v>
      </c>
      <c r="M4308" s="51" t="s">
        <v>8226</v>
      </c>
      <c r="N4308" s="49" t="n">
        <v>0</v>
      </c>
      <c r="O4308" s="53" t="n">
        <v>45798.4000347222</v>
      </c>
      <c r="P4308" s="53" t="n">
        <v>45809.4657175926</v>
      </c>
      <c r="Q4308" s="53" t="n">
        <v>45798.4000347222</v>
      </c>
      <c r="R4308" s="0" t="n">
        <v>0</v>
      </c>
      <c r="S4308" s="51" t="s">
        <v>2356</v>
      </c>
      <c r="T4308" s="51" t="s">
        <v>2356</v>
      </c>
      <c r="U4308" s="51" t="s">
        <v>4351</v>
      </c>
      <c r="V4308" s="51" t="s">
        <v>2365</v>
      </c>
      <c r="W4308" s="51" t="s">
        <v>4357</v>
      </c>
      <c r="X4308" s="51" t="s">
        <v>2359</v>
      </c>
    </row>
    <row r="4309" customFormat="false" ht="14.25" hidden="true" customHeight="false" outlineLevel="0" collapsed="false">
      <c r="A4309" s="49" t="s">
        <v>2349</v>
      </c>
      <c r="B4309" s="49" t="s">
        <v>2350</v>
      </c>
      <c r="C4309" s="49" t="s">
        <v>8227</v>
      </c>
      <c r="D4309" s="49" t="s">
        <v>2352</v>
      </c>
      <c r="E4309" s="49" t="s">
        <v>4351</v>
      </c>
      <c r="F4309" s="49" t="s">
        <v>4352</v>
      </c>
      <c r="G4309" s="49" t="n">
        <v>0</v>
      </c>
      <c r="H4309" s="0" t="n">
        <v>0</v>
      </c>
      <c r="M4309" s="51" t="s">
        <v>8226</v>
      </c>
      <c r="N4309" s="49" t="n">
        <v>0</v>
      </c>
      <c r="O4309" s="53" t="n">
        <v>45798.4006481482</v>
      </c>
      <c r="P4309" s="53" t="n">
        <v>45801.5601157407</v>
      </c>
      <c r="Q4309" s="53" t="n">
        <v>45798.4006481482</v>
      </c>
      <c r="R4309" s="0" t="n">
        <v>0</v>
      </c>
      <c r="S4309" s="51" t="s">
        <v>2356</v>
      </c>
      <c r="T4309" s="51" t="s">
        <v>2356</v>
      </c>
      <c r="U4309" s="51" t="s">
        <v>4351</v>
      </c>
      <c r="V4309" s="51" t="s">
        <v>2365</v>
      </c>
      <c r="W4309" s="51" t="s">
        <v>5748</v>
      </c>
      <c r="X4309" s="51" t="s">
        <v>2359</v>
      </c>
    </row>
    <row r="4310" customFormat="false" ht="14.25" hidden="true" customHeight="false" outlineLevel="0" collapsed="false">
      <c r="A4310" s="49" t="s">
        <v>2349</v>
      </c>
      <c r="B4310" s="49" t="s">
        <v>2350</v>
      </c>
      <c r="C4310" s="49" t="s">
        <v>8228</v>
      </c>
      <c r="D4310" s="49" t="s">
        <v>2352</v>
      </c>
      <c r="E4310" s="49" t="s">
        <v>4351</v>
      </c>
      <c r="F4310" s="49" t="s">
        <v>4352</v>
      </c>
      <c r="G4310" s="49" t="n">
        <v>0</v>
      </c>
      <c r="H4310" s="0" t="n">
        <v>0</v>
      </c>
      <c r="M4310" s="51" t="s">
        <v>8226</v>
      </c>
      <c r="N4310" s="49" t="n">
        <v>0</v>
      </c>
      <c r="O4310" s="53" t="n">
        <v>45798.4008796296</v>
      </c>
      <c r="P4310" s="53" t="n">
        <v>45801.5603009259</v>
      </c>
      <c r="Q4310" s="53" t="n">
        <v>45798.4008796296</v>
      </c>
      <c r="R4310" s="0" t="n">
        <v>0</v>
      </c>
      <c r="S4310" s="51" t="s">
        <v>2356</v>
      </c>
      <c r="T4310" s="51" t="s">
        <v>2356</v>
      </c>
      <c r="U4310" s="51" t="s">
        <v>4351</v>
      </c>
      <c r="V4310" s="51" t="s">
        <v>2365</v>
      </c>
      <c r="W4310" s="51" t="s">
        <v>8229</v>
      </c>
      <c r="X4310" s="51" t="s">
        <v>2359</v>
      </c>
    </row>
    <row r="4311" customFormat="false" ht="14.25" hidden="true" customHeight="false" outlineLevel="0" collapsed="false">
      <c r="A4311" s="49" t="s">
        <v>2349</v>
      </c>
      <c r="B4311" s="49" t="s">
        <v>2350</v>
      </c>
      <c r="C4311" s="49" t="s">
        <v>8230</v>
      </c>
      <c r="D4311" s="49" t="s">
        <v>2352</v>
      </c>
      <c r="E4311" s="49" t="s">
        <v>4351</v>
      </c>
      <c r="F4311" s="49" t="s">
        <v>4352</v>
      </c>
      <c r="G4311" s="49" t="n">
        <v>0</v>
      </c>
      <c r="H4311" s="0" t="n">
        <v>0</v>
      </c>
      <c r="M4311" s="51" t="s">
        <v>8226</v>
      </c>
      <c r="N4311" s="49" t="n">
        <v>0</v>
      </c>
      <c r="O4311" s="53" t="n">
        <v>45798.401099537</v>
      </c>
      <c r="P4311" s="53" t="n">
        <v>45802.425162037</v>
      </c>
      <c r="Q4311" s="53" t="n">
        <v>45798.401099537</v>
      </c>
      <c r="R4311" s="0" t="n">
        <v>0</v>
      </c>
      <c r="S4311" s="51" t="s">
        <v>2356</v>
      </c>
      <c r="T4311" s="51" t="s">
        <v>2356</v>
      </c>
      <c r="U4311" s="51" t="s">
        <v>4351</v>
      </c>
      <c r="V4311" s="51" t="s">
        <v>2365</v>
      </c>
      <c r="W4311" s="51" t="s">
        <v>5147</v>
      </c>
      <c r="X4311" s="51" t="s">
        <v>2359</v>
      </c>
    </row>
    <row r="4312" customFormat="false" ht="14.25" hidden="true" customHeight="false" outlineLevel="0" collapsed="false">
      <c r="A4312" s="49" t="s">
        <v>2349</v>
      </c>
      <c r="B4312" s="49" t="s">
        <v>2350</v>
      </c>
      <c r="C4312" s="49" t="s">
        <v>8231</v>
      </c>
      <c r="D4312" s="49" t="s">
        <v>2352</v>
      </c>
      <c r="E4312" s="49" t="s">
        <v>4351</v>
      </c>
      <c r="F4312" s="49" t="s">
        <v>4352</v>
      </c>
      <c r="G4312" s="49" t="n">
        <v>0</v>
      </c>
      <c r="H4312" s="0" t="n">
        <v>0</v>
      </c>
      <c r="M4312" s="51" t="s">
        <v>8226</v>
      </c>
      <c r="N4312" s="49" t="n">
        <v>0</v>
      </c>
      <c r="O4312" s="53" t="n">
        <v>45798.4012962963</v>
      </c>
      <c r="P4312" s="53" t="n">
        <v>45802.4253009259</v>
      </c>
      <c r="Q4312" s="53" t="n">
        <v>45798.4012962963</v>
      </c>
      <c r="R4312" s="0" t="n">
        <v>0</v>
      </c>
      <c r="S4312" s="51" t="s">
        <v>2356</v>
      </c>
      <c r="T4312" s="51" t="s">
        <v>2356</v>
      </c>
      <c r="U4312" s="51" t="s">
        <v>4351</v>
      </c>
      <c r="V4312" s="51" t="s">
        <v>2365</v>
      </c>
      <c r="W4312" s="51" t="s">
        <v>7661</v>
      </c>
      <c r="X4312" s="51" t="s">
        <v>2359</v>
      </c>
    </row>
    <row r="4313" customFormat="false" ht="14.25" hidden="true" customHeight="false" outlineLevel="0" collapsed="false">
      <c r="A4313" s="49" t="s">
        <v>2349</v>
      </c>
      <c r="B4313" s="49" t="s">
        <v>2350</v>
      </c>
      <c r="C4313" s="49" t="s">
        <v>8232</v>
      </c>
      <c r="D4313" s="49" t="s">
        <v>2352</v>
      </c>
      <c r="E4313" s="49" t="s">
        <v>4351</v>
      </c>
      <c r="F4313" s="49" t="s">
        <v>4352</v>
      </c>
      <c r="G4313" s="49" t="n">
        <v>0</v>
      </c>
      <c r="H4313" s="0" t="n">
        <v>0</v>
      </c>
      <c r="M4313" s="51" t="s">
        <v>8226</v>
      </c>
      <c r="N4313" s="49" t="n">
        <v>0</v>
      </c>
      <c r="O4313" s="53" t="n">
        <v>45798.4015046296</v>
      </c>
      <c r="P4313" s="53" t="n">
        <v>45802.629224537</v>
      </c>
      <c r="Q4313" s="53" t="n">
        <v>45798.4015046296</v>
      </c>
      <c r="R4313" s="0" t="n">
        <v>0</v>
      </c>
      <c r="S4313" s="51" t="s">
        <v>2356</v>
      </c>
      <c r="T4313" s="51" t="s">
        <v>2356</v>
      </c>
      <c r="U4313" s="51" t="s">
        <v>4351</v>
      </c>
      <c r="V4313" s="51" t="s">
        <v>2365</v>
      </c>
      <c r="W4313" s="51" t="s">
        <v>4586</v>
      </c>
      <c r="X4313" s="51" t="s">
        <v>2359</v>
      </c>
    </row>
    <row r="4314" customFormat="false" ht="14.25" hidden="true" customHeight="false" outlineLevel="0" collapsed="false">
      <c r="A4314" s="49" t="s">
        <v>2349</v>
      </c>
      <c r="B4314" s="49" t="s">
        <v>2350</v>
      </c>
      <c r="C4314" s="49" t="s">
        <v>8233</v>
      </c>
      <c r="D4314" s="49" t="s">
        <v>2352</v>
      </c>
      <c r="E4314" s="49" t="s">
        <v>4351</v>
      </c>
      <c r="F4314" s="49" t="s">
        <v>4352</v>
      </c>
      <c r="G4314" s="49" t="n">
        <v>0</v>
      </c>
      <c r="H4314" s="0" t="n">
        <v>0</v>
      </c>
      <c r="M4314" s="51" t="s">
        <v>8226</v>
      </c>
      <c r="N4314" s="49" t="n">
        <v>0</v>
      </c>
      <c r="O4314" s="53" t="n">
        <v>45798.401724537</v>
      </c>
      <c r="P4314" s="53" t="n">
        <v>45802.6292939815</v>
      </c>
      <c r="Q4314" s="53" t="n">
        <v>45798.401724537</v>
      </c>
      <c r="R4314" s="0" t="n">
        <v>0</v>
      </c>
      <c r="S4314" s="51" t="s">
        <v>2356</v>
      </c>
      <c r="T4314" s="51" t="s">
        <v>2356</v>
      </c>
      <c r="U4314" s="51" t="s">
        <v>4351</v>
      </c>
      <c r="V4314" s="51" t="s">
        <v>2365</v>
      </c>
      <c r="W4314" s="51" t="s">
        <v>4126</v>
      </c>
      <c r="X4314" s="51" t="s">
        <v>2359</v>
      </c>
    </row>
    <row r="4315" customFormat="false" ht="14.25" hidden="true" customHeight="false" outlineLevel="0" collapsed="false">
      <c r="A4315" s="49" t="s">
        <v>2349</v>
      </c>
      <c r="B4315" s="49" t="s">
        <v>2350</v>
      </c>
      <c r="C4315" s="49" t="s">
        <v>8234</v>
      </c>
      <c r="D4315" s="49" t="s">
        <v>2352</v>
      </c>
      <c r="E4315" s="49" t="s">
        <v>4351</v>
      </c>
      <c r="F4315" s="49" t="s">
        <v>4352</v>
      </c>
      <c r="G4315" s="49" t="n">
        <v>0</v>
      </c>
      <c r="H4315" s="0" t="n">
        <v>0</v>
      </c>
      <c r="M4315" s="51" t="s">
        <v>8226</v>
      </c>
      <c r="N4315" s="49" t="n">
        <v>0</v>
      </c>
      <c r="O4315" s="53" t="n">
        <v>45798.4020138889</v>
      </c>
      <c r="P4315" s="53" t="n">
        <v>45802.6293865741</v>
      </c>
      <c r="Q4315" s="53" t="n">
        <v>45798.4020138889</v>
      </c>
      <c r="R4315" s="0" t="n">
        <v>0</v>
      </c>
      <c r="S4315" s="51" t="s">
        <v>2356</v>
      </c>
      <c r="T4315" s="51" t="s">
        <v>2356</v>
      </c>
      <c r="U4315" s="51" t="s">
        <v>4351</v>
      </c>
      <c r="V4315" s="51" t="s">
        <v>2365</v>
      </c>
      <c r="W4315" s="51" t="s">
        <v>3764</v>
      </c>
      <c r="X4315" s="51" t="s">
        <v>2359</v>
      </c>
    </row>
    <row r="4316" customFormat="false" ht="14.25" hidden="true" customHeight="false" outlineLevel="0" collapsed="false">
      <c r="A4316" s="49" t="s">
        <v>2349</v>
      </c>
      <c r="B4316" s="49" t="s">
        <v>2350</v>
      </c>
      <c r="C4316" s="49" t="s">
        <v>8235</v>
      </c>
      <c r="D4316" s="49" t="s">
        <v>2352</v>
      </c>
      <c r="E4316" s="49" t="s">
        <v>4351</v>
      </c>
      <c r="F4316" s="49" t="s">
        <v>4352</v>
      </c>
      <c r="G4316" s="49" t="n">
        <v>0</v>
      </c>
      <c r="H4316" s="0" t="n">
        <v>0</v>
      </c>
      <c r="M4316" s="51" t="s">
        <v>8226</v>
      </c>
      <c r="N4316" s="49" t="n">
        <v>0</v>
      </c>
      <c r="O4316" s="53" t="n">
        <v>45798.4021990741</v>
      </c>
      <c r="P4316" s="53" t="n">
        <v>45808.5199305556</v>
      </c>
      <c r="Q4316" s="53" t="n">
        <v>45798.4021990741</v>
      </c>
      <c r="R4316" s="0" t="n">
        <v>0</v>
      </c>
      <c r="S4316" s="51" t="s">
        <v>2356</v>
      </c>
      <c r="T4316" s="51" t="s">
        <v>2356</v>
      </c>
      <c r="U4316" s="51" t="s">
        <v>4351</v>
      </c>
      <c r="V4316" s="51" t="s">
        <v>2365</v>
      </c>
      <c r="W4316" s="51" t="s">
        <v>3749</v>
      </c>
      <c r="X4316" s="51" t="s">
        <v>2359</v>
      </c>
    </row>
    <row r="4317" customFormat="false" ht="14.25" hidden="true" customHeight="false" outlineLevel="0" collapsed="false">
      <c r="A4317" s="49" t="s">
        <v>2349</v>
      </c>
      <c r="B4317" s="49" t="s">
        <v>2350</v>
      </c>
      <c r="C4317" s="49" t="s">
        <v>8236</v>
      </c>
      <c r="D4317" s="49" t="s">
        <v>2352</v>
      </c>
      <c r="E4317" s="49" t="s">
        <v>4351</v>
      </c>
      <c r="F4317" s="49" t="s">
        <v>4352</v>
      </c>
      <c r="G4317" s="49" t="n">
        <v>0</v>
      </c>
      <c r="H4317" s="0" t="n">
        <v>0</v>
      </c>
      <c r="M4317" s="51" t="s">
        <v>8226</v>
      </c>
      <c r="N4317" s="49" t="n">
        <v>0</v>
      </c>
      <c r="O4317" s="53" t="n">
        <v>45798.4024305556</v>
      </c>
      <c r="P4317" s="53" t="n">
        <v>45804.5355787037</v>
      </c>
      <c r="Q4317" s="53" t="n">
        <v>45798.4024305556</v>
      </c>
      <c r="R4317" s="0" t="n">
        <v>0</v>
      </c>
      <c r="S4317" s="51" t="s">
        <v>2356</v>
      </c>
      <c r="T4317" s="51" t="s">
        <v>2356</v>
      </c>
      <c r="U4317" s="51" t="s">
        <v>4351</v>
      </c>
      <c r="V4317" s="51" t="s">
        <v>2365</v>
      </c>
      <c r="W4317" s="51" t="s">
        <v>3754</v>
      </c>
      <c r="X4317" s="51" t="s">
        <v>2359</v>
      </c>
    </row>
    <row r="4318" customFormat="false" ht="14.25" hidden="true" customHeight="false" outlineLevel="0" collapsed="false">
      <c r="A4318" s="49" t="s">
        <v>2349</v>
      </c>
      <c r="B4318" s="49" t="s">
        <v>2350</v>
      </c>
      <c r="C4318" s="49" t="s">
        <v>8237</v>
      </c>
      <c r="D4318" s="49" t="s">
        <v>2352</v>
      </c>
      <c r="E4318" s="49" t="s">
        <v>4351</v>
      </c>
      <c r="F4318" s="49" t="s">
        <v>4352</v>
      </c>
      <c r="G4318" s="49" t="n">
        <v>0</v>
      </c>
      <c r="H4318" s="0" t="n">
        <v>0</v>
      </c>
      <c r="M4318" s="51" t="s">
        <v>8226</v>
      </c>
      <c r="N4318" s="49" t="n">
        <v>0</v>
      </c>
      <c r="O4318" s="53" t="n">
        <v>45798.4026273148</v>
      </c>
      <c r="P4318" s="53" t="n">
        <v>45802.6296412037</v>
      </c>
      <c r="Q4318" s="53" t="n">
        <v>45798.4026273148</v>
      </c>
      <c r="R4318" s="0" t="n">
        <v>0</v>
      </c>
      <c r="S4318" s="51" t="s">
        <v>2356</v>
      </c>
      <c r="T4318" s="51" t="s">
        <v>2356</v>
      </c>
      <c r="U4318" s="51" t="s">
        <v>4351</v>
      </c>
      <c r="V4318" s="51" t="s">
        <v>2365</v>
      </c>
      <c r="W4318" s="51" t="s">
        <v>4588</v>
      </c>
      <c r="X4318" s="51" t="s">
        <v>2359</v>
      </c>
    </row>
    <row r="4319" customFormat="false" ht="14.25" hidden="true" customHeight="false" outlineLevel="0" collapsed="false">
      <c r="A4319" s="49" t="s">
        <v>2349</v>
      </c>
      <c r="B4319" s="49" t="s">
        <v>2350</v>
      </c>
      <c r="C4319" s="49" t="s">
        <v>8238</v>
      </c>
      <c r="D4319" s="49" t="s">
        <v>2352</v>
      </c>
      <c r="E4319" s="49" t="s">
        <v>4351</v>
      </c>
      <c r="F4319" s="49" t="s">
        <v>4352</v>
      </c>
      <c r="G4319" s="49" t="n">
        <v>0</v>
      </c>
      <c r="H4319" s="0" t="n">
        <v>0</v>
      </c>
      <c r="M4319" s="51" t="s">
        <v>8226</v>
      </c>
      <c r="N4319" s="49" t="n">
        <v>0</v>
      </c>
      <c r="O4319" s="53" t="n">
        <v>45798.4027893519</v>
      </c>
      <c r="P4319" s="53" t="n">
        <v>45802.4249074074</v>
      </c>
      <c r="Q4319" s="53" t="n">
        <v>45798.4027893519</v>
      </c>
      <c r="R4319" s="0" t="n">
        <v>0</v>
      </c>
      <c r="S4319" s="51" t="s">
        <v>2356</v>
      </c>
      <c r="T4319" s="51" t="s">
        <v>2356</v>
      </c>
      <c r="U4319" s="51" t="s">
        <v>4351</v>
      </c>
      <c r="V4319" s="51" t="s">
        <v>2365</v>
      </c>
      <c r="W4319" s="51" t="s">
        <v>5968</v>
      </c>
      <c r="X4319" s="51" t="s">
        <v>2359</v>
      </c>
    </row>
    <row r="4320" customFormat="false" ht="14.25" hidden="true" customHeight="false" outlineLevel="0" collapsed="false">
      <c r="A4320" s="49" t="s">
        <v>2349</v>
      </c>
      <c r="B4320" s="49" t="s">
        <v>2350</v>
      </c>
      <c r="C4320" s="49" t="s">
        <v>8239</v>
      </c>
      <c r="D4320" s="49" t="s">
        <v>2352</v>
      </c>
      <c r="E4320" s="49" t="s">
        <v>4351</v>
      </c>
      <c r="F4320" s="49" t="s">
        <v>4352</v>
      </c>
      <c r="G4320" s="49" t="n">
        <v>0</v>
      </c>
      <c r="H4320" s="0" t="n">
        <v>0</v>
      </c>
      <c r="M4320" s="51" t="s">
        <v>8226</v>
      </c>
      <c r="N4320" s="49" t="n">
        <v>0</v>
      </c>
      <c r="O4320" s="53" t="n">
        <v>45798.4031018519</v>
      </c>
      <c r="P4320" s="53" t="n">
        <v>45802.6291319444</v>
      </c>
      <c r="Q4320" s="53" t="n">
        <v>45798.4031018519</v>
      </c>
      <c r="R4320" s="0" t="n">
        <v>0</v>
      </c>
      <c r="S4320" s="51" t="s">
        <v>2356</v>
      </c>
      <c r="T4320" s="51" t="s">
        <v>2356</v>
      </c>
      <c r="U4320" s="51" t="s">
        <v>4351</v>
      </c>
      <c r="V4320" s="51" t="s">
        <v>2365</v>
      </c>
      <c r="W4320" s="51" t="s">
        <v>4792</v>
      </c>
      <c r="X4320" s="51" t="s">
        <v>2359</v>
      </c>
    </row>
    <row r="4321" customFormat="false" ht="14.25" hidden="true" customHeight="false" outlineLevel="0" collapsed="false">
      <c r="A4321" s="49" t="s">
        <v>2349</v>
      </c>
      <c r="B4321" s="49" t="s">
        <v>2350</v>
      </c>
      <c r="C4321" s="49" t="s">
        <v>8240</v>
      </c>
      <c r="D4321" s="49" t="s">
        <v>2352</v>
      </c>
      <c r="E4321" s="49" t="s">
        <v>4351</v>
      </c>
      <c r="F4321" s="49" t="s">
        <v>4352</v>
      </c>
      <c r="G4321" s="49" t="n">
        <v>0</v>
      </c>
      <c r="H4321" s="0" t="n">
        <v>0</v>
      </c>
      <c r="M4321" s="51" t="s">
        <v>8226</v>
      </c>
      <c r="N4321" s="49" t="n">
        <v>0</v>
      </c>
      <c r="O4321" s="53" t="n">
        <v>45798.4033333333</v>
      </c>
      <c r="P4321" s="53" t="n">
        <v>45802.6294675926</v>
      </c>
      <c r="Q4321" s="53" t="n">
        <v>45798.4033333333</v>
      </c>
      <c r="R4321" s="0" t="n">
        <v>0</v>
      </c>
      <c r="S4321" s="51" t="s">
        <v>2356</v>
      </c>
      <c r="T4321" s="51" t="s">
        <v>2356</v>
      </c>
      <c r="U4321" s="51" t="s">
        <v>4351</v>
      </c>
      <c r="V4321" s="51" t="s">
        <v>2365</v>
      </c>
      <c r="W4321" s="51" t="s">
        <v>7688</v>
      </c>
      <c r="X4321" s="51" t="s">
        <v>2359</v>
      </c>
    </row>
    <row r="4322" customFormat="false" ht="14.25" hidden="true" customHeight="false" outlineLevel="0" collapsed="false">
      <c r="A4322" s="49" t="s">
        <v>2349</v>
      </c>
      <c r="B4322" s="49" t="s">
        <v>2350</v>
      </c>
      <c r="C4322" s="49" t="s">
        <v>8241</v>
      </c>
      <c r="D4322" s="49" t="s">
        <v>2352</v>
      </c>
      <c r="E4322" s="49" t="s">
        <v>4351</v>
      </c>
      <c r="F4322" s="49" t="s">
        <v>4352</v>
      </c>
      <c r="G4322" s="49" t="n">
        <v>0</v>
      </c>
      <c r="H4322" s="0" t="n">
        <v>0</v>
      </c>
      <c r="M4322" s="51" t="s">
        <v>8226</v>
      </c>
      <c r="N4322" s="49" t="n">
        <v>0</v>
      </c>
      <c r="O4322" s="53" t="n">
        <v>45798.4034837963</v>
      </c>
      <c r="P4322" s="53" t="n">
        <v>45802.6295486111</v>
      </c>
      <c r="Q4322" s="53" t="n">
        <v>45798.4034837963</v>
      </c>
      <c r="R4322" s="0" t="n">
        <v>0</v>
      </c>
      <c r="S4322" s="51" t="s">
        <v>2356</v>
      </c>
      <c r="T4322" s="51" t="s">
        <v>2356</v>
      </c>
      <c r="U4322" s="51" t="s">
        <v>4351</v>
      </c>
      <c r="V4322" s="51" t="s">
        <v>2365</v>
      </c>
      <c r="W4322" s="51" t="s">
        <v>6817</v>
      </c>
      <c r="X4322" s="51" t="s">
        <v>2359</v>
      </c>
    </row>
    <row r="4323" customFormat="false" ht="14.25" hidden="true" customHeight="false" outlineLevel="0" collapsed="false">
      <c r="A4323" s="49" t="s">
        <v>2349</v>
      </c>
      <c r="B4323" s="49" t="s">
        <v>2350</v>
      </c>
      <c r="C4323" s="49" t="s">
        <v>8242</v>
      </c>
      <c r="D4323" s="49" t="s">
        <v>2352</v>
      </c>
      <c r="E4323" s="49" t="s">
        <v>4351</v>
      </c>
      <c r="F4323" s="49" t="s">
        <v>4352</v>
      </c>
      <c r="G4323" s="49" t="n">
        <v>0</v>
      </c>
      <c r="H4323" s="0" t="n">
        <v>0</v>
      </c>
      <c r="M4323" s="51" t="s">
        <v>8226</v>
      </c>
      <c r="N4323" s="49" t="n">
        <v>0</v>
      </c>
      <c r="O4323" s="53" t="n">
        <v>45798.4037037037</v>
      </c>
      <c r="P4323" s="53" t="n">
        <v>45805.5244791667</v>
      </c>
      <c r="Q4323" s="53" t="n">
        <v>45798.4037037037</v>
      </c>
      <c r="R4323" s="0" t="n">
        <v>0</v>
      </c>
      <c r="S4323" s="51" t="s">
        <v>2356</v>
      </c>
      <c r="T4323" s="51" t="s">
        <v>2356</v>
      </c>
      <c r="U4323" s="51" t="s">
        <v>4351</v>
      </c>
      <c r="V4323" s="51" t="s">
        <v>2365</v>
      </c>
      <c r="W4323" s="51" t="s">
        <v>8243</v>
      </c>
      <c r="X4323" s="51" t="s">
        <v>2359</v>
      </c>
    </row>
    <row r="4324" customFormat="false" ht="14.25" hidden="true" customHeight="false" outlineLevel="0" collapsed="false">
      <c r="A4324" s="49" t="s">
        <v>2349</v>
      </c>
      <c r="B4324" s="49" t="s">
        <v>2350</v>
      </c>
      <c r="C4324" s="49" t="s">
        <v>8244</v>
      </c>
      <c r="D4324" s="49" t="s">
        <v>2352</v>
      </c>
      <c r="E4324" s="49" t="s">
        <v>4351</v>
      </c>
      <c r="F4324" s="49" t="s">
        <v>4352</v>
      </c>
      <c r="G4324" s="49" t="n">
        <v>0</v>
      </c>
      <c r="H4324" s="0" t="n">
        <v>0</v>
      </c>
      <c r="M4324" s="51" t="s">
        <v>8226</v>
      </c>
      <c r="N4324" s="49" t="n">
        <v>0</v>
      </c>
      <c r="O4324" s="53" t="n">
        <v>45798.4038425926</v>
      </c>
      <c r="P4324" s="53" t="n">
        <v>45805.5221875</v>
      </c>
      <c r="Q4324" s="53" t="n">
        <v>45798.4038425926</v>
      </c>
      <c r="R4324" s="0" t="n">
        <v>0</v>
      </c>
      <c r="S4324" s="51" t="s">
        <v>2356</v>
      </c>
      <c r="T4324" s="51" t="s">
        <v>2356</v>
      </c>
      <c r="U4324" s="51" t="s">
        <v>4351</v>
      </c>
      <c r="V4324" s="51" t="s">
        <v>2365</v>
      </c>
      <c r="W4324" s="51" t="s">
        <v>4931</v>
      </c>
      <c r="X4324" s="51" t="s">
        <v>2359</v>
      </c>
    </row>
    <row r="4325" customFormat="false" ht="14.25" hidden="true" customHeight="false" outlineLevel="0" collapsed="false">
      <c r="A4325" s="49" t="s">
        <v>2349</v>
      </c>
      <c r="B4325" s="49" t="s">
        <v>2350</v>
      </c>
      <c r="C4325" s="49" t="s">
        <v>8245</v>
      </c>
      <c r="D4325" s="49" t="s">
        <v>2352</v>
      </c>
      <c r="E4325" s="49" t="s">
        <v>4351</v>
      </c>
      <c r="F4325" s="49" t="s">
        <v>4352</v>
      </c>
      <c r="G4325" s="49" t="n">
        <v>0</v>
      </c>
      <c r="H4325" s="0" t="n">
        <v>0</v>
      </c>
      <c r="M4325" s="51" t="s">
        <v>8226</v>
      </c>
      <c r="N4325" s="49" t="n">
        <v>0</v>
      </c>
      <c r="O4325" s="53" t="n">
        <v>45798.4040393519</v>
      </c>
      <c r="P4325" s="53" t="n">
        <v>45804.5357407407</v>
      </c>
      <c r="Q4325" s="53" t="n">
        <v>45798.4040393519</v>
      </c>
      <c r="R4325" s="0" t="n">
        <v>0</v>
      </c>
      <c r="S4325" s="51" t="s">
        <v>2356</v>
      </c>
      <c r="T4325" s="51" t="s">
        <v>2356</v>
      </c>
      <c r="U4325" s="51" t="s">
        <v>4351</v>
      </c>
      <c r="V4325" s="51" t="s">
        <v>2365</v>
      </c>
      <c r="W4325" s="51" t="s">
        <v>4146</v>
      </c>
      <c r="X4325" s="51" t="s">
        <v>2359</v>
      </c>
    </row>
    <row r="4326" customFormat="false" ht="14.25" hidden="true" customHeight="false" outlineLevel="0" collapsed="false">
      <c r="A4326" s="49" t="s">
        <v>2349</v>
      </c>
      <c r="B4326" s="49" t="s">
        <v>2350</v>
      </c>
      <c r="C4326" s="49" t="s">
        <v>8246</v>
      </c>
      <c r="D4326" s="49" t="s">
        <v>2352</v>
      </c>
      <c r="E4326" s="49" t="s">
        <v>4351</v>
      </c>
      <c r="F4326" s="49" t="s">
        <v>4352</v>
      </c>
      <c r="G4326" s="49" t="n">
        <v>0</v>
      </c>
      <c r="H4326" s="0" t="n">
        <v>0</v>
      </c>
      <c r="M4326" s="51" t="s">
        <v>8226</v>
      </c>
      <c r="N4326" s="49" t="n">
        <v>0</v>
      </c>
      <c r="O4326" s="53" t="n">
        <v>45798.4041898148</v>
      </c>
      <c r="P4326" s="53" t="n">
        <v>45810.5652199074</v>
      </c>
      <c r="Q4326" s="53" t="n">
        <v>45798.4041898148</v>
      </c>
      <c r="R4326" s="0" t="n">
        <v>0</v>
      </c>
      <c r="S4326" s="51" t="s">
        <v>2356</v>
      </c>
      <c r="T4326" s="51" t="s">
        <v>2356</v>
      </c>
      <c r="U4326" s="51" t="s">
        <v>4351</v>
      </c>
      <c r="V4326" s="51" t="s">
        <v>2365</v>
      </c>
      <c r="W4326" s="51" t="s">
        <v>4020</v>
      </c>
      <c r="X4326" s="51" t="s">
        <v>2359</v>
      </c>
    </row>
    <row r="4327" customFormat="false" ht="14.25" hidden="true" customHeight="false" outlineLevel="0" collapsed="false">
      <c r="A4327" s="49" t="s">
        <v>2349</v>
      </c>
      <c r="B4327" s="49" t="s">
        <v>2350</v>
      </c>
      <c r="C4327" s="49" t="s">
        <v>8247</v>
      </c>
      <c r="D4327" s="49" t="s">
        <v>2352</v>
      </c>
      <c r="E4327" s="49" t="s">
        <v>4351</v>
      </c>
      <c r="F4327" s="49" t="s">
        <v>4352</v>
      </c>
      <c r="G4327" s="49" t="n">
        <v>0</v>
      </c>
      <c r="H4327" s="0" t="n">
        <v>0</v>
      </c>
      <c r="M4327" s="51" t="s">
        <v>8226</v>
      </c>
      <c r="N4327" s="49" t="n">
        <v>0</v>
      </c>
      <c r="O4327" s="53" t="n">
        <v>45798.4075925926</v>
      </c>
      <c r="P4327" s="53" t="n">
        <v>45801.4369560185</v>
      </c>
      <c r="Q4327" s="53" t="n">
        <v>45798.4075925926</v>
      </c>
      <c r="R4327" s="0" t="n">
        <v>0</v>
      </c>
      <c r="S4327" s="51" t="s">
        <v>2356</v>
      </c>
      <c r="T4327" s="51" t="s">
        <v>2356</v>
      </c>
      <c r="U4327" s="51" t="s">
        <v>4351</v>
      </c>
      <c r="V4327" s="51" t="s">
        <v>2365</v>
      </c>
      <c r="W4327" s="51" t="s">
        <v>5315</v>
      </c>
      <c r="X4327" s="51" t="s">
        <v>2359</v>
      </c>
    </row>
    <row r="4328" customFormat="false" ht="14.25" hidden="true" customHeight="false" outlineLevel="0" collapsed="false">
      <c r="A4328" s="49" t="s">
        <v>2349</v>
      </c>
      <c r="B4328" s="49" t="s">
        <v>2350</v>
      </c>
      <c r="C4328" s="49" t="s">
        <v>8248</v>
      </c>
      <c r="D4328" s="49" t="s">
        <v>2352</v>
      </c>
      <c r="E4328" s="49" t="s">
        <v>4351</v>
      </c>
      <c r="F4328" s="49" t="s">
        <v>4352</v>
      </c>
      <c r="G4328" s="49" t="n">
        <v>0</v>
      </c>
      <c r="H4328" s="0" t="n">
        <v>0</v>
      </c>
      <c r="M4328" s="51" t="s">
        <v>8226</v>
      </c>
      <c r="N4328" s="49" t="n">
        <v>0</v>
      </c>
      <c r="O4328" s="53" t="n">
        <v>45798.4078009259</v>
      </c>
      <c r="P4328" s="53" t="n">
        <v>45801.4366550926</v>
      </c>
      <c r="Q4328" s="53" t="n">
        <v>45798.4078009259</v>
      </c>
      <c r="R4328" s="0" t="n">
        <v>0</v>
      </c>
      <c r="S4328" s="51" t="s">
        <v>2356</v>
      </c>
      <c r="T4328" s="51" t="s">
        <v>2356</v>
      </c>
      <c r="U4328" s="51" t="s">
        <v>4351</v>
      </c>
      <c r="V4328" s="51" t="s">
        <v>2365</v>
      </c>
      <c r="W4328" s="51" t="s">
        <v>7428</v>
      </c>
      <c r="X4328" s="51" t="s">
        <v>2359</v>
      </c>
    </row>
    <row r="4329" customFormat="false" ht="14.25" hidden="true" customHeight="false" outlineLevel="0" collapsed="false">
      <c r="A4329" s="49" t="s">
        <v>2349</v>
      </c>
      <c r="B4329" s="49" t="s">
        <v>2350</v>
      </c>
      <c r="C4329" s="49" t="s">
        <v>8249</v>
      </c>
      <c r="D4329" s="49" t="s">
        <v>2352</v>
      </c>
      <c r="E4329" s="49" t="s">
        <v>4351</v>
      </c>
      <c r="F4329" s="49" t="s">
        <v>4352</v>
      </c>
      <c r="G4329" s="49" t="n">
        <v>0</v>
      </c>
      <c r="H4329" s="0" t="n">
        <v>0</v>
      </c>
      <c r="M4329" s="51" t="s">
        <v>8226</v>
      </c>
      <c r="N4329" s="49" t="n">
        <v>0</v>
      </c>
      <c r="O4329" s="53" t="n">
        <v>45798.407962963</v>
      </c>
      <c r="P4329" s="53" t="n">
        <v>45801.4367939815</v>
      </c>
      <c r="Q4329" s="53" t="n">
        <v>45798.407962963</v>
      </c>
      <c r="R4329" s="0" t="n">
        <v>0</v>
      </c>
      <c r="S4329" s="51" t="s">
        <v>2356</v>
      </c>
      <c r="T4329" s="51" t="s">
        <v>2356</v>
      </c>
      <c r="U4329" s="51" t="s">
        <v>4351</v>
      </c>
      <c r="V4329" s="51" t="s">
        <v>2365</v>
      </c>
      <c r="W4329" s="51" t="s">
        <v>4118</v>
      </c>
      <c r="X4329" s="51" t="s">
        <v>2359</v>
      </c>
    </row>
    <row r="4330" customFormat="false" ht="14.25" hidden="true" customHeight="false" outlineLevel="0" collapsed="false">
      <c r="A4330" s="49" t="s">
        <v>2349</v>
      </c>
      <c r="B4330" s="49" t="s">
        <v>2350</v>
      </c>
      <c r="C4330" s="49" t="s">
        <v>8250</v>
      </c>
      <c r="D4330" s="49" t="s">
        <v>2352</v>
      </c>
      <c r="E4330" s="49" t="s">
        <v>4351</v>
      </c>
      <c r="F4330" s="49" t="s">
        <v>4352</v>
      </c>
      <c r="G4330" s="49" t="n">
        <v>0</v>
      </c>
      <c r="H4330" s="0" t="n">
        <v>0</v>
      </c>
      <c r="M4330" s="51" t="s">
        <v>8226</v>
      </c>
      <c r="N4330" s="49" t="n">
        <v>0</v>
      </c>
      <c r="O4330" s="53" t="n">
        <v>45798.4065625</v>
      </c>
      <c r="P4330" s="53" t="n">
        <v>45802.6300115741</v>
      </c>
      <c r="Q4330" s="53" t="n">
        <v>45798.4065625</v>
      </c>
      <c r="R4330" s="0" t="n">
        <v>0</v>
      </c>
      <c r="S4330" s="51" t="s">
        <v>2356</v>
      </c>
      <c r="T4330" s="51" t="s">
        <v>2356</v>
      </c>
      <c r="U4330" s="51" t="s">
        <v>4351</v>
      </c>
      <c r="V4330" s="51" t="s">
        <v>2365</v>
      </c>
      <c r="W4330" s="51" t="s">
        <v>8251</v>
      </c>
      <c r="X4330" s="51" t="s">
        <v>2359</v>
      </c>
    </row>
    <row r="4331" customFormat="false" ht="14.25" hidden="true" customHeight="false" outlineLevel="0" collapsed="false">
      <c r="A4331" s="49" t="s">
        <v>2349</v>
      </c>
      <c r="B4331" s="49" t="s">
        <v>2350</v>
      </c>
      <c r="C4331" s="49" t="s">
        <v>8252</v>
      </c>
      <c r="D4331" s="49" t="s">
        <v>2352</v>
      </c>
      <c r="E4331" s="49" t="s">
        <v>4351</v>
      </c>
      <c r="F4331" s="49" t="s">
        <v>4352</v>
      </c>
      <c r="G4331" s="49" t="n">
        <v>0</v>
      </c>
      <c r="H4331" s="0" t="n">
        <v>0</v>
      </c>
      <c r="M4331" s="51" t="s">
        <v>8226</v>
      </c>
      <c r="N4331" s="49" t="n">
        <v>0</v>
      </c>
      <c r="O4331" s="53" t="n">
        <v>45798.4068055556</v>
      </c>
      <c r="P4331" s="53" t="n">
        <v>45801.4367361111</v>
      </c>
      <c r="Q4331" s="53" t="n">
        <v>45798.4068055556</v>
      </c>
      <c r="R4331" s="0" t="n">
        <v>0</v>
      </c>
      <c r="S4331" s="51" t="s">
        <v>2356</v>
      </c>
      <c r="T4331" s="51" t="s">
        <v>2356</v>
      </c>
      <c r="U4331" s="51" t="s">
        <v>4351</v>
      </c>
      <c r="V4331" s="51" t="s">
        <v>2365</v>
      </c>
      <c r="W4331" s="51" t="s">
        <v>4609</v>
      </c>
      <c r="X4331" s="51" t="s">
        <v>2359</v>
      </c>
    </row>
    <row r="4332" customFormat="false" ht="14.25" hidden="true" customHeight="false" outlineLevel="0" collapsed="false">
      <c r="A4332" s="49" t="s">
        <v>2349</v>
      </c>
      <c r="B4332" s="49" t="s">
        <v>2350</v>
      </c>
      <c r="C4332" s="49" t="s">
        <v>8253</v>
      </c>
      <c r="D4332" s="49" t="s">
        <v>2352</v>
      </c>
      <c r="E4332" s="49" t="s">
        <v>3633</v>
      </c>
      <c r="F4332" s="49" t="s">
        <v>3634</v>
      </c>
      <c r="G4332" s="49" t="n">
        <v>0</v>
      </c>
      <c r="H4332" s="0" t="n">
        <v>0</v>
      </c>
      <c r="M4332" s="51" t="s">
        <v>8254</v>
      </c>
      <c r="N4332" s="49" t="n">
        <v>0</v>
      </c>
      <c r="O4332" s="53" t="n">
        <v>45806.6045138889</v>
      </c>
      <c r="P4332" s="53" t="n">
        <v>45812.7338773148</v>
      </c>
      <c r="Q4332" s="53" t="n">
        <v>45806.6045138889</v>
      </c>
      <c r="R4332" s="0" t="n">
        <v>0</v>
      </c>
      <c r="S4332" s="51" t="s">
        <v>2356</v>
      </c>
      <c r="T4332" s="51" t="s">
        <v>2356</v>
      </c>
      <c r="U4332" s="51" t="s">
        <v>3633</v>
      </c>
      <c r="V4332" s="51" t="s">
        <v>2357</v>
      </c>
      <c r="W4332" s="51" t="s">
        <v>5677</v>
      </c>
      <c r="X4332" s="51" t="s">
        <v>2359</v>
      </c>
    </row>
    <row r="4333" customFormat="false" ht="14.25" hidden="true" customHeight="false" outlineLevel="0" collapsed="false">
      <c r="A4333" s="49" t="s">
        <v>2349</v>
      </c>
      <c r="B4333" s="49" t="s">
        <v>2350</v>
      </c>
      <c r="C4333" s="49" t="s">
        <v>8255</v>
      </c>
      <c r="D4333" s="49" t="s">
        <v>2352</v>
      </c>
      <c r="E4333" s="49" t="s">
        <v>6853</v>
      </c>
      <c r="F4333" s="49" t="s">
        <v>6854</v>
      </c>
      <c r="G4333" s="49" t="n">
        <v>0</v>
      </c>
      <c r="H4333" s="0" t="n">
        <v>0</v>
      </c>
      <c r="M4333" s="51" t="s">
        <v>8254</v>
      </c>
      <c r="N4333" s="49" t="n">
        <v>0</v>
      </c>
      <c r="O4333" s="53" t="n">
        <v>45806.605474537</v>
      </c>
      <c r="P4333" s="53" t="n">
        <v>45810.5628240741</v>
      </c>
      <c r="Q4333" s="53" t="n">
        <v>45806.605474537</v>
      </c>
      <c r="R4333" s="0" t="n">
        <v>0</v>
      </c>
      <c r="S4333" s="51" t="s">
        <v>2356</v>
      </c>
      <c r="T4333" s="51" t="s">
        <v>2356</v>
      </c>
      <c r="U4333" s="51" t="s">
        <v>6853</v>
      </c>
      <c r="V4333" s="51" t="s">
        <v>2357</v>
      </c>
      <c r="W4333" s="51" t="s">
        <v>5677</v>
      </c>
      <c r="X4333" s="51" t="s">
        <v>2359</v>
      </c>
    </row>
    <row r="4334" customFormat="false" ht="14.25" hidden="true" customHeight="false" outlineLevel="0" collapsed="false">
      <c r="A4334" s="49" t="s">
        <v>2349</v>
      </c>
      <c r="B4334" s="49" t="s">
        <v>2350</v>
      </c>
      <c r="C4334" s="49" t="s">
        <v>8256</v>
      </c>
      <c r="D4334" s="49" t="s">
        <v>2352</v>
      </c>
      <c r="E4334" s="49" t="s">
        <v>4351</v>
      </c>
      <c r="F4334" s="49" t="s">
        <v>4352</v>
      </c>
      <c r="G4334" s="49" t="n">
        <v>0</v>
      </c>
      <c r="H4334" s="0" t="n">
        <v>0</v>
      </c>
      <c r="M4334" s="51" t="s">
        <v>8257</v>
      </c>
      <c r="N4334" s="49" t="n">
        <v>0</v>
      </c>
      <c r="O4334" s="53" t="n">
        <v>45861.4617476852</v>
      </c>
      <c r="P4334" s="53" t="n">
        <v>45864.5396643519</v>
      </c>
      <c r="Q4334" s="53" t="n">
        <v>45861.4617476852</v>
      </c>
      <c r="R4334" s="0" t="n">
        <v>0</v>
      </c>
      <c r="S4334" s="51" t="s">
        <v>2356</v>
      </c>
      <c r="T4334" s="51" t="s">
        <v>2356</v>
      </c>
      <c r="U4334" s="51" t="s">
        <v>4351</v>
      </c>
      <c r="V4334" s="51" t="s">
        <v>2365</v>
      </c>
      <c r="W4334" s="51" t="s">
        <v>5737</v>
      </c>
      <c r="X4334" s="51" t="s">
        <v>2359</v>
      </c>
    </row>
    <row r="4335" customFormat="false" ht="14.25" hidden="true" customHeight="false" outlineLevel="0" collapsed="false">
      <c r="A4335" s="49" t="s">
        <v>2349</v>
      </c>
      <c r="B4335" s="49" t="s">
        <v>2350</v>
      </c>
      <c r="C4335" s="49" t="s">
        <v>8258</v>
      </c>
      <c r="D4335" s="49" t="s">
        <v>2352</v>
      </c>
      <c r="E4335" s="49" t="s">
        <v>4351</v>
      </c>
      <c r="F4335" s="49" t="s">
        <v>4352</v>
      </c>
      <c r="G4335" s="49" t="n">
        <v>0</v>
      </c>
      <c r="H4335" s="0" t="n">
        <v>0</v>
      </c>
      <c r="M4335" s="51" t="s">
        <v>8257</v>
      </c>
      <c r="N4335" s="49" t="n">
        <v>0</v>
      </c>
      <c r="O4335" s="53" t="n">
        <v>45861.4619560185</v>
      </c>
      <c r="P4335" s="53" t="n">
        <v>45864.5079050926</v>
      </c>
      <c r="Q4335" s="53" t="n">
        <v>45861.4619560185</v>
      </c>
      <c r="R4335" s="0" t="n">
        <v>0</v>
      </c>
      <c r="S4335" s="51" t="s">
        <v>2356</v>
      </c>
      <c r="T4335" s="51" t="s">
        <v>2356</v>
      </c>
      <c r="U4335" s="51" t="s">
        <v>4351</v>
      </c>
      <c r="V4335" s="51" t="s">
        <v>2365</v>
      </c>
      <c r="W4335" s="51" t="s">
        <v>6888</v>
      </c>
      <c r="X4335" s="51" t="s">
        <v>2359</v>
      </c>
    </row>
    <row r="4336" customFormat="false" ht="14.25" hidden="true" customHeight="false" outlineLevel="0" collapsed="false">
      <c r="A4336" s="49" t="s">
        <v>2349</v>
      </c>
      <c r="B4336" s="49" t="s">
        <v>2350</v>
      </c>
      <c r="C4336" s="49" t="s">
        <v>8259</v>
      </c>
      <c r="D4336" s="49" t="s">
        <v>2352</v>
      </c>
      <c r="E4336" s="49" t="s">
        <v>4351</v>
      </c>
      <c r="F4336" s="49" t="s">
        <v>4352</v>
      </c>
      <c r="G4336" s="49" t="n">
        <v>0</v>
      </c>
      <c r="H4336" s="0" t="n">
        <v>0</v>
      </c>
      <c r="M4336" s="51" t="s">
        <v>8257</v>
      </c>
      <c r="N4336" s="49" t="n">
        <v>0</v>
      </c>
      <c r="O4336" s="53" t="n">
        <v>45861.4620949074</v>
      </c>
      <c r="P4336" s="53" t="n">
        <v>45864.5393865741</v>
      </c>
      <c r="Q4336" s="53" t="n">
        <v>45861.4620949074</v>
      </c>
      <c r="R4336" s="0" t="n">
        <v>0</v>
      </c>
      <c r="S4336" s="51" t="s">
        <v>2356</v>
      </c>
      <c r="T4336" s="51" t="s">
        <v>2356</v>
      </c>
      <c r="U4336" s="51" t="s">
        <v>4351</v>
      </c>
      <c r="V4336" s="51" t="s">
        <v>2365</v>
      </c>
      <c r="W4336" s="51" t="s">
        <v>5147</v>
      </c>
      <c r="X4336" s="51" t="s">
        <v>2359</v>
      </c>
    </row>
    <row r="4337" customFormat="false" ht="14.25" hidden="true" customHeight="false" outlineLevel="0" collapsed="false">
      <c r="A4337" s="49" t="s">
        <v>2349</v>
      </c>
      <c r="B4337" s="49" t="s">
        <v>2350</v>
      </c>
      <c r="C4337" s="49" t="s">
        <v>8260</v>
      </c>
      <c r="D4337" s="49" t="s">
        <v>2352</v>
      </c>
      <c r="E4337" s="49" t="s">
        <v>4351</v>
      </c>
      <c r="F4337" s="49" t="s">
        <v>4352</v>
      </c>
      <c r="G4337" s="49" t="n">
        <v>0</v>
      </c>
      <c r="H4337" s="0" t="n">
        <v>0</v>
      </c>
      <c r="M4337" s="51" t="s">
        <v>8257</v>
      </c>
      <c r="N4337" s="49" t="n">
        <v>0</v>
      </c>
      <c r="O4337" s="53" t="n">
        <v>45861.4622569445</v>
      </c>
      <c r="P4337" s="53" t="n">
        <v>45864.5394791667</v>
      </c>
      <c r="Q4337" s="53" t="n">
        <v>45861.4622569445</v>
      </c>
      <c r="R4337" s="0" t="n">
        <v>0</v>
      </c>
      <c r="S4337" s="51" t="s">
        <v>2356</v>
      </c>
      <c r="T4337" s="51" t="s">
        <v>2356</v>
      </c>
      <c r="U4337" s="51" t="s">
        <v>4351</v>
      </c>
      <c r="V4337" s="51" t="s">
        <v>2365</v>
      </c>
      <c r="W4337" s="51" t="s">
        <v>4614</v>
      </c>
      <c r="X4337" s="51" t="s">
        <v>2359</v>
      </c>
    </row>
    <row r="4338" customFormat="false" ht="14.25" hidden="true" customHeight="false" outlineLevel="0" collapsed="false">
      <c r="A4338" s="49" t="s">
        <v>2349</v>
      </c>
      <c r="B4338" s="49" t="s">
        <v>2350</v>
      </c>
      <c r="C4338" s="49" t="s">
        <v>8261</v>
      </c>
      <c r="D4338" s="49" t="s">
        <v>2352</v>
      </c>
      <c r="E4338" s="49" t="s">
        <v>4351</v>
      </c>
      <c r="F4338" s="49" t="s">
        <v>4352</v>
      </c>
      <c r="G4338" s="49" t="n">
        <v>0</v>
      </c>
      <c r="H4338" s="0" t="n">
        <v>0</v>
      </c>
      <c r="M4338" s="51" t="s">
        <v>8257</v>
      </c>
      <c r="N4338" s="49" t="n">
        <v>0</v>
      </c>
      <c r="O4338" s="53" t="n">
        <v>45861.4648032407</v>
      </c>
      <c r="P4338" s="53" t="n">
        <v>45864.5395486111</v>
      </c>
      <c r="Q4338" s="53" t="n">
        <v>45861.4648032407</v>
      </c>
      <c r="R4338" s="0" t="n">
        <v>0</v>
      </c>
      <c r="S4338" s="51" t="s">
        <v>2356</v>
      </c>
      <c r="T4338" s="51" t="s">
        <v>2356</v>
      </c>
      <c r="U4338" s="51" t="s">
        <v>4351</v>
      </c>
      <c r="V4338" s="51" t="s">
        <v>2365</v>
      </c>
      <c r="W4338" s="51" t="s">
        <v>6881</v>
      </c>
      <c r="X4338" s="51" t="s">
        <v>2359</v>
      </c>
    </row>
    <row r="4339" customFormat="false" ht="14.25" hidden="true" customHeight="false" outlineLevel="0" collapsed="false">
      <c r="A4339" s="49" t="s">
        <v>2349</v>
      </c>
      <c r="B4339" s="49" t="s">
        <v>2350</v>
      </c>
      <c r="C4339" s="49" t="s">
        <v>8262</v>
      </c>
      <c r="D4339" s="49" t="s">
        <v>2352</v>
      </c>
      <c r="E4339" s="49" t="s">
        <v>4351</v>
      </c>
      <c r="F4339" s="49" t="s">
        <v>4352</v>
      </c>
      <c r="G4339" s="49" t="n">
        <v>0</v>
      </c>
      <c r="H4339" s="0" t="n">
        <v>0</v>
      </c>
      <c r="M4339" s="51" t="s">
        <v>8257</v>
      </c>
      <c r="N4339" s="49" t="n">
        <v>0</v>
      </c>
      <c r="O4339" s="53" t="n">
        <v>45861.4651388889</v>
      </c>
      <c r="P4339" s="53" t="n">
        <v>45864.5086458333</v>
      </c>
      <c r="Q4339" s="53" t="n">
        <v>45861.4651388889</v>
      </c>
      <c r="R4339" s="0" t="n">
        <v>0</v>
      </c>
      <c r="S4339" s="51" t="s">
        <v>2356</v>
      </c>
      <c r="T4339" s="51" t="s">
        <v>2356</v>
      </c>
      <c r="U4339" s="51" t="s">
        <v>4351</v>
      </c>
      <c r="V4339" s="51" t="s">
        <v>2365</v>
      </c>
      <c r="W4339" s="51" t="s">
        <v>7428</v>
      </c>
      <c r="X4339" s="51" t="s">
        <v>2359</v>
      </c>
    </row>
    <row r="4340" customFormat="false" ht="14.25" hidden="true" customHeight="false" outlineLevel="0" collapsed="false">
      <c r="A4340" s="49" t="s">
        <v>2349</v>
      </c>
      <c r="B4340" s="49" t="s">
        <v>2350</v>
      </c>
      <c r="C4340" s="49" t="s">
        <v>8263</v>
      </c>
      <c r="D4340" s="49" t="s">
        <v>2352</v>
      </c>
      <c r="E4340" s="49" t="s">
        <v>4351</v>
      </c>
      <c r="F4340" s="49" t="s">
        <v>4352</v>
      </c>
      <c r="G4340" s="49" t="n">
        <v>0</v>
      </c>
      <c r="H4340" s="0" t="n">
        <v>0</v>
      </c>
      <c r="M4340" s="51" t="s">
        <v>8257</v>
      </c>
      <c r="N4340" s="49" t="n">
        <v>0</v>
      </c>
      <c r="O4340" s="53" t="n">
        <v>45861.4653819444</v>
      </c>
      <c r="P4340" s="53" t="n">
        <v>45864.5087037037</v>
      </c>
      <c r="Q4340" s="53" t="n">
        <v>45861.4653819444</v>
      </c>
      <c r="R4340" s="0" t="n">
        <v>0</v>
      </c>
      <c r="S4340" s="51" t="s">
        <v>2356</v>
      </c>
      <c r="T4340" s="51" t="s">
        <v>2356</v>
      </c>
      <c r="U4340" s="51" t="s">
        <v>4351</v>
      </c>
      <c r="V4340" s="51" t="s">
        <v>2365</v>
      </c>
      <c r="W4340" s="51" t="s">
        <v>4586</v>
      </c>
      <c r="X4340" s="51" t="s">
        <v>2359</v>
      </c>
    </row>
    <row r="4341" customFormat="false" ht="14.25" hidden="true" customHeight="false" outlineLevel="0" collapsed="false">
      <c r="A4341" s="49" t="s">
        <v>2349</v>
      </c>
      <c r="B4341" s="49" t="s">
        <v>2350</v>
      </c>
      <c r="C4341" s="49" t="s">
        <v>8264</v>
      </c>
      <c r="D4341" s="49" t="s">
        <v>2352</v>
      </c>
      <c r="E4341" s="49" t="s">
        <v>4351</v>
      </c>
      <c r="F4341" s="49" t="s">
        <v>4352</v>
      </c>
      <c r="G4341" s="49" t="n">
        <v>0</v>
      </c>
      <c r="H4341" s="0" t="n">
        <v>0</v>
      </c>
      <c r="M4341" s="51" t="s">
        <v>8257</v>
      </c>
      <c r="N4341" s="49" t="n">
        <v>0</v>
      </c>
      <c r="O4341" s="53" t="n">
        <v>45861.4655671296</v>
      </c>
      <c r="P4341" s="53" t="n">
        <v>45864.5087731482</v>
      </c>
      <c r="Q4341" s="53" t="n">
        <v>45861.4655671296</v>
      </c>
      <c r="R4341" s="0" t="n">
        <v>0</v>
      </c>
      <c r="S4341" s="51" t="s">
        <v>2356</v>
      </c>
      <c r="T4341" s="51" t="s">
        <v>2356</v>
      </c>
      <c r="U4341" s="51" t="s">
        <v>4351</v>
      </c>
      <c r="V4341" s="51" t="s">
        <v>2365</v>
      </c>
      <c r="W4341" s="51" t="s">
        <v>4126</v>
      </c>
      <c r="X4341" s="51" t="s">
        <v>2359</v>
      </c>
    </row>
    <row r="4342" customFormat="false" ht="14.25" hidden="true" customHeight="false" outlineLevel="0" collapsed="false">
      <c r="A4342" s="49" t="s">
        <v>2349</v>
      </c>
      <c r="B4342" s="49" t="s">
        <v>2350</v>
      </c>
      <c r="C4342" s="49" t="s">
        <v>8265</v>
      </c>
      <c r="D4342" s="49" t="s">
        <v>2352</v>
      </c>
      <c r="E4342" s="49" t="s">
        <v>4351</v>
      </c>
      <c r="F4342" s="49" t="s">
        <v>4352</v>
      </c>
      <c r="G4342" s="49" t="n">
        <v>0</v>
      </c>
      <c r="H4342" s="0" t="n">
        <v>0</v>
      </c>
      <c r="M4342" s="51" t="s">
        <v>8257</v>
      </c>
      <c r="N4342" s="49" t="n">
        <v>0</v>
      </c>
      <c r="O4342" s="53" t="n">
        <v>45861.4657291667</v>
      </c>
      <c r="P4342" s="53" t="n">
        <v>45864.5088310185</v>
      </c>
      <c r="Q4342" s="53" t="n">
        <v>45861.4657291667</v>
      </c>
      <c r="R4342" s="0" t="n">
        <v>0</v>
      </c>
      <c r="S4342" s="51" t="s">
        <v>2356</v>
      </c>
      <c r="T4342" s="51" t="s">
        <v>2356</v>
      </c>
      <c r="U4342" s="51" t="s">
        <v>4351</v>
      </c>
      <c r="V4342" s="51" t="s">
        <v>2365</v>
      </c>
      <c r="W4342" s="51" t="s">
        <v>3764</v>
      </c>
      <c r="X4342" s="51" t="s">
        <v>2359</v>
      </c>
    </row>
    <row r="4343" customFormat="false" ht="14.25" hidden="true" customHeight="false" outlineLevel="0" collapsed="false">
      <c r="A4343" s="49" t="s">
        <v>2349</v>
      </c>
      <c r="B4343" s="49" t="s">
        <v>2350</v>
      </c>
      <c r="C4343" s="49" t="s">
        <v>8266</v>
      </c>
      <c r="D4343" s="49" t="s">
        <v>2352</v>
      </c>
      <c r="E4343" s="49" t="s">
        <v>4351</v>
      </c>
      <c r="F4343" s="49" t="s">
        <v>4352</v>
      </c>
      <c r="G4343" s="49" t="n">
        <v>0</v>
      </c>
      <c r="H4343" s="0" t="n">
        <v>0</v>
      </c>
      <c r="M4343" s="51" t="s">
        <v>8257</v>
      </c>
      <c r="N4343" s="49" t="n">
        <v>0</v>
      </c>
      <c r="O4343" s="53" t="n">
        <v>45861.4659375</v>
      </c>
      <c r="P4343" s="53" t="n">
        <v>45871.6481712963</v>
      </c>
      <c r="Q4343" s="53" t="n">
        <v>45861.4659375</v>
      </c>
      <c r="R4343" s="0" t="n">
        <v>0</v>
      </c>
      <c r="S4343" s="51" t="s">
        <v>2356</v>
      </c>
      <c r="T4343" s="51" t="s">
        <v>2356</v>
      </c>
      <c r="U4343" s="51" t="s">
        <v>4351</v>
      </c>
      <c r="V4343" s="51" t="s">
        <v>2365</v>
      </c>
      <c r="W4343" s="51" t="s">
        <v>8267</v>
      </c>
      <c r="X4343" s="51" t="s">
        <v>2359</v>
      </c>
    </row>
    <row r="4344" customFormat="false" ht="14.25" hidden="true" customHeight="false" outlineLevel="0" collapsed="false">
      <c r="A4344" s="49" t="s">
        <v>2349</v>
      </c>
      <c r="B4344" s="49" t="s">
        <v>2350</v>
      </c>
      <c r="C4344" s="49" t="s">
        <v>8268</v>
      </c>
      <c r="D4344" s="49" t="s">
        <v>2352</v>
      </c>
      <c r="E4344" s="49" t="s">
        <v>4351</v>
      </c>
      <c r="F4344" s="49" t="s">
        <v>4352</v>
      </c>
      <c r="G4344" s="49" t="n">
        <v>0</v>
      </c>
      <c r="H4344" s="0" t="n">
        <v>0</v>
      </c>
      <c r="M4344" s="51" t="s">
        <v>8257</v>
      </c>
      <c r="N4344" s="49" t="n">
        <v>0</v>
      </c>
      <c r="O4344" s="53" t="n">
        <v>45861.466099537</v>
      </c>
      <c r="P4344" s="53" t="n">
        <v>45872.378125</v>
      </c>
      <c r="Q4344" s="53" t="n">
        <v>45861.466099537</v>
      </c>
      <c r="R4344" s="0" t="n">
        <v>0</v>
      </c>
      <c r="S4344" s="51" t="s">
        <v>2356</v>
      </c>
      <c r="T4344" s="51" t="s">
        <v>2356</v>
      </c>
      <c r="U4344" s="51" t="s">
        <v>4351</v>
      </c>
      <c r="V4344" s="51" t="s">
        <v>2365</v>
      </c>
      <c r="W4344" s="51" t="s">
        <v>3664</v>
      </c>
      <c r="X4344" s="51" t="s">
        <v>2359</v>
      </c>
    </row>
    <row r="4345" customFormat="false" ht="14.25" hidden="true" customHeight="false" outlineLevel="0" collapsed="false">
      <c r="A4345" s="49" t="s">
        <v>2349</v>
      </c>
      <c r="B4345" s="49" t="s">
        <v>2350</v>
      </c>
      <c r="C4345" s="49" t="s">
        <v>8269</v>
      </c>
      <c r="D4345" s="49" t="s">
        <v>2352</v>
      </c>
      <c r="E4345" s="49" t="s">
        <v>4351</v>
      </c>
      <c r="F4345" s="49" t="s">
        <v>4352</v>
      </c>
      <c r="G4345" s="49" t="n">
        <v>0</v>
      </c>
      <c r="H4345" s="0" t="n">
        <v>0</v>
      </c>
      <c r="M4345" s="51" t="s">
        <v>8257</v>
      </c>
      <c r="N4345" s="49" t="n">
        <v>0</v>
      </c>
      <c r="O4345" s="53" t="n">
        <v>45861.4662615741</v>
      </c>
      <c r="P4345" s="53" t="n">
        <v>45864.508912037</v>
      </c>
      <c r="Q4345" s="53" t="n">
        <v>45861.4662615741</v>
      </c>
      <c r="R4345" s="0" t="n">
        <v>0</v>
      </c>
      <c r="S4345" s="51" t="s">
        <v>2356</v>
      </c>
      <c r="T4345" s="51" t="s">
        <v>2356</v>
      </c>
      <c r="U4345" s="51" t="s">
        <v>4351</v>
      </c>
      <c r="V4345" s="51" t="s">
        <v>2365</v>
      </c>
      <c r="W4345" s="51" t="s">
        <v>8270</v>
      </c>
      <c r="X4345" s="51" t="s">
        <v>2359</v>
      </c>
    </row>
    <row r="4346" customFormat="false" ht="14.25" hidden="true" customHeight="false" outlineLevel="0" collapsed="false">
      <c r="A4346" s="49" t="s">
        <v>2349</v>
      </c>
      <c r="B4346" s="49" t="s">
        <v>2350</v>
      </c>
      <c r="C4346" s="49" t="s">
        <v>8271</v>
      </c>
      <c r="D4346" s="49" t="s">
        <v>2352</v>
      </c>
      <c r="E4346" s="49" t="s">
        <v>4351</v>
      </c>
      <c r="F4346" s="49" t="s">
        <v>4352</v>
      </c>
      <c r="G4346" s="49" t="n">
        <v>0</v>
      </c>
      <c r="H4346" s="0" t="n">
        <v>0</v>
      </c>
      <c r="M4346" s="51" t="s">
        <v>8257</v>
      </c>
      <c r="N4346" s="49" t="n">
        <v>0</v>
      </c>
      <c r="O4346" s="53" t="n">
        <v>45861.466412037</v>
      </c>
      <c r="P4346" s="53" t="n">
        <v>45872.3796643519</v>
      </c>
      <c r="Q4346" s="53" t="n">
        <v>45861.466412037</v>
      </c>
      <c r="R4346" s="0" t="n">
        <v>0</v>
      </c>
      <c r="S4346" s="51" t="s">
        <v>2356</v>
      </c>
      <c r="T4346" s="51" t="s">
        <v>2356</v>
      </c>
      <c r="U4346" s="51" t="s">
        <v>4351</v>
      </c>
      <c r="V4346" s="51" t="s">
        <v>2365</v>
      </c>
      <c r="W4346" s="51" t="s">
        <v>8272</v>
      </c>
      <c r="X4346" s="51" t="s">
        <v>2359</v>
      </c>
    </row>
    <row r="4347" customFormat="false" ht="14.25" hidden="true" customHeight="false" outlineLevel="0" collapsed="false">
      <c r="A4347" s="49" t="s">
        <v>2349</v>
      </c>
      <c r="B4347" s="49" t="s">
        <v>2350</v>
      </c>
      <c r="C4347" s="49" t="s">
        <v>8273</v>
      </c>
      <c r="D4347" s="49" t="s">
        <v>2352</v>
      </c>
      <c r="E4347" s="49" t="s">
        <v>4351</v>
      </c>
      <c r="F4347" s="49" t="s">
        <v>4352</v>
      </c>
      <c r="G4347" s="49" t="n">
        <v>0</v>
      </c>
      <c r="H4347" s="0" t="n">
        <v>0</v>
      </c>
      <c r="M4347" s="51" t="s">
        <v>8257</v>
      </c>
      <c r="N4347" s="49" t="n">
        <v>0</v>
      </c>
      <c r="O4347" s="53" t="n">
        <v>45861.4666087963</v>
      </c>
      <c r="P4347" s="53" t="n">
        <v>45869.6071759259</v>
      </c>
      <c r="Q4347" s="53" t="n">
        <v>45861.4666087963</v>
      </c>
      <c r="R4347" s="0" t="n">
        <v>0</v>
      </c>
      <c r="S4347" s="51" t="s">
        <v>2356</v>
      </c>
      <c r="T4347" s="51" t="s">
        <v>2356</v>
      </c>
      <c r="U4347" s="51" t="s">
        <v>4351</v>
      </c>
      <c r="V4347" s="51" t="s">
        <v>2365</v>
      </c>
      <c r="W4347" s="51" t="s">
        <v>8274</v>
      </c>
      <c r="X4347" s="51" t="s">
        <v>2359</v>
      </c>
    </row>
    <row r="4348" customFormat="false" ht="14.25" hidden="true" customHeight="false" outlineLevel="0" collapsed="false">
      <c r="A4348" s="49" t="s">
        <v>2349</v>
      </c>
      <c r="B4348" s="49" t="s">
        <v>2350</v>
      </c>
      <c r="C4348" s="49" t="s">
        <v>8275</v>
      </c>
      <c r="D4348" s="49" t="s">
        <v>2352</v>
      </c>
      <c r="E4348" s="49" t="s">
        <v>4351</v>
      </c>
      <c r="F4348" s="49" t="s">
        <v>4352</v>
      </c>
      <c r="G4348" s="49" t="n">
        <v>0</v>
      </c>
      <c r="H4348" s="0" t="n">
        <v>0</v>
      </c>
      <c r="M4348" s="51" t="s">
        <v>8257</v>
      </c>
      <c r="N4348" s="49" t="n">
        <v>0</v>
      </c>
      <c r="O4348" s="53" t="n">
        <v>45861.4667476852</v>
      </c>
      <c r="P4348" s="53" t="n">
        <v>45869.6086226852</v>
      </c>
      <c r="Q4348" s="53" t="n">
        <v>45861.4667476852</v>
      </c>
      <c r="R4348" s="0" t="n">
        <v>0</v>
      </c>
      <c r="S4348" s="51" t="s">
        <v>2356</v>
      </c>
      <c r="T4348" s="51" t="s">
        <v>2356</v>
      </c>
      <c r="U4348" s="51" t="s">
        <v>4351</v>
      </c>
      <c r="V4348" s="51" t="s">
        <v>2365</v>
      </c>
      <c r="W4348" s="51" t="s">
        <v>8276</v>
      </c>
      <c r="X4348" s="51" t="s">
        <v>2359</v>
      </c>
    </row>
    <row r="4349" customFormat="false" ht="14.25" hidden="true" customHeight="false" outlineLevel="0" collapsed="false">
      <c r="A4349" s="49" t="s">
        <v>2349</v>
      </c>
      <c r="B4349" s="49" t="s">
        <v>2350</v>
      </c>
      <c r="C4349" s="49" t="s">
        <v>8277</v>
      </c>
      <c r="D4349" s="49" t="s">
        <v>2352</v>
      </c>
      <c r="E4349" s="49" t="s">
        <v>4351</v>
      </c>
      <c r="F4349" s="49" t="s">
        <v>4352</v>
      </c>
      <c r="G4349" s="49" t="n">
        <v>0</v>
      </c>
      <c r="H4349" s="0" t="n">
        <v>0</v>
      </c>
      <c r="M4349" s="51" t="s">
        <v>8257</v>
      </c>
      <c r="N4349" s="49" t="n">
        <v>0</v>
      </c>
      <c r="O4349" s="53" t="n">
        <v>45861.4669097222</v>
      </c>
      <c r="P4349" s="53" t="n">
        <v>45868.6276388889</v>
      </c>
      <c r="Q4349" s="53" t="n">
        <v>45861.4669097222</v>
      </c>
      <c r="R4349" s="0" t="n">
        <v>0</v>
      </c>
      <c r="S4349" s="51" t="s">
        <v>2356</v>
      </c>
      <c r="T4349" s="51" t="s">
        <v>2356</v>
      </c>
      <c r="U4349" s="51" t="s">
        <v>4351</v>
      </c>
      <c r="V4349" s="51" t="s">
        <v>2365</v>
      </c>
      <c r="W4349" s="51" t="s">
        <v>8278</v>
      </c>
      <c r="X4349" s="51" t="s">
        <v>2359</v>
      </c>
    </row>
    <row r="4350" customFormat="false" ht="14.25" hidden="true" customHeight="false" outlineLevel="0" collapsed="false">
      <c r="A4350" s="49" t="s">
        <v>2349</v>
      </c>
      <c r="B4350" s="49" t="s">
        <v>2350</v>
      </c>
      <c r="C4350" s="49" t="s">
        <v>8279</v>
      </c>
      <c r="D4350" s="49" t="s">
        <v>2352</v>
      </c>
      <c r="E4350" s="49" t="s">
        <v>4351</v>
      </c>
      <c r="F4350" s="49" t="s">
        <v>4352</v>
      </c>
      <c r="G4350" s="49" t="n">
        <v>0</v>
      </c>
      <c r="H4350" s="0" t="n">
        <v>0</v>
      </c>
      <c r="M4350" s="51" t="s">
        <v>8257</v>
      </c>
      <c r="N4350" s="49" t="n">
        <v>0</v>
      </c>
      <c r="O4350" s="53" t="n">
        <v>45861.4670717593</v>
      </c>
      <c r="P4350" s="53" t="n">
        <v>45864.5091666667</v>
      </c>
      <c r="Q4350" s="53" t="n">
        <v>45861.4670717593</v>
      </c>
      <c r="R4350" s="0" t="n">
        <v>0</v>
      </c>
      <c r="S4350" s="51" t="s">
        <v>2356</v>
      </c>
      <c r="T4350" s="51" t="s">
        <v>2356</v>
      </c>
      <c r="U4350" s="51" t="s">
        <v>4351</v>
      </c>
      <c r="V4350" s="51" t="s">
        <v>2365</v>
      </c>
      <c r="W4350" s="51" t="s">
        <v>5315</v>
      </c>
      <c r="X4350" s="51" t="s">
        <v>2359</v>
      </c>
    </row>
    <row r="4351" customFormat="false" ht="14.25" hidden="true" customHeight="false" outlineLevel="0" collapsed="false">
      <c r="A4351" s="49" t="s">
        <v>2349</v>
      </c>
      <c r="B4351" s="49" t="s">
        <v>2350</v>
      </c>
      <c r="C4351" s="49" t="s">
        <v>8280</v>
      </c>
      <c r="D4351" s="49" t="s">
        <v>2352</v>
      </c>
      <c r="E4351" s="49" t="s">
        <v>4351</v>
      </c>
      <c r="F4351" s="49" t="s">
        <v>4352</v>
      </c>
      <c r="G4351" s="49" t="n">
        <v>0</v>
      </c>
      <c r="H4351" s="0" t="n">
        <v>0</v>
      </c>
      <c r="M4351" s="51" t="s">
        <v>8257</v>
      </c>
      <c r="N4351" s="49" t="n">
        <v>0</v>
      </c>
      <c r="O4351" s="53" t="n">
        <v>45861.4676273148</v>
      </c>
      <c r="P4351" s="53" t="n">
        <v>45878.5910416667</v>
      </c>
      <c r="Q4351" s="53" t="n">
        <v>45861.4676273148</v>
      </c>
      <c r="R4351" s="0" t="n">
        <v>0</v>
      </c>
      <c r="S4351" s="51" t="s">
        <v>2356</v>
      </c>
      <c r="T4351" s="51" t="s">
        <v>2356</v>
      </c>
      <c r="U4351" s="51" t="s">
        <v>4351</v>
      </c>
      <c r="V4351" s="51" t="s">
        <v>2365</v>
      </c>
      <c r="W4351" s="51" t="s">
        <v>7201</v>
      </c>
      <c r="X4351" s="51" t="s">
        <v>2359</v>
      </c>
    </row>
    <row r="4352" customFormat="false" ht="14.25" hidden="true" customHeight="false" outlineLevel="0" collapsed="false">
      <c r="A4352" s="49" t="s">
        <v>2349</v>
      </c>
      <c r="B4352" s="49" t="s">
        <v>2350</v>
      </c>
      <c r="C4352" s="49" t="s">
        <v>8281</v>
      </c>
      <c r="D4352" s="49" t="s">
        <v>2352</v>
      </c>
      <c r="E4352" s="49" t="s">
        <v>4140</v>
      </c>
      <c r="F4352" s="49" t="s">
        <v>4141</v>
      </c>
      <c r="G4352" s="49" t="n">
        <v>0</v>
      </c>
      <c r="H4352" s="0" t="n">
        <v>0</v>
      </c>
      <c r="M4352" s="51" t="s">
        <v>8282</v>
      </c>
      <c r="N4352" s="49" t="n">
        <v>0</v>
      </c>
      <c r="O4352" s="53" t="n">
        <v>45802.4295138889</v>
      </c>
      <c r="P4352" s="53" t="n">
        <v>45804.5415625</v>
      </c>
      <c r="Q4352" s="53" t="n">
        <v>45802.4295138889</v>
      </c>
      <c r="R4352" s="0" t="n">
        <v>0</v>
      </c>
      <c r="S4352" s="51" t="s">
        <v>2356</v>
      </c>
      <c r="T4352" s="51" t="s">
        <v>2356</v>
      </c>
      <c r="U4352" s="51" t="s">
        <v>4140</v>
      </c>
      <c r="V4352" s="51" t="s">
        <v>3740</v>
      </c>
      <c r="W4352" s="51" t="s">
        <v>5564</v>
      </c>
      <c r="X4352" s="51" t="s">
        <v>2359</v>
      </c>
    </row>
    <row r="4353" customFormat="false" ht="14.25" hidden="true" customHeight="false" outlineLevel="0" collapsed="false">
      <c r="A4353" s="49" t="s">
        <v>2349</v>
      </c>
      <c r="B4353" s="49" t="s">
        <v>2350</v>
      </c>
      <c r="C4353" s="49" t="s">
        <v>8283</v>
      </c>
      <c r="D4353" s="49" t="s">
        <v>2352</v>
      </c>
      <c r="E4353" s="49" t="s">
        <v>4140</v>
      </c>
      <c r="F4353" s="49" t="s">
        <v>4141</v>
      </c>
      <c r="G4353" s="49" t="n">
        <v>0</v>
      </c>
      <c r="H4353" s="0" t="n">
        <v>0</v>
      </c>
      <c r="M4353" s="51" t="s">
        <v>8282</v>
      </c>
      <c r="N4353" s="49" t="n">
        <v>0</v>
      </c>
      <c r="O4353" s="53" t="n">
        <v>45802.4292361111</v>
      </c>
      <c r="P4353" s="53" t="n">
        <v>45804.5415046296</v>
      </c>
      <c r="Q4353" s="53" t="n">
        <v>45802.4292361111</v>
      </c>
      <c r="R4353" s="0" t="n">
        <v>0</v>
      </c>
      <c r="S4353" s="51" t="s">
        <v>2356</v>
      </c>
      <c r="T4353" s="51" t="s">
        <v>2356</v>
      </c>
      <c r="U4353" s="51" t="s">
        <v>4140</v>
      </c>
      <c r="V4353" s="51" t="s">
        <v>3740</v>
      </c>
      <c r="W4353" s="51" t="s">
        <v>8284</v>
      </c>
      <c r="X4353" s="51" t="s">
        <v>2359</v>
      </c>
    </row>
    <row r="4354" customFormat="false" ht="14.25" hidden="true" customHeight="false" outlineLevel="0" collapsed="false">
      <c r="A4354" s="49" t="s">
        <v>2349</v>
      </c>
      <c r="B4354" s="49" t="s">
        <v>2350</v>
      </c>
      <c r="C4354" s="49" t="s">
        <v>8285</v>
      </c>
      <c r="D4354" s="49" t="s">
        <v>2352</v>
      </c>
      <c r="E4354" s="49" t="s">
        <v>4140</v>
      </c>
      <c r="F4354" s="49" t="s">
        <v>4141</v>
      </c>
      <c r="G4354" s="49" t="n">
        <v>0</v>
      </c>
      <c r="H4354" s="0" t="n">
        <v>0</v>
      </c>
      <c r="M4354" s="51" t="s">
        <v>8282</v>
      </c>
      <c r="N4354" s="49" t="n">
        <v>0</v>
      </c>
      <c r="O4354" s="53" t="n">
        <v>45802.4287037037</v>
      </c>
      <c r="P4354" s="53" t="n">
        <v>45804.5414236111</v>
      </c>
      <c r="Q4354" s="53" t="n">
        <v>45802.4287037037</v>
      </c>
      <c r="R4354" s="0" t="n">
        <v>0</v>
      </c>
      <c r="S4354" s="51" t="s">
        <v>2356</v>
      </c>
      <c r="T4354" s="51" t="s">
        <v>2356</v>
      </c>
      <c r="U4354" s="51" t="s">
        <v>4140</v>
      </c>
      <c r="V4354" s="51" t="s">
        <v>3740</v>
      </c>
      <c r="W4354" s="51" t="s">
        <v>5562</v>
      </c>
      <c r="X4354" s="51" t="s">
        <v>2359</v>
      </c>
    </row>
    <row r="4355" customFormat="false" ht="14.25" hidden="true" customHeight="false" outlineLevel="0" collapsed="false">
      <c r="A4355" s="49" t="s">
        <v>2349</v>
      </c>
      <c r="B4355" s="49" t="s">
        <v>2350</v>
      </c>
      <c r="C4355" s="49" t="s">
        <v>8286</v>
      </c>
      <c r="D4355" s="49" t="s">
        <v>2352</v>
      </c>
      <c r="E4355" s="49" t="s">
        <v>4140</v>
      </c>
      <c r="F4355" s="49" t="s">
        <v>4141</v>
      </c>
      <c r="G4355" s="49" t="n">
        <v>0</v>
      </c>
      <c r="H4355" s="0" t="n">
        <v>0</v>
      </c>
      <c r="M4355" s="51" t="s">
        <v>8282</v>
      </c>
      <c r="N4355" s="49" t="n">
        <v>0</v>
      </c>
      <c r="O4355" s="53" t="n">
        <v>45802.4284027778</v>
      </c>
      <c r="P4355" s="53" t="n">
        <v>45804.5413425926</v>
      </c>
      <c r="Q4355" s="53" t="n">
        <v>45802.4284027778</v>
      </c>
      <c r="R4355" s="0" t="n">
        <v>0</v>
      </c>
      <c r="S4355" s="51" t="s">
        <v>2356</v>
      </c>
      <c r="T4355" s="51" t="s">
        <v>2356</v>
      </c>
      <c r="U4355" s="51" t="s">
        <v>4140</v>
      </c>
      <c r="V4355" s="51" t="s">
        <v>3740</v>
      </c>
      <c r="W4355" s="51" t="s">
        <v>5558</v>
      </c>
      <c r="X4355" s="51" t="s">
        <v>2359</v>
      </c>
    </row>
    <row r="4356" customFormat="false" ht="14.25" hidden="true" customHeight="false" outlineLevel="0" collapsed="false">
      <c r="A4356" s="49" t="s">
        <v>2349</v>
      </c>
      <c r="B4356" s="49" t="s">
        <v>2350</v>
      </c>
      <c r="C4356" s="49" t="s">
        <v>8287</v>
      </c>
      <c r="D4356" s="49" t="s">
        <v>2352</v>
      </c>
      <c r="E4356" s="49" t="s">
        <v>4140</v>
      </c>
      <c r="F4356" s="49" t="s">
        <v>4141</v>
      </c>
      <c r="G4356" s="49" t="n">
        <v>0</v>
      </c>
      <c r="H4356" s="0" t="n">
        <v>0</v>
      </c>
      <c r="M4356" s="51" t="s">
        <v>8282</v>
      </c>
      <c r="N4356" s="49" t="n">
        <v>0</v>
      </c>
      <c r="O4356" s="53" t="n">
        <v>45802.4280555556</v>
      </c>
      <c r="P4356" s="53" t="n">
        <v>45804.5412615741</v>
      </c>
      <c r="Q4356" s="53" t="n">
        <v>45802.4280555556</v>
      </c>
      <c r="R4356" s="0" t="n">
        <v>0</v>
      </c>
      <c r="S4356" s="51" t="s">
        <v>2356</v>
      </c>
      <c r="T4356" s="51" t="s">
        <v>2356</v>
      </c>
      <c r="U4356" s="51" t="s">
        <v>4140</v>
      </c>
      <c r="V4356" s="51" t="s">
        <v>3740</v>
      </c>
      <c r="W4356" s="51" t="s">
        <v>3760</v>
      </c>
      <c r="X4356" s="51" t="s">
        <v>2359</v>
      </c>
    </row>
    <row r="4357" customFormat="false" ht="14.25" hidden="true" customHeight="false" outlineLevel="0" collapsed="false">
      <c r="A4357" s="49" t="s">
        <v>2349</v>
      </c>
      <c r="B4357" s="49" t="s">
        <v>2350</v>
      </c>
      <c r="C4357" s="49" t="s">
        <v>8288</v>
      </c>
      <c r="D4357" s="49" t="s">
        <v>2352</v>
      </c>
      <c r="E4357" s="49" t="s">
        <v>8289</v>
      </c>
      <c r="F4357" s="49" t="s">
        <v>8290</v>
      </c>
      <c r="G4357" s="49" t="n">
        <v>0</v>
      </c>
      <c r="H4357" s="0" t="n">
        <v>0</v>
      </c>
      <c r="M4357" s="51" t="s">
        <v>8291</v>
      </c>
      <c r="N4357" s="49" t="n">
        <v>0</v>
      </c>
      <c r="O4357" s="53" t="n">
        <v>45802.5783680556</v>
      </c>
      <c r="P4357" s="53" t="n">
        <v>45848.6133564815</v>
      </c>
      <c r="Q4357" s="53" t="n">
        <v>45802.5783680556</v>
      </c>
      <c r="R4357" s="0" t="n">
        <v>0</v>
      </c>
      <c r="S4357" s="51" t="s">
        <v>2356</v>
      </c>
      <c r="T4357" s="51" t="s">
        <v>2356</v>
      </c>
      <c r="U4357" s="51" t="s">
        <v>8289</v>
      </c>
      <c r="V4357" s="51" t="s">
        <v>2357</v>
      </c>
      <c r="W4357" s="51" t="s">
        <v>7688</v>
      </c>
      <c r="X4357" s="51" t="s">
        <v>2359</v>
      </c>
    </row>
    <row r="4358" customFormat="false" ht="14.25" hidden="true" customHeight="false" outlineLevel="0" collapsed="false">
      <c r="A4358" s="49" t="s">
        <v>2349</v>
      </c>
      <c r="B4358" s="49" t="s">
        <v>2350</v>
      </c>
      <c r="C4358" s="49" t="s">
        <v>8292</v>
      </c>
      <c r="D4358" s="49" t="s">
        <v>2352</v>
      </c>
      <c r="E4358" s="49" t="s">
        <v>2353</v>
      </c>
      <c r="F4358" s="49" t="s">
        <v>2354</v>
      </c>
      <c r="G4358" s="49" t="n">
        <v>0</v>
      </c>
      <c r="H4358" s="0" t="n">
        <v>0</v>
      </c>
      <c r="M4358" s="51" t="s">
        <v>8291</v>
      </c>
      <c r="N4358" s="49" t="n">
        <v>0</v>
      </c>
      <c r="O4358" s="53" t="n">
        <v>45802.5797106482</v>
      </c>
      <c r="P4358" s="53" t="n">
        <v>45804.541087963</v>
      </c>
      <c r="Q4358" s="53" t="n">
        <v>45802.5797106482</v>
      </c>
      <c r="R4358" s="0" t="n">
        <v>0</v>
      </c>
      <c r="S4358" s="51" t="s">
        <v>2356</v>
      </c>
      <c r="T4358" s="51" t="s">
        <v>2356</v>
      </c>
      <c r="U4358" s="51" t="s">
        <v>2353</v>
      </c>
      <c r="V4358" s="51" t="s">
        <v>2357</v>
      </c>
      <c r="W4358" s="51" t="s">
        <v>8293</v>
      </c>
      <c r="X4358" s="51" t="s">
        <v>2359</v>
      </c>
    </row>
    <row r="4359" customFormat="false" ht="14.25" hidden="true" customHeight="false" outlineLevel="0" collapsed="false">
      <c r="A4359" s="49" t="s">
        <v>2349</v>
      </c>
      <c r="B4359" s="49" t="s">
        <v>2350</v>
      </c>
      <c r="C4359" s="49" t="s">
        <v>8294</v>
      </c>
      <c r="D4359" s="49" t="s">
        <v>2352</v>
      </c>
      <c r="E4359" s="49" t="s">
        <v>2353</v>
      </c>
      <c r="F4359" s="49" t="s">
        <v>2354</v>
      </c>
      <c r="G4359" s="49" t="n">
        <v>0</v>
      </c>
      <c r="H4359" s="0" t="n">
        <v>0</v>
      </c>
      <c r="M4359" s="51" t="s">
        <v>8291</v>
      </c>
      <c r="N4359" s="49" t="n">
        <v>0</v>
      </c>
      <c r="O4359" s="53" t="n">
        <v>45802.5792939815</v>
      </c>
      <c r="P4359" s="53" t="n">
        <v>45836.4609837963</v>
      </c>
      <c r="Q4359" s="53" t="n">
        <v>45802.5792939815</v>
      </c>
      <c r="R4359" s="0" t="n">
        <v>0</v>
      </c>
      <c r="S4359" s="51" t="s">
        <v>2356</v>
      </c>
      <c r="T4359" s="51" t="s">
        <v>2356</v>
      </c>
      <c r="U4359" s="51" t="s">
        <v>2353</v>
      </c>
      <c r="V4359" s="51" t="s">
        <v>2357</v>
      </c>
      <c r="W4359" s="51" t="s">
        <v>3696</v>
      </c>
      <c r="X4359" s="51" t="s">
        <v>2359</v>
      </c>
    </row>
    <row r="4360" customFormat="false" ht="14.25" hidden="true" customHeight="false" outlineLevel="0" collapsed="false">
      <c r="A4360" s="49" t="s">
        <v>2349</v>
      </c>
      <c r="B4360" s="49" t="s">
        <v>2350</v>
      </c>
      <c r="C4360" s="49" t="s">
        <v>8295</v>
      </c>
      <c r="D4360" s="49" t="s">
        <v>2352</v>
      </c>
      <c r="E4360" s="49" t="s">
        <v>8296</v>
      </c>
      <c r="F4360" s="49" t="s">
        <v>8297</v>
      </c>
      <c r="G4360" s="49" t="n">
        <v>0</v>
      </c>
      <c r="H4360" s="0" t="n">
        <v>0</v>
      </c>
      <c r="M4360" s="51" t="s">
        <v>8291</v>
      </c>
      <c r="N4360" s="49" t="n">
        <v>0</v>
      </c>
      <c r="O4360" s="53" t="n">
        <v>45802.5949421296</v>
      </c>
      <c r="P4360" s="53" t="n">
        <v>45937.3957638889</v>
      </c>
      <c r="Q4360" s="53" t="n">
        <v>45802.5949421296</v>
      </c>
      <c r="R4360" s="0" t="n">
        <v>0</v>
      </c>
      <c r="S4360" s="51" t="s">
        <v>2356</v>
      </c>
      <c r="T4360" s="51" t="s">
        <v>2356</v>
      </c>
      <c r="U4360" s="51" t="s">
        <v>8296</v>
      </c>
      <c r="V4360" s="51" t="s">
        <v>2357</v>
      </c>
      <c r="W4360" s="51" t="s">
        <v>8298</v>
      </c>
      <c r="X4360" s="51" t="s">
        <v>2359</v>
      </c>
    </row>
    <row r="4361" customFormat="false" ht="14.25" hidden="true" customHeight="false" outlineLevel="0" collapsed="false">
      <c r="A4361" s="49" t="s">
        <v>2349</v>
      </c>
      <c r="B4361" s="49" t="s">
        <v>2350</v>
      </c>
      <c r="C4361" s="49" t="s">
        <v>8299</v>
      </c>
      <c r="D4361" s="49" t="s">
        <v>2352</v>
      </c>
      <c r="E4361" s="49" t="s">
        <v>8296</v>
      </c>
      <c r="F4361" s="49" t="s">
        <v>8297</v>
      </c>
      <c r="G4361" s="49" t="n">
        <v>0</v>
      </c>
      <c r="H4361" s="0" t="n">
        <v>0</v>
      </c>
      <c r="M4361" s="51" t="s">
        <v>8291</v>
      </c>
      <c r="N4361" s="49" t="n">
        <v>0</v>
      </c>
      <c r="O4361" s="53" t="n">
        <v>45802.5981134259</v>
      </c>
      <c r="P4361" s="53" t="n">
        <v>45902.4986574074</v>
      </c>
      <c r="Q4361" s="53" t="n">
        <v>45802.5981134259</v>
      </c>
      <c r="R4361" s="0" t="n">
        <v>0</v>
      </c>
      <c r="S4361" s="51" t="s">
        <v>2356</v>
      </c>
      <c r="T4361" s="51" t="s">
        <v>2356</v>
      </c>
      <c r="U4361" s="51" t="s">
        <v>8296</v>
      </c>
      <c r="V4361" s="51" t="s">
        <v>2357</v>
      </c>
      <c r="W4361" s="51" t="s">
        <v>5744</v>
      </c>
      <c r="X4361" s="51" t="s">
        <v>2359</v>
      </c>
    </row>
    <row r="4362" customFormat="false" ht="14.25" hidden="true" customHeight="false" outlineLevel="0" collapsed="false">
      <c r="A4362" s="49" t="s">
        <v>2349</v>
      </c>
      <c r="B4362" s="49" t="s">
        <v>2350</v>
      </c>
      <c r="C4362" s="49" t="s">
        <v>8300</v>
      </c>
      <c r="D4362" s="49" t="s">
        <v>2352</v>
      </c>
      <c r="E4362" s="49" t="s">
        <v>8296</v>
      </c>
      <c r="F4362" s="49" t="s">
        <v>8297</v>
      </c>
      <c r="G4362" s="49" t="n">
        <v>0</v>
      </c>
      <c r="H4362" s="0" t="n">
        <v>0</v>
      </c>
      <c r="M4362" s="51" t="s">
        <v>8291</v>
      </c>
      <c r="N4362" s="49" t="n">
        <v>0</v>
      </c>
      <c r="O4362" s="53" t="n">
        <v>45802.5991435185</v>
      </c>
      <c r="P4362" s="53" t="n">
        <v>45918.3035648148</v>
      </c>
      <c r="Q4362" s="53" t="n">
        <v>45802.5991435185</v>
      </c>
      <c r="R4362" s="0" t="n">
        <v>0</v>
      </c>
      <c r="S4362" s="51" t="s">
        <v>2356</v>
      </c>
      <c r="T4362" s="51" t="s">
        <v>2356</v>
      </c>
      <c r="U4362" s="51" t="s">
        <v>8296</v>
      </c>
      <c r="V4362" s="51" t="s">
        <v>2357</v>
      </c>
      <c r="W4362" s="51" t="s">
        <v>8301</v>
      </c>
      <c r="X4362" s="51" t="s">
        <v>2359</v>
      </c>
    </row>
    <row r="4363" customFormat="false" ht="14.25" hidden="true" customHeight="false" outlineLevel="0" collapsed="false">
      <c r="A4363" s="49" t="s">
        <v>2349</v>
      </c>
      <c r="B4363" s="49" t="s">
        <v>2350</v>
      </c>
      <c r="C4363" s="49" t="s">
        <v>8302</v>
      </c>
      <c r="D4363" s="49" t="s">
        <v>2352</v>
      </c>
      <c r="E4363" s="49" t="str">
        <f aca="false">"5942326400490"</f>
        <v>5942326400490</v>
      </c>
      <c r="F4363" s="49" t="s">
        <v>3842</v>
      </c>
      <c r="G4363" s="49" t="n">
        <v>0</v>
      </c>
      <c r="H4363" s="0" t="n">
        <v>0</v>
      </c>
      <c r="M4363" s="51" t="s">
        <v>8303</v>
      </c>
      <c r="N4363" s="49" t="n">
        <v>0</v>
      </c>
      <c r="O4363" s="53" t="n">
        <v>45861.5723148148</v>
      </c>
      <c r="P4363" s="53" t="n">
        <v>45918.4929166667</v>
      </c>
      <c r="Q4363" s="53" t="n">
        <v>45861.5723148148</v>
      </c>
      <c r="R4363" s="0" t="n">
        <v>0</v>
      </c>
      <c r="S4363" s="51" t="s">
        <v>2416</v>
      </c>
      <c r="T4363" s="51" t="s">
        <v>2416</v>
      </c>
      <c r="U4363" s="0" t="str">
        <f aca="false">"5942326400490"</f>
        <v>5942326400490</v>
      </c>
      <c r="V4363" s="51" t="s">
        <v>2365</v>
      </c>
      <c r="W4363" s="51" t="s">
        <v>6025</v>
      </c>
      <c r="X4363" s="51" t="s">
        <v>2359</v>
      </c>
    </row>
    <row r="4364" customFormat="false" ht="14.25" hidden="true" customHeight="false" outlineLevel="0" collapsed="false">
      <c r="A4364" s="49" t="s">
        <v>2349</v>
      </c>
      <c r="B4364" s="49" t="s">
        <v>2350</v>
      </c>
      <c r="C4364" s="49" t="s">
        <v>8304</v>
      </c>
      <c r="D4364" s="49" t="s">
        <v>2352</v>
      </c>
      <c r="E4364" s="49" t="s">
        <v>3960</v>
      </c>
      <c r="F4364" s="49" t="s">
        <v>3961</v>
      </c>
      <c r="G4364" s="49" t="n">
        <v>0</v>
      </c>
      <c r="H4364" s="0" t="n">
        <v>0</v>
      </c>
      <c r="M4364" s="51" t="s">
        <v>8305</v>
      </c>
      <c r="N4364" s="49" t="n">
        <v>0</v>
      </c>
      <c r="O4364" s="53" t="n">
        <v>45812.6824652778</v>
      </c>
      <c r="P4364" s="53" t="n">
        <v>45829.5052430556</v>
      </c>
      <c r="Q4364" s="53" t="n">
        <v>45812.6824652778</v>
      </c>
      <c r="R4364" s="0" t="n">
        <v>0</v>
      </c>
      <c r="S4364" s="51" t="s">
        <v>2356</v>
      </c>
      <c r="T4364" s="51" t="s">
        <v>2356</v>
      </c>
      <c r="U4364" s="51" t="s">
        <v>3960</v>
      </c>
      <c r="V4364" s="51" t="s">
        <v>2365</v>
      </c>
      <c r="W4364" s="51" t="s">
        <v>4359</v>
      </c>
      <c r="X4364" s="51" t="s">
        <v>2359</v>
      </c>
    </row>
    <row r="4365" customFormat="false" ht="14.25" hidden="true" customHeight="false" outlineLevel="0" collapsed="false">
      <c r="A4365" s="49" t="s">
        <v>2349</v>
      </c>
      <c r="B4365" s="49" t="s">
        <v>2350</v>
      </c>
      <c r="C4365" s="49" t="s">
        <v>8306</v>
      </c>
      <c r="D4365" s="49" t="s">
        <v>2352</v>
      </c>
      <c r="E4365" s="49" t="s">
        <v>3960</v>
      </c>
      <c r="F4365" s="49" t="s">
        <v>3961</v>
      </c>
      <c r="G4365" s="49" t="n">
        <v>0</v>
      </c>
      <c r="H4365" s="0" t="n">
        <v>0</v>
      </c>
      <c r="M4365" s="51" t="s">
        <v>8305</v>
      </c>
      <c r="N4365" s="49" t="n">
        <v>0</v>
      </c>
      <c r="O4365" s="53" t="n">
        <v>45812.6822106482</v>
      </c>
      <c r="P4365" s="53" t="n">
        <v>45852.5820138889</v>
      </c>
      <c r="Q4365" s="53" t="n">
        <v>45812.6822106482</v>
      </c>
      <c r="R4365" s="0" t="n">
        <v>0</v>
      </c>
      <c r="S4365" s="51" t="s">
        <v>2356</v>
      </c>
      <c r="T4365" s="51" t="s">
        <v>2356</v>
      </c>
      <c r="U4365" s="51" t="s">
        <v>3960</v>
      </c>
      <c r="V4365" s="51" t="s">
        <v>2365</v>
      </c>
      <c r="W4365" s="51" t="s">
        <v>4020</v>
      </c>
      <c r="X4365" s="51" t="s">
        <v>2359</v>
      </c>
    </row>
    <row r="4366" customFormat="false" ht="14.25" hidden="true" customHeight="false" outlineLevel="0" collapsed="false">
      <c r="A4366" s="49" t="s">
        <v>2349</v>
      </c>
      <c r="B4366" s="49" t="s">
        <v>2350</v>
      </c>
      <c r="C4366" s="49" t="s">
        <v>8307</v>
      </c>
      <c r="D4366" s="49" t="s">
        <v>2352</v>
      </c>
      <c r="E4366" s="49" t="s">
        <v>3960</v>
      </c>
      <c r="F4366" s="49" t="s">
        <v>3961</v>
      </c>
      <c r="G4366" s="49" t="n">
        <v>0</v>
      </c>
      <c r="H4366" s="0" t="n">
        <v>0</v>
      </c>
      <c r="M4366" s="51" t="s">
        <v>8305</v>
      </c>
      <c r="N4366" s="49" t="n">
        <v>0</v>
      </c>
      <c r="O4366" s="53" t="n">
        <v>45812.6819907407</v>
      </c>
      <c r="P4366" s="53" t="n">
        <v>45840.4794675926</v>
      </c>
      <c r="Q4366" s="53" t="n">
        <v>45812.6819907407</v>
      </c>
      <c r="R4366" s="0" t="n">
        <v>0</v>
      </c>
      <c r="S4366" s="51" t="s">
        <v>2356</v>
      </c>
      <c r="T4366" s="51" t="s">
        <v>2356</v>
      </c>
      <c r="U4366" s="51" t="s">
        <v>3960</v>
      </c>
      <c r="V4366" s="51" t="s">
        <v>2365</v>
      </c>
      <c r="W4366" s="51" t="s">
        <v>4118</v>
      </c>
      <c r="X4366" s="51" t="s">
        <v>2359</v>
      </c>
    </row>
    <row r="4367" customFormat="false" ht="14.25" hidden="true" customHeight="false" outlineLevel="0" collapsed="false">
      <c r="A4367" s="49" t="s">
        <v>2349</v>
      </c>
      <c r="B4367" s="49" t="s">
        <v>2350</v>
      </c>
      <c r="C4367" s="49" t="s">
        <v>8308</v>
      </c>
      <c r="D4367" s="49" t="s">
        <v>2352</v>
      </c>
      <c r="E4367" s="49" t="s">
        <v>3960</v>
      </c>
      <c r="F4367" s="49" t="s">
        <v>3961</v>
      </c>
      <c r="G4367" s="49" t="n">
        <v>0</v>
      </c>
      <c r="H4367" s="0" t="n">
        <v>0</v>
      </c>
      <c r="M4367" s="51" t="s">
        <v>8305</v>
      </c>
      <c r="N4367" s="49" t="n">
        <v>0</v>
      </c>
      <c r="O4367" s="53" t="n">
        <v>45812.6830092593</v>
      </c>
      <c r="P4367" s="53" t="n">
        <v>45820.4751388889</v>
      </c>
      <c r="Q4367" s="53" t="n">
        <v>45812.6830092593</v>
      </c>
      <c r="R4367" s="0" t="n">
        <v>0</v>
      </c>
      <c r="S4367" s="51" t="s">
        <v>2356</v>
      </c>
      <c r="T4367" s="51" t="s">
        <v>2356</v>
      </c>
      <c r="U4367" s="51" t="s">
        <v>3960</v>
      </c>
      <c r="V4367" s="51" t="s">
        <v>2365</v>
      </c>
      <c r="W4367" s="51" t="s">
        <v>3692</v>
      </c>
      <c r="X4367" s="51" t="s">
        <v>2359</v>
      </c>
    </row>
    <row r="4368" customFormat="false" ht="14.25" hidden="true" customHeight="false" outlineLevel="0" collapsed="false">
      <c r="A4368" s="49" t="s">
        <v>2349</v>
      </c>
      <c r="B4368" s="49" t="s">
        <v>2350</v>
      </c>
      <c r="C4368" s="49" t="s">
        <v>8309</v>
      </c>
      <c r="D4368" s="49" t="s">
        <v>2352</v>
      </c>
      <c r="E4368" s="49" t="s">
        <v>3960</v>
      </c>
      <c r="F4368" s="49" t="s">
        <v>3961</v>
      </c>
      <c r="G4368" s="49" t="n">
        <v>0</v>
      </c>
      <c r="H4368" s="0" t="n">
        <v>0</v>
      </c>
      <c r="M4368" s="51" t="s">
        <v>8305</v>
      </c>
      <c r="N4368" s="49" t="n">
        <v>0</v>
      </c>
      <c r="O4368" s="53" t="n">
        <v>45812.6828125</v>
      </c>
      <c r="P4368" s="53" t="n">
        <v>45819.4283564815</v>
      </c>
      <c r="Q4368" s="53" t="n">
        <v>45812.6828125</v>
      </c>
      <c r="R4368" s="0" t="n">
        <v>0</v>
      </c>
      <c r="S4368" s="51" t="s">
        <v>2356</v>
      </c>
      <c r="T4368" s="51" t="s">
        <v>2356</v>
      </c>
      <c r="U4368" s="51" t="s">
        <v>3960</v>
      </c>
      <c r="V4368" s="51" t="s">
        <v>2365</v>
      </c>
      <c r="W4368" s="51" t="s">
        <v>3679</v>
      </c>
      <c r="X4368" s="51" t="s">
        <v>2359</v>
      </c>
    </row>
    <row r="4369" customFormat="false" ht="14.25" hidden="true" customHeight="false" outlineLevel="0" collapsed="false">
      <c r="A4369" s="49" t="s">
        <v>2349</v>
      </c>
      <c r="B4369" s="49" t="s">
        <v>2350</v>
      </c>
      <c r="C4369" s="49" t="s">
        <v>8310</v>
      </c>
      <c r="D4369" s="49" t="s">
        <v>2352</v>
      </c>
      <c r="E4369" s="49" t="s">
        <v>3960</v>
      </c>
      <c r="F4369" s="49" t="s">
        <v>3961</v>
      </c>
      <c r="G4369" s="49" t="n">
        <v>0</v>
      </c>
      <c r="H4369" s="0" t="n">
        <v>0</v>
      </c>
      <c r="M4369" s="51" t="s">
        <v>8305</v>
      </c>
      <c r="N4369" s="49" t="n">
        <v>0</v>
      </c>
      <c r="O4369" s="53" t="n">
        <v>45812.682650463</v>
      </c>
      <c r="P4369" s="53" t="n">
        <v>45820.4752430556</v>
      </c>
      <c r="Q4369" s="53" t="n">
        <v>45812.682650463</v>
      </c>
      <c r="R4369" s="0" t="n">
        <v>0</v>
      </c>
      <c r="S4369" s="51" t="s">
        <v>2356</v>
      </c>
      <c r="T4369" s="51" t="s">
        <v>2356</v>
      </c>
      <c r="U4369" s="51" t="s">
        <v>3960</v>
      </c>
      <c r="V4369" s="51" t="s">
        <v>2365</v>
      </c>
      <c r="W4369" s="51" t="s">
        <v>3687</v>
      </c>
      <c r="X4369" s="51" t="s">
        <v>2359</v>
      </c>
    </row>
    <row r="4370" customFormat="false" ht="14.25" hidden="true" customHeight="false" outlineLevel="0" collapsed="false">
      <c r="A4370" s="49" t="s">
        <v>2349</v>
      </c>
      <c r="B4370" s="49" t="s">
        <v>2350</v>
      </c>
      <c r="C4370" s="49" t="s">
        <v>8311</v>
      </c>
      <c r="D4370" s="49" t="s">
        <v>2352</v>
      </c>
      <c r="E4370" s="49" t="s">
        <v>3960</v>
      </c>
      <c r="F4370" s="49" t="s">
        <v>3961</v>
      </c>
      <c r="G4370" s="49" t="n">
        <v>0</v>
      </c>
      <c r="H4370" s="0" t="n">
        <v>0</v>
      </c>
      <c r="M4370" s="51" t="s">
        <v>8305</v>
      </c>
      <c r="N4370" s="49" t="n">
        <v>0</v>
      </c>
      <c r="O4370" s="53" t="n">
        <v>45812.6811574074</v>
      </c>
      <c r="P4370" s="53" t="n">
        <v>45819.4303935185</v>
      </c>
      <c r="Q4370" s="53" t="n">
        <v>45812.6811574074</v>
      </c>
      <c r="R4370" s="0" t="n">
        <v>0</v>
      </c>
      <c r="S4370" s="51" t="s">
        <v>2356</v>
      </c>
      <c r="T4370" s="51" t="s">
        <v>2356</v>
      </c>
      <c r="U4370" s="51" t="s">
        <v>3960</v>
      </c>
      <c r="V4370" s="51" t="s">
        <v>2365</v>
      </c>
      <c r="W4370" s="51" t="s">
        <v>4138</v>
      </c>
      <c r="X4370" s="51" t="s">
        <v>2359</v>
      </c>
    </row>
    <row r="4371" customFormat="false" ht="14.25" hidden="true" customHeight="false" outlineLevel="0" collapsed="false">
      <c r="A4371" s="49" t="s">
        <v>2349</v>
      </c>
      <c r="B4371" s="49" t="s">
        <v>2350</v>
      </c>
      <c r="C4371" s="49" t="s">
        <v>8312</v>
      </c>
      <c r="D4371" s="49" t="s">
        <v>2352</v>
      </c>
      <c r="E4371" s="49" t="s">
        <v>3960</v>
      </c>
      <c r="F4371" s="49" t="s">
        <v>3961</v>
      </c>
      <c r="G4371" s="49" t="n">
        <v>0</v>
      </c>
      <c r="H4371" s="0" t="n">
        <v>0</v>
      </c>
      <c r="M4371" s="51" t="s">
        <v>8305</v>
      </c>
      <c r="N4371" s="49" t="n">
        <v>0</v>
      </c>
      <c r="O4371" s="53" t="n">
        <v>45812.6815740741</v>
      </c>
      <c r="P4371" s="53" t="n">
        <v>45819.430462963</v>
      </c>
      <c r="Q4371" s="53" t="n">
        <v>45812.6815740741</v>
      </c>
      <c r="R4371" s="0" t="n">
        <v>0</v>
      </c>
      <c r="S4371" s="51" t="s">
        <v>2356</v>
      </c>
      <c r="T4371" s="51" t="s">
        <v>2356</v>
      </c>
      <c r="U4371" s="51" t="s">
        <v>3960</v>
      </c>
      <c r="V4371" s="51" t="s">
        <v>2365</v>
      </c>
      <c r="W4371" s="51" t="s">
        <v>8313</v>
      </c>
      <c r="X4371" s="51" t="s">
        <v>2359</v>
      </c>
    </row>
    <row r="4372" customFormat="false" ht="14.25" hidden="true" customHeight="false" outlineLevel="0" collapsed="false">
      <c r="A4372" s="49" t="s">
        <v>2349</v>
      </c>
      <c r="B4372" s="49" t="s">
        <v>2350</v>
      </c>
      <c r="C4372" s="49" t="s">
        <v>8314</v>
      </c>
      <c r="D4372" s="49" t="s">
        <v>2352</v>
      </c>
      <c r="E4372" s="49" t="s">
        <v>3638</v>
      </c>
      <c r="F4372" s="49" t="s">
        <v>3639</v>
      </c>
      <c r="G4372" s="49" t="n">
        <v>0</v>
      </c>
      <c r="H4372" s="0" t="n">
        <v>0</v>
      </c>
      <c r="M4372" s="51" t="s">
        <v>8315</v>
      </c>
      <c r="N4372" s="49" t="n">
        <v>0</v>
      </c>
      <c r="O4372" s="53" t="n">
        <v>45883.5867708333</v>
      </c>
      <c r="P4372" s="53" t="n">
        <v>45915.5508217593</v>
      </c>
      <c r="Q4372" s="53" t="n">
        <v>45883.5867708333</v>
      </c>
      <c r="R4372" s="0" t="n">
        <v>0</v>
      </c>
      <c r="S4372" s="51" t="s">
        <v>2356</v>
      </c>
      <c r="T4372" s="51" t="s">
        <v>2356</v>
      </c>
      <c r="U4372" s="51" t="s">
        <v>3638</v>
      </c>
      <c r="V4372" s="51" t="s">
        <v>2357</v>
      </c>
      <c r="W4372" s="51" t="s">
        <v>6879</v>
      </c>
      <c r="X4372" s="51" t="s">
        <v>2359</v>
      </c>
    </row>
    <row r="4373" customFormat="false" ht="14.25" hidden="true" customHeight="false" outlineLevel="0" collapsed="false">
      <c r="A4373" s="49" t="s">
        <v>2349</v>
      </c>
      <c r="B4373" s="49" t="s">
        <v>2350</v>
      </c>
      <c r="C4373" s="49" t="s">
        <v>8316</v>
      </c>
      <c r="D4373" s="49" t="s">
        <v>2352</v>
      </c>
      <c r="E4373" s="49" t="s">
        <v>3638</v>
      </c>
      <c r="F4373" s="49" t="s">
        <v>3639</v>
      </c>
      <c r="G4373" s="49" t="n">
        <v>0</v>
      </c>
      <c r="H4373" s="0" t="n">
        <v>0</v>
      </c>
      <c r="M4373" s="51" t="s">
        <v>8315</v>
      </c>
      <c r="N4373" s="49" t="n">
        <v>0</v>
      </c>
      <c r="O4373" s="53" t="n">
        <v>45883.5858796296</v>
      </c>
      <c r="P4373" s="53" t="n">
        <v>45951.4388310185</v>
      </c>
      <c r="Q4373" s="53" t="n">
        <v>45883.5858796296</v>
      </c>
      <c r="R4373" s="0" t="n">
        <v>0</v>
      </c>
      <c r="S4373" s="51" t="s">
        <v>2356</v>
      </c>
      <c r="T4373" s="51" t="s">
        <v>2356</v>
      </c>
      <c r="U4373" s="51" t="s">
        <v>3638</v>
      </c>
      <c r="V4373" s="51" t="s">
        <v>2357</v>
      </c>
      <c r="W4373" s="51" t="s">
        <v>4173</v>
      </c>
      <c r="X4373" s="51" t="s">
        <v>2359</v>
      </c>
    </row>
    <row r="4374" customFormat="false" ht="14.25" hidden="true" customHeight="false" outlineLevel="0" collapsed="false">
      <c r="A4374" s="49" t="s">
        <v>2349</v>
      </c>
      <c r="B4374" s="49" t="s">
        <v>2350</v>
      </c>
      <c r="C4374" s="49" t="s">
        <v>8317</v>
      </c>
      <c r="D4374" s="49" t="s">
        <v>2352</v>
      </c>
      <c r="E4374" s="49" t="s">
        <v>3638</v>
      </c>
      <c r="F4374" s="49" t="s">
        <v>3639</v>
      </c>
      <c r="G4374" s="49" t="n">
        <v>0</v>
      </c>
      <c r="H4374" s="0" t="n">
        <v>0</v>
      </c>
      <c r="M4374" s="51" t="s">
        <v>8315</v>
      </c>
      <c r="N4374" s="49" t="n">
        <v>0</v>
      </c>
      <c r="O4374" s="53" t="n">
        <v>45883.5851967593</v>
      </c>
      <c r="P4374" s="53" t="n">
        <v>45951.439212963</v>
      </c>
      <c r="Q4374" s="53" t="n">
        <v>45883.5851967593</v>
      </c>
      <c r="R4374" s="0" t="n">
        <v>0</v>
      </c>
      <c r="S4374" s="51" t="s">
        <v>2356</v>
      </c>
      <c r="T4374" s="51" t="s">
        <v>2356</v>
      </c>
      <c r="U4374" s="51" t="s">
        <v>3638</v>
      </c>
      <c r="V4374" s="51" t="s">
        <v>2357</v>
      </c>
      <c r="W4374" s="51" t="s">
        <v>3723</v>
      </c>
      <c r="X4374" s="51" t="s">
        <v>2359</v>
      </c>
    </row>
    <row r="4375" customFormat="false" ht="14.25" hidden="true" customHeight="false" outlineLevel="0" collapsed="false">
      <c r="A4375" s="49" t="s">
        <v>2349</v>
      </c>
      <c r="B4375" s="49" t="s">
        <v>2350</v>
      </c>
      <c r="C4375" s="49" t="s">
        <v>8318</v>
      </c>
      <c r="D4375" s="49" t="s">
        <v>2352</v>
      </c>
      <c r="E4375" s="49" t="s">
        <v>3638</v>
      </c>
      <c r="F4375" s="49" t="s">
        <v>3639</v>
      </c>
      <c r="G4375" s="49" t="n">
        <v>0</v>
      </c>
      <c r="H4375" s="0" t="n">
        <v>0</v>
      </c>
      <c r="M4375" s="51" t="s">
        <v>8315</v>
      </c>
      <c r="N4375" s="49" t="n">
        <v>0</v>
      </c>
      <c r="O4375" s="53" t="n">
        <v>45883.5846990741</v>
      </c>
      <c r="P4375" s="53" t="n">
        <v>45950.4278125</v>
      </c>
      <c r="Q4375" s="53" t="n">
        <v>45883.5846990741</v>
      </c>
      <c r="R4375" s="0" t="n">
        <v>0</v>
      </c>
      <c r="S4375" s="51" t="s">
        <v>2356</v>
      </c>
      <c r="T4375" s="51" t="s">
        <v>2356</v>
      </c>
      <c r="U4375" s="51" t="s">
        <v>3638</v>
      </c>
      <c r="V4375" s="51" t="s">
        <v>2357</v>
      </c>
      <c r="W4375" s="51" t="s">
        <v>4586</v>
      </c>
      <c r="X4375" s="51" t="s">
        <v>2359</v>
      </c>
    </row>
    <row r="4376" customFormat="false" ht="14.25" hidden="true" customHeight="false" outlineLevel="0" collapsed="false">
      <c r="A4376" s="49" t="s">
        <v>2349</v>
      </c>
      <c r="B4376" s="49" t="s">
        <v>2350</v>
      </c>
      <c r="C4376" s="49" t="s">
        <v>8319</v>
      </c>
      <c r="D4376" s="49" t="s">
        <v>2352</v>
      </c>
      <c r="E4376" s="49" t="s">
        <v>3638</v>
      </c>
      <c r="F4376" s="49" t="s">
        <v>3639</v>
      </c>
      <c r="G4376" s="49" t="n">
        <v>0</v>
      </c>
      <c r="H4376" s="0" t="n">
        <v>0</v>
      </c>
      <c r="M4376" s="51" t="s">
        <v>8315</v>
      </c>
      <c r="N4376" s="49" t="n">
        <v>0</v>
      </c>
      <c r="O4376" s="53" t="n">
        <v>45883.5829976852</v>
      </c>
      <c r="P4376" s="53" t="n">
        <v>45950.427962963</v>
      </c>
      <c r="Q4376" s="53" t="n">
        <v>45883.5829976852</v>
      </c>
      <c r="R4376" s="0" t="n">
        <v>0</v>
      </c>
      <c r="S4376" s="51" t="s">
        <v>2356</v>
      </c>
      <c r="T4376" s="51" t="s">
        <v>2356</v>
      </c>
      <c r="U4376" s="51" t="s">
        <v>3638</v>
      </c>
      <c r="V4376" s="51" t="s">
        <v>2357</v>
      </c>
      <c r="W4376" s="51" t="s">
        <v>4363</v>
      </c>
      <c r="X4376" s="51" t="s">
        <v>2359</v>
      </c>
    </row>
    <row r="4377" customFormat="false" ht="14.25" hidden="true" customHeight="false" outlineLevel="0" collapsed="false">
      <c r="A4377" s="49" t="s">
        <v>2349</v>
      </c>
      <c r="B4377" s="49" t="s">
        <v>2350</v>
      </c>
      <c r="C4377" s="49" t="s">
        <v>8320</v>
      </c>
      <c r="D4377" s="49" t="s">
        <v>2352</v>
      </c>
      <c r="E4377" s="49" t="str">
        <f aca="false">"5060458890191"</f>
        <v>5060458890191</v>
      </c>
      <c r="F4377" s="49" t="s">
        <v>3656</v>
      </c>
      <c r="G4377" s="49" t="n">
        <v>0</v>
      </c>
      <c r="H4377" s="0" t="n">
        <v>0</v>
      </c>
      <c r="M4377" s="51" t="s">
        <v>8321</v>
      </c>
      <c r="N4377" s="49" t="n">
        <v>0</v>
      </c>
      <c r="O4377" s="53" t="n">
        <v>45885.6057638889</v>
      </c>
      <c r="P4377" s="53" t="n">
        <v>45885.6523958333</v>
      </c>
      <c r="Q4377" s="53" t="n">
        <v>45885.6057638889</v>
      </c>
      <c r="R4377" s="0" t="n">
        <v>0</v>
      </c>
      <c r="S4377" s="51" t="s">
        <v>2398</v>
      </c>
      <c r="T4377" s="51" t="s">
        <v>2398</v>
      </c>
      <c r="U4377" s="0" t="str">
        <f aca="false">"5060458890191"</f>
        <v>5060458890191</v>
      </c>
      <c r="V4377" s="51" t="s">
        <v>2142</v>
      </c>
      <c r="W4377" s="51" t="s">
        <v>5517</v>
      </c>
      <c r="X4377" s="51" t="s">
        <v>2359</v>
      </c>
    </row>
    <row r="4378" customFormat="false" ht="14.25" hidden="true" customHeight="false" outlineLevel="0" collapsed="false">
      <c r="A4378" s="49" t="s">
        <v>2349</v>
      </c>
      <c r="B4378" s="49" t="s">
        <v>2350</v>
      </c>
      <c r="C4378" s="49" t="s">
        <v>8322</v>
      </c>
      <c r="D4378" s="49" t="s">
        <v>2352</v>
      </c>
      <c r="E4378" s="49" t="str">
        <f aca="false">"5060458890191"</f>
        <v>5060458890191</v>
      </c>
      <c r="F4378" s="49" t="s">
        <v>3656</v>
      </c>
      <c r="G4378" s="49" t="n">
        <v>0</v>
      </c>
      <c r="H4378" s="0" t="n">
        <v>0</v>
      </c>
      <c r="M4378" s="51" t="s">
        <v>8321</v>
      </c>
      <c r="N4378" s="49" t="n">
        <v>0</v>
      </c>
      <c r="O4378" s="53" t="n">
        <v>45885.6055208333</v>
      </c>
      <c r="P4378" s="53" t="n">
        <v>45885.6529513889</v>
      </c>
      <c r="Q4378" s="53" t="n">
        <v>45885.6055208333</v>
      </c>
      <c r="R4378" s="0" t="n">
        <v>0</v>
      </c>
      <c r="S4378" s="51" t="s">
        <v>2398</v>
      </c>
      <c r="T4378" s="51" t="s">
        <v>2398</v>
      </c>
      <c r="U4378" s="0" t="str">
        <f aca="false">"5060458890191"</f>
        <v>5060458890191</v>
      </c>
      <c r="V4378" s="51" t="s">
        <v>2142</v>
      </c>
      <c r="W4378" s="51" t="s">
        <v>5517</v>
      </c>
      <c r="X4378" s="51" t="s">
        <v>2359</v>
      </c>
    </row>
    <row r="4379" customFormat="false" ht="14.25" hidden="true" customHeight="false" outlineLevel="0" collapsed="false">
      <c r="A4379" s="49" t="s">
        <v>2349</v>
      </c>
      <c r="B4379" s="49" t="s">
        <v>2350</v>
      </c>
      <c r="C4379" s="49" t="s">
        <v>8323</v>
      </c>
      <c r="D4379" s="49" t="s">
        <v>2352</v>
      </c>
      <c r="E4379" s="49" t="str">
        <f aca="false">"5060458890191"</f>
        <v>5060458890191</v>
      </c>
      <c r="F4379" s="49" t="s">
        <v>3656</v>
      </c>
      <c r="G4379" s="49" t="n">
        <v>0</v>
      </c>
      <c r="H4379" s="0" t="n">
        <v>0</v>
      </c>
      <c r="M4379" s="51" t="s">
        <v>8321</v>
      </c>
      <c r="N4379" s="49" t="n">
        <v>0</v>
      </c>
      <c r="O4379" s="53" t="n">
        <v>45885.6053240741</v>
      </c>
      <c r="P4379" s="53" t="n">
        <v>45885.6530555556</v>
      </c>
      <c r="Q4379" s="53" t="n">
        <v>45885.6053240741</v>
      </c>
      <c r="R4379" s="0" t="n">
        <v>0</v>
      </c>
      <c r="S4379" s="51" t="s">
        <v>2398</v>
      </c>
      <c r="T4379" s="51" t="s">
        <v>2398</v>
      </c>
      <c r="U4379" s="0" t="str">
        <f aca="false">"5060458890191"</f>
        <v>5060458890191</v>
      </c>
      <c r="V4379" s="51" t="s">
        <v>2142</v>
      </c>
      <c r="W4379" s="51" t="s">
        <v>5517</v>
      </c>
      <c r="X4379" s="51" t="s">
        <v>2359</v>
      </c>
    </row>
    <row r="4380" customFormat="false" ht="14.25" hidden="true" customHeight="false" outlineLevel="0" collapsed="false">
      <c r="A4380" s="49" t="s">
        <v>2349</v>
      </c>
      <c r="B4380" s="49" t="s">
        <v>2350</v>
      </c>
      <c r="C4380" s="49" t="s">
        <v>8324</v>
      </c>
      <c r="D4380" s="49" t="s">
        <v>2352</v>
      </c>
      <c r="E4380" s="49" t="str">
        <f aca="false">"5060458890191"</f>
        <v>5060458890191</v>
      </c>
      <c r="F4380" s="49" t="s">
        <v>3656</v>
      </c>
      <c r="G4380" s="49" t="n">
        <v>0</v>
      </c>
      <c r="H4380" s="0" t="n">
        <v>0</v>
      </c>
      <c r="M4380" s="51" t="s">
        <v>8321</v>
      </c>
      <c r="N4380" s="49" t="n">
        <v>0</v>
      </c>
      <c r="O4380" s="53" t="n">
        <v>45885.6045717593</v>
      </c>
      <c r="P4380" s="53" t="n">
        <v>45885.6534490741</v>
      </c>
      <c r="Q4380" s="53" t="n">
        <v>45885.6045717593</v>
      </c>
      <c r="R4380" s="0" t="n">
        <v>0</v>
      </c>
      <c r="S4380" s="51" t="s">
        <v>2398</v>
      </c>
      <c r="T4380" s="51" t="s">
        <v>2398</v>
      </c>
      <c r="U4380" s="0" t="str">
        <f aca="false">"5060458890191"</f>
        <v>5060458890191</v>
      </c>
      <c r="V4380" s="51" t="s">
        <v>2142</v>
      </c>
      <c r="W4380" s="51" t="s">
        <v>5517</v>
      </c>
      <c r="X4380" s="51" t="s">
        <v>2359</v>
      </c>
    </row>
    <row r="4381" customFormat="false" ht="14.25" hidden="true" customHeight="false" outlineLevel="0" collapsed="false">
      <c r="A4381" s="49" t="s">
        <v>2349</v>
      </c>
      <c r="B4381" s="49" t="s">
        <v>2350</v>
      </c>
      <c r="C4381" s="49" t="s">
        <v>8325</v>
      </c>
      <c r="D4381" s="49" t="s">
        <v>2352</v>
      </c>
      <c r="E4381" s="49" t="str">
        <f aca="false">"5060458890191"</f>
        <v>5060458890191</v>
      </c>
      <c r="F4381" s="49" t="s">
        <v>3656</v>
      </c>
      <c r="G4381" s="49" t="n">
        <v>0</v>
      </c>
      <c r="H4381" s="0" t="n">
        <v>0</v>
      </c>
      <c r="M4381" s="51" t="s">
        <v>8321</v>
      </c>
      <c r="N4381" s="49" t="n">
        <v>0</v>
      </c>
      <c r="O4381" s="53" t="n">
        <v>45885.6043981482</v>
      </c>
      <c r="P4381" s="53" t="n">
        <v>45885.6539930556</v>
      </c>
      <c r="Q4381" s="53" t="n">
        <v>45885.6043981482</v>
      </c>
      <c r="R4381" s="0" t="n">
        <v>0</v>
      </c>
      <c r="S4381" s="51" t="s">
        <v>2398</v>
      </c>
      <c r="T4381" s="51" t="s">
        <v>2398</v>
      </c>
      <c r="U4381" s="0" t="str">
        <f aca="false">"5060458890191"</f>
        <v>5060458890191</v>
      </c>
      <c r="V4381" s="51" t="s">
        <v>2142</v>
      </c>
      <c r="W4381" s="51" t="s">
        <v>5517</v>
      </c>
      <c r="X4381" s="51" t="s">
        <v>2359</v>
      </c>
    </row>
    <row r="4382" customFormat="false" ht="14.25" hidden="true" customHeight="false" outlineLevel="0" collapsed="false">
      <c r="A4382" s="49" t="s">
        <v>2349</v>
      </c>
      <c r="B4382" s="49" t="s">
        <v>2350</v>
      </c>
      <c r="C4382" s="49" t="s">
        <v>8326</v>
      </c>
      <c r="D4382" s="49" t="s">
        <v>2352</v>
      </c>
      <c r="E4382" s="49" t="str">
        <f aca="false">"5060458890191"</f>
        <v>5060458890191</v>
      </c>
      <c r="F4382" s="49" t="s">
        <v>3656</v>
      </c>
      <c r="G4382" s="49" t="n">
        <v>0</v>
      </c>
      <c r="H4382" s="0" t="n">
        <v>0</v>
      </c>
      <c r="M4382" s="51" t="s">
        <v>8321</v>
      </c>
      <c r="N4382" s="49" t="n">
        <v>0</v>
      </c>
      <c r="O4382" s="53" t="n">
        <v>45885.6040972222</v>
      </c>
      <c r="P4382" s="53" t="n">
        <v>45885.6552083333</v>
      </c>
      <c r="Q4382" s="53" t="n">
        <v>45885.6040972222</v>
      </c>
      <c r="R4382" s="0" t="n">
        <v>0</v>
      </c>
      <c r="S4382" s="51" t="s">
        <v>2398</v>
      </c>
      <c r="T4382" s="51" t="s">
        <v>2398</v>
      </c>
      <c r="U4382" s="0" t="str">
        <f aca="false">"5060458890191"</f>
        <v>5060458890191</v>
      </c>
      <c r="V4382" s="51" t="s">
        <v>2142</v>
      </c>
      <c r="W4382" s="51" t="s">
        <v>5517</v>
      </c>
      <c r="X4382" s="51" t="s">
        <v>2359</v>
      </c>
    </row>
    <row r="4383" customFormat="false" ht="14.25" hidden="true" customHeight="false" outlineLevel="0" collapsed="false">
      <c r="A4383" s="49" t="s">
        <v>2349</v>
      </c>
      <c r="B4383" s="49" t="s">
        <v>2350</v>
      </c>
      <c r="C4383" s="49" t="s">
        <v>8327</v>
      </c>
      <c r="D4383" s="49" t="s">
        <v>2352</v>
      </c>
      <c r="E4383" s="49" t="str">
        <f aca="false">"5060458890191"</f>
        <v>5060458890191</v>
      </c>
      <c r="F4383" s="49" t="s">
        <v>3656</v>
      </c>
      <c r="G4383" s="49" t="n">
        <v>0</v>
      </c>
      <c r="H4383" s="0" t="n">
        <v>0</v>
      </c>
      <c r="M4383" s="51" t="s">
        <v>8321</v>
      </c>
      <c r="N4383" s="49" t="n">
        <v>0</v>
      </c>
      <c r="O4383" s="53" t="n">
        <v>45885.6038541667</v>
      </c>
      <c r="P4383" s="53" t="n">
        <v>45885.654212963</v>
      </c>
      <c r="Q4383" s="53" t="n">
        <v>45885.6038541667</v>
      </c>
      <c r="R4383" s="0" t="n">
        <v>0</v>
      </c>
      <c r="S4383" s="51" t="s">
        <v>2398</v>
      </c>
      <c r="T4383" s="51" t="s">
        <v>2398</v>
      </c>
      <c r="U4383" s="0" t="str">
        <f aca="false">"5060458890191"</f>
        <v>5060458890191</v>
      </c>
      <c r="V4383" s="51" t="s">
        <v>2142</v>
      </c>
      <c r="W4383" s="51" t="s">
        <v>5517</v>
      </c>
      <c r="X4383" s="51" t="s">
        <v>2359</v>
      </c>
    </row>
    <row r="4384" customFormat="false" ht="14.25" hidden="true" customHeight="false" outlineLevel="0" collapsed="false">
      <c r="A4384" s="49" t="s">
        <v>2349</v>
      </c>
      <c r="B4384" s="49" t="s">
        <v>2350</v>
      </c>
      <c r="C4384" s="49" t="s">
        <v>8328</v>
      </c>
      <c r="D4384" s="49" t="s">
        <v>2352</v>
      </c>
      <c r="E4384" s="49" t="str">
        <f aca="false">"5060458890191"</f>
        <v>5060458890191</v>
      </c>
      <c r="F4384" s="49" t="s">
        <v>3656</v>
      </c>
      <c r="G4384" s="49" t="n">
        <v>0</v>
      </c>
      <c r="H4384" s="0" t="n">
        <v>0</v>
      </c>
      <c r="M4384" s="51" t="s">
        <v>8321</v>
      </c>
      <c r="N4384" s="49" t="n">
        <v>0</v>
      </c>
      <c r="O4384" s="53" t="n">
        <v>45885.6033564815</v>
      </c>
      <c r="P4384" s="53" t="n">
        <v>45885.6543981481</v>
      </c>
      <c r="Q4384" s="53" t="n">
        <v>45885.6033564815</v>
      </c>
      <c r="R4384" s="0" t="n">
        <v>0</v>
      </c>
      <c r="S4384" s="51" t="s">
        <v>2398</v>
      </c>
      <c r="T4384" s="51" t="s">
        <v>2398</v>
      </c>
      <c r="U4384" s="0" t="str">
        <f aca="false">"5060458890191"</f>
        <v>5060458890191</v>
      </c>
      <c r="V4384" s="51" t="s">
        <v>2142</v>
      </c>
      <c r="W4384" s="51" t="s">
        <v>5517</v>
      </c>
      <c r="X4384" s="51" t="s">
        <v>2359</v>
      </c>
    </row>
    <row r="4385" customFormat="false" ht="14.25" hidden="true" customHeight="false" outlineLevel="0" collapsed="false">
      <c r="A4385" s="49" t="s">
        <v>2349</v>
      </c>
      <c r="B4385" s="49" t="s">
        <v>2350</v>
      </c>
      <c r="C4385" s="49" t="s">
        <v>8329</v>
      </c>
      <c r="D4385" s="49" t="s">
        <v>2352</v>
      </c>
      <c r="E4385" s="49" t="str">
        <f aca="false">"5060458890191"</f>
        <v>5060458890191</v>
      </c>
      <c r="F4385" s="49" t="s">
        <v>3656</v>
      </c>
      <c r="G4385" s="49" t="n">
        <v>0</v>
      </c>
      <c r="H4385" s="0" t="n">
        <v>0</v>
      </c>
      <c r="M4385" s="51" t="s">
        <v>8321</v>
      </c>
      <c r="N4385" s="49" t="n">
        <v>0</v>
      </c>
      <c r="O4385" s="53" t="n">
        <v>45885.6030671296</v>
      </c>
      <c r="P4385" s="53" t="n">
        <v>45885.6546180556</v>
      </c>
      <c r="Q4385" s="53" t="n">
        <v>45885.6030671296</v>
      </c>
      <c r="R4385" s="0" t="n">
        <v>0</v>
      </c>
      <c r="S4385" s="51" t="s">
        <v>2398</v>
      </c>
      <c r="T4385" s="51" t="s">
        <v>2398</v>
      </c>
      <c r="U4385" s="0" t="str">
        <f aca="false">"5060458890191"</f>
        <v>5060458890191</v>
      </c>
      <c r="V4385" s="51" t="s">
        <v>2142</v>
      </c>
      <c r="W4385" s="51" t="s">
        <v>5517</v>
      </c>
      <c r="X4385" s="51" t="s">
        <v>2359</v>
      </c>
    </row>
    <row r="4386" customFormat="false" ht="14.25" hidden="true" customHeight="false" outlineLevel="0" collapsed="false">
      <c r="A4386" s="49" t="s">
        <v>2349</v>
      </c>
      <c r="B4386" s="49" t="s">
        <v>2350</v>
      </c>
      <c r="C4386" s="49" t="s">
        <v>8330</v>
      </c>
      <c r="D4386" s="49" t="s">
        <v>2352</v>
      </c>
      <c r="E4386" s="49" t="str">
        <f aca="false">"5060458890191"</f>
        <v>5060458890191</v>
      </c>
      <c r="F4386" s="49" t="s">
        <v>3656</v>
      </c>
      <c r="G4386" s="49" t="n">
        <v>0</v>
      </c>
      <c r="H4386" s="0" t="n">
        <v>0</v>
      </c>
      <c r="M4386" s="51" t="s">
        <v>8321</v>
      </c>
      <c r="N4386" s="49" t="n">
        <v>0</v>
      </c>
      <c r="O4386" s="53" t="n">
        <v>45885.6027662037</v>
      </c>
      <c r="P4386" s="53" t="n">
        <v>45885.6558796296</v>
      </c>
      <c r="Q4386" s="53" t="n">
        <v>45885.6027662037</v>
      </c>
      <c r="R4386" s="0" t="n">
        <v>0</v>
      </c>
      <c r="S4386" s="51" t="s">
        <v>2398</v>
      </c>
      <c r="T4386" s="51" t="s">
        <v>2398</v>
      </c>
      <c r="U4386" s="0" t="str">
        <f aca="false">"5060458890191"</f>
        <v>5060458890191</v>
      </c>
      <c r="V4386" s="51" t="s">
        <v>2142</v>
      </c>
      <c r="W4386" s="51" t="s">
        <v>5517</v>
      </c>
      <c r="X4386" s="51" t="s">
        <v>2359</v>
      </c>
    </row>
    <row r="4387" customFormat="false" ht="14.25" hidden="true" customHeight="false" outlineLevel="0" collapsed="false">
      <c r="A4387" s="49" t="s">
        <v>2349</v>
      </c>
      <c r="B4387" s="49" t="s">
        <v>2350</v>
      </c>
      <c r="C4387" s="49" t="s">
        <v>8331</v>
      </c>
      <c r="D4387" s="49" t="s">
        <v>2352</v>
      </c>
      <c r="E4387" s="49" t="str">
        <f aca="false">"5060458890191"</f>
        <v>5060458890191</v>
      </c>
      <c r="F4387" s="49" t="s">
        <v>3656</v>
      </c>
      <c r="G4387" s="49" t="n">
        <v>0</v>
      </c>
      <c r="H4387" s="0" t="n">
        <v>0</v>
      </c>
      <c r="M4387" s="51" t="s">
        <v>8321</v>
      </c>
      <c r="N4387" s="49" t="n">
        <v>0</v>
      </c>
      <c r="O4387" s="53" t="n">
        <v>45885.6025115741</v>
      </c>
      <c r="P4387" s="53" t="n">
        <v>45885.655474537</v>
      </c>
      <c r="Q4387" s="53" t="n">
        <v>45885.6025115741</v>
      </c>
      <c r="R4387" s="0" t="n">
        <v>0</v>
      </c>
      <c r="S4387" s="51" t="s">
        <v>2398</v>
      </c>
      <c r="T4387" s="51" t="s">
        <v>2398</v>
      </c>
      <c r="U4387" s="0" t="str">
        <f aca="false">"5060458890191"</f>
        <v>5060458890191</v>
      </c>
      <c r="V4387" s="51" t="s">
        <v>2142</v>
      </c>
      <c r="W4387" s="51" t="s">
        <v>5517</v>
      </c>
      <c r="X4387" s="51" t="s">
        <v>2359</v>
      </c>
    </row>
    <row r="4388" customFormat="false" ht="14.25" hidden="true" customHeight="false" outlineLevel="0" collapsed="false">
      <c r="A4388" s="49" t="s">
        <v>2349</v>
      </c>
      <c r="B4388" s="49" t="s">
        <v>2350</v>
      </c>
      <c r="C4388" s="49" t="s">
        <v>8332</v>
      </c>
      <c r="D4388" s="49" t="s">
        <v>2352</v>
      </c>
      <c r="E4388" s="49" t="str">
        <f aca="false">"5060458890191"</f>
        <v>5060458890191</v>
      </c>
      <c r="F4388" s="49" t="s">
        <v>3656</v>
      </c>
      <c r="G4388" s="49" t="n">
        <v>0</v>
      </c>
      <c r="H4388" s="0" t="n">
        <v>0</v>
      </c>
      <c r="M4388" s="51" t="s">
        <v>8321</v>
      </c>
      <c r="N4388" s="49" t="n">
        <v>0</v>
      </c>
      <c r="O4388" s="53" t="n">
        <v>45885.6022569445</v>
      </c>
      <c r="P4388" s="53" t="n">
        <v>45885.6549652778</v>
      </c>
      <c r="Q4388" s="53" t="n">
        <v>45885.6022569445</v>
      </c>
      <c r="R4388" s="0" t="n">
        <v>0</v>
      </c>
      <c r="S4388" s="51" t="s">
        <v>2398</v>
      </c>
      <c r="T4388" s="51" t="s">
        <v>2398</v>
      </c>
      <c r="U4388" s="0" t="str">
        <f aca="false">"5060458890191"</f>
        <v>5060458890191</v>
      </c>
      <c r="V4388" s="51" t="s">
        <v>2142</v>
      </c>
      <c r="W4388" s="51" t="s">
        <v>5517</v>
      </c>
      <c r="X4388" s="51" t="s">
        <v>2359</v>
      </c>
    </row>
    <row r="4389" customFormat="false" ht="14.25" hidden="true" customHeight="false" outlineLevel="0" collapsed="false">
      <c r="A4389" s="49" t="s">
        <v>2349</v>
      </c>
      <c r="B4389" s="49" t="s">
        <v>2350</v>
      </c>
      <c r="C4389" s="49" t="s">
        <v>8333</v>
      </c>
      <c r="D4389" s="49" t="s">
        <v>2352</v>
      </c>
      <c r="E4389" s="49" t="str">
        <f aca="false">"5060458890191"</f>
        <v>5060458890191</v>
      </c>
      <c r="F4389" s="49" t="s">
        <v>3656</v>
      </c>
      <c r="G4389" s="49" t="n">
        <v>0</v>
      </c>
      <c r="H4389" s="0" t="n">
        <v>0</v>
      </c>
      <c r="M4389" s="51" t="s">
        <v>8321</v>
      </c>
      <c r="N4389" s="49" t="n">
        <v>0</v>
      </c>
      <c r="O4389" s="53" t="n">
        <v>45885.6019675926</v>
      </c>
      <c r="P4389" s="53" t="n">
        <v>45885.6560763889</v>
      </c>
      <c r="Q4389" s="53" t="n">
        <v>45885.6019675926</v>
      </c>
      <c r="R4389" s="0" t="n">
        <v>0</v>
      </c>
      <c r="S4389" s="51" t="s">
        <v>2398</v>
      </c>
      <c r="T4389" s="51" t="s">
        <v>2398</v>
      </c>
      <c r="U4389" s="0" t="str">
        <f aca="false">"5060458890191"</f>
        <v>5060458890191</v>
      </c>
      <c r="V4389" s="51" t="s">
        <v>2142</v>
      </c>
      <c r="W4389" s="51" t="s">
        <v>5517</v>
      </c>
      <c r="X4389" s="51" t="s">
        <v>2359</v>
      </c>
    </row>
    <row r="4390" customFormat="false" ht="14.25" hidden="true" customHeight="false" outlineLevel="0" collapsed="false">
      <c r="A4390" s="49" t="s">
        <v>2349</v>
      </c>
      <c r="B4390" s="49" t="s">
        <v>2350</v>
      </c>
      <c r="C4390" s="49" t="s">
        <v>8334</v>
      </c>
      <c r="D4390" s="49" t="s">
        <v>2352</v>
      </c>
      <c r="E4390" s="49" t="str">
        <f aca="false">"5060458890191"</f>
        <v>5060458890191</v>
      </c>
      <c r="F4390" s="49" t="s">
        <v>3656</v>
      </c>
      <c r="G4390" s="49" t="n">
        <v>0</v>
      </c>
      <c r="H4390" s="0" t="n">
        <v>0</v>
      </c>
      <c r="M4390" s="51" t="s">
        <v>8321</v>
      </c>
      <c r="N4390" s="49" t="n">
        <v>0</v>
      </c>
      <c r="O4390" s="53" t="n">
        <v>45885.6016319444</v>
      </c>
      <c r="P4390" s="53" t="n">
        <v>45885.6562615741</v>
      </c>
      <c r="Q4390" s="53" t="n">
        <v>45885.6016319444</v>
      </c>
      <c r="R4390" s="0" t="n">
        <v>0</v>
      </c>
      <c r="S4390" s="51" t="s">
        <v>2398</v>
      </c>
      <c r="T4390" s="51" t="s">
        <v>2398</v>
      </c>
      <c r="U4390" s="0" t="str">
        <f aca="false">"5060458890191"</f>
        <v>5060458890191</v>
      </c>
      <c r="V4390" s="51" t="s">
        <v>2142</v>
      </c>
      <c r="W4390" s="51" t="s">
        <v>5517</v>
      </c>
      <c r="X4390" s="51" t="s">
        <v>2359</v>
      </c>
    </row>
    <row r="4391" customFormat="false" ht="14.25" hidden="true" customHeight="false" outlineLevel="0" collapsed="false">
      <c r="A4391" s="49" t="s">
        <v>2349</v>
      </c>
      <c r="B4391" s="49" t="s">
        <v>2350</v>
      </c>
      <c r="C4391" s="49" t="s">
        <v>8335</v>
      </c>
      <c r="D4391" s="49" t="s">
        <v>2352</v>
      </c>
      <c r="E4391" s="49" t="str">
        <f aca="false">"5060458890191"</f>
        <v>5060458890191</v>
      </c>
      <c r="F4391" s="49" t="s">
        <v>3656</v>
      </c>
      <c r="G4391" s="49" t="n">
        <v>0</v>
      </c>
      <c r="H4391" s="0" t="n">
        <v>0</v>
      </c>
      <c r="M4391" s="51" t="s">
        <v>8321</v>
      </c>
      <c r="N4391" s="49" t="n">
        <v>0</v>
      </c>
      <c r="O4391" s="53" t="n">
        <v>45885.6013888889</v>
      </c>
      <c r="P4391" s="53" t="n">
        <v>45885.6566087963</v>
      </c>
      <c r="Q4391" s="53" t="n">
        <v>45885.6013888889</v>
      </c>
      <c r="R4391" s="0" t="n">
        <v>0</v>
      </c>
      <c r="S4391" s="51" t="s">
        <v>2398</v>
      </c>
      <c r="T4391" s="51" t="s">
        <v>2398</v>
      </c>
      <c r="U4391" s="0" t="str">
        <f aca="false">"5060458890191"</f>
        <v>5060458890191</v>
      </c>
      <c r="V4391" s="51" t="s">
        <v>2142</v>
      </c>
      <c r="W4391" s="51" t="s">
        <v>5517</v>
      </c>
      <c r="X4391" s="51" t="s">
        <v>2359</v>
      </c>
    </row>
    <row r="4392" customFormat="false" ht="14.25" hidden="true" customHeight="false" outlineLevel="0" collapsed="false">
      <c r="A4392" s="49" t="s">
        <v>2349</v>
      </c>
      <c r="B4392" s="49" t="s">
        <v>2350</v>
      </c>
      <c r="C4392" s="49" t="s">
        <v>8336</v>
      </c>
      <c r="D4392" s="49" t="s">
        <v>2352</v>
      </c>
      <c r="E4392" s="49" t="str">
        <f aca="false">"5060458890191"</f>
        <v>5060458890191</v>
      </c>
      <c r="F4392" s="49" t="s">
        <v>3656</v>
      </c>
      <c r="G4392" s="49" t="n">
        <v>0</v>
      </c>
      <c r="H4392" s="0" t="n">
        <v>0</v>
      </c>
      <c r="M4392" s="51" t="s">
        <v>8321</v>
      </c>
      <c r="N4392" s="49" t="n">
        <v>0</v>
      </c>
      <c r="O4392" s="53" t="n">
        <v>45885.6010763889</v>
      </c>
      <c r="P4392" s="53" t="n">
        <v>45885.656875</v>
      </c>
      <c r="Q4392" s="53" t="n">
        <v>45885.6010763889</v>
      </c>
      <c r="R4392" s="0" t="n">
        <v>0</v>
      </c>
      <c r="S4392" s="51" t="s">
        <v>2398</v>
      </c>
      <c r="T4392" s="51" t="s">
        <v>2398</v>
      </c>
      <c r="U4392" s="0" t="str">
        <f aca="false">"5060458890191"</f>
        <v>5060458890191</v>
      </c>
      <c r="V4392" s="51" t="s">
        <v>2142</v>
      </c>
      <c r="W4392" s="51" t="s">
        <v>5517</v>
      </c>
      <c r="X4392" s="51" t="s">
        <v>2359</v>
      </c>
    </row>
    <row r="4393" customFormat="false" ht="14.25" hidden="true" customHeight="false" outlineLevel="0" collapsed="false">
      <c r="A4393" s="49" t="s">
        <v>2349</v>
      </c>
      <c r="B4393" s="49" t="s">
        <v>2350</v>
      </c>
      <c r="C4393" s="49" t="s">
        <v>8337</v>
      </c>
      <c r="D4393" s="49" t="s">
        <v>2352</v>
      </c>
      <c r="E4393" s="49" t="str">
        <f aca="false">"5060458890191"</f>
        <v>5060458890191</v>
      </c>
      <c r="F4393" s="49" t="s">
        <v>3656</v>
      </c>
      <c r="G4393" s="49" t="n">
        <v>0</v>
      </c>
      <c r="H4393" s="0" t="n">
        <v>0</v>
      </c>
      <c r="M4393" s="51" t="s">
        <v>8321</v>
      </c>
      <c r="N4393" s="49" t="n">
        <v>0</v>
      </c>
      <c r="O4393" s="53" t="n">
        <v>45885.6006712963</v>
      </c>
      <c r="P4393" s="53" t="n">
        <v>45885.6570601852</v>
      </c>
      <c r="Q4393" s="53" t="n">
        <v>45885.6006712963</v>
      </c>
      <c r="R4393" s="0" t="n">
        <v>0</v>
      </c>
      <c r="S4393" s="51" t="s">
        <v>2398</v>
      </c>
      <c r="T4393" s="51" t="s">
        <v>2398</v>
      </c>
      <c r="U4393" s="0" t="str">
        <f aca="false">"5060458890191"</f>
        <v>5060458890191</v>
      </c>
      <c r="V4393" s="51" t="s">
        <v>2142</v>
      </c>
      <c r="W4393" s="51" t="s">
        <v>5517</v>
      </c>
      <c r="X4393" s="51" t="s">
        <v>2359</v>
      </c>
    </row>
    <row r="4394" customFormat="false" ht="14.25" hidden="true" customHeight="false" outlineLevel="0" collapsed="false">
      <c r="A4394" s="49" t="s">
        <v>2349</v>
      </c>
      <c r="B4394" s="49" t="s">
        <v>2350</v>
      </c>
      <c r="C4394" s="49" t="s">
        <v>8338</v>
      </c>
      <c r="D4394" s="49" t="s">
        <v>2352</v>
      </c>
      <c r="E4394" s="49" t="str">
        <f aca="false">"5060458890191"</f>
        <v>5060458890191</v>
      </c>
      <c r="F4394" s="49" t="s">
        <v>3656</v>
      </c>
      <c r="G4394" s="49" t="n">
        <v>0</v>
      </c>
      <c r="H4394" s="0" t="n">
        <v>0</v>
      </c>
      <c r="M4394" s="51" t="s">
        <v>8321</v>
      </c>
      <c r="N4394" s="49" t="n">
        <v>0</v>
      </c>
      <c r="O4394" s="53" t="n">
        <v>45885.6003009259</v>
      </c>
      <c r="P4394" s="53" t="n">
        <v>45885.6569907407</v>
      </c>
      <c r="Q4394" s="53" t="n">
        <v>45885.6003009259</v>
      </c>
      <c r="R4394" s="0" t="n">
        <v>0</v>
      </c>
      <c r="S4394" s="51" t="s">
        <v>2398</v>
      </c>
      <c r="T4394" s="51" t="s">
        <v>2398</v>
      </c>
      <c r="U4394" s="0" t="str">
        <f aca="false">"5060458890191"</f>
        <v>5060458890191</v>
      </c>
      <c r="V4394" s="51" t="s">
        <v>2142</v>
      </c>
      <c r="W4394" s="51" t="s">
        <v>5517</v>
      </c>
      <c r="X4394" s="51" t="s">
        <v>2359</v>
      </c>
    </row>
    <row r="4395" customFormat="false" ht="14.25" hidden="true" customHeight="false" outlineLevel="0" collapsed="false">
      <c r="A4395" s="49" t="s">
        <v>2349</v>
      </c>
      <c r="B4395" s="49" t="s">
        <v>2350</v>
      </c>
      <c r="C4395" s="49" t="s">
        <v>8339</v>
      </c>
      <c r="D4395" s="49" t="s">
        <v>2352</v>
      </c>
      <c r="E4395" s="49" t="str">
        <f aca="false">"5060458890191"</f>
        <v>5060458890191</v>
      </c>
      <c r="F4395" s="49" t="s">
        <v>3656</v>
      </c>
      <c r="G4395" s="49" t="n">
        <v>0</v>
      </c>
      <c r="H4395" s="0" t="n">
        <v>0</v>
      </c>
      <c r="M4395" s="51" t="s">
        <v>8321</v>
      </c>
      <c r="N4395" s="49" t="n">
        <v>0</v>
      </c>
      <c r="O4395" s="53" t="n">
        <v>45885.6000115741</v>
      </c>
      <c r="P4395" s="53" t="n">
        <v>45885.6572453704</v>
      </c>
      <c r="Q4395" s="53" t="n">
        <v>45885.6000115741</v>
      </c>
      <c r="R4395" s="0" t="n">
        <v>0</v>
      </c>
      <c r="S4395" s="51" t="s">
        <v>2398</v>
      </c>
      <c r="T4395" s="51" t="s">
        <v>2398</v>
      </c>
      <c r="U4395" s="0" t="str">
        <f aca="false">"5060458890191"</f>
        <v>5060458890191</v>
      </c>
      <c r="V4395" s="51" t="s">
        <v>2142</v>
      </c>
      <c r="W4395" s="51" t="s">
        <v>5517</v>
      </c>
      <c r="X4395" s="51" t="s">
        <v>2359</v>
      </c>
    </row>
    <row r="4396" customFormat="false" ht="14.25" hidden="true" customHeight="false" outlineLevel="0" collapsed="false">
      <c r="A4396" s="49" t="s">
        <v>2349</v>
      </c>
      <c r="B4396" s="49" t="s">
        <v>2350</v>
      </c>
      <c r="C4396" s="49" t="s">
        <v>8340</v>
      </c>
      <c r="D4396" s="49" t="s">
        <v>2352</v>
      </c>
      <c r="E4396" s="49" t="str">
        <f aca="false">"5060458890191"</f>
        <v>5060458890191</v>
      </c>
      <c r="F4396" s="49" t="s">
        <v>3656</v>
      </c>
      <c r="G4396" s="49" t="n">
        <v>0</v>
      </c>
      <c r="H4396" s="0" t="n">
        <v>0</v>
      </c>
      <c r="M4396" s="51" t="s">
        <v>8321</v>
      </c>
      <c r="N4396" s="49" t="n">
        <v>0</v>
      </c>
      <c r="O4396" s="53" t="n">
        <v>45885.5995949074</v>
      </c>
      <c r="P4396" s="53" t="n">
        <v>45885.6573958333</v>
      </c>
      <c r="Q4396" s="53" t="n">
        <v>45885.5995949074</v>
      </c>
      <c r="R4396" s="0" t="n">
        <v>0</v>
      </c>
      <c r="S4396" s="51" t="s">
        <v>2398</v>
      </c>
      <c r="T4396" s="51" t="s">
        <v>2398</v>
      </c>
      <c r="U4396" s="0" t="str">
        <f aca="false">"5060458890191"</f>
        <v>5060458890191</v>
      </c>
      <c r="V4396" s="51" t="s">
        <v>2142</v>
      </c>
      <c r="W4396" s="51" t="s">
        <v>5517</v>
      </c>
      <c r="X4396" s="51" t="s">
        <v>2359</v>
      </c>
    </row>
    <row r="4397" customFormat="false" ht="14.25" hidden="true" customHeight="false" outlineLevel="0" collapsed="false">
      <c r="A4397" s="49" t="s">
        <v>2349</v>
      </c>
      <c r="B4397" s="49" t="s">
        <v>2350</v>
      </c>
      <c r="C4397" s="49" t="s">
        <v>8341</v>
      </c>
      <c r="D4397" s="49" t="s">
        <v>2352</v>
      </c>
      <c r="E4397" s="49" t="str">
        <f aca="false">"5060458890191"</f>
        <v>5060458890191</v>
      </c>
      <c r="F4397" s="49" t="s">
        <v>3656</v>
      </c>
      <c r="G4397" s="49" t="n">
        <v>0</v>
      </c>
      <c r="H4397" s="0" t="n">
        <v>0</v>
      </c>
      <c r="M4397" s="51" t="s">
        <v>8321</v>
      </c>
      <c r="N4397" s="49" t="n">
        <v>0</v>
      </c>
      <c r="O4397" s="53" t="n">
        <v>45885.5956828704</v>
      </c>
      <c r="P4397" s="53" t="n">
        <v>45885.6574652778</v>
      </c>
      <c r="Q4397" s="53" t="n">
        <v>45885.5956828704</v>
      </c>
      <c r="R4397" s="0" t="n">
        <v>0</v>
      </c>
      <c r="S4397" s="51" t="s">
        <v>2398</v>
      </c>
      <c r="T4397" s="51" t="s">
        <v>2398</v>
      </c>
      <c r="U4397" s="0" t="str">
        <f aca="false">"5060458890191"</f>
        <v>5060458890191</v>
      </c>
      <c r="V4397" s="51" t="s">
        <v>2142</v>
      </c>
      <c r="W4397" s="51" t="s">
        <v>5517</v>
      </c>
      <c r="X4397" s="51" t="s">
        <v>2359</v>
      </c>
    </row>
    <row r="4398" customFormat="false" ht="14.25" hidden="true" customHeight="false" outlineLevel="0" collapsed="false">
      <c r="A4398" s="49" t="s">
        <v>2349</v>
      </c>
      <c r="B4398" s="49" t="s">
        <v>2350</v>
      </c>
      <c r="C4398" s="49" t="s">
        <v>8342</v>
      </c>
      <c r="D4398" s="49" t="s">
        <v>2352</v>
      </c>
      <c r="E4398" s="49" t="str">
        <f aca="false">"5060458890191"</f>
        <v>5060458890191</v>
      </c>
      <c r="F4398" s="49" t="s">
        <v>3656</v>
      </c>
      <c r="G4398" s="49" t="n">
        <v>0</v>
      </c>
      <c r="H4398" s="0" t="n">
        <v>0</v>
      </c>
      <c r="M4398" s="51" t="s">
        <v>8321</v>
      </c>
      <c r="N4398" s="49" t="n">
        <v>0</v>
      </c>
      <c r="O4398" s="53" t="n">
        <v>45885.5955208333</v>
      </c>
      <c r="P4398" s="53" t="n">
        <v>45885.6575694445</v>
      </c>
      <c r="Q4398" s="53" t="n">
        <v>45885.5955208333</v>
      </c>
      <c r="R4398" s="0" t="n">
        <v>0</v>
      </c>
      <c r="S4398" s="51" t="s">
        <v>2398</v>
      </c>
      <c r="T4398" s="51" t="s">
        <v>2398</v>
      </c>
      <c r="U4398" s="0" t="str">
        <f aca="false">"5060458890191"</f>
        <v>5060458890191</v>
      </c>
      <c r="V4398" s="51" t="s">
        <v>2142</v>
      </c>
      <c r="W4398" s="51" t="s">
        <v>5517</v>
      </c>
      <c r="X4398" s="51" t="s">
        <v>2359</v>
      </c>
    </row>
    <row r="4399" customFormat="false" ht="14.25" hidden="true" customHeight="false" outlineLevel="0" collapsed="false">
      <c r="A4399" s="49" t="s">
        <v>2349</v>
      </c>
      <c r="B4399" s="49" t="s">
        <v>2350</v>
      </c>
      <c r="C4399" s="49" t="s">
        <v>8343</v>
      </c>
      <c r="D4399" s="49" t="s">
        <v>2352</v>
      </c>
      <c r="E4399" s="49" t="str">
        <f aca="false">"5060458890191"</f>
        <v>5060458890191</v>
      </c>
      <c r="F4399" s="49" t="s">
        <v>3656</v>
      </c>
      <c r="G4399" s="49" t="n">
        <v>0</v>
      </c>
      <c r="H4399" s="0" t="n">
        <v>0</v>
      </c>
      <c r="M4399" s="51" t="s">
        <v>8321</v>
      </c>
      <c r="N4399" s="49" t="n">
        <v>0</v>
      </c>
      <c r="O4399" s="53" t="n">
        <v>45885.5953703704</v>
      </c>
      <c r="P4399" s="53" t="n">
        <v>45890.5863888889</v>
      </c>
      <c r="Q4399" s="53" t="n">
        <v>45885.5953703704</v>
      </c>
      <c r="R4399" s="0" t="n">
        <v>0</v>
      </c>
      <c r="S4399" s="51" t="s">
        <v>2398</v>
      </c>
      <c r="T4399" s="51" t="s">
        <v>2398</v>
      </c>
      <c r="U4399" s="0" t="str">
        <f aca="false">"5060458890191"</f>
        <v>5060458890191</v>
      </c>
      <c r="V4399" s="51" t="s">
        <v>2142</v>
      </c>
      <c r="W4399" s="51" t="s">
        <v>6793</v>
      </c>
      <c r="X4399" s="51" t="s">
        <v>2359</v>
      </c>
    </row>
    <row r="4400" customFormat="false" ht="14.25" hidden="true" customHeight="false" outlineLevel="0" collapsed="false">
      <c r="A4400" s="49" t="s">
        <v>2349</v>
      </c>
      <c r="B4400" s="49" t="s">
        <v>2350</v>
      </c>
      <c r="C4400" s="49" t="s">
        <v>8344</v>
      </c>
      <c r="D4400" s="49" t="s">
        <v>2352</v>
      </c>
      <c r="E4400" s="49" t="str">
        <f aca="false">"5060458890191"</f>
        <v>5060458890191</v>
      </c>
      <c r="F4400" s="49" t="s">
        <v>3656</v>
      </c>
      <c r="G4400" s="49" t="n">
        <v>0</v>
      </c>
      <c r="H4400" s="0" t="n">
        <v>0</v>
      </c>
      <c r="M4400" s="51" t="s">
        <v>8321</v>
      </c>
      <c r="N4400" s="49" t="n">
        <v>0</v>
      </c>
      <c r="O4400" s="53" t="n">
        <v>45885.5950810185</v>
      </c>
      <c r="P4400" s="53" t="n">
        <v>45890.5955439815</v>
      </c>
      <c r="Q4400" s="53" t="n">
        <v>45885.5950810185</v>
      </c>
      <c r="R4400" s="0" t="n">
        <v>0</v>
      </c>
      <c r="S4400" s="51" t="s">
        <v>2398</v>
      </c>
      <c r="T4400" s="51" t="s">
        <v>2398</v>
      </c>
      <c r="U4400" s="0" t="str">
        <f aca="false">"5060458890191"</f>
        <v>5060458890191</v>
      </c>
      <c r="V4400" s="51" t="s">
        <v>2142</v>
      </c>
      <c r="W4400" s="51" t="s">
        <v>4519</v>
      </c>
      <c r="X4400" s="51" t="s">
        <v>2359</v>
      </c>
    </row>
    <row r="4401" customFormat="false" ht="14.25" hidden="true" customHeight="false" outlineLevel="0" collapsed="false">
      <c r="A4401" s="49" t="s">
        <v>2349</v>
      </c>
      <c r="B4401" s="49" t="s">
        <v>2350</v>
      </c>
      <c r="C4401" s="49" t="s">
        <v>8345</v>
      </c>
      <c r="D4401" s="49" t="s">
        <v>2352</v>
      </c>
      <c r="E4401" s="49" t="str">
        <f aca="false">"5060458890191"</f>
        <v>5060458890191</v>
      </c>
      <c r="F4401" s="49" t="s">
        <v>3656</v>
      </c>
      <c r="G4401" s="49" t="n">
        <v>0</v>
      </c>
      <c r="H4401" s="0" t="n">
        <v>0</v>
      </c>
      <c r="M4401" s="51" t="s">
        <v>8321</v>
      </c>
      <c r="N4401" s="49" t="n">
        <v>0</v>
      </c>
      <c r="O4401" s="53" t="n">
        <v>45885.5947222222</v>
      </c>
      <c r="P4401" s="53" t="n">
        <v>45890.6072453704</v>
      </c>
      <c r="Q4401" s="53" t="n">
        <v>45885.5947222222</v>
      </c>
      <c r="R4401" s="0" t="n">
        <v>0</v>
      </c>
      <c r="S4401" s="51" t="s">
        <v>2398</v>
      </c>
      <c r="T4401" s="51" t="s">
        <v>2398</v>
      </c>
      <c r="U4401" s="0" t="str">
        <f aca="false">"5060458890191"</f>
        <v>5060458890191</v>
      </c>
      <c r="V4401" s="51" t="s">
        <v>2142</v>
      </c>
      <c r="W4401" s="51" t="s">
        <v>5672</v>
      </c>
      <c r="X4401" s="51" t="s">
        <v>2359</v>
      </c>
    </row>
    <row r="4402" customFormat="false" ht="14.25" hidden="true" customHeight="false" outlineLevel="0" collapsed="false">
      <c r="A4402" s="49" t="s">
        <v>2349</v>
      </c>
      <c r="B4402" s="49" t="s">
        <v>2350</v>
      </c>
      <c r="C4402" s="49" t="s">
        <v>8346</v>
      </c>
      <c r="D4402" s="49" t="s">
        <v>2352</v>
      </c>
      <c r="E4402" s="49" t="str">
        <f aca="false">"5060458890191"</f>
        <v>5060458890191</v>
      </c>
      <c r="F4402" s="49" t="s">
        <v>3656</v>
      </c>
      <c r="G4402" s="49" t="n">
        <v>0</v>
      </c>
      <c r="H4402" s="0" t="n">
        <v>0</v>
      </c>
      <c r="M4402" s="51" t="s">
        <v>8321</v>
      </c>
      <c r="N4402" s="49" t="n">
        <v>0</v>
      </c>
      <c r="O4402" s="53" t="n">
        <v>45885.6069328704</v>
      </c>
      <c r="P4402" s="53" t="n">
        <v>45890.5978472222</v>
      </c>
      <c r="Q4402" s="53" t="n">
        <v>45885.6069328704</v>
      </c>
      <c r="R4402" s="0" t="n">
        <v>0</v>
      </c>
      <c r="S4402" s="51" t="s">
        <v>2398</v>
      </c>
      <c r="T4402" s="51" t="s">
        <v>2398</v>
      </c>
      <c r="U4402" s="0" t="str">
        <f aca="false">"5060458890191"</f>
        <v>5060458890191</v>
      </c>
      <c r="V4402" s="51" t="s">
        <v>2142</v>
      </c>
      <c r="W4402" s="51" t="s">
        <v>8347</v>
      </c>
      <c r="X4402" s="51" t="s">
        <v>2359</v>
      </c>
    </row>
    <row r="4403" customFormat="false" ht="14.25" hidden="true" customHeight="false" outlineLevel="0" collapsed="false">
      <c r="A4403" s="49" t="s">
        <v>2349</v>
      </c>
      <c r="B4403" s="49" t="s">
        <v>2350</v>
      </c>
      <c r="C4403" s="49" t="s">
        <v>8348</v>
      </c>
      <c r="D4403" s="49" t="s">
        <v>2352</v>
      </c>
      <c r="E4403" s="49" t="str">
        <f aca="false">"5060458890191"</f>
        <v>5060458890191</v>
      </c>
      <c r="F4403" s="49" t="s">
        <v>3656</v>
      </c>
      <c r="G4403" s="49" t="n">
        <v>0</v>
      </c>
      <c r="H4403" s="0" t="n">
        <v>0</v>
      </c>
      <c r="M4403" s="51" t="s">
        <v>8321</v>
      </c>
      <c r="N4403" s="49" t="n">
        <v>0</v>
      </c>
      <c r="O4403" s="53" t="n">
        <v>45885.605162037</v>
      </c>
      <c r="P4403" s="53" t="n">
        <v>45887.5748263889</v>
      </c>
      <c r="Q4403" s="53" t="n">
        <v>45885.605162037</v>
      </c>
      <c r="R4403" s="0" t="n">
        <v>0</v>
      </c>
      <c r="S4403" s="51" t="s">
        <v>2398</v>
      </c>
      <c r="T4403" s="51" t="s">
        <v>2398</v>
      </c>
      <c r="U4403" s="0" t="str">
        <f aca="false">"5060458890191"</f>
        <v>5060458890191</v>
      </c>
      <c r="V4403" s="51" t="s">
        <v>2142</v>
      </c>
      <c r="W4403" s="51" t="s">
        <v>8349</v>
      </c>
      <c r="X4403" s="51" t="s">
        <v>2359</v>
      </c>
    </row>
    <row r="4404" customFormat="false" ht="14.25" hidden="true" customHeight="false" outlineLevel="0" collapsed="false">
      <c r="A4404" s="49" t="s">
        <v>2349</v>
      </c>
      <c r="B4404" s="49" t="s">
        <v>2350</v>
      </c>
      <c r="C4404" s="49" t="s">
        <v>8350</v>
      </c>
      <c r="D4404" s="49" t="s">
        <v>2352</v>
      </c>
      <c r="E4404" s="49" t="str">
        <f aca="false">"5060458890191"</f>
        <v>5060458890191</v>
      </c>
      <c r="F4404" s="49" t="s">
        <v>3656</v>
      </c>
      <c r="G4404" s="49" t="n">
        <v>0</v>
      </c>
      <c r="H4404" s="0" t="n">
        <v>0</v>
      </c>
      <c r="M4404" s="51" t="s">
        <v>8321</v>
      </c>
      <c r="N4404" s="49" t="n">
        <v>0</v>
      </c>
      <c r="O4404" s="53" t="n">
        <v>45885.6049768519</v>
      </c>
      <c r="P4404" s="53" t="n">
        <v>45887.575</v>
      </c>
      <c r="Q4404" s="53" t="n">
        <v>45885.6049768519</v>
      </c>
      <c r="R4404" s="0" t="n">
        <v>0</v>
      </c>
      <c r="S4404" s="51" t="s">
        <v>2398</v>
      </c>
      <c r="T4404" s="51" t="s">
        <v>2398</v>
      </c>
      <c r="U4404" s="0" t="str">
        <f aca="false">"5060458890191"</f>
        <v>5060458890191</v>
      </c>
      <c r="V4404" s="51" t="s">
        <v>2142</v>
      </c>
      <c r="W4404" s="51" t="s">
        <v>8351</v>
      </c>
      <c r="X4404" s="51" t="s">
        <v>2359</v>
      </c>
    </row>
    <row r="4405" customFormat="false" ht="14.25" hidden="true" customHeight="false" outlineLevel="0" collapsed="false">
      <c r="A4405" s="49" t="s">
        <v>2349</v>
      </c>
      <c r="B4405" s="49" t="s">
        <v>2350</v>
      </c>
      <c r="C4405" s="49" t="s">
        <v>8352</v>
      </c>
      <c r="D4405" s="49" t="s">
        <v>2352</v>
      </c>
      <c r="E4405" s="49" t="str">
        <f aca="false">"5060458890191"</f>
        <v>5060458890191</v>
      </c>
      <c r="F4405" s="49" t="s">
        <v>3656</v>
      </c>
      <c r="G4405" s="49" t="n">
        <v>0</v>
      </c>
      <c r="H4405" s="0" t="n">
        <v>0</v>
      </c>
      <c r="M4405" s="51" t="s">
        <v>8321</v>
      </c>
      <c r="N4405" s="49" t="n">
        <v>0</v>
      </c>
      <c r="O4405" s="53" t="n">
        <v>45885.6047569444</v>
      </c>
      <c r="P4405" s="53" t="n">
        <v>45890.5919791667</v>
      </c>
      <c r="Q4405" s="53" t="n">
        <v>45885.6047569444</v>
      </c>
      <c r="R4405" s="0" t="n">
        <v>0</v>
      </c>
      <c r="S4405" s="51" t="s">
        <v>2398</v>
      </c>
      <c r="T4405" s="51" t="s">
        <v>2398</v>
      </c>
      <c r="U4405" s="0" t="str">
        <f aca="false">"5060458890191"</f>
        <v>5060458890191</v>
      </c>
      <c r="V4405" s="51" t="s">
        <v>2142</v>
      </c>
      <c r="W4405" s="51" t="s">
        <v>5517</v>
      </c>
      <c r="X4405" s="51" t="s">
        <v>2359</v>
      </c>
    </row>
    <row r="4406" customFormat="false" ht="14.25" hidden="true" customHeight="false" outlineLevel="0" collapsed="false">
      <c r="A4406" s="49" t="s">
        <v>2349</v>
      </c>
      <c r="B4406" s="49" t="s">
        <v>2350</v>
      </c>
      <c r="C4406" s="49" t="s">
        <v>8353</v>
      </c>
      <c r="D4406" s="49" t="s">
        <v>2352</v>
      </c>
      <c r="E4406" s="49" t="s">
        <v>8354</v>
      </c>
      <c r="F4406" s="49" t="s">
        <v>8355</v>
      </c>
      <c r="G4406" s="49" t="n">
        <v>0</v>
      </c>
      <c r="H4406" s="0" t="n">
        <v>0</v>
      </c>
      <c r="M4406" s="51" t="s">
        <v>8356</v>
      </c>
      <c r="N4406" s="49" t="n">
        <v>0</v>
      </c>
      <c r="O4406" s="53" t="n">
        <v>45809.4683796296</v>
      </c>
      <c r="P4406" s="53" t="n">
        <v>45825.8354166667</v>
      </c>
      <c r="Q4406" s="53" t="n">
        <v>45809.4683796296</v>
      </c>
      <c r="R4406" s="0" t="n">
        <v>0</v>
      </c>
      <c r="S4406" s="51" t="s">
        <v>2416</v>
      </c>
      <c r="T4406" s="51" t="s">
        <v>2416</v>
      </c>
      <c r="U4406" s="51" t="s">
        <v>8354</v>
      </c>
      <c r="V4406" s="51" t="s">
        <v>2365</v>
      </c>
      <c r="W4406" s="51" t="s">
        <v>5170</v>
      </c>
      <c r="X4406" s="51" t="s">
        <v>2359</v>
      </c>
    </row>
    <row r="4407" customFormat="false" ht="14.25" hidden="true" customHeight="false" outlineLevel="0" collapsed="false">
      <c r="A4407" s="49" t="s">
        <v>2349</v>
      </c>
      <c r="B4407" s="49" t="s">
        <v>2350</v>
      </c>
      <c r="C4407" s="49" t="s">
        <v>8357</v>
      </c>
      <c r="D4407" s="49" t="s">
        <v>2352</v>
      </c>
      <c r="E4407" s="49" t="s">
        <v>8354</v>
      </c>
      <c r="F4407" s="49" t="s">
        <v>8355</v>
      </c>
      <c r="G4407" s="49" t="n">
        <v>0</v>
      </c>
      <c r="H4407" s="0" t="n">
        <v>0</v>
      </c>
      <c r="M4407" s="51" t="s">
        <v>8356</v>
      </c>
      <c r="N4407" s="49" t="n">
        <v>0</v>
      </c>
      <c r="O4407" s="53" t="n">
        <v>45809.4686574074</v>
      </c>
      <c r="P4407" s="53" t="n">
        <v>45825.8401851852</v>
      </c>
      <c r="Q4407" s="53" t="n">
        <v>45809.4686574074</v>
      </c>
      <c r="R4407" s="0" t="n">
        <v>0</v>
      </c>
      <c r="S4407" s="51" t="s">
        <v>2416</v>
      </c>
      <c r="T4407" s="51" t="s">
        <v>2416</v>
      </c>
      <c r="U4407" s="51" t="s">
        <v>8354</v>
      </c>
      <c r="V4407" s="51" t="s">
        <v>2365</v>
      </c>
      <c r="W4407" s="51" t="s">
        <v>8358</v>
      </c>
      <c r="X4407" s="51" t="s">
        <v>2359</v>
      </c>
    </row>
    <row r="4408" customFormat="false" ht="14.25" hidden="true" customHeight="false" outlineLevel="0" collapsed="false">
      <c r="A4408" s="49" t="s">
        <v>2349</v>
      </c>
      <c r="B4408" s="49" t="s">
        <v>2350</v>
      </c>
      <c r="C4408" s="49" t="s">
        <v>8359</v>
      </c>
      <c r="D4408" s="49" t="s">
        <v>2352</v>
      </c>
      <c r="E4408" s="49" t="s">
        <v>8354</v>
      </c>
      <c r="F4408" s="49" t="s">
        <v>8355</v>
      </c>
      <c r="G4408" s="49" t="n">
        <v>0</v>
      </c>
      <c r="H4408" s="0" t="n">
        <v>0</v>
      </c>
      <c r="M4408" s="51" t="s">
        <v>8356</v>
      </c>
      <c r="N4408" s="49" t="n">
        <v>0</v>
      </c>
      <c r="O4408" s="53" t="n">
        <v>45809.4687962963</v>
      </c>
      <c r="P4408" s="53" t="n">
        <v>45825.8375462963</v>
      </c>
      <c r="Q4408" s="53" t="n">
        <v>45809.4687962963</v>
      </c>
      <c r="R4408" s="0" t="n">
        <v>0</v>
      </c>
      <c r="S4408" s="51" t="s">
        <v>2416</v>
      </c>
      <c r="T4408" s="51" t="s">
        <v>2416</v>
      </c>
      <c r="U4408" s="51" t="s">
        <v>8354</v>
      </c>
      <c r="V4408" s="51" t="s">
        <v>2365</v>
      </c>
      <c r="W4408" s="51" t="s">
        <v>4775</v>
      </c>
      <c r="X4408" s="51" t="s">
        <v>2359</v>
      </c>
    </row>
    <row r="4409" customFormat="false" ht="14.25" hidden="true" customHeight="false" outlineLevel="0" collapsed="false">
      <c r="A4409" s="49" t="s">
        <v>2349</v>
      </c>
      <c r="B4409" s="49" t="s">
        <v>2350</v>
      </c>
      <c r="C4409" s="49" t="s">
        <v>8360</v>
      </c>
      <c r="D4409" s="49" t="s">
        <v>2352</v>
      </c>
      <c r="E4409" s="49" t="s">
        <v>8354</v>
      </c>
      <c r="F4409" s="49" t="s">
        <v>8355</v>
      </c>
      <c r="G4409" s="49" t="n">
        <v>0</v>
      </c>
      <c r="H4409" s="0" t="n">
        <v>0</v>
      </c>
      <c r="M4409" s="51" t="s">
        <v>8356</v>
      </c>
      <c r="N4409" s="49" t="n">
        <v>0</v>
      </c>
      <c r="O4409" s="53" t="n">
        <v>45809.468912037</v>
      </c>
      <c r="P4409" s="53" t="n">
        <v>45825.8332407407</v>
      </c>
      <c r="Q4409" s="53" t="n">
        <v>45809.468912037</v>
      </c>
      <c r="R4409" s="0" t="n">
        <v>0</v>
      </c>
      <c r="S4409" s="51" t="s">
        <v>2416</v>
      </c>
      <c r="T4409" s="51" t="s">
        <v>2416</v>
      </c>
      <c r="U4409" s="51" t="s">
        <v>8354</v>
      </c>
      <c r="V4409" s="51" t="s">
        <v>2365</v>
      </c>
      <c r="W4409" s="51" t="s">
        <v>4511</v>
      </c>
      <c r="X4409" s="51" t="s">
        <v>2359</v>
      </c>
    </row>
    <row r="4410" customFormat="false" ht="14.25" hidden="true" customHeight="false" outlineLevel="0" collapsed="false">
      <c r="A4410" s="49" t="s">
        <v>2349</v>
      </c>
      <c r="B4410" s="49" t="s">
        <v>2350</v>
      </c>
      <c r="C4410" s="49" t="s">
        <v>8361</v>
      </c>
      <c r="D4410" s="49" t="s">
        <v>2352</v>
      </c>
      <c r="E4410" s="49" t="s">
        <v>8354</v>
      </c>
      <c r="F4410" s="49" t="s">
        <v>8355</v>
      </c>
      <c r="G4410" s="49" t="n">
        <v>0</v>
      </c>
      <c r="H4410" s="0" t="n">
        <v>0</v>
      </c>
      <c r="M4410" s="51" t="s">
        <v>8356</v>
      </c>
      <c r="N4410" s="49" t="n">
        <v>0</v>
      </c>
      <c r="O4410" s="53" t="n">
        <v>45809.4690740741</v>
      </c>
      <c r="P4410" s="53" t="n">
        <v>45825.8387268519</v>
      </c>
      <c r="Q4410" s="53" t="n">
        <v>45809.4690740741</v>
      </c>
      <c r="R4410" s="0" t="n">
        <v>0</v>
      </c>
      <c r="S4410" s="51" t="s">
        <v>2416</v>
      </c>
      <c r="T4410" s="51" t="s">
        <v>2416</v>
      </c>
      <c r="U4410" s="51" t="s">
        <v>8354</v>
      </c>
      <c r="V4410" s="51" t="s">
        <v>2365</v>
      </c>
      <c r="W4410" s="51" t="s">
        <v>7050</v>
      </c>
      <c r="X4410" s="51" t="s">
        <v>2359</v>
      </c>
    </row>
    <row r="4411" customFormat="false" ht="14.25" hidden="true" customHeight="false" outlineLevel="0" collapsed="false">
      <c r="A4411" s="49" t="s">
        <v>2349</v>
      </c>
      <c r="B4411" s="49" t="s">
        <v>2350</v>
      </c>
      <c r="C4411" s="49" t="s">
        <v>8362</v>
      </c>
      <c r="D4411" s="49" t="s">
        <v>2352</v>
      </c>
      <c r="E4411" s="49" t="s">
        <v>8354</v>
      </c>
      <c r="F4411" s="49" t="s">
        <v>8355</v>
      </c>
      <c r="G4411" s="49" t="n">
        <v>0</v>
      </c>
      <c r="H4411" s="0" t="n">
        <v>0</v>
      </c>
      <c r="M4411" s="51" t="s">
        <v>8356</v>
      </c>
      <c r="N4411" s="49" t="n">
        <v>0</v>
      </c>
      <c r="O4411" s="53" t="n">
        <v>45809.4698032407</v>
      </c>
      <c r="P4411" s="53" t="n">
        <v>45825.8365856482</v>
      </c>
      <c r="Q4411" s="53" t="n">
        <v>45809.4698032407</v>
      </c>
      <c r="R4411" s="0" t="n">
        <v>0</v>
      </c>
      <c r="S4411" s="51" t="s">
        <v>2416</v>
      </c>
      <c r="T4411" s="51" t="s">
        <v>2416</v>
      </c>
      <c r="U4411" s="51" t="s">
        <v>8354</v>
      </c>
      <c r="V4411" s="51" t="s">
        <v>2365</v>
      </c>
      <c r="W4411" s="51" t="s">
        <v>4566</v>
      </c>
      <c r="X4411" s="51" t="s">
        <v>2359</v>
      </c>
    </row>
    <row r="4412" customFormat="false" ht="14.25" hidden="true" customHeight="false" outlineLevel="0" collapsed="false">
      <c r="A4412" s="49" t="s">
        <v>2349</v>
      </c>
      <c r="B4412" s="49" t="s">
        <v>2350</v>
      </c>
      <c r="C4412" s="49" t="s">
        <v>8363</v>
      </c>
      <c r="D4412" s="49" t="s">
        <v>2352</v>
      </c>
      <c r="E4412" s="49" t="s">
        <v>8354</v>
      </c>
      <c r="F4412" s="49" t="s">
        <v>8355</v>
      </c>
      <c r="G4412" s="49" t="n">
        <v>0</v>
      </c>
      <c r="H4412" s="0" t="n">
        <v>0</v>
      </c>
      <c r="M4412" s="51" t="s">
        <v>8356</v>
      </c>
      <c r="N4412" s="49" t="n">
        <v>0</v>
      </c>
      <c r="O4412" s="53" t="n">
        <v>45809.4695949074</v>
      </c>
      <c r="P4412" s="53" t="n">
        <v>45825.8443055556</v>
      </c>
      <c r="Q4412" s="53" t="n">
        <v>45809.4695949074</v>
      </c>
      <c r="R4412" s="0" t="n">
        <v>0</v>
      </c>
      <c r="S4412" s="51" t="s">
        <v>2416</v>
      </c>
      <c r="T4412" s="51" t="s">
        <v>2416</v>
      </c>
      <c r="U4412" s="51" t="s">
        <v>8354</v>
      </c>
      <c r="V4412" s="51" t="s">
        <v>2365</v>
      </c>
      <c r="W4412" s="51" t="s">
        <v>7890</v>
      </c>
      <c r="X4412" s="51" t="s">
        <v>2359</v>
      </c>
    </row>
    <row r="4413" customFormat="false" ht="14.25" hidden="true" customHeight="false" outlineLevel="0" collapsed="false">
      <c r="A4413" s="49" t="s">
        <v>2349</v>
      </c>
      <c r="B4413" s="49" t="s">
        <v>2350</v>
      </c>
      <c r="C4413" s="49" t="s">
        <v>8364</v>
      </c>
      <c r="D4413" s="49" t="s">
        <v>2352</v>
      </c>
      <c r="E4413" s="49" t="s">
        <v>8354</v>
      </c>
      <c r="F4413" s="49" t="s">
        <v>8355</v>
      </c>
      <c r="G4413" s="49" t="n">
        <v>0</v>
      </c>
      <c r="H4413" s="0" t="n">
        <v>0</v>
      </c>
      <c r="M4413" s="51" t="s">
        <v>8356</v>
      </c>
      <c r="N4413" s="49" t="n">
        <v>0</v>
      </c>
      <c r="O4413" s="53" t="n">
        <v>45809.4691782407</v>
      </c>
      <c r="P4413" s="53" t="n">
        <v>45825.845162037</v>
      </c>
      <c r="Q4413" s="53" t="n">
        <v>45809.4691782407</v>
      </c>
      <c r="R4413" s="0" t="n">
        <v>0</v>
      </c>
      <c r="S4413" s="51" t="s">
        <v>2416</v>
      </c>
      <c r="T4413" s="51" t="s">
        <v>2416</v>
      </c>
      <c r="U4413" s="51" t="s">
        <v>8354</v>
      </c>
      <c r="V4413" s="51" t="s">
        <v>2365</v>
      </c>
      <c r="W4413" s="51" t="s">
        <v>8365</v>
      </c>
      <c r="X4413" s="51" t="s">
        <v>2359</v>
      </c>
    </row>
    <row r="4414" customFormat="false" ht="14.25" hidden="true" customHeight="false" outlineLevel="0" collapsed="false">
      <c r="A4414" s="49" t="s">
        <v>2349</v>
      </c>
      <c r="B4414" s="49" t="s">
        <v>2350</v>
      </c>
      <c r="C4414" s="49" t="s">
        <v>8366</v>
      </c>
      <c r="D4414" s="49" t="s">
        <v>2352</v>
      </c>
      <c r="E4414" s="49" t="s">
        <v>8354</v>
      </c>
      <c r="F4414" s="49" t="s">
        <v>8355</v>
      </c>
      <c r="G4414" s="49" t="n">
        <v>0</v>
      </c>
      <c r="H4414" s="0" t="n">
        <v>0</v>
      </c>
      <c r="M4414" s="51" t="s">
        <v>8356</v>
      </c>
      <c r="N4414" s="49" t="n">
        <v>0</v>
      </c>
      <c r="O4414" s="53" t="n">
        <v>45809.4692708333</v>
      </c>
      <c r="P4414" s="53" t="n">
        <v>45825.8459259259</v>
      </c>
      <c r="Q4414" s="53" t="n">
        <v>45809.4692708333</v>
      </c>
      <c r="R4414" s="0" t="n">
        <v>0</v>
      </c>
      <c r="S4414" s="51" t="s">
        <v>2416</v>
      </c>
      <c r="T4414" s="51" t="s">
        <v>2416</v>
      </c>
      <c r="U4414" s="51" t="s">
        <v>8354</v>
      </c>
      <c r="V4414" s="51" t="s">
        <v>2365</v>
      </c>
      <c r="W4414" s="51" t="s">
        <v>8367</v>
      </c>
      <c r="X4414" s="51" t="s">
        <v>2359</v>
      </c>
    </row>
    <row r="4415" customFormat="false" ht="14.25" hidden="true" customHeight="false" outlineLevel="0" collapsed="false">
      <c r="A4415" s="49" t="s">
        <v>2349</v>
      </c>
      <c r="B4415" s="49" t="s">
        <v>2350</v>
      </c>
      <c r="C4415" s="49" t="s">
        <v>8368</v>
      </c>
      <c r="D4415" s="49" t="s">
        <v>2352</v>
      </c>
      <c r="E4415" s="49" t="s">
        <v>8354</v>
      </c>
      <c r="F4415" s="49" t="s">
        <v>8355</v>
      </c>
      <c r="G4415" s="49" t="n">
        <v>0</v>
      </c>
      <c r="H4415" s="0" t="n">
        <v>0</v>
      </c>
      <c r="M4415" s="51" t="s">
        <v>8356</v>
      </c>
      <c r="N4415" s="49" t="n">
        <v>0</v>
      </c>
      <c r="O4415" s="53" t="n">
        <v>45809.469375</v>
      </c>
      <c r="P4415" s="53" t="n">
        <v>45825.8415972222</v>
      </c>
      <c r="Q4415" s="53" t="n">
        <v>45809.469375</v>
      </c>
      <c r="R4415" s="0" t="n">
        <v>0</v>
      </c>
      <c r="S4415" s="51" t="s">
        <v>2416</v>
      </c>
      <c r="T4415" s="51" t="s">
        <v>2416</v>
      </c>
      <c r="U4415" s="51" t="s">
        <v>8354</v>
      </c>
      <c r="V4415" s="51" t="s">
        <v>2365</v>
      </c>
      <c r="W4415" s="51" t="s">
        <v>8213</v>
      </c>
      <c r="X4415" s="51" t="s">
        <v>2359</v>
      </c>
    </row>
    <row r="4416" customFormat="false" ht="14.25" hidden="true" customHeight="false" outlineLevel="0" collapsed="false">
      <c r="A4416" s="49" t="s">
        <v>2349</v>
      </c>
      <c r="B4416" s="49" t="s">
        <v>2350</v>
      </c>
      <c r="C4416" s="49" t="s">
        <v>8369</v>
      </c>
      <c r="D4416" s="49" t="s">
        <v>2352</v>
      </c>
      <c r="E4416" s="49" t="s">
        <v>8354</v>
      </c>
      <c r="F4416" s="49" t="s">
        <v>8355</v>
      </c>
      <c r="G4416" s="49" t="n">
        <v>0</v>
      </c>
      <c r="H4416" s="0" t="n">
        <v>0</v>
      </c>
      <c r="M4416" s="51" t="s">
        <v>8356</v>
      </c>
      <c r="N4416" s="49" t="n">
        <v>0</v>
      </c>
      <c r="O4416" s="53" t="n">
        <v>45809.4694907407</v>
      </c>
      <c r="P4416" s="53" t="n">
        <v>45825.843125</v>
      </c>
      <c r="Q4416" s="53" t="n">
        <v>45809.4694907407</v>
      </c>
      <c r="R4416" s="0" t="n">
        <v>0</v>
      </c>
      <c r="S4416" s="51" t="s">
        <v>2416</v>
      </c>
      <c r="T4416" s="51" t="s">
        <v>2416</v>
      </c>
      <c r="U4416" s="51" t="s">
        <v>8354</v>
      </c>
      <c r="V4416" s="51" t="s">
        <v>2365</v>
      </c>
      <c r="W4416" s="51" t="s">
        <v>8370</v>
      </c>
      <c r="X4416" s="51" t="s">
        <v>2359</v>
      </c>
    </row>
    <row r="4417" customFormat="false" ht="14.25" hidden="true" customHeight="false" outlineLevel="0" collapsed="false">
      <c r="A4417" s="49" t="s">
        <v>2349</v>
      </c>
      <c r="B4417" s="49" t="s">
        <v>2350</v>
      </c>
      <c r="C4417" s="49" t="s">
        <v>8371</v>
      </c>
      <c r="D4417" s="49" t="s">
        <v>2352</v>
      </c>
      <c r="E4417" s="49" t="s">
        <v>8372</v>
      </c>
      <c r="F4417" s="49" t="s">
        <v>8373</v>
      </c>
      <c r="G4417" s="49" t="n">
        <v>0</v>
      </c>
      <c r="H4417" s="0" t="n">
        <v>0</v>
      </c>
      <c r="M4417" s="51" t="s">
        <v>8374</v>
      </c>
      <c r="N4417" s="49" t="n">
        <v>0</v>
      </c>
      <c r="O4417" s="53" t="n">
        <v>45865.5882523148</v>
      </c>
      <c r="P4417" s="53" t="n">
        <v>45866.600625</v>
      </c>
      <c r="Q4417" s="53" t="n">
        <v>45865.5882523148</v>
      </c>
      <c r="R4417" s="0" t="n">
        <v>0</v>
      </c>
      <c r="S4417" s="51" t="s">
        <v>2356</v>
      </c>
      <c r="T4417" s="51" t="s">
        <v>2356</v>
      </c>
      <c r="U4417" s="51" t="s">
        <v>8372</v>
      </c>
      <c r="V4417" s="51" t="s">
        <v>2365</v>
      </c>
      <c r="W4417" s="51" t="s">
        <v>8375</v>
      </c>
      <c r="X4417" s="51" t="s">
        <v>2359</v>
      </c>
    </row>
    <row r="4418" customFormat="false" ht="14.25" hidden="true" customHeight="false" outlineLevel="0" collapsed="false">
      <c r="A4418" s="49" t="s">
        <v>2349</v>
      </c>
      <c r="B4418" s="49" t="s">
        <v>2350</v>
      </c>
      <c r="C4418" s="49" t="s">
        <v>8376</v>
      </c>
      <c r="D4418" s="49" t="s">
        <v>2352</v>
      </c>
      <c r="E4418" s="49" t="s">
        <v>8372</v>
      </c>
      <c r="F4418" s="49" t="s">
        <v>8373</v>
      </c>
      <c r="G4418" s="49" t="n">
        <v>0</v>
      </c>
      <c r="H4418" s="0" t="n">
        <v>0</v>
      </c>
      <c r="M4418" s="51" t="s">
        <v>8374</v>
      </c>
      <c r="N4418" s="49" t="n">
        <v>0</v>
      </c>
      <c r="O4418" s="53" t="n">
        <v>45865.5881365741</v>
      </c>
      <c r="P4418" s="53" t="n">
        <v>45866.6003472222</v>
      </c>
      <c r="Q4418" s="53" t="n">
        <v>45865.5881365741</v>
      </c>
      <c r="R4418" s="0" t="n">
        <v>0</v>
      </c>
      <c r="S4418" s="51" t="s">
        <v>2356</v>
      </c>
      <c r="T4418" s="51" t="s">
        <v>2356</v>
      </c>
      <c r="U4418" s="51" t="s">
        <v>8372</v>
      </c>
      <c r="V4418" s="51" t="s">
        <v>2365</v>
      </c>
      <c r="W4418" s="51" t="s">
        <v>5968</v>
      </c>
      <c r="X4418" s="51" t="s">
        <v>2359</v>
      </c>
    </row>
    <row r="4419" customFormat="false" ht="14.25" hidden="true" customHeight="false" outlineLevel="0" collapsed="false">
      <c r="A4419" s="49" t="s">
        <v>2349</v>
      </c>
      <c r="B4419" s="49" t="s">
        <v>2350</v>
      </c>
      <c r="C4419" s="49" t="s">
        <v>8377</v>
      </c>
      <c r="D4419" s="49" t="s">
        <v>2352</v>
      </c>
      <c r="E4419" s="49" t="s">
        <v>8372</v>
      </c>
      <c r="F4419" s="49" t="s">
        <v>8373</v>
      </c>
      <c r="G4419" s="49" t="n">
        <v>0</v>
      </c>
      <c r="H4419" s="0" t="n">
        <v>0</v>
      </c>
      <c r="M4419" s="51" t="s">
        <v>8374</v>
      </c>
      <c r="N4419" s="49" t="n">
        <v>0</v>
      </c>
      <c r="O4419" s="53" t="n">
        <v>45865.587962963</v>
      </c>
      <c r="P4419" s="53" t="n">
        <v>45866.6004513889</v>
      </c>
      <c r="Q4419" s="53" t="n">
        <v>45865.587962963</v>
      </c>
      <c r="R4419" s="0" t="n">
        <v>0</v>
      </c>
      <c r="S4419" s="51" t="s">
        <v>2356</v>
      </c>
      <c r="T4419" s="51" t="s">
        <v>2356</v>
      </c>
      <c r="U4419" s="51" t="s">
        <v>8372</v>
      </c>
      <c r="V4419" s="51" t="s">
        <v>2365</v>
      </c>
      <c r="W4419" s="51" t="s">
        <v>5737</v>
      </c>
      <c r="X4419" s="51" t="s">
        <v>2359</v>
      </c>
    </row>
    <row r="4420" customFormat="false" ht="14.25" hidden="true" customHeight="false" outlineLevel="0" collapsed="false">
      <c r="A4420" s="49" t="s">
        <v>2349</v>
      </c>
      <c r="B4420" s="49" t="s">
        <v>2350</v>
      </c>
      <c r="C4420" s="49" t="s">
        <v>8378</v>
      </c>
      <c r="D4420" s="49" t="s">
        <v>2352</v>
      </c>
      <c r="E4420" s="49" t="s">
        <v>8372</v>
      </c>
      <c r="F4420" s="49" t="s">
        <v>8373</v>
      </c>
      <c r="G4420" s="49" t="n">
        <v>0</v>
      </c>
      <c r="H4420" s="0" t="n">
        <v>0</v>
      </c>
      <c r="M4420" s="51" t="s">
        <v>8374</v>
      </c>
      <c r="N4420" s="49" t="n">
        <v>0</v>
      </c>
      <c r="O4420" s="53" t="n">
        <v>45865.5869907407</v>
      </c>
      <c r="P4420" s="53" t="n">
        <v>45866.6007291667</v>
      </c>
      <c r="Q4420" s="53" t="n">
        <v>45865.5869907407</v>
      </c>
      <c r="R4420" s="0" t="n">
        <v>0</v>
      </c>
      <c r="S4420" s="51" t="s">
        <v>2356</v>
      </c>
      <c r="T4420" s="51" t="s">
        <v>2356</v>
      </c>
      <c r="U4420" s="51" t="s">
        <v>8372</v>
      </c>
      <c r="V4420" s="51" t="s">
        <v>2365</v>
      </c>
      <c r="W4420" s="51" t="s">
        <v>7428</v>
      </c>
      <c r="X4420" s="51" t="s">
        <v>2359</v>
      </c>
    </row>
    <row r="4421" customFormat="false" ht="14.25" hidden="true" customHeight="false" outlineLevel="0" collapsed="false">
      <c r="A4421" s="49" t="s">
        <v>2349</v>
      </c>
      <c r="B4421" s="49" t="s">
        <v>2350</v>
      </c>
      <c r="C4421" s="49" t="s">
        <v>8379</v>
      </c>
      <c r="D4421" s="49" t="s">
        <v>2352</v>
      </c>
      <c r="E4421" s="49" t="s">
        <v>8372</v>
      </c>
      <c r="F4421" s="49" t="s">
        <v>8373</v>
      </c>
      <c r="G4421" s="49" t="n">
        <v>0</v>
      </c>
      <c r="H4421" s="0" t="n">
        <v>0</v>
      </c>
      <c r="M4421" s="51" t="s">
        <v>8374</v>
      </c>
      <c r="N4421" s="49" t="n">
        <v>0</v>
      </c>
      <c r="O4421" s="53" t="n">
        <v>45865.5868402778</v>
      </c>
      <c r="P4421" s="53" t="n">
        <v>45866.6005208333</v>
      </c>
      <c r="Q4421" s="53" t="n">
        <v>45865.5868402778</v>
      </c>
      <c r="R4421" s="0" t="n">
        <v>0</v>
      </c>
      <c r="S4421" s="51" t="s">
        <v>2356</v>
      </c>
      <c r="T4421" s="51" t="s">
        <v>2356</v>
      </c>
      <c r="U4421" s="51" t="s">
        <v>8372</v>
      </c>
      <c r="V4421" s="51" t="s">
        <v>2365</v>
      </c>
      <c r="W4421" s="51" t="s">
        <v>8380</v>
      </c>
      <c r="X4421" s="51" t="s">
        <v>2359</v>
      </c>
    </row>
    <row r="4422" customFormat="false" ht="14.25" hidden="true" customHeight="false" outlineLevel="0" collapsed="false">
      <c r="A4422" s="49" t="s">
        <v>2349</v>
      </c>
      <c r="B4422" s="49" t="s">
        <v>2350</v>
      </c>
      <c r="C4422" s="49" t="s">
        <v>8381</v>
      </c>
      <c r="D4422" s="49" t="s">
        <v>2352</v>
      </c>
      <c r="E4422" s="49" t="s">
        <v>8372</v>
      </c>
      <c r="F4422" s="49" t="s">
        <v>8373</v>
      </c>
      <c r="G4422" s="49" t="n">
        <v>0</v>
      </c>
      <c r="H4422" s="0" t="n">
        <v>0</v>
      </c>
      <c r="M4422" s="51" t="s">
        <v>8374</v>
      </c>
      <c r="N4422" s="49" t="n">
        <v>0</v>
      </c>
      <c r="O4422" s="53" t="n">
        <v>45865.5866782407</v>
      </c>
      <c r="P4422" s="53" t="n">
        <v>45866.6002430556</v>
      </c>
      <c r="Q4422" s="53" t="n">
        <v>45865.5866782407</v>
      </c>
      <c r="R4422" s="0" t="n">
        <v>0</v>
      </c>
      <c r="S4422" s="51" t="s">
        <v>2356</v>
      </c>
      <c r="T4422" s="51" t="s">
        <v>2356</v>
      </c>
      <c r="U4422" s="51" t="s">
        <v>8372</v>
      </c>
      <c r="V4422" s="51" t="s">
        <v>2365</v>
      </c>
      <c r="W4422" s="51" t="s">
        <v>8382</v>
      </c>
      <c r="X4422" s="51" t="s">
        <v>2359</v>
      </c>
    </row>
    <row r="4423" customFormat="false" ht="14.25" hidden="true" customHeight="false" outlineLevel="0" collapsed="false">
      <c r="A4423" s="49" t="s">
        <v>2349</v>
      </c>
      <c r="B4423" s="49" t="s">
        <v>2350</v>
      </c>
      <c r="C4423" s="49" t="s">
        <v>8383</v>
      </c>
      <c r="D4423" s="49" t="s">
        <v>2352</v>
      </c>
      <c r="E4423" s="49" t="s">
        <v>8372</v>
      </c>
      <c r="F4423" s="49" t="s">
        <v>8373</v>
      </c>
      <c r="G4423" s="49" t="n">
        <v>0</v>
      </c>
      <c r="H4423" s="0" t="n">
        <v>0</v>
      </c>
      <c r="M4423" s="51" t="s">
        <v>8374</v>
      </c>
      <c r="N4423" s="49" t="n">
        <v>0</v>
      </c>
      <c r="O4423" s="53" t="n">
        <v>45865.5864930556</v>
      </c>
      <c r="P4423" s="53" t="n">
        <v>45883.6122569444</v>
      </c>
      <c r="Q4423" s="53" t="n">
        <v>45865.5864930556</v>
      </c>
      <c r="R4423" s="0" t="n">
        <v>0</v>
      </c>
      <c r="S4423" s="51" t="s">
        <v>2356</v>
      </c>
      <c r="T4423" s="51" t="s">
        <v>2356</v>
      </c>
      <c r="U4423" s="51" t="s">
        <v>8372</v>
      </c>
      <c r="V4423" s="51" t="s">
        <v>2365</v>
      </c>
      <c r="W4423" s="51" t="s">
        <v>4126</v>
      </c>
      <c r="X4423" s="51" t="s">
        <v>2359</v>
      </c>
    </row>
    <row r="4424" customFormat="false" ht="14.25" hidden="true" customHeight="false" outlineLevel="0" collapsed="false">
      <c r="A4424" s="49" t="s">
        <v>2349</v>
      </c>
      <c r="B4424" s="49" t="s">
        <v>2350</v>
      </c>
      <c r="C4424" s="49" t="s">
        <v>8384</v>
      </c>
      <c r="D4424" s="49" t="s">
        <v>2352</v>
      </c>
      <c r="E4424" s="49" t="s">
        <v>4124</v>
      </c>
      <c r="F4424" s="49" t="s">
        <v>4125</v>
      </c>
      <c r="G4424" s="49" t="n">
        <v>0</v>
      </c>
      <c r="H4424" s="0" t="n">
        <v>0</v>
      </c>
      <c r="M4424" s="51" t="s">
        <v>8374</v>
      </c>
      <c r="N4424" s="49" t="n">
        <v>0</v>
      </c>
      <c r="O4424" s="53" t="n">
        <v>45865.5900115741</v>
      </c>
      <c r="P4424" s="53" t="n">
        <v>45866.600787037</v>
      </c>
      <c r="Q4424" s="53" t="n">
        <v>45865.5900115741</v>
      </c>
      <c r="R4424" s="0" t="n">
        <v>0</v>
      </c>
      <c r="S4424" s="51" t="s">
        <v>2356</v>
      </c>
      <c r="T4424" s="51" t="s">
        <v>2356</v>
      </c>
      <c r="U4424" s="51" t="s">
        <v>4124</v>
      </c>
      <c r="V4424" s="51" t="s">
        <v>2365</v>
      </c>
      <c r="W4424" s="51" t="s">
        <v>4586</v>
      </c>
      <c r="X4424" s="51" t="s">
        <v>2359</v>
      </c>
    </row>
    <row r="4425" customFormat="false" ht="14.25" hidden="true" customHeight="false" outlineLevel="0" collapsed="false">
      <c r="A4425" s="49" t="s">
        <v>2349</v>
      </c>
      <c r="B4425" s="49" t="s">
        <v>2350</v>
      </c>
      <c r="C4425" s="49" t="s">
        <v>8385</v>
      </c>
      <c r="D4425" s="49" t="s">
        <v>2352</v>
      </c>
      <c r="E4425" s="49" t="s">
        <v>4124</v>
      </c>
      <c r="F4425" s="49" t="s">
        <v>4125</v>
      </c>
      <c r="G4425" s="49" t="n">
        <v>0</v>
      </c>
      <c r="H4425" s="0" t="n">
        <v>0</v>
      </c>
      <c r="M4425" s="51" t="s">
        <v>8374</v>
      </c>
      <c r="N4425" s="49" t="n">
        <v>0</v>
      </c>
      <c r="O4425" s="53" t="n">
        <v>45865.5898842593</v>
      </c>
      <c r="P4425" s="53" t="n">
        <v>45866.5984375</v>
      </c>
      <c r="Q4425" s="53" t="n">
        <v>45865.5898842593</v>
      </c>
      <c r="R4425" s="0" t="n">
        <v>0</v>
      </c>
      <c r="S4425" s="51" t="s">
        <v>2356</v>
      </c>
      <c r="T4425" s="51" t="s">
        <v>2356</v>
      </c>
      <c r="U4425" s="51" t="s">
        <v>4124</v>
      </c>
      <c r="V4425" s="51" t="s">
        <v>2365</v>
      </c>
      <c r="W4425" s="51" t="s">
        <v>4614</v>
      </c>
      <c r="X4425" s="51" t="s">
        <v>2359</v>
      </c>
    </row>
    <row r="4426" customFormat="false" ht="14.25" hidden="true" customHeight="false" outlineLevel="0" collapsed="false">
      <c r="A4426" s="49" t="s">
        <v>2349</v>
      </c>
      <c r="B4426" s="49" t="s">
        <v>2350</v>
      </c>
      <c r="C4426" s="49" t="s">
        <v>8386</v>
      </c>
      <c r="D4426" s="49" t="s">
        <v>2352</v>
      </c>
      <c r="E4426" s="49" t="s">
        <v>4124</v>
      </c>
      <c r="F4426" s="49" t="s">
        <v>4125</v>
      </c>
      <c r="G4426" s="49" t="n">
        <v>0</v>
      </c>
      <c r="H4426" s="0" t="n">
        <v>0</v>
      </c>
      <c r="M4426" s="51" t="s">
        <v>8374</v>
      </c>
      <c r="N4426" s="49" t="n">
        <v>0</v>
      </c>
      <c r="O4426" s="53" t="n">
        <v>45865.5897685185</v>
      </c>
      <c r="P4426" s="53" t="n">
        <v>45868.4876388889</v>
      </c>
      <c r="Q4426" s="53" t="n">
        <v>45865.5897685185</v>
      </c>
      <c r="R4426" s="0" t="n">
        <v>0</v>
      </c>
      <c r="S4426" s="51" t="s">
        <v>2356</v>
      </c>
      <c r="T4426" s="51" t="s">
        <v>2356</v>
      </c>
      <c r="U4426" s="51" t="s">
        <v>4124</v>
      </c>
      <c r="V4426" s="51" t="s">
        <v>2365</v>
      </c>
      <c r="W4426" s="51" t="s">
        <v>4931</v>
      </c>
      <c r="X4426" s="51" t="s">
        <v>2359</v>
      </c>
    </row>
    <row r="4427" customFormat="false" ht="14.25" hidden="true" customHeight="false" outlineLevel="0" collapsed="false">
      <c r="A4427" s="49" t="s">
        <v>2349</v>
      </c>
      <c r="B4427" s="49" t="s">
        <v>2350</v>
      </c>
      <c r="C4427" s="49" t="s">
        <v>8387</v>
      </c>
      <c r="D4427" s="49" t="s">
        <v>2352</v>
      </c>
      <c r="E4427" s="49" t="s">
        <v>4124</v>
      </c>
      <c r="F4427" s="49" t="s">
        <v>4125</v>
      </c>
      <c r="G4427" s="49" t="n">
        <v>0</v>
      </c>
      <c r="H4427" s="0" t="n">
        <v>0</v>
      </c>
      <c r="M4427" s="51" t="s">
        <v>8374</v>
      </c>
      <c r="N4427" s="49" t="n">
        <v>0</v>
      </c>
      <c r="O4427" s="53" t="n">
        <v>45865.5896527778</v>
      </c>
      <c r="P4427" s="53" t="n">
        <v>45987.4751851852</v>
      </c>
      <c r="Q4427" s="53" t="n">
        <v>45865.5896527778</v>
      </c>
      <c r="R4427" s="0" t="n">
        <v>0</v>
      </c>
      <c r="S4427" s="51" t="s">
        <v>2356</v>
      </c>
      <c r="T4427" s="51" t="s">
        <v>2356</v>
      </c>
      <c r="U4427" s="51" t="s">
        <v>4124</v>
      </c>
      <c r="V4427" s="51" t="s">
        <v>2365</v>
      </c>
      <c r="W4427" s="51" t="s">
        <v>5317</v>
      </c>
      <c r="X4427" s="51" t="s">
        <v>2359</v>
      </c>
    </row>
    <row r="4428" customFormat="false" ht="14.25" hidden="true" customHeight="false" outlineLevel="0" collapsed="false">
      <c r="A4428" s="49" t="s">
        <v>2349</v>
      </c>
      <c r="B4428" s="49" t="s">
        <v>2350</v>
      </c>
      <c r="C4428" s="49" t="s">
        <v>8388</v>
      </c>
      <c r="D4428" s="49" t="s">
        <v>2352</v>
      </c>
      <c r="E4428" s="49" t="s">
        <v>4115</v>
      </c>
      <c r="F4428" s="49" t="s">
        <v>4116</v>
      </c>
      <c r="G4428" s="49" t="n">
        <v>0</v>
      </c>
      <c r="H4428" s="0" t="n">
        <v>0</v>
      </c>
      <c r="M4428" s="51" t="s">
        <v>8374</v>
      </c>
      <c r="N4428" s="49" t="n">
        <v>0</v>
      </c>
      <c r="O4428" s="53" t="n">
        <v>45865.5914930556</v>
      </c>
      <c r="P4428" s="53" t="n">
        <v>45866.598275463</v>
      </c>
      <c r="Q4428" s="53" t="n">
        <v>45865.5914930556</v>
      </c>
      <c r="R4428" s="0" t="n">
        <v>0</v>
      </c>
      <c r="S4428" s="51" t="s">
        <v>2356</v>
      </c>
      <c r="T4428" s="51" t="s">
        <v>2356</v>
      </c>
      <c r="U4428" s="51" t="s">
        <v>4115</v>
      </c>
      <c r="V4428" s="51" t="s">
        <v>2365</v>
      </c>
      <c r="W4428" s="51" t="s">
        <v>5147</v>
      </c>
      <c r="X4428" s="51" t="s">
        <v>2359</v>
      </c>
    </row>
    <row r="4429" customFormat="false" ht="14.25" hidden="true" customHeight="false" outlineLevel="0" collapsed="false">
      <c r="A4429" s="49" t="s">
        <v>2349</v>
      </c>
      <c r="B4429" s="49" t="s">
        <v>2350</v>
      </c>
      <c r="C4429" s="49" t="s">
        <v>8389</v>
      </c>
      <c r="D4429" s="49" t="s">
        <v>2352</v>
      </c>
      <c r="E4429" s="49" t="s">
        <v>4115</v>
      </c>
      <c r="F4429" s="49" t="s">
        <v>4116</v>
      </c>
      <c r="G4429" s="49" t="n">
        <v>0</v>
      </c>
      <c r="H4429" s="0" t="n">
        <v>0</v>
      </c>
      <c r="M4429" s="51" t="s">
        <v>8374</v>
      </c>
      <c r="N4429" s="49" t="n">
        <v>0</v>
      </c>
      <c r="O4429" s="53" t="n">
        <v>45865.5913888889</v>
      </c>
      <c r="P4429" s="53" t="n">
        <v>45885.6414236111</v>
      </c>
      <c r="Q4429" s="53" t="n">
        <v>45865.5913888889</v>
      </c>
      <c r="R4429" s="0" t="n">
        <v>0</v>
      </c>
      <c r="S4429" s="51" t="s">
        <v>2356</v>
      </c>
      <c r="T4429" s="51" t="s">
        <v>2356</v>
      </c>
      <c r="U4429" s="51" t="s">
        <v>4115</v>
      </c>
      <c r="V4429" s="51" t="s">
        <v>2365</v>
      </c>
      <c r="W4429" s="51" t="s">
        <v>4169</v>
      </c>
      <c r="X4429" s="51" t="s">
        <v>2359</v>
      </c>
    </row>
    <row r="4430" customFormat="false" ht="14.25" hidden="true" customHeight="false" outlineLevel="0" collapsed="false">
      <c r="A4430" s="49" t="s">
        <v>2349</v>
      </c>
      <c r="B4430" s="49" t="s">
        <v>2350</v>
      </c>
      <c r="C4430" s="49" t="s">
        <v>8390</v>
      </c>
      <c r="D4430" s="49" t="s">
        <v>2352</v>
      </c>
      <c r="E4430" s="49" t="s">
        <v>4115</v>
      </c>
      <c r="F4430" s="49" t="s">
        <v>4116</v>
      </c>
      <c r="G4430" s="49" t="n">
        <v>0</v>
      </c>
      <c r="H4430" s="0" t="n">
        <v>0</v>
      </c>
      <c r="M4430" s="51" t="s">
        <v>8374</v>
      </c>
      <c r="N4430" s="49" t="n">
        <v>0</v>
      </c>
      <c r="O4430" s="53" t="n">
        <v>45865.5912847222</v>
      </c>
      <c r="P4430" s="53" t="n">
        <v>45866.5987731482</v>
      </c>
      <c r="Q4430" s="53" t="n">
        <v>45865.5912847222</v>
      </c>
      <c r="R4430" s="0" t="n">
        <v>0</v>
      </c>
      <c r="S4430" s="51" t="s">
        <v>2356</v>
      </c>
      <c r="T4430" s="51" t="s">
        <v>2356</v>
      </c>
      <c r="U4430" s="51" t="s">
        <v>4115</v>
      </c>
      <c r="V4430" s="51" t="s">
        <v>2365</v>
      </c>
      <c r="W4430" s="51" t="s">
        <v>8391</v>
      </c>
      <c r="X4430" s="51" t="s">
        <v>2359</v>
      </c>
    </row>
    <row r="4431" customFormat="false" ht="14.25" hidden="true" customHeight="false" outlineLevel="0" collapsed="false">
      <c r="A4431" s="49" t="s">
        <v>2349</v>
      </c>
      <c r="B4431" s="49" t="s">
        <v>2350</v>
      </c>
      <c r="C4431" s="49" t="s">
        <v>8392</v>
      </c>
      <c r="D4431" s="49" t="s">
        <v>2352</v>
      </c>
      <c r="E4431" s="49" t="s">
        <v>4115</v>
      </c>
      <c r="F4431" s="49" t="s">
        <v>4116</v>
      </c>
      <c r="G4431" s="49" t="n">
        <v>0</v>
      </c>
      <c r="H4431" s="0" t="n">
        <v>0</v>
      </c>
      <c r="M4431" s="51" t="s">
        <v>8374</v>
      </c>
      <c r="N4431" s="49" t="n">
        <v>0</v>
      </c>
      <c r="O4431" s="53" t="n">
        <v>45865.5909837963</v>
      </c>
      <c r="P4431" s="53" t="n">
        <v>45885.6416435185</v>
      </c>
      <c r="Q4431" s="53" t="n">
        <v>45865.5909837963</v>
      </c>
      <c r="R4431" s="0" t="n">
        <v>0</v>
      </c>
      <c r="S4431" s="51" t="s">
        <v>2356</v>
      </c>
      <c r="T4431" s="51" t="s">
        <v>2356</v>
      </c>
      <c r="U4431" s="51" t="s">
        <v>4115</v>
      </c>
      <c r="V4431" s="51" t="s">
        <v>2365</v>
      </c>
      <c r="W4431" s="51" t="s">
        <v>4588</v>
      </c>
      <c r="X4431" s="51" t="s">
        <v>2359</v>
      </c>
    </row>
    <row r="4432" customFormat="false" ht="14.25" hidden="true" customHeight="false" outlineLevel="0" collapsed="false">
      <c r="A4432" s="49" t="s">
        <v>2349</v>
      </c>
      <c r="B4432" s="49" t="s">
        <v>2350</v>
      </c>
      <c r="C4432" s="49" t="s">
        <v>8393</v>
      </c>
      <c r="D4432" s="49" t="s">
        <v>2352</v>
      </c>
      <c r="E4432" s="49" t="str">
        <f aca="false">"734730225548"</f>
        <v>734730225548</v>
      </c>
      <c r="F4432" s="49" t="s">
        <v>2434</v>
      </c>
      <c r="G4432" s="49" t="n">
        <v>0</v>
      </c>
      <c r="H4432" s="0" t="n">
        <v>0</v>
      </c>
      <c r="M4432" s="51" t="s">
        <v>8394</v>
      </c>
      <c r="N4432" s="49" t="n">
        <v>0</v>
      </c>
      <c r="O4432" s="53" t="n">
        <v>45778.6061226852</v>
      </c>
      <c r="P4432" s="53" t="n">
        <v>45783.4662152778</v>
      </c>
      <c r="Q4432" s="53" t="n">
        <v>45778.6061226852</v>
      </c>
      <c r="R4432" s="0" t="n">
        <v>0</v>
      </c>
      <c r="S4432" s="51" t="s">
        <v>2416</v>
      </c>
      <c r="T4432" s="51" t="s">
        <v>2416</v>
      </c>
      <c r="U4432" s="0" t="str">
        <f aca="false">"734730225548"</f>
        <v>734730225548</v>
      </c>
      <c r="V4432" s="51" t="s">
        <v>2365</v>
      </c>
      <c r="W4432" s="51" t="s">
        <v>6048</v>
      </c>
      <c r="X4432" s="51" t="s">
        <v>2359</v>
      </c>
    </row>
    <row r="4433" customFormat="false" ht="14.25" hidden="true" customHeight="false" outlineLevel="0" collapsed="false">
      <c r="A4433" s="49" t="s">
        <v>2349</v>
      </c>
      <c r="B4433" s="49" t="s">
        <v>2350</v>
      </c>
      <c r="C4433" s="49" t="s">
        <v>8395</v>
      </c>
      <c r="D4433" s="49" t="s">
        <v>2352</v>
      </c>
      <c r="E4433" s="49" t="str">
        <f aca="false">"734730225548"</f>
        <v>734730225548</v>
      </c>
      <c r="F4433" s="49" t="s">
        <v>2434</v>
      </c>
      <c r="G4433" s="49" t="n">
        <v>0</v>
      </c>
      <c r="H4433" s="0" t="n">
        <v>0</v>
      </c>
      <c r="M4433" s="51" t="s">
        <v>8394</v>
      </c>
      <c r="N4433" s="49" t="n">
        <v>0</v>
      </c>
      <c r="O4433" s="53" t="n">
        <v>45778.6062962963</v>
      </c>
      <c r="P4433" s="53" t="n">
        <v>45783.4622685185</v>
      </c>
      <c r="Q4433" s="53" t="n">
        <v>45778.6062962963</v>
      </c>
      <c r="R4433" s="0" t="n">
        <v>0</v>
      </c>
      <c r="S4433" s="51" t="s">
        <v>2416</v>
      </c>
      <c r="T4433" s="51" t="s">
        <v>2416</v>
      </c>
      <c r="U4433" s="0" t="str">
        <f aca="false">"734730225548"</f>
        <v>734730225548</v>
      </c>
      <c r="V4433" s="51" t="s">
        <v>2365</v>
      </c>
      <c r="W4433" s="51" t="s">
        <v>5995</v>
      </c>
      <c r="X4433" s="51" t="s">
        <v>2359</v>
      </c>
    </row>
    <row r="4434" customFormat="false" ht="14.25" hidden="true" customHeight="false" outlineLevel="0" collapsed="false">
      <c r="A4434" s="49" t="s">
        <v>2349</v>
      </c>
      <c r="B4434" s="49" t="s">
        <v>2350</v>
      </c>
      <c r="C4434" s="49" t="s">
        <v>8396</v>
      </c>
      <c r="D4434" s="49" t="s">
        <v>2352</v>
      </c>
      <c r="E4434" s="49" t="str">
        <f aca="false">"734730225548"</f>
        <v>734730225548</v>
      </c>
      <c r="F4434" s="49" t="s">
        <v>2434</v>
      </c>
      <c r="G4434" s="49" t="n">
        <v>0</v>
      </c>
      <c r="H4434" s="0" t="n">
        <v>0</v>
      </c>
      <c r="M4434" s="51" t="s">
        <v>8394</v>
      </c>
      <c r="N4434" s="49" t="n">
        <v>0</v>
      </c>
      <c r="O4434" s="53" t="n">
        <v>45778.6065277778</v>
      </c>
      <c r="P4434" s="53" t="n">
        <v>45783.4665162037</v>
      </c>
      <c r="Q4434" s="53" t="n">
        <v>45778.6065277778</v>
      </c>
      <c r="R4434" s="0" t="n">
        <v>0</v>
      </c>
      <c r="S4434" s="51" t="s">
        <v>2416</v>
      </c>
      <c r="T4434" s="51" t="s">
        <v>2416</v>
      </c>
      <c r="U4434" s="0" t="str">
        <f aca="false">"734730225548"</f>
        <v>734730225548</v>
      </c>
      <c r="V4434" s="51" t="s">
        <v>2365</v>
      </c>
      <c r="W4434" s="51" t="s">
        <v>4288</v>
      </c>
      <c r="X4434" s="51" t="s">
        <v>2359</v>
      </c>
    </row>
    <row r="4435" customFormat="false" ht="14.25" hidden="true" customHeight="false" outlineLevel="0" collapsed="false">
      <c r="A4435" s="49" t="s">
        <v>2349</v>
      </c>
      <c r="B4435" s="49" t="s">
        <v>2350</v>
      </c>
      <c r="C4435" s="49" t="s">
        <v>8397</v>
      </c>
      <c r="D4435" s="49" t="s">
        <v>2352</v>
      </c>
      <c r="E4435" s="49" t="str">
        <f aca="false">"734730225548"</f>
        <v>734730225548</v>
      </c>
      <c r="F4435" s="49" t="s">
        <v>2434</v>
      </c>
      <c r="G4435" s="49" t="n">
        <v>0</v>
      </c>
      <c r="H4435" s="0" t="n">
        <v>0</v>
      </c>
      <c r="M4435" s="51" t="s">
        <v>8394</v>
      </c>
      <c r="N4435" s="49" t="n">
        <v>0</v>
      </c>
      <c r="O4435" s="53" t="n">
        <v>45778.6068171296</v>
      </c>
      <c r="P4435" s="53" t="n">
        <v>45787.3900925926</v>
      </c>
      <c r="Q4435" s="53" t="n">
        <v>45778.6068171296</v>
      </c>
      <c r="R4435" s="0" t="n">
        <v>0</v>
      </c>
      <c r="S4435" s="51" t="s">
        <v>2416</v>
      </c>
      <c r="T4435" s="51" t="s">
        <v>2416</v>
      </c>
      <c r="U4435" s="0" t="str">
        <f aca="false">"734730225548"</f>
        <v>734730225548</v>
      </c>
      <c r="V4435" s="51" t="s">
        <v>2365</v>
      </c>
      <c r="W4435" s="51" t="s">
        <v>6666</v>
      </c>
      <c r="X4435" s="51" t="s">
        <v>2359</v>
      </c>
    </row>
    <row r="4436" customFormat="false" ht="14.25" hidden="true" customHeight="false" outlineLevel="0" collapsed="false">
      <c r="A4436" s="49" t="s">
        <v>2349</v>
      </c>
      <c r="B4436" s="49" t="s">
        <v>2350</v>
      </c>
      <c r="C4436" s="49" t="s">
        <v>8398</v>
      </c>
      <c r="D4436" s="49" t="s">
        <v>2352</v>
      </c>
      <c r="E4436" s="49" t="str">
        <f aca="false">"734730225548"</f>
        <v>734730225548</v>
      </c>
      <c r="F4436" s="49" t="s">
        <v>2434</v>
      </c>
      <c r="G4436" s="49" t="n">
        <v>0</v>
      </c>
      <c r="H4436" s="0" t="n">
        <v>0</v>
      </c>
      <c r="M4436" s="51" t="s">
        <v>8394</v>
      </c>
      <c r="N4436" s="49" t="n">
        <v>0</v>
      </c>
      <c r="O4436" s="53" t="n">
        <v>45778.6071990741</v>
      </c>
      <c r="P4436" s="53" t="n">
        <v>45783.4806134259</v>
      </c>
      <c r="Q4436" s="53" t="n">
        <v>45778.6071990741</v>
      </c>
      <c r="R4436" s="0" t="n">
        <v>0</v>
      </c>
      <c r="S4436" s="51" t="s">
        <v>2416</v>
      </c>
      <c r="T4436" s="51" t="s">
        <v>2416</v>
      </c>
      <c r="U4436" s="0" t="str">
        <f aca="false">"734730225548"</f>
        <v>734730225548</v>
      </c>
      <c r="V4436" s="51" t="s">
        <v>2365</v>
      </c>
      <c r="W4436" s="51" t="s">
        <v>8399</v>
      </c>
      <c r="X4436" s="51" t="s">
        <v>2359</v>
      </c>
    </row>
    <row r="4437" customFormat="false" ht="14.25" hidden="true" customHeight="false" outlineLevel="0" collapsed="false">
      <c r="A4437" s="49" t="s">
        <v>2349</v>
      </c>
      <c r="B4437" s="49" t="s">
        <v>2350</v>
      </c>
      <c r="C4437" s="49" t="s">
        <v>8400</v>
      </c>
      <c r="D4437" s="49" t="s">
        <v>2352</v>
      </c>
      <c r="E4437" s="49" t="str">
        <f aca="false">"734730225548"</f>
        <v>734730225548</v>
      </c>
      <c r="F4437" s="49" t="s">
        <v>2434</v>
      </c>
      <c r="G4437" s="49" t="n">
        <v>0</v>
      </c>
      <c r="H4437" s="0" t="n">
        <v>0</v>
      </c>
      <c r="M4437" s="51" t="s">
        <v>8394</v>
      </c>
      <c r="N4437" s="49" t="n">
        <v>0</v>
      </c>
      <c r="O4437" s="53" t="n">
        <v>45778.6073611111</v>
      </c>
      <c r="P4437" s="53" t="n">
        <v>45787.4012731482</v>
      </c>
      <c r="Q4437" s="53" t="n">
        <v>45778.6073611111</v>
      </c>
      <c r="R4437" s="0" t="n">
        <v>0</v>
      </c>
      <c r="S4437" s="51" t="s">
        <v>2416</v>
      </c>
      <c r="T4437" s="51" t="s">
        <v>2416</v>
      </c>
      <c r="U4437" s="0" t="str">
        <f aca="false">"734730225548"</f>
        <v>734730225548</v>
      </c>
      <c r="V4437" s="51" t="s">
        <v>2365</v>
      </c>
      <c r="W4437" s="51" t="s">
        <v>4725</v>
      </c>
      <c r="X4437" s="51" t="s">
        <v>2359</v>
      </c>
    </row>
    <row r="4438" customFormat="false" ht="14.25" hidden="true" customHeight="false" outlineLevel="0" collapsed="false">
      <c r="A4438" s="49" t="s">
        <v>2349</v>
      </c>
      <c r="B4438" s="49" t="s">
        <v>2350</v>
      </c>
      <c r="C4438" s="49" t="s">
        <v>8401</v>
      </c>
      <c r="D4438" s="49" t="s">
        <v>2352</v>
      </c>
      <c r="E4438" s="49" t="str">
        <f aca="false">"734730225548"</f>
        <v>734730225548</v>
      </c>
      <c r="F4438" s="49" t="s">
        <v>2434</v>
      </c>
      <c r="G4438" s="49" t="n">
        <v>0</v>
      </c>
      <c r="H4438" s="0" t="n">
        <v>0</v>
      </c>
      <c r="M4438" s="51" t="s">
        <v>8394</v>
      </c>
      <c r="N4438" s="49" t="n">
        <v>0</v>
      </c>
      <c r="O4438" s="53" t="n">
        <v>45778.6075231481</v>
      </c>
      <c r="P4438" s="53" t="n">
        <v>45787.4001736111</v>
      </c>
      <c r="Q4438" s="53" t="n">
        <v>45778.6075231481</v>
      </c>
      <c r="R4438" s="0" t="n">
        <v>0</v>
      </c>
      <c r="S4438" s="51" t="s">
        <v>2416</v>
      </c>
      <c r="T4438" s="51" t="s">
        <v>2416</v>
      </c>
      <c r="U4438" s="0" t="str">
        <f aca="false">"734730225548"</f>
        <v>734730225548</v>
      </c>
      <c r="V4438" s="51" t="s">
        <v>2365</v>
      </c>
      <c r="W4438" s="51" t="s">
        <v>8050</v>
      </c>
      <c r="X4438" s="51" t="s">
        <v>2359</v>
      </c>
    </row>
    <row r="4439" customFormat="false" ht="14.25" hidden="true" customHeight="false" outlineLevel="0" collapsed="false">
      <c r="A4439" s="49" t="s">
        <v>2349</v>
      </c>
      <c r="B4439" s="49" t="s">
        <v>2350</v>
      </c>
      <c r="C4439" s="49" t="s">
        <v>8402</v>
      </c>
      <c r="D4439" s="49" t="s">
        <v>2352</v>
      </c>
      <c r="E4439" s="49" t="str">
        <f aca="false">"734730225548"</f>
        <v>734730225548</v>
      </c>
      <c r="F4439" s="49" t="s">
        <v>2434</v>
      </c>
      <c r="G4439" s="49" t="n">
        <v>0</v>
      </c>
      <c r="H4439" s="0" t="n">
        <v>0</v>
      </c>
      <c r="M4439" s="51" t="s">
        <v>8394</v>
      </c>
      <c r="N4439" s="49" t="n">
        <v>0</v>
      </c>
      <c r="O4439" s="53" t="n">
        <v>45778.609224537</v>
      </c>
      <c r="P4439" s="53" t="n">
        <v>45789.9251851852</v>
      </c>
      <c r="Q4439" s="53" t="n">
        <v>45778.609224537</v>
      </c>
      <c r="R4439" s="0" t="n">
        <v>0</v>
      </c>
      <c r="S4439" s="51" t="s">
        <v>2416</v>
      </c>
      <c r="T4439" s="51" t="s">
        <v>2416</v>
      </c>
      <c r="U4439" s="0" t="str">
        <f aca="false">"734730225548"</f>
        <v>734730225548</v>
      </c>
      <c r="V4439" s="51" t="s">
        <v>2365</v>
      </c>
      <c r="W4439" s="51" t="s">
        <v>8403</v>
      </c>
      <c r="X4439" s="51" t="s">
        <v>2359</v>
      </c>
    </row>
    <row r="4440" customFormat="false" ht="14.25" hidden="true" customHeight="false" outlineLevel="0" collapsed="false">
      <c r="A4440" s="49" t="s">
        <v>2349</v>
      </c>
      <c r="B4440" s="49" t="s">
        <v>2350</v>
      </c>
      <c r="C4440" s="49" t="s">
        <v>8404</v>
      </c>
      <c r="D4440" s="49" t="s">
        <v>2352</v>
      </c>
      <c r="E4440" s="49" t="str">
        <f aca="false">"734730225548"</f>
        <v>734730225548</v>
      </c>
      <c r="F4440" s="49" t="s">
        <v>2434</v>
      </c>
      <c r="G4440" s="49" t="n">
        <v>0</v>
      </c>
      <c r="H4440" s="0" t="n">
        <v>0</v>
      </c>
      <c r="M4440" s="51" t="s">
        <v>8394</v>
      </c>
      <c r="N4440" s="49" t="n">
        <v>0</v>
      </c>
      <c r="O4440" s="53" t="n">
        <v>45778.6094097222</v>
      </c>
      <c r="P4440" s="53" t="n">
        <v>45787.4040509259</v>
      </c>
      <c r="Q4440" s="53" t="n">
        <v>45778.6094097222</v>
      </c>
      <c r="R4440" s="0" t="n">
        <v>0</v>
      </c>
      <c r="S4440" s="51" t="s">
        <v>2416</v>
      </c>
      <c r="T4440" s="51" t="s">
        <v>2416</v>
      </c>
      <c r="U4440" s="0" t="str">
        <f aca="false">"734730225548"</f>
        <v>734730225548</v>
      </c>
      <c r="V4440" s="51" t="s">
        <v>2365</v>
      </c>
      <c r="W4440" s="51" t="s">
        <v>8055</v>
      </c>
      <c r="X4440" s="51" t="s">
        <v>2359</v>
      </c>
    </row>
    <row r="4441" customFormat="false" ht="14.25" hidden="true" customHeight="false" outlineLevel="0" collapsed="false">
      <c r="A4441" s="49" t="s">
        <v>2349</v>
      </c>
      <c r="B4441" s="49" t="s">
        <v>2350</v>
      </c>
      <c r="C4441" s="49" t="s">
        <v>8405</v>
      </c>
      <c r="D4441" s="49" t="s">
        <v>2352</v>
      </c>
      <c r="E4441" s="49" t="str">
        <f aca="false">"734730225548"</f>
        <v>734730225548</v>
      </c>
      <c r="F4441" s="49" t="s">
        <v>2434</v>
      </c>
      <c r="G4441" s="49" t="n">
        <v>0</v>
      </c>
      <c r="H4441" s="0" t="n">
        <v>0</v>
      </c>
      <c r="M4441" s="51" t="s">
        <v>8394</v>
      </c>
      <c r="N4441" s="49" t="n">
        <v>0</v>
      </c>
      <c r="O4441" s="53" t="n">
        <v>45778.6100462963</v>
      </c>
      <c r="P4441" s="53" t="n">
        <v>45783.46875</v>
      </c>
      <c r="Q4441" s="53" t="n">
        <v>45778.6100462963</v>
      </c>
      <c r="R4441" s="0" t="n">
        <v>0</v>
      </c>
      <c r="S4441" s="51" t="s">
        <v>2416</v>
      </c>
      <c r="T4441" s="51" t="s">
        <v>2416</v>
      </c>
      <c r="U4441" s="0" t="str">
        <f aca="false">"734730225548"</f>
        <v>734730225548</v>
      </c>
      <c r="V4441" s="51" t="s">
        <v>2365</v>
      </c>
      <c r="W4441" s="51" t="s">
        <v>5379</v>
      </c>
      <c r="X4441" s="51" t="s">
        <v>2359</v>
      </c>
    </row>
    <row r="4442" customFormat="false" ht="14.25" hidden="true" customHeight="false" outlineLevel="0" collapsed="false">
      <c r="A4442" s="49" t="s">
        <v>2349</v>
      </c>
      <c r="B4442" s="49" t="s">
        <v>2350</v>
      </c>
      <c r="C4442" s="49" t="s">
        <v>8406</v>
      </c>
      <c r="D4442" s="49" t="s">
        <v>2352</v>
      </c>
      <c r="E4442" s="49" t="str">
        <f aca="false">"734730225548"</f>
        <v>734730225548</v>
      </c>
      <c r="F4442" s="49" t="s">
        <v>2434</v>
      </c>
      <c r="G4442" s="49" t="n">
        <v>0</v>
      </c>
      <c r="H4442" s="0" t="n">
        <v>0</v>
      </c>
      <c r="M4442" s="51" t="s">
        <v>8394</v>
      </c>
      <c r="N4442" s="49" t="n">
        <v>0</v>
      </c>
      <c r="O4442" s="53" t="n">
        <v>45778.6102777778</v>
      </c>
      <c r="P4442" s="53" t="n">
        <v>45783.4793634259</v>
      </c>
      <c r="Q4442" s="53" t="n">
        <v>45778.6102777778</v>
      </c>
      <c r="R4442" s="0" t="n">
        <v>0</v>
      </c>
      <c r="S4442" s="51" t="s">
        <v>2416</v>
      </c>
      <c r="T4442" s="51" t="s">
        <v>2416</v>
      </c>
      <c r="U4442" s="0" t="str">
        <f aca="false">"734730225548"</f>
        <v>734730225548</v>
      </c>
      <c r="V4442" s="51" t="s">
        <v>2365</v>
      </c>
      <c r="W4442" s="51" t="s">
        <v>7156</v>
      </c>
      <c r="X4442" s="51" t="s">
        <v>2359</v>
      </c>
    </row>
    <row r="4443" customFormat="false" ht="14.25" hidden="true" customHeight="false" outlineLevel="0" collapsed="false">
      <c r="A4443" s="49" t="s">
        <v>2349</v>
      </c>
      <c r="B4443" s="49" t="s">
        <v>2350</v>
      </c>
      <c r="C4443" s="49" t="s">
        <v>8407</v>
      </c>
      <c r="D4443" s="49" t="s">
        <v>2352</v>
      </c>
      <c r="E4443" s="49" t="str">
        <f aca="false">"734730225548"</f>
        <v>734730225548</v>
      </c>
      <c r="F4443" s="49" t="s">
        <v>2434</v>
      </c>
      <c r="G4443" s="49" t="n">
        <v>0</v>
      </c>
      <c r="H4443" s="0" t="n">
        <v>0</v>
      </c>
      <c r="M4443" s="51" t="s">
        <v>8394</v>
      </c>
      <c r="N4443" s="49" t="n">
        <v>0</v>
      </c>
      <c r="O4443" s="53" t="n">
        <v>45778.6104282407</v>
      </c>
      <c r="P4443" s="53" t="n">
        <v>45783.4786689815</v>
      </c>
      <c r="Q4443" s="53" t="n">
        <v>45778.6104282407</v>
      </c>
      <c r="R4443" s="0" t="n">
        <v>0</v>
      </c>
      <c r="S4443" s="51" t="s">
        <v>2416</v>
      </c>
      <c r="T4443" s="51" t="s">
        <v>2416</v>
      </c>
      <c r="U4443" s="0" t="str">
        <f aca="false">"734730225548"</f>
        <v>734730225548</v>
      </c>
      <c r="V4443" s="51" t="s">
        <v>2365</v>
      </c>
      <c r="W4443" s="51" t="s">
        <v>7934</v>
      </c>
      <c r="X4443" s="51" t="s">
        <v>2359</v>
      </c>
    </row>
    <row r="4444" customFormat="false" ht="14.25" hidden="true" customHeight="false" outlineLevel="0" collapsed="false">
      <c r="A4444" s="49" t="s">
        <v>2349</v>
      </c>
      <c r="B4444" s="49" t="s">
        <v>2350</v>
      </c>
      <c r="C4444" s="49" t="s">
        <v>8408</v>
      </c>
      <c r="D4444" s="49" t="s">
        <v>2352</v>
      </c>
      <c r="E4444" s="49" t="str">
        <f aca="false">"734730225548"</f>
        <v>734730225548</v>
      </c>
      <c r="F4444" s="49" t="s">
        <v>2434</v>
      </c>
      <c r="G4444" s="49" t="n">
        <v>0</v>
      </c>
      <c r="H4444" s="0" t="n">
        <v>0</v>
      </c>
      <c r="M4444" s="51" t="s">
        <v>8394</v>
      </c>
      <c r="N4444" s="49" t="n">
        <v>0</v>
      </c>
      <c r="O4444" s="53" t="n">
        <v>45778.6105439815</v>
      </c>
      <c r="P4444" s="53" t="n">
        <v>45783.4822337963</v>
      </c>
      <c r="Q4444" s="53" t="n">
        <v>45778.6105439815</v>
      </c>
      <c r="R4444" s="0" t="n">
        <v>0</v>
      </c>
      <c r="S4444" s="51" t="s">
        <v>2416</v>
      </c>
      <c r="T4444" s="51" t="s">
        <v>2416</v>
      </c>
      <c r="U4444" s="0" t="str">
        <f aca="false">"734730225548"</f>
        <v>734730225548</v>
      </c>
      <c r="V4444" s="51" t="s">
        <v>2365</v>
      </c>
      <c r="W4444" s="51" t="s">
        <v>6428</v>
      </c>
      <c r="X4444" s="51" t="s">
        <v>2359</v>
      </c>
    </row>
    <row r="4445" customFormat="false" ht="14.25" hidden="true" customHeight="false" outlineLevel="0" collapsed="false">
      <c r="A4445" s="49" t="s">
        <v>2349</v>
      </c>
      <c r="B4445" s="49" t="s">
        <v>2350</v>
      </c>
      <c r="C4445" s="49" t="s">
        <v>8409</v>
      </c>
      <c r="D4445" s="49" t="s">
        <v>2352</v>
      </c>
      <c r="E4445" s="49" t="str">
        <f aca="false">"734730225548"</f>
        <v>734730225548</v>
      </c>
      <c r="F4445" s="49" t="s">
        <v>2434</v>
      </c>
      <c r="G4445" s="49" t="n">
        <v>0</v>
      </c>
      <c r="H4445" s="0" t="n">
        <v>0</v>
      </c>
      <c r="M4445" s="51" t="s">
        <v>8394</v>
      </c>
      <c r="N4445" s="49" t="n">
        <v>0</v>
      </c>
      <c r="O4445" s="53" t="n">
        <v>45778.6106597222</v>
      </c>
      <c r="P4445" s="53" t="n">
        <v>45787.3894097222</v>
      </c>
      <c r="Q4445" s="53" t="n">
        <v>45778.6106597222</v>
      </c>
      <c r="R4445" s="0" t="n">
        <v>0</v>
      </c>
      <c r="S4445" s="51" t="s">
        <v>2416</v>
      </c>
      <c r="T4445" s="51" t="s">
        <v>2416</v>
      </c>
      <c r="U4445" s="0" t="str">
        <f aca="false">"734730225548"</f>
        <v>734730225548</v>
      </c>
      <c r="V4445" s="51" t="s">
        <v>2365</v>
      </c>
      <c r="W4445" s="51" t="s">
        <v>6240</v>
      </c>
      <c r="X4445" s="51" t="s">
        <v>2359</v>
      </c>
    </row>
    <row r="4446" customFormat="false" ht="14.25" hidden="true" customHeight="false" outlineLevel="0" collapsed="false">
      <c r="A4446" s="49" t="s">
        <v>2349</v>
      </c>
      <c r="B4446" s="49" t="s">
        <v>2350</v>
      </c>
      <c r="C4446" s="49" t="s">
        <v>8410</v>
      </c>
      <c r="D4446" s="49" t="s">
        <v>2352</v>
      </c>
      <c r="E4446" s="49" t="str">
        <f aca="false">"734730225548"</f>
        <v>734730225548</v>
      </c>
      <c r="F4446" s="49" t="s">
        <v>2434</v>
      </c>
      <c r="G4446" s="49" t="n">
        <v>0</v>
      </c>
      <c r="H4446" s="0" t="n">
        <v>0</v>
      </c>
      <c r="M4446" s="51" t="s">
        <v>8394</v>
      </c>
      <c r="N4446" s="49" t="n">
        <v>0</v>
      </c>
      <c r="O4446" s="53" t="n">
        <v>45778.6107638889</v>
      </c>
      <c r="P4446" s="53" t="n">
        <v>45787.3886921296</v>
      </c>
      <c r="Q4446" s="53" t="n">
        <v>45778.6107638889</v>
      </c>
      <c r="R4446" s="0" t="n">
        <v>0</v>
      </c>
      <c r="S4446" s="51" t="s">
        <v>2416</v>
      </c>
      <c r="T4446" s="51" t="s">
        <v>2416</v>
      </c>
      <c r="U4446" s="0" t="str">
        <f aca="false">"734730225548"</f>
        <v>734730225548</v>
      </c>
      <c r="V4446" s="51" t="s">
        <v>2365</v>
      </c>
      <c r="W4446" s="51" t="s">
        <v>8011</v>
      </c>
      <c r="X4446" s="51" t="s">
        <v>2359</v>
      </c>
    </row>
    <row r="4447" customFormat="false" ht="14.25" hidden="true" customHeight="false" outlineLevel="0" collapsed="false">
      <c r="A4447" s="49" t="s">
        <v>2349</v>
      </c>
      <c r="B4447" s="49" t="s">
        <v>2350</v>
      </c>
      <c r="C4447" s="49" t="s">
        <v>8411</v>
      </c>
      <c r="D4447" s="49" t="s">
        <v>2352</v>
      </c>
      <c r="E4447" s="49" t="str">
        <f aca="false">"734730225548"</f>
        <v>734730225548</v>
      </c>
      <c r="F4447" s="49" t="s">
        <v>2434</v>
      </c>
      <c r="G4447" s="49" t="n">
        <v>0</v>
      </c>
      <c r="H4447" s="0" t="n">
        <v>0</v>
      </c>
      <c r="M4447" s="51" t="s">
        <v>8394</v>
      </c>
      <c r="N4447" s="49" t="n">
        <v>0</v>
      </c>
      <c r="O4447" s="53" t="n">
        <v>45778.6108796296</v>
      </c>
      <c r="P4447" s="53" t="n">
        <v>45783.4842708333</v>
      </c>
      <c r="Q4447" s="53" t="n">
        <v>45778.6108796296</v>
      </c>
      <c r="R4447" s="0" t="n">
        <v>0</v>
      </c>
      <c r="S4447" s="51" t="s">
        <v>2416</v>
      </c>
      <c r="T4447" s="51" t="s">
        <v>2416</v>
      </c>
      <c r="U4447" s="0" t="str">
        <f aca="false">"734730225548"</f>
        <v>734730225548</v>
      </c>
      <c r="V4447" s="51" t="s">
        <v>2365</v>
      </c>
      <c r="W4447" s="51" t="s">
        <v>4767</v>
      </c>
      <c r="X4447" s="51" t="s">
        <v>2359</v>
      </c>
    </row>
    <row r="4448" customFormat="false" ht="14.25" hidden="true" customHeight="false" outlineLevel="0" collapsed="false">
      <c r="A4448" s="49" t="s">
        <v>2349</v>
      </c>
      <c r="B4448" s="49" t="s">
        <v>2350</v>
      </c>
      <c r="C4448" s="49" t="s">
        <v>8412</v>
      </c>
      <c r="D4448" s="49" t="s">
        <v>2352</v>
      </c>
      <c r="E4448" s="49" t="str">
        <f aca="false">"734730225548"</f>
        <v>734730225548</v>
      </c>
      <c r="F4448" s="49" t="s">
        <v>2434</v>
      </c>
      <c r="G4448" s="49" t="n">
        <v>0</v>
      </c>
      <c r="H4448" s="0" t="n">
        <v>0</v>
      </c>
      <c r="M4448" s="51" t="s">
        <v>8394</v>
      </c>
      <c r="N4448" s="49" t="n">
        <v>0</v>
      </c>
      <c r="O4448" s="53" t="n">
        <v>45778.6128125</v>
      </c>
      <c r="P4448" s="53" t="n">
        <v>45783.4601736111</v>
      </c>
      <c r="Q4448" s="53" t="n">
        <v>45778.6128125</v>
      </c>
      <c r="R4448" s="0" t="n">
        <v>0</v>
      </c>
      <c r="S4448" s="51" t="s">
        <v>2416</v>
      </c>
      <c r="T4448" s="51" t="s">
        <v>2416</v>
      </c>
      <c r="U4448" s="0" t="str">
        <f aca="false">"734730225548"</f>
        <v>734730225548</v>
      </c>
      <c r="V4448" s="51" t="s">
        <v>2365</v>
      </c>
      <c r="W4448" s="51" t="s">
        <v>4016</v>
      </c>
      <c r="X4448" s="51" t="s">
        <v>2359</v>
      </c>
    </row>
    <row r="4449" customFormat="false" ht="14.25" hidden="true" customHeight="false" outlineLevel="0" collapsed="false">
      <c r="A4449" s="49" t="s">
        <v>2349</v>
      </c>
      <c r="B4449" s="49" t="s">
        <v>2350</v>
      </c>
      <c r="C4449" s="49" t="s">
        <v>8413</v>
      </c>
      <c r="D4449" s="49" t="s">
        <v>2352</v>
      </c>
      <c r="E4449" s="49" t="str">
        <f aca="false">"734730225548"</f>
        <v>734730225548</v>
      </c>
      <c r="F4449" s="49" t="s">
        <v>2434</v>
      </c>
      <c r="G4449" s="49" t="n">
        <v>0</v>
      </c>
      <c r="H4449" s="0" t="n">
        <v>0</v>
      </c>
      <c r="M4449" s="51" t="s">
        <v>8394</v>
      </c>
      <c r="N4449" s="49" t="n">
        <v>0</v>
      </c>
      <c r="O4449" s="53" t="n">
        <v>45778.612962963</v>
      </c>
      <c r="P4449" s="53" t="n">
        <v>45783.4696990741</v>
      </c>
      <c r="Q4449" s="53" t="n">
        <v>45778.612962963</v>
      </c>
      <c r="R4449" s="0" t="n">
        <v>0</v>
      </c>
      <c r="S4449" s="51" t="s">
        <v>2416</v>
      </c>
      <c r="T4449" s="51" t="s">
        <v>2416</v>
      </c>
      <c r="U4449" s="0" t="str">
        <f aca="false">"734730225548"</f>
        <v>734730225548</v>
      </c>
      <c r="V4449" s="51" t="s">
        <v>2365</v>
      </c>
      <c r="W4449" s="51" t="s">
        <v>4280</v>
      </c>
      <c r="X4449" s="51" t="s">
        <v>2359</v>
      </c>
    </row>
    <row r="4450" customFormat="false" ht="14.25" hidden="true" customHeight="false" outlineLevel="0" collapsed="false">
      <c r="A4450" s="49" t="s">
        <v>2349</v>
      </c>
      <c r="B4450" s="49" t="s">
        <v>2350</v>
      </c>
      <c r="C4450" s="49" t="s">
        <v>8414</v>
      </c>
      <c r="D4450" s="49" t="s">
        <v>2352</v>
      </c>
      <c r="E4450" s="49" t="str">
        <f aca="false">"734730225548"</f>
        <v>734730225548</v>
      </c>
      <c r="F4450" s="49" t="s">
        <v>2434</v>
      </c>
      <c r="G4450" s="49" t="n">
        <v>0</v>
      </c>
      <c r="H4450" s="0" t="n">
        <v>0</v>
      </c>
      <c r="M4450" s="51" t="s">
        <v>8394</v>
      </c>
      <c r="N4450" s="49" t="n">
        <v>0</v>
      </c>
      <c r="O4450" s="53" t="n">
        <v>45778.613125</v>
      </c>
      <c r="P4450" s="53" t="n">
        <v>45783.4727199074</v>
      </c>
      <c r="Q4450" s="53" t="n">
        <v>45778.613125</v>
      </c>
      <c r="R4450" s="0" t="n">
        <v>0</v>
      </c>
      <c r="S4450" s="51" t="s">
        <v>2416</v>
      </c>
      <c r="T4450" s="51" t="s">
        <v>2416</v>
      </c>
      <c r="U4450" s="0" t="str">
        <f aca="false">"734730225548"</f>
        <v>734730225548</v>
      </c>
      <c r="V4450" s="51" t="s">
        <v>2365</v>
      </c>
      <c r="W4450" s="51" t="s">
        <v>7008</v>
      </c>
      <c r="X4450" s="51" t="s">
        <v>2359</v>
      </c>
    </row>
    <row r="4451" customFormat="false" ht="14.25" hidden="true" customHeight="false" outlineLevel="0" collapsed="false">
      <c r="A4451" s="49" t="s">
        <v>2349</v>
      </c>
      <c r="B4451" s="49" t="s">
        <v>2350</v>
      </c>
      <c r="C4451" s="49" t="s">
        <v>8415</v>
      </c>
      <c r="D4451" s="49" t="s">
        <v>2352</v>
      </c>
      <c r="E4451" s="49" t="str">
        <f aca="false">"734730225548"</f>
        <v>734730225548</v>
      </c>
      <c r="F4451" s="49" t="s">
        <v>2434</v>
      </c>
      <c r="G4451" s="49" t="n">
        <v>0</v>
      </c>
      <c r="H4451" s="0" t="n">
        <v>0</v>
      </c>
      <c r="M4451" s="51" t="s">
        <v>8394</v>
      </c>
      <c r="N4451" s="49" t="n">
        <v>0</v>
      </c>
      <c r="O4451" s="53" t="n">
        <v>45778.613275463</v>
      </c>
      <c r="P4451" s="53" t="n">
        <v>45783.4754398148</v>
      </c>
      <c r="Q4451" s="53" t="n">
        <v>45778.613275463</v>
      </c>
      <c r="R4451" s="0" t="n">
        <v>0</v>
      </c>
      <c r="S4451" s="51" t="s">
        <v>2416</v>
      </c>
      <c r="T4451" s="51" t="s">
        <v>2416</v>
      </c>
      <c r="U4451" s="0" t="str">
        <f aca="false">"734730225548"</f>
        <v>734730225548</v>
      </c>
      <c r="V4451" s="51" t="s">
        <v>2365</v>
      </c>
      <c r="W4451" s="51" t="s">
        <v>6066</v>
      </c>
      <c r="X4451" s="51" t="s">
        <v>2359</v>
      </c>
    </row>
    <row r="4452" customFormat="false" ht="14.25" hidden="true" customHeight="false" outlineLevel="0" collapsed="false">
      <c r="A4452" s="49" t="s">
        <v>2349</v>
      </c>
      <c r="B4452" s="49" t="s">
        <v>2350</v>
      </c>
      <c r="C4452" s="49" t="s">
        <v>8416</v>
      </c>
      <c r="D4452" s="49" t="s">
        <v>2352</v>
      </c>
      <c r="E4452" s="49" t="str">
        <f aca="false">"734730225548"</f>
        <v>734730225548</v>
      </c>
      <c r="F4452" s="49" t="s">
        <v>2434</v>
      </c>
      <c r="G4452" s="49" t="n">
        <v>0</v>
      </c>
      <c r="H4452" s="0" t="n">
        <v>0</v>
      </c>
      <c r="M4452" s="51" t="s">
        <v>8394</v>
      </c>
      <c r="N4452" s="49" t="n">
        <v>0</v>
      </c>
      <c r="O4452" s="53" t="n">
        <v>45778.6134953704</v>
      </c>
      <c r="P4452" s="53" t="n">
        <v>45783.4733796296</v>
      </c>
      <c r="Q4452" s="53" t="n">
        <v>45778.6134953704</v>
      </c>
      <c r="R4452" s="0" t="n">
        <v>0</v>
      </c>
      <c r="S4452" s="51" t="s">
        <v>2416</v>
      </c>
      <c r="T4452" s="51" t="s">
        <v>2416</v>
      </c>
      <c r="U4452" s="0" t="str">
        <f aca="false">"734730225548"</f>
        <v>734730225548</v>
      </c>
      <c r="V4452" s="51" t="s">
        <v>2365</v>
      </c>
      <c r="W4452" s="51" t="s">
        <v>5882</v>
      </c>
      <c r="X4452" s="51" t="s">
        <v>2359</v>
      </c>
    </row>
    <row r="4453" customFormat="false" ht="14.25" hidden="true" customHeight="false" outlineLevel="0" collapsed="false">
      <c r="A4453" s="49" t="s">
        <v>2349</v>
      </c>
      <c r="B4453" s="49" t="s">
        <v>2350</v>
      </c>
      <c r="C4453" s="49" t="s">
        <v>8417</v>
      </c>
      <c r="D4453" s="49" t="s">
        <v>2352</v>
      </c>
      <c r="E4453" s="49" t="str">
        <f aca="false">"734730225548"</f>
        <v>734730225548</v>
      </c>
      <c r="F4453" s="49" t="s">
        <v>2434</v>
      </c>
      <c r="G4453" s="49" t="n">
        <v>0</v>
      </c>
      <c r="H4453" s="0" t="n">
        <v>0</v>
      </c>
      <c r="M4453" s="51" t="s">
        <v>8394</v>
      </c>
      <c r="N4453" s="49" t="n">
        <v>0</v>
      </c>
      <c r="O4453" s="53" t="n">
        <v>45778.6553472222</v>
      </c>
      <c r="P4453" s="53" t="n">
        <v>45783.4642824074</v>
      </c>
      <c r="Q4453" s="53" t="n">
        <v>45778.6553472222</v>
      </c>
      <c r="R4453" s="0" t="n">
        <v>0</v>
      </c>
      <c r="S4453" s="51" t="s">
        <v>2371</v>
      </c>
      <c r="T4453" s="51" t="s">
        <v>2371</v>
      </c>
      <c r="U4453" s="0" t="str">
        <f aca="false">"734730225548"</f>
        <v>734730225548</v>
      </c>
      <c r="V4453" s="51" t="s">
        <v>2365</v>
      </c>
      <c r="W4453" s="51" t="s">
        <v>4795</v>
      </c>
      <c r="X4453" s="51" t="s">
        <v>2359</v>
      </c>
    </row>
    <row r="4454" customFormat="false" ht="14.25" hidden="true" customHeight="false" outlineLevel="0" collapsed="false">
      <c r="A4454" s="49" t="s">
        <v>2349</v>
      </c>
      <c r="B4454" s="49" t="s">
        <v>2350</v>
      </c>
      <c r="C4454" s="49" t="s">
        <v>8418</v>
      </c>
      <c r="D4454" s="49" t="s">
        <v>2352</v>
      </c>
      <c r="E4454" s="49" t="str">
        <f aca="false">"734730225548"</f>
        <v>734730225548</v>
      </c>
      <c r="F4454" s="49" t="s">
        <v>2434</v>
      </c>
      <c r="G4454" s="49" t="n">
        <v>0</v>
      </c>
      <c r="H4454" s="0" t="n">
        <v>0</v>
      </c>
      <c r="M4454" s="51" t="s">
        <v>8394</v>
      </c>
      <c r="N4454" s="49" t="n">
        <v>0</v>
      </c>
      <c r="O4454" s="53" t="n">
        <v>45778.6137615741</v>
      </c>
      <c r="P4454" s="53" t="n">
        <v>45783.4814236111</v>
      </c>
      <c r="Q4454" s="53" t="n">
        <v>45778.6137615741</v>
      </c>
      <c r="R4454" s="0" t="n">
        <v>0</v>
      </c>
      <c r="S4454" s="51" t="s">
        <v>2416</v>
      </c>
      <c r="T4454" s="51" t="s">
        <v>2416</v>
      </c>
      <c r="U4454" s="0" t="str">
        <f aca="false">"734730225548"</f>
        <v>734730225548</v>
      </c>
      <c r="V4454" s="51" t="s">
        <v>2365</v>
      </c>
      <c r="W4454" s="51" t="s">
        <v>7340</v>
      </c>
      <c r="X4454" s="51" t="s">
        <v>2359</v>
      </c>
    </row>
    <row r="4455" customFormat="false" ht="14.25" hidden="true" customHeight="false" outlineLevel="0" collapsed="false">
      <c r="A4455" s="49" t="s">
        <v>2349</v>
      </c>
      <c r="B4455" s="49" t="s">
        <v>2350</v>
      </c>
      <c r="C4455" s="49" t="s">
        <v>8419</v>
      </c>
      <c r="D4455" s="49" t="s">
        <v>2352</v>
      </c>
      <c r="E4455" s="49" t="str">
        <f aca="false">"734730225548"</f>
        <v>734730225548</v>
      </c>
      <c r="F4455" s="49" t="s">
        <v>2434</v>
      </c>
      <c r="G4455" s="49" t="n">
        <v>0</v>
      </c>
      <c r="H4455" s="0" t="n">
        <v>0</v>
      </c>
      <c r="M4455" s="51" t="s">
        <v>8394</v>
      </c>
      <c r="N4455" s="49" t="n">
        <v>0</v>
      </c>
      <c r="O4455" s="53" t="n">
        <v>45778.6139583333</v>
      </c>
      <c r="P4455" s="53" t="n">
        <v>45783.4717361111</v>
      </c>
      <c r="Q4455" s="53" t="n">
        <v>45778.6139583333</v>
      </c>
      <c r="R4455" s="0" t="n">
        <v>0</v>
      </c>
      <c r="S4455" s="51" t="s">
        <v>2416</v>
      </c>
      <c r="T4455" s="51" t="s">
        <v>2416</v>
      </c>
      <c r="U4455" s="0" t="str">
        <f aca="false">"734730225548"</f>
        <v>734730225548</v>
      </c>
      <c r="V4455" s="51" t="s">
        <v>2365</v>
      </c>
      <c r="W4455" s="51" t="s">
        <v>5987</v>
      </c>
      <c r="X4455" s="51" t="s">
        <v>2359</v>
      </c>
    </row>
    <row r="4456" customFormat="false" ht="14.25" hidden="true" customHeight="false" outlineLevel="0" collapsed="false">
      <c r="A4456" s="49" t="s">
        <v>2349</v>
      </c>
      <c r="B4456" s="49" t="s">
        <v>2350</v>
      </c>
      <c r="C4456" s="49" t="s">
        <v>8420</v>
      </c>
      <c r="D4456" s="49" t="s">
        <v>2352</v>
      </c>
      <c r="E4456" s="49" t="str">
        <f aca="false">"734730225548"</f>
        <v>734730225548</v>
      </c>
      <c r="F4456" s="49" t="s">
        <v>2434</v>
      </c>
      <c r="G4456" s="49" t="n">
        <v>0</v>
      </c>
      <c r="H4456" s="0" t="n">
        <v>0</v>
      </c>
      <c r="M4456" s="51" t="s">
        <v>8394</v>
      </c>
      <c r="N4456" s="49" t="n">
        <v>0</v>
      </c>
      <c r="O4456" s="53" t="n">
        <v>45778.6140509259</v>
      </c>
      <c r="P4456" s="53" t="n">
        <v>45783.4710763889</v>
      </c>
      <c r="Q4456" s="53" t="n">
        <v>45778.6140509259</v>
      </c>
      <c r="R4456" s="0" t="n">
        <v>0</v>
      </c>
      <c r="S4456" s="51" t="s">
        <v>2416</v>
      </c>
      <c r="T4456" s="51" t="s">
        <v>2416</v>
      </c>
      <c r="U4456" s="0" t="str">
        <f aca="false">"734730225548"</f>
        <v>734730225548</v>
      </c>
      <c r="V4456" s="51" t="s">
        <v>2365</v>
      </c>
      <c r="W4456" s="51" t="s">
        <v>5954</v>
      </c>
      <c r="X4456" s="51" t="s">
        <v>2359</v>
      </c>
    </row>
    <row r="4457" customFormat="false" ht="14.25" hidden="true" customHeight="false" outlineLevel="0" collapsed="false">
      <c r="A4457" s="49" t="s">
        <v>2349</v>
      </c>
      <c r="B4457" s="49" t="s">
        <v>2350</v>
      </c>
      <c r="C4457" s="49" t="s">
        <v>8421</v>
      </c>
      <c r="D4457" s="49" t="s">
        <v>2352</v>
      </c>
      <c r="E4457" s="49" t="str">
        <f aca="false">"734730225548"</f>
        <v>734730225548</v>
      </c>
      <c r="F4457" s="49" t="s">
        <v>2434</v>
      </c>
      <c r="G4457" s="49" t="n">
        <v>0</v>
      </c>
      <c r="H4457" s="0" t="n">
        <v>0</v>
      </c>
      <c r="M4457" s="51" t="s">
        <v>8394</v>
      </c>
      <c r="N4457" s="49" t="n">
        <v>0</v>
      </c>
      <c r="O4457" s="53" t="n">
        <v>45778.6156597222</v>
      </c>
      <c r="P4457" s="53" t="n">
        <v>45787.3977777778</v>
      </c>
      <c r="Q4457" s="53" t="n">
        <v>45778.6156597222</v>
      </c>
      <c r="R4457" s="0" t="n">
        <v>0</v>
      </c>
      <c r="S4457" s="51" t="s">
        <v>2416</v>
      </c>
      <c r="T4457" s="51" t="s">
        <v>2416</v>
      </c>
      <c r="U4457" s="0" t="str">
        <f aca="false">"734730225548"</f>
        <v>734730225548</v>
      </c>
      <c r="V4457" s="51" t="s">
        <v>2365</v>
      </c>
      <c r="W4457" s="51" t="s">
        <v>5440</v>
      </c>
      <c r="X4457" s="51" t="s">
        <v>2359</v>
      </c>
    </row>
    <row r="4458" customFormat="false" ht="14.25" hidden="true" customHeight="false" outlineLevel="0" collapsed="false">
      <c r="A4458" s="49" t="s">
        <v>2349</v>
      </c>
      <c r="B4458" s="49" t="s">
        <v>2350</v>
      </c>
      <c r="C4458" s="49" t="s">
        <v>8422</v>
      </c>
      <c r="D4458" s="49" t="s">
        <v>2352</v>
      </c>
      <c r="E4458" s="49" t="str">
        <f aca="false">"734730225548"</f>
        <v>734730225548</v>
      </c>
      <c r="F4458" s="49" t="s">
        <v>2434</v>
      </c>
      <c r="G4458" s="49" t="n">
        <v>0</v>
      </c>
      <c r="H4458" s="0" t="n">
        <v>0</v>
      </c>
      <c r="M4458" s="51" t="s">
        <v>8394</v>
      </c>
      <c r="N4458" s="49" t="n">
        <v>0</v>
      </c>
      <c r="O4458" s="53" t="n">
        <v>45778.6158912037</v>
      </c>
      <c r="P4458" s="53" t="n">
        <v>45787.4049305556</v>
      </c>
      <c r="Q4458" s="53" t="n">
        <v>45778.6158912037</v>
      </c>
      <c r="R4458" s="0" t="n">
        <v>0</v>
      </c>
      <c r="S4458" s="51" t="s">
        <v>2416</v>
      </c>
      <c r="T4458" s="51" t="s">
        <v>2416</v>
      </c>
      <c r="U4458" s="0" t="str">
        <f aca="false">"734730225548"</f>
        <v>734730225548</v>
      </c>
      <c r="V4458" s="51" t="s">
        <v>2365</v>
      </c>
      <c r="W4458" s="51" t="s">
        <v>5452</v>
      </c>
      <c r="X4458" s="51" t="s">
        <v>2359</v>
      </c>
    </row>
    <row r="4459" customFormat="false" ht="14.25" hidden="true" customHeight="false" outlineLevel="0" collapsed="false">
      <c r="A4459" s="49" t="s">
        <v>2349</v>
      </c>
      <c r="B4459" s="49" t="s">
        <v>2350</v>
      </c>
      <c r="C4459" s="49" t="s">
        <v>8423</v>
      </c>
      <c r="D4459" s="49" t="s">
        <v>2352</v>
      </c>
      <c r="E4459" s="49" t="str">
        <f aca="false">"734730225548"</f>
        <v>734730225548</v>
      </c>
      <c r="F4459" s="49" t="s">
        <v>2434</v>
      </c>
      <c r="G4459" s="49" t="n">
        <v>0</v>
      </c>
      <c r="H4459" s="0" t="n">
        <v>0</v>
      </c>
      <c r="M4459" s="51" t="s">
        <v>8394</v>
      </c>
      <c r="N4459" s="49" t="n">
        <v>0</v>
      </c>
      <c r="O4459" s="53" t="n">
        <v>45778.6160763889</v>
      </c>
      <c r="P4459" s="53" t="n">
        <v>45787.4021412037</v>
      </c>
      <c r="Q4459" s="53" t="n">
        <v>45778.6160763889</v>
      </c>
      <c r="R4459" s="0" t="n">
        <v>0</v>
      </c>
      <c r="S4459" s="51" t="s">
        <v>2416</v>
      </c>
      <c r="T4459" s="51" t="s">
        <v>2416</v>
      </c>
      <c r="U4459" s="0" t="str">
        <f aca="false">"734730225548"</f>
        <v>734730225548</v>
      </c>
      <c r="V4459" s="51" t="s">
        <v>2365</v>
      </c>
      <c r="W4459" s="51" t="s">
        <v>8424</v>
      </c>
      <c r="X4459" s="51" t="s">
        <v>2359</v>
      </c>
    </row>
    <row r="4460" customFormat="false" ht="14.25" hidden="true" customHeight="false" outlineLevel="0" collapsed="false">
      <c r="A4460" s="49" t="s">
        <v>2349</v>
      </c>
      <c r="B4460" s="49" t="s">
        <v>2350</v>
      </c>
      <c r="C4460" s="49" t="s">
        <v>8425</v>
      </c>
      <c r="D4460" s="49" t="s">
        <v>2352</v>
      </c>
      <c r="E4460" s="49" t="str">
        <f aca="false">"734730225548"</f>
        <v>734730225548</v>
      </c>
      <c r="F4460" s="49" t="s">
        <v>2434</v>
      </c>
      <c r="G4460" s="49" t="n">
        <v>0</v>
      </c>
      <c r="H4460" s="0" t="n">
        <v>0</v>
      </c>
      <c r="M4460" s="51" t="s">
        <v>8394</v>
      </c>
      <c r="N4460" s="49" t="n">
        <v>0</v>
      </c>
      <c r="O4460" s="53" t="n">
        <v>45778.6163657407</v>
      </c>
      <c r="P4460" s="53" t="n">
        <v>45787.4060416667</v>
      </c>
      <c r="Q4460" s="53" t="n">
        <v>45778.6163657407</v>
      </c>
      <c r="R4460" s="0" t="n">
        <v>0</v>
      </c>
      <c r="S4460" s="51" t="s">
        <v>2416</v>
      </c>
      <c r="T4460" s="51" t="s">
        <v>2416</v>
      </c>
      <c r="U4460" s="0" t="str">
        <f aca="false">"734730225548"</f>
        <v>734730225548</v>
      </c>
      <c r="V4460" s="51" t="s">
        <v>2365</v>
      </c>
      <c r="W4460" s="51" t="s">
        <v>8426</v>
      </c>
      <c r="X4460" s="51" t="s">
        <v>2359</v>
      </c>
    </row>
    <row r="4461" customFormat="false" ht="14.25" hidden="true" customHeight="false" outlineLevel="0" collapsed="false">
      <c r="A4461" s="49" t="s">
        <v>2349</v>
      </c>
      <c r="B4461" s="49" t="s">
        <v>2350</v>
      </c>
      <c r="C4461" s="49" t="s">
        <v>8427</v>
      </c>
      <c r="D4461" s="49" t="s">
        <v>2352</v>
      </c>
      <c r="E4461" s="49" t="str">
        <f aca="false">"734730225548"</f>
        <v>734730225548</v>
      </c>
      <c r="F4461" s="49" t="s">
        <v>2434</v>
      </c>
      <c r="G4461" s="49" t="n">
        <v>0</v>
      </c>
      <c r="H4461" s="0" t="n">
        <v>0</v>
      </c>
      <c r="M4461" s="51" t="s">
        <v>8394</v>
      </c>
      <c r="N4461" s="49" t="n">
        <v>0</v>
      </c>
      <c r="O4461" s="53" t="n">
        <v>45778.6167013889</v>
      </c>
      <c r="P4461" s="53" t="n">
        <v>45795.8701157407</v>
      </c>
      <c r="Q4461" s="53" t="n">
        <v>45778.6167013889</v>
      </c>
      <c r="R4461" s="0" t="n">
        <v>0</v>
      </c>
      <c r="S4461" s="51" t="s">
        <v>2416</v>
      </c>
      <c r="T4461" s="51" t="s">
        <v>2416</v>
      </c>
      <c r="U4461" s="0" t="str">
        <f aca="false">"734730225548"</f>
        <v>734730225548</v>
      </c>
      <c r="V4461" s="51" t="s">
        <v>2365</v>
      </c>
      <c r="W4461" s="51" t="s">
        <v>8224</v>
      </c>
      <c r="X4461" s="51" t="s">
        <v>2359</v>
      </c>
    </row>
    <row r="4462" customFormat="false" ht="14.25" hidden="true" customHeight="false" outlineLevel="0" collapsed="false">
      <c r="A4462" s="49" t="s">
        <v>2349</v>
      </c>
      <c r="B4462" s="49" t="s">
        <v>2350</v>
      </c>
      <c r="C4462" s="49" t="s">
        <v>8428</v>
      </c>
      <c r="D4462" s="49" t="s">
        <v>2352</v>
      </c>
      <c r="E4462" s="49" t="str">
        <f aca="false">"734730225548"</f>
        <v>734730225548</v>
      </c>
      <c r="F4462" s="49" t="s">
        <v>2434</v>
      </c>
      <c r="G4462" s="49" t="n">
        <v>0</v>
      </c>
      <c r="H4462" s="0" t="n">
        <v>0</v>
      </c>
      <c r="M4462" s="51" t="s">
        <v>8394</v>
      </c>
      <c r="N4462" s="49" t="n">
        <v>0</v>
      </c>
      <c r="O4462" s="53" t="n">
        <v>45778.6169097222</v>
      </c>
      <c r="P4462" s="53" t="n">
        <v>45795.86875</v>
      </c>
      <c r="Q4462" s="53" t="n">
        <v>45778.6169097222</v>
      </c>
      <c r="R4462" s="0" t="n">
        <v>0</v>
      </c>
      <c r="S4462" s="51" t="s">
        <v>2416</v>
      </c>
      <c r="T4462" s="51" t="s">
        <v>2416</v>
      </c>
      <c r="U4462" s="0" t="str">
        <f aca="false">"734730225548"</f>
        <v>734730225548</v>
      </c>
      <c r="V4462" s="51" t="s">
        <v>2365</v>
      </c>
      <c r="W4462" s="51" t="s">
        <v>8429</v>
      </c>
      <c r="X4462" s="51" t="s">
        <v>2359</v>
      </c>
    </row>
    <row r="4463" customFormat="false" ht="14.25" hidden="true" customHeight="false" outlineLevel="0" collapsed="false">
      <c r="A4463" s="49" t="s">
        <v>2349</v>
      </c>
      <c r="B4463" s="49" t="s">
        <v>2350</v>
      </c>
      <c r="C4463" s="49" t="s">
        <v>8430</v>
      </c>
      <c r="D4463" s="49" t="s">
        <v>2352</v>
      </c>
      <c r="E4463" s="49" t="str">
        <f aca="false">"734730225548"</f>
        <v>734730225548</v>
      </c>
      <c r="F4463" s="49" t="s">
        <v>2434</v>
      </c>
      <c r="G4463" s="49" t="n">
        <v>0</v>
      </c>
      <c r="H4463" s="0" t="n">
        <v>0</v>
      </c>
      <c r="M4463" s="51" t="s">
        <v>8394</v>
      </c>
      <c r="N4463" s="49" t="n">
        <v>0</v>
      </c>
      <c r="O4463" s="53" t="n">
        <v>45778.6170138889</v>
      </c>
      <c r="P4463" s="53" t="n">
        <v>45795.8683333333</v>
      </c>
      <c r="Q4463" s="53" t="n">
        <v>45778.6170138889</v>
      </c>
      <c r="R4463" s="0" t="n">
        <v>0</v>
      </c>
      <c r="S4463" s="51" t="s">
        <v>2416</v>
      </c>
      <c r="T4463" s="51" t="s">
        <v>2416</v>
      </c>
      <c r="U4463" s="0" t="str">
        <f aca="false">"734730225548"</f>
        <v>734730225548</v>
      </c>
      <c r="V4463" s="51" t="s">
        <v>2365</v>
      </c>
      <c r="W4463" s="51" t="s">
        <v>7504</v>
      </c>
      <c r="X4463" s="51" t="s">
        <v>2359</v>
      </c>
    </row>
    <row r="4464" customFormat="false" ht="14.25" hidden="true" customHeight="false" outlineLevel="0" collapsed="false">
      <c r="A4464" s="49" t="s">
        <v>2349</v>
      </c>
      <c r="B4464" s="49" t="s">
        <v>2350</v>
      </c>
      <c r="C4464" s="49" t="s">
        <v>8431</v>
      </c>
      <c r="D4464" s="49" t="s">
        <v>2352</v>
      </c>
      <c r="E4464" s="49" t="str">
        <f aca="false">"734730225548"</f>
        <v>734730225548</v>
      </c>
      <c r="F4464" s="49" t="s">
        <v>2434</v>
      </c>
      <c r="G4464" s="49" t="n">
        <v>0</v>
      </c>
      <c r="H4464" s="0" t="n">
        <v>0</v>
      </c>
      <c r="M4464" s="51" t="s">
        <v>8394</v>
      </c>
      <c r="N4464" s="49" t="n">
        <v>0</v>
      </c>
      <c r="O4464" s="53" t="n">
        <v>45778.6171527778</v>
      </c>
      <c r="P4464" s="53" t="n">
        <v>45795.8679513889</v>
      </c>
      <c r="Q4464" s="53" t="n">
        <v>45778.6171527778</v>
      </c>
      <c r="R4464" s="0" t="n">
        <v>0</v>
      </c>
      <c r="S4464" s="51" t="s">
        <v>2416</v>
      </c>
      <c r="T4464" s="51" t="s">
        <v>2416</v>
      </c>
      <c r="U4464" s="0" t="str">
        <f aca="false">"734730225548"</f>
        <v>734730225548</v>
      </c>
      <c r="V4464" s="51" t="s">
        <v>2365</v>
      </c>
      <c r="W4464" s="51" t="s">
        <v>8432</v>
      </c>
      <c r="X4464" s="51" t="s">
        <v>2359</v>
      </c>
    </row>
    <row r="4465" customFormat="false" ht="14.25" hidden="true" customHeight="false" outlineLevel="0" collapsed="false">
      <c r="A4465" s="49" t="s">
        <v>2349</v>
      </c>
      <c r="B4465" s="49" t="s">
        <v>2350</v>
      </c>
      <c r="C4465" s="49" t="s">
        <v>8433</v>
      </c>
      <c r="D4465" s="49" t="s">
        <v>2352</v>
      </c>
      <c r="E4465" s="49" t="str">
        <f aca="false">"734730225548"</f>
        <v>734730225548</v>
      </c>
      <c r="F4465" s="49" t="s">
        <v>2434</v>
      </c>
      <c r="G4465" s="49" t="n">
        <v>0</v>
      </c>
      <c r="H4465" s="0" t="n">
        <v>0</v>
      </c>
      <c r="M4465" s="51" t="s">
        <v>8394</v>
      </c>
      <c r="N4465" s="49" t="n">
        <v>0</v>
      </c>
      <c r="O4465" s="53" t="n">
        <v>45778.6173263889</v>
      </c>
      <c r="P4465" s="53" t="n">
        <v>45787.4087037037</v>
      </c>
      <c r="Q4465" s="53" t="n">
        <v>45778.6173263889</v>
      </c>
      <c r="R4465" s="0" t="n">
        <v>0</v>
      </c>
      <c r="S4465" s="51" t="s">
        <v>2416</v>
      </c>
      <c r="T4465" s="51" t="s">
        <v>2416</v>
      </c>
      <c r="U4465" s="0" t="str">
        <f aca="false">"734730225548"</f>
        <v>734730225548</v>
      </c>
      <c r="V4465" s="51" t="s">
        <v>2365</v>
      </c>
      <c r="W4465" s="51" t="s">
        <v>8434</v>
      </c>
      <c r="X4465" s="51" t="s">
        <v>2359</v>
      </c>
    </row>
    <row r="4466" customFormat="false" ht="14.25" hidden="true" customHeight="false" outlineLevel="0" collapsed="false">
      <c r="A4466" s="49" t="s">
        <v>2349</v>
      </c>
      <c r="B4466" s="49" t="s">
        <v>2350</v>
      </c>
      <c r="C4466" s="49" t="s">
        <v>8435</v>
      </c>
      <c r="D4466" s="49" t="s">
        <v>2352</v>
      </c>
      <c r="E4466" s="49" t="str">
        <f aca="false">"734730225548"</f>
        <v>734730225548</v>
      </c>
      <c r="F4466" s="49" t="s">
        <v>2434</v>
      </c>
      <c r="G4466" s="49" t="n">
        <v>0</v>
      </c>
      <c r="H4466" s="0" t="n">
        <v>0</v>
      </c>
      <c r="M4466" s="51" t="s">
        <v>8394</v>
      </c>
      <c r="N4466" s="49" t="n">
        <v>0</v>
      </c>
      <c r="O4466" s="53" t="n">
        <v>45778.6174305556</v>
      </c>
      <c r="P4466" s="53" t="n">
        <v>45795.8675</v>
      </c>
      <c r="Q4466" s="53" t="n">
        <v>45778.6174305556</v>
      </c>
      <c r="R4466" s="0" t="n">
        <v>0</v>
      </c>
      <c r="S4466" s="51" t="s">
        <v>2416</v>
      </c>
      <c r="T4466" s="51" t="s">
        <v>2416</v>
      </c>
      <c r="U4466" s="0" t="str">
        <f aca="false">"734730225548"</f>
        <v>734730225548</v>
      </c>
      <c r="V4466" s="51" t="s">
        <v>2365</v>
      </c>
      <c r="W4466" s="51" t="s">
        <v>8436</v>
      </c>
      <c r="X4466" s="51" t="s">
        <v>2359</v>
      </c>
    </row>
    <row r="4467" customFormat="false" ht="14.25" hidden="true" customHeight="false" outlineLevel="0" collapsed="false">
      <c r="A4467" s="49" t="s">
        <v>2349</v>
      </c>
      <c r="B4467" s="49" t="s">
        <v>2350</v>
      </c>
      <c r="C4467" s="49" t="s">
        <v>8437</v>
      </c>
      <c r="D4467" s="49" t="s">
        <v>2352</v>
      </c>
      <c r="E4467" s="49" t="str">
        <f aca="false">"734730225548"</f>
        <v>734730225548</v>
      </c>
      <c r="F4467" s="49" t="s">
        <v>2434</v>
      </c>
      <c r="G4467" s="49" t="n">
        <v>0</v>
      </c>
      <c r="H4467" s="0" t="n">
        <v>0</v>
      </c>
      <c r="M4467" s="51" t="s">
        <v>8394</v>
      </c>
      <c r="N4467" s="49" t="n">
        <v>0</v>
      </c>
      <c r="O4467" s="53" t="n">
        <v>45778.6175694445</v>
      </c>
      <c r="P4467" s="53" t="n">
        <v>45795.8670833333</v>
      </c>
      <c r="Q4467" s="53" t="n">
        <v>45778.6175694445</v>
      </c>
      <c r="R4467" s="0" t="n">
        <v>0</v>
      </c>
      <c r="S4467" s="51" t="s">
        <v>2416</v>
      </c>
      <c r="T4467" s="51" t="s">
        <v>2416</v>
      </c>
      <c r="U4467" s="0" t="str">
        <f aca="false">"734730225548"</f>
        <v>734730225548</v>
      </c>
      <c r="V4467" s="51" t="s">
        <v>2365</v>
      </c>
      <c r="W4467" s="51" t="s">
        <v>7492</v>
      </c>
      <c r="X4467" s="51" t="s">
        <v>2359</v>
      </c>
    </row>
    <row r="4468" customFormat="false" ht="14.25" hidden="true" customHeight="false" outlineLevel="0" collapsed="false">
      <c r="A4468" s="49" t="s">
        <v>2349</v>
      </c>
      <c r="B4468" s="49" t="s">
        <v>2350</v>
      </c>
      <c r="C4468" s="49" t="s">
        <v>8438</v>
      </c>
      <c r="D4468" s="49" t="s">
        <v>2352</v>
      </c>
      <c r="E4468" s="49" t="str">
        <f aca="false">"734730225548"</f>
        <v>734730225548</v>
      </c>
      <c r="F4468" s="49" t="s">
        <v>2434</v>
      </c>
      <c r="G4468" s="49" t="n">
        <v>0</v>
      </c>
      <c r="H4468" s="0" t="n">
        <v>0</v>
      </c>
      <c r="M4468" s="51" t="s">
        <v>8394</v>
      </c>
      <c r="N4468" s="49" t="n">
        <v>0</v>
      </c>
      <c r="O4468" s="53" t="n">
        <v>45778.6176851852</v>
      </c>
      <c r="P4468" s="53" t="n">
        <v>45795.8696527778</v>
      </c>
      <c r="Q4468" s="53" t="n">
        <v>45778.6176851852</v>
      </c>
      <c r="R4468" s="0" t="n">
        <v>0</v>
      </c>
      <c r="S4468" s="51" t="s">
        <v>2416</v>
      </c>
      <c r="T4468" s="51" t="s">
        <v>2416</v>
      </c>
      <c r="U4468" s="0" t="str">
        <f aca="false">"734730225548"</f>
        <v>734730225548</v>
      </c>
      <c r="V4468" s="51" t="s">
        <v>2365</v>
      </c>
      <c r="W4468" s="51" t="s">
        <v>5731</v>
      </c>
      <c r="X4468" s="51" t="s">
        <v>2359</v>
      </c>
    </row>
    <row r="4469" customFormat="false" ht="14.25" hidden="true" customHeight="false" outlineLevel="0" collapsed="false">
      <c r="A4469" s="49" t="s">
        <v>2349</v>
      </c>
      <c r="B4469" s="49" t="s">
        <v>2350</v>
      </c>
      <c r="C4469" s="49" t="s">
        <v>8439</v>
      </c>
      <c r="D4469" s="49" t="s">
        <v>2352</v>
      </c>
      <c r="E4469" s="49" t="str">
        <f aca="false">"734730225548"</f>
        <v>734730225548</v>
      </c>
      <c r="F4469" s="49" t="s">
        <v>2434</v>
      </c>
      <c r="G4469" s="49" t="n">
        <v>0</v>
      </c>
      <c r="H4469" s="0" t="n">
        <v>0</v>
      </c>
      <c r="M4469" s="51" t="s">
        <v>8394</v>
      </c>
      <c r="N4469" s="49" t="n">
        <v>0</v>
      </c>
      <c r="O4469" s="53" t="n">
        <v>45778.6177777778</v>
      </c>
      <c r="P4469" s="53" t="n">
        <v>45795.8665509259</v>
      </c>
      <c r="Q4469" s="53" t="n">
        <v>45778.6177777778</v>
      </c>
      <c r="R4469" s="0" t="n">
        <v>0</v>
      </c>
      <c r="S4469" s="51" t="s">
        <v>2416</v>
      </c>
      <c r="T4469" s="51" t="s">
        <v>2416</v>
      </c>
      <c r="U4469" s="0" t="str">
        <f aca="false">"734730225548"</f>
        <v>734730225548</v>
      </c>
      <c r="V4469" s="51" t="s">
        <v>2365</v>
      </c>
      <c r="W4469" s="51" t="s">
        <v>6285</v>
      </c>
      <c r="X4469" s="51" t="s">
        <v>2359</v>
      </c>
    </row>
    <row r="4470" customFormat="false" ht="14.25" hidden="true" customHeight="false" outlineLevel="0" collapsed="false">
      <c r="A4470" s="49" t="s">
        <v>2349</v>
      </c>
      <c r="B4470" s="49" t="s">
        <v>2350</v>
      </c>
      <c r="C4470" s="49" t="s">
        <v>8440</v>
      </c>
      <c r="D4470" s="49" t="s">
        <v>2352</v>
      </c>
      <c r="E4470" s="49" t="str">
        <f aca="false">"734730225548"</f>
        <v>734730225548</v>
      </c>
      <c r="F4470" s="49" t="s">
        <v>2434</v>
      </c>
      <c r="G4470" s="49" t="n">
        <v>0</v>
      </c>
      <c r="H4470" s="0" t="n">
        <v>0</v>
      </c>
      <c r="M4470" s="51" t="s">
        <v>8394</v>
      </c>
      <c r="N4470" s="49" t="n">
        <v>0</v>
      </c>
      <c r="O4470" s="53" t="n">
        <v>45778.6178935185</v>
      </c>
      <c r="P4470" s="53" t="n">
        <v>45795.8669675926</v>
      </c>
      <c r="Q4470" s="53" t="n">
        <v>45778.6178935185</v>
      </c>
      <c r="R4470" s="0" t="n">
        <v>0</v>
      </c>
      <c r="S4470" s="51" t="s">
        <v>2416</v>
      </c>
      <c r="T4470" s="51" t="s">
        <v>2416</v>
      </c>
      <c r="U4470" s="0" t="str">
        <f aca="false">"734730225548"</f>
        <v>734730225548</v>
      </c>
      <c r="V4470" s="51" t="s">
        <v>2365</v>
      </c>
      <c r="W4470" s="51" t="s">
        <v>6593</v>
      </c>
      <c r="X4470" s="51" t="s">
        <v>2359</v>
      </c>
    </row>
    <row r="4471" customFormat="false" ht="14.25" hidden="true" customHeight="false" outlineLevel="0" collapsed="false">
      <c r="A4471" s="49" t="s">
        <v>2349</v>
      </c>
      <c r="B4471" s="49" t="s">
        <v>2350</v>
      </c>
      <c r="C4471" s="49" t="s">
        <v>8441</v>
      </c>
      <c r="D4471" s="49" t="s">
        <v>2352</v>
      </c>
      <c r="E4471" s="49" t="str">
        <f aca="false">"734730225548"</f>
        <v>734730225548</v>
      </c>
      <c r="F4471" s="49" t="s">
        <v>2434</v>
      </c>
      <c r="G4471" s="49" t="n">
        <v>0</v>
      </c>
      <c r="H4471" s="0" t="n">
        <v>0</v>
      </c>
      <c r="M4471" s="51" t="s">
        <v>8394</v>
      </c>
      <c r="N4471" s="49" t="n">
        <v>0</v>
      </c>
      <c r="O4471" s="53" t="n">
        <v>45778.6179976852</v>
      </c>
      <c r="P4471" s="53" t="n">
        <v>45787.4066203704</v>
      </c>
      <c r="Q4471" s="53" t="n">
        <v>45778.6179976852</v>
      </c>
      <c r="R4471" s="0" t="n">
        <v>0</v>
      </c>
      <c r="S4471" s="51" t="s">
        <v>2416</v>
      </c>
      <c r="T4471" s="51" t="s">
        <v>2416</v>
      </c>
      <c r="U4471" s="0" t="str">
        <f aca="false">"734730225548"</f>
        <v>734730225548</v>
      </c>
      <c r="V4471" s="51" t="s">
        <v>2365</v>
      </c>
      <c r="W4471" s="51" t="s">
        <v>4264</v>
      </c>
      <c r="X4471" s="51" t="s">
        <v>2359</v>
      </c>
    </row>
    <row r="4472" customFormat="false" ht="14.25" hidden="true" customHeight="false" outlineLevel="0" collapsed="false">
      <c r="A4472" s="49" t="s">
        <v>2349</v>
      </c>
      <c r="B4472" s="49" t="s">
        <v>2350</v>
      </c>
      <c r="C4472" s="49" t="s">
        <v>8442</v>
      </c>
      <c r="D4472" s="49" t="s">
        <v>2352</v>
      </c>
      <c r="E4472" s="49" t="str">
        <f aca="false">"734730225548"</f>
        <v>734730225548</v>
      </c>
      <c r="F4472" s="49" t="s">
        <v>2434</v>
      </c>
      <c r="G4472" s="49" t="n">
        <v>0</v>
      </c>
      <c r="H4472" s="0" t="n">
        <v>0</v>
      </c>
      <c r="M4472" s="51" t="s">
        <v>8394</v>
      </c>
      <c r="N4472" s="49" t="n">
        <v>0</v>
      </c>
      <c r="O4472" s="53" t="n">
        <v>45778.6181018519</v>
      </c>
      <c r="P4472" s="53" t="n">
        <v>45787.4027546296</v>
      </c>
      <c r="Q4472" s="53" t="n">
        <v>45778.6181018519</v>
      </c>
      <c r="R4472" s="0" t="n">
        <v>0</v>
      </c>
      <c r="S4472" s="51" t="s">
        <v>2416</v>
      </c>
      <c r="T4472" s="51" t="s">
        <v>2416</v>
      </c>
      <c r="U4472" s="0" t="str">
        <f aca="false">"734730225548"</f>
        <v>734730225548</v>
      </c>
      <c r="V4472" s="51" t="s">
        <v>2365</v>
      </c>
      <c r="W4472" s="51" t="s">
        <v>5459</v>
      </c>
      <c r="X4472" s="51" t="s">
        <v>2359</v>
      </c>
    </row>
    <row r="4473" customFormat="false" ht="14.25" hidden="true" customHeight="false" outlineLevel="0" collapsed="false">
      <c r="A4473" s="49" t="s">
        <v>2349</v>
      </c>
      <c r="B4473" s="49" t="s">
        <v>2350</v>
      </c>
      <c r="C4473" s="49" t="s">
        <v>8443</v>
      </c>
      <c r="D4473" s="49" t="s">
        <v>2352</v>
      </c>
      <c r="E4473" s="49" t="str">
        <f aca="false">"734730225548"</f>
        <v>734730225548</v>
      </c>
      <c r="F4473" s="49" t="s">
        <v>2434</v>
      </c>
      <c r="G4473" s="49" t="n">
        <v>0</v>
      </c>
      <c r="H4473" s="0" t="n">
        <v>0</v>
      </c>
      <c r="M4473" s="51" t="s">
        <v>8394</v>
      </c>
      <c r="N4473" s="49" t="n">
        <v>0</v>
      </c>
      <c r="O4473" s="53" t="n">
        <v>45778.6182175926</v>
      </c>
      <c r="P4473" s="53" t="n">
        <v>45789.9250925926</v>
      </c>
      <c r="Q4473" s="53" t="n">
        <v>45778.6182175926</v>
      </c>
      <c r="R4473" s="0" t="n">
        <v>0</v>
      </c>
      <c r="S4473" s="51" t="s">
        <v>2416</v>
      </c>
      <c r="T4473" s="51" t="s">
        <v>2416</v>
      </c>
      <c r="U4473" s="0" t="str">
        <f aca="false">"734730225548"</f>
        <v>734730225548</v>
      </c>
      <c r="V4473" s="51" t="s">
        <v>2365</v>
      </c>
      <c r="W4473" s="51" t="s">
        <v>5444</v>
      </c>
      <c r="X4473" s="51" t="s">
        <v>2359</v>
      </c>
    </row>
    <row r="4474" customFormat="false" ht="14.25" hidden="true" customHeight="false" outlineLevel="0" collapsed="false">
      <c r="A4474" s="49" t="s">
        <v>2349</v>
      </c>
      <c r="B4474" s="49" t="s">
        <v>2350</v>
      </c>
      <c r="C4474" s="49" t="s">
        <v>8444</v>
      </c>
      <c r="D4474" s="49" t="s">
        <v>2352</v>
      </c>
      <c r="E4474" s="49" t="str">
        <f aca="false">"734730225548"</f>
        <v>734730225548</v>
      </c>
      <c r="F4474" s="49" t="s">
        <v>2434</v>
      </c>
      <c r="G4474" s="49" t="n">
        <v>0</v>
      </c>
      <c r="H4474" s="0" t="n">
        <v>0</v>
      </c>
      <c r="M4474" s="51" t="s">
        <v>8394</v>
      </c>
      <c r="N4474" s="49" t="n">
        <v>0</v>
      </c>
      <c r="O4474" s="53" t="n">
        <v>45778.6153009259</v>
      </c>
      <c r="P4474" s="53" t="n">
        <v>45783.4832291667</v>
      </c>
      <c r="Q4474" s="53" t="n">
        <v>45778.6153009259</v>
      </c>
      <c r="R4474" s="0" t="n">
        <v>0</v>
      </c>
      <c r="S4474" s="51" t="s">
        <v>2416</v>
      </c>
      <c r="T4474" s="51" t="s">
        <v>2416</v>
      </c>
      <c r="U4474" s="0" t="str">
        <f aca="false">"734730225548"</f>
        <v>734730225548</v>
      </c>
      <c r="V4474" s="51" t="s">
        <v>2365</v>
      </c>
      <c r="W4474" s="51" t="s">
        <v>7925</v>
      </c>
      <c r="X4474" s="51" t="s">
        <v>2359</v>
      </c>
    </row>
    <row r="4475" customFormat="false" ht="14.25" hidden="true" customHeight="false" outlineLevel="0" collapsed="false">
      <c r="A4475" s="49" t="s">
        <v>2349</v>
      </c>
      <c r="B4475" s="49" t="s">
        <v>2350</v>
      </c>
      <c r="C4475" s="49" t="s">
        <v>8445</v>
      </c>
      <c r="D4475" s="49" t="s">
        <v>2352</v>
      </c>
      <c r="E4475" s="49" t="str">
        <f aca="false">"5060458890191"</f>
        <v>5060458890191</v>
      </c>
      <c r="F4475" s="49" t="s">
        <v>3656</v>
      </c>
      <c r="G4475" s="49" t="n">
        <v>0</v>
      </c>
      <c r="H4475" s="0" t="n">
        <v>0</v>
      </c>
      <c r="M4475" s="51" t="s">
        <v>8446</v>
      </c>
      <c r="N4475" s="49" t="n">
        <v>0</v>
      </c>
      <c r="O4475" s="53" t="n">
        <v>45885.3781712963</v>
      </c>
      <c r="P4475" s="53" t="n">
        <v>45890.569849537</v>
      </c>
      <c r="R4475" s="0" t="n">
        <v>0</v>
      </c>
      <c r="T4475" s="51" t="s">
        <v>2383</v>
      </c>
      <c r="U4475" s="0" t="str">
        <f aca="false">"5060458890191"</f>
        <v>5060458890191</v>
      </c>
      <c r="V4475" s="51" t="s">
        <v>2142</v>
      </c>
      <c r="W4475" s="51" t="s">
        <v>6661</v>
      </c>
      <c r="X4475" s="51" t="s">
        <v>2359</v>
      </c>
    </row>
    <row r="4476" customFormat="false" ht="14.25" hidden="true" customHeight="false" outlineLevel="0" collapsed="false">
      <c r="A4476" s="49" t="s">
        <v>2349</v>
      </c>
      <c r="B4476" s="49" t="s">
        <v>2350</v>
      </c>
      <c r="C4476" s="49" t="s">
        <v>8447</v>
      </c>
      <c r="D4476" s="49" t="s">
        <v>2352</v>
      </c>
      <c r="E4476" s="49" t="str">
        <f aca="false">"5060458890191"</f>
        <v>5060458890191</v>
      </c>
      <c r="F4476" s="49" t="s">
        <v>3656</v>
      </c>
      <c r="G4476" s="49" t="n">
        <v>0</v>
      </c>
      <c r="H4476" s="0" t="n">
        <v>0</v>
      </c>
      <c r="M4476" s="51" t="s">
        <v>8446</v>
      </c>
      <c r="N4476" s="49" t="n">
        <v>0</v>
      </c>
      <c r="O4476" s="53" t="n">
        <v>45883.5863425926</v>
      </c>
      <c r="P4476" s="53" t="n">
        <v>45883.7044907407</v>
      </c>
      <c r="Q4476" s="53" t="n">
        <v>45883.5863425926</v>
      </c>
      <c r="R4476" s="0" t="n">
        <v>0</v>
      </c>
      <c r="S4476" s="51" t="s">
        <v>2383</v>
      </c>
      <c r="T4476" s="51" t="s">
        <v>2383</v>
      </c>
      <c r="U4476" s="0" t="str">
        <f aca="false">"5060458890191"</f>
        <v>5060458890191</v>
      </c>
      <c r="V4476" s="51" t="s">
        <v>2142</v>
      </c>
      <c r="W4476" s="51" t="s">
        <v>6661</v>
      </c>
      <c r="X4476" s="51" t="s">
        <v>2359</v>
      </c>
    </row>
    <row r="4477" customFormat="false" ht="14.25" hidden="true" customHeight="false" outlineLevel="0" collapsed="false">
      <c r="A4477" s="49" t="s">
        <v>2349</v>
      </c>
      <c r="B4477" s="49" t="s">
        <v>2350</v>
      </c>
      <c r="C4477" s="49" t="s">
        <v>8448</v>
      </c>
      <c r="D4477" s="49" t="s">
        <v>2352</v>
      </c>
      <c r="E4477" s="49" t="str">
        <f aca="false">"5060458890191"</f>
        <v>5060458890191</v>
      </c>
      <c r="F4477" s="49" t="s">
        <v>3656</v>
      </c>
      <c r="G4477" s="49" t="n">
        <v>0</v>
      </c>
      <c r="H4477" s="0" t="n">
        <v>0</v>
      </c>
      <c r="M4477" s="51" t="s">
        <v>8446</v>
      </c>
      <c r="N4477" s="49" t="n">
        <v>0</v>
      </c>
      <c r="O4477" s="53" t="n">
        <v>45883.5867361111</v>
      </c>
      <c r="P4477" s="53" t="n">
        <v>45883.701724537</v>
      </c>
      <c r="Q4477" s="53" t="n">
        <v>45883.5867361111</v>
      </c>
      <c r="R4477" s="0" t="n">
        <v>0</v>
      </c>
      <c r="S4477" s="51" t="s">
        <v>2383</v>
      </c>
      <c r="T4477" s="51" t="s">
        <v>2383</v>
      </c>
      <c r="U4477" s="0" t="str">
        <f aca="false">"5060458890191"</f>
        <v>5060458890191</v>
      </c>
      <c r="V4477" s="51" t="s">
        <v>2142</v>
      </c>
      <c r="W4477" s="51" t="s">
        <v>6661</v>
      </c>
      <c r="X4477" s="51" t="s">
        <v>2359</v>
      </c>
    </row>
    <row r="4478" customFormat="false" ht="14.25" hidden="true" customHeight="false" outlineLevel="0" collapsed="false">
      <c r="A4478" s="49" t="s">
        <v>2349</v>
      </c>
      <c r="B4478" s="49" t="s">
        <v>2350</v>
      </c>
      <c r="C4478" s="49" t="s">
        <v>8449</v>
      </c>
      <c r="D4478" s="49" t="s">
        <v>2352</v>
      </c>
      <c r="E4478" s="49" t="str">
        <f aca="false">"5060458890191"</f>
        <v>5060458890191</v>
      </c>
      <c r="F4478" s="49" t="s">
        <v>3656</v>
      </c>
      <c r="G4478" s="49" t="n">
        <v>0</v>
      </c>
      <c r="H4478" s="0" t="n">
        <v>0</v>
      </c>
      <c r="M4478" s="51" t="s">
        <v>8446</v>
      </c>
      <c r="N4478" s="49" t="n">
        <v>0</v>
      </c>
      <c r="O4478" s="53" t="n">
        <v>45883.5890277778</v>
      </c>
      <c r="P4478" s="53" t="n">
        <v>45883.7035185185</v>
      </c>
      <c r="Q4478" s="53" t="n">
        <v>45883.5890277778</v>
      </c>
      <c r="R4478" s="0" t="n">
        <v>0</v>
      </c>
      <c r="S4478" s="51" t="s">
        <v>2383</v>
      </c>
      <c r="T4478" s="51" t="s">
        <v>2383</v>
      </c>
      <c r="U4478" s="0" t="str">
        <f aca="false">"5060458890191"</f>
        <v>5060458890191</v>
      </c>
      <c r="V4478" s="51" t="s">
        <v>2142</v>
      </c>
      <c r="W4478" s="51" t="s">
        <v>6661</v>
      </c>
      <c r="X4478" s="51" t="s">
        <v>2359</v>
      </c>
    </row>
    <row r="4479" customFormat="false" ht="14.25" hidden="true" customHeight="false" outlineLevel="0" collapsed="false">
      <c r="A4479" s="49" t="s">
        <v>2349</v>
      </c>
      <c r="B4479" s="49" t="s">
        <v>2350</v>
      </c>
      <c r="C4479" s="49" t="s">
        <v>8450</v>
      </c>
      <c r="D4479" s="49" t="s">
        <v>2352</v>
      </c>
      <c r="E4479" s="49" t="str">
        <f aca="false">"5060458890191"</f>
        <v>5060458890191</v>
      </c>
      <c r="F4479" s="49" t="s">
        <v>3656</v>
      </c>
      <c r="G4479" s="49" t="n">
        <v>0</v>
      </c>
      <c r="H4479" s="0" t="n">
        <v>0</v>
      </c>
      <c r="M4479" s="51" t="s">
        <v>8446</v>
      </c>
      <c r="N4479" s="49" t="n">
        <v>0</v>
      </c>
      <c r="O4479" s="53" t="n">
        <v>45883.5891435185</v>
      </c>
      <c r="P4479" s="53" t="n">
        <v>45883.7055902778</v>
      </c>
      <c r="Q4479" s="53" t="n">
        <v>45883.5891435185</v>
      </c>
      <c r="R4479" s="0" t="n">
        <v>0</v>
      </c>
      <c r="S4479" s="51" t="s">
        <v>2383</v>
      </c>
      <c r="T4479" s="51" t="s">
        <v>2383</v>
      </c>
      <c r="U4479" s="0" t="str">
        <f aca="false">"5060458890191"</f>
        <v>5060458890191</v>
      </c>
      <c r="V4479" s="51" t="s">
        <v>2142</v>
      </c>
      <c r="W4479" s="51" t="s">
        <v>6661</v>
      </c>
      <c r="X4479" s="51" t="s">
        <v>2359</v>
      </c>
    </row>
    <row r="4480" customFormat="false" ht="14.25" hidden="true" customHeight="false" outlineLevel="0" collapsed="false">
      <c r="A4480" s="49" t="s">
        <v>2349</v>
      </c>
      <c r="B4480" s="49" t="s">
        <v>2350</v>
      </c>
      <c r="C4480" s="49" t="s">
        <v>8451</v>
      </c>
      <c r="D4480" s="49" t="s">
        <v>2352</v>
      </c>
      <c r="E4480" s="49" t="str">
        <f aca="false">"5060458890191"</f>
        <v>5060458890191</v>
      </c>
      <c r="F4480" s="49" t="s">
        <v>3656</v>
      </c>
      <c r="G4480" s="49" t="n">
        <v>0</v>
      </c>
      <c r="H4480" s="0" t="n">
        <v>0</v>
      </c>
      <c r="M4480" s="51" t="s">
        <v>8446</v>
      </c>
      <c r="N4480" s="49" t="n">
        <v>0</v>
      </c>
      <c r="O4480" s="53" t="n">
        <v>45883.5892361111</v>
      </c>
      <c r="P4480" s="53" t="n">
        <v>45883.7052546296</v>
      </c>
      <c r="Q4480" s="53" t="n">
        <v>45883.5892361111</v>
      </c>
      <c r="R4480" s="0" t="n">
        <v>0</v>
      </c>
      <c r="S4480" s="51" t="s">
        <v>2383</v>
      </c>
      <c r="T4480" s="51" t="s">
        <v>2383</v>
      </c>
      <c r="U4480" s="0" t="str">
        <f aca="false">"5060458890191"</f>
        <v>5060458890191</v>
      </c>
      <c r="V4480" s="51" t="s">
        <v>2142</v>
      </c>
      <c r="W4480" s="51" t="s">
        <v>6661</v>
      </c>
      <c r="X4480" s="51" t="s">
        <v>2359</v>
      </c>
    </row>
    <row r="4481" customFormat="false" ht="14.25" hidden="true" customHeight="false" outlineLevel="0" collapsed="false">
      <c r="A4481" s="49" t="s">
        <v>2349</v>
      </c>
      <c r="B4481" s="49" t="s">
        <v>2350</v>
      </c>
      <c r="C4481" s="49" t="s">
        <v>8452</v>
      </c>
      <c r="D4481" s="49" t="s">
        <v>2352</v>
      </c>
      <c r="E4481" s="49" t="str">
        <f aca="false">"5060458890191"</f>
        <v>5060458890191</v>
      </c>
      <c r="F4481" s="49" t="s">
        <v>3656</v>
      </c>
      <c r="G4481" s="49" t="n">
        <v>0</v>
      </c>
      <c r="H4481" s="0" t="n">
        <v>0</v>
      </c>
      <c r="M4481" s="51" t="s">
        <v>8446</v>
      </c>
      <c r="N4481" s="49" t="n">
        <v>0</v>
      </c>
      <c r="O4481" s="53" t="n">
        <v>45883.5893287037</v>
      </c>
      <c r="P4481" s="53" t="n">
        <v>45883.7047106482</v>
      </c>
      <c r="Q4481" s="53" t="n">
        <v>45883.5893287037</v>
      </c>
      <c r="R4481" s="0" t="n">
        <v>0</v>
      </c>
      <c r="S4481" s="51" t="s">
        <v>2383</v>
      </c>
      <c r="T4481" s="51" t="s">
        <v>2383</v>
      </c>
      <c r="U4481" s="0" t="str">
        <f aca="false">"5060458890191"</f>
        <v>5060458890191</v>
      </c>
      <c r="V4481" s="51" t="s">
        <v>2142</v>
      </c>
      <c r="W4481" s="51" t="s">
        <v>6661</v>
      </c>
      <c r="X4481" s="51" t="s">
        <v>2359</v>
      </c>
    </row>
    <row r="4482" customFormat="false" ht="14.25" hidden="true" customHeight="false" outlineLevel="0" collapsed="false">
      <c r="A4482" s="49" t="s">
        <v>2349</v>
      </c>
      <c r="B4482" s="49" t="s">
        <v>2350</v>
      </c>
      <c r="C4482" s="49" t="s">
        <v>8453</v>
      </c>
      <c r="D4482" s="49" t="s">
        <v>2352</v>
      </c>
      <c r="E4482" s="49" t="str">
        <f aca="false">"5060458890191"</f>
        <v>5060458890191</v>
      </c>
      <c r="F4482" s="49" t="s">
        <v>3656</v>
      </c>
      <c r="G4482" s="49" t="n">
        <v>0</v>
      </c>
      <c r="H4482" s="0" t="n">
        <v>0</v>
      </c>
      <c r="M4482" s="51" t="s">
        <v>8446</v>
      </c>
      <c r="N4482" s="49" t="n">
        <v>0</v>
      </c>
      <c r="O4482" s="53" t="n">
        <v>45883.5894212963</v>
      </c>
      <c r="P4482" s="53" t="n">
        <v>45883.7061458333</v>
      </c>
      <c r="Q4482" s="53" t="n">
        <v>45883.5894212963</v>
      </c>
      <c r="R4482" s="0" t="n">
        <v>0</v>
      </c>
      <c r="S4482" s="51" t="s">
        <v>2383</v>
      </c>
      <c r="T4482" s="51" t="s">
        <v>2383</v>
      </c>
      <c r="U4482" s="0" t="str">
        <f aca="false">"5060458890191"</f>
        <v>5060458890191</v>
      </c>
      <c r="V4482" s="51" t="s">
        <v>2142</v>
      </c>
      <c r="W4482" s="51" t="s">
        <v>6661</v>
      </c>
      <c r="X4482" s="51" t="s">
        <v>2359</v>
      </c>
    </row>
    <row r="4483" customFormat="false" ht="14.25" hidden="true" customHeight="false" outlineLevel="0" collapsed="false">
      <c r="A4483" s="49" t="s">
        <v>2349</v>
      </c>
      <c r="B4483" s="49" t="s">
        <v>2350</v>
      </c>
      <c r="C4483" s="49" t="s">
        <v>8454</v>
      </c>
      <c r="D4483" s="49" t="s">
        <v>2352</v>
      </c>
      <c r="E4483" s="49" t="str">
        <f aca="false">"5060458890191"</f>
        <v>5060458890191</v>
      </c>
      <c r="F4483" s="49" t="s">
        <v>3656</v>
      </c>
      <c r="G4483" s="49" t="n">
        <v>0</v>
      </c>
      <c r="H4483" s="0" t="n">
        <v>0</v>
      </c>
      <c r="M4483" s="51" t="s">
        <v>8446</v>
      </c>
      <c r="N4483" s="49" t="n">
        <v>0</v>
      </c>
      <c r="O4483" s="53" t="n">
        <v>45883.5895023148</v>
      </c>
      <c r="P4483" s="53" t="n">
        <v>45883.7006481482</v>
      </c>
      <c r="Q4483" s="53" t="n">
        <v>45883.5895023148</v>
      </c>
      <c r="R4483" s="0" t="n">
        <v>0</v>
      </c>
      <c r="S4483" s="51" t="s">
        <v>2383</v>
      </c>
      <c r="T4483" s="51" t="s">
        <v>2383</v>
      </c>
      <c r="U4483" s="0" t="str">
        <f aca="false">"5060458890191"</f>
        <v>5060458890191</v>
      </c>
      <c r="V4483" s="51" t="s">
        <v>2142</v>
      </c>
      <c r="W4483" s="51" t="s">
        <v>6661</v>
      </c>
      <c r="X4483" s="51" t="s">
        <v>2359</v>
      </c>
    </row>
    <row r="4484" customFormat="false" ht="14.25" hidden="true" customHeight="false" outlineLevel="0" collapsed="false">
      <c r="A4484" s="49" t="s">
        <v>2349</v>
      </c>
      <c r="B4484" s="49" t="s">
        <v>2350</v>
      </c>
      <c r="C4484" s="49" t="s">
        <v>8455</v>
      </c>
      <c r="D4484" s="49" t="s">
        <v>2352</v>
      </c>
      <c r="E4484" s="49" t="str">
        <f aca="false">"5060458890191"</f>
        <v>5060458890191</v>
      </c>
      <c r="F4484" s="49" t="s">
        <v>3656</v>
      </c>
      <c r="G4484" s="49" t="n">
        <v>0</v>
      </c>
      <c r="H4484" s="0" t="n">
        <v>0</v>
      </c>
      <c r="M4484" s="51" t="s">
        <v>8446</v>
      </c>
      <c r="N4484" s="49" t="n">
        <v>0</v>
      </c>
      <c r="O4484" s="53" t="n">
        <v>45883.5896064815</v>
      </c>
      <c r="P4484" s="53" t="n">
        <v>45883.7018634259</v>
      </c>
      <c r="Q4484" s="53" t="n">
        <v>45883.5896064815</v>
      </c>
      <c r="R4484" s="0" t="n">
        <v>0</v>
      </c>
      <c r="S4484" s="51" t="s">
        <v>2383</v>
      </c>
      <c r="T4484" s="51" t="s">
        <v>2383</v>
      </c>
      <c r="U4484" s="0" t="str">
        <f aca="false">"5060458890191"</f>
        <v>5060458890191</v>
      </c>
      <c r="V4484" s="51" t="s">
        <v>2142</v>
      </c>
      <c r="W4484" s="51" t="s">
        <v>6661</v>
      </c>
      <c r="X4484" s="51" t="s">
        <v>2359</v>
      </c>
    </row>
    <row r="4485" customFormat="false" ht="14.25" hidden="true" customHeight="false" outlineLevel="0" collapsed="false">
      <c r="A4485" s="49" t="s">
        <v>2349</v>
      </c>
      <c r="B4485" s="49" t="s">
        <v>2350</v>
      </c>
      <c r="C4485" s="49" t="s">
        <v>8456</v>
      </c>
      <c r="D4485" s="49" t="s">
        <v>2352</v>
      </c>
      <c r="E4485" s="49" t="str">
        <f aca="false">"5060458890191"</f>
        <v>5060458890191</v>
      </c>
      <c r="F4485" s="49" t="s">
        <v>3656</v>
      </c>
      <c r="G4485" s="49" t="n">
        <v>0</v>
      </c>
      <c r="H4485" s="0" t="n">
        <v>0</v>
      </c>
      <c r="M4485" s="51" t="s">
        <v>8446</v>
      </c>
      <c r="N4485" s="49" t="n">
        <v>0</v>
      </c>
      <c r="O4485" s="53" t="n">
        <v>45883.5897337963</v>
      </c>
      <c r="P4485" s="53" t="n">
        <v>45883.7054282407</v>
      </c>
      <c r="Q4485" s="53" t="n">
        <v>45883.5897337963</v>
      </c>
      <c r="R4485" s="0" t="n">
        <v>0</v>
      </c>
      <c r="S4485" s="51" t="s">
        <v>2383</v>
      </c>
      <c r="T4485" s="51" t="s">
        <v>2383</v>
      </c>
      <c r="U4485" s="0" t="str">
        <f aca="false">"5060458890191"</f>
        <v>5060458890191</v>
      </c>
      <c r="V4485" s="51" t="s">
        <v>2142</v>
      </c>
      <c r="W4485" s="51" t="s">
        <v>6661</v>
      </c>
      <c r="X4485" s="51" t="s">
        <v>2359</v>
      </c>
    </row>
    <row r="4486" customFormat="false" ht="14.25" hidden="true" customHeight="false" outlineLevel="0" collapsed="false">
      <c r="A4486" s="49" t="s">
        <v>2349</v>
      </c>
      <c r="B4486" s="49" t="s">
        <v>2350</v>
      </c>
      <c r="C4486" s="49" t="s">
        <v>8457</v>
      </c>
      <c r="D4486" s="49" t="s">
        <v>2352</v>
      </c>
      <c r="E4486" s="49" t="str">
        <f aca="false">"5060458890191"</f>
        <v>5060458890191</v>
      </c>
      <c r="F4486" s="49" t="s">
        <v>3656</v>
      </c>
      <c r="G4486" s="49" t="n">
        <v>0</v>
      </c>
      <c r="H4486" s="0" t="n">
        <v>0</v>
      </c>
      <c r="M4486" s="51" t="s">
        <v>8446</v>
      </c>
      <c r="N4486" s="49" t="n">
        <v>0</v>
      </c>
      <c r="O4486" s="53" t="n">
        <v>45883.589849537</v>
      </c>
      <c r="P4486" s="53" t="n">
        <v>45883.7041203704</v>
      </c>
      <c r="Q4486" s="53" t="n">
        <v>45883.589849537</v>
      </c>
      <c r="R4486" s="0" t="n">
        <v>0</v>
      </c>
      <c r="S4486" s="51" t="s">
        <v>2383</v>
      </c>
      <c r="T4486" s="51" t="s">
        <v>2383</v>
      </c>
      <c r="U4486" s="0" t="str">
        <f aca="false">"5060458890191"</f>
        <v>5060458890191</v>
      </c>
      <c r="V4486" s="51" t="s">
        <v>2142</v>
      </c>
      <c r="W4486" s="51" t="s">
        <v>6661</v>
      </c>
      <c r="X4486" s="51" t="s">
        <v>2359</v>
      </c>
    </row>
    <row r="4487" customFormat="false" ht="14.25" hidden="true" customHeight="false" outlineLevel="0" collapsed="false">
      <c r="A4487" s="49" t="s">
        <v>2349</v>
      </c>
      <c r="B4487" s="49" t="s">
        <v>2350</v>
      </c>
      <c r="C4487" s="49" t="s">
        <v>8458</v>
      </c>
      <c r="D4487" s="49" t="s">
        <v>2352</v>
      </c>
      <c r="E4487" s="49" t="str">
        <f aca="false">"5060458890191"</f>
        <v>5060458890191</v>
      </c>
      <c r="F4487" s="49" t="s">
        <v>3656</v>
      </c>
      <c r="G4487" s="49" t="n">
        <v>0</v>
      </c>
      <c r="H4487" s="0" t="n">
        <v>0</v>
      </c>
      <c r="M4487" s="51" t="s">
        <v>8446</v>
      </c>
      <c r="N4487" s="49" t="n">
        <v>0</v>
      </c>
      <c r="O4487" s="53" t="n">
        <v>45883.5899537037</v>
      </c>
      <c r="P4487" s="53" t="n">
        <v>45883.7063194444</v>
      </c>
      <c r="Q4487" s="53" t="n">
        <v>45883.5899537037</v>
      </c>
      <c r="R4487" s="0" t="n">
        <v>0</v>
      </c>
      <c r="S4487" s="51" t="s">
        <v>2383</v>
      </c>
      <c r="T4487" s="51" t="s">
        <v>2383</v>
      </c>
      <c r="U4487" s="0" t="str">
        <f aca="false">"5060458890191"</f>
        <v>5060458890191</v>
      </c>
      <c r="V4487" s="51" t="s">
        <v>2142</v>
      </c>
      <c r="W4487" s="51" t="s">
        <v>6661</v>
      </c>
      <c r="X4487" s="51" t="s">
        <v>2359</v>
      </c>
    </row>
    <row r="4488" customFormat="false" ht="14.25" hidden="true" customHeight="false" outlineLevel="0" collapsed="false">
      <c r="A4488" s="49" t="s">
        <v>2349</v>
      </c>
      <c r="B4488" s="49" t="s">
        <v>2350</v>
      </c>
      <c r="C4488" s="49" t="s">
        <v>8459</v>
      </c>
      <c r="D4488" s="49" t="s">
        <v>2352</v>
      </c>
      <c r="E4488" s="49" t="str">
        <f aca="false">"5060458890191"</f>
        <v>5060458890191</v>
      </c>
      <c r="F4488" s="49" t="s">
        <v>3656</v>
      </c>
      <c r="G4488" s="49" t="n">
        <v>0</v>
      </c>
      <c r="H4488" s="0" t="n">
        <v>0</v>
      </c>
      <c r="M4488" s="51" t="s">
        <v>8446</v>
      </c>
      <c r="N4488" s="49" t="n">
        <v>0</v>
      </c>
      <c r="O4488" s="53" t="n">
        <v>45883.5900462963</v>
      </c>
      <c r="P4488" s="53" t="n">
        <v>45883.7015740741</v>
      </c>
      <c r="Q4488" s="53" t="n">
        <v>45883.5900462963</v>
      </c>
      <c r="R4488" s="0" t="n">
        <v>0</v>
      </c>
      <c r="S4488" s="51" t="s">
        <v>2383</v>
      </c>
      <c r="T4488" s="51" t="s">
        <v>2383</v>
      </c>
      <c r="U4488" s="0" t="str">
        <f aca="false">"5060458890191"</f>
        <v>5060458890191</v>
      </c>
      <c r="V4488" s="51" t="s">
        <v>2142</v>
      </c>
      <c r="W4488" s="51" t="s">
        <v>6661</v>
      </c>
      <c r="X4488" s="51" t="s">
        <v>2359</v>
      </c>
    </row>
    <row r="4489" customFormat="false" ht="14.25" hidden="true" customHeight="false" outlineLevel="0" collapsed="false">
      <c r="A4489" s="49" t="s">
        <v>2349</v>
      </c>
      <c r="B4489" s="49" t="s">
        <v>2350</v>
      </c>
      <c r="C4489" s="49" t="s">
        <v>8460</v>
      </c>
      <c r="D4489" s="49" t="s">
        <v>2352</v>
      </c>
      <c r="E4489" s="49" t="str">
        <f aca="false">"5060458890191"</f>
        <v>5060458890191</v>
      </c>
      <c r="F4489" s="49" t="s">
        <v>3656</v>
      </c>
      <c r="G4489" s="49" t="n">
        <v>0</v>
      </c>
      <c r="H4489" s="0" t="n">
        <v>0</v>
      </c>
      <c r="M4489" s="51" t="s">
        <v>8446</v>
      </c>
      <c r="N4489" s="49" t="n">
        <v>0</v>
      </c>
      <c r="O4489" s="53" t="n">
        <v>45883.5901736111</v>
      </c>
      <c r="P4489" s="53" t="n">
        <v>45883.7028240741</v>
      </c>
      <c r="Q4489" s="53" t="n">
        <v>45883.5901736111</v>
      </c>
      <c r="R4489" s="0" t="n">
        <v>0</v>
      </c>
      <c r="S4489" s="51" t="s">
        <v>2383</v>
      </c>
      <c r="T4489" s="51" t="s">
        <v>2383</v>
      </c>
      <c r="U4489" s="0" t="str">
        <f aca="false">"5060458890191"</f>
        <v>5060458890191</v>
      </c>
      <c r="V4489" s="51" t="s">
        <v>2142</v>
      </c>
      <c r="W4489" s="51" t="s">
        <v>6661</v>
      </c>
      <c r="X4489" s="51" t="s">
        <v>2359</v>
      </c>
    </row>
    <row r="4490" customFormat="false" ht="14.25" hidden="true" customHeight="false" outlineLevel="0" collapsed="false">
      <c r="A4490" s="49" t="s">
        <v>2349</v>
      </c>
      <c r="B4490" s="49" t="s">
        <v>2350</v>
      </c>
      <c r="C4490" s="49" t="s">
        <v>8461</v>
      </c>
      <c r="D4490" s="49" t="s">
        <v>2352</v>
      </c>
      <c r="E4490" s="49" t="str">
        <f aca="false">"5060458890191"</f>
        <v>5060458890191</v>
      </c>
      <c r="F4490" s="49" t="s">
        <v>3656</v>
      </c>
      <c r="G4490" s="49" t="n">
        <v>0</v>
      </c>
      <c r="H4490" s="0" t="n">
        <v>0</v>
      </c>
      <c r="M4490" s="51" t="s">
        <v>8446</v>
      </c>
      <c r="N4490" s="49" t="n">
        <v>0</v>
      </c>
      <c r="O4490" s="53" t="n">
        <v>45883.5903009259</v>
      </c>
      <c r="P4490" s="53" t="n">
        <v>45883.7043171296</v>
      </c>
      <c r="Q4490" s="53" t="n">
        <v>45883.5903009259</v>
      </c>
      <c r="R4490" s="0" t="n">
        <v>0</v>
      </c>
      <c r="S4490" s="51" t="s">
        <v>2383</v>
      </c>
      <c r="T4490" s="51" t="s">
        <v>2383</v>
      </c>
      <c r="U4490" s="0" t="str">
        <f aca="false">"5060458890191"</f>
        <v>5060458890191</v>
      </c>
      <c r="V4490" s="51" t="s">
        <v>2142</v>
      </c>
      <c r="W4490" s="51" t="s">
        <v>6661</v>
      </c>
      <c r="X4490" s="51" t="s">
        <v>2359</v>
      </c>
    </row>
    <row r="4491" customFormat="false" ht="14.25" hidden="true" customHeight="false" outlineLevel="0" collapsed="false">
      <c r="A4491" s="49" t="s">
        <v>2349</v>
      </c>
      <c r="B4491" s="49" t="s">
        <v>2350</v>
      </c>
      <c r="C4491" s="49" t="s">
        <v>8462</v>
      </c>
      <c r="D4491" s="49" t="s">
        <v>2352</v>
      </c>
      <c r="E4491" s="49" t="str">
        <f aca="false">"5060458890191"</f>
        <v>5060458890191</v>
      </c>
      <c r="F4491" s="49" t="s">
        <v>3656</v>
      </c>
      <c r="G4491" s="49" t="n">
        <v>0</v>
      </c>
      <c r="H4491" s="0" t="n">
        <v>0</v>
      </c>
      <c r="M4491" s="51" t="s">
        <v>8446</v>
      </c>
      <c r="N4491" s="49" t="n">
        <v>0</v>
      </c>
      <c r="O4491" s="53" t="n">
        <v>45883.5904861111</v>
      </c>
      <c r="P4491" s="53" t="n">
        <v>45883.7037037037</v>
      </c>
      <c r="Q4491" s="53" t="n">
        <v>45883.5904861111</v>
      </c>
      <c r="R4491" s="0" t="n">
        <v>0</v>
      </c>
      <c r="S4491" s="51" t="s">
        <v>2383</v>
      </c>
      <c r="T4491" s="51" t="s">
        <v>2383</v>
      </c>
      <c r="U4491" s="0" t="str">
        <f aca="false">"5060458890191"</f>
        <v>5060458890191</v>
      </c>
      <c r="V4491" s="51" t="s">
        <v>2142</v>
      </c>
      <c r="W4491" s="51" t="s">
        <v>6661</v>
      </c>
      <c r="X4491" s="51" t="s">
        <v>2359</v>
      </c>
    </row>
    <row r="4492" customFormat="false" ht="14.25" hidden="true" customHeight="false" outlineLevel="0" collapsed="false">
      <c r="A4492" s="49" t="s">
        <v>2349</v>
      </c>
      <c r="B4492" s="49" t="s">
        <v>2350</v>
      </c>
      <c r="C4492" s="49" t="s">
        <v>8463</v>
      </c>
      <c r="D4492" s="49" t="s">
        <v>2352</v>
      </c>
      <c r="E4492" s="49" t="str">
        <f aca="false">"5060458890191"</f>
        <v>5060458890191</v>
      </c>
      <c r="F4492" s="49" t="s">
        <v>3656</v>
      </c>
      <c r="G4492" s="49" t="n">
        <v>0</v>
      </c>
      <c r="H4492" s="0" t="n">
        <v>0</v>
      </c>
      <c r="M4492" s="51" t="s">
        <v>8446</v>
      </c>
      <c r="N4492" s="49" t="n">
        <v>0</v>
      </c>
      <c r="O4492" s="53" t="n">
        <v>45883.5905671296</v>
      </c>
      <c r="P4492" s="53" t="n">
        <v>45883.7039467593</v>
      </c>
      <c r="Q4492" s="53" t="n">
        <v>45883.5905671296</v>
      </c>
      <c r="R4492" s="0" t="n">
        <v>0</v>
      </c>
      <c r="S4492" s="51" t="s">
        <v>2383</v>
      </c>
      <c r="T4492" s="51" t="s">
        <v>2383</v>
      </c>
      <c r="U4492" s="0" t="str">
        <f aca="false">"5060458890191"</f>
        <v>5060458890191</v>
      </c>
      <c r="V4492" s="51" t="s">
        <v>2142</v>
      </c>
      <c r="W4492" s="51" t="s">
        <v>6661</v>
      </c>
      <c r="X4492" s="51" t="s">
        <v>2359</v>
      </c>
    </row>
    <row r="4493" customFormat="false" ht="14.25" hidden="true" customHeight="false" outlineLevel="0" collapsed="false">
      <c r="A4493" s="49" t="s">
        <v>2349</v>
      </c>
      <c r="B4493" s="49" t="s">
        <v>2350</v>
      </c>
      <c r="C4493" s="49" t="s">
        <v>8464</v>
      </c>
      <c r="D4493" s="49" t="s">
        <v>2352</v>
      </c>
      <c r="E4493" s="49" t="str">
        <f aca="false">"5060458890191"</f>
        <v>5060458890191</v>
      </c>
      <c r="F4493" s="49" t="s">
        <v>3656</v>
      </c>
      <c r="G4493" s="49" t="n">
        <v>0</v>
      </c>
      <c r="H4493" s="0" t="n">
        <v>0</v>
      </c>
      <c r="M4493" s="51" t="s">
        <v>8446</v>
      </c>
      <c r="N4493" s="49" t="n">
        <v>0</v>
      </c>
      <c r="O4493" s="53" t="n">
        <v>45883.5906597222</v>
      </c>
      <c r="P4493" s="53" t="n">
        <v>45883.7020601852</v>
      </c>
      <c r="Q4493" s="53" t="n">
        <v>45883.5906597222</v>
      </c>
      <c r="R4493" s="0" t="n">
        <v>0</v>
      </c>
      <c r="S4493" s="51" t="s">
        <v>2383</v>
      </c>
      <c r="T4493" s="51" t="s">
        <v>2383</v>
      </c>
      <c r="U4493" s="0" t="str">
        <f aca="false">"5060458890191"</f>
        <v>5060458890191</v>
      </c>
      <c r="V4493" s="51" t="s">
        <v>2142</v>
      </c>
      <c r="W4493" s="51" t="s">
        <v>6661</v>
      </c>
      <c r="X4493" s="51" t="s">
        <v>2359</v>
      </c>
    </row>
    <row r="4494" customFormat="false" ht="14.25" hidden="true" customHeight="false" outlineLevel="0" collapsed="false">
      <c r="A4494" s="49" t="s">
        <v>2349</v>
      </c>
      <c r="B4494" s="49" t="s">
        <v>2350</v>
      </c>
      <c r="C4494" s="49" t="s">
        <v>8465</v>
      </c>
      <c r="D4494" s="49" t="s">
        <v>2352</v>
      </c>
      <c r="E4494" s="49" t="str">
        <f aca="false">"5060458890191"</f>
        <v>5060458890191</v>
      </c>
      <c r="F4494" s="49" t="s">
        <v>3656</v>
      </c>
      <c r="G4494" s="49" t="n">
        <v>0</v>
      </c>
      <c r="H4494" s="0" t="n">
        <v>0</v>
      </c>
      <c r="M4494" s="51" t="s">
        <v>8446</v>
      </c>
      <c r="N4494" s="49" t="n">
        <v>0</v>
      </c>
      <c r="O4494" s="53" t="n">
        <v>45883.590775463</v>
      </c>
      <c r="P4494" s="53" t="n">
        <v>45883.7038425926</v>
      </c>
      <c r="Q4494" s="53" t="n">
        <v>45883.590775463</v>
      </c>
      <c r="R4494" s="0" t="n">
        <v>0</v>
      </c>
      <c r="S4494" s="51" t="s">
        <v>2383</v>
      </c>
      <c r="T4494" s="51" t="s">
        <v>2383</v>
      </c>
      <c r="U4494" s="0" t="str">
        <f aca="false">"5060458890191"</f>
        <v>5060458890191</v>
      </c>
      <c r="V4494" s="51" t="s">
        <v>2142</v>
      </c>
      <c r="W4494" s="51" t="s">
        <v>6661</v>
      </c>
      <c r="X4494" s="51" t="s">
        <v>2359</v>
      </c>
    </row>
    <row r="4495" customFormat="false" ht="14.25" hidden="true" customHeight="false" outlineLevel="0" collapsed="false">
      <c r="A4495" s="49" t="s">
        <v>2349</v>
      </c>
      <c r="B4495" s="49" t="s">
        <v>2350</v>
      </c>
      <c r="C4495" s="49" t="s">
        <v>8466</v>
      </c>
      <c r="D4495" s="49" t="s">
        <v>2352</v>
      </c>
      <c r="E4495" s="49" t="str">
        <f aca="false">"5060458890191"</f>
        <v>5060458890191</v>
      </c>
      <c r="F4495" s="49" t="s">
        <v>3656</v>
      </c>
      <c r="G4495" s="49" t="n">
        <v>0</v>
      </c>
      <c r="H4495" s="0" t="n">
        <v>0</v>
      </c>
      <c r="M4495" s="51" t="s">
        <v>8446</v>
      </c>
      <c r="N4495" s="49" t="n">
        <v>0</v>
      </c>
      <c r="O4495" s="53" t="n">
        <v>45883.5908449074</v>
      </c>
      <c r="P4495" s="53" t="n">
        <v>45883.7001851852</v>
      </c>
      <c r="Q4495" s="53" t="n">
        <v>45883.5908449074</v>
      </c>
      <c r="R4495" s="0" t="n">
        <v>0</v>
      </c>
      <c r="S4495" s="51" t="s">
        <v>2383</v>
      </c>
      <c r="T4495" s="51" t="s">
        <v>2383</v>
      </c>
      <c r="U4495" s="0" t="str">
        <f aca="false">"5060458890191"</f>
        <v>5060458890191</v>
      </c>
      <c r="V4495" s="51" t="s">
        <v>2142</v>
      </c>
      <c r="W4495" s="51" t="s">
        <v>6661</v>
      </c>
      <c r="X4495" s="51" t="s">
        <v>2359</v>
      </c>
    </row>
    <row r="4496" customFormat="false" ht="14.25" hidden="true" customHeight="false" outlineLevel="0" collapsed="false">
      <c r="A4496" s="49" t="s">
        <v>2349</v>
      </c>
      <c r="B4496" s="49" t="s">
        <v>2350</v>
      </c>
      <c r="C4496" s="49" t="s">
        <v>8467</v>
      </c>
      <c r="D4496" s="49" t="s">
        <v>2352</v>
      </c>
      <c r="E4496" s="49" t="str">
        <f aca="false">"5060458890191"</f>
        <v>5060458890191</v>
      </c>
      <c r="F4496" s="49" t="s">
        <v>3656</v>
      </c>
      <c r="G4496" s="49" t="n">
        <v>0</v>
      </c>
      <c r="H4496" s="0" t="n">
        <v>0</v>
      </c>
      <c r="M4496" s="51" t="s">
        <v>8446</v>
      </c>
      <c r="N4496" s="49" t="n">
        <v>0</v>
      </c>
      <c r="O4496" s="53" t="n">
        <v>45883.5909143519</v>
      </c>
      <c r="P4496" s="53" t="n">
        <v>45883.7003356482</v>
      </c>
      <c r="Q4496" s="53" t="n">
        <v>45883.5909143519</v>
      </c>
      <c r="R4496" s="0" t="n">
        <v>0</v>
      </c>
      <c r="S4496" s="51" t="s">
        <v>2383</v>
      </c>
      <c r="T4496" s="51" t="s">
        <v>2383</v>
      </c>
      <c r="U4496" s="0" t="str">
        <f aca="false">"5060458890191"</f>
        <v>5060458890191</v>
      </c>
      <c r="V4496" s="51" t="s">
        <v>2142</v>
      </c>
      <c r="W4496" s="51" t="s">
        <v>6661</v>
      </c>
      <c r="X4496" s="51" t="s">
        <v>2359</v>
      </c>
    </row>
    <row r="4497" customFormat="false" ht="14.25" hidden="true" customHeight="false" outlineLevel="0" collapsed="false">
      <c r="A4497" s="49" t="s">
        <v>2349</v>
      </c>
      <c r="B4497" s="49" t="s">
        <v>2350</v>
      </c>
      <c r="C4497" s="49" t="s">
        <v>8468</v>
      </c>
      <c r="D4497" s="49" t="s">
        <v>2352</v>
      </c>
      <c r="E4497" s="49" t="str">
        <f aca="false">"5060458890191"</f>
        <v>5060458890191</v>
      </c>
      <c r="F4497" s="49" t="s">
        <v>3656</v>
      </c>
      <c r="G4497" s="49" t="n">
        <v>0</v>
      </c>
      <c r="H4497" s="0" t="n">
        <v>0</v>
      </c>
      <c r="M4497" s="51" t="s">
        <v>8446</v>
      </c>
      <c r="N4497" s="49" t="n">
        <v>0</v>
      </c>
      <c r="O4497" s="53" t="n">
        <v>45883.5909953704</v>
      </c>
      <c r="P4497" s="53" t="n">
        <v>45883.7013194444</v>
      </c>
      <c r="Q4497" s="53" t="n">
        <v>45883.5909953704</v>
      </c>
      <c r="R4497" s="0" t="n">
        <v>0</v>
      </c>
      <c r="S4497" s="51" t="s">
        <v>2383</v>
      </c>
      <c r="T4497" s="51" t="s">
        <v>2383</v>
      </c>
      <c r="U4497" s="0" t="str">
        <f aca="false">"5060458890191"</f>
        <v>5060458890191</v>
      </c>
      <c r="V4497" s="51" t="s">
        <v>2142</v>
      </c>
      <c r="W4497" s="51" t="s">
        <v>6661</v>
      </c>
      <c r="X4497" s="51" t="s">
        <v>2359</v>
      </c>
    </row>
    <row r="4498" customFormat="false" ht="14.25" hidden="true" customHeight="false" outlineLevel="0" collapsed="false">
      <c r="A4498" s="49" t="s">
        <v>2349</v>
      </c>
      <c r="B4498" s="49" t="s">
        <v>2350</v>
      </c>
      <c r="C4498" s="49" t="s">
        <v>8469</v>
      </c>
      <c r="D4498" s="49" t="s">
        <v>2352</v>
      </c>
      <c r="E4498" s="49" t="str">
        <f aca="false">"5060458890191"</f>
        <v>5060458890191</v>
      </c>
      <c r="F4498" s="49" t="s">
        <v>3656</v>
      </c>
      <c r="G4498" s="49" t="n">
        <v>0</v>
      </c>
      <c r="H4498" s="0" t="n">
        <v>0</v>
      </c>
      <c r="M4498" s="51" t="s">
        <v>8446</v>
      </c>
      <c r="N4498" s="49" t="n">
        <v>0</v>
      </c>
      <c r="O4498" s="53" t="n">
        <v>45883.5913541667</v>
      </c>
      <c r="P4498" s="53" t="n">
        <v>45890.5917476852</v>
      </c>
      <c r="Q4498" s="53" t="n">
        <v>45883.5913541667</v>
      </c>
      <c r="R4498" s="0" t="n">
        <v>0</v>
      </c>
      <c r="S4498" s="51" t="s">
        <v>2383</v>
      </c>
      <c r="T4498" s="51" t="s">
        <v>2383</v>
      </c>
      <c r="U4498" s="0" t="str">
        <f aca="false">"5060458890191"</f>
        <v>5060458890191</v>
      </c>
      <c r="V4498" s="51" t="s">
        <v>2142</v>
      </c>
      <c r="W4498" s="51" t="s">
        <v>8470</v>
      </c>
      <c r="X4498" s="51" t="s">
        <v>2359</v>
      </c>
    </row>
    <row r="4499" customFormat="false" ht="14.25" hidden="true" customHeight="false" outlineLevel="0" collapsed="false">
      <c r="A4499" s="49" t="s">
        <v>2349</v>
      </c>
      <c r="B4499" s="49" t="s">
        <v>2350</v>
      </c>
      <c r="C4499" s="49" t="s">
        <v>8471</v>
      </c>
      <c r="D4499" s="49" t="s">
        <v>2352</v>
      </c>
      <c r="E4499" s="49" t="str">
        <f aca="false">"5060458890191"</f>
        <v>5060458890191</v>
      </c>
      <c r="F4499" s="49" t="s">
        <v>3656</v>
      </c>
      <c r="G4499" s="49" t="n">
        <v>0</v>
      </c>
      <c r="H4499" s="0" t="n">
        <v>0</v>
      </c>
      <c r="M4499" s="51" t="s">
        <v>8446</v>
      </c>
      <c r="N4499" s="49" t="n">
        <v>0</v>
      </c>
      <c r="O4499" s="53" t="n">
        <v>45883.5914351852</v>
      </c>
      <c r="P4499" s="53" t="n">
        <v>45883.7030324074</v>
      </c>
      <c r="Q4499" s="53" t="n">
        <v>45883.5914351852</v>
      </c>
      <c r="R4499" s="0" t="n">
        <v>0</v>
      </c>
      <c r="S4499" s="51" t="s">
        <v>2383</v>
      </c>
      <c r="T4499" s="51" t="s">
        <v>2383</v>
      </c>
      <c r="U4499" s="0" t="str">
        <f aca="false">"5060458890191"</f>
        <v>5060458890191</v>
      </c>
      <c r="V4499" s="51" t="s">
        <v>2142</v>
      </c>
      <c r="W4499" s="51" t="s">
        <v>6661</v>
      </c>
      <c r="X4499" s="51" t="s">
        <v>2359</v>
      </c>
    </row>
    <row r="4500" customFormat="false" ht="14.25" hidden="true" customHeight="false" outlineLevel="0" collapsed="false">
      <c r="A4500" s="49" t="s">
        <v>2349</v>
      </c>
      <c r="B4500" s="49" t="s">
        <v>2350</v>
      </c>
      <c r="C4500" s="49" t="s">
        <v>8472</v>
      </c>
      <c r="D4500" s="49" t="s">
        <v>2352</v>
      </c>
      <c r="E4500" s="49" t="str">
        <f aca="false">"5060458890191"</f>
        <v>5060458890191</v>
      </c>
      <c r="F4500" s="49" t="s">
        <v>3656</v>
      </c>
      <c r="G4500" s="49" t="n">
        <v>0</v>
      </c>
      <c r="H4500" s="0" t="n">
        <v>0</v>
      </c>
      <c r="M4500" s="51" t="s">
        <v>8446</v>
      </c>
      <c r="N4500" s="49" t="n">
        <v>0</v>
      </c>
      <c r="O4500" s="53" t="n">
        <v>45883.5915277778</v>
      </c>
      <c r="P4500" s="53" t="n">
        <v>45883.7024189815</v>
      </c>
      <c r="Q4500" s="53" t="n">
        <v>45883.5915277778</v>
      </c>
      <c r="R4500" s="0" t="n">
        <v>0</v>
      </c>
      <c r="S4500" s="51" t="s">
        <v>2383</v>
      </c>
      <c r="T4500" s="51" t="s">
        <v>2383</v>
      </c>
      <c r="U4500" s="0" t="str">
        <f aca="false">"5060458890191"</f>
        <v>5060458890191</v>
      </c>
      <c r="V4500" s="51" t="s">
        <v>2142</v>
      </c>
      <c r="W4500" s="51" t="s">
        <v>6661</v>
      </c>
      <c r="X4500" s="51" t="s">
        <v>2359</v>
      </c>
    </row>
    <row r="4501" customFormat="false" ht="14.25" hidden="true" customHeight="false" outlineLevel="0" collapsed="false">
      <c r="A4501" s="49" t="s">
        <v>2349</v>
      </c>
      <c r="B4501" s="49" t="s">
        <v>2350</v>
      </c>
      <c r="C4501" s="49" t="s">
        <v>8473</v>
      </c>
      <c r="D4501" s="49" t="s">
        <v>2352</v>
      </c>
      <c r="E4501" s="49" t="str">
        <f aca="false">"5060458890191"</f>
        <v>5060458890191</v>
      </c>
      <c r="F4501" s="49" t="s">
        <v>3656</v>
      </c>
      <c r="G4501" s="49" t="n">
        <v>0</v>
      </c>
      <c r="H4501" s="0" t="n">
        <v>0</v>
      </c>
      <c r="M4501" s="51" t="s">
        <v>8446</v>
      </c>
      <c r="N4501" s="49" t="n">
        <v>0</v>
      </c>
      <c r="O4501" s="53" t="n">
        <v>45883.5915856482</v>
      </c>
      <c r="P4501" s="53" t="n">
        <v>45883.702349537</v>
      </c>
      <c r="Q4501" s="53" t="n">
        <v>45883.5915856482</v>
      </c>
      <c r="R4501" s="0" t="n">
        <v>0</v>
      </c>
      <c r="S4501" s="51" t="s">
        <v>2383</v>
      </c>
      <c r="T4501" s="51" t="s">
        <v>2383</v>
      </c>
      <c r="U4501" s="0" t="str">
        <f aca="false">"5060458890191"</f>
        <v>5060458890191</v>
      </c>
      <c r="V4501" s="51" t="s">
        <v>2142</v>
      </c>
      <c r="W4501" s="51" t="s">
        <v>6661</v>
      </c>
      <c r="X4501" s="51" t="s">
        <v>2359</v>
      </c>
    </row>
    <row r="4502" customFormat="false" ht="14.25" hidden="true" customHeight="false" outlineLevel="0" collapsed="false">
      <c r="A4502" s="49" t="s">
        <v>2349</v>
      </c>
      <c r="B4502" s="49" t="s">
        <v>2350</v>
      </c>
      <c r="C4502" s="49" t="s">
        <v>8474</v>
      </c>
      <c r="D4502" s="49" t="s">
        <v>2352</v>
      </c>
      <c r="E4502" s="49" t="str">
        <f aca="false">"5060458890191"</f>
        <v>5060458890191</v>
      </c>
      <c r="F4502" s="49" t="s">
        <v>3656</v>
      </c>
      <c r="G4502" s="49" t="n">
        <v>0</v>
      </c>
      <c r="H4502" s="0" t="n">
        <v>0</v>
      </c>
      <c r="M4502" s="51" t="s">
        <v>8446</v>
      </c>
      <c r="N4502" s="49" t="n">
        <v>0</v>
      </c>
      <c r="O4502" s="53" t="n">
        <v>45883.5916782407</v>
      </c>
      <c r="P4502" s="53" t="n">
        <v>45883.703275463</v>
      </c>
      <c r="Q4502" s="53" t="n">
        <v>45883.5916782407</v>
      </c>
      <c r="R4502" s="0" t="n">
        <v>0</v>
      </c>
      <c r="S4502" s="51" t="s">
        <v>2383</v>
      </c>
      <c r="T4502" s="51" t="s">
        <v>2383</v>
      </c>
      <c r="U4502" s="0" t="str">
        <f aca="false">"5060458890191"</f>
        <v>5060458890191</v>
      </c>
      <c r="V4502" s="51" t="s">
        <v>2142</v>
      </c>
      <c r="W4502" s="51" t="s">
        <v>6661</v>
      </c>
      <c r="X4502" s="51" t="s">
        <v>2359</v>
      </c>
    </row>
    <row r="4503" customFormat="false" ht="14.25" hidden="true" customHeight="false" outlineLevel="0" collapsed="false">
      <c r="A4503" s="49" t="s">
        <v>2349</v>
      </c>
      <c r="B4503" s="49" t="s">
        <v>2350</v>
      </c>
      <c r="C4503" s="49" t="s">
        <v>8475</v>
      </c>
      <c r="D4503" s="49" t="s">
        <v>2352</v>
      </c>
      <c r="E4503" s="49" t="str">
        <f aca="false">"5060458890191"</f>
        <v>5060458890191</v>
      </c>
      <c r="F4503" s="49" t="s">
        <v>3656</v>
      </c>
      <c r="G4503" s="49" t="n">
        <v>0</v>
      </c>
      <c r="H4503" s="0" t="n">
        <v>0</v>
      </c>
      <c r="M4503" s="51" t="s">
        <v>8446</v>
      </c>
      <c r="N4503" s="49" t="n">
        <v>0</v>
      </c>
      <c r="O4503" s="53" t="n">
        <v>45883.5917476852</v>
      </c>
      <c r="P4503" s="53" t="n">
        <v>45883.7032060185</v>
      </c>
      <c r="Q4503" s="53" t="n">
        <v>45883.5917476852</v>
      </c>
      <c r="R4503" s="0" t="n">
        <v>0</v>
      </c>
      <c r="S4503" s="51" t="s">
        <v>2383</v>
      </c>
      <c r="T4503" s="51" t="s">
        <v>2383</v>
      </c>
      <c r="U4503" s="0" t="str">
        <f aca="false">"5060458890191"</f>
        <v>5060458890191</v>
      </c>
      <c r="V4503" s="51" t="s">
        <v>2142</v>
      </c>
      <c r="W4503" s="51" t="s">
        <v>6661</v>
      </c>
      <c r="X4503" s="51" t="s">
        <v>2359</v>
      </c>
    </row>
    <row r="4504" customFormat="false" ht="14.25" hidden="true" customHeight="false" outlineLevel="0" collapsed="false">
      <c r="A4504" s="49" t="s">
        <v>2349</v>
      </c>
      <c r="B4504" s="49" t="s">
        <v>2350</v>
      </c>
      <c r="C4504" s="49" t="s">
        <v>8476</v>
      </c>
      <c r="D4504" s="49" t="s">
        <v>2352</v>
      </c>
      <c r="E4504" s="49" t="str">
        <f aca="false">"5060458890191"</f>
        <v>5060458890191</v>
      </c>
      <c r="F4504" s="49" t="s">
        <v>3656</v>
      </c>
      <c r="G4504" s="49" t="n">
        <v>0</v>
      </c>
      <c r="H4504" s="0" t="n">
        <v>0</v>
      </c>
      <c r="M4504" s="51" t="s">
        <v>8446</v>
      </c>
      <c r="N4504" s="49" t="n">
        <v>0</v>
      </c>
      <c r="O4504" s="53" t="n">
        <v>45883.5918287037</v>
      </c>
      <c r="P4504" s="53" t="n">
        <v>45883.7058564815</v>
      </c>
      <c r="Q4504" s="53" t="n">
        <v>45883.5918287037</v>
      </c>
      <c r="R4504" s="0" t="n">
        <v>0</v>
      </c>
      <c r="S4504" s="51" t="s">
        <v>2383</v>
      </c>
      <c r="T4504" s="51" t="s">
        <v>2383</v>
      </c>
      <c r="U4504" s="0" t="str">
        <f aca="false">"5060458890191"</f>
        <v>5060458890191</v>
      </c>
      <c r="V4504" s="51" t="s">
        <v>2142</v>
      </c>
      <c r="W4504" s="51" t="s">
        <v>6661</v>
      </c>
      <c r="X4504" s="51" t="s">
        <v>2359</v>
      </c>
    </row>
    <row r="4505" customFormat="false" ht="14.25" hidden="true" customHeight="false" outlineLevel="0" collapsed="false">
      <c r="A4505" s="49" t="s">
        <v>2349</v>
      </c>
      <c r="B4505" s="49" t="s">
        <v>2350</v>
      </c>
      <c r="C4505" s="49" t="s">
        <v>8477</v>
      </c>
      <c r="D4505" s="49" t="s">
        <v>2352</v>
      </c>
      <c r="E4505" s="49" t="str">
        <f aca="false">"5060458890191"</f>
        <v>5060458890191</v>
      </c>
      <c r="F4505" s="49" t="s">
        <v>3656</v>
      </c>
      <c r="G4505" s="49" t="n">
        <v>0</v>
      </c>
      <c r="H4505" s="0" t="n">
        <v>0</v>
      </c>
      <c r="M4505" s="51" t="s">
        <v>8446</v>
      </c>
      <c r="N4505" s="49" t="n">
        <v>0</v>
      </c>
      <c r="O4505" s="53" t="n">
        <v>45883.5919212963</v>
      </c>
      <c r="P4505" s="53" t="n">
        <v>45883.7065625</v>
      </c>
      <c r="Q4505" s="53" t="n">
        <v>45883.5919212963</v>
      </c>
      <c r="R4505" s="0" t="n">
        <v>0</v>
      </c>
      <c r="S4505" s="51" t="s">
        <v>2383</v>
      </c>
      <c r="T4505" s="51" t="s">
        <v>2383</v>
      </c>
      <c r="U4505" s="0" t="str">
        <f aca="false">"5060458890191"</f>
        <v>5060458890191</v>
      </c>
      <c r="V4505" s="51" t="s">
        <v>2142</v>
      </c>
      <c r="W4505" s="51" t="s">
        <v>6661</v>
      </c>
      <c r="X4505" s="51" t="s">
        <v>2359</v>
      </c>
    </row>
    <row r="4506" customFormat="false" ht="14.25" hidden="true" customHeight="false" outlineLevel="0" collapsed="false">
      <c r="A4506" s="49" t="s">
        <v>2349</v>
      </c>
      <c r="B4506" s="49" t="s">
        <v>2350</v>
      </c>
      <c r="C4506" s="49" t="s">
        <v>8478</v>
      </c>
      <c r="D4506" s="49" t="s">
        <v>2352</v>
      </c>
      <c r="E4506" s="49" t="str">
        <f aca="false">"5060458890191"</f>
        <v>5060458890191</v>
      </c>
      <c r="F4506" s="49" t="s">
        <v>3656</v>
      </c>
      <c r="G4506" s="49" t="n">
        <v>0</v>
      </c>
      <c r="H4506" s="0" t="n">
        <v>0</v>
      </c>
      <c r="M4506" s="51" t="s">
        <v>8446</v>
      </c>
      <c r="N4506" s="49" t="n">
        <v>0</v>
      </c>
      <c r="O4506" s="53" t="n">
        <v>45883.5921180556</v>
      </c>
      <c r="P4506" s="53" t="n">
        <v>45883.7050347222</v>
      </c>
      <c r="Q4506" s="53" t="n">
        <v>45883.5921180556</v>
      </c>
      <c r="R4506" s="0" t="n">
        <v>0</v>
      </c>
      <c r="S4506" s="51" t="s">
        <v>2383</v>
      </c>
      <c r="T4506" s="51" t="s">
        <v>2383</v>
      </c>
      <c r="U4506" s="0" t="str">
        <f aca="false">"5060458890191"</f>
        <v>5060458890191</v>
      </c>
      <c r="V4506" s="51" t="s">
        <v>2142</v>
      </c>
      <c r="W4506" s="51" t="s">
        <v>6661</v>
      </c>
      <c r="X4506" s="51" t="s">
        <v>2359</v>
      </c>
    </row>
    <row r="4507" customFormat="false" ht="14.25" hidden="true" customHeight="false" outlineLevel="0" collapsed="false">
      <c r="A4507" s="49" t="s">
        <v>2349</v>
      </c>
      <c r="B4507" s="49" t="s">
        <v>2350</v>
      </c>
      <c r="C4507" s="49" t="s">
        <v>8479</v>
      </c>
      <c r="D4507" s="49" t="s">
        <v>2352</v>
      </c>
      <c r="E4507" s="49" t="str">
        <f aca="false">"5060458890191"</f>
        <v>5060458890191</v>
      </c>
      <c r="F4507" s="49" t="s">
        <v>3656</v>
      </c>
      <c r="G4507" s="49" t="n">
        <v>0</v>
      </c>
      <c r="H4507" s="0" t="n">
        <v>0</v>
      </c>
      <c r="M4507" s="51" t="s">
        <v>8446</v>
      </c>
      <c r="N4507" s="49" t="n">
        <v>0</v>
      </c>
      <c r="O4507" s="53" t="n">
        <v>45883.5921875</v>
      </c>
      <c r="P4507" s="53" t="n">
        <v>45883.7066898148</v>
      </c>
      <c r="Q4507" s="53" t="n">
        <v>45883.5921875</v>
      </c>
      <c r="R4507" s="0" t="n">
        <v>0</v>
      </c>
      <c r="S4507" s="51" t="s">
        <v>2383</v>
      </c>
      <c r="T4507" s="51" t="s">
        <v>2383</v>
      </c>
      <c r="U4507" s="0" t="str">
        <f aca="false">"5060458890191"</f>
        <v>5060458890191</v>
      </c>
      <c r="V4507" s="51" t="s">
        <v>2142</v>
      </c>
      <c r="W4507" s="51" t="s">
        <v>6661</v>
      </c>
      <c r="X4507" s="51" t="s">
        <v>2359</v>
      </c>
    </row>
    <row r="4508" customFormat="false" ht="14.25" hidden="true" customHeight="false" outlineLevel="0" collapsed="false">
      <c r="A4508" s="49" t="s">
        <v>2349</v>
      </c>
      <c r="B4508" s="49" t="s">
        <v>2350</v>
      </c>
      <c r="C4508" s="49" t="s">
        <v>8480</v>
      </c>
      <c r="D4508" s="49" t="s">
        <v>2352</v>
      </c>
      <c r="E4508" s="49" t="str">
        <f aca="false">"5060458890191"</f>
        <v>5060458890191</v>
      </c>
      <c r="F4508" s="49" t="s">
        <v>3656</v>
      </c>
      <c r="G4508" s="49" t="n">
        <v>0</v>
      </c>
      <c r="H4508" s="0" t="n">
        <v>0</v>
      </c>
      <c r="M4508" s="51" t="s">
        <v>8446</v>
      </c>
      <c r="N4508" s="49" t="n">
        <v>0</v>
      </c>
      <c r="O4508" s="53" t="n">
        <v>45883.5922569444</v>
      </c>
      <c r="P4508" s="53" t="n">
        <v>45883.7064583333</v>
      </c>
      <c r="Q4508" s="53" t="n">
        <v>45883.5922569444</v>
      </c>
      <c r="R4508" s="0" t="n">
        <v>0</v>
      </c>
      <c r="S4508" s="51" t="s">
        <v>2383</v>
      </c>
      <c r="T4508" s="51" t="s">
        <v>2383</v>
      </c>
      <c r="U4508" s="0" t="str">
        <f aca="false">"5060458890191"</f>
        <v>5060458890191</v>
      </c>
      <c r="V4508" s="51" t="s">
        <v>2142</v>
      </c>
      <c r="W4508" s="51" t="s">
        <v>6661</v>
      </c>
      <c r="X4508" s="51" t="s">
        <v>2359</v>
      </c>
    </row>
    <row r="4509" customFormat="false" ht="14.25" hidden="true" customHeight="false" outlineLevel="0" collapsed="false">
      <c r="A4509" s="49" t="s">
        <v>2349</v>
      </c>
      <c r="B4509" s="49" t="s">
        <v>2350</v>
      </c>
      <c r="C4509" s="49" t="s">
        <v>8481</v>
      </c>
      <c r="D4509" s="49" t="s">
        <v>2352</v>
      </c>
      <c r="E4509" s="49" t="str">
        <f aca="false">"5060458890191"</f>
        <v>5060458890191</v>
      </c>
      <c r="F4509" s="49" t="s">
        <v>3656</v>
      </c>
      <c r="G4509" s="49" t="n">
        <v>0</v>
      </c>
      <c r="H4509" s="0" t="n">
        <v>0</v>
      </c>
      <c r="M4509" s="51" t="s">
        <v>8446</v>
      </c>
      <c r="N4509" s="49" t="n">
        <v>0</v>
      </c>
      <c r="O4509" s="53" t="n">
        <v>45883.5923958333</v>
      </c>
      <c r="P4509" s="53" t="n">
        <v>45890.5738541667</v>
      </c>
      <c r="Q4509" s="53" t="n">
        <v>45883.5923958333</v>
      </c>
      <c r="R4509" s="0" t="n">
        <v>0</v>
      </c>
      <c r="S4509" s="51" t="s">
        <v>2383</v>
      </c>
      <c r="T4509" s="51" t="s">
        <v>2383</v>
      </c>
      <c r="U4509" s="0" t="str">
        <f aca="false">"5060458890191"</f>
        <v>5060458890191</v>
      </c>
      <c r="V4509" s="51" t="s">
        <v>2142</v>
      </c>
      <c r="W4509" s="51" t="s">
        <v>8482</v>
      </c>
      <c r="X4509" s="51" t="s">
        <v>2359</v>
      </c>
    </row>
    <row r="4510" customFormat="false" ht="14.25" hidden="true" customHeight="false" outlineLevel="0" collapsed="false">
      <c r="A4510" s="49" t="s">
        <v>2349</v>
      </c>
      <c r="B4510" s="49" t="s">
        <v>2350</v>
      </c>
      <c r="C4510" s="49" t="s">
        <v>8483</v>
      </c>
      <c r="D4510" s="49" t="s">
        <v>2352</v>
      </c>
      <c r="E4510" s="49" t="str">
        <f aca="false">"5060458890191"</f>
        <v>5060458890191</v>
      </c>
      <c r="F4510" s="49" t="s">
        <v>3656</v>
      </c>
      <c r="G4510" s="49" t="n">
        <v>0</v>
      </c>
      <c r="H4510" s="0" t="n">
        <v>0</v>
      </c>
      <c r="M4510" s="51" t="s">
        <v>8446</v>
      </c>
      <c r="N4510" s="49" t="n">
        <v>0</v>
      </c>
      <c r="O4510" s="53" t="n">
        <v>45883.5926157407</v>
      </c>
      <c r="P4510" s="53" t="n">
        <v>45890.5708912037</v>
      </c>
      <c r="Q4510" s="53" t="n">
        <v>45883.5926157407</v>
      </c>
      <c r="R4510" s="0" t="n">
        <v>0</v>
      </c>
      <c r="S4510" s="51" t="s">
        <v>2383</v>
      </c>
      <c r="T4510" s="51" t="s">
        <v>2383</v>
      </c>
      <c r="U4510" s="0" t="str">
        <f aca="false">"5060458890191"</f>
        <v>5060458890191</v>
      </c>
      <c r="V4510" s="51" t="s">
        <v>2142</v>
      </c>
      <c r="W4510" s="51" t="s">
        <v>8484</v>
      </c>
      <c r="X4510" s="51" t="s">
        <v>2359</v>
      </c>
    </row>
    <row r="4511" customFormat="false" ht="14.25" hidden="true" customHeight="false" outlineLevel="0" collapsed="false">
      <c r="A4511" s="49" t="s">
        <v>2349</v>
      </c>
      <c r="B4511" s="49" t="s">
        <v>2350</v>
      </c>
      <c r="C4511" s="49" t="s">
        <v>8485</v>
      </c>
      <c r="D4511" s="49" t="s">
        <v>2352</v>
      </c>
      <c r="E4511" s="49" t="str">
        <f aca="false">"5060458890191"</f>
        <v>5060458890191</v>
      </c>
      <c r="F4511" s="49" t="s">
        <v>3656</v>
      </c>
      <c r="G4511" s="49" t="n">
        <v>0</v>
      </c>
      <c r="H4511" s="0" t="n">
        <v>0</v>
      </c>
      <c r="M4511" s="51" t="s">
        <v>8446</v>
      </c>
      <c r="N4511" s="49" t="n">
        <v>0</v>
      </c>
      <c r="O4511" s="53" t="n">
        <v>45883.5927083333</v>
      </c>
      <c r="P4511" s="53" t="n">
        <v>45890.5732986111</v>
      </c>
      <c r="Q4511" s="53" t="n">
        <v>45883.5927083333</v>
      </c>
      <c r="R4511" s="0" t="n">
        <v>0</v>
      </c>
      <c r="S4511" s="51" t="s">
        <v>2383</v>
      </c>
      <c r="T4511" s="51" t="s">
        <v>2383</v>
      </c>
      <c r="U4511" s="0" t="str">
        <f aca="false">"5060458890191"</f>
        <v>5060458890191</v>
      </c>
      <c r="V4511" s="51" t="s">
        <v>2142</v>
      </c>
      <c r="W4511" s="51" t="s">
        <v>4497</v>
      </c>
      <c r="X4511" s="51" t="s">
        <v>2359</v>
      </c>
    </row>
    <row r="4512" customFormat="false" ht="14.25" hidden="true" customHeight="false" outlineLevel="0" collapsed="false">
      <c r="A4512" s="49" t="s">
        <v>2349</v>
      </c>
      <c r="B4512" s="49" t="s">
        <v>2350</v>
      </c>
      <c r="C4512" s="49" t="s">
        <v>8486</v>
      </c>
      <c r="D4512" s="49" t="s">
        <v>2352</v>
      </c>
      <c r="E4512" s="49" t="str">
        <f aca="false">"5060458890191"</f>
        <v>5060458890191</v>
      </c>
      <c r="F4512" s="49" t="s">
        <v>3656</v>
      </c>
      <c r="G4512" s="49" t="n">
        <v>0</v>
      </c>
      <c r="H4512" s="0" t="n">
        <v>0</v>
      </c>
      <c r="M4512" s="51" t="s">
        <v>8446</v>
      </c>
      <c r="N4512" s="49" t="n">
        <v>0</v>
      </c>
      <c r="O4512" s="53" t="n">
        <v>45883.5927893519</v>
      </c>
      <c r="P4512" s="53" t="n">
        <v>45890.5744791667</v>
      </c>
      <c r="Q4512" s="53" t="n">
        <v>45883.5927893519</v>
      </c>
      <c r="R4512" s="0" t="n">
        <v>0</v>
      </c>
      <c r="S4512" s="51" t="s">
        <v>2383</v>
      </c>
      <c r="T4512" s="51" t="s">
        <v>2383</v>
      </c>
      <c r="U4512" s="0" t="str">
        <f aca="false">"5060458890191"</f>
        <v>5060458890191</v>
      </c>
      <c r="V4512" s="51" t="s">
        <v>2142</v>
      </c>
      <c r="W4512" s="51" t="s">
        <v>8487</v>
      </c>
      <c r="X4512" s="51" t="s">
        <v>2359</v>
      </c>
    </row>
    <row r="4513" customFormat="false" ht="14.25" hidden="true" customHeight="false" outlineLevel="0" collapsed="false">
      <c r="A4513" s="49" t="s">
        <v>2349</v>
      </c>
      <c r="B4513" s="49" t="s">
        <v>2350</v>
      </c>
      <c r="C4513" s="49" t="s">
        <v>8488</v>
      </c>
      <c r="D4513" s="49" t="s">
        <v>2352</v>
      </c>
      <c r="E4513" s="49" t="str">
        <f aca="false">"5060458890191"</f>
        <v>5060458890191</v>
      </c>
      <c r="F4513" s="49" t="s">
        <v>3656</v>
      </c>
      <c r="G4513" s="49" t="n">
        <v>0</v>
      </c>
      <c r="H4513" s="0" t="n">
        <v>0</v>
      </c>
      <c r="M4513" s="51" t="s">
        <v>8446</v>
      </c>
      <c r="N4513" s="49" t="n">
        <v>0</v>
      </c>
      <c r="O4513" s="53" t="n">
        <v>45883.5928472222</v>
      </c>
      <c r="P4513" s="53" t="n">
        <v>45883.7072800926</v>
      </c>
      <c r="Q4513" s="53" t="n">
        <v>45883.5928472222</v>
      </c>
      <c r="R4513" s="0" t="n">
        <v>0</v>
      </c>
      <c r="S4513" s="51" t="s">
        <v>2383</v>
      </c>
      <c r="T4513" s="51" t="s">
        <v>2383</v>
      </c>
      <c r="U4513" s="0" t="str">
        <f aca="false">"5060458890191"</f>
        <v>5060458890191</v>
      </c>
      <c r="V4513" s="51" t="s">
        <v>2142</v>
      </c>
      <c r="W4513" s="51" t="s">
        <v>4503</v>
      </c>
      <c r="X4513" s="51" t="s">
        <v>2359</v>
      </c>
    </row>
    <row r="4514" customFormat="false" ht="14.25" hidden="true" customHeight="false" outlineLevel="0" collapsed="false">
      <c r="A4514" s="49" t="s">
        <v>2349</v>
      </c>
      <c r="B4514" s="49" t="s">
        <v>2350</v>
      </c>
      <c r="C4514" s="49" t="s">
        <v>8489</v>
      </c>
      <c r="D4514" s="49" t="s">
        <v>2352</v>
      </c>
      <c r="E4514" s="49" t="str">
        <f aca="false">"5060458890191"</f>
        <v>5060458890191</v>
      </c>
      <c r="F4514" s="49" t="s">
        <v>3656</v>
      </c>
      <c r="G4514" s="49" t="n">
        <v>0</v>
      </c>
      <c r="H4514" s="0" t="n">
        <v>0</v>
      </c>
      <c r="M4514" s="51" t="s">
        <v>8446</v>
      </c>
      <c r="N4514" s="49" t="n">
        <v>0</v>
      </c>
      <c r="O4514" s="53" t="n">
        <v>45883.5929282407</v>
      </c>
      <c r="P4514" s="53" t="n">
        <v>45890.5725347222</v>
      </c>
      <c r="Q4514" s="53" t="n">
        <v>45883.5929282407</v>
      </c>
      <c r="R4514" s="0" t="n">
        <v>0</v>
      </c>
      <c r="S4514" s="51" t="s">
        <v>2383</v>
      </c>
      <c r="T4514" s="51" t="s">
        <v>2383</v>
      </c>
      <c r="U4514" s="0" t="str">
        <f aca="false">"5060458890191"</f>
        <v>5060458890191</v>
      </c>
      <c r="V4514" s="51" t="s">
        <v>2142</v>
      </c>
      <c r="W4514" s="51" t="s">
        <v>8490</v>
      </c>
      <c r="X4514" s="51" t="s">
        <v>2359</v>
      </c>
    </row>
    <row r="4515" customFormat="false" ht="14.25" hidden="true" customHeight="false" outlineLevel="0" collapsed="false">
      <c r="A4515" s="49" t="s">
        <v>2349</v>
      </c>
      <c r="B4515" s="49" t="s">
        <v>2350</v>
      </c>
      <c r="C4515" s="49" t="s">
        <v>8491</v>
      </c>
      <c r="D4515" s="49" t="s">
        <v>2352</v>
      </c>
      <c r="E4515" s="49" t="str">
        <f aca="false">"5060458890191"</f>
        <v>5060458890191</v>
      </c>
      <c r="F4515" s="49" t="s">
        <v>3656</v>
      </c>
      <c r="G4515" s="49" t="n">
        <v>0</v>
      </c>
      <c r="H4515" s="0" t="n">
        <v>0</v>
      </c>
      <c r="M4515" s="51" t="s">
        <v>8446</v>
      </c>
      <c r="N4515" s="49" t="n">
        <v>0</v>
      </c>
      <c r="O4515" s="53" t="n">
        <v>45883.5930555556</v>
      </c>
      <c r="P4515" s="53" t="n">
        <v>45890.595150463</v>
      </c>
      <c r="Q4515" s="53" t="n">
        <v>45883.5930555556</v>
      </c>
      <c r="R4515" s="0" t="n">
        <v>0</v>
      </c>
      <c r="S4515" s="51" t="s">
        <v>2383</v>
      </c>
      <c r="T4515" s="51" t="s">
        <v>2383</v>
      </c>
      <c r="U4515" s="0" t="str">
        <f aca="false">"5060458890191"</f>
        <v>5060458890191</v>
      </c>
      <c r="V4515" s="51" t="s">
        <v>2142</v>
      </c>
      <c r="W4515" s="51" t="s">
        <v>6413</v>
      </c>
      <c r="X4515" s="51" t="s">
        <v>2359</v>
      </c>
    </row>
    <row r="4516" customFormat="false" ht="14.25" hidden="true" customHeight="false" outlineLevel="0" collapsed="false">
      <c r="A4516" s="49" t="s">
        <v>2349</v>
      </c>
      <c r="B4516" s="49" t="s">
        <v>2350</v>
      </c>
      <c r="C4516" s="49" t="s">
        <v>8492</v>
      </c>
      <c r="D4516" s="49" t="s">
        <v>2352</v>
      </c>
      <c r="E4516" s="49" t="str">
        <f aca="false">"5060458890191"</f>
        <v>5060458890191</v>
      </c>
      <c r="F4516" s="49" t="s">
        <v>3656</v>
      </c>
      <c r="G4516" s="49" t="n">
        <v>0</v>
      </c>
      <c r="H4516" s="0" t="n">
        <v>0</v>
      </c>
      <c r="M4516" s="51" t="s">
        <v>8446</v>
      </c>
      <c r="N4516" s="49" t="n">
        <v>0</v>
      </c>
      <c r="O4516" s="53" t="n">
        <v>45883.5931597222</v>
      </c>
      <c r="P4516" s="53" t="n">
        <v>45890.5758449074</v>
      </c>
      <c r="Q4516" s="53" t="n">
        <v>45883.5931597222</v>
      </c>
      <c r="R4516" s="0" t="n">
        <v>0</v>
      </c>
      <c r="S4516" s="51" t="s">
        <v>2383</v>
      </c>
      <c r="T4516" s="51" t="s">
        <v>2383</v>
      </c>
      <c r="U4516" s="0" t="str">
        <f aca="false">"5060458890191"</f>
        <v>5060458890191</v>
      </c>
      <c r="V4516" s="51" t="s">
        <v>2142</v>
      </c>
      <c r="W4516" s="51" t="s">
        <v>8493</v>
      </c>
      <c r="X4516" s="51" t="s">
        <v>2359</v>
      </c>
    </row>
    <row r="4517" customFormat="false" ht="14.25" hidden="true" customHeight="false" outlineLevel="0" collapsed="false">
      <c r="A4517" s="49" t="s">
        <v>2349</v>
      </c>
      <c r="B4517" s="49" t="s">
        <v>2350</v>
      </c>
      <c r="C4517" s="49" t="s">
        <v>8494</v>
      </c>
      <c r="D4517" s="49" t="s">
        <v>2352</v>
      </c>
      <c r="E4517" s="49" t="str">
        <f aca="false">"5060458890191"</f>
        <v>5060458890191</v>
      </c>
      <c r="F4517" s="49" t="s">
        <v>3656</v>
      </c>
      <c r="G4517" s="49" t="n">
        <v>0</v>
      </c>
      <c r="H4517" s="0" t="n">
        <v>0</v>
      </c>
      <c r="M4517" s="51" t="s">
        <v>8446</v>
      </c>
      <c r="N4517" s="49" t="n">
        <v>0</v>
      </c>
      <c r="O4517" s="53" t="n">
        <v>45883.5932523148</v>
      </c>
      <c r="P4517" s="53" t="n">
        <v>45890.5752083333</v>
      </c>
      <c r="Q4517" s="53" t="n">
        <v>45883.5932523148</v>
      </c>
      <c r="R4517" s="0" t="n">
        <v>0</v>
      </c>
      <c r="S4517" s="51" t="s">
        <v>2383</v>
      </c>
      <c r="T4517" s="51" t="s">
        <v>2383</v>
      </c>
      <c r="U4517" s="0" t="str">
        <f aca="false">"5060458890191"</f>
        <v>5060458890191</v>
      </c>
      <c r="V4517" s="51" t="s">
        <v>2142</v>
      </c>
      <c r="W4517" s="51" t="s">
        <v>6070</v>
      </c>
      <c r="X4517" s="51" t="s">
        <v>2359</v>
      </c>
    </row>
    <row r="4518" customFormat="false" ht="14.25" hidden="true" customHeight="false" outlineLevel="0" collapsed="false">
      <c r="A4518" s="49" t="s">
        <v>2349</v>
      </c>
      <c r="B4518" s="49" t="s">
        <v>2350</v>
      </c>
      <c r="C4518" s="49" t="s">
        <v>8495</v>
      </c>
      <c r="D4518" s="49" t="s">
        <v>2352</v>
      </c>
      <c r="E4518" s="49" t="str">
        <f aca="false">"12393792"</f>
        <v>12393792</v>
      </c>
      <c r="F4518" s="49" t="s">
        <v>2368</v>
      </c>
      <c r="G4518" s="49" t="n">
        <v>0</v>
      </c>
      <c r="H4518" s="0" t="n">
        <v>0</v>
      </c>
      <c r="M4518" s="51" t="s">
        <v>8496</v>
      </c>
      <c r="N4518" s="49" t="n">
        <v>0</v>
      </c>
      <c r="O4518" s="53" t="n">
        <v>45802.5766550926</v>
      </c>
      <c r="P4518" s="53" t="n">
        <v>45805.6770601852</v>
      </c>
      <c r="Q4518" s="53" t="n">
        <v>45802.5766550926</v>
      </c>
      <c r="R4518" s="0" t="n">
        <v>0</v>
      </c>
      <c r="S4518" s="51" t="s">
        <v>4015</v>
      </c>
      <c r="T4518" s="51" t="s">
        <v>4015</v>
      </c>
      <c r="U4518" s="0" t="str">
        <f aca="false">"12393792"</f>
        <v>12393792</v>
      </c>
      <c r="V4518" s="51" t="s">
        <v>2365</v>
      </c>
      <c r="W4518" s="51" t="s">
        <v>7881</v>
      </c>
      <c r="X4518" s="51" t="s">
        <v>2359</v>
      </c>
    </row>
    <row r="4519" customFormat="false" ht="14.25" hidden="true" customHeight="false" outlineLevel="0" collapsed="false">
      <c r="A4519" s="49" t="s">
        <v>2349</v>
      </c>
      <c r="B4519" s="49" t="s">
        <v>2350</v>
      </c>
      <c r="C4519" s="49" t="s">
        <v>8497</v>
      </c>
      <c r="D4519" s="49" t="s">
        <v>2352</v>
      </c>
      <c r="E4519" s="49" t="s">
        <v>4351</v>
      </c>
      <c r="F4519" s="49" t="s">
        <v>4352</v>
      </c>
      <c r="G4519" s="49" t="n">
        <v>0</v>
      </c>
      <c r="H4519" s="0" t="n">
        <v>0</v>
      </c>
      <c r="M4519" s="51" t="s">
        <v>8498</v>
      </c>
      <c r="N4519" s="49" t="n">
        <v>0</v>
      </c>
      <c r="O4519" s="53" t="n">
        <v>45883.5079976852</v>
      </c>
      <c r="P4519" s="53" t="n">
        <v>45899.2969212963</v>
      </c>
      <c r="Q4519" s="53" t="n">
        <v>45883.5079976852</v>
      </c>
      <c r="R4519" s="0" t="n">
        <v>0</v>
      </c>
      <c r="S4519" s="51" t="s">
        <v>2356</v>
      </c>
      <c r="T4519" s="51" t="s">
        <v>2356</v>
      </c>
      <c r="U4519" s="51" t="s">
        <v>4351</v>
      </c>
      <c r="V4519" s="51" t="s">
        <v>2365</v>
      </c>
      <c r="W4519" s="51" t="s">
        <v>5392</v>
      </c>
      <c r="X4519" s="51" t="s">
        <v>2359</v>
      </c>
    </row>
    <row r="4520" customFormat="false" ht="14.25" hidden="true" customHeight="false" outlineLevel="0" collapsed="false">
      <c r="A4520" s="49" t="s">
        <v>2349</v>
      </c>
      <c r="B4520" s="49" t="s">
        <v>2350</v>
      </c>
      <c r="C4520" s="49" t="s">
        <v>8499</v>
      </c>
      <c r="D4520" s="49" t="s">
        <v>2352</v>
      </c>
      <c r="E4520" s="49" t="s">
        <v>4351</v>
      </c>
      <c r="F4520" s="49" t="s">
        <v>4352</v>
      </c>
      <c r="G4520" s="49" t="n">
        <v>0</v>
      </c>
      <c r="H4520" s="0" t="n">
        <v>0</v>
      </c>
      <c r="M4520" s="51" t="s">
        <v>8498</v>
      </c>
      <c r="N4520" s="49" t="n">
        <v>0</v>
      </c>
      <c r="O4520" s="53" t="n">
        <v>45883.5077083333</v>
      </c>
      <c r="P4520" s="53" t="n">
        <v>45899.297025463</v>
      </c>
      <c r="Q4520" s="53" t="n">
        <v>45883.5077083333</v>
      </c>
      <c r="R4520" s="0" t="n">
        <v>0</v>
      </c>
      <c r="S4520" s="51" t="s">
        <v>2356</v>
      </c>
      <c r="T4520" s="51" t="s">
        <v>2356</v>
      </c>
      <c r="U4520" s="51" t="s">
        <v>4351</v>
      </c>
      <c r="V4520" s="51" t="s">
        <v>2365</v>
      </c>
      <c r="W4520" s="51" t="s">
        <v>5983</v>
      </c>
      <c r="X4520" s="51" t="s">
        <v>2359</v>
      </c>
    </row>
    <row r="4521" customFormat="false" ht="14.25" hidden="true" customHeight="false" outlineLevel="0" collapsed="false">
      <c r="A4521" s="49" t="s">
        <v>2349</v>
      </c>
      <c r="B4521" s="49" t="s">
        <v>2350</v>
      </c>
      <c r="C4521" s="49" t="s">
        <v>8500</v>
      </c>
      <c r="D4521" s="49" t="s">
        <v>2352</v>
      </c>
      <c r="E4521" s="49" t="s">
        <v>4351</v>
      </c>
      <c r="F4521" s="49" t="s">
        <v>4352</v>
      </c>
      <c r="G4521" s="49" t="n">
        <v>0</v>
      </c>
      <c r="H4521" s="0" t="n">
        <v>0</v>
      </c>
      <c r="M4521" s="51" t="s">
        <v>8498</v>
      </c>
      <c r="N4521" s="49" t="n">
        <v>0</v>
      </c>
      <c r="O4521" s="53" t="n">
        <v>45883.5073842593</v>
      </c>
      <c r="P4521" s="53" t="n">
        <v>45899.2969791667</v>
      </c>
      <c r="Q4521" s="53" t="n">
        <v>45883.5073842593</v>
      </c>
      <c r="R4521" s="0" t="n">
        <v>0</v>
      </c>
      <c r="S4521" s="51" t="s">
        <v>2356</v>
      </c>
      <c r="T4521" s="51" t="s">
        <v>2356</v>
      </c>
      <c r="U4521" s="51" t="s">
        <v>4351</v>
      </c>
      <c r="V4521" s="51" t="s">
        <v>2365</v>
      </c>
      <c r="W4521" s="51" t="s">
        <v>7258</v>
      </c>
      <c r="X4521" s="51" t="s">
        <v>2359</v>
      </c>
    </row>
    <row r="4522" customFormat="false" ht="14.25" hidden="true" customHeight="false" outlineLevel="0" collapsed="false">
      <c r="A4522" s="49" t="s">
        <v>2349</v>
      </c>
      <c r="B4522" s="49" t="s">
        <v>2350</v>
      </c>
      <c r="C4522" s="49" t="s">
        <v>8501</v>
      </c>
      <c r="D4522" s="49" t="s">
        <v>2352</v>
      </c>
      <c r="E4522" s="49" t="s">
        <v>4351</v>
      </c>
      <c r="F4522" s="49" t="s">
        <v>4352</v>
      </c>
      <c r="G4522" s="49" t="n">
        <v>0</v>
      </c>
      <c r="H4522" s="0" t="n">
        <v>0</v>
      </c>
      <c r="M4522" s="51" t="s">
        <v>8498</v>
      </c>
      <c r="N4522" s="49" t="n">
        <v>0</v>
      </c>
      <c r="O4522" s="53" t="n">
        <v>45883.5070486111</v>
      </c>
      <c r="P4522" s="53" t="n">
        <v>45899.2967476852</v>
      </c>
      <c r="Q4522" s="53" t="n">
        <v>45883.5070486111</v>
      </c>
      <c r="R4522" s="0" t="n">
        <v>0</v>
      </c>
      <c r="S4522" s="51" t="s">
        <v>2356</v>
      </c>
      <c r="T4522" s="51" t="s">
        <v>2356</v>
      </c>
      <c r="U4522" s="51" t="s">
        <v>4351</v>
      </c>
      <c r="V4522" s="51" t="s">
        <v>2365</v>
      </c>
      <c r="W4522" s="51" t="s">
        <v>5487</v>
      </c>
      <c r="X4522" s="51" t="s">
        <v>2359</v>
      </c>
    </row>
    <row r="4523" customFormat="false" ht="14.25" hidden="true" customHeight="false" outlineLevel="0" collapsed="false">
      <c r="A4523" s="49" t="s">
        <v>2349</v>
      </c>
      <c r="B4523" s="49" t="s">
        <v>2350</v>
      </c>
      <c r="C4523" s="49" t="s">
        <v>8502</v>
      </c>
      <c r="D4523" s="49" t="s">
        <v>2352</v>
      </c>
      <c r="E4523" s="49" t="s">
        <v>4351</v>
      </c>
      <c r="F4523" s="49" t="s">
        <v>4352</v>
      </c>
      <c r="G4523" s="49" t="n">
        <v>0</v>
      </c>
      <c r="H4523" s="0" t="n">
        <v>0</v>
      </c>
      <c r="M4523" s="51" t="s">
        <v>8498</v>
      </c>
      <c r="N4523" s="49" t="n">
        <v>0</v>
      </c>
      <c r="O4523" s="53" t="n">
        <v>45883.506724537</v>
      </c>
      <c r="P4523" s="53" t="n">
        <v>45899.2968518519</v>
      </c>
      <c r="Q4523" s="53" t="n">
        <v>45883.506724537</v>
      </c>
      <c r="R4523" s="0" t="n">
        <v>0</v>
      </c>
      <c r="S4523" s="51" t="s">
        <v>2356</v>
      </c>
      <c r="T4523" s="51" t="s">
        <v>2356</v>
      </c>
      <c r="U4523" s="51" t="s">
        <v>4351</v>
      </c>
      <c r="V4523" s="51" t="s">
        <v>2365</v>
      </c>
      <c r="W4523" s="51" t="s">
        <v>5484</v>
      </c>
      <c r="X4523" s="51" t="s">
        <v>2359</v>
      </c>
    </row>
    <row r="4524" customFormat="false" ht="14.25" hidden="true" customHeight="false" outlineLevel="0" collapsed="false">
      <c r="A4524" s="49" t="s">
        <v>2349</v>
      </c>
      <c r="B4524" s="49" t="s">
        <v>2350</v>
      </c>
      <c r="C4524" s="49" t="s">
        <v>8503</v>
      </c>
      <c r="D4524" s="49" t="s">
        <v>2352</v>
      </c>
      <c r="E4524" s="49" t="s">
        <v>4351</v>
      </c>
      <c r="F4524" s="49" t="s">
        <v>4352</v>
      </c>
      <c r="G4524" s="49" t="n">
        <v>0</v>
      </c>
      <c r="H4524" s="0" t="n">
        <v>0</v>
      </c>
      <c r="M4524" s="51" t="s">
        <v>8498</v>
      </c>
      <c r="N4524" s="49" t="n">
        <v>0</v>
      </c>
      <c r="O4524" s="53" t="n">
        <v>45883.5063773148</v>
      </c>
      <c r="P4524" s="53" t="n">
        <v>45899.29625</v>
      </c>
      <c r="Q4524" s="53" t="n">
        <v>45883.5063773148</v>
      </c>
      <c r="R4524" s="0" t="n">
        <v>0</v>
      </c>
      <c r="S4524" s="51" t="s">
        <v>2356</v>
      </c>
      <c r="T4524" s="51" t="s">
        <v>2356</v>
      </c>
      <c r="U4524" s="51" t="s">
        <v>4351</v>
      </c>
      <c r="V4524" s="51" t="s">
        <v>2365</v>
      </c>
      <c r="W4524" s="51" t="s">
        <v>5388</v>
      </c>
      <c r="X4524" s="51" t="s">
        <v>2359</v>
      </c>
    </row>
    <row r="4525" customFormat="false" ht="14.25" hidden="true" customHeight="false" outlineLevel="0" collapsed="false">
      <c r="A4525" s="49" t="s">
        <v>2349</v>
      </c>
      <c r="B4525" s="49" t="s">
        <v>2350</v>
      </c>
      <c r="C4525" s="49" t="s">
        <v>8504</v>
      </c>
      <c r="D4525" s="49" t="s">
        <v>2352</v>
      </c>
      <c r="E4525" s="49" t="s">
        <v>4351</v>
      </c>
      <c r="F4525" s="49" t="s">
        <v>4352</v>
      </c>
      <c r="G4525" s="49" t="n">
        <v>0</v>
      </c>
      <c r="H4525" s="0" t="n">
        <v>0</v>
      </c>
      <c r="M4525" s="51" t="s">
        <v>8498</v>
      </c>
      <c r="N4525" s="49" t="n">
        <v>0</v>
      </c>
      <c r="O4525" s="53" t="n">
        <v>45883.5059143519</v>
      </c>
      <c r="P4525" s="53" t="n">
        <v>45895.6061226852</v>
      </c>
      <c r="Q4525" s="53" t="n">
        <v>45883.5059143519</v>
      </c>
      <c r="R4525" s="0" t="n">
        <v>0</v>
      </c>
      <c r="S4525" s="51" t="s">
        <v>2356</v>
      </c>
      <c r="T4525" s="51" t="s">
        <v>2356</v>
      </c>
      <c r="U4525" s="51" t="s">
        <v>4351</v>
      </c>
      <c r="V4525" s="51" t="s">
        <v>2365</v>
      </c>
      <c r="W4525" s="51" t="s">
        <v>5490</v>
      </c>
      <c r="X4525" s="51" t="s">
        <v>2359</v>
      </c>
    </row>
    <row r="4526" customFormat="false" ht="14.25" hidden="true" customHeight="false" outlineLevel="0" collapsed="false">
      <c r="A4526" s="49" t="s">
        <v>2349</v>
      </c>
      <c r="B4526" s="49" t="s">
        <v>2350</v>
      </c>
      <c r="C4526" s="49" t="s">
        <v>8505</v>
      </c>
      <c r="D4526" s="49" t="s">
        <v>2352</v>
      </c>
      <c r="E4526" s="49" t="s">
        <v>4351</v>
      </c>
      <c r="F4526" s="49" t="s">
        <v>4352</v>
      </c>
      <c r="G4526" s="49" t="n">
        <v>0</v>
      </c>
      <c r="H4526" s="0" t="n">
        <v>0</v>
      </c>
      <c r="M4526" s="51" t="s">
        <v>8498</v>
      </c>
      <c r="N4526" s="49" t="n">
        <v>0</v>
      </c>
      <c r="O4526" s="53" t="n">
        <v>45883.5054050926</v>
      </c>
      <c r="P4526" s="53" t="n">
        <v>45893.6365509259</v>
      </c>
      <c r="Q4526" s="53" t="n">
        <v>45883.5054050926</v>
      </c>
      <c r="R4526" s="0" t="n">
        <v>0</v>
      </c>
      <c r="S4526" s="51" t="s">
        <v>2356</v>
      </c>
      <c r="T4526" s="51" t="s">
        <v>2356</v>
      </c>
      <c r="U4526" s="51" t="s">
        <v>4351</v>
      </c>
      <c r="V4526" s="51" t="s">
        <v>2365</v>
      </c>
      <c r="W4526" s="51" t="s">
        <v>5397</v>
      </c>
      <c r="X4526" s="51" t="s">
        <v>2359</v>
      </c>
    </row>
    <row r="4527" customFormat="false" ht="14.25" hidden="true" customHeight="false" outlineLevel="0" collapsed="false">
      <c r="A4527" s="49" t="s">
        <v>2349</v>
      </c>
      <c r="B4527" s="49" t="s">
        <v>2350</v>
      </c>
      <c r="C4527" s="49" t="s">
        <v>8506</v>
      </c>
      <c r="D4527" s="49" t="s">
        <v>2352</v>
      </c>
      <c r="E4527" s="49" t="s">
        <v>4351</v>
      </c>
      <c r="F4527" s="49" t="s">
        <v>4352</v>
      </c>
      <c r="G4527" s="49" t="n">
        <v>0</v>
      </c>
      <c r="H4527" s="0" t="n">
        <v>0</v>
      </c>
      <c r="M4527" s="51" t="s">
        <v>8498</v>
      </c>
      <c r="N4527" s="49" t="n">
        <v>0</v>
      </c>
      <c r="O4527" s="53" t="n">
        <v>45883.5050231482</v>
      </c>
      <c r="P4527" s="53" t="n">
        <v>45895.6059953704</v>
      </c>
      <c r="Q4527" s="53" t="n">
        <v>45883.5050231482</v>
      </c>
      <c r="R4527" s="0" t="n">
        <v>0</v>
      </c>
      <c r="S4527" s="51" t="s">
        <v>2356</v>
      </c>
      <c r="T4527" s="51" t="s">
        <v>2356</v>
      </c>
      <c r="U4527" s="51" t="s">
        <v>4351</v>
      </c>
      <c r="V4527" s="51" t="s">
        <v>2365</v>
      </c>
      <c r="W4527" s="51" t="s">
        <v>4175</v>
      </c>
      <c r="X4527" s="51" t="s">
        <v>2359</v>
      </c>
    </row>
    <row r="4528" customFormat="false" ht="14.25" hidden="true" customHeight="false" outlineLevel="0" collapsed="false">
      <c r="A4528" s="49" t="s">
        <v>2349</v>
      </c>
      <c r="B4528" s="49" t="s">
        <v>2350</v>
      </c>
      <c r="C4528" s="49" t="s">
        <v>8507</v>
      </c>
      <c r="D4528" s="49" t="s">
        <v>2352</v>
      </c>
      <c r="E4528" s="49" t="s">
        <v>4351</v>
      </c>
      <c r="F4528" s="49" t="s">
        <v>4352</v>
      </c>
      <c r="G4528" s="49" t="n">
        <v>0</v>
      </c>
      <c r="H4528" s="0" t="n">
        <v>0</v>
      </c>
      <c r="M4528" s="51" t="s">
        <v>8498</v>
      </c>
      <c r="N4528" s="49" t="n">
        <v>0</v>
      </c>
      <c r="O4528" s="53" t="n">
        <v>45883.5045717593</v>
      </c>
      <c r="P4528" s="53" t="n">
        <v>45893.3056828704</v>
      </c>
      <c r="Q4528" s="53" t="n">
        <v>45883.5045717593</v>
      </c>
      <c r="R4528" s="0" t="n">
        <v>0</v>
      </c>
      <c r="S4528" s="51" t="s">
        <v>2356</v>
      </c>
      <c r="T4528" s="51" t="s">
        <v>2356</v>
      </c>
      <c r="U4528" s="51" t="s">
        <v>4351</v>
      </c>
      <c r="V4528" s="51" t="s">
        <v>2365</v>
      </c>
      <c r="W4528" s="51" t="s">
        <v>8375</v>
      </c>
      <c r="X4528" s="51" t="s">
        <v>2359</v>
      </c>
    </row>
    <row r="4529" customFormat="false" ht="14.25" hidden="true" customHeight="false" outlineLevel="0" collapsed="false">
      <c r="A4529" s="49" t="s">
        <v>2349</v>
      </c>
      <c r="B4529" s="49" t="s">
        <v>2350</v>
      </c>
      <c r="C4529" s="49" t="s">
        <v>8508</v>
      </c>
      <c r="D4529" s="49" t="s">
        <v>2352</v>
      </c>
      <c r="E4529" s="49" t="s">
        <v>4351</v>
      </c>
      <c r="F4529" s="49" t="s">
        <v>4352</v>
      </c>
      <c r="G4529" s="49" t="n">
        <v>0</v>
      </c>
      <c r="H4529" s="0" t="n">
        <v>0</v>
      </c>
      <c r="M4529" s="51" t="s">
        <v>8498</v>
      </c>
      <c r="N4529" s="49" t="n">
        <v>0</v>
      </c>
      <c r="O4529" s="53" t="n">
        <v>45883.5113425926</v>
      </c>
      <c r="P4529" s="53" t="n">
        <v>45899.2970833333</v>
      </c>
      <c r="Q4529" s="53" t="n">
        <v>45883.5113425926</v>
      </c>
      <c r="R4529" s="0" t="n">
        <v>0</v>
      </c>
      <c r="S4529" s="51" t="s">
        <v>2356</v>
      </c>
      <c r="T4529" s="51" t="s">
        <v>2356</v>
      </c>
      <c r="U4529" s="51" t="s">
        <v>4351</v>
      </c>
      <c r="V4529" s="51" t="s">
        <v>2365</v>
      </c>
      <c r="W4529" s="51" t="s">
        <v>5761</v>
      </c>
      <c r="X4529" s="51" t="s">
        <v>2359</v>
      </c>
    </row>
    <row r="4530" customFormat="false" ht="14.25" hidden="true" customHeight="false" outlineLevel="0" collapsed="false">
      <c r="A4530" s="49" t="s">
        <v>2349</v>
      </c>
      <c r="B4530" s="49" t="s">
        <v>2350</v>
      </c>
      <c r="C4530" s="49" t="s">
        <v>8509</v>
      </c>
      <c r="D4530" s="49" t="s">
        <v>2352</v>
      </c>
      <c r="E4530" s="49" t="s">
        <v>4351</v>
      </c>
      <c r="F4530" s="49" t="s">
        <v>4352</v>
      </c>
      <c r="G4530" s="49" t="n">
        <v>0</v>
      </c>
      <c r="H4530" s="0" t="n">
        <v>0</v>
      </c>
      <c r="M4530" s="51" t="s">
        <v>8498</v>
      </c>
      <c r="N4530" s="49" t="n">
        <v>0</v>
      </c>
      <c r="O4530" s="53" t="n">
        <v>45883.5110648148</v>
      </c>
      <c r="P4530" s="53" t="n">
        <v>45899.297337963</v>
      </c>
      <c r="Q4530" s="53" t="n">
        <v>45883.5110648148</v>
      </c>
      <c r="R4530" s="0" t="n">
        <v>0</v>
      </c>
      <c r="S4530" s="51" t="s">
        <v>2356</v>
      </c>
      <c r="T4530" s="51" t="s">
        <v>2356</v>
      </c>
      <c r="U4530" s="51" t="s">
        <v>4351</v>
      </c>
      <c r="V4530" s="51" t="s">
        <v>2365</v>
      </c>
      <c r="W4530" s="51" t="s">
        <v>8510</v>
      </c>
      <c r="X4530" s="51" t="s">
        <v>2359</v>
      </c>
    </row>
    <row r="4531" customFormat="false" ht="14.25" hidden="true" customHeight="false" outlineLevel="0" collapsed="false">
      <c r="A4531" s="49" t="s">
        <v>2349</v>
      </c>
      <c r="B4531" s="49" t="s">
        <v>2350</v>
      </c>
      <c r="C4531" s="49" t="s">
        <v>8511</v>
      </c>
      <c r="D4531" s="49" t="s">
        <v>2352</v>
      </c>
      <c r="E4531" s="49" t="s">
        <v>4351</v>
      </c>
      <c r="F4531" s="49" t="s">
        <v>4352</v>
      </c>
      <c r="G4531" s="49" t="n">
        <v>0</v>
      </c>
      <c r="H4531" s="0" t="n">
        <v>0</v>
      </c>
      <c r="M4531" s="51" t="s">
        <v>8498</v>
      </c>
      <c r="N4531" s="49" t="n">
        <v>0</v>
      </c>
      <c r="O4531" s="53" t="n">
        <v>45883.5108101852</v>
      </c>
      <c r="P4531" s="53" t="n">
        <v>45899.2974074074</v>
      </c>
      <c r="Q4531" s="53" t="n">
        <v>45883.5108101852</v>
      </c>
      <c r="R4531" s="0" t="n">
        <v>0</v>
      </c>
      <c r="S4531" s="51" t="s">
        <v>2356</v>
      </c>
      <c r="T4531" s="51" t="s">
        <v>2356</v>
      </c>
      <c r="U4531" s="51" t="s">
        <v>4351</v>
      </c>
      <c r="V4531" s="51" t="s">
        <v>2365</v>
      </c>
      <c r="W4531" s="51" t="s">
        <v>7276</v>
      </c>
      <c r="X4531" s="51" t="s">
        <v>2359</v>
      </c>
    </row>
    <row r="4532" customFormat="false" ht="14.25" hidden="true" customHeight="false" outlineLevel="0" collapsed="false">
      <c r="A4532" s="49" t="s">
        <v>2349</v>
      </c>
      <c r="B4532" s="49" t="s">
        <v>2350</v>
      </c>
      <c r="C4532" s="49" t="s">
        <v>8512</v>
      </c>
      <c r="D4532" s="49" t="s">
        <v>2352</v>
      </c>
      <c r="E4532" s="49" t="s">
        <v>4351</v>
      </c>
      <c r="F4532" s="49" t="s">
        <v>4352</v>
      </c>
      <c r="G4532" s="49" t="n">
        <v>0</v>
      </c>
      <c r="H4532" s="0" t="n">
        <v>0</v>
      </c>
      <c r="M4532" s="51" t="s">
        <v>8498</v>
      </c>
      <c r="N4532" s="49" t="n">
        <v>0</v>
      </c>
      <c r="O4532" s="53" t="n">
        <v>45883.5105324074</v>
      </c>
      <c r="P4532" s="53" t="n">
        <v>45899.5689351852</v>
      </c>
      <c r="Q4532" s="53" t="n">
        <v>45883.5105324074</v>
      </c>
      <c r="R4532" s="0" t="n">
        <v>0</v>
      </c>
      <c r="S4532" s="51" t="s">
        <v>2356</v>
      </c>
      <c r="T4532" s="51" t="s">
        <v>2356</v>
      </c>
      <c r="U4532" s="51" t="s">
        <v>4351</v>
      </c>
      <c r="V4532" s="51" t="s">
        <v>2365</v>
      </c>
      <c r="W4532" s="51" t="s">
        <v>4160</v>
      </c>
      <c r="X4532" s="51" t="s">
        <v>2359</v>
      </c>
    </row>
    <row r="4533" customFormat="false" ht="14.25" hidden="true" customHeight="false" outlineLevel="0" collapsed="false">
      <c r="A4533" s="49" t="s">
        <v>2349</v>
      </c>
      <c r="B4533" s="49" t="s">
        <v>2350</v>
      </c>
      <c r="C4533" s="49" t="s">
        <v>8513</v>
      </c>
      <c r="D4533" s="49" t="s">
        <v>2352</v>
      </c>
      <c r="E4533" s="49" t="s">
        <v>4351</v>
      </c>
      <c r="F4533" s="49" t="s">
        <v>4352</v>
      </c>
      <c r="G4533" s="49" t="n">
        <v>0</v>
      </c>
      <c r="H4533" s="0" t="n">
        <v>0</v>
      </c>
      <c r="M4533" s="51" t="s">
        <v>8498</v>
      </c>
      <c r="N4533" s="49" t="n">
        <v>0</v>
      </c>
      <c r="O4533" s="53" t="n">
        <v>45883.5102199074</v>
      </c>
      <c r="P4533" s="53" t="n">
        <v>45899.2971527778</v>
      </c>
      <c r="Q4533" s="53" t="n">
        <v>45883.5102199074</v>
      </c>
      <c r="R4533" s="0" t="n">
        <v>0</v>
      </c>
      <c r="S4533" s="51" t="s">
        <v>2356</v>
      </c>
      <c r="T4533" s="51" t="s">
        <v>2356</v>
      </c>
      <c r="U4533" s="51" t="s">
        <v>4351</v>
      </c>
      <c r="V4533" s="51" t="s">
        <v>2365</v>
      </c>
      <c r="W4533" s="51" t="s">
        <v>3689</v>
      </c>
      <c r="X4533" s="51" t="s">
        <v>2359</v>
      </c>
    </row>
    <row r="4534" customFormat="false" ht="14.25" hidden="true" customHeight="false" outlineLevel="0" collapsed="false">
      <c r="A4534" s="49" t="s">
        <v>2349</v>
      </c>
      <c r="B4534" s="49" t="s">
        <v>2350</v>
      </c>
      <c r="C4534" s="49" t="s">
        <v>8514</v>
      </c>
      <c r="D4534" s="49" t="s">
        <v>2352</v>
      </c>
      <c r="E4534" s="49" t="s">
        <v>4351</v>
      </c>
      <c r="F4534" s="49" t="s">
        <v>4352</v>
      </c>
      <c r="G4534" s="49" t="n">
        <v>0</v>
      </c>
      <c r="H4534" s="0" t="n">
        <v>0</v>
      </c>
      <c r="M4534" s="51" t="s">
        <v>8498</v>
      </c>
      <c r="N4534" s="49" t="n">
        <v>0</v>
      </c>
      <c r="O4534" s="53" t="n">
        <v>45883.509849537</v>
      </c>
      <c r="P4534" s="53" t="n">
        <v>45899.2972106482</v>
      </c>
      <c r="Q4534" s="53" t="n">
        <v>45883.509849537</v>
      </c>
      <c r="R4534" s="0" t="n">
        <v>0</v>
      </c>
      <c r="S4534" s="51" t="s">
        <v>2356</v>
      </c>
      <c r="T4534" s="51" t="s">
        <v>2356</v>
      </c>
      <c r="U4534" s="51" t="s">
        <v>4351</v>
      </c>
      <c r="V4534" s="51" t="s">
        <v>2365</v>
      </c>
      <c r="W4534" s="51" t="s">
        <v>8515</v>
      </c>
      <c r="X4534" s="51" t="s">
        <v>2359</v>
      </c>
    </row>
    <row r="4535" customFormat="false" ht="14.25" hidden="true" customHeight="false" outlineLevel="0" collapsed="false">
      <c r="A4535" s="49" t="s">
        <v>2349</v>
      </c>
      <c r="B4535" s="49" t="s">
        <v>2350</v>
      </c>
      <c r="C4535" s="49" t="s">
        <v>8516</v>
      </c>
      <c r="D4535" s="49" t="s">
        <v>2352</v>
      </c>
      <c r="E4535" s="49" t="s">
        <v>4351</v>
      </c>
      <c r="F4535" s="49" t="s">
        <v>4352</v>
      </c>
      <c r="G4535" s="49" t="n">
        <v>0</v>
      </c>
      <c r="H4535" s="0" t="n">
        <v>0</v>
      </c>
      <c r="M4535" s="51" t="s">
        <v>8498</v>
      </c>
      <c r="N4535" s="49" t="n">
        <v>0</v>
      </c>
      <c r="O4535" s="53" t="n">
        <v>45883.5095138889</v>
      </c>
      <c r="P4535" s="53" t="n">
        <v>45899.2972685185</v>
      </c>
      <c r="Q4535" s="53" t="n">
        <v>45883.5095138889</v>
      </c>
      <c r="R4535" s="0" t="n">
        <v>0</v>
      </c>
      <c r="S4535" s="51" t="s">
        <v>2356</v>
      </c>
      <c r="T4535" s="51" t="s">
        <v>2356</v>
      </c>
      <c r="U4535" s="51" t="s">
        <v>4351</v>
      </c>
      <c r="V4535" s="51" t="s">
        <v>2365</v>
      </c>
      <c r="W4535" s="51" t="s">
        <v>5143</v>
      </c>
      <c r="X4535" s="51" t="s">
        <v>2359</v>
      </c>
    </row>
    <row r="4536" customFormat="false" ht="14.25" hidden="true" customHeight="false" outlineLevel="0" collapsed="false">
      <c r="A4536" s="49" t="s">
        <v>2349</v>
      </c>
      <c r="B4536" s="49" t="s">
        <v>2350</v>
      </c>
      <c r="C4536" s="49" t="s">
        <v>8517</v>
      </c>
      <c r="D4536" s="49" t="s">
        <v>2352</v>
      </c>
      <c r="E4536" s="49" t="s">
        <v>4351</v>
      </c>
      <c r="F4536" s="49" t="s">
        <v>4352</v>
      </c>
      <c r="G4536" s="49" t="n">
        <v>0</v>
      </c>
      <c r="H4536" s="0" t="n">
        <v>0</v>
      </c>
      <c r="M4536" s="51" t="s">
        <v>8498</v>
      </c>
      <c r="N4536" s="49" t="n">
        <v>0</v>
      </c>
      <c r="O4536" s="53" t="n">
        <v>45883.5091319445</v>
      </c>
      <c r="P4536" s="53" t="n">
        <v>45889.5213425926</v>
      </c>
      <c r="Q4536" s="53" t="n">
        <v>45883.5091319445</v>
      </c>
      <c r="R4536" s="0" t="n">
        <v>0</v>
      </c>
      <c r="S4536" s="51" t="s">
        <v>2356</v>
      </c>
      <c r="T4536" s="51" t="s">
        <v>2356</v>
      </c>
      <c r="U4536" s="51" t="s">
        <v>4351</v>
      </c>
      <c r="V4536" s="51" t="s">
        <v>2365</v>
      </c>
      <c r="W4536" s="51" t="s">
        <v>5748</v>
      </c>
      <c r="X4536" s="51" t="s">
        <v>2359</v>
      </c>
    </row>
    <row r="4537" customFormat="false" ht="14.25" hidden="true" customHeight="false" outlineLevel="0" collapsed="false">
      <c r="A4537" s="49" t="s">
        <v>2349</v>
      </c>
      <c r="B4537" s="49" t="s">
        <v>2350</v>
      </c>
      <c r="C4537" s="49" t="s">
        <v>8518</v>
      </c>
      <c r="D4537" s="49" t="s">
        <v>2352</v>
      </c>
      <c r="E4537" s="49" t="s">
        <v>4351</v>
      </c>
      <c r="F4537" s="49" t="s">
        <v>4352</v>
      </c>
      <c r="G4537" s="49" t="n">
        <v>0</v>
      </c>
      <c r="H4537" s="0" t="n">
        <v>0</v>
      </c>
      <c r="M4537" s="51" t="s">
        <v>8498</v>
      </c>
      <c r="N4537" s="49" t="n">
        <v>0</v>
      </c>
      <c r="O4537" s="53" t="n">
        <v>45883.5088194445</v>
      </c>
      <c r="P4537" s="53" t="n">
        <v>45890.3073263889</v>
      </c>
      <c r="Q4537" s="53" t="n">
        <v>45883.5088194445</v>
      </c>
      <c r="R4537" s="0" t="n">
        <v>0</v>
      </c>
      <c r="S4537" s="51" t="s">
        <v>2356</v>
      </c>
      <c r="T4537" s="51" t="s">
        <v>2356</v>
      </c>
      <c r="U4537" s="51" t="s">
        <v>4351</v>
      </c>
      <c r="V4537" s="51" t="s">
        <v>2365</v>
      </c>
      <c r="W4537" s="51" t="s">
        <v>8229</v>
      </c>
      <c r="X4537" s="51" t="s">
        <v>2359</v>
      </c>
    </row>
    <row r="4538" customFormat="false" ht="14.25" hidden="true" customHeight="false" outlineLevel="0" collapsed="false">
      <c r="A4538" s="49" t="s">
        <v>2349</v>
      </c>
      <c r="B4538" s="49" t="s">
        <v>2350</v>
      </c>
      <c r="C4538" s="49" t="s">
        <v>8519</v>
      </c>
      <c r="D4538" s="49" t="s">
        <v>2352</v>
      </c>
      <c r="E4538" s="49" t="s">
        <v>4351</v>
      </c>
      <c r="F4538" s="49" t="s">
        <v>4352</v>
      </c>
      <c r="G4538" s="49" t="n">
        <v>0</v>
      </c>
      <c r="H4538" s="0" t="n">
        <v>0</v>
      </c>
      <c r="M4538" s="51" t="s">
        <v>8498</v>
      </c>
      <c r="N4538" s="49" t="n">
        <v>0</v>
      </c>
      <c r="O4538" s="53" t="n">
        <v>45883.5084143519</v>
      </c>
      <c r="P4538" s="53" t="n">
        <v>45890.4194097222</v>
      </c>
      <c r="Q4538" s="53" t="n">
        <v>45883.5084143519</v>
      </c>
      <c r="R4538" s="0" t="n">
        <v>0</v>
      </c>
      <c r="S4538" s="51" t="s">
        <v>2356</v>
      </c>
      <c r="T4538" s="51" t="s">
        <v>2356</v>
      </c>
      <c r="U4538" s="51" t="s">
        <v>4351</v>
      </c>
      <c r="V4538" s="51" t="s">
        <v>2365</v>
      </c>
      <c r="W4538" s="51" t="s">
        <v>4130</v>
      </c>
      <c r="X4538" s="51" t="s">
        <v>2359</v>
      </c>
    </row>
    <row r="4539" customFormat="false" ht="14.25" hidden="true" customHeight="false" outlineLevel="0" collapsed="false">
      <c r="A4539" s="49" t="s">
        <v>2349</v>
      </c>
      <c r="B4539" s="49" t="s">
        <v>2350</v>
      </c>
      <c r="C4539" s="49" t="s">
        <v>8520</v>
      </c>
      <c r="D4539" s="49" t="s">
        <v>2352</v>
      </c>
      <c r="E4539" s="49" t="s">
        <v>4012</v>
      </c>
      <c r="F4539" s="49" t="s">
        <v>4013</v>
      </c>
      <c r="G4539" s="49" t="n">
        <v>0</v>
      </c>
      <c r="H4539" s="0" t="n">
        <v>0</v>
      </c>
      <c r="M4539" s="51" t="s">
        <v>8521</v>
      </c>
      <c r="N4539" s="49" t="n">
        <v>0</v>
      </c>
      <c r="O4539" s="53" t="n">
        <v>45804.5314351852</v>
      </c>
      <c r="P4539" s="53" t="n">
        <v>45808.4428356482</v>
      </c>
      <c r="Q4539" s="53" t="n">
        <v>45804.5314351852</v>
      </c>
      <c r="R4539" s="0" t="n">
        <v>0</v>
      </c>
      <c r="S4539" s="51" t="s">
        <v>2416</v>
      </c>
      <c r="T4539" s="51" t="s">
        <v>2416</v>
      </c>
      <c r="U4539" s="51" t="s">
        <v>4012</v>
      </c>
      <c r="V4539" s="51" t="s">
        <v>2365</v>
      </c>
      <c r="W4539" s="51" t="s">
        <v>6661</v>
      </c>
      <c r="X4539" s="51" t="s">
        <v>2359</v>
      </c>
    </row>
    <row r="4540" customFormat="false" ht="14.25" hidden="true" customHeight="false" outlineLevel="0" collapsed="false">
      <c r="A4540" s="49" t="s">
        <v>2349</v>
      </c>
      <c r="B4540" s="49" t="s">
        <v>2350</v>
      </c>
      <c r="C4540" s="49" t="s">
        <v>8522</v>
      </c>
      <c r="D4540" s="49" t="s">
        <v>2352</v>
      </c>
      <c r="E4540" s="49" t="str">
        <f aca="false">"5942326400476"</f>
        <v>5942326400476</v>
      </c>
      <c r="F4540" s="49" t="s">
        <v>5167</v>
      </c>
      <c r="G4540" s="49" t="n">
        <v>0</v>
      </c>
      <c r="H4540" s="0" t="n">
        <v>0</v>
      </c>
      <c r="M4540" s="51" t="s">
        <v>8523</v>
      </c>
      <c r="N4540" s="49" t="n">
        <v>0</v>
      </c>
      <c r="O4540" s="53" t="n">
        <v>45868.4650925926</v>
      </c>
      <c r="P4540" s="53" t="n">
        <v>46023.9340625</v>
      </c>
      <c r="Q4540" s="53" t="n">
        <v>45868.4650925926</v>
      </c>
      <c r="R4540" s="0" t="n">
        <v>0</v>
      </c>
      <c r="S4540" s="51" t="s">
        <v>2416</v>
      </c>
      <c r="T4540" s="51" t="s">
        <v>2416</v>
      </c>
      <c r="U4540" s="0" t="str">
        <f aca="false">"5942326400476"</f>
        <v>5942326400476</v>
      </c>
      <c r="V4540" s="51" t="s">
        <v>2365</v>
      </c>
      <c r="W4540" s="51" t="s">
        <v>4445</v>
      </c>
      <c r="X4540" s="51" t="s">
        <v>2359</v>
      </c>
    </row>
    <row r="4541" customFormat="false" ht="14.25" hidden="true" customHeight="false" outlineLevel="0" collapsed="false">
      <c r="A4541" s="49" t="s">
        <v>2349</v>
      </c>
      <c r="B4541" s="49" t="s">
        <v>2350</v>
      </c>
      <c r="C4541" s="49" t="s">
        <v>8524</v>
      </c>
      <c r="D4541" s="49" t="s">
        <v>2352</v>
      </c>
      <c r="E4541" s="49" t="str">
        <f aca="false">"5942326400476"</f>
        <v>5942326400476</v>
      </c>
      <c r="F4541" s="49" t="s">
        <v>5167</v>
      </c>
      <c r="G4541" s="49" t="n">
        <v>0</v>
      </c>
      <c r="H4541" s="0" t="n">
        <v>0</v>
      </c>
      <c r="M4541" s="51" t="s">
        <v>8523</v>
      </c>
      <c r="N4541" s="49" t="n">
        <v>0</v>
      </c>
      <c r="O4541" s="53" t="n">
        <v>45868.4665393519</v>
      </c>
      <c r="P4541" s="53" t="n">
        <v>46023.9456481482</v>
      </c>
      <c r="Q4541" s="53" t="n">
        <v>45868.4665393519</v>
      </c>
      <c r="R4541" s="0" t="n">
        <v>0</v>
      </c>
      <c r="S4541" s="51" t="s">
        <v>2416</v>
      </c>
      <c r="T4541" s="51" t="s">
        <v>2416</v>
      </c>
      <c r="U4541" s="0" t="str">
        <f aca="false">"5942326400476"</f>
        <v>5942326400476</v>
      </c>
      <c r="V4541" s="51" t="s">
        <v>2365</v>
      </c>
      <c r="W4541" s="51" t="s">
        <v>8525</v>
      </c>
      <c r="X4541" s="51" t="s">
        <v>2359</v>
      </c>
    </row>
    <row r="4542" customFormat="false" ht="14.25" hidden="true" customHeight="false" outlineLevel="0" collapsed="false">
      <c r="A4542" s="49" t="s">
        <v>2349</v>
      </c>
      <c r="B4542" s="49" t="s">
        <v>2350</v>
      </c>
      <c r="C4542" s="49" t="s">
        <v>8526</v>
      </c>
      <c r="D4542" s="49" t="s">
        <v>2352</v>
      </c>
      <c r="E4542" s="49" t="str">
        <f aca="false">"5942326400476"</f>
        <v>5942326400476</v>
      </c>
      <c r="F4542" s="49" t="s">
        <v>5167</v>
      </c>
      <c r="G4542" s="49" t="n">
        <v>0</v>
      </c>
      <c r="H4542" s="0" t="n">
        <v>0</v>
      </c>
      <c r="M4542" s="51" t="s">
        <v>8523</v>
      </c>
      <c r="N4542" s="49" t="n">
        <v>0</v>
      </c>
      <c r="O4542" s="53" t="n">
        <v>45868.4715972222</v>
      </c>
      <c r="P4542" s="53" t="n">
        <v>45995.8192939815</v>
      </c>
      <c r="Q4542" s="53" t="n">
        <v>45868.4715972222</v>
      </c>
      <c r="R4542" s="0" t="n">
        <v>0</v>
      </c>
      <c r="S4542" s="51" t="s">
        <v>2416</v>
      </c>
      <c r="T4542" s="51" t="s">
        <v>2416</v>
      </c>
      <c r="U4542" s="0" t="str">
        <f aca="false">"5942326400476"</f>
        <v>5942326400476</v>
      </c>
      <c r="V4542" s="51" t="s">
        <v>2365</v>
      </c>
      <c r="W4542" s="51" t="s">
        <v>8527</v>
      </c>
      <c r="X4542" s="51" t="s">
        <v>2359</v>
      </c>
    </row>
    <row r="4543" customFormat="false" ht="14.25" hidden="true" customHeight="false" outlineLevel="0" collapsed="false">
      <c r="A4543" s="49" t="s">
        <v>2349</v>
      </c>
      <c r="B4543" s="49" t="s">
        <v>2350</v>
      </c>
      <c r="C4543" s="49" t="s">
        <v>8528</v>
      </c>
      <c r="D4543" s="49" t="s">
        <v>2352</v>
      </c>
      <c r="E4543" s="49" t="str">
        <f aca="false">"5942326400476"</f>
        <v>5942326400476</v>
      </c>
      <c r="F4543" s="49" t="s">
        <v>5167</v>
      </c>
      <c r="G4543" s="49" t="n">
        <v>0</v>
      </c>
      <c r="H4543" s="0" t="n">
        <v>0</v>
      </c>
      <c r="M4543" s="51" t="s">
        <v>8523</v>
      </c>
      <c r="N4543" s="49" t="n">
        <v>0</v>
      </c>
      <c r="O4543" s="53" t="n">
        <v>45868.4672800926</v>
      </c>
      <c r="P4543" s="53" t="n">
        <v>46023.9476041667</v>
      </c>
      <c r="Q4543" s="53" t="n">
        <v>45868.4672800926</v>
      </c>
      <c r="R4543" s="0" t="n">
        <v>0</v>
      </c>
      <c r="S4543" s="51" t="s">
        <v>2416</v>
      </c>
      <c r="T4543" s="51" t="s">
        <v>2416</v>
      </c>
      <c r="U4543" s="0" t="str">
        <f aca="false">"5942326400476"</f>
        <v>5942326400476</v>
      </c>
      <c r="V4543" s="51" t="s">
        <v>2365</v>
      </c>
      <c r="W4543" s="51" t="s">
        <v>8529</v>
      </c>
      <c r="X4543" s="51" t="s">
        <v>2359</v>
      </c>
    </row>
    <row r="4544" customFormat="false" ht="14.25" hidden="true" customHeight="false" outlineLevel="0" collapsed="false">
      <c r="A4544" s="49" t="s">
        <v>2349</v>
      </c>
      <c r="B4544" s="49" t="s">
        <v>2350</v>
      </c>
      <c r="C4544" s="49" t="s">
        <v>8530</v>
      </c>
      <c r="D4544" s="49" t="s">
        <v>2352</v>
      </c>
      <c r="E4544" s="49" t="str">
        <f aca="false">"5942326400476"</f>
        <v>5942326400476</v>
      </c>
      <c r="F4544" s="49" t="s">
        <v>5167</v>
      </c>
      <c r="G4544" s="49" t="n">
        <v>0</v>
      </c>
      <c r="H4544" s="0" t="n">
        <v>0</v>
      </c>
      <c r="M4544" s="51" t="s">
        <v>8523</v>
      </c>
      <c r="N4544" s="49" t="n">
        <v>0</v>
      </c>
      <c r="O4544" s="53" t="n">
        <v>45868.4736458333</v>
      </c>
      <c r="P4544" s="53" t="n">
        <v>45993.7765740741</v>
      </c>
      <c r="Q4544" s="53" t="n">
        <v>45868.4736458333</v>
      </c>
      <c r="R4544" s="0" t="n">
        <v>0</v>
      </c>
      <c r="S4544" s="51" t="s">
        <v>2416</v>
      </c>
      <c r="T4544" s="51" t="s">
        <v>2416</v>
      </c>
      <c r="U4544" s="0" t="str">
        <f aca="false">"5942326400476"</f>
        <v>5942326400476</v>
      </c>
      <c r="V4544" s="51" t="s">
        <v>2365</v>
      </c>
      <c r="W4544" s="51" t="s">
        <v>4200</v>
      </c>
      <c r="X4544" s="51" t="s">
        <v>2359</v>
      </c>
    </row>
    <row r="4545" customFormat="false" ht="14.25" hidden="true" customHeight="false" outlineLevel="0" collapsed="false">
      <c r="A4545" s="49" t="s">
        <v>2349</v>
      </c>
      <c r="B4545" s="49" t="s">
        <v>2350</v>
      </c>
      <c r="C4545" s="49" t="s">
        <v>8531</v>
      </c>
      <c r="D4545" s="49" t="s">
        <v>2352</v>
      </c>
      <c r="E4545" s="49" t="str">
        <f aca="false">"5942326400476"</f>
        <v>5942326400476</v>
      </c>
      <c r="F4545" s="49" t="s">
        <v>5167</v>
      </c>
      <c r="G4545" s="49" t="n">
        <v>0</v>
      </c>
      <c r="H4545" s="0" t="n">
        <v>0</v>
      </c>
      <c r="M4545" s="51" t="s">
        <v>8523</v>
      </c>
      <c r="N4545" s="49" t="n">
        <v>0</v>
      </c>
      <c r="O4545" s="53" t="n">
        <v>45868.4682060185</v>
      </c>
      <c r="P4545" s="53" t="n">
        <v>45974.9168171296</v>
      </c>
      <c r="Q4545" s="53" t="n">
        <v>45868.4682060185</v>
      </c>
      <c r="R4545" s="0" t="n">
        <v>0</v>
      </c>
      <c r="S4545" s="51" t="s">
        <v>2416</v>
      </c>
      <c r="T4545" s="51" t="s">
        <v>2416</v>
      </c>
      <c r="U4545" s="0" t="str">
        <f aca="false">"5942326400476"</f>
        <v>5942326400476</v>
      </c>
      <c r="V4545" s="51" t="s">
        <v>2365</v>
      </c>
      <c r="W4545" s="51" t="s">
        <v>5118</v>
      </c>
      <c r="X4545" s="51" t="s">
        <v>2359</v>
      </c>
    </row>
    <row r="4546" customFormat="false" ht="14.25" hidden="true" customHeight="false" outlineLevel="0" collapsed="false">
      <c r="A4546" s="49" t="s">
        <v>2349</v>
      </c>
      <c r="B4546" s="49" t="s">
        <v>2350</v>
      </c>
      <c r="C4546" s="49" t="s">
        <v>8532</v>
      </c>
      <c r="D4546" s="49" t="s">
        <v>2352</v>
      </c>
      <c r="E4546" s="49" t="str">
        <f aca="false">"5942326400476"</f>
        <v>5942326400476</v>
      </c>
      <c r="F4546" s="49" t="s">
        <v>5167</v>
      </c>
      <c r="G4546" s="49" t="n">
        <v>0</v>
      </c>
      <c r="H4546" s="0" t="n">
        <v>0</v>
      </c>
      <c r="M4546" s="51" t="s">
        <v>8523</v>
      </c>
      <c r="N4546" s="49" t="n">
        <v>0</v>
      </c>
      <c r="O4546" s="53" t="n">
        <v>45868.4747337963</v>
      </c>
      <c r="P4546" s="53" t="n">
        <v>45974.9149537037</v>
      </c>
      <c r="Q4546" s="53" t="n">
        <v>45868.4747337963</v>
      </c>
      <c r="R4546" s="0" t="n">
        <v>0</v>
      </c>
      <c r="S4546" s="51" t="s">
        <v>2416</v>
      </c>
      <c r="T4546" s="51" t="s">
        <v>2416</v>
      </c>
      <c r="U4546" s="0" t="str">
        <f aca="false">"5942326400476"</f>
        <v>5942326400476</v>
      </c>
      <c r="V4546" s="51" t="s">
        <v>2365</v>
      </c>
      <c r="W4546" s="51" t="s">
        <v>8533</v>
      </c>
      <c r="X4546" s="51" t="s">
        <v>2359</v>
      </c>
    </row>
    <row r="4547" customFormat="false" ht="14.25" hidden="true" customHeight="false" outlineLevel="0" collapsed="false">
      <c r="A4547" s="49" t="s">
        <v>2349</v>
      </c>
      <c r="B4547" s="49" t="s">
        <v>2350</v>
      </c>
      <c r="C4547" s="49" t="s">
        <v>8534</v>
      </c>
      <c r="D4547" s="49" t="s">
        <v>2352</v>
      </c>
      <c r="E4547" s="49" t="str">
        <f aca="false">"5942326400476"</f>
        <v>5942326400476</v>
      </c>
      <c r="F4547" s="49" t="s">
        <v>5167</v>
      </c>
      <c r="G4547" s="49" t="n">
        <v>0</v>
      </c>
      <c r="H4547" s="0" t="n">
        <v>0</v>
      </c>
      <c r="M4547" s="51" t="s">
        <v>8523</v>
      </c>
      <c r="N4547" s="49" t="n">
        <v>0</v>
      </c>
      <c r="O4547" s="53" t="n">
        <v>45868.4691898148</v>
      </c>
      <c r="P4547" s="53" t="n">
        <v>46023.9685185185</v>
      </c>
      <c r="Q4547" s="53" t="n">
        <v>45868.4691898148</v>
      </c>
      <c r="R4547" s="0" t="n">
        <v>0</v>
      </c>
      <c r="S4547" s="51" t="s">
        <v>2416</v>
      </c>
      <c r="T4547" s="51" t="s">
        <v>2416</v>
      </c>
      <c r="U4547" s="0" t="str">
        <f aca="false">"5942326400476"</f>
        <v>5942326400476</v>
      </c>
      <c r="V4547" s="51" t="s">
        <v>2365</v>
      </c>
      <c r="W4547" s="51" t="s">
        <v>8535</v>
      </c>
      <c r="X4547" s="51" t="s">
        <v>2359</v>
      </c>
    </row>
    <row r="4548" customFormat="false" ht="14.25" hidden="true" customHeight="false" outlineLevel="0" collapsed="false">
      <c r="A4548" s="49" t="s">
        <v>2349</v>
      </c>
      <c r="B4548" s="49" t="s">
        <v>2350</v>
      </c>
      <c r="C4548" s="49" t="s">
        <v>8536</v>
      </c>
      <c r="D4548" s="49" t="s">
        <v>2352</v>
      </c>
      <c r="E4548" s="49" t="str">
        <f aca="false">"5942326400483"</f>
        <v>5942326400483</v>
      </c>
      <c r="F4548" s="49" t="s">
        <v>3651</v>
      </c>
      <c r="G4548" s="49" t="n">
        <v>0</v>
      </c>
      <c r="H4548" s="0" t="n">
        <v>0</v>
      </c>
      <c r="M4548" s="51" t="s">
        <v>8523</v>
      </c>
      <c r="N4548" s="49" t="n">
        <v>0</v>
      </c>
      <c r="O4548" s="53" t="n">
        <v>45868.4772916667</v>
      </c>
      <c r="P4548" s="53" t="n">
        <v>46000.1543402778</v>
      </c>
      <c r="Q4548" s="53" t="n">
        <v>45868.4772916667</v>
      </c>
      <c r="R4548" s="0" t="n">
        <v>0</v>
      </c>
      <c r="S4548" s="51" t="s">
        <v>2416</v>
      </c>
      <c r="T4548" s="51" t="s">
        <v>2416</v>
      </c>
      <c r="U4548" s="0" t="str">
        <f aca="false">"5942326400483"</f>
        <v>5942326400483</v>
      </c>
      <c r="V4548" s="51" t="s">
        <v>2365</v>
      </c>
      <c r="W4548" s="51" t="s">
        <v>4034</v>
      </c>
      <c r="X4548" s="51" t="s">
        <v>2359</v>
      </c>
    </row>
    <row r="4549" customFormat="false" ht="14.25" hidden="true" customHeight="false" outlineLevel="0" collapsed="false">
      <c r="A4549" s="49" t="s">
        <v>2349</v>
      </c>
      <c r="B4549" s="49" t="s">
        <v>2350</v>
      </c>
      <c r="C4549" s="49" t="s">
        <v>8537</v>
      </c>
      <c r="D4549" s="49" t="s">
        <v>2352</v>
      </c>
      <c r="E4549" s="49" t="str">
        <f aca="false">"5942326400476"</f>
        <v>5942326400476</v>
      </c>
      <c r="F4549" s="49" t="s">
        <v>5167</v>
      </c>
      <c r="G4549" s="49" t="n">
        <v>0</v>
      </c>
      <c r="H4549" s="0" t="n">
        <v>0</v>
      </c>
      <c r="M4549" s="51" t="s">
        <v>8523</v>
      </c>
      <c r="N4549" s="49" t="n">
        <v>0</v>
      </c>
      <c r="O4549" s="53" t="n">
        <v>45868.4699074074</v>
      </c>
      <c r="P4549" s="53" t="n">
        <v>45995.8293518519</v>
      </c>
      <c r="Q4549" s="53" t="n">
        <v>45868.4699074074</v>
      </c>
      <c r="R4549" s="0" t="n">
        <v>0</v>
      </c>
      <c r="S4549" s="51" t="s">
        <v>2416</v>
      </c>
      <c r="T4549" s="51" t="s">
        <v>2416</v>
      </c>
      <c r="U4549" s="0" t="str">
        <f aca="false">"5942326400476"</f>
        <v>5942326400476</v>
      </c>
      <c r="V4549" s="51" t="s">
        <v>2365</v>
      </c>
      <c r="W4549" s="51" t="s">
        <v>8538</v>
      </c>
      <c r="X4549" s="51" t="s">
        <v>2359</v>
      </c>
    </row>
    <row r="4550" customFormat="false" ht="14.25" hidden="true" customHeight="false" outlineLevel="0" collapsed="false">
      <c r="A4550" s="49" t="s">
        <v>2349</v>
      </c>
      <c r="B4550" s="49" t="s">
        <v>2350</v>
      </c>
      <c r="C4550" s="49" t="s">
        <v>8539</v>
      </c>
      <c r="D4550" s="49" t="s">
        <v>2352</v>
      </c>
      <c r="E4550" s="49" t="str">
        <f aca="false">"5942326400483"</f>
        <v>5942326400483</v>
      </c>
      <c r="F4550" s="49" t="s">
        <v>3651</v>
      </c>
      <c r="G4550" s="49" t="n">
        <v>0</v>
      </c>
      <c r="H4550" s="0" t="n">
        <v>0</v>
      </c>
      <c r="M4550" s="51" t="s">
        <v>8523</v>
      </c>
      <c r="N4550" s="49" t="n">
        <v>0</v>
      </c>
      <c r="O4550" s="53" t="n">
        <v>45868.4773958333</v>
      </c>
      <c r="P4550" s="53" t="n">
        <v>45988.5086111111</v>
      </c>
      <c r="Q4550" s="53" t="n">
        <v>45868.4773958333</v>
      </c>
      <c r="R4550" s="0" t="n">
        <v>0</v>
      </c>
      <c r="S4550" s="51" t="s">
        <v>2416</v>
      </c>
      <c r="T4550" s="51" t="s">
        <v>2416</v>
      </c>
      <c r="U4550" s="0" t="str">
        <f aca="false">"5942326400483"</f>
        <v>5942326400483</v>
      </c>
      <c r="V4550" s="51" t="s">
        <v>2365</v>
      </c>
      <c r="W4550" s="51" t="s">
        <v>8540</v>
      </c>
      <c r="X4550" s="51" t="s">
        <v>2359</v>
      </c>
    </row>
    <row r="4551" customFormat="false" ht="14.25" hidden="true" customHeight="false" outlineLevel="0" collapsed="false">
      <c r="A4551" s="49" t="s">
        <v>2349</v>
      </c>
      <c r="B4551" s="49" t="s">
        <v>2350</v>
      </c>
      <c r="C4551" s="49" t="s">
        <v>8541</v>
      </c>
      <c r="D4551" s="49" t="s">
        <v>2352</v>
      </c>
      <c r="E4551" s="49" t="str">
        <f aca="false">"5942326400476"</f>
        <v>5942326400476</v>
      </c>
      <c r="F4551" s="49" t="s">
        <v>5167</v>
      </c>
      <c r="G4551" s="49" t="n">
        <v>0</v>
      </c>
      <c r="H4551" s="0" t="n">
        <v>0</v>
      </c>
      <c r="M4551" s="51" t="s">
        <v>8523</v>
      </c>
      <c r="N4551" s="49" t="n">
        <v>0</v>
      </c>
      <c r="O4551" s="53" t="n">
        <v>45868.4705902778</v>
      </c>
      <c r="P4551" s="53" t="n">
        <v>46000.1770138889</v>
      </c>
      <c r="Q4551" s="53" t="n">
        <v>45868.4705902778</v>
      </c>
      <c r="R4551" s="0" t="n">
        <v>0</v>
      </c>
      <c r="S4551" s="51" t="s">
        <v>2416</v>
      </c>
      <c r="T4551" s="51" t="s">
        <v>2416</v>
      </c>
      <c r="U4551" s="0" t="str">
        <f aca="false">"5942326400476"</f>
        <v>5942326400476</v>
      </c>
      <c r="V4551" s="51" t="s">
        <v>2365</v>
      </c>
      <c r="W4551" s="51" t="s">
        <v>8533</v>
      </c>
      <c r="X4551" s="51" t="s">
        <v>2359</v>
      </c>
    </row>
    <row r="4552" customFormat="false" ht="14.25" hidden="true" customHeight="false" outlineLevel="0" collapsed="false">
      <c r="A4552" s="49" t="s">
        <v>2349</v>
      </c>
      <c r="B4552" s="49" t="s">
        <v>2350</v>
      </c>
      <c r="C4552" s="49" t="s">
        <v>8542</v>
      </c>
      <c r="D4552" s="49" t="s">
        <v>2352</v>
      </c>
      <c r="E4552" s="49" t="str">
        <f aca="false">"5942326400483"</f>
        <v>5942326400483</v>
      </c>
      <c r="F4552" s="49" t="s">
        <v>3651</v>
      </c>
      <c r="G4552" s="49" t="n">
        <v>0</v>
      </c>
      <c r="H4552" s="0" t="n">
        <v>0</v>
      </c>
      <c r="M4552" s="51" t="s">
        <v>8523</v>
      </c>
      <c r="N4552" s="49" t="n">
        <v>0</v>
      </c>
      <c r="O4552" s="53" t="n">
        <v>45868.4775</v>
      </c>
      <c r="P4552" s="53" t="n">
        <v>46013.8938194444</v>
      </c>
      <c r="Q4552" s="53" t="n">
        <v>45868.4775</v>
      </c>
      <c r="R4552" s="0" t="n">
        <v>0</v>
      </c>
      <c r="S4552" s="51" t="s">
        <v>2416</v>
      </c>
      <c r="T4552" s="51" t="s">
        <v>2416</v>
      </c>
      <c r="U4552" s="0" t="str">
        <f aca="false">"5942326400483"</f>
        <v>5942326400483</v>
      </c>
      <c r="V4552" s="51" t="s">
        <v>2365</v>
      </c>
      <c r="W4552" s="51" t="s">
        <v>4625</v>
      </c>
      <c r="X4552" s="51" t="s">
        <v>2359</v>
      </c>
    </row>
    <row r="4553" customFormat="false" ht="14.25" hidden="true" customHeight="false" outlineLevel="0" collapsed="false">
      <c r="A4553" s="49" t="s">
        <v>2349</v>
      </c>
      <c r="B4553" s="49" t="s">
        <v>2350</v>
      </c>
      <c r="C4553" s="49" t="s">
        <v>8543</v>
      </c>
      <c r="D4553" s="49" t="s">
        <v>2352</v>
      </c>
      <c r="E4553" s="49" t="str">
        <f aca="false">"5942326400476"</f>
        <v>5942326400476</v>
      </c>
      <c r="F4553" s="49" t="s">
        <v>5167</v>
      </c>
      <c r="G4553" s="49" t="n">
        <v>0</v>
      </c>
      <c r="H4553" s="0" t="n">
        <v>0</v>
      </c>
      <c r="M4553" s="51" t="s">
        <v>8523</v>
      </c>
      <c r="N4553" s="49" t="n">
        <v>0</v>
      </c>
      <c r="O4553" s="53" t="n">
        <v>45868.4708564815</v>
      </c>
      <c r="P4553" s="53" t="n">
        <v>45995.8274884259</v>
      </c>
      <c r="Q4553" s="53" t="n">
        <v>45868.4708564815</v>
      </c>
      <c r="R4553" s="0" t="n">
        <v>0</v>
      </c>
      <c r="S4553" s="51" t="s">
        <v>2416</v>
      </c>
      <c r="T4553" s="51" t="s">
        <v>2416</v>
      </c>
      <c r="U4553" s="0" t="str">
        <f aca="false">"5942326400476"</f>
        <v>5942326400476</v>
      </c>
      <c r="V4553" s="51" t="s">
        <v>2365</v>
      </c>
      <c r="W4553" s="51" t="s">
        <v>8544</v>
      </c>
      <c r="X4553" s="51" t="s">
        <v>2359</v>
      </c>
    </row>
    <row r="4554" customFormat="false" ht="14.25" hidden="true" customHeight="false" outlineLevel="0" collapsed="false">
      <c r="A4554" s="49" t="s">
        <v>2349</v>
      </c>
      <c r="B4554" s="49" t="s">
        <v>2350</v>
      </c>
      <c r="C4554" s="49" t="s">
        <v>8545</v>
      </c>
      <c r="D4554" s="49" t="s">
        <v>2352</v>
      </c>
      <c r="E4554" s="49" t="str">
        <f aca="false">"5942326400483"</f>
        <v>5942326400483</v>
      </c>
      <c r="F4554" s="49" t="s">
        <v>3651</v>
      </c>
      <c r="G4554" s="49" t="n">
        <v>0</v>
      </c>
      <c r="H4554" s="0" t="n">
        <v>0</v>
      </c>
      <c r="M4554" s="51" t="s">
        <v>8523</v>
      </c>
      <c r="N4554" s="49" t="n">
        <v>0</v>
      </c>
      <c r="O4554" s="53" t="n">
        <v>45868.4775925926</v>
      </c>
      <c r="P4554" s="53" t="n">
        <v>45974.9199074074</v>
      </c>
      <c r="Q4554" s="53" t="n">
        <v>45868.4775925926</v>
      </c>
      <c r="R4554" s="0" t="n">
        <v>0</v>
      </c>
      <c r="S4554" s="51" t="s">
        <v>2416</v>
      </c>
      <c r="T4554" s="51" t="s">
        <v>2416</v>
      </c>
      <c r="U4554" s="0" t="str">
        <f aca="false">"5942326400483"</f>
        <v>5942326400483</v>
      </c>
      <c r="V4554" s="51" t="s">
        <v>2365</v>
      </c>
      <c r="W4554" s="51" t="s">
        <v>8546</v>
      </c>
      <c r="X4554" s="51" t="s">
        <v>2359</v>
      </c>
    </row>
    <row r="4555" customFormat="false" ht="14.25" hidden="true" customHeight="false" outlineLevel="0" collapsed="false">
      <c r="A4555" s="49" t="s">
        <v>2349</v>
      </c>
      <c r="B4555" s="49" t="s">
        <v>2350</v>
      </c>
      <c r="C4555" s="49" t="s">
        <v>8547</v>
      </c>
      <c r="D4555" s="49" t="s">
        <v>2352</v>
      </c>
      <c r="E4555" s="49" t="str">
        <f aca="false">"5942326400483"</f>
        <v>5942326400483</v>
      </c>
      <c r="F4555" s="49" t="s">
        <v>3651</v>
      </c>
      <c r="G4555" s="49" t="n">
        <v>0</v>
      </c>
      <c r="H4555" s="0" t="n">
        <v>0</v>
      </c>
      <c r="M4555" s="51" t="s">
        <v>8523</v>
      </c>
      <c r="N4555" s="49" t="n">
        <v>0</v>
      </c>
      <c r="O4555" s="53" t="n">
        <v>45868.4781481482</v>
      </c>
      <c r="P4555" s="53" t="n">
        <v>45995.8156944444</v>
      </c>
      <c r="Q4555" s="53" t="n">
        <v>45868.4781481482</v>
      </c>
      <c r="R4555" s="0" t="n">
        <v>0</v>
      </c>
      <c r="S4555" s="51" t="s">
        <v>2416</v>
      </c>
      <c r="T4555" s="51" t="s">
        <v>2416</v>
      </c>
      <c r="U4555" s="0" t="str">
        <f aca="false">"5942326400483"</f>
        <v>5942326400483</v>
      </c>
      <c r="V4555" s="51" t="s">
        <v>2365</v>
      </c>
      <c r="W4555" s="51" t="s">
        <v>8548</v>
      </c>
      <c r="X4555" s="51" t="s">
        <v>2359</v>
      </c>
    </row>
    <row r="4556" customFormat="false" ht="14.25" hidden="true" customHeight="false" outlineLevel="0" collapsed="false">
      <c r="A4556" s="49" t="s">
        <v>2349</v>
      </c>
      <c r="B4556" s="49" t="s">
        <v>2350</v>
      </c>
      <c r="C4556" s="49" t="s">
        <v>8549</v>
      </c>
      <c r="D4556" s="49" t="s">
        <v>2352</v>
      </c>
      <c r="E4556" s="49" t="str">
        <f aca="false">"5942326400483"</f>
        <v>5942326400483</v>
      </c>
      <c r="F4556" s="49" t="s">
        <v>3651</v>
      </c>
      <c r="G4556" s="49" t="n">
        <v>0</v>
      </c>
      <c r="H4556" s="0" t="n">
        <v>0</v>
      </c>
      <c r="M4556" s="51" t="s">
        <v>8523</v>
      </c>
      <c r="N4556" s="49" t="n">
        <v>0</v>
      </c>
      <c r="O4556" s="53" t="n">
        <v>45868.4776851852</v>
      </c>
      <c r="P4556" s="53" t="n">
        <v>45995.8167361111</v>
      </c>
      <c r="Q4556" s="53" t="n">
        <v>45868.4776851852</v>
      </c>
      <c r="R4556" s="0" t="n">
        <v>0</v>
      </c>
      <c r="S4556" s="51" t="s">
        <v>2416</v>
      </c>
      <c r="T4556" s="51" t="s">
        <v>2416</v>
      </c>
      <c r="U4556" s="0" t="str">
        <f aca="false">"5942326400483"</f>
        <v>5942326400483</v>
      </c>
      <c r="V4556" s="51" t="s">
        <v>2365</v>
      </c>
      <c r="W4556" s="51" t="s">
        <v>8550</v>
      </c>
      <c r="X4556" s="51" t="s">
        <v>2359</v>
      </c>
    </row>
    <row r="4557" customFormat="false" ht="14.25" hidden="true" customHeight="false" outlineLevel="0" collapsed="false">
      <c r="A4557" s="49" t="s">
        <v>2349</v>
      </c>
      <c r="B4557" s="49" t="s">
        <v>2350</v>
      </c>
      <c r="C4557" s="49" t="s">
        <v>8551</v>
      </c>
      <c r="D4557" s="49" t="s">
        <v>2352</v>
      </c>
      <c r="E4557" s="49" t="str">
        <f aca="false">"5942326400483"</f>
        <v>5942326400483</v>
      </c>
      <c r="F4557" s="49" t="s">
        <v>3651</v>
      </c>
      <c r="G4557" s="49" t="n">
        <v>0</v>
      </c>
      <c r="H4557" s="0" t="n">
        <v>0</v>
      </c>
      <c r="M4557" s="51" t="s">
        <v>8523</v>
      </c>
      <c r="N4557" s="49" t="n">
        <v>0</v>
      </c>
      <c r="O4557" s="53" t="n">
        <v>45868.4780324074</v>
      </c>
      <c r="P4557" s="53" t="n">
        <v>45988.5110648148</v>
      </c>
      <c r="Q4557" s="53" t="n">
        <v>45868.4780324074</v>
      </c>
      <c r="R4557" s="0" t="n">
        <v>0</v>
      </c>
      <c r="S4557" s="51" t="s">
        <v>2416</v>
      </c>
      <c r="T4557" s="51" t="s">
        <v>2416</v>
      </c>
      <c r="U4557" s="0" t="str">
        <f aca="false">"5942326400483"</f>
        <v>5942326400483</v>
      </c>
      <c r="V4557" s="51" t="s">
        <v>2365</v>
      </c>
      <c r="W4557" s="51" t="s">
        <v>8552</v>
      </c>
      <c r="X4557" s="51" t="s">
        <v>2359</v>
      </c>
    </row>
    <row r="4558" customFormat="false" ht="14.25" hidden="true" customHeight="false" outlineLevel="0" collapsed="false">
      <c r="A4558" s="49" t="s">
        <v>2349</v>
      </c>
      <c r="B4558" s="49" t="s">
        <v>2350</v>
      </c>
      <c r="C4558" s="49" t="s">
        <v>8553</v>
      </c>
      <c r="D4558" s="49" t="s">
        <v>2352</v>
      </c>
      <c r="E4558" s="49" t="str">
        <f aca="false">"5942326400483"</f>
        <v>5942326400483</v>
      </c>
      <c r="F4558" s="49" t="s">
        <v>3651</v>
      </c>
      <c r="G4558" s="49" t="n">
        <v>0</v>
      </c>
      <c r="H4558" s="0" t="n">
        <v>0</v>
      </c>
      <c r="M4558" s="51" t="s">
        <v>8523</v>
      </c>
      <c r="N4558" s="49" t="n">
        <v>0</v>
      </c>
      <c r="O4558" s="53" t="n">
        <v>45868.4777777778</v>
      </c>
      <c r="P4558" s="53" t="n">
        <v>45974.9225578704</v>
      </c>
      <c r="Q4558" s="53" t="n">
        <v>45868.4777777778</v>
      </c>
      <c r="R4558" s="0" t="n">
        <v>0</v>
      </c>
      <c r="S4558" s="51" t="s">
        <v>2416</v>
      </c>
      <c r="T4558" s="51" t="s">
        <v>2416</v>
      </c>
      <c r="U4558" s="0" t="str">
        <f aca="false">"5942326400483"</f>
        <v>5942326400483</v>
      </c>
      <c r="V4558" s="51" t="s">
        <v>2365</v>
      </c>
      <c r="W4558" s="51" t="s">
        <v>8554</v>
      </c>
      <c r="X4558" s="51" t="s">
        <v>2359</v>
      </c>
    </row>
    <row r="4559" customFormat="false" ht="14.25" hidden="true" customHeight="false" outlineLevel="0" collapsed="false">
      <c r="A4559" s="49" t="s">
        <v>2349</v>
      </c>
      <c r="B4559" s="49" t="s">
        <v>2350</v>
      </c>
      <c r="C4559" s="49" t="s">
        <v>8555</v>
      </c>
      <c r="D4559" s="49" t="s">
        <v>2352</v>
      </c>
      <c r="E4559" s="49" t="str">
        <f aca="false">"5942326400483"</f>
        <v>5942326400483</v>
      </c>
      <c r="F4559" s="49" t="s">
        <v>3651</v>
      </c>
      <c r="G4559" s="49" t="n">
        <v>0</v>
      </c>
      <c r="H4559" s="0" t="n">
        <v>0</v>
      </c>
      <c r="M4559" s="51" t="s">
        <v>8523</v>
      </c>
      <c r="N4559" s="49" t="n">
        <v>0</v>
      </c>
      <c r="O4559" s="53" t="n">
        <v>45868.4779282407</v>
      </c>
      <c r="P4559" s="53" t="n">
        <v>45974.9470833333</v>
      </c>
      <c r="Q4559" s="53" t="n">
        <v>45868.4779282407</v>
      </c>
      <c r="R4559" s="0" t="n">
        <v>0</v>
      </c>
      <c r="S4559" s="51" t="s">
        <v>2416</v>
      </c>
      <c r="T4559" s="51" t="s">
        <v>2416</v>
      </c>
      <c r="U4559" s="0" t="str">
        <f aca="false">"5942326400483"</f>
        <v>5942326400483</v>
      </c>
      <c r="V4559" s="51" t="s">
        <v>2365</v>
      </c>
      <c r="W4559" s="51" t="s">
        <v>8556</v>
      </c>
      <c r="X4559" s="51" t="s">
        <v>2359</v>
      </c>
    </row>
    <row r="4560" customFormat="false" ht="14.25" hidden="true" customHeight="false" outlineLevel="0" collapsed="false">
      <c r="A4560" s="49" t="s">
        <v>2349</v>
      </c>
      <c r="B4560" s="49" t="s">
        <v>2350</v>
      </c>
      <c r="C4560" s="49" t="s">
        <v>8557</v>
      </c>
      <c r="D4560" s="49" t="s">
        <v>2352</v>
      </c>
      <c r="E4560" s="49" t="str">
        <f aca="false">"5942326400483"</f>
        <v>5942326400483</v>
      </c>
      <c r="F4560" s="49" t="s">
        <v>3651</v>
      </c>
      <c r="G4560" s="49" t="n">
        <v>0</v>
      </c>
      <c r="H4560" s="0" t="n">
        <v>0</v>
      </c>
      <c r="M4560" s="51" t="s">
        <v>8523</v>
      </c>
      <c r="N4560" s="49" t="n">
        <v>0</v>
      </c>
      <c r="O4560" s="53" t="n">
        <v>45868.4778472222</v>
      </c>
      <c r="P4560" s="53" t="n">
        <v>45974.9212962963</v>
      </c>
      <c r="Q4560" s="53" t="n">
        <v>45868.4778472222</v>
      </c>
      <c r="R4560" s="0" t="n">
        <v>0</v>
      </c>
      <c r="S4560" s="51" t="s">
        <v>2416</v>
      </c>
      <c r="T4560" s="51" t="s">
        <v>2416</v>
      </c>
      <c r="U4560" s="0" t="str">
        <f aca="false">"5942326400483"</f>
        <v>5942326400483</v>
      </c>
      <c r="V4560" s="51" t="s">
        <v>2365</v>
      </c>
      <c r="W4560" s="51" t="s">
        <v>8558</v>
      </c>
      <c r="X4560" s="51" t="s">
        <v>2359</v>
      </c>
    </row>
    <row r="4561" customFormat="false" ht="14.25" hidden="true" customHeight="false" outlineLevel="0" collapsed="false">
      <c r="A4561" s="49" t="s">
        <v>2349</v>
      </c>
      <c r="B4561" s="49" t="s">
        <v>2350</v>
      </c>
      <c r="C4561" s="49" t="s">
        <v>8559</v>
      </c>
      <c r="D4561" s="49" t="s">
        <v>2352</v>
      </c>
      <c r="E4561" s="49" t="s">
        <v>4148</v>
      </c>
      <c r="F4561" s="49" t="s">
        <v>4149</v>
      </c>
      <c r="G4561" s="49" t="n">
        <v>0</v>
      </c>
      <c r="H4561" s="0" t="n">
        <v>0</v>
      </c>
      <c r="M4561" s="51" t="s">
        <v>8560</v>
      </c>
      <c r="N4561" s="49" t="n">
        <v>0</v>
      </c>
      <c r="O4561" s="53" t="n">
        <v>45859.4458101852</v>
      </c>
      <c r="P4561" s="53" t="n">
        <v>45885.733587963</v>
      </c>
      <c r="Q4561" s="53" t="n">
        <v>45859.4458101852</v>
      </c>
      <c r="R4561" s="0" t="n">
        <v>0</v>
      </c>
      <c r="S4561" s="51" t="s">
        <v>2356</v>
      </c>
      <c r="T4561" s="51" t="s">
        <v>2356</v>
      </c>
      <c r="U4561" s="51" t="s">
        <v>4148</v>
      </c>
      <c r="V4561" s="51" t="s">
        <v>2365</v>
      </c>
      <c r="W4561" s="51" t="s">
        <v>4361</v>
      </c>
      <c r="X4561" s="51" t="s">
        <v>2359</v>
      </c>
    </row>
    <row r="4562" customFormat="false" ht="14.25" hidden="true" customHeight="false" outlineLevel="0" collapsed="false">
      <c r="A4562" s="49" t="s">
        <v>2349</v>
      </c>
      <c r="B4562" s="49" t="s">
        <v>2350</v>
      </c>
      <c r="C4562" s="49" t="s">
        <v>8561</v>
      </c>
      <c r="D4562" s="49" t="s">
        <v>2352</v>
      </c>
      <c r="E4562" s="49" t="str">
        <f aca="false">"5060458890191"</f>
        <v>5060458890191</v>
      </c>
      <c r="F4562" s="49" t="s">
        <v>3656</v>
      </c>
      <c r="G4562" s="49" t="n">
        <v>0</v>
      </c>
      <c r="H4562" s="0" t="n">
        <v>0</v>
      </c>
      <c r="M4562" s="51" t="s">
        <v>8562</v>
      </c>
      <c r="N4562" s="49" t="n">
        <v>0</v>
      </c>
      <c r="O4562" s="53" t="n">
        <v>45886.616712963</v>
      </c>
      <c r="P4562" s="53" t="n">
        <v>45886.8098842593</v>
      </c>
      <c r="Q4562" s="53" t="n">
        <v>45886.616712963</v>
      </c>
      <c r="R4562" s="0" t="n">
        <v>0</v>
      </c>
      <c r="S4562" s="51" t="s">
        <v>2416</v>
      </c>
      <c r="T4562" s="51" t="s">
        <v>2416</v>
      </c>
      <c r="U4562" s="0" t="str">
        <f aca="false">"5060458890191"</f>
        <v>5060458890191</v>
      </c>
      <c r="V4562" s="51" t="s">
        <v>2142</v>
      </c>
      <c r="W4562" s="51" t="s">
        <v>6281</v>
      </c>
      <c r="X4562" s="51" t="s">
        <v>2359</v>
      </c>
    </row>
    <row r="4563" customFormat="false" ht="14.25" hidden="true" customHeight="false" outlineLevel="0" collapsed="false">
      <c r="A4563" s="49" t="s">
        <v>2349</v>
      </c>
      <c r="B4563" s="49" t="s">
        <v>2350</v>
      </c>
      <c r="C4563" s="49" t="s">
        <v>8563</v>
      </c>
      <c r="D4563" s="49" t="s">
        <v>2352</v>
      </c>
      <c r="E4563" s="49" t="str">
        <f aca="false">"5060458890191"</f>
        <v>5060458890191</v>
      </c>
      <c r="F4563" s="49" t="s">
        <v>3656</v>
      </c>
      <c r="G4563" s="49" t="n">
        <v>0</v>
      </c>
      <c r="H4563" s="0" t="n">
        <v>0</v>
      </c>
      <c r="M4563" s="51" t="s">
        <v>8562</v>
      </c>
      <c r="N4563" s="49" t="n">
        <v>0</v>
      </c>
      <c r="O4563" s="53" t="n">
        <v>45886.6169097222</v>
      </c>
      <c r="P4563" s="53" t="n">
        <v>45886.8100231482</v>
      </c>
      <c r="Q4563" s="53" t="n">
        <v>45886.6169097222</v>
      </c>
      <c r="R4563" s="0" t="n">
        <v>0</v>
      </c>
      <c r="S4563" s="51" t="s">
        <v>2416</v>
      </c>
      <c r="T4563" s="51" t="s">
        <v>2416</v>
      </c>
      <c r="U4563" s="0" t="str">
        <f aca="false">"5060458890191"</f>
        <v>5060458890191</v>
      </c>
      <c r="V4563" s="51" t="s">
        <v>2142</v>
      </c>
      <c r="W4563" s="51" t="s">
        <v>8564</v>
      </c>
      <c r="X4563" s="51" t="s">
        <v>2359</v>
      </c>
    </row>
    <row r="4564" customFormat="false" ht="14.25" hidden="true" customHeight="false" outlineLevel="0" collapsed="false">
      <c r="A4564" s="49" t="s">
        <v>2349</v>
      </c>
      <c r="B4564" s="49" t="s">
        <v>2350</v>
      </c>
      <c r="C4564" s="49" t="s">
        <v>8565</v>
      </c>
      <c r="D4564" s="49" t="s">
        <v>2352</v>
      </c>
      <c r="E4564" s="49" t="str">
        <f aca="false">"5060458890191"</f>
        <v>5060458890191</v>
      </c>
      <c r="F4564" s="49" t="s">
        <v>3656</v>
      </c>
      <c r="G4564" s="49" t="n">
        <v>0</v>
      </c>
      <c r="H4564" s="0" t="n">
        <v>0</v>
      </c>
      <c r="M4564" s="51" t="s">
        <v>8562</v>
      </c>
      <c r="N4564" s="49" t="n">
        <v>0</v>
      </c>
      <c r="O4564" s="53" t="n">
        <v>45886.617037037</v>
      </c>
      <c r="P4564" s="53" t="n">
        <v>45886.8148148148</v>
      </c>
      <c r="Q4564" s="53" t="n">
        <v>45886.617037037</v>
      </c>
      <c r="R4564" s="0" t="n">
        <v>0</v>
      </c>
      <c r="S4564" s="51" t="s">
        <v>2416</v>
      </c>
      <c r="T4564" s="51" t="s">
        <v>2416</v>
      </c>
      <c r="U4564" s="0" t="str">
        <f aca="false">"5060458890191"</f>
        <v>5060458890191</v>
      </c>
      <c r="V4564" s="51" t="s">
        <v>2142</v>
      </c>
      <c r="W4564" s="51" t="s">
        <v>8566</v>
      </c>
      <c r="X4564" s="51" t="s">
        <v>2359</v>
      </c>
    </row>
    <row r="4565" customFormat="false" ht="14.25" hidden="true" customHeight="false" outlineLevel="0" collapsed="false">
      <c r="A4565" s="49" t="s">
        <v>2349</v>
      </c>
      <c r="B4565" s="49" t="s">
        <v>2350</v>
      </c>
      <c r="C4565" s="49" t="s">
        <v>8567</v>
      </c>
      <c r="D4565" s="49" t="s">
        <v>2352</v>
      </c>
      <c r="E4565" s="49" t="str">
        <f aca="false">"5060458890191"</f>
        <v>5060458890191</v>
      </c>
      <c r="F4565" s="49" t="s">
        <v>3656</v>
      </c>
      <c r="G4565" s="49" t="n">
        <v>0</v>
      </c>
      <c r="H4565" s="0" t="n">
        <v>0</v>
      </c>
      <c r="M4565" s="51" t="s">
        <v>8562</v>
      </c>
      <c r="N4565" s="49" t="n">
        <v>0</v>
      </c>
      <c r="O4565" s="53" t="n">
        <v>45886.6171875</v>
      </c>
      <c r="P4565" s="53" t="n">
        <v>45886.8073842593</v>
      </c>
      <c r="Q4565" s="53" t="n">
        <v>45886.6171875</v>
      </c>
      <c r="R4565" s="0" t="n">
        <v>0</v>
      </c>
      <c r="S4565" s="51" t="s">
        <v>2416</v>
      </c>
      <c r="T4565" s="51" t="s">
        <v>2416</v>
      </c>
      <c r="U4565" s="0" t="str">
        <f aca="false">"5060458890191"</f>
        <v>5060458890191</v>
      </c>
      <c r="V4565" s="51" t="s">
        <v>2142</v>
      </c>
      <c r="W4565" s="51" t="s">
        <v>8199</v>
      </c>
      <c r="X4565" s="51" t="s">
        <v>2359</v>
      </c>
    </row>
    <row r="4566" customFormat="false" ht="14.25" hidden="true" customHeight="false" outlineLevel="0" collapsed="false">
      <c r="A4566" s="49" t="s">
        <v>2349</v>
      </c>
      <c r="B4566" s="49" t="s">
        <v>2350</v>
      </c>
      <c r="C4566" s="49" t="s">
        <v>8568</v>
      </c>
      <c r="D4566" s="49" t="s">
        <v>2352</v>
      </c>
      <c r="E4566" s="49" t="str">
        <f aca="false">"5060458890191"</f>
        <v>5060458890191</v>
      </c>
      <c r="F4566" s="49" t="s">
        <v>3656</v>
      </c>
      <c r="G4566" s="49" t="n">
        <v>0</v>
      </c>
      <c r="H4566" s="0" t="n">
        <v>0</v>
      </c>
      <c r="M4566" s="51" t="s">
        <v>8562</v>
      </c>
      <c r="N4566" s="49" t="n">
        <v>0</v>
      </c>
      <c r="O4566" s="53" t="n">
        <v>45886.6172916667</v>
      </c>
      <c r="P4566" s="53" t="n">
        <v>45886.8136574074</v>
      </c>
      <c r="Q4566" s="53" t="n">
        <v>45886.6172916667</v>
      </c>
      <c r="R4566" s="0" t="n">
        <v>0</v>
      </c>
      <c r="S4566" s="51" t="s">
        <v>2416</v>
      </c>
      <c r="T4566" s="51" t="s">
        <v>2416</v>
      </c>
      <c r="U4566" s="0" t="str">
        <f aca="false">"5060458890191"</f>
        <v>5060458890191</v>
      </c>
      <c r="V4566" s="51" t="s">
        <v>2142</v>
      </c>
      <c r="W4566" s="51" t="s">
        <v>8199</v>
      </c>
      <c r="X4566" s="51" t="s">
        <v>2359</v>
      </c>
    </row>
    <row r="4567" customFormat="false" ht="14.25" hidden="true" customHeight="false" outlineLevel="0" collapsed="false">
      <c r="A4567" s="49" t="s">
        <v>2349</v>
      </c>
      <c r="B4567" s="49" t="s">
        <v>2350</v>
      </c>
      <c r="C4567" s="49" t="s">
        <v>8569</v>
      </c>
      <c r="D4567" s="49" t="s">
        <v>2352</v>
      </c>
      <c r="E4567" s="49" t="str">
        <f aca="false">"5060458890191"</f>
        <v>5060458890191</v>
      </c>
      <c r="F4567" s="49" t="s">
        <v>3656</v>
      </c>
      <c r="G4567" s="49" t="n">
        <v>0</v>
      </c>
      <c r="H4567" s="0" t="n">
        <v>0</v>
      </c>
      <c r="M4567" s="51" t="s">
        <v>8562</v>
      </c>
      <c r="N4567" s="49" t="n">
        <v>0</v>
      </c>
      <c r="O4567" s="53" t="n">
        <v>45886.6173958333</v>
      </c>
      <c r="P4567" s="53" t="n">
        <v>45886.8135648148</v>
      </c>
      <c r="Q4567" s="53" t="n">
        <v>45886.6173958333</v>
      </c>
      <c r="R4567" s="0" t="n">
        <v>0</v>
      </c>
      <c r="S4567" s="51" t="s">
        <v>2416</v>
      </c>
      <c r="T4567" s="51" t="s">
        <v>2416</v>
      </c>
      <c r="U4567" s="0" t="str">
        <f aca="false">"5060458890191"</f>
        <v>5060458890191</v>
      </c>
      <c r="V4567" s="51" t="s">
        <v>2142</v>
      </c>
      <c r="W4567" s="51" t="s">
        <v>8199</v>
      </c>
      <c r="X4567" s="51" t="s">
        <v>2359</v>
      </c>
    </row>
    <row r="4568" customFormat="false" ht="14.25" hidden="true" customHeight="false" outlineLevel="0" collapsed="false">
      <c r="A4568" s="49" t="s">
        <v>2349</v>
      </c>
      <c r="B4568" s="49" t="s">
        <v>2350</v>
      </c>
      <c r="C4568" s="49" t="s">
        <v>8570</v>
      </c>
      <c r="D4568" s="49" t="s">
        <v>2352</v>
      </c>
      <c r="E4568" s="49" t="str">
        <f aca="false">"5060458890191"</f>
        <v>5060458890191</v>
      </c>
      <c r="F4568" s="49" t="s">
        <v>3656</v>
      </c>
      <c r="G4568" s="49" t="n">
        <v>0</v>
      </c>
      <c r="H4568" s="0" t="n">
        <v>0</v>
      </c>
      <c r="M4568" s="51" t="s">
        <v>8562</v>
      </c>
      <c r="N4568" s="49" t="n">
        <v>0</v>
      </c>
      <c r="O4568" s="53" t="n">
        <v>45886.6175115741</v>
      </c>
      <c r="P4568" s="53" t="n">
        <v>45886.8134606482</v>
      </c>
      <c r="Q4568" s="53" t="n">
        <v>45886.6175115741</v>
      </c>
      <c r="R4568" s="0" t="n">
        <v>0</v>
      </c>
      <c r="S4568" s="51" t="s">
        <v>2416</v>
      </c>
      <c r="T4568" s="51" t="s">
        <v>2416</v>
      </c>
      <c r="U4568" s="0" t="str">
        <f aca="false">"5060458890191"</f>
        <v>5060458890191</v>
      </c>
      <c r="V4568" s="51" t="s">
        <v>2142</v>
      </c>
      <c r="W4568" s="51" t="s">
        <v>8199</v>
      </c>
      <c r="X4568" s="51" t="s">
        <v>2359</v>
      </c>
    </row>
    <row r="4569" customFormat="false" ht="14.25" hidden="true" customHeight="false" outlineLevel="0" collapsed="false">
      <c r="A4569" s="49" t="s">
        <v>2349</v>
      </c>
      <c r="B4569" s="49" t="s">
        <v>2350</v>
      </c>
      <c r="C4569" s="49" t="s">
        <v>8571</v>
      </c>
      <c r="D4569" s="49" t="s">
        <v>2352</v>
      </c>
      <c r="E4569" s="49" t="str">
        <f aca="false">"5060458890191"</f>
        <v>5060458890191</v>
      </c>
      <c r="F4569" s="49" t="s">
        <v>3656</v>
      </c>
      <c r="G4569" s="49" t="n">
        <v>0</v>
      </c>
      <c r="H4569" s="0" t="n">
        <v>0</v>
      </c>
      <c r="M4569" s="51" t="s">
        <v>8562</v>
      </c>
      <c r="N4569" s="49" t="n">
        <v>0</v>
      </c>
      <c r="O4569" s="53" t="n">
        <v>45886.6175810185</v>
      </c>
      <c r="P4569" s="53" t="n">
        <v>45890.5985648148</v>
      </c>
      <c r="Q4569" s="53" t="n">
        <v>45886.6175810185</v>
      </c>
      <c r="R4569" s="0" t="n">
        <v>0</v>
      </c>
      <c r="S4569" s="51" t="s">
        <v>2416</v>
      </c>
      <c r="T4569" s="51" t="s">
        <v>2416</v>
      </c>
      <c r="U4569" s="0" t="str">
        <f aca="false">"5060458890191"</f>
        <v>5060458890191</v>
      </c>
      <c r="V4569" s="51" t="s">
        <v>2142</v>
      </c>
      <c r="W4569" s="51" t="s">
        <v>8126</v>
      </c>
      <c r="X4569" s="51" t="s">
        <v>2359</v>
      </c>
    </row>
    <row r="4570" customFormat="false" ht="14.25" hidden="true" customHeight="false" outlineLevel="0" collapsed="false">
      <c r="A4570" s="49" t="s">
        <v>2349</v>
      </c>
      <c r="B4570" s="49" t="s">
        <v>2350</v>
      </c>
      <c r="C4570" s="49" t="s">
        <v>8572</v>
      </c>
      <c r="D4570" s="49" t="s">
        <v>2352</v>
      </c>
      <c r="E4570" s="49" t="str">
        <f aca="false">"5060458890191"</f>
        <v>5060458890191</v>
      </c>
      <c r="F4570" s="49" t="s">
        <v>3656</v>
      </c>
      <c r="G4570" s="49" t="n">
        <v>0</v>
      </c>
      <c r="H4570" s="0" t="n">
        <v>0</v>
      </c>
      <c r="M4570" s="51" t="s">
        <v>8562</v>
      </c>
      <c r="N4570" s="49" t="n">
        <v>0</v>
      </c>
      <c r="O4570" s="53" t="n">
        <v>45886.6178240741</v>
      </c>
      <c r="P4570" s="53" t="n">
        <v>45886.8094791667</v>
      </c>
      <c r="Q4570" s="53" t="n">
        <v>45886.6178240741</v>
      </c>
      <c r="R4570" s="0" t="n">
        <v>0</v>
      </c>
      <c r="S4570" s="51" t="s">
        <v>2416</v>
      </c>
      <c r="T4570" s="51" t="s">
        <v>2416</v>
      </c>
      <c r="U4570" s="0" t="str">
        <f aca="false">"5060458890191"</f>
        <v>5060458890191</v>
      </c>
      <c r="V4570" s="51" t="s">
        <v>2142</v>
      </c>
      <c r="W4570" s="51" t="s">
        <v>8199</v>
      </c>
      <c r="X4570" s="51" t="s">
        <v>2359</v>
      </c>
    </row>
    <row r="4571" customFormat="false" ht="14.25" hidden="true" customHeight="false" outlineLevel="0" collapsed="false">
      <c r="A4571" s="49" t="s">
        <v>2349</v>
      </c>
      <c r="B4571" s="49" t="s">
        <v>2350</v>
      </c>
      <c r="C4571" s="49" t="s">
        <v>8573</v>
      </c>
      <c r="D4571" s="49" t="s">
        <v>2352</v>
      </c>
      <c r="E4571" s="49" t="str">
        <f aca="false">"5060458890191"</f>
        <v>5060458890191</v>
      </c>
      <c r="F4571" s="49" t="s">
        <v>3656</v>
      </c>
      <c r="G4571" s="49" t="n">
        <v>0</v>
      </c>
      <c r="H4571" s="0" t="n">
        <v>0</v>
      </c>
      <c r="M4571" s="51" t="s">
        <v>8562</v>
      </c>
      <c r="N4571" s="49" t="n">
        <v>0</v>
      </c>
      <c r="O4571" s="53" t="n">
        <v>45886.6190162037</v>
      </c>
      <c r="P4571" s="53" t="n">
        <v>45886.8091666667</v>
      </c>
      <c r="Q4571" s="53" t="n">
        <v>45886.6190162037</v>
      </c>
      <c r="R4571" s="0" t="n">
        <v>0</v>
      </c>
      <c r="S4571" s="51" t="s">
        <v>2416</v>
      </c>
      <c r="T4571" s="51" t="s">
        <v>2416</v>
      </c>
      <c r="U4571" s="0" t="str">
        <f aca="false">"5060458890191"</f>
        <v>5060458890191</v>
      </c>
      <c r="V4571" s="51" t="s">
        <v>2142</v>
      </c>
      <c r="W4571" s="51" t="s">
        <v>8199</v>
      </c>
      <c r="X4571" s="51" t="s">
        <v>2359</v>
      </c>
    </row>
    <row r="4572" customFormat="false" ht="14.25" hidden="true" customHeight="false" outlineLevel="0" collapsed="false">
      <c r="A4572" s="49" t="s">
        <v>2349</v>
      </c>
      <c r="B4572" s="49" t="s">
        <v>2350</v>
      </c>
      <c r="C4572" s="49" t="s">
        <v>8574</v>
      </c>
      <c r="D4572" s="49" t="s">
        <v>2352</v>
      </c>
      <c r="E4572" s="49" t="str">
        <f aca="false">"5060458890191"</f>
        <v>5060458890191</v>
      </c>
      <c r="F4572" s="49" t="s">
        <v>3656</v>
      </c>
      <c r="G4572" s="49" t="n">
        <v>0</v>
      </c>
      <c r="H4572" s="0" t="n">
        <v>0</v>
      </c>
      <c r="M4572" s="51" t="s">
        <v>8562</v>
      </c>
      <c r="N4572" s="49" t="n">
        <v>0</v>
      </c>
      <c r="O4572" s="53" t="n">
        <v>45886.6179050926</v>
      </c>
      <c r="P4572" s="53" t="n">
        <v>45886.8117708333</v>
      </c>
      <c r="Q4572" s="53" t="n">
        <v>45886.6179050926</v>
      </c>
      <c r="R4572" s="0" t="n">
        <v>0</v>
      </c>
      <c r="S4572" s="51" t="s">
        <v>2416</v>
      </c>
      <c r="T4572" s="51" t="s">
        <v>2416</v>
      </c>
      <c r="U4572" s="0" t="str">
        <f aca="false">"5060458890191"</f>
        <v>5060458890191</v>
      </c>
      <c r="V4572" s="51" t="s">
        <v>2142</v>
      </c>
      <c r="W4572" s="51" t="s">
        <v>8199</v>
      </c>
      <c r="X4572" s="51" t="s">
        <v>2359</v>
      </c>
    </row>
    <row r="4573" customFormat="false" ht="14.25" hidden="true" customHeight="false" outlineLevel="0" collapsed="false">
      <c r="A4573" s="49" t="s">
        <v>2349</v>
      </c>
      <c r="B4573" s="49" t="s">
        <v>2350</v>
      </c>
      <c r="C4573" s="49" t="s">
        <v>8575</v>
      </c>
      <c r="D4573" s="49" t="s">
        <v>2352</v>
      </c>
      <c r="E4573" s="49" t="str">
        <f aca="false">"5060458890191"</f>
        <v>5060458890191</v>
      </c>
      <c r="F4573" s="49" t="s">
        <v>3656</v>
      </c>
      <c r="G4573" s="49" t="n">
        <v>0</v>
      </c>
      <c r="H4573" s="0" t="n">
        <v>0</v>
      </c>
      <c r="M4573" s="51" t="s">
        <v>8562</v>
      </c>
      <c r="N4573" s="49" t="n">
        <v>0</v>
      </c>
      <c r="O4573" s="53" t="n">
        <v>45886.618912037</v>
      </c>
      <c r="P4573" s="53" t="n">
        <v>45886.8119791667</v>
      </c>
      <c r="Q4573" s="53" t="n">
        <v>45886.618912037</v>
      </c>
      <c r="R4573" s="0" t="n">
        <v>0</v>
      </c>
      <c r="S4573" s="51" t="s">
        <v>2416</v>
      </c>
      <c r="T4573" s="51" t="s">
        <v>2416</v>
      </c>
      <c r="U4573" s="0" t="str">
        <f aca="false">"5060458890191"</f>
        <v>5060458890191</v>
      </c>
      <c r="V4573" s="51" t="s">
        <v>2142</v>
      </c>
      <c r="W4573" s="51" t="s">
        <v>8199</v>
      </c>
      <c r="X4573" s="51" t="s">
        <v>2359</v>
      </c>
    </row>
    <row r="4574" customFormat="false" ht="14.25" hidden="true" customHeight="false" outlineLevel="0" collapsed="false">
      <c r="A4574" s="49" t="s">
        <v>2349</v>
      </c>
      <c r="B4574" s="49" t="s">
        <v>2350</v>
      </c>
      <c r="C4574" s="49" t="s">
        <v>8576</v>
      </c>
      <c r="D4574" s="49" t="s">
        <v>2352</v>
      </c>
      <c r="E4574" s="49" t="str">
        <f aca="false">"5060458890191"</f>
        <v>5060458890191</v>
      </c>
      <c r="F4574" s="49" t="s">
        <v>3656</v>
      </c>
      <c r="G4574" s="49" t="n">
        <v>0</v>
      </c>
      <c r="H4574" s="0" t="n">
        <v>0</v>
      </c>
      <c r="M4574" s="51" t="s">
        <v>8562</v>
      </c>
      <c r="N4574" s="49" t="n">
        <v>0</v>
      </c>
      <c r="O4574" s="53" t="n">
        <v>45886.617974537</v>
      </c>
      <c r="P4574" s="53" t="n">
        <v>45886.8126851852</v>
      </c>
      <c r="Q4574" s="53" t="n">
        <v>45886.617974537</v>
      </c>
      <c r="R4574" s="0" t="n">
        <v>0</v>
      </c>
      <c r="S4574" s="51" t="s">
        <v>2416</v>
      </c>
      <c r="T4574" s="51" t="s">
        <v>2416</v>
      </c>
      <c r="U4574" s="0" t="str">
        <f aca="false">"5060458890191"</f>
        <v>5060458890191</v>
      </c>
      <c r="V4574" s="51" t="s">
        <v>2142</v>
      </c>
      <c r="W4574" s="51" t="s">
        <v>8199</v>
      </c>
      <c r="X4574" s="51" t="s">
        <v>2359</v>
      </c>
    </row>
    <row r="4575" customFormat="false" ht="14.25" hidden="true" customHeight="false" outlineLevel="0" collapsed="false">
      <c r="A4575" s="49" t="s">
        <v>2349</v>
      </c>
      <c r="B4575" s="49" t="s">
        <v>2350</v>
      </c>
      <c r="C4575" s="49" t="s">
        <v>8577</v>
      </c>
      <c r="D4575" s="49" t="s">
        <v>2352</v>
      </c>
      <c r="E4575" s="49" t="str">
        <f aca="false">"5060458890191"</f>
        <v>5060458890191</v>
      </c>
      <c r="F4575" s="49" t="s">
        <v>3656</v>
      </c>
      <c r="G4575" s="49" t="n">
        <v>0</v>
      </c>
      <c r="H4575" s="0" t="n">
        <v>0</v>
      </c>
      <c r="M4575" s="51" t="s">
        <v>8562</v>
      </c>
      <c r="N4575" s="49" t="n">
        <v>0</v>
      </c>
      <c r="O4575" s="53" t="n">
        <v>45886.6187962963</v>
      </c>
      <c r="P4575" s="53" t="n">
        <v>45886.808287037</v>
      </c>
      <c r="Q4575" s="53" t="n">
        <v>45886.6187962963</v>
      </c>
      <c r="R4575" s="0" t="n">
        <v>0</v>
      </c>
      <c r="S4575" s="51" t="s">
        <v>2416</v>
      </c>
      <c r="T4575" s="51" t="s">
        <v>2416</v>
      </c>
      <c r="U4575" s="0" t="str">
        <f aca="false">"5060458890191"</f>
        <v>5060458890191</v>
      </c>
      <c r="V4575" s="51" t="s">
        <v>2142</v>
      </c>
      <c r="W4575" s="51" t="s">
        <v>8199</v>
      </c>
      <c r="X4575" s="51" t="s">
        <v>2359</v>
      </c>
    </row>
    <row r="4576" customFormat="false" ht="14.25" hidden="true" customHeight="false" outlineLevel="0" collapsed="false">
      <c r="A4576" s="49" t="s">
        <v>2349</v>
      </c>
      <c r="B4576" s="49" t="s">
        <v>2350</v>
      </c>
      <c r="C4576" s="49" t="s">
        <v>8578</v>
      </c>
      <c r="D4576" s="49" t="s">
        <v>2352</v>
      </c>
      <c r="E4576" s="49" t="str">
        <f aca="false">"5060458890191"</f>
        <v>5060458890191</v>
      </c>
      <c r="F4576" s="49" t="s">
        <v>3656</v>
      </c>
      <c r="G4576" s="49" t="n">
        <v>0</v>
      </c>
      <c r="H4576" s="0" t="n">
        <v>0</v>
      </c>
      <c r="M4576" s="51" t="s">
        <v>8562</v>
      </c>
      <c r="N4576" s="49" t="n">
        <v>0</v>
      </c>
      <c r="O4576" s="53" t="n">
        <v>45886.6180439815</v>
      </c>
      <c r="P4576" s="53" t="n">
        <v>45886.8129976852</v>
      </c>
      <c r="Q4576" s="53" t="n">
        <v>45886.6180439815</v>
      </c>
      <c r="R4576" s="0" t="n">
        <v>0</v>
      </c>
      <c r="S4576" s="51" t="s">
        <v>2416</v>
      </c>
      <c r="T4576" s="51" t="s">
        <v>2416</v>
      </c>
      <c r="U4576" s="0" t="str">
        <f aca="false">"5060458890191"</f>
        <v>5060458890191</v>
      </c>
      <c r="V4576" s="51" t="s">
        <v>2142</v>
      </c>
      <c r="W4576" s="51" t="s">
        <v>8199</v>
      </c>
      <c r="X4576" s="51" t="s">
        <v>2359</v>
      </c>
    </row>
    <row r="4577" customFormat="false" ht="14.25" hidden="true" customHeight="false" outlineLevel="0" collapsed="false">
      <c r="A4577" s="49" t="s">
        <v>2349</v>
      </c>
      <c r="B4577" s="49" t="s">
        <v>2350</v>
      </c>
      <c r="C4577" s="49" t="s">
        <v>8579</v>
      </c>
      <c r="D4577" s="49" t="s">
        <v>2352</v>
      </c>
      <c r="E4577" s="49" t="str">
        <f aca="false">"5060458890191"</f>
        <v>5060458890191</v>
      </c>
      <c r="F4577" s="49" t="s">
        <v>3656</v>
      </c>
      <c r="G4577" s="49" t="n">
        <v>0</v>
      </c>
      <c r="H4577" s="0" t="n">
        <v>0</v>
      </c>
      <c r="M4577" s="51" t="s">
        <v>8562</v>
      </c>
      <c r="N4577" s="49" t="n">
        <v>0</v>
      </c>
      <c r="O4577" s="53" t="n">
        <v>45886.618599537</v>
      </c>
      <c r="P4577" s="53" t="n">
        <v>45886.8131597222</v>
      </c>
      <c r="Q4577" s="53" t="n">
        <v>45886.618599537</v>
      </c>
      <c r="R4577" s="0" t="n">
        <v>0</v>
      </c>
      <c r="S4577" s="51" t="s">
        <v>2416</v>
      </c>
      <c r="T4577" s="51" t="s">
        <v>2416</v>
      </c>
      <c r="U4577" s="0" t="str">
        <f aca="false">"5060458890191"</f>
        <v>5060458890191</v>
      </c>
      <c r="V4577" s="51" t="s">
        <v>2142</v>
      </c>
      <c r="W4577" s="51" t="s">
        <v>8199</v>
      </c>
      <c r="X4577" s="51" t="s">
        <v>2359</v>
      </c>
    </row>
    <row r="4578" customFormat="false" ht="14.25" hidden="true" customHeight="false" outlineLevel="0" collapsed="false">
      <c r="A4578" s="49" t="s">
        <v>2349</v>
      </c>
      <c r="B4578" s="49" t="s">
        <v>2350</v>
      </c>
      <c r="C4578" s="49" t="s">
        <v>8580</v>
      </c>
      <c r="D4578" s="49" t="s">
        <v>2352</v>
      </c>
      <c r="E4578" s="49" t="str">
        <f aca="false">"5060458890191"</f>
        <v>5060458890191</v>
      </c>
      <c r="F4578" s="49" t="s">
        <v>3656</v>
      </c>
      <c r="G4578" s="49" t="n">
        <v>0</v>
      </c>
      <c r="H4578" s="0" t="n">
        <v>0</v>
      </c>
      <c r="M4578" s="51" t="s">
        <v>8562</v>
      </c>
      <c r="N4578" s="49" t="n">
        <v>0</v>
      </c>
      <c r="O4578" s="53" t="n">
        <v>45886.618125</v>
      </c>
      <c r="P4578" s="53" t="n">
        <v>45886.8087037037</v>
      </c>
      <c r="Q4578" s="53" t="n">
        <v>45886.618125</v>
      </c>
      <c r="R4578" s="0" t="n">
        <v>0</v>
      </c>
      <c r="S4578" s="51" t="s">
        <v>2416</v>
      </c>
      <c r="T4578" s="51" t="s">
        <v>2416</v>
      </c>
      <c r="U4578" s="0" t="str">
        <f aca="false">"5060458890191"</f>
        <v>5060458890191</v>
      </c>
      <c r="V4578" s="51" t="s">
        <v>2142</v>
      </c>
      <c r="W4578" s="51" t="s">
        <v>8199</v>
      </c>
      <c r="X4578" s="51" t="s">
        <v>2359</v>
      </c>
    </row>
    <row r="4579" customFormat="false" ht="14.25" hidden="true" customHeight="false" outlineLevel="0" collapsed="false">
      <c r="A4579" s="49" t="s">
        <v>2349</v>
      </c>
      <c r="B4579" s="49" t="s">
        <v>2350</v>
      </c>
      <c r="C4579" s="49" t="s">
        <v>8581</v>
      </c>
      <c r="D4579" s="49" t="s">
        <v>2352</v>
      </c>
      <c r="E4579" s="49" t="str">
        <f aca="false">"5060458890191"</f>
        <v>5060458890191</v>
      </c>
      <c r="F4579" s="49" t="s">
        <v>3656</v>
      </c>
      <c r="G4579" s="49" t="n">
        <v>0</v>
      </c>
      <c r="H4579" s="0" t="n">
        <v>0</v>
      </c>
      <c r="M4579" s="51" t="s">
        <v>8562</v>
      </c>
      <c r="N4579" s="49" t="n">
        <v>0</v>
      </c>
      <c r="O4579" s="53" t="n">
        <v>45886.6185185185</v>
      </c>
      <c r="P4579" s="53" t="n">
        <v>45890.6052430556</v>
      </c>
      <c r="Q4579" s="53" t="n">
        <v>45886.6185185185</v>
      </c>
      <c r="R4579" s="0" t="n">
        <v>0</v>
      </c>
      <c r="S4579" s="51" t="s">
        <v>2416</v>
      </c>
      <c r="T4579" s="51" t="s">
        <v>2416</v>
      </c>
      <c r="U4579" s="0" t="str">
        <f aca="false">"5060458890191"</f>
        <v>5060458890191</v>
      </c>
      <c r="V4579" s="51" t="s">
        <v>2142</v>
      </c>
      <c r="W4579" s="51" t="s">
        <v>6281</v>
      </c>
      <c r="X4579" s="51" t="s">
        <v>2359</v>
      </c>
    </row>
    <row r="4580" customFormat="false" ht="14.25" hidden="true" customHeight="false" outlineLevel="0" collapsed="false">
      <c r="A4580" s="49" t="s">
        <v>2349</v>
      </c>
      <c r="B4580" s="49" t="s">
        <v>2350</v>
      </c>
      <c r="C4580" s="49" t="s">
        <v>8582</v>
      </c>
      <c r="D4580" s="49" t="s">
        <v>2352</v>
      </c>
      <c r="E4580" s="49" t="str">
        <f aca="false">"5060458890191"</f>
        <v>5060458890191</v>
      </c>
      <c r="F4580" s="49" t="s">
        <v>3656</v>
      </c>
      <c r="G4580" s="49" t="n">
        <v>0</v>
      </c>
      <c r="H4580" s="0" t="n">
        <v>0</v>
      </c>
      <c r="M4580" s="51" t="s">
        <v>8562</v>
      </c>
      <c r="N4580" s="49" t="n">
        <v>0</v>
      </c>
      <c r="O4580" s="53" t="n">
        <v>45886.6181944445</v>
      </c>
      <c r="P4580" s="53" t="n">
        <v>45890.5553009259</v>
      </c>
      <c r="Q4580" s="53" t="n">
        <v>45886.6181944445</v>
      </c>
      <c r="R4580" s="0" t="n">
        <v>0</v>
      </c>
      <c r="S4580" s="51" t="s">
        <v>2416</v>
      </c>
      <c r="T4580" s="51" t="s">
        <v>2416</v>
      </c>
      <c r="U4580" s="0" t="str">
        <f aca="false">"5060458890191"</f>
        <v>5060458890191</v>
      </c>
      <c r="V4580" s="51" t="s">
        <v>2142</v>
      </c>
      <c r="W4580" s="51" t="s">
        <v>5768</v>
      </c>
      <c r="X4580" s="51" t="s">
        <v>2359</v>
      </c>
    </row>
    <row r="4581" customFormat="false" ht="14.25" hidden="true" customHeight="false" outlineLevel="0" collapsed="false">
      <c r="A4581" s="49" t="s">
        <v>2349</v>
      </c>
      <c r="B4581" s="49" t="s">
        <v>2350</v>
      </c>
      <c r="C4581" s="49" t="s">
        <v>8583</v>
      </c>
      <c r="D4581" s="49" t="s">
        <v>2352</v>
      </c>
      <c r="E4581" s="49" t="str">
        <f aca="false">"5060458890191"</f>
        <v>5060458890191</v>
      </c>
      <c r="F4581" s="49" t="s">
        <v>3656</v>
      </c>
      <c r="G4581" s="49" t="n">
        <v>0</v>
      </c>
      <c r="H4581" s="0" t="n">
        <v>0</v>
      </c>
      <c r="M4581" s="51" t="s">
        <v>8562</v>
      </c>
      <c r="N4581" s="49" t="n">
        <v>0</v>
      </c>
      <c r="O4581" s="53" t="n">
        <v>45886.6184259259</v>
      </c>
      <c r="P4581" s="53" t="n">
        <v>45890.5969097222</v>
      </c>
      <c r="Q4581" s="53" t="n">
        <v>45886.6184259259</v>
      </c>
      <c r="R4581" s="0" t="n">
        <v>0</v>
      </c>
      <c r="S4581" s="51" t="s">
        <v>2416</v>
      </c>
      <c r="T4581" s="51" t="s">
        <v>2416</v>
      </c>
      <c r="U4581" s="0" t="str">
        <f aca="false">"5060458890191"</f>
        <v>5060458890191</v>
      </c>
      <c r="V4581" s="51" t="s">
        <v>2142</v>
      </c>
      <c r="W4581" s="51" t="s">
        <v>7356</v>
      </c>
      <c r="X4581" s="51" t="s">
        <v>2359</v>
      </c>
    </row>
    <row r="4582" customFormat="false" ht="14.25" hidden="true" customHeight="false" outlineLevel="0" collapsed="false">
      <c r="A4582" s="49" t="s">
        <v>2349</v>
      </c>
      <c r="B4582" s="49" t="s">
        <v>2350</v>
      </c>
      <c r="C4582" s="49" t="s">
        <v>8584</v>
      </c>
      <c r="D4582" s="49" t="s">
        <v>2352</v>
      </c>
      <c r="E4582" s="49" t="str">
        <f aca="false">"5060458890191"</f>
        <v>5060458890191</v>
      </c>
      <c r="F4582" s="49" t="s">
        <v>3656</v>
      </c>
      <c r="G4582" s="49" t="n">
        <v>0</v>
      </c>
      <c r="H4582" s="0" t="n">
        <v>0</v>
      </c>
      <c r="M4582" s="51" t="s">
        <v>8562</v>
      </c>
      <c r="N4582" s="49" t="n">
        <v>0</v>
      </c>
      <c r="O4582" s="53" t="n">
        <v>45886.6182523148</v>
      </c>
      <c r="P4582" s="53" t="n">
        <v>45890.5631712963</v>
      </c>
      <c r="Q4582" s="53" t="n">
        <v>45886.6182523148</v>
      </c>
      <c r="R4582" s="0" t="n">
        <v>0</v>
      </c>
      <c r="S4582" s="51" t="s">
        <v>2416</v>
      </c>
      <c r="T4582" s="51" t="s">
        <v>2416</v>
      </c>
      <c r="U4582" s="0" t="str">
        <f aca="false">"5060458890191"</f>
        <v>5060458890191</v>
      </c>
      <c r="V4582" s="51" t="s">
        <v>2142</v>
      </c>
      <c r="W4582" s="51" t="s">
        <v>4773</v>
      </c>
      <c r="X4582" s="51" t="s">
        <v>2359</v>
      </c>
    </row>
    <row r="4583" customFormat="false" ht="14.25" hidden="true" customHeight="false" outlineLevel="0" collapsed="false">
      <c r="A4583" s="49" t="s">
        <v>2349</v>
      </c>
      <c r="B4583" s="49" t="s">
        <v>2350</v>
      </c>
      <c r="C4583" s="49" t="s">
        <v>8585</v>
      </c>
      <c r="D4583" s="49" t="s">
        <v>2352</v>
      </c>
      <c r="E4583" s="49" t="str">
        <f aca="false">"5060458890191"</f>
        <v>5060458890191</v>
      </c>
      <c r="F4583" s="49" t="s">
        <v>3656</v>
      </c>
      <c r="G4583" s="49" t="n">
        <v>0</v>
      </c>
      <c r="H4583" s="0" t="n">
        <v>0</v>
      </c>
      <c r="M4583" s="51" t="s">
        <v>8562</v>
      </c>
      <c r="N4583" s="49" t="n">
        <v>0</v>
      </c>
      <c r="O4583" s="53" t="n">
        <v>45886.6183217593</v>
      </c>
      <c r="P4583" s="53" t="n">
        <v>45890.6025231482</v>
      </c>
      <c r="Q4583" s="53" t="n">
        <v>45886.6183217593</v>
      </c>
      <c r="R4583" s="0" t="n">
        <v>0</v>
      </c>
      <c r="S4583" s="51" t="s">
        <v>2416</v>
      </c>
      <c r="T4583" s="51" t="s">
        <v>2416</v>
      </c>
      <c r="U4583" s="0" t="str">
        <f aca="false">"5060458890191"</f>
        <v>5060458890191</v>
      </c>
      <c r="V4583" s="51" t="s">
        <v>2142</v>
      </c>
      <c r="W4583" s="51" t="s">
        <v>7878</v>
      </c>
      <c r="X4583" s="51" t="s">
        <v>2359</v>
      </c>
    </row>
    <row r="4584" customFormat="false" ht="14.25" hidden="true" customHeight="false" outlineLevel="0" collapsed="false">
      <c r="A4584" s="49" t="s">
        <v>2349</v>
      </c>
      <c r="B4584" s="49" t="s">
        <v>2350</v>
      </c>
      <c r="C4584" s="49" t="s">
        <v>8586</v>
      </c>
      <c r="D4584" s="49" t="s">
        <v>2352</v>
      </c>
      <c r="E4584" s="49" t="str">
        <f aca="false">"5060458890191"</f>
        <v>5060458890191</v>
      </c>
      <c r="F4584" s="49" t="s">
        <v>3656</v>
      </c>
      <c r="G4584" s="49" t="n">
        <v>0</v>
      </c>
      <c r="H4584" s="0" t="n">
        <v>0</v>
      </c>
      <c r="M4584" s="51" t="s">
        <v>8562</v>
      </c>
      <c r="N4584" s="49" t="n">
        <v>0</v>
      </c>
      <c r="O4584" s="53" t="n">
        <v>45886.6198263889</v>
      </c>
      <c r="P4584" s="53" t="n">
        <v>45890.6020949074</v>
      </c>
      <c r="Q4584" s="53" t="n">
        <v>45886.6198263889</v>
      </c>
      <c r="R4584" s="0" t="n">
        <v>0</v>
      </c>
      <c r="S4584" s="51" t="s">
        <v>2416</v>
      </c>
      <c r="T4584" s="51" t="s">
        <v>2416</v>
      </c>
      <c r="U4584" s="0" t="str">
        <f aca="false">"5060458890191"</f>
        <v>5060458890191</v>
      </c>
      <c r="V4584" s="51" t="s">
        <v>2142</v>
      </c>
      <c r="W4584" s="51" t="s">
        <v>4765</v>
      </c>
      <c r="X4584" s="51" t="s">
        <v>2359</v>
      </c>
    </row>
    <row r="4585" customFormat="false" ht="14.25" hidden="true" customHeight="false" outlineLevel="0" collapsed="false">
      <c r="A4585" s="49" t="s">
        <v>2349</v>
      </c>
      <c r="B4585" s="49" t="s">
        <v>2350</v>
      </c>
      <c r="C4585" s="49" t="s">
        <v>8587</v>
      </c>
      <c r="D4585" s="49" t="s">
        <v>2352</v>
      </c>
      <c r="E4585" s="49" t="str">
        <f aca="false">"5060458890191"</f>
        <v>5060458890191</v>
      </c>
      <c r="F4585" s="49" t="s">
        <v>3656</v>
      </c>
      <c r="G4585" s="49" t="n">
        <v>0</v>
      </c>
      <c r="H4585" s="0" t="n">
        <v>0</v>
      </c>
      <c r="M4585" s="51" t="s">
        <v>8562</v>
      </c>
      <c r="N4585" s="49" t="n">
        <v>0</v>
      </c>
      <c r="O4585" s="53" t="n">
        <v>45886.6197453704</v>
      </c>
      <c r="P4585" s="53" t="n">
        <v>45890.6035648148</v>
      </c>
      <c r="Q4585" s="53" t="n">
        <v>45886.6197453704</v>
      </c>
      <c r="R4585" s="0" t="n">
        <v>0</v>
      </c>
      <c r="S4585" s="51" t="s">
        <v>2416</v>
      </c>
      <c r="T4585" s="51" t="s">
        <v>2416</v>
      </c>
      <c r="U4585" s="0" t="str">
        <f aca="false">"5060458890191"</f>
        <v>5060458890191</v>
      </c>
      <c r="V4585" s="51" t="s">
        <v>2142</v>
      </c>
      <c r="W4585" s="51" t="s">
        <v>7883</v>
      </c>
      <c r="X4585" s="51" t="s">
        <v>2359</v>
      </c>
    </row>
    <row r="4586" customFormat="false" ht="14.25" hidden="true" customHeight="false" outlineLevel="0" collapsed="false">
      <c r="A4586" s="49" t="s">
        <v>2349</v>
      </c>
      <c r="B4586" s="49" t="s">
        <v>2350</v>
      </c>
      <c r="C4586" s="49" t="s">
        <v>8588</v>
      </c>
      <c r="D4586" s="49" t="s">
        <v>2352</v>
      </c>
      <c r="E4586" s="49" t="str">
        <f aca="false">"5060458890191"</f>
        <v>5060458890191</v>
      </c>
      <c r="F4586" s="49" t="s">
        <v>3656</v>
      </c>
      <c r="G4586" s="49" t="n">
        <v>0</v>
      </c>
      <c r="H4586" s="0" t="n">
        <v>0</v>
      </c>
      <c r="M4586" s="51" t="s">
        <v>8562</v>
      </c>
      <c r="N4586" s="49" t="n">
        <v>0</v>
      </c>
      <c r="O4586" s="53" t="n">
        <v>45886.6196643519</v>
      </c>
      <c r="P4586" s="53" t="n">
        <v>45890.600462963</v>
      </c>
      <c r="Q4586" s="53" t="n">
        <v>45886.6196643519</v>
      </c>
      <c r="R4586" s="0" t="n">
        <v>0</v>
      </c>
      <c r="S4586" s="51" t="s">
        <v>2416</v>
      </c>
      <c r="T4586" s="51" t="s">
        <v>2416</v>
      </c>
      <c r="U4586" s="0" t="str">
        <f aca="false">"5060458890191"</f>
        <v>5060458890191</v>
      </c>
      <c r="V4586" s="51" t="s">
        <v>2142</v>
      </c>
      <c r="W4586" s="51" t="s">
        <v>4740</v>
      </c>
      <c r="X4586" s="51" t="s">
        <v>2359</v>
      </c>
    </row>
    <row r="4587" customFormat="false" ht="14.25" hidden="true" customHeight="false" outlineLevel="0" collapsed="false">
      <c r="A4587" s="49" t="s">
        <v>2349</v>
      </c>
      <c r="B4587" s="49" t="s">
        <v>2350</v>
      </c>
      <c r="C4587" s="49" t="s">
        <v>8589</v>
      </c>
      <c r="D4587" s="49" t="s">
        <v>2352</v>
      </c>
      <c r="E4587" s="49" t="str">
        <f aca="false">"5060458890191"</f>
        <v>5060458890191</v>
      </c>
      <c r="F4587" s="49" t="s">
        <v>3656</v>
      </c>
      <c r="G4587" s="49" t="n">
        <v>0</v>
      </c>
      <c r="H4587" s="0" t="n">
        <v>0</v>
      </c>
      <c r="M4587" s="51" t="s">
        <v>8562</v>
      </c>
      <c r="N4587" s="49" t="n">
        <v>0</v>
      </c>
      <c r="O4587" s="53" t="n">
        <v>45886.6195949074</v>
      </c>
      <c r="P4587" s="53" t="n">
        <v>45890.5964699074</v>
      </c>
      <c r="Q4587" s="53" t="n">
        <v>45886.6195949074</v>
      </c>
      <c r="R4587" s="0" t="n">
        <v>0</v>
      </c>
      <c r="S4587" s="51" t="s">
        <v>2416</v>
      </c>
      <c r="T4587" s="51" t="s">
        <v>2416</v>
      </c>
      <c r="U4587" s="0" t="str">
        <f aca="false">"5060458890191"</f>
        <v>5060458890191</v>
      </c>
      <c r="V4587" s="51" t="s">
        <v>2142</v>
      </c>
      <c r="W4587" s="51" t="s">
        <v>8590</v>
      </c>
      <c r="X4587" s="51" t="s">
        <v>2359</v>
      </c>
    </row>
    <row r="4588" customFormat="false" ht="14.25" hidden="true" customHeight="false" outlineLevel="0" collapsed="false">
      <c r="A4588" s="49" t="s">
        <v>2349</v>
      </c>
      <c r="B4588" s="49" t="s">
        <v>2350</v>
      </c>
      <c r="C4588" s="49" t="s">
        <v>8591</v>
      </c>
      <c r="D4588" s="49" t="s">
        <v>2352</v>
      </c>
      <c r="E4588" s="49" t="str">
        <f aca="false">"5060458890191"</f>
        <v>5060458890191</v>
      </c>
      <c r="F4588" s="49" t="s">
        <v>3656</v>
      </c>
      <c r="G4588" s="49" t="n">
        <v>0</v>
      </c>
      <c r="H4588" s="0" t="n">
        <v>0</v>
      </c>
      <c r="M4588" s="51" t="s">
        <v>8562</v>
      </c>
      <c r="N4588" s="49" t="n">
        <v>0</v>
      </c>
      <c r="O4588" s="53" t="n">
        <v>45886.6195138889</v>
      </c>
      <c r="P4588" s="53" t="n">
        <v>45890.5987152778</v>
      </c>
      <c r="Q4588" s="53" t="n">
        <v>45886.6195138889</v>
      </c>
      <c r="R4588" s="0" t="n">
        <v>0</v>
      </c>
      <c r="S4588" s="51" t="s">
        <v>2416</v>
      </c>
      <c r="T4588" s="51" t="s">
        <v>2416</v>
      </c>
      <c r="U4588" s="0" t="str">
        <f aca="false">"5060458890191"</f>
        <v>5060458890191</v>
      </c>
      <c r="V4588" s="51" t="s">
        <v>2142</v>
      </c>
      <c r="W4588" s="51" t="s">
        <v>8592</v>
      </c>
      <c r="X4588" s="51" t="s">
        <v>2359</v>
      </c>
    </row>
    <row r="4589" customFormat="false" ht="14.25" hidden="true" customHeight="false" outlineLevel="0" collapsed="false">
      <c r="A4589" s="49" t="s">
        <v>2349</v>
      </c>
      <c r="B4589" s="49" t="s">
        <v>2350</v>
      </c>
      <c r="C4589" s="49" t="s">
        <v>8593</v>
      </c>
      <c r="D4589" s="49" t="s">
        <v>2352</v>
      </c>
      <c r="E4589" s="49" t="str">
        <f aca="false">"5060458890191"</f>
        <v>5060458890191</v>
      </c>
      <c r="F4589" s="49" t="s">
        <v>3656</v>
      </c>
      <c r="G4589" s="49" t="n">
        <v>0</v>
      </c>
      <c r="H4589" s="0" t="n">
        <v>0</v>
      </c>
      <c r="M4589" s="51" t="s">
        <v>8562</v>
      </c>
      <c r="N4589" s="49" t="n">
        <v>0</v>
      </c>
      <c r="O4589" s="53" t="n">
        <v>45886.6194560185</v>
      </c>
      <c r="P4589" s="53" t="n">
        <v>45890.5962847222</v>
      </c>
      <c r="Q4589" s="53" t="n">
        <v>45886.6194560185</v>
      </c>
      <c r="R4589" s="0" t="n">
        <v>0</v>
      </c>
      <c r="S4589" s="51" t="s">
        <v>2416</v>
      </c>
      <c r="T4589" s="51" t="s">
        <v>2416</v>
      </c>
      <c r="U4589" s="0" t="str">
        <f aca="false">"5060458890191"</f>
        <v>5060458890191</v>
      </c>
      <c r="V4589" s="51" t="s">
        <v>2142</v>
      </c>
      <c r="W4589" s="51" t="s">
        <v>7342</v>
      </c>
      <c r="X4589" s="51" t="s">
        <v>2359</v>
      </c>
    </row>
    <row r="4590" customFormat="false" ht="14.25" hidden="true" customHeight="false" outlineLevel="0" collapsed="false">
      <c r="A4590" s="49" t="s">
        <v>2349</v>
      </c>
      <c r="B4590" s="49" t="s">
        <v>2350</v>
      </c>
      <c r="C4590" s="49" t="s">
        <v>8594</v>
      </c>
      <c r="D4590" s="49" t="s">
        <v>2352</v>
      </c>
      <c r="E4590" s="49" t="str">
        <f aca="false">"5060458890191"</f>
        <v>5060458890191</v>
      </c>
      <c r="F4590" s="49" t="s">
        <v>3656</v>
      </c>
      <c r="G4590" s="49" t="n">
        <v>0</v>
      </c>
      <c r="H4590" s="0" t="n">
        <v>0</v>
      </c>
      <c r="M4590" s="51" t="s">
        <v>8562</v>
      </c>
      <c r="N4590" s="49" t="n">
        <v>0</v>
      </c>
      <c r="O4590" s="53" t="n">
        <v>45886.6193634259</v>
      </c>
      <c r="P4590" s="53" t="n">
        <v>45890.5590972222</v>
      </c>
      <c r="Q4590" s="53" t="n">
        <v>45886.6193634259</v>
      </c>
      <c r="R4590" s="0" t="n">
        <v>0</v>
      </c>
      <c r="S4590" s="51" t="s">
        <v>2416</v>
      </c>
      <c r="T4590" s="51" t="s">
        <v>2416</v>
      </c>
      <c r="U4590" s="0" t="str">
        <f aca="false">"5060458890191"</f>
        <v>5060458890191</v>
      </c>
      <c r="V4590" s="51" t="s">
        <v>2142</v>
      </c>
      <c r="W4590" s="51" t="s">
        <v>6564</v>
      </c>
      <c r="X4590" s="51" t="s">
        <v>2359</v>
      </c>
    </row>
    <row r="4591" customFormat="false" ht="14.25" hidden="true" customHeight="false" outlineLevel="0" collapsed="false">
      <c r="A4591" s="49" t="s">
        <v>2349</v>
      </c>
      <c r="B4591" s="49" t="s">
        <v>2350</v>
      </c>
      <c r="C4591" s="49" t="s">
        <v>8595</v>
      </c>
      <c r="D4591" s="49" t="s">
        <v>2352</v>
      </c>
      <c r="E4591" s="49" t="str">
        <f aca="false">"12482691"</f>
        <v>12482691</v>
      </c>
      <c r="F4591" s="49" t="s">
        <v>7031</v>
      </c>
      <c r="G4591" s="49" t="n">
        <v>0</v>
      </c>
      <c r="H4591" s="0" t="n">
        <v>0</v>
      </c>
      <c r="M4591" s="51" t="s">
        <v>8596</v>
      </c>
      <c r="N4591" s="49" t="n">
        <v>0</v>
      </c>
      <c r="O4591" s="53" t="n">
        <v>45861.7753240741</v>
      </c>
      <c r="P4591" s="53" t="n">
        <v>45862.8237037037</v>
      </c>
      <c r="Q4591" s="53" t="n">
        <v>45861.7753240741</v>
      </c>
      <c r="R4591" s="0" t="n">
        <v>0</v>
      </c>
      <c r="S4591" s="51" t="s">
        <v>4015</v>
      </c>
      <c r="T4591" s="51" t="s">
        <v>4015</v>
      </c>
      <c r="U4591" s="0" t="str">
        <f aca="false">"12482691"</f>
        <v>12482691</v>
      </c>
      <c r="V4591" s="51" t="s">
        <v>2365</v>
      </c>
      <c r="W4591" s="51" t="s">
        <v>5436</v>
      </c>
      <c r="X4591" s="51" t="s">
        <v>2359</v>
      </c>
    </row>
    <row r="4592" customFormat="false" ht="14.25" hidden="true" customHeight="false" outlineLevel="0" collapsed="false">
      <c r="A4592" s="49" t="s">
        <v>2349</v>
      </c>
      <c r="B4592" s="49" t="s">
        <v>2350</v>
      </c>
      <c r="C4592" s="49" t="s">
        <v>8597</v>
      </c>
      <c r="D4592" s="49" t="s">
        <v>2352</v>
      </c>
      <c r="E4592" s="49" t="str">
        <f aca="false">"12560428"</f>
        <v>12560428</v>
      </c>
      <c r="F4592" s="49" t="s">
        <v>8598</v>
      </c>
      <c r="G4592" s="49" t="n">
        <v>0</v>
      </c>
      <c r="H4592" s="0" t="n">
        <v>0</v>
      </c>
      <c r="M4592" s="51" t="s">
        <v>8596</v>
      </c>
      <c r="N4592" s="49" t="n">
        <v>0</v>
      </c>
      <c r="O4592" s="53" t="n">
        <v>45861.775775463</v>
      </c>
      <c r="P4592" s="53" t="n">
        <v>45872.5906481482</v>
      </c>
      <c r="Q4592" s="53" t="n">
        <v>45861.775775463</v>
      </c>
      <c r="R4592" s="0" t="n">
        <v>0</v>
      </c>
      <c r="S4592" s="51" t="s">
        <v>4015</v>
      </c>
      <c r="T4592" s="51" t="s">
        <v>4015</v>
      </c>
      <c r="U4592" s="0" t="str">
        <f aca="false">"12560428"</f>
        <v>12560428</v>
      </c>
      <c r="V4592" s="51" t="s">
        <v>2365</v>
      </c>
      <c r="W4592" s="51" t="s">
        <v>4241</v>
      </c>
      <c r="X4592" s="51" t="s">
        <v>2359</v>
      </c>
    </row>
    <row r="4593" customFormat="false" ht="14.25" hidden="true" customHeight="false" outlineLevel="0" collapsed="false">
      <c r="A4593" s="49" t="s">
        <v>2349</v>
      </c>
      <c r="B4593" s="49" t="s">
        <v>2350</v>
      </c>
      <c r="C4593" s="49" t="s">
        <v>8599</v>
      </c>
      <c r="D4593" s="49" t="s">
        <v>2352</v>
      </c>
      <c r="E4593" s="49" t="str">
        <f aca="false">"12482691"</f>
        <v>12482691</v>
      </c>
      <c r="F4593" s="49" t="s">
        <v>7031</v>
      </c>
      <c r="G4593" s="49" t="n">
        <v>0</v>
      </c>
      <c r="H4593" s="0" t="n">
        <v>0</v>
      </c>
      <c r="M4593" s="51" t="s">
        <v>8596</v>
      </c>
      <c r="N4593" s="49" t="n">
        <v>0</v>
      </c>
      <c r="O4593" s="53" t="n">
        <v>45861.775</v>
      </c>
      <c r="P4593" s="53" t="n">
        <v>45862.8209143519</v>
      </c>
      <c r="Q4593" s="53" t="n">
        <v>45861.775</v>
      </c>
      <c r="R4593" s="0" t="n">
        <v>0</v>
      </c>
      <c r="S4593" s="51" t="s">
        <v>4015</v>
      </c>
      <c r="T4593" s="51" t="s">
        <v>4015</v>
      </c>
      <c r="U4593" s="0" t="str">
        <f aca="false">"12482691"</f>
        <v>12482691</v>
      </c>
      <c r="V4593" s="51" t="s">
        <v>2365</v>
      </c>
      <c r="W4593" s="51" t="s">
        <v>6661</v>
      </c>
      <c r="X4593" s="51" t="s">
        <v>2359</v>
      </c>
    </row>
    <row r="4594" customFormat="false" ht="14.25" hidden="true" customHeight="false" outlineLevel="0" collapsed="false">
      <c r="A4594" s="49" t="s">
        <v>2349</v>
      </c>
      <c r="B4594" s="49" t="s">
        <v>2350</v>
      </c>
      <c r="C4594" s="49" t="s">
        <v>8600</v>
      </c>
      <c r="D4594" s="49" t="s">
        <v>2352</v>
      </c>
      <c r="E4594" s="49" t="str">
        <f aca="false">"12482691"</f>
        <v>12482691</v>
      </c>
      <c r="F4594" s="49" t="s">
        <v>7031</v>
      </c>
      <c r="G4594" s="49" t="n">
        <v>0</v>
      </c>
      <c r="H4594" s="0" t="n">
        <v>0</v>
      </c>
      <c r="M4594" s="51" t="s">
        <v>8596</v>
      </c>
      <c r="N4594" s="49" t="n">
        <v>0</v>
      </c>
      <c r="O4594" s="53" t="n">
        <v>45861.7745138889</v>
      </c>
      <c r="P4594" s="53" t="n">
        <v>45862.8183912037</v>
      </c>
      <c r="Q4594" s="53" t="n">
        <v>45861.7745138889</v>
      </c>
      <c r="R4594" s="0" t="n">
        <v>0</v>
      </c>
      <c r="S4594" s="51" t="s">
        <v>4015</v>
      </c>
      <c r="T4594" s="51" t="s">
        <v>4015</v>
      </c>
      <c r="U4594" s="0" t="str">
        <f aca="false">"12482691"</f>
        <v>12482691</v>
      </c>
      <c r="V4594" s="51" t="s">
        <v>2365</v>
      </c>
      <c r="W4594" s="51" t="s">
        <v>6000</v>
      </c>
      <c r="X4594" s="51" t="s">
        <v>2359</v>
      </c>
    </row>
    <row r="4595" customFormat="false" ht="14.25" hidden="true" customHeight="false" outlineLevel="0" collapsed="false">
      <c r="A4595" s="49" t="s">
        <v>2349</v>
      </c>
      <c r="B4595" s="49" t="s">
        <v>2350</v>
      </c>
      <c r="C4595" s="49" t="s">
        <v>8601</v>
      </c>
      <c r="D4595" s="49" t="s">
        <v>2352</v>
      </c>
      <c r="E4595" s="49" t="str">
        <f aca="false">"12482691"</f>
        <v>12482691</v>
      </c>
      <c r="F4595" s="49" t="s">
        <v>7031</v>
      </c>
      <c r="G4595" s="49" t="n">
        <v>0</v>
      </c>
      <c r="H4595" s="0" t="n">
        <v>0</v>
      </c>
      <c r="M4595" s="51" t="s">
        <v>8596</v>
      </c>
      <c r="N4595" s="49" t="n">
        <v>0</v>
      </c>
      <c r="O4595" s="53" t="n">
        <v>45861.7742013889</v>
      </c>
      <c r="P4595" s="53" t="n">
        <v>45862.8172916667</v>
      </c>
      <c r="Q4595" s="53" t="n">
        <v>45861.7742013889</v>
      </c>
      <c r="R4595" s="0" t="n">
        <v>0</v>
      </c>
      <c r="S4595" s="51" t="s">
        <v>4015</v>
      </c>
      <c r="T4595" s="51" t="s">
        <v>4015</v>
      </c>
      <c r="U4595" s="0" t="str">
        <f aca="false">"12482691"</f>
        <v>12482691</v>
      </c>
      <c r="V4595" s="51" t="s">
        <v>2365</v>
      </c>
      <c r="W4595" s="51" t="s">
        <v>4763</v>
      </c>
      <c r="X4595" s="51" t="s">
        <v>2359</v>
      </c>
    </row>
    <row r="4596" customFormat="false" ht="14.25" hidden="true" customHeight="false" outlineLevel="0" collapsed="false">
      <c r="A4596" s="49" t="s">
        <v>2349</v>
      </c>
      <c r="B4596" s="49" t="s">
        <v>2350</v>
      </c>
      <c r="C4596" s="49" t="s">
        <v>8602</v>
      </c>
      <c r="D4596" s="49" t="s">
        <v>2352</v>
      </c>
      <c r="E4596" s="49" t="str">
        <f aca="false">"12482691"</f>
        <v>12482691</v>
      </c>
      <c r="F4596" s="49" t="s">
        <v>7031</v>
      </c>
      <c r="G4596" s="49" t="n">
        <v>0</v>
      </c>
      <c r="H4596" s="0" t="n">
        <v>0</v>
      </c>
      <c r="M4596" s="51" t="s">
        <v>8596</v>
      </c>
      <c r="N4596" s="49" t="n">
        <v>0</v>
      </c>
      <c r="O4596" s="53" t="n">
        <v>45861.7743634259</v>
      </c>
      <c r="P4596" s="53" t="n">
        <v>45862.8198263889</v>
      </c>
      <c r="Q4596" s="53" t="n">
        <v>45861.7743634259</v>
      </c>
      <c r="R4596" s="0" t="n">
        <v>0</v>
      </c>
      <c r="S4596" s="51" t="s">
        <v>4015</v>
      </c>
      <c r="T4596" s="51" t="s">
        <v>4015</v>
      </c>
      <c r="U4596" s="0" t="str">
        <f aca="false">"12482691"</f>
        <v>12482691</v>
      </c>
      <c r="V4596" s="51" t="s">
        <v>2365</v>
      </c>
      <c r="W4596" s="51" t="s">
        <v>7531</v>
      </c>
      <c r="X4596" s="51" t="s">
        <v>2359</v>
      </c>
    </row>
    <row r="4597" customFormat="false" ht="14.25" hidden="true" customHeight="false" outlineLevel="0" collapsed="false">
      <c r="A4597" s="49" t="s">
        <v>2349</v>
      </c>
      <c r="B4597" s="49" t="s">
        <v>2350</v>
      </c>
      <c r="C4597" s="49" t="s">
        <v>8603</v>
      </c>
      <c r="D4597" s="49" t="s">
        <v>2352</v>
      </c>
      <c r="E4597" s="49" t="s">
        <v>4351</v>
      </c>
      <c r="F4597" s="49" t="s">
        <v>4352</v>
      </c>
      <c r="G4597" s="49" t="n">
        <v>0</v>
      </c>
      <c r="H4597" s="0" t="n">
        <v>0</v>
      </c>
      <c r="M4597" s="51" t="s">
        <v>8604</v>
      </c>
      <c r="N4597" s="49" t="n">
        <v>0</v>
      </c>
      <c r="O4597" s="53" t="n">
        <v>45859.4464814815</v>
      </c>
      <c r="P4597" s="53" t="n">
        <v>45878.5909027778</v>
      </c>
      <c r="Q4597" s="53" t="n">
        <v>45859.4464814815</v>
      </c>
      <c r="R4597" s="0" t="n">
        <v>0</v>
      </c>
      <c r="S4597" s="51" t="s">
        <v>2356</v>
      </c>
      <c r="T4597" s="51" t="s">
        <v>2356</v>
      </c>
      <c r="U4597" s="51" t="s">
        <v>4351</v>
      </c>
      <c r="V4597" s="51" t="s">
        <v>2365</v>
      </c>
      <c r="W4597" s="51" t="s">
        <v>4361</v>
      </c>
      <c r="X4597" s="51" t="s">
        <v>2359</v>
      </c>
    </row>
    <row r="4598" customFormat="false" ht="14.25" hidden="true" customHeight="false" outlineLevel="0" collapsed="false">
      <c r="A4598" s="49" t="s">
        <v>2349</v>
      </c>
      <c r="B4598" s="49" t="s">
        <v>2350</v>
      </c>
      <c r="C4598" s="49" t="s">
        <v>8605</v>
      </c>
      <c r="D4598" s="49" t="s">
        <v>2352</v>
      </c>
      <c r="E4598" s="49" t="str">
        <f aca="false">"5060458890191"</f>
        <v>5060458890191</v>
      </c>
      <c r="F4598" s="49" t="s">
        <v>3656</v>
      </c>
      <c r="G4598" s="49" t="n">
        <v>0</v>
      </c>
      <c r="H4598" s="0" t="n">
        <v>0</v>
      </c>
      <c r="M4598" s="51" t="s">
        <v>8606</v>
      </c>
      <c r="N4598" s="49" t="n">
        <v>0</v>
      </c>
      <c r="O4598" s="53" t="n">
        <v>45858.700150463</v>
      </c>
      <c r="P4598" s="53" t="n">
        <v>45864.3944328704</v>
      </c>
      <c r="Q4598" s="53" t="n">
        <v>45858.700150463</v>
      </c>
      <c r="R4598" s="0" t="n">
        <v>0</v>
      </c>
      <c r="S4598" s="51" t="s">
        <v>2401</v>
      </c>
      <c r="T4598" s="51" t="s">
        <v>2401</v>
      </c>
      <c r="U4598" s="0" t="str">
        <f aca="false">"5060458890191"</f>
        <v>5060458890191</v>
      </c>
      <c r="V4598" s="51" t="s">
        <v>2142</v>
      </c>
      <c r="W4598" s="51" t="s">
        <v>4074</v>
      </c>
      <c r="X4598" s="51" t="s">
        <v>2359</v>
      </c>
    </row>
    <row r="4599" customFormat="false" ht="14.25" hidden="true" customHeight="false" outlineLevel="0" collapsed="false">
      <c r="A4599" s="49" t="s">
        <v>2349</v>
      </c>
      <c r="B4599" s="49" t="s">
        <v>2350</v>
      </c>
      <c r="C4599" s="49" t="s">
        <v>8607</v>
      </c>
      <c r="D4599" s="49" t="s">
        <v>2352</v>
      </c>
      <c r="E4599" s="49" t="str">
        <f aca="false">"5060458890191"</f>
        <v>5060458890191</v>
      </c>
      <c r="F4599" s="49" t="s">
        <v>3656</v>
      </c>
      <c r="G4599" s="49" t="n">
        <v>0</v>
      </c>
      <c r="H4599" s="0" t="n">
        <v>0</v>
      </c>
      <c r="M4599" s="51" t="s">
        <v>8606</v>
      </c>
      <c r="N4599" s="49" t="n">
        <v>0</v>
      </c>
      <c r="O4599" s="53" t="n">
        <v>45858.7003472222</v>
      </c>
      <c r="P4599" s="53" t="n">
        <v>45864.396875</v>
      </c>
      <c r="Q4599" s="53" t="n">
        <v>45858.7003472222</v>
      </c>
      <c r="R4599" s="0" t="n">
        <v>0</v>
      </c>
      <c r="S4599" s="51" t="s">
        <v>2401</v>
      </c>
      <c r="T4599" s="51" t="s">
        <v>2401</v>
      </c>
      <c r="U4599" s="0" t="str">
        <f aca="false">"5060458890191"</f>
        <v>5060458890191</v>
      </c>
      <c r="V4599" s="51" t="s">
        <v>2142</v>
      </c>
      <c r="W4599" s="51" t="s">
        <v>5428</v>
      </c>
      <c r="X4599" s="51" t="s">
        <v>2359</v>
      </c>
    </row>
    <row r="4600" customFormat="false" ht="14.25" hidden="true" customHeight="false" outlineLevel="0" collapsed="false">
      <c r="A4600" s="49" t="s">
        <v>2349</v>
      </c>
      <c r="B4600" s="49" t="s">
        <v>2350</v>
      </c>
      <c r="C4600" s="49" t="s">
        <v>8608</v>
      </c>
      <c r="D4600" s="49" t="s">
        <v>2352</v>
      </c>
      <c r="E4600" s="49" t="str">
        <f aca="false">"5060458890191"</f>
        <v>5060458890191</v>
      </c>
      <c r="F4600" s="49" t="s">
        <v>3656</v>
      </c>
      <c r="G4600" s="49" t="n">
        <v>0</v>
      </c>
      <c r="H4600" s="0" t="n">
        <v>0</v>
      </c>
      <c r="M4600" s="51" t="s">
        <v>8606</v>
      </c>
      <c r="N4600" s="49" t="n">
        <v>0</v>
      </c>
      <c r="O4600" s="53" t="n">
        <v>45858.7005439815</v>
      </c>
      <c r="P4600" s="53" t="n">
        <v>45864.3958680556</v>
      </c>
      <c r="Q4600" s="53" t="n">
        <v>45858.7005439815</v>
      </c>
      <c r="R4600" s="0" t="n">
        <v>0</v>
      </c>
      <c r="S4600" s="51" t="s">
        <v>2401</v>
      </c>
      <c r="T4600" s="51" t="s">
        <v>2401</v>
      </c>
      <c r="U4600" s="0" t="str">
        <f aca="false">"5060458890191"</f>
        <v>5060458890191</v>
      </c>
      <c r="V4600" s="51" t="s">
        <v>2142</v>
      </c>
      <c r="W4600" s="51" t="s">
        <v>7859</v>
      </c>
      <c r="X4600" s="51" t="s">
        <v>2359</v>
      </c>
    </row>
    <row r="4601" customFormat="false" ht="14.25" hidden="true" customHeight="false" outlineLevel="0" collapsed="false">
      <c r="A4601" s="49" t="s">
        <v>2349</v>
      </c>
      <c r="B4601" s="49" t="s">
        <v>2350</v>
      </c>
      <c r="C4601" s="49" t="s">
        <v>8609</v>
      </c>
      <c r="D4601" s="49" t="s">
        <v>2352</v>
      </c>
      <c r="E4601" s="49" t="str">
        <f aca="false">"5060458890191"</f>
        <v>5060458890191</v>
      </c>
      <c r="F4601" s="49" t="s">
        <v>3656</v>
      </c>
      <c r="G4601" s="49" t="n">
        <v>0</v>
      </c>
      <c r="H4601" s="0" t="n">
        <v>0</v>
      </c>
      <c r="M4601" s="51" t="s">
        <v>8606</v>
      </c>
      <c r="N4601" s="49" t="n">
        <v>0</v>
      </c>
      <c r="O4601" s="53" t="n">
        <v>45858.7007291667</v>
      </c>
      <c r="P4601" s="53" t="n">
        <v>45864.4043981481</v>
      </c>
      <c r="Q4601" s="53" t="n">
        <v>45858.7007291667</v>
      </c>
      <c r="R4601" s="0" t="n">
        <v>0</v>
      </c>
      <c r="S4601" s="51" t="s">
        <v>2401</v>
      </c>
      <c r="T4601" s="51" t="s">
        <v>2401</v>
      </c>
      <c r="U4601" s="0" t="str">
        <f aca="false">"5060458890191"</f>
        <v>5060458890191</v>
      </c>
      <c r="V4601" s="51" t="s">
        <v>2142</v>
      </c>
      <c r="W4601" s="51" t="s">
        <v>5342</v>
      </c>
      <c r="X4601" s="51" t="s">
        <v>2359</v>
      </c>
    </row>
    <row r="4602" customFormat="false" ht="14.25" hidden="true" customHeight="false" outlineLevel="0" collapsed="false">
      <c r="A4602" s="49" t="s">
        <v>2349</v>
      </c>
      <c r="B4602" s="49" t="s">
        <v>2350</v>
      </c>
      <c r="C4602" s="49" t="s">
        <v>8610</v>
      </c>
      <c r="D4602" s="49" t="s">
        <v>2352</v>
      </c>
      <c r="E4602" s="49" t="str">
        <f aca="false">"5060458890191"</f>
        <v>5060458890191</v>
      </c>
      <c r="F4602" s="49" t="s">
        <v>3656</v>
      </c>
      <c r="G4602" s="49" t="n">
        <v>0</v>
      </c>
      <c r="H4602" s="0" t="n">
        <v>0</v>
      </c>
      <c r="M4602" s="51" t="s">
        <v>8606</v>
      </c>
      <c r="N4602" s="49" t="n">
        <v>0</v>
      </c>
      <c r="O4602" s="53" t="n">
        <v>45858.7009490741</v>
      </c>
      <c r="P4602" s="53" t="n">
        <v>45864.4037962963</v>
      </c>
      <c r="Q4602" s="53" t="n">
        <v>45858.7009490741</v>
      </c>
      <c r="R4602" s="0" t="n">
        <v>0</v>
      </c>
      <c r="S4602" s="51" t="s">
        <v>2401</v>
      </c>
      <c r="T4602" s="51" t="s">
        <v>2401</v>
      </c>
      <c r="U4602" s="0" t="str">
        <f aca="false">"5060458890191"</f>
        <v>5060458890191</v>
      </c>
      <c r="V4602" s="51" t="s">
        <v>2142</v>
      </c>
      <c r="W4602" s="51" t="s">
        <v>5340</v>
      </c>
      <c r="X4602" s="51" t="s">
        <v>2359</v>
      </c>
    </row>
    <row r="4603" customFormat="false" ht="14.25" hidden="true" customHeight="false" outlineLevel="0" collapsed="false">
      <c r="A4603" s="49" t="s">
        <v>2349</v>
      </c>
      <c r="B4603" s="49" t="s">
        <v>2350</v>
      </c>
      <c r="C4603" s="49" t="s">
        <v>8611</v>
      </c>
      <c r="D4603" s="49" t="s">
        <v>2352</v>
      </c>
      <c r="E4603" s="49" t="str">
        <f aca="false">"5060458890191"</f>
        <v>5060458890191</v>
      </c>
      <c r="F4603" s="49" t="s">
        <v>3656</v>
      </c>
      <c r="G4603" s="49" t="n">
        <v>0</v>
      </c>
      <c r="H4603" s="0" t="n">
        <v>0</v>
      </c>
      <c r="M4603" s="51" t="s">
        <v>8606</v>
      </c>
      <c r="N4603" s="49" t="n">
        <v>0</v>
      </c>
      <c r="O4603" s="53" t="n">
        <v>45858.6999537037</v>
      </c>
      <c r="P4603" s="53" t="n">
        <v>45869.8776041667</v>
      </c>
      <c r="Q4603" s="53" t="n">
        <v>45858.6999537037</v>
      </c>
      <c r="R4603" s="0" t="n">
        <v>0</v>
      </c>
      <c r="S4603" s="51" t="s">
        <v>2401</v>
      </c>
      <c r="T4603" s="51" t="s">
        <v>2401</v>
      </c>
      <c r="U4603" s="0" t="str">
        <f aca="false">"5060458890191"</f>
        <v>5060458890191</v>
      </c>
      <c r="V4603" s="51" t="s">
        <v>2142</v>
      </c>
      <c r="W4603" s="51" t="s">
        <v>4523</v>
      </c>
      <c r="X4603" s="51" t="s">
        <v>2359</v>
      </c>
    </row>
    <row r="4604" customFormat="false" ht="14.25" hidden="true" customHeight="false" outlineLevel="0" collapsed="false">
      <c r="A4604" s="49" t="s">
        <v>2349</v>
      </c>
      <c r="B4604" s="49" t="s">
        <v>2350</v>
      </c>
      <c r="C4604" s="49" t="s">
        <v>8612</v>
      </c>
      <c r="D4604" s="49" t="s">
        <v>2352</v>
      </c>
      <c r="E4604" s="49" t="str">
        <f aca="false">"5060458890191"</f>
        <v>5060458890191</v>
      </c>
      <c r="F4604" s="49" t="s">
        <v>3656</v>
      </c>
      <c r="G4604" s="49" t="n">
        <v>0</v>
      </c>
      <c r="H4604" s="0" t="n">
        <v>0</v>
      </c>
      <c r="M4604" s="51" t="s">
        <v>8606</v>
      </c>
      <c r="N4604" s="49" t="n">
        <v>0</v>
      </c>
      <c r="O4604" s="53" t="n">
        <v>45858.6997569444</v>
      </c>
      <c r="P4604" s="53" t="n">
        <v>45867.6992592593</v>
      </c>
      <c r="Q4604" s="53" t="n">
        <v>45858.6997569444</v>
      </c>
      <c r="R4604" s="0" t="n">
        <v>0</v>
      </c>
      <c r="S4604" s="51" t="s">
        <v>2401</v>
      </c>
      <c r="T4604" s="51" t="s">
        <v>2401</v>
      </c>
      <c r="U4604" s="0" t="str">
        <f aca="false">"5060458890191"</f>
        <v>5060458890191</v>
      </c>
      <c r="V4604" s="51" t="s">
        <v>2142</v>
      </c>
      <c r="W4604" s="51" t="s">
        <v>4535</v>
      </c>
      <c r="X4604" s="51" t="s">
        <v>2359</v>
      </c>
    </row>
    <row r="4605" customFormat="false" ht="14.25" hidden="true" customHeight="false" outlineLevel="0" collapsed="false">
      <c r="A4605" s="49" t="s">
        <v>2349</v>
      </c>
      <c r="B4605" s="49" t="s">
        <v>2350</v>
      </c>
      <c r="C4605" s="49" t="s">
        <v>8613</v>
      </c>
      <c r="D4605" s="49" t="s">
        <v>2352</v>
      </c>
      <c r="E4605" s="49" t="str">
        <f aca="false">"5060458890191"</f>
        <v>5060458890191</v>
      </c>
      <c r="F4605" s="49" t="s">
        <v>3656</v>
      </c>
      <c r="G4605" s="49" t="n">
        <v>0</v>
      </c>
      <c r="H4605" s="0" t="n">
        <v>0</v>
      </c>
      <c r="M4605" s="51" t="s">
        <v>8606</v>
      </c>
      <c r="N4605" s="49" t="n">
        <v>0</v>
      </c>
      <c r="O4605" s="53" t="n">
        <v>45858.6995833333</v>
      </c>
      <c r="P4605" s="53" t="n">
        <v>45869.8778125</v>
      </c>
      <c r="Q4605" s="53" t="n">
        <v>45858.6995833333</v>
      </c>
      <c r="R4605" s="0" t="n">
        <v>0</v>
      </c>
      <c r="S4605" s="51" t="s">
        <v>2401</v>
      </c>
      <c r="T4605" s="51" t="s">
        <v>2401</v>
      </c>
      <c r="U4605" s="0" t="str">
        <f aca="false">"5060458890191"</f>
        <v>5060458890191</v>
      </c>
      <c r="V4605" s="51" t="s">
        <v>2142</v>
      </c>
      <c r="W4605" s="51" t="s">
        <v>4505</v>
      </c>
      <c r="X4605" s="51" t="s">
        <v>2359</v>
      </c>
    </row>
    <row r="4606" customFormat="false" ht="14.25" hidden="true" customHeight="false" outlineLevel="0" collapsed="false">
      <c r="A4606" s="49" t="s">
        <v>2349</v>
      </c>
      <c r="B4606" s="49" t="s">
        <v>2350</v>
      </c>
      <c r="C4606" s="49" t="s">
        <v>8614</v>
      </c>
      <c r="D4606" s="49" t="s">
        <v>2352</v>
      </c>
      <c r="E4606" s="49" t="str">
        <f aca="false">"5060458890191"</f>
        <v>5060458890191</v>
      </c>
      <c r="F4606" s="49" t="s">
        <v>3656</v>
      </c>
      <c r="G4606" s="49" t="n">
        <v>0</v>
      </c>
      <c r="H4606" s="0" t="n">
        <v>0</v>
      </c>
      <c r="M4606" s="51" t="s">
        <v>8606</v>
      </c>
      <c r="N4606" s="49" t="n">
        <v>0</v>
      </c>
      <c r="O4606" s="53" t="n">
        <v>45858.6994328704</v>
      </c>
      <c r="P4606" s="53" t="n">
        <v>45867.7055439815</v>
      </c>
      <c r="Q4606" s="53" t="n">
        <v>45858.6994212963</v>
      </c>
      <c r="R4606" s="0" t="n">
        <v>0</v>
      </c>
      <c r="S4606" s="51" t="s">
        <v>2401</v>
      </c>
      <c r="T4606" s="51" t="s">
        <v>2401</v>
      </c>
      <c r="U4606" s="0" t="str">
        <f aca="false">"5060458890191"</f>
        <v>5060458890191</v>
      </c>
      <c r="V4606" s="51" t="s">
        <v>2142</v>
      </c>
      <c r="W4606" s="51" t="s">
        <v>4537</v>
      </c>
      <c r="X4606" s="51" t="s">
        <v>2359</v>
      </c>
    </row>
    <row r="4607" customFormat="false" ht="14.25" hidden="true" customHeight="false" outlineLevel="0" collapsed="false">
      <c r="A4607" s="49" t="s">
        <v>2349</v>
      </c>
      <c r="B4607" s="49" t="s">
        <v>2350</v>
      </c>
      <c r="C4607" s="49" t="s">
        <v>8615</v>
      </c>
      <c r="D4607" s="49" t="s">
        <v>2352</v>
      </c>
      <c r="E4607" s="49" t="str">
        <f aca="false">"5060458890191"</f>
        <v>5060458890191</v>
      </c>
      <c r="F4607" s="49" t="s">
        <v>3656</v>
      </c>
      <c r="G4607" s="49" t="n">
        <v>0</v>
      </c>
      <c r="H4607" s="0" t="n">
        <v>0</v>
      </c>
      <c r="M4607" s="51" t="s">
        <v>8606</v>
      </c>
      <c r="N4607" s="49" t="n">
        <v>0</v>
      </c>
      <c r="O4607" s="53" t="n">
        <v>45858.699224537</v>
      </c>
      <c r="P4607" s="53" t="n">
        <v>45865.9150810185</v>
      </c>
      <c r="Q4607" s="53" t="n">
        <v>45858.699224537</v>
      </c>
      <c r="R4607" s="0" t="n">
        <v>0</v>
      </c>
      <c r="S4607" s="51" t="s">
        <v>2401</v>
      </c>
      <c r="T4607" s="51" t="s">
        <v>2401</v>
      </c>
      <c r="U4607" s="0" t="str">
        <f aca="false">"5060458890191"</f>
        <v>5060458890191</v>
      </c>
      <c r="V4607" s="51" t="s">
        <v>2142</v>
      </c>
      <c r="W4607" s="51" t="s">
        <v>7500</v>
      </c>
      <c r="X4607" s="51" t="s">
        <v>2359</v>
      </c>
    </row>
    <row r="4608" customFormat="false" ht="14.25" hidden="true" customHeight="false" outlineLevel="0" collapsed="false">
      <c r="A4608" s="49" t="s">
        <v>2349</v>
      </c>
      <c r="B4608" s="49" t="s">
        <v>2350</v>
      </c>
      <c r="C4608" s="49" t="s">
        <v>8616</v>
      </c>
      <c r="D4608" s="49" t="s">
        <v>2352</v>
      </c>
      <c r="E4608" s="49" t="str">
        <f aca="false">"5060458890191"</f>
        <v>5060458890191</v>
      </c>
      <c r="F4608" s="49" t="s">
        <v>3656</v>
      </c>
      <c r="G4608" s="49" t="n">
        <v>0</v>
      </c>
      <c r="H4608" s="0" t="n">
        <v>0</v>
      </c>
      <c r="M4608" s="51" t="s">
        <v>8606</v>
      </c>
      <c r="N4608" s="49" t="n">
        <v>0</v>
      </c>
      <c r="O4608" s="53" t="n">
        <v>45858.6983217593</v>
      </c>
      <c r="P4608" s="53" t="n">
        <v>45869.8827893519</v>
      </c>
      <c r="Q4608" s="53" t="n">
        <v>45858.6983217593</v>
      </c>
      <c r="R4608" s="0" t="n">
        <v>0</v>
      </c>
      <c r="S4608" s="51" t="s">
        <v>2401</v>
      </c>
      <c r="T4608" s="51" t="s">
        <v>2401</v>
      </c>
      <c r="U4608" s="0" t="str">
        <f aca="false">"5060458890191"</f>
        <v>5060458890191</v>
      </c>
      <c r="V4608" s="51" t="s">
        <v>2142</v>
      </c>
      <c r="W4608" s="51" t="s">
        <v>7973</v>
      </c>
      <c r="X4608" s="51" t="s">
        <v>2359</v>
      </c>
    </row>
    <row r="4609" customFormat="false" ht="14.25" hidden="true" customHeight="false" outlineLevel="0" collapsed="false">
      <c r="A4609" s="49" t="s">
        <v>2349</v>
      </c>
      <c r="B4609" s="49" t="s">
        <v>2350</v>
      </c>
      <c r="C4609" s="49" t="s">
        <v>8617</v>
      </c>
      <c r="D4609" s="49" t="s">
        <v>2352</v>
      </c>
      <c r="E4609" s="49" t="str">
        <f aca="false">"5060458890191"</f>
        <v>5060458890191</v>
      </c>
      <c r="F4609" s="49" t="s">
        <v>3656</v>
      </c>
      <c r="G4609" s="49" t="n">
        <v>0</v>
      </c>
      <c r="H4609" s="0" t="n">
        <v>0</v>
      </c>
      <c r="M4609" s="51" t="s">
        <v>8606</v>
      </c>
      <c r="N4609" s="49" t="n">
        <v>0</v>
      </c>
      <c r="O4609" s="53" t="n">
        <v>45858.6981018519</v>
      </c>
      <c r="P4609" s="53" t="n">
        <v>45869.8835763889</v>
      </c>
      <c r="Q4609" s="53" t="n">
        <v>45858.6981018519</v>
      </c>
      <c r="R4609" s="0" t="n">
        <v>0</v>
      </c>
      <c r="S4609" s="51" t="s">
        <v>2401</v>
      </c>
      <c r="T4609" s="51" t="s">
        <v>2401</v>
      </c>
      <c r="U4609" s="0" t="str">
        <f aca="false">"5060458890191"</f>
        <v>5060458890191</v>
      </c>
      <c r="V4609" s="51" t="s">
        <v>2142</v>
      </c>
      <c r="W4609" s="51" t="s">
        <v>7970</v>
      </c>
      <c r="X4609" s="51" t="s">
        <v>2359</v>
      </c>
    </row>
    <row r="4610" customFormat="false" ht="14.25" hidden="true" customHeight="false" outlineLevel="0" collapsed="false">
      <c r="A4610" s="49" t="s">
        <v>2349</v>
      </c>
      <c r="B4610" s="49" t="s">
        <v>2350</v>
      </c>
      <c r="C4610" s="49" t="s">
        <v>8618</v>
      </c>
      <c r="D4610" s="49" t="s">
        <v>2352</v>
      </c>
      <c r="E4610" s="49" t="str">
        <f aca="false">"5060458890191"</f>
        <v>5060458890191</v>
      </c>
      <c r="F4610" s="49" t="s">
        <v>3656</v>
      </c>
      <c r="G4610" s="49" t="n">
        <v>0</v>
      </c>
      <c r="H4610" s="0" t="n">
        <v>0</v>
      </c>
      <c r="M4610" s="51" t="s">
        <v>8606</v>
      </c>
      <c r="N4610" s="49" t="n">
        <v>0</v>
      </c>
      <c r="O4610" s="53" t="n">
        <v>45858.6979513889</v>
      </c>
      <c r="P4610" s="53" t="n">
        <v>45869.8831712963</v>
      </c>
      <c r="Q4610" s="53" t="n">
        <v>45858.6979513889</v>
      </c>
      <c r="R4610" s="0" t="n">
        <v>0</v>
      </c>
      <c r="S4610" s="51" t="s">
        <v>2401</v>
      </c>
      <c r="T4610" s="51" t="s">
        <v>2401</v>
      </c>
      <c r="U4610" s="0" t="str">
        <f aca="false">"5060458890191"</f>
        <v>5060458890191</v>
      </c>
      <c r="V4610" s="51" t="s">
        <v>2142</v>
      </c>
      <c r="W4610" s="51" t="s">
        <v>7968</v>
      </c>
      <c r="X4610" s="51" t="s">
        <v>2359</v>
      </c>
    </row>
    <row r="4611" customFormat="false" ht="14.25" hidden="true" customHeight="false" outlineLevel="0" collapsed="false">
      <c r="A4611" s="49" t="s">
        <v>2349</v>
      </c>
      <c r="B4611" s="49" t="s">
        <v>2350</v>
      </c>
      <c r="C4611" s="49" t="s">
        <v>8619</v>
      </c>
      <c r="D4611" s="49" t="s">
        <v>2352</v>
      </c>
      <c r="E4611" s="49" t="str">
        <f aca="false">"5060458890191"</f>
        <v>5060458890191</v>
      </c>
      <c r="F4611" s="49" t="s">
        <v>3656</v>
      </c>
      <c r="G4611" s="49" t="n">
        <v>0</v>
      </c>
      <c r="H4611" s="0" t="n">
        <v>0</v>
      </c>
      <c r="M4611" s="51" t="s">
        <v>8606</v>
      </c>
      <c r="N4611" s="49" t="n">
        <v>0</v>
      </c>
      <c r="O4611" s="53" t="n">
        <v>45858.6977662037</v>
      </c>
      <c r="P4611" s="53" t="n">
        <v>45869.8840740741</v>
      </c>
      <c r="Q4611" s="53" t="n">
        <v>45858.6977662037</v>
      </c>
      <c r="R4611" s="0" t="n">
        <v>0</v>
      </c>
      <c r="S4611" s="51" t="s">
        <v>2401</v>
      </c>
      <c r="T4611" s="51" t="s">
        <v>2401</v>
      </c>
      <c r="U4611" s="0" t="str">
        <f aca="false">"5060458890191"</f>
        <v>5060458890191</v>
      </c>
      <c r="V4611" s="51" t="s">
        <v>2142</v>
      </c>
      <c r="W4611" s="51" t="s">
        <v>7960</v>
      </c>
      <c r="X4611" s="51" t="s">
        <v>2359</v>
      </c>
    </row>
    <row r="4612" customFormat="false" ht="14.25" hidden="true" customHeight="false" outlineLevel="0" collapsed="false">
      <c r="A4612" s="49" t="s">
        <v>2349</v>
      </c>
      <c r="B4612" s="49" t="s">
        <v>2350</v>
      </c>
      <c r="C4612" s="49" t="s">
        <v>8620</v>
      </c>
      <c r="D4612" s="49" t="s">
        <v>2352</v>
      </c>
      <c r="E4612" s="49" t="str">
        <f aca="false">"5060458890191"</f>
        <v>5060458890191</v>
      </c>
      <c r="F4612" s="49" t="s">
        <v>3656</v>
      </c>
      <c r="G4612" s="49" t="n">
        <v>0</v>
      </c>
      <c r="H4612" s="0" t="n">
        <v>0</v>
      </c>
      <c r="M4612" s="51" t="s">
        <v>8606</v>
      </c>
      <c r="N4612" s="49" t="n">
        <v>0</v>
      </c>
      <c r="O4612" s="53" t="n">
        <v>45858.6976041667</v>
      </c>
      <c r="P4612" s="53" t="n">
        <v>45869.8823611111</v>
      </c>
      <c r="Q4612" s="53" t="n">
        <v>45858.6976041667</v>
      </c>
      <c r="R4612" s="0" t="n">
        <v>0</v>
      </c>
      <c r="S4612" s="51" t="s">
        <v>2401</v>
      </c>
      <c r="T4612" s="51" t="s">
        <v>2401</v>
      </c>
      <c r="U4612" s="0" t="str">
        <f aca="false">"5060458890191"</f>
        <v>5060458890191</v>
      </c>
      <c r="V4612" s="51" t="s">
        <v>2142</v>
      </c>
      <c r="W4612" s="51" t="s">
        <v>7966</v>
      </c>
      <c r="X4612" s="51" t="s">
        <v>2359</v>
      </c>
    </row>
    <row r="4613" customFormat="false" ht="14.25" hidden="true" customHeight="false" outlineLevel="0" collapsed="false">
      <c r="A4613" s="49" t="s">
        <v>2349</v>
      </c>
      <c r="B4613" s="49" t="s">
        <v>2350</v>
      </c>
      <c r="C4613" s="49" t="s">
        <v>8621</v>
      </c>
      <c r="D4613" s="49" t="s">
        <v>2352</v>
      </c>
      <c r="E4613" s="49" t="str">
        <f aca="false">"5060458890191"</f>
        <v>5060458890191</v>
      </c>
      <c r="F4613" s="49" t="s">
        <v>3656</v>
      </c>
      <c r="G4613" s="49" t="n">
        <v>0</v>
      </c>
      <c r="H4613" s="0" t="n">
        <v>0</v>
      </c>
      <c r="M4613" s="51" t="s">
        <v>8606</v>
      </c>
      <c r="N4613" s="49" t="n">
        <v>0</v>
      </c>
      <c r="O4613" s="53" t="n">
        <v>45858.6974421296</v>
      </c>
      <c r="P4613" s="53" t="n">
        <v>45869.8839814815</v>
      </c>
      <c r="Q4613" s="53" t="n">
        <v>45858.6974421296</v>
      </c>
      <c r="R4613" s="0" t="n">
        <v>0</v>
      </c>
      <c r="S4613" s="51" t="s">
        <v>2401</v>
      </c>
      <c r="T4613" s="51" t="s">
        <v>2401</v>
      </c>
      <c r="U4613" s="0" t="str">
        <f aca="false">"5060458890191"</f>
        <v>5060458890191</v>
      </c>
      <c r="V4613" s="51" t="s">
        <v>2142</v>
      </c>
      <c r="W4613" s="51" t="s">
        <v>7962</v>
      </c>
      <c r="X4613" s="51" t="s">
        <v>2359</v>
      </c>
    </row>
    <row r="4614" customFormat="false" ht="14.25" hidden="true" customHeight="false" outlineLevel="0" collapsed="false">
      <c r="A4614" s="49" t="s">
        <v>2349</v>
      </c>
      <c r="B4614" s="49" t="s">
        <v>2350</v>
      </c>
      <c r="C4614" s="49" t="s">
        <v>8622</v>
      </c>
      <c r="D4614" s="49" t="s">
        <v>2352</v>
      </c>
      <c r="E4614" s="49" t="str">
        <f aca="false">"5060458890191"</f>
        <v>5060458890191</v>
      </c>
      <c r="F4614" s="49" t="s">
        <v>3656</v>
      </c>
      <c r="G4614" s="49" t="n">
        <v>0</v>
      </c>
      <c r="H4614" s="0" t="n">
        <v>0</v>
      </c>
      <c r="M4614" s="51" t="s">
        <v>8606</v>
      </c>
      <c r="N4614" s="49" t="n">
        <v>0</v>
      </c>
      <c r="O4614" s="53" t="n">
        <v>45858.6973032407</v>
      </c>
      <c r="P4614" s="53" t="n">
        <v>45869.881875</v>
      </c>
      <c r="Q4614" s="53" t="n">
        <v>45858.6973032407</v>
      </c>
      <c r="R4614" s="0" t="n">
        <v>0</v>
      </c>
      <c r="S4614" s="51" t="s">
        <v>2401</v>
      </c>
      <c r="T4614" s="51" t="s">
        <v>2401</v>
      </c>
      <c r="U4614" s="0" t="str">
        <f aca="false">"5060458890191"</f>
        <v>5060458890191</v>
      </c>
      <c r="V4614" s="51" t="s">
        <v>2142</v>
      </c>
      <c r="W4614" s="51" t="s">
        <v>8623</v>
      </c>
      <c r="X4614" s="51" t="s">
        <v>2359</v>
      </c>
    </row>
    <row r="4615" customFormat="false" ht="14.25" hidden="true" customHeight="false" outlineLevel="0" collapsed="false">
      <c r="A4615" s="49" t="s">
        <v>2349</v>
      </c>
      <c r="B4615" s="49" t="s">
        <v>2350</v>
      </c>
      <c r="C4615" s="49" t="s">
        <v>8624</v>
      </c>
      <c r="D4615" s="49" t="s">
        <v>2352</v>
      </c>
      <c r="E4615" s="49" t="str">
        <f aca="false">"5060458890191"</f>
        <v>5060458890191</v>
      </c>
      <c r="F4615" s="49" t="s">
        <v>3656</v>
      </c>
      <c r="G4615" s="49" t="n">
        <v>0</v>
      </c>
      <c r="H4615" s="0" t="n">
        <v>0</v>
      </c>
      <c r="M4615" s="51" t="s">
        <v>8606</v>
      </c>
      <c r="N4615" s="49" t="n">
        <v>0</v>
      </c>
      <c r="O4615" s="53" t="n">
        <v>45858.6971064815</v>
      </c>
      <c r="P4615" s="53" t="n">
        <v>45864.4222685185</v>
      </c>
      <c r="Q4615" s="53" t="n">
        <v>45858.6971064815</v>
      </c>
      <c r="R4615" s="0" t="n">
        <v>0</v>
      </c>
      <c r="S4615" s="51" t="s">
        <v>2401</v>
      </c>
      <c r="T4615" s="51" t="s">
        <v>2401</v>
      </c>
      <c r="U4615" s="0" t="str">
        <f aca="false">"5060458890191"</f>
        <v>5060458890191</v>
      </c>
      <c r="V4615" s="51" t="s">
        <v>2142</v>
      </c>
      <c r="W4615" s="51" t="s">
        <v>7702</v>
      </c>
      <c r="X4615" s="51" t="s">
        <v>2359</v>
      </c>
    </row>
    <row r="4616" customFormat="false" ht="14.25" hidden="true" customHeight="false" outlineLevel="0" collapsed="false">
      <c r="A4616" s="49" t="s">
        <v>2349</v>
      </c>
      <c r="B4616" s="49" t="s">
        <v>2350</v>
      </c>
      <c r="C4616" s="49" t="s">
        <v>8625</v>
      </c>
      <c r="D4616" s="49" t="s">
        <v>2352</v>
      </c>
      <c r="E4616" s="49" t="str">
        <f aca="false">"5060458890191"</f>
        <v>5060458890191</v>
      </c>
      <c r="F4616" s="49" t="s">
        <v>3656</v>
      </c>
      <c r="G4616" s="49" t="n">
        <v>0</v>
      </c>
      <c r="H4616" s="0" t="n">
        <v>0</v>
      </c>
      <c r="M4616" s="51" t="s">
        <v>8606</v>
      </c>
      <c r="N4616" s="49" t="n">
        <v>0</v>
      </c>
      <c r="O4616" s="53" t="n">
        <v>45858.6969097222</v>
      </c>
      <c r="P4616" s="53" t="n">
        <v>45864.4234027778</v>
      </c>
      <c r="Q4616" s="53" t="n">
        <v>45858.6969097222</v>
      </c>
      <c r="R4616" s="0" t="n">
        <v>0</v>
      </c>
      <c r="S4616" s="51" t="s">
        <v>2401</v>
      </c>
      <c r="T4616" s="51" t="s">
        <v>2401</v>
      </c>
      <c r="U4616" s="0" t="str">
        <f aca="false">"5060458890191"</f>
        <v>5060458890191</v>
      </c>
      <c r="V4616" s="51" t="s">
        <v>2142</v>
      </c>
      <c r="W4616" s="51" t="s">
        <v>8626</v>
      </c>
      <c r="X4616" s="51" t="s">
        <v>2359</v>
      </c>
    </row>
    <row r="4617" customFormat="false" ht="14.25" hidden="true" customHeight="false" outlineLevel="0" collapsed="false">
      <c r="A4617" s="49" t="s">
        <v>2349</v>
      </c>
      <c r="B4617" s="49" t="s">
        <v>2350</v>
      </c>
      <c r="C4617" s="49" t="s">
        <v>8627</v>
      </c>
      <c r="D4617" s="49" t="s">
        <v>2352</v>
      </c>
      <c r="E4617" s="49" t="str">
        <f aca="false">"5060458890191"</f>
        <v>5060458890191</v>
      </c>
      <c r="F4617" s="49" t="s">
        <v>3656</v>
      </c>
      <c r="G4617" s="49" t="n">
        <v>0</v>
      </c>
      <c r="H4617" s="0" t="n">
        <v>0</v>
      </c>
      <c r="M4617" s="51" t="s">
        <v>8606</v>
      </c>
      <c r="N4617" s="49" t="n">
        <v>0</v>
      </c>
      <c r="O4617" s="53" t="n">
        <v>45858.696712963</v>
      </c>
      <c r="P4617" s="53" t="n">
        <v>45869.8841550926</v>
      </c>
      <c r="Q4617" s="53" t="n">
        <v>45858.696712963</v>
      </c>
      <c r="R4617" s="0" t="n">
        <v>0</v>
      </c>
      <c r="S4617" s="51" t="s">
        <v>2401</v>
      </c>
      <c r="T4617" s="51" t="s">
        <v>2401</v>
      </c>
      <c r="U4617" s="0" t="str">
        <f aca="false">"5060458890191"</f>
        <v>5060458890191</v>
      </c>
      <c r="V4617" s="51" t="s">
        <v>2142</v>
      </c>
      <c r="W4617" s="51" t="s">
        <v>7958</v>
      </c>
      <c r="X4617" s="51" t="s">
        <v>2359</v>
      </c>
    </row>
    <row r="4618" customFormat="false" ht="14.25" hidden="true" customHeight="false" outlineLevel="0" collapsed="false">
      <c r="A4618" s="49" t="s">
        <v>2349</v>
      </c>
      <c r="B4618" s="49" t="s">
        <v>2350</v>
      </c>
      <c r="C4618" s="49" t="s">
        <v>8628</v>
      </c>
      <c r="D4618" s="49" t="s">
        <v>2352</v>
      </c>
      <c r="E4618" s="49" t="str">
        <f aca="false">"5060458890191"</f>
        <v>5060458890191</v>
      </c>
      <c r="F4618" s="49" t="s">
        <v>3656</v>
      </c>
      <c r="G4618" s="49" t="n">
        <v>0</v>
      </c>
      <c r="H4618" s="0" t="n">
        <v>0</v>
      </c>
      <c r="M4618" s="51" t="s">
        <v>8606</v>
      </c>
      <c r="N4618" s="49" t="n">
        <v>0</v>
      </c>
      <c r="O4618" s="53" t="n">
        <v>45858.6965625</v>
      </c>
      <c r="P4618" s="53" t="n">
        <v>45869.8843055556</v>
      </c>
      <c r="Q4618" s="53" t="n">
        <v>45858.6965625</v>
      </c>
      <c r="R4618" s="0" t="n">
        <v>0</v>
      </c>
      <c r="S4618" s="51" t="s">
        <v>2401</v>
      </c>
      <c r="T4618" s="51" t="s">
        <v>2401</v>
      </c>
      <c r="U4618" s="0" t="str">
        <f aca="false">"5060458890191"</f>
        <v>5060458890191</v>
      </c>
      <c r="V4618" s="51" t="s">
        <v>2142</v>
      </c>
      <c r="W4618" s="51" t="s">
        <v>8629</v>
      </c>
      <c r="X4618" s="51" t="s">
        <v>2359</v>
      </c>
    </row>
    <row r="4619" customFormat="false" ht="14.25" hidden="true" customHeight="false" outlineLevel="0" collapsed="false">
      <c r="A4619" s="49" t="s">
        <v>2349</v>
      </c>
      <c r="B4619" s="49" t="s">
        <v>2350</v>
      </c>
      <c r="C4619" s="49" t="s">
        <v>8630</v>
      </c>
      <c r="D4619" s="49" t="s">
        <v>2352</v>
      </c>
      <c r="E4619" s="49" t="str">
        <f aca="false">"5060458890191"</f>
        <v>5060458890191</v>
      </c>
      <c r="F4619" s="49" t="s">
        <v>3656</v>
      </c>
      <c r="G4619" s="49" t="n">
        <v>0</v>
      </c>
      <c r="H4619" s="0" t="n">
        <v>0</v>
      </c>
      <c r="M4619" s="51" t="s">
        <v>8606</v>
      </c>
      <c r="N4619" s="49" t="n">
        <v>0</v>
      </c>
      <c r="O4619" s="53" t="n">
        <v>45858.6962615741</v>
      </c>
      <c r="P4619" s="53" t="n">
        <v>45869.8842361111</v>
      </c>
      <c r="Q4619" s="53" t="n">
        <v>45858.6962615741</v>
      </c>
      <c r="R4619" s="0" t="n">
        <v>0</v>
      </c>
      <c r="S4619" s="51" t="s">
        <v>2401</v>
      </c>
      <c r="T4619" s="51" t="s">
        <v>2401</v>
      </c>
      <c r="U4619" s="0" t="str">
        <f aca="false">"5060458890191"</f>
        <v>5060458890191</v>
      </c>
      <c r="V4619" s="51" t="s">
        <v>2142</v>
      </c>
      <c r="W4619" s="51" t="s">
        <v>7956</v>
      </c>
      <c r="X4619" s="51" t="s">
        <v>2359</v>
      </c>
    </row>
    <row r="4620" customFormat="false" ht="14.25" hidden="true" customHeight="false" outlineLevel="0" collapsed="false">
      <c r="A4620" s="49" t="s">
        <v>2349</v>
      </c>
      <c r="B4620" s="49" t="s">
        <v>2350</v>
      </c>
      <c r="C4620" s="49" t="s">
        <v>8631</v>
      </c>
      <c r="D4620" s="49" t="s">
        <v>2352</v>
      </c>
      <c r="E4620" s="49" t="str">
        <f aca="false">"5060458890191"</f>
        <v>5060458890191</v>
      </c>
      <c r="F4620" s="49" t="s">
        <v>3656</v>
      </c>
      <c r="G4620" s="49" t="n">
        <v>0</v>
      </c>
      <c r="H4620" s="0" t="n">
        <v>0</v>
      </c>
      <c r="M4620" s="51" t="s">
        <v>8606</v>
      </c>
      <c r="N4620" s="49" t="n">
        <v>0</v>
      </c>
      <c r="O4620" s="53" t="n">
        <v>45858.695625</v>
      </c>
      <c r="P4620" s="53" t="n">
        <v>45869.884375</v>
      </c>
      <c r="Q4620" s="53" t="n">
        <v>45858.695625</v>
      </c>
      <c r="R4620" s="0" t="n">
        <v>0</v>
      </c>
      <c r="S4620" s="51" t="s">
        <v>2401</v>
      </c>
      <c r="T4620" s="51" t="s">
        <v>2401</v>
      </c>
      <c r="U4620" s="0" t="str">
        <f aca="false">"5060458890191"</f>
        <v>5060458890191</v>
      </c>
      <c r="V4620" s="51" t="s">
        <v>2142</v>
      </c>
      <c r="W4620" s="51" t="s">
        <v>7954</v>
      </c>
      <c r="X4620" s="51" t="s">
        <v>2359</v>
      </c>
    </row>
    <row r="4621" customFormat="false" ht="14.25" hidden="true" customHeight="false" outlineLevel="0" collapsed="false">
      <c r="A4621" s="49" t="s">
        <v>2349</v>
      </c>
      <c r="B4621" s="49" t="s">
        <v>2350</v>
      </c>
      <c r="C4621" s="49" t="s">
        <v>8632</v>
      </c>
      <c r="D4621" s="49" t="s">
        <v>2352</v>
      </c>
      <c r="E4621" s="49" t="str">
        <f aca="false">"5060458890191"</f>
        <v>5060458890191</v>
      </c>
      <c r="F4621" s="49" t="s">
        <v>3656</v>
      </c>
      <c r="G4621" s="49" t="n">
        <v>0</v>
      </c>
      <c r="H4621" s="0" t="n">
        <v>0</v>
      </c>
      <c r="M4621" s="51" t="s">
        <v>8606</v>
      </c>
      <c r="N4621" s="49" t="n">
        <v>0</v>
      </c>
      <c r="O4621" s="53" t="n">
        <v>45858.695474537</v>
      </c>
      <c r="P4621" s="53" t="n">
        <v>45869.8844791667</v>
      </c>
      <c r="Q4621" s="53" t="n">
        <v>45858.695474537</v>
      </c>
      <c r="R4621" s="0" t="n">
        <v>0</v>
      </c>
      <c r="S4621" s="51" t="s">
        <v>2401</v>
      </c>
      <c r="T4621" s="51" t="s">
        <v>2401</v>
      </c>
      <c r="U4621" s="0" t="str">
        <f aca="false">"5060458890191"</f>
        <v>5060458890191</v>
      </c>
      <c r="V4621" s="51" t="s">
        <v>2142</v>
      </c>
      <c r="W4621" s="51" t="s">
        <v>8633</v>
      </c>
      <c r="X4621" s="51" t="s">
        <v>2359</v>
      </c>
    </row>
    <row r="4622" customFormat="false" ht="14.25" hidden="true" customHeight="false" outlineLevel="0" collapsed="false">
      <c r="A4622" s="49" t="s">
        <v>2349</v>
      </c>
      <c r="B4622" s="49" t="s">
        <v>2350</v>
      </c>
      <c r="C4622" s="49" t="s">
        <v>8634</v>
      </c>
      <c r="D4622" s="49" t="s">
        <v>2352</v>
      </c>
      <c r="E4622" s="49" t="str">
        <f aca="false">"5060458890191"</f>
        <v>5060458890191</v>
      </c>
      <c r="F4622" s="49" t="s">
        <v>3656</v>
      </c>
      <c r="G4622" s="49" t="n">
        <v>0</v>
      </c>
      <c r="H4622" s="0" t="n">
        <v>0</v>
      </c>
      <c r="M4622" s="51" t="s">
        <v>8606</v>
      </c>
      <c r="N4622" s="49" t="n">
        <v>0</v>
      </c>
      <c r="O4622" s="53" t="n">
        <v>45858.6952777778</v>
      </c>
      <c r="P4622" s="53" t="n">
        <v>45864.4051273148</v>
      </c>
      <c r="Q4622" s="53" t="n">
        <v>45858.6952777778</v>
      </c>
      <c r="R4622" s="0" t="n">
        <v>0</v>
      </c>
      <c r="S4622" s="51" t="s">
        <v>2401</v>
      </c>
      <c r="T4622" s="51" t="s">
        <v>2401</v>
      </c>
      <c r="U4622" s="0" t="str">
        <f aca="false">"5060458890191"</f>
        <v>5060458890191</v>
      </c>
      <c r="V4622" s="51" t="s">
        <v>2142</v>
      </c>
      <c r="W4622" s="51" t="s">
        <v>5344</v>
      </c>
      <c r="X4622" s="51" t="s">
        <v>2359</v>
      </c>
    </row>
    <row r="4623" customFormat="false" ht="14.25" hidden="true" customHeight="false" outlineLevel="0" collapsed="false">
      <c r="A4623" s="49" t="s">
        <v>2349</v>
      </c>
      <c r="B4623" s="49" t="s">
        <v>2350</v>
      </c>
      <c r="C4623" s="49" t="s">
        <v>8635</v>
      </c>
      <c r="D4623" s="49" t="s">
        <v>2352</v>
      </c>
      <c r="E4623" s="49" t="str">
        <f aca="false">"5060458890191"</f>
        <v>5060458890191</v>
      </c>
      <c r="F4623" s="49" t="s">
        <v>3656</v>
      </c>
      <c r="G4623" s="49" t="n">
        <v>0</v>
      </c>
      <c r="H4623" s="0" t="n">
        <v>0</v>
      </c>
      <c r="M4623" s="51" t="s">
        <v>8606</v>
      </c>
      <c r="N4623" s="49" t="n">
        <v>0</v>
      </c>
      <c r="O4623" s="53" t="n">
        <v>45858.6950925926</v>
      </c>
      <c r="P4623" s="53" t="n">
        <v>45864.4030787037</v>
      </c>
      <c r="Q4623" s="53" t="n">
        <v>45858.6950925926</v>
      </c>
      <c r="R4623" s="0" t="n">
        <v>0</v>
      </c>
      <c r="S4623" s="51" t="s">
        <v>2401</v>
      </c>
      <c r="T4623" s="51" t="s">
        <v>2401</v>
      </c>
      <c r="U4623" s="0" t="str">
        <f aca="false">"5060458890191"</f>
        <v>5060458890191</v>
      </c>
      <c r="V4623" s="51" t="s">
        <v>2142</v>
      </c>
      <c r="W4623" s="51" t="s">
        <v>5338</v>
      </c>
      <c r="X4623" s="51" t="s">
        <v>2359</v>
      </c>
    </row>
    <row r="4624" customFormat="false" ht="14.25" hidden="true" customHeight="false" outlineLevel="0" collapsed="false">
      <c r="A4624" s="49" t="s">
        <v>2349</v>
      </c>
      <c r="B4624" s="49" t="s">
        <v>2350</v>
      </c>
      <c r="C4624" s="49" t="s">
        <v>8636</v>
      </c>
      <c r="D4624" s="49" t="s">
        <v>2352</v>
      </c>
      <c r="E4624" s="49" t="str">
        <f aca="false">"5060458890191"</f>
        <v>5060458890191</v>
      </c>
      <c r="F4624" s="49" t="s">
        <v>3656</v>
      </c>
      <c r="G4624" s="49" t="n">
        <v>0</v>
      </c>
      <c r="H4624" s="0" t="n">
        <v>0</v>
      </c>
      <c r="M4624" s="51" t="s">
        <v>8606</v>
      </c>
      <c r="N4624" s="49" t="n">
        <v>0</v>
      </c>
      <c r="O4624" s="53" t="n">
        <v>45858.6949305556</v>
      </c>
      <c r="P4624" s="53" t="n">
        <v>45864.4144328704</v>
      </c>
      <c r="Q4624" s="53" t="n">
        <v>45858.6949305556</v>
      </c>
      <c r="R4624" s="0" t="n">
        <v>0</v>
      </c>
      <c r="S4624" s="51" t="s">
        <v>2401</v>
      </c>
      <c r="T4624" s="51" t="s">
        <v>2401</v>
      </c>
      <c r="U4624" s="0" t="str">
        <f aca="false">"5060458890191"</f>
        <v>5060458890191</v>
      </c>
      <c r="V4624" s="51" t="s">
        <v>2142</v>
      </c>
      <c r="W4624" s="51" t="s">
        <v>4525</v>
      </c>
      <c r="X4624" s="51" t="s">
        <v>2359</v>
      </c>
    </row>
    <row r="4625" customFormat="false" ht="14.25" hidden="true" customHeight="false" outlineLevel="0" collapsed="false">
      <c r="A4625" s="49" t="s">
        <v>2349</v>
      </c>
      <c r="B4625" s="49" t="s">
        <v>2350</v>
      </c>
      <c r="C4625" s="49" t="s">
        <v>8637</v>
      </c>
      <c r="D4625" s="49" t="s">
        <v>2352</v>
      </c>
      <c r="E4625" s="49" t="str">
        <f aca="false">"5060458890191"</f>
        <v>5060458890191</v>
      </c>
      <c r="F4625" s="49" t="s">
        <v>3656</v>
      </c>
      <c r="G4625" s="49" t="n">
        <v>0</v>
      </c>
      <c r="H4625" s="0" t="n">
        <v>0</v>
      </c>
      <c r="M4625" s="51" t="s">
        <v>8606</v>
      </c>
      <c r="N4625" s="49" t="n">
        <v>0</v>
      </c>
      <c r="O4625" s="53" t="n">
        <v>45858.6947453704</v>
      </c>
      <c r="P4625" s="53" t="n">
        <v>45864.4211342593</v>
      </c>
      <c r="Q4625" s="53" t="n">
        <v>45858.6947453704</v>
      </c>
      <c r="R4625" s="0" t="n">
        <v>0</v>
      </c>
      <c r="S4625" s="51" t="s">
        <v>2401</v>
      </c>
      <c r="T4625" s="51" t="s">
        <v>2401</v>
      </c>
      <c r="U4625" s="0" t="str">
        <f aca="false">"5060458890191"</f>
        <v>5060458890191</v>
      </c>
      <c r="V4625" s="51" t="s">
        <v>2142</v>
      </c>
      <c r="W4625" s="51" t="s">
        <v>8638</v>
      </c>
      <c r="X4625" s="51" t="s">
        <v>2359</v>
      </c>
    </row>
    <row r="4626" customFormat="false" ht="14.25" hidden="true" customHeight="false" outlineLevel="0" collapsed="false">
      <c r="A4626" s="49" t="s">
        <v>2349</v>
      </c>
      <c r="B4626" s="49" t="s">
        <v>2350</v>
      </c>
      <c r="C4626" s="49" t="s">
        <v>8639</v>
      </c>
      <c r="D4626" s="49" t="s">
        <v>2352</v>
      </c>
      <c r="E4626" s="49" t="str">
        <f aca="false">"5060458890191"</f>
        <v>5060458890191</v>
      </c>
      <c r="F4626" s="49" t="s">
        <v>3656</v>
      </c>
      <c r="G4626" s="49" t="n">
        <v>0</v>
      </c>
      <c r="H4626" s="0" t="n">
        <v>0</v>
      </c>
      <c r="M4626" s="51" t="s">
        <v>8606</v>
      </c>
      <c r="N4626" s="49" t="n">
        <v>0</v>
      </c>
      <c r="O4626" s="53" t="n">
        <v>45858.6943518519</v>
      </c>
      <c r="P4626" s="53" t="n">
        <v>45865.8917708333</v>
      </c>
      <c r="Q4626" s="53" t="n">
        <v>45858.6943518519</v>
      </c>
      <c r="R4626" s="0" t="n">
        <v>0</v>
      </c>
      <c r="S4626" s="51" t="s">
        <v>2401</v>
      </c>
      <c r="T4626" s="51" t="s">
        <v>2401</v>
      </c>
      <c r="U4626" s="0" t="str">
        <f aca="false">"5060458890191"</f>
        <v>5060458890191</v>
      </c>
      <c r="V4626" s="51" t="s">
        <v>2142</v>
      </c>
      <c r="W4626" s="51" t="s">
        <v>5346</v>
      </c>
      <c r="X4626" s="51" t="s">
        <v>2359</v>
      </c>
    </row>
    <row r="4627" customFormat="false" ht="14.25" hidden="true" customHeight="false" outlineLevel="0" collapsed="false">
      <c r="A4627" s="49" t="s">
        <v>2349</v>
      </c>
      <c r="B4627" s="49" t="s">
        <v>2350</v>
      </c>
      <c r="C4627" s="49" t="s">
        <v>8640</v>
      </c>
      <c r="D4627" s="49" t="s">
        <v>2352</v>
      </c>
      <c r="E4627" s="49" t="s">
        <v>8296</v>
      </c>
      <c r="F4627" s="49" t="s">
        <v>8297</v>
      </c>
      <c r="G4627" s="49" t="n">
        <v>0</v>
      </c>
      <c r="H4627" s="0" t="n">
        <v>0</v>
      </c>
      <c r="M4627" s="51" t="s">
        <v>8641</v>
      </c>
      <c r="N4627" s="49" t="n">
        <v>0</v>
      </c>
      <c r="O4627" s="53" t="n">
        <v>45861.4847800926</v>
      </c>
      <c r="P4627" s="53" t="n">
        <v>45936.5418634259</v>
      </c>
      <c r="Q4627" s="53" t="n">
        <v>45861.4847800926</v>
      </c>
      <c r="R4627" s="0" t="n">
        <v>0</v>
      </c>
      <c r="S4627" s="51" t="s">
        <v>2356</v>
      </c>
      <c r="T4627" s="51" t="s">
        <v>2356</v>
      </c>
      <c r="U4627" s="51" t="s">
        <v>8296</v>
      </c>
      <c r="V4627" s="51" t="s">
        <v>2357</v>
      </c>
      <c r="W4627" s="51" t="s">
        <v>4361</v>
      </c>
      <c r="X4627" s="51" t="s">
        <v>2359</v>
      </c>
    </row>
    <row r="4628" customFormat="false" ht="14.25" hidden="true" customHeight="false" outlineLevel="0" collapsed="false">
      <c r="A4628" s="49" t="s">
        <v>2349</v>
      </c>
      <c r="B4628" s="49" t="s">
        <v>2350</v>
      </c>
      <c r="C4628" s="49" t="s">
        <v>8642</v>
      </c>
      <c r="D4628" s="49" t="s">
        <v>2352</v>
      </c>
      <c r="E4628" s="49" t="s">
        <v>3960</v>
      </c>
      <c r="F4628" s="49" t="s">
        <v>3961</v>
      </c>
      <c r="G4628" s="49" t="n">
        <v>0</v>
      </c>
      <c r="H4628" s="0" t="n">
        <v>0</v>
      </c>
      <c r="M4628" s="51" t="s">
        <v>8643</v>
      </c>
      <c r="N4628" s="49" t="n">
        <v>0</v>
      </c>
      <c r="O4628" s="53" t="n">
        <v>45858.5712152778</v>
      </c>
      <c r="P4628" s="53" t="n">
        <v>45860.9873958333</v>
      </c>
      <c r="Q4628" s="53" t="n">
        <v>45858.5712152778</v>
      </c>
      <c r="R4628" s="0" t="n">
        <v>0</v>
      </c>
      <c r="S4628" s="51" t="s">
        <v>2356</v>
      </c>
      <c r="T4628" s="51" t="s">
        <v>2356</v>
      </c>
      <c r="U4628" s="51" t="s">
        <v>3960</v>
      </c>
      <c r="V4628" s="51" t="s">
        <v>2365</v>
      </c>
      <c r="W4628" s="51" t="s">
        <v>8644</v>
      </c>
      <c r="X4628" s="51" t="s">
        <v>2359</v>
      </c>
    </row>
    <row r="4629" customFormat="false" ht="14.25" hidden="true" customHeight="false" outlineLevel="0" collapsed="false">
      <c r="A4629" s="49" t="s">
        <v>2349</v>
      </c>
      <c r="B4629" s="49" t="s">
        <v>2350</v>
      </c>
      <c r="C4629" s="49" t="s">
        <v>8645</v>
      </c>
      <c r="D4629" s="49" t="s">
        <v>2352</v>
      </c>
      <c r="E4629" s="49" t="s">
        <v>3960</v>
      </c>
      <c r="F4629" s="49" t="s">
        <v>3961</v>
      </c>
      <c r="G4629" s="49" t="n">
        <v>0</v>
      </c>
      <c r="H4629" s="0" t="n">
        <v>0</v>
      </c>
      <c r="M4629" s="51" t="s">
        <v>8643</v>
      </c>
      <c r="N4629" s="49" t="n">
        <v>0</v>
      </c>
      <c r="O4629" s="53" t="n">
        <v>45858.5709259259</v>
      </c>
      <c r="P4629" s="53" t="n">
        <v>45860.4592708333</v>
      </c>
      <c r="Q4629" s="53" t="n">
        <v>45858.5709259259</v>
      </c>
      <c r="R4629" s="0" t="n">
        <v>0</v>
      </c>
      <c r="S4629" s="51" t="s">
        <v>2356</v>
      </c>
      <c r="T4629" s="51" t="s">
        <v>2356</v>
      </c>
      <c r="U4629" s="51" t="s">
        <v>3960</v>
      </c>
      <c r="V4629" s="51" t="s">
        <v>2365</v>
      </c>
      <c r="W4629" s="51" t="s">
        <v>8646</v>
      </c>
      <c r="X4629" s="51" t="s">
        <v>2359</v>
      </c>
    </row>
    <row r="4630" customFormat="false" ht="14.25" hidden="true" customHeight="false" outlineLevel="0" collapsed="false">
      <c r="A4630" s="49" t="s">
        <v>2349</v>
      </c>
      <c r="B4630" s="49" t="s">
        <v>2350</v>
      </c>
      <c r="C4630" s="49" t="s">
        <v>8647</v>
      </c>
      <c r="D4630" s="49" t="s">
        <v>2352</v>
      </c>
      <c r="E4630" s="49" t="s">
        <v>3960</v>
      </c>
      <c r="F4630" s="49" t="s">
        <v>3961</v>
      </c>
      <c r="G4630" s="49" t="n">
        <v>0</v>
      </c>
      <c r="H4630" s="0" t="n">
        <v>0</v>
      </c>
      <c r="M4630" s="51" t="s">
        <v>8643</v>
      </c>
      <c r="N4630" s="49" t="n">
        <v>0</v>
      </c>
      <c r="O4630" s="53" t="n">
        <v>45858.5706828704</v>
      </c>
      <c r="P4630" s="53" t="n">
        <v>45860.658125</v>
      </c>
      <c r="Q4630" s="53" t="n">
        <v>45858.5706828704</v>
      </c>
      <c r="R4630" s="0" t="n">
        <v>0</v>
      </c>
      <c r="S4630" s="51" t="s">
        <v>2356</v>
      </c>
      <c r="T4630" s="51" t="s">
        <v>2356</v>
      </c>
      <c r="U4630" s="51" t="s">
        <v>3960</v>
      </c>
      <c r="V4630" s="51" t="s">
        <v>2365</v>
      </c>
      <c r="W4630" s="51" t="s">
        <v>8648</v>
      </c>
      <c r="X4630" s="51" t="s">
        <v>2359</v>
      </c>
    </row>
    <row r="4631" customFormat="false" ht="14.25" hidden="true" customHeight="false" outlineLevel="0" collapsed="false">
      <c r="A4631" s="49" t="s">
        <v>2349</v>
      </c>
      <c r="B4631" s="49" t="s">
        <v>2350</v>
      </c>
      <c r="C4631" s="49" t="s">
        <v>8649</v>
      </c>
      <c r="D4631" s="49" t="s">
        <v>2352</v>
      </c>
      <c r="E4631" s="49" t="s">
        <v>3960</v>
      </c>
      <c r="F4631" s="49" t="s">
        <v>3961</v>
      </c>
      <c r="G4631" s="49" t="n">
        <v>0</v>
      </c>
      <c r="H4631" s="0" t="n">
        <v>0</v>
      </c>
      <c r="M4631" s="51" t="s">
        <v>8643</v>
      </c>
      <c r="N4631" s="49" t="n">
        <v>0</v>
      </c>
      <c r="O4631" s="53" t="n">
        <v>45858.5702199074</v>
      </c>
      <c r="P4631" s="53" t="n">
        <v>45860.9871412037</v>
      </c>
      <c r="Q4631" s="53" t="n">
        <v>45858.5702199074</v>
      </c>
      <c r="R4631" s="0" t="n">
        <v>0</v>
      </c>
      <c r="S4631" s="51" t="s">
        <v>2356</v>
      </c>
      <c r="T4631" s="51" t="s">
        <v>2356</v>
      </c>
      <c r="U4631" s="51" t="s">
        <v>3960</v>
      </c>
      <c r="V4631" s="51" t="s">
        <v>2365</v>
      </c>
      <c r="W4631" s="51" t="s">
        <v>8650</v>
      </c>
      <c r="X4631" s="51" t="s">
        <v>2359</v>
      </c>
    </row>
    <row r="4632" customFormat="false" ht="14.25" hidden="true" customHeight="false" outlineLevel="0" collapsed="false">
      <c r="A4632" s="49" t="s">
        <v>2349</v>
      </c>
      <c r="B4632" s="49" t="s">
        <v>2350</v>
      </c>
      <c r="C4632" s="49" t="s">
        <v>8651</v>
      </c>
      <c r="D4632" s="49" t="s">
        <v>2352</v>
      </c>
      <c r="E4632" s="49" t="str">
        <f aca="false">"849369010349"</f>
        <v>849369010349</v>
      </c>
      <c r="F4632" s="49" t="s">
        <v>8652</v>
      </c>
      <c r="G4632" s="49" t="n">
        <v>0</v>
      </c>
      <c r="H4632" s="0" t="n">
        <v>0</v>
      </c>
      <c r="M4632" s="51" t="s">
        <v>8653</v>
      </c>
      <c r="N4632" s="49" t="n">
        <v>0</v>
      </c>
      <c r="O4632" s="53" t="n">
        <v>45864.646412037</v>
      </c>
      <c r="P4632" s="53" t="n">
        <v>45869.8564699074</v>
      </c>
      <c r="Q4632" s="53" t="n">
        <v>45864.646412037</v>
      </c>
      <c r="R4632" s="0" t="n">
        <v>0</v>
      </c>
      <c r="S4632" s="51" t="s">
        <v>2371</v>
      </c>
      <c r="T4632" s="51" t="s">
        <v>2371</v>
      </c>
      <c r="U4632" s="0" t="str">
        <f aca="false">"849369010349"</f>
        <v>849369010349</v>
      </c>
      <c r="V4632" s="51" t="s">
        <v>2142</v>
      </c>
      <c r="W4632" s="51" t="s">
        <v>7500</v>
      </c>
      <c r="X4632" s="51" t="s">
        <v>2359</v>
      </c>
    </row>
    <row r="4633" customFormat="false" ht="14.25" hidden="true" customHeight="false" outlineLevel="0" collapsed="false">
      <c r="A4633" s="49" t="s">
        <v>2349</v>
      </c>
      <c r="B4633" s="49" t="s">
        <v>2350</v>
      </c>
      <c r="C4633" s="49" t="s">
        <v>8654</v>
      </c>
      <c r="D4633" s="49" t="s">
        <v>2352</v>
      </c>
      <c r="E4633" s="49" t="str">
        <f aca="false">"849369010349"</f>
        <v>849369010349</v>
      </c>
      <c r="F4633" s="49" t="s">
        <v>8652</v>
      </c>
      <c r="G4633" s="49" t="n">
        <v>0</v>
      </c>
      <c r="H4633" s="0" t="n">
        <v>0</v>
      </c>
      <c r="M4633" s="51" t="s">
        <v>8653</v>
      </c>
      <c r="N4633" s="49" t="n">
        <v>0</v>
      </c>
      <c r="O4633" s="53" t="n">
        <v>45864.6437152778</v>
      </c>
      <c r="P4633" s="53" t="n">
        <v>45869.8682986111</v>
      </c>
      <c r="Q4633" s="53" t="n">
        <v>45864.6437152778</v>
      </c>
      <c r="R4633" s="0" t="n">
        <v>0</v>
      </c>
      <c r="S4633" s="51" t="s">
        <v>2371</v>
      </c>
      <c r="T4633" s="51" t="s">
        <v>2371</v>
      </c>
      <c r="U4633" s="0" t="str">
        <f aca="false">"849369010349"</f>
        <v>849369010349</v>
      </c>
      <c r="V4633" s="51" t="s">
        <v>2142</v>
      </c>
      <c r="W4633" s="51" t="s">
        <v>5287</v>
      </c>
      <c r="X4633" s="51" t="s">
        <v>2359</v>
      </c>
    </row>
    <row r="4634" customFormat="false" ht="14.25" hidden="true" customHeight="false" outlineLevel="0" collapsed="false">
      <c r="A4634" s="49" t="s">
        <v>2349</v>
      </c>
      <c r="B4634" s="49" t="s">
        <v>2350</v>
      </c>
      <c r="C4634" s="49" t="s">
        <v>8655</v>
      </c>
      <c r="D4634" s="49" t="s">
        <v>2352</v>
      </c>
      <c r="E4634" s="49" t="str">
        <f aca="false">"8493690104868"</f>
        <v>8493690104868</v>
      </c>
      <c r="F4634" s="49" t="s">
        <v>3822</v>
      </c>
      <c r="G4634" s="49" t="n">
        <v>0</v>
      </c>
      <c r="H4634" s="0" t="n">
        <v>0</v>
      </c>
      <c r="M4634" s="51" t="s">
        <v>8653</v>
      </c>
      <c r="N4634" s="49" t="n">
        <v>0</v>
      </c>
      <c r="O4634" s="53" t="n">
        <v>45864.6321412037</v>
      </c>
      <c r="P4634" s="53" t="n">
        <v>45932.7986805556</v>
      </c>
      <c r="Q4634" s="53" t="n">
        <v>45864.6321412037</v>
      </c>
      <c r="R4634" s="0" t="n">
        <v>0</v>
      </c>
      <c r="S4634" s="51" t="s">
        <v>2371</v>
      </c>
      <c r="T4634" s="51" t="s">
        <v>2371</v>
      </c>
      <c r="U4634" s="0" t="str">
        <f aca="false">"8493690104868"</f>
        <v>8493690104868</v>
      </c>
      <c r="V4634" s="51" t="s">
        <v>2142</v>
      </c>
      <c r="W4634" s="51" t="s">
        <v>7370</v>
      </c>
      <c r="X4634" s="51" t="s">
        <v>2359</v>
      </c>
    </row>
    <row r="4635" customFormat="false" ht="14.25" hidden="true" customHeight="false" outlineLevel="0" collapsed="false">
      <c r="A4635" s="49" t="s">
        <v>2349</v>
      </c>
      <c r="B4635" s="49" t="s">
        <v>2350</v>
      </c>
      <c r="C4635" s="49" t="s">
        <v>8656</v>
      </c>
      <c r="D4635" s="49" t="s">
        <v>2352</v>
      </c>
      <c r="E4635" s="49" t="str">
        <f aca="false">"8493690104868"</f>
        <v>8493690104868</v>
      </c>
      <c r="F4635" s="49" t="s">
        <v>3822</v>
      </c>
      <c r="G4635" s="49" t="n">
        <v>0</v>
      </c>
      <c r="H4635" s="0" t="n">
        <v>0</v>
      </c>
      <c r="M4635" s="51" t="s">
        <v>8653</v>
      </c>
      <c r="N4635" s="49" t="n">
        <v>0</v>
      </c>
      <c r="O4635" s="53" t="n">
        <v>45864.6330671296</v>
      </c>
      <c r="P4635" s="53" t="n">
        <v>45951.7434722222</v>
      </c>
      <c r="Q4635" s="53" t="n">
        <v>45864.6330671296</v>
      </c>
      <c r="R4635" s="0" t="n">
        <v>0</v>
      </c>
      <c r="S4635" s="51" t="s">
        <v>2371</v>
      </c>
      <c r="T4635" s="51" t="s">
        <v>2371</v>
      </c>
      <c r="U4635" s="0" t="str">
        <f aca="false">"8493690104868"</f>
        <v>8493690104868</v>
      </c>
      <c r="V4635" s="51" t="s">
        <v>2142</v>
      </c>
      <c r="W4635" s="51" t="s">
        <v>8657</v>
      </c>
      <c r="X4635" s="51" t="s">
        <v>2359</v>
      </c>
    </row>
    <row r="4636" customFormat="false" ht="14.25" hidden="true" customHeight="false" outlineLevel="0" collapsed="false">
      <c r="A4636" s="49" t="s">
        <v>2349</v>
      </c>
      <c r="B4636" s="49" t="s">
        <v>2350</v>
      </c>
      <c r="C4636" s="49" t="s">
        <v>8658</v>
      </c>
      <c r="D4636" s="49" t="s">
        <v>2352</v>
      </c>
      <c r="E4636" s="49" t="str">
        <f aca="false">"8493690104868"</f>
        <v>8493690104868</v>
      </c>
      <c r="F4636" s="49" t="s">
        <v>3822</v>
      </c>
      <c r="G4636" s="49" t="n">
        <v>0</v>
      </c>
      <c r="H4636" s="0" t="n">
        <v>0</v>
      </c>
      <c r="M4636" s="51" t="s">
        <v>8653</v>
      </c>
      <c r="N4636" s="49" t="n">
        <v>0</v>
      </c>
      <c r="O4636" s="53" t="n">
        <v>45864.6335416667</v>
      </c>
      <c r="P4636" s="53" t="n">
        <v>45965.8211226852</v>
      </c>
      <c r="Q4636" s="53" t="n">
        <v>45864.6335416667</v>
      </c>
      <c r="R4636" s="0" t="n">
        <v>0</v>
      </c>
      <c r="S4636" s="51" t="s">
        <v>2371</v>
      </c>
      <c r="T4636" s="51" t="s">
        <v>2371</v>
      </c>
      <c r="U4636" s="0" t="str">
        <f aca="false">"8493690104868"</f>
        <v>8493690104868</v>
      </c>
      <c r="V4636" s="51" t="s">
        <v>2142</v>
      </c>
      <c r="W4636" s="51" t="s">
        <v>8659</v>
      </c>
      <c r="X4636" s="51" t="s">
        <v>2359</v>
      </c>
    </row>
    <row r="4637" customFormat="false" ht="14.25" hidden="true" customHeight="false" outlineLevel="0" collapsed="false">
      <c r="A4637" s="49" t="s">
        <v>2349</v>
      </c>
      <c r="B4637" s="49" t="s">
        <v>2350</v>
      </c>
      <c r="C4637" s="49" t="s">
        <v>8660</v>
      </c>
      <c r="D4637" s="49" t="s">
        <v>2352</v>
      </c>
      <c r="E4637" s="49" t="str">
        <f aca="false">"8493690104868"</f>
        <v>8493690104868</v>
      </c>
      <c r="F4637" s="49" t="s">
        <v>3822</v>
      </c>
      <c r="G4637" s="49" t="n">
        <v>0</v>
      </c>
      <c r="H4637" s="0" t="n">
        <v>0</v>
      </c>
      <c r="M4637" s="51" t="s">
        <v>8653</v>
      </c>
      <c r="N4637" s="49" t="n">
        <v>0</v>
      </c>
      <c r="O4637" s="53" t="n">
        <v>45864.6342361111</v>
      </c>
      <c r="P4637" s="53" t="n">
        <v>46051.3786342593</v>
      </c>
      <c r="Q4637" s="53" t="n">
        <v>45864.6342361111</v>
      </c>
      <c r="R4637" s="0" t="n">
        <v>0</v>
      </c>
      <c r="S4637" s="51" t="s">
        <v>2371</v>
      </c>
      <c r="T4637" s="51" t="s">
        <v>2371</v>
      </c>
      <c r="U4637" s="0" t="str">
        <f aca="false">"8493690104868"</f>
        <v>8493690104868</v>
      </c>
      <c r="V4637" s="51" t="s">
        <v>2142</v>
      </c>
      <c r="W4637" s="51" t="s">
        <v>8661</v>
      </c>
      <c r="X4637" s="51" t="s">
        <v>2359</v>
      </c>
    </row>
    <row r="4638" customFormat="false" ht="14.25" hidden="true" customHeight="false" outlineLevel="0" collapsed="false">
      <c r="A4638" s="49" t="s">
        <v>2349</v>
      </c>
      <c r="B4638" s="49" t="s">
        <v>2350</v>
      </c>
      <c r="C4638" s="49" t="s">
        <v>8662</v>
      </c>
      <c r="D4638" s="49" t="s">
        <v>2352</v>
      </c>
      <c r="E4638" s="49" t="str">
        <f aca="false">"8493690104868"</f>
        <v>8493690104868</v>
      </c>
      <c r="F4638" s="49" t="s">
        <v>3822</v>
      </c>
      <c r="G4638" s="49" t="n">
        <v>0</v>
      </c>
      <c r="H4638" s="0" t="n">
        <v>0</v>
      </c>
      <c r="M4638" s="51" t="s">
        <v>8653</v>
      </c>
      <c r="N4638" s="49" t="n">
        <v>0</v>
      </c>
      <c r="O4638" s="53" t="n">
        <v>45864.6346064815</v>
      </c>
      <c r="P4638" s="53" t="n">
        <v>45977.4743518519</v>
      </c>
      <c r="Q4638" s="53" t="n">
        <v>45864.6346064815</v>
      </c>
      <c r="R4638" s="0" t="n">
        <v>0</v>
      </c>
      <c r="S4638" s="51" t="s">
        <v>2371</v>
      </c>
      <c r="T4638" s="51" t="s">
        <v>2371</v>
      </c>
      <c r="U4638" s="0" t="str">
        <f aca="false">"8493690104868"</f>
        <v>8493690104868</v>
      </c>
      <c r="V4638" s="51" t="s">
        <v>2142</v>
      </c>
      <c r="W4638" s="51" t="s">
        <v>8663</v>
      </c>
      <c r="X4638" s="51" t="s">
        <v>2359</v>
      </c>
    </row>
    <row r="4639" customFormat="false" ht="14.25" hidden="true" customHeight="false" outlineLevel="0" collapsed="false">
      <c r="A4639" s="49" t="s">
        <v>2349</v>
      </c>
      <c r="B4639" s="49" t="s">
        <v>2350</v>
      </c>
      <c r="C4639" s="49" t="s">
        <v>8664</v>
      </c>
      <c r="D4639" s="49" t="s">
        <v>2352</v>
      </c>
      <c r="E4639" s="49" t="str">
        <f aca="false">"8493690104868"</f>
        <v>8493690104868</v>
      </c>
      <c r="F4639" s="49" t="s">
        <v>3822</v>
      </c>
      <c r="G4639" s="49" t="n">
        <v>0</v>
      </c>
      <c r="H4639" s="0" t="n">
        <v>0</v>
      </c>
      <c r="M4639" s="51" t="s">
        <v>8653</v>
      </c>
      <c r="N4639" s="49" t="n">
        <v>0</v>
      </c>
      <c r="O4639" s="53" t="n">
        <v>45864.6350694444</v>
      </c>
      <c r="P4639" s="53" t="n">
        <v>45929.8956481482</v>
      </c>
      <c r="Q4639" s="53" t="n">
        <v>45864.6350694444</v>
      </c>
      <c r="R4639" s="0" t="n">
        <v>0</v>
      </c>
      <c r="S4639" s="51" t="s">
        <v>2371</v>
      </c>
      <c r="T4639" s="51" t="s">
        <v>2371</v>
      </c>
      <c r="U4639" s="0" t="str">
        <f aca="false">"8493690104868"</f>
        <v>8493690104868</v>
      </c>
      <c r="V4639" s="51" t="s">
        <v>2142</v>
      </c>
      <c r="W4639" s="51" t="s">
        <v>5648</v>
      </c>
      <c r="X4639" s="51" t="s">
        <v>2359</v>
      </c>
    </row>
    <row r="4640" customFormat="false" ht="14.25" hidden="true" customHeight="false" outlineLevel="0" collapsed="false">
      <c r="A4640" s="49" t="s">
        <v>2349</v>
      </c>
      <c r="B4640" s="49" t="s">
        <v>2350</v>
      </c>
      <c r="C4640" s="49" t="s">
        <v>8665</v>
      </c>
      <c r="D4640" s="49" t="s">
        <v>2352</v>
      </c>
      <c r="E4640" s="49" t="str">
        <f aca="false">"8493690104868"</f>
        <v>8493690104868</v>
      </c>
      <c r="F4640" s="49" t="s">
        <v>3822</v>
      </c>
      <c r="G4640" s="49" t="n">
        <v>0</v>
      </c>
      <c r="H4640" s="0" t="n">
        <v>0</v>
      </c>
      <c r="M4640" s="51" t="s">
        <v>8653</v>
      </c>
      <c r="N4640" s="49" t="n">
        <v>0</v>
      </c>
      <c r="O4640" s="53" t="n">
        <v>45864.6389699074</v>
      </c>
      <c r="P4640" s="53" t="n">
        <v>46039.3162152778</v>
      </c>
      <c r="Q4640" s="53" t="n">
        <v>45864.6389699074</v>
      </c>
      <c r="R4640" s="0" t="n">
        <v>0</v>
      </c>
      <c r="S4640" s="51" t="s">
        <v>2371</v>
      </c>
      <c r="T4640" s="51" t="s">
        <v>2371</v>
      </c>
      <c r="U4640" s="0" t="str">
        <f aca="false">"8493690104868"</f>
        <v>8493690104868</v>
      </c>
      <c r="V4640" s="51" t="s">
        <v>2142</v>
      </c>
      <c r="W4640" s="51" t="s">
        <v>8666</v>
      </c>
      <c r="X4640" s="51" t="s">
        <v>2359</v>
      </c>
    </row>
    <row r="4641" customFormat="false" ht="14.25" hidden="true" customHeight="false" outlineLevel="0" collapsed="false">
      <c r="A4641" s="49" t="s">
        <v>2349</v>
      </c>
      <c r="B4641" s="49" t="s">
        <v>2350</v>
      </c>
      <c r="C4641" s="49" t="s">
        <v>8667</v>
      </c>
      <c r="D4641" s="49" t="s">
        <v>2352</v>
      </c>
      <c r="E4641" s="49" t="str">
        <f aca="false">"8493690104868"</f>
        <v>8493690104868</v>
      </c>
      <c r="F4641" s="49" t="s">
        <v>3822</v>
      </c>
      <c r="G4641" s="49" t="n">
        <v>0</v>
      </c>
      <c r="H4641" s="0" t="n">
        <v>0</v>
      </c>
      <c r="M4641" s="51" t="s">
        <v>8653</v>
      </c>
      <c r="N4641" s="49" t="n">
        <v>0</v>
      </c>
      <c r="O4641" s="53" t="n">
        <v>45864.6390856481</v>
      </c>
      <c r="P4641" s="53" t="n">
        <v>46007.0125462963</v>
      </c>
      <c r="Q4641" s="53" t="n">
        <v>45864.6390856481</v>
      </c>
      <c r="R4641" s="0" t="n">
        <v>0</v>
      </c>
      <c r="S4641" s="51" t="s">
        <v>2371</v>
      </c>
      <c r="T4641" s="51" t="s">
        <v>2371</v>
      </c>
      <c r="U4641" s="0" t="str">
        <f aca="false">"8493690104868"</f>
        <v>8493690104868</v>
      </c>
      <c r="V4641" s="51" t="s">
        <v>2142</v>
      </c>
      <c r="W4641" s="51" t="s">
        <v>8668</v>
      </c>
      <c r="X4641" s="51" t="s">
        <v>2359</v>
      </c>
    </row>
    <row r="4642" customFormat="false" ht="14.25" hidden="true" customHeight="false" outlineLevel="0" collapsed="false">
      <c r="A4642" s="49" t="s">
        <v>2349</v>
      </c>
      <c r="B4642" s="49" t="s">
        <v>2350</v>
      </c>
      <c r="C4642" s="49" t="s">
        <v>8669</v>
      </c>
      <c r="D4642" s="49" t="s">
        <v>2352</v>
      </c>
      <c r="E4642" s="49" t="str">
        <f aca="false">"8493690104868"</f>
        <v>8493690104868</v>
      </c>
      <c r="F4642" s="49" t="s">
        <v>3822</v>
      </c>
      <c r="G4642" s="49" t="n">
        <v>0</v>
      </c>
      <c r="H4642" s="0" t="n">
        <v>0</v>
      </c>
      <c r="M4642" s="51" t="s">
        <v>8653</v>
      </c>
      <c r="N4642" s="49" t="n">
        <v>0</v>
      </c>
      <c r="O4642" s="53" t="n">
        <v>45864.6391898148</v>
      </c>
      <c r="P4642" s="53" t="n">
        <v>45977.4904976852</v>
      </c>
      <c r="Q4642" s="53" t="n">
        <v>45864.6391898148</v>
      </c>
      <c r="R4642" s="0" t="n">
        <v>0</v>
      </c>
      <c r="S4642" s="51" t="s">
        <v>2371</v>
      </c>
      <c r="T4642" s="51" t="s">
        <v>2371</v>
      </c>
      <c r="U4642" s="0" t="str">
        <f aca="false">"8493690104868"</f>
        <v>8493690104868</v>
      </c>
      <c r="V4642" s="51" t="s">
        <v>2142</v>
      </c>
      <c r="W4642" s="51" t="s">
        <v>8670</v>
      </c>
      <c r="X4642" s="51" t="s">
        <v>2359</v>
      </c>
    </row>
    <row r="4643" customFormat="false" ht="14.25" hidden="true" customHeight="false" outlineLevel="0" collapsed="false">
      <c r="A4643" s="49" t="s">
        <v>2349</v>
      </c>
      <c r="B4643" s="49" t="s">
        <v>2350</v>
      </c>
      <c r="C4643" s="49" t="s">
        <v>8671</v>
      </c>
      <c r="D4643" s="49" t="s">
        <v>2352</v>
      </c>
      <c r="E4643" s="49" t="str">
        <f aca="false">"8493690104868"</f>
        <v>8493690104868</v>
      </c>
      <c r="F4643" s="49" t="s">
        <v>3822</v>
      </c>
      <c r="G4643" s="49" t="n">
        <v>0</v>
      </c>
      <c r="H4643" s="0" t="n">
        <v>0</v>
      </c>
      <c r="M4643" s="51" t="s">
        <v>8653</v>
      </c>
      <c r="N4643" s="49" t="n">
        <v>0</v>
      </c>
      <c r="O4643" s="53" t="n">
        <v>45864.6392708333</v>
      </c>
      <c r="P4643" s="53" t="n">
        <v>46035.3753587963</v>
      </c>
      <c r="Q4643" s="53" t="n">
        <v>45864.6392708333</v>
      </c>
      <c r="R4643" s="0" t="n">
        <v>0</v>
      </c>
      <c r="S4643" s="51" t="s">
        <v>2371</v>
      </c>
      <c r="T4643" s="51" t="s">
        <v>2371</v>
      </c>
      <c r="U4643" s="0" t="str">
        <f aca="false">"8493690104868"</f>
        <v>8493690104868</v>
      </c>
      <c r="V4643" s="51" t="s">
        <v>2142</v>
      </c>
      <c r="W4643" s="51" t="s">
        <v>8672</v>
      </c>
      <c r="X4643" s="51" t="s">
        <v>2359</v>
      </c>
    </row>
    <row r="4644" customFormat="false" ht="14.25" hidden="true" customHeight="false" outlineLevel="0" collapsed="false">
      <c r="A4644" s="49" t="s">
        <v>2349</v>
      </c>
      <c r="B4644" s="49" t="s">
        <v>2350</v>
      </c>
      <c r="C4644" s="49" t="s">
        <v>8673</v>
      </c>
      <c r="D4644" s="49" t="s">
        <v>2352</v>
      </c>
      <c r="E4644" s="49" t="str">
        <f aca="false">"8493690104868"</f>
        <v>8493690104868</v>
      </c>
      <c r="F4644" s="49" t="s">
        <v>3822</v>
      </c>
      <c r="G4644" s="49" t="n">
        <v>0</v>
      </c>
      <c r="H4644" s="0" t="n">
        <v>0</v>
      </c>
      <c r="M4644" s="51" t="s">
        <v>8653</v>
      </c>
      <c r="N4644" s="49" t="n">
        <v>0</v>
      </c>
      <c r="O4644" s="53" t="n">
        <v>45864.6420138889</v>
      </c>
      <c r="P4644" s="53" t="n">
        <v>45965.8180902778</v>
      </c>
      <c r="Q4644" s="53" t="n">
        <v>45864.6420138889</v>
      </c>
      <c r="R4644" s="0" t="n">
        <v>0</v>
      </c>
      <c r="S4644" s="51" t="s">
        <v>2371</v>
      </c>
      <c r="T4644" s="51" t="s">
        <v>2371</v>
      </c>
      <c r="U4644" s="0" t="str">
        <f aca="false">"8493690104868"</f>
        <v>8493690104868</v>
      </c>
      <c r="V4644" s="51" t="s">
        <v>2142</v>
      </c>
      <c r="W4644" s="51" t="s">
        <v>8674</v>
      </c>
      <c r="X4644" s="51" t="s">
        <v>2359</v>
      </c>
    </row>
    <row r="4645" customFormat="false" ht="14.25" hidden="true" customHeight="false" outlineLevel="0" collapsed="false">
      <c r="A4645" s="49" t="s">
        <v>2349</v>
      </c>
      <c r="B4645" s="49" t="s">
        <v>2350</v>
      </c>
      <c r="C4645" s="49" t="s">
        <v>8675</v>
      </c>
      <c r="D4645" s="49" t="s">
        <v>2352</v>
      </c>
      <c r="E4645" s="49" t="str">
        <f aca="false">"8493690104868"</f>
        <v>8493690104868</v>
      </c>
      <c r="F4645" s="49" t="s">
        <v>3822</v>
      </c>
      <c r="G4645" s="49" t="n">
        <v>0</v>
      </c>
      <c r="H4645" s="0" t="n">
        <v>0</v>
      </c>
      <c r="M4645" s="51" t="s">
        <v>8653</v>
      </c>
      <c r="N4645" s="49" t="n">
        <v>0</v>
      </c>
      <c r="O4645" s="53" t="n">
        <v>45864.6419212963</v>
      </c>
      <c r="P4645" s="53" t="n">
        <v>46051.3429513889</v>
      </c>
      <c r="Q4645" s="53" t="n">
        <v>45864.6419212963</v>
      </c>
      <c r="R4645" s="0" t="n">
        <v>0</v>
      </c>
      <c r="S4645" s="51" t="s">
        <v>2371</v>
      </c>
      <c r="T4645" s="51" t="s">
        <v>2371</v>
      </c>
      <c r="U4645" s="0" t="str">
        <f aca="false">"8493690104868"</f>
        <v>8493690104868</v>
      </c>
      <c r="V4645" s="51" t="s">
        <v>2142</v>
      </c>
      <c r="W4645" s="51" t="s">
        <v>4971</v>
      </c>
      <c r="X4645" s="51" t="s">
        <v>2359</v>
      </c>
    </row>
    <row r="4646" customFormat="false" ht="14.25" hidden="true" customHeight="false" outlineLevel="0" collapsed="false">
      <c r="A4646" s="49" t="s">
        <v>2349</v>
      </c>
      <c r="B4646" s="49" t="s">
        <v>2350</v>
      </c>
      <c r="C4646" s="49" t="s">
        <v>8676</v>
      </c>
      <c r="D4646" s="49" t="s">
        <v>2352</v>
      </c>
      <c r="E4646" s="49" t="str">
        <f aca="false">"8493690104868"</f>
        <v>8493690104868</v>
      </c>
      <c r="F4646" s="49" t="s">
        <v>3822</v>
      </c>
      <c r="G4646" s="49" t="n">
        <v>0</v>
      </c>
      <c r="H4646" s="0" t="n">
        <v>0</v>
      </c>
      <c r="M4646" s="51" t="s">
        <v>8653</v>
      </c>
      <c r="N4646" s="49" t="n">
        <v>0</v>
      </c>
      <c r="O4646" s="53" t="n">
        <v>45864.641724537</v>
      </c>
      <c r="P4646" s="53" t="n">
        <v>45965.8194791667</v>
      </c>
      <c r="Q4646" s="53" t="n">
        <v>45864.641724537</v>
      </c>
      <c r="R4646" s="0" t="n">
        <v>0</v>
      </c>
      <c r="S4646" s="51" t="s">
        <v>2371</v>
      </c>
      <c r="T4646" s="51" t="s">
        <v>2371</v>
      </c>
      <c r="U4646" s="0" t="str">
        <f aca="false">"8493690104868"</f>
        <v>8493690104868</v>
      </c>
      <c r="V4646" s="51" t="s">
        <v>2142</v>
      </c>
      <c r="W4646" s="51" t="s">
        <v>8677</v>
      </c>
      <c r="X4646" s="51" t="s">
        <v>2359</v>
      </c>
    </row>
    <row r="4647" customFormat="false" ht="14.25" hidden="true" customHeight="false" outlineLevel="0" collapsed="false">
      <c r="A4647" s="49" t="s">
        <v>2349</v>
      </c>
      <c r="B4647" s="49" t="s">
        <v>2350</v>
      </c>
      <c r="C4647" s="49" t="s">
        <v>8678</v>
      </c>
      <c r="D4647" s="49" t="s">
        <v>2352</v>
      </c>
      <c r="E4647" s="49" t="str">
        <f aca="false">"8493690104868"</f>
        <v>8493690104868</v>
      </c>
      <c r="F4647" s="49" t="s">
        <v>3822</v>
      </c>
      <c r="G4647" s="49" t="n">
        <v>0</v>
      </c>
      <c r="H4647" s="0" t="n">
        <v>0</v>
      </c>
      <c r="M4647" s="51" t="s">
        <v>8653</v>
      </c>
      <c r="N4647" s="49" t="n">
        <v>0</v>
      </c>
      <c r="O4647" s="53" t="n">
        <v>45864.6416319445</v>
      </c>
      <c r="P4647" s="53" t="n">
        <v>45929.8958217593</v>
      </c>
      <c r="Q4647" s="53" t="n">
        <v>45864.6416319445</v>
      </c>
      <c r="R4647" s="0" t="n">
        <v>0</v>
      </c>
      <c r="S4647" s="51" t="s">
        <v>2371</v>
      </c>
      <c r="T4647" s="51" t="s">
        <v>2371</v>
      </c>
      <c r="U4647" s="0" t="str">
        <f aca="false">"8493690104868"</f>
        <v>8493690104868</v>
      </c>
      <c r="V4647" s="51" t="s">
        <v>2142</v>
      </c>
      <c r="W4647" s="51" t="s">
        <v>8679</v>
      </c>
      <c r="X4647" s="51" t="s">
        <v>2359</v>
      </c>
    </row>
    <row r="4648" customFormat="false" ht="14.25" hidden="true" customHeight="false" outlineLevel="0" collapsed="false">
      <c r="A4648" s="49" t="s">
        <v>2349</v>
      </c>
      <c r="B4648" s="49" t="s">
        <v>2350</v>
      </c>
      <c r="C4648" s="49" t="s">
        <v>8680</v>
      </c>
      <c r="D4648" s="49" t="s">
        <v>2352</v>
      </c>
      <c r="E4648" s="49" t="str">
        <f aca="false">"8493690104868"</f>
        <v>8493690104868</v>
      </c>
      <c r="F4648" s="49" t="s">
        <v>3822</v>
      </c>
      <c r="G4648" s="49" t="n">
        <v>0</v>
      </c>
      <c r="H4648" s="0" t="n">
        <v>0</v>
      </c>
      <c r="M4648" s="51" t="s">
        <v>8653</v>
      </c>
      <c r="N4648" s="49" t="n">
        <v>0</v>
      </c>
      <c r="O4648" s="53" t="n">
        <v>45864.6415509259</v>
      </c>
      <c r="P4648" s="53" t="n">
        <v>45925.7805208333</v>
      </c>
      <c r="Q4648" s="53" t="n">
        <v>45864.6415509259</v>
      </c>
      <c r="R4648" s="0" t="n">
        <v>0</v>
      </c>
      <c r="S4648" s="51" t="s">
        <v>2371</v>
      </c>
      <c r="T4648" s="51" t="s">
        <v>2371</v>
      </c>
      <c r="U4648" s="0" t="str">
        <f aca="false">"8493690104868"</f>
        <v>8493690104868</v>
      </c>
      <c r="V4648" s="51" t="s">
        <v>2142</v>
      </c>
      <c r="W4648" s="51" t="s">
        <v>7008</v>
      </c>
      <c r="X4648" s="51" t="s">
        <v>2359</v>
      </c>
    </row>
    <row r="4649" customFormat="false" ht="14.25" hidden="true" customHeight="false" outlineLevel="0" collapsed="false">
      <c r="A4649" s="49" t="s">
        <v>2349</v>
      </c>
      <c r="B4649" s="49" t="s">
        <v>2350</v>
      </c>
      <c r="C4649" s="49" t="s">
        <v>8681</v>
      </c>
      <c r="D4649" s="49" t="s">
        <v>2352</v>
      </c>
      <c r="E4649" s="49" t="str">
        <f aca="false">"8493690104868"</f>
        <v>8493690104868</v>
      </c>
      <c r="F4649" s="49" t="s">
        <v>3822</v>
      </c>
      <c r="G4649" s="49" t="n">
        <v>0</v>
      </c>
      <c r="H4649" s="0" t="n">
        <v>0</v>
      </c>
      <c r="M4649" s="51" t="s">
        <v>8653</v>
      </c>
      <c r="N4649" s="49" t="n">
        <v>0</v>
      </c>
      <c r="O4649" s="53" t="n">
        <v>45864.639525463</v>
      </c>
      <c r="P4649" s="53" t="n">
        <v>46051.3748958333</v>
      </c>
      <c r="Q4649" s="53" t="n">
        <v>45864.639525463</v>
      </c>
      <c r="R4649" s="0" t="n">
        <v>0</v>
      </c>
      <c r="S4649" s="51" t="s">
        <v>2371</v>
      </c>
      <c r="T4649" s="51" t="s">
        <v>2371</v>
      </c>
      <c r="U4649" s="0" t="str">
        <f aca="false">"8493690104868"</f>
        <v>8493690104868</v>
      </c>
      <c r="V4649" s="51" t="s">
        <v>2142</v>
      </c>
      <c r="W4649" s="51" t="s">
        <v>8682</v>
      </c>
      <c r="X4649" s="51" t="s">
        <v>2359</v>
      </c>
    </row>
    <row r="4650" customFormat="false" ht="14.25" hidden="true" customHeight="false" outlineLevel="0" collapsed="false">
      <c r="A4650" s="49" t="s">
        <v>2349</v>
      </c>
      <c r="B4650" s="49" t="s">
        <v>2350</v>
      </c>
      <c r="C4650" s="49" t="s">
        <v>8683</v>
      </c>
      <c r="D4650" s="49" t="s">
        <v>2352</v>
      </c>
      <c r="E4650" s="49" t="str">
        <f aca="false">"8493690104868"</f>
        <v>8493690104868</v>
      </c>
      <c r="F4650" s="49" t="s">
        <v>3822</v>
      </c>
      <c r="G4650" s="49" t="n">
        <v>0</v>
      </c>
      <c r="H4650" s="0" t="n">
        <v>0</v>
      </c>
      <c r="M4650" s="51" t="s">
        <v>8653</v>
      </c>
      <c r="N4650" s="49" t="n">
        <v>0</v>
      </c>
      <c r="O4650" s="53" t="n">
        <v>45864.6396180556</v>
      </c>
      <c r="P4650" s="53" t="n">
        <v>46007.0114583333</v>
      </c>
      <c r="Q4650" s="53" t="n">
        <v>45864.6396180556</v>
      </c>
      <c r="R4650" s="0" t="n">
        <v>0</v>
      </c>
      <c r="S4650" s="51" t="s">
        <v>2371</v>
      </c>
      <c r="T4650" s="51" t="s">
        <v>2371</v>
      </c>
      <c r="U4650" s="0" t="str">
        <f aca="false">"8493690104868"</f>
        <v>8493690104868</v>
      </c>
      <c r="V4650" s="51" t="s">
        <v>2142</v>
      </c>
      <c r="W4650" s="51" t="s">
        <v>4258</v>
      </c>
      <c r="X4650" s="51" t="s">
        <v>2359</v>
      </c>
    </row>
    <row r="4651" customFormat="false" ht="14.25" hidden="true" customHeight="false" outlineLevel="0" collapsed="false">
      <c r="A4651" s="49" t="s">
        <v>2349</v>
      </c>
      <c r="B4651" s="49" t="s">
        <v>2350</v>
      </c>
      <c r="C4651" s="49" t="s">
        <v>8684</v>
      </c>
      <c r="D4651" s="49" t="s">
        <v>2352</v>
      </c>
      <c r="E4651" s="49" t="str">
        <f aca="false">"8493690104868"</f>
        <v>8493690104868</v>
      </c>
      <c r="F4651" s="49" t="s">
        <v>3822</v>
      </c>
      <c r="G4651" s="49" t="n">
        <v>0</v>
      </c>
      <c r="H4651" s="0" t="n">
        <v>0</v>
      </c>
      <c r="M4651" s="51" t="s">
        <v>8653</v>
      </c>
      <c r="N4651" s="49" t="n">
        <v>0</v>
      </c>
      <c r="O4651" s="53" t="n">
        <v>45864.6396990741</v>
      </c>
      <c r="P4651" s="53" t="n">
        <v>45977.4612615741</v>
      </c>
      <c r="Q4651" s="53" t="n">
        <v>45864.6396990741</v>
      </c>
      <c r="R4651" s="0" t="n">
        <v>0</v>
      </c>
      <c r="S4651" s="51" t="s">
        <v>2371</v>
      </c>
      <c r="T4651" s="51" t="s">
        <v>2371</v>
      </c>
      <c r="U4651" s="0" t="str">
        <f aca="false">"8493690104868"</f>
        <v>8493690104868</v>
      </c>
      <c r="V4651" s="51" t="s">
        <v>2142</v>
      </c>
      <c r="W4651" s="51" t="s">
        <v>8685</v>
      </c>
      <c r="X4651" s="51" t="s">
        <v>2359</v>
      </c>
    </row>
    <row r="4652" customFormat="false" ht="14.25" hidden="true" customHeight="false" outlineLevel="0" collapsed="false">
      <c r="A4652" s="49" t="s">
        <v>2349</v>
      </c>
      <c r="B4652" s="49" t="s">
        <v>2350</v>
      </c>
      <c r="C4652" s="49" t="s">
        <v>8686</v>
      </c>
      <c r="D4652" s="49" t="s">
        <v>2352</v>
      </c>
      <c r="E4652" s="49" t="str">
        <f aca="false">"8493690104868"</f>
        <v>8493690104868</v>
      </c>
      <c r="F4652" s="49" t="s">
        <v>3822</v>
      </c>
      <c r="G4652" s="49" t="n">
        <v>0</v>
      </c>
      <c r="H4652" s="0" t="n">
        <v>0</v>
      </c>
      <c r="M4652" s="51" t="s">
        <v>8653</v>
      </c>
      <c r="N4652" s="49" t="n">
        <v>0</v>
      </c>
      <c r="O4652" s="53" t="n">
        <v>45864.6397916667</v>
      </c>
      <c r="P4652" s="53" t="n">
        <v>45977.491712963</v>
      </c>
      <c r="Q4652" s="53" t="n">
        <v>45864.6397916667</v>
      </c>
      <c r="R4652" s="0" t="n">
        <v>0</v>
      </c>
      <c r="S4652" s="51" t="s">
        <v>2371</v>
      </c>
      <c r="T4652" s="51" t="s">
        <v>2371</v>
      </c>
      <c r="U4652" s="0" t="str">
        <f aca="false">"8493690104868"</f>
        <v>8493690104868</v>
      </c>
      <c r="V4652" s="51" t="s">
        <v>2142</v>
      </c>
      <c r="W4652" s="51" t="s">
        <v>8687</v>
      </c>
      <c r="X4652" s="51" t="s">
        <v>2359</v>
      </c>
    </row>
    <row r="4653" customFormat="false" ht="14.25" hidden="true" customHeight="false" outlineLevel="0" collapsed="false">
      <c r="A4653" s="49" t="s">
        <v>2349</v>
      </c>
      <c r="B4653" s="49" t="s">
        <v>2350</v>
      </c>
      <c r="C4653" s="49" t="s">
        <v>8688</v>
      </c>
      <c r="D4653" s="49" t="s">
        <v>2352</v>
      </c>
      <c r="E4653" s="49" t="str">
        <f aca="false">"8493690104868"</f>
        <v>8493690104868</v>
      </c>
      <c r="F4653" s="49" t="s">
        <v>3822</v>
      </c>
      <c r="G4653" s="49" t="n">
        <v>0</v>
      </c>
      <c r="H4653" s="0" t="n">
        <v>0</v>
      </c>
      <c r="M4653" s="51" t="s">
        <v>8653</v>
      </c>
      <c r="N4653" s="49" t="n">
        <v>0</v>
      </c>
      <c r="O4653" s="53" t="n">
        <v>45864.6398726852</v>
      </c>
      <c r="P4653" s="53" t="n">
        <v>46039.3167939815</v>
      </c>
      <c r="Q4653" s="53" t="n">
        <v>45864.6398726852</v>
      </c>
      <c r="R4653" s="0" t="n">
        <v>0</v>
      </c>
      <c r="S4653" s="51" t="s">
        <v>2371</v>
      </c>
      <c r="T4653" s="51" t="s">
        <v>2371</v>
      </c>
      <c r="U4653" s="0" t="str">
        <f aca="false">"8493690104868"</f>
        <v>8493690104868</v>
      </c>
      <c r="V4653" s="51" t="s">
        <v>2142</v>
      </c>
      <c r="W4653" s="51" t="s">
        <v>8689</v>
      </c>
      <c r="X4653" s="51" t="s">
        <v>2359</v>
      </c>
    </row>
    <row r="4654" customFormat="false" ht="14.25" hidden="true" customHeight="false" outlineLevel="0" collapsed="false">
      <c r="A4654" s="49" t="s">
        <v>2349</v>
      </c>
      <c r="B4654" s="49" t="s">
        <v>2350</v>
      </c>
      <c r="C4654" s="49" t="s">
        <v>8690</v>
      </c>
      <c r="D4654" s="49" t="s">
        <v>2352</v>
      </c>
      <c r="E4654" s="49" t="str">
        <f aca="false">"8493690104868"</f>
        <v>8493690104868</v>
      </c>
      <c r="F4654" s="49" t="s">
        <v>3822</v>
      </c>
      <c r="G4654" s="49" t="n">
        <v>0</v>
      </c>
      <c r="H4654" s="0" t="n">
        <v>0</v>
      </c>
      <c r="M4654" s="51" t="s">
        <v>8653</v>
      </c>
      <c r="N4654" s="49" t="n">
        <v>0</v>
      </c>
      <c r="O4654" s="53" t="n">
        <v>45864.6399652778</v>
      </c>
      <c r="P4654" s="53" t="n">
        <v>46039.3149652778</v>
      </c>
      <c r="Q4654" s="53" t="n">
        <v>45864.6399652778</v>
      </c>
      <c r="R4654" s="0" t="n">
        <v>0</v>
      </c>
      <c r="S4654" s="51" t="s">
        <v>2371</v>
      </c>
      <c r="T4654" s="51" t="s">
        <v>2371</v>
      </c>
      <c r="U4654" s="0" t="str">
        <f aca="false">"8493690104868"</f>
        <v>8493690104868</v>
      </c>
      <c r="V4654" s="51" t="s">
        <v>2142</v>
      </c>
      <c r="W4654" s="51" t="s">
        <v>8691</v>
      </c>
      <c r="X4654" s="51" t="s">
        <v>2359</v>
      </c>
    </row>
    <row r="4655" customFormat="false" ht="14.25" hidden="true" customHeight="false" outlineLevel="0" collapsed="false">
      <c r="A4655" s="49" t="s">
        <v>2349</v>
      </c>
      <c r="B4655" s="49" t="s">
        <v>2350</v>
      </c>
      <c r="C4655" s="49" t="s">
        <v>8692</v>
      </c>
      <c r="D4655" s="49" t="s">
        <v>2352</v>
      </c>
      <c r="E4655" s="49" t="str">
        <f aca="false">"8493690104868"</f>
        <v>8493690104868</v>
      </c>
      <c r="F4655" s="49" t="s">
        <v>3822</v>
      </c>
      <c r="G4655" s="49" t="n">
        <v>0</v>
      </c>
      <c r="H4655" s="0" t="n">
        <v>0</v>
      </c>
      <c r="M4655" s="51" t="s">
        <v>8653</v>
      </c>
      <c r="N4655" s="49" t="n">
        <v>0</v>
      </c>
      <c r="O4655" s="53" t="n">
        <v>45864.6401041667</v>
      </c>
      <c r="P4655" s="53" t="n">
        <v>45925.725150463</v>
      </c>
      <c r="Q4655" s="53" t="n">
        <v>45864.6401041667</v>
      </c>
      <c r="R4655" s="0" t="n">
        <v>0</v>
      </c>
      <c r="S4655" s="51" t="s">
        <v>2371</v>
      </c>
      <c r="T4655" s="51" t="s">
        <v>2371</v>
      </c>
      <c r="U4655" s="0" t="str">
        <f aca="false">"8493690104868"</f>
        <v>8493690104868</v>
      </c>
      <c r="V4655" s="51" t="s">
        <v>2142</v>
      </c>
      <c r="W4655" s="51" t="s">
        <v>4782</v>
      </c>
      <c r="X4655" s="51" t="s">
        <v>2359</v>
      </c>
    </row>
    <row r="4656" customFormat="false" ht="14.25" hidden="true" customHeight="false" outlineLevel="0" collapsed="false">
      <c r="A4656" s="49" t="s">
        <v>2349</v>
      </c>
      <c r="B4656" s="49" t="s">
        <v>2350</v>
      </c>
      <c r="C4656" s="49" t="s">
        <v>8693</v>
      </c>
      <c r="D4656" s="49" t="s">
        <v>2352</v>
      </c>
      <c r="E4656" s="49" t="str">
        <f aca="false">"8493690104868"</f>
        <v>8493690104868</v>
      </c>
      <c r="F4656" s="49" t="s">
        <v>3822</v>
      </c>
      <c r="G4656" s="49" t="n">
        <v>0</v>
      </c>
      <c r="H4656" s="0" t="n">
        <v>0</v>
      </c>
      <c r="M4656" s="51" t="s">
        <v>8653</v>
      </c>
      <c r="N4656" s="49" t="n">
        <v>0</v>
      </c>
      <c r="O4656" s="53" t="n">
        <v>45864.6401967593</v>
      </c>
      <c r="P4656" s="53" t="n">
        <v>45952.9489467593</v>
      </c>
      <c r="Q4656" s="53" t="n">
        <v>45864.6401967593</v>
      </c>
      <c r="R4656" s="0" t="n">
        <v>0</v>
      </c>
      <c r="S4656" s="51" t="s">
        <v>2371</v>
      </c>
      <c r="T4656" s="51" t="s">
        <v>2371</v>
      </c>
      <c r="U4656" s="0" t="str">
        <f aca="false">"8493690104868"</f>
        <v>8493690104868</v>
      </c>
      <c r="V4656" s="51" t="s">
        <v>2142</v>
      </c>
      <c r="W4656" s="51" t="s">
        <v>8694</v>
      </c>
      <c r="X4656" s="51" t="s">
        <v>2359</v>
      </c>
    </row>
    <row r="4657" customFormat="false" ht="14.25" hidden="true" customHeight="false" outlineLevel="0" collapsed="false">
      <c r="A4657" s="49" t="s">
        <v>2349</v>
      </c>
      <c r="B4657" s="49" t="s">
        <v>2350</v>
      </c>
      <c r="C4657" s="49" t="s">
        <v>8695</v>
      </c>
      <c r="D4657" s="49" t="s">
        <v>2352</v>
      </c>
      <c r="E4657" s="49" t="str">
        <f aca="false">"8493690104868"</f>
        <v>8493690104868</v>
      </c>
      <c r="F4657" s="49" t="s">
        <v>3822</v>
      </c>
      <c r="G4657" s="49" t="n">
        <v>0</v>
      </c>
      <c r="H4657" s="0" t="n">
        <v>0</v>
      </c>
      <c r="M4657" s="51" t="s">
        <v>8653</v>
      </c>
      <c r="N4657" s="49" t="n">
        <v>0</v>
      </c>
      <c r="O4657" s="53" t="n">
        <v>45864.6403125</v>
      </c>
      <c r="P4657" s="53" t="n">
        <v>45977.4783680556</v>
      </c>
      <c r="Q4657" s="53" t="n">
        <v>45864.6403125</v>
      </c>
      <c r="R4657" s="0" t="n">
        <v>0</v>
      </c>
      <c r="S4657" s="51" t="s">
        <v>2371</v>
      </c>
      <c r="T4657" s="51" t="s">
        <v>2371</v>
      </c>
      <c r="U4657" s="0" t="str">
        <f aca="false">"8493690104868"</f>
        <v>8493690104868</v>
      </c>
      <c r="V4657" s="51" t="s">
        <v>2142</v>
      </c>
      <c r="W4657" s="51" t="s">
        <v>8696</v>
      </c>
      <c r="X4657" s="51" t="s">
        <v>2359</v>
      </c>
    </row>
    <row r="4658" customFormat="false" ht="14.25" hidden="true" customHeight="false" outlineLevel="0" collapsed="false">
      <c r="A4658" s="49" t="s">
        <v>2349</v>
      </c>
      <c r="B4658" s="49" t="s">
        <v>2350</v>
      </c>
      <c r="C4658" s="49" t="s">
        <v>8697</v>
      </c>
      <c r="D4658" s="49" t="s">
        <v>2352</v>
      </c>
      <c r="E4658" s="49" t="str">
        <f aca="false">"8493690104868"</f>
        <v>8493690104868</v>
      </c>
      <c r="F4658" s="49" t="s">
        <v>3822</v>
      </c>
      <c r="G4658" s="49" t="n">
        <v>0</v>
      </c>
      <c r="H4658" s="0" t="n">
        <v>0</v>
      </c>
      <c r="M4658" s="51" t="s">
        <v>8653</v>
      </c>
      <c r="N4658" s="49" t="n">
        <v>0</v>
      </c>
      <c r="O4658" s="53" t="n">
        <v>45864.6403935185</v>
      </c>
      <c r="P4658" s="53" t="n">
        <v>45977.4712152778</v>
      </c>
      <c r="Q4658" s="53" t="n">
        <v>45864.6403935185</v>
      </c>
      <c r="R4658" s="0" t="n">
        <v>0</v>
      </c>
      <c r="S4658" s="51" t="s">
        <v>2371</v>
      </c>
      <c r="T4658" s="51" t="s">
        <v>2371</v>
      </c>
      <c r="U4658" s="0" t="str">
        <f aca="false">"8493690104868"</f>
        <v>8493690104868</v>
      </c>
      <c r="V4658" s="51" t="s">
        <v>2142</v>
      </c>
      <c r="W4658" s="51" t="s">
        <v>8698</v>
      </c>
      <c r="X4658" s="51" t="s">
        <v>2359</v>
      </c>
    </row>
    <row r="4659" customFormat="false" ht="14.25" hidden="true" customHeight="false" outlineLevel="0" collapsed="false">
      <c r="A4659" s="49" t="s">
        <v>2349</v>
      </c>
      <c r="B4659" s="49" t="s">
        <v>2350</v>
      </c>
      <c r="C4659" s="49" t="s">
        <v>8699</v>
      </c>
      <c r="D4659" s="49" t="s">
        <v>2352</v>
      </c>
      <c r="E4659" s="49" t="str">
        <f aca="false">"8493690104868"</f>
        <v>8493690104868</v>
      </c>
      <c r="F4659" s="49" t="s">
        <v>3822</v>
      </c>
      <c r="G4659" s="49" t="n">
        <v>0</v>
      </c>
      <c r="H4659" s="0" t="n">
        <v>0</v>
      </c>
      <c r="M4659" s="51" t="s">
        <v>8653</v>
      </c>
      <c r="N4659" s="49" t="n">
        <v>0</v>
      </c>
      <c r="O4659" s="53" t="n">
        <v>45864.6405439815</v>
      </c>
      <c r="P4659" s="53" t="n">
        <v>45977.4801388889</v>
      </c>
      <c r="Q4659" s="53" t="n">
        <v>45864.6405439815</v>
      </c>
      <c r="R4659" s="0" t="n">
        <v>0</v>
      </c>
      <c r="S4659" s="51" t="s">
        <v>2371</v>
      </c>
      <c r="T4659" s="51" t="s">
        <v>2371</v>
      </c>
      <c r="U4659" s="0" t="str">
        <f aca="false">"8493690104868"</f>
        <v>8493690104868</v>
      </c>
      <c r="V4659" s="51" t="s">
        <v>2142</v>
      </c>
      <c r="W4659" s="51" t="s">
        <v>8700</v>
      </c>
      <c r="X4659" s="51" t="s">
        <v>2359</v>
      </c>
    </row>
    <row r="4660" customFormat="false" ht="14.25" hidden="true" customHeight="false" outlineLevel="0" collapsed="false">
      <c r="A4660" s="49" t="s">
        <v>2349</v>
      </c>
      <c r="B4660" s="49" t="s">
        <v>2350</v>
      </c>
      <c r="C4660" s="49" t="s">
        <v>8701</v>
      </c>
      <c r="D4660" s="49" t="s">
        <v>2352</v>
      </c>
      <c r="E4660" s="49" t="str">
        <f aca="false">"8493690104868"</f>
        <v>8493690104868</v>
      </c>
      <c r="F4660" s="49" t="s">
        <v>3822</v>
      </c>
      <c r="G4660" s="49" t="n">
        <v>0</v>
      </c>
      <c r="H4660" s="0" t="n">
        <v>0</v>
      </c>
      <c r="M4660" s="51" t="s">
        <v>8653</v>
      </c>
      <c r="N4660" s="49" t="n">
        <v>0</v>
      </c>
      <c r="O4660" s="53" t="n">
        <v>45864.6409837963</v>
      </c>
      <c r="P4660" s="53" t="n">
        <v>45925.7871875</v>
      </c>
      <c r="Q4660" s="53" t="n">
        <v>45864.6409837963</v>
      </c>
      <c r="R4660" s="0" t="n">
        <v>0</v>
      </c>
      <c r="S4660" s="51" t="s">
        <v>2371</v>
      </c>
      <c r="T4660" s="51" t="s">
        <v>2371</v>
      </c>
      <c r="U4660" s="0" t="str">
        <f aca="false">"8493690104868"</f>
        <v>8493690104868</v>
      </c>
      <c r="V4660" s="51" t="s">
        <v>2142</v>
      </c>
      <c r="W4660" s="51" t="s">
        <v>7890</v>
      </c>
      <c r="X4660" s="51" t="s">
        <v>2359</v>
      </c>
    </row>
    <row r="4661" customFormat="false" ht="14.25" hidden="true" customHeight="false" outlineLevel="0" collapsed="false">
      <c r="A4661" s="49" t="s">
        <v>2349</v>
      </c>
      <c r="B4661" s="49" t="s">
        <v>2350</v>
      </c>
      <c r="C4661" s="49" t="s">
        <v>8702</v>
      </c>
      <c r="D4661" s="49" t="s">
        <v>2352</v>
      </c>
      <c r="E4661" s="49" t="str">
        <f aca="false">"8493690104868"</f>
        <v>8493690104868</v>
      </c>
      <c r="F4661" s="49" t="s">
        <v>3822</v>
      </c>
      <c r="G4661" s="49" t="n">
        <v>0</v>
      </c>
      <c r="H4661" s="0" t="n">
        <v>0</v>
      </c>
      <c r="M4661" s="51" t="s">
        <v>8653</v>
      </c>
      <c r="N4661" s="49" t="n">
        <v>0</v>
      </c>
      <c r="O4661" s="53" t="n">
        <v>45864.6408333333</v>
      </c>
      <c r="P4661" s="53" t="n">
        <v>45977.4703240741</v>
      </c>
      <c r="Q4661" s="53" t="n">
        <v>45864.6408333333</v>
      </c>
      <c r="R4661" s="0" t="n">
        <v>0</v>
      </c>
      <c r="S4661" s="51" t="s">
        <v>2371</v>
      </c>
      <c r="T4661" s="51" t="s">
        <v>2371</v>
      </c>
      <c r="U4661" s="0" t="str">
        <f aca="false">"8493690104868"</f>
        <v>8493690104868</v>
      </c>
      <c r="V4661" s="51" t="s">
        <v>2142</v>
      </c>
      <c r="W4661" s="51" t="s">
        <v>8703</v>
      </c>
      <c r="X4661" s="51" t="s">
        <v>2359</v>
      </c>
    </row>
    <row r="4662" customFormat="false" ht="14.25" hidden="true" customHeight="false" outlineLevel="0" collapsed="false">
      <c r="A4662" s="49" t="s">
        <v>2349</v>
      </c>
      <c r="B4662" s="49" t="s">
        <v>2350</v>
      </c>
      <c r="C4662" s="49" t="s">
        <v>8704</v>
      </c>
      <c r="D4662" s="49" t="s">
        <v>2352</v>
      </c>
      <c r="E4662" s="49" t="str">
        <f aca="false">"8493690104868"</f>
        <v>8493690104868</v>
      </c>
      <c r="F4662" s="49" t="s">
        <v>3822</v>
      </c>
      <c r="G4662" s="49" t="n">
        <v>0</v>
      </c>
      <c r="H4662" s="0" t="n">
        <v>0</v>
      </c>
      <c r="M4662" s="51" t="s">
        <v>8653</v>
      </c>
      <c r="N4662" s="49" t="n">
        <v>0</v>
      </c>
      <c r="O4662" s="53" t="n">
        <v>45864.6412037037</v>
      </c>
      <c r="P4662" s="53" t="n">
        <v>45925.7791087963</v>
      </c>
      <c r="Q4662" s="53" t="n">
        <v>45864.6412037037</v>
      </c>
      <c r="R4662" s="0" t="n">
        <v>0</v>
      </c>
      <c r="S4662" s="51" t="s">
        <v>2371</v>
      </c>
      <c r="T4662" s="51" t="s">
        <v>2371</v>
      </c>
      <c r="U4662" s="0" t="str">
        <f aca="false">"8493690104868"</f>
        <v>8493690104868</v>
      </c>
      <c r="V4662" s="51" t="s">
        <v>2142</v>
      </c>
      <c r="W4662" s="51" t="s">
        <v>7881</v>
      </c>
      <c r="X4662" s="51" t="s">
        <v>2359</v>
      </c>
    </row>
    <row r="4663" customFormat="false" ht="14.25" hidden="true" customHeight="false" outlineLevel="0" collapsed="false">
      <c r="A4663" s="49" t="s">
        <v>2349</v>
      </c>
      <c r="B4663" s="49" t="s">
        <v>2350</v>
      </c>
      <c r="C4663" s="49" t="s">
        <v>8705</v>
      </c>
      <c r="D4663" s="49" t="s">
        <v>2352</v>
      </c>
      <c r="E4663" s="49" t="str">
        <f aca="false">"5060458890191"</f>
        <v>5060458890191</v>
      </c>
      <c r="F4663" s="49" t="s">
        <v>3656</v>
      </c>
      <c r="G4663" s="49" t="n">
        <v>0</v>
      </c>
      <c r="H4663" s="0" t="n">
        <v>0</v>
      </c>
      <c r="M4663" s="51" t="s">
        <v>8706</v>
      </c>
      <c r="N4663" s="49" t="n">
        <v>0</v>
      </c>
      <c r="O4663" s="53" t="n">
        <v>45887.5804398148</v>
      </c>
      <c r="P4663" s="53" t="n">
        <v>45890.6253587963</v>
      </c>
      <c r="Q4663" s="53" t="n">
        <v>45887.5804398148</v>
      </c>
      <c r="R4663" s="0" t="n">
        <v>0</v>
      </c>
      <c r="S4663" s="51" t="s">
        <v>2416</v>
      </c>
      <c r="T4663" s="51" t="s">
        <v>2416</v>
      </c>
      <c r="U4663" s="0" t="str">
        <f aca="false">"5060458890191"</f>
        <v>5060458890191</v>
      </c>
      <c r="V4663" s="51" t="s">
        <v>2142</v>
      </c>
      <c r="W4663" s="51" t="s">
        <v>8707</v>
      </c>
      <c r="X4663" s="51" t="s">
        <v>2359</v>
      </c>
    </row>
    <row r="4664" customFormat="false" ht="14.25" hidden="true" customHeight="false" outlineLevel="0" collapsed="false">
      <c r="A4664" s="49" t="s">
        <v>2349</v>
      </c>
      <c r="B4664" s="49" t="s">
        <v>2350</v>
      </c>
      <c r="C4664" s="49" t="s">
        <v>8708</v>
      </c>
      <c r="D4664" s="49" t="s">
        <v>2352</v>
      </c>
      <c r="E4664" s="49" t="str">
        <f aca="false">"5060458890191"</f>
        <v>5060458890191</v>
      </c>
      <c r="F4664" s="49" t="s">
        <v>3656</v>
      </c>
      <c r="G4664" s="49" t="n">
        <v>0</v>
      </c>
      <c r="H4664" s="0" t="n">
        <v>0</v>
      </c>
      <c r="M4664" s="51" t="s">
        <v>8706</v>
      </c>
      <c r="N4664" s="49" t="n">
        <v>0</v>
      </c>
      <c r="O4664" s="53" t="n">
        <v>45887.5835300926</v>
      </c>
      <c r="P4664" s="53" t="n">
        <v>45890.8951041667</v>
      </c>
      <c r="Q4664" s="53" t="n">
        <v>45887.5835300926</v>
      </c>
      <c r="R4664" s="0" t="n">
        <v>0</v>
      </c>
      <c r="S4664" s="51" t="s">
        <v>2416</v>
      </c>
      <c r="T4664" s="51" t="s">
        <v>2416</v>
      </c>
      <c r="U4664" s="0" t="str">
        <f aca="false">"5060458890191"</f>
        <v>5060458890191</v>
      </c>
      <c r="V4664" s="51" t="s">
        <v>2142</v>
      </c>
      <c r="W4664" s="51" t="s">
        <v>7533</v>
      </c>
      <c r="X4664" s="51" t="s">
        <v>2359</v>
      </c>
    </row>
    <row r="4665" customFormat="false" ht="14.25" hidden="true" customHeight="false" outlineLevel="0" collapsed="false">
      <c r="A4665" s="49" t="s">
        <v>2349</v>
      </c>
      <c r="B4665" s="49" t="s">
        <v>2350</v>
      </c>
      <c r="C4665" s="49" t="s">
        <v>8709</v>
      </c>
      <c r="D4665" s="49" t="s">
        <v>2352</v>
      </c>
      <c r="E4665" s="49" t="str">
        <f aca="false">"5060458890191"</f>
        <v>5060458890191</v>
      </c>
      <c r="F4665" s="49" t="s">
        <v>3656</v>
      </c>
      <c r="G4665" s="49" t="n">
        <v>0</v>
      </c>
      <c r="H4665" s="0" t="n">
        <v>0</v>
      </c>
      <c r="M4665" s="51" t="s">
        <v>8706</v>
      </c>
      <c r="N4665" s="49" t="n">
        <v>0</v>
      </c>
      <c r="O4665" s="53" t="n">
        <v>45887.5816550926</v>
      </c>
      <c r="P4665" s="53" t="n">
        <v>45890.6246412037</v>
      </c>
      <c r="Q4665" s="53" t="n">
        <v>45887.5816550926</v>
      </c>
      <c r="R4665" s="0" t="n">
        <v>0</v>
      </c>
      <c r="S4665" s="51" t="s">
        <v>2416</v>
      </c>
      <c r="T4665" s="51" t="s">
        <v>2416</v>
      </c>
      <c r="U4665" s="0" t="str">
        <f aca="false">"5060458890191"</f>
        <v>5060458890191</v>
      </c>
      <c r="V4665" s="51" t="s">
        <v>2142</v>
      </c>
      <c r="W4665" s="51" t="s">
        <v>8710</v>
      </c>
      <c r="X4665" s="51" t="s">
        <v>2359</v>
      </c>
    </row>
    <row r="4666" customFormat="false" ht="14.25" hidden="true" customHeight="false" outlineLevel="0" collapsed="false">
      <c r="A4666" s="49" t="s">
        <v>2349</v>
      </c>
      <c r="B4666" s="49" t="s">
        <v>2350</v>
      </c>
      <c r="C4666" s="49" t="s">
        <v>8711</v>
      </c>
      <c r="D4666" s="49" t="s">
        <v>2352</v>
      </c>
      <c r="E4666" s="49" t="str">
        <f aca="false">"5060458890191"</f>
        <v>5060458890191</v>
      </c>
      <c r="F4666" s="49" t="s">
        <v>3656</v>
      </c>
      <c r="G4666" s="49" t="n">
        <v>0</v>
      </c>
      <c r="H4666" s="0" t="n">
        <v>0</v>
      </c>
      <c r="M4666" s="51" t="s">
        <v>8706</v>
      </c>
      <c r="N4666" s="49" t="n">
        <v>0</v>
      </c>
      <c r="O4666" s="53" t="n">
        <v>45887.5828703704</v>
      </c>
      <c r="P4666" s="53" t="n">
        <v>45890.6257291667</v>
      </c>
      <c r="Q4666" s="53" t="n">
        <v>45887.5828703704</v>
      </c>
      <c r="R4666" s="0" t="n">
        <v>0</v>
      </c>
      <c r="S4666" s="51" t="s">
        <v>2416</v>
      </c>
      <c r="T4666" s="51" t="s">
        <v>2416</v>
      </c>
      <c r="U4666" s="0" t="str">
        <f aca="false">"5060458890191"</f>
        <v>5060458890191</v>
      </c>
      <c r="V4666" s="51" t="s">
        <v>2142</v>
      </c>
      <c r="W4666" s="51" t="s">
        <v>8349</v>
      </c>
      <c r="X4666" s="51" t="s">
        <v>2359</v>
      </c>
    </row>
    <row r="4667" customFormat="false" ht="14.25" hidden="true" customHeight="false" outlineLevel="0" collapsed="false">
      <c r="A4667" s="49" t="s">
        <v>2349</v>
      </c>
      <c r="B4667" s="49" t="s">
        <v>2350</v>
      </c>
      <c r="C4667" s="49" t="s">
        <v>8712</v>
      </c>
      <c r="D4667" s="49" t="s">
        <v>2352</v>
      </c>
      <c r="E4667" s="49" t="str">
        <f aca="false">"5060458890191"</f>
        <v>5060458890191</v>
      </c>
      <c r="F4667" s="49" t="s">
        <v>3656</v>
      </c>
      <c r="G4667" s="49" t="n">
        <v>0</v>
      </c>
      <c r="H4667" s="0" t="n">
        <v>0</v>
      </c>
      <c r="M4667" s="51" t="s">
        <v>8706</v>
      </c>
      <c r="N4667" s="49" t="n">
        <v>0</v>
      </c>
      <c r="O4667" s="53" t="n">
        <v>45887.5817361111</v>
      </c>
      <c r="P4667" s="53" t="n">
        <v>45890.5547222222</v>
      </c>
      <c r="Q4667" s="53" t="n">
        <v>45887.5817361111</v>
      </c>
      <c r="R4667" s="0" t="n">
        <v>0</v>
      </c>
      <c r="S4667" s="51" t="s">
        <v>2416</v>
      </c>
      <c r="T4667" s="51" t="s">
        <v>2416</v>
      </c>
      <c r="U4667" s="0" t="str">
        <f aca="false">"5060458890191"</f>
        <v>5060458890191</v>
      </c>
      <c r="V4667" s="51" t="s">
        <v>2142</v>
      </c>
      <c r="W4667" s="51" t="s">
        <v>6775</v>
      </c>
      <c r="X4667" s="51" t="s">
        <v>2359</v>
      </c>
    </row>
    <row r="4668" customFormat="false" ht="14.25" hidden="true" customHeight="false" outlineLevel="0" collapsed="false">
      <c r="A4668" s="49" t="s">
        <v>2349</v>
      </c>
      <c r="B4668" s="49" t="s">
        <v>2350</v>
      </c>
      <c r="C4668" s="49" t="s">
        <v>8713</v>
      </c>
      <c r="D4668" s="49" t="s">
        <v>2352</v>
      </c>
      <c r="E4668" s="49" t="str">
        <f aca="false">"5060458890191"</f>
        <v>5060458890191</v>
      </c>
      <c r="F4668" s="49" t="s">
        <v>3656</v>
      </c>
      <c r="G4668" s="49" t="n">
        <v>0</v>
      </c>
      <c r="H4668" s="0" t="n">
        <v>0</v>
      </c>
      <c r="M4668" s="51" t="s">
        <v>8706</v>
      </c>
      <c r="N4668" s="49" t="n">
        <v>0</v>
      </c>
      <c r="O4668" s="53" t="n">
        <v>45887.5827777778</v>
      </c>
      <c r="P4668" s="53" t="n">
        <v>45890.5870833333</v>
      </c>
      <c r="Q4668" s="53" t="n">
        <v>45887.5827777778</v>
      </c>
      <c r="R4668" s="0" t="n">
        <v>0</v>
      </c>
      <c r="S4668" s="51" t="s">
        <v>2416</v>
      </c>
      <c r="T4668" s="51" t="s">
        <v>2416</v>
      </c>
      <c r="U4668" s="0" t="str">
        <f aca="false">"5060458890191"</f>
        <v>5060458890191</v>
      </c>
      <c r="V4668" s="51" t="s">
        <v>2142</v>
      </c>
      <c r="W4668" s="51" t="s">
        <v>3824</v>
      </c>
      <c r="X4668" s="51" t="s">
        <v>2359</v>
      </c>
    </row>
    <row r="4669" customFormat="false" ht="14.25" hidden="true" customHeight="false" outlineLevel="0" collapsed="false">
      <c r="A4669" s="49" t="s">
        <v>2349</v>
      </c>
      <c r="B4669" s="49" t="s">
        <v>2350</v>
      </c>
      <c r="C4669" s="49" t="s">
        <v>8714</v>
      </c>
      <c r="D4669" s="49" t="s">
        <v>2352</v>
      </c>
      <c r="E4669" s="49" t="str">
        <f aca="false">"5060458890191"</f>
        <v>5060458890191</v>
      </c>
      <c r="F4669" s="49" t="s">
        <v>3656</v>
      </c>
      <c r="G4669" s="49" t="n">
        <v>0</v>
      </c>
      <c r="H4669" s="0" t="n">
        <v>0</v>
      </c>
      <c r="M4669" s="51" t="s">
        <v>8706</v>
      </c>
      <c r="N4669" s="49" t="n">
        <v>0</v>
      </c>
      <c r="O4669" s="53" t="n">
        <v>45887.5818402778</v>
      </c>
      <c r="P4669" s="53" t="n">
        <v>45890.562349537</v>
      </c>
      <c r="Q4669" s="53" t="n">
        <v>45887.5818402778</v>
      </c>
      <c r="R4669" s="0" t="n">
        <v>0</v>
      </c>
      <c r="S4669" s="51" t="s">
        <v>2416</v>
      </c>
      <c r="T4669" s="51" t="s">
        <v>2416</v>
      </c>
      <c r="U4669" s="0" t="str">
        <f aca="false">"5060458890191"</f>
        <v>5060458890191</v>
      </c>
      <c r="V4669" s="51" t="s">
        <v>2142</v>
      </c>
      <c r="W4669" s="51" t="s">
        <v>8715</v>
      </c>
      <c r="X4669" s="51" t="s">
        <v>2359</v>
      </c>
    </row>
    <row r="4670" customFormat="false" ht="14.25" hidden="true" customHeight="false" outlineLevel="0" collapsed="false">
      <c r="A4670" s="49" t="s">
        <v>2349</v>
      </c>
      <c r="B4670" s="49" t="s">
        <v>2350</v>
      </c>
      <c r="C4670" s="49" t="s">
        <v>8716</v>
      </c>
      <c r="D4670" s="49" t="s">
        <v>2352</v>
      </c>
      <c r="E4670" s="49" t="str">
        <f aca="false">"5060458890191"</f>
        <v>5060458890191</v>
      </c>
      <c r="F4670" s="49" t="s">
        <v>3656</v>
      </c>
      <c r="G4670" s="49" t="n">
        <v>0</v>
      </c>
      <c r="H4670" s="0" t="n">
        <v>0</v>
      </c>
      <c r="M4670" s="51" t="s">
        <v>8706</v>
      </c>
      <c r="N4670" s="49" t="n">
        <v>0</v>
      </c>
      <c r="O4670" s="53" t="n">
        <v>45887.5826851852</v>
      </c>
      <c r="P4670" s="53" t="n">
        <v>45918.7648726852</v>
      </c>
      <c r="Q4670" s="53" t="n">
        <v>45887.5826851852</v>
      </c>
      <c r="R4670" s="0" t="n">
        <v>0</v>
      </c>
      <c r="S4670" s="51" t="s">
        <v>2416</v>
      </c>
      <c r="T4670" s="51" t="s">
        <v>2416</v>
      </c>
      <c r="U4670" s="0" t="str">
        <f aca="false">"5060458890191"</f>
        <v>5060458890191</v>
      </c>
      <c r="V4670" s="51" t="s">
        <v>2142</v>
      </c>
      <c r="W4670" s="51" t="s">
        <v>6183</v>
      </c>
      <c r="X4670" s="51" t="s">
        <v>2359</v>
      </c>
    </row>
    <row r="4671" customFormat="false" ht="14.25" hidden="true" customHeight="false" outlineLevel="0" collapsed="false">
      <c r="A4671" s="49" t="s">
        <v>2349</v>
      </c>
      <c r="B4671" s="49" t="s">
        <v>2350</v>
      </c>
      <c r="C4671" s="49" t="s">
        <v>8717</v>
      </c>
      <c r="D4671" s="49" t="s">
        <v>2352</v>
      </c>
      <c r="E4671" s="49" t="str">
        <f aca="false">"5060458890191"</f>
        <v>5060458890191</v>
      </c>
      <c r="F4671" s="49" t="s">
        <v>3656</v>
      </c>
      <c r="G4671" s="49" t="n">
        <v>0</v>
      </c>
      <c r="H4671" s="0" t="n">
        <v>0</v>
      </c>
      <c r="M4671" s="51" t="s">
        <v>8706</v>
      </c>
      <c r="N4671" s="49" t="n">
        <v>0</v>
      </c>
      <c r="O4671" s="53" t="n">
        <v>45887.5820023148</v>
      </c>
      <c r="P4671" s="53" t="n">
        <v>45890.5603935185</v>
      </c>
      <c r="Q4671" s="53" t="n">
        <v>45887.5820023148</v>
      </c>
      <c r="R4671" s="0" t="n">
        <v>0</v>
      </c>
      <c r="S4671" s="51" t="s">
        <v>2416</v>
      </c>
      <c r="T4671" s="51" t="s">
        <v>2416</v>
      </c>
      <c r="U4671" s="0" t="str">
        <f aca="false">"5060458890191"</f>
        <v>5060458890191</v>
      </c>
      <c r="V4671" s="51" t="s">
        <v>2142</v>
      </c>
      <c r="W4671" s="51" t="s">
        <v>6314</v>
      </c>
      <c r="X4671" s="51" t="s">
        <v>2359</v>
      </c>
    </row>
    <row r="4672" customFormat="false" ht="14.25" hidden="true" customHeight="false" outlineLevel="0" collapsed="false">
      <c r="A4672" s="49" t="s">
        <v>2349</v>
      </c>
      <c r="B4672" s="49" t="s">
        <v>2350</v>
      </c>
      <c r="C4672" s="49" t="s">
        <v>8718</v>
      </c>
      <c r="D4672" s="49" t="s">
        <v>2352</v>
      </c>
      <c r="E4672" s="49" t="str">
        <f aca="false">"5060458890191"</f>
        <v>5060458890191</v>
      </c>
      <c r="F4672" s="49" t="s">
        <v>3656</v>
      </c>
      <c r="G4672" s="49" t="n">
        <v>0</v>
      </c>
      <c r="H4672" s="0" t="n">
        <v>0</v>
      </c>
      <c r="M4672" s="51" t="s">
        <v>8706</v>
      </c>
      <c r="N4672" s="49" t="n">
        <v>0</v>
      </c>
      <c r="O4672" s="53" t="n">
        <v>45887.5826041667</v>
      </c>
      <c r="P4672" s="53" t="n">
        <v>45918.8237847222</v>
      </c>
      <c r="Q4672" s="53" t="n">
        <v>45887.5826041667</v>
      </c>
      <c r="R4672" s="0" t="n">
        <v>0</v>
      </c>
      <c r="S4672" s="51" t="s">
        <v>2416</v>
      </c>
      <c r="T4672" s="51" t="s">
        <v>2416</v>
      </c>
      <c r="U4672" s="0" t="str">
        <f aca="false">"5060458890191"</f>
        <v>5060458890191</v>
      </c>
      <c r="V4672" s="51" t="s">
        <v>2142</v>
      </c>
      <c r="W4672" s="51" t="s">
        <v>5430</v>
      </c>
      <c r="X4672" s="51" t="s">
        <v>2359</v>
      </c>
    </row>
    <row r="4673" customFormat="false" ht="14.25" hidden="true" customHeight="false" outlineLevel="0" collapsed="false">
      <c r="A4673" s="49" t="s">
        <v>2349</v>
      </c>
      <c r="B4673" s="49" t="s">
        <v>2350</v>
      </c>
      <c r="C4673" s="49" t="s">
        <v>8719</v>
      </c>
      <c r="D4673" s="49" t="s">
        <v>2352</v>
      </c>
      <c r="E4673" s="49" t="str">
        <f aca="false">"5060458890191"</f>
        <v>5060458890191</v>
      </c>
      <c r="F4673" s="49" t="s">
        <v>3656</v>
      </c>
      <c r="G4673" s="49" t="n">
        <v>0</v>
      </c>
      <c r="H4673" s="0" t="n">
        <v>0</v>
      </c>
      <c r="M4673" s="51" t="s">
        <v>8706</v>
      </c>
      <c r="N4673" s="49" t="n">
        <v>0</v>
      </c>
      <c r="O4673" s="53" t="n">
        <v>45887.5820717593</v>
      </c>
      <c r="P4673" s="53" t="n">
        <v>45890.5615509259</v>
      </c>
      <c r="Q4673" s="53" t="n">
        <v>45887.5820717593</v>
      </c>
      <c r="R4673" s="0" t="n">
        <v>0</v>
      </c>
      <c r="S4673" s="51" t="s">
        <v>2416</v>
      </c>
      <c r="T4673" s="51" t="s">
        <v>2416</v>
      </c>
      <c r="U4673" s="0" t="str">
        <f aca="false">"5060458890191"</f>
        <v>5060458890191</v>
      </c>
      <c r="V4673" s="51" t="s">
        <v>2142</v>
      </c>
      <c r="W4673" s="51" t="s">
        <v>6681</v>
      </c>
      <c r="X4673" s="51" t="s">
        <v>2359</v>
      </c>
    </row>
    <row r="4674" customFormat="false" ht="14.25" hidden="true" customHeight="false" outlineLevel="0" collapsed="false">
      <c r="A4674" s="49" t="s">
        <v>2349</v>
      </c>
      <c r="B4674" s="49" t="s">
        <v>2350</v>
      </c>
      <c r="C4674" s="49" t="s">
        <v>8720</v>
      </c>
      <c r="D4674" s="49" t="s">
        <v>2352</v>
      </c>
      <c r="E4674" s="49" t="str">
        <f aca="false">"5060458890191"</f>
        <v>5060458890191</v>
      </c>
      <c r="F4674" s="49" t="s">
        <v>3656</v>
      </c>
      <c r="G4674" s="49" t="n">
        <v>0</v>
      </c>
      <c r="H4674" s="0" t="n">
        <v>0</v>
      </c>
      <c r="M4674" s="51" t="s">
        <v>8706</v>
      </c>
      <c r="N4674" s="49" t="n">
        <v>0</v>
      </c>
      <c r="O4674" s="53" t="n">
        <v>45887.5825115741</v>
      </c>
      <c r="P4674" s="53" t="n">
        <v>45890.6229166667</v>
      </c>
      <c r="Q4674" s="53" t="n">
        <v>45887.5825115741</v>
      </c>
      <c r="R4674" s="0" t="n">
        <v>0</v>
      </c>
      <c r="S4674" s="51" t="s">
        <v>2416</v>
      </c>
      <c r="T4674" s="51" t="s">
        <v>2416</v>
      </c>
      <c r="U4674" s="0" t="str">
        <f aca="false">"5060458890191"</f>
        <v>5060458890191</v>
      </c>
      <c r="V4674" s="51" t="s">
        <v>2142</v>
      </c>
      <c r="W4674" s="51" t="s">
        <v>4074</v>
      </c>
      <c r="X4674" s="51" t="s">
        <v>2359</v>
      </c>
    </row>
    <row r="4675" customFormat="false" ht="14.25" hidden="true" customHeight="false" outlineLevel="0" collapsed="false">
      <c r="A4675" s="49" t="s">
        <v>2349</v>
      </c>
      <c r="B4675" s="49" t="s">
        <v>2350</v>
      </c>
      <c r="C4675" s="49" t="s">
        <v>8721</v>
      </c>
      <c r="D4675" s="49" t="s">
        <v>2352</v>
      </c>
      <c r="E4675" s="49" t="str">
        <f aca="false">"5060458890191"</f>
        <v>5060458890191</v>
      </c>
      <c r="F4675" s="49" t="s">
        <v>3656</v>
      </c>
      <c r="G4675" s="49" t="n">
        <v>0</v>
      </c>
      <c r="H4675" s="0" t="n">
        <v>0</v>
      </c>
      <c r="M4675" s="51" t="s">
        <v>8706</v>
      </c>
      <c r="N4675" s="49" t="n">
        <v>0</v>
      </c>
      <c r="O4675" s="53" t="n">
        <v>45887.5821412037</v>
      </c>
      <c r="P4675" s="53" t="n">
        <v>45918.8343055556</v>
      </c>
      <c r="Q4675" s="53" t="n">
        <v>45887.5821412037</v>
      </c>
      <c r="R4675" s="0" t="n">
        <v>0</v>
      </c>
      <c r="S4675" s="51" t="s">
        <v>2416</v>
      </c>
      <c r="T4675" s="51" t="s">
        <v>2416</v>
      </c>
      <c r="U4675" s="0" t="str">
        <f aca="false">"5060458890191"</f>
        <v>5060458890191</v>
      </c>
      <c r="V4675" s="51" t="s">
        <v>2142</v>
      </c>
      <c r="W4675" s="51" t="s">
        <v>8722</v>
      </c>
      <c r="X4675" s="51" t="s">
        <v>2359</v>
      </c>
    </row>
    <row r="4676" customFormat="false" ht="14.25" hidden="true" customHeight="false" outlineLevel="0" collapsed="false">
      <c r="A4676" s="49" t="s">
        <v>2349</v>
      </c>
      <c r="B4676" s="49" t="s">
        <v>2350</v>
      </c>
      <c r="C4676" s="49" t="s">
        <v>8723</v>
      </c>
      <c r="D4676" s="49" t="s">
        <v>2352</v>
      </c>
      <c r="E4676" s="49" t="str">
        <f aca="false">"5060458890191"</f>
        <v>5060458890191</v>
      </c>
      <c r="F4676" s="49" t="s">
        <v>3656</v>
      </c>
      <c r="G4676" s="49" t="n">
        <v>0</v>
      </c>
      <c r="H4676" s="0" t="n">
        <v>0</v>
      </c>
      <c r="M4676" s="51" t="s">
        <v>8706</v>
      </c>
      <c r="N4676" s="49" t="n">
        <v>0</v>
      </c>
      <c r="O4676" s="53" t="n">
        <v>45887.5822106482</v>
      </c>
      <c r="P4676" s="53" t="n">
        <v>45918.8303935185</v>
      </c>
      <c r="Q4676" s="53" t="n">
        <v>45887.5822106482</v>
      </c>
      <c r="R4676" s="0" t="n">
        <v>0</v>
      </c>
      <c r="S4676" s="51" t="s">
        <v>2416</v>
      </c>
      <c r="T4676" s="51" t="s">
        <v>2416</v>
      </c>
      <c r="U4676" s="0" t="str">
        <f aca="false">"5060458890191"</f>
        <v>5060458890191</v>
      </c>
      <c r="V4676" s="51" t="s">
        <v>2142</v>
      </c>
      <c r="W4676" s="51" t="s">
        <v>8724</v>
      </c>
      <c r="X4676" s="51" t="s">
        <v>2359</v>
      </c>
    </row>
    <row r="4677" customFormat="false" ht="14.25" hidden="true" customHeight="false" outlineLevel="0" collapsed="false">
      <c r="A4677" s="49" t="s">
        <v>2349</v>
      </c>
      <c r="B4677" s="49" t="s">
        <v>2350</v>
      </c>
      <c r="C4677" s="49" t="s">
        <v>8725</v>
      </c>
      <c r="D4677" s="49" t="s">
        <v>2352</v>
      </c>
      <c r="E4677" s="49" t="str">
        <f aca="false">"5060458890191"</f>
        <v>5060458890191</v>
      </c>
      <c r="F4677" s="49" t="s">
        <v>3656</v>
      </c>
      <c r="G4677" s="49" t="n">
        <v>0</v>
      </c>
      <c r="H4677" s="0" t="n">
        <v>0</v>
      </c>
      <c r="M4677" s="51" t="s">
        <v>8706</v>
      </c>
      <c r="N4677" s="49" t="n">
        <v>0</v>
      </c>
      <c r="O4677" s="53" t="n">
        <v>45887.5824305556</v>
      </c>
      <c r="P4677" s="53" t="n">
        <v>45901.8189583333</v>
      </c>
      <c r="Q4677" s="53" t="n">
        <v>45887.5824305556</v>
      </c>
      <c r="R4677" s="0" t="n">
        <v>0</v>
      </c>
      <c r="S4677" s="51" t="s">
        <v>2416</v>
      </c>
      <c r="T4677" s="51" t="s">
        <v>2416</v>
      </c>
      <c r="U4677" s="0" t="str">
        <f aca="false">"5060458890191"</f>
        <v>5060458890191</v>
      </c>
      <c r="V4677" s="51" t="s">
        <v>2142</v>
      </c>
      <c r="W4677" s="51" t="s">
        <v>6257</v>
      </c>
      <c r="X4677" s="51" t="s">
        <v>2359</v>
      </c>
    </row>
    <row r="4678" customFormat="false" ht="14.25" hidden="true" customHeight="false" outlineLevel="0" collapsed="false">
      <c r="A4678" s="49" t="s">
        <v>2349</v>
      </c>
      <c r="B4678" s="49" t="s">
        <v>2350</v>
      </c>
      <c r="C4678" s="49" t="s">
        <v>8726</v>
      </c>
      <c r="D4678" s="49" t="s">
        <v>2352</v>
      </c>
      <c r="E4678" s="49" t="str">
        <f aca="false">"5060458890191"</f>
        <v>5060458890191</v>
      </c>
      <c r="F4678" s="49" t="s">
        <v>3656</v>
      </c>
      <c r="G4678" s="49" t="n">
        <v>0</v>
      </c>
      <c r="H4678" s="0" t="n">
        <v>0</v>
      </c>
      <c r="M4678" s="51" t="s">
        <v>8706</v>
      </c>
      <c r="N4678" s="49" t="n">
        <v>0</v>
      </c>
      <c r="O4678" s="53" t="n">
        <v>45887.582349537</v>
      </c>
      <c r="P4678" s="53" t="n">
        <v>45901.820150463</v>
      </c>
      <c r="Q4678" s="53" t="n">
        <v>45887.582349537</v>
      </c>
      <c r="R4678" s="0" t="n">
        <v>0</v>
      </c>
      <c r="S4678" s="51" t="s">
        <v>2416</v>
      </c>
      <c r="T4678" s="51" t="s">
        <v>2416</v>
      </c>
      <c r="U4678" s="0" t="str">
        <f aca="false">"5060458890191"</f>
        <v>5060458890191</v>
      </c>
      <c r="V4678" s="51" t="s">
        <v>2142</v>
      </c>
      <c r="W4678" s="51" t="s">
        <v>6259</v>
      </c>
      <c r="X4678" s="51" t="s">
        <v>2359</v>
      </c>
    </row>
    <row r="4679" customFormat="false" ht="14.25" hidden="true" customHeight="false" outlineLevel="0" collapsed="false">
      <c r="A4679" s="49" t="s">
        <v>2349</v>
      </c>
      <c r="B4679" s="49" t="s">
        <v>2350</v>
      </c>
      <c r="C4679" s="49" t="s">
        <v>8727</v>
      </c>
      <c r="D4679" s="49" t="s">
        <v>2352</v>
      </c>
      <c r="E4679" s="49" t="str">
        <f aca="false">"5060458890191"</f>
        <v>5060458890191</v>
      </c>
      <c r="F4679" s="49" t="s">
        <v>3656</v>
      </c>
      <c r="G4679" s="49" t="n">
        <v>0</v>
      </c>
      <c r="H4679" s="0" t="n">
        <v>0</v>
      </c>
      <c r="M4679" s="51" t="s">
        <v>8706</v>
      </c>
      <c r="N4679" s="49" t="n">
        <v>0</v>
      </c>
      <c r="O4679" s="53" t="n">
        <v>45887.5822800926</v>
      </c>
      <c r="P4679" s="53" t="n">
        <v>45890.5568171296</v>
      </c>
      <c r="Q4679" s="53" t="n">
        <v>45887.5822800926</v>
      </c>
      <c r="R4679" s="0" t="n">
        <v>0</v>
      </c>
      <c r="S4679" s="51" t="s">
        <v>2416</v>
      </c>
      <c r="T4679" s="51" t="s">
        <v>2416</v>
      </c>
      <c r="U4679" s="0" t="str">
        <f aca="false">"5060458890191"</f>
        <v>5060458890191</v>
      </c>
      <c r="V4679" s="51" t="s">
        <v>2142</v>
      </c>
      <c r="W4679" s="51" t="s">
        <v>4214</v>
      </c>
      <c r="X4679" s="51" t="s">
        <v>2359</v>
      </c>
    </row>
    <row r="4680" customFormat="false" ht="14.25" hidden="true" customHeight="false" outlineLevel="0" collapsed="false">
      <c r="A4680" s="49" t="s">
        <v>2349</v>
      </c>
      <c r="B4680" s="49" t="s">
        <v>2350</v>
      </c>
      <c r="C4680" s="49" t="s">
        <v>8728</v>
      </c>
      <c r="D4680" s="49" t="s">
        <v>2352</v>
      </c>
      <c r="E4680" s="49" t="str">
        <f aca="false">"5060458890191"</f>
        <v>5060458890191</v>
      </c>
      <c r="F4680" s="49" t="s">
        <v>3656</v>
      </c>
      <c r="G4680" s="49" t="n">
        <v>0</v>
      </c>
      <c r="H4680" s="0" t="n">
        <v>0</v>
      </c>
      <c r="M4680" s="51" t="s">
        <v>8706</v>
      </c>
      <c r="N4680" s="49" t="n">
        <v>0</v>
      </c>
      <c r="O4680" s="53" t="n">
        <v>45887.5810763889</v>
      </c>
      <c r="P4680" s="53" t="n">
        <v>45918.8296990741</v>
      </c>
      <c r="Q4680" s="53" t="n">
        <v>45887.5810763889</v>
      </c>
      <c r="R4680" s="0" t="n">
        <v>0</v>
      </c>
      <c r="S4680" s="51" t="s">
        <v>2416</v>
      </c>
      <c r="T4680" s="51" t="s">
        <v>2416</v>
      </c>
      <c r="U4680" s="0" t="str">
        <f aca="false">"5060458890191"</f>
        <v>5060458890191</v>
      </c>
      <c r="V4680" s="51" t="s">
        <v>2142</v>
      </c>
      <c r="W4680" s="51" t="s">
        <v>4864</v>
      </c>
      <c r="X4680" s="51" t="s">
        <v>2359</v>
      </c>
    </row>
    <row r="4681" customFormat="false" ht="14.25" hidden="true" customHeight="false" outlineLevel="0" collapsed="false">
      <c r="A4681" s="49" t="s">
        <v>2349</v>
      </c>
      <c r="B4681" s="49" t="s">
        <v>2350</v>
      </c>
      <c r="C4681" s="49" t="s">
        <v>8729</v>
      </c>
      <c r="D4681" s="49" t="s">
        <v>2352</v>
      </c>
      <c r="E4681" s="49" t="str">
        <f aca="false">"5060458890191"</f>
        <v>5060458890191</v>
      </c>
      <c r="F4681" s="49" t="s">
        <v>3656</v>
      </c>
      <c r="G4681" s="49" t="n">
        <v>0</v>
      </c>
      <c r="H4681" s="0" t="n">
        <v>0</v>
      </c>
      <c r="M4681" s="51" t="s">
        <v>8706</v>
      </c>
      <c r="N4681" s="49" t="n">
        <v>0</v>
      </c>
      <c r="O4681" s="53" t="n">
        <v>45887.5809953704</v>
      </c>
      <c r="P4681" s="53" t="n">
        <v>45918.8338078704</v>
      </c>
      <c r="Q4681" s="53" t="n">
        <v>45887.5809953704</v>
      </c>
      <c r="R4681" s="0" t="n">
        <v>0</v>
      </c>
      <c r="S4681" s="51" t="s">
        <v>2416</v>
      </c>
      <c r="T4681" s="51" t="s">
        <v>2416</v>
      </c>
      <c r="U4681" s="0" t="str">
        <f aca="false">"5060458890191"</f>
        <v>5060458890191</v>
      </c>
      <c r="V4681" s="51" t="s">
        <v>2142</v>
      </c>
      <c r="W4681" s="51" t="s">
        <v>8730</v>
      </c>
      <c r="X4681" s="51" t="s">
        <v>2359</v>
      </c>
    </row>
    <row r="4682" customFormat="false" ht="14.25" hidden="true" customHeight="false" outlineLevel="0" collapsed="false">
      <c r="A4682" s="49" t="s">
        <v>2349</v>
      </c>
      <c r="B4682" s="49" t="s">
        <v>2350</v>
      </c>
      <c r="C4682" s="49" t="s">
        <v>8731</v>
      </c>
      <c r="D4682" s="49" t="s">
        <v>2352</v>
      </c>
      <c r="E4682" s="49" t="str">
        <f aca="false">"5060458890191"</f>
        <v>5060458890191</v>
      </c>
      <c r="F4682" s="49" t="s">
        <v>3656</v>
      </c>
      <c r="G4682" s="49" t="n">
        <v>0</v>
      </c>
      <c r="H4682" s="0" t="n">
        <v>0</v>
      </c>
      <c r="M4682" s="51" t="s">
        <v>8706</v>
      </c>
      <c r="N4682" s="49" t="n">
        <v>0</v>
      </c>
      <c r="O4682" s="53" t="n">
        <v>45887.5811689815</v>
      </c>
      <c r="P4682" s="53" t="n">
        <v>45919.6965856482</v>
      </c>
      <c r="Q4682" s="53" t="n">
        <v>45887.5811689815</v>
      </c>
      <c r="R4682" s="0" t="n">
        <v>0</v>
      </c>
      <c r="S4682" s="51" t="s">
        <v>2416</v>
      </c>
      <c r="T4682" s="51" t="s">
        <v>2416</v>
      </c>
      <c r="U4682" s="0" t="str">
        <f aca="false">"5060458890191"</f>
        <v>5060458890191</v>
      </c>
      <c r="V4682" s="51" t="s">
        <v>2142</v>
      </c>
      <c r="W4682" s="51" t="s">
        <v>6317</v>
      </c>
      <c r="X4682" s="51" t="s">
        <v>2359</v>
      </c>
    </row>
    <row r="4683" customFormat="false" ht="14.25" hidden="true" customHeight="false" outlineLevel="0" collapsed="false">
      <c r="A4683" s="49" t="s">
        <v>2349</v>
      </c>
      <c r="B4683" s="49" t="s">
        <v>2350</v>
      </c>
      <c r="C4683" s="49" t="s">
        <v>8732</v>
      </c>
      <c r="D4683" s="49" t="s">
        <v>2352</v>
      </c>
      <c r="E4683" s="49" t="str">
        <f aca="false">"5060458890191"</f>
        <v>5060458890191</v>
      </c>
      <c r="F4683" s="49" t="s">
        <v>3656</v>
      </c>
      <c r="G4683" s="49" t="n">
        <v>0</v>
      </c>
      <c r="H4683" s="0" t="n">
        <v>0</v>
      </c>
      <c r="M4683" s="51" t="s">
        <v>8706</v>
      </c>
      <c r="N4683" s="49" t="n">
        <v>0</v>
      </c>
      <c r="O4683" s="53" t="n">
        <v>45887.5809259259</v>
      </c>
      <c r="P4683" s="53" t="n">
        <v>45918.8313657407</v>
      </c>
      <c r="Q4683" s="53" t="n">
        <v>45887.5809259259</v>
      </c>
      <c r="R4683" s="0" t="n">
        <v>0</v>
      </c>
      <c r="S4683" s="51" t="s">
        <v>2416</v>
      </c>
      <c r="T4683" s="51" t="s">
        <v>2416</v>
      </c>
      <c r="U4683" s="0" t="str">
        <f aca="false">"5060458890191"</f>
        <v>5060458890191</v>
      </c>
      <c r="V4683" s="51" t="s">
        <v>2142</v>
      </c>
      <c r="W4683" s="51" t="s">
        <v>8733</v>
      </c>
      <c r="X4683" s="51" t="s">
        <v>2359</v>
      </c>
    </row>
    <row r="4684" customFormat="false" ht="14.25" hidden="true" customHeight="false" outlineLevel="0" collapsed="false">
      <c r="A4684" s="49" t="s">
        <v>2349</v>
      </c>
      <c r="B4684" s="49" t="s">
        <v>2350</v>
      </c>
      <c r="C4684" s="49" t="s">
        <v>8734</v>
      </c>
      <c r="D4684" s="49" t="s">
        <v>2352</v>
      </c>
      <c r="E4684" s="49" t="str">
        <f aca="false">"5060458890191"</f>
        <v>5060458890191</v>
      </c>
      <c r="F4684" s="49" t="s">
        <v>3656</v>
      </c>
      <c r="G4684" s="49" t="n">
        <v>0</v>
      </c>
      <c r="H4684" s="0" t="n">
        <v>0</v>
      </c>
      <c r="M4684" s="51" t="s">
        <v>8706</v>
      </c>
      <c r="N4684" s="49" t="n">
        <v>0</v>
      </c>
      <c r="O4684" s="53" t="n">
        <v>45887.58125</v>
      </c>
      <c r="P4684" s="53" t="n">
        <v>45918.8284027778</v>
      </c>
      <c r="Q4684" s="53" t="n">
        <v>45887.58125</v>
      </c>
      <c r="R4684" s="0" t="n">
        <v>0</v>
      </c>
      <c r="S4684" s="51" t="s">
        <v>2416</v>
      </c>
      <c r="T4684" s="51" t="s">
        <v>2416</v>
      </c>
      <c r="U4684" s="0" t="str">
        <f aca="false">"5060458890191"</f>
        <v>5060458890191</v>
      </c>
      <c r="V4684" s="51" t="s">
        <v>2142</v>
      </c>
      <c r="W4684" s="51" t="s">
        <v>8735</v>
      </c>
      <c r="X4684" s="51" t="s">
        <v>2359</v>
      </c>
    </row>
    <row r="4685" customFormat="false" ht="14.25" hidden="true" customHeight="false" outlineLevel="0" collapsed="false">
      <c r="A4685" s="49" t="s">
        <v>2349</v>
      </c>
      <c r="B4685" s="49" t="s">
        <v>2350</v>
      </c>
      <c r="C4685" s="49" t="s">
        <v>8736</v>
      </c>
      <c r="D4685" s="49" t="s">
        <v>2352</v>
      </c>
      <c r="E4685" s="49" t="str">
        <f aca="false">"5060458890191"</f>
        <v>5060458890191</v>
      </c>
      <c r="F4685" s="49" t="s">
        <v>3656</v>
      </c>
      <c r="G4685" s="49" t="n">
        <v>0</v>
      </c>
      <c r="H4685" s="0" t="n">
        <v>0</v>
      </c>
      <c r="M4685" s="51" t="s">
        <v>8706</v>
      </c>
      <c r="N4685" s="49" t="n">
        <v>0</v>
      </c>
      <c r="O4685" s="53" t="n">
        <v>45887.5808333333</v>
      </c>
      <c r="P4685" s="53" t="n">
        <v>45890.6261226852</v>
      </c>
      <c r="Q4685" s="53" t="n">
        <v>45887.5808333333</v>
      </c>
      <c r="R4685" s="0" t="n">
        <v>0</v>
      </c>
      <c r="S4685" s="51" t="s">
        <v>2416</v>
      </c>
      <c r="T4685" s="51" t="s">
        <v>2416</v>
      </c>
      <c r="U4685" s="0" t="str">
        <f aca="false">"5060458890191"</f>
        <v>5060458890191</v>
      </c>
      <c r="V4685" s="51" t="s">
        <v>2142</v>
      </c>
      <c r="W4685" s="51" t="s">
        <v>8351</v>
      </c>
      <c r="X4685" s="51" t="s">
        <v>2359</v>
      </c>
    </row>
    <row r="4686" customFormat="false" ht="14.25" hidden="true" customHeight="false" outlineLevel="0" collapsed="false">
      <c r="A4686" s="49" t="s">
        <v>2349</v>
      </c>
      <c r="B4686" s="49" t="s">
        <v>2350</v>
      </c>
      <c r="C4686" s="49" t="s">
        <v>8737</v>
      </c>
      <c r="D4686" s="49" t="s">
        <v>2352</v>
      </c>
      <c r="E4686" s="49" t="str">
        <f aca="false">"5060458890191"</f>
        <v>5060458890191</v>
      </c>
      <c r="F4686" s="49" t="s">
        <v>3656</v>
      </c>
      <c r="G4686" s="49" t="n">
        <v>0</v>
      </c>
      <c r="H4686" s="0" t="n">
        <v>0</v>
      </c>
      <c r="M4686" s="51" t="s">
        <v>8706</v>
      </c>
      <c r="N4686" s="49" t="n">
        <v>0</v>
      </c>
      <c r="O4686" s="53" t="n">
        <v>45887.5813425926</v>
      </c>
      <c r="P4686" s="53" t="n">
        <v>45918.8271990741</v>
      </c>
      <c r="Q4686" s="53" t="n">
        <v>45887.5813425926</v>
      </c>
      <c r="R4686" s="0" t="n">
        <v>0</v>
      </c>
      <c r="S4686" s="51" t="s">
        <v>2416</v>
      </c>
      <c r="T4686" s="51" t="s">
        <v>2416</v>
      </c>
      <c r="U4686" s="0" t="str">
        <f aca="false">"5060458890191"</f>
        <v>5060458890191</v>
      </c>
      <c r="V4686" s="51" t="s">
        <v>2142</v>
      </c>
      <c r="W4686" s="51" t="s">
        <v>8738</v>
      </c>
      <c r="X4686" s="51" t="s">
        <v>2359</v>
      </c>
    </row>
    <row r="4687" customFormat="false" ht="14.25" hidden="true" customHeight="false" outlineLevel="0" collapsed="false">
      <c r="A4687" s="49" t="s">
        <v>2349</v>
      </c>
      <c r="B4687" s="49" t="s">
        <v>2350</v>
      </c>
      <c r="C4687" s="49" t="s">
        <v>8739</v>
      </c>
      <c r="D4687" s="49" t="s">
        <v>2352</v>
      </c>
      <c r="E4687" s="49" t="str">
        <f aca="false">"5060458890191"</f>
        <v>5060458890191</v>
      </c>
      <c r="F4687" s="49" t="s">
        <v>3656</v>
      </c>
      <c r="G4687" s="49" t="n">
        <v>0</v>
      </c>
      <c r="H4687" s="0" t="n">
        <v>0</v>
      </c>
      <c r="M4687" s="51" t="s">
        <v>8706</v>
      </c>
      <c r="N4687" s="49" t="n">
        <v>0</v>
      </c>
      <c r="O4687" s="53" t="n">
        <v>45887.5807523148</v>
      </c>
      <c r="P4687" s="53" t="n">
        <v>45918.8349768519</v>
      </c>
      <c r="Q4687" s="53" t="n">
        <v>45887.5807523148</v>
      </c>
      <c r="R4687" s="0" t="n">
        <v>0</v>
      </c>
      <c r="S4687" s="51" t="s">
        <v>2416</v>
      </c>
      <c r="T4687" s="51" t="s">
        <v>2416</v>
      </c>
      <c r="U4687" s="0" t="str">
        <f aca="false">"5060458890191"</f>
        <v>5060458890191</v>
      </c>
      <c r="V4687" s="51" t="s">
        <v>2142</v>
      </c>
      <c r="W4687" s="51" t="s">
        <v>8740</v>
      </c>
      <c r="X4687" s="51" t="s">
        <v>2359</v>
      </c>
    </row>
    <row r="4688" customFormat="false" ht="14.25" hidden="true" customHeight="false" outlineLevel="0" collapsed="false">
      <c r="A4688" s="49" t="s">
        <v>2349</v>
      </c>
      <c r="B4688" s="49" t="s">
        <v>2350</v>
      </c>
      <c r="C4688" s="49" t="s">
        <v>8741</v>
      </c>
      <c r="D4688" s="49" t="s">
        <v>2352</v>
      </c>
      <c r="E4688" s="49" t="str">
        <f aca="false">"5060458890191"</f>
        <v>5060458890191</v>
      </c>
      <c r="F4688" s="49" t="s">
        <v>3656</v>
      </c>
      <c r="G4688" s="49" t="n">
        <v>0</v>
      </c>
      <c r="H4688" s="0" t="n">
        <v>0</v>
      </c>
      <c r="M4688" s="51" t="s">
        <v>8706</v>
      </c>
      <c r="N4688" s="49" t="n">
        <v>0</v>
      </c>
      <c r="O4688" s="53" t="n">
        <v>45887.5814583333</v>
      </c>
      <c r="P4688" s="53" t="n">
        <v>45918.8249421296</v>
      </c>
      <c r="Q4688" s="53" t="n">
        <v>45887.5814583333</v>
      </c>
      <c r="R4688" s="0" t="n">
        <v>0</v>
      </c>
      <c r="S4688" s="51" t="s">
        <v>2416</v>
      </c>
      <c r="T4688" s="51" t="s">
        <v>2416</v>
      </c>
      <c r="U4688" s="0" t="str">
        <f aca="false">"5060458890191"</f>
        <v>5060458890191</v>
      </c>
      <c r="V4688" s="51" t="s">
        <v>2142</v>
      </c>
      <c r="W4688" s="51" t="s">
        <v>6277</v>
      </c>
      <c r="X4688" s="51" t="s">
        <v>2359</v>
      </c>
    </row>
    <row r="4689" customFormat="false" ht="14.25" hidden="true" customHeight="false" outlineLevel="0" collapsed="false">
      <c r="A4689" s="49" t="s">
        <v>2349</v>
      </c>
      <c r="B4689" s="49" t="s">
        <v>2350</v>
      </c>
      <c r="C4689" s="49" t="s">
        <v>8742</v>
      </c>
      <c r="D4689" s="49" t="s">
        <v>2352</v>
      </c>
      <c r="E4689" s="49" t="str">
        <f aca="false">"5060458890191"</f>
        <v>5060458890191</v>
      </c>
      <c r="F4689" s="49" t="s">
        <v>3656</v>
      </c>
      <c r="G4689" s="49" t="n">
        <v>0</v>
      </c>
      <c r="H4689" s="0" t="n">
        <v>0</v>
      </c>
      <c r="M4689" s="51" t="s">
        <v>8706</v>
      </c>
      <c r="N4689" s="49" t="n">
        <v>0</v>
      </c>
      <c r="O4689" s="53" t="n">
        <v>45887.5806597222</v>
      </c>
      <c r="P4689" s="53" t="n">
        <v>45890.6264930556</v>
      </c>
      <c r="Q4689" s="53" t="n">
        <v>45887.5806597222</v>
      </c>
      <c r="R4689" s="0" t="n">
        <v>0</v>
      </c>
      <c r="S4689" s="51" t="s">
        <v>2416</v>
      </c>
      <c r="T4689" s="51" t="s">
        <v>2416</v>
      </c>
      <c r="U4689" s="0" t="str">
        <f aca="false">"5060458890191"</f>
        <v>5060458890191</v>
      </c>
      <c r="V4689" s="51" t="s">
        <v>2142</v>
      </c>
      <c r="W4689" s="51" t="s">
        <v>8743</v>
      </c>
      <c r="X4689" s="51" t="s">
        <v>2359</v>
      </c>
    </row>
    <row r="4690" customFormat="false" ht="14.25" hidden="true" customHeight="false" outlineLevel="0" collapsed="false">
      <c r="A4690" s="49" t="s">
        <v>2349</v>
      </c>
      <c r="B4690" s="49" t="s">
        <v>2350</v>
      </c>
      <c r="C4690" s="49" t="s">
        <v>8744</v>
      </c>
      <c r="D4690" s="49" t="s">
        <v>2352</v>
      </c>
      <c r="E4690" s="49" t="str">
        <f aca="false">"5060458890191"</f>
        <v>5060458890191</v>
      </c>
      <c r="F4690" s="49" t="s">
        <v>3656</v>
      </c>
      <c r="G4690" s="49" t="n">
        <v>0</v>
      </c>
      <c r="H4690" s="0" t="n">
        <v>0</v>
      </c>
      <c r="M4690" s="51" t="s">
        <v>8706</v>
      </c>
      <c r="N4690" s="49" t="n">
        <v>0</v>
      </c>
      <c r="O4690" s="53" t="n">
        <v>45887.5815625</v>
      </c>
      <c r="P4690" s="53" t="n">
        <v>45890.5541550926</v>
      </c>
      <c r="Q4690" s="53" t="n">
        <v>45887.5815625</v>
      </c>
      <c r="R4690" s="0" t="n">
        <v>0</v>
      </c>
      <c r="S4690" s="51" t="s">
        <v>2416</v>
      </c>
      <c r="T4690" s="51" t="s">
        <v>2416</v>
      </c>
      <c r="U4690" s="0" t="str">
        <f aca="false">"5060458890191"</f>
        <v>5060458890191</v>
      </c>
      <c r="V4690" s="51" t="s">
        <v>2142</v>
      </c>
      <c r="W4690" s="51" t="s">
        <v>5172</v>
      </c>
      <c r="X4690" s="51" t="s">
        <v>2359</v>
      </c>
    </row>
    <row r="4691" customFormat="false" ht="14.25" hidden="true" customHeight="false" outlineLevel="0" collapsed="false">
      <c r="A4691" s="49" t="s">
        <v>2349</v>
      </c>
      <c r="B4691" s="49" t="s">
        <v>2350</v>
      </c>
      <c r="C4691" s="49" t="s">
        <v>8745</v>
      </c>
      <c r="D4691" s="49" t="s">
        <v>2352</v>
      </c>
      <c r="E4691" s="49" t="str">
        <f aca="false">"5060458890191"</f>
        <v>5060458890191</v>
      </c>
      <c r="F4691" s="49" t="s">
        <v>3656</v>
      </c>
      <c r="G4691" s="49" t="n">
        <v>0</v>
      </c>
      <c r="H4691" s="0" t="n">
        <v>0</v>
      </c>
      <c r="M4691" s="51" t="s">
        <v>8706</v>
      </c>
      <c r="N4691" s="49" t="n">
        <v>0</v>
      </c>
      <c r="O4691" s="53" t="n">
        <v>45887.5805555556</v>
      </c>
      <c r="P4691" s="53" t="n">
        <v>45890.5560763889</v>
      </c>
      <c r="Q4691" s="53" t="n">
        <v>45887.5805555556</v>
      </c>
      <c r="R4691" s="0" t="n">
        <v>0</v>
      </c>
      <c r="S4691" s="51" t="s">
        <v>2416</v>
      </c>
      <c r="T4691" s="51" t="s">
        <v>2416</v>
      </c>
      <c r="U4691" s="0" t="str">
        <f aca="false">"5060458890191"</f>
        <v>5060458890191</v>
      </c>
      <c r="V4691" s="51" t="s">
        <v>2142</v>
      </c>
      <c r="W4691" s="51" t="s">
        <v>8746</v>
      </c>
      <c r="X4691" s="51" t="s">
        <v>2359</v>
      </c>
    </row>
    <row r="4692" customFormat="false" ht="14.25" hidden="true" customHeight="false" outlineLevel="0" collapsed="false">
      <c r="A4692" s="49" t="s">
        <v>2349</v>
      </c>
      <c r="B4692" s="49" t="s">
        <v>2350</v>
      </c>
      <c r="C4692" s="49" t="s">
        <v>8747</v>
      </c>
      <c r="D4692" s="49" t="s">
        <v>2352</v>
      </c>
      <c r="E4692" s="49" t="str">
        <f aca="false">"713231"</f>
        <v>713231</v>
      </c>
      <c r="F4692" s="49" t="s">
        <v>8748</v>
      </c>
      <c r="G4692" s="49" t="n">
        <v>0</v>
      </c>
      <c r="H4692" s="0" t="n">
        <v>0</v>
      </c>
      <c r="M4692" s="51" t="s">
        <v>8749</v>
      </c>
      <c r="N4692" s="49" t="n">
        <v>0</v>
      </c>
      <c r="O4692" s="53" t="n">
        <v>45865.562962963</v>
      </c>
      <c r="P4692" s="53" t="n">
        <v>45957.8948611111</v>
      </c>
      <c r="Q4692" s="53" t="n">
        <v>45865.562962963</v>
      </c>
      <c r="R4692" s="0" t="n">
        <v>0</v>
      </c>
      <c r="S4692" s="51" t="s">
        <v>4015</v>
      </c>
      <c r="T4692" s="51" t="s">
        <v>4015</v>
      </c>
      <c r="U4692" s="0" t="str">
        <f aca="false">"713231"</f>
        <v>713231</v>
      </c>
      <c r="V4692" s="51" t="s">
        <v>5386</v>
      </c>
      <c r="W4692" s="51" t="s">
        <v>8750</v>
      </c>
      <c r="X4692" s="51" t="s">
        <v>2359</v>
      </c>
    </row>
    <row r="4693" customFormat="false" ht="14.25" hidden="true" customHeight="false" outlineLevel="0" collapsed="false">
      <c r="A4693" s="49" t="s">
        <v>2349</v>
      </c>
      <c r="B4693" s="49" t="s">
        <v>2350</v>
      </c>
      <c r="C4693" s="49" t="s">
        <v>8751</v>
      </c>
      <c r="D4693" s="49" t="s">
        <v>2352</v>
      </c>
      <c r="E4693" s="49" t="str">
        <f aca="false">"713300"</f>
        <v>713300</v>
      </c>
      <c r="F4693" s="49" t="s">
        <v>8752</v>
      </c>
      <c r="G4693" s="49" t="n">
        <v>0</v>
      </c>
      <c r="H4693" s="0" t="n">
        <v>0</v>
      </c>
      <c r="M4693" s="51" t="s">
        <v>8749</v>
      </c>
      <c r="N4693" s="49" t="n">
        <v>0</v>
      </c>
      <c r="O4693" s="53" t="n">
        <v>45865.564837963</v>
      </c>
      <c r="P4693" s="53" t="n">
        <v>45977.5980555556</v>
      </c>
      <c r="Q4693" s="53" t="n">
        <v>45865.564837963</v>
      </c>
      <c r="R4693" s="0" t="n">
        <v>0</v>
      </c>
      <c r="S4693" s="51" t="s">
        <v>4015</v>
      </c>
      <c r="T4693" s="51" t="s">
        <v>4015</v>
      </c>
      <c r="U4693" s="0" t="str">
        <f aca="false">"713300"</f>
        <v>713300</v>
      </c>
      <c r="V4693" s="51" t="s">
        <v>5386</v>
      </c>
      <c r="W4693" s="51" t="s">
        <v>8753</v>
      </c>
      <c r="X4693" s="51" t="s">
        <v>2359</v>
      </c>
    </row>
    <row r="4694" customFormat="false" ht="14.25" hidden="true" customHeight="false" outlineLevel="0" collapsed="false">
      <c r="A4694" s="49" t="s">
        <v>2349</v>
      </c>
      <c r="B4694" s="49" t="s">
        <v>2350</v>
      </c>
      <c r="C4694" s="49" t="s">
        <v>8754</v>
      </c>
      <c r="D4694" s="49" t="s">
        <v>2352</v>
      </c>
      <c r="E4694" s="49" t="str">
        <f aca="false">"713300"</f>
        <v>713300</v>
      </c>
      <c r="F4694" s="49" t="s">
        <v>8752</v>
      </c>
      <c r="G4694" s="49" t="n">
        <v>0</v>
      </c>
      <c r="H4694" s="0" t="n">
        <v>0</v>
      </c>
      <c r="M4694" s="51" t="s">
        <v>8749</v>
      </c>
      <c r="N4694" s="49" t="n">
        <v>0</v>
      </c>
      <c r="O4694" s="53" t="n">
        <v>45865.5652314815</v>
      </c>
      <c r="P4694" s="53" t="n">
        <v>45977.5983217593</v>
      </c>
      <c r="Q4694" s="53" t="n">
        <v>45865.5652314815</v>
      </c>
      <c r="R4694" s="0" t="n">
        <v>0</v>
      </c>
      <c r="S4694" s="51" t="s">
        <v>4015</v>
      </c>
      <c r="T4694" s="51" t="s">
        <v>4015</v>
      </c>
      <c r="U4694" s="0" t="str">
        <f aca="false">"713300"</f>
        <v>713300</v>
      </c>
      <c r="V4694" s="51" t="s">
        <v>5386</v>
      </c>
      <c r="W4694" s="51" t="s">
        <v>8755</v>
      </c>
      <c r="X4694" s="51" t="s">
        <v>2359</v>
      </c>
    </row>
    <row r="4695" customFormat="false" ht="14.25" hidden="true" customHeight="false" outlineLevel="0" collapsed="false">
      <c r="A4695" s="49" t="s">
        <v>2349</v>
      </c>
      <c r="B4695" s="49" t="s">
        <v>2350</v>
      </c>
      <c r="C4695" s="49" t="s">
        <v>8756</v>
      </c>
      <c r="D4695" s="49" t="s">
        <v>2352</v>
      </c>
      <c r="E4695" s="49" t="str">
        <f aca="false">"713231"</f>
        <v>713231</v>
      </c>
      <c r="F4695" s="49" t="s">
        <v>8748</v>
      </c>
      <c r="G4695" s="49" t="n">
        <v>0</v>
      </c>
      <c r="H4695" s="0" t="n">
        <v>0</v>
      </c>
      <c r="M4695" s="51" t="s">
        <v>8749</v>
      </c>
      <c r="N4695" s="49" t="n">
        <v>0</v>
      </c>
      <c r="O4695" s="53" t="n">
        <v>45865.5636921296</v>
      </c>
      <c r="P4695" s="53" t="n">
        <v>45921.7891319444</v>
      </c>
      <c r="Q4695" s="53" t="n">
        <v>45865.5636921296</v>
      </c>
      <c r="R4695" s="0" t="n">
        <v>0</v>
      </c>
      <c r="S4695" s="51" t="s">
        <v>4015</v>
      </c>
      <c r="T4695" s="51" t="s">
        <v>4015</v>
      </c>
      <c r="U4695" s="0" t="str">
        <f aca="false">"713231"</f>
        <v>713231</v>
      </c>
      <c r="V4695" s="51" t="s">
        <v>5386</v>
      </c>
      <c r="W4695" s="51" t="s">
        <v>8757</v>
      </c>
      <c r="X4695" s="51" t="s">
        <v>2359</v>
      </c>
    </row>
    <row r="4696" customFormat="false" ht="14.25" hidden="true" customHeight="false" outlineLevel="0" collapsed="false">
      <c r="A4696" s="49" t="s">
        <v>2349</v>
      </c>
      <c r="B4696" s="49" t="s">
        <v>2350</v>
      </c>
      <c r="C4696" s="49" t="s">
        <v>8758</v>
      </c>
      <c r="D4696" s="49" t="s">
        <v>2352</v>
      </c>
      <c r="E4696" s="49" t="str">
        <f aca="false">"713231"</f>
        <v>713231</v>
      </c>
      <c r="F4696" s="49" t="s">
        <v>8748</v>
      </c>
      <c r="G4696" s="49" t="n">
        <v>0</v>
      </c>
      <c r="H4696" s="0" t="n">
        <v>0</v>
      </c>
      <c r="M4696" s="51" t="s">
        <v>8749</v>
      </c>
      <c r="N4696" s="49" t="n">
        <v>0</v>
      </c>
      <c r="O4696" s="53" t="n">
        <v>45945.6535648148</v>
      </c>
      <c r="P4696" s="53" t="n">
        <v>45993.4379513889</v>
      </c>
      <c r="R4696" s="0" t="n">
        <v>0</v>
      </c>
      <c r="T4696" s="51" t="s">
        <v>2383</v>
      </c>
      <c r="U4696" s="0" t="str">
        <f aca="false">"713231"</f>
        <v>713231</v>
      </c>
      <c r="V4696" s="51" t="s">
        <v>5386</v>
      </c>
      <c r="W4696" s="51" t="s">
        <v>3904</v>
      </c>
      <c r="X4696" s="51" t="s">
        <v>2359</v>
      </c>
    </row>
    <row r="4697" customFormat="false" ht="14.25" hidden="true" customHeight="false" outlineLevel="0" collapsed="false">
      <c r="A4697" s="49" t="s">
        <v>2349</v>
      </c>
      <c r="B4697" s="49" t="s">
        <v>2350</v>
      </c>
      <c r="C4697" s="49" t="s">
        <v>8759</v>
      </c>
      <c r="D4697" s="49" t="s">
        <v>2352</v>
      </c>
      <c r="E4697" s="49" t="str">
        <f aca="false">"12464079"</f>
        <v>12464079</v>
      </c>
      <c r="F4697" s="49" t="s">
        <v>4706</v>
      </c>
      <c r="G4697" s="49" t="n">
        <v>0</v>
      </c>
      <c r="H4697" s="0" t="n">
        <v>0</v>
      </c>
      <c r="M4697" s="51" t="s">
        <v>8760</v>
      </c>
      <c r="N4697" s="49" t="n">
        <v>0</v>
      </c>
      <c r="O4697" s="53" t="n">
        <v>45861.7661805556</v>
      </c>
      <c r="P4697" s="53" t="n">
        <v>45865.8042013889</v>
      </c>
      <c r="Q4697" s="53" t="n">
        <v>45861.7661805556</v>
      </c>
      <c r="R4697" s="0" t="n">
        <v>0</v>
      </c>
      <c r="S4697" s="51" t="s">
        <v>4015</v>
      </c>
      <c r="T4697" s="51" t="s">
        <v>4015</v>
      </c>
      <c r="U4697" s="0" t="str">
        <f aca="false">"12464079"</f>
        <v>12464079</v>
      </c>
      <c r="V4697" s="51" t="s">
        <v>2365</v>
      </c>
      <c r="W4697" s="51" t="s">
        <v>4860</v>
      </c>
      <c r="X4697" s="51" t="s">
        <v>2359</v>
      </c>
    </row>
    <row r="4698" customFormat="false" ht="14.25" hidden="true" customHeight="false" outlineLevel="0" collapsed="false">
      <c r="A4698" s="49" t="s">
        <v>2349</v>
      </c>
      <c r="B4698" s="49" t="s">
        <v>2350</v>
      </c>
      <c r="C4698" s="49" t="s">
        <v>8761</v>
      </c>
      <c r="D4698" s="49" t="s">
        <v>2352</v>
      </c>
      <c r="E4698" s="49" t="str">
        <f aca="false">"12464079"</f>
        <v>12464079</v>
      </c>
      <c r="F4698" s="49" t="s">
        <v>4706</v>
      </c>
      <c r="G4698" s="49" t="n">
        <v>0</v>
      </c>
      <c r="H4698" s="0" t="n">
        <v>0</v>
      </c>
      <c r="M4698" s="51" t="s">
        <v>8760</v>
      </c>
      <c r="N4698" s="49" t="n">
        <v>0</v>
      </c>
      <c r="O4698" s="53" t="n">
        <v>45861.7665277778</v>
      </c>
      <c r="P4698" s="53" t="n">
        <v>45917.9097106482</v>
      </c>
      <c r="Q4698" s="53" t="n">
        <v>45861.7665277778</v>
      </c>
      <c r="R4698" s="0" t="n">
        <v>0</v>
      </c>
      <c r="S4698" s="51" t="s">
        <v>4015</v>
      </c>
      <c r="T4698" s="51" t="s">
        <v>4015</v>
      </c>
      <c r="U4698" s="0" t="str">
        <f aca="false">"12464079"</f>
        <v>12464079</v>
      </c>
      <c r="V4698" s="51" t="s">
        <v>2365</v>
      </c>
      <c r="W4698" s="51" t="s">
        <v>7772</v>
      </c>
      <c r="X4698" s="51" t="s">
        <v>2359</v>
      </c>
    </row>
    <row r="4699" customFormat="false" ht="14.25" hidden="true" customHeight="false" outlineLevel="0" collapsed="false">
      <c r="A4699" s="49" t="s">
        <v>2349</v>
      </c>
      <c r="B4699" s="49" t="s">
        <v>2350</v>
      </c>
      <c r="C4699" s="49" t="s">
        <v>8762</v>
      </c>
      <c r="D4699" s="49" t="s">
        <v>2352</v>
      </c>
      <c r="E4699" s="49" t="str">
        <f aca="false">"12428864"</f>
        <v>12428864</v>
      </c>
      <c r="F4699" s="49" t="s">
        <v>4251</v>
      </c>
      <c r="G4699" s="49" t="n">
        <v>0</v>
      </c>
      <c r="H4699" s="0" t="n">
        <v>0</v>
      </c>
      <c r="M4699" s="51" t="s">
        <v>8760</v>
      </c>
      <c r="N4699" s="49" t="n">
        <v>0</v>
      </c>
      <c r="O4699" s="53" t="n">
        <v>45861.7628240741</v>
      </c>
      <c r="P4699" s="53" t="n">
        <v>45932.4958101852</v>
      </c>
      <c r="Q4699" s="53" t="n">
        <v>45861.7628240741</v>
      </c>
      <c r="R4699" s="0" t="n">
        <v>0</v>
      </c>
      <c r="S4699" s="51" t="s">
        <v>4015</v>
      </c>
      <c r="T4699" s="51" t="s">
        <v>4015</v>
      </c>
      <c r="U4699" s="0" t="str">
        <f aca="false">"12428864"</f>
        <v>12428864</v>
      </c>
      <c r="V4699" s="51" t="s">
        <v>2365</v>
      </c>
      <c r="W4699" s="51" t="s">
        <v>8763</v>
      </c>
      <c r="X4699" s="51" t="s">
        <v>2359</v>
      </c>
    </row>
    <row r="4700" customFormat="false" ht="14.25" hidden="true" customHeight="false" outlineLevel="0" collapsed="false">
      <c r="A4700" s="49" t="s">
        <v>2349</v>
      </c>
      <c r="B4700" s="49" t="s">
        <v>2350</v>
      </c>
      <c r="C4700" s="49" t="s">
        <v>8764</v>
      </c>
      <c r="D4700" s="49" t="s">
        <v>2352</v>
      </c>
      <c r="E4700" s="49" t="str">
        <f aca="false">"12363202"</f>
        <v>12363202</v>
      </c>
      <c r="F4700" s="49" t="s">
        <v>7041</v>
      </c>
      <c r="G4700" s="49" t="n">
        <v>0</v>
      </c>
      <c r="H4700" s="0" t="n">
        <v>0</v>
      </c>
      <c r="M4700" s="51" t="s">
        <v>8760</v>
      </c>
      <c r="N4700" s="49" t="n">
        <v>0</v>
      </c>
      <c r="O4700" s="53" t="n">
        <v>45861.7646527778</v>
      </c>
      <c r="P4700" s="53" t="n">
        <v>45899.7991203704</v>
      </c>
      <c r="Q4700" s="53" t="n">
        <v>45861.7646527778</v>
      </c>
      <c r="R4700" s="0" t="n">
        <v>0</v>
      </c>
      <c r="S4700" s="51" t="s">
        <v>4015</v>
      </c>
      <c r="T4700" s="51" t="s">
        <v>4015</v>
      </c>
      <c r="U4700" s="0" t="str">
        <f aca="false">"12363202"</f>
        <v>12363202</v>
      </c>
      <c r="V4700" s="51" t="s">
        <v>2365</v>
      </c>
      <c r="W4700" s="51" t="s">
        <v>4290</v>
      </c>
      <c r="X4700" s="51" t="s">
        <v>2359</v>
      </c>
    </row>
    <row r="4701" customFormat="false" ht="14.25" hidden="true" customHeight="false" outlineLevel="0" collapsed="false">
      <c r="A4701" s="49" t="s">
        <v>2349</v>
      </c>
      <c r="B4701" s="49" t="s">
        <v>2350</v>
      </c>
      <c r="C4701" s="49" t="s">
        <v>8765</v>
      </c>
      <c r="D4701" s="49" t="s">
        <v>2352</v>
      </c>
      <c r="E4701" s="49" t="str">
        <f aca="false">"12428864"</f>
        <v>12428864</v>
      </c>
      <c r="F4701" s="49" t="s">
        <v>4251</v>
      </c>
      <c r="G4701" s="49" t="n">
        <v>0</v>
      </c>
      <c r="H4701" s="0" t="n">
        <v>0</v>
      </c>
      <c r="M4701" s="51" t="s">
        <v>8760</v>
      </c>
      <c r="N4701" s="49" t="n">
        <v>0</v>
      </c>
      <c r="O4701" s="53" t="n">
        <v>45861.7635416667</v>
      </c>
      <c r="P4701" s="53" t="n">
        <v>45931.8238657407</v>
      </c>
      <c r="Q4701" s="53" t="n">
        <v>45861.7635416667</v>
      </c>
      <c r="R4701" s="0" t="n">
        <v>0</v>
      </c>
      <c r="S4701" s="51" t="s">
        <v>4015</v>
      </c>
      <c r="T4701" s="51" t="s">
        <v>4015</v>
      </c>
      <c r="U4701" s="0" t="str">
        <f aca="false">"12428864"</f>
        <v>12428864</v>
      </c>
      <c r="V4701" s="51" t="s">
        <v>2365</v>
      </c>
      <c r="W4701" s="51" t="s">
        <v>4290</v>
      </c>
      <c r="X4701" s="51" t="s">
        <v>2359</v>
      </c>
    </row>
    <row r="4702" customFormat="false" ht="14.25" hidden="true" customHeight="false" outlineLevel="0" collapsed="false">
      <c r="A4702" s="49" t="s">
        <v>2349</v>
      </c>
      <c r="B4702" s="49" t="s">
        <v>2350</v>
      </c>
      <c r="C4702" s="49" t="s">
        <v>8766</v>
      </c>
      <c r="D4702" s="49" t="s">
        <v>2352</v>
      </c>
      <c r="E4702" s="49" t="str">
        <f aca="false">"12464079"</f>
        <v>12464079</v>
      </c>
      <c r="F4702" s="49" t="s">
        <v>4706</v>
      </c>
      <c r="G4702" s="49" t="n">
        <v>0</v>
      </c>
      <c r="H4702" s="0" t="n">
        <v>0</v>
      </c>
      <c r="M4702" s="51" t="s">
        <v>8760</v>
      </c>
      <c r="N4702" s="49" t="n">
        <v>0</v>
      </c>
      <c r="O4702" s="53" t="n">
        <v>45861.7667592593</v>
      </c>
      <c r="P4702" s="53" t="n">
        <v>45865.8068402778</v>
      </c>
      <c r="Q4702" s="53" t="n">
        <v>45861.7667592593</v>
      </c>
      <c r="R4702" s="0" t="n">
        <v>0</v>
      </c>
      <c r="S4702" s="51" t="s">
        <v>4015</v>
      </c>
      <c r="T4702" s="51" t="s">
        <v>4015</v>
      </c>
      <c r="U4702" s="0" t="str">
        <f aca="false">"12464079"</f>
        <v>12464079</v>
      </c>
      <c r="V4702" s="51" t="s">
        <v>2365</v>
      </c>
      <c r="W4702" s="51" t="s">
        <v>7870</v>
      </c>
      <c r="X4702" s="51" t="s">
        <v>2359</v>
      </c>
    </row>
    <row r="4703" customFormat="false" ht="14.25" hidden="true" customHeight="false" outlineLevel="0" collapsed="false">
      <c r="A4703" s="49" t="s">
        <v>2349</v>
      </c>
      <c r="B4703" s="49" t="s">
        <v>2350</v>
      </c>
      <c r="C4703" s="49" t="s">
        <v>8767</v>
      </c>
      <c r="D4703" s="49" t="s">
        <v>2352</v>
      </c>
      <c r="E4703" s="49" t="str">
        <f aca="false">"12464079"</f>
        <v>12464079</v>
      </c>
      <c r="F4703" s="49" t="s">
        <v>4706</v>
      </c>
      <c r="G4703" s="49" t="n">
        <v>0</v>
      </c>
      <c r="H4703" s="0" t="n">
        <v>0</v>
      </c>
      <c r="M4703" s="51" t="s">
        <v>8760</v>
      </c>
      <c r="N4703" s="49" t="n">
        <v>0</v>
      </c>
      <c r="O4703" s="53" t="n">
        <v>45861.7668865741</v>
      </c>
      <c r="P4703" s="53" t="n">
        <v>45882.7673611111</v>
      </c>
      <c r="Q4703" s="53" t="n">
        <v>45861.7668865741</v>
      </c>
      <c r="R4703" s="0" t="n">
        <v>0</v>
      </c>
      <c r="S4703" s="51" t="s">
        <v>4015</v>
      </c>
      <c r="T4703" s="51" t="s">
        <v>4015</v>
      </c>
      <c r="U4703" s="0" t="str">
        <f aca="false">"12464079"</f>
        <v>12464079</v>
      </c>
      <c r="V4703" s="51" t="s">
        <v>2365</v>
      </c>
      <c r="W4703" s="51" t="s">
        <v>8768</v>
      </c>
      <c r="X4703" s="51" t="s">
        <v>2359</v>
      </c>
    </row>
    <row r="4704" customFormat="false" ht="14.25" hidden="true" customHeight="false" outlineLevel="0" collapsed="false">
      <c r="A4704" s="49" t="s">
        <v>2349</v>
      </c>
      <c r="B4704" s="49" t="s">
        <v>2350</v>
      </c>
      <c r="C4704" s="49" t="s">
        <v>8769</v>
      </c>
      <c r="D4704" s="49" t="s">
        <v>2352</v>
      </c>
      <c r="E4704" s="49" t="str">
        <f aca="false">"12464079"</f>
        <v>12464079</v>
      </c>
      <c r="F4704" s="49" t="s">
        <v>4706</v>
      </c>
      <c r="G4704" s="49" t="n">
        <v>0</v>
      </c>
      <c r="H4704" s="0" t="n">
        <v>0</v>
      </c>
      <c r="M4704" s="51" t="s">
        <v>8760</v>
      </c>
      <c r="N4704" s="49" t="n">
        <v>0</v>
      </c>
      <c r="O4704" s="53" t="n">
        <v>45861.767037037</v>
      </c>
      <c r="P4704" s="53" t="n">
        <v>45865.8841203704</v>
      </c>
      <c r="Q4704" s="53" t="n">
        <v>45861.767037037</v>
      </c>
      <c r="R4704" s="0" t="n">
        <v>0</v>
      </c>
      <c r="S4704" s="51" t="s">
        <v>4015</v>
      </c>
      <c r="T4704" s="51" t="s">
        <v>4015</v>
      </c>
      <c r="U4704" s="0" t="str">
        <f aca="false">"12464079"</f>
        <v>12464079</v>
      </c>
      <c r="V4704" s="51" t="s">
        <v>2365</v>
      </c>
      <c r="W4704" s="51" t="s">
        <v>8470</v>
      </c>
      <c r="X4704" s="51" t="s">
        <v>2359</v>
      </c>
    </row>
    <row r="4705" customFormat="false" ht="14.25" hidden="true" customHeight="false" outlineLevel="0" collapsed="false">
      <c r="A4705" s="49" t="s">
        <v>2349</v>
      </c>
      <c r="B4705" s="49" t="s">
        <v>2350</v>
      </c>
      <c r="C4705" s="49" t="s">
        <v>8770</v>
      </c>
      <c r="D4705" s="49" t="s">
        <v>2352</v>
      </c>
      <c r="E4705" s="49" t="str">
        <f aca="false">"12464079"</f>
        <v>12464079</v>
      </c>
      <c r="F4705" s="49" t="s">
        <v>4706</v>
      </c>
      <c r="G4705" s="49" t="n">
        <v>0</v>
      </c>
      <c r="H4705" s="0" t="n">
        <v>0</v>
      </c>
      <c r="M4705" s="51" t="s">
        <v>8760</v>
      </c>
      <c r="N4705" s="49" t="n">
        <v>0</v>
      </c>
      <c r="O4705" s="53" t="n">
        <v>45861.7671527778</v>
      </c>
      <c r="P4705" s="53" t="n">
        <v>45865.8847916667</v>
      </c>
      <c r="Q4705" s="53" t="n">
        <v>45861.7671527778</v>
      </c>
      <c r="R4705" s="0" t="n">
        <v>0</v>
      </c>
      <c r="S4705" s="51" t="s">
        <v>4015</v>
      </c>
      <c r="T4705" s="51" t="s">
        <v>4015</v>
      </c>
      <c r="U4705" s="0" t="str">
        <f aca="false">"12464079"</f>
        <v>12464079</v>
      </c>
      <c r="V4705" s="51" t="s">
        <v>2365</v>
      </c>
      <c r="W4705" s="51" t="s">
        <v>4497</v>
      </c>
      <c r="X4705" s="51" t="s">
        <v>2359</v>
      </c>
    </row>
    <row r="4706" customFormat="false" ht="14.25" hidden="true" customHeight="false" outlineLevel="0" collapsed="false">
      <c r="A4706" s="49" t="s">
        <v>2349</v>
      </c>
      <c r="B4706" s="49" t="s">
        <v>2350</v>
      </c>
      <c r="C4706" s="49" t="s">
        <v>8771</v>
      </c>
      <c r="D4706" s="49" t="s">
        <v>2352</v>
      </c>
      <c r="E4706" s="49" t="str">
        <f aca="false">"12464079"</f>
        <v>12464079</v>
      </c>
      <c r="F4706" s="49" t="s">
        <v>4706</v>
      </c>
      <c r="G4706" s="49" t="n">
        <v>0</v>
      </c>
      <c r="H4706" s="0" t="n">
        <v>0</v>
      </c>
      <c r="M4706" s="51" t="s">
        <v>8760</v>
      </c>
      <c r="N4706" s="49" t="n">
        <v>0</v>
      </c>
      <c r="O4706" s="53" t="n">
        <v>45861.7672800926</v>
      </c>
      <c r="P4706" s="53" t="n">
        <v>45864.6561574074</v>
      </c>
      <c r="Q4706" s="53" t="n">
        <v>45861.7672800926</v>
      </c>
      <c r="R4706" s="0" t="n">
        <v>0</v>
      </c>
      <c r="S4706" s="51" t="s">
        <v>4015</v>
      </c>
      <c r="T4706" s="51" t="s">
        <v>4015</v>
      </c>
      <c r="U4706" s="0" t="str">
        <f aca="false">"12464079"</f>
        <v>12464079</v>
      </c>
      <c r="V4706" s="51" t="s">
        <v>2365</v>
      </c>
      <c r="W4706" s="51" t="s">
        <v>8772</v>
      </c>
      <c r="X4706" s="51" t="s">
        <v>2359</v>
      </c>
    </row>
    <row r="4707" customFormat="false" ht="14.25" hidden="true" customHeight="false" outlineLevel="0" collapsed="false">
      <c r="A4707" s="49" t="s">
        <v>2349</v>
      </c>
      <c r="B4707" s="49" t="s">
        <v>2350</v>
      </c>
      <c r="C4707" s="49" t="s">
        <v>8773</v>
      </c>
      <c r="D4707" s="49" t="s">
        <v>2352</v>
      </c>
      <c r="E4707" s="49" t="str">
        <f aca="false">"12464079"</f>
        <v>12464079</v>
      </c>
      <c r="F4707" s="49" t="s">
        <v>4706</v>
      </c>
      <c r="G4707" s="49" t="n">
        <v>0</v>
      </c>
      <c r="H4707" s="0" t="n">
        <v>0</v>
      </c>
      <c r="M4707" s="51" t="s">
        <v>8760</v>
      </c>
      <c r="N4707" s="49" t="n">
        <v>0</v>
      </c>
      <c r="O4707" s="53" t="n">
        <v>45861.7675694445</v>
      </c>
      <c r="P4707" s="53" t="n">
        <v>45865.8052662037</v>
      </c>
      <c r="Q4707" s="53" t="n">
        <v>45861.7675694445</v>
      </c>
      <c r="R4707" s="0" t="n">
        <v>0</v>
      </c>
      <c r="S4707" s="51" t="s">
        <v>4015</v>
      </c>
      <c r="T4707" s="51" t="s">
        <v>4015</v>
      </c>
      <c r="U4707" s="0" t="str">
        <f aca="false">"12464079"</f>
        <v>12464079</v>
      </c>
      <c r="V4707" s="51" t="s">
        <v>2365</v>
      </c>
      <c r="W4707" s="51" t="s">
        <v>7156</v>
      </c>
      <c r="X4707" s="51" t="s">
        <v>2359</v>
      </c>
    </row>
    <row r="4708" customFormat="false" ht="14.25" hidden="true" customHeight="false" outlineLevel="0" collapsed="false">
      <c r="A4708" s="49" t="s">
        <v>2349</v>
      </c>
      <c r="B4708" s="49" t="s">
        <v>2350</v>
      </c>
      <c r="C4708" s="49" t="s">
        <v>8774</v>
      </c>
      <c r="D4708" s="49" t="s">
        <v>2352</v>
      </c>
      <c r="E4708" s="49" t="str">
        <f aca="false">"12464079"</f>
        <v>12464079</v>
      </c>
      <c r="F4708" s="49" t="s">
        <v>4706</v>
      </c>
      <c r="G4708" s="49" t="n">
        <v>0</v>
      </c>
      <c r="H4708" s="0" t="n">
        <v>0</v>
      </c>
      <c r="M4708" s="51" t="s">
        <v>8760</v>
      </c>
      <c r="N4708" s="49" t="n">
        <v>0</v>
      </c>
      <c r="O4708" s="53" t="n">
        <v>45861.7677662037</v>
      </c>
      <c r="P4708" s="53" t="n">
        <v>45897.3797106482</v>
      </c>
      <c r="Q4708" s="53" t="n">
        <v>45861.7677662037</v>
      </c>
      <c r="R4708" s="0" t="n">
        <v>0</v>
      </c>
      <c r="S4708" s="51" t="s">
        <v>4015</v>
      </c>
      <c r="T4708" s="51" t="s">
        <v>4015</v>
      </c>
      <c r="U4708" s="0" t="str">
        <f aca="false">"12464079"</f>
        <v>12464079</v>
      </c>
      <c r="V4708" s="51" t="s">
        <v>2365</v>
      </c>
      <c r="W4708" s="51" t="s">
        <v>8775</v>
      </c>
      <c r="X4708" s="51" t="s">
        <v>2359</v>
      </c>
    </row>
    <row r="4709" customFormat="false" ht="14.25" hidden="true" customHeight="false" outlineLevel="0" collapsed="false">
      <c r="A4709" s="49" t="s">
        <v>2349</v>
      </c>
      <c r="B4709" s="49" t="s">
        <v>2350</v>
      </c>
      <c r="C4709" s="49" t="s">
        <v>8776</v>
      </c>
      <c r="D4709" s="49" t="s">
        <v>2352</v>
      </c>
      <c r="E4709" s="49" t="str">
        <f aca="false">"12464079"</f>
        <v>12464079</v>
      </c>
      <c r="F4709" s="49" t="s">
        <v>4706</v>
      </c>
      <c r="G4709" s="49" t="n">
        <v>0</v>
      </c>
      <c r="H4709" s="0" t="n">
        <v>0</v>
      </c>
      <c r="M4709" s="51" t="s">
        <v>8760</v>
      </c>
      <c r="N4709" s="49" t="n">
        <v>0</v>
      </c>
      <c r="O4709" s="53" t="n">
        <v>45861.7679166667</v>
      </c>
      <c r="P4709" s="53" t="n">
        <v>45888.888587963</v>
      </c>
      <c r="Q4709" s="53" t="n">
        <v>45861.7679166667</v>
      </c>
      <c r="R4709" s="0" t="n">
        <v>0</v>
      </c>
      <c r="S4709" s="51" t="s">
        <v>4015</v>
      </c>
      <c r="T4709" s="51" t="s">
        <v>4015</v>
      </c>
      <c r="U4709" s="0" t="str">
        <f aca="false">"12464079"</f>
        <v>12464079</v>
      </c>
      <c r="V4709" s="51" t="s">
        <v>2365</v>
      </c>
      <c r="W4709" s="51" t="s">
        <v>7533</v>
      </c>
      <c r="X4709" s="51" t="s">
        <v>2359</v>
      </c>
    </row>
    <row r="4710" customFormat="false" ht="14.25" hidden="true" customHeight="false" outlineLevel="0" collapsed="false">
      <c r="A4710" s="49" t="s">
        <v>2349</v>
      </c>
      <c r="B4710" s="49" t="s">
        <v>2350</v>
      </c>
      <c r="C4710" s="49" t="s">
        <v>8777</v>
      </c>
      <c r="D4710" s="49" t="s">
        <v>2352</v>
      </c>
      <c r="E4710" s="49" t="str">
        <f aca="false">"12464079"</f>
        <v>12464079</v>
      </c>
      <c r="F4710" s="49" t="s">
        <v>4706</v>
      </c>
      <c r="G4710" s="49" t="n">
        <v>0</v>
      </c>
      <c r="H4710" s="0" t="n">
        <v>0</v>
      </c>
      <c r="M4710" s="51" t="s">
        <v>8760</v>
      </c>
      <c r="N4710" s="49" t="n">
        <v>0</v>
      </c>
      <c r="O4710" s="53" t="n">
        <v>45861.7680439815</v>
      </c>
      <c r="P4710" s="53" t="n">
        <v>45865.7967824074</v>
      </c>
      <c r="Q4710" s="53" t="n">
        <v>45861.7680439815</v>
      </c>
      <c r="R4710" s="0" t="n">
        <v>0</v>
      </c>
      <c r="S4710" s="51" t="s">
        <v>4015</v>
      </c>
      <c r="T4710" s="51" t="s">
        <v>4015</v>
      </c>
      <c r="U4710" s="0" t="str">
        <f aca="false">"12464079"</f>
        <v>12464079</v>
      </c>
      <c r="V4710" s="51" t="s">
        <v>2365</v>
      </c>
      <c r="W4710" s="51" t="s">
        <v>7561</v>
      </c>
      <c r="X4710" s="51" t="s">
        <v>2359</v>
      </c>
    </row>
    <row r="4711" customFormat="false" ht="14.25" hidden="true" customHeight="false" outlineLevel="0" collapsed="false">
      <c r="A4711" s="49" t="s">
        <v>2349</v>
      </c>
      <c r="B4711" s="49" t="s">
        <v>2350</v>
      </c>
      <c r="C4711" s="49" t="s">
        <v>8778</v>
      </c>
      <c r="D4711" s="49" t="s">
        <v>2352</v>
      </c>
      <c r="E4711" s="49" t="str">
        <f aca="false">"12464079"</f>
        <v>12464079</v>
      </c>
      <c r="F4711" s="49" t="s">
        <v>4706</v>
      </c>
      <c r="G4711" s="49" t="n">
        <v>0</v>
      </c>
      <c r="H4711" s="0" t="n">
        <v>0</v>
      </c>
      <c r="M4711" s="51" t="s">
        <v>8760</v>
      </c>
      <c r="N4711" s="49" t="n">
        <v>0</v>
      </c>
      <c r="O4711" s="53" t="n">
        <v>45861.7681712963</v>
      </c>
      <c r="P4711" s="53" t="n">
        <v>45864.642650463</v>
      </c>
      <c r="Q4711" s="53" t="n">
        <v>45861.7681712963</v>
      </c>
      <c r="R4711" s="0" t="n">
        <v>0</v>
      </c>
      <c r="S4711" s="51" t="s">
        <v>4015</v>
      </c>
      <c r="T4711" s="51" t="s">
        <v>4015</v>
      </c>
      <c r="U4711" s="0" t="str">
        <f aca="false">"12464079"</f>
        <v>12464079</v>
      </c>
      <c r="V4711" s="51" t="s">
        <v>2365</v>
      </c>
      <c r="W4711" s="51" t="s">
        <v>4784</v>
      </c>
      <c r="X4711" s="51" t="s">
        <v>2359</v>
      </c>
    </row>
    <row r="4712" customFormat="false" ht="14.25" hidden="true" customHeight="false" outlineLevel="0" collapsed="false">
      <c r="A4712" s="49" t="s">
        <v>2349</v>
      </c>
      <c r="B4712" s="49" t="s">
        <v>2350</v>
      </c>
      <c r="C4712" s="49" t="s">
        <v>8779</v>
      </c>
      <c r="D4712" s="49" t="s">
        <v>2352</v>
      </c>
      <c r="E4712" s="49" t="str">
        <f aca="false">"12464079"</f>
        <v>12464079</v>
      </c>
      <c r="F4712" s="49" t="s">
        <v>4706</v>
      </c>
      <c r="G4712" s="49" t="n">
        <v>0</v>
      </c>
      <c r="H4712" s="0" t="n">
        <v>0</v>
      </c>
      <c r="M4712" s="51" t="s">
        <v>8760</v>
      </c>
      <c r="N4712" s="49" t="n">
        <v>0</v>
      </c>
      <c r="O4712" s="53" t="n">
        <v>45861.768287037</v>
      </c>
      <c r="P4712" s="53" t="n">
        <v>45903.7391550926</v>
      </c>
      <c r="Q4712" s="53" t="n">
        <v>45861.768287037</v>
      </c>
      <c r="R4712" s="0" t="n">
        <v>0</v>
      </c>
      <c r="S4712" s="51" t="s">
        <v>4015</v>
      </c>
      <c r="T4712" s="51" t="s">
        <v>4015</v>
      </c>
      <c r="U4712" s="0" t="str">
        <f aca="false">"12464079"</f>
        <v>12464079</v>
      </c>
      <c r="V4712" s="51" t="s">
        <v>2365</v>
      </c>
      <c r="W4712" s="51" t="s">
        <v>7360</v>
      </c>
      <c r="X4712" s="51" t="s">
        <v>2359</v>
      </c>
    </row>
    <row r="4713" customFormat="false" ht="14.25" hidden="true" customHeight="false" outlineLevel="0" collapsed="false">
      <c r="A4713" s="49" t="s">
        <v>2349</v>
      </c>
      <c r="B4713" s="49" t="s">
        <v>2350</v>
      </c>
      <c r="C4713" s="49" t="s">
        <v>8780</v>
      </c>
      <c r="D4713" s="49" t="s">
        <v>2352</v>
      </c>
      <c r="E4713" s="49" t="str">
        <f aca="false">"12464079"</f>
        <v>12464079</v>
      </c>
      <c r="F4713" s="49" t="s">
        <v>4706</v>
      </c>
      <c r="G4713" s="49" t="n">
        <v>0</v>
      </c>
      <c r="H4713" s="0" t="n">
        <v>0</v>
      </c>
      <c r="M4713" s="51" t="s">
        <v>8760</v>
      </c>
      <c r="N4713" s="49" t="n">
        <v>0</v>
      </c>
      <c r="O4713" s="53" t="n">
        <v>45861.7683912037</v>
      </c>
      <c r="P4713" s="53" t="n">
        <v>45903.743900463</v>
      </c>
      <c r="Q4713" s="53" t="n">
        <v>45861.7683912037</v>
      </c>
      <c r="R4713" s="0" t="n">
        <v>0</v>
      </c>
      <c r="S4713" s="51" t="s">
        <v>4015</v>
      </c>
      <c r="T4713" s="51" t="s">
        <v>4015</v>
      </c>
      <c r="U4713" s="0" t="str">
        <f aca="false">"12464079"</f>
        <v>12464079</v>
      </c>
      <c r="V4713" s="51" t="s">
        <v>2365</v>
      </c>
      <c r="W4713" s="51" t="s">
        <v>7824</v>
      </c>
      <c r="X4713" s="51" t="s">
        <v>2359</v>
      </c>
    </row>
    <row r="4714" customFormat="false" ht="14.25" hidden="true" customHeight="false" outlineLevel="0" collapsed="false">
      <c r="A4714" s="49" t="s">
        <v>2349</v>
      </c>
      <c r="B4714" s="49" t="s">
        <v>2350</v>
      </c>
      <c r="C4714" s="49" t="s">
        <v>8781</v>
      </c>
      <c r="D4714" s="49" t="s">
        <v>2352</v>
      </c>
      <c r="E4714" s="49" t="str">
        <f aca="false">"12464079"</f>
        <v>12464079</v>
      </c>
      <c r="F4714" s="49" t="s">
        <v>4706</v>
      </c>
      <c r="G4714" s="49" t="n">
        <v>0</v>
      </c>
      <c r="H4714" s="0" t="n">
        <v>0</v>
      </c>
      <c r="M4714" s="51" t="s">
        <v>8760</v>
      </c>
      <c r="N4714" s="49" t="n">
        <v>0</v>
      </c>
      <c r="O4714" s="53" t="n">
        <v>45861.7685416667</v>
      </c>
      <c r="P4714" s="53" t="n">
        <v>45865.8858796296</v>
      </c>
      <c r="Q4714" s="53" t="n">
        <v>45861.7685416667</v>
      </c>
      <c r="R4714" s="0" t="n">
        <v>0</v>
      </c>
      <c r="S4714" s="51" t="s">
        <v>4015</v>
      </c>
      <c r="T4714" s="51" t="s">
        <v>4015</v>
      </c>
      <c r="U4714" s="0" t="str">
        <f aca="false">"12464079"</f>
        <v>12464079</v>
      </c>
      <c r="V4714" s="51" t="s">
        <v>2365</v>
      </c>
      <c r="W4714" s="51" t="s">
        <v>8782</v>
      </c>
      <c r="X4714" s="51" t="s">
        <v>2359</v>
      </c>
    </row>
    <row r="4715" customFormat="false" ht="14.25" hidden="true" customHeight="false" outlineLevel="0" collapsed="false">
      <c r="A4715" s="49" t="s">
        <v>2349</v>
      </c>
      <c r="B4715" s="49" t="s">
        <v>2350</v>
      </c>
      <c r="C4715" s="49" t="s">
        <v>8783</v>
      </c>
      <c r="D4715" s="49" t="s">
        <v>2352</v>
      </c>
      <c r="E4715" s="49" t="str">
        <f aca="false">"12464079"</f>
        <v>12464079</v>
      </c>
      <c r="F4715" s="49" t="s">
        <v>4706</v>
      </c>
      <c r="G4715" s="49" t="n">
        <v>0</v>
      </c>
      <c r="H4715" s="0" t="n">
        <v>0</v>
      </c>
      <c r="M4715" s="51" t="s">
        <v>8760</v>
      </c>
      <c r="N4715" s="49" t="n">
        <v>0</v>
      </c>
      <c r="O4715" s="53" t="n">
        <v>45861.7687152778</v>
      </c>
      <c r="P4715" s="53" t="n">
        <v>45874.8227777778</v>
      </c>
      <c r="Q4715" s="53" t="n">
        <v>45861.7687152778</v>
      </c>
      <c r="R4715" s="0" t="n">
        <v>0</v>
      </c>
      <c r="S4715" s="51" t="s">
        <v>4015</v>
      </c>
      <c r="T4715" s="51" t="s">
        <v>4015</v>
      </c>
      <c r="U4715" s="0" t="str">
        <f aca="false">"12464079"</f>
        <v>12464079</v>
      </c>
      <c r="V4715" s="51" t="s">
        <v>2365</v>
      </c>
      <c r="W4715" s="51" t="s">
        <v>5499</v>
      </c>
      <c r="X4715" s="51" t="s">
        <v>2359</v>
      </c>
    </row>
    <row r="4716" customFormat="false" ht="14.25" hidden="true" customHeight="false" outlineLevel="0" collapsed="false">
      <c r="A4716" s="49" t="s">
        <v>2349</v>
      </c>
      <c r="B4716" s="49" t="s">
        <v>2350</v>
      </c>
      <c r="C4716" s="49" t="s">
        <v>8784</v>
      </c>
      <c r="D4716" s="49" t="s">
        <v>2352</v>
      </c>
      <c r="E4716" s="49" t="str">
        <f aca="false">"12464079"</f>
        <v>12464079</v>
      </c>
      <c r="F4716" s="49" t="s">
        <v>4706</v>
      </c>
      <c r="G4716" s="49" t="n">
        <v>0</v>
      </c>
      <c r="H4716" s="0" t="n">
        <v>0</v>
      </c>
      <c r="M4716" s="51" t="s">
        <v>8760</v>
      </c>
      <c r="N4716" s="49" t="n">
        <v>0</v>
      </c>
      <c r="O4716" s="53" t="n">
        <v>45861.7688425926</v>
      </c>
      <c r="P4716" s="53" t="n">
        <v>45864.6453240741</v>
      </c>
      <c r="Q4716" s="53" t="n">
        <v>45861.7688425926</v>
      </c>
      <c r="R4716" s="0" t="n">
        <v>0</v>
      </c>
      <c r="S4716" s="51" t="s">
        <v>4015</v>
      </c>
      <c r="T4716" s="51" t="s">
        <v>4015</v>
      </c>
      <c r="U4716" s="0" t="str">
        <f aca="false">"12464079"</f>
        <v>12464079</v>
      </c>
      <c r="V4716" s="51" t="s">
        <v>2365</v>
      </c>
      <c r="W4716" s="51" t="s">
        <v>5534</v>
      </c>
      <c r="X4716" s="51" t="s">
        <v>2359</v>
      </c>
    </row>
    <row r="4717" customFormat="false" ht="14.25" hidden="true" customHeight="false" outlineLevel="0" collapsed="false">
      <c r="A4717" s="49" t="s">
        <v>2349</v>
      </c>
      <c r="B4717" s="49" t="s">
        <v>2350</v>
      </c>
      <c r="C4717" s="49" t="s">
        <v>8785</v>
      </c>
      <c r="D4717" s="49" t="s">
        <v>2352</v>
      </c>
      <c r="E4717" s="49" t="str">
        <f aca="false">"12428864"</f>
        <v>12428864</v>
      </c>
      <c r="F4717" s="49" t="s">
        <v>4251</v>
      </c>
      <c r="G4717" s="49" t="n">
        <v>0</v>
      </c>
      <c r="H4717" s="0" t="n">
        <v>0</v>
      </c>
      <c r="M4717" s="51" t="s">
        <v>8760</v>
      </c>
      <c r="N4717" s="49" t="n">
        <v>0</v>
      </c>
      <c r="O4717" s="53" t="n">
        <v>45861.7611111111</v>
      </c>
      <c r="P4717" s="53" t="n">
        <v>45901.7981134259</v>
      </c>
      <c r="Q4717" s="53" t="n">
        <v>45861.7611111111</v>
      </c>
      <c r="R4717" s="0" t="n">
        <v>0</v>
      </c>
      <c r="S4717" s="51" t="s">
        <v>4015</v>
      </c>
      <c r="T4717" s="51" t="s">
        <v>4015</v>
      </c>
      <c r="U4717" s="0" t="str">
        <f aca="false">"12428864"</f>
        <v>12428864</v>
      </c>
      <c r="V4717" s="51" t="s">
        <v>2365</v>
      </c>
      <c r="W4717" s="51" t="s">
        <v>7452</v>
      </c>
      <c r="X4717" s="51" t="s">
        <v>2359</v>
      </c>
    </row>
    <row r="4718" customFormat="false" ht="14.25" hidden="true" customHeight="false" outlineLevel="0" collapsed="false">
      <c r="A4718" s="49" t="s">
        <v>2349</v>
      </c>
      <c r="B4718" s="49" t="s">
        <v>2350</v>
      </c>
      <c r="C4718" s="49" t="s">
        <v>8786</v>
      </c>
      <c r="D4718" s="49" t="s">
        <v>2352</v>
      </c>
      <c r="E4718" s="49" t="str">
        <f aca="false">"12428864"</f>
        <v>12428864</v>
      </c>
      <c r="F4718" s="49" t="s">
        <v>4251</v>
      </c>
      <c r="G4718" s="49" t="n">
        <v>0</v>
      </c>
      <c r="H4718" s="0" t="n">
        <v>0</v>
      </c>
      <c r="M4718" s="51" t="s">
        <v>8760</v>
      </c>
      <c r="N4718" s="49" t="n">
        <v>0</v>
      </c>
      <c r="O4718" s="53" t="n">
        <v>45861.7613657407</v>
      </c>
      <c r="P4718" s="53" t="n">
        <v>45917.9355208333</v>
      </c>
      <c r="Q4718" s="53" t="n">
        <v>45861.7613657407</v>
      </c>
      <c r="R4718" s="0" t="n">
        <v>0</v>
      </c>
      <c r="S4718" s="51" t="s">
        <v>4015</v>
      </c>
      <c r="T4718" s="51" t="s">
        <v>4015</v>
      </c>
      <c r="U4718" s="0" t="str">
        <f aca="false">"12428864"</f>
        <v>12428864</v>
      </c>
      <c r="V4718" s="51" t="s">
        <v>2365</v>
      </c>
      <c r="W4718" s="51" t="s">
        <v>8787</v>
      </c>
      <c r="X4718" s="51" t="s">
        <v>2359</v>
      </c>
    </row>
    <row r="4719" customFormat="false" ht="14.25" hidden="true" customHeight="false" outlineLevel="0" collapsed="false">
      <c r="A4719" s="49" t="s">
        <v>2349</v>
      </c>
      <c r="B4719" s="49" t="s">
        <v>2350</v>
      </c>
      <c r="C4719" s="49" t="s">
        <v>8788</v>
      </c>
      <c r="D4719" s="49" t="s">
        <v>2352</v>
      </c>
      <c r="E4719" s="49" t="str">
        <f aca="false">"12428864"</f>
        <v>12428864</v>
      </c>
      <c r="F4719" s="49" t="s">
        <v>4251</v>
      </c>
      <c r="G4719" s="49" t="n">
        <v>0</v>
      </c>
      <c r="H4719" s="0" t="n">
        <v>0</v>
      </c>
      <c r="M4719" s="51" t="s">
        <v>8760</v>
      </c>
      <c r="N4719" s="49" t="n">
        <v>0</v>
      </c>
      <c r="O4719" s="53" t="n">
        <v>45861.7617013889</v>
      </c>
      <c r="P4719" s="53" t="n">
        <v>45901.797037037</v>
      </c>
      <c r="Q4719" s="53" t="n">
        <v>45861.7617013889</v>
      </c>
      <c r="R4719" s="0" t="n">
        <v>0</v>
      </c>
      <c r="S4719" s="51" t="s">
        <v>4015</v>
      </c>
      <c r="T4719" s="51" t="s">
        <v>4015</v>
      </c>
      <c r="U4719" s="0" t="str">
        <f aca="false">"12428864"</f>
        <v>12428864</v>
      </c>
      <c r="V4719" s="51" t="s">
        <v>2365</v>
      </c>
      <c r="W4719" s="51" t="s">
        <v>7370</v>
      </c>
      <c r="X4719" s="51" t="s">
        <v>2359</v>
      </c>
    </row>
    <row r="4720" customFormat="false" ht="14.25" hidden="true" customHeight="false" outlineLevel="0" collapsed="false">
      <c r="A4720" s="49" t="s">
        <v>2349</v>
      </c>
      <c r="B4720" s="49" t="s">
        <v>2350</v>
      </c>
      <c r="C4720" s="49" t="s">
        <v>8789</v>
      </c>
      <c r="D4720" s="49" t="s">
        <v>2352</v>
      </c>
      <c r="E4720" s="49" t="str">
        <f aca="false">"12464079"</f>
        <v>12464079</v>
      </c>
      <c r="F4720" s="49" t="s">
        <v>4706</v>
      </c>
      <c r="G4720" s="49" t="n">
        <v>0</v>
      </c>
      <c r="H4720" s="0" t="n">
        <v>0</v>
      </c>
      <c r="M4720" s="51" t="s">
        <v>8760</v>
      </c>
      <c r="N4720" s="49" t="n">
        <v>0</v>
      </c>
      <c r="O4720" s="53" t="n">
        <v>45861.7690046296</v>
      </c>
      <c r="P4720" s="53" t="n">
        <v>45880.8175</v>
      </c>
      <c r="Q4720" s="53" t="n">
        <v>45861.7690046296</v>
      </c>
      <c r="R4720" s="0" t="n">
        <v>0</v>
      </c>
      <c r="S4720" s="51" t="s">
        <v>4015</v>
      </c>
      <c r="T4720" s="51" t="s">
        <v>4015</v>
      </c>
      <c r="U4720" s="0" t="str">
        <f aca="false">"12464079"</f>
        <v>12464079</v>
      </c>
      <c r="V4720" s="51" t="s">
        <v>2365</v>
      </c>
      <c r="W4720" s="51" t="s">
        <v>6681</v>
      </c>
      <c r="X4720" s="51" t="s">
        <v>2359</v>
      </c>
    </row>
    <row r="4721" customFormat="false" ht="14.25" hidden="true" customHeight="false" outlineLevel="0" collapsed="false">
      <c r="A4721" s="49" t="s">
        <v>2349</v>
      </c>
      <c r="B4721" s="49" t="s">
        <v>2350</v>
      </c>
      <c r="C4721" s="49" t="s">
        <v>8790</v>
      </c>
      <c r="D4721" s="49" t="s">
        <v>2352</v>
      </c>
      <c r="E4721" s="49" t="str">
        <f aca="false">"12464079"</f>
        <v>12464079</v>
      </c>
      <c r="F4721" s="49" t="s">
        <v>4706</v>
      </c>
      <c r="G4721" s="49" t="n">
        <v>0</v>
      </c>
      <c r="H4721" s="0" t="n">
        <v>0</v>
      </c>
      <c r="M4721" s="51" t="s">
        <v>8760</v>
      </c>
      <c r="N4721" s="49" t="n">
        <v>0</v>
      </c>
      <c r="O4721" s="53" t="n">
        <v>45861.7691203704</v>
      </c>
      <c r="P4721" s="53" t="n">
        <v>45880.8209375</v>
      </c>
      <c r="Q4721" s="53" t="n">
        <v>45861.7691203704</v>
      </c>
      <c r="R4721" s="0" t="n">
        <v>0</v>
      </c>
      <c r="S4721" s="51" t="s">
        <v>4015</v>
      </c>
      <c r="T4721" s="51" t="s">
        <v>4015</v>
      </c>
      <c r="U4721" s="0" t="str">
        <f aca="false">"12464079"</f>
        <v>12464079</v>
      </c>
      <c r="V4721" s="51" t="s">
        <v>2365</v>
      </c>
      <c r="W4721" s="51" t="s">
        <v>6314</v>
      </c>
      <c r="X4721" s="51" t="s">
        <v>2359</v>
      </c>
    </row>
    <row r="4722" customFormat="false" ht="14.25" hidden="true" customHeight="false" outlineLevel="0" collapsed="false">
      <c r="A4722" s="49" t="s">
        <v>2349</v>
      </c>
      <c r="B4722" s="49" t="s">
        <v>2350</v>
      </c>
      <c r="C4722" s="49" t="s">
        <v>8791</v>
      </c>
      <c r="D4722" s="49" t="s">
        <v>2352</v>
      </c>
      <c r="E4722" s="49" t="str">
        <f aca="false">"12464079"</f>
        <v>12464079</v>
      </c>
      <c r="F4722" s="49" t="s">
        <v>4706</v>
      </c>
      <c r="G4722" s="49" t="n">
        <v>0</v>
      </c>
      <c r="H4722" s="0" t="n">
        <v>0</v>
      </c>
      <c r="M4722" s="51" t="s">
        <v>8760</v>
      </c>
      <c r="N4722" s="49" t="n">
        <v>0</v>
      </c>
      <c r="O4722" s="53" t="n">
        <v>45861.7693634259</v>
      </c>
      <c r="P4722" s="53" t="n">
        <v>45880.8188078704</v>
      </c>
      <c r="Q4722" s="53" t="n">
        <v>45861.7693634259</v>
      </c>
      <c r="R4722" s="0" t="n">
        <v>0</v>
      </c>
      <c r="S4722" s="51" t="s">
        <v>4015</v>
      </c>
      <c r="T4722" s="51" t="s">
        <v>4015</v>
      </c>
      <c r="U4722" s="0" t="str">
        <f aca="false">"12464079"</f>
        <v>12464079</v>
      </c>
      <c r="V4722" s="51" t="s">
        <v>2365</v>
      </c>
      <c r="W4722" s="51" t="s">
        <v>5713</v>
      </c>
      <c r="X4722" s="51" t="s">
        <v>2359</v>
      </c>
    </row>
    <row r="4723" customFormat="false" ht="14.25" hidden="true" customHeight="false" outlineLevel="0" collapsed="false">
      <c r="A4723" s="49" t="s">
        <v>2349</v>
      </c>
      <c r="B4723" s="49" t="s">
        <v>2350</v>
      </c>
      <c r="C4723" s="49" t="s">
        <v>8792</v>
      </c>
      <c r="D4723" s="49" t="s">
        <v>2352</v>
      </c>
      <c r="E4723" s="49" t="str">
        <f aca="false">"12464079"</f>
        <v>12464079</v>
      </c>
      <c r="F4723" s="49" t="s">
        <v>4706</v>
      </c>
      <c r="G4723" s="49" t="n">
        <v>0</v>
      </c>
      <c r="H4723" s="0" t="n">
        <v>0</v>
      </c>
      <c r="M4723" s="51" t="s">
        <v>8793</v>
      </c>
      <c r="N4723" s="49" t="n">
        <v>0</v>
      </c>
      <c r="O4723" s="53" t="n">
        <v>45861.742662037</v>
      </c>
      <c r="P4723" s="53" t="n">
        <v>45869.9060763889</v>
      </c>
      <c r="Q4723" s="53" t="n">
        <v>45861.742662037</v>
      </c>
      <c r="R4723" s="0" t="n">
        <v>0</v>
      </c>
      <c r="S4723" s="51" t="s">
        <v>4015</v>
      </c>
      <c r="T4723" s="51" t="s">
        <v>4015</v>
      </c>
      <c r="U4723" s="0" t="str">
        <f aca="false">"12464079"</f>
        <v>12464079</v>
      </c>
      <c r="V4723" s="51" t="s">
        <v>2365</v>
      </c>
      <c r="W4723" s="51" t="s">
        <v>5947</v>
      </c>
      <c r="X4723" s="51" t="s">
        <v>2359</v>
      </c>
    </row>
    <row r="4724" customFormat="false" ht="14.25" hidden="true" customHeight="false" outlineLevel="0" collapsed="false">
      <c r="A4724" s="49" t="s">
        <v>2349</v>
      </c>
      <c r="B4724" s="49" t="s">
        <v>2350</v>
      </c>
      <c r="C4724" s="49" t="s">
        <v>8794</v>
      </c>
      <c r="D4724" s="49" t="s">
        <v>2352</v>
      </c>
      <c r="E4724" s="49" t="str">
        <f aca="false">"12464079"</f>
        <v>12464079</v>
      </c>
      <c r="F4724" s="49" t="s">
        <v>4706</v>
      </c>
      <c r="G4724" s="49" t="n">
        <v>0</v>
      </c>
      <c r="H4724" s="0" t="n">
        <v>0</v>
      </c>
      <c r="M4724" s="51" t="s">
        <v>8793</v>
      </c>
      <c r="N4724" s="49" t="n">
        <v>0</v>
      </c>
      <c r="O4724" s="53" t="n">
        <v>45861.7430208333</v>
      </c>
      <c r="P4724" s="53" t="n">
        <v>45906.7029050926</v>
      </c>
      <c r="Q4724" s="53" t="n">
        <v>45861.7430208333</v>
      </c>
      <c r="R4724" s="0" t="n">
        <v>0</v>
      </c>
      <c r="S4724" s="51" t="s">
        <v>4015</v>
      </c>
      <c r="T4724" s="51" t="s">
        <v>4015</v>
      </c>
      <c r="U4724" s="0" t="str">
        <f aca="false">"12464079"</f>
        <v>12464079</v>
      </c>
      <c r="V4724" s="51" t="s">
        <v>2365</v>
      </c>
      <c r="W4724" s="51" t="s">
        <v>6707</v>
      </c>
      <c r="X4724" s="51" t="s">
        <v>2359</v>
      </c>
    </row>
    <row r="4725" customFormat="false" ht="14.25" hidden="true" customHeight="false" outlineLevel="0" collapsed="false">
      <c r="A4725" s="49" t="s">
        <v>2349</v>
      </c>
      <c r="B4725" s="49" t="s">
        <v>2350</v>
      </c>
      <c r="C4725" s="49" t="s">
        <v>8795</v>
      </c>
      <c r="D4725" s="49" t="s">
        <v>2352</v>
      </c>
      <c r="E4725" s="49" t="str">
        <f aca="false">"12464079"</f>
        <v>12464079</v>
      </c>
      <c r="F4725" s="49" t="s">
        <v>4706</v>
      </c>
      <c r="G4725" s="49" t="n">
        <v>0</v>
      </c>
      <c r="H4725" s="0" t="n">
        <v>0</v>
      </c>
      <c r="M4725" s="51" t="s">
        <v>8793</v>
      </c>
      <c r="N4725" s="49" t="n">
        <v>0</v>
      </c>
      <c r="O4725" s="53" t="n">
        <v>45861.7431712963</v>
      </c>
      <c r="P4725" s="53" t="n">
        <v>45888.9173842593</v>
      </c>
      <c r="Q4725" s="53" t="n">
        <v>45861.7431712963</v>
      </c>
      <c r="R4725" s="0" t="n">
        <v>0</v>
      </c>
      <c r="S4725" s="51" t="s">
        <v>4015</v>
      </c>
      <c r="T4725" s="51" t="s">
        <v>4015</v>
      </c>
      <c r="U4725" s="0" t="str">
        <f aca="false">"12464079"</f>
        <v>12464079</v>
      </c>
      <c r="V4725" s="51" t="s">
        <v>2365</v>
      </c>
      <c r="W4725" s="51" t="s">
        <v>5664</v>
      </c>
      <c r="X4725" s="51" t="s">
        <v>2359</v>
      </c>
    </row>
    <row r="4726" customFormat="false" ht="14.25" hidden="true" customHeight="false" outlineLevel="0" collapsed="false">
      <c r="A4726" s="49" t="s">
        <v>2349</v>
      </c>
      <c r="B4726" s="49" t="s">
        <v>2350</v>
      </c>
      <c r="C4726" s="49" t="s">
        <v>8796</v>
      </c>
      <c r="D4726" s="49" t="s">
        <v>2352</v>
      </c>
      <c r="E4726" s="49" t="str">
        <f aca="false">"12464079"</f>
        <v>12464079</v>
      </c>
      <c r="F4726" s="49" t="s">
        <v>4706</v>
      </c>
      <c r="G4726" s="49" t="n">
        <v>0</v>
      </c>
      <c r="H4726" s="0" t="n">
        <v>0</v>
      </c>
      <c r="M4726" s="51" t="s">
        <v>8793</v>
      </c>
      <c r="N4726" s="49" t="n">
        <v>0</v>
      </c>
      <c r="O4726" s="53" t="n">
        <v>45861.7434143519</v>
      </c>
      <c r="P4726" s="53" t="n">
        <v>45903.742962963</v>
      </c>
      <c r="Q4726" s="53" t="n">
        <v>45861.7434143519</v>
      </c>
      <c r="R4726" s="0" t="n">
        <v>0</v>
      </c>
      <c r="S4726" s="51" t="s">
        <v>4015</v>
      </c>
      <c r="T4726" s="51" t="s">
        <v>4015</v>
      </c>
      <c r="U4726" s="0" t="str">
        <f aca="false">"12464079"</f>
        <v>12464079</v>
      </c>
      <c r="V4726" s="51" t="s">
        <v>2365</v>
      </c>
      <c r="W4726" s="51" t="s">
        <v>8797</v>
      </c>
      <c r="X4726" s="51" t="s">
        <v>2359</v>
      </c>
    </row>
    <row r="4727" customFormat="false" ht="14.25" hidden="true" customHeight="false" outlineLevel="0" collapsed="false">
      <c r="A4727" s="49" t="s">
        <v>2349</v>
      </c>
      <c r="B4727" s="49" t="s">
        <v>2350</v>
      </c>
      <c r="C4727" s="49" t="s">
        <v>8798</v>
      </c>
      <c r="D4727" s="49" t="s">
        <v>2352</v>
      </c>
      <c r="E4727" s="49" t="str">
        <f aca="false">"12464079"</f>
        <v>12464079</v>
      </c>
      <c r="F4727" s="49" t="s">
        <v>4706</v>
      </c>
      <c r="G4727" s="49" t="n">
        <v>0</v>
      </c>
      <c r="H4727" s="0" t="n">
        <v>0</v>
      </c>
      <c r="M4727" s="51" t="s">
        <v>8793</v>
      </c>
      <c r="N4727" s="49" t="n">
        <v>0</v>
      </c>
      <c r="O4727" s="53" t="n">
        <v>45861.7435532407</v>
      </c>
      <c r="P4727" s="53" t="n">
        <v>45875.473587963</v>
      </c>
      <c r="Q4727" s="53" t="n">
        <v>45861.7435532407</v>
      </c>
      <c r="R4727" s="0" t="n">
        <v>0</v>
      </c>
      <c r="S4727" s="51" t="s">
        <v>4015</v>
      </c>
      <c r="T4727" s="51" t="s">
        <v>4015</v>
      </c>
      <c r="U4727" s="0" t="str">
        <f aca="false">"12464079"</f>
        <v>12464079</v>
      </c>
      <c r="V4727" s="51" t="s">
        <v>2365</v>
      </c>
      <c r="W4727" s="51" t="s">
        <v>4883</v>
      </c>
      <c r="X4727" s="51" t="s">
        <v>2359</v>
      </c>
    </row>
    <row r="4728" customFormat="false" ht="14.25" hidden="true" customHeight="false" outlineLevel="0" collapsed="false">
      <c r="A4728" s="49" t="s">
        <v>2349</v>
      </c>
      <c r="B4728" s="49" t="s">
        <v>2350</v>
      </c>
      <c r="C4728" s="49" t="s">
        <v>8799</v>
      </c>
      <c r="D4728" s="49" t="s">
        <v>2352</v>
      </c>
      <c r="E4728" s="49" t="str">
        <f aca="false">"12464079"</f>
        <v>12464079</v>
      </c>
      <c r="F4728" s="49" t="s">
        <v>4706</v>
      </c>
      <c r="G4728" s="49" t="n">
        <v>0</v>
      </c>
      <c r="H4728" s="0" t="n">
        <v>0</v>
      </c>
      <c r="M4728" s="51" t="s">
        <v>8793</v>
      </c>
      <c r="N4728" s="49" t="n">
        <v>0</v>
      </c>
      <c r="O4728" s="53" t="n">
        <v>45861.7436921296</v>
      </c>
      <c r="P4728" s="53" t="n">
        <v>45897.3808564815</v>
      </c>
      <c r="Q4728" s="53" t="n">
        <v>45861.7436921296</v>
      </c>
      <c r="R4728" s="0" t="n">
        <v>0</v>
      </c>
      <c r="S4728" s="51" t="s">
        <v>4015</v>
      </c>
      <c r="T4728" s="51" t="s">
        <v>4015</v>
      </c>
      <c r="U4728" s="0" t="str">
        <f aca="false">"12464079"</f>
        <v>12464079</v>
      </c>
      <c r="V4728" s="51" t="s">
        <v>2365</v>
      </c>
      <c r="W4728" s="51" t="s">
        <v>7346</v>
      </c>
      <c r="X4728" s="51" t="s">
        <v>2359</v>
      </c>
    </row>
    <row r="4729" customFormat="false" ht="14.25" hidden="true" customHeight="false" outlineLevel="0" collapsed="false">
      <c r="A4729" s="49" t="s">
        <v>2349</v>
      </c>
      <c r="B4729" s="49" t="s">
        <v>2350</v>
      </c>
      <c r="C4729" s="49" t="s">
        <v>8800</v>
      </c>
      <c r="D4729" s="49" t="s">
        <v>2352</v>
      </c>
      <c r="E4729" s="49" t="str">
        <f aca="false">"12464079"</f>
        <v>12464079</v>
      </c>
      <c r="F4729" s="49" t="s">
        <v>4706</v>
      </c>
      <c r="G4729" s="49" t="n">
        <v>0</v>
      </c>
      <c r="H4729" s="0" t="n">
        <v>0</v>
      </c>
      <c r="M4729" s="51" t="s">
        <v>8793</v>
      </c>
      <c r="N4729" s="49" t="n">
        <v>0</v>
      </c>
      <c r="O4729" s="53" t="n">
        <v>45861.7438773148</v>
      </c>
      <c r="P4729" s="53" t="n">
        <v>45903.7402777778</v>
      </c>
      <c r="Q4729" s="53" t="n">
        <v>45861.7438773148</v>
      </c>
      <c r="R4729" s="0" t="n">
        <v>0</v>
      </c>
      <c r="S4729" s="51" t="s">
        <v>4015</v>
      </c>
      <c r="T4729" s="51" t="s">
        <v>4015</v>
      </c>
      <c r="U4729" s="0" t="str">
        <f aca="false">"12464079"</f>
        <v>12464079</v>
      </c>
      <c r="V4729" s="51" t="s">
        <v>2365</v>
      </c>
      <c r="W4729" s="51" t="s">
        <v>6267</v>
      </c>
      <c r="X4729" s="51" t="s">
        <v>2359</v>
      </c>
    </row>
    <row r="4730" customFormat="false" ht="14.25" hidden="true" customHeight="false" outlineLevel="0" collapsed="false">
      <c r="A4730" s="49" t="s">
        <v>2349</v>
      </c>
      <c r="B4730" s="49" t="s">
        <v>2350</v>
      </c>
      <c r="C4730" s="49" t="s">
        <v>8801</v>
      </c>
      <c r="D4730" s="49" t="s">
        <v>2352</v>
      </c>
      <c r="E4730" s="49" t="str">
        <f aca="false">"12464079"</f>
        <v>12464079</v>
      </c>
      <c r="F4730" s="49" t="s">
        <v>4706</v>
      </c>
      <c r="G4730" s="49" t="n">
        <v>0</v>
      </c>
      <c r="H4730" s="0" t="n">
        <v>0</v>
      </c>
      <c r="M4730" s="51" t="s">
        <v>8793</v>
      </c>
      <c r="N4730" s="49" t="n">
        <v>0</v>
      </c>
      <c r="O4730" s="53" t="n">
        <v>45861.7440625</v>
      </c>
      <c r="P4730" s="53" t="n">
        <v>45903.7810416667</v>
      </c>
      <c r="Q4730" s="53" t="n">
        <v>45861.7440625</v>
      </c>
      <c r="R4730" s="0" t="n">
        <v>0</v>
      </c>
      <c r="S4730" s="51" t="s">
        <v>4015</v>
      </c>
      <c r="T4730" s="51" t="s">
        <v>4015</v>
      </c>
      <c r="U4730" s="0" t="str">
        <f aca="false">"12464079"</f>
        <v>12464079</v>
      </c>
      <c r="V4730" s="51" t="s">
        <v>2365</v>
      </c>
      <c r="W4730" s="51" t="s">
        <v>6240</v>
      </c>
      <c r="X4730" s="51" t="s">
        <v>2359</v>
      </c>
    </row>
    <row r="4731" customFormat="false" ht="14.25" hidden="true" customHeight="false" outlineLevel="0" collapsed="false">
      <c r="A4731" s="49" t="s">
        <v>2349</v>
      </c>
      <c r="B4731" s="49" t="s">
        <v>2350</v>
      </c>
      <c r="C4731" s="49" t="s">
        <v>8802</v>
      </c>
      <c r="D4731" s="49" t="s">
        <v>2352</v>
      </c>
      <c r="E4731" s="49" t="str">
        <f aca="false">"12464079"</f>
        <v>12464079</v>
      </c>
      <c r="F4731" s="49" t="s">
        <v>4706</v>
      </c>
      <c r="G4731" s="49" t="n">
        <v>0</v>
      </c>
      <c r="H4731" s="0" t="n">
        <v>0</v>
      </c>
      <c r="M4731" s="51" t="s">
        <v>8793</v>
      </c>
      <c r="N4731" s="49" t="n">
        <v>0</v>
      </c>
      <c r="O4731" s="53" t="n">
        <v>45861.7496180556</v>
      </c>
      <c r="P4731" s="53" t="n">
        <v>45910.8253356482</v>
      </c>
      <c r="Q4731" s="53" t="n">
        <v>45861.7496180556</v>
      </c>
      <c r="R4731" s="0" t="n">
        <v>0</v>
      </c>
      <c r="S4731" s="51" t="s">
        <v>4015</v>
      </c>
      <c r="T4731" s="51" t="s">
        <v>4015</v>
      </c>
      <c r="U4731" s="0" t="str">
        <f aca="false">"12464079"</f>
        <v>12464079</v>
      </c>
      <c r="V4731" s="51" t="s">
        <v>2365</v>
      </c>
      <c r="W4731" s="51" t="s">
        <v>6265</v>
      </c>
      <c r="X4731" s="51" t="s">
        <v>2359</v>
      </c>
    </row>
    <row r="4732" customFormat="false" ht="14.25" hidden="true" customHeight="false" outlineLevel="0" collapsed="false">
      <c r="A4732" s="49" t="s">
        <v>2349</v>
      </c>
      <c r="B4732" s="49" t="s">
        <v>2350</v>
      </c>
      <c r="C4732" s="49" t="s">
        <v>8803</v>
      </c>
      <c r="D4732" s="49" t="s">
        <v>2352</v>
      </c>
      <c r="E4732" s="49" t="str">
        <f aca="false">"12464079"</f>
        <v>12464079</v>
      </c>
      <c r="F4732" s="49" t="s">
        <v>4706</v>
      </c>
      <c r="G4732" s="49" t="n">
        <v>0</v>
      </c>
      <c r="H4732" s="0" t="n">
        <v>0</v>
      </c>
      <c r="M4732" s="51" t="s">
        <v>8793</v>
      </c>
      <c r="N4732" s="49" t="n">
        <v>0</v>
      </c>
      <c r="O4732" s="53" t="n">
        <v>45861.7462731482</v>
      </c>
      <c r="P4732" s="53" t="n">
        <v>45869.9055208333</v>
      </c>
      <c r="Q4732" s="53" t="n">
        <v>45861.7462731482</v>
      </c>
      <c r="R4732" s="0" t="n">
        <v>0</v>
      </c>
      <c r="S4732" s="51" t="s">
        <v>4015</v>
      </c>
      <c r="T4732" s="51" t="s">
        <v>4015</v>
      </c>
      <c r="U4732" s="0" t="str">
        <f aca="false">"12464079"</f>
        <v>12464079</v>
      </c>
      <c r="V4732" s="51" t="s">
        <v>2365</v>
      </c>
      <c r="W4732" s="51" t="s">
        <v>4573</v>
      </c>
      <c r="X4732" s="51" t="s">
        <v>2359</v>
      </c>
    </row>
    <row r="4733" customFormat="false" ht="14.25" hidden="true" customHeight="false" outlineLevel="0" collapsed="false">
      <c r="A4733" s="49" t="s">
        <v>2349</v>
      </c>
      <c r="B4733" s="49" t="s">
        <v>2350</v>
      </c>
      <c r="C4733" s="49" t="s">
        <v>8804</v>
      </c>
      <c r="D4733" s="49" t="s">
        <v>2352</v>
      </c>
      <c r="E4733" s="49" t="str">
        <f aca="false">"12464079"</f>
        <v>12464079</v>
      </c>
      <c r="F4733" s="49" t="s">
        <v>4706</v>
      </c>
      <c r="G4733" s="49" t="n">
        <v>0</v>
      </c>
      <c r="H4733" s="0" t="n">
        <v>0</v>
      </c>
      <c r="M4733" s="51" t="s">
        <v>8793</v>
      </c>
      <c r="N4733" s="49" t="n">
        <v>0</v>
      </c>
      <c r="O4733" s="53" t="n">
        <v>45861.7465277778</v>
      </c>
      <c r="P4733" s="53" t="n">
        <v>45869.9051736111</v>
      </c>
      <c r="Q4733" s="53" t="n">
        <v>45861.7465277778</v>
      </c>
      <c r="R4733" s="0" t="n">
        <v>0</v>
      </c>
      <c r="S4733" s="51" t="s">
        <v>4015</v>
      </c>
      <c r="T4733" s="51" t="s">
        <v>4015</v>
      </c>
      <c r="U4733" s="0" t="str">
        <f aca="false">"12464079"</f>
        <v>12464079</v>
      </c>
      <c r="V4733" s="51" t="s">
        <v>2365</v>
      </c>
      <c r="W4733" s="51" t="s">
        <v>5837</v>
      </c>
      <c r="X4733" s="51" t="s">
        <v>2359</v>
      </c>
    </row>
    <row r="4734" customFormat="false" ht="14.25" hidden="true" customHeight="false" outlineLevel="0" collapsed="false">
      <c r="A4734" s="49" t="s">
        <v>2349</v>
      </c>
      <c r="B4734" s="49" t="s">
        <v>2350</v>
      </c>
      <c r="C4734" s="49" t="s">
        <v>8805</v>
      </c>
      <c r="D4734" s="49" t="s">
        <v>2352</v>
      </c>
      <c r="E4734" s="49" t="str">
        <f aca="false">"12464079"</f>
        <v>12464079</v>
      </c>
      <c r="F4734" s="49" t="s">
        <v>4706</v>
      </c>
      <c r="G4734" s="49" t="n">
        <v>0</v>
      </c>
      <c r="H4734" s="0" t="n">
        <v>0</v>
      </c>
      <c r="M4734" s="51" t="s">
        <v>8793</v>
      </c>
      <c r="N4734" s="49" t="n">
        <v>0</v>
      </c>
      <c r="O4734" s="53" t="n">
        <v>45861.7479282407</v>
      </c>
      <c r="P4734" s="53" t="n">
        <v>45874.8246412037</v>
      </c>
      <c r="Q4734" s="53" t="n">
        <v>45861.7479282407</v>
      </c>
      <c r="R4734" s="0" t="n">
        <v>0</v>
      </c>
      <c r="S4734" s="51" t="s">
        <v>4015</v>
      </c>
      <c r="T4734" s="51" t="s">
        <v>4015</v>
      </c>
      <c r="U4734" s="0" t="str">
        <f aca="false">"12464079"</f>
        <v>12464079</v>
      </c>
      <c r="V4734" s="51" t="s">
        <v>2365</v>
      </c>
      <c r="W4734" s="51" t="s">
        <v>6048</v>
      </c>
      <c r="X4734" s="51" t="s">
        <v>2359</v>
      </c>
    </row>
    <row r="4735" customFormat="false" ht="14.25" hidden="true" customHeight="false" outlineLevel="0" collapsed="false">
      <c r="A4735" s="49" t="s">
        <v>2349</v>
      </c>
      <c r="B4735" s="49" t="s">
        <v>2350</v>
      </c>
      <c r="C4735" s="49" t="s">
        <v>8806</v>
      </c>
      <c r="D4735" s="49" t="s">
        <v>2352</v>
      </c>
      <c r="E4735" s="49" t="str">
        <f aca="false">"12464079"</f>
        <v>12464079</v>
      </c>
      <c r="F4735" s="49" t="s">
        <v>4706</v>
      </c>
      <c r="G4735" s="49" t="n">
        <v>0</v>
      </c>
      <c r="H4735" s="0" t="n">
        <v>0</v>
      </c>
      <c r="M4735" s="51" t="s">
        <v>8793</v>
      </c>
      <c r="N4735" s="49" t="n">
        <v>0</v>
      </c>
      <c r="O4735" s="53" t="n">
        <v>45861.7482638889</v>
      </c>
      <c r="P4735" s="53" t="n">
        <v>45909.3101388889</v>
      </c>
      <c r="Q4735" s="53" t="n">
        <v>45861.7482638889</v>
      </c>
      <c r="R4735" s="0" t="n">
        <v>0</v>
      </c>
      <c r="S4735" s="51" t="s">
        <v>4015</v>
      </c>
      <c r="T4735" s="51" t="s">
        <v>4015</v>
      </c>
      <c r="U4735" s="0" t="str">
        <f aca="false">"12464079"</f>
        <v>12464079</v>
      </c>
      <c r="V4735" s="51" t="s">
        <v>2365</v>
      </c>
      <c r="W4735" s="51" t="s">
        <v>7375</v>
      </c>
      <c r="X4735" s="51" t="s">
        <v>2359</v>
      </c>
    </row>
    <row r="4736" customFormat="false" ht="14.25" hidden="true" customHeight="false" outlineLevel="0" collapsed="false">
      <c r="A4736" s="49" t="s">
        <v>2349</v>
      </c>
      <c r="B4736" s="49" t="s">
        <v>2350</v>
      </c>
      <c r="C4736" s="49" t="s">
        <v>8807</v>
      </c>
      <c r="D4736" s="49" t="s">
        <v>2352</v>
      </c>
      <c r="E4736" s="49" t="str">
        <f aca="false">"12464079"</f>
        <v>12464079</v>
      </c>
      <c r="F4736" s="49" t="s">
        <v>4706</v>
      </c>
      <c r="G4736" s="49" t="n">
        <v>0</v>
      </c>
      <c r="H4736" s="0" t="n">
        <v>0</v>
      </c>
      <c r="M4736" s="51" t="s">
        <v>8793</v>
      </c>
      <c r="N4736" s="49" t="n">
        <v>0</v>
      </c>
      <c r="O4736" s="53" t="n">
        <v>45861.7484143519</v>
      </c>
      <c r="P4736" s="53" t="n">
        <v>45888.8223726852</v>
      </c>
      <c r="Q4736" s="53" t="n">
        <v>45861.7484143519</v>
      </c>
      <c r="R4736" s="0" t="n">
        <v>0</v>
      </c>
      <c r="S4736" s="51" t="s">
        <v>4015</v>
      </c>
      <c r="T4736" s="51" t="s">
        <v>4015</v>
      </c>
      <c r="U4736" s="0" t="str">
        <f aca="false">"12464079"</f>
        <v>12464079</v>
      </c>
      <c r="V4736" s="51" t="s">
        <v>2365</v>
      </c>
      <c r="W4736" s="51" t="s">
        <v>7516</v>
      </c>
      <c r="X4736" s="51" t="s">
        <v>2359</v>
      </c>
    </row>
    <row r="4737" customFormat="false" ht="14.25" hidden="true" customHeight="false" outlineLevel="0" collapsed="false">
      <c r="A4737" s="49" t="s">
        <v>2349</v>
      </c>
      <c r="B4737" s="49" t="s">
        <v>2350</v>
      </c>
      <c r="C4737" s="49" t="s">
        <v>8808</v>
      </c>
      <c r="D4737" s="49" t="s">
        <v>2352</v>
      </c>
      <c r="E4737" s="49" t="str">
        <f aca="false">"12464079"</f>
        <v>12464079</v>
      </c>
      <c r="F4737" s="49" t="s">
        <v>4706</v>
      </c>
      <c r="G4737" s="49" t="n">
        <v>0</v>
      </c>
      <c r="H4737" s="0" t="n">
        <v>0</v>
      </c>
      <c r="M4737" s="51" t="s">
        <v>8793</v>
      </c>
      <c r="N4737" s="49" t="n">
        <v>0</v>
      </c>
      <c r="O4737" s="53" t="n">
        <v>45861.7485648148</v>
      </c>
      <c r="P4737" s="53" t="n">
        <v>45910.8268634259</v>
      </c>
      <c r="Q4737" s="53" t="n">
        <v>45861.7485648148</v>
      </c>
      <c r="R4737" s="0" t="n">
        <v>0</v>
      </c>
      <c r="S4737" s="51" t="s">
        <v>4015</v>
      </c>
      <c r="T4737" s="51" t="s">
        <v>4015</v>
      </c>
      <c r="U4737" s="0" t="str">
        <f aca="false">"12464079"</f>
        <v>12464079</v>
      </c>
      <c r="V4737" s="51" t="s">
        <v>2365</v>
      </c>
      <c r="W4737" s="51" t="s">
        <v>6246</v>
      </c>
      <c r="X4737" s="51" t="s">
        <v>2359</v>
      </c>
    </row>
    <row r="4738" customFormat="false" ht="14.25" hidden="true" customHeight="false" outlineLevel="0" collapsed="false">
      <c r="A4738" s="49" t="s">
        <v>2349</v>
      </c>
      <c r="B4738" s="49" t="s">
        <v>2350</v>
      </c>
      <c r="C4738" s="49" t="s">
        <v>8809</v>
      </c>
      <c r="D4738" s="49" t="s">
        <v>2352</v>
      </c>
      <c r="E4738" s="49" t="str">
        <f aca="false">"12464079"</f>
        <v>12464079</v>
      </c>
      <c r="F4738" s="49" t="s">
        <v>4706</v>
      </c>
      <c r="G4738" s="49" t="n">
        <v>0</v>
      </c>
      <c r="H4738" s="0" t="n">
        <v>0</v>
      </c>
      <c r="M4738" s="51" t="s">
        <v>8793</v>
      </c>
      <c r="N4738" s="49" t="n">
        <v>0</v>
      </c>
      <c r="O4738" s="53" t="n">
        <v>45861.7488888889</v>
      </c>
      <c r="P4738" s="53" t="n">
        <v>45910.8241203704</v>
      </c>
      <c r="Q4738" s="53" t="n">
        <v>45861.7488888889</v>
      </c>
      <c r="R4738" s="0" t="n">
        <v>0</v>
      </c>
      <c r="S4738" s="51" t="s">
        <v>4015</v>
      </c>
      <c r="T4738" s="51" t="s">
        <v>4015</v>
      </c>
      <c r="U4738" s="0" t="str">
        <f aca="false">"12464079"</f>
        <v>12464079</v>
      </c>
      <c r="V4738" s="51" t="s">
        <v>2365</v>
      </c>
      <c r="W4738" s="51" t="s">
        <v>5945</v>
      </c>
      <c r="X4738" s="51" t="s">
        <v>2359</v>
      </c>
    </row>
    <row r="4739" customFormat="false" ht="14.25" hidden="true" customHeight="false" outlineLevel="0" collapsed="false">
      <c r="A4739" s="49" t="s">
        <v>2349</v>
      </c>
      <c r="B4739" s="49" t="s">
        <v>2350</v>
      </c>
      <c r="C4739" s="49" t="s">
        <v>8810</v>
      </c>
      <c r="D4739" s="49" t="s">
        <v>2352</v>
      </c>
      <c r="E4739" s="49" t="str">
        <f aca="false">"12464079"</f>
        <v>12464079</v>
      </c>
      <c r="F4739" s="49" t="s">
        <v>4706</v>
      </c>
      <c r="G4739" s="49" t="n">
        <v>0</v>
      </c>
      <c r="H4739" s="0" t="n">
        <v>0</v>
      </c>
      <c r="M4739" s="51" t="s">
        <v>8793</v>
      </c>
      <c r="N4739" s="49" t="n">
        <v>0</v>
      </c>
      <c r="O4739" s="53" t="n">
        <v>45861.7490509259</v>
      </c>
      <c r="P4739" s="53" t="n">
        <v>45917.9113078704</v>
      </c>
      <c r="Q4739" s="53" t="n">
        <v>45861.7490509259</v>
      </c>
      <c r="R4739" s="0" t="n">
        <v>0</v>
      </c>
      <c r="S4739" s="51" t="s">
        <v>4015</v>
      </c>
      <c r="T4739" s="51" t="s">
        <v>4015</v>
      </c>
      <c r="U4739" s="0" t="str">
        <f aca="false">"12464079"</f>
        <v>12464079</v>
      </c>
      <c r="V4739" s="51" t="s">
        <v>2365</v>
      </c>
      <c r="W4739" s="51" t="s">
        <v>7925</v>
      </c>
      <c r="X4739" s="51" t="s">
        <v>2359</v>
      </c>
    </row>
    <row r="4740" customFormat="false" ht="14.25" hidden="true" customHeight="false" outlineLevel="0" collapsed="false">
      <c r="A4740" s="49" t="s">
        <v>2349</v>
      </c>
      <c r="B4740" s="49" t="s">
        <v>2350</v>
      </c>
      <c r="C4740" s="49" t="s">
        <v>8811</v>
      </c>
      <c r="D4740" s="49" t="s">
        <v>2352</v>
      </c>
      <c r="E4740" s="49" t="str">
        <f aca="false">"12464079"</f>
        <v>12464079</v>
      </c>
      <c r="F4740" s="49" t="s">
        <v>4706</v>
      </c>
      <c r="G4740" s="49" t="n">
        <v>0</v>
      </c>
      <c r="H4740" s="0" t="n">
        <v>0</v>
      </c>
      <c r="M4740" s="51" t="s">
        <v>8793</v>
      </c>
      <c r="N4740" s="49" t="n">
        <v>0</v>
      </c>
      <c r="O4740" s="53" t="n">
        <v>45861.7492013889</v>
      </c>
      <c r="P4740" s="53" t="n">
        <v>45917.9107407407</v>
      </c>
      <c r="Q4740" s="53" t="n">
        <v>45861.7492013889</v>
      </c>
      <c r="R4740" s="0" t="n">
        <v>0</v>
      </c>
      <c r="S4740" s="51" t="s">
        <v>4015</v>
      </c>
      <c r="T4740" s="51" t="s">
        <v>4015</v>
      </c>
      <c r="U4740" s="0" t="str">
        <f aca="false">"12464079"</f>
        <v>12464079</v>
      </c>
      <c r="V4740" s="51" t="s">
        <v>2365</v>
      </c>
      <c r="W4740" s="51" t="s">
        <v>7340</v>
      </c>
      <c r="X4740" s="51" t="s">
        <v>2359</v>
      </c>
    </row>
    <row r="4741" customFormat="false" ht="14.25" hidden="true" customHeight="false" outlineLevel="0" collapsed="false">
      <c r="A4741" s="49" t="s">
        <v>2349</v>
      </c>
      <c r="B4741" s="49" t="s">
        <v>2350</v>
      </c>
      <c r="C4741" s="49" t="s">
        <v>8812</v>
      </c>
      <c r="D4741" s="49" t="s">
        <v>2352</v>
      </c>
      <c r="E4741" s="49" t="str">
        <f aca="false">"12464079"</f>
        <v>12464079</v>
      </c>
      <c r="F4741" s="49" t="s">
        <v>4706</v>
      </c>
      <c r="G4741" s="49" t="n">
        <v>0</v>
      </c>
      <c r="H4741" s="0" t="n">
        <v>0</v>
      </c>
      <c r="M4741" s="51" t="s">
        <v>8793</v>
      </c>
      <c r="N4741" s="49" t="n">
        <v>0</v>
      </c>
      <c r="O4741" s="53" t="n">
        <v>45861.7507175926</v>
      </c>
      <c r="P4741" s="53" t="n">
        <v>45929.7115972222</v>
      </c>
      <c r="Q4741" s="53" t="n">
        <v>45861.7507175926</v>
      </c>
      <c r="R4741" s="0" t="n">
        <v>0</v>
      </c>
      <c r="S4741" s="51" t="s">
        <v>4015</v>
      </c>
      <c r="T4741" s="51" t="s">
        <v>4015</v>
      </c>
      <c r="U4741" s="0" t="str">
        <f aca="false">"12464079"</f>
        <v>12464079</v>
      </c>
      <c r="V4741" s="51" t="s">
        <v>2365</v>
      </c>
      <c r="W4741" s="51" t="s">
        <v>8813</v>
      </c>
      <c r="X4741" s="51" t="s">
        <v>2359</v>
      </c>
    </row>
    <row r="4742" customFormat="false" ht="14.25" hidden="true" customHeight="false" outlineLevel="0" collapsed="false">
      <c r="A4742" s="49" t="s">
        <v>2349</v>
      </c>
      <c r="B4742" s="49" t="s">
        <v>2350</v>
      </c>
      <c r="C4742" s="49" t="s">
        <v>8814</v>
      </c>
      <c r="D4742" s="49" t="s">
        <v>2352</v>
      </c>
      <c r="E4742" s="49" t="str">
        <f aca="false">"12464079"</f>
        <v>12464079</v>
      </c>
      <c r="F4742" s="49" t="s">
        <v>4706</v>
      </c>
      <c r="G4742" s="49" t="n">
        <v>0</v>
      </c>
      <c r="H4742" s="0" t="n">
        <v>0</v>
      </c>
      <c r="M4742" s="51" t="s">
        <v>8793</v>
      </c>
      <c r="N4742" s="49" t="n">
        <v>0</v>
      </c>
      <c r="O4742" s="53" t="n">
        <v>45861.7512384259</v>
      </c>
      <c r="P4742" s="53" t="n">
        <v>45910.8230092593</v>
      </c>
      <c r="Q4742" s="53" t="n">
        <v>45861.7512384259</v>
      </c>
      <c r="R4742" s="0" t="n">
        <v>0</v>
      </c>
      <c r="S4742" s="51" t="s">
        <v>4015</v>
      </c>
      <c r="T4742" s="51" t="s">
        <v>4015</v>
      </c>
      <c r="U4742" s="0" t="str">
        <f aca="false">"12464079"</f>
        <v>12464079</v>
      </c>
      <c r="V4742" s="51" t="s">
        <v>2365</v>
      </c>
      <c r="W4742" s="51" t="s">
        <v>7337</v>
      </c>
      <c r="X4742" s="51" t="s">
        <v>2359</v>
      </c>
    </row>
    <row r="4743" customFormat="false" ht="14.25" hidden="true" customHeight="false" outlineLevel="0" collapsed="false">
      <c r="A4743" s="49" t="s">
        <v>2349</v>
      </c>
      <c r="B4743" s="49" t="s">
        <v>2350</v>
      </c>
      <c r="C4743" s="49" t="s">
        <v>8815</v>
      </c>
      <c r="D4743" s="49" t="s">
        <v>2352</v>
      </c>
      <c r="E4743" s="49" t="str">
        <f aca="false">"12464079"</f>
        <v>12464079</v>
      </c>
      <c r="F4743" s="49" t="s">
        <v>4706</v>
      </c>
      <c r="G4743" s="49" t="n">
        <v>0</v>
      </c>
      <c r="H4743" s="0" t="n">
        <v>0</v>
      </c>
      <c r="M4743" s="51" t="s">
        <v>8793</v>
      </c>
      <c r="N4743" s="49" t="n">
        <v>0</v>
      </c>
      <c r="O4743" s="53" t="n">
        <v>45861.7514699074</v>
      </c>
      <c r="P4743" s="53" t="n">
        <v>45910.8290972222</v>
      </c>
      <c r="Q4743" s="53" t="n">
        <v>45861.7514699074</v>
      </c>
      <c r="R4743" s="0" t="n">
        <v>0</v>
      </c>
      <c r="S4743" s="51" t="s">
        <v>4015</v>
      </c>
      <c r="T4743" s="51" t="s">
        <v>4015</v>
      </c>
      <c r="U4743" s="0" t="str">
        <f aca="false">"12464079"</f>
        <v>12464079</v>
      </c>
      <c r="V4743" s="51" t="s">
        <v>2365</v>
      </c>
      <c r="W4743" s="51" t="s">
        <v>4871</v>
      </c>
      <c r="X4743" s="51" t="s">
        <v>2359</v>
      </c>
    </row>
    <row r="4744" customFormat="false" ht="14.25" hidden="true" customHeight="false" outlineLevel="0" collapsed="false">
      <c r="A4744" s="49" t="s">
        <v>2349</v>
      </c>
      <c r="B4744" s="49" t="s">
        <v>2350</v>
      </c>
      <c r="C4744" s="49" t="s">
        <v>8816</v>
      </c>
      <c r="D4744" s="49" t="s">
        <v>2352</v>
      </c>
      <c r="E4744" s="49" t="str">
        <f aca="false">"12464079"</f>
        <v>12464079</v>
      </c>
      <c r="F4744" s="49" t="s">
        <v>4706</v>
      </c>
      <c r="G4744" s="49" t="n">
        <v>0</v>
      </c>
      <c r="H4744" s="0" t="n">
        <v>0</v>
      </c>
      <c r="M4744" s="51" t="s">
        <v>8793</v>
      </c>
      <c r="N4744" s="49" t="n">
        <v>0</v>
      </c>
      <c r="O4744" s="53" t="n">
        <v>45861.7516319445</v>
      </c>
      <c r="P4744" s="53" t="n">
        <v>45908.3418287037</v>
      </c>
      <c r="Q4744" s="53" t="n">
        <v>45861.7516319445</v>
      </c>
      <c r="R4744" s="0" t="n">
        <v>0</v>
      </c>
      <c r="S4744" s="51" t="s">
        <v>4015</v>
      </c>
      <c r="T4744" s="51" t="s">
        <v>4015</v>
      </c>
      <c r="U4744" s="0" t="str">
        <f aca="false">"12464079"</f>
        <v>12464079</v>
      </c>
      <c r="V4744" s="51" t="s">
        <v>2365</v>
      </c>
      <c r="W4744" s="51" t="s">
        <v>8817</v>
      </c>
      <c r="X4744" s="51" t="s">
        <v>2359</v>
      </c>
    </row>
    <row r="4745" customFormat="false" ht="14.25" hidden="true" customHeight="false" outlineLevel="0" collapsed="false">
      <c r="A4745" s="49" t="s">
        <v>2349</v>
      </c>
      <c r="B4745" s="49" t="s">
        <v>2350</v>
      </c>
      <c r="C4745" s="49" t="s">
        <v>8818</v>
      </c>
      <c r="D4745" s="49" t="s">
        <v>2352</v>
      </c>
      <c r="E4745" s="49" t="str">
        <f aca="false">"12464079"</f>
        <v>12464079</v>
      </c>
      <c r="F4745" s="49" t="s">
        <v>4706</v>
      </c>
      <c r="G4745" s="49" t="n">
        <v>0</v>
      </c>
      <c r="H4745" s="0" t="n">
        <v>0</v>
      </c>
      <c r="M4745" s="51" t="s">
        <v>8793</v>
      </c>
      <c r="N4745" s="49" t="n">
        <v>0</v>
      </c>
      <c r="O4745" s="53" t="n">
        <v>45861.7518055556</v>
      </c>
      <c r="P4745" s="53" t="n">
        <v>45865.9184953704</v>
      </c>
      <c r="Q4745" s="53" t="n">
        <v>45861.7518055556</v>
      </c>
      <c r="R4745" s="0" t="n">
        <v>0</v>
      </c>
      <c r="S4745" s="51" t="s">
        <v>4015</v>
      </c>
      <c r="T4745" s="51" t="s">
        <v>4015</v>
      </c>
      <c r="U4745" s="0" t="str">
        <f aca="false">"12464079"</f>
        <v>12464079</v>
      </c>
      <c r="V4745" s="51" t="s">
        <v>2365</v>
      </c>
      <c r="W4745" s="51" t="s">
        <v>4943</v>
      </c>
      <c r="X4745" s="51" t="s">
        <v>2359</v>
      </c>
    </row>
    <row r="4746" customFormat="false" ht="14.25" hidden="true" customHeight="false" outlineLevel="0" collapsed="false">
      <c r="A4746" s="49" t="s">
        <v>2349</v>
      </c>
      <c r="B4746" s="49" t="s">
        <v>2350</v>
      </c>
      <c r="C4746" s="49" t="s">
        <v>8819</v>
      </c>
      <c r="D4746" s="49" t="s">
        <v>2352</v>
      </c>
      <c r="E4746" s="49" t="str">
        <f aca="false">"12464079"</f>
        <v>12464079</v>
      </c>
      <c r="F4746" s="49" t="s">
        <v>4706</v>
      </c>
      <c r="G4746" s="49" t="n">
        <v>0</v>
      </c>
      <c r="H4746" s="0" t="n">
        <v>0</v>
      </c>
      <c r="M4746" s="51" t="s">
        <v>8793</v>
      </c>
      <c r="N4746" s="49" t="n">
        <v>0</v>
      </c>
      <c r="O4746" s="53" t="n">
        <v>45861.7708680556</v>
      </c>
      <c r="P4746" s="53" t="n">
        <v>45897.3881944444</v>
      </c>
      <c r="Q4746" s="53" t="n">
        <v>45861.7708680556</v>
      </c>
      <c r="R4746" s="0" t="n">
        <v>0</v>
      </c>
      <c r="S4746" s="51" t="s">
        <v>4015</v>
      </c>
      <c r="T4746" s="51" t="s">
        <v>4015</v>
      </c>
      <c r="U4746" s="0" t="str">
        <f aca="false">"12464079"</f>
        <v>12464079</v>
      </c>
      <c r="V4746" s="51" t="s">
        <v>2365</v>
      </c>
      <c r="W4746" s="51" t="s">
        <v>7533</v>
      </c>
      <c r="X4746" s="51" t="s">
        <v>2359</v>
      </c>
    </row>
    <row r="4747" customFormat="false" ht="14.25" hidden="true" customHeight="false" outlineLevel="0" collapsed="false">
      <c r="A4747" s="49" t="s">
        <v>2349</v>
      </c>
      <c r="B4747" s="49" t="s">
        <v>2350</v>
      </c>
      <c r="C4747" s="49" t="s">
        <v>8820</v>
      </c>
      <c r="D4747" s="49" t="s">
        <v>2352</v>
      </c>
      <c r="E4747" s="49" t="str">
        <f aca="false">"12464079"</f>
        <v>12464079</v>
      </c>
      <c r="F4747" s="49" t="s">
        <v>4706</v>
      </c>
      <c r="G4747" s="49" t="n">
        <v>0</v>
      </c>
      <c r="H4747" s="0" t="n">
        <v>0</v>
      </c>
      <c r="M4747" s="51" t="s">
        <v>8793</v>
      </c>
      <c r="N4747" s="49" t="n">
        <v>0</v>
      </c>
      <c r="O4747" s="53" t="n">
        <v>45861.7519791667</v>
      </c>
      <c r="P4747" s="53" t="n">
        <v>45865.7935763889</v>
      </c>
      <c r="Q4747" s="53" t="n">
        <v>45861.7519791667</v>
      </c>
      <c r="R4747" s="0" t="n">
        <v>0</v>
      </c>
      <c r="S4747" s="51" t="s">
        <v>4015</v>
      </c>
      <c r="T4747" s="51" t="s">
        <v>4015</v>
      </c>
      <c r="U4747" s="0" t="str">
        <f aca="false">"12464079"</f>
        <v>12464079</v>
      </c>
      <c r="V4747" s="51" t="s">
        <v>2365</v>
      </c>
      <c r="W4747" s="51" t="s">
        <v>6974</v>
      </c>
      <c r="X4747" s="51" t="s">
        <v>2359</v>
      </c>
    </row>
    <row r="4748" customFormat="false" ht="14.25" hidden="true" customHeight="false" outlineLevel="0" collapsed="false">
      <c r="A4748" s="49" t="s">
        <v>2349</v>
      </c>
      <c r="B4748" s="49" t="s">
        <v>2350</v>
      </c>
      <c r="C4748" s="49" t="s">
        <v>8821</v>
      </c>
      <c r="D4748" s="49" t="s">
        <v>2352</v>
      </c>
      <c r="E4748" s="49" t="str">
        <f aca="false">"12464079"</f>
        <v>12464079</v>
      </c>
      <c r="F4748" s="49" t="s">
        <v>4706</v>
      </c>
      <c r="G4748" s="49" t="n">
        <v>0</v>
      </c>
      <c r="H4748" s="0" t="n">
        <v>0</v>
      </c>
      <c r="M4748" s="51" t="s">
        <v>8793</v>
      </c>
      <c r="N4748" s="49" t="n">
        <v>0</v>
      </c>
      <c r="O4748" s="53" t="n">
        <v>45861.7522106482</v>
      </c>
      <c r="P4748" s="53" t="n">
        <v>45865.7926041667</v>
      </c>
      <c r="Q4748" s="53" t="n">
        <v>45861.7522106482</v>
      </c>
      <c r="R4748" s="0" t="n">
        <v>0</v>
      </c>
      <c r="S4748" s="51" t="s">
        <v>4015</v>
      </c>
      <c r="T4748" s="51" t="s">
        <v>4015</v>
      </c>
      <c r="U4748" s="0" t="str">
        <f aca="false">"12464079"</f>
        <v>12464079</v>
      </c>
      <c r="V4748" s="51" t="s">
        <v>2365</v>
      </c>
      <c r="W4748" s="51" t="s">
        <v>5172</v>
      </c>
      <c r="X4748" s="51" t="s">
        <v>2359</v>
      </c>
    </row>
    <row r="4749" customFormat="false" ht="14.25" hidden="true" customHeight="false" outlineLevel="0" collapsed="false">
      <c r="A4749" s="49" t="s">
        <v>2349</v>
      </c>
      <c r="B4749" s="49" t="s">
        <v>2350</v>
      </c>
      <c r="C4749" s="49" t="s">
        <v>8822</v>
      </c>
      <c r="D4749" s="49" t="s">
        <v>2352</v>
      </c>
      <c r="E4749" s="49" t="str">
        <f aca="false">"12464079"</f>
        <v>12464079</v>
      </c>
      <c r="F4749" s="49" t="s">
        <v>4706</v>
      </c>
      <c r="G4749" s="49" t="n">
        <v>0</v>
      </c>
      <c r="H4749" s="0" t="n">
        <v>0</v>
      </c>
      <c r="M4749" s="51" t="s">
        <v>8793</v>
      </c>
      <c r="N4749" s="49" t="n">
        <v>0</v>
      </c>
      <c r="O4749" s="53" t="n">
        <v>45861.7536226852</v>
      </c>
      <c r="P4749" s="53" t="n">
        <v>45917.9133564815</v>
      </c>
      <c r="Q4749" s="53" t="n">
        <v>45861.7536226852</v>
      </c>
      <c r="R4749" s="0" t="n">
        <v>0</v>
      </c>
      <c r="S4749" s="51" t="s">
        <v>4015</v>
      </c>
      <c r="T4749" s="51" t="s">
        <v>4015</v>
      </c>
      <c r="U4749" s="0" t="str">
        <f aca="false">"12464079"</f>
        <v>12464079</v>
      </c>
      <c r="V4749" s="51" t="s">
        <v>2365</v>
      </c>
      <c r="W4749" s="51" t="s">
        <v>7824</v>
      </c>
      <c r="X4749" s="51" t="s">
        <v>2359</v>
      </c>
    </row>
    <row r="4750" customFormat="false" ht="14.25" hidden="true" customHeight="false" outlineLevel="0" collapsed="false">
      <c r="A4750" s="49" t="s">
        <v>2349</v>
      </c>
      <c r="B4750" s="49" t="s">
        <v>2350</v>
      </c>
      <c r="C4750" s="49" t="s">
        <v>8823</v>
      </c>
      <c r="D4750" s="49" t="s">
        <v>2352</v>
      </c>
      <c r="E4750" s="49" t="str">
        <f aca="false">"12464079"</f>
        <v>12464079</v>
      </c>
      <c r="F4750" s="49" t="s">
        <v>4706</v>
      </c>
      <c r="G4750" s="49" t="n">
        <v>0</v>
      </c>
      <c r="H4750" s="0" t="n">
        <v>0</v>
      </c>
      <c r="M4750" s="51" t="s">
        <v>8824</v>
      </c>
      <c r="N4750" s="49" t="n">
        <v>0</v>
      </c>
      <c r="O4750" s="53" t="n">
        <v>45869.3776041667</v>
      </c>
      <c r="P4750" s="53" t="n">
        <v>45917.8998148148</v>
      </c>
      <c r="Q4750" s="53" t="n">
        <v>45869.3776041667</v>
      </c>
      <c r="R4750" s="0" t="n">
        <v>0</v>
      </c>
      <c r="S4750" s="51" t="s">
        <v>8825</v>
      </c>
      <c r="T4750" s="51" t="s">
        <v>8825</v>
      </c>
      <c r="U4750" s="0" t="str">
        <f aca="false">"12464079"</f>
        <v>12464079</v>
      </c>
      <c r="V4750" s="51" t="s">
        <v>2365</v>
      </c>
      <c r="W4750" s="51" t="s">
        <v>5621</v>
      </c>
      <c r="X4750" s="51" t="s">
        <v>2359</v>
      </c>
    </row>
    <row r="4751" customFormat="false" ht="14.25" hidden="true" customHeight="false" outlineLevel="0" collapsed="false">
      <c r="A4751" s="49" t="s">
        <v>2349</v>
      </c>
      <c r="B4751" s="49" t="s">
        <v>2350</v>
      </c>
      <c r="C4751" s="49" t="s">
        <v>8826</v>
      </c>
      <c r="D4751" s="49" t="s">
        <v>2352</v>
      </c>
      <c r="E4751" s="49" t="str">
        <f aca="false">"12464079"</f>
        <v>12464079</v>
      </c>
      <c r="F4751" s="49" t="s">
        <v>4706</v>
      </c>
      <c r="G4751" s="49" t="n">
        <v>0</v>
      </c>
      <c r="H4751" s="0" t="n">
        <v>0</v>
      </c>
      <c r="M4751" s="51" t="s">
        <v>8824</v>
      </c>
      <c r="N4751" s="49" t="n">
        <v>0</v>
      </c>
      <c r="O4751" s="53" t="n">
        <v>45869.3780555556</v>
      </c>
      <c r="P4751" s="53" t="n">
        <v>45908.3568518519</v>
      </c>
      <c r="Q4751" s="53" t="n">
        <v>45869.3780555556</v>
      </c>
      <c r="R4751" s="0" t="n">
        <v>0</v>
      </c>
      <c r="S4751" s="51" t="s">
        <v>8825</v>
      </c>
      <c r="T4751" s="51" t="s">
        <v>8825</v>
      </c>
      <c r="U4751" s="0" t="str">
        <f aca="false">"12464079"</f>
        <v>12464079</v>
      </c>
      <c r="V4751" s="51" t="s">
        <v>2365</v>
      </c>
      <c r="W4751" s="51" t="s">
        <v>4763</v>
      </c>
      <c r="X4751" s="51" t="s">
        <v>2359</v>
      </c>
    </row>
    <row r="4752" customFormat="false" ht="14.25" hidden="true" customHeight="false" outlineLevel="0" collapsed="false">
      <c r="A4752" s="49" t="s">
        <v>2349</v>
      </c>
      <c r="B4752" s="49" t="s">
        <v>2350</v>
      </c>
      <c r="C4752" s="49" t="s">
        <v>8827</v>
      </c>
      <c r="D4752" s="49" t="s">
        <v>2352</v>
      </c>
      <c r="E4752" s="49" t="str">
        <f aca="false">"12464079"</f>
        <v>12464079</v>
      </c>
      <c r="F4752" s="49" t="s">
        <v>4706</v>
      </c>
      <c r="G4752" s="49" t="n">
        <v>0</v>
      </c>
      <c r="H4752" s="0" t="n">
        <v>0</v>
      </c>
      <c r="M4752" s="51" t="s">
        <v>8824</v>
      </c>
      <c r="N4752" s="49" t="n">
        <v>0</v>
      </c>
      <c r="O4752" s="53" t="n">
        <v>45869.3786226852</v>
      </c>
      <c r="P4752" s="53" t="n">
        <v>45917.9043634259</v>
      </c>
      <c r="Q4752" s="53" t="n">
        <v>45869.3786226852</v>
      </c>
      <c r="R4752" s="0" t="n">
        <v>0</v>
      </c>
      <c r="S4752" s="51" t="s">
        <v>8825</v>
      </c>
      <c r="T4752" s="51" t="s">
        <v>8825</v>
      </c>
      <c r="U4752" s="0" t="str">
        <f aca="false">"12464079"</f>
        <v>12464079</v>
      </c>
      <c r="V4752" s="51" t="s">
        <v>2365</v>
      </c>
      <c r="W4752" s="51" t="s">
        <v>7996</v>
      </c>
      <c r="X4752" s="51" t="s">
        <v>2359</v>
      </c>
    </row>
    <row r="4753" customFormat="false" ht="14.25" hidden="true" customHeight="false" outlineLevel="0" collapsed="false">
      <c r="A4753" s="49" t="s">
        <v>2349</v>
      </c>
      <c r="B4753" s="49" t="s">
        <v>2350</v>
      </c>
      <c r="C4753" s="49" t="s">
        <v>8828</v>
      </c>
      <c r="D4753" s="49" t="s">
        <v>2352</v>
      </c>
      <c r="E4753" s="49" t="s">
        <v>4351</v>
      </c>
      <c r="F4753" s="49" t="s">
        <v>4352</v>
      </c>
      <c r="G4753" s="49" t="n">
        <v>0</v>
      </c>
      <c r="H4753" s="0" t="n">
        <v>0</v>
      </c>
      <c r="M4753" s="51" t="s">
        <v>8829</v>
      </c>
      <c r="N4753" s="49" t="n">
        <v>0</v>
      </c>
      <c r="O4753" s="53" t="n">
        <v>45860.6504282407</v>
      </c>
      <c r="P4753" s="53" t="n">
        <v>45864.5092708333</v>
      </c>
      <c r="Q4753" s="53" t="n">
        <v>45860.6504282407</v>
      </c>
      <c r="R4753" s="0" t="n">
        <v>0</v>
      </c>
      <c r="S4753" s="51" t="s">
        <v>2356</v>
      </c>
      <c r="T4753" s="51" t="s">
        <v>2356</v>
      </c>
      <c r="U4753" s="51" t="s">
        <v>4351</v>
      </c>
      <c r="V4753" s="51" t="s">
        <v>2365</v>
      </c>
      <c r="W4753" s="51" t="s">
        <v>8830</v>
      </c>
      <c r="X4753" s="51" t="s">
        <v>2359</v>
      </c>
    </row>
    <row r="4754" customFormat="false" ht="14.25" hidden="true" customHeight="false" outlineLevel="0" collapsed="false">
      <c r="A4754" s="49" t="s">
        <v>2349</v>
      </c>
      <c r="B4754" s="49" t="s">
        <v>2350</v>
      </c>
      <c r="C4754" s="49" t="s">
        <v>8831</v>
      </c>
      <c r="D4754" s="49" t="s">
        <v>2352</v>
      </c>
      <c r="E4754" s="49" t="s">
        <v>4351</v>
      </c>
      <c r="F4754" s="49" t="s">
        <v>4352</v>
      </c>
      <c r="G4754" s="49" t="n">
        <v>0</v>
      </c>
      <c r="H4754" s="0" t="n">
        <v>0</v>
      </c>
      <c r="M4754" s="51" t="s">
        <v>8829</v>
      </c>
      <c r="N4754" s="49" t="n">
        <v>0</v>
      </c>
      <c r="O4754" s="53" t="n">
        <v>45860.6447222222</v>
      </c>
      <c r="P4754" s="53" t="n">
        <v>45867.5869907407</v>
      </c>
      <c r="Q4754" s="53" t="n">
        <v>45860.6447222222</v>
      </c>
      <c r="R4754" s="0" t="n">
        <v>0</v>
      </c>
      <c r="S4754" s="51" t="s">
        <v>2356</v>
      </c>
      <c r="T4754" s="51" t="s">
        <v>2356</v>
      </c>
      <c r="U4754" s="51" t="s">
        <v>4351</v>
      </c>
      <c r="V4754" s="51" t="s">
        <v>2365</v>
      </c>
      <c r="W4754" s="51" t="s">
        <v>8832</v>
      </c>
      <c r="X4754" s="51" t="s">
        <v>2359</v>
      </c>
    </row>
    <row r="4755" customFormat="false" ht="14.25" hidden="true" customHeight="false" outlineLevel="0" collapsed="false">
      <c r="A4755" s="49" t="s">
        <v>2349</v>
      </c>
      <c r="B4755" s="49" t="s">
        <v>2350</v>
      </c>
      <c r="C4755" s="49" t="s">
        <v>8833</v>
      </c>
      <c r="D4755" s="49" t="s">
        <v>2352</v>
      </c>
      <c r="E4755" s="49" t="s">
        <v>4351</v>
      </c>
      <c r="F4755" s="49" t="s">
        <v>4352</v>
      </c>
      <c r="G4755" s="49" t="n">
        <v>0</v>
      </c>
      <c r="H4755" s="0" t="n">
        <v>0</v>
      </c>
      <c r="M4755" s="51" t="s">
        <v>8829</v>
      </c>
      <c r="N4755" s="49" t="n">
        <v>0</v>
      </c>
      <c r="O4755" s="53" t="n">
        <v>45860.6449074074</v>
      </c>
      <c r="P4755" s="53" t="n">
        <v>45879.5907407407</v>
      </c>
      <c r="Q4755" s="53" t="n">
        <v>45860.6449074074</v>
      </c>
      <c r="R4755" s="0" t="n">
        <v>0</v>
      </c>
      <c r="S4755" s="51" t="s">
        <v>2356</v>
      </c>
      <c r="T4755" s="51" t="s">
        <v>2356</v>
      </c>
      <c r="U4755" s="51" t="s">
        <v>4351</v>
      </c>
      <c r="V4755" s="51" t="s">
        <v>2365</v>
      </c>
      <c r="W4755" s="51" t="s">
        <v>7201</v>
      </c>
      <c r="X4755" s="51" t="s">
        <v>2359</v>
      </c>
    </row>
    <row r="4756" customFormat="false" ht="14.25" hidden="true" customHeight="false" outlineLevel="0" collapsed="false">
      <c r="A4756" s="49" t="s">
        <v>2349</v>
      </c>
      <c r="B4756" s="49" t="s">
        <v>2350</v>
      </c>
      <c r="C4756" s="49" t="s">
        <v>8834</v>
      </c>
      <c r="D4756" s="49" t="s">
        <v>2352</v>
      </c>
      <c r="E4756" s="49" t="s">
        <v>4351</v>
      </c>
      <c r="F4756" s="49" t="s">
        <v>4352</v>
      </c>
      <c r="G4756" s="49" t="n">
        <v>0</v>
      </c>
      <c r="H4756" s="0" t="n">
        <v>0</v>
      </c>
      <c r="M4756" s="51" t="s">
        <v>8829</v>
      </c>
      <c r="N4756" s="49" t="n">
        <v>0</v>
      </c>
      <c r="O4756" s="53" t="n">
        <v>45860.6478009259</v>
      </c>
      <c r="P4756" s="53" t="n">
        <v>45879.591400463</v>
      </c>
      <c r="Q4756" s="53" t="n">
        <v>45860.6478009259</v>
      </c>
      <c r="R4756" s="0" t="n">
        <v>0</v>
      </c>
      <c r="S4756" s="51" t="s">
        <v>2356</v>
      </c>
      <c r="T4756" s="51" t="s">
        <v>2356</v>
      </c>
      <c r="U4756" s="51" t="s">
        <v>4351</v>
      </c>
      <c r="V4756" s="51" t="s">
        <v>2365</v>
      </c>
      <c r="W4756" s="51" t="s">
        <v>7201</v>
      </c>
      <c r="X4756" s="51" t="s">
        <v>2359</v>
      </c>
    </row>
    <row r="4757" customFormat="false" ht="14.25" hidden="true" customHeight="false" outlineLevel="0" collapsed="false">
      <c r="A4757" s="49" t="s">
        <v>2349</v>
      </c>
      <c r="B4757" s="49" t="s">
        <v>2350</v>
      </c>
      <c r="C4757" s="49" t="s">
        <v>8835</v>
      </c>
      <c r="D4757" s="49" t="s">
        <v>2352</v>
      </c>
      <c r="E4757" s="49" t="s">
        <v>4351</v>
      </c>
      <c r="F4757" s="49" t="s">
        <v>4352</v>
      </c>
      <c r="G4757" s="49" t="n">
        <v>0</v>
      </c>
      <c r="H4757" s="0" t="n">
        <v>0</v>
      </c>
      <c r="M4757" s="51" t="s">
        <v>8829</v>
      </c>
      <c r="N4757" s="49" t="n">
        <v>0</v>
      </c>
      <c r="O4757" s="53" t="n">
        <v>45860.6481944444</v>
      </c>
      <c r="P4757" s="53" t="n">
        <v>45864.509212963</v>
      </c>
      <c r="Q4757" s="53" t="n">
        <v>45860.6481944444</v>
      </c>
      <c r="R4757" s="0" t="n">
        <v>0</v>
      </c>
      <c r="S4757" s="51" t="s">
        <v>2356</v>
      </c>
      <c r="T4757" s="51" t="s">
        <v>2356</v>
      </c>
      <c r="U4757" s="51" t="s">
        <v>4351</v>
      </c>
      <c r="V4757" s="51" t="s">
        <v>2365</v>
      </c>
      <c r="W4757" s="51" t="s">
        <v>3734</v>
      </c>
      <c r="X4757" s="51" t="s">
        <v>2359</v>
      </c>
    </row>
    <row r="4758" customFormat="false" ht="14.25" hidden="true" customHeight="false" outlineLevel="0" collapsed="false">
      <c r="A4758" s="49" t="s">
        <v>2349</v>
      </c>
      <c r="B4758" s="49" t="s">
        <v>2350</v>
      </c>
      <c r="C4758" s="49" t="s">
        <v>8836</v>
      </c>
      <c r="D4758" s="49" t="s">
        <v>2352</v>
      </c>
      <c r="E4758" s="49" t="s">
        <v>4351</v>
      </c>
      <c r="F4758" s="49" t="s">
        <v>4352</v>
      </c>
      <c r="G4758" s="49" t="n">
        <v>0</v>
      </c>
      <c r="H4758" s="0" t="n">
        <v>0</v>
      </c>
      <c r="M4758" s="51" t="s">
        <v>8829</v>
      </c>
      <c r="N4758" s="49" t="n">
        <v>0</v>
      </c>
      <c r="O4758" s="53" t="n">
        <v>45860.6483912037</v>
      </c>
      <c r="P4758" s="53" t="n">
        <v>45864.5091087963</v>
      </c>
      <c r="Q4758" s="53" t="n">
        <v>45860.6483912037</v>
      </c>
      <c r="R4758" s="0" t="n">
        <v>0</v>
      </c>
      <c r="S4758" s="51" t="s">
        <v>2356</v>
      </c>
      <c r="T4758" s="51" t="s">
        <v>2356</v>
      </c>
      <c r="U4758" s="51" t="s">
        <v>4351</v>
      </c>
      <c r="V4758" s="51" t="s">
        <v>2365</v>
      </c>
      <c r="W4758" s="51" t="s">
        <v>4144</v>
      </c>
      <c r="X4758" s="51" t="s">
        <v>2359</v>
      </c>
    </row>
    <row r="4759" customFormat="false" ht="14.25" hidden="true" customHeight="false" outlineLevel="0" collapsed="false">
      <c r="A4759" s="49" t="s">
        <v>2349</v>
      </c>
      <c r="B4759" s="49" t="s">
        <v>2350</v>
      </c>
      <c r="C4759" s="49" t="s">
        <v>8837</v>
      </c>
      <c r="D4759" s="49" t="s">
        <v>2352</v>
      </c>
      <c r="E4759" s="49" t="s">
        <v>4351</v>
      </c>
      <c r="F4759" s="49" t="s">
        <v>4352</v>
      </c>
      <c r="G4759" s="49" t="n">
        <v>0</v>
      </c>
      <c r="H4759" s="0" t="n">
        <v>0</v>
      </c>
      <c r="M4759" s="51" t="s">
        <v>8829</v>
      </c>
      <c r="N4759" s="49" t="n">
        <v>0</v>
      </c>
      <c r="O4759" s="53" t="n">
        <v>45860.6485532407</v>
      </c>
      <c r="P4759" s="53" t="n">
        <v>45864.5090509259</v>
      </c>
      <c r="Q4759" s="53" t="n">
        <v>45860.6485532407</v>
      </c>
      <c r="R4759" s="0" t="n">
        <v>0</v>
      </c>
      <c r="S4759" s="51" t="s">
        <v>2356</v>
      </c>
      <c r="T4759" s="51" t="s">
        <v>2356</v>
      </c>
      <c r="U4759" s="51" t="s">
        <v>4351</v>
      </c>
      <c r="V4759" s="51" t="s">
        <v>2365</v>
      </c>
      <c r="W4759" s="51" t="s">
        <v>4359</v>
      </c>
      <c r="X4759" s="51" t="s">
        <v>2359</v>
      </c>
    </row>
    <row r="4760" customFormat="false" ht="14.25" hidden="true" customHeight="false" outlineLevel="0" collapsed="false">
      <c r="A4760" s="49" t="s">
        <v>2349</v>
      </c>
      <c r="B4760" s="49" t="s">
        <v>2350</v>
      </c>
      <c r="C4760" s="49" t="s">
        <v>8838</v>
      </c>
      <c r="D4760" s="49" t="s">
        <v>2352</v>
      </c>
      <c r="E4760" s="49" t="s">
        <v>4351</v>
      </c>
      <c r="F4760" s="49" t="s">
        <v>4352</v>
      </c>
      <c r="G4760" s="49" t="n">
        <v>0</v>
      </c>
      <c r="H4760" s="0" t="n">
        <v>0</v>
      </c>
      <c r="M4760" s="51" t="s">
        <v>8829</v>
      </c>
      <c r="N4760" s="49" t="n">
        <v>0</v>
      </c>
      <c r="O4760" s="53" t="n">
        <v>45860.6487152778</v>
      </c>
      <c r="P4760" s="53" t="n">
        <v>45864.5399305556</v>
      </c>
      <c r="Q4760" s="53" t="n">
        <v>45860.6487152778</v>
      </c>
      <c r="R4760" s="0" t="n">
        <v>0</v>
      </c>
      <c r="S4760" s="51" t="s">
        <v>2356</v>
      </c>
      <c r="T4760" s="51" t="s">
        <v>2356</v>
      </c>
      <c r="U4760" s="51" t="s">
        <v>4351</v>
      </c>
      <c r="V4760" s="51" t="s">
        <v>2365</v>
      </c>
      <c r="W4760" s="51" t="s">
        <v>3692</v>
      </c>
      <c r="X4760" s="51" t="s">
        <v>2359</v>
      </c>
    </row>
    <row r="4761" customFormat="false" ht="14.25" hidden="true" customHeight="false" outlineLevel="0" collapsed="false">
      <c r="A4761" s="49" t="s">
        <v>2349</v>
      </c>
      <c r="B4761" s="49" t="s">
        <v>2350</v>
      </c>
      <c r="C4761" s="49" t="s">
        <v>8839</v>
      </c>
      <c r="D4761" s="49" t="s">
        <v>2352</v>
      </c>
      <c r="E4761" s="49" t="s">
        <v>4351</v>
      </c>
      <c r="F4761" s="49" t="s">
        <v>4352</v>
      </c>
      <c r="G4761" s="49" t="n">
        <v>0</v>
      </c>
      <c r="H4761" s="0" t="n">
        <v>0</v>
      </c>
      <c r="M4761" s="51" t="s">
        <v>8829</v>
      </c>
      <c r="N4761" s="49" t="n">
        <v>0</v>
      </c>
      <c r="O4761" s="53" t="n">
        <v>45860.6488773148</v>
      </c>
      <c r="P4761" s="53" t="n">
        <v>45864.5073148148</v>
      </c>
      <c r="Q4761" s="53" t="n">
        <v>45860.6488773148</v>
      </c>
      <c r="R4761" s="0" t="n">
        <v>0</v>
      </c>
      <c r="S4761" s="51" t="s">
        <v>2356</v>
      </c>
      <c r="T4761" s="51" t="s">
        <v>2356</v>
      </c>
      <c r="U4761" s="51" t="s">
        <v>4351</v>
      </c>
      <c r="V4761" s="51" t="s">
        <v>2365</v>
      </c>
      <c r="W4761" s="51" t="s">
        <v>5737</v>
      </c>
      <c r="X4761" s="51" t="s">
        <v>2359</v>
      </c>
    </row>
    <row r="4762" customFormat="false" ht="14.25" hidden="true" customHeight="false" outlineLevel="0" collapsed="false">
      <c r="A4762" s="49" t="s">
        <v>2349</v>
      </c>
      <c r="B4762" s="49" t="s">
        <v>2350</v>
      </c>
      <c r="C4762" s="49" t="s">
        <v>8840</v>
      </c>
      <c r="D4762" s="49" t="s">
        <v>2352</v>
      </c>
      <c r="E4762" s="49" t="s">
        <v>4351</v>
      </c>
      <c r="F4762" s="49" t="s">
        <v>4352</v>
      </c>
      <c r="G4762" s="49" t="n">
        <v>0</v>
      </c>
      <c r="H4762" s="0" t="n">
        <v>0</v>
      </c>
      <c r="M4762" s="51" t="s">
        <v>8829</v>
      </c>
      <c r="N4762" s="49" t="n">
        <v>0</v>
      </c>
      <c r="O4762" s="53" t="n">
        <v>45860.6490162037</v>
      </c>
      <c r="P4762" s="53" t="n">
        <v>45879.5914814815</v>
      </c>
      <c r="Q4762" s="53" t="n">
        <v>45860.6490162037</v>
      </c>
      <c r="R4762" s="0" t="n">
        <v>0</v>
      </c>
      <c r="S4762" s="51" t="s">
        <v>2356</v>
      </c>
      <c r="T4762" s="51" t="s">
        <v>2356</v>
      </c>
      <c r="U4762" s="51" t="s">
        <v>4351</v>
      </c>
      <c r="V4762" s="51" t="s">
        <v>2365</v>
      </c>
      <c r="W4762" s="51" t="s">
        <v>3705</v>
      </c>
      <c r="X4762" s="51" t="s">
        <v>2359</v>
      </c>
    </row>
    <row r="4763" customFormat="false" ht="14.25" hidden="true" customHeight="false" outlineLevel="0" collapsed="false">
      <c r="A4763" s="49" t="s">
        <v>2349</v>
      </c>
      <c r="B4763" s="49" t="s">
        <v>2350</v>
      </c>
      <c r="C4763" s="49" t="s">
        <v>8841</v>
      </c>
      <c r="D4763" s="49" t="s">
        <v>2352</v>
      </c>
      <c r="E4763" s="49" t="s">
        <v>4351</v>
      </c>
      <c r="F4763" s="49" t="s">
        <v>4352</v>
      </c>
      <c r="G4763" s="49" t="n">
        <v>0</v>
      </c>
      <c r="H4763" s="0" t="n">
        <v>0</v>
      </c>
      <c r="M4763" s="51" t="s">
        <v>8829</v>
      </c>
      <c r="N4763" s="49" t="n">
        <v>0</v>
      </c>
      <c r="O4763" s="53" t="n">
        <v>45860.6491782407</v>
      </c>
      <c r="P4763" s="53" t="n">
        <v>45872.3780324074</v>
      </c>
      <c r="Q4763" s="53" t="n">
        <v>45860.6491782407</v>
      </c>
      <c r="R4763" s="0" t="n">
        <v>0</v>
      </c>
      <c r="S4763" s="51" t="s">
        <v>2356</v>
      </c>
      <c r="T4763" s="51" t="s">
        <v>2356</v>
      </c>
      <c r="U4763" s="51" t="s">
        <v>4351</v>
      </c>
      <c r="V4763" s="51" t="s">
        <v>2365</v>
      </c>
      <c r="W4763" s="51" t="s">
        <v>8842</v>
      </c>
      <c r="X4763" s="51" t="s">
        <v>2359</v>
      </c>
    </row>
    <row r="4764" customFormat="false" ht="14.25" hidden="true" customHeight="false" outlineLevel="0" collapsed="false">
      <c r="A4764" s="49" t="s">
        <v>2349</v>
      </c>
      <c r="B4764" s="49" t="s">
        <v>2350</v>
      </c>
      <c r="C4764" s="49" t="s">
        <v>8843</v>
      </c>
      <c r="D4764" s="49" t="s">
        <v>2352</v>
      </c>
      <c r="E4764" s="49" t="s">
        <v>4351</v>
      </c>
      <c r="F4764" s="49" t="s">
        <v>4352</v>
      </c>
      <c r="G4764" s="49" t="n">
        <v>0</v>
      </c>
      <c r="H4764" s="0" t="n">
        <v>0</v>
      </c>
      <c r="M4764" s="51" t="s">
        <v>8829</v>
      </c>
      <c r="N4764" s="49" t="n">
        <v>0</v>
      </c>
      <c r="O4764" s="53" t="n">
        <v>45860.6493287037</v>
      </c>
      <c r="P4764" s="53" t="n">
        <v>45871.6483217593</v>
      </c>
      <c r="Q4764" s="53" t="n">
        <v>45860.6493287037</v>
      </c>
      <c r="R4764" s="0" t="n">
        <v>0</v>
      </c>
      <c r="S4764" s="51" t="s">
        <v>2356</v>
      </c>
      <c r="T4764" s="51" t="s">
        <v>2356</v>
      </c>
      <c r="U4764" s="51" t="s">
        <v>4351</v>
      </c>
      <c r="V4764" s="51" t="s">
        <v>2365</v>
      </c>
      <c r="W4764" s="51" t="s">
        <v>7215</v>
      </c>
      <c r="X4764" s="51" t="s">
        <v>2359</v>
      </c>
    </row>
    <row r="4765" customFormat="false" ht="14.25" hidden="true" customHeight="false" outlineLevel="0" collapsed="false">
      <c r="A4765" s="49" t="s">
        <v>2349</v>
      </c>
      <c r="B4765" s="49" t="s">
        <v>2350</v>
      </c>
      <c r="C4765" s="49" t="s">
        <v>8844</v>
      </c>
      <c r="D4765" s="49" t="s">
        <v>2352</v>
      </c>
      <c r="E4765" s="49" t="s">
        <v>4351</v>
      </c>
      <c r="F4765" s="49" t="s">
        <v>4352</v>
      </c>
      <c r="G4765" s="49" t="n">
        <v>0</v>
      </c>
      <c r="H4765" s="0" t="n">
        <v>0</v>
      </c>
      <c r="M4765" s="51" t="s">
        <v>8829</v>
      </c>
      <c r="N4765" s="49" t="n">
        <v>0</v>
      </c>
      <c r="O4765" s="53" t="n">
        <v>45860.6494791667</v>
      </c>
      <c r="P4765" s="53" t="n">
        <v>45871.6491666667</v>
      </c>
      <c r="Q4765" s="53" t="n">
        <v>45860.6494791667</v>
      </c>
      <c r="R4765" s="0" t="n">
        <v>0</v>
      </c>
      <c r="S4765" s="51" t="s">
        <v>2356</v>
      </c>
      <c r="T4765" s="51" t="s">
        <v>2356</v>
      </c>
      <c r="U4765" s="51" t="s">
        <v>4351</v>
      </c>
      <c r="V4765" s="51" t="s">
        <v>2365</v>
      </c>
      <c r="W4765" s="51" t="s">
        <v>7217</v>
      </c>
      <c r="X4765" s="51" t="s">
        <v>2359</v>
      </c>
    </row>
    <row r="4766" customFormat="false" ht="14.25" hidden="true" customHeight="false" outlineLevel="0" collapsed="false">
      <c r="A4766" s="49" t="s">
        <v>2349</v>
      </c>
      <c r="B4766" s="49" t="s">
        <v>2350</v>
      </c>
      <c r="C4766" s="49" t="s">
        <v>8845</v>
      </c>
      <c r="D4766" s="49" t="s">
        <v>2352</v>
      </c>
      <c r="E4766" s="49" t="s">
        <v>4351</v>
      </c>
      <c r="F4766" s="49" t="s">
        <v>4352</v>
      </c>
      <c r="G4766" s="49" t="n">
        <v>0</v>
      </c>
      <c r="H4766" s="0" t="n">
        <v>0</v>
      </c>
      <c r="M4766" s="51" t="s">
        <v>8829</v>
      </c>
      <c r="N4766" s="49" t="n">
        <v>0</v>
      </c>
      <c r="O4766" s="53" t="n">
        <v>45860.6496180556</v>
      </c>
      <c r="P4766" s="53" t="n">
        <v>45869.6073726852</v>
      </c>
      <c r="Q4766" s="53" t="n">
        <v>45860.6496180556</v>
      </c>
      <c r="R4766" s="0" t="n">
        <v>0</v>
      </c>
      <c r="S4766" s="51" t="s">
        <v>2356</v>
      </c>
      <c r="T4766" s="51" t="s">
        <v>2356</v>
      </c>
      <c r="U4766" s="51" t="s">
        <v>4351</v>
      </c>
      <c r="V4766" s="51" t="s">
        <v>2365</v>
      </c>
      <c r="W4766" s="51" t="s">
        <v>8846</v>
      </c>
      <c r="X4766" s="51" t="s">
        <v>2359</v>
      </c>
    </row>
    <row r="4767" customFormat="false" ht="14.25" hidden="true" customHeight="false" outlineLevel="0" collapsed="false">
      <c r="A4767" s="49" t="s">
        <v>2349</v>
      </c>
      <c r="B4767" s="49" t="s">
        <v>2350</v>
      </c>
      <c r="C4767" s="49" t="s">
        <v>8847</v>
      </c>
      <c r="D4767" s="49" t="s">
        <v>2352</v>
      </c>
      <c r="E4767" s="49" t="s">
        <v>4351</v>
      </c>
      <c r="F4767" s="49" t="s">
        <v>4352</v>
      </c>
      <c r="G4767" s="49" t="n">
        <v>0</v>
      </c>
      <c r="H4767" s="0" t="n">
        <v>0</v>
      </c>
      <c r="M4767" s="51" t="s">
        <v>8829</v>
      </c>
      <c r="N4767" s="49" t="n">
        <v>0</v>
      </c>
      <c r="O4767" s="53" t="n">
        <v>45860.6498148148</v>
      </c>
      <c r="P4767" s="53" t="n">
        <v>45866.6023148148</v>
      </c>
      <c r="Q4767" s="53" t="n">
        <v>45860.6498148148</v>
      </c>
      <c r="R4767" s="0" t="n">
        <v>0</v>
      </c>
      <c r="S4767" s="51" t="s">
        <v>2356</v>
      </c>
      <c r="T4767" s="51" t="s">
        <v>2356</v>
      </c>
      <c r="U4767" s="51" t="s">
        <v>4351</v>
      </c>
      <c r="V4767" s="51" t="s">
        <v>2365</v>
      </c>
      <c r="W4767" s="51" t="s">
        <v>8848</v>
      </c>
      <c r="X4767" s="51" t="s">
        <v>2359</v>
      </c>
    </row>
    <row r="4768" customFormat="false" ht="14.25" hidden="true" customHeight="false" outlineLevel="0" collapsed="false">
      <c r="A4768" s="49" t="s">
        <v>2349</v>
      </c>
      <c r="B4768" s="49" t="s">
        <v>2350</v>
      </c>
      <c r="C4768" s="49" t="s">
        <v>8849</v>
      </c>
      <c r="D4768" s="49" t="s">
        <v>2352</v>
      </c>
      <c r="E4768" s="49" t="s">
        <v>4351</v>
      </c>
      <c r="F4768" s="49" t="s">
        <v>4352</v>
      </c>
      <c r="G4768" s="49" t="n">
        <v>0</v>
      </c>
      <c r="H4768" s="0" t="n">
        <v>0</v>
      </c>
      <c r="M4768" s="51" t="s">
        <v>8829</v>
      </c>
      <c r="N4768" s="49" t="n">
        <v>0</v>
      </c>
      <c r="O4768" s="53" t="n">
        <v>45860.6499537037</v>
      </c>
      <c r="P4768" s="53" t="n">
        <v>45865.6365972222</v>
      </c>
      <c r="Q4768" s="53" t="n">
        <v>45860.6499537037</v>
      </c>
      <c r="R4768" s="0" t="n">
        <v>0</v>
      </c>
      <c r="S4768" s="51" t="s">
        <v>2356</v>
      </c>
      <c r="T4768" s="51" t="s">
        <v>2356</v>
      </c>
      <c r="U4768" s="51" t="s">
        <v>4351</v>
      </c>
      <c r="V4768" s="51" t="s">
        <v>2365</v>
      </c>
      <c r="W4768" s="51" t="s">
        <v>8274</v>
      </c>
      <c r="X4768" s="51" t="s">
        <v>2359</v>
      </c>
    </row>
    <row r="4769" customFormat="false" ht="14.25" hidden="true" customHeight="false" outlineLevel="0" collapsed="false">
      <c r="A4769" s="49" t="s">
        <v>2349</v>
      </c>
      <c r="B4769" s="49" t="s">
        <v>2350</v>
      </c>
      <c r="C4769" s="49" t="s">
        <v>8850</v>
      </c>
      <c r="D4769" s="49" t="s">
        <v>2352</v>
      </c>
      <c r="E4769" s="49" t="s">
        <v>4351</v>
      </c>
      <c r="F4769" s="49" t="s">
        <v>4352</v>
      </c>
      <c r="G4769" s="49" t="n">
        <v>0</v>
      </c>
      <c r="H4769" s="0" t="n">
        <v>0</v>
      </c>
      <c r="M4769" s="51" t="s">
        <v>8829</v>
      </c>
      <c r="N4769" s="49" t="n">
        <v>0</v>
      </c>
      <c r="O4769" s="53" t="n">
        <v>45860.6502662037</v>
      </c>
      <c r="P4769" s="53" t="n">
        <v>45864.5093287037</v>
      </c>
      <c r="Q4769" s="53" t="n">
        <v>45860.6502662037</v>
      </c>
      <c r="R4769" s="0" t="n">
        <v>0</v>
      </c>
      <c r="S4769" s="51" t="s">
        <v>2356</v>
      </c>
      <c r="T4769" s="51" t="s">
        <v>2356</v>
      </c>
      <c r="U4769" s="51" t="s">
        <v>4351</v>
      </c>
      <c r="V4769" s="51" t="s">
        <v>2365</v>
      </c>
      <c r="W4769" s="51" t="s">
        <v>8276</v>
      </c>
      <c r="X4769" s="51" t="s">
        <v>2359</v>
      </c>
    </row>
    <row r="4770" customFormat="false" ht="14.25" hidden="true" customHeight="false" outlineLevel="0" collapsed="false">
      <c r="A4770" s="49" t="s">
        <v>2349</v>
      </c>
      <c r="B4770" s="49" t="s">
        <v>2350</v>
      </c>
      <c r="C4770" s="49" t="s">
        <v>8851</v>
      </c>
      <c r="D4770" s="49" t="s">
        <v>2352</v>
      </c>
      <c r="E4770" s="49" t="s">
        <v>4351</v>
      </c>
      <c r="F4770" s="49" t="s">
        <v>4352</v>
      </c>
      <c r="G4770" s="49" t="n">
        <v>0</v>
      </c>
      <c r="H4770" s="0" t="n">
        <v>0</v>
      </c>
      <c r="M4770" s="51" t="s">
        <v>8829</v>
      </c>
      <c r="N4770" s="49" t="n">
        <v>0</v>
      </c>
      <c r="O4770" s="53" t="n">
        <v>45860.6501388889</v>
      </c>
      <c r="P4770" s="53" t="n">
        <v>45864.5093981482</v>
      </c>
      <c r="Q4770" s="53" t="n">
        <v>45860.6501388889</v>
      </c>
      <c r="R4770" s="0" t="n">
        <v>0</v>
      </c>
      <c r="S4770" s="51" t="s">
        <v>2356</v>
      </c>
      <c r="T4770" s="51" t="s">
        <v>2356</v>
      </c>
      <c r="U4770" s="51" t="s">
        <v>4351</v>
      </c>
      <c r="V4770" s="51" t="s">
        <v>2365</v>
      </c>
      <c r="W4770" s="51" t="s">
        <v>8278</v>
      </c>
      <c r="X4770" s="51" t="s">
        <v>2359</v>
      </c>
    </row>
    <row r="4771" customFormat="false" ht="14.25" hidden="true" customHeight="false" outlineLevel="0" collapsed="false">
      <c r="A4771" s="49" t="s">
        <v>2349</v>
      </c>
      <c r="B4771" s="49" t="s">
        <v>2350</v>
      </c>
      <c r="C4771" s="49" t="s">
        <v>8852</v>
      </c>
      <c r="D4771" s="49" t="s">
        <v>2352</v>
      </c>
      <c r="E4771" s="49" t="str">
        <f aca="false">"12363202"</f>
        <v>12363202</v>
      </c>
      <c r="F4771" s="49" t="s">
        <v>7041</v>
      </c>
      <c r="G4771" s="49" t="n">
        <v>0</v>
      </c>
      <c r="H4771" s="0" t="n">
        <v>0</v>
      </c>
      <c r="M4771" s="51" t="s">
        <v>8853</v>
      </c>
      <c r="N4771" s="49" t="n">
        <v>0</v>
      </c>
      <c r="O4771" s="53" t="n">
        <v>45864.3800231482</v>
      </c>
      <c r="P4771" s="53" t="n">
        <v>45866.4855324074</v>
      </c>
      <c r="Q4771" s="53" t="n">
        <v>45864.3800231482</v>
      </c>
      <c r="R4771" s="0" t="n">
        <v>0</v>
      </c>
      <c r="S4771" s="51" t="s">
        <v>2394</v>
      </c>
      <c r="T4771" s="51" t="s">
        <v>2394</v>
      </c>
      <c r="U4771" s="0" t="str">
        <f aca="false">"12363202"</f>
        <v>12363202</v>
      </c>
      <c r="V4771" s="51" t="s">
        <v>2365</v>
      </c>
      <c r="W4771" s="51" t="s">
        <v>8854</v>
      </c>
      <c r="X4771" s="51" t="s">
        <v>2359</v>
      </c>
    </row>
    <row r="4772" customFormat="false" ht="14.25" hidden="true" customHeight="false" outlineLevel="0" collapsed="false">
      <c r="A4772" s="49" t="s">
        <v>2349</v>
      </c>
      <c r="B4772" s="49" t="s">
        <v>2350</v>
      </c>
      <c r="C4772" s="49" t="s">
        <v>8855</v>
      </c>
      <c r="D4772" s="49" t="s">
        <v>2352</v>
      </c>
      <c r="E4772" s="49" t="s">
        <v>4124</v>
      </c>
      <c r="F4772" s="49" t="s">
        <v>4125</v>
      </c>
      <c r="G4772" s="49" t="n">
        <v>0</v>
      </c>
      <c r="H4772" s="0" t="n">
        <v>0</v>
      </c>
      <c r="M4772" s="51" t="s">
        <v>8856</v>
      </c>
      <c r="N4772" s="49" t="n">
        <v>0</v>
      </c>
      <c r="O4772" s="53" t="n">
        <v>45862.4770601852</v>
      </c>
      <c r="P4772" s="53" t="n">
        <v>45987.474837963</v>
      </c>
      <c r="Q4772" s="53" t="n">
        <v>45862.4770601852</v>
      </c>
      <c r="R4772" s="0" t="n">
        <v>0</v>
      </c>
      <c r="S4772" s="51" t="s">
        <v>2356</v>
      </c>
      <c r="T4772" s="51" t="s">
        <v>2356</v>
      </c>
      <c r="U4772" s="51" t="s">
        <v>4124</v>
      </c>
      <c r="V4772" s="51" t="s">
        <v>2365</v>
      </c>
      <c r="W4772" s="51" t="s">
        <v>5317</v>
      </c>
      <c r="X4772" s="51" t="s">
        <v>2359</v>
      </c>
    </row>
    <row r="4773" customFormat="false" ht="14.25" hidden="true" customHeight="false" outlineLevel="0" collapsed="false">
      <c r="A4773" s="49" t="s">
        <v>2349</v>
      </c>
      <c r="B4773" s="49" t="s">
        <v>2350</v>
      </c>
      <c r="C4773" s="49" t="s">
        <v>8857</v>
      </c>
      <c r="D4773" s="49" t="s">
        <v>2352</v>
      </c>
      <c r="E4773" s="49" t="str">
        <f aca="false">"90160510800"</f>
        <v>90160510800</v>
      </c>
      <c r="F4773" s="49" t="s">
        <v>8858</v>
      </c>
      <c r="G4773" s="49" t="n">
        <v>0</v>
      </c>
      <c r="H4773" s="0" t="n">
        <v>0</v>
      </c>
      <c r="M4773" s="51" t="s">
        <v>8859</v>
      </c>
      <c r="N4773" s="49" t="n">
        <v>0</v>
      </c>
      <c r="O4773" s="53" t="n">
        <v>45864.3777314815</v>
      </c>
      <c r="P4773" s="53" t="n">
        <v>45869.8546875</v>
      </c>
      <c r="Q4773" s="53" t="n">
        <v>45864.3777314815</v>
      </c>
      <c r="R4773" s="0" t="n">
        <v>0</v>
      </c>
      <c r="S4773" s="51" t="s">
        <v>2394</v>
      </c>
      <c r="T4773" s="51" t="s">
        <v>2394</v>
      </c>
      <c r="U4773" s="0" t="str">
        <f aca="false">"90160510800"</f>
        <v>90160510800</v>
      </c>
      <c r="V4773" s="51" t="s">
        <v>7596</v>
      </c>
      <c r="W4773" s="51" t="s">
        <v>4989</v>
      </c>
      <c r="X4773" s="51" t="s">
        <v>2359</v>
      </c>
    </row>
    <row r="4774" customFormat="false" ht="14.25" hidden="true" customHeight="false" outlineLevel="0" collapsed="false">
      <c r="A4774" s="49" t="s">
        <v>2349</v>
      </c>
      <c r="B4774" s="49" t="s">
        <v>2350</v>
      </c>
      <c r="C4774" s="49" t="s">
        <v>8860</v>
      </c>
      <c r="D4774" s="49" t="s">
        <v>2352</v>
      </c>
      <c r="E4774" s="49" t="str">
        <f aca="false">"90160510800"</f>
        <v>90160510800</v>
      </c>
      <c r="F4774" s="49" t="s">
        <v>8858</v>
      </c>
      <c r="G4774" s="49" t="n">
        <v>0</v>
      </c>
      <c r="H4774" s="0" t="n">
        <v>0</v>
      </c>
      <c r="M4774" s="51" t="s">
        <v>8859</v>
      </c>
      <c r="N4774" s="49" t="n">
        <v>0</v>
      </c>
      <c r="O4774" s="53" t="n">
        <v>45864.3774189815</v>
      </c>
      <c r="P4774" s="53" t="n">
        <v>45869.8757523148</v>
      </c>
      <c r="Q4774" s="53" t="n">
        <v>45864.3774189815</v>
      </c>
      <c r="R4774" s="0" t="n">
        <v>0</v>
      </c>
      <c r="S4774" s="51" t="s">
        <v>2394</v>
      </c>
      <c r="T4774" s="51" t="s">
        <v>2394</v>
      </c>
      <c r="U4774" s="0" t="str">
        <f aca="false">"90160510800"</f>
        <v>90160510800</v>
      </c>
      <c r="V4774" s="51" t="s">
        <v>7596</v>
      </c>
      <c r="W4774" s="51" t="s">
        <v>4763</v>
      </c>
      <c r="X4774" s="51" t="s">
        <v>2359</v>
      </c>
    </row>
    <row r="4775" customFormat="false" ht="14.25" hidden="true" customHeight="false" outlineLevel="0" collapsed="false">
      <c r="A4775" s="49" t="s">
        <v>2349</v>
      </c>
      <c r="B4775" s="49" t="s">
        <v>2350</v>
      </c>
      <c r="C4775" s="49" t="s">
        <v>8861</v>
      </c>
      <c r="D4775" s="49" t="s">
        <v>2352</v>
      </c>
      <c r="E4775" s="49" t="str">
        <f aca="false">"90160510800"</f>
        <v>90160510800</v>
      </c>
      <c r="F4775" s="49" t="s">
        <v>8858</v>
      </c>
      <c r="G4775" s="49" t="n">
        <v>0</v>
      </c>
      <c r="H4775" s="0" t="n">
        <v>0</v>
      </c>
      <c r="M4775" s="51" t="s">
        <v>8859</v>
      </c>
      <c r="N4775" s="49" t="n">
        <v>0</v>
      </c>
      <c r="O4775" s="53" t="n">
        <v>45864.3770833333</v>
      </c>
      <c r="P4775" s="53" t="n">
        <v>45869.8697569444</v>
      </c>
      <c r="Q4775" s="53" t="n">
        <v>45864.3770833333</v>
      </c>
      <c r="R4775" s="0" t="n">
        <v>0</v>
      </c>
      <c r="S4775" s="51" t="s">
        <v>2394</v>
      </c>
      <c r="T4775" s="51" t="s">
        <v>2394</v>
      </c>
      <c r="U4775" s="0" t="str">
        <f aca="false">"90160510800"</f>
        <v>90160510800</v>
      </c>
      <c r="V4775" s="51" t="s">
        <v>7596</v>
      </c>
      <c r="W4775" s="51" t="s">
        <v>4575</v>
      </c>
      <c r="X4775" s="51" t="s">
        <v>2359</v>
      </c>
    </row>
    <row r="4776" customFormat="false" ht="14.25" hidden="true" customHeight="false" outlineLevel="0" collapsed="false">
      <c r="A4776" s="49" t="s">
        <v>2349</v>
      </c>
      <c r="B4776" s="49" t="s">
        <v>2350</v>
      </c>
      <c r="C4776" s="49" t="s">
        <v>8862</v>
      </c>
      <c r="D4776" s="49" t="s">
        <v>2352</v>
      </c>
      <c r="E4776" s="49" t="str">
        <f aca="false">"12393792"</f>
        <v>12393792</v>
      </c>
      <c r="F4776" s="49" t="s">
        <v>2368</v>
      </c>
      <c r="G4776" s="49" t="n">
        <v>0</v>
      </c>
      <c r="H4776" s="0" t="n">
        <v>0</v>
      </c>
      <c r="M4776" s="51" t="s">
        <v>8863</v>
      </c>
      <c r="N4776" s="49" t="n">
        <v>0</v>
      </c>
      <c r="O4776" s="53" t="n">
        <v>45866.6188425926</v>
      </c>
      <c r="P4776" s="53" t="n">
        <v>45872.3556828704</v>
      </c>
      <c r="Q4776" s="53" t="n">
        <v>45866.6188425926</v>
      </c>
      <c r="R4776" s="0" t="n">
        <v>0</v>
      </c>
      <c r="S4776" s="51" t="s">
        <v>2416</v>
      </c>
      <c r="T4776" s="51" t="s">
        <v>2416</v>
      </c>
      <c r="U4776" s="0" t="str">
        <f aca="false">"12393792"</f>
        <v>12393792</v>
      </c>
      <c r="V4776" s="51" t="s">
        <v>2365</v>
      </c>
      <c r="W4776" s="51" t="s">
        <v>5532</v>
      </c>
      <c r="X4776" s="51" t="s">
        <v>2359</v>
      </c>
    </row>
    <row r="4777" customFormat="false" ht="14.25" hidden="true" customHeight="false" outlineLevel="0" collapsed="false">
      <c r="A4777" s="49" t="s">
        <v>2349</v>
      </c>
      <c r="B4777" s="49" t="s">
        <v>2350</v>
      </c>
      <c r="C4777" s="49" t="s">
        <v>8864</v>
      </c>
      <c r="D4777" s="49" t="s">
        <v>2352</v>
      </c>
      <c r="E4777" s="49" t="str">
        <f aca="false">"12363202"</f>
        <v>12363202</v>
      </c>
      <c r="F4777" s="49" t="s">
        <v>7041</v>
      </c>
      <c r="G4777" s="49" t="n">
        <v>0</v>
      </c>
      <c r="H4777" s="0" t="n">
        <v>0</v>
      </c>
      <c r="M4777" s="51" t="s">
        <v>8865</v>
      </c>
      <c r="N4777" s="49" t="n">
        <v>0</v>
      </c>
      <c r="O4777" s="53" t="n">
        <v>45803.4577662037</v>
      </c>
      <c r="P4777" s="53" t="n">
        <v>45825.8723148148</v>
      </c>
      <c r="Q4777" s="53" t="n">
        <v>45803.4577662037</v>
      </c>
      <c r="R4777" s="0" t="n">
        <v>0</v>
      </c>
      <c r="S4777" s="51" t="s">
        <v>2416</v>
      </c>
      <c r="T4777" s="51" t="s">
        <v>2416</v>
      </c>
      <c r="U4777" s="0" t="str">
        <f aca="false">"12363202"</f>
        <v>12363202</v>
      </c>
      <c r="V4777" s="51" t="s">
        <v>2365</v>
      </c>
      <c r="W4777" s="51" t="s">
        <v>7946</v>
      </c>
      <c r="X4777" s="51" t="s">
        <v>2359</v>
      </c>
    </row>
    <row r="4778" customFormat="false" ht="14.25" hidden="true" customHeight="false" outlineLevel="0" collapsed="false">
      <c r="A4778" s="49" t="s">
        <v>2349</v>
      </c>
      <c r="B4778" s="49" t="s">
        <v>2350</v>
      </c>
      <c r="C4778" s="49" t="s">
        <v>8866</v>
      </c>
      <c r="D4778" s="49" t="s">
        <v>2352</v>
      </c>
      <c r="E4778" s="49" t="str">
        <f aca="false">"10859585004074"</f>
        <v>10859585004074</v>
      </c>
      <c r="F4778" s="49" t="s">
        <v>7737</v>
      </c>
      <c r="G4778" s="49" t="n">
        <v>0</v>
      </c>
      <c r="H4778" s="0" t="n">
        <v>0</v>
      </c>
      <c r="M4778" s="51" t="s">
        <v>8867</v>
      </c>
      <c r="N4778" s="49" t="n">
        <v>0</v>
      </c>
      <c r="O4778" s="53" t="n">
        <v>45886.6395138889</v>
      </c>
      <c r="P4778" s="53" t="n">
        <v>45960.7912384259</v>
      </c>
      <c r="Q4778" s="53" t="n">
        <v>45886.6395138889</v>
      </c>
      <c r="R4778" s="0" t="n">
        <v>0</v>
      </c>
      <c r="S4778" s="51" t="s">
        <v>2416</v>
      </c>
      <c r="T4778" s="51" t="s">
        <v>2416</v>
      </c>
      <c r="U4778" s="0" t="str">
        <f aca="false">"10859585004074"</f>
        <v>10859585004074</v>
      </c>
      <c r="V4778" s="51" t="s">
        <v>7596</v>
      </c>
      <c r="W4778" s="51" t="s">
        <v>8868</v>
      </c>
      <c r="X4778" s="51" t="s">
        <v>2359</v>
      </c>
    </row>
    <row r="4779" customFormat="false" ht="14.25" hidden="true" customHeight="false" outlineLevel="0" collapsed="false">
      <c r="A4779" s="49" t="s">
        <v>2349</v>
      </c>
      <c r="B4779" s="49" t="s">
        <v>2350</v>
      </c>
      <c r="C4779" s="49" t="s">
        <v>8869</v>
      </c>
      <c r="D4779" s="49" t="s">
        <v>2352</v>
      </c>
      <c r="E4779" s="49" t="str">
        <f aca="false">"10859585004074"</f>
        <v>10859585004074</v>
      </c>
      <c r="F4779" s="49" t="s">
        <v>7737</v>
      </c>
      <c r="G4779" s="49" t="n">
        <v>0</v>
      </c>
      <c r="H4779" s="0" t="n">
        <v>0</v>
      </c>
      <c r="M4779" s="51" t="s">
        <v>8867</v>
      </c>
      <c r="N4779" s="49" t="n">
        <v>0</v>
      </c>
      <c r="O4779" s="53" t="n">
        <v>45886.6412847222</v>
      </c>
      <c r="P4779" s="53" t="n">
        <v>45981.7765162037</v>
      </c>
      <c r="Q4779" s="53" t="n">
        <v>45886.6412847222</v>
      </c>
      <c r="R4779" s="0" t="n">
        <v>0</v>
      </c>
      <c r="S4779" s="51" t="s">
        <v>2416</v>
      </c>
      <c r="T4779" s="51" t="s">
        <v>2416</v>
      </c>
      <c r="U4779" s="0" t="str">
        <f aca="false">"10859585004074"</f>
        <v>10859585004074</v>
      </c>
      <c r="V4779" s="51" t="s">
        <v>7596</v>
      </c>
      <c r="W4779" s="51" t="s">
        <v>8870</v>
      </c>
      <c r="X4779" s="51" t="s">
        <v>2359</v>
      </c>
    </row>
    <row r="4780" customFormat="false" ht="14.25" hidden="true" customHeight="false" outlineLevel="0" collapsed="false">
      <c r="A4780" s="49" t="s">
        <v>2349</v>
      </c>
      <c r="B4780" s="49" t="s">
        <v>2350</v>
      </c>
      <c r="C4780" s="49" t="s">
        <v>8871</v>
      </c>
      <c r="D4780" s="49" t="s">
        <v>2352</v>
      </c>
      <c r="E4780" s="49" t="str">
        <f aca="false">"10859585004074"</f>
        <v>10859585004074</v>
      </c>
      <c r="F4780" s="49" t="s">
        <v>7737</v>
      </c>
      <c r="G4780" s="49" t="n">
        <v>0</v>
      </c>
      <c r="H4780" s="0" t="n">
        <v>0</v>
      </c>
      <c r="M4780" s="51" t="s">
        <v>8867</v>
      </c>
      <c r="N4780" s="49" t="n">
        <v>0</v>
      </c>
      <c r="O4780" s="53" t="n">
        <v>45886.6415162037</v>
      </c>
      <c r="P4780" s="53" t="n">
        <v>45927.3230902778</v>
      </c>
      <c r="Q4780" s="53" t="n">
        <v>45886.6415162037</v>
      </c>
      <c r="R4780" s="0" t="n">
        <v>0</v>
      </c>
      <c r="S4780" s="51" t="s">
        <v>2416</v>
      </c>
      <c r="T4780" s="51" t="s">
        <v>2416</v>
      </c>
      <c r="U4780" s="0" t="str">
        <f aca="false">"10859585004074"</f>
        <v>10859585004074</v>
      </c>
      <c r="V4780" s="51" t="s">
        <v>7596</v>
      </c>
      <c r="W4780" s="51" t="s">
        <v>4503</v>
      </c>
      <c r="X4780" s="51" t="s">
        <v>2359</v>
      </c>
    </row>
    <row r="4781" customFormat="false" ht="14.25" hidden="true" customHeight="false" outlineLevel="0" collapsed="false">
      <c r="A4781" s="49" t="s">
        <v>2349</v>
      </c>
      <c r="B4781" s="49" t="s">
        <v>2350</v>
      </c>
      <c r="C4781" s="49" t="s">
        <v>8872</v>
      </c>
      <c r="D4781" s="49" t="s">
        <v>2352</v>
      </c>
      <c r="E4781" s="49" t="str">
        <f aca="false">"10859585004074"</f>
        <v>10859585004074</v>
      </c>
      <c r="F4781" s="49" t="s">
        <v>7737</v>
      </c>
      <c r="G4781" s="49" t="n">
        <v>0</v>
      </c>
      <c r="H4781" s="0" t="n">
        <v>0</v>
      </c>
      <c r="M4781" s="51" t="s">
        <v>8867</v>
      </c>
      <c r="N4781" s="49" t="n">
        <v>0</v>
      </c>
      <c r="O4781" s="53" t="n">
        <v>45886.6400347222</v>
      </c>
      <c r="P4781" s="53" t="n">
        <v>45981.7781481482</v>
      </c>
      <c r="Q4781" s="53" t="n">
        <v>45886.6400347222</v>
      </c>
      <c r="R4781" s="0" t="n">
        <v>0</v>
      </c>
      <c r="S4781" s="51" t="s">
        <v>2416</v>
      </c>
      <c r="T4781" s="51" t="s">
        <v>2416</v>
      </c>
      <c r="U4781" s="0" t="str">
        <f aca="false">"10859585004074"</f>
        <v>10859585004074</v>
      </c>
      <c r="V4781" s="51" t="s">
        <v>7596</v>
      </c>
      <c r="W4781" s="51" t="s">
        <v>8873</v>
      </c>
      <c r="X4781" s="51" t="s">
        <v>2359</v>
      </c>
    </row>
    <row r="4782" customFormat="false" ht="14.25" hidden="true" customHeight="false" outlineLevel="0" collapsed="false">
      <c r="A4782" s="49" t="s">
        <v>2349</v>
      </c>
      <c r="B4782" s="49" t="s">
        <v>2350</v>
      </c>
      <c r="C4782" s="49" t="s">
        <v>8874</v>
      </c>
      <c r="D4782" s="49" t="s">
        <v>2352</v>
      </c>
      <c r="E4782" s="49" t="s">
        <v>4012</v>
      </c>
      <c r="F4782" s="49" t="s">
        <v>4013</v>
      </c>
      <c r="G4782" s="49" t="n">
        <v>0</v>
      </c>
      <c r="H4782" s="0" t="n">
        <v>0</v>
      </c>
      <c r="M4782" s="51" t="s">
        <v>8875</v>
      </c>
      <c r="N4782" s="49" t="n">
        <v>0</v>
      </c>
      <c r="O4782" s="53" t="n">
        <v>45868.5071527778</v>
      </c>
      <c r="P4782" s="53" t="n">
        <v>45881.4895833333</v>
      </c>
      <c r="Q4782" s="53" t="n">
        <v>45868.5071527778</v>
      </c>
      <c r="R4782" s="0" t="n">
        <v>0</v>
      </c>
      <c r="S4782" s="51" t="s">
        <v>2416</v>
      </c>
      <c r="T4782" s="51" t="s">
        <v>2416</v>
      </c>
      <c r="U4782" s="51" t="s">
        <v>4012</v>
      </c>
      <c r="V4782" s="51" t="s">
        <v>2365</v>
      </c>
      <c r="W4782" s="51" t="s">
        <v>7156</v>
      </c>
      <c r="X4782" s="51" t="s">
        <v>2359</v>
      </c>
    </row>
    <row r="4783" customFormat="false" ht="14.25" hidden="true" customHeight="false" outlineLevel="0" collapsed="false">
      <c r="A4783" s="49" t="s">
        <v>2349</v>
      </c>
      <c r="B4783" s="49" t="s">
        <v>2350</v>
      </c>
      <c r="C4783" s="49" t="s">
        <v>8876</v>
      </c>
      <c r="D4783" s="49" t="s">
        <v>2352</v>
      </c>
      <c r="E4783" s="49" t="s">
        <v>4140</v>
      </c>
      <c r="F4783" s="49" t="s">
        <v>4141</v>
      </c>
      <c r="G4783" s="49" t="n">
        <v>0</v>
      </c>
      <c r="H4783" s="0" t="n">
        <v>0</v>
      </c>
      <c r="M4783" s="51" t="s">
        <v>8877</v>
      </c>
      <c r="N4783" s="49" t="n">
        <v>0</v>
      </c>
      <c r="O4783" s="53" t="n">
        <v>45804.5985763889</v>
      </c>
      <c r="P4783" s="53" t="n">
        <v>45809.6181481482</v>
      </c>
      <c r="Q4783" s="53" t="n">
        <v>45804.5985763889</v>
      </c>
      <c r="R4783" s="0" t="n">
        <v>0</v>
      </c>
      <c r="S4783" s="51" t="s">
        <v>2356</v>
      </c>
      <c r="T4783" s="51" t="s">
        <v>2356</v>
      </c>
      <c r="U4783" s="51" t="s">
        <v>4140</v>
      </c>
      <c r="V4783" s="51" t="s">
        <v>3740</v>
      </c>
      <c r="W4783" s="51" t="s">
        <v>8276</v>
      </c>
      <c r="X4783" s="51" t="s">
        <v>2359</v>
      </c>
    </row>
    <row r="4784" customFormat="false" ht="14.25" hidden="true" customHeight="false" outlineLevel="0" collapsed="false">
      <c r="A4784" s="49" t="s">
        <v>2349</v>
      </c>
      <c r="B4784" s="49" t="s">
        <v>2350</v>
      </c>
      <c r="C4784" s="49" t="s">
        <v>8878</v>
      </c>
      <c r="D4784" s="49" t="s">
        <v>2352</v>
      </c>
      <c r="E4784" s="49" t="s">
        <v>4140</v>
      </c>
      <c r="F4784" s="49" t="s">
        <v>4141</v>
      </c>
      <c r="G4784" s="49" t="n">
        <v>0</v>
      </c>
      <c r="H4784" s="0" t="n">
        <v>0</v>
      </c>
      <c r="M4784" s="51" t="s">
        <v>8877</v>
      </c>
      <c r="N4784" s="49" t="n">
        <v>0</v>
      </c>
      <c r="O4784" s="53" t="n">
        <v>45804.5983333333</v>
      </c>
      <c r="P4784" s="53" t="n">
        <v>45852.6162962963</v>
      </c>
      <c r="Q4784" s="53" t="n">
        <v>45804.5983333333</v>
      </c>
      <c r="R4784" s="0" t="n">
        <v>0</v>
      </c>
      <c r="S4784" s="51" t="s">
        <v>2356</v>
      </c>
      <c r="T4784" s="51" t="s">
        <v>2356</v>
      </c>
      <c r="U4784" s="51" t="s">
        <v>4140</v>
      </c>
      <c r="V4784" s="51" t="s">
        <v>3740</v>
      </c>
      <c r="W4784" s="51" t="s">
        <v>8278</v>
      </c>
      <c r="X4784" s="51" t="s">
        <v>2359</v>
      </c>
    </row>
    <row r="4785" customFormat="false" ht="14.25" hidden="true" customHeight="false" outlineLevel="0" collapsed="false">
      <c r="A4785" s="49" t="s">
        <v>2349</v>
      </c>
      <c r="B4785" s="49" t="s">
        <v>2350</v>
      </c>
      <c r="C4785" s="49" t="s">
        <v>8879</v>
      </c>
      <c r="D4785" s="49" t="s">
        <v>2352</v>
      </c>
      <c r="E4785" s="49" t="s">
        <v>4140</v>
      </c>
      <c r="F4785" s="49" t="s">
        <v>4141</v>
      </c>
      <c r="G4785" s="49" t="n">
        <v>0</v>
      </c>
      <c r="H4785" s="0" t="n">
        <v>0</v>
      </c>
      <c r="M4785" s="51" t="s">
        <v>8877</v>
      </c>
      <c r="N4785" s="49" t="n">
        <v>0</v>
      </c>
      <c r="O4785" s="53" t="n">
        <v>45804.5981944444</v>
      </c>
      <c r="P4785" s="53" t="n">
        <v>45883.6129513889</v>
      </c>
      <c r="Q4785" s="53" t="n">
        <v>45804.5981944444</v>
      </c>
      <c r="R4785" s="0" t="n">
        <v>0</v>
      </c>
      <c r="S4785" s="51" t="s">
        <v>2356</v>
      </c>
      <c r="T4785" s="51" t="s">
        <v>2356</v>
      </c>
      <c r="U4785" s="51" t="s">
        <v>4140</v>
      </c>
      <c r="V4785" s="51" t="s">
        <v>3740</v>
      </c>
      <c r="W4785" s="51" t="s">
        <v>8880</v>
      </c>
      <c r="X4785" s="51" t="s">
        <v>2359</v>
      </c>
    </row>
    <row r="4786" customFormat="false" ht="14.25" hidden="true" customHeight="false" outlineLevel="0" collapsed="false">
      <c r="A4786" s="49" t="s">
        <v>2349</v>
      </c>
      <c r="B4786" s="49" t="s">
        <v>2350</v>
      </c>
      <c r="C4786" s="49" t="s">
        <v>8881</v>
      </c>
      <c r="D4786" s="49" t="s">
        <v>2352</v>
      </c>
      <c r="E4786" s="49" t="s">
        <v>4140</v>
      </c>
      <c r="F4786" s="49" t="s">
        <v>4141</v>
      </c>
      <c r="G4786" s="49" t="n">
        <v>0</v>
      </c>
      <c r="H4786" s="0" t="n">
        <v>0</v>
      </c>
      <c r="M4786" s="51" t="s">
        <v>8877</v>
      </c>
      <c r="N4786" s="49" t="n">
        <v>0</v>
      </c>
      <c r="O4786" s="53" t="n">
        <v>45804.5980208333</v>
      </c>
      <c r="P4786" s="53" t="n">
        <v>45974.6065277778</v>
      </c>
      <c r="Q4786" s="53" t="n">
        <v>45804.5980208333</v>
      </c>
      <c r="R4786" s="0" t="n">
        <v>0</v>
      </c>
      <c r="S4786" s="51" t="s">
        <v>2356</v>
      </c>
      <c r="T4786" s="51" t="s">
        <v>2356</v>
      </c>
      <c r="U4786" s="51" t="s">
        <v>4140</v>
      </c>
      <c r="V4786" s="51" t="s">
        <v>3740</v>
      </c>
      <c r="W4786" s="51" t="s">
        <v>8880</v>
      </c>
      <c r="X4786" s="51" t="s">
        <v>2359</v>
      </c>
    </row>
    <row r="4787" customFormat="false" ht="14.25" hidden="true" customHeight="false" outlineLevel="0" collapsed="false">
      <c r="A4787" s="49" t="s">
        <v>2349</v>
      </c>
      <c r="B4787" s="49" t="s">
        <v>2350</v>
      </c>
      <c r="C4787" s="49" t="s">
        <v>8882</v>
      </c>
      <c r="D4787" s="49" t="s">
        <v>2352</v>
      </c>
      <c r="E4787" s="49" t="s">
        <v>4115</v>
      </c>
      <c r="F4787" s="49" t="s">
        <v>4116</v>
      </c>
      <c r="G4787" s="49" t="n">
        <v>0</v>
      </c>
      <c r="H4787" s="0" t="n">
        <v>0</v>
      </c>
      <c r="M4787" s="51" t="s">
        <v>8877</v>
      </c>
      <c r="N4787" s="49" t="n">
        <v>0</v>
      </c>
      <c r="O4787" s="53" t="n">
        <v>45804.5997685185</v>
      </c>
      <c r="P4787" s="53" t="n">
        <v>45831.8509837963</v>
      </c>
      <c r="Q4787" s="53" t="n">
        <v>45804.5997685185</v>
      </c>
      <c r="R4787" s="0" t="n">
        <v>0</v>
      </c>
      <c r="S4787" s="51" t="s">
        <v>2356</v>
      </c>
      <c r="T4787" s="51" t="s">
        <v>2356</v>
      </c>
      <c r="U4787" s="51" t="s">
        <v>4115</v>
      </c>
      <c r="V4787" s="51" t="s">
        <v>2365</v>
      </c>
      <c r="W4787" s="51" t="s">
        <v>4927</v>
      </c>
      <c r="X4787" s="51" t="s">
        <v>2359</v>
      </c>
    </row>
    <row r="4788" customFormat="false" ht="14.25" hidden="true" customHeight="false" outlineLevel="0" collapsed="false">
      <c r="A4788" s="49" t="s">
        <v>2349</v>
      </c>
      <c r="B4788" s="49" t="s">
        <v>2350</v>
      </c>
      <c r="C4788" s="49" t="s">
        <v>8883</v>
      </c>
      <c r="D4788" s="49" t="s">
        <v>2352</v>
      </c>
      <c r="E4788" s="49" t="s">
        <v>4115</v>
      </c>
      <c r="F4788" s="49" t="s">
        <v>4116</v>
      </c>
      <c r="G4788" s="49" t="n">
        <v>0</v>
      </c>
      <c r="H4788" s="0" t="n">
        <v>0</v>
      </c>
      <c r="M4788" s="51" t="s">
        <v>8877</v>
      </c>
      <c r="N4788" s="49" t="n">
        <v>0</v>
      </c>
      <c r="O4788" s="53" t="n">
        <v>45804.5995486111</v>
      </c>
      <c r="P4788" s="53" t="n">
        <v>45808.5246412037</v>
      </c>
      <c r="Q4788" s="53" t="n">
        <v>45804.5995486111</v>
      </c>
      <c r="R4788" s="0" t="n">
        <v>0</v>
      </c>
      <c r="S4788" s="51" t="s">
        <v>2356</v>
      </c>
      <c r="T4788" s="51" t="s">
        <v>2356</v>
      </c>
      <c r="U4788" s="51" t="s">
        <v>4115</v>
      </c>
      <c r="V4788" s="51" t="s">
        <v>2365</v>
      </c>
      <c r="W4788" s="51" t="s">
        <v>6817</v>
      </c>
      <c r="X4788" s="51" t="s">
        <v>2359</v>
      </c>
    </row>
    <row r="4789" customFormat="false" ht="14.25" hidden="true" customHeight="false" outlineLevel="0" collapsed="false">
      <c r="A4789" s="49" t="s">
        <v>2349</v>
      </c>
      <c r="B4789" s="49" t="s">
        <v>2350</v>
      </c>
      <c r="C4789" s="49" t="s">
        <v>8884</v>
      </c>
      <c r="D4789" s="49" t="s">
        <v>2352</v>
      </c>
      <c r="E4789" s="49" t="s">
        <v>4124</v>
      </c>
      <c r="F4789" s="49" t="s">
        <v>4125</v>
      </c>
      <c r="G4789" s="49" t="n">
        <v>0</v>
      </c>
      <c r="H4789" s="0" t="n">
        <v>0</v>
      </c>
      <c r="M4789" s="51" t="s">
        <v>8877</v>
      </c>
      <c r="N4789" s="49" t="n">
        <v>0</v>
      </c>
      <c r="O4789" s="53" t="n">
        <v>45804.6019212963</v>
      </c>
      <c r="P4789" s="53" t="n">
        <v>45820.4713078704</v>
      </c>
      <c r="Q4789" s="53" t="n">
        <v>45804.6019212963</v>
      </c>
      <c r="R4789" s="0" t="n">
        <v>0</v>
      </c>
      <c r="S4789" s="51" t="s">
        <v>2356</v>
      </c>
      <c r="T4789" s="51" t="s">
        <v>2356</v>
      </c>
      <c r="U4789" s="51" t="s">
        <v>4124</v>
      </c>
      <c r="V4789" s="51" t="s">
        <v>2365</v>
      </c>
      <c r="W4789" s="51" t="s">
        <v>5405</v>
      </c>
      <c r="X4789" s="51" t="s">
        <v>2359</v>
      </c>
    </row>
    <row r="4790" customFormat="false" ht="14.25" hidden="true" customHeight="false" outlineLevel="0" collapsed="false">
      <c r="A4790" s="49" t="s">
        <v>2349</v>
      </c>
      <c r="B4790" s="49" t="s">
        <v>2350</v>
      </c>
      <c r="C4790" s="49" t="s">
        <v>8885</v>
      </c>
      <c r="D4790" s="49" t="s">
        <v>2352</v>
      </c>
      <c r="E4790" s="49" t="s">
        <v>4124</v>
      </c>
      <c r="F4790" s="49" t="s">
        <v>4125</v>
      </c>
      <c r="G4790" s="49" t="n">
        <v>0</v>
      </c>
      <c r="H4790" s="0" t="n">
        <v>0</v>
      </c>
      <c r="M4790" s="51" t="s">
        <v>8877</v>
      </c>
      <c r="N4790" s="49" t="n">
        <v>0</v>
      </c>
      <c r="O4790" s="53" t="n">
        <v>45804.6017824074</v>
      </c>
      <c r="P4790" s="53" t="n">
        <v>45809.4666898148</v>
      </c>
      <c r="Q4790" s="53" t="n">
        <v>45804.6017824074</v>
      </c>
      <c r="R4790" s="0" t="n">
        <v>0</v>
      </c>
      <c r="S4790" s="51" t="s">
        <v>2356</v>
      </c>
      <c r="T4790" s="51" t="s">
        <v>2356</v>
      </c>
      <c r="U4790" s="51" t="s">
        <v>4124</v>
      </c>
      <c r="V4790" s="51" t="s">
        <v>2365</v>
      </c>
      <c r="W4790" s="51" t="s">
        <v>8886</v>
      </c>
      <c r="X4790" s="51" t="s">
        <v>2359</v>
      </c>
    </row>
    <row r="4791" customFormat="false" ht="14.25" hidden="true" customHeight="false" outlineLevel="0" collapsed="false">
      <c r="A4791" s="49" t="s">
        <v>2349</v>
      </c>
      <c r="B4791" s="49" t="s">
        <v>2350</v>
      </c>
      <c r="C4791" s="49" t="s">
        <v>8887</v>
      </c>
      <c r="D4791" s="49" t="s">
        <v>2352</v>
      </c>
      <c r="E4791" s="49" t="s">
        <v>4148</v>
      </c>
      <c r="F4791" s="49" t="s">
        <v>4149</v>
      </c>
      <c r="G4791" s="49" t="n">
        <v>0</v>
      </c>
      <c r="H4791" s="0" t="n">
        <v>0</v>
      </c>
      <c r="M4791" s="51" t="s">
        <v>8877</v>
      </c>
      <c r="N4791" s="49" t="n">
        <v>0</v>
      </c>
      <c r="O4791" s="53" t="n">
        <v>45804.6004166667</v>
      </c>
      <c r="P4791" s="53" t="n">
        <v>45874.2917476852</v>
      </c>
      <c r="Q4791" s="53" t="n">
        <v>45804.6004166667</v>
      </c>
      <c r="R4791" s="0" t="n">
        <v>0</v>
      </c>
      <c r="S4791" s="51" t="s">
        <v>2356</v>
      </c>
      <c r="T4791" s="51" t="s">
        <v>2356</v>
      </c>
      <c r="U4791" s="51" t="s">
        <v>4148</v>
      </c>
      <c r="V4791" s="51" t="s">
        <v>2365</v>
      </c>
      <c r="W4791" s="51" t="s">
        <v>4792</v>
      </c>
      <c r="X4791" s="51" t="s">
        <v>2359</v>
      </c>
    </row>
    <row r="4792" customFormat="false" ht="14.25" hidden="true" customHeight="false" outlineLevel="0" collapsed="false">
      <c r="A4792" s="49" t="s">
        <v>2349</v>
      </c>
      <c r="B4792" s="49" t="s">
        <v>2350</v>
      </c>
      <c r="C4792" s="49" t="s">
        <v>8888</v>
      </c>
      <c r="D4792" s="49" t="s">
        <v>2352</v>
      </c>
      <c r="E4792" s="49" t="s">
        <v>4148</v>
      </c>
      <c r="F4792" s="49" t="s">
        <v>4149</v>
      </c>
      <c r="G4792" s="49" t="n">
        <v>0</v>
      </c>
      <c r="H4792" s="0" t="n">
        <v>0</v>
      </c>
      <c r="M4792" s="51" t="s">
        <v>8877</v>
      </c>
      <c r="N4792" s="49" t="n">
        <v>0</v>
      </c>
      <c r="O4792" s="53" t="n">
        <v>45804.6008333333</v>
      </c>
      <c r="P4792" s="53" t="n">
        <v>45827.4402083333</v>
      </c>
      <c r="Q4792" s="53" t="n">
        <v>45804.6008333333</v>
      </c>
      <c r="R4792" s="0" t="n">
        <v>0</v>
      </c>
      <c r="S4792" s="51" t="s">
        <v>2356</v>
      </c>
      <c r="T4792" s="51" t="s">
        <v>2356</v>
      </c>
      <c r="U4792" s="51" t="s">
        <v>4148</v>
      </c>
      <c r="V4792" s="51" t="s">
        <v>2365</v>
      </c>
      <c r="W4792" s="51" t="s">
        <v>5317</v>
      </c>
      <c r="X4792" s="51" t="s">
        <v>2359</v>
      </c>
    </row>
    <row r="4793" customFormat="false" ht="14.25" hidden="true" customHeight="false" outlineLevel="0" collapsed="false">
      <c r="A4793" s="49" t="s">
        <v>2349</v>
      </c>
      <c r="B4793" s="49" t="s">
        <v>2350</v>
      </c>
      <c r="C4793" s="49" t="s">
        <v>8889</v>
      </c>
      <c r="D4793" s="49" t="s">
        <v>2352</v>
      </c>
      <c r="E4793" s="49" t="s">
        <v>4124</v>
      </c>
      <c r="F4793" s="49" t="s">
        <v>4125</v>
      </c>
      <c r="G4793" s="49" t="n">
        <v>0</v>
      </c>
      <c r="H4793" s="0" t="n">
        <v>0</v>
      </c>
      <c r="M4793" s="51" t="s">
        <v>8877</v>
      </c>
      <c r="N4793" s="49" t="n">
        <v>0</v>
      </c>
      <c r="O4793" s="53" t="n">
        <v>45804.6021180556</v>
      </c>
      <c r="P4793" s="53" t="n">
        <v>45820.4717824074</v>
      </c>
      <c r="Q4793" s="53" t="n">
        <v>45804.6021180556</v>
      </c>
      <c r="R4793" s="0" t="n">
        <v>0</v>
      </c>
      <c r="S4793" s="51" t="s">
        <v>2356</v>
      </c>
      <c r="T4793" s="51" t="s">
        <v>2356</v>
      </c>
      <c r="U4793" s="51" t="s">
        <v>4124</v>
      </c>
      <c r="V4793" s="51" t="s">
        <v>2365</v>
      </c>
      <c r="W4793" s="51" t="s">
        <v>4010</v>
      </c>
      <c r="X4793" s="51" t="s">
        <v>2359</v>
      </c>
    </row>
    <row r="4794" customFormat="false" ht="14.25" hidden="true" customHeight="false" outlineLevel="0" collapsed="false">
      <c r="A4794" s="49" t="s">
        <v>2349</v>
      </c>
      <c r="B4794" s="49" t="s">
        <v>2350</v>
      </c>
      <c r="C4794" s="49" t="s">
        <v>8890</v>
      </c>
      <c r="D4794" s="49" t="s">
        <v>2352</v>
      </c>
      <c r="E4794" s="49" t="s">
        <v>4115</v>
      </c>
      <c r="F4794" s="49" t="s">
        <v>4116</v>
      </c>
      <c r="G4794" s="49" t="n">
        <v>0</v>
      </c>
      <c r="H4794" s="0" t="n">
        <v>0</v>
      </c>
      <c r="M4794" s="51" t="s">
        <v>8877</v>
      </c>
      <c r="N4794" s="49" t="n">
        <v>0</v>
      </c>
      <c r="O4794" s="53" t="n">
        <v>45804.5999884259</v>
      </c>
      <c r="P4794" s="53" t="n">
        <v>45885.6424768519</v>
      </c>
      <c r="Q4794" s="53" t="n">
        <v>45804.5999884259</v>
      </c>
      <c r="R4794" s="0" t="n">
        <v>0</v>
      </c>
      <c r="S4794" s="51" t="s">
        <v>2356</v>
      </c>
      <c r="T4794" s="51" t="s">
        <v>2356</v>
      </c>
      <c r="U4794" s="51" t="s">
        <v>4115</v>
      </c>
      <c r="V4794" s="51" t="s">
        <v>2365</v>
      </c>
      <c r="W4794" s="51" t="s">
        <v>5494</v>
      </c>
      <c r="X4794" s="51" t="s">
        <v>2359</v>
      </c>
    </row>
    <row r="4795" customFormat="false" ht="14.25" hidden="true" customHeight="false" outlineLevel="0" collapsed="false">
      <c r="A4795" s="49" t="s">
        <v>2349</v>
      </c>
      <c r="B4795" s="49" t="s">
        <v>2350</v>
      </c>
      <c r="C4795" s="49" t="s">
        <v>8891</v>
      </c>
      <c r="D4795" s="49" t="s">
        <v>2352</v>
      </c>
      <c r="E4795" s="49" t="s">
        <v>4140</v>
      </c>
      <c r="F4795" s="49" t="s">
        <v>4141</v>
      </c>
      <c r="G4795" s="49" t="n">
        <v>0</v>
      </c>
      <c r="H4795" s="0" t="n">
        <v>0</v>
      </c>
      <c r="M4795" s="51" t="s">
        <v>8877</v>
      </c>
      <c r="N4795" s="49" t="n">
        <v>0</v>
      </c>
      <c r="O4795" s="53" t="n">
        <v>45804.5990740741</v>
      </c>
      <c r="P4795" s="53" t="n">
        <v>45808.4142592593</v>
      </c>
      <c r="Q4795" s="53" t="n">
        <v>45804.5990740741</v>
      </c>
      <c r="R4795" s="0" t="n">
        <v>0</v>
      </c>
      <c r="S4795" s="51" t="s">
        <v>2356</v>
      </c>
      <c r="T4795" s="51" t="s">
        <v>2356</v>
      </c>
      <c r="U4795" s="51" t="s">
        <v>4140</v>
      </c>
      <c r="V4795" s="51" t="s">
        <v>3740</v>
      </c>
      <c r="W4795" s="51" t="s">
        <v>4160</v>
      </c>
      <c r="X4795" s="51" t="s">
        <v>2359</v>
      </c>
    </row>
    <row r="4796" customFormat="false" ht="14.25" hidden="true" customHeight="false" outlineLevel="0" collapsed="false">
      <c r="A4796" s="49" t="s">
        <v>2349</v>
      </c>
      <c r="B4796" s="49" t="s">
        <v>2350</v>
      </c>
      <c r="C4796" s="49" t="s">
        <v>8892</v>
      </c>
      <c r="D4796" s="49" t="s">
        <v>2397</v>
      </c>
      <c r="E4796" s="49" t="s">
        <v>8893</v>
      </c>
      <c r="F4796" s="49" t="s">
        <v>3849</v>
      </c>
      <c r="G4796" s="49" t="n">
        <v>0</v>
      </c>
      <c r="H4796" s="0" t="n">
        <v>0</v>
      </c>
      <c r="M4796" s="51" t="s">
        <v>8894</v>
      </c>
      <c r="N4796" s="49" t="n">
        <v>0</v>
      </c>
      <c r="O4796" s="53" t="n">
        <v>45824.5791087963</v>
      </c>
      <c r="P4796" s="53" t="n">
        <v>45825.6494328704</v>
      </c>
      <c r="Q4796" s="53" t="n">
        <v>45824.5791087963</v>
      </c>
      <c r="R4796" s="0" t="n">
        <v>0</v>
      </c>
      <c r="S4796" s="51" t="s">
        <v>2380</v>
      </c>
      <c r="T4796" s="51" t="s">
        <v>2380</v>
      </c>
      <c r="U4796" s="51" t="s">
        <v>8893</v>
      </c>
      <c r="V4796" s="51" t="s">
        <v>2365</v>
      </c>
      <c r="W4796" s="51" t="s">
        <v>6166</v>
      </c>
      <c r="X4796" s="51" t="s">
        <v>2359</v>
      </c>
    </row>
    <row r="4797" customFormat="false" ht="14.25" hidden="true" customHeight="false" outlineLevel="0" collapsed="false">
      <c r="A4797" s="49" t="s">
        <v>2349</v>
      </c>
      <c r="B4797" s="49" t="s">
        <v>2350</v>
      </c>
      <c r="C4797" s="49" t="s">
        <v>8895</v>
      </c>
      <c r="D4797" s="49" t="s">
        <v>2397</v>
      </c>
      <c r="E4797" s="49" t="s">
        <v>8893</v>
      </c>
      <c r="F4797" s="49" t="s">
        <v>3849</v>
      </c>
      <c r="G4797" s="49" t="n">
        <v>0</v>
      </c>
      <c r="H4797" s="0" t="n">
        <v>0</v>
      </c>
      <c r="M4797" s="51" t="s">
        <v>8894</v>
      </c>
      <c r="N4797" s="49" t="n">
        <v>0</v>
      </c>
      <c r="O4797" s="53" t="n">
        <v>45824.578287037</v>
      </c>
      <c r="P4797" s="53" t="n">
        <v>45825.6496296296</v>
      </c>
      <c r="Q4797" s="53" t="n">
        <v>45824.578287037</v>
      </c>
      <c r="R4797" s="0" t="n">
        <v>0</v>
      </c>
      <c r="S4797" s="51" t="s">
        <v>2380</v>
      </c>
      <c r="T4797" s="51" t="s">
        <v>2380</v>
      </c>
      <c r="U4797" s="51" t="s">
        <v>8893</v>
      </c>
      <c r="V4797" s="51" t="s">
        <v>2365</v>
      </c>
      <c r="W4797" s="51" t="s">
        <v>5382</v>
      </c>
      <c r="X4797" s="51" t="s">
        <v>2359</v>
      </c>
    </row>
    <row r="4798" customFormat="false" ht="14.25" hidden="true" customHeight="false" outlineLevel="0" collapsed="false">
      <c r="A4798" s="49" t="s">
        <v>2349</v>
      </c>
      <c r="B4798" s="49" t="s">
        <v>2350</v>
      </c>
      <c r="C4798" s="49" t="s">
        <v>8896</v>
      </c>
      <c r="D4798" s="49" t="s">
        <v>2352</v>
      </c>
      <c r="E4798" s="49" t="s">
        <v>8897</v>
      </c>
      <c r="F4798" s="49" t="s">
        <v>5125</v>
      </c>
      <c r="G4798" s="49" t="n">
        <v>0</v>
      </c>
      <c r="H4798" s="0" t="n">
        <v>0</v>
      </c>
      <c r="M4798" s="51" t="s">
        <v>8894</v>
      </c>
      <c r="N4798" s="49" t="n">
        <v>0</v>
      </c>
      <c r="O4798" s="53" t="n">
        <v>45825.6597106482</v>
      </c>
      <c r="P4798" s="53" t="n">
        <v>45827.5491435185</v>
      </c>
      <c r="Q4798" s="53" t="n">
        <v>45825.6597106482</v>
      </c>
      <c r="R4798" s="0" t="n">
        <v>0</v>
      </c>
      <c r="S4798" s="51" t="s">
        <v>2394</v>
      </c>
      <c r="T4798" s="51" t="s">
        <v>2394</v>
      </c>
      <c r="U4798" s="51" t="s">
        <v>8897</v>
      </c>
      <c r="V4798" s="51" t="s">
        <v>2365</v>
      </c>
      <c r="W4798" s="51" t="s">
        <v>5382</v>
      </c>
      <c r="X4798" s="51" t="s">
        <v>2359</v>
      </c>
    </row>
    <row r="4799" customFormat="false" ht="14.25" hidden="true" customHeight="false" outlineLevel="0" collapsed="false">
      <c r="A4799" s="49" t="s">
        <v>2349</v>
      </c>
      <c r="B4799" s="49" t="s">
        <v>2350</v>
      </c>
      <c r="C4799" s="49" t="s">
        <v>8898</v>
      </c>
      <c r="D4799" s="49" t="s">
        <v>2352</v>
      </c>
      <c r="E4799" s="49" t="s">
        <v>8897</v>
      </c>
      <c r="F4799" s="49" t="s">
        <v>5125</v>
      </c>
      <c r="G4799" s="49" t="n">
        <v>0</v>
      </c>
      <c r="H4799" s="0" t="n">
        <v>0</v>
      </c>
      <c r="M4799" s="51" t="s">
        <v>8894</v>
      </c>
      <c r="N4799" s="49" t="n">
        <v>0</v>
      </c>
      <c r="O4799" s="53" t="n">
        <v>45825.6600462963</v>
      </c>
      <c r="P4799" s="53" t="n">
        <v>45827.5492476852</v>
      </c>
      <c r="Q4799" s="53" t="n">
        <v>45825.6600462963</v>
      </c>
      <c r="R4799" s="0" t="n">
        <v>0</v>
      </c>
      <c r="S4799" s="51" t="s">
        <v>2394</v>
      </c>
      <c r="T4799" s="51" t="s">
        <v>2394</v>
      </c>
      <c r="U4799" s="51" t="s">
        <v>8897</v>
      </c>
      <c r="V4799" s="51" t="s">
        <v>2365</v>
      </c>
      <c r="W4799" s="51" t="s">
        <v>8899</v>
      </c>
      <c r="X4799" s="51" t="s">
        <v>2359</v>
      </c>
    </row>
    <row r="4800" customFormat="false" ht="14.25" hidden="true" customHeight="false" outlineLevel="0" collapsed="false">
      <c r="A4800" s="49" t="s">
        <v>2349</v>
      </c>
      <c r="B4800" s="49" t="s">
        <v>2350</v>
      </c>
      <c r="C4800" s="49" t="s">
        <v>8900</v>
      </c>
      <c r="D4800" s="49" t="s">
        <v>2352</v>
      </c>
      <c r="E4800" s="49" t="s">
        <v>4351</v>
      </c>
      <c r="F4800" s="49" t="s">
        <v>4352</v>
      </c>
      <c r="G4800" s="49" t="n">
        <v>0</v>
      </c>
      <c r="H4800" s="0" t="n">
        <v>0</v>
      </c>
      <c r="M4800" s="51" t="s">
        <v>8901</v>
      </c>
      <c r="N4800" s="49" t="n">
        <v>0</v>
      </c>
      <c r="O4800" s="53" t="n">
        <v>45829.5976041667</v>
      </c>
      <c r="P4800" s="53" t="n">
        <v>45832.4737384259</v>
      </c>
      <c r="Q4800" s="53" t="n">
        <v>45829.5976041667</v>
      </c>
      <c r="R4800" s="0" t="n">
        <v>0</v>
      </c>
      <c r="S4800" s="51" t="s">
        <v>2356</v>
      </c>
      <c r="T4800" s="51" t="s">
        <v>2356</v>
      </c>
      <c r="U4800" s="51" t="s">
        <v>4351</v>
      </c>
      <c r="V4800" s="51" t="s">
        <v>2365</v>
      </c>
      <c r="W4800" s="51" t="s">
        <v>4132</v>
      </c>
      <c r="X4800" s="51" t="s">
        <v>2359</v>
      </c>
    </row>
    <row r="4801" customFormat="false" ht="14.25" hidden="true" customHeight="false" outlineLevel="0" collapsed="false">
      <c r="A4801" s="49" t="s">
        <v>2349</v>
      </c>
      <c r="B4801" s="49" t="s">
        <v>2350</v>
      </c>
      <c r="C4801" s="49" t="s">
        <v>8902</v>
      </c>
      <c r="D4801" s="49" t="s">
        <v>2352</v>
      </c>
      <c r="E4801" s="49" t="s">
        <v>4351</v>
      </c>
      <c r="F4801" s="49" t="s">
        <v>4352</v>
      </c>
      <c r="G4801" s="49" t="n">
        <v>0</v>
      </c>
      <c r="H4801" s="0" t="n">
        <v>0</v>
      </c>
      <c r="M4801" s="51" t="s">
        <v>8901</v>
      </c>
      <c r="N4801" s="49" t="n">
        <v>0</v>
      </c>
      <c r="O4801" s="53" t="n">
        <v>45829.5977199074</v>
      </c>
      <c r="P4801" s="53" t="n">
        <v>45832.4738888889</v>
      </c>
      <c r="Q4801" s="53" t="n">
        <v>45829.5977199074</v>
      </c>
      <c r="R4801" s="0" t="n">
        <v>0</v>
      </c>
      <c r="S4801" s="51" t="s">
        <v>2356</v>
      </c>
      <c r="T4801" s="51" t="s">
        <v>2356</v>
      </c>
      <c r="U4801" s="51" t="s">
        <v>4351</v>
      </c>
      <c r="V4801" s="51" t="s">
        <v>2365</v>
      </c>
      <c r="W4801" s="51" t="s">
        <v>5151</v>
      </c>
      <c r="X4801" s="51" t="s">
        <v>2359</v>
      </c>
    </row>
    <row r="4802" customFormat="false" ht="14.25" hidden="true" customHeight="false" outlineLevel="0" collapsed="false">
      <c r="A4802" s="49" t="s">
        <v>2349</v>
      </c>
      <c r="B4802" s="49" t="s">
        <v>2350</v>
      </c>
      <c r="C4802" s="49" t="s">
        <v>8903</v>
      </c>
      <c r="D4802" s="49" t="s">
        <v>2352</v>
      </c>
      <c r="E4802" s="49" t="s">
        <v>4351</v>
      </c>
      <c r="F4802" s="49" t="s">
        <v>4352</v>
      </c>
      <c r="G4802" s="49" t="n">
        <v>0</v>
      </c>
      <c r="H4802" s="0" t="n">
        <v>0</v>
      </c>
      <c r="M4802" s="51" t="s">
        <v>8901</v>
      </c>
      <c r="N4802" s="49" t="n">
        <v>0</v>
      </c>
      <c r="O4802" s="53" t="n">
        <v>45829.5978240741</v>
      </c>
      <c r="P4802" s="53" t="n">
        <v>45833.6353935185</v>
      </c>
      <c r="Q4802" s="53" t="n">
        <v>45829.5978240741</v>
      </c>
      <c r="R4802" s="0" t="n">
        <v>0</v>
      </c>
      <c r="S4802" s="51" t="s">
        <v>2356</v>
      </c>
      <c r="T4802" s="51" t="s">
        <v>2356</v>
      </c>
      <c r="U4802" s="51" t="s">
        <v>4351</v>
      </c>
      <c r="V4802" s="51" t="s">
        <v>2365</v>
      </c>
      <c r="W4802" s="51" t="s">
        <v>8904</v>
      </c>
      <c r="X4802" s="51" t="s">
        <v>2359</v>
      </c>
    </row>
    <row r="4803" customFormat="false" ht="14.25" hidden="true" customHeight="false" outlineLevel="0" collapsed="false">
      <c r="A4803" s="49" t="s">
        <v>2349</v>
      </c>
      <c r="B4803" s="49" t="s">
        <v>2350</v>
      </c>
      <c r="C4803" s="49" t="s">
        <v>8905</v>
      </c>
      <c r="D4803" s="49" t="s">
        <v>2352</v>
      </c>
      <c r="E4803" s="49" t="s">
        <v>4351</v>
      </c>
      <c r="F4803" s="49" t="s">
        <v>4352</v>
      </c>
      <c r="G4803" s="49" t="n">
        <v>0</v>
      </c>
      <c r="H4803" s="0" t="n">
        <v>0</v>
      </c>
      <c r="M4803" s="51" t="s">
        <v>8901</v>
      </c>
      <c r="N4803" s="49" t="n">
        <v>0</v>
      </c>
      <c r="O4803" s="53" t="n">
        <v>45829.5979282407</v>
      </c>
      <c r="P4803" s="53" t="n">
        <v>45834.7742592593</v>
      </c>
      <c r="Q4803" s="53" t="n">
        <v>45829.5979282407</v>
      </c>
      <c r="R4803" s="0" t="n">
        <v>0</v>
      </c>
      <c r="S4803" s="51" t="s">
        <v>2356</v>
      </c>
      <c r="T4803" s="51" t="s">
        <v>2356</v>
      </c>
      <c r="U4803" s="51" t="s">
        <v>4351</v>
      </c>
      <c r="V4803" s="51" t="s">
        <v>2365</v>
      </c>
      <c r="W4803" s="51" t="s">
        <v>7397</v>
      </c>
      <c r="X4803" s="51" t="s">
        <v>2359</v>
      </c>
    </row>
    <row r="4804" customFormat="false" ht="14.25" hidden="true" customHeight="false" outlineLevel="0" collapsed="false">
      <c r="A4804" s="49" t="s">
        <v>2349</v>
      </c>
      <c r="B4804" s="49" t="s">
        <v>2350</v>
      </c>
      <c r="C4804" s="49" t="s">
        <v>8906</v>
      </c>
      <c r="D4804" s="49" t="s">
        <v>2352</v>
      </c>
      <c r="E4804" s="49" t="s">
        <v>4351</v>
      </c>
      <c r="F4804" s="49" t="s">
        <v>4352</v>
      </c>
      <c r="G4804" s="49" t="n">
        <v>0</v>
      </c>
      <c r="H4804" s="0" t="n">
        <v>0</v>
      </c>
      <c r="M4804" s="51" t="s">
        <v>8901</v>
      </c>
      <c r="N4804" s="49" t="n">
        <v>0</v>
      </c>
      <c r="O4804" s="53" t="n">
        <v>45829.5980439815</v>
      </c>
      <c r="P4804" s="53" t="n">
        <v>45831.7011226852</v>
      </c>
      <c r="Q4804" s="53" t="n">
        <v>45829.5980439815</v>
      </c>
      <c r="R4804" s="0" t="n">
        <v>0</v>
      </c>
      <c r="S4804" s="51" t="s">
        <v>2356</v>
      </c>
      <c r="T4804" s="51" t="s">
        <v>2356</v>
      </c>
      <c r="U4804" s="51" t="s">
        <v>4351</v>
      </c>
      <c r="V4804" s="51" t="s">
        <v>2365</v>
      </c>
      <c r="W4804" s="51" t="s">
        <v>4120</v>
      </c>
      <c r="X4804" s="51" t="s">
        <v>2359</v>
      </c>
    </row>
    <row r="4805" customFormat="false" ht="14.25" hidden="true" customHeight="false" outlineLevel="0" collapsed="false">
      <c r="A4805" s="49" t="s">
        <v>2349</v>
      </c>
      <c r="B4805" s="49" t="s">
        <v>2350</v>
      </c>
      <c r="C4805" s="49" t="s">
        <v>8907</v>
      </c>
      <c r="D4805" s="49" t="s">
        <v>2352</v>
      </c>
      <c r="E4805" s="49" t="s">
        <v>4351</v>
      </c>
      <c r="F4805" s="49" t="s">
        <v>4352</v>
      </c>
      <c r="G4805" s="49" t="n">
        <v>0</v>
      </c>
      <c r="H4805" s="0" t="n">
        <v>0</v>
      </c>
      <c r="M4805" s="51" t="s">
        <v>8901</v>
      </c>
      <c r="N4805" s="49" t="n">
        <v>0</v>
      </c>
      <c r="O4805" s="53" t="n">
        <v>45829.5982175926</v>
      </c>
      <c r="P4805" s="53" t="n">
        <v>45831.7013425926</v>
      </c>
      <c r="Q4805" s="53" t="n">
        <v>45829.5982175926</v>
      </c>
      <c r="R4805" s="0" t="n">
        <v>0</v>
      </c>
      <c r="S4805" s="51" t="s">
        <v>2356</v>
      </c>
      <c r="T4805" s="51" t="s">
        <v>2356</v>
      </c>
      <c r="U4805" s="51" t="s">
        <v>4351</v>
      </c>
      <c r="V4805" s="51" t="s">
        <v>2365</v>
      </c>
      <c r="W4805" s="51" t="s">
        <v>4122</v>
      </c>
      <c r="X4805" s="51" t="s">
        <v>2359</v>
      </c>
    </row>
    <row r="4806" customFormat="false" ht="14.25" hidden="true" customHeight="false" outlineLevel="0" collapsed="false">
      <c r="A4806" s="49" t="s">
        <v>2349</v>
      </c>
      <c r="B4806" s="49" t="s">
        <v>2350</v>
      </c>
      <c r="C4806" s="49" t="s">
        <v>8908</v>
      </c>
      <c r="D4806" s="49" t="s">
        <v>2352</v>
      </c>
      <c r="E4806" s="49" t="s">
        <v>4351</v>
      </c>
      <c r="F4806" s="49" t="s">
        <v>4352</v>
      </c>
      <c r="G4806" s="49" t="n">
        <v>0</v>
      </c>
      <c r="H4806" s="0" t="n">
        <v>0</v>
      </c>
      <c r="M4806" s="51" t="s">
        <v>8901</v>
      </c>
      <c r="N4806" s="49" t="n">
        <v>0</v>
      </c>
      <c r="O4806" s="53" t="n">
        <v>45829.5983217593</v>
      </c>
      <c r="P4806" s="53" t="n">
        <v>45831.7015972222</v>
      </c>
      <c r="Q4806" s="53" t="n">
        <v>45829.5983217593</v>
      </c>
      <c r="R4806" s="0" t="n">
        <v>0</v>
      </c>
      <c r="S4806" s="51" t="s">
        <v>2356</v>
      </c>
      <c r="T4806" s="51" t="s">
        <v>2356</v>
      </c>
      <c r="U4806" s="51" t="s">
        <v>4351</v>
      </c>
      <c r="V4806" s="51" t="s">
        <v>2365</v>
      </c>
      <c r="W4806" s="51" t="s">
        <v>3764</v>
      </c>
      <c r="X4806" s="51" t="s">
        <v>2359</v>
      </c>
    </row>
    <row r="4807" customFormat="false" ht="14.25" hidden="true" customHeight="false" outlineLevel="0" collapsed="false">
      <c r="A4807" s="49" t="s">
        <v>2349</v>
      </c>
      <c r="B4807" s="49" t="s">
        <v>2350</v>
      </c>
      <c r="C4807" s="49" t="s">
        <v>8909</v>
      </c>
      <c r="D4807" s="49" t="s">
        <v>2352</v>
      </c>
      <c r="E4807" s="49" t="s">
        <v>4351</v>
      </c>
      <c r="F4807" s="49" t="s">
        <v>4352</v>
      </c>
      <c r="G4807" s="49" t="n">
        <v>0</v>
      </c>
      <c r="H4807" s="0" t="n">
        <v>0</v>
      </c>
      <c r="M4807" s="51" t="s">
        <v>8901</v>
      </c>
      <c r="N4807" s="49" t="n">
        <v>0</v>
      </c>
      <c r="O4807" s="53" t="n">
        <v>45829.5984375</v>
      </c>
      <c r="P4807" s="53" t="n">
        <v>45832.4739583333</v>
      </c>
      <c r="Q4807" s="53" t="n">
        <v>45829.5984375</v>
      </c>
      <c r="R4807" s="0" t="n">
        <v>0</v>
      </c>
      <c r="S4807" s="51" t="s">
        <v>2356</v>
      </c>
      <c r="T4807" s="51" t="s">
        <v>2356</v>
      </c>
      <c r="U4807" s="51" t="s">
        <v>4351</v>
      </c>
      <c r="V4807" s="51" t="s">
        <v>2365</v>
      </c>
      <c r="W4807" s="51" t="s">
        <v>5147</v>
      </c>
      <c r="X4807" s="51" t="s">
        <v>2359</v>
      </c>
    </row>
    <row r="4808" customFormat="false" ht="14.25" hidden="true" customHeight="false" outlineLevel="0" collapsed="false">
      <c r="A4808" s="49" t="s">
        <v>2349</v>
      </c>
      <c r="B4808" s="49" t="s">
        <v>2350</v>
      </c>
      <c r="C4808" s="49" t="s">
        <v>8910</v>
      </c>
      <c r="D4808" s="49" t="s">
        <v>2352</v>
      </c>
      <c r="E4808" s="49" t="s">
        <v>4351</v>
      </c>
      <c r="F4808" s="49" t="s">
        <v>4352</v>
      </c>
      <c r="G4808" s="49" t="n">
        <v>0</v>
      </c>
      <c r="H4808" s="0" t="n">
        <v>0</v>
      </c>
      <c r="M4808" s="51" t="s">
        <v>8901</v>
      </c>
      <c r="N4808" s="49" t="n">
        <v>0</v>
      </c>
      <c r="O4808" s="53" t="n">
        <v>45829.5986226852</v>
      </c>
      <c r="P4808" s="53" t="n">
        <v>45832.4740972222</v>
      </c>
      <c r="Q4808" s="53" t="n">
        <v>45829.5986226852</v>
      </c>
      <c r="R4808" s="0" t="n">
        <v>0</v>
      </c>
      <c r="S4808" s="51" t="s">
        <v>2356</v>
      </c>
      <c r="T4808" s="51" t="s">
        <v>2356</v>
      </c>
      <c r="U4808" s="51" t="s">
        <v>4351</v>
      </c>
      <c r="V4808" s="51" t="s">
        <v>2365</v>
      </c>
      <c r="W4808" s="51" t="s">
        <v>7661</v>
      </c>
      <c r="X4808" s="51" t="s">
        <v>2359</v>
      </c>
    </row>
    <row r="4809" customFormat="false" ht="14.25" hidden="true" customHeight="false" outlineLevel="0" collapsed="false">
      <c r="A4809" s="49" t="s">
        <v>2349</v>
      </c>
      <c r="B4809" s="49" t="s">
        <v>2350</v>
      </c>
      <c r="C4809" s="49" t="s">
        <v>8911</v>
      </c>
      <c r="D4809" s="49" t="s">
        <v>2352</v>
      </c>
      <c r="E4809" s="49" t="s">
        <v>4351</v>
      </c>
      <c r="F4809" s="49" t="s">
        <v>4352</v>
      </c>
      <c r="G4809" s="49" t="n">
        <v>0</v>
      </c>
      <c r="H4809" s="0" t="n">
        <v>0</v>
      </c>
      <c r="M4809" s="51" t="s">
        <v>8901</v>
      </c>
      <c r="N4809" s="49" t="n">
        <v>0</v>
      </c>
      <c r="O4809" s="53" t="n">
        <v>45829.5987268519</v>
      </c>
      <c r="P4809" s="53" t="n">
        <v>45831.7017939815</v>
      </c>
      <c r="Q4809" s="53" t="n">
        <v>45829.5987268519</v>
      </c>
      <c r="R4809" s="0" t="n">
        <v>0</v>
      </c>
      <c r="S4809" s="51" t="s">
        <v>2356</v>
      </c>
      <c r="T4809" s="51" t="s">
        <v>2356</v>
      </c>
      <c r="U4809" s="51" t="s">
        <v>4351</v>
      </c>
      <c r="V4809" s="51" t="s">
        <v>2365</v>
      </c>
      <c r="W4809" s="51" t="s">
        <v>4609</v>
      </c>
      <c r="X4809" s="51" t="s">
        <v>2359</v>
      </c>
    </row>
    <row r="4810" customFormat="false" ht="14.25" hidden="true" customHeight="false" outlineLevel="0" collapsed="false">
      <c r="A4810" s="49" t="s">
        <v>2349</v>
      </c>
      <c r="B4810" s="49" t="s">
        <v>2350</v>
      </c>
      <c r="C4810" s="49" t="s">
        <v>8912</v>
      </c>
      <c r="D4810" s="49" t="s">
        <v>2352</v>
      </c>
      <c r="E4810" s="49" t="s">
        <v>4351</v>
      </c>
      <c r="F4810" s="49" t="s">
        <v>4352</v>
      </c>
      <c r="G4810" s="49" t="n">
        <v>0</v>
      </c>
      <c r="H4810" s="0" t="n">
        <v>0</v>
      </c>
      <c r="M4810" s="51" t="s">
        <v>8901</v>
      </c>
      <c r="N4810" s="49" t="n">
        <v>0</v>
      </c>
      <c r="O4810" s="53" t="n">
        <v>45829.5988541667</v>
      </c>
      <c r="P4810" s="53" t="n">
        <v>45831.8537847222</v>
      </c>
      <c r="Q4810" s="53" t="n">
        <v>45829.5988541667</v>
      </c>
      <c r="R4810" s="0" t="n">
        <v>0</v>
      </c>
      <c r="S4810" s="51" t="s">
        <v>2356</v>
      </c>
      <c r="T4810" s="51" t="s">
        <v>2356</v>
      </c>
      <c r="U4810" s="51" t="s">
        <v>4351</v>
      </c>
      <c r="V4810" s="51" t="s">
        <v>2365</v>
      </c>
      <c r="W4810" s="51" t="s">
        <v>4357</v>
      </c>
      <c r="X4810" s="51" t="s">
        <v>2359</v>
      </c>
    </row>
    <row r="4811" customFormat="false" ht="14.25" hidden="true" customHeight="false" outlineLevel="0" collapsed="false">
      <c r="A4811" s="49" t="s">
        <v>2349</v>
      </c>
      <c r="B4811" s="49" t="s">
        <v>2350</v>
      </c>
      <c r="C4811" s="49" t="s">
        <v>8913</v>
      </c>
      <c r="D4811" s="49" t="s">
        <v>2352</v>
      </c>
      <c r="E4811" s="49" t="s">
        <v>4351</v>
      </c>
      <c r="F4811" s="49" t="s">
        <v>4352</v>
      </c>
      <c r="G4811" s="49" t="n">
        <v>0</v>
      </c>
      <c r="H4811" s="0" t="n">
        <v>0</v>
      </c>
      <c r="M4811" s="51" t="s">
        <v>8901</v>
      </c>
      <c r="N4811" s="49" t="n">
        <v>0</v>
      </c>
      <c r="O4811" s="53" t="n">
        <v>45829.5989467593</v>
      </c>
      <c r="P4811" s="53" t="n">
        <v>45836.5861921296</v>
      </c>
      <c r="Q4811" s="53" t="n">
        <v>45829.5989467593</v>
      </c>
      <c r="R4811" s="0" t="n">
        <v>0</v>
      </c>
      <c r="S4811" s="51" t="s">
        <v>2356</v>
      </c>
      <c r="T4811" s="51" t="s">
        <v>2356</v>
      </c>
      <c r="U4811" s="51" t="s">
        <v>4351</v>
      </c>
      <c r="V4811" s="51" t="s">
        <v>2365</v>
      </c>
      <c r="W4811" s="51" t="s">
        <v>8914</v>
      </c>
      <c r="X4811" s="51" t="s">
        <v>2359</v>
      </c>
    </row>
    <row r="4812" customFormat="false" ht="14.25" hidden="true" customHeight="false" outlineLevel="0" collapsed="false">
      <c r="A4812" s="49" t="s">
        <v>2349</v>
      </c>
      <c r="B4812" s="49" t="s">
        <v>2350</v>
      </c>
      <c r="C4812" s="49" t="s">
        <v>8915</v>
      </c>
      <c r="D4812" s="49" t="s">
        <v>2352</v>
      </c>
      <c r="E4812" s="49" t="s">
        <v>4351</v>
      </c>
      <c r="F4812" s="49" t="s">
        <v>4352</v>
      </c>
      <c r="G4812" s="49" t="n">
        <v>0</v>
      </c>
      <c r="H4812" s="0" t="n">
        <v>0</v>
      </c>
      <c r="M4812" s="51" t="s">
        <v>8901</v>
      </c>
      <c r="N4812" s="49" t="n">
        <v>0</v>
      </c>
      <c r="O4812" s="53" t="n">
        <v>45829.5991087963</v>
      </c>
      <c r="P4812" s="53" t="n">
        <v>45840.2969791667</v>
      </c>
      <c r="Q4812" s="53" t="n">
        <v>45829.5991087963</v>
      </c>
      <c r="R4812" s="0" t="n">
        <v>0</v>
      </c>
      <c r="S4812" s="51" t="s">
        <v>2356</v>
      </c>
      <c r="T4812" s="51" t="s">
        <v>2356</v>
      </c>
      <c r="U4812" s="51" t="s">
        <v>4351</v>
      </c>
      <c r="V4812" s="51" t="s">
        <v>2365</v>
      </c>
      <c r="W4812" s="51" t="s">
        <v>8916</v>
      </c>
      <c r="X4812" s="51" t="s">
        <v>2359</v>
      </c>
    </row>
    <row r="4813" customFormat="false" ht="14.25" hidden="true" customHeight="false" outlineLevel="0" collapsed="false">
      <c r="A4813" s="49" t="s">
        <v>2349</v>
      </c>
      <c r="B4813" s="49" t="s">
        <v>2350</v>
      </c>
      <c r="C4813" s="49" t="s">
        <v>8917</v>
      </c>
      <c r="D4813" s="49" t="s">
        <v>2352</v>
      </c>
      <c r="E4813" s="49" t="s">
        <v>4351</v>
      </c>
      <c r="F4813" s="49" t="s">
        <v>4352</v>
      </c>
      <c r="G4813" s="49" t="n">
        <v>0</v>
      </c>
      <c r="H4813" s="0" t="n">
        <v>0</v>
      </c>
      <c r="M4813" s="51" t="s">
        <v>8901</v>
      </c>
      <c r="N4813" s="49" t="n">
        <v>0</v>
      </c>
      <c r="O4813" s="53" t="n">
        <v>45829.5993981482</v>
      </c>
      <c r="P4813" s="53" t="n">
        <v>45836.5864467593</v>
      </c>
      <c r="Q4813" s="53" t="n">
        <v>45829.5993981482</v>
      </c>
      <c r="R4813" s="0" t="n">
        <v>0</v>
      </c>
      <c r="S4813" s="51" t="s">
        <v>2356</v>
      </c>
      <c r="T4813" s="51" t="s">
        <v>2356</v>
      </c>
      <c r="U4813" s="51" t="s">
        <v>4351</v>
      </c>
      <c r="V4813" s="51" t="s">
        <v>2365</v>
      </c>
      <c r="W4813" s="51" t="s">
        <v>4363</v>
      </c>
      <c r="X4813" s="51" t="s">
        <v>2359</v>
      </c>
    </row>
    <row r="4814" customFormat="false" ht="14.25" hidden="true" customHeight="false" outlineLevel="0" collapsed="false">
      <c r="A4814" s="49" t="s">
        <v>2349</v>
      </c>
      <c r="B4814" s="49" t="s">
        <v>2350</v>
      </c>
      <c r="C4814" s="49" t="s">
        <v>8918</v>
      </c>
      <c r="D4814" s="49" t="s">
        <v>2352</v>
      </c>
      <c r="E4814" s="49" t="s">
        <v>4351</v>
      </c>
      <c r="F4814" s="49" t="s">
        <v>4352</v>
      </c>
      <c r="G4814" s="49" t="n">
        <v>0</v>
      </c>
      <c r="H4814" s="0" t="n">
        <v>0</v>
      </c>
      <c r="M4814" s="51" t="s">
        <v>8901</v>
      </c>
      <c r="N4814" s="49" t="n">
        <v>0</v>
      </c>
      <c r="O4814" s="53" t="n">
        <v>45829.5995023148</v>
      </c>
      <c r="P4814" s="53" t="n">
        <v>45840.3004976852</v>
      </c>
      <c r="Q4814" s="53" t="n">
        <v>45829.5995023148</v>
      </c>
      <c r="R4814" s="0" t="n">
        <v>0</v>
      </c>
      <c r="S4814" s="51" t="s">
        <v>2356</v>
      </c>
      <c r="T4814" s="51" t="s">
        <v>2356</v>
      </c>
      <c r="U4814" s="51" t="s">
        <v>4351</v>
      </c>
      <c r="V4814" s="51" t="s">
        <v>2365</v>
      </c>
      <c r="W4814" s="51" t="s">
        <v>7296</v>
      </c>
      <c r="X4814" s="51" t="s">
        <v>2359</v>
      </c>
    </row>
    <row r="4815" customFormat="false" ht="14.25" hidden="true" customHeight="false" outlineLevel="0" collapsed="false">
      <c r="A4815" s="49" t="s">
        <v>2349</v>
      </c>
      <c r="B4815" s="49" t="s">
        <v>2350</v>
      </c>
      <c r="C4815" s="49" t="s">
        <v>8919</v>
      </c>
      <c r="D4815" s="49" t="s">
        <v>2352</v>
      </c>
      <c r="E4815" s="49" t="s">
        <v>4351</v>
      </c>
      <c r="F4815" s="49" t="s">
        <v>4352</v>
      </c>
      <c r="G4815" s="49" t="n">
        <v>0</v>
      </c>
      <c r="H4815" s="0" t="n">
        <v>0</v>
      </c>
      <c r="M4815" s="51" t="s">
        <v>8901</v>
      </c>
      <c r="N4815" s="49" t="n">
        <v>0</v>
      </c>
      <c r="O4815" s="53" t="n">
        <v>45829.5996296296</v>
      </c>
      <c r="P4815" s="53" t="n">
        <v>45831.7018518519</v>
      </c>
      <c r="Q4815" s="53" t="n">
        <v>45829.5996296296</v>
      </c>
      <c r="R4815" s="0" t="n">
        <v>0</v>
      </c>
      <c r="S4815" s="51" t="s">
        <v>2356</v>
      </c>
      <c r="T4815" s="51" t="s">
        <v>2356</v>
      </c>
      <c r="U4815" s="51" t="s">
        <v>4351</v>
      </c>
      <c r="V4815" s="51" t="s">
        <v>2365</v>
      </c>
      <c r="W4815" s="51" t="s">
        <v>8243</v>
      </c>
      <c r="X4815" s="51" t="s">
        <v>2359</v>
      </c>
    </row>
    <row r="4816" customFormat="false" ht="14.25" hidden="true" customHeight="false" outlineLevel="0" collapsed="false">
      <c r="A4816" s="49" t="s">
        <v>2349</v>
      </c>
      <c r="B4816" s="49" t="s">
        <v>2350</v>
      </c>
      <c r="C4816" s="49" t="s">
        <v>8920</v>
      </c>
      <c r="D4816" s="49" t="s">
        <v>2352</v>
      </c>
      <c r="E4816" s="49" t="s">
        <v>4351</v>
      </c>
      <c r="F4816" s="49" t="s">
        <v>4352</v>
      </c>
      <c r="G4816" s="49" t="n">
        <v>0</v>
      </c>
      <c r="H4816" s="0" t="n">
        <v>0</v>
      </c>
      <c r="M4816" s="51" t="s">
        <v>8901</v>
      </c>
      <c r="N4816" s="49" t="n">
        <v>0</v>
      </c>
      <c r="O4816" s="53" t="n">
        <v>45829.5997453704</v>
      </c>
      <c r="P4816" s="53" t="n">
        <v>45831.7019907407</v>
      </c>
      <c r="Q4816" s="53" t="n">
        <v>45829.5997453704</v>
      </c>
      <c r="R4816" s="0" t="n">
        <v>0</v>
      </c>
      <c r="S4816" s="51" t="s">
        <v>2356</v>
      </c>
      <c r="T4816" s="51" t="s">
        <v>2356</v>
      </c>
      <c r="U4816" s="51" t="s">
        <v>4351</v>
      </c>
      <c r="V4816" s="51" t="s">
        <v>2365</v>
      </c>
      <c r="W4816" s="51" t="s">
        <v>3745</v>
      </c>
      <c r="X4816" s="51" t="s">
        <v>2359</v>
      </c>
    </row>
    <row r="4817" customFormat="false" ht="14.25" hidden="true" customHeight="false" outlineLevel="0" collapsed="false">
      <c r="A4817" s="49" t="s">
        <v>2349</v>
      </c>
      <c r="B4817" s="49" t="s">
        <v>2350</v>
      </c>
      <c r="C4817" s="49" t="s">
        <v>8921</v>
      </c>
      <c r="D4817" s="49" t="s">
        <v>2352</v>
      </c>
      <c r="E4817" s="49" t="s">
        <v>4351</v>
      </c>
      <c r="F4817" s="49" t="s">
        <v>4352</v>
      </c>
      <c r="G4817" s="49" t="n">
        <v>0</v>
      </c>
      <c r="H4817" s="0" t="n">
        <v>0</v>
      </c>
      <c r="M4817" s="51" t="s">
        <v>8901</v>
      </c>
      <c r="N4817" s="49" t="n">
        <v>0</v>
      </c>
      <c r="O4817" s="53" t="n">
        <v>45829.5999074074</v>
      </c>
      <c r="P4817" s="53" t="n">
        <v>45831.7019328704</v>
      </c>
      <c r="Q4817" s="53" t="n">
        <v>45829.5999074074</v>
      </c>
      <c r="R4817" s="0" t="n">
        <v>0</v>
      </c>
      <c r="S4817" s="51" t="s">
        <v>2356</v>
      </c>
      <c r="T4817" s="51" t="s">
        <v>2356</v>
      </c>
      <c r="U4817" s="51" t="s">
        <v>4351</v>
      </c>
      <c r="V4817" s="51" t="s">
        <v>2365</v>
      </c>
      <c r="W4817" s="51" t="s">
        <v>7256</v>
      </c>
      <c r="X4817" s="51" t="s">
        <v>2359</v>
      </c>
    </row>
    <row r="4818" customFormat="false" ht="14.25" hidden="true" customHeight="false" outlineLevel="0" collapsed="false">
      <c r="A4818" s="49" t="s">
        <v>2349</v>
      </c>
      <c r="B4818" s="49" t="s">
        <v>2350</v>
      </c>
      <c r="C4818" s="49" t="s">
        <v>8922</v>
      </c>
      <c r="D4818" s="49" t="s">
        <v>2352</v>
      </c>
      <c r="E4818" s="49" t="s">
        <v>4351</v>
      </c>
      <c r="F4818" s="49" t="s">
        <v>4352</v>
      </c>
      <c r="G4818" s="49" t="n">
        <v>0</v>
      </c>
      <c r="H4818" s="0" t="n">
        <v>0</v>
      </c>
      <c r="M4818" s="51" t="s">
        <v>8901</v>
      </c>
      <c r="N4818" s="49" t="n">
        <v>0</v>
      </c>
      <c r="O4818" s="53" t="n">
        <v>45829.6000347222</v>
      </c>
      <c r="P4818" s="53" t="n">
        <v>45831.7017476852</v>
      </c>
      <c r="Q4818" s="53" t="n">
        <v>45829.6000347222</v>
      </c>
      <c r="R4818" s="0" t="n">
        <v>0</v>
      </c>
      <c r="S4818" s="51" t="s">
        <v>2356</v>
      </c>
      <c r="T4818" s="51" t="s">
        <v>2356</v>
      </c>
      <c r="U4818" s="51" t="s">
        <v>4351</v>
      </c>
      <c r="V4818" s="51" t="s">
        <v>2365</v>
      </c>
      <c r="W4818" s="51" t="s">
        <v>6817</v>
      </c>
      <c r="X4818" s="51" t="s">
        <v>2359</v>
      </c>
    </row>
    <row r="4819" customFormat="false" ht="14.25" hidden="true" customHeight="false" outlineLevel="0" collapsed="false">
      <c r="A4819" s="49" t="s">
        <v>2349</v>
      </c>
      <c r="B4819" s="49" t="s">
        <v>2350</v>
      </c>
      <c r="C4819" s="49" t="s">
        <v>8923</v>
      </c>
      <c r="D4819" s="49" t="s">
        <v>2352</v>
      </c>
      <c r="E4819" s="49" t="s">
        <v>4351</v>
      </c>
      <c r="F4819" s="49" t="s">
        <v>4352</v>
      </c>
      <c r="G4819" s="49" t="n">
        <v>0</v>
      </c>
      <c r="H4819" s="0" t="n">
        <v>0</v>
      </c>
      <c r="M4819" s="51" t="s">
        <v>8901</v>
      </c>
      <c r="N4819" s="49" t="n">
        <v>0</v>
      </c>
      <c r="O4819" s="53" t="n">
        <v>45829.6001388889</v>
      </c>
      <c r="P4819" s="53" t="n">
        <v>45831.7015509259</v>
      </c>
      <c r="Q4819" s="53" t="n">
        <v>45829.6001388889</v>
      </c>
      <c r="R4819" s="0" t="n">
        <v>0</v>
      </c>
      <c r="S4819" s="51" t="s">
        <v>2356</v>
      </c>
      <c r="T4819" s="51" t="s">
        <v>2356</v>
      </c>
      <c r="U4819" s="51" t="s">
        <v>4351</v>
      </c>
      <c r="V4819" s="51" t="s">
        <v>2365</v>
      </c>
      <c r="W4819" s="51" t="s">
        <v>4169</v>
      </c>
      <c r="X4819" s="51" t="s">
        <v>2359</v>
      </c>
    </row>
    <row r="4820" customFormat="false" ht="14.25" hidden="true" customHeight="false" outlineLevel="0" collapsed="false">
      <c r="A4820" s="49" t="s">
        <v>2349</v>
      </c>
      <c r="B4820" s="49" t="s">
        <v>2350</v>
      </c>
      <c r="C4820" s="49" t="s">
        <v>8924</v>
      </c>
      <c r="D4820" s="49" t="s">
        <v>2352</v>
      </c>
      <c r="E4820" s="49" t="str">
        <f aca="false">"5060175133380"</f>
        <v>5060175133380</v>
      </c>
      <c r="F4820" s="49" t="s">
        <v>3978</v>
      </c>
      <c r="G4820" s="49" t="n">
        <v>0</v>
      </c>
      <c r="H4820" s="0" t="n">
        <v>0</v>
      </c>
      <c r="M4820" s="51" t="s">
        <v>8925</v>
      </c>
      <c r="N4820" s="49" t="n">
        <v>0</v>
      </c>
      <c r="O4820" s="53" t="n">
        <v>45812.6317013889</v>
      </c>
      <c r="P4820" s="53" t="n">
        <v>45852.5579282407</v>
      </c>
      <c r="Q4820" s="53" t="n">
        <v>45812.6317013889</v>
      </c>
      <c r="R4820" s="0" t="n">
        <v>0</v>
      </c>
      <c r="S4820" s="51" t="s">
        <v>2416</v>
      </c>
      <c r="T4820" s="51" t="s">
        <v>2416</v>
      </c>
      <c r="U4820" s="0" t="str">
        <f aca="false">"5060175133380"</f>
        <v>5060175133380</v>
      </c>
      <c r="V4820" s="51" t="s">
        <v>2365</v>
      </c>
      <c r="W4820" s="51" t="s">
        <v>4113</v>
      </c>
      <c r="X4820" s="51" t="s">
        <v>2359</v>
      </c>
    </row>
    <row r="4821" customFormat="false" ht="14.25" hidden="true" customHeight="false" outlineLevel="0" collapsed="false">
      <c r="A4821" s="49" t="s">
        <v>2349</v>
      </c>
      <c r="B4821" s="49" t="s">
        <v>2350</v>
      </c>
      <c r="C4821" s="49" t="s">
        <v>8926</v>
      </c>
      <c r="D4821" s="49" t="s">
        <v>2352</v>
      </c>
      <c r="E4821" s="49" t="str">
        <f aca="false">"5060175133168"</f>
        <v>5060175133168</v>
      </c>
      <c r="F4821" s="49" t="s">
        <v>2391</v>
      </c>
      <c r="G4821" s="49" t="n">
        <v>0</v>
      </c>
      <c r="H4821" s="0" t="n">
        <v>0</v>
      </c>
      <c r="M4821" s="51" t="s">
        <v>8925</v>
      </c>
      <c r="N4821" s="49" t="n">
        <v>0</v>
      </c>
      <c r="O4821" s="53" t="n">
        <v>45812.6313078704</v>
      </c>
      <c r="P4821" s="53" t="n">
        <v>45840.5532175926</v>
      </c>
      <c r="Q4821" s="53" t="n">
        <v>45812.6313078704</v>
      </c>
      <c r="R4821" s="0" t="n">
        <v>0</v>
      </c>
      <c r="S4821" s="51" t="s">
        <v>2416</v>
      </c>
      <c r="T4821" s="51" t="s">
        <v>2416</v>
      </c>
      <c r="U4821" s="0" t="str">
        <f aca="false">"5060175133168"</f>
        <v>5060175133168</v>
      </c>
      <c r="V4821" s="51" t="s">
        <v>2365</v>
      </c>
      <c r="W4821" s="51" t="s">
        <v>3824</v>
      </c>
      <c r="X4821" s="51" t="s">
        <v>2359</v>
      </c>
    </row>
    <row r="4822" customFormat="false" ht="14.25" hidden="true" customHeight="false" outlineLevel="0" collapsed="false">
      <c r="A4822" s="49" t="s">
        <v>2349</v>
      </c>
      <c r="B4822" s="49" t="s">
        <v>2350</v>
      </c>
      <c r="C4822" s="49" t="s">
        <v>8927</v>
      </c>
      <c r="D4822" s="49" t="s">
        <v>2352</v>
      </c>
      <c r="E4822" s="49" t="str">
        <f aca="false">"5060175132970"</f>
        <v>5060175132970</v>
      </c>
      <c r="F4822" s="49" t="s">
        <v>3948</v>
      </c>
      <c r="G4822" s="49" t="n">
        <v>0</v>
      </c>
      <c r="H4822" s="0" t="n">
        <v>0</v>
      </c>
      <c r="M4822" s="51" t="s">
        <v>8925</v>
      </c>
      <c r="N4822" s="49" t="n">
        <v>0</v>
      </c>
      <c r="O4822" s="53" t="n">
        <v>45812.6308449074</v>
      </c>
      <c r="P4822" s="53" t="n">
        <v>45825.9193981482</v>
      </c>
      <c r="Q4822" s="53" t="n">
        <v>45812.6308449074</v>
      </c>
      <c r="R4822" s="0" t="n">
        <v>0</v>
      </c>
      <c r="S4822" s="51" t="s">
        <v>2416</v>
      </c>
      <c r="T4822" s="51" t="s">
        <v>2416</v>
      </c>
      <c r="U4822" s="0" t="str">
        <f aca="false">"5060175132970"</f>
        <v>5060175132970</v>
      </c>
      <c r="V4822" s="51" t="s">
        <v>2365</v>
      </c>
      <c r="W4822" s="51" t="s">
        <v>3824</v>
      </c>
      <c r="X4822" s="51" t="s">
        <v>2359</v>
      </c>
    </row>
    <row r="4823" customFormat="false" ht="14.25" hidden="true" customHeight="false" outlineLevel="0" collapsed="false">
      <c r="A4823" s="49" t="s">
        <v>2349</v>
      </c>
      <c r="B4823" s="49" t="s">
        <v>2350</v>
      </c>
      <c r="C4823" s="49" t="s">
        <v>8928</v>
      </c>
      <c r="D4823" s="49" t="s">
        <v>2352</v>
      </c>
      <c r="E4823" s="49" t="str">
        <f aca="false">"5942326400490"</f>
        <v>5942326400490</v>
      </c>
      <c r="F4823" s="49" t="s">
        <v>3842</v>
      </c>
      <c r="G4823" s="49" t="n">
        <v>0</v>
      </c>
      <c r="H4823" s="0" t="n">
        <v>0</v>
      </c>
      <c r="M4823" s="51" t="s">
        <v>8929</v>
      </c>
      <c r="N4823" s="49" t="n">
        <v>0</v>
      </c>
      <c r="O4823" s="53" t="n">
        <v>45825.4295023148</v>
      </c>
      <c r="P4823" s="53" t="n">
        <v>45839.3952430556</v>
      </c>
      <c r="Q4823" s="53" t="n">
        <v>45825.4295023148</v>
      </c>
      <c r="R4823" s="0" t="n">
        <v>0</v>
      </c>
      <c r="S4823" s="51" t="s">
        <v>2416</v>
      </c>
      <c r="T4823" s="51" t="s">
        <v>2416</v>
      </c>
      <c r="U4823" s="0" t="str">
        <f aca="false">"5942326400490"</f>
        <v>5942326400490</v>
      </c>
      <c r="V4823" s="51" t="s">
        <v>2365</v>
      </c>
      <c r="W4823" s="51" t="s">
        <v>4887</v>
      </c>
      <c r="X4823" s="51" t="s">
        <v>2359</v>
      </c>
    </row>
    <row r="4824" customFormat="false" ht="14.25" hidden="true" customHeight="false" outlineLevel="0" collapsed="false">
      <c r="A4824" s="49" t="s">
        <v>2349</v>
      </c>
      <c r="B4824" s="49" t="s">
        <v>2350</v>
      </c>
      <c r="C4824" s="49" t="s">
        <v>8930</v>
      </c>
      <c r="D4824" s="49" t="s">
        <v>2352</v>
      </c>
      <c r="E4824" s="49" t="str">
        <f aca="false">"5942326400476"</f>
        <v>5942326400476</v>
      </c>
      <c r="F4824" s="49" t="s">
        <v>5167</v>
      </c>
      <c r="G4824" s="49" t="n">
        <v>0</v>
      </c>
      <c r="H4824" s="0" t="n">
        <v>0</v>
      </c>
      <c r="M4824" s="51" t="s">
        <v>8931</v>
      </c>
      <c r="N4824" s="49" t="n">
        <v>0</v>
      </c>
      <c r="O4824" s="53" t="n">
        <v>45819.6703819444</v>
      </c>
      <c r="P4824" s="53" t="n">
        <v>45918.7169560185</v>
      </c>
      <c r="Q4824" s="53" t="n">
        <v>45819.6703819444</v>
      </c>
      <c r="R4824" s="0" t="n">
        <v>0</v>
      </c>
      <c r="S4824" s="51" t="s">
        <v>2380</v>
      </c>
      <c r="T4824" s="51" t="s">
        <v>2380</v>
      </c>
      <c r="U4824" s="0" t="str">
        <f aca="false">"5942326400476"</f>
        <v>5942326400476</v>
      </c>
      <c r="V4824" s="51" t="s">
        <v>2365</v>
      </c>
      <c r="W4824" s="51" t="s">
        <v>6249</v>
      </c>
      <c r="X4824" s="51" t="s">
        <v>2359</v>
      </c>
    </row>
    <row r="4825" customFormat="false" ht="14.25" hidden="true" customHeight="false" outlineLevel="0" collapsed="false">
      <c r="A4825" s="49" t="s">
        <v>2349</v>
      </c>
      <c r="B4825" s="49" t="s">
        <v>2350</v>
      </c>
      <c r="C4825" s="49" t="s">
        <v>8932</v>
      </c>
      <c r="D4825" s="49" t="s">
        <v>2352</v>
      </c>
      <c r="E4825" s="49" t="str">
        <f aca="false">"5942326400483"</f>
        <v>5942326400483</v>
      </c>
      <c r="F4825" s="49" t="s">
        <v>3651</v>
      </c>
      <c r="G4825" s="49" t="n">
        <v>0</v>
      </c>
      <c r="H4825" s="0" t="n">
        <v>0</v>
      </c>
      <c r="M4825" s="51" t="s">
        <v>8931</v>
      </c>
      <c r="N4825" s="49" t="n">
        <v>0</v>
      </c>
      <c r="O4825" s="53" t="n">
        <v>45819.6750694444</v>
      </c>
      <c r="P4825" s="53" t="n">
        <v>45847.3660185185</v>
      </c>
      <c r="Q4825" s="53" t="n">
        <v>45819.6750694444</v>
      </c>
      <c r="R4825" s="0" t="n">
        <v>0</v>
      </c>
      <c r="S4825" s="51" t="s">
        <v>2380</v>
      </c>
      <c r="T4825" s="51" t="s">
        <v>2380</v>
      </c>
      <c r="U4825" s="0" t="str">
        <f aca="false">"5942326400483"</f>
        <v>5942326400483</v>
      </c>
      <c r="V4825" s="51" t="s">
        <v>2365</v>
      </c>
      <c r="W4825" s="51" t="s">
        <v>5534</v>
      </c>
      <c r="X4825" s="51" t="s">
        <v>2359</v>
      </c>
    </row>
    <row r="4826" customFormat="false" ht="14.25" hidden="true" customHeight="false" outlineLevel="0" collapsed="false">
      <c r="A4826" s="49" t="s">
        <v>2349</v>
      </c>
      <c r="B4826" s="49" t="s">
        <v>2350</v>
      </c>
      <c r="C4826" s="49" t="s">
        <v>8933</v>
      </c>
      <c r="D4826" s="49" t="s">
        <v>2352</v>
      </c>
      <c r="E4826" s="49" t="str">
        <f aca="false">"5942326400483"</f>
        <v>5942326400483</v>
      </c>
      <c r="F4826" s="49" t="s">
        <v>3651</v>
      </c>
      <c r="G4826" s="49" t="n">
        <v>0</v>
      </c>
      <c r="H4826" s="0" t="n">
        <v>0</v>
      </c>
      <c r="M4826" s="51" t="s">
        <v>8931</v>
      </c>
      <c r="N4826" s="49" t="n">
        <v>0</v>
      </c>
      <c r="O4826" s="53" t="n">
        <v>45819.675474537</v>
      </c>
      <c r="P4826" s="53" t="n">
        <v>45847.3686574074</v>
      </c>
      <c r="Q4826" s="53" t="n">
        <v>45819.675474537</v>
      </c>
      <c r="R4826" s="0" t="n">
        <v>0</v>
      </c>
      <c r="S4826" s="51" t="s">
        <v>2380</v>
      </c>
      <c r="T4826" s="51" t="s">
        <v>2380</v>
      </c>
      <c r="U4826" s="0" t="str">
        <f aca="false">"5942326400483"</f>
        <v>5942326400483</v>
      </c>
      <c r="V4826" s="51" t="s">
        <v>2365</v>
      </c>
      <c r="W4826" s="51" t="s">
        <v>6383</v>
      </c>
      <c r="X4826" s="51" t="s">
        <v>2359</v>
      </c>
    </row>
    <row r="4827" customFormat="false" ht="14.25" hidden="true" customHeight="false" outlineLevel="0" collapsed="false">
      <c r="A4827" s="49" t="s">
        <v>2349</v>
      </c>
      <c r="B4827" s="49" t="s">
        <v>2350</v>
      </c>
      <c r="C4827" s="49" t="s">
        <v>8934</v>
      </c>
      <c r="D4827" s="49" t="s">
        <v>2352</v>
      </c>
      <c r="E4827" s="49" t="str">
        <f aca="false">"5942326400483"</f>
        <v>5942326400483</v>
      </c>
      <c r="F4827" s="49" t="s">
        <v>3651</v>
      </c>
      <c r="G4827" s="49" t="n">
        <v>0</v>
      </c>
      <c r="H4827" s="0" t="n">
        <v>0</v>
      </c>
      <c r="M4827" s="51" t="s">
        <v>8931</v>
      </c>
      <c r="N4827" s="49" t="n">
        <v>0</v>
      </c>
      <c r="O4827" s="53" t="n">
        <v>45819.6759027778</v>
      </c>
      <c r="P4827" s="53" t="n">
        <v>45839.4496875</v>
      </c>
      <c r="Q4827" s="53" t="n">
        <v>45819.6759027778</v>
      </c>
      <c r="R4827" s="0" t="n">
        <v>0</v>
      </c>
      <c r="S4827" s="51" t="s">
        <v>2380</v>
      </c>
      <c r="T4827" s="51" t="s">
        <v>2380</v>
      </c>
      <c r="U4827" s="0" t="str">
        <f aca="false">"5942326400483"</f>
        <v>5942326400483</v>
      </c>
      <c r="V4827" s="51" t="s">
        <v>2365</v>
      </c>
      <c r="W4827" s="51" t="s">
        <v>4543</v>
      </c>
      <c r="X4827" s="51" t="s">
        <v>2359</v>
      </c>
    </row>
    <row r="4828" customFormat="false" ht="14.25" hidden="true" customHeight="false" outlineLevel="0" collapsed="false">
      <c r="A4828" s="49" t="s">
        <v>2349</v>
      </c>
      <c r="B4828" s="49" t="s">
        <v>2350</v>
      </c>
      <c r="C4828" s="49" t="s">
        <v>8935</v>
      </c>
      <c r="D4828" s="49" t="s">
        <v>2352</v>
      </c>
      <c r="E4828" s="49" t="str">
        <f aca="false">"5942326400483"</f>
        <v>5942326400483</v>
      </c>
      <c r="F4828" s="49" t="s">
        <v>3651</v>
      </c>
      <c r="G4828" s="49" t="n">
        <v>0</v>
      </c>
      <c r="H4828" s="0" t="n">
        <v>0</v>
      </c>
      <c r="M4828" s="51" t="s">
        <v>8931</v>
      </c>
      <c r="N4828" s="49" t="n">
        <v>0</v>
      </c>
      <c r="O4828" s="53" t="n">
        <v>45819.6761574074</v>
      </c>
      <c r="P4828" s="53" t="n">
        <v>45830.8008680556</v>
      </c>
      <c r="Q4828" s="53" t="n">
        <v>45819.6761574074</v>
      </c>
      <c r="R4828" s="0" t="n">
        <v>0</v>
      </c>
      <c r="S4828" s="51" t="s">
        <v>2380</v>
      </c>
      <c r="T4828" s="51" t="s">
        <v>2380</v>
      </c>
      <c r="U4828" s="0" t="str">
        <f aca="false">"5942326400483"</f>
        <v>5942326400483</v>
      </c>
      <c r="V4828" s="51" t="s">
        <v>2365</v>
      </c>
      <c r="W4828" s="51" t="s">
        <v>4541</v>
      </c>
      <c r="X4828" s="51" t="s">
        <v>2359</v>
      </c>
    </row>
    <row r="4829" customFormat="false" ht="14.25" hidden="true" customHeight="false" outlineLevel="0" collapsed="false">
      <c r="A4829" s="49" t="s">
        <v>2349</v>
      </c>
      <c r="B4829" s="49" t="s">
        <v>2350</v>
      </c>
      <c r="C4829" s="49" t="s">
        <v>8936</v>
      </c>
      <c r="D4829" s="49" t="s">
        <v>2352</v>
      </c>
      <c r="E4829" s="49" t="str">
        <f aca="false">"5942326400483"</f>
        <v>5942326400483</v>
      </c>
      <c r="F4829" s="49" t="s">
        <v>3651</v>
      </c>
      <c r="G4829" s="49" t="n">
        <v>0</v>
      </c>
      <c r="H4829" s="0" t="n">
        <v>0</v>
      </c>
      <c r="M4829" s="51" t="s">
        <v>8931</v>
      </c>
      <c r="N4829" s="49" t="n">
        <v>0</v>
      </c>
      <c r="O4829" s="53" t="n">
        <v>45819.6764699074</v>
      </c>
      <c r="P4829" s="53" t="n">
        <v>45830.799837963</v>
      </c>
      <c r="Q4829" s="53" t="n">
        <v>45819.6764699074</v>
      </c>
      <c r="R4829" s="0" t="n">
        <v>0</v>
      </c>
      <c r="S4829" s="51" t="s">
        <v>2380</v>
      </c>
      <c r="T4829" s="51" t="s">
        <v>2380</v>
      </c>
      <c r="U4829" s="0" t="str">
        <f aca="false">"5942326400483"</f>
        <v>5942326400483</v>
      </c>
      <c r="V4829" s="51" t="s">
        <v>2365</v>
      </c>
      <c r="W4829" s="51" t="s">
        <v>6012</v>
      </c>
      <c r="X4829" s="51" t="s">
        <v>2359</v>
      </c>
    </row>
    <row r="4830" customFormat="false" ht="14.25" hidden="true" customHeight="false" outlineLevel="0" collapsed="false">
      <c r="A4830" s="49" t="s">
        <v>2349</v>
      </c>
      <c r="B4830" s="49" t="s">
        <v>2350</v>
      </c>
      <c r="C4830" s="49" t="s">
        <v>8937</v>
      </c>
      <c r="D4830" s="49" t="s">
        <v>2352</v>
      </c>
      <c r="E4830" s="49" t="str">
        <f aca="false">"5942326400483"</f>
        <v>5942326400483</v>
      </c>
      <c r="F4830" s="49" t="s">
        <v>3651</v>
      </c>
      <c r="G4830" s="49" t="n">
        <v>0</v>
      </c>
      <c r="H4830" s="0" t="n">
        <v>0</v>
      </c>
      <c r="M4830" s="51" t="s">
        <v>8931</v>
      </c>
      <c r="N4830" s="49" t="n">
        <v>0</v>
      </c>
      <c r="O4830" s="53" t="n">
        <v>45819.6767361111</v>
      </c>
      <c r="P4830" s="53" t="n">
        <v>45837.6055439815</v>
      </c>
      <c r="Q4830" s="53" t="n">
        <v>45819.6767361111</v>
      </c>
      <c r="R4830" s="0" t="n">
        <v>0</v>
      </c>
      <c r="S4830" s="51" t="s">
        <v>2380</v>
      </c>
      <c r="T4830" s="51" t="s">
        <v>2380</v>
      </c>
      <c r="U4830" s="0" t="str">
        <f aca="false">"5942326400483"</f>
        <v>5942326400483</v>
      </c>
      <c r="V4830" s="51" t="s">
        <v>2365</v>
      </c>
      <c r="W4830" s="51" t="s">
        <v>5709</v>
      </c>
      <c r="X4830" s="51" t="s">
        <v>2359</v>
      </c>
    </row>
    <row r="4831" customFormat="false" ht="14.25" hidden="true" customHeight="false" outlineLevel="0" collapsed="false">
      <c r="A4831" s="49" t="s">
        <v>2349</v>
      </c>
      <c r="B4831" s="49" t="s">
        <v>2350</v>
      </c>
      <c r="C4831" s="49" t="s">
        <v>8938</v>
      </c>
      <c r="D4831" s="49" t="s">
        <v>2352</v>
      </c>
      <c r="E4831" s="49" t="str">
        <f aca="false">"5942326400483"</f>
        <v>5942326400483</v>
      </c>
      <c r="F4831" s="49" t="s">
        <v>3651</v>
      </c>
      <c r="G4831" s="49" t="n">
        <v>0</v>
      </c>
      <c r="H4831" s="0" t="n">
        <v>0</v>
      </c>
      <c r="M4831" s="51" t="s">
        <v>8931</v>
      </c>
      <c r="N4831" s="49" t="n">
        <v>0</v>
      </c>
      <c r="O4831" s="53" t="n">
        <v>45819.6769212963</v>
      </c>
      <c r="P4831" s="53" t="n">
        <v>45872.4727314815</v>
      </c>
      <c r="Q4831" s="53" t="n">
        <v>45819.6769212963</v>
      </c>
      <c r="R4831" s="0" t="n">
        <v>0</v>
      </c>
      <c r="S4831" s="51" t="s">
        <v>2380</v>
      </c>
      <c r="T4831" s="51" t="s">
        <v>2380</v>
      </c>
      <c r="U4831" s="0" t="str">
        <f aca="false">"5942326400483"</f>
        <v>5942326400483</v>
      </c>
      <c r="V4831" s="51" t="s">
        <v>2365</v>
      </c>
      <c r="W4831" s="51" t="s">
        <v>7454</v>
      </c>
      <c r="X4831" s="51" t="s">
        <v>2359</v>
      </c>
    </row>
    <row r="4832" customFormat="false" ht="14.25" hidden="true" customHeight="false" outlineLevel="0" collapsed="false">
      <c r="A4832" s="49" t="s">
        <v>2349</v>
      </c>
      <c r="B4832" s="49" t="s">
        <v>2350</v>
      </c>
      <c r="C4832" s="49" t="s">
        <v>8939</v>
      </c>
      <c r="D4832" s="49" t="s">
        <v>2352</v>
      </c>
      <c r="E4832" s="49" t="str">
        <f aca="false">"5942326400483"</f>
        <v>5942326400483</v>
      </c>
      <c r="F4832" s="49" t="s">
        <v>3651</v>
      </c>
      <c r="G4832" s="49" t="n">
        <v>0</v>
      </c>
      <c r="H4832" s="0" t="n">
        <v>0</v>
      </c>
      <c r="M4832" s="51" t="s">
        <v>8931</v>
      </c>
      <c r="N4832" s="49" t="n">
        <v>0</v>
      </c>
      <c r="O4832" s="53" t="n">
        <v>45819.6831712963</v>
      </c>
      <c r="P4832" s="53" t="n">
        <v>45869.4531365741</v>
      </c>
      <c r="Q4832" s="53" t="n">
        <v>45819.6831712963</v>
      </c>
      <c r="R4832" s="0" t="n">
        <v>0</v>
      </c>
      <c r="S4832" s="51" t="s">
        <v>2380</v>
      </c>
      <c r="T4832" s="51" t="s">
        <v>2380</v>
      </c>
      <c r="U4832" s="0" t="str">
        <f aca="false">"5942326400483"</f>
        <v>5942326400483</v>
      </c>
      <c r="V4832" s="51" t="s">
        <v>2365</v>
      </c>
      <c r="W4832" s="51" t="s">
        <v>6426</v>
      </c>
      <c r="X4832" s="51" t="s">
        <v>2359</v>
      </c>
    </row>
    <row r="4833" customFormat="false" ht="14.25" hidden="true" customHeight="false" outlineLevel="0" collapsed="false">
      <c r="A4833" s="49" t="s">
        <v>2349</v>
      </c>
      <c r="B4833" s="49" t="s">
        <v>2350</v>
      </c>
      <c r="C4833" s="49" t="s">
        <v>8940</v>
      </c>
      <c r="D4833" s="49" t="s">
        <v>2352</v>
      </c>
      <c r="E4833" s="49" t="str">
        <f aca="false">"5942326400483"</f>
        <v>5942326400483</v>
      </c>
      <c r="F4833" s="49" t="s">
        <v>3651</v>
      </c>
      <c r="G4833" s="49" t="n">
        <v>0</v>
      </c>
      <c r="H4833" s="0" t="n">
        <v>0</v>
      </c>
      <c r="M4833" s="51" t="s">
        <v>8931</v>
      </c>
      <c r="N4833" s="49" t="n">
        <v>0</v>
      </c>
      <c r="O4833" s="53" t="n">
        <v>45819.6830555556</v>
      </c>
      <c r="P4833" s="53" t="n">
        <v>45872.4734259259</v>
      </c>
      <c r="Q4833" s="53" t="n">
        <v>45819.6830555556</v>
      </c>
      <c r="R4833" s="0" t="n">
        <v>0</v>
      </c>
      <c r="S4833" s="51" t="s">
        <v>2380</v>
      </c>
      <c r="T4833" s="51" t="s">
        <v>2380</v>
      </c>
      <c r="U4833" s="0" t="str">
        <f aca="false">"5942326400483"</f>
        <v>5942326400483</v>
      </c>
      <c r="V4833" s="51" t="s">
        <v>2365</v>
      </c>
      <c r="W4833" s="51" t="s">
        <v>4824</v>
      </c>
      <c r="X4833" s="51" t="s">
        <v>2359</v>
      </c>
    </row>
    <row r="4834" customFormat="false" ht="14.25" hidden="true" customHeight="false" outlineLevel="0" collapsed="false">
      <c r="A4834" s="49" t="s">
        <v>2349</v>
      </c>
      <c r="B4834" s="49" t="s">
        <v>2350</v>
      </c>
      <c r="C4834" s="49" t="s">
        <v>8941</v>
      </c>
      <c r="D4834" s="49" t="s">
        <v>2352</v>
      </c>
      <c r="E4834" s="49" t="str">
        <f aca="false">"5942326400483"</f>
        <v>5942326400483</v>
      </c>
      <c r="F4834" s="49" t="s">
        <v>3651</v>
      </c>
      <c r="G4834" s="49" t="n">
        <v>0</v>
      </c>
      <c r="H4834" s="0" t="n">
        <v>0</v>
      </c>
      <c r="M4834" s="51" t="s">
        <v>8931</v>
      </c>
      <c r="N4834" s="49" t="n">
        <v>0</v>
      </c>
      <c r="O4834" s="53" t="n">
        <v>45819.6825810185</v>
      </c>
      <c r="P4834" s="53" t="n">
        <v>45855.9488888889</v>
      </c>
      <c r="Q4834" s="53" t="n">
        <v>45819.6825810185</v>
      </c>
      <c r="R4834" s="0" t="n">
        <v>0</v>
      </c>
      <c r="S4834" s="51" t="s">
        <v>2380</v>
      </c>
      <c r="T4834" s="51" t="s">
        <v>2380</v>
      </c>
      <c r="U4834" s="0" t="str">
        <f aca="false">"5942326400483"</f>
        <v>5942326400483</v>
      </c>
      <c r="V4834" s="51" t="s">
        <v>2365</v>
      </c>
      <c r="W4834" s="51" t="s">
        <v>8351</v>
      </c>
      <c r="X4834" s="51" t="s">
        <v>2359</v>
      </c>
    </row>
    <row r="4835" customFormat="false" ht="14.25" hidden="true" customHeight="false" outlineLevel="0" collapsed="false">
      <c r="A4835" s="49" t="s">
        <v>2349</v>
      </c>
      <c r="B4835" s="49" t="s">
        <v>2350</v>
      </c>
      <c r="C4835" s="49" t="s">
        <v>8942</v>
      </c>
      <c r="D4835" s="49" t="s">
        <v>2352</v>
      </c>
      <c r="E4835" s="49" t="str">
        <f aca="false">"5942326400483"</f>
        <v>5942326400483</v>
      </c>
      <c r="F4835" s="49" t="s">
        <v>3651</v>
      </c>
      <c r="G4835" s="49" t="n">
        <v>0</v>
      </c>
      <c r="H4835" s="0" t="n">
        <v>0</v>
      </c>
      <c r="M4835" s="51" t="s">
        <v>8931</v>
      </c>
      <c r="N4835" s="49" t="n">
        <v>0</v>
      </c>
      <c r="O4835" s="53" t="n">
        <v>45819.6822916667</v>
      </c>
      <c r="P4835" s="53" t="n">
        <v>45858.9699189815</v>
      </c>
      <c r="Q4835" s="53" t="n">
        <v>45819.6822916667</v>
      </c>
      <c r="R4835" s="0" t="n">
        <v>0</v>
      </c>
      <c r="S4835" s="51" t="s">
        <v>2380</v>
      </c>
      <c r="T4835" s="51" t="s">
        <v>2380</v>
      </c>
      <c r="U4835" s="0" t="str">
        <f aca="false">"5942326400483"</f>
        <v>5942326400483</v>
      </c>
      <c r="V4835" s="51" t="s">
        <v>2365</v>
      </c>
      <c r="W4835" s="51" t="s">
        <v>5428</v>
      </c>
      <c r="X4835" s="51" t="s">
        <v>2359</v>
      </c>
    </row>
    <row r="4836" customFormat="false" ht="14.25" hidden="true" customHeight="false" outlineLevel="0" collapsed="false">
      <c r="A4836" s="49" t="s">
        <v>2349</v>
      </c>
      <c r="B4836" s="49" t="s">
        <v>2350</v>
      </c>
      <c r="C4836" s="49" t="s">
        <v>8943</v>
      </c>
      <c r="D4836" s="49" t="s">
        <v>2352</v>
      </c>
      <c r="E4836" s="49" t="str">
        <f aca="false">"5942326400483"</f>
        <v>5942326400483</v>
      </c>
      <c r="F4836" s="49" t="s">
        <v>3651</v>
      </c>
      <c r="G4836" s="49" t="n">
        <v>0</v>
      </c>
      <c r="H4836" s="0" t="n">
        <v>0</v>
      </c>
      <c r="M4836" s="51" t="s">
        <v>8931</v>
      </c>
      <c r="N4836" s="49" t="n">
        <v>0</v>
      </c>
      <c r="O4836" s="53" t="n">
        <v>45819.6818055556</v>
      </c>
      <c r="P4836" s="53" t="n">
        <v>45864.3985185185</v>
      </c>
      <c r="Q4836" s="53" t="n">
        <v>45819.6818055556</v>
      </c>
      <c r="R4836" s="0" t="n">
        <v>0</v>
      </c>
      <c r="S4836" s="51" t="s">
        <v>2380</v>
      </c>
      <c r="T4836" s="51" t="s">
        <v>2380</v>
      </c>
      <c r="U4836" s="0" t="str">
        <f aca="false">"5942326400483"</f>
        <v>5942326400483</v>
      </c>
      <c r="V4836" s="51" t="s">
        <v>2365</v>
      </c>
      <c r="W4836" s="51" t="s">
        <v>6329</v>
      </c>
      <c r="X4836" s="51" t="s">
        <v>2359</v>
      </c>
    </row>
    <row r="4837" customFormat="false" ht="14.25" hidden="true" customHeight="false" outlineLevel="0" collapsed="false">
      <c r="A4837" s="49" t="s">
        <v>2349</v>
      </c>
      <c r="B4837" s="49" t="s">
        <v>2350</v>
      </c>
      <c r="C4837" s="49" t="s">
        <v>8944</v>
      </c>
      <c r="D4837" s="49" t="s">
        <v>2352</v>
      </c>
      <c r="E4837" s="49" t="str">
        <f aca="false">"5942326400483"</f>
        <v>5942326400483</v>
      </c>
      <c r="F4837" s="49" t="s">
        <v>3651</v>
      </c>
      <c r="G4837" s="49" t="n">
        <v>0</v>
      </c>
      <c r="H4837" s="0" t="n">
        <v>0</v>
      </c>
      <c r="M4837" s="51" t="s">
        <v>8931</v>
      </c>
      <c r="N4837" s="49" t="n">
        <v>0</v>
      </c>
      <c r="O4837" s="53" t="n">
        <v>45819.6813657407</v>
      </c>
      <c r="P4837" s="53" t="n">
        <v>45853.9084606482</v>
      </c>
      <c r="Q4837" s="53" t="n">
        <v>45819.6813657407</v>
      </c>
      <c r="R4837" s="0" t="n">
        <v>0</v>
      </c>
      <c r="S4837" s="51" t="s">
        <v>2380</v>
      </c>
      <c r="T4837" s="51" t="s">
        <v>2380</v>
      </c>
      <c r="U4837" s="0" t="str">
        <f aca="false">"5942326400483"</f>
        <v>5942326400483</v>
      </c>
      <c r="V4837" s="51" t="s">
        <v>2365</v>
      </c>
      <c r="W4837" s="51" t="s">
        <v>8945</v>
      </c>
      <c r="X4837" s="51" t="s">
        <v>2359</v>
      </c>
    </row>
    <row r="4838" customFormat="false" ht="14.25" hidden="true" customHeight="false" outlineLevel="0" collapsed="false">
      <c r="A4838" s="49" t="s">
        <v>2349</v>
      </c>
      <c r="B4838" s="49" t="s">
        <v>2350</v>
      </c>
      <c r="C4838" s="49" t="s">
        <v>8946</v>
      </c>
      <c r="D4838" s="49" t="s">
        <v>2352</v>
      </c>
      <c r="E4838" s="49" t="str">
        <f aca="false">"5942326400476"</f>
        <v>5942326400476</v>
      </c>
      <c r="F4838" s="49" t="s">
        <v>5167</v>
      </c>
      <c r="G4838" s="49" t="n">
        <v>0</v>
      </c>
      <c r="H4838" s="0" t="n">
        <v>0</v>
      </c>
      <c r="M4838" s="51" t="s">
        <v>8931</v>
      </c>
      <c r="N4838" s="49" t="n">
        <v>0</v>
      </c>
      <c r="O4838" s="53" t="n">
        <v>45819.6805208333</v>
      </c>
      <c r="P4838" s="53" t="n">
        <v>45963.9011458333</v>
      </c>
      <c r="Q4838" s="53" t="n">
        <v>45819.6805208333</v>
      </c>
      <c r="R4838" s="0" t="n">
        <v>0</v>
      </c>
      <c r="S4838" s="51" t="s">
        <v>2380</v>
      </c>
      <c r="T4838" s="51" t="s">
        <v>2380</v>
      </c>
      <c r="U4838" s="0" t="str">
        <f aca="false">"5942326400476"</f>
        <v>5942326400476</v>
      </c>
      <c r="V4838" s="51" t="s">
        <v>2365</v>
      </c>
      <c r="W4838" s="51" t="s">
        <v>4935</v>
      </c>
      <c r="X4838" s="51" t="s">
        <v>2359</v>
      </c>
    </row>
    <row r="4839" customFormat="false" ht="14.25" hidden="true" customHeight="false" outlineLevel="0" collapsed="false">
      <c r="A4839" s="49" t="s">
        <v>2349</v>
      </c>
      <c r="B4839" s="49" t="s">
        <v>2350</v>
      </c>
      <c r="C4839" s="49" t="s">
        <v>8947</v>
      </c>
      <c r="D4839" s="49" t="s">
        <v>2352</v>
      </c>
      <c r="E4839" s="49" t="str">
        <f aca="false">"5942326400476"</f>
        <v>5942326400476</v>
      </c>
      <c r="F4839" s="49" t="s">
        <v>5167</v>
      </c>
      <c r="G4839" s="49" t="n">
        <v>0</v>
      </c>
      <c r="H4839" s="0" t="n">
        <v>0</v>
      </c>
      <c r="M4839" s="51" t="s">
        <v>8931</v>
      </c>
      <c r="N4839" s="49" t="n">
        <v>0</v>
      </c>
      <c r="O4839" s="53" t="n">
        <v>45819.6802546296</v>
      </c>
      <c r="P4839" s="53" t="n">
        <v>45970.9342708333</v>
      </c>
      <c r="Q4839" s="53" t="n">
        <v>45819.6802546296</v>
      </c>
      <c r="R4839" s="0" t="n">
        <v>0</v>
      </c>
      <c r="S4839" s="51" t="s">
        <v>2380</v>
      </c>
      <c r="T4839" s="51" t="s">
        <v>2380</v>
      </c>
      <c r="U4839" s="0" t="str">
        <f aca="false">"5942326400476"</f>
        <v>5942326400476</v>
      </c>
      <c r="V4839" s="51" t="s">
        <v>2365</v>
      </c>
      <c r="W4839" s="51" t="s">
        <v>8948</v>
      </c>
      <c r="X4839" s="51" t="s">
        <v>2359</v>
      </c>
    </row>
    <row r="4840" customFormat="false" ht="14.25" hidden="true" customHeight="false" outlineLevel="0" collapsed="false">
      <c r="A4840" s="49" t="s">
        <v>2349</v>
      </c>
      <c r="B4840" s="49" t="s">
        <v>2350</v>
      </c>
      <c r="C4840" s="49" t="s">
        <v>8949</v>
      </c>
      <c r="D4840" s="49" t="s">
        <v>2352</v>
      </c>
      <c r="E4840" s="49" t="str">
        <f aca="false">"5942326400476"</f>
        <v>5942326400476</v>
      </c>
      <c r="F4840" s="49" t="s">
        <v>5167</v>
      </c>
      <c r="G4840" s="49" t="n">
        <v>0</v>
      </c>
      <c r="H4840" s="0" t="n">
        <v>0</v>
      </c>
      <c r="M4840" s="51" t="s">
        <v>8931</v>
      </c>
      <c r="N4840" s="49" t="n">
        <v>0</v>
      </c>
      <c r="O4840" s="53" t="n">
        <v>45819.6776851852</v>
      </c>
      <c r="P4840" s="53" t="n">
        <v>45908.4915740741</v>
      </c>
      <c r="Q4840" s="53" t="n">
        <v>45819.6776851852</v>
      </c>
      <c r="R4840" s="0" t="n">
        <v>0</v>
      </c>
      <c r="S4840" s="51" t="s">
        <v>2380</v>
      </c>
      <c r="T4840" s="51" t="s">
        <v>2380</v>
      </c>
      <c r="U4840" s="0" t="str">
        <f aca="false">"5942326400476"</f>
        <v>5942326400476</v>
      </c>
      <c r="V4840" s="51" t="s">
        <v>2365</v>
      </c>
      <c r="W4840" s="51" t="s">
        <v>6008</v>
      </c>
      <c r="X4840" s="51" t="s">
        <v>2359</v>
      </c>
    </row>
    <row r="4841" customFormat="false" ht="14.25" hidden="true" customHeight="false" outlineLevel="0" collapsed="false">
      <c r="A4841" s="49" t="s">
        <v>2349</v>
      </c>
      <c r="B4841" s="49" t="s">
        <v>2350</v>
      </c>
      <c r="C4841" s="49" t="s">
        <v>8950</v>
      </c>
      <c r="D4841" s="49" t="s">
        <v>2352</v>
      </c>
      <c r="E4841" s="49" t="str">
        <f aca="false">"5942326400476"</f>
        <v>5942326400476</v>
      </c>
      <c r="F4841" s="49" t="s">
        <v>5167</v>
      </c>
      <c r="G4841" s="49" t="n">
        <v>0</v>
      </c>
      <c r="H4841" s="0" t="n">
        <v>0</v>
      </c>
      <c r="M4841" s="51" t="s">
        <v>8931</v>
      </c>
      <c r="N4841" s="49" t="n">
        <v>0</v>
      </c>
      <c r="O4841" s="53" t="n">
        <v>45819.6807291667</v>
      </c>
      <c r="P4841" s="53" t="n">
        <v>45887.5885300926</v>
      </c>
      <c r="Q4841" s="53" t="n">
        <v>45819.6807291667</v>
      </c>
      <c r="R4841" s="0" t="n">
        <v>0</v>
      </c>
      <c r="S4841" s="51" t="s">
        <v>2380</v>
      </c>
      <c r="T4841" s="51" t="s">
        <v>2380</v>
      </c>
      <c r="U4841" s="0" t="str">
        <f aca="false">"5942326400476"</f>
        <v>5942326400476</v>
      </c>
      <c r="V4841" s="51" t="s">
        <v>2365</v>
      </c>
      <c r="W4841" s="51" t="s">
        <v>4816</v>
      </c>
      <c r="X4841" s="51" t="s">
        <v>2359</v>
      </c>
    </row>
    <row r="4842" customFormat="false" ht="14.25" hidden="true" customHeight="false" outlineLevel="0" collapsed="false">
      <c r="A4842" s="49" t="s">
        <v>2349</v>
      </c>
      <c r="B4842" s="49" t="s">
        <v>2350</v>
      </c>
      <c r="C4842" s="49" t="s">
        <v>8951</v>
      </c>
      <c r="D4842" s="49" t="s">
        <v>2352</v>
      </c>
      <c r="E4842" s="49" t="str">
        <f aca="false">"5942326400476"</f>
        <v>5942326400476</v>
      </c>
      <c r="F4842" s="49" t="s">
        <v>5167</v>
      </c>
      <c r="G4842" s="49" t="n">
        <v>0</v>
      </c>
      <c r="H4842" s="0" t="n">
        <v>0</v>
      </c>
      <c r="M4842" s="51" t="s">
        <v>8931</v>
      </c>
      <c r="N4842" s="49" t="n">
        <v>0</v>
      </c>
      <c r="O4842" s="53" t="n">
        <v>45819.6808680556</v>
      </c>
      <c r="P4842" s="53" t="n">
        <v>45918.7538425926</v>
      </c>
      <c r="Q4842" s="53" t="n">
        <v>45819.6808680556</v>
      </c>
      <c r="R4842" s="0" t="n">
        <v>0</v>
      </c>
      <c r="S4842" s="51" t="s">
        <v>2380</v>
      </c>
      <c r="T4842" s="51" t="s">
        <v>2380</v>
      </c>
      <c r="U4842" s="0" t="str">
        <f aca="false">"5942326400476"</f>
        <v>5942326400476</v>
      </c>
      <c r="V4842" s="51" t="s">
        <v>2365</v>
      </c>
      <c r="W4842" s="51" t="s">
        <v>4820</v>
      </c>
      <c r="X4842" s="51" t="s">
        <v>2359</v>
      </c>
    </row>
    <row r="4843" customFormat="false" ht="14.25" hidden="true" customHeight="false" outlineLevel="0" collapsed="false">
      <c r="A4843" s="49" t="s">
        <v>2349</v>
      </c>
      <c r="B4843" s="49" t="s">
        <v>2350</v>
      </c>
      <c r="C4843" s="49" t="s">
        <v>8952</v>
      </c>
      <c r="D4843" s="49" t="s">
        <v>2352</v>
      </c>
      <c r="E4843" s="49" t="str">
        <f aca="false">"5942326400476"</f>
        <v>5942326400476</v>
      </c>
      <c r="F4843" s="49" t="s">
        <v>5167</v>
      </c>
      <c r="G4843" s="49" t="n">
        <v>0</v>
      </c>
      <c r="H4843" s="0" t="n">
        <v>0</v>
      </c>
      <c r="M4843" s="51" t="s">
        <v>8931</v>
      </c>
      <c r="N4843" s="49" t="n">
        <v>0</v>
      </c>
      <c r="O4843" s="53" t="n">
        <v>45819.6810300926</v>
      </c>
      <c r="P4843" s="53" t="n">
        <v>46023.9547685185</v>
      </c>
      <c r="Q4843" s="53" t="n">
        <v>45819.6810300926</v>
      </c>
      <c r="R4843" s="0" t="n">
        <v>0</v>
      </c>
      <c r="S4843" s="51" t="s">
        <v>2380</v>
      </c>
      <c r="T4843" s="51" t="s">
        <v>2380</v>
      </c>
      <c r="U4843" s="0" t="str">
        <f aca="false">"5942326400476"</f>
        <v>5942326400476</v>
      </c>
      <c r="V4843" s="51" t="s">
        <v>2365</v>
      </c>
      <c r="W4843" s="51" t="s">
        <v>8953</v>
      </c>
      <c r="X4843" s="51" t="s">
        <v>2359</v>
      </c>
    </row>
    <row r="4844" customFormat="false" ht="14.25" hidden="true" customHeight="false" outlineLevel="0" collapsed="false">
      <c r="A4844" s="49" t="s">
        <v>2349</v>
      </c>
      <c r="B4844" s="49" t="s">
        <v>2350</v>
      </c>
      <c r="C4844" s="49" t="s">
        <v>8954</v>
      </c>
      <c r="D4844" s="49" t="s">
        <v>2352</v>
      </c>
      <c r="E4844" s="49" t="str">
        <f aca="false">"5942326400483"</f>
        <v>5942326400483</v>
      </c>
      <c r="F4844" s="49" t="s">
        <v>3651</v>
      </c>
      <c r="G4844" s="49" t="n">
        <v>0</v>
      </c>
      <c r="H4844" s="0" t="n">
        <v>0</v>
      </c>
      <c r="M4844" s="51" t="s">
        <v>8931</v>
      </c>
      <c r="N4844" s="49" t="n">
        <v>0</v>
      </c>
      <c r="O4844" s="53" t="n">
        <v>45819.6747337963</v>
      </c>
      <c r="P4844" s="53" t="n">
        <v>45844.8063194445</v>
      </c>
      <c r="Q4844" s="53" t="n">
        <v>45819.6747337963</v>
      </c>
      <c r="R4844" s="0" t="n">
        <v>0</v>
      </c>
      <c r="S4844" s="51" t="s">
        <v>2380</v>
      </c>
      <c r="T4844" s="51" t="s">
        <v>2380</v>
      </c>
      <c r="U4844" s="0" t="str">
        <f aca="false">"5942326400483"</f>
        <v>5942326400483</v>
      </c>
      <c r="V4844" s="51" t="s">
        <v>2365</v>
      </c>
      <c r="W4844" s="51" t="s">
        <v>4771</v>
      </c>
      <c r="X4844" s="51" t="s">
        <v>2359</v>
      </c>
    </row>
    <row r="4845" customFormat="false" ht="14.25" hidden="true" customHeight="false" outlineLevel="0" collapsed="false">
      <c r="A4845" s="49" t="s">
        <v>2349</v>
      </c>
      <c r="B4845" s="49" t="s">
        <v>2350</v>
      </c>
      <c r="C4845" s="49" t="s">
        <v>8955</v>
      </c>
      <c r="D4845" s="49" t="s">
        <v>2352</v>
      </c>
      <c r="E4845" s="49" t="str">
        <f aca="false">"12207690"</f>
        <v>12207690</v>
      </c>
      <c r="F4845" s="49" t="s">
        <v>4199</v>
      </c>
      <c r="G4845" s="49" t="n">
        <v>0</v>
      </c>
      <c r="H4845" s="0" t="n">
        <v>0</v>
      </c>
      <c r="M4845" s="51" t="s">
        <v>8956</v>
      </c>
      <c r="N4845" s="49" t="n">
        <v>0</v>
      </c>
      <c r="O4845" s="53" t="n">
        <v>45833.6743402778</v>
      </c>
      <c r="P4845" s="53" t="n">
        <v>45869.8480208333</v>
      </c>
      <c r="Q4845" s="53" t="n">
        <v>45833.6743402778</v>
      </c>
      <c r="R4845" s="0" t="n">
        <v>0</v>
      </c>
      <c r="S4845" s="51" t="s">
        <v>3780</v>
      </c>
      <c r="T4845" s="51" t="s">
        <v>3780</v>
      </c>
      <c r="U4845" s="0" t="str">
        <f aca="false">"12207690"</f>
        <v>12207690</v>
      </c>
      <c r="V4845" s="51" t="s">
        <v>2365</v>
      </c>
      <c r="W4845" s="51" t="s">
        <v>8679</v>
      </c>
      <c r="X4845" s="51" t="s">
        <v>2359</v>
      </c>
    </row>
    <row r="4846" customFormat="false" ht="14.25" hidden="true" customHeight="false" outlineLevel="0" collapsed="false">
      <c r="A4846" s="49" t="s">
        <v>2349</v>
      </c>
      <c r="B4846" s="49" t="s">
        <v>2350</v>
      </c>
      <c r="C4846" s="49" t="s">
        <v>8957</v>
      </c>
      <c r="D4846" s="49" t="s">
        <v>2352</v>
      </c>
      <c r="E4846" s="49" t="str">
        <f aca="false">"12207690"</f>
        <v>12207690</v>
      </c>
      <c r="F4846" s="49" t="s">
        <v>4199</v>
      </c>
      <c r="G4846" s="49" t="n">
        <v>0</v>
      </c>
      <c r="H4846" s="0" t="n">
        <v>0</v>
      </c>
      <c r="M4846" s="51" t="s">
        <v>8956</v>
      </c>
      <c r="N4846" s="49" t="n">
        <v>0</v>
      </c>
      <c r="O4846" s="53" t="n">
        <v>45833.6745138889</v>
      </c>
      <c r="P4846" s="53" t="n">
        <v>45869.8310532407</v>
      </c>
      <c r="Q4846" s="53" t="n">
        <v>45833.6745138889</v>
      </c>
      <c r="R4846" s="0" t="n">
        <v>0</v>
      </c>
      <c r="S4846" s="51" t="s">
        <v>3780</v>
      </c>
      <c r="T4846" s="51" t="s">
        <v>3780</v>
      </c>
      <c r="U4846" s="0" t="str">
        <f aca="false">"12207690"</f>
        <v>12207690</v>
      </c>
      <c r="V4846" s="51" t="s">
        <v>2365</v>
      </c>
      <c r="W4846" s="51" t="s">
        <v>5807</v>
      </c>
      <c r="X4846" s="51" t="s">
        <v>2359</v>
      </c>
    </row>
    <row r="4847" customFormat="false" ht="14.25" hidden="true" customHeight="false" outlineLevel="0" collapsed="false">
      <c r="A4847" s="49" t="s">
        <v>2349</v>
      </c>
      <c r="B4847" s="49" t="s">
        <v>2350</v>
      </c>
      <c r="C4847" s="49" t="s">
        <v>8958</v>
      </c>
      <c r="D4847" s="49" t="s">
        <v>2352</v>
      </c>
      <c r="E4847" s="49" t="str">
        <f aca="false">"12207690"</f>
        <v>12207690</v>
      </c>
      <c r="F4847" s="49" t="s">
        <v>4199</v>
      </c>
      <c r="G4847" s="49" t="n">
        <v>0</v>
      </c>
      <c r="H4847" s="0" t="n">
        <v>0</v>
      </c>
      <c r="M4847" s="51" t="s">
        <v>8956</v>
      </c>
      <c r="N4847" s="49" t="n">
        <v>0</v>
      </c>
      <c r="O4847" s="53" t="n">
        <v>45833.6746643519</v>
      </c>
      <c r="P4847" s="53" t="n">
        <v>45869.8299537037</v>
      </c>
      <c r="Q4847" s="53" t="n">
        <v>45833.6746643519</v>
      </c>
      <c r="R4847" s="0" t="n">
        <v>0</v>
      </c>
      <c r="S4847" s="51" t="s">
        <v>3780</v>
      </c>
      <c r="T4847" s="51" t="s">
        <v>3780</v>
      </c>
      <c r="U4847" s="0" t="str">
        <f aca="false">"12207690"</f>
        <v>12207690</v>
      </c>
      <c r="V4847" s="51" t="s">
        <v>2365</v>
      </c>
      <c r="W4847" s="51" t="s">
        <v>6844</v>
      </c>
      <c r="X4847" s="51" t="s">
        <v>2359</v>
      </c>
    </row>
    <row r="4848" customFormat="false" ht="14.25" hidden="true" customHeight="false" outlineLevel="0" collapsed="false">
      <c r="A4848" s="49" t="s">
        <v>2349</v>
      </c>
      <c r="B4848" s="49" t="s">
        <v>2350</v>
      </c>
      <c r="C4848" s="49" t="s">
        <v>8959</v>
      </c>
      <c r="D4848" s="49" t="s">
        <v>2352</v>
      </c>
      <c r="E4848" s="49" t="str">
        <f aca="false">"12207690"</f>
        <v>12207690</v>
      </c>
      <c r="F4848" s="49" t="s">
        <v>4199</v>
      </c>
      <c r="G4848" s="49" t="n">
        <v>0</v>
      </c>
      <c r="H4848" s="0" t="n">
        <v>0</v>
      </c>
      <c r="M4848" s="51" t="s">
        <v>8956</v>
      </c>
      <c r="N4848" s="49" t="n">
        <v>0</v>
      </c>
      <c r="O4848" s="53" t="n">
        <v>45833.674837963</v>
      </c>
      <c r="P4848" s="53" t="n">
        <v>45869.8287615741</v>
      </c>
      <c r="Q4848" s="53" t="n">
        <v>45833.674837963</v>
      </c>
      <c r="R4848" s="0" t="n">
        <v>0</v>
      </c>
      <c r="S4848" s="51" t="s">
        <v>3780</v>
      </c>
      <c r="T4848" s="51" t="s">
        <v>3780</v>
      </c>
      <c r="U4848" s="0" t="str">
        <f aca="false">"12207690"</f>
        <v>12207690</v>
      </c>
      <c r="V4848" s="51" t="s">
        <v>2365</v>
      </c>
      <c r="W4848" s="51" t="s">
        <v>4499</v>
      </c>
      <c r="X4848" s="51" t="s">
        <v>2359</v>
      </c>
    </row>
    <row r="4849" customFormat="false" ht="14.25" hidden="true" customHeight="false" outlineLevel="0" collapsed="false">
      <c r="A4849" s="49" t="s">
        <v>2349</v>
      </c>
      <c r="B4849" s="49" t="s">
        <v>2350</v>
      </c>
      <c r="C4849" s="49" t="s">
        <v>8960</v>
      </c>
      <c r="D4849" s="49" t="s">
        <v>2352</v>
      </c>
      <c r="E4849" s="49" t="str">
        <f aca="false">"12207690"</f>
        <v>12207690</v>
      </c>
      <c r="F4849" s="49" t="s">
        <v>4199</v>
      </c>
      <c r="G4849" s="49" t="n">
        <v>0</v>
      </c>
      <c r="H4849" s="0" t="n">
        <v>0</v>
      </c>
      <c r="M4849" s="51" t="s">
        <v>8956</v>
      </c>
      <c r="N4849" s="49" t="n">
        <v>0</v>
      </c>
      <c r="O4849" s="53" t="n">
        <v>45833.675</v>
      </c>
      <c r="P4849" s="53" t="n">
        <v>45869.8273958333</v>
      </c>
      <c r="Q4849" s="53" t="n">
        <v>45833.675</v>
      </c>
      <c r="R4849" s="0" t="n">
        <v>0</v>
      </c>
      <c r="S4849" s="51" t="s">
        <v>3780</v>
      </c>
      <c r="T4849" s="51" t="s">
        <v>3780</v>
      </c>
      <c r="U4849" s="0" t="str">
        <f aca="false">"12207690"</f>
        <v>12207690</v>
      </c>
      <c r="V4849" s="51" t="s">
        <v>2365</v>
      </c>
      <c r="W4849" s="51" t="s">
        <v>4569</v>
      </c>
      <c r="X4849" s="51" t="s">
        <v>2359</v>
      </c>
    </row>
    <row r="4850" customFormat="false" ht="14.25" hidden="true" customHeight="false" outlineLevel="0" collapsed="false">
      <c r="A4850" s="49" t="s">
        <v>2349</v>
      </c>
      <c r="B4850" s="49" t="s">
        <v>2350</v>
      </c>
      <c r="C4850" s="49" t="s">
        <v>8961</v>
      </c>
      <c r="D4850" s="49" t="s">
        <v>2352</v>
      </c>
      <c r="E4850" s="49" t="str">
        <f aca="false">"12207690"</f>
        <v>12207690</v>
      </c>
      <c r="F4850" s="49" t="s">
        <v>4199</v>
      </c>
      <c r="G4850" s="49" t="n">
        <v>0</v>
      </c>
      <c r="H4850" s="0" t="n">
        <v>0</v>
      </c>
      <c r="M4850" s="51" t="s">
        <v>8956</v>
      </c>
      <c r="N4850" s="49" t="n">
        <v>0</v>
      </c>
      <c r="O4850" s="53" t="n">
        <v>45833.6751851852</v>
      </c>
      <c r="P4850" s="53" t="n">
        <v>45869.8486574074</v>
      </c>
      <c r="Q4850" s="53" t="n">
        <v>45833.6751851852</v>
      </c>
      <c r="R4850" s="0" t="n">
        <v>0</v>
      </c>
      <c r="S4850" s="51" t="s">
        <v>3780</v>
      </c>
      <c r="T4850" s="51" t="s">
        <v>3780</v>
      </c>
      <c r="U4850" s="0" t="str">
        <f aca="false">"12207690"</f>
        <v>12207690</v>
      </c>
      <c r="V4850" s="51" t="s">
        <v>2365</v>
      </c>
      <c r="W4850" s="51" t="s">
        <v>8962</v>
      </c>
      <c r="X4850" s="51" t="s">
        <v>2359</v>
      </c>
    </row>
    <row r="4851" customFormat="false" ht="14.25" hidden="true" customHeight="false" outlineLevel="0" collapsed="false">
      <c r="A4851" s="49" t="s">
        <v>2349</v>
      </c>
      <c r="B4851" s="49" t="s">
        <v>2350</v>
      </c>
      <c r="C4851" s="49" t="s">
        <v>8963</v>
      </c>
      <c r="D4851" s="49" t="s">
        <v>2352</v>
      </c>
      <c r="E4851" s="49" t="str">
        <f aca="false">"12207690"</f>
        <v>12207690</v>
      </c>
      <c r="F4851" s="49" t="s">
        <v>4199</v>
      </c>
      <c r="G4851" s="49" t="n">
        <v>0</v>
      </c>
      <c r="H4851" s="0" t="n">
        <v>0</v>
      </c>
      <c r="M4851" s="51" t="s">
        <v>8956</v>
      </c>
      <c r="N4851" s="49" t="n">
        <v>0</v>
      </c>
      <c r="O4851" s="53" t="n">
        <v>45833.6753240741</v>
      </c>
      <c r="P4851" s="53" t="n">
        <v>45869.8504861111</v>
      </c>
      <c r="Q4851" s="53" t="n">
        <v>45833.6753240741</v>
      </c>
      <c r="R4851" s="0" t="n">
        <v>0</v>
      </c>
      <c r="S4851" s="51" t="s">
        <v>3780</v>
      </c>
      <c r="T4851" s="51" t="s">
        <v>3780</v>
      </c>
      <c r="U4851" s="0" t="str">
        <f aca="false">"12207690"</f>
        <v>12207690</v>
      </c>
      <c r="V4851" s="51" t="s">
        <v>2365</v>
      </c>
      <c r="W4851" s="51" t="s">
        <v>4959</v>
      </c>
      <c r="X4851" s="51" t="s">
        <v>2359</v>
      </c>
    </row>
    <row r="4852" customFormat="false" ht="14.25" hidden="true" customHeight="false" outlineLevel="0" collapsed="false">
      <c r="A4852" s="49" t="s">
        <v>2349</v>
      </c>
      <c r="B4852" s="49" t="s">
        <v>2350</v>
      </c>
      <c r="C4852" s="49" t="s">
        <v>8964</v>
      </c>
      <c r="D4852" s="49" t="s">
        <v>2352</v>
      </c>
      <c r="E4852" s="49" t="str">
        <f aca="false">"12207690"</f>
        <v>12207690</v>
      </c>
      <c r="F4852" s="49" t="s">
        <v>4199</v>
      </c>
      <c r="G4852" s="49" t="n">
        <v>0</v>
      </c>
      <c r="H4852" s="0" t="n">
        <v>0</v>
      </c>
      <c r="M4852" s="51" t="s">
        <v>8956</v>
      </c>
      <c r="N4852" s="49" t="n">
        <v>0</v>
      </c>
      <c r="O4852" s="53" t="n">
        <v>45833.675474537</v>
      </c>
      <c r="P4852" s="53" t="n">
        <v>45869.8500925926</v>
      </c>
      <c r="Q4852" s="53" t="n">
        <v>45833.675474537</v>
      </c>
      <c r="R4852" s="0" t="n">
        <v>0</v>
      </c>
      <c r="S4852" s="51" t="s">
        <v>3780</v>
      </c>
      <c r="T4852" s="51" t="s">
        <v>3780</v>
      </c>
      <c r="U4852" s="0" t="str">
        <f aca="false">"12207690"</f>
        <v>12207690</v>
      </c>
      <c r="V4852" s="51" t="s">
        <v>2365</v>
      </c>
      <c r="W4852" s="51" t="s">
        <v>8067</v>
      </c>
      <c r="X4852" s="51" t="s">
        <v>2359</v>
      </c>
    </row>
    <row r="4853" customFormat="false" ht="14.25" hidden="true" customHeight="false" outlineLevel="0" collapsed="false">
      <c r="A4853" s="49" t="s">
        <v>2349</v>
      </c>
      <c r="B4853" s="49" t="s">
        <v>2350</v>
      </c>
      <c r="C4853" s="49" t="s">
        <v>8965</v>
      </c>
      <c r="D4853" s="49" t="s">
        <v>2352</v>
      </c>
      <c r="E4853" s="49" t="str">
        <f aca="false">"12207690"</f>
        <v>12207690</v>
      </c>
      <c r="F4853" s="49" t="s">
        <v>4199</v>
      </c>
      <c r="G4853" s="49" t="n">
        <v>0</v>
      </c>
      <c r="H4853" s="0" t="n">
        <v>0</v>
      </c>
      <c r="M4853" s="51" t="s">
        <v>8956</v>
      </c>
      <c r="N4853" s="49" t="n">
        <v>0</v>
      </c>
      <c r="O4853" s="53" t="n">
        <v>45833.6757638889</v>
      </c>
      <c r="P4853" s="53" t="n">
        <v>45903.7638657407</v>
      </c>
      <c r="Q4853" s="53" t="n">
        <v>45833.6757638889</v>
      </c>
      <c r="R4853" s="0" t="n">
        <v>0</v>
      </c>
      <c r="S4853" s="51" t="s">
        <v>3780</v>
      </c>
      <c r="T4853" s="51" t="s">
        <v>3780</v>
      </c>
      <c r="U4853" s="0" t="str">
        <f aca="false">"12207690"</f>
        <v>12207690</v>
      </c>
      <c r="V4853" s="51" t="s">
        <v>2365</v>
      </c>
      <c r="W4853" s="51" t="s">
        <v>8966</v>
      </c>
      <c r="X4853" s="51" t="s">
        <v>2359</v>
      </c>
    </row>
    <row r="4854" customFormat="false" ht="14.25" hidden="true" customHeight="false" outlineLevel="0" collapsed="false">
      <c r="A4854" s="49" t="s">
        <v>2349</v>
      </c>
      <c r="B4854" s="49" t="s">
        <v>2350</v>
      </c>
      <c r="C4854" s="49" t="s">
        <v>8967</v>
      </c>
      <c r="D4854" s="49" t="s">
        <v>2352</v>
      </c>
      <c r="E4854" s="49" t="str">
        <f aca="false">"12207690"</f>
        <v>12207690</v>
      </c>
      <c r="F4854" s="49" t="s">
        <v>4199</v>
      </c>
      <c r="G4854" s="49" t="n">
        <v>0</v>
      </c>
      <c r="H4854" s="0" t="n">
        <v>0</v>
      </c>
      <c r="M4854" s="51" t="s">
        <v>8956</v>
      </c>
      <c r="N4854" s="49" t="n">
        <v>0</v>
      </c>
      <c r="O4854" s="53" t="n">
        <v>45833.6759027778</v>
      </c>
      <c r="P4854" s="53" t="n">
        <v>45869.8457407407</v>
      </c>
      <c r="Q4854" s="53" t="n">
        <v>45833.6759027778</v>
      </c>
      <c r="R4854" s="0" t="n">
        <v>0</v>
      </c>
      <c r="S4854" s="51" t="s">
        <v>3780</v>
      </c>
      <c r="T4854" s="51" t="s">
        <v>3780</v>
      </c>
      <c r="U4854" s="0" t="str">
        <f aca="false">"12207690"</f>
        <v>12207690</v>
      </c>
      <c r="V4854" s="51" t="s">
        <v>2365</v>
      </c>
      <c r="W4854" s="51" t="s">
        <v>5176</v>
      </c>
      <c r="X4854" s="51" t="s">
        <v>2359</v>
      </c>
    </row>
    <row r="4855" customFormat="false" ht="14.25" hidden="true" customHeight="false" outlineLevel="0" collapsed="false">
      <c r="A4855" s="49" t="s">
        <v>2349</v>
      </c>
      <c r="B4855" s="49" t="s">
        <v>2350</v>
      </c>
      <c r="C4855" s="49" t="s">
        <v>8968</v>
      </c>
      <c r="D4855" s="49" t="s">
        <v>2352</v>
      </c>
      <c r="E4855" s="49" t="str">
        <f aca="false">"12207690"</f>
        <v>12207690</v>
      </c>
      <c r="F4855" s="49" t="s">
        <v>4199</v>
      </c>
      <c r="G4855" s="49" t="n">
        <v>0</v>
      </c>
      <c r="H4855" s="0" t="n">
        <v>0</v>
      </c>
      <c r="M4855" s="51" t="s">
        <v>8956</v>
      </c>
      <c r="N4855" s="49" t="n">
        <v>0</v>
      </c>
      <c r="O4855" s="53" t="n">
        <v>45833.6760532407</v>
      </c>
      <c r="P4855" s="53" t="n">
        <v>45869.8260185185</v>
      </c>
      <c r="Q4855" s="53" t="n">
        <v>45833.6760532407</v>
      </c>
      <c r="R4855" s="0" t="n">
        <v>0</v>
      </c>
      <c r="S4855" s="51" t="s">
        <v>3780</v>
      </c>
      <c r="T4855" s="51" t="s">
        <v>3780</v>
      </c>
      <c r="U4855" s="0" t="str">
        <f aca="false">"12207690"</f>
        <v>12207690</v>
      </c>
      <c r="V4855" s="51" t="s">
        <v>2365</v>
      </c>
      <c r="W4855" s="51" t="s">
        <v>6847</v>
      </c>
      <c r="X4855" s="51" t="s">
        <v>2359</v>
      </c>
    </row>
    <row r="4856" customFormat="false" ht="14.25" hidden="true" customHeight="false" outlineLevel="0" collapsed="false">
      <c r="A4856" s="49" t="s">
        <v>2349</v>
      </c>
      <c r="B4856" s="49" t="s">
        <v>2350</v>
      </c>
      <c r="C4856" s="49" t="s">
        <v>8969</v>
      </c>
      <c r="D4856" s="49" t="s">
        <v>2352</v>
      </c>
      <c r="E4856" s="49" t="str">
        <f aca="false">"12207690"</f>
        <v>12207690</v>
      </c>
      <c r="F4856" s="49" t="s">
        <v>4199</v>
      </c>
      <c r="G4856" s="49" t="n">
        <v>0</v>
      </c>
      <c r="H4856" s="0" t="n">
        <v>0</v>
      </c>
      <c r="M4856" s="51" t="s">
        <v>8956</v>
      </c>
      <c r="N4856" s="49" t="n">
        <v>0</v>
      </c>
      <c r="O4856" s="53" t="n">
        <v>45833.6761921296</v>
      </c>
      <c r="P4856" s="53" t="n">
        <v>45869.8253819444</v>
      </c>
      <c r="Q4856" s="53" t="n">
        <v>45833.6761921296</v>
      </c>
      <c r="R4856" s="0" t="n">
        <v>0</v>
      </c>
      <c r="S4856" s="51" t="s">
        <v>3780</v>
      </c>
      <c r="T4856" s="51" t="s">
        <v>3780</v>
      </c>
      <c r="U4856" s="0" t="str">
        <f aca="false">"12207690"</f>
        <v>12207690</v>
      </c>
      <c r="V4856" s="51" t="s">
        <v>2365</v>
      </c>
      <c r="W4856" s="51" t="s">
        <v>5814</v>
      </c>
      <c r="X4856" s="51" t="s">
        <v>2359</v>
      </c>
    </row>
    <row r="4857" customFormat="false" ht="14.25" hidden="true" customHeight="false" outlineLevel="0" collapsed="false">
      <c r="A4857" s="49" t="s">
        <v>2349</v>
      </c>
      <c r="B4857" s="49" t="s">
        <v>2350</v>
      </c>
      <c r="C4857" s="49" t="s">
        <v>8970</v>
      </c>
      <c r="D4857" s="49" t="s">
        <v>2352</v>
      </c>
      <c r="E4857" s="49" t="str">
        <f aca="false">"12207690"</f>
        <v>12207690</v>
      </c>
      <c r="F4857" s="49" t="s">
        <v>4199</v>
      </c>
      <c r="G4857" s="49" t="n">
        <v>0</v>
      </c>
      <c r="H4857" s="0" t="n">
        <v>0</v>
      </c>
      <c r="M4857" s="51" t="s">
        <v>8956</v>
      </c>
      <c r="N4857" s="49" t="n">
        <v>0</v>
      </c>
      <c r="O4857" s="53" t="n">
        <v>45833.6763657407</v>
      </c>
      <c r="P4857" s="53" t="n">
        <v>45869.9451388889</v>
      </c>
      <c r="Q4857" s="53" t="n">
        <v>45833.6763657407</v>
      </c>
      <c r="R4857" s="0" t="n">
        <v>0</v>
      </c>
      <c r="S4857" s="51" t="s">
        <v>3780</v>
      </c>
      <c r="T4857" s="51" t="s">
        <v>3780</v>
      </c>
      <c r="U4857" s="0" t="str">
        <f aca="false">"12207690"</f>
        <v>12207690</v>
      </c>
      <c r="V4857" s="51" t="s">
        <v>2365</v>
      </c>
      <c r="W4857" s="51" t="s">
        <v>5818</v>
      </c>
      <c r="X4857" s="51" t="s">
        <v>2359</v>
      </c>
    </row>
    <row r="4858" customFormat="false" ht="14.25" hidden="true" customHeight="false" outlineLevel="0" collapsed="false">
      <c r="A4858" s="49" t="s">
        <v>2349</v>
      </c>
      <c r="B4858" s="49" t="s">
        <v>2350</v>
      </c>
      <c r="C4858" s="49" t="s">
        <v>8971</v>
      </c>
      <c r="D4858" s="49" t="s">
        <v>2352</v>
      </c>
      <c r="E4858" s="49" t="str">
        <f aca="false">"12207690"</f>
        <v>12207690</v>
      </c>
      <c r="F4858" s="49" t="s">
        <v>4199</v>
      </c>
      <c r="G4858" s="49" t="n">
        <v>0</v>
      </c>
      <c r="H4858" s="0" t="n">
        <v>0</v>
      </c>
      <c r="M4858" s="51" t="s">
        <v>8956</v>
      </c>
      <c r="N4858" s="49" t="n">
        <v>0</v>
      </c>
      <c r="O4858" s="53" t="n">
        <v>45833.6765162037</v>
      </c>
      <c r="P4858" s="53" t="n">
        <v>45869.8197337963</v>
      </c>
      <c r="Q4858" s="53" t="n">
        <v>45833.6765162037</v>
      </c>
      <c r="R4858" s="0" t="n">
        <v>0</v>
      </c>
      <c r="S4858" s="51" t="s">
        <v>3780</v>
      </c>
      <c r="T4858" s="51" t="s">
        <v>3780</v>
      </c>
      <c r="U4858" s="0" t="str">
        <f aca="false">"12207690"</f>
        <v>12207690</v>
      </c>
      <c r="V4858" s="51" t="s">
        <v>2365</v>
      </c>
      <c r="W4858" s="51" t="s">
        <v>5952</v>
      </c>
      <c r="X4858" s="51" t="s">
        <v>2359</v>
      </c>
    </row>
    <row r="4859" customFormat="false" ht="14.25" hidden="true" customHeight="false" outlineLevel="0" collapsed="false">
      <c r="A4859" s="49" t="s">
        <v>2349</v>
      </c>
      <c r="B4859" s="49" t="s">
        <v>2350</v>
      </c>
      <c r="C4859" s="49" t="s">
        <v>8972</v>
      </c>
      <c r="D4859" s="49" t="s">
        <v>2352</v>
      </c>
      <c r="E4859" s="49" t="str">
        <f aca="false">"12207690"</f>
        <v>12207690</v>
      </c>
      <c r="F4859" s="49" t="s">
        <v>4199</v>
      </c>
      <c r="G4859" s="49" t="n">
        <v>0</v>
      </c>
      <c r="H4859" s="0" t="n">
        <v>0</v>
      </c>
      <c r="M4859" s="51" t="s">
        <v>8956</v>
      </c>
      <c r="N4859" s="49" t="n">
        <v>0</v>
      </c>
      <c r="O4859" s="53" t="n">
        <v>45833.676712963</v>
      </c>
      <c r="P4859" s="53" t="n">
        <v>45869.9449189815</v>
      </c>
      <c r="Q4859" s="53" t="n">
        <v>45833.676712963</v>
      </c>
      <c r="R4859" s="0" t="n">
        <v>0</v>
      </c>
      <c r="S4859" s="51" t="s">
        <v>3780</v>
      </c>
      <c r="T4859" s="51" t="s">
        <v>3780</v>
      </c>
      <c r="U4859" s="0" t="str">
        <f aca="false">"12207690"</f>
        <v>12207690</v>
      </c>
      <c r="V4859" s="51" t="s">
        <v>2365</v>
      </c>
      <c r="W4859" s="51" t="s">
        <v>5940</v>
      </c>
      <c r="X4859" s="51" t="s">
        <v>2359</v>
      </c>
    </row>
    <row r="4860" customFormat="false" ht="14.25" hidden="true" customHeight="false" outlineLevel="0" collapsed="false">
      <c r="A4860" s="49" t="s">
        <v>2349</v>
      </c>
      <c r="B4860" s="49" t="s">
        <v>2350</v>
      </c>
      <c r="C4860" s="49" t="s">
        <v>8973</v>
      </c>
      <c r="D4860" s="49" t="s">
        <v>2352</v>
      </c>
      <c r="E4860" s="49" t="str">
        <f aca="false">"12207690"</f>
        <v>12207690</v>
      </c>
      <c r="F4860" s="49" t="s">
        <v>4199</v>
      </c>
      <c r="G4860" s="49" t="n">
        <v>0</v>
      </c>
      <c r="H4860" s="0" t="n">
        <v>0</v>
      </c>
      <c r="M4860" s="51" t="s">
        <v>8956</v>
      </c>
      <c r="N4860" s="49" t="n">
        <v>0</v>
      </c>
      <c r="O4860" s="53" t="n">
        <v>45833.676875</v>
      </c>
      <c r="P4860" s="53" t="n">
        <v>45869.8185648148</v>
      </c>
      <c r="Q4860" s="53" t="n">
        <v>45833.676875</v>
      </c>
      <c r="R4860" s="0" t="n">
        <v>0</v>
      </c>
      <c r="S4860" s="51" t="s">
        <v>3780</v>
      </c>
      <c r="T4860" s="51" t="s">
        <v>3780</v>
      </c>
      <c r="U4860" s="0" t="str">
        <f aca="false">"12207690"</f>
        <v>12207690</v>
      </c>
      <c r="V4860" s="51" t="s">
        <v>2365</v>
      </c>
      <c r="W4860" s="51" t="s">
        <v>8974</v>
      </c>
      <c r="X4860" s="51" t="s">
        <v>2359</v>
      </c>
    </row>
    <row r="4861" customFormat="false" ht="14.25" hidden="true" customHeight="false" outlineLevel="0" collapsed="false">
      <c r="A4861" s="49" t="s">
        <v>2349</v>
      </c>
      <c r="B4861" s="49" t="s">
        <v>2350</v>
      </c>
      <c r="C4861" s="49" t="s">
        <v>8975</v>
      </c>
      <c r="D4861" s="49" t="s">
        <v>2352</v>
      </c>
      <c r="E4861" s="49" t="str">
        <f aca="false">"12207690"</f>
        <v>12207690</v>
      </c>
      <c r="F4861" s="49" t="s">
        <v>4199</v>
      </c>
      <c r="G4861" s="49" t="n">
        <v>0</v>
      </c>
      <c r="H4861" s="0" t="n">
        <v>0</v>
      </c>
      <c r="M4861" s="51" t="s">
        <v>8956</v>
      </c>
      <c r="N4861" s="49" t="n">
        <v>0</v>
      </c>
      <c r="O4861" s="53" t="n">
        <v>45833.6770138889</v>
      </c>
      <c r="P4861" s="53" t="n">
        <v>45855.9632060185</v>
      </c>
      <c r="Q4861" s="53" t="n">
        <v>45833.6770138889</v>
      </c>
      <c r="R4861" s="0" t="n">
        <v>0</v>
      </c>
      <c r="S4861" s="51" t="s">
        <v>3780</v>
      </c>
      <c r="T4861" s="51" t="s">
        <v>3780</v>
      </c>
      <c r="U4861" s="0" t="str">
        <f aca="false">"12207690"</f>
        <v>12207690</v>
      </c>
      <c r="V4861" s="51" t="s">
        <v>2365</v>
      </c>
      <c r="W4861" s="51" t="s">
        <v>5936</v>
      </c>
      <c r="X4861" s="51" t="s">
        <v>2359</v>
      </c>
    </row>
    <row r="4862" customFormat="false" ht="14.25" hidden="true" customHeight="false" outlineLevel="0" collapsed="false">
      <c r="A4862" s="49" t="s">
        <v>2349</v>
      </c>
      <c r="B4862" s="49" t="s">
        <v>2350</v>
      </c>
      <c r="C4862" s="49" t="s">
        <v>8976</v>
      </c>
      <c r="D4862" s="49" t="s">
        <v>2352</v>
      </c>
      <c r="E4862" s="49" t="str">
        <f aca="false">"12207690"</f>
        <v>12207690</v>
      </c>
      <c r="F4862" s="49" t="s">
        <v>4199</v>
      </c>
      <c r="G4862" s="49" t="n">
        <v>0</v>
      </c>
      <c r="H4862" s="0" t="n">
        <v>0</v>
      </c>
      <c r="M4862" s="51" t="s">
        <v>8956</v>
      </c>
      <c r="N4862" s="49" t="n">
        <v>0</v>
      </c>
      <c r="O4862" s="53" t="n">
        <v>45833.6778356481</v>
      </c>
      <c r="P4862" s="53" t="n">
        <v>45903.7626157407</v>
      </c>
      <c r="Q4862" s="53" t="n">
        <v>45833.6778356481</v>
      </c>
      <c r="R4862" s="0" t="n">
        <v>0</v>
      </c>
      <c r="S4862" s="51" t="s">
        <v>3780</v>
      </c>
      <c r="T4862" s="51" t="s">
        <v>3780</v>
      </c>
      <c r="U4862" s="0" t="str">
        <f aca="false">"12207690"</f>
        <v>12207690</v>
      </c>
      <c r="V4862" s="51" t="s">
        <v>2365</v>
      </c>
      <c r="W4862" s="51" t="s">
        <v>8977</v>
      </c>
      <c r="X4862" s="51" t="s">
        <v>2359</v>
      </c>
    </row>
    <row r="4863" customFormat="false" ht="14.25" hidden="true" customHeight="false" outlineLevel="0" collapsed="false">
      <c r="A4863" s="49" t="s">
        <v>2349</v>
      </c>
      <c r="B4863" s="49" t="s">
        <v>2350</v>
      </c>
      <c r="C4863" s="49" t="s">
        <v>8978</v>
      </c>
      <c r="D4863" s="49" t="s">
        <v>2352</v>
      </c>
      <c r="E4863" s="49" t="str">
        <f aca="false">"12207690"</f>
        <v>12207690</v>
      </c>
      <c r="F4863" s="49" t="s">
        <v>4199</v>
      </c>
      <c r="G4863" s="49" t="n">
        <v>0</v>
      </c>
      <c r="H4863" s="0" t="n">
        <v>0</v>
      </c>
      <c r="M4863" s="51" t="s">
        <v>8956</v>
      </c>
      <c r="N4863" s="49" t="n">
        <v>0</v>
      </c>
      <c r="O4863" s="53" t="n">
        <v>45833.6780324074</v>
      </c>
      <c r="P4863" s="53" t="n">
        <v>45869.8496412037</v>
      </c>
      <c r="Q4863" s="53" t="n">
        <v>45833.6780324074</v>
      </c>
      <c r="R4863" s="0" t="n">
        <v>0</v>
      </c>
      <c r="S4863" s="51" t="s">
        <v>3780</v>
      </c>
      <c r="T4863" s="51" t="s">
        <v>3780</v>
      </c>
      <c r="U4863" s="0" t="str">
        <f aca="false">"12207690"</f>
        <v>12207690</v>
      </c>
      <c r="V4863" s="51" t="s">
        <v>2365</v>
      </c>
      <c r="W4863" s="51" t="s">
        <v>8979</v>
      </c>
      <c r="X4863" s="51" t="s">
        <v>2359</v>
      </c>
    </row>
    <row r="4864" customFormat="false" ht="14.25" hidden="true" customHeight="false" outlineLevel="0" collapsed="false">
      <c r="A4864" s="49" t="s">
        <v>2349</v>
      </c>
      <c r="B4864" s="49" t="s">
        <v>2350</v>
      </c>
      <c r="C4864" s="49" t="s">
        <v>8980</v>
      </c>
      <c r="D4864" s="49" t="s">
        <v>2352</v>
      </c>
      <c r="E4864" s="49" t="str">
        <f aca="false">"12207690"</f>
        <v>12207690</v>
      </c>
      <c r="F4864" s="49" t="s">
        <v>4199</v>
      </c>
      <c r="G4864" s="49" t="n">
        <v>0</v>
      </c>
      <c r="H4864" s="0" t="n">
        <v>0</v>
      </c>
      <c r="M4864" s="51" t="s">
        <v>8956</v>
      </c>
      <c r="N4864" s="49" t="n">
        <v>0</v>
      </c>
      <c r="O4864" s="53" t="n">
        <v>45833.6806944445</v>
      </c>
      <c r="P4864" s="53" t="n">
        <v>45869.8510648148</v>
      </c>
      <c r="Q4864" s="53" t="n">
        <v>45833.6806944445</v>
      </c>
      <c r="R4864" s="0" t="n">
        <v>0</v>
      </c>
      <c r="S4864" s="51" t="s">
        <v>3780</v>
      </c>
      <c r="T4864" s="51" t="s">
        <v>3780</v>
      </c>
      <c r="U4864" s="0" t="str">
        <f aca="false">"12207690"</f>
        <v>12207690</v>
      </c>
      <c r="V4864" s="51" t="s">
        <v>2365</v>
      </c>
      <c r="W4864" s="51" t="s">
        <v>7819</v>
      </c>
      <c r="X4864" s="51" t="s">
        <v>2359</v>
      </c>
    </row>
    <row r="4865" customFormat="false" ht="14.25" hidden="true" customHeight="false" outlineLevel="0" collapsed="false">
      <c r="A4865" s="49" t="s">
        <v>2349</v>
      </c>
      <c r="B4865" s="49" t="s">
        <v>2350</v>
      </c>
      <c r="C4865" s="49" t="s">
        <v>8981</v>
      </c>
      <c r="D4865" s="49" t="s">
        <v>2352</v>
      </c>
      <c r="E4865" s="49" t="str">
        <f aca="false">"12464079"</f>
        <v>12464079</v>
      </c>
      <c r="F4865" s="49" t="s">
        <v>4706</v>
      </c>
      <c r="G4865" s="49" t="n">
        <v>0</v>
      </c>
      <c r="H4865" s="0" t="n">
        <v>0</v>
      </c>
      <c r="M4865" s="51" t="s">
        <v>8956</v>
      </c>
      <c r="N4865" s="49" t="n">
        <v>0</v>
      </c>
      <c r="O4865" s="53" t="n">
        <v>45833.657025463</v>
      </c>
      <c r="P4865" s="53" t="n">
        <v>45834.9276736111</v>
      </c>
      <c r="Q4865" s="53" t="n">
        <v>45833.657025463</v>
      </c>
      <c r="R4865" s="0" t="n">
        <v>0</v>
      </c>
      <c r="S4865" s="51" t="s">
        <v>3780</v>
      </c>
      <c r="T4865" s="51" t="s">
        <v>3780</v>
      </c>
      <c r="U4865" s="0" t="str">
        <f aca="false">"12464079"</f>
        <v>12464079</v>
      </c>
      <c r="V4865" s="51" t="s">
        <v>2365</v>
      </c>
      <c r="W4865" s="51" t="s">
        <v>5657</v>
      </c>
      <c r="X4865" s="51" t="s">
        <v>2359</v>
      </c>
    </row>
    <row r="4866" customFormat="false" ht="14.25" hidden="true" customHeight="false" outlineLevel="0" collapsed="false">
      <c r="A4866" s="49" t="s">
        <v>2349</v>
      </c>
      <c r="B4866" s="49" t="s">
        <v>2350</v>
      </c>
      <c r="C4866" s="49" t="s">
        <v>8982</v>
      </c>
      <c r="D4866" s="49" t="s">
        <v>2352</v>
      </c>
      <c r="E4866" s="49" t="str">
        <f aca="false">"12464079"</f>
        <v>12464079</v>
      </c>
      <c r="F4866" s="49" t="s">
        <v>4706</v>
      </c>
      <c r="G4866" s="49" t="n">
        <v>0</v>
      </c>
      <c r="H4866" s="0" t="n">
        <v>0</v>
      </c>
      <c r="M4866" s="51" t="s">
        <v>8956</v>
      </c>
      <c r="N4866" s="49" t="n">
        <v>0</v>
      </c>
      <c r="O4866" s="53" t="n">
        <v>45833.6574305556</v>
      </c>
      <c r="P4866" s="53" t="n">
        <v>45838.3777893519</v>
      </c>
      <c r="Q4866" s="53" t="n">
        <v>45833.6574305556</v>
      </c>
      <c r="R4866" s="0" t="n">
        <v>0</v>
      </c>
      <c r="S4866" s="51" t="s">
        <v>3780</v>
      </c>
      <c r="T4866" s="51" t="s">
        <v>3780</v>
      </c>
      <c r="U4866" s="0" t="str">
        <f aca="false">"12464079"</f>
        <v>12464079</v>
      </c>
      <c r="V4866" s="51" t="s">
        <v>2365</v>
      </c>
      <c r="W4866" s="51" t="s">
        <v>8772</v>
      </c>
      <c r="X4866" s="51" t="s">
        <v>2359</v>
      </c>
    </row>
    <row r="4867" customFormat="false" ht="14.25" hidden="true" customHeight="false" outlineLevel="0" collapsed="false">
      <c r="A4867" s="49" t="s">
        <v>2349</v>
      </c>
      <c r="B4867" s="49" t="s">
        <v>2350</v>
      </c>
      <c r="C4867" s="49" t="s">
        <v>8983</v>
      </c>
      <c r="D4867" s="49" t="s">
        <v>2352</v>
      </c>
      <c r="E4867" s="49" t="str">
        <f aca="false">"12464079"</f>
        <v>12464079</v>
      </c>
      <c r="F4867" s="49" t="s">
        <v>4706</v>
      </c>
      <c r="G4867" s="49" t="n">
        <v>0</v>
      </c>
      <c r="H4867" s="0" t="n">
        <v>0</v>
      </c>
      <c r="M4867" s="51" t="s">
        <v>8956</v>
      </c>
      <c r="N4867" s="49" t="n">
        <v>0</v>
      </c>
      <c r="O4867" s="53" t="n">
        <v>45833.6577546296</v>
      </c>
      <c r="P4867" s="53" t="n">
        <v>45838.3542476852</v>
      </c>
      <c r="Q4867" s="53" t="n">
        <v>45833.6577546296</v>
      </c>
      <c r="R4867" s="0" t="n">
        <v>0</v>
      </c>
      <c r="S4867" s="51" t="s">
        <v>3780</v>
      </c>
      <c r="T4867" s="51" t="s">
        <v>3780</v>
      </c>
      <c r="U4867" s="0" t="str">
        <f aca="false">"12464079"</f>
        <v>12464079</v>
      </c>
      <c r="V4867" s="51" t="s">
        <v>2365</v>
      </c>
      <c r="W4867" s="51" t="s">
        <v>7520</v>
      </c>
      <c r="X4867" s="51" t="s">
        <v>2359</v>
      </c>
    </row>
    <row r="4868" customFormat="false" ht="14.25" hidden="true" customHeight="false" outlineLevel="0" collapsed="false">
      <c r="A4868" s="49" t="s">
        <v>2349</v>
      </c>
      <c r="B4868" s="49" t="s">
        <v>2350</v>
      </c>
      <c r="C4868" s="49" t="s">
        <v>8984</v>
      </c>
      <c r="D4868" s="49" t="s">
        <v>2352</v>
      </c>
      <c r="E4868" s="49" t="str">
        <f aca="false">"12464079"</f>
        <v>12464079</v>
      </c>
      <c r="F4868" s="49" t="s">
        <v>4706</v>
      </c>
      <c r="G4868" s="49" t="n">
        <v>0</v>
      </c>
      <c r="H4868" s="0" t="n">
        <v>0</v>
      </c>
      <c r="M4868" s="51" t="s">
        <v>8956</v>
      </c>
      <c r="N4868" s="49" t="n">
        <v>0</v>
      </c>
      <c r="O4868" s="53" t="n">
        <v>45833.6579282407</v>
      </c>
      <c r="P4868" s="53" t="n">
        <v>45838.3560416667</v>
      </c>
      <c r="Q4868" s="53" t="n">
        <v>45833.6579282407</v>
      </c>
      <c r="R4868" s="0" t="n">
        <v>0</v>
      </c>
      <c r="S4868" s="51" t="s">
        <v>3780</v>
      </c>
      <c r="T4868" s="51" t="s">
        <v>3780</v>
      </c>
      <c r="U4868" s="0" t="str">
        <f aca="false">"12464079"</f>
        <v>12464079</v>
      </c>
      <c r="V4868" s="51" t="s">
        <v>2365</v>
      </c>
      <c r="W4868" s="51" t="s">
        <v>4282</v>
      </c>
      <c r="X4868" s="51" t="s">
        <v>2359</v>
      </c>
    </row>
    <row r="4869" customFormat="false" ht="14.25" hidden="true" customHeight="false" outlineLevel="0" collapsed="false">
      <c r="A4869" s="49" t="s">
        <v>2349</v>
      </c>
      <c r="B4869" s="49" t="s">
        <v>2350</v>
      </c>
      <c r="C4869" s="49" t="s">
        <v>8985</v>
      </c>
      <c r="D4869" s="49" t="s">
        <v>2352</v>
      </c>
      <c r="E4869" s="49" t="str">
        <f aca="false">"12464079"</f>
        <v>12464079</v>
      </c>
      <c r="F4869" s="49" t="s">
        <v>4706</v>
      </c>
      <c r="G4869" s="49" t="n">
        <v>0</v>
      </c>
      <c r="H4869" s="0" t="n">
        <v>0</v>
      </c>
      <c r="M4869" s="51" t="s">
        <v>8956</v>
      </c>
      <c r="N4869" s="49" t="n">
        <v>0</v>
      </c>
      <c r="O4869" s="53" t="n">
        <v>45833.6580324074</v>
      </c>
      <c r="P4869" s="53" t="n">
        <v>45838.3862615741</v>
      </c>
      <c r="Q4869" s="53" t="n">
        <v>45833.6580324074</v>
      </c>
      <c r="R4869" s="0" t="n">
        <v>0</v>
      </c>
      <c r="S4869" s="51" t="s">
        <v>3780</v>
      </c>
      <c r="T4869" s="51" t="s">
        <v>3780</v>
      </c>
      <c r="U4869" s="0" t="str">
        <f aca="false">"12464079"</f>
        <v>12464079</v>
      </c>
      <c r="V4869" s="51" t="s">
        <v>2365</v>
      </c>
      <c r="W4869" s="51" t="s">
        <v>4290</v>
      </c>
      <c r="X4869" s="51" t="s">
        <v>2359</v>
      </c>
    </row>
    <row r="4870" customFormat="false" ht="14.25" hidden="true" customHeight="false" outlineLevel="0" collapsed="false">
      <c r="A4870" s="49" t="s">
        <v>2349</v>
      </c>
      <c r="B4870" s="49" t="s">
        <v>2350</v>
      </c>
      <c r="C4870" s="49" t="s">
        <v>8986</v>
      </c>
      <c r="D4870" s="49" t="s">
        <v>2352</v>
      </c>
      <c r="E4870" s="49" t="str">
        <f aca="false">"12464079"</f>
        <v>12464079</v>
      </c>
      <c r="F4870" s="49" t="s">
        <v>4706</v>
      </c>
      <c r="G4870" s="49" t="n">
        <v>0</v>
      </c>
      <c r="H4870" s="0" t="n">
        <v>0</v>
      </c>
      <c r="M4870" s="51" t="s">
        <v>8956</v>
      </c>
      <c r="N4870" s="49" t="n">
        <v>0</v>
      </c>
      <c r="O4870" s="53" t="n">
        <v>45833.6600925926</v>
      </c>
      <c r="P4870" s="53" t="n">
        <v>45838.3749305556</v>
      </c>
      <c r="Q4870" s="53" t="n">
        <v>45833.6600925926</v>
      </c>
      <c r="R4870" s="0" t="n">
        <v>0</v>
      </c>
      <c r="S4870" s="51" t="s">
        <v>3780</v>
      </c>
      <c r="T4870" s="51" t="s">
        <v>3780</v>
      </c>
      <c r="U4870" s="0" t="str">
        <f aca="false">"12464079"</f>
        <v>12464079</v>
      </c>
      <c r="V4870" s="51" t="s">
        <v>2365</v>
      </c>
      <c r="W4870" s="51" t="s">
        <v>5949</v>
      </c>
      <c r="X4870" s="51" t="s">
        <v>2359</v>
      </c>
    </row>
    <row r="4871" customFormat="false" ht="14.25" hidden="true" customHeight="false" outlineLevel="0" collapsed="false">
      <c r="A4871" s="49" t="s">
        <v>2349</v>
      </c>
      <c r="B4871" s="49" t="s">
        <v>2350</v>
      </c>
      <c r="C4871" s="49" t="s">
        <v>8987</v>
      </c>
      <c r="D4871" s="49" t="s">
        <v>2352</v>
      </c>
      <c r="E4871" s="49" t="str">
        <f aca="false">"12363202"</f>
        <v>12363202</v>
      </c>
      <c r="F4871" s="49" t="s">
        <v>7041</v>
      </c>
      <c r="G4871" s="49" t="n">
        <v>0</v>
      </c>
      <c r="H4871" s="0" t="n">
        <v>0</v>
      </c>
      <c r="M4871" s="51" t="s">
        <v>8956</v>
      </c>
      <c r="N4871" s="49" t="n">
        <v>0</v>
      </c>
      <c r="O4871" s="53" t="n">
        <v>45833.6621296296</v>
      </c>
      <c r="P4871" s="53" t="n">
        <v>45853.9434490741</v>
      </c>
      <c r="Q4871" s="53" t="n">
        <v>45833.6621296296</v>
      </c>
      <c r="R4871" s="0" t="n">
        <v>0</v>
      </c>
      <c r="S4871" s="51" t="s">
        <v>3780</v>
      </c>
      <c r="T4871" s="51" t="s">
        <v>3780</v>
      </c>
      <c r="U4871" s="0" t="str">
        <f aca="false">"12363202"</f>
        <v>12363202</v>
      </c>
      <c r="V4871" s="51" t="s">
        <v>2365</v>
      </c>
      <c r="W4871" s="51" t="s">
        <v>7549</v>
      </c>
      <c r="X4871" s="51" t="s">
        <v>2359</v>
      </c>
    </row>
    <row r="4872" customFormat="false" ht="14.25" hidden="true" customHeight="false" outlineLevel="0" collapsed="false">
      <c r="A4872" s="49" t="s">
        <v>2349</v>
      </c>
      <c r="B4872" s="49" t="s">
        <v>2350</v>
      </c>
      <c r="C4872" s="49" t="s">
        <v>8988</v>
      </c>
      <c r="D4872" s="49" t="s">
        <v>2352</v>
      </c>
      <c r="E4872" s="49" t="str">
        <f aca="false">"12520129"</f>
        <v>12520129</v>
      </c>
      <c r="F4872" s="49" t="s">
        <v>4870</v>
      </c>
      <c r="G4872" s="49" t="n">
        <v>0</v>
      </c>
      <c r="H4872" s="0" t="n">
        <v>0</v>
      </c>
      <c r="M4872" s="51" t="s">
        <v>8956</v>
      </c>
      <c r="N4872" s="49" t="n">
        <v>0</v>
      </c>
      <c r="O4872" s="53" t="n">
        <v>45833.6630902778</v>
      </c>
      <c r="P4872" s="53" t="n">
        <v>45834.9164351852</v>
      </c>
      <c r="Q4872" s="53" t="n">
        <v>45833.6630902778</v>
      </c>
      <c r="R4872" s="0" t="n">
        <v>0</v>
      </c>
      <c r="S4872" s="51" t="s">
        <v>3780</v>
      </c>
      <c r="T4872" s="51" t="s">
        <v>3780</v>
      </c>
      <c r="U4872" s="0" t="str">
        <f aca="false">"12520129"</f>
        <v>12520129</v>
      </c>
      <c r="V4872" s="51" t="s">
        <v>2365</v>
      </c>
      <c r="W4872" s="51" t="s">
        <v>6430</v>
      </c>
      <c r="X4872" s="51" t="s">
        <v>2359</v>
      </c>
    </row>
    <row r="4873" customFormat="false" ht="14.25" hidden="true" customHeight="false" outlineLevel="0" collapsed="false">
      <c r="A4873" s="49" t="s">
        <v>2349</v>
      </c>
      <c r="B4873" s="49" t="s">
        <v>2350</v>
      </c>
      <c r="C4873" s="49" t="s">
        <v>8989</v>
      </c>
      <c r="D4873" s="49" t="s">
        <v>2352</v>
      </c>
      <c r="E4873" s="49" t="str">
        <f aca="false">"12520129"</f>
        <v>12520129</v>
      </c>
      <c r="F4873" s="49" t="s">
        <v>4870</v>
      </c>
      <c r="G4873" s="49" t="n">
        <v>0</v>
      </c>
      <c r="H4873" s="0" t="n">
        <v>0</v>
      </c>
      <c r="M4873" s="51" t="s">
        <v>8956</v>
      </c>
      <c r="N4873" s="49" t="n">
        <v>0</v>
      </c>
      <c r="O4873" s="53" t="n">
        <v>45833.6632986111</v>
      </c>
      <c r="P4873" s="53" t="n">
        <v>45834.9157986111</v>
      </c>
      <c r="Q4873" s="53" t="n">
        <v>45833.6632986111</v>
      </c>
      <c r="R4873" s="0" t="n">
        <v>0</v>
      </c>
      <c r="S4873" s="51" t="s">
        <v>3780</v>
      </c>
      <c r="T4873" s="51" t="s">
        <v>3780</v>
      </c>
      <c r="U4873" s="0" t="str">
        <f aca="false">"12520129"</f>
        <v>12520129</v>
      </c>
      <c r="V4873" s="51" t="s">
        <v>2365</v>
      </c>
      <c r="W4873" s="51" t="s">
        <v>4871</v>
      </c>
      <c r="X4873" s="51" t="s">
        <v>2359</v>
      </c>
    </row>
    <row r="4874" customFormat="false" ht="14.25" hidden="true" customHeight="false" outlineLevel="0" collapsed="false">
      <c r="A4874" s="49" t="s">
        <v>2349</v>
      </c>
      <c r="B4874" s="49" t="s">
        <v>2350</v>
      </c>
      <c r="C4874" s="49" t="s">
        <v>8990</v>
      </c>
      <c r="D4874" s="49" t="s">
        <v>2352</v>
      </c>
      <c r="E4874" s="49" t="str">
        <f aca="false">"12428864"</f>
        <v>12428864</v>
      </c>
      <c r="F4874" s="49" t="s">
        <v>4251</v>
      </c>
      <c r="G4874" s="49" t="n">
        <v>0</v>
      </c>
      <c r="H4874" s="0" t="n">
        <v>0</v>
      </c>
      <c r="M4874" s="51" t="s">
        <v>8956</v>
      </c>
      <c r="N4874" s="49" t="n">
        <v>0</v>
      </c>
      <c r="O4874" s="53" t="n">
        <v>45833.6640393519</v>
      </c>
      <c r="P4874" s="53" t="n">
        <v>45901.8020601852</v>
      </c>
      <c r="Q4874" s="53" t="n">
        <v>45833.6640393519</v>
      </c>
      <c r="R4874" s="0" t="n">
        <v>0</v>
      </c>
      <c r="S4874" s="51" t="s">
        <v>3780</v>
      </c>
      <c r="T4874" s="51" t="s">
        <v>3780</v>
      </c>
      <c r="U4874" s="0" t="str">
        <f aca="false">"12428864"</f>
        <v>12428864</v>
      </c>
      <c r="V4874" s="51" t="s">
        <v>2365</v>
      </c>
      <c r="W4874" s="51" t="s">
        <v>8991</v>
      </c>
      <c r="X4874" s="51" t="s">
        <v>2359</v>
      </c>
    </row>
    <row r="4875" customFormat="false" ht="14.25" hidden="true" customHeight="false" outlineLevel="0" collapsed="false">
      <c r="A4875" s="49" t="s">
        <v>2349</v>
      </c>
      <c r="B4875" s="49" t="s">
        <v>2350</v>
      </c>
      <c r="C4875" s="49" t="s">
        <v>8992</v>
      </c>
      <c r="D4875" s="49" t="s">
        <v>2352</v>
      </c>
      <c r="E4875" s="49" t="str">
        <f aca="false">"12452482"</f>
        <v>12452482</v>
      </c>
      <c r="F4875" s="49" t="s">
        <v>4179</v>
      </c>
      <c r="G4875" s="49" t="n">
        <v>0</v>
      </c>
      <c r="H4875" s="0" t="n">
        <v>0</v>
      </c>
      <c r="M4875" s="51" t="s">
        <v>8956</v>
      </c>
      <c r="N4875" s="49" t="n">
        <v>0</v>
      </c>
      <c r="O4875" s="53" t="n">
        <v>45833.6643865741</v>
      </c>
      <c r="P4875" s="53" t="n">
        <v>45876.8200694444</v>
      </c>
      <c r="Q4875" s="53" t="n">
        <v>45833.6643865741</v>
      </c>
      <c r="R4875" s="0" t="n">
        <v>0</v>
      </c>
      <c r="S4875" s="51" t="s">
        <v>3780</v>
      </c>
      <c r="T4875" s="51" t="s">
        <v>3780</v>
      </c>
      <c r="U4875" s="0" t="str">
        <f aca="false">"12452482"</f>
        <v>12452482</v>
      </c>
      <c r="V4875" s="51" t="s">
        <v>2365</v>
      </c>
      <c r="W4875" s="51" t="s">
        <v>7890</v>
      </c>
      <c r="X4875" s="51" t="s">
        <v>2359</v>
      </c>
    </row>
    <row r="4876" customFormat="false" ht="14.25" hidden="true" customHeight="false" outlineLevel="0" collapsed="false">
      <c r="A4876" s="49" t="s">
        <v>2349</v>
      </c>
      <c r="B4876" s="49" t="s">
        <v>2350</v>
      </c>
      <c r="C4876" s="49" t="s">
        <v>8993</v>
      </c>
      <c r="D4876" s="49" t="s">
        <v>2352</v>
      </c>
      <c r="E4876" s="49" t="str">
        <f aca="false">"12428864"</f>
        <v>12428864</v>
      </c>
      <c r="F4876" s="49" t="s">
        <v>4251</v>
      </c>
      <c r="G4876" s="49" t="n">
        <v>0</v>
      </c>
      <c r="H4876" s="0" t="n">
        <v>0</v>
      </c>
      <c r="M4876" s="51" t="s">
        <v>8956</v>
      </c>
      <c r="N4876" s="49" t="n">
        <v>0</v>
      </c>
      <c r="O4876" s="53" t="n">
        <v>45833.6660300926</v>
      </c>
      <c r="P4876" s="53" t="n">
        <v>45834.817650463</v>
      </c>
      <c r="Q4876" s="53" t="n">
        <v>45833.6660300926</v>
      </c>
      <c r="R4876" s="0" t="n">
        <v>0</v>
      </c>
      <c r="S4876" s="51" t="s">
        <v>3780</v>
      </c>
      <c r="T4876" s="51" t="s">
        <v>3780</v>
      </c>
      <c r="U4876" s="0" t="str">
        <f aca="false">"12428864"</f>
        <v>12428864</v>
      </c>
      <c r="V4876" s="51" t="s">
        <v>2365</v>
      </c>
      <c r="W4876" s="51" t="s">
        <v>6771</v>
      </c>
      <c r="X4876" s="51" t="s">
        <v>2359</v>
      </c>
    </row>
    <row r="4877" customFormat="false" ht="14.25" hidden="true" customHeight="false" outlineLevel="0" collapsed="false">
      <c r="A4877" s="49" t="s">
        <v>2349</v>
      </c>
      <c r="B4877" s="49" t="s">
        <v>2350</v>
      </c>
      <c r="C4877" s="49" t="s">
        <v>8994</v>
      </c>
      <c r="D4877" s="49" t="s">
        <v>2352</v>
      </c>
      <c r="E4877" s="49" t="str">
        <f aca="false">"12428864"</f>
        <v>12428864</v>
      </c>
      <c r="F4877" s="49" t="s">
        <v>4251</v>
      </c>
      <c r="G4877" s="49" t="n">
        <v>0</v>
      </c>
      <c r="H4877" s="0" t="n">
        <v>0</v>
      </c>
      <c r="M4877" s="51" t="s">
        <v>8956</v>
      </c>
      <c r="N4877" s="49" t="n">
        <v>0</v>
      </c>
      <c r="O4877" s="53" t="n">
        <v>45833.6661921296</v>
      </c>
      <c r="P4877" s="53" t="n">
        <v>45834.8194560185</v>
      </c>
      <c r="Q4877" s="53" t="n">
        <v>45833.6661921296</v>
      </c>
      <c r="R4877" s="0" t="n">
        <v>0</v>
      </c>
      <c r="S4877" s="51" t="s">
        <v>3780</v>
      </c>
      <c r="T4877" s="51" t="s">
        <v>3780</v>
      </c>
      <c r="U4877" s="0" t="str">
        <f aca="false">"12428864"</f>
        <v>12428864</v>
      </c>
      <c r="V4877" s="51" t="s">
        <v>2365</v>
      </c>
      <c r="W4877" s="51" t="s">
        <v>6983</v>
      </c>
      <c r="X4877" s="51" t="s">
        <v>2359</v>
      </c>
    </row>
    <row r="4878" customFormat="false" ht="14.25" hidden="true" customHeight="false" outlineLevel="0" collapsed="false">
      <c r="A4878" s="49" t="s">
        <v>2349</v>
      </c>
      <c r="B4878" s="49" t="s">
        <v>2350</v>
      </c>
      <c r="C4878" s="49" t="s">
        <v>8995</v>
      </c>
      <c r="D4878" s="49" t="s">
        <v>2352</v>
      </c>
      <c r="E4878" s="49" t="str">
        <f aca="false">"12363202"</f>
        <v>12363202</v>
      </c>
      <c r="F4878" s="49" t="s">
        <v>7041</v>
      </c>
      <c r="G4878" s="49" t="n">
        <v>0</v>
      </c>
      <c r="H4878" s="0" t="n">
        <v>0</v>
      </c>
      <c r="M4878" s="51" t="s">
        <v>8956</v>
      </c>
      <c r="N4878" s="49" t="n">
        <v>0</v>
      </c>
      <c r="O4878" s="53" t="n">
        <v>45833.6664814815</v>
      </c>
      <c r="P4878" s="53" t="n">
        <v>45867.7278125</v>
      </c>
      <c r="Q4878" s="53" t="n">
        <v>45833.6664814815</v>
      </c>
      <c r="R4878" s="0" t="n">
        <v>0</v>
      </c>
      <c r="S4878" s="51" t="s">
        <v>3780</v>
      </c>
      <c r="T4878" s="51" t="s">
        <v>3780</v>
      </c>
      <c r="U4878" s="0" t="str">
        <f aca="false">"12363202"</f>
        <v>12363202</v>
      </c>
      <c r="V4878" s="51" t="s">
        <v>2365</v>
      </c>
      <c r="W4878" s="51" t="s">
        <v>4501</v>
      </c>
      <c r="X4878" s="51" t="s">
        <v>2359</v>
      </c>
    </row>
    <row r="4879" customFormat="false" ht="14.25" hidden="true" customHeight="false" outlineLevel="0" collapsed="false">
      <c r="A4879" s="49" t="s">
        <v>2349</v>
      </c>
      <c r="B4879" s="49" t="s">
        <v>2350</v>
      </c>
      <c r="C4879" s="49" t="s">
        <v>8996</v>
      </c>
      <c r="D4879" s="49" t="s">
        <v>2352</v>
      </c>
      <c r="E4879" s="49" t="str">
        <f aca="false">"12428864"</f>
        <v>12428864</v>
      </c>
      <c r="F4879" s="49" t="s">
        <v>4251</v>
      </c>
      <c r="G4879" s="49" t="n">
        <v>0</v>
      </c>
      <c r="H4879" s="0" t="n">
        <v>0</v>
      </c>
      <c r="M4879" s="51" t="s">
        <v>8956</v>
      </c>
      <c r="N4879" s="49" t="n">
        <v>0</v>
      </c>
      <c r="O4879" s="53" t="n">
        <v>45833.6669675926</v>
      </c>
      <c r="P4879" s="53" t="n">
        <v>45834.8200810185</v>
      </c>
      <c r="Q4879" s="53" t="n">
        <v>45833.6669675926</v>
      </c>
      <c r="R4879" s="0" t="n">
        <v>0</v>
      </c>
      <c r="S4879" s="51" t="s">
        <v>3780</v>
      </c>
      <c r="T4879" s="51" t="s">
        <v>3780</v>
      </c>
      <c r="U4879" s="0" t="str">
        <f aca="false">"12428864"</f>
        <v>12428864</v>
      </c>
      <c r="V4879" s="51" t="s">
        <v>2365</v>
      </c>
      <c r="W4879" s="51" t="s">
        <v>5621</v>
      </c>
      <c r="X4879" s="51" t="s">
        <v>2359</v>
      </c>
    </row>
    <row r="4880" customFormat="false" ht="14.25" hidden="true" customHeight="false" outlineLevel="0" collapsed="false">
      <c r="A4880" s="49" t="s">
        <v>2349</v>
      </c>
      <c r="B4880" s="49" t="s">
        <v>2350</v>
      </c>
      <c r="C4880" s="49" t="s">
        <v>8997</v>
      </c>
      <c r="D4880" s="49" t="s">
        <v>2352</v>
      </c>
      <c r="E4880" s="49" t="str">
        <f aca="false">"12428864"</f>
        <v>12428864</v>
      </c>
      <c r="F4880" s="49" t="s">
        <v>4251</v>
      </c>
      <c r="G4880" s="49" t="n">
        <v>0</v>
      </c>
      <c r="H4880" s="0" t="n">
        <v>0</v>
      </c>
      <c r="M4880" s="51" t="s">
        <v>8956</v>
      </c>
      <c r="N4880" s="49" t="n">
        <v>0</v>
      </c>
      <c r="O4880" s="53" t="n">
        <v>45833.6673611111</v>
      </c>
      <c r="P4880" s="53" t="n">
        <v>45838.3217592593</v>
      </c>
      <c r="Q4880" s="53" t="n">
        <v>45833.6673611111</v>
      </c>
      <c r="R4880" s="0" t="n">
        <v>0</v>
      </c>
      <c r="S4880" s="51" t="s">
        <v>3780</v>
      </c>
      <c r="T4880" s="51" t="s">
        <v>3780</v>
      </c>
      <c r="U4880" s="0" t="str">
        <f aca="false">"12428864"</f>
        <v>12428864</v>
      </c>
      <c r="V4880" s="51" t="s">
        <v>2365</v>
      </c>
      <c r="W4880" s="51" t="s">
        <v>5662</v>
      </c>
      <c r="X4880" s="51" t="s">
        <v>2359</v>
      </c>
    </row>
    <row r="4881" customFormat="false" ht="14.25" hidden="true" customHeight="false" outlineLevel="0" collapsed="false">
      <c r="A4881" s="49" t="s">
        <v>2349</v>
      </c>
      <c r="B4881" s="49" t="s">
        <v>2350</v>
      </c>
      <c r="C4881" s="49" t="s">
        <v>8998</v>
      </c>
      <c r="D4881" s="49" t="s">
        <v>2352</v>
      </c>
      <c r="E4881" s="49" t="str">
        <f aca="false">"12428864"</f>
        <v>12428864</v>
      </c>
      <c r="F4881" s="49" t="s">
        <v>4251</v>
      </c>
      <c r="G4881" s="49" t="n">
        <v>0</v>
      </c>
      <c r="H4881" s="0" t="n">
        <v>0</v>
      </c>
      <c r="M4881" s="51" t="s">
        <v>8956</v>
      </c>
      <c r="N4881" s="49" t="n">
        <v>0</v>
      </c>
      <c r="O4881" s="53" t="n">
        <v>45833.6675578704</v>
      </c>
      <c r="P4881" s="53" t="n">
        <v>45901.7956944444</v>
      </c>
      <c r="Q4881" s="53" t="n">
        <v>45833.6675578704</v>
      </c>
      <c r="R4881" s="0" t="n">
        <v>0</v>
      </c>
      <c r="S4881" s="51" t="s">
        <v>3780</v>
      </c>
      <c r="T4881" s="51" t="s">
        <v>3780</v>
      </c>
      <c r="U4881" s="0" t="str">
        <f aca="false">"12428864"</f>
        <v>12428864</v>
      </c>
      <c r="V4881" s="51" t="s">
        <v>2365</v>
      </c>
      <c r="W4881" s="51" t="s">
        <v>6826</v>
      </c>
      <c r="X4881" s="51" t="s">
        <v>2359</v>
      </c>
    </row>
    <row r="4882" customFormat="false" ht="14.25" hidden="true" customHeight="false" outlineLevel="0" collapsed="false">
      <c r="A4882" s="49" t="s">
        <v>2349</v>
      </c>
      <c r="B4882" s="49" t="s">
        <v>2350</v>
      </c>
      <c r="C4882" s="49" t="s">
        <v>8999</v>
      </c>
      <c r="D4882" s="49" t="s">
        <v>2352</v>
      </c>
      <c r="E4882" s="49" t="str">
        <f aca="false">"12428864"</f>
        <v>12428864</v>
      </c>
      <c r="F4882" s="49" t="s">
        <v>4251</v>
      </c>
      <c r="G4882" s="49" t="n">
        <v>0</v>
      </c>
      <c r="H4882" s="0" t="n">
        <v>0</v>
      </c>
      <c r="M4882" s="51" t="s">
        <v>8956</v>
      </c>
      <c r="N4882" s="49" t="n">
        <v>0</v>
      </c>
      <c r="O4882" s="53" t="n">
        <v>45833.6678240741</v>
      </c>
      <c r="P4882" s="53" t="n">
        <v>45901.803275463</v>
      </c>
      <c r="Q4882" s="53" t="n">
        <v>45833.6678240741</v>
      </c>
      <c r="R4882" s="0" t="n">
        <v>0</v>
      </c>
      <c r="S4882" s="51" t="s">
        <v>3780</v>
      </c>
      <c r="T4882" s="51" t="s">
        <v>3780</v>
      </c>
      <c r="U4882" s="0" t="str">
        <f aca="false">"12428864"</f>
        <v>12428864</v>
      </c>
      <c r="V4882" s="51" t="s">
        <v>2365</v>
      </c>
      <c r="W4882" s="51" t="s">
        <v>9000</v>
      </c>
      <c r="X4882" s="51" t="s">
        <v>2359</v>
      </c>
    </row>
    <row r="4883" customFormat="false" ht="14.25" hidden="true" customHeight="false" outlineLevel="0" collapsed="false">
      <c r="A4883" s="49" t="s">
        <v>2349</v>
      </c>
      <c r="B4883" s="49" t="s">
        <v>2350</v>
      </c>
      <c r="C4883" s="49" t="s">
        <v>9001</v>
      </c>
      <c r="D4883" s="49" t="s">
        <v>2352</v>
      </c>
      <c r="E4883" s="49" t="str">
        <f aca="false">"12428864"</f>
        <v>12428864</v>
      </c>
      <c r="F4883" s="49" t="s">
        <v>4251</v>
      </c>
      <c r="G4883" s="49" t="n">
        <v>0</v>
      </c>
      <c r="H4883" s="0" t="n">
        <v>0</v>
      </c>
      <c r="M4883" s="51" t="s">
        <v>8956</v>
      </c>
      <c r="N4883" s="49" t="n">
        <v>0</v>
      </c>
      <c r="O4883" s="53" t="n">
        <v>45833.6679398148</v>
      </c>
      <c r="P4883" s="53" t="n">
        <v>45841.7551736111</v>
      </c>
      <c r="Q4883" s="53" t="n">
        <v>45833.6679398148</v>
      </c>
      <c r="R4883" s="0" t="n">
        <v>0</v>
      </c>
      <c r="S4883" s="51" t="s">
        <v>3780</v>
      </c>
      <c r="T4883" s="51" t="s">
        <v>3780</v>
      </c>
      <c r="U4883" s="0" t="str">
        <f aca="false">"12428864"</f>
        <v>12428864</v>
      </c>
      <c r="V4883" s="51" t="s">
        <v>2365</v>
      </c>
      <c r="W4883" s="51" t="s">
        <v>7859</v>
      </c>
      <c r="X4883" s="51" t="s">
        <v>2359</v>
      </c>
    </row>
    <row r="4884" customFormat="false" ht="14.25" hidden="true" customHeight="false" outlineLevel="0" collapsed="false">
      <c r="A4884" s="49" t="s">
        <v>2349</v>
      </c>
      <c r="B4884" s="49" t="s">
        <v>2350</v>
      </c>
      <c r="C4884" s="49" t="s">
        <v>9002</v>
      </c>
      <c r="D4884" s="49" t="s">
        <v>2352</v>
      </c>
      <c r="E4884" s="49" t="str">
        <f aca="false">"12428864"</f>
        <v>12428864</v>
      </c>
      <c r="F4884" s="49" t="s">
        <v>4251</v>
      </c>
      <c r="G4884" s="49" t="n">
        <v>0</v>
      </c>
      <c r="H4884" s="0" t="n">
        <v>0</v>
      </c>
      <c r="M4884" s="51" t="s">
        <v>8956</v>
      </c>
      <c r="N4884" s="49" t="n">
        <v>0</v>
      </c>
      <c r="O4884" s="53" t="n">
        <v>45833.6680787037</v>
      </c>
      <c r="P4884" s="53" t="n">
        <v>45901.7993865741</v>
      </c>
      <c r="Q4884" s="53" t="n">
        <v>45833.6680787037</v>
      </c>
      <c r="R4884" s="0" t="n">
        <v>0</v>
      </c>
      <c r="S4884" s="51" t="s">
        <v>3780</v>
      </c>
      <c r="T4884" s="51" t="s">
        <v>3780</v>
      </c>
      <c r="U4884" s="0" t="str">
        <f aca="false">"12428864"</f>
        <v>12428864</v>
      </c>
      <c r="V4884" s="51" t="s">
        <v>2365</v>
      </c>
      <c r="W4884" s="51" t="s">
        <v>9003</v>
      </c>
      <c r="X4884" s="51" t="s">
        <v>2359</v>
      </c>
    </row>
    <row r="4885" customFormat="false" ht="14.25" hidden="true" customHeight="false" outlineLevel="0" collapsed="false">
      <c r="A4885" s="49" t="s">
        <v>2349</v>
      </c>
      <c r="B4885" s="49" t="s">
        <v>2350</v>
      </c>
      <c r="C4885" s="49" t="s">
        <v>9004</v>
      </c>
      <c r="D4885" s="49" t="s">
        <v>2352</v>
      </c>
      <c r="E4885" s="49" t="str">
        <f aca="false">"12207690"</f>
        <v>12207690</v>
      </c>
      <c r="F4885" s="49" t="s">
        <v>4199</v>
      </c>
      <c r="G4885" s="49" t="n">
        <v>0</v>
      </c>
      <c r="H4885" s="0" t="n">
        <v>0</v>
      </c>
      <c r="M4885" s="51" t="s">
        <v>8956</v>
      </c>
      <c r="N4885" s="49" t="n">
        <v>0</v>
      </c>
      <c r="O4885" s="53" t="n">
        <v>45833.670150463</v>
      </c>
      <c r="P4885" s="53" t="n">
        <v>45869.8248263889</v>
      </c>
      <c r="Q4885" s="53" t="n">
        <v>45833.670150463</v>
      </c>
      <c r="R4885" s="0" t="n">
        <v>0</v>
      </c>
      <c r="S4885" s="51" t="s">
        <v>3780</v>
      </c>
      <c r="T4885" s="51" t="s">
        <v>3780</v>
      </c>
      <c r="U4885" s="0" t="str">
        <f aca="false">"12207690"</f>
        <v>12207690</v>
      </c>
      <c r="V4885" s="51" t="s">
        <v>2365</v>
      </c>
      <c r="W4885" s="51" t="s">
        <v>8365</v>
      </c>
      <c r="X4885" s="51" t="s">
        <v>2359</v>
      </c>
    </row>
    <row r="4886" customFormat="false" ht="14.25" hidden="true" customHeight="false" outlineLevel="0" collapsed="false">
      <c r="A4886" s="49" t="s">
        <v>2349</v>
      </c>
      <c r="B4886" s="49" t="s">
        <v>2350</v>
      </c>
      <c r="C4886" s="49" t="s">
        <v>9005</v>
      </c>
      <c r="D4886" s="49" t="s">
        <v>2397</v>
      </c>
      <c r="E4886" s="49" t="str">
        <f aca="false">"12560652"</f>
        <v>12560652</v>
      </c>
      <c r="F4886" s="49" t="s">
        <v>7880</v>
      </c>
      <c r="G4886" s="49" t="n">
        <v>0</v>
      </c>
      <c r="H4886" s="0" t="n">
        <v>0</v>
      </c>
      <c r="M4886" s="51" t="s">
        <v>8956</v>
      </c>
      <c r="N4886" s="49" t="n">
        <v>0</v>
      </c>
      <c r="O4886" s="53" t="n">
        <v>45833.6704861111</v>
      </c>
      <c r="P4886" s="53" t="n">
        <v>45834.4941550926</v>
      </c>
      <c r="Q4886" s="53" t="n">
        <v>45833.6704861111</v>
      </c>
      <c r="R4886" s="0" t="n">
        <v>0</v>
      </c>
      <c r="S4886" s="51" t="s">
        <v>3780</v>
      </c>
      <c r="T4886" s="51" t="s">
        <v>3780</v>
      </c>
      <c r="U4886" s="0" t="str">
        <f aca="false">"12560652"</f>
        <v>12560652</v>
      </c>
      <c r="V4886" s="51" t="s">
        <v>2365</v>
      </c>
      <c r="W4886" s="51" t="s">
        <v>5377</v>
      </c>
      <c r="X4886" s="51" t="s">
        <v>2359</v>
      </c>
    </row>
    <row r="4887" customFormat="false" ht="14.25" hidden="true" customHeight="false" outlineLevel="0" collapsed="false">
      <c r="A4887" s="49" t="s">
        <v>2349</v>
      </c>
      <c r="B4887" s="49" t="s">
        <v>2350</v>
      </c>
      <c r="C4887" s="49" t="s">
        <v>9006</v>
      </c>
      <c r="D4887" s="49" t="s">
        <v>2352</v>
      </c>
      <c r="E4887" s="49" t="str">
        <f aca="false">"12207690"</f>
        <v>12207690</v>
      </c>
      <c r="F4887" s="49" t="s">
        <v>4199</v>
      </c>
      <c r="G4887" s="49" t="n">
        <v>0</v>
      </c>
      <c r="H4887" s="0" t="n">
        <v>0</v>
      </c>
      <c r="M4887" s="51" t="s">
        <v>8956</v>
      </c>
      <c r="N4887" s="49" t="n">
        <v>0</v>
      </c>
      <c r="O4887" s="53" t="n">
        <v>45833.670787037</v>
      </c>
      <c r="P4887" s="53" t="n">
        <v>45869.8490972222</v>
      </c>
      <c r="Q4887" s="53" t="n">
        <v>45833.670787037</v>
      </c>
      <c r="R4887" s="0" t="n">
        <v>0</v>
      </c>
      <c r="S4887" s="51" t="s">
        <v>3780</v>
      </c>
      <c r="T4887" s="51" t="s">
        <v>3780</v>
      </c>
      <c r="U4887" s="0" t="str">
        <f aca="false">"12207690"</f>
        <v>12207690</v>
      </c>
      <c r="V4887" s="51" t="s">
        <v>2365</v>
      </c>
      <c r="W4887" s="51" t="s">
        <v>9007</v>
      </c>
      <c r="X4887" s="51" t="s">
        <v>2359</v>
      </c>
    </row>
    <row r="4888" customFormat="false" ht="14.25" hidden="true" customHeight="false" outlineLevel="0" collapsed="false">
      <c r="A4888" s="49" t="s">
        <v>2349</v>
      </c>
      <c r="B4888" s="49" t="s">
        <v>2350</v>
      </c>
      <c r="C4888" s="49" t="s">
        <v>9008</v>
      </c>
      <c r="D4888" s="49" t="s">
        <v>2352</v>
      </c>
      <c r="E4888" s="49" t="str">
        <f aca="false">"12207690"</f>
        <v>12207690</v>
      </c>
      <c r="F4888" s="49" t="s">
        <v>4199</v>
      </c>
      <c r="G4888" s="49" t="n">
        <v>0</v>
      </c>
      <c r="H4888" s="0" t="n">
        <v>0</v>
      </c>
      <c r="M4888" s="51" t="s">
        <v>8956</v>
      </c>
      <c r="N4888" s="49" t="n">
        <v>0</v>
      </c>
      <c r="O4888" s="53" t="n">
        <v>45833.6709606481</v>
      </c>
      <c r="P4888" s="53" t="n">
        <v>45872.4649652778</v>
      </c>
      <c r="Q4888" s="53" t="n">
        <v>45833.6709606481</v>
      </c>
      <c r="R4888" s="0" t="n">
        <v>0</v>
      </c>
      <c r="S4888" s="51" t="s">
        <v>3780</v>
      </c>
      <c r="T4888" s="51" t="s">
        <v>3780</v>
      </c>
      <c r="U4888" s="0" t="str">
        <f aca="false">"12207690"</f>
        <v>12207690</v>
      </c>
      <c r="V4888" s="51" t="s">
        <v>2365</v>
      </c>
      <c r="W4888" s="51" t="s">
        <v>7025</v>
      </c>
      <c r="X4888" s="51" t="s">
        <v>2359</v>
      </c>
    </row>
    <row r="4889" customFormat="false" ht="14.25" hidden="true" customHeight="false" outlineLevel="0" collapsed="false">
      <c r="A4889" s="49" t="s">
        <v>2349</v>
      </c>
      <c r="B4889" s="49" t="s">
        <v>2350</v>
      </c>
      <c r="C4889" s="49" t="s">
        <v>9009</v>
      </c>
      <c r="D4889" s="49" t="s">
        <v>2352</v>
      </c>
      <c r="E4889" s="49" t="str">
        <f aca="false">"12452482"</f>
        <v>12452482</v>
      </c>
      <c r="F4889" s="49" t="s">
        <v>4179</v>
      </c>
      <c r="G4889" s="49" t="n">
        <v>0</v>
      </c>
      <c r="H4889" s="0" t="n">
        <v>0</v>
      </c>
      <c r="M4889" s="51" t="s">
        <v>8956</v>
      </c>
      <c r="N4889" s="49" t="n">
        <v>0</v>
      </c>
      <c r="O4889" s="53" t="n">
        <v>45833.6627662037</v>
      </c>
      <c r="P4889" s="53" t="n">
        <v>45904.9901736111</v>
      </c>
      <c r="Q4889" s="53" t="n">
        <v>45833.6627662037</v>
      </c>
      <c r="R4889" s="0" t="n">
        <v>0</v>
      </c>
      <c r="S4889" s="51" t="s">
        <v>3780</v>
      </c>
      <c r="T4889" s="51" t="s">
        <v>3780</v>
      </c>
      <c r="U4889" s="0" t="str">
        <f aca="false">"12452482"</f>
        <v>12452482</v>
      </c>
      <c r="V4889" s="51" t="s">
        <v>2365</v>
      </c>
      <c r="W4889" s="51" t="s">
        <v>8114</v>
      </c>
      <c r="X4889" s="51" t="s">
        <v>2359</v>
      </c>
    </row>
    <row r="4890" customFormat="false" ht="14.25" hidden="true" customHeight="false" outlineLevel="0" collapsed="false">
      <c r="A4890" s="49" t="s">
        <v>2349</v>
      </c>
      <c r="B4890" s="49" t="s">
        <v>2350</v>
      </c>
      <c r="C4890" s="49" t="s">
        <v>9010</v>
      </c>
      <c r="D4890" s="49" t="s">
        <v>2352</v>
      </c>
      <c r="E4890" s="49" t="str">
        <f aca="false">"12464079"</f>
        <v>12464079</v>
      </c>
      <c r="F4890" s="49" t="s">
        <v>4706</v>
      </c>
      <c r="G4890" s="49" t="n">
        <v>0</v>
      </c>
      <c r="H4890" s="0" t="n">
        <v>0</v>
      </c>
      <c r="M4890" s="51" t="s">
        <v>8956</v>
      </c>
      <c r="N4890" s="49" t="n">
        <v>0</v>
      </c>
      <c r="O4890" s="53" t="n">
        <v>45833.6597569444</v>
      </c>
      <c r="P4890" s="53" t="n">
        <v>45838.3681597222</v>
      </c>
      <c r="Q4890" s="53" t="n">
        <v>45833.6597569444</v>
      </c>
      <c r="R4890" s="0" t="n">
        <v>0</v>
      </c>
      <c r="S4890" s="51" t="s">
        <v>3780</v>
      </c>
      <c r="T4890" s="51" t="s">
        <v>3780</v>
      </c>
      <c r="U4890" s="0" t="str">
        <f aca="false">"12464079"</f>
        <v>12464079</v>
      </c>
      <c r="V4890" s="51" t="s">
        <v>2365</v>
      </c>
      <c r="W4890" s="51" t="s">
        <v>4577</v>
      </c>
      <c r="X4890" s="51" t="s">
        <v>2359</v>
      </c>
    </row>
    <row r="4891" customFormat="false" ht="14.25" hidden="true" customHeight="false" outlineLevel="0" collapsed="false">
      <c r="A4891" s="49" t="s">
        <v>2349</v>
      </c>
      <c r="B4891" s="49" t="s">
        <v>2350</v>
      </c>
      <c r="C4891" s="49" t="s">
        <v>9011</v>
      </c>
      <c r="D4891" s="49" t="s">
        <v>2352</v>
      </c>
      <c r="E4891" s="49" t="str">
        <f aca="false">"12464079"</f>
        <v>12464079</v>
      </c>
      <c r="F4891" s="49" t="s">
        <v>4706</v>
      </c>
      <c r="G4891" s="49" t="n">
        <v>0</v>
      </c>
      <c r="H4891" s="0" t="n">
        <v>0</v>
      </c>
      <c r="M4891" s="51" t="s">
        <v>8956</v>
      </c>
      <c r="N4891" s="49" t="n">
        <v>0</v>
      </c>
      <c r="O4891" s="53" t="n">
        <v>45833.6591898148</v>
      </c>
      <c r="P4891" s="53" t="n">
        <v>45838.3888541667</v>
      </c>
      <c r="Q4891" s="53" t="n">
        <v>45833.6591898148</v>
      </c>
      <c r="R4891" s="0" t="n">
        <v>0</v>
      </c>
      <c r="S4891" s="51" t="s">
        <v>3780</v>
      </c>
      <c r="T4891" s="51" t="s">
        <v>3780</v>
      </c>
      <c r="U4891" s="0" t="str">
        <f aca="false">"12464079"</f>
        <v>12464079</v>
      </c>
      <c r="V4891" s="51" t="s">
        <v>2365</v>
      </c>
      <c r="W4891" s="51" t="s">
        <v>7547</v>
      </c>
      <c r="X4891" s="51" t="s">
        <v>2359</v>
      </c>
    </row>
    <row r="4892" customFormat="false" ht="14.25" hidden="true" customHeight="false" outlineLevel="0" collapsed="false">
      <c r="A4892" s="49" t="s">
        <v>2349</v>
      </c>
      <c r="B4892" s="49" t="s">
        <v>2350</v>
      </c>
      <c r="C4892" s="49" t="s">
        <v>9012</v>
      </c>
      <c r="D4892" s="49" t="s">
        <v>2352</v>
      </c>
      <c r="E4892" s="49" t="str">
        <f aca="false">"12464079"</f>
        <v>12464079</v>
      </c>
      <c r="F4892" s="49" t="s">
        <v>4706</v>
      </c>
      <c r="G4892" s="49" t="n">
        <v>0</v>
      </c>
      <c r="H4892" s="0" t="n">
        <v>0</v>
      </c>
      <c r="M4892" s="51" t="s">
        <v>8956</v>
      </c>
      <c r="N4892" s="49" t="n">
        <v>0</v>
      </c>
      <c r="O4892" s="53" t="n">
        <v>45833.6590625</v>
      </c>
      <c r="P4892" s="53" t="n">
        <v>45834.774224537</v>
      </c>
      <c r="Q4892" s="53" t="n">
        <v>45833.6590625</v>
      </c>
      <c r="R4892" s="0" t="n">
        <v>0</v>
      </c>
      <c r="S4892" s="51" t="s">
        <v>3780</v>
      </c>
      <c r="T4892" s="51" t="s">
        <v>3780</v>
      </c>
      <c r="U4892" s="0" t="str">
        <f aca="false">"12464079"</f>
        <v>12464079</v>
      </c>
      <c r="V4892" s="51" t="s">
        <v>2365</v>
      </c>
      <c r="W4892" s="51" t="s">
        <v>7477</v>
      </c>
      <c r="X4892" s="51" t="s">
        <v>2359</v>
      </c>
    </row>
    <row r="4893" customFormat="false" ht="14.25" hidden="true" customHeight="false" outlineLevel="0" collapsed="false">
      <c r="A4893" s="49" t="s">
        <v>2349</v>
      </c>
      <c r="B4893" s="49" t="s">
        <v>2350</v>
      </c>
      <c r="C4893" s="49" t="s">
        <v>9013</v>
      </c>
      <c r="D4893" s="49" t="s">
        <v>2352</v>
      </c>
      <c r="E4893" s="49" t="str">
        <f aca="false">"12464079"</f>
        <v>12464079</v>
      </c>
      <c r="F4893" s="49" t="s">
        <v>4706</v>
      </c>
      <c r="G4893" s="49" t="n">
        <v>0</v>
      </c>
      <c r="H4893" s="0" t="n">
        <v>0</v>
      </c>
      <c r="M4893" s="51" t="s">
        <v>8956</v>
      </c>
      <c r="N4893" s="49" t="n">
        <v>0</v>
      </c>
      <c r="O4893" s="53" t="n">
        <v>45833.6589467593</v>
      </c>
      <c r="P4893" s="53" t="n">
        <v>45839.4176851852</v>
      </c>
      <c r="Q4893" s="53" t="n">
        <v>45833.6589467593</v>
      </c>
      <c r="R4893" s="0" t="n">
        <v>0</v>
      </c>
      <c r="S4893" s="51" t="s">
        <v>3780</v>
      </c>
      <c r="T4893" s="51" t="s">
        <v>3780</v>
      </c>
      <c r="U4893" s="0" t="str">
        <f aca="false">"12464079"</f>
        <v>12464079</v>
      </c>
      <c r="V4893" s="51" t="s">
        <v>2365</v>
      </c>
      <c r="W4893" s="51" t="s">
        <v>7549</v>
      </c>
      <c r="X4893" s="51" t="s">
        <v>2359</v>
      </c>
    </row>
    <row r="4894" customFormat="false" ht="14.25" hidden="true" customHeight="false" outlineLevel="0" collapsed="false">
      <c r="A4894" s="49" t="s">
        <v>2349</v>
      </c>
      <c r="B4894" s="49" t="s">
        <v>2350</v>
      </c>
      <c r="C4894" s="49" t="s">
        <v>9014</v>
      </c>
      <c r="D4894" s="49" t="s">
        <v>2352</v>
      </c>
      <c r="E4894" s="49" t="str">
        <f aca="false">"12464079"</f>
        <v>12464079</v>
      </c>
      <c r="F4894" s="49" t="s">
        <v>4706</v>
      </c>
      <c r="G4894" s="49" t="n">
        <v>0</v>
      </c>
      <c r="H4894" s="0" t="n">
        <v>0</v>
      </c>
      <c r="M4894" s="51" t="s">
        <v>8956</v>
      </c>
      <c r="N4894" s="49" t="n">
        <v>0</v>
      </c>
      <c r="O4894" s="53" t="n">
        <v>45833.6588194444</v>
      </c>
      <c r="P4894" s="53" t="n">
        <v>45839.3761342593</v>
      </c>
      <c r="Q4894" s="53" t="n">
        <v>45833.6588194444</v>
      </c>
      <c r="R4894" s="0" t="n">
        <v>0</v>
      </c>
      <c r="S4894" s="51" t="s">
        <v>3780</v>
      </c>
      <c r="T4894" s="51" t="s">
        <v>3780</v>
      </c>
      <c r="U4894" s="0" t="str">
        <f aca="false">"12464079"</f>
        <v>12464079</v>
      </c>
      <c r="V4894" s="51" t="s">
        <v>2365</v>
      </c>
      <c r="W4894" s="51" t="s">
        <v>4042</v>
      </c>
      <c r="X4894" s="51" t="s">
        <v>2359</v>
      </c>
    </row>
    <row r="4895" customFormat="false" ht="14.25" hidden="true" customHeight="false" outlineLevel="0" collapsed="false">
      <c r="A4895" s="49" t="s">
        <v>2349</v>
      </c>
      <c r="B4895" s="49" t="s">
        <v>2350</v>
      </c>
      <c r="C4895" s="49" t="s">
        <v>9015</v>
      </c>
      <c r="D4895" s="49" t="s">
        <v>2352</v>
      </c>
      <c r="E4895" s="49" t="str">
        <f aca="false">"12464079"</f>
        <v>12464079</v>
      </c>
      <c r="F4895" s="49" t="s">
        <v>4706</v>
      </c>
      <c r="G4895" s="49" t="n">
        <v>0</v>
      </c>
      <c r="H4895" s="0" t="n">
        <v>0</v>
      </c>
      <c r="M4895" s="51" t="s">
        <v>8956</v>
      </c>
      <c r="N4895" s="49" t="n">
        <v>0</v>
      </c>
      <c r="O4895" s="53" t="n">
        <v>45833.6586921296</v>
      </c>
      <c r="P4895" s="53" t="n">
        <v>45834.7726157407</v>
      </c>
      <c r="Q4895" s="53" t="n">
        <v>45833.6586921296</v>
      </c>
      <c r="R4895" s="0" t="n">
        <v>0</v>
      </c>
      <c r="S4895" s="51" t="s">
        <v>3780</v>
      </c>
      <c r="T4895" s="51" t="s">
        <v>3780</v>
      </c>
      <c r="U4895" s="0" t="str">
        <f aca="false">"12464079"</f>
        <v>12464079</v>
      </c>
      <c r="V4895" s="51" t="s">
        <v>2365</v>
      </c>
      <c r="W4895" s="51" t="s">
        <v>7370</v>
      </c>
      <c r="X4895" s="51" t="s">
        <v>2359</v>
      </c>
    </row>
    <row r="4896" customFormat="false" ht="14.25" hidden="true" customHeight="false" outlineLevel="0" collapsed="false">
      <c r="A4896" s="49" t="s">
        <v>2349</v>
      </c>
      <c r="B4896" s="49" t="s">
        <v>2350</v>
      </c>
      <c r="C4896" s="49" t="s">
        <v>9016</v>
      </c>
      <c r="D4896" s="49" t="s">
        <v>2352</v>
      </c>
      <c r="E4896" s="49" t="str">
        <f aca="false">"12464079"</f>
        <v>12464079</v>
      </c>
      <c r="F4896" s="49" t="s">
        <v>4706</v>
      </c>
      <c r="G4896" s="49" t="n">
        <v>0</v>
      </c>
      <c r="H4896" s="0" t="n">
        <v>0</v>
      </c>
      <c r="M4896" s="51" t="s">
        <v>8956</v>
      </c>
      <c r="N4896" s="49" t="n">
        <v>0</v>
      </c>
      <c r="O4896" s="53" t="n">
        <v>45833.6585069444</v>
      </c>
      <c r="P4896" s="53" t="n">
        <v>45838.3873263889</v>
      </c>
      <c r="Q4896" s="53" t="n">
        <v>45833.6585069444</v>
      </c>
      <c r="R4896" s="0" t="n">
        <v>0</v>
      </c>
      <c r="S4896" s="51" t="s">
        <v>3780</v>
      </c>
      <c r="T4896" s="51" t="s">
        <v>3780</v>
      </c>
      <c r="U4896" s="0" t="str">
        <f aca="false">"12464079"</f>
        <v>12464079</v>
      </c>
      <c r="V4896" s="51" t="s">
        <v>2365</v>
      </c>
      <c r="W4896" s="51" t="s">
        <v>7326</v>
      </c>
      <c r="X4896" s="51" t="s">
        <v>2359</v>
      </c>
    </row>
    <row r="4897" customFormat="false" ht="14.25" hidden="true" customHeight="false" outlineLevel="0" collapsed="false">
      <c r="A4897" s="49" t="s">
        <v>2349</v>
      </c>
      <c r="B4897" s="49" t="s">
        <v>2350</v>
      </c>
      <c r="C4897" s="49" t="s">
        <v>9017</v>
      </c>
      <c r="D4897" s="49" t="s">
        <v>2352</v>
      </c>
      <c r="E4897" s="49" t="str">
        <f aca="false">"12464079"</f>
        <v>12464079</v>
      </c>
      <c r="F4897" s="49" t="s">
        <v>4706</v>
      </c>
      <c r="G4897" s="49" t="n">
        <v>0</v>
      </c>
      <c r="H4897" s="0" t="n">
        <v>0</v>
      </c>
      <c r="M4897" s="51" t="s">
        <v>8956</v>
      </c>
      <c r="N4897" s="49" t="n">
        <v>0</v>
      </c>
      <c r="O4897" s="53" t="n">
        <v>45833.658287037</v>
      </c>
      <c r="P4897" s="53" t="n">
        <v>45838.3790162037</v>
      </c>
      <c r="Q4897" s="53" t="n">
        <v>45833.658287037</v>
      </c>
      <c r="R4897" s="0" t="n">
        <v>0</v>
      </c>
      <c r="S4897" s="51" t="s">
        <v>3780</v>
      </c>
      <c r="T4897" s="51" t="s">
        <v>3780</v>
      </c>
      <c r="U4897" s="0" t="str">
        <f aca="false">"12464079"</f>
        <v>12464079</v>
      </c>
      <c r="V4897" s="51" t="s">
        <v>2365</v>
      </c>
      <c r="W4897" s="51" t="s">
        <v>7946</v>
      </c>
      <c r="X4897" s="51" t="s">
        <v>2359</v>
      </c>
    </row>
    <row r="4898" customFormat="false" ht="14.25" hidden="true" customHeight="false" outlineLevel="0" collapsed="false">
      <c r="A4898" s="49" t="s">
        <v>2349</v>
      </c>
      <c r="B4898" s="49" t="s">
        <v>2350</v>
      </c>
      <c r="C4898" s="49" t="s">
        <v>9018</v>
      </c>
      <c r="D4898" s="49" t="s">
        <v>2352</v>
      </c>
      <c r="E4898" s="49" t="str">
        <f aca="false">"12207690"</f>
        <v>12207690</v>
      </c>
      <c r="F4898" s="49" t="s">
        <v>4199</v>
      </c>
      <c r="G4898" s="49" t="n">
        <v>0</v>
      </c>
      <c r="H4898" s="0" t="n">
        <v>0</v>
      </c>
      <c r="M4898" s="51" t="s">
        <v>8956</v>
      </c>
      <c r="N4898" s="49" t="n">
        <v>0</v>
      </c>
      <c r="O4898" s="53" t="n">
        <v>45837.5718171296</v>
      </c>
      <c r="P4898" s="53" t="n">
        <v>46027.4653819444</v>
      </c>
      <c r="R4898" s="0" t="n">
        <v>0</v>
      </c>
      <c r="T4898" s="51" t="s">
        <v>4015</v>
      </c>
      <c r="U4898" s="0" t="str">
        <f aca="false">"12207690"</f>
        <v>12207690</v>
      </c>
      <c r="V4898" s="51" t="s">
        <v>2365</v>
      </c>
      <c r="W4898" s="51" t="s">
        <v>3877</v>
      </c>
      <c r="X4898" s="51" t="s">
        <v>2359</v>
      </c>
    </row>
    <row r="4899" customFormat="false" ht="14.25" hidden="true" customHeight="false" outlineLevel="0" collapsed="false">
      <c r="A4899" s="49" t="s">
        <v>2349</v>
      </c>
      <c r="B4899" s="49" t="s">
        <v>2350</v>
      </c>
      <c r="C4899" s="49" t="s">
        <v>9019</v>
      </c>
      <c r="D4899" s="49" t="s">
        <v>2352</v>
      </c>
      <c r="E4899" s="49" t="str">
        <f aca="false">"12207690"</f>
        <v>12207690</v>
      </c>
      <c r="F4899" s="49" t="s">
        <v>4199</v>
      </c>
      <c r="G4899" s="49" t="n">
        <v>0</v>
      </c>
      <c r="H4899" s="0" t="n">
        <v>0</v>
      </c>
      <c r="M4899" s="51" t="s">
        <v>8956</v>
      </c>
      <c r="N4899" s="49" t="n">
        <v>0</v>
      </c>
      <c r="O4899" s="53" t="n">
        <v>45871.5557523148</v>
      </c>
      <c r="P4899" s="53" t="n">
        <v>45910.5924884259</v>
      </c>
      <c r="R4899" s="0" t="n">
        <v>0</v>
      </c>
      <c r="T4899" s="51" t="s">
        <v>4015</v>
      </c>
      <c r="U4899" s="0" t="str">
        <f aca="false">"12207690"</f>
        <v>12207690</v>
      </c>
      <c r="V4899" s="51" t="s">
        <v>2365</v>
      </c>
      <c r="W4899" s="51" t="s">
        <v>8979</v>
      </c>
      <c r="X4899" s="51" t="s">
        <v>2359</v>
      </c>
    </row>
    <row r="4900" customFormat="false" ht="14.25" hidden="true" customHeight="false" outlineLevel="0" collapsed="false">
      <c r="A4900" s="49" t="s">
        <v>2349</v>
      </c>
      <c r="B4900" s="49" t="s">
        <v>2350</v>
      </c>
      <c r="C4900" s="49" t="s">
        <v>9020</v>
      </c>
      <c r="D4900" s="49" t="s">
        <v>2352</v>
      </c>
      <c r="E4900" s="49" t="str">
        <f aca="false">"12452482"</f>
        <v>12452482</v>
      </c>
      <c r="F4900" s="49" t="s">
        <v>4179</v>
      </c>
      <c r="G4900" s="49" t="n">
        <v>0</v>
      </c>
      <c r="H4900" s="0" t="n">
        <v>0</v>
      </c>
      <c r="M4900" s="51" t="s">
        <v>9021</v>
      </c>
      <c r="N4900" s="49" t="n">
        <v>0</v>
      </c>
      <c r="O4900" s="53" t="n">
        <v>45820.5863310185</v>
      </c>
      <c r="P4900" s="53" t="n">
        <v>45876.8245486111</v>
      </c>
      <c r="Q4900" s="53" t="n">
        <v>45820.5863310185</v>
      </c>
      <c r="R4900" s="0" t="n">
        <v>0</v>
      </c>
      <c r="S4900" s="51" t="s">
        <v>2401</v>
      </c>
      <c r="T4900" s="51" t="s">
        <v>2401</v>
      </c>
      <c r="U4900" s="0" t="str">
        <f aca="false">"12452482"</f>
        <v>12452482</v>
      </c>
      <c r="V4900" s="51" t="s">
        <v>2365</v>
      </c>
      <c r="W4900" s="51" t="s">
        <v>8854</v>
      </c>
      <c r="X4900" s="51" t="s">
        <v>2359</v>
      </c>
    </row>
    <row r="4901" customFormat="false" ht="14.25" hidden="true" customHeight="false" outlineLevel="0" collapsed="false">
      <c r="A4901" s="49" t="s">
        <v>2349</v>
      </c>
      <c r="B4901" s="49" t="s">
        <v>2350</v>
      </c>
      <c r="C4901" s="49" t="s">
        <v>9022</v>
      </c>
      <c r="D4901" s="49" t="s">
        <v>2352</v>
      </c>
      <c r="E4901" s="49" t="str">
        <f aca="false">"5942326400483"</f>
        <v>5942326400483</v>
      </c>
      <c r="F4901" s="49" t="s">
        <v>3651</v>
      </c>
      <c r="G4901" s="49" t="n">
        <v>0</v>
      </c>
      <c r="H4901" s="0" t="n">
        <v>0</v>
      </c>
      <c r="M4901" s="51" t="s">
        <v>9023</v>
      </c>
      <c r="N4901" s="49" t="n">
        <v>0</v>
      </c>
      <c r="O4901" s="53" t="n">
        <v>45825.4311574074</v>
      </c>
      <c r="P4901" s="53" t="n">
        <v>45830.8197337963</v>
      </c>
      <c r="Q4901" s="53" t="n">
        <v>45825.4311574074</v>
      </c>
      <c r="R4901" s="0" t="n">
        <v>0</v>
      </c>
      <c r="S4901" s="51" t="s">
        <v>2416</v>
      </c>
      <c r="T4901" s="51" t="s">
        <v>2416</v>
      </c>
      <c r="U4901" s="0" t="str">
        <f aca="false">"5942326400483"</f>
        <v>5942326400483</v>
      </c>
      <c r="V4901" s="51" t="s">
        <v>2365</v>
      </c>
      <c r="W4901" s="51" t="s">
        <v>5377</v>
      </c>
      <c r="X4901" s="51" t="s">
        <v>2359</v>
      </c>
    </row>
    <row r="4902" customFormat="false" ht="14.25" hidden="true" customHeight="false" outlineLevel="0" collapsed="false">
      <c r="A4902" s="49" t="s">
        <v>2349</v>
      </c>
      <c r="B4902" s="49" t="s">
        <v>2350</v>
      </c>
      <c r="C4902" s="49" t="s">
        <v>9024</v>
      </c>
      <c r="D4902" s="49" t="s">
        <v>2352</v>
      </c>
      <c r="E4902" s="49" t="str">
        <f aca="false">"5942326400490"</f>
        <v>5942326400490</v>
      </c>
      <c r="F4902" s="49" t="s">
        <v>3842</v>
      </c>
      <c r="G4902" s="49" t="n">
        <v>0</v>
      </c>
      <c r="H4902" s="0" t="n">
        <v>0</v>
      </c>
      <c r="M4902" s="51" t="s">
        <v>9023</v>
      </c>
      <c r="N4902" s="49" t="n">
        <v>0</v>
      </c>
      <c r="O4902" s="53" t="n">
        <v>45825.4315046296</v>
      </c>
      <c r="P4902" s="53" t="n">
        <v>45839.3863310185</v>
      </c>
      <c r="Q4902" s="53" t="n">
        <v>45825.4315046296</v>
      </c>
      <c r="R4902" s="0" t="n">
        <v>0</v>
      </c>
      <c r="S4902" s="51" t="s">
        <v>2416</v>
      </c>
      <c r="T4902" s="51" t="s">
        <v>2416</v>
      </c>
      <c r="U4902" s="0" t="str">
        <f aca="false">"5942326400490"</f>
        <v>5942326400490</v>
      </c>
      <c r="V4902" s="51" t="s">
        <v>2365</v>
      </c>
      <c r="W4902" s="51" t="s">
        <v>9025</v>
      </c>
      <c r="X4902" s="51" t="s">
        <v>2359</v>
      </c>
    </row>
    <row r="4903" customFormat="false" ht="14.25" hidden="true" customHeight="false" outlineLevel="0" collapsed="false">
      <c r="A4903" s="49" t="s">
        <v>2349</v>
      </c>
      <c r="B4903" s="49" t="s">
        <v>2350</v>
      </c>
      <c r="C4903" s="49" t="s">
        <v>9026</v>
      </c>
      <c r="D4903" s="49" t="s">
        <v>2352</v>
      </c>
      <c r="E4903" s="49" t="s">
        <v>2353</v>
      </c>
      <c r="F4903" s="49" t="s">
        <v>2354</v>
      </c>
      <c r="G4903" s="49" t="n">
        <v>0</v>
      </c>
      <c r="H4903" s="0" t="n">
        <v>0</v>
      </c>
      <c r="M4903" s="51" t="s">
        <v>9027</v>
      </c>
      <c r="N4903" s="49" t="n">
        <v>0</v>
      </c>
      <c r="O4903" s="53" t="n">
        <v>45806.6196643519</v>
      </c>
      <c r="P4903" s="53" t="n">
        <v>45881.5707523148</v>
      </c>
      <c r="Q4903" s="53" t="n">
        <v>45806.6196643519</v>
      </c>
      <c r="R4903" s="0" t="n">
        <v>0</v>
      </c>
      <c r="S4903" s="51" t="s">
        <v>2356</v>
      </c>
      <c r="T4903" s="51" t="s">
        <v>2356</v>
      </c>
      <c r="U4903" s="51" t="s">
        <v>2353</v>
      </c>
      <c r="V4903" s="51" t="s">
        <v>2357</v>
      </c>
      <c r="W4903" s="51" t="s">
        <v>4486</v>
      </c>
      <c r="X4903" s="51" t="s">
        <v>2359</v>
      </c>
    </row>
    <row r="4904" customFormat="false" ht="14.25" hidden="true" customHeight="false" outlineLevel="0" collapsed="false">
      <c r="A4904" s="49" t="s">
        <v>2349</v>
      </c>
      <c r="B4904" s="49" t="s">
        <v>2350</v>
      </c>
      <c r="C4904" s="49" t="s">
        <v>9028</v>
      </c>
      <c r="D4904" s="49" t="s">
        <v>2352</v>
      </c>
      <c r="E4904" s="49" t="s">
        <v>4148</v>
      </c>
      <c r="F4904" s="49" t="s">
        <v>4149</v>
      </c>
      <c r="G4904" s="49" t="n">
        <v>0</v>
      </c>
      <c r="H4904" s="0" t="n">
        <v>0</v>
      </c>
      <c r="M4904" s="51" t="s">
        <v>9029</v>
      </c>
      <c r="N4904" s="49" t="n">
        <v>0</v>
      </c>
      <c r="O4904" s="53" t="n">
        <v>45837.3576851852</v>
      </c>
      <c r="P4904" s="53" t="n">
        <v>45854.3530439815</v>
      </c>
      <c r="Q4904" s="53" t="n">
        <v>45837.3576851852</v>
      </c>
      <c r="R4904" s="0" t="n">
        <v>0</v>
      </c>
      <c r="S4904" s="51" t="s">
        <v>2356</v>
      </c>
      <c r="T4904" s="51" t="s">
        <v>2356</v>
      </c>
      <c r="U4904" s="51" t="s">
        <v>4148</v>
      </c>
      <c r="V4904" s="51" t="s">
        <v>2365</v>
      </c>
      <c r="W4904" s="51" t="s">
        <v>5317</v>
      </c>
      <c r="X4904" s="51" t="s">
        <v>2359</v>
      </c>
    </row>
    <row r="4905" customFormat="false" ht="14.25" hidden="true" customHeight="false" outlineLevel="0" collapsed="false">
      <c r="A4905" s="49" t="s">
        <v>2349</v>
      </c>
      <c r="B4905" s="49" t="s">
        <v>2350</v>
      </c>
      <c r="C4905" s="49" t="s">
        <v>9030</v>
      </c>
      <c r="D4905" s="49" t="s">
        <v>2352</v>
      </c>
      <c r="E4905" s="49" t="s">
        <v>4148</v>
      </c>
      <c r="F4905" s="49" t="s">
        <v>4149</v>
      </c>
      <c r="G4905" s="49" t="n">
        <v>0</v>
      </c>
      <c r="H4905" s="0" t="n">
        <v>0</v>
      </c>
      <c r="M4905" s="51" t="s">
        <v>9029</v>
      </c>
      <c r="N4905" s="49" t="n">
        <v>0</v>
      </c>
      <c r="O4905" s="53" t="n">
        <v>45837.3574884259</v>
      </c>
      <c r="P4905" s="53" t="n">
        <v>45848.6130555556</v>
      </c>
      <c r="Q4905" s="53" t="n">
        <v>45837.3574884259</v>
      </c>
      <c r="R4905" s="0" t="n">
        <v>0</v>
      </c>
      <c r="S4905" s="51" t="s">
        <v>2356</v>
      </c>
      <c r="T4905" s="51" t="s">
        <v>2356</v>
      </c>
      <c r="U4905" s="51" t="s">
        <v>4148</v>
      </c>
      <c r="V4905" s="51" t="s">
        <v>2365</v>
      </c>
      <c r="W4905" s="51" t="s">
        <v>4150</v>
      </c>
      <c r="X4905" s="51" t="s">
        <v>2359</v>
      </c>
    </row>
    <row r="4906" customFormat="false" ht="14.25" hidden="true" customHeight="false" outlineLevel="0" collapsed="false">
      <c r="A4906" s="49" t="s">
        <v>2349</v>
      </c>
      <c r="B4906" s="49" t="s">
        <v>2350</v>
      </c>
      <c r="C4906" s="49" t="s">
        <v>9031</v>
      </c>
      <c r="D4906" s="49" t="s">
        <v>2352</v>
      </c>
      <c r="E4906" s="49" t="s">
        <v>4115</v>
      </c>
      <c r="F4906" s="49" t="s">
        <v>4116</v>
      </c>
      <c r="G4906" s="49" t="n">
        <v>0</v>
      </c>
      <c r="H4906" s="0" t="n">
        <v>0</v>
      </c>
      <c r="M4906" s="51" t="s">
        <v>9029</v>
      </c>
      <c r="N4906" s="49" t="n">
        <v>0</v>
      </c>
      <c r="O4906" s="53" t="n">
        <v>45837.3591203704</v>
      </c>
      <c r="P4906" s="53" t="n">
        <v>45839.3153472222</v>
      </c>
      <c r="Q4906" s="53" t="n">
        <v>45837.3591203704</v>
      </c>
      <c r="R4906" s="0" t="n">
        <v>0</v>
      </c>
      <c r="S4906" s="51" t="s">
        <v>2356</v>
      </c>
      <c r="T4906" s="51" t="s">
        <v>2356</v>
      </c>
      <c r="U4906" s="51" t="s">
        <v>4115</v>
      </c>
      <c r="V4906" s="51" t="s">
        <v>2365</v>
      </c>
      <c r="W4906" s="51" t="s">
        <v>4010</v>
      </c>
      <c r="X4906" s="51" t="s">
        <v>2359</v>
      </c>
    </row>
    <row r="4907" customFormat="false" ht="14.25" hidden="true" customHeight="false" outlineLevel="0" collapsed="false">
      <c r="A4907" s="49" t="s">
        <v>2349</v>
      </c>
      <c r="B4907" s="49" t="s">
        <v>2350</v>
      </c>
      <c r="C4907" s="49" t="s">
        <v>9032</v>
      </c>
      <c r="D4907" s="49" t="s">
        <v>2352</v>
      </c>
      <c r="E4907" s="49" t="s">
        <v>4115</v>
      </c>
      <c r="F4907" s="49" t="s">
        <v>4116</v>
      </c>
      <c r="G4907" s="49" t="n">
        <v>0</v>
      </c>
      <c r="H4907" s="0" t="n">
        <v>0</v>
      </c>
      <c r="M4907" s="51" t="s">
        <v>9029</v>
      </c>
      <c r="N4907" s="49" t="n">
        <v>0</v>
      </c>
      <c r="O4907" s="53" t="n">
        <v>45837.3589814815</v>
      </c>
      <c r="P4907" s="53" t="n">
        <v>45839.3155208333</v>
      </c>
      <c r="Q4907" s="53" t="n">
        <v>45837.3589814815</v>
      </c>
      <c r="R4907" s="0" t="n">
        <v>0</v>
      </c>
      <c r="S4907" s="51" t="s">
        <v>2356</v>
      </c>
      <c r="T4907" s="51" t="s">
        <v>2356</v>
      </c>
      <c r="U4907" s="51" t="s">
        <v>4115</v>
      </c>
      <c r="V4907" s="51" t="s">
        <v>2365</v>
      </c>
      <c r="W4907" s="51" t="s">
        <v>9033</v>
      </c>
      <c r="X4907" s="51" t="s">
        <v>2359</v>
      </c>
    </row>
    <row r="4908" customFormat="false" ht="14.25" hidden="true" customHeight="false" outlineLevel="0" collapsed="false">
      <c r="A4908" s="49" t="s">
        <v>2349</v>
      </c>
      <c r="B4908" s="49" t="s">
        <v>2350</v>
      </c>
      <c r="C4908" s="49" t="s">
        <v>9034</v>
      </c>
      <c r="D4908" s="49" t="s">
        <v>2352</v>
      </c>
      <c r="E4908" s="49" t="s">
        <v>4115</v>
      </c>
      <c r="F4908" s="49" t="s">
        <v>4116</v>
      </c>
      <c r="G4908" s="49" t="n">
        <v>0</v>
      </c>
      <c r="H4908" s="0" t="n">
        <v>0</v>
      </c>
      <c r="M4908" s="51" t="s">
        <v>9029</v>
      </c>
      <c r="N4908" s="49" t="n">
        <v>0</v>
      </c>
      <c r="O4908" s="53" t="n">
        <v>45837.3588425926</v>
      </c>
      <c r="P4908" s="53" t="n">
        <v>45839.3158333333</v>
      </c>
      <c r="Q4908" s="53" t="n">
        <v>45837.3588425926</v>
      </c>
      <c r="R4908" s="0" t="n">
        <v>0</v>
      </c>
      <c r="S4908" s="51" t="s">
        <v>2356</v>
      </c>
      <c r="T4908" s="51" t="s">
        <v>2356</v>
      </c>
      <c r="U4908" s="51" t="s">
        <v>4115</v>
      </c>
      <c r="V4908" s="51" t="s">
        <v>2365</v>
      </c>
      <c r="W4908" s="51" t="s">
        <v>5915</v>
      </c>
      <c r="X4908" s="51" t="s">
        <v>2359</v>
      </c>
    </row>
    <row r="4909" customFormat="false" ht="14.25" hidden="true" customHeight="false" outlineLevel="0" collapsed="false">
      <c r="A4909" s="49" t="s">
        <v>2349</v>
      </c>
      <c r="B4909" s="49" t="s">
        <v>2350</v>
      </c>
      <c r="C4909" s="49" t="s">
        <v>9035</v>
      </c>
      <c r="D4909" s="49" t="s">
        <v>2352</v>
      </c>
      <c r="E4909" s="49" t="s">
        <v>4115</v>
      </c>
      <c r="F4909" s="49" t="s">
        <v>4116</v>
      </c>
      <c r="G4909" s="49" t="n">
        <v>0</v>
      </c>
      <c r="H4909" s="0" t="n">
        <v>0</v>
      </c>
      <c r="M4909" s="51" t="s">
        <v>9029</v>
      </c>
      <c r="N4909" s="49" t="n">
        <v>0</v>
      </c>
      <c r="O4909" s="53" t="n">
        <v>45837.3587268519</v>
      </c>
      <c r="P4909" s="53" t="n">
        <v>45839.3159837963</v>
      </c>
      <c r="Q4909" s="53" t="n">
        <v>45837.3587268519</v>
      </c>
      <c r="R4909" s="0" t="n">
        <v>0</v>
      </c>
      <c r="S4909" s="51" t="s">
        <v>2356</v>
      </c>
      <c r="T4909" s="51" t="s">
        <v>2356</v>
      </c>
      <c r="U4909" s="51" t="s">
        <v>4115</v>
      </c>
      <c r="V4909" s="51" t="s">
        <v>2365</v>
      </c>
      <c r="W4909" s="51" t="s">
        <v>8313</v>
      </c>
      <c r="X4909" s="51" t="s">
        <v>2359</v>
      </c>
    </row>
    <row r="4910" customFormat="false" ht="14.25" hidden="true" customHeight="false" outlineLevel="0" collapsed="false">
      <c r="A4910" s="49" t="s">
        <v>2349</v>
      </c>
      <c r="B4910" s="49" t="s">
        <v>2350</v>
      </c>
      <c r="C4910" s="49" t="s">
        <v>9036</v>
      </c>
      <c r="D4910" s="49" t="s">
        <v>2352</v>
      </c>
      <c r="E4910" s="49" t="s">
        <v>4115</v>
      </c>
      <c r="F4910" s="49" t="s">
        <v>4116</v>
      </c>
      <c r="G4910" s="49" t="n">
        <v>0</v>
      </c>
      <c r="H4910" s="0" t="n">
        <v>0</v>
      </c>
      <c r="M4910" s="51" t="s">
        <v>9029</v>
      </c>
      <c r="N4910" s="49" t="n">
        <v>0</v>
      </c>
      <c r="O4910" s="53" t="n">
        <v>45837.358599537</v>
      </c>
      <c r="P4910" s="53" t="n">
        <v>45839.3149537037</v>
      </c>
      <c r="Q4910" s="53" t="n">
        <v>45837.358599537</v>
      </c>
      <c r="R4910" s="0" t="n">
        <v>0</v>
      </c>
      <c r="S4910" s="51" t="s">
        <v>2356</v>
      </c>
      <c r="T4910" s="51" t="s">
        <v>2356</v>
      </c>
      <c r="U4910" s="51" t="s">
        <v>4115</v>
      </c>
      <c r="V4910" s="51" t="s">
        <v>2365</v>
      </c>
      <c r="W4910" s="51" t="s">
        <v>9037</v>
      </c>
      <c r="X4910" s="51" t="s">
        <v>2359</v>
      </c>
    </row>
    <row r="4911" customFormat="false" ht="14.25" hidden="true" customHeight="false" outlineLevel="0" collapsed="false">
      <c r="A4911" s="49" t="s">
        <v>2349</v>
      </c>
      <c r="B4911" s="49" t="s">
        <v>2350</v>
      </c>
      <c r="C4911" s="49" t="s">
        <v>9038</v>
      </c>
      <c r="D4911" s="49" t="s">
        <v>2352</v>
      </c>
      <c r="E4911" s="49" t="s">
        <v>4115</v>
      </c>
      <c r="F4911" s="49" t="s">
        <v>4116</v>
      </c>
      <c r="G4911" s="49" t="n">
        <v>0</v>
      </c>
      <c r="H4911" s="0" t="n">
        <v>0</v>
      </c>
      <c r="M4911" s="51" t="s">
        <v>9029</v>
      </c>
      <c r="N4911" s="49" t="n">
        <v>0</v>
      </c>
      <c r="O4911" s="53" t="n">
        <v>45837.3584722222</v>
      </c>
      <c r="P4911" s="53" t="n">
        <v>45839.3145023148</v>
      </c>
      <c r="Q4911" s="53" t="n">
        <v>45837.3584722222</v>
      </c>
      <c r="R4911" s="0" t="n">
        <v>0</v>
      </c>
      <c r="S4911" s="51" t="s">
        <v>2356</v>
      </c>
      <c r="T4911" s="51" t="s">
        <v>2356</v>
      </c>
      <c r="U4911" s="51" t="s">
        <v>4115</v>
      </c>
      <c r="V4911" s="51" t="s">
        <v>2365</v>
      </c>
      <c r="W4911" s="51" t="s">
        <v>9039</v>
      </c>
      <c r="X4911" s="51" t="s">
        <v>2359</v>
      </c>
    </row>
    <row r="4912" customFormat="false" ht="14.25" hidden="true" customHeight="false" outlineLevel="0" collapsed="false">
      <c r="A4912" s="49" t="s">
        <v>2349</v>
      </c>
      <c r="B4912" s="49" t="s">
        <v>2350</v>
      </c>
      <c r="C4912" s="49" t="s">
        <v>9040</v>
      </c>
      <c r="D4912" s="49" t="s">
        <v>2352</v>
      </c>
      <c r="E4912" s="49" t="s">
        <v>4115</v>
      </c>
      <c r="F4912" s="49" t="s">
        <v>4116</v>
      </c>
      <c r="G4912" s="49" t="n">
        <v>0</v>
      </c>
      <c r="H4912" s="0" t="n">
        <v>0</v>
      </c>
      <c r="M4912" s="51" t="s">
        <v>9029</v>
      </c>
      <c r="N4912" s="49" t="n">
        <v>0</v>
      </c>
      <c r="O4912" s="53" t="n">
        <v>45837.3583101852</v>
      </c>
      <c r="P4912" s="53" t="n">
        <v>45874.6188541667</v>
      </c>
      <c r="Q4912" s="53" t="n">
        <v>45837.3583101852</v>
      </c>
      <c r="R4912" s="0" t="n">
        <v>0</v>
      </c>
      <c r="S4912" s="51" t="s">
        <v>2356</v>
      </c>
      <c r="T4912" s="51" t="s">
        <v>2356</v>
      </c>
      <c r="U4912" s="51" t="s">
        <v>4115</v>
      </c>
      <c r="V4912" s="51" t="s">
        <v>2365</v>
      </c>
      <c r="W4912" s="51" t="s">
        <v>3747</v>
      </c>
      <c r="X4912" s="51" t="s">
        <v>2359</v>
      </c>
    </row>
    <row r="4913" customFormat="false" ht="14.25" hidden="true" customHeight="false" outlineLevel="0" collapsed="false">
      <c r="A4913" s="49" t="s">
        <v>2349</v>
      </c>
      <c r="B4913" s="49" t="s">
        <v>2350</v>
      </c>
      <c r="C4913" s="49" t="s">
        <v>9041</v>
      </c>
      <c r="D4913" s="49" t="s">
        <v>2352</v>
      </c>
      <c r="E4913" s="49" t="s">
        <v>4115</v>
      </c>
      <c r="F4913" s="49" t="s">
        <v>4116</v>
      </c>
      <c r="G4913" s="49" t="n">
        <v>0</v>
      </c>
      <c r="H4913" s="0" t="n">
        <v>0</v>
      </c>
      <c r="M4913" s="51" t="s">
        <v>9029</v>
      </c>
      <c r="N4913" s="49" t="n">
        <v>0</v>
      </c>
      <c r="O4913" s="53" t="n">
        <v>45837.3581597222</v>
      </c>
      <c r="P4913" s="53" t="n">
        <v>45838.6329282407</v>
      </c>
      <c r="Q4913" s="53" t="n">
        <v>45837.3581597222</v>
      </c>
      <c r="R4913" s="0" t="n">
        <v>0</v>
      </c>
      <c r="S4913" s="51" t="s">
        <v>2356</v>
      </c>
      <c r="T4913" s="51" t="s">
        <v>2356</v>
      </c>
      <c r="U4913" s="51" t="s">
        <v>4115</v>
      </c>
      <c r="V4913" s="51" t="s">
        <v>2365</v>
      </c>
      <c r="W4913" s="51" t="s">
        <v>8391</v>
      </c>
      <c r="X4913" s="51" t="s">
        <v>2359</v>
      </c>
    </row>
    <row r="4914" customFormat="false" ht="14.25" hidden="true" customHeight="false" outlineLevel="0" collapsed="false">
      <c r="A4914" s="49" t="s">
        <v>2349</v>
      </c>
      <c r="B4914" s="49" t="s">
        <v>2350</v>
      </c>
      <c r="C4914" s="49" t="s">
        <v>9042</v>
      </c>
      <c r="D4914" s="49" t="s">
        <v>2352</v>
      </c>
      <c r="E4914" s="49" t="str">
        <f aca="false">"12452482"</f>
        <v>12452482</v>
      </c>
      <c r="F4914" s="49" t="s">
        <v>4179</v>
      </c>
      <c r="G4914" s="49" t="n">
        <v>0</v>
      </c>
      <c r="H4914" s="0" t="n">
        <v>0</v>
      </c>
      <c r="M4914" s="51" t="s">
        <v>9043</v>
      </c>
      <c r="N4914" s="49" t="n">
        <v>0</v>
      </c>
      <c r="O4914" s="53" t="n">
        <v>45823.360775463</v>
      </c>
      <c r="P4914" s="53" t="n">
        <v>45825.9378935185</v>
      </c>
      <c r="Q4914" s="53" t="n">
        <v>45823.360775463</v>
      </c>
      <c r="R4914" s="0" t="n">
        <v>0</v>
      </c>
      <c r="S4914" s="51" t="s">
        <v>2401</v>
      </c>
      <c r="T4914" s="51" t="s">
        <v>2401</v>
      </c>
      <c r="U4914" s="0" t="str">
        <f aca="false">"12452482"</f>
        <v>12452482</v>
      </c>
      <c r="V4914" s="51" t="s">
        <v>2365</v>
      </c>
      <c r="W4914" s="51" t="s">
        <v>5664</v>
      </c>
      <c r="X4914" s="51" t="s">
        <v>2359</v>
      </c>
    </row>
    <row r="4915" customFormat="false" ht="14.25" hidden="true" customHeight="false" outlineLevel="0" collapsed="false">
      <c r="A4915" s="49" t="s">
        <v>2349</v>
      </c>
      <c r="B4915" s="49" t="s">
        <v>2350</v>
      </c>
      <c r="C4915" s="49" t="s">
        <v>9044</v>
      </c>
      <c r="D4915" s="49" t="s">
        <v>2352</v>
      </c>
      <c r="E4915" s="49" t="str">
        <f aca="false">"12452482"</f>
        <v>12452482</v>
      </c>
      <c r="F4915" s="49" t="s">
        <v>4179</v>
      </c>
      <c r="G4915" s="49" t="n">
        <v>0</v>
      </c>
      <c r="H4915" s="0" t="n">
        <v>0</v>
      </c>
      <c r="M4915" s="51" t="s">
        <v>9043</v>
      </c>
      <c r="N4915" s="49" t="n">
        <v>0</v>
      </c>
      <c r="O4915" s="53" t="n">
        <v>45823.3602893519</v>
      </c>
      <c r="P4915" s="53" t="n">
        <v>45825.9374421296</v>
      </c>
      <c r="Q4915" s="53" t="n">
        <v>45823.3602893519</v>
      </c>
      <c r="R4915" s="0" t="n">
        <v>0</v>
      </c>
      <c r="S4915" s="51" t="s">
        <v>2401</v>
      </c>
      <c r="T4915" s="51" t="s">
        <v>2401</v>
      </c>
      <c r="U4915" s="0" t="str">
        <f aca="false">"12452482"</f>
        <v>12452482</v>
      </c>
      <c r="V4915" s="51" t="s">
        <v>2365</v>
      </c>
      <c r="W4915" s="51" t="s">
        <v>9045</v>
      </c>
      <c r="X4915" s="51" t="s">
        <v>2359</v>
      </c>
    </row>
    <row r="4916" customFormat="false" ht="14.25" hidden="true" customHeight="false" outlineLevel="0" collapsed="false">
      <c r="A4916" s="49" t="s">
        <v>2349</v>
      </c>
      <c r="B4916" s="49" t="s">
        <v>2350</v>
      </c>
      <c r="C4916" s="49" t="s">
        <v>9046</v>
      </c>
      <c r="D4916" s="49" t="s">
        <v>2352</v>
      </c>
      <c r="E4916" s="49" t="str">
        <f aca="false">"12452482"</f>
        <v>12452482</v>
      </c>
      <c r="F4916" s="49" t="s">
        <v>4179</v>
      </c>
      <c r="G4916" s="49" t="n">
        <v>0</v>
      </c>
      <c r="H4916" s="0" t="n">
        <v>0</v>
      </c>
      <c r="M4916" s="51" t="s">
        <v>9043</v>
      </c>
      <c r="N4916" s="49" t="n">
        <v>0</v>
      </c>
      <c r="O4916" s="53" t="n">
        <v>45823.3609259259</v>
      </c>
      <c r="P4916" s="53" t="n">
        <v>45825.9384375</v>
      </c>
      <c r="Q4916" s="53" t="n">
        <v>45823.3609259259</v>
      </c>
      <c r="R4916" s="0" t="n">
        <v>0</v>
      </c>
      <c r="S4916" s="51" t="s">
        <v>2401</v>
      </c>
      <c r="T4916" s="51" t="s">
        <v>2401</v>
      </c>
      <c r="U4916" s="0" t="str">
        <f aca="false">"12452482"</f>
        <v>12452482</v>
      </c>
      <c r="V4916" s="51" t="s">
        <v>2365</v>
      </c>
      <c r="W4916" s="51" t="s">
        <v>9047</v>
      </c>
      <c r="X4916" s="51" t="s">
        <v>2359</v>
      </c>
    </row>
    <row r="4917" customFormat="false" ht="14.25" hidden="true" customHeight="false" outlineLevel="0" collapsed="false">
      <c r="A4917" s="49" t="s">
        <v>2349</v>
      </c>
      <c r="B4917" s="49" t="s">
        <v>2350</v>
      </c>
      <c r="C4917" s="49" t="s">
        <v>9048</v>
      </c>
      <c r="D4917" s="49" t="s">
        <v>2352</v>
      </c>
      <c r="E4917" s="49" t="s">
        <v>3643</v>
      </c>
      <c r="F4917" s="49" t="s">
        <v>3644</v>
      </c>
      <c r="G4917" s="49" t="n">
        <v>0</v>
      </c>
      <c r="H4917" s="0" t="n">
        <v>0</v>
      </c>
      <c r="M4917" s="51" t="s">
        <v>9049</v>
      </c>
      <c r="N4917" s="49" t="n">
        <v>0</v>
      </c>
      <c r="O4917" s="53" t="n">
        <v>45825.4707291667</v>
      </c>
      <c r="P4917" s="53" t="n">
        <v>45860.7603587963</v>
      </c>
      <c r="Q4917" s="53" t="n">
        <v>45825.4707291667</v>
      </c>
      <c r="R4917" s="0" t="n">
        <v>0</v>
      </c>
      <c r="S4917" s="51" t="s">
        <v>2356</v>
      </c>
      <c r="T4917" s="51" t="s">
        <v>2356</v>
      </c>
      <c r="U4917" s="51" t="s">
        <v>3643</v>
      </c>
      <c r="V4917" s="51" t="s">
        <v>2357</v>
      </c>
      <c r="W4917" s="51" t="s">
        <v>9050</v>
      </c>
      <c r="X4917" s="51" t="s">
        <v>2359</v>
      </c>
    </row>
    <row r="4918" customFormat="false" ht="14.25" hidden="true" customHeight="false" outlineLevel="0" collapsed="false">
      <c r="A4918" s="49" t="s">
        <v>2349</v>
      </c>
      <c r="B4918" s="49" t="s">
        <v>2350</v>
      </c>
      <c r="C4918" s="49" t="s">
        <v>9051</v>
      </c>
      <c r="D4918" s="49" t="s">
        <v>2352</v>
      </c>
      <c r="E4918" s="49" t="s">
        <v>3638</v>
      </c>
      <c r="F4918" s="49" t="s">
        <v>3639</v>
      </c>
      <c r="G4918" s="49" t="n">
        <v>0</v>
      </c>
      <c r="H4918" s="0" t="n">
        <v>0</v>
      </c>
      <c r="M4918" s="51" t="s">
        <v>9049</v>
      </c>
      <c r="N4918" s="49" t="n">
        <v>0</v>
      </c>
      <c r="O4918" s="53" t="n">
        <v>45825.4448842593</v>
      </c>
      <c r="P4918" s="53" t="n">
        <v>45840.4792361111</v>
      </c>
      <c r="Q4918" s="53" t="n">
        <v>45825.4448842593</v>
      </c>
      <c r="R4918" s="0" t="n">
        <v>0</v>
      </c>
      <c r="S4918" s="51" t="s">
        <v>2356</v>
      </c>
      <c r="T4918" s="51" t="s">
        <v>2356</v>
      </c>
      <c r="U4918" s="51" t="s">
        <v>3638</v>
      </c>
      <c r="V4918" s="51" t="s">
        <v>2357</v>
      </c>
      <c r="W4918" s="51" t="s">
        <v>3679</v>
      </c>
      <c r="X4918" s="51" t="s">
        <v>2359</v>
      </c>
    </row>
    <row r="4919" customFormat="false" ht="14.25" hidden="true" customHeight="false" outlineLevel="0" collapsed="false">
      <c r="A4919" s="49" t="s">
        <v>2349</v>
      </c>
      <c r="B4919" s="49" t="s">
        <v>2350</v>
      </c>
      <c r="C4919" s="49" t="s">
        <v>9052</v>
      </c>
      <c r="D4919" s="49" t="s">
        <v>2352</v>
      </c>
      <c r="E4919" s="49" t="s">
        <v>3638</v>
      </c>
      <c r="F4919" s="49" t="s">
        <v>3639</v>
      </c>
      <c r="G4919" s="49" t="n">
        <v>0</v>
      </c>
      <c r="H4919" s="0" t="n">
        <v>0</v>
      </c>
      <c r="M4919" s="51" t="s">
        <v>9049</v>
      </c>
      <c r="N4919" s="49" t="n">
        <v>0</v>
      </c>
      <c r="O4919" s="53" t="n">
        <v>45825.4485648148</v>
      </c>
      <c r="P4919" s="53" t="n">
        <v>45860.8238773148</v>
      </c>
      <c r="Q4919" s="53" t="n">
        <v>45825.4485648148</v>
      </c>
      <c r="R4919" s="0" t="n">
        <v>0</v>
      </c>
      <c r="S4919" s="51" t="s">
        <v>2356</v>
      </c>
      <c r="T4919" s="51" t="s">
        <v>2356</v>
      </c>
      <c r="U4919" s="51" t="s">
        <v>3638</v>
      </c>
      <c r="V4919" s="51" t="s">
        <v>2357</v>
      </c>
      <c r="W4919" s="51" t="s">
        <v>4146</v>
      </c>
      <c r="X4919" s="51" t="s">
        <v>2359</v>
      </c>
    </row>
    <row r="4920" customFormat="false" ht="14.25" hidden="true" customHeight="false" outlineLevel="0" collapsed="false">
      <c r="A4920" s="49" t="s">
        <v>2349</v>
      </c>
      <c r="B4920" s="49" t="s">
        <v>2350</v>
      </c>
      <c r="C4920" s="49" t="s">
        <v>9053</v>
      </c>
      <c r="D4920" s="49" t="s">
        <v>2352</v>
      </c>
      <c r="E4920" s="49" t="s">
        <v>3638</v>
      </c>
      <c r="F4920" s="49" t="s">
        <v>3639</v>
      </c>
      <c r="G4920" s="49" t="n">
        <v>0</v>
      </c>
      <c r="H4920" s="0" t="n">
        <v>0</v>
      </c>
      <c r="M4920" s="51" t="s">
        <v>9049</v>
      </c>
      <c r="N4920" s="49" t="n">
        <v>0</v>
      </c>
      <c r="O4920" s="53" t="n">
        <v>45825.4492361111</v>
      </c>
      <c r="P4920" s="53" t="n">
        <v>45854.3505208333</v>
      </c>
      <c r="Q4920" s="53" t="n">
        <v>45825.4492361111</v>
      </c>
      <c r="R4920" s="0" t="n">
        <v>0</v>
      </c>
      <c r="S4920" s="51" t="s">
        <v>2356</v>
      </c>
      <c r="T4920" s="51" t="s">
        <v>2356</v>
      </c>
      <c r="U4920" s="51" t="s">
        <v>3638</v>
      </c>
      <c r="V4920" s="51" t="s">
        <v>2357</v>
      </c>
      <c r="W4920" s="51" t="s">
        <v>8391</v>
      </c>
      <c r="X4920" s="51" t="s">
        <v>2359</v>
      </c>
    </row>
    <row r="4921" customFormat="false" ht="14.25" hidden="true" customHeight="false" outlineLevel="0" collapsed="false">
      <c r="A4921" s="49" t="s">
        <v>2349</v>
      </c>
      <c r="B4921" s="49" t="s">
        <v>2350</v>
      </c>
      <c r="C4921" s="49" t="s">
        <v>9054</v>
      </c>
      <c r="D4921" s="49" t="s">
        <v>2352</v>
      </c>
      <c r="E4921" s="49" t="s">
        <v>6853</v>
      </c>
      <c r="F4921" s="49" t="s">
        <v>6854</v>
      </c>
      <c r="G4921" s="49" t="n">
        <v>0</v>
      </c>
      <c r="H4921" s="0" t="n">
        <v>0</v>
      </c>
      <c r="M4921" s="51" t="s">
        <v>9049</v>
      </c>
      <c r="N4921" s="49" t="n">
        <v>0</v>
      </c>
      <c r="O4921" s="53" t="n">
        <v>45825.4542361111</v>
      </c>
      <c r="P4921" s="53" t="n">
        <v>46046.5614467593</v>
      </c>
      <c r="Q4921" s="53" t="n">
        <v>45825.4542361111</v>
      </c>
      <c r="R4921" s="0" t="n">
        <v>0</v>
      </c>
      <c r="S4921" s="51" t="s">
        <v>2356</v>
      </c>
      <c r="T4921" s="51" t="s">
        <v>2356</v>
      </c>
      <c r="U4921" s="51" t="s">
        <v>6853</v>
      </c>
      <c r="V4921" s="51" t="s">
        <v>2357</v>
      </c>
      <c r="W4921" s="51" t="s">
        <v>4486</v>
      </c>
      <c r="X4921" s="51" t="s">
        <v>2359</v>
      </c>
    </row>
    <row r="4922" customFormat="false" ht="14.25" hidden="true" customHeight="false" outlineLevel="0" collapsed="false">
      <c r="A4922" s="49" t="s">
        <v>2349</v>
      </c>
      <c r="B4922" s="49" t="s">
        <v>2350</v>
      </c>
      <c r="C4922" s="49" t="s">
        <v>9055</v>
      </c>
      <c r="D4922" s="49" t="s">
        <v>2352</v>
      </c>
      <c r="E4922" s="49" t="s">
        <v>6853</v>
      </c>
      <c r="F4922" s="49" t="s">
        <v>6854</v>
      </c>
      <c r="G4922" s="49" t="n">
        <v>0</v>
      </c>
      <c r="H4922" s="0" t="n">
        <v>0</v>
      </c>
      <c r="M4922" s="51" t="s">
        <v>9049</v>
      </c>
      <c r="N4922" s="49" t="n">
        <v>0</v>
      </c>
      <c r="O4922" s="53" t="n">
        <v>45825.455474537</v>
      </c>
      <c r="P4922" s="53" t="n">
        <v>45872.3811689815</v>
      </c>
      <c r="Q4922" s="53" t="n">
        <v>45825.455474537</v>
      </c>
      <c r="R4922" s="0" t="n">
        <v>0</v>
      </c>
      <c r="S4922" s="51" t="s">
        <v>2356</v>
      </c>
      <c r="T4922" s="51" t="s">
        <v>2356</v>
      </c>
      <c r="U4922" s="51" t="s">
        <v>6853</v>
      </c>
      <c r="V4922" s="51" t="s">
        <v>2357</v>
      </c>
      <c r="W4922" s="51" t="s">
        <v>4010</v>
      </c>
      <c r="X4922" s="51" t="s">
        <v>2359</v>
      </c>
    </row>
    <row r="4923" customFormat="false" ht="14.25" hidden="true" customHeight="false" outlineLevel="0" collapsed="false">
      <c r="A4923" s="49" t="s">
        <v>2349</v>
      </c>
      <c r="B4923" s="49" t="s">
        <v>2350</v>
      </c>
      <c r="C4923" s="49" t="s">
        <v>9056</v>
      </c>
      <c r="D4923" s="49" t="s">
        <v>2352</v>
      </c>
      <c r="E4923" s="49" t="s">
        <v>3643</v>
      </c>
      <c r="F4923" s="49" t="s">
        <v>3644</v>
      </c>
      <c r="G4923" s="49" t="n">
        <v>0</v>
      </c>
      <c r="H4923" s="0" t="n">
        <v>0</v>
      </c>
      <c r="M4923" s="51" t="s">
        <v>9049</v>
      </c>
      <c r="N4923" s="49" t="n">
        <v>0</v>
      </c>
      <c r="O4923" s="53" t="n">
        <v>45825.4662268519</v>
      </c>
      <c r="P4923" s="53" t="n">
        <v>45939.3524652778</v>
      </c>
      <c r="Q4923" s="53" t="n">
        <v>45825.4662268519</v>
      </c>
      <c r="R4923" s="0" t="n">
        <v>0</v>
      </c>
      <c r="S4923" s="51" t="s">
        <v>2356</v>
      </c>
      <c r="T4923" s="51" t="s">
        <v>2356</v>
      </c>
      <c r="U4923" s="51" t="s">
        <v>3643</v>
      </c>
      <c r="V4923" s="51" t="s">
        <v>2357</v>
      </c>
      <c r="W4923" s="51" t="s">
        <v>4359</v>
      </c>
      <c r="X4923" s="51" t="s">
        <v>2359</v>
      </c>
    </row>
    <row r="4924" customFormat="false" ht="14.25" hidden="true" customHeight="false" outlineLevel="0" collapsed="false">
      <c r="A4924" s="49" t="s">
        <v>2349</v>
      </c>
      <c r="B4924" s="49" t="s">
        <v>2350</v>
      </c>
      <c r="C4924" s="49" t="s">
        <v>9057</v>
      </c>
      <c r="D4924" s="49" t="s">
        <v>2352</v>
      </c>
      <c r="E4924" s="49" t="str">
        <f aca="false">"041500819389"</f>
        <v>041500819389</v>
      </c>
      <c r="F4924" s="49" t="s">
        <v>6674</v>
      </c>
      <c r="G4924" s="49" t="n">
        <v>0</v>
      </c>
      <c r="H4924" s="0" t="n">
        <v>0</v>
      </c>
      <c r="M4924" s="51" t="s">
        <v>9058</v>
      </c>
      <c r="N4924" s="49" t="n">
        <v>0</v>
      </c>
      <c r="O4924" s="53" t="n">
        <v>45945.6335185185</v>
      </c>
      <c r="P4924" s="53" t="n">
        <v>45950.5865277778</v>
      </c>
      <c r="R4924" s="0" t="n">
        <v>0</v>
      </c>
      <c r="T4924" s="51" t="s">
        <v>2383</v>
      </c>
      <c r="U4924" s="0" t="str">
        <f aca="false">"041500819389"</f>
        <v>041500819389</v>
      </c>
      <c r="V4924" s="51" t="s">
        <v>2365</v>
      </c>
      <c r="W4924" s="51" t="s">
        <v>2440</v>
      </c>
      <c r="X4924" s="51" t="s">
        <v>2359</v>
      </c>
    </row>
    <row r="4925" customFormat="false" ht="14.25" hidden="true" customHeight="false" outlineLevel="0" collapsed="false">
      <c r="A4925" s="49" t="s">
        <v>2349</v>
      </c>
      <c r="B4925" s="49" t="s">
        <v>2350</v>
      </c>
      <c r="C4925" s="49" t="s">
        <v>9059</v>
      </c>
      <c r="D4925" s="49" t="s">
        <v>2352</v>
      </c>
      <c r="E4925" s="49" t="str">
        <f aca="false">"5942326400216"</f>
        <v>5942326400216</v>
      </c>
      <c r="F4925" s="49" t="s">
        <v>3777</v>
      </c>
      <c r="G4925" s="49" t="n">
        <v>0</v>
      </c>
      <c r="H4925" s="0" t="n">
        <v>0</v>
      </c>
      <c r="M4925" s="51" t="s">
        <v>9060</v>
      </c>
      <c r="N4925" s="49" t="n">
        <v>0</v>
      </c>
      <c r="O4925" s="53" t="n">
        <v>45838.6346412037</v>
      </c>
      <c r="P4925" s="53" t="n">
        <v>45845.5702199074</v>
      </c>
      <c r="Q4925" s="53" t="n">
        <v>45838.6346412037</v>
      </c>
      <c r="R4925" s="0" t="n">
        <v>0</v>
      </c>
      <c r="S4925" s="51" t="s">
        <v>2416</v>
      </c>
      <c r="T4925" s="51" t="s">
        <v>2416</v>
      </c>
      <c r="U4925" s="0" t="str">
        <f aca="false">"5942326400216"</f>
        <v>5942326400216</v>
      </c>
      <c r="V4925" s="51" t="s">
        <v>2365</v>
      </c>
      <c r="W4925" s="51" t="s">
        <v>5172</v>
      </c>
      <c r="X4925" s="51" t="s">
        <v>2359</v>
      </c>
    </row>
    <row r="4926" customFormat="false" ht="14.25" hidden="true" customHeight="false" outlineLevel="0" collapsed="false">
      <c r="A4926" s="49" t="s">
        <v>2349</v>
      </c>
      <c r="B4926" s="49" t="s">
        <v>2350</v>
      </c>
      <c r="C4926" s="49" t="s">
        <v>9061</v>
      </c>
      <c r="D4926" s="49" t="s">
        <v>2352</v>
      </c>
      <c r="E4926" s="49" t="str">
        <f aca="false">"5942326400216"</f>
        <v>5942326400216</v>
      </c>
      <c r="F4926" s="49" t="s">
        <v>3777</v>
      </c>
      <c r="G4926" s="49" t="n">
        <v>0</v>
      </c>
      <c r="H4926" s="0" t="n">
        <v>0</v>
      </c>
      <c r="M4926" s="51" t="s">
        <v>9060</v>
      </c>
      <c r="N4926" s="49" t="n">
        <v>0</v>
      </c>
      <c r="O4926" s="53" t="n">
        <v>45838.6356828704</v>
      </c>
      <c r="P4926" s="53" t="n">
        <v>45845.5653703704</v>
      </c>
      <c r="Q4926" s="53" t="n">
        <v>45838.6356828704</v>
      </c>
      <c r="R4926" s="0" t="n">
        <v>0</v>
      </c>
      <c r="S4926" s="51" t="s">
        <v>2416</v>
      </c>
      <c r="T4926" s="51" t="s">
        <v>2416</v>
      </c>
      <c r="U4926" s="0" t="str">
        <f aca="false">"5942326400216"</f>
        <v>5942326400216</v>
      </c>
      <c r="V4926" s="51" t="s">
        <v>2365</v>
      </c>
      <c r="W4926" s="51" t="s">
        <v>6707</v>
      </c>
      <c r="X4926" s="51" t="s">
        <v>2359</v>
      </c>
    </row>
    <row r="4927" customFormat="false" ht="14.25" hidden="true" customHeight="false" outlineLevel="0" collapsed="false">
      <c r="A4927" s="49" t="s">
        <v>2349</v>
      </c>
      <c r="B4927" s="49" t="s">
        <v>2350</v>
      </c>
      <c r="C4927" s="49" t="s">
        <v>9062</v>
      </c>
      <c r="D4927" s="49" t="s">
        <v>2352</v>
      </c>
      <c r="E4927" s="49" t="str">
        <f aca="false">"6172118"</f>
        <v>6172118</v>
      </c>
      <c r="F4927" s="49" t="s">
        <v>5831</v>
      </c>
      <c r="G4927" s="49" t="n">
        <v>0</v>
      </c>
      <c r="H4927" s="0" t="n">
        <v>0</v>
      </c>
      <c r="M4927" s="51" t="s">
        <v>9060</v>
      </c>
      <c r="N4927" s="49" t="n">
        <v>0</v>
      </c>
      <c r="O4927" s="53" t="n">
        <v>45838.6410300926</v>
      </c>
      <c r="P4927" s="53" t="n">
        <v>45876.7633449074</v>
      </c>
      <c r="Q4927" s="53" t="n">
        <v>45838.6410300926</v>
      </c>
      <c r="R4927" s="0" t="n">
        <v>0</v>
      </c>
      <c r="S4927" s="51" t="s">
        <v>2416</v>
      </c>
      <c r="T4927" s="51" t="s">
        <v>2416</v>
      </c>
      <c r="U4927" s="0" t="str">
        <f aca="false">"6172118"</f>
        <v>6172118</v>
      </c>
      <c r="V4927" s="51" t="s">
        <v>2365</v>
      </c>
      <c r="W4927" s="51" t="s">
        <v>5619</v>
      </c>
      <c r="X4927" s="51" t="s">
        <v>2359</v>
      </c>
    </row>
    <row r="4928" customFormat="false" ht="14.25" hidden="true" customHeight="false" outlineLevel="0" collapsed="false">
      <c r="A4928" s="49" t="s">
        <v>2349</v>
      </c>
      <c r="B4928" s="49" t="s">
        <v>2350</v>
      </c>
      <c r="C4928" s="49" t="s">
        <v>9063</v>
      </c>
      <c r="D4928" s="49" t="s">
        <v>2352</v>
      </c>
      <c r="E4928" s="49" t="str">
        <f aca="false">"5942326400216"</f>
        <v>5942326400216</v>
      </c>
      <c r="F4928" s="49" t="s">
        <v>3777</v>
      </c>
      <c r="G4928" s="49" t="n">
        <v>0</v>
      </c>
      <c r="H4928" s="0" t="n">
        <v>0</v>
      </c>
      <c r="M4928" s="51" t="s">
        <v>9060</v>
      </c>
      <c r="N4928" s="49" t="n">
        <v>0</v>
      </c>
      <c r="O4928" s="53" t="n">
        <v>45838.6367476852</v>
      </c>
      <c r="P4928" s="53" t="n">
        <v>45917.5666666667</v>
      </c>
      <c r="Q4928" s="53" t="n">
        <v>45838.6367476852</v>
      </c>
      <c r="R4928" s="0" t="n">
        <v>0</v>
      </c>
      <c r="S4928" s="51" t="s">
        <v>2416</v>
      </c>
      <c r="T4928" s="51" t="s">
        <v>2416</v>
      </c>
      <c r="U4928" s="0" t="str">
        <f aca="false">"5942326400216"</f>
        <v>5942326400216</v>
      </c>
      <c r="V4928" s="51" t="s">
        <v>2365</v>
      </c>
      <c r="W4928" s="51" t="s">
        <v>7481</v>
      </c>
      <c r="X4928" s="51" t="s">
        <v>2359</v>
      </c>
    </row>
    <row r="4929" customFormat="false" ht="14.25" hidden="true" customHeight="false" outlineLevel="0" collapsed="false">
      <c r="A4929" s="49" t="s">
        <v>2349</v>
      </c>
      <c r="B4929" s="49" t="s">
        <v>2350</v>
      </c>
      <c r="C4929" s="49" t="s">
        <v>9064</v>
      </c>
      <c r="D4929" s="49" t="s">
        <v>2352</v>
      </c>
      <c r="E4929" s="49" t="str">
        <f aca="false">"6172118"</f>
        <v>6172118</v>
      </c>
      <c r="F4929" s="49" t="s">
        <v>5831</v>
      </c>
      <c r="G4929" s="49" t="n">
        <v>0</v>
      </c>
      <c r="H4929" s="0" t="n">
        <v>0</v>
      </c>
      <c r="M4929" s="51" t="s">
        <v>9060</v>
      </c>
      <c r="N4929" s="49" t="n">
        <v>0</v>
      </c>
      <c r="O4929" s="53" t="n">
        <v>45838.642037037</v>
      </c>
      <c r="P4929" s="53" t="n">
        <v>46025.7139351852</v>
      </c>
      <c r="Q4929" s="53" t="n">
        <v>45838.642037037</v>
      </c>
      <c r="R4929" s="0" t="n">
        <v>0</v>
      </c>
      <c r="S4929" s="51" t="s">
        <v>2416</v>
      </c>
      <c r="T4929" s="51" t="s">
        <v>2416</v>
      </c>
      <c r="U4929" s="0" t="str">
        <f aca="false">"6172118"</f>
        <v>6172118</v>
      </c>
      <c r="V4929" s="51" t="s">
        <v>2365</v>
      </c>
      <c r="W4929" s="51" t="s">
        <v>4980</v>
      </c>
      <c r="X4929" s="51" t="s">
        <v>2359</v>
      </c>
    </row>
    <row r="4930" customFormat="false" ht="14.25" hidden="true" customHeight="false" outlineLevel="0" collapsed="false">
      <c r="A4930" s="49" t="s">
        <v>2349</v>
      </c>
      <c r="B4930" s="49" t="s">
        <v>2350</v>
      </c>
      <c r="C4930" s="49" t="s">
        <v>9065</v>
      </c>
      <c r="D4930" s="49" t="s">
        <v>2352</v>
      </c>
      <c r="E4930" s="49" t="str">
        <f aca="false">"6172118"</f>
        <v>6172118</v>
      </c>
      <c r="F4930" s="49" t="s">
        <v>5831</v>
      </c>
      <c r="G4930" s="49" t="n">
        <v>0</v>
      </c>
      <c r="H4930" s="0" t="n">
        <v>0</v>
      </c>
      <c r="M4930" s="51" t="s">
        <v>9060</v>
      </c>
      <c r="N4930" s="49" t="n">
        <v>0</v>
      </c>
      <c r="O4930" s="53" t="n">
        <v>45838.6427777778</v>
      </c>
      <c r="P4930" s="53" t="n">
        <v>46011.6498263889</v>
      </c>
      <c r="Q4930" s="53" t="n">
        <v>45838.6427777778</v>
      </c>
      <c r="R4930" s="0" t="n">
        <v>0</v>
      </c>
      <c r="S4930" s="51" t="s">
        <v>2416</v>
      </c>
      <c r="T4930" s="51" t="s">
        <v>2416</v>
      </c>
      <c r="U4930" s="0" t="str">
        <f aca="false">"6172118"</f>
        <v>6172118</v>
      </c>
      <c r="V4930" s="51" t="s">
        <v>2365</v>
      </c>
      <c r="W4930" s="51" t="s">
        <v>4439</v>
      </c>
      <c r="X4930" s="51" t="s">
        <v>2359</v>
      </c>
    </row>
    <row r="4931" customFormat="false" ht="14.25" hidden="true" customHeight="false" outlineLevel="0" collapsed="false">
      <c r="A4931" s="49" t="s">
        <v>2349</v>
      </c>
      <c r="B4931" s="49" t="s">
        <v>2350</v>
      </c>
      <c r="C4931" s="49" t="s">
        <v>9066</v>
      </c>
      <c r="D4931" s="49" t="s">
        <v>2352</v>
      </c>
      <c r="E4931" s="49" t="str">
        <f aca="false">"6172118"</f>
        <v>6172118</v>
      </c>
      <c r="F4931" s="49" t="s">
        <v>5831</v>
      </c>
      <c r="G4931" s="49" t="n">
        <v>0</v>
      </c>
      <c r="H4931" s="0" t="n">
        <v>0</v>
      </c>
      <c r="M4931" s="51" t="s">
        <v>9060</v>
      </c>
      <c r="N4931" s="49" t="n">
        <v>0</v>
      </c>
      <c r="O4931" s="53" t="n">
        <v>45838.6429976852</v>
      </c>
      <c r="P4931" s="53" t="n">
        <v>45995.877662037</v>
      </c>
      <c r="Q4931" s="53" t="n">
        <v>45838.6429976852</v>
      </c>
      <c r="R4931" s="0" t="n">
        <v>0</v>
      </c>
      <c r="S4931" s="51" t="s">
        <v>2416</v>
      </c>
      <c r="T4931" s="51" t="s">
        <v>2416</v>
      </c>
      <c r="U4931" s="0" t="str">
        <f aca="false">"6172118"</f>
        <v>6172118</v>
      </c>
      <c r="V4931" s="51" t="s">
        <v>2365</v>
      </c>
      <c r="W4931" s="51" t="s">
        <v>9067</v>
      </c>
      <c r="X4931" s="51" t="s">
        <v>2359</v>
      </c>
    </row>
    <row r="4932" customFormat="false" ht="14.25" hidden="true" customHeight="false" outlineLevel="0" collapsed="false">
      <c r="A4932" s="49" t="s">
        <v>2349</v>
      </c>
      <c r="B4932" s="49" t="s">
        <v>2350</v>
      </c>
      <c r="C4932" s="49" t="s">
        <v>9068</v>
      </c>
      <c r="D4932" s="49" t="s">
        <v>2352</v>
      </c>
      <c r="E4932" s="49" t="str">
        <f aca="false">"6172118"</f>
        <v>6172118</v>
      </c>
      <c r="F4932" s="49" t="s">
        <v>5831</v>
      </c>
      <c r="G4932" s="49" t="n">
        <v>0</v>
      </c>
      <c r="H4932" s="0" t="n">
        <v>0</v>
      </c>
      <c r="M4932" s="51" t="s">
        <v>9060</v>
      </c>
      <c r="N4932" s="49" t="n">
        <v>0</v>
      </c>
      <c r="O4932" s="53" t="n">
        <v>46007.887962963</v>
      </c>
      <c r="P4932" s="53" t="n">
        <v>46011.6594791667</v>
      </c>
      <c r="R4932" s="0" t="n">
        <v>0</v>
      </c>
      <c r="T4932" s="51" t="s">
        <v>2380</v>
      </c>
      <c r="U4932" s="0" t="str">
        <f aca="false">"6172118"</f>
        <v>6172118</v>
      </c>
      <c r="V4932" s="51" t="s">
        <v>2365</v>
      </c>
      <c r="W4932" s="51" t="s">
        <v>3936</v>
      </c>
      <c r="X4932" s="51" t="s">
        <v>2359</v>
      </c>
    </row>
    <row r="4933" customFormat="false" ht="14.25" hidden="true" customHeight="false" outlineLevel="0" collapsed="false">
      <c r="A4933" s="49" t="s">
        <v>2349</v>
      </c>
      <c r="B4933" s="49" t="s">
        <v>2350</v>
      </c>
      <c r="C4933" s="49" t="s">
        <v>9069</v>
      </c>
      <c r="D4933" s="49" t="s">
        <v>2352</v>
      </c>
      <c r="E4933" s="49" t="s">
        <v>8289</v>
      </c>
      <c r="F4933" s="49" t="s">
        <v>8290</v>
      </c>
      <c r="G4933" s="49" t="n">
        <v>0</v>
      </c>
      <c r="H4933" s="0" t="n">
        <v>0</v>
      </c>
      <c r="M4933" s="51" t="s">
        <v>9070</v>
      </c>
      <c r="N4933" s="49" t="n">
        <v>0</v>
      </c>
      <c r="O4933" s="53" t="n">
        <v>45837.3765972222</v>
      </c>
      <c r="P4933" s="53" t="n">
        <v>45864.3016319444</v>
      </c>
      <c r="Q4933" s="53" t="n">
        <v>45837.3765972222</v>
      </c>
      <c r="R4933" s="0" t="n">
        <v>0</v>
      </c>
      <c r="S4933" s="51" t="s">
        <v>2356</v>
      </c>
      <c r="T4933" s="51" t="s">
        <v>2356</v>
      </c>
      <c r="U4933" s="51" t="s">
        <v>8289</v>
      </c>
      <c r="V4933" s="51" t="s">
        <v>2357</v>
      </c>
      <c r="W4933" s="51" t="s">
        <v>5494</v>
      </c>
      <c r="X4933" s="51" t="s">
        <v>2359</v>
      </c>
    </row>
    <row r="4934" customFormat="false" ht="14.25" hidden="true" customHeight="false" outlineLevel="0" collapsed="false">
      <c r="A4934" s="49" t="s">
        <v>2349</v>
      </c>
      <c r="B4934" s="49" t="s">
        <v>2350</v>
      </c>
      <c r="C4934" s="49" t="s">
        <v>9071</v>
      </c>
      <c r="D4934" s="49" t="s">
        <v>2352</v>
      </c>
      <c r="E4934" s="49" t="s">
        <v>8289</v>
      </c>
      <c r="F4934" s="49" t="s">
        <v>8290</v>
      </c>
      <c r="G4934" s="49" t="n">
        <v>0</v>
      </c>
      <c r="H4934" s="0" t="n">
        <v>0</v>
      </c>
      <c r="M4934" s="51" t="s">
        <v>9070</v>
      </c>
      <c r="N4934" s="49" t="n">
        <v>0</v>
      </c>
      <c r="O4934" s="53" t="n">
        <v>45837.3763541667</v>
      </c>
      <c r="P4934" s="53" t="n">
        <v>45854.3509722222</v>
      </c>
      <c r="Q4934" s="53" t="n">
        <v>45837.3763541667</v>
      </c>
      <c r="R4934" s="0" t="n">
        <v>0</v>
      </c>
      <c r="S4934" s="51" t="s">
        <v>2356</v>
      </c>
      <c r="T4934" s="51" t="s">
        <v>2356</v>
      </c>
      <c r="U4934" s="51" t="s">
        <v>8289</v>
      </c>
      <c r="V4934" s="51" t="s">
        <v>2357</v>
      </c>
      <c r="W4934" s="51" t="s">
        <v>7251</v>
      </c>
      <c r="X4934" s="51" t="s">
        <v>2359</v>
      </c>
    </row>
    <row r="4935" customFormat="false" ht="14.25" hidden="true" customHeight="false" outlineLevel="0" collapsed="false">
      <c r="A4935" s="49" t="s">
        <v>2349</v>
      </c>
      <c r="B4935" s="49" t="s">
        <v>2350</v>
      </c>
      <c r="C4935" s="49" t="s">
        <v>9072</v>
      </c>
      <c r="D4935" s="49" t="s">
        <v>2352</v>
      </c>
      <c r="E4935" s="49" t="s">
        <v>9073</v>
      </c>
      <c r="F4935" s="49" t="s">
        <v>9074</v>
      </c>
      <c r="G4935" s="49" t="n">
        <v>0</v>
      </c>
      <c r="H4935" s="0" t="n">
        <v>0</v>
      </c>
      <c r="M4935" s="51" t="s">
        <v>9070</v>
      </c>
      <c r="N4935" s="49" t="n">
        <v>0</v>
      </c>
      <c r="O4935" s="53" t="n">
        <v>45837.3787615741</v>
      </c>
      <c r="P4935" s="53" t="n">
        <v>46001.3850347222</v>
      </c>
      <c r="Q4935" s="53" t="n">
        <v>45837.3787615741</v>
      </c>
      <c r="R4935" s="0" t="n">
        <v>0</v>
      </c>
      <c r="S4935" s="51" t="s">
        <v>2356</v>
      </c>
      <c r="T4935" s="51" t="s">
        <v>2356</v>
      </c>
      <c r="U4935" s="51" t="s">
        <v>9073</v>
      </c>
      <c r="V4935" s="51" t="s">
        <v>2357</v>
      </c>
      <c r="W4935" s="51" t="s">
        <v>9075</v>
      </c>
      <c r="X4935" s="51" t="s">
        <v>2359</v>
      </c>
    </row>
    <row r="4936" customFormat="false" ht="14.25" hidden="true" customHeight="false" outlineLevel="0" collapsed="false">
      <c r="A4936" s="49" t="s">
        <v>2349</v>
      </c>
      <c r="B4936" s="49" t="s">
        <v>2350</v>
      </c>
      <c r="C4936" s="49" t="s">
        <v>9076</v>
      </c>
      <c r="D4936" s="49" t="s">
        <v>2352</v>
      </c>
      <c r="E4936" s="49" t="s">
        <v>8296</v>
      </c>
      <c r="F4936" s="49" t="s">
        <v>8297</v>
      </c>
      <c r="G4936" s="49" t="n">
        <v>0</v>
      </c>
      <c r="H4936" s="0" t="n">
        <v>0</v>
      </c>
      <c r="M4936" s="51" t="s">
        <v>9070</v>
      </c>
      <c r="N4936" s="49" t="n">
        <v>0</v>
      </c>
      <c r="O4936" s="53" t="n">
        <v>45837.3905555556</v>
      </c>
      <c r="P4936" s="53" t="n">
        <v>45936.5415046296</v>
      </c>
      <c r="Q4936" s="53" t="n">
        <v>45837.3905555556</v>
      </c>
      <c r="R4936" s="0" t="n">
        <v>0</v>
      </c>
      <c r="S4936" s="51" t="s">
        <v>2356</v>
      </c>
      <c r="T4936" s="51" t="s">
        <v>2356</v>
      </c>
      <c r="U4936" s="51" t="s">
        <v>8296</v>
      </c>
      <c r="V4936" s="51" t="s">
        <v>2357</v>
      </c>
      <c r="W4936" s="51" t="s">
        <v>3699</v>
      </c>
      <c r="X4936" s="51" t="s">
        <v>2359</v>
      </c>
    </row>
    <row r="4937" customFormat="false" ht="14.25" hidden="true" customHeight="false" outlineLevel="0" collapsed="false">
      <c r="A4937" s="49" t="s">
        <v>2349</v>
      </c>
      <c r="B4937" s="49" t="s">
        <v>2350</v>
      </c>
      <c r="C4937" s="49" t="s">
        <v>9077</v>
      </c>
      <c r="D4937" s="49" t="s">
        <v>2352</v>
      </c>
      <c r="E4937" s="49" t="s">
        <v>8296</v>
      </c>
      <c r="F4937" s="49" t="s">
        <v>8297</v>
      </c>
      <c r="G4937" s="49" t="n">
        <v>0</v>
      </c>
      <c r="H4937" s="0" t="n">
        <v>0</v>
      </c>
      <c r="M4937" s="51" t="s">
        <v>9070</v>
      </c>
      <c r="N4937" s="49" t="n">
        <v>0</v>
      </c>
      <c r="O4937" s="53" t="n">
        <v>45837.3866666667</v>
      </c>
      <c r="P4937" s="53" t="n">
        <v>45890.4203009259</v>
      </c>
      <c r="Q4937" s="53" t="n">
        <v>45837.3866666667</v>
      </c>
      <c r="R4937" s="0" t="n">
        <v>0</v>
      </c>
      <c r="S4937" s="51" t="s">
        <v>2356</v>
      </c>
      <c r="T4937" s="51" t="s">
        <v>2356</v>
      </c>
      <c r="U4937" s="51" t="s">
        <v>8296</v>
      </c>
      <c r="V4937" s="51" t="s">
        <v>2357</v>
      </c>
      <c r="W4937" s="51" t="s">
        <v>3670</v>
      </c>
      <c r="X4937" s="51" t="s">
        <v>2359</v>
      </c>
    </row>
    <row r="4938" customFormat="false" ht="14.25" hidden="true" customHeight="false" outlineLevel="0" collapsed="false">
      <c r="A4938" s="49" t="s">
        <v>2349</v>
      </c>
      <c r="B4938" s="49" t="s">
        <v>2350</v>
      </c>
      <c r="C4938" s="49" t="s">
        <v>9078</v>
      </c>
      <c r="D4938" s="49" t="s">
        <v>2352</v>
      </c>
      <c r="E4938" s="49" t="str">
        <f aca="false">"5060175135492"</f>
        <v>5060175135492</v>
      </c>
      <c r="F4938" s="49" t="s">
        <v>9079</v>
      </c>
      <c r="G4938" s="49" t="n">
        <v>0</v>
      </c>
      <c r="H4938" s="0" t="n">
        <v>0</v>
      </c>
      <c r="M4938" s="51" t="s">
        <v>9080</v>
      </c>
      <c r="N4938" s="49" t="n">
        <v>0</v>
      </c>
      <c r="O4938" s="53" t="n">
        <v>45819.4037962963</v>
      </c>
      <c r="P4938" s="53" t="n">
        <v>45822.8945486111</v>
      </c>
      <c r="Q4938" s="53" t="n">
        <v>45819.4037962963</v>
      </c>
      <c r="R4938" s="0" t="n">
        <v>0</v>
      </c>
      <c r="S4938" s="51" t="s">
        <v>4015</v>
      </c>
      <c r="T4938" s="51" t="s">
        <v>4015</v>
      </c>
      <c r="U4938" s="0" t="str">
        <f aca="false">"5060175135492"</f>
        <v>5060175135492</v>
      </c>
      <c r="V4938" s="51" t="s">
        <v>2365</v>
      </c>
      <c r="W4938" s="51" t="s">
        <v>5662</v>
      </c>
      <c r="X4938" s="51" t="s">
        <v>2359</v>
      </c>
    </row>
    <row r="4939" customFormat="false" ht="14.25" hidden="true" customHeight="false" outlineLevel="0" collapsed="false">
      <c r="A4939" s="49" t="s">
        <v>2349</v>
      </c>
      <c r="B4939" s="49" t="s">
        <v>2350</v>
      </c>
      <c r="C4939" s="49" t="s">
        <v>9081</v>
      </c>
      <c r="D4939" s="49" t="s">
        <v>2352</v>
      </c>
      <c r="E4939" s="49" t="str">
        <f aca="false">"12428864"</f>
        <v>12428864</v>
      </c>
      <c r="F4939" s="49" t="s">
        <v>4251</v>
      </c>
      <c r="G4939" s="49" t="n">
        <v>0</v>
      </c>
      <c r="H4939" s="0" t="n">
        <v>0</v>
      </c>
      <c r="M4939" s="51" t="s">
        <v>9082</v>
      </c>
      <c r="N4939" s="49" t="n">
        <v>0</v>
      </c>
      <c r="O4939" s="53" t="n">
        <v>45803.5528703704</v>
      </c>
      <c r="P4939" s="53" t="n">
        <v>45805.8811574074</v>
      </c>
      <c r="Q4939" s="53" t="n">
        <v>45803.5528703704</v>
      </c>
      <c r="R4939" s="0" t="n">
        <v>0</v>
      </c>
      <c r="S4939" s="51" t="s">
        <v>2416</v>
      </c>
      <c r="T4939" s="51" t="s">
        <v>2416</v>
      </c>
      <c r="U4939" s="0" t="str">
        <f aca="false">"12428864"</f>
        <v>12428864</v>
      </c>
      <c r="V4939" s="51" t="s">
        <v>2365</v>
      </c>
      <c r="W4939" s="51" t="s">
        <v>8470</v>
      </c>
      <c r="X4939" s="51" t="s">
        <v>2359</v>
      </c>
    </row>
    <row r="4940" customFormat="false" ht="14.25" hidden="true" customHeight="false" outlineLevel="0" collapsed="false">
      <c r="A4940" s="49" t="s">
        <v>2349</v>
      </c>
      <c r="B4940" s="49" t="s">
        <v>2350</v>
      </c>
      <c r="C4940" s="49" t="s">
        <v>9083</v>
      </c>
      <c r="D4940" s="49" t="s">
        <v>2352</v>
      </c>
      <c r="E4940" s="49" t="str">
        <f aca="false">"12207690"</f>
        <v>12207690</v>
      </c>
      <c r="F4940" s="49" t="s">
        <v>4199</v>
      </c>
      <c r="G4940" s="49" t="n">
        <v>0</v>
      </c>
      <c r="H4940" s="0" t="n">
        <v>0</v>
      </c>
      <c r="M4940" s="51" t="s">
        <v>9084</v>
      </c>
      <c r="N4940" s="49" t="n">
        <v>0</v>
      </c>
      <c r="O4940" s="53" t="n">
        <v>45802.4730555556</v>
      </c>
      <c r="P4940" s="53" t="n">
        <v>45805.462662037</v>
      </c>
      <c r="Q4940" s="53" t="n">
        <v>45802.4730555556</v>
      </c>
      <c r="R4940" s="0" t="n">
        <v>0</v>
      </c>
      <c r="S4940" s="51" t="s">
        <v>2416</v>
      </c>
      <c r="T4940" s="51" t="s">
        <v>2416</v>
      </c>
      <c r="U4940" s="0" t="str">
        <f aca="false">"12207690"</f>
        <v>12207690</v>
      </c>
      <c r="V4940" s="51" t="s">
        <v>2365</v>
      </c>
      <c r="W4940" s="51" t="s">
        <v>6002</v>
      </c>
      <c r="X4940" s="51" t="s">
        <v>2359</v>
      </c>
    </row>
    <row r="4941" customFormat="false" ht="14.25" hidden="true" customHeight="false" outlineLevel="0" collapsed="false">
      <c r="A4941" s="49" t="s">
        <v>2349</v>
      </c>
      <c r="B4941" s="49" t="s">
        <v>2350</v>
      </c>
      <c r="C4941" s="49" t="s">
        <v>9085</v>
      </c>
      <c r="D4941" s="49" t="s">
        <v>2352</v>
      </c>
      <c r="E4941" s="49" t="str">
        <f aca="false">"12207690"</f>
        <v>12207690</v>
      </c>
      <c r="F4941" s="49" t="s">
        <v>4199</v>
      </c>
      <c r="G4941" s="49" t="n">
        <v>0</v>
      </c>
      <c r="H4941" s="0" t="n">
        <v>0</v>
      </c>
      <c r="M4941" s="51" t="s">
        <v>9084</v>
      </c>
      <c r="N4941" s="49" t="n">
        <v>0</v>
      </c>
      <c r="O4941" s="53" t="n">
        <v>45802.4736342593</v>
      </c>
      <c r="P4941" s="53" t="n">
        <v>45805.4625231482</v>
      </c>
      <c r="Q4941" s="53" t="n">
        <v>45802.4736342593</v>
      </c>
      <c r="R4941" s="0" t="n">
        <v>0</v>
      </c>
      <c r="S4941" s="51" t="s">
        <v>2416</v>
      </c>
      <c r="T4941" s="51" t="s">
        <v>2416</v>
      </c>
      <c r="U4941" s="0" t="str">
        <f aca="false">"12207690"</f>
        <v>12207690</v>
      </c>
      <c r="V4941" s="51" t="s">
        <v>2365</v>
      </c>
      <c r="W4941" s="51" t="s">
        <v>7025</v>
      </c>
      <c r="X4941" s="51" t="s">
        <v>2359</v>
      </c>
    </row>
    <row r="4942" customFormat="false" ht="14.25" hidden="true" customHeight="false" outlineLevel="0" collapsed="false">
      <c r="A4942" s="49" t="s">
        <v>2349</v>
      </c>
      <c r="B4942" s="49" t="s">
        <v>2350</v>
      </c>
      <c r="C4942" s="49" t="s">
        <v>9086</v>
      </c>
      <c r="D4942" s="49" t="s">
        <v>2352</v>
      </c>
      <c r="E4942" s="49" t="str">
        <f aca="false">"12207690"</f>
        <v>12207690</v>
      </c>
      <c r="F4942" s="49" t="s">
        <v>4199</v>
      </c>
      <c r="G4942" s="49" t="n">
        <v>0</v>
      </c>
      <c r="H4942" s="0" t="n">
        <v>0</v>
      </c>
      <c r="M4942" s="51" t="s">
        <v>9084</v>
      </c>
      <c r="N4942" s="49" t="n">
        <v>0</v>
      </c>
      <c r="O4942" s="53" t="n">
        <v>45802.4737847222</v>
      </c>
      <c r="P4942" s="53" t="n">
        <v>45805.4622685185</v>
      </c>
      <c r="Q4942" s="53" t="n">
        <v>45802.4737847222</v>
      </c>
      <c r="R4942" s="0" t="n">
        <v>0</v>
      </c>
      <c r="S4942" s="51" t="s">
        <v>2416</v>
      </c>
      <c r="T4942" s="51" t="s">
        <v>2416</v>
      </c>
      <c r="U4942" s="0" t="str">
        <f aca="false">"12207690"</f>
        <v>12207690</v>
      </c>
      <c r="V4942" s="51" t="s">
        <v>2365</v>
      </c>
      <c r="W4942" s="51" t="s">
        <v>6763</v>
      </c>
      <c r="X4942" s="51" t="s">
        <v>2359</v>
      </c>
    </row>
    <row r="4943" customFormat="false" ht="14.25" hidden="true" customHeight="false" outlineLevel="0" collapsed="false">
      <c r="A4943" s="49" t="s">
        <v>2349</v>
      </c>
      <c r="B4943" s="49" t="s">
        <v>2350</v>
      </c>
      <c r="C4943" s="49" t="s">
        <v>9087</v>
      </c>
      <c r="D4943" s="49" t="s">
        <v>2352</v>
      </c>
      <c r="E4943" s="49" t="str">
        <f aca="false">"12207690"</f>
        <v>12207690</v>
      </c>
      <c r="F4943" s="49" t="s">
        <v>4199</v>
      </c>
      <c r="G4943" s="49" t="n">
        <v>0</v>
      </c>
      <c r="H4943" s="0" t="n">
        <v>0</v>
      </c>
      <c r="M4943" s="51" t="s">
        <v>9084</v>
      </c>
      <c r="N4943" s="49" t="n">
        <v>0</v>
      </c>
      <c r="O4943" s="53" t="n">
        <v>45802.4740740741</v>
      </c>
      <c r="P4943" s="53" t="n">
        <v>45805.4627662037</v>
      </c>
      <c r="Q4943" s="53" t="n">
        <v>45802.4740740741</v>
      </c>
      <c r="R4943" s="0" t="n">
        <v>0</v>
      </c>
      <c r="S4943" s="51" t="s">
        <v>2416</v>
      </c>
      <c r="T4943" s="51" t="s">
        <v>2416</v>
      </c>
      <c r="U4943" s="0" t="str">
        <f aca="false">"12207690"</f>
        <v>12207690</v>
      </c>
      <c r="V4943" s="51" t="s">
        <v>2365</v>
      </c>
      <c r="W4943" s="51" t="s">
        <v>8782</v>
      </c>
      <c r="X4943" s="51" t="s">
        <v>2359</v>
      </c>
    </row>
    <row r="4944" customFormat="false" ht="14.25" hidden="true" customHeight="false" outlineLevel="0" collapsed="false">
      <c r="A4944" s="49" t="s">
        <v>2349</v>
      </c>
      <c r="B4944" s="49" t="s">
        <v>2350</v>
      </c>
      <c r="C4944" s="49" t="s">
        <v>9088</v>
      </c>
      <c r="D4944" s="49" t="s">
        <v>2352</v>
      </c>
      <c r="E4944" s="49" t="str">
        <f aca="false">"12207690"</f>
        <v>12207690</v>
      </c>
      <c r="F4944" s="49" t="s">
        <v>4199</v>
      </c>
      <c r="G4944" s="49" t="n">
        <v>0</v>
      </c>
      <c r="H4944" s="0" t="n">
        <v>0</v>
      </c>
      <c r="M4944" s="51" t="s">
        <v>9084</v>
      </c>
      <c r="N4944" s="49" t="n">
        <v>0</v>
      </c>
      <c r="O4944" s="53" t="n">
        <v>45802.4746412037</v>
      </c>
      <c r="P4944" s="53" t="n">
        <v>45805.4628472222</v>
      </c>
      <c r="Q4944" s="53" t="n">
        <v>45802.4746412037</v>
      </c>
      <c r="R4944" s="0" t="n">
        <v>0</v>
      </c>
      <c r="S4944" s="51" t="s">
        <v>2416</v>
      </c>
      <c r="T4944" s="51" t="s">
        <v>2416</v>
      </c>
      <c r="U4944" s="0" t="str">
        <f aca="false">"12207690"</f>
        <v>12207690</v>
      </c>
      <c r="V4944" s="51" t="s">
        <v>2365</v>
      </c>
      <c r="W4944" s="51" t="s">
        <v>9089</v>
      </c>
      <c r="X4944" s="51" t="s">
        <v>2359</v>
      </c>
    </row>
    <row r="4945" customFormat="false" ht="14.25" hidden="true" customHeight="false" outlineLevel="0" collapsed="false">
      <c r="A4945" s="49" t="s">
        <v>2349</v>
      </c>
      <c r="B4945" s="49" t="s">
        <v>2350</v>
      </c>
      <c r="C4945" s="49" t="s">
        <v>9090</v>
      </c>
      <c r="D4945" s="49" t="s">
        <v>2352</v>
      </c>
      <c r="E4945" s="49" t="str">
        <f aca="false">"12207690"</f>
        <v>12207690</v>
      </c>
      <c r="F4945" s="49" t="s">
        <v>4199</v>
      </c>
      <c r="G4945" s="49" t="n">
        <v>0</v>
      </c>
      <c r="H4945" s="0" t="n">
        <v>0</v>
      </c>
      <c r="M4945" s="51" t="s">
        <v>9084</v>
      </c>
      <c r="N4945" s="49" t="n">
        <v>0</v>
      </c>
      <c r="O4945" s="53" t="n">
        <v>45802.4750115741</v>
      </c>
      <c r="P4945" s="53" t="n">
        <v>45805.4634259259</v>
      </c>
      <c r="Q4945" s="53" t="n">
        <v>45802.4750115741</v>
      </c>
      <c r="R4945" s="0" t="n">
        <v>0</v>
      </c>
      <c r="S4945" s="51" t="s">
        <v>2416</v>
      </c>
      <c r="T4945" s="51" t="s">
        <v>2416</v>
      </c>
      <c r="U4945" s="0" t="str">
        <f aca="false">"12207690"</f>
        <v>12207690</v>
      </c>
      <c r="V4945" s="51" t="s">
        <v>2365</v>
      </c>
      <c r="W4945" s="51" t="s">
        <v>8106</v>
      </c>
      <c r="X4945" s="51" t="s">
        <v>2359</v>
      </c>
    </row>
    <row r="4946" customFormat="false" ht="14.25" hidden="true" customHeight="false" outlineLevel="0" collapsed="false">
      <c r="A4946" s="49" t="s">
        <v>2349</v>
      </c>
      <c r="B4946" s="49" t="s">
        <v>2350</v>
      </c>
      <c r="C4946" s="49" t="s">
        <v>9091</v>
      </c>
      <c r="D4946" s="49" t="s">
        <v>2352</v>
      </c>
      <c r="E4946" s="49" t="str">
        <f aca="false">"12207690"</f>
        <v>12207690</v>
      </c>
      <c r="F4946" s="49" t="s">
        <v>4199</v>
      </c>
      <c r="G4946" s="49" t="n">
        <v>0</v>
      </c>
      <c r="H4946" s="0" t="n">
        <v>0</v>
      </c>
      <c r="M4946" s="51" t="s">
        <v>9084</v>
      </c>
      <c r="N4946" s="49" t="n">
        <v>0</v>
      </c>
      <c r="O4946" s="53" t="n">
        <v>45802.4752199074</v>
      </c>
      <c r="P4946" s="53" t="n">
        <v>45805.4633449074</v>
      </c>
      <c r="Q4946" s="53" t="n">
        <v>45802.4752199074</v>
      </c>
      <c r="R4946" s="0" t="n">
        <v>0</v>
      </c>
      <c r="S4946" s="51" t="s">
        <v>2416</v>
      </c>
      <c r="T4946" s="51" t="s">
        <v>2416</v>
      </c>
      <c r="U4946" s="0" t="str">
        <f aca="false">"12207690"</f>
        <v>12207690</v>
      </c>
      <c r="V4946" s="51" t="s">
        <v>2365</v>
      </c>
      <c r="W4946" s="51" t="s">
        <v>9092</v>
      </c>
      <c r="X4946" s="51" t="s">
        <v>2359</v>
      </c>
    </row>
    <row r="4947" customFormat="false" ht="14.25" hidden="true" customHeight="false" outlineLevel="0" collapsed="false">
      <c r="A4947" s="49" t="s">
        <v>2349</v>
      </c>
      <c r="B4947" s="49" t="s">
        <v>2350</v>
      </c>
      <c r="C4947" s="49" t="s">
        <v>9093</v>
      </c>
      <c r="D4947" s="49" t="s">
        <v>2352</v>
      </c>
      <c r="E4947" s="49" t="str">
        <f aca="false">"12207690"</f>
        <v>12207690</v>
      </c>
      <c r="F4947" s="49" t="s">
        <v>4199</v>
      </c>
      <c r="G4947" s="49" t="n">
        <v>0</v>
      </c>
      <c r="H4947" s="0" t="n">
        <v>0</v>
      </c>
      <c r="M4947" s="51" t="s">
        <v>9084</v>
      </c>
      <c r="N4947" s="49" t="n">
        <v>0</v>
      </c>
      <c r="O4947" s="53" t="n">
        <v>45802.4753587963</v>
      </c>
      <c r="P4947" s="53" t="n">
        <v>45805.4631018519</v>
      </c>
      <c r="Q4947" s="53" t="n">
        <v>45802.4753587963</v>
      </c>
      <c r="R4947" s="0" t="n">
        <v>0</v>
      </c>
      <c r="S4947" s="51" t="s">
        <v>2416</v>
      </c>
      <c r="T4947" s="51" t="s">
        <v>2416</v>
      </c>
      <c r="U4947" s="0" t="str">
        <f aca="false">"12207690"</f>
        <v>12207690</v>
      </c>
      <c r="V4947" s="51" t="s">
        <v>2365</v>
      </c>
      <c r="W4947" s="51" t="s">
        <v>5287</v>
      </c>
      <c r="X4947" s="51" t="s">
        <v>2359</v>
      </c>
    </row>
    <row r="4948" customFormat="false" ht="14.25" hidden="true" customHeight="false" outlineLevel="0" collapsed="false">
      <c r="A4948" s="49" t="s">
        <v>2349</v>
      </c>
      <c r="B4948" s="49" t="s">
        <v>2350</v>
      </c>
      <c r="C4948" s="49" t="s">
        <v>9094</v>
      </c>
      <c r="D4948" s="49" t="s">
        <v>2352</v>
      </c>
      <c r="E4948" s="49" t="str">
        <f aca="false">"12207690"</f>
        <v>12207690</v>
      </c>
      <c r="F4948" s="49" t="s">
        <v>4199</v>
      </c>
      <c r="G4948" s="49" t="n">
        <v>0</v>
      </c>
      <c r="H4948" s="0" t="n">
        <v>0</v>
      </c>
      <c r="M4948" s="51" t="s">
        <v>9084</v>
      </c>
      <c r="N4948" s="49" t="n">
        <v>0</v>
      </c>
      <c r="O4948" s="53" t="n">
        <v>45802.4755439815</v>
      </c>
      <c r="P4948" s="53" t="n">
        <v>45805.4630092593</v>
      </c>
      <c r="Q4948" s="53" t="n">
        <v>45802.4755439815</v>
      </c>
      <c r="R4948" s="0" t="n">
        <v>0</v>
      </c>
      <c r="S4948" s="51" t="s">
        <v>2416</v>
      </c>
      <c r="T4948" s="51" t="s">
        <v>2416</v>
      </c>
      <c r="U4948" s="0" t="str">
        <f aca="false">"12207690"</f>
        <v>12207690</v>
      </c>
      <c r="V4948" s="51" t="s">
        <v>2365</v>
      </c>
      <c r="W4948" s="51" t="s">
        <v>5382</v>
      </c>
      <c r="X4948" s="51" t="s">
        <v>2359</v>
      </c>
    </row>
    <row r="4949" customFormat="false" ht="14.25" hidden="true" customHeight="false" outlineLevel="0" collapsed="false">
      <c r="A4949" s="49" t="s">
        <v>2349</v>
      </c>
      <c r="B4949" s="49" t="s">
        <v>2350</v>
      </c>
      <c r="C4949" s="49" t="s">
        <v>9095</v>
      </c>
      <c r="D4949" s="49" t="s">
        <v>2352</v>
      </c>
      <c r="E4949" s="49" t="str">
        <f aca="false">"12207690"</f>
        <v>12207690</v>
      </c>
      <c r="F4949" s="49" t="s">
        <v>4199</v>
      </c>
      <c r="G4949" s="49" t="n">
        <v>0</v>
      </c>
      <c r="H4949" s="0" t="n">
        <v>0</v>
      </c>
      <c r="M4949" s="51" t="s">
        <v>9084</v>
      </c>
      <c r="N4949" s="49" t="n">
        <v>0</v>
      </c>
      <c r="O4949" s="53" t="n">
        <v>45802.4756828704</v>
      </c>
      <c r="P4949" s="53" t="n">
        <v>45805.4624189815</v>
      </c>
      <c r="Q4949" s="53" t="n">
        <v>45802.4756828704</v>
      </c>
      <c r="R4949" s="0" t="n">
        <v>0</v>
      </c>
      <c r="S4949" s="51" t="s">
        <v>2416</v>
      </c>
      <c r="T4949" s="51" t="s">
        <v>2416</v>
      </c>
      <c r="U4949" s="0" t="str">
        <f aca="false">"12207690"</f>
        <v>12207690</v>
      </c>
      <c r="V4949" s="51" t="s">
        <v>2365</v>
      </c>
      <c r="W4949" s="51" t="s">
        <v>8367</v>
      </c>
      <c r="X4949" s="51" t="s">
        <v>2359</v>
      </c>
    </row>
    <row r="4950" customFormat="false" ht="14.25" hidden="true" customHeight="false" outlineLevel="0" collapsed="false">
      <c r="A4950" s="49" t="s">
        <v>2349</v>
      </c>
      <c r="B4950" s="49" t="s">
        <v>2350</v>
      </c>
      <c r="C4950" s="49" t="s">
        <v>9096</v>
      </c>
      <c r="D4950" s="49" t="s">
        <v>2352</v>
      </c>
      <c r="E4950" s="49" t="str">
        <f aca="false">"12207690"</f>
        <v>12207690</v>
      </c>
      <c r="F4950" s="49" t="s">
        <v>4199</v>
      </c>
      <c r="G4950" s="49" t="n">
        <v>0</v>
      </c>
      <c r="H4950" s="0" t="n">
        <v>0</v>
      </c>
      <c r="M4950" s="51" t="s">
        <v>9084</v>
      </c>
      <c r="N4950" s="49" t="n">
        <v>0</v>
      </c>
      <c r="O4950" s="53" t="n">
        <v>45802.4758333333</v>
      </c>
      <c r="P4950" s="53" t="n">
        <v>45805.4635648148</v>
      </c>
      <c r="Q4950" s="53" t="n">
        <v>45802.4758333333</v>
      </c>
      <c r="R4950" s="0" t="n">
        <v>0</v>
      </c>
      <c r="S4950" s="51" t="s">
        <v>2416</v>
      </c>
      <c r="T4950" s="51" t="s">
        <v>2416</v>
      </c>
      <c r="U4950" s="0" t="str">
        <f aca="false">"12207690"</f>
        <v>12207690</v>
      </c>
      <c r="V4950" s="51" t="s">
        <v>2365</v>
      </c>
      <c r="W4950" s="51" t="s">
        <v>9097</v>
      </c>
      <c r="X4950" s="51" t="s">
        <v>2359</v>
      </c>
    </row>
    <row r="4951" customFormat="false" ht="14.25" hidden="true" customHeight="false" outlineLevel="0" collapsed="false">
      <c r="A4951" s="49" t="s">
        <v>2349</v>
      </c>
      <c r="B4951" s="49" t="s">
        <v>2350</v>
      </c>
      <c r="C4951" s="49" t="s">
        <v>9098</v>
      </c>
      <c r="D4951" s="49" t="s">
        <v>2352</v>
      </c>
      <c r="E4951" s="49" t="str">
        <f aca="false">"3760174985370"</f>
        <v>3760174985370</v>
      </c>
      <c r="F4951" s="49" t="s">
        <v>4108</v>
      </c>
      <c r="G4951" s="49" t="n">
        <v>0</v>
      </c>
      <c r="H4951" s="0" t="n">
        <v>0</v>
      </c>
      <c r="M4951" s="51" t="s">
        <v>9099</v>
      </c>
      <c r="N4951" s="49" t="n">
        <v>0</v>
      </c>
      <c r="O4951" s="53" t="n">
        <v>45818.4270949074</v>
      </c>
      <c r="P4951" s="53" t="n">
        <v>45873.8979513889</v>
      </c>
      <c r="Q4951" s="53" t="n">
        <v>45818.4270949074</v>
      </c>
      <c r="R4951" s="0" t="n">
        <v>0</v>
      </c>
      <c r="S4951" s="51" t="s">
        <v>4015</v>
      </c>
      <c r="T4951" s="51" t="s">
        <v>4015</v>
      </c>
      <c r="U4951" s="0" t="str">
        <f aca="false">"3760174985370"</f>
        <v>3760174985370</v>
      </c>
      <c r="V4951" s="51" t="s">
        <v>2365</v>
      </c>
      <c r="W4951" s="51" t="s">
        <v>6775</v>
      </c>
      <c r="X4951" s="51" t="s">
        <v>2359</v>
      </c>
    </row>
    <row r="4952" customFormat="false" ht="14.25" hidden="true" customHeight="false" outlineLevel="0" collapsed="false">
      <c r="A4952" s="49" t="s">
        <v>2349</v>
      </c>
      <c r="B4952" s="49" t="s">
        <v>2350</v>
      </c>
      <c r="C4952" s="49" t="s">
        <v>9100</v>
      </c>
      <c r="D4952" s="49" t="s">
        <v>2352</v>
      </c>
      <c r="E4952" s="49" t="str">
        <f aca="false">"3760174985370"</f>
        <v>3760174985370</v>
      </c>
      <c r="F4952" s="49" t="s">
        <v>4108</v>
      </c>
      <c r="G4952" s="49" t="n">
        <v>0</v>
      </c>
      <c r="H4952" s="0" t="n">
        <v>0</v>
      </c>
      <c r="M4952" s="51" t="s">
        <v>9099</v>
      </c>
      <c r="N4952" s="49" t="n">
        <v>0</v>
      </c>
      <c r="O4952" s="53" t="n">
        <v>45818.4273611111</v>
      </c>
      <c r="P4952" s="53" t="n">
        <v>45823.7858449074</v>
      </c>
      <c r="Q4952" s="53" t="n">
        <v>45818.4273611111</v>
      </c>
      <c r="R4952" s="0" t="n">
        <v>0</v>
      </c>
      <c r="S4952" s="51" t="s">
        <v>4015</v>
      </c>
      <c r="T4952" s="51" t="s">
        <v>4015</v>
      </c>
      <c r="U4952" s="0" t="str">
        <f aca="false">"3760174985370"</f>
        <v>3760174985370</v>
      </c>
      <c r="V4952" s="51" t="s">
        <v>2365</v>
      </c>
      <c r="W4952" s="51" t="s">
        <v>5172</v>
      </c>
      <c r="X4952" s="51" t="s">
        <v>2359</v>
      </c>
    </row>
    <row r="4953" customFormat="false" ht="14.25" hidden="true" customHeight="false" outlineLevel="0" collapsed="false">
      <c r="A4953" s="49" t="s">
        <v>2349</v>
      </c>
      <c r="B4953" s="49" t="s">
        <v>2350</v>
      </c>
      <c r="C4953" s="49" t="s">
        <v>9101</v>
      </c>
      <c r="D4953" s="49" t="s">
        <v>2352</v>
      </c>
      <c r="E4953" s="49" t="str">
        <f aca="false">"3760174985370"</f>
        <v>3760174985370</v>
      </c>
      <c r="F4953" s="49" t="s">
        <v>4108</v>
      </c>
      <c r="G4953" s="49" t="n">
        <v>0</v>
      </c>
      <c r="H4953" s="0" t="n">
        <v>0</v>
      </c>
      <c r="M4953" s="51" t="s">
        <v>9099</v>
      </c>
      <c r="N4953" s="49" t="n">
        <v>0</v>
      </c>
      <c r="O4953" s="53" t="n">
        <v>45818.4276273148</v>
      </c>
      <c r="P4953" s="53" t="n">
        <v>45873.8991898148</v>
      </c>
      <c r="Q4953" s="53" t="n">
        <v>45818.4276273148</v>
      </c>
      <c r="R4953" s="0" t="n">
        <v>0</v>
      </c>
      <c r="S4953" s="51" t="s">
        <v>4015</v>
      </c>
      <c r="T4953" s="51" t="s">
        <v>4015</v>
      </c>
      <c r="U4953" s="0" t="str">
        <f aca="false">"3760174985370"</f>
        <v>3760174985370</v>
      </c>
      <c r="V4953" s="51" t="s">
        <v>2365</v>
      </c>
      <c r="W4953" s="51" t="s">
        <v>6763</v>
      </c>
      <c r="X4953" s="51" t="s">
        <v>2359</v>
      </c>
    </row>
    <row r="4954" customFormat="false" ht="14.25" hidden="true" customHeight="false" outlineLevel="0" collapsed="false">
      <c r="A4954" s="49" t="s">
        <v>2349</v>
      </c>
      <c r="B4954" s="49" t="s">
        <v>2350</v>
      </c>
      <c r="C4954" s="49" t="s">
        <v>9102</v>
      </c>
      <c r="D4954" s="49" t="s">
        <v>2352</v>
      </c>
      <c r="E4954" s="49" t="str">
        <f aca="false">"5060175133144"</f>
        <v>5060175133144</v>
      </c>
      <c r="F4954" s="49" t="s">
        <v>7700</v>
      </c>
      <c r="G4954" s="49" t="n">
        <v>0</v>
      </c>
      <c r="H4954" s="0" t="n">
        <v>0</v>
      </c>
      <c r="M4954" s="51" t="s">
        <v>9099</v>
      </c>
      <c r="N4954" s="49" t="n">
        <v>0</v>
      </c>
      <c r="O4954" s="53" t="n">
        <v>45818.4334027778</v>
      </c>
      <c r="P4954" s="53" t="n">
        <v>45837.4787268519</v>
      </c>
      <c r="Q4954" s="53" t="n">
        <v>45818.4334027778</v>
      </c>
      <c r="R4954" s="0" t="n">
        <v>0</v>
      </c>
      <c r="S4954" s="51" t="s">
        <v>4015</v>
      </c>
      <c r="T4954" s="51" t="s">
        <v>4015</v>
      </c>
      <c r="U4954" s="0" t="str">
        <f aca="false">"5060175133144"</f>
        <v>5060175133144</v>
      </c>
      <c r="V4954" s="51" t="s">
        <v>2365</v>
      </c>
      <c r="W4954" s="51" t="s">
        <v>4849</v>
      </c>
      <c r="X4954" s="51" t="s">
        <v>2359</v>
      </c>
    </row>
    <row r="4955" customFormat="false" ht="14.25" hidden="true" customHeight="false" outlineLevel="0" collapsed="false">
      <c r="A4955" s="49" t="s">
        <v>2349</v>
      </c>
      <c r="B4955" s="49" t="s">
        <v>2350</v>
      </c>
      <c r="C4955" s="49" t="s">
        <v>9103</v>
      </c>
      <c r="D4955" s="49" t="s">
        <v>2352</v>
      </c>
      <c r="E4955" s="49" t="str">
        <f aca="false">"5060175133298"</f>
        <v>5060175133298</v>
      </c>
      <c r="F4955" s="49" t="s">
        <v>3985</v>
      </c>
      <c r="G4955" s="49" t="n">
        <v>0</v>
      </c>
      <c r="H4955" s="0" t="n">
        <v>0</v>
      </c>
      <c r="M4955" s="51" t="s">
        <v>9099</v>
      </c>
      <c r="N4955" s="49" t="n">
        <v>0</v>
      </c>
      <c r="O4955" s="53" t="n">
        <v>45818.4353819444</v>
      </c>
      <c r="P4955" s="53" t="n">
        <v>45831.3829398148</v>
      </c>
      <c r="Q4955" s="53" t="n">
        <v>45818.4353819444</v>
      </c>
      <c r="R4955" s="0" t="n">
        <v>0</v>
      </c>
      <c r="S4955" s="51" t="s">
        <v>4015</v>
      </c>
      <c r="T4955" s="51" t="s">
        <v>4015</v>
      </c>
      <c r="U4955" s="0" t="str">
        <f aca="false">"5060175133298"</f>
        <v>5060175133298</v>
      </c>
      <c r="V4955" s="51" t="s">
        <v>2365</v>
      </c>
      <c r="W4955" s="51" t="s">
        <v>5949</v>
      </c>
      <c r="X4955" s="51" t="s">
        <v>2359</v>
      </c>
    </row>
    <row r="4956" customFormat="false" ht="14.25" hidden="true" customHeight="false" outlineLevel="0" collapsed="false">
      <c r="A4956" s="49" t="s">
        <v>2349</v>
      </c>
      <c r="B4956" s="49" t="s">
        <v>2350</v>
      </c>
      <c r="C4956" s="49" t="s">
        <v>9104</v>
      </c>
      <c r="D4956" s="49" t="s">
        <v>2352</v>
      </c>
      <c r="E4956" s="49" t="str">
        <f aca="false">"5060175133298"</f>
        <v>5060175133298</v>
      </c>
      <c r="F4956" s="49" t="s">
        <v>3985</v>
      </c>
      <c r="G4956" s="49" t="n">
        <v>0</v>
      </c>
      <c r="H4956" s="0" t="n">
        <v>0</v>
      </c>
      <c r="M4956" s="51" t="s">
        <v>9099</v>
      </c>
      <c r="N4956" s="49" t="n">
        <v>0</v>
      </c>
      <c r="O4956" s="53" t="n">
        <v>45818.4362268519</v>
      </c>
      <c r="P4956" s="53" t="n">
        <v>45915.8921527778</v>
      </c>
      <c r="Q4956" s="53" t="n">
        <v>45818.4362268519</v>
      </c>
      <c r="R4956" s="0" t="n">
        <v>0</v>
      </c>
      <c r="S4956" s="51" t="s">
        <v>4015</v>
      </c>
      <c r="T4956" s="51" t="s">
        <v>4015</v>
      </c>
      <c r="U4956" s="0" t="str">
        <f aca="false">"5060175133298"</f>
        <v>5060175133298</v>
      </c>
      <c r="V4956" s="51" t="s">
        <v>2365</v>
      </c>
      <c r="W4956" s="51" t="s">
        <v>7337</v>
      </c>
      <c r="X4956" s="51" t="s">
        <v>2359</v>
      </c>
    </row>
    <row r="4957" customFormat="false" ht="14.25" hidden="true" customHeight="false" outlineLevel="0" collapsed="false">
      <c r="A4957" s="49" t="s">
        <v>2349</v>
      </c>
      <c r="B4957" s="49" t="s">
        <v>2350</v>
      </c>
      <c r="C4957" s="49" t="s">
        <v>9105</v>
      </c>
      <c r="D4957" s="49" t="s">
        <v>2352</v>
      </c>
      <c r="E4957" s="49" t="str">
        <f aca="false">"5060175133304"</f>
        <v>5060175133304</v>
      </c>
      <c r="F4957" s="49" t="s">
        <v>3983</v>
      </c>
      <c r="G4957" s="49" t="n">
        <v>0</v>
      </c>
      <c r="H4957" s="0" t="n">
        <v>0</v>
      </c>
      <c r="M4957" s="51" t="s">
        <v>9099</v>
      </c>
      <c r="N4957" s="49" t="n">
        <v>0</v>
      </c>
      <c r="O4957" s="53" t="n">
        <v>45818.4377777778</v>
      </c>
      <c r="P4957" s="53" t="n">
        <v>45831.3808333333</v>
      </c>
      <c r="Q4957" s="53" t="n">
        <v>45818.4377777778</v>
      </c>
      <c r="R4957" s="0" t="n">
        <v>0</v>
      </c>
      <c r="S4957" s="51" t="s">
        <v>4015</v>
      </c>
      <c r="T4957" s="51" t="s">
        <v>4015</v>
      </c>
      <c r="U4957" s="0" t="str">
        <f aca="false">"5060175133304"</f>
        <v>5060175133304</v>
      </c>
      <c r="V4957" s="51" t="s">
        <v>2365</v>
      </c>
      <c r="W4957" s="51" t="s">
        <v>5621</v>
      </c>
      <c r="X4957" s="51" t="s">
        <v>2359</v>
      </c>
    </row>
    <row r="4958" customFormat="false" ht="14.25" hidden="true" customHeight="false" outlineLevel="0" collapsed="false">
      <c r="A4958" s="49" t="s">
        <v>2349</v>
      </c>
      <c r="B4958" s="49" t="s">
        <v>2350</v>
      </c>
      <c r="C4958" s="49" t="s">
        <v>9106</v>
      </c>
      <c r="D4958" s="49" t="s">
        <v>2352</v>
      </c>
      <c r="E4958" s="49" t="str">
        <f aca="false">"5060175133304"</f>
        <v>5060175133304</v>
      </c>
      <c r="F4958" s="49" t="s">
        <v>3983</v>
      </c>
      <c r="G4958" s="49" t="n">
        <v>0</v>
      </c>
      <c r="H4958" s="0" t="n">
        <v>0</v>
      </c>
      <c r="M4958" s="51" t="s">
        <v>9099</v>
      </c>
      <c r="N4958" s="49" t="n">
        <v>0</v>
      </c>
      <c r="O4958" s="53" t="n">
        <v>45818.4375462963</v>
      </c>
      <c r="P4958" s="53" t="n">
        <v>45872.4878819444</v>
      </c>
      <c r="Q4958" s="53" t="n">
        <v>45818.4375462963</v>
      </c>
      <c r="R4958" s="0" t="n">
        <v>0</v>
      </c>
      <c r="S4958" s="51" t="s">
        <v>4015</v>
      </c>
      <c r="T4958" s="51" t="s">
        <v>4015</v>
      </c>
      <c r="U4958" s="0" t="str">
        <f aca="false">"5060175133304"</f>
        <v>5060175133304</v>
      </c>
      <c r="V4958" s="51" t="s">
        <v>2365</v>
      </c>
      <c r="W4958" s="51" t="s">
        <v>6790</v>
      </c>
      <c r="X4958" s="51" t="s">
        <v>2359</v>
      </c>
    </row>
    <row r="4959" customFormat="false" ht="14.25" hidden="true" customHeight="false" outlineLevel="0" collapsed="false">
      <c r="A4959" s="49" t="s">
        <v>2349</v>
      </c>
      <c r="B4959" s="49" t="s">
        <v>2350</v>
      </c>
      <c r="C4959" s="49" t="s">
        <v>9107</v>
      </c>
      <c r="D4959" s="49" t="s">
        <v>2352</v>
      </c>
      <c r="E4959" s="49" t="str">
        <f aca="false">"5060175133298"</f>
        <v>5060175133298</v>
      </c>
      <c r="F4959" s="49" t="s">
        <v>3985</v>
      </c>
      <c r="G4959" s="49" t="n">
        <v>0</v>
      </c>
      <c r="H4959" s="0" t="n">
        <v>0</v>
      </c>
      <c r="M4959" s="51" t="s">
        <v>9099</v>
      </c>
      <c r="N4959" s="49" t="n">
        <v>0</v>
      </c>
      <c r="O4959" s="53" t="n">
        <v>45818.4369560185</v>
      </c>
      <c r="P4959" s="53" t="n">
        <v>45831.380162037</v>
      </c>
      <c r="Q4959" s="53" t="n">
        <v>45818.4369560185</v>
      </c>
      <c r="R4959" s="0" t="n">
        <v>0</v>
      </c>
      <c r="S4959" s="51" t="s">
        <v>4015</v>
      </c>
      <c r="T4959" s="51" t="s">
        <v>4015</v>
      </c>
      <c r="U4959" s="0" t="str">
        <f aca="false">"5060175133298"</f>
        <v>5060175133298</v>
      </c>
      <c r="V4959" s="51" t="s">
        <v>2365</v>
      </c>
      <c r="W4959" s="51" t="s">
        <v>7459</v>
      </c>
      <c r="X4959" s="51" t="s">
        <v>2359</v>
      </c>
    </row>
    <row r="4960" customFormat="false" ht="14.25" hidden="true" customHeight="false" outlineLevel="0" collapsed="false">
      <c r="A4960" s="49" t="s">
        <v>2349</v>
      </c>
      <c r="B4960" s="49" t="s">
        <v>2350</v>
      </c>
      <c r="C4960" s="49" t="s">
        <v>9108</v>
      </c>
      <c r="D4960" s="49" t="s">
        <v>2352</v>
      </c>
      <c r="E4960" s="49" t="str">
        <f aca="false">"5060175134813"</f>
        <v>5060175134813</v>
      </c>
      <c r="F4960" s="49" t="s">
        <v>8219</v>
      </c>
      <c r="G4960" s="49" t="n">
        <v>0</v>
      </c>
      <c r="H4960" s="0" t="n">
        <v>0</v>
      </c>
      <c r="M4960" s="51" t="s">
        <v>9099</v>
      </c>
      <c r="N4960" s="49" t="n">
        <v>0</v>
      </c>
      <c r="O4960" s="53" t="n">
        <v>45818.439849537</v>
      </c>
      <c r="P4960" s="53" t="n">
        <v>45984.5714814815</v>
      </c>
      <c r="Q4960" s="53" t="n">
        <v>45818.439849537</v>
      </c>
      <c r="R4960" s="0" t="n">
        <v>0</v>
      </c>
      <c r="S4960" s="51" t="s">
        <v>4015</v>
      </c>
      <c r="T4960" s="51" t="s">
        <v>4015</v>
      </c>
      <c r="U4960" s="0" t="str">
        <f aca="false">"5060175134813"</f>
        <v>5060175134813</v>
      </c>
      <c r="V4960" s="51" t="s">
        <v>2365</v>
      </c>
      <c r="W4960" s="51" t="s">
        <v>9109</v>
      </c>
      <c r="X4960" s="51" t="s">
        <v>2359</v>
      </c>
    </row>
    <row r="4961" customFormat="false" ht="14.25" hidden="true" customHeight="false" outlineLevel="0" collapsed="false">
      <c r="A4961" s="49" t="s">
        <v>2349</v>
      </c>
      <c r="B4961" s="49" t="s">
        <v>2350</v>
      </c>
      <c r="C4961" s="49" t="s">
        <v>9110</v>
      </c>
      <c r="D4961" s="49" t="s">
        <v>2352</v>
      </c>
      <c r="E4961" s="49" t="str">
        <f aca="false">"5060175134721"</f>
        <v>5060175134721</v>
      </c>
      <c r="F4961" s="49" t="s">
        <v>4488</v>
      </c>
      <c r="G4961" s="49" t="n">
        <v>0</v>
      </c>
      <c r="H4961" s="0" t="n">
        <v>0</v>
      </c>
      <c r="M4961" s="51" t="s">
        <v>9099</v>
      </c>
      <c r="N4961" s="49" t="n">
        <v>0</v>
      </c>
      <c r="O4961" s="53" t="n">
        <v>45818.4407060185</v>
      </c>
      <c r="P4961" s="53" t="n">
        <v>45822.8890740741</v>
      </c>
      <c r="Q4961" s="53" t="n">
        <v>45818.4407060185</v>
      </c>
      <c r="R4961" s="0" t="n">
        <v>0</v>
      </c>
      <c r="S4961" s="51" t="s">
        <v>4015</v>
      </c>
      <c r="T4961" s="51" t="s">
        <v>4015</v>
      </c>
      <c r="U4961" s="0" t="str">
        <f aca="false">"5060175134721"</f>
        <v>5060175134721</v>
      </c>
      <c r="V4961" s="51" t="s">
        <v>2365</v>
      </c>
      <c r="W4961" s="51" t="s">
        <v>4521</v>
      </c>
      <c r="X4961" s="51" t="s">
        <v>2359</v>
      </c>
    </row>
    <row r="4962" customFormat="false" ht="14.25" hidden="true" customHeight="false" outlineLevel="0" collapsed="false">
      <c r="A4962" s="49" t="s">
        <v>2349</v>
      </c>
      <c r="B4962" s="49" t="s">
        <v>2350</v>
      </c>
      <c r="C4962" s="49" t="s">
        <v>9111</v>
      </c>
      <c r="D4962" s="49" t="s">
        <v>2352</v>
      </c>
      <c r="E4962" s="49" t="str">
        <f aca="false">"5060175134813"</f>
        <v>5060175134813</v>
      </c>
      <c r="F4962" s="49" t="s">
        <v>8219</v>
      </c>
      <c r="G4962" s="49" t="n">
        <v>0</v>
      </c>
      <c r="H4962" s="0" t="n">
        <v>0</v>
      </c>
      <c r="M4962" s="51" t="s">
        <v>9099</v>
      </c>
      <c r="N4962" s="49" t="n">
        <v>0</v>
      </c>
      <c r="O4962" s="53" t="n">
        <v>45818.4411111111</v>
      </c>
      <c r="P4962" s="53" t="n">
        <v>45984.587650463</v>
      </c>
      <c r="Q4962" s="53" t="n">
        <v>45818.4411111111</v>
      </c>
      <c r="R4962" s="0" t="n">
        <v>0</v>
      </c>
      <c r="S4962" s="51" t="s">
        <v>4015</v>
      </c>
      <c r="T4962" s="51" t="s">
        <v>4015</v>
      </c>
      <c r="U4962" s="0" t="str">
        <f aca="false">"5060175134813"</f>
        <v>5060175134813</v>
      </c>
      <c r="V4962" s="51" t="s">
        <v>2365</v>
      </c>
      <c r="W4962" s="51" t="s">
        <v>9112</v>
      </c>
      <c r="X4962" s="51" t="s">
        <v>2359</v>
      </c>
    </row>
    <row r="4963" customFormat="false" ht="14.25" hidden="true" customHeight="false" outlineLevel="0" collapsed="false">
      <c r="A4963" s="49" t="s">
        <v>2349</v>
      </c>
      <c r="B4963" s="49" t="s">
        <v>2350</v>
      </c>
      <c r="C4963" s="49" t="s">
        <v>9113</v>
      </c>
      <c r="D4963" s="49" t="s">
        <v>2352</v>
      </c>
      <c r="E4963" s="49" t="str">
        <f aca="false">"5060175134721"</f>
        <v>5060175134721</v>
      </c>
      <c r="F4963" s="49" t="s">
        <v>4488</v>
      </c>
      <c r="G4963" s="49" t="n">
        <v>0</v>
      </c>
      <c r="H4963" s="0" t="n">
        <v>0</v>
      </c>
      <c r="M4963" s="51" t="s">
        <v>9099</v>
      </c>
      <c r="N4963" s="49" t="n">
        <v>0</v>
      </c>
      <c r="O4963" s="53" t="n">
        <v>45818.4415625</v>
      </c>
      <c r="P4963" s="53" t="n">
        <v>45984.5778703704</v>
      </c>
      <c r="Q4963" s="53" t="n">
        <v>45818.4415625</v>
      </c>
      <c r="R4963" s="0" t="n">
        <v>0</v>
      </c>
      <c r="S4963" s="51" t="s">
        <v>4015</v>
      </c>
      <c r="T4963" s="51" t="s">
        <v>4015</v>
      </c>
      <c r="U4963" s="0" t="str">
        <f aca="false">"5060175134721"</f>
        <v>5060175134721</v>
      </c>
      <c r="V4963" s="51" t="s">
        <v>2365</v>
      </c>
      <c r="W4963" s="51" t="s">
        <v>5797</v>
      </c>
      <c r="X4963" s="51" t="s">
        <v>2359</v>
      </c>
    </row>
    <row r="4964" customFormat="false" ht="14.25" hidden="true" customHeight="false" outlineLevel="0" collapsed="false">
      <c r="A4964" s="49" t="s">
        <v>2349</v>
      </c>
      <c r="B4964" s="49" t="s">
        <v>2350</v>
      </c>
      <c r="C4964" s="49" t="s">
        <v>9114</v>
      </c>
      <c r="D4964" s="49" t="s">
        <v>2352</v>
      </c>
      <c r="E4964" s="49" t="str">
        <f aca="false">"5060175134721"</f>
        <v>5060175134721</v>
      </c>
      <c r="F4964" s="49" t="s">
        <v>4488</v>
      </c>
      <c r="G4964" s="49" t="n">
        <v>0</v>
      </c>
      <c r="H4964" s="0" t="n">
        <v>0</v>
      </c>
      <c r="M4964" s="51" t="s">
        <v>9099</v>
      </c>
      <c r="N4964" s="49" t="n">
        <v>0</v>
      </c>
      <c r="O4964" s="53" t="n">
        <v>46007.9940856482</v>
      </c>
      <c r="P4964" s="53" t="n">
        <v>46013.8857986111</v>
      </c>
      <c r="R4964" s="0" t="n">
        <v>0</v>
      </c>
      <c r="T4964" s="51" t="s">
        <v>2364</v>
      </c>
      <c r="U4964" s="0" t="str">
        <f aca="false">"5060175134721"</f>
        <v>5060175134721</v>
      </c>
      <c r="V4964" s="51" t="s">
        <v>2365</v>
      </c>
      <c r="W4964" s="51" t="s">
        <v>2440</v>
      </c>
      <c r="X4964" s="51" t="s">
        <v>2359</v>
      </c>
    </row>
    <row r="4965" customFormat="false" ht="14.25" hidden="true" customHeight="false" outlineLevel="0" collapsed="false">
      <c r="A4965" s="49" t="s">
        <v>2349</v>
      </c>
      <c r="B4965" s="49" t="s">
        <v>2350</v>
      </c>
      <c r="C4965" s="49" t="s">
        <v>9115</v>
      </c>
      <c r="D4965" s="49" t="s">
        <v>2352</v>
      </c>
      <c r="E4965" s="49" t="str">
        <f aca="false">"5942326400483"</f>
        <v>5942326400483</v>
      </c>
      <c r="F4965" s="49" t="s">
        <v>3651</v>
      </c>
      <c r="G4965" s="49" t="n">
        <v>0</v>
      </c>
      <c r="H4965" s="0" t="n">
        <v>0</v>
      </c>
      <c r="M4965" s="51" t="s">
        <v>9116</v>
      </c>
      <c r="N4965" s="49" t="n">
        <v>0</v>
      </c>
      <c r="O4965" s="53" t="n">
        <v>45822.5485300926</v>
      </c>
      <c r="P4965" s="53" t="n">
        <v>45823.4749652778</v>
      </c>
      <c r="Q4965" s="53" t="n">
        <v>45822.5485300926</v>
      </c>
      <c r="R4965" s="0" t="n">
        <v>0</v>
      </c>
      <c r="S4965" s="51" t="s">
        <v>4015</v>
      </c>
      <c r="T4965" s="51" t="s">
        <v>4015</v>
      </c>
      <c r="U4965" s="0" t="str">
        <f aca="false">"5942326400483"</f>
        <v>5942326400483</v>
      </c>
      <c r="V4965" s="51" t="s">
        <v>2365</v>
      </c>
      <c r="W4965" s="51" t="s">
        <v>6077</v>
      </c>
      <c r="X4965" s="51" t="s">
        <v>2359</v>
      </c>
    </row>
    <row r="4966" customFormat="false" ht="14.25" hidden="true" customHeight="false" outlineLevel="0" collapsed="false">
      <c r="A4966" s="49" t="s">
        <v>2349</v>
      </c>
      <c r="B4966" s="49" t="s">
        <v>2350</v>
      </c>
      <c r="C4966" s="49" t="s">
        <v>9117</v>
      </c>
      <c r="D4966" s="49" t="s">
        <v>2352</v>
      </c>
      <c r="E4966" s="49" t="s">
        <v>3633</v>
      </c>
      <c r="F4966" s="49" t="s">
        <v>3634</v>
      </c>
      <c r="G4966" s="49" t="n">
        <v>0</v>
      </c>
      <c r="H4966" s="0" t="n">
        <v>0</v>
      </c>
      <c r="M4966" s="51" t="s">
        <v>9118</v>
      </c>
      <c r="N4966" s="49" t="n">
        <v>0</v>
      </c>
      <c r="O4966" s="53" t="n">
        <v>45811.6280787037</v>
      </c>
      <c r="P4966" s="53" t="n">
        <v>45812.7271180556</v>
      </c>
      <c r="Q4966" s="53" t="n">
        <v>45811.6280787037</v>
      </c>
      <c r="R4966" s="0" t="n">
        <v>0</v>
      </c>
      <c r="S4966" s="51" t="s">
        <v>2356</v>
      </c>
      <c r="T4966" s="51" t="s">
        <v>2356</v>
      </c>
      <c r="U4966" s="51" t="s">
        <v>3633</v>
      </c>
      <c r="V4966" s="51" t="s">
        <v>2357</v>
      </c>
      <c r="W4966" s="51" t="s">
        <v>3679</v>
      </c>
      <c r="X4966" s="51" t="s">
        <v>2359</v>
      </c>
    </row>
    <row r="4967" customFormat="false" ht="14.25" hidden="true" customHeight="false" outlineLevel="0" collapsed="false">
      <c r="A4967" s="49" t="s">
        <v>2349</v>
      </c>
      <c r="B4967" s="49" t="s">
        <v>2350</v>
      </c>
      <c r="C4967" s="49" t="s">
        <v>9119</v>
      </c>
      <c r="D4967" s="49" t="s">
        <v>2352</v>
      </c>
      <c r="E4967" s="49" t="s">
        <v>3633</v>
      </c>
      <c r="F4967" s="49" t="s">
        <v>3634</v>
      </c>
      <c r="G4967" s="49" t="n">
        <v>0</v>
      </c>
      <c r="H4967" s="0" t="n">
        <v>0</v>
      </c>
      <c r="M4967" s="51" t="s">
        <v>9118</v>
      </c>
      <c r="N4967" s="49" t="n">
        <v>0</v>
      </c>
      <c r="O4967" s="53" t="n">
        <v>45811.6277199074</v>
      </c>
      <c r="P4967" s="53" t="n">
        <v>45826.6451736111</v>
      </c>
      <c r="Q4967" s="53" t="n">
        <v>45811.6277199074</v>
      </c>
      <c r="R4967" s="0" t="n">
        <v>0</v>
      </c>
      <c r="S4967" s="51" t="s">
        <v>2356</v>
      </c>
      <c r="T4967" s="51" t="s">
        <v>2356</v>
      </c>
      <c r="U4967" s="51" t="s">
        <v>3633</v>
      </c>
      <c r="V4967" s="51" t="s">
        <v>2357</v>
      </c>
      <c r="W4967" s="51" t="s">
        <v>5331</v>
      </c>
      <c r="X4967" s="51" t="s">
        <v>2359</v>
      </c>
    </row>
    <row r="4968" customFormat="false" ht="14.25" hidden="true" customHeight="false" outlineLevel="0" collapsed="false">
      <c r="A4968" s="49" t="s">
        <v>2349</v>
      </c>
      <c r="B4968" s="49" t="s">
        <v>2350</v>
      </c>
      <c r="C4968" s="49" t="s">
        <v>9120</v>
      </c>
      <c r="D4968" s="49" t="s">
        <v>2352</v>
      </c>
      <c r="E4968" s="49" t="s">
        <v>3633</v>
      </c>
      <c r="F4968" s="49" t="s">
        <v>3634</v>
      </c>
      <c r="G4968" s="49" t="n">
        <v>0</v>
      </c>
      <c r="H4968" s="0" t="n">
        <v>0</v>
      </c>
      <c r="M4968" s="51" t="s">
        <v>9118</v>
      </c>
      <c r="N4968" s="49" t="n">
        <v>0</v>
      </c>
      <c r="O4968" s="53" t="n">
        <v>45811.6269097222</v>
      </c>
      <c r="P4968" s="53" t="n">
        <v>45826.6453240741</v>
      </c>
      <c r="Q4968" s="53" t="n">
        <v>45811.6269097222</v>
      </c>
      <c r="R4968" s="0" t="n">
        <v>0</v>
      </c>
      <c r="S4968" s="51" t="s">
        <v>2356</v>
      </c>
      <c r="T4968" s="51" t="s">
        <v>2356</v>
      </c>
      <c r="U4968" s="51" t="s">
        <v>3633</v>
      </c>
      <c r="V4968" s="51" t="s">
        <v>2357</v>
      </c>
      <c r="W4968" s="51" t="s">
        <v>3681</v>
      </c>
      <c r="X4968" s="51" t="s">
        <v>2359</v>
      </c>
    </row>
    <row r="4969" customFormat="false" ht="14.25" hidden="true" customHeight="false" outlineLevel="0" collapsed="false">
      <c r="A4969" s="49" t="s">
        <v>2349</v>
      </c>
      <c r="B4969" s="49" t="s">
        <v>2350</v>
      </c>
      <c r="C4969" s="49" t="s">
        <v>9121</v>
      </c>
      <c r="D4969" s="49" t="s">
        <v>2352</v>
      </c>
      <c r="E4969" s="49" t="s">
        <v>7079</v>
      </c>
      <c r="F4969" s="49" t="s">
        <v>7080</v>
      </c>
      <c r="G4969" s="49" t="n">
        <v>0</v>
      </c>
      <c r="H4969" s="0" t="n">
        <v>0</v>
      </c>
      <c r="M4969" s="51" t="s">
        <v>9122</v>
      </c>
      <c r="N4969" s="49" t="n">
        <v>0</v>
      </c>
      <c r="O4969" s="53" t="n">
        <v>45823.8325</v>
      </c>
      <c r="P4969" s="53" t="n">
        <v>45851.6110532407</v>
      </c>
      <c r="Q4969" s="53" t="n">
        <v>45823.8325</v>
      </c>
      <c r="R4969" s="0" t="n">
        <v>0</v>
      </c>
      <c r="S4969" s="51" t="s">
        <v>2356</v>
      </c>
      <c r="T4969" s="51" t="s">
        <v>2356</v>
      </c>
      <c r="U4969" s="51" t="s">
        <v>7079</v>
      </c>
      <c r="V4969" s="51" t="s">
        <v>2365</v>
      </c>
      <c r="W4969" s="51" t="s">
        <v>3692</v>
      </c>
      <c r="X4969" s="51" t="s">
        <v>2359</v>
      </c>
    </row>
    <row r="4970" customFormat="false" ht="14.25" hidden="true" customHeight="false" outlineLevel="0" collapsed="false">
      <c r="A4970" s="49" t="s">
        <v>2349</v>
      </c>
      <c r="B4970" s="49" t="s">
        <v>2350</v>
      </c>
      <c r="C4970" s="49" t="s">
        <v>9123</v>
      </c>
      <c r="D4970" s="49" t="s">
        <v>2352</v>
      </c>
      <c r="E4970" s="49" t="s">
        <v>7079</v>
      </c>
      <c r="F4970" s="49" t="s">
        <v>7080</v>
      </c>
      <c r="G4970" s="49" t="n">
        <v>0</v>
      </c>
      <c r="H4970" s="0" t="n">
        <v>0</v>
      </c>
      <c r="M4970" s="51" t="s">
        <v>9122</v>
      </c>
      <c r="N4970" s="49" t="n">
        <v>0</v>
      </c>
      <c r="O4970" s="53" t="n">
        <v>45823.8322685185</v>
      </c>
      <c r="P4970" s="53" t="n">
        <v>45851.6109027778</v>
      </c>
      <c r="Q4970" s="53" t="n">
        <v>45823.8322685185</v>
      </c>
      <c r="R4970" s="0" t="n">
        <v>0</v>
      </c>
      <c r="S4970" s="51" t="s">
        <v>2356</v>
      </c>
      <c r="T4970" s="51" t="s">
        <v>2356</v>
      </c>
      <c r="U4970" s="51" t="s">
        <v>7079</v>
      </c>
      <c r="V4970" s="51" t="s">
        <v>2365</v>
      </c>
      <c r="W4970" s="51" t="s">
        <v>5487</v>
      </c>
      <c r="X4970" s="51" t="s">
        <v>2359</v>
      </c>
    </row>
    <row r="4971" customFormat="false" ht="14.25" hidden="true" customHeight="false" outlineLevel="0" collapsed="false">
      <c r="A4971" s="49" t="s">
        <v>2349</v>
      </c>
      <c r="B4971" s="49" t="s">
        <v>2350</v>
      </c>
      <c r="C4971" s="49" t="s">
        <v>9124</v>
      </c>
      <c r="D4971" s="49" t="s">
        <v>2352</v>
      </c>
      <c r="E4971" s="49" t="s">
        <v>7079</v>
      </c>
      <c r="F4971" s="49" t="s">
        <v>7080</v>
      </c>
      <c r="G4971" s="49" t="n">
        <v>0</v>
      </c>
      <c r="H4971" s="0" t="n">
        <v>0</v>
      </c>
      <c r="M4971" s="51" t="s">
        <v>9122</v>
      </c>
      <c r="N4971" s="49" t="n">
        <v>0</v>
      </c>
      <c r="O4971" s="53" t="n">
        <v>45823.832037037</v>
      </c>
      <c r="P4971" s="53" t="n">
        <v>45860.822337963</v>
      </c>
      <c r="Q4971" s="53" t="n">
        <v>45823.832037037</v>
      </c>
      <c r="R4971" s="0" t="n">
        <v>0</v>
      </c>
      <c r="S4971" s="51" t="s">
        <v>2356</v>
      </c>
      <c r="T4971" s="51" t="s">
        <v>2356</v>
      </c>
      <c r="U4971" s="51" t="s">
        <v>7079</v>
      </c>
      <c r="V4971" s="51" t="s">
        <v>2365</v>
      </c>
      <c r="W4971" s="51" t="s">
        <v>8886</v>
      </c>
      <c r="X4971" s="51" t="s">
        <v>2359</v>
      </c>
    </row>
    <row r="4972" customFormat="false" ht="14.25" hidden="true" customHeight="false" outlineLevel="0" collapsed="false">
      <c r="A4972" s="49" t="s">
        <v>2349</v>
      </c>
      <c r="B4972" s="49" t="s">
        <v>2350</v>
      </c>
      <c r="C4972" s="49" t="s">
        <v>9125</v>
      </c>
      <c r="D4972" s="49" t="s">
        <v>2352</v>
      </c>
      <c r="E4972" s="49" t="s">
        <v>7079</v>
      </c>
      <c r="F4972" s="49" t="s">
        <v>7080</v>
      </c>
      <c r="G4972" s="49" t="n">
        <v>0</v>
      </c>
      <c r="H4972" s="0" t="n">
        <v>0</v>
      </c>
      <c r="M4972" s="51" t="s">
        <v>9122</v>
      </c>
      <c r="N4972" s="49" t="n">
        <v>0</v>
      </c>
      <c r="O4972" s="53" t="n">
        <v>45823.8299884259</v>
      </c>
      <c r="P4972" s="53" t="n">
        <v>45860.6557638889</v>
      </c>
      <c r="Q4972" s="53" t="n">
        <v>45823.8299884259</v>
      </c>
      <c r="R4972" s="0" t="n">
        <v>0</v>
      </c>
      <c r="S4972" s="51" t="s">
        <v>2356</v>
      </c>
      <c r="T4972" s="51" t="s">
        <v>2356</v>
      </c>
      <c r="U4972" s="51" t="s">
        <v>7079</v>
      </c>
      <c r="V4972" s="51" t="s">
        <v>2365</v>
      </c>
      <c r="W4972" s="51" t="s">
        <v>3683</v>
      </c>
      <c r="X4972" s="51" t="s">
        <v>2359</v>
      </c>
    </row>
    <row r="4973" customFormat="false" ht="14.25" hidden="true" customHeight="false" outlineLevel="0" collapsed="false">
      <c r="A4973" s="49" t="s">
        <v>2349</v>
      </c>
      <c r="B4973" s="49" t="s">
        <v>2350</v>
      </c>
      <c r="C4973" s="49" t="s">
        <v>9126</v>
      </c>
      <c r="D4973" s="49" t="s">
        <v>2352</v>
      </c>
      <c r="E4973" s="49" t="str">
        <f aca="false">"12452482"</f>
        <v>12452482</v>
      </c>
      <c r="F4973" s="49" t="s">
        <v>4179</v>
      </c>
      <c r="G4973" s="49" t="n">
        <v>0</v>
      </c>
      <c r="H4973" s="0" t="n">
        <v>0</v>
      </c>
      <c r="M4973" s="51" t="s">
        <v>9127</v>
      </c>
      <c r="N4973" s="49" t="n">
        <v>0</v>
      </c>
      <c r="O4973" s="53" t="n">
        <v>45811.4481481482</v>
      </c>
      <c r="P4973" s="53" t="n">
        <v>45819.4671990741</v>
      </c>
      <c r="Q4973" s="53" t="n">
        <v>45811.4481481482</v>
      </c>
      <c r="R4973" s="0" t="n">
        <v>0</v>
      </c>
      <c r="S4973" s="51" t="s">
        <v>2398</v>
      </c>
      <c r="T4973" s="51" t="s">
        <v>2398</v>
      </c>
      <c r="U4973" s="0" t="str">
        <f aca="false">"12452482"</f>
        <v>12452482</v>
      </c>
      <c r="V4973" s="51" t="s">
        <v>2365</v>
      </c>
      <c r="W4973" s="51" t="s">
        <v>6840</v>
      </c>
      <c r="X4973" s="51" t="s">
        <v>2359</v>
      </c>
    </row>
    <row r="4974" customFormat="false" ht="14.25" hidden="true" customHeight="false" outlineLevel="0" collapsed="false">
      <c r="A4974" s="49" t="s">
        <v>2349</v>
      </c>
      <c r="B4974" s="49" t="s">
        <v>2350</v>
      </c>
      <c r="C4974" s="49" t="s">
        <v>9128</v>
      </c>
      <c r="D4974" s="49" t="s">
        <v>2352</v>
      </c>
      <c r="E4974" s="49" t="s">
        <v>4351</v>
      </c>
      <c r="F4974" s="49" t="s">
        <v>4352</v>
      </c>
      <c r="G4974" s="49" t="n">
        <v>0</v>
      </c>
      <c r="H4974" s="0" t="n">
        <v>0</v>
      </c>
      <c r="M4974" s="51" t="s">
        <v>9129</v>
      </c>
      <c r="N4974" s="49" t="n">
        <v>0</v>
      </c>
      <c r="O4974" s="53" t="n">
        <v>45834.6512268519</v>
      </c>
      <c r="P4974" s="53" t="n">
        <v>45850.5894675926</v>
      </c>
      <c r="Q4974" s="53" t="n">
        <v>45834.6512268519</v>
      </c>
      <c r="R4974" s="0" t="n">
        <v>0</v>
      </c>
      <c r="S4974" s="51" t="s">
        <v>2356</v>
      </c>
      <c r="T4974" s="51" t="s">
        <v>2356</v>
      </c>
      <c r="U4974" s="51" t="s">
        <v>4351</v>
      </c>
      <c r="V4974" s="51" t="s">
        <v>2365</v>
      </c>
      <c r="W4974" s="51" t="s">
        <v>4160</v>
      </c>
      <c r="X4974" s="51" t="s">
        <v>2359</v>
      </c>
    </row>
    <row r="4975" customFormat="false" ht="14.25" hidden="true" customHeight="false" outlineLevel="0" collapsed="false">
      <c r="A4975" s="49" t="s">
        <v>2349</v>
      </c>
      <c r="B4975" s="49" t="s">
        <v>2350</v>
      </c>
      <c r="C4975" s="49" t="s">
        <v>9130</v>
      </c>
      <c r="D4975" s="49" t="s">
        <v>2352</v>
      </c>
      <c r="E4975" s="49" t="s">
        <v>4351</v>
      </c>
      <c r="F4975" s="49" t="s">
        <v>4352</v>
      </c>
      <c r="G4975" s="49" t="n">
        <v>0</v>
      </c>
      <c r="H4975" s="0" t="n">
        <v>0</v>
      </c>
      <c r="M4975" s="51" t="s">
        <v>9129</v>
      </c>
      <c r="N4975" s="49" t="n">
        <v>0</v>
      </c>
      <c r="O4975" s="53" t="n">
        <v>45834.651400463</v>
      </c>
      <c r="P4975" s="53" t="n">
        <v>45848.6140972222</v>
      </c>
      <c r="Q4975" s="53" t="n">
        <v>45834.651400463</v>
      </c>
      <c r="R4975" s="0" t="n">
        <v>0</v>
      </c>
      <c r="S4975" s="51" t="s">
        <v>2356</v>
      </c>
      <c r="T4975" s="51" t="s">
        <v>2356</v>
      </c>
      <c r="U4975" s="51" t="s">
        <v>4351</v>
      </c>
      <c r="V4975" s="51" t="s">
        <v>2365</v>
      </c>
      <c r="W4975" s="51" t="s">
        <v>7272</v>
      </c>
      <c r="X4975" s="51" t="s">
        <v>2359</v>
      </c>
    </row>
    <row r="4976" customFormat="false" ht="14.25" hidden="true" customHeight="false" outlineLevel="0" collapsed="false">
      <c r="A4976" s="49" t="s">
        <v>2349</v>
      </c>
      <c r="B4976" s="49" t="s">
        <v>2350</v>
      </c>
      <c r="C4976" s="49" t="s">
        <v>9131</v>
      </c>
      <c r="D4976" s="49" t="s">
        <v>2352</v>
      </c>
      <c r="E4976" s="49" t="s">
        <v>4351</v>
      </c>
      <c r="F4976" s="49" t="s">
        <v>4352</v>
      </c>
      <c r="G4976" s="49" t="n">
        <v>0</v>
      </c>
      <c r="H4976" s="0" t="n">
        <v>0</v>
      </c>
      <c r="M4976" s="51" t="s">
        <v>9129</v>
      </c>
      <c r="N4976" s="49" t="n">
        <v>0</v>
      </c>
      <c r="O4976" s="53" t="n">
        <v>45834.6506481482</v>
      </c>
      <c r="P4976" s="53" t="n">
        <v>45848.612650463</v>
      </c>
      <c r="Q4976" s="53" t="n">
        <v>45834.6506481482</v>
      </c>
      <c r="R4976" s="0" t="n">
        <v>0</v>
      </c>
      <c r="S4976" s="51" t="s">
        <v>2356</v>
      </c>
      <c r="T4976" s="51" t="s">
        <v>2356</v>
      </c>
      <c r="U4976" s="51" t="s">
        <v>4351</v>
      </c>
      <c r="V4976" s="51" t="s">
        <v>2365</v>
      </c>
      <c r="W4976" s="51" t="s">
        <v>8510</v>
      </c>
      <c r="X4976" s="51" t="s">
        <v>2359</v>
      </c>
    </row>
    <row r="4977" customFormat="false" ht="14.25" hidden="true" customHeight="false" outlineLevel="0" collapsed="false">
      <c r="A4977" s="49" t="s">
        <v>2349</v>
      </c>
      <c r="B4977" s="49" t="s">
        <v>2350</v>
      </c>
      <c r="C4977" s="49" t="s">
        <v>9132</v>
      </c>
      <c r="D4977" s="49" t="s">
        <v>2352</v>
      </c>
      <c r="E4977" s="49" t="s">
        <v>4351</v>
      </c>
      <c r="F4977" s="49" t="s">
        <v>4352</v>
      </c>
      <c r="G4977" s="49" t="n">
        <v>0</v>
      </c>
      <c r="H4977" s="0" t="n">
        <v>0</v>
      </c>
      <c r="M4977" s="51" t="s">
        <v>9129</v>
      </c>
      <c r="N4977" s="49" t="n">
        <v>0</v>
      </c>
      <c r="O4977" s="53" t="n">
        <v>45834.6501041667</v>
      </c>
      <c r="P4977" s="53" t="n">
        <v>45847.31</v>
      </c>
      <c r="Q4977" s="53" t="n">
        <v>45834.6501041667</v>
      </c>
      <c r="R4977" s="0" t="n">
        <v>0</v>
      </c>
      <c r="S4977" s="51" t="s">
        <v>2356</v>
      </c>
      <c r="T4977" s="51" t="s">
        <v>2356</v>
      </c>
      <c r="U4977" s="51" t="s">
        <v>4351</v>
      </c>
      <c r="V4977" s="51" t="s">
        <v>2365</v>
      </c>
      <c r="W4977" s="51" t="s">
        <v>7276</v>
      </c>
      <c r="X4977" s="51" t="s">
        <v>2359</v>
      </c>
    </row>
    <row r="4978" customFormat="false" ht="14.25" hidden="true" customHeight="false" outlineLevel="0" collapsed="false">
      <c r="A4978" s="49" t="s">
        <v>2349</v>
      </c>
      <c r="B4978" s="49" t="s">
        <v>2350</v>
      </c>
      <c r="C4978" s="49" t="s">
        <v>9133</v>
      </c>
      <c r="D4978" s="49" t="s">
        <v>2352</v>
      </c>
      <c r="E4978" s="49" t="s">
        <v>4351</v>
      </c>
      <c r="F4978" s="49" t="s">
        <v>4352</v>
      </c>
      <c r="G4978" s="49" t="n">
        <v>0</v>
      </c>
      <c r="H4978" s="0" t="n">
        <v>0</v>
      </c>
      <c r="M4978" s="51" t="s">
        <v>9129</v>
      </c>
      <c r="N4978" s="49" t="n">
        <v>0</v>
      </c>
      <c r="O4978" s="53" t="n">
        <v>45834.6581018519</v>
      </c>
      <c r="P4978" s="53" t="n">
        <v>45839.3115277778</v>
      </c>
      <c r="Q4978" s="53" t="n">
        <v>45834.6581018519</v>
      </c>
      <c r="R4978" s="0" t="n">
        <v>0</v>
      </c>
      <c r="S4978" s="51" t="s">
        <v>2356</v>
      </c>
      <c r="T4978" s="51" t="s">
        <v>2356</v>
      </c>
      <c r="U4978" s="51" t="s">
        <v>4351</v>
      </c>
      <c r="V4978" s="51" t="s">
        <v>2365</v>
      </c>
      <c r="W4978" s="51" t="s">
        <v>8382</v>
      </c>
      <c r="X4978" s="51" t="s">
        <v>2359</v>
      </c>
    </row>
    <row r="4979" customFormat="false" ht="14.25" hidden="true" customHeight="false" outlineLevel="0" collapsed="false">
      <c r="A4979" s="49" t="s">
        <v>2349</v>
      </c>
      <c r="B4979" s="49" t="s">
        <v>2350</v>
      </c>
      <c r="C4979" s="49" t="s">
        <v>9134</v>
      </c>
      <c r="D4979" s="49" t="s">
        <v>2352</v>
      </c>
      <c r="E4979" s="49" t="s">
        <v>4351</v>
      </c>
      <c r="F4979" s="49" t="s">
        <v>4352</v>
      </c>
      <c r="G4979" s="49" t="n">
        <v>0</v>
      </c>
      <c r="H4979" s="0" t="n">
        <v>0</v>
      </c>
      <c r="M4979" s="51" t="s">
        <v>9129</v>
      </c>
      <c r="N4979" s="49" t="n">
        <v>0</v>
      </c>
      <c r="O4979" s="53" t="n">
        <v>45834.6582291667</v>
      </c>
      <c r="P4979" s="53" t="n">
        <v>45839.3130208333</v>
      </c>
      <c r="Q4979" s="53" t="n">
        <v>45834.6582291667</v>
      </c>
      <c r="R4979" s="0" t="n">
        <v>0</v>
      </c>
      <c r="S4979" s="51" t="s">
        <v>2356</v>
      </c>
      <c r="T4979" s="51" t="s">
        <v>2356</v>
      </c>
      <c r="U4979" s="51" t="s">
        <v>4351</v>
      </c>
      <c r="V4979" s="51" t="s">
        <v>2365</v>
      </c>
      <c r="W4979" s="51" t="s">
        <v>6817</v>
      </c>
      <c r="X4979" s="51" t="s">
        <v>2359</v>
      </c>
    </row>
    <row r="4980" customFormat="false" ht="14.25" hidden="true" customHeight="false" outlineLevel="0" collapsed="false">
      <c r="A4980" s="49" t="s">
        <v>2349</v>
      </c>
      <c r="B4980" s="49" t="s">
        <v>2350</v>
      </c>
      <c r="C4980" s="49" t="s">
        <v>9135</v>
      </c>
      <c r="D4980" s="49" t="s">
        <v>2352</v>
      </c>
      <c r="E4980" s="49" t="s">
        <v>4351</v>
      </c>
      <c r="F4980" s="49" t="s">
        <v>4352</v>
      </c>
      <c r="G4980" s="49" t="n">
        <v>0</v>
      </c>
      <c r="H4980" s="0" t="n">
        <v>0</v>
      </c>
      <c r="M4980" s="51" t="s">
        <v>9129</v>
      </c>
      <c r="N4980" s="49" t="n">
        <v>0</v>
      </c>
      <c r="O4980" s="53" t="n">
        <v>45834.6583449074</v>
      </c>
      <c r="P4980" s="53" t="n">
        <v>45839.3134375</v>
      </c>
      <c r="Q4980" s="53" t="n">
        <v>45834.6583449074</v>
      </c>
      <c r="R4980" s="0" t="n">
        <v>0</v>
      </c>
      <c r="S4980" s="51" t="s">
        <v>2356</v>
      </c>
      <c r="T4980" s="51" t="s">
        <v>2356</v>
      </c>
      <c r="U4980" s="51" t="s">
        <v>4351</v>
      </c>
      <c r="V4980" s="51" t="s">
        <v>2365</v>
      </c>
      <c r="W4980" s="51" t="s">
        <v>9136</v>
      </c>
      <c r="X4980" s="51" t="s">
        <v>2359</v>
      </c>
    </row>
    <row r="4981" customFormat="false" ht="14.25" hidden="true" customHeight="false" outlineLevel="0" collapsed="false">
      <c r="A4981" s="49" t="s">
        <v>2349</v>
      </c>
      <c r="B4981" s="49" t="s">
        <v>2350</v>
      </c>
      <c r="C4981" s="49" t="s">
        <v>9137</v>
      </c>
      <c r="D4981" s="49" t="s">
        <v>2352</v>
      </c>
      <c r="E4981" s="49" t="s">
        <v>4351</v>
      </c>
      <c r="F4981" s="49" t="s">
        <v>4352</v>
      </c>
      <c r="G4981" s="49" t="n">
        <v>0</v>
      </c>
      <c r="H4981" s="0" t="n">
        <v>0</v>
      </c>
      <c r="M4981" s="51" t="s">
        <v>9129</v>
      </c>
      <c r="N4981" s="49" t="n">
        <v>0</v>
      </c>
      <c r="O4981" s="53" t="n">
        <v>45834.6584490741</v>
      </c>
      <c r="P4981" s="53" t="n">
        <v>45839.313900463</v>
      </c>
      <c r="Q4981" s="53" t="n">
        <v>45834.6584490741</v>
      </c>
      <c r="R4981" s="0" t="n">
        <v>0</v>
      </c>
      <c r="S4981" s="51" t="s">
        <v>2356</v>
      </c>
      <c r="T4981" s="51" t="s">
        <v>2356</v>
      </c>
      <c r="U4981" s="51" t="s">
        <v>4351</v>
      </c>
      <c r="V4981" s="51" t="s">
        <v>2365</v>
      </c>
      <c r="W4981" s="51" t="s">
        <v>8914</v>
      </c>
      <c r="X4981" s="51" t="s">
        <v>2359</v>
      </c>
    </row>
    <row r="4982" customFormat="false" ht="14.25" hidden="true" customHeight="false" outlineLevel="0" collapsed="false">
      <c r="A4982" s="49" t="s">
        <v>2349</v>
      </c>
      <c r="B4982" s="49" t="s">
        <v>2350</v>
      </c>
      <c r="C4982" s="49" t="s">
        <v>9138</v>
      </c>
      <c r="D4982" s="49" t="s">
        <v>2352</v>
      </c>
      <c r="E4982" s="49" t="s">
        <v>4351</v>
      </c>
      <c r="F4982" s="49" t="s">
        <v>4352</v>
      </c>
      <c r="G4982" s="49" t="n">
        <v>0</v>
      </c>
      <c r="H4982" s="0" t="n">
        <v>0</v>
      </c>
      <c r="M4982" s="51" t="s">
        <v>9129</v>
      </c>
      <c r="N4982" s="49" t="n">
        <v>0</v>
      </c>
      <c r="O4982" s="53" t="n">
        <v>45834.658599537</v>
      </c>
      <c r="P4982" s="53" t="n">
        <v>45840.3006365741</v>
      </c>
      <c r="Q4982" s="53" t="n">
        <v>45834.658599537</v>
      </c>
      <c r="R4982" s="0" t="n">
        <v>0</v>
      </c>
      <c r="S4982" s="51" t="s">
        <v>2356</v>
      </c>
      <c r="T4982" s="51" t="s">
        <v>2356</v>
      </c>
      <c r="U4982" s="51" t="s">
        <v>4351</v>
      </c>
      <c r="V4982" s="51" t="s">
        <v>2365</v>
      </c>
      <c r="W4982" s="51" t="s">
        <v>5722</v>
      </c>
      <c r="X4982" s="51" t="s">
        <v>2359</v>
      </c>
    </row>
    <row r="4983" customFormat="false" ht="14.25" hidden="true" customHeight="false" outlineLevel="0" collapsed="false">
      <c r="A4983" s="49" t="s">
        <v>2349</v>
      </c>
      <c r="B4983" s="49" t="s">
        <v>2350</v>
      </c>
      <c r="C4983" s="49" t="s">
        <v>9139</v>
      </c>
      <c r="D4983" s="49" t="s">
        <v>2352</v>
      </c>
      <c r="E4983" s="49" t="s">
        <v>4351</v>
      </c>
      <c r="F4983" s="49" t="s">
        <v>4352</v>
      </c>
      <c r="G4983" s="49" t="n">
        <v>0</v>
      </c>
      <c r="H4983" s="0" t="n">
        <v>0</v>
      </c>
      <c r="M4983" s="51" t="s">
        <v>9129</v>
      </c>
      <c r="N4983" s="49" t="n">
        <v>0</v>
      </c>
      <c r="O4983" s="53" t="n">
        <v>45834.6587152778</v>
      </c>
      <c r="P4983" s="53" t="n">
        <v>45840.4799884259</v>
      </c>
      <c r="Q4983" s="53" t="n">
        <v>45834.6587152778</v>
      </c>
      <c r="R4983" s="0" t="n">
        <v>0</v>
      </c>
      <c r="S4983" s="51" t="s">
        <v>2356</v>
      </c>
      <c r="T4983" s="51" t="s">
        <v>2356</v>
      </c>
      <c r="U4983" s="51" t="s">
        <v>4351</v>
      </c>
      <c r="V4983" s="51" t="s">
        <v>2365</v>
      </c>
      <c r="W4983" s="51" t="s">
        <v>5471</v>
      </c>
      <c r="X4983" s="51" t="s">
        <v>2359</v>
      </c>
    </row>
    <row r="4984" customFormat="false" ht="14.25" hidden="true" customHeight="false" outlineLevel="0" collapsed="false">
      <c r="A4984" s="49" t="s">
        <v>2349</v>
      </c>
      <c r="B4984" s="49" t="s">
        <v>2350</v>
      </c>
      <c r="C4984" s="49" t="s">
        <v>9140</v>
      </c>
      <c r="D4984" s="49" t="s">
        <v>2352</v>
      </c>
      <c r="E4984" s="49" t="s">
        <v>4351</v>
      </c>
      <c r="F4984" s="49" t="s">
        <v>4352</v>
      </c>
      <c r="G4984" s="49" t="n">
        <v>0</v>
      </c>
      <c r="H4984" s="0" t="n">
        <v>0</v>
      </c>
      <c r="M4984" s="51" t="s">
        <v>9129</v>
      </c>
      <c r="N4984" s="49" t="n">
        <v>0</v>
      </c>
      <c r="O4984" s="53" t="n">
        <v>45834.6588541667</v>
      </c>
      <c r="P4984" s="53" t="n">
        <v>45840.4834259259</v>
      </c>
      <c r="Q4984" s="53" t="n">
        <v>45834.6588541667</v>
      </c>
      <c r="R4984" s="0" t="n">
        <v>0</v>
      </c>
      <c r="S4984" s="51" t="s">
        <v>2356</v>
      </c>
      <c r="T4984" s="51" t="s">
        <v>2356</v>
      </c>
      <c r="U4984" s="51" t="s">
        <v>4351</v>
      </c>
      <c r="V4984" s="51" t="s">
        <v>2365</v>
      </c>
      <c r="W4984" s="51" t="s">
        <v>9141</v>
      </c>
      <c r="X4984" s="51" t="s">
        <v>2359</v>
      </c>
    </row>
    <row r="4985" customFormat="false" ht="14.25" hidden="true" customHeight="false" outlineLevel="0" collapsed="false">
      <c r="A4985" s="49" t="s">
        <v>2349</v>
      </c>
      <c r="B4985" s="49" t="s">
        <v>2350</v>
      </c>
      <c r="C4985" s="49" t="s">
        <v>9142</v>
      </c>
      <c r="D4985" s="49" t="s">
        <v>2352</v>
      </c>
      <c r="E4985" s="49" t="s">
        <v>4351</v>
      </c>
      <c r="F4985" s="49" t="s">
        <v>4352</v>
      </c>
      <c r="G4985" s="49" t="n">
        <v>0</v>
      </c>
      <c r="H4985" s="0" t="n">
        <v>0</v>
      </c>
      <c r="M4985" s="51" t="s">
        <v>9129</v>
      </c>
      <c r="N4985" s="49" t="n">
        <v>0</v>
      </c>
      <c r="O4985" s="53" t="n">
        <v>45834.6590046296</v>
      </c>
      <c r="P4985" s="53" t="n">
        <v>45841.8105787037</v>
      </c>
      <c r="Q4985" s="53" t="n">
        <v>45834.6590046296</v>
      </c>
      <c r="R4985" s="0" t="n">
        <v>0</v>
      </c>
      <c r="S4985" s="51" t="s">
        <v>2356</v>
      </c>
      <c r="T4985" s="51" t="s">
        <v>2356</v>
      </c>
      <c r="U4985" s="51" t="s">
        <v>4351</v>
      </c>
      <c r="V4985" s="51" t="s">
        <v>2365</v>
      </c>
      <c r="W4985" s="51" t="s">
        <v>5141</v>
      </c>
      <c r="X4985" s="51" t="s">
        <v>2359</v>
      </c>
    </row>
    <row r="4986" customFormat="false" ht="14.25" hidden="true" customHeight="false" outlineLevel="0" collapsed="false">
      <c r="A4986" s="49" t="s">
        <v>2349</v>
      </c>
      <c r="B4986" s="49" t="s">
        <v>2350</v>
      </c>
      <c r="C4986" s="49" t="s">
        <v>9143</v>
      </c>
      <c r="D4986" s="49" t="s">
        <v>2352</v>
      </c>
      <c r="E4986" s="49" t="s">
        <v>4351</v>
      </c>
      <c r="F4986" s="49" t="s">
        <v>4352</v>
      </c>
      <c r="G4986" s="49" t="n">
        <v>0</v>
      </c>
      <c r="H4986" s="0" t="n">
        <v>0</v>
      </c>
      <c r="M4986" s="51" t="s">
        <v>9129</v>
      </c>
      <c r="N4986" s="49" t="n">
        <v>0</v>
      </c>
      <c r="O4986" s="53" t="n">
        <v>45834.6591203704</v>
      </c>
      <c r="P4986" s="53" t="n">
        <v>45840.4800810185</v>
      </c>
      <c r="Q4986" s="53" t="n">
        <v>45834.6591203704</v>
      </c>
      <c r="R4986" s="0" t="n">
        <v>0</v>
      </c>
      <c r="S4986" s="51" t="s">
        <v>2356</v>
      </c>
      <c r="T4986" s="51" t="s">
        <v>2356</v>
      </c>
      <c r="U4986" s="51" t="s">
        <v>4351</v>
      </c>
      <c r="V4986" s="51" t="s">
        <v>2365</v>
      </c>
      <c r="W4986" s="51" t="s">
        <v>5473</v>
      </c>
      <c r="X4986" s="51" t="s">
        <v>2359</v>
      </c>
    </row>
    <row r="4987" customFormat="false" ht="14.25" hidden="true" customHeight="false" outlineLevel="0" collapsed="false">
      <c r="A4987" s="49" t="s">
        <v>2349</v>
      </c>
      <c r="B4987" s="49" t="s">
        <v>2350</v>
      </c>
      <c r="C4987" s="49" t="s">
        <v>9144</v>
      </c>
      <c r="D4987" s="49" t="s">
        <v>2352</v>
      </c>
      <c r="E4987" s="49" t="s">
        <v>4351</v>
      </c>
      <c r="F4987" s="49" t="s">
        <v>4352</v>
      </c>
      <c r="G4987" s="49" t="n">
        <v>0</v>
      </c>
      <c r="H4987" s="0" t="n">
        <v>0</v>
      </c>
      <c r="M4987" s="51" t="s">
        <v>9129</v>
      </c>
      <c r="N4987" s="49" t="n">
        <v>0</v>
      </c>
      <c r="O4987" s="53" t="n">
        <v>45834.6592476852</v>
      </c>
      <c r="P4987" s="53" t="n">
        <v>45840.300775463</v>
      </c>
      <c r="Q4987" s="53" t="n">
        <v>45834.6592476852</v>
      </c>
      <c r="R4987" s="0" t="n">
        <v>0</v>
      </c>
      <c r="S4987" s="51" t="s">
        <v>2356</v>
      </c>
      <c r="T4987" s="51" t="s">
        <v>2356</v>
      </c>
      <c r="U4987" s="51" t="s">
        <v>4351</v>
      </c>
      <c r="V4987" s="51" t="s">
        <v>2365</v>
      </c>
      <c r="W4987" s="51" t="s">
        <v>4361</v>
      </c>
      <c r="X4987" s="51" t="s">
        <v>2359</v>
      </c>
    </row>
    <row r="4988" customFormat="false" ht="14.25" hidden="true" customHeight="false" outlineLevel="0" collapsed="false">
      <c r="A4988" s="49" t="s">
        <v>2349</v>
      </c>
      <c r="B4988" s="49" t="s">
        <v>2350</v>
      </c>
      <c r="C4988" s="49" t="s">
        <v>9145</v>
      </c>
      <c r="D4988" s="49" t="s">
        <v>2352</v>
      </c>
      <c r="E4988" s="49" t="s">
        <v>4351</v>
      </c>
      <c r="F4988" s="49" t="s">
        <v>4352</v>
      </c>
      <c r="G4988" s="49" t="n">
        <v>0</v>
      </c>
      <c r="H4988" s="0" t="n">
        <v>0</v>
      </c>
      <c r="M4988" s="51" t="s">
        <v>9129</v>
      </c>
      <c r="N4988" s="49" t="n">
        <v>0</v>
      </c>
      <c r="O4988" s="53" t="n">
        <v>45834.6594675926</v>
      </c>
      <c r="P4988" s="53" t="n">
        <v>45847.3088310185</v>
      </c>
      <c r="Q4988" s="53" t="n">
        <v>45834.6594675926</v>
      </c>
      <c r="R4988" s="0" t="n">
        <v>0</v>
      </c>
      <c r="S4988" s="51" t="s">
        <v>2356</v>
      </c>
      <c r="T4988" s="51" t="s">
        <v>2356</v>
      </c>
      <c r="U4988" s="51" t="s">
        <v>4351</v>
      </c>
      <c r="V4988" s="51" t="s">
        <v>2365</v>
      </c>
      <c r="W4988" s="51" t="s">
        <v>8832</v>
      </c>
      <c r="X4988" s="51" t="s">
        <v>2359</v>
      </c>
    </row>
    <row r="4989" customFormat="false" ht="14.25" hidden="true" customHeight="false" outlineLevel="0" collapsed="false">
      <c r="A4989" s="49" t="s">
        <v>2349</v>
      </c>
      <c r="B4989" s="49" t="s">
        <v>2350</v>
      </c>
      <c r="C4989" s="49" t="s">
        <v>9146</v>
      </c>
      <c r="D4989" s="49" t="s">
        <v>2352</v>
      </c>
      <c r="E4989" s="49" t="s">
        <v>4351</v>
      </c>
      <c r="F4989" s="49" t="s">
        <v>4352</v>
      </c>
      <c r="G4989" s="49" t="n">
        <v>0</v>
      </c>
      <c r="H4989" s="0" t="n">
        <v>0</v>
      </c>
      <c r="M4989" s="51" t="s">
        <v>9129</v>
      </c>
      <c r="N4989" s="49" t="n">
        <v>0</v>
      </c>
      <c r="O4989" s="53" t="n">
        <v>45834.6595949074</v>
      </c>
      <c r="P4989" s="53" t="n">
        <v>45851.6097106482</v>
      </c>
      <c r="Q4989" s="53" t="n">
        <v>45834.6595949074</v>
      </c>
      <c r="R4989" s="0" t="n">
        <v>0</v>
      </c>
      <c r="S4989" s="51" t="s">
        <v>2356</v>
      </c>
      <c r="T4989" s="51" t="s">
        <v>2356</v>
      </c>
      <c r="U4989" s="51" t="s">
        <v>4351</v>
      </c>
      <c r="V4989" s="51" t="s">
        <v>2365</v>
      </c>
      <c r="W4989" s="51" t="s">
        <v>9147</v>
      </c>
      <c r="X4989" s="51" t="s">
        <v>2359</v>
      </c>
    </row>
    <row r="4990" customFormat="false" ht="14.25" hidden="true" customHeight="false" outlineLevel="0" collapsed="false">
      <c r="A4990" s="49" t="s">
        <v>2349</v>
      </c>
      <c r="B4990" s="49" t="s">
        <v>2350</v>
      </c>
      <c r="C4990" s="49" t="s">
        <v>9148</v>
      </c>
      <c r="D4990" s="49" t="s">
        <v>2352</v>
      </c>
      <c r="E4990" s="49" t="s">
        <v>4351</v>
      </c>
      <c r="F4990" s="49" t="s">
        <v>4352</v>
      </c>
      <c r="G4990" s="49" t="n">
        <v>0</v>
      </c>
      <c r="H4990" s="0" t="n">
        <v>0</v>
      </c>
      <c r="M4990" s="51" t="s">
        <v>9129</v>
      </c>
      <c r="N4990" s="49" t="n">
        <v>0</v>
      </c>
      <c r="O4990" s="53" t="n">
        <v>45834.6596990741</v>
      </c>
      <c r="P4990" s="53" t="n">
        <v>45843.5892939815</v>
      </c>
      <c r="Q4990" s="53" t="n">
        <v>45834.6596990741</v>
      </c>
      <c r="R4990" s="0" t="n">
        <v>0</v>
      </c>
      <c r="S4990" s="51" t="s">
        <v>2356</v>
      </c>
      <c r="T4990" s="51" t="s">
        <v>2356</v>
      </c>
      <c r="U4990" s="51" t="s">
        <v>4351</v>
      </c>
      <c r="V4990" s="51" t="s">
        <v>2365</v>
      </c>
      <c r="W4990" s="51" t="s">
        <v>9149</v>
      </c>
      <c r="X4990" s="51" t="s">
        <v>2359</v>
      </c>
    </row>
    <row r="4991" customFormat="false" ht="14.25" hidden="true" customHeight="false" outlineLevel="0" collapsed="false">
      <c r="A4991" s="49" t="s">
        <v>2349</v>
      </c>
      <c r="B4991" s="49" t="s">
        <v>2350</v>
      </c>
      <c r="C4991" s="49" t="s">
        <v>9150</v>
      </c>
      <c r="D4991" s="49" t="s">
        <v>2352</v>
      </c>
      <c r="E4991" s="49" t="s">
        <v>4351</v>
      </c>
      <c r="F4991" s="49" t="s">
        <v>4352</v>
      </c>
      <c r="G4991" s="49" t="n">
        <v>0</v>
      </c>
      <c r="H4991" s="0" t="n">
        <v>0</v>
      </c>
      <c r="M4991" s="51" t="s">
        <v>9129</v>
      </c>
      <c r="N4991" s="49" t="n">
        <v>0</v>
      </c>
      <c r="O4991" s="53" t="n">
        <v>45834.6598148148</v>
      </c>
      <c r="P4991" s="53" t="n">
        <v>45846.3140625</v>
      </c>
      <c r="Q4991" s="53" t="n">
        <v>45834.6598148148</v>
      </c>
      <c r="R4991" s="0" t="n">
        <v>0</v>
      </c>
      <c r="S4991" s="51" t="s">
        <v>2356</v>
      </c>
      <c r="T4991" s="51" t="s">
        <v>2356</v>
      </c>
      <c r="U4991" s="51" t="s">
        <v>4351</v>
      </c>
      <c r="V4991" s="51" t="s">
        <v>2365</v>
      </c>
      <c r="W4991" s="51" t="s">
        <v>5137</v>
      </c>
      <c r="X4991" s="51" t="s">
        <v>2359</v>
      </c>
    </row>
    <row r="4992" customFormat="false" ht="14.25" hidden="true" customHeight="false" outlineLevel="0" collapsed="false">
      <c r="A4992" s="49" t="s">
        <v>2349</v>
      </c>
      <c r="B4992" s="49" t="s">
        <v>2350</v>
      </c>
      <c r="C4992" s="49" t="s">
        <v>9151</v>
      </c>
      <c r="D4992" s="49" t="s">
        <v>2352</v>
      </c>
      <c r="E4992" s="49" t="s">
        <v>4351</v>
      </c>
      <c r="F4992" s="49" t="s">
        <v>4352</v>
      </c>
      <c r="G4992" s="49" t="n">
        <v>0</v>
      </c>
      <c r="H4992" s="0" t="n">
        <v>0</v>
      </c>
      <c r="M4992" s="51" t="s">
        <v>9129</v>
      </c>
      <c r="N4992" s="49" t="n">
        <v>0</v>
      </c>
      <c r="O4992" s="53" t="n">
        <v>45834.6600462963</v>
      </c>
      <c r="P4992" s="53" t="n">
        <v>45846.3115972222</v>
      </c>
      <c r="Q4992" s="53" t="n">
        <v>45834.6600462963</v>
      </c>
      <c r="R4992" s="0" t="n">
        <v>0</v>
      </c>
      <c r="S4992" s="51" t="s">
        <v>2356</v>
      </c>
      <c r="T4992" s="51" t="s">
        <v>2356</v>
      </c>
      <c r="U4992" s="51" t="s">
        <v>4351</v>
      </c>
      <c r="V4992" s="51" t="s">
        <v>2365</v>
      </c>
      <c r="W4992" s="51" t="s">
        <v>3646</v>
      </c>
      <c r="X4992" s="51" t="s">
        <v>2359</v>
      </c>
    </row>
    <row r="4993" customFormat="false" ht="14.25" hidden="true" customHeight="false" outlineLevel="0" collapsed="false">
      <c r="A4993" s="49" t="s">
        <v>2349</v>
      </c>
      <c r="B4993" s="49" t="s">
        <v>2350</v>
      </c>
      <c r="C4993" s="49" t="s">
        <v>9152</v>
      </c>
      <c r="D4993" s="49" t="s">
        <v>2352</v>
      </c>
      <c r="E4993" s="49" t="s">
        <v>4351</v>
      </c>
      <c r="F4993" s="49" t="s">
        <v>4352</v>
      </c>
      <c r="G4993" s="49" t="n">
        <v>0</v>
      </c>
      <c r="H4993" s="0" t="n">
        <v>0</v>
      </c>
      <c r="M4993" s="51" t="s">
        <v>9129</v>
      </c>
      <c r="N4993" s="49" t="n">
        <v>0</v>
      </c>
      <c r="O4993" s="53" t="n">
        <v>45834.660150463</v>
      </c>
      <c r="P4993" s="53" t="n">
        <v>45847.3113425926</v>
      </c>
      <c r="Q4993" s="53" t="n">
        <v>45834.660150463</v>
      </c>
      <c r="R4993" s="0" t="n">
        <v>0</v>
      </c>
      <c r="S4993" s="51" t="s">
        <v>2356</v>
      </c>
      <c r="T4993" s="51" t="s">
        <v>2356</v>
      </c>
      <c r="U4993" s="51" t="s">
        <v>4351</v>
      </c>
      <c r="V4993" s="51" t="s">
        <v>2365</v>
      </c>
      <c r="W4993" s="51" t="s">
        <v>7280</v>
      </c>
      <c r="X4993" s="51" t="s">
        <v>2359</v>
      </c>
    </row>
    <row r="4994" customFormat="false" ht="14.25" hidden="true" customHeight="false" outlineLevel="0" collapsed="false">
      <c r="A4994" s="49" t="s">
        <v>2349</v>
      </c>
      <c r="B4994" s="49" t="s">
        <v>2350</v>
      </c>
      <c r="C4994" s="49" t="s">
        <v>9153</v>
      </c>
      <c r="D4994" s="49" t="s">
        <v>2352</v>
      </c>
      <c r="E4994" s="49" t="s">
        <v>4351</v>
      </c>
      <c r="F4994" s="49" t="s">
        <v>4352</v>
      </c>
      <c r="G4994" s="49" t="n">
        <v>0</v>
      </c>
      <c r="H4994" s="0" t="n">
        <v>0</v>
      </c>
      <c r="M4994" s="51" t="s">
        <v>9129</v>
      </c>
      <c r="N4994" s="49" t="n">
        <v>0</v>
      </c>
      <c r="O4994" s="53" t="n">
        <v>45834.6602662037</v>
      </c>
      <c r="P4994" s="53" t="n">
        <v>45840.4798263889</v>
      </c>
      <c r="Q4994" s="53" t="n">
        <v>45834.6602662037</v>
      </c>
      <c r="R4994" s="0" t="n">
        <v>0</v>
      </c>
      <c r="S4994" s="51" t="s">
        <v>2356</v>
      </c>
      <c r="T4994" s="51" t="s">
        <v>2356</v>
      </c>
      <c r="U4994" s="51" t="s">
        <v>4351</v>
      </c>
      <c r="V4994" s="51" t="s">
        <v>2365</v>
      </c>
      <c r="W4994" s="51" t="s">
        <v>4361</v>
      </c>
      <c r="X4994" s="51" t="s">
        <v>2359</v>
      </c>
    </row>
    <row r="4995" customFormat="false" ht="14.25" hidden="true" customHeight="false" outlineLevel="0" collapsed="false">
      <c r="A4995" s="49" t="s">
        <v>2349</v>
      </c>
      <c r="B4995" s="49" t="s">
        <v>2350</v>
      </c>
      <c r="C4995" s="49" t="s">
        <v>9154</v>
      </c>
      <c r="D4995" s="49" t="s">
        <v>2352</v>
      </c>
      <c r="E4995" s="49" t="s">
        <v>4166</v>
      </c>
      <c r="F4995" s="49" t="s">
        <v>4167</v>
      </c>
      <c r="G4995" s="49" t="n">
        <v>0</v>
      </c>
      <c r="H4995" s="0" t="n">
        <v>0</v>
      </c>
      <c r="M4995" s="51" t="s">
        <v>9155</v>
      </c>
      <c r="N4995" s="49" t="n">
        <v>0</v>
      </c>
      <c r="O4995" s="53" t="n">
        <v>45812.6741666667</v>
      </c>
      <c r="P4995" s="53" t="n">
        <v>45833.6363888889</v>
      </c>
      <c r="Q4995" s="53" t="n">
        <v>45812.6741666667</v>
      </c>
      <c r="R4995" s="0" t="n">
        <v>0</v>
      </c>
      <c r="S4995" s="51" t="s">
        <v>2356</v>
      </c>
      <c r="T4995" s="51" t="s">
        <v>2356</v>
      </c>
      <c r="U4995" s="51" t="s">
        <v>4166</v>
      </c>
      <c r="V4995" s="51" t="s">
        <v>2365</v>
      </c>
      <c r="W4995" s="51" t="s">
        <v>4010</v>
      </c>
      <c r="X4995" s="51" t="s">
        <v>2359</v>
      </c>
    </row>
    <row r="4996" customFormat="false" ht="14.25" hidden="true" customHeight="false" outlineLevel="0" collapsed="false">
      <c r="A4996" s="49" t="s">
        <v>2349</v>
      </c>
      <c r="B4996" s="49" t="s">
        <v>2350</v>
      </c>
      <c r="C4996" s="49" t="s">
        <v>9156</v>
      </c>
      <c r="D4996" s="49" t="s">
        <v>2352</v>
      </c>
      <c r="E4996" s="49" t="s">
        <v>4166</v>
      </c>
      <c r="F4996" s="49" t="s">
        <v>4167</v>
      </c>
      <c r="G4996" s="49" t="n">
        <v>0</v>
      </c>
      <c r="H4996" s="0" t="n">
        <v>0</v>
      </c>
      <c r="M4996" s="51" t="s">
        <v>9155</v>
      </c>
      <c r="N4996" s="49" t="n">
        <v>0</v>
      </c>
      <c r="O4996" s="53" t="n">
        <v>45812.6745486111</v>
      </c>
      <c r="P4996" s="53" t="n">
        <v>45882.3564583333</v>
      </c>
      <c r="Q4996" s="53" t="n">
        <v>45812.6745486111</v>
      </c>
      <c r="R4996" s="0" t="n">
        <v>0</v>
      </c>
      <c r="S4996" s="51" t="s">
        <v>2356</v>
      </c>
      <c r="T4996" s="51" t="s">
        <v>2356</v>
      </c>
      <c r="U4996" s="51" t="s">
        <v>4166</v>
      </c>
      <c r="V4996" s="51" t="s">
        <v>2365</v>
      </c>
      <c r="W4996" s="51" t="s">
        <v>7306</v>
      </c>
      <c r="X4996" s="51" t="s">
        <v>2359</v>
      </c>
    </row>
    <row r="4997" customFormat="false" ht="14.25" hidden="true" customHeight="false" outlineLevel="0" collapsed="false">
      <c r="A4997" s="49" t="s">
        <v>2349</v>
      </c>
      <c r="B4997" s="49" t="s">
        <v>2350</v>
      </c>
      <c r="C4997" s="49" t="s">
        <v>9157</v>
      </c>
      <c r="D4997" s="49" t="s">
        <v>2352</v>
      </c>
      <c r="E4997" s="49" t="s">
        <v>4166</v>
      </c>
      <c r="F4997" s="49" t="s">
        <v>4167</v>
      </c>
      <c r="G4997" s="49" t="n">
        <v>0</v>
      </c>
      <c r="H4997" s="0" t="n">
        <v>0</v>
      </c>
      <c r="M4997" s="51" t="s">
        <v>9155</v>
      </c>
      <c r="N4997" s="49" t="n">
        <v>0</v>
      </c>
      <c r="O4997" s="53" t="n">
        <v>45812.6747106482</v>
      </c>
      <c r="P4997" s="53" t="n">
        <v>45833.6361458333</v>
      </c>
      <c r="Q4997" s="53" t="n">
        <v>45812.6747106482</v>
      </c>
      <c r="R4997" s="0" t="n">
        <v>0</v>
      </c>
      <c r="S4997" s="51" t="s">
        <v>2356</v>
      </c>
      <c r="T4997" s="51" t="s">
        <v>2356</v>
      </c>
      <c r="U4997" s="51" t="s">
        <v>4166</v>
      </c>
      <c r="V4997" s="51" t="s">
        <v>2365</v>
      </c>
      <c r="W4997" s="51" t="s">
        <v>9039</v>
      </c>
      <c r="X4997" s="51" t="s">
        <v>2359</v>
      </c>
    </row>
    <row r="4998" customFormat="false" ht="14.25" hidden="true" customHeight="false" outlineLevel="0" collapsed="false">
      <c r="A4998" s="49" t="s">
        <v>2349</v>
      </c>
      <c r="B4998" s="49" t="s">
        <v>2350</v>
      </c>
      <c r="C4998" s="49" t="s">
        <v>9158</v>
      </c>
      <c r="D4998" s="49" t="s">
        <v>2352</v>
      </c>
      <c r="E4998" s="49" t="s">
        <v>4166</v>
      </c>
      <c r="F4998" s="49" t="s">
        <v>4167</v>
      </c>
      <c r="G4998" s="49" t="n">
        <v>0</v>
      </c>
      <c r="H4998" s="0" t="n">
        <v>0</v>
      </c>
      <c r="M4998" s="51" t="s">
        <v>9155</v>
      </c>
      <c r="N4998" s="49" t="n">
        <v>0</v>
      </c>
      <c r="O4998" s="53" t="n">
        <v>45812.6749537037</v>
      </c>
      <c r="P4998" s="53" t="n">
        <v>45819.428125</v>
      </c>
      <c r="Q4998" s="53" t="n">
        <v>45812.6749537037</v>
      </c>
      <c r="R4998" s="0" t="n">
        <v>0</v>
      </c>
      <c r="S4998" s="51" t="s">
        <v>2356</v>
      </c>
      <c r="T4998" s="51" t="s">
        <v>2356</v>
      </c>
      <c r="U4998" s="51" t="s">
        <v>4166</v>
      </c>
      <c r="V4998" s="51" t="s">
        <v>2365</v>
      </c>
      <c r="W4998" s="51" t="s">
        <v>7661</v>
      </c>
      <c r="X4998" s="51" t="s">
        <v>2359</v>
      </c>
    </row>
    <row r="4999" customFormat="false" ht="14.25" hidden="true" customHeight="false" outlineLevel="0" collapsed="false">
      <c r="A4999" s="49" t="s">
        <v>2349</v>
      </c>
      <c r="B4999" s="49" t="s">
        <v>2350</v>
      </c>
      <c r="C4999" s="49" t="s">
        <v>9159</v>
      </c>
      <c r="D4999" s="49" t="s">
        <v>2352</v>
      </c>
      <c r="E4999" s="49" t="s">
        <v>4166</v>
      </c>
      <c r="F4999" s="49" t="s">
        <v>4167</v>
      </c>
      <c r="G4999" s="49" t="n">
        <v>0</v>
      </c>
      <c r="H4999" s="0" t="n">
        <v>0</v>
      </c>
      <c r="M4999" s="51" t="s">
        <v>9155</v>
      </c>
      <c r="N4999" s="49" t="n">
        <v>0</v>
      </c>
      <c r="O4999" s="53" t="n">
        <v>45812.6751157407</v>
      </c>
      <c r="P4999" s="53" t="n">
        <v>45819.4279166667</v>
      </c>
      <c r="Q4999" s="53" t="n">
        <v>45812.6751157407</v>
      </c>
      <c r="R4999" s="0" t="n">
        <v>0</v>
      </c>
      <c r="S4999" s="51" t="s">
        <v>2356</v>
      </c>
      <c r="T4999" s="51" t="s">
        <v>2356</v>
      </c>
      <c r="U4999" s="51" t="s">
        <v>4166</v>
      </c>
      <c r="V4999" s="51" t="s">
        <v>2365</v>
      </c>
      <c r="W4999" s="51" t="s">
        <v>5968</v>
      </c>
      <c r="X4999" s="51" t="s">
        <v>2359</v>
      </c>
    </row>
    <row r="5000" customFormat="false" ht="14.25" hidden="true" customHeight="false" outlineLevel="0" collapsed="false">
      <c r="A5000" s="49" t="s">
        <v>2349</v>
      </c>
      <c r="B5000" s="49" t="s">
        <v>2350</v>
      </c>
      <c r="C5000" s="49" t="s">
        <v>9160</v>
      </c>
      <c r="D5000" s="49" t="s">
        <v>2352</v>
      </c>
      <c r="E5000" s="49" t="s">
        <v>4166</v>
      </c>
      <c r="F5000" s="49" t="s">
        <v>4167</v>
      </c>
      <c r="G5000" s="49" t="n">
        <v>0</v>
      </c>
      <c r="H5000" s="0" t="n">
        <v>0</v>
      </c>
      <c r="M5000" s="51" t="s">
        <v>9155</v>
      </c>
      <c r="N5000" s="49" t="n">
        <v>0</v>
      </c>
      <c r="O5000" s="53" t="n">
        <v>45812.6752662037</v>
      </c>
      <c r="P5000" s="53" t="n">
        <v>45819.4279861111</v>
      </c>
      <c r="Q5000" s="53" t="n">
        <v>45812.6752662037</v>
      </c>
      <c r="R5000" s="0" t="n">
        <v>0</v>
      </c>
      <c r="S5000" s="51" t="s">
        <v>2356</v>
      </c>
      <c r="T5000" s="51" t="s">
        <v>2356</v>
      </c>
      <c r="U5000" s="51" t="s">
        <v>4166</v>
      </c>
      <c r="V5000" s="51" t="s">
        <v>2365</v>
      </c>
      <c r="W5000" s="51" t="s">
        <v>8301</v>
      </c>
      <c r="X5000" s="51" t="s">
        <v>2359</v>
      </c>
    </row>
    <row r="5001" customFormat="false" ht="14.25" hidden="true" customHeight="false" outlineLevel="0" collapsed="false">
      <c r="A5001" s="49" t="s">
        <v>2349</v>
      </c>
      <c r="B5001" s="49" t="s">
        <v>2350</v>
      </c>
      <c r="C5001" s="49" t="s">
        <v>9161</v>
      </c>
      <c r="D5001" s="49" t="s">
        <v>2352</v>
      </c>
      <c r="E5001" s="49" t="s">
        <v>4166</v>
      </c>
      <c r="F5001" s="49" t="s">
        <v>4167</v>
      </c>
      <c r="G5001" s="49" t="n">
        <v>0</v>
      </c>
      <c r="H5001" s="0" t="n">
        <v>0</v>
      </c>
      <c r="M5001" s="51" t="s">
        <v>9155</v>
      </c>
      <c r="N5001" s="49" t="n">
        <v>0</v>
      </c>
      <c r="O5001" s="53" t="n">
        <v>45812.6754166667</v>
      </c>
      <c r="P5001" s="53" t="n">
        <v>45819.5756712963</v>
      </c>
      <c r="Q5001" s="53" t="n">
        <v>45812.6754166667</v>
      </c>
      <c r="R5001" s="0" t="n">
        <v>0</v>
      </c>
      <c r="S5001" s="51" t="s">
        <v>2356</v>
      </c>
      <c r="T5001" s="51" t="s">
        <v>2356</v>
      </c>
      <c r="U5001" s="51" t="s">
        <v>4166</v>
      </c>
      <c r="V5001" s="51" t="s">
        <v>2365</v>
      </c>
      <c r="W5001" s="51" t="s">
        <v>8382</v>
      </c>
      <c r="X5001" s="51" t="s">
        <v>2359</v>
      </c>
    </row>
    <row r="5002" customFormat="false" ht="14.25" hidden="true" customHeight="false" outlineLevel="0" collapsed="false">
      <c r="A5002" s="49" t="s">
        <v>2349</v>
      </c>
      <c r="B5002" s="49" t="s">
        <v>2350</v>
      </c>
      <c r="C5002" s="49" t="s">
        <v>9162</v>
      </c>
      <c r="D5002" s="49" t="s">
        <v>2352</v>
      </c>
      <c r="E5002" s="49" t="s">
        <v>4166</v>
      </c>
      <c r="F5002" s="49" t="s">
        <v>4167</v>
      </c>
      <c r="G5002" s="49" t="n">
        <v>0</v>
      </c>
      <c r="H5002" s="0" t="n">
        <v>0</v>
      </c>
      <c r="M5002" s="51" t="s">
        <v>9155</v>
      </c>
      <c r="N5002" s="49" t="n">
        <v>0</v>
      </c>
      <c r="O5002" s="53" t="n">
        <v>45812.6755787037</v>
      </c>
      <c r="P5002" s="53" t="n">
        <v>45819.5757638889</v>
      </c>
      <c r="Q5002" s="53" t="n">
        <v>45812.6755787037</v>
      </c>
      <c r="R5002" s="0" t="n">
        <v>0</v>
      </c>
      <c r="S5002" s="51" t="s">
        <v>2356</v>
      </c>
      <c r="T5002" s="51" t="s">
        <v>2356</v>
      </c>
      <c r="U5002" s="51" t="s">
        <v>4166</v>
      </c>
      <c r="V5002" s="51" t="s">
        <v>2365</v>
      </c>
      <c r="W5002" s="51" t="s">
        <v>5748</v>
      </c>
      <c r="X5002" s="51" t="s">
        <v>2359</v>
      </c>
    </row>
    <row r="5003" customFormat="false" ht="14.25" hidden="true" customHeight="false" outlineLevel="0" collapsed="false">
      <c r="A5003" s="49" t="s">
        <v>2349</v>
      </c>
      <c r="B5003" s="49" t="s">
        <v>2350</v>
      </c>
      <c r="C5003" s="49" t="s">
        <v>9163</v>
      </c>
      <c r="D5003" s="49" t="s">
        <v>2352</v>
      </c>
      <c r="E5003" s="49" t="s">
        <v>4166</v>
      </c>
      <c r="F5003" s="49" t="s">
        <v>4167</v>
      </c>
      <c r="G5003" s="49" t="n">
        <v>0</v>
      </c>
      <c r="H5003" s="0" t="n">
        <v>0</v>
      </c>
      <c r="M5003" s="51" t="s">
        <v>9155</v>
      </c>
      <c r="N5003" s="49" t="n">
        <v>0</v>
      </c>
      <c r="O5003" s="53" t="n">
        <v>45812.6760416667</v>
      </c>
      <c r="P5003" s="53" t="n">
        <v>45819.4278472222</v>
      </c>
      <c r="Q5003" s="53" t="n">
        <v>45812.6760416667</v>
      </c>
      <c r="R5003" s="0" t="n">
        <v>0</v>
      </c>
      <c r="S5003" s="51" t="s">
        <v>2356</v>
      </c>
      <c r="T5003" s="51" t="s">
        <v>2356</v>
      </c>
      <c r="U5003" s="51" t="s">
        <v>4166</v>
      </c>
      <c r="V5003" s="51" t="s">
        <v>2365</v>
      </c>
      <c r="W5003" s="51" t="s">
        <v>4130</v>
      </c>
      <c r="X5003" s="51" t="s">
        <v>2359</v>
      </c>
    </row>
    <row r="5004" customFormat="false" ht="14.25" hidden="true" customHeight="false" outlineLevel="0" collapsed="false">
      <c r="A5004" s="49" t="s">
        <v>2349</v>
      </c>
      <c r="B5004" s="49" t="s">
        <v>2350</v>
      </c>
      <c r="C5004" s="49" t="s">
        <v>9164</v>
      </c>
      <c r="D5004" s="49" t="s">
        <v>2352</v>
      </c>
      <c r="E5004" s="49" t="s">
        <v>4166</v>
      </c>
      <c r="F5004" s="49" t="s">
        <v>4167</v>
      </c>
      <c r="G5004" s="49" t="n">
        <v>0</v>
      </c>
      <c r="H5004" s="0" t="n">
        <v>0</v>
      </c>
      <c r="M5004" s="51" t="s">
        <v>9155</v>
      </c>
      <c r="N5004" s="49" t="n">
        <v>0</v>
      </c>
      <c r="O5004" s="53" t="n">
        <v>45812.6757175926</v>
      </c>
      <c r="P5004" s="53" t="n">
        <v>45819.4281944444</v>
      </c>
      <c r="Q5004" s="53" t="n">
        <v>45812.6757175926</v>
      </c>
      <c r="R5004" s="0" t="n">
        <v>0</v>
      </c>
      <c r="S5004" s="51" t="s">
        <v>2356</v>
      </c>
      <c r="T5004" s="51" t="s">
        <v>2356</v>
      </c>
      <c r="U5004" s="51" t="s">
        <v>4166</v>
      </c>
      <c r="V5004" s="51" t="s">
        <v>2365</v>
      </c>
      <c r="W5004" s="51" t="s">
        <v>5414</v>
      </c>
      <c r="X5004" s="51" t="s">
        <v>2359</v>
      </c>
    </row>
    <row r="5005" customFormat="false" ht="14.25" hidden="true" customHeight="false" outlineLevel="0" collapsed="false">
      <c r="A5005" s="49" t="s">
        <v>2349</v>
      </c>
      <c r="B5005" s="49" t="s">
        <v>2350</v>
      </c>
      <c r="C5005" s="49" t="s">
        <v>9165</v>
      </c>
      <c r="D5005" s="49" t="s">
        <v>2352</v>
      </c>
      <c r="E5005" s="49" t="s">
        <v>4166</v>
      </c>
      <c r="F5005" s="49" t="s">
        <v>4167</v>
      </c>
      <c r="G5005" s="49" t="n">
        <v>0</v>
      </c>
      <c r="H5005" s="0" t="n">
        <v>0</v>
      </c>
      <c r="M5005" s="51" t="s">
        <v>9155</v>
      </c>
      <c r="N5005" s="49" t="n">
        <v>0</v>
      </c>
      <c r="O5005" s="53" t="n">
        <v>45812.6762384259</v>
      </c>
      <c r="P5005" s="53" t="n">
        <v>45819.4288310185</v>
      </c>
      <c r="Q5005" s="53" t="n">
        <v>45812.6762384259</v>
      </c>
      <c r="R5005" s="0" t="n">
        <v>0</v>
      </c>
      <c r="S5005" s="51" t="s">
        <v>2356</v>
      </c>
      <c r="T5005" s="51" t="s">
        <v>2356</v>
      </c>
      <c r="U5005" s="51" t="s">
        <v>4166</v>
      </c>
      <c r="V5005" s="51" t="s">
        <v>2365</v>
      </c>
      <c r="W5005" s="51" t="s">
        <v>8391</v>
      </c>
      <c r="X5005" s="51" t="s">
        <v>2359</v>
      </c>
    </row>
    <row r="5006" customFormat="false" ht="14.25" hidden="true" customHeight="false" outlineLevel="0" collapsed="false">
      <c r="A5006" s="49" t="s">
        <v>2349</v>
      </c>
      <c r="B5006" s="49" t="s">
        <v>2350</v>
      </c>
      <c r="C5006" s="49" t="s">
        <v>9166</v>
      </c>
      <c r="D5006" s="49" t="s">
        <v>2352</v>
      </c>
      <c r="E5006" s="49" t="s">
        <v>4351</v>
      </c>
      <c r="F5006" s="49" t="s">
        <v>4352</v>
      </c>
      <c r="G5006" s="49" t="n">
        <v>0</v>
      </c>
      <c r="H5006" s="0" t="n">
        <v>0</v>
      </c>
      <c r="M5006" s="51" t="s">
        <v>9155</v>
      </c>
      <c r="N5006" s="49" t="n">
        <v>0</v>
      </c>
      <c r="O5006" s="53" t="n">
        <v>45812.6708217593</v>
      </c>
      <c r="P5006" s="53" t="n">
        <v>45819.4284837963</v>
      </c>
      <c r="Q5006" s="53" t="n">
        <v>45812.6708217593</v>
      </c>
      <c r="R5006" s="0" t="n">
        <v>0</v>
      </c>
      <c r="S5006" s="51" t="s">
        <v>2356</v>
      </c>
      <c r="T5006" s="51" t="s">
        <v>2356</v>
      </c>
      <c r="U5006" s="51" t="s">
        <v>4351</v>
      </c>
      <c r="V5006" s="51" t="s">
        <v>2365</v>
      </c>
      <c r="W5006" s="51" t="s">
        <v>7405</v>
      </c>
      <c r="X5006" s="51" t="s">
        <v>2359</v>
      </c>
    </row>
    <row r="5007" customFormat="false" ht="14.25" hidden="true" customHeight="false" outlineLevel="0" collapsed="false">
      <c r="A5007" s="49" t="s">
        <v>2349</v>
      </c>
      <c r="B5007" s="49" t="s">
        <v>2350</v>
      </c>
      <c r="C5007" s="49" t="s">
        <v>9167</v>
      </c>
      <c r="D5007" s="49" t="s">
        <v>2352</v>
      </c>
      <c r="E5007" s="49" t="s">
        <v>4351</v>
      </c>
      <c r="F5007" s="49" t="s">
        <v>4352</v>
      </c>
      <c r="G5007" s="49" t="n">
        <v>0</v>
      </c>
      <c r="H5007" s="0" t="n">
        <v>0</v>
      </c>
      <c r="M5007" s="51" t="s">
        <v>9155</v>
      </c>
      <c r="N5007" s="49" t="n">
        <v>0</v>
      </c>
      <c r="O5007" s="53" t="n">
        <v>45812.6710069444</v>
      </c>
      <c r="P5007" s="53" t="n">
        <v>45819.4284259259</v>
      </c>
      <c r="Q5007" s="53" t="n">
        <v>45812.6710069444</v>
      </c>
      <c r="R5007" s="0" t="n">
        <v>0</v>
      </c>
      <c r="S5007" s="51" t="s">
        <v>2356</v>
      </c>
      <c r="T5007" s="51" t="s">
        <v>2356</v>
      </c>
      <c r="U5007" s="51" t="s">
        <v>4351</v>
      </c>
      <c r="V5007" s="51" t="s">
        <v>2365</v>
      </c>
      <c r="W5007" s="51" t="s">
        <v>7428</v>
      </c>
      <c r="X5007" s="51" t="s">
        <v>2359</v>
      </c>
    </row>
    <row r="5008" customFormat="false" ht="14.25" hidden="true" customHeight="false" outlineLevel="0" collapsed="false">
      <c r="A5008" s="49" t="s">
        <v>2349</v>
      </c>
      <c r="B5008" s="49" t="s">
        <v>2350</v>
      </c>
      <c r="C5008" s="49" t="s">
        <v>9168</v>
      </c>
      <c r="D5008" s="49" t="s">
        <v>2352</v>
      </c>
      <c r="E5008" s="49" t="s">
        <v>4351</v>
      </c>
      <c r="F5008" s="49" t="s">
        <v>4352</v>
      </c>
      <c r="G5008" s="49" t="n">
        <v>0</v>
      </c>
      <c r="H5008" s="0" t="n">
        <v>0</v>
      </c>
      <c r="M5008" s="51" t="s">
        <v>9155</v>
      </c>
      <c r="N5008" s="49" t="n">
        <v>0</v>
      </c>
      <c r="O5008" s="53" t="n">
        <v>45812.6711342593</v>
      </c>
      <c r="P5008" s="53" t="n">
        <v>45819.4285763889</v>
      </c>
      <c r="Q5008" s="53" t="n">
        <v>45812.6711342593</v>
      </c>
      <c r="R5008" s="0" t="n">
        <v>0</v>
      </c>
      <c r="S5008" s="51" t="s">
        <v>2356</v>
      </c>
      <c r="T5008" s="51" t="s">
        <v>2356</v>
      </c>
      <c r="U5008" s="51" t="s">
        <v>4351</v>
      </c>
      <c r="V5008" s="51" t="s">
        <v>2365</v>
      </c>
      <c r="W5008" s="51" t="s">
        <v>9169</v>
      </c>
      <c r="X5008" s="51" t="s">
        <v>2359</v>
      </c>
    </row>
    <row r="5009" customFormat="false" ht="14.25" hidden="true" customHeight="false" outlineLevel="0" collapsed="false">
      <c r="A5009" s="49" t="s">
        <v>2349</v>
      </c>
      <c r="B5009" s="49" t="s">
        <v>2350</v>
      </c>
      <c r="C5009" s="49" t="s">
        <v>9170</v>
      </c>
      <c r="D5009" s="49" t="s">
        <v>2352</v>
      </c>
      <c r="E5009" s="49" t="s">
        <v>4351</v>
      </c>
      <c r="F5009" s="49" t="s">
        <v>4352</v>
      </c>
      <c r="G5009" s="49" t="n">
        <v>0</v>
      </c>
      <c r="H5009" s="0" t="n">
        <v>0</v>
      </c>
      <c r="M5009" s="51" t="s">
        <v>9155</v>
      </c>
      <c r="N5009" s="49" t="n">
        <v>0</v>
      </c>
      <c r="O5009" s="53" t="n">
        <v>45812.6713310185</v>
      </c>
      <c r="P5009" s="53" t="n">
        <v>45819.4286342593</v>
      </c>
      <c r="Q5009" s="53" t="n">
        <v>45812.6713310185</v>
      </c>
      <c r="R5009" s="0" t="n">
        <v>0</v>
      </c>
      <c r="S5009" s="51" t="s">
        <v>2356</v>
      </c>
      <c r="T5009" s="51" t="s">
        <v>2356</v>
      </c>
      <c r="U5009" s="51" t="s">
        <v>4351</v>
      </c>
      <c r="V5009" s="51" t="s">
        <v>2365</v>
      </c>
      <c r="W5009" s="51" t="s">
        <v>4126</v>
      </c>
      <c r="X5009" s="51" t="s">
        <v>2359</v>
      </c>
    </row>
    <row r="5010" customFormat="false" ht="14.25" hidden="true" customHeight="false" outlineLevel="0" collapsed="false">
      <c r="A5010" s="49" t="s">
        <v>2349</v>
      </c>
      <c r="B5010" s="49" t="s">
        <v>2350</v>
      </c>
      <c r="C5010" s="49" t="s">
        <v>9171</v>
      </c>
      <c r="D5010" s="49" t="s">
        <v>2352</v>
      </c>
      <c r="E5010" s="49" t="s">
        <v>4351</v>
      </c>
      <c r="F5010" s="49" t="s">
        <v>4352</v>
      </c>
      <c r="G5010" s="49" t="n">
        <v>0</v>
      </c>
      <c r="H5010" s="0" t="n">
        <v>0</v>
      </c>
      <c r="M5010" s="51" t="s">
        <v>9155</v>
      </c>
      <c r="N5010" s="49" t="n">
        <v>0</v>
      </c>
      <c r="O5010" s="53" t="n">
        <v>45812.6714814815</v>
      </c>
      <c r="P5010" s="53" t="n">
        <v>45819.4286921296</v>
      </c>
      <c r="Q5010" s="53" t="n">
        <v>45812.6714814815</v>
      </c>
      <c r="R5010" s="0" t="n">
        <v>0</v>
      </c>
      <c r="S5010" s="51" t="s">
        <v>2356</v>
      </c>
      <c r="T5010" s="51" t="s">
        <v>2356</v>
      </c>
      <c r="U5010" s="51" t="s">
        <v>4351</v>
      </c>
      <c r="V5010" s="51" t="s">
        <v>2365</v>
      </c>
      <c r="W5010" s="51" t="s">
        <v>3764</v>
      </c>
      <c r="X5010" s="51" t="s">
        <v>2359</v>
      </c>
    </row>
    <row r="5011" customFormat="false" ht="14.25" hidden="true" customHeight="false" outlineLevel="0" collapsed="false">
      <c r="A5011" s="49" t="s">
        <v>2349</v>
      </c>
      <c r="B5011" s="49" t="s">
        <v>2350</v>
      </c>
      <c r="C5011" s="49" t="s">
        <v>9172</v>
      </c>
      <c r="D5011" s="49" t="s">
        <v>2352</v>
      </c>
      <c r="E5011" s="49" t="s">
        <v>4351</v>
      </c>
      <c r="F5011" s="49" t="s">
        <v>4352</v>
      </c>
      <c r="G5011" s="49" t="n">
        <v>0</v>
      </c>
      <c r="H5011" s="0" t="n">
        <v>0</v>
      </c>
      <c r="M5011" s="51" t="s">
        <v>9155</v>
      </c>
      <c r="N5011" s="49" t="n">
        <v>0</v>
      </c>
      <c r="O5011" s="53" t="n">
        <v>45812.6716319444</v>
      </c>
      <c r="P5011" s="53" t="n">
        <v>45819.5765625</v>
      </c>
      <c r="Q5011" s="53" t="n">
        <v>45812.6716319444</v>
      </c>
      <c r="R5011" s="0" t="n">
        <v>0</v>
      </c>
      <c r="S5011" s="51" t="s">
        <v>2356</v>
      </c>
      <c r="T5011" s="51" t="s">
        <v>2356</v>
      </c>
      <c r="U5011" s="51" t="s">
        <v>4351</v>
      </c>
      <c r="V5011" s="51" t="s">
        <v>2365</v>
      </c>
      <c r="W5011" s="51" t="s">
        <v>5147</v>
      </c>
      <c r="X5011" s="51" t="s">
        <v>2359</v>
      </c>
    </row>
    <row r="5012" customFormat="false" ht="14.25" hidden="true" customHeight="false" outlineLevel="0" collapsed="false">
      <c r="A5012" s="49" t="s">
        <v>2349</v>
      </c>
      <c r="B5012" s="49" t="s">
        <v>2350</v>
      </c>
      <c r="C5012" s="49" t="s">
        <v>9173</v>
      </c>
      <c r="D5012" s="49" t="s">
        <v>2352</v>
      </c>
      <c r="E5012" s="49" t="s">
        <v>4351</v>
      </c>
      <c r="F5012" s="49" t="s">
        <v>4352</v>
      </c>
      <c r="G5012" s="49" t="n">
        <v>0</v>
      </c>
      <c r="H5012" s="0" t="n">
        <v>0</v>
      </c>
      <c r="M5012" s="51" t="s">
        <v>9155</v>
      </c>
      <c r="N5012" s="49" t="n">
        <v>0</v>
      </c>
      <c r="O5012" s="53" t="n">
        <v>45812.6718287037</v>
      </c>
      <c r="P5012" s="53" t="n">
        <v>45819.5752546296</v>
      </c>
      <c r="Q5012" s="53" t="n">
        <v>45812.6718287037</v>
      </c>
      <c r="R5012" s="0" t="n">
        <v>0</v>
      </c>
      <c r="S5012" s="51" t="s">
        <v>2356</v>
      </c>
      <c r="T5012" s="51" t="s">
        <v>2356</v>
      </c>
      <c r="U5012" s="51" t="s">
        <v>4351</v>
      </c>
      <c r="V5012" s="51" t="s">
        <v>2365</v>
      </c>
      <c r="W5012" s="51" t="s">
        <v>8229</v>
      </c>
      <c r="X5012" s="51" t="s">
        <v>2359</v>
      </c>
    </row>
    <row r="5013" customFormat="false" ht="14.25" hidden="true" customHeight="false" outlineLevel="0" collapsed="false">
      <c r="A5013" s="49" t="s">
        <v>2349</v>
      </c>
      <c r="B5013" s="49" t="s">
        <v>2350</v>
      </c>
      <c r="C5013" s="49" t="s">
        <v>9174</v>
      </c>
      <c r="D5013" s="49" t="s">
        <v>2352</v>
      </c>
      <c r="E5013" s="49" t="s">
        <v>4351</v>
      </c>
      <c r="F5013" s="49" t="s">
        <v>4352</v>
      </c>
      <c r="G5013" s="49" t="n">
        <v>0</v>
      </c>
      <c r="H5013" s="0" t="n">
        <v>0</v>
      </c>
      <c r="M5013" s="51" t="s">
        <v>9155</v>
      </c>
      <c r="N5013" s="49" t="n">
        <v>0</v>
      </c>
      <c r="O5013" s="53" t="n">
        <v>45812.6719907407</v>
      </c>
      <c r="P5013" s="53" t="n">
        <v>45819.4282986111</v>
      </c>
      <c r="Q5013" s="53" t="n">
        <v>45812.6719907407</v>
      </c>
      <c r="R5013" s="0" t="n">
        <v>0</v>
      </c>
      <c r="S5013" s="51" t="s">
        <v>2356</v>
      </c>
      <c r="T5013" s="51" t="s">
        <v>2356</v>
      </c>
      <c r="U5013" s="51" t="s">
        <v>4351</v>
      </c>
      <c r="V5013" s="51" t="s">
        <v>2365</v>
      </c>
      <c r="W5013" s="51" t="s">
        <v>4169</v>
      </c>
      <c r="X5013" s="51" t="s">
        <v>2359</v>
      </c>
    </row>
    <row r="5014" customFormat="false" ht="14.25" hidden="true" customHeight="false" outlineLevel="0" collapsed="false">
      <c r="A5014" s="49" t="s">
        <v>2349</v>
      </c>
      <c r="B5014" s="49" t="s">
        <v>2350</v>
      </c>
      <c r="C5014" s="49" t="s">
        <v>9175</v>
      </c>
      <c r="D5014" s="49" t="s">
        <v>2352</v>
      </c>
      <c r="E5014" s="49" t="s">
        <v>4351</v>
      </c>
      <c r="F5014" s="49" t="s">
        <v>4352</v>
      </c>
      <c r="G5014" s="49" t="n">
        <v>0</v>
      </c>
      <c r="H5014" s="0" t="n">
        <v>0</v>
      </c>
      <c r="M5014" s="51" t="s">
        <v>9155</v>
      </c>
      <c r="N5014" s="49" t="n">
        <v>0</v>
      </c>
      <c r="O5014" s="53" t="n">
        <v>45812.6721180556</v>
      </c>
      <c r="P5014" s="53" t="n">
        <v>45819.42875</v>
      </c>
      <c r="Q5014" s="53" t="n">
        <v>45812.6721180556</v>
      </c>
      <c r="R5014" s="0" t="n">
        <v>0</v>
      </c>
      <c r="S5014" s="51" t="s">
        <v>2356</v>
      </c>
      <c r="T5014" s="51" t="s">
        <v>2356</v>
      </c>
      <c r="U5014" s="51" t="s">
        <v>4351</v>
      </c>
      <c r="V5014" s="51" t="s">
        <v>2365</v>
      </c>
      <c r="W5014" s="51" t="s">
        <v>7401</v>
      </c>
      <c r="X5014" s="51" t="s">
        <v>2359</v>
      </c>
    </row>
    <row r="5015" customFormat="false" ht="14.25" hidden="true" customHeight="false" outlineLevel="0" collapsed="false">
      <c r="A5015" s="49" t="s">
        <v>2349</v>
      </c>
      <c r="B5015" s="49" t="s">
        <v>2350</v>
      </c>
      <c r="C5015" s="49" t="s">
        <v>9176</v>
      </c>
      <c r="D5015" s="49" t="s">
        <v>2352</v>
      </c>
      <c r="E5015" s="49" t="s">
        <v>4351</v>
      </c>
      <c r="F5015" s="49" t="s">
        <v>4352</v>
      </c>
      <c r="G5015" s="49" t="n">
        <v>0</v>
      </c>
      <c r="H5015" s="0" t="n">
        <v>0</v>
      </c>
      <c r="M5015" s="51" t="s">
        <v>9155</v>
      </c>
      <c r="N5015" s="49" t="n">
        <v>0</v>
      </c>
      <c r="O5015" s="53" t="n">
        <v>45812.6723611111</v>
      </c>
      <c r="P5015" s="53" t="n">
        <v>45819.5854861111</v>
      </c>
      <c r="Q5015" s="53" t="n">
        <v>45812.6723611111</v>
      </c>
      <c r="R5015" s="0" t="n">
        <v>0</v>
      </c>
      <c r="S5015" s="51" t="s">
        <v>2356</v>
      </c>
      <c r="T5015" s="51" t="s">
        <v>2356</v>
      </c>
      <c r="U5015" s="51" t="s">
        <v>4351</v>
      </c>
      <c r="V5015" s="51" t="s">
        <v>2365</v>
      </c>
      <c r="W5015" s="51" t="s">
        <v>6817</v>
      </c>
      <c r="X5015" s="51" t="s">
        <v>2359</v>
      </c>
    </row>
    <row r="5016" customFormat="false" ht="14.25" hidden="true" customHeight="false" outlineLevel="0" collapsed="false">
      <c r="A5016" s="49" t="s">
        <v>2349</v>
      </c>
      <c r="B5016" s="49" t="s">
        <v>2350</v>
      </c>
      <c r="C5016" s="49" t="s">
        <v>9177</v>
      </c>
      <c r="D5016" s="49" t="s">
        <v>2352</v>
      </c>
      <c r="E5016" s="49" t="s">
        <v>3633</v>
      </c>
      <c r="F5016" s="49" t="s">
        <v>3634</v>
      </c>
      <c r="G5016" s="49" t="n">
        <v>0</v>
      </c>
      <c r="H5016" s="0" t="n">
        <v>0</v>
      </c>
      <c r="M5016" s="51" t="s">
        <v>9178</v>
      </c>
      <c r="N5016" s="49" t="n">
        <v>0</v>
      </c>
      <c r="O5016" s="53" t="n">
        <v>45832.423587963</v>
      </c>
      <c r="P5016" s="53" t="n">
        <v>45880.581099537</v>
      </c>
      <c r="Q5016" s="53" t="n">
        <v>45832.423587963</v>
      </c>
      <c r="R5016" s="0" t="n">
        <v>0</v>
      </c>
      <c r="S5016" s="51" t="s">
        <v>2356</v>
      </c>
      <c r="T5016" s="51" t="s">
        <v>2356</v>
      </c>
      <c r="U5016" s="51" t="s">
        <v>3633</v>
      </c>
      <c r="V5016" s="51" t="s">
        <v>2357</v>
      </c>
      <c r="W5016" s="51" t="s">
        <v>8243</v>
      </c>
      <c r="X5016" s="51" t="s">
        <v>2359</v>
      </c>
    </row>
    <row r="5017" customFormat="false" ht="14.25" hidden="true" customHeight="false" outlineLevel="0" collapsed="false">
      <c r="A5017" s="49" t="s">
        <v>2349</v>
      </c>
      <c r="B5017" s="49" t="s">
        <v>2350</v>
      </c>
      <c r="C5017" s="49" t="s">
        <v>9179</v>
      </c>
      <c r="D5017" s="49" t="s">
        <v>2352</v>
      </c>
      <c r="E5017" s="49" t="s">
        <v>3633</v>
      </c>
      <c r="F5017" s="49" t="s">
        <v>3634</v>
      </c>
      <c r="G5017" s="49" t="n">
        <v>0</v>
      </c>
      <c r="H5017" s="0" t="n">
        <v>0</v>
      </c>
      <c r="M5017" s="51" t="s">
        <v>9178</v>
      </c>
      <c r="N5017" s="49" t="n">
        <v>0</v>
      </c>
      <c r="O5017" s="53" t="n">
        <v>45832.4318518519</v>
      </c>
      <c r="P5017" s="53" t="n">
        <v>45852.5823032407</v>
      </c>
      <c r="Q5017" s="53" t="n">
        <v>45832.4318518519</v>
      </c>
      <c r="R5017" s="0" t="n">
        <v>0</v>
      </c>
      <c r="S5017" s="51" t="s">
        <v>2356</v>
      </c>
      <c r="T5017" s="51" t="s">
        <v>2356</v>
      </c>
      <c r="U5017" s="51" t="s">
        <v>3633</v>
      </c>
      <c r="V5017" s="51" t="s">
        <v>2357</v>
      </c>
      <c r="W5017" s="51" t="s">
        <v>9180</v>
      </c>
      <c r="X5017" s="51" t="s">
        <v>2359</v>
      </c>
    </row>
    <row r="5018" customFormat="false" ht="14.25" hidden="true" customHeight="false" outlineLevel="0" collapsed="false">
      <c r="A5018" s="49" t="s">
        <v>2349</v>
      </c>
      <c r="B5018" s="49" t="s">
        <v>2350</v>
      </c>
      <c r="C5018" s="49" t="s">
        <v>9181</v>
      </c>
      <c r="D5018" s="49" t="s">
        <v>2352</v>
      </c>
      <c r="E5018" s="49" t="s">
        <v>4351</v>
      </c>
      <c r="F5018" s="49" t="s">
        <v>4352</v>
      </c>
      <c r="G5018" s="49" t="n">
        <v>0</v>
      </c>
      <c r="H5018" s="0" t="n">
        <v>0</v>
      </c>
      <c r="M5018" s="51" t="s">
        <v>9182</v>
      </c>
      <c r="N5018" s="49" t="n">
        <v>0</v>
      </c>
      <c r="O5018" s="53" t="n">
        <v>45806.4253587963</v>
      </c>
      <c r="P5018" s="53" t="n">
        <v>45810.5622800926</v>
      </c>
      <c r="Q5018" s="53" t="n">
        <v>45806.4253587963</v>
      </c>
      <c r="R5018" s="0" t="n">
        <v>0</v>
      </c>
      <c r="S5018" s="51" t="s">
        <v>2356</v>
      </c>
      <c r="T5018" s="51" t="s">
        <v>2356</v>
      </c>
      <c r="U5018" s="51" t="s">
        <v>4351</v>
      </c>
      <c r="V5018" s="51" t="s">
        <v>2365</v>
      </c>
      <c r="W5018" s="51" t="s">
        <v>5414</v>
      </c>
      <c r="X5018" s="51" t="s">
        <v>2359</v>
      </c>
    </row>
    <row r="5019" customFormat="false" ht="14.25" hidden="true" customHeight="false" outlineLevel="0" collapsed="false">
      <c r="A5019" s="49" t="s">
        <v>2349</v>
      </c>
      <c r="B5019" s="49" t="s">
        <v>2350</v>
      </c>
      <c r="C5019" s="49" t="s">
        <v>9183</v>
      </c>
      <c r="D5019" s="49" t="s">
        <v>2352</v>
      </c>
      <c r="E5019" s="49" t="s">
        <v>4351</v>
      </c>
      <c r="F5019" s="49" t="s">
        <v>4352</v>
      </c>
      <c r="G5019" s="49" t="n">
        <v>0</v>
      </c>
      <c r="H5019" s="0" t="n">
        <v>0</v>
      </c>
      <c r="M5019" s="51" t="s">
        <v>9182</v>
      </c>
      <c r="N5019" s="49" t="n">
        <v>0</v>
      </c>
      <c r="O5019" s="53" t="n">
        <v>45806.4255324074</v>
      </c>
      <c r="P5019" s="53" t="n">
        <v>45811.6069675926</v>
      </c>
      <c r="Q5019" s="53" t="n">
        <v>45806.4255324074</v>
      </c>
      <c r="R5019" s="0" t="n">
        <v>0</v>
      </c>
      <c r="S5019" s="51" t="s">
        <v>2356</v>
      </c>
      <c r="T5019" s="51" t="s">
        <v>2356</v>
      </c>
      <c r="U5019" s="51" t="s">
        <v>4351</v>
      </c>
      <c r="V5019" s="51" t="s">
        <v>2365</v>
      </c>
      <c r="W5019" s="51" t="s">
        <v>9184</v>
      </c>
      <c r="X5019" s="51" t="s">
        <v>2359</v>
      </c>
    </row>
    <row r="5020" customFormat="false" ht="14.25" hidden="true" customHeight="false" outlineLevel="0" collapsed="false">
      <c r="A5020" s="49" t="s">
        <v>2349</v>
      </c>
      <c r="B5020" s="49" t="s">
        <v>2350</v>
      </c>
      <c r="C5020" s="49" t="s">
        <v>9185</v>
      </c>
      <c r="D5020" s="49" t="s">
        <v>2352</v>
      </c>
      <c r="E5020" s="49" t="s">
        <v>4351</v>
      </c>
      <c r="F5020" s="49" t="s">
        <v>4352</v>
      </c>
      <c r="G5020" s="49" t="n">
        <v>0</v>
      </c>
      <c r="H5020" s="0" t="n">
        <v>0</v>
      </c>
      <c r="M5020" s="51" t="s">
        <v>9182</v>
      </c>
      <c r="N5020" s="49" t="n">
        <v>0</v>
      </c>
      <c r="O5020" s="53" t="n">
        <v>45806.4256944444</v>
      </c>
      <c r="P5020" s="53" t="n">
        <v>45810.5658449074</v>
      </c>
      <c r="Q5020" s="53" t="n">
        <v>45806.4256944444</v>
      </c>
      <c r="R5020" s="0" t="n">
        <v>0</v>
      </c>
      <c r="S5020" s="51" t="s">
        <v>2356</v>
      </c>
      <c r="T5020" s="51" t="s">
        <v>2356</v>
      </c>
      <c r="U5020" s="51" t="s">
        <v>4351</v>
      </c>
      <c r="V5020" s="51" t="s">
        <v>2365</v>
      </c>
      <c r="W5020" s="51" t="s">
        <v>9186</v>
      </c>
      <c r="X5020" s="51" t="s">
        <v>2359</v>
      </c>
    </row>
    <row r="5021" customFormat="false" ht="14.25" hidden="true" customHeight="false" outlineLevel="0" collapsed="false">
      <c r="A5021" s="49" t="s">
        <v>2349</v>
      </c>
      <c r="B5021" s="49" t="s">
        <v>2350</v>
      </c>
      <c r="C5021" s="49" t="s">
        <v>9187</v>
      </c>
      <c r="D5021" s="49" t="s">
        <v>2352</v>
      </c>
      <c r="E5021" s="49" t="s">
        <v>4351</v>
      </c>
      <c r="F5021" s="49" t="s">
        <v>4352</v>
      </c>
      <c r="G5021" s="49" t="n">
        <v>0</v>
      </c>
      <c r="H5021" s="0" t="n">
        <v>0</v>
      </c>
      <c r="M5021" s="51" t="s">
        <v>9182</v>
      </c>
      <c r="N5021" s="49" t="n">
        <v>0</v>
      </c>
      <c r="O5021" s="53" t="n">
        <v>45806.4258564815</v>
      </c>
      <c r="P5021" s="53" t="n">
        <v>45810.5657638889</v>
      </c>
      <c r="Q5021" s="53" t="n">
        <v>45806.4258564815</v>
      </c>
      <c r="R5021" s="0" t="n">
        <v>0</v>
      </c>
      <c r="S5021" s="51" t="s">
        <v>2356</v>
      </c>
      <c r="T5021" s="51" t="s">
        <v>2356</v>
      </c>
      <c r="U5021" s="51" t="s">
        <v>4351</v>
      </c>
      <c r="V5021" s="51" t="s">
        <v>2365</v>
      </c>
      <c r="W5021" s="51" t="s">
        <v>8229</v>
      </c>
      <c r="X5021" s="51" t="s">
        <v>2359</v>
      </c>
    </row>
    <row r="5022" customFormat="false" ht="14.25" hidden="true" customHeight="false" outlineLevel="0" collapsed="false">
      <c r="A5022" s="49" t="s">
        <v>2349</v>
      </c>
      <c r="B5022" s="49" t="s">
        <v>2350</v>
      </c>
      <c r="C5022" s="49" t="s">
        <v>9188</v>
      </c>
      <c r="D5022" s="49" t="s">
        <v>2352</v>
      </c>
      <c r="E5022" s="49" t="s">
        <v>4351</v>
      </c>
      <c r="F5022" s="49" t="s">
        <v>4352</v>
      </c>
      <c r="G5022" s="49" t="n">
        <v>0</v>
      </c>
      <c r="H5022" s="0" t="n">
        <v>0</v>
      </c>
      <c r="M5022" s="51" t="s">
        <v>9182</v>
      </c>
      <c r="N5022" s="49" t="n">
        <v>0</v>
      </c>
      <c r="O5022" s="53" t="n">
        <v>45806.4264930556</v>
      </c>
      <c r="P5022" s="53" t="n">
        <v>45808.5239699074</v>
      </c>
      <c r="Q5022" s="53" t="n">
        <v>45806.4264930556</v>
      </c>
      <c r="R5022" s="0" t="n">
        <v>0</v>
      </c>
      <c r="S5022" s="51" t="s">
        <v>2356</v>
      </c>
      <c r="T5022" s="51" t="s">
        <v>2356</v>
      </c>
      <c r="U5022" s="51" t="s">
        <v>4351</v>
      </c>
      <c r="V5022" s="51" t="s">
        <v>2365</v>
      </c>
      <c r="W5022" s="51" t="s">
        <v>8301</v>
      </c>
      <c r="X5022" s="51" t="s">
        <v>2359</v>
      </c>
    </row>
    <row r="5023" customFormat="false" ht="14.25" hidden="true" customHeight="false" outlineLevel="0" collapsed="false">
      <c r="A5023" s="49" t="s">
        <v>2349</v>
      </c>
      <c r="B5023" s="49" t="s">
        <v>2350</v>
      </c>
      <c r="C5023" s="49" t="s">
        <v>9189</v>
      </c>
      <c r="D5023" s="49" t="s">
        <v>2352</v>
      </c>
      <c r="E5023" s="49" t="s">
        <v>4351</v>
      </c>
      <c r="F5023" s="49" t="s">
        <v>4352</v>
      </c>
      <c r="G5023" s="49" t="n">
        <v>0</v>
      </c>
      <c r="H5023" s="0" t="n">
        <v>0</v>
      </c>
      <c r="M5023" s="51" t="s">
        <v>9182</v>
      </c>
      <c r="N5023" s="49" t="n">
        <v>0</v>
      </c>
      <c r="O5023" s="53" t="n">
        <v>45806.4266435185</v>
      </c>
      <c r="P5023" s="53" t="n">
        <v>45810.5659375</v>
      </c>
      <c r="Q5023" s="53" t="n">
        <v>45806.4266435185</v>
      </c>
      <c r="R5023" s="0" t="n">
        <v>0</v>
      </c>
      <c r="S5023" s="51" t="s">
        <v>2356</v>
      </c>
      <c r="T5023" s="51" t="s">
        <v>2356</v>
      </c>
      <c r="U5023" s="51" t="s">
        <v>4351</v>
      </c>
      <c r="V5023" s="51" t="s">
        <v>2365</v>
      </c>
      <c r="W5023" s="51" t="s">
        <v>5147</v>
      </c>
      <c r="X5023" s="51" t="s">
        <v>2359</v>
      </c>
    </row>
    <row r="5024" customFormat="false" ht="14.25" hidden="true" customHeight="false" outlineLevel="0" collapsed="false">
      <c r="A5024" s="49" t="s">
        <v>2349</v>
      </c>
      <c r="B5024" s="49" t="s">
        <v>2350</v>
      </c>
      <c r="C5024" s="49" t="s">
        <v>9190</v>
      </c>
      <c r="D5024" s="49" t="s">
        <v>2352</v>
      </c>
      <c r="E5024" s="49" t="s">
        <v>4351</v>
      </c>
      <c r="F5024" s="49" t="s">
        <v>4352</v>
      </c>
      <c r="G5024" s="49" t="n">
        <v>0</v>
      </c>
      <c r="H5024" s="0" t="n">
        <v>0</v>
      </c>
      <c r="M5024" s="51" t="s">
        <v>9182</v>
      </c>
      <c r="N5024" s="49" t="n">
        <v>0</v>
      </c>
      <c r="O5024" s="53" t="n">
        <v>45806.4267824074</v>
      </c>
      <c r="P5024" s="53" t="n">
        <v>45808.5238425926</v>
      </c>
      <c r="Q5024" s="53" t="n">
        <v>45806.4267824074</v>
      </c>
      <c r="R5024" s="0" t="n">
        <v>0</v>
      </c>
      <c r="S5024" s="51" t="s">
        <v>2356</v>
      </c>
      <c r="T5024" s="51" t="s">
        <v>2356</v>
      </c>
      <c r="U5024" s="51" t="s">
        <v>4351</v>
      </c>
      <c r="V5024" s="51" t="s">
        <v>2365</v>
      </c>
      <c r="W5024" s="51" t="s">
        <v>5748</v>
      </c>
      <c r="X5024" s="51" t="s">
        <v>2359</v>
      </c>
    </row>
    <row r="5025" customFormat="false" ht="14.25" hidden="true" customHeight="false" outlineLevel="0" collapsed="false">
      <c r="A5025" s="49" t="s">
        <v>2349</v>
      </c>
      <c r="B5025" s="49" t="s">
        <v>2350</v>
      </c>
      <c r="C5025" s="49" t="s">
        <v>9191</v>
      </c>
      <c r="D5025" s="49" t="s">
        <v>2352</v>
      </c>
      <c r="E5025" s="49" t="s">
        <v>4351</v>
      </c>
      <c r="F5025" s="49" t="s">
        <v>4352</v>
      </c>
      <c r="G5025" s="49" t="n">
        <v>0</v>
      </c>
      <c r="H5025" s="0" t="n">
        <v>0</v>
      </c>
      <c r="M5025" s="51" t="s">
        <v>9182</v>
      </c>
      <c r="N5025" s="49" t="n">
        <v>0</v>
      </c>
      <c r="O5025" s="53" t="n">
        <v>45806.4261226852</v>
      </c>
      <c r="P5025" s="53" t="n">
        <v>45810.5655439815</v>
      </c>
      <c r="Q5025" s="53" t="n">
        <v>45806.4261226852</v>
      </c>
      <c r="R5025" s="0" t="n">
        <v>0</v>
      </c>
      <c r="S5025" s="51" t="s">
        <v>2356</v>
      </c>
      <c r="T5025" s="51" t="s">
        <v>2356</v>
      </c>
      <c r="U5025" s="51" t="s">
        <v>4351</v>
      </c>
      <c r="V5025" s="51" t="s">
        <v>2365</v>
      </c>
      <c r="W5025" s="51" t="s">
        <v>5968</v>
      </c>
      <c r="X5025" s="51" t="s">
        <v>2359</v>
      </c>
    </row>
    <row r="5026" customFormat="false" ht="14.25" hidden="true" customHeight="false" outlineLevel="0" collapsed="false">
      <c r="A5026" s="49" t="s">
        <v>2349</v>
      </c>
      <c r="B5026" s="49" t="s">
        <v>2350</v>
      </c>
      <c r="C5026" s="49" t="s">
        <v>9192</v>
      </c>
      <c r="D5026" s="49" t="s">
        <v>2352</v>
      </c>
      <c r="E5026" s="49" t="str">
        <f aca="false">"12393792"</f>
        <v>12393792</v>
      </c>
      <c r="F5026" s="49" t="s">
        <v>2368</v>
      </c>
      <c r="G5026" s="49" t="n">
        <v>0</v>
      </c>
      <c r="H5026" s="0" t="n">
        <v>0</v>
      </c>
      <c r="M5026" s="51" t="s">
        <v>9193</v>
      </c>
      <c r="N5026" s="49" t="n">
        <v>0</v>
      </c>
      <c r="O5026" s="53" t="n">
        <v>45834.4941550926</v>
      </c>
      <c r="P5026" s="53" t="n">
        <v>45895.8708680556</v>
      </c>
      <c r="Q5026" s="53" t="n">
        <v>45834.4941550926</v>
      </c>
      <c r="R5026" s="0" t="n">
        <v>0</v>
      </c>
      <c r="S5026" s="51" t="s">
        <v>4015</v>
      </c>
      <c r="T5026" s="51" t="s">
        <v>4015</v>
      </c>
      <c r="U5026" s="0" t="str">
        <f aca="false">"12393792"</f>
        <v>12393792</v>
      </c>
      <c r="V5026" s="51" t="s">
        <v>2365</v>
      </c>
      <c r="W5026" s="51" t="s">
        <v>7770</v>
      </c>
      <c r="X5026" s="51" t="s">
        <v>2359</v>
      </c>
    </row>
    <row r="5027" customFormat="false" ht="14.25" hidden="true" customHeight="false" outlineLevel="0" collapsed="false">
      <c r="A5027" s="49" t="s">
        <v>2349</v>
      </c>
      <c r="B5027" s="49" t="s">
        <v>2350</v>
      </c>
      <c r="C5027" s="49" t="s">
        <v>9194</v>
      </c>
      <c r="D5027" s="49" t="s">
        <v>2352</v>
      </c>
      <c r="E5027" s="49" t="str">
        <f aca="false">"10074865055175"</f>
        <v>10074865055175</v>
      </c>
      <c r="F5027" s="49" t="s">
        <v>5090</v>
      </c>
      <c r="G5027" s="49" t="n">
        <v>0</v>
      </c>
      <c r="H5027" s="0" t="n">
        <v>0</v>
      </c>
      <c r="M5027" s="51" t="s">
        <v>9195</v>
      </c>
      <c r="N5027" s="49" t="n">
        <v>0</v>
      </c>
      <c r="O5027" s="53" t="n">
        <v>45840.462650463</v>
      </c>
      <c r="P5027" s="53" t="n">
        <v>45846.3723148148</v>
      </c>
      <c r="Q5027" s="53" t="n">
        <v>45840.462650463</v>
      </c>
      <c r="R5027" s="0" t="n">
        <v>0</v>
      </c>
      <c r="S5027" s="51" t="s">
        <v>2416</v>
      </c>
      <c r="T5027" s="51" t="s">
        <v>2416</v>
      </c>
      <c r="U5027" s="0" t="str">
        <f aca="false">"10074865055175"</f>
        <v>10074865055175</v>
      </c>
      <c r="V5027" s="51" t="s">
        <v>2365</v>
      </c>
      <c r="W5027" s="51" t="s">
        <v>5662</v>
      </c>
      <c r="X5027" s="51" t="s">
        <v>2359</v>
      </c>
    </row>
    <row r="5028" customFormat="false" ht="14.25" hidden="true" customHeight="false" outlineLevel="0" collapsed="false">
      <c r="A5028" s="49" t="s">
        <v>2349</v>
      </c>
      <c r="B5028" s="49" t="s">
        <v>2350</v>
      </c>
      <c r="C5028" s="49" t="s">
        <v>9196</v>
      </c>
      <c r="D5028" s="49" t="s">
        <v>2352</v>
      </c>
      <c r="E5028" s="49" t="str">
        <f aca="false">"8908020441030"</f>
        <v>8908020441030</v>
      </c>
      <c r="F5028" s="49" t="s">
        <v>5384</v>
      </c>
      <c r="G5028" s="49" t="n">
        <v>0</v>
      </c>
      <c r="H5028" s="0" t="n">
        <v>0</v>
      </c>
      <c r="M5028" s="51" t="s">
        <v>9197</v>
      </c>
      <c r="N5028" s="49" t="n">
        <v>0</v>
      </c>
      <c r="O5028" s="53" t="n">
        <v>45839.6053935185</v>
      </c>
      <c r="P5028" s="53" t="n">
        <v>45963.6706944444</v>
      </c>
      <c r="Q5028" s="53" t="n">
        <v>45839.6053935185</v>
      </c>
      <c r="R5028" s="0" t="n">
        <v>0</v>
      </c>
      <c r="S5028" s="51" t="s">
        <v>2356</v>
      </c>
      <c r="T5028" s="51" t="s">
        <v>2356</v>
      </c>
      <c r="U5028" s="0" t="str">
        <f aca="false">"8908020441030"</f>
        <v>8908020441030</v>
      </c>
      <c r="V5028" s="51" t="s">
        <v>5386</v>
      </c>
      <c r="W5028" s="51" t="s">
        <v>9198</v>
      </c>
      <c r="X5028" s="51" t="s">
        <v>2359</v>
      </c>
    </row>
    <row r="5029" customFormat="false" ht="14.25" hidden="true" customHeight="false" outlineLevel="0" collapsed="false">
      <c r="A5029" s="49" t="s">
        <v>2349</v>
      </c>
      <c r="B5029" s="49" t="s">
        <v>2350</v>
      </c>
      <c r="C5029" s="49" t="s">
        <v>9199</v>
      </c>
      <c r="D5029" s="49" t="s">
        <v>2352</v>
      </c>
      <c r="E5029" s="49" t="str">
        <f aca="false">"8908020441030"</f>
        <v>8908020441030</v>
      </c>
      <c r="F5029" s="49" t="s">
        <v>5384</v>
      </c>
      <c r="G5029" s="49" t="n">
        <v>0</v>
      </c>
      <c r="H5029" s="0" t="n">
        <v>0</v>
      </c>
      <c r="M5029" s="51" t="s">
        <v>9197</v>
      </c>
      <c r="N5029" s="49" t="n">
        <v>0</v>
      </c>
      <c r="O5029" s="53" t="n">
        <v>45839.6051273148</v>
      </c>
      <c r="P5029" s="53" t="n">
        <v>45963.6705902778</v>
      </c>
      <c r="Q5029" s="53" t="n">
        <v>45839.6051273148</v>
      </c>
      <c r="R5029" s="0" t="n">
        <v>0</v>
      </c>
      <c r="S5029" s="51" t="s">
        <v>2356</v>
      </c>
      <c r="T5029" s="51" t="s">
        <v>2356</v>
      </c>
      <c r="U5029" s="0" t="str">
        <f aca="false">"8908020441030"</f>
        <v>8908020441030</v>
      </c>
      <c r="V5029" s="51" t="s">
        <v>5386</v>
      </c>
      <c r="W5029" s="51" t="s">
        <v>8313</v>
      </c>
      <c r="X5029" s="51" t="s">
        <v>2359</v>
      </c>
    </row>
    <row r="5030" customFormat="false" ht="14.25" hidden="true" customHeight="false" outlineLevel="0" collapsed="false">
      <c r="A5030" s="49" t="s">
        <v>2349</v>
      </c>
      <c r="B5030" s="49" t="s">
        <v>2350</v>
      </c>
      <c r="C5030" s="49" t="s">
        <v>9200</v>
      </c>
      <c r="D5030" s="49" t="s">
        <v>2352</v>
      </c>
      <c r="E5030" s="49" t="str">
        <f aca="false">"8908020441030"</f>
        <v>8908020441030</v>
      </c>
      <c r="F5030" s="49" t="s">
        <v>5384</v>
      </c>
      <c r="G5030" s="49" t="n">
        <v>0</v>
      </c>
      <c r="H5030" s="0" t="n">
        <v>0</v>
      </c>
      <c r="M5030" s="51" t="s">
        <v>9197</v>
      </c>
      <c r="N5030" s="49" t="n">
        <v>0</v>
      </c>
      <c r="O5030" s="53" t="n">
        <v>45839.6045138889</v>
      </c>
      <c r="P5030" s="53" t="n">
        <v>45963.6709027778</v>
      </c>
      <c r="Q5030" s="53" t="n">
        <v>45839.6045138889</v>
      </c>
      <c r="R5030" s="0" t="n">
        <v>0</v>
      </c>
      <c r="S5030" s="51" t="s">
        <v>2356</v>
      </c>
      <c r="T5030" s="51" t="s">
        <v>2356</v>
      </c>
      <c r="U5030" s="0" t="str">
        <f aca="false">"8908020441030"</f>
        <v>8908020441030</v>
      </c>
      <c r="V5030" s="51" t="s">
        <v>5386</v>
      </c>
      <c r="W5030" s="51" t="s">
        <v>9201</v>
      </c>
      <c r="X5030" s="51" t="s">
        <v>2359</v>
      </c>
    </row>
    <row r="5031" customFormat="false" ht="14.25" hidden="true" customHeight="false" outlineLevel="0" collapsed="false">
      <c r="A5031" s="49" t="s">
        <v>2349</v>
      </c>
      <c r="B5031" s="49" t="s">
        <v>2350</v>
      </c>
      <c r="C5031" s="49" t="s">
        <v>9202</v>
      </c>
      <c r="D5031" s="49" t="s">
        <v>2352</v>
      </c>
      <c r="E5031" s="49" t="s">
        <v>4124</v>
      </c>
      <c r="F5031" s="49" t="s">
        <v>4125</v>
      </c>
      <c r="G5031" s="49" t="n">
        <v>0</v>
      </c>
      <c r="H5031" s="0" t="n">
        <v>0</v>
      </c>
      <c r="M5031" s="51" t="s">
        <v>9197</v>
      </c>
      <c r="N5031" s="49" t="n">
        <v>0</v>
      </c>
      <c r="O5031" s="53" t="n">
        <v>45839.6020833333</v>
      </c>
      <c r="P5031" s="53" t="n">
        <v>45848.6136689815</v>
      </c>
      <c r="Q5031" s="53" t="n">
        <v>45839.6020833333</v>
      </c>
      <c r="R5031" s="0" t="n">
        <v>0</v>
      </c>
      <c r="S5031" s="51" t="s">
        <v>2356</v>
      </c>
      <c r="T5031" s="51" t="s">
        <v>2356</v>
      </c>
      <c r="U5031" s="51" t="s">
        <v>4124</v>
      </c>
      <c r="V5031" s="51" t="s">
        <v>2365</v>
      </c>
      <c r="W5031" s="51" t="s">
        <v>9033</v>
      </c>
      <c r="X5031" s="51" t="s">
        <v>2359</v>
      </c>
    </row>
    <row r="5032" customFormat="false" ht="14.25" hidden="true" customHeight="false" outlineLevel="0" collapsed="false">
      <c r="A5032" s="49" t="s">
        <v>2349</v>
      </c>
      <c r="B5032" s="49" t="s">
        <v>2350</v>
      </c>
      <c r="C5032" s="49" t="s">
        <v>9203</v>
      </c>
      <c r="D5032" s="49" t="s">
        <v>2352</v>
      </c>
      <c r="E5032" s="49" t="s">
        <v>4166</v>
      </c>
      <c r="F5032" s="49" t="s">
        <v>4167</v>
      </c>
      <c r="G5032" s="49" t="n">
        <v>0</v>
      </c>
      <c r="H5032" s="0" t="n">
        <v>0</v>
      </c>
      <c r="M5032" s="51" t="s">
        <v>9204</v>
      </c>
      <c r="N5032" s="49" t="n">
        <v>0</v>
      </c>
      <c r="O5032" s="53" t="n">
        <v>45812.6169212963</v>
      </c>
      <c r="P5032" s="53" t="n">
        <v>45833.6368402778</v>
      </c>
      <c r="Q5032" s="53" t="n">
        <v>45812.6169212963</v>
      </c>
      <c r="R5032" s="0" t="n">
        <v>0</v>
      </c>
      <c r="S5032" s="51" t="s">
        <v>2356</v>
      </c>
      <c r="T5032" s="51" t="s">
        <v>2356</v>
      </c>
      <c r="U5032" s="51" t="s">
        <v>4166</v>
      </c>
      <c r="V5032" s="51" t="s">
        <v>2365</v>
      </c>
      <c r="W5032" s="51" t="s">
        <v>5317</v>
      </c>
      <c r="X5032" s="51" t="s">
        <v>2359</v>
      </c>
    </row>
    <row r="5033" customFormat="false" ht="14.25" hidden="true" customHeight="false" outlineLevel="0" collapsed="false">
      <c r="A5033" s="49" t="s">
        <v>2349</v>
      </c>
      <c r="B5033" s="49" t="s">
        <v>2350</v>
      </c>
      <c r="C5033" s="49" t="s">
        <v>9205</v>
      </c>
      <c r="D5033" s="49" t="s">
        <v>2352</v>
      </c>
      <c r="E5033" s="49" t="s">
        <v>4166</v>
      </c>
      <c r="F5033" s="49" t="s">
        <v>4167</v>
      </c>
      <c r="G5033" s="49" t="n">
        <v>0</v>
      </c>
      <c r="H5033" s="0" t="n">
        <v>0</v>
      </c>
      <c r="M5033" s="51" t="s">
        <v>9204</v>
      </c>
      <c r="N5033" s="49" t="n">
        <v>0</v>
      </c>
      <c r="O5033" s="53" t="n">
        <v>45812.6181365741</v>
      </c>
      <c r="P5033" s="53" t="n">
        <v>45812.7123726852</v>
      </c>
      <c r="Q5033" s="53" t="n">
        <v>45812.6181365741</v>
      </c>
      <c r="R5033" s="0" t="n">
        <v>0</v>
      </c>
      <c r="S5033" s="51" t="s">
        <v>2356</v>
      </c>
      <c r="T5033" s="51" t="s">
        <v>2356</v>
      </c>
      <c r="U5033" s="51" t="s">
        <v>4166</v>
      </c>
      <c r="V5033" s="51" t="s">
        <v>2365</v>
      </c>
      <c r="W5033" s="51" t="s">
        <v>5137</v>
      </c>
      <c r="X5033" s="51" t="s">
        <v>2359</v>
      </c>
    </row>
    <row r="5034" customFormat="false" ht="14.25" hidden="true" customHeight="false" outlineLevel="0" collapsed="false">
      <c r="A5034" s="49" t="s">
        <v>2349</v>
      </c>
      <c r="B5034" s="49" t="s">
        <v>2350</v>
      </c>
      <c r="C5034" s="49" t="s">
        <v>9206</v>
      </c>
      <c r="D5034" s="49" t="s">
        <v>2352</v>
      </c>
      <c r="E5034" s="49" t="s">
        <v>4166</v>
      </c>
      <c r="F5034" s="49" t="s">
        <v>4167</v>
      </c>
      <c r="G5034" s="49" t="n">
        <v>0</v>
      </c>
      <c r="H5034" s="0" t="n">
        <v>0</v>
      </c>
      <c r="M5034" s="51" t="s">
        <v>9204</v>
      </c>
      <c r="N5034" s="49" t="n">
        <v>0</v>
      </c>
      <c r="O5034" s="53" t="n">
        <v>45812.6186921296</v>
      </c>
      <c r="P5034" s="53" t="n">
        <v>45882.3562962963</v>
      </c>
      <c r="Q5034" s="53" t="n">
        <v>45812.6186921296</v>
      </c>
      <c r="R5034" s="0" t="n">
        <v>0</v>
      </c>
      <c r="S5034" s="51" t="s">
        <v>2356</v>
      </c>
      <c r="T5034" s="51" t="s">
        <v>2356</v>
      </c>
      <c r="U5034" s="51" t="s">
        <v>4166</v>
      </c>
      <c r="V5034" s="51" t="s">
        <v>2365</v>
      </c>
      <c r="W5034" s="51" t="s">
        <v>5317</v>
      </c>
      <c r="X5034" s="51" t="s">
        <v>2359</v>
      </c>
    </row>
    <row r="5035" customFormat="false" ht="14.25" hidden="true" customHeight="false" outlineLevel="0" collapsed="false">
      <c r="A5035" s="49" t="s">
        <v>2349</v>
      </c>
      <c r="B5035" s="49" t="s">
        <v>2350</v>
      </c>
      <c r="C5035" s="49" t="s">
        <v>9207</v>
      </c>
      <c r="D5035" s="49" t="s">
        <v>2352</v>
      </c>
      <c r="E5035" s="49" t="s">
        <v>4166</v>
      </c>
      <c r="F5035" s="49" t="s">
        <v>4167</v>
      </c>
      <c r="G5035" s="49" t="n">
        <v>0</v>
      </c>
      <c r="H5035" s="0" t="n">
        <v>0</v>
      </c>
      <c r="M5035" s="51" t="s">
        <v>9204</v>
      </c>
      <c r="N5035" s="49" t="n">
        <v>0</v>
      </c>
      <c r="O5035" s="53" t="n">
        <v>45812.6189236111</v>
      </c>
      <c r="P5035" s="53" t="n">
        <v>45833.6370023148</v>
      </c>
      <c r="Q5035" s="53" t="n">
        <v>45812.6189236111</v>
      </c>
      <c r="R5035" s="0" t="n">
        <v>0</v>
      </c>
      <c r="S5035" s="51" t="s">
        <v>2356</v>
      </c>
      <c r="T5035" s="51" t="s">
        <v>2356</v>
      </c>
      <c r="U5035" s="51" t="s">
        <v>4166</v>
      </c>
      <c r="V5035" s="51" t="s">
        <v>2365</v>
      </c>
      <c r="W5035" s="51" t="s">
        <v>5473</v>
      </c>
      <c r="X5035" s="51" t="s">
        <v>2359</v>
      </c>
    </row>
    <row r="5036" customFormat="false" ht="14.25" hidden="true" customHeight="false" outlineLevel="0" collapsed="false">
      <c r="A5036" s="49" t="s">
        <v>2349</v>
      </c>
      <c r="B5036" s="49" t="s">
        <v>2350</v>
      </c>
      <c r="C5036" s="49" t="s">
        <v>9208</v>
      </c>
      <c r="D5036" s="49" t="s">
        <v>2352</v>
      </c>
      <c r="E5036" s="49" t="s">
        <v>4166</v>
      </c>
      <c r="F5036" s="49" t="s">
        <v>4167</v>
      </c>
      <c r="G5036" s="49" t="n">
        <v>0</v>
      </c>
      <c r="H5036" s="0" t="n">
        <v>0</v>
      </c>
      <c r="M5036" s="51" t="s">
        <v>9204</v>
      </c>
      <c r="N5036" s="49" t="n">
        <v>0</v>
      </c>
      <c r="O5036" s="53" t="n">
        <v>45812.6191898148</v>
      </c>
      <c r="P5036" s="53" t="n">
        <v>45882.3563773148</v>
      </c>
      <c r="Q5036" s="53" t="n">
        <v>45812.6191898148</v>
      </c>
      <c r="R5036" s="0" t="n">
        <v>0</v>
      </c>
      <c r="S5036" s="51" t="s">
        <v>2356</v>
      </c>
      <c r="T5036" s="51" t="s">
        <v>2356</v>
      </c>
      <c r="U5036" s="51" t="s">
        <v>4166</v>
      </c>
      <c r="V5036" s="51" t="s">
        <v>2365</v>
      </c>
      <c r="W5036" s="51" t="s">
        <v>5476</v>
      </c>
      <c r="X5036" s="51" t="s">
        <v>2359</v>
      </c>
    </row>
    <row r="5037" customFormat="false" ht="14.25" hidden="true" customHeight="false" outlineLevel="0" collapsed="false">
      <c r="A5037" s="49" t="s">
        <v>2349</v>
      </c>
      <c r="B5037" s="49" t="s">
        <v>2350</v>
      </c>
      <c r="C5037" s="49" t="s">
        <v>9209</v>
      </c>
      <c r="D5037" s="49" t="s">
        <v>2352</v>
      </c>
      <c r="E5037" s="49" t="s">
        <v>4166</v>
      </c>
      <c r="F5037" s="49" t="s">
        <v>4167</v>
      </c>
      <c r="G5037" s="49" t="n">
        <v>0</v>
      </c>
      <c r="H5037" s="0" t="n">
        <v>0</v>
      </c>
      <c r="M5037" s="51" t="s">
        <v>9204</v>
      </c>
      <c r="N5037" s="49" t="n">
        <v>0</v>
      </c>
      <c r="O5037" s="53" t="n">
        <v>45812.619525463</v>
      </c>
      <c r="P5037" s="53" t="n">
        <v>45833.6367013889</v>
      </c>
      <c r="Q5037" s="53" t="n">
        <v>45812.619525463</v>
      </c>
      <c r="R5037" s="0" t="n">
        <v>0</v>
      </c>
      <c r="S5037" s="51" t="s">
        <v>2356</v>
      </c>
      <c r="T5037" s="51" t="s">
        <v>2356</v>
      </c>
      <c r="U5037" s="51" t="s">
        <v>4166</v>
      </c>
      <c r="V5037" s="51" t="s">
        <v>2365</v>
      </c>
      <c r="W5037" s="51" t="s">
        <v>5469</v>
      </c>
      <c r="X5037" s="51" t="s">
        <v>2359</v>
      </c>
    </row>
    <row r="5038" customFormat="false" ht="14.25" hidden="true" customHeight="false" outlineLevel="0" collapsed="false">
      <c r="A5038" s="49" t="s">
        <v>2349</v>
      </c>
      <c r="B5038" s="49" t="s">
        <v>2350</v>
      </c>
      <c r="C5038" s="49" t="s">
        <v>9210</v>
      </c>
      <c r="D5038" s="49" t="s">
        <v>2352</v>
      </c>
      <c r="E5038" s="49" t="s">
        <v>4166</v>
      </c>
      <c r="F5038" s="49" t="s">
        <v>4167</v>
      </c>
      <c r="G5038" s="49" t="n">
        <v>0</v>
      </c>
      <c r="H5038" s="0" t="n">
        <v>0</v>
      </c>
      <c r="M5038" s="51" t="s">
        <v>9204</v>
      </c>
      <c r="N5038" s="49" t="n">
        <v>0</v>
      </c>
      <c r="O5038" s="53" t="n">
        <v>45812.6199884259</v>
      </c>
      <c r="P5038" s="53" t="n">
        <v>45833.6365162037</v>
      </c>
      <c r="Q5038" s="53" t="n">
        <v>45812.6199884259</v>
      </c>
      <c r="R5038" s="0" t="n">
        <v>0</v>
      </c>
      <c r="S5038" s="51" t="s">
        <v>2356</v>
      </c>
      <c r="T5038" s="51" t="s">
        <v>2356</v>
      </c>
      <c r="U5038" s="51" t="s">
        <v>4166</v>
      </c>
      <c r="V5038" s="51" t="s">
        <v>2365</v>
      </c>
      <c r="W5038" s="51" t="s">
        <v>4150</v>
      </c>
      <c r="X5038" s="51" t="s">
        <v>2359</v>
      </c>
    </row>
    <row r="5039" customFormat="false" ht="14.25" hidden="true" customHeight="false" outlineLevel="0" collapsed="false">
      <c r="A5039" s="49" t="s">
        <v>2349</v>
      </c>
      <c r="B5039" s="49" t="s">
        <v>2350</v>
      </c>
      <c r="C5039" s="49" t="s">
        <v>9211</v>
      </c>
      <c r="D5039" s="49" t="s">
        <v>2352</v>
      </c>
      <c r="E5039" s="49" t="s">
        <v>4166</v>
      </c>
      <c r="F5039" s="49" t="s">
        <v>4167</v>
      </c>
      <c r="G5039" s="49" t="n">
        <v>0</v>
      </c>
      <c r="H5039" s="0" t="n">
        <v>0</v>
      </c>
      <c r="M5039" s="51" t="s">
        <v>9204</v>
      </c>
      <c r="N5039" s="49" t="n">
        <v>0</v>
      </c>
      <c r="O5039" s="53" t="n">
        <v>45812.6202314815</v>
      </c>
      <c r="P5039" s="53" t="n">
        <v>45833.6362731482</v>
      </c>
      <c r="Q5039" s="53" t="n">
        <v>45812.6202314815</v>
      </c>
      <c r="R5039" s="0" t="n">
        <v>0</v>
      </c>
      <c r="S5039" s="51" t="s">
        <v>2356</v>
      </c>
      <c r="T5039" s="51" t="s">
        <v>2356</v>
      </c>
      <c r="U5039" s="51" t="s">
        <v>4166</v>
      </c>
      <c r="V5039" s="51" t="s">
        <v>2365</v>
      </c>
      <c r="W5039" s="51" t="s">
        <v>5315</v>
      </c>
      <c r="X5039" s="51" t="s">
        <v>2359</v>
      </c>
    </row>
    <row r="5040" customFormat="false" ht="14.25" hidden="true" customHeight="false" outlineLevel="0" collapsed="false">
      <c r="A5040" s="49" t="s">
        <v>2349</v>
      </c>
      <c r="B5040" s="49" t="s">
        <v>2350</v>
      </c>
      <c r="C5040" s="49" t="s">
        <v>9212</v>
      </c>
      <c r="D5040" s="49" t="s">
        <v>2352</v>
      </c>
      <c r="E5040" s="49" t="s">
        <v>4166</v>
      </c>
      <c r="F5040" s="49" t="s">
        <v>4167</v>
      </c>
      <c r="G5040" s="49" t="n">
        <v>0</v>
      </c>
      <c r="H5040" s="0" t="n">
        <v>0</v>
      </c>
      <c r="M5040" s="51" t="s">
        <v>9204</v>
      </c>
      <c r="N5040" s="49" t="n">
        <v>0</v>
      </c>
      <c r="O5040" s="53" t="n">
        <v>45812.620474537</v>
      </c>
      <c r="P5040" s="53" t="n">
        <v>45819.585625</v>
      </c>
      <c r="Q5040" s="53" t="n">
        <v>45812.620474537</v>
      </c>
      <c r="R5040" s="0" t="n">
        <v>0</v>
      </c>
      <c r="S5040" s="51" t="s">
        <v>2356</v>
      </c>
      <c r="T5040" s="51" t="s">
        <v>2356</v>
      </c>
      <c r="U5040" s="51" t="s">
        <v>4166</v>
      </c>
      <c r="V5040" s="51" t="s">
        <v>2365</v>
      </c>
      <c r="W5040" s="51" t="s">
        <v>3749</v>
      </c>
      <c r="X5040" s="51" t="s">
        <v>2359</v>
      </c>
    </row>
    <row r="5041" customFormat="false" ht="14.25" hidden="true" customHeight="false" outlineLevel="0" collapsed="false">
      <c r="A5041" s="49" t="s">
        <v>2349</v>
      </c>
      <c r="B5041" s="49" t="s">
        <v>2350</v>
      </c>
      <c r="C5041" s="49" t="s">
        <v>9213</v>
      </c>
      <c r="D5041" s="49" t="s">
        <v>2352</v>
      </c>
      <c r="E5041" s="49" t="s">
        <v>4166</v>
      </c>
      <c r="F5041" s="49" t="s">
        <v>4167</v>
      </c>
      <c r="G5041" s="49" t="n">
        <v>0</v>
      </c>
      <c r="H5041" s="0" t="n">
        <v>0</v>
      </c>
      <c r="M5041" s="51" t="s">
        <v>9204</v>
      </c>
      <c r="N5041" s="49" t="n">
        <v>0</v>
      </c>
      <c r="O5041" s="53" t="n">
        <v>45812.6207291667</v>
      </c>
      <c r="P5041" s="53" t="n">
        <v>45826.545474537</v>
      </c>
      <c r="Q5041" s="53" t="n">
        <v>45812.6207291667</v>
      </c>
      <c r="R5041" s="0" t="n">
        <v>0</v>
      </c>
      <c r="S5041" s="51" t="s">
        <v>2356</v>
      </c>
      <c r="T5041" s="51" t="s">
        <v>2356</v>
      </c>
      <c r="U5041" s="51" t="s">
        <v>4166</v>
      </c>
      <c r="V5041" s="51" t="s">
        <v>2365</v>
      </c>
      <c r="W5041" s="51" t="s">
        <v>5324</v>
      </c>
      <c r="X5041" s="51" t="s">
        <v>2359</v>
      </c>
    </row>
    <row r="5042" customFormat="false" ht="14.25" hidden="true" customHeight="false" outlineLevel="0" collapsed="false">
      <c r="A5042" s="49" t="s">
        <v>2349</v>
      </c>
      <c r="B5042" s="49" t="s">
        <v>2350</v>
      </c>
      <c r="C5042" s="49" t="s">
        <v>9214</v>
      </c>
      <c r="D5042" s="49" t="s">
        <v>2352</v>
      </c>
      <c r="E5042" s="49" t="s">
        <v>4166</v>
      </c>
      <c r="F5042" s="49" t="s">
        <v>4167</v>
      </c>
      <c r="G5042" s="49" t="n">
        <v>0</v>
      </c>
      <c r="H5042" s="0" t="n">
        <v>0</v>
      </c>
      <c r="M5042" s="51" t="s">
        <v>9204</v>
      </c>
      <c r="N5042" s="49" t="n">
        <v>0</v>
      </c>
      <c r="O5042" s="53" t="n">
        <v>45812.6209606482</v>
      </c>
      <c r="P5042" s="53" t="n">
        <v>45819.428900463</v>
      </c>
      <c r="Q5042" s="53" t="n">
        <v>45812.6209606482</v>
      </c>
      <c r="R5042" s="0" t="n">
        <v>0</v>
      </c>
      <c r="S5042" s="51" t="s">
        <v>2356</v>
      </c>
      <c r="T5042" s="51" t="s">
        <v>2356</v>
      </c>
      <c r="U5042" s="51" t="s">
        <v>4166</v>
      </c>
      <c r="V5042" s="51" t="s">
        <v>2365</v>
      </c>
      <c r="W5042" s="51" t="s">
        <v>4611</v>
      </c>
      <c r="X5042" s="51" t="s">
        <v>2359</v>
      </c>
    </row>
    <row r="5043" customFormat="false" ht="14.25" hidden="true" customHeight="false" outlineLevel="0" collapsed="false">
      <c r="A5043" s="49" t="s">
        <v>2349</v>
      </c>
      <c r="B5043" s="49" t="s">
        <v>2350</v>
      </c>
      <c r="C5043" s="49" t="s">
        <v>9215</v>
      </c>
      <c r="D5043" s="49" t="s">
        <v>2352</v>
      </c>
      <c r="E5043" s="49" t="s">
        <v>4351</v>
      </c>
      <c r="F5043" s="49" t="s">
        <v>4352</v>
      </c>
      <c r="G5043" s="49" t="n">
        <v>0</v>
      </c>
      <c r="H5043" s="0" t="n">
        <v>0</v>
      </c>
      <c r="M5043" s="51" t="s">
        <v>9204</v>
      </c>
      <c r="N5043" s="49" t="n">
        <v>0</v>
      </c>
      <c r="O5043" s="53" t="n">
        <v>45812.621875</v>
      </c>
      <c r="P5043" s="53" t="n">
        <v>45812.7119560185</v>
      </c>
      <c r="Q5043" s="53" t="n">
        <v>45812.621875</v>
      </c>
      <c r="R5043" s="0" t="n">
        <v>0</v>
      </c>
      <c r="S5043" s="51" t="s">
        <v>2356</v>
      </c>
      <c r="T5043" s="51" t="s">
        <v>2356</v>
      </c>
      <c r="U5043" s="51" t="s">
        <v>4351</v>
      </c>
      <c r="V5043" s="51" t="s">
        <v>2365</v>
      </c>
      <c r="W5043" s="51" t="s">
        <v>5756</v>
      </c>
      <c r="X5043" s="51" t="s">
        <v>2359</v>
      </c>
    </row>
    <row r="5044" customFormat="false" ht="14.25" hidden="true" customHeight="false" outlineLevel="0" collapsed="false">
      <c r="A5044" s="49" t="s">
        <v>2349</v>
      </c>
      <c r="B5044" s="49" t="s">
        <v>2350</v>
      </c>
      <c r="C5044" s="49" t="s">
        <v>9216</v>
      </c>
      <c r="D5044" s="49" t="s">
        <v>2352</v>
      </c>
      <c r="E5044" s="49" t="s">
        <v>4351</v>
      </c>
      <c r="F5044" s="49" t="s">
        <v>4352</v>
      </c>
      <c r="G5044" s="49" t="n">
        <v>0</v>
      </c>
      <c r="H5044" s="0" t="n">
        <v>0</v>
      </c>
      <c r="M5044" s="51" t="s">
        <v>9204</v>
      </c>
      <c r="N5044" s="49" t="n">
        <v>0</v>
      </c>
      <c r="O5044" s="53" t="n">
        <v>45812.6221180556</v>
      </c>
      <c r="P5044" s="53" t="n">
        <v>45819.5855555556</v>
      </c>
      <c r="Q5044" s="53" t="n">
        <v>45812.6221180556</v>
      </c>
      <c r="R5044" s="0" t="n">
        <v>0</v>
      </c>
      <c r="S5044" s="51" t="s">
        <v>2356</v>
      </c>
      <c r="T5044" s="51" t="s">
        <v>2356</v>
      </c>
      <c r="U5044" s="51" t="s">
        <v>4351</v>
      </c>
      <c r="V5044" s="51" t="s">
        <v>2365</v>
      </c>
      <c r="W5044" s="51" t="s">
        <v>4146</v>
      </c>
      <c r="X5044" s="51" t="s">
        <v>2359</v>
      </c>
    </row>
    <row r="5045" customFormat="false" ht="14.25" hidden="true" customHeight="false" outlineLevel="0" collapsed="false">
      <c r="A5045" s="49" t="s">
        <v>2349</v>
      </c>
      <c r="B5045" s="49" t="s">
        <v>2350</v>
      </c>
      <c r="C5045" s="49" t="s">
        <v>9217</v>
      </c>
      <c r="D5045" s="49" t="s">
        <v>2352</v>
      </c>
      <c r="E5045" s="49" t="s">
        <v>4351</v>
      </c>
      <c r="F5045" s="49" t="s">
        <v>4352</v>
      </c>
      <c r="G5045" s="49" t="n">
        <v>0</v>
      </c>
      <c r="H5045" s="0" t="n">
        <v>0</v>
      </c>
      <c r="M5045" s="51" t="s">
        <v>9204</v>
      </c>
      <c r="N5045" s="49" t="n">
        <v>0</v>
      </c>
      <c r="O5045" s="53" t="n">
        <v>45812.622337963</v>
      </c>
      <c r="P5045" s="53" t="n">
        <v>45820.4719560185</v>
      </c>
      <c r="Q5045" s="53" t="n">
        <v>45812.622337963</v>
      </c>
      <c r="R5045" s="0" t="n">
        <v>0</v>
      </c>
      <c r="S5045" s="51" t="s">
        <v>2356</v>
      </c>
      <c r="T5045" s="51" t="s">
        <v>2356</v>
      </c>
      <c r="U5045" s="51" t="s">
        <v>4351</v>
      </c>
      <c r="V5045" s="51" t="s">
        <v>2365</v>
      </c>
      <c r="W5045" s="51" t="s">
        <v>4367</v>
      </c>
      <c r="X5045" s="51" t="s">
        <v>2359</v>
      </c>
    </row>
    <row r="5046" customFormat="false" ht="14.25" hidden="true" customHeight="false" outlineLevel="0" collapsed="false">
      <c r="A5046" s="49" t="s">
        <v>2349</v>
      </c>
      <c r="B5046" s="49" t="s">
        <v>2350</v>
      </c>
      <c r="C5046" s="49" t="s">
        <v>9218</v>
      </c>
      <c r="D5046" s="49" t="s">
        <v>2352</v>
      </c>
      <c r="E5046" s="49" t="s">
        <v>4351</v>
      </c>
      <c r="F5046" s="49" t="s">
        <v>4352</v>
      </c>
      <c r="G5046" s="49" t="n">
        <v>0</v>
      </c>
      <c r="H5046" s="0" t="n">
        <v>0</v>
      </c>
      <c r="M5046" s="51" t="s">
        <v>9204</v>
      </c>
      <c r="N5046" s="49" t="n">
        <v>0</v>
      </c>
      <c r="O5046" s="53" t="n">
        <v>45812.622662037</v>
      </c>
      <c r="P5046" s="53" t="n">
        <v>45820.4718865741</v>
      </c>
      <c r="Q5046" s="53" t="n">
        <v>45812.622662037</v>
      </c>
      <c r="R5046" s="0" t="n">
        <v>0</v>
      </c>
      <c r="S5046" s="51" t="s">
        <v>2356</v>
      </c>
      <c r="T5046" s="51" t="s">
        <v>2356</v>
      </c>
      <c r="U5046" s="51" t="s">
        <v>4351</v>
      </c>
      <c r="V5046" s="51" t="s">
        <v>2365</v>
      </c>
      <c r="W5046" s="51" t="s">
        <v>4604</v>
      </c>
      <c r="X5046" s="51" t="s">
        <v>2359</v>
      </c>
    </row>
    <row r="5047" customFormat="false" ht="14.25" hidden="true" customHeight="false" outlineLevel="0" collapsed="false">
      <c r="A5047" s="49" t="s">
        <v>2349</v>
      </c>
      <c r="B5047" s="49" t="s">
        <v>2350</v>
      </c>
      <c r="C5047" s="49" t="s">
        <v>9219</v>
      </c>
      <c r="D5047" s="49" t="s">
        <v>2352</v>
      </c>
      <c r="E5047" s="49" t="s">
        <v>4351</v>
      </c>
      <c r="F5047" s="49" t="s">
        <v>4352</v>
      </c>
      <c r="G5047" s="49" t="n">
        <v>0</v>
      </c>
      <c r="H5047" s="0" t="n">
        <v>0</v>
      </c>
      <c r="M5047" s="51" t="s">
        <v>9204</v>
      </c>
      <c r="N5047" s="49" t="n">
        <v>0</v>
      </c>
      <c r="O5047" s="53" t="n">
        <v>45812.6229282407</v>
      </c>
      <c r="P5047" s="53" t="n">
        <v>45820.4718402778</v>
      </c>
      <c r="Q5047" s="53" t="n">
        <v>45812.6229282407</v>
      </c>
      <c r="R5047" s="0" t="n">
        <v>0</v>
      </c>
      <c r="S5047" s="51" t="s">
        <v>2356</v>
      </c>
      <c r="T5047" s="51" t="s">
        <v>2356</v>
      </c>
      <c r="U5047" s="51" t="s">
        <v>4351</v>
      </c>
      <c r="V5047" s="51" t="s">
        <v>2365</v>
      </c>
      <c r="W5047" s="51" t="s">
        <v>4152</v>
      </c>
      <c r="X5047" s="51" t="s">
        <v>2359</v>
      </c>
    </row>
    <row r="5048" customFormat="false" ht="14.25" hidden="true" customHeight="false" outlineLevel="0" collapsed="false">
      <c r="A5048" s="49" t="s">
        <v>2349</v>
      </c>
      <c r="B5048" s="49" t="s">
        <v>2350</v>
      </c>
      <c r="C5048" s="49" t="s">
        <v>9220</v>
      </c>
      <c r="D5048" s="49" t="s">
        <v>2352</v>
      </c>
      <c r="E5048" s="49" t="s">
        <v>4351</v>
      </c>
      <c r="F5048" s="49" t="s">
        <v>4352</v>
      </c>
      <c r="G5048" s="49" t="n">
        <v>0</v>
      </c>
      <c r="H5048" s="0" t="n">
        <v>0</v>
      </c>
      <c r="M5048" s="51" t="s">
        <v>9204</v>
      </c>
      <c r="N5048" s="49" t="n">
        <v>0</v>
      </c>
      <c r="O5048" s="53" t="n">
        <v>45812.623287037</v>
      </c>
      <c r="P5048" s="53" t="n">
        <v>45819.5858101852</v>
      </c>
      <c r="Q5048" s="53" t="n">
        <v>45812.623287037</v>
      </c>
      <c r="R5048" s="0" t="n">
        <v>0</v>
      </c>
      <c r="S5048" s="51" t="s">
        <v>2356</v>
      </c>
      <c r="T5048" s="51" t="s">
        <v>2356</v>
      </c>
      <c r="U5048" s="51" t="s">
        <v>4351</v>
      </c>
      <c r="V5048" s="51" t="s">
        <v>2365</v>
      </c>
      <c r="W5048" s="51" t="s">
        <v>4594</v>
      </c>
      <c r="X5048" s="51" t="s">
        <v>2359</v>
      </c>
    </row>
    <row r="5049" customFormat="false" ht="14.25" hidden="true" customHeight="false" outlineLevel="0" collapsed="false">
      <c r="A5049" s="49" t="s">
        <v>2349</v>
      </c>
      <c r="B5049" s="49" t="s">
        <v>2350</v>
      </c>
      <c r="C5049" s="49" t="s">
        <v>9221</v>
      </c>
      <c r="D5049" s="49" t="s">
        <v>2352</v>
      </c>
      <c r="E5049" s="49" t="s">
        <v>4351</v>
      </c>
      <c r="F5049" s="49" t="s">
        <v>4352</v>
      </c>
      <c r="G5049" s="49" t="n">
        <v>0</v>
      </c>
      <c r="H5049" s="0" t="n">
        <v>0</v>
      </c>
      <c r="M5049" s="51" t="s">
        <v>9204</v>
      </c>
      <c r="N5049" s="49" t="n">
        <v>0</v>
      </c>
      <c r="O5049" s="53" t="n">
        <v>45812.6238773148</v>
      </c>
      <c r="P5049" s="53" t="n">
        <v>45820.5793865741</v>
      </c>
      <c r="Q5049" s="53" t="n">
        <v>45812.6238773148</v>
      </c>
      <c r="R5049" s="0" t="n">
        <v>0</v>
      </c>
      <c r="S5049" s="51" t="s">
        <v>2356</v>
      </c>
      <c r="T5049" s="51" t="s">
        <v>2356</v>
      </c>
      <c r="U5049" s="51" t="s">
        <v>4351</v>
      </c>
      <c r="V5049" s="51" t="s">
        <v>2365</v>
      </c>
      <c r="W5049" s="51" t="s">
        <v>4598</v>
      </c>
      <c r="X5049" s="51" t="s">
        <v>2359</v>
      </c>
    </row>
    <row r="5050" customFormat="false" ht="14.25" hidden="true" customHeight="false" outlineLevel="0" collapsed="false">
      <c r="A5050" s="49" t="s">
        <v>2349</v>
      </c>
      <c r="B5050" s="49" t="s">
        <v>2350</v>
      </c>
      <c r="C5050" s="49" t="s">
        <v>9222</v>
      </c>
      <c r="D5050" s="49" t="s">
        <v>2352</v>
      </c>
      <c r="E5050" s="49" t="s">
        <v>4351</v>
      </c>
      <c r="F5050" s="49" t="s">
        <v>4352</v>
      </c>
      <c r="G5050" s="49" t="n">
        <v>0</v>
      </c>
      <c r="H5050" s="0" t="n">
        <v>0</v>
      </c>
      <c r="M5050" s="51" t="s">
        <v>9204</v>
      </c>
      <c r="N5050" s="49" t="n">
        <v>0</v>
      </c>
      <c r="O5050" s="53" t="n">
        <v>45812.6240856481</v>
      </c>
      <c r="P5050" s="53" t="n">
        <v>45820.5788773148</v>
      </c>
      <c r="Q5050" s="53" t="n">
        <v>45812.6240856481</v>
      </c>
      <c r="R5050" s="0" t="n">
        <v>0</v>
      </c>
      <c r="S5050" s="51" t="s">
        <v>2356</v>
      </c>
      <c r="T5050" s="51" t="s">
        <v>2356</v>
      </c>
      <c r="U5050" s="51" t="s">
        <v>4351</v>
      </c>
      <c r="V5050" s="51" t="s">
        <v>2365</v>
      </c>
      <c r="W5050" s="51" t="s">
        <v>4144</v>
      </c>
      <c r="X5050" s="51" t="s">
        <v>2359</v>
      </c>
    </row>
    <row r="5051" customFormat="false" ht="14.25" hidden="true" customHeight="false" outlineLevel="0" collapsed="false">
      <c r="A5051" s="49" t="s">
        <v>2349</v>
      </c>
      <c r="B5051" s="49" t="s">
        <v>2350</v>
      </c>
      <c r="C5051" s="49" t="s">
        <v>9223</v>
      </c>
      <c r="D5051" s="49" t="s">
        <v>2352</v>
      </c>
      <c r="E5051" s="49" t="s">
        <v>4351</v>
      </c>
      <c r="F5051" s="49" t="s">
        <v>4352</v>
      </c>
      <c r="G5051" s="49" t="n">
        <v>0</v>
      </c>
      <c r="H5051" s="0" t="n">
        <v>0</v>
      </c>
      <c r="M5051" s="51" t="s">
        <v>9204</v>
      </c>
      <c r="N5051" s="49" t="n">
        <v>0</v>
      </c>
      <c r="O5051" s="53" t="n">
        <v>45812.6243171296</v>
      </c>
      <c r="P5051" s="53" t="n">
        <v>45819.5856828704</v>
      </c>
      <c r="Q5051" s="53" t="n">
        <v>45812.6243171296</v>
      </c>
      <c r="R5051" s="0" t="n">
        <v>0</v>
      </c>
      <c r="S5051" s="51" t="s">
        <v>2356</v>
      </c>
      <c r="T5051" s="51" t="s">
        <v>2356</v>
      </c>
      <c r="U5051" s="51" t="s">
        <v>4351</v>
      </c>
      <c r="V5051" s="51" t="s">
        <v>2365</v>
      </c>
      <c r="W5051" s="51" t="s">
        <v>4607</v>
      </c>
      <c r="X5051" s="51" t="s">
        <v>2359</v>
      </c>
    </row>
    <row r="5052" customFormat="false" ht="14.25" hidden="true" customHeight="false" outlineLevel="0" collapsed="false">
      <c r="A5052" s="49" t="s">
        <v>2349</v>
      </c>
      <c r="B5052" s="49" t="s">
        <v>2350</v>
      </c>
      <c r="C5052" s="49" t="s">
        <v>9224</v>
      </c>
      <c r="D5052" s="49" t="s">
        <v>2352</v>
      </c>
      <c r="E5052" s="49" t="s">
        <v>4351</v>
      </c>
      <c r="F5052" s="49" t="s">
        <v>4352</v>
      </c>
      <c r="G5052" s="49" t="n">
        <v>0</v>
      </c>
      <c r="H5052" s="0" t="n">
        <v>0</v>
      </c>
      <c r="M5052" s="51" t="s">
        <v>9204</v>
      </c>
      <c r="N5052" s="49" t="n">
        <v>0</v>
      </c>
      <c r="O5052" s="53" t="n">
        <v>45812.6246180556</v>
      </c>
      <c r="P5052" s="53" t="n">
        <v>45819.5857407407</v>
      </c>
      <c r="Q5052" s="53" t="n">
        <v>45812.6246180556</v>
      </c>
      <c r="R5052" s="0" t="n">
        <v>0</v>
      </c>
      <c r="S5052" s="51" t="s">
        <v>2356</v>
      </c>
      <c r="T5052" s="51" t="s">
        <v>2356</v>
      </c>
      <c r="U5052" s="51" t="s">
        <v>4351</v>
      </c>
      <c r="V5052" s="51" t="s">
        <v>2365</v>
      </c>
      <c r="W5052" s="51" t="s">
        <v>4171</v>
      </c>
      <c r="X5052" s="51" t="s">
        <v>2359</v>
      </c>
    </row>
    <row r="5053" customFormat="false" ht="14.25" hidden="true" customHeight="false" outlineLevel="0" collapsed="false">
      <c r="A5053" s="49" t="s">
        <v>2349</v>
      </c>
      <c r="B5053" s="49" t="s">
        <v>2350</v>
      </c>
      <c r="C5053" s="49" t="s">
        <v>9225</v>
      </c>
      <c r="D5053" s="49" t="s">
        <v>2352</v>
      </c>
      <c r="E5053" s="49" t="str">
        <f aca="false">"12207690"</f>
        <v>12207690</v>
      </c>
      <c r="F5053" s="49" t="s">
        <v>4199</v>
      </c>
      <c r="G5053" s="49" t="n">
        <v>0</v>
      </c>
      <c r="H5053" s="0" t="n">
        <v>0</v>
      </c>
      <c r="M5053" s="51" t="s">
        <v>9226</v>
      </c>
      <c r="N5053" s="49" t="n">
        <v>0</v>
      </c>
      <c r="O5053" s="53" t="n">
        <v>45805.6238888889</v>
      </c>
      <c r="P5053" s="53" t="n">
        <v>45808.4221759259</v>
      </c>
      <c r="Q5053" s="53" t="n">
        <v>45805.6238888889</v>
      </c>
      <c r="R5053" s="0" t="n">
        <v>0</v>
      </c>
      <c r="S5053" s="51" t="s">
        <v>2416</v>
      </c>
      <c r="T5053" s="51" t="s">
        <v>2416</v>
      </c>
      <c r="U5053" s="0" t="str">
        <f aca="false">"12207690"</f>
        <v>12207690</v>
      </c>
      <c r="V5053" s="51" t="s">
        <v>2365</v>
      </c>
      <c r="W5053" s="51" t="s">
        <v>7459</v>
      </c>
      <c r="X5053" s="51" t="s">
        <v>2359</v>
      </c>
    </row>
    <row r="5054" customFormat="false" ht="14.25" hidden="true" customHeight="false" outlineLevel="0" collapsed="false">
      <c r="A5054" s="49" t="s">
        <v>2349</v>
      </c>
      <c r="B5054" s="49" t="s">
        <v>2350</v>
      </c>
      <c r="C5054" s="49" t="s">
        <v>9227</v>
      </c>
      <c r="D5054" s="49" t="s">
        <v>2352</v>
      </c>
      <c r="E5054" s="49" t="str">
        <f aca="false">"12207690"</f>
        <v>12207690</v>
      </c>
      <c r="F5054" s="49" t="s">
        <v>4199</v>
      </c>
      <c r="G5054" s="49" t="n">
        <v>0</v>
      </c>
      <c r="H5054" s="0" t="n">
        <v>0</v>
      </c>
      <c r="M5054" s="51" t="s">
        <v>9226</v>
      </c>
      <c r="N5054" s="49" t="n">
        <v>0</v>
      </c>
      <c r="O5054" s="53" t="n">
        <v>45805.6237152778</v>
      </c>
      <c r="P5054" s="53" t="n">
        <v>45808.4262615741</v>
      </c>
      <c r="Q5054" s="53" t="n">
        <v>45805.6237152778</v>
      </c>
      <c r="R5054" s="0" t="n">
        <v>0</v>
      </c>
      <c r="S5054" s="51" t="s">
        <v>2416</v>
      </c>
      <c r="T5054" s="51" t="s">
        <v>2416</v>
      </c>
      <c r="U5054" s="0" t="str">
        <f aca="false">"12207690"</f>
        <v>12207690</v>
      </c>
      <c r="V5054" s="51" t="s">
        <v>2365</v>
      </c>
      <c r="W5054" s="51" t="s">
        <v>9228</v>
      </c>
      <c r="X5054" s="51" t="s">
        <v>2359</v>
      </c>
    </row>
    <row r="5055" customFormat="false" ht="14.25" hidden="true" customHeight="false" outlineLevel="0" collapsed="false">
      <c r="A5055" s="49" t="s">
        <v>2349</v>
      </c>
      <c r="B5055" s="49" t="s">
        <v>2350</v>
      </c>
      <c r="C5055" s="49" t="s">
        <v>9229</v>
      </c>
      <c r="D5055" s="49" t="s">
        <v>2352</v>
      </c>
      <c r="E5055" s="49" t="str">
        <f aca="false">"12207690"</f>
        <v>12207690</v>
      </c>
      <c r="F5055" s="49" t="s">
        <v>4199</v>
      </c>
      <c r="G5055" s="49" t="n">
        <v>0</v>
      </c>
      <c r="H5055" s="0" t="n">
        <v>0</v>
      </c>
      <c r="M5055" s="51" t="s">
        <v>9226</v>
      </c>
      <c r="N5055" s="49" t="n">
        <v>0</v>
      </c>
      <c r="O5055" s="53" t="n">
        <v>45805.6234143519</v>
      </c>
      <c r="P5055" s="53" t="n">
        <v>45808.4220023148</v>
      </c>
      <c r="Q5055" s="53" t="n">
        <v>45805.6234143519</v>
      </c>
      <c r="R5055" s="0" t="n">
        <v>0</v>
      </c>
      <c r="S5055" s="51" t="s">
        <v>2416</v>
      </c>
      <c r="T5055" s="51" t="s">
        <v>2416</v>
      </c>
      <c r="U5055" s="0" t="str">
        <f aca="false">"12207690"</f>
        <v>12207690</v>
      </c>
      <c r="V5055" s="51" t="s">
        <v>2365</v>
      </c>
      <c r="W5055" s="51" t="s">
        <v>4501</v>
      </c>
      <c r="X5055" s="51" t="s">
        <v>2359</v>
      </c>
    </row>
    <row r="5056" customFormat="false" ht="14.25" hidden="true" customHeight="false" outlineLevel="0" collapsed="false">
      <c r="A5056" s="49" t="s">
        <v>2349</v>
      </c>
      <c r="B5056" s="49" t="s">
        <v>2350</v>
      </c>
      <c r="C5056" s="49" t="s">
        <v>9230</v>
      </c>
      <c r="D5056" s="49" t="s">
        <v>2352</v>
      </c>
      <c r="E5056" s="49" t="str">
        <f aca="false">"12207690"</f>
        <v>12207690</v>
      </c>
      <c r="F5056" s="49" t="s">
        <v>4199</v>
      </c>
      <c r="G5056" s="49" t="n">
        <v>0</v>
      </c>
      <c r="H5056" s="0" t="n">
        <v>0</v>
      </c>
      <c r="M5056" s="51" t="s">
        <v>9226</v>
      </c>
      <c r="N5056" s="49" t="n">
        <v>0</v>
      </c>
      <c r="O5056" s="53" t="n">
        <v>45805.622974537</v>
      </c>
      <c r="P5056" s="53" t="n">
        <v>45808.4239236111</v>
      </c>
      <c r="Q5056" s="53" t="n">
        <v>45805.622974537</v>
      </c>
      <c r="R5056" s="0" t="n">
        <v>0</v>
      </c>
      <c r="S5056" s="51" t="s">
        <v>2416</v>
      </c>
      <c r="T5056" s="51" t="s">
        <v>2416</v>
      </c>
      <c r="U5056" s="0" t="str">
        <f aca="false">"12207690"</f>
        <v>12207690</v>
      </c>
      <c r="V5056" s="51" t="s">
        <v>2365</v>
      </c>
      <c r="W5056" s="51" t="s">
        <v>4763</v>
      </c>
      <c r="X5056" s="51" t="s">
        <v>2359</v>
      </c>
    </row>
    <row r="5057" customFormat="false" ht="14.25" hidden="true" customHeight="false" outlineLevel="0" collapsed="false">
      <c r="A5057" s="49" t="s">
        <v>2349</v>
      </c>
      <c r="B5057" s="49" t="s">
        <v>2350</v>
      </c>
      <c r="C5057" s="49" t="s">
        <v>9231</v>
      </c>
      <c r="D5057" s="49" t="s">
        <v>2352</v>
      </c>
      <c r="E5057" s="49" t="str">
        <f aca="false">"12207690"</f>
        <v>12207690</v>
      </c>
      <c r="F5057" s="49" t="s">
        <v>4199</v>
      </c>
      <c r="G5057" s="49" t="n">
        <v>0</v>
      </c>
      <c r="H5057" s="0" t="n">
        <v>0</v>
      </c>
      <c r="M5057" s="51" t="s">
        <v>9226</v>
      </c>
      <c r="N5057" s="49" t="n">
        <v>0</v>
      </c>
      <c r="O5057" s="53" t="n">
        <v>45805.6231944444</v>
      </c>
      <c r="P5057" s="53" t="n">
        <v>45808.4257407407</v>
      </c>
      <c r="Q5057" s="53" t="n">
        <v>45805.6231944444</v>
      </c>
      <c r="R5057" s="0" t="n">
        <v>0</v>
      </c>
      <c r="S5057" s="51" t="s">
        <v>2416</v>
      </c>
      <c r="T5057" s="51" t="s">
        <v>2416</v>
      </c>
      <c r="U5057" s="0" t="str">
        <f aca="false">"12207690"</f>
        <v>12207690</v>
      </c>
      <c r="V5057" s="51" t="s">
        <v>2365</v>
      </c>
      <c r="W5057" s="51" t="s">
        <v>4849</v>
      </c>
      <c r="X5057" s="51" t="s">
        <v>2359</v>
      </c>
    </row>
    <row r="5058" customFormat="false" ht="14.25" hidden="true" customHeight="false" outlineLevel="0" collapsed="false">
      <c r="A5058" s="49" t="s">
        <v>2349</v>
      </c>
      <c r="B5058" s="49" t="s">
        <v>2350</v>
      </c>
      <c r="C5058" s="49" t="s">
        <v>9232</v>
      </c>
      <c r="D5058" s="49" t="s">
        <v>2352</v>
      </c>
      <c r="E5058" s="49" t="str">
        <f aca="false">"12207690"</f>
        <v>12207690</v>
      </c>
      <c r="F5058" s="49" t="s">
        <v>4199</v>
      </c>
      <c r="G5058" s="49" t="n">
        <v>0</v>
      </c>
      <c r="H5058" s="0" t="n">
        <v>0</v>
      </c>
      <c r="M5058" s="51" t="s">
        <v>9226</v>
      </c>
      <c r="N5058" s="49" t="n">
        <v>0</v>
      </c>
      <c r="O5058" s="53" t="n">
        <v>45805.6228240741</v>
      </c>
      <c r="P5058" s="53" t="n">
        <v>45808.4237847222</v>
      </c>
      <c r="Q5058" s="53" t="n">
        <v>45805.6228240741</v>
      </c>
      <c r="R5058" s="0" t="n">
        <v>0</v>
      </c>
      <c r="S5058" s="51" t="s">
        <v>2416</v>
      </c>
      <c r="T5058" s="51" t="s">
        <v>2416</v>
      </c>
      <c r="U5058" s="0" t="str">
        <f aca="false">"12207690"</f>
        <v>12207690</v>
      </c>
      <c r="V5058" s="51" t="s">
        <v>2365</v>
      </c>
      <c r="W5058" s="51" t="s">
        <v>4016</v>
      </c>
      <c r="X5058" s="51" t="s">
        <v>2359</v>
      </c>
    </row>
    <row r="5059" customFormat="false" ht="14.25" hidden="true" customHeight="false" outlineLevel="0" collapsed="false">
      <c r="A5059" s="49" t="s">
        <v>2349</v>
      </c>
      <c r="B5059" s="49" t="s">
        <v>2350</v>
      </c>
      <c r="C5059" s="49" t="s">
        <v>9233</v>
      </c>
      <c r="D5059" s="49" t="s">
        <v>2352</v>
      </c>
      <c r="E5059" s="49" t="str">
        <f aca="false">"10859585004074"</f>
        <v>10859585004074</v>
      </c>
      <c r="F5059" s="49" t="s">
        <v>7737</v>
      </c>
      <c r="G5059" s="49" t="n">
        <v>0</v>
      </c>
      <c r="H5059" s="0" t="n">
        <v>0</v>
      </c>
      <c r="M5059" s="51" t="s">
        <v>9234</v>
      </c>
      <c r="N5059" s="49" t="n">
        <v>0</v>
      </c>
      <c r="O5059" s="53" t="n">
        <v>45819.6884490741</v>
      </c>
      <c r="P5059" s="53" t="n">
        <v>45859.9057986111</v>
      </c>
      <c r="Q5059" s="53" t="n">
        <v>45819.6884490741</v>
      </c>
      <c r="R5059" s="0" t="n">
        <v>0</v>
      </c>
      <c r="S5059" s="51" t="s">
        <v>2380</v>
      </c>
      <c r="T5059" s="51" t="s">
        <v>2380</v>
      </c>
      <c r="U5059" s="0" t="str">
        <f aca="false">"10859585004074"</f>
        <v>10859585004074</v>
      </c>
      <c r="V5059" s="51" t="s">
        <v>7596</v>
      </c>
      <c r="W5059" s="51" t="s">
        <v>7531</v>
      </c>
      <c r="X5059" s="51" t="s">
        <v>2359</v>
      </c>
    </row>
    <row r="5060" customFormat="false" ht="14.25" hidden="true" customHeight="false" outlineLevel="0" collapsed="false">
      <c r="A5060" s="49" t="s">
        <v>2349</v>
      </c>
      <c r="B5060" s="49" t="s">
        <v>2350</v>
      </c>
      <c r="C5060" s="49" t="s">
        <v>9235</v>
      </c>
      <c r="D5060" s="49" t="s">
        <v>2352</v>
      </c>
      <c r="E5060" s="49" t="str">
        <f aca="false">"10859585004074"</f>
        <v>10859585004074</v>
      </c>
      <c r="F5060" s="49" t="s">
        <v>7737</v>
      </c>
      <c r="G5060" s="49" t="n">
        <v>0</v>
      </c>
      <c r="H5060" s="0" t="n">
        <v>0</v>
      </c>
      <c r="M5060" s="51" t="s">
        <v>9234</v>
      </c>
      <c r="N5060" s="49" t="n">
        <v>0</v>
      </c>
      <c r="O5060" s="53" t="n">
        <v>45819.6899768519</v>
      </c>
      <c r="P5060" s="53" t="n">
        <v>45895.4803356482</v>
      </c>
      <c r="Q5060" s="53" t="n">
        <v>45819.6899768519</v>
      </c>
      <c r="R5060" s="0" t="n">
        <v>0</v>
      </c>
      <c r="S5060" s="51" t="s">
        <v>2380</v>
      </c>
      <c r="T5060" s="51" t="s">
        <v>2380</v>
      </c>
      <c r="U5060" s="0" t="str">
        <f aca="false">"10859585004074"</f>
        <v>10859585004074</v>
      </c>
      <c r="V5060" s="51" t="s">
        <v>7596</v>
      </c>
      <c r="W5060" s="51" t="s">
        <v>7936</v>
      </c>
      <c r="X5060" s="51" t="s">
        <v>2359</v>
      </c>
    </row>
    <row r="5061" customFormat="false" ht="14.25" hidden="true" customHeight="false" outlineLevel="0" collapsed="false">
      <c r="A5061" s="49" t="s">
        <v>2349</v>
      </c>
      <c r="B5061" s="49" t="s">
        <v>2350</v>
      </c>
      <c r="C5061" s="49" t="s">
        <v>9236</v>
      </c>
      <c r="D5061" s="49" t="s">
        <v>2352</v>
      </c>
      <c r="E5061" s="49" t="str">
        <f aca="false">"10859585004074"</f>
        <v>10859585004074</v>
      </c>
      <c r="F5061" s="49" t="s">
        <v>7737</v>
      </c>
      <c r="G5061" s="49" t="n">
        <v>0</v>
      </c>
      <c r="H5061" s="0" t="n">
        <v>0</v>
      </c>
      <c r="M5061" s="51" t="s">
        <v>9234</v>
      </c>
      <c r="N5061" s="49" t="n">
        <v>0</v>
      </c>
      <c r="O5061" s="53" t="n">
        <v>45819.6903587963</v>
      </c>
      <c r="P5061" s="53" t="n">
        <v>45895.4806597222</v>
      </c>
      <c r="Q5061" s="53" t="n">
        <v>45819.6903587963</v>
      </c>
      <c r="R5061" s="0" t="n">
        <v>0</v>
      </c>
      <c r="S5061" s="51" t="s">
        <v>2380</v>
      </c>
      <c r="T5061" s="51" t="s">
        <v>2380</v>
      </c>
      <c r="U5061" s="0" t="str">
        <f aca="false">"10859585004074"</f>
        <v>10859585004074</v>
      </c>
      <c r="V5061" s="51" t="s">
        <v>7596</v>
      </c>
      <c r="W5061" s="51" t="s">
        <v>6661</v>
      </c>
      <c r="X5061" s="51" t="s">
        <v>2359</v>
      </c>
    </row>
    <row r="5062" customFormat="false" ht="14.25" hidden="true" customHeight="false" outlineLevel="0" collapsed="false">
      <c r="A5062" s="49" t="s">
        <v>2349</v>
      </c>
      <c r="B5062" s="49" t="s">
        <v>2350</v>
      </c>
      <c r="C5062" s="49" t="s">
        <v>9237</v>
      </c>
      <c r="D5062" s="49" t="s">
        <v>2352</v>
      </c>
      <c r="E5062" s="49" t="str">
        <f aca="false">"10859585004074"</f>
        <v>10859585004074</v>
      </c>
      <c r="F5062" s="49" t="s">
        <v>7737</v>
      </c>
      <c r="G5062" s="49" t="n">
        <v>0</v>
      </c>
      <c r="H5062" s="0" t="n">
        <v>0</v>
      </c>
      <c r="M5062" s="51" t="s">
        <v>9234</v>
      </c>
      <c r="N5062" s="49" t="n">
        <v>0</v>
      </c>
      <c r="O5062" s="53" t="n">
        <v>45819.691412037</v>
      </c>
      <c r="P5062" s="53" t="n">
        <v>45895.4800462963</v>
      </c>
      <c r="Q5062" s="53" t="n">
        <v>45819.691412037</v>
      </c>
      <c r="R5062" s="0" t="n">
        <v>0</v>
      </c>
      <c r="S5062" s="51" t="s">
        <v>2380</v>
      </c>
      <c r="T5062" s="51" t="s">
        <v>2380</v>
      </c>
      <c r="U5062" s="0" t="str">
        <f aca="false">"10859585004074"</f>
        <v>10859585004074</v>
      </c>
      <c r="V5062" s="51" t="s">
        <v>7596</v>
      </c>
      <c r="W5062" s="51" t="s">
        <v>7934</v>
      </c>
      <c r="X5062" s="51" t="s">
        <v>2359</v>
      </c>
    </row>
    <row r="5063" customFormat="false" ht="14.25" hidden="true" customHeight="false" outlineLevel="0" collapsed="false">
      <c r="A5063" s="49" t="s">
        <v>2349</v>
      </c>
      <c r="B5063" s="49" t="s">
        <v>2350</v>
      </c>
      <c r="C5063" s="49" t="s">
        <v>9238</v>
      </c>
      <c r="D5063" s="49" t="s">
        <v>2352</v>
      </c>
      <c r="E5063" s="49" t="str">
        <f aca="false">"10859585004074"</f>
        <v>10859585004074</v>
      </c>
      <c r="F5063" s="49" t="s">
        <v>7737</v>
      </c>
      <c r="G5063" s="49" t="n">
        <v>0</v>
      </c>
      <c r="H5063" s="0" t="n">
        <v>0</v>
      </c>
      <c r="M5063" s="51" t="s">
        <v>9234</v>
      </c>
      <c r="N5063" s="49" t="n">
        <v>0</v>
      </c>
      <c r="O5063" s="53" t="n">
        <v>45819.6916550926</v>
      </c>
      <c r="P5063" s="53" t="n">
        <v>45895.4801851852</v>
      </c>
      <c r="Q5063" s="53" t="n">
        <v>45819.6916550926</v>
      </c>
      <c r="R5063" s="0" t="n">
        <v>0</v>
      </c>
      <c r="S5063" s="51" t="s">
        <v>2380</v>
      </c>
      <c r="T5063" s="51" t="s">
        <v>2380</v>
      </c>
      <c r="U5063" s="0" t="str">
        <f aca="false">"10859585004074"</f>
        <v>10859585004074</v>
      </c>
      <c r="V5063" s="51" t="s">
        <v>7596</v>
      </c>
      <c r="W5063" s="51" t="s">
        <v>7516</v>
      </c>
      <c r="X5063" s="51" t="s">
        <v>2359</v>
      </c>
    </row>
    <row r="5064" customFormat="false" ht="14.25" hidden="true" customHeight="false" outlineLevel="0" collapsed="false">
      <c r="A5064" s="49" t="s">
        <v>2349</v>
      </c>
      <c r="B5064" s="49" t="s">
        <v>2350</v>
      </c>
      <c r="C5064" s="49" t="s">
        <v>9239</v>
      </c>
      <c r="D5064" s="49" t="s">
        <v>2352</v>
      </c>
      <c r="E5064" s="49" t="str">
        <f aca="false">"10859585004074"</f>
        <v>10859585004074</v>
      </c>
      <c r="F5064" s="49" t="s">
        <v>7737</v>
      </c>
      <c r="G5064" s="49" t="n">
        <v>0</v>
      </c>
      <c r="H5064" s="0" t="n">
        <v>0</v>
      </c>
      <c r="M5064" s="51" t="s">
        <v>9234</v>
      </c>
      <c r="N5064" s="49" t="n">
        <v>0</v>
      </c>
      <c r="O5064" s="53" t="n">
        <v>45819.691875</v>
      </c>
      <c r="P5064" s="53" t="n">
        <v>45859.9186689815</v>
      </c>
      <c r="Q5064" s="53" t="n">
        <v>45819.691875</v>
      </c>
      <c r="R5064" s="0" t="n">
        <v>0</v>
      </c>
      <c r="S5064" s="51" t="s">
        <v>2380</v>
      </c>
      <c r="T5064" s="51" t="s">
        <v>2380</v>
      </c>
      <c r="U5064" s="0" t="str">
        <f aca="false">"10859585004074"</f>
        <v>10859585004074</v>
      </c>
      <c r="V5064" s="51" t="s">
        <v>7596</v>
      </c>
      <c r="W5064" s="51" t="s">
        <v>6267</v>
      </c>
      <c r="X5064" s="51" t="s">
        <v>2359</v>
      </c>
    </row>
    <row r="5065" customFormat="false" ht="14.25" hidden="true" customHeight="false" outlineLevel="0" collapsed="false">
      <c r="A5065" s="49" t="s">
        <v>2349</v>
      </c>
      <c r="B5065" s="49" t="s">
        <v>2350</v>
      </c>
      <c r="C5065" s="49" t="s">
        <v>9240</v>
      </c>
      <c r="D5065" s="49" t="s">
        <v>2352</v>
      </c>
      <c r="E5065" s="49" t="str">
        <f aca="false">"10859585004074"</f>
        <v>10859585004074</v>
      </c>
      <c r="F5065" s="49" t="s">
        <v>7737</v>
      </c>
      <c r="G5065" s="49" t="n">
        <v>0</v>
      </c>
      <c r="H5065" s="0" t="n">
        <v>0</v>
      </c>
      <c r="M5065" s="51" t="s">
        <v>9234</v>
      </c>
      <c r="N5065" s="49" t="n">
        <v>0</v>
      </c>
      <c r="O5065" s="53" t="n">
        <v>45819.6920486111</v>
      </c>
      <c r="P5065" s="53" t="n">
        <v>45895.4798842593</v>
      </c>
      <c r="Q5065" s="53" t="n">
        <v>45819.6920486111</v>
      </c>
      <c r="R5065" s="0" t="n">
        <v>0</v>
      </c>
      <c r="S5065" s="51" t="s">
        <v>2380</v>
      </c>
      <c r="T5065" s="51" t="s">
        <v>2380</v>
      </c>
      <c r="U5065" s="0" t="str">
        <f aca="false">"10859585004074"</f>
        <v>10859585004074</v>
      </c>
      <c r="V5065" s="51" t="s">
        <v>7596</v>
      </c>
      <c r="W5065" s="51" t="s">
        <v>6181</v>
      </c>
      <c r="X5065" s="51" t="s">
        <v>2359</v>
      </c>
    </row>
    <row r="5066" customFormat="false" ht="14.25" hidden="true" customHeight="false" outlineLevel="0" collapsed="false">
      <c r="A5066" s="49" t="s">
        <v>2349</v>
      </c>
      <c r="B5066" s="49" t="s">
        <v>2350</v>
      </c>
      <c r="C5066" s="49" t="s">
        <v>9241</v>
      </c>
      <c r="D5066" s="49" t="s">
        <v>2352</v>
      </c>
      <c r="E5066" s="49" t="str">
        <f aca="false">"10859585004074"</f>
        <v>10859585004074</v>
      </c>
      <c r="F5066" s="49" t="s">
        <v>7737</v>
      </c>
      <c r="G5066" s="49" t="n">
        <v>0</v>
      </c>
      <c r="H5066" s="0" t="n">
        <v>0</v>
      </c>
      <c r="M5066" s="51" t="s">
        <v>9234</v>
      </c>
      <c r="N5066" s="49" t="n">
        <v>0</v>
      </c>
      <c r="O5066" s="53" t="n">
        <v>45819.6922106482</v>
      </c>
      <c r="P5066" s="53" t="n">
        <v>45895.4809606482</v>
      </c>
      <c r="Q5066" s="53" t="n">
        <v>45819.6922106482</v>
      </c>
      <c r="R5066" s="0" t="n">
        <v>0</v>
      </c>
      <c r="S5066" s="51" t="s">
        <v>2380</v>
      </c>
      <c r="T5066" s="51" t="s">
        <v>2380</v>
      </c>
      <c r="U5066" s="0" t="str">
        <f aca="false">"10859585004074"</f>
        <v>10859585004074</v>
      </c>
      <c r="V5066" s="51" t="s">
        <v>7596</v>
      </c>
      <c r="W5066" s="51" t="s">
        <v>6246</v>
      </c>
      <c r="X5066" s="51" t="s">
        <v>2359</v>
      </c>
    </row>
    <row r="5067" customFormat="false" ht="14.25" hidden="true" customHeight="false" outlineLevel="0" collapsed="false">
      <c r="A5067" s="49" t="s">
        <v>2349</v>
      </c>
      <c r="B5067" s="49" t="s">
        <v>2350</v>
      </c>
      <c r="C5067" s="49" t="s">
        <v>9242</v>
      </c>
      <c r="D5067" s="49" t="s">
        <v>2352</v>
      </c>
      <c r="E5067" s="49" t="str">
        <f aca="false">"10859585004074"</f>
        <v>10859585004074</v>
      </c>
      <c r="F5067" s="49" t="s">
        <v>7737</v>
      </c>
      <c r="G5067" s="49" t="n">
        <v>0</v>
      </c>
      <c r="H5067" s="0" t="n">
        <v>0</v>
      </c>
      <c r="M5067" s="51" t="s">
        <v>9234</v>
      </c>
      <c r="N5067" s="49" t="n">
        <v>0</v>
      </c>
      <c r="O5067" s="53" t="n">
        <v>45819.6923263889</v>
      </c>
      <c r="P5067" s="53" t="n">
        <v>45895.486087963</v>
      </c>
      <c r="Q5067" s="53" t="n">
        <v>45819.6923263889</v>
      </c>
      <c r="R5067" s="0" t="n">
        <v>0</v>
      </c>
      <c r="S5067" s="51" t="s">
        <v>2380</v>
      </c>
      <c r="T5067" s="51" t="s">
        <v>2380</v>
      </c>
      <c r="U5067" s="0" t="str">
        <f aca="false">"10859585004074"</f>
        <v>10859585004074</v>
      </c>
      <c r="V5067" s="51" t="s">
        <v>7596</v>
      </c>
      <c r="W5067" s="51" t="s">
        <v>7925</v>
      </c>
      <c r="X5067" s="51" t="s">
        <v>2359</v>
      </c>
    </row>
    <row r="5068" customFormat="false" ht="14.25" hidden="true" customHeight="false" outlineLevel="0" collapsed="false">
      <c r="A5068" s="49" t="s">
        <v>2349</v>
      </c>
      <c r="B5068" s="49" t="s">
        <v>2350</v>
      </c>
      <c r="C5068" s="49" t="s">
        <v>9243</v>
      </c>
      <c r="D5068" s="49" t="s">
        <v>2352</v>
      </c>
      <c r="E5068" s="49" t="str">
        <f aca="false">"10859585004074"</f>
        <v>10859585004074</v>
      </c>
      <c r="F5068" s="49" t="s">
        <v>7737</v>
      </c>
      <c r="G5068" s="49" t="n">
        <v>0</v>
      </c>
      <c r="H5068" s="0" t="n">
        <v>0</v>
      </c>
      <c r="M5068" s="51" t="s">
        <v>9234</v>
      </c>
      <c r="N5068" s="49" t="n">
        <v>0</v>
      </c>
      <c r="O5068" s="53" t="n">
        <v>45819.6925</v>
      </c>
      <c r="P5068" s="53" t="n">
        <v>45895.4859490741</v>
      </c>
      <c r="Q5068" s="53" t="n">
        <v>45819.6925</v>
      </c>
      <c r="R5068" s="0" t="n">
        <v>0</v>
      </c>
      <c r="S5068" s="51" t="s">
        <v>2380</v>
      </c>
      <c r="T5068" s="51" t="s">
        <v>2380</v>
      </c>
      <c r="U5068" s="0" t="str">
        <f aca="false">"10859585004074"</f>
        <v>10859585004074</v>
      </c>
      <c r="V5068" s="51" t="s">
        <v>7596</v>
      </c>
      <c r="W5068" s="51" t="s">
        <v>6428</v>
      </c>
      <c r="X5068" s="51" t="s">
        <v>2359</v>
      </c>
    </row>
    <row r="5069" customFormat="false" ht="14.25" hidden="true" customHeight="false" outlineLevel="0" collapsed="false">
      <c r="A5069" s="49" t="s">
        <v>2349</v>
      </c>
      <c r="B5069" s="49" t="s">
        <v>2350</v>
      </c>
      <c r="C5069" s="49" t="s">
        <v>9244</v>
      </c>
      <c r="D5069" s="49" t="s">
        <v>2352</v>
      </c>
      <c r="E5069" s="49" t="str">
        <f aca="false">"10859585004074"</f>
        <v>10859585004074</v>
      </c>
      <c r="F5069" s="49" t="s">
        <v>7737</v>
      </c>
      <c r="G5069" s="49" t="n">
        <v>0</v>
      </c>
      <c r="H5069" s="0" t="n">
        <v>0</v>
      </c>
      <c r="M5069" s="51" t="s">
        <v>9234</v>
      </c>
      <c r="N5069" s="49" t="n">
        <v>0</v>
      </c>
      <c r="O5069" s="53" t="n">
        <v>45819.692650463</v>
      </c>
      <c r="P5069" s="53" t="n">
        <v>45895.4808333333</v>
      </c>
      <c r="Q5069" s="53" t="n">
        <v>45819.692650463</v>
      </c>
      <c r="R5069" s="0" t="n">
        <v>0</v>
      </c>
      <c r="S5069" s="51" t="s">
        <v>2380</v>
      </c>
      <c r="T5069" s="51" t="s">
        <v>2380</v>
      </c>
      <c r="U5069" s="0" t="str">
        <f aca="false">"10859585004074"</f>
        <v>10859585004074</v>
      </c>
      <c r="V5069" s="51" t="s">
        <v>7596</v>
      </c>
      <c r="W5069" s="51" t="s">
        <v>7340</v>
      </c>
      <c r="X5069" s="51" t="s">
        <v>2359</v>
      </c>
    </row>
    <row r="5070" customFormat="false" ht="14.25" hidden="true" customHeight="false" outlineLevel="0" collapsed="false">
      <c r="A5070" s="49" t="s">
        <v>2349</v>
      </c>
      <c r="B5070" s="49" t="s">
        <v>2350</v>
      </c>
      <c r="C5070" s="49" t="s">
        <v>9245</v>
      </c>
      <c r="D5070" s="49" t="s">
        <v>2352</v>
      </c>
      <c r="E5070" s="49" t="str">
        <f aca="false">"10859585004074"</f>
        <v>10859585004074</v>
      </c>
      <c r="F5070" s="49" t="s">
        <v>7737</v>
      </c>
      <c r="G5070" s="49" t="n">
        <v>0</v>
      </c>
      <c r="H5070" s="0" t="n">
        <v>0</v>
      </c>
      <c r="M5070" s="51" t="s">
        <v>9234</v>
      </c>
      <c r="N5070" s="49" t="n">
        <v>0</v>
      </c>
      <c r="O5070" s="53" t="n">
        <v>45819.6928125</v>
      </c>
      <c r="P5070" s="53" t="n">
        <v>45895.4857060185</v>
      </c>
      <c r="Q5070" s="53" t="n">
        <v>45819.6928125</v>
      </c>
      <c r="R5070" s="0" t="n">
        <v>0</v>
      </c>
      <c r="S5070" s="51" t="s">
        <v>2380</v>
      </c>
      <c r="T5070" s="51" t="s">
        <v>2380</v>
      </c>
      <c r="U5070" s="0" t="str">
        <f aca="false">"10859585004074"</f>
        <v>10859585004074</v>
      </c>
      <c r="V5070" s="51" t="s">
        <v>7596</v>
      </c>
      <c r="W5070" s="51" t="s">
        <v>7346</v>
      </c>
      <c r="X5070" s="51" t="s">
        <v>2359</v>
      </c>
    </row>
    <row r="5071" customFormat="false" ht="14.25" hidden="true" customHeight="false" outlineLevel="0" collapsed="false">
      <c r="A5071" s="49" t="s">
        <v>2349</v>
      </c>
      <c r="B5071" s="49" t="s">
        <v>2350</v>
      </c>
      <c r="C5071" s="49" t="s">
        <v>9246</v>
      </c>
      <c r="D5071" s="49" t="s">
        <v>2352</v>
      </c>
      <c r="E5071" s="49" t="str">
        <f aca="false">"10859585004074"</f>
        <v>10859585004074</v>
      </c>
      <c r="F5071" s="49" t="s">
        <v>7737</v>
      </c>
      <c r="G5071" s="49" t="n">
        <v>0</v>
      </c>
      <c r="H5071" s="0" t="n">
        <v>0</v>
      </c>
      <c r="M5071" s="51" t="s">
        <v>9234</v>
      </c>
      <c r="N5071" s="49" t="n">
        <v>0</v>
      </c>
      <c r="O5071" s="53" t="n">
        <v>45819.6929861111</v>
      </c>
      <c r="P5071" s="53" t="n">
        <v>45895.4839351852</v>
      </c>
      <c r="Q5071" s="53" t="n">
        <v>45819.6929861111</v>
      </c>
      <c r="R5071" s="0" t="n">
        <v>0</v>
      </c>
      <c r="S5071" s="51" t="s">
        <v>2380</v>
      </c>
      <c r="T5071" s="51" t="s">
        <v>2380</v>
      </c>
      <c r="U5071" s="0" t="str">
        <f aca="false">"10859585004074"</f>
        <v>10859585004074</v>
      </c>
      <c r="V5071" s="51" t="s">
        <v>7596</v>
      </c>
      <c r="W5071" s="51" t="s">
        <v>5837</v>
      </c>
      <c r="X5071" s="51" t="s">
        <v>2359</v>
      </c>
    </row>
    <row r="5072" customFormat="false" ht="14.25" hidden="true" customHeight="false" outlineLevel="0" collapsed="false">
      <c r="A5072" s="49" t="s">
        <v>2349</v>
      </c>
      <c r="B5072" s="49" t="s">
        <v>2350</v>
      </c>
      <c r="C5072" s="49" t="s">
        <v>9247</v>
      </c>
      <c r="D5072" s="49" t="s">
        <v>2352</v>
      </c>
      <c r="E5072" s="49" t="str">
        <f aca="false">"10859585004074"</f>
        <v>10859585004074</v>
      </c>
      <c r="F5072" s="49" t="s">
        <v>7737</v>
      </c>
      <c r="G5072" s="49" t="n">
        <v>0</v>
      </c>
      <c r="H5072" s="0" t="n">
        <v>0</v>
      </c>
      <c r="M5072" s="51" t="s">
        <v>9234</v>
      </c>
      <c r="N5072" s="49" t="n">
        <v>0</v>
      </c>
      <c r="O5072" s="53" t="n">
        <v>45819.6931944444</v>
      </c>
      <c r="P5072" s="53" t="n">
        <v>45895.484525463</v>
      </c>
      <c r="Q5072" s="53" t="n">
        <v>45819.6931944444</v>
      </c>
      <c r="R5072" s="0" t="n">
        <v>0</v>
      </c>
      <c r="S5072" s="51" t="s">
        <v>2380</v>
      </c>
      <c r="T5072" s="51" t="s">
        <v>2380</v>
      </c>
      <c r="U5072" s="0" t="str">
        <f aca="false">"10859585004074"</f>
        <v>10859585004074</v>
      </c>
      <c r="V5072" s="51" t="s">
        <v>7596</v>
      </c>
      <c r="W5072" s="51" t="s">
        <v>6048</v>
      </c>
      <c r="X5072" s="51" t="s">
        <v>2359</v>
      </c>
    </row>
    <row r="5073" customFormat="false" ht="14.25" hidden="true" customHeight="false" outlineLevel="0" collapsed="false">
      <c r="A5073" s="49" t="s">
        <v>2349</v>
      </c>
      <c r="B5073" s="49" t="s">
        <v>2350</v>
      </c>
      <c r="C5073" s="49" t="s">
        <v>9248</v>
      </c>
      <c r="D5073" s="49" t="s">
        <v>2352</v>
      </c>
      <c r="E5073" s="49" t="str">
        <f aca="false">"10859585004074"</f>
        <v>10859585004074</v>
      </c>
      <c r="F5073" s="49" t="s">
        <v>7737</v>
      </c>
      <c r="G5073" s="49" t="n">
        <v>0</v>
      </c>
      <c r="H5073" s="0" t="n">
        <v>0</v>
      </c>
      <c r="M5073" s="51" t="s">
        <v>9234</v>
      </c>
      <c r="N5073" s="49" t="n">
        <v>0</v>
      </c>
      <c r="O5073" s="53" t="n">
        <v>45819.6933449074</v>
      </c>
      <c r="P5073" s="53" t="n">
        <v>45895.483587963</v>
      </c>
      <c r="Q5073" s="53" t="n">
        <v>45819.6933449074</v>
      </c>
      <c r="R5073" s="0" t="n">
        <v>0</v>
      </c>
      <c r="S5073" s="51" t="s">
        <v>2380</v>
      </c>
      <c r="T5073" s="51" t="s">
        <v>2380</v>
      </c>
      <c r="U5073" s="0" t="str">
        <f aca="false">"10859585004074"</f>
        <v>10859585004074</v>
      </c>
      <c r="V5073" s="51" t="s">
        <v>7596</v>
      </c>
      <c r="W5073" s="51" t="s">
        <v>4943</v>
      </c>
      <c r="X5073" s="51" t="s">
        <v>2359</v>
      </c>
    </row>
    <row r="5074" customFormat="false" ht="14.25" hidden="true" customHeight="false" outlineLevel="0" collapsed="false">
      <c r="A5074" s="49" t="s">
        <v>2349</v>
      </c>
      <c r="B5074" s="49" t="s">
        <v>2350</v>
      </c>
      <c r="C5074" s="49" t="s">
        <v>9249</v>
      </c>
      <c r="D5074" s="49" t="s">
        <v>2352</v>
      </c>
      <c r="E5074" s="49" t="str">
        <f aca="false">"10859585004074"</f>
        <v>10859585004074</v>
      </c>
      <c r="F5074" s="49" t="s">
        <v>7737</v>
      </c>
      <c r="G5074" s="49" t="n">
        <v>0</v>
      </c>
      <c r="H5074" s="0" t="n">
        <v>0</v>
      </c>
      <c r="M5074" s="51" t="s">
        <v>9234</v>
      </c>
      <c r="N5074" s="49" t="n">
        <v>0</v>
      </c>
      <c r="O5074" s="53" t="n">
        <v>45819.69375</v>
      </c>
      <c r="P5074" s="53" t="n">
        <v>45895.4846759259</v>
      </c>
      <c r="Q5074" s="53" t="n">
        <v>45819.69375</v>
      </c>
      <c r="R5074" s="0" t="n">
        <v>0</v>
      </c>
      <c r="S5074" s="51" t="s">
        <v>2380</v>
      </c>
      <c r="T5074" s="51" t="s">
        <v>2380</v>
      </c>
      <c r="U5074" s="0" t="str">
        <f aca="false">"10859585004074"</f>
        <v>10859585004074</v>
      </c>
      <c r="V5074" s="51" t="s">
        <v>7596</v>
      </c>
      <c r="W5074" s="51" t="s">
        <v>4573</v>
      </c>
      <c r="X5074" s="51" t="s">
        <v>2359</v>
      </c>
    </row>
    <row r="5075" customFormat="false" ht="14.25" hidden="true" customHeight="false" outlineLevel="0" collapsed="false">
      <c r="A5075" s="49" t="s">
        <v>2349</v>
      </c>
      <c r="B5075" s="49" t="s">
        <v>2350</v>
      </c>
      <c r="C5075" s="49" t="s">
        <v>9250</v>
      </c>
      <c r="D5075" s="49" t="s">
        <v>2352</v>
      </c>
      <c r="E5075" s="49" t="str">
        <f aca="false">"10859585004074"</f>
        <v>10859585004074</v>
      </c>
      <c r="F5075" s="49" t="s">
        <v>7737</v>
      </c>
      <c r="G5075" s="49" t="n">
        <v>0</v>
      </c>
      <c r="H5075" s="0" t="n">
        <v>0</v>
      </c>
      <c r="M5075" s="51" t="s">
        <v>9234</v>
      </c>
      <c r="N5075" s="49" t="n">
        <v>0</v>
      </c>
      <c r="O5075" s="53" t="n">
        <v>45819.6942824074</v>
      </c>
      <c r="P5075" s="53" t="n">
        <v>45895.4820486111</v>
      </c>
      <c r="Q5075" s="53" t="n">
        <v>45819.6942824074</v>
      </c>
      <c r="R5075" s="0" t="n">
        <v>0</v>
      </c>
      <c r="S5075" s="51" t="s">
        <v>2380</v>
      </c>
      <c r="T5075" s="51" t="s">
        <v>2380</v>
      </c>
      <c r="U5075" s="0" t="str">
        <f aca="false">"10859585004074"</f>
        <v>10859585004074</v>
      </c>
      <c r="V5075" s="51" t="s">
        <v>7596</v>
      </c>
      <c r="W5075" s="51" t="s">
        <v>8817</v>
      </c>
      <c r="X5075" s="51" t="s">
        <v>2359</v>
      </c>
    </row>
    <row r="5076" customFormat="false" ht="14.25" hidden="true" customHeight="false" outlineLevel="0" collapsed="false">
      <c r="A5076" s="49" t="s">
        <v>2349</v>
      </c>
      <c r="B5076" s="49" t="s">
        <v>2350</v>
      </c>
      <c r="C5076" s="49" t="s">
        <v>9251</v>
      </c>
      <c r="D5076" s="49" t="s">
        <v>2352</v>
      </c>
      <c r="E5076" s="49" t="str">
        <f aca="false">"10859585004074"</f>
        <v>10859585004074</v>
      </c>
      <c r="F5076" s="49" t="s">
        <v>7737</v>
      </c>
      <c r="G5076" s="49" t="n">
        <v>0</v>
      </c>
      <c r="H5076" s="0" t="n">
        <v>0</v>
      </c>
      <c r="M5076" s="51" t="s">
        <v>9234</v>
      </c>
      <c r="N5076" s="49" t="n">
        <v>0</v>
      </c>
      <c r="O5076" s="53" t="n">
        <v>45819.6947800926</v>
      </c>
      <c r="P5076" s="53" t="n">
        <v>45895.4812037037</v>
      </c>
      <c r="Q5076" s="53" t="n">
        <v>45819.6947800926</v>
      </c>
      <c r="R5076" s="0" t="n">
        <v>0</v>
      </c>
      <c r="S5076" s="51" t="s">
        <v>2380</v>
      </c>
      <c r="T5076" s="51" t="s">
        <v>2380</v>
      </c>
      <c r="U5076" s="0" t="str">
        <f aca="false">"10859585004074"</f>
        <v>10859585004074</v>
      </c>
      <c r="V5076" s="51" t="s">
        <v>7596</v>
      </c>
      <c r="W5076" s="51" t="s">
        <v>5947</v>
      </c>
      <c r="X5076" s="51" t="s">
        <v>2359</v>
      </c>
    </row>
    <row r="5077" customFormat="false" ht="14.25" hidden="true" customHeight="false" outlineLevel="0" collapsed="false">
      <c r="A5077" s="49" t="s">
        <v>2349</v>
      </c>
      <c r="B5077" s="49" t="s">
        <v>2350</v>
      </c>
      <c r="C5077" s="49" t="s">
        <v>9252</v>
      </c>
      <c r="D5077" s="49" t="s">
        <v>2352</v>
      </c>
      <c r="E5077" s="49" t="str">
        <f aca="false">"10859585004074"</f>
        <v>10859585004074</v>
      </c>
      <c r="F5077" s="49" t="s">
        <v>7737</v>
      </c>
      <c r="G5077" s="49" t="n">
        <v>0</v>
      </c>
      <c r="H5077" s="0" t="n">
        <v>0</v>
      </c>
      <c r="M5077" s="51" t="s">
        <v>9234</v>
      </c>
      <c r="N5077" s="49" t="n">
        <v>0</v>
      </c>
      <c r="O5077" s="53" t="n">
        <v>45819.6949074074</v>
      </c>
      <c r="P5077" s="53" t="n">
        <v>45859.8916319445</v>
      </c>
      <c r="Q5077" s="53" t="n">
        <v>45819.6949074074</v>
      </c>
      <c r="R5077" s="0" t="n">
        <v>0</v>
      </c>
      <c r="S5077" s="51" t="s">
        <v>2380</v>
      </c>
      <c r="T5077" s="51" t="s">
        <v>2380</v>
      </c>
      <c r="U5077" s="0" t="str">
        <f aca="false">"10859585004074"</f>
        <v>10859585004074</v>
      </c>
      <c r="V5077" s="51" t="s">
        <v>7596</v>
      </c>
      <c r="W5077" s="51" t="s">
        <v>7375</v>
      </c>
      <c r="X5077" s="51" t="s">
        <v>2359</v>
      </c>
    </row>
    <row r="5078" customFormat="false" ht="14.25" hidden="true" customHeight="false" outlineLevel="0" collapsed="false">
      <c r="A5078" s="49" t="s">
        <v>2349</v>
      </c>
      <c r="B5078" s="49" t="s">
        <v>2350</v>
      </c>
      <c r="C5078" s="49" t="s">
        <v>9253</v>
      </c>
      <c r="D5078" s="49" t="s">
        <v>2352</v>
      </c>
      <c r="E5078" s="49" t="str">
        <f aca="false">"5942326400483"</f>
        <v>5942326400483</v>
      </c>
      <c r="F5078" s="49" t="s">
        <v>3651</v>
      </c>
      <c r="G5078" s="49" t="n">
        <v>0</v>
      </c>
      <c r="H5078" s="0" t="n">
        <v>0</v>
      </c>
      <c r="M5078" s="51" t="s">
        <v>9254</v>
      </c>
      <c r="N5078" s="49" t="n">
        <v>0</v>
      </c>
      <c r="O5078" s="53" t="n">
        <v>45826.5719212963</v>
      </c>
      <c r="P5078" s="53" t="n">
        <v>45831.4282060185</v>
      </c>
      <c r="Q5078" s="53" t="n">
        <v>45826.5719212963</v>
      </c>
      <c r="R5078" s="0" t="n">
        <v>0</v>
      </c>
      <c r="S5078" s="51" t="s">
        <v>2416</v>
      </c>
      <c r="T5078" s="51" t="s">
        <v>2416</v>
      </c>
      <c r="U5078" s="0" t="str">
        <f aca="false">"5942326400483"</f>
        <v>5942326400483</v>
      </c>
      <c r="V5078" s="51" t="s">
        <v>2365</v>
      </c>
      <c r="W5078" s="51" t="s">
        <v>6421</v>
      </c>
      <c r="X5078" s="51" t="s">
        <v>2359</v>
      </c>
    </row>
    <row r="5079" customFormat="false" ht="14.25" hidden="true" customHeight="false" outlineLevel="0" collapsed="false">
      <c r="A5079" s="49" t="s">
        <v>2349</v>
      </c>
      <c r="B5079" s="49" t="s">
        <v>2350</v>
      </c>
      <c r="C5079" s="49" t="s">
        <v>9255</v>
      </c>
      <c r="D5079" s="49" t="s">
        <v>2352</v>
      </c>
      <c r="E5079" s="49" t="str">
        <f aca="false">"5942326400483"</f>
        <v>5942326400483</v>
      </c>
      <c r="F5079" s="49" t="s">
        <v>3651</v>
      </c>
      <c r="G5079" s="49" t="n">
        <v>0</v>
      </c>
      <c r="H5079" s="0" t="n">
        <v>0</v>
      </c>
      <c r="M5079" s="51" t="s">
        <v>9254</v>
      </c>
      <c r="N5079" s="49" t="n">
        <v>0</v>
      </c>
      <c r="O5079" s="53" t="n">
        <v>45826.5720486111</v>
      </c>
      <c r="P5079" s="53" t="n">
        <v>45827.8715625</v>
      </c>
      <c r="Q5079" s="53" t="n">
        <v>45826.5720486111</v>
      </c>
      <c r="R5079" s="0" t="n">
        <v>0</v>
      </c>
      <c r="S5079" s="51" t="s">
        <v>2416</v>
      </c>
      <c r="T5079" s="51" t="s">
        <v>2416</v>
      </c>
      <c r="U5079" s="0" t="str">
        <f aca="false">"5942326400483"</f>
        <v>5942326400483</v>
      </c>
      <c r="V5079" s="51" t="s">
        <v>2365</v>
      </c>
      <c r="W5079" s="51" t="s">
        <v>4878</v>
      </c>
      <c r="X5079" s="51" t="s">
        <v>2359</v>
      </c>
    </row>
    <row r="5080" customFormat="false" ht="14.25" hidden="true" customHeight="false" outlineLevel="0" collapsed="false">
      <c r="A5080" s="49" t="s">
        <v>2349</v>
      </c>
      <c r="B5080" s="49" t="s">
        <v>2350</v>
      </c>
      <c r="C5080" s="49" t="s">
        <v>9256</v>
      </c>
      <c r="D5080" s="49" t="s">
        <v>2352</v>
      </c>
      <c r="E5080" s="49" t="str">
        <f aca="false">"5942326400483"</f>
        <v>5942326400483</v>
      </c>
      <c r="F5080" s="49" t="s">
        <v>3651</v>
      </c>
      <c r="G5080" s="49" t="n">
        <v>0</v>
      </c>
      <c r="H5080" s="0" t="n">
        <v>0</v>
      </c>
      <c r="M5080" s="51" t="s">
        <v>9254</v>
      </c>
      <c r="N5080" s="49" t="n">
        <v>0</v>
      </c>
      <c r="O5080" s="53" t="n">
        <v>45826.5722453704</v>
      </c>
      <c r="P5080" s="53" t="n">
        <v>45830.8000115741</v>
      </c>
      <c r="Q5080" s="53" t="n">
        <v>45826.5722453704</v>
      </c>
      <c r="R5080" s="0" t="n">
        <v>0</v>
      </c>
      <c r="S5080" s="51" t="s">
        <v>2416</v>
      </c>
      <c r="T5080" s="51" t="s">
        <v>2416</v>
      </c>
      <c r="U5080" s="0" t="str">
        <f aca="false">"5942326400483"</f>
        <v>5942326400483</v>
      </c>
      <c r="V5080" s="51" t="s">
        <v>2365</v>
      </c>
      <c r="W5080" s="51" t="s">
        <v>4210</v>
      </c>
      <c r="X5080" s="51" t="s">
        <v>2359</v>
      </c>
    </row>
    <row r="5081" customFormat="false" ht="14.25" hidden="true" customHeight="false" outlineLevel="0" collapsed="false">
      <c r="A5081" s="49" t="s">
        <v>2349</v>
      </c>
      <c r="B5081" s="49" t="s">
        <v>2350</v>
      </c>
      <c r="C5081" s="49" t="s">
        <v>9257</v>
      </c>
      <c r="D5081" s="49" t="s">
        <v>2352</v>
      </c>
      <c r="E5081" s="49" t="str">
        <f aca="false">"5942326400483"</f>
        <v>5942326400483</v>
      </c>
      <c r="F5081" s="49" t="s">
        <v>3651</v>
      </c>
      <c r="G5081" s="49" t="n">
        <v>0</v>
      </c>
      <c r="H5081" s="0" t="n">
        <v>0</v>
      </c>
      <c r="M5081" s="51" t="s">
        <v>9254</v>
      </c>
      <c r="N5081" s="49" t="n">
        <v>0</v>
      </c>
      <c r="O5081" s="53" t="n">
        <v>45826.5724074074</v>
      </c>
      <c r="P5081" s="53" t="n">
        <v>45830.8213310185</v>
      </c>
      <c r="Q5081" s="53" t="n">
        <v>45826.5724074074</v>
      </c>
      <c r="R5081" s="0" t="n">
        <v>0</v>
      </c>
      <c r="S5081" s="51" t="s">
        <v>2416</v>
      </c>
      <c r="T5081" s="51" t="s">
        <v>2416</v>
      </c>
      <c r="U5081" s="0" t="str">
        <f aca="false">"5942326400483"</f>
        <v>5942326400483</v>
      </c>
      <c r="V5081" s="51" t="s">
        <v>2365</v>
      </c>
      <c r="W5081" s="51" t="s">
        <v>6419</v>
      </c>
      <c r="X5081" s="51" t="s">
        <v>2359</v>
      </c>
    </row>
    <row r="5082" customFormat="false" ht="14.25" hidden="true" customHeight="false" outlineLevel="0" collapsed="false">
      <c r="A5082" s="49" t="s">
        <v>2349</v>
      </c>
      <c r="B5082" s="49" t="s">
        <v>2350</v>
      </c>
      <c r="C5082" s="49" t="s">
        <v>9258</v>
      </c>
      <c r="D5082" s="49" t="s">
        <v>2352</v>
      </c>
      <c r="E5082" s="49" t="str">
        <f aca="false">"5942326400483"</f>
        <v>5942326400483</v>
      </c>
      <c r="F5082" s="49" t="s">
        <v>3651</v>
      </c>
      <c r="G5082" s="49" t="n">
        <v>0</v>
      </c>
      <c r="H5082" s="0" t="n">
        <v>0</v>
      </c>
      <c r="M5082" s="51" t="s">
        <v>9254</v>
      </c>
      <c r="N5082" s="49" t="n">
        <v>0</v>
      </c>
      <c r="O5082" s="53" t="n">
        <v>45826.5725115741</v>
      </c>
      <c r="P5082" s="53" t="n">
        <v>45827.4872569444</v>
      </c>
      <c r="Q5082" s="53" t="n">
        <v>45826.5725115741</v>
      </c>
      <c r="R5082" s="0" t="n">
        <v>0</v>
      </c>
      <c r="S5082" s="51" t="s">
        <v>2416</v>
      </c>
      <c r="T5082" s="51" t="s">
        <v>2416</v>
      </c>
      <c r="U5082" s="0" t="str">
        <f aca="false">"5942326400483"</f>
        <v>5942326400483</v>
      </c>
      <c r="V5082" s="51" t="s">
        <v>2365</v>
      </c>
      <c r="W5082" s="51" t="s">
        <v>9228</v>
      </c>
      <c r="X5082" s="51" t="s">
        <v>2359</v>
      </c>
    </row>
    <row r="5083" customFormat="false" ht="14.25" hidden="true" customHeight="false" outlineLevel="0" collapsed="false">
      <c r="A5083" s="49" t="s">
        <v>2349</v>
      </c>
      <c r="B5083" s="49" t="s">
        <v>2350</v>
      </c>
      <c r="C5083" s="49" t="s">
        <v>9259</v>
      </c>
      <c r="D5083" s="49" t="s">
        <v>2352</v>
      </c>
      <c r="E5083" s="49" t="str">
        <f aca="false">"5942326400483"</f>
        <v>5942326400483</v>
      </c>
      <c r="F5083" s="49" t="s">
        <v>3651</v>
      </c>
      <c r="G5083" s="49" t="n">
        <v>0</v>
      </c>
      <c r="H5083" s="0" t="n">
        <v>0</v>
      </c>
      <c r="M5083" s="51" t="s">
        <v>9254</v>
      </c>
      <c r="N5083" s="49" t="n">
        <v>0</v>
      </c>
      <c r="O5083" s="53" t="n">
        <v>45826.572650463</v>
      </c>
      <c r="P5083" s="53" t="n">
        <v>45831.4283449074</v>
      </c>
      <c r="Q5083" s="53" t="n">
        <v>45826.572650463</v>
      </c>
      <c r="R5083" s="0" t="n">
        <v>0</v>
      </c>
      <c r="S5083" s="51" t="s">
        <v>2416</v>
      </c>
      <c r="T5083" s="51" t="s">
        <v>2416</v>
      </c>
      <c r="U5083" s="0" t="str">
        <f aca="false">"5942326400483"</f>
        <v>5942326400483</v>
      </c>
      <c r="V5083" s="51" t="s">
        <v>2365</v>
      </c>
      <c r="W5083" s="51" t="s">
        <v>5287</v>
      </c>
      <c r="X5083" s="51" t="s">
        <v>2359</v>
      </c>
    </row>
    <row r="5084" customFormat="false" ht="14.25" hidden="true" customHeight="false" outlineLevel="0" collapsed="false">
      <c r="A5084" s="49" t="s">
        <v>2349</v>
      </c>
      <c r="B5084" s="49" t="s">
        <v>2350</v>
      </c>
      <c r="C5084" s="49" t="s">
        <v>9260</v>
      </c>
      <c r="D5084" s="49" t="s">
        <v>2352</v>
      </c>
      <c r="E5084" s="49" t="str">
        <f aca="false">"5942326400483"</f>
        <v>5942326400483</v>
      </c>
      <c r="F5084" s="49" t="s">
        <v>3651</v>
      </c>
      <c r="G5084" s="49" t="n">
        <v>0</v>
      </c>
      <c r="H5084" s="0" t="n">
        <v>0</v>
      </c>
      <c r="M5084" s="51" t="s">
        <v>9254</v>
      </c>
      <c r="N5084" s="49" t="n">
        <v>0</v>
      </c>
      <c r="O5084" s="53" t="n">
        <v>45826.5727546296</v>
      </c>
      <c r="P5084" s="53" t="n">
        <v>45830.812037037</v>
      </c>
      <c r="Q5084" s="53" t="n">
        <v>45826.5727546296</v>
      </c>
      <c r="R5084" s="0" t="n">
        <v>0</v>
      </c>
      <c r="S5084" s="51" t="s">
        <v>2416</v>
      </c>
      <c r="T5084" s="51" t="s">
        <v>2416</v>
      </c>
      <c r="U5084" s="0" t="str">
        <f aca="false">"5942326400483"</f>
        <v>5942326400483</v>
      </c>
      <c r="V5084" s="51" t="s">
        <v>2365</v>
      </c>
      <c r="W5084" s="51" t="s">
        <v>9261</v>
      </c>
      <c r="X5084" s="51" t="s">
        <v>2359</v>
      </c>
    </row>
    <row r="5085" customFormat="false" ht="14.25" hidden="true" customHeight="false" outlineLevel="0" collapsed="false">
      <c r="A5085" s="49" t="s">
        <v>2349</v>
      </c>
      <c r="B5085" s="49" t="s">
        <v>2350</v>
      </c>
      <c r="C5085" s="49" t="s">
        <v>9262</v>
      </c>
      <c r="D5085" s="49" t="s">
        <v>2352</v>
      </c>
      <c r="E5085" s="49" t="str">
        <f aca="false">"5942326400483"</f>
        <v>5942326400483</v>
      </c>
      <c r="F5085" s="49" t="s">
        <v>3651</v>
      </c>
      <c r="G5085" s="49" t="n">
        <v>0</v>
      </c>
      <c r="H5085" s="0" t="n">
        <v>0</v>
      </c>
      <c r="M5085" s="51" t="s">
        <v>9254</v>
      </c>
      <c r="N5085" s="49" t="n">
        <v>0</v>
      </c>
      <c r="O5085" s="53" t="n">
        <v>45826.5729050926</v>
      </c>
      <c r="P5085" s="53" t="n">
        <v>45830.8116898148</v>
      </c>
      <c r="Q5085" s="53" t="n">
        <v>45826.5729050926</v>
      </c>
      <c r="R5085" s="0" t="n">
        <v>0</v>
      </c>
      <c r="S5085" s="51" t="s">
        <v>2416</v>
      </c>
      <c r="T5085" s="51" t="s">
        <v>2416</v>
      </c>
      <c r="U5085" s="0" t="str">
        <f aca="false">"5942326400483"</f>
        <v>5942326400483</v>
      </c>
      <c r="V5085" s="51" t="s">
        <v>2365</v>
      </c>
      <c r="W5085" s="51" t="s">
        <v>4056</v>
      </c>
      <c r="X5085" s="51" t="s">
        <v>2359</v>
      </c>
    </row>
    <row r="5086" customFormat="false" ht="14.25" hidden="true" customHeight="false" outlineLevel="0" collapsed="false">
      <c r="A5086" s="49" t="s">
        <v>2349</v>
      </c>
      <c r="B5086" s="49" t="s">
        <v>2350</v>
      </c>
      <c r="C5086" s="49" t="s">
        <v>9263</v>
      </c>
      <c r="D5086" s="49" t="s">
        <v>2352</v>
      </c>
      <c r="E5086" s="49" t="str">
        <f aca="false">"5942326400483"</f>
        <v>5942326400483</v>
      </c>
      <c r="F5086" s="49" t="s">
        <v>3651</v>
      </c>
      <c r="G5086" s="49" t="n">
        <v>0</v>
      </c>
      <c r="H5086" s="0" t="n">
        <v>0</v>
      </c>
      <c r="M5086" s="51" t="s">
        <v>9254</v>
      </c>
      <c r="N5086" s="49" t="n">
        <v>0</v>
      </c>
      <c r="O5086" s="53" t="n">
        <v>45826.5730092593</v>
      </c>
      <c r="P5086" s="53" t="n">
        <v>45830.8112268519</v>
      </c>
      <c r="Q5086" s="53" t="n">
        <v>45826.5730092593</v>
      </c>
      <c r="R5086" s="0" t="n">
        <v>0</v>
      </c>
      <c r="S5086" s="51" t="s">
        <v>2416</v>
      </c>
      <c r="T5086" s="51" t="s">
        <v>2416</v>
      </c>
      <c r="U5086" s="0" t="str">
        <f aca="false">"5942326400483"</f>
        <v>5942326400483</v>
      </c>
      <c r="V5086" s="51" t="s">
        <v>2365</v>
      </c>
      <c r="W5086" s="51" t="s">
        <v>4030</v>
      </c>
      <c r="X5086" s="51" t="s">
        <v>2359</v>
      </c>
    </row>
    <row r="5087" customFormat="false" ht="14.25" hidden="true" customHeight="false" outlineLevel="0" collapsed="false">
      <c r="A5087" s="49" t="s">
        <v>2349</v>
      </c>
      <c r="B5087" s="49" t="s">
        <v>2350</v>
      </c>
      <c r="C5087" s="49" t="s">
        <v>9264</v>
      </c>
      <c r="D5087" s="49" t="s">
        <v>2352</v>
      </c>
      <c r="E5087" s="49" t="str">
        <f aca="false">"5942326400483"</f>
        <v>5942326400483</v>
      </c>
      <c r="F5087" s="49" t="s">
        <v>3651</v>
      </c>
      <c r="G5087" s="49" t="n">
        <v>0</v>
      </c>
      <c r="H5087" s="0" t="n">
        <v>0</v>
      </c>
      <c r="M5087" s="51" t="s">
        <v>9254</v>
      </c>
      <c r="N5087" s="49" t="n">
        <v>0</v>
      </c>
      <c r="O5087" s="53" t="n">
        <v>45826.5731597222</v>
      </c>
      <c r="P5087" s="53" t="n">
        <v>45827.875150463</v>
      </c>
      <c r="Q5087" s="53" t="n">
        <v>45826.5731597222</v>
      </c>
      <c r="R5087" s="0" t="n">
        <v>0</v>
      </c>
      <c r="S5087" s="51" t="s">
        <v>2416</v>
      </c>
      <c r="T5087" s="51" t="s">
        <v>2416</v>
      </c>
      <c r="U5087" s="0" t="str">
        <f aca="false">"5942326400483"</f>
        <v>5942326400483</v>
      </c>
      <c r="V5087" s="51" t="s">
        <v>2365</v>
      </c>
      <c r="W5087" s="51" t="s">
        <v>6202</v>
      </c>
      <c r="X5087" s="51" t="s">
        <v>2359</v>
      </c>
    </row>
    <row r="5088" customFormat="false" ht="14.25" hidden="true" customHeight="false" outlineLevel="0" collapsed="false">
      <c r="A5088" s="49" t="s">
        <v>2349</v>
      </c>
      <c r="B5088" s="49" t="s">
        <v>2350</v>
      </c>
      <c r="C5088" s="49" t="s">
        <v>9265</v>
      </c>
      <c r="D5088" s="49" t="s">
        <v>2352</v>
      </c>
      <c r="E5088" s="49" t="str">
        <f aca="false">"5942326400476"</f>
        <v>5942326400476</v>
      </c>
      <c r="F5088" s="49" t="s">
        <v>5167</v>
      </c>
      <c r="G5088" s="49" t="n">
        <v>0</v>
      </c>
      <c r="H5088" s="0" t="n">
        <v>0</v>
      </c>
      <c r="M5088" s="51" t="s">
        <v>9254</v>
      </c>
      <c r="N5088" s="49" t="n">
        <v>0</v>
      </c>
      <c r="O5088" s="53" t="n">
        <v>45826.5750578704</v>
      </c>
      <c r="P5088" s="53" t="n">
        <v>45831.4115856482</v>
      </c>
      <c r="Q5088" s="53" t="n">
        <v>45826.5750578704</v>
      </c>
      <c r="R5088" s="0" t="n">
        <v>0</v>
      </c>
      <c r="S5088" s="51" t="s">
        <v>2416</v>
      </c>
      <c r="T5088" s="51" t="s">
        <v>2416</v>
      </c>
      <c r="U5088" s="0" t="str">
        <f aca="false">"5942326400476"</f>
        <v>5942326400476</v>
      </c>
      <c r="V5088" s="51" t="s">
        <v>2365</v>
      </c>
      <c r="W5088" s="51" t="s">
        <v>4846</v>
      </c>
      <c r="X5088" s="51" t="s">
        <v>2359</v>
      </c>
    </row>
    <row r="5089" customFormat="false" ht="14.25" hidden="true" customHeight="false" outlineLevel="0" collapsed="false">
      <c r="A5089" s="49" t="s">
        <v>2349</v>
      </c>
      <c r="B5089" s="49" t="s">
        <v>2350</v>
      </c>
      <c r="C5089" s="49" t="s">
        <v>9266</v>
      </c>
      <c r="D5089" s="49" t="s">
        <v>2352</v>
      </c>
      <c r="E5089" s="49" t="str">
        <f aca="false">"5942326400476"</f>
        <v>5942326400476</v>
      </c>
      <c r="F5089" s="49" t="s">
        <v>5167</v>
      </c>
      <c r="G5089" s="49" t="n">
        <v>0</v>
      </c>
      <c r="H5089" s="0" t="n">
        <v>0</v>
      </c>
      <c r="M5089" s="51" t="s">
        <v>9254</v>
      </c>
      <c r="N5089" s="49" t="n">
        <v>0</v>
      </c>
      <c r="O5089" s="53" t="n">
        <v>45826.5752546296</v>
      </c>
      <c r="P5089" s="53" t="n">
        <v>45831.4106134259</v>
      </c>
      <c r="Q5089" s="53" t="n">
        <v>45826.5752546296</v>
      </c>
      <c r="R5089" s="0" t="n">
        <v>0</v>
      </c>
      <c r="S5089" s="51" t="s">
        <v>2416</v>
      </c>
      <c r="T5089" s="51" t="s">
        <v>2416</v>
      </c>
      <c r="U5089" s="0" t="str">
        <f aca="false">"5942326400476"</f>
        <v>5942326400476</v>
      </c>
      <c r="V5089" s="51" t="s">
        <v>2365</v>
      </c>
      <c r="W5089" s="51" t="s">
        <v>5863</v>
      </c>
      <c r="X5089" s="51" t="s">
        <v>2359</v>
      </c>
    </row>
    <row r="5090" customFormat="false" ht="14.25" hidden="true" customHeight="false" outlineLevel="0" collapsed="false">
      <c r="A5090" s="49" t="s">
        <v>2349</v>
      </c>
      <c r="B5090" s="49" t="s">
        <v>2350</v>
      </c>
      <c r="C5090" s="49" t="s">
        <v>9267</v>
      </c>
      <c r="D5090" s="49" t="s">
        <v>2352</v>
      </c>
      <c r="E5090" s="49" t="str">
        <f aca="false">"5942326400476"</f>
        <v>5942326400476</v>
      </c>
      <c r="F5090" s="49" t="s">
        <v>5167</v>
      </c>
      <c r="G5090" s="49" t="n">
        <v>0</v>
      </c>
      <c r="H5090" s="0" t="n">
        <v>0</v>
      </c>
      <c r="M5090" s="51" t="s">
        <v>9254</v>
      </c>
      <c r="N5090" s="49" t="n">
        <v>0</v>
      </c>
      <c r="O5090" s="53" t="n">
        <v>45826.5753703704</v>
      </c>
      <c r="P5090" s="53" t="n">
        <v>45855.548587963</v>
      </c>
      <c r="Q5090" s="53" t="n">
        <v>45826.5753703704</v>
      </c>
      <c r="R5090" s="0" t="n">
        <v>0</v>
      </c>
      <c r="S5090" s="51" t="s">
        <v>2416</v>
      </c>
      <c r="T5090" s="51" t="s">
        <v>2416</v>
      </c>
      <c r="U5090" s="0" t="str">
        <f aca="false">"5942326400476"</f>
        <v>5942326400476</v>
      </c>
      <c r="V5090" s="51" t="s">
        <v>2365</v>
      </c>
      <c r="W5090" s="51" t="s">
        <v>5861</v>
      </c>
      <c r="X5090" s="51" t="s">
        <v>2359</v>
      </c>
    </row>
    <row r="5091" customFormat="false" ht="14.25" hidden="true" customHeight="false" outlineLevel="0" collapsed="false">
      <c r="A5091" s="49" t="s">
        <v>2349</v>
      </c>
      <c r="B5091" s="49" t="s">
        <v>2350</v>
      </c>
      <c r="C5091" s="49" t="s">
        <v>9268</v>
      </c>
      <c r="D5091" s="49" t="s">
        <v>2352</v>
      </c>
      <c r="E5091" s="49" t="str">
        <f aca="false">"5942326400476"</f>
        <v>5942326400476</v>
      </c>
      <c r="F5091" s="49" t="s">
        <v>5167</v>
      </c>
      <c r="G5091" s="49" t="n">
        <v>0</v>
      </c>
      <c r="H5091" s="0" t="n">
        <v>0</v>
      </c>
      <c r="M5091" s="51" t="s">
        <v>9254</v>
      </c>
      <c r="N5091" s="49" t="n">
        <v>0</v>
      </c>
      <c r="O5091" s="53" t="n">
        <v>45826.575474537</v>
      </c>
      <c r="P5091" s="53" t="n">
        <v>45831.412337963</v>
      </c>
      <c r="Q5091" s="53" t="n">
        <v>45826.575474537</v>
      </c>
      <c r="R5091" s="0" t="n">
        <v>0</v>
      </c>
      <c r="S5091" s="51" t="s">
        <v>2416</v>
      </c>
      <c r="T5091" s="51" t="s">
        <v>2416</v>
      </c>
      <c r="U5091" s="0" t="str">
        <f aca="false">"5942326400476"</f>
        <v>5942326400476</v>
      </c>
      <c r="V5091" s="51" t="s">
        <v>2365</v>
      </c>
      <c r="W5091" s="51" t="s">
        <v>4550</v>
      </c>
      <c r="X5091" s="51" t="s">
        <v>2359</v>
      </c>
    </row>
    <row r="5092" customFormat="false" ht="14.25" hidden="true" customHeight="false" outlineLevel="0" collapsed="false">
      <c r="A5092" s="49" t="s">
        <v>2349</v>
      </c>
      <c r="B5092" s="49" t="s">
        <v>2350</v>
      </c>
      <c r="C5092" s="49" t="s">
        <v>9269</v>
      </c>
      <c r="D5092" s="49" t="s">
        <v>2352</v>
      </c>
      <c r="E5092" s="49" t="str">
        <f aca="false">"5942326400476"</f>
        <v>5942326400476</v>
      </c>
      <c r="F5092" s="49" t="s">
        <v>5167</v>
      </c>
      <c r="G5092" s="49" t="n">
        <v>0</v>
      </c>
      <c r="H5092" s="0" t="n">
        <v>0</v>
      </c>
      <c r="M5092" s="51" t="s">
        <v>9254</v>
      </c>
      <c r="N5092" s="49" t="n">
        <v>0</v>
      </c>
      <c r="O5092" s="53" t="n">
        <v>45826.5755902778</v>
      </c>
      <c r="P5092" s="53" t="n">
        <v>45970.934212963</v>
      </c>
      <c r="Q5092" s="53" t="n">
        <v>45826.5755902778</v>
      </c>
      <c r="R5092" s="0" t="n">
        <v>0</v>
      </c>
      <c r="S5092" s="51" t="s">
        <v>2416</v>
      </c>
      <c r="T5092" s="51" t="s">
        <v>2416</v>
      </c>
      <c r="U5092" s="0" t="str">
        <f aca="false">"5942326400476"</f>
        <v>5942326400476</v>
      </c>
      <c r="V5092" s="51" t="s">
        <v>2365</v>
      </c>
      <c r="W5092" s="51" t="s">
        <v>9270</v>
      </c>
      <c r="X5092" s="51" t="s">
        <v>2359</v>
      </c>
    </row>
    <row r="5093" customFormat="false" ht="14.25" hidden="true" customHeight="false" outlineLevel="0" collapsed="false">
      <c r="A5093" s="49" t="s">
        <v>2349</v>
      </c>
      <c r="B5093" s="49" t="s">
        <v>2350</v>
      </c>
      <c r="C5093" s="49" t="s">
        <v>9271</v>
      </c>
      <c r="D5093" s="49" t="s">
        <v>2352</v>
      </c>
      <c r="E5093" s="49" t="str">
        <f aca="false">"5942326400643"</f>
        <v>5942326400643</v>
      </c>
      <c r="F5093" s="49" t="s">
        <v>5687</v>
      </c>
      <c r="G5093" s="49" t="n">
        <v>0</v>
      </c>
      <c r="H5093" s="0" t="n">
        <v>0</v>
      </c>
      <c r="M5093" s="51" t="s">
        <v>9254</v>
      </c>
      <c r="N5093" s="49" t="n">
        <v>0</v>
      </c>
      <c r="O5093" s="53" t="n">
        <v>45826.5773032407</v>
      </c>
      <c r="P5093" s="53" t="n">
        <v>45879.743125</v>
      </c>
      <c r="Q5093" s="53" t="n">
        <v>45826.5773032407</v>
      </c>
      <c r="R5093" s="0" t="n">
        <v>0</v>
      </c>
      <c r="S5093" s="51" t="s">
        <v>2416</v>
      </c>
      <c r="T5093" s="51" t="s">
        <v>2416</v>
      </c>
      <c r="U5093" s="0" t="str">
        <f aca="false">"5942326400643"</f>
        <v>5942326400643</v>
      </c>
      <c r="V5093" s="51" t="s">
        <v>2365</v>
      </c>
      <c r="W5093" s="51" t="s">
        <v>7878</v>
      </c>
      <c r="X5093" s="51" t="s">
        <v>2359</v>
      </c>
    </row>
    <row r="5094" customFormat="false" ht="14.25" hidden="true" customHeight="false" outlineLevel="0" collapsed="false">
      <c r="A5094" s="49" t="s">
        <v>2349</v>
      </c>
      <c r="B5094" s="49" t="s">
        <v>2350</v>
      </c>
      <c r="C5094" s="49" t="s">
        <v>9272</v>
      </c>
      <c r="D5094" s="49" t="s">
        <v>2352</v>
      </c>
      <c r="E5094" s="49" t="str">
        <f aca="false">"5942326400643"</f>
        <v>5942326400643</v>
      </c>
      <c r="F5094" s="49" t="s">
        <v>5687</v>
      </c>
      <c r="G5094" s="49" t="n">
        <v>0</v>
      </c>
      <c r="H5094" s="0" t="n">
        <v>0</v>
      </c>
      <c r="M5094" s="51" t="s">
        <v>9254</v>
      </c>
      <c r="N5094" s="49" t="n">
        <v>0</v>
      </c>
      <c r="O5094" s="53" t="n">
        <v>45826.5774305556</v>
      </c>
      <c r="P5094" s="53" t="n">
        <v>45830.8158912037</v>
      </c>
      <c r="Q5094" s="53" t="n">
        <v>45826.5774305556</v>
      </c>
      <c r="R5094" s="0" t="n">
        <v>0</v>
      </c>
      <c r="S5094" s="51" t="s">
        <v>2416</v>
      </c>
      <c r="T5094" s="51" t="s">
        <v>2416</v>
      </c>
      <c r="U5094" s="0" t="str">
        <f aca="false">"5942326400643"</f>
        <v>5942326400643</v>
      </c>
      <c r="V5094" s="51" t="s">
        <v>2365</v>
      </c>
      <c r="W5094" s="51" t="s">
        <v>6270</v>
      </c>
      <c r="X5094" s="51" t="s">
        <v>2359</v>
      </c>
    </row>
    <row r="5095" customFormat="false" ht="14.25" hidden="true" customHeight="false" outlineLevel="0" collapsed="false">
      <c r="A5095" s="49" t="s">
        <v>2349</v>
      </c>
      <c r="B5095" s="49" t="s">
        <v>2350</v>
      </c>
      <c r="C5095" s="49" t="s">
        <v>9273</v>
      </c>
      <c r="D5095" s="49" t="s">
        <v>2352</v>
      </c>
      <c r="E5095" s="49" t="str">
        <f aca="false">"5942326400643"</f>
        <v>5942326400643</v>
      </c>
      <c r="F5095" s="49" t="s">
        <v>5687</v>
      </c>
      <c r="G5095" s="49" t="n">
        <v>0</v>
      </c>
      <c r="H5095" s="0" t="n">
        <v>0</v>
      </c>
      <c r="M5095" s="51" t="s">
        <v>9254</v>
      </c>
      <c r="N5095" s="49" t="n">
        <v>0</v>
      </c>
      <c r="O5095" s="53" t="n">
        <v>45826.6183680556</v>
      </c>
      <c r="P5095" s="53" t="n">
        <v>45879.7699305556</v>
      </c>
      <c r="R5095" s="0" t="n">
        <v>0</v>
      </c>
      <c r="T5095" s="51" t="s">
        <v>2436</v>
      </c>
      <c r="U5095" s="0" t="str">
        <f aca="false">"5942326400643"</f>
        <v>5942326400643</v>
      </c>
      <c r="V5095" s="51" t="s">
        <v>2365</v>
      </c>
      <c r="W5095" s="51" t="s">
        <v>7578</v>
      </c>
      <c r="X5095" s="51" t="s">
        <v>2359</v>
      </c>
    </row>
    <row r="5096" customFormat="false" ht="14.25" hidden="true" customHeight="false" outlineLevel="0" collapsed="false">
      <c r="A5096" s="49" t="s">
        <v>2349</v>
      </c>
      <c r="B5096" s="49" t="s">
        <v>2350</v>
      </c>
      <c r="C5096" s="49" t="s">
        <v>9274</v>
      </c>
      <c r="D5096" s="49" t="s">
        <v>2352</v>
      </c>
      <c r="E5096" s="49" t="str">
        <f aca="false">"5942326400643"</f>
        <v>5942326400643</v>
      </c>
      <c r="F5096" s="49" t="s">
        <v>5687</v>
      </c>
      <c r="G5096" s="49" t="n">
        <v>0</v>
      </c>
      <c r="H5096" s="0" t="n">
        <v>0</v>
      </c>
      <c r="M5096" s="51" t="s">
        <v>9254</v>
      </c>
      <c r="N5096" s="49" t="n">
        <v>0</v>
      </c>
      <c r="O5096" s="53" t="n">
        <v>45826.577650463</v>
      </c>
      <c r="P5096" s="53" t="n">
        <v>45830.8126736111</v>
      </c>
      <c r="Q5096" s="53" t="n">
        <v>45826.577650463</v>
      </c>
      <c r="R5096" s="0" t="n">
        <v>0</v>
      </c>
      <c r="S5096" s="51" t="s">
        <v>2416</v>
      </c>
      <c r="T5096" s="51" t="s">
        <v>2416</v>
      </c>
      <c r="U5096" s="0" t="str">
        <f aca="false">"5942326400643"</f>
        <v>5942326400643</v>
      </c>
      <c r="V5096" s="51" t="s">
        <v>2365</v>
      </c>
      <c r="W5096" s="51" t="s">
        <v>9275</v>
      </c>
      <c r="X5096" s="51" t="s">
        <v>2359</v>
      </c>
    </row>
    <row r="5097" customFormat="false" ht="14.25" hidden="true" customHeight="false" outlineLevel="0" collapsed="false">
      <c r="A5097" s="49" t="s">
        <v>2349</v>
      </c>
      <c r="B5097" s="49" t="s">
        <v>2350</v>
      </c>
      <c r="C5097" s="49" t="s">
        <v>9276</v>
      </c>
      <c r="D5097" s="49" t="s">
        <v>2352</v>
      </c>
      <c r="E5097" s="49" t="str">
        <f aca="false">"5942326400643"</f>
        <v>5942326400643</v>
      </c>
      <c r="F5097" s="49" t="s">
        <v>5687</v>
      </c>
      <c r="G5097" s="49" t="n">
        <v>0</v>
      </c>
      <c r="H5097" s="0" t="n">
        <v>0</v>
      </c>
      <c r="M5097" s="51" t="s">
        <v>9254</v>
      </c>
      <c r="N5097" s="49" t="n">
        <v>0</v>
      </c>
      <c r="O5097" s="53" t="n">
        <v>45826.5777662037</v>
      </c>
      <c r="P5097" s="53" t="n">
        <v>45830.8125810185</v>
      </c>
      <c r="Q5097" s="53" t="n">
        <v>45826.5777662037</v>
      </c>
      <c r="R5097" s="0" t="n">
        <v>0</v>
      </c>
      <c r="S5097" s="51" t="s">
        <v>2416</v>
      </c>
      <c r="T5097" s="51" t="s">
        <v>2416</v>
      </c>
      <c r="U5097" s="0" t="str">
        <f aca="false">"5942326400643"</f>
        <v>5942326400643</v>
      </c>
      <c r="V5097" s="51" t="s">
        <v>2365</v>
      </c>
      <c r="W5097" s="51" t="s">
        <v>6259</v>
      </c>
      <c r="X5097" s="51" t="s">
        <v>2359</v>
      </c>
    </row>
    <row r="5098" customFormat="false" ht="14.25" hidden="true" customHeight="false" outlineLevel="0" collapsed="false">
      <c r="A5098" s="49" t="s">
        <v>2349</v>
      </c>
      <c r="B5098" s="49" t="s">
        <v>2350</v>
      </c>
      <c r="C5098" s="49" t="s">
        <v>9277</v>
      </c>
      <c r="D5098" s="49" t="s">
        <v>2352</v>
      </c>
      <c r="E5098" s="49" t="str">
        <f aca="false">"5942326400643"</f>
        <v>5942326400643</v>
      </c>
      <c r="F5098" s="49" t="s">
        <v>5687</v>
      </c>
      <c r="G5098" s="49" t="n">
        <v>0</v>
      </c>
      <c r="H5098" s="0" t="n">
        <v>0</v>
      </c>
      <c r="M5098" s="51" t="s">
        <v>9254</v>
      </c>
      <c r="N5098" s="49" t="n">
        <v>0</v>
      </c>
      <c r="O5098" s="53" t="n">
        <v>45826.5778703704</v>
      </c>
      <c r="P5098" s="53" t="n">
        <v>45830.8101388889</v>
      </c>
      <c r="Q5098" s="53" t="n">
        <v>45826.5778703704</v>
      </c>
      <c r="R5098" s="0" t="n">
        <v>0</v>
      </c>
      <c r="S5098" s="51" t="s">
        <v>2416</v>
      </c>
      <c r="T5098" s="51" t="s">
        <v>2416</v>
      </c>
      <c r="U5098" s="0" t="str">
        <f aca="false">"5942326400643"</f>
        <v>5942326400643</v>
      </c>
      <c r="V5098" s="51" t="s">
        <v>2365</v>
      </c>
      <c r="W5098" s="51" t="s">
        <v>4042</v>
      </c>
      <c r="X5098" s="51" t="s">
        <v>2359</v>
      </c>
    </row>
    <row r="5099" customFormat="false" ht="14.25" hidden="true" customHeight="false" outlineLevel="0" collapsed="false">
      <c r="A5099" s="49" t="s">
        <v>2349</v>
      </c>
      <c r="B5099" s="49" t="s">
        <v>2350</v>
      </c>
      <c r="C5099" s="49" t="s">
        <v>9278</v>
      </c>
      <c r="D5099" s="49" t="s">
        <v>2352</v>
      </c>
      <c r="E5099" s="49" t="str">
        <f aca="false">"12464079"</f>
        <v>12464079</v>
      </c>
      <c r="F5099" s="49" t="s">
        <v>4706</v>
      </c>
      <c r="G5099" s="49" t="n">
        <v>0</v>
      </c>
      <c r="H5099" s="0" t="n">
        <v>0</v>
      </c>
      <c r="M5099" s="51" t="s">
        <v>9279</v>
      </c>
      <c r="N5099" s="49" t="n">
        <v>0</v>
      </c>
      <c r="O5099" s="53" t="n">
        <v>45830.4470601852</v>
      </c>
      <c r="P5099" s="53" t="n">
        <v>45831.4241087963</v>
      </c>
      <c r="Q5099" s="53" t="n">
        <v>45830.4470601852</v>
      </c>
      <c r="R5099" s="0" t="n">
        <v>0</v>
      </c>
      <c r="S5099" s="51" t="s">
        <v>2436</v>
      </c>
      <c r="T5099" s="51" t="s">
        <v>2436</v>
      </c>
      <c r="U5099" s="0" t="str">
        <f aca="false">"12464079"</f>
        <v>12464079</v>
      </c>
      <c r="V5099" s="51" t="s">
        <v>2365</v>
      </c>
      <c r="W5099" s="51" t="s">
        <v>8196</v>
      </c>
      <c r="X5099" s="51" t="s">
        <v>2359</v>
      </c>
    </row>
    <row r="5100" customFormat="false" ht="14.25" hidden="true" customHeight="false" outlineLevel="0" collapsed="false">
      <c r="A5100" s="49" t="s">
        <v>2349</v>
      </c>
      <c r="B5100" s="49" t="s">
        <v>2350</v>
      </c>
      <c r="C5100" s="49" t="s">
        <v>9280</v>
      </c>
      <c r="D5100" s="49" t="s">
        <v>2352</v>
      </c>
      <c r="E5100" s="49" t="str">
        <f aca="false">"10074865055175"</f>
        <v>10074865055175</v>
      </c>
      <c r="F5100" s="49" t="s">
        <v>5090</v>
      </c>
      <c r="G5100" s="49" t="n">
        <v>0</v>
      </c>
      <c r="H5100" s="0" t="n">
        <v>0</v>
      </c>
      <c r="M5100" s="51" t="s">
        <v>9281</v>
      </c>
      <c r="N5100" s="49" t="n">
        <v>0</v>
      </c>
      <c r="O5100" s="53" t="n">
        <v>45811.5189236111</v>
      </c>
      <c r="P5100" s="53" t="n">
        <v>45818.6574305556</v>
      </c>
      <c r="Q5100" s="53" t="n">
        <v>45811.5189236111</v>
      </c>
      <c r="R5100" s="0" t="n">
        <v>0</v>
      </c>
      <c r="S5100" s="51" t="s">
        <v>2416</v>
      </c>
      <c r="T5100" s="51" t="s">
        <v>2416</v>
      </c>
      <c r="U5100" s="0" t="str">
        <f aca="false">"10074865055175"</f>
        <v>10074865055175</v>
      </c>
      <c r="V5100" s="51" t="s">
        <v>2365</v>
      </c>
      <c r="W5100" s="51" t="s">
        <v>5662</v>
      </c>
      <c r="X5100" s="51" t="s">
        <v>2359</v>
      </c>
    </row>
    <row r="5101" customFormat="false" ht="14.25" hidden="true" customHeight="false" outlineLevel="0" collapsed="false">
      <c r="A5101" s="49" t="s">
        <v>2349</v>
      </c>
      <c r="B5101" s="49" t="s">
        <v>2350</v>
      </c>
      <c r="C5101" s="49" t="s">
        <v>9282</v>
      </c>
      <c r="D5101" s="49" t="s">
        <v>2352</v>
      </c>
      <c r="E5101" s="49" t="s">
        <v>4124</v>
      </c>
      <c r="F5101" s="49" t="s">
        <v>4125</v>
      </c>
      <c r="G5101" s="49" t="n">
        <v>0</v>
      </c>
      <c r="H5101" s="0" t="n">
        <v>0</v>
      </c>
      <c r="M5101" s="51" t="s">
        <v>9283</v>
      </c>
      <c r="N5101" s="49" t="n">
        <v>0</v>
      </c>
      <c r="O5101" s="53" t="n">
        <v>45812.7381365741</v>
      </c>
      <c r="P5101" s="53" t="n">
        <v>45840.3003703704</v>
      </c>
      <c r="Q5101" s="53" t="n">
        <v>45812.7381365741</v>
      </c>
      <c r="R5101" s="0" t="n">
        <v>0</v>
      </c>
      <c r="S5101" s="51" t="s">
        <v>2356</v>
      </c>
      <c r="T5101" s="51" t="s">
        <v>2356</v>
      </c>
      <c r="U5101" s="51" t="s">
        <v>4124</v>
      </c>
      <c r="V5101" s="51" t="s">
        <v>2365</v>
      </c>
      <c r="W5101" s="51" t="s">
        <v>8251</v>
      </c>
      <c r="X5101" s="51" t="s">
        <v>2359</v>
      </c>
    </row>
    <row r="5102" customFormat="false" ht="14.25" hidden="true" customHeight="false" outlineLevel="0" collapsed="false">
      <c r="A5102" s="49" t="s">
        <v>2349</v>
      </c>
      <c r="B5102" s="49" t="s">
        <v>2350</v>
      </c>
      <c r="C5102" s="49" t="s">
        <v>9284</v>
      </c>
      <c r="D5102" s="49" t="s">
        <v>2352</v>
      </c>
      <c r="E5102" s="49" t="s">
        <v>4124</v>
      </c>
      <c r="F5102" s="49" t="s">
        <v>4125</v>
      </c>
      <c r="G5102" s="49" t="n">
        <v>0</v>
      </c>
      <c r="H5102" s="0" t="n">
        <v>0</v>
      </c>
      <c r="M5102" s="51" t="s">
        <v>9283</v>
      </c>
      <c r="N5102" s="49" t="n">
        <v>0</v>
      </c>
      <c r="O5102" s="53" t="n">
        <v>45812.738900463</v>
      </c>
      <c r="P5102" s="53" t="n">
        <v>45855.5961111111</v>
      </c>
      <c r="Q5102" s="53" t="n">
        <v>45812.738900463</v>
      </c>
      <c r="R5102" s="0" t="n">
        <v>0</v>
      </c>
      <c r="S5102" s="51" t="s">
        <v>2356</v>
      </c>
      <c r="T5102" s="51" t="s">
        <v>2356</v>
      </c>
      <c r="U5102" s="51" t="s">
        <v>4124</v>
      </c>
      <c r="V5102" s="51" t="s">
        <v>2365</v>
      </c>
      <c r="W5102" s="51" t="s">
        <v>7308</v>
      </c>
      <c r="X5102" s="51" t="s">
        <v>2359</v>
      </c>
    </row>
    <row r="5103" customFormat="false" ht="14.25" hidden="true" customHeight="false" outlineLevel="0" collapsed="false">
      <c r="A5103" s="49" t="s">
        <v>2349</v>
      </c>
      <c r="B5103" s="49" t="s">
        <v>2350</v>
      </c>
      <c r="C5103" s="49" t="s">
        <v>9285</v>
      </c>
      <c r="D5103" s="49" t="s">
        <v>2352</v>
      </c>
      <c r="E5103" s="49" t="s">
        <v>4124</v>
      </c>
      <c r="F5103" s="49" t="s">
        <v>4125</v>
      </c>
      <c r="G5103" s="49" t="n">
        <v>0</v>
      </c>
      <c r="H5103" s="0" t="n">
        <v>0</v>
      </c>
      <c r="M5103" s="51" t="s">
        <v>9283</v>
      </c>
      <c r="N5103" s="49" t="n">
        <v>0</v>
      </c>
      <c r="O5103" s="53" t="n">
        <v>45812.7390740741</v>
      </c>
      <c r="P5103" s="53" t="n">
        <v>45840.301099537</v>
      </c>
      <c r="Q5103" s="53" t="n">
        <v>45812.7390740741</v>
      </c>
      <c r="R5103" s="0" t="n">
        <v>0</v>
      </c>
      <c r="S5103" s="51" t="s">
        <v>2356</v>
      </c>
      <c r="T5103" s="51" t="s">
        <v>2356</v>
      </c>
      <c r="U5103" s="51" t="s">
        <v>4124</v>
      </c>
      <c r="V5103" s="51" t="s">
        <v>2365</v>
      </c>
      <c r="W5103" s="51" t="s">
        <v>5494</v>
      </c>
      <c r="X5103" s="51" t="s">
        <v>2359</v>
      </c>
    </row>
    <row r="5104" customFormat="false" ht="14.25" hidden="true" customHeight="false" outlineLevel="0" collapsed="false">
      <c r="A5104" s="49" t="s">
        <v>2349</v>
      </c>
      <c r="B5104" s="49" t="s">
        <v>2350</v>
      </c>
      <c r="C5104" s="49" t="s">
        <v>9286</v>
      </c>
      <c r="D5104" s="49" t="s">
        <v>2352</v>
      </c>
      <c r="E5104" s="49" t="s">
        <v>8372</v>
      </c>
      <c r="F5104" s="49" t="s">
        <v>8373</v>
      </c>
      <c r="G5104" s="49" t="n">
        <v>0</v>
      </c>
      <c r="H5104" s="0" t="n">
        <v>0</v>
      </c>
      <c r="M5104" s="51" t="s">
        <v>9283</v>
      </c>
      <c r="N5104" s="49" t="n">
        <v>0</v>
      </c>
      <c r="O5104" s="53" t="n">
        <v>45812.7393865741</v>
      </c>
      <c r="P5104" s="53" t="n">
        <v>45860.7569212963</v>
      </c>
      <c r="Q5104" s="53" t="n">
        <v>45812.7393865741</v>
      </c>
      <c r="R5104" s="0" t="n">
        <v>0</v>
      </c>
      <c r="S5104" s="51" t="s">
        <v>2356</v>
      </c>
      <c r="T5104" s="51" t="s">
        <v>2356</v>
      </c>
      <c r="U5104" s="51" t="s">
        <v>8372</v>
      </c>
      <c r="V5104" s="51" t="s">
        <v>2365</v>
      </c>
      <c r="W5104" s="51" t="s">
        <v>5494</v>
      </c>
      <c r="X5104" s="51" t="s">
        <v>2359</v>
      </c>
    </row>
    <row r="5105" customFormat="false" ht="14.25" hidden="true" customHeight="false" outlineLevel="0" collapsed="false">
      <c r="A5105" s="49" t="s">
        <v>2349</v>
      </c>
      <c r="B5105" s="49" t="s">
        <v>2350</v>
      </c>
      <c r="C5105" s="49" t="s">
        <v>9287</v>
      </c>
      <c r="D5105" s="49" t="s">
        <v>2352</v>
      </c>
      <c r="E5105" s="49" t="s">
        <v>4115</v>
      </c>
      <c r="F5105" s="49" t="s">
        <v>4116</v>
      </c>
      <c r="G5105" s="49" t="n">
        <v>0</v>
      </c>
      <c r="H5105" s="0" t="n">
        <v>0</v>
      </c>
      <c r="M5105" s="51" t="s">
        <v>9283</v>
      </c>
      <c r="N5105" s="49" t="n">
        <v>0</v>
      </c>
      <c r="O5105" s="53" t="n">
        <v>45812.7398148148</v>
      </c>
      <c r="P5105" s="53" t="n">
        <v>45826.5451967593</v>
      </c>
      <c r="Q5105" s="53" t="n">
        <v>45812.7398148148</v>
      </c>
      <c r="R5105" s="0" t="n">
        <v>0</v>
      </c>
      <c r="S5105" s="51" t="s">
        <v>2356</v>
      </c>
      <c r="T5105" s="51" t="s">
        <v>2356</v>
      </c>
      <c r="U5105" s="51" t="s">
        <v>4115</v>
      </c>
      <c r="V5105" s="51" t="s">
        <v>2365</v>
      </c>
      <c r="W5105" s="51" t="s">
        <v>3754</v>
      </c>
      <c r="X5105" s="51" t="s">
        <v>2359</v>
      </c>
    </row>
    <row r="5106" customFormat="false" ht="14.25" hidden="true" customHeight="false" outlineLevel="0" collapsed="false">
      <c r="A5106" s="49" t="s">
        <v>2349</v>
      </c>
      <c r="B5106" s="49" t="s">
        <v>2350</v>
      </c>
      <c r="C5106" s="49" t="s">
        <v>9288</v>
      </c>
      <c r="D5106" s="49" t="s">
        <v>2352</v>
      </c>
      <c r="E5106" s="49" t="s">
        <v>4115</v>
      </c>
      <c r="F5106" s="49" t="s">
        <v>4116</v>
      </c>
      <c r="G5106" s="49" t="n">
        <v>0</v>
      </c>
      <c r="H5106" s="0" t="n">
        <v>0</v>
      </c>
      <c r="M5106" s="51" t="s">
        <v>9283</v>
      </c>
      <c r="N5106" s="49" t="n">
        <v>0</v>
      </c>
      <c r="O5106" s="53" t="n">
        <v>45812.7403472222</v>
      </c>
      <c r="P5106" s="53" t="n">
        <v>45826.5458217593</v>
      </c>
      <c r="Q5106" s="53" t="n">
        <v>45812.7403472222</v>
      </c>
      <c r="R5106" s="0" t="n">
        <v>0</v>
      </c>
      <c r="S5106" s="51" t="s">
        <v>2356</v>
      </c>
      <c r="T5106" s="51" t="s">
        <v>2356</v>
      </c>
      <c r="U5106" s="51" t="s">
        <v>4115</v>
      </c>
      <c r="V5106" s="51" t="s">
        <v>2365</v>
      </c>
      <c r="W5106" s="51" t="s">
        <v>3689</v>
      </c>
      <c r="X5106" s="51" t="s">
        <v>2359</v>
      </c>
    </row>
    <row r="5107" customFormat="false" ht="14.25" hidden="true" customHeight="false" outlineLevel="0" collapsed="false">
      <c r="A5107" s="49" t="s">
        <v>2349</v>
      </c>
      <c r="B5107" s="49" t="s">
        <v>2350</v>
      </c>
      <c r="C5107" s="49" t="s">
        <v>9289</v>
      </c>
      <c r="D5107" s="49" t="s">
        <v>2352</v>
      </c>
      <c r="E5107" s="49" t="s">
        <v>4148</v>
      </c>
      <c r="F5107" s="49" t="s">
        <v>4149</v>
      </c>
      <c r="G5107" s="49" t="n">
        <v>0</v>
      </c>
      <c r="H5107" s="0" t="n">
        <v>0</v>
      </c>
      <c r="M5107" s="51" t="s">
        <v>9283</v>
      </c>
      <c r="N5107" s="49" t="n">
        <v>0</v>
      </c>
      <c r="O5107" s="53" t="n">
        <v>45812.7406018519</v>
      </c>
      <c r="P5107" s="53" t="n">
        <v>45826.5451157407</v>
      </c>
      <c r="Q5107" s="53" t="n">
        <v>45812.7406018519</v>
      </c>
      <c r="R5107" s="0" t="n">
        <v>0</v>
      </c>
      <c r="S5107" s="51" t="s">
        <v>2356</v>
      </c>
      <c r="T5107" s="51" t="s">
        <v>2356</v>
      </c>
      <c r="U5107" s="51" t="s">
        <v>4148</v>
      </c>
      <c r="V5107" s="51" t="s">
        <v>2365</v>
      </c>
      <c r="W5107" s="51" t="s">
        <v>4588</v>
      </c>
      <c r="X5107" s="51" t="s">
        <v>2359</v>
      </c>
    </row>
    <row r="5108" customFormat="false" ht="14.25" hidden="true" customHeight="false" outlineLevel="0" collapsed="false">
      <c r="A5108" s="49" t="s">
        <v>2349</v>
      </c>
      <c r="B5108" s="49" t="s">
        <v>2350</v>
      </c>
      <c r="C5108" s="49" t="s">
        <v>9290</v>
      </c>
      <c r="D5108" s="49" t="s">
        <v>2352</v>
      </c>
      <c r="E5108" s="49" t="s">
        <v>4148</v>
      </c>
      <c r="F5108" s="49" t="s">
        <v>4149</v>
      </c>
      <c r="G5108" s="49" t="n">
        <v>0</v>
      </c>
      <c r="H5108" s="0" t="n">
        <v>0</v>
      </c>
      <c r="M5108" s="51" t="s">
        <v>9283</v>
      </c>
      <c r="N5108" s="49" t="n">
        <v>0</v>
      </c>
      <c r="O5108" s="53" t="n">
        <v>45812.7407986111</v>
      </c>
      <c r="P5108" s="53" t="n">
        <v>45865.6403587963</v>
      </c>
      <c r="Q5108" s="53" t="n">
        <v>45812.7407986111</v>
      </c>
      <c r="R5108" s="0" t="n">
        <v>0</v>
      </c>
      <c r="S5108" s="51" t="s">
        <v>2356</v>
      </c>
      <c r="T5108" s="51" t="s">
        <v>2356</v>
      </c>
      <c r="U5108" s="51" t="s">
        <v>4148</v>
      </c>
      <c r="V5108" s="51" t="s">
        <v>2365</v>
      </c>
      <c r="W5108" s="51" t="s">
        <v>4931</v>
      </c>
      <c r="X5108" s="51" t="s">
        <v>2359</v>
      </c>
    </row>
    <row r="5109" customFormat="false" ht="14.25" hidden="true" customHeight="false" outlineLevel="0" collapsed="false">
      <c r="A5109" s="49" t="s">
        <v>2349</v>
      </c>
      <c r="B5109" s="49" t="s">
        <v>2350</v>
      </c>
      <c r="C5109" s="49" t="s">
        <v>9291</v>
      </c>
      <c r="D5109" s="49" t="s">
        <v>2352</v>
      </c>
      <c r="E5109" s="49" t="s">
        <v>4148</v>
      </c>
      <c r="F5109" s="49" t="s">
        <v>4149</v>
      </c>
      <c r="G5109" s="49" t="n">
        <v>0</v>
      </c>
      <c r="H5109" s="0" t="n">
        <v>0</v>
      </c>
      <c r="M5109" s="51" t="s">
        <v>9283</v>
      </c>
      <c r="N5109" s="49" t="n">
        <v>0</v>
      </c>
      <c r="O5109" s="53" t="n">
        <v>45812.7409606481</v>
      </c>
      <c r="P5109" s="53" t="n">
        <v>45885.7333101852</v>
      </c>
      <c r="Q5109" s="53" t="n">
        <v>45812.7409606481</v>
      </c>
      <c r="R5109" s="0" t="n">
        <v>0</v>
      </c>
      <c r="S5109" s="51" t="s">
        <v>2356</v>
      </c>
      <c r="T5109" s="51" t="s">
        <v>2356</v>
      </c>
      <c r="U5109" s="51" t="s">
        <v>4148</v>
      </c>
      <c r="V5109" s="51" t="s">
        <v>2365</v>
      </c>
      <c r="W5109" s="51" t="s">
        <v>3701</v>
      </c>
      <c r="X5109" s="51" t="s">
        <v>2359</v>
      </c>
    </row>
    <row r="5110" customFormat="false" ht="14.25" hidden="true" customHeight="false" outlineLevel="0" collapsed="false">
      <c r="A5110" s="49" t="s">
        <v>2349</v>
      </c>
      <c r="B5110" s="49" t="s">
        <v>2350</v>
      </c>
      <c r="C5110" s="49" t="s">
        <v>9292</v>
      </c>
      <c r="D5110" s="49" t="s">
        <v>2352</v>
      </c>
      <c r="E5110" s="49" t="str">
        <f aca="false">"10074865055175"</f>
        <v>10074865055175</v>
      </c>
      <c r="F5110" s="49" t="s">
        <v>5090</v>
      </c>
      <c r="G5110" s="49" t="n">
        <v>0</v>
      </c>
      <c r="H5110" s="0" t="n">
        <v>0</v>
      </c>
      <c r="M5110" s="51" t="s">
        <v>9293</v>
      </c>
      <c r="N5110" s="49" t="n">
        <v>0</v>
      </c>
      <c r="O5110" s="53" t="n">
        <v>45827.6113773148</v>
      </c>
      <c r="P5110" s="53" t="n">
        <v>45907.423287037</v>
      </c>
      <c r="Q5110" s="53" t="n">
        <v>45827.6113773148</v>
      </c>
      <c r="R5110" s="0" t="n">
        <v>0</v>
      </c>
      <c r="S5110" s="51" t="s">
        <v>2416</v>
      </c>
      <c r="T5110" s="51" t="s">
        <v>2416</v>
      </c>
      <c r="U5110" s="0" t="str">
        <f aca="false">"10074865055175"</f>
        <v>10074865055175</v>
      </c>
      <c r="V5110" s="51" t="s">
        <v>2365</v>
      </c>
      <c r="W5110" s="51" t="s">
        <v>7946</v>
      </c>
      <c r="X5110" s="51" t="s">
        <v>2359</v>
      </c>
    </row>
    <row r="5111" customFormat="false" ht="14.25" hidden="true" customHeight="false" outlineLevel="0" collapsed="false">
      <c r="A5111" s="49" t="s">
        <v>2349</v>
      </c>
      <c r="B5111" s="49" t="s">
        <v>2350</v>
      </c>
      <c r="C5111" s="49" t="s">
        <v>9294</v>
      </c>
      <c r="D5111" s="49" t="s">
        <v>2352</v>
      </c>
      <c r="E5111" s="49" t="s">
        <v>4166</v>
      </c>
      <c r="F5111" s="49" t="s">
        <v>4167</v>
      </c>
      <c r="G5111" s="49" t="n">
        <v>0</v>
      </c>
      <c r="H5111" s="0" t="n">
        <v>0</v>
      </c>
      <c r="M5111" s="51" t="s">
        <v>9295</v>
      </c>
      <c r="N5111" s="49" t="n">
        <v>0</v>
      </c>
      <c r="O5111" s="53" t="n">
        <v>45833.6185648148</v>
      </c>
      <c r="P5111" s="53" t="n">
        <v>45838.6327662037</v>
      </c>
      <c r="Q5111" s="53" t="n">
        <v>45833.6185648148</v>
      </c>
      <c r="R5111" s="0" t="n">
        <v>0</v>
      </c>
      <c r="S5111" s="51" t="s">
        <v>2356</v>
      </c>
      <c r="T5111" s="51" t="s">
        <v>2356</v>
      </c>
      <c r="U5111" s="51" t="s">
        <v>4166</v>
      </c>
      <c r="V5111" s="51" t="s">
        <v>2365</v>
      </c>
      <c r="W5111" s="51" t="s">
        <v>4132</v>
      </c>
      <c r="X5111" s="51" t="s">
        <v>2359</v>
      </c>
    </row>
    <row r="5112" customFormat="false" ht="14.25" hidden="true" customHeight="false" outlineLevel="0" collapsed="false">
      <c r="A5112" s="49" t="s">
        <v>2349</v>
      </c>
      <c r="B5112" s="49" t="s">
        <v>2350</v>
      </c>
      <c r="C5112" s="49" t="s">
        <v>9296</v>
      </c>
      <c r="D5112" s="49" t="s">
        <v>2352</v>
      </c>
      <c r="E5112" s="49" t="s">
        <v>4166</v>
      </c>
      <c r="F5112" s="49" t="s">
        <v>4167</v>
      </c>
      <c r="G5112" s="49" t="n">
        <v>0</v>
      </c>
      <c r="H5112" s="0" t="n">
        <v>0</v>
      </c>
      <c r="M5112" s="51" t="s">
        <v>9295</v>
      </c>
      <c r="N5112" s="49" t="n">
        <v>0</v>
      </c>
      <c r="O5112" s="53" t="n">
        <v>45833.6184490741</v>
      </c>
      <c r="P5112" s="53" t="n">
        <v>45838.6328587963</v>
      </c>
      <c r="Q5112" s="53" t="n">
        <v>45833.6184490741</v>
      </c>
      <c r="R5112" s="0" t="n">
        <v>0</v>
      </c>
      <c r="S5112" s="51" t="s">
        <v>2356</v>
      </c>
      <c r="T5112" s="51" t="s">
        <v>2356</v>
      </c>
      <c r="U5112" s="51" t="s">
        <v>4166</v>
      </c>
      <c r="V5112" s="51" t="s">
        <v>2365</v>
      </c>
      <c r="W5112" s="51" t="s">
        <v>5151</v>
      </c>
      <c r="X5112" s="51" t="s">
        <v>2359</v>
      </c>
    </row>
    <row r="5113" customFormat="false" ht="14.25" hidden="true" customHeight="false" outlineLevel="0" collapsed="false">
      <c r="A5113" s="49" t="s">
        <v>2349</v>
      </c>
      <c r="B5113" s="49" t="s">
        <v>2350</v>
      </c>
      <c r="C5113" s="49" t="s">
        <v>9297</v>
      </c>
      <c r="D5113" s="49" t="s">
        <v>2352</v>
      </c>
      <c r="E5113" s="49" t="s">
        <v>4166</v>
      </c>
      <c r="F5113" s="49" t="s">
        <v>4167</v>
      </c>
      <c r="G5113" s="49" t="n">
        <v>0</v>
      </c>
      <c r="H5113" s="0" t="n">
        <v>0</v>
      </c>
      <c r="M5113" s="51" t="s">
        <v>9295</v>
      </c>
      <c r="N5113" s="49" t="n">
        <v>0</v>
      </c>
      <c r="O5113" s="53" t="n">
        <v>45833.6183333333</v>
      </c>
      <c r="P5113" s="53" t="n">
        <v>45839.3118634259</v>
      </c>
      <c r="Q5113" s="53" t="n">
        <v>45833.6183333333</v>
      </c>
      <c r="R5113" s="0" t="n">
        <v>0</v>
      </c>
      <c r="S5113" s="51" t="s">
        <v>2356</v>
      </c>
      <c r="T5113" s="51" t="s">
        <v>2356</v>
      </c>
      <c r="U5113" s="51" t="s">
        <v>4166</v>
      </c>
      <c r="V5113" s="51" t="s">
        <v>2365</v>
      </c>
      <c r="W5113" s="51" t="s">
        <v>5159</v>
      </c>
      <c r="X5113" s="51" t="s">
        <v>2359</v>
      </c>
    </row>
    <row r="5114" customFormat="false" ht="14.25" hidden="true" customHeight="false" outlineLevel="0" collapsed="false">
      <c r="A5114" s="49" t="s">
        <v>2349</v>
      </c>
      <c r="B5114" s="49" t="s">
        <v>2350</v>
      </c>
      <c r="C5114" s="49" t="s">
        <v>9298</v>
      </c>
      <c r="D5114" s="49" t="s">
        <v>2352</v>
      </c>
      <c r="E5114" s="49" t="s">
        <v>4166</v>
      </c>
      <c r="F5114" s="49" t="s">
        <v>4167</v>
      </c>
      <c r="G5114" s="49" t="n">
        <v>0</v>
      </c>
      <c r="H5114" s="0" t="n">
        <v>0</v>
      </c>
      <c r="M5114" s="51" t="s">
        <v>9295</v>
      </c>
      <c r="N5114" s="49" t="n">
        <v>0</v>
      </c>
      <c r="O5114" s="53" t="n">
        <v>45833.6181712963</v>
      </c>
      <c r="P5114" s="53" t="n">
        <v>45858.6246527778</v>
      </c>
      <c r="Q5114" s="53" t="n">
        <v>45833.6181712963</v>
      </c>
      <c r="R5114" s="0" t="n">
        <v>0</v>
      </c>
      <c r="S5114" s="51" t="s">
        <v>2356</v>
      </c>
      <c r="T5114" s="51" t="s">
        <v>2356</v>
      </c>
      <c r="U5114" s="51" t="s">
        <v>4166</v>
      </c>
      <c r="V5114" s="51" t="s">
        <v>2365</v>
      </c>
      <c r="W5114" s="51" t="s">
        <v>9299</v>
      </c>
      <c r="X5114" s="51" t="s">
        <v>2359</v>
      </c>
    </row>
    <row r="5115" customFormat="false" ht="14.25" hidden="true" customHeight="false" outlineLevel="0" collapsed="false">
      <c r="A5115" s="49" t="s">
        <v>2349</v>
      </c>
      <c r="B5115" s="49" t="s">
        <v>2350</v>
      </c>
      <c r="C5115" s="49" t="s">
        <v>9300</v>
      </c>
      <c r="D5115" s="49" t="s">
        <v>2352</v>
      </c>
      <c r="E5115" s="49" t="s">
        <v>4166</v>
      </c>
      <c r="F5115" s="49" t="s">
        <v>4167</v>
      </c>
      <c r="G5115" s="49" t="n">
        <v>0</v>
      </c>
      <c r="H5115" s="0" t="n">
        <v>0</v>
      </c>
      <c r="M5115" s="51" t="s">
        <v>9295</v>
      </c>
      <c r="N5115" s="49" t="n">
        <v>0</v>
      </c>
      <c r="O5115" s="53" t="n">
        <v>45833.6180208333</v>
      </c>
      <c r="P5115" s="53" t="n">
        <v>45858.6247106481</v>
      </c>
      <c r="Q5115" s="53" t="n">
        <v>45833.6180208333</v>
      </c>
      <c r="R5115" s="0" t="n">
        <v>0</v>
      </c>
      <c r="S5115" s="51" t="s">
        <v>2356</v>
      </c>
      <c r="T5115" s="51" t="s">
        <v>2356</v>
      </c>
      <c r="U5115" s="51" t="s">
        <v>4166</v>
      </c>
      <c r="V5115" s="51" t="s">
        <v>2365</v>
      </c>
      <c r="W5115" s="51" t="s">
        <v>3764</v>
      </c>
      <c r="X5115" s="51" t="s">
        <v>2359</v>
      </c>
    </row>
    <row r="5116" customFormat="false" ht="14.25" hidden="true" customHeight="false" outlineLevel="0" collapsed="false">
      <c r="A5116" s="49" t="s">
        <v>2349</v>
      </c>
      <c r="B5116" s="49" t="s">
        <v>2350</v>
      </c>
      <c r="C5116" s="49" t="s">
        <v>9301</v>
      </c>
      <c r="D5116" s="49" t="s">
        <v>2352</v>
      </c>
      <c r="E5116" s="49" t="s">
        <v>4166</v>
      </c>
      <c r="F5116" s="49" t="s">
        <v>4167</v>
      </c>
      <c r="G5116" s="49" t="n">
        <v>0</v>
      </c>
      <c r="H5116" s="0" t="n">
        <v>0</v>
      </c>
      <c r="M5116" s="51" t="s">
        <v>9295</v>
      </c>
      <c r="N5116" s="49" t="n">
        <v>0</v>
      </c>
      <c r="O5116" s="53" t="n">
        <v>45833.6179050926</v>
      </c>
      <c r="P5116" s="53" t="n">
        <v>45858.6248726852</v>
      </c>
      <c r="Q5116" s="53" t="n">
        <v>45833.6179050926</v>
      </c>
      <c r="R5116" s="0" t="n">
        <v>0</v>
      </c>
      <c r="S5116" s="51" t="s">
        <v>2356</v>
      </c>
      <c r="T5116" s="51" t="s">
        <v>2356</v>
      </c>
      <c r="U5116" s="51" t="s">
        <v>4166</v>
      </c>
      <c r="V5116" s="51" t="s">
        <v>2365</v>
      </c>
      <c r="W5116" s="51" t="s">
        <v>8515</v>
      </c>
      <c r="X5116" s="51" t="s">
        <v>2359</v>
      </c>
    </row>
    <row r="5117" customFormat="false" ht="14.25" hidden="true" customHeight="false" outlineLevel="0" collapsed="false">
      <c r="A5117" s="49" t="s">
        <v>2349</v>
      </c>
      <c r="B5117" s="49" t="s">
        <v>2350</v>
      </c>
      <c r="C5117" s="49" t="s">
        <v>9302</v>
      </c>
      <c r="D5117" s="49" t="s">
        <v>2352</v>
      </c>
      <c r="E5117" s="49" t="s">
        <v>4166</v>
      </c>
      <c r="F5117" s="49" t="s">
        <v>4167</v>
      </c>
      <c r="G5117" s="49" t="n">
        <v>0</v>
      </c>
      <c r="H5117" s="0" t="n">
        <v>0</v>
      </c>
      <c r="M5117" s="51" t="s">
        <v>9295</v>
      </c>
      <c r="N5117" s="49" t="n">
        <v>0</v>
      </c>
      <c r="O5117" s="53" t="n">
        <v>45833.6177893519</v>
      </c>
      <c r="P5117" s="53" t="n">
        <v>45858.6249189815</v>
      </c>
      <c r="Q5117" s="53" t="n">
        <v>45833.6177893519</v>
      </c>
      <c r="R5117" s="0" t="n">
        <v>0</v>
      </c>
      <c r="S5117" s="51" t="s">
        <v>2356</v>
      </c>
      <c r="T5117" s="51" t="s">
        <v>2356</v>
      </c>
      <c r="U5117" s="51" t="s">
        <v>4166</v>
      </c>
      <c r="V5117" s="51" t="s">
        <v>2365</v>
      </c>
      <c r="W5117" s="51" t="s">
        <v>5143</v>
      </c>
      <c r="X5117" s="51" t="s">
        <v>2359</v>
      </c>
    </row>
    <row r="5118" customFormat="false" ht="14.25" hidden="true" customHeight="false" outlineLevel="0" collapsed="false">
      <c r="A5118" s="49" t="s">
        <v>2349</v>
      </c>
      <c r="B5118" s="49" t="s">
        <v>2350</v>
      </c>
      <c r="C5118" s="49" t="s">
        <v>9303</v>
      </c>
      <c r="D5118" s="49" t="s">
        <v>2352</v>
      </c>
      <c r="E5118" s="49" t="s">
        <v>4166</v>
      </c>
      <c r="F5118" s="49" t="s">
        <v>4167</v>
      </c>
      <c r="G5118" s="49" t="n">
        <v>0</v>
      </c>
      <c r="H5118" s="0" t="n">
        <v>0</v>
      </c>
      <c r="M5118" s="51" t="s">
        <v>9295</v>
      </c>
      <c r="N5118" s="49" t="n">
        <v>0</v>
      </c>
      <c r="O5118" s="53" t="n">
        <v>45833.6176736111</v>
      </c>
      <c r="P5118" s="53" t="n">
        <v>45858.6248148148</v>
      </c>
      <c r="Q5118" s="53" t="n">
        <v>45833.6176736111</v>
      </c>
      <c r="R5118" s="0" t="n">
        <v>0</v>
      </c>
      <c r="S5118" s="51" t="s">
        <v>2356</v>
      </c>
      <c r="T5118" s="51" t="s">
        <v>2356</v>
      </c>
      <c r="U5118" s="51" t="s">
        <v>4166</v>
      </c>
      <c r="V5118" s="51" t="s">
        <v>2365</v>
      </c>
      <c r="W5118" s="51" t="s">
        <v>7256</v>
      </c>
      <c r="X5118" s="51" t="s">
        <v>2359</v>
      </c>
    </row>
    <row r="5119" customFormat="false" ht="14.25" hidden="true" customHeight="false" outlineLevel="0" collapsed="false">
      <c r="A5119" s="49" t="s">
        <v>2349</v>
      </c>
      <c r="B5119" s="49" t="s">
        <v>2350</v>
      </c>
      <c r="C5119" s="49" t="s">
        <v>9304</v>
      </c>
      <c r="D5119" s="49" t="s">
        <v>2352</v>
      </c>
      <c r="E5119" s="49" t="s">
        <v>4166</v>
      </c>
      <c r="F5119" s="49" t="s">
        <v>4167</v>
      </c>
      <c r="G5119" s="49" t="n">
        <v>0</v>
      </c>
      <c r="H5119" s="0" t="n">
        <v>0</v>
      </c>
      <c r="M5119" s="51" t="s">
        <v>9295</v>
      </c>
      <c r="N5119" s="49" t="n">
        <v>0</v>
      </c>
      <c r="O5119" s="53" t="n">
        <v>45833.6173726852</v>
      </c>
      <c r="P5119" s="53" t="n">
        <v>45858.6247685185</v>
      </c>
      <c r="Q5119" s="53" t="n">
        <v>45833.6173726852</v>
      </c>
      <c r="R5119" s="0" t="n">
        <v>0</v>
      </c>
      <c r="S5119" s="51" t="s">
        <v>2356</v>
      </c>
      <c r="T5119" s="51" t="s">
        <v>2356</v>
      </c>
      <c r="U5119" s="51" t="s">
        <v>4166</v>
      </c>
      <c r="V5119" s="51" t="s">
        <v>2365</v>
      </c>
      <c r="W5119" s="51" t="s">
        <v>5484</v>
      </c>
      <c r="X5119" s="51" t="s">
        <v>2359</v>
      </c>
    </row>
    <row r="5120" customFormat="false" ht="14.25" hidden="true" customHeight="false" outlineLevel="0" collapsed="false">
      <c r="A5120" s="49" t="s">
        <v>2349</v>
      </c>
      <c r="B5120" s="49" t="s">
        <v>2350</v>
      </c>
      <c r="C5120" s="49" t="s">
        <v>9305</v>
      </c>
      <c r="D5120" s="49" t="s">
        <v>2352</v>
      </c>
      <c r="E5120" s="49" t="s">
        <v>4166</v>
      </c>
      <c r="F5120" s="49" t="s">
        <v>4167</v>
      </c>
      <c r="G5120" s="49" t="n">
        <v>0</v>
      </c>
      <c r="H5120" s="0" t="n">
        <v>0</v>
      </c>
      <c r="M5120" s="51" t="s">
        <v>9295</v>
      </c>
      <c r="N5120" s="49" t="n">
        <v>0</v>
      </c>
      <c r="O5120" s="53" t="n">
        <v>45833.6165625</v>
      </c>
      <c r="P5120" s="53" t="n">
        <v>45858.6249768519</v>
      </c>
      <c r="Q5120" s="53" t="n">
        <v>45833.6165625</v>
      </c>
      <c r="R5120" s="0" t="n">
        <v>0</v>
      </c>
      <c r="S5120" s="51" t="s">
        <v>2356</v>
      </c>
      <c r="T5120" s="51" t="s">
        <v>2356</v>
      </c>
      <c r="U5120" s="51" t="s">
        <v>4166</v>
      </c>
      <c r="V5120" s="51" t="s">
        <v>2365</v>
      </c>
      <c r="W5120" s="51" t="s">
        <v>4010</v>
      </c>
      <c r="X5120" s="51" t="s">
        <v>2359</v>
      </c>
    </row>
    <row r="5121" customFormat="false" ht="14.25" hidden="true" customHeight="false" outlineLevel="0" collapsed="false">
      <c r="A5121" s="49" t="s">
        <v>2349</v>
      </c>
      <c r="B5121" s="49" t="s">
        <v>2350</v>
      </c>
      <c r="C5121" s="49" t="s">
        <v>9306</v>
      </c>
      <c r="D5121" s="49" t="s">
        <v>2352</v>
      </c>
      <c r="E5121" s="49" t="s">
        <v>4166</v>
      </c>
      <c r="F5121" s="49" t="s">
        <v>4167</v>
      </c>
      <c r="G5121" s="49" t="n">
        <v>0</v>
      </c>
      <c r="H5121" s="0" t="n">
        <v>0</v>
      </c>
      <c r="M5121" s="51" t="s">
        <v>9295</v>
      </c>
      <c r="N5121" s="49" t="n">
        <v>0</v>
      </c>
      <c r="O5121" s="53" t="n">
        <v>45833.6216898148</v>
      </c>
      <c r="P5121" s="53" t="n">
        <v>45839.3122453704</v>
      </c>
      <c r="Q5121" s="53" t="n">
        <v>45833.6216898148</v>
      </c>
      <c r="R5121" s="0" t="n">
        <v>0</v>
      </c>
      <c r="S5121" s="51" t="s">
        <v>2356</v>
      </c>
      <c r="T5121" s="51" t="s">
        <v>2356</v>
      </c>
      <c r="U5121" s="51" t="s">
        <v>4166</v>
      </c>
      <c r="V5121" s="51" t="s">
        <v>2365</v>
      </c>
      <c r="W5121" s="51" t="s">
        <v>8904</v>
      </c>
      <c r="X5121" s="51" t="s">
        <v>2359</v>
      </c>
    </row>
    <row r="5122" customFormat="false" ht="14.25" hidden="true" customHeight="false" outlineLevel="0" collapsed="false">
      <c r="A5122" s="49" t="s">
        <v>2349</v>
      </c>
      <c r="B5122" s="49" t="s">
        <v>2350</v>
      </c>
      <c r="C5122" s="49" t="s">
        <v>9307</v>
      </c>
      <c r="D5122" s="49" t="s">
        <v>2352</v>
      </c>
      <c r="E5122" s="49" t="s">
        <v>4166</v>
      </c>
      <c r="F5122" s="49" t="s">
        <v>4167</v>
      </c>
      <c r="G5122" s="49" t="n">
        <v>0</v>
      </c>
      <c r="H5122" s="0" t="n">
        <v>0</v>
      </c>
      <c r="M5122" s="51" t="s">
        <v>9295</v>
      </c>
      <c r="N5122" s="49" t="n">
        <v>0</v>
      </c>
      <c r="O5122" s="53" t="n">
        <v>45833.6209027778</v>
      </c>
      <c r="P5122" s="53" t="n">
        <v>45839.3120949074</v>
      </c>
      <c r="Q5122" s="53" t="n">
        <v>45833.6209027778</v>
      </c>
      <c r="R5122" s="0" t="n">
        <v>0</v>
      </c>
      <c r="S5122" s="51" t="s">
        <v>2356</v>
      </c>
      <c r="T5122" s="51" t="s">
        <v>2356</v>
      </c>
      <c r="U5122" s="51" t="s">
        <v>4166</v>
      </c>
      <c r="V5122" s="51" t="s">
        <v>2365</v>
      </c>
      <c r="W5122" s="51" t="s">
        <v>8904</v>
      </c>
      <c r="X5122" s="51" t="s">
        <v>2359</v>
      </c>
    </row>
    <row r="5123" customFormat="false" ht="14.25" hidden="true" customHeight="false" outlineLevel="0" collapsed="false">
      <c r="A5123" s="49" t="s">
        <v>2349</v>
      </c>
      <c r="B5123" s="49" t="s">
        <v>2350</v>
      </c>
      <c r="C5123" s="49" t="s">
        <v>9308</v>
      </c>
      <c r="D5123" s="49" t="s">
        <v>2352</v>
      </c>
      <c r="E5123" s="49" t="s">
        <v>4166</v>
      </c>
      <c r="F5123" s="49" t="s">
        <v>4167</v>
      </c>
      <c r="G5123" s="49" t="n">
        <v>0</v>
      </c>
      <c r="H5123" s="0" t="n">
        <v>0</v>
      </c>
      <c r="M5123" s="51" t="s">
        <v>9295</v>
      </c>
      <c r="N5123" s="49" t="n">
        <v>0</v>
      </c>
      <c r="O5123" s="53" t="n">
        <v>45833.6207523148</v>
      </c>
      <c r="P5123" s="53" t="n">
        <v>45839.3123611111</v>
      </c>
      <c r="Q5123" s="53" t="n">
        <v>45833.6207523148</v>
      </c>
      <c r="R5123" s="0" t="n">
        <v>0</v>
      </c>
      <c r="S5123" s="51" t="s">
        <v>2356</v>
      </c>
      <c r="T5123" s="51" t="s">
        <v>2356</v>
      </c>
      <c r="U5123" s="51" t="s">
        <v>4166</v>
      </c>
      <c r="V5123" s="51" t="s">
        <v>2365</v>
      </c>
      <c r="W5123" s="51" t="s">
        <v>4120</v>
      </c>
      <c r="X5123" s="51" t="s">
        <v>2359</v>
      </c>
    </row>
    <row r="5124" customFormat="false" ht="14.25" hidden="true" customHeight="false" outlineLevel="0" collapsed="false">
      <c r="A5124" s="49" t="s">
        <v>2349</v>
      </c>
      <c r="B5124" s="49" t="s">
        <v>2350</v>
      </c>
      <c r="C5124" s="49" t="s">
        <v>9309</v>
      </c>
      <c r="D5124" s="49" t="s">
        <v>2352</v>
      </c>
      <c r="E5124" s="49" t="s">
        <v>4166</v>
      </c>
      <c r="F5124" s="49" t="s">
        <v>4167</v>
      </c>
      <c r="G5124" s="49" t="n">
        <v>0</v>
      </c>
      <c r="H5124" s="0" t="n">
        <v>0</v>
      </c>
      <c r="M5124" s="51" t="s">
        <v>9295</v>
      </c>
      <c r="N5124" s="49" t="n">
        <v>0</v>
      </c>
      <c r="O5124" s="53" t="n">
        <v>45833.6206597222</v>
      </c>
      <c r="P5124" s="53" t="n">
        <v>45839.3125347222</v>
      </c>
      <c r="Q5124" s="53" t="n">
        <v>45833.6206597222</v>
      </c>
      <c r="R5124" s="0" t="n">
        <v>0</v>
      </c>
      <c r="S5124" s="51" t="s">
        <v>2356</v>
      </c>
      <c r="T5124" s="51" t="s">
        <v>2356</v>
      </c>
      <c r="U5124" s="51" t="s">
        <v>4166</v>
      </c>
      <c r="V5124" s="51" t="s">
        <v>2365</v>
      </c>
      <c r="W5124" s="51" t="s">
        <v>4122</v>
      </c>
      <c r="X5124" s="51" t="s">
        <v>2359</v>
      </c>
    </row>
    <row r="5125" customFormat="false" ht="14.25" hidden="true" customHeight="false" outlineLevel="0" collapsed="false">
      <c r="A5125" s="49" t="s">
        <v>2349</v>
      </c>
      <c r="B5125" s="49" t="s">
        <v>2350</v>
      </c>
      <c r="C5125" s="49" t="s">
        <v>9310</v>
      </c>
      <c r="D5125" s="49" t="s">
        <v>2352</v>
      </c>
      <c r="E5125" s="49" t="s">
        <v>4166</v>
      </c>
      <c r="F5125" s="49" t="s">
        <v>4167</v>
      </c>
      <c r="G5125" s="49" t="n">
        <v>0</v>
      </c>
      <c r="H5125" s="0" t="n">
        <v>0</v>
      </c>
      <c r="M5125" s="51" t="s">
        <v>9295</v>
      </c>
      <c r="N5125" s="49" t="n">
        <v>0</v>
      </c>
      <c r="O5125" s="53" t="n">
        <v>45833.6205555556</v>
      </c>
      <c r="P5125" s="53" t="n">
        <v>45839.313275463</v>
      </c>
      <c r="Q5125" s="53" t="n">
        <v>45833.6205555556</v>
      </c>
      <c r="R5125" s="0" t="n">
        <v>0</v>
      </c>
      <c r="S5125" s="51" t="s">
        <v>2356</v>
      </c>
      <c r="T5125" s="51" t="s">
        <v>2356</v>
      </c>
      <c r="U5125" s="51" t="s">
        <v>4166</v>
      </c>
      <c r="V5125" s="51" t="s">
        <v>2365</v>
      </c>
      <c r="W5125" s="51" t="s">
        <v>4609</v>
      </c>
      <c r="X5125" s="51" t="s">
        <v>2359</v>
      </c>
    </row>
    <row r="5126" customFormat="false" ht="14.25" hidden="true" customHeight="false" outlineLevel="0" collapsed="false">
      <c r="A5126" s="49" t="s">
        <v>2349</v>
      </c>
      <c r="B5126" s="49" t="s">
        <v>2350</v>
      </c>
      <c r="C5126" s="49" t="s">
        <v>9311</v>
      </c>
      <c r="D5126" s="49" t="s">
        <v>2352</v>
      </c>
      <c r="E5126" s="49" t="s">
        <v>4166</v>
      </c>
      <c r="F5126" s="49" t="s">
        <v>4167</v>
      </c>
      <c r="G5126" s="49" t="n">
        <v>0</v>
      </c>
      <c r="H5126" s="0" t="n">
        <v>0</v>
      </c>
      <c r="M5126" s="51" t="s">
        <v>9295</v>
      </c>
      <c r="N5126" s="49" t="n">
        <v>0</v>
      </c>
      <c r="O5126" s="53" t="n">
        <v>45833.6204282407</v>
      </c>
      <c r="P5126" s="53" t="n">
        <v>45839.3140625</v>
      </c>
      <c r="Q5126" s="53" t="n">
        <v>45833.6204282407</v>
      </c>
      <c r="R5126" s="0" t="n">
        <v>0</v>
      </c>
      <c r="S5126" s="51" t="s">
        <v>2356</v>
      </c>
      <c r="T5126" s="51" t="s">
        <v>2356</v>
      </c>
      <c r="U5126" s="51" t="s">
        <v>4166</v>
      </c>
      <c r="V5126" s="51" t="s">
        <v>2365</v>
      </c>
      <c r="W5126" s="51" t="s">
        <v>4373</v>
      </c>
      <c r="X5126" s="51" t="s">
        <v>2359</v>
      </c>
    </row>
    <row r="5127" customFormat="false" ht="14.25" hidden="true" customHeight="false" outlineLevel="0" collapsed="false">
      <c r="A5127" s="49" t="s">
        <v>2349</v>
      </c>
      <c r="B5127" s="49" t="s">
        <v>2350</v>
      </c>
      <c r="C5127" s="49" t="s">
        <v>9312</v>
      </c>
      <c r="D5127" s="49" t="s">
        <v>2352</v>
      </c>
      <c r="E5127" s="49" t="s">
        <v>4166</v>
      </c>
      <c r="F5127" s="49" t="s">
        <v>4167</v>
      </c>
      <c r="G5127" s="49" t="n">
        <v>0</v>
      </c>
      <c r="H5127" s="0" t="n">
        <v>0</v>
      </c>
      <c r="M5127" s="51" t="s">
        <v>9295</v>
      </c>
      <c r="N5127" s="49" t="n">
        <v>0</v>
      </c>
      <c r="O5127" s="53" t="n">
        <v>45833.6203009259</v>
      </c>
      <c r="P5127" s="53" t="n">
        <v>45839.3143402778</v>
      </c>
      <c r="Q5127" s="53" t="n">
        <v>45833.6203009259</v>
      </c>
      <c r="R5127" s="0" t="n">
        <v>0</v>
      </c>
      <c r="S5127" s="51" t="s">
        <v>2356</v>
      </c>
      <c r="T5127" s="51" t="s">
        <v>2356</v>
      </c>
      <c r="U5127" s="51" t="s">
        <v>4166</v>
      </c>
      <c r="V5127" s="51" t="s">
        <v>2365</v>
      </c>
      <c r="W5127" s="51" t="s">
        <v>5466</v>
      </c>
      <c r="X5127" s="51" t="s">
        <v>2359</v>
      </c>
    </row>
    <row r="5128" customFormat="false" ht="14.25" hidden="true" customHeight="false" outlineLevel="0" collapsed="false">
      <c r="A5128" s="49" t="s">
        <v>2349</v>
      </c>
      <c r="B5128" s="49" t="s">
        <v>2350</v>
      </c>
      <c r="C5128" s="49" t="s">
        <v>9313</v>
      </c>
      <c r="D5128" s="49" t="s">
        <v>2352</v>
      </c>
      <c r="E5128" s="49" t="s">
        <v>4166</v>
      </c>
      <c r="F5128" s="49" t="s">
        <v>4167</v>
      </c>
      <c r="G5128" s="49" t="n">
        <v>0</v>
      </c>
      <c r="H5128" s="0" t="n">
        <v>0</v>
      </c>
      <c r="M5128" s="51" t="s">
        <v>9295</v>
      </c>
      <c r="N5128" s="49" t="n">
        <v>0</v>
      </c>
      <c r="O5128" s="53" t="n">
        <v>45833.6201851852</v>
      </c>
      <c r="P5128" s="53" t="n">
        <v>45839.3147453704</v>
      </c>
      <c r="Q5128" s="53" t="n">
        <v>45833.6201851852</v>
      </c>
      <c r="R5128" s="0" t="n">
        <v>0</v>
      </c>
      <c r="S5128" s="51" t="s">
        <v>2356</v>
      </c>
      <c r="T5128" s="51" t="s">
        <v>2356</v>
      </c>
      <c r="U5128" s="51" t="s">
        <v>4166</v>
      </c>
      <c r="V5128" s="51" t="s">
        <v>2365</v>
      </c>
      <c r="W5128" s="51" t="s">
        <v>5759</v>
      </c>
      <c r="X5128" s="51" t="s">
        <v>2359</v>
      </c>
    </row>
    <row r="5129" customFormat="false" ht="14.25" hidden="true" customHeight="false" outlineLevel="0" collapsed="false">
      <c r="A5129" s="49" t="s">
        <v>2349</v>
      </c>
      <c r="B5129" s="49" t="s">
        <v>2350</v>
      </c>
      <c r="C5129" s="49" t="s">
        <v>9314</v>
      </c>
      <c r="D5129" s="49" t="s">
        <v>2352</v>
      </c>
      <c r="E5129" s="49" t="s">
        <v>4166</v>
      </c>
      <c r="F5129" s="49" t="s">
        <v>4167</v>
      </c>
      <c r="G5129" s="49" t="n">
        <v>0</v>
      </c>
      <c r="H5129" s="0" t="n">
        <v>0</v>
      </c>
      <c r="M5129" s="51" t="s">
        <v>9295</v>
      </c>
      <c r="N5129" s="49" t="n">
        <v>0</v>
      </c>
      <c r="O5129" s="53" t="n">
        <v>45833.6200694444</v>
      </c>
      <c r="P5129" s="53" t="n">
        <v>45839.3137268519</v>
      </c>
      <c r="Q5129" s="53" t="n">
        <v>45833.6200694444</v>
      </c>
      <c r="R5129" s="0" t="n">
        <v>0</v>
      </c>
      <c r="S5129" s="51" t="s">
        <v>2356</v>
      </c>
      <c r="T5129" s="51" t="s">
        <v>2356</v>
      </c>
      <c r="U5129" s="51" t="s">
        <v>4166</v>
      </c>
      <c r="V5129" s="51" t="s">
        <v>2365</v>
      </c>
      <c r="W5129" s="51" t="s">
        <v>5983</v>
      </c>
      <c r="X5129" s="51" t="s">
        <v>2359</v>
      </c>
    </row>
    <row r="5130" customFormat="false" ht="14.25" hidden="true" customHeight="false" outlineLevel="0" collapsed="false">
      <c r="A5130" s="49" t="s">
        <v>2349</v>
      </c>
      <c r="B5130" s="49" t="s">
        <v>2350</v>
      </c>
      <c r="C5130" s="49" t="s">
        <v>9315</v>
      </c>
      <c r="D5130" s="49" t="s">
        <v>2352</v>
      </c>
      <c r="E5130" s="49" t="s">
        <v>4166</v>
      </c>
      <c r="F5130" s="49" t="s">
        <v>4167</v>
      </c>
      <c r="G5130" s="49" t="n">
        <v>0</v>
      </c>
      <c r="H5130" s="0" t="n">
        <v>0</v>
      </c>
      <c r="M5130" s="51" t="s">
        <v>9295</v>
      </c>
      <c r="N5130" s="49" t="n">
        <v>0</v>
      </c>
      <c r="O5130" s="53" t="n">
        <v>45833.6199652778</v>
      </c>
      <c r="P5130" s="53" t="n">
        <v>45839.3135763889</v>
      </c>
      <c r="Q5130" s="53" t="n">
        <v>45833.6199652778</v>
      </c>
      <c r="R5130" s="0" t="n">
        <v>0</v>
      </c>
      <c r="S5130" s="51" t="s">
        <v>2356</v>
      </c>
      <c r="T5130" s="51" t="s">
        <v>2356</v>
      </c>
      <c r="U5130" s="51" t="s">
        <v>4166</v>
      </c>
      <c r="V5130" s="51" t="s">
        <v>2365</v>
      </c>
      <c r="W5130" s="51" t="s">
        <v>3745</v>
      </c>
      <c r="X5130" s="51" t="s">
        <v>2359</v>
      </c>
    </row>
    <row r="5131" customFormat="false" ht="14.25" hidden="true" customHeight="false" outlineLevel="0" collapsed="false">
      <c r="A5131" s="49" t="s">
        <v>2349</v>
      </c>
      <c r="B5131" s="49" t="s">
        <v>2350</v>
      </c>
      <c r="C5131" s="49" t="s">
        <v>9316</v>
      </c>
      <c r="D5131" s="49" t="s">
        <v>2352</v>
      </c>
      <c r="E5131" s="49" t="s">
        <v>4166</v>
      </c>
      <c r="F5131" s="49" t="s">
        <v>4167</v>
      </c>
      <c r="G5131" s="49" t="n">
        <v>0</v>
      </c>
      <c r="H5131" s="0" t="n">
        <v>0</v>
      </c>
      <c r="M5131" s="51" t="s">
        <v>9295</v>
      </c>
      <c r="N5131" s="49" t="n">
        <v>0</v>
      </c>
      <c r="O5131" s="53" t="n">
        <v>45833.619849537</v>
      </c>
      <c r="P5131" s="53" t="n">
        <v>45839.3131597222</v>
      </c>
      <c r="Q5131" s="53" t="n">
        <v>45833.619849537</v>
      </c>
      <c r="R5131" s="0" t="n">
        <v>0</v>
      </c>
      <c r="S5131" s="51" t="s">
        <v>2356</v>
      </c>
      <c r="T5131" s="51" t="s">
        <v>2356</v>
      </c>
      <c r="U5131" s="51" t="s">
        <v>4166</v>
      </c>
      <c r="V5131" s="51" t="s">
        <v>2365</v>
      </c>
      <c r="W5131" s="51" t="s">
        <v>9317</v>
      </c>
      <c r="X5131" s="51" t="s">
        <v>2359</v>
      </c>
    </row>
    <row r="5132" customFormat="false" ht="14.25" hidden="true" customHeight="false" outlineLevel="0" collapsed="false">
      <c r="A5132" s="49" t="s">
        <v>2349</v>
      </c>
      <c r="B5132" s="49" t="s">
        <v>2350</v>
      </c>
      <c r="C5132" s="49" t="s">
        <v>9318</v>
      </c>
      <c r="D5132" s="49" t="s">
        <v>2352</v>
      </c>
      <c r="E5132" s="49" t="s">
        <v>4166</v>
      </c>
      <c r="F5132" s="49" t="s">
        <v>4167</v>
      </c>
      <c r="G5132" s="49" t="n">
        <v>0</v>
      </c>
      <c r="H5132" s="0" t="n">
        <v>0</v>
      </c>
      <c r="M5132" s="51" t="s">
        <v>9295</v>
      </c>
      <c r="N5132" s="49" t="n">
        <v>0</v>
      </c>
      <c r="O5132" s="53" t="n">
        <v>45833.6197453704</v>
      </c>
      <c r="P5132" s="53" t="n">
        <v>45839.3117013889</v>
      </c>
      <c r="Q5132" s="53" t="n">
        <v>45833.6197453704</v>
      </c>
      <c r="R5132" s="0" t="n">
        <v>0</v>
      </c>
      <c r="S5132" s="51" t="s">
        <v>2356</v>
      </c>
      <c r="T5132" s="51" t="s">
        <v>2356</v>
      </c>
      <c r="U5132" s="51" t="s">
        <v>4166</v>
      </c>
      <c r="V5132" s="51" t="s">
        <v>2365</v>
      </c>
      <c r="W5132" s="51" t="s">
        <v>5331</v>
      </c>
      <c r="X5132" s="51" t="s">
        <v>2359</v>
      </c>
    </row>
    <row r="5133" customFormat="false" ht="14.25" hidden="true" customHeight="false" outlineLevel="0" collapsed="false">
      <c r="A5133" s="49" t="s">
        <v>2349</v>
      </c>
      <c r="B5133" s="49" t="s">
        <v>2350</v>
      </c>
      <c r="C5133" s="49" t="s">
        <v>9319</v>
      </c>
      <c r="D5133" s="49" t="s">
        <v>2352</v>
      </c>
      <c r="E5133" s="49" t="s">
        <v>3638</v>
      </c>
      <c r="F5133" s="49" t="s">
        <v>3639</v>
      </c>
      <c r="G5133" s="49" t="n">
        <v>0</v>
      </c>
      <c r="H5133" s="0" t="n">
        <v>0</v>
      </c>
      <c r="M5133" s="51" t="s">
        <v>9320</v>
      </c>
      <c r="N5133" s="49" t="n">
        <v>0</v>
      </c>
      <c r="O5133" s="53" t="n">
        <v>45824.5674884259</v>
      </c>
      <c r="P5133" s="53" t="n">
        <v>45826.6427546296</v>
      </c>
      <c r="Q5133" s="53" t="n">
        <v>45824.5674884259</v>
      </c>
      <c r="R5133" s="0" t="n">
        <v>0</v>
      </c>
      <c r="S5133" s="51" t="s">
        <v>2356</v>
      </c>
      <c r="T5133" s="51" t="s">
        <v>2356</v>
      </c>
      <c r="U5133" s="51" t="s">
        <v>3638</v>
      </c>
      <c r="V5133" s="51" t="s">
        <v>2357</v>
      </c>
      <c r="W5133" s="51" t="s">
        <v>3749</v>
      </c>
      <c r="X5133" s="51" t="s">
        <v>2359</v>
      </c>
    </row>
    <row r="5134" customFormat="false" ht="14.25" hidden="true" customHeight="false" outlineLevel="0" collapsed="false">
      <c r="A5134" s="49" t="s">
        <v>2349</v>
      </c>
      <c r="B5134" s="49" t="s">
        <v>2350</v>
      </c>
      <c r="C5134" s="49" t="s">
        <v>9321</v>
      </c>
      <c r="D5134" s="49" t="s">
        <v>2352</v>
      </c>
      <c r="E5134" s="49" t="s">
        <v>3638</v>
      </c>
      <c r="F5134" s="49" t="s">
        <v>3639</v>
      </c>
      <c r="G5134" s="49" t="n">
        <v>0</v>
      </c>
      <c r="H5134" s="0" t="n">
        <v>0</v>
      </c>
      <c r="M5134" s="51" t="s">
        <v>9320</v>
      </c>
      <c r="N5134" s="49" t="n">
        <v>0</v>
      </c>
      <c r="O5134" s="53" t="n">
        <v>45824.5728472222</v>
      </c>
      <c r="P5134" s="53" t="n">
        <v>45951.4390740741</v>
      </c>
      <c r="Q5134" s="53" t="n">
        <v>45824.5728472222</v>
      </c>
      <c r="R5134" s="0" t="n">
        <v>0</v>
      </c>
      <c r="S5134" s="51" t="s">
        <v>2356</v>
      </c>
      <c r="T5134" s="51" t="s">
        <v>2356</v>
      </c>
      <c r="U5134" s="51" t="s">
        <v>3638</v>
      </c>
      <c r="V5134" s="51" t="s">
        <v>2357</v>
      </c>
      <c r="W5134" s="51" t="s">
        <v>4486</v>
      </c>
      <c r="X5134" s="51" t="s">
        <v>2359</v>
      </c>
    </row>
    <row r="5135" customFormat="false" ht="14.25" hidden="true" customHeight="false" outlineLevel="0" collapsed="false">
      <c r="A5135" s="49" t="s">
        <v>2349</v>
      </c>
      <c r="B5135" s="49" t="s">
        <v>2350</v>
      </c>
      <c r="C5135" s="49" t="s">
        <v>9322</v>
      </c>
      <c r="D5135" s="49" t="s">
        <v>2352</v>
      </c>
      <c r="E5135" s="49" t="s">
        <v>6853</v>
      </c>
      <c r="F5135" s="49" t="s">
        <v>6854</v>
      </c>
      <c r="G5135" s="49" t="n">
        <v>0</v>
      </c>
      <c r="H5135" s="0" t="n">
        <v>0</v>
      </c>
      <c r="M5135" s="51" t="s">
        <v>9320</v>
      </c>
      <c r="N5135" s="49" t="n">
        <v>0</v>
      </c>
      <c r="O5135" s="53" t="n">
        <v>45824.5758564815</v>
      </c>
      <c r="P5135" s="53" t="n">
        <v>45907.471087963</v>
      </c>
      <c r="Q5135" s="53" t="n">
        <v>45824.5758564815</v>
      </c>
      <c r="R5135" s="0" t="n">
        <v>0</v>
      </c>
      <c r="S5135" s="51" t="s">
        <v>2356</v>
      </c>
      <c r="T5135" s="51" t="s">
        <v>2356</v>
      </c>
      <c r="U5135" s="51" t="s">
        <v>6853</v>
      </c>
      <c r="V5135" s="51" t="s">
        <v>2357</v>
      </c>
      <c r="W5135" s="51" t="s">
        <v>3681</v>
      </c>
      <c r="X5135" s="51" t="s">
        <v>2359</v>
      </c>
    </row>
    <row r="5136" customFormat="false" ht="14.25" hidden="true" customHeight="false" outlineLevel="0" collapsed="false">
      <c r="A5136" s="49" t="s">
        <v>2349</v>
      </c>
      <c r="B5136" s="49" t="s">
        <v>2350</v>
      </c>
      <c r="C5136" s="49" t="str">
        <f aca="false">"111"</f>
        <v>111</v>
      </c>
      <c r="D5136" s="49" t="s">
        <v>2352</v>
      </c>
      <c r="E5136" s="49" t="str">
        <f aca="false">"8022180000122"</f>
        <v>8022180000122</v>
      </c>
      <c r="F5136" s="49" t="s">
        <v>3971</v>
      </c>
      <c r="G5136" s="49" t="n">
        <v>0</v>
      </c>
      <c r="H5136" s="0" t="n">
        <v>0</v>
      </c>
      <c r="M5136" s="51" t="s">
        <v>9323</v>
      </c>
      <c r="N5136" s="49" t="n">
        <v>0</v>
      </c>
      <c r="O5136" s="53" t="n">
        <v>45886.4378009259</v>
      </c>
      <c r="P5136" s="53" t="n">
        <v>45886.4408796296</v>
      </c>
      <c r="R5136" s="0" t="n">
        <v>0</v>
      </c>
      <c r="T5136" s="51" t="s">
        <v>8825</v>
      </c>
      <c r="U5136" s="0" t="str">
        <f aca="false">"8022180000122"</f>
        <v>8022180000122</v>
      </c>
      <c r="V5136" s="51" t="s">
        <v>2365</v>
      </c>
      <c r="W5136" s="51" t="s">
        <v>9324</v>
      </c>
      <c r="X5136" s="51" t="s">
        <v>2359</v>
      </c>
    </row>
    <row r="5137" customFormat="false" ht="14.25" hidden="true" customHeight="false" outlineLevel="0" collapsed="false">
      <c r="A5137" s="49" t="s">
        <v>2349</v>
      </c>
      <c r="B5137" s="49" t="s">
        <v>2350</v>
      </c>
      <c r="C5137" s="49" t="s">
        <v>9325</v>
      </c>
      <c r="D5137" s="49" t="s">
        <v>2352</v>
      </c>
      <c r="E5137" s="49" t="str">
        <f aca="false">"8022180031937"</f>
        <v>8022180031937</v>
      </c>
      <c r="F5137" s="49" t="s">
        <v>9326</v>
      </c>
      <c r="G5137" s="49" t="n">
        <v>0</v>
      </c>
      <c r="H5137" s="0" t="n">
        <v>0</v>
      </c>
      <c r="M5137" s="51" t="s">
        <v>9323</v>
      </c>
      <c r="N5137" s="49" t="n">
        <v>0</v>
      </c>
      <c r="O5137" s="53" t="n">
        <v>45826.6711111111</v>
      </c>
      <c r="P5137" s="53" t="n">
        <v>46018.6028472222</v>
      </c>
      <c r="Q5137" s="53" t="n">
        <v>45826.6711111111</v>
      </c>
      <c r="R5137" s="0" t="n">
        <v>0</v>
      </c>
      <c r="S5137" s="51" t="s">
        <v>3780</v>
      </c>
      <c r="T5137" s="51" t="s">
        <v>3780</v>
      </c>
      <c r="U5137" s="0" t="str">
        <f aca="false">"8022180031937"</f>
        <v>8022180031937</v>
      </c>
      <c r="V5137" s="51" t="s">
        <v>7596</v>
      </c>
      <c r="W5137" s="51" t="s">
        <v>9327</v>
      </c>
      <c r="X5137" s="51" t="s">
        <v>2359</v>
      </c>
    </row>
    <row r="5138" customFormat="false" ht="14.25" hidden="true" customHeight="false" outlineLevel="0" collapsed="false">
      <c r="A5138" s="49" t="s">
        <v>2349</v>
      </c>
      <c r="B5138" s="49" t="s">
        <v>2350</v>
      </c>
      <c r="C5138" s="49" t="s">
        <v>9328</v>
      </c>
      <c r="D5138" s="49" t="s">
        <v>2352</v>
      </c>
      <c r="E5138" s="49" t="str">
        <f aca="false">"8022180031939"</f>
        <v>8022180031939</v>
      </c>
      <c r="F5138" s="49" t="s">
        <v>9329</v>
      </c>
      <c r="G5138" s="49" t="n">
        <v>0</v>
      </c>
      <c r="H5138" s="0" t="n">
        <v>0</v>
      </c>
      <c r="M5138" s="51" t="s">
        <v>9323</v>
      </c>
      <c r="N5138" s="49" t="n">
        <v>0</v>
      </c>
      <c r="O5138" s="53" t="n">
        <v>45826.6715162037</v>
      </c>
      <c r="P5138" s="53" t="n">
        <v>46018.6000115741</v>
      </c>
      <c r="Q5138" s="53" t="n">
        <v>45826.6715162037</v>
      </c>
      <c r="R5138" s="0" t="n">
        <v>0</v>
      </c>
      <c r="S5138" s="51" t="s">
        <v>3780</v>
      </c>
      <c r="T5138" s="51" t="s">
        <v>3780</v>
      </c>
      <c r="U5138" s="0" t="str">
        <f aca="false">"8022180031939"</f>
        <v>8022180031939</v>
      </c>
      <c r="V5138" s="51" t="s">
        <v>7596</v>
      </c>
      <c r="W5138" s="51" t="s">
        <v>9330</v>
      </c>
      <c r="X5138" s="51" t="s">
        <v>2359</v>
      </c>
    </row>
    <row r="5139" customFormat="false" ht="14.25" hidden="true" customHeight="false" outlineLevel="0" collapsed="false">
      <c r="A5139" s="49" t="s">
        <v>2349</v>
      </c>
      <c r="B5139" s="49" t="s">
        <v>2350</v>
      </c>
      <c r="C5139" s="49" t="s">
        <v>9331</v>
      </c>
      <c r="D5139" s="49" t="s">
        <v>2352</v>
      </c>
      <c r="E5139" s="49" t="str">
        <f aca="false">"8022180031938"</f>
        <v>8022180031938</v>
      </c>
      <c r="F5139" s="49" t="s">
        <v>9332</v>
      </c>
      <c r="G5139" s="49" t="n">
        <v>0</v>
      </c>
      <c r="H5139" s="0" t="n">
        <v>0</v>
      </c>
      <c r="M5139" s="51" t="s">
        <v>9323</v>
      </c>
      <c r="N5139" s="49" t="n">
        <v>0</v>
      </c>
      <c r="O5139" s="53" t="n">
        <v>45826.6721412037</v>
      </c>
      <c r="P5139" s="53" t="n">
        <v>46018.5962962963</v>
      </c>
      <c r="Q5139" s="53" t="n">
        <v>45826.6721412037</v>
      </c>
      <c r="R5139" s="0" t="n">
        <v>0</v>
      </c>
      <c r="S5139" s="51" t="s">
        <v>3780</v>
      </c>
      <c r="T5139" s="51" t="s">
        <v>3780</v>
      </c>
      <c r="U5139" s="0" t="str">
        <f aca="false">"8022180031938"</f>
        <v>8022180031938</v>
      </c>
      <c r="V5139" s="51" t="s">
        <v>7596</v>
      </c>
      <c r="W5139" s="51" t="s">
        <v>4227</v>
      </c>
      <c r="X5139" s="51" t="s">
        <v>2359</v>
      </c>
    </row>
    <row r="5140" customFormat="false" ht="14.25" hidden="true" customHeight="false" outlineLevel="0" collapsed="false">
      <c r="A5140" s="49" t="s">
        <v>2349</v>
      </c>
      <c r="B5140" s="49" t="s">
        <v>2350</v>
      </c>
      <c r="C5140" s="49" t="s">
        <v>9333</v>
      </c>
      <c r="D5140" s="49" t="s">
        <v>2352</v>
      </c>
      <c r="E5140" s="49" t="str">
        <f aca="false">"8022180000124"</f>
        <v>8022180000124</v>
      </c>
      <c r="F5140" s="49" t="s">
        <v>9334</v>
      </c>
      <c r="G5140" s="49" t="n">
        <v>0</v>
      </c>
      <c r="H5140" s="0" t="n">
        <v>0</v>
      </c>
      <c r="M5140" s="51" t="s">
        <v>9323</v>
      </c>
      <c r="N5140" s="49" t="n">
        <v>0</v>
      </c>
      <c r="O5140" s="53" t="n">
        <v>45826.6725694445</v>
      </c>
      <c r="P5140" s="53" t="n">
        <v>46018.5995601852</v>
      </c>
      <c r="Q5140" s="53" t="n">
        <v>45826.6725694445</v>
      </c>
      <c r="R5140" s="0" t="n">
        <v>0</v>
      </c>
      <c r="S5140" s="51" t="s">
        <v>3780</v>
      </c>
      <c r="T5140" s="51" t="s">
        <v>3780</v>
      </c>
      <c r="U5140" s="0" t="str">
        <f aca="false">"8022180000124"</f>
        <v>8022180000124</v>
      </c>
      <c r="V5140" s="51" t="s">
        <v>7596</v>
      </c>
      <c r="W5140" s="51" t="s">
        <v>5048</v>
      </c>
      <c r="X5140" s="51" t="s">
        <v>2359</v>
      </c>
    </row>
    <row r="5141" customFormat="false" ht="14.25" hidden="true" customHeight="false" outlineLevel="0" collapsed="false">
      <c r="A5141" s="49" t="s">
        <v>2349</v>
      </c>
      <c r="B5141" s="49" t="s">
        <v>2350</v>
      </c>
      <c r="C5141" s="49" t="s">
        <v>9335</v>
      </c>
      <c r="D5141" s="49" t="s">
        <v>2352</v>
      </c>
      <c r="E5141" s="49" t="str">
        <f aca="false">"8022180031941"</f>
        <v>8022180031941</v>
      </c>
      <c r="F5141" s="49" t="s">
        <v>9336</v>
      </c>
      <c r="G5141" s="49" t="n">
        <v>0</v>
      </c>
      <c r="H5141" s="0" t="n">
        <v>0</v>
      </c>
      <c r="M5141" s="51" t="s">
        <v>9323</v>
      </c>
      <c r="N5141" s="49" t="n">
        <v>0</v>
      </c>
      <c r="O5141" s="53" t="n">
        <v>45826.672974537</v>
      </c>
      <c r="P5141" s="53" t="n">
        <v>46018.5991435185</v>
      </c>
      <c r="Q5141" s="53" t="n">
        <v>45826.672974537</v>
      </c>
      <c r="R5141" s="0" t="n">
        <v>0</v>
      </c>
      <c r="S5141" s="51" t="s">
        <v>3780</v>
      </c>
      <c r="T5141" s="51" t="s">
        <v>3780</v>
      </c>
      <c r="U5141" s="0" t="str">
        <f aca="false">"8022180031941"</f>
        <v>8022180031941</v>
      </c>
      <c r="V5141" s="51" t="s">
        <v>7596</v>
      </c>
      <c r="W5141" s="51" t="s">
        <v>9337</v>
      </c>
      <c r="X5141" s="51" t="s">
        <v>2359</v>
      </c>
    </row>
    <row r="5142" customFormat="false" ht="14.25" hidden="true" customHeight="false" outlineLevel="0" collapsed="false">
      <c r="A5142" s="49" t="s">
        <v>2349</v>
      </c>
      <c r="B5142" s="49" t="s">
        <v>2350</v>
      </c>
      <c r="C5142" s="49" t="s">
        <v>9338</v>
      </c>
      <c r="D5142" s="49" t="s">
        <v>2352</v>
      </c>
      <c r="E5142" s="49" t="str">
        <f aca="false">"8022180031940"</f>
        <v>8022180031940</v>
      </c>
      <c r="F5142" s="49" t="s">
        <v>9339</v>
      </c>
      <c r="G5142" s="49" t="n">
        <v>0</v>
      </c>
      <c r="H5142" s="0" t="n">
        <v>0</v>
      </c>
      <c r="M5142" s="51" t="s">
        <v>9323</v>
      </c>
      <c r="N5142" s="49" t="n">
        <v>0</v>
      </c>
      <c r="O5142" s="53" t="n">
        <v>45826.6734143519</v>
      </c>
      <c r="P5142" s="53" t="n">
        <v>46018.6021759259</v>
      </c>
      <c r="Q5142" s="53" t="n">
        <v>45826.6734143519</v>
      </c>
      <c r="R5142" s="0" t="n">
        <v>0</v>
      </c>
      <c r="S5142" s="51" t="s">
        <v>3780</v>
      </c>
      <c r="T5142" s="51" t="s">
        <v>3780</v>
      </c>
      <c r="U5142" s="0" t="str">
        <f aca="false">"8022180031940"</f>
        <v>8022180031940</v>
      </c>
      <c r="V5142" s="51" t="s">
        <v>7596</v>
      </c>
      <c r="W5142" s="51" t="s">
        <v>9340</v>
      </c>
      <c r="X5142" s="51" t="s">
        <v>2359</v>
      </c>
    </row>
    <row r="5143" customFormat="false" ht="14.25" hidden="true" customHeight="false" outlineLevel="0" collapsed="false">
      <c r="A5143" s="49" t="s">
        <v>2349</v>
      </c>
      <c r="B5143" s="49" t="s">
        <v>2350</v>
      </c>
      <c r="C5143" s="49" t="s">
        <v>9341</v>
      </c>
      <c r="D5143" s="49" t="s">
        <v>2352</v>
      </c>
      <c r="E5143" s="49" t="str">
        <f aca="false">"8022180031936"</f>
        <v>8022180031936</v>
      </c>
      <c r="F5143" s="49" t="s">
        <v>9342</v>
      </c>
      <c r="G5143" s="49" t="n">
        <v>0</v>
      </c>
      <c r="H5143" s="0" t="n">
        <v>0</v>
      </c>
      <c r="M5143" s="51" t="s">
        <v>9323</v>
      </c>
      <c r="N5143" s="49" t="n">
        <v>0</v>
      </c>
      <c r="O5143" s="53" t="n">
        <v>45826.6740625</v>
      </c>
      <c r="P5143" s="53" t="n">
        <v>46018.6015046296</v>
      </c>
      <c r="Q5143" s="53" t="n">
        <v>45826.6740625</v>
      </c>
      <c r="R5143" s="0" t="n">
        <v>0</v>
      </c>
      <c r="S5143" s="51" t="s">
        <v>3780</v>
      </c>
      <c r="T5143" s="51" t="s">
        <v>3780</v>
      </c>
      <c r="U5143" s="0" t="str">
        <f aca="false">"8022180031936"</f>
        <v>8022180031936</v>
      </c>
      <c r="V5143" s="51" t="s">
        <v>7596</v>
      </c>
      <c r="W5143" s="51" t="s">
        <v>9343</v>
      </c>
      <c r="X5143" s="51" t="s">
        <v>2359</v>
      </c>
    </row>
    <row r="5144" customFormat="false" ht="14.25" hidden="true" customHeight="false" outlineLevel="0" collapsed="false">
      <c r="A5144" s="49" t="s">
        <v>2349</v>
      </c>
      <c r="B5144" s="49" t="s">
        <v>2350</v>
      </c>
      <c r="C5144" s="49" t="s">
        <v>9344</v>
      </c>
      <c r="D5144" s="49" t="s">
        <v>2352</v>
      </c>
      <c r="E5144" s="49" t="str">
        <f aca="false">"8022180000122"</f>
        <v>8022180000122</v>
      </c>
      <c r="F5144" s="49" t="s">
        <v>3971</v>
      </c>
      <c r="G5144" s="49" t="n">
        <v>0</v>
      </c>
      <c r="H5144" s="0" t="n">
        <v>0</v>
      </c>
      <c r="M5144" s="51" t="s">
        <v>9323</v>
      </c>
      <c r="N5144" s="49" t="n">
        <v>0</v>
      </c>
      <c r="O5144" s="53" t="n">
        <v>45826.6771296296</v>
      </c>
      <c r="P5144" s="53" t="n">
        <v>45830.7995949074</v>
      </c>
      <c r="Q5144" s="53" t="n">
        <v>45826.6771296296</v>
      </c>
      <c r="R5144" s="0" t="n">
        <v>0</v>
      </c>
      <c r="S5144" s="51" t="s">
        <v>3780</v>
      </c>
      <c r="T5144" s="51" t="s">
        <v>3780</v>
      </c>
      <c r="U5144" s="0" t="str">
        <f aca="false">"8022180000122"</f>
        <v>8022180000122</v>
      </c>
      <c r="V5144" s="51" t="s">
        <v>2365</v>
      </c>
      <c r="W5144" s="51" t="s">
        <v>9345</v>
      </c>
      <c r="X5144" s="51" t="s">
        <v>2359</v>
      </c>
    </row>
    <row r="5145" customFormat="false" ht="14.25" hidden="true" customHeight="false" outlineLevel="0" collapsed="false">
      <c r="A5145" s="49" t="s">
        <v>2349</v>
      </c>
      <c r="B5145" s="49" t="s">
        <v>2350</v>
      </c>
      <c r="C5145" s="49" t="s">
        <v>9346</v>
      </c>
      <c r="D5145" s="49" t="s">
        <v>2352</v>
      </c>
      <c r="E5145" s="49" t="str">
        <f aca="false">"8022180000122"</f>
        <v>8022180000122</v>
      </c>
      <c r="F5145" s="49" t="s">
        <v>3971</v>
      </c>
      <c r="G5145" s="49" t="n">
        <v>0</v>
      </c>
      <c r="H5145" s="0" t="n">
        <v>0</v>
      </c>
      <c r="M5145" s="51" t="s">
        <v>9323</v>
      </c>
      <c r="N5145" s="49" t="n">
        <v>0</v>
      </c>
      <c r="O5145" s="53" t="n">
        <v>45826.6769328704</v>
      </c>
      <c r="P5145" s="53" t="n">
        <v>45830.7985069445</v>
      </c>
      <c r="Q5145" s="53" t="n">
        <v>45826.6769328704</v>
      </c>
      <c r="R5145" s="0" t="n">
        <v>0</v>
      </c>
      <c r="S5145" s="51" t="s">
        <v>3780</v>
      </c>
      <c r="T5145" s="51" t="s">
        <v>3780</v>
      </c>
      <c r="U5145" s="0" t="str">
        <f aca="false">"8022180000122"</f>
        <v>8022180000122</v>
      </c>
      <c r="V5145" s="51" t="s">
        <v>2365</v>
      </c>
      <c r="W5145" s="51" t="s">
        <v>9347</v>
      </c>
      <c r="X5145" s="51" t="s">
        <v>2359</v>
      </c>
    </row>
    <row r="5146" customFormat="false" ht="14.25" hidden="true" customHeight="false" outlineLevel="0" collapsed="false">
      <c r="A5146" s="49" t="s">
        <v>2349</v>
      </c>
      <c r="B5146" s="49" t="s">
        <v>2350</v>
      </c>
      <c r="C5146" s="49" t="s">
        <v>9348</v>
      </c>
      <c r="D5146" s="49" t="s">
        <v>2352</v>
      </c>
      <c r="E5146" s="49" t="str">
        <f aca="false">"8022180000122"</f>
        <v>8022180000122</v>
      </c>
      <c r="F5146" s="49" t="s">
        <v>3971</v>
      </c>
      <c r="G5146" s="49" t="n">
        <v>0</v>
      </c>
      <c r="H5146" s="0" t="n">
        <v>0</v>
      </c>
      <c r="M5146" s="51" t="s">
        <v>9323</v>
      </c>
      <c r="N5146" s="49" t="n">
        <v>0</v>
      </c>
      <c r="O5146" s="53" t="n">
        <v>45826.6773842593</v>
      </c>
      <c r="P5146" s="53" t="n">
        <v>45839.3467592593</v>
      </c>
      <c r="Q5146" s="53" t="n">
        <v>45826.6773842593</v>
      </c>
      <c r="R5146" s="0" t="n">
        <v>0</v>
      </c>
      <c r="S5146" s="51" t="s">
        <v>3780</v>
      </c>
      <c r="T5146" s="51" t="s">
        <v>3780</v>
      </c>
      <c r="U5146" s="0" t="str">
        <f aca="false">"8022180000122"</f>
        <v>8022180000122</v>
      </c>
      <c r="V5146" s="51" t="s">
        <v>2365</v>
      </c>
      <c r="W5146" s="51" t="s">
        <v>5170</v>
      </c>
      <c r="X5146" s="51" t="s">
        <v>2359</v>
      </c>
    </row>
    <row r="5147" customFormat="false" ht="14.25" hidden="true" customHeight="false" outlineLevel="0" collapsed="false">
      <c r="A5147" s="49" t="s">
        <v>2349</v>
      </c>
      <c r="B5147" s="49" t="s">
        <v>2350</v>
      </c>
      <c r="C5147" s="49" t="s">
        <v>9349</v>
      </c>
      <c r="D5147" s="49" t="s">
        <v>2352</v>
      </c>
      <c r="E5147" s="49" t="str">
        <f aca="false">"8022180000122"</f>
        <v>8022180000122</v>
      </c>
      <c r="F5147" s="49" t="s">
        <v>3971</v>
      </c>
      <c r="G5147" s="49" t="n">
        <v>0</v>
      </c>
      <c r="H5147" s="0" t="n">
        <v>0</v>
      </c>
      <c r="M5147" s="51" t="s">
        <v>9323</v>
      </c>
      <c r="N5147" s="49" t="n">
        <v>0</v>
      </c>
      <c r="O5147" s="53" t="n">
        <v>45826.6772569444</v>
      </c>
      <c r="P5147" s="53" t="n">
        <v>45830.7936226852</v>
      </c>
      <c r="Q5147" s="53" t="n">
        <v>45826.6772569444</v>
      </c>
      <c r="R5147" s="0" t="n">
        <v>0</v>
      </c>
      <c r="S5147" s="51" t="s">
        <v>3780</v>
      </c>
      <c r="T5147" s="51" t="s">
        <v>3780</v>
      </c>
      <c r="U5147" s="0" t="str">
        <f aca="false">"8022180000122"</f>
        <v>8022180000122</v>
      </c>
      <c r="V5147" s="51" t="s">
        <v>2365</v>
      </c>
      <c r="W5147" s="51" t="s">
        <v>4511</v>
      </c>
      <c r="X5147" s="51" t="s">
        <v>2359</v>
      </c>
    </row>
    <row r="5148" customFormat="false" ht="14.25" hidden="true" customHeight="false" outlineLevel="0" collapsed="false">
      <c r="A5148" s="49" t="s">
        <v>2349</v>
      </c>
      <c r="B5148" s="49" t="s">
        <v>2350</v>
      </c>
      <c r="C5148" s="49" t="s">
        <v>9350</v>
      </c>
      <c r="D5148" s="49" t="s">
        <v>2352</v>
      </c>
      <c r="E5148" s="49" t="str">
        <f aca="false">"8022180000122"</f>
        <v>8022180000122</v>
      </c>
      <c r="F5148" s="49" t="s">
        <v>3971</v>
      </c>
      <c r="G5148" s="49" t="n">
        <v>0</v>
      </c>
      <c r="H5148" s="0" t="n">
        <v>0</v>
      </c>
      <c r="M5148" s="51" t="s">
        <v>9323</v>
      </c>
      <c r="N5148" s="49" t="n">
        <v>0</v>
      </c>
      <c r="O5148" s="53" t="n">
        <v>45826.6776736111</v>
      </c>
      <c r="P5148" s="53" t="n">
        <v>45875.4552199074</v>
      </c>
      <c r="Q5148" s="53" t="n">
        <v>45826.6776736111</v>
      </c>
      <c r="R5148" s="0" t="n">
        <v>0</v>
      </c>
      <c r="S5148" s="51" t="s">
        <v>3780</v>
      </c>
      <c r="T5148" s="51" t="s">
        <v>3780</v>
      </c>
      <c r="U5148" s="0" t="str">
        <f aca="false">"8022180000122"</f>
        <v>8022180000122</v>
      </c>
      <c r="V5148" s="51" t="s">
        <v>2365</v>
      </c>
      <c r="W5148" s="51" t="s">
        <v>4784</v>
      </c>
      <c r="X5148" s="51" t="s">
        <v>2359</v>
      </c>
    </row>
    <row r="5149" customFormat="false" ht="14.25" hidden="true" customHeight="false" outlineLevel="0" collapsed="false">
      <c r="A5149" s="49" t="s">
        <v>2349</v>
      </c>
      <c r="B5149" s="49" t="s">
        <v>2350</v>
      </c>
      <c r="C5149" s="49" t="s">
        <v>9351</v>
      </c>
      <c r="D5149" s="49" t="s">
        <v>2352</v>
      </c>
      <c r="E5149" s="49" t="str">
        <f aca="false">"8022180000122"</f>
        <v>8022180000122</v>
      </c>
      <c r="F5149" s="49" t="s">
        <v>3971</v>
      </c>
      <c r="G5149" s="49" t="n">
        <v>0</v>
      </c>
      <c r="H5149" s="0" t="n">
        <v>0</v>
      </c>
      <c r="M5149" s="51" t="s">
        <v>9323</v>
      </c>
      <c r="N5149" s="49" t="n">
        <v>0</v>
      </c>
      <c r="O5149" s="53" t="n">
        <v>45826.6775462963</v>
      </c>
      <c r="P5149" s="53" t="n">
        <v>45875.4725810185</v>
      </c>
      <c r="Q5149" s="53" t="n">
        <v>45826.6775462963</v>
      </c>
      <c r="R5149" s="0" t="n">
        <v>0</v>
      </c>
      <c r="S5149" s="51" t="s">
        <v>3780</v>
      </c>
      <c r="T5149" s="51" t="s">
        <v>3780</v>
      </c>
      <c r="U5149" s="0" t="str">
        <f aca="false">"8022180000122"</f>
        <v>8022180000122</v>
      </c>
      <c r="V5149" s="51" t="s">
        <v>2365</v>
      </c>
      <c r="W5149" s="51" t="s">
        <v>5863</v>
      </c>
      <c r="X5149" s="51" t="s">
        <v>2359</v>
      </c>
    </row>
    <row r="5150" customFormat="false" ht="14.25" hidden="true" customHeight="false" outlineLevel="0" collapsed="false">
      <c r="A5150" s="49" t="s">
        <v>2349</v>
      </c>
      <c r="B5150" s="49" t="s">
        <v>2350</v>
      </c>
      <c r="C5150" s="49" t="s">
        <v>9352</v>
      </c>
      <c r="D5150" s="49" t="s">
        <v>2352</v>
      </c>
      <c r="E5150" s="49" t="str">
        <f aca="false">"8022180000122"</f>
        <v>8022180000122</v>
      </c>
      <c r="F5150" s="49" t="s">
        <v>3971</v>
      </c>
      <c r="G5150" s="49" t="n">
        <v>0</v>
      </c>
      <c r="H5150" s="0" t="n">
        <v>0</v>
      </c>
      <c r="M5150" s="51" t="s">
        <v>9323</v>
      </c>
      <c r="N5150" s="49" t="n">
        <v>0</v>
      </c>
      <c r="O5150" s="53" t="n">
        <v>45826.678275463</v>
      </c>
      <c r="P5150" s="53" t="n">
        <v>45854.7325810185</v>
      </c>
      <c r="Q5150" s="53" t="n">
        <v>45826.678275463</v>
      </c>
      <c r="R5150" s="0" t="n">
        <v>0</v>
      </c>
      <c r="S5150" s="51" t="s">
        <v>3780</v>
      </c>
      <c r="T5150" s="51" t="s">
        <v>3780</v>
      </c>
      <c r="U5150" s="0" t="str">
        <f aca="false">"8022180000122"</f>
        <v>8022180000122</v>
      </c>
      <c r="V5150" s="51" t="s">
        <v>2365</v>
      </c>
      <c r="W5150" s="51" t="s">
        <v>9353</v>
      </c>
      <c r="X5150" s="51" t="s">
        <v>2359</v>
      </c>
    </row>
    <row r="5151" customFormat="false" ht="14.25" hidden="true" customHeight="false" outlineLevel="0" collapsed="false">
      <c r="A5151" s="49" t="s">
        <v>2349</v>
      </c>
      <c r="B5151" s="49" t="s">
        <v>2350</v>
      </c>
      <c r="C5151" s="49" t="s">
        <v>9354</v>
      </c>
      <c r="D5151" s="49" t="s">
        <v>2352</v>
      </c>
      <c r="E5151" s="49" t="str">
        <f aca="false">"8022180000122"</f>
        <v>8022180000122</v>
      </c>
      <c r="F5151" s="49" t="s">
        <v>3971</v>
      </c>
      <c r="G5151" s="49" t="n">
        <v>0</v>
      </c>
      <c r="H5151" s="0" t="n">
        <v>0</v>
      </c>
      <c r="M5151" s="51" t="s">
        <v>9323</v>
      </c>
      <c r="N5151" s="49" t="n">
        <v>0</v>
      </c>
      <c r="O5151" s="53" t="n">
        <v>45826.6781365741</v>
      </c>
      <c r="P5151" s="53" t="n">
        <v>45843.8394907407</v>
      </c>
      <c r="Q5151" s="53" t="n">
        <v>45826.6781365741</v>
      </c>
      <c r="R5151" s="0" t="n">
        <v>0</v>
      </c>
      <c r="S5151" s="51" t="s">
        <v>3780</v>
      </c>
      <c r="T5151" s="51" t="s">
        <v>3780</v>
      </c>
      <c r="U5151" s="0" t="str">
        <f aca="false">"8022180000122"</f>
        <v>8022180000122</v>
      </c>
      <c r="V5151" s="51" t="s">
        <v>2365</v>
      </c>
      <c r="W5151" s="51" t="s">
        <v>4784</v>
      </c>
      <c r="X5151" s="51" t="s">
        <v>2359</v>
      </c>
    </row>
    <row r="5152" customFormat="false" ht="14.25" hidden="true" customHeight="false" outlineLevel="0" collapsed="false">
      <c r="A5152" s="49" t="s">
        <v>2349</v>
      </c>
      <c r="B5152" s="49" t="s">
        <v>2350</v>
      </c>
      <c r="C5152" s="49" t="s">
        <v>9355</v>
      </c>
      <c r="D5152" s="49" t="s">
        <v>2352</v>
      </c>
      <c r="E5152" s="49" t="str">
        <f aca="false">"8022180000122"</f>
        <v>8022180000122</v>
      </c>
      <c r="F5152" s="49" t="s">
        <v>3971</v>
      </c>
      <c r="G5152" s="49" t="n">
        <v>0</v>
      </c>
      <c r="H5152" s="0" t="n">
        <v>0</v>
      </c>
      <c r="M5152" s="51" t="s">
        <v>9323</v>
      </c>
      <c r="N5152" s="49" t="n">
        <v>0</v>
      </c>
      <c r="O5152" s="53" t="n">
        <v>45826.6817476852</v>
      </c>
      <c r="P5152" s="53" t="n">
        <v>45830.7949074074</v>
      </c>
      <c r="Q5152" s="53" t="n">
        <v>45826.6817476852</v>
      </c>
      <c r="R5152" s="0" t="n">
        <v>0</v>
      </c>
      <c r="S5152" s="51" t="s">
        <v>2380</v>
      </c>
      <c r="T5152" s="51" t="s">
        <v>2380</v>
      </c>
      <c r="U5152" s="0" t="str">
        <f aca="false">"8022180000122"</f>
        <v>8022180000122</v>
      </c>
      <c r="V5152" s="51" t="s">
        <v>2365</v>
      </c>
      <c r="W5152" s="51" t="s">
        <v>6988</v>
      </c>
      <c r="X5152" s="51" t="s">
        <v>2359</v>
      </c>
    </row>
    <row r="5153" customFormat="false" ht="14.25" hidden="true" customHeight="false" outlineLevel="0" collapsed="false">
      <c r="A5153" s="49" t="s">
        <v>2349</v>
      </c>
      <c r="B5153" s="49" t="s">
        <v>2350</v>
      </c>
      <c r="C5153" s="49" t="s">
        <v>9356</v>
      </c>
      <c r="D5153" s="49" t="s">
        <v>2352</v>
      </c>
      <c r="E5153" s="49" t="str">
        <f aca="false">"8022180000122"</f>
        <v>8022180000122</v>
      </c>
      <c r="F5153" s="49" t="s">
        <v>3971</v>
      </c>
      <c r="G5153" s="49" t="n">
        <v>0</v>
      </c>
      <c r="H5153" s="0" t="n">
        <v>0</v>
      </c>
      <c r="M5153" s="51" t="s">
        <v>9323</v>
      </c>
      <c r="N5153" s="49" t="n">
        <v>0</v>
      </c>
      <c r="O5153" s="53" t="n">
        <v>45826.678587963</v>
      </c>
      <c r="P5153" s="53" t="n">
        <v>45830.7954861111</v>
      </c>
      <c r="Q5153" s="53" t="n">
        <v>45826.678587963</v>
      </c>
      <c r="R5153" s="0" t="n">
        <v>0</v>
      </c>
      <c r="S5153" s="51" t="s">
        <v>3780</v>
      </c>
      <c r="T5153" s="51" t="s">
        <v>3780</v>
      </c>
      <c r="U5153" s="0" t="str">
        <f aca="false">"8022180000122"</f>
        <v>8022180000122</v>
      </c>
      <c r="V5153" s="51" t="s">
        <v>2365</v>
      </c>
      <c r="W5153" s="51" t="s">
        <v>6234</v>
      </c>
      <c r="X5153" s="51" t="s">
        <v>2359</v>
      </c>
    </row>
    <row r="5154" customFormat="false" ht="14.25" hidden="true" customHeight="false" outlineLevel="0" collapsed="false">
      <c r="A5154" s="49" t="s">
        <v>2349</v>
      </c>
      <c r="B5154" s="49" t="s">
        <v>2350</v>
      </c>
      <c r="C5154" s="49" t="s">
        <v>9357</v>
      </c>
      <c r="D5154" s="49" t="s">
        <v>2352</v>
      </c>
      <c r="E5154" s="49" t="str">
        <f aca="false">"8022180000122"</f>
        <v>8022180000122</v>
      </c>
      <c r="F5154" s="49" t="s">
        <v>3971</v>
      </c>
      <c r="G5154" s="49" t="n">
        <v>0</v>
      </c>
      <c r="H5154" s="0" t="n">
        <v>0</v>
      </c>
      <c r="M5154" s="51" t="s">
        <v>9323</v>
      </c>
      <c r="N5154" s="49" t="n">
        <v>0</v>
      </c>
      <c r="O5154" s="53" t="n">
        <v>45826.6820023148</v>
      </c>
      <c r="P5154" s="53" t="n">
        <v>45831.4083564815</v>
      </c>
      <c r="Q5154" s="53" t="n">
        <v>45826.6820023148</v>
      </c>
      <c r="R5154" s="0" t="n">
        <v>0</v>
      </c>
      <c r="S5154" s="51" t="s">
        <v>2380</v>
      </c>
      <c r="T5154" s="51" t="s">
        <v>2380</v>
      </c>
      <c r="U5154" s="0" t="str">
        <f aca="false">"8022180000122"</f>
        <v>8022180000122</v>
      </c>
      <c r="V5154" s="51" t="s">
        <v>2365</v>
      </c>
      <c r="W5154" s="51" t="s">
        <v>9358</v>
      </c>
      <c r="X5154" s="51" t="s">
        <v>2359</v>
      </c>
    </row>
    <row r="5155" customFormat="false" ht="14.25" hidden="true" customHeight="false" outlineLevel="0" collapsed="false">
      <c r="A5155" s="49" t="s">
        <v>2349</v>
      </c>
      <c r="B5155" s="49" t="s">
        <v>2350</v>
      </c>
      <c r="C5155" s="49" t="s">
        <v>9359</v>
      </c>
      <c r="D5155" s="49" t="s">
        <v>2352</v>
      </c>
      <c r="E5155" s="49" t="str">
        <f aca="false">"8022180000122"</f>
        <v>8022180000122</v>
      </c>
      <c r="F5155" s="49" t="s">
        <v>3971</v>
      </c>
      <c r="G5155" s="49" t="n">
        <v>0</v>
      </c>
      <c r="H5155" s="0" t="n">
        <v>0</v>
      </c>
      <c r="M5155" s="51" t="s">
        <v>9323</v>
      </c>
      <c r="N5155" s="49" t="n">
        <v>0</v>
      </c>
      <c r="O5155" s="53" t="n">
        <v>45826.6818981482</v>
      </c>
      <c r="P5155" s="53" t="n">
        <v>45839.889375</v>
      </c>
      <c r="Q5155" s="53" t="n">
        <v>45826.6818981482</v>
      </c>
      <c r="R5155" s="0" t="n">
        <v>0</v>
      </c>
      <c r="S5155" s="51" t="s">
        <v>2380</v>
      </c>
      <c r="T5155" s="51" t="s">
        <v>2380</v>
      </c>
      <c r="U5155" s="0" t="str">
        <f aca="false">"8022180000122"</f>
        <v>8022180000122</v>
      </c>
      <c r="V5155" s="51" t="s">
        <v>2365</v>
      </c>
      <c r="W5155" s="51" t="s">
        <v>6198</v>
      </c>
      <c r="X5155" s="51" t="s">
        <v>2359</v>
      </c>
    </row>
    <row r="5156" customFormat="false" ht="14.25" hidden="true" customHeight="false" outlineLevel="0" collapsed="false">
      <c r="A5156" s="49" t="s">
        <v>2349</v>
      </c>
      <c r="B5156" s="49" t="s">
        <v>2350</v>
      </c>
      <c r="C5156" s="49" t="s">
        <v>9360</v>
      </c>
      <c r="D5156" s="49" t="s">
        <v>2352</v>
      </c>
      <c r="E5156" s="49" t="str">
        <f aca="false">"8022180000139"</f>
        <v>8022180000139</v>
      </c>
      <c r="F5156" s="49" t="s">
        <v>4112</v>
      </c>
      <c r="G5156" s="49" t="n">
        <v>0</v>
      </c>
      <c r="H5156" s="0" t="n">
        <v>0</v>
      </c>
      <c r="M5156" s="51" t="s">
        <v>9323</v>
      </c>
      <c r="N5156" s="49" t="n">
        <v>0</v>
      </c>
      <c r="O5156" s="53" t="n">
        <v>45826.6855902778</v>
      </c>
      <c r="P5156" s="53" t="n">
        <v>45830.7911921296</v>
      </c>
      <c r="Q5156" s="53" t="n">
        <v>45826.6855902778</v>
      </c>
      <c r="R5156" s="0" t="n">
        <v>0</v>
      </c>
      <c r="S5156" s="51" t="s">
        <v>2380</v>
      </c>
      <c r="T5156" s="51" t="s">
        <v>2380</v>
      </c>
      <c r="U5156" s="0" t="str">
        <f aca="false">"8022180000139"</f>
        <v>8022180000139</v>
      </c>
      <c r="V5156" s="51" t="s">
        <v>2365</v>
      </c>
      <c r="W5156" s="51" t="s">
        <v>6983</v>
      </c>
      <c r="X5156" s="51" t="s">
        <v>2359</v>
      </c>
    </row>
    <row r="5157" customFormat="false" ht="14.25" hidden="true" customHeight="false" outlineLevel="0" collapsed="false">
      <c r="A5157" s="49" t="s">
        <v>2349</v>
      </c>
      <c r="B5157" s="49" t="s">
        <v>2350</v>
      </c>
      <c r="C5157" s="49" t="s">
        <v>9361</v>
      </c>
      <c r="D5157" s="49" t="s">
        <v>2352</v>
      </c>
      <c r="E5157" s="49" t="str">
        <f aca="false">"8022180000139"</f>
        <v>8022180000139</v>
      </c>
      <c r="F5157" s="49" t="s">
        <v>4112</v>
      </c>
      <c r="G5157" s="49" t="n">
        <v>0</v>
      </c>
      <c r="H5157" s="0" t="n">
        <v>0</v>
      </c>
      <c r="M5157" s="51" t="s">
        <v>9323</v>
      </c>
      <c r="N5157" s="49" t="n">
        <v>0</v>
      </c>
      <c r="O5157" s="53" t="n">
        <v>45826.685462963</v>
      </c>
      <c r="P5157" s="53" t="n">
        <v>45831.4078240741</v>
      </c>
      <c r="Q5157" s="53" t="n">
        <v>45826.685462963</v>
      </c>
      <c r="R5157" s="0" t="n">
        <v>0</v>
      </c>
      <c r="S5157" s="51" t="s">
        <v>2380</v>
      </c>
      <c r="T5157" s="51" t="s">
        <v>2380</v>
      </c>
      <c r="U5157" s="0" t="str">
        <f aca="false">"8022180000139"</f>
        <v>8022180000139</v>
      </c>
      <c r="V5157" s="51" t="s">
        <v>2365</v>
      </c>
      <c r="W5157" s="51" t="s">
        <v>8136</v>
      </c>
      <c r="X5157" s="51" t="s">
        <v>2359</v>
      </c>
    </row>
    <row r="5158" customFormat="false" ht="14.25" hidden="true" customHeight="false" outlineLevel="0" collapsed="false">
      <c r="A5158" s="49" t="s">
        <v>2349</v>
      </c>
      <c r="B5158" s="49" t="s">
        <v>2350</v>
      </c>
      <c r="C5158" s="49" t="s">
        <v>9362</v>
      </c>
      <c r="D5158" s="49" t="s">
        <v>2352</v>
      </c>
      <c r="E5158" s="49" t="str">
        <f aca="false">"8022180000139"</f>
        <v>8022180000139</v>
      </c>
      <c r="F5158" s="49" t="s">
        <v>4112</v>
      </c>
      <c r="G5158" s="49" t="n">
        <v>0</v>
      </c>
      <c r="H5158" s="0" t="n">
        <v>0</v>
      </c>
      <c r="M5158" s="51" t="s">
        <v>9323</v>
      </c>
      <c r="N5158" s="49" t="n">
        <v>0</v>
      </c>
      <c r="O5158" s="53" t="n">
        <v>45826.6851041667</v>
      </c>
      <c r="P5158" s="53" t="n">
        <v>45843.8355555556</v>
      </c>
      <c r="Q5158" s="53" t="n">
        <v>45826.6851041667</v>
      </c>
      <c r="R5158" s="0" t="n">
        <v>0</v>
      </c>
      <c r="S5158" s="51" t="s">
        <v>2380</v>
      </c>
      <c r="T5158" s="51" t="s">
        <v>2380</v>
      </c>
      <c r="U5158" s="0" t="str">
        <f aca="false">"8022180000139"</f>
        <v>8022180000139</v>
      </c>
      <c r="V5158" s="51" t="s">
        <v>2365</v>
      </c>
      <c r="W5158" s="51" t="s">
        <v>9363</v>
      </c>
      <c r="X5158" s="51" t="s">
        <v>2359</v>
      </c>
    </row>
    <row r="5159" customFormat="false" ht="14.25" hidden="true" customHeight="false" outlineLevel="0" collapsed="false">
      <c r="A5159" s="49" t="s">
        <v>2349</v>
      </c>
      <c r="B5159" s="49" t="s">
        <v>2350</v>
      </c>
      <c r="C5159" s="49" t="s">
        <v>9364</v>
      </c>
      <c r="D5159" s="49" t="s">
        <v>2352</v>
      </c>
      <c r="E5159" s="49" t="str">
        <f aca="false">"8022180000139"</f>
        <v>8022180000139</v>
      </c>
      <c r="F5159" s="49" t="s">
        <v>4112</v>
      </c>
      <c r="G5159" s="49" t="n">
        <v>0</v>
      </c>
      <c r="H5159" s="0" t="n">
        <v>0</v>
      </c>
      <c r="M5159" s="51" t="s">
        <v>9323</v>
      </c>
      <c r="N5159" s="49" t="n">
        <v>0</v>
      </c>
      <c r="O5159" s="53" t="n">
        <v>45826.6849074074</v>
      </c>
      <c r="P5159" s="53" t="n">
        <v>45939.537037037</v>
      </c>
      <c r="Q5159" s="53" t="n">
        <v>45826.6849074074</v>
      </c>
      <c r="R5159" s="0" t="n">
        <v>0</v>
      </c>
      <c r="S5159" s="51" t="s">
        <v>2380</v>
      </c>
      <c r="T5159" s="51" t="s">
        <v>2380</v>
      </c>
      <c r="U5159" s="0" t="str">
        <f aca="false">"8022180000139"</f>
        <v>8022180000139</v>
      </c>
      <c r="V5159" s="51" t="s">
        <v>2365</v>
      </c>
      <c r="W5159" s="51" t="s">
        <v>9365</v>
      </c>
      <c r="X5159" s="51" t="s">
        <v>2359</v>
      </c>
    </row>
    <row r="5160" customFormat="false" ht="14.25" hidden="true" customHeight="false" outlineLevel="0" collapsed="false">
      <c r="A5160" s="49" t="s">
        <v>2349</v>
      </c>
      <c r="B5160" s="49" t="s">
        <v>2350</v>
      </c>
      <c r="C5160" s="49" t="s">
        <v>9366</v>
      </c>
      <c r="D5160" s="49" t="s">
        <v>2352</v>
      </c>
      <c r="E5160" s="49" t="str">
        <f aca="false">"8022180000122"</f>
        <v>8022180000122</v>
      </c>
      <c r="F5160" s="49" t="s">
        <v>3971</v>
      </c>
      <c r="G5160" s="49" t="n">
        <v>0</v>
      </c>
      <c r="H5160" s="0" t="n">
        <v>0</v>
      </c>
      <c r="M5160" s="51" t="s">
        <v>9323</v>
      </c>
      <c r="N5160" s="49" t="n">
        <v>0</v>
      </c>
      <c r="O5160" s="53" t="n">
        <v>45826.6823032407</v>
      </c>
      <c r="P5160" s="53" t="n">
        <v>45830.7963888889</v>
      </c>
      <c r="Q5160" s="53" t="n">
        <v>45826.6823032407</v>
      </c>
      <c r="R5160" s="0" t="n">
        <v>0</v>
      </c>
      <c r="S5160" s="51" t="s">
        <v>2380</v>
      </c>
      <c r="T5160" s="51" t="s">
        <v>2380</v>
      </c>
      <c r="U5160" s="0" t="str">
        <f aca="false">"8022180000122"</f>
        <v>8022180000122</v>
      </c>
      <c r="V5160" s="51" t="s">
        <v>2365</v>
      </c>
      <c r="W5160" s="51" t="s">
        <v>4575</v>
      </c>
      <c r="X5160" s="51" t="s">
        <v>2359</v>
      </c>
    </row>
    <row r="5161" customFormat="false" ht="14.25" hidden="true" customHeight="false" outlineLevel="0" collapsed="false">
      <c r="A5161" s="49" t="s">
        <v>2349</v>
      </c>
      <c r="B5161" s="49" t="s">
        <v>2350</v>
      </c>
      <c r="C5161" s="49" t="s">
        <v>9367</v>
      </c>
      <c r="D5161" s="49" t="s">
        <v>2352</v>
      </c>
      <c r="E5161" s="49" t="str">
        <f aca="false">"8022180000122"</f>
        <v>8022180000122</v>
      </c>
      <c r="F5161" s="49" t="s">
        <v>3971</v>
      </c>
      <c r="G5161" s="49" t="n">
        <v>0</v>
      </c>
      <c r="H5161" s="0" t="n">
        <v>0</v>
      </c>
      <c r="M5161" s="51" t="s">
        <v>9323</v>
      </c>
      <c r="N5161" s="49" t="n">
        <v>0</v>
      </c>
      <c r="O5161" s="53" t="n">
        <v>45826.6821527778</v>
      </c>
      <c r="P5161" s="53" t="n">
        <v>45830.7968981481</v>
      </c>
      <c r="Q5161" s="53" t="n">
        <v>45826.6821527778</v>
      </c>
      <c r="R5161" s="0" t="n">
        <v>0</v>
      </c>
      <c r="S5161" s="51" t="s">
        <v>2380</v>
      </c>
      <c r="T5161" s="51" t="s">
        <v>2380</v>
      </c>
      <c r="U5161" s="0" t="str">
        <f aca="false">"8022180000122"</f>
        <v>8022180000122</v>
      </c>
      <c r="V5161" s="51" t="s">
        <v>2365</v>
      </c>
      <c r="W5161" s="51" t="s">
        <v>5995</v>
      </c>
      <c r="X5161" s="51" t="s">
        <v>2359</v>
      </c>
    </row>
    <row r="5162" customFormat="false" ht="14.25" hidden="true" customHeight="false" outlineLevel="0" collapsed="false">
      <c r="A5162" s="49" t="s">
        <v>2349</v>
      </c>
      <c r="B5162" s="49" t="s">
        <v>2350</v>
      </c>
      <c r="C5162" s="49" t="s">
        <v>9368</v>
      </c>
      <c r="D5162" s="49" t="s">
        <v>2352</v>
      </c>
      <c r="E5162" s="49" t="str">
        <f aca="false">"8022180000139"</f>
        <v>8022180000139</v>
      </c>
      <c r="F5162" s="49" t="s">
        <v>4112</v>
      </c>
      <c r="G5162" s="49" t="n">
        <v>0</v>
      </c>
      <c r="H5162" s="0" t="n">
        <v>0</v>
      </c>
      <c r="M5162" s="51" t="s">
        <v>9323</v>
      </c>
      <c r="N5162" s="49" t="n">
        <v>0</v>
      </c>
      <c r="O5162" s="53" t="n">
        <v>45826.6860185185</v>
      </c>
      <c r="P5162" s="53" t="n">
        <v>46015.3338541667</v>
      </c>
      <c r="Q5162" s="53" t="n">
        <v>45826.6860185185</v>
      </c>
      <c r="R5162" s="0" t="n">
        <v>0</v>
      </c>
      <c r="S5162" s="51" t="s">
        <v>2380</v>
      </c>
      <c r="T5162" s="51" t="s">
        <v>2380</v>
      </c>
      <c r="U5162" s="0" t="str">
        <f aca="false">"8022180000139"</f>
        <v>8022180000139</v>
      </c>
      <c r="V5162" s="51" t="s">
        <v>2365</v>
      </c>
      <c r="W5162" s="51" t="s">
        <v>7705</v>
      </c>
      <c r="X5162" s="51" t="s">
        <v>2359</v>
      </c>
    </row>
    <row r="5163" customFormat="false" ht="14.25" hidden="true" customHeight="false" outlineLevel="0" collapsed="false">
      <c r="A5163" s="49" t="s">
        <v>2349</v>
      </c>
      <c r="B5163" s="49" t="s">
        <v>2350</v>
      </c>
      <c r="C5163" s="49" t="s">
        <v>9369</v>
      </c>
      <c r="D5163" s="49" t="s">
        <v>2352</v>
      </c>
      <c r="E5163" s="49" t="str">
        <f aca="false">"8022180000139"</f>
        <v>8022180000139</v>
      </c>
      <c r="F5163" s="49" t="s">
        <v>4112</v>
      </c>
      <c r="G5163" s="49" t="n">
        <v>0</v>
      </c>
      <c r="H5163" s="0" t="n">
        <v>0</v>
      </c>
      <c r="M5163" s="51" t="s">
        <v>9323</v>
      </c>
      <c r="N5163" s="49" t="n">
        <v>0</v>
      </c>
      <c r="O5163" s="53" t="n">
        <v>45826.6859027778</v>
      </c>
      <c r="P5163" s="53" t="n">
        <v>45959.7996296296</v>
      </c>
      <c r="Q5163" s="53" t="n">
        <v>45826.6859027778</v>
      </c>
      <c r="R5163" s="0" t="n">
        <v>0</v>
      </c>
      <c r="S5163" s="51" t="s">
        <v>2380</v>
      </c>
      <c r="T5163" s="51" t="s">
        <v>2380</v>
      </c>
      <c r="U5163" s="0" t="str">
        <f aca="false">"8022180000139"</f>
        <v>8022180000139</v>
      </c>
      <c r="V5163" s="51" t="s">
        <v>2365</v>
      </c>
      <c r="W5163" s="51" t="s">
        <v>2406</v>
      </c>
      <c r="X5163" s="51" t="s">
        <v>2359</v>
      </c>
    </row>
    <row r="5164" customFormat="false" ht="14.25" hidden="true" customHeight="false" outlineLevel="0" collapsed="false">
      <c r="A5164" s="49" t="s">
        <v>2349</v>
      </c>
      <c r="B5164" s="49" t="s">
        <v>2350</v>
      </c>
      <c r="C5164" s="49" t="s">
        <v>9370</v>
      </c>
      <c r="D5164" s="49" t="s">
        <v>2352</v>
      </c>
      <c r="E5164" s="49" t="str">
        <f aca="false">"8022180000139"</f>
        <v>8022180000139</v>
      </c>
      <c r="F5164" s="49" t="s">
        <v>4112</v>
      </c>
      <c r="G5164" s="49" t="n">
        <v>0</v>
      </c>
      <c r="H5164" s="0" t="n">
        <v>0</v>
      </c>
      <c r="M5164" s="51" t="s">
        <v>9323</v>
      </c>
      <c r="N5164" s="49" t="n">
        <v>0</v>
      </c>
      <c r="O5164" s="53" t="n">
        <v>45826.686400463</v>
      </c>
      <c r="P5164" s="53" t="n">
        <v>45959.7981365741</v>
      </c>
      <c r="Q5164" s="53" t="n">
        <v>45826.686400463</v>
      </c>
      <c r="R5164" s="0" t="n">
        <v>0</v>
      </c>
      <c r="S5164" s="51" t="s">
        <v>2380</v>
      </c>
      <c r="T5164" s="51" t="s">
        <v>2380</v>
      </c>
      <c r="U5164" s="0" t="str">
        <f aca="false">"8022180000139"</f>
        <v>8022180000139</v>
      </c>
      <c r="V5164" s="51" t="s">
        <v>2365</v>
      </c>
      <c r="W5164" s="51" t="s">
        <v>5514</v>
      </c>
      <c r="X5164" s="51" t="s">
        <v>2359</v>
      </c>
    </row>
    <row r="5165" customFormat="false" ht="14.25" hidden="true" customHeight="false" outlineLevel="0" collapsed="false">
      <c r="A5165" s="49" t="s">
        <v>2349</v>
      </c>
      <c r="B5165" s="49" t="s">
        <v>2350</v>
      </c>
      <c r="C5165" s="49" t="s">
        <v>9371</v>
      </c>
      <c r="D5165" s="49" t="s">
        <v>2352</v>
      </c>
      <c r="E5165" s="49" t="str">
        <f aca="false">"8022180000139"</f>
        <v>8022180000139</v>
      </c>
      <c r="F5165" s="49" t="s">
        <v>4112</v>
      </c>
      <c r="G5165" s="49" t="n">
        <v>0</v>
      </c>
      <c r="H5165" s="0" t="n">
        <v>0</v>
      </c>
      <c r="M5165" s="51" t="s">
        <v>9323</v>
      </c>
      <c r="N5165" s="49" t="n">
        <v>0</v>
      </c>
      <c r="O5165" s="53" t="n">
        <v>45826.6862384259</v>
      </c>
      <c r="P5165" s="53" t="n">
        <v>46000.1411458333</v>
      </c>
      <c r="Q5165" s="53" t="n">
        <v>45826.6862384259</v>
      </c>
      <c r="R5165" s="0" t="n">
        <v>0</v>
      </c>
      <c r="S5165" s="51" t="s">
        <v>2380</v>
      </c>
      <c r="T5165" s="51" t="s">
        <v>2380</v>
      </c>
      <c r="U5165" s="0" t="str">
        <f aca="false">"8022180000139"</f>
        <v>8022180000139</v>
      </c>
      <c r="V5165" s="51" t="s">
        <v>2365</v>
      </c>
      <c r="W5165" s="51" t="s">
        <v>5031</v>
      </c>
      <c r="X5165" s="51" t="s">
        <v>2359</v>
      </c>
    </row>
    <row r="5166" customFormat="false" ht="14.25" hidden="true" customHeight="false" outlineLevel="0" collapsed="false">
      <c r="A5166" s="49" t="s">
        <v>2349</v>
      </c>
      <c r="B5166" s="49" t="s">
        <v>2350</v>
      </c>
      <c r="C5166" s="49" t="s">
        <v>9372</v>
      </c>
      <c r="D5166" s="49" t="s">
        <v>2352</v>
      </c>
      <c r="E5166" s="49" t="str">
        <f aca="false">"8022180000139"</f>
        <v>8022180000139</v>
      </c>
      <c r="F5166" s="49" t="s">
        <v>4112</v>
      </c>
      <c r="G5166" s="49" t="n">
        <v>0</v>
      </c>
      <c r="H5166" s="0" t="n">
        <v>0</v>
      </c>
      <c r="M5166" s="51" t="s">
        <v>9323</v>
      </c>
      <c r="N5166" s="49" t="n">
        <v>0</v>
      </c>
      <c r="O5166" s="53" t="n">
        <v>45826.6867361111</v>
      </c>
      <c r="P5166" s="53" t="n">
        <v>46017.7079050926</v>
      </c>
      <c r="Q5166" s="53" t="n">
        <v>45826.6867361111</v>
      </c>
      <c r="R5166" s="0" t="n">
        <v>0</v>
      </c>
      <c r="S5166" s="51" t="s">
        <v>2380</v>
      </c>
      <c r="T5166" s="51" t="s">
        <v>2380</v>
      </c>
      <c r="U5166" s="0" t="str">
        <f aca="false">"8022180000139"</f>
        <v>8022180000139</v>
      </c>
      <c r="V5166" s="51" t="s">
        <v>2365</v>
      </c>
      <c r="W5166" s="51" t="s">
        <v>9373</v>
      </c>
      <c r="X5166" s="51" t="s">
        <v>2359</v>
      </c>
    </row>
    <row r="5167" customFormat="false" ht="14.25" hidden="true" customHeight="false" outlineLevel="0" collapsed="false">
      <c r="A5167" s="49" t="s">
        <v>2349</v>
      </c>
      <c r="B5167" s="49" t="s">
        <v>2350</v>
      </c>
      <c r="C5167" s="49" t="s">
        <v>9374</v>
      </c>
      <c r="D5167" s="49" t="s">
        <v>2352</v>
      </c>
      <c r="E5167" s="49" t="str">
        <f aca="false">"8022180000139"</f>
        <v>8022180000139</v>
      </c>
      <c r="F5167" s="49" t="s">
        <v>4112</v>
      </c>
      <c r="G5167" s="49" t="n">
        <v>0</v>
      </c>
      <c r="H5167" s="0" t="n">
        <v>0</v>
      </c>
      <c r="M5167" s="51" t="s">
        <v>9323</v>
      </c>
      <c r="N5167" s="49" t="n">
        <v>0</v>
      </c>
      <c r="O5167" s="53" t="n">
        <v>45826.6868981481</v>
      </c>
      <c r="P5167" s="53" t="n">
        <v>45865.9034143519</v>
      </c>
      <c r="Q5167" s="53" t="n">
        <v>45826.6868981481</v>
      </c>
      <c r="R5167" s="0" t="n">
        <v>0</v>
      </c>
      <c r="S5167" s="51" t="s">
        <v>2380</v>
      </c>
      <c r="T5167" s="51" t="s">
        <v>2380</v>
      </c>
      <c r="U5167" s="0" t="str">
        <f aca="false">"8022180000139"</f>
        <v>8022180000139</v>
      </c>
      <c r="V5167" s="51" t="s">
        <v>2365</v>
      </c>
      <c r="W5167" s="51" t="s">
        <v>8130</v>
      </c>
      <c r="X5167" s="51" t="s">
        <v>2359</v>
      </c>
    </row>
    <row r="5168" customFormat="false" ht="14.25" hidden="true" customHeight="false" outlineLevel="0" collapsed="false">
      <c r="A5168" s="49" t="s">
        <v>2349</v>
      </c>
      <c r="B5168" s="49" t="s">
        <v>2350</v>
      </c>
      <c r="C5168" s="49" t="s">
        <v>9375</v>
      </c>
      <c r="D5168" s="49" t="s">
        <v>2352</v>
      </c>
      <c r="E5168" s="49" t="str">
        <f aca="false">"8022180000139"</f>
        <v>8022180000139</v>
      </c>
      <c r="F5168" s="49" t="s">
        <v>4112</v>
      </c>
      <c r="G5168" s="49" t="n">
        <v>0</v>
      </c>
      <c r="H5168" s="0" t="n">
        <v>0</v>
      </c>
      <c r="M5168" s="51" t="s">
        <v>9323</v>
      </c>
      <c r="N5168" s="49" t="n">
        <v>0</v>
      </c>
      <c r="O5168" s="53" t="n">
        <v>45826.6870949074</v>
      </c>
      <c r="P5168" s="53" t="n">
        <v>45979.9395601852</v>
      </c>
      <c r="Q5168" s="53" t="n">
        <v>45826.6870949074</v>
      </c>
      <c r="R5168" s="0" t="n">
        <v>0</v>
      </c>
      <c r="S5168" s="51" t="s">
        <v>2380</v>
      </c>
      <c r="T5168" s="51" t="s">
        <v>2380</v>
      </c>
      <c r="U5168" s="0" t="str">
        <f aca="false">"8022180000139"</f>
        <v>8022180000139</v>
      </c>
      <c r="V5168" s="51" t="s">
        <v>2365</v>
      </c>
      <c r="W5168" s="51" t="s">
        <v>4901</v>
      </c>
      <c r="X5168" s="51" t="s">
        <v>2359</v>
      </c>
    </row>
    <row r="5169" customFormat="false" ht="14.25" hidden="true" customHeight="false" outlineLevel="0" collapsed="false">
      <c r="A5169" s="49" t="s">
        <v>2349</v>
      </c>
      <c r="B5169" s="49" t="s">
        <v>2350</v>
      </c>
      <c r="C5169" s="49" t="s">
        <v>9376</v>
      </c>
      <c r="D5169" s="49" t="s">
        <v>2352</v>
      </c>
      <c r="E5169" s="49" t="str">
        <f aca="false">"8022180000139"</f>
        <v>8022180000139</v>
      </c>
      <c r="F5169" s="49" t="s">
        <v>4112</v>
      </c>
      <c r="G5169" s="49" t="n">
        <v>0</v>
      </c>
      <c r="H5169" s="0" t="n">
        <v>0</v>
      </c>
      <c r="M5169" s="51" t="s">
        <v>9323</v>
      </c>
      <c r="N5169" s="49" t="n">
        <v>0</v>
      </c>
      <c r="O5169" s="53" t="n">
        <v>45826.6874074074</v>
      </c>
      <c r="P5169" s="53" t="n">
        <v>45830.7922916667</v>
      </c>
      <c r="Q5169" s="53" t="n">
        <v>45826.6874074074</v>
      </c>
      <c r="R5169" s="0" t="n">
        <v>0</v>
      </c>
      <c r="S5169" s="51" t="s">
        <v>2380</v>
      </c>
      <c r="T5169" s="51" t="s">
        <v>2380</v>
      </c>
      <c r="U5169" s="0" t="str">
        <f aca="false">"8022180000139"</f>
        <v>8022180000139</v>
      </c>
      <c r="V5169" s="51" t="s">
        <v>2365</v>
      </c>
      <c r="W5169" s="51" t="s">
        <v>5697</v>
      </c>
      <c r="X5169" s="51" t="s">
        <v>2359</v>
      </c>
    </row>
    <row r="5170" customFormat="false" ht="14.25" hidden="true" customHeight="false" outlineLevel="0" collapsed="false">
      <c r="A5170" s="49" t="s">
        <v>2349</v>
      </c>
      <c r="B5170" s="49" t="s">
        <v>2350</v>
      </c>
      <c r="C5170" s="49" t="s">
        <v>9377</v>
      </c>
      <c r="D5170" s="49" t="s">
        <v>2352</v>
      </c>
      <c r="E5170" s="49" t="str">
        <f aca="false">"8022180000122"</f>
        <v>8022180000122</v>
      </c>
      <c r="F5170" s="49" t="s">
        <v>3971</v>
      </c>
      <c r="G5170" s="49" t="n">
        <v>0</v>
      </c>
      <c r="H5170" s="0" t="n">
        <v>0</v>
      </c>
      <c r="M5170" s="51" t="s">
        <v>9323</v>
      </c>
      <c r="N5170" s="49" t="n">
        <v>0</v>
      </c>
      <c r="O5170" s="53" t="n">
        <v>45826.6878587963</v>
      </c>
      <c r="P5170" s="53" t="n">
        <v>45830.792962963</v>
      </c>
      <c r="Q5170" s="53" t="n">
        <v>45826.6878587963</v>
      </c>
      <c r="R5170" s="0" t="n">
        <v>0</v>
      </c>
      <c r="S5170" s="51" t="s">
        <v>2380</v>
      </c>
      <c r="T5170" s="51" t="s">
        <v>2380</v>
      </c>
      <c r="U5170" s="0" t="str">
        <f aca="false">"8022180000122"</f>
        <v>8022180000122</v>
      </c>
      <c r="V5170" s="51" t="s">
        <v>2365</v>
      </c>
      <c r="W5170" s="51" t="s">
        <v>5121</v>
      </c>
      <c r="X5170" s="51" t="s">
        <v>2359</v>
      </c>
    </row>
    <row r="5171" customFormat="false" ht="14.25" hidden="true" customHeight="false" outlineLevel="0" collapsed="false">
      <c r="A5171" s="49" t="s">
        <v>2349</v>
      </c>
      <c r="B5171" s="49" t="s">
        <v>2350</v>
      </c>
      <c r="C5171" s="49" t="s">
        <v>9378</v>
      </c>
      <c r="D5171" s="49" t="s">
        <v>2352</v>
      </c>
      <c r="E5171" s="49" t="str">
        <f aca="false">"8022180000122"</f>
        <v>8022180000122</v>
      </c>
      <c r="F5171" s="49" t="s">
        <v>3971</v>
      </c>
      <c r="G5171" s="49" t="n">
        <v>0</v>
      </c>
      <c r="H5171" s="0" t="n">
        <v>0</v>
      </c>
      <c r="M5171" s="51" t="s">
        <v>9323</v>
      </c>
      <c r="N5171" s="49" t="n">
        <v>0</v>
      </c>
      <c r="O5171" s="53" t="n">
        <v>45826.6884953704</v>
      </c>
      <c r="P5171" s="53" t="n">
        <v>45831.4071875</v>
      </c>
      <c r="Q5171" s="53" t="n">
        <v>45826.6884953704</v>
      </c>
      <c r="R5171" s="0" t="n">
        <v>0</v>
      </c>
      <c r="S5171" s="51" t="s">
        <v>2380</v>
      </c>
      <c r="T5171" s="51" t="s">
        <v>2380</v>
      </c>
      <c r="U5171" s="0" t="str">
        <f aca="false">"8022180000122"</f>
        <v>8022180000122</v>
      </c>
      <c r="V5171" s="51" t="s">
        <v>2365</v>
      </c>
      <c r="W5171" s="51" t="s">
        <v>6985</v>
      </c>
      <c r="X5171" s="51" t="s">
        <v>2359</v>
      </c>
    </row>
    <row r="5172" customFormat="false" ht="14.25" hidden="true" customHeight="false" outlineLevel="0" collapsed="false">
      <c r="A5172" s="49" t="s">
        <v>2349</v>
      </c>
      <c r="B5172" s="49" t="s">
        <v>2350</v>
      </c>
      <c r="C5172" s="49" t="s">
        <v>9379</v>
      </c>
      <c r="D5172" s="49" t="s">
        <v>2352</v>
      </c>
      <c r="E5172" s="49" t="str">
        <f aca="false">"8022180000122"</f>
        <v>8022180000122</v>
      </c>
      <c r="F5172" s="49" t="s">
        <v>3971</v>
      </c>
      <c r="G5172" s="49" t="n">
        <v>0</v>
      </c>
      <c r="H5172" s="0" t="n">
        <v>0</v>
      </c>
      <c r="M5172" s="51" t="s">
        <v>9323</v>
      </c>
      <c r="N5172" s="49" t="n">
        <v>0</v>
      </c>
      <c r="O5172" s="53" t="n">
        <v>45826.6890277778</v>
      </c>
      <c r="P5172" s="53" t="n">
        <v>45830.7939583333</v>
      </c>
      <c r="Q5172" s="53" t="n">
        <v>45826.6890277778</v>
      </c>
      <c r="R5172" s="0" t="n">
        <v>0</v>
      </c>
      <c r="S5172" s="51" t="s">
        <v>2380</v>
      </c>
      <c r="T5172" s="51" t="s">
        <v>2380</v>
      </c>
      <c r="U5172" s="0" t="str">
        <f aca="false">"8022180000122"</f>
        <v>8022180000122</v>
      </c>
      <c r="V5172" s="51" t="s">
        <v>2365</v>
      </c>
      <c r="W5172" s="51" t="s">
        <v>4797</v>
      </c>
      <c r="X5172" s="51" t="s">
        <v>2359</v>
      </c>
    </row>
    <row r="5173" customFormat="false" ht="14.25" hidden="true" customHeight="false" outlineLevel="0" collapsed="false">
      <c r="A5173" s="49" t="s">
        <v>2349</v>
      </c>
      <c r="B5173" s="49" t="s">
        <v>2350</v>
      </c>
      <c r="C5173" s="49" t="s">
        <v>9380</v>
      </c>
      <c r="D5173" s="49" t="s">
        <v>2352</v>
      </c>
      <c r="E5173" s="49" t="str">
        <f aca="false">"8022180000122"</f>
        <v>8022180000122</v>
      </c>
      <c r="F5173" s="49" t="s">
        <v>3971</v>
      </c>
      <c r="G5173" s="49" t="n">
        <v>0</v>
      </c>
      <c r="H5173" s="0" t="n">
        <v>0</v>
      </c>
      <c r="M5173" s="51" t="s">
        <v>9323</v>
      </c>
      <c r="N5173" s="49" t="n">
        <v>0</v>
      </c>
      <c r="O5173" s="53" t="n">
        <v>45826.6893402778</v>
      </c>
      <c r="P5173" s="53" t="n">
        <v>45839.3481712963</v>
      </c>
      <c r="Q5173" s="53" t="n">
        <v>45826.6893402778</v>
      </c>
      <c r="R5173" s="0" t="n">
        <v>0</v>
      </c>
      <c r="S5173" s="51" t="s">
        <v>2380</v>
      </c>
      <c r="T5173" s="51" t="s">
        <v>2380</v>
      </c>
      <c r="U5173" s="0" t="str">
        <f aca="false">"8022180000122"</f>
        <v>8022180000122</v>
      </c>
      <c r="V5173" s="51" t="s">
        <v>2365</v>
      </c>
      <c r="W5173" s="51" t="s">
        <v>4795</v>
      </c>
      <c r="X5173" s="51" t="s">
        <v>2359</v>
      </c>
    </row>
    <row r="5174" customFormat="false" ht="14.25" hidden="true" customHeight="false" outlineLevel="0" collapsed="false">
      <c r="A5174" s="49" t="s">
        <v>2349</v>
      </c>
      <c r="B5174" s="49" t="s">
        <v>2350</v>
      </c>
      <c r="C5174" s="49" t="s">
        <v>9381</v>
      </c>
      <c r="D5174" s="49" t="s">
        <v>2352</v>
      </c>
      <c r="E5174" s="49" t="s">
        <v>2353</v>
      </c>
      <c r="F5174" s="49" t="s">
        <v>2354</v>
      </c>
      <c r="G5174" s="49" t="n">
        <v>0</v>
      </c>
      <c r="H5174" s="0" t="n">
        <v>0</v>
      </c>
      <c r="M5174" s="0" t="str">
        <f aca="false">"00788"</f>
        <v>00788</v>
      </c>
      <c r="N5174" s="49" t="n">
        <v>0</v>
      </c>
      <c r="O5174" s="53" t="n">
        <v>45832.433287037</v>
      </c>
      <c r="P5174" s="53" t="n">
        <v>45837.3576851852</v>
      </c>
      <c r="Q5174" s="53" t="n">
        <v>45832.433287037</v>
      </c>
      <c r="R5174" s="0" t="n">
        <v>0</v>
      </c>
      <c r="S5174" s="51" t="s">
        <v>2356</v>
      </c>
      <c r="T5174" s="51" t="s">
        <v>2356</v>
      </c>
      <c r="U5174" s="51" t="s">
        <v>2353</v>
      </c>
      <c r="V5174" s="51" t="s">
        <v>2357</v>
      </c>
      <c r="W5174" s="51" t="s">
        <v>4361</v>
      </c>
      <c r="X5174" s="51" t="s">
        <v>2359</v>
      </c>
    </row>
    <row r="5175" customFormat="false" ht="14.25" hidden="true" customHeight="false" outlineLevel="0" collapsed="false">
      <c r="A5175" s="49" t="s">
        <v>2349</v>
      </c>
      <c r="B5175" s="49" t="s">
        <v>2350</v>
      </c>
      <c r="C5175" s="49" t="s">
        <v>9382</v>
      </c>
      <c r="D5175" s="49" t="s">
        <v>2352</v>
      </c>
      <c r="E5175" s="49" t="str">
        <f aca="false">"8908020441030"</f>
        <v>8908020441030</v>
      </c>
      <c r="F5175" s="49" t="s">
        <v>5384</v>
      </c>
      <c r="G5175" s="49" t="n">
        <v>0</v>
      </c>
      <c r="H5175" s="0" t="n">
        <v>0</v>
      </c>
      <c r="M5175" s="51" t="s">
        <v>9383</v>
      </c>
      <c r="N5175" s="49" t="n">
        <v>0</v>
      </c>
      <c r="O5175" s="53" t="n">
        <v>45827.7075578704</v>
      </c>
      <c r="P5175" s="53" t="n">
        <v>45852.5811689815</v>
      </c>
      <c r="Q5175" s="53" t="n">
        <v>45827.7075578704</v>
      </c>
      <c r="R5175" s="0" t="n">
        <v>0</v>
      </c>
      <c r="S5175" s="51" t="s">
        <v>2356</v>
      </c>
      <c r="T5175" s="51" t="s">
        <v>2356</v>
      </c>
      <c r="U5175" s="0" t="str">
        <f aca="false">"8908020441030"</f>
        <v>8908020441030</v>
      </c>
      <c r="V5175" s="51" t="s">
        <v>5386</v>
      </c>
      <c r="W5175" s="51" t="s">
        <v>4010</v>
      </c>
      <c r="X5175" s="51" t="s">
        <v>2359</v>
      </c>
    </row>
    <row r="5176" customFormat="false" ht="14.25" hidden="true" customHeight="false" outlineLevel="0" collapsed="false">
      <c r="A5176" s="49" t="s">
        <v>2349</v>
      </c>
      <c r="B5176" s="49" t="s">
        <v>2350</v>
      </c>
      <c r="C5176" s="49" t="s">
        <v>9384</v>
      </c>
      <c r="D5176" s="49" t="s">
        <v>2352</v>
      </c>
      <c r="E5176" s="49" t="str">
        <f aca="false">"8908020441030"</f>
        <v>8908020441030</v>
      </c>
      <c r="F5176" s="49" t="s">
        <v>5384</v>
      </c>
      <c r="G5176" s="49" t="n">
        <v>0</v>
      </c>
      <c r="H5176" s="0" t="n">
        <v>0</v>
      </c>
      <c r="M5176" s="51" t="s">
        <v>9383</v>
      </c>
      <c r="N5176" s="49" t="n">
        <v>0</v>
      </c>
      <c r="O5176" s="53" t="n">
        <v>45827.7086342593</v>
      </c>
      <c r="P5176" s="53" t="n">
        <v>45841.6684027778</v>
      </c>
      <c r="Q5176" s="53" t="n">
        <v>45827.7086342593</v>
      </c>
      <c r="R5176" s="0" t="n">
        <v>0</v>
      </c>
      <c r="S5176" s="51" t="s">
        <v>2356</v>
      </c>
      <c r="T5176" s="51" t="s">
        <v>2356</v>
      </c>
      <c r="U5176" s="0" t="str">
        <f aca="false">"8908020441030"</f>
        <v>8908020441030</v>
      </c>
      <c r="V5176" s="51" t="s">
        <v>5386</v>
      </c>
      <c r="W5176" s="51" t="s">
        <v>8380</v>
      </c>
      <c r="X5176" s="51" t="s">
        <v>2359</v>
      </c>
    </row>
    <row r="5177" customFormat="false" ht="14.25" hidden="true" customHeight="false" outlineLevel="0" collapsed="false">
      <c r="A5177" s="49" t="s">
        <v>2349</v>
      </c>
      <c r="B5177" s="49" t="s">
        <v>2350</v>
      </c>
      <c r="C5177" s="49" t="s">
        <v>9385</v>
      </c>
      <c r="D5177" s="49" t="s">
        <v>2352</v>
      </c>
      <c r="E5177" s="49" t="str">
        <f aca="false">"8908020441030"</f>
        <v>8908020441030</v>
      </c>
      <c r="F5177" s="49" t="s">
        <v>5384</v>
      </c>
      <c r="G5177" s="49" t="n">
        <v>0</v>
      </c>
      <c r="H5177" s="0" t="n">
        <v>0</v>
      </c>
      <c r="M5177" s="51" t="s">
        <v>9383</v>
      </c>
      <c r="N5177" s="49" t="n">
        <v>0</v>
      </c>
      <c r="O5177" s="53" t="n">
        <v>45827.7090856481</v>
      </c>
      <c r="P5177" s="53" t="n">
        <v>45851.6101851852</v>
      </c>
      <c r="Q5177" s="53" t="n">
        <v>45827.7090856481</v>
      </c>
      <c r="R5177" s="0" t="n">
        <v>0</v>
      </c>
      <c r="S5177" s="51" t="s">
        <v>2356</v>
      </c>
      <c r="T5177" s="51" t="s">
        <v>2356</v>
      </c>
      <c r="U5177" s="0" t="str">
        <f aca="false">"8908020441030"</f>
        <v>8908020441030</v>
      </c>
      <c r="V5177" s="51" t="s">
        <v>5386</v>
      </c>
      <c r="W5177" s="51" t="s">
        <v>4588</v>
      </c>
      <c r="X5177" s="51" t="s">
        <v>2359</v>
      </c>
    </row>
    <row r="5178" customFormat="false" ht="14.25" hidden="true" customHeight="false" outlineLevel="0" collapsed="false">
      <c r="A5178" s="49" t="s">
        <v>2349</v>
      </c>
      <c r="B5178" s="49" t="s">
        <v>2350</v>
      </c>
      <c r="C5178" s="49" t="s">
        <v>9386</v>
      </c>
      <c r="D5178" s="49" t="s">
        <v>2352</v>
      </c>
      <c r="E5178" s="49" t="str">
        <f aca="false">"8908020441030"</f>
        <v>8908020441030</v>
      </c>
      <c r="F5178" s="49" t="s">
        <v>5384</v>
      </c>
      <c r="G5178" s="49" t="n">
        <v>0</v>
      </c>
      <c r="H5178" s="0" t="n">
        <v>0</v>
      </c>
      <c r="M5178" s="51" t="s">
        <v>9383</v>
      </c>
      <c r="N5178" s="49" t="n">
        <v>0</v>
      </c>
      <c r="O5178" s="53" t="n">
        <v>45827.7094907407</v>
      </c>
      <c r="P5178" s="53" t="n">
        <v>45830.5632986111</v>
      </c>
      <c r="Q5178" s="53" t="n">
        <v>45827.7094907407</v>
      </c>
      <c r="R5178" s="0" t="n">
        <v>0</v>
      </c>
      <c r="S5178" s="51" t="s">
        <v>2356</v>
      </c>
      <c r="T5178" s="51" t="s">
        <v>2356</v>
      </c>
      <c r="U5178" s="0" t="str">
        <f aca="false">"8908020441030"</f>
        <v>8908020441030</v>
      </c>
      <c r="V5178" s="51" t="s">
        <v>5386</v>
      </c>
      <c r="W5178" s="51" t="s">
        <v>4480</v>
      </c>
      <c r="X5178" s="51" t="s">
        <v>2359</v>
      </c>
    </row>
    <row r="5179" customFormat="false" ht="14.25" hidden="true" customHeight="false" outlineLevel="0" collapsed="false">
      <c r="A5179" s="49" t="s">
        <v>2349</v>
      </c>
      <c r="B5179" s="49" t="s">
        <v>2350</v>
      </c>
      <c r="C5179" s="49" t="s">
        <v>9387</v>
      </c>
      <c r="D5179" s="49" t="s">
        <v>2352</v>
      </c>
      <c r="E5179" s="49" t="str">
        <f aca="false">"8908020441030"</f>
        <v>8908020441030</v>
      </c>
      <c r="F5179" s="49" t="s">
        <v>5384</v>
      </c>
      <c r="G5179" s="49" t="n">
        <v>0</v>
      </c>
      <c r="H5179" s="0" t="n">
        <v>0</v>
      </c>
      <c r="M5179" s="51" t="s">
        <v>9383</v>
      </c>
      <c r="N5179" s="49" t="n">
        <v>0</v>
      </c>
      <c r="O5179" s="53" t="n">
        <v>45827.7103240741</v>
      </c>
      <c r="P5179" s="53" t="n">
        <v>45874.2916782407</v>
      </c>
      <c r="Q5179" s="53" t="n">
        <v>45827.7103240741</v>
      </c>
      <c r="R5179" s="0" t="n">
        <v>0</v>
      </c>
      <c r="S5179" s="51" t="s">
        <v>2356</v>
      </c>
      <c r="T5179" s="51" t="s">
        <v>2356</v>
      </c>
      <c r="U5179" s="0" t="str">
        <f aca="false">"8908020441030"</f>
        <v>8908020441030</v>
      </c>
      <c r="V5179" s="51" t="s">
        <v>5386</v>
      </c>
      <c r="W5179" s="51" t="s">
        <v>8301</v>
      </c>
      <c r="X5179" s="51" t="s">
        <v>2359</v>
      </c>
    </row>
    <row r="5180" customFormat="false" ht="14.25" hidden="true" customHeight="false" outlineLevel="0" collapsed="false">
      <c r="A5180" s="49" t="s">
        <v>2349</v>
      </c>
      <c r="B5180" s="49" t="s">
        <v>2350</v>
      </c>
      <c r="C5180" s="49" t="s">
        <v>9388</v>
      </c>
      <c r="D5180" s="49" t="s">
        <v>2352</v>
      </c>
      <c r="E5180" s="49" t="str">
        <f aca="false">"8908020441030"</f>
        <v>8908020441030</v>
      </c>
      <c r="F5180" s="49" t="s">
        <v>5384</v>
      </c>
      <c r="G5180" s="49" t="n">
        <v>0</v>
      </c>
      <c r="H5180" s="0" t="n">
        <v>0</v>
      </c>
      <c r="M5180" s="51" t="s">
        <v>9383</v>
      </c>
      <c r="N5180" s="49" t="n">
        <v>0</v>
      </c>
      <c r="O5180" s="53" t="n">
        <v>45827.7107523148</v>
      </c>
      <c r="P5180" s="53" t="n">
        <v>45883.604212963</v>
      </c>
      <c r="Q5180" s="53" t="n">
        <v>45827.7107523148</v>
      </c>
      <c r="R5180" s="0" t="n">
        <v>0</v>
      </c>
      <c r="S5180" s="51" t="s">
        <v>2356</v>
      </c>
      <c r="T5180" s="51" t="s">
        <v>2356</v>
      </c>
      <c r="U5180" s="0" t="str">
        <f aca="false">"8908020441030"</f>
        <v>8908020441030</v>
      </c>
      <c r="V5180" s="51" t="s">
        <v>5386</v>
      </c>
      <c r="W5180" s="51" t="s">
        <v>7401</v>
      </c>
      <c r="X5180" s="51" t="s">
        <v>2359</v>
      </c>
    </row>
    <row r="5181" customFormat="false" ht="14.25" hidden="true" customHeight="false" outlineLevel="0" collapsed="false">
      <c r="A5181" s="49" t="s">
        <v>2349</v>
      </c>
      <c r="B5181" s="49" t="s">
        <v>2350</v>
      </c>
      <c r="C5181" s="49" t="s">
        <v>9389</v>
      </c>
      <c r="D5181" s="49" t="s">
        <v>2352</v>
      </c>
      <c r="E5181" s="49" t="str">
        <f aca="false">"8908020441030"</f>
        <v>8908020441030</v>
      </c>
      <c r="F5181" s="49" t="s">
        <v>5384</v>
      </c>
      <c r="G5181" s="49" t="n">
        <v>0</v>
      </c>
      <c r="H5181" s="0" t="n">
        <v>0</v>
      </c>
      <c r="M5181" s="51" t="s">
        <v>9383</v>
      </c>
      <c r="N5181" s="49" t="n">
        <v>0</v>
      </c>
      <c r="O5181" s="53" t="n">
        <v>45827.7162384259</v>
      </c>
      <c r="P5181" s="53" t="n">
        <v>45878.5904282407</v>
      </c>
      <c r="Q5181" s="53" t="n">
        <v>45827.7162384259</v>
      </c>
      <c r="R5181" s="0" t="n">
        <v>0</v>
      </c>
      <c r="S5181" s="51" t="s">
        <v>2356</v>
      </c>
      <c r="T5181" s="51" t="s">
        <v>2356</v>
      </c>
      <c r="U5181" s="0" t="str">
        <f aca="false">"8908020441030"</f>
        <v>8908020441030</v>
      </c>
      <c r="V5181" s="51" t="s">
        <v>5386</v>
      </c>
      <c r="W5181" s="51" t="s">
        <v>7405</v>
      </c>
      <c r="X5181" s="51" t="s">
        <v>2359</v>
      </c>
    </row>
    <row r="5182" customFormat="false" ht="14.25" hidden="true" customHeight="false" outlineLevel="0" collapsed="false">
      <c r="A5182" s="49" t="s">
        <v>2349</v>
      </c>
      <c r="B5182" s="49" t="s">
        <v>2350</v>
      </c>
      <c r="C5182" s="49" t="s">
        <v>9390</v>
      </c>
      <c r="D5182" s="49" t="s">
        <v>2352</v>
      </c>
      <c r="E5182" s="49" t="str">
        <f aca="false">"8908020441030"</f>
        <v>8908020441030</v>
      </c>
      <c r="F5182" s="49" t="s">
        <v>5384</v>
      </c>
      <c r="G5182" s="49" t="n">
        <v>0</v>
      </c>
      <c r="H5182" s="0" t="n">
        <v>0</v>
      </c>
      <c r="M5182" s="51" t="s">
        <v>9383</v>
      </c>
      <c r="N5182" s="49" t="n">
        <v>0</v>
      </c>
      <c r="O5182" s="53" t="n">
        <v>45827.7115277778</v>
      </c>
      <c r="P5182" s="53" t="n">
        <v>45889.402025463</v>
      </c>
      <c r="Q5182" s="53" t="n">
        <v>45827.7115277778</v>
      </c>
      <c r="R5182" s="0" t="n">
        <v>0</v>
      </c>
      <c r="S5182" s="51" t="s">
        <v>2356</v>
      </c>
      <c r="T5182" s="51" t="s">
        <v>2356</v>
      </c>
      <c r="U5182" s="0" t="str">
        <f aca="false">"8908020441030"</f>
        <v>8908020441030</v>
      </c>
      <c r="V5182" s="51" t="s">
        <v>5386</v>
      </c>
      <c r="W5182" s="51" t="s">
        <v>3696</v>
      </c>
      <c r="X5182" s="51" t="s">
        <v>2359</v>
      </c>
    </row>
    <row r="5183" customFormat="false" ht="14.25" hidden="true" customHeight="false" outlineLevel="0" collapsed="false">
      <c r="A5183" s="49" t="s">
        <v>2349</v>
      </c>
      <c r="B5183" s="49" t="s">
        <v>2350</v>
      </c>
      <c r="C5183" s="49" t="s">
        <v>9391</v>
      </c>
      <c r="D5183" s="49" t="s">
        <v>2352</v>
      </c>
      <c r="E5183" s="49" t="str">
        <f aca="false">"8908020441030"</f>
        <v>8908020441030</v>
      </c>
      <c r="F5183" s="49" t="s">
        <v>5384</v>
      </c>
      <c r="G5183" s="49" t="n">
        <v>0</v>
      </c>
      <c r="H5183" s="0" t="n">
        <v>0</v>
      </c>
      <c r="M5183" s="51" t="s">
        <v>9383</v>
      </c>
      <c r="N5183" s="49" t="n">
        <v>0</v>
      </c>
      <c r="O5183" s="53" t="n">
        <v>45827.7119560185</v>
      </c>
      <c r="P5183" s="53" t="n">
        <v>45866.6021527778</v>
      </c>
      <c r="Q5183" s="53" t="n">
        <v>45827.7119560185</v>
      </c>
      <c r="R5183" s="0" t="n">
        <v>0</v>
      </c>
      <c r="S5183" s="51" t="s">
        <v>2356</v>
      </c>
      <c r="T5183" s="51" t="s">
        <v>2356</v>
      </c>
      <c r="U5183" s="0" t="str">
        <f aca="false">"8908020441030"</f>
        <v>8908020441030</v>
      </c>
      <c r="V5183" s="51" t="s">
        <v>5386</v>
      </c>
      <c r="W5183" s="51" t="s">
        <v>4130</v>
      </c>
      <c r="X5183" s="51" t="s">
        <v>2359</v>
      </c>
    </row>
    <row r="5184" customFormat="false" ht="14.25" hidden="true" customHeight="false" outlineLevel="0" collapsed="false">
      <c r="A5184" s="49" t="s">
        <v>2349</v>
      </c>
      <c r="B5184" s="49" t="s">
        <v>2350</v>
      </c>
      <c r="C5184" s="49" t="s">
        <v>9392</v>
      </c>
      <c r="D5184" s="49" t="s">
        <v>2352</v>
      </c>
      <c r="E5184" s="49" t="str">
        <f aca="false">"8908020441030"</f>
        <v>8908020441030</v>
      </c>
      <c r="F5184" s="49" t="s">
        <v>5384</v>
      </c>
      <c r="G5184" s="49" t="n">
        <v>0</v>
      </c>
      <c r="H5184" s="0" t="n">
        <v>0</v>
      </c>
      <c r="M5184" s="51" t="s">
        <v>9383</v>
      </c>
      <c r="N5184" s="49" t="n">
        <v>0</v>
      </c>
      <c r="O5184" s="53" t="n">
        <v>45827.7123958333</v>
      </c>
      <c r="P5184" s="53" t="n">
        <v>45864.5790046296</v>
      </c>
      <c r="Q5184" s="53" t="n">
        <v>45827.7123958333</v>
      </c>
      <c r="R5184" s="0" t="n">
        <v>0</v>
      </c>
      <c r="S5184" s="51" t="s">
        <v>2356</v>
      </c>
      <c r="T5184" s="51" t="s">
        <v>2356</v>
      </c>
      <c r="U5184" s="0" t="str">
        <f aca="false">"8908020441030"</f>
        <v>8908020441030</v>
      </c>
      <c r="V5184" s="51" t="s">
        <v>5386</v>
      </c>
      <c r="W5184" s="51" t="s">
        <v>9186</v>
      </c>
      <c r="X5184" s="51" t="s">
        <v>2359</v>
      </c>
    </row>
    <row r="5185" customFormat="false" ht="14.25" hidden="true" customHeight="false" outlineLevel="0" collapsed="false">
      <c r="A5185" s="49" t="s">
        <v>2349</v>
      </c>
      <c r="B5185" s="49" t="s">
        <v>2350</v>
      </c>
      <c r="C5185" s="49" t="s">
        <v>9393</v>
      </c>
      <c r="D5185" s="49" t="s">
        <v>2352</v>
      </c>
      <c r="E5185" s="49" t="str">
        <f aca="false">"8908020441030"</f>
        <v>8908020441030</v>
      </c>
      <c r="F5185" s="49" t="s">
        <v>5384</v>
      </c>
      <c r="G5185" s="49" t="n">
        <v>0</v>
      </c>
      <c r="H5185" s="0" t="n">
        <v>0</v>
      </c>
      <c r="M5185" s="51" t="s">
        <v>9383</v>
      </c>
      <c r="N5185" s="49" t="n">
        <v>0</v>
      </c>
      <c r="O5185" s="53" t="n">
        <v>45827.7127546296</v>
      </c>
      <c r="P5185" s="53" t="n">
        <v>45855.5957291667</v>
      </c>
      <c r="Q5185" s="53" t="n">
        <v>45827.7127546296</v>
      </c>
      <c r="R5185" s="0" t="n">
        <v>0</v>
      </c>
      <c r="S5185" s="51" t="s">
        <v>2356</v>
      </c>
      <c r="T5185" s="51" t="s">
        <v>2356</v>
      </c>
      <c r="U5185" s="0" t="str">
        <f aca="false">"8908020441030"</f>
        <v>8908020441030</v>
      </c>
      <c r="V5185" s="51" t="s">
        <v>5386</v>
      </c>
      <c r="W5185" s="51" t="s">
        <v>5748</v>
      </c>
      <c r="X5185" s="51" t="s">
        <v>2359</v>
      </c>
    </row>
    <row r="5186" customFormat="false" ht="14.25" hidden="true" customHeight="false" outlineLevel="0" collapsed="false">
      <c r="A5186" s="49" t="s">
        <v>2349</v>
      </c>
      <c r="B5186" s="49" t="s">
        <v>2350</v>
      </c>
      <c r="C5186" s="49" t="s">
        <v>9394</v>
      </c>
      <c r="D5186" s="49" t="s">
        <v>2352</v>
      </c>
      <c r="E5186" s="49" t="str">
        <f aca="false">"8908020441030"</f>
        <v>8908020441030</v>
      </c>
      <c r="F5186" s="49" t="s">
        <v>5384</v>
      </c>
      <c r="G5186" s="49" t="n">
        <v>0</v>
      </c>
      <c r="H5186" s="0" t="n">
        <v>0</v>
      </c>
      <c r="M5186" s="51" t="s">
        <v>9383</v>
      </c>
      <c r="N5186" s="49" t="n">
        <v>0</v>
      </c>
      <c r="O5186" s="53" t="n">
        <v>45827.7135300926</v>
      </c>
      <c r="P5186" s="53" t="n">
        <v>45904.3961574074</v>
      </c>
      <c r="Q5186" s="53" t="n">
        <v>45827.7135300926</v>
      </c>
      <c r="R5186" s="0" t="n">
        <v>0</v>
      </c>
      <c r="S5186" s="51" t="s">
        <v>2356</v>
      </c>
      <c r="T5186" s="51" t="s">
        <v>2356</v>
      </c>
      <c r="U5186" s="0" t="str">
        <f aca="false">"8908020441030"</f>
        <v>8908020441030</v>
      </c>
      <c r="V5186" s="51" t="s">
        <v>5386</v>
      </c>
      <c r="W5186" s="51" t="s">
        <v>3696</v>
      </c>
      <c r="X5186" s="51" t="s">
        <v>2359</v>
      </c>
    </row>
    <row r="5187" customFormat="false" ht="14.25" hidden="true" customHeight="false" outlineLevel="0" collapsed="false">
      <c r="A5187" s="49" t="s">
        <v>2349</v>
      </c>
      <c r="B5187" s="49" t="s">
        <v>2350</v>
      </c>
      <c r="C5187" s="49" t="s">
        <v>9395</v>
      </c>
      <c r="D5187" s="49" t="s">
        <v>2352</v>
      </c>
      <c r="E5187" s="49" t="str">
        <f aca="false">"8908020441030"</f>
        <v>8908020441030</v>
      </c>
      <c r="F5187" s="49" t="s">
        <v>5384</v>
      </c>
      <c r="G5187" s="49" t="n">
        <v>0</v>
      </c>
      <c r="H5187" s="0" t="n">
        <v>0</v>
      </c>
      <c r="M5187" s="51" t="s">
        <v>9383</v>
      </c>
      <c r="N5187" s="49" t="n">
        <v>0</v>
      </c>
      <c r="O5187" s="53" t="n">
        <v>45827.7145486111</v>
      </c>
      <c r="P5187" s="53" t="n">
        <v>45883.6041435185</v>
      </c>
      <c r="Q5187" s="53" t="n">
        <v>45827.7145486111</v>
      </c>
      <c r="R5187" s="0" t="n">
        <v>0</v>
      </c>
      <c r="S5187" s="51" t="s">
        <v>2356</v>
      </c>
      <c r="T5187" s="51" t="s">
        <v>2356</v>
      </c>
      <c r="U5187" s="0" t="str">
        <f aca="false">"8908020441030"</f>
        <v>8908020441030</v>
      </c>
      <c r="V5187" s="51" t="s">
        <v>5386</v>
      </c>
      <c r="W5187" s="51" t="s">
        <v>5405</v>
      </c>
      <c r="X5187" s="51" t="s">
        <v>2359</v>
      </c>
    </row>
    <row r="5188" customFormat="false" ht="14.25" hidden="true" customHeight="false" outlineLevel="0" collapsed="false">
      <c r="A5188" s="49" t="s">
        <v>2349</v>
      </c>
      <c r="B5188" s="49" t="s">
        <v>2350</v>
      </c>
      <c r="C5188" s="49" t="s">
        <v>9396</v>
      </c>
      <c r="D5188" s="49" t="s">
        <v>2352</v>
      </c>
      <c r="E5188" s="49" t="str">
        <f aca="false">"8908020441030"</f>
        <v>8908020441030</v>
      </c>
      <c r="F5188" s="49" t="s">
        <v>5384</v>
      </c>
      <c r="G5188" s="49" t="n">
        <v>0</v>
      </c>
      <c r="H5188" s="0" t="n">
        <v>0</v>
      </c>
      <c r="M5188" s="51" t="s">
        <v>9383</v>
      </c>
      <c r="N5188" s="49" t="n">
        <v>0</v>
      </c>
      <c r="O5188" s="53" t="n">
        <v>45827.7149189815</v>
      </c>
      <c r="P5188" s="53" t="n">
        <v>45904.3965046296</v>
      </c>
      <c r="Q5188" s="53" t="n">
        <v>45827.7149189815</v>
      </c>
      <c r="R5188" s="0" t="n">
        <v>0</v>
      </c>
      <c r="S5188" s="51" t="s">
        <v>2356</v>
      </c>
      <c r="T5188" s="51" t="s">
        <v>2356</v>
      </c>
      <c r="U5188" s="0" t="str">
        <f aca="false">"8908020441030"</f>
        <v>8908020441030</v>
      </c>
      <c r="V5188" s="51" t="s">
        <v>5386</v>
      </c>
      <c r="W5188" s="51" t="s">
        <v>4594</v>
      </c>
      <c r="X5188" s="51" t="s">
        <v>2359</v>
      </c>
    </row>
    <row r="5189" customFormat="false" ht="14.25" hidden="true" customHeight="false" outlineLevel="0" collapsed="false">
      <c r="A5189" s="49" t="s">
        <v>2349</v>
      </c>
      <c r="B5189" s="49" t="s">
        <v>2350</v>
      </c>
      <c r="C5189" s="49" t="s">
        <v>9397</v>
      </c>
      <c r="D5189" s="49" t="s">
        <v>2352</v>
      </c>
      <c r="E5189" s="49" t="str">
        <f aca="false">"8908020441030"</f>
        <v>8908020441030</v>
      </c>
      <c r="F5189" s="49" t="s">
        <v>5384</v>
      </c>
      <c r="G5189" s="49" t="n">
        <v>0</v>
      </c>
      <c r="H5189" s="0" t="n">
        <v>0</v>
      </c>
      <c r="M5189" s="51" t="s">
        <v>9383</v>
      </c>
      <c r="N5189" s="49" t="n">
        <v>0</v>
      </c>
      <c r="O5189" s="53" t="n">
        <v>45827.7153587963</v>
      </c>
      <c r="P5189" s="53" t="n">
        <v>45963.6696064815</v>
      </c>
      <c r="Q5189" s="53" t="n">
        <v>45827.7153587963</v>
      </c>
      <c r="R5189" s="0" t="n">
        <v>0</v>
      </c>
      <c r="S5189" s="51" t="s">
        <v>2356</v>
      </c>
      <c r="T5189" s="51" t="s">
        <v>2356</v>
      </c>
      <c r="U5189" s="0" t="str">
        <f aca="false">"8908020441030"</f>
        <v>8908020441030</v>
      </c>
      <c r="V5189" s="51" t="s">
        <v>5386</v>
      </c>
      <c r="W5189" s="51" t="s">
        <v>4136</v>
      </c>
      <c r="X5189" s="51" t="s">
        <v>2359</v>
      </c>
    </row>
    <row r="5190" customFormat="false" ht="14.25" hidden="true" customHeight="false" outlineLevel="0" collapsed="false">
      <c r="A5190" s="49" t="s">
        <v>2349</v>
      </c>
      <c r="B5190" s="49" t="s">
        <v>2350</v>
      </c>
      <c r="C5190" s="49" t="s">
        <v>9398</v>
      </c>
      <c r="D5190" s="49" t="s">
        <v>2352</v>
      </c>
      <c r="E5190" s="49" t="str">
        <f aca="false">"8908020441030"</f>
        <v>8908020441030</v>
      </c>
      <c r="F5190" s="49" t="s">
        <v>5384</v>
      </c>
      <c r="G5190" s="49" t="n">
        <v>0</v>
      </c>
      <c r="H5190" s="0" t="n">
        <v>0</v>
      </c>
      <c r="M5190" s="51" t="s">
        <v>9383</v>
      </c>
      <c r="N5190" s="49" t="n">
        <v>0</v>
      </c>
      <c r="O5190" s="53" t="n">
        <v>45827.7157175926</v>
      </c>
      <c r="P5190" s="53" t="n">
        <v>45963.6699537037</v>
      </c>
      <c r="Q5190" s="53" t="n">
        <v>45827.7157175926</v>
      </c>
      <c r="R5190" s="0" t="n">
        <v>0</v>
      </c>
      <c r="S5190" s="51" t="s">
        <v>2356</v>
      </c>
      <c r="T5190" s="51" t="s">
        <v>2356</v>
      </c>
      <c r="U5190" s="0" t="str">
        <f aca="false">"8908020441030"</f>
        <v>8908020441030</v>
      </c>
      <c r="V5190" s="51" t="s">
        <v>5386</v>
      </c>
      <c r="W5190" s="51" t="s">
        <v>4152</v>
      </c>
      <c r="X5190" s="51" t="s">
        <v>2359</v>
      </c>
    </row>
    <row r="5191" customFormat="false" ht="14.25" hidden="true" customHeight="false" outlineLevel="0" collapsed="false">
      <c r="A5191" s="49" t="s">
        <v>2349</v>
      </c>
      <c r="B5191" s="49" t="s">
        <v>2350</v>
      </c>
      <c r="C5191" s="49" t="s">
        <v>9399</v>
      </c>
      <c r="D5191" s="49" t="s">
        <v>2352</v>
      </c>
      <c r="E5191" s="49" t="str">
        <f aca="false">"10074865055175"</f>
        <v>10074865055175</v>
      </c>
      <c r="F5191" s="49" t="s">
        <v>5090</v>
      </c>
      <c r="G5191" s="49" t="n">
        <v>0</v>
      </c>
      <c r="H5191" s="0" t="n">
        <v>0</v>
      </c>
      <c r="M5191" s="51" t="s">
        <v>9400</v>
      </c>
      <c r="N5191" s="49" t="n">
        <v>0</v>
      </c>
      <c r="O5191" s="53" t="n">
        <v>45848.6930439815</v>
      </c>
      <c r="P5191" s="53" t="n">
        <v>45931.8029861111</v>
      </c>
      <c r="Q5191" s="53" t="n">
        <v>45848.6930439815</v>
      </c>
      <c r="R5191" s="0" t="n">
        <v>0</v>
      </c>
      <c r="S5191" s="51" t="s">
        <v>3780</v>
      </c>
      <c r="T5191" s="51" t="s">
        <v>3780</v>
      </c>
      <c r="U5191" s="0" t="str">
        <f aca="false">"10074865055175"</f>
        <v>10074865055175</v>
      </c>
      <c r="V5191" s="51" t="s">
        <v>2365</v>
      </c>
      <c r="W5191" s="51" t="s">
        <v>4779</v>
      </c>
      <c r="X5191" s="51" t="s">
        <v>2359</v>
      </c>
    </row>
    <row r="5192" customFormat="false" ht="14.25" hidden="true" customHeight="false" outlineLevel="0" collapsed="false">
      <c r="A5192" s="49" t="s">
        <v>2349</v>
      </c>
      <c r="B5192" s="49" t="s">
        <v>2350</v>
      </c>
      <c r="C5192" s="49" t="s">
        <v>9401</v>
      </c>
      <c r="D5192" s="49" t="s">
        <v>2352</v>
      </c>
      <c r="E5192" s="49" t="str">
        <f aca="false">"10074865055175"</f>
        <v>10074865055175</v>
      </c>
      <c r="F5192" s="49" t="s">
        <v>5090</v>
      </c>
      <c r="G5192" s="49" t="n">
        <v>0</v>
      </c>
      <c r="H5192" s="0" t="n">
        <v>0</v>
      </c>
      <c r="M5192" s="51" t="s">
        <v>9400</v>
      </c>
      <c r="N5192" s="49" t="n">
        <v>0</v>
      </c>
      <c r="O5192" s="53" t="n">
        <v>45848.6929282407</v>
      </c>
      <c r="P5192" s="53" t="n">
        <v>45924.7894097222</v>
      </c>
      <c r="Q5192" s="53" t="n">
        <v>45848.6929282407</v>
      </c>
      <c r="R5192" s="0" t="n">
        <v>0</v>
      </c>
      <c r="S5192" s="51" t="s">
        <v>3780</v>
      </c>
      <c r="T5192" s="51" t="s">
        <v>3780</v>
      </c>
      <c r="U5192" s="0" t="str">
        <f aca="false">"10074865055175"</f>
        <v>10074865055175</v>
      </c>
      <c r="V5192" s="51" t="s">
        <v>2365</v>
      </c>
      <c r="W5192" s="51" t="s">
        <v>3672</v>
      </c>
      <c r="X5192" s="51" t="s">
        <v>2359</v>
      </c>
    </row>
    <row r="5193" customFormat="false" ht="14.25" hidden="true" customHeight="false" outlineLevel="0" collapsed="false">
      <c r="A5193" s="49" t="s">
        <v>2349</v>
      </c>
      <c r="B5193" s="49" t="s">
        <v>2350</v>
      </c>
      <c r="C5193" s="49" t="s">
        <v>9402</v>
      </c>
      <c r="D5193" s="49" t="s">
        <v>2352</v>
      </c>
      <c r="E5193" s="49" t="str">
        <f aca="false">"10074865055175"</f>
        <v>10074865055175</v>
      </c>
      <c r="F5193" s="49" t="s">
        <v>5090</v>
      </c>
      <c r="G5193" s="49" t="n">
        <v>0</v>
      </c>
      <c r="H5193" s="0" t="n">
        <v>0</v>
      </c>
      <c r="M5193" s="51" t="s">
        <v>9400</v>
      </c>
      <c r="N5193" s="49" t="n">
        <v>0</v>
      </c>
      <c r="O5193" s="53" t="n">
        <v>45848.6928240741</v>
      </c>
      <c r="P5193" s="53" t="n">
        <v>45939.5283796296</v>
      </c>
      <c r="Q5193" s="53" t="n">
        <v>45848.6928240741</v>
      </c>
      <c r="R5193" s="0" t="n">
        <v>0</v>
      </c>
      <c r="S5193" s="51" t="s">
        <v>3780</v>
      </c>
      <c r="T5193" s="51" t="s">
        <v>3780</v>
      </c>
      <c r="U5193" s="0" t="str">
        <f aca="false">"10074865055175"</f>
        <v>10074865055175</v>
      </c>
      <c r="V5193" s="51" t="s">
        <v>2365</v>
      </c>
      <c r="W5193" s="51" t="s">
        <v>5662</v>
      </c>
      <c r="X5193" s="51" t="s">
        <v>2359</v>
      </c>
    </row>
    <row r="5194" customFormat="false" ht="14.25" hidden="true" customHeight="false" outlineLevel="0" collapsed="false">
      <c r="A5194" s="49" t="s">
        <v>2349</v>
      </c>
      <c r="B5194" s="49" t="s">
        <v>2350</v>
      </c>
      <c r="C5194" s="49" t="s">
        <v>9403</v>
      </c>
      <c r="D5194" s="49" t="s">
        <v>2352</v>
      </c>
      <c r="E5194" s="49" t="str">
        <f aca="false">"10074865055175"</f>
        <v>10074865055175</v>
      </c>
      <c r="F5194" s="49" t="s">
        <v>5090</v>
      </c>
      <c r="G5194" s="49" t="n">
        <v>0</v>
      </c>
      <c r="H5194" s="0" t="n">
        <v>0</v>
      </c>
      <c r="M5194" s="51" t="s">
        <v>9400</v>
      </c>
      <c r="N5194" s="49" t="n">
        <v>0</v>
      </c>
      <c r="O5194" s="53" t="n">
        <v>45848.6926041667</v>
      </c>
      <c r="P5194" s="53" t="n">
        <v>45918.7387847222</v>
      </c>
      <c r="Q5194" s="53" t="n">
        <v>45848.6926041667</v>
      </c>
      <c r="R5194" s="0" t="n">
        <v>0</v>
      </c>
      <c r="S5194" s="51" t="s">
        <v>3780</v>
      </c>
      <c r="T5194" s="51" t="s">
        <v>3780</v>
      </c>
      <c r="U5194" s="0" t="str">
        <f aca="false">"10074865055175"</f>
        <v>10074865055175</v>
      </c>
      <c r="V5194" s="51" t="s">
        <v>2365</v>
      </c>
      <c r="W5194" s="51" t="s">
        <v>4541</v>
      </c>
      <c r="X5194" s="51" t="s">
        <v>2359</v>
      </c>
    </row>
    <row r="5195" customFormat="false" ht="14.25" hidden="true" customHeight="false" outlineLevel="0" collapsed="false">
      <c r="A5195" s="49" t="s">
        <v>2349</v>
      </c>
      <c r="B5195" s="49" t="s">
        <v>2350</v>
      </c>
      <c r="C5195" s="49" t="s">
        <v>9404</v>
      </c>
      <c r="D5195" s="49" t="s">
        <v>2352</v>
      </c>
      <c r="E5195" s="49" t="str">
        <f aca="false">"10074865055175"</f>
        <v>10074865055175</v>
      </c>
      <c r="F5195" s="49" t="s">
        <v>5090</v>
      </c>
      <c r="G5195" s="49" t="n">
        <v>0</v>
      </c>
      <c r="H5195" s="0" t="n">
        <v>0</v>
      </c>
      <c r="M5195" s="51" t="s">
        <v>9400</v>
      </c>
      <c r="N5195" s="49" t="n">
        <v>0</v>
      </c>
      <c r="O5195" s="53" t="n">
        <v>45848.6924537037</v>
      </c>
      <c r="P5195" s="53" t="n">
        <v>45918.7348611111</v>
      </c>
      <c r="Q5195" s="53" t="n">
        <v>45848.6924537037</v>
      </c>
      <c r="R5195" s="0" t="n">
        <v>0</v>
      </c>
      <c r="S5195" s="51" t="s">
        <v>3780</v>
      </c>
      <c r="T5195" s="51" t="s">
        <v>3780</v>
      </c>
      <c r="U5195" s="0" t="str">
        <f aca="false">"10074865055175"</f>
        <v>10074865055175</v>
      </c>
      <c r="V5195" s="51" t="s">
        <v>2365</v>
      </c>
      <c r="W5195" s="51" t="s">
        <v>4548</v>
      </c>
      <c r="X5195" s="51" t="s">
        <v>2359</v>
      </c>
    </row>
    <row r="5196" customFormat="false" ht="14.25" hidden="true" customHeight="false" outlineLevel="0" collapsed="false">
      <c r="A5196" s="49" t="s">
        <v>2349</v>
      </c>
      <c r="B5196" s="49" t="s">
        <v>2350</v>
      </c>
      <c r="C5196" s="49" t="s">
        <v>9405</v>
      </c>
      <c r="D5196" s="49" t="s">
        <v>2352</v>
      </c>
      <c r="E5196" s="49" t="str">
        <f aca="false">"10074865055175"</f>
        <v>10074865055175</v>
      </c>
      <c r="F5196" s="49" t="s">
        <v>5090</v>
      </c>
      <c r="G5196" s="49" t="n">
        <v>0</v>
      </c>
      <c r="H5196" s="0" t="n">
        <v>0</v>
      </c>
      <c r="M5196" s="51" t="s">
        <v>9400</v>
      </c>
      <c r="N5196" s="49" t="n">
        <v>0</v>
      </c>
      <c r="O5196" s="53" t="n">
        <v>45848.6921875</v>
      </c>
      <c r="P5196" s="53" t="n">
        <v>45918.7332523148</v>
      </c>
      <c r="Q5196" s="53" t="n">
        <v>45848.6921875</v>
      </c>
      <c r="R5196" s="0" t="n">
        <v>0</v>
      </c>
      <c r="S5196" s="51" t="s">
        <v>3780</v>
      </c>
      <c r="T5196" s="51" t="s">
        <v>3780</v>
      </c>
      <c r="U5196" s="0" t="str">
        <f aca="false">"10074865055175"</f>
        <v>10074865055175</v>
      </c>
      <c r="V5196" s="51" t="s">
        <v>2365</v>
      </c>
      <c r="W5196" s="51" t="s">
        <v>4210</v>
      </c>
      <c r="X5196" s="51" t="s">
        <v>2359</v>
      </c>
    </row>
    <row r="5197" customFormat="false" ht="14.25" hidden="true" customHeight="false" outlineLevel="0" collapsed="false">
      <c r="A5197" s="49" t="s">
        <v>2349</v>
      </c>
      <c r="B5197" s="49" t="s">
        <v>2350</v>
      </c>
      <c r="C5197" s="49" t="s">
        <v>9406</v>
      </c>
      <c r="D5197" s="49" t="s">
        <v>2352</v>
      </c>
      <c r="E5197" s="49" t="str">
        <f aca="false">"10074865055175"</f>
        <v>10074865055175</v>
      </c>
      <c r="F5197" s="49" t="s">
        <v>5090</v>
      </c>
      <c r="G5197" s="49" t="n">
        <v>0</v>
      </c>
      <c r="H5197" s="0" t="n">
        <v>0</v>
      </c>
      <c r="M5197" s="51" t="s">
        <v>9400</v>
      </c>
      <c r="N5197" s="49" t="n">
        <v>0</v>
      </c>
      <c r="O5197" s="53" t="n">
        <v>45848.6919791667</v>
      </c>
      <c r="P5197" s="53" t="n">
        <v>45918.7304861111</v>
      </c>
      <c r="Q5197" s="53" t="n">
        <v>45848.6919791667</v>
      </c>
      <c r="R5197" s="0" t="n">
        <v>0</v>
      </c>
      <c r="S5197" s="51" t="s">
        <v>3780</v>
      </c>
      <c r="T5197" s="51" t="s">
        <v>3780</v>
      </c>
      <c r="U5197" s="0" t="str">
        <f aca="false">"10074865055175"</f>
        <v>10074865055175</v>
      </c>
      <c r="V5197" s="51" t="s">
        <v>2365</v>
      </c>
      <c r="W5197" s="51" t="s">
        <v>7570</v>
      </c>
      <c r="X5197" s="51" t="s">
        <v>2359</v>
      </c>
    </row>
    <row r="5198" customFormat="false" ht="14.25" hidden="true" customHeight="false" outlineLevel="0" collapsed="false">
      <c r="A5198" s="49" t="s">
        <v>2349</v>
      </c>
      <c r="B5198" s="49" t="s">
        <v>2350</v>
      </c>
      <c r="C5198" s="49" t="s">
        <v>9407</v>
      </c>
      <c r="D5198" s="49" t="s">
        <v>2352</v>
      </c>
      <c r="E5198" s="49" t="str">
        <f aca="false">"10074865055175"</f>
        <v>10074865055175</v>
      </c>
      <c r="F5198" s="49" t="s">
        <v>5090</v>
      </c>
      <c r="G5198" s="49" t="n">
        <v>0</v>
      </c>
      <c r="H5198" s="0" t="n">
        <v>0</v>
      </c>
      <c r="M5198" s="51" t="s">
        <v>9400</v>
      </c>
      <c r="N5198" s="49" t="n">
        <v>0</v>
      </c>
      <c r="O5198" s="53" t="n">
        <v>45848.6937615741</v>
      </c>
      <c r="P5198" s="53" t="n">
        <v>45939.5290509259</v>
      </c>
      <c r="Q5198" s="53" t="n">
        <v>45848.6937615741</v>
      </c>
      <c r="R5198" s="0" t="n">
        <v>0</v>
      </c>
      <c r="S5198" s="51" t="s">
        <v>3780</v>
      </c>
      <c r="T5198" s="51" t="s">
        <v>3780</v>
      </c>
      <c r="U5198" s="0" t="str">
        <f aca="false">"10074865055175"</f>
        <v>10074865055175</v>
      </c>
      <c r="V5198" s="51" t="s">
        <v>2365</v>
      </c>
      <c r="W5198" s="51" t="s">
        <v>9408</v>
      </c>
      <c r="X5198" s="51" t="s">
        <v>2359</v>
      </c>
    </row>
    <row r="5199" customFormat="false" ht="14.25" hidden="true" customHeight="false" outlineLevel="0" collapsed="false">
      <c r="A5199" s="49" t="s">
        <v>2349</v>
      </c>
      <c r="B5199" s="49" t="s">
        <v>2350</v>
      </c>
      <c r="C5199" s="49" t="s">
        <v>9409</v>
      </c>
      <c r="D5199" s="49" t="s">
        <v>2352</v>
      </c>
      <c r="E5199" s="49" t="str">
        <f aca="false">"10074865055175"</f>
        <v>10074865055175</v>
      </c>
      <c r="F5199" s="49" t="s">
        <v>5090</v>
      </c>
      <c r="G5199" s="49" t="n">
        <v>0</v>
      </c>
      <c r="H5199" s="0" t="n">
        <v>0</v>
      </c>
      <c r="M5199" s="51" t="s">
        <v>9400</v>
      </c>
      <c r="N5199" s="49" t="n">
        <v>0</v>
      </c>
      <c r="O5199" s="53" t="n">
        <v>45848.6936574074</v>
      </c>
      <c r="P5199" s="53" t="n">
        <v>45931.8196875</v>
      </c>
      <c r="Q5199" s="53" t="n">
        <v>45848.6936574074</v>
      </c>
      <c r="R5199" s="0" t="n">
        <v>0</v>
      </c>
      <c r="S5199" s="51" t="s">
        <v>3780</v>
      </c>
      <c r="T5199" s="51" t="s">
        <v>3780</v>
      </c>
      <c r="U5199" s="0" t="str">
        <f aca="false">"10074865055175"</f>
        <v>10074865055175</v>
      </c>
      <c r="V5199" s="51" t="s">
        <v>2365</v>
      </c>
      <c r="W5199" s="51" t="s">
        <v>4562</v>
      </c>
      <c r="X5199" s="51" t="s">
        <v>2359</v>
      </c>
    </row>
    <row r="5200" customFormat="false" ht="14.25" hidden="true" customHeight="false" outlineLevel="0" collapsed="false">
      <c r="A5200" s="49" t="s">
        <v>2349</v>
      </c>
      <c r="B5200" s="49" t="s">
        <v>2350</v>
      </c>
      <c r="C5200" s="49" t="s">
        <v>9410</v>
      </c>
      <c r="D5200" s="49" t="s">
        <v>2352</v>
      </c>
      <c r="E5200" s="49" t="str">
        <f aca="false">"10074865055175"</f>
        <v>10074865055175</v>
      </c>
      <c r="F5200" s="49" t="s">
        <v>5090</v>
      </c>
      <c r="G5200" s="49" t="n">
        <v>0</v>
      </c>
      <c r="H5200" s="0" t="n">
        <v>0</v>
      </c>
      <c r="M5200" s="51" t="s">
        <v>9400</v>
      </c>
      <c r="N5200" s="49" t="n">
        <v>0</v>
      </c>
      <c r="O5200" s="53" t="n">
        <v>45848.6935416667</v>
      </c>
      <c r="P5200" s="53" t="n">
        <v>45939.515150463</v>
      </c>
      <c r="Q5200" s="53" t="n">
        <v>45848.6935416667</v>
      </c>
      <c r="R5200" s="0" t="n">
        <v>0</v>
      </c>
      <c r="S5200" s="51" t="s">
        <v>3780</v>
      </c>
      <c r="T5200" s="51" t="s">
        <v>3780</v>
      </c>
      <c r="U5200" s="0" t="str">
        <f aca="false">"10074865055175"</f>
        <v>10074865055175</v>
      </c>
      <c r="V5200" s="51" t="s">
        <v>2365</v>
      </c>
      <c r="W5200" s="51" t="s">
        <v>4771</v>
      </c>
      <c r="X5200" s="51" t="s">
        <v>2359</v>
      </c>
    </row>
    <row r="5201" customFormat="false" ht="14.25" hidden="true" customHeight="false" outlineLevel="0" collapsed="false">
      <c r="A5201" s="49" t="s">
        <v>2349</v>
      </c>
      <c r="B5201" s="49" t="s">
        <v>2350</v>
      </c>
      <c r="C5201" s="49" t="s">
        <v>9411</v>
      </c>
      <c r="D5201" s="49" t="s">
        <v>2352</v>
      </c>
      <c r="E5201" s="49" t="str">
        <f aca="false">"10074865055175"</f>
        <v>10074865055175</v>
      </c>
      <c r="F5201" s="49" t="s">
        <v>5090</v>
      </c>
      <c r="G5201" s="49" t="n">
        <v>0</v>
      </c>
      <c r="H5201" s="0" t="n">
        <v>0</v>
      </c>
      <c r="M5201" s="51" t="s">
        <v>9400</v>
      </c>
      <c r="N5201" s="49" t="n">
        <v>0</v>
      </c>
      <c r="O5201" s="53" t="n">
        <v>45848.6934259259</v>
      </c>
      <c r="P5201" s="53" t="n">
        <v>45939.3831365741</v>
      </c>
      <c r="Q5201" s="53" t="n">
        <v>45848.6934259259</v>
      </c>
      <c r="R5201" s="0" t="n">
        <v>0</v>
      </c>
      <c r="S5201" s="51" t="s">
        <v>3780</v>
      </c>
      <c r="T5201" s="51" t="s">
        <v>3780</v>
      </c>
      <c r="U5201" s="0" t="str">
        <f aca="false">"10074865055175"</f>
        <v>10074865055175</v>
      </c>
      <c r="V5201" s="51" t="s">
        <v>2365</v>
      </c>
      <c r="W5201" s="51" t="s">
        <v>5446</v>
      </c>
      <c r="X5201" s="51" t="s">
        <v>2359</v>
      </c>
    </row>
    <row r="5202" customFormat="false" ht="14.25" hidden="true" customHeight="false" outlineLevel="0" collapsed="false">
      <c r="A5202" s="49" t="s">
        <v>2349</v>
      </c>
      <c r="B5202" s="49" t="s">
        <v>2350</v>
      </c>
      <c r="C5202" s="49" t="s">
        <v>9412</v>
      </c>
      <c r="D5202" s="49" t="s">
        <v>2352</v>
      </c>
      <c r="E5202" s="49" t="str">
        <f aca="false">"10074865055175"</f>
        <v>10074865055175</v>
      </c>
      <c r="F5202" s="49" t="s">
        <v>5090</v>
      </c>
      <c r="G5202" s="49" t="n">
        <v>0</v>
      </c>
      <c r="H5202" s="0" t="n">
        <v>0</v>
      </c>
      <c r="M5202" s="51" t="s">
        <v>9400</v>
      </c>
      <c r="N5202" s="49" t="n">
        <v>0</v>
      </c>
      <c r="O5202" s="53" t="n">
        <v>45848.6933101852</v>
      </c>
      <c r="P5202" s="53" t="n">
        <v>45935.9163078704</v>
      </c>
      <c r="Q5202" s="53" t="n">
        <v>45848.6933101852</v>
      </c>
      <c r="R5202" s="0" t="n">
        <v>0</v>
      </c>
      <c r="S5202" s="51" t="s">
        <v>3780</v>
      </c>
      <c r="T5202" s="51" t="s">
        <v>3780</v>
      </c>
      <c r="U5202" s="0" t="str">
        <f aca="false">"10074865055175"</f>
        <v>10074865055175</v>
      </c>
      <c r="V5202" s="51" t="s">
        <v>2365</v>
      </c>
      <c r="W5202" s="51" t="s">
        <v>5448</v>
      </c>
      <c r="X5202" s="51" t="s">
        <v>2359</v>
      </c>
    </row>
    <row r="5203" customFormat="false" ht="14.25" hidden="true" customHeight="false" outlineLevel="0" collapsed="false">
      <c r="A5203" s="49" t="s">
        <v>2349</v>
      </c>
      <c r="B5203" s="49" t="s">
        <v>2350</v>
      </c>
      <c r="C5203" s="49" t="s">
        <v>9413</v>
      </c>
      <c r="D5203" s="49" t="s">
        <v>2352</v>
      </c>
      <c r="E5203" s="49" t="str">
        <f aca="false">"10074865055175"</f>
        <v>10074865055175</v>
      </c>
      <c r="F5203" s="49" t="s">
        <v>5090</v>
      </c>
      <c r="G5203" s="49" t="n">
        <v>0</v>
      </c>
      <c r="H5203" s="0" t="n">
        <v>0</v>
      </c>
      <c r="M5203" s="51" t="s">
        <v>9400</v>
      </c>
      <c r="N5203" s="49" t="n">
        <v>0</v>
      </c>
      <c r="O5203" s="53" t="n">
        <v>45848.6931944444</v>
      </c>
      <c r="P5203" s="53" t="n">
        <v>45939.5200115741</v>
      </c>
      <c r="Q5203" s="53" t="n">
        <v>45848.6931944444</v>
      </c>
      <c r="R5203" s="0" t="n">
        <v>0</v>
      </c>
      <c r="S5203" s="51" t="s">
        <v>3780</v>
      </c>
      <c r="T5203" s="51" t="s">
        <v>3780</v>
      </c>
      <c r="U5203" s="0" t="str">
        <f aca="false">"10074865055175"</f>
        <v>10074865055175</v>
      </c>
      <c r="V5203" s="51" t="s">
        <v>2365</v>
      </c>
      <c r="W5203" s="51" t="s">
        <v>4218</v>
      </c>
      <c r="X5203" s="51" t="s">
        <v>2359</v>
      </c>
    </row>
    <row r="5204" customFormat="false" ht="14.25" hidden="true" customHeight="false" outlineLevel="0" collapsed="false">
      <c r="A5204" s="49" t="s">
        <v>2349</v>
      </c>
      <c r="B5204" s="49" t="s">
        <v>2350</v>
      </c>
      <c r="C5204" s="49" t="s">
        <v>9414</v>
      </c>
      <c r="D5204" s="49" t="s">
        <v>2352</v>
      </c>
      <c r="E5204" s="49" t="str">
        <f aca="false">"10074865055175"</f>
        <v>10074865055175</v>
      </c>
      <c r="F5204" s="49" t="s">
        <v>5090</v>
      </c>
      <c r="G5204" s="49" t="n">
        <v>0</v>
      </c>
      <c r="H5204" s="0" t="n">
        <v>0</v>
      </c>
      <c r="M5204" s="51" t="s">
        <v>9400</v>
      </c>
      <c r="N5204" s="49" t="n">
        <v>0</v>
      </c>
      <c r="O5204" s="53" t="n">
        <v>45848.6946180556</v>
      </c>
      <c r="P5204" s="53" t="n">
        <v>45918.7317708333</v>
      </c>
      <c r="Q5204" s="53" t="n">
        <v>45848.6946180556</v>
      </c>
      <c r="R5204" s="0" t="n">
        <v>0</v>
      </c>
      <c r="S5204" s="51" t="s">
        <v>3780</v>
      </c>
      <c r="T5204" s="51" t="s">
        <v>3780</v>
      </c>
      <c r="U5204" s="0" t="str">
        <f aca="false">"10074865055175"</f>
        <v>10074865055175</v>
      </c>
      <c r="V5204" s="51" t="s">
        <v>2365</v>
      </c>
      <c r="W5204" s="51" t="s">
        <v>4288</v>
      </c>
      <c r="X5204" s="51" t="s">
        <v>2359</v>
      </c>
    </row>
    <row r="5205" customFormat="false" ht="14.25" hidden="true" customHeight="false" outlineLevel="0" collapsed="false">
      <c r="A5205" s="49" t="s">
        <v>2349</v>
      </c>
      <c r="B5205" s="49" t="s">
        <v>2350</v>
      </c>
      <c r="C5205" s="49" t="s">
        <v>9415</v>
      </c>
      <c r="D5205" s="49" t="s">
        <v>2352</v>
      </c>
      <c r="E5205" s="49" t="str">
        <f aca="false">"10074865055175"</f>
        <v>10074865055175</v>
      </c>
      <c r="F5205" s="49" t="s">
        <v>5090</v>
      </c>
      <c r="G5205" s="49" t="n">
        <v>0</v>
      </c>
      <c r="H5205" s="0" t="n">
        <v>0</v>
      </c>
      <c r="M5205" s="51" t="s">
        <v>9400</v>
      </c>
      <c r="N5205" s="49" t="n">
        <v>0</v>
      </c>
      <c r="O5205" s="53" t="n">
        <v>45848.6944675926</v>
      </c>
      <c r="P5205" s="53" t="n">
        <v>45939.5192592593</v>
      </c>
      <c r="Q5205" s="53" t="n">
        <v>45848.6944675926</v>
      </c>
      <c r="R5205" s="0" t="n">
        <v>0</v>
      </c>
      <c r="S5205" s="51" t="s">
        <v>3780</v>
      </c>
      <c r="T5205" s="51" t="s">
        <v>3780</v>
      </c>
      <c r="U5205" s="0" t="str">
        <f aca="false">"10074865055175"</f>
        <v>10074865055175</v>
      </c>
      <c r="V5205" s="51" t="s">
        <v>2365</v>
      </c>
      <c r="W5205" s="51" t="s">
        <v>5450</v>
      </c>
      <c r="X5205" s="51" t="s">
        <v>2359</v>
      </c>
    </row>
    <row r="5206" customFormat="false" ht="14.25" hidden="true" customHeight="false" outlineLevel="0" collapsed="false">
      <c r="A5206" s="49" t="s">
        <v>2349</v>
      </c>
      <c r="B5206" s="49" t="s">
        <v>2350</v>
      </c>
      <c r="C5206" s="49" t="s">
        <v>9416</v>
      </c>
      <c r="D5206" s="49" t="s">
        <v>2352</v>
      </c>
      <c r="E5206" s="49" t="str">
        <f aca="false">"10074865055175"</f>
        <v>10074865055175</v>
      </c>
      <c r="F5206" s="49" t="s">
        <v>5090</v>
      </c>
      <c r="G5206" s="49" t="n">
        <v>0</v>
      </c>
      <c r="H5206" s="0" t="n">
        <v>0</v>
      </c>
      <c r="M5206" s="51" t="s">
        <v>9400</v>
      </c>
      <c r="N5206" s="49" t="n">
        <v>0</v>
      </c>
      <c r="O5206" s="53" t="n">
        <v>45848.6947337963</v>
      </c>
      <c r="P5206" s="53" t="n">
        <v>45914.7826273148</v>
      </c>
      <c r="Q5206" s="53" t="n">
        <v>45848.6947337963</v>
      </c>
      <c r="R5206" s="0" t="n">
        <v>0</v>
      </c>
      <c r="S5206" s="51" t="s">
        <v>3780</v>
      </c>
      <c r="T5206" s="51" t="s">
        <v>3780</v>
      </c>
      <c r="U5206" s="0" t="str">
        <f aca="false">"10074865055175"</f>
        <v>10074865055175</v>
      </c>
      <c r="V5206" s="51" t="s">
        <v>2365</v>
      </c>
      <c r="W5206" s="51" t="s">
        <v>7721</v>
      </c>
      <c r="X5206" s="51" t="s">
        <v>2359</v>
      </c>
    </row>
    <row r="5207" customFormat="false" ht="14.25" hidden="true" customHeight="false" outlineLevel="0" collapsed="false">
      <c r="A5207" s="49" t="s">
        <v>2349</v>
      </c>
      <c r="B5207" s="49" t="s">
        <v>2350</v>
      </c>
      <c r="C5207" s="49" t="s">
        <v>9417</v>
      </c>
      <c r="D5207" s="49" t="s">
        <v>2352</v>
      </c>
      <c r="E5207" s="49" t="str">
        <f aca="false">"10074865055175"</f>
        <v>10074865055175</v>
      </c>
      <c r="F5207" s="49" t="s">
        <v>5090</v>
      </c>
      <c r="G5207" s="49" t="n">
        <v>0</v>
      </c>
      <c r="H5207" s="0" t="n">
        <v>0</v>
      </c>
      <c r="M5207" s="51" t="s">
        <v>9400</v>
      </c>
      <c r="N5207" s="49" t="n">
        <v>0</v>
      </c>
      <c r="O5207" s="53" t="n">
        <v>45848.694849537</v>
      </c>
      <c r="P5207" s="53" t="n">
        <v>45915.5769097222</v>
      </c>
      <c r="Q5207" s="53" t="n">
        <v>45848.694849537</v>
      </c>
      <c r="R5207" s="0" t="n">
        <v>0</v>
      </c>
      <c r="S5207" s="51" t="s">
        <v>3780</v>
      </c>
      <c r="T5207" s="51" t="s">
        <v>3780</v>
      </c>
      <c r="U5207" s="0" t="str">
        <f aca="false">"10074865055175"</f>
        <v>10074865055175</v>
      </c>
      <c r="V5207" s="51" t="s">
        <v>2365</v>
      </c>
      <c r="W5207" s="51" t="s">
        <v>5606</v>
      </c>
      <c r="X5207" s="51" t="s">
        <v>2359</v>
      </c>
    </row>
    <row r="5208" customFormat="false" ht="14.25" hidden="true" customHeight="false" outlineLevel="0" collapsed="false">
      <c r="A5208" s="49" t="s">
        <v>2349</v>
      </c>
      <c r="B5208" s="49" t="s">
        <v>2350</v>
      </c>
      <c r="C5208" s="49" t="s">
        <v>9418</v>
      </c>
      <c r="D5208" s="49" t="s">
        <v>2352</v>
      </c>
      <c r="E5208" s="49" t="str">
        <f aca="false">"10074865055175"</f>
        <v>10074865055175</v>
      </c>
      <c r="F5208" s="49" t="s">
        <v>5090</v>
      </c>
      <c r="G5208" s="49" t="n">
        <v>0</v>
      </c>
      <c r="H5208" s="0" t="n">
        <v>0</v>
      </c>
      <c r="M5208" s="51" t="s">
        <v>9400</v>
      </c>
      <c r="N5208" s="49" t="n">
        <v>0</v>
      </c>
      <c r="O5208" s="53" t="n">
        <v>45848.6943402778</v>
      </c>
      <c r="P5208" s="53" t="n">
        <v>45939.5214814815</v>
      </c>
      <c r="Q5208" s="53" t="n">
        <v>45848.6943402778</v>
      </c>
      <c r="R5208" s="0" t="n">
        <v>0</v>
      </c>
      <c r="S5208" s="51" t="s">
        <v>3780</v>
      </c>
      <c r="T5208" s="51" t="s">
        <v>3780</v>
      </c>
      <c r="U5208" s="0" t="str">
        <f aca="false">"10074865055175"</f>
        <v>10074865055175</v>
      </c>
      <c r="V5208" s="51" t="s">
        <v>2365</v>
      </c>
      <c r="W5208" s="51" t="s">
        <v>4878</v>
      </c>
      <c r="X5208" s="51" t="s">
        <v>2359</v>
      </c>
    </row>
    <row r="5209" customFormat="false" ht="14.25" hidden="true" customHeight="false" outlineLevel="0" collapsed="false">
      <c r="A5209" s="49" t="s">
        <v>2349</v>
      </c>
      <c r="B5209" s="49" t="s">
        <v>2350</v>
      </c>
      <c r="C5209" s="49" t="s">
        <v>9419</v>
      </c>
      <c r="D5209" s="49" t="s">
        <v>2352</v>
      </c>
      <c r="E5209" s="49" t="str">
        <f aca="false">"10074865055175"</f>
        <v>10074865055175</v>
      </c>
      <c r="F5209" s="49" t="s">
        <v>5090</v>
      </c>
      <c r="G5209" s="49" t="n">
        <v>0</v>
      </c>
      <c r="H5209" s="0" t="n">
        <v>0</v>
      </c>
      <c r="M5209" s="51" t="s">
        <v>9400</v>
      </c>
      <c r="N5209" s="49" t="n">
        <v>0</v>
      </c>
      <c r="O5209" s="53" t="n">
        <v>45848.694224537</v>
      </c>
      <c r="P5209" s="53" t="n">
        <v>45915.5781134259</v>
      </c>
      <c r="Q5209" s="53" t="n">
        <v>45848.694224537</v>
      </c>
      <c r="R5209" s="0" t="n">
        <v>0</v>
      </c>
      <c r="S5209" s="51" t="s">
        <v>3780</v>
      </c>
      <c r="T5209" s="51" t="s">
        <v>3780</v>
      </c>
      <c r="U5209" s="0" t="str">
        <f aca="false">"10074865055175"</f>
        <v>10074865055175</v>
      </c>
      <c r="V5209" s="51" t="s">
        <v>2365</v>
      </c>
      <c r="W5209" s="51" t="s">
        <v>4989</v>
      </c>
      <c r="X5209" s="51" t="s">
        <v>2359</v>
      </c>
    </row>
    <row r="5210" customFormat="false" ht="14.25" hidden="true" customHeight="false" outlineLevel="0" collapsed="false">
      <c r="A5210" s="49" t="s">
        <v>2349</v>
      </c>
      <c r="B5210" s="49" t="s">
        <v>2350</v>
      </c>
      <c r="C5210" s="49" t="s">
        <v>9420</v>
      </c>
      <c r="D5210" s="49" t="s">
        <v>2352</v>
      </c>
      <c r="E5210" s="49" t="str">
        <f aca="false">"10074865055175"</f>
        <v>10074865055175</v>
      </c>
      <c r="F5210" s="49" t="s">
        <v>5090</v>
      </c>
      <c r="G5210" s="49" t="n">
        <v>0</v>
      </c>
      <c r="H5210" s="0" t="n">
        <v>0</v>
      </c>
      <c r="M5210" s="51" t="s">
        <v>9400</v>
      </c>
      <c r="N5210" s="49" t="n">
        <v>0</v>
      </c>
      <c r="O5210" s="53" t="n">
        <v>45848.6950347222</v>
      </c>
      <c r="P5210" s="53" t="n">
        <v>45914.7749652778</v>
      </c>
      <c r="Q5210" s="53" t="n">
        <v>45848.6950347222</v>
      </c>
      <c r="R5210" s="0" t="n">
        <v>0</v>
      </c>
      <c r="S5210" s="51" t="s">
        <v>3780</v>
      </c>
      <c r="T5210" s="51" t="s">
        <v>3780</v>
      </c>
      <c r="U5210" s="0" t="str">
        <f aca="false">"10074865055175"</f>
        <v>10074865055175</v>
      </c>
      <c r="V5210" s="51" t="s">
        <v>2365</v>
      </c>
      <c r="W5210" s="51" t="s">
        <v>4521</v>
      </c>
      <c r="X5210" s="51" t="s">
        <v>2359</v>
      </c>
    </row>
    <row r="5211" customFormat="false" ht="14.25" hidden="true" customHeight="false" outlineLevel="0" collapsed="false">
      <c r="A5211" s="49" t="s">
        <v>2349</v>
      </c>
      <c r="B5211" s="49" t="s">
        <v>2350</v>
      </c>
      <c r="C5211" s="49" t="s">
        <v>9421</v>
      </c>
      <c r="D5211" s="49" t="s">
        <v>2352</v>
      </c>
      <c r="E5211" s="49" t="str">
        <f aca="false">"10074865055175"</f>
        <v>10074865055175</v>
      </c>
      <c r="F5211" s="49" t="s">
        <v>5090</v>
      </c>
      <c r="G5211" s="49" t="n">
        <v>0</v>
      </c>
      <c r="H5211" s="0" t="n">
        <v>0</v>
      </c>
      <c r="M5211" s="51" t="s">
        <v>9400</v>
      </c>
      <c r="N5211" s="49" t="n">
        <v>0</v>
      </c>
      <c r="O5211" s="53" t="n">
        <v>45848.6951851852</v>
      </c>
      <c r="P5211" s="53" t="n">
        <v>45914.7758333333</v>
      </c>
      <c r="Q5211" s="53" t="n">
        <v>45848.6951851852</v>
      </c>
      <c r="R5211" s="0" t="n">
        <v>0</v>
      </c>
      <c r="S5211" s="51" t="s">
        <v>3780</v>
      </c>
      <c r="T5211" s="51" t="s">
        <v>3780</v>
      </c>
      <c r="U5211" s="0" t="str">
        <f aca="false">"10074865055175"</f>
        <v>10074865055175</v>
      </c>
      <c r="V5211" s="51" t="s">
        <v>2365</v>
      </c>
      <c r="W5211" s="51" t="s">
        <v>5612</v>
      </c>
      <c r="X5211" s="51" t="s">
        <v>2359</v>
      </c>
    </row>
    <row r="5212" customFormat="false" ht="14.25" hidden="true" customHeight="false" outlineLevel="0" collapsed="false">
      <c r="A5212" s="49" t="s">
        <v>2349</v>
      </c>
      <c r="B5212" s="49" t="s">
        <v>2350</v>
      </c>
      <c r="C5212" s="49" t="s">
        <v>9422</v>
      </c>
      <c r="D5212" s="49" t="s">
        <v>2352</v>
      </c>
      <c r="E5212" s="49" t="str">
        <f aca="false">"10074865055175"</f>
        <v>10074865055175</v>
      </c>
      <c r="F5212" s="49" t="s">
        <v>5090</v>
      </c>
      <c r="G5212" s="49" t="n">
        <v>0</v>
      </c>
      <c r="H5212" s="0" t="n">
        <v>0</v>
      </c>
      <c r="M5212" s="51" t="s">
        <v>9400</v>
      </c>
      <c r="N5212" s="49" t="n">
        <v>0</v>
      </c>
      <c r="O5212" s="53" t="n">
        <v>45848.6941087963</v>
      </c>
      <c r="P5212" s="53" t="n">
        <v>45935.9137615741</v>
      </c>
      <c r="Q5212" s="53" t="n">
        <v>45848.6941087963</v>
      </c>
      <c r="R5212" s="0" t="n">
        <v>0</v>
      </c>
      <c r="S5212" s="51" t="s">
        <v>3780</v>
      </c>
      <c r="T5212" s="51" t="s">
        <v>3780</v>
      </c>
      <c r="U5212" s="0" t="str">
        <f aca="false">"10074865055175"</f>
        <v>10074865055175</v>
      </c>
      <c r="V5212" s="51" t="s">
        <v>2365</v>
      </c>
      <c r="W5212" s="51" t="s">
        <v>5818</v>
      </c>
      <c r="X5212" s="51" t="s">
        <v>2359</v>
      </c>
    </row>
    <row r="5213" customFormat="false" ht="14.25" hidden="true" customHeight="false" outlineLevel="0" collapsed="false">
      <c r="A5213" s="49" t="s">
        <v>2349</v>
      </c>
      <c r="B5213" s="49" t="s">
        <v>2350</v>
      </c>
      <c r="C5213" s="49" t="s">
        <v>9423</v>
      </c>
      <c r="D5213" s="49" t="s">
        <v>2352</v>
      </c>
      <c r="E5213" s="49" t="str">
        <f aca="false">"10074865055175"</f>
        <v>10074865055175</v>
      </c>
      <c r="F5213" s="49" t="s">
        <v>5090</v>
      </c>
      <c r="G5213" s="49" t="n">
        <v>0</v>
      </c>
      <c r="H5213" s="0" t="n">
        <v>0</v>
      </c>
      <c r="M5213" s="51" t="s">
        <v>9400</v>
      </c>
      <c r="N5213" s="49" t="n">
        <v>0</v>
      </c>
      <c r="O5213" s="53" t="n">
        <v>45848.6939467593</v>
      </c>
      <c r="P5213" s="53" t="n">
        <v>45939.5274884259</v>
      </c>
      <c r="Q5213" s="53" t="n">
        <v>45848.6939467593</v>
      </c>
      <c r="R5213" s="0" t="n">
        <v>0</v>
      </c>
      <c r="S5213" s="51" t="s">
        <v>3780</v>
      </c>
      <c r="T5213" s="51" t="s">
        <v>3780</v>
      </c>
      <c r="U5213" s="0" t="str">
        <f aca="false">"10074865055175"</f>
        <v>10074865055175</v>
      </c>
      <c r="V5213" s="51" t="s">
        <v>2365</v>
      </c>
      <c r="W5213" s="51" t="s">
        <v>9424</v>
      </c>
      <c r="X5213" s="51" t="s">
        <v>2359</v>
      </c>
    </row>
    <row r="5214" customFormat="false" ht="14.25" hidden="true" customHeight="false" outlineLevel="0" collapsed="false">
      <c r="A5214" s="49" t="s">
        <v>2349</v>
      </c>
      <c r="B5214" s="49" t="s">
        <v>2350</v>
      </c>
      <c r="C5214" s="49" t="s">
        <v>9425</v>
      </c>
      <c r="D5214" s="49" t="s">
        <v>2352</v>
      </c>
      <c r="E5214" s="49" t="str">
        <f aca="false">"10074865055175"</f>
        <v>10074865055175</v>
      </c>
      <c r="F5214" s="49" t="s">
        <v>5090</v>
      </c>
      <c r="G5214" s="49" t="n">
        <v>0</v>
      </c>
      <c r="H5214" s="0" t="n">
        <v>0</v>
      </c>
      <c r="M5214" s="51" t="s">
        <v>9400</v>
      </c>
      <c r="N5214" s="49" t="n">
        <v>0</v>
      </c>
      <c r="O5214" s="53" t="n">
        <v>45848.6953009259</v>
      </c>
      <c r="P5214" s="53" t="n">
        <v>45914.7770949074</v>
      </c>
      <c r="Q5214" s="53" t="n">
        <v>45848.6953009259</v>
      </c>
      <c r="R5214" s="0" t="n">
        <v>0</v>
      </c>
      <c r="S5214" s="51" t="s">
        <v>3780</v>
      </c>
      <c r="T5214" s="51" t="s">
        <v>3780</v>
      </c>
      <c r="U5214" s="0" t="str">
        <f aca="false">"10074865055175"</f>
        <v>10074865055175</v>
      </c>
      <c r="V5214" s="51" t="s">
        <v>2365</v>
      </c>
      <c r="W5214" s="51" t="s">
        <v>5615</v>
      </c>
      <c r="X5214" s="51" t="s">
        <v>2359</v>
      </c>
    </row>
    <row r="5215" customFormat="false" ht="14.25" hidden="true" customHeight="false" outlineLevel="0" collapsed="false">
      <c r="A5215" s="49" t="s">
        <v>2349</v>
      </c>
      <c r="B5215" s="49" t="s">
        <v>2350</v>
      </c>
      <c r="C5215" s="49" t="s">
        <v>9426</v>
      </c>
      <c r="D5215" s="49" t="s">
        <v>2352</v>
      </c>
      <c r="E5215" s="49" t="str">
        <f aca="false">"10074865055175"</f>
        <v>10074865055175</v>
      </c>
      <c r="F5215" s="49" t="s">
        <v>5090</v>
      </c>
      <c r="G5215" s="49" t="n">
        <v>0</v>
      </c>
      <c r="H5215" s="0" t="n">
        <v>0</v>
      </c>
      <c r="M5215" s="51" t="s">
        <v>9400</v>
      </c>
      <c r="N5215" s="49" t="n">
        <v>0</v>
      </c>
      <c r="O5215" s="53" t="n">
        <v>45848.6954050926</v>
      </c>
      <c r="P5215" s="53" t="n">
        <v>45918.7391203704</v>
      </c>
      <c r="Q5215" s="53" t="n">
        <v>45848.6954050926</v>
      </c>
      <c r="R5215" s="0" t="n">
        <v>0</v>
      </c>
      <c r="S5215" s="51" t="s">
        <v>3780</v>
      </c>
      <c r="T5215" s="51" t="s">
        <v>3780</v>
      </c>
      <c r="U5215" s="0" t="str">
        <f aca="false">"10074865055175"</f>
        <v>10074865055175</v>
      </c>
      <c r="V5215" s="51" t="s">
        <v>2365</v>
      </c>
      <c r="W5215" s="51" t="s">
        <v>5709</v>
      </c>
      <c r="X5215" s="51" t="s">
        <v>2359</v>
      </c>
    </row>
    <row r="5216" customFormat="false" ht="14.25" hidden="true" customHeight="false" outlineLevel="0" collapsed="false">
      <c r="A5216" s="49" t="s">
        <v>2349</v>
      </c>
      <c r="B5216" s="49" t="s">
        <v>2350</v>
      </c>
      <c r="C5216" s="49" t="s">
        <v>9427</v>
      </c>
      <c r="D5216" s="49" t="s">
        <v>2352</v>
      </c>
      <c r="E5216" s="49" t="str">
        <f aca="false">"10074865055175"</f>
        <v>10074865055175</v>
      </c>
      <c r="F5216" s="49" t="s">
        <v>5090</v>
      </c>
      <c r="G5216" s="49" t="n">
        <v>0</v>
      </c>
      <c r="H5216" s="0" t="n">
        <v>0</v>
      </c>
      <c r="M5216" s="51" t="s">
        <v>9400</v>
      </c>
      <c r="N5216" s="49" t="n">
        <v>0</v>
      </c>
      <c r="O5216" s="53" t="n">
        <v>45917.593275463</v>
      </c>
      <c r="P5216" s="53" t="n">
        <v>45939.550462963</v>
      </c>
      <c r="R5216" s="0" t="n">
        <v>0</v>
      </c>
      <c r="T5216" s="51" t="s">
        <v>2383</v>
      </c>
      <c r="U5216" s="0" t="str">
        <f aca="false">"10074865055175"</f>
        <v>10074865055175</v>
      </c>
      <c r="V5216" s="51" t="s">
        <v>2365</v>
      </c>
      <c r="W5216" s="51" t="s">
        <v>3844</v>
      </c>
      <c r="X5216" s="51" t="s">
        <v>2359</v>
      </c>
    </row>
    <row r="5217" customFormat="false" ht="14.25" hidden="true" customHeight="false" outlineLevel="0" collapsed="false">
      <c r="A5217" s="49" t="s">
        <v>2349</v>
      </c>
      <c r="B5217" s="49" t="s">
        <v>2350</v>
      </c>
      <c r="C5217" s="49" t="s">
        <v>9428</v>
      </c>
      <c r="D5217" s="49" t="s">
        <v>2352</v>
      </c>
      <c r="E5217" s="49" t="str">
        <f aca="false">"5060458890191"</f>
        <v>5060458890191</v>
      </c>
      <c r="F5217" s="49" t="s">
        <v>3656</v>
      </c>
      <c r="G5217" s="49" t="n">
        <v>0</v>
      </c>
      <c r="H5217" s="0" t="n">
        <v>0</v>
      </c>
      <c r="M5217" s="51" t="s">
        <v>9429</v>
      </c>
      <c r="N5217" s="49" t="n">
        <v>0</v>
      </c>
      <c r="O5217" s="53" t="n">
        <v>45854.6484259259</v>
      </c>
      <c r="P5217" s="53" t="n">
        <v>45869.8644560185</v>
      </c>
      <c r="Q5217" s="53" t="n">
        <v>45854.6484259259</v>
      </c>
      <c r="R5217" s="0" t="n">
        <v>0</v>
      </c>
      <c r="S5217" s="51" t="s">
        <v>2371</v>
      </c>
      <c r="T5217" s="51" t="s">
        <v>2371</v>
      </c>
      <c r="U5217" s="0" t="str">
        <f aca="false">"5060458890191"</f>
        <v>5060458890191</v>
      </c>
      <c r="V5217" s="51" t="s">
        <v>2142</v>
      </c>
      <c r="W5217" s="51" t="s">
        <v>9430</v>
      </c>
      <c r="X5217" s="51" t="s">
        <v>2359</v>
      </c>
    </row>
    <row r="5218" customFormat="false" ht="14.25" hidden="true" customHeight="false" outlineLevel="0" collapsed="false">
      <c r="A5218" s="49" t="s">
        <v>2349</v>
      </c>
      <c r="B5218" s="49" t="s">
        <v>2350</v>
      </c>
      <c r="C5218" s="49" t="s">
        <v>9431</v>
      </c>
      <c r="D5218" s="49" t="s">
        <v>2352</v>
      </c>
      <c r="E5218" s="49" t="str">
        <f aca="false">"5060458890191"</f>
        <v>5060458890191</v>
      </c>
      <c r="F5218" s="49" t="s">
        <v>3656</v>
      </c>
      <c r="G5218" s="49" t="n">
        <v>0</v>
      </c>
      <c r="H5218" s="0" t="n">
        <v>0</v>
      </c>
      <c r="M5218" s="51" t="s">
        <v>9429</v>
      </c>
      <c r="N5218" s="49" t="n">
        <v>0</v>
      </c>
      <c r="O5218" s="53" t="n">
        <v>45854.6483101852</v>
      </c>
      <c r="P5218" s="53" t="n">
        <v>45869.881087963</v>
      </c>
      <c r="Q5218" s="53" t="n">
        <v>45854.6483101852</v>
      </c>
      <c r="R5218" s="0" t="n">
        <v>0</v>
      </c>
      <c r="S5218" s="51" t="s">
        <v>2371</v>
      </c>
      <c r="T5218" s="51" t="s">
        <v>2371</v>
      </c>
      <c r="U5218" s="0" t="str">
        <f aca="false">"5060458890191"</f>
        <v>5060458890191</v>
      </c>
      <c r="V5218" s="51" t="s">
        <v>2142</v>
      </c>
      <c r="W5218" s="51" t="s">
        <v>9432</v>
      </c>
      <c r="X5218" s="51" t="s">
        <v>2359</v>
      </c>
    </row>
    <row r="5219" customFormat="false" ht="14.25" hidden="true" customHeight="false" outlineLevel="0" collapsed="false">
      <c r="A5219" s="49" t="s">
        <v>2349</v>
      </c>
      <c r="B5219" s="49" t="s">
        <v>2350</v>
      </c>
      <c r="C5219" s="49" t="s">
        <v>9433</v>
      </c>
      <c r="D5219" s="49" t="s">
        <v>2352</v>
      </c>
      <c r="E5219" s="49" t="str">
        <f aca="false">"5060458890191"</f>
        <v>5060458890191</v>
      </c>
      <c r="F5219" s="49" t="s">
        <v>3656</v>
      </c>
      <c r="G5219" s="49" t="n">
        <v>0</v>
      </c>
      <c r="H5219" s="0" t="n">
        <v>0</v>
      </c>
      <c r="M5219" s="51" t="s">
        <v>9429</v>
      </c>
      <c r="N5219" s="49" t="n">
        <v>0</v>
      </c>
      <c r="O5219" s="53" t="n">
        <v>45854.6481944444</v>
      </c>
      <c r="P5219" s="53" t="n">
        <v>45869.8914699074</v>
      </c>
      <c r="Q5219" s="53" t="n">
        <v>45854.6481944444</v>
      </c>
      <c r="R5219" s="0" t="n">
        <v>0</v>
      </c>
      <c r="S5219" s="51" t="s">
        <v>2371</v>
      </c>
      <c r="T5219" s="51" t="s">
        <v>2371</v>
      </c>
      <c r="U5219" s="0" t="str">
        <f aca="false">"5060458890191"</f>
        <v>5060458890191</v>
      </c>
      <c r="V5219" s="51" t="s">
        <v>2142</v>
      </c>
      <c r="W5219" s="51" t="s">
        <v>9434</v>
      </c>
      <c r="X5219" s="51" t="s">
        <v>2359</v>
      </c>
    </row>
    <row r="5220" customFormat="false" ht="14.25" hidden="true" customHeight="false" outlineLevel="0" collapsed="false">
      <c r="A5220" s="49" t="s">
        <v>2349</v>
      </c>
      <c r="B5220" s="49" t="s">
        <v>2350</v>
      </c>
      <c r="C5220" s="49" t="s">
        <v>9435</v>
      </c>
      <c r="D5220" s="49" t="s">
        <v>2352</v>
      </c>
      <c r="E5220" s="49" t="str">
        <f aca="false">"5060458890191"</f>
        <v>5060458890191</v>
      </c>
      <c r="F5220" s="49" t="s">
        <v>3656</v>
      </c>
      <c r="G5220" s="49" t="n">
        <v>0</v>
      </c>
      <c r="H5220" s="0" t="n">
        <v>0</v>
      </c>
      <c r="M5220" s="51" t="s">
        <v>9429</v>
      </c>
      <c r="N5220" s="49" t="n">
        <v>0</v>
      </c>
      <c r="O5220" s="53" t="n">
        <v>45854.6481018519</v>
      </c>
      <c r="P5220" s="53" t="n">
        <v>45869.8813425926</v>
      </c>
      <c r="Q5220" s="53" t="n">
        <v>45854.6481018519</v>
      </c>
      <c r="R5220" s="0" t="n">
        <v>0</v>
      </c>
      <c r="S5220" s="51" t="s">
        <v>2371</v>
      </c>
      <c r="T5220" s="51" t="s">
        <v>2371</v>
      </c>
      <c r="U5220" s="0" t="str">
        <f aca="false">"5060458890191"</f>
        <v>5060458890191</v>
      </c>
      <c r="V5220" s="51" t="s">
        <v>2142</v>
      </c>
      <c r="W5220" s="51" t="s">
        <v>9436</v>
      </c>
      <c r="X5220" s="51" t="s">
        <v>2359</v>
      </c>
    </row>
    <row r="5221" customFormat="false" ht="14.25" hidden="true" customHeight="false" outlineLevel="0" collapsed="false">
      <c r="A5221" s="49" t="s">
        <v>2349</v>
      </c>
      <c r="B5221" s="49" t="s">
        <v>2350</v>
      </c>
      <c r="C5221" s="49" t="s">
        <v>9437</v>
      </c>
      <c r="D5221" s="49" t="s">
        <v>2352</v>
      </c>
      <c r="E5221" s="49" t="str">
        <f aca="false">"5060458890191"</f>
        <v>5060458890191</v>
      </c>
      <c r="F5221" s="49" t="s">
        <v>3656</v>
      </c>
      <c r="G5221" s="49" t="n">
        <v>0</v>
      </c>
      <c r="H5221" s="0" t="n">
        <v>0</v>
      </c>
      <c r="M5221" s="51" t="s">
        <v>9429</v>
      </c>
      <c r="N5221" s="49" t="n">
        <v>0</v>
      </c>
      <c r="O5221" s="53" t="n">
        <v>45854.647974537</v>
      </c>
      <c r="P5221" s="53" t="n">
        <v>45869.863275463</v>
      </c>
      <c r="Q5221" s="53" t="n">
        <v>45854.647974537</v>
      </c>
      <c r="R5221" s="0" t="n">
        <v>0</v>
      </c>
      <c r="S5221" s="51" t="s">
        <v>2371</v>
      </c>
      <c r="T5221" s="51" t="s">
        <v>2371</v>
      </c>
      <c r="U5221" s="0" t="str">
        <f aca="false">"5060458890191"</f>
        <v>5060458890191</v>
      </c>
      <c r="V5221" s="51" t="s">
        <v>2142</v>
      </c>
      <c r="W5221" s="51" t="s">
        <v>9438</v>
      </c>
      <c r="X5221" s="51" t="s">
        <v>2359</v>
      </c>
    </row>
    <row r="5222" customFormat="false" ht="14.25" hidden="true" customHeight="false" outlineLevel="0" collapsed="false">
      <c r="A5222" s="49" t="s">
        <v>2349</v>
      </c>
      <c r="B5222" s="49" t="s">
        <v>2350</v>
      </c>
      <c r="C5222" s="49" t="s">
        <v>9439</v>
      </c>
      <c r="D5222" s="49" t="s">
        <v>2352</v>
      </c>
      <c r="E5222" s="49" t="str">
        <f aca="false">"5060458890191"</f>
        <v>5060458890191</v>
      </c>
      <c r="F5222" s="49" t="s">
        <v>3656</v>
      </c>
      <c r="G5222" s="49" t="n">
        <v>0</v>
      </c>
      <c r="H5222" s="0" t="n">
        <v>0</v>
      </c>
      <c r="M5222" s="51" t="s">
        <v>9429</v>
      </c>
      <c r="N5222" s="49" t="n">
        <v>0</v>
      </c>
      <c r="O5222" s="53" t="n">
        <v>45854.6478587963</v>
      </c>
      <c r="P5222" s="53" t="n">
        <v>45869.8633449074</v>
      </c>
      <c r="Q5222" s="53" t="n">
        <v>45854.6478587963</v>
      </c>
      <c r="R5222" s="0" t="n">
        <v>0</v>
      </c>
      <c r="S5222" s="51" t="s">
        <v>2371</v>
      </c>
      <c r="T5222" s="51" t="s">
        <v>2371</v>
      </c>
      <c r="U5222" s="0" t="str">
        <f aca="false">"5060458890191"</f>
        <v>5060458890191</v>
      </c>
      <c r="V5222" s="51" t="s">
        <v>2142</v>
      </c>
      <c r="W5222" s="51" t="s">
        <v>4090</v>
      </c>
      <c r="X5222" s="51" t="s">
        <v>2359</v>
      </c>
    </row>
    <row r="5223" customFormat="false" ht="14.25" hidden="true" customHeight="false" outlineLevel="0" collapsed="false">
      <c r="A5223" s="49" t="s">
        <v>2349</v>
      </c>
      <c r="B5223" s="49" t="s">
        <v>2350</v>
      </c>
      <c r="C5223" s="49" t="s">
        <v>9440</v>
      </c>
      <c r="D5223" s="49" t="s">
        <v>2352</v>
      </c>
      <c r="E5223" s="49" t="str">
        <f aca="false">"5060458890191"</f>
        <v>5060458890191</v>
      </c>
      <c r="F5223" s="49" t="s">
        <v>3656</v>
      </c>
      <c r="G5223" s="49" t="n">
        <v>0</v>
      </c>
      <c r="H5223" s="0" t="n">
        <v>0</v>
      </c>
      <c r="M5223" s="51" t="s">
        <v>9429</v>
      </c>
      <c r="N5223" s="49" t="n">
        <v>0</v>
      </c>
      <c r="O5223" s="53" t="n">
        <v>45854.6477662037</v>
      </c>
      <c r="P5223" s="53" t="n">
        <v>45869.8624652778</v>
      </c>
      <c r="Q5223" s="53" t="n">
        <v>45854.6477662037</v>
      </c>
      <c r="R5223" s="0" t="n">
        <v>0</v>
      </c>
      <c r="S5223" s="51" t="s">
        <v>2371</v>
      </c>
      <c r="T5223" s="51" t="s">
        <v>2371</v>
      </c>
      <c r="U5223" s="0" t="str">
        <f aca="false">"5060458890191"</f>
        <v>5060458890191</v>
      </c>
      <c r="V5223" s="51" t="s">
        <v>2142</v>
      </c>
      <c r="W5223" s="51" t="s">
        <v>9441</v>
      </c>
      <c r="X5223" s="51" t="s">
        <v>2359</v>
      </c>
    </row>
    <row r="5224" customFormat="false" ht="14.25" hidden="true" customHeight="false" outlineLevel="0" collapsed="false">
      <c r="A5224" s="49" t="s">
        <v>2349</v>
      </c>
      <c r="B5224" s="49" t="s">
        <v>2350</v>
      </c>
      <c r="C5224" s="49" t="s">
        <v>9442</v>
      </c>
      <c r="D5224" s="49" t="s">
        <v>2352</v>
      </c>
      <c r="E5224" s="49" t="str">
        <f aca="false">"5060458890191"</f>
        <v>5060458890191</v>
      </c>
      <c r="F5224" s="49" t="s">
        <v>3656</v>
      </c>
      <c r="G5224" s="49" t="n">
        <v>0</v>
      </c>
      <c r="H5224" s="0" t="n">
        <v>0</v>
      </c>
      <c r="M5224" s="51" t="s">
        <v>9429</v>
      </c>
      <c r="N5224" s="49" t="n">
        <v>0</v>
      </c>
      <c r="O5224" s="53" t="n">
        <v>45854.6468402778</v>
      </c>
      <c r="P5224" s="53" t="n">
        <v>45869.8624074074</v>
      </c>
      <c r="Q5224" s="53" t="n">
        <v>45854.6468402778</v>
      </c>
      <c r="R5224" s="0" t="n">
        <v>0</v>
      </c>
      <c r="S5224" s="51" t="s">
        <v>2371</v>
      </c>
      <c r="T5224" s="51" t="s">
        <v>2371</v>
      </c>
      <c r="U5224" s="0" t="str">
        <f aca="false">"5060458890191"</f>
        <v>5060458890191</v>
      </c>
      <c r="V5224" s="51" t="s">
        <v>2142</v>
      </c>
      <c r="W5224" s="51" t="s">
        <v>9443</v>
      </c>
      <c r="X5224" s="51" t="s">
        <v>2359</v>
      </c>
    </row>
    <row r="5225" customFormat="false" ht="14.25" hidden="true" customHeight="false" outlineLevel="0" collapsed="false">
      <c r="A5225" s="49" t="s">
        <v>2349</v>
      </c>
      <c r="B5225" s="49" t="s">
        <v>2350</v>
      </c>
      <c r="C5225" s="49" t="s">
        <v>9444</v>
      </c>
      <c r="D5225" s="49" t="s">
        <v>2352</v>
      </c>
      <c r="E5225" s="49" t="str">
        <f aca="false">"5060458890191"</f>
        <v>5060458890191</v>
      </c>
      <c r="F5225" s="49" t="s">
        <v>3656</v>
      </c>
      <c r="G5225" s="49" t="n">
        <v>0</v>
      </c>
      <c r="H5225" s="0" t="n">
        <v>0</v>
      </c>
      <c r="M5225" s="51" t="s">
        <v>9429</v>
      </c>
      <c r="N5225" s="49" t="n">
        <v>0</v>
      </c>
      <c r="O5225" s="53" t="n">
        <v>45854.6471180556</v>
      </c>
      <c r="P5225" s="53" t="n">
        <v>45869.8679050926</v>
      </c>
      <c r="Q5225" s="53" t="n">
        <v>45854.6471180556</v>
      </c>
      <c r="R5225" s="0" t="n">
        <v>0</v>
      </c>
      <c r="S5225" s="51" t="s">
        <v>2371</v>
      </c>
      <c r="T5225" s="51" t="s">
        <v>2371</v>
      </c>
      <c r="U5225" s="0" t="str">
        <f aca="false">"5060458890191"</f>
        <v>5060458890191</v>
      </c>
      <c r="V5225" s="51" t="s">
        <v>2142</v>
      </c>
      <c r="W5225" s="51" t="s">
        <v>4076</v>
      </c>
      <c r="X5225" s="51" t="s">
        <v>2359</v>
      </c>
    </row>
    <row r="5226" customFormat="false" ht="14.25" hidden="true" customHeight="false" outlineLevel="0" collapsed="false">
      <c r="A5226" s="49" t="s">
        <v>2349</v>
      </c>
      <c r="B5226" s="49" t="s">
        <v>2350</v>
      </c>
      <c r="C5226" s="49" t="s">
        <v>9445</v>
      </c>
      <c r="D5226" s="49" t="s">
        <v>2352</v>
      </c>
      <c r="E5226" s="49" t="str">
        <f aca="false">"5060458890191"</f>
        <v>5060458890191</v>
      </c>
      <c r="F5226" s="49" t="s">
        <v>3656</v>
      </c>
      <c r="G5226" s="49" t="n">
        <v>0</v>
      </c>
      <c r="H5226" s="0" t="n">
        <v>0</v>
      </c>
      <c r="M5226" s="51" t="s">
        <v>9429</v>
      </c>
      <c r="N5226" s="49" t="n">
        <v>0</v>
      </c>
      <c r="O5226" s="53" t="n">
        <v>45854.6362962963</v>
      </c>
      <c r="P5226" s="53" t="n">
        <v>45869.8615625</v>
      </c>
      <c r="Q5226" s="53" t="n">
        <v>45854.6362962963</v>
      </c>
      <c r="R5226" s="0" t="n">
        <v>0</v>
      </c>
      <c r="S5226" s="51" t="s">
        <v>2371</v>
      </c>
      <c r="T5226" s="51" t="s">
        <v>2371</v>
      </c>
      <c r="U5226" s="0" t="str">
        <f aca="false">"5060458890191"</f>
        <v>5060458890191</v>
      </c>
      <c r="V5226" s="51" t="s">
        <v>2142</v>
      </c>
      <c r="W5226" s="51" t="s">
        <v>7441</v>
      </c>
      <c r="X5226" s="51" t="s">
        <v>2359</v>
      </c>
    </row>
    <row r="5227" customFormat="false" ht="14.25" hidden="true" customHeight="false" outlineLevel="0" collapsed="false">
      <c r="A5227" s="49" t="s">
        <v>2349</v>
      </c>
      <c r="B5227" s="49" t="s">
        <v>2350</v>
      </c>
      <c r="C5227" s="49" t="s">
        <v>9446</v>
      </c>
      <c r="D5227" s="49" t="s">
        <v>2352</v>
      </c>
      <c r="E5227" s="49" t="str">
        <f aca="false">"5060458890191"</f>
        <v>5060458890191</v>
      </c>
      <c r="F5227" s="49" t="s">
        <v>3656</v>
      </c>
      <c r="G5227" s="49" t="n">
        <v>0</v>
      </c>
      <c r="H5227" s="0" t="n">
        <v>0</v>
      </c>
      <c r="M5227" s="51" t="s">
        <v>9429</v>
      </c>
      <c r="N5227" s="49" t="n">
        <v>0</v>
      </c>
      <c r="O5227" s="53" t="n">
        <v>45854.6361574074</v>
      </c>
      <c r="P5227" s="53" t="n">
        <v>45869.8654166667</v>
      </c>
      <c r="Q5227" s="53" t="n">
        <v>45854.6361574074</v>
      </c>
      <c r="R5227" s="0" t="n">
        <v>0</v>
      </c>
      <c r="S5227" s="51" t="s">
        <v>2371</v>
      </c>
      <c r="T5227" s="51" t="s">
        <v>2371</v>
      </c>
      <c r="U5227" s="0" t="str">
        <f aca="false">"5060458890191"</f>
        <v>5060458890191</v>
      </c>
      <c r="V5227" s="51" t="s">
        <v>2142</v>
      </c>
      <c r="W5227" s="51" t="s">
        <v>9447</v>
      </c>
      <c r="X5227" s="51" t="s">
        <v>2359</v>
      </c>
    </row>
    <row r="5228" customFormat="false" ht="14.25" hidden="true" customHeight="false" outlineLevel="0" collapsed="false">
      <c r="A5228" s="49" t="s">
        <v>2349</v>
      </c>
      <c r="B5228" s="49" t="s">
        <v>2350</v>
      </c>
      <c r="C5228" s="49" t="s">
        <v>9448</v>
      </c>
      <c r="D5228" s="49" t="s">
        <v>2352</v>
      </c>
      <c r="E5228" s="49" t="str">
        <f aca="false">"5060458890191"</f>
        <v>5060458890191</v>
      </c>
      <c r="F5228" s="49" t="s">
        <v>3656</v>
      </c>
      <c r="G5228" s="49" t="n">
        <v>0</v>
      </c>
      <c r="H5228" s="0" t="n">
        <v>0</v>
      </c>
      <c r="M5228" s="51" t="s">
        <v>9429</v>
      </c>
      <c r="N5228" s="49" t="n">
        <v>0</v>
      </c>
      <c r="O5228" s="53" t="n">
        <v>45854.6360416667</v>
      </c>
      <c r="P5228" s="53" t="n">
        <v>45869.860775463</v>
      </c>
      <c r="Q5228" s="53" t="n">
        <v>45854.6360416667</v>
      </c>
      <c r="R5228" s="0" t="n">
        <v>0</v>
      </c>
      <c r="S5228" s="51" t="s">
        <v>2371</v>
      </c>
      <c r="T5228" s="51" t="s">
        <v>2371</v>
      </c>
      <c r="U5228" s="0" t="str">
        <f aca="false">"5060458890191"</f>
        <v>5060458890191</v>
      </c>
      <c r="V5228" s="51" t="s">
        <v>2142</v>
      </c>
      <c r="W5228" s="51" t="s">
        <v>5269</v>
      </c>
      <c r="X5228" s="51" t="s">
        <v>2359</v>
      </c>
    </row>
    <row r="5229" customFormat="false" ht="14.25" hidden="true" customHeight="false" outlineLevel="0" collapsed="false">
      <c r="A5229" s="49" t="s">
        <v>2349</v>
      </c>
      <c r="B5229" s="49" t="s">
        <v>2350</v>
      </c>
      <c r="C5229" s="49" t="s">
        <v>9449</v>
      </c>
      <c r="D5229" s="49" t="s">
        <v>2352</v>
      </c>
      <c r="E5229" s="49" t="str">
        <f aca="false">"5060458890191"</f>
        <v>5060458890191</v>
      </c>
      <c r="F5229" s="49" t="s">
        <v>3656</v>
      </c>
      <c r="G5229" s="49" t="n">
        <v>0</v>
      </c>
      <c r="H5229" s="0" t="n">
        <v>0</v>
      </c>
      <c r="M5229" s="51" t="s">
        <v>9429</v>
      </c>
      <c r="N5229" s="49" t="n">
        <v>0</v>
      </c>
      <c r="O5229" s="53" t="n">
        <v>45854.6359027778</v>
      </c>
      <c r="P5229" s="53" t="n">
        <v>45869.8608449074</v>
      </c>
      <c r="Q5229" s="53" t="n">
        <v>45854.6359027778</v>
      </c>
      <c r="R5229" s="0" t="n">
        <v>0</v>
      </c>
      <c r="S5229" s="51" t="s">
        <v>2371</v>
      </c>
      <c r="T5229" s="51" t="s">
        <v>2371</v>
      </c>
      <c r="U5229" s="0" t="str">
        <f aca="false">"5060458890191"</f>
        <v>5060458890191</v>
      </c>
      <c r="V5229" s="51" t="s">
        <v>2142</v>
      </c>
      <c r="W5229" s="51" t="s">
        <v>9450</v>
      </c>
      <c r="X5229" s="51" t="s">
        <v>2359</v>
      </c>
    </row>
    <row r="5230" customFormat="false" ht="14.25" hidden="true" customHeight="false" outlineLevel="0" collapsed="false">
      <c r="A5230" s="49" t="s">
        <v>2349</v>
      </c>
      <c r="B5230" s="49" t="s">
        <v>2350</v>
      </c>
      <c r="C5230" s="49" t="s">
        <v>9451</v>
      </c>
      <c r="D5230" s="49" t="s">
        <v>2352</v>
      </c>
      <c r="E5230" s="49" t="str">
        <f aca="false">"5060458890191"</f>
        <v>5060458890191</v>
      </c>
      <c r="F5230" s="49" t="s">
        <v>3656</v>
      </c>
      <c r="G5230" s="49" t="n">
        <v>0</v>
      </c>
      <c r="H5230" s="0" t="n">
        <v>0</v>
      </c>
      <c r="M5230" s="51" t="s">
        <v>9429</v>
      </c>
      <c r="N5230" s="49" t="n">
        <v>0</v>
      </c>
      <c r="O5230" s="53" t="n">
        <v>45854.6357638889</v>
      </c>
      <c r="P5230" s="53" t="n">
        <v>45869.86</v>
      </c>
      <c r="Q5230" s="53" t="n">
        <v>45854.6357638889</v>
      </c>
      <c r="R5230" s="0" t="n">
        <v>0</v>
      </c>
      <c r="S5230" s="51" t="s">
        <v>2371</v>
      </c>
      <c r="T5230" s="51" t="s">
        <v>2371</v>
      </c>
      <c r="U5230" s="0" t="str">
        <f aca="false">"5060458890191"</f>
        <v>5060458890191</v>
      </c>
      <c r="V5230" s="51" t="s">
        <v>2142</v>
      </c>
      <c r="W5230" s="51" t="s">
        <v>5990</v>
      </c>
      <c r="X5230" s="51" t="s">
        <v>2359</v>
      </c>
    </row>
    <row r="5231" customFormat="false" ht="14.25" hidden="true" customHeight="false" outlineLevel="0" collapsed="false">
      <c r="A5231" s="49" t="s">
        <v>2349</v>
      </c>
      <c r="B5231" s="49" t="s">
        <v>2350</v>
      </c>
      <c r="C5231" s="49" t="s">
        <v>9452</v>
      </c>
      <c r="D5231" s="49" t="s">
        <v>2352</v>
      </c>
      <c r="E5231" s="49" t="str">
        <f aca="false">"5060458890191"</f>
        <v>5060458890191</v>
      </c>
      <c r="F5231" s="49" t="s">
        <v>3656</v>
      </c>
      <c r="G5231" s="49" t="n">
        <v>0</v>
      </c>
      <c r="H5231" s="0" t="n">
        <v>0</v>
      </c>
      <c r="M5231" s="51" t="s">
        <v>9429</v>
      </c>
      <c r="N5231" s="49" t="n">
        <v>0</v>
      </c>
      <c r="O5231" s="53" t="n">
        <v>45854.6356365741</v>
      </c>
      <c r="P5231" s="53" t="n">
        <v>45869.8600925926</v>
      </c>
      <c r="Q5231" s="53" t="n">
        <v>45854.6356365741</v>
      </c>
      <c r="R5231" s="0" t="n">
        <v>0</v>
      </c>
      <c r="S5231" s="51" t="s">
        <v>2371</v>
      </c>
      <c r="T5231" s="51" t="s">
        <v>2371</v>
      </c>
      <c r="U5231" s="0" t="str">
        <f aca="false">"5060458890191"</f>
        <v>5060458890191</v>
      </c>
      <c r="V5231" s="51" t="s">
        <v>2142</v>
      </c>
      <c r="W5231" s="51" t="s">
        <v>9453</v>
      </c>
      <c r="X5231" s="51" t="s">
        <v>2359</v>
      </c>
    </row>
    <row r="5232" customFormat="false" ht="14.25" hidden="true" customHeight="false" outlineLevel="0" collapsed="false">
      <c r="A5232" s="49" t="s">
        <v>2349</v>
      </c>
      <c r="B5232" s="49" t="s">
        <v>2350</v>
      </c>
      <c r="C5232" s="49" t="s">
        <v>9454</v>
      </c>
      <c r="D5232" s="49" t="s">
        <v>2352</v>
      </c>
      <c r="E5232" s="49" t="str">
        <f aca="false">"5060458890191"</f>
        <v>5060458890191</v>
      </c>
      <c r="F5232" s="49" t="s">
        <v>3656</v>
      </c>
      <c r="G5232" s="49" t="n">
        <v>0</v>
      </c>
      <c r="H5232" s="0" t="n">
        <v>0</v>
      </c>
      <c r="M5232" s="51" t="s">
        <v>9429</v>
      </c>
      <c r="N5232" s="49" t="n">
        <v>0</v>
      </c>
      <c r="O5232" s="53" t="n">
        <v>45854.6354976852</v>
      </c>
      <c r="P5232" s="53" t="n">
        <v>45869.8788541667</v>
      </c>
      <c r="Q5232" s="53" t="n">
        <v>45854.6354976852</v>
      </c>
      <c r="R5232" s="0" t="n">
        <v>0</v>
      </c>
      <c r="S5232" s="51" t="s">
        <v>2371</v>
      </c>
      <c r="T5232" s="51" t="s">
        <v>2371</v>
      </c>
      <c r="U5232" s="0" t="str">
        <f aca="false">"5060458890191"</f>
        <v>5060458890191</v>
      </c>
      <c r="V5232" s="51" t="s">
        <v>2142</v>
      </c>
      <c r="W5232" s="51" t="s">
        <v>5273</v>
      </c>
      <c r="X5232" s="51" t="s">
        <v>2359</v>
      </c>
    </row>
    <row r="5233" customFormat="false" ht="14.25" hidden="true" customHeight="false" outlineLevel="0" collapsed="false">
      <c r="A5233" s="49" t="s">
        <v>2349</v>
      </c>
      <c r="B5233" s="49" t="s">
        <v>2350</v>
      </c>
      <c r="C5233" s="49" t="s">
        <v>9455</v>
      </c>
      <c r="D5233" s="49" t="s">
        <v>2352</v>
      </c>
      <c r="E5233" s="49" t="str">
        <f aca="false">"5060458890191"</f>
        <v>5060458890191</v>
      </c>
      <c r="F5233" s="49" t="s">
        <v>3656</v>
      </c>
      <c r="G5233" s="49" t="n">
        <v>0</v>
      </c>
      <c r="H5233" s="0" t="n">
        <v>0</v>
      </c>
      <c r="M5233" s="51" t="s">
        <v>9429</v>
      </c>
      <c r="N5233" s="49" t="n">
        <v>0</v>
      </c>
      <c r="O5233" s="53" t="n">
        <v>45854.6341550926</v>
      </c>
      <c r="P5233" s="53" t="n">
        <v>45869.8566435185</v>
      </c>
      <c r="Q5233" s="53" t="n">
        <v>45854.6341550926</v>
      </c>
      <c r="R5233" s="0" t="n">
        <v>0</v>
      </c>
      <c r="S5233" s="51" t="s">
        <v>2371</v>
      </c>
      <c r="T5233" s="51" t="s">
        <v>2371</v>
      </c>
      <c r="U5233" s="0" t="str">
        <f aca="false">"5060458890191"</f>
        <v>5060458890191</v>
      </c>
      <c r="V5233" s="51" t="s">
        <v>2142</v>
      </c>
      <c r="W5233" s="51" t="s">
        <v>4525</v>
      </c>
      <c r="X5233" s="51" t="s">
        <v>2359</v>
      </c>
    </row>
    <row r="5234" customFormat="false" ht="14.25" hidden="true" customHeight="false" outlineLevel="0" collapsed="false">
      <c r="A5234" s="49" t="s">
        <v>2349</v>
      </c>
      <c r="B5234" s="49" t="s">
        <v>2350</v>
      </c>
      <c r="C5234" s="49" t="s">
        <v>9456</v>
      </c>
      <c r="D5234" s="49" t="s">
        <v>2352</v>
      </c>
      <c r="E5234" s="49" t="str">
        <f aca="false">"5060458890191"</f>
        <v>5060458890191</v>
      </c>
      <c r="F5234" s="49" t="s">
        <v>3656</v>
      </c>
      <c r="G5234" s="49" t="n">
        <v>0</v>
      </c>
      <c r="H5234" s="0" t="n">
        <v>0</v>
      </c>
      <c r="M5234" s="51" t="s">
        <v>9429</v>
      </c>
      <c r="N5234" s="49" t="n">
        <v>0</v>
      </c>
      <c r="O5234" s="53" t="n">
        <v>45854.6343518519</v>
      </c>
      <c r="P5234" s="53" t="n">
        <v>45864.4202314815</v>
      </c>
      <c r="Q5234" s="53" t="n">
        <v>45854.6343518519</v>
      </c>
      <c r="R5234" s="0" t="n">
        <v>0</v>
      </c>
      <c r="S5234" s="51" t="s">
        <v>2371</v>
      </c>
      <c r="T5234" s="51" t="s">
        <v>2371</v>
      </c>
      <c r="U5234" s="0" t="str">
        <f aca="false">"5060458890191"</f>
        <v>5060458890191</v>
      </c>
      <c r="V5234" s="51" t="s">
        <v>2142</v>
      </c>
      <c r="W5234" s="51" t="s">
        <v>9457</v>
      </c>
      <c r="X5234" s="51" t="s">
        <v>2359</v>
      </c>
    </row>
    <row r="5235" customFormat="false" ht="14.25" hidden="true" customHeight="false" outlineLevel="0" collapsed="false">
      <c r="A5235" s="49" t="s">
        <v>2349</v>
      </c>
      <c r="B5235" s="49" t="s">
        <v>2350</v>
      </c>
      <c r="C5235" s="49" t="s">
        <v>9458</v>
      </c>
      <c r="D5235" s="49" t="s">
        <v>2352</v>
      </c>
      <c r="E5235" s="49" t="str">
        <f aca="false">"5060458890191"</f>
        <v>5060458890191</v>
      </c>
      <c r="F5235" s="49" t="s">
        <v>3656</v>
      </c>
      <c r="G5235" s="49" t="n">
        <v>0</v>
      </c>
      <c r="H5235" s="0" t="n">
        <v>0</v>
      </c>
      <c r="M5235" s="51" t="s">
        <v>9429</v>
      </c>
      <c r="N5235" s="49" t="n">
        <v>0</v>
      </c>
      <c r="O5235" s="53" t="n">
        <v>45854.6344907407</v>
      </c>
      <c r="P5235" s="53" t="n">
        <v>45869.8594097222</v>
      </c>
      <c r="Q5235" s="53" t="n">
        <v>45854.6344907407</v>
      </c>
      <c r="R5235" s="0" t="n">
        <v>0</v>
      </c>
      <c r="S5235" s="51" t="s">
        <v>2371</v>
      </c>
      <c r="T5235" s="51" t="s">
        <v>2371</v>
      </c>
      <c r="U5235" s="0" t="str">
        <f aca="false">"5060458890191"</f>
        <v>5060458890191</v>
      </c>
      <c r="V5235" s="51" t="s">
        <v>2142</v>
      </c>
      <c r="W5235" s="51" t="s">
        <v>9459</v>
      </c>
      <c r="X5235" s="51" t="s">
        <v>2359</v>
      </c>
    </row>
    <row r="5236" customFormat="false" ht="14.25" hidden="true" customHeight="false" outlineLevel="0" collapsed="false">
      <c r="A5236" s="49" t="s">
        <v>2349</v>
      </c>
      <c r="B5236" s="49" t="s">
        <v>2350</v>
      </c>
      <c r="C5236" s="49" t="s">
        <v>9460</v>
      </c>
      <c r="D5236" s="49" t="s">
        <v>2352</v>
      </c>
      <c r="E5236" s="49" t="str">
        <f aca="false">"5060458890191"</f>
        <v>5060458890191</v>
      </c>
      <c r="F5236" s="49" t="s">
        <v>3656</v>
      </c>
      <c r="G5236" s="49" t="n">
        <v>0</v>
      </c>
      <c r="H5236" s="0" t="n">
        <v>0</v>
      </c>
      <c r="M5236" s="51" t="s">
        <v>9429</v>
      </c>
      <c r="N5236" s="49" t="n">
        <v>0</v>
      </c>
      <c r="O5236" s="53" t="n">
        <v>45854.6346296296</v>
      </c>
      <c r="P5236" s="53" t="n">
        <v>45869.8783796296</v>
      </c>
      <c r="Q5236" s="53" t="n">
        <v>45854.6346296296</v>
      </c>
      <c r="R5236" s="0" t="n">
        <v>0</v>
      </c>
      <c r="S5236" s="51" t="s">
        <v>2371</v>
      </c>
      <c r="T5236" s="51" t="s">
        <v>2371</v>
      </c>
      <c r="U5236" s="0" t="str">
        <f aca="false">"5060458890191"</f>
        <v>5060458890191</v>
      </c>
      <c r="V5236" s="51" t="s">
        <v>2142</v>
      </c>
      <c r="W5236" s="51" t="s">
        <v>9461</v>
      </c>
      <c r="X5236" s="51" t="s">
        <v>2359</v>
      </c>
    </row>
    <row r="5237" customFormat="false" ht="14.25" hidden="true" customHeight="false" outlineLevel="0" collapsed="false">
      <c r="A5237" s="49" t="s">
        <v>2349</v>
      </c>
      <c r="B5237" s="49" t="s">
        <v>2350</v>
      </c>
      <c r="C5237" s="49" t="s">
        <v>9462</v>
      </c>
      <c r="D5237" s="49" t="s">
        <v>2352</v>
      </c>
      <c r="E5237" s="49" t="str">
        <f aca="false">"5060458890191"</f>
        <v>5060458890191</v>
      </c>
      <c r="F5237" s="49" t="s">
        <v>3656</v>
      </c>
      <c r="G5237" s="49" t="n">
        <v>0</v>
      </c>
      <c r="H5237" s="0" t="n">
        <v>0</v>
      </c>
      <c r="M5237" s="51" t="s">
        <v>9429</v>
      </c>
      <c r="N5237" s="49" t="n">
        <v>0</v>
      </c>
      <c r="O5237" s="53" t="n">
        <v>45854.6347569445</v>
      </c>
      <c r="P5237" s="53" t="n">
        <v>45869.8793055556</v>
      </c>
      <c r="Q5237" s="53" t="n">
        <v>45854.6347569445</v>
      </c>
      <c r="R5237" s="0" t="n">
        <v>0</v>
      </c>
      <c r="S5237" s="51" t="s">
        <v>2371</v>
      </c>
      <c r="T5237" s="51" t="s">
        <v>2371</v>
      </c>
      <c r="U5237" s="0" t="str">
        <f aca="false">"5060458890191"</f>
        <v>5060458890191</v>
      </c>
      <c r="V5237" s="51" t="s">
        <v>2142</v>
      </c>
      <c r="W5237" s="51" t="s">
        <v>9463</v>
      </c>
      <c r="X5237" s="51" t="s">
        <v>2359</v>
      </c>
    </row>
    <row r="5238" customFormat="false" ht="14.25" hidden="true" customHeight="false" outlineLevel="0" collapsed="false">
      <c r="A5238" s="49" t="s">
        <v>2349</v>
      </c>
      <c r="B5238" s="49" t="s">
        <v>2350</v>
      </c>
      <c r="C5238" s="49" t="s">
        <v>9464</v>
      </c>
      <c r="D5238" s="49" t="s">
        <v>2352</v>
      </c>
      <c r="E5238" s="49" t="str">
        <f aca="false">"5060458890191"</f>
        <v>5060458890191</v>
      </c>
      <c r="F5238" s="49" t="s">
        <v>3656</v>
      </c>
      <c r="G5238" s="49" t="n">
        <v>0</v>
      </c>
      <c r="H5238" s="0" t="n">
        <v>0</v>
      </c>
      <c r="M5238" s="51" t="s">
        <v>9429</v>
      </c>
      <c r="N5238" s="49" t="n">
        <v>0</v>
      </c>
      <c r="O5238" s="53" t="n">
        <v>45854.6348958333</v>
      </c>
      <c r="P5238" s="53" t="n">
        <v>45869.8616087963</v>
      </c>
      <c r="Q5238" s="53" t="n">
        <v>45854.6348958333</v>
      </c>
      <c r="R5238" s="0" t="n">
        <v>0</v>
      </c>
      <c r="S5238" s="51" t="s">
        <v>2371</v>
      </c>
      <c r="T5238" s="51" t="s">
        <v>2371</v>
      </c>
      <c r="U5238" s="0" t="str">
        <f aca="false">"5060458890191"</f>
        <v>5060458890191</v>
      </c>
      <c r="V5238" s="51" t="s">
        <v>2142</v>
      </c>
      <c r="W5238" s="51" t="s">
        <v>9465</v>
      </c>
      <c r="X5238" s="51" t="s">
        <v>2359</v>
      </c>
    </row>
    <row r="5239" customFormat="false" ht="14.25" hidden="true" customHeight="false" outlineLevel="0" collapsed="false">
      <c r="A5239" s="49" t="s">
        <v>2349</v>
      </c>
      <c r="B5239" s="49" t="s">
        <v>2350</v>
      </c>
      <c r="C5239" s="49" t="s">
        <v>9466</v>
      </c>
      <c r="D5239" s="49" t="s">
        <v>2352</v>
      </c>
      <c r="E5239" s="49" t="str">
        <f aca="false">"5060458890191"</f>
        <v>5060458890191</v>
      </c>
      <c r="F5239" s="49" t="s">
        <v>3656</v>
      </c>
      <c r="G5239" s="49" t="n">
        <v>0</v>
      </c>
      <c r="H5239" s="0" t="n">
        <v>0</v>
      </c>
      <c r="M5239" s="51" t="s">
        <v>9429</v>
      </c>
      <c r="N5239" s="49" t="n">
        <v>0</v>
      </c>
      <c r="O5239" s="53" t="n">
        <v>45854.6338310185</v>
      </c>
      <c r="P5239" s="53" t="n">
        <v>45869.8570486111</v>
      </c>
      <c r="Q5239" s="53" t="n">
        <v>45854.6338310185</v>
      </c>
      <c r="R5239" s="0" t="n">
        <v>0</v>
      </c>
      <c r="S5239" s="51" t="s">
        <v>2371</v>
      </c>
      <c r="T5239" s="51" t="s">
        <v>2371</v>
      </c>
      <c r="U5239" s="0" t="str">
        <f aca="false">"5060458890191"</f>
        <v>5060458890191</v>
      </c>
      <c r="V5239" s="51" t="s">
        <v>2142</v>
      </c>
      <c r="W5239" s="51" t="s">
        <v>9467</v>
      </c>
      <c r="X5239" s="51" t="s">
        <v>2359</v>
      </c>
    </row>
    <row r="5240" customFormat="false" ht="14.25" hidden="true" customHeight="false" outlineLevel="0" collapsed="false">
      <c r="A5240" s="49" t="s">
        <v>2349</v>
      </c>
      <c r="B5240" s="49" t="s">
        <v>2350</v>
      </c>
      <c r="C5240" s="49" t="s">
        <v>9468</v>
      </c>
      <c r="D5240" s="49" t="s">
        <v>2352</v>
      </c>
      <c r="E5240" s="49" t="str">
        <f aca="false">"5060458890191"</f>
        <v>5060458890191</v>
      </c>
      <c r="F5240" s="49" t="s">
        <v>3656</v>
      </c>
      <c r="G5240" s="49" t="n">
        <v>0</v>
      </c>
      <c r="H5240" s="0" t="n">
        <v>0</v>
      </c>
      <c r="M5240" s="51" t="s">
        <v>9429</v>
      </c>
      <c r="N5240" s="49" t="n">
        <v>0</v>
      </c>
      <c r="O5240" s="53" t="n">
        <v>45854.6336458333</v>
      </c>
      <c r="P5240" s="53" t="n">
        <v>45864.4194560185</v>
      </c>
      <c r="Q5240" s="53" t="n">
        <v>45854.6336458333</v>
      </c>
      <c r="R5240" s="0" t="n">
        <v>0</v>
      </c>
      <c r="S5240" s="51" t="s">
        <v>2371</v>
      </c>
      <c r="T5240" s="51" t="s">
        <v>2371</v>
      </c>
      <c r="U5240" s="0" t="str">
        <f aca="false">"5060458890191"</f>
        <v>5060458890191</v>
      </c>
      <c r="V5240" s="51" t="s">
        <v>2142</v>
      </c>
      <c r="W5240" s="51" t="s">
        <v>9469</v>
      </c>
      <c r="X5240" s="51" t="s">
        <v>2359</v>
      </c>
    </row>
    <row r="5241" customFormat="false" ht="14.25" hidden="true" customHeight="false" outlineLevel="0" collapsed="false">
      <c r="A5241" s="49" t="s">
        <v>2349</v>
      </c>
      <c r="B5241" s="49" t="s">
        <v>2350</v>
      </c>
      <c r="C5241" s="49" t="s">
        <v>9470</v>
      </c>
      <c r="D5241" s="49" t="s">
        <v>2352</v>
      </c>
      <c r="E5241" s="49" t="str">
        <f aca="false">"5060458890191"</f>
        <v>5060458890191</v>
      </c>
      <c r="F5241" s="49" t="s">
        <v>3656</v>
      </c>
      <c r="G5241" s="49" t="n">
        <v>0</v>
      </c>
      <c r="H5241" s="0" t="n">
        <v>0</v>
      </c>
      <c r="M5241" s="51" t="s">
        <v>9429</v>
      </c>
      <c r="N5241" s="49" t="n">
        <v>0</v>
      </c>
      <c r="O5241" s="53" t="n">
        <v>45854.6334606482</v>
      </c>
      <c r="P5241" s="53" t="n">
        <v>45869.8575462963</v>
      </c>
      <c r="Q5241" s="53" t="n">
        <v>45854.6334606482</v>
      </c>
      <c r="R5241" s="0" t="n">
        <v>0</v>
      </c>
      <c r="S5241" s="51" t="s">
        <v>2371</v>
      </c>
      <c r="T5241" s="51" t="s">
        <v>2371</v>
      </c>
      <c r="U5241" s="0" t="str">
        <f aca="false">"5060458890191"</f>
        <v>5060458890191</v>
      </c>
      <c r="V5241" s="51" t="s">
        <v>2142</v>
      </c>
      <c r="W5241" s="51" t="s">
        <v>5190</v>
      </c>
      <c r="X5241" s="51" t="s">
        <v>2359</v>
      </c>
    </row>
    <row r="5242" customFormat="false" ht="14.25" hidden="true" customHeight="false" outlineLevel="0" collapsed="false">
      <c r="A5242" s="49" t="s">
        <v>2349</v>
      </c>
      <c r="B5242" s="49" t="s">
        <v>2350</v>
      </c>
      <c r="C5242" s="49" t="s">
        <v>9471</v>
      </c>
      <c r="D5242" s="49" t="s">
        <v>2352</v>
      </c>
      <c r="E5242" s="49" t="str">
        <f aca="false">"5060458890191"</f>
        <v>5060458890191</v>
      </c>
      <c r="F5242" s="49" t="s">
        <v>3656</v>
      </c>
      <c r="G5242" s="49" t="n">
        <v>0</v>
      </c>
      <c r="H5242" s="0" t="n">
        <v>0</v>
      </c>
      <c r="M5242" s="51" t="s">
        <v>9429</v>
      </c>
      <c r="N5242" s="49" t="n">
        <v>0</v>
      </c>
      <c r="O5242" s="53" t="n">
        <v>45854.6332175926</v>
      </c>
      <c r="P5242" s="53" t="n">
        <v>45869.8576273148</v>
      </c>
      <c r="Q5242" s="53" t="n">
        <v>45854.6332175926</v>
      </c>
      <c r="R5242" s="0" t="n">
        <v>0</v>
      </c>
      <c r="S5242" s="51" t="s">
        <v>2371</v>
      </c>
      <c r="T5242" s="51" t="s">
        <v>2371</v>
      </c>
      <c r="U5242" s="0" t="str">
        <f aca="false">"5060458890191"</f>
        <v>5060458890191</v>
      </c>
      <c r="V5242" s="51" t="s">
        <v>2142</v>
      </c>
      <c r="W5242" s="51" t="s">
        <v>5188</v>
      </c>
      <c r="X5242" s="51" t="s">
        <v>2359</v>
      </c>
    </row>
    <row r="5243" customFormat="false" ht="14.25" hidden="true" customHeight="false" outlineLevel="0" collapsed="false">
      <c r="A5243" s="49" t="s">
        <v>2349</v>
      </c>
      <c r="B5243" s="49" t="s">
        <v>2350</v>
      </c>
      <c r="C5243" s="49" t="s">
        <v>9472</v>
      </c>
      <c r="D5243" s="49" t="s">
        <v>2352</v>
      </c>
      <c r="E5243" s="49" t="str">
        <f aca="false">"5060458890191"</f>
        <v>5060458890191</v>
      </c>
      <c r="F5243" s="49" t="s">
        <v>3656</v>
      </c>
      <c r="G5243" s="49" t="n">
        <v>0</v>
      </c>
      <c r="H5243" s="0" t="n">
        <v>0</v>
      </c>
      <c r="M5243" s="51" t="s">
        <v>9429</v>
      </c>
      <c r="N5243" s="49" t="n">
        <v>0</v>
      </c>
      <c r="O5243" s="53" t="n">
        <v>45854.6329282407</v>
      </c>
      <c r="P5243" s="53" t="n">
        <v>45869.8577314815</v>
      </c>
      <c r="Q5243" s="53" t="n">
        <v>45854.6329282407</v>
      </c>
      <c r="R5243" s="0" t="n">
        <v>0</v>
      </c>
      <c r="S5243" s="51" t="s">
        <v>2371</v>
      </c>
      <c r="T5243" s="51" t="s">
        <v>2371</v>
      </c>
      <c r="U5243" s="0" t="str">
        <f aca="false">"5060458890191"</f>
        <v>5060458890191</v>
      </c>
      <c r="V5243" s="51" t="s">
        <v>2142</v>
      </c>
      <c r="W5243" s="51" t="s">
        <v>5182</v>
      </c>
      <c r="X5243" s="51" t="s">
        <v>2359</v>
      </c>
    </row>
    <row r="5244" customFormat="false" ht="14.25" hidden="true" customHeight="false" outlineLevel="0" collapsed="false">
      <c r="A5244" s="49" t="s">
        <v>2349</v>
      </c>
      <c r="B5244" s="49" t="s">
        <v>2350</v>
      </c>
      <c r="C5244" s="49" t="s">
        <v>9473</v>
      </c>
      <c r="D5244" s="49" t="s">
        <v>2352</v>
      </c>
      <c r="E5244" s="49" t="str">
        <f aca="false">"5060458890191"</f>
        <v>5060458890191</v>
      </c>
      <c r="F5244" s="49" t="s">
        <v>3656</v>
      </c>
      <c r="G5244" s="49" t="n">
        <v>0</v>
      </c>
      <c r="H5244" s="0" t="n">
        <v>0</v>
      </c>
      <c r="M5244" s="51" t="s">
        <v>9429</v>
      </c>
      <c r="N5244" s="49" t="n">
        <v>0</v>
      </c>
      <c r="O5244" s="53" t="n">
        <v>45854.6324884259</v>
      </c>
      <c r="P5244" s="53" t="n">
        <v>45864.4188078704</v>
      </c>
      <c r="Q5244" s="53" t="n">
        <v>45854.6324884259</v>
      </c>
      <c r="R5244" s="0" t="n">
        <v>0</v>
      </c>
      <c r="S5244" s="51" t="s">
        <v>2371</v>
      </c>
      <c r="T5244" s="51" t="s">
        <v>2371</v>
      </c>
      <c r="U5244" s="0" t="str">
        <f aca="false">"5060458890191"</f>
        <v>5060458890191</v>
      </c>
      <c r="V5244" s="51" t="s">
        <v>2142</v>
      </c>
      <c r="W5244" s="51" t="s">
        <v>9474</v>
      </c>
      <c r="X5244" s="51" t="s">
        <v>2359</v>
      </c>
    </row>
    <row r="5245" customFormat="false" ht="14.25" hidden="true" customHeight="false" outlineLevel="0" collapsed="false">
      <c r="A5245" s="49" t="s">
        <v>2349</v>
      </c>
      <c r="B5245" s="49" t="s">
        <v>2350</v>
      </c>
      <c r="C5245" s="49" t="s">
        <v>9475</v>
      </c>
      <c r="D5245" s="49" t="s">
        <v>2352</v>
      </c>
      <c r="E5245" s="49" t="str">
        <f aca="false">"5060458890191"</f>
        <v>5060458890191</v>
      </c>
      <c r="F5245" s="49" t="s">
        <v>3656</v>
      </c>
      <c r="G5245" s="49" t="n">
        <v>0</v>
      </c>
      <c r="H5245" s="0" t="n">
        <v>0</v>
      </c>
      <c r="M5245" s="51" t="s">
        <v>9429</v>
      </c>
      <c r="N5245" s="49" t="n">
        <v>0</v>
      </c>
      <c r="O5245" s="53" t="n">
        <v>45854.6485300926</v>
      </c>
      <c r="P5245" s="53" t="n">
        <v>45869.8645138889</v>
      </c>
      <c r="Q5245" s="53" t="n">
        <v>45854.6485300926</v>
      </c>
      <c r="R5245" s="0" t="n">
        <v>0</v>
      </c>
      <c r="S5245" s="51" t="s">
        <v>2371</v>
      </c>
      <c r="T5245" s="51" t="s">
        <v>2371</v>
      </c>
      <c r="U5245" s="0" t="str">
        <f aca="false">"5060458890191"</f>
        <v>5060458890191</v>
      </c>
      <c r="V5245" s="51" t="s">
        <v>2142</v>
      </c>
      <c r="W5245" s="51" t="s">
        <v>4086</v>
      </c>
      <c r="X5245" s="51" t="s">
        <v>2359</v>
      </c>
    </row>
    <row r="5246" customFormat="false" ht="14.25" hidden="true" customHeight="false" outlineLevel="0" collapsed="false">
      <c r="A5246" s="49" t="s">
        <v>2349</v>
      </c>
      <c r="B5246" s="49" t="s">
        <v>2350</v>
      </c>
      <c r="C5246" s="49" t="s">
        <v>9476</v>
      </c>
      <c r="D5246" s="49" t="s">
        <v>2352</v>
      </c>
      <c r="E5246" s="49" t="str">
        <f aca="false">"10041500741618"</f>
        <v>10041500741618</v>
      </c>
      <c r="F5246" s="49" t="s">
        <v>9477</v>
      </c>
      <c r="G5246" s="49" t="n">
        <v>0</v>
      </c>
      <c r="H5246" s="0" t="n">
        <v>0</v>
      </c>
      <c r="M5246" s="51" t="s">
        <v>9478</v>
      </c>
      <c r="N5246" s="49" t="n">
        <v>0</v>
      </c>
      <c r="O5246" s="53" t="n">
        <v>45855.4648958333</v>
      </c>
      <c r="P5246" s="53" t="n">
        <v>45876.6492013889</v>
      </c>
      <c r="Q5246" s="53" t="n">
        <v>45855.4648958333</v>
      </c>
      <c r="R5246" s="0" t="n">
        <v>0</v>
      </c>
      <c r="S5246" s="51" t="s">
        <v>2416</v>
      </c>
      <c r="T5246" s="51" t="s">
        <v>2416</v>
      </c>
      <c r="U5246" s="0" t="str">
        <f aca="false">"10041500741618"</f>
        <v>10041500741618</v>
      </c>
      <c r="V5246" s="51" t="s">
        <v>2365</v>
      </c>
      <c r="W5246" s="51" t="s">
        <v>4113</v>
      </c>
      <c r="X5246" s="51" t="s">
        <v>2359</v>
      </c>
    </row>
    <row r="5247" customFormat="false" ht="14.25" hidden="true" customHeight="false" outlineLevel="0" collapsed="false">
      <c r="A5247" s="49" t="s">
        <v>2349</v>
      </c>
      <c r="B5247" s="49" t="s">
        <v>2350</v>
      </c>
      <c r="C5247" s="49" t="s">
        <v>9479</v>
      </c>
      <c r="D5247" s="49" t="s">
        <v>2352</v>
      </c>
      <c r="E5247" s="49" t="str">
        <f aca="false">"041500819389"</f>
        <v>041500819389</v>
      </c>
      <c r="F5247" s="49" t="s">
        <v>6674</v>
      </c>
      <c r="G5247" s="49" t="n">
        <v>0</v>
      </c>
      <c r="H5247" s="0" t="n">
        <v>0</v>
      </c>
      <c r="M5247" s="51" t="s">
        <v>9480</v>
      </c>
      <c r="N5247" s="49" t="n">
        <v>0</v>
      </c>
      <c r="O5247" s="53" t="n">
        <v>45874.4445949074</v>
      </c>
      <c r="P5247" s="53" t="n">
        <v>46001.1859953704</v>
      </c>
      <c r="Q5247" s="53" t="n">
        <v>45874.4445949074</v>
      </c>
      <c r="R5247" s="0" t="n">
        <v>0</v>
      </c>
      <c r="S5247" s="51" t="s">
        <v>2383</v>
      </c>
      <c r="T5247" s="51" t="s">
        <v>2383</v>
      </c>
      <c r="U5247" s="0" t="str">
        <f aca="false">"041500819389"</f>
        <v>041500819389</v>
      </c>
      <c r="V5247" s="51" t="s">
        <v>2365</v>
      </c>
      <c r="W5247" s="51" t="s">
        <v>9481</v>
      </c>
      <c r="X5247" s="51" t="s">
        <v>2359</v>
      </c>
    </row>
    <row r="5248" customFormat="false" ht="14.25" hidden="true" customHeight="false" outlineLevel="0" collapsed="false">
      <c r="A5248" s="49" t="s">
        <v>2349</v>
      </c>
      <c r="B5248" s="49" t="s">
        <v>2350</v>
      </c>
      <c r="C5248" s="49" t="s">
        <v>9482</v>
      </c>
      <c r="D5248" s="49" t="s">
        <v>2352</v>
      </c>
      <c r="E5248" s="49" t="s">
        <v>3960</v>
      </c>
      <c r="F5248" s="49" t="s">
        <v>3961</v>
      </c>
      <c r="G5248" s="49" t="n">
        <v>0</v>
      </c>
      <c r="H5248" s="0" t="n">
        <v>0</v>
      </c>
      <c r="M5248" s="0" t="str">
        <f aca="false">"00004281"</f>
        <v>00004281</v>
      </c>
      <c r="N5248" s="49" t="n">
        <v>0</v>
      </c>
      <c r="O5248" s="53" t="n">
        <v>45874.6140856482</v>
      </c>
      <c r="P5248" s="53" t="n">
        <v>45885.7336689815</v>
      </c>
      <c r="Q5248" s="53" t="n">
        <v>45874.6140856482</v>
      </c>
      <c r="R5248" s="0" t="n">
        <v>0</v>
      </c>
      <c r="S5248" s="51" t="s">
        <v>2356</v>
      </c>
      <c r="T5248" s="51" t="s">
        <v>2356</v>
      </c>
      <c r="U5248" s="51" t="s">
        <v>3960</v>
      </c>
      <c r="V5248" s="51" t="s">
        <v>2365</v>
      </c>
      <c r="W5248" s="51" t="s">
        <v>5494</v>
      </c>
      <c r="X5248" s="51" t="s">
        <v>2359</v>
      </c>
    </row>
    <row r="5249" customFormat="false" ht="14.25" hidden="true" customHeight="false" outlineLevel="0" collapsed="false">
      <c r="A5249" s="49" t="s">
        <v>2349</v>
      </c>
      <c r="B5249" s="49" t="s">
        <v>2350</v>
      </c>
      <c r="C5249" s="49" t="s">
        <v>9483</v>
      </c>
      <c r="D5249" s="49" t="s">
        <v>2352</v>
      </c>
      <c r="E5249" s="49" t="str">
        <f aca="false">"5060175133922"</f>
        <v>5060175133922</v>
      </c>
      <c r="F5249" s="49" t="s">
        <v>3837</v>
      </c>
      <c r="G5249" s="49" t="n">
        <v>0</v>
      </c>
      <c r="H5249" s="0" t="n">
        <v>0</v>
      </c>
      <c r="M5249" s="51" t="s">
        <v>9484</v>
      </c>
      <c r="N5249" s="49" t="n">
        <v>0</v>
      </c>
      <c r="O5249" s="53" t="n">
        <v>45841.5966435185</v>
      </c>
      <c r="P5249" s="53" t="n">
        <v>45873.9509837963</v>
      </c>
      <c r="Q5249" s="53" t="n">
        <v>45841.5966319444</v>
      </c>
      <c r="R5249" s="0" t="n">
        <v>0</v>
      </c>
      <c r="S5249" s="51" t="s">
        <v>2364</v>
      </c>
      <c r="T5249" s="51" t="s">
        <v>2364</v>
      </c>
      <c r="U5249" s="0" t="str">
        <f aca="false">"5060175133922"</f>
        <v>5060175133922</v>
      </c>
      <c r="V5249" s="51" t="s">
        <v>2365</v>
      </c>
      <c r="W5249" s="51" t="s">
        <v>4943</v>
      </c>
      <c r="X5249" s="51" t="s">
        <v>2359</v>
      </c>
    </row>
    <row r="5250" customFormat="false" ht="14.25" hidden="true" customHeight="false" outlineLevel="0" collapsed="false">
      <c r="A5250" s="49" t="s">
        <v>2349</v>
      </c>
      <c r="B5250" s="49" t="s">
        <v>2350</v>
      </c>
      <c r="C5250" s="49" t="s">
        <v>9485</v>
      </c>
      <c r="D5250" s="49" t="s">
        <v>2352</v>
      </c>
      <c r="E5250" s="49" t="str">
        <f aca="false">"12207690"</f>
        <v>12207690</v>
      </c>
      <c r="F5250" s="49" t="s">
        <v>4199</v>
      </c>
      <c r="G5250" s="49" t="n">
        <v>0</v>
      </c>
      <c r="H5250" s="0" t="n">
        <v>0</v>
      </c>
      <c r="M5250" s="51" t="s">
        <v>9486</v>
      </c>
      <c r="N5250" s="49" t="n">
        <v>0</v>
      </c>
      <c r="O5250" s="53" t="n">
        <v>45879.6624884259</v>
      </c>
      <c r="P5250" s="53" t="n">
        <v>46027.4651736111</v>
      </c>
      <c r="Q5250" s="53" t="n">
        <v>45879.6624884259</v>
      </c>
      <c r="R5250" s="0" t="n">
        <v>0</v>
      </c>
      <c r="S5250" s="51" t="s">
        <v>2394</v>
      </c>
      <c r="T5250" s="51" t="s">
        <v>2394</v>
      </c>
      <c r="U5250" s="0" t="str">
        <f aca="false">"12207690"</f>
        <v>12207690</v>
      </c>
      <c r="V5250" s="51" t="s">
        <v>2365</v>
      </c>
      <c r="W5250" s="51" t="s">
        <v>3877</v>
      </c>
      <c r="X5250" s="51" t="s">
        <v>2359</v>
      </c>
    </row>
    <row r="5251" customFormat="false" ht="14.25" hidden="true" customHeight="false" outlineLevel="0" collapsed="false">
      <c r="A5251" s="49" t="s">
        <v>2349</v>
      </c>
      <c r="B5251" s="49" t="s">
        <v>2350</v>
      </c>
      <c r="C5251" s="49" t="s">
        <v>9487</v>
      </c>
      <c r="D5251" s="49" t="s">
        <v>2352</v>
      </c>
      <c r="E5251" s="49" t="s">
        <v>3960</v>
      </c>
      <c r="F5251" s="49" t="s">
        <v>3961</v>
      </c>
      <c r="G5251" s="49" t="n">
        <v>0</v>
      </c>
      <c r="H5251" s="0" t="n">
        <v>0</v>
      </c>
      <c r="M5251" s="51" t="s">
        <v>9488</v>
      </c>
      <c r="N5251" s="49" t="n">
        <v>0</v>
      </c>
      <c r="O5251" s="53" t="n">
        <v>45878.5727777778</v>
      </c>
      <c r="P5251" s="53" t="n">
        <v>45880.5829282407</v>
      </c>
      <c r="Q5251" s="53" t="n">
        <v>45878.5727777778</v>
      </c>
      <c r="R5251" s="0" t="n">
        <v>0</v>
      </c>
      <c r="S5251" s="51" t="s">
        <v>2356</v>
      </c>
      <c r="T5251" s="51" t="s">
        <v>2356</v>
      </c>
      <c r="U5251" s="51" t="s">
        <v>3960</v>
      </c>
      <c r="V5251" s="51" t="s">
        <v>2365</v>
      </c>
      <c r="W5251" s="51" t="s">
        <v>9489</v>
      </c>
      <c r="X5251" s="51" t="s">
        <v>2359</v>
      </c>
    </row>
    <row r="5252" customFormat="false" ht="14.25" hidden="true" customHeight="false" outlineLevel="0" collapsed="false">
      <c r="A5252" s="49" t="s">
        <v>2349</v>
      </c>
      <c r="B5252" s="49" t="s">
        <v>2350</v>
      </c>
      <c r="C5252" s="49" t="s">
        <v>9490</v>
      </c>
      <c r="D5252" s="49" t="s">
        <v>2352</v>
      </c>
      <c r="E5252" s="49" t="s">
        <v>3960</v>
      </c>
      <c r="F5252" s="49" t="s">
        <v>3961</v>
      </c>
      <c r="G5252" s="49" t="n">
        <v>0</v>
      </c>
      <c r="H5252" s="0" t="n">
        <v>0</v>
      </c>
      <c r="M5252" s="51" t="s">
        <v>9488</v>
      </c>
      <c r="N5252" s="49" t="n">
        <v>0</v>
      </c>
      <c r="O5252" s="53" t="n">
        <v>45878.5724189815</v>
      </c>
      <c r="P5252" s="53" t="n">
        <v>45883.6124884259</v>
      </c>
      <c r="Q5252" s="53" t="n">
        <v>45878.5724189815</v>
      </c>
      <c r="R5252" s="0" t="n">
        <v>0</v>
      </c>
      <c r="S5252" s="51" t="s">
        <v>2356</v>
      </c>
      <c r="T5252" s="51" t="s">
        <v>2356</v>
      </c>
      <c r="U5252" s="51" t="s">
        <v>3960</v>
      </c>
      <c r="V5252" s="51" t="s">
        <v>2365</v>
      </c>
      <c r="W5252" s="51" t="s">
        <v>4927</v>
      </c>
      <c r="X5252" s="51" t="s">
        <v>2359</v>
      </c>
    </row>
    <row r="5253" customFormat="false" ht="14.25" hidden="true" customHeight="false" outlineLevel="0" collapsed="false">
      <c r="A5253" s="49" t="s">
        <v>2349</v>
      </c>
      <c r="B5253" s="49" t="s">
        <v>2350</v>
      </c>
      <c r="C5253" s="49" t="s">
        <v>9491</v>
      </c>
      <c r="D5253" s="49" t="s">
        <v>2352</v>
      </c>
      <c r="E5253" s="49" t="s">
        <v>3960</v>
      </c>
      <c r="F5253" s="49" t="s">
        <v>3961</v>
      </c>
      <c r="G5253" s="49" t="n">
        <v>0</v>
      </c>
      <c r="H5253" s="0" t="n">
        <v>0</v>
      </c>
      <c r="M5253" s="51" t="s">
        <v>9488</v>
      </c>
      <c r="N5253" s="49" t="n">
        <v>0</v>
      </c>
      <c r="O5253" s="53" t="n">
        <v>45878.5699421296</v>
      </c>
      <c r="P5253" s="53" t="n">
        <v>45885.7338310185</v>
      </c>
      <c r="Q5253" s="53" t="n">
        <v>45878.5699421296</v>
      </c>
      <c r="R5253" s="0" t="n">
        <v>0</v>
      </c>
      <c r="S5253" s="51" t="s">
        <v>2356</v>
      </c>
      <c r="T5253" s="51" t="s">
        <v>2356</v>
      </c>
      <c r="U5253" s="51" t="s">
        <v>3960</v>
      </c>
      <c r="V5253" s="51" t="s">
        <v>2365</v>
      </c>
      <c r="W5253" s="51" t="s">
        <v>4150</v>
      </c>
      <c r="X5253" s="51" t="s">
        <v>2359</v>
      </c>
    </row>
    <row r="5254" customFormat="false" ht="14.25" hidden="true" customHeight="false" outlineLevel="0" collapsed="false">
      <c r="A5254" s="49" t="s">
        <v>2349</v>
      </c>
      <c r="B5254" s="49" t="s">
        <v>2350</v>
      </c>
      <c r="C5254" s="49" t="s">
        <v>9492</v>
      </c>
      <c r="D5254" s="49" t="s">
        <v>2352</v>
      </c>
      <c r="E5254" s="49" t="s">
        <v>3960</v>
      </c>
      <c r="F5254" s="49" t="s">
        <v>3961</v>
      </c>
      <c r="G5254" s="49" t="n">
        <v>0</v>
      </c>
      <c r="H5254" s="0" t="n">
        <v>0</v>
      </c>
      <c r="M5254" s="51" t="s">
        <v>9488</v>
      </c>
      <c r="N5254" s="49" t="n">
        <v>0</v>
      </c>
      <c r="O5254" s="53" t="n">
        <v>45878.5696759259</v>
      </c>
      <c r="P5254" s="53" t="n">
        <v>45883.6089699074</v>
      </c>
      <c r="Q5254" s="53" t="n">
        <v>45878.5696759259</v>
      </c>
      <c r="R5254" s="0" t="n">
        <v>0</v>
      </c>
      <c r="S5254" s="51" t="s">
        <v>2356</v>
      </c>
      <c r="T5254" s="51" t="s">
        <v>2356</v>
      </c>
      <c r="U5254" s="51" t="s">
        <v>3960</v>
      </c>
      <c r="V5254" s="51" t="s">
        <v>2365</v>
      </c>
      <c r="W5254" s="51" t="s">
        <v>7405</v>
      </c>
      <c r="X5254" s="51" t="s">
        <v>2359</v>
      </c>
    </row>
    <row r="5255" customFormat="false" ht="14.25" hidden="true" customHeight="false" outlineLevel="0" collapsed="false">
      <c r="A5255" s="49" t="s">
        <v>2349</v>
      </c>
      <c r="B5255" s="49" t="s">
        <v>2350</v>
      </c>
      <c r="C5255" s="49" t="s">
        <v>9493</v>
      </c>
      <c r="D5255" s="49" t="s">
        <v>2352</v>
      </c>
      <c r="E5255" s="49" t="s">
        <v>3960</v>
      </c>
      <c r="F5255" s="49" t="s">
        <v>3961</v>
      </c>
      <c r="G5255" s="49" t="n">
        <v>0</v>
      </c>
      <c r="H5255" s="0" t="n">
        <v>0</v>
      </c>
      <c r="M5255" s="51" t="s">
        <v>9488</v>
      </c>
      <c r="N5255" s="49" t="n">
        <v>0</v>
      </c>
      <c r="O5255" s="53" t="n">
        <v>45878.5688425926</v>
      </c>
      <c r="P5255" s="53" t="n">
        <v>45885.7330902778</v>
      </c>
      <c r="Q5255" s="53" t="n">
        <v>45878.5688425926</v>
      </c>
      <c r="R5255" s="0" t="n">
        <v>0</v>
      </c>
      <c r="S5255" s="51" t="s">
        <v>2356</v>
      </c>
      <c r="T5255" s="51" t="s">
        <v>2356</v>
      </c>
      <c r="U5255" s="51" t="s">
        <v>3960</v>
      </c>
      <c r="V5255" s="51" t="s">
        <v>2365</v>
      </c>
      <c r="W5255" s="51" t="s">
        <v>4171</v>
      </c>
      <c r="X5255" s="51" t="s">
        <v>2359</v>
      </c>
    </row>
    <row r="5256" customFormat="false" ht="14.25" hidden="true" customHeight="false" outlineLevel="0" collapsed="false">
      <c r="A5256" s="49" t="s">
        <v>2349</v>
      </c>
      <c r="B5256" s="49" t="s">
        <v>2350</v>
      </c>
      <c r="C5256" s="49" t="s">
        <v>9494</v>
      </c>
      <c r="D5256" s="49" t="s">
        <v>2352</v>
      </c>
      <c r="E5256" s="49" t="s">
        <v>3960</v>
      </c>
      <c r="F5256" s="49" t="s">
        <v>3961</v>
      </c>
      <c r="G5256" s="49" t="n">
        <v>0</v>
      </c>
      <c r="H5256" s="0" t="n">
        <v>0</v>
      </c>
      <c r="M5256" s="51" t="s">
        <v>9488</v>
      </c>
      <c r="N5256" s="49" t="n">
        <v>0</v>
      </c>
      <c r="O5256" s="53" t="n">
        <v>45878.5683680556</v>
      </c>
      <c r="P5256" s="53" t="n">
        <v>45892.5905092593</v>
      </c>
      <c r="Q5256" s="53" t="n">
        <v>45878.5683680556</v>
      </c>
      <c r="R5256" s="0" t="n">
        <v>0</v>
      </c>
      <c r="S5256" s="51" t="s">
        <v>2356</v>
      </c>
      <c r="T5256" s="51" t="s">
        <v>2356</v>
      </c>
      <c r="U5256" s="51" t="s">
        <v>3960</v>
      </c>
      <c r="V5256" s="51" t="s">
        <v>2365</v>
      </c>
      <c r="W5256" s="51" t="s">
        <v>4601</v>
      </c>
      <c r="X5256" s="51" t="s">
        <v>2359</v>
      </c>
    </row>
    <row r="5257" customFormat="false" ht="14.25" hidden="true" customHeight="false" outlineLevel="0" collapsed="false">
      <c r="A5257" s="49" t="s">
        <v>2349</v>
      </c>
      <c r="B5257" s="49" t="s">
        <v>2350</v>
      </c>
      <c r="C5257" s="49" t="s">
        <v>9495</v>
      </c>
      <c r="D5257" s="49" t="s">
        <v>2352</v>
      </c>
      <c r="E5257" s="49" t="s">
        <v>3960</v>
      </c>
      <c r="F5257" s="49" t="s">
        <v>3961</v>
      </c>
      <c r="G5257" s="49" t="n">
        <v>0</v>
      </c>
      <c r="H5257" s="0" t="n">
        <v>0</v>
      </c>
      <c r="M5257" s="51" t="s">
        <v>9496</v>
      </c>
      <c r="N5257" s="49" t="n">
        <v>0</v>
      </c>
      <c r="O5257" s="53" t="n">
        <v>45843.3877314815</v>
      </c>
      <c r="P5257" s="53" t="n">
        <v>45847.3098148148</v>
      </c>
      <c r="Q5257" s="53" t="n">
        <v>45843.3877314815</v>
      </c>
      <c r="R5257" s="0" t="n">
        <v>0</v>
      </c>
      <c r="S5257" s="51" t="s">
        <v>2356</v>
      </c>
      <c r="T5257" s="51" t="s">
        <v>2356</v>
      </c>
      <c r="U5257" s="51" t="s">
        <v>3960</v>
      </c>
      <c r="V5257" s="51" t="s">
        <v>2365</v>
      </c>
      <c r="W5257" s="51" t="s">
        <v>4598</v>
      </c>
      <c r="X5257" s="51" t="s">
        <v>2359</v>
      </c>
    </row>
    <row r="5258" customFormat="false" ht="14.25" hidden="true" customHeight="false" outlineLevel="0" collapsed="false">
      <c r="A5258" s="49" t="s">
        <v>2349</v>
      </c>
      <c r="B5258" s="49" t="s">
        <v>2350</v>
      </c>
      <c r="C5258" s="49" t="s">
        <v>9497</v>
      </c>
      <c r="D5258" s="49" t="s">
        <v>2352</v>
      </c>
      <c r="E5258" s="49" t="s">
        <v>7198</v>
      </c>
      <c r="F5258" s="49" t="s">
        <v>7199</v>
      </c>
      <c r="G5258" s="49" t="n">
        <v>0</v>
      </c>
      <c r="H5258" s="0" t="n">
        <v>0</v>
      </c>
      <c r="M5258" s="51" t="s">
        <v>9496</v>
      </c>
      <c r="N5258" s="49" t="n">
        <v>0</v>
      </c>
      <c r="O5258" s="53" t="n">
        <v>45843.3871180556</v>
      </c>
      <c r="P5258" s="53" t="n">
        <v>45871.5713078704</v>
      </c>
      <c r="Q5258" s="53" t="n">
        <v>45843.3871180556</v>
      </c>
      <c r="R5258" s="0" t="n">
        <v>0</v>
      </c>
      <c r="S5258" s="51" t="s">
        <v>2356</v>
      </c>
      <c r="T5258" s="51" t="s">
        <v>2356</v>
      </c>
      <c r="U5258" s="51" t="s">
        <v>7198</v>
      </c>
      <c r="V5258" s="51" t="s">
        <v>2365</v>
      </c>
      <c r="W5258" s="51" t="s">
        <v>7201</v>
      </c>
      <c r="X5258" s="51" t="s">
        <v>2359</v>
      </c>
    </row>
    <row r="5259" customFormat="false" ht="14.25" hidden="true" customHeight="false" outlineLevel="0" collapsed="false">
      <c r="A5259" s="49" t="s">
        <v>2349</v>
      </c>
      <c r="B5259" s="49" t="s">
        <v>2350</v>
      </c>
      <c r="C5259" s="49" t="s">
        <v>9497</v>
      </c>
      <c r="D5259" s="49" t="s">
        <v>2352</v>
      </c>
      <c r="E5259" s="49" t="s">
        <v>7198</v>
      </c>
      <c r="F5259" s="49" t="s">
        <v>7199</v>
      </c>
      <c r="G5259" s="49" t="n">
        <v>0</v>
      </c>
      <c r="H5259" s="0" t="n">
        <v>0</v>
      </c>
      <c r="M5259" s="51" t="s">
        <v>9496</v>
      </c>
      <c r="N5259" s="49" t="n">
        <v>0</v>
      </c>
      <c r="O5259" s="53" t="n">
        <v>45843.3871180556</v>
      </c>
      <c r="P5259" s="53" t="n">
        <v>45871.5713078704</v>
      </c>
      <c r="Q5259" s="53" t="n">
        <v>45843.3871180556</v>
      </c>
      <c r="R5259" s="0" t="n">
        <v>0</v>
      </c>
      <c r="S5259" s="51" t="s">
        <v>2356</v>
      </c>
      <c r="T5259" s="51" t="s">
        <v>2356</v>
      </c>
      <c r="U5259" s="51" t="s">
        <v>7198</v>
      </c>
      <c r="V5259" s="51" t="s">
        <v>2365</v>
      </c>
      <c r="W5259" s="51" t="s">
        <v>7201</v>
      </c>
      <c r="X5259" s="51" t="s">
        <v>2359</v>
      </c>
    </row>
    <row r="5260" customFormat="false" ht="14.25" hidden="true" customHeight="false" outlineLevel="0" collapsed="false">
      <c r="A5260" s="49" t="s">
        <v>2349</v>
      </c>
      <c r="B5260" s="49" t="s">
        <v>2350</v>
      </c>
      <c r="C5260" s="49" t="s">
        <v>9498</v>
      </c>
      <c r="D5260" s="49" t="s">
        <v>2352</v>
      </c>
      <c r="E5260" s="49" t="s">
        <v>3751</v>
      </c>
      <c r="F5260" s="49" t="s">
        <v>3752</v>
      </c>
      <c r="G5260" s="49" t="n">
        <v>0</v>
      </c>
      <c r="H5260" s="0" t="n">
        <v>0</v>
      </c>
      <c r="M5260" s="51" t="s">
        <v>9496</v>
      </c>
      <c r="N5260" s="49" t="n">
        <v>0</v>
      </c>
      <c r="O5260" s="53" t="n">
        <v>45843.3914699074</v>
      </c>
      <c r="P5260" s="53" t="n">
        <v>45860.6555671296</v>
      </c>
      <c r="Q5260" s="53" t="n">
        <v>45843.3914699074</v>
      </c>
      <c r="R5260" s="0" t="n">
        <v>0</v>
      </c>
      <c r="S5260" s="51" t="s">
        <v>2356</v>
      </c>
      <c r="T5260" s="51" t="s">
        <v>2356</v>
      </c>
      <c r="U5260" s="51" t="s">
        <v>3751</v>
      </c>
      <c r="V5260" s="51" t="s">
        <v>2357</v>
      </c>
      <c r="W5260" s="51" t="s">
        <v>5968</v>
      </c>
      <c r="X5260" s="51" t="s">
        <v>2359</v>
      </c>
    </row>
    <row r="5261" customFormat="false" ht="14.25" hidden="true" customHeight="false" outlineLevel="0" collapsed="false">
      <c r="A5261" s="49" t="s">
        <v>2349</v>
      </c>
      <c r="B5261" s="49" t="s">
        <v>2350</v>
      </c>
      <c r="C5261" s="49" t="s">
        <v>9499</v>
      </c>
      <c r="D5261" s="49" t="s">
        <v>2352</v>
      </c>
      <c r="E5261" s="49" t="s">
        <v>3751</v>
      </c>
      <c r="F5261" s="49" t="s">
        <v>3752</v>
      </c>
      <c r="G5261" s="49" t="n">
        <v>0</v>
      </c>
      <c r="H5261" s="0" t="n">
        <v>0</v>
      </c>
      <c r="M5261" s="51" t="s">
        <v>9496</v>
      </c>
      <c r="N5261" s="49" t="n">
        <v>0</v>
      </c>
      <c r="O5261" s="53" t="n">
        <v>45843.3903356481</v>
      </c>
      <c r="P5261" s="53" t="n">
        <v>45981.8144444445</v>
      </c>
      <c r="Q5261" s="53" t="n">
        <v>45843.3903356481</v>
      </c>
      <c r="R5261" s="0" t="n">
        <v>0</v>
      </c>
      <c r="S5261" s="51" t="s">
        <v>2356</v>
      </c>
      <c r="T5261" s="51" t="s">
        <v>2356</v>
      </c>
      <c r="U5261" s="51" t="s">
        <v>3751</v>
      </c>
      <c r="V5261" s="51" t="s">
        <v>2357</v>
      </c>
      <c r="W5261" s="51" t="s">
        <v>4160</v>
      </c>
      <c r="X5261" s="51" t="s">
        <v>2359</v>
      </c>
    </row>
    <row r="5262" customFormat="false" ht="14.25" hidden="true" customHeight="false" outlineLevel="0" collapsed="false">
      <c r="A5262" s="49" t="s">
        <v>2349</v>
      </c>
      <c r="B5262" s="49" t="s">
        <v>2350</v>
      </c>
      <c r="C5262" s="49" t="s">
        <v>9500</v>
      </c>
      <c r="D5262" s="49" t="s">
        <v>2352</v>
      </c>
      <c r="E5262" s="49" t="s">
        <v>3751</v>
      </c>
      <c r="F5262" s="49" t="s">
        <v>3752</v>
      </c>
      <c r="G5262" s="49" t="n">
        <v>0</v>
      </c>
      <c r="H5262" s="0" t="n">
        <v>0</v>
      </c>
      <c r="M5262" s="51" t="s">
        <v>9496</v>
      </c>
      <c r="N5262" s="49" t="n">
        <v>0</v>
      </c>
      <c r="O5262" s="53" t="n">
        <v>45843.3900925926</v>
      </c>
      <c r="P5262" s="53" t="n">
        <v>45880.5843171296</v>
      </c>
      <c r="Q5262" s="53" t="n">
        <v>45843.3900925926</v>
      </c>
      <c r="R5262" s="0" t="n">
        <v>0</v>
      </c>
      <c r="S5262" s="51" t="s">
        <v>2356</v>
      </c>
      <c r="T5262" s="51" t="s">
        <v>2356</v>
      </c>
      <c r="U5262" s="51" t="s">
        <v>3751</v>
      </c>
      <c r="V5262" s="51" t="s">
        <v>2357</v>
      </c>
      <c r="W5262" s="51" t="s">
        <v>8251</v>
      </c>
      <c r="X5262" s="51" t="s">
        <v>2359</v>
      </c>
    </row>
    <row r="5263" customFormat="false" ht="14.25" hidden="true" customHeight="false" outlineLevel="0" collapsed="false">
      <c r="A5263" s="49" t="s">
        <v>2349</v>
      </c>
      <c r="B5263" s="49" t="s">
        <v>2350</v>
      </c>
      <c r="C5263" s="49" t="s">
        <v>9501</v>
      </c>
      <c r="D5263" s="49" t="s">
        <v>2352</v>
      </c>
      <c r="E5263" s="49" t="str">
        <f aca="false">"8908020441030"</f>
        <v>8908020441030</v>
      </c>
      <c r="F5263" s="49" t="s">
        <v>5384</v>
      </c>
      <c r="G5263" s="49" t="n">
        <v>0</v>
      </c>
      <c r="H5263" s="0" t="n">
        <v>0</v>
      </c>
      <c r="M5263" s="51" t="s">
        <v>9496</v>
      </c>
      <c r="N5263" s="49" t="n">
        <v>0</v>
      </c>
      <c r="O5263" s="53" t="n">
        <v>45843.3955902778</v>
      </c>
      <c r="P5263" s="53" t="n">
        <v>45892.59</v>
      </c>
      <c r="Q5263" s="53" t="n">
        <v>45843.3955902778</v>
      </c>
      <c r="R5263" s="0" t="n">
        <v>0</v>
      </c>
      <c r="S5263" s="51" t="s">
        <v>2356</v>
      </c>
      <c r="T5263" s="51" t="s">
        <v>2356</v>
      </c>
      <c r="U5263" s="0" t="str">
        <f aca="false">"8908020441030"</f>
        <v>8908020441030</v>
      </c>
      <c r="V5263" s="51" t="s">
        <v>5386</v>
      </c>
      <c r="W5263" s="51" t="s">
        <v>4134</v>
      </c>
      <c r="X5263" s="51" t="s">
        <v>2359</v>
      </c>
    </row>
    <row r="5264" customFormat="false" ht="14.25" hidden="true" customHeight="false" outlineLevel="0" collapsed="false">
      <c r="A5264" s="49" t="s">
        <v>2349</v>
      </c>
      <c r="B5264" s="49" t="s">
        <v>2350</v>
      </c>
      <c r="C5264" s="49" t="s">
        <v>9502</v>
      </c>
      <c r="D5264" s="49" t="s">
        <v>2352</v>
      </c>
      <c r="E5264" s="49" t="str">
        <f aca="false">"8908020441030"</f>
        <v>8908020441030</v>
      </c>
      <c r="F5264" s="49" t="s">
        <v>5384</v>
      </c>
      <c r="G5264" s="49" t="n">
        <v>0</v>
      </c>
      <c r="H5264" s="0" t="n">
        <v>0</v>
      </c>
      <c r="M5264" s="51" t="s">
        <v>9496</v>
      </c>
      <c r="N5264" s="49" t="n">
        <v>0</v>
      </c>
      <c r="O5264" s="53" t="n">
        <v>45843.3953703704</v>
      </c>
      <c r="P5264" s="53" t="n">
        <v>45893.3045949074</v>
      </c>
      <c r="Q5264" s="53" t="n">
        <v>45843.3953703704</v>
      </c>
      <c r="R5264" s="0" t="n">
        <v>0</v>
      </c>
      <c r="S5264" s="51" t="s">
        <v>2356</v>
      </c>
      <c r="T5264" s="51" t="s">
        <v>2356</v>
      </c>
      <c r="U5264" s="0" t="str">
        <f aca="false">"8908020441030"</f>
        <v>8908020441030</v>
      </c>
      <c r="V5264" s="51" t="s">
        <v>5386</v>
      </c>
      <c r="W5264" s="51" t="s">
        <v>5157</v>
      </c>
      <c r="X5264" s="51" t="s">
        <v>2359</v>
      </c>
    </row>
    <row r="5265" customFormat="false" ht="14.25" hidden="true" customHeight="false" outlineLevel="0" collapsed="false">
      <c r="A5265" s="49" t="s">
        <v>2349</v>
      </c>
      <c r="B5265" s="49" t="s">
        <v>2350</v>
      </c>
      <c r="C5265" s="49" t="s">
        <v>9503</v>
      </c>
      <c r="D5265" s="49" t="s">
        <v>2352</v>
      </c>
      <c r="E5265" s="49" t="str">
        <f aca="false">"8908020441030"</f>
        <v>8908020441030</v>
      </c>
      <c r="F5265" s="49" t="s">
        <v>5384</v>
      </c>
      <c r="G5265" s="49" t="n">
        <v>0</v>
      </c>
      <c r="H5265" s="0" t="n">
        <v>0</v>
      </c>
      <c r="M5265" s="51" t="s">
        <v>9496</v>
      </c>
      <c r="N5265" s="49" t="n">
        <v>0</v>
      </c>
      <c r="O5265" s="53" t="n">
        <v>45843.3952314815</v>
      </c>
      <c r="P5265" s="53" t="n">
        <v>45895.6048032407</v>
      </c>
      <c r="Q5265" s="53" t="n">
        <v>45843.3952314815</v>
      </c>
      <c r="R5265" s="0" t="n">
        <v>0</v>
      </c>
      <c r="S5265" s="51" t="s">
        <v>2356</v>
      </c>
      <c r="T5265" s="51" t="s">
        <v>2356</v>
      </c>
      <c r="U5265" s="0" t="str">
        <f aca="false">"8908020441030"</f>
        <v>8908020441030</v>
      </c>
      <c r="V5265" s="51" t="s">
        <v>5386</v>
      </c>
      <c r="W5265" s="51" t="s">
        <v>4120</v>
      </c>
      <c r="X5265" s="51" t="s">
        <v>2359</v>
      </c>
    </row>
    <row r="5266" customFormat="false" ht="14.25" hidden="true" customHeight="false" outlineLevel="0" collapsed="false">
      <c r="A5266" s="49" t="s">
        <v>2349</v>
      </c>
      <c r="B5266" s="49" t="s">
        <v>2350</v>
      </c>
      <c r="C5266" s="49" t="s">
        <v>9504</v>
      </c>
      <c r="D5266" s="49" t="s">
        <v>2352</v>
      </c>
      <c r="E5266" s="49" t="str">
        <f aca="false">"8908020441030"</f>
        <v>8908020441030</v>
      </c>
      <c r="F5266" s="49" t="s">
        <v>5384</v>
      </c>
      <c r="G5266" s="49" t="n">
        <v>0</v>
      </c>
      <c r="H5266" s="0" t="n">
        <v>0</v>
      </c>
      <c r="M5266" s="51" t="s">
        <v>9496</v>
      </c>
      <c r="N5266" s="49" t="n">
        <v>0</v>
      </c>
      <c r="O5266" s="53" t="n">
        <v>45843.3950694444</v>
      </c>
      <c r="P5266" s="53" t="n">
        <v>45904.3962731482</v>
      </c>
      <c r="Q5266" s="53" t="n">
        <v>45843.3950694444</v>
      </c>
      <c r="R5266" s="0" t="n">
        <v>0</v>
      </c>
      <c r="S5266" s="51" t="s">
        <v>2356</v>
      </c>
      <c r="T5266" s="51" t="s">
        <v>2356</v>
      </c>
      <c r="U5266" s="0" t="str">
        <f aca="false">"8908020441030"</f>
        <v>8908020441030</v>
      </c>
      <c r="V5266" s="51" t="s">
        <v>5386</v>
      </c>
      <c r="W5266" s="51" t="s">
        <v>4118</v>
      </c>
      <c r="X5266" s="51" t="s">
        <v>2359</v>
      </c>
    </row>
    <row r="5267" customFormat="false" ht="14.25" hidden="true" customHeight="false" outlineLevel="0" collapsed="false">
      <c r="A5267" s="49" t="s">
        <v>2349</v>
      </c>
      <c r="B5267" s="49" t="s">
        <v>2350</v>
      </c>
      <c r="C5267" s="49" t="s">
        <v>9505</v>
      </c>
      <c r="D5267" s="49" t="s">
        <v>2352</v>
      </c>
      <c r="E5267" s="49" t="str">
        <f aca="false">"8908020441030"</f>
        <v>8908020441030</v>
      </c>
      <c r="F5267" s="49" t="s">
        <v>5384</v>
      </c>
      <c r="G5267" s="49" t="n">
        <v>0</v>
      </c>
      <c r="H5267" s="0" t="n">
        <v>0</v>
      </c>
      <c r="M5267" s="51" t="s">
        <v>9496</v>
      </c>
      <c r="N5267" s="49" t="n">
        <v>0</v>
      </c>
      <c r="O5267" s="53" t="n">
        <v>45843.3948842593</v>
      </c>
      <c r="P5267" s="53" t="n">
        <v>45904.3963773148</v>
      </c>
      <c r="Q5267" s="53" t="n">
        <v>45843.3948842593</v>
      </c>
      <c r="R5267" s="0" t="n">
        <v>0</v>
      </c>
      <c r="S5267" s="51" t="s">
        <v>2356</v>
      </c>
      <c r="T5267" s="51" t="s">
        <v>2356</v>
      </c>
      <c r="U5267" s="0" t="str">
        <f aca="false">"8908020441030"</f>
        <v>8908020441030</v>
      </c>
      <c r="V5267" s="51" t="s">
        <v>5386</v>
      </c>
      <c r="W5267" s="51" t="s">
        <v>9039</v>
      </c>
      <c r="X5267" s="51" t="s">
        <v>2359</v>
      </c>
    </row>
    <row r="5268" customFormat="false" ht="14.25" hidden="true" customHeight="false" outlineLevel="0" collapsed="false">
      <c r="A5268" s="49" t="s">
        <v>2349</v>
      </c>
      <c r="B5268" s="49" t="s">
        <v>2350</v>
      </c>
      <c r="C5268" s="49" t="s">
        <v>9506</v>
      </c>
      <c r="D5268" s="49" t="s">
        <v>2352</v>
      </c>
      <c r="E5268" s="49" t="str">
        <f aca="false">"8908020441030"</f>
        <v>8908020441030</v>
      </c>
      <c r="F5268" s="49" t="s">
        <v>5384</v>
      </c>
      <c r="G5268" s="49" t="n">
        <v>0</v>
      </c>
      <c r="H5268" s="0" t="n">
        <v>0</v>
      </c>
      <c r="M5268" s="51" t="s">
        <v>9496</v>
      </c>
      <c r="N5268" s="49" t="n">
        <v>0</v>
      </c>
      <c r="O5268" s="53" t="n">
        <v>45843.3946296296</v>
      </c>
      <c r="P5268" s="53" t="n">
        <v>45902.3550347222</v>
      </c>
      <c r="Q5268" s="53" t="n">
        <v>45843.3946296296</v>
      </c>
      <c r="R5268" s="0" t="n">
        <v>0</v>
      </c>
      <c r="S5268" s="51" t="s">
        <v>2356</v>
      </c>
      <c r="T5268" s="51" t="s">
        <v>2356</v>
      </c>
      <c r="U5268" s="0" t="str">
        <f aca="false">"8908020441030"</f>
        <v>8908020441030</v>
      </c>
      <c r="V5268" s="51" t="s">
        <v>5386</v>
      </c>
      <c r="W5268" s="51" t="s">
        <v>3745</v>
      </c>
      <c r="X5268" s="51" t="s">
        <v>2359</v>
      </c>
    </row>
    <row r="5269" customFormat="false" ht="14.25" hidden="true" customHeight="false" outlineLevel="0" collapsed="false">
      <c r="A5269" s="49" t="s">
        <v>2349</v>
      </c>
      <c r="B5269" s="49" t="s">
        <v>2350</v>
      </c>
      <c r="C5269" s="49" t="s">
        <v>9507</v>
      </c>
      <c r="D5269" s="49" t="s">
        <v>2352</v>
      </c>
      <c r="E5269" s="49" t="str">
        <f aca="false">"8908020441030"</f>
        <v>8908020441030</v>
      </c>
      <c r="F5269" s="49" t="s">
        <v>5384</v>
      </c>
      <c r="G5269" s="49" t="n">
        <v>0</v>
      </c>
      <c r="H5269" s="0" t="n">
        <v>0</v>
      </c>
      <c r="M5269" s="51" t="s">
        <v>9496</v>
      </c>
      <c r="N5269" s="49" t="n">
        <v>0</v>
      </c>
      <c r="O5269" s="53" t="n">
        <v>45843.3944097222</v>
      </c>
      <c r="P5269" s="53" t="n">
        <v>45899.5893287037</v>
      </c>
      <c r="Q5269" s="53" t="n">
        <v>45843.3944097222</v>
      </c>
      <c r="R5269" s="0" t="n">
        <v>0</v>
      </c>
      <c r="S5269" s="51" t="s">
        <v>2356</v>
      </c>
      <c r="T5269" s="51" t="s">
        <v>2356</v>
      </c>
      <c r="U5269" s="0" t="str">
        <f aca="false">"8908020441030"</f>
        <v>8908020441030</v>
      </c>
      <c r="V5269" s="51" t="s">
        <v>5386</v>
      </c>
      <c r="W5269" s="51" t="s">
        <v>6817</v>
      </c>
      <c r="X5269" s="51" t="s">
        <v>2359</v>
      </c>
    </row>
    <row r="5270" customFormat="false" ht="14.25" hidden="true" customHeight="false" outlineLevel="0" collapsed="false">
      <c r="A5270" s="49" t="s">
        <v>2349</v>
      </c>
      <c r="B5270" s="49" t="s">
        <v>2350</v>
      </c>
      <c r="C5270" s="49" t="s">
        <v>9508</v>
      </c>
      <c r="D5270" s="49" t="s">
        <v>2352</v>
      </c>
      <c r="E5270" s="49" t="str">
        <f aca="false">"8908020441030"</f>
        <v>8908020441030</v>
      </c>
      <c r="F5270" s="49" t="s">
        <v>5384</v>
      </c>
      <c r="G5270" s="49" t="n">
        <v>0</v>
      </c>
      <c r="H5270" s="0" t="n">
        <v>0</v>
      </c>
      <c r="M5270" s="51" t="s">
        <v>9496</v>
      </c>
      <c r="N5270" s="49" t="n">
        <v>0</v>
      </c>
      <c r="O5270" s="53" t="n">
        <v>45843.3942013889</v>
      </c>
      <c r="P5270" s="53" t="n">
        <v>45890.6522222222</v>
      </c>
      <c r="Q5270" s="53" t="n">
        <v>45843.3942013889</v>
      </c>
      <c r="R5270" s="0" t="n">
        <v>0</v>
      </c>
      <c r="S5270" s="51" t="s">
        <v>2356</v>
      </c>
      <c r="T5270" s="51" t="s">
        <v>2356</v>
      </c>
      <c r="U5270" s="0" t="str">
        <f aca="false">"8908020441030"</f>
        <v>8908020441030</v>
      </c>
      <c r="V5270" s="51" t="s">
        <v>5386</v>
      </c>
      <c r="W5270" s="51" t="s">
        <v>5750</v>
      </c>
      <c r="X5270" s="51" t="s">
        <v>2359</v>
      </c>
    </row>
    <row r="5271" customFormat="false" ht="14.25" hidden="true" customHeight="false" outlineLevel="0" collapsed="false">
      <c r="A5271" s="49" t="s">
        <v>2349</v>
      </c>
      <c r="B5271" s="49" t="s">
        <v>2350</v>
      </c>
      <c r="C5271" s="49" t="s">
        <v>9509</v>
      </c>
      <c r="D5271" s="49" t="s">
        <v>2352</v>
      </c>
      <c r="E5271" s="49" t="str">
        <f aca="false">"8908020441030"</f>
        <v>8908020441030</v>
      </c>
      <c r="F5271" s="49" t="s">
        <v>5384</v>
      </c>
      <c r="G5271" s="49" t="n">
        <v>0</v>
      </c>
      <c r="H5271" s="0" t="n">
        <v>0</v>
      </c>
      <c r="M5271" s="51" t="s">
        <v>9496</v>
      </c>
      <c r="N5271" s="49" t="n">
        <v>0</v>
      </c>
      <c r="O5271" s="53" t="n">
        <v>45843.4000347222</v>
      </c>
      <c r="P5271" s="53" t="n">
        <v>45878.589212963</v>
      </c>
      <c r="Q5271" s="53" t="n">
        <v>45843.4000347222</v>
      </c>
      <c r="R5271" s="0" t="n">
        <v>0</v>
      </c>
      <c r="S5271" s="51" t="s">
        <v>2356</v>
      </c>
      <c r="T5271" s="51" t="s">
        <v>2356</v>
      </c>
      <c r="U5271" s="0" t="str">
        <f aca="false">"8908020441030"</f>
        <v>8908020441030</v>
      </c>
      <c r="V5271" s="51" t="s">
        <v>5386</v>
      </c>
      <c r="W5271" s="51" t="s">
        <v>9510</v>
      </c>
      <c r="X5271" s="51" t="s">
        <v>2359</v>
      </c>
    </row>
    <row r="5272" customFormat="false" ht="14.25" hidden="true" customHeight="false" outlineLevel="0" collapsed="false">
      <c r="A5272" s="49" t="s">
        <v>2349</v>
      </c>
      <c r="B5272" s="49" t="s">
        <v>2350</v>
      </c>
      <c r="C5272" s="49" t="s">
        <v>9511</v>
      </c>
      <c r="D5272" s="49" t="s">
        <v>2352</v>
      </c>
      <c r="E5272" s="49" t="str">
        <f aca="false">"8908020441030"</f>
        <v>8908020441030</v>
      </c>
      <c r="F5272" s="49" t="s">
        <v>5384</v>
      </c>
      <c r="G5272" s="49" t="n">
        <v>0</v>
      </c>
      <c r="H5272" s="0" t="n">
        <v>0</v>
      </c>
      <c r="M5272" s="51" t="s">
        <v>9496</v>
      </c>
      <c r="N5272" s="49" t="n">
        <v>0</v>
      </c>
      <c r="O5272" s="53" t="n">
        <v>45843.3998842593</v>
      </c>
      <c r="P5272" s="53" t="n">
        <v>45908.2998958333</v>
      </c>
      <c r="Q5272" s="53" t="n">
        <v>45843.3998842593</v>
      </c>
      <c r="R5272" s="0" t="n">
        <v>0</v>
      </c>
      <c r="S5272" s="51" t="s">
        <v>2356</v>
      </c>
      <c r="T5272" s="51" t="s">
        <v>2356</v>
      </c>
      <c r="U5272" s="0" t="str">
        <f aca="false">"8908020441030"</f>
        <v>8908020441030</v>
      </c>
      <c r="V5272" s="51" t="s">
        <v>5386</v>
      </c>
      <c r="W5272" s="51" t="s">
        <v>4132</v>
      </c>
      <c r="X5272" s="51" t="s">
        <v>2359</v>
      </c>
    </row>
    <row r="5273" customFormat="false" ht="14.25" hidden="true" customHeight="false" outlineLevel="0" collapsed="false">
      <c r="A5273" s="49" t="s">
        <v>2349</v>
      </c>
      <c r="B5273" s="49" t="s">
        <v>2350</v>
      </c>
      <c r="C5273" s="49" t="s">
        <v>9512</v>
      </c>
      <c r="D5273" s="49" t="s">
        <v>2352</v>
      </c>
      <c r="E5273" s="49" t="str">
        <f aca="false">"8908020441030"</f>
        <v>8908020441030</v>
      </c>
      <c r="F5273" s="49" t="s">
        <v>5384</v>
      </c>
      <c r="G5273" s="49" t="n">
        <v>0</v>
      </c>
      <c r="H5273" s="0" t="n">
        <v>0</v>
      </c>
      <c r="M5273" s="51" t="s">
        <v>9496</v>
      </c>
      <c r="N5273" s="49" t="n">
        <v>0</v>
      </c>
      <c r="O5273" s="53" t="n">
        <v>45843.3997222222</v>
      </c>
      <c r="P5273" s="53" t="n">
        <v>45908.3000231482</v>
      </c>
      <c r="Q5273" s="53" t="n">
        <v>45843.3997222222</v>
      </c>
      <c r="R5273" s="0" t="n">
        <v>0</v>
      </c>
      <c r="S5273" s="51" t="s">
        <v>2356</v>
      </c>
      <c r="T5273" s="51" t="s">
        <v>2356</v>
      </c>
      <c r="U5273" s="0" t="str">
        <f aca="false">"8908020441030"</f>
        <v>8908020441030</v>
      </c>
      <c r="V5273" s="51" t="s">
        <v>5386</v>
      </c>
      <c r="W5273" s="51" t="s">
        <v>5151</v>
      </c>
      <c r="X5273" s="51" t="s">
        <v>2359</v>
      </c>
    </row>
    <row r="5274" customFormat="false" ht="14.25" hidden="true" customHeight="false" outlineLevel="0" collapsed="false">
      <c r="A5274" s="49" t="s">
        <v>2349</v>
      </c>
      <c r="B5274" s="49" t="s">
        <v>2350</v>
      </c>
      <c r="C5274" s="49" t="s">
        <v>9513</v>
      </c>
      <c r="D5274" s="49" t="s">
        <v>2352</v>
      </c>
      <c r="E5274" s="49" t="str">
        <f aca="false">"8908020441030"</f>
        <v>8908020441030</v>
      </c>
      <c r="F5274" s="49" t="s">
        <v>5384</v>
      </c>
      <c r="G5274" s="49" t="n">
        <v>0</v>
      </c>
      <c r="H5274" s="0" t="n">
        <v>0</v>
      </c>
      <c r="M5274" s="51" t="s">
        <v>9496</v>
      </c>
      <c r="N5274" s="49" t="n">
        <v>0</v>
      </c>
      <c r="O5274" s="53" t="n">
        <v>45843.3995833333</v>
      </c>
      <c r="P5274" s="53" t="n">
        <v>45908.3002893519</v>
      </c>
      <c r="Q5274" s="53" t="n">
        <v>45843.3995833333</v>
      </c>
      <c r="R5274" s="0" t="n">
        <v>0</v>
      </c>
      <c r="S5274" s="51" t="s">
        <v>2356</v>
      </c>
      <c r="T5274" s="51" t="s">
        <v>2356</v>
      </c>
      <c r="U5274" s="0" t="str">
        <f aca="false">"8908020441030"</f>
        <v>8908020441030</v>
      </c>
      <c r="V5274" s="51" t="s">
        <v>5386</v>
      </c>
      <c r="W5274" s="51" t="s">
        <v>7397</v>
      </c>
      <c r="X5274" s="51" t="s">
        <v>2359</v>
      </c>
    </row>
    <row r="5275" customFormat="false" ht="14.25" hidden="true" customHeight="false" outlineLevel="0" collapsed="false">
      <c r="A5275" s="49" t="s">
        <v>2349</v>
      </c>
      <c r="B5275" s="49" t="s">
        <v>2350</v>
      </c>
      <c r="C5275" s="49" t="s">
        <v>9514</v>
      </c>
      <c r="D5275" s="49" t="s">
        <v>2352</v>
      </c>
      <c r="E5275" s="49" t="str">
        <f aca="false">"8908020441030"</f>
        <v>8908020441030</v>
      </c>
      <c r="F5275" s="49" t="s">
        <v>5384</v>
      </c>
      <c r="G5275" s="49" t="n">
        <v>0</v>
      </c>
      <c r="H5275" s="0" t="n">
        <v>0</v>
      </c>
      <c r="M5275" s="51" t="s">
        <v>9496</v>
      </c>
      <c r="N5275" s="49" t="n">
        <v>0</v>
      </c>
      <c r="O5275" s="53" t="n">
        <v>45843.3994097222</v>
      </c>
      <c r="P5275" s="53" t="n">
        <v>45908.300162037</v>
      </c>
      <c r="Q5275" s="53" t="n">
        <v>45843.3994097222</v>
      </c>
      <c r="R5275" s="0" t="n">
        <v>0</v>
      </c>
      <c r="S5275" s="51" t="s">
        <v>2356</v>
      </c>
      <c r="T5275" s="51" t="s">
        <v>2356</v>
      </c>
      <c r="U5275" s="0" t="str">
        <f aca="false">"8908020441030"</f>
        <v>8908020441030</v>
      </c>
      <c r="V5275" s="51" t="s">
        <v>5386</v>
      </c>
      <c r="W5275" s="51" t="s">
        <v>5159</v>
      </c>
      <c r="X5275" s="51" t="s">
        <v>2359</v>
      </c>
    </row>
    <row r="5276" customFormat="false" ht="14.25" hidden="true" customHeight="false" outlineLevel="0" collapsed="false">
      <c r="A5276" s="49" t="s">
        <v>2349</v>
      </c>
      <c r="B5276" s="49" t="s">
        <v>2350</v>
      </c>
      <c r="C5276" s="49" t="s">
        <v>9515</v>
      </c>
      <c r="D5276" s="49" t="s">
        <v>2352</v>
      </c>
      <c r="E5276" s="49" t="str">
        <f aca="false">"8908020441030"</f>
        <v>8908020441030</v>
      </c>
      <c r="F5276" s="49" t="s">
        <v>5384</v>
      </c>
      <c r="G5276" s="49" t="n">
        <v>0</v>
      </c>
      <c r="H5276" s="0" t="n">
        <v>0</v>
      </c>
      <c r="M5276" s="51" t="s">
        <v>9496</v>
      </c>
      <c r="N5276" s="49" t="n">
        <v>0</v>
      </c>
      <c r="O5276" s="53" t="n">
        <v>45843.3992592593</v>
      </c>
      <c r="P5276" s="53" t="n">
        <v>45963.6689699074</v>
      </c>
      <c r="Q5276" s="53" t="n">
        <v>45843.3992592593</v>
      </c>
      <c r="R5276" s="0" t="n">
        <v>0</v>
      </c>
      <c r="S5276" s="51" t="s">
        <v>2356</v>
      </c>
      <c r="T5276" s="51" t="s">
        <v>2356</v>
      </c>
      <c r="U5276" s="0" t="str">
        <f aca="false">"8908020441030"</f>
        <v>8908020441030</v>
      </c>
      <c r="V5276" s="51" t="s">
        <v>5386</v>
      </c>
      <c r="W5276" s="51" t="s">
        <v>4122</v>
      </c>
      <c r="X5276" s="51" t="s">
        <v>2359</v>
      </c>
    </row>
    <row r="5277" customFormat="false" ht="14.25" hidden="true" customHeight="false" outlineLevel="0" collapsed="false">
      <c r="A5277" s="49" t="s">
        <v>2349</v>
      </c>
      <c r="B5277" s="49" t="s">
        <v>2350</v>
      </c>
      <c r="C5277" s="49" t="s">
        <v>9516</v>
      </c>
      <c r="D5277" s="49" t="s">
        <v>2352</v>
      </c>
      <c r="E5277" s="49" t="str">
        <f aca="false">"8908020441030"</f>
        <v>8908020441030</v>
      </c>
      <c r="F5277" s="49" t="s">
        <v>5384</v>
      </c>
      <c r="G5277" s="49" t="n">
        <v>0</v>
      </c>
      <c r="H5277" s="0" t="n">
        <v>0</v>
      </c>
      <c r="M5277" s="51" t="s">
        <v>9496</v>
      </c>
      <c r="N5277" s="49" t="n">
        <v>0</v>
      </c>
      <c r="O5277" s="53" t="n">
        <v>45843.398912037</v>
      </c>
      <c r="P5277" s="53" t="n">
        <v>45963.6693402778</v>
      </c>
      <c r="Q5277" s="53" t="n">
        <v>45843.398912037</v>
      </c>
      <c r="R5277" s="0" t="n">
        <v>0</v>
      </c>
      <c r="S5277" s="51" t="s">
        <v>2356</v>
      </c>
      <c r="T5277" s="51" t="s">
        <v>2356</v>
      </c>
      <c r="U5277" s="0" t="str">
        <f aca="false">"8908020441030"</f>
        <v>8908020441030</v>
      </c>
      <c r="V5277" s="51" t="s">
        <v>5386</v>
      </c>
      <c r="W5277" s="51" t="s">
        <v>9136</v>
      </c>
      <c r="X5277" s="51" t="s">
        <v>2359</v>
      </c>
    </row>
    <row r="5278" customFormat="false" ht="14.25" hidden="true" customHeight="false" outlineLevel="0" collapsed="false">
      <c r="A5278" s="49" t="s">
        <v>2349</v>
      </c>
      <c r="B5278" s="49" t="s">
        <v>2350</v>
      </c>
      <c r="C5278" s="49" t="s">
        <v>9517</v>
      </c>
      <c r="D5278" s="49" t="s">
        <v>2352</v>
      </c>
      <c r="E5278" s="49" t="str">
        <f aca="false">"8908020441070"</f>
        <v>8908020441070</v>
      </c>
      <c r="F5278" s="49" t="s">
        <v>5404</v>
      </c>
      <c r="G5278" s="49" t="n">
        <v>0</v>
      </c>
      <c r="H5278" s="0" t="n">
        <v>0</v>
      </c>
      <c r="M5278" s="51" t="s">
        <v>9518</v>
      </c>
      <c r="N5278" s="49" t="n">
        <v>0</v>
      </c>
      <c r="O5278" s="53" t="n">
        <v>45874.4777314815</v>
      </c>
      <c r="P5278" s="53" t="n">
        <v>45955.4930324074</v>
      </c>
      <c r="Q5278" s="53" t="n">
        <v>45874.4777314815</v>
      </c>
      <c r="R5278" s="0" t="n">
        <v>0</v>
      </c>
      <c r="S5278" s="51" t="s">
        <v>2356</v>
      </c>
      <c r="T5278" s="51" t="s">
        <v>2356</v>
      </c>
      <c r="U5278" s="0" t="str">
        <f aca="false">"8908020441070"</f>
        <v>8908020441070</v>
      </c>
      <c r="V5278" s="51" t="s">
        <v>5386</v>
      </c>
      <c r="W5278" s="51" t="s">
        <v>4361</v>
      </c>
      <c r="X5278" s="51" t="s">
        <v>2359</v>
      </c>
    </row>
    <row r="5279" customFormat="false" ht="14.25" hidden="true" customHeight="false" outlineLevel="0" collapsed="false">
      <c r="A5279" s="49" t="s">
        <v>2349</v>
      </c>
      <c r="B5279" s="49" t="s">
        <v>2350</v>
      </c>
      <c r="C5279" s="49" t="s">
        <v>9519</v>
      </c>
      <c r="D5279" s="49" t="s">
        <v>2352</v>
      </c>
      <c r="E5279" s="49" t="str">
        <f aca="false">"8908020441070"</f>
        <v>8908020441070</v>
      </c>
      <c r="F5279" s="49" t="s">
        <v>5404</v>
      </c>
      <c r="G5279" s="49" t="n">
        <v>0</v>
      </c>
      <c r="H5279" s="0" t="n">
        <v>0</v>
      </c>
      <c r="M5279" s="51" t="s">
        <v>9518</v>
      </c>
      <c r="N5279" s="49" t="n">
        <v>0</v>
      </c>
      <c r="O5279" s="53" t="n">
        <v>45874.4775578704</v>
      </c>
      <c r="P5279" s="53" t="n">
        <v>45887.3110069444</v>
      </c>
      <c r="Q5279" s="53" t="n">
        <v>45874.4775578704</v>
      </c>
      <c r="R5279" s="0" t="n">
        <v>0</v>
      </c>
      <c r="S5279" s="51" t="s">
        <v>2356</v>
      </c>
      <c r="T5279" s="51" t="s">
        <v>2356</v>
      </c>
      <c r="U5279" s="0" t="str">
        <f aca="false">"8908020441070"</f>
        <v>8908020441070</v>
      </c>
      <c r="V5279" s="51" t="s">
        <v>5386</v>
      </c>
      <c r="W5279" s="51" t="s">
        <v>6860</v>
      </c>
      <c r="X5279" s="51" t="s">
        <v>2359</v>
      </c>
    </row>
    <row r="5280" customFormat="false" ht="14.25" hidden="true" customHeight="false" outlineLevel="0" collapsed="false">
      <c r="A5280" s="49" t="s">
        <v>2349</v>
      </c>
      <c r="B5280" s="49" t="s">
        <v>2350</v>
      </c>
      <c r="C5280" s="49" t="s">
        <v>9520</v>
      </c>
      <c r="D5280" s="49" t="s">
        <v>2352</v>
      </c>
      <c r="E5280" s="49" t="str">
        <f aca="false">"8908020441070"</f>
        <v>8908020441070</v>
      </c>
      <c r="F5280" s="49" t="s">
        <v>5404</v>
      </c>
      <c r="G5280" s="49" t="n">
        <v>0</v>
      </c>
      <c r="H5280" s="0" t="n">
        <v>0</v>
      </c>
      <c r="M5280" s="51" t="s">
        <v>9518</v>
      </c>
      <c r="N5280" s="49" t="n">
        <v>0</v>
      </c>
      <c r="O5280" s="53" t="n">
        <v>45874.4771643519</v>
      </c>
      <c r="P5280" s="53" t="n">
        <v>45901.6541550926</v>
      </c>
      <c r="Q5280" s="53" t="n">
        <v>45874.4771643519</v>
      </c>
      <c r="R5280" s="0" t="n">
        <v>0</v>
      </c>
      <c r="S5280" s="51" t="s">
        <v>2356</v>
      </c>
      <c r="T5280" s="51" t="s">
        <v>2356</v>
      </c>
      <c r="U5280" s="0" t="str">
        <f aca="false">"8908020441070"</f>
        <v>8908020441070</v>
      </c>
      <c r="V5280" s="51" t="s">
        <v>5386</v>
      </c>
      <c r="W5280" s="51" t="s">
        <v>5968</v>
      </c>
      <c r="X5280" s="51" t="s">
        <v>2359</v>
      </c>
    </row>
    <row r="5281" customFormat="false" ht="14.25" hidden="true" customHeight="false" outlineLevel="0" collapsed="false">
      <c r="A5281" s="49" t="s">
        <v>2349</v>
      </c>
      <c r="B5281" s="49" t="s">
        <v>2350</v>
      </c>
      <c r="C5281" s="49" t="s">
        <v>9521</v>
      </c>
      <c r="D5281" s="49" t="s">
        <v>2352</v>
      </c>
      <c r="E5281" s="49" t="str">
        <f aca="false">"8908020441070"</f>
        <v>8908020441070</v>
      </c>
      <c r="F5281" s="49" t="s">
        <v>5404</v>
      </c>
      <c r="G5281" s="49" t="n">
        <v>0</v>
      </c>
      <c r="H5281" s="0" t="n">
        <v>0</v>
      </c>
      <c r="M5281" s="51" t="s">
        <v>9518</v>
      </c>
      <c r="N5281" s="49" t="n">
        <v>0</v>
      </c>
      <c r="O5281" s="53" t="n">
        <v>45874.4761226852</v>
      </c>
      <c r="P5281" s="53" t="n">
        <v>45903.6078472222</v>
      </c>
      <c r="Q5281" s="53" t="n">
        <v>45874.4761226852</v>
      </c>
      <c r="R5281" s="0" t="n">
        <v>0</v>
      </c>
      <c r="S5281" s="51" t="s">
        <v>2356</v>
      </c>
      <c r="T5281" s="51" t="s">
        <v>2356</v>
      </c>
      <c r="U5281" s="0" t="str">
        <f aca="false">"8908020441070"</f>
        <v>8908020441070</v>
      </c>
      <c r="V5281" s="51" t="s">
        <v>5386</v>
      </c>
      <c r="W5281" s="51" t="s">
        <v>3701</v>
      </c>
      <c r="X5281" s="51" t="s">
        <v>2359</v>
      </c>
    </row>
    <row r="5282" customFormat="false" ht="14.25" hidden="true" customHeight="false" outlineLevel="0" collapsed="false">
      <c r="A5282" s="49" t="s">
        <v>2349</v>
      </c>
      <c r="B5282" s="49" t="s">
        <v>2350</v>
      </c>
      <c r="C5282" s="49" t="s">
        <v>9522</v>
      </c>
      <c r="D5282" s="49" t="s">
        <v>2352</v>
      </c>
      <c r="E5282" s="49" t="str">
        <f aca="false">"8908020441070"</f>
        <v>8908020441070</v>
      </c>
      <c r="F5282" s="49" t="s">
        <v>5404</v>
      </c>
      <c r="G5282" s="49" t="n">
        <v>0</v>
      </c>
      <c r="H5282" s="0" t="n">
        <v>0</v>
      </c>
      <c r="M5282" s="51" t="s">
        <v>9518</v>
      </c>
      <c r="N5282" s="49" t="n">
        <v>0</v>
      </c>
      <c r="O5282" s="53" t="n">
        <v>45874.4758449074</v>
      </c>
      <c r="P5282" s="53" t="n">
        <v>45901.6543055556</v>
      </c>
      <c r="Q5282" s="53" t="n">
        <v>45874.4758449074</v>
      </c>
      <c r="R5282" s="0" t="n">
        <v>0</v>
      </c>
      <c r="S5282" s="51" t="s">
        <v>2356</v>
      </c>
      <c r="T5282" s="51" t="s">
        <v>2356</v>
      </c>
      <c r="U5282" s="0" t="str">
        <f aca="false">"8908020441070"</f>
        <v>8908020441070</v>
      </c>
      <c r="V5282" s="51" t="s">
        <v>5386</v>
      </c>
      <c r="W5282" s="51" t="s">
        <v>8916</v>
      </c>
      <c r="X5282" s="51" t="s">
        <v>2359</v>
      </c>
    </row>
    <row r="5283" customFormat="false" ht="14.25" hidden="true" customHeight="false" outlineLevel="0" collapsed="false">
      <c r="A5283" s="49" t="s">
        <v>2349</v>
      </c>
      <c r="B5283" s="49" t="s">
        <v>2350</v>
      </c>
      <c r="C5283" s="49" t="s">
        <v>9523</v>
      </c>
      <c r="D5283" s="49" t="s">
        <v>2352</v>
      </c>
      <c r="E5283" s="49" t="str">
        <f aca="false">"8908020441030"</f>
        <v>8908020441030</v>
      </c>
      <c r="F5283" s="49" t="s">
        <v>5384</v>
      </c>
      <c r="G5283" s="49" t="n">
        <v>0</v>
      </c>
      <c r="H5283" s="0" t="n">
        <v>0</v>
      </c>
      <c r="M5283" s="51" t="s">
        <v>9518</v>
      </c>
      <c r="N5283" s="49" t="n">
        <v>0</v>
      </c>
      <c r="O5283" s="53" t="n">
        <v>45874.4813078704</v>
      </c>
      <c r="P5283" s="53" t="n">
        <v>45916.362337963</v>
      </c>
      <c r="Q5283" s="53" t="n">
        <v>45874.4813078704</v>
      </c>
      <c r="R5283" s="0" t="n">
        <v>0</v>
      </c>
      <c r="S5283" s="51" t="s">
        <v>2356</v>
      </c>
      <c r="T5283" s="51" t="s">
        <v>2356</v>
      </c>
      <c r="U5283" s="0" t="str">
        <f aca="false">"8908020441030"</f>
        <v>8908020441030</v>
      </c>
      <c r="V5283" s="51" t="s">
        <v>5386</v>
      </c>
      <c r="W5283" s="51" t="s">
        <v>5324</v>
      </c>
      <c r="X5283" s="51" t="s">
        <v>2359</v>
      </c>
    </row>
    <row r="5284" customFormat="false" ht="14.25" hidden="true" customHeight="false" outlineLevel="0" collapsed="false">
      <c r="A5284" s="49" t="s">
        <v>2349</v>
      </c>
      <c r="B5284" s="49" t="s">
        <v>2350</v>
      </c>
      <c r="C5284" s="49" t="s">
        <v>9524</v>
      </c>
      <c r="D5284" s="49" t="s">
        <v>2352</v>
      </c>
      <c r="E5284" s="49" t="str">
        <f aca="false">"8908020441030"</f>
        <v>8908020441030</v>
      </c>
      <c r="F5284" s="49" t="s">
        <v>5384</v>
      </c>
      <c r="G5284" s="49" t="n">
        <v>0</v>
      </c>
      <c r="H5284" s="0" t="n">
        <v>0</v>
      </c>
      <c r="M5284" s="51" t="s">
        <v>9518</v>
      </c>
      <c r="N5284" s="49" t="n">
        <v>0</v>
      </c>
      <c r="O5284" s="53" t="n">
        <v>45874.4810185185</v>
      </c>
      <c r="P5284" s="53" t="n">
        <v>45883.6123263889</v>
      </c>
      <c r="Q5284" s="53" t="n">
        <v>45874.4810185185</v>
      </c>
      <c r="R5284" s="0" t="n">
        <v>0</v>
      </c>
      <c r="S5284" s="51" t="s">
        <v>2356</v>
      </c>
      <c r="T5284" s="51" t="s">
        <v>2356</v>
      </c>
      <c r="U5284" s="0" t="str">
        <f aca="false">"8908020441030"</f>
        <v>8908020441030</v>
      </c>
      <c r="V5284" s="51" t="s">
        <v>5386</v>
      </c>
      <c r="W5284" s="51" t="s">
        <v>3764</v>
      </c>
      <c r="X5284" s="51" t="s">
        <v>2359</v>
      </c>
    </row>
    <row r="5285" customFormat="false" ht="14.25" hidden="true" customHeight="false" outlineLevel="0" collapsed="false">
      <c r="A5285" s="49" t="s">
        <v>2349</v>
      </c>
      <c r="B5285" s="49" t="s">
        <v>2350</v>
      </c>
      <c r="C5285" s="49" t="s">
        <v>9525</v>
      </c>
      <c r="D5285" s="49" t="s">
        <v>2352</v>
      </c>
      <c r="E5285" s="49" t="str">
        <f aca="false">"8908020441030"</f>
        <v>8908020441030</v>
      </c>
      <c r="F5285" s="49" t="s">
        <v>5384</v>
      </c>
      <c r="G5285" s="49" t="n">
        <v>0</v>
      </c>
      <c r="H5285" s="0" t="n">
        <v>0</v>
      </c>
      <c r="M5285" s="51" t="s">
        <v>9518</v>
      </c>
      <c r="N5285" s="49" t="n">
        <v>0</v>
      </c>
      <c r="O5285" s="53" t="n">
        <v>45874.4806944444</v>
      </c>
      <c r="P5285" s="53" t="n">
        <v>45917.331400463</v>
      </c>
      <c r="Q5285" s="53" t="n">
        <v>45874.4806944444</v>
      </c>
      <c r="R5285" s="0" t="n">
        <v>0</v>
      </c>
      <c r="S5285" s="51" t="s">
        <v>2356</v>
      </c>
      <c r="T5285" s="51" t="s">
        <v>2356</v>
      </c>
      <c r="U5285" s="0" t="str">
        <f aca="false">"8908020441030"</f>
        <v>8908020441030</v>
      </c>
      <c r="V5285" s="51" t="s">
        <v>5386</v>
      </c>
      <c r="W5285" s="51" t="s">
        <v>4598</v>
      </c>
      <c r="X5285" s="51" t="s">
        <v>2359</v>
      </c>
    </row>
    <row r="5286" customFormat="false" ht="14.25" hidden="true" customHeight="false" outlineLevel="0" collapsed="false">
      <c r="A5286" s="49" t="s">
        <v>2349</v>
      </c>
      <c r="B5286" s="49" t="s">
        <v>2350</v>
      </c>
      <c r="C5286" s="49" t="s">
        <v>9526</v>
      </c>
      <c r="D5286" s="49" t="s">
        <v>2352</v>
      </c>
      <c r="E5286" s="49" t="str">
        <f aca="false">"8908020441030"</f>
        <v>8908020441030</v>
      </c>
      <c r="F5286" s="49" t="s">
        <v>5384</v>
      </c>
      <c r="G5286" s="49" t="n">
        <v>0</v>
      </c>
      <c r="H5286" s="0" t="n">
        <v>0</v>
      </c>
      <c r="M5286" s="51" t="s">
        <v>9518</v>
      </c>
      <c r="N5286" s="49" t="n">
        <v>0</v>
      </c>
      <c r="O5286" s="53" t="n">
        <v>45874.4805555556</v>
      </c>
      <c r="P5286" s="53" t="n">
        <v>45916.362025463</v>
      </c>
      <c r="Q5286" s="53" t="n">
        <v>45874.4805555556</v>
      </c>
      <c r="R5286" s="0" t="n">
        <v>0</v>
      </c>
      <c r="S5286" s="51" t="s">
        <v>2356</v>
      </c>
      <c r="T5286" s="51" t="s">
        <v>2356</v>
      </c>
      <c r="U5286" s="0" t="str">
        <f aca="false">"8908020441030"</f>
        <v>8908020441030</v>
      </c>
      <c r="V5286" s="51" t="s">
        <v>5386</v>
      </c>
      <c r="W5286" s="51" t="s">
        <v>3749</v>
      </c>
      <c r="X5286" s="51" t="s">
        <v>2359</v>
      </c>
    </row>
    <row r="5287" customFormat="false" ht="14.25" hidden="true" customHeight="false" outlineLevel="0" collapsed="false">
      <c r="A5287" s="49" t="s">
        <v>2349</v>
      </c>
      <c r="B5287" s="49" t="s">
        <v>2350</v>
      </c>
      <c r="C5287" s="49" t="s">
        <v>9527</v>
      </c>
      <c r="D5287" s="49" t="s">
        <v>2352</v>
      </c>
      <c r="E5287" s="49" t="str">
        <f aca="false">"8908020441030"</f>
        <v>8908020441030</v>
      </c>
      <c r="F5287" s="49" t="s">
        <v>5384</v>
      </c>
      <c r="G5287" s="49" t="n">
        <v>0</v>
      </c>
      <c r="H5287" s="0" t="n">
        <v>0</v>
      </c>
      <c r="M5287" s="51" t="s">
        <v>9518</v>
      </c>
      <c r="N5287" s="49" t="n">
        <v>0</v>
      </c>
      <c r="O5287" s="53" t="n">
        <v>45874.4803703704</v>
      </c>
      <c r="P5287" s="53" t="n">
        <v>45883.6090277778</v>
      </c>
      <c r="Q5287" s="53" t="n">
        <v>45874.4803703704</v>
      </c>
      <c r="R5287" s="0" t="n">
        <v>0</v>
      </c>
      <c r="S5287" s="51" t="s">
        <v>2356</v>
      </c>
      <c r="T5287" s="51" t="s">
        <v>2356</v>
      </c>
      <c r="U5287" s="0" t="str">
        <f aca="false">"8908020441030"</f>
        <v>8908020441030</v>
      </c>
      <c r="V5287" s="51" t="s">
        <v>5386</v>
      </c>
      <c r="W5287" s="51" t="s">
        <v>4586</v>
      </c>
      <c r="X5287" s="51" t="s">
        <v>2359</v>
      </c>
    </row>
    <row r="5288" customFormat="false" ht="14.25" hidden="true" customHeight="false" outlineLevel="0" collapsed="false">
      <c r="A5288" s="49" t="s">
        <v>2349</v>
      </c>
      <c r="B5288" s="49" t="s">
        <v>2350</v>
      </c>
      <c r="C5288" s="49" t="s">
        <v>9528</v>
      </c>
      <c r="D5288" s="49" t="s">
        <v>2352</v>
      </c>
      <c r="E5288" s="49" t="str">
        <f aca="false">"8908020441030"</f>
        <v>8908020441030</v>
      </c>
      <c r="F5288" s="49" t="s">
        <v>5384</v>
      </c>
      <c r="G5288" s="49" t="n">
        <v>0</v>
      </c>
      <c r="H5288" s="0" t="n">
        <v>0</v>
      </c>
      <c r="M5288" s="51" t="s">
        <v>9518</v>
      </c>
      <c r="N5288" s="49" t="n">
        <v>0</v>
      </c>
      <c r="O5288" s="53" t="n">
        <v>45874.4802314815</v>
      </c>
      <c r="P5288" s="53" t="n">
        <v>45883.6083912037</v>
      </c>
      <c r="Q5288" s="53" t="n">
        <v>45874.4802314815</v>
      </c>
      <c r="R5288" s="0" t="n">
        <v>0</v>
      </c>
      <c r="S5288" s="51" t="s">
        <v>2356</v>
      </c>
      <c r="T5288" s="51" t="s">
        <v>2356</v>
      </c>
      <c r="U5288" s="0" t="str">
        <f aca="false">"8908020441030"</f>
        <v>8908020441030</v>
      </c>
      <c r="V5288" s="51" t="s">
        <v>5386</v>
      </c>
      <c r="W5288" s="51" t="s">
        <v>4614</v>
      </c>
      <c r="X5288" s="51" t="s">
        <v>2359</v>
      </c>
    </row>
    <row r="5289" customFormat="false" ht="14.25" hidden="true" customHeight="false" outlineLevel="0" collapsed="false">
      <c r="A5289" s="49" t="s">
        <v>2349</v>
      </c>
      <c r="B5289" s="49" t="s">
        <v>2350</v>
      </c>
      <c r="C5289" s="49" t="s">
        <v>9529</v>
      </c>
      <c r="D5289" s="49" t="s">
        <v>2352</v>
      </c>
      <c r="E5289" s="49" t="str">
        <f aca="false">"8908020441030"</f>
        <v>8908020441030</v>
      </c>
      <c r="F5289" s="49" t="s">
        <v>5384</v>
      </c>
      <c r="G5289" s="49" t="n">
        <v>0</v>
      </c>
      <c r="H5289" s="0" t="n">
        <v>0</v>
      </c>
      <c r="M5289" s="51" t="s">
        <v>9518</v>
      </c>
      <c r="N5289" s="49" t="n">
        <v>0</v>
      </c>
      <c r="O5289" s="53" t="n">
        <v>45874.4800578704</v>
      </c>
      <c r="P5289" s="53" t="n">
        <v>45909.3024537037</v>
      </c>
      <c r="Q5289" s="53" t="n">
        <v>45874.4800578704</v>
      </c>
      <c r="R5289" s="0" t="n">
        <v>0</v>
      </c>
      <c r="S5289" s="51" t="s">
        <v>2356</v>
      </c>
      <c r="T5289" s="51" t="s">
        <v>2356</v>
      </c>
      <c r="U5289" s="0" t="str">
        <f aca="false">"8908020441030"</f>
        <v>8908020441030</v>
      </c>
      <c r="V5289" s="51" t="s">
        <v>5386</v>
      </c>
      <c r="W5289" s="51" t="s">
        <v>8301</v>
      </c>
      <c r="X5289" s="51" t="s">
        <v>2359</v>
      </c>
    </row>
    <row r="5290" customFormat="false" ht="14.25" hidden="true" customHeight="false" outlineLevel="0" collapsed="false">
      <c r="A5290" s="49" t="s">
        <v>2349</v>
      </c>
      <c r="B5290" s="49" t="s">
        <v>2350</v>
      </c>
      <c r="C5290" s="49" t="s">
        <v>9530</v>
      </c>
      <c r="D5290" s="49" t="s">
        <v>2352</v>
      </c>
      <c r="E5290" s="49" t="str">
        <f aca="false">"8908020441030"</f>
        <v>8908020441030</v>
      </c>
      <c r="F5290" s="49" t="s">
        <v>5384</v>
      </c>
      <c r="G5290" s="49" t="n">
        <v>0</v>
      </c>
      <c r="H5290" s="0" t="n">
        <v>0</v>
      </c>
      <c r="M5290" s="51" t="s">
        <v>9518</v>
      </c>
      <c r="N5290" s="49" t="n">
        <v>0</v>
      </c>
      <c r="O5290" s="53" t="n">
        <v>45874.4799074074</v>
      </c>
      <c r="P5290" s="53" t="n">
        <v>45914.299525463</v>
      </c>
      <c r="Q5290" s="53" t="n">
        <v>45874.4799074074</v>
      </c>
      <c r="R5290" s="0" t="n">
        <v>0</v>
      </c>
      <c r="S5290" s="51" t="s">
        <v>2356</v>
      </c>
      <c r="T5290" s="51" t="s">
        <v>2356</v>
      </c>
      <c r="U5290" s="0" t="str">
        <f aca="false">"8908020441030"</f>
        <v>8908020441030</v>
      </c>
      <c r="V5290" s="51" t="s">
        <v>5386</v>
      </c>
      <c r="W5290" s="51" t="s">
        <v>8391</v>
      </c>
      <c r="X5290" s="51" t="s">
        <v>2359</v>
      </c>
    </row>
    <row r="5291" customFormat="false" ht="14.25" hidden="true" customHeight="false" outlineLevel="0" collapsed="false">
      <c r="A5291" s="49" t="s">
        <v>2349</v>
      </c>
      <c r="B5291" s="49" t="s">
        <v>2350</v>
      </c>
      <c r="C5291" s="49" t="s">
        <v>9531</v>
      </c>
      <c r="D5291" s="49" t="s">
        <v>2352</v>
      </c>
      <c r="E5291" s="49" t="str">
        <f aca="false">"8908020441030"</f>
        <v>8908020441030</v>
      </c>
      <c r="F5291" s="49" t="s">
        <v>5384</v>
      </c>
      <c r="G5291" s="49" t="n">
        <v>0</v>
      </c>
      <c r="H5291" s="0" t="n">
        <v>0</v>
      </c>
      <c r="M5291" s="51" t="s">
        <v>9518</v>
      </c>
      <c r="N5291" s="49" t="n">
        <v>0</v>
      </c>
      <c r="O5291" s="53" t="n">
        <v>45874.4797685185</v>
      </c>
      <c r="P5291" s="53" t="n">
        <v>45916.3617939815</v>
      </c>
      <c r="Q5291" s="53" t="n">
        <v>45874.4797685185</v>
      </c>
      <c r="R5291" s="0" t="n">
        <v>0</v>
      </c>
      <c r="S5291" s="51" t="s">
        <v>2356</v>
      </c>
      <c r="T5291" s="51" t="s">
        <v>2356</v>
      </c>
      <c r="U5291" s="0" t="str">
        <f aca="false">"8908020441030"</f>
        <v>8908020441030</v>
      </c>
      <c r="V5291" s="51" t="s">
        <v>5386</v>
      </c>
      <c r="W5291" s="51" t="s">
        <v>7688</v>
      </c>
      <c r="X5291" s="51" t="s">
        <v>2359</v>
      </c>
    </row>
    <row r="5292" customFormat="false" ht="14.25" hidden="true" customHeight="false" outlineLevel="0" collapsed="false">
      <c r="A5292" s="49" t="s">
        <v>2349</v>
      </c>
      <c r="B5292" s="49" t="s">
        <v>2350</v>
      </c>
      <c r="C5292" s="49" t="s">
        <v>9532</v>
      </c>
      <c r="D5292" s="49" t="s">
        <v>2352</v>
      </c>
      <c r="E5292" s="49" t="str">
        <f aca="false">"8908020441030"</f>
        <v>8908020441030</v>
      </c>
      <c r="F5292" s="49" t="s">
        <v>5384</v>
      </c>
      <c r="G5292" s="49" t="n">
        <v>0</v>
      </c>
      <c r="H5292" s="0" t="n">
        <v>0</v>
      </c>
      <c r="M5292" s="51" t="s">
        <v>9518</v>
      </c>
      <c r="N5292" s="49" t="n">
        <v>0</v>
      </c>
      <c r="O5292" s="53" t="n">
        <v>45874.4796180556</v>
      </c>
      <c r="P5292" s="53" t="n">
        <v>45883.6083217593</v>
      </c>
      <c r="Q5292" s="53" t="n">
        <v>45874.4796180556</v>
      </c>
      <c r="R5292" s="0" t="n">
        <v>0</v>
      </c>
      <c r="S5292" s="51" t="s">
        <v>2356</v>
      </c>
      <c r="T5292" s="51" t="s">
        <v>2356</v>
      </c>
      <c r="U5292" s="0" t="str">
        <f aca="false">"8908020441030"</f>
        <v>8908020441030</v>
      </c>
      <c r="V5292" s="51" t="s">
        <v>5386</v>
      </c>
      <c r="W5292" s="51" t="s">
        <v>5147</v>
      </c>
      <c r="X5292" s="51" t="s">
        <v>2359</v>
      </c>
    </row>
    <row r="5293" customFormat="false" ht="14.25" hidden="true" customHeight="false" outlineLevel="0" collapsed="false">
      <c r="A5293" s="49" t="s">
        <v>2349</v>
      </c>
      <c r="B5293" s="49" t="s">
        <v>2350</v>
      </c>
      <c r="C5293" s="49" t="s">
        <v>9533</v>
      </c>
      <c r="D5293" s="49" t="s">
        <v>2352</v>
      </c>
      <c r="E5293" s="49" t="str">
        <f aca="false">"8908020441030"</f>
        <v>8908020441030</v>
      </c>
      <c r="F5293" s="49" t="s">
        <v>5384</v>
      </c>
      <c r="G5293" s="49" t="n">
        <v>0</v>
      </c>
      <c r="H5293" s="0" t="n">
        <v>0</v>
      </c>
      <c r="M5293" s="51" t="s">
        <v>9518</v>
      </c>
      <c r="N5293" s="49" t="n">
        <v>0</v>
      </c>
      <c r="O5293" s="53" t="n">
        <v>45874.4794328704</v>
      </c>
      <c r="P5293" s="53" t="n">
        <v>45883.6086342593</v>
      </c>
      <c r="Q5293" s="53" t="n">
        <v>45874.4794328704</v>
      </c>
      <c r="R5293" s="0" t="n">
        <v>0</v>
      </c>
      <c r="S5293" s="51" t="s">
        <v>2356</v>
      </c>
      <c r="T5293" s="51" t="s">
        <v>2356</v>
      </c>
      <c r="U5293" s="0" t="str">
        <f aca="false">"8908020441030"</f>
        <v>8908020441030</v>
      </c>
      <c r="V5293" s="51" t="s">
        <v>5386</v>
      </c>
      <c r="W5293" s="51" t="s">
        <v>8380</v>
      </c>
      <c r="X5293" s="51" t="s">
        <v>2359</v>
      </c>
    </row>
    <row r="5294" customFormat="false" ht="14.25" hidden="true" customHeight="false" outlineLevel="0" collapsed="false">
      <c r="A5294" s="49" t="s">
        <v>2349</v>
      </c>
      <c r="B5294" s="49" t="s">
        <v>2350</v>
      </c>
      <c r="C5294" s="49" t="s">
        <v>9534</v>
      </c>
      <c r="D5294" s="49" t="s">
        <v>2352</v>
      </c>
      <c r="E5294" s="49" t="str">
        <f aca="false">"8908020441030"</f>
        <v>8908020441030</v>
      </c>
      <c r="F5294" s="49" t="s">
        <v>5384</v>
      </c>
      <c r="G5294" s="49" t="n">
        <v>0</v>
      </c>
      <c r="H5294" s="0" t="n">
        <v>0</v>
      </c>
      <c r="M5294" s="51" t="s">
        <v>9518</v>
      </c>
      <c r="N5294" s="49" t="n">
        <v>0</v>
      </c>
      <c r="O5294" s="53" t="n">
        <v>45874.4792592593</v>
      </c>
      <c r="P5294" s="53" t="n">
        <v>45883.6085532407</v>
      </c>
      <c r="Q5294" s="53" t="n">
        <v>45874.4792592593</v>
      </c>
      <c r="R5294" s="0" t="n">
        <v>0</v>
      </c>
      <c r="S5294" s="51" t="s">
        <v>2356</v>
      </c>
      <c r="T5294" s="51" t="s">
        <v>2356</v>
      </c>
      <c r="U5294" s="0" t="str">
        <f aca="false">"8908020441030"</f>
        <v>8908020441030</v>
      </c>
      <c r="V5294" s="51" t="s">
        <v>5386</v>
      </c>
      <c r="W5294" s="51" t="s">
        <v>5737</v>
      </c>
      <c r="X5294" s="51" t="s">
        <v>2359</v>
      </c>
    </row>
    <row r="5295" customFormat="false" ht="14.25" hidden="true" customHeight="false" outlineLevel="0" collapsed="false">
      <c r="A5295" s="49" t="s">
        <v>2349</v>
      </c>
      <c r="B5295" s="49" t="s">
        <v>2350</v>
      </c>
      <c r="C5295" s="49" t="s">
        <v>9535</v>
      </c>
      <c r="D5295" s="49" t="s">
        <v>2352</v>
      </c>
      <c r="E5295" s="49" t="str">
        <f aca="false">"8908020441030"</f>
        <v>8908020441030</v>
      </c>
      <c r="F5295" s="49" t="s">
        <v>5384</v>
      </c>
      <c r="G5295" s="49" t="n">
        <v>0</v>
      </c>
      <c r="H5295" s="0" t="n">
        <v>0</v>
      </c>
      <c r="M5295" s="51" t="s">
        <v>9518</v>
      </c>
      <c r="N5295" s="49" t="n">
        <v>0</v>
      </c>
      <c r="O5295" s="53" t="n">
        <v>45874.6153935185</v>
      </c>
      <c r="P5295" s="53" t="n">
        <v>45931.4457986111</v>
      </c>
      <c r="R5295" s="0" t="n">
        <v>0</v>
      </c>
      <c r="T5295" s="51" t="s">
        <v>2356</v>
      </c>
      <c r="U5295" s="0" t="str">
        <f aca="false">"8908020441030"</f>
        <v>8908020441030</v>
      </c>
      <c r="V5295" s="51" t="s">
        <v>5386</v>
      </c>
      <c r="W5295" s="51" t="s">
        <v>3692</v>
      </c>
      <c r="X5295" s="51" t="s">
        <v>2359</v>
      </c>
    </row>
    <row r="5296" customFormat="false" ht="14.25" hidden="true" customHeight="false" outlineLevel="0" collapsed="false">
      <c r="A5296" s="49" t="s">
        <v>2349</v>
      </c>
      <c r="B5296" s="49" t="s">
        <v>2350</v>
      </c>
      <c r="C5296" s="49" t="s">
        <v>9536</v>
      </c>
      <c r="D5296" s="49" t="s">
        <v>2352</v>
      </c>
      <c r="E5296" s="49" t="str">
        <f aca="false">"8908020441030"</f>
        <v>8908020441030</v>
      </c>
      <c r="F5296" s="49" t="s">
        <v>5384</v>
      </c>
      <c r="G5296" s="49" t="n">
        <v>0</v>
      </c>
      <c r="H5296" s="0" t="n">
        <v>0</v>
      </c>
      <c r="M5296" s="51" t="s">
        <v>9518</v>
      </c>
      <c r="N5296" s="49" t="n">
        <v>0</v>
      </c>
      <c r="O5296" s="53" t="n">
        <v>45874.4844328704</v>
      </c>
      <c r="P5296" s="53" t="n">
        <v>45963.6691087963</v>
      </c>
      <c r="Q5296" s="53" t="n">
        <v>45874.4844328704</v>
      </c>
      <c r="R5296" s="0" t="n">
        <v>0</v>
      </c>
      <c r="S5296" s="51" t="s">
        <v>2356</v>
      </c>
      <c r="T5296" s="51" t="s">
        <v>2356</v>
      </c>
      <c r="U5296" s="0" t="str">
        <f aca="false">"8908020441030"</f>
        <v>8908020441030</v>
      </c>
      <c r="V5296" s="51" t="s">
        <v>5386</v>
      </c>
      <c r="W5296" s="51" t="s">
        <v>4931</v>
      </c>
      <c r="X5296" s="51" t="s">
        <v>2359</v>
      </c>
    </row>
    <row r="5297" customFormat="false" ht="14.25" hidden="true" customHeight="false" outlineLevel="0" collapsed="false">
      <c r="A5297" s="49" t="s">
        <v>2349</v>
      </c>
      <c r="B5297" s="49" t="s">
        <v>2350</v>
      </c>
      <c r="C5297" s="49" t="s">
        <v>9537</v>
      </c>
      <c r="D5297" s="49" t="s">
        <v>2352</v>
      </c>
      <c r="E5297" s="49" t="str">
        <f aca="false">"8908020441030"</f>
        <v>8908020441030</v>
      </c>
      <c r="F5297" s="49" t="s">
        <v>5384</v>
      </c>
      <c r="G5297" s="49" t="n">
        <v>0</v>
      </c>
      <c r="H5297" s="0" t="n">
        <v>0</v>
      </c>
      <c r="M5297" s="51" t="s">
        <v>9518</v>
      </c>
      <c r="N5297" s="49" t="n">
        <v>0</v>
      </c>
      <c r="O5297" s="53" t="n">
        <v>45874.4838310185</v>
      </c>
      <c r="P5297" s="53" t="n">
        <v>45963.669212963</v>
      </c>
      <c r="Q5297" s="53" t="n">
        <v>45874.4838310185</v>
      </c>
      <c r="R5297" s="0" t="n">
        <v>0</v>
      </c>
      <c r="S5297" s="51" t="s">
        <v>2356</v>
      </c>
      <c r="T5297" s="51" t="s">
        <v>2356</v>
      </c>
      <c r="U5297" s="0" t="str">
        <f aca="false">"8908020441030"</f>
        <v>8908020441030</v>
      </c>
      <c r="V5297" s="51" t="s">
        <v>5386</v>
      </c>
      <c r="W5297" s="51" t="s">
        <v>8243</v>
      </c>
      <c r="X5297" s="51" t="s">
        <v>2359</v>
      </c>
    </row>
    <row r="5298" customFormat="false" ht="14.25" hidden="true" customHeight="false" outlineLevel="0" collapsed="false">
      <c r="A5298" s="49" t="s">
        <v>2349</v>
      </c>
      <c r="B5298" s="49" t="s">
        <v>2350</v>
      </c>
      <c r="C5298" s="49" t="s">
        <v>9538</v>
      </c>
      <c r="D5298" s="49" t="s">
        <v>2352</v>
      </c>
      <c r="E5298" s="49" t="str">
        <f aca="false">"8908020441030"</f>
        <v>8908020441030</v>
      </c>
      <c r="F5298" s="49" t="s">
        <v>5384</v>
      </c>
      <c r="G5298" s="49" t="n">
        <v>0</v>
      </c>
      <c r="H5298" s="0" t="n">
        <v>0</v>
      </c>
      <c r="M5298" s="51" t="s">
        <v>9518</v>
      </c>
      <c r="N5298" s="49" t="n">
        <v>0</v>
      </c>
      <c r="O5298" s="53" t="n">
        <v>45874.4836111111</v>
      </c>
      <c r="P5298" s="53" t="n">
        <v>45930.3046527778</v>
      </c>
      <c r="Q5298" s="53" t="n">
        <v>45874.4836111111</v>
      </c>
      <c r="R5298" s="0" t="n">
        <v>0</v>
      </c>
      <c r="S5298" s="51" t="s">
        <v>2356</v>
      </c>
      <c r="T5298" s="51" t="s">
        <v>2356</v>
      </c>
      <c r="U5298" s="0" t="str">
        <f aca="false">"8908020441030"</f>
        <v>8908020441030</v>
      </c>
      <c r="V5298" s="51" t="s">
        <v>5386</v>
      </c>
      <c r="W5298" s="51" t="s">
        <v>3754</v>
      </c>
      <c r="X5298" s="51" t="s">
        <v>2359</v>
      </c>
    </row>
    <row r="5299" customFormat="false" ht="14.25" hidden="true" customHeight="false" outlineLevel="0" collapsed="false">
      <c r="A5299" s="49" t="s">
        <v>2349</v>
      </c>
      <c r="B5299" s="49" t="s">
        <v>2350</v>
      </c>
      <c r="C5299" s="49" t="s">
        <v>9539</v>
      </c>
      <c r="D5299" s="49" t="s">
        <v>2352</v>
      </c>
      <c r="E5299" s="49" t="str">
        <f aca="false">"8908020441030"</f>
        <v>8908020441030</v>
      </c>
      <c r="F5299" s="49" t="s">
        <v>5384</v>
      </c>
      <c r="G5299" s="49" t="n">
        <v>0</v>
      </c>
      <c r="H5299" s="0" t="n">
        <v>0</v>
      </c>
      <c r="M5299" s="51" t="s">
        <v>9518</v>
      </c>
      <c r="N5299" s="49" t="n">
        <v>0</v>
      </c>
      <c r="O5299" s="53" t="n">
        <v>45874.4833333333</v>
      </c>
      <c r="P5299" s="53" t="n">
        <v>45927.3020138889</v>
      </c>
      <c r="Q5299" s="53" t="n">
        <v>45874.4833333333</v>
      </c>
      <c r="R5299" s="0" t="n">
        <v>0</v>
      </c>
      <c r="S5299" s="51" t="s">
        <v>2356</v>
      </c>
      <c r="T5299" s="51" t="s">
        <v>2356</v>
      </c>
      <c r="U5299" s="0" t="str">
        <f aca="false">"8908020441030"</f>
        <v>8908020441030</v>
      </c>
      <c r="V5299" s="51" t="s">
        <v>5386</v>
      </c>
      <c r="W5299" s="51" t="s">
        <v>9540</v>
      </c>
      <c r="X5299" s="51" t="s">
        <v>2359</v>
      </c>
    </row>
    <row r="5300" customFormat="false" ht="14.25" hidden="true" customHeight="false" outlineLevel="0" collapsed="false">
      <c r="A5300" s="49" t="s">
        <v>2349</v>
      </c>
      <c r="B5300" s="49" t="s">
        <v>2350</v>
      </c>
      <c r="C5300" s="49" t="s">
        <v>9541</v>
      </c>
      <c r="D5300" s="49" t="s">
        <v>2352</v>
      </c>
      <c r="E5300" s="49" t="str">
        <f aca="false">"8908020441030"</f>
        <v>8908020441030</v>
      </c>
      <c r="F5300" s="49" t="s">
        <v>5384</v>
      </c>
      <c r="G5300" s="49" t="n">
        <v>0</v>
      </c>
      <c r="H5300" s="0" t="n">
        <v>0</v>
      </c>
      <c r="M5300" s="51" t="s">
        <v>9518</v>
      </c>
      <c r="N5300" s="49" t="n">
        <v>0</v>
      </c>
      <c r="O5300" s="53" t="n">
        <v>45874.4830439815</v>
      </c>
      <c r="P5300" s="53" t="n">
        <v>45927.301875</v>
      </c>
      <c r="Q5300" s="53" t="n">
        <v>45874.4830439815</v>
      </c>
      <c r="R5300" s="0" t="n">
        <v>0</v>
      </c>
      <c r="S5300" s="51" t="s">
        <v>2356</v>
      </c>
      <c r="T5300" s="51" t="s">
        <v>2356</v>
      </c>
      <c r="U5300" s="0" t="str">
        <f aca="false">"8908020441030"</f>
        <v>8908020441030</v>
      </c>
      <c r="V5300" s="51" t="s">
        <v>5386</v>
      </c>
      <c r="W5300" s="51" t="s">
        <v>7428</v>
      </c>
      <c r="X5300" s="51" t="s">
        <v>2359</v>
      </c>
    </row>
    <row r="5301" customFormat="false" ht="14.25" hidden="true" customHeight="false" outlineLevel="0" collapsed="false">
      <c r="A5301" s="49" t="s">
        <v>2349</v>
      </c>
      <c r="B5301" s="49" t="s">
        <v>2350</v>
      </c>
      <c r="C5301" s="49" t="s">
        <v>9542</v>
      </c>
      <c r="D5301" s="49" t="s">
        <v>2352</v>
      </c>
      <c r="E5301" s="49" t="str">
        <f aca="false">"8908020441030"</f>
        <v>8908020441030</v>
      </c>
      <c r="F5301" s="49" t="s">
        <v>5384</v>
      </c>
      <c r="G5301" s="49" t="n">
        <v>0</v>
      </c>
      <c r="H5301" s="0" t="n">
        <v>0</v>
      </c>
      <c r="M5301" s="51" t="s">
        <v>9518</v>
      </c>
      <c r="N5301" s="49" t="n">
        <v>0</v>
      </c>
      <c r="O5301" s="53" t="n">
        <v>45874.4827199074</v>
      </c>
      <c r="P5301" s="53" t="n">
        <v>45922.6499884259</v>
      </c>
      <c r="Q5301" s="53" t="n">
        <v>45874.4827199074</v>
      </c>
      <c r="R5301" s="0" t="n">
        <v>0</v>
      </c>
      <c r="S5301" s="51" t="s">
        <v>2356</v>
      </c>
      <c r="T5301" s="51" t="s">
        <v>2356</v>
      </c>
      <c r="U5301" s="0" t="str">
        <f aca="false">"8908020441030"</f>
        <v>8908020441030</v>
      </c>
      <c r="V5301" s="51" t="s">
        <v>5386</v>
      </c>
      <c r="W5301" s="51" t="s">
        <v>4792</v>
      </c>
      <c r="X5301" s="51" t="s">
        <v>2359</v>
      </c>
    </row>
    <row r="5302" customFormat="false" ht="14.25" hidden="true" customHeight="false" outlineLevel="0" collapsed="false">
      <c r="A5302" s="49" t="s">
        <v>2349</v>
      </c>
      <c r="B5302" s="49" t="s">
        <v>2350</v>
      </c>
      <c r="C5302" s="49" t="s">
        <v>9543</v>
      </c>
      <c r="D5302" s="49" t="s">
        <v>2352</v>
      </c>
      <c r="E5302" s="49" t="str">
        <f aca="false">"734730225548"</f>
        <v>734730225548</v>
      </c>
      <c r="F5302" s="49" t="s">
        <v>2434</v>
      </c>
      <c r="G5302" s="49" t="n">
        <v>0</v>
      </c>
      <c r="H5302" s="0" t="n">
        <v>0</v>
      </c>
      <c r="M5302" s="51" t="s">
        <v>9544</v>
      </c>
      <c r="N5302" s="49" t="n">
        <v>0</v>
      </c>
      <c r="O5302" s="53" t="n">
        <v>45852.3778356482</v>
      </c>
      <c r="P5302" s="53" t="n">
        <v>45938.4688425926</v>
      </c>
      <c r="Q5302" s="53" t="n">
        <v>45852.3778356482</v>
      </c>
      <c r="R5302" s="0" t="n">
        <v>0</v>
      </c>
      <c r="S5302" s="51" t="s">
        <v>2416</v>
      </c>
      <c r="T5302" s="51" t="s">
        <v>2416</v>
      </c>
      <c r="U5302" s="0" t="str">
        <f aca="false">"734730225548"</f>
        <v>734730225548</v>
      </c>
      <c r="V5302" s="51" t="s">
        <v>2365</v>
      </c>
      <c r="W5302" s="51" t="s">
        <v>9545</v>
      </c>
      <c r="X5302" s="51" t="s">
        <v>2359</v>
      </c>
    </row>
    <row r="5303" customFormat="false" ht="14.25" hidden="true" customHeight="false" outlineLevel="0" collapsed="false">
      <c r="A5303" s="49" t="s">
        <v>2349</v>
      </c>
      <c r="B5303" s="49" t="s">
        <v>2350</v>
      </c>
      <c r="C5303" s="49" t="s">
        <v>9546</v>
      </c>
      <c r="D5303" s="49" t="s">
        <v>2352</v>
      </c>
      <c r="E5303" s="49" t="str">
        <f aca="false">"734730225548"</f>
        <v>734730225548</v>
      </c>
      <c r="F5303" s="49" t="s">
        <v>2434</v>
      </c>
      <c r="G5303" s="49" t="n">
        <v>0</v>
      </c>
      <c r="H5303" s="0" t="n">
        <v>0</v>
      </c>
      <c r="M5303" s="51" t="s">
        <v>9544</v>
      </c>
      <c r="N5303" s="49" t="n">
        <v>0</v>
      </c>
      <c r="O5303" s="53" t="n">
        <v>45852.3784027778</v>
      </c>
      <c r="P5303" s="53" t="n">
        <v>45856.4280092593</v>
      </c>
      <c r="Q5303" s="53" t="n">
        <v>45852.3784027778</v>
      </c>
      <c r="R5303" s="0" t="n">
        <v>0</v>
      </c>
      <c r="S5303" s="51" t="s">
        <v>2416</v>
      </c>
      <c r="T5303" s="51" t="s">
        <v>2416</v>
      </c>
      <c r="U5303" s="0" t="str">
        <f aca="false">"734730225548"</f>
        <v>734730225548</v>
      </c>
      <c r="V5303" s="51" t="s">
        <v>2365</v>
      </c>
      <c r="W5303" s="51" t="s">
        <v>9547</v>
      </c>
      <c r="X5303" s="51" t="s">
        <v>2359</v>
      </c>
    </row>
    <row r="5304" customFormat="false" ht="14.25" hidden="true" customHeight="false" outlineLevel="0" collapsed="false">
      <c r="A5304" s="49" t="s">
        <v>2349</v>
      </c>
      <c r="B5304" s="49" t="s">
        <v>2350</v>
      </c>
      <c r="C5304" s="49" t="s">
        <v>9548</v>
      </c>
      <c r="D5304" s="49" t="s">
        <v>2352</v>
      </c>
      <c r="E5304" s="49" t="str">
        <f aca="false">"734730225548"</f>
        <v>734730225548</v>
      </c>
      <c r="F5304" s="49" t="s">
        <v>2434</v>
      </c>
      <c r="G5304" s="49" t="n">
        <v>0</v>
      </c>
      <c r="H5304" s="0" t="n">
        <v>0</v>
      </c>
      <c r="M5304" s="51" t="s">
        <v>9544</v>
      </c>
      <c r="N5304" s="49" t="n">
        <v>0</v>
      </c>
      <c r="O5304" s="53" t="n">
        <v>45852.3785300926</v>
      </c>
      <c r="P5304" s="53" t="n">
        <v>45856.4308449074</v>
      </c>
      <c r="Q5304" s="53" t="n">
        <v>45852.3785300926</v>
      </c>
      <c r="R5304" s="0" t="n">
        <v>0</v>
      </c>
      <c r="S5304" s="51" t="s">
        <v>2416</v>
      </c>
      <c r="T5304" s="51" t="s">
        <v>2416</v>
      </c>
      <c r="U5304" s="0" t="str">
        <f aca="false">"734730225548"</f>
        <v>734730225548</v>
      </c>
      <c r="V5304" s="51" t="s">
        <v>2365</v>
      </c>
      <c r="W5304" s="51" t="s">
        <v>8743</v>
      </c>
      <c r="X5304" s="51" t="s">
        <v>2359</v>
      </c>
    </row>
    <row r="5305" customFormat="false" ht="14.25" hidden="true" customHeight="false" outlineLevel="0" collapsed="false">
      <c r="A5305" s="49" t="s">
        <v>2349</v>
      </c>
      <c r="B5305" s="49" t="s">
        <v>2350</v>
      </c>
      <c r="C5305" s="49" t="s">
        <v>9549</v>
      </c>
      <c r="D5305" s="49" t="s">
        <v>2352</v>
      </c>
      <c r="E5305" s="49" t="str">
        <f aca="false">"734730225548"</f>
        <v>734730225548</v>
      </c>
      <c r="F5305" s="49" t="s">
        <v>2434</v>
      </c>
      <c r="G5305" s="49" t="n">
        <v>0</v>
      </c>
      <c r="H5305" s="0" t="n">
        <v>0</v>
      </c>
      <c r="M5305" s="51" t="s">
        <v>9544</v>
      </c>
      <c r="N5305" s="49" t="n">
        <v>0</v>
      </c>
      <c r="O5305" s="53" t="n">
        <v>45852.3786921296</v>
      </c>
      <c r="P5305" s="53" t="n">
        <v>45856.4303472222</v>
      </c>
      <c r="Q5305" s="53" t="n">
        <v>45852.3786921296</v>
      </c>
      <c r="R5305" s="0" t="n">
        <v>0</v>
      </c>
      <c r="S5305" s="51" t="s">
        <v>2416</v>
      </c>
      <c r="T5305" s="51" t="s">
        <v>2416</v>
      </c>
      <c r="U5305" s="0" t="str">
        <f aca="false">"734730225548"</f>
        <v>734730225548</v>
      </c>
      <c r="V5305" s="51" t="s">
        <v>2365</v>
      </c>
      <c r="W5305" s="51" t="s">
        <v>7156</v>
      </c>
      <c r="X5305" s="51" t="s">
        <v>2359</v>
      </c>
    </row>
    <row r="5306" customFormat="false" ht="14.25" hidden="true" customHeight="false" outlineLevel="0" collapsed="false">
      <c r="A5306" s="49" t="s">
        <v>2349</v>
      </c>
      <c r="B5306" s="49" t="s">
        <v>2350</v>
      </c>
      <c r="C5306" s="49" t="s">
        <v>9550</v>
      </c>
      <c r="D5306" s="49" t="s">
        <v>2352</v>
      </c>
      <c r="E5306" s="49" t="str">
        <f aca="false">"734730225548"</f>
        <v>734730225548</v>
      </c>
      <c r="F5306" s="49" t="s">
        <v>2434</v>
      </c>
      <c r="G5306" s="49" t="n">
        <v>0</v>
      </c>
      <c r="H5306" s="0" t="n">
        <v>0</v>
      </c>
      <c r="M5306" s="51" t="s">
        <v>9544</v>
      </c>
      <c r="N5306" s="49" t="n">
        <v>0</v>
      </c>
      <c r="O5306" s="53" t="n">
        <v>45852.3788541667</v>
      </c>
      <c r="P5306" s="53" t="n">
        <v>45856.4284143519</v>
      </c>
      <c r="Q5306" s="53" t="n">
        <v>45852.3788541667</v>
      </c>
      <c r="R5306" s="0" t="n">
        <v>0</v>
      </c>
      <c r="S5306" s="51" t="s">
        <v>2416</v>
      </c>
      <c r="T5306" s="51" t="s">
        <v>2416</v>
      </c>
      <c r="U5306" s="0" t="str">
        <f aca="false">"734730225548"</f>
        <v>734730225548</v>
      </c>
      <c r="V5306" s="51" t="s">
        <v>2365</v>
      </c>
      <c r="W5306" s="51" t="s">
        <v>5664</v>
      </c>
      <c r="X5306" s="51" t="s">
        <v>2359</v>
      </c>
    </row>
    <row r="5307" customFormat="false" ht="14.25" hidden="true" customHeight="false" outlineLevel="0" collapsed="false">
      <c r="A5307" s="49" t="s">
        <v>2349</v>
      </c>
      <c r="B5307" s="49" t="s">
        <v>2350</v>
      </c>
      <c r="C5307" s="49" t="s">
        <v>9551</v>
      </c>
      <c r="D5307" s="49" t="s">
        <v>2352</v>
      </c>
      <c r="E5307" s="49" t="str">
        <f aca="false">"734730225548"</f>
        <v>734730225548</v>
      </c>
      <c r="F5307" s="49" t="s">
        <v>2434</v>
      </c>
      <c r="G5307" s="49" t="n">
        <v>0</v>
      </c>
      <c r="H5307" s="0" t="n">
        <v>0</v>
      </c>
      <c r="M5307" s="51" t="s">
        <v>9544</v>
      </c>
      <c r="N5307" s="49" t="n">
        <v>0</v>
      </c>
      <c r="O5307" s="53" t="n">
        <v>45852.3790972222</v>
      </c>
      <c r="P5307" s="53" t="n">
        <v>45856.4263657407</v>
      </c>
      <c r="Q5307" s="53" t="n">
        <v>45852.3790972222</v>
      </c>
      <c r="R5307" s="0" t="n">
        <v>0</v>
      </c>
      <c r="S5307" s="51" t="s">
        <v>2416</v>
      </c>
      <c r="T5307" s="51" t="s">
        <v>2416</v>
      </c>
      <c r="U5307" s="0" t="str">
        <f aca="false">"734730225548"</f>
        <v>734730225548</v>
      </c>
      <c r="V5307" s="51" t="s">
        <v>2365</v>
      </c>
      <c r="W5307" s="51" t="s">
        <v>9552</v>
      </c>
      <c r="X5307" s="51" t="s">
        <v>2359</v>
      </c>
    </row>
    <row r="5308" customFormat="false" ht="14.25" hidden="true" customHeight="false" outlineLevel="0" collapsed="false">
      <c r="A5308" s="49" t="s">
        <v>2349</v>
      </c>
      <c r="B5308" s="49" t="s">
        <v>2350</v>
      </c>
      <c r="C5308" s="49" t="s">
        <v>9553</v>
      </c>
      <c r="D5308" s="49" t="s">
        <v>2352</v>
      </c>
      <c r="E5308" s="49" t="str">
        <f aca="false">"734730225548"</f>
        <v>734730225548</v>
      </c>
      <c r="F5308" s="49" t="s">
        <v>2434</v>
      </c>
      <c r="G5308" s="49" t="n">
        <v>0</v>
      </c>
      <c r="H5308" s="0" t="n">
        <v>0</v>
      </c>
      <c r="M5308" s="51" t="s">
        <v>9544</v>
      </c>
      <c r="N5308" s="49" t="n">
        <v>0</v>
      </c>
      <c r="O5308" s="53" t="n">
        <v>45852.3792361111</v>
      </c>
      <c r="P5308" s="53" t="n">
        <v>45856.423900463</v>
      </c>
      <c r="Q5308" s="53" t="n">
        <v>45852.3792361111</v>
      </c>
      <c r="R5308" s="0" t="n">
        <v>0</v>
      </c>
      <c r="S5308" s="51" t="s">
        <v>2416</v>
      </c>
      <c r="T5308" s="51" t="s">
        <v>2416</v>
      </c>
      <c r="U5308" s="0" t="str">
        <f aca="false">"734730225548"</f>
        <v>734730225548</v>
      </c>
      <c r="V5308" s="51" t="s">
        <v>2365</v>
      </c>
      <c r="W5308" s="51" t="s">
        <v>5882</v>
      </c>
      <c r="X5308" s="51" t="s">
        <v>2359</v>
      </c>
    </row>
    <row r="5309" customFormat="false" ht="14.25" hidden="true" customHeight="false" outlineLevel="0" collapsed="false">
      <c r="A5309" s="49" t="s">
        <v>2349</v>
      </c>
      <c r="B5309" s="49" t="s">
        <v>2350</v>
      </c>
      <c r="C5309" s="49" t="s">
        <v>9554</v>
      </c>
      <c r="D5309" s="49" t="s">
        <v>2352</v>
      </c>
      <c r="E5309" s="49" t="str">
        <f aca="false">"734730225548"</f>
        <v>734730225548</v>
      </c>
      <c r="F5309" s="49" t="s">
        <v>2434</v>
      </c>
      <c r="G5309" s="49" t="n">
        <v>0</v>
      </c>
      <c r="H5309" s="0" t="n">
        <v>0</v>
      </c>
      <c r="M5309" s="51" t="s">
        <v>9544</v>
      </c>
      <c r="N5309" s="49" t="n">
        <v>0</v>
      </c>
      <c r="O5309" s="53" t="n">
        <v>45852.3768171296</v>
      </c>
      <c r="P5309" s="53" t="n">
        <v>45856.4249305556</v>
      </c>
      <c r="Q5309" s="53" t="n">
        <v>45852.3768171296</v>
      </c>
      <c r="R5309" s="0" t="n">
        <v>0</v>
      </c>
      <c r="S5309" s="51" t="s">
        <v>2416</v>
      </c>
      <c r="T5309" s="51" t="s">
        <v>2416</v>
      </c>
      <c r="U5309" s="0" t="str">
        <f aca="false">"734730225548"</f>
        <v>734730225548</v>
      </c>
      <c r="V5309" s="51" t="s">
        <v>2365</v>
      </c>
      <c r="W5309" s="51" t="s">
        <v>6793</v>
      </c>
      <c r="X5309" s="51" t="s">
        <v>2359</v>
      </c>
    </row>
    <row r="5310" customFormat="false" ht="14.25" hidden="true" customHeight="false" outlineLevel="0" collapsed="false">
      <c r="A5310" s="49" t="s">
        <v>2349</v>
      </c>
      <c r="B5310" s="49" t="s">
        <v>2350</v>
      </c>
      <c r="C5310" s="49" t="s">
        <v>9555</v>
      </c>
      <c r="D5310" s="49" t="s">
        <v>2352</v>
      </c>
      <c r="E5310" s="49" t="str">
        <f aca="false">"734730225548"</f>
        <v>734730225548</v>
      </c>
      <c r="F5310" s="49" t="s">
        <v>2434</v>
      </c>
      <c r="G5310" s="49" t="n">
        <v>0</v>
      </c>
      <c r="H5310" s="0" t="n">
        <v>0</v>
      </c>
      <c r="M5310" s="51" t="s">
        <v>9544</v>
      </c>
      <c r="N5310" s="49" t="n">
        <v>0</v>
      </c>
      <c r="O5310" s="53" t="n">
        <v>45852.3770833333</v>
      </c>
      <c r="P5310" s="53" t="n">
        <v>45919.6603356482</v>
      </c>
      <c r="Q5310" s="53" t="n">
        <v>45852.3770833333</v>
      </c>
      <c r="R5310" s="0" t="n">
        <v>0</v>
      </c>
      <c r="S5310" s="51" t="s">
        <v>2416</v>
      </c>
      <c r="T5310" s="51" t="s">
        <v>2416</v>
      </c>
      <c r="U5310" s="0" t="str">
        <f aca="false">"734730225548"</f>
        <v>734730225548</v>
      </c>
      <c r="V5310" s="51" t="s">
        <v>2365</v>
      </c>
      <c r="W5310" s="51" t="s">
        <v>5000</v>
      </c>
      <c r="X5310" s="51" t="s">
        <v>2359</v>
      </c>
    </row>
    <row r="5311" customFormat="false" ht="14.25" hidden="true" customHeight="false" outlineLevel="0" collapsed="false">
      <c r="A5311" s="49" t="s">
        <v>2349</v>
      </c>
      <c r="B5311" s="49" t="s">
        <v>2350</v>
      </c>
      <c r="C5311" s="49" t="s">
        <v>9556</v>
      </c>
      <c r="D5311" s="49" t="s">
        <v>2352</v>
      </c>
      <c r="E5311" s="49" t="str">
        <f aca="false">"734730225548"</f>
        <v>734730225548</v>
      </c>
      <c r="F5311" s="49" t="s">
        <v>2434</v>
      </c>
      <c r="G5311" s="49" t="n">
        <v>0</v>
      </c>
      <c r="H5311" s="0" t="n">
        <v>0</v>
      </c>
      <c r="M5311" s="51" t="s">
        <v>9544</v>
      </c>
      <c r="N5311" s="49" t="n">
        <v>0</v>
      </c>
      <c r="O5311" s="53" t="n">
        <v>45852.3771990741</v>
      </c>
      <c r="P5311" s="53" t="n">
        <v>45872.4577199074</v>
      </c>
      <c r="Q5311" s="53" t="n">
        <v>45852.3771990741</v>
      </c>
      <c r="R5311" s="0" t="n">
        <v>0</v>
      </c>
      <c r="S5311" s="51" t="s">
        <v>2416</v>
      </c>
      <c r="T5311" s="51" t="s">
        <v>2416</v>
      </c>
      <c r="U5311" s="0" t="str">
        <f aca="false">"734730225548"</f>
        <v>734730225548</v>
      </c>
      <c r="V5311" s="51" t="s">
        <v>2365</v>
      </c>
      <c r="W5311" s="51" t="s">
        <v>4887</v>
      </c>
      <c r="X5311" s="51" t="s">
        <v>2359</v>
      </c>
    </row>
    <row r="5312" customFormat="false" ht="14.25" hidden="true" customHeight="false" outlineLevel="0" collapsed="false">
      <c r="A5312" s="49" t="s">
        <v>2349</v>
      </c>
      <c r="B5312" s="49" t="s">
        <v>2350</v>
      </c>
      <c r="C5312" s="49" t="s">
        <v>9557</v>
      </c>
      <c r="D5312" s="49" t="s">
        <v>2352</v>
      </c>
      <c r="E5312" s="49" t="str">
        <f aca="false">"734730225548"</f>
        <v>734730225548</v>
      </c>
      <c r="F5312" s="49" t="s">
        <v>2434</v>
      </c>
      <c r="G5312" s="49" t="n">
        <v>0</v>
      </c>
      <c r="H5312" s="0" t="n">
        <v>0</v>
      </c>
      <c r="M5312" s="51" t="s">
        <v>9544</v>
      </c>
      <c r="N5312" s="49" t="n">
        <v>0</v>
      </c>
      <c r="O5312" s="53" t="n">
        <v>45852.3779513889</v>
      </c>
      <c r="P5312" s="53" t="n">
        <v>45856.4291782407</v>
      </c>
      <c r="Q5312" s="53" t="n">
        <v>45852.3779513889</v>
      </c>
      <c r="R5312" s="0" t="n">
        <v>0</v>
      </c>
      <c r="S5312" s="51" t="s">
        <v>2416</v>
      </c>
      <c r="T5312" s="51" t="s">
        <v>2416</v>
      </c>
      <c r="U5312" s="0" t="str">
        <f aca="false">"734730225548"</f>
        <v>734730225548</v>
      </c>
      <c r="V5312" s="51" t="s">
        <v>2365</v>
      </c>
      <c r="W5312" s="51" t="s">
        <v>7859</v>
      </c>
      <c r="X5312" s="51" t="s">
        <v>2359</v>
      </c>
    </row>
    <row r="5313" customFormat="false" ht="14.25" hidden="true" customHeight="false" outlineLevel="0" collapsed="false">
      <c r="A5313" s="49" t="s">
        <v>2349</v>
      </c>
      <c r="B5313" s="49" t="s">
        <v>2350</v>
      </c>
      <c r="C5313" s="49" t="s">
        <v>9558</v>
      </c>
      <c r="D5313" s="49" t="s">
        <v>2352</v>
      </c>
      <c r="E5313" s="49" t="str">
        <f aca="false">"734730225548"</f>
        <v>734730225548</v>
      </c>
      <c r="F5313" s="49" t="s">
        <v>2434</v>
      </c>
      <c r="G5313" s="49" t="n">
        <v>0</v>
      </c>
      <c r="H5313" s="0" t="n">
        <v>0</v>
      </c>
      <c r="M5313" s="51" t="s">
        <v>9544</v>
      </c>
      <c r="N5313" s="49" t="n">
        <v>0</v>
      </c>
      <c r="O5313" s="53" t="n">
        <v>45852.3780555556</v>
      </c>
      <c r="P5313" s="53" t="n">
        <v>45856.4326157407</v>
      </c>
      <c r="Q5313" s="53" t="n">
        <v>45852.3780555556</v>
      </c>
      <c r="R5313" s="0" t="n">
        <v>0</v>
      </c>
      <c r="S5313" s="51" t="s">
        <v>2416</v>
      </c>
      <c r="T5313" s="51" t="s">
        <v>2416</v>
      </c>
      <c r="U5313" s="0" t="str">
        <f aca="false">"734730225548"</f>
        <v>734730225548</v>
      </c>
      <c r="V5313" s="51" t="s">
        <v>2365</v>
      </c>
      <c r="W5313" s="51" t="s">
        <v>4519</v>
      </c>
      <c r="X5313" s="51" t="s">
        <v>2359</v>
      </c>
    </row>
    <row r="5314" customFormat="false" ht="14.25" hidden="true" customHeight="false" outlineLevel="0" collapsed="false">
      <c r="A5314" s="49" t="s">
        <v>2349</v>
      </c>
      <c r="B5314" s="49" t="s">
        <v>2350</v>
      </c>
      <c r="C5314" s="49" t="s">
        <v>9559</v>
      </c>
      <c r="D5314" s="49" t="s">
        <v>2352</v>
      </c>
      <c r="E5314" s="49" t="str">
        <f aca="false">"734730225548"</f>
        <v>734730225548</v>
      </c>
      <c r="F5314" s="49" t="s">
        <v>2434</v>
      </c>
      <c r="G5314" s="49" t="n">
        <v>0</v>
      </c>
      <c r="H5314" s="0" t="n">
        <v>0</v>
      </c>
      <c r="M5314" s="51" t="s">
        <v>9544</v>
      </c>
      <c r="N5314" s="49" t="n">
        <v>0</v>
      </c>
      <c r="O5314" s="53" t="n">
        <v>45852.3781828704</v>
      </c>
      <c r="P5314" s="53" t="n">
        <v>45856.4335069444</v>
      </c>
      <c r="Q5314" s="53" t="n">
        <v>45852.3781828704</v>
      </c>
      <c r="R5314" s="0" t="n">
        <v>0</v>
      </c>
      <c r="S5314" s="51" t="s">
        <v>2416</v>
      </c>
      <c r="T5314" s="51" t="s">
        <v>2416</v>
      </c>
      <c r="U5314" s="0" t="str">
        <f aca="false">"734730225548"</f>
        <v>734730225548</v>
      </c>
      <c r="V5314" s="51" t="s">
        <v>2365</v>
      </c>
      <c r="W5314" s="51" t="s">
        <v>7342</v>
      </c>
      <c r="X5314" s="51" t="s">
        <v>2359</v>
      </c>
    </row>
    <row r="5315" customFormat="false" ht="14.25" hidden="true" customHeight="false" outlineLevel="0" collapsed="false">
      <c r="A5315" s="49" t="s">
        <v>2349</v>
      </c>
      <c r="B5315" s="49" t="s">
        <v>2350</v>
      </c>
      <c r="C5315" s="49" t="s">
        <v>9560</v>
      </c>
      <c r="D5315" s="49" t="s">
        <v>2352</v>
      </c>
      <c r="E5315" s="49" t="str">
        <f aca="false">"734730225548"</f>
        <v>734730225548</v>
      </c>
      <c r="F5315" s="49" t="s">
        <v>2434</v>
      </c>
      <c r="G5315" s="49" t="n">
        <v>0</v>
      </c>
      <c r="H5315" s="0" t="n">
        <v>0</v>
      </c>
      <c r="M5315" s="51" t="s">
        <v>9544</v>
      </c>
      <c r="N5315" s="49" t="n">
        <v>0</v>
      </c>
      <c r="O5315" s="53" t="n">
        <v>45852.3748611111</v>
      </c>
      <c r="P5315" s="53" t="n">
        <v>45874.5818287037</v>
      </c>
      <c r="Q5315" s="53" t="n">
        <v>45852.3748611111</v>
      </c>
      <c r="R5315" s="0" t="n">
        <v>0</v>
      </c>
      <c r="S5315" s="51" t="s">
        <v>2416</v>
      </c>
      <c r="T5315" s="51" t="s">
        <v>2416</v>
      </c>
      <c r="U5315" s="0" t="str">
        <f aca="false">"734730225548"</f>
        <v>734730225548</v>
      </c>
      <c r="V5315" s="51" t="s">
        <v>2365</v>
      </c>
      <c r="W5315" s="51" t="s">
        <v>5184</v>
      </c>
      <c r="X5315" s="51" t="s">
        <v>2359</v>
      </c>
    </row>
    <row r="5316" customFormat="false" ht="14.25" hidden="true" customHeight="false" outlineLevel="0" collapsed="false">
      <c r="A5316" s="49" t="s">
        <v>2349</v>
      </c>
      <c r="B5316" s="49" t="s">
        <v>2350</v>
      </c>
      <c r="C5316" s="49" t="s">
        <v>9561</v>
      </c>
      <c r="D5316" s="49" t="s">
        <v>2352</v>
      </c>
      <c r="E5316" s="49" t="str">
        <f aca="false">"734730225548"</f>
        <v>734730225548</v>
      </c>
      <c r="F5316" s="49" t="s">
        <v>2434</v>
      </c>
      <c r="G5316" s="49" t="n">
        <v>0</v>
      </c>
      <c r="H5316" s="0" t="n">
        <v>0</v>
      </c>
      <c r="M5316" s="51" t="s">
        <v>9544</v>
      </c>
      <c r="N5316" s="49" t="n">
        <v>0</v>
      </c>
      <c r="O5316" s="53" t="n">
        <v>45852.3749884259</v>
      </c>
      <c r="P5316" s="53" t="n">
        <v>45879.7850578704</v>
      </c>
      <c r="Q5316" s="53" t="n">
        <v>45852.3749884259</v>
      </c>
      <c r="R5316" s="0" t="n">
        <v>0</v>
      </c>
      <c r="S5316" s="51" t="s">
        <v>2416</v>
      </c>
      <c r="T5316" s="51" t="s">
        <v>2416</v>
      </c>
      <c r="U5316" s="0" t="str">
        <f aca="false">"734730225548"</f>
        <v>734730225548</v>
      </c>
      <c r="V5316" s="51" t="s">
        <v>2365</v>
      </c>
      <c r="W5316" s="51" t="s">
        <v>6348</v>
      </c>
      <c r="X5316" s="51" t="s">
        <v>2359</v>
      </c>
    </row>
    <row r="5317" customFormat="false" ht="14.25" hidden="true" customHeight="false" outlineLevel="0" collapsed="false">
      <c r="A5317" s="49" t="s">
        <v>2349</v>
      </c>
      <c r="B5317" s="49" t="s">
        <v>2350</v>
      </c>
      <c r="C5317" s="49" t="s">
        <v>9562</v>
      </c>
      <c r="D5317" s="49" t="s">
        <v>2352</v>
      </c>
      <c r="E5317" s="49" t="str">
        <f aca="false">"734730225548"</f>
        <v>734730225548</v>
      </c>
      <c r="F5317" s="49" t="s">
        <v>2434</v>
      </c>
      <c r="G5317" s="49" t="n">
        <v>0</v>
      </c>
      <c r="H5317" s="0" t="n">
        <v>0</v>
      </c>
      <c r="M5317" s="51" t="s">
        <v>9544</v>
      </c>
      <c r="N5317" s="49" t="n">
        <v>0</v>
      </c>
      <c r="O5317" s="53" t="n">
        <v>45852.3750925926</v>
      </c>
      <c r="P5317" s="53" t="n">
        <v>45935.4035185185</v>
      </c>
      <c r="Q5317" s="53" t="n">
        <v>45852.3750925926</v>
      </c>
      <c r="R5317" s="0" t="n">
        <v>0</v>
      </c>
      <c r="S5317" s="51" t="s">
        <v>2416</v>
      </c>
      <c r="T5317" s="51" t="s">
        <v>2416</v>
      </c>
      <c r="U5317" s="0" t="str">
        <f aca="false">"734730225548"</f>
        <v>734730225548</v>
      </c>
      <c r="V5317" s="51" t="s">
        <v>2365</v>
      </c>
      <c r="W5317" s="51" t="s">
        <v>4191</v>
      </c>
      <c r="X5317" s="51" t="s">
        <v>2359</v>
      </c>
    </row>
    <row r="5318" customFormat="false" ht="14.25" hidden="true" customHeight="false" outlineLevel="0" collapsed="false">
      <c r="A5318" s="49" t="s">
        <v>2349</v>
      </c>
      <c r="B5318" s="49" t="s">
        <v>2350</v>
      </c>
      <c r="C5318" s="49" t="s">
        <v>9563</v>
      </c>
      <c r="D5318" s="49" t="s">
        <v>2352</v>
      </c>
      <c r="E5318" s="49" t="str">
        <f aca="false">"734730225548"</f>
        <v>734730225548</v>
      </c>
      <c r="F5318" s="49" t="s">
        <v>2434</v>
      </c>
      <c r="G5318" s="49" t="n">
        <v>0</v>
      </c>
      <c r="H5318" s="0" t="n">
        <v>0</v>
      </c>
      <c r="M5318" s="51" t="s">
        <v>9544</v>
      </c>
      <c r="N5318" s="49" t="n">
        <v>0</v>
      </c>
      <c r="O5318" s="53" t="n">
        <v>45852.3751967593</v>
      </c>
      <c r="P5318" s="53" t="n">
        <v>45918.7558564815</v>
      </c>
      <c r="Q5318" s="53" t="n">
        <v>45852.3751967593</v>
      </c>
      <c r="R5318" s="0" t="n">
        <v>0</v>
      </c>
      <c r="S5318" s="51" t="s">
        <v>2416</v>
      </c>
      <c r="T5318" s="51" t="s">
        <v>2416</v>
      </c>
      <c r="U5318" s="0" t="str">
        <f aca="false">"734730225548"</f>
        <v>734730225548</v>
      </c>
      <c r="V5318" s="51" t="s">
        <v>2365</v>
      </c>
      <c r="W5318" s="51" t="s">
        <v>9564</v>
      </c>
      <c r="X5318" s="51" t="s">
        <v>2359</v>
      </c>
    </row>
    <row r="5319" customFormat="false" ht="14.25" hidden="true" customHeight="false" outlineLevel="0" collapsed="false">
      <c r="A5319" s="49" t="s">
        <v>2349</v>
      </c>
      <c r="B5319" s="49" t="s">
        <v>2350</v>
      </c>
      <c r="C5319" s="49" t="s">
        <v>9565</v>
      </c>
      <c r="D5319" s="49" t="s">
        <v>2352</v>
      </c>
      <c r="E5319" s="49" t="str">
        <f aca="false">"734730225548"</f>
        <v>734730225548</v>
      </c>
      <c r="F5319" s="49" t="s">
        <v>2434</v>
      </c>
      <c r="G5319" s="49" t="n">
        <v>0</v>
      </c>
      <c r="H5319" s="0" t="n">
        <v>0</v>
      </c>
      <c r="M5319" s="51" t="s">
        <v>9544</v>
      </c>
      <c r="N5319" s="49" t="n">
        <v>0</v>
      </c>
      <c r="O5319" s="53" t="n">
        <v>45852.3753009259</v>
      </c>
      <c r="P5319" s="53" t="n">
        <v>45918.7603240741</v>
      </c>
      <c r="Q5319" s="53" t="n">
        <v>45852.3753009259</v>
      </c>
      <c r="R5319" s="0" t="n">
        <v>0</v>
      </c>
      <c r="S5319" s="51" t="s">
        <v>2416</v>
      </c>
      <c r="T5319" s="51" t="s">
        <v>2416</v>
      </c>
      <c r="U5319" s="0" t="str">
        <f aca="false">"734730225548"</f>
        <v>734730225548</v>
      </c>
      <c r="V5319" s="51" t="s">
        <v>2365</v>
      </c>
      <c r="W5319" s="51" t="s">
        <v>9566</v>
      </c>
      <c r="X5319" s="51" t="s">
        <v>2359</v>
      </c>
    </row>
    <row r="5320" customFormat="false" ht="14.25" hidden="true" customHeight="false" outlineLevel="0" collapsed="false">
      <c r="A5320" s="49" t="s">
        <v>2349</v>
      </c>
      <c r="B5320" s="49" t="s">
        <v>2350</v>
      </c>
      <c r="C5320" s="49" t="s">
        <v>9567</v>
      </c>
      <c r="D5320" s="49" t="s">
        <v>2352</v>
      </c>
      <c r="E5320" s="49" t="str">
        <f aca="false">"734730225548"</f>
        <v>734730225548</v>
      </c>
      <c r="F5320" s="49" t="s">
        <v>2434</v>
      </c>
      <c r="G5320" s="49" t="n">
        <v>0</v>
      </c>
      <c r="H5320" s="0" t="n">
        <v>0</v>
      </c>
      <c r="M5320" s="51" t="s">
        <v>9544</v>
      </c>
      <c r="N5320" s="49" t="n">
        <v>0</v>
      </c>
      <c r="O5320" s="53" t="n">
        <v>45852.3754282407</v>
      </c>
      <c r="P5320" s="53" t="n">
        <v>45918.7579976852</v>
      </c>
      <c r="Q5320" s="53" t="n">
        <v>45852.3754282407</v>
      </c>
      <c r="R5320" s="0" t="n">
        <v>0</v>
      </c>
      <c r="S5320" s="51" t="s">
        <v>2416</v>
      </c>
      <c r="T5320" s="51" t="s">
        <v>2416</v>
      </c>
      <c r="U5320" s="0" t="str">
        <f aca="false">"734730225548"</f>
        <v>734730225548</v>
      </c>
      <c r="V5320" s="51" t="s">
        <v>2365</v>
      </c>
      <c r="W5320" s="51" t="s">
        <v>9568</v>
      </c>
      <c r="X5320" s="51" t="s">
        <v>2359</v>
      </c>
    </row>
    <row r="5321" customFormat="false" ht="14.25" hidden="true" customHeight="false" outlineLevel="0" collapsed="false">
      <c r="A5321" s="49" t="s">
        <v>2349</v>
      </c>
      <c r="B5321" s="49" t="s">
        <v>2350</v>
      </c>
      <c r="C5321" s="49" t="s">
        <v>9569</v>
      </c>
      <c r="D5321" s="49" t="s">
        <v>2352</v>
      </c>
      <c r="E5321" s="49" t="str">
        <f aca="false">"734730225548"</f>
        <v>734730225548</v>
      </c>
      <c r="F5321" s="49" t="s">
        <v>2434</v>
      </c>
      <c r="G5321" s="49" t="n">
        <v>0</v>
      </c>
      <c r="H5321" s="0" t="n">
        <v>0</v>
      </c>
      <c r="M5321" s="51" t="s">
        <v>9544</v>
      </c>
      <c r="N5321" s="49" t="n">
        <v>0</v>
      </c>
      <c r="O5321" s="53" t="n">
        <v>45852.3755324074</v>
      </c>
      <c r="P5321" s="53" t="n">
        <v>45918.758599537</v>
      </c>
      <c r="Q5321" s="53" t="n">
        <v>45852.3755324074</v>
      </c>
      <c r="R5321" s="0" t="n">
        <v>0</v>
      </c>
      <c r="S5321" s="51" t="s">
        <v>2416</v>
      </c>
      <c r="T5321" s="51" t="s">
        <v>2416</v>
      </c>
      <c r="U5321" s="0" t="str">
        <f aca="false">"734730225548"</f>
        <v>734730225548</v>
      </c>
      <c r="V5321" s="51" t="s">
        <v>2365</v>
      </c>
      <c r="W5321" s="51" t="s">
        <v>9570</v>
      </c>
      <c r="X5321" s="51" t="s">
        <v>2359</v>
      </c>
    </row>
    <row r="5322" customFormat="false" ht="14.25" hidden="true" customHeight="false" outlineLevel="0" collapsed="false">
      <c r="A5322" s="49" t="s">
        <v>2349</v>
      </c>
      <c r="B5322" s="49" t="s">
        <v>2350</v>
      </c>
      <c r="C5322" s="49" t="s">
        <v>9571</v>
      </c>
      <c r="D5322" s="49" t="s">
        <v>2352</v>
      </c>
      <c r="E5322" s="49" t="str">
        <f aca="false">"734730225548"</f>
        <v>734730225548</v>
      </c>
      <c r="F5322" s="49" t="s">
        <v>2434</v>
      </c>
      <c r="G5322" s="49" t="n">
        <v>0</v>
      </c>
      <c r="H5322" s="0" t="n">
        <v>0</v>
      </c>
      <c r="M5322" s="51" t="s">
        <v>9544</v>
      </c>
      <c r="N5322" s="49" t="n">
        <v>0</v>
      </c>
      <c r="O5322" s="53" t="n">
        <v>45852.3756712963</v>
      </c>
      <c r="P5322" s="53" t="n">
        <v>45907.4856944445</v>
      </c>
      <c r="Q5322" s="53" t="n">
        <v>45852.3756712963</v>
      </c>
      <c r="R5322" s="0" t="n">
        <v>0</v>
      </c>
      <c r="S5322" s="51" t="s">
        <v>2416</v>
      </c>
      <c r="T5322" s="51" t="s">
        <v>2416</v>
      </c>
      <c r="U5322" s="0" t="str">
        <f aca="false">"734730225548"</f>
        <v>734730225548</v>
      </c>
      <c r="V5322" s="51" t="s">
        <v>2365</v>
      </c>
      <c r="W5322" s="51" t="s">
        <v>6025</v>
      </c>
      <c r="X5322" s="51" t="s">
        <v>2359</v>
      </c>
    </row>
    <row r="5323" customFormat="false" ht="14.25" hidden="true" customHeight="false" outlineLevel="0" collapsed="false">
      <c r="A5323" s="49" t="s">
        <v>2349</v>
      </c>
      <c r="B5323" s="49" t="s">
        <v>2350</v>
      </c>
      <c r="C5323" s="49" t="s">
        <v>9572</v>
      </c>
      <c r="D5323" s="49" t="s">
        <v>2352</v>
      </c>
      <c r="E5323" s="49" t="str">
        <f aca="false">"734730225548"</f>
        <v>734730225548</v>
      </c>
      <c r="F5323" s="49" t="s">
        <v>2434</v>
      </c>
      <c r="G5323" s="49" t="n">
        <v>0</v>
      </c>
      <c r="H5323" s="0" t="n">
        <v>0</v>
      </c>
      <c r="M5323" s="51" t="s">
        <v>9544</v>
      </c>
      <c r="N5323" s="49" t="n">
        <v>0</v>
      </c>
      <c r="O5323" s="53" t="n">
        <v>45852.3758449074</v>
      </c>
      <c r="P5323" s="53" t="n">
        <v>45902.8829976852</v>
      </c>
      <c r="Q5323" s="53" t="n">
        <v>45852.3758449074</v>
      </c>
      <c r="R5323" s="0" t="n">
        <v>0</v>
      </c>
      <c r="S5323" s="51" t="s">
        <v>2416</v>
      </c>
      <c r="T5323" s="51" t="s">
        <v>2416</v>
      </c>
      <c r="U5323" s="0" t="str">
        <f aca="false">"734730225548"</f>
        <v>734730225548</v>
      </c>
      <c r="V5323" s="51" t="s">
        <v>2365</v>
      </c>
      <c r="W5323" s="51" t="s">
        <v>9573</v>
      </c>
      <c r="X5323" s="51" t="s">
        <v>2359</v>
      </c>
    </row>
    <row r="5324" customFormat="false" ht="14.25" hidden="true" customHeight="false" outlineLevel="0" collapsed="false">
      <c r="A5324" s="49" t="s">
        <v>2349</v>
      </c>
      <c r="B5324" s="49" t="s">
        <v>2350</v>
      </c>
      <c r="C5324" s="49" t="s">
        <v>9574</v>
      </c>
      <c r="D5324" s="49" t="s">
        <v>2352</v>
      </c>
      <c r="E5324" s="49" t="str">
        <f aca="false">"734730225548"</f>
        <v>734730225548</v>
      </c>
      <c r="F5324" s="49" t="s">
        <v>2434</v>
      </c>
      <c r="G5324" s="49" t="n">
        <v>0</v>
      </c>
      <c r="H5324" s="0" t="n">
        <v>0</v>
      </c>
      <c r="M5324" s="51" t="s">
        <v>9544</v>
      </c>
      <c r="N5324" s="49" t="n">
        <v>0</v>
      </c>
      <c r="O5324" s="53" t="n">
        <v>45852.3746990741</v>
      </c>
      <c r="P5324" s="53" t="n">
        <v>45913.7873958333</v>
      </c>
      <c r="Q5324" s="53" t="n">
        <v>45852.3746990741</v>
      </c>
      <c r="R5324" s="0" t="n">
        <v>0</v>
      </c>
      <c r="S5324" s="51" t="s">
        <v>2416</v>
      </c>
      <c r="T5324" s="51" t="s">
        <v>2416</v>
      </c>
      <c r="U5324" s="0" t="str">
        <f aca="false">"734730225548"</f>
        <v>734730225548</v>
      </c>
      <c r="V5324" s="51" t="s">
        <v>2365</v>
      </c>
      <c r="W5324" s="51" t="s">
        <v>9575</v>
      </c>
      <c r="X5324" s="51" t="s">
        <v>2359</v>
      </c>
    </row>
    <row r="5325" customFormat="false" ht="14.25" hidden="true" customHeight="false" outlineLevel="0" collapsed="false">
      <c r="A5325" s="49" t="s">
        <v>2349</v>
      </c>
      <c r="B5325" s="49" t="s">
        <v>2350</v>
      </c>
      <c r="C5325" s="49" t="s">
        <v>9576</v>
      </c>
      <c r="D5325" s="49" t="s">
        <v>2352</v>
      </c>
      <c r="E5325" s="49" t="str">
        <f aca="false">"734730225548"</f>
        <v>734730225548</v>
      </c>
      <c r="F5325" s="49" t="s">
        <v>2434</v>
      </c>
      <c r="G5325" s="49" t="n">
        <v>0</v>
      </c>
      <c r="H5325" s="0" t="n">
        <v>0</v>
      </c>
      <c r="M5325" s="51" t="s">
        <v>9544</v>
      </c>
      <c r="N5325" s="49" t="n">
        <v>0</v>
      </c>
      <c r="O5325" s="53" t="n">
        <v>45852.3746064815</v>
      </c>
      <c r="P5325" s="53" t="n">
        <v>45902.8800462963</v>
      </c>
      <c r="Q5325" s="53" t="n">
        <v>45852.3746064815</v>
      </c>
      <c r="R5325" s="0" t="n">
        <v>0</v>
      </c>
      <c r="S5325" s="51" t="s">
        <v>2416</v>
      </c>
      <c r="T5325" s="51" t="s">
        <v>2416</v>
      </c>
      <c r="U5325" s="0" t="str">
        <f aca="false">"734730225548"</f>
        <v>734730225548</v>
      </c>
      <c r="V5325" s="51" t="s">
        <v>2365</v>
      </c>
      <c r="W5325" s="51" t="s">
        <v>9007</v>
      </c>
      <c r="X5325" s="51" t="s">
        <v>2359</v>
      </c>
    </row>
    <row r="5326" customFormat="false" ht="14.25" hidden="true" customHeight="false" outlineLevel="0" collapsed="false">
      <c r="A5326" s="49" t="s">
        <v>2349</v>
      </c>
      <c r="B5326" s="49" t="s">
        <v>2350</v>
      </c>
      <c r="C5326" s="49" t="s">
        <v>9577</v>
      </c>
      <c r="D5326" s="49" t="s">
        <v>2352</v>
      </c>
      <c r="E5326" s="49" t="str">
        <f aca="false">"734730225548"</f>
        <v>734730225548</v>
      </c>
      <c r="F5326" s="49" t="s">
        <v>2434</v>
      </c>
      <c r="G5326" s="49" t="n">
        <v>0</v>
      </c>
      <c r="H5326" s="0" t="n">
        <v>0</v>
      </c>
      <c r="M5326" s="51" t="s">
        <v>9544</v>
      </c>
      <c r="N5326" s="49" t="n">
        <v>0</v>
      </c>
      <c r="O5326" s="53" t="n">
        <v>45852.3745138889</v>
      </c>
      <c r="P5326" s="53" t="n">
        <v>45902.878587963</v>
      </c>
      <c r="Q5326" s="53" t="n">
        <v>45852.3745138889</v>
      </c>
      <c r="R5326" s="0" t="n">
        <v>0</v>
      </c>
      <c r="S5326" s="51" t="s">
        <v>2416</v>
      </c>
      <c r="T5326" s="51" t="s">
        <v>2416</v>
      </c>
      <c r="U5326" s="0" t="str">
        <f aca="false">"734730225548"</f>
        <v>734730225548</v>
      </c>
      <c r="V5326" s="51" t="s">
        <v>2365</v>
      </c>
      <c r="W5326" s="51" t="s">
        <v>8142</v>
      </c>
      <c r="X5326" s="51" t="s">
        <v>2359</v>
      </c>
    </row>
    <row r="5327" customFormat="false" ht="14.25" hidden="true" customHeight="false" outlineLevel="0" collapsed="false">
      <c r="A5327" s="49" t="s">
        <v>2349</v>
      </c>
      <c r="B5327" s="49" t="s">
        <v>2350</v>
      </c>
      <c r="C5327" s="49" t="s">
        <v>9578</v>
      </c>
      <c r="D5327" s="49" t="s">
        <v>2352</v>
      </c>
      <c r="E5327" s="49" t="str">
        <f aca="false">"734730225548"</f>
        <v>734730225548</v>
      </c>
      <c r="F5327" s="49" t="s">
        <v>2434</v>
      </c>
      <c r="G5327" s="49" t="n">
        <v>0</v>
      </c>
      <c r="H5327" s="0" t="n">
        <v>0</v>
      </c>
      <c r="M5327" s="51" t="s">
        <v>9544</v>
      </c>
      <c r="N5327" s="49" t="n">
        <v>0</v>
      </c>
      <c r="O5327" s="53" t="n">
        <v>45852.3744097222</v>
      </c>
      <c r="P5327" s="53" t="n">
        <v>45918.7508449074</v>
      </c>
      <c r="Q5327" s="53" t="n">
        <v>45852.3744097222</v>
      </c>
      <c r="R5327" s="0" t="n">
        <v>0</v>
      </c>
      <c r="S5327" s="51" t="s">
        <v>2416</v>
      </c>
      <c r="T5327" s="51" t="s">
        <v>2416</v>
      </c>
      <c r="U5327" s="0" t="str">
        <f aca="false">"734730225548"</f>
        <v>734730225548</v>
      </c>
      <c r="V5327" s="51" t="s">
        <v>2365</v>
      </c>
      <c r="W5327" s="51" t="s">
        <v>9424</v>
      </c>
      <c r="X5327" s="51" t="s">
        <v>2359</v>
      </c>
    </row>
    <row r="5328" customFormat="false" ht="14.25" hidden="true" customHeight="false" outlineLevel="0" collapsed="false">
      <c r="A5328" s="49" t="s">
        <v>2349</v>
      </c>
      <c r="B5328" s="49" t="s">
        <v>2350</v>
      </c>
      <c r="C5328" s="49" t="s">
        <v>9579</v>
      </c>
      <c r="D5328" s="49" t="s">
        <v>2352</v>
      </c>
      <c r="E5328" s="49" t="str">
        <f aca="false">"734730225548"</f>
        <v>734730225548</v>
      </c>
      <c r="F5328" s="49" t="s">
        <v>2434</v>
      </c>
      <c r="G5328" s="49" t="n">
        <v>0</v>
      </c>
      <c r="H5328" s="0" t="n">
        <v>0</v>
      </c>
      <c r="M5328" s="51" t="s">
        <v>9544</v>
      </c>
      <c r="N5328" s="49" t="n">
        <v>0</v>
      </c>
      <c r="O5328" s="53" t="n">
        <v>45852.3742824074</v>
      </c>
      <c r="P5328" s="53" t="n">
        <v>45902.8804976852</v>
      </c>
      <c r="Q5328" s="53" t="n">
        <v>45852.3742824074</v>
      </c>
      <c r="R5328" s="0" t="n">
        <v>0</v>
      </c>
      <c r="S5328" s="51" t="s">
        <v>2416</v>
      </c>
      <c r="T5328" s="51" t="s">
        <v>2416</v>
      </c>
      <c r="U5328" s="0" t="str">
        <f aca="false">"734730225548"</f>
        <v>734730225548</v>
      </c>
      <c r="V5328" s="51" t="s">
        <v>2365</v>
      </c>
      <c r="W5328" s="51" t="s">
        <v>7619</v>
      </c>
      <c r="X5328" s="51" t="s">
        <v>2359</v>
      </c>
    </row>
    <row r="5329" customFormat="false" ht="14.25" hidden="true" customHeight="false" outlineLevel="0" collapsed="false">
      <c r="A5329" s="49" t="s">
        <v>2349</v>
      </c>
      <c r="B5329" s="49" t="s">
        <v>2350</v>
      </c>
      <c r="C5329" s="49" t="s">
        <v>9580</v>
      </c>
      <c r="D5329" s="49" t="s">
        <v>2352</v>
      </c>
      <c r="E5329" s="49" t="str">
        <f aca="false">"734730225548"</f>
        <v>734730225548</v>
      </c>
      <c r="F5329" s="49" t="s">
        <v>2434</v>
      </c>
      <c r="G5329" s="49" t="n">
        <v>0</v>
      </c>
      <c r="H5329" s="0" t="n">
        <v>0</v>
      </c>
      <c r="M5329" s="51" t="s">
        <v>9544</v>
      </c>
      <c r="N5329" s="49" t="n">
        <v>0</v>
      </c>
      <c r="O5329" s="53" t="n">
        <v>45852.3741898148</v>
      </c>
      <c r="P5329" s="53" t="n">
        <v>45918.4942013889</v>
      </c>
      <c r="Q5329" s="53" t="n">
        <v>45852.3741898148</v>
      </c>
      <c r="R5329" s="0" t="n">
        <v>0</v>
      </c>
      <c r="S5329" s="51" t="s">
        <v>2416</v>
      </c>
      <c r="T5329" s="51" t="s">
        <v>2416</v>
      </c>
      <c r="U5329" s="0" t="str">
        <f aca="false">"734730225548"</f>
        <v>734730225548</v>
      </c>
      <c r="V5329" s="51" t="s">
        <v>2365</v>
      </c>
      <c r="W5329" s="51" t="s">
        <v>9575</v>
      </c>
      <c r="X5329" s="51" t="s">
        <v>2359</v>
      </c>
    </row>
    <row r="5330" customFormat="false" ht="14.25" hidden="true" customHeight="false" outlineLevel="0" collapsed="false">
      <c r="A5330" s="49" t="s">
        <v>2349</v>
      </c>
      <c r="B5330" s="49" t="s">
        <v>2350</v>
      </c>
      <c r="C5330" s="49" t="s">
        <v>9581</v>
      </c>
      <c r="D5330" s="49" t="s">
        <v>2352</v>
      </c>
      <c r="E5330" s="49" t="str">
        <f aca="false">"734730225548"</f>
        <v>734730225548</v>
      </c>
      <c r="F5330" s="49" t="s">
        <v>2434</v>
      </c>
      <c r="G5330" s="49" t="n">
        <v>0</v>
      </c>
      <c r="H5330" s="0" t="n">
        <v>0</v>
      </c>
      <c r="M5330" s="51" t="s">
        <v>9544</v>
      </c>
      <c r="N5330" s="49" t="n">
        <v>0</v>
      </c>
      <c r="O5330" s="53" t="n">
        <v>45852.3740972222</v>
      </c>
      <c r="P5330" s="53" t="n">
        <v>45902.8796296296</v>
      </c>
      <c r="Q5330" s="53" t="n">
        <v>45852.3740972222</v>
      </c>
      <c r="R5330" s="0" t="n">
        <v>0</v>
      </c>
      <c r="S5330" s="51" t="s">
        <v>2416</v>
      </c>
      <c r="T5330" s="51" t="s">
        <v>2416</v>
      </c>
      <c r="U5330" s="0" t="str">
        <f aca="false">"734730225548"</f>
        <v>734730225548</v>
      </c>
      <c r="V5330" s="51" t="s">
        <v>2365</v>
      </c>
      <c r="W5330" s="51" t="s">
        <v>9582</v>
      </c>
      <c r="X5330" s="51" t="s">
        <v>2359</v>
      </c>
    </row>
    <row r="5331" customFormat="false" ht="14.25" hidden="true" customHeight="false" outlineLevel="0" collapsed="false">
      <c r="A5331" s="49" t="s">
        <v>2349</v>
      </c>
      <c r="B5331" s="49" t="s">
        <v>2350</v>
      </c>
      <c r="C5331" s="49" t="s">
        <v>9583</v>
      </c>
      <c r="D5331" s="49" t="s">
        <v>2352</v>
      </c>
      <c r="E5331" s="49" t="str">
        <f aca="false">"734730225548"</f>
        <v>734730225548</v>
      </c>
      <c r="F5331" s="49" t="s">
        <v>2434</v>
      </c>
      <c r="G5331" s="49" t="n">
        <v>0</v>
      </c>
      <c r="H5331" s="0" t="n">
        <v>0</v>
      </c>
      <c r="M5331" s="51" t="s">
        <v>9544</v>
      </c>
      <c r="N5331" s="49" t="n">
        <v>0</v>
      </c>
      <c r="O5331" s="53" t="n">
        <v>45852.3739930556</v>
      </c>
      <c r="P5331" s="53" t="n">
        <v>45902.8812731481</v>
      </c>
      <c r="Q5331" s="53" t="n">
        <v>45852.3739930556</v>
      </c>
      <c r="R5331" s="0" t="n">
        <v>0</v>
      </c>
      <c r="S5331" s="51" t="s">
        <v>2416</v>
      </c>
      <c r="T5331" s="51" t="s">
        <v>2416</v>
      </c>
      <c r="U5331" s="0" t="str">
        <f aca="false">"734730225548"</f>
        <v>734730225548</v>
      </c>
      <c r="V5331" s="51" t="s">
        <v>2365</v>
      </c>
      <c r="W5331" s="51" t="s">
        <v>9584</v>
      </c>
      <c r="X5331" s="51" t="s">
        <v>2359</v>
      </c>
    </row>
    <row r="5332" customFormat="false" ht="14.25" hidden="true" customHeight="false" outlineLevel="0" collapsed="false">
      <c r="A5332" s="49" t="s">
        <v>2349</v>
      </c>
      <c r="B5332" s="49" t="s">
        <v>2350</v>
      </c>
      <c r="C5332" s="49" t="s">
        <v>9585</v>
      </c>
      <c r="D5332" s="49" t="s">
        <v>2352</v>
      </c>
      <c r="E5332" s="49" t="str">
        <f aca="false">"734730225548"</f>
        <v>734730225548</v>
      </c>
      <c r="F5332" s="49" t="s">
        <v>2434</v>
      </c>
      <c r="G5332" s="49" t="n">
        <v>0</v>
      </c>
      <c r="H5332" s="0" t="n">
        <v>0</v>
      </c>
      <c r="M5332" s="51" t="s">
        <v>9544</v>
      </c>
      <c r="N5332" s="49" t="n">
        <v>0</v>
      </c>
      <c r="O5332" s="53" t="n">
        <v>45852.3738773148</v>
      </c>
      <c r="P5332" s="53" t="n">
        <v>45902.8791782407</v>
      </c>
      <c r="Q5332" s="53" t="n">
        <v>45852.3738773148</v>
      </c>
      <c r="R5332" s="0" t="n">
        <v>0</v>
      </c>
      <c r="S5332" s="51" t="s">
        <v>2416</v>
      </c>
      <c r="T5332" s="51" t="s">
        <v>2416</v>
      </c>
      <c r="U5332" s="0" t="str">
        <f aca="false">"734730225548"</f>
        <v>734730225548</v>
      </c>
      <c r="V5332" s="51" t="s">
        <v>2365</v>
      </c>
      <c r="W5332" s="51" t="s">
        <v>7020</v>
      </c>
      <c r="X5332" s="51" t="s">
        <v>2359</v>
      </c>
    </row>
    <row r="5333" customFormat="false" ht="14.25" hidden="true" customHeight="false" outlineLevel="0" collapsed="false">
      <c r="A5333" s="49" t="s">
        <v>2349</v>
      </c>
      <c r="B5333" s="49" t="s">
        <v>2350</v>
      </c>
      <c r="C5333" s="49" t="s">
        <v>9586</v>
      </c>
      <c r="D5333" s="49" t="s">
        <v>2352</v>
      </c>
      <c r="E5333" s="49" t="str">
        <f aca="false">"734730225548"</f>
        <v>734730225548</v>
      </c>
      <c r="F5333" s="49" t="s">
        <v>2434</v>
      </c>
      <c r="G5333" s="49" t="n">
        <v>0</v>
      </c>
      <c r="H5333" s="0" t="n">
        <v>0</v>
      </c>
      <c r="M5333" s="51" t="s">
        <v>9544</v>
      </c>
      <c r="N5333" s="49" t="n">
        <v>0</v>
      </c>
      <c r="O5333" s="53" t="n">
        <v>45852.3737384259</v>
      </c>
      <c r="P5333" s="53" t="n">
        <v>45880.5619791667</v>
      </c>
      <c r="Q5333" s="53" t="n">
        <v>45852.3737384259</v>
      </c>
      <c r="R5333" s="0" t="n">
        <v>0</v>
      </c>
      <c r="S5333" s="51" t="s">
        <v>2416</v>
      </c>
      <c r="T5333" s="51" t="s">
        <v>2416</v>
      </c>
      <c r="U5333" s="0" t="str">
        <f aca="false">"734730225548"</f>
        <v>734730225548</v>
      </c>
      <c r="V5333" s="51" t="s">
        <v>2365</v>
      </c>
      <c r="W5333" s="51" t="s">
        <v>9587</v>
      </c>
      <c r="X5333" s="51" t="s">
        <v>2359</v>
      </c>
    </row>
    <row r="5334" customFormat="false" ht="14.25" hidden="true" customHeight="false" outlineLevel="0" collapsed="false">
      <c r="A5334" s="49" t="s">
        <v>2349</v>
      </c>
      <c r="B5334" s="49" t="s">
        <v>2350</v>
      </c>
      <c r="C5334" s="49" t="s">
        <v>9588</v>
      </c>
      <c r="D5334" s="49" t="s">
        <v>2352</v>
      </c>
      <c r="E5334" s="49" t="str">
        <f aca="false">"734730225548"</f>
        <v>734730225548</v>
      </c>
      <c r="F5334" s="49" t="s">
        <v>2434</v>
      </c>
      <c r="G5334" s="49" t="n">
        <v>0</v>
      </c>
      <c r="H5334" s="0" t="n">
        <v>0</v>
      </c>
      <c r="M5334" s="51" t="s">
        <v>9544</v>
      </c>
      <c r="N5334" s="49" t="n">
        <v>0</v>
      </c>
      <c r="O5334" s="53" t="n">
        <v>45852.3736111111</v>
      </c>
      <c r="P5334" s="53" t="n">
        <v>45856.4359375</v>
      </c>
      <c r="Q5334" s="53" t="n">
        <v>45852.3736111111</v>
      </c>
      <c r="R5334" s="0" t="n">
        <v>0</v>
      </c>
      <c r="S5334" s="51" t="s">
        <v>2416</v>
      </c>
      <c r="T5334" s="51" t="s">
        <v>2416</v>
      </c>
      <c r="U5334" s="0" t="str">
        <f aca="false">"734730225548"</f>
        <v>734730225548</v>
      </c>
      <c r="V5334" s="51" t="s">
        <v>2365</v>
      </c>
      <c r="W5334" s="51" t="s">
        <v>6240</v>
      </c>
      <c r="X5334" s="51" t="s">
        <v>2359</v>
      </c>
    </row>
    <row r="5335" customFormat="false" ht="14.25" hidden="true" customHeight="false" outlineLevel="0" collapsed="false">
      <c r="A5335" s="49" t="s">
        <v>2349</v>
      </c>
      <c r="B5335" s="49" t="s">
        <v>2350</v>
      </c>
      <c r="C5335" s="49" t="s">
        <v>9589</v>
      </c>
      <c r="D5335" s="49" t="s">
        <v>2352</v>
      </c>
      <c r="E5335" s="49" t="str">
        <f aca="false">"8908020441030"</f>
        <v>8908020441030</v>
      </c>
      <c r="F5335" s="49" t="s">
        <v>5384</v>
      </c>
      <c r="G5335" s="49" t="n">
        <v>0</v>
      </c>
      <c r="H5335" s="0" t="n">
        <v>0</v>
      </c>
      <c r="M5335" s="51" t="s">
        <v>9590</v>
      </c>
      <c r="N5335" s="49" t="n">
        <v>0</v>
      </c>
      <c r="O5335" s="53" t="n">
        <v>45880.6169907407</v>
      </c>
      <c r="P5335" s="53" t="n">
        <v>45963.669849537</v>
      </c>
      <c r="Q5335" s="53" t="n">
        <v>45880.6169907407</v>
      </c>
      <c r="R5335" s="0" t="n">
        <v>0</v>
      </c>
      <c r="S5335" s="51" t="s">
        <v>2356</v>
      </c>
      <c r="T5335" s="51" t="s">
        <v>2356</v>
      </c>
      <c r="U5335" s="0" t="str">
        <f aca="false">"8908020441030"</f>
        <v>8908020441030</v>
      </c>
      <c r="V5335" s="51" t="s">
        <v>5386</v>
      </c>
      <c r="W5335" s="51" t="s">
        <v>4361</v>
      </c>
      <c r="X5335" s="51" t="s">
        <v>2359</v>
      </c>
    </row>
    <row r="5336" customFormat="false" ht="14.25" hidden="true" customHeight="false" outlineLevel="0" collapsed="false">
      <c r="A5336" s="49" t="s">
        <v>2349</v>
      </c>
      <c r="B5336" s="49" t="s">
        <v>2350</v>
      </c>
      <c r="C5336" s="49" t="s">
        <v>9591</v>
      </c>
      <c r="D5336" s="49" t="s">
        <v>2352</v>
      </c>
      <c r="E5336" s="49" t="str">
        <f aca="false">"12464079"</f>
        <v>12464079</v>
      </c>
      <c r="F5336" s="49" t="s">
        <v>4706</v>
      </c>
      <c r="G5336" s="49" t="n">
        <v>0</v>
      </c>
      <c r="H5336" s="0" t="n">
        <v>0</v>
      </c>
      <c r="M5336" s="51" t="s">
        <v>9592</v>
      </c>
      <c r="N5336" s="49" t="n">
        <v>0</v>
      </c>
      <c r="O5336" s="53" t="n">
        <v>45851.5526157407</v>
      </c>
      <c r="P5336" s="53" t="n">
        <v>45852.812025463</v>
      </c>
      <c r="Q5336" s="53" t="n">
        <v>45851.5526157407</v>
      </c>
      <c r="R5336" s="0" t="n">
        <v>0</v>
      </c>
      <c r="S5336" s="51" t="s">
        <v>2401</v>
      </c>
      <c r="T5336" s="51" t="s">
        <v>2401</v>
      </c>
      <c r="U5336" s="0" t="str">
        <f aca="false">"12464079"</f>
        <v>12464079</v>
      </c>
      <c r="V5336" s="51" t="s">
        <v>2365</v>
      </c>
      <c r="W5336" s="51" t="s">
        <v>6025</v>
      </c>
      <c r="X5336" s="51" t="s">
        <v>2359</v>
      </c>
    </row>
    <row r="5337" customFormat="false" ht="14.25" hidden="true" customHeight="false" outlineLevel="0" collapsed="false">
      <c r="A5337" s="49" t="s">
        <v>2349</v>
      </c>
      <c r="B5337" s="49" t="s">
        <v>2350</v>
      </c>
      <c r="C5337" s="49" t="s">
        <v>9593</v>
      </c>
      <c r="D5337" s="49" t="s">
        <v>2352</v>
      </c>
      <c r="E5337" s="49" t="str">
        <f aca="false">"12464079"</f>
        <v>12464079</v>
      </c>
      <c r="F5337" s="49" t="s">
        <v>4706</v>
      </c>
      <c r="G5337" s="49" t="n">
        <v>0</v>
      </c>
      <c r="H5337" s="0" t="n">
        <v>0</v>
      </c>
      <c r="M5337" s="51" t="s">
        <v>9592</v>
      </c>
      <c r="N5337" s="49" t="n">
        <v>0</v>
      </c>
      <c r="O5337" s="53" t="n">
        <v>45851.5530092593</v>
      </c>
      <c r="P5337" s="53" t="n">
        <v>45858.9137615741</v>
      </c>
      <c r="Q5337" s="53" t="n">
        <v>45851.5530092593</v>
      </c>
      <c r="R5337" s="0" t="n">
        <v>0</v>
      </c>
      <c r="S5337" s="51" t="s">
        <v>2401</v>
      </c>
      <c r="T5337" s="51" t="s">
        <v>2401</v>
      </c>
      <c r="U5337" s="0" t="str">
        <f aca="false">"12464079"</f>
        <v>12464079</v>
      </c>
      <c r="V5337" s="51" t="s">
        <v>2365</v>
      </c>
      <c r="W5337" s="51" t="s">
        <v>9594</v>
      </c>
      <c r="X5337" s="51" t="s">
        <v>2359</v>
      </c>
    </row>
    <row r="5338" customFormat="false" ht="14.25" hidden="true" customHeight="false" outlineLevel="0" collapsed="false">
      <c r="A5338" s="49" t="s">
        <v>2349</v>
      </c>
      <c r="B5338" s="49" t="s">
        <v>2350</v>
      </c>
      <c r="C5338" s="49" t="s">
        <v>9595</v>
      </c>
      <c r="D5338" s="49" t="s">
        <v>2352</v>
      </c>
      <c r="E5338" s="49" t="str">
        <f aca="false">"12464079"</f>
        <v>12464079</v>
      </c>
      <c r="F5338" s="49" t="s">
        <v>4706</v>
      </c>
      <c r="G5338" s="49" t="n">
        <v>0</v>
      </c>
      <c r="H5338" s="0" t="n">
        <v>0</v>
      </c>
      <c r="M5338" s="51" t="s">
        <v>9592</v>
      </c>
      <c r="N5338" s="49" t="n">
        <v>0</v>
      </c>
      <c r="O5338" s="53" t="n">
        <v>45851.5532291667</v>
      </c>
      <c r="P5338" s="53" t="n">
        <v>45852.5557986111</v>
      </c>
      <c r="Q5338" s="53" t="n">
        <v>45851.5532291667</v>
      </c>
      <c r="R5338" s="0" t="n">
        <v>0</v>
      </c>
      <c r="S5338" s="51" t="s">
        <v>2401</v>
      </c>
      <c r="T5338" s="51" t="s">
        <v>2401</v>
      </c>
      <c r="U5338" s="0" t="str">
        <f aca="false">"12464079"</f>
        <v>12464079</v>
      </c>
      <c r="V5338" s="51" t="s">
        <v>2365</v>
      </c>
      <c r="W5338" s="51" t="s">
        <v>4076</v>
      </c>
      <c r="X5338" s="51" t="s">
        <v>2359</v>
      </c>
    </row>
    <row r="5339" customFormat="false" ht="14.25" hidden="true" customHeight="false" outlineLevel="0" collapsed="false">
      <c r="A5339" s="49" t="s">
        <v>2349</v>
      </c>
      <c r="B5339" s="49" t="s">
        <v>2350</v>
      </c>
      <c r="C5339" s="49" t="s">
        <v>9596</v>
      </c>
      <c r="D5339" s="49" t="s">
        <v>2352</v>
      </c>
      <c r="E5339" s="49" t="str">
        <f aca="false">"734730225548"</f>
        <v>734730225548</v>
      </c>
      <c r="F5339" s="49" t="s">
        <v>2434</v>
      </c>
      <c r="G5339" s="49" t="n">
        <v>0</v>
      </c>
      <c r="H5339" s="0" t="n">
        <v>0</v>
      </c>
      <c r="M5339" s="51" t="s">
        <v>9597</v>
      </c>
      <c r="N5339" s="49" t="n">
        <v>0</v>
      </c>
      <c r="O5339" s="53" t="n">
        <v>45852.3857638889</v>
      </c>
      <c r="P5339" s="53" t="n">
        <v>45935.923587963</v>
      </c>
      <c r="Q5339" s="53" t="n">
        <v>45852.3857638889</v>
      </c>
      <c r="R5339" s="0" t="n">
        <v>0</v>
      </c>
      <c r="S5339" s="51" t="s">
        <v>2416</v>
      </c>
      <c r="T5339" s="51" t="s">
        <v>2416</v>
      </c>
      <c r="U5339" s="0" t="str">
        <f aca="false">"734730225548"</f>
        <v>734730225548</v>
      </c>
      <c r="V5339" s="51" t="s">
        <v>2365</v>
      </c>
      <c r="W5339" s="51" t="s">
        <v>9598</v>
      </c>
      <c r="X5339" s="51" t="s">
        <v>2359</v>
      </c>
    </row>
    <row r="5340" customFormat="false" ht="14.25" hidden="true" customHeight="false" outlineLevel="0" collapsed="false">
      <c r="A5340" s="49" t="s">
        <v>2349</v>
      </c>
      <c r="B5340" s="49" t="s">
        <v>2350</v>
      </c>
      <c r="C5340" s="49" t="s">
        <v>9599</v>
      </c>
      <c r="D5340" s="49" t="s">
        <v>2352</v>
      </c>
      <c r="E5340" s="49" t="str">
        <f aca="false">"734730225548"</f>
        <v>734730225548</v>
      </c>
      <c r="F5340" s="49" t="s">
        <v>2434</v>
      </c>
      <c r="G5340" s="49" t="n">
        <v>0</v>
      </c>
      <c r="H5340" s="0" t="n">
        <v>0</v>
      </c>
      <c r="M5340" s="51" t="s">
        <v>9597</v>
      </c>
      <c r="N5340" s="49" t="n">
        <v>0</v>
      </c>
      <c r="O5340" s="53" t="n">
        <v>45852.3856481482</v>
      </c>
      <c r="P5340" s="53" t="n">
        <v>45879.7857407407</v>
      </c>
      <c r="Q5340" s="53" t="n">
        <v>45852.3856481482</v>
      </c>
      <c r="R5340" s="0" t="n">
        <v>0</v>
      </c>
      <c r="S5340" s="51" t="s">
        <v>2416</v>
      </c>
      <c r="T5340" s="51" t="s">
        <v>2416</v>
      </c>
      <c r="U5340" s="0" t="str">
        <f aca="false">"734730225548"</f>
        <v>734730225548</v>
      </c>
      <c r="V5340" s="51" t="s">
        <v>2365</v>
      </c>
      <c r="W5340" s="51" t="s">
        <v>9600</v>
      </c>
      <c r="X5340" s="51" t="s">
        <v>2359</v>
      </c>
    </row>
    <row r="5341" customFormat="false" ht="14.25" hidden="true" customHeight="false" outlineLevel="0" collapsed="false">
      <c r="A5341" s="49" t="s">
        <v>2349</v>
      </c>
      <c r="B5341" s="49" t="s">
        <v>2350</v>
      </c>
      <c r="C5341" s="49" t="s">
        <v>9601</v>
      </c>
      <c r="D5341" s="49" t="s">
        <v>2352</v>
      </c>
      <c r="E5341" s="49" t="str">
        <f aca="false">"734730225548"</f>
        <v>734730225548</v>
      </c>
      <c r="F5341" s="49" t="s">
        <v>2434</v>
      </c>
      <c r="G5341" s="49" t="n">
        <v>0</v>
      </c>
      <c r="H5341" s="0" t="n">
        <v>0</v>
      </c>
      <c r="M5341" s="51" t="s">
        <v>9597</v>
      </c>
      <c r="N5341" s="49" t="n">
        <v>0</v>
      </c>
      <c r="O5341" s="53" t="n">
        <v>45852.3855671296</v>
      </c>
      <c r="P5341" s="53" t="n">
        <v>45879.7858333333</v>
      </c>
      <c r="Q5341" s="53" t="n">
        <v>45852.3855671296</v>
      </c>
      <c r="R5341" s="0" t="n">
        <v>0</v>
      </c>
      <c r="S5341" s="51" t="s">
        <v>2416</v>
      </c>
      <c r="T5341" s="51" t="s">
        <v>2416</v>
      </c>
      <c r="U5341" s="0" t="str">
        <f aca="false">"734730225548"</f>
        <v>734730225548</v>
      </c>
      <c r="V5341" s="51" t="s">
        <v>2365</v>
      </c>
      <c r="W5341" s="51" t="s">
        <v>9602</v>
      </c>
      <c r="X5341" s="51" t="s">
        <v>2359</v>
      </c>
    </row>
    <row r="5342" customFormat="false" ht="14.25" hidden="true" customHeight="false" outlineLevel="0" collapsed="false">
      <c r="A5342" s="49" t="s">
        <v>2349</v>
      </c>
      <c r="B5342" s="49" t="s">
        <v>2350</v>
      </c>
      <c r="C5342" s="49" t="s">
        <v>9603</v>
      </c>
      <c r="D5342" s="49" t="s">
        <v>2352</v>
      </c>
      <c r="E5342" s="49" t="str">
        <f aca="false">"734730225548"</f>
        <v>734730225548</v>
      </c>
      <c r="F5342" s="49" t="s">
        <v>2434</v>
      </c>
      <c r="G5342" s="49" t="n">
        <v>0</v>
      </c>
      <c r="H5342" s="0" t="n">
        <v>0</v>
      </c>
      <c r="M5342" s="51" t="s">
        <v>9597</v>
      </c>
      <c r="N5342" s="49" t="n">
        <v>0</v>
      </c>
      <c r="O5342" s="53" t="n">
        <v>45852.3854282407</v>
      </c>
      <c r="P5342" s="53" t="n">
        <v>45879.7856365741</v>
      </c>
      <c r="Q5342" s="53" t="n">
        <v>45852.3854282407</v>
      </c>
      <c r="R5342" s="0" t="n">
        <v>0</v>
      </c>
      <c r="S5342" s="51" t="s">
        <v>2416</v>
      </c>
      <c r="T5342" s="51" t="s">
        <v>2416</v>
      </c>
      <c r="U5342" s="0" t="str">
        <f aca="false">"734730225548"</f>
        <v>734730225548</v>
      </c>
      <c r="V5342" s="51" t="s">
        <v>2365</v>
      </c>
      <c r="W5342" s="51" t="s">
        <v>9604</v>
      </c>
      <c r="X5342" s="51" t="s">
        <v>2359</v>
      </c>
    </row>
    <row r="5343" customFormat="false" ht="14.25" hidden="true" customHeight="false" outlineLevel="0" collapsed="false">
      <c r="A5343" s="49" t="s">
        <v>2349</v>
      </c>
      <c r="B5343" s="49" t="s">
        <v>2350</v>
      </c>
      <c r="C5343" s="49" t="s">
        <v>9605</v>
      </c>
      <c r="D5343" s="49" t="s">
        <v>2352</v>
      </c>
      <c r="E5343" s="49" t="str">
        <f aca="false">"734730225548"</f>
        <v>734730225548</v>
      </c>
      <c r="F5343" s="49" t="s">
        <v>2434</v>
      </c>
      <c r="G5343" s="49" t="n">
        <v>0</v>
      </c>
      <c r="H5343" s="0" t="n">
        <v>0</v>
      </c>
      <c r="M5343" s="51" t="s">
        <v>9597</v>
      </c>
      <c r="N5343" s="49" t="n">
        <v>0</v>
      </c>
      <c r="O5343" s="53" t="n">
        <v>45852.3849074074</v>
      </c>
      <c r="P5343" s="53" t="n">
        <v>45879.7855324074</v>
      </c>
      <c r="Q5343" s="53" t="n">
        <v>45852.3849074074</v>
      </c>
      <c r="R5343" s="0" t="n">
        <v>0</v>
      </c>
      <c r="S5343" s="51" t="s">
        <v>2416</v>
      </c>
      <c r="T5343" s="51" t="s">
        <v>2416</v>
      </c>
      <c r="U5343" s="0" t="str">
        <f aca="false">"734730225548"</f>
        <v>734730225548</v>
      </c>
      <c r="V5343" s="51" t="s">
        <v>2365</v>
      </c>
      <c r="W5343" s="51" t="s">
        <v>9606</v>
      </c>
      <c r="X5343" s="51" t="s">
        <v>2359</v>
      </c>
    </row>
    <row r="5344" customFormat="false" ht="14.25" hidden="true" customHeight="false" outlineLevel="0" collapsed="false">
      <c r="A5344" s="49" t="s">
        <v>2349</v>
      </c>
      <c r="B5344" s="49" t="s">
        <v>2350</v>
      </c>
      <c r="C5344" s="49" t="s">
        <v>9607</v>
      </c>
      <c r="D5344" s="49" t="s">
        <v>2352</v>
      </c>
      <c r="E5344" s="49" t="str">
        <f aca="false">"734730225548"</f>
        <v>734730225548</v>
      </c>
      <c r="F5344" s="49" t="s">
        <v>2434</v>
      </c>
      <c r="G5344" s="49" t="n">
        <v>0</v>
      </c>
      <c r="H5344" s="0" t="n">
        <v>0</v>
      </c>
      <c r="M5344" s="51" t="s">
        <v>9597</v>
      </c>
      <c r="N5344" s="49" t="n">
        <v>0</v>
      </c>
      <c r="O5344" s="53" t="n">
        <v>45852.3848032407</v>
      </c>
      <c r="P5344" s="53" t="n">
        <v>45993.770162037</v>
      </c>
      <c r="Q5344" s="53" t="n">
        <v>45852.3848032407</v>
      </c>
      <c r="R5344" s="0" t="n">
        <v>0</v>
      </c>
      <c r="S5344" s="51" t="s">
        <v>2416</v>
      </c>
      <c r="T5344" s="51" t="s">
        <v>2416</v>
      </c>
      <c r="U5344" s="0" t="str">
        <f aca="false">"734730225548"</f>
        <v>734730225548</v>
      </c>
      <c r="V5344" s="51" t="s">
        <v>2365</v>
      </c>
      <c r="W5344" s="51" t="s">
        <v>9608</v>
      </c>
      <c r="X5344" s="51" t="s">
        <v>2359</v>
      </c>
    </row>
    <row r="5345" customFormat="false" ht="14.25" hidden="true" customHeight="false" outlineLevel="0" collapsed="false">
      <c r="A5345" s="49" t="s">
        <v>2349</v>
      </c>
      <c r="B5345" s="49" t="s">
        <v>2350</v>
      </c>
      <c r="C5345" s="49" t="s">
        <v>9609</v>
      </c>
      <c r="D5345" s="49" t="s">
        <v>2352</v>
      </c>
      <c r="E5345" s="49" t="str">
        <f aca="false">"734730225548"</f>
        <v>734730225548</v>
      </c>
      <c r="F5345" s="49" t="s">
        <v>2434</v>
      </c>
      <c r="G5345" s="49" t="n">
        <v>0</v>
      </c>
      <c r="H5345" s="0" t="n">
        <v>0</v>
      </c>
      <c r="M5345" s="51" t="s">
        <v>9597</v>
      </c>
      <c r="N5345" s="49" t="n">
        <v>0</v>
      </c>
      <c r="O5345" s="53" t="n">
        <v>45852.3847222222</v>
      </c>
      <c r="P5345" s="53" t="n">
        <v>45927.5583101852</v>
      </c>
      <c r="Q5345" s="53" t="n">
        <v>45852.3847222222</v>
      </c>
      <c r="R5345" s="0" t="n">
        <v>0</v>
      </c>
      <c r="S5345" s="51" t="s">
        <v>2416</v>
      </c>
      <c r="T5345" s="51" t="s">
        <v>2416</v>
      </c>
      <c r="U5345" s="0" t="str">
        <f aca="false">"734730225548"</f>
        <v>734730225548</v>
      </c>
      <c r="V5345" s="51" t="s">
        <v>2365</v>
      </c>
      <c r="W5345" s="51" t="s">
        <v>8696</v>
      </c>
      <c r="X5345" s="51" t="s">
        <v>2359</v>
      </c>
    </row>
    <row r="5346" customFormat="false" ht="14.25" hidden="true" customHeight="false" outlineLevel="0" collapsed="false">
      <c r="A5346" s="49" t="s">
        <v>2349</v>
      </c>
      <c r="B5346" s="49" t="s">
        <v>2350</v>
      </c>
      <c r="C5346" s="49" t="s">
        <v>9610</v>
      </c>
      <c r="D5346" s="49" t="s">
        <v>2352</v>
      </c>
      <c r="E5346" s="49" t="str">
        <f aca="false">"734730225548"</f>
        <v>734730225548</v>
      </c>
      <c r="F5346" s="49" t="s">
        <v>2434</v>
      </c>
      <c r="G5346" s="49" t="n">
        <v>0</v>
      </c>
      <c r="H5346" s="0" t="n">
        <v>0</v>
      </c>
      <c r="M5346" s="51" t="s">
        <v>9597</v>
      </c>
      <c r="N5346" s="49" t="n">
        <v>0</v>
      </c>
      <c r="O5346" s="53" t="n">
        <v>45852.3860532407</v>
      </c>
      <c r="P5346" s="53" t="n">
        <v>45918.7569675926</v>
      </c>
      <c r="Q5346" s="53" t="n">
        <v>45852.3860532407</v>
      </c>
      <c r="R5346" s="0" t="n">
        <v>0</v>
      </c>
      <c r="S5346" s="51" t="s">
        <v>2416</v>
      </c>
      <c r="T5346" s="51" t="s">
        <v>2416</v>
      </c>
      <c r="U5346" s="0" t="str">
        <f aca="false">"734730225548"</f>
        <v>734730225548</v>
      </c>
      <c r="V5346" s="51" t="s">
        <v>2365</v>
      </c>
      <c r="W5346" s="51" t="s">
        <v>8482</v>
      </c>
      <c r="X5346" s="51" t="s">
        <v>2359</v>
      </c>
    </row>
    <row r="5347" customFormat="false" ht="14.25" hidden="true" customHeight="false" outlineLevel="0" collapsed="false">
      <c r="A5347" s="49" t="s">
        <v>2349</v>
      </c>
      <c r="B5347" s="49" t="s">
        <v>2350</v>
      </c>
      <c r="C5347" s="49" t="s">
        <v>9611</v>
      </c>
      <c r="D5347" s="49" t="s">
        <v>2352</v>
      </c>
      <c r="E5347" s="49" t="str">
        <f aca="false">"734730225548"</f>
        <v>734730225548</v>
      </c>
      <c r="F5347" s="49" t="s">
        <v>2434</v>
      </c>
      <c r="G5347" s="49" t="n">
        <v>0</v>
      </c>
      <c r="H5347" s="0" t="n">
        <v>0</v>
      </c>
      <c r="M5347" s="51" t="s">
        <v>9597</v>
      </c>
      <c r="N5347" s="49" t="n">
        <v>0</v>
      </c>
      <c r="O5347" s="53" t="n">
        <v>45852.3845949074</v>
      </c>
      <c r="P5347" s="53" t="n">
        <v>45913.7858449074</v>
      </c>
      <c r="Q5347" s="53" t="n">
        <v>45852.3845949074</v>
      </c>
      <c r="R5347" s="0" t="n">
        <v>0</v>
      </c>
      <c r="S5347" s="51" t="s">
        <v>2416</v>
      </c>
      <c r="T5347" s="51" t="s">
        <v>2416</v>
      </c>
      <c r="U5347" s="0" t="str">
        <f aca="false">"734730225548"</f>
        <v>734730225548</v>
      </c>
      <c r="V5347" s="51" t="s">
        <v>2365</v>
      </c>
      <c r="W5347" s="51" t="s">
        <v>4773</v>
      </c>
      <c r="X5347" s="51" t="s">
        <v>2359</v>
      </c>
    </row>
    <row r="5348" customFormat="false" ht="14.25" hidden="true" customHeight="false" outlineLevel="0" collapsed="false">
      <c r="A5348" s="49" t="s">
        <v>2349</v>
      </c>
      <c r="B5348" s="49" t="s">
        <v>2350</v>
      </c>
      <c r="C5348" s="49" t="s">
        <v>9612</v>
      </c>
      <c r="D5348" s="49" t="s">
        <v>2352</v>
      </c>
      <c r="E5348" s="49" t="str">
        <f aca="false">"734730225548"</f>
        <v>734730225548</v>
      </c>
      <c r="F5348" s="49" t="s">
        <v>2434</v>
      </c>
      <c r="G5348" s="49" t="n">
        <v>0</v>
      </c>
      <c r="H5348" s="0" t="n">
        <v>0</v>
      </c>
      <c r="M5348" s="51" t="s">
        <v>9597</v>
      </c>
      <c r="N5348" s="49" t="n">
        <v>0</v>
      </c>
      <c r="O5348" s="53" t="n">
        <v>45852.3844791667</v>
      </c>
      <c r="P5348" s="53" t="n">
        <v>45942.7928703704</v>
      </c>
      <c r="Q5348" s="53" t="n">
        <v>45852.3844791667</v>
      </c>
      <c r="R5348" s="0" t="n">
        <v>0</v>
      </c>
      <c r="S5348" s="51" t="s">
        <v>2416</v>
      </c>
      <c r="T5348" s="51" t="s">
        <v>2416</v>
      </c>
      <c r="U5348" s="0" t="str">
        <f aca="false">"734730225548"</f>
        <v>734730225548</v>
      </c>
      <c r="V5348" s="51" t="s">
        <v>2365</v>
      </c>
      <c r="W5348" s="51" t="s">
        <v>9613</v>
      </c>
      <c r="X5348" s="51" t="s">
        <v>2359</v>
      </c>
    </row>
    <row r="5349" customFormat="false" ht="14.25" hidden="true" customHeight="false" outlineLevel="0" collapsed="false">
      <c r="A5349" s="49" t="s">
        <v>2349</v>
      </c>
      <c r="B5349" s="49" t="s">
        <v>2350</v>
      </c>
      <c r="C5349" s="49" t="s">
        <v>9614</v>
      </c>
      <c r="D5349" s="49" t="s">
        <v>2352</v>
      </c>
      <c r="E5349" s="49" t="str">
        <f aca="false">"734730225548"</f>
        <v>734730225548</v>
      </c>
      <c r="F5349" s="49" t="s">
        <v>2434</v>
      </c>
      <c r="G5349" s="49" t="n">
        <v>0</v>
      </c>
      <c r="H5349" s="0" t="n">
        <v>0</v>
      </c>
      <c r="M5349" s="51" t="s">
        <v>9597</v>
      </c>
      <c r="N5349" s="49" t="n">
        <v>0</v>
      </c>
      <c r="O5349" s="53" t="n">
        <v>45852.3862152778</v>
      </c>
      <c r="P5349" s="53" t="n">
        <v>45900.4675115741</v>
      </c>
      <c r="Q5349" s="53" t="n">
        <v>45852.3862152778</v>
      </c>
      <c r="R5349" s="0" t="n">
        <v>0</v>
      </c>
      <c r="S5349" s="51" t="s">
        <v>2416</v>
      </c>
      <c r="T5349" s="51" t="s">
        <v>2416</v>
      </c>
      <c r="U5349" s="0" t="str">
        <f aca="false">"734730225548"</f>
        <v>734730225548</v>
      </c>
      <c r="V5349" s="51" t="s">
        <v>2365</v>
      </c>
      <c r="W5349" s="51" t="s">
        <v>5885</v>
      </c>
      <c r="X5349" s="51" t="s">
        <v>2359</v>
      </c>
    </row>
    <row r="5350" customFormat="false" ht="14.25" hidden="true" customHeight="false" outlineLevel="0" collapsed="false">
      <c r="A5350" s="49" t="s">
        <v>2349</v>
      </c>
      <c r="B5350" s="49" t="s">
        <v>2350</v>
      </c>
      <c r="C5350" s="49" t="s">
        <v>9615</v>
      </c>
      <c r="D5350" s="49" t="s">
        <v>2352</v>
      </c>
      <c r="E5350" s="49" t="str">
        <f aca="false">"734730225548"</f>
        <v>734730225548</v>
      </c>
      <c r="F5350" s="49" t="s">
        <v>2434</v>
      </c>
      <c r="G5350" s="49" t="n">
        <v>0</v>
      </c>
      <c r="H5350" s="0" t="n">
        <v>0</v>
      </c>
      <c r="M5350" s="51" t="s">
        <v>9597</v>
      </c>
      <c r="N5350" s="49" t="n">
        <v>0</v>
      </c>
      <c r="O5350" s="53" t="n">
        <v>45852.3843518519</v>
      </c>
      <c r="P5350" s="53" t="n">
        <v>45856.4367824074</v>
      </c>
      <c r="Q5350" s="53" t="n">
        <v>45852.3843518519</v>
      </c>
      <c r="R5350" s="0" t="n">
        <v>0</v>
      </c>
      <c r="S5350" s="51" t="s">
        <v>2416</v>
      </c>
      <c r="T5350" s="51" t="s">
        <v>2416</v>
      </c>
      <c r="U5350" s="0" t="str">
        <f aca="false">"734730225548"</f>
        <v>734730225548</v>
      </c>
      <c r="V5350" s="51" t="s">
        <v>2365</v>
      </c>
      <c r="W5350" s="51" t="s">
        <v>6304</v>
      </c>
      <c r="X5350" s="51" t="s">
        <v>2359</v>
      </c>
    </row>
    <row r="5351" customFormat="false" ht="14.25" hidden="true" customHeight="false" outlineLevel="0" collapsed="false">
      <c r="A5351" s="49" t="s">
        <v>2349</v>
      </c>
      <c r="B5351" s="49" t="s">
        <v>2350</v>
      </c>
      <c r="C5351" s="49" t="s">
        <v>9616</v>
      </c>
      <c r="D5351" s="49" t="s">
        <v>2352</v>
      </c>
      <c r="E5351" s="49" t="str">
        <f aca="false">"734730225548"</f>
        <v>734730225548</v>
      </c>
      <c r="F5351" s="49" t="s">
        <v>2434</v>
      </c>
      <c r="G5351" s="49" t="n">
        <v>0</v>
      </c>
      <c r="H5351" s="0" t="n">
        <v>0</v>
      </c>
      <c r="M5351" s="51" t="s">
        <v>9597</v>
      </c>
      <c r="N5351" s="49" t="n">
        <v>0</v>
      </c>
      <c r="O5351" s="53" t="n">
        <v>45852.3863425926</v>
      </c>
      <c r="P5351" s="53" t="n">
        <v>45855.9186689815</v>
      </c>
      <c r="Q5351" s="53" t="n">
        <v>45852.3863425926</v>
      </c>
      <c r="R5351" s="0" t="n">
        <v>0</v>
      </c>
      <c r="S5351" s="51" t="s">
        <v>2416</v>
      </c>
      <c r="T5351" s="51" t="s">
        <v>2416</v>
      </c>
      <c r="U5351" s="0" t="str">
        <f aca="false">"734730225548"</f>
        <v>734730225548</v>
      </c>
      <c r="V5351" s="51" t="s">
        <v>2365</v>
      </c>
      <c r="W5351" s="51" t="s">
        <v>6593</v>
      </c>
      <c r="X5351" s="51" t="s">
        <v>2359</v>
      </c>
    </row>
    <row r="5352" customFormat="false" ht="14.25" hidden="true" customHeight="false" outlineLevel="0" collapsed="false">
      <c r="A5352" s="49" t="s">
        <v>2349</v>
      </c>
      <c r="B5352" s="49" t="s">
        <v>2350</v>
      </c>
      <c r="C5352" s="49" t="s">
        <v>9617</v>
      </c>
      <c r="D5352" s="49" t="s">
        <v>2352</v>
      </c>
      <c r="E5352" s="49" t="str">
        <f aca="false">"734730225548"</f>
        <v>734730225548</v>
      </c>
      <c r="F5352" s="49" t="s">
        <v>2434</v>
      </c>
      <c r="G5352" s="49" t="n">
        <v>0</v>
      </c>
      <c r="H5352" s="0" t="n">
        <v>0</v>
      </c>
      <c r="M5352" s="51" t="s">
        <v>9597</v>
      </c>
      <c r="N5352" s="49" t="n">
        <v>0</v>
      </c>
      <c r="O5352" s="53" t="n">
        <v>45852.3842708333</v>
      </c>
      <c r="P5352" s="53" t="n">
        <v>45856.4372685185</v>
      </c>
      <c r="Q5352" s="53" t="n">
        <v>45852.3842708333</v>
      </c>
      <c r="R5352" s="0" t="n">
        <v>0</v>
      </c>
      <c r="S5352" s="51" t="s">
        <v>2416</v>
      </c>
      <c r="T5352" s="51" t="s">
        <v>2416</v>
      </c>
      <c r="U5352" s="0" t="str">
        <f aca="false">"734730225548"</f>
        <v>734730225548</v>
      </c>
      <c r="V5352" s="51" t="s">
        <v>2365</v>
      </c>
      <c r="W5352" s="51" t="s">
        <v>5230</v>
      </c>
      <c r="X5352" s="51" t="s">
        <v>2359</v>
      </c>
    </row>
    <row r="5353" customFormat="false" ht="14.25" hidden="true" customHeight="false" outlineLevel="0" collapsed="false">
      <c r="A5353" s="49" t="s">
        <v>2349</v>
      </c>
      <c r="B5353" s="49" t="s">
        <v>2350</v>
      </c>
      <c r="C5353" s="49" t="s">
        <v>9618</v>
      </c>
      <c r="D5353" s="49" t="s">
        <v>2352</v>
      </c>
      <c r="E5353" s="49" t="str">
        <f aca="false">"734730225548"</f>
        <v>734730225548</v>
      </c>
      <c r="F5353" s="49" t="s">
        <v>2434</v>
      </c>
      <c r="G5353" s="49" t="n">
        <v>0</v>
      </c>
      <c r="H5353" s="0" t="n">
        <v>0</v>
      </c>
      <c r="M5353" s="51" t="s">
        <v>9597</v>
      </c>
      <c r="N5353" s="49" t="n">
        <v>0</v>
      </c>
      <c r="O5353" s="53" t="n">
        <v>45852.3864583333</v>
      </c>
      <c r="P5353" s="53" t="n">
        <v>45942.7938657407</v>
      </c>
      <c r="Q5353" s="53" t="n">
        <v>45852.3864583333</v>
      </c>
      <c r="R5353" s="0" t="n">
        <v>0</v>
      </c>
      <c r="S5353" s="51" t="s">
        <v>2416</v>
      </c>
      <c r="T5353" s="51" t="s">
        <v>2416</v>
      </c>
      <c r="U5353" s="0" t="str">
        <f aca="false">"734730225548"</f>
        <v>734730225548</v>
      </c>
      <c r="V5353" s="51" t="s">
        <v>2365</v>
      </c>
      <c r="W5353" s="51" t="s">
        <v>9619</v>
      </c>
      <c r="X5353" s="51" t="s">
        <v>2359</v>
      </c>
    </row>
    <row r="5354" customFormat="false" ht="14.25" hidden="true" customHeight="false" outlineLevel="0" collapsed="false">
      <c r="A5354" s="49" t="s">
        <v>2349</v>
      </c>
      <c r="B5354" s="49" t="s">
        <v>2350</v>
      </c>
      <c r="C5354" s="49" t="s">
        <v>9620</v>
      </c>
      <c r="D5354" s="49" t="s">
        <v>2352</v>
      </c>
      <c r="E5354" s="49" t="str">
        <f aca="false">"734730225548"</f>
        <v>734730225548</v>
      </c>
      <c r="F5354" s="49" t="s">
        <v>2434</v>
      </c>
      <c r="G5354" s="49" t="n">
        <v>0</v>
      </c>
      <c r="H5354" s="0" t="n">
        <v>0</v>
      </c>
      <c r="M5354" s="51" t="s">
        <v>9597</v>
      </c>
      <c r="N5354" s="49" t="n">
        <v>0</v>
      </c>
      <c r="O5354" s="53" t="n">
        <v>45852.3841898148</v>
      </c>
      <c r="P5354" s="53" t="n">
        <v>45856.4377662037</v>
      </c>
      <c r="Q5354" s="53" t="n">
        <v>45852.3841898148</v>
      </c>
      <c r="R5354" s="0" t="n">
        <v>0</v>
      </c>
      <c r="S5354" s="51" t="s">
        <v>2416</v>
      </c>
      <c r="T5354" s="51" t="s">
        <v>2416</v>
      </c>
      <c r="U5354" s="0" t="str">
        <f aca="false">"734730225548"</f>
        <v>734730225548</v>
      </c>
      <c r="V5354" s="51" t="s">
        <v>2365</v>
      </c>
      <c r="W5354" s="51" t="s">
        <v>5361</v>
      </c>
      <c r="X5354" s="51" t="s">
        <v>2359</v>
      </c>
    </row>
    <row r="5355" customFormat="false" ht="14.25" hidden="true" customHeight="false" outlineLevel="0" collapsed="false">
      <c r="A5355" s="49" t="s">
        <v>2349</v>
      </c>
      <c r="B5355" s="49" t="s">
        <v>2350</v>
      </c>
      <c r="C5355" s="49" t="s">
        <v>9621</v>
      </c>
      <c r="D5355" s="49" t="s">
        <v>2352</v>
      </c>
      <c r="E5355" s="49" t="str">
        <f aca="false">"734730225548"</f>
        <v>734730225548</v>
      </c>
      <c r="F5355" s="49" t="s">
        <v>2434</v>
      </c>
      <c r="G5355" s="49" t="n">
        <v>0</v>
      </c>
      <c r="H5355" s="0" t="n">
        <v>0</v>
      </c>
      <c r="M5355" s="51" t="s">
        <v>9597</v>
      </c>
      <c r="N5355" s="49" t="n">
        <v>0</v>
      </c>
      <c r="O5355" s="53" t="n">
        <v>45852.3867013889</v>
      </c>
      <c r="P5355" s="53" t="n">
        <v>45855.9193865741</v>
      </c>
      <c r="Q5355" s="53" t="n">
        <v>45852.3867013889</v>
      </c>
      <c r="R5355" s="0" t="n">
        <v>0</v>
      </c>
      <c r="S5355" s="51" t="s">
        <v>2416</v>
      </c>
      <c r="T5355" s="51" t="s">
        <v>2416</v>
      </c>
      <c r="U5355" s="0" t="str">
        <f aca="false">"734730225548"</f>
        <v>734730225548</v>
      </c>
      <c r="V5355" s="51" t="s">
        <v>2365</v>
      </c>
      <c r="W5355" s="51" t="s">
        <v>7492</v>
      </c>
      <c r="X5355" s="51" t="s">
        <v>2359</v>
      </c>
    </row>
    <row r="5356" customFormat="false" ht="14.25" hidden="true" customHeight="false" outlineLevel="0" collapsed="false">
      <c r="A5356" s="49" t="s">
        <v>2349</v>
      </c>
      <c r="B5356" s="49" t="s">
        <v>2350</v>
      </c>
      <c r="C5356" s="49" t="s">
        <v>9622</v>
      </c>
      <c r="D5356" s="49" t="s">
        <v>2352</v>
      </c>
      <c r="E5356" s="49" t="str">
        <f aca="false">"734730225548"</f>
        <v>734730225548</v>
      </c>
      <c r="F5356" s="49" t="s">
        <v>2434</v>
      </c>
      <c r="G5356" s="49" t="n">
        <v>0</v>
      </c>
      <c r="H5356" s="0" t="n">
        <v>0</v>
      </c>
      <c r="M5356" s="51" t="s">
        <v>9597</v>
      </c>
      <c r="N5356" s="49" t="n">
        <v>0</v>
      </c>
      <c r="O5356" s="53" t="n">
        <v>45852.3840972222</v>
      </c>
      <c r="P5356" s="53" t="n">
        <v>45856.4383217593</v>
      </c>
      <c r="Q5356" s="53" t="n">
        <v>45852.3840972222</v>
      </c>
      <c r="R5356" s="0" t="n">
        <v>0</v>
      </c>
      <c r="S5356" s="51" t="s">
        <v>2416</v>
      </c>
      <c r="T5356" s="51" t="s">
        <v>2416</v>
      </c>
      <c r="U5356" s="0" t="str">
        <f aca="false">"734730225548"</f>
        <v>734730225548</v>
      </c>
      <c r="V5356" s="51" t="s">
        <v>2365</v>
      </c>
      <c r="W5356" s="51" t="s">
        <v>5226</v>
      </c>
      <c r="X5356" s="51" t="s">
        <v>2359</v>
      </c>
    </row>
    <row r="5357" customFormat="false" ht="14.25" hidden="true" customHeight="false" outlineLevel="0" collapsed="false">
      <c r="A5357" s="49" t="s">
        <v>2349</v>
      </c>
      <c r="B5357" s="49" t="s">
        <v>2350</v>
      </c>
      <c r="C5357" s="49" t="s">
        <v>9623</v>
      </c>
      <c r="D5357" s="49" t="s">
        <v>2352</v>
      </c>
      <c r="E5357" s="49" t="str">
        <f aca="false">"734730225548"</f>
        <v>734730225548</v>
      </c>
      <c r="F5357" s="49" t="s">
        <v>2434</v>
      </c>
      <c r="G5357" s="49" t="n">
        <v>0</v>
      </c>
      <c r="H5357" s="0" t="n">
        <v>0</v>
      </c>
      <c r="M5357" s="51" t="s">
        <v>9597</v>
      </c>
      <c r="N5357" s="49" t="n">
        <v>0</v>
      </c>
      <c r="O5357" s="53" t="n">
        <v>45852.3840046296</v>
      </c>
      <c r="P5357" s="53" t="n">
        <v>45856.4390162037</v>
      </c>
      <c r="Q5357" s="53" t="n">
        <v>45852.3840046296</v>
      </c>
      <c r="R5357" s="0" t="n">
        <v>0</v>
      </c>
      <c r="S5357" s="51" t="s">
        <v>2416</v>
      </c>
      <c r="T5357" s="51" t="s">
        <v>2416</v>
      </c>
      <c r="U5357" s="0" t="str">
        <f aca="false">"734730225548"</f>
        <v>734730225548</v>
      </c>
      <c r="V5357" s="51" t="s">
        <v>2365</v>
      </c>
      <c r="W5357" s="51" t="s">
        <v>5334</v>
      </c>
      <c r="X5357" s="51" t="s">
        <v>2359</v>
      </c>
    </row>
    <row r="5358" customFormat="false" ht="14.25" hidden="true" customHeight="false" outlineLevel="0" collapsed="false">
      <c r="A5358" s="49" t="s">
        <v>2349</v>
      </c>
      <c r="B5358" s="49" t="s">
        <v>2350</v>
      </c>
      <c r="C5358" s="49" t="s">
        <v>9624</v>
      </c>
      <c r="D5358" s="49" t="s">
        <v>2352</v>
      </c>
      <c r="E5358" s="49" t="str">
        <f aca="false">"734730225548"</f>
        <v>734730225548</v>
      </c>
      <c r="F5358" s="49" t="s">
        <v>2434</v>
      </c>
      <c r="G5358" s="49" t="n">
        <v>0</v>
      </c>
      <c r="H5358" s="0" t="n">
        <v>0</v>
      </c>
      <c r="M5358" s="51" t="s">
        <v>9597</v>
      </c>
      <c r="N5358" s="49" t="n">
        <v>0</v>
      </c>
      <c r="O5358" s="53" t="n">
        <v>45852.383912037</v>
      </c>
      <c r="P5358" s="53" t="n">
        <v>45856.4398611111</v>
      </c>
      <c r="Q5358" s="53" t="n">
        <v>45852.383900463</v>
      </c>
      <c r="R5358" s="0" t="n">
        <v>0</v>
      </c>
      <c r="S5358" s="51" t="s">
        <v>2416</v>
      </c>
      <c r="T5358" s="51" t="s">
        <v>2416</v>
      </c>
      <c r="U5358" s="0" t="str">
        <f aca="false">"734730225548"</f>
        <v>734730225548</v>
      </c>
      <c r="V5358" s="51" t="s">
        <v>2365</v>
      </c>
      <c r="W5358" s="51" t="s">
        <v>5336</v>
      </c>
      <c r="X5358" s="51" t="s">
        <v>2359</v>
      </c>
    </row>
    <row r="5359" customFormat="false" ht="14.25" hidden="true" customHeight="false" outlineLevel="0" collapsed="false">
      <c r="A5359" s="49" t="s">
        <v>2349</v>
      </c>
      <c r="B5359" s="49" t="s">
        <v>2350</v>
      </c>
      <c r="C5359" s="49" t="s">
        <v>9625</v>
      </c>
      <c r="D5359" s="49" t="s">
        <v>2352</v>
      </c>
      <c r="E5359" s="49" t="str">
        <f aca="false">"734730225548"</f>
        <v>734730225548</v>
      </c>
      <c r="F5359" s="49" t="s">
        <v>2434</v>
      </c>
      <c r="G5359" s="49" t="n">
        <v>0</v>
      </c>
      <c r="H5359" s="0" t="n">
        <v>0</v>
      </c>
      <c r="M5359" s="51" t="s">
        <v>9597</v>
      </c>
      <c r="N5359" s="49" t="n">
        <v>0</v>
      </c>
      <c r="O5359" s="53" t="n">
        <v>45852.3837962963</v>
      </c>
      <c r="P5359" s="53" t="n">
        <v>45856.4405787037</v>
      </c>
      <c r="Q5359" s="53" t="n">
        <v>45852.3837962963</v>
      </c>
      <c r="R5359" s="0" t="n">
        <v>0</v>
      </c>
      <c r="S5359" s="51" t="s">
        <v>2416</v>
      </c>
      <c r="T5359" s="51" t="s">
        <v>2416</v>
      </c>
      <c r="U5359" s="0" t="str">
        <f aca="false">"734730225548"</f>
        <v>734730225548</v>
      </c>
      <c r="V5359" s="51" t="s">
        <v>2365</v>
      </c>
      <c r="W5359" s="51" t="s">
        <v>5338</v>
      </c>
      <c r="X5359" s="51" t="s">
        <v>2359</v>
      </c>
    </row>
    <row r="5360" customFormat="false" ht="14.25" hidden="true" customHeight="false" outlineLevel="0" collapsed="false">
      <c r="A5360" s="49" t="s">
        <v>2349</v>
      </c>
      <c r="B5360" s="49" t="s">
        <v>2350</v>
      </c>
      <c r="C5360" s="49" t="s">
        <v>9626</v>
      </c>
      <c r="D5360" s="49" t="s">
        <v>2352</v>
      </c>
      <c r="E5360" s="49" t="str">
        <f aca="false">"734730225548"</f>
        <v>734730225548</v>
      </c>
      <c r="F5360" s="49" t="s">
        <v>2434</v>
      </c>
      <c r="G5360" s="49" t="n">
        <v>0</v>
      </c>
      <c r="H5360" s="0" t="n">
        <v>0</v>
      </c>
      <c r="M5360" s="51" t="s">
        <v>9597</v>
      </c>
      <c r="N5360" s="49" t="n">
        <v>0</v>
      </c>
      <c r="O5360" s="53" t="n">
        <v>45852.3837152778</v>
      </c>
      <c r="P5360" s="53" t="n">
        <v>45855.9080439815</v>
      </c>
      <c r="Q5360" s="53" t="n">
        <v>45852.3837152778</v>
      </c>
      <c r="R5360" s="0" t="n">
        <v>0</v>
      </c>
      <c r="S5360" s="51" t="s">
        <v>2416</v>
      </c>
      <c r="T5360" s="51" t="s">
        <v>2416</v>
      </c>
      <c r="U5360" s="0" t="str">
        <f aca="false">"734730225548"</f>
        <v>734730225548</v>
      </c>
      <c r="V5360" s="51" t="s">
        <v>2365</v>
      </c>
      <c r="W5360" s="51" t="s">
        <v>5340</v>
      </c>
      <c r="X5360" s="51" t="s">
        <v>2359</v>
      </c>
    </row>
    <row r="5361" customFormat="false" ht="14.25" hidden="true" customHeight="false" outlineLevel="0" collapsed="false">
      <c r="A5361" s="49" t="s">
        <v>2349</v>
      </c>
      <c r="B5361" s="49" t="s">
        <v>2350</v>
      </c>
      <c r="C5361" s="49" t="s">
        <v>9627</v>
      </c>
      <c r="D5361" s="49" t="s">
        <v>2352</v>
      </c>
      <c r="E5361" s="49" t="str">
        <f aca="false">"734730225548"</f>
        <v>734730225548</v>
      </c>
      <c r="F5361" s="49" t="s">
        <v>2434</v>
      </c>
      <c r="G5361" s="49" t="n">
        <v>0</v>
      </c>
      <c r="H5361" s="0" t="n">
        <v>0</v>
      </c>
      <c r="M5361" s="51" t="s">
        <v>9597</v>
      </c>
      <c r="N5361" s="49" t="n">
        <v>0</v>
      </c>
      <c r="O5361" s="53" t="n">
        <v>45852.3835532407</v>
      </c>
      <c r="P5361" s="53" t="n">
        <v>45855.9085763889</v>
      </c>
      <c r="Q5361" s="53" t="n">
        <v>45852.3835532407</v>
      </c>
      <c r="R5361" s="0" t="n">
        <v>0</v>
      </c>
      <c r="S5361" s="51" t="s">
        <v>2416</v>
      </c>
      <c r="T5361" s="51" t="s">
        <v>2416</v>
      </c>
      <c r="U5361" s="0" t="str">
        <f aca="false">"734730225548"</f>
        <v>734730225548</v>
      </c>
      <c r="V5361" s="51" t="s">
        <v>2365</v>
      </c>
      <c r="W5361" s="51" t="s">
        <v>5342</v>
      </c>
      <c r="X5361" s="51" t="s">
        <v>2359</v>
      </c>
    </row>
    <row r="5362" customFormat="false" ht="14.25" hidden="true" customHeight="false" outlineLevel="0" collapsed="false">
      <c r="A5362" s="49" t="s">
        <v>2349</v>
      </c>
      <c r="B5362" s="49" t="s">
        <v>2350</v>
      </c>
      <c r="C5362" s="49" t="s">
        <v>9628</v>
      </c>
      <c r="D5362" s="49" t="s">
        <v>2352</v>
      </c>
      <c r="E5362" s="49" t="str">
        <f aca="false">"734730225548"</f>
        <v>734730225548</v>
      </c>
      <c r="F5362" s="49" t="s">
        <v>2434</v>
      </c>
      <c r="G5362" s="49" t="n">
        <v>0</v>
      </c>
      <c r="H5362" s="0" t="n">
        <v>0</v>
      </c>
      <c r="M5362" s="51" t="s">
        <v>9597</v>
      </c>
      <c r="N5362" s="49" t="n">
        <v>0</v>
      </c>
      <c r="O5362" s="53" t="n">
        <v>45852.3833796296</v>
      </c>
      <c r="P5362" s="53" t="n">
        <v>45856.4411574074</v>
      </c>
      <c r="Q5362" s="53" t="n">
        <v>45852.3833796296</v>
      </c>
      <c r="R5362" s="0" t="n">
        <v>0</v>
      </c>
      <c r="S5362" s="51" t="s">
        <v>2416</v>
      </c>
      <c r="T5362" s="51" t="s">
        <v>2416</v>
      </c>
      <c r="U5362" s="0" t="str">
        <f aca="false">"734730225548"</f>
        <v>734730225548</v>
      </c>
      <c r="V5362" s="51" t="s">
        <v>2365</v>
      </c>
      <c r="W5362" s="51" t="s">
        <v>6405</v>
      </c>
      <c r="X5362" s="51" t="s">
        <v>2359</v>
      </c>
    </row>
    <row r="5363" customFormat="false" ht="14.25" hidden="true" customHeight="false" outlineLevel="0" collapsed="false">
      <c r="A5363" s="49" t="s">
        <v>2349</v>
      </c>
      <c r="B5363" s="49" t="s">
        <v>2350</v>
      </c>
      <c r="C5363" s="49" t="s">
        <v>9629</v>
      </c>
      <c r="D5363" s="49" t="s">
        <v>2352</v>
      </c>
      <c r="E5363" s="49" t="str">
        <f aca="false">"734730225548"</f>
        <v>734730225548</v>
      </c>
      <c r="F5363" s="49" t="s">
        <v>2434</v>
      </c>
      <c r="G5363" s="49" t="n">
        <v>0</v>
      </c>
      <c r="H5363" s="0" t="n">
        <v>0</v>
      </c>
      <c r="M5363" s="51" t="s">
        <v>9597</v>
      </c>
      <c r="N5363" s="49" t="n">
        <v>0</v>
      </c>
      <c r="O5363" s="53" t="n">
        <v>45852.382962963</v>
      </c>
      <c r="P5363" s="53" t="n">
        <v>45856.4422916667</v>
      </c>
      <c r="Q5363" s="53" t="n">
        <v>45852.382962963</v>
      </c>
      <c r="R5363" s="0" t="n">
        <v>0</v>
      </c>
      <c r="S5363" s="51" t="s">
        <v>2416</v>
      </c>
      <c r="T5363" s="51" t="s">
        <v>2416</v>
      </c>
      <c r="U5363" s="0" t="str">
        <f aca="false">"734730225548"</f>
        <v>734730225548</v>
      </c>
      <c r="V5363" s="51" t="s">
        <v>2365</v>
      </c>
      <c r="W5363" s="51" t="s">
        <v>5346</v>
      </c>
      <c r="X5363" s="51" t="s">
        <v>2359</v>
      </c>
    </row>
    <row r="5364" customFormat="false" ht="14.25" hidden="true" customHeight="false" outlineLevel="0" collapsed="false">
      <c r="A5364" s="49" t="s">
        <v>2349</v>
      </c>
      <c r="B5364" s="49" t="s">
        <v>2350</v>
      </c>
      <c r="C5364" s="49" t="s">
        <v>9630</v>
      </c>
      <c r="D5364" s="49" t="s">
        <v>2352</v>
      </c>
      <c r="E5364" s="49" t="str">
        <f aca="false">"734730225548"</f>
        <v>734730225548</v>
      </c>
      <c r="F5364" s="49" t="s">
        <v>2434</v>
      </c>
      <c r="G5364" s="49" t="n">
        <v>0</v>
      </c>
      <c r="H5364" s="0" t="n">
        <v>0</v>
      </c>
      <c r="M5364" s="51" t="s">
        <v>9597</v>
      </c>
      <c r="N5364" s="49" t="n">
        <v>0</v>
      </c>
      <c r="O5364" s="53" t="n">
        <v>45852.3828587963</v>
      </c>
      <c r="P5364" s="53" t="n">
        <v>45855.9098148148</v>
      </c>
      <c r="Q5364" s="53" t="n">
        <v>45852.3828587963</v>
      </c>
      <c r="R5364" s="0" t="n">
        <v>0</v>
      </c>
      <c r="S5364" s="51" t="s">
        <v>2416</v>
      </c>
      <c r="T5364" s="51" t="s">
        <v>2416</v>
      </c>
      <c r="U5364" s="0" t="str">
        <f aca="false">"734730225548"</f>
        <v>734730225548</v>
      </c>
      <c r="V5364" s="51" t="s">
        <v>2365</v>
      </c>
      <c r="W5364" s="51" t="s">
        <v>5348</v>
      </c>
      <c r="X5364" s="51" t="s">
        <v>2359</v>
      </c>
    </row>
    <row r="5365" customFormat="false" ht="14.25" hidden="true" customHeight="false" outlineLevel="0" collapsed="false">
      <c r="A5365" s="49" t="s">
        <v>2349</v>
      </c>
      <c r="B5365" s="49" t="s">
        <v>2350</v>
      </c>
      <c r="C5365" s="49" t="s">
        <v>9631</v>
      </c>
      <c r="D5365" s="49" t="s">
        <v>2352</v>
      </c>
      <c r="E5365" s="49" t="str">
        <f aca="false">"734730225548"</f>
        <v>734730225548</v>
      </c>
      <c r="F5365" s="49" t="s">
        <v>2434</v>
      </c>
      <c r="G5365" s="49" t="n">
        <v>0</v>
      </c>
      <c r="H5365" s="0" t="n">
        <v>0</v>
      </c>
      <c r="M5365" s="51" t="s">
        <v>9597</v>
      </c>
      <c r="N5365" s="49" t="n">
        <v>0</v>
      </c>
      <c r="O5365" s="53" t="n">
        <v>45852.3827546296</v>
      </c>
      <c r="P5365" s="53" t="n">
        <v>45855.9112268519</v>
      </c>
      <c r="Q5365" s="53" t="n">
        <v>45852.3827546296</v>
      </c>
      <c r="R5365" s="0" t="n">
        <v>0</v>
      </c>
      <c r="S5365" s="51" t="s">
        <v>2416</v>
      </c>
      <c r="T5365" s="51" t="s">
        <v>2416</v>
      </c>
      <c r="U5365" s="0" t="str">
        <f aca="false">"734730225548"</f>
        <v>734730225548</v>
      </c>
      <c r="V5365" s="51" t="s">
        <v>2365</v>
      </c>
      <c r="W5365" s="51" t="s">
        <v>5350</v>
      </c>
      <c r="X5365" s="51" t="s">
        <v>2359</v>
      </c>
    </row>
    <row r="5366" customFormat="false" ht="14.25" hidden="true" customHeight="false" outlineLevel="0" collapsed="false">
      <c r="A5366" s="49" t="s">
        <v>2349</v>
      </c>
      <c r="B5366" s="49" t="s">
        <v>2350</v>
      </c>
      <c r="C5366" s="49" t="s">
        <v>9632</v>
      </c>
      <c r="D5366" s="49" t="s">
        <v>2352</v>
      </c>
      <c r="E5366" s="49" t="str">
        <f aca="false">"734730225548"</f>
        <v>734730225548</v>
      </c>
      <c r="F5366" s="49" t="s">
        <v>2434</v>
      </c>
      <c r="G5366" s="49" t="n">
        <v>0</v>
      </c>
      <c r="H5366" s="0" t="n">
        <v>0</v>
      </c>
      <c r="M5366" s="51" t="s">
        <v>9597</v>
      </c>
      <c r="N5366" s="49" t="n">
        <v>0</v>
      </c>
      <c r="O5366" s="53" t="n">
        <v>45852.3826388889</v>
      </c>
      <c r="P5366" s="53" t="n">
        <v>45856.4432986111</v>
      </c>
      <c r="Q5366" s="53" t="n">
        <v>45852.3826388889</v>
      </c>
      <c r="R5366" s="0" t="n">
        <v>0</v>
      </c>
      <c r="S5366" s="51" t="s">
        <v>2416</v>
      </c>
      <c r="T5366" s="51" t="s">
        <v>2416</v>
      </c>
      <c r="U5366" s="0" t="str">
        <f aca="false">"734730225548"</f>
        <v>734730225548</v>
      </c>
      <c r="V5366" s="51" t="s">
        <v>2365</v>
      </c>
      <c r="W5366" s="51" t="s">
        <v>5352</v>
      </c>
      <c r="X5366" s="51" t="s">
        <v>2359</v>
      </c>
    </row>
    <row r="5367" customFormat="false" ht="14.25" hidden="true" customHeight="false" outlineLevel="0" collapsed="false">
      <c r="A5367" s="49" t="s">
        <v>2349</v>
      </c>
      <c r="B5367" s="49" t="s">
        <v>2350</v>
      </c>
      <c r="C5367" s="49" t="s">
        <v>9633</v>
      </c>
      <c r="D5367" s="49" t="s">
        <v>2352</v>
      </c>
      <c r="E5367" s="49" t="str">
        <f aca="false">"734730225548"</f>
        <v>734730225548</v>
      </c>
      <c r="F5367" s="49" t="s">
        <v>2434</v>
      </c>
      <c r="G5367" s="49" t="n">
        <v>0</v>
      </c>
      <c r="H5367" s="0" t="n">
        <v>0</v>
      </c>
      <c r="M5367" s="51" t="s">
        <v>9597</v>
      </c>
      <c r="N5367" s="49" t="n">
        <v>0</v>
      </c>
      <c r="O5367" s="53" t="n">
        <v>45852.3825462963</v>
      </c>
      <c r="P5367" s="53" t="n">
        <v>45856.4440162037</v>
      </c>
      <c r="Q5367" s="53" t="n">
        <v>45852.3825462963</v>
      </c>
      <c r="R5367" s="0" t="n">
        <v>0</v>
      </c>
      <c r="S5367" s="51" t="s">
        <v>2416</v>
      </c>
      <c r="T5367" s="51" t="s">
        <v>2416</v>
      </c>
      <c r="U5367" s="0" t="str">
        <f aca="false">"734730225548"</f>
        <v>734730225548</v>
      </c>
      <c r="V5367" s="51" t="s">
        <v>2365</v>
      </c>
      <c r="W5367" s="51" t="s">
        <v>5354</v>
      </c>
      <c r="X5367" s="51" t="s">
        <v>2359</v>
      </c>
    </row>
    <row r="5368" customFormat="false" ht="14.25" hidden="true" customHeight="false" outlineLevel="0" collapsed="false">
      <c r="A5368" s="49" t="s">
        <v>2349</v>
      </c>
      <c r="B5368" s="49" t="s">
        <v>2350</v>
      </c>
      <c r="C5368" s="49" t="s">
        <v>9634</v>
      </c>
      <c r="D5368" s="49" t="s">
        <v>2352</v>
      </c>
      <c r="E5368" s="49" t="str">
        <f aca="false">"734730225548"</f>
        <v>734730225548</v>
      </c>
      <c r="F5368" s="49" t="s">
        <v>2434</v>
      </c>
      <c r="G5368" s="49" t="n">
        <v>0</v>
      </c>
      <c r="H5368" s="0" t="n">
        <v>0</v>
      </c>
      <c r="M5368" s="51" t="s">
        <v>9597</v>
      </c>
      <c r="N5368" s="49" t="n">
        <v>0</v>
      </c>
      <c r="O5368" s="53" t="n">
        <v>45852.3824305556</v>
      </c>
      <c r="P5368" s="53" t="n">
        <v>45867.7362268519</v>
      </c>
      <c r="Q5368" s="53" t="n">
        <v>45852.3824305556</v>
      </c>
      <c r="R5368" s="0" t="n">
        <v>0</v>
      </c>
      <c r="S5368" s="51" t="s">
        <v>2416</v>
      </c>
      <c r="T5368" s="51" t="s">
        <v>2416</v>
      </c>
      <c r="U5368" s="0" t="str">
        <f aca="false">"734730225548"</f>
        <v>734730225548</v>
      </c>
      <c r="V5368" s="51" t="s">
        <v>2365</v>
      </c>
      <c r="W5368" s="51" t="s">
        <v>5356</v>
      </c>
      <c r="X5368" s="51" t="s">
        <v>2359</v>
      </c>
    </row>
    <row r="5369" customFormat="false" ht="14.25" hidden="true" customHeight="false" outlineLevel="0" collapsed="false">
      <c r="A5369" s="49" t="s">
        <v>2349</v>
      </c>
      <c r="B5369" s="49" t="s">
        <v>2350</v>
      </c>
      <c r="C5369" s="49" t="s">
        <v>9635</v>
      </c>
      <c r="D5369" s="49" t="s">
        <v>2352</v>
      </c>
      <c r="E5369" s="49" t="str">
        <f aca="false">"734730225548"</f>
        <v>734730225548</v>
      </c>
      <c r="F5369" s="49" t="s">
        <v>2434</v>
      </c>
      <c r="G5369" s="49" t="n">
        <v>0</v>
      </c>
      <c r="H5369" s="0" t="n">
        <v>0</v>
      </c>
      <c r="M5369" s="51" t="s">
        <v>9597</v>
      </c>
      <c r="N5369" s="49" t="n">
        <v>0</v>
      </c>
      <c r="O5369" s="53" t="n">
        <v>45852.3819907407</v>
      </c>
      <c r="P5369" s="53" t="n">
        <v>45856.4452546296</v>
      </c>
      <c r="Q5369" s="53" t="n">
        <v>45852.3819907407</v>
      </c>
      <c r="R5369" s="0" t="n">
        <v>0</v>
      </c>
      <c r="S5369" s="51" t="s">
        <v>2416</v>
      </c>
      <c r="T5369" s="51" t="s">
        <v>2416</v>
      </c>
      <c r="U5369" s="0" t="str">
        <f aca="false">"734730225548"</f>
        <v>734730225548</v>
      </c>
      <c r="V5369" s="51" t="s">
        <v>2365</v>
      </c>
      <c r="W5369" s="51" t="s">
        <v>4677</v>
      </c>
      <c r="X5369" s="51" t="s">
        <v>2359</v>
      </c>
    </row>
    <row r="5370" customFormat="false" ht="14.25" hidden="true" customHeight="false" outlineLevel="0" collapsed="false">
      <c r="A5370" s="49" t="s">
        <v>2349</v>
      </c>
      <c r="B5370" s="49" t="s">
        <v>2350</v>
      </c>
      <c r="C5370" s="49" t="s">
        <v>9636</v>
      </c>
      <c r="D5370" s="49" t="s">
        <v>2352</v>
      </c>
      <c r="E5370" s="49" t="str">
        <f aca="false">"734730225548"</f>
        <v>734730225548</v>
      </c>
      <c r="F5370" s="49" t="s">
        <v>2434</v>
      </c>
      <c r="G5370" s="49" t="n">
        <v>0</v>
      </c>
      <c r="H5370" s="0" t="n">
        <v>0</v>
      </c>
      <c r="M5370" s="51" t="s">
        <v>9597</v>
      </c>
      <c r="N5370" s="49" t="n">
        <v>0</v>
      </c>
      <c r="O5370" s="53" t="n">
        <v>45852.381875</v>
      </c>
      <c r="P5370" s="53" t="n">
        <v>45872.8791782407</v>
      </c>
      <c r="Q5370" s="53" t="n">
        <v>45852.381875</v>
      </c>
      <c r="R5370" s="0" t="n">
        <v>0</v>
      </c>
      <c r="S5370" s="51" t="s">
        <v>2416</v>
      </c>
      <c r="T5370" s="51" t="s">
        <v>2416</v>
      </c>
      <c r="U5370" s="0" t="str">
        <f aca="false">"734730225548"</f>
        <v>734730225548</v>
      </c>
      <c r="V5370" s="51" t="s">
        <v>2365</v>
      </c>
      <c r="W5370" s="51" t="s">
        <v>9637</v>
      </c>
      <c r="X5370" s="51" t="s">
        <v>2359</v>
      </c>
    </row>
    <row r="5371" customFormat="false" ht="14.25" hidden="true" customHeight="false" outlineLevel="0" collapsed="false">
      <c r="A5371" s="49" t="s">
        <v>2349</v>
      </c>
      <c r="B5371" s="49" t="s">
        <v>2350</v>
      </c>
      <c r="C5371" s="49" t="s">
        <v>9638</v>
      </c>
      <c r="D5371" s="49" t="s">
        <v>2352</v>
      </c>
      <c r="E5371" s="49" t="str">
        <f aca="false">"734730225548"</f>
        <v>734730225548</v>
      </c>
      <c r="F5371" s="49" t="s">
        <v>2434</v>
      </c>
      <c r="G5371" s="49" t="n">
        <v>0</v>
      </c>
      <c r="H5371" s="0" t="n">
        <v>0</v>
      </c>
      <c r="M5371" s="51" t="s">
        <v>9597</v>
      </c>
      <c r="N5371" s="49" t="n">
        <v>0</v>
      </c>
      <c r="O5371" s="53" t="n">
        <v>45852.3817592593</v>
      </c>
      <c r="P5371" s="53" t="n">
        <v>45900.4687037037</v>
      </c>
      <c r="Q5371" s="53" t="n">
        <v>45852.3817592593</v>
      </c>
      <c r="R5371" s="0" t="n">
        <v>0</v>
      </c>
      <c r="S5371" s="51" t="s">
        <v>2416</v>
      </c>
      <c r="T5371" s="51" t="s">
        <v>2416</v>
      </c>
      <c r="U5371" s="0" t="str">
        <f aca="false">"734730225548"</f>
        <v>734730225548</v>
      </c>
      <c r="V5371" s="51" t="s">
        <v>2365</v>
      </c>
      <c r="W5371" s="51" t="s">
        <v>9639</v>
      </c>
      <c r="X5371" s="51" t="s">
        <v>2359</v>
      </c>
    </row>
    <row r="5372" customFormat="false" ht="14.25" hidden="true" customHeight="false" outlineLevel="0" collapsed="false">
      <c r="A5372" s="49" t="s">
        <v>2349</v>
      </c>
      <c r="B5372" s="49" t="s">
        <v>2350</v>
      </c>
      <c r="C5372" s="49" t="s">
        <v>9640</v>
      </c>
      <c r="D5372" s="49" t="s">
        <v>2352</v>
      </c>
      <c r="E5372" s="49" t="str">
        <f aca="false">"734730225548"</f>
        <v>734730225548</v>
      </c>
      <c r="F5372" s="49" t="s">
        <v>2434</v>
      </c>
      <c r="G5372" s="49" t="n">
        <v>0</v>
      </c>
      <c r="H5372" s="0" t="n">
        <v>0</v>
      </c>
      <c r="M5372" s="51" t="s">
        <v>9597</v>
      </c>
      <c r="N5372" s="49" t="n">
        <v>0</v>
      </c>
      <c r="O5372" s="53" t="n">
        <v>45852.3815162037</v>
      </c>
      <c r="P5372" s="53" t="n">
        <v>45855.9165393519</v>
      </c>
      <c r="Q5372" s="53" t="n">
        <v>45852.3815162037</v>
      </c>
      <c r="R5372" s="0" t="n">
        <v>0</v>
      </c>
      <c r="S5372" s="51" t="s">
        <v>2416</v>
      </c>
      <c r="T5372" s="51" t="s">
        <v>2416</v>
      </c>
      <c r="U5372" s="0" t="str">
        <f aca="false">"734730225548"</f>
        <v>734730225548</v>
      </c>
      <c r="V5372" s="51" t="s">
        <v>2365</v>
      </c>
      <c r="W5372" s="51" t="s">
        <v>6595</v>
      </c>
      <c r="X5372" s="51" t="s">
        <v>2359</v>
      </c>
    </row>
    <row r="5373" customFormat="false" ht="14.25" hidden="true" customHeight="false" outlineLevel="0" collapsed="false">
      <c r="A5373" s="49" t="s">
        <v>2349</v>
      </c>
      <c r="B5373" s="49" t="s">
        <v>2350</v>
      </c>
      <c r="C5373" s="49" t="s">
        <v>9641</v>
      </c>
      <c r="D5373" s="49" t="s">
        <v>2352</v>
      </c>
      <c r="E5373" s="49" t="str">
        <f aca="false">"041500819389"</f>
        <v>041500819389</v>
      </c>
      <c r="F5373" s="49" t="s">
        <v>6674</v>
      </c>
      <c r="G5373" s="49" t="n">
        <v>0</v>
      </c>
      <c r="H5373" s="0" t="n">
        <v>0</v>
      </c>
      <c r="M5373" s="51" t="s">
        <v>9642</v>
      </c>
      <c r="N5373" s="49" t="n">
        <v>0</v>
      </c>
      <c r="O5373" s="53" t="n">
        <v>45872.6071296296</v>
      </c>
      <c r="P5373" s="53" t="n">
        <v>46001.1832175926</v>
      </c>
      <c r="Q5373" s="53" t="n">
        <v>45872.6071296296</v>
      </c>
      <c r="R5373" s="0" t="n">
        <v>0</v>
      </c>
      <c r="S5373" s="51" t="s">
        <v>2401</v>
      </c>
      <c r="T5373" s="51" t="s">
        <v>2401</v>
      </c>
      <c r="U5373" s="0" t="str">
        <f aca="false">"041500819389"</f>
        <v>041500819389</v>
      </c>
      <c r="V5373" s="51" t="s">
        <v>2365</v>
      </c>
      <c r="W5373" s="51" t="s">
        <v>9643</v>
      </c>
      <c r="X5373" s="51" t="s">
        <v>2359</v>
      </c>
    </row>
    <row r="5374" customFormat="false" ht="14.25" hidden="true" customHeight="false" outlineLevel="0" collapsed="false">
      <c r="A5374" s="49" t="s">
        <v>2349</v>
      </c>
      <c r="B5374" s="49" t="s">
        <v>2350</v>
      </c>
      <c r="C5374" s="49" t="s">
        <v>9644</v>
      </c>
      <c r="D5374" s="49" t="s">
        <v>2352</v>
      </c>
      <c r="E5374" s="49" t="str">
        <f aca="false">"5942326400643"</f>
        <v>5942326400643</v>
      </c>
      <c r="F5374" s="49" t="s">
        <v>5687</v>
      </c>
      <c r="G5374" s="49" t="n">
        <v>0</v>
      </c>
      <c r="H5374" s="0" t="n">
        <v>0</v>
      </c>
      <c r="M5374" s="51" t="s">
        <v>9645</v>
      </c>
      <c r="N5374" s="49" t="n">
        <v>0</v>
      </c>
      <c r="O5374" s="53" t="n">
        <v>45875.6448032407</v>
      </c>
      <c r="P5374" s="53" t="n">
        <v>45936.7778935185</v>
      </c>
      <c r="Q5374" s="53" t="n">
        <v>45875.6448032407</v>
      </c>
      <c r="R5374" s="0" t="n">
        <v>0</v>
      </c>
      <c r="S5374" s="51" t="s">
        <v>2401</v>
      </c>
      <c r="T5374" s="51" t="s">
        <v>2401</v>
      </c>
      <c r="U5374" s="0" t="str">
        <f aca="false">"5942326400643"</f>
        <v>5942326400643</v>
      </c>
      <c r="V5374" s="51" t="s">
        <v>2365</v>
      </c>
      <c r="W5374" s="51" t="s">
        <v>9646</v>
      </c>
      <c r="X5374" s="51" t="s">
        <v>2359</v>
      </c>
    </row>
    <row r="5375" customFormat="false" ht="14.25" hidden="true" customHeight="false" outlineLevel="0" collapsed="false">
      <c r="A5375" s="49" t="s">
        <v>2349</v>
      </c>
      <c r="B5375" s="49" t="s">
        <v>2350</v>
      </c>
      <c r="C5375" s="49" t="s">
        <v>9647</v>
      </c>
      <c r="D5375" s="49" t="s">
        <v>2352</v>
      </c>
      <c r="E5375" s="49" t="str">
        <f aca="false">"5942326400643"</f>
        <v>5942326400643</v>
      </c>
      <c r="F5375" s="49" t="s">
        <v>5687</v>
      </c>
      <c r="G5375" s="49" t="n">
        <v>0</v>
      </c>
      <c r="H5375" s="0" t="n">
        <v>0</v>
      </c>
      <c r="M5375" s="51" t="s">
        <v>9645</v>
      </c>
      <c r="N5375" s="49" t="n">
        <v>0</v>
      </c>
      <c r="O5375" s="53" t="n">
        <v>45875.6442361111</v>
      </c>
      <c r="P5375" s="53" t="n">
        <v>45904.975474537</v>
      </c>
      <c r="Q5375" s="53" t="n">
        <v>45875.6442361111</v>
      </c>
      <c r="R5375" s="0" t="n">
        <v>0</v>
      </c>
      <c r="S5375" s="51" t="s">
        <v>2401</v>
      </c>
      <c r="T5375" s="51" t="s">
        <v>2401</v>
      </c>
      <c r="U5375" s="0" t="str">
        <f aca="false">"5942326400643"</f>
        <v>5942326400643</v>
      </c>
      <c r="V5375" s="51" t="s">
        <v>2365</v>
      </c>
      <c r="W5375" s="51" t="s">
        <v>5287</v>
      </c>
      <c r="X5375" s="51" t="s">
        <v>2359</v>
      </c>
    </row>
    <row r="5376" customFormat="false" ht="14.25" hidden="true" customHeight="false" outlineLevel="0" collapsed="false">
      <c r="A5376" s="49" t="s">
        <v>2349</v>
      </c>
      <c r="B5376" s="49" t="s">
        <v>2350</v>
      </c>
      <c r="C5376" s="49" t="s">
        <v>9648</v>
      </c>
      <c r="D5376" s="49" t="s">
        <v>2352</v>
      </c>
      <c r="E5376" s="49" t="str">
        <f aca="false">"5942326400643"</f>
        <v>5942326400643</v>
      </c>
      <c r="F5376" s="49" t="s">
        <v>5687</v>
      </c>
      <c r="G5376" s="49" t="n">
        <v>0</v>
      </c>
      <c r="H5376" s="0" t="n">
        <v>0</v>
      </c>
      <c r="M5376" s="51" t="s">
        <v>9645</v>
      </c>
      <c r="N5376" s="49" t="n">
        <v>0</v>
      </c>
      <c r="O5376" s="53" t="n">
        <v>45875.6438541667</v>
      </c>
      <c r="P5376" s="53" t="n">
        <v>45902.8872106482</v>
      </c>
      <c r="Q5376" s="53" t="n">
        <v>45875.6438541667</v>
      </c>
      <c r="R5376" s="0" t="n">
        <v>0</v>
      </c>
      <c r="S5376" s="51" t="s">
        <v>2401</v>
      </c>
      <c r="T5376" s="51" t="s">
        <v>2401</v>
      </c>
      <c r="U5376" s="0" t="str">
        <f aca="false">"5942326400643"</f>
        <v>5942326400643</v>
      </c>
      <c r="V5376" s="51" t="s">
        <v>2365</v>
      </c>
      <c r="W5376" s="51" t="s">
        <v>4040</v>
      </c>
      <c r="X5376" s="51" t="s">
        <v>2359</v>
      </c>
    </row>
    <row r="5377" customFormat="false" ht="14.25" hidden="true" customHeight="false" outlineLevel="0" collapsed="false">
      <c r="A5377" s="49" t="s">
        <v>2349</v>
      </c>
      <c r="B5377" s="49" t="s">
        <v>2350</v>
      </c>
      <c r="C5377" s="49" t="s">
        <v>9649</v>
      </c>
      <c r="D5377" s="49" t="s">
        <v>2352</v>
      </c>
      <c r="E5377" s="49" t="str">
        <f aca="false">"5942326400643"</f>
        <v>5942326400643</v>
      </c>
      <c r="F5377" s="49" t="s">
        <v>5687</v>
      </c>
      <c r="G5377" s="49" t="n">
        <v>0</v>
      </c>
      <c r="H5377" s="0" t="n">
        <v>0</v>
      </c>
      <c r="M5377" s="51" t="s">
        <v>9645</v>
      </c>
      <c r="N5377" s="49" t="n">
        <v>0</v>
      </c>
      <c r="O5377" s="53" t="n">
        <v>45875.6434143519</v>
      </c>
      <c r="P5377" s="53" t="n">
        <v>45902.8768171296</v>
      </c>
      <c r="Q5377" s="53" t="n">
        <v>45875.6434143519</v>
      </c>
      <c r="R5377" s="0" t="n">
        <v>0</v>
      </c>
      <c r="S5377" s="51" t="s">
        <v>2401</v>
      </c>
      <c r="T5377" s="51" t="s">
        <v>2401</v>
      </c>
      <c r="U5377" s="0" t="str">
        <f aca="false">"5942326400643"</f>
        <v>5942326400643</v>
      </c>
      <c r="V5377" s="51" t="s">
        <v>2365</v>
      </c>
      <c r="W5377" s="51" t="s">
        <v>6025</v>
      </c>
      <c r="X5377" s="51" t="s">
        <v>2359</v>
      </c>
    </row>
    <row r="5378" customFormat="false" ht="14.25" hidden="true" customHeight="false" outlineLevel="0" collapsed="false">
      <c r="A5378" s="49" t="s">
        <v>2349</v>
      </c>
      <c r="B5378" s="49" t="s">
        <v>2350</v>
      </c>
      <c r="C5378" s="49" t="s">
        <v>9650</v>
      </c>
      <c r="D5378" s="49" t="s">
        <v>2352</v>
      </c>
      <c r="E5378" s="49" t="str">
        <f aca="false">"5942326400643"</f>
        <v>5942326400643</v>
      </c>
      <c r="F5378" s="49" t="s">
        <v>5687</v>
      </c>
      <c r="G5378" s="49" t="n">
        <v>0</v>
      </c>
      <c r="H5378" s="0" t="n">
        <v>0</v>
      </c>
      <c r="M5378" s="51" t="s">
        <v>9645</v>
      </c>
      <c r="N5378" s="49" t="n">
        <v>0</v>
      </c>
      <c r="O5378" s="53" t="n">
        <v>45875.6423148148</v>
      </c>
      <c r="P5378" s="53" t="n">
        <v>45902.8757060185</v>
      </c>
      <c r="Q5378" s="53" t="n">
        <v>45875.6423148148</v>
      </c>
      <c r="R5378" s="0" t="n">
        <v>0</v>
      </c>
      <c r="S5378" s="51" t="s">
        <v>2401</v>
      </c>
      <c r="T5378" s="51" t="s">
        <v>2401</v>
      </c>
      <c r="U5378" s="0" t="str">
        <f aca="false">"5942326400643"</f>
        <v>5942326400643</v>
      </c>
      <c r="V5378" s="51" t="s">
        <v>2365</v>
      </c>
      <c r="W5378" s="51" t="s">
        <v>5534</v>
      </c>
      <c r="X5378" s="51" t="s">
        <v>2359</v>
      </c>
    </row>
    <row r="5379" customFormat="false" ht="14.25" hidden="true" customHeight="false" outlineLevel="0" collapsed="false">
      <c r="A5379" s="49" t="s">
        <v>2349</v>
      </c>
      <c r="B5379" s="49" t="s">
        <v>2350</v>
      </c>
      <c r="C5379" s="49" t="s">
        <v>9651</v>
      </c>
      <c r="D5379" s="49" t="s">
        <v>2352</v>
      </c>
      <c r="E5379" s="49" t="str">
        <f aca="false">"5942326400483"</f>
        <v>5942326400483</v>
      </c>
      <c r="F5379" s="49" t="s">
        <v>3651</v>
      </c>
      <c r="G5379" s="49" t="n">
        <v>0</v>
      </c>
      <c r="H5379" s="0" t="n">
        <v>0</v>
      </c>
      <c r="M5379" s="51" t="s">
        <v>9645</v>
      </c>
      <c r="N5379" s="49" t="n">
        <v>0</v>
      </c>
      <c r="O5379" s="53" t="n">
        <v>45875.6415972222</v>
      </c>
      <c r="P5379" s="53" t="n">
        <v>45897.699375</v>
      </c>
      <c r="Q5379" s="53" t="n">
        <v>45875.6415972222</v>
      </c>
      <c r="R5379" s="0" t="n">
        <v>0</v>
      </c>
      <c r="S5379" s="51" t="s">
        <v>2401</v>
      </c>
      <c r="T5379" s="51" t="s">
        <v>2401</v>
      </c>
      <c r="U5379" s="0" t="str">
        <f aca="false">"5942326400483"</f>
        <v>5942326400483</v>
      </c>
      <c r="V5379" s="51" t="s">
        <v>2365</v>
      </c>
      <c r="W5379" s="51" t="s">
        <v>6552</v>
      </c>
      <c r="X5379" s="51" t="s">
        <v>2359</v>
      </c>
    </row>
    <row r="5380" customFormat="false" ht="14.25" hidden="true" customHeight="false" outlineLevel="0" collapsed="false">
      <c r="A5380" s="49" t="s">
        <v>2349</v>
      </c>
      <c r="B5380" s="49" t="s">
        <v>2350</v>
      </c>
      <c r="C5380" s="49" t="s">
        <v>9652</v>
      </c>
      <c r="D5380" s="49" t="s">
        <v>2352</v>
      </c>
      <c r="E5380" s="49" t="str">
        <f aca="false">"5942326400483"</f>
        <v>5942326400483</v>
      </c>
      <c r="F5380" s="49" t="s">
        <v>3651</v>
      </c>
      <c r="G5380" s="49" t="n">
        <v>0</v>
      </c>
      <c r="H5380" s="0" t="n">
        <v>0</v>
      </c>
      <c r="M5380" s="51" t="s">
        <v>9645</v>
      </c>
      <c r="N5380" s="49" t="n">
        <v>0</v>
      </c>
      <c r="O5380" s="53" t="n">
        <v>45875.6411226852</v>
      </c>
      <c r="P5380" s="53" t="n">
        <v>45879.7675462963</v>
      </c>
      <c r="Q5380" s="53" t="n">
        <v>45875.6411226852</v>
      </c>
      <c r="R5380" s="0" t="n">
        <v>0</v>
      </c>
      <c r="S5380" s="51" t="s">
        <v>2401</v>
      </c>
      <c r="T5380" s="51" t="s">
        <v>2401</v>
      </c>
      <c r="U5380" s="0" t="str">
        <f aca="false">"5942326400483"</f>
        <v>5942326400483</v>
      </c>
      <c r="V5380" s="51" t="s">
        <v>2365</v>
      </c>
      <c r="W5380" s="51" t="s">
        <v>6786</v>
      </c>
      <c r="X5380" s="51" t="s">
        <v>2359</v>
      </c>
    </row>
    <row r="5381" customFormat="false" ht="14.25" hidden="true" customHeight="false" outlineLevel="0" collapsed="false">
      <c r="A5381" s="49" t="s">
        <v>2349</v>
      </c>
      <c r="B5381" s="49" t="s">
        <v>2350</v>
      </c>
      <c r="C5381" s="49" t="s">
        <v>9653</v>
      </c>
      <c r="D5381" s="49" t="s">
        <v>2352</v>
      </c>
      <c r="E5381" s="49" t="str">
        <f aca="false">"5942326400483"</f>
        <v>5942326400483</v>
      </c>
      <c r="F5381" s="49" t="s">
        <v>3651</v>
      </c>
      <c r="G5381" s="49" t="n">
        <v>0</v>
      </c>
      <c r="H5381" s="0" t="n">
        <v>0</v>
      </c>
      <c r="M5381" s="51" t="s">
        <v>9645</v>
      </c>
      <c r="N5381" s="49" t="n">
        <v>0</v>
      </c>
      <c r="O5381" s="53" t="n">
        <v>45875.6399305556</v>
      </c>
      <c r="P5381" s="53" t="n">
        <v>45879.7815162037</v>
      </c>
      <c r="Q5381" s="53" t="n">
        <v>45875.6399305556</v>
      </c>
      <c r="R5381" s="0" t="n">
        <v>0</v>
      </c>
      <c r="S5381" s="51" t="s">
        <v>2401</v>
      </c>
      <c r="T5381" s="51" t="s">
        <v>2401</v>
      </c>
      <c r="U5381" s="0" t="str">
        <f aca="false">"5942326400483"</f>
        <v>5942326400483</v>
      </c>
      <c r="V5381" s="51" t="s">
        <v>2365</v>
      </c>
      <c r="W5381" s="51" t="s">
        <v>6202</v>
      </c>
      <c r="X5381" s="51" t="s">
        <v>2359</v>
      </c>
    </row>
    <row r="5382" customFormat="false" ht="14.25" hidden="true" customHeight="false" outlineLevel="0" collapsed="false">
      <c r="A5382" s="49" t="s">
        <v>2349</v>
      </c>
      <c r="B5382" s="49" t="s">
        <v>2350</v>
      </c>
      <c r="C5382" s="49" t="s">
        <v>9654</v>
      </c>
      <c r="D5382" s="49" t="s">
        <v>2352</v>
      </c>
      <c r="E5382" s="49" t="str">
        <f aca="false">"5942326400483"</f>
        <v>5942326400483</v>
      </c>
      <c r="F5382" s="49" t="s">
        <v>3651</v>
      </c>
      <c r="G5382" s="49" t="n">
        <v>0</v>
      </c>
      <c r="H5382" s="0" t="n">
        <v>0</v>
      </c>
      <c r="M5382" s="51" t="s">
        <v>9645</v>
      </c>
      <c r="N5382" s="49" t="n">
        <v>0</v>
      </c>
      <c r="O5382" s="53" t="n">
        <v>45875.6391666667</v>
      </c>
      <c r="P5382" s="53" t="n">
        <v>45881.9266319444</v>
      </c>
      <c r="Q5382" s="53" t="n">
        <v>45875.6391666667</v>
      </c>
      <c r="R5382" s="0" t="n">
        <v>0</v>
      </c>
      <c r="S5382" s="51" t="s">
        <v>2401</v>
      </c>
      <c r="T5382" s="51" t="s">
        <v>2401</v>
      </c>
      <c r="U5382" s="0" t="str">
        <f aca="false">"5942326400483"</f>
        <v>5942326400483</v>
      </c>
      <c r="V5382" s="51" t="s">
        <v>2365</v>
      </c>
      <c r="W5382" s="51" t="s">
        <v>4503</v>
      </c>
      <c r="X5382" s="51" t="s">
        <v>2359</v>
      </c>
    </row>
    <row r="5383" customFormat="false" ht="14.25" hidden="true" customHeight="false" outlineLevel="0" collapsed="false">
      <c r="A5383" s="49" t="s">
        <v>2349</v>
      </c>
      <c r="B5383" s="49" t="s">
        <v>2350</v>
      </c>
      <c r="C5383" s="49" t="s">
        <v>9655</v>
      </c>
      <c r="D5383" s="49" t="s">
        <v>2352</v>
      </c>
      <c r="E5383" s="49" t="str">
        <f aca="false">"5942326400483"</f>
        <v>5942326400483</v>
      </c>
      <c r="F5383" s="49" t="s">
        <v>3651</v>
      </c>
      <c r="G5383" s="49" t="n">
        <v>0</v>
      </c>
      <c r="H5383" s="0" t="n">
        <v>0</v>
      </c>
      <c r="M5383" s="51" t="s">
        <v>9645</v>
      </c>
      <c r="N5383" s="49" t="n">
        <v>0</v>
      </c>
      <c r="O5383" s="53" t="n">
        <v>45875.6385763889</v>
      </c>
      <c r="P5383" s="53" t="n">
        <v>45879.767962963</v>
      </c>
      <c r="Q5383" s="53" t="n">
        <v>45875.6385763889</v>
      </c>
      <c r="R5383" s="0" t="n">
        <v>0</v>
      </c>
      <c r="S5383" s="51" t="s">
        <v>2401</v>
      </c>
      <c r="T5383" s="51" t="s">
        <v>2401</v>
      </c>
      <c r="U5383" s="0" t="str">
        <f aca="false">"5942326400483"</f>
        <v>5942326400483</v>
      </c>
      <c r="V5383" s="51" t="s">
        <v>2365</v>
      </c>
      <c r="W5383" s="51" t="s">
        <v>4214</v>
      </c>
      <c r="X5383" s="51" t="s">
        <v>2359</v>
      </c>
    </row>
    <row r="5384" customFormat="false" ht="14.25" hidden="true" customHeight="false" outlineLevel="0" collapsed="false">
      <c r="A5384" s="49" t="s">
        <v>2349</v>
      </c>
      <c r="B5384" s="49" t="s">
        <v>2350</v>
      </c>
      <c r="C5384" s="49" t="s">
        <v>9656</v>
      </c>
      <c r="D5384" s="49" t="s">
        <v>2352</v>
      </c>
      <c r="E5384" s="49" t="str">
        <f aca="false">"5942326400483"</f>
        <v>5942326400483</v>
      </c>
      <c r="F5384" s="49" t="s">
        <v>3651</v>
      </c>
      <c r="G5384" s="49" t="n">
        <v>0</v>
      </c>
      <c r="H5384" s="0" t="n">
        <v>0</v>
      </c>
      <c r="M5384" s="51" t="s">
        <v>9645</v>
      </c>
      <c r="N5384" s="49" t="n">
        <v>0</v>
      </c>
      <c r="O5384" s="53" t="n">
        <v>45875.6381018519</v>
      </c>
      <c r="P5384" s="53" t="n">
        <v>45882.9057407407</v>
      </c>
      <c r="Q5384" s="53" t="n">
        <v>45875.6381018519</v>
      </c>
      <c r="R5384" s="0" t="n">
        <v>0</v>
      </c>
      <c r="S5384" s="51" t="s">
        <v>2401</v>
      </c>
      <c r="T5384" s="51" t="s">
        <v>2401</v>
      </c>
      <c r="U5384" s="0" t="str">
        <f aca="false">"5942326400483"</f>
        <v>5942326400483</v>
      </c>
      <c r="V5384" s="51" t="s">
        <v>2365</v>
      </c>
      <c r="W5384" s="51" t="s">
        <v>6793</v>
      </c>
      <c r="X5384" s="51" t="s">
        <v>2359</v>
      </c>
    </row>
    <row r="5385" customFormat="false" ht="14.25" hidden="true" customHeight="false" outlineLevel="0" collapsed="false">
      <c r="A5385" s="49" t="s">
        <v>2349</v>
      </c>
      <c r="B5385" s="49" t="s">
        <v>2350</v>
      </c>
      <c r="C5385" s="49" t="s">
        <v>9657</v>
      </c>
      <c r="D5385" s="49" t="s">
        <v>2352</v>
      </c>
      <c r="E5385" s="49" t="str">
        <f aca="false">"5942326400483"</f>
        <v>5942326400483</v>
      </c>
      <c r="F5385" s="49" t="s">
        <v>3651</v>
      </c>
      <c r="G5385" s="49" t="n">
        <v>0</v>
      </c>
      <c r="H5385" s="0" t="n">
        <v>0</v>
      </c>
      <c r="M5385" s="51" t="s">
        <v>9645</v>
      </c>
      <c r="N5385" s="49" t="n">
        <v>0</v>
      </c>
      <c r="O5385" s="53" t="n">
        <v>45875.6377199074</v>
      </c>
      <c r="P5385" s="53" t="n">
        <v>45902.8747800926</v>
      </c>
      <c r="Q5385" s="53" t="n">
        <v>45875.6377199074</v>
      </c>
      <c r="R5385" s="0" t="n">
        <v>0</v>
      </c>
      <c r="S5385" s="51" t="s">
        <v>2401</v>
      </c>
      <c r="T5385" s="51" t="s">
        <v>2401</v>
      </c>
      <c r="U5385" s="0" t="str">
        <f aca="false">"5942326400483"</f>
        <v>5942326400483</v>
      </c>
      <c r="V5385" s="51" t="s">
        <v>2365</v>
      </c>
      <c r="W5385" s="51" t="s">
        <v>5537</v>
      </c>
      <c r="X5385" s="51" t="s">
        <v>2359</v>
      </c>
    </row>
    <row r="5386" customFormat="false" ht="14.25" hidden="true" customHeight="false" outlineLevel="0" collapsed="false">
      <c r="A5386" s="49" t="s">
        <v>2349</v>
      </c>
      <c r="B5386" s="49" t="s">
        <v>2350</v>
      </c>
      <c r="C5386" s="49" t="s">
        <v>9658</v>
      </c>
      <c r="D5386" s="49" t="s">
        <v>2352</v>
      </c>
      <c r="E5386" s="49" t="str">
        <f aca="false">"5942326400643"</f>
        <v>5942326400643</v>
      </c>
      <c r="F5386" s="49" t="s">
        <v>5687</v>
      </c>
      <c r="G5386" s="49" t="n">
        <v>0</v>
      </c>
      <c r="H5386" s="0" t="n">
        <v>0</v>
      </c>
      <c r="M5386" s="51" t="s">
        <v>9645</v>
      </c>
      <c r="N5386" s="49" t="n">
        <v>0</v>
      </c>
      <c r="O5386" s="53" t="n">
        <v>45875.6372337963</v>
      </c>
      <c r="P5386" s="53" t="n">
        <v>45879.7967708333</v>
      </c>
      <c r="Q5386" s="53" t="n">
        <v>45875.6372337963</v>
      </c>
      <c r="R5386" s="0" t="n">
        <v>0</v>
      </c>
      <c r="S5386" s="51" t="s">
        <v>2401</v>
      </c>
      <c r="T5386" s="51" t="s">
        <v>2401</v>
      </c>
      <c r="U5386" s="0" t="str">
        <f aca="false">"5942326400643"</f>
        <v>5942326400643</v>
      </c>
      <c r="V5386" s="51" t="s">
        <v>2365</v>
      </c>
      <c r="W5386" s="51" t="s">
        <v>4525</v>
      </c>
      <c r="X5386" s="51" t="s">
        <v>2359</v>
      </c>
    </row>
    <row r="5387" customFormat="false" ht="14.25" hidden="true" customHeight="false" outlineLevel="0" collapsed="false">
      <c r="A5387" s="49" t="s">
        <v>2349</v>
      </c>
      <c r="B5387" s="49" t="s">
        <v>2350</v>
      </c>
      <c r="C5387" s="49" t="s">
        <v>9659</v>
      </c>
      <c r="D5387" s="49" t="s">
        <v>2352</v>
      </c>
      <c r="E5387" s="49" t="str">
        <f aca="false">"5942326400643"</f>
        <v>5942326400643</v>
      </c>
      <c r="F5387" s="49" t="s">
        <v>5687</v>
      </c>
      <c r="G5387" s="49" t="n">
        <v>0</v>
      </c>
      <c r="H5387" s="0" t="n">
        <v>0</v>
      </c>
      <c r="M5387" s="51" t="s">
        <v>9645</v>
      </c>
      <c r="N5387" s="49" t="n">
        <v>0</v>
      </c>
      <c r="O5387" s="53" t="n">
        <v>45875.6366087963</v>
      </c>
      <c r="P5387" s="53" t="n">
        <v>45879.7836921296</v>
      </c>
      <c r="Q5387" s="53" t="n">
        <v>45875.6366087963</v>
      </c>
      <c r="R5387" s="0" t="n">
        <v>0</v>
      </c>
      <c r="S5387" s="51" t="s">
        <v>2401</v>
      </c>
      <c r="T5387" s="51" t="s">
        <v>2401</v>
      </c>
      <c r="U5387" s="0" t="str">
        <f aca="false">"5942326400643"</f>
        <v>5942326400643</v>
      </c>
      <c r="V5387" s="51" t="s">
        <v>2365</v>
      </c>
      <c r="W5387" s="51" t="s">
        <v>4042</v>
      </c>
      <c r="X5387" s="51" t="s">
        <v>2359</v>
      </c>
    </row>
    <row r="5388" customFormat="false" ht="14.25" hidden="true" customHeight="false" outlineLevel="0" collapsed="false">
      <c r="A5388" s="49" t="s">
        <v>2349</v>
      </c>
      <c r="B5388" s="49" t="s">
        <v>2350</v>
      </c>
      <c r="C5388" s="49" t="s">
        <v>9660</v>
      </c>
      <c r="D5388" s="49" t="s">
        <v>2352</v>
      </c>
      <c r="E5388" s="49" t="str">
        <f aca="false">"5942326400643"</f>
        <v>5942326400643</v>
      </c>
      <c r="F5388" s="49" t="s">
        <v>5687</v>
      </c>
      <c r="G5388" s="49" t="n">
        <v>0</v>
      </c>
      <c r="H5388" s="0" t="n">
        <v>0</v>
      </c>
      <c r="M5388" s="51" t="s">
        <v>9645</v>
      </c>
      <c r="N5388" s="49" t="n">
        <v>0</v>
      </c>
      <c r="O5388" s="53" t="n">
        <v>45875.6362731482</v>
      </c>
      <c r="P5388" s="53" t="n">
        <v>45902.8915972222</v>
      </c>
      <c r="Q5388" s="53" t="n">
        <v>45875.6362731482</v>
      </c>
      <c r="R5388" s="0" t="n">
        <v>0</v>
      </c>
      <c r="S5388" s="51" t="s">
        <v>2401</v>
      </c>
      <c r="T5388" s="51" t="s">
        <v>2401</v>
      </c>
      <c r="U5388" s="0" t="str">
        <f aca="false">"5942326400643"</f>
        <v>5942326400643</v>
      </c>
      <c r="V5388" s="51" t="s">
        <v>2365</v>
      </c>
      <c r="W5388" s="51" t="s">
        <v>5641</v>
      </c>
      <c r="X5388" s="51" t="s">
        <v>2359</v>
      </c>
    </row>
    <row r="5389" customFormat="false" ht="14.25" hidden="true" customHeight="false" outlineLevel="0" collapsed="false">
      <c r="A5389" s="49" t="s">
        <v>2349</v>
      </c>
      <c r="B5389" s="49" t="s">
        <v>2350</v>
      </c>
      <c r="C5389" s="49" t="s">
        <v>9661</v>
      </c>
      <c r="D5389" s="49" t="s">
        <v>2352</v>
      </c>
      <c r="E5389" s="49" t="str">
        <f aca="false">"5942326400643"</f>
        <v>5942326400643</v>
      </c>
      <c r="F5389" s="49" t="s">
        <v>5687</v>
      </c>
      <c r="G5389" s="49" t="n">
        <v>0</v>
      </c>
      <c r="H5389" s="0" t="n">
        <v>0</v>
      </c>
      <c r="M5389" s="51" t="s">
        <v>9645</v>
      </c>
      <c r="N5389" s="49" t="n">
        <v>0</v>
      </c>
      <c r="O5389" s="53" t="n">
        <v>45875.6360069444</v>
      </c>
      <c r="P5389" s="53" t="n">
        <v>45902.8866319444</v>
      </c>
      <c r="Q5389" s="53" t="n">
        <v>45875.6360069444</v>
      </c>
      <c r="R5389" s="0" t="n">
        <v>0</v>
      </c>
      <c r="S5389" s="51" t="s">
        <v>2401</v>
      </c>
      <c r="T5389" s="51" t="s">
        <v>2401</v>
      </c>
      <c r="U5389" s="0" t="str">
        <f aca="false">"5942326400643"</f>
        <v>5942326400643</v>
      </c>
      <c r="V5389" s="51" t="s">
        <v>2365</v>
      </c>
      <c r="W5389" s="51" t="s">
        <v>4824</v>
      </c>
      <c r="X5389" s="51" t="s">
        <v>2359</v>
      </c>
    </row>
    <row r="5390" customFormat="false" ht="14.25" hidden="true" customHeight="false" outlineLevel="0" collapsed="false">
      <c r="A5390" s="49" t="s">
        <v>2349</v>
      </c>
      <c r="B5390" s="49" t="s">
        <v>2350</v>
      </c>
      <c r="C5390" s="49" t="s">
        <v>9662</v>
      </c>
      <c r="D5390" s="49" t="s">
        <v>2352</v>
      </c>
      <c r="E5390" s="49" t="str">
        <f aca="false">"5942326400643"</f>
        <v>5942326400643</v>
      </c>
      <c r="F5390" s="49" t="s">
        <v>5687</v>
      </c>
      <c r="G5390" s="49" t="n">
        <v>0</v>
      </c>
      <c r="H5390" s="0" t="n">
        <v>0</v>
      </c>
      <c r="M5390" s="51" t="s">
        <v>9645</v>
      </c>
      <c r="N5390" s="49" t="n">
        <v>0</v>
      </c>
      <c r="O5390" s="53" t="n">
        <v>45875.6356712963</v>
      </c>
      <c r="P5390" s="53" t="n">
        <v>45904.4544675926</v>
      </c>
      <c r="Q5390" s="53" t="n">
        <v>45875.6356712963</v>
      </c>
      <c r="R5390" s="0" t="n">
        <v>0</v>
      </c>
      <c r="S5390" s="51" t="s">
        <v>2401</v>
      </c>
      <c r="T5390" s="51" t="s">
        <v>2401</v>
      </c>
      <c r="U5390" s="0" t="str">
        <f aca="false">"5942326400643"</f>
        <v>5942326400643</v>
      </c>
      <c r="V5390" s="51" t="s">
        <v>2365</v>
      </c>
      <c r="W5390" s="51" t="s">
        <v>5621</v>
      </c>
      <c r="X5390" s="51" t="s">
        <v>2359</v>
      </c>
    </row>
    <row r="5391" customFormat="false" ht="14.25" hidden="true" customHeight="false" outlineLevel="0" collapsed="false">
      <c r="A5391" s="49" t="s">
        <v>2349</v>
      </c>
      <c r="B5391" s="49" t="s">
        <v>2350</v>
      </c>
      <c r="C5391" s="49" t="s">
        <v>9663</v>
      </c>
      <c r="D5391" s="49" t="s">
        <v>2352</v>
      </c>
      <c r="E5391" s="49" t="str">
        <f aca="false">"5942326400483"</f>
        <v>5942326400483</v>
      </c>
      <c r="F5391" s="49" t="s">
        <v>3651</v>
      </c>
      <c r="G5391" s="49" t="n">
        <v>0</v>
      </c>
      <c r="H5391" s="0" t="n">
        <v>0</v>
      </c>
      <c r="M5391" s="51" t="s">
        <v>9645</v>
      </c>
      <c r="N5391" s="49" t="n">
        <v>0</v>
      </c>
      <c r="O5391" s="53" t="n">
        <v>45875.6342592593</v>
      </c>
      <c r="P5391" s="53" t="n">
        <v>45887.7470486111</v>
      </c>
      <c r="Q5391" s="53" t="n">
        <v>45875.6342592593</v>
      </c>
      <c r="R5391" s="0" t="n">
        <v>0</v>
      </c>
      <c r="S5391" s="51" t="s">
        <v>2401</v>
      </c>
      <c r="T5391" s="51" t="s">
        <v>2401</v>
      </c>
      <c r="U5391" s="0" t="str">
        <f aca="false">"5942326400483"</f>
        <v>5942326400483</v>
      </c>
      <c r="V5391" s="51" t="s">
        <v>2365</v>
      </c>
      <c r="W5391" s="51" t="s">
        <v>6775</v>
      </c>
      <c r="X5391" s="51" t="s">
        <v>2359</v>
      </c>
    </row>
    <row r="5392" customFormat="false" ht="14.25" hidden="true" customHeight="false" outlineLevel="0" collapsed="false">
      <c r="A5392" s="49" t="s">
        <v>2349</v>
      </c>
      <c r="B5392" s="49" t="s">
        <v>2350</v>
      </c>
      <c r="C5392" s="49" t="s">
        <v>9664</v>
      </c>
      <c r="D5392" s="49" t="s">
        <v>2352</v>
      </c>
      <c r="E5392" s="49" t="str">
        <f aca="false">"5942326400483"</f>
        <v>5942326400483</v>
      </c>
      <c r="F5392" s="49" t="s">
        <v>3651</v>
      </c>
      <c r="G5392" s="49" t="n">
        <v>0</v>
      </c>
      <c r="H5392" s="0" t="n">
        <v>0</v>
      </c>
      <c r="M5392" s="51" t="s">
        <v>9645</v>
      </c>
      <c r="N5392" s="49" t="n">
        <v>0</v>
      </c>
      <c r="O5392" s="53" t="n">
        <v>45875.6338773148</v>
      </c>
      <c r="P5392" s="53" t="n">
        <v>45902.8738773148</v>
      </c>
      <c r="Q5392" s="53" t="n">
        <v>45875.6338773148</v>
      </c>
      <c r="R5392" s="0" t="n">
        <v>0</v>
      </c>
      <c r="S5392" s="51" t="s">
        <v>2401</v>
      </c>
      <c r="T5392" s="51" t="s">
        <v>2401</v>
      </c>
      <c r="U5392" s="0" t="str">
        <f aca="false">"5942326400483"</f>
        <v>5942326400483</v>
      </c>
      <c r="V5392" s="51" t="s">
        <v>2365</v>
      </c>
      <c r="W5392" s="51" t="s">
        <v>4763</v>
      </c>
      <c r="X5392" s="51" t="s">
        <v>2359</v>
      </c>
    </row>
    <row r="5393" customFormat="false" ht="14.25" hidden="true" customHeight="false" outlineLevel="0" collapsed="false">
      <c r="A5393" s="49" t="s">
        <v>2349</v>
      </c>
      <c r="B5393" s="49" t="s">
        <v>2350</v>
      </c>
      <c r="C5393" s="49" t="s">
        <v>9665</v>
      </c>
      <c r="D5393" s="49" t="s">
        <v>2352</v>
      </c>
      <c r="E5393" s="49" t="str">
        <f aca="false">"5942326400483"</f>
        <v>5942326400483</v>
      </c>
      <c r="F5393" s="49" t="s">
        <v>3651</v>
      </c>
      <c r="G5393" s="49" t="n">
        <v>0</v>
      </c>
      <c r="H5393" s="0" t="n">
        <v>0</v>
      </c>
      <c r="M5393" s="51" t="s">
        <v>9645</v>
      </c>
      <c r="N5393" s="49" t="n">
        <v>0</v>
      </c>
      <c r="O5393" s="53" t="n">
        <v>45875.6334722222</v>
      </c>
      <c r="P5393" s="53" t="n">
        <v>45902.8859027778</v>
      </c>
      <c r="Q5393" s="53" t="n">
        <v>45875.6334722222</v>
      </c>
      <c r="R5393" s="0" t="n">
        <v>0</v>
      </c>
      <c r="S5393" s="51" t="s">
        <v>2401</v>
      </c>
      <c r="T5393" s="51" t="s">
        <v>2401</v>
      </c>
      <c r="U5393" s="0" t="str">
        <f aca="false">"5942326400483"</f>
        <v>5942326400483</v>
      </c>
      <c r="V5393" s="51" t="s">
        <v>2365</v>
      </c>
      <c r="W5393" s="51" t="s">
        <v>9594</v>
      </c>
      <c r="X5393" s="51" t="s">
        <v>2359</v>
      </c>
    </row>
    <row r="5394" customFormat="false" ht="14.25" hidden="true" customHeight="false" outlineLevel="0" collapsed="false">
      <c r="A5394" s="49" t="s">
        <v>2349</v>
      </c>
      <c r="B5394" s="49" t="s">
        <v>2350</v>
      </c>
      <c r="C5394" s="49" t="s">
        <v>9666</v>
      </c>
      <c r="D5394" s="49" t="s">
        <v>2352</v>
      </c>
      <c r="E5394" s="49" t="str">
        <f aca="false">"5942326400483"</f>
        <v>5942326400483</v>
      </c>
      <c r="F5394" s="49" t="s">
        <v>3651</v>
      </c>
      <c r="G5394" s="49" t="n">
        <v>0</v>
      </c>
      <c r="H5394" s="0" t="n">
        <v>0</v>
      </c>
      <c r="M5394" s="51" t="s">
        <v>9645</v>
      </c>
      <c r="N5394" s="49" t="n">
        <v>0</v>
      </c>
      <c r="O5394" s="53" t="n">
        <v>45875.6329861111</v>
      </c>
      <c r="P5394" s="53" t="n">
        <v>45897.3169097222</v>
      </c>
      <c r="Q5394" s="53" t="n">
        <v>45875.6329861111</v>
      </c>
      <c r="R5394" s="0" t="n">
        <v>0</v>
      </c>
      <c r="S5394" s="51" t="s">
        <v>2401</v>
      </c>
      <c r="T5394" s="51" t="s">
        <v>2401</v>
      </c>
      <c r="U5394" s="0" t="str">
        <f aca="false">"5942326400483"</f>
        <v>5942326400483</v>
      </c>
      <c r="V5394" s="51" t="s">
        <v>2365</v>
      </c>
      <c r="W5394" s="51" t="s">
        <v>6000</v>
      </c>
      <c r="X5394" s="51" t="s">
        <v>2359</v>
      </c>
    </row>
    <row r="5395" customFormat="false" ht="14.25" hidden="true" customHeight="false" outlineLevel="0" collapsed="false">
      <c r="A5395" s="49" t="s">
        <v>2349</v>
      </c>
      <c r="B5395" s="49" t="s">
        <v>2350</v>
      </c>
      <c r="C5395" s="49" t="s">
        <v>9667</v>
      </c>
      <c r="D5395" s="49" t="s">
        <v>2352</v>
      </c>
      <c r="E5395" s="49" t="s">
        <v>4351</v>
      </c>
      <c r="F5395" s="49" t="s">
        <v>4352</v>
      </c>
      <c r="G5395" s="49" t="n">
        <v>0</v>
      </c>
      <c r="H5395" s="0" t="n">
        <v>0</v>
      </c>
      <c r="M5395" s="51" t="s">
        <v>9668</v>
      </c>
      <c r="N5395" s="49" t="n">
        <v>0</v>
      </c>
      <c r="O5395" s="53" t="n">
        <v>45855.5418055556</v>
      </c>
      <c r="P5395" s="53" t="n">
        <v>45857.5983101852</v>
      </c>
      <c r="Q5395" s="53" t="n">
        <v>45855.5418055556</v>
      </c>
      <c r="R5395" s="0" t="n">
        <v>0</v>
      </c>
      <c r="S5395" s="51" t="s">
        <v>2356</v>
      </c>
      <c r="T5395" s="51" t="s">
        <v>2356</v>
      </c>
      <c r="U5395" s="51" t="s">
        <v>4351</v>
      </c>
      <c r="V5395" s="51" t="s">
        <v>2365</v>
      </c>
      <c r="W5395" s="51" t="s">
        <v>5983</v>
      </c>
      <c r="X5395" s="51" t="s">
        <v>2359</v>
      </c>
    </row>
    <row r="5396" customFormat="false" ht="14.25" hidden="true" customHeight="false" outlineLevel="0" collapsed="false">
      <c r="A5396" s="49" t="s">
        <v>2349</v>
      </c>
      <c r="B5396" s="49" t="s">
        <v>2350</v>
      </c>
      <c r="C5396" s="49" t="s">
        <v>9669</v>
      </c>
      <c r="D5396" s="49" t="s">
        <v>2352</v>
      </c>
      <c r="E5396" s="49" t="s">
        <v>4351</v>
      </c>
      <c r="F5396" s="49" t="s">
        <v>4352</v>
      </c>
      <c r="G5396" s="49" t="n">
        <v>0</v>
      </c>
      <c r="H5396" s="0" t="n">
        <v>0</v>
      </c>
      <c r="M5396" s="51" t="s">
        <v>9668</v>
      </c>
      <c r="N5396" s="49" t="n">
        <v>0</v>
      </c>
      <c r="O5396" s="53" t="n">
        <v>45855.5413078704</v>
      </c>
      <c r="P5396" s="53" t="n">
        <v>45878.5911111111</v>
      </c>
      <c r="Q5396" s="53" t="n">
        <v>45855.5413078704</v>
      </c>
      <c r="R5396" s="0" t="n">
        <v>0</v>
      </c>
      <c r="S5396" s="51" t="s">
        <v>2356</v>
      </c>
      <c r="T5396" s="51" t="s">
        <v>2356</v>
      </c>
      <c r="U5396" s="51" t="s">
        <v>4351</v>
      </c>
      <c r="V5396" s="51" t="s">
        <v>2365</v>
      </c>
      <c r="W5396" s="51" t="s">
        <v>9670</v>
      </c>
      <c r="X5396" s="51" t="s">
        <v>2359</v>
      </c>
    </row>
    <row r="5397" customFormat="false" ht="14.25" hidden="true" customHeight="false" outlineLevel="0" collapsed="false">
      <c r="A5397" s="49" t="s">
        <v>2349</v>
      </c>
      <c r="B5397" s="49" t="s">
        <v>2350</v>
      </c>
      <c r="C5397" s="49" t="s">
        <v>9671</v>
      </c>
      <c r="D5397" s="49" t="s">
        <v>2352</v>
      </c>
      <c r="E5397" s="49" t="s">
        <v>4351</v>
      </c>
      <c r="F5397" s="49" t="s">
        <v>4352</v>
      </c>
      <c r="G5397" s="49" t="n">
        <v>0</v>
      </c>
      <c r="H5397" s="0" t="n">
        <v>0</v>
      </c>
      <c r="M5397" s="51" t="s">
        <v>9668</v>
      </c>
      <c r="N5397" s="49" t="n">
        <v>0</v>
      </c>
      <c r="O5397" s="53" t="n">
        <v>45855.5409027778</v>
      </c>
      <c r="P5397" s="53" t="n">
        <v>45862.5113425926</v>
      </c>
      <c r="Q5397" s="53" t="n">
        <v>45855.5409027778</v>
      </c>
      <c r="R5397" s="0" t="n">
        <v>0</v>
      </c>
      <c r="S5397" s="51" t="s">
        <v>2356</v>
      </c>
      <c r="T5397" s="51" t="s">
        <v>2356</v>
      </c>
      <c r="U5397" s="51" t="s">
        <v>4351</v>
      </c>
      <c r="V5397" s="51" t="s">
        <v>2365</v>
      </c>
      <c r="W5397" s="51" t="s">
        <v>3705</v>
      </c>
      <c r="X5397" s="51" t="s">
        <v>2359</v>
      </c>
    </row>
    <row r="5398" customFormat="false" ht="14.25" hidden="true" customHeight="false" outlineLevel="0" collapsed="false">
      <c r="A5398" s="49" t="s">
        <v>2349</v>
      </c>
      <c r="B5398" s="49" t="s">
        <v>2350</v>
      </c>
      <c r="C5398" s="49" t="s">
        <v>9672</v>
      </c>
      <c r="D5398" s="49" t="s">
        <v>2352</v>
      </c>
      <c r="E5398" s="49" t="s">
        <v>4351</v>
      </c>
      <c r="F5398" s="49" t="s">
        <v>4352</v>
      </c>
      <c r="G5398" s="49" t="n">
        <v>0</v>
      </c>
      <c r="H5398" s="0" t="n">
        <v>0</v>
      </c>
      <c r="M5398" s="51" t="s">
        <v>9668</v>
      </c>
      <c r="N5398" s="49" t="n">
        <v>0</v>
      </c>
      <c r="O5398" s="53" t="n">
        <v>45855.536875</v>
      </c>
      <c r="P5398" s="53" t="n">
        <v>45858.5755092593</v>
      </c>
      <c r="Q5398" s="53" t="n">
        <v>45855.536875</v>
      </c>
      <c r="R5398" s="0" t="n">
        <v>0</v>
      </c>
      <c r="S5398" s="51" t="s">
        <v>2356</v>
      </c>
      <c r="T5398" s="51" t="s">
        <v>2356</v>
      </c>
      <c r="U5398" s="51" t="s">
        <v>4351</v>
      </c>
      <c r="V5398" s="51" t="s">
        <v>2365</v>
      </c>
      <c r="W5398" s="51" t="s">
        <v>8842</v>
      </c>
      <c r="X5398" s="51" t="s">
        <v>2359</v>
      </c>
    </row>
    <row r="5399" customFormat="false" ht="14.25" hidden="true" customHeight="false" outlineLevel="0" collapsed="false">
      <c r="A5399" s="49" t="s">
        <v>2349</v>
      </c>
      <c r="B5399" s="49" t="s">
        <v>2350</v>
      </c>
      <c r="C5399" s="49" t="s">
        <v>9673</v>
      </c>
      <c r="D5399" s="49" t="s">
        <v>2352</v>
      </c>
      <c r="E5399" s="49" t="s">
        <v>4351</v>
      </c>
      <c r="F5399" s="49" t="s">
        <v>4352</v>
      </c>
      <c r="G5399" s="49" t="n">
        <v>0</v>
      </c>
      <c r="H5399" s="0" t="n">
        <v>0</v>
      </c>
      <c r="M5399" s="51" t="s">
        <v>9668</v>
      </c>
      <c r="N5399" s="49" t="n">
        <v>0</v>
      </c>
      <c r="O5399" s="53" t="n">
        <v>45855.5357986111</v>
      </c>
      <c r="P5399" s="53" t="n">
        <v>45858.5736226852</v>
      </c>
      <c r="Q5399" s="53" t="n">
        <v>45855.5357986111</v>
      </c>
      <c r="R5399" s="0" t="n">
        <v>0</v>
      </c>
      <c r="S5399" s="51" t="s">
        <v>2356</v>
      </c>
      <c r="T5399" s="51" t="s">
        <v>2356</v>
      </c>
      <c r="U5399" s="51" t="s">
        <v>4351</v>
      </c>
      <c r="V5399" s="51" t="s">
        <v>2365</v>
      </c>
      <c r="W5399" s="51" t="s">
        <v>7215</v>
      </c>
      <c r="X5399" s="51" t="s">
        <v>2359</v>
      </c>
    </row>
    <row r="5400" customFormat="false" ht="14.25" hidden="true" customHeight="false" outlineLevel="0" collapsed="false">
      <c r="A5400" s="49" t="s">
        <v>2349</v>
      </c>
      <c r="B5400" s="49" t="s">
        <v>2350</v>
      </c>
      <c r="C5400" s="49" t="s">
        <v>9674</v>
      </c>
      <c r="D5400" s="49" t="s">
        <v>2352</v>
      </c>
      <c r="E5400" s="49" t="s">
        <v>4351</v>
      </c>
      <c r="F5400" s="49" t="s">
        <v>4352</v>
      </c>
      <c r="G5400" s="49" t="n">
        <v>0</v>
      </c>
      <c r="H5400" s="0" t="n">
        <v>0</v>
      </c>
      <c r="M5400" s="51" t="s">
        <v>9668</v>
      </c>
      <c r="N5400" s="49" t="n">
        <v>0</v>
      </c>
      <c r="O5400" s="53" t="n">
        <v>45855.5353587963</v>
      </c>
      <c r="P5400" s="53" t="n">
        <v>45858.5735300926</v>
      </c>
      <c r="Q5400" s="53" t="n">
        <v>45855.5353587963</v>
      </c>
      <c r="R5400" s="0" t="n">
        <v>0</v>
      </c>
      <c r="S5400" s="51" t="s">
        <v>2356</v>
      </c>
      <c r="T5400" s="51" t="s">
        <v>2356</v>
      </c>
      <c r="U5400" s="51" t="s">
        <v>4351</v>
      </c>
      <c r="V5400" s="51" t="s">
        <v>2365</v>
      </c>
      <c r="W5400" s="51" t="s">
        <v>8848</v>
      </c>
      <c r="X5400" s="51" t="s">
        <v>2359</v>
      </c>
    </row>
    <row r="5401" customFormat="false" ht="14.25" hidden="true" customHeight="false" outlineLevel="0" collapsed="false">
      <c r="A5401" s="49" t="s">
        <v>2349</v>
      </c>
      <c r="B5401" s="49" t="s">
        <v>2350</v>
      </c>
      <c r="C5401" s="49" t="s">
        <v>9675</v>
      </c>
      <c r="D5401" s="49" t="s">
        <v>2352</v>
      </c>
      <c r="E5401" s="49" t="s">
        <v>4351</v>
      </c>
      <c r="F5401" s="49" t="s">
        <v>4352</v>
      </c>
      <c r="G5401" s="49" t="n">
        <v>0</v>
      </c>
      <c r="H5401" s="0" t="n">
        <v>0</v>
      </c>
      <c r="M5401" s="51" t="s">
        <v>9668</v>
      </c>
      <c r="N5401" s="49" t="n">
        <v>0</v>
      </c>
      <c r="O5401" s="53" t="n">
        <v>45855.542962963</v>
      </c>
      <c r="P5401" s="53" t="n">
        <v>45860.6593402778</v>
      </c>
      <c r="Q5401" s="53" t="n">
        <v>45855.542962963</v>
      </c>
      <c r="R5401" s="0" t="n">
        <v>0</v>
      </c>
      <c r="S5401" s="51" t="s">
        <v>2356</v>
      </c>
      <c r="T5401" s="51" t="s">
        <v>2356</v>
      </c>
      <c r="U5401" s="51" t="s">
        <v>4351</v>
      </c>
      <c r="V5401" s="51" t="s">
        <v>2365</v>
      </c>
      <c r="W5401" s="51" t="s">
        <v>8846</v>
      </c>
      <c r="X5401" s="51" t="s">
        <v>2359</v>
      </c>
    </row>
    <row r="5402" customFormat="false" ht="14.25" hidden="true" customHeight="false" outlineLevel="0" collapsed="false">
      <c r="A5402" s="49" t="s">
        <v>2349</v>
      </c>
      <c r="B5402" s="49" t="s">
        <v>2350</v>
      </c>
      <c r="C5402" s="49" t="s">
        <v>9676</v>
      </c>
      <c r="D5402" s="49" t="s">
        <v>2352</v>
      </c>
      <c r="E5402" s="49" t="s">
        <v>7198</v>
      </c>
      <c r="F5402" s="49" t="s">
        <v>7199</v>
      </c>
      <c r="G5402" s="49" t="n">
        <v>0</v>
      </c>
      <c r="H5402" s="0" t="n">
        <v>0</v>
      </c>
      <c r="M5402" s="51" t="s">
        <v>9668</v>
      </c>
      <c r="N5402" s="49" t="n">
        <v>0</v>
      </c>
      <c r="O5402" s="53" t="n">
        <v>45855.5328125</v>
      </c>
      <c r="P5402" s="53" t="n">
        <v>45860.9854861111</v>
      </c>
      <c r="Q5402" s="53" t="n">
        <v>45855.5328125</v>
      </c>
      <c r="R5402" s="0" t="n">
        <v>0</v>
      </c>
      <c r="S5402" s="51" t="s">
        <v>2356</v>
      </c>
      <c r="T5402" s="51" t="s">
        <v>2356</v>
      </c>
      <c r="U5402" s="51" t="s">
        <v>7198</v>
      </c>
      <c r="V5402" s="51" t="s">
        <v>2365</v>
      </c>
      <c r="W5402" s="51" t="s">
        <v>8267</v>
      </c>
      <c r="X5402" s="51" t="s">
        <v>2359</v>
      </c>
    </row>
    <row r="5403" customFormat="false" ht="14.25" hidden="true" customHeight="false" outlineLevel="0" collapsed="false">
      <c r="A5403" s="49" t="s">
        <v>2349</v>
      </c>
      <c r="B5403" s="49" t="s">
        <v>2350</v>
      </c>
      <c r="C5403" s="49" t="s">
        <v>9677</v>
      </c>
      <c r="D5403" s="49" t="s">
        <v>2352</v>
      </c>
      <c r="E5403" s="49" t="s">
        <v>7198</v>
      </c>
      <c r="F5403" s="49" t="s">
        <v>7199</v>
      </c>
      <c r="G5403" s="49" t="n">
        <v>0</v>
      </c>
      <c r="H5403" s="0" t="n">
        <v>0</v>
      </c>
      <c r="M5403" s="51" t="s">
        <v>9668</v>
      </c>
      <c r="N5403" s="49" t="n">
        <v>0</v>
      </c>
      <c r="O5403" s="53" t="n">
        <v>45855.5325231482</v>
      </c>
      <c r="P5403" s="53" t="n">
        <v>45885.6432060185</v>
      </c>
      <c r="Q5403" s="53" t="n">
        <v>45855.5325231482</v>
      </c>
      <c r="R5403" s="0" t="n">
        <v>0</v>
      </c>
      <c r="S5403" s="51" t="s">
        <v>2356</v>
      </c>
      <c r="T5403" s="51" t="s">
        <v>2356</v>
      </c>
      <c r="U5403" s="51" t="s">
        <v>7198</v>
      </c>
      <c r="V5403" s="51" t="s">
        <v>2365</v>
      </c>
      <c r="W5403" s="51" t="s">
        <v>8276</v>
      </c>
      <c r="X5403" s="51" t="s">
        <v>2359</v>
      </c>
    </row>
    <row r="5404" customFormat="false" ht="14.25" hidden="true" customHeight="false" outlineLevel="0" collapsed="false">
      <c r="A5404" s="49" t="s">
        <v>2349</v>
      </c>
      <c r="B5404" s="49" t="s">
        <v>2350</v>
      </c>
      <c r="C5404" s="49" t="s">
        <v>9678</v>
      </c>
      <c r="D5404" s="49" t="s">
        <v>2352</v>
      </c>
      <c r="E5404" s="49" t="s">
        <v>7198</v>
      </c>
      <c r="F5404" s="49" t="s">
        <v>7199</v>
      </c>
      <c r="G5404" s="49" t="n">
        <v>0</v>
      </c>
      <c r="H5404" s="0" t="n">
        <v>0</v>
      </c>
      <c r="M5404" s="51" t="s">
        <v>9668</v>
      </c>
      <c r="N5404" s="49" t="n">
        <v>0</v>
      </c>
      <c r="O5404" s="53" t="n">
        <v>45855.5321180556</v>
      </c>
      <c r="P5404" s="53" t="n">
        <v>45997.3716898148</v>
      </c>
      <c r="Q5404" s="53" t="n">
        <v>45855.5321180556</v>
      </c>
      <c r="R5404" s="0" t="n">
        <v>0</v>
      </c>
      <c r="S5404" s="51" t="s">
        <v>2356</v>
      </c>
      <c r="T5404" s="51" t="s">
        <v>2356</v>
      </c>
      <c r="U5404" s="51" t="s">
        <v>7198</v>
      </c>
      <c r="V5404" s="51" t="s">
        <v>2365</v>
      </c>
      <c r="W5404" s="51" t="s">
        <v>8278</v>
      </c>
      <c r="X5404" s="51" t="s">
        <v>2359</v>
      </c>
    </row>
    <row r="5405" customFormat="false" ht="14.25" hidden="true" customHeight="false" outlineLevel="0" collapsed="false">
      <c r="A5405" s="49" t="s">
        <v>2349</v>
      </c>
      <c r="B5405" s="49" t="s">
        <v>2350</v>
      </c>
      <c r="C5405" s="49" t="s">
        <v>9679</v>
      </c>
      <c r="D5405" s="49" t="s">
        <v>2352</v>
      </c>
      <c r="E5405" s="49" t="s">
        <v>7198</v>
      </c>
      <c r="F5405" s="49" t="s">
        <v>7199</v>
      </c>
      <c r="G5405" s="49" t="n">
        <v>0</v>
      </c>
      <c r="H5405" s="0" t="n">
        <v>0</v>
      </c>
      <c r="M5405" s="51" t="s">
        <v>9668</v>
      </c>
      <c r="N5405" s="49" t="n">
        <v>0</v>
      </c>
      <c r="O5405" s="53" t="n">
        <v>45855.5316666667</v>
      </c>
      <c r="P5405" s="53" t="n">
        <v>45911.3005787037</v>
      </c>
      <c r="Q5405" s="53" t="n">
        <v>45855.5316666667</v>
      </c>
      <c r="R5405" s="0" t="n">
        <v>0</v>
      </c>
      <c r="S5405" s="51" t="s">
        <v>2356</v>
      </c>
      <c r="T5405" s="51" t="s">
        <v>2356</v>
      </c>
      <c r="U5405" s="51" t="s">
        <v>7198</v>
      </c>
      <c r="V5405" s="51" t="s">
        <v>2365</v>
      </c>
      <c r="W5405" s="51" t="s">
        <v>9680</v>
      </c>
      <c r="X5405" s="51" t="s">
        <v>2359</v>
      </c>
    </row>
    <row r="5406" customFormat="false" ht="14.25" hidden="true" customHeight="false" outlineLevel="0" collapsed="false">
      <c r="A5406" s="49" t="s">
        <v>2349</v>
      </c>
      <c r="B5406" s="49" t="s">
        <v>2350</v>
      </c>
      <c r="C5406" s="49" t="s">
        <v>9681</v>
      </c>
      <c r="D5406" s="49" t="s">
        <v>2352</v>
      </c>
      <c r="E5406" s="49" t="s">
        <v>7198</v>
      </c>
      <c r="F5406" s="49" t="s">
        <v>7199</v>
      </c>
      <c r="G5406" s="49" t="n">
        <v>0</v>
      </c>
      <c r="H5406" s="0" t="n">
        <v>0</v>
      </c>
      <c r="M5406" s="51" t="s">
        <v>9668</v>
      </c>
      <c r="N5406" s="49" t="n">
        <v>0</v>
      </c>
      <c r="O5406" s="53" t="n">
        <v>45855.5312268519</v>
      </c>
      <c r="P5406" s="53" t="n">
        <v>45860.9859027778</v>
      </c>
      <c r="Q5406" s="53" t="n">
        <v>45855.5312152778</v>
      </c>
      <c r="R5406" s="0" t="n">
        <v>0</v>
      </c>
      <c r="S5406" s="51" t="s">
        <v>2356</v>
      </c>
      <c r="T5406" s="51" t="s">
        <v>2356</v>
      </c>
      <c r="U5406" s="51" t="s">
        <v>7198</v>
      </c>
      <c r="V5406" s="51" t="s">
        <v>2365</v>
      </c>
      <c r="W5406" s="51" t="s">
        <v>3664</v>
      </c>
      <c r="X5406" s="51" t="s">
        <v>2359</v>
      </c>
    </row>
    <row r="5407" customFormat="false" ht="14.25" hidden="true" customHeight="false" outlineLevel="0" collapsed="false">
      <c r="A5407" s="49" t="s">
        <v>2349</v>
      </c>
      <c r="B5407" s="49" t="s">
        <v>2350</v>
      </c>
      <c r="C5407" s="49" t="s">
        <v>9682</v>
      </c>
      <c r="D5407" s="49" t="s">
        <v>2352</v>
      </c>
      <c r="E5407" s="49" t="s">
        <v>7198</v>
      </c>
      <c r="F5407" s="49" t="s">
        <v>7199</v>
      </c>
      <c r="G5407" s="49" t="n">
        <v>0</v>
      </c>
      <c r="H5407" s="0" t="n">
        <v>0</v>
      </c>
      <c r="M5407" s="51" t="s">
        <v>9668</v>
      </c>
      <c r="N5407" s="49" t="n">
        <v>0</v>
      </c>
      <c r="O5407" s="53" t="n">
        <v>45855.5308333333</v>
      </c>
      <c r="P5407" s="53" t="n">
        <v>45860.9860416667</v>
      </c>
      <c r="Q5407" s="53" t="n">
        <v>45855.5308333333</v>
      </c>
      <c r="R5407" s="0" t="n">
        <v>0</v>
      </c>
      <c r="S5407" s="51" t="s">
        <v>2356</v>
      </c>
      <c r="T5407" s="51" t="s">
        <v>2356</v>
      </c>
      <c r="U5407" s="51" t="s">
        <v>7198</v>
      </c>
      <c r="V5407" s="51" t="s">
        <v>2365</v>
      </c>
      <c r="W5407" s="51" t="s">
        <v>9683</v>
      </c>
      <c r="X5407" s="51" t="s">
        <v>2359</v>
      </c>
    </row>
    <row r="5408" customFormat="false" ht="14.25" hidden="true" customHeight="false" outlineLevel="0" collapsed="false">
      <c r="A5408" s="49" t="s">
        <v>2349</v>
      </c>
      <c r="B5408" s="49" t="s">
        <v>2350</v>
      </c>
      <c r="C5408" s="49" t="s">
        <v>9684</v>
      </c>
      <c r="D5408" s="49" t="s">
        <v>2352</v>
      </c>
      <c r="E5408" s="49" t="s">
        <v>7198</v>
      </c>
      <c r="F5408" s="49" t="s">
        <v>7199</v>
      </c>
      <c r="G5408" s="49" t="n">
        <v>0</v>
      </c>
      <c r="H5408" s="0" t="n">
        <v>0</v>
      </c>
      <c r="M5408" s="51" t="s">
        <v>9668</v>
      </c>
      <c r="N5408" s="49" t="n">
        <v>0</v>
      </c>
      <c r="O5408" s="53" t="n">
        <v>45855.5303587963</v>
      </c>
      <c r="P5408" s="53" t="n">
        <v>45860.4588888889</v>
      </c>
      <c r="Q5408" s="53" t="n">
        <v>45855.5303587963</v>
      </c>
      <c r="R5408" s="0" t="n">
        <v>0</v>
      </c>
      <c r="S5408" s="51" t="s">
        <v>2356</v>
      </c>
      <c r="T5408" s="51" t="s">
        <v>2356</v>
      </c>
      <c r="U5408" s="51" t="s">
        <v>7198</v>
      </c>
      <c r="V5408" s="51" t="s">
        <v>2365</v>
      </c>
      <c r="W5408" s="51" t="s">
        <v>9685</v>
      </c>
      <c r="X5408" s="51" t="s">
        <v>2359</v>
      </c>
    </row>
    <row r="5409" customFormat="false" ht="14.25" hidden="true" customHeight="false" outlineLevel="0" collapsed="false">
      <c r="A5409" s="49" t="s">
        <v>2349</v>
      </c>
      <c r="B5409" s="49" t="s">
        <v>2350</v>
      </c>
      <c r="C5409" s="49" t="s">
        <v>9686</v>
      </c>
      <c r="D5409" s="49" t="s">
        <v>2352</v>
      </c>
      <c r="E5409" s="49" t="s">
        <v>7198</v>
      </c>
      <c r="F5409" s="49" t="s">
        <v>7199</v>
      </c>
      <c r="G5409" s="49" t="n">
        <v>0</v>
      </c>
      <c r="H5409" s="0" t="n">
        <v>0</v>
      </c>
      <c r="M5409" s="51" t="s">
        <v>9668</v>
      </c>
      <c r="N5409" s="49" t="n">
        <v>0</v>
      </c>
      <c r="O5409" s="53" t="n">
        <v>45855.5298148148</v>
      </c>
      <c r="P5409" s="53" t="n">
        <v>45860.9853125</v>
      </c>
      <c r="Q5409" s="53" t="n">
        <v>45855.5298148148</v>
      </c>
      <c r="R5409" s="0" t="n">
        <v>0</v>
      </c>
      <c r="S5409" s="51" t="s">
        <v>2356</v>
      </c>
      <c r="T5409" s="51" t="s">
        <v>2356</v>
      </c>
      <c r="U5409" s="51" t="s">
        <v>7198</v>
      </c>
      <c r="V5409" s="51" t="s">
        <v>2365</v>
      </c>
      <c r="W5409" s="51" t="s">
        <v>9687</v>
      </c>
      <c r="X5409" s="51" t="s">
        <v>2359</v>
      </c>
    </row>
    <row r="5410" customFormat="false" ht="14.25" hidden="true" customHeight="false" outlineLevel="0" collapsed="false">
      <c r="A5410" s="49" t="s">
        <v>2349</v>
      </c>
      <c r="B5410" s="49" t="s">
        <v>2350</v>
      </c>
      <c r="C5410" s="49" t="s">
        <v>9688</v>
      </c>
      <c r="D5410" s="49" t="s">
        <v>2352</v>
      </c>
      <c r="E5410" s="49" t="s">
        <v>7198</v>
      </c>
      <c r="F5410" s="49" t="s">
        <v>7199</v>
      </c>
      <c r="G5410" s="49" t="n">
        <v>0</v>
      </c>
      <c r="H5410" s="0" t="n">
        <v>0</v>
      </c>
      <c r="M5410" s="51" t="s">
        <v>9668</v>
      </c>
      <c r="N5410" s="49" t="n">
        <v>0</v>
      </c>
      <c r="O5410" s="53" t="n">
        <v>45855.529224537</v>
      </c>
      <c r="P5410" s="53" t="n">
        <v>45860.4590740741</v>
      </c>
      <c r="Q5410" s="53" t="n">
        <v>45855.529224537</v>
      </c>
      <c r="R5410" s="0" t="n">
        <v>0</v>
      </c>
      <c r="S5410" s="51" t="s">
        <v>2356</v>
      </c>
      <c r="T5410" s="51" t="s">
        <v>2356</v>
      </c>
      <c r="U5410" s="51" t="s">
        <v>7198</v>
      </c>
      <c r="V5410" s="51" t="s">
        <v>2365</v>
      </c>
      <c r="W5410" s="51" t="s">
        <v>8274</v>
      </c>
      <c r="X5410" s="51" t="s">
        <v>2359</v>
      </c>
    </row>
    <row r="5411" customFormat="false" ht="14.25" hidden="true" customHeight="false" outlineLevel="0" collapsed="false">
      <c r="A5411" s="49" t="s">
        <v>2349</v>
      </c>
      <c r="B5411" s="49" t="s">
        <v>2350</v>
      </c>
      <c r="C5411" s="49" t="s">
        <v>9689</v>
      </c>
      <c r="D5411" s="49" t="s">
        <v>2352</v>
      </c>
      <c r="E5411" s="49" t="s">
        <v>7198</v>
      </c>
      <c r="F5411" s="49" t="s">
        <v>7199</v>
      </c>
      <c r="G5411" s="49" t="n">
        <v>0</v>
      </c>
      <c r="H5411" s="0" t="n">
        <v>0</v>
      </c>
      <c r="M5411" s="51" t="s">
        <v>9668</v>
      </c>
      <c r="N5411" s="49" t="n">
        <v>0</v>
      </c>
      <c r="O5411" s="53" t="n">
        <v>45855.5286689815</v>
      </c>
      <c r="P5411" s="53" t="n">
        <v>45860.4590046296</v>
      </c>
      <c r="Q5411" s="53" t="n">
        <v>45855.5286689815</v>
      </c>
      <c r="R5411" s="0" t="n">
        <v>0</v>
      </c>
      <c r="S5411" s="51" t="s">
        <v>2356</v>
      </c>
      <c r="T5411" s="51" t="s">
        <v>2356</v>
      </c>
      <c r="U5411" s="51" t="s">
        <v>7198</v>
      </c>
      <c r="V5411" s="51" t="s">
        <v>2365</v>
      </c>
      <c r="W5411" s="51" t="s">
        <v>8278</v>
      </c>
      <c r="X5411" s="51" t="s">
        <v>2359</v>
      </c>
    </row>
    <row r="5412" customFormat="false" ht="14.25" hidden="true" customHeight="false" outlineLevel="0" collapsed="false">
      <c r="A5412" s="49" t="s">
        <v>2349</v>
      </c>
      <c r="B5412" s="49" t="s">
        <v>2350</v>
      </c>
      <c r="C5412" s="49" t="s">
        <v>9690</v>
      </c>
      <c r="D5412" s="49" t="s">
        <v>2352</v>
      </c>
      <c r="E5412" s="49" t="s">
        <v>4351</v>
      </c>
      <c r="F5412" s="49" t="s">
        <v>4352</v>
      </c>
      <c r="G5412" s="49" t="n">
        <v>0</v>
      </c>
      <c r="H5412" s="0" t="n">
        <v>0</v>
      </c>
      <c r="M5412" s="51" t="s">
        <v>9668</v>
      </c>
      <c r="N5412" s="49" t="n">
        <v>0</v>
      </c>
      <c r="O5412" s="53" t="n">
        <v>45855.5422916667</v>
      </c>
      <c r="P5412" s="53" t="n">
        <v>45857.5985069444</v>
      </c>
      <c r="Q5412" s="53" t="n">
        <v>45855.5422916667</v>
      </c>
      <c r="R5412" s="0" t="n">
        <v>0</v>
      </c>
      <c r="S5412" s="51" t="s">
        <v>2356</v>
      </c>
      <c r="T5412" s="51" t="s">
        <v>2356</v>
      </c>
      <c r="U5412" s="51" t="s">
        <v>4351</v>
      </c>
      <c r="V5412" s="51" t="s">
        <v>2365</v>
      </c>
      <c r="W5412" s="51" t="s">
        <v>4160</v>
      </c>
      <c r="X5412" s="51" t="s">
        <v>2359</v>
      </c>
    </row>
    <row r="5413" customFormat="false" ht="14.25" hidden="true" customHeight="false" outlineLevel="0" collapsed="false">
      <c r="A5413" s="49" t="s">
        <v>2349</v>
      </c>
      <c r="B5413" s="49" t="s">
        <v>2350</v>
      </c>
      <c r="C5413" s="49" t="s">
        <v>9691</v>
      </c>
      <c r="D5413" s="49" t="s">
        <v>2352</v>
      </c>
      <c r="E5413" s="49" t="str">
        <f aca="false">"5060458890191"</f>
        <v>5060458890191</v>
      </c>
      <c r="F5413" s="49" t="s">
        <v>3656</v>
      </c>
      <c r="G5413" s="49" t="n">
        <v>0</v>
      </c>
      <c r="H5413" s="0" t="n">
        <v>0</v>
      </c>
      <c r="M5413" s="51" t="s">
        <v>9692</v>
      </c>
      <c r="N5413" s="49" t="n">
        <v>0</v>
      </c>
      <c r="O5413" s="53" t="n">
        <v>45847.5767592593</v>
      </c>
      <c r="P5413" s="53" t="n">
        <v>45847.6116898148</v>
      </c>
      <c r="Q5413" s="53" t="n">
        <v>45847.5767592593</v>
      </c>
      <c r="R5413" s="0" t="n">
        <v>0</v>
      </c>
      <c r="S5413" s="51" t="s">
        <v>2398</v>
      </c>
      <c r="T5413" s="51" t="s">
        <v>2398</v>
      </c>
      <c r="U5413" s="0" t="str">
        <f aca="false">"5060458890191"</f>
        <v>5060458890191</v>
      </c>
      <c r="V5413" s="51" t="s">
        <v>2142</v>
      </c>
      <c r="W5413" s="51" t="s">
        <v>9693</v>
      </c>
      <c r="X5413" s="51" t="s">
        <v>2359</v>
      </c>
    </row>
    <row r="5414" customFormat="false" ht="14.25" hidden="true" customHeight="false" outlineLevel="0" collapsed="false">
      <c r="A5414" s="49" t="s">
        <v>2349</v>
      </c>
      <c r="B5414" s="49" t="s">
        <v>2350</v>
      </c>
      <c r="C5414" s="49" t="s">
        <v>9694</v>
      </c>
      <c r="D5414" s="49" t="s">
        <v>2352</v>
      </c>
      <c r="E5414" s="49" t="str">
        <f aca="false">"5060458890191"</f>
        <v>5060458890191</v>
      </c>
      <c r="F5414" s="49" t="s">
        <v>3656</v>
      </c>
      <c r="G5414" s="49" t="n">
        <v>0</v>
      </c>
      <c r="H5414" s="0" t="n">
        <v>0</v>
      </c>
      <c r="M5414" s="51" t="s">
        <v>9692</v>
      </c>
      <c r="N5414" s="49" t="n">
        <v>0</v>
      </c>
      <c r="O5414" s="53" t="n">
        <v>45847.5766319444</v>
      </c>
      <c r="P5414" s="53" t="n">
        <v>45847.6112037037</v>
      </c>
      <c r="Q5414" s="53" t="n">
        <v>45847.5766319444</v>
      </c>
      <c r="R5414" s="0" t="n">
        <v>0</v>
      </c>
      <c r="S5414" s="51" t="s">
        <v>2398</v>
      </c>
      <c r="T5414" s="51" t="s">
        <v>2398</v>
      </c>
      <c r="U5414" s="0" t="str">
        <f aca="false">"5060458890191"</f>
        <v>5060458890191</v>
      </c>
      <c r="V5414" s="51" t="s">
        <v>2142</v>
      </c>
      <c r="W5414" s="51" t="s">
        <v>9695</v>
      </c>
      <c r="X5414" s="51" t="s">
        <v>2359</v>
      </c>
    </row>
    <row r="5415" customFormat="false" ht="14.25" hidden="true" customHeight="false" outlineLevel="0" collapsed="false">
      <c r="A5415" s="49" t="s">
        <v>2349</v>
      </c>
      <c r="B5415" s="49" t="s">
        <v>2350</v>
      </c>
      <c r="C5415" s="49" t="s">
        <v>9696</v>
      </c>
      <c r="D5415" s="49" t="s">
        <v>2352</v>
      </c>
      <c r="E5415" s="49" t="str">
        <f aca="false">"5060458890191"</f>
        <v>5060458890191</v>
      </c>
      <c r="F5415" s="49" t="s">
        <v>3656</v>
      </c>
      <c r="G5415" s="49" t="n">
        <v>0</v>
      </c>
      <c r="H5415" s="0" t="n">
        <v>0</v>
      </c>
      <c r="M5415" s="51" t="s">
        <v>9692</v>
      </c>
      <c r="N5415" s="49" t="n">
        <v>0</v>
      </c>
      <c r="O5415" s="53" t="n">
        <v>45847.5764930556</v>
      </c>
      <c r="P5415" s="53" t="n">
        <v>45847.6108333333</v>
      </c>
      <c r="Q5415" s="53" t="n">
        <v>45847.5764930556</v>
      </c>
      <c r="R5415" s="0" t="n">
        <v>0</v>
      </c>
      <c r="S5415" s="51" t="s">
        <v>2398</v>
      </c>
      <c r="T5415" s="51" t="s">
        <v>2398</v>
      </c>
      <c r="U5415" s="0" t="str">
        <f aca="false">"5060458890191"</f>
        <v>5060458890191</v>
      </c>
      <c r="V5415" s="51" t="s">
        <v>2142</v>
      </c>
      <c r="W5415" s="51" t="s">
        <v>6769</v>
      </c>
      <c r="X5415" s="51" t="s">
        <v>2359</v>
      </c>
    </row>
    <row r="5416" customFormat="false" ht="14.25" hidden="true" customHeight="false" outlineLevel="0" collapsed="false">
      <c r="A5416" s="49" t="s">
        <v>2349</v>
      </c>
      <c r="B5416" s="49" t="s">
        <v>2350</v>
      </c>
      <c r="C5416" s="49" t="s">
        <v>9697</v>
      </c>
      <c r="D5416" s="49" t="s">
        <v>2352</v>
      </c>
      <c r="E5416" s="49" t="str">
        <f aca="false">"5060458890191"</f>
        <v>5060458890191</v>
      </c>
      <c r="F5416" s="49" t="s">
        <v>3656</v>
      </c>
      <c r="G5416" s="49" t="n">
        <v>0</v>
      </c>
      <c r="H5416" s="0" t="n">
        <v>0</v>
      </c>
      <c r="M5416" s="51" t="s">
        <v>9692</v>
      </c>
      <c r="N5416" s="49" t="n">
        <v>0</v>
      </c>
      <c r="O5416" s="53" t="n">
        <v>45847.5750578704</v>
      </c>
      <c r="P5416" s="53" t="n">
        <v>45847.6106712963</v>
      </c>
      <c r="Q5416" s="53" t="n">
        <v>45847.5750578704</v>
      </c>
      <c r="R5416" s="0" t="n">
        <v>0</v>
      </c>
      <c r="S5416" s="51" t="s">
        <v>2398</v>
      </c>
      <c r="T5416" s="51" t="s">
        <v>2398</v>
      </c>
      <c r="U5416" s="0" t="str">
        <f aca="false">"5060458890191"</f>
        <v>5060458890191</v>
      </c>
      <c r="V5416" s="51" t="s">
        <v>2142</v>
      </c>
      <c r="W5416" s="51" t="s">
        <v>6752</v>
      </c>
      <c r="X5416" s="51" t="s">
        <v>2359</v>
      </c>
    </row>
    <row r="5417" customFormat="false" ht="14.25" hidden="true" customHeight="false" outlineLevel="0" collapsed="false">
      <c r="A5417" s="49" t="s">
        <v>2349</v>
      </c>
      <c r="B5417" s="49" t="s">
        <v>2350</v>
      </c>
      <c r="C5417" s="49" t="s">
        <v>9698</v>
      </c>
      <c r="D5417" s="49" t="s">
        <v>2352</v>
      </c>
      <c r="E5417" s="49" t="str">
        <f aca="false">"5060458890191"</f>
        <v>5060458890191</v>
      </c>
      <c r="F5417" s="49" t="s">
        <v>3656</v>
      </c>
      <c r="G5417" s="49" t="n">
        <v>0</v>
      </c>
      <c r="H5417" s="0" t="n">
        <v>0</v>
      </c>
      <c r="M5417" s="51" t="s">
        <v>9692</v>
      </c>
      <c r="N5417" s="49" t="n">
        <v>0</v>
      </c>
      <c r="O5417" s="53" t="n">
        <v>45847.5683680556</v>
      </c>
      <c r="P5417" s="53" t="n">
        <v>45847.6122916667</v>
      </c>
      <c r="Q5417" s="53" t="n">
        <v>45847.5683680556</v>
      </c>
      <c r="R5417" s="0" t="n">
        <v>0</v>
      </c>
      <c r="S5417" s="51" t="s">
        <v>2398</v>
      </c>
      <c r="T5417" s="51" t="s">
        <v>2398</v>
      </c>
      <c r="U5417" s="0" t="str">
        <f aca="false">"5060458890191"</f>
        <v>5060458890191</v>
      </c>
      <c r="V5417" s="51" t="s">
        <v>2142</v>
      </c>
      <c r="W5417" s="51" t="s">
        <v>9699</v>
      </c>
      <c r="X5417" s="51" t="s">
        <v>2359</v>
      </c>
    </row>
    <row r="5418" customFormat="false" ht="14.25" hidden="true" customHeight="false" outlineLevel="0" collapsed="false">
      <c r="A5418" s="49" t="s">
        <v>2349</v>
      </c>
      <c r="B5418" s="49" t="s">
        <v>2350</v>
      </c>
      <c r="C5418" s="49" t="s">
        <v>9700</v>
      </c>
      <c r="D5418" s="49" t="s">
        <v>2352</v>
      </c>
      <c r="E5418" s="49" t="str">
        <f aca="false">"5060458890191"</f>
        <v>5060458890191</v>
      </c>
      <c r="F5418" s="49" t="s">
        <v>3656</v>
      </c>
      <c r="G5418" s="49" t="n">
        <v>0</v>
      </c>
      <c r="H5418" s="0" t="n">
        <v>0</v>
      </c>
      <c r="M5418" s="51" t="s">
        <v>9692</v>
      </c>
      <c r="N5418" s="49" t="n">
        <v>0</v>
      </c>
      <c r="O5418" s="53" t="n">
        <v>45847.5681712963</v>
      </c>
      <c r="P5418" s="53" t="n">
        <v>45847.6121759259</v>
      </c>
      <c r="Q5418" s="53" t="n">
        <v>45847.5681712963</v>
      </c>
      <c r="R5418" s="0" t="n">
        <v>0</v>
      </c>
      <c r="S5418" s="51" t="s">
        <v>2398</v>
      </c>
      <c r="T5418" s="51" t="s">
        <v>2398</v>
      </c>
      <c r="U5418" s="0" t="str">
        <f aca="false">"5060458890191"</f>
        <v>5060458890191</v>
      </c>
      <c r="V5418" s="51" t="s">
        <v>2142</v>
      </c>
      <c r="W5418" s="51" t="s">
        <v>9701</v>
      </c>
      <c r="X5418" s="51" t="s">
        <v>2359</v>
      </c>
    </row>
    <row r="5419" customFormat="false" ht="14.25" hidden="true" customHeight="false" outlineLevel="0" collapsed="false">
      <c r="A5419" s="49" t="s">
        <v>2349</v>
      </c>
      <c r="B5419" s="49" t="s">
        <v>2350</v>
      </c>
      <c r="C5419" s="49" t="s">
        <v>9702</v>
      </c>
      <c r="D5419" s="49" t="s">
        <v>2352</v>
      </c>
      <c r="E5419" s="49" t="str">
        <f aca="false">"5060458890191"</f>
        <v>5060458890191</v>
      </c>
      <c r="F5419" s="49" t="s">
        <v>3656</v>
      </c>
      <c r="G5419" s="49" t="n">
        <v>0</v>
      </c>
      <c r="H5419" s="0" t="n">
        <v>0</v>
      </c>
      <c r="M5419" s="51" t="s">
        <v>9692</v>
      </c>
      <c r="N5419" s="49" t="n">
        <v>0</v>
      </c>
      <c r="O5419" s="53" t="n">
        <v>45847.5680555556</v>
      </c>
      <c r="P5419" s="53" t="n">
        <v>45847.6119328704</v>
      </c>
      <c r="Q5419" s="53" t="n">
        <v>45847.5680555556</v>
      </c>
      <c r="R5419" s="0" t="n">
        <v>0</v>
      </c>
      <c r="S5419" s="51" t="s">
        <v>2398</v>
      </c>
      <c r="T5419" s="51" t="s">
        <v>2398</v>
      </c>
      <c r="U5419" s="0" t="str">
        <f aca="false">"5060458890191"</f>
        <v>5060458890191</v>
      </c>
      <c r="V5419" s="51" t="s">
        <v>2142</v>
      </c>
      <c r="W5419" s="51" t="s">
        <v>9703</v>
      </c>
      <c r="X5419" s="51" t="s">
        <v>2359</v>
      </c>
    </row>
    <row r="5420" customFormat="false" ht="14.25" hidden="true" customHeight="false" outlineLevel="0" collapsed="false">
      <c r="A5420" s="49" t="s">
        <v>2349</v>
      </c>
      <c r="B5420" s="49" t="s">
        <v>2350</v>
      </c>
      <c r="C5420" s="49" t="s">
        <v>9704</v>
      </c>
      <c r="D5420" s="49" t="s">
        <v>2352</v>
      </c>
      <c r="E5420" s="49" t="str">
        <f aca="false">"5060458890191"</f>
        <v>5060458890191</v>
      </c>
      <c r="F5420" s="49" t="s">
        <v>3656</v>
      </c>
      <c r="G5420" s="49" t="n">
        <v>0</v>
      </c>
      <c r="H5420" s="0" t="n">
        <v>0</v>
      </c>
      <c r="M5420" s="51" t="s">
        <v>9692</v>
      </c>
      <c r="N5420" s="49" t="n">
        <v>0</v>
      </c>
      <c r="O5420" s="53" t="n">
        <v>45847.5679166667</v>
      </c>
      <c r="P5420" s="53" t="n">
        <v>45847.6115509259</v>
      </c>
      <c r="Q5420" s="53" t="n">
        <v>45847.5679166667</v>
      </c>
      <c r="R5420" s="0" t="n">
        <v>0</v>
      </c>
      <c r="S5420" s="51" t="s">
        <v>2398</v>
      </c>
      <c r="T5420" s="51" t="s">
        <v>2398</v>
      </c>
      <c r="U5420" s="0" t="str">
        <f aca="false">"5060458890191"</f>
        <v>5060458890191</v>
      </c>
      <c r="V5420" s="51" t="s">
        <v>2142</v>
      </c>
      <c r="W5420" s="51" t="s">
        <v>9705</v>
      </c>
      <c r="X5420" s="51" t="s">
        <v>2359</v>
      </c>
    </row>
    <row r="5421" customFormat="false" ht="14.25" hidden="true" customHeight="false" outlineLevel="0" collapsed="false">
      <c r="A5421" s="49" t="s">
        <v>2349</v>
      </c>
      <c r="B5421" s="49" t="s">
        <v>2350</v>
      </c>
      <c r="C5421" s="49" t="s">
        <v>9706</v>
      </c>
      <c r="D5421" s="49" t="s">
        <v>2352</v>
      </c>
      <c r="E5421" s="49" t="str">
        <f aca="false">"5060458890191"</f>
        <v>5060458890191</v>
      </c>
      <c r="F5421" s="49" t="s">
        <v>3656</v>
      </c>
      <c r="G5421" s="49" t="n">
        <v>0</v>
      </c>
      <c r="H5421" s="0" t="n">
        <v>0</v>
      </c>
      <c r="M5421" s="51" t="s">
        <v>9692</v>
      </c>
      <c r="N5421" s="49" t="n">
        <v>0</v>
      </c>
      <c r="O5421" s="53" t="n">
        <v>45847.5677893519</v>
      </c>
      <c r="P5421" s="53" t="n">
        <v>45847.6113310185</v>
      </c>
      <c r="Q5421" s="53" t="n">
        <v>45847.5677893519</v>
      </c>
      <c r="R5421" s="0" t="n">
        <v>0</v>
      </c>
      <c r="S5421" s="51" t="s">
        <v>2398</v>
      </c>
      <c r="T5421" s="51" t="s">
        <v>2398</v>
      </c>
      <c r="U5421" s="0" t="str">
        <f aca="false">"5060458890191"</f>
        <v>5060458890191</v>
      </c>
      <c r="V5421" s="51" t="s">
        <v>2142</v>
      </c>
      <c r="W5421" s="51" t="s">
        <v>9705</v>
      </c>
      <c r="X5421" s="51" t="s">
        <v>2359</v>
      </c>
    </row>
    <row r="5422" customFormat="false" ht="14.25" hidden="true" customHeight="false" outlineLevel="0" collapsed="false">
      <c r="A5422" s="49" t="s">
        <v>2349</v>
      </c>
      <c r="B5422" s="49" t="s">
        <v>2350</v>
      </c>
      <c r="C5422" s="49" t="s">
        <v>9707</v>
      </c>
      <c r="D5422" s="49" t="s">
        <v>2352</v>
      </c>
      <c r="E5422" s="49" t="str">
        <f aca="false">"5060458890191"</f>
        <v>5060458890191</v>
      </c>
      <c r="F5422" s="49" t="s">
        <v>3656</v>
      </c>
      <c r="G5422" s="49" t="n">
        <v>0</v>
      </c>
      <c r="H5422" s="0" t="n">
        <v>0</v>
      </c>
      <c r="M5422" s="51" t="s">
        <v>9692</v>
      </c>
      <c r="N5422" s="49" t="n">
        <v>0</v>
      </c>
      <c r="O5422" s="53" t="n">
        <v>45847.5676736111</v>
      </c>
      <c r="P5422" s="53" t="n">
        <v>45847.611087963</v>
      </c>
      <c r="Q5422" s="53" t="n">
        <v>45847.5676736111</v>
      </c>
      <c r="R5422" s="0" t="n">
        <v>0</v>
      </c>
      <c r="S5422" s="51" t="s">
        <v>2398</v>
      </c>
      <c r="T5422" s="51" t="s">
        <v>2398</v>
      </c>
      <c r="U5422" s="0" t="str">
        <f aca="false">"5060458890191"</f>
        <v>5060458890191</v>
      </c>
      <c r="V5422" s="51" t="s">
        <v>2142</v>
      </c>
      <c r="W5422" s="51" t="s">
        <v>8211</v>
      </c>
      <c r="X5422" s="51" t="s">
        <v>2359</v>
      </c>
    </row>
    <row r="5423" customFormat="false" ht="14.25" hidden="true" customHeight="false" outlineLevel="0" collapsed="false">
      <c r="A5423" s="49" t="s">
        <v>2349</v>
      </c>
      <c r="B5423" s="49" t="s">
        <v>2350</v>
      </c>
      <c r="C5423" s="49" t="s">
        <v>9708</v>
      </c>
      <c r="D5423" s="49" t="s">
        <v>2352</v>
      </c>
      <c r="E5423" s="49" t="str">
        <f aca="false">"5060458890191"</f>
        <v>5060458890191</v>
      </c>
      <c r="F5423" s="49" t="s">
        <v>3656</v>
      </c>
      <c r="G5423" s="49" t="n">
        <v>0</v>
      </c>
      <c r="H5423" s="0" t="n">
        <v>0</v>
      </c>
      <c r="M5423" s="51" t="s">
        <v>9692</v>
      </c>
      <c r="N5423" s="49" t="n">
        <v>0</v>
      </c>
      <c r="O5423" s="53" t="n">
        <v>45847.5673263889</v>
      </c>
      <c r="P5423" s="53" t="n">
        <v>45847.6109722222</v>
      </c>
      <c r="Q5423" s="53" t="n">
        <v>45847.5673263889</v>
      </c>
      <c r="R5423" s="0" t="n">
        <v>0</v>
      </c>
      <c r="S5423" s="51" t="s">
        <v>2398</v>
      </c>
      <c r="T5423" s="51" t="s">
        <v>2398</v>
      </c>
      <c r="U5423" s="0" t="str">
        <f aca="false">"5060458890191"</f>
        <v>5060458890191</v>
      </c>
      <c r="V5423" s="51" t="s">
        <v>2142</v>
      </c>
      <c r="W5423" s="51" t="s">
        <v>4016</v>
      </c>
      <c r="X5423" s="51" t="s">
        <v>2359</v>
      </c>
    </row>
    <row r="5424" customFormat="false" ht="14.25" hidden="true" customHeight="false" outlineLevel="0" collapsed="false">
      <c r="A5424" s="49" t="s">
        <v>2349</v>
      </c>
      <c r="B5424" s="49" t="s">
        <v>2350</v>
      </c>
      <c r="C5424" s="49" t="s">
        <v>9709</v>
      </c>
      <c r="D5424" s="49" t="s">
        <v>2352</v>
      </c>
      <c r="E5424" s="49" t="s">
        <v>4351</v>
      </c>
      <c r="F5424" s="49" t="s">
        <v>4352</v>
      </c>
      <c r="G5424" s="49" t="n">
        <v>0</v>
      </c>
      <c r="H5424" s="0" t="n">
        <v>0</v>
      </c>
      <c r="M5424" s="51" t="s">
        <v>9710</v>
      </c>
      <c r="N5424" s="49" t="n">
        <v>0</v>
      </c>
      <c r="O5424" s="53" t="n">
        <v>45880.5964236111</v>
      </c>
      <c r="P5424" s="53" t="n">
        <v>45881.5645486111</v>
      </c>
      <c r="Q5424" s="53" t="n">
        <v>45880.5964236111</v>
      </c>
      <c r="R5424" s="0" t="n">
        <v>0</v>
      </c>
      <c r="S5424" s="51" t="s">
        <v>2356</v>
      </c>
      <c r="T5424" s="51" t="s">
        <v>2356</v>
      </c>
      <c r="U5424" s="51" t="s">
        <v>4351</v>
      </c>
      <c r="V5424" s="51" t="s">
        <v>2365</v>
      </c>
      <c r="W5424" s="51" t="s">
        <v>8375</v>
      </c>
      <c r="X5424" s="51" t="s">
        <v>2359</v>
      </c>
    </row>
    <row r="5425" customFormat="false" ht="14.25" hidden="true" customHeight="false" outlineLevel="0" collapsed="false">
      <c r="A5425" s="49" t="s">
        <v>2349</v>
      </c>
      <c r="B5425" s="49" t="s">
        <v>2350</v>
      </c>
      <c r="C5425" s="49" t="s">
        <v>9711</v>
      </c>
      <c r="D5425" s="49" t="s">
        <v>2352</v>
      </c>
      <c r="E5425" s="49" t="s">
        <v>4351</v>
      </c>
      <c r="F5425" s="49" t="s">
        <v>4352</v>
      </c>
      <c r="G5425" s="49" t="n">
        <v>0</v>
      </c>
      <c r="H5425" s="0" t="n">
        <v>0</v>
      </c>
      <c r="M5425" s="51" t="s">
        <v>9710</v>
      </c>
      <c r="N5425" s="49" t="n">
        <v>0</v>
      </c>
      <c r="O5425" s="53" t="n">
        <v>45880.5960069444</v>
      </c>
      <c r="P5425" s="53" t="n">
        <v>45883.6087731481</v>
      </c>
      <c r="Q5425" s="53" t="n">
        <v>45880.5960069444</v>
      </c>
      <c r="R5425" s="0" t="n">
        <v>0</v>
      </c>
      <c r="S5425" s="51" t="s">
        <v>2356</v>
      </c>
      <c r="T5425" s="51" t="s">
        <v>2356</v>
      </c>
      <c r="U5425" s="51" t="s">
        <v>4351</v>
      </c>
      <c r="V5425" s="51" t="s">
        <v>2365</v>
      </c>
      <c r="W5425" s="51" t="s">
        <v>5397</v>
      </c>
      <c r="X5425" s="51" t="s">
        <v>2359</v>
      </c>
    </row>
    <row r="5426" customFormat="false" ht="14.25" hidden="true" customHeight="false" outlineLevel="0" collapsed="false">
      <c r="A5426" s="49" t="s">
        <v>2349</v>
      </c>
      <c r="B5426" s="49" t="s">
        <v>2350</v>
      </c>
      <c r="C5426" s="49" t="s">
        <v>9712</v>
      </c>
      <c r="D5426" s="49" t="s">
        <v>2352</v>
      </c>
      <c r="E5426" s="49" t="s">
        <v>4351</v>
      </c>
      <c r="F5426" s="49" t="s">
        <v>4352</v>
      </c>
      <c r="G5426" s="49" t="n">
        <v>0</v>
      </c>
      <c r="H5426" s="0" t="n">
        <v>0</v>
      </c>
      <c r="M5426" s="51" t="s">
        <v>9710</v>
      </c>
      <c r="N5426" s="49" t="n">
        <v>0</v>
      </c>
      <c r="O5426" s="53" t="n">
        <v>45880.5957175926</v>
      </c>
      <c r="P5426" s="53" t="n">
        <v>45883.6088310185</v>
      </c>
      <c r="Q5426" s="53" t="n">
        <v>45880.5957175926</v>
      </c>
      <c r="R5426" s="0" t="n">
        <v>0</v>
      </c>
      <c r="S5426" s="51" t="s">
        <v>2356</v>
      </c>
      <c r="T5426" s="51" t="s">
        <v>2356</v>
      </c>
      <c r="U5426" s="51" t="s">
        <v>4351</v>
      </c>
      <c r="V5426" s="51" t="s">
        <v>2365</v>
      </c>
      <c r="W5426" s="51" t="s">
        <v>4175</v>
      </c>
      <c r="X5426" s="51" t="s">
        <v>2359</v>
      </c>
    </row>
    <row r="5427" customFormat="false" ht="14.25" hidden="true" customHeight="false" outlineLevel="0" collapsed="false">
      <c r="A5427" s="49" t="s">
        <v>2349</v>
      </c>
      <c r="B5427" s="49" t="s">
        <v>2350</v>
      </c>
      <c r="C5427" s="49" t="s">
        <v>9713</v>
      </c>
      <c r="D5427" s="49" t="s">
        <v>2352</v>
      </c>
      <c r="E5427" s="49" t="s">
        <v>4351</v>
      </c>
      <c r="F5427" s="49" t="s">
        <v>4352</v>
      </c>
      <c r="G5427" s="49" t="n">
        <v>0</v>
      </c>
      <c r="H5427" s="0" t="n">
        <v>0</v>
      </c>
      <c r="M5427" s="51" t="s">
        <v>9710</v>
      </c>
      <c r="N5427" s="49" t="n">
        <v>0</v>
      </c>
      <c r="O5427" s="53" t="n">
        <v>45880.5954282407</v>
      </c>
      <c r="P5427" s="53" t="n">
        <v>45883.6088888889</v>
      </c>
      <c r="Q5427" s="53" t="n">
        <v>45880.5954282407</v>
      </c>
      <c r="R5427" s="0" t="n">
        <v>0</v>
      </c>
      <c r="S5427" s="51" t="s">
        <v>2356</v>
      </c>
      <c r="T5427" s="51" t="s">
        <v>2356</v>
      </c>
      <c r="U5427" s="51" t="s">
        <v>4351</v>
      </c>
      <c r="V5427" s="51" t="s">
        <v>2365</v>
      </c>
      <c r="W5427" s="51" t="s">
        <v>5388</v>
      </c>
      <c r="X5427" s="51" t="s">
        <v>2359</v>
      </c>
    </row>
    <row r="5428" customFormat="false" ht="14.25" hidden="true" customHeight="false" outlineLevel="0" collapsed="false">
      <c r="A5428" s="49" t="s">
        <v>2349</v>
      </c>
      <c r="B5428" s="49" t="s">
        <v>2350</v>
      </c>
      <c r="C5428" s="49" t="s">
        <v>9714</v>
      </c>
      <c r="D5428" s="49" t="s">
        <v>2352</v>
      </c>
      <c r="E5428" s="49" t="s">
        <v>4351</v>
      </c>
      <c r="F5428" s="49" t="s">
        <v>4352</v>
      </c>
      <c r="G5428" s="49" t="n">
        <v>0</v>
      </c>
      <c r="H5428" s="0" t="n">
        <v>0</v>
      </c>
      <c r="M5428" s="51" t="s">
        <v>9710</v>
      </c>
      <c r="N5428" s="49" t="n">
        <v>0</v>
      </c>
      <c r="O5428" s="53" t="n">
        <v>45880.595150463</v>
      </c>
      <c r="P5428" s="53" t="n">
        <v>45883.6021180556</v>
      </c>
      <c r="Q5428" s="53" t="n">
        <v>45880.595150463</v>
      </c>
      <c r="R5428" s="0" t="n">
        <v>0</v>
      </c>
      <c r="S5428" s="51" t="s">
        <v>2356</v>
      </c>
      <c r="T5428" s="51" t="s">
        <v>2356</v>
      </c>
      <c r="U5428" s="51" t="s">
        <v>4351</v>
      </c>
      <c r="V5428" s="51" t="s">
        <v>2365</v>
      </c>
      <c r="W5428" s="51" t="s">
        <v>9715</v>
      </c>
      <c r="X5428" s="51" t="s">
        <v>2359</v>
      </c>
    </row>
    <row r="5429" customFormat="false" ht="14.25" hidden="true" customHeight="false" outlineLevel="0" collapsed="false">
      <c r="A5429" s="49" t="s">
        <v>2349</v>
      </c>
      <c r="B5429" s="49" t="s">
        <v>2350</v>
      </c>
      <c r="C5429" s="49" t="s">
        <v>9716</v>
      </c>
      <c r="D5429" s="49" t="s">
        <v>2352</v>
      </c>
      <c r="E5429" s="49" t="s">
        <v>4351</v>
      </c>
      <c r="F5429" s="49" t="s">
        <v>4352</v>
      </c>
      <c r="G5429" s="49" t="n">
        <v>0</v>
      </c>
      <c r="H5429" s="0" t="n">
        <v>0</v>
      </c>
      <c r="M5429" s="51" t="s">
        <v>9710</v>
      </c>
      <c r="N5429" s="49" t="n">
        <v>0</v>
      </c>
      <c r="O5429" s="53" t="n">
        <v>45880.5948611111</v>
      </c>
      <c r="P5429" s="53" t="n">
        <v>45885.642349537</v>
      </c>
      <c r="Q5429" s="53" t="n">
        <v>45880.5948611111</v>
      </c>
      <c r="R5429" s="0" t="n">
        <v>0</v>
      </c>
      <c r="S5429" s="51" t="s">
        <v>2356</v>
      </c>
      <c r="T5429" s="51" t="s">
        <v>2356</v>
      </c>
      <c r="U5429" s="51" t="s">
        <v>4351</v>
      </c>
      <c r="V5429" s="51" t="s">
        <v>2365</v>
      </c>
      <c r="W5429" s="51" t="s">
        <v>8293</v>
      </c>
      <c r="X5429" s="51" t="s">
        <v>2359</v>
      </c>
    </row>
    <row r="5430" customFormat="false" ht="14.25" hidden="true" customHeight="false" outlineLevel="0" collapsed="false">
      <c r="A5430" s="49" t="s">
        <v>2349</v>
      </c>
      <c r="B5430" s="49" t="s">
        <v>2350</v>
      </c>
      <c r="C5430" s="49" t="s">
        <v>9717</v>
      </c>
      <c r="D5430" s="49" t="s">
        <v>2352</v>
      </c>
      <c r="E5430" s="49" t="s">
        <v>4351</v>
      </c>
      <c r="F5430" s="49" t="s">
        <v>4352</v>
      </c>
      <c r="G5430" s="49" t="n">
        <v>0</v>
      </c>
      <c r="H5430" s="0" t="n">
        <v>0</v>
      </c>
      <c r="M5430" s="51" t="s">
        <v>9710</v>
      </c>
      <c r="N5430" s="49" t="n">
        <v>0</v>
      </c>
      <c r="O5430" s="53" t="n">
        <v>45880.5945023148</v>
      </c>
      <c r="P5430" s="53" t="n">
        <v>45885.6424074074</v>
      </c>
      <c r="Q5430" s="53" t="n">
        <v>45880.5945023148</v>
      </c>
      <c r="R5430" s="0" t="n">
        <v>0</v>
      </c>
      <c r="S5430" s="51" t="s">
        <v>2356</v>
      </c>
      <c r="T5430" s="51" t="s">
        <v>2356</v>
      </c>
      <c r="U5430" s="51" t="s">
        <v>4351</v>
      </c>
      <c r="V5430" s="51" t="s">
        <v>2365</v>
      </c>
      <c r="W5430" s="51" t="s">
        <v>9718</v>
      </c>
      <c r="X5430" s="51" t="s">
        <v>2359</v>
      </c>
    </row>
    <row r="5431" customFormat="false" ht="14.25" hidden="true" customHeight="false" outlineLevel="0" collapsed="false">
      <c r="A5431" s="49" t="s">
        <v>2349</v>
      </c>
      <c r="B5431" s="49" t="s">
        <v>2350</v>
      </c>
      <c r="C5431" s="49" t="s">
        <v>9719</v>
      </c>
      <c r="D5431" s="49" t="s">
        <v>2352</v>
      </c>
      <c r="E5431" s="49" t="s">
        <v>4351</v>
      </c>
      <c r="F5431" s="49" t="s">
        <v>4352</v>
      </c>
      <c r="G5431" s="49" t="n">
        <v>0</v>
      </c>
      <c r="H5431" s="0" t="n">
        <v>0</v>
      </c>
      <c r="M5431" s="51" t="s">
        <v>9710</v>
      </c>
      <c r="N5431" s="49" t="n">
        <v>0</v>
      </c>
      <c r="O5431" s="53" t="n">
        <v>45880.5941550926</v>
      </c>
      <c r="P5431" s="53" t="n">
        <v>45885.6422916667</v>
      </c>
      <c r="Q5431" s="53" t="n">
        <v>45880.5941550926</v>
      </c>
      <c r="R5431" s="0" t="n">
        <v>0</v>
      </c>
      <c r="S5431" s="51" t="s">
        <v>2356</v>
      </c>
      <c r="T5431" s="51" t="s">
        <v>2356</v>
      </c>
      <c r="U5431" s="51" t="s">
        <v>4351</v>
      </c>
      <c r="V5431" s="51" t="s">
        <v>2365</v>
      </c>
      <c r="W5431" s="51" t="s">
        <v>3734</v>
      </c>
      <c r="X5431" s="51" t="s">
        <v>2359</v>
      </c>
    </row>
    <row r="5432" customFormat="false" ht="14.25" hidden="true" customHeight="false" outlineLevel="0" collapsed="false">
      <c r="A5432" s="49" t="s">
        <v>2349</v>
      </c>
      <c r="B5432" s="49" t="s">
        <v>2350</v>
      </c>
      <c r="C5432" s="49" t="s">
        <v>9720</v>
      </c>
      <c r="D5432" s="49" t="s">
        <v>2352</v>
      </c>
      <c r="E5432" s="49" t="s">
        <v>4351</v>
      </c>
      <c r="F5432" s="49" t="s">
        <v>4352</v>
      </c>
      <c r="G5432" s="49" t="n">
        <v>0</v>
      </c>
      <c r="H5432" s="0" t="n">
        <v>0</v>
      </c>
      <c r="M5432" s="51" t="s">
        <v>9710</v>
      </c>
      <c r="N5432" s="49" t="n">
        <v>0</v>
      </c>
      <c r="O5432" s="53" t="n">
        <v>45880.5938078704</v>
      </c>
      <c r="P5432" s="53" t="n">
        <v>45885.6426851852</v>
      </c>
      <c r="Q5432" s="53" t="n">
        <v>45880.5938078704</v>
      </c>
      <c r="R5432" s="0" t="n">
        <v>0</v>
      </c>
      <c r="S5432" s="51" t="s">
        <v>2356</v>
      </c>
      <c r="T5432" s="51" t="s">
        <v>2356</v>
      </c>
      <c r="U5432" s="51" t="s">
        <v>4351</v>
      </c>
      <c r="V5432" s="51" t="s">
        <v>2365</v>
      </c>
      <c r="W5432" s="51" t="s">
        <v>9050</v>
      </c>
      <c r="X5432" s="51" t="s">
        <v>2359</v>
      </c>
    </row>
    <row r="5433" customFormat="false" ht="14.25" hidden="true" customHeight="false" outlineLevel="0" collapsed="false">
      <c r="A5433" s="49" t="s">
        <v>2349</v>
      </c>
      <c r="B5433" s="49" t="s">
        <v>2350</v>
      </c>
      <c r="C5433" s="49" t="s">
        <v>9721</v>
      </c>
      <c r="D5433" s="49" t="s">
        <v>2352</v>
      </c>
      <c r="E5433" s="49" t="s">
        <v>4351</v>
      </c>
      <c r="F5433" s="49" t="s">
        <v>4352</v>
      </c>
      <c r="G5433" s="49" t="n">
        <v>0</v>
      </c>
      <c r="H5433" s="0" t="n">
        <v>0</v>
      </c>
      <c r="M5433" s="51" t="s">
        <v>9710</v>
      </c>
      <c r="N5433" s="49" t="n">
        <v>0</v>
      </c>
      <c r="O5433" s="53" t="n">
        <v>45880.5933796296</v>
      </c>
      <c r="P5433" s="53" t="n">
        <v>45885.6428240741</v>
      </c>
      <c r="Q5433" s="53" t="n">
        <v>45880.5933796296</v>
      </c>
      <c r="R5433" s="0" t="n">
        <v>0</v>
      </c>
      <c r="S5433" s="51" t="s">
        <v>2356</v>
      </c>
      <c r="T5433" s="51" t="s">
        <v>2356</v>
      </c>
      <c r="U5433" s="51" t="s">
        <v>4351</v>
      </c>
      <c r="V5433" s="51" t="s">
        <v>2365</v>
      </c>
      <c r="W5433" s="51" t="s">
        <v>4365</v>
      </c>
      <c r="X5433" s="51" t="s">
        <v>2359</v>
      </c>
    </row>
    <row r="5434" customFormat="false" ht="14.25" hidden="true" customHeight="false" outlineLevel="0" collapsed="false">
      <c r="A5434" s="49" t="s">
        <v>2349</v>
      </c>
      <c r="B5434" s="49" t="s">
        <v>2350</v>
      </c>
      <c r="C5434" s="49" t="s">
        <v>9722</v>
      </c>
      <c r="D5434" s="49" t="s">
        <v>2352</v>
      </c>
      <c r="E5434" s="49" t="s">
        <v>4351</v>
      </c>
      <c r="F5434" s="49" t="s">
        <v>4352</v>
      </c>
      <c r="G5434" s="49" t="n">
        <v>0</v>
      </c>
      <c r="H5434" s="0" t="n">
        <v>0</v>
      </c>
      <c r="M5434" s="51" t="s">
        <v>9710</v>
      </c>
      <c r="N5434" s="49" t="n">
        <v>0</v>
      </c>
      <c r="O5434" s="53" t="n">
        <v>45880.5930208333</v>
      </c>
      <c r="P5434" s="53" t="n">
        <v>45885.6429166667</v>
      </c>
      <c r="Q5434" s="53" t="n">
        <v>45880.5930208333</v>
      </c>
      <c r="R5434" s="0" t="n">
        <v>0</v>
      </c>
      <c r="S5434" s="51" t="s">
        <v>2356</v>
      </c>
      <c r="T5434" s="51" t="s">
        <v>2356</v>
      </c>
      <c r="U5434" s="51" t="s">
        <v>4351</v>
      </c>
      <c r="V5434" s="51" t="s">
        <v>2365</v>
      </c>
      <c r="W5434" s="51" t="s">
        <v>4138</v>
      </c>
      <c r="X5434" s="51" t="s">
        <v>2359</v>
      </c>
    </row>
    <row r="5435" customFormat="false" ht="14.25" hidden="true" customHeight="false" outlineLevel="0" collapsed="false">
      <c r="A5435" s="49" t="s">
        <v>2349</v>
      </c>
      <c r="B5435" s="49" t="s">
        <v>2350</v>
      </c>
      <c r="C5435" s="49" t="s">
        <v>9723</v>
      </c>
      <c r="D5435" s="49" t="s">
        <v>2352</v>
      </c>
      <c r="E5435" s="49" t="s">
        <v>4351</v>
      </c>
      <c r="F5435" s="49" t="s">
        <v>4352</v>
      </c>
      <c r="G5435" s="49" t="n">
        <v>0</v>
      </c>
      <c r="H5435" s="0" t="n">
        <v>0</v>
      </c>
      <c r="M5435" s="51" t="s">
        <v>9710</v>
      </c>
      <c r="N5435" s="49" t="n">
        <v>0</v>
      </c>
      <c r="O5435" s="53" t="n">
        <v>45880.5926157407</v>
      </c>
      <c r="P5435" s="53" t="n">
        <v>45885.6430555556</v>
      </c>
      <c r="Q5435" s="53" t="n">
        <v>45880.5926157407</v>
      </c>
      <c r="R5435" s="0" t="n">
        <v>0</v>
      </c>
      <c r="S5435" s="51" t="s">
        <v>2356</v>
      </c>
      <c r="T5435" s="51" t="s">
        <v>2356</v>
      </c>
      <c r="U5435" s="51" t="s">
        <v>4351</v>
      </c>
      <c r="V5435" s="51" t="s">
        <v>2365</v>
      </c>
      <c r="W5435" s="51" t="s">
        <v>9724</v>
      </c>
      <c r="X5435" s="51" t="s">
        <v>2359</v>
      </c>
    </row>
    <row r="5436" customFormat="false" ht="14.25" hidden="true" customHeight="false" outlineLevel="0" collapsed="false">
      <c r="A5436" s="49" t="s">
        <v>2349</v>
      </c>
      <c r="B5436" s="49" t="s">
        <v>2350</v>
      </c>
      <c r="C5436" s="49" t="s">
        <v>9725</v>
      </c>
      <c r="D5436" s="49" t="s">
        <v>2352</v>
      </c>
      <c r="E5436" s="49" t="s">
        <v>4351</v>
      </c>
      <c r="F5436" s="49" t="s">
        <v>4352</v>
      </c>
      <c r="G5436" s="49" t="n">
        <v>0</v>
      </c>
      <c r="H5436" s="0" t="n">
        <v>0</v>
      </c>
      <c r="M5436" s="51" t="s">
        <v>9710</v>
      </c>
      <c r="N5436" s="49" t="n">
        <v>0</v>
      </c>
      <c r="O5436" s="53" t="n">
        <v>45880.5921990741</v>
      </c>
      <c r="P5436" s="53" t="n">
        <v>45887.3103009259</v>
      </c>
      <c r="Q5436" s="53" t="n">
        <v>45880.5921990741</v>
      </c>
      <c r="R5436" s="0" t="n">
        <v>0</v>
      </c>
      <c r="S5436" s="51" t="s">
        <v>2356</v>
      </c>
      <c r="T5436" s="51" t="s">
        <v>2356</v>
      </c>
      <c r="U5436" s="51" t="s">
        <v>4351</v>
      </c>
      <c r="V5436" s="51" t="s">
        <v>2365</v>
      </c>
      <c r="W5436" s="51" t="s">
        <v>4020</v>
      </c>
      <c r="X5436" s="51" t="s">
        <v>2359</v>
      </c>
    </row>
    <row r="5437" customFormat="false" ht="14.25" hidden="true" customHeight="false" outlineLevel="0" collapsed="false">
      <c r="A5437" s="49" t="s">
        <v>2349</v>
      </c>
      <c r="B5437" s="49" t="s">
        <v>2350</v>
      </c>
      <c r="C5437" s="49" t="s">
        <v>9726</v>
      </c>
      <c r="D5437" s="49" t="s">
        <v>2352</v>
      </c>
      <c r="E5437" s="49" t="s">
        <v>4351</v>
      </c>
      <c r="F5437" s="49" t="s">
        <v>4352</v>
      </c>
      <c r="G5437" s="49" t="n">
        <v>0</v>
      </c>
      <c r="H5437" s="0" t="n">
        <v>0</v>
      </c>
      <c r="M5437" s="51" t="s">
        <v>9710</v>
      </c>
      <c r="N5437" s="49" t="n">
        <v>0</v>
      </c>
      <c r="O5437" s="53" t="n">
        <v>45880.5918287037</v>
      </c>
      <c r="P5437" s="53" t="n">
        <v>45889.5215162037</v>
      </c>
      <c r="Q5437" s="53" t="n">
        <v>45880.5918287037</v>
      </c>
      <c r="R5437" s="0" t="n">
        <v>0</v>
      </c>
      <c r="S5437" s="51" t="s">
        <v>2356</v>
      </c>
      <c r="T5437" s="51" t="s">
        <v>2356</v>
      </c>
      <c r="U5437" s="51" t="s">
        <v>4351</v>
      </c>
      <c r="V5437" s="51" t="s">
        <v>2365</v>
      </c>
      <c r="W5437" s="51" t="s">
        <v>7288</v>
      </c>
      <c r="X5437" s="51" t="s">
        <v>2359</v>
      </c>
    </row>
    <row r="5438" customFormat="false" ht="14.25" hidden="true" customHeight="false" outlineLevel="0" collapsed="false">
      <c r="A5438" s="49" t="s">
        <v>2349</v>
      </c>
      <c r="B5438" s="49" t="s">
        <v>2350</v>
      </c>
      <c r="C5438" s="49" t="s">
        <v>9727</v>
      </c>
      <c r="D5438" s="49" t="s">
        <v>2352</v>
      </c>
      <c r="E5438" s="49" t="s">
        <v>4351</v>
      </c>
      <c r="F5438" s="49" t="s">
        <v>4352</v>
      </c>
      <c r="G5438" s="49" t="n">
        <v>0</v>
      </c>
      <c r="H5438" s="0" t="n">
        <v>0</v>
      </c>
      <c r="M5438" s="51" t="s">
        <v>9710</v>
      </c>
      <c r="N5438" s="49" t="n">
        <v>0</v>
      </c>
      <c r="O5438" s="53" t="n">
        <v>45880.5914467593</v>
      </c>
      <c r="P5438" s="53" t="n">
        <v>45885.642974537</v>
      </c>
      <c r="Q5438" s="53" t="n">
        <v>45880.5914467593</v>
      </c>
      <c r="R5438" s="0" t="n">
        <v>0</v>
      </c>
      <c r="S5438" s="51" t="s">
        <v>2356</v>
      </c>
      <c r="T5438" s="51" t="s">
        <v>2356</v>
      </c>
      <c r="U5438" s="51" t="s">
        <v>4351</v>
      </c>
      <c r="V5438" s="51" t="s">
        <v>2365</v>
      </c>
      <c r="W5438" s="51" t="s">
        <v>5473</v>
      </c>
      <c r="X5438" s="51" t="s">
        <v>2359</v>
      </c>
    </row>
    <row r="5439" customFormat="false" ht="14.25" hidden="true" customHeight="false" outlineLevel="0" collapsed="false">
      <c r="A5439" s="49" t="s">
        <v>2349</v>
      </c>
      <c r="B5439" s="49" t="s">
        <v>2350</v>
      </c>
      <c r="C5439" s="49" t="s">
        <v>9728</v>
      </c>
      <c r="D5439" s="49" t="s">
        <v>2352</v>
      </c>
      <c r="E5439" s="49" t="s">
        <v>4351</v>
      </c>
      <c r="F5439" s="49" t="s">
        <v>4352</v>
      </c>
      <c r="G5439" s="49" t="n">
        <v>0</v>
      </c>
      <c r="H5439" s="0" t="n">
        <v>0</v>
      </c>
      <c r="M5439" s="51" t="s">
        <v>9710</v>
      </c>
      <c r="N5439" s="49" t="n">
        <v>0</v>
      </c>
      <c r="O5439" s="53" t="n">
        <v>45880.5909027778</v>
      </c>
      <c r="P5439" s="53" t="n">
        <v>45885.6419560185</v>
      </c>
      <c r="Q5439" s="53" t="n">
        <v>45880.5909027778</v>
      </c>
      <c r="R5439" s="0" t="n">
        <v>0</v>
      </c>
      <c r="S5439" s="51" t="s">
        <v>2356</v>
      </c>
      <c r="T5439" s="51" t="s">
        <v>2356</v>
      </c>
      <c r="U5439" s="51" t="s">
        <v>4351</v>
      </c>
      <c r="V5439" s="51" t="s">
        <v>2365</v>
      </c>
      <c r="W5439" s="51" t="s">
        <v>4020</v>
      </c>
      <c r="X5439" s="51" t="s">
        <v>2359</v>
      </c>
    </row>
    <row r="5440" customFormat="false" ht="14.25" hidden="true" customHeight="false" outlineLevel="0" collapsed="false">
      <c r="A5440" s="49" t="s">
        <v>2349</v>
      </c>
      <c r="B5440" s="49" t="s">
        <v>2350</v>
      </c>
      <c r="C5440" s="49" t="s">
        <v>9729</v>
      </c>
      <c r="D5440" s="49" t="s">
        <v>2352</v>
      </c>
      <c r="E5440" s="49" t="s">
        <v>4351</v>
      </c>
      <c r="F5440" s="49" t="s">
        <v>4352</v>
      </c>
      <c r="G5440" s="49" t="n">
        <v>0</v>
      </c>
      <c r="H5440" s="0" t="n">
        <v>0</v>
      </c>
      <c r="M5440" s="51" t="s">
        <v>9710</v>
      </c>
      <c r="N5440" s="49" t="n">
        <v>0</v>
      </c>
      <c r="O5440" s="53" t="n">
        <v>45880.590462963</v>
      </c>
      <c r="P5440" s="53" t="n">
        <v>45885.6422106482</v>
      </c>
      <c r="Q5440" s="53" t="n">
        <v>45880.590462963</v>
      </c>
      <c r="R5440" s="0" t="n">
        <v>0</v>
      </c>
      <c r="S5440" s="51" t="s">
        <v>2356</v>
      </c>
      <c r="T5440" s="51" t="s">
        <v>2356</v>
      </c>
      <c r="U5440" s="51" t="s">
        <v>4351</v>
      </c>
      <c r="V5440" s="51" t="s">
        <v>2365</v>
      </c>
      <c r="W5440" s="51" t="s">
        <v>5315</v>
      </c>
      <c r="X5440" s="51" t="s">
        <v>2359</v>
      </c>
    </row>
    <row r="5441" customFormat="false" ht="14.25" hidden="true" customHeight="false" outlineLevel="0" collapsed="false">
      <c r="A5441" s="49" t="s">
        <v>2349</v>
      </c>
      <c r="B5441" s="49" t="s">
        <v>2350</v>
      </c>
      <c r="C5441" s="49" t="s">
        <v>9730</v>
      </c>
      <c r="D5441" s="49" t="s">
        <v>2352</v>
      </c>
      <c r="E5441" s="49" t="s">
        <v>4351</v>
      </c>
      <c r="F5441" s="49" t="s">
        <v>4352</v>
      </c>
      <c r="G5441" s="49" t="n">
        <v>0</v>
      </c>
      <c r="H5441" s="0" t="n">
        <v>0</v>
      </c>
      <c r="M5441" s="51" t="s">
        <v>9710</v>
      </c>
      <c r="N5441" s="49" t="n">
        <v>0</v>
      </c>
      <c r="O5441" s="53" t="n">
        <v>45880.5900115741</v>
      </c>
      <c r="P5441" s="53" t="n">
        <v>45883.6126851852</v>
      </c>
      <c r="Q5441" s="53" t="n">
        <v>45880.5900115741</v>
      </c>
      <c r="R5441" s="0" t="n">
        <v>0</v>
      </c>
      <c r="S5441" s="51" t="s">
        <v>2356</v>
      </c>
      <c r="T5441" s="51" t="s">
        <v>2356</v>
      </c>
      <c r="U5441" s="51" t="s">
        <v>4351</v>
      </c>
      <c r="V5441" s="51" t="s">
        <v>2365</v>
      </c>
      <c r="W5441" s="51" t="s">
        <v>4373</v>
      </c>
      <c r="X5441" s="51" t="s">
        <v>2359</v>
      </c>
    </row>
    <row r="5442" customFormat="false" ht="14.25" hidden="true" customHeight="false" outlineLevel="0" collapsed="false">
      <c r="A5442" s="49" t="s">
        <v>2349</v>
      </c>
      <c r="B5442" s="49" t="s">
        <v>2350</v>
      </c>
      <c r="C5442" s="49" t="s">
        <v>9731</v>
      </c>
      <c r="D5442" s="49" t="s">
        <v>2352</v>
      </c>
      <c r="E5442" s="49" t="s">
        <v>4351</v>
      </c>
      <c r="F5442" s="49" t="s">
        <v>4352</v>
      </c>
      <c r="G5442" s="49" t="n">
        <v>0</v>
      </c>
      <c r="H5442" s="0" t="n">
        <v>0</v>
      </c>
      <c r="M5442" s="51" t="s">
        <v>9710</v>
      </c>
      <c r="N5442" s="49" t="n">
        <v>0</v>
      </c>
      <c r="O5442" s="53" t="n">
        <v>45880.5894907407</v>
      </c>
      <c r="P5442" s="53" t="n">
        <v>45883.6127546296</v>
      </c>
      <c r="Q5442" s="53" t="n">
        <v>45880.5894907407</v>
      </c>
      <c r="R5442" s="0" t="n">
        <v>0</v>
      </c>
      <c r="S5442" s="51" t="s">
        <v>2356</v>
      </c>
      <c r="T5442" s="51" t="s">
        <v>2356</v>
      </c>
      <c r="U5442" s="51" t="s">
        <v>4351</v>
      </c>
      <c r="V5442" s="51" t="s">
        <v>2365</v>
      </c>
      <c r="W5442" s="51" t="s">
        <v>5466</v>
      </c>
      <c r="X5442" s="51" t="s">
        <v>2359</v>
      </c>
    </row>
    <row r="5443" customFormat="false" ht="14.25" hidden="true" customHeight="false" outlineLevel="0" collapsed="false">
      <c r="A5443" s="49" t="s">
        <v>2349</v>
      </c>
      <c r="B5443" s="49" t="s">
        <v>2350</v>
      </c>
      <c r="C5443" s="49" t="s">
        <v>9732</v>
      </c>
      <c r="D5443" s="49" t="s">
        <v>2352</v>
      </c>
      <c r="E5443" s="49" t="s">
        <v>4351</v>
      </c>
      <c r="F5443" s="49" t="s">
        <v>4352</v>
      </c>
      <c r="G5443" s="49" t="n">
        <v>0</v>
      </c>
      <c r="H5443" s="0" t="n">
        <v>0</v>
      </c>
      <c r="M5443" s="51" t="s">
        <v>9710</v>
      </c>
      <c r="N5443" s="49" t="n">
        <v>0</v>
      </c>
      <c r="O5443" s="53" t="n">
        <v>45880.5890740741</v>
      </c>
      <c r="P5443" s="53" t="n">
        <v>45883.6125462963</v>
      </c>
      <c r="Q5443" s="53" t="n">
        <v>45880.5890740741</v>
      </c>
      <c r="R5443" s="0" t="n">
        <v>0</v>
      </c>
      <c r="S5443" s="51" t="s">
        <v>2356</v>
      </c>
      <c r="T5443" s="51" t="s">
        <v>2356</v>
      </c>
      <c r="U5443" s="51" t="s">
        <v>4351</v>
      </c>
      <c r="V5443" s="51" t="s">
        <v>2365</v>
      </c>
      <c r="W5443" s="51" t="s">
        <v>7251</v>
      </c>
      <c r="X5443" s="51" t="s">
        <v>2359</v>
      </c>
    </row>
    <row r="5444" customFormat="false" ht="14.25" hidden="true" customHeight="false" outlineLevel="0" collapsed="false">
      <c r="A5444" s="49" t="s">
        <v>2349</v>
      </c>
      <c r="B5444" s="49" t="s">
        <v>2350</v>
      </c>
      <c r="C5444" s="49" t="s">
        <v>9733</v>
      </c>
      <c r="D5444" s="49" t="s">
        <v>2352</v>
      </c>
      <c r="E5444" s="49" t="s">
        <v>4351</v>
      </c>
      <c r="F5444" s="49" t="s">
        <v>4352</v>
      </c>
      <c r="G5444" s="49" t="n">
        <v>0</v>
      </c>
      <c r="H5444" s="0" t="n">
        <v>0</v>
      </c>
      <c r="M5444" s="51" t="s">
        <v>9734</v>
      </c>
      <c r="N5444" s="49" t="n">
        <v>0</v>
      </c>
      <c r="O5444" s="53" t="n">
        <v>45778.7099537037</v>
      </c>
      <c r="P5444" s="53" t="n">
        <v>45782.5888078704</v>
      </c>
      <c r="Q5444" s="53" t="n">
        <v>45778.7099537037</v>
      </c>
      <c r="R5444" s="0" t="n">
        <v>0</v>
      </c>
      <c r="S5444" s="51" t="s">
        <v>2356</v>
      </c>
      <c r="T5444" s="51" t="s">
        <v>2356</v>
      </c>
      <c r="U5444" s="51" t="s">
        <v>4351</v>
      </c>
      <c r="V5444" s="51" t="s">
        <v>2365</v>
      </c>
      <c r="W5444" s="51" t="s">
        <v>7688</v>
      </c>
      <c r="X5444" s="51" t="s">
        <v>2359</v>
      </c>
    </row>
    <row r="5445" customFormat="false" ht="14.25" hidden="true" customHeight="false" outlineLevel="0" collapsed="false">
      <c r="A5445" s="49" t="s">
        <v>2349</v>
      </c>
      <c r="B5445" s="49" t="s">
        <v>2350</v>
      </c>
      <c r="C5445" s="49" t="s">
        <v>9735</v>
      </c>
      <c r="D5445" s="49" t="s">
        <v>2352</v>
      </c>
      <c r="E5445" s="49" t="s">
        <v>4351</v>
      </c>
      <c r="F5445" s="49" t="s">
        <v>4352</v>
      </c>
      <c r="G5445" s="49" t="n">
        <v>0</v>
      </c>
      <c r="H5445" s="0" t="n">
        <v>0</v>
      </c>
      <c r="M5445" s="51" t="s">
        <v>9734</v>
      </c>
      <c r="N5445" s="49" t="n">
        <v>0</v>
      </c>
      <c r="O5445" s="53" t="n">
        <v>45778.7087268519</v>
      </c>
      <c r="P5445" s="53" t="n">
        <v>45785.3975810185</v>
      </c>
      <c r="Q5445" s="53" t="n">
        <v>45778.7087268519</v>
      </c>
      <c r="R5445" s="0" t="n">
        <v>0</v>
      </c>
      <c r="S5445" s="51" t="s">
        <v>2356</v>
      </c>
      <c r="T5445" s="51" t="s">
        <v>2356</v>
      </c>
      <c r="U5445" s="51" t="s">
        <v>4351</v>
      </c>
      <c r="V5445" s="51" t="s">
        <v>2365</v>
      </c>
      <c r="W5445" s="51" t="s">
        <v>4609</v>
      </c>
      <c r="X5445" s="51" t="s">
        <v>2359</v>
      </c>
    </row>
    <row r="5446" customFormat="false" ht="14.25" hidden="true" customHeight="false" outlineLevel="0" collapsed="false">
      <c r="A5446" s="49" t="s">
        <v>2349</v>
      </c>
      <c r="B5446" s="49" t="s">
        <v>2350</v>
      </c>
      <c r="C5446" s="49" t="s">
        <v>9736</v>
      </c>
      <c r="D5446" s="49" t="s">
        <v>2352</v>
      </c>
      <c r="E5446" s="49" t="s">
        <v>4351</v>
      </c>
      <c r="F5446" s="49" t="s">
        <v>4352</v>
      </c>
      <c r="G5446" s="49" t="n">
        <v>0</v>
      </c>
      <c r="H5446" s="0" t="n">
        <v>0</v>
      </c>
      <c r="M5446" s="51" t="s">
        <v>9734</v>
      </c>
      <c r="N5446" s="49" t="n">
        <v>0</v>
      </c>
      <c r="O5446" s="53" t="n">
        <v>45778.7107175926</v>
      </c>
      <c r="P5446" s="53" t="n">
        <v>45782.4817824074</v>
      </c>
      <c r="Q5446" s="53" t="n">
        <v>45778.7107175926</v>
      </c>
      <c r="R5446" s="0" t="n">
        <v>0</v>
      </c>
      <c r="S5446" s="51" t="s">
        <v>2356</v>
      </c>
      <c r="T5446" s="51" t="s">
        <v>2356</v>
      </c>
      <c r="U5446" s="51" t="s">
        <v>4351</v>
      </c>
      <c r="V5446" s="51" t="s">
        <v>2365</v>
      </c>
      <c r="W5446" s="51" t="s">
        <v>5392</v>
      </c>
      <c r="X5446" s="51" t="s">
        <v>2359</v>
      </c>
    </row>
    <row r="5447" customFormat="false" ht="14.25" hidden="true" customHeight="false" outlineLevel="0" collapsed="false">
      <c r="A5447" s="49" t="s">
        <v>2349</v>
      </c>
      <c r="B5447" s="49" t="s">
        <v>2350</v>
      </c>
      <c r="C5447" s="49" t="s">
        <v>9737</v>
      </c>
      <c r="D5447" s="49" t="s">
        <v>2352</v>
      </c>
      <c r="E5447" s="49" t="s">
        <v>4351</v>
      </c>
      <c r="F5447" s="49" t="s">
        <v>4352</v>
      </c>
      <c r="G5447" s="49" t="n">
        <v>0</v>
      </c>
      <c r="H5447" s="0" t="n">
        <v>0</v>
      </c>
      <c r="M5447" s="51" t="s">
        <v>9734</v>
      </c>
      <c r="N5447" s="49" t="n">
        <v>0</v>
      </c>
      <c r="O5447" s="53" t="n">
        <v>45778.7200347222</v>
      </c>
      <c r="P5447" s="53" t="n">
        <v>45783.6460300926</v>
      </c>
      <c r="Q5447" s="53" t="n">
        <v>45778.7200347222</v>
      </c>
      <c r="R5447" s="0" t="n">
        <v>0</v>
      </c>
      <c r="S5447" s="51" t="s">
        <v>2356</v>
      </c>
      <c r="T5447" s="51" t="s">
        <v>2356</v>
      </c>
      <c r="U5447" s="51" t="s">
        <v>4351</v>
      </c>
      <c r="V5447" s="51" t="s">
        <v>2365</v>
      </c>
      <c r="W5447" s="51" t="s">
        <v>5968</v>
      </c>
      <c r="X5447" s="51" t="s">
        <v>2359</v>
      </c>
    </row>
    <row r="5448" customFormat="false" ht="14.25" hidden="true" customHeight="false" outlineLevel="0" collapsed="false">
      <c r="A5448" s="49" t="s">
        <v>2349</v>
      </c>
      <c r="B5448" s="49" t="s">
        <v>2350</v>
      </c>
      <c r="C5448" s="49" t="s">
        <v>9738</v>
      </c>
      <c r="D5448" s="49" t="s">
        <v>2352</v>
      </c>
      <c r="E5448" s="49" t="s">
        <v>4351</v>
      </c>
      <c r="F5448" s="49" t="s">
        <v>4352</v>
      </c>
      <c r="G5448" s="49" t="n">
        <v>0</v>
      </c>
      <c r="H5448" s="0" t="n">
        <v>0</v>
      </c>
      <c r="M5448" s="51" t="s">
        <v>9734</v>
      </c>
      <c r="N5448" s="49" t="n">
        <v>0</v>
      </c>
      <c r="O5448" s="53" t="n">
        <v>45778.719525463</v>
      </c>
      <c r="P5448" s="53" t="n">
        <v>45783.6463194444</v>
      </c>
      <c r="Q5448" s="53" t="n">
        <v>45778.719525463</v>
      </c>
      <c r="R5448" s="0" t="n">
        <v>0</v>
      </c>
      <c r="S5448" s="51" t="s">
        <v>2356</v>
      </c>
      <c r="T5448" s="51" t="s">
        <v>2356</v>
      </c>
      <c r="U5448" s="51" t="s">
        <v>4351</v>
      </c>
      <c r="V5448" s="51" t="s">
        <v>2365</v>
      </c>
      <c r="W5448" s="51" t="s">
        <v>8904</v>
      </c>
      <c r="X5448" s="51" t="s">
        <v>2359</v>
      </c>
    </row>
    <row r="5449" customFormat="false" ht="14.25" hidden="true" customHeight="false" outlineLevel="0" collapsed="false">
      <c r="A5449" s="49" t="s">
        <v>2349</v>
      </c>
      <c r="B5449" s="49" t="s">
        <v>2350</v>
      </c>
      <c r="C5449" s="49" t="s">
        <v>9739</v>
      </c>
      <c r="D5449" s="49" t="s">
        <v>2352</v>
      </c>
      <c r="E5449" s="49" t="s">
        <v>4351</v>
      </c>
      <c r="F5449" s="49" t="s">
        <v>4352</v>
      </c>
      <c r="G5449" s="49" t="n">
        <v>0</v>
      </c>
      <c r="H5449" s="0" t="n">
        <v>0</v>
      </c>
      <c r="M5449" s="51" t="s">
        <v>9734</v>
      </c>
      <c r="N5449" s="49" t="n">
        <v>0</v>
      </c>
      <c r="O5449" s="53" t="n">
        <v>45778.7191319445</v>
      </c>
      <c r="P5449" s="53" t="n">
        <v>45783.6464467593</v>
      </c>
      <c r="Q5449" s="53" t="n">
        <v>45778.7191319445</v>
      </c>
      <c r="R5449" s="0" t="n">
        <v>0</v>
      </c>
      <c r="S5449" s="51" t="s">
        <v>2356</v>
      </c>
      <c r="T5449" s="51" t="s">
        <v>2356</v>
      </c>
      <c r="U5449" s="51" t="s">
        <v>4351</v>
      </c>
      <c r="V5449" s="51" t="s">
        <v>2365</v>
      </c>
      <c r="W5449" s="51" t="s">
        <v>5737</v>
      </c>
      <c r="X5449" s="51" t="s">
        <v>2359</v>
      </c>
    </row>
    <row r="5450" customFormat="false" ht="14.25" hidden="true" customHeight="false" outlineLevel="0" collapsed="false">
      <c r="A5450" s="49" t="s">
        <v>2349</v>
      </c>
      <c r="B5450" s="49" t="s">
        <v>2350</v>
      </c>
      <c r="C5450" s="49" t="s">
        <v>9740</v>
      </c>
      <c r="D5450" s="49" t="s">
        <v>2352</v>
      </c>
      <c r="E5450" s="49" t="s">
        <v>4351</v>
      </c>
      <c r="F5450" s="49" t="s">
        <v>4352</v>
      </c>
      <c r="G5450" s="49" t="n">
        <v>0</v>
      </c>
      <c r="H5450" s="0" t="n">
        <v>0</v>
      </c>
      <c r="M5450" s="51" t="s">
        <v>9734</v>
      </c>
      <c r="N5450" s="49" t="n">
        <v>0</v>
      </c>
      <c r="O5450" s="53" t="n">
        <v>45778.7187384259</v>
      </c>
      <c r="P5450" s="53" t="n">
        <v>45783.6479398148</v>
      </c>
      <c r="Q5450" s="53" t="n">
        <v>45778.7187384259</v>
      </c>
      <c r="R5450" s="0" t="n">
        <v>0</v>
      </c>
      <c r="S5450" s="51" t="s">
        <v>2356</v>
      </c>
      <c r="T5450" s="51" t="s">
        <v>2356</v>
      </c>
      <c r="U5450" s="51" t="s">
        <v>4351</v>
      </c>
      <c r="V5450" s="51" t="s">
        <v>2365</v>
      </c>
      <c r="W5450" s="51" t="s">
        <v>7401</v>
      </c>
      <c r="X5450" s="51" t="s">
        <v>2359</v>
      </c>
    </row>
    <row r="5451" customFormat="false" ht="14.25" hidden="true" customHeight="false" outlineLevel="0" collapsed="false">
      <c r="A5451" s="49" t="s">
        <v>2349</v>
      </c>
      <c r="B5451" s="49" t="s">
        <v>2350</v>
      </c>
      <c r="C5451" s="49" t="s">
        <v>9741</v>
      </c>
      <c r="D5451" s="49" t="s">
        <v>2352</v>
      </c>
      <c r="E5451" s="49" t="s">
        <v>4351</v>
      </c>
      <c r="F5451" s="49" t="s">
        <v>4352</v>
      </c>
      <c r="G5451" s="49" t="n">
        <v>0</v>
      </c>
      <c r="H5451" s="0" t="n">
        <v>0</v>
      </c>
      <c r="M5451" s="51" t="s">
        <v>9734</v>
      </c>
      <c r="N5451" s="49" t="n">
        <v>0</v>
      </c>
      <c r="O5451" s="53" t="n">
        <v>45778.7183333333</v>
      </c>
      <c r="P5451" s="53" t="n">
        <v>45783.6480787037</v>
      </c>
      <c r="Q5451" s="53" t="n">
        <v>45778.7183333333</v>
      </c>
      <c r="R5451" s="0" t="n">
        <v>0</v>
      </c>
      <c r="S5451" s="51" t="s">
        <v>2356</v>
      </c>
      <c r="T5451" s="51" t="s">
        <v>2356</v>
      </c>
      <c r="U5451" s="51" t="s">
        <v>4351</v>
      </c>
      <c r="V5451" s="51" t="s">
        <v>2365</v>
      </c>
      <c r="W5451" s="51" t="s">
        <v>5487</v>
      </c>
      <c r="X5451" s="51" t="s">
        <v>2359</v>
      </c>
    </row>
    <row r="5452" customFormat="false" ht="14.25" hidden="true" customHeight="false" outlineLevel="0" collapsed="false">
      <c r="A5452" s="49" t="s">
        <v>2349</v>
      </c>
      <c r="B5452" s="49" t="s">
        <v>2350</v>
      </c>
      <c r="C5452" s="49" t="s">
        <v>9742</v>
      </c>
      <c r="D5452" s="49" t="s">
        <v>2352</v>
      </c>
      <c r="E5452" s="49" t="s">
        <v>4351</v>
      </c>
      <c r="F5452" s="49" t="s">
        <v>4352</v>
      </c>
      <c r="G5452" s="49" t="n">
        <v>0</v>
      </c>
      <c r="H5452" s="0" t="n">
        <v>0</v>
      </c>
      <c r="M5452" s="51" t="s">
        <v>9734</v>
      </c>
      <c r="N5452" s="49" t="n">
        <v>0</v>
      </c>
      <c r="O5452" s="53" t="n">
        <v>45778.7179166667</v>
      </c>
      <c r="P5452" s="53" t="n">
        <v>45783.6485185185</v>
      </c>
      <c r="Q5452" s="53" t="n">
        <v>45778.7179166667</v>
      </c>
      <c r="R5452" s="0" t="n">
        <v>0</v>
      </c>
      <c r="S5452" s="51" t="s">
        <v>2356</v>
      </c>
      <c r="T5452" s="51" t="s">
        <v>2356</v>
      </c>
      <c r="U5452" s="51" t="s">
        <v>4351</v>
      </c>
      <c r="V5452" s="51" t="s">
        <v>2365</v>
      </c>
      <c r="W5452" s="51" t="s">
        <v>7256</v>
      </c>
      <c r="X5452" s="51" t="s">
        <v>2359</v>
      </c>
    </row>
    <row r="5453" customFormat="false" ht="14.25" hidden="true" customHeight="false" outlineLevel="0" collapsed="false">
      <c r="A5453" s="49" t="s">
        <v>2349</v>
      </c>
      <c r="B5453" s="49" t="s">
        <v>2350</v>
      </c>
      <c r="C5453" s="49" t="s">
        <v>9743</v>
      </c>
      <c r="D5453" s="49" t="s">
        <v>2352</v>
      </c>
      <c r="E5453" s="49" t="s">
        <v>4351</v>
      </c>
      <c r="F5453" s="49" t="s">
        <v>4352</v>
      </c>
      <c r="G5453" s="49" t="n">
        <v>0</v>
      </c>
      <c r="H5453" s="0" t="n">
        <v>0</v>
      </c>
      <c r="M5453" s="51" t="s">
        <v>9734</v>
      </c>
      <c r="N5453" s="49" t="n">
        <v>0</v>
      </c>
      <c r="O5453" s="53" t="n">
        <v>45778.7173958333</v>
      </c>
      <c r="P5453" s="53" t="n">
        <v>45783.6488078704</v>
      </c>
      <c r="Q5453" s="53" t="n">
        <v>45778.7173958333</v>
      </c>
      <c r="R5453" s="0" t="n">
        <v>0</v>
      </c>
      <c r="S5453" s="51" t="s">
        <v>2356</v>
      </c>
      <c r="T5453" s="51" t="s">
        <v>2356</v>
      </c>
      <c r="U5453" s="51" t="s">
        <v>4351</v>
      </c>
      <c r="V5453" s="51" t="s">
        <v>2365</v>
      </c>
      <c r="W5453" s="51" t="s">
        <v>7258</v>
      </c>
      <c r="X5453" s="51" t="s">
        <v>2359</v>
      </c>
    </row>
    <row r="5454" customFormat="false" ht="14.25" hidden="true" customHeight="false" outlineLevel="0" collapsed="false">
      <c r="A5454" s="49" t="s">
        <v>2349</v>
      </c>
      <c r="B5454" s="49" t="s">
        <v>2350</v>
      </c>
      <c r="C5454" s="49" t="s">
        <v>9744</v>
      </c>
      <c r="D5454" s="49" t="s">
        <v>2352</v>
      </c>
      <c r="E5454" s="49" t="s">
        <v>4351</v>
      </c>
      <c r="F5454" s="49" t="s">
        <v>4352</v>
      </c>
      <c r="G5454" s="49" t="n">
        <v>0</v>
      </c>
      <c r="H5454" s="0" t="n">
        <v>0</v>
      </c>
      <c r="M5454" s="51" t="s">
        <v>9734</v>
      </c>
      <c r="N5454" s="49" t="n">
        <v>0</v>
      </c>
      <c r="O5454" s="53" t="n">
        <v>45778.7169212963</v>
      </c>
      <c r="P5454" s="53" t="n">
        <v>45783.6489467593</v>
      </c>
      <c r="Q5454" s="53" t="n">
        <v>45778.7169212963</v>
      </c>
      <c r="R5454" s="0" t="n">
        <v>0</v>
      </c>
      <c r="S5454" s="51" t="s">
        <v>2356</v>
      </c>
      <c r="T5454" s="51" t="s">
        <v>2356</v>
      </c>
      <c r="U5454" s="51" t="s">
        <v>4351</v>
      </c>
      <c r="V5454" s="51" t="s">
        <v>2365</v>
      </c>
      <c r="W5454" s="51" t="s">
        <v>5983</v>
      </c>
      <c r="X5454" s="51" t="s">
        <v>2359</v>
      </c>
    </row>
    <row r="5455" customFormat="false" ht="14.25" hidden="true" customHeight="false" outlineLevel="0" collapsed="false">
      <c r="A5455" s="49" t="s">
        <v>2349</v>
      </c>
      <c r="B5455" s="49" t="s">
        <v>2350</v>
      </c>
      <c r="C5455" s="49" t="s">
        <v>9745</v>
      </c>
      <c r="D5455" s="49" t="s">
        <v>2352</v>
      </c>
      <c r="E5455" s="49" t="s">
        <v>4351</v>
      </c>
      <c r="F5455" s="49" t="s">
        <v>4352</v>
      </c>
      <c r="G5455" s="49" t="n">
        <v>0</v>
      </c>
      <c r="H5455" s="0" t="n">
        <v>0</v>
      </c>
      <c r="M5455" s="51" t="s">
        <v>9734</v>
      </c>
      <c r="N5455" s="49" t="n">
        <v>0</v>
      </c>
      <c r="O5455" s="53" t="n">
        <v>45778.7163541667</v>
      </c>
      <c r="P5455" s="53" t="n">
        <v>45783.6496296296</v>
      </c>
      <c r="Q5455" s="53" t="n">
        <v>45778.7163541667</v>
      </c>
      <c r="R5455" s="0" t="n">
        <v>0</v>
      </c>
      <c r="S5455" s="51" t="s">
        <v>2356</v>
      </c>
      <c r="T5455" s="51" t="s">
        <v>2356</v>
      </c>
      <c r="U5455" s="51" t="s">
        <v>4351</v>
      </c>
      <c r="V5455" s="51" t="s">
        <v>2365</v>
      </c>
      <c r="W5455" s="51" t="s">
        <v>4373</v>
      </c>
      <c r="X5455" s="51" t="s">
        <v>2359</v>
      </c>
    </row>
    <row r="5456" customFormat="false" ht="14.25" hidden="true" customHeight="false" outlineLevel="0" collapsed="false">
      <c r="A5456" s="49" t="s">
        <v>2349</v>
      </c>
      <c r="B5456" s="49" t="s">
        <v>2350</v>
      </c>
      <c r="C5456" s="49" t="s">
        <v>9746</v>
      </c>
      <c r="D5456" s="49" t="s">
        <v>2352</v>
      </c>
      <c r="E5456" s="49" t="s">
        <v>4351</v>
      </c>
      <c r="F5456" s="49" t="s">
        <v>4352</v>
      </c>
      <c r="G5456" s="49" t="n">
        <v>0</v>
      </c>
      <c r="H5456" s="0" t="n">
        <v>0</v>
      </c>
      <c r="M5456" s="51" t="s">
        <v>9734</v>
      </c>
      <c r="N5456" s="49" t="n">
        <v>0</v>
      </c>
      <c r="O5456" s="53" t="n">
        <v>45778.7160532407</v>
      </c>
      <c r="P5456" s="53" t="n">
        <v>45783.6482175926</v>
      </c>
      <c r="Q5456" s="53" t="n">
        <v>45778.7160532407</v>
      </c>
      <c r="R5456" s="0" t="n">
        <v>0</v>
      </c>
      <c r="S5456" s="51" t="s">
        <v>2356</v>
      </c>
      <c r="T5456" s="51" t="s">
        <v>2356</v>
      </c>
      <c r="U5456" s="51" t="s">
        <v>4351</v>
      </c>
      <c r="V5456" s="51" t="s">
        <v>2365</v>
      </c>
      <c r="W5456" s="51" t="s">
        <v>5484</v>
      </c>
      <c r="X5456" s="51" t="s">
        <v>2359</v>
      </c>
    </row>
    <row r="5457" customFormat="false" ht="14.25" hidden="true" customHeight="false" outlineLevel="0" collapsed="false">
      <c r="A5457" s="49" t="s">
        <v>2349</v>
      </c>
      <c r="B5457" s="49" t="s">
        <v>2350</v>
      </c>
      <c r="C5457" s="49" t="s">
        <v>9747</v>
      </c>
      <c r="D5457" s="49" t="s">
        <v>2352</v>
      </c>
      <c r="E5457" s="49" t="s">
        <v>4351</v>
      </c>
      <c r="F5457" s="49" t="s">
        <v>4352</v>
      </c>
      <c r="G5457" s="49" t="n">
        <v>0</v>
      </c>
      <c r="H5457" s="0" t="n">
        <v>0</v>
      </c>
      <c r="M5457" s="51" t="s">
        <v>9734</v>
      </c>
      <c r="N5457" s="49" t="n">
        <v>0</v>
      </c>
      <c r="O5457" s="53" t="n">
        <v>45778.7157175926</v>
      </c>
      <c r="P5457" s="53" t="n">
        <v>45783.6468287037</v>
      </c>
      <c r="Q5457" s="53" t="n">
        <v>45778.7157175926</v>
      </c>
      <c r="R5457" s="0" t="n">
        <v>0</v>
      </c>
      <c r="S5457" s="51" t="s">
        <v>2356</v>
      </c>
      <c r="T5457" s="51" t="s">
        <v>2356</v>
      </c>
      <c r="U5457" s="51" t="s">
        <v>4351</v>
      </c>
      <c r="V5457" s="51" t="s">
        <v>2365</v>
      </c>
      <c r="W5457" s="51" t="s">
        <v>4126</v>
      </c>
      <c r="X5457" s="51" t="s">
        <v>2359</v>
      </c>
    </row>
    <row r="5458" customFormat="false" ht="14.25" hidden="true" customHeight="false" outlineLevel="0" collapsed="false">
      <c r="A5458" s="49" t="s">
        <v>2349</v>
      </c>
      <c r="B5458" s="49" t="s">
        <v>2350</v>
      </c>
      <c r="C5458" s="49" t="s">
        <v>9748</v>
      </c>
      <c r="D5458" s="49" t="s">
        <v>2352</v>
      </c>
      <c r="E5458" s="49" t="s">
        <v>4351</v>
      </c>
      <c r="F5458" s="49" t="s">
        <v>4352</v>
      </c>
      <c r="G5458" s="49" t="n">
        <v>0</v>
      </c>
      <c r="H5458" s="0" t="n">
        <v>0</v>
      </c>
      <c r="M5458" s="51" t="s">
        <v>9734</v>
      </c>
      <c r="N5458" s="49" t="n">
        <v>0</v>
      </c>
      <c r="O5458" s="53" t="n">
        <v>45778.7152430556</v>
      </c>
      <c r="P5458" s="53" t="n">
        <v>45783.6467013889</v>
      </c>
      <c r="Q5458" s="53" t="n">
        <v>45778.7152430556</v>
      </c>
      <c r="R5458" s="0" t="n">
        <v>0</v>
      </c>
      <c r="S5458" s="51" t="s">
        <v>2356</v>
      </c>
      <c r="T5458" s="51" t="s">
        <v>2356</v>
      </c>
      <c r="U5458" s="51" t="s">
        <v>4351</v>
      </c>
      <c r="V5458" s="51" t="s">
        <v>2365</v>
      </c>
      <c r="W5458" s="51" t="s">
        <v>7405</v>
      </c>
      <c r="X5458" s="51" t="s">
        <v>2359</v>
      </c>
    </row>
    <row r="5459" customFormat="false" ht="14.25" hidden="true" customHeight="false" outlineLevel="0" collapsed="false">
      <c r="A5459" s="49" t="s">
        <v>2349</v>
      </c>
      <c r="B5459" s="49" t="s">
        <v>2350</v>
      </c>
      <c r="C5459" s="49" t="s">
        <v>9749</v>
      </c>
      <c r="D5459" s="49" t="s">
        <v>2352</v>
      </c>
      <c r="E5459" s="49" t="s">
        <v>4351</v>
      </c>
      <c r="F5459" s="49" t="s">
        <v>4352</v>
      </c>
      <c r="G5459" s="49" t="n">
        <v>0</v>
      </c>
      <c r="H5459" s="0" t="n">
        <v>0</v>
      </c>
      <c r="M5459" s="51" t="s">
        <v>9734</v>
      </c>
      <c r="N5459" s="49" t="n">
        <v>0</v>
      </c>
      <c r="O5459" s="53" t="n">
        <v>45778.7147337963</v>
      </c>
      <c r="P5459" s="53" t="n">
        <v>45783.6465740741</v>
      </c>
      <c r="Q5459" s="53" t="n">
        <v>45778.7147337963</v>
      </c>
      <c r="R5459" s="0" t="n">
        <v>0</v>
      </c>
      <c r="S5459" s="51" t="s">
        <v>2356</v>
      </c>
      <c r="T5459" s="51" t="s">
        <v>2356</v>
      </c>
      <c r="U5459" s="51" t="s">
        <v>4351</v>
      </c>
      <c r="V5459" s="51" t="s">
        <v>2365</v>
      </c>
      <c r="W5459" s="51" t="s">
        <v>7428</v>
      </c>
      <c r="X5459" s="51" t="s">
        <v>2359</v>
      </c>
    </row>
    <row r="5460" customFormat="false" ht="14.25" hidden="true" customHeight="false" outlineLevel="0" collapsed="false">
      <c r="A5460" s="49" t="s">
        <v>2349</v>
      </c>
      <c r="B5460" s="49" t="s">
        <v>2350</v>
      </c>
      <c r="C5460" s="49" t="s">
        <v>9750</v>
      </c>
      <c r="D5460" s="49" t="s">
        <v>2352</v>
      </c>
      <c r="E5460" s="49" t="s">
        <v>4351</v>
      </c>
      <c r="F5460" s="49" t="s">
        <v>4352</v>
      </c>
      <c r="G5460" s="49" t="n">
        <v>0</v>
      </c>
      <c r="H5460" s="0" t="n">
        <v>0</v>
      </c>
      <c r="M5460" s="51" t="s">
        <v>9734</v>
      </c>
      <c r="N5460" s="49" t="n">
        <v>0</v>
      </c>
      <c r="O5460" s="53" t="n">
        <v>45778.7140972222</v>
      </c>
      <c r="P5460" s="53" t="n">
        <v>45783.6486574074</v>
      </c>
      <c r="Q5460" s="53" t="n">
        <v>45778.7140972222</v>
      </c>
      <c r="R5460" s="0" t="n">
        <v>0</v>
      </c>
      <c r="S5460" s="51" t="s">
        <v>2356</v>
      </c>
      <c r="T5460" s="51" t="s">
        <v>2356</v>
      </c>
      <c r="U5460" s="51" t="s">
        <v>4351</v>
      </c>
      <c r="V5460" s="51" t="s">
        <v>2365</v>
      </c>
      <c r="W5460" s="51" t="s">
        <v>3745</v>
      </c>
      <c r="X5460" s="51" t="s">
        <v>2359</v>
      </c>
    </row>
    <row r="5461" customFormat="false" ht="14.25" hidden="true" customHeight="false" outlineLevel="0" collapsed="false">
      <c r="A5461" s="49" t="s">
        <v>2349</v>
      </c>
      <c r="B5461" s="49" t="s">
        <v>2350</v>
      </c>
      <c r="C5461" s="49" t="s">
        <v>9751</v>
      </c>
      <c r="D5461" s="49" t="s">
        <v>2352</v>
      </c>
      <c r="E5461" s="49" t="s">
        <v>4351</v>
      </c>
      <c r="F5461" s="49" t="s">
        <v>4352</v>
      </c>
      <c r="G5461" s="49" t="n">
        <v>0</v>
      </c>
      <c r="H5461" s="0" t="n">
        <v>0</v>
      </c>
      <c r="M5461" s="51" t="s">
        <v>9734</v>
      </c>
      <c r="N5461" s="49" t="n">
        <v>0</v>
      </c>
      <c r="O5461" s="53" t="n">
        <v>45778.7132175926</v>
      </c>
      <c r="P5461" s="53" t="n">
        <v>45783.6483449074</v>
      </c>
      <c r="Q5461" s="53" t="n">
        <v>45778.7132175926</v>
      </c>
      <c r="R5461" s="0" t="n">
        <v>0</v>
      </c>
      <c r="S5461" s="51" t="s">
        <v>2356</v>
      </c>
      <c r="T5461" s="51" t="s">
        <v>2356</v>
      </c>
      <c r="U5461" s="51" t="s">
        <v>4351</v>
      </c>
      <c r="V5461" s="51" t="s">
        <v>2365</v>
      </c>
      <c r="W5461" s="51" t="s">
        <v>4927</v>
      </c>
      <c r="X5461" s="51" t="s">
        <v>2359</v>
      </c>
    </row>
    <row r="5462" customFormat="false" ht="14.25" hidden="true" customHeight="false" outlineLevel="0" collapsed="false">
      <c r="A5462" s="49" t="s">
        <v>2349</v>
      </c>
      <c r="B5462" s="49" t="s">
        <v>2350</v>
      </c>
      <c r="C5462" s="49" t="s">
        <v>9752</v>
      </c>
      <c r="D5462" s="49" t="s">
        <v>2352</v>
      </c>
      <c r="E5462" s="49" t="s">
        <v>4351</v>
      </c>
      <c r="F5462" s="49" t="s">
        <v>4352</v>
      </c>
      <c r="G5462" s="49" t="n">
        <v>0</v>
      </c>
      <c r="H5462" s="0" t="n">
        <v>0</v>
      </c>
      <c r="M5462" s="51" t="s">
        <v>9734</v>
      </c>
      <c r="N5462" s="49" t="n">
        <v>0</v>
      </c>
      <c r="O5462" s="53" t="n">
        <v>45778.7126273148</v>
      </c>
      <c r="P5462" s="53" t="n">
        <v>45783.649849537</v>
      </c>
      <c r="Q5462" s="53" t="n">
        <v>45778.7126273148</v>
      </c>
      <c r="R5462" s="0" t="n">
        <v>0</v>
      </c>
      <c r="S5462" s="51" t="s">
        <v>2356</v>
      </c>
      <c r="T5462" s="51" t="s">
        <v>2356</v>
      </c>
      <c r="U5462" s="51" t="s">
        <v>4351</v>
      </c>
      <c r="V5462" s="51" t="s">
        <v>2365</v>
      </c>
      <c r="W5462" s="51" t="s">
        <v>5761</v>
      </c>
      <c r="X5462" s="51" t="s">
        <v>2359</v>
      </c>
    </row>
    <row r="5463" customFormat="false" ht="14.25" hidden="true" customHeight="false" outlineLevel="0" collapsed="false">
      <c r="A5463" s="49" t="s">
        <v>2349</v>
      </c>
      <c r="B5463" s="49" t="s">
        <v>2350</v>
      </c>
      <c r="C5463" s="49" t="s">
        <v>9753</v>
      </c>
      <c r="D5463" s="49" t="s">
        <v>2352</v>
      </c>
      <c r="E5463" s="49" t="s">
        <v>4351</v>
      </c>
      <c r="F5463" s="49" t="s">
        <v>4352</v>
      </c>
      <c r="G5463" s="49" t="n">
        <v>0</v>
      </c>
      <c r="H5463" s="0" t="n">
        <v>0</v>
      </c>
      <c r="M5463" s="51" t="s">
        <v>9734</v>
      </c>
      <c r="N5463" s="49" t="n">
        <v>0</v>
      </c>
      <c r="O5463" s="53" t="n">
        <v>45778.7119560185</v>
      </c>
      <c r="P5463" s="53" t="n">
        <v>45783.6470138889</v>
      </c>
      <c r="Q5463" s="53" t="n">
        <v>45778.7119560185</v>
      </c>
      <c r="R5463" s="0" t="n">
        <v>0</v>
      </c>
      <c r="S5463" s="51" t="s">
        <v>2356</v>
      </c>
      <c r="T5463" s="51" t="s">
        <v>2356</v>
      </c>
      <c r="U5463" s="51" t="s">
        <v>4351</v>
      </c>
      <c r="V5463" s="51" t="s">
        <v>2365</v>
      </c>
      <c r="W5463" s="51" t="s">
        <v>5405</v>
      </c>
      <c r="X5463" s="51" t="s">
        <v>2359</v>
      </c>
    </row>
    <row r="5464" customFormat="false" ht="14.25" hidden="true" customHeight="false" outlineLevel="0" collapsed="false">
      <c r="A5464" s="49" t="s">
        <v>2349</v>
      </c>
      <c r="B5464" s="49" t="s">
        <v>2350</v>
      </c>
      <c r="C5464" s="49" t="s">
        <v>9754</v>
      </c>
      <c r="D5464" s="49" t="s">
        <v>2352</v>
      </c>
      <c r="E5464" s="49" t="s">
        <v>4351</v>
      </c>
      <c r="F5464" s="49" t="s">
        <v>4352</v>
      </c>
      <c r="G5464" s="49" t="n">
        <v>0</v>
      </c>
      <c r="H5464" s="0" t="n">
        <v>0</v>
      </c>
      <c r="M5464" s="51" t="s">
        <v>9734</v>
      </c>
      <c r="N5464" s="49" t="n">
        <v>0</v>
      </c>
      <c r="O5464" s="53" t="n">
        <v>45778.7212037037</v>
      </c>
      <c r="P5464" s="53" t="n">
        <v>45783.6461689815</v>
      </c>
      <c r="Q5464" s="53" t="n">
        <v>45778.7212037037</v>
      </c>
      <c r="R5464" s="0" t="n">
        <v>0</v>
      </c>
      <c r="S5464" s="51" t="s">
        <v>2356</v>
      </c>
      <c r="T5464" s="51" t="s">
        <v>2356</v>
      </c>
      <c r="U5464" s="51" t="s">
        <v>4351</v>
      </c>
      <c r="V5464" s="51" t="s">
        <v>2365</v>
      </c>
      <c r="W5464" s="51" t="s">
        <v>5157</v>
      </c>
      <c r="X5464" s="51" t="s">
        <v>2359</v>
      </c>
    </row>
    <row r="5465" customFormat="false" ht="14.25" hidden="true" customHeight="false" outlineLevel="0" collapsed="false">
      <c r="A5465" s="49" t="s">
        <v>2349</v>
      </c>
      <c r="B5465" s="49" t="s">
        <v>2350</v>
      </c>
      <c r="C5465" s="49" t="s">
        <v>9755</v>
      </c>
      <c r="D5465" s="49" t="s">
        <v>2352</v>
      </c>
      <c r="E5465" s="49" t="s">
        <v>4351</v>
      </c>
      <c r="F5465" s="49" t="s">
        <v>4352</v>
      </c>
      <c r="G5465" s="49" t="n">
        <v>0</v>
      </c>
      <c r="H5465" s="0" t="n">
        <v>0</v>
      </c>
      <c r="M5465" s="51" t="s">
        <v>9734</v>
      </c>
      <c r="N5465" s="49" t="n">
        <v>0</v>
      </c>
      <c r="O5465" s="53" t="n">
        <v>45778.7221296296</v>
      </c>
      <c r="P5465" s="53" t="n">
        <v>45795.5860416667</v>
      </c>
      <c r="Q5465" s="53" t="n">
        <v>45778.7221296296</v>
      </c>
      <c r="R5465" s="0" t="n">
        <v>0</v>
      </c>
      <c r="S5465" s="51" t="s">
        <v>2356</v>
      </c>
      <c r="T5465" s="51" t="s">
        <v>2356</v>
      </c>
      <c r="U5465" s="51" t="s">
        <v>4351</v>
      </c>
      <c r="V5465" s="51" t="s">
        <v>2365</v>
      </c>
      <c r="W5465" s="51" t="s">
        <v>5147</v>
      </c>
      <c r="X5465" s="51" t="s">
        <v>2359</v>
      </c>
    </row>
    <row r="5466" customFormat="false" ht="14.25" hidden="true" customHeight="false" outlineLevel="0" collapsed="false">
      <c r="A5466" s="49" t="s">
        <v>2349</v>
      </c>
      <c r="B5466" s="49" t="s">
        <v>2350</v>
      </c>
      <c r="C5466" s="49" t="s">
        <v>9756</v>
      </c>
      <c r="D5466" s="49" t="s">
        <v>2352</v>
      </c>
      <c r="E5466" s="49" t="str">
        <f aca="false">"5060458890191"</f>
        <v>5060458890191</v>
      </c>
      <c r="F5466" s="49" t="s">
        <v>3656</v>
      </c>
      <c r="G5466" s="49" t="n">
        <v>0</v>
      </c>
      <c r="H5466" s="0" t="n">
        <v>0</v>
      </c>
      <c r="M5466" s="51" t="s">
        <v>9757</v>
      </c>
      <c r="N5466" s="49" t="n">
        <v>0</v>
      </c>
      <c r="O5466" s="53" t="n">
        <v>45848.3125231481</v>
      </c>
      <c r="P5466" s="53" t="n">
        <v>45848.6449074074</v>
      </c>
      <c r="Q5466" s="53" t="n">
        <v>45848.3125231481</v>
      </c>
      <c r="R5466" s="0" t="n">
        <v>0</v>
      </c>
      <c r="S5466" s="51" t="s">
        <v>2394</v>
      </c>
      <c r="T5466" s="51" t="s">
        <v>2394</v>
      </c>
      <c r="U5466" s="0" t="str">
        <f aca="false">"5060458890191"</f>
        <v>5060458890191</v>
      </c>
      <c r="V5466" s="51" t="s">
        <v>2142</v>
      </c>
      <c r="W5466" s="51" t="s">
        <v>5662</v>
      </c>
      <c r="X5466" s="51" t="s">
        <v>2359</v>
      </c>
    </row>
    <row r="5467" customFormat="false" ht="14.25" hidden="true" customHeight="false" outlineLevel="0" collapsed="false">
      <c r="A5467" s="49" t="s">
        <v>2349</v>
      </c>
      <c r="B5467" s="49" t="s">
        <v>2350</v>
      </c>
      <c r="C5467" s="49" t="s">
        <v>9756</v>
      </c>
      <c r="D5467" s="49" t="s">
        <v>2352</v>
      </c>
      <c r="E5467" s="49" t="str">
        <f aca="false">"5060458890191"</f>
        <v>5060458890191</v>
      </c>
      <c r="F5467" s="49" t="s">
        <v>3656</v>
      </c>
      <c r="G5467" s="49" t="n">
        <v>0</v>
      </c>
      <c r="H5467" s="0" t="n">
        <v>0</v>
      </c>
      <c r="M5467" s="51" t="s">
        <v>9757</v>
      </c>
      <c r="N5467" s="49" t="n">
        <v>0</v>
      </c>
      <c r="O5467" s="53" t="n">
        <v>45848.3125231481</v>
      </c>
      <c r="P5467" s="53" t="n">
        <v>45848.6449074074</v>
      </c>
      <c r="Q5467" s="53" t="n">
        <v>45848.3125231481</v>
      </c>
      <c r="R5467" s="0" t="n">
        <v>0</v>
      </c>
      <c r="S5467" s="51" t="s">
        <v>2394</v>
      </c>
      <c r="T5467" s="51" t="s">
        <v>2394</v>
      </c>
      <c r="U5467" s="0" t="str">
        <f aca="false">"5060458890191"</f>
        <v>5060458890191</v>
      </c>
      <c r="V5467" s="51" t="s">
        <v>2142</v>
      </c>
      <c r="W5467" s="51" t="s">
        <v>5662</v>
      </c>
      <c r="X5467" s="51" t="s">
        <v>2359</v>
      </c>
    </row>
    <row r="5468" customFormat="false" ht="14.25" hidden="true" customHeight="false" outlineLevel="0" collapsed="false">
      <c r="A5468" s="49" t="s">
        <v>2349</v>
      </c>
      <c r="B5468" s="49" t="s">
        <v>2350</v>
      </c>
      <c r="C5468" s="49" t="s">
        <v>9758</v>
      </c>
      <c r="D5468" s="49" t="s">
        <v>2352</v>
      </c>
      <c r="E5468" s="49" t="str">
        <f aca="false">"5060458890191"</f>
        <v>5060458890191</v>
      </c>
      <c r="F5468" s="49" t="s">
        <v>3656</v>
      </c>
      <c r="G5468" s="49" t="n">
        <v>0</v>
      </c>
      <c r="H5468" s="0" t="n">
        <v>0</v>
      </c>
      <c r="M5468" s="51" t="s">
        <v>9757</v>
      </c>
      <c r="N5468" s="49" t="n">
        <v>0</v>
      </c>
      <c r="O5468" s="53" t="n">
        <v>45848.3059143519</v>
      </c>
      <c r="P5468" s="53" t="n">
        <v>45848.6483680556</v>
      </c>
      <c r="Q5468" s="53" t="n">
        <v>45848.3059143519</v>
      </c>
      <c r="R5468" s="0" t="n">
        <v>0</v>
      </c>
      <c r="S5468" s="51" t="s">
        <v>2394</v>
      </c>
      <c r="T5468" s="51" t="s">
        <v>2394</v>
      </c>
      <c r="U5468" s="0" t="str">
        <f aca="false">"5060458890191"</f>
        <v>5060458890191</v>
      </c>
      <c r="V5468" s="51" t="s">
        <v>2142</v>
      </c>
      <c r="W5468" s="51" t="s">
        <v>7360</v>
      </c>
      <c r="X5468" s="51" t="s">
        <v>2359</v>
      </c>
    </row>
    <row r="5469" customFormat="false" ht="14.25" hidden="true" customHeight="false" outlineLevel="0" collapsed="false">
      <c r="A5469" s="49" t="s">
        <v>2349</v>
      </c>
      <c r="B5469" s="49" t="s">
        <v>2350</v>
      </c>
      <c r="C5469" s="49" t="s">
        <v>9759</v>
      </c>
      <c r="D5469" s="49" t="s">
        <v>2352</v>
      </c>
      <c r="E5469" s="49" t="str">
        <f aca="false">"5060175133922"</f>
        <v>5060175133922</v>
      </c>
      <c r="F5469" s="49" t="s">
        <v>3837</v>
      </c>
      <c r="G5469" s="49" t="n">
        <v>0</v>
      </c>
      <c r="H5469" s="0" t="n">
        <v>0</v>
      </c>
      <c r="M5469" s="51" t="s">
        <v>9760</v>
      </c>
      <c r="N5469" s="49" t="n">
        <v>0</v>
      </c>
      <c r="O5469" s="53" t="n">
        <v>45881.5959606482</v>
      </c>
      <c r="P5469" s="53" t="n">
        <v>45908.3909606482</v>
      </c>
      <c r="Q5469" s="53" t="n">
        <v>45881.5959606482</v>
      </c>
      <c r="R5469" s="0" t="n">
        <v>0</v>
      </c>
      <c r="S5469" s="51" t="s">
        <v>2401</v>
      </c>
      <c r="T5469" s="51" t="s">
        <v>2401</v>
      </c>
      <c r="U5469" s="0" t="str">
        <f aca="false">"5060175133922"</f>
        <v>5060175133922</v>
      </c>
      <c r="V5469" s="51" t="s">
        <v>2365</v>
      </c>
      <c r="W5469" s="51" t="s">
        <v>9761</v>
      </c>
      <c r="X5469" s="51" t="s">
        <v>2359</v>
      </c>
    </row>
    <row r="5470" customFormat="false" ht="14.25" hidden="true" customHeight="false" outlineLevel="0" collapsed="false">
      <c r="A5470" s="49" t="s">
        <v>2349</v>
      </c>
      <c r="B5470" s="49" t="s">
        <v>2350</v>
      </c>
      <c r="C5470" s="49" t="s">
        <v>9762</v>
      </c>
      <c r="D5470" s="49" t="s">
        <v>2352</v>
      </c>
      <c r="E5470" s="49" t="str">
        <f aca="false">"5060175133182"</f>
        <v>5060175133182</v>
      </c>
      <c r="F5470" s="49" t="s">
        <v>6385</v>
      </c>
      <c r="G5470" s="49" t="n">
        <v>0</v>
      </c>
      <c r="H5470" s="0" t="n">
        <v>0</v>
      </c>
      <c r="M5470" s="51" t="s">
        <v>9763</v>
      </c>
      <c r="N5470" s="49" t="n">
        <v>0</v>
      </c>
      <c r="O5470" s="53" t="n">
        <v>45854.4760069444</v>
      </c>
      <c r="P5470" s="53" t="n">
        <v>46017.6503819445</v>
      </c>
      <c r="Q5470" s="53" t="n">
        <v>45854.4760069444</v>
      </c>
      <c r="R5470" s="0" t="n">
        <v>0</v>
      </c>
      <c r="S5470" s="51" t="s">
        <v>2416</v>
      </c>
      <c r="T5470" s="51" t="s">
        <v>2416</v>
      </c>
      <c r="U5470" s="0" t="str">
        <f aca="false">"5060175133182"</f>
        <v>5060175133182</v>
      </c>
      <c r="V5470" s="51" t="s">
        <v>2365</v>
      </c>
      <c r="W5470" s="51" t="s">
        <v>9764</v>
      </c>
      <c r="X5470" s="51" t="s">
        <v>2359</v>
      </c>
    </row>
    <row r="5471" customFormat="false" ht="14.25" hidden="true" customHeight="false" outlineLevel="0" collapsed="false">
      <c r="A5471" s="49" t="s">
        <v>2349</v>
      </c>
      <c r="B5471" s="49" t="s">
        <v>2350</v>
      </c>
      <c r="C5471" s="49" t="s">
        <v>9765</v>
      </c>
      <c r="D5471" s="49" t="s">
        <v>2352</v>
      </c>
      <c r="E5471" s="49" t="str">
        <f aca="false">"5060175133366"</f>
        <v>5060175133366</v>
      </c>
      <c r="F5471" s="49" t="s">
        <v>5125</v>
      </c>
      <c r="G5471" s="49" t="n">
        <v>0</v>
      </c>
      <c r="H5471" s="0" t="n">
        <v>0</v>
      </c>
      <c r="M5471" s="51" t="s">
        <v>9763</v>
      </c>
      <c r="N5471" s="49" t="n">
        <v>0</v>
      </c>
      <c r="O5471" s="53" t="n">
        <v>45854.4756481481</v>
      </c>
      <c r="P5471" s="53" t="n">
        <v>45856.585787037</v>
      </c>
      <c r="Q5471" s="53" t="n">
        <v>45854.4756481481</v>
      </c>
      <c r="R5471" s="0" t="n">
        <v>0</v>
      </c>
      <c r="S5471" s="51" t="s">
        <v>2416</v>
      </c>
      <c r="T5471" s="51" t="s">
        <v>2416</v>
      </c>
      <c r="U5471" s="0" t="str">
        <f aca="false">"5060175133366"</f>
        <v>5060175133366</v>
      </c>
      <c r="V5471" s="51" t="s">
        <v>2365</v>
      </c>
      <c r="W5471" s="51" t="s">
        <v>4290</v>
      </c>
      <c r="X5471" s="51" t="s">
        <v>2359</v>
      </c>
    </row>
    <row r="5472" customFormat="false" ht="14.25" hidden="true" customHeight="false" outlineLevel="0" collapsed="false">
      <c r="A5472" s="49" t="s">
        <v>2349</v>
      </c>
      <c r="B5472" s="49" t="s">
        <v>2350</v>
      </c>
      <c r="C5472" s="49" t="s">
        <v>9766</v>
      </c>
      <c r="D5472" s="49" t="s">
        <v>2352</v>
      </c>
      <c r="E5472" s="49" t="str">
        <f aca="false">"5060175133366"</f>
        <v>5060175133366</v>
      </c>
      <c r="F5472" s="49" t="s">
        <v>5125</v>
      </c>
      <c r="G5472" s="49" t="n">
        <v>0</v>
      </c>
      <c r="H5472" s="0" t="n">
        <v>0</v>
      </c>
      <c r="M5472" s="51" t="s">
        <v>9763</v>
      </c>
      <c r="N5472" s="49" t="n">
        <v>0</v>
      </c>
      <c r="O5472" s="53" t="n">
        <v>45854.475474537</v>
      </c>
      <c r="P5472" s="53" t="n">
        <v>45953.7843518519</v>
      </c>
      <c r="Q5472" s="53" t="n">
        <v>45854.475474537</v>
      </c>
      <c r="R5472" s="0" t="n">
        <v>0</v>
      </c>
      <c r="S5472" s="51" t="s">
        <v>2416</v>
      </c>
      <c r="T5472" s="51" t="s">
        <v>2416</v>
      </c>
      <c r="U5472" s="0" t="str">
        <f aca="false">"5060175133366"</f>
        <v>5060175133366</v>
      </c>
      <c r="V5472" s="51" t="s">
        <v>2365</v>
      </c>
      <c r="W5472" s="51" t="s">
        <v>3943</v>
      </c>
      <c r="X5472" s="51" t="s">
        <v>2359</v>
      </c>
    </row>
    <row r="5473" customFormat="false" ht="14.25" hidden="true" customHeight="false" outlineLevel="0" collapsed="false">
      <c r="A5473" s="49" t="s">
        <v>2349</v>
      </c>
      <c r="B5473" s="49" t="s">
        <v>2350</v>
      </c>
      <c r="C5473" s="49" t="s">
        <v>9767</v>
      </c>
      <c r="D5473" s="49" t="s">
        <v>2352</v>
      </c>
      <c r="E5473" s="49" t="str">
        <f aca="false">"5060175133366"</f>
        <v>5060175133366</v>
      </c>
      <c r="F5473" s="49" t="s">
        <v>5125</v>
      </c>
      <c r="G5473" s="49" t="n">
        <v>0</v>
      </c>
      <c r="H5473" s="0" t="n">
        <v>0</v>
      </c>
      <c r="M5473" s="51" t="s">
        <v>9763</v>
      </c>
      <c r="N5473" s="49" t="n">
        <v>0</v>
      </c>
      <c r="O5473" s="53" t="n">
        <v>45854.4751967593</v>
      </c>
      <c r="P5473" s="53" t="n">
        <v>45856.5867013889</v>
      </c>
      <c r="Q5473" s="53" t="n">
        <v>45854.4751967593</v>
      </c>
      <c r="R5473" s="0" t="n">
        <v>0</v>
      </c>
      <c r="S5473" s="51" t="s">
        <v>2416</v>
      </c>
      <c r="T5473" s="51" t="s">
        <v>2416</v>
      </c>
      <c r="U5473" s="0" t="str">
        <f aca="false">"5060175133366"</f>
        <v>5060175133366</v>
      </c>
      <c r="V5473" s="51" t="s">
        <v>2365</v>
      </c>
      <c r="W5473" s="51" t="s">
        <v>7608</v>
      </c>
      <c r="X5473" s="51" t="s">
        <v>2359</v>
      </c>
    </row>
    <row r="5474" customFormat="false" ht="14.25" hidden="true" customHeight="false" outlineLevel="0" collapsed="false">
      <c r="A5474" s="49" t="s">
        <v>2349</v>
      </c>
      <c r="B5474" s="49" t="s">
        <v>2350</v>
      </c>
      <c r="C5474" s="49" t="s">
        <v>9768</v>
      </c>
      <c r="D5474" s="49" t="s">
        <v>2352</v>
      </c>
      <c r="E5474" s="49" t="str">
        <f aca="false">"5060175133366"</f>
        <v>5060175133366</v>
      </c>
      <c r="F5474" s="49" t="s">
        <v>5125</v>
      </c>
      <c r="G5474" s="49" t="n">
        <v>0</v>
      </c>
      <c r="H5474" s="0" t="n">
        <v>0</v>
      </c>
      <c r="M5474" s="51" t="s">
        <v>9763</v>
      </c>
      <c r="N5474" s="49" t="n">
        <v>0</v>
      </c>
      <c r="O5474" s="53" t="n">
        <v>45854.4750231481</v>
      </c>
      <c r="P5474" s="53" t="n">
        <v>45855.9563425926</v>
      </c>
      <c r="Q5474" s="53" t="n">
        <v>45854.4750231481</v>
      </c>
      <c r="R5474" s="0" t="n">
        <v>0</v>
      </c>
      <c r="S5474" s="51" t="s">
        <v>2416</v>
      </c>
      <c r="T5474" s="51" t="s">
        <v>2416</v>
      </c>
      <c r="U5474" s="0" t="str">
        <f aca="false">"5060175133366"</f>
        <v>5060175133366</v>
      </c>
      <c r="V5474" s="51" t="s">
        <v>2365</v>
      </c>
      <c r="W5474" s="51" t="s">
        <v>9769</v>
      </c>
      <c r="X5474" s="51" t="s">
        <v>2359</v>
      </c>
    </row>
    <row r="5475" customFormat="false" ht="14.25" hidden="true" customHeight="false" outlineLevel="0" collapsed="false">
      <c r="A5475" s="49" t="s">
        <v>2349</v>
      </c>
      <c r="B5475" s="49" t="s">
        <v>2350</v>
      </c>
      <c r="C5475" s="49" t="s">
        <v>9770</v>
      </c>
      <c r="D5475" s="49" t="s">
        <v>2352</v>
      </c>
      <c r="E5475" s="49" t="str">
        <f aca="false">"5060175133298"</f>
        <v>5060175133298</v>
      </c>
      <c r="F5475" s="49" t="s">
        <v>3985</v>
      </c>
      <c r="G5475" s="49" t="n">
        <v>0</v>
      </c>
      <c r="H5475" s="0" t="n">
        <v>0</v>
      </c>
      <c r="M5475" s="51" t="s">
        <v>9763</v>
      </c>
      <c r="N5475" s="49" t="n">
        <v>0</v>
      </c>
      <c r="O5475" s="53" t="n">
        <v>45854.4746759259</v>
      </c>
      <c r="P5475" s="53" t="n">
        <v>45885.6272685185</v>
      </c>
      <c r="Q5475" s="53" t="n">
        <v>45854.4746759259</v>
      </c>
      <c r="R5475" s="0" t="n">
        <v>0</v>
      </c>
      <c r="S5475" s="51" t="s">
        <v>2416</v>
      </c>
      <c r="T5475" s="51" t="s">
        <v>2416</v>
      </c>
      <c r="U5475" s="0" t="str">
        <f aca="false">"5060175133298"</f>
        <v>5060175133298</v>
      </c>
      <c r="V5475" s="51" t="s">
        <v>2365</v>
      </c>
      <c r="W5475" s="51" t="s">
        <v>5659</v>
      </c>
      <c r="X5475" s="51" t="s">
        <v>2359</v>
      </c>
    </row>
    <row r="5476" customFormat="false" ht="14.25" hidden="true" customHeight="false" outlineLevel="0" collapsed="false">
      <c r="A5476" s="49" t="s">
        <v>2349</v>
      </c>
      <c r="B5476" s="49" t="s">
        <v>2350</v>
      </c>
      <c r="C5476" s="49" t="s">
        <v>9771</v>
      </c>
      <c r="D5476" s="49" t="s">
        <v>2352</v>
      </c>
      <c r="E5476" s="49" t="str">
        <f aca="false">"5060175133304"</f>
        <v>5060175133304</v>
      </c>
      <c r="F5476" s="49" t="s">
        <v>3983</v>
      </c>
      <c r="G5476" s="49" t="n">
        <v>0</v>
      </c>
      <c r="H5476" s="0" t="n">
        <v>0</v>
      </c>
      <c r="M5476" s="51" t="s">
        <v>9763</v>
      </c>
      <c r="N5476" s="49" t="n">
        <v>0</v>
      </c>
      <c r="O5476" s="53" t="n">
        <v>45854.474224537</v>
      </c>
      <c r="P5476" s="53" t="n">
        <v>45925.4459953704</v>
      </c>
      <c r="Q5476" s="53" t="n">
        <v>45854.474224537</v>
      </c>
      <c r="R5476" s="0" t="n">
        <v>0</v>
      </c>
      <c r="S5476" s="51" t="s">
        <v>2416</v>
      </c>
      <c r="T5476" s="51" t="s">
        <v>2416</v>
      </c>
      <c r="U5476" s="0" t="str">
        <f aca="false">"5060175133304"</f>
        <v>5060175133304</v>
      </c>
      <c r="V5476" s="51" t="s">
        <v>2365</v>
      </c>
      <c r="W5476" s="51" t="s">
        <v>5532</v>
      </c>
      <c r="X5476" s="51" t="s">
        <v>2359</v>
      </c>
    </row>
    <row r="5477" customFormat="false" ht="14.25" hidden="true" customHeight="false" outlineLevel="0" collapsed="false">
      <c r="A5477" s="49" t="s">
        <v>2349</v>
      </c>
      <c r="B5477" s="49" t="s">
        <v>2350</v>
      </c>
      <c r="C5477" s="49" t="s">
        <v>9772</v>
      </c>
      <c r="D5477" s="49" t="s">
        <v>2352</v>
      </c>
      <c r="E5477" s="49" t="str">
        <f aca="false">"5060175133366"</f>
        <v>5060175133366</v>
      </c>
      <c r="F5477" s="49" t="s">
        <v>5125</v>
      </c>
      <c r="G5477" s="49" t="n">
        <v>0</v>
      </c>
      <c r="H5477" s="0" t="n">
        <v>0</v>
      </c>
      <c r="M5477" s="51" t="s">
        <v>9763</v>
      </c>
      <c r="N5477" s="49" t="n">
        <v>0</v>
      </c>
      <c r="O5477" s="53" t="n">
        <v>45854.473599537</v>
      </c>
      <c r="P5477" s="53" t="n">
        <v>45856.5841782407</v>
      </c>
      <c r="Q5477" s="53" t="n">
        <v>45854.473599537</v>
      </c>
      <c r="R5477" s="0" t="n">
        <v>0</v>
      </c>
      <c r="S5477" s="51" t="s">
        <v>2416</v>
      </c>
      <c r="T5477" s="51" t="s">
        <v>2416</v>
      </c>
      <c r="U5477" s="0" t="str">
        <f aca="false">"5060175133366"</f>
        <v>5060175133366</v>
      </c>
      <c r="V5477" s="51" t="s">
        <v>2365</v>
      </c>
      <c r="W5477" s="51" t="s">
        <v>7520</v>
      </c>
      <c r="X5477" s="51" t="s">
        <v>2359</v>
      </c>
    </row>
    <row r="5478" customFormat="false" ht="14.25" hidden="true" customHeight="false" outlineLevel="0" collapsed="false">
      <c r="A5478" s="49" t="s">
        <v>2349</v>
      </c>
      <c r="B5478" s="49" t="s">
        <v>2350</v>
      </c>
      <c r="C5478" s="49" t="s">
        <v>9773</v>
      </c>
      <c r="D5478" s="49" t="s">
        <v>2352</v>
      </c>
      <c r="E5478" s="49" t="str">
        <f aca="false">"5060175133366"</f>
        <v>5060175133366</v>
      </c>
      <c r="F5478" s="49" t="s">
        <v>5125</v>
      </c>
      <c r="G5478" s="49" t="n">
        <v>0</v>
      </c>
      <c r="H5478" s="0" t="n">
        <v>0</v>
      </c>
      <c r="M5478" s="51" t="s">
        <v>9763</v>
      </c>
      <c r="N5478" s="49" t="n">
        <v>0</v>
      </c>
      <c r="O5478" s="53" t="n">
        <v>45854.4733564815</v>
      </c>
      <c r="P5478" s="53" t="n">
        <v>45855.9703125</v>
      </c>
      <c r="Q5478" s="53" t="n">
        <v>45854.4733564815</v>
      </c>
      <c r="R5478" s="0" t="n">
        <v>0</v>
      </c>
      <c r="S5478" s="51" t="s">
        <v>2416</v>
      </c>
      <c r="T5478" s="51" t="s">
        <v>2416</v>
      </c>
      <c r="U5478" s="0" t="str">
        <f aca="false">"5060175133366"</f>
        <v>5060175133366</v>
      </c>
      <c r="V5478" s="51" t="s">
        <v>2365</v>
      </c>
      <c r="W5478" s="51" t="s">
        <v>4241</v>
      </c>
      <c r="X5478" s="51" t="s">
        <v>2359</v>
      </c>
    </row>
    <row r="5479" customFormat="false" ht="14.25" hidden="true" customHeight="false" outlineLevel="0" collapsed="false">
      <c r="A5479" s="49" t="s">
        <v>2349</v>
      </c>
      <c r="B5479" s="49" t="s">
        <v>2350</v>
      </c>
      <c r="C5479" s="49" t="s">
        <v>9774</v>
      </c>
      <c r="D5479" s="49" t="s">
        <v>2352</v>
      </c>
      <c r="E5479" s="49" t="str">
        <f aca="false">"5060175133274"</f>
        <v>5060175133274</v>
      </c>
      <c r="F5479" s="49" t="s">
        <v>5130</v>
      </c>
      <c r="G5479" s="49" t="n">
        <v>0</v>
      </c>
      <c r="H5479" s="0" t="n">
        <v>0</v>
      </c>
      <c r="M5479" s="51" t="s">
        <v>9763</v>
      </c>
      <c r="N5479" s="49" t="n">
        <v>0</v>
      </c>
      <c r="O5479" s="53" t="n">
        <v>45854.4646527778</v>
      </c>
      <c r="P5479" s="53" t="n">
        <v>45856.4684953704</v>
      </c>
      <c r="Q5479" s="53" t="n">
        <v>45854.4646527778</v>
      </c>
      <c r="R5479" s="0" t="n">
        <v>0</v>
      </c>
      <c r="S5479" s="51" t="s">
        <v>2416</v>
      </c>
      <c r="T5479" s="51" t="s">
        <v>2416</v>
      </c>
      <c r="U5479" s="0" t="str">
        <f aca="false">"5060175133274"</f>
        <v>5060175133274</v>
      </c>
      <c r="V5479" s="51" t="s">
        <v>2365</v>
      </c>
      <c r="W5479" s="51" t="s">
        <v>6025</v>
      </c>
      <c r="X5479" s="51" t="s">
        <v>2359</v>
      </c>
    </row>
    <row r="5480" customFormat="false" ht="14.25" hidden="true" customHeight="false" outlineLevel="0" collapsed="false">
      <c r="A5480" s="49" t="s">
        <v>2349</v>
      </c>
      <c r="B5480" s="49" t="s">
        <v>2350</v>
      </c>
      <c r="C5480" s="49" t="s">
        <v>9775</v>
      </c>
      <c r="D5480" s="49" t="s">
        <v>2352</v>
      </c>
      <c r="E5480" s="49" t="str">
        <f aca="false">"5060175133274"</f>
        <v>5060175133274</v>
      </c>
      <c r="F5480" s="49" t="s">
        <v>5130</v>
      </c>
      <c r="G5480" s="49" t="n">
        <v>0</v>
      </c>
      <c r="H5480" s="0" t="n">
        <v>0</v>
      </c>
      <c r="M5480" s="51" t="s">
        <v>9763</v>
      </c>
      <c r="N5480" s="49" t="n">
        <v>0</v>
      </c>
      <c r="O5480" s="53" t="n">
        <v>45854.4649652778</v>
      </c>
      <c r="P5480" s="53" t="n">
        <v>45859.8145833333</v>
      </c>
      <c r="Q5480" s="53" t="n">
        <v>45854.4649652778</v>
      </c>
      <c r="R5480" s="0" t="n">
        <v>0</v>
      </c>
      <c r="S5480" s="51" t="s">
        <v>2416</v>
      </c>
      <c r="T5480" s="51" t="s">
        <v>2416</v>
      </c>
      <c r="U5480" s="0" t="str">
        <f aca="false">"5060175133274"</f>
        <v>5060175133274</v>
      </c>
      <c r="V5480" s="51" t="s">
        <v>2365</v>
      </c>
      <c r="W5480" s="51" t="s">
        <v>5436</v>
      </c>
      <c r="X5480" s="51" t="s">
        <v>2359</v>
      </c>
    </row>
    <row r="5481" customFormat="false" ht="14.25" hidden="true" customHeight="false" outlineLevel="0" collapsed="false">
      <c r="A5481" s="49" t="s">
        <v>2349</v>
      </c>
      <c r="B5481" s="49" t="s">
        <v>2350</v>
      </c>
      <c r="C5481" s="49" t="s">
        <v>9776</v>
      </c>
      <c r="D5481" s="49" t="s">
        <v>2352</v>
      </c>
      <c r="E5481" s="49" t="str">
        <f aca="false">"5060175133274"</f>
        <v>5060175133274</v>
      </c>
      <c r="F5481" s="49" t="s">
        <v>5130</v>
      </c>
      <c r="G5481" s="49" t="n">
        <v>0</v>
      </c>
      <c r="H5481" s="0" t="n">
        <v>0</v>
      </c>
      <c r="M5481" s="51" t="s">
        <v>9763</v>
      </c>
      <c r="N5481" s="49" t="n">
        <v>0</v>
      </c>
      <c r="O5481" s="53" t="n">
        <v>45854.4656365741</v>
      </c>
      <c r="P5481" s="53" t="n">
        <v>45859.8137268519</v>
      </c>
      <c r="Q5481" s="53" t="n">
        <v>45854.4656365741</v>
      </c>
      <c r="R5481" s="0" t="n">
        <v>0</v>
      </c>
      <c r="S5481" s="51" t="s">
        <v>2416</v>
      </c>
      <c r="T5481" s="51" t="s">
        <v>2416</v>
      </c>
      <c r="U5481" s="0" t="str">
        <f aca="false">"5060175133274"</f>
        <v>5060175133274</v>
      </c>
      <c r="V5481" s="51" t="s">
        <v>2365</v>
      </c>
      <c r="W5481" s="51" t="s">
        <v>6413</v>
      </c>
      <c r="X5481" s="51" t="s">
        <v>2359</v>
      </c>
    </row>
    <row r="5482" customFormat="false" ht="14.25" hidden="true" customHeight="false" outlineLevel="0" collapsed="false">
      <c r="A5482" s="49" t="s">
        <v>2349</v>
      </c>
      <c r="B5482" s="49" t="s">
        <v>2350</v>
      </c>
      <c r="C5482" s="49" t="s">
        <v>9777</v>
      </c>
      <c r="D5482" s="49" t="s">
        <v>2352</v>
      </c>
      <c r="E5482" s="49" t="str">
        <f aca="false">"5060175133274"</f>
        <v>5060175133274</v>
      </c>
      <c r="F5482" s="49" t="s">
        <v>5130</v>
      </c>
      <c r="G5482" s="49" t="n">
        <v>0</v>
      </c>
      <c r="H5482" s="0" t="n">
        <v>0</v>
      </c>
      <c r="M5482" s="51" t="s">
        <v>9763</v>
      </c>
      <c r="N5482" s="49" t="n">
        <v>0</v>
      </c>
      <c r="O5482" s="53" t="n">
        <v>45854.4658912037</v>
      </c>
      <c r="P5482" s="53" t="n">
        <v>45856.5602777778</v>
      </c>
      <c r="Q5482" s="53" t="n">
        <v>45854.4658912037</v>
      </c>
      <c r="R5482" s="0" t="n">
        <v>0</v>
      </c>
      <c r="S5482" s="51" t="s">
        <v>2416</v>
      </c>
      <c r="T5482" s="51" t="s">
        <v>2416</v>
      </c>
      <c r="U5482" s="0" t="str">
        <f aca="false">"5060175133274"</f>
        <v>5060175133274</v>
      </c>
      <c r="V5482" s="51" t="s">
        <v>2365</v>
      </c>
      <c r="W5482" s="51" t="s">
        <v>8945</v>
      </c>
      <c r="X5482" s="51" t="s">
        <v>2359</v>
      </c>
    </row>
    <row r="5483" customFormat="false" ht="14.25" hidden="true" customHeight="false" outlineLevel="0" collapsed="false">
      <c r="A5483" s="49" t="s">
        <v>2349</v>
      </c>
      <c r="B5483" s="49" t="s">
        <v>2350</v>
      </c>
      <c r="C5483" s="49" t="s">
        <v>9778</v>
      </c>
      <c r="D5483" s="49" t="s">
        <v>2352</v>
      </c>
      <c r="E5483" s="49" t="str">
        <f aca="false">"5060175133274"</f>
        <v>5060175133274</v>
      </c>
      <c r="F5483" s="49" t="s">
        <v>5130</v>
      </c>
      <c r="G5483" s="49" t="n">
        <v>0</v>
      </c>
      <c r="H5483" s="0" t="n">
        <v>0</v>
      </c>
      <c r="M5483" s="51" t="s">
        <v>9763</v>
      </c>
      <c r="N5483" s="49" t="n">
        <v>0</v>
      </c>
      <c r="O5483" s="53" t="n">
        <v>45854.4661574074</v>
      </c>
      <c r="P5483" s="53" t="n">
        <v>45869.9238078704</v>
      </c>
      <c r="Q5483" s="53" t="n">
        <v>45854.4661574074</v>
      </c>
      <c r="R5483" s="0" t="n">
        <v>0</v>
      </c>
      <c r="S5483" s="51" t="s">
        <v>2416</v>
      </c>
      <c r="T5483" s="51" t="s">
        <v>2416</v>
      </c>
      <c r="U5483" s="0" t="str">
        <f aca="false">"5060175133274"</f>
        <v>5060175133274</v>
      </c>
      <c r="V5483" s="51" t="s">
        <v>2365</v>
      </c>
      <c r="W5483" s="51" t="s">
        <v>8482</v>
      </c>
      <c r="X5483" s="51" t="s">
        <v>2359</v>
      </c>
    </row>
    <row r="5484" customFormat="false" ht="14.25" hidden="true" customHeight="false" outlineLevel="0" collapsed="false">
      <c r="A5484" s="49" t="s">
        <v>2349</v>
      </c>
      <c r="B5484" s="49" t="s">
        <v>2350</v>
      </c>
      <c r="C5484" s="49" t="s">
        <v>9779</v>
      </c>
      <c r="D5484" s="49" t="s">
        <v>2352</v>
      </c>
      <c r="E5484" s="49" t="str">
        <f aca="false">"5060175133274"</f>
        <v>5060175133274</v>
      </c>
      <c r="F5484" s="49" t="s">
        <v>5130</v>
      </c>
      <c r="G5484" s="49" t="n">
        <v>0</v>
      </c>
      <c r="H5484" s="0" t="n">
        <v>0</v>
      </c>
      <c r="M5484" s="51" t="s">
        <v>9763</v>
      </c>
      <c r="N5484" s="49" t="n">
        <v>0</v>
      </c>
      <c r="O5484" s="53" t="n">
        <v>45854.4678935185</v>
      </c>
      <c r="P5484" s="53" t="n">
        <v>45855.8965856481</v>
      </c>
      <c r="Q5484" s="53" t="n">
        <v>45854.4678935185</v>
      </c>
      <c r="R5484" s="0" t="n">
        <v>0</v>
      </c>
      <c r="S5484" s="51" t="s">
        <v>2416</v>
      </c>
      <c r="T5484" s="51" t="s">
        <v>2416</v>
      </c>
      <c r="U5484" s="0" t="str">
        <f aca="false">"5060175133274"</f>
        <v>5060175133274</v>
      </c>
      <c r="V5484" s="51" t="s">
        <v>2365</v>
      </c>
      <c r="W5484" s="51" t="s">
        <v>4539</v>
      </c>
      <c r="X5484" s="51" t="s">
        <v>2359</v>
      </c>
    </row>
    <row r="5485" customFormat="false" ht="14.25" hidden="true" customHeight="false" outlineLevel="0" collapsed="false">
      <c r="A5485" s="49" t="s">
        <v>2349</v>
      </c>
      <c r="B5485" s="49" t="s">
        <v>2350</v>
      </c>
      <c r="C5485" s="49" t="s">
        <v>9780</v>
      </c>
      <c r="D5485" s="49" t="s">
        <v>2352</v>
      </c>
      <c r="E5485" s="49" t="str">
        <f aca="false">"5060175133274"</f>
        <v>5060175133274</v>
      </c>
      <c r="F5485" s="49" t="s">
        <v>5130</v>
      </c>
      <c r="G5485" s="49" t="n">
        <v>0</v>
      </c>
      <c r="H5485" s="0" t="n">
        <v>0</v>
      </c>
      <c r="M5485" s="51" t="s">
        <v>9763</v>
      </c>
      <c r="N5485" s="49" t="n">
        <v>0</v>
      </c>
      <c r="O5485" s="53" t="n">
        <v>45854.4677777778</v>
      </c>
      <c r="P5485" s="53" t="n">
        <v>45855.958275463</v>
      </c>
      <c r="Q5485" s="53" t="n">
        <v>45854.4677777778</v>
      </c>
      <c r="R5485" s="0" t="n">
        <v>0</v>
      </c>
      <c r="S5485" s="51" t="s">
        <v>2416</v>
      </c>
      <c r="T5485" s="51" t="s">
        <v>2416</v>
      </c>
      <c r="U5485" s="0" t="str">
        <f aca="false">"5060175133274"</f>
        <v>5060175133274</v>
      </c>
      <c r="V5485" s="51" t="s">
        <v>2365</v>
      </c>
      <c r="W5485" s="51" t="s">
        <v>6430</v>
      </c>
      <c r="X5485" s="51" t="s">
        <v>2359</v>
      </c>
    </row>
    <row r="5486" customFormat="false" ht="14.25" hidden="true" customHeight="false" outlineLevel="0" collapsed="false">
      <c r="A5486" s="49" t="s">
        <v>2349</v>
      </c>
      <c r="B5486" s="49" t="s">
        <v>2350</v>
      </c>
      <c r="C5486" s="49" t="s">
        <v>9781</v>
      </c>
      <c r="D5486" s="49" t="s">
        <v>2352</v>
      </c>
      <c r="E5486" s="49" t="s">
        <v>4012</v>
      </c>
      <c r="F5486" s="49" t="s">
        <v>4013</v>
      </c>
      <c r="G5486" s="49" t="n">
        <v>0</v>
      </c>
      <c r="H5486" s="0" t="n">
        <v>0</v>
      </c>
      <c r="M5486" s="51" t="s">
        <v>9782</v>
      </c>
      <c r="N5486" s="49" t="n">
        <v>0</v>
      </c>
      <c r="O5486" s="53" t="n">
        <v>45880.5748148148</v>
      </c>
      <c r="P5486" s="53" t="n">
        <v>45900.7620023148</v>
      </c>
      <c r="Q5486" s="53" t="n">
        <v>45880.5748148148</v>
      </c>
      <c r="R5486" s="0" t="n">
        <v>0</v>
      </c>
      <c r="S5486" s="51" t="s">
        <v>2383</v>
      </c>
      <c r="T5486" s="51" t="s">
        <v>2383</v>
      </c>
      <c r="U5486" s="51" t="s">
        <v>4012</v>
      </c>
      <c r="V5486" s="51" t="s">
        <v>2365</v>
      </c>
      <c r="W5486" s="51" t="s">
        <v>5863</v>
      </c>
      <c r="X5486" s="51" t="s">
        <v>2359</v>
      </c>
    </row>
    <row r="5487" customFormat="false" ht="14.25" hidden="true" customHeight="false" outlineLevel="0" collapsed="false">
      <c r="A5487" s="49" t="s">
        <v>2349</v>
      </c>
      <c r="B5487" s="49" t="s">
        <v>2350</v>
      </c>
      <c r="C5487" s="49" t="s">
        <v>9783</v>
      </c>
      <c r="D5487" s="49" t="s">
        <v>2352</v>
      </c>
      <c r="E5487" s="49" t="s">
        <v>4012</v>
      </c>
      <c r="F5487" s="49" t="s">
        <v>4013</v>
      </c>
      <c r="G5487" s="49" t="n">
        <v>0</v>
      </c>
      <c r="H5487" s="0" t="n">
        <v>0</v>
      </c>
      <c r="M5487" s="51" t="s">
        <v>9782</v>
      </c>
      <c r="N5487" s="49" t="n">
        <v>0</v>
      </c>
      <c r="O5487" s="53" t="n">
        <v>45880.5745717593</v>
      </c>
      <c r="P5487" s="53" t="n">
        <v>45918.4696064815</v>
      </c>
      <c r="Q5487" s="53" t="n">
        <v>45880.5745717593</v>
      </c>
      <c r="R5487" s="0" t="n">
        <v>0</v>
      </c>
      <c r="S5487" s="51" t="s">
        <v>2383</v>
      </c>
      <c r="T5487" s="51" t="s">
        <v>2383</v>
      </c>
      <c r="U5487" s="51" t="s">
        <v>4012</v>
      </c>
      <c r="V5487" s="51" t="s">
        <v>2365</v>
      </c>
      <c r="W5487" s="51" t="s">
        <v>9695</v>
      </c>
      <c r="X5487" s="51" t="s">
        <v>2359</v>
      </c>
    </row>
    <row r="5488" customFormat="false" ht="14.25" hidden="true" customHeight="false" outlineLevel="0" collapsed="false">
      <c r="A5488" s="49" t="s">
        <v>2349</v>
      </c>
      <c r="B5488" s="49" t="s">
        <v>2350</v>
      </c>
      <c r="C5488" s="49" t="s">
        <v>9784</v>
      </c>
      <c r="D5488" s="49" t="s">
        <v>2352</v>
      </c>
      <c r="E5488" s="49" t="s">
        <v>4012</v>
      </c>
      <c r="F5488" s="49" t="s">
        <v>4013</v>
      </c>
      <c r="G5488" s="49" t="n">
        <v>0</v>
      </c>
      <c r="H5488" s="0" t="n">
        <v>0</v>
      </c>
      <c r="M5488" s="51" t="s">
        <v>9782</v>
      </c>
      <c r="N5488" s="49" t="n">
        <v>0</v>
      </c>
      <c r="O5488" s="53" t="n">
        <v>45880.5744907407</v>
      </c>
      <c r="P5488" s="53" t="n">
        <v>45908.3768634259</v>
      </c>
      <c r="Q5488" s="53" t="n">
        <v>45880.5744907407</v>
      </c>
      <c r="R5488" s="0" t="n">
        <v>0</v>
      </c>
      <c r="S5488" s="51" t="s">
        <v>2383</v>
      </c>
      <c r="T5488" s="51" t="s">
        <v>2383</v>
      </c>
      <c r="U5488" s="51" t="s">
        <v>4012</v>
      </c>
      <c r="V5488" s="51" t="s">
        <v>2365</v>
      </c>
      <c r="W5488" s="51" t="s">
        <v>5896</v>
      </c>
      <c r="X5488" s="51" t="s">
        <v>2359</v>
      </c>
    </row>
    <row r="5489" customFormat="false" ht="14.25" hidden="true" customHeight="false" outlineLevel="0" collapsed="false">
      <c r="A5489" s="49" t="s">
        <v>2349</v>
      </c>
      <c r="B5489" s="49" t="s">
        <v>2350</v>
      </c>
      <c r="C5489" s="49" t="s">
        <v>9785</v>
      </c>
      <c r="D5489" s="49" t="s">
        <v>2352</v>
      </c>
      <c r="E5489" s="49" t="s">
        <v>3633</v>
      </c>
      <c r="F5489" s="49" t="s">
        <v>3634</v>
      </c>
      <c r="G5489" s="49" t="n">
        <v>0</v>
      </c>
      <c r="H5489" s="0" t="n">
        <v>0</v>
      </c>
      <c r="M5489" s="51" t="s">
        <v>9786</v>
      </c>
      <c r="N5489" s="49" t="n">
        <v>0</v>
      </c>
      <c r="O5489" s="53" t="n">
        <v>45847.603900463</v>
      </c>
      <c r="P5489" s="53" t="n">
        <v>45880.580787037</v>
      </c>
      <c r="Q5489" s="53" t="n">
        <v>45847.603900463</v>
      </c>
      <c r="R5489" s="0" t="n">
        <v>0</v>
      </c>
      <c r="S5489" s="51" t="s">
        <v>2356</v>
      </c>
      <c r="T5489" s="51" t="s">
        <v>2356</v>
      </c>
      <c r="U5489" s="51" t="s">
        <v>3633</v>
      </c>
      <c r="V5489" s="51" t="s">
        <v>2357</v>
      </c>
      <c r="W5489" s="51" t="s">
        <v>5414</v>
      </c>
      <c r="X5489" s="51" t="s">
        <v>2359</v>
      </c>
    </row>
    <row r="5490" customFormat="false" ht="14.25" hidden="true" customHeight="false" outlineLevel="0" collapsed="false">
      <c r="A5490" s="49" t="s">
        <v>2349</v>
      </c>
      <c r="B5490" s="49" t="s">
        <v>2350</v>
      </c>
      <c r="C5490" s="49" t="s">
        <v>9787</v>
      </c>
      <c r="D5490" s="49" t="s">
        <v>2352</v>
      </c>
      <c r="E5490" s="49" t="str">
        <f aca="false">"5060458890191"</f>
        <v>5060458890191</v>
      </c>
      <c r="F5490" s="49" t="s">
        <v>3656</v>
      </c>
      <c r="G5490" s="49" t="n">
        <v>0</v>
      </c>
      <c r="H5490" s="0" t="n">
        <v>0</v>
      </c>
      <c r="M5490" s="51" t="s">
        <v>9788</v>
      </c>
      <c r="N5490" s="49" t="n">
        <v>0</v>
      </c>
      <c r="O5490" s="53" t="n">
        <v>45855.6131365741</v>
      </c>
      <c r="P5490" s="53" t="n">
        <v>45887.5777893519</v>
      </c>
      <c r="Q5490" s="53" t="n">
        <v>45855.6131365741</v>
      </c>
      <c r="R5490" s="0" t="n">
        <v>0</v>
      </c>
      <c r="S5490" s="51" t="s">
        <v>3780</v>
      </c>
      <c r="T5490" s="51" t="s">
        <v>3780</v>
      </c>
      <c r="U5490" s="0" t="str">
        <f aca="false">"5060458890191"</f>
        <v>5060458890191</v>
      </c>
      <c r="V5490" s="51" t="s">
        <v>2142</v>
      </c>
      <c r="W5490" s="51" t="s">
        <v>7454</v>
      </c>
      <c r="X5490" s="51" t="s">
        <v>2359</v>
      </c>
    </row>
    <row r="5491" customFormat="false" ht="14.25" hidden="true" customHeight="false" outlineLevel="0" collapsed="false">
      <c r="A5491" s="49" t="s">
        <v>2349</v>
      </c>
      <c r="B5491" s="49" t="s">
        <v>2350</v>
      </c>
      <c r="C5491" s="49" t="s">
        <v>9789</v>
      </c>
      <c r="D5491" s="49" t="s">
        <v>2352</v>
      </c>
      <c r="E5491" s="49" t="str">
        <f aca="false">"5060458890191"</f>
        <v>5060458890191</v>
      </c>
      <c r="F5491" s="49" t="s">
        <v>3656</v>
      </c>
      <c r="G5491" s="49" t="n">
        <v>0</v>
      </c>
      <c r="H5491" s="0" t="n">
        <v>0</v>
      </c>
      <c r="M5491" s="51" t="s">
        <v>9788</v>
      </c>
      <c r="N5491" s="49" t="n">
        <v>0</v>
      </c>
      <c r="O5491" s="53" t="n">
        <v>45855.6129513889</v>
      </c>
      <c r="P5491" s="53" t="n">
        <v>45874.7840740741</v>
      </c>
      <c r="Q5491" s="53" t="n">
        <v>45855.6129513889</v>
      </c>
      <c r="R5491" s="0" t="n">
        <v>0</v>
      </c>
      <c r="S5491" s="51" t="s">
        <v>3780</v>
      </c>
      <c r="T5491" s="51" t="s">
        <v>3780</v>
      </c>
      <c r="U5491" s="0" t="str">
        <f aca="false">"5060458890191"</f>
        <v>5060458890191</v>
      </c>
      <c r="V5491" s="51" t="s">
        <v>2142</v>
      </c>
      <c r="W5491" s="51" t="s">
        <v>6786</v>
      </c>
      <c r="X5491" s="51" t="s">
        <v>2359</v>
      </c>
    </row>
    <row r="5492" customFormat="false" ht="14.25" hidden="true" customHeight="false" outlineLevel="0" collapsed="false">
      <c r="A5492" s="49" t="s">
        <v>2349</v>
      </c>
      <c r="B5492" s="49" t="s">
        <v>2350</v>
      </c>
      <c r="C5492" s="49" t="s">
        <v>9790</v>
      </c>
      <c r="D5492" s="49" t="s">
        <v>2352</v>
      </c>
      <c r="E5492" s="49" t="str">
        <f aca="false">"5060458890191"</f>
        <v>5060458890191</v>
      </c>
      <c r="F5492" s="49" t="s">
        <v>3656</v>
      </c>
      <c r="G5492" s="49" t="n">
        <v>0</v>
      </c>
      <c r="H5492" s="0" t="n">
        <v>0</v>
      </c>
      <c r="M5492" s="51" t="s">
        <v>9788</v>
      </c>
      <c r="N5492" s="49" t="n">
        <v>0</v>
      </c>
      <c r="O5492" s="53" t="n">
        <v>45855.6128240741</v>
      </c>
      <c r="P5492" s="53" t="n">
        <v>45887.710162037</v>
      </c>
      <c r="Q5492" s="53" t="n">
        <v>45855.6128240741</v>
      </c>
      <c r="R5492" s="0" t="n">
        <v>0</v>
      </c>
      <c r="S5492" s="51" t="s">
        <v>3780</v>
      </c>
      <c r="T5492" s="51" t="s">
        <v>3780</v>
      </c>
      <c r="U5492" s="0" t="str">
        <f aca="false">"5060458890191"</f>
        <v>5060458890191</v>
      </c>
      <c r="V5492" s="51" t="s">
        <v>2142</v>
      </c>
      <c r="W5492" s="51" t="s">
        <v>5659</v>
      </c>
      <c r="X5492" s="51" t="s">
        <v>2359</v>
      </c>
    </row>
    <row r="5493" customFormat="false" ht="14.25" hidden="true" customHeight="false" outlineLevel="0" collapsed="false">
      <c r="A5493" s="49" t="s">
        <v>2349</v>
      </c>
      <c r="B5493" s="49" t="s">
        <v>2350</v>
      </c>
      <c r="C5493" s="49" t="s">
        <v>9791</v>
      </c>
      <c r="D5493" s="49" t="s">
        <v>2352</v>
      </c>
      <c r="E5493" s="49" t="str">
        <f aca="false">"5060458890191"</f>
        <v>5060458890191</v>
      </c>
      <c r="F5493" s="49" t="s">
        <v>3656</v>
      </c>
      <c r="G5493" s="49" t="n">
        <v>0</v>
      </c>
      <c r="H5493" s="0" t="n">
        <v>0</v>
      </c>
      <c r="M5493" s="51" t="s">
        <v>9788</v>
      </c>
      <c r="N5493" s="49" t="n">
        <v>0</v>
      </c>
      <c r="O5493" s="53" t="n">
        <v>45855.6126851852</v>
      </c>
      <c r="P5493" s="53" t="n">
        <v>45872.8046643519</v>
      </c>
      <c r="Q5493" s="53" t="n">
        <v>45855.6126851852</v>
      </c>
      <c r="R5493" s="0" t="n">
        <v>0</v>
      </c>
      <c r="S5493" s="51" t="s">
        <v>3780</v>
      </c>
      <c r="T5493" s="51" t="s">
        <v>3780</v>
      </c>
      <c r="U5493" s="0" t="str">
        <f aca="false">"5060458890191"</f>
        <v>5060458890191</v>
      </c>
      <c r="V5493" s="51" t="s">
        <v>2142</v>
      </c>
      <c r="W5493" s="51" t="s">
        <v>6786</v>
      </c>
      <c r="X5493" s="51" t="s">
        <v>2359</v>
      </c>
    </row>
    <row r="5494" customFormat="false" ht="14.25" hidden="true" customHeight="false" outlineLevel="0" collapsed="false">
      <c r="A5494" s="49" t="s">
        <v>2349</v>
      </c>
      <c r="B5494" s="49" t="s">
        <v>2350</v>
      </c>
      <c r="C5494" s="49" t="s">
        <v>9792</v>
      </c>
      <c r="D5494" s="49" t="s">
        <v>2352</v>
      </c>
      <c r="E5494" s="49" t="str">
        <f aca="false">"5060458890191"</f>
        <v>5060458890191</v>
      </c>
      <c r="F5494" s="49" t="s">
        <v>3656</v>
      </c>
      <c r="G5494" s="49" t="n">
        <v>0</v>
      </c>
      <c r="H5494" s="0" t="n">
        <v>0</v>
      </c>
      <c r="M5494" s="51" t="s">
        <v>9788</v>
      </c>
      <c r="N5494" s="49" t="n">
        <v>0</v>
      </c>
      <c r="O5494" s="53" t="n">
        <v>45855.6125810185</v>
      </c>
      <c r="P5494" s="53" t="n">
        <v>45890.6061226852</v>
      </c>
      <c r="Q5494" s="53" t="n">
        <v>45855.6125810185</v>
      </c>
      <c r="R5494" s="0" t="n">
        <v>0</v>
      </c>
      <c r="S5494" s="51" t="s">
        <v>3780</v>
      </c>
      <c r="T5494" s="51" t="s">
        <v>3780</v>
      </c>
      <c r="U5494" s="0" t="str">
        <f aca="false">"5060458890191"</f>
        <v>5060458890191</v>
      </c>
      <c r="V5494" s="51" t="s">
        <v>2142</v>
      </c>
      <c r="W5494" s="51" t="s">
        <v>4505</v>
      </c>
      <c r="X5494" s="51" t="s">
        <v>2359</v>
      </c>
    </row>
    <row r="5495" customFormat="false" ht="14.25" hidden="true" customHeight="false" outlineLevel="0" collapsed="false">
      <c r="A5495" s="49" t="s">
        <v>2349</v>
      </c>
      <c r="B5495" s="49" t="s">
        <v>2350</v>
      </c>
      <c r="C5495" s="49" t="s">
        <v>9793</v>
      </c>
      <c r="D5495" s="49" t="s">
        <v>2352</v>
      </c>
      <c r="E5495" s="49" t="str">
        <f aca="false">"5060458890191"</f>
        <v>5060458890191</v>
      </c>
      <c r="F5495" s="49" t="s">
        <v>3656</v>
      </c>
      <c r="G5495" s="49" t="n">
        <v>0</v>
      </c>
      <c r="H5495" s="0" t="n">
        <v>0</v>
      </c>
      <c r="M5495" s="51" t="s">
        <v>9788</v>
      </c>
      <c r="N5495" s="49" t="n">
        <v>0</v>
      </c>
      <c r="O5495" s="53" t="n">
        <v>45855.612349537</v>
      </c>
      <c r="P5495" s="53" t="n">
        <v>45890.6047106482</v>
      </c>
      <c r="Q5495" s="53" t="n">
        <v>45855.612349537</v>
      </c>
      <c r="R5495" s="0" t="n">
        <v>0</v>
      </c>
      <c r="S5495" s="51" t="s">
        <v>3780</v>
      </c>
      <c r="T5495" s="51" t="s">
        <v>3780</v>
      </c>
      <c r="U5495" s="0" t="str">
        <f aca="false">"5060458890191"</f>
        <v>5060458890191</v>
      </c>
      <c r="V5495" s="51" t="s">
        <v>2142</v>
      </c>
      <c r="W5495" s="51" t="s">
        <v>9794</v>
      </c>
      <c r="X5495" s="51" t="s">
        <v>2359</v>
      </c>
    </row>
    <row r="5496" customFormat="false" ht="14.25" hidden="true" customHeight="false" outlineLevel="0" collapsed="false">
      <c r="A5496" s="49" t="s">
        <v>2349</v>
      </c>
      <c r="B5496" s="49" t="s">
        <v>2350</v>
      </c>
      <c r="C5496" s="49" t="s">
        <v>9795</v>
      </c>
      <c r="D5496" s="49" t="s">
        <v>2352</v>
      </c>
      <c r="E5496" s="49" t="str">
        <f aca="false">"5060458890191"</f>
        <v>5060458890191</v>
      </c>
      <c r="F5496" s="49" t="s">
        <v>3656</v>
      </c>
      <c r="G5496" s="49" t="n">
        <v>0</v>
      </c>
      <c r="H5496" s="0" t="n">
        <v>0</v>
      </c>
      <c r="M5496" s="51" t="s">
        <v>9788</v>
      </c>
      <c r="N5496" s="49" t="n">
        <v>0</v>
      </c>
      <c r="O5496" s="53" t="n">
        <v>45855.6121990741</v>
      </c>
      <c r="P5496" s="53" t="n">
        <v>45889.9269791667</v>
      </c>
      <c r="Q5496" s="53" t="n">
        <v>45855.6121990741</v>
      </c>
      <c r="R5496" s="0" t="n">
        <v>0</v>
      </c>
      <c r="S5496" s="51" t="s">
        <v>3780</v>
      </c>
      <c r="T5496" s="51" t="s">
        <v>3780</v>
      </c>
      <c r="U5496" s="0" t="str">
        <f aca="false">"5060458890191"</f>
        <v>5060458890191</v>
      </c>
      <c r="V5496" s="51" t="s">
        <v>2142</v>
      </c>
      <c r="W5496" s="51" t="s">
        <v>4761</v>
      </c>
      <c r="X5496" s="51" t="s">
        <v>2359</v>
      </c>
    </row>
    <row r="5497" customFormat="false" ht="14.25" hidden="true" customHeight="false" outlineLevel="0" collapsed="false">
      <c r="A5497" s="49" t="s">
        <v>2349</v>
      </c>
      <c r="B5497" s="49" t="s">
        <v>2350</v>
      </c>
      <c r="C5497" s="49" t="s">
        <v>9796</v>
      </c>
      <c r="D5497" s="49" t="s">
        <v>2352</v>
      </c>
      <c r="E5497" s="49" t="str">
        <f aca="false">"5060458890191"</f>
        <v>5060458890191</v>
      </c>
      <c r="F5497" s="49" t="s">
        <v>3656</v>
      </c>
      <c r="G5497" s="49" t="n">
        <v>0</v>
      </c>
      <c r="H5497" s="0" t="n">
        <v>0</v>
      </c>
      <c r="M5497" s="51" t="s">
        <v>9788</v>
      </c>
      <c r="N5497" s="49" t="n">
        <v>0</v>
      </c>
      <c r="O5497" s="53" t="n">
        <v>45855.6119791667</v>
      </c>
      <c r="P5497" s="53" t="n">
        <v>45889.9252662037</v>
      </c>
      <c r="Q5497" s="53" t="n">
        <v>45855.6119791667</v>
      </c>
      <c r="R5497" s="0" t="n">
        <v>0</v>
      </c>
      <c r="S5497" s="51" t="s">
        <v>3780</v>
      </c>
      <c r="T5497" s="51" t="s">
        <v>3780</v>
      </c>
      <c r="U5497" s="0" t="str">
        <f aca="false">"5060458890191"</f>
        <v>5060458890191</v>
      </c>
      <c r="V5497" s="51" t="s">
        <v>2142</v>
      </c>
      <c r="W5497" s="51" t="s">
        <v>4527</v>
      </c>
      <c r="X5497" s="51" t="s">
        <v>2359</v>
      </c>
    </row>
    <row r="5498" customFormat="false" ht="14.25" hidden="true" customHeight="false" outlineLevel="0" collapsed="false">
      <c r="A5498" s="49" t="s">
        <v>2349</v>
      </c>
      <c r="B5498" s="49" t="s">
        <v>2350</v>
      </c>
      <c r="C5498" s="49" t="s">
        <v>9797</v>
      </c>
      <c r="D5498" s="49" t="s">
        <v>2352</v>
      </c>
      <c r="E5498" s="49" t="str">
        <f aca="false">"5060458890191"</f>
        <v>5060458890191</v>
      </c>
      <c r="F5498" s="49" t="s">
        <v>3656</v>
      </c>
      <c r="G5498" s="49" t="n">
        <v>0</v>
      </c>
      <c r="H5498" s="0" t="n">
        <v>0</v>
      </c>
      <c r="M5498" s="51" t="s">
        <v>9788</v>
      </c>
      <c r="N5498" s="49" t="n">
        <v>0</v>
      </c>
      <c r="O5498" s="53" t="n">
        <v>45855.6118171296</v>
      </c>
      <c r="P5498" s="53" t="n">
        <v>45887.7097685185</v>
      </c>
      <c r="Q5498" s="53" t="n">
        <v>45855.6118171296</v>
      </c>
      <c r="R5498" s="0" t="n">
        <v>0</v>
      </c>
      <c r="S5498" s="51" t="s">
        <v>3780</v>
      </c>
      <c r="T5498" s="51" t="s">
        <v>3780</v>
      </c>
      <c r="U5498" s="0" t="str">
        <f aca="false">"5060458890191"</f>
        <v>5060458890191</v>
      </c>
      <c r="V5498" s="51" t="s">
        <v>2142</v>
      </c>
      <c r="W5498" s="51" t="s">
        <v>4738</v>
      </c>
      <c r="X5498" s="51" t="s">
        <v>2359</v>
      </c>
    </row>
    <row r="5499" customFormat="false" ht="14.25" hidden="true" customHeight="false" outlineLevel="0" collapsed="false">
      <c r="A5499" s="49" t="s">
        <v>2349</v>
      </c>
      <c r="B5499" s="49" t="s">
        <v>2350</v>
      </c>
      <c r="C5499" s="49" t="s">
        <v>9798</v>
      </c>
      <c r="D5499" s="49" t="s">
        <v>2352</v>
      </c>
      <c r="E5499" s="49" t="str">
        <f aca="false">"5060458890191"</f>
        <v>5060458890191</v>
      </c>
      <c r="F5499" s="49" t="s">
        <v>3656</v>
      </c>
      <c r="G5499" s="49" t="n">
        <v>0</v>
      </c>
      <c r="H5499" s="0" t="n">
        <v>0</v>
      </c>
      <c r="M5499" s="51" t="s">
        <v>9788</v>
      </c>
      <c r="N5499" s="49" t="n">
        <v>0</v>
      </c>
      <c r="O5499" s="53" t="n">
        <v>45855.6116898148</v>
      </c>
      <c r="P5499" s="53" t="n">
        <v>45890.5991550926</v>
      </c>
      <c r="Q5499" s="53" t="n">
        <v>45855.6116898148</v>
      </c>
      <c r="R5499" s="0" t="n">
        <v>0</v>
      </c>
      <c r="S5499" s="51" t="s">
        <v>3780</v>
      </c>
      <c r="T5499" s="51" t="s">
        <v>3780</v>
      </c>
      <c r="U5499" s="0" t="str">
        <f aca="false">"5060458890191"</f>
        <v>5060458890191</v>
      </c>
      <c r="V5499" s="51" t="s">
        <v>2142</v>
      </c>
      <c r="W5499" s="51" t="s">
        <v>6193</v>
      </c>
      <c r="X5499" s="51" t="s">
        <v>2359</v>
      </c>
    </row>
    <row r="5500" customFormat="false" ht="14.25" hidden="true" customHeight="false" outlineLevel="0" collapsed="false">
      <c r="A5500" s="49" t="s">
        <v>2349</v>
      </c>
      <c r="B5500" s="49" t="s">
        <v>2350</v>
      </c>
      <c r="C5500" s="49" t="s">
        <v>9799</v>
      </c>
      <c r="D5500" s="49" t="s">
        <v>2352</v>
      </c>
      <c r="E5500" s="49" t="str">
        <f aca="false">"5060458890191"</f>
        <v>5060458890191</v>
      </c>
      <c r="F5500" s="49" t="s">
        <v>3656</v>
      </c>
      <c r="G5500" s="49" t="n">
        <v>0</v>
      </c>
      <c r="H5500" s="0" t="n">
        <v>0</v>
      </c>
      <c r="M5500" s="51" t="s">
        <v>9788</v>
      </c>
      <c r="N5500" s="49" t="n">
        <v>0</v>
      </c>
      <c r="O5500" s="53" t="n">
        <v>45855.6114814815</v>
      </c>
      <c r="P5500" s="53" t="n">
        <v>45885.5921180556</v>
      </c>
      <c r="Q5500" s="53" t="n">
        <v>45855.6114814815</v>
      </c>
      <c r="R5500" s="0" t="n">
        <v>0</v>
      </c>
      <c r="S5500" s="51" t="s">
        <v>3780</v>
      </c>
      <c r="T5500" s="51" t="s">
        <v>3780</v>
      </c>
      <c r="U5500" s="0" t="str">
        <f aca="false">"5060458890191"</f>
        <v>5060458890191</v>
      </c>
      <c r="V5500" s="51" t="s">
        <v>2142</v>
      </c>
      <c r="W5500" s="51" t="s">
        <v>4539</v>
      </c>
      <c r="X5500" s="51" t="s">
        <v>2359</v>
      </c>
    </row>
    <row r="5501" customFormat="false" ht="14.25" hidden="true" customHeight="false" outlineLevel="0" collapsed="false">
      <c r="A5501" s="49" t="s">
        <v>2349</v>
      </c>
      <c r="B5501" s="49" t="s">
        <v>2350</v>
      </c>
      <c r="C5501" s="49" t="s">
        <v>9800</v>
      </c>
      <c r="D5501" s="49" t="s">
        <v>2352</v>
      </c>
      <c r="E5501" s="49" t="str">
        <f aca="false">"5060458890191"</f>
        <v>5060458890191</v>
      </c>
      <c r="F5501" s="49" t="s">
        <v>3656</v>
      </c>
      <c r="G5501" s="49" t="n">
        <v>0</v>
      </c>
      <c r="H5501" s="0" t="n">
        <v>0</v>
      </c>
      <c r="M5501" s="51" t="s">
        <v>9788</v>
      </c>
      <c r="N5501" s="49" t="n">
        <v>0</v>
      </c>
      <c r="O5501" s="53" t="n">
        <v>45855.6113078704</v>
      </c>
      <c r="P5501" s="53" t="n">
        <v>45875.770775463</v>
      </c>
      <c r="Q5501" s="53" t="n">
        <v>45855.6113078704</v>
      </c>
      <c r="R5501" s="0" t="n">
        <v>0</v>
      </c>
      <c r="S5501" s="51" t="s">
        <v>3780</v>
      </c>
      <c r="T5501" s="51" t="s">
        <v>3780</v>
      </c>
      <c r="U5501" s="0" t="str">
        <f aca="false">"5060458890191"</f>
        <v>5060458890191</v>
      </c>
      <c r="V5501" s="51" t="s">
        <v>2142</v>
      </c>
      <c r="W5501" s="51" t="s">
        <v>5892</v>
      </c>
      <c r="X5501" s="51" t="s">
        <v>2359</v>
      </c>
    </row>
    <row r="5502" customFormat="false" ht="14.25" hidden="true" customHeight="false" outlineLevel="0" collapsed="false">
      <c r="A5502" s="49" t="s">
        <v>2349</v>
      </c>
      <c r="B5502" s="49" t="s">
        <v>2350</v>
      </c>
      <c r="C5502" s="49" t="s">
        <v>9801</v>
      </c>
      <c r="D5502" s="49" t="s">
        <v>2352</v>
      </c>
      <c r="E5502" s="49" t="str">
        <f aca="false">"5060458890191"</f>
        <v>5060458890191</v>
      </c>
      <c r="F5502" s="49" t="s">
        <v>3656</v>
      </c>
      <c r="G5502" s="49" t="n">
        <v>0</v>
      </c>
      <c r="H5502" s="0" t="n">
        <v>0</v>
      </c>
      <c r="M5502" s="51" t="s">
        <v>9788</v>
      </c>
      <c r="N5502" s="49" t="n">
        <v>0</v>
      </c>
      <c r="O5502" s="53" t="n">
        <v>45855.6111458333</v>
      </c>
      <c r="P5502" s="53" t="n">
        <v>45874.8159259259</v>
      </c>
      <c r="Q5502" s="53" t="n">
        <v>45855.6111458333</v>
      </c>
      <c r="R5502" s="0" t="n">
        <v>0</v>
      </c>
      <c r="S5502" s="51" t="s">
        <v>3780</v>
      </c>
      <c r="T5502" s="51" t="s">
        <v>3780</v>
      </c>
      <c r="U5502" s="0" t="str">
        <f aca="false">"5060458890191"</f>
        <v>5060458890191</v>
      </c>
      <c r="V5502" s="51" t="s">
        <v>2142</v>
      </c>
      <c r="W5502" s="51" t="s">
        <v>6793</v>
      </c>
      <c r="X5502" s="51" t="s">
        <v>2359</v>
      </c>
    </row>
    <row r="5503" customFormat="false" ht="14.25" hidden="true" customHeight="false" outlineLevel="0" collapsed="false">
      <c r="A5503" s="49" t="s">
        <v>2349</v>
      </c>
      <c r="B5503" s="49" t="s">
        <v>2350</v>
      </c>
      <c r="C5503" s="49" t="s">
        <v>9802</v>
      </c>
      <c r="D5503" s="49" t="s">
        <v>2352</v>
      </c>
      <c r="E5503" s="49" t="str">
        <f aca="false">"5060458890191"</f>
        <v>5060458890191</v>
      </c>
      <c r="F5503" s="49" t="s">
        <v>3656</v>
      </c>
      <c r="G5503" s="49" t="n">
        <v>0</v>
      </c>
      <c r="H5503" s="0" t="n">
        <v>0</v>
      </c>
      <c r="M5503" s="51" t="s">
        <v>9788</v>
      </c>
      <c r="N5503" s="49" t="n">
        <v>0</v>
      </c>
      <c r="O5503" s="53" t="n">
        <v>45855.6110069445</v>
      </c>
      <c r="P5503" s="53" t="n">
        <v>45882.8968171296</v>
      </c>
      <c r="Q5503" s="53" t="n">
        <v>45855.6110069445</v>
      </c>
      <c r="R5503" s="0" t="n">
        <v>0</v>
      </c>
      <c r="S5503" s="51" t="s">
        <v>3780</v>
      </c>
      <c r="T5503" s="51" t="s">
        <v>3780</v>
      </c>
      <c r="U5503" s="0" t="str">
        <f aca="false">"5060458890191"</f>
        <v>5060458890191</v>
      </c>
      <c r="V5503" s="51" t="s">
        <v>2142</v>
      </c>
      <c r="W5503" s="51" t="s">
        <v>6430</v>
      </c>
      <c r="X5503" s="51" t="s">
        <v>2359</v>
      </c>
    </row>
    <row r="5504" customFormat="false" ht="14.25" hidden="true" customHeight="false" outlineLevel="0" collapsed="false">
      <c r="A5504" s="49" t="s">
        <v>2349</v>
      </c>
      <c r="B5504" s="49" t="s">
        <v>2350</v>
      </c>
      <c r="C5504" s="49" t="s">
        <v>9803</v>
      </c>
      <c r="D5504" s="49" t="s">
        <v>2352</v>
      </c>
      <c r="E5504" s="49" t="str">
        <f aca="false">"5060458890191"</f>
        <v>5060458890191</v>
      </c>
      <c r="F5504" s="49" t="s">
        <v>3656</v>
      </c>
      <c r="G5504" s="49" t="n">
        <v>0</v>
      </c>
      <c r="H5504" s="0" t="n">
        <v>0</v>
      </c>
      <c r="M5504" s="51" t="s">
        <v>9788</v>
      </c>
      <c r="N5504" s="49" t="n">
        <v>0</v>
      </c>
      <c r="O5504" s="53" t="n">
        <v>45855.6108912037</v>
      </c>
      <c r="P5504" s="53" t="n">
        <v>45873.8837037037</v>
      </c>
      <c r="Q5504" s="53" t="n">
        <v>45855.6108912037</v>
      </c>
      <c r="R5504" s="0" t="n">
        <v>0</v>
      </c>
      <c r="S5504" s="51" t="s">
        <v>3780</v>
      </c>
      <c r="T5504" s="51" t="s">
        <v>3780</v>
      </c>
      <c r="U5504" s="0" t="str">
        <f aca="false">"5060458890191"</f>
        <v>5060458890191</v>
      </c>
      <c r="V5504" s="51" t="s">
        <v>2142</v>
      </c>
      <c r="W5504" s="51" t="s">
        <v>5537</v>
      </c>
      <c r="X5504" s="51" t="s">
        <v>2359</v>
      </c>
    </row>
    <row r="5505" customFormat="false" ht="14.25" hidden="true" customHeight="false" outlineLevel="0" collapsed="false">
      <c r="A5505" s="49" t="s">
        <v>2349</v>
      </c>
      <c r="B5505" s="49" t="s">
        <v>2350</v>
      </c>
      <c r="C5505" s="49" t="s">
        <v>9804</v>
      </c>
      <c r="D5505" s="49" t="s">
        <v>2352</v>
      </c>
      <c r="E5505" s="49" t="str">
        <f aca="false">"5060458890191"</f>
        <v>5060458890191</v>
      </c>
      <c r="F5505" s="49" t="s">
        <v>3656</v>
      </c>
      <c r="G5505" s="49" t="n">
        <v>0</v>
      </c>
      <c r="H5505" s="0" t="n">
        <v>0</v>
      </c>
      <c r="M5505" s="51" t="s">
        <v>9788</v>
      </c>
      <c r="N5505" s="49" t="n">
        <v>0</v>
      </c>
      <c r="O5505" s="53" t="n">
        <v>45855.6107060185</v>
      </c>
      <c r="P5505" s="53" t="n">
        <v>45873.8896990741</v>
      </c>
      <c r="Q5505" s="53" t="n">
        <v>45855.6107060185</v>
      </c>
      <c r="R5505" s="0" t="n">
        <v>0</v>
      </c>
      <c r="S5505" s="51" t="s">
        <v>3780</v>
      </c>
      <c r="T5505" s="51" t="s">
        <v>3780</v>
      </c>
      <c r="U5505" s="0" t="str">
        <f aca="false">"5060458890191"</f>
        <v>5060458890191</v>
      </c>
      <c r="V5505" s="51" t="s">
        <v>2142</v>
      </c>
      <c r="W5505" s="51" t="s">
        <v>4503</v>
      </c>
      <c r="X5505" s="51" t="s">
        <v>2359</v>
      </c>
    </row>
    <row r="5506" customFormat="false" ht="14.25" hidden="true" customHeight="false" outlineLevel="0" collapsed="false">
      <c r="A5506" s="49" t="s">
        <v>2349</v>
      </c>
      <c r="B5506" s="49" t="s">
        <v>2350</v>
      </c>
      <c r="C5506" s="49" t="s">
        <v>9805</v>
      </c>
      <c r="D5506" s="49" t="s">
        <v>2352</v>
      </c>
      <c r="E5506" s="49" t="str">
        <f aca="false">"5060458890191"</f>
        <v>5060458890191</v>
      </c>
      <c r="F5506" s="49" t="s">
        <v>3656</v>
      </c>
      <c r="G5506" s="49" t="n">
        <v>0</v>
      </c>
      <c r="H5506" s="0" t="n">
        <v>0</v>
      </c>
      <c r="M5506" s="51" t="s">
        <v>9788</v>
      </c>
      <c r="N5506" s="49" t="n">
        <v>0</v>
      </c>
      <c r="O5506" s="53" t="n">
        <v>45855.6105787037</v>
      </c>
      <c r="P5506" s="53" t="n">
        <v>45873.8863078704</v>
      </c>
      <c r="Q5506" s="53" t="n">
        <v>45855.6105787037</v>
      </c>
      <c r="R5506" s="0" t="n">
        <v>0</v>
      </c>
      <c r="S5506" s="51" t="s">
        <v>3780</v>
      </c>
      <c r="T5506" s="51" t="s">
        <v>3780</v>
      </c>
      <c r="U5506" s="0" t="str">
        <f aca="false">"5060458890191"</f>
        <v>5060458890191</v>
      </c>
      <c r="V5506" s="51" t="s">
        <v>2142</v>
      </c>
      <c r="W5506" s="51" t="s">
        <v>7578</v>
      </c>
      <c r="X5506" s="51" t="s">
        <v>2359</v>
      </c>
    </row>
    <row r="5507" customFormat="false" ht="14.25" hidden="true" customHeight="false" outlineLevel="0" collapsed="false">
      <c r="A5507" s="49" t="s">
        <v>2349</v>
      </c>
      <c r="B5507" s="49" t="s">
        <v>2350</v>
      </c>
      <c r="C5507" s="49" t="s">
        <v>9806</v>
      </c>
      <c r="D5507" s="49" t="s">
        <v>2352</v>
      </c>
      <c r="E5507" s="49" t="str">
        <f aca="false">"5060458890191"</f>
        <v>5060458890191</v>
      </c>
      <c r="F5507" s="49" t="s">
        <v>3656</v>
      </c>
      <c r="G5507" s="49" t="n">
        <v>0</v>
      </c>
      <c r="H5507" s="0" t="n">
        <v>0</v>
      </c>
      <c r="M5507" s="51" t="s">
        <v>9788</v>
      </c>
      <c r="N5507" s="49" t="n">
        <v>0</v>
      </c>
      <c r="O5507" s="53" t="n">
        <v>45855.6104513889</v>
      </c>
      <c r="P5507" s="53" t="n">
        <v>45869.8760069445</v>
      </c>
      <c r="Q5507" s="53" t="n">
        <v>45855.6104513889</v>
      </c>
      <c r="R5507" s="0" t="n">
        <v>0</v>
      </c>
      <c r="S5507" s="51" t="s">
        <v>3780</v>
      </c>
      <c r="T5507" s="51" t="s">
        <v>3780</v>
      </c>
      <c r="U5507" s="0" t="str">
        <f aca="false">"5060458890191"</f>
        <v>5060458890191</v>
      </c>
      <c r="V5507" s="51" t="s">
        <v>2142</v>
      </c>
      <c r="W5507" s="51" t="s">
        <v>4558</v>
      </c>
      <c r="X5507" s="51" t="s">
        <v>2359</v>
      </c>
    </row>
    <row r="5508" customFormat="false" ht="14.25" hidden="true" customHeight="false" outlineLevel="0" collapsed="false">
      <c r="A5508" s="49" t="s">
        <v>2349</v>
      </c>
      <c r="B5508" s="49" t="s">
        <v>2350</v>
      </c>
      <c r="C5508" s="49" t="s">
        <v>9807</v>
      </c>
      <c r="D5508" s="49" t="s">
        <v>2352</v>
      </c>
      <c r="E5508" s="49" t="str">
        <f aca="false">"5060458890191"</f>
        <v>5060458890191</v>
      </c>
      <c r="F5508" s="49" t="s">
        <v>3656</v>
      </c>
      <c r="G5508" s="49" t="n">
        <v>0</v>
      </c>
      <c r="H5508" s="0" t="n">
        <v>0</v>
      </c>
      <c r="M5508" s="51" t="s">
        <v>9788</v>
      </c>
      <c r="N5508" s="49" t="n">
        <v>0</v>
      </c>
      <c r="O5508" s="53" t="n">
        <v>45855.6103703704</v>
      </c>
      <c r="P5508" s="53" t="n">
        <v>45872.8061111111</v>
      </c>
      <c r="Q5508" s="53" t="n">
        <v>45855.6103703704</v>
      </c>
      <c r="R5508" s="0" t="n">
        <v>0</v>
      </c>
      <c r="S5508" s="51" t="s">
        <v>3780</v>
      </c>
      <c r="T5508" s="51" t="s">
        <v>3780</v>
      </c>
      <c r="U5508" s="0" t="str">
        <f aca="false">"5060458890191"</f>
        <v>5060458890191</v>
      </c>
      <c r="V5508" s="51" t="s">
        <v>2142</v>
      </c>
      <c r="W5508" s="51" t="s">
        <v>4212</v>
      </c>
      <c r="X5508" s="51" t="s">
        <v>2359</v>
      </c>
    </row>
    <row r="5509" customFormat="false" ht="14.25" hidden="true" customHeight="false" outlineLevel="0" collapsed="false">
      <c r="A5509" s="49" t="s">
        <v>2349</v>
      </c>
      <c r="B5509" s="49" t="s">
        <v>2350</v>
      </c>
      <c r="C5509" s="49" t="s">
        <v>9808</v>
      </c>
      <c r="D5509" s="49" t="s">
        <v>2352</v>
      </c>
      <c r="E5509" s="49" t="str">
        <f aca="false">"5060458890191"</f>
        <v>5060458890191</v>
      </c>
      <c r="F5509" s="49" t="s">
        <v>3656</v>
      </c>
      <c r="G5509" s="49" t="n">
        <v>0</v>
      </c>
      <c r="H5509" s="0" t="n">
        <v>0</v>
      </c>
      <c r="M5509" s="51" t="s">
        <v>9788</v>
      </c>
      <c r="N5509" s="49" t="n">
        <v>0</v>
      </c>
      <c r="O5509" s="53" t="n">
        <v>45855.6102314815</v>
      </c>
      <c r="P5509" s="53" t="n">
        <v>45882.8984375</v>
      </c>
      <c r="Q5509" s="53" t="n">
        <v>45855.6102314815</v>
      </c>
      <c r="R5509" s="0" t="n">
        <v>0</v>
      </c>
      <c r="S5509" s="51" t="s">
        <v>3780</v>
      </c>
      <c r="T5509" s="51" t="s">
        <v>3780</v>
      </c>
      <c r="U5509" s="0" t="str">
        <f aca="false">"5060458890191"</f>
        <v>5060458890191</v>
      </c>
      <c r="V5509" s="51" t="s">
        <v>2142</v>
      </c>
      <c r="W5509" s="51" t="s">
        <v>8351</v>
      </c>
      <c r="X5509" s="51" t="s">
        <v>2359</v>
      </c>
    </row>
    <row r="5510" customFormat="false" ht="14.25" hidden="true" customHeight="false" outlineLevel="0" collapsed="false">
      <c r="A5510" s="49" t="s">
        <v>2349</v>
      </c>
      <c r="B5510" s="49" t="s">
        <v>2350</v>
      </c>
      <c r="C5510" s="49" t="s">
        <v>9809</v>
      </c>
      <c r="D5510" s="49" t="s">
        <v>2352</v>
      </c>
      <c r="E5510" s="49" t="str">
        <f aca="false">"5060458890191"</f>
        <v>5060458890191</v>
      </c>
      <c r="F5510" s="49" t="s">
        <v>3656</v>
      </c>
      <c r="G5510" s="49" t="n">
        <v>0</v>
      </c>
      <c r="H5510" s="0" t="n">
        <v>0</v>
      </c>
      <c r="M5510" s="51" t="s">
        <v>9788</v>
      </c>
      <c r="N5510" s="49" t="n">
        <v>0</v>
      </c>
      <c r="O5510" s="53" t="n">
        <v>45855.6101273148</v>
      </c>
      <c r="P5510" s="53" t="n">
        <v>45875.6176273148</v>
      </c>
      <c r="Q5510" s="53" t="n">
        <v>45855.6101273148</v>
      </c>
      <c r="R5510" s="0" t="n">
        <v>0</v>
      </c>
      <c r="S5510" s="51" t="s">
        <v>3780</v>
      </c>
      <c r="T5510" s="51" t="s">
        <v>3780</v>
      </c>
      <c r="U5510" s="0" t="str">
        <f aca="false">"5060458890191"</f>
        <v>5060458890191</v>
      </c>
      <c r="V5510" s="51" t="s">
        <v>2142</v>
      </c>
      <c r="W5510" s="51" t="s">
        <v>4763</v>
      </c>
      <c r="X5510" s="51" t="s">
        <v>2359</v>
      </c>
    </row>
    <row r="5511" customFormat="false" ht="14.25" hidden="true" customHeight="false" outlineLevel="0" collapsed="false">
      <c r="A5511" s="49" t="s">
        <v>2349</v>
      </c>
      <c r="B5511" s="49" t="s">
        <v>2350</v>
      </c>
      <c r="C5511" s="49" t="s">
        <v>9810</v>
      </c>
      <c r="D5511" s="49" t="s">
        <v>2352</v>
      </c>
      <c r="E5511" s="49" t="str">
        <f aca="false">"5060458890191"</f>
        <v>5060458890191</v>
      </c>
      <c r="F5511" s="49" t="s">
        <v>3656</v>
      </c>
      <c r="G5511" s="49" t="n">
        <v>0</v>
      </c>
      <c r="H5511" s="0" t="n">
        <v>0</v>
      </c>
      <c r="M5511" s="51" t="s">
        <v>9788</v>
      </c>
      <c r="N5511" s="49" t="n">
        <v>0</v>
      </c>
      <c r="O5511" s="53" t="n">
        <v>45855.6099884259</v>
      </c>
      <c r="P5511" s="53" t="n">
        <v>45876.7368634259</v>
      </c>
      <c r="Q5511" s="53" t="n">
        <v>45855.6099884259</v>
      </c>
      <c r="R5511" s="0" t="n">
        <v>0</v>
      </c>
      <c r="S5511" s="51" t="s">
        <v>3780</v>
      </c>
      <c r="T5511" s="51" t="s">
        <v>3780</v>
      </c>
      <c r="U5511" s="0" t="str">
        <f aca="false">"5060458890191"</f>
        <v>5060458890191</v>
      </c>
      <c r="V5511" s="51" t="s">
        <v>2142</v>
      </c>
      <c r="W5511" s="51" t="s">
        <v>4074</v>
      </c>
      <c r="X5511" s="51" t="s">
        <v>2359</v>
      </c>
    </row>
    <row r="5512" customFormat="false" ht="14.25" hidden="true" customHeight="false" outlineLevel="0" collapsed="false">
      <c r="A5512" s="49" t="s">
        <v>2349</v>
      </c>
      <c r="B5512" s="49" t="s">
        <v>2350</v>
      </c>
      <c r="C5512" s="49" t="s">
        <v>9811</v>
      </c>
      <c r="D5512" s="49" t="s">
        <v>2352</v>
      </c>
      <c r="E5512" s="49" t="str">
        <f aca="false">"5060458890191"</f>
        <v>5060458890191</v>
      </c>
      <c r="F5512" s="49" t="s">
        <v>3656</v>
      </c>
      <c r="G5512" s="49" t="n">
        <v>0</v>
      </c>
      <c r="H5512" s="0" t="n">
        <v>0</v>
      </c>
      <c r="M5512" s="51" t="s">
        <v>9788</v>
      </c>
      <c r="N5512" s="49" t="n">
        <v>0</v>
      </c>
      <c r="O5512" s="53" t="n">
        <v>45855.6098842593</v>
      </c>
      <c r="P5512" s="53" t="n">
        <v>45881.8921296296</v>
      </c>
      <c r="Q5512" s="53" t="n">
        <v>45855.6098842593</v>
      </c>
      <c r="R5512" s="0" t="n">
        <v>0</v>
      </c>
      <c r="S5512" s="51" t="s">
        <v>3780</v>
      </c>
      <c r="T5512" s="51" t="s">
        <v>3780</v>
      </c>
      <c r="U5512" s="0" t="str">
        <f aca="false">"5060458890191"</f>
        <v>5060458890191</v>
      </c>
      <c r="V5512" s="51" t="s">
        <v>2142</v>
      </c>
      <c r="W5512" s="51" t="s">
        <v>5517</v>
      </c>
      <c r="X5512" s="51" t="s">
        <v>2359</v>
      </c>
    </row>
    <row r="5513" customFormat="false" ht="14.25" hidden="true" customHeight="false" outlineLevel="0" collapsed="false">
      <c r="A5513" s="49" t="s">
        <v>2349</v>
      </c>
      <c r="B5513" s="49" t="s">
        <v>2350</v>
      </c>
      <c r="C5513" s="49" t="s">
        <v>9812</v>
      </c>
      <c r="D5513" s="49" t="s">
        <v>2352</v>
      </c>
      <c r="E5513" s="49" t="str">
        <f aca="false">"5060458890191"</f>
        <v>5060458890191</v>
      </c>
      <c r="F5513" s="49" t="s">
        <v>3656</v>
      </c>
      <c r="G5513" s="49" t="n">
        <v>0</v>
      </c>
      <c r="H5513" s="0" t="n">
        <v>0</v>
      </c>
      <c r="M5513" s="51" t="s">
        <v>9788</v>
      </c>
      <c r="N5513" s="49" t="n">
        <v>0</v>
      </c>
      <c r="O5513" s="53" t="n">
        <v>45855.6097916667</v>
      </c>
      <c r="P5513" s="53" t="n">
        <v>45874.7903587963</v>
      </c>
      <c r="Q5513" s="53" t="n">
        <v>45855.6097916667</v>
      </c>
      <c r="R5513" s="0" t="n">
        <v>0</v>
      </c>
      <c r="S5513" s="51" t="s">
        <v>3780</v>
      </c>
      <c r="T5513" s="51" t="s">
        <v>3780</v>
      </c>
      <c r="U5513" s="0" t="str">
        <f aca="false">"5060458890191"</f>
        <v>5060458890191</v>
      </c>
      <c r="V5513" s="51" t="s">
        <v>2142</v>
      </c>
      <c r="W5513" s="51" t="s">
        <v>4763</v>
      </c>
      <c r="X5513" s="51" t="s">
        <v>2359</v>
      </c>
    </row>
    <row r="5514" customFormat="false" ht="14.25" hidden="true" customHeight="false" outlineLevel="0" collapsed="false">
      <c r="A5514" s="49" t="s">
        <v>2349</v>
      </c>
      <c r="B5514" s="49" t="s">
        <v>2350</v>
      </c>
      <c r="C5514" s="49" t="s">
        <v>9813</v>
      </c>
      <c r="D5514" s="49" t="s">
        <v>2352</v>
      </c>
      <c r="E5514" s="49" t="str">
        <f aca="false">"5060458890191"</f>
        <v>5060458890191</v>
      </c>
      <c r="F5514" s="49" t="s">
        <v>3656</v>
      </c>
      <c r="G5514" s="49" t="n">
        <v>0</v>
      </c>
      <c r="H5514" s="0" t="n">
        <v>0</v>
      </c>
      <c r="M5514" s="51" t="s">
        <v>9788</v>
      </c>
      <c r="N5514" s="49" t="n">
        <v>0</v>
      </c>
      <c r="O5514" s="53" t="n">
        <v>45855.6095949074</v>
      </c>
      <c r="P5514" s="53" t="n">
        <v>45869.8765856482</v>
      </c>
      <c r="Q5514" s="53" t="n">
        <v>45855.6095949074</v>
      </c>
      <c r="R5514" s="0" t="n">
        <v>0</v>
      </c>
      <c r="S5514" s="51" t="s">
        <v>3780</v>
      </c>
      <c r="T5514" s="51" t="s">
        <v>3780</v>
      </c>
      <c r="U5514" s="0" t="str">
        <f aca="false">"5060458890191"</f>
        <v>5060458890191</v>
      </c>
      <c r="V5514" s="51" t="s">
        <v>2142</v>
      </c>
      <c r="W5514" s="51" t="s">
        <v>4849</v>
      </c>
      <c r="X5514" s="51" t="s">
        <v>2359</v>
      </c>
    </row>
    <row r="5515" customFormat="false" ht="14.25" hidden="true" customHeight="false" outlineLevel="0" collapsed="false">
      <c r="A5515" s="49" t="s">
        <v>2349</v>
      </c>
      <c r="B5515" s="49" t="s">
        <v>2350</v>
      </c>
      <c r="C5515" s="49" t="s">
        <v>9814</v>
      </c>
      <c r="D5515" s="49" t="s">
        <v>2352</v>
      </c>
      <c r="E5515" s="49" t="str">
        <f aca="false">"5060458890191"</f>
        <v>5060458890191</v>
      </c>
      <c r="F5515" s="49" t="s">
        <v>3656</v>
      </c>
      <c r="G5515" s="49" t="n">
        <v>0</v>
      </c>
      <c r="H5515" s="0" t="n">
        <v>0</v>
      </c>
      <c r="M5515" s="51" t="s">
        <v>9788</v>
      </c>
      <c r="N5515" s="49" t="n">
        <v>0</v>
      </c>
      <c r="O5515" s="53" t="n">
        <v>45855.6094560185</v>
      </c>
      <c r="P5515" s="53" t="n">
        <v>45869.853900463</v>
      </c>
      <c r="Q5515" s="53" t="n">
        <v>45855.6094560185</v>
      </c>
      <c r="R5515" s="0" t="n">
        <v>0</v>
      </c>
      <c r="S5515" s="51" t="s">
        <v>3780</v>
      </c>
      <c r="T5515" s="51" t="s">
        <v>3780</v>
      </c>
      <c r="U5515" s="0" t="str">
        <f aca="false">"5060458890191"</f>
        <v>5060458890191</v>
      </c>
      <c r="V5515" s="51" t="s">
        <v>2142</v>
      </c>
      <c r="W5515" s="51" t="s">
        <v>5621</v>
      </c>
      <c r="X5515" s="51" t="s">
        <v>2359</v>
      </c>
    </row>
    <row r="5516" customFormat="false" ht="14.25" hidden="true" customHeight="false" outlineLevel="0" collapsed="false">
      <c r="A5516" s="49" t="s">
        <v>2349</v>
      </c>
      <c r="B5516" s="49" t="s">
        <v>2350</v>
      </c>
      <c r="C5516" s="49" t="s">
        <v>9815</v>
      </c>
      <c r="D5516" s="49" t="s">
        <v>2352</v>
      </c>
      <c r="E5516" s="49" t="str">
        <f aca="false">"5060458890191"</f>
        <v>5060458890191</v>
      </c>
      <c r="F5516" s="49" t="s">
        <v>3656</v>
      </c>
      <c r="G5516" s="49" t="n">
        <v>0</v>
      </c>
      <c r="H5516" s="0" t="n">
        <v>0</v>
      </c>
      <c r="M5516" s="51" t="s">
        <v>9788</v>
      </c>
      <c r="N5516" s="49" t="n">
        <v>0</v>
      </c>
      <c r="O5516" s="53" t="n">
        <v>45855.6078009259</v>
      </c>
      <c r="P5516" s="53" t="n">
        <v>45869.8669560185</v>
      </c>
      <c r="Q5516" s="53" t="n">
        <v>45855.6078009259</v>
      </c>
      <c r="R5516" s="0" t="n">
        <v>0</v>
      </c>
      <c r="S5516" s="51" t="s">
        <v>3780</v>
      </c>
      <c r="T5516" s="51" t="s">
        <v>3780</v>
      </c>
      <c r="U5516" s="0" t="str">
        <f aca="false">"5060458890191"</f>
        <v>5060458890191</v>
      </c>
      <c r="V5516" s="51" t="s">
        <v>2142</v>
      </c>
      <c r="W5516" s="51" t="s">
        <v>7459</v>
      </c>
      <c r="X5516" s="51" t="s">
        <v>2359</v>
      </c>
    </row>
    <row r="5517" customFormat="false" ht="14.25" hidden="true" customHeight="false" outlineLevel="0" collapsed="false">
      <c r="A5517" s="49" t="s">
        <v>2349</v>
      </c>
      <c r="B5517" s="49" t="s">
        <v>2350</v>
      </c>
      <c r="C5517" s="49" t="s">
        <v>9816</v>
      </c>
      <c r="D5517" s="49" t="s">
        <v>2352</v>
      </c>
      <c r="E5517" s="49" t="str">
        <f aca="false">"5060458890191"</f>
        <v>5060458890191</v>
      </c>
      <c r="F5517" s="49" t="s">
        <v>3656</v>
      </c>
      <c r="G5517" s="49" t="n">
        <v>0</v>
      </c>
      <c r="H5517" s="0" t="n">
        <v>0</v>
      </c>
      <c r="M5517" s="51" t="s">
        <v>9788</v>
      </c>
      <c r="N5517" s="49" t="n">
        <v>0</v>
      </c>
      <c r="O5517" s="53" t="n">
        <v>45855.6076273148</v>
      </c>
      <c r="P5517" s="53" t="n">
        <v>45869.8901273148</v>
      </c>
      <c r="Q5517" s="53" t="n">
        <v>45855.6076273148</v>
      </c>
      <c r="R5517" s="0" t="n">
        <v>0</v>
      </c>
      <c r="S5517" s="51" t="s">
        <v>3780</v>
      </c>
      <c r="T5517" s="51" t="s">
        <v>3780</v>
      </c>
      <c r="U5517" s="0" t="str">
        <f aca="false">"5060458890191"</f>
        <v>5060458890191</v>
      </c>
      <c r="V5517" s="51" t="s">
        <v>2142</v>
      </c>
      <c r="W5517" s="51" t="s">
        <v>6690</v>
      </c>
      <c r="X5517" s="51" t="s">
        <v>2359</v>
      </c>
    </row>
    <row r="5518" customFormat="false" ht="14.25" hidden="true" customHeight="false" outlineLevel="0" collapsed="false">
      <c r="A5518" s="49" t="s">
        <v>2349</v>
      </c>
      <c r="B5518" s="49" t="s">
        <v>2350</v>
      </c>
      <c r="C5518" s="49" t="s">
        <v>9817</v>
      </c>
      <c r="D5518" s="49" t="s">
        <v>2352</v>
      </c>
      <c r="E5518" s="49" t="str">
        <f aca="false">"5060458890191"</f>
        <v>5060458890191</v>
      </c>
      <c r="F5518" s="49" t="s">
        <v>3656</v>
      </c>
      <c r="G5518" s="49" t="n">
        <v>0</v>
      </c>
      <c r="H5518" s="0" t="n">
        <v>0</v>
      </c>
      <c r="M5518" s="51" t="s">
        <v>9788</v>
      </c>
      <c r="N5518" s="49" t="n">
        <v>0</v>
      </c>
      <c r="O5518" s="53" t="n">
        <v>45855.6074884259</v>
      </c>
      <c r="P5518" s="53" t="n">
        <v>45869.8873611111</v>
      </c>
      <c r="Q5518" s="53" t="n">
        <v>45855.6074884259</v>
      </c>
      <c r="R5518" s="0" t="n">
        <v>0</v>
      </c>
      <c r="S5518" s="51" t="s">
        <v>3780</v>
      </c>
      <c r="T5518" s="51" t="s">
        <v>3780</v>
      </c>
      <c r="U5518" s="0" t="str">
        <f aca="false">"5060458890191"</f>
        <v>5060458890191</v>
      </c>
      <c r="V5518" s="51" t="s">
        <v>2142</v>
      </c>
      <c r="W5518" s="51" t="s">
        <v>4795</v>
      </c>
      <c r="X5518" s="51" t="s">
        <v>2359</v>
      </c>
    </row>
    <row r="5519" customFormat="false" ht="14.25" hidden="true" customHeight="false" outlineLevel="0" collapsed="false">
      <c r="A5519" s="49" t="s">
        <v>2349</v>
      </c>
      <c r="B5519" s="49" t="s">
        <v>2350</v>
      </c>
      <c r="C5519" s="49" t="s">
        <v>9818</v>
      </c>
      <c r="D5519" s="49" t="s">
        <v>2352</v>
      </c>
      <c r="E5519" s="49" t="s">
        <v>4148</v>
      </c>
      <c r="F5519" s="49" t="s">
        <v>4149</v>
      </c>
      <c r="G5519" s="49" t="n">
        <v>0</v>
      </c>
      <c r="H5519" s="0" t="n">
        <v>0</v>
      </c>
      <c r="M5519" s="51" t="s">
        <v>9819</v>
      </c>
      <c r="N5519" s="49" t="n">
        <v>0</v>
      </c>
      <c r="O5519" s="53" t="n">
        <v>45847.4655902778</v>
      </c>
      <c r="P5519" s="53" t="n">
        <v>45883.6485185185</v>
      </c>
      <c r="Q5519" s="53" t="n">
        <v>45847.4655902778</v>
      </c>
      <c r="R5519" s="0" t="n">
        <v>0</v>
      </c>
      <c r="S5519" s="51" t="s">
        <v>2356</v>
      </c>
      <c r="T5519" s="51" t="s">
        <v>2356</v>
      </c>
      <c r="U5519" s="51" t="s">
        <v>4148</v>
      </c>
      <c r="V5519" s="51" t="s">
        <v>2365</v>
      </c>
      <c r="W5519" s="51" t="s">
        <v>4146</v>
      </c>
      <c r="X5519" s="51" t="s">
        <v>2359</v>
      </c>
    </row>
    <row r="5520" customFormat="false" ht="14.25" hidden="true" customHeight="false" outlineLevel="0" collapsed="false">
      <c r="A5520" s="49" t="s">
        <v>2349</v>
      </c>
      <c r="B5520" s="49" t="s">
        <v>2350</v>
      </c>
      <c r="C5520" s="49" t="s">
        <v>9820</v>
      </c>
      <c r="D5520" s="49" t="s">
        <v>2352</v>
      </c>
      <c r="E5520" s="49" t="s">
        <v>4148</v>
      </c>
      <c r="F5520" s="49" t="s">
        <v>4149</v>
      </c>
      <c r="G5520" s="49" t="n">
        <v>0</v>
      </c>
      <c r="H5520" s="0" t="n">
        <v>0</v>
      </c>
      <c r="M5520" s="51" t="s">
        <v>9819</v>
      </c>
      <c r="N5520" s="49" t="n">
        <v>0</v>
      </c>
      <c r="O5520" s="53" t="n">
        <v>45847.4659259259</v>
      </c>
      <c r="P5520" s="53" t="n">
        <v>45850.740162037</v>
      </c>
      <c r="Q5520" s="53" t="n">
        <v>45847.4659259259</v>
      </c>
      <c r="R5520" s="0" t="n">
        <v>0</v>
      </c>
      <c r="S5520" s="51" t="s">
        <v>2356</v>
      </c>
      <c r="T5520" s="51" t="s">
        <v>2356</v>
      </c>
      <c r="U5520" s="51" t="s">
        <v>4148</v>
      </c>
      <c r="V5520" s="51" t="s">
        <v>2365</v>
      </c>
      <c r="W5520" s="51" t="s">
        <v>6860</v>
      </c>
      <c r="X5520" s="51" t="s">
        <v>2359</v>
      </c>
    </row>
    <row r="5521" customFormat="false" ht="14.25" hidden="true" customHeight="false" outlineLevel="0" collapsed="false">
      <c r="A5521" s="49" t="s">
        <v>2349</v>
      </c>
      <c r="B5521" s="49" t="s">
        <v>2350</v>
      </c>
      <c r="C5521" s="49" t="s">
        <v>9821</v>
      </c>
      <c r="D5521" s="49" t="s">
        <v>2352</v>
      </c>
      <c r="E5521" s="49" t="s">
        <v>3633</v>
      </c>
      <c r="F5521" s="49" t="s">
        <v>3634</v>
      </c>
      <c r="G5521" s="49" t="n">
        <v>0</v>
      </c>
      <c r="H5521" s="0" t="n">
        <v>0</v>
      </c>
      <c r="M5521" s="51" t="s">
        <v>9822</v>
      </c>
      <c r="N5521" s="49" t="n">
        <v>0</v>
      </c>
      <c r="O5521" s="53" t="n">
        <v>45853.7192708333</v>
      </c>
      <c r="P5521" s="53" t="n">
        <v>45867.5909259259</v>
      </c>
      <c r="Q5521" s="53" t="n">
        <v>45853.7192708333</v>
      </c>
      <c r="R5521" s="0" t="n">
        <v>0</v>
      </c>
      <c r="S5521" s="51" t="s">
        <v>2356</v>
      </c>
      <c r="T5521" s="51" t="s">
        <v>2356</v>
      </c>
      <c r="U5521" s="51" t="s">
        <v>3633</v>
      </c>
      <c r="V5521" s="51" t="s">
        <v>2357</v>
      </c>
      <c r="W5521" s="51" t="s">
        <v>4169</v>
      </c>
      <c r="X5521" s="51" t="s">
        <v>2359</v>
      </c>
    </row>
    <row r="5522" customFormat="false" ht="14.25" hidden="true" customHeight="false" outlineLevel="0" collapsed="false">
      <c r="A5522" s="49" t="s">
        <v>2349</v>
      </c>
      <c r="B5522" s="49" t="s">
        <v>2350</v>
      </c>
      <c r="C5522" s="49" t="s">
        <v>9823</v>
      </c>
      <c r="D5522" s="49" t="s">
        <v>2352</v>
      </c>
      <c r="E5522" s="49" t="s">
        <v>3633</v>
      </c>
      <c r="F5522" s="49" t="s">
        <v>3634</v>
      </c>
      <c r="G5522" s="49" t="n">
        <v>0</v>
      </c>
      <c r="H5522" s="0" t="n">
        <v>0</v>
      </c>
      <c r="M5522" s="51" t="s">
        <v>9822</v>
      </c>
      <c r="N5522" s="49" t="n">
        <v>0</v>
      </c>
      <c r="O5522" s="53" t="n">
        <v>45853.7334259259</v>
      </c>
      <c r="P5522" s="53" t="n">
        <v>45860.9848611111</v>
      </c>
      <c r="Q5522" s="53" t="n">
        <v>45853.7334259259</v>
      </c>
      <c r="R5522" s="0" t="n">
        <v>0</v>
      </c>
      <c r="S5522" s="51" t="s">
        <v>2356</v>
      </c>
      <c r="T5522" s="51" t="s">
        <v>2356</v>
      </c>
      <c r="U5522" s="51" t="s">
        <v>3633</v>
      </c>
      <c r="V5522" s="51" t="s">
        <v>2357</v>
      </c>
      <c r="W5522" s="51" t="s">
        <v>8904</v>
      </c>
      <c r="X5522" s="51" t="s">
        <v>2359</v>
      </c>
    </row>
    <row r="5523" customFormat="false" ht="14.25" hidden="true" customHeight="false" outlineLevel="0" collapsed="false">
      <c r="A5523" s="49" t="s">
        <v>2349</v>
      </c>
      <c r="B5523" s="49" t="s">
        <v>2350</v>
      </c>
      <c r="C5523" s="49" t="s">
        <v>9824</v>
      </c>
      <c r="D5523" s="49" t="s">
        <v>2397</v>
      </c>
      <c r="E5523" s="49" t="str">
        <f aca="false">"5060458890191"</f>
        <v>5060458890191</v>
      </c>
      <c r="F5523" s="49" t="s">
        <v>3656</v>
      </c>
      <c r="G5523" s="49" t="n">
        <v>0</v>
      </c>
      <c r="H5523" s="0" t="n">
        <v>0</v>
      </c>
      <c r="M5523" s="51" t="s">
        <v>9825</v>
      </c>
      <c r="N5523" s="49" t="n">
        <v>0</v>
      </c>
      <c r="O5523" s="53" t="n">
        <v>45846.4185300926</v>
      </c>
      <c r="P5523" s="53" t="n">
        <v>45846.6517361111</v>
      </c>
      <c r="Q5523" s="53" t="n">
        <v>45846.4185300926</v>
      </c>
      <c r="R5523" s="0" t="n">
        <v>0</v>
      </c>
      <c r="S5523" s="51" t="s">
        <v>2436</v>
      </c>
      <c r="T5523" s="51" t="s">
        <v>2436</v>
      </c>
      <c r="U5523" s="0" t="str">
        <f aca="false">"5060458890191"</f>
        <v>5060458890191</v>
      </c>
      <c r="V5523" s="51" t="s">
        <v>2142</v>
      </c>
      <c r="X5523" s="51" t="s">
        <v>2359</v>
      </c>
    </row>
    <row r="5524" customFormat="false" ht="14.25" hidden="true" customHeight="false" outlineLevel="0" collapsed="false">
      <c r="A5524" s="49" t="s">
        <v>2349</v>
      </c>
      <c r="B5524" s="49" t="s">
        <v>2350</v>
      </c>
      <c r="C5524" s="49" t="s">
        <v>9826</v>
      </c>
      <c r="D5524" s="49" t="s">
        <v>2397</v>
      </c>
      <c r="E5524" s="49" t="str">
        <f aca="false">"5060458890191"</f>
        <v>5060458890191</v>
      </c>
      <c r="F5524" s="49" t="s">
        <v>3656</v>
      </c>
      <c r="G5524" s="49" t="n">
        <v>0</v>
      </c>
      <c r="H5524" s="0" t="n">
        <v>0</v>
      </c>
      <c r="M5524" s="51" t="s">
        <v>9825</v>
      </c>
      <c r="N5524" s="49" t="n">
        <v>0</v>
      </c>
      <c r="O5524" s="53" t="n">
        <v>45846.4167361111</v>
      </c>
      <c r="P5524" s="53" t="n">
        <v>45846.6518402778</v>
      </c>
      <c r="Q5524" s="53" t="n">
        <v>45846.4167361111</v>
      </c>
      <c r="R5524" s="0" t="n">
        <v>0</v>
      </c>
      <c r="S5524" s="51" t="s">
        <v>2436</v>
      </c>
      <c r="T5524" s="51" t="s">
        <v>2436</v>
      </c>
      <c r="U5524" s="0" t="str">
        <f aca="false">"5060458890191"</f>
        <v>5060458890191</v>
      </c>
      <c r="V5524" s="51" t="s">
        <v>2142</v>
      </c>
      <c r="X5524" s="51" t="s">
        <v>2359</v>
      </c>
    </row>
    <row r="5525" customFormat="false" ht="14.25" hidden="true" customHeight="false" outlineLevel="0" collapsed="false">
      <c r="A5525" s="49" t="s">
        <v>2349</v>
      </c>
      <c r="B5525" s="49" t="s">
        <v>2350</v>
      </c>
      <c r="C5525" s="49" t="s">
        <v>9827</v>
      </c>
      <c r="D5525" s="49" t="s">
        <v>2397</v>
      </c>
      <c r="E5525" s="49" t="str">
        <f aca="false">"5060458890191"</f>
        <v>5060458890191</v>
      </c>
      <c r="F5525" s="49" t="s">
        <v>3656</v>
      </c>
      <c r="G5525" s="49" t="n">
        <v>0</v>
      </c>
      <c r="H5525" s="0" t="n">
        <v>0</v>
      </c>
      <c r="M5525" s="51" t="s">
        <v>9825</v>
      </c>
      <c r="N5525" s="49" t="n">
        <v>0</v>
      </c>
      <c r="O5525" s="53" t="n">
        <v>45846.4169444444</v>
      </c>
      <c r="P5525" s="53" t="n">
        <v>45846.6519097222</v>
      </c>
      <c r="Q5525" s="53" t="n">
        <v>45846.4169444444</v>
      </c>
      <c r="R5525" s="0" t="n">
        <v>0</v>
      </c>
      <c r="S5525" s="51" t="s">
        <v>2436</v>
      </c>
      <c r="T5525" s="51" t="s">
        <v>2436</v>
      </c>
      <c r="U5525" s="0" t="str">
        <f aca="false">"5060458890191"</f>
        <v>5060458890191</v>
      </c>
      <c r="V5525" s="51" t="s">
        <v>2142</v>
      </c>
      <c r="X5525" s="51" t="s">
        <v>2359</v>
      </c>
    </row>
    <row r="5526" customFormat="false" ht="14.25" hidden="true" customHeight="false" outlineLevel="0" collapsed="false">
      <c r="A5526" s="49" t="s">
        <v>2349</v>
      </c>
      <c r="B5526" s="49" t="s">
        <v>2350</v>
      </c>
      <c r="C5526" s="49" t="s">
        <v>9828</v>
      </c>
      <c r="D5526" s="49" t="s">
        <v>2397</v>
      </c>
      <c r="E5526" s="49" t="str">
        <f aca="false">"5060458890191"</f>
        <v>5060458890191</v>
      </c>
      <c r="F5526" s="49" t="s">
        <v>3656</v>
      </c>
      <c r="G5526" s="49" t="n">
        <v>0</v>
      </c>
      <c r="H5526" s="0" t="n">
        <v>0</v>
      </c>
      <c r="M5526" s="51" t="s">
        <v>9825</v>
      </c>
      <c r="N5526" s="49" t="n">
        <v>0</v>
      </c>
      <c r="O5526" s="53" t="n">
        <v>45846.4170949074</v>
      </c>
      <c r="P5526" s="53" t="n">
        <v>45846.6520023148</v>
      </c>
      <c r="Q5526" s="53" t="n">
        <v>45846.4170949074</v>
      </c>
      <c r="R5526" s="0" t="n">
        <v>0</v>
      </c>
      <c r="S5526" s="51" t="s">
        <v>2436</v>
      </c>
      <c r="T5526" s="51" t="s">
        <v>2436</v>
      </c>
      <c r="U5526" s="0" t="str">
        <f aca="false">"5060458890191"</f>
        <v>5060458890191</v>
      </c>
      <c r="V5526" s="51" t="s">
        <v>2142</v>
      </c>
      <c r="X5526" s="51" t="s">
        <v>2359</v>
      </c>
    </row>
    <row r="5527" customFormat="false" ht="14.25" hidden="true" customHeight="false" outlineLevel="0" collapsed="false">
      <c r="A5527" s="49" t="s">
        <v>2349</v>
      </c>
      <c r="B5527" s="49" t="s">
        <v>2350</v>
      </c>
      <c r="C5527" s="49" t="s">
        <v>9829</v>
      </c>
      <c r="D5527" s="49" t="s">
        <v>2397</v>
      </c>
      <c r="E5527" s="49" t="str">
        <f aca="false">"5060458890191"</f>
        <v>5060458890191</v>
      </c>
      <c r="F5527" s="49" t="s">
        <v>3656</v>
      </c>
      <c r="G5527" s="49" t="n">
        <v>0</v>
      </c>
      <c r="H5527" s="0" t="n">
        <v>0</v>
      </c>
      <c r="M5527" s="51" t="s">
        <v>9825</v>
      </c>
      <c r="N5527" s="49" t="n">
        <v>0</v>
      </c>
      <c r="O5527" s="53" t="n">
        <v>45846.4173726852</v>
      </c>
      <c r="P5527" s="53" t="n">
        <v>45846.6520833333</v>
      </c>
      <c r="Q5527" s="53" t="n">
        <v>45846.4173611111</v>
      </c>
      <c r="R5527" s="0" t="n">
        <v>0</v>
      </c>
      <c r="S5527" s="51" t="s">
        <v>2436</v>
      </c>
      <c r="T5527" s="51" t="s">
        <v>2436</v>
      </c>
      <c r="U5527" s="0" t="str">
        <f aca="false">"5060458890191"</f>
        <v>5060458890191</v>
      </c>
      <c r="V5527" s="51" t="s">
        <v>2142</v>
      </c>
      <c r="X5527" s="51" t="s">
        <v>2359</v>
      </c>
    </row>
    <row r="5528" customFormat="false" ht="14.25" hidden="true" customHeight="false" outlineLevel="0" collapsed="false">
      <c r="A5528" s="49" t="s">
        <v>2349</v>
      </c>
      <c r="B5528" s="49" t="s">
        <v>2350</v>
      </c>
      <c r="C5528" s="49" t="s">
        <v>9830</v>
      </c>
      <c r="D5528" s="49" t="s">
        <v>2397</v>
      </c>
      <c r="E5528" s="49" t="str">
        <f aca="false">"5060458890191"</f>
        <v>5060458890191</v>
      </c>
      <c r="F5528" s="49" t="s">
        <v>3656</v>
      </c>
      <c r="G5528" s="49" t="n">
        <v>0</v>
      </c>
      <c r="H5528" s="0" t="n">
        <v>0</v>
      </c>
      <c r="M5528" s="51" t="s">
        <v>9825</v>
      </c>
      <c r="N5528" s="49" t="n">
        <v>0</v>
      </c>
      <c r="O5528" s="53" t="n">
        <v>45846.4175115741</v>
      </c>
      <c r="P5528" s="53" t="n">
        <v>45846.6521643519</v>
      </c>
      <c r="Q5528" s="53" t="n">
        <v>45846.4175115741</v>
      </c>
      <c r="R5528" s="0" t="n">
        <v>0</v>
      </c>
      <c r="S5528" s="51" t="s">
        <v>2436</v>
      </c>
      <c r="T5528" s="51" t="s">
        <v>2436</v>
      </c>
      <c r="U5528" s="0" t="str">
        <f aca="false">"5060458890191"</f>
        <v>5060458890191</v>
      </c>
      <c r="V5528" s="51" t="s">
        <v>2142</v>
      </c>
      <c r="X5528" s="51" t="s">
        <v>2359</v>
      </c>
    </row>
    <row r="5529" customFormat="false" ht="14.25" hidden="true" customHeight="false" outlineLevel="0" collapsed="false">
      <c r="A5529" s="49" t="s">
        <v>2349</v>
      </c>
      <c r="B5529" s="49" t="s">
        <v>2350</v>
      </c>
      <c r="C5529" s="49" t="s">
        <v>9831</v>
      </c>
      <c r="D5529" s="49" t="s">
        <v>2397</v>
      </c>
      <c r="E5529" s="49" t="str">
        <f aca="false">"5060458890191"</f>
        <v>5060458890191</v>
      </c>
      <c r="F5529" s="49" t="s">
        <v>3656</v>
      </c>
      <c r="G5529" s="49" t="n">
        <v>0</v>
      </c>
      <c r="H5529" s="0" t="n">
        <v>0</v>
      </c>
      <c r="M5529" s="51" t="s">
        <v>9825</v>
      </c>
      <c r="N5529" s="49" t="n">
        <v>0</v>
      </c>
      <c r="O5529" s="53" t="n">
        <v>45846.4177777778</v>
      </c>
      <c r="P5529" s="53" t="n">
        <v>45846.6522569444</v>
      </c>
      <c r="Q5529" s="53" t="n">
        <v>45846.4177777778</v>
      </c>
      <c r="R5529" s="0" t="n">
        <v>0</v>
      </c>
      <c r="S5529" s="51" t="s">
        <v>2436</v>
      </c>
      <c r="T5529" s="51" t="s">
        <v>2436</v>
      </c>
      <c r="U5529" s="0" t="str">
        <f aca="false">"5060458890191"</f>
        <v>5060458890191</v>
      </c>
      <c r="V5529" s="51" t="s">
        <v>2142</v>
      </c>
      <c r="X5529" s="51" t="s">
        <v>2359</v>
      </c>
    </row>
    <row r="5530" customFormat="false" ht="14.25" hidden="true" customHeight="false" outlineLevel="0" collapsed="false">
      <c r="A5530" s="49" t="s">
        <v>2349</v>
      </c>
      <c r="B5530" s="49" t="s">
        <v>2350</v>
      </c>
      <c r="C5530" s="49" t="s">
        <v>9832</v>
      </c>
      <c r="D5530" s="49" t="s">
        <v>2397</v>
      </c>
      <c r="E5530" s="49" t="str">
        <f aca="false">"5060458890191"</f>
        <v>5060458890191</v>
      </c>
      <c r="F5530" s="49" t="s">
        <v>3656</v>
      </c>
      <c r="G5530" s="49" t="n">
        <v>0</v>
      </c>
      <c r="H5530" s="0" t="n">
        <v>0</v>
      </c>
      <c r="M5530" s="51" t="s">
        <v>9825</v>
      </c>
      <c r="N5530" s="49" t="n">
        <v>0</v>
      </c>
      <c r="O5530" s="53" t="n">
        <v>45846.417974537</v>
      </c>
      <c r="P5530" s="53" t="n">
        <v>45846.6523263889</v>
      </c>
      <c r="Q5530" s="53" t="n">
        <v>45846.417974537</v>
      </c>
      <c r="R5530" s="0" t="n">
        <v>0</v>
      </c>
      <c r="S5530" s="51" t="s">
        <v>2436</v>
      </c>
      <c r="T5530" s="51" t="s">
        <v>2436</v>
      </c>
      <c r="U5530" s="0" t="str">
        <f aca="false">"5060458890191"</f>
        <v>5060458890191</v>
      </c>
      <c r="V5530" s="51" t="s">
        <v>2142</v>
      </c>
      <c r="X5530" s="51" t="s">
        <v>2359</v>
      </c>
    </row>
    <row r="5531" customFormat="false" ht="14.25" hidden="true" customHeight="false" outlineLevel="0" collapsed="false">
      <c r="A5531" s="49" t="s">
        <v>2349</v>
      </c>
      <c r="B5531" s="49" t="s">
        <v>2350</v>
      </c>
      <c r="C5531" s="49" t="s">
        <v>9833</v>
      </c>
      <c r="D5531" s="49" t="s">
        <v>2397</v>
      </c>
      <c r="E5531" s="49" t="str">
        <f aca="false">"5060458890191"</f>
        <v>5060458890191</v>
      </c>
      <c r="F5531" s="49" t="s">
        <v>3656</v>
      </c>
      <c r="G5531" s="49" t="n">
        <v>0</v>
      </c>
      <c r="H5531" s="0" t="n">
        <v>0</v>
      </c>
      <c r="M5531" s="51" t="s">
        <v>9825</v>
      </c>
      <c r="N5531" s="49" t="n">
        <v>0</v>
      </c>
      <c r="O5531" s="53" t="n">
        <v>45846.4180787037</v>
      </c>
      <c r="P5531" s="53" t="n">
        <v>45846.6523958333</v>
      </c>
      <c r="Q5531" s="53" t="n">
        <v>45846.4180787037</v>
      </c>
      <c r="R5531" s="0" t="n">
        <v>0</v>
      </c>
      <c r="S5531" s="51" t="s">
        <v>2436</v>
      </c>
      <c r="T5531" s="51" t="s">
        <v>2436</v>
      </c>
      <c r="U5531" s="0" t="str">
        <f aca="false">"5060458890191"</f>
        <v>5060458890191</v>
      </c>
      <c r="V5531" s="51" t="s">
        <v>2142</v>
      </c>
      <c r="X5531" s="51" t="s">
        <v>2359</v>
      </c>
    </row>
    <row r="5532" customFormat="false" ht="14.25" hidden="true" customHeight="false" outlineLevel="0" collapsed="false">
      <c r="A5532" s="49" t="s">
        <v>2349</v>
      </c>
      <c r="B5532" s="49" t="s">
        <v>2350</v>
      </c>
      <c r="C5532" s="49" t="s">
        <v>9834</v>
      </c>
      <c r="D5532" s="49" t="s">
        <v>2397</v>
      </c>
      <c r="E5532" s="49" t="str">
        <f aca="false">"5060458890191"</f>
        <v>5060458890191</v>
      </c>
      <c r="F5532" s="49" t="s">
        <v>3656</v>
      </c>
      <c r="G5532" s="49" t="n">
        <v>0</v>
      </c>
      <c r="H5532" s="0" t="n">
        <v>0</v>
      </c>
      <c r="M5532" s="51" t="s">
        <v>9825</v>
      </c>
      <c r="N5532" s="49" t="n">
        <v>0</v>
      </c>
      <c r="O5532" s="53" t="n">
        <v>45846.4181944444</v>
      </c>
      <c r="P5532" s="53" t="n">
        <v>45846.6524652778</v>
      </c>
      <c r="Q5532" s="53" t="n">
        <v>45846.4181944444</v>
      </c>
      <c r="R5532" s="0" t="n">
        <v>0</v>
      </c>
      <c r="S5532" s="51" t="s">
        <v>2436</v>
      </c>
      <c r="T5532" s="51" t="s">
        <v>2436</v>
      </c>
      <c r="U5532" s="0" t="str">
        <f aca="false">"5060458890191"</f>
        <v>5060458890191</v>
      </c>
      <c r="V5532" s="51" t="s">
        <v>2142</v>
      </c>
      <c r="X5532" s="51" t="s">
        <v>2359</v>
      </c>
    </row>
    <row r="5533" customFormat="false" ht="14.25" hidden="true" customHeight="false" outlineLevel="0" collapsed="false">
      <c r="A5533" s="49" t="s">
        <v>2349</v>
      </c>
      <c r="B5533" s="49" t="s">
        <v>2350</v>
      </c>
      <c r="C5533" s="49" t="s">
        <v>9835</v>
      </c>
      <c r="D5533" s="49" t="s">
        <v>2397</v>
      </c>
      <c r="E5533" s="49" t="str">
        <f aca="false">"5060458890191"</f>
        <v>5060458890191</v>
      </c>
      <c r="F5533" s="49" t="s">
        <v>3656</v>
      </c>
      <c r="G5533" s="49" t="n">
        <v>0</v>
      </c>
      <c r="H5533" s="0" t="n">
        <v>0</v>
      </c>
      <c r="M5533" s="51" t="s">
        <v>9825</v>
      </c>
      <c r="N5533" s="49" t="n">
        <v>0</v>
      </c>
      <c r="O5533" s="53" t="n">
        <v>45846.4183217593</v>
      </c>
      <c r="P5533" s="53" t="n">
        <v>45846.6525347222</v>
      </c>
      <c r="Q5533" s="53" t="n">
        <v>45846.4183217593</v>
      </c>
      <c r="R5533" s="0" t="n">
        <v>0</v>
      </c>
      <c r="S5533" s="51" t="s">
        <v>2436</v>
      </c>
      <c r="T5533" s="51" t="s">
        <v>2436</v>
      </c>
      <c r="U5533" s="0" t="str">
        <f aca="false">"5060458890191"</f>
        <v>5060458890191</v>
      </c>
      <c r="V5533" s="51" t="s">
        <v>2142</v>
      </c>
      <c r="X5533" s="51" t="s">
        <v>2359</v>
      </c>
    </row>
    <row r="5534" customFormat="false" ht="14.25" hidden="true" customHeight="false" outlineLevel="0" collapsed="false">
      <c r="A5534" s="49" t="s">
        <v>2349</v>
      </c>
      <c r="B5534" s="49" t="s">
        <v>2350</v>
      </c>
      <c r="C5534" s="49" t="s">
        <v>9836</v>
      </c>
      <c r="D5534" s="49" t="s">
        <v>2352</v>
      </c>
      <c r="E5534" s="49" t="str">
        <f aca="false">"5060175133274"</f>
        <v>5060175133274</v>
      </c>
      <c r="F5534" s="49" t="s">
        <v>5130</v>
      </c>
      <c r="G5534" s="49" t="n">
        <v>0</v>
      </c>
      <c r="H5534" s="0" t="n">
        <v>0</v>
      </c>
      <c r="M5534" s="51" t="s">
        <v>9837</v>
      </c>
      <c r="N5534" s="49" t="n">
        <v>0</v>
      </c>
      <c r="O5534" s="53" t="n">
        <v>45881.603900463</v>
      </c>
      <c r="P5534" s="53" t="n">
        <v>45882.7587152778</v>
      </c>
      <c r="Q5534" s="53" t="n">
        <v>45881.603900463</v>
      </c>
      <c r="R5534" s="0" t="n">
        <v>0</v>
      </c>
      <c r="S5534" s="51" t="s">
        <v>2401</v>
      </c>
      <c r="T5534" s="51" t="s">
        <v>2401</v>
      </c>
      <c r="U5534" s="0" t="str">
        <f aca="false">"5060175133274"</f>
        <v>5060175133274</v>
      </c>
      <c r="V5534" s="51" t="s">
        <v>2365</v>
      </c>
      <c r="W5534" s="51" t="s">
        <v>7578</v>
      </c>
      <c r="X5534" s="51" t="s">
        <v>2359</v>
      </c>
    </row>
    <row r="5535" customFormat="false" ht="14.25" hidden="true" customHeight="false" outlineLevel="0" collapsed="false">
      <c r="A5535" s="49" t="s">
        <v>2349</v>
      </c>
      <c r="B5535" s="49" t="s">
        <v>2350</v>
      </c>
      <c r="C5535" s="49" t="s">
        <v>9838</v>
      </c>
      <c r="D5535" s="49" t="s">
        <v>2352</v>
      </c>
      <c r="E5535" s="49" t="str">
        <f aca="false">"5060175133304"</f>
        <v>5060175133304</v>
      </c>
      <c r="F5535" s="49" t="s">
        <v>3983</v>
      </c>
      <c r="G5535" s="49" t="n">
        <v>0</v>
      </c>
      <c r="H5535" s="0" t="n">
        <v>0</v>
      </c>
      <c r="M5535" s="51" t="s">
        <v>9837</v>
      </c>
      <c r="N5535" s="49" t="n">
        <v>0</v>
      </c>
      <c r="O5535" s="53" t="n">
        <v>45881.6053472222</v>
      </c>
      <c r="P5535" s="53" t="n">
        <v>45993.7955208333</v>
      </c>
      <c r="Q5535" s="53" t="n">
        <v>45881.6053472222</v>
      </c>
      <c r="R5535" s="0" t="n">
        <v>0</v>
      </c>
      <c r="S5535" s="51" t="s">
        <v>2401</v>
      </c>
      <c r="T5535" s="51" t="s">
        <v>2401</v>
      </c>
      <c r="U5535" s="0" t="str">
        <f aca="false">"5060175133304"</f>
        <v>5060175133304</v>
      </c>
      <c r="V5535" s="51" t="s">
        <v>2365</v>
      </c>
      <c r="W5535" s="51" t="s">
        <v>9839</v>
      </c>
      <c r="X5535" s="51" t="s">
        <v>2359</v>
      </c>
    </row>
    <row r="5536" customFormat="false" ht="14.25" hidden="true" customHeight="false" outlineLevel="0" collapsed="false">
      <c r="A5536" s="49" t="s">
        <v>2349</v>
      </c>
      <c r="B5536" s="49" t="s">
        <v>2350</v>
      </c>
      <c r="C5536" s="49" t="s">
        <v>9840</v>
      </c>
      <c r="D5536" s="49" t="s">
        <v>2352</v>
      </c>
      <c r="E5536" s="49" t="str">
        <f aca="false">"5060175133274"</f>
        <v>5060175133274</v>
      </c>
      <c r="F5536" s="49" t="s">
        <v>5130</v>
      </c>
      <c r="G5536" s="49" t="n">
        <v>0</v>
      </c>
      <c r="H5536" s="0" t="n">
        <v>0</v>
      </c>
      <c r="M5536" s="51" t="s">
        <v>9837</v>
      </c>
      <c r="N5536" s="49" t="n">
        <v>0</v>
      </c>
      <c r="O5536" s="53" t="n">
        <v>45881.6055671296</v>
      </c>
      <c r="P5536" s="53" t="n">
        <v>45882.7575578704</v>
      </c>
      <c r="Q5536" s="53" t="n">
        <v>45881.6055671296</v>
      </c>
      <c r="R5536" s="0" t="n">
        <v>0</v>
      </c>
      <c r="S5536" s="51" t="s">
        <v>2401</v>
      </c>
      <c r="T5536" s="51" t="s">
        <v>2401</v>
      </c>
      <c r="U5536" s="0" t="str">
        <f aca="false">"5060175133274"</f>
        <v>5060175133274</v>
      </c>
      <c r="V5536" s="51" t="s">
        <v>2365</v>
      </c>
      <c r="W5536" s="51" t="s">
        <v>6844</v>
      </c>
      <c r="X5536" s="51" t="s">
        <v>2359</v>
      </c>
    </row>
    <row r="5537" customFormat="false" ht="14.25" hidden="true" customHeight="false" outlineLevel="0" collapsed="false">
      <c r="A5537" s="49" t="s">
        <v>2349</v>
      </c>
      <c r="B5537" s="49" t="s">
        <v>2350</v>
      </c>
      <c r="C5537" s="49" t="s">
        <v>9841</v>
      </c>
      <c r="D5537" s="49" t="s">
        <v>2352</v>
      </c>
      <c r="E5537" s="49" t="str">
        <f aca="false">"5060175133274"</f>
        <v>5060175133274</v>
      </c>
      <c r="F5537" s="49" t="s">
        <v>5130</v>
      </c>
      <c r="G5537" s="49" t="n">
        <v>0</v>
      </c>
      <c r="H5537" s="0" t="n">
        <v>0</v>
      </c>
      <c r="M5537" s="51" t="s">
        <v>9837</v>
      </c>
      <c r="N5537" s="49" t="n">
        <v>0</v>
      </c>
      <c r="O5537" s="53" t="n">
        <v>45881.6057638889</v>
      </c>
      <c r="P5537" s="53" t="n">
        <v>45882.8127777778</v>
      </c>
      <c r="Q5537" s="53" t="n">
        <v>45881.6057638889</v>
      </c>
      <c r="R5537" s="0" t="n">
        <v>0</v>
      </c>
      <c r="S5537" s="51" t="s">
        <v>2401</v>
      </c>
      <c r="T5537" s="51" t="s">
        <v>2401</v>
      </c>
      <c r="U5537" s="0" t="str">
        <f aca="false">"5060175133274"</f>
        <v>5060175133274</v>
      </c>
      <c r="V5537" s="51" t="s">
        <v>2365</v>
      </c>
      <c r="W5537" s="51" t="s">
        <v>8679</v>
      </c>
      <c r="X5537" s="51" t="s">
        <v>2359</v>
      </c>
    </row>
    <row r="5538" customFormat="false" ht="14.25" hidden="true" customHeight="false" outlineLevel="0" collapsed="false">
      <c r="A5538" s="49" t="s">
        <v>2349</v>
      </c>
      <c r="B5538" s="49" t="s">
        <v>2350</v>
      </c>
      <c r="C5538" s="49" t="s">
        <v>9842</v>
      </c>
      <c r="D5538" s="49" t="s">
        <v>2352</v>
      </c>
      <c r="E5538" s="49" t="str">
        <f aca="false">"5060175133274"</f>
        <v>5060175133274</v>
      </c>
      <c r="F5538" s="49" t="s">
        <v>5130</v>
      </c>
      <c r="G5538" s="49" t="n">
        <v>0</v>
      </c>
      <c r="H5538" s="0" t="n">
        <v>0</v>
      </c>
      <c r="M5538" s="51" t="s">
        <v>9837</v>
      </c>
      <c r="N5538" s="49" t="n">
        <v>0</v>
      </c>
      <c r="O5538" s="53" t="n">
        <v>45881.6066435185</v>
      </c>
      <c r="P5538" s="53" t="n">
        <v>45883.7452199074</v>
      </c>
      <c r="Q5538" s="53" t="n">
        <v>45881.6066435185</v>
      </c>
      <c r="R5538" s="0" t="n">
        <v>0</v>
      </c>
      <c r="S5538" s="51" t="s">
        <v>2401</v>
      </c>
      <c r="T5538" s="51" t="s">
        <v>2401</v>
      </c>
      <c r="U5538" s="0" t="str">
        <f aca="false">"5060175133274"</f>
        <v>5060175133274</v>
      </c>
      <c r="V5538" s="51" t="s">
        <v>2365</v>
      </c>
      <c r="W5538" s="51" t="s">
        <v>7826</v>
      </c>
      <c r="X5538" s="51" t="s">
        <v>2359</v>
      </c>
    </row>
    <row r="5539" customFormat="false" ht="14.25" hidden="true" customHeight="false" outlineLevel="0" collapsed="false">
      <c r="A5539" s="49" t="s">
        <v>2349</v>
      </c>
      <c r="B5539" s="49" t="s">
        <v>2350</v>
      </c>
      <c r="C5539" s="49" t="s">
        <v>9843</v>
      </c>
      <c r="D5539" s="49" t="s">
        <v>2352</v>
      </c>
      <c r="E5539" s="49" t="str">
        <f aca="false">"5060175133274"</f>
        <v>5060175133274</v>
      </c>
      <c r="F5539" s="49" t="s">
        <v>5130</v>
      </c>
      <c r="G5539" s="49" t="n">
        <v>0</v>
      </c>
      <c r="H5539" s="0" t="n">
        <v>0</v>
      </c>
      <c r="M5539" s="51" t="s">
        <v>9837</v>
      </c>
      <c r="N5539" s="49" t="n">
        <v>0</v>
      </c>
      <c r="O5539" s="53" t="n">
        <v>45881.6071064815</v>
      </c>
      <c r="P5539" s="53" t="n">
        <v>45942.8066550926</v>
      </c>
      <c r="Q5539" s="53" t="n">
        <v>45881.6071064815</v>
      </c>
      <c r="R5539" s="0" t="n">
        <v>0</v>
      </c>
      <c r="S5539" s="51" t="s">
        <v>2401</v>
      </c>
      <c r="T5539" s="51" t="s">
        <v>2401</v>
      </c>
      <c r="U5539" s="0" t="str">
        <f aca="false">"5060175133274"</f>
        <v>5060175133274</v>
      </c>
      <c r="V5539" s="51" t="s">
        <v>2365</v>
      </c>
      <c r="W5539" s="51" t="s">
        <v>9844</v>
      </c>
      <c r="X5539" s="51" t="s">
        <v>2359</v>
      </c>
    </row>
    <row r="5540" customFormat="false" ht="14.25" hidden="true" customHeight="false" outlineLevel="0" collapsed="false">
      <c r="A5540" s="49" t="s">
        <v>2349</v>
      </c>
      <c r="B5540" s="49" t="s">
        <v>2350</v>
      </c>
      <c r="C5540" s="49" t="s">
        <v>9845</v>
      </c>
      <c r="D5540" s="49" t="s">
        <v>2352</v>
      </c>
      <c r="E5540" s="49" t="str">
        <f aca="false">"5060175133366"</f>
        <v>5060175133366</v>
      </c>
      <c r="F5540" s="49" t="s">
        <v>5125</v>
      </c>
      <c r="G5540" s="49" t="n">
        <v>0</v>
      </c>
      <c r="H5540" s="0" t="n">
        <v>0</v>
      </c>
      <c r="M5540" s="51" t="s">
        <v>9837</v>
      </c>
      <c r="N5540" s="49" t="n">
        <v>0</v>
      </c>
      <c r="O5540" s="53" t="n">
        <v>45881.6073842593</v>
      </c>
      <c r="P5540" s="53" t="n">
        <v>45882.7508680556</v>
      </c>
      <c r="Q5540" s="53" t="n">
        <v>45881.6073842593</v>
      </c>
      <c r="R5540" s="0" t="n">
        <v>0</v>
      </c>
      <c r="S5540" s="51" t="s">
        <v>2401</v>
      </c>
      <c r="T5540" s="51" t="s">
        <v>2401</v>
      </c>
      <c r="U5540" s="0" t="str">
        <f aca="false">"5060175133366"</f>
        <v>5060175133366</v>
      </c>
      <c r="V5540" s="51" t="s">
        <v>2365</v>
      </c>
      <c r="W5540" s="51" t="s">
        <v>6700</v>
      </c>
      <c r="X5540" s="51" t="s">
        <v>2359</v>
      </c>
    </row>
    <row r="5541" customFormat="false" ht="14.25" hidden="true" customHeight="false" outlineLevel="0" collapsed="false">
      <c r="A5541" s="49" t="s">
        <v>2349</v>
      </c>
      <c r="B5541" s="49" t="s">
        <v>2350</v>
      </c>
      <c r="C5541" s="49" t="s">
        <v>9846</v>
      </c>
      <c r="D5541" s="49" t="s">
        <v>2352</v>
      </c>
      <c r="E5541" s="49" t="str">
        <f aca="false">"5060175133366"</f>
        <v>5060175133366</v>
      </c>
      <c r="F5541" s="49" t="s">
        <v>5125</v>
      </c>
      <c r="G5541" s="49" t="n">
        <v>0</v>
      </c>
      <c r="H5541" s="0" t="n">
        <v>0</v>
      </c>
      <c r="M5541" s="51" t="s">
        <v>9837</v>
      </c>
      <c r="N5541" s="49" t="n">
        <v>0</v>
      </c>
      <c r="O5541" s="53" t="n">
        <v>45881.6076851852</v>
      </c>
      <c r="P5541" s="53" t="n">
        <v>45882.7438194445</v>
      </c>
      <c r="Q5541" s="53" t="n">
        <v>45881.6076851852</v>
      </c>
      <c r="R5541" s="0" t="n">
        <v>0</v>
      </c>
      <c r="S5541" s="51" t="s">
        <v>2401</v>
      </c>
      <c r="T5541" s="51" t="s">
        <v>2401</v>
      </c>
      <c r="U5541" s="0" t="str">
        <f aca="false">"5060175133366"</f>
        <v>5060175133366</v>
      </c>
      <c r="V5541" s="51" t="s">
        <v>2365</v>
      </c>
      <c r="W5541" s="51" t="s">
        <v>4503</v>
      </c>
      <c r="X5541" s="51" t="s">
        <v>2359</v>
      </c>
    </row>
    <row r="5542" customFormat="false" ht="14.25" hidden="true" customHeight="false" outlineLevel="0" collapsed="false">
      <c r="A5542" s="49" t="s">
        <v>2349</v>
      </c>
      <c r="B5542" s="49" t="s">
        <v>2350</v>
      </c>
      <c r="C5542" s="49" t="s">
        <v>9847</v>
      </c>
      <c r="D5542" s="49" t="s">
        <v>2352</v>
      </c>
      <c r="E5542" s="49" t="str">
        <f aca="false">"5060175133366"</f>
        <v>5060175133366</v>
      </c>
      <c r="F5542" s="49" t="s">
        <v>5125</v>
      </c>
      <c r="G5542" s="49" t="n">
        <v>0</v>
      </c>
      <c r="H5542" s="0" t="n">
        <v>0</v>
      </c>
      <c r="M5542" s="51" t="s">
        <v>9837</v>
      </c>
      <c r="N5542" s="49" t="n">
        <v>0</v>
      </c>
      <c r="O5542" s="53" t="n">
        <v>45881.6079166667</v>
      </c>
      <c r="P5542" s="53" t="n">
        <v>45882.7304166667</v>
      </c>
      <c r="Q5542" s="53" t="n">
        <v>45881.6079166667</v>
      </c>
      <c r="R5542" s="0" t="n">
        <v>0</v>
      </c>
      <c r="S5542" s="51" t="s">
        <v>2401</v>
      </c>
      <c r="T5542" s="51" t="s">
        <v>2401</v>
      </c>
      <c r="U5542" s="0" t="str">
        <f aca="false">"5060175133366"</f>
        <v>5060175133366</v>
      </c>
      <c r="V5542" s="51" t="s">
        <v>2365</v>
      </c>
      <c r="W5542" s="51" t="s">
        <v>7878</v>
      </c>
      <c r="X5542" s="51" t="s">
        <v>2359</v>
      </c>
    </row>
    <row r="5543" customFormat="false" ht="14.25" hidden="true" customHeight="false" outlineLevel="0" collapsed="false">
      <c r="A5543" s="49" t="s">
        <v>2349</v>
      </c>
      <c r="B5543" s="49" t="s">
        <v>2350</v>
      </c>
      <c r="C5543" s="49" t="s">
        <v>9848</v>
      </c>
      <c r="D5543" s="49" t="s">
        <v>2352</v>
      </c>
      <c r="E5543" s="49" t="str">
        <f aca="false">"5060175133366"</f>
        <v>5060175133366</v>
      </c>
      <c r="F5543" s="49" t="s">
        <v>5125</v>
      </c>
      <c r="G5543" s="49" t="n">
        <v>0</v>
      </c>
      <c r="H5543" s="0" t="n">
        <v>0</v>
      </c>
      <c r="M5543" s="51" t="s">
        <v>9837</v>
      </c>
      <c r="N5543" s="49" t="n">
        <v>0</v>
      </c>
      <c r="O5543" s="53" t="n">
        <v>45881.602962963</v>
      </c>
      <c r="P5543" s="53" t="n">
        <v>45882.7530439815</v>
      </c>
      <c r="Q5543" s="53" t="n">
        <v>45881.602962963</v>
      </c>
      <c r="R5543" s="0" t="n">
        <v>0</v>
      </c>
      <c r="S5543" s="51" t="s">
        <v>2401</v>
      </c>
      <c r="T5543" s="51" t="s">
        <v>2401</v>
      </c>
      <c r="U5543" s="0" t="str">
        <f aca="false">"5060175133366"</f>
        <v>5060175133366</v>
      </c>
      <c r="V5543" s="51" t="s">
        <v>2365</v>
      </c>
      <c r="W5543" s="51" t="s">
        <v>4519</v>
      </c>
      <c r="X5543" s="51" t="s">
        <v>2359</v>
      </c>
    </row>
    <row r="5544" customFormat="false" ht="14.25" hidden="true" customHeight="false" outlineLevel="0" collapsed="false">
      <c r="A5544" s="49" t="s">
        <v>2349</v>
      </c>
      <c r="B5544" s="49" t="s">
        <v>2350</v>
      </c>
      <c r="C5544" s="49" t="s">
        <v>9849</v>
      </c>
      <c r="D5544" s="49" t="s">
        <v>2352</v>
      </c>
      <c r="E5544" s="49" t="str">
        <f aca="false">"5060175133366"</f>
        <v>5060175133366</v>
      </c>
      <c r="F5544" s="49" t="s">
        <v>5125</v>
      </c>
      <c r="G5544" s="49" t="n">
        <v>0</v>
      </c>
      <c r="H5544" s="0" t="n">
        <v>0</v>
      </c>
      <c r="M5544" s="51" t="s">
        <v>9837</v>
      </c>
      <c r="N5544" s="49" t="n">
        <v>0</v>
      </c>
      <c r="O5544" s="53" t="n">
        <v>45881.6025925926</v>
      </c>
      <c r="P5544" s="53" t="n">
        <v>45882.7193981482</v>
      </c>
      <c r="Q5544" s="53" t="n">
        <v>45881.6025925926</v>
      </c>
      <c r="R5544" s="0" t="n">
        <v>0</v>
      </c>
      <c r="S5544" s="51" t="s">
        <v>2401</v>
      </c>
      <c r="T5544" s="51" t="s">
        <v>2401</v>
      </c>
      <c r="U5544" s="0" t="str">
        <f aca="false">"5060175133366"</f>
        <v>5060175133366</v>
      </c>
      <c r="V5544" s="51" t="s">
        <v>2365</v>
      </c>
      <c r="W5544" s="51" t="s">
        <v>8349</v>
      </c>
      <c r="X5544" s="51" t="s">
        <v>2359</v>
      </c>
    </row>
    <row r="5545" customFormat="false" ht="14.25" hidden="true" customHeight="false" outlineLevel="0" collapsed="false">
      <c r="A5545" s="49" t="s">
        <v>2349</v>
      </c>
      <c r="B5545" s="49" t="s">
        <v>2350</v>
      </c>
      <c r="C5545" s="49" t="s">
        <v>9850</v>
      </c>
      <c r="D5545" s="49" t="s">
        <v>2352</v>
      </c>
      <c r="E5545" s="49" t="str">
        <f aca="false">"5060175133366"</f>
        <v>5060175133366</v>
      </c>
      <c r="F5545" s="49" t="s">
        <v>5125</v>
      </c>
      <c r="G5545" s="49" t="n">
        <v>0</v>
      </c>
      <c r="H5545" s="0" t="n">
        <v>0</v>
      </c>
      <c r="M5545" s="51" t="s">
        <v>9837</v>
      </c>
      <c r="N5545" s="49" t="n">
        <v>0</v>
      </c>
      <c r="O5545" s="53" t="n">
        <v>45881.6020601852</v>
      </c>
      <c r="P5545" s="53" t="n">
        <v>45882.7520601852</v>
      </c>
      <c r="Q5545" s="53" t="n">
        <v>45881.6020601852</v>
      </c>
      <c r="R5545" s="0" t="n">
        <v>0</v>
      </c>
      <c r="S5545" s="51" t="s">
        <v>2401</v>
      </c>
      <c r="T5545" s="51" t="s">
        <v>2401</v>
      </c>
      <c r="U5545" s="0" t="str">
        <f aca="false">"5060175133366"</f>
        <v>5060175133366</v>
      </c>
      <c r="V5545" s="51" t="s">
        <v>2365</v>
      </c>
      <c r="W5545" s="51" t="s">
        <v>5517</v>
      </c>
      <c r="X5545" s="51" t="s">
        <v>2359</v>
      </c>
    </row>
    <row r="5546" customFormat="false" ht="14.25" hidden="true" customHeight="false" outlineLevel="0" collapsed="false">
      <c r="A5546" s="49" t="s">
        <v>2349</v>
      </c>
      <c r="B5546" s="49" t="s">
        <v>2350</v>
      </c>
      <c r="C5546" s="49" t="s">
        <v>9851</v>
      </c>
      <c r="D5546" s="49" t="s">
        <v>2352</v>
      </c>
      <c r="E5546" s="49" t="str">
        <f aca="false">"5060175133366"</f>
        <v>5060175133366</v>
      </c>
      <c r="F5546" s="49" t="s">
        <v>5125</v>
      </c>
      <c r="G5546" s="49" t="n">
        <v>0</v>
      </c>
      <c r="H5546" s="0" t="n">
        <v>0</v>
      </c>
      <c r="M5546" s="51" t="s">
        <v>9837</v>
      </c>
      <c r="N5546" s="49" t="n">
        <v>0</v>
      </c>
      <c r="O5546" s="53" t="n">
        <v>45881.6018634259</v>
      </c>
      <c r="P5546" s="53" t="n">
        <v>45882.7540625</v>
      </c>
      <c r="Q5546" s="53" t="n">
        <v>45881.6018634259</v>
      </c>
      <c r="R5546" s="0" t="n">
        <v>0</v>
      </c>
      <c r="S5546" s="51" t="s">
        <v>2401</v>
      </c>
      <c r="T5546" s="51" t="s">
        <v>2401</v>
      </c>
      <c r="U5546" s="0" t="str">
        <f aca="false">"5060175133366"</f>
        <v>5060175133366</v>
      </c>
      <c r="V5546" s="51" t="s">
        <v>2365</v>
      </c>
      <c r="W5546" s="51" t="s">
        <v>8487</v>
      </c>
      <c r="X5546" s="51" t="s">
        <v>2359</v>
      </c>
    </row>
    <row r="5547" customFormat="false" ht="14.25" hidden="true" customHeight="false" outlineLevel="0" collapsed="false">
      <c r="A5547" s="49" t="s">
        <v>2349</v>
      </c>
      <c r="B5547" s="49" t="s">
        <v>2350</v>
      </c>
      <c r="C5547" s="49" t="s">
        <v>9852</v>
      </c>
      <c r="D5547" s="49" t="s">
        <v>2352</v>
      </c>
      <c r="E5547" s="49" t="str">
        <f aca="false">"5060175133366"</f>
        <v>5060175133366</v>
      </c>
      <c r="F5547" s="49" t="s">
        <v>5125</v>
      </c>
      <c r="G5547" s="49" t="n">
        <v>0</v>
      </c>
      <c r="H5547" s="0" t="n">
        <v>0</v>
      </c>
      <c r="M5547" s="51" t="s">
        <v>9837</v>
      </c>
      <c r="N5547" s="49" t="n">
        <v>0</v>
      </c>
      <c r="O5547" s="53" t="n">
        <v>45881.6016087963</v>
      </c>
      <c r="P5547" s="53" t="n">
        <v>45882.7477777778</v>
      </c>
      <c r="Q5547" s="53" t="n">
        <v>45881.6016087963</v>
      </c>
      <c r="R5547" s="0" t="n">
        <v>0</v>
      </c>
      <c r="S5547" s="51" t="s">
        <v>2401</v>
      </c>
      <c r="T5547" s="51" t="s">
        <v>2401</v>
      </c>
      <c r="U5547" s="0" t="str">
        <f aca="false">"5060175133366"</f>
        <v>5060175133366</v>
      </c>
      <c r="V5547" s="51" t="s">
        <v>2365</v>
      </c>
      <c r="W5547" s="51" t="s">
        <v>6824</v>
      </c>
      <c r="X5547" s="51" t="s">
        <v>2359</v>
      </c>
    </row>
    <row r="5548" customFormat="false" ht="14.25" hidden="true" customHeight="false" outlineLevel="0" collapsed="false">
      <c r="A5548" s="49" t="s">
        <v>2349</v>
      </c>
      <c r="B5548" s="49" t="s">
        <v>2350</v>
      </c>
      <c r="C5548" s="49" t="s">
        <v>9853</v>
      </c>
      <c r="D5548" s="49" t="s">
        <v>2352</v>
      </c>
      <c r="E5548" s="49" t="str">
        <f aca="false">"5060175133366"</f>
        <v>5060175133366</v>
      </c>
      <c r="F5548" s="49" t="s">
        <v>5125</v>
      </c>
      <c r="G5548" s="49" t="n">
        <v>0</v>
      </c>
      <c r="H5548" s="0" t="n">
        <v>0</v>
      </c>
      <c r="M5548" s="51" t="s">
        <v>9837</v>
      </c>
      <c r="N5548" s="49" t="n">
        <v>0</v>
      </c>
      <c r="O5548" s="53" t="n">
        <v>45881.6008449074</v>
      </c>
      <c r="P5548" s="53" t="n">
        <v>45882.7466782407</v>
      </c>
      <c r="Q5548" s="53" t="n">
        <v>45881.6008449074</v>
      </c>
      <c r="R5548" s="0" t="n">
        <v>0</v>
      </c>
      <c r="S5548" s="51" t="s">
        <v>2401</v>
      </c>
      <c r="T5548" s="51" t="s">
        <v>2401</v>
      </c>
      <c r="U5548" s="0" t="str">
        <f aca="false">"5060175133366"</f>
        <v>5060175133366</v>
      </c>
      <c r="V5548" s="51" t="s">
        <v>2365</v>
      </c>
      <c r="W5548" s="51" t="s">
        <v>9854</v>
      </c>
      <c r="X5548" s="51" t="s">
        <v>2359</v>
      </c>
    </row>
    <row r="5549" customFormat="false" ht="14.25" hidden="true" customHeight="false" outlineLevel="0" collapsed="false">
      <c r="A5549" s="49" t="s">
        <v>2349</v>
      </c>
      <c r="B5549" s="49" t="s">
        <v>2350</v>
      </c>
      <c r="C5549" s="49" t="s">
        <v>9855</v>
      </c>
      <c r="D5549" s="49" t="s">
        <v>2352</v>
      </c>
      <c r="E5549" s="49" t="str">
        <f aca="false">"5060175133366"</f>
        <v>5060175133366</v>
      </c>
      <c r="F5549" s="49" t="s">
        <v>5125</v>
      </c>
      <c r="G5549" s="49" t="n">
        <v>0</v>
      </c>
      <c r="H5549" s="0" t="n">
        <v>0</v>
      </c>
      <c r="M5549" s="51" t="s">
        <v>9837</v>
      </c>
      <c r="N5549" s="49" t="n">
        <v>0</v>
      </c>
      <c r="O5549" s="53" t="n">
        <v>45881.6004513889</v>
      </c>
      <c r="P5549" s="53" t="n">
        <v>45882.7448726852</v>
      </c>
      <c r="Q5549" s="53" t="n">
        <v>45881.6004513889</v>
      </c>
      <c r="R5549" s="0" t="n">
        <v>0</v>
      </c>
      <c r="S5549" s="51" t="s">
        <v>2401</v>
      </c>
      <c r="T5549" s="51" t="s">
        <v>2401</v>
      </c>
      <c r="U5549" s="0" t="str">
        <f aca="false">"5060175133366"</f>
        <v>5060175133366</v>
      </c>
      <c r="V5549" s="51" t="s">
        <v>2365</v>
      </c>
      <c r="W5549" s="51" t="s">
        <v>5807</v>
      </c>
      <c r="X5549" s="51" t="s">
        <v>2359</v>
      </c>
    </row>
    <row r="5550" customFormat="false" ht="14.25" hidden="true" customHeight="false" outlineLevel="0" collapsed="false">
      <c r="A5550" s="49" t="s">
        <v>2349</v>
      </c>
      <c r="B5550" s="49" t="s">
        <v>2350</v>
      </c>
      <c r="C5550" s="49" t="s">
        <v>9856</v>
      </c>
      <c r="D5550" s="49" t="s">
        <v>2352</v>
      </c>
      <c r="E5550" s="49" t="str">
        <f aca="false">"5060175133366"</f>
        <v>5060175133366</v>
      </c>
      <c r="F5550" s="49" t="s">
        <v>5125</v>
      </c>
      <c r="G5550" s="49" t="n">
        <v>0</v>
      </c>
      <c r="H5550" s="0" t="n">
        <v>0</v>
      </c>
      <c r="M5550" s="51" t="s">
        <v>9837</v>
      </c>
      <c r="N5550" s="49" t="n">
        <v>0</v>
      </c>
      <c r="O5550" s="53" t="n">
        <v>45881.6002430556</v>
      </c>
      <c r="P5550" s="53" t="n">
        <v>45882.749525463</v>
      </c>
      <c r="Q5550" s="53" t="n">
        <v>45881.6002430556</v>
      </c>
      <c r="R5550" s="0" t="n">
        <v>0</v>
      </c>
      <c r="S5550" s="51" t="s">
        <v>2401</v>
      </c>
      <c r="T5550" s="51" t="s">
        <v>2401</v>
      </c>
      <c r="U5550" s="0" t="str">
        <f aca="false">"5060175133366"</f>
        <v>5060175133366</v>
      </c>
      <c r="V5550" s="51" t="s">
        <v>2365</v>
      </c>
      <c r="W5550" s="51" t="s">
        <v>5892</v>
      </c>
      <c r="X5550" s="51" t="s">
        <v>2359</v>
      </c>
    </row>
    <row r="5551" customFormat="false" ht="14.25" hidden="true" customHeight="false" outlineLevel="0" collapsed="false">
      <c r="A5551" s="49" t="s">
        <v>2349</v>
      </c>
      <c r="B5551" s="49" t="s">
        <v>2350</v>
      </c>
      <c r="C5551" s="49" t="s">
        <v>9857</v>
      </c>
      <c r="D5551" s="49" t="s">
        <v>2352</v>
      </c>
      <c r="E5551" s="49" t="str">
        <f aca="false">"5060175133274"</f>
        <v>5060175133274</v>
      </c>
      <c r="F5551" s="49" t="s">
        <v>5130</v>
      </c>
      <c r="G5551" s="49" t="n">
        <v>0</v>
      </c>
      <c r="H5551" s="0" t="n">
        <v>0</v>
      </c>
      <c r="M5551" s="51" t="s">
        <v>9837</v>
      </c>
      <c r="N5551" s="49" t="n">
        <v>0</v>
      </c>
      <c r="O5551" s="53" t="n">
        <v>45881.5988310185</v>
      </c>
      <c r="P5551" s="53" t="n">
        <v>45888.81625</v>
      </c>
      <c r="Q5551" s="53" t="n">
        <v>45881.5988310185</v>
      </c>
      <c r="R5551" s="0" t="n">
        <v>0</v>
      </c>
      <c r="S5551" s="51" t="s">
        <v>2401</v>
      </c>
      <c r="T5551" s="51" t="s">
        <v>2401</v>
      </c>
      <c r="U5551" s="0" t="str">
        <f aca="false">"5060175133274"</f>
        <v>5060175133274</v>
      </c>
      <c r="V5551" s="51" t="s">
        <v>2365</v>
      </c>
      <c r="W5551" s="51" t="s">
        <v>8679</v>
      </c>
      <c r="X5551" s="51" t="s">
        <v>2359</v>
      </c>
    </row>
    <row r="5552" customFormat="false" ht="14.25" hidden="true" customHeight="false" outlineLevel="0" collapsed="false">
      <c r="A5552" s="49" t="s">
        <v>2349</v>
      </c>
      <c r="B5552" s="49" t="s">
        <v>2350</v>
      </c>
      <c r="C5552" s="49" t="s">
        <v>9858</v>
      </c>
      <c r="D5552" s="49" t="s">
        <v>2352</v>
      </c>
      <c r="E5552" s="49" t="str">
        <f aca="false">"5060175133304"</f>
        <v>5060175133304</v>
      </c>
      <c r="F5552" s="49" t="s">
        <v>3983</v>
      </c>
      <c r="G5552" s="49" t="n">
        <v>0</v>
      </c>
      <c r="H5552" s="0" t="n">
        <v>0</v>
      </c>
      <c r="M5552" s="51" t="s">
        <v>9837</v>
      </c>
      <c r="N5552" s="49" t="n">
        <v>0</v>
      </c>
      <c r="O5552" s="53" t="n">
        <v>45881.5980671296</v>
      </c>
      <c r="P5552" s="53" t="n">
        <v>46028.8945717593</v>
      </c>
      <c r="Q5552" s="53" t="n">
        <v>45881.5980671296</v>
      </c>
      <c r="R5552" s="0" t="n">
        <v>0</v>
      </c>
      <c r="S5552" s="51" t="s">
        <v>2401</v>
      </c>
      <c r="T5552" s="51" t="s">
        <v>2401</v>
      </c>
      <c r="U5552" s="0" t="str">
        <f aca="false">"5060175133304"</f>
        <v>5060175133304</v>
      </c>
      <c r="V5552" s="51" t="s">
        <v>2365</v>
      </c>
      <c r="W5552" s="51" t="s">
        <v>9859</v>
      </c>
      <c r="X5552" s="51" t="s">
        <v>2359</v>
      </c>
    </row>
    <row r="5553" customFormat="false" ht="14.25" hidden="true" customHeight="false" outlineLevel="0" collapsed="false">
      <c r="A5553" s="49" t="s">
        <v>2349</v>
      </c>
      <c r="B5553" s="49" t="s">
        <v>2350</v>
      </c>
      <c r="C5553" s="49" t="s">
        <v>9860</v>
      </c>
      <c r="D5553" s="49" t="s">
        <v>2352</v>
      </c>
      <c r="E5553" s="49" t="str">
        <f aca="false">"10859585004074"</f>
        <v>10859585004074</v>
      </c>
      <c r="F5553" s="49" t="s">
        <v>7737</v>
      </c>
      <c r="G5553" s="49" t="n">
        <v>0</v>
      </c>
      <c r="H5553" s="0" t="n">
        <v>0</v>
      </c>
      <c r="M5553" s="51" t="s">
        <v>9861</v>
      </c>
      <c r="N5553" s="49" t="n">
        <v>0</v>
      </c>
      <c r="O5553" s="53" t="n">
        <v>45846.6033796296</v>
      </c>
      <c r="P5553" s="53" t="n">
        <v>45895.4794212963</v>
      </c>
      <c r="Q5553" s="53" t="n">
        <v>45846.6033796296</v>
      </c>
      <c r="R5553" s="0" t="n">
        <v>0</v>
      </c>
      <c r="S5553" s="51" t="s">
        <v>2436</v>
      </c>
      <c r="T5553" s="51" t="s">
        <v>2436</v>
      </c>
      <c r="U5553" s="0" t="str">
        <f aca="false">"10859585004074"</f>
        <v>10859585004074</v>
      </c>
      <c r="V5553" s="51" t="s">
        <v>7596</v>
      </c>
      <c r="W5553" s="51" t="s">
        <v>9862</v>
      </c>
      <c r="X5553" s="51" t="s">
        <v>2359</v>
      </c>
    </row>
    <row r="5554" customFormat="false" ht="14.25" hidden="true" customHeight="false" outlineLevel="0" collapsed="false">
      <c r="A5554" s="49" t="s">
        <v>2349</v>
      </c>
      <c r="B5554" s="49" t="s">
        <v>2350</v>
      </c>
      <c r="C5554" s="49" t="s">
        <v>9863</v>
      </c>
      <c r="D5554" s="49" t="s">
        <v>2352</v>
      </c>
      <c r="E5554" s="49" t="str">
        <f aca="false">"10859585004074"</f>
        <v>10859585004074</v>
      </c>
      <c r="F5554" s="49" t="s">
        <v>7737</v>
      </c>
      <c r="G5554" s="49" t="n">
        <v>0</v>
      </c>
      <c r="H5554" s="0" t="n">
        <v>0</v>
      </c>
      <c r="M5554" s="51" t="s">
        <v>9861</v>
      </c>
      <c r="N5554" s="49" t="n">
        <v>0</v>
      </c>
      <c r="O5554" s="53" t="n">
        <v>45846.6032523148</v>
      </c>
      <c r="P5554" s="53" t="n">
        <v>45875.3816898148</v>
      </c>
      <c r="Q5554" s="53" t="n">
        <v>45846.6032523148</v>
      </c>
      <c r="R5554" s="0" t="n">
        <v>0</v>
      </c>
      <c r="S5554" s="51" t="s">
        <v>2436</v>
      </c>
      <c r="T5554" s="51" t="s">
        <v>2436</v>
      </c>
      <c r="U5554" s="0" t="str">
        <f aca="false">"10859585004074"</f>
        <v>10859585004074</v>
      </c>
      <c r="V5554" s="51" t="s">
        <v>7596</v>
      </c>
      <c r="W5554" s="51" t="s">
        <v>6786</v>
      </c>
      <c r="X5554" s="51" t="s">
        <v>2359</v>
      </c>
    </row>
    <row r="5555" customFormat="false" ht="14.25" hidden="true" customHeight="false" outlineLevel="0" collapsed="false">
      <c r="A5555" s="49" t="s">
        <v>2349</v>
      </c>
      <c r="B5555" s="49" t="s">
        <v>2350</v>
      </c>
      <c r="C5555" s="49" t="s">
        <v>9864</v>
      </c>
      <c r="D5555" s="49" t="s">
        <v>2352</v>
      </c>
      <c r="E5555" s="49" t="str">
        <f aca="false">"10859585004074"</f>
        <v>10859585004074</v>
      </c>
      <c r="F5555" s="49" t="s">
        <v>7737</v>
      </c>
      <c r="G5555" s="49" t="n">
        <v>0</v>
      </c>
      <c r="H5555" s="0" t="n">
        <v>0</v>
      </c>
      <c r="M5555" s="51" t="s">
        <v>9861</v>
      </c>
      <c r="N5555" s="49" t="n">
        <v>0</v>
      </c>
      <c r="O5555" s="53" t="n">
        <v>45846.6026967593</v>
      </c>
      <c r="P5555" s="53" t="n">
        <v>45895.4815740741</v>
      </c>
      <c r="Q5555" s="53" t="n">
        <v>45846.6026967593</v>
      </c>
      <c r="R5555" s="0" t="n">
        <v>0</v>
      </c>
      <c r="S5555" s="51" t="s">
        <v>2436</v>
      </c>
      <c r="T5555" s="51" t="s">
        <v>2436</v>
      </c>
      <c r="U5555" s="0" t="str">
        <f aca="false">"10859585004074"</f>
        <v>10859585004074</v>
      </c>
      <c r="V5555" s="51" t="s">
        <v>7596</v>
      </c>
      <c r="W5555" s="51" t="s">
        <v>6314</v>
      </c>
      <c r="X5555" s="51" t="s">
        <v>2359</v>
      </c>
    </row>
    <row r="5556" customFormat="false" ht="14.25" hidden="true" customHeight="false" outlineLevel="0" collapsed="false">
      <c r="A5556" s="49" t="s">
        <v>2349</v>
      </c>
      <c r="B5556" s="49" t="s">
        <v>2350</v>
      </c>
      <c r="C5556" s="49" t="s">
        <v>9865</v>
      </c>
      <c r="D5556" s="49" t="s">
        <v>2352</v>
      </c>
      <c r="E5556" s="49" t="str">
        <f aca="false">"10859585004074"</f>
        <v>10859585004074</v>
      </c>
      <c r="F5556" s="49" t="s">
        <v>7737</v>
      </c>
      <c r="G5556" s="49" t="n">
        <v>0</v>
      </c>
      <c r="H5556" s="0" t="n">
        <v>0</v>
      </c>
      <c r="M5556" s="51" t="s">
        <v>9861</v>
      </c>
      <c r="N5556" s="49" t="n">
        <v>0</v>
      </c>
      <c r="O5556" s="53" t="n">
        <v>45846.6025578704</v>
      </c>
      <c r="P5556" s="53" t="n">
        <v>45895.4792824074</v>
      </c>
      <c r="Q5556" s="53" t="n">
        <v>45846.6025578704</v>
      </c>
      <c r="R5556" s="0" t="n">
        <v>0</v>
      </c>
      <c r="S5556" s="51" t="s">
        <v>2436</v>
      </c>
      <c r="T5556" s="51" t="s">
        <v>2436</v>
      </c>
      <c r="U5556" s="0" t="str">
        <f aca="false">"10859585004074"</f>
        <v>10859585004074</v>
      </c>
      <c r="V5556" s="51" t="s">
        <v>7596</v>
      </c>
      <c r="W5556" s="51" t="s">
        <v>5224</v>
      </c>
      <c r="X5556" s="51" t="s">
        <v>2359</v>
      </c>
    </row>
    <row r="5557" customFormat="false" ht="14.25" hidden="true" customHeight="false" outlineLevel="0" collapsed="false">
      <c r="A5557" s="49" t="s">
        <v>2349</v>
      </c>
      <c r="B5557" s="49" t="s">
        <v>2350</v>
      </c>
      <c r="C5557" s="49" t="s">
        <v>9866</v>
      </c>
      <c r="D5557" s="49" t="s">
        <v>2352</v>
      </c>
      <c r="E5557" s="49" t="str">
        <f aca="false">"10859585004074"</f>
        <v>10859585004074</v>
      </c>
      <c r="F5557" s="49" t="s">
        <v>7737</v>
      </c>
      <c r="G5557" s="49" t="n">
        <v>0</v>
      </c>
      <c r="H5557" s="0" t="n">
        <v>0</v>
      </c>
      <c r="M5557" s="51" t="s">
        <v>9861</v>
      </c>
      <c r="N5557" s="49" t="n">
        <v>0</v>
      </c>
      <c r="O5557" s="53" t="n">
        <v>45846.6022685185</v>
      </c>
      <c r="P5557" s="53" t="n">
        <v>45895.4795949074</v>
      </c>
      <c r="Q5557" s="53" t="n">
        <v>45846.6022685185</v>
      </c>
      <c r="R5557" s="0" t="n">
        <v>0</v>
      </c>
      <c r="S5557" s="51" t="s">
        <v>2436</v>
      </c>
      <c r="T5557" s="51" t="s">
        <v>2436</v>
      </c>
      <c r="U5557" s="0" t="str">
        <f aca="false">"10859585004074"</f>
        <v>10859585004074</v>
      </c>
      <c r="V5557" s="51" t="s">
        <v>7596</v>
      </c>
      <c r="W5557" s="51" t="s">
        <v>5374</v>
      </c>
      <c r="X5557" s="51" t="s">
        <v>2359</v>
      </c>
    </row>
    <row r="5558" customFormat="false" ht="14.25" hidden="true" customHeight="false" outlineLevel="0" collapsed="false">
      <c r="A5558" s="49" t="s">
        <v>2349</v>
      </c>
      <c r="B5558" s="49" t="s">
        <v>2350</v>
      </c>
      <c r="C5558" s="49" t="s">
        <v>9867</v>
      </c>
      <c r="D5558" s="49" t="s">
        <v>2352</v>
      </c>
      <c r="E5558" s="49" t="str">
        <f aca="false">"10859585004074"</f>
        <v>10859585004074</v>
      </c>
      <c r="F5558" s="49" t="s">
        <v>7737</v>
      </c>
      <c r="G5558" s="49" t="n">
        <v>0</v>
      </c>
      <c r="H5558" s="0" t="n">
        <v>0</v>
      </c>
      <c r="M5558" s="51" t="s">
        <v>9861</v>
      </c>
      <c r="N5558" s="49" t="n">
        <v>0</v>
      </c>
      <c r="O5558" s="53" t="n">
        <v>45846.6021875</v>
      </c>
      <c r="P5558" s="53" t="n">
        <v>45895.4813657407</v>
      </c>
      <c r="Q5558" s="53" t="n">
        <v>45846.6021875</v>
      </c>
      <c r="R5558" s="0" t="n">
        <v>0</v>
      </c>
      <c r="S5558" s="51" t="s">
        <v>2436</v>
      </c>
      <c r="T5558" s="51" t="s">
        <v>2436</v>
      </c>
      <c r="U5558" s="0" t="str">
        <f aca="false">"10859585004074"</f>
        <v>10859585004074</v>
      </c>
      <c r="V5558" s="51" t="s">
        <v>7596</v>
      </c>
      <c r="W5558" s="51" t="s">
        <v>6681</v>
      </c>
      <c r="X5558" s="51" t="s">
        <v>2359</v>
      </c>
    </row>
    <row r="5559" customFormat="false" ht="14.25" hidden="true" customHeight="false" outlineLevel="0" collapsed="false">
      <c r="A5559" s="49" t="s">
        <v>2349</v>
      </c>
      <c r="B5559" s="49" t="s">
        <v>2350</v>
      </c>
      <c r="C5559" s="49" t="s">
        <v>9868</v>
      </c>
      <c r="D5559" s="49" t="s">
        <v>2352</v>
      </c>
      <c r="E5559" s="49" t="str">
        <f aca="false">"10859585004074"</f>
        <v>10859585004074</v>
      </c>
      <c r="F5559" s="49" t="s">
        <v>7737</v>
      </c>
      <c r="G5559" s="49" t="n">
        <v>0</v>
      </c>
      <c r="H5559" s="0" t="n">
        <v>0</v>
      </c>
      <c r="M5559" s="51" t="s">
        <v>9861</v>
      </c>
      <c r="N5559" s="49" t="n">
        <v>0</v>
      </c>
      <c r="O5559" s="53" t="n">
        <v>45846.6019097222</v>
      </c>
      <c r="P5559" s="53" t="n">
        <v>45895.4810648148</v>
      </c>
      <c r="Q5559" s="53" t="n">
        <v>45846.6019097222</v>
      </c>
      <c r="R5559" s="0" t="n">
        <v>0</v>
      </c>
      <c r="S5559" s="51" t="s">
        <v>2436</v>
      </c>
      <c r="T5559" s="51" t="s">
        <v>2436</v>
      </c>
      <c r="U5559" s="0" t="str">
        <f aca="false">"10859585004074"</f>
        <v>10859585004074</v>
      </c>
      <c r="V5559" s="51" t="s">
        <v>7596</v>
      </c>
      <c r="W5559" s="51" t="s">
        <v>5641</v>
      </c>
      <c r="X5559" s="51" t="s">
        <v>2359</v>
      </c>
    </row>
    <row r="5560" customFormat="false" ht="14.25" hidden="true" customHeight="false" outlineLevel="0" collapsed="false">
      <c r="A5560" s="49" t="s">
        <v>2349</v>
      </c>
      <c r="B5560" s="49" t="s">
        <v>2350</v>
      </c>
      <c r="C5560" s="49" t="s">
        <v>9869</v>
      </c>
      <c r="D5560" s="49" t="s">
        <v>2352</v>
      </c>
      <c r="E5560" s="49" t="str">
        <f aca="false">"10859585004074"</f>
        <v>10859585004074</v>
      </c>
      <c r="F5560" s="49" t="s">
        <v>7737</v>
      </c>
      <c r="G5560" s="49" t="n">
        <v>0</v>
      </c>
      <c r="H5560" s="0" t="n">
        <v>0</v>
      </c>
      <c r="M5560" s="51" t="s">
        <v>9861</v>
      </c>
      <c r="N5560" s="49" t="n">
        <v>0</v>
      </c>
      <c r="O5560" s="53" t="n">
        <v>45846.6018171296</v>
      </c>
      <c r="P5560" s="53" t="n">
        <v>45895.4862615741</v>
      </c>
      <c r="Q5560" s="53" t="n">
        <v>45846.6018171296</v>
      </c>
      <c r="R5560" s="0" t="n">
        <v>0</v>
      </c>
      <c r="S5560" s="51" t="s">
        <v>2436</v>
      </c>
      <c r="T5560" s="51" t="s">
        <v>2436</v>
      </c>
      <c r="U5560" s="0" t="str">
        <f aca="false">"10859585004074"</f>
        <v>10859585004074</v>
      </c>
      <c r="V5560" s="51" t="s">
        <v>7596</v>
      </c>
      <c r="W5560" s="51" t="s">
        <v>5182</v>
      </c>
      <c r="X5560" s="51" t="s">
        <v>2359</v>
      </c>
    </row>
    <row r="5561" customFormat="false" ht="14.25" hidden="true" customHeight="false" outlineLevel="0" collapsed="false">
      <c r="A5561" s="49" t="s">
        <v>2349</v>
      </c>
      <c r="B5561" s="49" t="s">
        <v>2350</v>
      </c>
      <c r="C5561" s="49" t="s">
        <v>9870</v>
      </c>
      <c r="D5561" s="49" t="s">
        <v>2352</v>
      </c>
      <c r="E5561" s="49" t="str">
        <f aca="false">"10859585004074"</f>
        <v>10859585004074</v>
      </c>
      <c r="F5561" s="49" t="s">
        <v>7737</v>
      </c>
      <c r="G5561" s="49" t="n">
        <v>0</v>
      </c>
      <c r="H5561" s="0" t="n">
        <v>0</v>
      </c>
      <c r="M5561" s="51" t="s">
        <v>9861</v>
      </c>
      <c r="N5561" s="49" t="n">
        <v>0</v>
      </c>
      <c r="O5561" s="53" t="n">
        <v>45846.601724537</v>
      </c>
      <c r="P5561" s="53" t="n">
        <v>45895.4861689815</v>
      </c>
      <c r="Q5561" s="53" t="n">
        <v>45846.601724537</v>
      </c>
      <c r="R5561" s="0" t="n">
        <v>0</v>
      </c>
      <c r="S5561" s="51" t="s">
        <v>2436</v>
      </c>
      <c r="T5561" s="51" t="s">
        <v>2436</v>
      </c>
      <c r="U5561" s="0" t="str">
        <f aca="false">"10859585004074"</f>
        <v>10859585004074</v>
      </c>
      <c r="V5561" s="51" t="s">
        <v>7596</v>
      </c>
      <c r="W5561" s="51" t="s">
        <v>5186</v>
      </c>
      <c r="X5561" s="51" t="s">
        <v>2359</v>
      </c>
    </row>
    <row r="5562" customFormat="false" ht="14.25" hidden="true" customHeight="false" outlineLevel="0" collapsed="false">
      <c r="A5562" s="49" t="s">
        <v>2349</v>
      </c>
      <c r="B5562" s="49" t="s">
        <v>2350</v>
      </c>
      <c r="C5562" s="49" t="s">
        <v>9871</v>
      </c>
      <c r="D5562" s="49" t="s">
        <v>2352</v>
      </c>
      <c r="E5562" s="49" t="str">
        <f aca="false">"10859585004074"</f>
        <v>10859585004074</v>
      </c>
      <c r="F5562" s="49" t="s">
        <v>7737</v>
      </c>
      <c r="G5562" s="49" t="n">
        <v>0</v>
      </c>
      <c r="H5562" s="0" t="n">
        <v>0</v>
      </c>
      <c r="M5562" s="51" t="s">
        <v>9861</v>
      </c>
      <c r="N5562" s="49" t="n">
        <v>0</v>
      </c>
      <c r="O5562" s="53" t="n">
        <v>45846.6016087963</v>
      </c>
      <c r="P5562" s="53" t="n">
        <v>45895.4853125</v>
      </c>
      <c r="Q5562" s="53" t="n">
        <v>45846.6016087963</v>
      </c>
      <c r="R5562" s="0" t="n">
        <v>0</v>
      </c>
      <c r="S5562" s="51" t="s">
        <v>2436</v>
      </c>
      <c r="T5562" s="51" t="s">
        <v>2436</v>
      </c>
      <c r="U5562" s="0" t="str">
        <f aca="false">"10859585004074"</f>
        <v>10859585004074</v>
      </c>
      <c r="V5562" s="51" t="s">
        <v>7596</v>
      </c>
      <c r="W5562" s="51" t="s">
        <v>5188</v>
      </c>
      <c r="X5562" s="51" t="s">
        <v>2359</v>
      </c>
    </row>
    <row r="5563" customFormat="false" ht="14.25" hidden="true" customHeight="false" outlineLevel="0" collapsed="false">
      <c r="A5563" s="49" t="s">
        <v>2349</v>
      </c>
      <c r="B5563" s="49" t="s">
        <v>2350</v>
      </c>
      <c r="C5563" s="49" t="s">
        <v>9872</v>
      </c>
      <c r="D5563" s="49" t="s">
        <v>2352</v>
      </c>
      <c r="E5563" s="49" t="str">
        <f aca="false">"10859585004074"</f>
        <v>10859585004074</v>
      </c>
      <c r="F5563" s="49" t="s">
        <v>7737</v>
      </c>
      <c r="G5563" s="49" t="n">
        <v>0</v>
      </c>
      <c r="H5563" s="0" t="n">
        <v>0</v>
      </c>
      <c r="M5563" s="51" t="s">
        <v>9861</v>
      </c>
      <c r="N5563" s="49" t="n">
        <v>0</v>
      </c>
      <c r="O5563" s="53" t="n">
        <v>45846.6015162037</v>
      </c>
      <c r="P5563" s="53" t="n">
        <v>45895.4804976852</v>
      </c>
      <c r="Q5563" s="53" t="n">
        <v>45846.6015162037</v>
      </c>
      <c r="R5563" s="0" t="n">
        <v>0</v>
      </c>
      <c r="S5563" s="51" t="s">
        <v>2436</v>
      </c>
      <c r="T5563" s="51" t="s">
        <v>2436</v>
      </c>
      <c r="U5563" s="0" t="str">
        <f aca="false">"10859585004074"</f>
        <v>10859585004074</v>
      </c>
      <c r="V5563" s="51" t="s">
        <v>7596</v>
      </c>
      <c r="W5563" s="51" t="s">
        <v>5190</v>
      </c>
      <c r="X5563" s="51" t="s">
        <v>2359</v>
      </c>
    </row>
    <row r="5564" customFormat="false" ht="14.25" hidden="true" customHeight="false" outlineLevel="0" collapsed="false">
      <c r="A5564" s="49" t="s">
        <v>2349</v>
      </c>
      <c r="B5564" s="49" t="s">
        <v>2350</v>
      </c>
      <c r="C5564" s="49" t="s">
        <v>9873</v>
      </c>
      <c r="D5564" s="49" t="s">
        <v>2352</v>
      </c>
      <c r="E5564" s="49" t="str">
        <f aca="false">"10859585004074"</f>
        <v>10859585004074</v>
      </c>
      <c r="F5564" s="49" t="s">
        <v>7737</v>
      </c>
      <c r="G5564" s="49" t="n">
        <v>0</v>
      </c>
      <c r="H5564" s="0" t="n">
        <v>0</v>
      </c>
      <c r="M5564" s="51" t="s">
        <v>9861</v>
      </c>
      <c r="N5564" s="49" t="n">
        <v>0</v>
      </c>
      <c r="O5564" s="53" t="n">
        <v>45846.6014351852</v>
      </c>
      <c r="P5564" s="53" t="n">
        <v>45895.489537037</v>
      </c>
      <c r="Q5564" s="53" t="n">
        <v>45846.6014351852</v>
      </c>
      <c r="R5564" s="0" t="n">
        <v>0</v>
      </c>
      <c r="S5564" s="51" t="s">
        <v>2436</v>
      </c>
      <c r="T5564" s="51" t="s">
        <v>2436</v>
      </c>
      <c r="U5564" s="0" t="str">
        <f aca="false">"10859585004074"</f>
        <v>10859585004074</v>
      </c>
      <c r="V5564" s="51" t="s">
        <v>7596</v>
      </c>
      <c r="W5564" s="51" t="s">
        <v>5945</v>
      </c>
      <c r="X5564" s="51" t="s">
        <v>2359</v>
      </c>
    </row>
    <row r="5565" customFormat="false" ht="14.25" hidden="true" customHeight="false" outlineLevel="0" collapsed="false">
      <c r="A5565" s="49" t="s">
        <v>2349</v>
      </c>
      <c r="B5565" s="49" t="s">
        <v>2350</v>
      </c>
      <c r="C5565" s="49" t="s">
        <v>9874</v>
      </c>
      <c r="D5565" s="49" t="s">
        <v>2352</v>
      </c>
      <c r="E5565" s="49" t="str">
        <f aca="false">"10859585004074"</f>
        <v>10859585004074</v>
      </c>
      <c r="F5565" s="49" t="s">
        <v>7737</v>
      </c>
      <c r="G5565" s="49" t="n">
        <v>0</v>
      </c>
      <c r="H5565" s="0" t="n">
        <v>0</v>
      </c>
      <c r="M5565" s="51" t="s">
        <v>9861</v>
      </c>
      <c r="N5565" s="49" t="n">
        <v>0</v>
      </c>
      <c r="O5565" s="53" t="n">
        <v>45846.6013657407</v>
      </c>
      <c r="P5565" s="53" t="n">
        <v>45895.4892013889</v>
      </c>
      <c r="Q5565" s="53" t="n">
        <v>45846.6013657407</v>
      </c>
      <c r="R5565" s="0" t="n">
        <v>0</v>
      </c>
      <c r="S5565" s="51" t="s">
        <v>2436</v>
      </c>
      <c r="T5565" s="51" t="s">
        <v>2436</v>
      </c>
      <c r="U5565" s="0" t="str">
        <f aca="false">"10859585004074"</f>
        <v>10859585004074</v>
      </c>
      <c r="V5565" s="51" t="s">
        <v>7596</v>
      </c>
      <c r="W5565" s="51" t="s">
        <v>7337</v>
      </c>
      <c r="X5565" s="51" t="s">
        <v>2359</v>
      </c>
    </row>
    <row r="5566" customFormat="false" ht="14.25" hidden="true" customHeight="false" outlineLevel="0" collapsed="false">
      <c r="A5566" s="49" t="s">
        <v>2349</v>
      </c>
      <c r="B5566" s="49" t="s">
        <v>2350</v>
      </c>
      <c r="C5566" s="49" t="s">
        <v>9875</v>
      </c>
      <c r="D5566" s="49" t="s">
        <v>2352</v>
      </c>
      <c r="E5566" s="49" t="str">
        <f aca="false">"10859585004074"</f>
        <v>10859585004074</v>
      </c>
      <c r="F5566" s="49" t="s">
        <v>7737</v>
      </c>
      <c r="G5566" s="49" t="n">
        <v>0</v>
      </c>
      <c r="H5566" s="0" t="n">
        <v>0</v>
      </c>
      <c r="M5566" s="51" t="s">
        <v>9861</v>
      </c>
      <c r="N5566" s="49" t="n">
        <v>0</v>
      </c>
      <c r="O5566" s="53" t="n">
        <v>45846.60125</v>
      </c>
      <c r="P5566" s="53" t="n">
        <v>45895.4817013889</v>
      </c>
      <c r="Q5566" s="53" t="n">
        <v>45846.60125</v>
      </c>
      <c r="R5566" s="0" t="n">
        <v>0</v>
      </c>
      <c r="S5566" s="51" t="s">
        <v>2436</v>
      </c>
      <c r="T5566" s="51" t="s">
        <v>2436</v>
      </c>
      <c r="U5566" s="0" t="str">
        <f aca="false">"10859585004074"</f>
        <v>10859585004074</v>
      </c>
      <c r="V5566" s="51" t="s">
        <v>7596</v>
      </c>
      <c r="W5566" s="51" t="s">
        <v>4883</v>
      </c>
      <c r="X5566" s="51" t="s">
        <v>2359</v>
      </c>
    </row>
    <row r="5567" customFormat="false" ht="14.25" hidden="true" customHeight="false" outlineLevel="0" collapsed="false">
      <c r="A5567" s="49" t="s">
        <v>2349</v>
      </c>
      <c r="B5567" s="49" t="s">
        <v>2350</v>
      </c>
      <c r="C5567" s="49" t="s">
        <v>9876</v>
      </c>
      <c r="D5567" s="49" t="s">
        <v>2352</v>
      </c>
      <c r="E5567" s="49" t="str">
        <f aca="false">"10859585004074"</f>
        <v>10859585004074</v>
      </c>
      <c r="F5567" s="49" t="s">
        <v>7737</v>
      </c>
      <c r="G5567" s="49" t="n">
        <v>0</v>
      </c>
      <c r="H5567" s="0" t="n">
        <v>0</v>
      </c>
      <c r="M5567" s="51" t="s">
        <v>9861</v>
      </c>
      <c r="N5567" s="49" t="n">
        <v>0</v>
      </c>
      <c r="O5567" s="53" t="n">
        <v>45846.6011689815</v>
      </c>
      <c r="P5567" s="53" t="n">
        <v>45895.4892939815</v>
      </c>
      <c r="Q5567" s="53" t="n">
        <v>45846.6011689815</v>
      </c>
      <c r="R5567" s="0" t="n">
        <v>0</v>
      </c>
      <c r="S5567" s="51" t="s">
        <v>2436</v>
      </c>
      <c r="T5567" s="51" t="s">
        <v>2436</v>
      </c>
      <c r="U5567" s="0" t="str">
        <f aca="false">"10859585004074"</f>
        <v>10859585004074</v>
      </c>
      <c r="V5567" s="51" t="s">
        <v>7596</v>
      </c>
      <c r="W5567" s="51" t="s">
        <v>4871</v>
      </c>
      <c r="X5567" s="51" t="s">
        <v>2359</v>
      </c>
    </row>
    <row r="5568" customFormat="false" ht="14.25" hidden="true" customHeight="false" outlineLevel="0" collapsed="false">
      <c r="A5568" s="49" t="s">
        <v>2349</v>
      </c>
      <c r="B5568" s="49" t="s">
        <v>2350</v>
      </c>
      <c r="C5568" s="49" t="s">
        <v>9877</v>
      </c>
      <c r="D5568" s="49" t="s">
        <v>2352</v>
      </c>
      <c r="E5568" s="49" t="str">
        <f aca="false">"10859585004074"</f>
        <v>10859585004074</v>
      </c>
      <c r="F5568" s="49" t="s">
        <v>7737</v>
      </c>
      <c r="G5568" s="49" t="n">
        <v>0</v>
      </c>
      <c r="H5568" s="0" t="n">
        <v>0</v>
      </c>
      <c r="M5568" s="51" t="s">
        <v>9861</v>
      </c>
      <c r="N5568" s="49" t="n">
        <v>0</v>
      </c>
      <c r="O5568" s="53" t="n">
        <v>45846.6010763889</v>
      </c>
      <c r="P5568" s="53" t="n">
        <v>45895.4847916667</v>
      </c>
      <c r="Q5568" s="53" t="n">
        <v>45846.6010763889</v>
      </c>
      <c r="R5568" s="0" t="n">
        <v>0</v>
      </c>
      <c r="S5568" s="51" t="s">
        <v>2436</v>
      </c>
      <c r="T5568" s="51" t="s">
        <v>2436</v>
      </c>
      <c r="U5568" s="0" t="str">
        <f aca="false">"10859585004074"</f>
        <v>10859585004074</v>
      </c>
      <c r="V5568" s="51" t="s">
        <v>7596</v>
      </c>
      <c r="W5568" s="51" t="s">
        <v>5172</v>
      </c>
      <c r="X5568" s="51" t="s">
        <v>2359</v>
      </c>
    </row>
    <row r="5569" customFormat="false" ht="14.25" hidden="true" customHeight="false" outlineLevel="0" collapsed="false">
      <c r="A5569" s="49" t="s">
        <v>2349</v>
      </c>
      <c r="B5569" s="49" t="s">
        <v>2350</v>
      </c>
      <c r="C5569" s="49" t="s">
        <v>9878</v>
      </c>
      <c r="D5569" s="49" t="s">
        <v>2352</v>
      </c>
      <c r="E5569" s="49" t="str">
        <f aca="false">"10859585004074"</f>
        <v>10859585004074</v>
      </c>
      <c r="F5569" s="49" t="s">
        <v>7737</v>
      </c>
      <c r="G5569" s="49" t="n">
        <v>0</v>
      </c>
      <c r="H5569" s="0" t="n">
        <v>0</v>
      </c>
      <c r="M5569" s="51" t="s">
        <v>9861</v>
      </c>
      <c r="N5569" s="49" t="n">
        <v>0</v>
      </c>
      <c r="O5569" s="53" t="n">
        <v>45846.6009837963</v>
      </c>
      <c r="P5569" s="53" t="n">
        <v>45895.4837962963</v>
      </c>
      <c r="Q5569" s="53" t="n">
        <v>45846.6009837963</v>
      </c>
      <c r="R5569" s="0" t="n">
        <v>0</v>
      </c>
      <c r="S5569" s="51" t="s">
        <v>2436</v>
      </c>
      <c r="T5569" s="51" t="s">
        <v>2436</v>
      </c>
      <c r="U5569" s="0" t="str">
        <f aca="false">"10859585004074"</f>
        <v>10859585004074</v>
      </c>
      <c r="V5569" s="51" t="s">
        <v>7596</v>
      </c>
      <c r="W5569" s="51" t="s">
        <v>4784</v>
      </c>
      <c r="X5569" s="51" t="s">
        <v>2359</v>
      </c>
    </row>
    <row r="5570" customFormat="false" ht="14.25" hidden="true" customHeight="false" outlineLevel="0" collapsed="false">
      <c r="A5570" s="49" t="s">
        <v>2349</v>
      </c>
      <c r="B5570" s="49" t="s">
        <v>2350</v>
      </c>
      <c r="C5570" s="49" t="s">
        <v>9879</v>
      </c>
      <c r="D5570" s="49" t="s">
        <v>2352</v>
      </c>
      <c r="E5570" s="49" t="str">
        <f aca="false">"10859585004074"</f>
        <v>10859585004074</v>
      </c>
      <c r="F5570" s="49" t="s">
        <v>7737</v>
      </c>
      <c r="G5570" s="49" t="n">
        <v>0</v>
      </c>
      <c r="H5570" s="0" t="n">
        <v>0</v>
      </c>
      <c r="M5570" s="51" t="s">
        <v>9861</v>
      </c>
      <c r="N5570" s="49" t="n">
        <v>0</v>
      </c>
      <c r="O5570" s="53" t="n">
        <v>45846.6008912037</v>
      </c>
      <c r="P5570" s="53" t="n">
        <v>45895.4778819445</v>
      </c>
      <c r="Q5570" s="53" t="n">
        <v>45846.6008912037</v>
      </c>
      <c r="R5570" s="0" t="n">
        <v>0</v>
      </c>
      <c r="S5570" s="51" t="s">
        <v>2436</v>
      </c>
      <c r="T5570" s="51" t="s">
        <v>2436</v>
      </c>
      <c r="U5570" s="0" t="str">
        <f aca="false">"10859585004074"</f>
        <v>10859585004074</v>
      </c>
      <c r="V5570" s="51" t="s">
        <v>7596</v>
      </c>
      <c r="W5570" s="51" t="s">
        <v>5703</v>
      </c>
      <c r="X5570" s="51" t="s">
        <v>2359</v>
      </c>
    </row>
    <row r="5571" customFormat="false" ht="14.25" hidden="true" customHeight="false" outlineLevel="0" collapsed="false">
      <c r="A5571" s="49" t="s">
        <v>2349</v>
      </c>
      <c r="B5571" s="49" t="s">
        <v>2350</v>
      </c>
      <c r="C5571" s="49" t="s">
        <v>9880</v>
      </c>
      <c r="D5571" s="49" t="s">
        <v>2352</v>
      </c>
      <c r="E5571" s="49" t="str">
        <f aca="false">"10859585004074"</f>
        <v>10859585004074</v>
      </c>
      <c r="F5571" s="49" t="s">
        <v>7737</v>
      </c>
      <c r="G5571" s="49" t="n">
        <v>0</v>
      </c>
      <c r="H5571" s="0" t="n">
        <v>0</v>
      </c>
      <c r="M5571" s="51" t="s">
        <v>9861</v>
      </c>
      <c r="N5571" s="49" t="n">
        <v>0</v>
      </c>
      <c r="O5571" s="53" t="n">
        <v>45846.6007986111</v>
      </c>
      <c r="P5571" s="53" t="n">
        <v>45895.4814699074</v>
      </c>
      <c r="Q5571" s="53" t="n">
        <v>45846.6007986111</v>
      </c>
      <c r="R5571" s="0" t="n">
        <v>0</v>
      </c>
      <c r="S5571" s="51" t="s">
        <v>2436</v>
      </c>
      <c r="T5571" s="51" t="s">
        <v>2436</v>
      </c>
      <c r="U5571" s="0" t="str">
        <f aca="false">"10859585004074"</f>
        <v>10859585004074</v>
      </c>
      <c r="V5571" s="51" t="s">
        <v>7596</v>
      </c>
      <c r="W5571" s="51" t="s">
        <v>5534</v>
      </c>
      <c r="X5571" s="51" t="s">
        <v>2359</v>
      </c>
    </row>
    <row r="5572" customFormat="false" ht="14.25" hidden="true" customHeight="false" outlineLevel="0" collapsed="false">
      <c r="A5572" s="49" t="s">
        <v>2349</v>
      </c>
      <c r="B5572" s="49" t="s">
        <v>2350</v>
      </c>
      <c r="C5572" s="49" t="s">
        <v>9881</v>
      </c>
      <c r="D5572" s="49" t="s">
        <v>2352</v>
      </c>
      <c r="E5572" s="49" t="str">
        <f aca="false">"10859585004074"</f>
        <v>10859585004074</v>
      </c>
      <c r="F5572" s="49" t="s">
        <v>7737</v>
      </c>
      <c r="G5572" s="49" t="n">
        <v>0</v>
      </c>
      <c r="H5572" s="0" t="n">
        <v>0</v>
      </c>
      <c r="M5572" s="51" t="s">
        <v>9861</v>
      </c>
      <c r="N5572" s="49" t="n">
        <v>0</v>
      </c>
      <c r="O5572" s="53" t="n">
        <v>45846.600625</v>
      </c>
      <c r="P5572" s="53" t="n">
        <v>45895.4848958333</v>
      </c>
      <c r="Q5572" s="53" t="n">
        <v>45846.600625</v>
      </c>
      <c r="R5572" s="0" t="n">
        <v>0</v>
      </c>
      <c r="S5572" s="51" t="s">
        <v>2436</v>
      </c>
      <c r="T5572" s="51" t="s">
        <v>2436</v>
      </c>
      <c r="U5572" s="0" t="str">
        <f aca="false">"10859585004074"</f>
        <v>10859585004074</v>
      </c>
      <c r="V5572" s="51" t="s">
        <v>7596</v>
      </c>
      <c r="W5572" s="51" t="s">
        <v>4763</v>
      </c>
      <c r="X5572" s="51" t="s">
        <v>2359</v>
      </c>
    </row>
    <row r="5573" customFormat="false" ht="14.25" hidden="true" customHeight="false" outlineLevel="0" collapsed="false">
      <c r="A5573" s="49" t="s">
        <v>2349</v>
      </c>
      <c r="B5573" s="49" t="s">
        <v>2350</v>
      </c>
      <c r="C5573" s="49" t="s">
        <v>9882</v>
      </c>
      <c r="D5573" s="49" t="s">
        <v>2352</v>
      </c>
      <c r="E5573" s="49" t="s">
        <v>4351</v>
      </c>
      <c r="F5573" s="49" t="s">
        <v>4352</v>
      </c>
      <c r="G5573" s="49" t="n">
        <v>0</v>
      </c>
      <c r="H5573" s="0" t="n">
        <v>0</v>
      </c>
      <c r="M5573" s="51" t="s">
        <v>9883</v>
      </c>
      <c r="N5573" s="49" t="n">
        <v>0</v>
      </c>
      <c r="O5573" s="53" t="n">
        <v>45876.3888888889</v>
      </c>
      <c r="P5573" s="53" t="n">
        <v>45881.5651851852</v>
      </c>
      <c r="Q5573" s="53" t="n">
        <v>45876.3888888889</v>
      </c>
      <c r="R5573" s="0" t="n">
        <v>0</v>
      </c>
      <c r="S5573" s="51" t="s">
        <v>2356</v>
      </c>
      <c r="T5573" s="51" t="s">
        <v>2356</v>
      </c>
      <c r="U5573" s="51" t="s">
        <v>4351</v>
      </c>
      <c r="V5573" s="51" t="s">
        <v>2365</v>
      </c>
      <c r="W5573" s="51" t="s">
        <v>9884</v>
      </c>
      <c r="X5573" s="51" t="s">
        <v>2359</v>
      </c>
    </row>
    <row r="5574" customFormat="false" ht="14.25" hidden="true" customHeight="false" outlineLevel="0" collapsed="false">
      <c r="A5574" s="49" t="s">
        <v>2349</v>
      </c>
      <c r="B5574" s="49" t="s">
        <v>2350</v>
      </c>
      <c r="C5574" s="49" t="s">
        <v>9885</v>
      </c>
      <c r="D5574" s="49" t="s">
        <v>2352</v>
      </c>
      <c r="E5574" s="49" t="s">
        <v>4351</v>
      </c>
      <c r="F5574" s="49" t="s">
        <v>4352</v>
      </c>
      <c r="G5574" s="49" t="n">
        <v>0</v>
      </c>
      <c r="H5574" s="0" t="n">
        <v>0</v>
      </c>
      <c r="M5574" s="51" t="s">
        <v>9883</v>
      </c>
      <c r="N5574" s="49" t="n">
        <v>0</v>
      </c>
      <c r="O5574" s="53" t="n">
        <v>45876.3887731481</v>
      </c>
      <c r="P5574" s="53" t="n">
        <v>45876.5113078704</v>
      </c>
      <c r="Q5574" s="53" t="n">
        <v>45876.3887731481</v>
      </c>
      <c r="R5574" s="0" t="n">
        <v>0</v>
      </c>
      <c r="S5574" s="51" t="s">
        <v>2356</v>
      </c>
      <c r="T5574" s="51" t="s">
        <v>2356</v>
      </c>
      <c r="U5574" s="51" t="s">
        <v>4351</v>
      </c>
      <c r="V5574" s="51" t="s">
        <v>2365</v>
      </c>
      <c r="W5574" s="51" t="s">
        <v>8832</v>
      </c>
      <c r="X5574" s="51" t="s">
        <v>2359</v>
      </c>
    </row>
    <row r="5575" customFormat="false" ht="14.25" hidden="true" customHeight="false" outlineLevel="0" collapsed="false">
      <c r="A5575" s="49" t="s">
        <v>2349</v>
      </c>
      <c r="B5575" s="49" t="s">
        <v>2350</v>
      </c>
      <c r="C5575" s="49" t="s">
        <v>9886</v>
      </c>
      <c r="D5575" s="49" t="s">
        <v>2352</v>
      </c>
      <c r="E5575" s="49" t="s">
        <v>4351</v>
      </c>
      <c r="F5575" s="49" t="s">
        <v>4352</v>
      </c>
      <c r="G5575" s="49" t="n">
        <v>0</v>
      </c>
      <c r="H5575" s="0" t="n">
        <v>0</v>
      </c>
      <c r="M5575" s="51" t="s">
        <v>9883</v>
      </c>
      <c r="N5575" s="49" t="n">
        <v>0</v>
      </c>
      <c r="O5575" s="53" t="n">
        <v>45876.3886458333</v>
      </c>
      <c r="P5575" s="53" t="n">
        <v>45876.5098032407</v>
      </c>
      <c r="Q5575" s="53" t="n">
        <v>45876.3886458333</v>
      </c>
      <c r="R5575" s="0" t="n">
        <v>0</v>
      </c>
      <c r="S5575" s="51" t="s">
        <v>2356</v>
      </c>
      <c r="T5575" s="51" t="s">
        <v>2356</v>
      </c>
      <c r="U5575" s="51" t="s">
        <v>4351</v>
      </c>
      <c r="V5575" s="51" t="s">
        <v>2365</v>
      </c>
      <c r="W5575" s="51" t="s">
        <v>9887</v>
      </c>
      <c r="X5575" s="51" t="s">
        <v>2359</v>
      </c>
    </row>
    <row r="5576" customFormat="false" ht="14.25" hidden="true" customHeight="false" outlineLevel="0" collapsed="false">
      <c r="A5576" s="49" t="s">
        <v>2349</v>
      </c>
      <c r="B5576" s="49" t="s">
        <v>2350</v>
      </c>
      <c r="C5576" s="49" t="s">
        <v>9888</v>
      </c>
      <c r="D5576" s="49" t="s">
        <v>2352</v>
      </c>
      <c r="E5576" s="49" t="s">
        <v>4351</v>
      </c>
      <c r="F5576" s="49" t="s">
        <v>4352</v>
      </c>
      <c r="G5576" s="49" t="n">
        <v>0</v>
      </c>
      <c r="H5576" s="0" t="n">
        <v>0</v>
      </c>
      <c r="M5576" s="51" t="s">
        <v>9883</v>
      </c>
      <c r="N5576" s="49" t="n">
        <v>0</v>
      </c>
      <c r="O5576" s="53" t="n">
        <v>45876.3884490741</v>
      </c>
      <c r="P5576" s="53" t="n">
        <v>45876.5090277778</v>
      </c>
      <c r="Q5576" s="53" t="n">
        <v>45876.3884490741</v>
      </c>
      <c r="R5576" s="0" t="n">
        <v>0</v>
      </c>
      <c r="S5576" s="51" t="s">
        <v>2356</v>
      </c>
      <c r="T5576" s="51" t="s">
        <v>2356</v>
      </c>
      <c r="U5576" s="51" t="s">
        <v>4351</v>
      </c>
      <c r="V5576" s="51" t="s">
        <v>2365</v>
      </c>
      <c r="W5576" s="51" t="s">
        <v>3723</v>
      </c>
      <c r="X5576" s="51" t="s">
        <v>2359</v>
      </c>
    </row>
    <row r="5577" customFormat="false" ht="14.25" hidden="true" customHeight="false" outlineLevel="0" collapsed="false">
      <c r="A5577" s="49" t="s">
        <v>2349</v>
      </c>
      <c r="B5577" s="49" t="s">
        <v>2350</v>
      </c>
      <c r="C5577" s="49" t="s">
        <v>9889</v>
      </c>
      <c r="D5577" s="49" t="s">
        <v>2352</v>
      </c>
      <c r="E5577" s="49" t="str">
        <f aca="false">"10074865055175"</f>
        <v>10074865055175</v>
      </c>
      <c r="F5577" s="49" t="s">
        <v>5090</v>
      </c>
      <c r="G5577" s="49" t="n">
        <v>0</v>
      </c>
      <c r="H5577" s="0" t="n">
        <v>0</v>
      </c>
      <c r="M5577" s="51" t="s">
        <v>9890</v>
      </c>
      <c r="N5577" s="49" t="n">
        <v>0</v>
      </c>
      <c r="O5577" s="53" t="n">
        <v>45843.6436111111</v>
      </c>
      <c r="P5577" s="53" t="n">
        <v>45944.5691319444</v>
      </c>
      <c r="Q5577" s="53" t="n">
        <v>45843.6436111111</v>
      </c>
      <c r="R5577" s="0" t="n">
        <v>0</v>
      </c>
      <c r="S5577" s="51" t="s">
        <v>2401</v>
      </c>
      <c r="T5577" s="51" t="s">
        <v>2401</v>
      </c>
      <c r="U5577" s="0" t="str">
        <f aca="false">"10074865055175"</f>
        <v>10074865055175</v>
      </c>
      <c r="V5577" s="51" t="s">
        <v>2365</v>
      </c>
      <c r="W5577" s="51" t="s">
        <v>4044</v>
      </c>
      <c r="X5577" s="51" t="s">
        <v>2359</v>
      </c>
    </row>
    <row r="5578" customFormat="false" ht="14.25" hidden="true" customHeight="false" outlineLevel="0" collapsed="false">
      <c r="A5578" s="49" t="s">
        <v>2349</v>
      </c>
      <c r="B5578" s="49" t="s">
        <v>2350</v>
      </c>
      <c r="C5578" s="49" t="s">
        <v>9891</v>
      </c>
      <c r="D5578" s="49" t="s">
        <v>2352</v>
      </c>
      <c r="E5578" s="49" t="str">
        <f aca="false">"10074865055175"</f>
        <v>10074865055175</v>
      </c>
      <c r="F5578" s="49" t="s">
        <v>5090</v>
      </c>
      <c r="G5578" s="49" t="n">
        <v>0</v>
      </c>
      <c r="H5578" s="0" t="n">
        <v>0</v>
      </c>
      <c r="M5578" s="51" t="s">
        <v>9890</v>
      </c>
      <c r="N5578" s="49" t="n">
        <v>0</v>
      </c>
      <c r="O5578" s="53" t="n">
        <v>45843.6433912037</v>
      </c>
      <c r="P5578" s="53" t="n">
        <v>45931.8214699074</v>
      </c>
      <c r="Q5578" s="53" t="n">
        <v>45843.6433912037</v>
      </c>
      <c r="R5578" s="0" t="n">
        <v>0</v>
      </c>
      <c r="S5578" s="51" t="s">
        <v>2401</v>
      </c>
      <c r="T5578" s="51" t="s">
        <v>2401</v>
      </c>
      <c r="U5578" s="0" t="str">
        <f aca="false">"10074865055175"</f>
        <v>10074865055175</v>
      </c>
      <c r="V5578" s="51" t="s">
        <v>2365</v>
      </c>
      <c r="W5578" s="51" t="s">
        <v>6703</v>
      </c>
      <c r="X5578" s="51" t="s">
        <v>2359</v>
      </c>
    </row>
    <row r="5579" customFormat="false" ht="14.25" hidden="true" customHeight="false" outlineLevel="0" collapsed="false">
      <c r="A5579" s="49" t="s">
        <v>2349</v>
      </c>
      <c r="B5579" s="49" t="s">
        <v>2350</v>
      </c>
      <c r="C5579" s="49" t="s">
        <v>9892</v>
      </c>
      <c r="D5579" s="49" t="s">
        <v>2352</v>
      </c>
      <c r="E5579" s="49" t="str">
        <f aca="false">"10074865055175"</f>
        <v>10074865055175</v>
      </c>
      <c r="F5579" s="49" t="s">
        <v>5090</v>
      </c>
      <c r="G5579" s="49" t="n">
        <v>0</v>
      </c>
      <c r="H5579" s="0" t="n">
        <v>0</v>
      </c>
      <c r="M5579" s="51" t="s">
        <v>9890</v>
      </c>
      <c r="N5579" s="49" t="n">
        <v>0</v>
      </c>
      <c r="O5579" s="53" t="n">
        <v>45843.6431365741</v>
      </c>
      <c r="P5579" s="53" t="n">
        <v>45931.8163078704</v>
      </c>
      <c r="Q5579" s="53" t="n">
        <v>45843.6431365741</v>
      </c>
      <c r="R5579" s="0" t="n">
        <v>0</v>
      </c>
      <c r="S5579" s="51" t="s">
        <v>2401</v>
      </c>
      <c r="T5579" s="51" t="s">
        <v>2401</v>
      </c>
      <c r="U5579" s="0" t="str">
        <f aca="false">"10074865055175"</f>
        <v>10074865055175</v>
      </c>
      <c r="V5579" s="51" t="s">
        <v>2365</v>
      </c>
      <c r="W5579" s="51" t="s">
        <v>5882</v>
      </c>
      <c r="X5579" s="51" t="s">
        <v>2359</v>
      </c>
    </row>
    <row r="5580" customFormat="false" ht="14.25" hidden="true" customHeight="false" outlineLevel="0" collapsed="false">
      <c r="A5580" s="49" t="s">
        <v>2349</v>
      </c>
      <c r="B5580" s="49" t="s">
        <v>2350</v>
      </c>
      <c r="C5580" s="49" t="s">
        <v>9893</v>
      </c>
      <c r="D5580" s="49" t="s">
        <v>2352</v>
      </c>
      <c r="E5580" s="49" t="str">
        <f aca="false">"10074865055175"</f>
        <v>10074865055175</v>
      </c>
      <c r="F5580" s="49" t="s">
        <v>5090</v>
      </c>
      <c r="G5580" s="49" t="n">
        <v>0</v>
      </c>
      <c r="H5580" s="0" t="n">
        <v>0</v>
      </c>
      <c r="M5580" s="51" t="s">
        <v>9890</v>
      </c>
      <c r="N5580" s="49" t="n">
        <v>0</v>
      </c>
      <c r="O5580" s="53" t="n">
        <v>45843.6368634259</v>
      </c>
      <c r="P5580" s="53" t="n">
        <v>45931.8067013889</v>
      </c>
      <c r="Q5580" s="53" t="n">
        <v>45843.6368634259</v>
      </c>
      <c r="R5580" s="0" t="n">
        <v>0</v>
      </c>
      <c r="S5580" s="51" t="s">
        <v>2401</v>
      </c>
      <c r="T5580" s="51" t="s">
        <v>2401</v>
      </c>
      <c r="U5580" s="0" t="str">
        <f aca="false">"10074865055175"</f>
        <v>10074865055175</v>
      </c>
      <c r="V5580" s="51" t="s">
        <v>2365</v>
      </c>
      <c r="W5580" s="51" t="s">
        <v>9894</v>
      </c>
      <c r="X5580" s="51" t="s">
        <v>2359</v>
      </c>
    </row>
    <row r="5581" customFormat="false" ht="14.25" hidden="true" customHeight="false" outlineLevel="0" collapsed="false">
      <c r="A5581" s="49" t="s">
        <v>2349</v>
      </c>
      <c r="B5581" s="49" t="s">
        <v>2350</v>
      </c>
      <c r="C5581" s="49" t="s">
        <v>9895</v>
      </c>
      <c r="D5581" s="49" t="s">
        <v>2352</v>
      </c>
      <c r="E5581" s="49" t="str">
        <f aca="false">"10074865055175"</f>
        <v>10074865055175</v>
      </c>
      <c r="F5581" s="49" t="s">
        <v>5090</v>
      </c>
      <c r="G5581" s="49" t="n">
        <v>0</v>
      </c>
      <c r="H5581" s="0" t="n">
        <v>0</v>
      </c>
      <c r="M5581" s="51" t="s">
        <v>9890</v>
      </c>
      <c r="N5581" s="49" t="n">
        <v>0</v>
      </c>
      <c r="O5581" s="53" t="n">
        <v>45843.6363425926</v>
      </c>
      <c r="P5581" s="53" t="n">
        <v>45931.793900463</v>
      </c>
      <c r="Q5581" s="53" t="n">
        <v>45843.6363425926</v>
      </c>
      <c r="R5581" s="0" t="n">
        <v>0</v>
      </c>
      <c r="S5581" s="51" t="s">
        <v>2401</v>
      </c>
      <c r="T5581" s="51" t="s">
        <v>2401</v>
      </c>
      <c r="U5581" s="0" t="str">
        <f aca="false">"10074865055175"</f>
        <v>10074865055175</v>
      </c>
      <c r="V5581" s="51" t="s">
        <v>2365</v>
      </c>
      <c r="W5581" s="51" t="s">
        <v>4846</v>
      </c>
      <c r="X5581" s="51" t="s">
        <v>2359</v>
      </c>
    </row>
    <row r="5582" customFormat="false" ht="14.25" hidden="true" customHeight="false" outlineLevel="0" collapsed="false">
      <c r="A5582" s="49" t="s">
        <v>2349</v>
      </c>
      <c r="B5582" s="49" t="s">
        <v>2350</v>
      </c>
      <c r="C5582" s="49" t="s">
        <v>9896</v>
      </c>
      <c r="D5582" s="49" t="s">
        <v>2352</v>
      </c>
      <c r="E5582" s="49" t="str">
        <f aca="false">"10074865055175"</f>
        <v>10074865055175</v>
      </c>
      <c r="F5582" s="49" t="s">
        <v>5090</v>
      </c>
      <c r="G5582" s="49" t="n">
        <v>0</v>
      </c>
      <c r="H5582" s="0" t="n">
        <v>0</v>
      </c>
      <c r="M5582" s="51" t="s">
        <v>9890</v>
      </c>
      <c r="N5582" s="49" t="n">
        <v>0</v>
      </c>
      <c r="O5582" s="53" t="n">
        <v>45843.6359953704</v>
      </c>
      <c r="P5582" s="53" t="n">
        <v>45931.8014814815</v>
      </c>
      <c r="Q5582" s="53" t="n">
        <v>45843.6359953704</v>
      </c>
      <c r="R5582" s="0" t="n">
        <v>0</v>
      </c>
      <c r="S5582" s="51" t="s">
        <v>2401</v>
      </c>
      <c r="T5582" s="51" t="s">
        <v>2401</v>
      </c>
      <c r="U5582" s="0" t="str">
        <f aca="false">"10074865055175"</f>
        <v>10074865055175</v>
      </c>
      <c r="V5582" s="51" t="s">
        <v>2365</v>
      </c>
      <c r="W5582" s="51" t="s">
        <v>4550</v>
      </c>
      <c r="X5582" s="51" t="s">
        <v>2359</v>
      </c>
    </row>
    <row r="5583" customFormat="false" ht="14.25" hidden="true" customHeight="false" outlineLevel="0" collapsed="false">
      <c r="A5583" s="49" t="s">
        <v>2349</v>
      </c>
      <c r="B5583" s="49" t="s">
        <v>2350</v>
      </c>
      <c r="C5583" s="49" t="s">
        <v>9897</v>
      </c>
      <c r="D5583" s="49" t="s">
        <v>2352</v>
      </c>
      <c r="E5583" s="49" t="str">
        <f aca="false">"10074865055175"</f>
        <v>10074865055175</v>
      </c>
      <c r="F5583" s="49" t="s">
        <v>5090</v>
      </c>
      <c r="G5583" s="49" t="n">
        <v>0</v>
      </c>
      <c r="H5583" s="0" t="n">
        <v>0</v>
      </c>
      <c r="M5583" s="51" t="s">
        <v>9890</v>
      </c>
      <c r="N5583" s="49" t="n">
        <v>0</v>
      </c>
      <c r="O5583" s="53" t="n">
        <v>45843.6356828704</v>
      </c>
      <c r="P5583" s="53" t="n">
        <v>45931.800150463</v>
      </c>
      <c r="Q5583" s="53" t="n">
        <v>45843.6356828704</v>
      </c>
      <c r="R5583" s="0" t="n">
        <v>0</v>
      </c>
      <c r="S5583" s="51" t="s">
        <v>2401</v>
      </c>
      <c r="T5583" s="51" t="s">
        <v>2401</v>
      </c>
      <c r="U5583" s="0" t="str">
        <f aca="false">"10074865055175"</f>
        <v>10074865055175</v>
      </c>
      <c r="V5583" s="51" t="s">
        <v>2365</v>
      </c>
      <c r="W5583" s="51" t="s">
        <v>6679</v>
      </c>
      <c r="X5583" s="51" t="s">
        <v>2359</v>
      </c>
    </row>
    <row r="5584" customFormat="false" ht="14.25" hidden="true" customHeight="false" outlineLevel="0" collapsed="false">
      <c r="A5584" s="49" t="s">
        <v>2349</v>
      </c>
      <c r="B5584" s="49" t="s">
        <v>2350</v>
      </c>
      <c r="C5584" s="49" t="s">
        <v>9898</v>
      </c>
      <c r="D5584" s="49" t="s">
        <v>2352</v>
      </c>
      <c r="E5584" s="49" t="str">
        <f aca="false">"10074865055175"</f>
        <v>10074865055175</v>
      </c>
      <c r="F5584" s="49" t="s">
        <v>5090</v>
      </c>
      <c r="G5584" s="49" t="n">
        <v>0</v>
      </c>
      <c r="H5584" s="0" t="n">
        <v>0</v>
      </c>
      <c r="M5584" s="51" t="s">
        <v>9890</v>
      </c>
      <c r="N5584" s="49" t="n">
        <v>0</v>
      </c>
      <c r="O5584" s="53" t="n">
        <v>45843.6353009259</v>
      </c>
      <c r="P5584" s="53" t="n">
        <v>45931.8082407407</v>
      </c>
      <c r="Q5584" s="53" t="n">
        <v>45843.6353009259</v>
      </c>
      <c r="R5584" s="0" t="n">
        <v>0</v>
      </c>
      <c r="S5584" s="51" t="s">
        <v>2401</v>
      </c>
      <c r="T5584" s="51" t="s">
        <v>2401</v>
      </c>
      <c r="U5584" s="0" t="str">
        <f aca="false">"10074865055175"</f>
        <v>10074865055175</v>
      </c>
      <c r="V5584" s="51" t="s">
        <v>2365</v>
      </c>
      <c r="W5584" s="51" t="s">
        <v>9025</v>
      </c>
      <c r="X5584" s="51" t="s">
        <v>2359</v>
      </c>
    </row>
    <row r="5585" customFormat="false" ht="14.25" hidden="true" customHeight="false" outlineLevel="0" collapsed="false">
      <c r="A5585" s="49" t="s">
        <v>2349</v>
      </c>
      <c r="B5585" s="49" t="s">
        <v>2350</v>
      </c>
      <c r="C5585" s="49" t="s">
        <v>9899</v>
      </c>
      <c r="D5585" s="49" t="s">
        <v>2352</v>
      </c>
      <c r="E5585" s="49" t="str">
        <f aca="false">"10074865055175"</f>
        <v>10074865055175</v>
      </c>
      <c r="F5585" s="49" t="s">
        <v>5090</v>
      </c>
      <c r="G5585" s="49" t="n">
        <v>0</v>
      </c>
      <c r="H5585" s="0" t="n">
        <v>0</v>
      </c>
      <c r="M5585" s="51" t="s">
        <v>9890</v>
      </c>
      <c r="N5585" s="49" t="n">
        <v>0</v>
      </c>
      <c r="O5585" s="53" t="n">
        <v>45843.6350115741</v>
      </c>
      <c r="P5585" s="53" t="n">
        <v>45931.8138888889</v>
      </c>
      <c r="Q5585" s="53" t="n">
        <v>45843.6350115741</v>
      </c>
      <c r="R5585" s="0" t="n">
        <v>0</v>
      </c>
      <c r="S5585" s="51" t="s">
        <v>2401</v>
      </c>
      <c r="T5585" s="51" t="s">
        <v>2401</v>
      </c>
      <c r="U5585" s="0" t="str">
        <f aca="false">"10074865055175"</f>
        <v>10074865055175</v>
      </c>
      <c r="V5585" s="51" t="s">
        <v>2365</v>
      </c>
      <c r="W5585" s="51" t="s">
        <v>4543</v>
      </c>
      <c r="X5585" s="51" t="s">
        <v>2359</v>
      </c>
    </row>
    <row r="5586" customFormat="false" ht="14.25" hidden="true" customHeight="false" outlineLevel="0" collapsed="false">
      <c r="A5586" s="49" t="s">
        <v>2349</v>
      </c>
      <c r="B5586" s="49" t="s">
        <v>2350</v>
      </c>
      <c r="C5586" s="49" t="s">
        <v>9900</v>
      </c>
      <c r="D5586" s="49" t="s">
        <v>2352</v>
      </c>
      <c r="E5586" s="49" t="str">
        <f aca="false">"10074865055175"</f>
        <v>10074865055175</v>
      </c>
      <c r="F5586" s="49" t="s">
        <v>5090</v>
      </c>
      <c r="G5586" s="49" t="n">
        <v>0</v>
      </c>
      <c r="H5586" s="0" t="n">
        <v>0</v>
      </c>
      <c r="M5586" s="51" t="s">
        <v>9890</v>
      </c>
      <c r="N5586" s="49" t="n">
        <v>0</v>
      </c>
      <c r="O5586" s="53" t="n">
        <v>45843.6346180556</v>
      </c>
      <c r="P5586" s="53" t="n">
        <v>45931.8125231481</v>
      </c>
      <c r="Q5586" s="53" t="n">
        <v>45843.6346180556</v>
      </c>
      <c r="R5586" s="0" t="n">
        <v>0</v>
      </c>
      <c r="S5586" s="51" t="s">
        <v>2401</v>
      </c>
      <c r="T5586" s="51" t="s">
        <v>2401</v>
      </c>
      <c r="U5586" s="0" t="str">
        <f aca="false">"10074865055175"</f>
        <v>10074865055175</v>
      </c>
      <c r="V5586" s="51" t="s">
        <v>2365</v>
      </c>
      <c r="W5586" s="51" t="s">
        <v>5506</v>
      </c>
      <c r="X5586" s="51" t="s">
        <v>2359</v>
      </c>
    </row>
    <row r="5587" customFormat="false" ht="14.25" hidden="true" customHeight="false" outlineLevel="0" collapsed="false">
      <c r="A5587" s="49" t="s">
        <v>2349</v>
      </c>
      <c r="B5587" s="49" t="s">
        <v>2350</v>
      </c>
      <c r="C5587" s="49" t="s">
        <v>9901</v>
      </c>
      <c r="D5587" s="49" t="s">
        <v>2352</v>
      </c>
      <c r="E5587" s="49" t="str">
        <f aca="false">"10074865055175"</f>
        <v>10074865055175</v>
      </c>
      <c r="F5587" s="49" t="s">
        <v>5090</v>
      </c>
      <c r="G5587" s="49" t="n">
        <v>0</v>
      </c>
      <c r="H5587" s="0" t="n">
        <v>0</v>
      </c>
      <c r="M5587" s="51" t="s">
        <v>9890</v>
      </c>
      <c r="N5587" s="49" t="n">
        <v>0</v>
      </c>
      <c r="O5587" s="53" t="n">
        <v>45843.6343865741</v>
      </c>
      <c r="P5587" s="53" t="n">
        <v>45931.793587963</v>
      </c>
      <c r="Q5587" s="53" t="n">
        <v>45843.6343865741</v>
      </c>
      <c r="R5587" s="0" t="n">
        <v>0</v>
      </c>
      <c r="S5587" s="51" t="s">
        <v>2401</v>
      </c>
      <c r="T5587" s="51" t="s">
        <v>2401</v>
      </c>
      <c r="U5587" s="0" t="str">
        <f aca="false">"10074865055175"</f>
        <v>10074865055175</v>
      </c>
      <c r="V5587" s="51" t="s">
        <v>2365</v>
      </c>
      <c r="W5587" s="51" t="s">
        <v>4268</v>
      </c>
      <c r="X5587" s="51" t="s">
        <v>2359</v>
      </c>
    </row>
    <row r="5588" customFormat="false" ht="14.25" hidden="true" customHeight="false" outlineLevel="0" collapsed="false">
      <c r="A5588" s="49" t="s">
        <v>2349</v>
      </c>
      <c r="B5588" s="49" t="s">
        <v>2350</v>
      </c>
      <c r="C5588" s="49" t="s">
        <v>9902</v>
      </c>
      <c r="D5588" s="49" t="s">
        <v>2352</v>
      </c>
      <c r="E5588" s="49" t="str">
        <f aca="false">"10074865055175"</f>
        <v>10074865055175</v>
      </c>
      <c r="F5588" s="49" t="s">
        <v>5090</v>
      </c>
      <c r="G5588" s="49" t="n">
        <v>0</v>
      </c>
      <c r="H5588" s="0" t="n">
        <v>0</v>
      </c>
      <c r="M5588" s="51" t="s">
        <v>9890</v>
      </c>
      <c r="N5588" s="49" t="n">
        <v>0</v>
      </c>
      <c r="O5588" s="53" t="n">
        <v>45843.6340972222</v>
      </c>
      <c r="P5588" s="53" t="n">
        <v>45939.5227777778</v>
      </c>
      <c r="Q5588" s="53" t="n">
        <v>45843.6340972222</v>
      </c>
      <c r="R5588" s="0" t="n">
        <v>0</v>
      </c>
      <c r="S5588" s="51" t="s">
        <v>2401</v>
      </c>
      <c r="T5588" s="51" t="s">
        <v>2401</v>
      </c>
      <c r="U5588" s="0" t="str">
        <f aca="false">"10074865055175"</f>
        <v>10074865055175</v>
      </c>
      <c r="V5588" s="51" t="s">
        <v>2365</v>
      </c>
      <c r="W5588" s="51" t="s">
        <v>6683</v>
      </c>
      <c r="X5588" s="51" t="s">
        <v>2359</v>
      </c>
    </row>
    <row r="5589" customFormat="false" ht="14.25" hidden="true" customHeight="false" outlineLevel="0" collapsed="false">
      <c r="A5589" s="49" t="s">
        <v>2349</v>
      </c>
      <c r="B5589" s="49" t="s">
        <v>2350</v>
      </c>
      <c r="C5589" s="49" t="s">
        <v>9903</v>
      </c>
      <c r="D5589" s="49" t="s">
        <v>2352</v>
      </c>
      <c r="E5589" s="49" t="str">
        <f aca="false">"10074865055175"</f>
        <v>10074865055175</v>
      </c>
      <c r="F5589" s="49" t="s">
        <v>5090</v>
      </c>
      <c r="G5589" s="49" t="n">
        <v>0</v>
      </c>
      <c r="H5589" s="0" t="n">
        <v>0</v>
      </c>
      <c r="M5589" s="51" t="s">
        <v>9890</v>
      </c>
      <c r="N5589" s="49" t="n">
        <v>0</v>
      </c>
      <c r="O5589" s="53" t="n">
        <v>45843.633912037</v>
      </c>
      <c r="P5589" s="53" t="n">
        <v>45966.7506712963</v>
      </c>
      <c r="Q5589" s="53" t="n">
        <v>45843.633912037</v>
      </c>
      <c r="R5589" s="0" t="n">
        <v>0</v>
      </c>
      <c r="S5589" s="51" t="s">
        <v>2401</v>
      </c>
      <c r="T5589" s="51" t="s">
        <v>2401</v>
      </c>
      <c r="U5589" s="0" t="str">
        <f aca="false">"10074865055175"</f>
        <v>10074865055175</v>
      </c>
      <c r="V5589" s="51" t="s">
        <v>2365</v>
      </c>
      <c r="W5589" s="51" t="s">
        <v>9904</v>
      </c>
      <c r="X5589" s="51" t="s">
        <v>2359</v>
      </c>
    </row>
    <row r="5590" customFormat="false" ht="14.25" hidden="true" customHeight="false" outlineLevel="0" collapsed="false">
      <c r="A5590" s="49" t="s">
        <v>2349</v>
      </c>
      <c r="B5590" s="49" t="s">
        <v>2350</v>
      </c>
      <c r="C5590" s="49" t="s">
        <v>9905</v>
      </c>
      <c r="D5590" s="49" t="s">
        <v>2352</v>
      </c>
      <c r="E5590" s="49" t="str">
        <f aca="false">"10074865055175"</f>
        <v>10074865055175</v>
      </c>
      <c r="F5590" s="49" t="s">
        <v>5090</v>
      </c>
      <c r="G5590" s="49" t="n">
        <v>0</v>
      </c>
      <c r="H5590" s="0" t="n">
        <v>0</v>
      </c>
      <c r="M5590" s="51" t="s">
        <v>9890</v>
      </c>
      <c r="N5590" s="49" t="n">
        <v>0</v>
      </c>
      <c r="O5590" s="53" t="n">
        <v>45843.6330092593</v>
      </c>
      <c r="P5590" s="53" t="n">
        <v>45958.9326851852</v>
      </c>
      <c r="Q5590" s="53" t="n">
        <v>45843.6330092593</v>
      </c>
      <c r="R5590" s="0" t="n">
        <v>0</v>
      </c>
      <c r="S5590" s="51" t="s">
        <v>2401</v>
      </c>
      <c r="T5590" s="51" t="s">
        <v>2401</v>
      </c>
      <c r="U5590" s="0" t="str">
        <f aca="false">"10074865055175"</f>
        <v>10074865055175</v>
      </c>
      <c r="V5590" s="51" t="s">
        <v>2365</v>
      </c>
      <c r="W5590" s="51" t="s">
        <v>9906</v>
      </c>
      <c r="X5590" s="51" t="s">
        <v>2359</v>
      </c>
    </row>
    <row r="5591" customFormat="false" ht="14.25" hidden="true" customHeight="false" outlineLevel="0" collapsed="false">
      <c r="A5591" s="49" t="s">
        <v>2349</v>
      </c>
      <c r="B5591" s="49" t="s">
        <v>2350</v>
      </c>
      <c r="C5591" s="49" t="s">
        <v>9907</v>
      </c>
      <c r="D5591" s="49" t="s">
        <v>2352</v>
      </c>
      <c r="E5591" s="49" t="str">
        <f aca="false">"10074865055175"</f>
        <v>10074865055175</v>
      </c>
      <c r="F5591" s="49" t="s">
        <v>5090</v>
      </c>
      <c r="G5591" s="49" t="n">
        <v>0</v>
      </c>
      <c r="H5591" s="0" t="n">
        <v>0</v>
      </c>
      <c r="M5591" s="51" t="s">
        <v>9890</v>
      </c>
      <c r="N5591" s="49" t="n">
        <v>0</v>
      </c>
      <c r="O5591" s="53" t="n">
        <v>45843.632662037</v>
      </c>
      <c r="P5591" s="53" t="n">
        <v>45949.9190277778</v>
      </c>
      <c r="Q5591" s="53" t="n">
        <v>45843.632662037</v>
      </c>
      <c r="R5591" s="0" t="n">
        <v>0</v>
      </c>
      <c r="S5591" s="51" t="s">
        <v>2401</v>
      </c>
      <c r="T5591" s="51" t="s">
        <v>2401</v>
      </c>
      <c r="U5591" s="0" t="str">
        <f aca="false">"10074865055175"</f>
        <v>10074865055175</v>
      </c>
      <c r="V5591" s="51" t="s">
        <v>2365</v>
      </c>
      <c r="W5591" s="51" t="s">
        <v>9908</v>
      </c>
      <c r="X5591" s="51" t="s">
        <v>2359</v>
      </c>
    </row>
    <row r="5592" customFormat="false" ht="14.25" hidden="true" customHeight="false" outlineLevel="0" collapsed="false">
      <c r="A5592" s="49" t="s">
        <v>2349</v>
      </c>
      <c r="B5592" s="49" t="s">
        <v>2350</v>
      </c>
      <c r="C5592" s="49" t="s">
        <v>9909</v>
      </c>
      <c r="D5592" s="49" t="s">
        <v>2352</v>
      </c>
      <c r="E5592" s="49" t="str">
        <f aca="false">"10074865055175"</f>
        <v>10074865055175</v>
      </c>
      <c r="F5592" s="49" t="s">
        <v>5090</v>
      </c>
      <c r="G5592" s="49" t="n">
        <v>0</v>
      </c>
      <c r="H5592" s="0" t="n">
        <v>0</v>
      </c>
      <c r="M5592" s="51" t="s">
        <v>9890</v>
      </c>
      <c r="N5592" s="49" t="n">
        <v>0</v>
      </c>
      <c r="O5592" s="53" t="n">
        <v>45843.6323263889</v>
      </c>
      <c r="P5592" s="53" t="n">
        <v>45965.3722453704</v>
      </c>
      <c r="Q5592" s="53" t="n">
        <v>45843.6323263889</v>
      </c>
      <c r="R5592" s="0" t="n">
        <v>0</v>
      </c>
      <c r="S5592" s="51" t="s">
        <v>2401</v>
      </c>
      <c r="T5592" s="51" t="s">
        <v>2401</v>
      </c>
      <c r="U5592" s="0" t="str">
        <f aca="false">"10074865055175"</f>
        <v>10074865055175</v>
      </c>
      <c r="V5592" s="51" t="s">
        <v>2365</v>
      </c>
      <c r="W5592" s="51" t="s">
        <v>9910</v>
      </c>
      <c r="X5592" s="51" t="s">
        <v>2359</v>
      </c>
    </row>
    <row r="5593" customFormat="false" ht="14.25" hidden="true" customHeight="false" outlineLevel="0" collapsed="false">
      <c r="A5593" s="49" t="s">
        <v>2349</v>
      </c>
      <c r="B5593" s="49" t="s">
        <v>2350</v>
      </c>
      <c r="C5593" s="49" t="s">
        <v>9909</v>
      </c>
      <c r="D5593" s="49" t="s">
        <v>2352</v>
      </c>
      <c r="E5593" s="49" t="str">
        <f aca="false">"10074865055175"</f>
        <v>10074865055175</v>
      </c>
      <c r="F5593" s="49" t="s">
        <v>5090</v>
      </c>
      <c r="G5593" s="49" t="n">
        <v>0</v>
      </c>
      <c r="H5593" s="0" t="n">
        <v>0</v>
      </c>
      <c r="M5593" s="51" t="s">
        <v>9890</v>
      </c>
      <c r="N5593" s="49" t="n">
        <v>0</v>
      </c>
      <c r="O5593" s="53" t="n">
        <v>45843.6323263889</v>
      </c>
      <c r="P5593" s="53" t="n">
        <v>45965.3722453704</v>
      </c>
      <c r="Q5593" s="53" t="n">
        <v>45843.6323263889</v>
      </c>
      <c r="R5593" s="0" t="n">
        <v>0</v>
      </c>
      <c r="S5593" s="51" t="s">
        <v>2401</v>
      </c>
      <c r="T5593" s="51" t="s">
        <v>2394</v>
      </c>
      <c r="U5593" s="0" t="str">
        <f aca="false">"10074865055175"</f>
        <v>10074865055175</v>
      </c>
      <c r="V5593" s="51" t="s">
        <v>2365</v>
      </c>
      <c r="W5593" s="51" t="s">
        <v>9910</v>
      </c>
      <c r="X5593" s="51" t="s">
        <v>2359</v>
      </c>
    </row>
    <row r="5594" customFormat="false" ht="14.25" hidden="true" customHeight="false" outlineLevel="0" collapsed="false">
      <c r="A5594" s="49" t="s">
        <v>2349</v>
      </c>
      <c r="B5594" s="49" t="s">
        <v>2350</v>
      </c>
      <c r="C5594" s="49" t="s">
        <v>9911</v>
      </c>
      <c r="D5594" s="49" t="s">
        <v>2352</v>
      </c>
      <c r="E5594" s="49" t="str">
        <f aca="false">"10074865055175"</f>
        <v>10074865055175</v>
      </c>
      <c r="F5594" s="49" t="s">
        <v>5090</v>
      </c>
      <c r="G5594" s="49" t="n">
        <v>0</v>
      </c>
      <c r="H5594" s="0" t="n">
        <v>0</v>
      </c>
      <c r="M5594" s="51" t="s">
        <v>9890</v>
      </c>
      <c r="N5594" s="49" t="n">
        <v>0</v>
      </c>
      <c r="O5594" s="53" t="n">
        <v>45843.6314467593</v>
      </c>
      <c r="P5594" s="53" t="n">
        <v>45949.9215277778</v>
      </c>
      <c r="Q5594" s="53" t="n">
        <v>45843.6314467593</v>
      </c>
      <c r="R5594" s="0" t="n">
        <v>0</v>
      </c>
      <c r="S5594" s="51" t="s">
        <v>2401</v>
      </c>
      <c r="T5594" s="51" t="s">
        <v>2401</v>
      </c>
      <c r="U5594" s="0" t="str">
        <f aca="false">"10074865055175"</f>
        <v>10074865055175</v>
      </c>
      <c r="V5594" s="51" t="s">
        <v>2365</v>
      </c>
      <c r="W5594" s="51" t="s">
        <v>9912</v>
      </c>
      <c r="X5594" s="51" t="s">
        <v>2359</v>
      </c>
    </row>
    <row r="5595" customFormat="false" ht="14.25" hidden="true" customHeight="false" outlineLevel="0" collapsed="false">
      <c r="A5595" s="49" t="s">
        <v>2349</v>
      </c>
      <c r="B5595" s="49" t="s">
        <v>2350</v>
      </c>
      <c r="C5595" s="49" t="s">
        <v>9913</v>
      </c>
      <c r="D5595" s="49" t="s">
        <v>2352</v>
      </c>
      <c r="E5595" s="49" t="str">
        <f aca="false">"10074865055175"</f>
        <v>10074865055175</v>
      </c>
      <c r="F5595" s="49" t="s">
        <v>5090</v>
      </c>
      <c r="G5595" s="49" t="n">
        <v>0</v>
      </c>
      <c r="H5595" s="0" t="n">
        <v>0</v>
      </c>
      <c r="M5595" s="51" t="s">
        <v>9890</v>
      </c>
      <c r="N5595" s="49" t="n">
        <v>0</v>
      </c>
      <c r="O5595" s="53" t="n">
        <v>45843.6312037037</v>
      </c>
      <c r="P5595" s="53" t="n">
        <v>45931.804837963</v>
      </c>
      <c r="Q5595" s="53" t="n">
        <v>45843.6312037037</v>
      </c>
      <c r="R5595" s="0" t="n">
        <v>0</v>
      </c>
      <c r="S5595" s="51" t="s">
        <v>2401</v>
      </c>
      <c r="T5595" s="51" t="s">
        <v>2401</v>
      </c>
      <c r="U5595" s="0" t="str">
        <f aca="false">"10074865055175"</f>
        <v>10074865055175</v>
      </c>
      <c r="V5595" s="51" t="s">
        <v>2365</v>
      </c>
      <c r="W5595" s="51" t="s">
        <v>5878</v>
      </c>
      <c r="X5595" s="51" t="s">
        <v>2359</v>
      </c>
    </row>
    <row r="5596" customFormat="false" ht="14.25" hidden="true" customHeight="false" outlineLevel="0" collapsed="false">
      <c r="A5596" s="49" t="s">
        <v>2349</v>
      </c>
      <c r="B5596" s="49" t="s">
        <v>2350</v>
      </c>
      <c r="C5596" s="49" t="s">
        <v>9914</v>
      </c>
      <c r="D5596" s="49" t="s">
        <v>2352</v>
      </c>
      <c r="E5596" s="49" t="str">
        <f aca="false">"10074865055175"</f>
        <v>10074865055175</v>
      </c>
      <c r="F5596" s="49" t="s">
        <v>5090</v>
      </c>
      <c r="G5596" s="49" t="n">
        <v>0</v>
      </c>
      <c r="H5596" s="0" t="n">
        <v>0</v>
      </c>
      <c r="M5596" s="51" t="s">
        <v>9890</v>
      </c>
      <c r="N5596" s="49" t="n">
        <v>0</v>
      </c>
      <c r="O5596" s="53" t="n">
        <v>45843.6310300926</v>
      </c>
      <c r="P5596" s="53" t="n">
        <v>45918.7336689815</v>
      </c>
      <c r="Q5596" s="53" t="n">
        <v>45843.6310300926</v>
      </c>
      <c r="R5596" s="0" t="n">
        <v>0</v>
      </c>
      <c r="S5596" s="51" t="s">
        <v>2401</v>
      </c>
      <c r="T5596" s="51" t="s">
        <v>2401</v>
      </c>
      <c r="U5596" s="0" t="str">
        <f aca="false">"10074865055175"</f>
        <v>10074865055175</v>
      </c>
      <c r="V5596" s="51" t="s">
        <v>2365</v>
      </c>
      <c r="W5596" s="51" t="s">
        <v>4216</v>
      </c>
      <c r="X5596" s="51" t="s">
        <v>2359</v>
      </c>
    </row>
    <row r="5597" customFormat="false" ht="14.25" hidden="true" customHeight="false" outlineLevel="0" collapsed="false">
      <c r="A5597" s="49" t="s">
        <v>2349</v>
      </c>
      <c r="B5597" s="49" t="s">
        <v>2350</v>
      </c>
      <c r="C5597" s="49" t="s">
        <v>9915</v>
      </c>
      <c r="D5597" s="49" t="s">
        <v>2352</v>
      </c>
      <c r="E5597" s="49" t="str">
        <f aca="false">"10074865055175"</f>
        <v>10074865055175</v>
      </c>
      <c r="F5597" s="49" t="s">
        <v>5090</v>
      </c>
      <c r="G5597" s="49" t="n">
        <v>0</v>
      </c>
      <c r="H5597" s="0" t="n">
        <v>0</v>
      </c>
      <c r="M5597" s="51" t="s">
        <v>9890</v>
      </c>
      <c r="N5597" s="49" t="n">
        <v>0</v>
      </c>
      <c r="O5597" s="53" t="n">
        <v>45843.6307523148</v>
      </c>
      <c r="P5597" s="53" t="n">
        <v>45935.9157638889</v>
      </c>
      <c r="Q5597" s="53" t="n">
        <v>45843.6307523148</v>
      </c>
      <c r="R5597" s="0" t="n">
        <v>0</v>
      </c>
      <c r="S5597" s="51" t="s">
        <v>2401</v>
      </c>
      <c r="T5597" s="51" t="s">
        <v>2401</v>
      </c>
      <c r="U5597" s="0" t="str">
        <f aca="false">"10074865055175"</f>
        <v>10074865055175</v>
      </c>
      <c r="V5597" s="51" t="s">
        <v>2365</v>
      </c>
      <c r="W5597" s="51" t="s">
        <v>5810</v>
      </c>
      <c r="X5597" s="51" t="s">
        <v>2359</v>
      </c>
    </row>
    <row r="5598" customFormat="false" ht="14.25" hidden="true" customHeight="false" outlineLevel="0" collapsed="false">
      <c r="A5598" s="49" t="s">
        <v>2349</v>
      </c>
      <c r="B5598" s="49" t="s">
        <v>2350</v>
      </c>
      <c r="C5598" s="49" t="s">
        <v>9916</v>
      </c>
      <c r="D5598" s="49" t="s">
        <v>2352</v>
      </c>
      <c r="E5598" s="49" t="str">
        <f aca="false">"10074865055175"</f>
        <v>10074865055175</v>
      </c>
      <c r="F5598" s="49" t="s">
        <v>5090</v>
      </c>
      <c r="G5598" s="49" t="n">
        <v>0</v>
      </c>
      <c r="H5598" s="0" t="n">
        <v>0</v>
      </c>
      <c r="M5598" s="51" t="s">
        <v>9890</v>
      </c>
      <c r="N5598" s="49" t="n">
        <v>0</v>
      </c>
      <c r="O5598" s="53" t="n">
        <v>45843.6305324074</v>
      </c>
      <c r="P5598" s="53" t="n">
        <v>45939.517025463</v>
      </c>
      <c r="Q5598" s="53" t="n">
        <v>45843.6305324074</v>
      </c>
      <c r="R5598" s="0" t="n">
        <v>0</v>
      </c>
      <c r="S5598" s="51" t="s">
        <v>2401</v>
      </c>
      <c r="T5598" s="51" t="s">
        <v>2401</v>
      </c>
      <c r="U5598" s="0" t="str">
        <f aca="false">"10074865055175"</f>
        <v>10074865055175</v>
      </c>
      <c r="V5598" s="51" t="s">
        <v>2365</v>
      </c>
      <c r="W5598" s="51" t="s">
        <v>5875</v>
      </c>
      <c r="X5598" s="51" t="s">
        <v>2359</v>
      </c>
    </row>
    <row r="5599" customFormat="false" ht="14.25" hidden="true" customHeight="false" outlineLevel="0" collapsed="false">
      <c r="A5599" s="49" t="s">
        <v>2349</v>
      </c>
      <c r="B5599" s="49" t="s">
        <v>2350</v>
      </c>
      <c r="C5599" s="49" t="s">
        <v>9917</v>
      </c>
      <c r="D5599" s="49" t="s">
        <v>2352</v>
      </c>
      <c r="E5599" s="49" t="str">
        <f aca="false">"10074865055175"</f>
        <v>10074865055175</v>
      </c>
      <c r="F5599" s="49" t="s">
        <v>5090</v>
      </c>
      <c r="G5599" s="49" t="n">
        <v>0</v>
      </c>
      <c r="H5599" s="0" t="n">
        <v>0</v>
      </c>
      <c r="M5599" s="51" t="s">
        <v>9890</v>
      </c>
      <c r="N5599" s="49" t="n">
        <v>0</v>
      </c>
      <c r="O5599" s="53" t="n">
        <v>45843.6302777778</v>
      </c>
      <c r="P5599" s="53" t="n">
        <v>45939.5179282407</v>
      </c>
      <c r="Q5599" s="53" t="n">
        <v>45843.6302777778</v>
      </c>
      <c r="R5599" s="0" t="n">
        <v>0</v>
      </c>
      <c r="S5599" s="51" t="s">
        <v>2401</v>
      </c>
      <c r="T5599" s="51" t="s">
        <v>2401</v>
      </c>
      <c r="U5599" s="0" t="str">
        <f aca="false">"10074865055175"</f>
        <v>10074865055175</v>
      </c>
      <c r="V5599" s="51" t="s">
        <v>2365</v>
      </c>
      <c r="W5599" s="51" t="s">
        <v>5873</v>
      </c>
      <c r="X5599" s="51" t="s">
        <v>2359</v>
      </c>
    </row>
    <row r="5600" customFormat="false" ht="14.25" hidden="true" customHeight="false" outlineLevel="0" collapsed="false">
      <c r="A5600" s="49" t="s">
        <v>2349</v>
      </c>
      <c r="B5600" s="49" t="s">
        <v>2350</v>
      </c>
      <c r="C5600" s="49" t="s">
        <v>9918</v>
      </c>
      <c r="D5600" s="49" t="s">
        <v>2352</v>
      </c>
      <c r="E5600" s="49" t="str">
        <f aca="false">"10074865055175"</f>
        <v>10074865055175</v>
      </c>
      <c r="F5600" s="49" t="s">
        <v>5090</v>
      </c>
      <c r="G5600" s="49" t="n">
        <v>0</v>
      </c>
      <c r="H5600" s="0" t="n">
        <v>0</v>
      </c>
      <c r="M5600" s="51" t="s">
        <v>9890</v>
      </c>
      <c r="N5600" s="49" t="n">
        <v>0</v>
      </c>
      <c r="O5600" s="53" t="n">
        <v>45843.6299421296</v>
      </c>
      <c r="P5600" s="53" t="n">
        <v>45939.5201388889</v>
      </c>
      <c r="Q5600" s="53" t="n">
        <v>45843.6299421296</v>
      </c>
      <c r="R5600" s="0" t="n">
        <v>0</v>
      </c>
      <c r="S5600" s="51" t="s">
        <v>2401</v>
      </c>
      <c r="T5600" s="51" t="s">
        <v>2401</v>
      </c>
      <c r="U5600" s="0" t="str">
        <f aca="false">"10074865055175"</f>
        <v>10074865055175</v>
      </c>
      <c r="V5600" s="51" t="s">
        <v>2365</v>
      </c>
      <c r="W5600" s="51" t="s">
        <v>6068</v>
      </c>
      <c r="X5600" s="51" t="s">
        <v>2359</v>
      </c>
    </row>
    <row r="5601" customFormat="false" ht="14.25" hidden="true" customHeight="false" outlineLevel="0" collapsed="false">
      <c r="A5601" s="49" t="s">
        <v>2349</v>
      </c>
      <c r="B5601" s="49" t="s">
        <v>2350</v>
      </c>
      <c r="C5601" s="49" t="s">
        <v>9919</v>
      </c>
      <c r="D5601" s="49" t="s">
        <v>2352</v>
      </c>
      <c r="E5601" s="49" t="str">
        <f aca="false">"10074865055175"</f>
        <v>10074865055175</v>
      </c>
      <c r="F5601" s="49" t="s">
        <v>5090</v>
      </c>
      <c r="G5601" s="49" t="n">
        <v>0</v>
      </c>
      <c r="H5601" s="0" t="n">
        <v>0</v>
      </c>
      <c r="M5601" s="51" t="s">
        <v>9890</v>
      </c>
      <c r="N5601" s="49" t="n">
        <v>0</v>
      </c>
      <c r="O5601" s="53" t="n">
        <v>45843.6297800926</v>
      </c>
      <c r="P5601" s="53" t="n">
        <v>45939.522037037</v>
      </c>
      <c r="Q5601" s="53" t="n">
        <v>45843.6297800926</v>
      </c>
      <c r="R5601" s="0" t="n">
        <v>0</v>
      </c>
      <c r="S5601" s="51" t="s">
        <v>2401</v>
      </c>
      <c r="T5601" s="51" t="s">
        <v>2401</v>
      </c>
      <c r="U5601" s="0" t="str">
        <f aca="false">"10074865055175"</f>
        <v>10074865055175</v>
      </c>
      <c r="V5601" s="51" t="s">
        <v>2365</v>
      </c>
      <c r="W5601" s="51" t="s">
        <v>5869</v>
      </c>
      <c r="X5601" s="51" t="s">
        <v>2359</v>
      </c>
    </row>
    <row r="5602" customFormat="false" ht="14.25" hidden="true" customHeight="false" outlineLevel="0" collapsed="false">
      <c r="A5602" s="49" t="s">
        <v>2349</v>
      </c>
      <c r="B5602" s="49" t="s">
        <v>2350</v>
      </c>
      <c r="C5602" s="49" t="s">
        <v>9920</v>
      </c>
      <c r="D5602" s="49" t="s">
        <v>2352</v>
      </c>
      <c r="E5602" s="49" t="str">
        <f aca="false">"10074865055175"</f>
        <v>10074865055175</v>
      </c>
      <c r="F5602" s="49" t="s">
        <v>5090</v>
      </c>
      <c r="G5602" s="49" t="n">
        <v>0</v>
      </c>
      <c r="H5602" s="0" t="n">
        <v>0</v>
      </c>
      <c r="M5602" s="51" t="s">
        <v>9890</v>
      </c>
      <c r="N5602" s="49" t="n">
        <v>0</v>
      </c>
      <c r="O5602" s="53" t="n">
        <v>45843.6286921296</v>
      </c>
      <c r="P5602" s="53" t="n">
        <v>45931.8106712963</v>
      </c>
      <c r="Q5602" s="53" t="n">
        <v>45843.6286921296</v>
      </c>
      <c r="R5602" s="0" t="n">
        <v>0</v>
      </c>
      <c r="S5602" s="51" t="s">
        <v>2401</v>
      </c>
      <c r="T5602" s="51" t="s">
        <v>2401</v>
      </c>
      <c r="U5602" s="0" t="str">
        <f aca="false">"10074865055175"</f>
        <v>10074865055175</v>
      </c>
      <c r="V5602" s="51" t="s">
        <v>2365</v>
      </c>
      <c r="W5602" s="51" t="s">
        <v>6705</v>
      </c>
      <c r="X5602" s="51" t="s">
        <v>2359</v>
      </c>
    </row>
    <row r="5603" customFormat="false" ht="14.25" hidden="true" customHeight="false" outlineLevel="0" collapsed="false">
      <c r="A5603" s="49" t="s">
        <v>2349</v>
      </c>
      <c r="B5603" s="49" t="s">
        <v>2350</v>
      </c>
      <c r="C5603" s="49" t="s">
        <v>9921</v>
      </c>
      <c r="D5603" s="49" t="s">
        <v>2352</v>
      </c>
      <c r="E5603" s="49" t="str">
        <f aca="false">"10074865055175"</f>
        <v>10074865055175</v>
      </c>
      <c r="F5603" s="49" t="s">
        <v>5090</v>
      </c>
      <c r="G5603" s="49" t="n">
        <v>0</v>
      </c>
      <c r="H5603" s="0" t="n">
        <v>0</v>
      </c>
      <c r="M5603" s="51" t="s">
        <v>9890</v>
      </c>
      <c r="N5603" s="49" t="n">
        <v>0</v>
      </c>
      <c r="O5603" s="53" t="n">
        <v>45962.7890740741</v>
      </c>
      <c r="P5603" s="53" t="n">
        <v>45963.8063888889</v>
      </c>
      <c r="R5603" s="0" t="n">
        <v>0</v>
      </c>
      <c r="T5603" s="51" t="s">
        <v>2394</v>
      </c>
      <c r="U5603" s="0" t="str">
        <f aca="false">"10074865055175"</f>
        <v>10074865055175</v>
      </c>
      <c r="V5603" s="51" t="s">
        <v>2365</v>
      </c>
      <c r="W5603" s="51" t="s">
        <v>9922</v>
      </c>
      <c r="X5603" s="51" t="s">
        <v>2359</v>
      </c>
    </row>
    <row r="5604" customFormat="false" ht="14.25" hidden="true" customHeight="false" outlineLevel="0" collapsed="false">
      <c r="A5604" s="49" t="s">
        <v>2349</v>
      </c>
      <c r="B5604" s="49" t="s">
        <v>2350</v>
      </c>
      <c r="C5604" s="49" t="s">
        <v>9923</v>
      </c>
      <c r="D5604" s="49" t="s">
        <v>2352</v>
      </c>
      <c r="E5604" s="49" t="str">
        <f aca="false">"10074865055175"</f>
        <v>10074865055175</v>
      </c>
      <c r="F5604" s="49" t="s">
        <v>5090</v>
      </c>
      <c r="G5604" s="49" t="n">
        <v>0</v>
      </c>
      <c r="H5604" s="0" t="n">
        <v>0</v>
      </c>
      <c r="M5604" s="51" t="s">
        <v>9890</v>
      </c>
      <c r="N5604" s="49" t="n">
        <v>0</v>
      </c>
      <c r="O5604" s="53" t="n">
        <v>45945.6037847222</v>
      </c>
      <c r="P5604" s="53" t="n">
        <v>45946.4459722222</v>
      </c>
      <c r="R5604" s="0" t="n">
        <v>0</v>
      </c>
      <c r="T5604" s="51" t="s">
        <v>2383</v>
      </c>
      <c r="U5604" s="0" t="str">
        <f aca="false">"10074865055175"</f>
        <v>10074865055175</v>
      </c>
      <c r="V5604" s="51" t="s">
        <v>2365</v>
      </c>
      <c r="W5604" s="51" t="s">
        <v>9924</v>
      </c>
      <c r="X5604" s="51" t="s">
        <v>2359</v>
      </c>
    </row>
    <row r="5605" customFormat="false" ht="14.25" hidden="true" customHeight="false" outlineLevel="0" collapsed="false">
      <c r="A5605" s="49" t="s">
        <v>2349</v>
      </c>
      <c r="B5605" s="49" t="s">
        <v>2350</v>
      </c>
      <c r="C5605" s="49" t="s">
        <v>9925</v>
      </c>
      <c r="D5605" s="49" t="s">
        <v>2352</v>
      </c>
      <c r="E5605" s="49" t="s">
        <v>4115</v>
      </c>
      <c r="F5605" s="49" t="s">
        <v>4116</v>
      </c>
      <c r="G5605" s="49" t="n">
        <v>0</v>
      </c>
      <c r="H5605" s="0" t="n">
        <v>0</v>
      </c>
      <c r="M5605" s="51" t="s">
        <v>9926</v>
      </c>
      <c r="N5605" s="49" t="n">
        <v>0</v>
      </c>
      <c r="O5605" s="53" t="n">
        <v>45852.3839236111</v>
      </c>
      <c r="P5605" s="53" t="n">
        <v>45861.4847800926</v>
      </c>
      <c r="Q5605" s="53" t="n">
        <v>45852.3839236111</v>
      </c>
      <c r="R5605" s="0" t="n">
        <v>0</v>
      </c>
      <c r="S5605" s="51" t="s">
        <v>2356</v>
      </c>
      <c r="T5605" s="51" t="s">
        <v>2356</v>
      </c>
      <c r="U5605" s="51" t="s">
        <v>4115</v>
      </c>
      <c r="V5605" s="51" t="s">
        <v>2365</v>
      </c>
      <c r="W5605" s="51" t="s">
        <v>4361</v>
      </c>
      <c r="X5605" s="51" t="s">
        <v>2359</v>
      </c>
    </row>
    <row r="5606" customFormat="false" ht="14.25" hidden="true" customHeight="false" outlineLevel="0" collapsed="false">
      <c r="A5606" s="49" t="s">
        <v>2349</v>
      </c>
      <c r="B5606" s="49" t="s">
        <v>2350</v>
      </c>
      <c r="C5606" s="49" t="s">
        <v>9927</v>
      </c>
      <c r="D5606" s="49" t="s">
        <v>2352</v>
      </c>
      <c r="E5606" s="49" t="s">
        <v>3960</v>
      </c>
      <c r="F5606" s="49" t="s">
        <v>3961</v>
      </c>
      <c r="G5606" s="49" t="n">
        <v>0</v>
      </c>
      <c r="H5606" s="0" t="n">
        <v>0</v>
      </c>
      <c r="M5606" s="51" t="s">
        <v>9928</v>
      </c>
      <c r="N5606" s="49" t="n">
        <v>0</v>
      </c>
      <c r="O5606" s="53" t="n">
        <v>45851.4177662037</v>
      </c>
      <c r="P5606" s="53" t="n">
        <v>45854.3504282407</v>
      </c>
      <c r="Q5606" s="53" t="n">
        <v>45851.4177662037</v>
      </c>
      <c r="R5606" s="0" t="n">
        <v>0</v>
      </c>
      <c r="S5606" s="51" t="s">
        <v>2356</v>
      </c>
      <c r="T5606" s="51" t="s">
        <v>2356</v>
      </c>
      <c r="U5606" s="51" t="s">
        <v>3960</v>
      </c>
      <c r="V5606" s="51" t="s">
        <v>2365</v>
      </c>
      <c r="W5606" s="51" t="s">
        <v>5147</v>
      </c>
      <c r="X5606" s="51" t="s">
        <v>2359</v>
      </c>
    </row>
    <row r="5607" customFormat="false" ht="14.25" hidden="true" customHeight="false" outlineLevel="0" collapsed="false">
      <c r="A5607" s="49" t="s">
        <v>2349</v>
      </c>
      <c r="B5607" s="49" t="s">
        <v>2350</v>
      </c>
      <c r="C5607" s="49" t="s">
        <v>9929</v>
      </c>
      <c r="D5607" s="49" t="s">
        <v>2352</v>
      </c>
      <c r="E5607" s="49" t="s">
        <v>3960</v>
      </c>
      <c r="F5607" s="49" t="s">
        <v>3961</v>
      </c>
      <c r="G5607" s="49" t="n">
        <v>0</v>
      </c>
      <c r="H5607" s="0" t="n">
        <v>0</v>
      </c>
      <c r="M5607" s="51" t="s">
        <v>9928</v>
      </c>
      <c r="N5607" s="49" t="n">
        <v>0</v>
      </c>
      <c r="O5607" s="53" t="n">
        <v>45851.4175462963</v>
      </c>
      <c r="P5607" s="53" t="n">
        <v>45860.8216550926</v>
      </c>
      <c r="Q5607" s="53" t="n">
        <v>45851.4175462963</v>
      </c>
      <c r="R5607" s="0" t="n">
        <v>0</v>
      </c>
      <c r="S5607" s="51" t="s">
        <v>2356</v>
      </c>
      <c r="T5607" s="51" t="s">
        <v>2356</v>
      </c>
      <c r="U5607" s="51" t="s">
        <v>3960</v>
      </c>
      <c r="V5607" s="51" t="s">
        <v>2365</v>
      </c>
      <c r="W5607" s="51" t="s">
        <v>5917</v>
      </c>
      <c r="X5607" s="51" t="s">
        <v>2359</v>
      </c>
    </row>
    <row r="5608" customFormat="false" ht="14.25" hidden="true" customHeight="false" outlineLevel="0" collapsed="false">
      <c r="A5608" s="49" t="s">
        <v>2349</v>
      </c>
      <c r="B5608" s="49" t="s">
        <v>2350</v>
      </c>
      <c r="C5608" s="49" t="s">
        <v>9930</v>
      </c>
      <c r="D5608" s="49" t="s">
        <v>2352</v>
      </c>
      <c r="E5608" s="49" t="s">
        <v>3960</v>
      </c>
      <c r="F5608" s="49" t="s">
        <v>3961</v>
      </c>
      <c r="G5608" s="49" t="n">
        <v>0</v>
      </c>
      <c r="H5608" s="0" t="n">
        <v>0</v>
      </c>
      <c r="M5608" s="51" t="s">
        <v>9928</v>
      </c>
      <c r="N5608" s="49" t="n">
        <v>0</v>
      </c>
      <c r="O5608" s="53" t="n">
        <v>45851.4174074074</v>
      </c>
      <c r="P5608" s="53" t="n">
        <v>45854.3503240741</v>
      </c>
      <c r="Q5608" s="53" t="n">
        <v>45851.4174074074</v>
      </c>
      <c r="R5608" s="0" t="n">
        <v>0</v>
      </c>
      <c r="S5608" s="51" t="s">
        <v>2356</v>
      </c>
      <c r="T5608" s="51" t="s">
        <v>2356</v>
      </c>
      <c r="U5608" s="51" t="s">
        <v>3960</v>
      </c>
      <c r="V5608" s="51" t="s">
        <v>2365</v>
      </c>
      <c r="W5608" s="51" t="s">
        <v>6860</v>
      </c>
      <c r="X5608" s="51" t="s">
        <v>2359</v>
      </c>
    </row>
    <row r="5609" customFormat="false" ht="14.25" hidden="true" customHeight="false" outlineLevel="0" collapsed="false">
      <c r="A5609" s="49" t="s">
        <v>2349</v>
      </c>
      <c r="B5609" s="49" t="s">
        <v>2350</v>
      </c>
      <c r="C5609" s="49" t="s">
        <v>9931</v>
      </c>
      <c r="D5609" s="49" t="s">
        <v>2352</v>
      </c>
      <c r="E5609" s="49" t="s">
        <v>3960</v>
      </c>
      <c r="F5609" s="49" t="s">
        <v>3961</v>
      </c>
      <c r="G5609" s="49" t="n">
        <v>0</v>
      </c>
      <c r="H5609" s="0" t="n">
        <v>0</v>
      </c>
      <c r="M5609" s="51" t="s">
        <v>9928</v>
      </c>
      <c r="N5609" s="49" t="n">
        <v>0</v>
      </c>
      <c r="O5609" s="53" t="n">
        <v>45851.4171412037</v>
      </c>
      <c r="P5609" s="53" t="n">
        <v>45852.6163773148</v>
      </c>
      <c r="Q5609" s="53" t="n">
        <v>45851.4171412037</v>
      </c>
      <c r="R5609" s="0" t="n">
        <v>0</v>
      </c>
      <c r="S5609" s="51" t="s">
        <v>2356</v>
      </c>
      <c r="T5609" s="51" t="s">
        <v>2356</v>
      </c>
      <c r="U5609" s="51" t="s">
        <v>3960</v>
      </c>
      <c r="V5609" s="51" t="s">
        <v>2365</v>
      </c>
      <c r="W5609" s="51" t="s">
        <v>9680</v>
      </c>
      <c r="X5609" s="51" t="s">
        <v>2359</v>
      </c>
    </row>
    <row r="5610" customFormat="false" ht="14.25" hidden="true" customHeight="false" outlineLevel="0" collapsed="false">
      <c r="A5610" s="49" t="s">
        <v>2349</v>
      </c>
      <c r="B5610" s="49" t="s">
        <v>2350</v>
      </c>
      <c r="C5610" s="49" t="s">
        <v>9932</v>
      </c>
      <c r="D5610" s="49" t="s">
        <v>2352</v>
      </c>
      <c r="E5610" s="49" t="s">
        <v>3960</v>
      </c>
      <c r="F5610" s="49" t="s">
        <v>3961</v>
      </c>
      <c r="G5610" s="49" t="n">
        <v>0</v>
      </c>
      <c r="H5610" s="0" t="n">
        <v>0</v>
      </c>
      <c r="M5610" s="51" t="s">
        <v>9928</v>
      </c>
      <c r="N5610" s="49" t="n">
        <v>0</v>
      </c>
      <c r="O5610" s="53" t="n">
        <v>45851.4170023148</v>
      </c>
      <c r="P5610" s="53" t="n">
        <v>45852.6170023148</v>
      </c>
      <c r="Q5610" s="53" t="n">
        <v>45851.4170023148</v>
      </c>
      <c r="R5610" s="0" t="n">
        <v>0</v>
      </c>
      <c r="S5610" s="51" t="s">
        <v>2356</v>
      </c>
      <c r="T5610" s="51" t="s">
        <v>2356</v>
      </c>
      <c r="U5610" s="51" t="s">
        <v>3960</v>
      </c>
      <c r="V5610" s="51" t="s">
        <v>2365</v>
      </c>
      <c r="W5610" s="51" t="s">
        <v>7688</v>
      </c>
      <c r="X5610" s="51" t="s">
        <v>2359</v>
      </c>
    </row>
    <row r="5611" customFormat="false" ht="14.25" hidden="true" customHeight="false" outlineLevel="0" collapsed="false">
      <c r="A5611" s="49" t="s">
        <v>2349</v>
      </c>
      <c r="B5611" s="49" t="s">
        <v>2350</v>
      </c>
      <c r="C5611" s="49" t="s">
        <v>9933</v>
      </c>
      <c r="D5611" s="49" t="s">
        <v>2352</v>
      </c>
      <c r="E5611" s="49" t="str">
        <f aca="false">"5060175135544"</f>
        <v>5060175135544</v>
      </c>
      <c r="F5611" s="49" t="s">
        <v>3968</v>
      </c>
      <c r="G5611" s="49" t="n">
        <v>0</v>
      </c>
      <c r="H5611" s="0" t="n">
        <v>0</v>
      </c>
      <c r="M5611" s="51" t="s">
        <v>9934</v>
      </c>
      <c r="N5611" s="49" t="n">
        <v>0</v>
      </c>
      <c r="O5611" s="53" t="n">
        <v>45879.6621643519</v>
      </c>
      <c r="P5611" s="53" t="n">
        <v>45922.7123148148</v>
      </c>
      <c r="Q5611" s="53" t="n">
        <v>45879.6621643519</v>
      </c>
      <c r="R5611" s="0" t="n">
        <v>0</v>
      </c>
      <c r="S5611" s="51" t="s">
        <v>2394</v>
      </c>
      <c r="T5611" s="51" t="s">
        <v>2394</v>
      </c>
      <c r="U5611" s="0" t="str">
        <f aca="false">"5060175135544"</f>
        <v>5060175135544</v>
      </c>
      <c r="V5611" s="51" t="s">
        <v>2365</v>
      </c>
      <c r="W5611" s="51" t="s">
        <v>9363</v>
      </c>
      <c r="X5611" s="51" t="s">
        <v>2359</v>
      </c>
    </row>
    <row r="5612" customFormat="false" ht="14.25" hidden="true" customHeight="false" outlineLevel="0" collapsed="false">
      <c r="A5612" s="49" t="s">
        <v>2349</v>
      </c>
      <c r="B5612" s="49" t="s">
        <v>2350</v>
      </c>
      <c r="C5612" s="49" t="s">
        <v>9935</v>
      </c>
      <c r="D5612" s="49" t="s">
        <v>2352</v>
      </c>
      <c r="E5612" s="49" t="s">
        <v>7192</v>
      </c>
      <c r="F5612" s="49" t="s">
        <v>7193</v>
      </c>
      <c r="G5612" s="49" t="n">
        <v>0</v>
      </c>
      <c r="H5612" s="0" t="n">
        <v>0</v>
      </c>
      <c r="M5612" s="51" t="s">
        <v>9936</v>
      </c>
      <c r="N5612" s="49" t="n">
        <v>0</v>
      </c>
      <c r="O5612" s="53" t="n">
        <v>45874.4978240741</v>
      </c>
      <c r="P5612" s="53" t="n">
        <v>45932.3804166667</v>
      </c>
      <c r="Q5612" s="53" t="n">
        <v>45874.4978240741</v>
      </c>
      <c r="R5612" s="0" t="n">
        <v>0</v>
      </c>
      <c r="S5612" s="51" t="s">
        <v>2356</v>
      </c>
      <c r="T5612" s="51" t="s">
        <v>2356</v>
      </c>
      <c r="U5612" s="51" t="s">
        <v>7192</v>
      </c>
      <c r="V5612" s="51" t="s">
        <v>2365</v>
      </c>
      <c r="W5612" s="51" t="s">
        <v>8284</v>
      </c>
      <c r="X5612" s="51" t="s">
        <v>2359</v>
      </c>
    </row>
    <row r="5613" customFormat="false" ht="14.25" hidden="true" customHeight="false" outlineLevel="0" collapsed="false">
      <c r="A5613" s="49" t="s">
        <v>2349</v>
      </c>
      <c r="B5613" s="49" t="s">
        <v>2350</v>
      </c>
      <c r="C5613" s="49" t="s">
        <v>9937</v>
      </c>
      <c r="D5613" s="49" t="s">
        <v>2352</v>
      </c>
      <c r="E5613" s="49" t="s">
        <v>4351</v>
      </c>
      <c r="F5613" s="49" t="s">
        <v>4352</v>
      </c>
      <c r="G5613" s="49" t="n">
        <v>0</v>
      </c>
      <c r="H5613" s="0" t="n">
        <v>0</v>
      </c>
      <c r="M5613" s="51" t="s">
        <v>9938</v>
      </c>
      <c r="N5613" s="49" t="n">
        <v>0</v>
      </c>
      <c r="O5613" s="53" t="n">
        <v>45848.6176388889</v>
      </c>
      <c r="P5613" s="53" t="n">
        <v>45850.5890046296</v>
      </c>
      <c r="Q5613" s="53" t="n">
        <v>45848.6176388889</v>
      </c>
      <c r="R5613" s="0" t="n">
        <v>0</v>
      </c>
      <c r="S5613" s="51" t="s">
        <v>2356</v>
      </c>
      <c r="T5613" s="51" t="s">
        <v>2356</v>
      </c>
      <c r="U5613" s="51" t="s">
        <v>4351</v>
      </c>
      <c r="V5613" s="51" t="s">
        <v>2365</v>
      </c>
      <c r="W5613" s="51" t="s">
        <v>4361</v>
      </c>
      <c r="X5613" s="51" t="s">
        <v>2359</v>
      </c>
    </row>
    <row r="5614" customFormat="false" ht="14.25" hidden="true" customHeight="false" outlineLevel="0" collapsed="false">
      <c r="A5614" s="49" t="s">
        <v>2349</v>
      </c>
      <c r="B5614" s="49" t="s">
        <v>2350</v>
      </c>
      <c r="C5614" s="49" t="s">
        <v>9939</v>
      </c>
      <c r="D5614" s="49" t="s">
        <v>2352</v>
      </c>
      <c r="E5614" s="49" t="str">
        <f aca="false">"5942326400483"</f>
        <v>5942326400483</v>
      </c>
      <c r="F5614" s="49" t="s">
        <v>3651</v>
      </c>
      <c r="G5614" s="49" t="n">
        <v>0</v>
      </c>
      <c r="H5614" s="0" t="n">
        <v>0</v>
      </c>
      <c r="M5614" s="51" t="s">
        <v>9940</v>
      </c>
      <c r="N5614" s="49" t="n">
        <v>0</v>
      </c>
      <c r="O5614" s="53" t="n">
        <v>45876.6133564815</v>
      </c>
      <c r="P5614" s="53" t="n">
        <v>45879.5693402778</v>
      </c>
      <c r="Q5614" s="53" t="n">
        <v>45876.6133564815</v>
      </c>
      <c r="R5614" s="0" t="n">
        <v>0</v>
      </c>
      <c r="S5614" s="51" t="s">
        <v>2401</v>
      </c>
      <c r="T5614" s="51" t="s">
        <v>2401</v>
      </c>
      <c r="U5614" s="0" t="str">
        <f aca="false">"5942326400483"</f>
        <v>5942326400483</v>
      </c>
      <c r="V5614" s="51" t="s">
        <v>2365</v>
      </c>
      <c r="W5614" s="51" t="s">
        <v>9941</v>
      </c>
      <c r="X5614" s="51" t="s">
        <v>2359</v>
      </c>
    </row>
    <row r="5615" customFormat="false" ht="14.25" hidden="true" customHeight="false" outlineLevel="0" collapsed="false">
      <c r="A5615" s="49" t="s">
        <v>2349</v>
      </c>
      <c r="B5615" s="49" t="s">
        <v>2350</v>
      </c>
      <c r="C5615" s="49" t="s">
        <v>9942</v>
      </c>
      <c r="D5615" s="49" t="s">
        <v>2352</v>
      </c>
      <c r="E5615" s="49" t="str">
        <f aca="false">"5942326400483"</f>
        <v>5942326400483</v>
      </c>
      <c r="F5615" s="49" t="s">
        <v>3651</v>
      </c>
      <c r="G5615" s="49" t="n">
        <v>0</v>
      </c>
      <c r="H5615" s="0" t="n">
        <v>0</v>
      </c>
      <c r="M5615" s="51" t="s">
        <v>9940</v>
      </c>
      <c r="N5615" s="49" t="n">
        <v>0</v>
      </c>
      <c r="O5615" s="53" t="n">
        <v>45876.6128819444</v>
      </c>
      <c r="P5615" s="53" t="n">
        <v>45876.6898611111</v>
      </c>
      <c r="Q5615" s="53" t="n">
        <v>45876.6128819444</v>
      </c>
      <c r="R5615" s="0" t="n">
        <v>0</v>
      </c>
      <c r="S5615" s="51" t="s">
        <v>2401</v>
      </c>
      <c r="T5615" s="51" t="s">
        <v>2401</v>
      </c>
      <c r="U5615" s="0" t="str">
        <f aca="false">"5942326400483"</f>
        <v>5942326400483</v>
      </c>
      <c r="V5615" s="51" t="s">
        <v>2365</v>
      </c>
      <c r="W5615" s="51" t="s">
        <v>6033</v>
      </c>
      <c r="X5615" s="51" t="s">
        <v>2359</v>
      </c>
    </row>
    <row r="5616" customFormat="false" ht="14.25" hidden="true" customHeight="false" outlineLevel="0" collapsed="false">
      <c r="A5616" s="49" t="s">
        <v>2349</v>
      </c>
      <c r="B5616" s="49" t="s">
        <v>2350</v>
      </c>
      <c r="C5616" s="49" t="s">
        <v>9943</v>
      </c>
      <c r="D5616" s="49" t="s">
        <v>2352</v>
      </c>
      <c r="E5616" s="49" t="str">
        <f aca="false">"5060175132970"</f>
        <v>5060175132970</v>
      </c>
      <c r="F5616" s="49" t="s">
        <v>3948</v>
      </c>
      <c r="G5616" s="49" t="n">
        <v>0</v>
      </c>
      <c r="H5616" s="0" t="n">
        <v>0</v>
      </c>
      <c r="M5616" s="51" t="s">
        <v>9944</v>
      </c>
      <c r="N5616" s="49" t="n">
        <v>0</v>
      </c>
      <c r="O5616" s="53" t="n">
        <v>45855.4664583333</v>
      </c>
      <c r="P5616" s="53" t="n">
        <v>45881.818275463</v>
      </c>
      <c r="Q5616" s="53" t="n">
        <v>45855.4664583333</v>
      </c>
      <c r="R5616" s="0" t="n">
        <v>0</v>
      </c>
      <c r="S5616" s="51" t="s">
        <v>2416</v>
      </c>
      <c r="T5616" s="51" t="s">
        <v>2416</v>
      </c>
      <c r="U5616" s="0" t="str">
        <f aca="false">"5060175132970"</f>
        <v>5060175132970</v>
      </c>
      <c r="V5616" s="51" t="s">
        <v>2365</v>
      </c>
      <c r="W5616" s="51" t="s">
        <v>5894</v>
      </c>
      <c r="X5616" s="51" t="s">
        <v>2359</v>
      </c>
    </row>
    <row r="5617" customFormat="false" ht="14.25" hidden="true" customHeight="false" outlineLevel="0" collapsed="false">
      <c r="A5617" s="49" t="s">
        <v>2349</v>
      </c>
      <c r="B5617" s="49" t="s">
        <v>2350</v>
      </c>
      <c r="C5617" s="49" t="s">
        <v>9945</v>
      </c>
      <c r="D5617" s="49" t="s">
        <v>2352</v>
      </c>
      <c r="E5617" s="49" t="str">
        <f aca="false">"12464079"</f>
        <v>12464079</v>
      </c>
      <c r="F5617" s="49" t="s">
        <v>4706</v>
      </c>
      <c r="G5617" s="49" t="n">
        <v>0</v>
      </c>
      <c r="H5617" s="0" t="n">
        <v>0</v>
      </c>
      <c r="M5617" s="51" t="s">
        <v>9944</v>
      </c>
      <c r="N5617" s="49" t="n">
        <v>0</v>
      </c>
      <c r="O5617" s="53" t="n">
        <v>45855.4666782407</v>
      </c>
      <c r="P5617" s="53" t="n">
        <v>45858.9133796296</v>
      </c>
      <c r="Q5617" s="53" t="n">
        <v>45855.4666782407</v>
      </c>
      <c r="R5617" s="0" t="n">
        <v>0</v>
      </c>
      <c r="S5617" s="51" t="s">
        <v>2416</v>
      </c>
      <c r="T5617" s="51" t="s">
        <v>2416</v>
      </c>
      <c r="U5617" s="0" t="str">
        <f aca="false">"12464079"</f>
        <v>12464079</v>
      </c>
      <c r="V5617" s="51" t="s">
        <v>2365</v>
      </c>
      <c r="W5617" s="51" t="s">
        <v>4241</v>
      </c>
      <c r="X5617" s="51" t="s">
        <v>2359</v>
      </c>
    </row>
    <row r="5618" customFormat="false" ht="14.25" hidden="true" customHeight="false" outlineLevel="0" collapsed="false">
      <c r="A5618" s="49" t="s">
        <v>2349</v>
      </c>
      <c r="B5618" s="49" t="s">
        <v>2350</v>
      </c>
      <c r="C5618" s="49" t="s">
        <v>9946</v>
      </c>
      <c r="D5618" s="49" t="s">
        <v>2352</v>
      </c>
      <c r="E5618" s="49" t="str">
        <f aca="false">"5060175132970"</f>
        <v>5060175132970</v>
      </c>
      <c r="F5618" s="49" t="s">
        <v>3948</v>
      </c>
      <c r="G5618" s="49" t="n">
        <v>0</v>
      </c>
      <c r="H5618" s="0" t="n">
        <v>0</v>
      </c>
      <c r="M5618" s="51" t="s">
        <v>9944</v>
      </c>
      <c r="N5618" s="49" t="n">
        <v>0</v>
      </c>
      <c r="O5618" s="53" t="n">
        <v>45855.4669212963</v>
      </c>
      <c r="P5618" s="53" t="n">
        <v>45860.7681828704</v>
      </c>
      <c r="Q5618" s="53" t="n">
        <v>45855.4669212963</v>
      </c>
      <c r="R5618" s="0" t="n">
        <v>0</v>
      </c>
      <c r="S5618" s="51" t="s">
        <v>2416</v>
      </c>
      <c r="T5618" s="51" t="s">
        <v>2416</v>
      </c>
      <c r="U5618" s="0" t="str">
        <f aca="false">"5060175132970"</f>
        <v>5060175132970</v>
      </c>
      <c r="V5618" s="51" t="s">
        <v>2365</v>
      </c>
      <c r="W5618" s="51" t="s">
        <v>5632</v>
      </c>
      <c r="X5618" s="51" t="s">
        <v>2359</v>
      </c>
    </row>
    <row r="5619" customFormat="false" ht="14.25" hidden="true" customHeight="false" outlineLevel="0" collapsed="false">
      <c r="A5619" s="49" t="s">
        <v>2349</v>
      </c>
      <c r="B5619" s="49" t="s">
        <v>2350</v>
      </c>
      <c r="C5619" s="49" t="s">
        <v>9947</v>
      </c>
      <c r="D5619" s="49" t="s">
        <v>2352</v>
      </c>
      <c r="E5619" s="49" t="s">
        <v>3633</v>
      </c>
      <c r="F5619" s="49" t="s">
        <v>3634</v>
      </c>
      <c r="G5619" s="49" t="n">
        <v>0</v>
      </c>
      <c r="H5619" s="0" t="n">
        <v>0</v>
      </c>
      <c r="M5619" s="51" t="s">
        <v>3635</v>
      </c>
      <c r="N5619" s="49" t="n">
        <v>0</v>
      </c>
      <c r="O5619" s="53" t="n">
        <v>45854.6207291667</v>
      </c>
      <c r="P5619" s="53" t="n">
        <v>45902.4997453704</v>
      </c>
      <c r="Q5619" s="53" t="n">
        <v>45854.6207291667</v>
      </c>
      <c r="R5619" s="0" t="n">
        <v>0</v>
      </c>
      <c r="S5619" s="51" t="s">
        <v>2356</v>
      </c>
      <c r="T5619" s="51" t="s">
        <v>2356</v>
      </c>
      <c r="U5619" s="51" t="s">
        <v>3633</v>
      </c>
      <c r="V5619" s="51" t="s">
        <v>2357</v>
      </c>
      <c r="W5619" s="51" t="s">
        <v>5494</v>
      </c>
      <c r="X5619" s="51" t="s">
        <v>2359</v>
      </c>
    </row>
    <row r="5620" customFormat="false" ht="14.25" hidden="true" customHeight="false" outlineLevel="0" collapsed="false">
      <c r="A5620" s="49" t="s">
        <v>2349</v>
      </c>
      <c r="B5620" s="49" t="s">
        <v>2350</v>
      </c>
      <c r="C5620" s="49" t="s">
        <v>9948</v>
      </c>
      <c r="D5620" s="49" t="s">
        <v>2352</v>
      </c>
      <c r="E5620" s="49" t="s">
        <v>3633</v>
      </c>
      <c r="F5620" s="49" t="s">
        <v>3634</v>
      </c>
      <c r="G5620" s="49" t="n">
        <v>0</v>
      </c>
      <c r="H5620" s="0" t="n">
        <v>0</v>
      </c>
      <c r="M5620" s="51" t="s">
        <v>3635</v>
      </c>
      <c r="N5620" s="49" t="n">
        <v>0</v>
      </c>
      <c r="O5620" s="53" t="n">
        <v>45854.6191782407</v>
      </c>
      <c r="P5620" s="53" t="n">
        <v>45883.6124074074</v>
      </c>
      <c r="Q5620" s="53" t="n">
        <v>45854.6191782407</v>
      </c>
      <c r="R5620" s="0" t="n">
        <v>0</v>
      </c>
      <c r="S5620" s="51" t="s">
        <v>2356</v>
      </c>
      <c r="T5620" s="51" t="s">
        <v>2356</v>
      </c>
      <c r="U5620" s="51" t="s">
        <v>3633</v>
      </c>
      <c r="V5620" s="51" t="s">
        <v>2357</v>
      </c>
      <c r="W5620" s="51" t="s">
        <v>5487</v>
      </c>
      <c r="X5620" s="51" t="s">
        <v>2359</v>
      </c>
    </row>
    <row r="5621" customFormat="false" ht="14.25" hidden="true" customHeight="false" outlineLevel="0" collapsed="false">
      <c r="A5621" s="49" t="s">
        <v>2349</v>
      </c>
      <c r="B5621" s="49" t="s">
        <v>2350</v>
      </c>
      <c r="C5621" s="49" t="s">
        <v>9949</v>
      </c>
      <c r="D5621" s="49" t="s">
        <v>2352</v>
      </c>
      <c r="E5621" s="49" t="s">
        <v>3633</v>
      </c>
      <c r="F5621" s="49" t="s">
        <v>3634</v>
      </c>
      <c r="G5621" s="49" t="n">
        <v>0</v>
      </c>
      <c r="H5621" s="0" t="n">
        <v>0</v>
      </c>
      <c r="M5621" s="51" t="s">
        <v>3635</v>
      </c>
      <c r="N5621" s="49" t="n">
        <v>0</v>
      </c>
      <c r="O5621" s="53" t="n">
        <v>45854.6179398148</v>
      </c>
      <c r="P5621" s="53" t="n">
        <v>45902.3091087963</v>
      </c>
      <c r="Q5621" s="53" t="n">
        <v>45854.6179398148</v>
      </c>
      <c r="R5621" s="0" t="n">
        <v>0</v>
      </c>
      <c r="S5621" s="51" t="s">
        <v>2356</v>
      </c>
      <c r="T5621" s="51" t="s">
        <v>2356</v>
      </c>
      <c r="U5621" s="51" t="s">
        <v>3633</v>
      </c>
      <c r="V5621" s="51" t="s">
        <v>2357</v>
      </c>
      <c r="W5621" s="51" t="s">
        <v>6860</v>
      </c>
      <c r="X5621" s="51" t="s">
        <v>2359</v>
      </c>
    </row>
    <row r="5622" customFormat="false" ht="14.25" hidden="true" customHeight="false" outlineLevel="0" collapsed="false">
      <c r="A5622" s="49" t="s">
        <v>2349</v>
      </c>
      <c r="B5622" s="49" t="s">
        <v>2350</v>
      </c>
      <c r="C5622" s="49" t="s">
        <v>9950</v>
      </c>
      <c r="D5622" s="49" t="s">
        <v>2352</v>
      </c>
      <c r="E5622" s="49" t="s">
        <v>3633</v>
      </c>
      <c r="F5622" s="49" t="s">
        <v>3634</v>
      </c>
      <c r="G5622" s="49" t="n">
        <v>0</v>
      </c>
      <c r="H5622" s="0" t="n">
        <v>0</v>
      </c>
      <c r="M5622" s="51" t="s">
        <v>3635</v>
      </c>
      <c r="N5622" s="49" t="n">
        <v>0</v>
      </c>
      <c r="O5622" s="53" t="n">
        <v>45854.613125</v>
      </c>
      <c r="P5622" s="53" t="n">
        <v>45867.5911226852</v>
      </c>
      <c r="Q5622" s="53" t="n">
        <v>45854.613125</v>
      </c>
      <c r="R5622" s="0" t="n">
        <v>0</v>
      </c>
      <c r="S5622" s="51" t="s">
        <v>2356</v>
      </c>
      <c r="T5622" s="51" t="s">
        <v>2356</v>
      </c>
      <c r="U5622" s="51" t="s">
        <v>3633</v>
      </c>
      <c r="V5622" s="51" t="s">
        <v>2357</v>
      </c>
      <c r="W5622" s="51" t="s">
        <v>3701</v>
      </c>
      <c r="X5622" s="51" t="s">
        <v>2359</v>
      </c>
    </row>
    <row r="5623" customFormat="false" ht="14.25" hidden="true" customHeight="false" outlineLevel="0" collapsed="false">
      <c r="A5623" s="49" t="s">
        <v>2349</v>
      </c>
      <c r="B5623" s="49" t="s">
        <v>2350</v>
      </c>
      <c r="C5623" s="49" t="s">
        <v>9951</v>
      </c>
      <c r="D5623" s="49" t="s">
        <v>2352</v>
      </c>
      <c r="E5623" s="49" t="s">
        <v>3633</v>
      </c>
      <c r="F5623" s="49" t="s">
        <v>3634</v>
      </c>
      <c r="G5623" s="49" t="n">
        <v>0</v>
      </c>
      <c r="H5623" s="0" t="n">
        <v>0</v>
      </c>
      <c r="M5623" s="51" t="s">
        <v>3635</v>
      </c>
      <c r="N5623" s="49" t="n">
        <v>0</v>
      </c>
      <c r="O5623" s="53" t="n">
        <v>45854.6012037037</v>
      </c>
      <c r="P5623" s="53" t="n">
        <v>45902.4998842593</v>
      </c>
      <c r="Q5623" s="53" t="n">
        <v>45854.6012037037</v>
      </c>
      <c r="R5623" s="0" t="n">
        <v>0</v>
      </c>
      <c r="S5623" s="51" t="s">
        <v>2356</v>
      </c>
      <c r="T5623" s="51" t="s">
        <v>2356</v>
      </c>
      <c r="U5623" s="51" t="s">
        <v>3633</v>
      </c>
      <c r="V5623" s="51" t="s">
        <v>2357</v>
      </c>
      <c r="W5623" s="51" t="s">
        <v>7308</v>
      </c>
      <c r="X5623" s="51" t="s">
        <v>2359</v>
      </c>
    </row>
    <row r="5624" customFormat="false" ht="14.25" hidden="true" customHeight="false" outlineLevel="0" collapsed="false">
      <c r="A5624" s="49" t="s">
        <v>2349</v>
      </c>
      <c r="B5624" s="49" t="s">
        <v>2350</v>
      </c>
      <c r="C5624" s="49" t="s">
        <v>9952</v>
      </c>
      <c r="D5624" s="49" t="s">
        <v>2352</v>
      </c>
      <c r="E5624" s="49" t="s">
        <v>4166</v>
      </c>
      <c r="F5624" s="49" t="s">
        <v>4167</v>
      </c>
      <c r="G5624" s="49" t="n">
        <v>0</v>
      </c>
      <c r="H5624" s="0" t="n">
        <v>0</v>
      </c>
      <c r="M5624" s="51" t="s">
        <v>9953</v>
      </c>
      <c r="N5624" s="49" t="n">
        <v>0</v>
      </c>
      <c r="O5624" s="53" t="n">
        <v>45855.6102083333</v>
      </c>
      <c r="P5624" s="53" t="n">
        <v>45901.6560185185</v>
      </c>
      <c r="Q5624" s="53" t="n">
        <v>45855.6102083333</v>
      </c>
      <c r="R5624" s="0" t="n">
        <v>0</v>
      </c>
      <c r="S5624" s="51" t="s">
        <v>2356</v>
      </c>
      <c r="T5624" s="51" t="s">
        <v>2356</v>
      </c>
      <c r="U5624" s="51" t="s">
        <v>4166</v>
      </c>
      <c r="V5624" s="51" t="s">
        <v>2365</v>
      </c>
      <c r="W5624" s="51" t="s">
        <v>5494</v>
      </c>
      <c r="X5624" s="51" t="s">
        <v>2359</v>
      </c>
    </row>
    <row r="5625" customFormat="false" ht="14.25" hidden="true" customHeight="false" outlineLevel="0" collapsed="false">
      <c r="A5625" s="49" t="s">
        <v>2349</v>
      </c>
      <c r="B5625" s="49" t="s">
        <v>2350</v>
      </c>
      <c r="C5625" s="49" t="s">
        <v>9954</v>
      </c>
      <c r="D5625" s="49" t="s">
        <v>2352</v>
      </c>
      <c r="E5625" s="49" t="s">
        <v>4166</v>
      </c>
      <c r="F5625" s="49" t="s">
        <v>4167</v>
      </c>
      <c r="G5625" s="49" t="n">
        <v>0</v>
      </c>
      <c r="H5625" s="0" t="n">
        <v>0</v>
      </c>
      <c r="M5625" s="51" t="s">
        <v>9953</v>
      </c>
      <c r="N5625" s="49" t="n">
        <v>0</v>
      </c>
      <c r="O5625" s="53" t="n">
        <v>45855.6098611111</v>
      </c>
      <c r="P5625" s="53" t="n">
        <v>45882.3559027778</v>
      </c>
      <c r="Q5625" s="53" t="n">
        <v>45855.6098611111</v>
      </c>
      <c r="R5625" s="0" t="n">
        <v>0</v>
      </c>
      <c r="S5625" s="51" t="s">
        <v>2356</v>
      </c>
      <c r="T5625" s="51" t="s">
        <v>2356</v>
      </c>
      <c r="U5625" s="51" t="s">
        <v>4166</v>
      </c>
      <c r="V5625" s="51" t="s">
        <v>2365</v>
      </c>
      <c r="W5625" s="51" t="s">
        <v>9186</v>
      </c>
      <c r="X5625" s="51" t="s">
        <v>2359</v>
      </c>
    </row>
    <row r="5626" customFormat="false" ht="14.25" hidden="true" customHeight="false" outlineLevel="0" collapsed="false">
      <c r="A5626" s="49" t="s">
        <v>2349</v>
      </c>
      <c r="B5626" s="49" t="s">
        <v>2350</v>
      </c>
      <c r="C5626" s="49" t="s">
        <v>9955</v>
      </c>
      <c r="D5626" s="49" t="s">
        <v>2352</v>
      </c>
      <c r="E5626" s="49" t="s">
        <v>4166</v>
      </c>
      <c r="F5626" s="49" t="s">
        <v>4167</v>
      </c>
      <c r="G5626" s="49" t="n">
        <v>0</v>
      </c>
      <c r="H5626" s="0" t="n">
        <v>0</v>
      </c>
      <c r="M5626" s="51" t="s">
        <v>9953</v>
      </c>
      <c r="N5626" s="49" t="n">
        <v>0</v>
      </c>
      <c r="O5626" s="53" t="n">
        <v>45855.6092476852</v>
      </c>
      <c r="P5626" s="53" t="n">
        <v>45858.6250462963</v>
      </c>
      <c r="Q5626" s="53" t="n">
        <v>45855.6092476852</v>
      </c>
      <c r="R5626" s="0" t="n">
        <v>0</v>
      </c>
      <c r="S5626" s="51" t="s">
        <v>2356</v>
      </c>
      <c r="T5626" s="51" t="s">
        <v>2356</v>
      </c>
      <c r="U5626" s="51" t="s">
        <v>4166</v>
      </c>
      <c r="V5626" s="51" t="s">
        <v>2365</v>
      </c>
      <c r="W5626" s="51" t="s">
        <v>5417</v>
      </c>
      <c r="X5626" s="51" t="s">
        <v>2359</v>
      </c>
    </row>
    <row r="5627" customFormat="false" ht="14.25" hidden="true" customHeight="false" outlineLevel="0" collapsed="false">
      <c r="A5627" s="49" t="s">
        <v>2349</v>
      </c>
      <c r="B5627" s="49" t="s">
        <v>2350</v>
      </c>
      <c r="C5627" s="49" t="s">
        <v>9956</v>
      </c>
      <c r="D5627" s="49" t="s">
        <v>2352</v>
      </c>
      <c r="E5627" s="49" t="s">
        <v>4166</v>
      </c>
      <c r="F5627" s="49" t="s">
        <v>4167</v>
      </c>
      <c r="G5627" s="49" t="n">
        <v>0</v>
      </c>
      <c r="H5627" s="0" t="n">
        <v>0</v>
      </c>
      <c r="M5627" s="51" t="s">
        <v>9953</v>
      </c>
      <c r="N5627" s="49" t="n">
        <v>0</v>
      </c>
      <c r="O5627" s="53" t="n">
        <v>45855.6088310185</v>
      </c>
      <c r="P5627" s="53" t="n">
        <v>45858.6251388889</v>
      </c>
      <c r="Q5627" s="53" t="n">
        <v>45855.6088310185</v>
      </c>
      <c r="R5627" s="0" t="n">
        <v>0</v>
      </c>
      <c r="S5627" s="51" t="s">
        <v>2356</v>
      </c>
      <c r="T5627" s="51" t="s">
        <v>2356</v>
      </c>
      <c r="U5627" s="51" t="s">
        <v>4166</v>
      </c>
      <c r="V5627" s="51" t="s">
        <v>2365</v>
      </c>
      <c r="W5627" s="51" t="s">
        <v>5417</v>
      </c>
      <c r="X5627" s="51" t="s">
        <v>2359</v>
      </c>
    </row>
    <row r="5628" customFormat="false" ht="14.25" hidden="true" customHeight="false" outlineLevel="0" collapsed="false">
      <c r="A5628" s="49" t="s">
        <v>2349</v>
      </c>
      <c r="B5628" s="49" t="s">
        <v>2350</v>
      </c>
      <c r="C5628" s="49" t="s">
        <v>9957</v>
      </c>
      <c r="D5628" s="49" t="s">
        <v>2352</v>
      </c>
      <c r="E5628" s="49" t="s">
        <v>4166</v>
      </c>
      <c r="F5628" s="49" t="s">
        <v>4167</v>
      </c>
      <c r="G5628" s="49" t="n">
        <v>0</v>
      </c>
      <c r="H5628" s="0" t="n">
        <v>0</v>
      </c>
      <c r="M5628" s="51" t="s">
        <v>9953</v>
      </c>
      <c r="N5628" s="49" t="n">
        <v>0</v>
      </c>
      <c r="O5628" s="53" t="n">
        <v>45855.6084722222</v>
      </c>
      <c r="P5628" s="53" t="n">
        <v>45882.3562268519</v>
      </c>
      <c r="Q5628" s="53" t="n">
        <v>45855.6084722222</v>
      </c>
      <c r="R5628" s="0" t="n">
        <v>0</v>
      </c>
      <c r="S5628" s="51" t="s">
        <v>2356</v>
      </c>
      <c r="T5628" s="51" t="s">
        <v>2356</v>
      </c>
      <c r="U5628" s="51" t="s">
        <v>4166</v>
      </c>
      <c r="V5628" s="51" t="s">
        <v>2365</v>
      </c>
      <c r="W5628" s="51" t="s">
        <v>5392</v>
      </c>
      <c r="X5628" s="51" t="s">
        <v>2359</v>
      </c>
    </row>
    <row r="5629" customFormat="false" ht="14.25" hidden="true" customHeight="false" outlineLevel="0" collapsed="false">
      <c r="A5629" s="49" t="s">
        <v>2349</v>
      </c>
      <c r="B5629" s="49" t="s">
        <v>2350</v>
      </c>
      <c r="C5629" s="49" t="s">
        <v>9958</v>
      </c>
      <c r="D5629" s="49" t="s">
        <v>2352</v>
      </c>
      <c r="E5629" s="49" t="s">
        <v>4166</v>
      </c>
      <c r="F5629" s="49" t="s">
        <v>4167</v>
      </c>
      <c r="G5629" s="49" t="n">
        <v>0</v>
      </c>
      <c r="H5629" s="0" t="n">
        <v>0</v>
      </c>
      <c r="M5629" s="51" t="s">
        <v>9953</v>
      </c>
      <c r="N5629" s="49" t="n">
        <v>0</v>
      </c>
      <c r="O5629" s="53" t="n">
        <v>45855.6080671296</v>
      </c>
      <c r="P5629" s="53" t="n">
        <v>45860.9869328704</v>
      </c>
      <c r="Q5629" s="53" t="n">
        <v>45855.6080671296</v>
      </c>
      <c r="R5629" s="0" t="n">
        <v>0</v>
      </c>
      <c r="S5629" s="51" t="s">
        <v>2356</v>
      </c>
      <c r="T5629" s="51" t="s">
        <v>2356</v>
      </c>
      <c r="U5629" s="51" t="s">
        <v>4166</v>
      </c>
      <c r="V5629" s="51" t="s">
        <v>2365</v>
      </c>
      <c r="W5629" s="51" t="s">
        <v>7086</v>
      </c>
      <c r="X5629" s="51" t="s">
        <v>2359</v>
      </c>
    </row>
    <row r="5630" customFormat="false" ht="14.25" hidden="true" customHeight="false" outlineLevel="0" collapsed="false">
      <c r="A5630" s="49" t="s">
        <v>2349</v>
      </c>
      <c r="B5630" s="49" t="s">
        <v>2350</v>
      </c>
      <c r="C5630" s="49" t="s">
        <v>9959</v>
      </c>
      <c r="D5630" s="49" t="s">
        <v>2352</v>
      </c>
      <c r="E5630" s="49" t="s">
        <v>4166</v>
      </c>
      <c r="F5630" s="49" t="s">
        <v>4167</v>
      </c>
      <c r="G5630" s="49" t="n">
        <v>0</v>
      </c>
      <c r="H5630" s="0" t="n">
        <v>0</v>
      </c>
      <c r="M5630" s="51" t="s">
        <v>9953</v>
      </c>
      <c r="N5630" s="49" t="n">
        <v>0</v>
      </c>
      <c r="O5630" s="53" t="n">
        <v>45855.6076851852</v>
      </c>
      <c r="P5630" s="53" t="n">
        <v>45860.9867592593</v>
      </c>
      <c r="Q5630" s="53" t="n">
        <v>45855.6076851852</v>
      </c>
      <c r="R5630" s="0" t="n">
        <v>0</v>
      </c>
      <c r="S5630" s="51" t="s">
        <v>2356</v>
      </c>
      <c r="T5630" s="51" t="s">
        <v>2356</v>
      </c>
      <c r="U5630" s="51" t="s">
        <v>4166</v>
      </c>
      <c r="V5630" s="51" t="s">
        <v>2365</v>
      </c>
      <c r="W5630" s="51" t="s">
        <v>7086</v>
      </c>
      <c r="X5630" s="51" t="s">
        <v>2359</v>
      </c>
    </row>
    <row r="5631" customFormat="false" ht="14.25" hidden="true" customHeight="false" outlineLevel="0" collapsed="false">
      <c r="A5631" s="49" t="s">
        <v>2349</v>
      </c>
      <c r="B5631" s="49" t="s">
        <v>2350</v>
      </c>
      <c r="C5631" s="49" t="s">
        <v>9960</v>
      </c>
      <c r="D5631" s="49" t="s">
        <v>2352</v>
      </c>
      <c r="E5631" s="49" t="s">
        <v>4166</v>
      </c>
      <c r="F5631" s="49" t="s">
        <v>4167</v>
      </c>
      <c r="G5631" s="49" t="n">
        <v>0</v>
      </c>
      <c r="H5631" s="0" t="n">
        <v>0</v>
      </c>
      <c r="M5631" s="51" t="s">
        <v>9953</v>
      </c>
      <c r="N5631" s="49" t="n">
        <v>0</v>
      </c>
      <c r="O5631" s="53" t="n">
        <v>45855.6073611111</v>
      </c>
      <c r="P5631" s="53" t="n">
        <v>45860.9865393519</v>
      </c>
      <c r="Q5631" s="53" t="n">
        <v>45855.6073611111</v>
      </c>
      <c r="R5631" s="0" t="n">
        <v>0</v>
      </c>
      <c r="S5631" s="51" t="s">
        <v>2356</v>
      </c>
      <c r="T5631" s="51" t="s">
        <v>2356</v>
      </c>
      <c r="U5631" s="51" t="s">
        <v>4166</v>
      </c>
      <c r="V5631" s="51" t="s">
        <v>2365</v>
      </c>
      <c r="W5631" s="51" t="s">
        <v>6616</v>
      </c>
      <c r="X5631" s="51" t="s">
        <v>2359</v>
      </c>
    </row>
    <row r="5632" customFormat="false" ht="14.25" hidden="true" customHeight="false" outlineLevel="0" collapsed="false">
      <c r="A5632" s="49" t="s">
        <v>2349</v>
      </c>
      <c r="B5632" s="49" t="s">
        <v>2350</v>
      </c>
      <c r="C5632" s="49" t="s">
        <v>9961</v>
      </c>
      <c r="D5632" s="49" t="s">
        <v>2352</v>
      </c>
      <c r="E5632" s="49" t="s">
        <v>4166</v>
      </c>
      <c r="F5632" s="49" t="s">
        <v>4167</v>
      </c>
      <c r="G5632" s="49" t="n">
        <v>0</v>
      </c>
      <c r="H5632" s="0" t="n">
        <v>0</v>
      </c>
      <c r="M5632" s="51" t="s">
        <v>9953</v>
      </c>
      <c r="N5632" s="49" t="n">
        <v>0</v>
      </c>
      <c r="O5632" s="53" t="n">
        <v>45855.6068865741</v>
      </c>
      <c r="P5632" s="53" t="n">
        <v>45858.6252430556</v>
      </c>
      <c r="Q5632" s="53" t="n">
        <v>45855.6068865741</v>
      </c>
      <c r="R5632" s="0" t="n">
        <v>0</v>
      </c>
      <c r="S5632" s="51" t="s">
        <v>2356</v>
      </c>
      <c r="T5632" s="51" t="s">
        <v>2356</v>
      </c>
      <c r="U5632" s="51" t="s">
        <v>4166</v>
      </c>
      <c r="V5632" s="51" t="s">
        <v>2365</v>
      </c>
      <c r="W5632" s="51" t="s">
        <v>6618</v>
      </c>
      <c r="X5632" s="51" t="s">
        <v>2359</v>
      </c>
    </row>
    <row r="5633" customFormat="false" ht="14.25" hidden="true" customHeight="false" outlineLevel="0" collapsed="false">
      <c r="A5633" s="49" t="s">
        <v>2349</v>
      </c>
      <c r="B5633" s="49" t="s">
        <v>2350</v>
      </c>
      <c r="C5633" s="49" t="s">
        <v>9962</v>
      </c>
      <c r="D5633" s="49" t="s">
        <v>2352</v>
      </c>
      <c r="E5633" s="49" t="s">
        <v>4166</v>
      </c>
      <c r="F5633" s="49" t="s">
        <v>4167</v>
      </c>
      <c r="G5633" s="49" t="n">
        <v>0</v>
      </c>
      <c r="H5633" s="0" t="n">
        <v>0</v>
      </c>
      <c r="M5633" s="51" t="s">
        <v>9953</v>
      </c>
      <c r="N5633" s="49" t="n">
        <v>0</v>
      </c>
      <c r="O5633" s="53" t="n">
        <v>45855.6062152778</v>
      </c>
      <c r="P5633" s="53" t="n">
        <v>45860.9863773148</v>
      </c>
      <c r="Q5633" s="53" t="n">
        <v>45855.6062152778</v>
      </c>
      <c r="R5633" s="0" t="n">
        <v>0</v>
      </c>
      <c r="S5633" s="51" t="s">
        <v>2356</v>
      </c>
      <c r="T5633" s="51" t="s">
        <v>2356</v>
      </c>
      <c r="U5633" s="51" t="s">
        <v>4166</v>
      </c>
      <c r="V5633" s="51" t="s">
        <v>2365</v>
      </c>
      <c r="W5633" s="51" t="s">
        <v>6618</v>
      </c>
      <c r="X5633" s="51" t="s">
        <v>2359</v>
      </c>
    </row>
    <row r="5634" customFormat="false" ht="14.25" hidden="true" customHeight="false" outlineLevel="0" collapsed="false">
      <c r="A5634" s="49" t="s">
        <v>2349</v>
      </c>
      <c r="B5634" s="49" t="s">
        <v>2350</v>
      </c>
      <c r="C5634" s="49" t="s">
        <v>9963</v>
      </c>
      <c r="D5634" s="49" t="s">
        <v>2352</v>
      </c>
      <c r="E5634" s="49" t="s">
        <v>4166</v>
      </c>
      <c r="F5634" s="49" t="s">
        <v>4167</v>
      </c>
      <c r="G5634" s="49" t="n">
        <v>0</v>
      </c>
      <c r="H5634" s="0" t="n">
        <v>0</v>
      </c>
      <c r="M5634" s="51" t="s">
        <v>9953</v>
      </c>
      <c r="N5634" s="49" t="n">
        <v>0</v>
      </c>
      <c r="O5634" s="53" t="n">
        <v>45855.604849537</v>
      </c>
      <c r="P5634" s="53" t="n">
        <v>45882.3558333333</v>
      </c>
      <c r="Q5634" s="53" t="n">
        <v>45855.604849537</v>
      </c>
      <c r="R5634" s="0" t="n">
        <v>0</v>
      </c>
      <c r="S5634" s="51" t="s">
        <v>2356</v>
      </c>
      <c r="T5634" s="51" t="s">
        <v>2356</v>
      </c>
      <c r="U5634" s="51" t="s">
        <v>4166</v>
      </c>
      <c r="V5634" s="51" t="s">
        <v>2365</v>
      </c>
      <c r="W5634" s="51" t="s">
        <v>8229</v>
      </c>
      <c r="X5634" s="51" t="s">
        <v>2359</v>
      </c>
    </row>
    <row r="5635" customFormat="false" ht="14.25" hidden="true" customHeight="false" outlineLevel="0" collapsed="false">
      <c r="A5635" s="49" t="s">
        <v>2349</v>
      </c>
      <c r="B5635" s="49" t="s">
        <v>2350</v>
      </c>
      <c r="C5635" s="49" t="s">
        <v>9964</v>
      </c>
      <c r="D5635" s="49" t="s">
        <v>2352</v>
      </c>
      <c r="E5635" s="49" t="s">
        <v>4166</v>
      </c>
      <c r="F5635" s="49" t="s">
        <v>4167</v>
      </c>
      <c r="G5635" s="49" t="n">
        <v>0</v>
      </c>
      <c r="H5635" s="0" t="n">
        <v>0</v>
      </c>
      <c r="M5635" s="51" t="s">
        <v>9953</v>
      </c>
      <c r="N5635" s="49" t="n">
        <v>0</v>
      </c>
      <c r="O5635" s="53" t="n">
        <v>45855.6042476852</v>
      </c>
      <c r="P5635" s="53" t="n">
        <v>45882.3565393519</v>
      </c>
      <c r="Q5635" s="53" t="n">
        <v>45855.6042476852</v>
      </c>
      <c r="R5635" s="0" t="n">
        <v>0</v>
      </c>
      <c r="S5635" s="51" t="s">
        <v>2356</v>
      </c>
      <c r="T5635" s="51" t="s">
        <v>2356</v>
      </c>
      <c r="U5635" s="51" t="s">
        <v>4166</v>
      </c>
      <c r="V5635" s="51" t="s">
        <v>2365</v>
      </c>
      <c r="W5635" s="51" t="s">
        <v>9965</v>
      </c>
      <c r="X5635" s="51" t="s">
        <v>2359</v>
      </c>
    </row>
    <row r="5636" customFormat="false" ht="14.25" hidden="true" customHeight="false" outlineLevel="0" collapsed="false">
      <c r="A5636" s="49" t="s">
        <v>2349</v>
      </c>
      <c r="B5636" s="49" t="s">
        <v>2350</v>
      </c>
      <c r="C5636" s="49" t="s">
        <v>9966</v>
      </c>
      <c r="D5636" s="49" t="s">
        <v>2352</v>
      </c>
      <c r="E5636" s="49" t="s">
        <v>4166</v>
      </c>
      <c r="F5636" s="49" t="s">
        <v>4167</v>
      </c>
      <c r="G5636" s="49" t="n">
        <v>0</v>
      </c>
      <c r="H5636" s="0" t="n">
        <v>0</v>
      </c>
      <c r="M5636" s="51" t="s">
        <v>9953</v>
      </c>
      <c r="N5636" s="49" t="n">
        <v>0</v>
      </c>
      <c r="O5636" s="53" t="n">
        <v>45855.6038888889</v>
      </c>
      <c r="P5636" s="53" t="n">
        <v>45860.989849537</v>
      </c>
      <c r="Q5636" s="53" t="n">
        <v>45855.6038888889</v>
      </c>
      <c r="R5636" s="0" t="n">
        <v>0</v>
      </c>
      <c r="S5636" s="51" t="s">
        <v>2356</v>
      </c>
      <c r="T5636" s="51" t="s">
        <v>2356</v>
      </c>
      <c r="U5636" s="51" t="s">
        <v>4166</v>
      </c>
      <c r="V5636" s="51" t="s">
        <v>2365</v>
      </c>
      <c r="W5636" s="51" t="s">
        <v>9965</v>
      </c>
      <c r="X5636" s="51" t="s">
        <v>2359</v>
      </c>
    </row>
    <row r="5637" customFormat="false" ht="14.25" hidden="true" customHeight="false" outlineLevel="0" collapsed="false">
      <c r="A5637" s="49" t="s">
        <v>2349</v>
      </c>
      <c r="B5637" s="49" t="s">
        <v>2350</v>
      </c>
      <c r="C5637" s="49" t="s">
        <v>9967</v>
      </c>
      <c r="D5637" s="49" t="s">
        <v>2352</v>
      </c>
      <c r="E5637" s="49" t="s">
        <v>4166</v>
      </c>
      <c r="F5637" s="49" t="s">
        <v>4167</v>
      </c>
      <c r="G5637" s="49" t="n">
        <v>0</v>
      </c>
      <c r="H5637" s="0" t="n">
        <v>0</v>
      </c>
      <c r="M5637" s="51" t="s">
        <v>9953</v>
      </c>
      <c r="N5637" s="49" t="n">
        <v>0</v>
      </c>
      <c r="O5637" s="53" t="n">
        <v>45855.6035763889</v>
      </c>
      <c r="P5637" s="53" t="n">
        <v>45860.9896875</v>
      </c>
      <c r="Q5637" s="53" t="n">
        <v>45855.6035763889</v>
      </c>
      <c r="R5637" s="0" t="n">
        <v>0</v>
      </c>
      <c r="S5637" s="51" t="s">
        <v>2356</v>
      </c>
      <c r="T5637" s="51" t="s">
        <v>2356</v>
      </c>
      <c r="U5637" s="51" t="s">
        <v>4166</v>
      </c>
      <c r="V5637" s="51" t="s">
        <v>2365</v>
      </c>
      <c r="W5637" s="51" t="s">
        <v>9968</v>
      </c>
      <c r="X5637" s="51" t="s">
        <v>2359</v>
      </c>
    </row>
    <row r="5638" customFormat="false" ht="14.25" hidden="true" customHeight="false" outlineLevel="0" collapsed="false">
      <c r="A5638" s="49" t="s">
        <v>2349</v>
      </c>
      <c r="B5638" s="49" t="s">
        <v>2350</v>
      </c>
      <c r="C5638" s="49" t="s">
        <v>9969</v>
      </c>
      <c r="D5638" s="49" t="s">
        <v>2352</v>
      </c>
      <c r="E5638" s="49" t="s">
        <v>4166</v>
      </c>
      <c r="F5638" s="49" t="s">
        <v>4167</v>
      </c>
      <c r="G5638" s="49" t="n">
        <v>0</v>
      </c>
      <c r="H5638" s="0" t="n">
        <v>0</v>
      </c>
      <c r="M5638" s="51" t="s">
        <v>9953</v>
      </c>
      <c r="N5638" s="49" t="n">
        <v>0</v>
      </c>
      <c r="O5638" s="53" t="n">
        <v>45855.6031712963</v>
      </c>
      <c r="P5638" s="53" t="n">
        <v>45860.989525463</v>
      </c>
      <c r="Q5638" s="53" t="n">
        <v>45855.6031712963</v>
      </c>
      <c r="R5638" s="0" t="n">
        <v>0</v>
      </c>
      <c r="S5638" s="51" t="s">
        <v>2356</v>
      </c>
      <c r="T5638" s="51" t="s">
        <v>2356</v>
      </c>
      <c r="U5638" s="51" t="s">
        <v>4166</v>
      </c>
      <c r="V5638" s="51" t="s">
        <v>2365</v>
      </c>
      <c r="W5638" s="51" t="s">
        <v>9970</v>
      </c>
      <c r="X5638" s="51" t="s">
        <v>2359</v>
      </c>
    </row>
    <row r="5639" customFormat="false" ht="14.25" hidden="true" customHeight="false" outlineLevel="0" collapsed="false">
      <c r="A5639" s="49" t="s">
        <v>2349</v>
      </c>
      <c r="B5639" s="49" t="s">
        <v>2350</v>
      </c>
      <c r="C5639" s="49" t="s">
        <v>9971</v>
      </c>
      <c r="D5639" s="49" t="s">
        <v>2352</v>
      </c>
      <c r="E5639" s="49" t="s">
        <v>4166</v>
      </c>
      <c r="F5639" s="49" t="s">
        <v>4167</v>
      </c>
      <c r="G5639" s="49" t="n">
        <v>0</v>
      </c>
      <c r="H5639" s="0" t="n">
        <v>0</v>
      </c>
      <c r="M5639" s="51" t="s">
        <v>9953</v>
      </c>
      <c r="N5639" s="49" t="n">
        <v>0</v>
      </c>
      <c r="O5639" s="53" t="n">
        <v>45855.6027662037</v>
      </c>
      <c r="P5639" s="53" t="n">
        <v>45860.989375</v>
      </c>
      <c r="Q5639" s="53" t="n">
        <v>45855.6027662037</v>
      </c>
      <c r="R5639" s="0" t="n">
        <v>0</v>
      </c>
      <c r="S5639" s="51" t="s">
        <v>2356</v>
      </c>
      <c r="T5639" s="51" t="s">
        <v>2356</v>
      </c>
      <c r="U5639" s="51" t="s">
        <v>4166</v>
      </c>
      <c r="V5639" s="51" t="s">
        <v>2365</v>
      </c>
      <c r="W5639" s="51" t="s">
        <v>9970</v>
      </c>
      <c r="X5639" s="51" t="s">
        <v>2359</v>
      </c>
    </row>
    <row r="5640" customFormat="false" ht="14.25" hidden="true" customHeight="false" outlineLevel="0" collapsed="false">
      <c r="A5640" s="49" t="s">
        <v>2349</v>
      </c>
      <c r="B5640" s="49" t="s">
        <v>2350</v>
      </c>
      <c r="C5640" s="49" t="s">
        <v>9972</v>
      </c>
      <c r="D5640" s="49" t="s">
        <v>2352</v>
      </c>
      <c r="E5640" s="49" t="s">
        <v>4166</v>
      </c>
      <c r="F5640" s="49" t="s">
        <v>4167</v>
      </c>
      <c r="G5640" s="49" t="n">
        <v>0</v>
      </c>
      <c r="H5640" s="0" t="n">
        <v>0</v>
      </c>
      <c r="M5640" s="51" t="s">
        <v>9953</v>
      </c>
      <c r="N5640" s="49" t="n">
        <v>0</v>
      </c>
      <c r="O5640" s="53" t="n">
        <v>45855.6023958333</v>
      </c>
      <c r="P5640" s="53" t="n">
        <v>45860.9892361111</v>
      </c>
      <c r="Q5640" s="53" t="n">
        <v>45855.6023958333</v>
      </c>
      <c r="R5640" s="0" t="n">
        <v>0</v>
      </c>
      <c r="S5640" s="51" t="s">
        <v>2356</v>
      </c>
      <c r="T5640" s="51" t="s">
        <v>2356</v>
      </c>
      <c r="U5640" s="51" t="s">
        <v>4166</v>
      </c>
      <c r="V5640" s="51" t="s">
        <v>2365</v>
      </c>
      <c r="W5640" s="51" t="s">
        <v>9973</v>
      </c>
      <c r="X5640" s="51" t="s">
        <v>2359</v>
      </c>
    </row>
    <row r="5641" customFormat="false" ht="14.25" hidden="true" customHeight="false" outlineLevel="0" collapsed="false">
      <c r="A5641" s="49" t="s">
        <v>2349</v>
      </c>
      <c r="B5641" s="49" t="s">
        <v>2350</v>
      </c>
      <c r="C5641" s="49" t="s">
        <v>9974</v>
      </c>
      <c r="D5641" s="49" t="s">
        <v>2352</v>
      </c>
      <c r="E5641" s="49" t="s">
        <v>4166</v>
      </c>
      <c r="F5641" s="49" t="s">
        <v>4167</v>
      </c>
      <c r="G5641" s="49" t="n">
        <v>0</v>
      </c>
      <c r="H5641" s="0" t="n">
        <v>0</v>
      </c>
      <c r="M5641" s="51" t="s">
        <v>9953</v>
      </c>
      <c r="N5641" s="49" t="n">
        <v>0</v>
      </c>
      <c r="O5641" s="53" t="n">
        <v>45855.6019675926</v>
      </c>
      <c r="P5641" s="53" t="n">
        <v>45860.9885648148</v>
      </c>
      <c r="Q5641" s="53" t="n">
        <v>45855.6019675926</v>
      </c>
      <c r="R5641" s="0" t="n">
        <v>0</v>
      </c>
      <c r="S5641" s="51" t="s">
        <v>2356</v>
      </c>
      <c r="T5641" s="51" t="s">
        <v>2356</v>
      </c>
      <c r="U5641" s="51" t="s">
        <v>4166</v>
      </c>
      <c r="V5641" s="51" t="s">
        <v>2365</v>
      </c>
      <c r="W5641" s="51" t="s">
        <v>6371</v>
      </c>
      <c r="X5641" s="51" t="s">
        <v>2359</v>
      </c>
    </row>
    <row r="5642" customFormat="false" ht="14.25" hidden="true" customHeight="false" outlineLevel="0" collapsed="false">
      <c r="A5642" s="49" t="s">
        <v>2349</v>
      </c>
      <c r="B5642" s="49" t="s">
        <v>2350</v>
      </c>
      <c r="C5642" s="49" t="s">
        <v>9975</v>
      </c>
      <c r="D5642" s="49" t="s">
        <v>2352</v>
      </c>
      <c r="E5642" s="49" t="s">
        <v>4166</v>
      </c>
      <c r="F5642" s="49" t="s">
        <v>4167</v>
      </c>
      <c r="G5642" s="49" t="n">
        <v>0</v>
      </c>
      <c r="H5642" s="0" t="n">
        <v>0</v>
      </c>
      <c r="M5642" s="51" t="s">
        <v>9953</v>
      </c>
      <c r="N5642" s="49" t="n">
        <v>0</v>
      </c>
      <c r="O5642" s="53" t="n">
        <v>45855.6015162037</v>
      </c>
      <c r="P5642" s="53" t="n">
        <v>45860.9884143519</v>
      </c>
      <c r="Q5642" s="53" t="n">
        <v>45855.6015162037</v>
      </c>
      <c r="R5642" s="0" t="n">
        <v>0</v>
      </c>
      <c r="S5642" s="51" t="s">
        <v>2356</v>
      </c>
      <c r="T5642" s="51" t="s">
        <v>2356</v>
      </c>
      <c r="U5642" s="51" t="s">
        <v>4166</v>
      </c>
      <c r="V5642" s="51" t="s">
        <v>2365</v>
      </c>
      <c r="W5642" s="51" t="s">
        <v>6371</v>
      </c>
      <c r="X5642" s="51" t="s">
        <v>2359</v>
      </c>
    </row>
    <row r="5643" customFormat="false" ht="14.25" hidden="true" customHeight="false" outlineLevel="0" collapsed="false">
      <c r="A5643" s="49" t="s">
        <v>2349</v>
      </c>
      <c r="B5643" s="49" t="s">
        <v>2350</v>
      </c>
      <c r="C5643" s="49" t="s">
        <v>9976</v>
      </c>
      <c r="D5643" s="49" t="s">
        <v>2352</v>
      </c>
      <c r="E5643" s="49" t="s">
        <v>4166</v>
      </c>
      <c r="F5643" s="49" t="s">
        <v>4167</v>
      </c>
      <c r="G5643" s="49" t="n">
        <v>0</v>
      </c>
      <c r="H5643" s="0" t="n">
        <v>0</v>
      </c>
      <c r="M5643" s="51" t="s">
        <v>9953</v>
      </c>
      <c r="N5643" s="49" t="n">
        <v>0</v>
      </c>
      <c r="O5643" s="53" t="n">
        <v>45855.6011342593</v>
      </c>
      <c r="P5643" s="53" t="n">
        <v>45860.9882407407</v>
      </c>
      <c r="Q5643" s="53" t="n">
        <v>45855.6011342593</v>
      </c>
      <c r="R5643" s="0" t="n">
        <v>0</v>
      </c>
      <c r="S5643" s="51" t="s">
        <v>2356</v>
      </c>
      <c r="T5643" s="51" t="s">
        <v>2356</v>
      </c>
      <c r="U5643" s="51" t="s">
        <v>4166</v>
      </c>
      <c r="V5643" s="51" t="s">
        <v>2365</v>
      </c>
      <c r="W5643" s="51" t="s">
        <v>9977</v>
      </c>
      <c r="X5643" s="51" t="s">
        <v>2359</v>
      </c>
    </row>
    <row r="5644" customFormat="false" ht="14.25" hidden="true" customHeight="false" outlineLevel="0" collapsed="false">
      <c r="A5644" s="49" t="s">
        <v>2349</v>
      </c>
      <c r="B5644" s="49" t="s">
        <v>2350</v>
      </c>
      <c r="C5644" s="49" t="s">
        <v>9978</v>
      </c>
      <c r="D5644" s="49" t="s">
        <v>2352</v>
      </c>
      <c r="E5644" s="49" t="s">
        <v>4166</v>
      </c>
      <c r="F5644" s="49" t="s">
        <v>4167</v>
      </c>
      <c r="G5644" s="49" t="n">
        <v>0</v>
      </c>
      <c r="H5644" s="0" t="n">
        <v>0</v>
      </c>
      <c r="M5644" s="51" t="s">
        <v>9953</v>
      </c>
      <c r="N5644" s="49" t="n">
        <v>0</v>
      </c>
      <c r="O5644" s="53" t="n">
        <v>45855.6007407407</v>
      </c>
      <c r="P5644" s="53" t="n">
        <v>45860.9878935185</v>
      </c>
      <c r="Q5644" s="53" t="n">
        <v>45855.6007407407</v>
      </c>
      <c r="R5644" s="0" t="n">
        <v>0</v>
      </c>
      <c r="S5644" s="51" t="s">
        <v>2356</v>
      </c>
      <c r="T5644" s="51" t="s">
        <v>2356</v>
      </c>
      <c r="U5644" s="51" t="s">
        <v>4166</v>
      </c>
      <c r="V5644" s="51" t="s">
        <v>2365</v>
      </c>
      <c r="W5644" s="51" t="s">
        <v>6621</v>
      </c>
      <c r="X5644" s="51" t="s">
        <v>2359</v>
      </c>
    </row>
    <row r="5645" customFormat="false" ht="14.25" hidden="true" customHeight="false" outlineLevel="0" collapsed="false">
      <c r="A5645" s="49" t="s">
        <v>2349</v>
      </c>
      <c r="B5645" s="49" t="s">
        <v>2350</v>
      </c>
      <c r="C5645" s="49" t="s">
        <v>9979</v>
      </c>
      <c r="D5645" s="49" t="s">
        <v>2352</v>
      </c>
      <c r="E5645" s="49" t="s">
        <v>4124</v>
      </c>
      <c r="F5645" s="49" t="s">
        <v>4125</v>
      </c>
      <c r="G5645" s="49" t="n">
        <v>0</v>
      </c>
      <c r="H5645" s="0" t="n">
        <v>0</v>
      </c>
      <c r="M5645" s="51" t="s">
        <v>9980</v>
      </c>
      <c r="N5645" s="49" t="n">
        <v>0</v>
      </c>
      <c r="O5645" s="53" t="n">
        <v>45879.6133217593</v>
      </c>
      <c r="P5645" s="53" t="n">
        <v>45894.608912037</v>
      </c>
      <c r="Q5645" s="53" t="n">
        <v>45879.6133217593</v>
      </c>
      <c r="R5645" s="0" t="n">
        <v>0</v>
      </c>
      <c r="S5645" s="51" t="s">
        <v>2356</v>
      </c>
      <c r="T5645" s="51" t="s">
        <v>2356</v>
      </c>
      <c r="U5645" s="51" t="s">
        <v>4124</v>
      </c>
      <c r="V5645" s="51" t="s">
        <v>2365</v>
      </c>
      <c r="W5645" s="51" t="s">
        <v>3694</v>
      </c>
      <c r="X5645" s="51" t="s">
        <v>2359</v>
      </c>
    </row>
    <row r="5646" customFormat="false" ht="14.25" hidden="true" customHeight="false" outlineLevel="0" collapsed="false">
      <c r="A5646" s="49" t="s">
        <v>2349</v>
      </c>
      <c r="B5646" s="49" t="s">
        <v>2350</v>
      </c>
      <c r="C5646" s="49" t="s">
        <v>9981</v>
      </c>
      <c r="D5646" s="49" t="s">
        <v>2352</v>
      </c>
      <c r="E5646" s="49" t="s">
        <v>4124</v>
      </c>
      <c r="F5646" s="49" t="s">
        <v>4125</v>
      </c>
      <c r="G5646" s="49" t="n">
        <v>0</v>
      </c>
      <c r="H5646" s="0" t="n">
        <v>0</v>
      </c>
      <c r="M5646" s="51" t="s">
        <v>9980</v>
      </c>
      <c r="N5646" s="49" t="n">
        <v>0</v>
      </c>
      <c r="O5646" s="53" t="n">
        <v>45879.613900463</v>
      </c>
      <c r="P5646" s="53" t="n">
        <v>45911.3027546296</v>
      </c>
      <c r="Q5646" s="53" t="n">
        <v>45879.613900463</v>
      </c>
      <c r="R5646" s="0" t="n">
        <v>0</v>
      </c>
      <c r="S5646" s="51" t="s">
        <v>2356</v>
      </c>
      <c r="T5646" s="51" t="s">
        <v>2356</v>
      </c>
      <c r="U5646" s="51" t="s">
        <v>4124</v>
      </c>
      <c r="V5646" s="51" t="s">
        <v>2365</v>
      </c>
      <c r="W5646" s="51" t="s">
        <v>7265</v>
      </c>
      <c r="X5646" s="51" t="s">
        <v>2359</v>
      </c>
    </row>
    <row r="5647" customFormat="false" ht="14.25" hidden="true" customHeight="false" outlineLevel="0" collapsed="false">
      <c r="A5647" s="49" t="s">
        <v>2349</v>
      </c>
      <c r="B5647" s="49" t="s">
        <v>2350</v>
      </c>
      <c r="C5647" s="49" t="s">
        <v>9982</v>
      </c>
      <c r="D5647" s="49" t="s">
        <v>2352</v>
      </c>
      <c r="E5647" s="49" t="s">
        <v>4115</v>
      </c>
      <c r="F5647" s="49" t="s">
        <v>4116</v>
      </c>
      <c r="G5647" s="49" t="n">
        <v>0</v>
      </c>
      <c r="H5647" s="0" t="n">
        <v>0</v>
      </c>
      <c r="M5647" s="51" t="s">
        <v>9980</v>
      </c>
      <c r="N5647" s="49" t="n">
        <v>0</v>
      </c>
      <c r="O5647" s="53" t="n">
        <v>45879.6169560185</v>
      </c>
      <c r="P5647" s="53" t="n">
        <v>45894.6093171296</v>
      </c>
      <c r="Q5647" s="53" t="n">
        <v>45879.6169560185</v>
      </c>
      <c r="R5647" s="0" t="n">
        <v>0</v>
      </c>
      <c r="S5647" s="51" t="s">
        <v>2356</v>
      </c>
      <c r="T5647" s="51" t="s">
        <v>2356</v>
      </c>
      <c r="U5647" s="51" t="s">
        <v>4115</v>
      </c>
      <c r="V5647" s="51" t="s">
        <v>2365</v>
      </c>
      <c r="W5647" s="51" t="s">
        <v>5405</v>
      </c>
      <c r="X5647" s="51" t="s">
        <v>2359</v>
      </c>
    </row>
    <row r="5648" customFormat="false" ht="14.25" hidden="true" customHeight="false" outlineLevel="0" collapsed="false">
      <c r="A5648" s="49" t="s">
        <v>2349</v>
      </c>
      <c r="B5648" s="49" t="s">
        <v>2350</v>
      </c>
      <c r="C5648" s="49" t="s">
        <v>9983</v>
      </c>
      <c r="D5648" s="49" t="s">
        <v>2352</v>
      </c>
      <c r="E5648" s="49" t="s">
        <v>4115</v>
      </c>
      <c r="F5648" s="49" t="s">
        <v>4116</v>
      </c>
      <c r="G5648" s="49" t="n">
        <v>0</v>
      </c>
      <c r="H5648" s="0" t="n">
        <v>0</v>
      </c>
      <c r="M5648" s="51" t="s">
        <v>9980</v>
      </c>
      <c r="N5648" s="49" t="n">
        <v>0</v>
      </c>
      <c r="O5648" s="53" t="n">
        <v>45879.6167013889</v>
      </c>
      <c r="P5648" s="53" t="n">
        <v>45885.7330439815</v>
      </c>
      <c r="Q5648" s="53" t="n">
        <v>45879.6167013889</v>
      </c>
      <c r="R5648" s="0" t="n">
        <v>0</v>
      </c>
      <c r="S5648" s="51" t="s">
        <v>2356</v>
      </c>
      <c r="T5648" s="51" t="s">
        <v>2356</v>
      </c>
      <c r="U5648" s="51" t="s">
        <v>4115</v>
      </c>
      <c r="V5648" s="51" t="s">
        <v>2365</v>
      </c>
      <c r="W5648" s="51" t="s">
        <v>6881</v>
      </c>
      <c r="X5648" s="51" t="s">
        <v>2359</v>
      </c>
    </row>
    <row r="5649" customFormat="false" ht="14.25" hidden="true" customHeight="false" outlineLevel="0" collapsed="false">
      <c r="A5649" s="49" t="s">
        <v>2349</v>
      </c>
      <c r="B5649" s="49" t="s">
        <v>2350</v>
      </c>
      <c r="C5649" s="49" t="s">
        <v>9984</v>
      </c>
      <c r="D5649" s="49" t="s">
        <v>2352</v>
      </c>
      <c r="E5649" s="49" t="s">
        <v>4115</v>
      </c>
      <c r="F5649" s="49" t="s">
        <v>4116</v>
      </c>
      <c r="G5649" s="49" t="n">
        <v>0</v>
      </c>
      <c r="H5649" s="0" t="n">
        <v>0</v>
      </c>
      <c r="M5649" s="51" t="s">
        <v>9980</v>
      </c>
      <c r="N5649" s="49" t="n">
        <v>0</v>
      </c>
      <c r="O5649" s="53" t="n">
        <v>45879.6164351852</v>
      </c>
      <c r="P5649" s="53" t="n">
        <v>45899.5692476852</v>
      </c>
      <c r="Q5649" s="53" t="n">
        <v>45879.6164351852</v>
      </c>
      <c r="R5649" s="0" t="n">
        <v>0</v>
      </c>
      <c r="S5649" s="51" t="s">
        <v>2356</v>
      </c>
      <c r="T5649" s="51" t="s">
        <v>2356</v>
      </c>
      <c r="U5649" s="51" t="s">
        <v>4115</v>
      </c>
      <c r="V5649" s="51" t="s">
        <v>2365</v>
      </c>
      <c r="W5649" s="51" t="s">
        <v>9184</v>
      </c>
      <c r="X5649" s="51" t="s">
        <v>2359</v>
      </c>
    </row>
    <row r="5650" customFormat="false" ht="14.25" hidden="true" customHeight="false" outlineLevel="0" collapsed="false">
      <c r="A5650" s="49" t="s">
        <v>2349</v>
      </c>
      <c r="B5650" s="49" t="s">
        <v>2350</v>
      </c>
      <c r="C5650" s="49" t="s">
        <v>9985</v>
      </c>
      <c r="D5650" s="49" t="s">
        <v>2352</v>
      </c>
      <c r="E5650" s="49" t="s">
        <v>4148</v>
      </c>
      <c r="F5650" s="49" t="s">
        <v>4149</v>
      </c>
      <c r="G5650" s="49" t="n">
        <v>0</v>
      </c>
      <c r="H5650" s="0" t="n">
        <v>0</v>
      </c>
      <c r="M5650" s="51" t="s">
        <v>9980</v>
      </c>
      <c r="N5650" s="49" t="n">
        <v>0</v>
      </c>
      <c r="O5650" s="53" t="n">
        <v>45879.6154166667</v>
      </c>
      <c r="P5650" s="53" t="n">
        <v>45885.73375</v>
      </c>
      <c r="Q5650" s="53" t="n">
        <v>45879.6154166667</v>
      </c>
      <c r="R5650" s="0" t="n">
        <v>0</v>
      </c>
      <c r="S5650" s="51" t="s">
        <v>2356</v>
      </c>
      <c r="T5650" s="51" t="s">
        <v>2356</v>
      </c>
      <c r="U5650" s="51" t="s">
        <v>4148</v>
      </c>
      <c r="V5650" s="51" t="s">
        <v>2365</v>
      </c>
      <c r="W5650" s="51" t="s">
        <v>4010</v>
      </c>
      <c r="X5650" s="51" t="s">
        <v>2359</v>
      </c>
    </row>
    <row r="5651" customFormat="false" ht="14.25" hidden="true" customHeight="false" outlineLevel="0" collapsed="false">
      <c r="A5651" s="49" t="s">
        <v>2349</v>
      </c>
      <c r="B5651" s="49" t="s">
        <v>2350</v>
      </c>
      <c r="C5651" s="49" t="s">
        <v>9986</v>
      </c>
      <c r="D5651" s="49" t="s">
        <v>2352</v>
      </c>
      <c r="E5651" s="49" t="s">
        <v>4148</v>
      </c>
      <c r="F5651" s="49" t="s">
        <v>4149</v>
      </c>
      <c r="G5651" s="49" t="n">
        <v>0</v>
      </c>
      <c r="H5651" s="0" t="n">
        <v>0</v>
      </c>
      <c r="M5651" s="51" t="s">
        <v>9980</v>
      </c>
      <c r="N5651" s="49" t="n">
        <v>0</v>
      </c>
      <c r="O5651" s="53" t="n">
        <v>45879.6149768519</v>
      </c>
      <c r="P5651" s="53" t="n">
        <v>45885.732962963</v>
      </c>
      <c r="Q5651" s="53" t="n">
        <v>45879.6149768519</v>
      </c>
      <c r="R5651" s="0" t="n">
        <v>0</v>
      </c>
      <c r="S5651" s="51" t="s">
        <v>2356</v>
      </c>
      <c r="T5651" s="51" t="s">
        <v>2356</v>
      </c>
      <c r="U5651" s="51" t="s">
        <v>4148</v>
      </c>
      <c r="V5651" s="51" t="s">
        <v>2365</v>
      </c>
      <c r="W5651" s="51" t="s">
        <v>9510</v>
      </c>
      <c r="X5651" s="51" t="s">
        <v>2359</v>
      </c>
    </row>
    <row r="5652" customFormat="false" ht="14.25" hidden="true" customHeight="false" outlineLevel="0" collapsed="false">
      <c r="A5652" s="49" t="s">
        <v>2349</v>
      </c>
      <c r="B5652" s="49" t="s">
        <v>2350</v>
      </c>
      <c r="C5652" s="49" t="s">
        <v>9987</v>
      </c>
      <c r="D5652" s="49" t="s">
        <v>2352</v>
      </c>
      <c r="E5652" s="49" t="str">
        <f aca="false">"12464079"</f>
        <v>12464079</v>
      </c>
      <c r="F5652" s="49" t="s">
        <v>4706</v>
      </c>
      <c r="G5652" s="49" t="n">
        <v>0</v>
      </c>
      <c r="H5652" s="0" t="n">
        <v>0</v>
      </c>
      <c r="M5652" s="51" t="s">
        <v>9988</v>
      </c>
      <c r="N5652" s="49" t="n">
        <v>0</v>
      </c>
      <c r="O5652" s="53" t="n">
        <v>45851.4213194444</v>
      </c>
      <c r="P5652" s="53" t="n">
        <v>45852.7954398148</v>
      </c>
      <c r="Q5652" s="53" t="n">
        <v>45851.4213194444</v>
      </c>
      <c r="R5652" s="0" t="n">
        <v>0</v>
      </c>
      <c r="S5652" s="51" t="s">
        <v>2401</v>
      </c>
      <c r="T5652" s="51" t="s">
        <v>2401</v>
      </c>
      <c r="U5652" s="0" t="str">
        <f aca="false">"12464079"</f>
        <v>12464079</v>
      </c>
      <c r="V5652" s="51" t="s">
        <v>2365</v>
      </c>
      <c r="W5652" s="51" t="s">
        <v>7520</v>
      </c>
      <c r="X5652" s="51" t="s">
        <v>2359</v>
      </c>
    </row>
    <row r="5653" customFormat="false" ht="14.25" hidden="true" customHeight="false" outlineLevel="0" collapsed="false">
      <c r="A5653" s="49" t="s">
        <v>2349</v>
      </c>
      <c r="B5653" s="49" t="s">
        <v>2350</v>
      </c>
      <c r="C5653" s="49" t="s">
        <v>9989</v>
      </c>
      <c r="D5653" s="49" t="s">
        <v>2352</v>
      </c>
      <c r="E5653" s="49" t="str">
        <f aca="false">"12464079"</f>
        <v>12464079</v>
      </c>
      <c r="F5653" s="49" t="s">
        <v>4706</v>
      </c>
      <c r="G5653" s="49" t="n">
        <v>0</v>
      </c>
      <c r="H5653" s="0" t="n">
        <v>0</v>
      </c>
      <c r="M5653" s="51" t="s">
        <v>9988</v>
      </c>
      <c r="N5653" s="49" t="n">
        <v>0</v>
      </c>
      <c r="O5653" s="53" t="n">
        <v>45851.4205787037</v>
      </c>
      <c r="P5653" s="53" t="n">
        <v>45854.7507523148</v>
      </c>
      <c r="Q5653" s="53" t="n">
        <v>45851.4205787037</v>
      </c>
      <c r="R5653" s="0" t="n">
        <v>0</v>
      </c>
      <c r="S5653" s="51" t="s">
        <v>2401</v>
      </c>
      <c r="T5653" s="51" t="s">
        <v>2401</v>
      </c>
      <c r="U5653" s="0" t="str">
        <f aca="false">"12464079"</f>
        <v>12464079</v>
      </c>
      <c r="V5653" s="51" t="s">
        <v>2365</v>
      </c>
      <c r="W5653" s="51" t="s">
        <v>4074</v>
      </c>
      <c r="X5653" s="51" t="s">
        <v>2359</v>
      </c>
    </row>
    <row r="5654" customFormat="false" ht="14.25" hidden="true" customHeight="false" outlineLevel="0" collapsed="false">
      <c r="A5654" s="49" t="s">
        <v>2349</v>
      </c>
      <c r="B5654" s="49" t="s">
        <v>2350</v>
      </c>
      <c r="C5654" s="49" t="s">
        <v>9990</v>
      </c>
      <c r="D5654" s="49" t="s">
        <v>2352</v>
      </c>
      <c r="E5654" s="49" t="str">
        <f aca="false">"12464079"</f>
        <v>12464079</v>
      </c>
      <c r="F5654" s="49" t="s">
        <v>4706</v>
      </c>
      <c r="G5654" s="49" t="n">
        <v>0</v>
      </c>
      <c r="H5654" s="0" t="n">
        <v>0</v>
      </c>
      <c r="M5654" s="51" t="s">
        <v>9988</v>
      </c>
      <c r="N5654" s="49" t="n">
        <v>0</v>
      </c>
      <c r="O5654" s="53" t="n">
        <v>45851.4216782407</v>
      </c>
      <c r="P5654" s="53" t="n">
        <v>45852.8271296296</v>
      </c>
      <c r="Q5654" s="53" t="n">
        <v>45851.4216782407</v>
      </c>
      <c r="R5654" s="0" t="n">
        <v>0</v>
      </c>
      <c r="S5654" s="51" t="s">
        <v>2401</v>
      </c>
      <c r="T5654" s="51" t="s">
        <v>2401</v>
      </c>
      <c r="U5654" s="0" t="str">
        <f aca="false">"12464079"</f>
        <v>12464079</v>
      </c>
      <c r="V5654" s="51" t="s">
        <v>2365</v>
      </c>
      <c r="W5654" s="51" t="s">
        <v>4241</v>
      </c>
      <c r="X5654" s="51" t="s">
        <v>2359</v>
      </c>
    </row>
    <row r="5655" customFormat="false" ht="14.25" hidden="true" customHeight="false" outlineLevel="0" collapsed="false">
      <c r="A5655" s="49" t="s">
        <v>2349</v>
      </c>
      <c r="B5655" s="49" t="s">
        <v>2350</v>
      </c>
      <c r="C5655" s="49" t="s">
        <v>9991</v>
      </c>
      <c r="D5655" s="49" t="s">
        <v>2352</v>
      </c>
      <c r="E5655" s="49" t="str">
        <f aca="false">"12464079"</f>
        <v>12464079</v>
      </c>
      <c r="F5655" s="49" t="s">
        <v>4706</v>
      </c>
      <c r="G5655" s="49" t="n">
        <v>0</v>
      </c>
      <c r="H5655" s="0" t="n">
        <v>0</v>
      </c>
      <c r="M5655" s="51" t="s">
        <v>9988</v>
      </c>
      <c r="N5655" s="49" t="n">
        <v>0</v>
      </c>
      <c r="O5655" s="53" t="n">
        <v>45851.4218518519</v>
      </c>
      <c r="P5655" s="53" t="n">
        <v>45852.8027430556</v>
      </c>
      <c r="Q5655" s="53" t="n">
        <v>45851.4218518519</v>
      </c>
      <c r="R5655" s="0" t="n">
        <v>0</v>
      </c>
      <c r="S5655" s="51" t="s">
        <v>2401</v>
      </c>
      <c r="T5655" s="51" t="s">
        <v>2401</v>
      </c>
      <c r="U5655" s="0" t="str">
        <f aca="false">"12464079"</f>
        <v>12464079</v>
      </c>
      <c r="V5655" s="51" t="s">
        <v>2365</v>
      </c>
      <c r="W5655" s="51" t="s">
        <v>4290</v>
      </c>
      <c r="X5655" s="51" t="s">
        <v>2359</v>
      </c>
    </row>
    <row r="5656" customFormat="false" ht="14.25" hidden="true" customHeight="false" outlineLevel="0" collapsed="false">
      <c r="A5656" s="49" t="s">
        <v>2349</v>
      </c>
      <c r="B5656" s="49" t="s">
        <v>2350</v>
      </c>
      <c r="C5656" s="49" t="s">
        <v>9992</v>
      </c>
      <c r="D5656" s="49" t="s">
        <v>2352</v>
      </c>
      <c r="E5656" s="49" t="str">
        <f aca="false">"12464079"</f>
        <v>12464079</v>
      </c>
      <c r="F5656" s="49" t="s">
        <v>4706</v>
      </c>
      <c r="G5656" s="49" t="n">
        <v>0</v>
      </c>
      <c r="H5656" s="0" t="n">
        <v>0</v>
      </c>
      <c r="M5656" s="51" t="s">
        <v>9988</v>
      </c>
      <c r="N5656" s="49" t="n">
        <v>0</v>
      </c>
      <c r="O5656" s="53" t="n">
        <v>45851.4220833333</v>
      </c>
      <c r="P5656" s="53" t="n">
        <v>45852.797962963</v>
      </c>
      <c r="Q5656" s="53" t="n">
        <v>45851.4220833333</v>
      </c>
      <c r="R5656" s="0" t="n">
        <v>0</v>
      </c>
      <c r="S5656" s="51" t="s">
        <v>2401</v>
      </c>
      <c r="T5656" s="51" t="s">
        <v>2401</v>
      </c>
      <c r="U5656" s="0" t="str">
        <f aca="false">"12464079"</f>
        <v>12464079</v>
      </c>
      <c r="V5656" s="51" t="s">
        <v>2365</v>
      </c>
      <c r="W5656" s="51" t="s">
        <v>4282</v>
      </c>
      <c r="X5656" s="51" t="s">
        <v>2359</v>
      </c>
    </row>
    <row r="5657" customFormat="false" ht="14.25" hidden="true" customHeight="false" outlineLevel="0" collapsed="false">
      <c r="A5657" s="49" t="s">
        <v>2349</v>
      </c>
      <c r="B5657" s="49" t="s">
        <v>2350</v>
      </c>
      <c r="C5657" s="49" t="s">
        <v>9993</v>
      </c>
      <c r="D5657" s="49" t="s">
        <v>2352</v>
      </c>
      <c r="E5657" s="49" t="str">
        <f aca="false">"12464079"</f>
        <v>12464079</v>
      </c>
      <c r="F5657" s="49" t="s">
        <v>4706</v>
      </c>
      <c r="G5657" s="49" t="n">
        <v>0</v>
      </c>
      <c r="H5657" s="0" t="n">
        <v>0</v>
      </c>
      <c r="M5657" s="51" t="s">
        <v>9988</v>
      </c>
      <c r="N5657" s="49" t="n">
        <v>0</v>
      </c>
      <c r="O5657" s="53" t="n">
        <v>45851.4258680556</v>
      </c>
      <c r="P5657" s="53" t="n">
        <v>45852.8112615741</v>
      </c>
      <c r="Q5657" s="53" t="n">
        <v>45851.4258680556</v>
      </c>
      <c r="R5657" s="0" t="n">
        <v>0</v>
      </c>
      <c r="S5657" s="51" t="s">
        <v>2401</v>
      </c>
      <c r="T5657" s="51" t="s">
        <v>2401</v>
      </c>
      <c r="U5657" s="0" t="str">
        <f aca="false">"12464079"</f>
        <v>12464079</v>
      </c>
      <c r="V5657" s="51" t="s">
        <v>2365</v>
      </c>
      <c r="W5657" s="51" t="s">
        <v>7326</v>
      </c>
      <c r="X5657" s="51" t="s">
        <v>2359</v>
      </c>
    </row>
    <row r="5658" customFormat="false" ht="14.25" hidden="true" customHeight="false" outlineLevel="0" collapsed="false">
      <c r="A5658" s="49" t="s">
        <v>2349</v>
      </c>
      <c r="B5658" s="49" t="s">
        <v>2350</v>
      </c>
      <c r="C5658" s="49" t="s">
        <v>9994</v>
      </c>
      <c r="D5658" s="49" t="s">
        <v>2352</v>
      </c>
      <c r="E5658" s="49" t="str">
        <f aca="false">"12464079"</f>
        <v>12464079</v>
      </c>
      <c r="F5658" s="49" t="s">
        <v>4706</v>
      </c>
      <c r="G5658" s="49" t="n">
        <v>0</v>
      </c>
      <c r="H5658" s="0" t="n">
        <v>0</v>
      </c>
      <c r="M5658" s="51" t="s">
        <v>9988</v>
      </c>
      <c r="N5658" s="49" t="n">
        <v>0</v>
      </c>
      <c r="O5658" s="53" t="n">
        <v>45851.4224189815</v>
      </c>
      <c r="P5658" s="53" t="n">
        <v>45852.5591782407</v>
      </c>
      <c r="Q5658" s="53" t="n">
        <v>45851.4224189815</v>
      </c>
      <c r="R5658" s="0" t="n">
        <v>0</v>
      </c>
      <c r="S5658" s="51" t="s">
        <v>2401</v>
      </c>
      <c r="T5658" s="51" t="s">
        <v>2401</v>
      </c>
      <c r="U5658" s="0" t="str">
        <f aca="false">"12464079"</f>
        <v>12464079</v>
      </c>
      <c r="V5658" s="51" t="s">
        <v>2365</v>
      </c>
      <c r="W5658" s="51" t="s">
        <v>4539</v>
      </c>
      <c r="X5658" s="51" t="s">
        <v>2359</v>
      </c>
    </row>
    <row r="5659" customFormat="false" ht="14.25" hidden="true" customHeight="false" outlineLevel="0" collapsed="false">
      <c r="A5659" s="49" t="s">
        <v>2349</v>
      </c>
      <c r="B5659" s="49" t="s">
        <v>2350</v>
      </c>
      <c r="C5659" s="49" t="s">
        <v>9995</v>
      </c>
      <c r="D5659" s="49" t="s">
        <v>2352</v>
      </c>
      <c r="E5659" s="49" t="str">
        <f aca="false">"5060175132963"</f>
        <v>5060175132963</v>
      </c>
      <c r="F5659" s="49" t="s">
        <v>6052</v>
      </c>
      <c r="G5659" s="49" t="n">
        <v>0</v>
      </c>
      <c r="H5659" s="0" t="n">
        <v>0</v>
      </c>
      <c r="M5659" s="51" t="s">
        <v>9996</v>
      </c>
      <c r="N5659" s="49" t="n">
        <v>0</v>
      </c>
      <c r="O5659" s="53" t="n">
        <v>45879.6618287037</v>
      </c>
      <c r="P5659" s="53" t="n">
        <v>45900.8009490741</v>
      </c>
      <c r="Q5659" s="53" t="n">
        <v>45879.6618287037</v>
      </c>
      <c r="R5659" s="0" t="n">
        <v>0</v>
      </c>
      <c r="S5659" s="51" t="s">
        <v>2394</v>
      </c>
      <c r="T5659" s="51" t="s">
        <v>2394</v>
      </c>
      <c r="U5659" s="0" t="str">
        <f aca="false">"5060175132963"</f>
        <v>5060175132963</v>
      </c>
      <c r="V5659" s="51" t="s">
        <v>2365</v>
      </c>
      <c r="W5659" s="51" t="s">
        <v>6552</v>
      </c>
      <c r="X5659" s="51" t="s">
        <v>2359</v>
      </c>
    </row>
    <row r="5660" customFormat="false" ht="14.25" hidden="true" customHeight="false" outlineLevel="0" collapsed="false">
      <c r="A5660" s="49" t="s">
        <v>2349</v>
      </c>
      <c r="B5660" s="49" t="s">
        <v>2350</v>
      </c>
      <c r="C5660" s="49" t="s">
        <v>9997</v>
      </c>
      <c r="D5660" s="49" t="s">
        <v>2352</v>
      </c>
      <c r="E5660" s="49" t="str">
        <f aca="false">"5060458890191"</f>
        <v>5060458890191</v>
      </c>
      <c r="F5660" s="49" t="s">
        <v>3656</v>
      </c>
      <c r="G5660" s="49" t="n">
        <v>0</v>
      </c>
      <c r="H5660" s="0" t="n">
        <v>0</v>
      </c>
      <c r="M5660" s="51" t="s">
        <v>9998</v>
      </c>
      <c r="N5660" s="49" t="n">
        <v>0</v>
      </c>
      <c r="O5660" s="53" t="n">
        <v>45843.6340972222</v>
      </c>
      <c r="P5660" s="53" t="n">
        <v>45864.4125810185</v>
      </c>
      <c r="Q5660" s="53" t="n">
        <v>45843.6340972222</v>
      </c>
      <c r="R5660" s="0" t="n">
        <v>0</v>
      </c>
      <c r="S5660" s="51" t="s">
        <v>2398</v>
      </c>
      <c r="T5660" s="51" t="s">
        <v>2398</v>
      </c>
      <c r="U5660" s="0" t="str">
        <f aca="false">"5060458890191"</f>
        <v>5060458890191</v>
      </c>
      <c r="V5660" s="51" t="s">
        <v>2142</v>
      </c>
      <c r="W5660" s="51" t="s">
        <v>5287</v>
      </c>
      <c r="X5660" s="51" t="s">
        <v>2359</v>
      </c>
    </row>
    <row r="5661" customFormat="false" ht="14.25" hidden="true" customHeight="false" outlineLevel="0" collapsed="false">
      <c r="A5661" s="49" t="s">
        <v>2349</v>
      </c>
      <c r="B5661" s="49" t="s">
        <v>2350</v>
      </c>
      <c r="C5661" s="49" t="s">
        <v>9999</v>
      </c>
      <c r="D5661" s="49" t="s">
        <v>2352</v>
      </c>
      <c r="E5661" s="49" t="str">
        <f aca="false">"5060458890191"</f>
        <v>5060458890191</v>
      </c>
      <c r="F5661" s="49" t="s">
        <v>3656</v>
      </c>
      <c r="G5661" s="49" t="n">
        <v>0</v>
      </c>
      <c r="H5661" s="0" t="n">
        <v>0</v>
      </c>
      <c r="M5661" s="51" t="s">
        <v>9998</v>
      </c>
      <c r="N5661" s="49" t="n">
        <v>0</v>
      </c>
      <c r="O5661" s="53" t="n">
        <v>45843.6339930556</v>
      </c>
      <c r="P5661" s="53" t="n">
        <v>45864.4134490741</v>
      </c>
      <c r="Q5661" s="53" t="n">
        <v>45843.6339930556</v>
      </c>
      <c r="R5661" s="0" t="n">
        <v>0</v>
      </c>
      <c r="S5661" s="51" t="s">
        <v>2398</v>
      </c>
      <c r="T5661" s="51" t="s">
        <v>2398</v>
      </c>
      <c r="U5661" s="0" t="str">
        <f aca="false">"5060458890191"</f>
        <v>5060458890191</v>
      </c>
      <c r="V5661" s="51" t="s">
        <v>2142</v>
      </c>
      <c r="W5661" s="51" t="s">
        <v>5293</v>
      </c>
      <c r="X5661" s="51" t="s">
        <v>2359</v>
      </c>
    </row>
    <row r="5662" customFormat="false" ht="14.25" hidden="true" customHeight="false" outlineLevel="0" collapsed="false">
      <c r="A5662" s="49" t="s">
        <v>2349</v>
      </c>
      <c r="B5662" s="49" t="s">
        <v>2350</v>
      </c>
      <c r="C5662" s="49" t="s">
        <v>10000</v>
      </c>
      <c r="D5662" s="49" t="s">
        <v>2352</v>
      </c>
      <c r="E5662" s="49" t="str">
        <f aca="false">"5060458890191"</f>
        <v>5060458890191</v>
      </c>
      <c r="F5662" s="49" t="s">
        <v>3656</v>
      </c>
      <c r="G5662" s="49" t="n">
        <v>0</v>
      </c>
      <c r="H5662" s="0" t="n">
        <v>0</v>
      </c>
      <c r="M5662" s="51" t="s">
        <v>9998</v>
      </c>
      <c r="N5662" s="49" t="n">
        <v>0</v>
      </c>
      <c r="O5662" s="53" t="n">
        <v>45843.6338657407</v>
      </c>
      <c r="P5662" s="53" t="n">
        <v>45864.4113541667</v>
      </c>
      <c r="Q5662" s="53" t="n">
        <v>45843.6338657407</v>
      </c>
      <c r="R5662" s="0" t="n">
        <v>0</v>
      </c>
      <c r="S5662" s="51" t="s">
        <v>2398</v>
      </c>
      <c r="T5662" s="51" t="s">
        <v>2398</v>
      </c>
      <c r="U5662" s="0" t="str">
        <f aca="false">"5060458890191"</f>
        <v>5060458890191</v>
      </c>
      <c r="V5662" s="51" t="s">
        <v>2142</v>
      </c>
      <c r="W5662" s="51" t="s">
        <v>5291</v>
      </c>
      <c r="X5662" s="51" t="s">
        <v>2359</v>
      </c>
    </row>
    <row r="5663" customFormat="false" ht="14.25" hidden="true" customHeight="false" outlineLevel="0" collapsed="false">
      <c r="A5663" s="49" t="s">
        <v>2349</v>
      </c>
      <c r="B5663" s="49" t="s">
        <v>2350</v>
      </c>
      <c r="C5663" s="49" t="s">
        <v>10001</v>
      </c>
      <c r="D5663" s="49" t="s">
        <v>2352</v>
      </c>
      <c r="E5663" s="49" t="str">
        <f aca="false">"5060458890191"</f>
        <v>5060458890191</v>
      </c>
      <c r="F5663" s="49" t="s">
        <v>3656</v>
      </c>
      <c r="G5663" s="49" t="n">
        <v>0</v>
      </c>
      <c r="H5663" s="0" t="n">
        <v>0</v>
      </c>
      <c r="M5663" s="51" t="s">
        <v>9998</v>
      </c>
      <c r="N5663" s="49" t="n">
        <v>0</v>
      </c>
      <c r="O5663" s="53" t="n">
        <v>45843.6337384259</v>
      </c>
      <c r="P5663" s="53" t="n">
        <v>45856.4801388889</v>
      </c>
      <c r="Q5663" s="53" t="n">
        <v>45843.6337384259</v>
      </c>
      <c r="R5663" s="0" t="n">
        <v>0</v>
      </c>
      <c r="S5663" s="51" t="s">
        <v>2398</v>
      </c>
      <c r="T5663" s="51" t="s">
        <v>2398</v>
      </c>
      <c r="U5663" s="0" t="str">
        <f aca="false">"5060458890191"</f>
        <v>5060458890191</v>
      </c>
      <c r="V5663" s="51" t="s">
        <v>2142</v>
      </c>
      <c r="W5663" s="51" t="s">
        <v>10002</v>
      </c>
      <c r="X5663" s="51" t="s">
        <v>2359</v>
      </c>
    </row>
    <row r="5664" customFormat="false" ht="14.25" hidden="true" customHeight="false" outlineLevel="0" collapsed="false">
      <c r="A5664" s="49" t="s">
        <v>2349</v>
      </c>
      <c r="B5664" s="49" t="s">
        <v>2350</v>
      </c>
      <c r="C5664" s="49" t="s">
        <v>10003</v>
      </c>
      <c r="D5664" s="49" t="s">
        <v>2352</v>
      </c>
      <c r="E5664" s="49" t="str">
        <f aca="false">"5060458890191"</f>
        <v>5060458890191</v>
      </c>
      <c r="F5664" s="49" t="s">
        <v>3656</v>
      </c>
      <c r="G5664" s="49" t="n">
        <v>0</v>
      </c>
      <c r="H5664" s="0" t="n">
        <v>0</v>
      </c>
      <c r="M5664" s="51" t="s">
        <v>9998</v>
      </c>
      <c r="N5664" s="49" t="n">
        <v>0</v>
      </c>
      <c r="O5664" s="53" t="n">
        <v>45843.633599537</v>
      </c>
      <c r="P5664" s="53" t="n">
        <v>45852.7424074074</v>
      </c>
      <c r="Q5664" s="53" t="n">
        <v>45843.633599537</v>
      </c>
      <c r="R5664" s="0" t="n">
        <v>0</v>
      </c>
      <c r="S5664" s="51" t="s">
        <v>2398</v>
      </c>
      <c r="T5664" s="51" t="s">
        <v>2398</v>
      </c>
      <c r="U5664" s="0" t="str">
        <f aca="false">"5060458890191"</f>
        <v>5060458890191</v>
      </c>
      <c r="V5664" s="51" t="s">
        <v>2142</v>
      </c>
      <c r="W5664" s="51" t="s">
        <v>4527</v>
      </c>
      <c r="X5664" s="51" t="s">
        <v>2359</v>
      </c>
    </row>
    <row r="5665" customFormat="false" ht="14.25" hidden="true" customHeight="false" outlineLevel="0" collapsed="false">
      <c r="A5665" s="49" t="s">
        <v>2349</v>
      </c>
      <c r="B5665" s="49" t="s">
        <v>2350</v>
      </c>
      <c r="C5665" s="49" t="s">
        <v>10004</v>
      </c>
      <c r="D5665" s="49" t="s">
        <v>2352</v>
      </c>
      <c r="E5665" s="49" t="str">
        <f aca="false">"5060458890191"</f>
        <v>5060458890191</v>
      </c>
      <c r="F5665" s="49" t="s">
        <v>3656</v>
      </c>
      <c r="G5665" s="49" t="n">
        <v>0</v>
      </c>
      <c r="H5665" s="0" t="n">
        <v>0</v>
      </c>
      <c r="M5665" s="51" t="s">
        <v>9998</v>
      </c>
      <c r="N5665" s="49" t="n">
        <v>0</v>
      </c>
      <c r="O5665" s="53" t="n">
        <v>45843.6334722222</v>
      </c>
      <c r="P5665" s="53" t="n">
        <v>45856.484375</v>
      </c>
      <c r="Q5665" s="53" t="n">
        <v>45843.6334722222</v>
      </c>
      <c r="R5665" s="0" t="n">
        <v>0</v>
      </c>
      <c r="S5665" s="51" t="s">
        <v>2398</v>
      </c>
      <c r="T5665" s="51" t="s">
        <v>2398</v>
      </c>
      <c r="U5665" s="0" t="str">
        <f aca="false">"5060458890191"</f>
        <v>5060458890191</v>
      </c>
      <c r="V5665" s="51" t="s">
        <v>2142</v>
      </c>
      <c r="W5665" s="51" t="s">
        <v>6253</v>
      </c>
      <c r="X5665" s="51" t="s">
        <v>2359</v>
      </c>
    </row>
    <row r="5666" customFormat="false" ht="14.25" hidden="true" customHeight="false" outlineLevel="0" collapsed="false">
      <c r="A5666" s="49" t="s">
        <v>2349</v>
      </c>
      <c r="B5666" s="49" t="s">
        <v>2350</v>
      </c>
      <c r="C5666" s="49" t="s">
        <v>10005</v>
      </c>
      <c r="D5666" s="49" t="s">
        <v>2352</v>
      </c>
      <c r="E5666" s="49" t="str">
        <f aca="false">"5060458890191"</f>
        <v>5060458890191</v>
      </c>
      <c r="F5666" s="49" t="s">
        <v>3656</v>
      </c>
      <c r="G5666" s="49" t="n">
        <v>0</v>
      </c>
      <c r="H5666" s="0" t="n">
        <v>0</v>
      </c>
      <c r="M5666" s="51" t="s">
        <v>9998</v>
      </c>
      <c r="N5666" s="49" t="n">
        <v>0</v>
      </c>
      <c r="O5666" s="53" t="n">
        <v>45843.6333333333</v>
      </c>
      <c r="P5666" s="53" t="n">
        <v>45856.4831365741</v>
      </c>
      <c r="Q5666" s="53" t="n">
        <v>45843.6333333333</v>
      </c>
      <c r="R5666" s="0" t="n">
        <v>0</v>
      </c>
      <c r="S5666" s="51" t="s">
        <v>2398</v>
      </c>
      <c r="T5666" s="51" t="s">
        <v>2398</v>
      </c>
      <c r="U5666" s="0" t="str">
        <f aca="false">"5060458890191"</f>
        <v>5060458890191</v>
      </c>
      <c r="V5666" s="51" t="s">
        <v>2142</v>
      </c>
      <c r="W5666" s="51" t="s">
        <v>4761</v>
      </c>
      <c r="X5666" s="51" t="s">
        <v>2359</v>
      </c>
    </row>
    <row r="5667" customFormat="false" ht="14.25" hidden="true" customHeight="false" outlineLevel="0" collapsed="false">
      <c r="A5667" s="49" t="s">
        <v>2349</v>
      </c>
      <c r="B5667" s="49" t="s">
        <v>2350</v>
      </c>
      <c r="C5667" s="49" t="s">
        <v>10006</v>
      </c>
      <c r="D5667" s="49" t="s">
        <v>2352</v>
      </c>
      <c r="E5667" s="49" t="str">
        <f aca="false">"5060458890191"</f>
        <v>5060458890191</v>
      </c>
      <c r="F5667" s="49" t="s">
        <v>3656</v>
      </c>
      <c r="G5667" s="49" t="n">
        <v>0</v>
      </c>
      <c r="H5667" s="0" t="n">
        <v>0</v>
      </c>
      <c r="M5667" s="51" t="s">
        <v>9998</v>
      </c>
      <c r="N5667" s="49" t="n">
        <v>0</v>
      </c>
      <c r="O5667" s="53" t="n">
        <v>45843.6332060185</v>
      </c>
      <c r="P5667" s="53" t="n">
        <v>45848.6428935185</v>
      </c>
      <c r="Q5667" s="53" t="n">
        <v>45843.6332060185</v>
      </c>
      <c r="R5667" s="0" t="n">
        <v>0</v>
      </c>
      <c r="S5667" s="51" t="s">
        <v>2398</v>
      </c>
      <c r="T5667" s="51" t="s">
        <v>2398</v>
      </c>
      <c r="U5667" s="0" t="str">
        <f aca="false">"5060458890191"</f>
        <v>5060458890191</v>
      </c>
      <c r="V5667" s="51" t="s">
        <v>2142</v>
      </c>
      <c r="W5667" s="51" t="s">
        <v>4539</v>
      </c>
      <c r="X5667" s="51" t="s">
        <v>2359</v>
      </c>
    </row>
    <row r="5668" customFormat="false" ht="14.25" hidden="true" customHeight="false" outlineLevel="0" collapsed="false">
      <c r="A5668" s="49" t="s">
        <v>2349</v>
      </c>
      <c r="B5668" s="49" t="s">
        <v>2350</v>
      </c>
      <c r="C5668" s="49" t="s">
        <v>10007</v>
      </c>
      <c r="D5668" s="49" t="s">
        <v>2352</v>
      </c>
      <c r="E5668" s="49" t="str">
        <f aca="false">"5060458890191"</f>
        <v>5060458890191</v>
      </c>
      <c r="F5668" s="49" t="s">
        <v>3656</v>
      </c>
      <c r="G5668" s="49" t="n">
        <v>0</v>
      </c>
      <c r="H5668" s="0" t="n">
        <v>0</v>
      </c>
      <c r="M5668" s="51" t="s">
        <v>9998</v>
      </c>
      <c r="N5668" s="49" t="n">
        <v>0</v>
      </c>
      <c r="O5668" s="53" t="n">
        <v>45843.6330439815</v>
      </c>
      <c r="P5668" s="53" t="n">
        <v>45845.6028472222</v>
      </c>
      <c r="Q5668" s="53" t="n">
        <v>45843.6330439815</v>
      </c>
      <c r="R5668" s="0" t="n">
        <v>0</v>
      </c>
      <c r="S5668" s="51" t="s">
        <v>2398</v>
      </c>
      <c r="T5668" s="51" t="s">
        <v>2398</v>
      </c>
      <c r="U5668" s="0" t="str">
        <f aca="false">"5060458890191"</f>
        <v>5060458890191</v>
      </c>
      <c r="V5668" s="51" t="s">
        <v>2142</v>
      </c>
      <c r="W5668" s="51" t="s">
        <v>4878</v>
      </c>
      <c r="X5668" s="51" t="s">
        <v>2359</v>
      </c>
    </row>
    <row r="5669" customFormat="false" ht="14.25" hidden="true" customHeight="false" outlineLevel="0" collapsed="false">
      <c r="A5669" s="49" t="s">
        <v>2349</v>
      </c>
      <c r="B5669" s="49" t="s">
        <v>2350</v>
      </c>
      <c r="C5669" s="49" t="s">
        <v>10008</v>
      </c>
      <c r="D5669" s="49" t="s">
        <v>2352</v>
      </c>
      <c r="E5669" s="49" t="str">
        <f aca="false">"5060458890191"</f>
        <v>5060458890191</v>
      </c>
      <c r="F5669" s="49" t="s">
        <v>3656</v>
      </c>
      <c r="G5669" s="49" t="n">
        <v>0</v>
      </c>
      <c r="H5669" s="0" t="n">
        <v>0</v>
      </c>
      <c r="M5669" s="51" t="s">
        <v>9998</v>
      </c>
      <c r="N5669" s="49" t="n">
        <v>0</v>
      </c>
      <c r="O5669" s="53" t="n">
        <v>45843.632349537</v>
      </c>
      <c r="P5669" s="53" t="n">
        <v>45845.5998842593</v>
      </c>
      <c r="Q5669" s="53" t="n">
        <v>45843.632349537</v>
      </c>
      <c r="R5669" s="0" t="n">
        <v>0</v>
      </c>
      <c r="S5669" s="51" t="s">
        <v>2398</v>
      </c>
      <c r="T5669" s="51" t="s">
        <v>2398</v>
      </c>
      <c r="U5669" s="0" t="str">
        <f aca="false">"5060458890191"</f>
        <v>5060458890191</v>
      </c>
      <c r="V5669" s="51" t="s">
        <v>2142</v>
      </c>
      <c r="W5669" s="51" t="s">
        <v>4562</v>
      </c>
      <c r="X5669" s="51" t="s">
        <v>2359</v>
      </c>
    </row>
    <row r="5670" customFormat="false" ht="14.25" hidden="true" customHeight="false" outlineLevel="0" collapsed="false">
      <c r="A5670" s="49" t="s">
        <v>2349</v>
      </c>
      <c r="B5670" s="49" t="s">
        <v>2350</v>
      </c>
      <c r="C5670" s="49" t="s">
        <v>10009</v>
      </c>
      <c r="D5670" s="49" t="s">
        <v>2352</v>
      </c>
      <c r="E5670" s="49" t="str">
        <f aca="false">"5060458890191"</f>
        <v>5060458890191</v>
      </c>
      <c r="F5670" s="49" t="s">
        <v>3656</v>
      </c>
      <c r="G5670" s="49" t="n">
        <v>0</v>
      </c>
      <c r="H5670" s="0" t="n">
        <v>0</v>
      </c>
      <c r="M5670" s="51" t="s">
        <v>9998</v>
      </c>
      <c r="N5670" s="49" t="n">
        <v>0</v>
      </c>
      <c r="O5670" s="53" t="n">
        <v>45843.6321180556</v>
      </c>
      <c r="P5670" s="53" t="n">
        <v>45844.4102893519</v>
      </c>
      <c r="Q5670" s="53" t="n">
        <v>45843.6321180556</v>
      </c>
      <c r="R5670" s="0" t="n">
        <v>0</v>
      </c>
      <c r="S5670" s="51" t="s">
        <v>2398</v>
      </c>
      <c r="T5670" s="51" t="s">
        <v>2398</v>
      </c>
      <c r="U5670" s="0" t="str">
        <f aca="false">"5060458890191"</f>
        <v>5060458890191</v>
      </c>
      <c r="V5670" s="51" t="s">
        <v>2142</v>
      </c>
      <c r="W5670" s="51" t="s">
        <v>5621</v>
      </c>
      <c r="X5670" s="51" t="s">
        <v>2359</v>
      </c>
    </row>
    <row r="5671" customFormat="false" ht="14.25" hidden="true" customHeight="false" outlineLevel="0" collapsed="false">
      <c r="A5671" s="49" t="s">
        <v>2349</v>
      </c>
      <c r="B5671" s="49" t="s">
        <v>2350</v>
      </c>
      <c r="C5671" s="49" t="s">
        <v>10010</v>
      </c>
      <c r="D5671" s="49" t="s">
        <v>2352</v>
      </c>
      <c r="E5671" s="49" t="str">
        <f aca="false">"5060458890191"</f>
        <v>5060458890191</v>
      </c>
      <c r="F5671" s="49" t="s">
        <v>3656</v>
      </c>
      <c r="G5671" s="49" t="n">
        <v>0</v>
      </c>
      <c r="H5671" s="0" t="n">
        <v>0</v>
      </c>
      <c r="M5671" s="51" t="s">
        <v>9998</v>
      </c>
      <c r="N5671" s="49" t="n">
        <v>0</v>
      </c>
      <c r="O5671" s="53" t="n">
        <v>45843.6318287037</v>
      </c>
      <c r="P5671" s="53" t="n">
        <v>45845.5792013889</v>
      </c>
      <c r="Q5671" s="53" t="n">
        <v>45843.6318287037</v>
      </c>
      <c r="R5671" s="0" t="n">
        <v>0</v>
      </c>
      <c r="S5671" s="51" t="s">
        <v>2398</v>
      </c>
      <c r="T5671" s="51" t="s">
        <v>2398</v>
      </c>
      <c r="U5671" s="0" t="str">
        <f aca="false">"5060458890191"</f>
        <v>5060458890191</v>
      </c>
      <c r="V5671" s="51" t="s">
        <v>2142</v>
      </c>
      <c r="W5671" s="51" t="s">
        <v>5606</v>
      </c>
      <c r="X5671" s="51" t="s">
        <v>2359</v>
      </c>
    </row>
    <row r="5672" customFormat="false" ht="14.25" hidden="true" customHeight="false" outlineLevel="0" collapsed="false">
      <c r="A5672" s="49" t="s">
        <v>2349</v>
      </c>
      <c r="B5672" s="49" t="s">
        <v>2350</v>
      </c>
      <c r="C5672" s="49" t="s">
        <v>10011</v>
      </c>
      <c r="D5672" s="49" t="s">
        <v>2352</v>
      </c>
      <c r="E5672" s="49" t="str">
        <f aca="false">"5060458890191"</f>
        <v>5060458890191</v>
      </c>
      <c r="F5672" s="49" t="s">
        <v>3656</v>
      </c>
      <c r="G5672" s="49" t="n">
        <v>0</v>
      </c>
      <c r="H5672" s="0" t="n">
        <v>0</v>
      </c>
      <c r="M5672" s="51" t="s">
        <v>9998</v>
      </c>
      <c r="N5672" s="49" t="n">
        <v>0</v>
      </c>
      <c r="O5672" s="53" t="n">
        <v>45843.6316782407</v>
      </c>
      <c r="P5672" s="53" t="n">
        <v>45845.6164583333</v>
      </c>
      <c r="Q5672" s="53" t="n">
        <v>45843.6316782407</v>
      </c>
      <c r="R5672" s="0" t="n">
        <v>0</v>
      </c>
      <c r="S5672" s="51" t="s">
        <v>2398</v>
      </c>
      <c r="T5672" s="51" t="s">
        <v>2398</v>
      </c>
      <c r="U5672" s="0" t="str">
        <f aca="false">"5060458890191"</f>
        <v>5060458890191</v>
      </c>
      <c r="V5672" s="51" t="s">
        <v>2142</v>
      </c>
      <c r="W5672" s="51" t="s">
        <v>5615</v>
      </c>
      <c r="X5672" s="51" t="s">
        <v>2359</v>
      </c>
    </row>
    <row r="5673" customFormat="false" ht="14.25" hidden="true" customHeight="false" outlineLevel="0" collapsed="false">
      <c r="A5673" s="49" t="s">
        <v>2349</v>
      </c>
      <c r="B5673" s="49" t="s">
        <v>2350</v>
      </c>
      <c r="C5673" s="49" t="s">
        <v>10012</v>
      </c>
      <c r="D5673" s="49" t="s">
        <v>2352</v>
      </c>
      <c r="E5673" s="49" t="str">
        <f aca="false">"5060458890191"</f>
        <v>5060458890191</v>
      </c>
      <c r="F5673" s="49" t="s">
        <v>3656</v>
      </c>
      <c r="G5673" s="49" t="n">
        <v>0</v>
      </c>
      <c r="H5673" s="0" t="n">
        <v>0</v>
      </c>
      <c r="M5673" s="51" t="s">
        <v>9998</v>
      </c>
      <c r="N5673" s="49" t="n">
        <v>0</v>
      </c>
      <c r="O5673" s="53" t="n">
        <v>45843.6310185185</v>
      </c>
      <c r="P5673" s="53" t="n">
        <v>45845.5983912037</v>
      </c>
      <c r="Q5673" s="53" t="n">
        <v>45843.6310185185</v>
      </c>
      <c r="R5673" s="0" t="n">
        <v>0</v>
      </c>
      <c r="S5673" s="51" t="s">
        <v>2398</v>
      </c>
      <c r="T5673" s="51" t="s">
        <v>2398</v>
      </c>
      <c r="U5673" s="0" t="str">
        <f aca="false">"5060458890191"</f>
        <v>5060458890191</v>
      </c>
      <c r="V5673" s="51" t="s">
        <v>2142</v>
      </c>
      <c r="W5673" s="51" t="s">
        <v>3672</v>
      </c>
      <c r="X5673" s="51" t="s">
        <v>2359</v>
      </c>
    </row>
    <row r="5674" customFormat="false" ht="14.25" hidden="true" customHeight="false" outlineLevel="0" collapsed="false">
      <c r="A5674" s="49" t="s">
        <v>2349</v>
      </c>
      <c r="B5674" s="49" t="s">
        <v>2350</v>
      </c>
      <c r="C5674" s="49" t="s">
        <v>10013</v>
      </c>
      <c r="D5674" s="49" t="s">
        <v>2352</v>
      </c>
      <c r="E5674" s="49" t="str">
        <f aca="false">"5060458890191"</f>
        <v>5060458890191</v>
      </c>
      <c r="F5674" s="49" t="s">
        <v>3656</v>
      </c>
      <c r="G5674" s="49" t="n">
        <v>0</v>
      </c>
      <c r="H5674" s="0" t="n">
        <v>0</v>
      </c>
      <c r="M5674" s="51" t="s">
        <v>9998</v>
      </c>
      <c r="N5674" s="49" t="n">
        <v>0</v>
      </c>
      <c r="O5674" s="53" t="n">
        <v>45843.6306597222</v>
      </c>
      <c r="P5674" s="53" t="n">
        <v>45845.5924074074</v>
      </c>
      <c r="Q5674" s="53" t="n">
        <v>45843.6306597222</v>
      </c>
      <c r="R5674" s="0" t="n">
        <v>0</v>
      </c>
      <c r="S5674" s="51" t="s">
        <v>2398</v>
      </c>
      <c r="T5674" s="51" t="s">
        <v>2398</v>
      </c>
      <c r="U5674" s="0" t="str">
        <f aca="false">"5060458890191"</f>
        <v>5060458890191</v>
      </c>
      <c r="V5674" s="51" t="s">
        <v>2142</v>
      </c>
      <c r="W5674" s="51" t="s">
        <v>6786</v>
      </c>
      <c r="X5674" s="51" t="s">
        <v>2359</v>
      </c>
    </row>
    <row r="5675" customFormat="false" ht="14.25" hidden="true" customHeight="false" outlineLevel="0" collapsed="false">
      <c r="A5675" s="49" t="s">
        <v>2349</v>
      </c>
      <c r="B5675" s="49" t="s">
        <v>2350</v>
      </c>
      <c r="C5675" s="49" t="s">
        <v>10014</v>
      </c>
      <c r="D5675" s="49" t="s">
        <v>2352</v>
      </c>
      <c r="E5675" s="49" t="str">
        <f aca="false">"5060458890191"</f>
        <v>5060458890191</v>
      </c>
      <c r="F5675" s="49" t="s">
        <v>3656</v>
      </c>
      <c r="G5675" s="49" t="n">
        <v>0</v>
      </c>
      <c r="H5675" s="0" t="n">
        <v>0</v>
      </c>
      <c r="M5675" s="51" t="s">
        <v>9998</v>
      </c>
      <c r="N5675" s="49" t="n">
        <v>0</v>
      </c>
      <c r="O5675" s="53" t="n">
        <v>45843.6305092593</v>
      </c>
      <c r="P5675" s="53" t="n">
        <v>45845.5956134259</v>
      </c>
      <c r="Q5675" s="53" t="n">
        <v>45843.6305092593</v>
      </c>
      <c r="R5675" s="0" t="n">
        <v>0</v>
      </c>
      <c r="S5675" s="51" t="s">
        <v>2398</v>
      </c>
      <c r="T5675" s="51" t="s">
        <v>2398</v>
      </c>
      <c r="U5675" s="0" t="str">
        <f aca="false">"5060458890191"</f>
        <v>5060458890191</v>
      </c>
      <c r="V5675" s="51" t="s">
        <v>2142</v>
      </c>
      <c r="W5675" s="51" t="s">
        <v>4541</v>
      </c>
      <c r="X5675" s="51" t="s">
        <v>2359</v>
      </c>
    </row>
    <row r="5676" customFormat="false" ht="14.25" hidden="true" customHeight="false" outlineLevel="0" collapsed="false">
      <c r="A5676" s="49" t="s">
        <v>2349</v>
      </c>
      <c r="B5676" s="49" t="s">
        <v>2350</v>
      </c>
      <c r="C5676" s="49" t="s">
        <v>10015</v>
      </c>
      <c r="D5676" s="49" t="s">
        <v>2352</v>
      </c>
      <c r="E5676" s="49" t="str">
        <f aca="false">"5060458890191"</f>
        <v>5060458890191</v>
      </c>
      <c r="F5676" s="49" t="s">
        <v>3656</v>
      </c>
      <c r="G5676" s="49" t="n">
        <v>0</v>
      </c>
      <c r="H5676" s="0" t="n">
        <v>0</v>
      </c>
      <c r="M5676" s="51" t="s">
        <v>9998</v>
      </c>
      <c r="N5676" s="49" t="n">
        <v>0</v>
      </c>
      <c r="O5676" s="53" t="n">
        <v>45843.6303587963</v>
      </c>
      <c r="P5676" s="53" t="n">
        <v>45852.4880092593</v>
      </c>
      <c r="Q5676" s="53" t="n">
        <v>45843.6303587963</v>
      </c>
      <c r="R5676" s="0" t="n">
        <v>0</v>
      </c>
      <c r="S5676" s="51" t="s">
        <v>2398</v>
      </c>
      <c r="T5676" s="51" t="s">
        <v>2398</v>
      </c>
      <c r="U5676" s="0" t="str">
        <f aca="false">"5060458890191"</f>
        <v>5060458890191</v>
      </c>
      <c r="V5676" s="51" t="s">
        <v>2142</v>
      </c>
      <c r="W5676" s="51" t="s">
        <v>6413</v>
      </c>
      <c r="X5676" s="51" t="s">
        <v>2359</v>
      </c>
    </row>
    <row r="5677" customFormat="false" ht="14.25" hidden="true" customHeight="false" outlineLevel="0" collapsed="false">
      <c r="A5677" s="49" t="s">
        <v>2349</v>
      </c>
      <c r="B5677" s="49" t="s">
        <v>2350</v>
      </c>
      <c r="C5677" s="49" t="s">
        <v>10016</v>
      </c>
      <c r="D5677" s="49" t="s">
        <v>2352</v>
      </c>
      <c r="E5677" s="49" t="str">
        <f aca="false">"5060458890191"</f>
        <v>5060458890191</v>
      </c>
      <c r="F5677" s="49" t="s">
        <v>3656</v>
      </c>
      <c r="G5677" s="49" t="n">
        <v>0</v>
      </c>
      <c r="H5677" s="0" t="n">
        <v>0</v>
      </c>
      <c r="M5677" s="51" t="s">
        <v>9998</v>
      </c>
      <c r="N5677" s="49" t="n">
        <v>0</v>
      </c>
      <c r="O5677" s="53" t="n">
        <v>45843.6301967593</v>
      </c>
      <c r="P5677" s="53" t="n">
        <v>45845.5962615741</v>
      </c>
      <c r="Q5677" s="53" t="n">
        <v>45843.6301967593</v>
      </c>
      <c r="R5677" s="0" t="n">
        <v>0</v>
      </c>
      <c r="S5677" s="51" t="s">
        <v>2398</v>
      </c>
      <c r="T5677" s="51" t="s">
        <v>2398</v>
      </c>
      <c r="U5677" s="0" t="str">
        <f aca="false">"5060458890191"</f>
        <v>5060458890191</v>
      </c>
      <c r="V5677" s="51" t="s">
        <v>2142</v>
      </c>
      <c r="W5677" s="51" t="s">
        <v>5537</v>
      </c>
      <c r="X5677" s="51" t="s">
        <v>2359</v>
      </c>
    </row>
    <row r="5678" customFormat="false" ht="14.25" hidden="true" customHeight="false" outlineLevel="0" collapsed="false">
      <c r="A5678" s="49" t="s">
        <v>2349</v>
      </c>
      <c r="B5678" s="49" t="s">
        <v>2350</v>
      </c>
      <c r="C5678" s="49" t="s">
        <v>10017</v>
      </c>
      <c r="D5678" s="49" t="s">
        <v>2352</v>
      </c>
      <c r="E5678" s="49" t="str">
        <f aca="false">"5060458890191"</f>
        <v>5060458890191</v>
      </c>
      <c r="F5678" s="49" t="s">
        <v>3656</v>
      </c>
      <c r="G5678" s="49" t="n">
        <v>0</v>
      </c>
      <c r="H5678" s="0" t="n">
        <v>0</v>
      </c>
      <c r="M5678" s="51" t="s">
        <v>9998</v>
      </c>
      <c r="N5678" s="49" t="n">
        <v>0</v>
      </c>
      <c r="O5678" s="53" t="n">
        <v>45843.6299768519</v>
      </c>
      <c r="P5678" s="53" t="n">
        <v>45852.4890740741</v>
      </c>
      <c r="Q5678" s="53" t="n">
        <v>45843.6299768519</v>
      </c>
      <c r="R5678" s="0" t="n">
        <v>0</v>
      </c>
      <c r="S5678" s="51" t="s">
        <v>2398</v>
      </c>
      <c r="T5678" s="51" t="s">
        <v>2398</v>
      </c>
      <c r="U5678" s="0" t="str">
        <f aca="false">"5060458890191"</f>
        <v>5060458890191</v>
      </c>
      <c r="V5678" s="51" t="s">
        <v>2142</v>
      </c>
      <c r="W5678" s="51" t="s">
        <v>5436</v>
      </c>
      <c r="X5678" s="51" t="s">
        <v>2359</v>
      </c>
    </row>
    <row r="5679" customFormat="false" ht="14.25" hidden="true" customHeight="false" outlineLevel="0" collapsed="false">
      <c r="A5679" s="49" t="s">
        <v>2349</v>
      </c>
      <c r="B5679" s="49" t="s">
        <v>2350</v>
      </c>
      <c r="C5679" s="49" t="s">
        <v>10018</v>
      </c>
      <c r="D5679" s="49" t="s">
        <v>2352</v>
      </c>
      <c r="E5679" s="49" t="str">
        <f aca="false">"5060458890191"</f>
        <v>5060458890191</v>
      </c>
      <c r="F5679" s="49" t="s">
        <v>3656</v>
      </c>
      <c r="G5679" s="49" t="n">
        <v>0</v>
      </c>
      <c r="H5679" s="0" t="n">
        <v>0</v>
      </c>
      <c r="M5679" s="51" t="s">
        <v>9998</v>
      </c>
      <c r="N5679" s="49" t="n">
        <v>0</v>
      </c>
      <c r="O5679" s="53" t="n">
        <v>45843.6297453704</v>
      </c>
      <c r="P5679" s="53" t="n">
        <v>45845.5973726852</v>
      </c>
      <c r="Q5679" s="53" t="n">
        <v>45843.6297453704</v>
      </c>
      <c r="R5679" s="0" t="n">
        <v>0</v>
      </c>
      <c r="S5679" s="51" t="s">
        <v>2398</v>
      </c>
      <c r="T5679" s="51" t="s">
        <v>2398</v>
      </c>
      <c r="U5679" s="0" t="str">
        <f aca="false">"5060458890191"</f>
        <v>5060458890191</v>
      </c>
      <c r="V5679" s="51" t="s">
        <v>2142</v>
      </c>
      <c r="W5679" s="51" t="s">
        <v>5709</v>
      </c>
      <c r="X5679" s="51" t="s">
        <v>2359</v>
      </c>
    </row>
    <row r="5680" customFormat="false" ht="14.25" hidden="true" customHeight="false" outlineLevel="0" collapsed="false">
      <c r="A5680" s="49" t="s">
        <v>2349</v>
      </c>
      <c r="B5680" s="49" t="s">
        <v>2350</v>
      </c>
      <c r="C5680" s="49" t="s">
        <v>10019</v>
      </c>
      <c r="D5680" s="49" t="s">
        <v>2352</v>
      </c>
      <c r="E5680" s="49" t="str">
        <f aca="false">"5060458890191"</f>
        <v>5060458890191</v>
      </c>
      <c r="F5680" s="49" t="s">
        <v>3656</v>
      </c>
      <c r="G5680" s="49" t="n">
        <v>0</v>
      </c>
      <c r="H5680" s="0" t="n">
        <v>0</v>
      </c>
      <c r="M5680" s="51" t="s">
        <v>9998</v>
      </c>
      <c r="N5680" s="49" t="n">
        <v>0</v>
      </c>
      <c r="O5680" s="53" t="n">
        <v>45843.6295023148</v>
      </c>
      <c r="P5680" s="53" t="n">
        <v>45852.8172916667</v>
      </c>
      <c r="Q5680" s="53" t="n">
        <v>45843.6295023148</v>
      </c>
      <c r="R5680" s="0" t="n">
        <v>0</v>
      </c>
      <c r="S5680" s="51" t="s">
        <v>2398</v>
      </c>
      <c r="T5680" s="51" t="s">
        <v>2398</v>
      </c>
      <c r="U5680" s="0" t="str">
        <f aca="false">"5060458890191"</f>
        <v>5060458890191</v>
      </c>
      <c r="V5680" s="51" t="s">
        <v>2142</v>
      </c>
      <c r="W5680" s="51" t="s">
        <v>6430</v>
      </c>
      <c r="X5680" s="51" t="s">
        <v>2359</v>
      </c>
    </row>
    <row r="5681" customFormat="false" ht="14.25" hidden="true" customHeight="false" outlineLevel="0" collapsed="false">
      <c r="A5681" s="49" t="s">
        <v>2349</v>
      </c>
      <c r="B5681" s="49" t="s">
        <v>2350</v>
      </c>
      <c r="C5681" s="49" t="s">
        <v>10020</v>
      </c>
      <c r="D5681" s="49" t="s">
        <v>2352</v>
      </c>
      <c r="E5681" s="49" t="str">
        <f aca="false">"5060458890191"</f>
        <v>5060458890191</v>
      </c>
      <c r="F5681" s="49" t="s">
        <v>3656</v>
      </c>
      <c r="G5681" s="49" t="n">
        <v>0</v>
      </c>
      <c r="H5681" s="0" t="n">
        <v>0</v>
      </c>
      <c r="M5681" s="51" t="s">
        <v>9998</v>
      </c>
      <c r="N5681" s="49" t="n">
        <v>0</v>
      </c>
      <c r="O5681" s="53" t="n">
        <v>45843.6293287037</v>
      </c>
      <c r="P5681" s="53" t="n">
        <v>45845.5677662037</v>
      </c>
      <c r="Q5681" s="53" t="n">
        <v>45843.6293287037</v>
      </c>
      <c r="R5681" s="0" t="n">
        <v>0</v>
      </c>
      <c r="S5681" s="51" t="s">
        <v>2398</v>
      </c>
      <c r="T5681" s="51" t="s">
        <v>2398</v>
      </c>
      <c r="U5681" s="0" t="str">
        <f aca="false">"5060458890191"</f>
        <v>5060458890191</v>
      </c>
      <c r="V5681" s="51" t="s">
        <v>2142</v>
      </c>
      <c r="W5681" s="51" t="s">
        <v>4521</v>
      </c>
      <c r="X5681" s="51" t="s">
        <v>2359</v>
      </c>
    </row>
    <row r="5682" customFormat="false" ht="14.25" hidden="true" customHeight="false" outlineLevel="0" collapsed="false">
      <c r="A5682" s="49" t="s">
        <v>2349</v>
      </c>
      <c r="B5682" s="49" t="s">
        <v>2350</v>
      </c>
      <c r="C5682" s="49" t="s">
        <v>10021</v>
      </c>
      <c r="D5682" s="49" t="s">
        <v>2352</v>
      </c>
      <c r="E5682" s="49" t="str">
        <f aca="false">"5060458890191"</f>
        <v>5060458890191</v>
      </c>
      <c r="F5682" s="49" t="s">
        <v>3656</v>
      </c>
      <c r="G5682" s="49" t="n">
        <v>0</v>
      </c>
      <c r="H5682" s="0" t="n">
        <v>0</v>
      </c>
      <c r="M5682" s="51" t="s">
        <v>9998</v>
      </c>
      <c r="N5682" s="49" t="n">
        <v>0</v>
      </c>
      <c r="O5682" s="53" t="n">
        <v>45843.6291319444</v>
      </c>
      <c r="P5682" s="53" t="n">
        <v>45845.5769791667</v>
      </c>
      <c r="Q5682" s="53" t="n">
        <v>45843.6291319444</v>
      </c>
      <c r="R5682" s="0" t="n">
        <v>0</v>
      </c>
      <c r="S5682" s="51" t="s">
        <v>2398</v>
      </c>
      <c r="T5682" s="51" t="s">
        <v>2398</v>
      </c>
      <c r="U5682" s="0" t="str">
        <f aca="false">"5060458890191"</f>
        <v>5060458890191</v>
      </c>
      <c r="V5682" s="51" t="s">
        <v>2142</v>
      </c>
      <c r="W5682" s="51" t="s">
        <v>7721</v>
      </c>
      <c r="X5682" s="51" t="s">
        <v>2359</v>
      </c>
    </row>
    <row r="5683" customFormat="false" ht="14.25" hidden="true" customHeight="false" outlineLevel="0" collapsed="false">
      <c r="A5683" s="49" t="s">
        <v>2349</v>
      </c>
      <c r="B5683" s="49" t="s">
        <v>2350</v>
      </c>
      <c r="C5683" s="49" t="s">
        <v>10022</v>
      </c>
      <c r="D5683" s="49" t="s">
        <v>2352</v>
      </c>
      <c r="E5683" s="49" t="str">
        <f aca="false">"5060458890191"</f>
        <v>5060458890191</v>
      </c>
      <c r="F5683" s="49" t="s">
        <v>3656</v>
      </c>
      <c r="G5683" s="49" t="n">
        <v>0</v>
      </c>
      <c r="H5683" s="0" t="n">
        <v>0</v>
      </c>
      <c r="M5683" s="51" t="s">
        <v>9998</v>
      </c>
      <c r="N5683" s="49" t="n">
        <v>0</v>
      </c>
      <c r="O5683" s="53" t="n">
        <v>45843.6288773148</v>
      </c>
      <c r="P5683" s="53" t="n">
        <v>45845.5918171296</v>
      </c>
      <c r="Q5683" s="53" t="n">
        <v>45843.6288773148</v>
      </c>
      <c r="R5683" s="0" t="n">
        <v>0</v>
      </c>
      <c r="S5683" s="51" t="s">
        <v>2398</v>
      </c>
      <c r="T5683" s="51" t="s">
        <v>2398</v>
      </c>
      <c r="U5683" s="0" t="str">
        <f aca="false">"5060458890191"</f>
        <v>5060458890191</v>
      </c>
      <c r="V5683" s="51" t="s">
        <v>2142</v>
      </c>
      <c r="W5683" s="51" t="s">
        <v>4288</v>
      </c>
      <c r="X5683" s="51" t="s">
        <v>2359</v>
      </c>
    </row>
    <row r="5684" customFormat="false" ht="14.25" hidden="true" customHeight="false" outlineLevel="0" collapsed="false">
      <c r="A5684" s="49" t="s">
        <v>2349</v>
      </c>
      <c r="B5684" s="49" t="s">
        <v>2350</v>
      </c>
      <c r="C5684" s="49" t="s">
        <v>10023</v>
      </c>
      <c r="D5684" s="49" t="s">
        <v>2352</v>
      </c>
      <c r="E5684" s="49" t="str">
        <f aca="false">"5060458890191"</f>
        <v>5060458890191</v>
      </c>
      <c r="F5684" s="49" t="s">
        <v>3656</v>
      </c>
      <c r="G5684" s="49" t="n">
        <v>0</v>
      </c>
      <c r="H5684" s="0" t="n">
        <v>0</v>
      </c>
      <c r="M5684" s="51" t="s">
        <v>9998</v>
      </c>
      <c r="N5684" s="49" t="n">
        <v>0</v>
      </c>
      <c r="O5684" s="53" t="n">
        <v>45843.6286805556</v>
      </c>
      <c r="P5684" s="53" t="n">
        <v>45845.5712384259</v>
      </c>
      <c r="Q5684" s="53" t="n">
        <v>45843.6286805556</v>
      </c>
      <c r="R5684" s="0" t="n">
        <v>0</v>
      </c>
      <c r="S5684" s="51" t="s">
        <v>2398</v>
      </c>
      <c r="T5684" s="51" t="s">
        <v>2398</v>
      </c>
      <c r="U5684" s="0" t="str">
        <f aca="false">"5060458890191"</f>
        <v>5060458890191</v>
      </c>
      <c r="V5684" s="51" t="s">
        <v>2142</v>
      </c>
      <c r="W5684" s="51" t="s">
        <v>5612</v>
      </c>
      <c r="X5684" s="51" t="s">
        <v>2359</v>
      </c>
    </row>
    <row r="5685" customFormat="false" ht="14.25" hidden="true" customHeight="false" outlineLevel="0" collapsed="false">
      <c r="A5685" s="49" t="s">
        <v>2349</v>
      </c>
      <c r="B5685" s="49" t="s">
        <v>2350</v>
      </c>
      <c r="C5685" s="49" t="s">
        <v>10024</v>
      </c>
      <c r="D5685" s="49" t="s">
        <v>2352</v>
      </c>
      <c r="E5685" s="49" t="str">
        <f aca="false">"5060458890191"</f>
        <v>5060458890191</v>
      </c>
      <c r="F5685" s="49" t="s">
        <v>3656</v>
      </c>
      <c r="G5685" s="49" t="n">
        <v>0</v>
      </c>
      <c r="H5685" s="0" t="n">
        <v>0</v>
      </c>
      <c r="M5685" s="51" t="s">
        <v>9998</v>
      </c>
      <c r="N5685" s="49" t="n">
        <v>0</v>
      </c>
      <c r="O5685" s="53" t="n">
        <v>45843.6285069444</v>
      </c>
      <c r="P5685" s="53" t="n">
        <v>45848.6424768519</v>
      </c>
      <c r="Q5685" s="53" t="n">
        <v>45843.6285069444</v>
      </c>
      <c r="R5685" s="0" t="n">
        <v>0</v>
      </c>
      <c r="S5685" s="51" t="s">
        <v>2398</v>
      </c>
      <c r="T5685" s="51" t="s">
        <v>2398</v>
      </c>
      <c r="U5685" s="0" t="str">
        <f aca="false">"5060458890191"</f>
        <v>5060458890191</v>
      </c>
      <c r="V5685" s="51" t="s">
        <v>2142</v>
      </c>
      <c r="W5685" s="51" t="s">
        <v>5532</v>
      </c>
      <c r="X5685" s="51" t="s">
        <v>2359</v>
      </c>
    </row>
    <row r="5686" customFormat="false" ht="14.25" hidden="true" customHeight="false" outlineLevel="0" collapsed="false">
      <c r="A5686" s="49" t="s">
        <v>2349</v>
      </c>
      <c r="B5686" s="49" t="s">
        <v>2350</v>
      </c>
      <c r="C5686" s="49" t="s">
        <v>10025</v>
      </c>
      <c r="D5686" s="49" t="s">
        <v>2352</v>
      </c>
      <c r="E5686" s="49" t="str">
        <f aca="false">"5060458890191"</f>
        <v>5060458890191</v>
      </c>
      <c r="F5686" s="49" t="s">
        <v>3656</v>
      </c>
      <c r="G5686" s="49" t="n">
        <v>0</v>
      </c>
      <c r="H5686" s="0" t="n">
        <v>0</v>
      </c>
      <c r="M5686" s="51" t="s">
        <v>9998</v>
      </c>
      <c r="N5686" s="49" t="n">
        <v>0</v>
      </c>
      <c r="O5686" s="53" t="n">
        <v>45843.6283564815</v>
      </c>
      <c r="P5686" s="53" t="n">
        <v>45847.7708217593</v>
      </c>
      <c r="Q5686" s="53" t="n">
        <v>45843.6283564815</v>
      </c>
      <c r="R5686" s="0" t="n">
        <v>0</v>
      </c>
      <c r="S5686" s="51" t="s">
        <v>2398</v>
      </c>
      <c r="T5686" s="51" t="s">
        <v>2398</v>
      </c>
      <c r="U5686" s="0" t="str">
        <f aca="false">"5060458890191"</f>
        <v>5060458890191</v>
      </c>
      <c r="V5686" s="51" t="s">
        <v>2142</v>
      </c>
      <c r="W5686" s="51" t="s">
        <v>6263</v>
      </c>
      <c r="X5686" s="51" t="s">
        <v>2359</v>
      </c>
    </row>
    <row r="5687" customFormat="false" ht="14.25" hidden="true" customHeight="false" outlineLevel="0" collapsed="false">
      <c r="A5687" s="49" t="s">
        <v>2349</v>
      </c>
      <c r="B5687" s="49" t="s">
        <v>2350</v>
      </c>
      <c r="C5687" s="49" t="s">
        <v>10026</v>
      </c>
      <c r="D5687" s="49" t="s">
        <v>2352</v>
      </c>
      <c r="E5687" s="49" t="str">
        <f aca="false">"5060458890191"</f>
        <v>5060458890191</v>
      </c>
      <c r="F5687" s="49" t="s">
        <v>3656</v>
      </c>
      <c r="G5687" s="49" t="n">
        <v>0</v>
      </c>
      <c r="H5687" s="0" t="n">
        <v>0</v>
      </c>
      <c r="M5687" s="51" t="s">
        <v>9998</v>
      </c>
      <c r="N5687" s="49" t="n">
        <v>0</v>
      </c>
      <c r="O5687" s="53" t="n">
        <v>45843.6281712963</v>
      </c>
      <c r="P5687" s="53" t="n">
        <v>45845.5627662037</v>
      </c>
      <c r="Q5687" s="53" t="n">
        <v>45843.6281712963</v>
      </c>
      <c r="R5687" s="0" t="n">
        <v>0</v>
      </c>
      <c r="S5687" s="51" t="s">
        <v>2398</v>
      </c>
      <c r="T5687" s="51" t="s">
        <v>2398</v>
      </c>
      <c r="U5687" s="0" t="str">
        <f aca="false">"5060458890191"</f>
        <v>5060458890191</v>
      </c>
      <c r="V5687" s="51" t="s">
        <v>2142</v>
      </c>
      <c r="W5687" s="51" t="s">
        <v>4763</v>
      </c>
      <c r="X5687" s="51" t="s">
        <v>2359</v>
      </c>
    </row>
    <row r="5688" customFormat="false" ht="14.25" hidden="true" customHeight="false" outlineLevel="0" collapsed="false">
      <c r="A5688" s="49" t="s">
        <v>2349</v>
      </c>
      <c r="B5688" s="49" t="s">
        <v>2350</v>
      </c>
      <c r="C5688" s="49" t="s">
        <v>10027</v>
      </c>
      <c r="D5688" s="49" t="s">
        <v>2352</v>
      </c>
      <c r="E5688" s="49" t="str">
        <f aca="false">"5060458890191"</f>
        <v>5060458890191</v>
      </c>
      <c r="F5688" s="49" t="s">
        <v>3656</v>
      </c>
      <c r="G5688" s="49" t="n">
        <v>0</v>
      </c>
      <c r="H5688" s="0" t="n">
        <v>0</v>
      </c>
      <c r="M5688" s="51" t="s">
        <v>9998</v>
      </c>
      <c r="N5688" s="49" t="n">
        <v>0</v>
      </c>
      <c r="O5688" s="53" t="n">
        <v>45843.6343865741</v>
      </c>
      <c r="P5688" s="53" t="n">
        <v>45845.5884027778</v>
      </c>
      <c r="Q5688" s="53" t="n">
        <v>45843.6343865741</v>
      </c>
      <c r="R5688" s="0" t="n">
        <v>0</v>
      </c>
      <c r="S5688" s="51" t="s">
        <v>2398</v>
      </c>
      <c r="T5688" s="51" t="s">
        <v>2398</v>
      </c>
      <c r="U5688" s="0" t="str">
        <f aca="false">"5060458890191"</f>
        <v>5060458890191</v>
      </c>
      <c r="V5688" s="51" t="s">
        <v>2142</v>
      </c>
      <c r="W5688" s="51" t="s">
        <v>4795</v>
      </c>
      <c r="X5688" s="51" t="s">
        <v>2359</v>
      </c>
    </row>
    <row r="5689" customFormat="false" ht="14.25" hidden="true" customHeight="false" outlineLevel="0" collapsed="false">
      <c r="A5689" s="49" t="s">
        <v>2349</v>
      </c>
      <c r="B5689" s="49" t="s">
        <v>2350</v>
      </c>
      <c r="C5689" s="49" t="s">
        <v>10028</v>
      </c>
      <c r="D5689" s="49" t="s">
        <v>2352</v>
      </c>
      <c r="E5689" s="49" t="str">
        <f aca="false">"5060175133274"</f>
        <v>5060175133274</v>
      </c>
      <c r="F5689" s="49" t="s">
        <v>5130</v>
      </c>
      <c r="G5689" s="49" t="n">
        <v>0</v>
      </c>
      <c r="H5689" s="0" t="n">
        <v>0</v>
      </c>
      <c r="M5689" s="51" t="s">
        <v>10029</v>
      </c>
      <c r="N5689" s="49" t="n">
        <v>0</v>
      </c>
      <c r="O5689" s="53" t="n">
        <v>45881.6253125</v>
      </c>
      <c r="P5689" s="53" t="n">
        <v>46037.1170023148</v>
      </c>
      <c r="Q5689" s="53" t="n">
        <v>45881.6253125</v>
      </c>
      <c r="R5689" s="0" t="n">
        <v>0</v>
      </c>
      <c r="S5689" s="51" t="s">
        <v>2401</v>
      </c>
      <c r="T5689" s="51" t="s">
        <v>2401</v>
      </c>
      <c r="U5689" s="0" t="str">
        <f aca="false">"5060175133274"</f>
        <v>5060175133274</v>
      </c>
      <c r="V5689" s="51" t="s">
        <v>2365</v>
      </c>
      <c r="W5689" s="51" t="s">
        <v>10030</v>
      </c>
      <c r="X5689" s="51" t="s">
        <v>2359</v>
      </c>
    </row>
    <row r="5690" customFormat="false" ht="14.25" hidden="true" customHeight="false" outlineLevel="0" collapsed="false">
      <c r="A5690" s="49" t="s">
        <v>2349</v>
      </c>
      <c r="B5690" s="49" t="s">
        <v>2350</v>
      </c>
      <c r="C5690" s="49" t="s">
        <v>10031</v>
      </c>
      <c r="D5690" s="49" t="s">
        <v>2352</v>
      </c>
      <c r="E5690" s="49" t="str">
        <f aca="false">"5060175133274"</f>
        <v>5060175133274</v>
      </c>
      <c r="F5690" s="49" t="s">
        <v>5130</v>
      </c>
      <c r="G5690" s="49" t="n">
        <v>0</v>
      </c>
      <c r="H5690" s="0" t="n">
        <v>0</v>
      </c>
      <c r="M5690" s="51" t="s">
        <v>10029</v>
      </c>
      <c r="N5690" s="49" t="n">
        <v>0</v>
      </c>
      <c r="O5690" s="53" t="n">
        <v>45881.6259027778</v>
      </c>
      <c r="P5690" s="53" t="n">
        <v>45886.8201273148</v>
      </c>
      <c r="Q5690" s="53" t="n">
        <v>45881.6259027778</v>
      </c>
      <c r="R5690" s="0" t="n">
        <v>0</v>
      </c>
      <c r="S5690" s="51" t="s">
        <v>2401</v>
      </c>
      <c r="T5690" s="51" t="s">
        <v>2401</v>
      </c>
      <c r="U5690" s="0" t="str">
        <f aca="false">"5060175133274"</f>
        <v>5060175133274</v>
      </c>
      <c r="V5690" s="51" t="s">
        <v>2365</v>
      </c>
      <c r="W5690" s="51" t="s">
        <v>7936</v>
      </c>
      <c r="X5690" s="51" t="s">
        <v>2359</v>
      </c>
    </row>
    <row r="5691" customFormat="false" ht="14.25" hidden="true" customHeight="false" outlineLevel="0" collapsed="false">
      <c r="A5691" s="49" t="s">
        <v>2349</v>
      </c>
      <c r="B5691" s="49" t="s">
        <v>2350</v>
      </c>
      <c r="C5691" s="49" t="s">
        <v>10032</v>
      </c>
      <c r="D5691" s="49" t="s">
        <v>2352</v>
      </c>
      <c r="E5691" s="49" t="str">
        <f aca="false">"5060175133274"</f>
        <v>5060175133274</v>
      </c>
      <c r="F5691" s="49" t="s">
        <v>5130</v>
      </c>
      <c r="G5691" s="49" t="n">
        <v>0</v>
      </c>
      <c r="H5691" s="0" t="n">
        <v>0</v>
      </c>
      <c r="M5691" s="51" t="s">
        <v>10029</v>
      </c>
      <c r="N5691" s="49" t="n">
        <v>0</v>
      </c>
      <c r="O5691" s="53" t="n">
        <v>45881.6271643519</v>
      </c>
      <c r="P5691" s="53" t="n">
        <v>45886.8223611111</v>
      </c>
      <c r="Q5691" s="53" t="n">
        <v>45881.6271643519</v>
      </c>
      <c r="R5691" s="0" t="n">
        <v>0</v>
      </c>
      <c r="S5691" s="51" t="s">
        <v>2401</v>
      </c>
      <c r="T5691" s="51" t="s">
        <v>2401</v>
      </c>
      <c r="U5691" s="0" t="str">
        <f aca="false">"5060175133274"</f>
        <v>5060175133274</v>
      </c>
      <c r="V5691" s="51" t="s">
        <v>2365</v>
      </c>
      <c r="W5691" s="51" t="s">
        <v>10033</v>
      </c>
      <c r="X5691" s="51" t="s">
        <v>2359</v>
      </c>
    </row>
    <row r="5692" customFormat="false" ht="14.25" hidden="true" customHeight="false" outlineLevel="0" collapsed="false">
      <c r="A5692" s="49" t="s">
        <v>2349</v>
      </c>
      <c r="B5692" s="49" t="s">
        <v>2350</v>
      </c>
      <c r="C5692" s="49" t="s">
        <v>10034</v>
      </c>
      <c r="D5692" s="49" t="s">
        <v>2352</v>
      </c>
      <c r="E5692" s="49" t="str">
        <f aca="false">"5060175133366"</f>
        <v>5060175133366</v>
      </c>
      <c r="F5692" s="49" t="s">
        <v>5125</v>
      </c>
      <c r="G5692" s="49" t="n">
        <v>0</v>
      </c>
      <c r="H5692" s="0" t="n">
        <v>0</v>
      </c>
      <c r="M5692" s="51" t="s">
        <v>10029</v>
      </c>
      <c r="N5692" s="49" t="n">
        <v>0</v>
      </c>
      <c r="O5692" s="53" t="n">
        <v>45881.6276273148</v>
      </c>
      <c r="P5692" s="53" t="n">
        <v>45882.7206134259</v>
      </c>
      <c r="Q5692" s="53" t="n">
        <v>45881.6276273148</v>
      </c>
      <c r="R5692" s="0" t="n">
        <v>0</v>
      </c>
      <c r="S5692" s="51" t="s">
        <v>2401</v>
      </c>
      <c r="T5692" s="51" t="s">
        <v>2401</v>
      </c>
      <c r="U5692" s="0" t="str">
        <f aca="false">"5060175133366"</f>
        <v>5060175133366</v>
      </c>
      <c r="V5692" s="51" t="s">
        <v>2365</v>
      </c>
      <c r="W5692" s="51" t="s">
        <v>4868</v>
      </c>
      <c r="X5692" s="51" t="s">
        <v>2359</v>
      </c>
    </row>
    <row r="5693" customFormat="false" ht="14.25" hidden="true" customHeight="false" outlineLevel="0" collapsed="false">
      <c r="A5693" s="49" t="s">
        <v>2349</v>
      </c>
      <c r="B5693" s="49" t="s">
        <v>2350</v>
      </c>
      <c r="C5693" s="49" t="s">
        <v>10035</v>
      </c>
      <c r="D5693" s="49" t="s">
        <v>2352</v>
      </c>
      <c r="E5693" s="49" t="str">
        <f aca="false">"5060175133366"</f>
        <v>5060175133366</v>
      </c>
      <c r="F5693" s="49" t="s">
        <v>5125</v>
      </c>
      <c r="G5693" s="49" t="n">
        <v>0</v>
      </c>
      <c r="H5693" s="0" t="n">
        <v>0</v>
      </c>
      <c r="M5693" s="51" t="s">
        <v>10029</v>
      </c>
      <c r="N5693" s="49" t="n">
        <v>0</v>
      </c>
      <c r="O5693" s="53" t="n">
        <v>45881.6285763889</v>
      </c>
      <c r="P5693" s="53" t="n">
        <v>45882.7216898148</v>
      </c>
      <c r="Q5693" s="53" t="n">
        <v>45881.6285763889</v>
      </c>
      <c r="R5693" s="0" t="n">
        <v>0</v>
      </c>
      <c r="S5693" s="51" t="s">
        <v>2401</v>
      </c>
      <c r="T5693" s="51" t="s">
        <v>2401</v>
      </c>
      <c r="U5693" s="0" t="str">
        <f aca="false">"5060175133366"</f>
        <v>5060175133366</v>
      </c>
      <c r="V5693" s="51" t="s">
        <v>2365</v>
      </c>
      <c r="W5693" s="51" t="s">
        <v>8490</v>
      </c>
      <c r="X5693" s="51" t="s">
        <v>2359</v>
      </c>
    </row>
    <row r="5694" customFormat="false" ht="14.25" hidden="true" customHeight="false" outlineLevel="0" collapsed="false">
      <c r="A5694" s="49" t="s">
        <v>2349</v>
      </c>
      <c r="B5694" s="49" t="s">
        <v>2350</v>
      </c>
      <c r="C5694" s="49" t="s">
        <v>10036</v>
      </c>
      <c r="D5694" s="49" t="s">
        <v>2352</v>
      </c>
      <c r="E5694" s="49" t="str">
        <f aca="false">"5060175133366"</f>
        <v>5060175133366</v>
      </c>
      <c r="F5694" s="49" t="s">
        <v>5125</v>
      </c>
      <c r="G5694" s="49" t="n">
        <v>0</v>
      </c>
      <c r="H5694" s="0" t="n">
        <v>0</v>
      </c>
      <c r="M5694" s="51" t="s">
        <v>10029</v>
      </c>
      <c r="N5694" s="49" t="n">
        <v>0</v>
      </c>
      <c r="O5694" s="53" t="n">
        <v>45881.629224537</v>
      </c>
      <c r="P5694" s="53" t="n">
        <v>45882.7243865741</v>
      </c>
      <c r="Q5694" s="53" t="n">
        <v>45881.629224537</v>
      </c>
      <c r="R5694" s="0" t="n">
        <v>0</v>
      </c>
      <c r="S5694" s="51" t="s">
        <v>2401</v>
      </c>
      <c r="T5694" s="51" t="s">
        <v>2401</v>
      </c>
      <c r="U5694" s="0" t="str">
        <f aca="false">"5060175133366"</f>
        <v>5060175133366</v>
      </c>
      <c r="V5694" s="51" t="s">
        <v>2365</v>
      </c>
      <c r="W5694" s="51" t="s">
        <v>4497</v>
      </c>
      <c r="X5694" s="51" t="s">
        <v>2359</v>
      </c>
    </row>
    <row r="5695" customFormat="false" ht="14.25" hidden="true" customHeight="false" outlineLevel="0" collapsed="false">
      <c r="A5695" s="49" t="s">
        <v>2349</v>
      </c>
      <c r="B5695" s="49" t="s">
        <v>2350</v>
      </c>
      <c r="C5695" s="49" t="s">
        <v>10037</v>
      </c>
      <c r="D5695" s="49" t="s">
        <v>2352</v>
      </c>
      <c r="E5695" s="49" t="str">
        <f aca="false">"5060175133366"</f>
        <v>5060175133366</v>
      </c>
      <c r="F5695" s="49" t="s">
        <v>5125</v>
      </c>
      <c r="G5695" s="49" t="n">
        <v>0</v>
      </c>
      <c r="H5695" s="0" t="n">
        <v>0</v>
      </c>
      <c r="M5695" s="51" t="s">
        <v>10029</v>
      </c>
      <c r="N5695" s="49" t="n">
        <v>0</v>
      </c>
      <c r="O5695" s="53" t="n">
        <v>45881.6296296296</v>
      </c>
      <c r="P5695" s="53" t="n">
        <v>45882.7253472222</v>
      </c>
      <c r="Q5695" s="53" t="n">
        <v>45881.6296296296</v>
      </c>
      <c r="R5695" s="0" t="n">
        <v>0</v>
      </c>
      <c r="S5695" s="51" t="s">
        <v>2401</v>
      </c>
      <c r="T5695" s="51" t="s">
        <v>2401</v>
      </c>
      <c r="U5695" s="0" t="str">
        <f aca="false">"5060175133366"</f>
        <v>5060175133366</v>
      </c>
      <c r="V5695" s="51" t="s">
        <v>2365</v>
      </c>
      <c r="W5695" s="51" t="s">
        <v>6070</v>
      </c>
      <c r="X5695" s="51" t="s">
        <v>2359</v>
      </c>
    </row>
    <row r="5696" customFormat="false" ht="14.25" hidden="true" customHeight="false" outlineLevel="0" collapsed="false">
      <c r="A5696" s="49" t="s">
        <v>2349</v>
      </c>
      <c r="B5696" s="49" t="s">
        <v>2350</v>
      </c>
      <c r="C5696" s="49" t="s">
        <v>10038</v>
      </c>
      <c r="D5696" s="49" t="s">
        <v>2352</v>
      </c>
      <c r="E5696" s="49" t="str">
        <f aca="false">"5060175133366"</f>
        <v>5060175133366</v>
      </c>
      <c r="F5696" s="49" t="s">
        <v>5125</v>
      </c>
      <c r="G5696" s="49" t="n">
        <v>0</v>
      </c>
      <c r="H5696" s="0" t="n">
        <v>0</v>
      </c>
      <c r="M5696" s="51" t="s">
        <v>10029</v>
      </c>
      <c r="N5696" s="49" t="n">
        <v>0</v>
      </c>
      <c r="O5696" s="53" t="n">
        <v>45881.630162037</v>
      </c>
      <c r="P5696" s="53" t="n">
        <v>45885.6489467593</v>
      </c>
      <c r="Q5696" s="53" t="n">
        <v>45881.630162037</v>
      </c>
      <c r="R5696" s="0" t="n">
        <v>0</v>
      </c>
      <c r="S5696" s="51" t="s">
        <v>2401</v>
      </c>
      <c r="T5696" s="51" t="s">
        <v>2401</v>
      </c>
      <c r="U5696" s="0" t="str">
        <f aca="false">"5060175133366"</f>
        <v>5060175133366</v>
      </c>
      <c r="V5696" s="51" t="s">
        <v>2365</v>
      </c>
      <c r="W5696" s="51" t="s">
        <v>7802</v>
      </c>
      <c r="X5696" s="51" t="s">
        <v>2359</v>
      </c>
    </row>
    <row r="5697" customFormat="false" ht="14.25" hidden="true" customHeight="false" outlineLevel="0" collapsed="false">
      <c r="A5697" s="49" t="s">
        <v>2349</v>
      </c>
      <c r="B5697" s="49" t="s">
        <v>2350</v>
      </c>
      <c r="C5697" s="49" t="s">
        <v>10039</v>
      </c>
      <c r="D5697" s="49" t="s">
        <v>2352</v>
      </c>
      <c r="E5697" s="49" t="str">
        <f aca="false">"5060175133366"</f>
        <v>5060175133366</v>
      </c>
      <c r="F5697" s="49" t="s">
        <v>5125</v>
      </c>
      <c r="G5697" s="49" t="n">
        <v>0</v>
      </c>
      <c r="H5697" s="0" t="n">
        <v>0</v>
      </c>
      <c r="M5697" s="51" t="s">
        <v>10029</v>
      </c>
      <c r="N5697" s="49" t="n">
        <v>0</v>
      </c>
      <c r="O5697" s="53" t="n">
        <v>45881.630474537</v>
      </c>
      <c r="P5697" s="53" t="n">
        <v>45882.7296875</v>
      </c>
      <c r="Q5697" s="53" t="n">
        <v>45881.630474537</v>
      </c>
      <c r="R5697" s="0" t="n">
        <v>0</v>
      </c>
      <c r="S5697" s="51" t="s">
        <v>2401</v>
      </c>
      <c r="T5697" s="51" t="s">
        <v>2401</v>
      </c>
      <c r="U5697" s="0" t="str">
        <f aca="false">"5060175133366"</f>
        <v>5060175133366</v>
      </c>
      <c r="V5697" s="51" t="s">
        <v>2365</v>
      </c>
      <c r="W5697" s="51" t="s">
        <v>4996</v>
      </c>
      <c r="X5697" s="51" t="s">
        <v>2359</v>
      </c>
    </row>
    <row r="5698" customFormat="false" ht="14.25" hidden="true" customHeight="false" outlineLevel="0" collapsed="false">
      <c r="A5698" s="49" t="s">
        <v>2349</v>
      </c>
      <c r="B5698" s="49" t="s">
        <v>2350</v>
      </c>
      <c r="C5698" s="49" t="s">
        <v>10040</v>
      </c>
      <c r="D5698" s="49" t="s">
        <v>2352</v>
      </c>
      <c r="E5698" s="49" t="str">
        <f aca="false">"5060175133366"</f>
        <v>5060175133366</v>
      </c>
      <c r="F5698" s="49" t="s">
        <v>5125</v>
      </c>
      <c r="G5698" s="49" t="n">
        <v>0</v>
      </c>
      <c r="H5698" s="0" t="n">
        <v>0</v>
      </c>
      <c r="M5698" s="51" t="s">
        <v>10029</v>
      </c>
      <c r="N5698" s="49" t="n">
        <v>0</v>
      </c>
      <c r="O5698" s="53" t="n">
        <v>45881.6225925926</v>
      </c>
      <c r="P5698" s="53" t="n">
        <v>45882.7270023148</v>
      </c>
      <c r="Q5698" s="53" t="n">
        <v>45881.6225925926</v>
      </c>
      <c r="R5698" s="0" t="n">
        <v>0</v>
      </c>
      <c r="S5698" s="51" t="s">
        <v>2401</v>
      </c>
      <c r="T5698" s="51" t="s">
        <v>2401</v>
      </c>
      <c r="U5698" s="0" t="str">
        <f aca="false">"5060175133366"</f>
        <v>5060175133366</v>
      </c>
      <c r="V5698" s="51" t="s">
        <v>2365</v>
      </c>
      <c r="W5698" s="51" t="s">
        <v>8493</v>
      </c>
      <c r="X5698" s="51" t="s">
        <v>2359</v>
      </c>
    </row>
    <row r="5699" customFormat="false" ht="14.25" hidden="true" customHeight="false" outlineLevel="0" collapsed="false">
      <c r="A5699" s="49" t="s">
        <v>2349</v>
      </c>
      <c r="B5699" s="49" t="s">
        <v>2350</v>
      </c>
      <c r="C5699" s="49" t="s">
        <v>10041</v>
      </c>
      <c r="D5699" s="49" t="s">
        <v>2352</v>
      </c>
      <c r="E5699" s="49" t="str">
        <f aca="false">"5060175133366"</f>
        <v>5060175133366</v>
      </c>
      <c r="F5699" s="49" t="s">
        <v>5125</v>
      </c>
      <c r="G5699" s="49" t="n">
        <v>0</v>
      </c>
      <c r="H5699" s="0" t="n">
        <v>0</v>
      </c>
      <c r="M5699" s="51" t="s">
        <v>10029</v>
      </c>
      <c r="N5699" s="49" t="n">
        <v>0</v>
      </c>
      <c r="O5699" s="53" t="n">
        <v>45881.6220486111</v>
      </c>
      <c r="P5699" s="53" t="n">
        <v>45883.7297106482</v>
      </c>
      <c r="Q5699" s="53" t="n">
        <v>45881.6220486111</v>
      </c>
      <c r="R5699" s="0" t="n">
        <v>0</v>
      </c>
      <c r="S5699" s="51" t="s">
        <v>2401</v>
      </c>
      <c r="T5699" s="51" t="s">
        <v>2401</v>
      </c>
      <c r="U5699" s="0" t="str">
        <f aca="false">"5060175133366"</f>
        <v>5060175133366</v>
      </c>
      <c r="V5699" s="51" t="s">
        <v>2365</v>
      </c>
      <c r="W5699" s="51" t="s">
        <v>10042</v>
      </c>
      <c r="X5699" s="51" t="s">
        <v>2359</v>
      </c>
    </row>
    <row r="5700" customFormat="false" ht="14.25" hidden="true" customHeight="false" outlineLevel="0" collapsed="false">
      <c r="A5700" s="49" t="s">
        <v>2349</v>
      </c>
      <c r="B5700" s="49" t="s">
        <v>2350</v>
      </c>
      <c r="C5700" s="49" t="s">
        <v>10043</v>
      </c>
      <c r="D5700" s="49" t="s">
        <v>2352</v>
      </c>
      <c r="E5700" s="49" t="str">
        <f aca="false">"5060175133366"</f>
        <v>5060175133366</v>
      </c>
      <c r="F5700" s="49" t="s">
        <v>5125</v>
      </c>
      <c r="G5700" s="49" t="n">
        <v>0</v>
      </c>
      <c r="H5700" s="0" t="n">
        <v>0</v>
      </c>
      <c r="M5700" s="51" t="s">
        <v>10029</v>
      </c>
      <c r="N5700" s="49" t="n">
        <v>0</v>
      </c>
      <c r="O5700" s="53" t="n">
        <v>45881.6216782407</v>
      </c>
      <c r="P5700" s="53" t="n">
        <v>45888.8146643519</v>
      </c>
      <c r="Q5700" s="53" t="n">
        <v>45881.6216782407</v>
      </c>
      <c r="R5700" s="0" t="n">
        <v>0</v>
      </c>
      <c r="S5700" s="51" t="s">
        <v>2401</v>
      </c>
      <c r="T5700" s="51" t="s">
        <v>2401</v>
      </c>
      <c r="U5700" s="0" t="str">
        <f aca="false">"5060175133366"</f>
        <v>5060175133366</v>
      </c>
      <c r="V5700" s="51" t="s">
        <v>2365</v>
      </c>
      <c r="W5700" s="51" t="s">
        <v>8746</v>
      </c>
      <c r="X5700" s="51" t="s">
        <v>2359</v>
      </c>
    </row>
    <row r="5701" customFormat="false" ht="14.25" hidden="true" customHeight="false" outlineLevel="0" collapsed="false">
      <c r="A5701" s="49" t="s">
        <v>2349</v>
      </c>
      <c r="B5701" s="49" t="s">
        <v>2350</v>
      </c>
      <c r="C5701" s="49" t="s">
        <v>10044</v>
      </c>
      <c r="D5701" s="49" t="s">
        <v>2352</v>
      </c>
      <c r="E5701" s="49" t="str">
        <f aca="false">"5060175133366"</f>
        <v>5060175133366</v>
      </c>
      <c r="F5701" s="49" t="s">
        <v>5125</v>
      </c>
      <c r="G5701" s="49" t="n">
        <v>0</v>
      </c>
      <c r="H5701" s="0" t="n">
        <v>0</v>
      </c>
      <c r="M5701" s="51" t="s">
        <v>10029</v>
      </c>
      <c r="N5701" s="49" t="n">
        <v>0</v>
      </c>
      <c r="O5701" s="53" t="n">
        <v>45881.6209606482</v>
      </c>
      <c r="P5701" s="53" t="n">
        <v>45886.9028472222</v>
      </c>
      <c r="Q5701" s="53" t="n">
        <v>45881.6209606482</v>
      </c>
      <c r="R5701" s="0" t="n">
        <v>0</v>
      </c>
      <c r="S5701" s="51" t="s">
        <v>2401</v>
      </c>
      <c r="T5701" s="51" t="s">
        <v>2401</v>
      </c>
      <c r="U5701" s="0" t="str">
        <f aca="false">"5060175133366"</f>
        <v>5060175133366</v>
      </c>
      <c r="V5701" s="51" t="s">
        <v>2365</v>
      </c>
      <c r="W5701" s="51" t="s">
        <v>10045</v>
      </c>
      <c r="X5701" s="51" t="s">
        <v>2359</v>
      </c>
    </row>
    <row r="5702" customFormat="false" ht="14.25" hidden="true" customHeight="false" outlineLevel="0" collapsed="false">
      <c r="A5702" s="49" t="s">
        <v>2349</v>
      </c>
      <c r="B5702" s="49" t="s">
        <v>2350</v>
      </c>
      <c r="C5702" s="49" t="s">
        <v>10046</v>
      </c>
      <c r="D5702" s="49" t="s">
        <v>2352</v>
      </c>
      <c r="E5702" s="49" t="str">
        <f aca="false">"5060175133366"</f>
        <v>5060175133366</v>
      </c>
      <c r="F5702" s="49" t="s">
        <v>5125</v>
      </c>
      <c r="G5702" s="49" t="n">
        <v>0</v>
      </c>
      <c r="H5702" s="0" t="n">
        <v>0</v>
      </c>
      <c r="M5702" s="51" t="s">
        <v>10029</v>
      </c>
      <c r="N5702" s="49" t="n">
        <v>0</v>
      </c>
      <c r="O5702" s="53" t="n">
        <v>45881.6204166667</v>
      </c>
      <c r="P5702" s="53" t="n">
        <v>45890.6034259259</v>
      </c>
      <c r="Q5702" s="53" t="n">
        <v>45881.6204166667</v>
      </c>
      <c r="R5702" s="0" t="n">
        <v>0</v>
      </c>
      <c r="S5702" s="51" t="s">
        <v>2401</v>
      </c>
      <c r="T5702" s="51" t="s">
        <v>2401</v>
      </c>
      <c r="U5702" s="0" t="str">
        <f aca="false">"5060175133366"</f>
        <v>5060175133366</v>
      </c>
      <c r="V5702" s="51" t="s">
        <v>2365</v>
      </c>
      <c r="W5702" s="51" t="s">
        <v>10047</v>
      </c>
      <c r="X5702" s="51" t="s">
        <v>2359</v>
      </c>
    </row>
    <row r="5703" customFormat="false" ht="14.25" hidden="true" customHeight="false" outlineLevel="0" collapsed="false">
      <c r="A5703" s="49" t="s">
        <v>2349</v>
      </c>
      <c r="B5703" s="49" t="s">
        <v>2350</v>
      </c>
      <c r="C5703" s="49" t="s">
        <v>10048</v>
      </c>
      <c r="D5703" s="49" t="s">
        <v>2352</v>
      </c>
      <c r="E5703" s="49" t="str">
        <f aca="false">"5060175133274"</f>
        <v>5060175133274</v>
      </c>
      <c r="F5703" s="49" t="s">
        <v>5130</v>
      </c>
      <c r="G5703" s="49" t="n">
        <v>0</v>
      </c>
      <c r="H5703" s="0" t="n">
        <v>0</v>
      </c>
      <c r="M5703" s="51" t="s">
        <v>10029</v>
      </c>
      <c r="N5703" s="49" t="n">
        <v>0</v>
      </c>
      <c r="O5703" s="53" t="n">
        <v>45881.6197800926</v>
      </c>
      <c r="P5703" s="53" t="n">
        <v>46012.7892824074</v>
      </c>
      <c r="Q5703" s="53" t="n">
        <v>45881.6197800926</v>
      </c>
      <c r="R5703" s="0" t="n">
        <v>0</v>
      </c>
      <c r="S5703" s="51" t="s">
        <v>2401</v>
      </c>
      <c r="T5703" s="51" t="s">
        <v>2401</v>
      </c>
      <c r="U5703" s="0" t="str">
        <f aca="false">"5060175133274"</f>
        <v>5060175133274</v>
      </c>
      <c r="V5703" s="51" t="s">
        <v>2365</v>
      </c>
      <c r="W5703" s="51" t="s">
        <v>10049</v>
      </c>
      <c r="X5703" s="51" t="s">
        <v>2359</v>
      </c>
    </row>
    <row r="5704" customFormat="false" ht="14.25" hidden="true" customHeight="false" outlineLevel="0" collapsed="false">
      <c r="A5704" s="49" t="s">
        <v>2349</v>
      </c>
      <c r="B5704" s="49" t="s">
        <v>2350</v>
      </c>
      <c r="C5704" s="49" t="s">
        <v>10050</v>
      </c>
      <c r="D5704" s="49" t="s">
        <v>2352</v>
      </c>
      <c r="E5704" s="49" t="str">
        <f aca="false">"5060175133274"</f>
        <v>5060175133274</v>
      </c>
      <c r="F5704" s="49" t="s">
        <v>5130</v>
      </c>
      <c r="G5704" s="49" t="n">
        <v>0</v>
      </c>
      <c r="H5704" s="0" t="n">
        <v>0</v>
      </c>
      <c r="M5704" s="51" t="s">
        <v>10029</v>
      </c>
      <c r="N5704" s="49" t="n">
        <v>0</v>
      </c>
      <c r="O5704" s="53" t="n">
        <v>45881.6194560185</v>
      </c>
      <c r="P5704" s="53" t="n">
        <v>45886.8178472222</v>
      </c>
      <c r="Q5704" s="53" t="n">
        <v>45881.6194560185</v>
      </c>
      <c r="R5704" s="0" t="n">
        <v>0</v>
      </c>
      <c r="S5704" s="51" t="s">
        <v>2401</v>
      </c>
      <c r="T5704" s="51" t="s">
        <v>2401</v>
      </c>
      <c r="U5704" s="0" t="str">
        <f aca="false">"5060175133274"</f>
        <v>5060175133274</v>
      </c>
      <c r="V5704" s="51" t="s">
        <v>2365</v>
      </c>
      <c r="W5704" s="51" t="s">
        <v>10051</v>
      </c>
      <c r="X5704" s="51" t="s">
        <v>2359</v>
      </c>
    </row>
    <row r="5705" customFormat="false" ht="14.25" hidden="true" customHeight="false" outlineLevel="0" collapsed="false">
      <c r="A5705" s="49" t="s">
        <v>2349</v>
      </c>
      <c r="B5705" s="49" t="s">
        <v>2350</v>
      </c>
      <c r="C5705" s="49" t="s">
        <v>10052</v>
      </c>
      <c r="D5705" s="49" t="s">
        <v>2352</v>
      </c>
      <c r="E5705" s="49" t="str">
        <f aca="false">"10110807"</f>
        <v>10110807</v>
      </c>
      <c r="F5705" s="49" t="s">
        <v>10053</v>
      </c>
      <c r="G5705" s="49" t="n">
        <v>0</v>
      </c>
      <c r="H5705" s="0" t="n">
        <v>0</v>
      </c>
      <c r="M5705" s="51" t="s">
        <v>10054</v>
      </c>
      <c r="N5705" s="49" t="n">
        <v>0</v>
      </c>
      <c r="O5705" s="53" t="n">
        <v>45890.4866898148</v>
      </c>
      <c r="P5705" s="53" t="n">
        <v>45964.4084027778</v>
      </c>
      <c r="Q5705" s="53" t="n">
        <v>45890.4866898148</v>
      </c>
      <c r="R5705" s="0" t="n">
        <v>0</v>
      </c>
      <c r="S5705" s="51" t="s">
        <v>2356</v>
      </c>
      <c r="T5705" s="51" t="s">
        <v>2356</v>
      </c>
      <c r="U5705" s="0" t="str">
        <f aca="false">"10110807"</f>
        <v>10110807</v>
      </c>
      <c r="V5705" s="51" t="s">
        <v>2365</v>
      </c>
      <c r="W5705" s="51" t="s">
        <v>7987</v>
      </c>
      <c r="X5705" s="51" t="s">
        <v>2359</v>
      </c>
    </row>
    <row r="5706" customFormat="false" ht="14.25" hidden="true" customHeight="false" outlineLevel="0" collapsed="false">
      <c r="A5706" s="49" t="s">
        <v>2349</v>
      </c>
      <c r="B5706" s="49" t="s">
        <v>2350</v>
      </c>
      <c r="C5706" s="49" t="s">
        <v>10055</v>
      </c>
      <c r="D5706" s="49" t="s">
        <v>2352</v>
      </c>
      <c r="E5706" s="49" t="str">
        <f aca="false">"10110373"</f>
        <v>10110373</v>
      </c>
      <c r="F5706" s="49" t="s">
        <v>10056</v>
      </c>
      <c r="G5706" s="49" t="n">
        <v>0</v>
      </c>
      <c r="H5706" s="0" t="n">
        <v>0</v>
      </c>
      <c r="M5706" s="51" t="s">
        <v>10054</v>
      </c>
      <c r="N5706" s="49" t="n">
        <v>0</v>
      </c>
      <c r="O5706" s="53" t="n">
        <v>45890.4884606482</v>
      </c>
      <c r="P5706" s="53" t="n">
        <v>45990.382962963</v>
      </c>
      <c r="Q5706" s="53" t="n">
        <v>45890.4884606482</v>
      </c>
      <c r="R5706" s="0" t="n">
        <v>0</v>
      </c>
      <c r="S5706" s="51" t="s">
        <v>2356</v>
      </c>
      <c r="T5706" s="51" t="s">
        <v>2356</v>
      </c>
      <c r="U5706" s="0" t="str">
        <f aca="false">"10110373"</f>
        <v>10110373</v>
      </c>
      <c r="V5706" s="51" t="s">
        <v>2365</v>
      </c>
      <c r="W5706" s="51" t="s">
        <v>7992</v>
      </c>
      <c r="X5706" s="51" t="s">
        <v>2359</v>
      </c>
    </row>
    <row r="5707" customFormat="false" ht="14.25" hidden="true" customHeight="false" outlineLevel="0" collapsed="false">
      <c r="A5707" s="49" t="s">
        <v>2349</v>
      </c>
      <c r="B5707" s="49" t="s">
        <v>2350</v>
      </c>
      <c r="C5707" s="49" t="s">
        <v>10057</v>
      </c>
      <c r="D5707" s="49" t="s">
        <v>2352</v>
      </c>
      <c r="E5707" s="49" t="str">
        <f aca="false">"10110809"</f>
        <v>10110809</v>
      </c>
      <c r="F5707" s="49" t="s">
        <v>10058</v>
      </c>
      <c r="G5707" s="49" t="n">
        <v>0</v>
      </c>
      <c r="H5707" s="0" t="n">
        <v>0</v>
      </c>
      <c r="M5707" s="51" t="s">
        <v>10054</v>
      </c>
      <c r="N5707" s="49" t="n">
        <v>0</v>
      </c>
      <c r="O5707" s="53" t="n">
        <v>45890.4891435185</v>
      </c>
      <c r="P5707" s="53" t="n">
        <v>45964.408275463</v>
      </c>
      <c r="Q5707" s="53" t="n">
        <v>45890.4891435185</v>
      </c>
      <c r="R5707" s="0" t="n">
        <v>0</v>
      </c>
      <c r="S5707" s="51" t="s">
        <v>2356</v>
      </c>
      <c r="T5707" s="51" t="s">
        <v>2356</v>
      </c>
      <c r="U5707" s="0" t="str">
        <f aca="false">"10110809"</f>
        <v>10110809</v>
      </c>
      <c r="V5707" s="51" t="s">
        <v>2365</v>
      </c>
      <c r="W5707" s="51" t="s">
        <v>4583</v>
      </c>
      <c r="X5707" s="51" t="s">
        <v>2359</v>
      </c>
    </row>
    <row r="5708" customFormat="false" ht="17.55" hidden="true" customHeight="false" outlineLevel="0" collapsed="false">
      <c r="A5708" s="49" t="s">
        <v>2349</v>
      </c>
      <c r="B5708" s="49" t="s">
        <v>2350</v>
      </c>
      <c r="C5708" s="49" t="s">
        <v>10059</v>
      </c>
      <c r="D5708" s="49" t="s">
        <v>2352</v>
      </c>
      <c r="E5708" s="49" t="s">
        <v>10060</v>
      </c>
      <c r="F5708" s="49" t="s">
        <v>10061</v>
      </c>
      <c r="G5708" s="49" t="n">
        <v>0</v>
      </c>
      <c r="H5708" s="0" t="n">
        <v>0</v>
      </c>
      <c r="M5708" s="51" t="s">
        <v>10062</v>
      </c>
      <c r="N5708" s="49" t="n">
        <v>0</v>
      </c>
      <c r="O5708" s="53" t="n">
        <v>45952.6289236111</v>
      </c>
      <c r="P5708" s="53" t="n">
        <v>45981.8122569444</v>
      </c>
      <c r="Q5708" s="53" t="n">
        <v>45952.6289236111</v>
      </c>
      <c r="R5708" s="0" t="n">
        <v>0</v>
      </c>
      <c r="S5708" s="51" t="s">
        <v>2356</v>
      </c>
      <c r="T5708" s="51" t="s">
        <v>2356</v>
      </c>
      <c r="U5708" s="51" t="s">
        <v>10060</v>
      </c>
      <c r="V5708" s="51" t="s">
        <v>2365</v>
      </c>
      <c r="W5708" s="51" t="s">
        <v>9075</v>
      </c>
      <c r="X5708" s="51" t="s">
        <v>2359</v>
      </c>
    </row>
    <row r="5709" customFormat="false" ht="17.55" hidden="true" customHeight="false" outlineLevel="0" collapsed="false">
      <c r="A5709" s="49" t="s">
        <v>2349</v>
      </c>
      <c r="B5709" s="49" t="s">
        <v>2350</v>
      </c>
      <c r="C5709" s="49" t="s">
        <v>10063</v>
      </c>
      <c r="D5709" s="49" t="s">
        <v>2352</v>
      </c>
      <c r="E5709" s="49" t="s">
        <v>10060</v>
      </c>
      <c r="F5709" s="49" t="s">
        <v>10061</v>
      </c>
      <c r="G5709" s="49" t="n">
        <v>0</v>
      </c>
      <c r="H5709" s="0" t="n">
        <v>0</v>
      </c>
      <c r="M5709" s="51" t="s">
        <v>10062</v>
      </c>
      <c r="N5709" s="49" t="n">
        <v>0</v>
      </c>
      <c r="O5709" s="53" t="n">
        <v>45952.6284027778</v>
      </c>
      <c r="P5709" s="53" t="n">
        <v>45981.8120138889</v>
      </c>
      <c r="Q5709" s="53" t="n">
        <v>45952.6284027778</v>
      </c>
      <c r="R5709" s="0" t="n">
        <v>0</v>
      </c>
      <c r="S5709" s="51" t="s">
        <v>2356</v>
      </c>
      <c r="T5709" s="51" t="s">
        <v>2356</v>
      </c>
      <c r="U5709" s="51" t="s">
        <v>10060</v>
      </c>
      <c r="V5709" s="51" t="s">
        <v>2365</v>
      </c>
      <c r="W5709" s="51" t="s">
        <v>8830</v>
      </c>
      <c r="X5709" s="51" t="s">
        <v>2359</v>
      </c>
    </row>
    <row r="5710" customFormat="false" ht="17.55" hidden="true" customHeight="false" outlineLevel="0" collapsed="false">
      <c r="A5710" s="49" t="s">
        <v>2349</v>
      </c>
      <c r="B5710" s="49" t="s">
        <v>2350</v>
      </c>
      <c r="C5710" s="49" t="s">
        <v>10064</v>
      </c>
      <c r="D5710" s="49" t="s">
        <v>2352</v>
      </c>
      <c r="E5710" s="49" t="s">
        <v>10060</v>
      </c>
      <c r="F5710" s="49" t="s">
        <v>10061</v>
      </c>
      <c r="G5710" s="49" t="n">
        <v>0</v>
      </c>
      <c r="H5710" s="0" t="n">
        <v>0</v>
      </c>
      <c r="M5710" s="51" t="s">
        <v>10062</v>
      </c>
      <c r="N5710" s="49" t="n">
        <v>0</v>
      </c>
      <c r="O5710" s="53" t="n">
        <v>45952.6278587963</v>
      </c>
      <c r="P5710" s="53" t="n">
        <v>45981.8117708333</v>
      </c>
      <c r="Q5710" s="53" t="n">
        <v>45952.6278587963</v>
      </c>
      <c r="R5710" s="0" t="n">
        <v>0</v>
      </c>
      <c r="S5710" s="51" t="s">
        <v>2356</v>
      </c>
      <c r="T5710" s="51" t="s">
        <v>2356</v>
      </c>
      <c r="U5710" s="51" t="s">
        <v>10060</v>
      </c>
      <c r="V5710" s="51" t="s">
        <v>2365</v>
      </c>
      <c r="W5710" s="51" t="s">
        <v>10065</v>
      </c>
      <c r="X5710" s="51" t="s">
        <v>2359</v>
      </c>
    </row>
    <row r="5711" customFormat="false" ht="14.25" hidden="true" customHeight="false" outlineLevel="0" collapsed="false">
      <c r="A5711" s="49" t="s">
        <v>2349</v>
      </c>
      <c r="B5711" s="49" t="s">
        <v>2350</v>
      </c>
      <c r="C5711" s="49" t="s">
        <v>10066</v>
      </c>
      <c r="D5711" s="49" t="s">
        <v>2352</v>
      </c>
      <c r="E5711" s="49" t="s">
        <v>10067</v>
      </c>
      <c r="F5711" s="49" t="s">
        <v>10068</v>
      </c>
      <c r="G5711" s="49" t="n">
        <v>0</v>
      </c>
      <c r="H5711" s="0" t="n">
        <v>0</v>
      </c>
      <c r="M5711" s="51" t="s">
        <v>10062</v>
      </c>
      <c r="N5711" s="49" t="n">
        <v>0</v>
      </c>
      <c r="O5711" s="53" t="n">
        <v>45952.6265277778</v>
      </c>
      <c r="P5711" s="53" t="n">
        <v>45981.8118981481</v>
      </c>
      <c r="Q5711" s="53" t="n">
        <v>45952.6265277778</v>
      </c>
      <c r="R5711" s="0" t="n">
        <v>0</v>
      </c>
      <c r="S5711" s="51" t="s">
        <v>2356</v>
      </c>
      <c r="T5711" s="51" t="s">
        <v>2356</v>
      </c>
      <c r="U5711" s="51" t="s">
        <v>10067</v>
      </c>
      <c r="V5711" s="51" t="s">
        <v>2365</v>
      </c>
      <c r="W5711" s="51" t="s">
        <v>8515</v>
      </c>
      <c r="X5711" s="51" t="s">
        <v>2359</v>
      </c>
    </row>
    <row r="5712" customFormat="false" ht="14.25" hidden="true" customHeight="false" outlineLevel="0" collapsed="false">
      <c r="A5712" s="49" t="s">
        <v>2349</v>
      </c>
      <c r="B5712" s="49" t="s">
        <v>2350</v>
      </c>
      <c r="C5712" s="49" t="s">
        <v>10069</v>
      </c>
      <c r="D5712" s="49" t="s">
        <v>2352</v>
      </c>
      <c r="E5712" s="49" t="s">
        <v>10067</v>
      </c>
      <c r="F5712" s="49" t="s">
        <v>10068</v>
      </c>
      <c r="G5712" s="49" t="n">
        <v>0</v>
      </c>
      <c r="H5712" s="0" t="n">
        <v>0</v>
      </c>
      <c r="M5712" s="51" t="s">
        <v>10062</v>
      </c>
      <c r="N5712" s="49" t="n">
        <v>0</v>
      </c>
      <c r="O5712" s="53" t="n">
        <v>45952.626087963</v>
      </c>
      <c r="P5712" s="53" t="n">
        <v>45981.8121527778</v>
      </c>
      <c r="Q5712" s="53" t="n">
        <v>45952.626087963</v>
      </c>
      <c r="R5712" s="0" t="n">
        <v>0</v>
      </c>
      <c r="S5712" s="51" t="s">
        <v>2356</v>
      </c>
      <c r="T5712" s="51" t="s">
        <v>2356</v>
      </c>
      <c r="U5712" s="51" t="s">
        <v>10067</v>
      </c>
      <c r="V5712" s="51" t="s">
        <v>2365</v>
      </c>
      <c r="W5712" s="51" t="s">
        <v>7221</v>
      </c>
      <c r="X5712" s="51" t="s">
        <v>2359</v>
      </c>
    </row>
    <row r="5713" customFormat="false" ht="14.25" hidden="true" customHeight="false" outlineLevel="0" collapsed="false">
      <c r="A5713" s="49" t="s">
        <v>2349</v>
      </c>
      <c r="B5713" s="49" t="s">
        <v>2350</v>
      </c>
      <c r="C5713" s="49" t="s">
        <v>10070</v>
      </c>
      <c r="D5713" s="49" t="s">
        <v>2352</v>
      </c>
      <c r="E5713" s="49" t="s">
        <v>10067</v>
      </c>
      <c r="F5713" s="49" t="s">
        <v>10068</v>
      </c>
      <c r="G5713" s="49" t="n">
        <v>0</v>
      </c>
      <c r="H5713" s="0" t="n">
        <v>0</v>
      </c>
      <c r="M5713" s="51" t="s">
        <v>10062</v>
      </c>
      <c r="N5713" s="49" t="n">
        <v>0</v>
      </c>
      <c r="O5713" s="53" t="n">
        <v>45952.6254513889</v>
      </c>
      <c r="P5713" s="53" t="n">
        <v>45981.8123611111</v>
      </c>
      <c r="Q5713" s="53" t="n">
        <v>45952.6254513889</v>
      </c>
      <c r="R5713" s="0" t="n">
        <v>0</v>
      </c>
      <c r="S5713" s="51" t="s">
        <v>2356</v>
      </c>
      <c r="T5713" s="51" t="s">
        <v>2356</v>
      </c>
      <c r="U5713" s="51" t="s">
        <v>10067</v>
      </c>
      <c r="V5713" s="51" t="s">
        <v>2365</v>
      </c>
      <c r="W5713" s="51" t="s">
        <v>9075</v>
      </c>
      <c r="X5713" s="51" t="s">
        <v>2359</v>
      </c>
    </row>
    <row r="5714" customFormat="false" ht="17.55" hidden="true" customHeight="false" outlineLevel="0" collapsed="false">
      <c r="A5714" s="49" t="s">
        <v>2349</v>
      </c>
      <c r="B5714" s="49" t="s">
        <v>2350</v>
      </c>
      <c r="C5714" s="49" t="s">
        <v>10071</v>
      </c>
      <c r="D5714" s="49" t="s">
        <v>2352</v>
      </c>
      <c r="E5714" s="49" t="s">
        <v>10072</v>
      </c>
      <c r="F5714" s="49" t="s">
        <v>10073</v>
      </c>
      <c r="G5714" s="49" t="n">
        <v>0</v>
      </c>
      <c r="H5714" s="0" t="n">
        <v>0</v>
      </c>
      <c r="M5714" s="51" t="s">
        <v>10062</v>
      </c>
      <c r="N5714" s="49" t="n">
        <v>0</v>
      </c>
      <c r="O5714" s="53" t="n">
        <v>45952.6239467593</v>
      </c>
      <c r="P5714" s="53" t="n">
        <v>45985.6278009259</v>
      </c>
      <c r="Q5714" s="53" t="n">
        <v>45952.6239467593</v>
      </c>
      <c r="R5714" s="0" t="n">
        <v>0</v>
      </c>
      <c r="S5714" s="51" t="s">
        <v>2356</v>
      </c>
      <c r="T5714" s="51" t="s">
        <v>2356</v>
      </c>
      <c r="U5714" s="51" t="s">
        <v>10072</v>
      </c>
      <c r="V5714" s="51" t="s">
        <v>2365</v>
      </c>
      <c r="W5714" s="51" t="s">
        <v>4594</v>
      </c>
      <c r="X5714" s="51" t="s">
        <v>2359</v>
      </c>
    </row>
    <row r="5715" customFormat="false" ht="17.55" hidden="true" customHeight="false" outlineLevel="0" collapsed="false">
      <c r="A5715" s="49" t="s">
        <v>2349</v>
      </c>
      <c r="B5715" s="49" t="s">
        <v>2350</v>
      </c>
      <c r="C5715" s="49" t="s">
        <v>10074</v>
      </c>
      <c r="D5715" s="49" t="s">
        <v>2352</v>
      </c>
      <c r="E5715" s="49" t="s">
        <v>10072</v>
      </c>
      <c r="F5715" s="49" t="s">
        <v>10073</v>
      </c>
      <c r="G5715" s="49" t="n">
        <v>0</v>
      </c>
      <c r="H5715" s="0" t="n">
        <v>0</v>
      </c>
      <c r="M5715" s="51" t="s">
        <v>10062</v>
      </c>
      <c r="N5715" s="49" t="n">
        <v>0</v>
      </c>
      <c r="O5715" s="53" t="n">
        <v>45952.6233680556</v>
      </c>
      <c r="P5715" s="53" t="n">
        <v>45972.4885069444</v>
      </c>
      <c r="Q5715" s="53" t="n">
        <v>45952.6233680556</v>
      </c>
      <c r="R5715" s="0" t="n">
        <v>0</v>
      </c>
      <c r="S5715" s="51" t="s">
        <v>2356</v>
      </c>
      <c r="T5715" s="51" t="s">
        <v>2356</v>
      </c>
      <c r="U5715" s="51" t="s">
        <v>10072</v>
      </c>
      <c r="V5715" s="51" t="s">
        <v>2365</v>
      </c>
      <c r="W5715" s="51" t="s">
        <v>10075</v>
      </c>
      <c r="X5715" s="51" t="s">
        <v>2359</v>
      </c>
    </row>
    <row r="5716" customFormat="false" ht="17.55" hidden="true" customHeight="false" outlineLevel="0" collapsed="false">
      <c r="A5716" s="49" t="s">
        <v>2349</v>
      </c>
      <c r="B5716" s="49" t="s">
        <v>2350</v>
      </c>
      <c r="C5716" s="49" t="s">
        <v>10076</v>
      </c>
      <c r="D5716" s="49" t="s">
        <v>2352</v>
      </c>
      <c r="E5716" s="49" t="s">
        <v>10077</v>
      </c>
      <c r="F5716" s="49" t="s">
        <v>10078</v>
      </c>
      <c r="G5716" s="49" t="n">
        <v>0</v>
      </c>
      <c r="H5716" s="0" t="n">
        <v>0</v>
      </c>
      <c r="M5716" s="51" t="s">
        <v>10062</v>
      </c>
      <c r="N5716" s="49" t="n">
        <v>0</v>
      </c>
      <c r="O5716" s="53" t="n">
        <v>45952.6216203704</v>
      </c>
      <c r="P5716" s="53" t="n">
        <v>45993.5999884259</v>
      </c>
      <c r="Q5716" s="53" t="n">
        <v>45952.6216203704</v>
      </c>
      <c r="R5716" s="0" t="n">
        <v>0</v>
      </c>
      <c r="S5716" s="51" t="s">
        <v>2356</v>
      </c>
      <c r="T5716" s="51" t="s">
        <v>2356</v>
      </c>
      <c r="U5716" s="51" t="s">
        <v>10077</v>
      </c>
      <c r="V5716" s="51" t="s">
        <v>2365</v>
      </c>
      <c r="W5716" s="51" t="s">
        <v>5324</v>
      </c>
      <c r="X5716" s="51" t="s">
        <v>2359</v>
      </c>
    </row>
    <row r="5717" customFormat="false" ht="17.55" hidden="true" customHeight="false" outlineLevel="0" collapsed="false">
      <c r="A5717" s="49" t="s">
        <v>2349</v>
      </c>
      <c r="B5717" s="49" t="s">
        <v>2350</v>
      </c>
      <c r="C5717" s="49" t="s">
        <v>10079</v>
      </c>
      <c r="D5717" s="49" t="s">
        <v>2352</v>
      </c>
      <c r="E5717" s="49" t="s">
        <v>10077</v>
      </c>
      <c r="F5717" s="49" t="s">
        <v>10078</v>
      </c>
      <c r="G5717" s="49" t="n">
        <v>0</v>
      </c>
      <c r="H5717" s="0" t="n">
        <v>0</v>
      </c>
      <c r="M5717" s="51" t="s">
        <v>10062</v>
      </c>
      <c r="N5717" s="49" t="n">
        <v>0</v>
      </c>
      <c r="O5717" s="53" t="n">
        <v>45952.6210648148</v>
      </c>
      <c r="P5717" s="53" t="n">
        <v>45993.599837963</v>
      </c>
      <c r="Q5717" s="53" t="n">
        <v>45952.6210648148</v>
      </c>
      <c r="R5717" s="0" t="n">
        <v>0</v>
      </c>
      <c r="S5717" s="51" t="s">
        <v>2356</v>
      </c>
      <c r="T5717" s="51" t="s">
        <v>2356</v>
      </c>
      <c r="U5717" s="51" t="s">
        <v>10077</v>
      </c>
      <c r="V5717" s="51" t="s">
        <v>2365</v>
      </c>
      <c r="W5717" s="51" t="s">
        <v>7405</v>
      </c>
      <c r="X5717" s="51" t="s">
        <v>2359</v>
      </c>
    </row>
    <row r="5718" customFormat="false" ht="14.25" hidden="true" customHeight="false" outlineLevel="0" collapsed="false">
      <c r="A5718" s="49" t="s">
        <v>2349</v>
      </c>
      <c r="B5718" s="49" t="s">
        <v>2350</v>
      </c>
      <c r="C5718" s="49" t="s">
        <v>10080</v>
      </c>
      <c r="D5718" s="49" t="s">
        <v>2352</v>
      </c>
      <c r="E5718" s="49" t="str">
        <f aca="false">"5060458890191"</f>
        <v>5060458890191</v>
      </c>
      <c r="F5718" s="49" t="s">
        <v>3656</v>
      </c>
      <c r="G5718" s="49" t="n">
        <v>0</v>
      </c>
      <c r="H5718" s="0" t="n">
        <v>0</v>
      </c>
      <c r="M5718" s="51" t="s">
        <v>10081</v>
      </c>
      <c r="N5718" s="49" t="n">
        <v>0</v>
      </c>
      <c r="O5718" s="53" t="n">
        <v>45949.6653935185</v>
      </c>
      <c r="P5718" s="53" t="n">
        <v>45960.7363425926</v>
      </c>
      <c r="Q5718" s="53" t="n">
        <v>45949.6653935185</v>
      </c>
      <c r="R5718" s="0" t="n">
        <v>0</v>
      </c>
      <c r="S5718" s="51" t="s">
        <v>2364</v>
      </c>
      <c r="T5718" s="51" t="s">
        <v>2364</v>
      </c>
      <c r="U5718" s="0" t="str">
        <f aca="false">"5060458890191"</f>
        <v>5060458890191</v>
      </c>
      <c r="V5718" s="51" t="s">
        <v>2142</v>
      </c>
      <c r="W5718" s="51" t="s">
        <v>10082</v>
      </c>
      <c r="X5718" s="51" t="s">
        <v>2359</v>
      </c>
    </row>
    <row r="5719" customFormat="false" ht="14.25" hidden="true" customHeight="false" outlineLevel="0" collapsed="false">
      <c r="A5719" s="49" t="s">
        <v>2349</v>
      </c>
      <c r="B5719" s="49" t="s">
        <v>2350</v>
      </c>
      <c r="C5719" s="49" t="s">
        <v>10083</v>
      </c>
      <c r="D5719" s="49" t="s">
        <v>2352</v>
      </c>
      <c r="E5719" s="49" t="str">
        <f aca="false">"5060458890191"</f>
        <v>5060458890191</v>
      </c>
      <c r="F5719" s="49" t="s">
        <v>3656</v>
      </c>
      <c r="G5719" s="49" t="n">
        <v>0</v>
      </c>
      <c r="H5719" s="0" t="n">
        <v>0</v>
      </c>
      <c r="M5719" s="51" t="s">
        <v>10081</v>
      </c>
      <c r="N5719" s="49" t="n">
        <v>0</v>
      </c>
      <c r="O5719" s="53" t="n">
        <v>45949.6655671296</v>
      </c>
      <c r="P5719" s="53" t="n">
        <v>45960.738912037</v>
      </c>
      <c r="Q5719" s="53" t="n">
        <v>45949.6655671296</v>
      </c>
      <c r="R5719" s="0" t="n">
        <v>0</v>
      </c>
      <c r="S5719" s="51" t="s">
        <v>2364</v>
      </c>
      <c r="T5719" s="51" t="s">
        <v>2364</v>
      </c>
      <c r="U5719" s="0" t="str">
        <f aca="false">"5060458890191"</f>
        <v>5060458890191</v>
      </c>
      <c r="V5719" s="51" t="s">
        <v>2142</v>
      </c>
      <c r="W5719" s="51" t="s">
        <v>10084</v>
      </c>
      <c r="X5719" s="51" t="s">
        <v>2359</v>
      </c>
    </row>
    <row r="5720" customFormat="false" ht="14.25" hidden="true" customHeight="false" outlineLevel="0" collapsed="false">
      <c r="A5720" s="49" t="s">
        <v>2349</v>
      </c>
      <c r="B5720" s="49" t="s">
        <v>2350</v>
      </c>
      <c r="C5720" s="49" t="s">
        <v>10085</v>
      </c>
      <c r="D5720" s="49" t="s">
        <v>2352</v>
      </c>
      <c r="E5720" s="49" t="str">
        <f aca="false">"5060458890191"</f>
        <v>5060458890191</v>
      </c>
      <c r="F5720" s="49" t="s">
        <v>3656</v>
      </c>
      <c r="G5720" s="49" t="n">
        <v>0</v>
      </c>
      <c r="H5720" s="0" t="n">
        <v>0</v>
      </c>
      <c r="M5720" s="51" t="s">
        <v>10081</v>
      </c>
      <c r="N5720" s="49" t="n">
        <v>0</v>
      </c>
      <c r="O5720" s="53" t="n">
        <v>45949.6661689815</v>
      </c>
      <c r="P5720" s="53" t="n">
        <v>45960.766724537</v>
      </c>
      <c r="Q5720" s="53" t="n">
        <v>45949.6661689815</v>
      </c>
      <c r="R5720" s="0" t="n">
        <v>0</v>
      </c>
      <c r="S5720" s="51" t="s">
        <v>2364</v>
      </c>
      <c r="T5720" s="51" t="s">
        <v>2364</v>
      </c>
      <c r="U5720" s="0" t="str">
        <f aca="false">"5060458890191"</f>
        <v>5060458890191</v>
      </c>
      <c r="V5720" s="51" t="s">
        <v>2142</v>
      </c>
      <c r="W5720" s="51" t="s">
        <v>4901</v>
      </c>
      <c r="X5720" s="51" t="s">
        <v>2359</v>
      </c>
    </row>
    <row r="5721" customFormat="false" ht="14.25" hidden="true" customHeight="false" outlineLevel="0" collapsed="false">
      <c r="A5721" s="49" t="s">
        <v>2349</v>
      </c>
      <c r="B5721" s="49" t="s">
        <v>2350</v>
      </c>
      <c r="C5721" s="49" t="s">
        <v>10086</v>
      </c>
      <c r="D5721" s="49" t="s">
        <v>2352</v>
      </c>
      <c r="E5721" s="49" t="str">
        <f aca="false">"5060458890191"</f>
        <v>5060458890191</v>
      </c>
      <c r="F5721" s="49" t="s">
        <v>3656</v>
      </c>
      <c r="G5721" s="49" t="n">
        <v>0</v>
      </c>
      <c r="H5721" s="0" t="n">
        <v>0</v>
      </c>
      <c r="M5721" s="51" t="s">
        <v>10081</v>
      </c>
      <c r="N5721" s="49" t="n">
        <v>0</v>
      </c>
      <c r="O5721" s="53" t="n">
        <v>45949.666724537</v>
      </c>
      <c r="P5721" s="53" t="n">
        <v>45960.7537152778</v>
      </c>
      <c r="Q5721" s="53" t="n">
        <v>45949.666724537</v>
      </c>
      <c r="R5721" s="0" t="n">
        <v>0</v>
      </c>
      <c r="S5721" s="51" t="s">
        <v>2364</v>
      </c>
      <c r="T5721" s="51" t="s">
        <v>2364</v>
      </c>
      <c r="U5721" s="0" t="str">
        <f aca="false">"5060458890191"</f>
        <v>5060458890191</v>
      </c>
      <c r="V5721" s="51" t="s">
        <v>2142</v>
      </c>
      <c r="W5721" s="51" t="s">
        <v>10087</v>
      </c>
      <c r="X5721" s="51" t="s">
        <v>2359</v>
      </c>
    </row>
    <row r="5722" customFormat="false" ht="14.25" hidden="true" customHeight="false" outlineLevel="0" collapsed="false">
      <c r="A5722" s="49" t="s">
        <v>2349</v>
      </c>
      <c r="B5722" s="49" t="s">
        <v>2350</v>
      </c>
      <c r="C5722" s="49" t="s">
        <v>10088</v>
      </c>
      <c r="D5722" s="49" t="s">
        <v>2352</v>
      </c>
      <c r="E5722" s="49" t="str">
        <f aca="false">"5060458890191"</f>
        <v>5060458890191</v>
      </c>
      <c r="F5722" s="49" t="s">
        <v>3656</v>
      </c>
      <c r="G5722" s="49" t="n">
        <v>0</v>
      </c>
      <c r="H5722" s="0" t="n">
        <v>0</v>
      </c>
      <c r="M5722" s="51" t="s">
        <v>10081</v>
      </c>
      <c r="N5722" s="49" t="n">
        <v>0</v>
      </c>
      <c r="O5722" s="53" t="n">
        <v>45949.6670023148</v>
      </c>
      <c r="P5722" s="53" t="n">
        <v>45960.7594675926</v>
      </c>
      <c r="Q5722" s="53" t="n">
        <v>45949.6670023148</v>
      </c>
      <c r="R5722" s="0" t="n">
        <v>0</v>
      </c>
      <c r="S5722" s="51" t="s">
        <v>2364</v>
      </c>
      <c r="T5722" s="51" t="s">
        <v>2364</v>
      </c>
      <c r="U5722" s="0" t="str">
        <f aca="false">"5060458890191"</f>
        <v>5060458890191</v>
      </c>
      <c r="V5722" s="51" t="s">
        <v>2142</v>
      </c>
      <c r="W5722" s="51" t="s">
        <v>10089</v>
      </c>
      <c r="X5722" s="51" t="s">
        <v>2359</v>
      </c>
    </row>
    <row r="5723" customFormat="false" ht="14.25" hidden="true" customHeight="false" outlineLevel="0" collapsed="false">
      <c r="A5723" s="49" t="s">
        <v>2349</v>
      </c>
      <c r="B5723" s="49" t="s">
        <v>2350</v>
      </c>
      <c r="C5723" s="49" t="s">
        <v>10090</v>
      </c>
      <c r="D5723" s="49" t="s">
        <v>2352</v>
      </c>
      <c r="E5723" s="49" t="str">
        <f aca="false">"5060458890191"</f>
        <v>5060458890191</v>
      </c>
      <c r="F5723" s="49" t="s">
        <v>3656</v>
      </c>
      <c r="G5723" s="49" t="n">
        <v>0</v>
      </c>
      <c r="H5723" s="0" t="n">
        <v>0</v>
      </c>
      <c r="M5723" s="51" t="s">
        <v>10081</v>
      </c>
      <c r="N5723" s="49" t="n">
        <v>0</v>
      </c>
      <c r="O5723" s="53" t="n">
        <v>45949.662025463</v>
      </c>
      <c r="P5723" s="53" t="n">
        <v>45959.7586574074</v>
      </c>
      <c r="Q5723" s="53" t="n">
        <v>45949.662025463</v>
      </c>
      <c r="R5723" s="0" t="n">
        <v>0</v>
      </c>
      <c r="S5723" s="51" t="s">
        <v>2364</v>
      </c>
      <c r="T5723" s="51" t="s">
        <v>2364</v>
      </c>
      <c r="U5723" s="0" t="str">
        <f aca="false">"5060458890191"</f>
        <v>5060458890191</v>
      </c>
      <c r="V5723" s="51" t="s">
        <v>2142</v>
      </c>
      <c r="W5723" s="51" t="s">
        <v>10091</v>
      </c>
      <c r="X5723" s="51" t="s">
        <v>2359</v>
      </c>
    </row>
    <row r="5724" customFormat="false" ht="14.25" hidden="true" customHeight="false" outlineLevel="0" collapsed="false">
      <c r="A5724" s="49" t="s">
        <v>2349</v>
      </c>
      <c r="B5724" s="49" t="s">
        <v>2350</v>
      </c>
      <c r="C5724" s="49" t="s">
        <v>10092</v>
      </c>
      <c r="D5724" s="49" t="s">
        <v>2352</v>
      </c>
      <c r="E5724" s="49" t="str">
        <f aca="false">"5060458890191"</f>
        <v>5060458890191</v>
      </c>
      <c r="F5724" s="49" t="s">
        <v>3656</v>
      </c>
      <c r="G5724" s="49" t="n">
        <v>0</v>
      </c>
      <c r="H5724" s="0" t="n">
        <v>0</v>
      </c>
      <c r="M5724" s="51" t="s">
        <v>10081</v>
      </c>
      <c r="N5724" s="49" t="n">
        <v>0</v>
      </c>
      <c r="O5724" s="53" t="n">
        <v>45949.6621875</v>
      </c>
      <c r="P5724" s="53" t="n">
        <v>45959.7593171296</v>
      </c>
      <c r="Q5724" s="53" t="n">
        <v>45949.6621875</v>
      </c>
      <c r="R5724" s="0" t="n">
        <v>0</v>
      </c>
      <c r="S5724" s="51" t="s">
        <v>2364</v>
      </c>
      <c r="T5724" s="51" t="s">
        <v>2364</v>
      </c>
      <c r="U5724" s="0" t="str">
        <f aca="false">"5060458890191"</f>
        <v>5060458890191</v>
      </c>
      <c r="V5724" s="51" t="s">
        <v>2142</v>
      </c>
      <c r="W5724" s="51" t="s">
        <v>10093</v>
      </c>
      <c r="X5724" s="51" t="s">
        <v>2359</v>
      </c>
    </row>
    <row r="5725" customFormat="false" ht="14.25" hidden="true" customHeight="false" outlineLevel="0" collapsed="false">
      <c r="A5725" s="49" t="s">
        <v>2349</v>
      </c>
      <c r="B5725" s="49" t="s">
        <v>2350</v>
      </c>
      <c r="C5725" s="49" t="s">
        <v>10094</v>
      </c>
      <c r="D5725" s="49" t="s">
        <v>2352</v>
      </c>
      <c r="E5725" s="49" t="str">
        <f aca="false">"5060458890191"</f>
        <v>5060458890191</v>
      </c>
      <c r="F5725" s="49" t="s">
        <v>3656</v>
      </c>
      <c r="G5725" s="49" t="n">
        <v>0</v>
      </c>
      <c r="H5725" s="0" t="n">
        <v>0</v>
      </c>
      <c r="M5725" s="51" t="s">
        <v>10081</v>
      </c>
      <c r="N5725" s="49" t="n">
        <v>0</v>
      </c>
      <c r="O5725" s="53" t="n">
        <v>45949.6624074074</v>
      </c>
      <c r="P5725" s="53" t="n">
        <v>45959.7587847222</v>
      </c>
      <c r="Q5725" s="53" t="n">
        <v>45949.6624074074</v>
      </c>
      <c r="R5725" s="0" t="n">
        <v>0</v>
      </c>
      <c r="S5725" s="51" t="s">
        <v>2364</v>
      </c>
      <c r="T5725" s="51" t="s">
        <v>2364</v>
      </c>
      <c r="U5725" s="0" t="str">
        <f aca="false">"5060458890191"</f>
        <v>5060458890191</v>
      </c>
      <c r="V5725" s="51" t="s">
        <v>2142</v>
      </c>
      <c r="W5725" s="51" t="s">
        <v>10095</v>
      </c>
      <c r="X5725" s="51" t="s">
        <v>2359</v>
      </c>
    </row>
    <row r="5726" customFormat="false" ht="14.25" hidden="true" customHeight="false" outlineLevel="0" collapsed="false">
      <c r="A5726" s="49" t="s">
        <v>2349</v>
      </c>
      <c r="B5726" s="49" t="s">
        <v>2350</v>
      </c>
      <c r="C5726" s="49" t="s">
        <v>10096</v>
      </c>
      <c r="D5726" s="49" t="s">
        <v>2352</v>
      </c>
      <c r="E5726" s="49" t="str">
        <f aca="false">"5060458890191"</f>
        <v>5060458890191</v>
      </c>
      <c r="F5726" s="49" t="s">
        <v>3656</v>
      </c>
      <c r="G5726" s="49" t="n">
        <v>0</v>
      </c>
      <c r="H5726" s="0" t="n">
        <v>0</v>
      </c>
      <c r="M5726" s="51" t="s">
        <v>10081</v>
      </c>
      <c r="N5726" s="49" t="n">
        <v>0</v>
      </c>
      <c r="O5726" s="53" t="n">
        <v>45949.6649189815</v>
      </c>
      <c r="P5726" s="53" t="n">
        <v>45960.7262731481</v>
      </c>
      <c r="Q5726" s="53" t="n">
        <v>45949.6649189815</v>
      </c>
      <c r="R5726" s="0" t="n">
        <v>0</v>
      </c>
      <c r="S5726" s="51" t="s">
        <v>2364</v>
      </c>
      <c r="T5726" s="51" t="s">
        <v>2364</v>
      </c>
      <c r="U5726" s="0" t="str">
        <f aca="false">"5060458890191"</f>
        <v>5060458890191</v>
      </c>
      <c r="V5726" s="51" t="s">
        <v>2142</v>
      </c>
      <c r="W5726" s="51" t="s">
        <v>10097</v>
      </c>
      <c r="X5726" s="51" t="s">
        <v>2359</v>
      </c>
    </row>
    <row r="5727" customFormat="false" ht="14.25" hidden="true" customHeight="false" outlineLevel="0" collapsed="false">
      <c r="A5727" s="49" t="s">
        <v>2349</v>
      </c>
      <c r="B5727" s="49" t="s">
        <v>2350</v>
      </c>
      <c r="C5727" s="49" t="s">
        <v>10098</v>
      </c>
      <c r="D5727" s="49" t="s">
        <v>2352</v>
      </c>
      <c r="E5727" s="49" t="str">
        <f aca="false">"5060458890191"</f>
        <v>5060458890191</v>
      </c>
      <c r="F5727" s="49" t="s">
        <v>3656</v>
      </c>
      <c r="G5727" s="49" t="n">
        <v>0</v>
      </c>
      <c r="H5727" s="0" t="n">
        <v>0</v>
      </c>
      <c r="M5727" s="51" t="s">
        <v>10081</v>
      </c>
      <c r="N5727" s="49" t="n">
        <v>0</v>
      </c>
      <c r="O5727" s="53" t="n">
        <v>45949.6650810185</v>
      </c>
      <c r="P5727" s="53" t="n">
        <v>45960.7352199074</v>
      </c>
      <c r="Q5727" s="53" t="n">
        <v>45949.6650810185</v>
      </c>
      <c r="R5727" s="0" t="n">
        <v>0</v>
      </c>
      <c r="S5727" s="51" t="s">
        <v>2364</v>
      </c>
      <c r="T5727" s="51" t="s">
        <v>2364</v>
      </c>
      <c r="U5727" s="0" t="str">
        <f aca="false">"5060458890191"</f>
        <v>5060458890191</v>
      </c>
      <c r="V5727" s="51" t="s">
        <v>2142</v>
      </c>
      <c r="W5727" s="51" t="s">
        <v>9904</v>
      </c>
      <c r="X5727" s="51" t="s">
        <v>2359</v>
      </c>
    </row>
    <row r="5728" customFormat="false" ht="14.25" hidden="true" customHeight="false" outlineLevel="0" collapsed="false">
      <c r="A5728" s="49" t="s">
        <v>2349</v>
      </c>
      <c r="B5728" s="49" t="s">
        <v>2350</v>
      </c>
      <c r="C5728" s="49" t="s">
        <v>10099</v>
      </c>
      <c r="D5728" s="49" t="s">
        <v>2352</v>
      </c>
      <c r="E5728" s="49" t="str">
        <f aca="false">"5060458890191"</f>
        <v>5060458890191</v>
      </c>
      <c r="F5728" s="49" t="s">
        <v>3656</v>
      </c>
      <c r="G5728" s="49" t="n">
        <v>0</v>
      </c>
      <c r="H5728" s="0" t="n">
        <v>0</v>
      </c>
      <c r="M5728" s="51" t="s">
        <v>10081</v>
      </c>
      <c r="N5728" s="49" t="n">
        <v>0</v>
      </c>
      <c r="O5728" s="53" t="n">
        <v>45949.6652083333</v>
      </c>
      <c r="P5728" s="53" t="n">
        <v>45960.7405324074</v>
      </c>
      <c r="Q5728" s="53" t="n">
        <v>45949.6652083333</v>
      </c>
      <c r="R5728" s="0" t="n">
        <v>0</v>
      </c>
      <c r="S5728" s="51" t="s">
        <v>2364</v>
      </c>
      <c r="T5728" s="51" t="s">
        <v>2364</v>
      </c>
      <c r="U5728" s="0" t="str">
        <f aca="false">"5060458890191"</f>
        <v>5060458890191</v>
      </c>
      <c r="V5728" s="51" t="s">
        <v>2142</v>
      </c>
      <c r="W5728" s="51" t="s">
        <v>10100</v>
      </c>
      <c r="X5728" s="51" t="s">
        <v>2359</v>
      </c>
    </row>
    <row r="5729" customFormat="false" ht="14.25" hidden="true" customHeight="false" outlineLevel="0" collapsed="false">
      <c r="A5729" s="49" t="s">
        <v>2349</v>
      </c>
      <c r="B5729" s="49" t="s">
        <v>2350</v>
      </c>
      <c r="C5729" s="49" t="s">
        <v>10101</v>
      </c>
      <c r="D5729" s="49" t="s">
        <v>2352</v>
      </c>
      <c r="E5729" s="49" t="str">
        <f aca="false">"5060458890191"</f>
        <v>5060458890191</v>
      </c>
      <c r="F5729" s="49" t="s">
        <v>3656</v>
      </c>
      <c r="G5729" s="49" t="n">
        <v>0</v>
      </c>
      <c r="H5729" s="0" t="n">
        <v>0</v>
      </c>
      <c r="M5729" s="51" t="s">
        <v>10081</v>
      </c>
      <c r="N5729" s="49" t="n">
        <v>0</v>
      </c>
      <c r="O5729" s="53" t="n">
        <v>45949.6613078704</v>
      </c>
      <c r="P5729" s="53" t="n">
        <v>45960.7169560185</v>
      </c>
      <c r="Q5729" s="53" t="n">
        <v>45949.6613078704</v>
      </c>
      <c r="R5729" s="0" t="n">
        <v>0</v>
      </c>
      <c r="S5729" s="51" t="s">
        <v>2364</v>
      </c>
      <c r="T5729" s="51" t="s">
        <v>2364</v>
      </c>
      <c r="U5729" s="0" t="str">
        <f aca="false">"5060458890191"</f>
        <v>5060458890191</v>
      </c>
      <c r="V5729" s="51" t="s">
        <v>2142</v>
      </c>
      <c r="W5729" s="51" t="s">
        <v>10102</v>
      </c>
      <c r="X5729" s="51" t="s">
        <v>2359</v>
      </c>
    </row>
    <row r="5730" customFormat="false" ht="14.25" hidden="true" customHeight="false" outlineLevel="0" collapsed="false">
      <c r="A5730" s="49" t="s">
        <v>2349</v>
      </c>
      <c r="B5730" s="49" t="s">
        <v>2350</v>
      </c>
      <c r="C5730" s="49" t="s">
        <v>10103</v>
      </c>
      <c r="D5730" s="49" t="s">
        <v>2352</v>
      </c>
      <c r="E5730" s="49" t="str">
        <f aca="false">"5060458890191"</f>
        <v>5060458890191</v>
      </c>
      <c r="F5730" s="49" t="s">
        <v>3656</v>
      </c>
      <c r="G5730" s="49" t="n">
        <v>0</v>
      </c>
      <c r="H5730" s="0" t="n">
        <v>0</v>
      </c>
      <c r="M5730" s="51" t="s">
        <v>10081</v>
      </c>
      <c r="N5730" s="49" t="n">
        <v>0</v>
      </c>
      <c r="O5730" s="53" t="n">
        <v>45949.6609953704</v>
      </c>
      <c r="P5730" s="53" t="n">
        <v>45960.760150463</v>
      </c>
      <c r="Q5730" s="53" t="n">
        <v>45949.6609953704</v>
      </c>
      <c r="R5730" s="0" t="n">
        <v>0</v>
      </c>
      <c r="S5730" s="51" t="s">
        <v>2364</v>
      </c>
      <c r="T5730" s="51" t="s">
        <v>2364</v>
      </c>
      <c r="U5730" s="0" t="str">
        <f aca="false">"5060458890191"</f>
        <v>5060458890191</v>
      </c>
      <c r="V5730" s="51" t="s">
        <v>2142</v>
      </c>
      <c r="W5730" s="51" t="s">
        <v>10104</v>
      </c>
      <c r="X5730" s="51" t="s">
        <v>2359</v>
      </c>
    </row>
    <row r="5731" customFormat="false" ht="14.25" hidden="true" customHeight="false" outlineLevel="0" collapsed="false">
      <c r="A5731" s="49" t="s">
        <v>2349</v>
      </c>
      <c r="B5731" s="49" t="s">
        <v>2350</v>
      </c>
      <c r="C5731" s="49" t="s">
        <v>10105</v>
      </c>
      <c r="D5731" s="49" t="s">
        <v>2352</v>
      </c>
      <c r="E5731" s="49" t="str">
        <f aca="false">"5060458890191"</f>
        <v>5060458890191</v>
      </c>
      <c r="F5731" s="49" t="s">
        <v>3656</v>
      </c>
      <c r="G5731" s="49" t="n">
        <v>0</v>
      </c>
      <c r="H5731" s="0" t="n">
        <v>0</v>
      </c>
      <c r="M5731" s="51" t="s">
        <v>10081</v>
      </c>
      <c r="N5731" s="49" t="n">
        <v>0</v>
      </c>
      <c r="O5731" s="53" t="n">
        <v>45949.6605555556</v>
      </c>
      <c r="P5731" s="53" t="n">
        <v>45960.4388078704</v>
      </c>
      <c r="Q5731" s="53" t="n">
        <v>45949.6605555556</v>
      </c>
      <c r="R5731" s="0" t="n">
        <v>0</v>
      </c>
      <c r="S5731" s="51" t="s">
        <v>2364</v>
      </c>
      <c r="T5731" s="51" t="s">
        <v>2364</v>
      </c>
      <c r="U5731" s="0" t="str">
        <f aca="false">"5060458890191"</f>
        <v>5060458890191</v>
      </c>
      <c r="V5731" s="51" t="s">
        <v>2142</v>
      </c>
      <c r="W5731" s="51" t="s">
        <v>4545</v>
      </c>
      <c r="X5731" s="51" t="s">
        <v>2359</v>
      </c>
    </row>
    <row r="5732" customFormat="false" ht="14.25" hidden="true" customHeight="false" outlineLevel="0" collapsed="false">
      <c r="A5732" s="49" t="s">
        <v>2349</v>
      </c>
      <c r="B5732" s="49" t="s">
        <v>2350</v>
      </c>
      <c r="C5732" s="49" t="s">
        <v>10106</v>
      </c>
      <c r="D5732" s="49" t="s">
        <v>2352</v>
      </c>
      <c r="E5732" s="49" t="str">
        <f aca="false">"5060458890191"</f>
        <v>5060458890191</v>
      </c>
      <c r="F5732" s="49" t="s">
        <v>3656</v>
      </c>
      <c r="G5732" s="49" t="n">
        <v>0</v>
      </c>
      <c r="H5732" s="0" t="n">
        <v>0</v>
      </c>
      <c r="M5732" s="51" t="s">
        <v>10081</v>
      </c>
      <c r="N5732" s="49" t="n">
        <v>0</v>
      </c>
      <c r="O5732" s="53" t="n">
        <v>45949.6603356482</v>
      </c>
      <c r="P5732" s="53" t="n">
        <v>45960.4374074074</v>
      </c>
      <c r="Q5732" s="53" t="n">
        <v>45949.6603356482</v>
      </c>
      <c r="R5732" s="0" t="n">
        <v>0</v>
      </c>
      <c r="S5732" s="51" t="s">
        <v>2364</v>
      </c>
      <c r="T5732" s="51" t="s">
        <v>2364</v>
      </c>
      <c r="U5732" s="0" t="str">
        <f aca="false">"5060458890191"</f>
        <v>5060458890191</v>
      </c>
      <c r="V5732" s="51" t="s">
        <v>2142</v>
      </c>
      <c r="W5732" s="51" t="s">
        <v>10107</v>
      </c>
      <c r="X5732" s="51" t="s">
        <v>2359</v>
      </c>
    </row>
    <row r="5733" customFormat="false" ht="14.25" hidden="true" customHeight="false" outlineLevel="0" collapsed="false">
      <c r="A5733" s="49" t="s">
        <v>2349</v>
      </c>
      <c r="B5733" s="49" t="s">
        <v>2350</v>
      </c>
      <c r="C5733" s="49" t="s">
        <v>10108</v>
      </c>
      <c r="D5733" s="49" t="s">
        <v>2352</v>
      </c>
      <c r="E5733" s="49" t="str">
        <f aca="false">"5060458890191"</f>
        <v>5060458890191</v>
      </c>
      <c r="F5733" s="49" t="s">
        <v>3656</v>
      </c>
      <c r="G5733" s="49" t="n">
        <v>0</v>
      </c>
      <c r="H5733" s="0" t="n">
        <v>0</v>
      </c>
      <c r="M5733" s="51" t="s">
        <v>10081</v>
      </c>
      <c r="N5733" s="49" t="n">
        <v>0</v>
      </c>
      <c r="O5733" s="53" t="n">
        <v>45949.6601736111</v>
      </c>
      <c r="P5733" s="53" t="n">
        <v>45959.7591203704</v>
      </c>
      <c r="Q5733" s="53" t="n">
        <v>45949.6601736111</v>
      </c>
      <c r="R5733" s="0" t="n">
        <v>0</v>
      </c>
      <c r="S5733" s="51" t="s">
        <v>2364</v>
      </c>
      <c r="T5733" s="51" t="s">
        <v>2364</v>
      </c>
      <c r="U5733" s="0" t="str">
        <f aca="false">"5060458890191"</f>
        <v>5060458890191</v>
      </c>
      <c r="V5733" s="51" t="s">
        <v>2142</v>
      </c>
      <c r="W5733" s="51" t="s">
        <v>10109</v>
      </c>
      <c r="X5733" s="51" t="s">
        <v>2359</v>
      </c>
    </row>
    <row r="5734" customFormat="false" ht="14.25" hidden="true" customHeight="false" outlineLevel="0" collapsed="false">
      <c r="A5734" s="49" t="s">
        <v>2349</v>
      </c>
      <c r="B5734" s="49" t="s">
        <v>2350</v>
      </c>
      <c r="C5734" s="49" t="s">
        <v>10110</v>
      </c>
      <c r="D5734" s="49" t="s">
        <v>2352</v>
      </c>
      <c r="E5734" s="49" t="str">
        <f aca="false">"5060458890191"</f>
        <v>5060458890191</v>
      </c>
      <c r="F5734" s="49" t="s">
        <v>3656</v>
      </c>
      <c r="G5734" s="49" t="n">
        <v>0</v>
      </c>
      <c r="H5734" s="0" t="n">
        <v>0</v>
      </c>
      <c r="M5734" s="51" t="s">
        <v>10081</v>
      </c>
      <c r="N5734" s="49" t="n">
        <v>0</v>
      </c>
      <c r="O5734" s="53" t="n">
        <v>45949.659837963</v>
      </c>
      <c r="P5734" s="53" t="n">
        <v>45959.7582986111</v>
      </c>
      <c r="Q5734" s="53" t="n">
        <v>45949.659837963</v>
      </c>
      <c r="R5734" s="0" t="n">
        <v>0</v>
      </c>
      <c r="S5734" s="51" t="s">
        <v>2364</v>
      </c>
      <c r="T5734" s="51" t="s">
        <v>2364</v>
      </c>
      <c r="U5734" s="0" t="str">
        <f aca="false">"5060458890191"</f>
        <v>5060458890191</v>
      </c>
      <c r="V5734" s="51" t="s">
        <v>2142</v>
      </c>
      <c r="W5734" s="51" t="s">
        <v>10111</v>
      </c>
      <c r="X5734" s="51" t="s">
        <v>2359</v>
      </c>
    </row>
    <row r="5735" customFormat="false" ht="14.25" hidden="true" customHeight="false" outlineLevel="0" collapsed="false">
      <c r="A5735" s="49" t="s">
        <v>2349</v>
      </c>
      <c r="B5735" s="49" t="s">
        <v>2350</v>
      </c>
      <c r="C5735" s="49" t="s">
        <v>10112</v>
      </c>
      <c r="D5735" s="49" t="s">
        <v>2352</v>
      </c>
      <c r="E5735" s="49" t="str">
        <f aca="false">"5060458890191"</f>
        <v>5060458890191</v>
      </c>
      <c r="F5735" s="49" t="s">
        <v>3656</v>
      </c>
      <c r="G5735" s="49" t="n">
        <v>0</v>
      </c>
      <c r="H5735" s="0" t="n">
        <v>0</v>
      </c>
      <c r="M5735" s="51" t="s">
        <v>10081</v>
      </c>
      <c r="N5735" s="49" t="n">
        <v>0</v>
      </c>
      <c r="O5735" s="53" t="n">
        <v>45949.6577777778</v>
      </c>
      <c r="P5735" s="53" t="n">
        <v>45959.7589814815</v>
      </c>
      <c r="Q5735" s="53" t="n">
        <v>45949.6577777778</v>
      </c>
      <c r="R5735" s="0" t="n">
        <v>0</v>
      </c>
      <c r="S5735" s="51" t="s">
        <v>2364</v>
      </c>
      <c r="T5735" s="51" t="s">
        <v>2364</v>
      </c>
      <c r="U5735" s="0" t="str">
        <f aca="false">"5060458890191"</f>
        <v>5060458890191</v>
      </c>
      <c r="V5735" s="51" t="s">
        <v>2142</v>
      </c>
      <c r="W5735" s="51" t="s">
        <v>10113</v>
      </c>
      <c r="X5735" s="51" t="s">
        <v>2359</v>
      </c>
    </row>
    <row r="5736" customFormat="false" ht="14.25" hidden="true" customHeight="false" outlineLevel="0" collapsed="false">
      <c r="A5736" s="49" t="s">
        <v>2349</v>
      </c>
      <c r="B5736" s="49" t="s">
        <v>2350</v>
      </c>
      <c r="C5736" s="49" t="s">
        <v>10114</v>
      </c>
      <c r="D5736" s="49" t="s">
        <v>2352</v>
      </c>
      <c r="E5736" s="49" t="str">
        <f aca="false">"5060458890191"</f>
        <v>5060458890191</v>
      </c>
      <c r="F5736" s="49" t="s">
        <v>3656</v>
      </c>
      <c r="G5736" s="49" t="n">
        <v>0</v>
      </c>
      <c r="H5736" s="0" t="n">
        <v>0</v>
      </c>
      <c r="M5736" s="51" t="s">
        <v>10081</v>
      </c>
      <c r="N5736" s="49" t="n">
        <v>0</v>
      </c>
      <c r="O5736" s="53" t="n">
        <v>45949.6584606482</v>
      </c>
      <c r="P5736" s="53" t="n">
        <v>45959.7587152778</v>
      </c>
      <c r="Q5736" s="53" t="n">
        <v>45949.6584606482</v>
      </c>
      <c r="R5736" s="0" t="n">
        <v>0</v>
      </c>
      <c r="S5736" s="51" t="s">
        <v>2364</v>
      </c>
      <c r="T5736" s="51" t="s">
        <v>2364</v>
      </c>
      <c r="U5736" s="0" t="str">
        <f aca="false">"5060458890191"</f>
        <v>5060458890191</v>
      </c>
      <c r="V5736" s="51" t="s">
        <v>2142</v>
      </c>
      <c r="W5736" s="51" t="s">
        <v>10115</v>
      </c>
      <c r="X5736" s="51" t="s">
        <v>2359</v>
      </c>
    </row>
    <row r="5737" customFormat="false" ht="14.25" hidden="true" customHeight="false" outlineLevel="0" collapsed="false">
      <c r="A5737" s="49" t="s">
        <v>2349</v>
      </c>
      <c r="B5737" s="49" t="s">
        <v>2350</v>
      </c>
      <c r="C5737" s="49" t="s">
        <v>10116</v>
      </c>
      <c r="D5737" s="49" t="s">
        <v>2352</v>
      </c>
      <c r="E5737" s="49" t="str">
        <f aca="false">"5060458890191"</f>
        <v>5060458890191</v>
      </c>
      <c r="F5737" s="49" t="s">
        <v>3656</v>
      </c>
      <c r="G5737" s="49" t="n">
        <v>0</v>
      </c>
      <c r="H5737" s="0" t="n">
        <v>0</v>
      </c>
      <c r="M5737" s="51" t="s">
        <v>10081</v>
      </c>
      <c r="N5737" s="49" t="n">
        <v>0</v>
      </c>
      <c r="O5737" s="53" t="n">
        <v>45949.6586111111</v>
      </c>
      <c r="P5737" s="53" t="n">
        <v>45962.4089814815</v>
      </c>
      <c r="Q5737" s="53" t="n">
        <v>45949.6586111111</v>
      </c>
      <c r="R5737" s="0" t="n">
        <v>0</v>
      </c>
      <c r="S5737" s="51" t="s">
        <v>2364</v>
      </c>
      <c r="T5737" s="51" t="s">
        <v>2364</v>
      </c>
      <c r="U5737" s="0" t="str">
        <f aca="false">"5060458890191"</f>
        <v>5060458890191</v>
      </c>
      <c r="V5737" s="51" t="s">
        <v>2142</v>
      </c>
      <c r="W5737" s="51" t="s">
        <v>10117</v>
      </c>
      <c r="X5737" s="51" t="s">
        <v>2359</v>
      </c>
    </row>
    <row r="5738" customFormat="false" ht="14.25" hidden="true" customHeight="false" outlineLevel="0" collapsed="false">
      <c r="A5738" s="49" t="s">
        <v>2349</v>
      </c>
      <c r="B5738" s="49" t="s">
        <v>2350</v>
      </c>
      <c r="C5738" s="49" t="s">
        <v>10118</v>
      </c>
      <c r="D5738" s="49" t="s">
        <v>2352</v>
      </c>
      <c r="E5738" s="49" t="str">
        <f aca="false">"5060458890191"</f>
        <v>5060458890191</v>
      </c>
      <c r="F5738" s="49" t="s">
        <v>3656</v>
      </c>
      <c r="G5738" s="49" t="n">
        <v>0</v>
      </c>
      <c r="H5738" s="0" t="n">
        <v>0</v>
      </c>
      <c r="M5738" s="51" t="s">
        <v>10081</v>
      </c>
      <c r="N5738" s="49" t="n">
        <v>0</v>
      </c>
      <c r="O5738" s="53" t="n">
        <v>45949.6588657407</v>
      </c>
      <c r="P5738" s="53" t="n">
        <v>45959.7607638889</v>
      </c>
      <c r="Q5738" s="53" t="n">
        <v>45949.6588657407</v>
      </c>
      <c r="R5738" s="0" t="n">
        <v>0</v>
      </c>
      <c r="S5738" s="51" t="s">
        <v>2364</v>
      </c>
      <c r="T5738" s="51" t="s">
        <v>2364</v>
      </c>
      <c r="U5738" s="0" t="str">
        <f aca="false">"5060458890191"</f>
        <v>5060458890191</v>
      </c>
      <c r="V5738" s="51" t="s">
        <v>2142</v>
      </c>
      <c r="W5738" s="51" t="s">
        <v>10119</v>
      </c>
      <c r="X5738" s="51" t="s">
        <v>2359</v>
      </c>
    </row>
    <row r="5739" customFormat="false" ht="14.25" hidden="true" customHeight="false" outlineLevel="0" collapsed="false">
      <c r="A5739" s="49" t="s">
        <v>2349</v>
      </c>
      <c r="B5739" s="49" t="s">
        <v>2350</v>
      </c>
      <c r="C5739" s="49" t="s">
        <v>10120</v>
      </c>
      <c r="D5739" s="49" t="s">
        <v>2352</v>
      </c>
      <c r="E5739" s="49" t="str">
        <f aca="false">"5060458890191"</f>
        <v>5060458890191</v>
      </c>
      <c r="F5739" s="49" t="s">
        <v>3656</v>
      </c>
      <c r="G5739" s="49" t="n">
        <v>0</v>
      </c>
      <c r="H5739" s="0" t="n">
        <v>0</v>
      </c>
      <c r="M5739" s="51" t="s">
        <v>10081</v>
      </c>
      <c r="N5739" s="49" t="n">
        <v>0</v>
      </c>
      <c r="O5739" s="53" t="n">
        <v>45949.6592361111</v>
      </c>
      <c r="P5739" s="53" t="n">
        <v>45960.4385300926</v>
      </c>
      <c r="Q5739" s="53" t="n">
        <v>45949.6592361111</v>
      </c>
      <c r="R5739" s="0" t="n">
        <v>0</v>
      </c>
      <c r="S5739" s="51" t="s">
        <v>2364</v>
      </c>
      <c r="T5739" s="51" t="s">
        <v>2364</v>
      </c>
      <c r="U5739" s="0" t="str">
        <f aca="false">"5060458890191"</f>
        <v>5060458890191</v>
      </c>
      <c r="V5739" s="51" t="s">
        <v>2142</v>
      </c>
      <c r="W5739" s="51" t="s">
        <v>10121</v>
      </c>
      <c r="X5739" s="51" t="s">
        <v>2359</v>
      </c>
    </row>
    <row r="5740" customFormat="false" ht="14.25" hidden="true" customHeight="false" outlineLevel="0" collapsed="false">
      <c r="A5740" s="49" t="s">
        <v>2349</v>
      </c>
      <c r="B5740" s="49" t="s">
        <v>2350</v>
      </c>
      <c r="C5740" s="49" t="s">
        <v>10122</v>
      </c>
      <c r="D5740" s="49" t="s">
        <v>2352</v>
      </c>
      <c r="E5740" s="49" t="str">
        <f aca="false">"5060458890191"</f>
        <v>5060458890191</v>
      </c>
      <c r="F5740" s="49" t="s">
        <v>3656</v>
      </c>
      <c r="G5740" s="49" t="n">
        <v>0</v>
      </c>
      <c r="H5740" s="0" t="n">
        <v>0</v>
      </c>
      <c r="M5740" s="51" t="s">
        <v>10081</v>
      </c>
      <c r="N5740" s="49" t="n">
        <v>0</v>
      </c>
      <c r="O5740" s="53" t="n">
        <v>45949.6594791667</v>
      </c>
      <c r="P5740" s="53" t="n">
        <v>45960.7546527778</v>
      </c>
      <c r="Q5740" s="53" t="n">
        <v>45949.6594791667</v>
      </c>
      <c r="R5740" s="0" t="n">
        <v>0</v>
      </c>
      <c r="S5740" s="51" t="s">
        <v>2364</v>
      </c>
      <c r="T5740" s="51" t="s">
        <v>2364</v>
      </c>
      <c r="U5740" s="0" t="str">
        <f aca="false">"5060458890191"</f>
        <v>5060458890191</v>
      </c>
      <c r="V5740" s="51" t="s">
        <v>2142</v>
      </c>
      <c r="W5740" s="51" t="s">
        <v>10087</v>
      </c>
      <c r="X5740" s="51" t="s">
        <v>2359</v>
      </c>
    </row>
    <row r="5741" customFormat="false" ht="14.25" hidden="true" customHeight="false" outlineLevel="0" collapsed="false">
      <c r="A5741" s="49" t="s">
        <v>2349</v>
      </c>
      <c r="B5741" s="49" t="s">
        <v>2350</v>
      </c>
      <c r="C5741" s="49" t="s">
        <v>10123</v>
      </c>
      <c r="D5741" s="49" t="s">
        <v>2352</v>
      </c>
      <c r="E5741" s="49" t="str">
        <f aca="false">"5060458890191"</f>
        <v>5060458890191</v>
      </c>
      <c r="F5741" s="49" t="s">
        <v>3656</v>
      </c>
      <c r="G5741" s="49" t="n">
        <v>0</v>
      </c>
      <c r="H5741" s="0" t="n">
        <v>0</v>
      </c>
      <c r="M5741" s="51" t="s">
        <v>10081</v>
      </c>
      <c r="N5741" s="49" t="n">
        <v>0</v>
      </c>
      <c r="O5741" s="53" t="n">
        <v>45949.6574884259</v>
      </c>
      <c r="P5741" s="53" t="n">
        <v>45959.7585069445</v>
      </c>
      <c r="Q5741" s="53" t="n">
        <v>45949.6574884259</v>
      </c>
      <c r="R5741" s="0" t="n">
        <v>0</v>
      </c>
      <c r="S5741" s="51" t="s">
        <v>2364</v>
      </c>
      <c r="T5741" s="51" t="s">
        <v>2364</v>
      </c>
      <c r="U5741" s="0" t="str">
        <f aca="false">"5060458890191"</f>
        <v>5060458890191</v>
      </c>
      <c r="V5741" s="51" t="s">
        <v>2142</v>
      </c>
      <c r="W5741" s="51" t="s">
        <v>10124</v>
      </c>
      <c r="X5741" s="51" t="s">
        <v>2359</v>
      </c>
    </row>
    <row r="5742" customFormat="false" ht="14.25" hidden="true" customHeight="false" outlineLevel="0" collapsed="false">
      <c r="A5742" s="49" t="s">
        <v>2349</v>
      </c>
      <c r="B5742" s="49" t="s">
        <v>2350</v>
      </c>
      <c r="C5742" s="49" t="s">
        <v>10125</v>
      </c>
      <c r="D5742" s="49" t="s">
        <v>2352</v>
      </c>
      <c r="E5742" s="49" t="str">
        <f aca="false">"5060458890191"</f>
        <v>5060458890191</v>
      </c>
      <c r="F5742" s="49" t="s">
        <v>3656</v>
      </c>
      <c r="G5742" s="49" t="n">
        <v>0</v>
      </c>
      <c r="H5742" s="0" t="n">
        <v>0</v>
      </c>
      <c r="M5742" s="51" t="s">
        <v>10081</v>
      </c>
      <c r="N5742" s="49" t="n">
        <v>0</v>
      </c>
      <c r="O5742" s="53" t="n">
        <v>45949.657337963</v>
      </c>
      <c r="P5742" s="53" t="n">
        <v>45960.7575</v>
      </c>
      <c r="Q5742" s="53" t="n">
        <v>45949.657337963</v>
      </c>
      <c r="R5742" s="0" t="n">
        <v>0</v>
      </c>
      <c r="S5742" s="51" t="s">
        <v>2364</v>
      </c>
      <c r="T5742" s="51" t="s">
        <v>2364</v>
      </c>
      <c r="U5742" s="0" t="str">
        <f aca="false">"5060458890191"</f>
        <v>5060458890191</v>
      </c>
      <c r="V5742" s="51" t="s">
        <v>2142</v>
      </c>
      <c r="W5742" s="51" t="s">
        <v>10126</v>
      </c>
      <c r="X5742" s="51" t="s">
        <v>2359</v>
      </c>
    </row>
    <row r="5743" customFormat="false" ht="14.25" hidden="true" customHeight="false" outlineLevel="0" collapsed="false">
      <c r="A5743" s="49" t="s">
        <v>2349</v>
      </c>
      <c r="B5743" s="49" t="s">
        <v>2350</v>
      </c>
      <c r="C5743" s="49" t="s">
        <v>10127</v>
      </c>
      <c r="D5743" s="49" t="s">
        <v>2352</v>
      </c>
      <c r="E5743" s="49" t="str">
        <f aca="false">"5060458890191"</f>
        <v>5060458890191</v>
      </c>
      <c r="F5743" s="49" t="s">
        <v>3656</v>
      </c>
      <c r="G5743" s="49" t="n">
        <v>0</v>
      </c>
      <c r="H5743" s="0" t="n">
        <v>0</v>
      </c>
      <c r="M5743" s="51" t="s">
        <v>10081</v>
      </c>
      <c r="N5743" s="49" t="n">
        <v>0</v>
      </c>
      <c r="O5743" s="53" t="n">
        <v>45949.6571643519</v>
      </c>
      <c r="P5743" s="53" t="n">
        <v>45960.7192361111</v>
      </c>
      <c r="Q5743" s="53" t="n">
        <v>45949.6571643519</v>
      </c>
      <c r="R5743" s="0" t="n">
        <v>0</v>
      </c>
      <c r="S5743" s="51" t="s">
        <v>2364</v>
      </c>
      <c r="T5743" s="51" t="s">
        <v>2364</v>
      </c>
      <c r="U5743" s="0" t="str">
        <f aca="false">"5060458890191"</f>
        <v>5060458890191</v>
      </c>
      <c r="V5743" s="51" t="s">
        <v>2142</v>
      </c>
      <c r="W5743" s="51" t="s">
        <v>9908</v>
      </c>
      <c r="X5743" s="51" t="s">
        <v>2359</v>
      </c>
    </row>
    <row r="5744" customFormat="false" ht="14.25" hidden="true" customHeight="false" outlineLevel="0" collapsed="false">
      <c r="A5744" s="49" t="s">
        <v>2349</v>
      </c>
      <c r="B5744" s="49" t="s">
        <v>2350</v>
      </c>
      <c r="C5744" s="49" t="s">
        <v>10128</v>
      </c>
      <c r="D5744" s="49" t="s">
        <v>2352</v>
      </c>
      <c r="E5744" s="49" t="str">
        <f aca="false">"5060458890191"</f>
        <v>5060458890191</v>
      </c>
      <c r="F5744" s="49" t="s">
        <v>3656</v>
      </c>
      <c r="G5744" s="49" t="n">
        <v>0</v>
      </c>
      <c r="H5744" s="0" t="n">
        <v>0</v>
      </c>
      <c r="M5744" s="51" t="s">
        <v>10081</v>
      </c>
      <c r="N5744" s="49" t="n">
        <v>0</v>
      </c>
      <c r="O5744" s="53" t="n">
        <v>45949.6570023148</v>
      </c>
      <c r="P5744" s="53" t="n">
        <v>45959.759224537</v>
      </c>
      <c r="Q5744" s="53" t="n">
        <v>45949.6570023148</v>
      </c>
      <c r="R5744" s="0" t="n">
        <v>0</v>
      </c>
      <c r="S5744" s="51" t="s">
        <v>2364</v>
      </c>
      <c r="T5744" s="51" t="s">
        <v>2364</v>
      </c>
      <c r="U5744" s="0" t="str">
        <f aca="false">"5060458890191"</f>
        <v>5060458890191</v>
      </c>
      <c r="V5744" s="51" t="s">
        <v>2142</v>
      </c>
      <c r="W5744" s="51" t="s">
        <v>10129</v>
      </c>
      <c r="X5744" s="51" t="s">
        <v>2359</v>
      </c>
    </row>
    <row r="5745" customFormat="false" ht="14.25" hidden="true" customHeight="false" outlineLevel="0" collapsed="false">
      <c r="A5745" s="49" t="s">
        <v>2349</v>
      </c>
      <c r="B5745" s="49" t="s">
        <v>2350</v>
      </c>
      <c r="C5745" s="49" t="s">
        <v>10130</v>
      </c>
      <c r="D5745" s="49" t="s">
        <v>2352</v>
      </c>
      <c r="E5745" s="49" t="str">
        <f aca="false">"5060458890191"</f>
        <v>5060458890191</v>
      </c>
      <c r="F5745" s="49" t="s">
        <v>3656</v>
      </c>
      <c r="G5745" s="49" t="n">
        <v>0</v>
      </c>
      <c r="H5745" s="0" t="n">
        <v>0</v>
      </c>
      <c r="M5745" s="51" t="s">
        <v>10081</v>
      </c>
      <c r="N5745" s="49" t="n">
        <v>0</v>
      </c>
      <c r="O5745" s="53" t="n">
        <v>45949.656712963</v>
      </c>
      <c r="P5745" s="53" t="n">
        <v>45959.7584027778</v>
      </c>
      <c r="Q5745" s="53" t="n">
        <v>45949.656712963</v>
      </c>
      <c r="R5745" s="0" t="n">
        <v>0</v>
      </c>
      <c r="S5745" s="51" t="s">
        <v>2364</v>
      </c>
      <c r="T5745" s="51" t="s">
        <v>2364</v>
      </c>
      <c r="U5745" s="0" t="str">
        <f aca="false">"5060458890191"</f>
        <v>5060458890191</v>
      </c>
      <c r="V5745" s="51" t="s">
        <v>2142</v>
      </c>
      <c r="W5745" s="51" t="s">
        <v>7315</v>
      </c>
      <c r="X5745" s="51" t="s">
        <v>2359</v>
      </c>
    </row>
    <row r="5746" customFormat="false" ht="14.25" hidden="true" customHeight="false" outlineLevel="0" collapsed="false">
      <c r="A5746" s="49" t="s">
        <v>2349</v>
      </c>
      <c r="B5746" s="49" t="s">
        <v>2350</v>
      </c>
      <c r="C5746" s="49" t="s">
        <v>10131</v>
      </c>
      <c r="D5746" s="49" t="s">
        <v>2352</v>
      </c>
      <c r="E5746" s="49" t="str">
        <f aca="false">"5060458890191"</f>
        <v>5060458890191</v>
      </c>
      <c r="F5746" s="49" t="s">
        <v>3656</v>
      </c>
      <c r="G5746" s="49" t="n">
        <v>0</v>
      </c>
      <c r="H5746" s="0" t="n">
        <v>0</v>
      </c>
      <c r="M5746" s="51" t="s">
        <v>10081</v>
      </c>
      <c r="N5746" s="49" t="n">
        <v>0</v>
      </c>
      <c r="O5746" s="53" t="n">
        <v>45949.6561921296</v>
      </c>
      <c r="P5746" s="53" t="n">
        <v>45959.758587963</v>
      </c>
      <c r="Q5746" s="53" t="n">
        <v>45949.6561921296</v>
      </c>
      <c r="R5746" s="0" t="n">
        <v>0</v>
      </c>
      <c r="S5746" s="51" t="s">
        <v>2364</v>
      </c>
      <c r="T5746" s="51" t="s">
        <v>2364</v>
      </c>
      <c r="U5746" s="0" t="str">
        <f aca="false">"5060458890191"</f>
        <v>5060458890191</v>
      </c>
      <c r="V5746" s="51" t="s">
        <v>2142</v>
      </c>
      <c r="W5746" s="51" t="s">
        <v>10132</v>
      </c>
      <c r="X5746" s="51" t="s">
        <v>2359</v>
      </c>
    </row>
    <row r="5747" customFormat="false" ht="14.25" hidden="true" customHeight="false" outlineLevel="0" collapsed="false">
      <c r="A5747" s="49" t="s">
        <v>2349</v>
      </c>
      <c r="B5747" s="49" t="s">
        <v>2350</v>
      </c>
      <c r="C5747" s="49" t="s">
        <v>10133</v>
      </c>
      <c r="D5747" s="49" t="s">
        <v>2352</v>
      </c>
      <c r="E5747" s="49" t="str">
        <f aca="false">"12464079"</f>
        <v>12464079</v>
      </c>
      <c r="F5747" s="49" t="s">
        <v>4706</v>
      </c>
      <c r="G5747" s="49" t="n">
        <v>0</v>
      </c>
      <c r="H5747" s="0" t="n">
        <v>0</v>
      </c>
      <c r="M5747" s="51" t="s">
        <v>10134</v>
      </c>
      <c r="N5747" s="49" t="n">
        <v>0</v>
      </c>
      <c r="O5747" s="53" t="n">
        <v>45953.5304166667</v>
      </c>
      <c r="P5747" s="53" t="n">
        <v>45984.8008449074</v>
      </c>
      <c r="Q5747" s="53" t="n">
        <v>45953.5304166667</v>
      </c>
      <c r="R5747" s="0" t="n">
        <v>0</v>
      </c>
      <c r="S5747" s="51" t="s">
        <v>2401</v>
      </c>
      <c r="T5747" s="51" t="s">
        <v>2401</v>
      </c>
      <c r="U5747" s="0" t="str">
        <f aca="false">"12464079"</f>
        <v>12464079</v>
      </c>
      <c r="V5747" s="51" t="s">
        <v>2365</v>
      </c>
      <c r="W5747" s="51" t="s">
        <v>10135</v>
      </c>
      <c r="X5747" s="51" t="s">
        <v>2359</v>
      </c>
    </row>
    <row r="5748" customFormat="false" ht="14.25" hidden="true" customHeight="false" outlineLevel="0" collapsed="false">
      <c r="A5748" s="49" t="s">
        <v>2349</v>
      </c>
      <c r="B5748" s="49" t="s">
        <v>2350</v>
      </c>
      <c r="C5748" s="49" t="s">
        <v>10136</v>
      </c>
      <c r="D5748" s="49" t="s">
        <v>2352</v>
      </c>
      <c r="E5748" s="49" t="str">
        <f aca="false">"12464079"</f>
        <v>12464079</v>
      </c>
      <c r="F5748" s="49" t="s">
        <v>4706</v>
      </c>
      <c r="G5748" s="49" t="n">
        <v>0</v>
      </c>
      <c r="H5748" s="0" t="n">
        <v>0</v>
      </c>
      <c r="M5748" s="51" t="s">
        <v>10134</v>
      </c>
      <c r="N5748" s="49" t="n">
        <v>0</v>
      </c>
      <c r="O5748" s="53" t="n">
        <v>45953.5306597222</v>
      </c>
      <c r="P5748" s="53" t="n">
        <v>45970.4682986111</v>
      </c>
      <c r="Q5748" s="53" t="n">
        <v>45953.5306597222</v>
      </c>
      <c r="R5748" s="0" t="n">
        <v>0</v>
      </c>
      <c r="S5748" s="51" t="s">
        <v>2401</v>
      </c>
      <c r="T5748" s="51" t="s">
        <v>2401</v>
      </c>
      <c r="U5748" s="0" t="str">
        <f aca="false">"12464079"</f>
        <v>12464079</v>
      </c>
      <c r="V5748" s="51" t="s">
        <v>2365</v>
      </c>
      <c r="W5748" s="51" t="s">
        <v>10137</v>
      </c>
      <c r="X5748" s="51" t="s">
        <v>2359</v>
      </c>
    </row>
    <row r="5749" customFormat="false" ht="14.25" hidden="true" customHeight="false" outlineLevel="0" collapsed="false">
      <c r="A5749" s="49" t="s">
        <v>2349</v>
      </c>
      <c r="B5749" s="49" t="s">
        <v>2350</v>
      </c>
      <c r="C5749" s="49" t="s">
        <v>10138</v>
      </c>
      <c r="D5749" s="49" t="s">
        <v>2352</v>
      </c>
      <c r="E5749" s="49" t="str">
        <f aca="false">"12464079"</f>
        <v>12464079</v>
      </c>
      <c r="F5749" s="49" t="s">
        <v>4706</v>
      </c>
      <c r="G5749" s="49" t="n">
        <v>0</v>
      </c>
      <c r="H5749" s="0" t="n">
        <v>0</v>
      </c>
      <c r="M5749" s="51" t="s">
        <v>10134</v>
      </c>
      <c r="N5749" s="49" t="n">
        <v>0</v>
      </c>
      <c r="O5749" s="53" t="n">
        <v>45953.5299189815</v>
      </c>
      <c r="P5749" s="53" t="n">
        <v>45965.8222569445</v>
      </c>
      <c r="Q5749" s="53" t="n">
        <v>45953.5299189815</v>
      </c>
      <c r="R5749" s="0" t="n">
        <v>0</v>
      </c>
      <c r="S5749" s="51" t="s">
        <v>2401</v>
      </c>
      <c r="T5749" s="51" t="s">
        <v>2401</v>
      </c>
      <c r="U5749" s="0" t="str">
        <f aca="false">"12464079"</f>
        <v>12464079</v>
      </c>
      <c r="V5749" s="51" t="s">
        <v>2365</v>
      </c>
      <c r="W5749" s="51" t="s">
        <v>9908</v>
      </c>
      <c r="X5749" s="51" t="s">
        <v>2359</v>
      </c>
    </row>
    <row r="5750" customFormat="false" ht="14.25" hidden="true" customHeight="false" outlineLevel="0" collapsed="false">
      <c r="A5750" s="49" t="s">
        <v>2349</v>
      </c>
      <c r="B5750" s="49" t="s">
        <v>2350</v>
      </c>
      <c r="C5750" s="49" t="s">
        <v>10139</v>
      </c>
      <c r="D5750" s="49" t="s">
        <v>2352</v>
      </c>
      <c r="E5750" s="49" t="str">
        <f aca="false">"12464079"</f>
        <v>12464079</v>
      </c>
      <c r="F5750" s="49" t="s">
        <v>4706</v>
      </c>
      <c r="G5750" s="49" t="n">
        <v>0</v>
      </c>
      <c r="H5750" s="0" t="n">
        <v>0</v>
      </c>
      <c r="M5750" s="51" t="s">
        <v>10134</v>
      </c>
      <c r="N5750" s="49" t="n">
        <v>0</v>
      </c>
      <c r="O5750" s="53" t="n">
        <v>45953.530150463</v>
      </c>
      <c r="P5750" s="53" t="n">
        <v>45980.3408912037</v>
      </c>
      <c r="Q5750" s="53" t="n">
        <v>45953.530150463</v>
      </c>
      <c r="R5750" s="0" t="n">
        <v>0</v>
      </c>
      <c r="S5750" s="51" t="s">
        <v>2401</v>
      </c>
      <c r="T5750" s="51" t="s">
        <v>2401</v>
      </c>
      <c r="U5750" s="0" t="str">
        <f aca="false">"12464079"</f>
        <v>12464079</v>
      </c>
      <c r="V5750" s="51" t="s">
        <v>2365</v>
      </c>
      <c r="W5750" s="51" t="s">
        <v>10140</v>
      </c>
      <c r="X5750" s="51" t="s">
        <v>2359</v>
      </c>
    </row>
    <row r="5751" customFormat="false" ht="14.25" hidden="true" customHeight="false" outlineLevel="0" collapsed="false">
      <c r="A5751" s="49" t="s">
        <v>2349</v>
      </c>
      <c r="B5751" s="49" t="s">
        <v>2350</v>
      </c>
      <c r="C5751" s="49" t="s">
        <v>10141</v>
      </c>
      <c r="D5751" s="49" t="s">
        <v>2352</v>
      </c>
      <c r="E5751" s="49" t="str">
        <f aca="false">"12464079"</f>
        <v>12464079</v>
      </c>
      <c r="F5751" s="49" t="s">
        <v>4706</v>
      </c>
      <c r="G5751" s="49" t="n">
        <v>0</v>
      </c>
      <c r="H5751" s="0" t="n">
        <v>0</v>
      </c>
      <c r="M5751" s="51" t="s">
        <v>10134</v>
      </c>
      <c r="N5751" s="49" t="n">
        <v>0</v>
      </c>
      <c r="O5751" s="53" t="n">
        <v>45953.5327199074</v>
      </c>
      <c r="P5751" s="53" t="n">
        <v>45970.4718402778</v>
      </c>
      <c r="Q5751" s="53" t="n">
        <v>45953.5327199074</v>
      </c>
      <c r="R5751" s="0" t="n">
        <v>0</v>
      </c>
      <c r="S5751" s="51" t="s">
        <v>2401</v>
      </c>
      <c r="T5751" s="51" t="s">
        <v>2401</v>
      </c>
      <c r="U5751" s="0" t="str">
        <f aca="false">"12464079"</f>
        <v>12464079</v>
      </c>
      <c r="V5751" s="51" t="s">
        <v>2365</v>
      </c>
      <c r="W5751" s="51" t="s">
        <v>10142</v>
      </c>
      <c r="X5751" s="51" t="s">
        <v>2359</v>
      </c>
    </row>
    <row r="5752" customFormat="false" ht="14.25" hidden="true" customHeight="false" outlineLevel="0" collapsed="false">
      <c r="A5752" s="49" t="s">
        <v>2349</v>
      </c>
      <c r="B5752" s="49" t="s">
        <v>2350</v>
      </c>
      <c r="C5752" s="49" t="s">
        <v>10143</v>
      </c>
      <c r="D5752" s="49" t="s">
        <v>2352</v>
      </c>
      <c r="E5752" s="49" t="str">
        <f aca="false">"12482691"</f>
        <v>12482691</v>
      </c>
      <c r="F5752" s="49" t="s">
        <v>7031</v>
      </c>
      <c r="G5752" s="49" t="n">
        <v>0</v>
      </c>
      <c r="H5752" s="0" t="n">
        <v>0</v>
      </c>
      <c r="M5752" s="51" t="s">
        <v>10144</v>
      </c>
      <c r="N5752" s="49" t="n">
        <v>0</v>
      </c>
      <c r="O5752" s="53" t="n">
        <v>45948.6339930556</v>
      </c>
      <c r="P5752" s="53" t="n">
        <v>45950.8284722222</v>
      </c>
      <c r="Q5752" s="53" t="n">
        <v>45948.6339930556</v>
      </c>
      <c r="R5752" s="0" t="n">
        <v>0</v>
      </c>
      <c r="S5752" s="51" t="s">
        <v>2394</v>
      </c>
      <c r="T5752" s="51" t="s">
        <v>2394</v>
      </c>
      <c r="U5752" s="0" t="str">
        <f aca="false">"12482691"</f>
        <v>12482691</v>
      </c>
      <c r="V5752" s="51" t="s">
        <v>2365</v>
      </c>
      <c r="W5752" s="51" t="s">
        <v>10145</v>
      </c>
      <c r="X5752" s="51" t="s">
        <v>2359</v>
      </c>
    </row>
    <row r="5753" customFormat="false" ht="14.25" hidden="true" customHeight="false" outlineLevel="0" collapsed="false">
      <c r="A5753" s="49" t="s">
        <v>2349</v>
      </c>
      <c r="B5753" s="49" t="s">
        <v>2350</v>
      </c>
      <c r="C5753" s="49" t="s">
        <v>10146</v>
      </c>
      <c r="D5753" s="49" t="s">
        <v>2352</v>
      </c>
      <c r="E5753" s="49" t="str">
        <f aca="false">"12482691"</f>
        <v>12482691</v>
      </c>
      <c r="F5753" s="49" t="s">
        <v>7031</v>
      </c>
      <c r="G5753" s="49" t="n">
        <v>0</v>
      </c>
      <c r="H5753" s="0" t="n">
        <v>0</v>
      </c>
      <c r="M5753" s="51" t="s">
        <v>10144</v>
      </c>
      <c r="N5753" s="49" t="n">
        <v>0</v>
      </c>
      <c r="O5753" s="53" t="n">
        <v>45948.6337268519</v>
      </c>
      <c r="P5753" s="53" t="n">
        <v>45950.823275463</v>
      </c>
      <c r="Q5753" s="53" t="n">
        <v>45948.6337268519</v>
      </c>
      <c r="R5753" s="0" t="n">
        <v>0</v>
      </c>
      <c r="S5753" s="51" t="s">
        <v>2394</v>
      </c>
      <c r="T5753" s="51" t="s">
        <v>2394</v>
      </c>
      <c r="U5753" s="0" t="str">
        <f aca="false">"12482691"</f>
        <v>12482691</v>
      </c>
      <c r="V5753" s="51" t="s">
        <v>2365</v>
      </c>
      <c r="W5753" s="51" t="s">
        <v>10147</v>
      </c>
      <c r="X5753" s="51" t="s">
        <v>2359</v>
      </c>
    </row>
    <row r="5754" customFormat="false" ht="14.25" hidden="true" customHeight="false" outlineLevel="0" collapsed="false">
      <c r="A5754" s="49" t="s">
        <v>2349</v>
      </c>
      <c r="B5754" s="49" t="s">
        <v>2350</v>
      </c>
      <c r="C5754" s="49" t="s">
        <v>10148</v>
      </c>
      <c r="D5754" s="49" t="s">
        <v>2352</v>
      </c>
      <c r="E5754" s="49" t="str">
        <f aca="false">"12482691"</f>
        <v>12482691</v>
      </c>
      <c r="F5754" s="49" t="s">
        <v>7031</v>
      </c>
      <c r="G5754" s="49" t="n">
        <v>0</v>
      </c>
      <c r="H5754" s="0" t="n">
        <v>0</v>
      </c>
      <c r="M5754" s="51" t="s">
        <v>10144</v>
      </c>
      <c r="N5754" s="49" t="n">
        <v>0</v>
      </c>
      <c r="O5754" s="53" t="n">
        <v>45948.6332291667</v>
      </c>
      <c r="P5754" s="53" t="n">
        <v>45950.8828125</v>
      </c>
      <c r="Q5754" s="53" t="n">
        <v>45948.6332291667</v>
      </c>
      <c r="R5754" s="0" t="n">
        <v>0</v>
      </c>
      <c r="S5754" s="51" t="s">
        <v>2394</v>
      </c>
      <c r="T5754" s="51" t="s">
        <v>2394</v>
      </c>
      <c r="U5754" s="0" t="str">
        <f aca="false">"12482691"</f>
        <v>12482691</v>
      </c>
      <c r="V5754" s="51" t="s">
        <v>2365</v>
      </c>
      <c r="W5754" s="51" t="s">
        <v>10149</v>
      </c>
      <c r="X5754" s="51" t="s">
        <v>2359</v>
      </c>
    </row>
    <row r="5755" customFormat="false" ht="14.25" hidden="true" customHeight="false" outlineLevel="0" collapsed="false">
      <c r="A5755" s="49" t="s">
        <v>2349</v>
      </c>
      <c r="B5755" s="49" t="s">
        <v>2350</v>
      </c>
      <c r="C5755" s="49" t="s">
        <v>10150</v>
      </c>
      <c r="D5755" s="49" t="s">
        <v>2352</v>
      </c>
      <c r="E5755" s="49" t="str">
        <f aca="false">"12482691"</f>
        <v>12482691</v>
      </c>
      <c r="F5755" s="49" t="s">
        <v>7031</v>
      </c>
      <c r="G5755" s="49" t="n">
        <v>0</v>
      </c>
      <c r="H5755" s="0" t="n">
        <v>0</v>
      </c>
      <c r="M5755" s="51" t="s">
        <v>10144</v>
      </c>
      <c r="N5755" s="49" t="n">
        <v>0</v>
      </c>
      <c r="O5755" s="53" t="n">
        <v>45948.6329976852</v>
      </c>
      <c r="P5755" s="53" t="n">
        <v>45950.8872800926</v>
      </c>
      <c r="Q5755" s="53" t="n">
        <v>45948.6329976852</v>
      </c>
      <c r="R5755" s="0" t="n">
        <v>0</v>
      </c>
      <c r="S5755" s="51" t="s">
        <v>2394</v>
      </c>
      <c r="T5755" s="51" t="s">
        <v>2394</v>
      </c>
      <c r="U5755" s="0" t="str">
        <f aca="false">"12482691"</f>
        <v>12482691</v>
      </c>
      <c r="V5755" s="51" t="s">
        <v>2365</v>
      </c>
      <c r="W5755" s="51" t="s">
        <v>10151</v>
      </c>
      <c r="X5755" s="51" t="s">
        <v>2359</v>
      </c>
    </row>
    <row r="5756" customFormat="false" ht="14.25" hidden="true" customHeight="false" outlineLevel="0" collapsed="false">
      <c r="A5756" s="49" t="s">
        <v>2349</v>
      </c>
      <c r="B5756" s="49" t="s">
        <v>2350</v>
      </c>
      <c r="C5756" s="49" t="s">
        <v>10152</v>
      </c>
      <c r="D5756" s="49" t="s">
        <v>2352</v>
      </c>
      <c r="E5756" s="49" t="str">
        <f aca="false">"12482691"</f>
        <v>12482691</v>
      </c>
      <c r="F5756" s="49" t="s">
        <v>7031</v>
      </c>
      <c r="G5756" s="49" t="n">
        <v>0</v>
      </c>
      <c r="H5756" s="0" t="n">
        <v>0</v>
      </c>
      <c r="M5756" s="51" t="s">
        <v>10144</v>
      </c>
      <c r="N5756" s="49" t="n">
        <v>0</v>
      </c>
      <c r="O5756" s="53" t="n">
        <v>45948.6328125</v>
      </c>
      <c r="P5756" s="53" t="n">
        <v>45950.8888425926</v>
      </c>
      <c r="Q5756" s="53" t="n">
        <v>45948.6328125</v>
      </c>
      <c r="R5756" s="0" t="n">
        <v>0</v>
      </c>
      <c r="S5756" s="51" t="s">
        <v>2394</v>
      </c>
      <c r="T5756" s="51" t="s">
        <v>2394</v>
      </c>
      <c r="U5756" s="0" t="str">
        <f aca="false">"12482691"</f>
        <v>12482691</v>
      </c>
      <c r="V5756" s="51" t="s">
        <v>2365</v>
      </c>
      <c r="W5756" s="51" t="s">
        <v>5826</v>
      </c>
      <c r="X5756" s="51" t="s">
        <v>2359</v>
      </c>
    </row>
    <row r="5757" customFormat="false" ht="14.25" hidden="true" customHeight="false" outlineLevel="0" collapsed="false">
      <c r="A5757" s="49" t="s">
        <v>2349</v>
      </c>
      <c r="B5757" s="49" t="s">
        <v>2350</v>
      </c>
      <c r="C5757" s="49" t="s">
        <v>10153</v>
      </c>
      <c r="D5757" s="49" t="s">
        <v>2352</v>
      </c>
      <c r="E5757" s="49" t="str">
        <f aca="false">"12482691"</f>
        <v>12482691</v>
      </c>
      <c r="F5757" s="49" t="s">
        <v>7031</v>
      </c>
      <c r="G5757" s="49" t="n">
        <v>0</v>
      </c>
      <c r="H5757" s="0" t="n">
        <v>0</v>
      </c>
      <c r="M5757" s="51" t="s">
        <v>10144</v>
      </c>
      <c r="N5757" s="49" t="n">
        <v>0</v>
      </c>
      <c r="O5757" s="53" t="n">
        <v>45948.6325925926</v>
      </c>
      <c r="P5757" s="53" t="n">
        <v>45950.8226851852</v>
      </c>
      <c r="Q5757" s="53" t="n">
        <v>45948.6325925926</v>
      </c>
      <c r="R5757" s="0" t="n">
        <v>0</v>
      </c>
      <c r="S5757" s="51" t="s">
        <v>2394</v>
      </c>
      <c r="T5757" s="51" t="s">
        <v>2394</v>
      </c>
      <c r="U5757" s="0" t="str">
        <f aca="false">"12482691"</f>
        <v>12482691</v>
      </c>
      <c r="V5757" s="51" t="s">
        <v>2365</v>
      </c>
      <c r="W5757" s="51" t="s">
        <v>10154</v>
      </c>
      <c r="X5757" s="51" t="s">
        <v>2359</v>
      </c>
    </row>
    <row r="5758" customFormat="false" ht="14.25" hidden="true" customHeight="false" outlineLevel="0" collapsed="false">
      <c r="A5758" s="49" t="s">
        <v>2349</v>
      </c>
      <c r="B5758" s="49" t="s">
        <v>2350</v>
      </c>
      <c r="C5758" s="49" t="s">
        <v>10155</v>
      </c>
      <c r="D5758" s="49" t="s">
        <v>2352</v>
      </c>
      <c r="E5758" s="49" t="str">
        <f aca="false">"12464079"</f>
        <v>12464079</v>
      </c>
      <c r="F5758" s="49" t="s">
        <v>4706</v>
      </c>
      <c r="G5758" s="49" t="n">
        <v>0</v>
      </c>
      <c r="H5758" s="0" t="n">
        <v>0</v>
      </c>
      <c r="M5758" s="51" t="s">
        <v>10144</v>
      </c>
      <c r="N5758" s="49" t="n">
        <v>0</v>
      </c>
      <c r="O5758" s="53" t="n">
        <v>45948.6369212963</v>
      </c>
      <c r="P5758" s="53" t="n">
        <v>46017.7257523148</v>
      </c>
      <c r="Q5758" s="53" t="n">
        <v>45948.6369212963</v>
      </c>
      <c r="R5758" s="0" t="n">
        <v>0</v>
      </c>
      <c r="S5758" s="51" t="s">
        <v>2394</v>
      </c>
      <c r="T5758" s="51" t="s">
        <v>2394</v>
      </c>
      <c r="U5758" s="0" t="str">
        <f aca="false">"12464079"</f>
        <v>12464079</v>
      </c>
      <c r="V5758" s="51" t="s">
        <v>2365</v>
      </c>
      <c r="W5758" s="51" t="s">
        <v>10156</v>
      </c>
      <c r="X5758" s="51" t="s">
        <v>2359</v>
      </c>
    </row>
    <row r="5759" customFormat="false" ht="14.25" hidden="true" customHeight="false" outlineLevel="0" collapsed="false">
      <c r="A5759" s="49" t="s">
        <v>2349</v>
      </c>
      <c r="B5759" s="49" t="s">
        <v>2350</v>
      </c>
      <c r="C5759" s="49" t="s">
        <v>10157</v>
      </c>
      <c r="D5759" s="49" t="s">
        <v>2352</v>
      </c>
      <c r="E5759" s="49" t="str">
        <f aca="false">"12464079"</f>
        <v>12464079</v>
      </c>
      <c r="F5759" s="49" t="s">
        <v>4706</v>
      </c>
      <c r="G5759" s="49" t="n">
        <v>0</v>
      </c>
      <c r="H5759" s="0" t="n">
        <v>0</v>
      </c>
      <c r="M5759" s="51" t="s">
        <v>10144</v>
      </c>
      <c r="N5759" s="49" t="n">
        <v>0</v>
      </c>
      <c r="O5759" s="53" t="n">
        <v>45948.6367592593</v>
      </c>
      <c r="P5759" s="53" t="n">
        <v>46011.6300694444</v>
      </c>
      <c r="Q5759" s="53" t="n">
        <v>45948.6367592593</v>
      </c>
      <c r="R5759" s="0" t="n">
        <v>0</v>
      </c>
      <c r="S5759" s="51" t="s">
        <v>2394</v>
      </c>
      <c r="T5759" s="51" t="s">
        <v>2394</v>
      </c>
      <c r="U5759" s="0" t="str">
        <f aca="false">"12464079"</f>
        <v>12464079</v>
      </c>
      <c r="V5759" s="51" t="s">
        <v>2365</v>
      </c>
      <c r="W5759" s="51" t="s">
        <v>8659</v>
      </c>
      <c r="X5759" s="51" t="s">
        <v>2359</v>
      </c>
    </row>
    <row r="5760" customFormat="false" ht="14.25" hidden="true" customHeight="false" outlineLevel="0" collapsed="false">
      <c r="A5760" s="49" t="s">
        <v>2349</v>
      </c>
      <c r="B5760" s="49" t="s">
        <v>2350</v>
      </c>
      <c r="C5760" s="49" t="s">
        <v>10158</v>
      </c>
      <c r="D5760" s="49" t="s">
        <v>2352</v>
      </c>
      <c r="E5760" s="49" t="str">
        <f aca="false">"12428864"</f>
        <v>12428864</v>
      </c>
      <c r="F5760" s="49" t="s">
        <v>4251</v>
      </c>
      <c r="G5760" s="49" t="n">
        <v>0</v>
      </c>
      <c r="H5760" s="0" t="n">
        <v>0</v>
      </c>
      <c r="M5760" s="51" t="s">
        <v>10144</v>
      </c>
      <c r="N5760" s="49" t="n">
        <v>0</v>
      </c>
      <c r="O5760" s="53" t="n">
        <v>45948.6378125</v>
      </c>
      <c r="P5760" s="53" t="n">
        <v>45963.8176157407</v>
      </c>
      <c r="Q5760" s="53" t="n">
        <v>45948.6378125</v>
      </c>
      <c r="R5760" s="0" t="n">
        <v>0</v>
      </c>
      <c r="S5760" s="51" t="s">
        <v>2394</v>
      </c>
      <c r="T5760" s="51" t="s">
        <v>2394</v>
      </c>
      <c r="U5760" s="0" t="str">
        <f aca="false">"12428864"</f>
        <v>12428864</v>
      </c>
      <c r="V5760" s="51" t="s">
        <v>2365</v>
      </c>
      <c r="W5760" s="51" t="s">
        <v>3855</v>
      </c>
      <c r="X5760" s="51" t="s">
        <v>2359</v>
      </c>
    </row>
    <row r="5761" customFormat="false" ht="14.25" hidden="true" customHeight="false" outlineLevel="0" collapsed="false">
      <c r="A5761" s="49" t="s">
        <v>2349</v>
      </c>
      <c r="B5761" s="49" t="s">
        <v>2350</v>
      </c>
      <c r="C5761" s="49" t="s">
        <v>10159</v>
      </c>
      <c r="D5761" s="49" t="s">
        <v>2352</v>
      </c>
      <c r="E5761" s="49" t="str">
        <f aca="false">"12428864"</f>
        <v>12428864</v>
      </c>
      <c r="F5761" s="49" t="s">
        <v>4251</v>
      </c>
      <c r="G5761" s="49" t="n">
        <v>0</v>
      </c>
      <c r="H5761" s="0" t="n">
        <v>0</v>
      </c>
      <c r="M5761" s="51" t="s">
        <v>10144</v>
      </c>
      <c r="N5761" s="49" t="n">
        <v>0</v>
      </c>
      <c r="O5761" s="53" t="n">
        <v>45948.6380671296</v>
      </c>
      <c r="P5761" s="53" t="n">
        <v>45953.8081365741</v>
      </c>
      <c r="Q5761" s="53" t="n">
        <v>45948.6380671296</v>
      </c>
      <c r="R5761" s="0" t="n">
        <v>0</v>
      </c>
      <c r="S5761" s="51" t="s">
        <v>2394</v>
      </c>
      <c r="T5761" s="51" t="s">
        <v>2394</v>
      </c>
      <c r="U5761" s="0" t="str">
        <f aca="false">"12428864"</f>
        <v>12428864</v>
      </c>
      <c r="V5761" s="51" t="s">
        <v>2365</v>
      </c>
      <c r="W5761" s="51" t="s">
        <v>5821</v>
      </c>
      <c r="X5761" s="51" t="s">
        <v>2359</v>
      </c>
    </row>
    <row r="5762" customFormat="false" ht="14.25" hidden="true" customHeight="false" outlineLevel="0" collapsed="false">
      <c r="A5762" s="49" t="s">
        <v>2349</v>
      </c>
      <c r="B5762" s="49" t="s">
        <v>2350</v>
      </c>
      <c r="C5762" s="49" t="s">
        <v>10160</v>
      </c>
      <c r="D5762" s="49" t="s">
        <v>2352</v>
      </c>
      <c r="E5762" s="49" t="str">
        <f aca="false">"12428864"</f>
        <v>12428864</v>
      </c>
      <c r="F5762" s="49" t="s">
        <v>4251</v>
      </c>
      <c r="G5762" s="49" t="n">
        <v>0</v>
      </c>
      <c r="H5762" s="0" t="n">
        <v>0</v>
      </c>
      <c r="M5762" s="51" t="s">
        <v>10144</v>
      </c>
      <c r="N5762" s="49" t="n">
        <v>0</v>
      </c>
      <c r="O5762" s="53" t="n">
        <v>45948.6383680556</v>
      </c>
      <c r="P5762" s="53" t="n">
        <v>45952.4843055556</v>
      </c>
      <c r="Q5762" s="53" t="n">
        <v>45948.6383680556</v>
      </c>
      <c r="R5762" s="0" t="n">
        <v>0</v>
      </c>
      <c r="S5762" s="51" t="s">
        <v>2394</v>
      </c>
      <c r="T5762" s="51" t="s">
        <v>2394</v>
      </c>
      <c r="U5762" s="0" t="str">
        <f aca="false">"12428864"</f>
        <v>12428864</v>
      </c>
      <c r="V5762" s="51" t="s">
        <v>2365</v>
      </c>
      <c r="W5762" s="51" t="s">
        <v>5797</v>
      </c>
      <c r="X5762" s="51" t="s">
        <v>2359</v>
      </c>
    </row>
    <row r="5763" customFormat="false" ht="14.25" hidden="true" customHeight="false" outlineLevel="0" collapsed="false">
      <c r="A5763" s="49" t="s">
        <v>2349</v>
      </c>
      <c r="B5763" s="49" t="s">
        <v>2350</v>
      </c>
      <c r="C5763" s="49" t="s">
        <v>10161</v>
      </c>
      <c r="D5763" s="49" t="s">
        <v>2352</v>
      </c>
      <c r="E5763" s="49" t="str">
        <f aca="false">"12428864"</f>
        <v>12428864</v>
      </c>
      <c r="F5763" s="49" t="s">
        <v>4251</v>
      </c>
      <c r="G5763" s="49" t="n">
        <v>0</v>
      </c>
      <c r="H5763" s="0" t="n">
        <v>0</v>
      </c>
      <c r="M5763" s="51" t="s">
        <v>10144</v>
      </c>
      <c r="N5763" s="49" t="n">
        <v>0</v>
      </c>
      <c r="O5763" s="53" t="n">
        <v>45948.6386689815</v>
      </c>
      <c r="P5763" s="53" t="n">
        <v>45950.8867939815</v>
      </c>
      <c r="Q5763" s="53" t="n">
        <v>45948.6386689815</v>
      </c>
      <c r="R5763" s="0" t="n">
        <v>0</v>
      </c>
      <c r="S5763" s="51" t="s">
        <v>2394</v>
      </c>
      <c r="T5763" s="51" t="s">
        <v>2394</v>
      </c>
      <c r="U5763" s="0" t="str">
        <f aca="false">"12428864"</f>
        <v>12428864</v>
      </c>
      <c r="V5763" s="51" t="s">
        <v>2365</v>
      </c>
      <c r="W5763" s="51" t="s">
        <v>10162</v>
      </c>
      <c r="X5763" s="51" t="s">
        <v>2359</v>
      </c>
    </row>
    <row r="5764" customFormat="false" ht="14.25" hidden="true" customHeight="false" outlineLevel="0" collapsed="false">
      <c r="A5764" s="49" t="s">
        <v>2349</v>
      </c>
      <c r="B5764" s="49" t="s">
        <v>2350</v>
      </c>
      <c r="C5764" s="49" t="s">
        <v>10163</v>
      </c>
      <c r="D5764" s="49" t="s">
        <v>2352</v>
      </c>
      <c r="E5764" s="49" t="str">
        <f aca="false">"12482691"</f>
        <v>12482691</v>
      </c>
      <c r="F5764" s="49" t="s">
        <v>7031</v>
      </c>
      <c r="G5764" s="49" t="n">
        <v>0</v>
      </c>
      <c r="H5764" s="0" t="n">
        <v>0</v>
      </c>
      <c r="M5764" s="51" t="s">
        <v>10144</v>
      </c>
      <c r="N5764" s="49" t="n">
        <v>0</v>
      </c>
      <c r="O5764" s="53" t="n">
        <v>45948.6322222222</v>
      </c>
      <c r="P5764" s="53" t="n">
        <v>45952.6666550926</v>
      </c>
      <c r="Q5764" s="53" t="n">
        <v>45948.6322222222</v>
      </c>
      <c r="R5764" s="0" t="n">
        <v>0</v>
      </c>
      <c r="S5764" s="51" t="s">
        <v>2394</v>
      </c>
      <c r="T5764" s="51" t="s">
        <v>2394</v>
      </c>
      <c r="U5764" s="0" t="str">
        <f aca="false">"12482691"</f>
        <v>12482691</v>
      </c>
      <c r="V5764" s="51" t="s">
        <v>2365</v>
      </c>
      <c r="W5764" s="51" t="s">
        <v>4501</v>
      </c>
      <c r="X5764" s="51" t="s">
        <v>2359</v>
      </c>
    </row>
    <row r="5765" customFormat="false" ht="14.25" hidden="true" customHeight="false" outlineLevel="0" collapsed="false">
      <c r="A5765" s="49" t="s">
        <v>2349</v>
      </c>
      <c r="B5765" s="49" t="s">
        <v>2350</v>
      </c>
      <c r="C5765" s="49" t="s">
        <v>10164</v>
      </c>
      <c r="D5765" s="49" t="s">
        <v>2352</v>
      </c>
      <c r="E5765" s="49" t="str">
        <f aca="false">"12482691"</f>
        <v>12482691</v>
      </c>
      <c r="F5765" s="49" t="s">
        <v>7031</v>
      </c>
      <c r="G5765" s="49" t="n">
        <v>0</v>
      </c>
      <c r="H5765" s="0" t="n">
        <v>0</v>
      </c>
      <c r="M5765" s="51" t="s">
        <v>10144</v>
      </c>
      <c r="N5765" s="49" t="n">
        <v>0</v>
      </c>
      <c r="O5765" s="53" t="n">
        <v>45948.6319907407</v>
      </c>
      <c r="P5765" s="53" t="n">
        <v>45950.8914583333</v>
      </c>
      <c r="Q5765" s="53" t="n">
        <v>45948.6319907407</v>
      </c>
      <c r="R5765" s="0" t="n">
        <v>0</v>
      </c>
      <c r="S5765" s="51" t="s">
        <v>2394</v>
      </c>
      <c r="T5765" s="51" t="s">
        <v>2394</v>
      </c>
      <c r="U5765" s="0" t="str">
        <f aca="false">"12482691"</f>
        <v>12482691</v>
      </c>
      <c r="V5765" s="51" t="s">
        <v>2365</v>
      </c>
      <c r="W5765" s="51" t="s">
        <v>10165</v>
      </c>
      <c r="X5765" s="51" t="s">
        <v>2359</v>
      </c>
    </row>
    <row r="5766" customFormat="false" ht="14.25" hidden="true" customHeight="false" outlineLevel="0" collapsed="false">
      <c r="A5766" s="49" t="s">
        <v>2349</v>
      </c>
      <c r="B5766" s="49" t="s">
        <v>2350</v>
      </c>
      <c r="C5766" s="49" t="s">
        <v>10166</v>
      </c>
      <c r="D5766" s="49" t="s">
        <v>2352</v>
      </c>
      <c r="E5766" s="49" t="str">
        <f aca="false">"12482691"</f>
        <v>12482691</v>
      </c>
      <c r="F5766" s="49" t="s">
        <v>7031</v>
      </c>
      <c r="G5766" s="49" t="n">
        <v>0</v>
      </c>
      <c r="H5766" s="0" t="n">
        <v>0</v>
      </c>
      <c r="M5766" s="51" t="s">
        <v>10144</v>
      </c>
      <c r="N5766" s="49" t="n">
        <v>0</v>
      </c>
      <c r="O5766" s="53" t="n">
        <v>45948.6315625</v>
      </c>
      <c r="P5766" s="53" t="n">
        <v>45950.8291087963</v>
      </c>
      <c r="Q5766" s="53" t="n">
        <v>45948.6315625</v>
      </c>
      <c r="R5766" s="0" t="n">
        <v>0</v>
      </c>
      <c r="S5766" s="51" t="s">
        <v>2394</v>
      </c>
      <c r="T5766" s="51" t="s">
        <v>2394</v>
      </c>
      <c r="U5766" s="0" t="str">
        <f aca="false">"12482691"</f>
        <v>12482691</v>
      </c>
      <c r="V5766" s="51" t="s">
        <v>2365</v>
      </c>
      <c r="W5766" s="51" t="s">
        <v>10167</v>
      </c>
      <c r="X5766" s="51" t="s">
        <v>2359</v>
      </c>
    </row>
    <row r="5767" customFormat="false" ht="14.25" hidden="true" customHeight="false" outlineLevel="0" collapsed="false">
      <c r="A5767" s="49" t="s">
        <v>2349</v>
      </c>
      <c r="B5767" s="49" t="s">
        <v>2350</v>
      </c>
      <c r="C5767" s="49" t="s">
        <v>10168</v>
      </c>
      <c r="D5767" s="49" t="s">
        <v>2352</v>
      </c>
      <c r="E5767" s="49" t="str">
        <f aca="false">"12428864"</f>
        <v>12428864</v>
      </c>
      <c r="F5767" s="49" t="s">
        <v>4251</v>
      </c>
      <c r="G5767" s="49" t="n">
        <v>0</v>
      </c>
      <c r="H5767" s="0" t="n">
        <v>0</v>
      </c>
      <c r="M5767" s="51" t="s">
        <v>10144</v>
      </c>
      <c r="N5767" s="49" t="n">
        <v>0</v>
      </c>
      <c r="O5767" s="53" t="n">
        <v>45948.6390856481</v>
      </c>
      <c r="P5767" s="53" t="n">
        <v>45952.484525463</v>
      </c>
      <c r="Q5767" s="53" t="n">
        <v>45948.6390856481</v>
      </c>
      <c r="R5767" s="0" t="n">
        <v>0</v>
      </c>
      <c r="S5767" s="51" t="s">
        <v>2394</v>
      </c>
      <c r="T5767" s="51" t="s">
        <v>2394</v>
      </c>
      <c r="U5767" s="0" t="str">
        <f aca="false">"12428864"</f>
        <v>12428864</v>
      </c>
      <c r="V5767" s="51" t="s">
        <v>2365</v>
      </c>
      <c r="W5767" s="51" t="s">
        <v>5801</v>
      </c>
      <c r="X5767" s="51" t="s">
        <v>2359</v>
      </c>
    </row>
    <row r="5768" customFormat="false" ht="14.25" hidden="true" customHeight="false" outlineLevel="0" collapsed="false">
      <c r="A5768" s="49" t="s">
        <v>2349</v>
      </c>
      <c r="B5768" s="49" t="s">
        <v>2350</v>
      </c>
      <c r="C5768" s="49" t="s">
        <v>10169</v>
      </c>
      <c r="D5768" s="49" t="s">
        <v>2352</v>
      </c>
      <c r="E5768" s="49" t="str">
        <f aca="false">"12464079"</f>
        <v>12464079</v>
      </c>
      <c r="F5768" s="49" t="s">
        <v>4706</v>
      </c>
      <c r="G5768" s="49" t="n">
        <v>0</v>
      </c>
      <c r="H5768" s="0" t="n">
        <v>0</v>
      </c>
      <c r="M5768" s="51" t="s">
        <v>10144</v>
      </c>
      <c r="N5768" s="49" t="n">
        <v>0</v>
      </c>
      <c r="O5768" s="53" t="n">
        <v>45948.6354976852</v>
      </c>
      <c r="P5768" s="53" t="n">
        <v>46011.5835648148</v>
      </c>
      <c r="Q5768" s="53" t="n">
        <v>45948.6354976852</v>
      </c>
      <c r="R5768" s="0" t="n">
        <v>0</v>
      </c>
      <c r="S5768" s="51" t="s">
        <v>2394</v>
      </c>
      <c r="T5768" s="51" t="s">
        <v>2394</v>
      </c>
      <c r="U5768" s="0" t="str">
        <f aca="false">"12464079"</f>
        <v>12464079</v>
      </c>
      <c r="V5768" s="51" t="s">
        <v>2365</v>
      </c>
      <c r="W5768" s="51" t="s">
        <v>4923</v>
      </c>
      <c r="X5768" s="51" t="s">
        <v>2359</v>
      </c>
    </row>
    <row r="5769" customFormat="false" ht="14.25" hidden="true" customHeight="false" outlineLevel="0" collapsed="false">
      <c r="A5769" s="49" t="s">
        <v>2349</v>
      </c>
      <c r="B5769" s="49" t="s">
        <v>2350</v>
      </c>
      <c r="C5769" s="49" t="s">
        <v>10170</v>
      </c>
      <c r="D5769" s="49" t="s">
        <v>2352</v>
      </c>
      <c r="E5769" s="49" t="str">
        <f aca="false">"12428864"</f>
        <v>12428864</v>
      </c>
      <c r="F5769" s="49" t="s">
        <v>4251</v>
      </c>
      <c r="G5769" s="49" t="n">
        <v>0</v>
      </c>
      <c r="H5769" s="0" t="n">
        <v>0</v>
      </c>
      <c r="M5769" s="51" t="s">
        <v>10144</v>
      </c>
      <c r="N5769" s="49" t="n">
        <v>0</v>
      </c>
      <c r="O5769" s="53" t="n">
        <v>45948.6393287037</v>
      </c>
      <c r="P5769" s="53" t="n">
        <v>45952.4848611111</v>
      </c>
      <c r="Q5769" s="53" t="n">
        <v>45948.6393287037</v>
      </c>
      <c r="R5769" s="0" t="n">
        <v>0</v>
      </c>
      <c r="S5769" s="51" t="s">
        <v>2394</v>
      </c>
      <c r="T5769" s="51" t="s">
        <v>2394</v>
      </c>
      <c r="U5769" s="0" t="str">
        <f aca="false">"12428864"</f>
        <v>12428864</v>
      </c>
      <c r="V5769" s="51" t="s">
        <v>2365</v>
      </c>
      <c r="W5769" s="51" t="s">
        <v>5816</v>
      </c>
      <c r="X5769" s="51" t="s">
        <v>2359</v>
      </c>
    </row>
    <row r="5770" customFormat="false" ht="14.25" hidden="true" customHeight="false" outlineLevel="0" collapsed="false">
      <c r="A5770" s="49" t="s">
        <v>2349</v>
      </c>
      <c r="B5770" s="49" t="s">
        <v>2350</v>
      </c>
      <c r="C5770" s="49" t="s">
        <v>10171</v>
      </c>
      <c r="D5770" s="49" t="s">
        <v>2352</v>
      </c>
      <c r="E5770" s="49" t="str">
        <f aca="false">"12464079"</f>
        <v>12464079</v>
      </c>
      <c r="F5770" s="49" t="s">
        <v>4706</v>
      </c>
      <c r="G5770" s="49" t="n">
        <v>0</v>
      </c>
      <c r="H5770" s="0" t="n">
        <v>0</v>
      </c>
      <c r="M5770" s="51" t="s">
        <v>10144</v>
      </c>
      <c r="N5770" s="49" t="n">
        <v>0</v>
      </c>
      <c r="O5770" s="53" t="n">
        <v>45948.6344675926</v>
      </c>
      <c r="P5770" s="53" t="n">
        <v>45979.9177430556</v>
      </c>
      <c r="Q5770" s="53" t="n">
        <v>45948.6344675926</v>
      </c>
      <c r="R5770" s="0" t="n">
        <v>0</v>
      </c>
      <c r="S5770" s="51" t="s">
        <v>2394</v>
      </c>
      <c r="T5770" s="51" t="s">
        <v>2394</v>
      </c>
      <c r="U5770" s="0" t="str">
        <f aca="false">"12464079"</f>
        <v>12464079</v>
      </c>
      <c r="V5770" s="51" t="s">
        <v>2365</v>
      </c>
      <c r="W5770" s="51" t="s">
        <v>10172</v>
      </c>
      <c r="X5770" s="51" t="s">
        <v>2359</v>
      </c>
    </row>
    <row r="5771" customFormat="false" ht="14.25" hidden="true" customHeight="false" outlineLevel="0" collapsed="false">
      <c r="A5771" s="49" t="s">
        <v>2349</v>
      </c>
      <c r="B5771" s="49" t="s">
        <v>2350</v>
      </c>
      <c r="C5771" s="49" t="s">
        <v>10173</v>
      </c>
      <c r="D5771" s="49" t="s">
        <v>2352</v>
      </c>
      <c r="E5771" s="49" t="str">
        <f aca="false">"12482691"</f>
        <v>12482691</v>
      </c>
      <c r="F5771" s="49" t="s">
        <v>7031</v>
      </c>
      <c r="G5771" s="49" t="n">
        <v>0</v>
      </c>
      <c r="H5771" s="0" t="n">
        <v>0</v>
      </c>
      <c r="M5771" s="51" t="s">
        <v>10144</v>
      </c>
      <c r="N5771" s="49" t="n">
        <v>0</v>
      </c>
      <c r="O5771" s="53" t="n">
        <v>45948.6306597222</v>
      </c>
      <c r="P5771" s="53" t="n">
        <v>45950.825</v>
      </c>
      <c r="Q5771" s="53" t="n">
        <v>45948.6306597222</v>
      </c>
      <c r="R5771" s="0" t="n">
        <v>0</v>
      </c>
      <c r="S5771" s="51" t="s">
        <v>2394</v>
      </c>
      <c r="T5771" s="51" t="s">
        <v>2394</v>
      </c>
      <c r="U5771" s="0" t="str">
        <f aca="false">"12482691"</f>
        <v>12482691</v>
      </c>
      <c r="V5771" s="51" t="s">
        <v>2365</v>
      </c>
      <c r="W5771" s="51" t="s">
        <v>10174</v>
      </c>
      <c r="X5771" s="51" t="s">
        <v>2359</v>
      </c>
    </row>
    <row r="5772" customFormat="false" ht="14.25" hidden="true" customHeight="false" outlineLevel="0" collapsed="false">
      <c r="A5772" s="49" t="s">
        <v>2349</v>
      </c>
      <c r="B5772" s="49" t="s">
        <v>2350</v>
      </c>
      <c r="C5772" s="49" t="s">
        <v>10175</v>
      </c>
      <c r="D5772" s="49" t="s">
        <v>2352</v>
      </c>
      <c r="E5772" s="49" t="str">
        <f aca="false">"12482691"</f>
        <v>12482691</v>
      </c>
      <c r="F5772" s="49" t="s">
        <v>7031</v>
      </c>
      <c r="G5772" s="49" t="n">
        <v>0</v>
      </c>
      <c r="H5772" s="0" t="n">
        <v>0</v>
      </c>
      <c r="M5772" s="51" t="s">
        <v>10144</v>
      </c>
      <c r="N5772" s="49" t="n">
        <v>0</v>
      </c>
      <c r="O5772" s="53" t="n">
        <v>45948.6303703704</v>
      </c>
      <c r="P5772" s="53" t="n">
        <v>45950.8815162037</v>
      </c>
      <c r="Q5772" s="53" t="n">
        <v>45948.6303703704</v>
      </c>
      <c r="R5772" s="0" t="n">
        <v>0</v>
      </c>
      <c r="S5772" s="51" t="s">
        <v>2394</v>
      </c>
      <c r="T5772" s="51" t="s">
        <v>2394</v>
      </c>
      <c r="U5772" s="0" t="str">
        <f aca="false">"12482691"</f>
        <v>12482691</v>
      </c>
      <c r="V5772" s="51" t="s">
        <v>2365</v>
      </c>
      <c r="W5772" s="51" t="s">
        <v>10176</v>
      </c>
      <c r="X5772" s="51" t="s">
        <v>2359</v>
      </c>
    </row>
    <row r="5773" customFormat="false" ht="14.25" hidden="true" customHeight="false" outlineLevel="0" collapsed="false">
      <c r="A5773" s="49" t="s">
        <v>2349</v>
      </c>
      <c r="B5773" s="49" t="s">
        <v>2350</v>
      </c>
      <c r="C5773" s="49" t="s">
        <v>10177</v>
      </c>
      <c r="D5773" s="49" t="s">
        <v>2352</v>
      </c>
      <c r="E5773" s="49" t="str">
        <f aca="false">"12482691"</f>
        <v>12482691</v>
      </c>
      <c r="F5773" s="49" t="s">
        <v>7031</v>
      </c>
      <c r="G5773" s="49" t="n">
        <v>0</v>
      </c>
      <c r="H5773" s="0" t="n">
        <v>0</v>
      </c>
      <c r="M5773" s="51" t="s">
        <v>10144</v>
      </c>
      <c r="N5773" s="49" t="n">
        <v>0</v>
      </c>
      <c r="O5773" s="53" t="n">
        <v>45948.6301851852</v>
      </c>
      <c r="P5773" s="53" t="n">
        <v>45950.884224537</v>
      </c>
      <c r="Q5773" s="53" t="n">
        <v>45948.6301851852</v>
      </c>
      <c r="R5773" s="0" t="n">
        <v>0</v>
      </c>
      <c r="S5773" s="51" t="s">
        <v>2394</v>
      </c>
      <c r="T5773" s="51" t="s">
        <v>2394</v>
      </c>
      <c r="U5773" s="0" t="str">
        <f aca="false">"12482691"</f>
        <v>12482691</v>
      </c>
      <c r="V5773" s="51" t="s">
        <v>2365</v>
      </c>
      <c r="W5773" s="51" t="s">
        <v>9922</v>
      </c>
      <c r="X5773" s="51" t="s">
        <v>2359</v>
      </c>
    </row>
    <row r="5774" customFormat="false" ht="14.25" hidden="true" customHeight="false" outlineLevel="0" collapsed="false">
      <c r="A5774" s="49" t="s">
        <v>2349</v>
      </c>
      <c r="B5774" s="49" t="s">
        <v>2350</v>
      </c>
      <c r="C5774" s="49" t="s">
        <v>10178</v>
      </c>
      <c r="D5774" s="49" t="s">
        <v>2352</v>
      </c>
      <c r="E5774" s="49" t="str">
        <f aca="false">"12482691"</f>
        <v>12482691</v>
      </c>
      <c r="F5774" s="49" t="s">
        <v>7031</v>
      </c>
      <c r="G5774" s="49" t="n">
        <v>0</v>
      </c>
      <c r="H5774" s="0" t="n">
        <v>0</v>
      </c>
      <c r="M5774" s="51" t="s">
        <v>10144</v>
      </c>
      <c r="N5774" s="49" t="n">
        <v>0</v>
      </c>
      <c r="O5774" s="53" t="n">
        <v>45948.629837963</v>
      </c>
      <c r="P5774" s="53" t="n">
        <v>45950.8856018519</v>
      </c>
      <c r="Q5774" s="53" t="n">
        <v>45948.629837963</v>
      </c>
      <c r="R5774" s="0" t="n">
        <v>0</v>
      </c>
      <c r="S5774" s="51" t="s">
        <v>2394</v>
      </c>
      <c r="T5774" s="51" t="s">
        <v>2394</v>
      </c>
      <c r="U5774" s="0" t="str">
        <f aca="false">"12482691"</f>
        <v>12482691</v>
      </c>
      <c r="V5774" s="51" t="s">
        <v>2365</v>
      </c>
      <c r="W5774" s="51" t="s">
        <v>10179</v>
      </c>
      <c r="X5774" s="51" t="s">
        <v>2359</v>
      </c>
    </row>
    <row r="5775" customFormat="false" ht="14.25" hidden="true" customHeight="false" outlineLevel="0" collapsed="false">
      <c r="A5775" s="49" t="s">
        <v>2349</v>
      </c>
      <c r="B5775" s="49" t="s">
        <v>2350</v>
      </c>
      <c r="C5775" s="49" t="s">
        <v>10180</v>
      </c>
      <c r="D5775" s="49" t="s">
        <v>2352</v>
      </c>
      <c r="E5775" s="49" t="str">
        <f aca="false">"12464079"</f>
        <v>12464079</v>
      </c>
      <c r="F5775" s="49" t="s">
        <v>4706</v>
      </c>
      <c r="G5775" s="49" t="n">
        <v>0</v>
      </c>
      <c r="H5775" s="0" t="n">
        <v>0</v>
      </c>
      <c r="M5775" s="51" t="s">
        <v>10144</v>
      </c>
      <c r="N5775" s="49" t="n">
        <v>0</v>
      </c>
      <c r="O5775" s="53" t="n">
        <v>46008.0147916667</v>
      </c>
      <c r="P5775" s="53" t="n">
        <v>46017.727025463</v>
      </c>
      <c r="R5775" s="0" t="n">
        <v>0</v>
      </c>
      <c r="T5775" s="51" t="s">
        <v>2364</v>
      </c>
      <c r="U5775" s="0" t="str">
        <f aca="false">"12464079"</f>
        <v>12464079</v>
      </c>
      <c r="V5775" s="51" t="s">
        <v>2365</v>
      </c>
      <c r="W5775" s="51" t="s">
        <v>10181</v>
      </c>
      <c r="X5775" s="51" t="s">
        <v>2359</v>
      </c>
    </row>
    <row r="5776" customFormat="false" ht="14.25" hidden="true" customHeight="false" outlineLevel="0" collapsed="false">
      <c r="A5776" s="49" t="s">
        <v>2349</v>
      </c>
      <c r="B5776" s="49" t="s">
        <v>2350</v>
      </c>
      <c r="C5776" s="49" t="s">
        <v>10182</v>
      </c>
      <c r="D5776" s="49" t="s">
        <v>2352</v>
      </c>
      <c r="E5776" s="49" t="str">
        <f aca="false">"12464079"</f>
        <v>12464079</v>
      </c>
      <c r="F5776" s="49" t="s">
        <v>4706</v>
      </c>
      <c r="G5776" s="49" t="n">
        <v>0</v>
      </c>
      <c r="H5776" s="0" t="n">
        <v>0</v>
      </c>
      <c r="M5776" s="51" t="s">
        <v>10144</v>
      </c>
      <c r="N5776" s="49" t="n">
        <v>0</v>
      </c>
      <c r="O5776" s="53" t="n">
        <v>46008.0146180556</v>
      </c>
      <c r="P5776" s="53" t="n">
        <v>46017.7273842593</v>
      </c>
      <c r="R5776" s="0" t="n">
        <v>0</v>
      </c>
      <c r="T5776" s="51" t="s">
        <v>2364</v>
      </c>
      <c r="U5776" s="0" t="str">
        <f aca="false">"12464079"</f>
        <v>12464079</v>
      </c>
      <c r="V5776" s="51" t="s">
        <v>2365</v>
      </c>
      <c r="W5776" s="51" t="s">
        <v>10181</v>
      </c>
      <c r="X5776" s="51" t="s">
        <v>2359</v>
      </c>
    </row>
    <row r="5777" customFormat="false" ht="14.25" hidden="true" customHeight="false" outlineLevel="0" collapsed="false">
      <c r="A5777" s="49" t="s">
        <v>2349</v>
      </c>
      <c r="B5777" s="49" t="s">
        <v>2350</v>
      </c>
      <c r="C5777" s="49" t="s">
        <v>10183</v>
      </c>
      <c r="D5777" s="49" t="s">
        <v>2352</v>
      </c>
      <c r="E5777" s="49" t="str">
        <f aca="false">"12464079"</f>
        <v>12464079</v>
      </c>
      <c r="F5777" s="49" t="s">
        <v>4706</v>
      </c>
      <c r="G5777" s="49" t="n">
        <v>0</v>
      </c>
      <c r="H5777" s="0" t="n">
        <v>0</v>
      </c>
      <c r="M5777" s="51" t="s">
        <v>10184</v>
      </c>
      <c r="N5777" s="49" t="n">
        <v>0</v>
      </c>
      <c r="O5777" s="53" t="n">
        <v>45948.6113078704</v>
      </c>
      <c r="P5777" s="53" t="n">
        <v>46011.5843287037</v>
      </c>
      <c r="Q5777" s="53" t="n">
        <v>45948.6113078704</v>
      </c>
      <c r="R5777" s="0" t="n">
        <v>0</v>
      </c>
      <c r="S5777" s="51" t="s">
        <v>2398</v>
      </c>
      <c r="T5777" s="51" t="s">
        <v>2398</v>
      </c>
      <c r="U5777" s="0" t="str">
        <f aca="false">"12464079"</f>
        <v>12464079</v>
      </c>
      <c r="V5777" s="51" t="s">
        <v>2365</v>
      </c>
      <c r="W5777" s="51" t="s">
        <v>9608</v>
      </c>
      <c r="X5777" s="51" t="s">
        <v>2359</v>
      </c>
    </row>
    <row r="5778" customFormat="false" ht="14.25" hidden="true" customHeight="false" outlineLevel="0" collapsed="false">
      <c r="A5778" s="49" t="s">
        <v>2349</v>
      </c>
      <c r="B5778" s="49" t="s">
        <v>2350</v>
      </c>
      <c r="C5778" s="49" t="s">
        <v>10185</v>
      </c>
      <c r="D5778" s="49" t="s">
        <v>2352</v>
      </c>
      <c r="E5778" s="49" t="str">
        <f aca="false">"12464079"</f>
        <v>12464079</v>
      </c>
      <c r="F5778" s="49" t="s">
        <v>4706</v>
      </c>
      <c r="G5778" s="49" t="n">
        <v>0</v>
      </c>
      <c r="H5778" s="0" t="n">
        <v>0</v>
      </c>
      <c r="M5778" s="51" t="s">
        <v>10184</v>
      </c>
      <c r="N5778" s="49" t="n">
        <v>0</v>
      </c>
      <c r="O5778" s="53" t="n">
        <v>45948.6111921296</v>
      </c>
      <c r="P5778" s="53" t="n">
        <v>45979.9041898148</v>
      </c>
      <c r="Q5778" s="53" t="n">
        <v>45948.6111921296</v>
      </c>
      <c r="R5778" s="0" t="n">
        <v>0</v>
      </c>
      <c r="S5778" s="51" t="s">
        <v>2398</v>
      </c>
      <c r="T5778" s="51" t="s">
        <v>2398</v>
      </c>
      <c r="U5778" s="0" t="str">
        <f aca="false">"12464079"</f>
        <v>12464079</v>
      </c>
      <c r="V5778" s="51" t="s">
        <v>2365</v>
      </c>
      <c r="W5778" s="51" t="s">
        <v>10186</v>
      </c>
      <c r="X5778" s="51" t="s">
        <v>2359</v>
      </c>
    </row>
    <row r="5779" customFormat="false" ht="14.25" hidden="true" customHeight="false" outlineLevel="0" collapsed="false">
      <c r="A5779" s="49" t="s">
        <v>2349</v>
      </c>
      <c r="B5779" s="49" t="s">
        <v>2350</v>
      </c>
      <c r="C5779" s="49" t="s">
        <v>10187</v>
      </c>
      <c r="D5779" s="49" t="s">
        <v>2352</v>
      </c>
      <c r="E5779" s="49" t="str">
        <f aca="false">"12464079"</f>
        <v>12464079</v>
      </c>
      <c r="F5779" s="49" t="s">
        <v>4706</v>
      </c>
      <c r="G5779" s="49" t="n">
        <v>0</v>
      </c>
      <c r="H5779" s="0" t="n">
        <v>0</v>
      </c>
      <c r="M5779" s="51" t="s">
        <v>10184</v>
      </c>
      <c r="N5779" s="49" t="n">
        <v>0</v>
      </c>
      <c r="O5779" s="53" t="n">
        <v>45948.6108449074</v>
      </c>
      <c r="P5779" s="53" t="n">
        <v>45953.8187384259</v>
      </c>
      <c r="Q5779" s="53" t="n">
        <v>45948.6108449074</v>
      </c>
      <c r="R5779" s="0" t="n">
        <v>0</v>
      </c>
      <c r="S5779" s="51" t="s">
        <v>2398</v>
      </c>
      <c r="T5779" s="51" t="s">
        <v>2398</v>
      </c>
      <c r="U5779" s="0" t="str">
        <f aca="false">"12464079"</f>
        <v>12464079</v>
      </c>
      <c r="V5779" s="51" t="s">
        <v>2365</v>
      </c>
      <c r="W5779" s="51" t="s">
        <v>10188</v>
      </c>
      <c r="X5779" s="51" t="s">
        <v>2359</v>
      </c>
    </row>
    <row r="5780" customFormat="false" ht="14.25" hidden="true" customHeight="false" outlineLevel="0" collapsed="false">
      <c r="A5780" s="49" t="s">
        <v>2349</v>
      </c>
      <c r="B5780" s="49" t="s">
        <v>2350</v>
      </c>
      <c r="C5780" s="49" t="s">
        <v>10189</v>
      </c>
      <c r="D5780" s="49" t="s">
        <v>2352</v>
      </c>
      <c r="E5780" s="49" t="str">
        <f aca="false">"12464079"</f>
        <v>12464079</v>
      </c>
      <c r="F5780" s="49" t="s">
        <v>4706</v>
      </c>
      <c r="G5780" s="49" t="n">
        <v>0</v>
      </c>
      <c r="H5780" s="0" t="n">
        <v>0</v>
      </c>
      <c r="M5780" s="51" t="s">
        <v>10184</v>
      </c>
      <c r="N5780" s="49" t="n">
        <v>0</v>
      </c>
      <c r="O5780" s="53" t="n">
        <v>45948.6107175926</v>
      </c>
      <c r="P5780" s="53" t="n">
        <v>45979.9093055556</v>
      </c>
      <c r="Q5780" s="53" t="n">
        <v>45948.6107175926</v>
      </c>
      <c r="R5780" s="0" t="n">
        <v>0</v>
      </c>
      <c r="S5780" s="51" t="s">
        <v>2398</v>
      </c>
      <c r="T5780" s="51" t="s">
        <v>2398</v>
      </c>
      <c r="U5780" s="0" t="str">
        <f aca="false">"12464079"</f>
        <v>12464079</v>
      </c>
      <c r="V5780" s="51" t="s">
        <v>2365</v>
      </c>
      <c r="W5780" s="51" t="s">
        <v>10190</v>
      </c>
      <c r="X5780" s="51" t="s">
        <v>2359</v>
      </c>
    </row>
    <row r="5781" customFormat="false" ht="14.25" hidden="true" customHeight="false" outlineLevel="0" collapsed="false">
      <c r="A5781" s="49" t="s">
        <v>2349</v>
      </c>
      <c r="B5781" s="49" t="s">
        <v>2350</v>
      </c>
      <c r="C5781" s="49" t="s">
        <v>10191</v>
      </c>
      <c r="D5781" s="49" t="s">
        <v>2352</v>
      </c>
      <c r="E5781" s="49" t="str">
        <f aca="false">"12464079"</f>
        <v>12464079</v>
      </c>
      <c r="F5781" s="49" t="s">
        <v>4706</v>
      </c>
      <c r="G5781" s="49" t="n">
        <v>0</v>
      </c>
      <c r="H5781" s="0" t="n">
        <v>0</v>
      </c>
      <c r="M5781" s="51" t="s">
        <v>10184</v>
      </c>
      <c r="N5781" s="49" t="n">
        <v>0</v>
      </c>
      <c r="O5781" s="53" t="n">
        <v>45948.6104050926</v>
      </c>
      <c r="P5781" s="53" t="n">
        <v>45953.8183912037</v>
      </c>
      <c r="Q5781" s="53" t="n">
        <v>45948.6104050926</v>
      </c>
      <c r="R5781" s="0" t="n">
        <v>0</v>
      </c>
      <c r="S5781" s="51" t="s">
        <v>2398</v>
      </c>
      <c r="T5781" s="51" t="s">
        <v>2398</v>
      </c>
      <c r="U5781" s="0" t="str">
        <f aca="false">"12464079"</f>
        <v>12464079</v>
      </c>
      <c r="V5781" s="51" t="s">
        <v>2365</v>
      </c>
      <c r="W5781" s="51" t="s">
        <v>10192</v>
      </c>
      <c r="X5781" s="51" t="s">
        <v>2359</v>
      </c>
    </row>
    <row r="5782" customFormat="false" ht="14.25" hidden="true" customHeight="false" outlineLevel="0" collapsed="false">
      <c r="A5782" s="49" t="s">
        <v>2349</v>
      </c>
      <c r="B5782" s="49" t="s">
        <v>2350</v>
      </c>
      <c r="C5782" s="49" t="s">
        <v>10193</v>
      </c>
      <c r="D5782" s="49" t="s">
        <v>2352</v>
      </c>
      <c r="E5782" s="49" t="str">
        <f aca="false">"12464079"</f>
        <v>12464079</v>
      </c>
      <c r="F5782" s="49" t="s">
        <v>4706</v>
      </c>
      <c r="G5782" s="49" t="n">
        <v>0</v>
      </c>
      <c r="H5782" s="0" t="n">
        <v>0</v>
      </c>
      <c r="M5782" s="51" t="s">
        <v>10184</v>
      </c>
      <c r="N5782" s="49" t="n">
        <v>0</v>
      </c>
      <c r="O5782" s="53" t="n">
        <v>45948.6102662037</v>
      </c>
      <c r="P5782" s="53" t="n">
        <v>45979.9149189815</v>
      </c>
      <c r="Q5782" s="53" t="n">
        <v>45948.6102662037</v>
      </c>
      <c r="R5782" s="0" t="n">
        <v>0</v>
      </c>
      <c r="S5782" s="51" t="s">
        <v>2398</v>
      </c>
      <c r="T5782" s="51" t="s">
        <v>2398</v>
      </c>
      <c r="U5782" s="0" t="str">
        <f aca="false">"12464079"</f>
        <v>12464079</v>
      </c>
      <c r="V5782" s="51" t="s">
        <v>2365</v>
      </c>
      <c r="W5782" s="51" t="s">
        <v>7804</v>
      </c>
      <c r="X5782" s="51" t="s">
        <v>2359</v>
      </c>
    </row>
    <row r="5783" customFormat="false" ht="14.25" hidden="true" customHeight="false" outlineLevel="0" collapsed="false">
      <c r="A5783" s="49" t="s">
        <v>2349</v>
      </c>
      <c r="B5783" s="49" t="s">
        <v>2350</v>
      </c>
      <c r="C5783" s="49" t="s">
        <v>10194</v>
      </c>
      <c r="D5783" s="49" t="s">
        <v>2352</v>
      </c>
      <c r="E5783" s="49" t="str">
        <f aca="false">"12464079"</f>
        <v>12464079</v>
      </c>
      <c r="F5783" s="49" t="s">
        <v>4706</v>
      </c>
      <c r="G5783" s="49" t="n">
        <v>0</v>
      </c>
      <c r="H5783" s="0" t="n">
        <v>0</v>
      </c>
      <c r="M5783" s="51" t="s">
        <v>10184</v>
      </c>
      <c r="N5783" s="49" t="n">
        <v>0</v>
      </c>
      <c r="O5783" s="53" t="n">
        <v>45948.6101388889</v>
      </c>
      <c r="P5783" s="53" t="n">
        <v>45953.8190972222</v>
      </c>
      <c r="Q5783" s="53" t="n">
        <v>45948.6101388889</v>
      </c>
      <c r="R5783" s="0" t="n">
        <v>0</v>
      </c>
      <c r="S5783" s="51" t="s">
        <v>2398</v>
      </c>
      <c r="T5783" s="51" t="s">
        <v>2398</v>
      </c>
      <c r="U5783" s="0" t="str">
        <f aca="false">"12464079"</f>
        <v>12464079</v>
      </c>
      <c r="V5783" s="51" t="s">
        <v>2365</v>
      </c>
      <c r="W5783" s="51" t="s">
        <v>10195</v>
      </c>
      <c r="X5783" s="51" t="s">
        <v>2359</v>
      </c>
    </row>
    <row r="5784" customFormat="false" ht="14.25" hidden="true" customHeight="false" outlineLevel="0" collapsed="false">
      <c r="A5784" s="49" t="s">
        <v>2349</v>
      </c>
      <c r="B5784" s="49" t="s">
        <v>2350</v>
      </c>
      <c r="C5784" s="49" t="s">
        <v>10196</v>
      </c>
      <c r="D5784" s="49" t="s">
        <v>2352</v>
      </c>
      <c r="E5784" s="49" t="str">
        <f aca="false">"12464079"</f>
        <v>12464079</v>
      </c>
      <c r="F5784" s="49" t="s">
        <v>4706</v>
      </c>
      <c r="G5784" s="49" t="n">
        <v>0</v>
      </c>
      <c r="H5784" s="0" t="n">
        <v>0</v>
      </c>
      <c r="M5784" s="51" t="s">
        <v>10184</v>
      </c>
      <c r="N5784" s="49" t="n">
        <v>0</v>
      </c>
      <c r="O5784" s="53" t="n">
        <v>45948.6100231482</v>
      </c>
      <c r="P5784" s="53" t="n">
        <v>45979.9115972222</v>
      </c>
      <c r="Q5784" s="53" t="n">
        <v>45948.6100231482</v>
      </c>
      <c r="R5784" s="0" t="n">
        <v>0</v>
      </c>
      <c r="S5784" s="51" t="s">
        <v>2398</v>
      </c>
      <c r="T5784" s="51" t="s">
        <v>2398</v>
      </c>
      <c r="U5784" s="0" t="str">
        <f aca="false">"12464079"</f>
        <v>12464079</v>
      </c>
      <c r="V5784" s="51" t="s">
        <v>2365</v>
      </c>
      <c r="W5784" s="51" t="s">
        <v>4038</v>
      </c>
      <c r="X5784" s="51" t="s">
        <v>2359</v>
      </c>
    </row>
    <row r="5785" customFormat="false" ht="14.25" hidden="true" customHeight="false" outlineLevel="0" collapsed="false">
      <c r="A5785" s="49" t="s">
        <v>2349</v>
      </c>
      <c r="B5785" s="49" t="s">
        <v>2350</v>
      </c>
      <c r="C5785" s="49" t="s">
        <v>10197</v>
      </c>
      <c r="D5785" s="49" t="s">
        <v>2352</v>
      </c>
      <c r="E5785" s="49" t="str">
        <f aca="false">"12464079"</f>
        <v>12464079</v>
      </c>
      <c r="F5785" s="49" t="s">
        <v>4706</v>
      </c>
      <c r="G5785" s="49" t="n">
        <v>0</v>
      </c>
      <c r="H5785" s="0" t="n">
        <v>0</v>
      </c>
      <c r="M5785" s="51" t="s">
        <v>10184</v>
      </c>
      <c r="N5785" s="49" t="n">
        <v>0</v>
      </c>
      <c r="O5785" s="53" t="n">
        <v>45948.6098263889</v>
      </c>
      <c r="P5785" s="53" t="n">
        <v>46011.5890046296</v>
      </c>
      <c r="Q5785" s="53" t="n">
        <v>45948.6098263889</v>
      </c>
      <c r="R5785" s="0" t="n">
        <v>0</v>
      </c>
      <c r="S5785" s="51" t="s">
        <v>2398</v>
      </c>
      <c r="T5785" s="51" t="s">
        <v>2398</v>
      </c>
      <c r="U5785" s="0" t="str">
        <f aca="false">"12464079"</f>
        <v>12464079</v>
      </c>
      <c r="V5785" s="51" t="s">
        <v>2365</v>
      </c>
      <c r="W5785" s="51" t="s">
        <v>10198</v>
      </c>
      <c r="X5785" s="51" t="s">
        <v>2359</v>
      </c>
    </row>
    <row r="5786" customFormat="false" ht="14.25" hidden="true" customHeight="false" outlineLevel="0" collapsed="false">
      <c r="A5786" s="49" t="s">
        <v>2349</v>
      </c>
      <c r="B5786" s="49" t="s">
        <v>2350</v>
      </c>
      <c r="C5786" s="49" t="s">
        <v>10199</v>
      </c>
      <c r="D5786" s="49" t="s">
        <v>2352</v>
      </c>
      <c r="E5786" s="49" t="str">
        <f aca="false">"12464079"</f>
        <v>12464079</v>
      </c>
      <c r="F5786" s="49" t="s">
        <v>4706</v>
      </c>
      <c r="G5786" s="49" t="n">
        <v>0</v>
      </c>
      <c r="H5786" s="0" t="n">
        <v>0</v>
      </c>
      <c r="M5786" s="51" t="s">
        <v>10184</v>
      </c>
      <c r="N5786" s="49" t="n">
        <v>0</v>
      </c>
      <c r="O5786" s="53" t="n">
        <v>45948.6096990741</v>
      </c>
      <c r="P5786" s="53" t="n">
        <v>46006.9898958333</v>
      </c>
      <c r="Q5786" s="53" t="n">
        <v>45948.6096990741</v>
      </c>
      <c r="R5786" s="0" t="n">
        <v>0</v>
      </c>
      <c r="S5786" s="51" t="s">
        <v>2398</v>
      </c>
      <c r="T5786" s="51" t="s">
        <v>2398</v>
      </c>
      <c r="U5786" s="0" t="str">
        <f aca="false">"12464079"</f>
        <v>12464079</v>
      </c>
      <c r="V5786" s="51" t="s">
        <v>2365</v>
      </c>
      <c r="W5786" s="51" t="s">
        <v>4225</v>
      </c>
      <c r="X5786" s="51" t="s">
        <v>2359</v>
      </c>
    </row>
    <row r="5787" customFormat="false" ht="14.25" hidden="true" customHeight="false" outlineLevel="0" collapsed="false">
      <c r="A5787" s="49" t="s">
        <v>2349</v>
      </c>
      <c r="B5787" s="49" t="s">
        <v>2350</v>
      </c>
      <c r="C5787" s="49" t="s">
        <v>10200</v>
      </c>
      <c r="D5787" s="49" t="s">
        <v>2352</v>
      </c>
      <c r="E5787" s="49" t="str">
        <f aca="false">"12464079"</f>
        <v>12464079</v>
      </c>
      <c r="F5787" s="49" t="s">
        <v>4706</v>
      </c>
      <c r="G5787" s="49" t="n">
        <v>0</v>
      </c>
      <c r="H5787" s="0" t="n">
        <v>0</v>
      </c>
      <c r="M5787" s="51" t="s">
        <v>10184</v>
      </c>
      <c r="N5787" s="49" t="n">
        <v>0</v>
      </c>
      <c r="O5787" s="53" t="n">
        <v>45948.6046527778</v>
      </c>
      <c r="P5787" s="53" t="n">
        <v>45979.9158333333</v>
      </c>
      <c r="Q5787" s="53" t="n">
        <v>45948.6046527778</v>
      </c>
      <c r="R5787" s="0" t="n">
        <v>0</v>
      </c>
      <c r="S5787" s="51" t="s">
        <v>2398</v>
      </c>
      <c r="T5787" s="51" t="s">
        <v>2398</v>
      </c>
      <c r="U5787" s="0" t="str">
        <f aca="false">"12464079"</f>
        <v>12464079</v>
      </c>
      <c r="V5787" s="51" t="s">
        <v>2365</v>
      </c>
      <c r="W5787" s="51" t="s">
        <v>4949</v>
      </c>
      <c r="X5787" s="51" t="s">
        <v>2359</v>
      </c>
    </row>
    <row r="5788" customFormat="false" ht="14.25" hidden="true" customHeight="false" outlineLevel="0" collapsed="false">
      <c r="A5788" s="49" t="s">
        <v>2349</v>
      </c>
      <c r="B5788" s="49" t="s">
        <v>2350</v>
      </c>
      <c r="C5788" s="49" t="s">
        <v>10201</v>
      </c>
      <c r="D5788" s="49" t="s">
        <v>2352</v>
      </c>
      <c r="E5788" s="49" t="str">
        <f aca="false">"12464079"</f>
        <v>12464079</v>
      </c>
      <c r="F5788" s="49" t="s">
        <v>4706</v>
      </c>
      <c r="G5788" s="49" t="n">
        <v>0</v>
      </c>
      <c r="H5788" s="0" t="n">
        <v>0</v>
      </c>
      <c r="M5788" s="51" t="s">
        <v>10184</v>
      </c>
      <c r="N5788" s="49" t="n">
        <v>0</v>
      </c>
      <c r="O5788" s="53" t="n">
        <v>45948.6044907407</v>
      </c>
      <c r="P5788" s="53" t="n">
        <v>45979.9108333333</v>
      </c>
      <c r="Q5788" s="53" t="n">
        <v>45948.6044907407</v>
      </c>
      <c r="R5788" s="0" t="n">
        <v>0</v>
      </c>
      <c r="S5788" s="51" t="s">
        <v>2398</v>
      </c>
      <c r="T5788" s="51" t="s">
        <v>2398</v>
      </c>
      <c r="U5788" s="0" t="str">
        <f aca="false">"12464079"</f>
        <v>12464079</v>
      </c>
      <c r="V5788" s="51" t="s">
        <v>2365</v>
      </c>
      <c r="W5788" s="51" t="s">
        <v>10202</v>
      </c>
      <c r="X5788" s="51" t="s">
        <v>2359</v>
      </c>
    </row>
    <row r="5789" customFormat="false" ht="14.25" hidden="true" customHeight="false" outlineLevel="0" collapsed="false">
      <c r="A5789" s="49" t="s">
        <v>2349</v>
      </c>
      <c r="B5789" s="49" t="s">
        <v>2350</v>
      </c>
      <c r="C5789" s="49" t="s">
        <v>10203</v>
      </c>
      <c r="D5789" s="49" t="s">
        <v>2352</v>
      </c>
      <c r="E5789" s="49" t="str">
        <f aca="false">"12464079"</f>
        <v>12464079</v>
      </c>
      <c r="F5789" s="49" t="s">
        <v>4706</v>
      </c>
      <c r="G5789" s="49" t="n">
        <v>0</v>
      </c>
      <c r="H5789" s="0" t="n">
        <v>0</v>
      </c>
      <c r="M5789" s="51" t="s">
        <v>10184</v>
      </c>
      <c r="N5789" s="49" t="n">
        <v>0</v>
      </c>
      <c r="O5789" s="53" t="n">
        <v>45948.6043865741</v>
      </c>
      <c r="P5789" s="53" t="n">
        <v>46017.7300578704</v>
      </c>
      <c r="Q5789" s="53" t="n">
        <v>45948.6043865741</v>
      </c>
      <c r="R5789" s="0" t="n">
        <v>0</v>
      </c>
      <c r="S5789" s="51" t="s">
        <v>2398</v>
      </c>
      <c r="T5789" s="51" t="s">
        <v>2398</v>
      </c>
      <c r="U5789" s="0" t="str">
        <f aca="false">"12464079"</f>
        <v>12464079</v>
      </c>
      <c r="V5789" s="51" t="s">
        <v>2365</v>
      </c>
      <c r="W5789" s="51" t="s">
        <v>10204</v>
      </c>
      <c r="X5789" s="51" t="s">
        <v>2359</v>
      </c>
    </row>
    <row r="5790" customFormat="false" ht="14.25" hidden="true" customHeight="false" outlineLevel="0" collapsed="false">
      <c r="A5790" s="49" t="s">
        <v>2349</v>
      </c>
      <c r="B5790" s="49" t="s">
        <v>2350</v>
      </c>
      <c r="C5790" s="49" t="s">
        <v>10205</v>
      </c>
      <c r="D5790" s="49" t="s">
        <v>2352</v>
      </c>
      <c r="E5790" s="49" t="str">
        <f aca="false">"12464079"</f>
        <v>12464079</v>
      </c>
      <c r="F5790" s="49" t="s">
        <v>4706</v>
      </c>
      <c r="G5790" s="49" t="n">
        <v>0</v>
      </c>
      <c r="H5790" s="0" t="n">
        <v>0</v>
      </c>
      <c r="M5790" s="51" t="s">
        <v>10184</v>
      </c>
      <c r="N5790" s="49" t="n">
        <v>0</v>
      </c>
      <c r="O5790" s="53" t="n">
        <v>45948.6040740741</v>
      </c>
      <c r="P5790" s="53" t="n">
        <v>46011.5906365741</v>
      </c>
      <c r="Q5790" s="53" t="n">
        <v>45948.6040740741</v>
      </c>
      <c r="R5790" s="0" t="n">
        <v>0</v>
      </c>
      <c r="S5790" s="51" t="s">
        <v>2398</v>
      </c>
      <c r="T5790" s="51" t="s">
        <v>2398</v>
      </c>
      <c r="U5790" s="0" t="str">
        <f aca="false">"12464079"</f>
        <v>12464079</v>
      </c>
      <c r="V5790" s="51" t="s">
        <v>2365</v>
      </c>
      <c r="W5790" s="51" t="s">
        <v>10206</v>
      </c>
      <c r="X5790" s="51" t="s">
        <v>2359</v>
      </c>
    </row>
    <row r="5791" customFormat="false" ht="14.25" hidden="true" customHeight="false" outlineLevel="0" collapsed="false">
      <c r="A5791" s="49" t="s">
        <v>2349</v>
      </c>
      <c r="B5791" s="49" t="s">
        <v>2350</v>
      </c>
      <c r="C5791" s="49" t="s">
        <v>10207</v>
      </c>
      <c r="D5791" s="49" t="s">
        <v>2352</v>
      </c>
      <c r="E5791" s="49" t="str">
        <f aca="false">"12464079"</f>
        <v>12464079</v>
      </c>
      <c r="F5791" s="49" t="s">
        <v>4706</v>
      </c>
      <c r="G5791" s="49" t="n">
        <v>0</v>
      </c>
      <c r="H5791" s="0" t="n">
        <v>0</v>
      </c>
      <c r="M5791" s="51" t="s">
        <v>10184</v>
      </c>
      <c r="N5791" s="49" t="n">
        <v>0</v>
      </c>
      <c r="O5791" s="53" t="n">
        <v>45948.6016087963</v>
      </c>
      <c r="P5791" s="53" t="n">
        <v>45979.9083101852</v>
      </c>
      <c r="Q5791" s="53" t="n">
        <v>45948.6016087963</v>
      </c>
      <c r="R5791" s="0" t="n">
        <v>0</v>
      </c>
      <c r="S5791" s="51" t="s">
        <v>2383</v>
      </c>
      <c r="T5791" s="51" t="s">
        <v>2383</v>
      </c>
      <c r="U5791" s="0" t="str">
        <f aca="false">"12464079"</f>
        <v>12464079</v>
      </c>
      <c r="V5791" s="51" t="s">
        <v>2365</v>
      </c>
      <c r="W5791" s="51" t="s">
        <v>10208</v>
      </c>
      <c r="X5791" s="51" t="s">
        <v>2359</v>
      </c>
    </row>
    <row r="5792" customFormat="false" ht="14.25" hidden="true" customHeight="false" outlineLevel="0" collapsed="false">
      <c r="A5792" s="49" t="s">
        <v>2349</v>
      </c>
      <c r="B5792" s="49" t="s">
        <v>2350</v>
      </c>
      <c r="C5792" s="49" t="s">
        <v>10209</v>
      </c>
      <c r="D5792" s="49" t="s">
        <v>2352</v>
      </c>
      <c r="E5792" s="49" t="str">
        <f aca="false">"12464079"</f>
        <v>12464079</v>
      </c>
      <c r="F5792" s="49" t="s">
        <v>4706</v>
      </c>
      <c r="G5792" s="49" t="n">
        <v>0</v>
      </c>
      <c r="H5792" s="0" t="n">
        <v>0</v>
      </c>
      <c r="M5792" s="51" t="s">
        <v>10184</v>
      </c>
      <c r="N5792" s="49" t="n">
        <v>0</v>
      </c>
      <c r="O5792" s="53" t="n">
        <v>45948.6011574074</v>
      </c>
      <c r="P5792" s="53" t="n">
        <v>45979.9033217593</v>
      </c>
      <c r="Q5792" s="53" t="n">
        <v>45948.6011574074</v>
      </c>
      <c r="R5792" s="0" t="n">
        <v>0</v>
      </c>
      <c r="S5792" s="51" t="s">
        <v>2383</v>
      </c>
      <c r="T5792" s="51" t="s">
        <v>2383</v>
      </c>
      <c r="U5792" s="0" t="str">
        <f aca="false">"12464079"</f>
        <v>12464079</v>
      </c>
      <c r="V5792" s="51" t="s">
        <v>2365</v>
      </c>
      <c r="W5792" s="51" t="s">
        <v>10210</v>
      </c>
      <c r="X5792" s="51" t="s">
        <v>2359</v>
      </c>
    </row>
    <row r="5793" customFormat="false" ht="14.25" hidden="true" customHeight="false" outlineLevel="0" collapsed="false">
      <c r="A5793" s="49" t="s">
        <v>2349</v>
      </c>
      <c r="B5793" s="49" t="s">
        <v>2350</v>
      </c>
      <c r="C5793" s="49" t="s">
        <v>10211</v>
      </c>
      <c r="D5793" s="49" t="s">
        <v>2352</v>
      </c>
      <c r="E5793" s="49" t="str">
        <f aca="false">"12464079"</f>
        <v>12464079</v>
      </c>
      <c r="F5793" s="49" t="s">
        <v>4706</v>
      </c>
      <c r="G5793" s="49" t="n">
        <v>0</v>
      </c>
      <c r="H5793" s="0" t="n">
        <v>0</v>
      </c>
      <c r="M5793" s="51" t="s">
        <v>10184</v>
      </c>
      <c r="N5793" s="49" t="n">
        <v>0</v>
      </c>
      <c r="O5793" s="53" t="n">
        <v>45948.604224537</v>
      </c>
      <c r="P5793" s="53" t="n">
        <v>45979.9101388889</v>
      </c>
      <c r="Q5793" s="53" t="n">
        <v>45948.604224537</v>
      </c>
      <c r="R5793" s="0" t="n">
        <v>0</v>
      </c>
      <c r="S5793" s="51" t="s">
        <v>2398</v>
      </c>
      <c r="T5793" s="51" t="s">
        <v>2398</v>
      </c>
      <c r="U5793" s="0" t="str">
        <f aca="false">"12464079"</f>
        <v>12464079</v>
      </c>
      <c r="V5793" s="51" t="s">
        <v>2365</v>
      </c>
      <c r="W5793" s="51" t="s">
        <v>10212</v>
      </c>
      <c r="X5793" s="51" t="s">
        <v>2359</v>
      </c>
    </row>
    <row r="5794" customFormat="false" ht="14.25" hidden="true" customHeight="false" outlineLevel="0" collapsed="false">
      <c r="A5794" s="49" t="s">
        <v>2349</v>
      </c>
      <c r="B5794" s="49" t="s">
        <v>2350</v>
      </c>
      <c r="C5794" s="49" t="s">
        <v>10213</v>
      </c>
      <c r="D5794" s="49" t="s">
        <v>2352</v>
      </c>
      <c r="E5794" s="49" t="str">
        <f aca="false">"12464079"</f>
        <v>12464079</v>
      </c>
      <c r="F5794" s="49" t="s">
        <v>4706</v>
      </c>
      <c r="G5794" s="49" t="n">
        <v>0</v>
      </c>
      <c r="H5794" s="0" t="n">
        <v>0</v>
      </c>
      <c r="M5794" s="51" t="s">
        <v>10184</v>
      </c>
      <c r="N5794" s="49" t="n">
        <v>0</v>
      </c>
      <c r="O5794" s="53" t="n">
        <v>45948.6038541667</v>
      </c>
      <c r="P5794" s="53" t="n">
        <v>45979.9064699074</v>
      </c>
      <c r="Q5794" s="53" t="n">
        <v>45948.6038541667</v>
      </c>
      <c r="R5794" s="0" t="n">
        <v>0</v>
      </c>
      <c r="S5794" s="51" t="s">
        <v>2398</v>
      </c>
      <c r="T5794" s="51" t="s">
        <v>2398</v>
      </c>
      <c r="U5794" s="0" t="str">
        <f aca="false">"12464079"</f>
        <v>12464079</v>
      </c>
      <c r="V5794" s="51" t="s">
        <v>2365</v>
      </c>
      <c r="W5794" s="51" t="s">
        <v>10214</v>
      </c>
      <c r="X5794" s="51" t="s">
        <v>2359</v>
      </c>
    </row>
    <row r="5795" customFormat="false" ht="14.25" hidden="true" customHeight="false" outlineLevel="0" collapsed="false">
      <c r="A5795" s="49" t="s">
        <v>2349</v>
      </c>
      <c r="B5795" s="49" t="s">
        <v>2350</v>
      </c>
      <c r="C5795" s="49" t="s">
        <v>10215</v>
      </c>
      <c r="D5795" s="49" t="s">
        <v>2352</v>
      </c>
      <c r="E5795" s="49" t="str">
        <f aca="false">"12464079"</f>
        <v>12464079</v>
      </c>
      <c r="F5795" s="49" t="s">
        <v>4706</v>
      </c>
      <c r="G5795" s="49" t="n">
        <v>0</v>
      </c>
      <c r="H5795" s="0" t="n">
        <v>0</v>
      </c>
      <c r="M5795" s="51" t="s">
        <v>10184</v>
      </c>
      <c r="N5795" s="49" t="n">
        <v>0</v>
      </c>
      <c r="O5795" s="53" t="n">
        <v>45948.6019328704</v>
      </c>
      <c r="P5795" s="53" t="n">
        <v>45979.9054282407</v>
      </c>
      <c r="Q5795" s="53" t="n">
        <v>45948.6019328704</v>
      </c>
      <c r="R5795" s="0" t="n">
        <v>0</v>
      </c>
      <c r="S5795" s="51" t="s">
        <v>2383</v>
      </c>
      <c r="T5795" s="51" t="s">
        <v>2383</v>
      </c>
      <c r="U5795" s="0" t="str">
        <f aca="false">"12464079"</f>
        <v>12464079</v>
      </c>
      <c r="V5795" s="51" t="s">
        <v>2365</v>
      </c>
      <c r="W5795" s="51" t="s">
        <v>10216</v>
      </c>
      <c r="X5795" s="51" t="s">
        <v>2359</v>
      </c>
    </row>
    <row r="5796" customFormat="false" ht="14.25" hidden="true" customHeight="false" outlineLevel="0" collapsed="false">
      <c r="A5796" s="49" t="s">
        <v>2349</v>
      </c>
      <c r="B5796" s="49" t="s">
        <v>2350</v>
      </c>
      <c r="C5796" s="49" t="s">
        <v>10217</v>
      </c>
      <c r="D5796" s="49" t="s">
        <v>2352</v>
      </c>
      <c r="E5796" s="49" t="str">
        <f aca="false">"12464079"</f>
        <v>12464079</v>
      </c>
      <c r="F5796" s="49" t="s">
        <v>4706</v>
      </c>
      <c r="G5796" s="49" t="n">
        <v>0</v>
      </c>
      <c r="H5796" s="0" t="n">
        <v>0</v>
      </c>
      <c r="M5796" s="51" t="s">
        <v>10184</v>
      </c>
      <c r="N5796" s="49" t="n">
        <v>0</v>
      </c>
      <c r="O5796" s="53" t="n">
        <v>45948.5992939815</v>
      </c>
      <c r="P5796" s="53" t="n">
        <v>45953.8194444444</v>
      </c>
      <c r="Q5796" s="53" t="n">
        <v>45948.5992939815</v>
      </c>
      <c r="R5796" s="0" t="n">
        <v>0</v>
      </c>
      <c r="S5796" s="51" t="s">
        <v>2383</v>
      </c>
      <c r="T5796" s="51" t="s">
        <v>2383</v>
      </c>
      <c r="U5796" s="0" t="str">
        <f aca="false">"12464079"</f>
        <v>12464079</v>
      </c>
      <c r="V5796" s="51" t="s">
        <v>2365</v>
      </c>
      <c r="W5796" s="51" t="s">
        <v>10218</v>
      </c>
      <c r="X5796" s="51" t="s">
        <v>2359</v>
      </c>
    </row>
    <row r="5797" customFormat="false" ht="14.25" hidden="true" customHeight="false" outlineLevel="0" collapsed="false">
      <c r="A5797" s="49" t="s">
        <v>2349</v>
      </c>
      <c r="B5797" s="49" t="s">
        <v>2350</v>
      </c>
      <c r="C5797" s="49" t="s">
        <v>10219</v>
      </c>
      <c r="D5797" s="49" t="s">
        <v>2352</v>
      </c>
      <c r="E5797" s="49" t="s">
        <v>4351</v>
      </c>
      <c r="F5797" s="49" t="s">
        <v>4352</v>
      </c>
      <c r="G5797" s="49" t="n">
        <v>0</v>
      </c>
      <c r="H5797" s="0" t="n">
        <v>0</v>
      </c>
      <c r="M5797" s="51" t="s">
        <v>10220</v>
      </c>
      <c r="N5797" s="49" t="n">
        <v>0</v>
      </c>
      <c r="O5797" s="53" t="n">
        <v>45942.6877083333</v>
      </c>
      <c r="P5797" s="53" t="n">
        <v>45953.8467824074</v>
      </c>
      <c r="Q5797" s="53" t="n">
        <v>45942.6877083333</v>
      </c>
      <c r="R5797" s="0" t="n">
        <v>0</v>
      </c>
      <c r="S5797" s="51" t="s">
        <v>2356</v>
      </c>
      <c r="T5797" s="51" t="s">
        <v>2356</v>
      </c>
      <c r="U5797" s="51" t="s">
        <v>4351</v>
      </c>
      <c r="V5797" s="51" t="s">
        <v>2365</v>
      </c>
      <c r="W5797" s="51" t="s">
        <v>10221</v>
      </c>
      <c r="X5797" s="51" t="s">
        <v>2359</v>
      </c>
    </row>
    <row r="5798" customFormat="false" ht="14.25" hidden="true" customHeight="false" outlineLevel="0" collapsed="false">
      <c r="A5798" s="49" t="s">
        <v>2349</v>
      </c>
      <c r="B5798" s="49" t="s">
        <v>2350</v>
      </c>
      <c r="C5798" s="49" t="s">
        <v>10222</v>
      </c>
      <c r="D5798" s="49" t="s">
        <v>2352</v>
      </c>
      <c r="E5798" s="49" t="s">
        <v>4351</v>
      </c>
      <c r="F5798" s="49" t="s">
        <v>4352</v>
      </c>
      <c r="G5798" s="49" t="n">
        <v>0</v>
      </c>
      <c r="H5798" s="0" t="n">
        <v>0</v>
      </c>
      <c r="M5798" s="51" t="s">
        <v>10220</v>
      </c>
      <c r="N5798" s="49" t="n">
        <v>0</v>
      </c>
      <c r="O5798" s="53" t="n">
        <v>45942.688912037</v>
      </c>
      <c r="P5798" s="53" t="n">
        <v>45952.7881944444</v>
      </c>
      <c r="Q5798" s="53" t="n">
        <v>45942.688912037</v>
      </c>
      <c r="R5798" s="0" t="n">
        <v>0</v>
      </c>
      <c r="S5798" s="51" t="s">
        <v>2356</v>
      </c>
      <c r="T5798" s="51" t="s">
        <v>2356</v>
      </c>
      <c r="U5798" s="51" t="s">
        <v>4351</v>
      </c>
      <c r="V5798" s="51" t="s">
        <v>2365</v>
      </c>
      <c r="W5798" s="51" t="s">
        <v>7272</v>
      </c>
      <c r="X5798" s="51" t="s">
        <v>2359</v>
      </c>
    </row>
    <row r="5799" customFormat="false" ht="14.25" hidden="true" customHeight="false" outlineLevel="0" collapsed="false">
      <c r="A5799" s="49" t="s">
        <v>2349</v>
      </c>
      <c r="B5799" s="49" t="s">
        <v>2350</v>
      </c>
      <c r="C5799" s="49" t="s">
        <v>10223</v>
      </c>
      <c r="D5799" s="49" t="s">
        <v>2352</v>
      </c>
      <c r="E5799" s="49" t="s">
        <v>4351</v>
      </c>
      <c r="F5799" s="49" t="s">
        <v>4352</v>
      </c>
      <c r="G5799" s="49" t="n">
        <v>0</v>
      </c>
      <c r="H5799" s="0" t="n">
        <v>0</v>
      </c>
      <c r="M5799" s="51" t="s">
        <v>10220</v>
      </c>
      <c r="N5799" s="49" t="n">
        <v>0</v>
      </c>
      <c r="O5799" s="53" t="n">
        <v>45942.6874768519</v>
      </c>
      <c r="P5799" s="53" t="n">
        <v>45957.3855208333</v>
      </c>
      <c r="Q5799" s="53" t="n">
        <v>45942.6874768519</v>
      </c>
      <c r="R5799" s="0" t="n">
        <v>0</v>
      </c>
      <c r="S5799" s="51" t="s">
        <v>2356</v>
      </c>
      <c r="T5799" s="51" t="s">
        <v>2356</v>
      </c>
      <c r="U5799" s="51" t="s">
        <v>4351</v>
      </c>
      <c r="V5799" s="51" t="s">
        <v>2365</v>
      </c>
      <c r="W5799" s="51" t="s">
        <v>8648</v>
      </c>
      <c r="X5799" s="51" t="s">
        <v>2359</v>
      </c>
    </row>
    <row r="5800" customFormat="false" ht="14.25" hidden="true" customHeight="false" outlineLevel="0" collapsed="false">
      <c r="A5800" s="49" t="s">
        <v>2349</v>
      </c>
      <c r="B5800" s="49" t="s">
        <v>2350</v>
      </c>
      <c r="C5800" s="49" t="s">
        <v>10224</v>
      </c>
      <c r="D5800" s="49" t="s">
        <v>2352</v>
      </c>
      <c r="E5800" s="49" t="s">
        <v>4351</v>
      </c>
      <c r="F5800" s="49" t="s">
        <v>4352</v>
      </c>
      <c r="G5800" s="49" t="n">
        <v>0</v>
      </c>
      <c r="H5800" s="0" t="n">
        <v>0</v>
      </c>
      <c r="M5800" s="51" t="s">
        <v>10220</v>
      </c>
      <c r="N5800" s="49" t="n">
        <v>0</v>
      </c>
      <c r="O5800" s="53" t="n">
        <v>45942.6869675926</v>
      </c>
      <c r="P5800" s="53" t="n">
        <v>45950.4544097222</v>
      </c>
      <c r="Q5800" s="53" t="n">
        <v>45942.6869675926</v>
      </c>
      <c r="R5800" s="0" t="n">
        <v>0</v>
      </c>
      <c r="S5800" s="51" t="s">
        <v>2356</v>
      </c>
      <c r="T5800" s="51" t="s">
        <v>2356</v>
      </c>
      <c r="U5800" s="51" t="s">
        <v>4351</v>
      </c>
      <c r="V5800" s="51" t="s">
        <v>2365</v>
      </c>
      <c r="W5800" s="51" t="s">
        <v>3772</v>
      </c>
      <c r="X5800" s="51" t="s">
        <v>2359</v>
      </c>
    </row>
    <row r="5801" customFormat="false" ht="14.25" hidden="true" customHeight="false" outlineLevel="0" collapsed="false">
      <c r="A5801" s="49" t="s">
        <v>2349</v>
      </c>
      <c r="B5801" s="49" t="s">
        <v>2350</v>
      </c>
      <c r="C5801" s="49" t="s">
        <v>10225</v>
      </c>
      <c r="D5801" s="49" t="s">
        <v>2352</v>
      </c>
      <c r="E5801" s="49" t="s">
        <v>4351</v>
      </c>
      <c r="F5801" s="49" t="s">
        <v>4352</v>
      </c>
      <c r="G5801" s="49" t="n">
        <v>0</v>
      </c>
      <c r="H5801" s="0" t="n">
        <v>0</v>
      </c>
      <c r="M5801" s="51" t="s">
        <v>10220</v>
      </c>
      <c r="N5801" s="49" t="n">
        <v>0</v>
      </c>
      <c r="O5801" s="53" t="n">
        <v>45942.686712963</v>
      </c>
      <c r="P5801" s="53" t="n">
        <v>45943.462025463</v>
      </c>
      <c r="Q5801" s="53" t="n">
        <v>45942.686712963</v>
      </c>
      <c r="R5801" s="0" t="n">
        <v>0</v>
      </c>
      <c r="S5801" s="51" t="s">
        <v>2356</v>
      </c>
      <c r="T5801" s="51" t="s">
        <v>2356</v>
      </c>
      <c r="U5801" s="51" t="s">
        <v>4351</v>
      </c>
      <c r="V5801" s="51" t="s">
        <v>2365</v>
      </c>
      <c r="W5801" s="51" t="s">
        <v>9039</v>
      </c>
      <c r="X5801" s="51" t="s">
        <v>2359</v>
      </c>
    </row>
    <row r="5802" customFormat="false" ht="14.25" hidden="true" customHeight="false" outlineLevel="0" collapsed="false">
      <c r="A5802" s="49" t="s">
        <v>2349</v>
      </c>
      <c r="B5802" s="49" t="s">
        <v>2350</v>
      </c>
      <c r="C5802" s="49" t="s">
        <v>10226</v>
      </c>
      <c r="D5802" s="49" t="s">
        <v>2352</v>
      </c>
      <c r="E5802" s="49" t="s">
        <v>4351</v>
      </c>
      <c r="F5802" s="49" t="s">
        <v>4352</v>
      </c>
      <c r="G5802" s="49" t="n">
        <v>0</v>
      </c>
      <c r="H5802" s="0" t="n">
        <v>0</v>
      </c>
      <c r="M5802" s="51" t="s">
        <v>10220</v>
      </c>
      <c r="N5802" s="49" t="n">
        <v>0</v>
      </c>
      <c r="O5802" s="53" t="n">
        <v>45942.6864467593</v>
      </c>
      <c r="P5802" s="53" t="n">
        <v>45943.4621990741</v>
      </c>
      <c r="Q5802" s="53" t="n">
        <v>45942.6864467593</v>
      </c>
      <c r="R5802" s="0" t="n">
        <v>0</v>
      </c>
      <c r="S5802" s="51" t="s">
        <v>2356</v>
      </c>
      <c r="T5802" s="51" t="s">
        <v>2356</v>
      </c>
      <c r="U5802" s="51" t="s">
        <v>4351</v>
      </c>
      <c r="V5802" s="51" t="s">
        <v>2365</v>
      </c>
      <c r="W5802" s="51" t="s">
        <v>7265</v>
      </c>
      <c r="X5802" s="51" t="s">
        <v>2359</v>
      </c>
    </row>
    <row r="5803" customFormat="false" ht="14.25" hidden="true" customHeight="false" outlineLevel="0" collapsed="false">
      <c r="A5803" s="49" t="s">
        <v>2349</v>
      </c>
      <c r="B5803" s="49" t="s">
        <v>2350</v>
      </c>
      <c r="C5803" s="49" t="s">
        <v>10227</v>
      </c>
      <c r="D5803" s="49" t="s">
        <v>2352</v>
      </c>
      <c r="E5803" s="49" t="s">
        <v>4351</v>
      </c>
      <c r="F5803" s="49" t="s">
        <v>4352</v>
      </c>
      <c r="G5803" s="49" t="n">
        <v>0</v>
      </c>
      <c r="H5803" s="0" t="n">
        <v>0</v>
      </c>
      <c r="M5803" s="51" t="s">
        <v>10220</v>
      </c>
      <c r="N5803" s="49" t="n">
        <v>0</v>
      </c>
      <c r="O5803" s="53" t="n">
        <v>45942.6861689815</v>
      </c>
      <c r="P5803" s="53" t="n">
        <v>45946.675150463</v>
      </c>
      <c r="Q5803" s="53" t="n">
        <v>45942.6861689815</v>
      </c>
      <c r="R5803" s="0" t="n">
        <v>0</v>
      </c>
      <c r="S5803" s="51" t="s">
        <v>2356</v>
      </c>
      <c r="T5803" s="51" t="s">
        <v>2356</v>
      </c>
      <c r="U5803" s="51" t="s">
        <v>4351</v>
      </c>
      <c r="V5803" s="51" t="s">
        <v>2365</v>
      </c>
      <c r="W5803" s="51" t="s">
        <v>4126</v>
      </c>
      <c r="X5803" s="51" t="s">
        <v>2359</v>
      </c>
    </row>
    <row r="5804" customFormat="false" ht="14.25" hidden="true" customHeight="false" outlineLevel="0" collapsed="false">
      <c r="A5804" s="49" t="s">
        <v>2349</v>
      </c>
      <c r="B5804" s="49" t="s">
        <v>2350</v>
      </c>
      <c r="C5804" s="49" t="s">
        <v>10228</v>
      </c>
      <c r="D5804" s="49" t="s">
        <v>2352</v>
      </c>
      <c r="E5804" s="49" t="s">
        <v>4351</v>
      </c>
      <c r="F5804" s="49" t="s">
        <v>4352</v>
      </c>
      <c r="G5804" s="49" t="n">
        <v>0</v>
      </c>
      <c r="H5804" s="0" t="n">
        <v>0</v>
      </c>
      <c r="M5804" s="51" t="s">
        <v>10220</v>
      </c>
      <c r="N5804" s="49" t="n">
        <v>0</v>
      </c>
      <c r="O5804" s="53" t="n">
        <v>45942.6858680556</v>
      </c>
      <c r="P5804" s="53" t="n">
        <v>45948.348587963</v>
      </c>
      <c r="Q5804" s="53" t="n">
        <v>45942.6858680556</v>
      </c>
      <c r="R5804" s="0" t="n">
        <v>0</v>
      </c>
      <c r="S5804" s="51" t="s">
        <v>2356</v>
      </c>
      <c r="T5804" s="51" t="s">
        <v>2356</v>
      </c>
      <c r="U5804" s="51" t="s">
        <v>4351</v>
      </c>
      <c r="V5804" s="51" t="s">
        <v>2365</v>
      </c>
      <c r="W5804" s="51" t="s">
        <v>10229</v>
      </c>
      <c r="X5804" s="51" t="s">
        <v>2359</v>
      </c>
    </row>
    <row r="5805" customFormat="false" ht="14.25" hidden="true" customHeight="false" outlineLevel="0" collapsed="false">
      <c r="A5805" s="49" t="s">
        <v>2349</v>
      </c>
      <c r="B5805" s="49" t="s">
        <v>2350</v>
      </c>
      <c r="C5805" s="49" t="s">
        <v>10230</v>
      </c>
      <c r="D5805" s="49" t="s">
        <v>2352</v>
      </c>
      <c r="E5805" s="49" t="s">
        <v>4351</v>
      </c>
      <c r="F5805" s="49" t="s">
        <v>4352</v>
      </c>
      <c r="G5805" s="49" t="n">
        <v>0</v>
      </c>
      <c r="H5805" s="0" t="n">
        <v>0</v>
      </c>
      <c r="M5805" s="51" t="s">
        <v>10220</v>
      </c>
      <c r="N5805" s="49" t="n">
        <v>0</v>
      </c>
      <c r="O5805" s="53" t="n">
        <v>45942.6856134259</v>
      </c>
      <c r="P5805" s="53" t="n">
        <v>45946.6750347222</v>
      </c>
      <c r="Q5805" s="53" t="n">
        <v>45942.6856134259</v>
      </c>
      <c r="R5805" s="0" t="n">
        <v>0</v>
      </c>
      <c r="S5805" s="51" t="s">
        <v>2356</v>
      </c>
      <c r="T5805" s="51" t="s">
        <v>2356</v>
      </c>
      <c r="U5805" s="51" t="s">
        <v>4351</v>
      </c>
      <c r="V5805" s="51" t="s">
        <v>2365</v>
      </c>
      <c r="W5805" s="51" t="s">
        <v>4126</v>
      </c>
      <c r="X5805" s="51" t="s">
        <v>2359</v>
      </c>
    </row>
    <row r="5806" customFormat="false" ht="14.25" hidden="true" customHeight="false" outlineLevel="0" collapsed="false">
      <c r="A5806" s="49" t="s">
        <v>2349</v>
      </c>
      <c r="B5806" s="49" t="s">
        <v>2350</v>
      </c>
      <c r="C5806" s="49" t="s">
        <v>10231</v>
      </c>
      <c r="D5806" s="49" t="s">
        <v>2352</v>
      </c>
      <c r="E5806" s="49" t="s">
        <v>4351</v>
      </c>
      <c r="F5806" s="49" t="s">
        <v>4352</v>
      </c>
      <c r="G5806" s="49" t="n">
        <v>0</v>
      </c>
      <c r="H5806" s="0" t="n">
        <v>0</v>
      </c>
      <c r="M5806" s="51" t="s">
        <v>10220</v>
      </c>
      <c r="N5806" s="49" t="n">
        <v>0</v>
      </c>
      <c r="O5806" s="53" t="n">
        <v>45942.6853472222</v>
      </c>
      <c r="P5806" s="53" t="n">
        <v>45943.6640972222</v>
      </c>
      <c r="Q5806" s="53" t="n">
        <v>45942.6853472222</v>
      </c>
      <c r="R5806" s="0" t="n">
        <v>0</v>
      </c>
      <c r="S5806" s="51" t="s">
        <v>2356</v>
      </c>
      <c r="T5806" s="51" t="s">
        <v>2356</v>
      </c>
      <c r="U5806" s="51" t="s">
        <v>4351</v>
      </c>
      <c r="V5806" s="51" t="s">
        <v>2365</v>
      </c>
      <c r="W5806" s="51" t="s">
        <v>3701</v>
      </c>
      <c r="X5806" s="51" t="s">
        <v>2359</v>
      </c>
    </row>
    <row r="5807" customFormat="false" ht="14.25" hidden="true" customHeight="false" outlineLevel="0" collapsed="false">
      <c r="A5807" s="49" t="s">
        <v>2349</v>
      </c>
      <c r="B5807" s="49" t="s">
        <v>2350</v>
      </c>
      <c r="C5807" s="49" t="s">
        <v>10232</v>
      </c>
      <c r="D5807" s="49" t="s">
        <v>2352</v>
      </c>
      <c r="E5807" s="49" t="s">
        <v>4351</v>
      </c>
      <c r="F5807" s="49" t="s">
        <v>4352</v>
      </c>
      <c r="G5807" s="49" t="n">
        <v>0</v>
      </c>
      <c r="H5807" s="0" t="n">
        <v>0</v>
      </c>
      <c r="M5807" s="51" t="s">
        <v>10220</v>
      </c>
      <c r="N5807" s="49" t="n">
        <v>0</v>
      </c>
      <c r="O5807" s="53" t="n">
        <v>45942.6849537037</v>
      </c>
      <c r="P5807" s="53" t="n">
        <v>45952.7828819445</v>
      </c>
      <c r="Q5807" s="53" t="n">
        <v>45942.6849537037</v>
      </c>
      <c r="R5807" s="0" t="n">
        <v>0</v>
      </c>
      <c r="S5807" s="51" t="s">
        <v>2356</v>
      </c>
      <c r="T5807" s="51" t="s">
        <v>2356</v>
      </c>
      <c r="U5807" s="51" t="s">
        <v>4351</v>
      </c>
      <c r="V5807" s="51" t="s">
        <v>2365</v>
      </c>
      <c r="W5807" s="51" t="s">
        <v>5915</v>
      </c>
      <c r="X5807" s="51" t="s">
        <v>2359</v>
      </c>
    </row>
    <row r="5808" customFormat="false" ht="14.25" hidden="true" customHeight="false" outlineLevel="0" collapsed="false">
      <c r="A5808" s="49" t="s">
        <v>2349</v>
      </c>
      <c r="B5808" s="49" t="s">
        <v>2350</v>
      </c>
      <c r="C5808" s="49" t="s">
        <v>10233</v>
      </c>
      <c r="D5808" s="49" t="s">
        <v>2352</v>
      </c>
      <c r="E5808" s="49" t="s">
        <v>4351</v>
      </c>
      <c r="F5808" s="49" t="s">
        <v>4352</v>
      </c>
      <c r="G5808" s="49" t="n">
        <v>0</v>
      </c>
      <c r="H5808" s="0" t="n">
        <v>0</v>
      </c>
      <c r="M5808" s="51" t="s">
        <v>10220</v>
      </c>
      <c r="N5808" s="49" t="n">
        <v>0</v>
      </c>
      <c r="O5808" s="53" t="n">
        <v>45942.6846990741</v>
      </c>
      <c r="P5808" s="53" t="n">
        <v>45946.6753356482</v>
      </c>
      <c r="Q5808" s="53" t="n">
        <v>45942.6846990741</v>
      </c>
      <c r="R5808" s="0" t="n">
        <v>0</v>
      </c>
      <c r="S5808" s="51" t="s">
        <v>2356</v>
      </c>
      <c r="T5808" s="51" t="s">
        <v>2356</v>
      </c>
      <c r="U5808" s="51" t="s">
        <v>4351</v>
      </c>
      <c r="V5808" s="51" t="s">
        <v>2365</v>
      </c>
      <c r="W5808" s="51" t="s">
        <v>5143</v>
      </c>
      <c r="X5808" s="51" t="s">
        <v>2359</v>
      </c>
    </row>
    <row r="5809" customFormat="false" ht="14.25" hidden="true" customHeight="false" outlineLevel="0" collapsed="false">
      <c r="A5809" s="49" t="s">
        <v>2349</v>
      </c>
      <c r="B5809" s="49" t="s">
        <v>2350</v>
      </c>
      <c r="C5809" s="49" t="s">
        <v>10234</v>
      </c>
      <c r="D5809" s="49" t="s">
        <v>2352</v>
      </c>
      <c r="E5809" s="49" t="s">
        <v>4351</v>
      </c>
      <c r="F5809" s="49" t="s">
        <v>4352</v>
      </c>
      <c r="G5809" s="49" t="n">
        <v>0</v>
      </c>
      <c r="H5809" s="0" t="n">
        <v>0</v>
      </c>
      <c r="M5809" s="51" t="s">
        <v>10220</v>
      </c>
      <c r="N5809" s="49" t="n">
        <v>0</v>
      </c>
      <c r="O5809" s="53" t="n">
        <v>45942.6844097222</v>
      </c>
      <c r="P5809" s="53" t="n">
        <v>45944.397650463</v>
      </c>
      <c r="Q5809" s="53" t="n">
        <v>45942.6844097222</v>
      </c>
      <c r="R5809" s="0" t="n">
        <v>0</v>
      </c>
      <c r="S5809" s="51" t="s">
        <v>2356</v>
      </c>
      <c r="T5809" s="51" t="s">
        <v>2356</v>
      </c>
      <c r="U5809" s="51" t="s">
        <v>4351</v>
      </c>
      <c r="V5809" s="51" t="s">
        <v>2365</v>
      </c>
      <c r="W5809" s="51" t="s">
        <v>8515</v>
      </c>
      <c r="X5809" s="51" t="s">
        <v>2359</v>
      </c>
    </row>
    <row r="5810" customFormat="false" ht="14.25" hidden="true" customHeight="false" outlineLevel="0" collapsed="false">
      <c r="A5810" s="49" t="s">
        <v>2349</v>
      </c>
      <c r="B5810" s="49" t="s">
        <v>2350</v>
      </c>
      <c r="C5810" s="49" t="s">
        <v>10235</v>
      </c>
      <c r="D5810" s="49" t="s">
        <v>2352</v>
      </c>
      <c r="E5810" s="49" t="s">
        <v>4351</v>
      </c>
      <c r="F5810" s="49" t="s">
        <v>4352</v>
      </c>
      <c r="G5810" s="49" t="n">
        <v>0</v>
      </c>
      <c r="H5810" s="0" t="n">
        <v>0</v>
      </c>
      <c r="M5810" s="51" t="s">
        <v>10220</v>
      </c>
      <c r="N5810" s="49" t="n">
        <v>0</v>
      </c>
      <c r="O5810" s="53" t="n">
        <v>45942.6841319444</v>
      </c>
      <c r="P5810" s="53" t="n">
        <v>45943.4616898148</v>
      </c>
      <c r="Q5810" s="53" t="n">
        <v>45942.6841319444</v>
      </c>
      <c r="R5810" s="0" t="n">
        <v>0</v>
      </c>
      <c r="S5810" s="51" t="s">
        <v>2356</v>
      </c>
      <c r="T5810" s="51" t="s">
        <v>2356</v>
      </c>
      <c r="U5810" s="51" t="s">
        <v>4351</v>
      </c>
      <c r="V5810" s="51" t="s">
        <v>2365</v>
      </c>
      <c r="W5810" s="51" t="s">
        <v>4118</v>
      </c>
      <c r="X5810" s="51" t="s">
        <v>2359</v>
      </c>
    </row>
    <row r="5811" customFormat="false" ht="14.25" hidden="true" customHeight="false" outlineLevel="0" collapsed="false">
      <c r="A5811" s="49" t="s">
        <v>2349</v>
      </c>
      <c r="B5811" s="49" t="s">
        <v>2350</v>
      </c>
      <c r="C5811" s="49" t="s">
        <v>10236</v>
      </c>
      <c r="D5811" s="49" t="s">
        <v>2352</v>
      </c>
      <c r="E5811" s="49" t="s">
        <v>4351</v>
      </c>
      <c r="F5811" s="49" t="s">
        <v>4352</v>
      </c>
      <c r="G5811" s="49" t="n">
        <v>0</v>
      </c>
      <c r="H5811" s="0" t="n">
        <v>0</v>
      </c>
      <c r="M5811" s="51" t="s">
        <v>10220</v>
      </c>
      <c r="N5811" s="49" t="n">
        <v>0</v>
      </c>
      <c r="O5811" s="53" t="n">
        <v>45942.6838773148</v>
      </c>
      <c r="P5811" s="53" t="n">
        <v>45943.4619212963</v>
      </c>
      <c r="Q5811" s="53" t="n">
        <v>45942.6838773148</v>
      </c>
      <c r="R5811" s="0" t="n">
        <v>0</v>
      </c>
      <c r="S5811" s="51" t="s">
        <v>2356</v>
      </c>
      <c r="T5811" s="51" t="s">
        <v>2356</v>
      </c>
      <c r="U5811" s="51" t="s">
        <v>4351</v>
      </c>
      <c r="V5811" s="51" t="s">
        <v>2365</v>
      </c>
      <c r="W5811" s="51" t="s">
        <v>8251</v>
      </c>
      <c r="X5811" s="51" t="s">
        <v>2359</v>
      </c>
    </row>
    <row r="5812" customFormat="false" ht="14.25" hidden="true" customHeight="false" outlineLevel="0" collapsed="false">
      <c r="A5812" s="49" t="s">
        <v>2349</v>
      </c>
      <c r="B5812" s="49" t="s">
        <v>2350</v>
      </c>
      <c r="C5812" s="49" t="s">
        <v>10237</v>
      </c>
      <c r="D5812" s="49" t="s">
        <v>2352</v>
      </c>
      <c r="E5812" s="49" t="s">
        <v>4351</v>
      </c>
      <c r="F5812" s="49" t="s">
        <v>4352</v>
      </c>
      <c r="G5812" s="49" t="n">
        <v>0</v>
      </c>
      <c r="H5812" s="0" t="n">
        <v>0</v>
      </c>
      <c r="M5812" s="51" t="s">
        <v>10220</v>
      </c>
      <c r="N5812" s="49" t="n">
        <v>0</v>
      </c>
      <c r="O5812" s="53" t="n">
        <v>45942.683599537</v>
      </c>
      <c r="P5812" s="53" t="n">
        <v>45943.4617939815</v>
      </c>
      <c r="Q5812" s="53" t="n">
        <v>45942.683599537</v>
      </c>
      <c r="R5812" s="0" t="n">
        <v>0</v>
      </c>
      <c r="S5812" s="51" t="s">
        <v>2356</v>
      </c>
      <c r="T5812" s="51" t="s">
        <v>2356</v>
      </c>
      <c r="U5812" s="51" t="s">
        <v>4351</v>
      </c>
      <c r="V5812" s="51" t="s">
        <v>2365</v>
      </c>
      <c r="W5812" s="51" t="s">
        <v>5466</v>
      </c>
      <c r="X5812" s="51" t="s">
        <v>2359</v>
      </c>
    </row>
    <row r="5813" customFormat="false" ht="14.25" hidden="true" customHeight="false" outlineLevel="0" collapsed="false">
      <c r="A5813" s="49" t="s">
        <v>2349</v>
      </c>
      <c r="B5813" s="49" t="s">
        <v>2350</v>
      </c>
      <c r="C5813" s="49" t="s">
        <v>10238</v>
      </c>
      <c r="D5813" s="49" t="s">
        <v>2352</v>
      </c>
      <c r="E5813" s="49" t="s">
        <v>4351</v>
      </c>
      <c r="F5813" s="49" t="s">
        <v>4352</v>
      </c>
      <c r="G5813" s="49" t="n">
        <v>0</v>
      </c>
      <c r="H5813" s="0" t="n">
        <v>0</v>
      </c>
      <c r="M5813" s="51" t="s">
        <v>10220</v>
      </c>
      <c r="N5813" s="49" t="n">
        <v>0</v>
      </c>
      <c r="O5813" s="53" t="n">
        <v>45942.6833333333</v>
      </c>
      <c r="P5813" s="53" t="n">
        <v>45943.4613078704</v>
      </c>
      <c r="Q5813" s="53" t="n">
        <v>45942.6833333333</v>
      </c>
      <c r="R5813" s="0" t="n">
        <v>0</v>
      </c>
      <c r="S5813" s="51" t="s">
        <v>2356</v>
      </c>
      <c r="T5813" s="51" t="s">
        <v>2356</v>
      </c>
      <c r="U5813" s="51" t="s">
        <v>4351</v>
      </c>
      <c r="V5813" s="51" t="s">
        <v>2365</v>
      </c>
      <c r="W5813" s="51" t="s">
        <v>10065</v>
      </c>
      <c r="X5813" s="51" t="s">
        <v>2359</v>
      </c>
    </row>
    <row r="5814" customFormat="false" ht="14.25" hidden="true" customHeight="false" outlineLevel="0" collapsed="false">
      <c r="A5814" s="49" t="s">
        <v>2349</v>
      </c>
      <c r="B5814" s="49" t="s">
        <v>2350</v>
      </c>
      <c r="C5814" s="49" t="s">
        <v>10239</v>
      </c>
      <c r="D5814" s="49" t="s">
        <v>2352</v>
      </c>
      <c r="E5814" s="49" t="s">
        <v>4351</v>
      </c>
      <c r="F5814" s="49" t="s">
        <v>4352</v>
      </c>
      <c r="G5814" s="49" t="n">
        <v>0</v>
      </c>
      <c r="H5814" s="0" t="n">
        <v>0</v>
      </c>
      <c r="M5814" s="51" t="s">
        <v>10220</v>
      </c>
      <c r="N5814" s="49" t="n">
        <v>0</v>
      </c>
      <c r="O5814" s="53" t="n">
        <v>45942.6830208333</v>
      </c>
      <c r="P5814" s="53" t="n">
        <v>45979.426099537</v>
      </c>
      <c r="Q5814" s="53" t="n">
        <v>45942.6830208333</v>
      </c>
      <c r="R5814" s="0" t="n">
        <v>0</v>
      </c>
      <c r="S5814" s="51" t="s">
        <v>2356</v>
      </c>
      <c r="T5814" s="51" t="s">
        <v>2356</v>
      </c>
      <c r="U5814" s="51" t="s">
        <v>4351</v>
      </c>
      <c r="V5814" s="51" t="s">
        <v>2365</v>
      </c>
      <c r="W5814" s="51" t="s">
        <v>9075</v>
      </c>
      <c r="X5814" s="51" t="s">
        <v>2359</v>
      </c>
    </row>
    <row r="5815" customFormat="false" ht="14.25" hidden="true" customHeight="false" outlineLevel="0" collapsed="false">
      <c r="A5815" s="49" t="s">
        <v>2349</v>
      </c>
      <c r="B5815" s="49" t="s">
        <v>2350</v>
      </c>
      <c r="C5815" s="49" t="s">
        <v>10240</v>
      </c>
      <c r="D5815" s="49" t="s">
        <v>2352</v>
      </c>
      <c r="E5815" s="49" t="s">
        <v>4351</v>
      </c>
      <c r="F5815" s="49" t="s">
        <v>4352</v>
      </c>
      <c r="G5815" s="49" t="n">
        <v>0</v>
      </c>
      <c r="H5815" s="0" t="n">
        <v>0</v>
      </c>
      <c r="M5815" s="51" t="s">
        <v>10220</v>
      </c>
      <c r="N5815" s="49" t="n">
        <v>0</v>
      </c>
      <c r="O5815" s="53" t="n">
        <v>45942.6822916667</v>
      </c>
      <c r="P5815" s="53" t="n">
        <v>45958.4671875</v>
      </c>
      <c r="Q5815" s="53" t="n">
        <v>45942.6822916667</v>
      </c>
      <c r="R5815" s="0" t="n">
        <v>0</v>
      </c>
      <c r="S5815" s="51" t="s">
        <v>2356</v>
      </c>
      <c r="T5815" s="51" t="s">
        <v>2356</v>
      </c>
      <c r="U5815" s="51" t="s">
        <v>4351</v>
      </c>
      <c r="V5815" s="51" t="s">
        <v>2365</v>
      </c>
      <c r="W5815" s="51" t="s">
        <v>10241</v>
      </c>
      <c r="X5815" s="51" t="s">
        <v>2359</v>
      </c>
    </row>
    <row r="5816" customFormat="false" ht="14.25" hidden="true" customHeight="false" outlineLevel="0" collapsed="false">
      <c r="A5816" s="49" t="s">
        <v>2349</v>
      </c>
      <c r="B5816" s="49" t="s">
        <v>2350</v>
      </c>
      <c r="C5816" s="49" t="s">
        <v>10242</v>
      </c>
      <c r="D5816" s="49" t="s">
        <v>2352</v>
      </c>
      <c r="E5816" s="49" t="s">
        <v>4351</v>
      </c>
      <c r="F5816" s="49" t="s">
        <v>4352</v>
      </c>
      <c r="G5816" s="49" t="n">
        <v>0</v>
      </c>
      <c r="H5816" s="0" t="n">
        <v>0</v>
      </c>
      <c r="M5816" s="51" t="s">
        <v>10220</v>
      </c>
      <c r="N5816" s="49" t="n">
        <v>0</v>
      </c>
      <c r="O5816" s="53" t="n">
        <v>45942.6818865741</v>
      </c>
      <c r="P5816" s="53" t="n">
        <v>45943.4611805556</v>
      </c>
      <c r="Q5816" s="53" t="n">
        <v>45942.6818865741</v>
      </c>
      <c r="R5816" s="0" t="n">
        <v>0</v>
      </c>
      <c r="S5816" s="51" t="s">
        <v>2356</v>
      </c>
      <c r="T5816" s="51" t="s">
        <v>2356</v>
      </c>
      <c r="U5816" s="51" t="s">
        <v>4351</v>
      </c>
      <c r="V5816" s="51" t="s">
        <v>2365</v>
      </c>
      <c r="W5816" s="51" t="s">
        <v>5405</v>
      </c>
      <c r="X5816" s="51" t="s">
        <v>2359</v>
      </c>
    </row>
    <row r="5817" customFormat="false" ht="14.25" hidden="true" customHeight="false" outlineLevel="0" collapsed="false">
      <c r="A5817" s="49" t="s">
        <v>2349</v>
      </c>
      <c r="B5817" s="49" t="s">
        <v>2350</v>
      </c>
      <c r="C5817" s="49" t="s">
        <v>10243</v>
      </c>
      <c r="D5817" s="49" t="s">
        <v>2352</v>
      </c>
      <c r="E5817" s="49" t="str">
        <f aca="false">"12393794"</f>
        <v>12393794</v>
      </c>
      <c r="F5817" s="49" t="s">
        <v>4855</v>
      </c>
      <c r="G5817" s="49" t="n">
        <v>0</v>
      </c>
      <c r="H5817" s="0" t="n">
        <v>0</v>
      </c>
      <c r="M5817" s="51" t="s">
        <v>10244</v>
      </c>
      <c r="N5817" s="49" t="n">
        <v>0</v>
      </c>
      <c r="O5817" s="53" t="n">
        <v>45952.5471064815</v>
      </c>
      <c r="P5817" s="53" t="n">
        <v>45978.4753125</v>
      </c>
      <c r="Q5817" s="53" t="n">
        <v>45952.5471064815</v>
      </c>
      <c r="R5817" s="0" t="n">
        <v>0</v>
      </c>
      <c r="S5817" s="51" t="s">
        <v>2401</v>
      </c>
      <c r="T5817" s="51" t="s">
        <v>2401</v>
      </c>
      <c r="U5817" s="0" t="str">
        <f aca="false">"12393794"</f>
        <v>12393794</v>
      </c>
      <c r="V5817" s="51" t="s">
        <v>2365</v>
      </c>
      <c r="W5817" s="51" t="s">
        <v>9608</v>
      </c>
      <c r="X5817" s="51" t="s">
        <v>2359</v>
      </c>
    </row>
    <row r="5818" customFormat="false" ht="14.25" hidden="true" customHeight="false" outlineLevel="0" collapsed="false">
      <c r="A5818" s="49" t="s">
        <v>2349</v>
      </c>
      <c r="B5818" s="49" t="s">
        <v>2350</v>
      </c>
      <c r="C5818" s="49" t="s">
        <v>10245</v>
      </c>
      <c r="D5818" s="49" t="s">
        <v>2352</v>
      </c>
      <c r="E5818" s="49" t="str">
        <f aca="false">"5060458890191"</f>
        <v>5060458890191</v>
      </c>
      <c r="F5818" s="49" t="s">
        <v>3656</v>
      </c>
      <c r="G5818" s="49" t="n">
        <v>0</v>
      </c>
      <c r="H5818" s="0" t="n">
        <v>0</v>
      </c>
      <c r="M5818" s="51" t="s">
        <v>10244</v>
      </c>
      <c r="N5818" s="49" t="n">
        <v>0</v>
      </c>
      <c r="O5818" s="53" t="n">
        <v>45952.5464814815</v>
      </c>
      <c r="P5818" s="53" t="n">
        <v>45956.4649189815</v>
      </c>
      <c r="Q5818" s="53" t="n">
        <v>45952.5464814815</v>
      </c>
      <c r="R5818" s="0" t="n">
        <v>0</v>
      </c>
      <c r="S5818" s="51" t="s">
        <v>2401</v>
      </c>
      <c r="T5818" s="51" t="s">
        <v>2401</v>
      </c>
      <c r="U5818" s="0" t="str">
        <f aca="false">"5060458890191"</f>
        <v>5060458890191</v>
      </c>
      <c r="V5818" s="51" t="s">
        <v>2142</v>
      </c>
      <c r="W5818" s="51" t="s">
        <v>9608</v>
      </c>
      <c r="X5818" s="51" t="s">
        <v>2359</v>
      </c>
    </row>
    <row r="5819" customFormat="false" ht="14.25" hidden="true" customHeight="false" outlineLevel="0" collapsed="false">
      <c r="A5819" s="49" t="s">
        <v>2349</v>
      </c>
      <c r="B5819" s="49" t="s">
        <v>2350</v>
      </c>
      <c r="C5819" s="49" t="s">
        <v>10246</v>
      </c>
      <c r="D5819" s="49" t="s">
        <v>2352</v>
      </c>
      <c r="E5819" s="49" t="str">
        <f aca="false">"734730293356"</f>
        <v>734730293356</v>
      </c>
      <c r="F5819" s="49" t="s">
        <v>3992</v>
      </c>
      <c r="G5819" s="49" t="n">
        <v>0</v>
      </c>
      <c r="H5819" s="0" t="n">
        <v>0</v>
      </c>
      <c r="M5819" s="51" t="s">
        <v>10247</v>
      </c>
      <c r="N5819" s="49" t="n">
        <v>0</v>
      </c>
      <c r="O5819" s="53" t="n">
        <v>45942.579525463</v>
      </c>
      <c r="P5819" s="53" t="n">
        <v>45995.881724537</v>
      </c>
      <c r="Q5819" s="53" t="n">
        <v>45942.579525463</v>
      </c>
      <c r="R5819" s="0" t="n">
        <v>0</v>
      </c>
      <c r="S5819" s="51" t="s">
        <v>2416</v>
      </c>
      <c r="T5819" s="51" t="s">
        <v>2416</v>
      </c>
      <c r="U5819" s="0" t="str">
        <f aca="false">"734730293356"</f>
        <v>734730293356</v>
      </c>
      <c r="V5819" s="51" t="s">
        <v>2365</v>
      </c>
      <c r="W5819" s="51" t="s">
        <v>10248</v>
      </c>
      <c r="X5819" s="51" t="s">
        <v>2359</v>
      </c>
    </row>
    <row r="5820" customFormat="false" ht="14.25" hidden="true" customHeight="false" outlineLevel="0" collapsed="false">
      <c r="A5820" s="49" t="s">
        <v>2349</v>
      </c>
      <c r="B5820" s="49" t="s">
        <v>2350</v>
      </c>
      <c r="C5820" s="49" t="s">
        <v>10249</v>
      </c>
      <c r="D5820" s="49" t="s">
        <v>2352</v>
      </c>
      <c r="E5820" s="49" t="str">
        <f aca="false">"734730293356"</f>
        <v>734730293356</v>
      </c>
      <c r="F5820" s="49" t="s">
        <v>3992</v>
      </c>
      <c r="G5820" s="49" t="n">
        <v>0</v>
      </c>
      <c r="H5820" s="0" t="n">
        <v>0</v>
      </c>
      <c r="M5820" s="51" t="s">
        <v>10247</v>
      </c>
      <c r="N5820" s="49" t="n">
        <v>0</v>
      </c>
      <c r="O5820" s="53" t="n">
        <v>45942.5796759259</v>
      </c>
      <c r="P5820" s="53" t="n">
        <v>46015.4420138889</v>
      </c>
      <c r="Q5820" s="53" t="n">
        <v>45942.5796759259</v>
      </c>
      <c r="R5820" s="0" t="n">
        <v>0</v>
      </c>
      <c r="S5820" s="51" t="s">
        <v>2416</v>
      </c>
      <c r="T5820" s="51" t="s">
        <v>2416</v>
      </c>
      <c r="U5820" s="0" t="str">
        <f aca="false">"734730293356"</f>
        <v>734730293356</v>
      </c>
      <c r="V5820" s="51" t="s">
        <v>2365</v>
      </c>
      <c r="W5820" s="51" t="s">
        <v>3877</v>
      </c>
      <c r="X5820" s="51" t="s">
        <v>2359</v>
      </c>
    </row>
    <row r="5821" customFormat="false" ht="14.25" hidden="true" customHeight="false" outlineLevel="0" collapsed="false">
      <c r="A5821" s="49" t="s">
        <v>2349</v>
      </c>
      <c r="B5821" s="49" t="s">
        <v>2350</v>
      </c>
      <c r="C5821" s="49" t="s">
        <v>10250</v>
      </c>
      <c r="D5821" s="49" t="s">
        <v>2352</v>
      </c>
      <c r="E5821" s="49" t="str">
        <f aca="false">"734730293356"</f>
        <v>734730293356</v>
      </c>
      <c r="F5821" s="49" t="s">
        <v>3992</v>
      </c>
      <c r="G5821" s="49" t="n">
        <v>0</v>
      </c>
      <c r="H5821" s="0" t="n">
        <v>0</v>
      </c>
      <c r="M5821" s="51" t="s">
        <v>10247</v>
      </c>
      <c r="N5821" s="49" t="n">
        <v>0</v>
      </c>
      <c r="O5821" s="53" t="n">
        <v>45942.5779398148</v>
      </c>
      <c r="P5821" s="53" t="n">
        <v>45995.8800578704</v>
      </c>
      <c r="Q5821" s="53" t="n">
        <v>45942.5779398148</v>
      </c>
      <c r="R5821" s="0" t="n">
        <v>0</v>
      </c>
      <c r="S5821" s="51" t="s">
        <v>2416</v>
      </c>
      <c r="T5821" s="51" t="s">
        <v>2416</v>
      </c>
      <c r="U5821" s="0" t="str">
        <f aca="false">"734730293356"</f>
        <v>734730293356</v>
      </c>
      <c r="V5821" s="51" t="s">
        <v>2365</v>
      </c>
      <c r="W5821" s="51" t="s">
        <v>10251</v>
      </c>
      <c r="X5821" s="51" t="s">
        <v>2359</v>
      </c>
    </row>
    <row r="5822" customFormat="false" ht="14.25" hidden="true" customHeight="false" outlineLevel="0" collapsed="false">
      <c r="A5822" s="49" t="s">
        <v>2349</v>
      </c>
      <c r="B5822" s="49" t="s">
        <v>2350</v>
      </c>
      <c r="C5822" s="49" t="s">
        <v>10252</v>
      </c>
      <c r="D5822" s="49" t="s">
        <v>2352</v>
      </c>
      <c r="E5822" s="49" t="str">
        <f aca="false">"734730293356"</f>
        <v>734730293356</v>
      </c>
      <c r="F5822" s="49" t="s">
        <v>3992</v>
      </c>
      <c r="G5822" s="49" t="n">
        <v>0</v>
      </c>
      <c r="H5822" s="0" t="n">
        <v>0</v>
      </c>
      <c r="M5822" s="51" t="s">
        <v>10247</v>
      </c>
      <c r="N5822" s="49" t="n">
        <v>0</v>
      </c>
      <c r="O5822" s="53" t="n">
        <v>45942.5777199074</v>
      </c>
      <c r="P5822" s="53" t="n">
        <v>45995.786099537</v>
      </c>
      <c r="Q5822" s="53" t="n">
        <v>45942.5777199074</v>
      </c>
      <c r="R5822" s="0" t="n">
        <v>0</v>
      </c>
      <c r="S5822" s="51" t="s">
        <v>2416</v>
      </c>
      <c r="T5822" s="51" t="s">
        <v>2416</v>
      </c>
      <c r="U5822" s="0" t="str">
        <f aca="false">"734730293356"</f>
        <v>734730293356</v>
      </c>
      <c r="V5822" s="51" t="s">
        <v>2365</v>
      </c>
      <c r="W5822" s="51" t="s">
        <v>10253</v>
      </c>
      <c r="X5822" s="51" t="s">
        <v>2359</v>
      </c>
    </row>
    <row r="5823" customFormat="false" ht="14.25" hidden="true" customHeight="false" outlineLevel="0" collapsed="false">
      <c r="A5823" s="49" t="s">
        <v>2349</v>
      </c>
      <c r="B5823" s="49" t="s">
        <v>2350</v>
      </c>
      <c r="C5823" s="49" t="s">
        <v>10254</v>
      </c>
      <c r="D5823" s="49" t="s">
        <v>2352</v>
      </c>
      <c r="E5823" s="49" t="str">
        <f aca="false">"734730293356"</f>
        <v>734730293356</v>
      </c>
      <c r="F5823" s="49" t="s">
        <v>3992</v>
      </c>
      <c r="G5823" s="49" t="n">
        <v>0</v>
      </c>
      <c r="H5823" s="0" t="n">
        <v>0</v>
      </c>
      <c r="M5823" s="51" t="s">
        <v>10247</v>
      </c>
      <c r="N5823" s="49" t="n">
        <v>0</v>
      </c>
      <c r="O5823" s="53" t="n">
        <v>45942.5780902778</v>
      </c>
      <c r="P5823" s="53" t="n">
        <v>45995.879849537</v>
      </c>
      <c r="Q5823" s="53" t="n">
        <v>45942.5780902778</v>
      </c>
      <c r="R5823" s="0" t="n">
        <v>0</v>
      </c>
      <c r="S5823" s="51" t="s">
        <v>2416</v>
      </c>
      <c r="T5823" s="51" t="s">
        <v>2416</v>
      </c>
      <c r="U5823" s="0" t="str">
        <f aca="false">"734730293356"</f>
        <v>734730293356</v>
      </c>
      <c r="V5823" s="51" t="s">
        <v>2365</v>
      </c>
      <c r="W5823" s="51" t="s">
        <v>8546</v>
      </c>
      <c r="X5823" s="51" t="s">
        <v>2359</v>
      </c>
    </row>
    <row r="5824" customFormat="false" ht="14.25" hidden="true" customHeight="false" outlineLevel="0" collapsed="false">
      <c r="A5824" s="49" t="s">
        <v>2349</v>
      </c>
      <c r="B5824" s="49" t="s">
        <v>2350</v>
      </c>
      <c r="C5824" s="49" t="s">
        <v>10255</v>
      </c>
      <c r="D5824" s="49" t="s">
        <v>2352</v>
      </c>
      <c r="E5824" s="49" t="str">
        <f aca="false">"734730293356"</f>
        <v>734730293356</v>
      </c>
      <c r="F5824" s="49" t="s">
        <v>3992</v>
      </c>
      <c r="G5824" s="49" t="n">
        <v>0</v>
      </c>
      <c r="H5824" s="0" t="n">
        <v>0</v>
      </c>
      <c r="M5824" s="51" t="s">
        <v>10247</v>
      </c>
      <c r="N5824" s="49" t="n">
        <v>0</v>
      </c>
      <c r="O5824" s="53" t="n">
        <v>45942.5774537037</v>
      </c>
      <c r="P5824" s="53" t="n">
        <v>46015.4231712963</v>
      </c>
      <c r="Q5824" s="53" t="n">
        <v>45942.5774537037</v>
      </c>
      <c r="R5824" s="0" t="n">
        <v>0</v>
      </c>
      <c r="S5824" s="51" t="s">
        <v>2416</v>
      </c>
      <c r="T5824" s="51" t="s">
        <v>2416</v>
      </c>
      <c r="U5824" s="0" t="str">
        <f aca="false">"734730293356"</f>
        <v>734730293356</v>
      </c>
      <c r="V5824" s="51" t="s">
        <v>2365</v>
      </c>
      <c r="W5824" s="51" t="s">
        <v>10256</v>
      </c>
      <c r="X5824" s="51" t="s">
        <v>2359</v>
      </c>
    </row>
    <row r="5825" customFormat="false" ht="14.25" hidden="true" customHeight="false" outlineLevel="0" collapsed="false">
      <c r="A5825" s="49" t="s">
        <v>2349</v>
      </c>
      <c r="B5825" s="49" t="s">
        <v>2350</v>
      </c>
      <c r="C5825" s="49" t="s">
        <v>10257</v>
      </c>
      <c r="D5825" s="49" t="s">
        <v>2352</v>
      </c>
      <c r="E5825" s="49" t="str">
        <f aca="false">"734730293356"</f>
        <v>734730293356</v>
      </c>
      <c r="F5825" s="49" t="s">
        <v>3992</v>
      </c>
      <c r="G5825" s="49" t="n">
        <v>0</v>
      </c>
      <c r="H5825" s="0" t="n">
        <v>0</v>
      </c>
      <c r="M5825" s="51" t="s">
        <v>10247</v>
      </c>
      <c r="N5825" s="49" t="n">
        <v>0</v>
      </c>
      <c r="O5825" s="53" t="n">
        <v>45942.5783680556</v>
      </c>
      <c r="P5825" s="53" t="n">
        <v>46021.508599537</v>
      </c>
      <c r="Q5825" s="53" t="n">
        <v>45942.5783680556</v>
      </c>
      <c r="R5825" s="0" t="n">
        <v>0</v>
      </c>
      <c r="S5825" s="51" t="s">
        <v>2416</v>
      </c>
      <c r="T5825" s="51" t="s">
        <v>2416</v>
      </c>
      <c r="U5825" s="0" t="str">
        <f aca="false">"734730293356"</f>
        <v>734730293356</v>
      </c>
      <c r="V5825" s="51" t="s">
        <v>2365</v>
      </c>
      <c r="W5825" s="51" t="s">
        <v>10258</v>
      </c>
      <c r="X5825" s="51" t="s">
        <v>2359</v>
      </c>
    </row>
    <row r="5826" customFormat="false" ht="14.25" hidden="true" customHeight="false" outlineLevel="0" collapsed="false">
      <c r="A5826" s="49" t="s">
        <v>2349</v>
      </c>
      <c r="B5826" s="49" t="s">
        <v>2350</v>
      </c>
      <c r="C5826" s="49" t="s">
        <v>10259</v>
      </c>
      <c r="D5826" s="49" t="s">
        <v>2352</v>
      </c>
      <c r="E5826" s="49" t="str">
        <f aca="false">"734730293356"</f>
        <v>734730293356</v>
      </c>
      <c r="F5826" s="49" t="s">
        <v>3992</v>
      </c>
      <c r="G5826" s="49" t="n">
        <v>0</v>
      </c>
      <c r="H5826" s="0" t="n">
        <v>0</v>
      </c>
      <c r="M5826" s="51" t="s">
        <v>10247</v>
      </c>
      <c r="N5826" s="49" t="n">
        <v>0</v>
      </c>
      <c r="O5826" s="53" t="n">
        <v>45942.5772222222</v>
      </c>
      <c r="P5826" s="53" t="n">
        <v>45995.8085069444</v>
      </c>
      <c r="Q5826" s="53" t="n">
        <v>45942.5772222222</v>
      </c>
      <c r="R5826" s="0" t="n">
        <v>0</v>
      </c>
      <c r="S5826" s="51" t="s">
        <v>2416</v>
      </c>
      <c r="T5826" s="51" t="s">
        <v>2416</v>
      </c>
      <c r="U5826" s="0" t="str">
        <f aca="false">"734730293356"</f>
        <v>734730293356</v>
      </c>
      <c r="V5826" s="51" t="s">
        <v>2365</v>
      </c>
      <c r="W5826" s="51" t="s">
        <v>4912</v>
      </c>
      <c r="X5826" s="51" t="s">
        <v>2359</v>
      </c>
    </row>
    <row r="5827" customFormat="false" ht="14.25" hidden="true" customHeight="false" outlineLevel="0" collapsed="false">
      <c r="A5827" s="49" t="s">
        <v>2349</v>
      </c>
      <c r="B5827" s="49" t="s">
        <v>2350</v>
      </c>
      <c r="C5827" s="49" t="s">
        <v>10260</v>
      </c>
      <c r="D5827" s="49" t="s">
        <v>2352</v>
      </c>
      <c r="E5827" s="49" t="str">
        <f aca="false">"734730293356"</f>
        <v>734730293356</v>
      </c>
      <c r="F5827" s="49" t="s">
        <v>3992</v>
      </c>
      <c r="G5827" s="49" t="n">
        <v>0</v>
      </c>
      <c r="H5827" s="0" t="n">
        <v>0</v>
      </c>
      <c r="M5827" s="51" t="s">
        <v>10247</v>
      </c>
      <c r="N5827" s="49" t="n">
        <v>0</v>
      </c>
      <c r="O5827" s="53" t="n">
        <v>45942.5785185185</v>
      </c>
      <c r="P5827" s="53" t="n">
        <v>46021.5091319445</v>
      </c>
      <c r="Q5827" s="53" t="n">
        <v>45942.5785185185</v>
      </c>
      <c r="R5827" s="0" t="n">
        <v>0</v>
      </c>
      <c r="S5827" s="51" t="s">
        <v>2416</v>
      </c>
      <c r="T5827" s="51" t="s">
        <v>2416</v>
      </c>
      <c r="U5827" s="0" t="str">
        <f aca="false">"734730293356"</f>
        <v>734730293356</v>
      </c>
      <c r="V5827" s="51" t="s">
        <v>2365</v>
      </c>
      <c r="W5827" s="51" t="s">
        <v>10261</v>
      </c>
      <c r="X5827" s="51" t="s">
        <v>2359</v>
      </c>
    </row>
    <row r="5828" customFormat="false" ht="14.25" hidden="true" customHeight="false" outlineLevel="0" collapsed="false">
      <c r="A5828" s="49" t="s">
        <v>2349</v>
      </c>
      <c r="B5828" s="49" t="s">
        <v>2350</v>
      </c>
      <c r="C5828" s="49" t="s">
        <v>10262</v>
      </c>
      <c r="D5828" s="49" t="s">
        <v>2352</v>
      </c>
      <c r="E5828" s="49" t="str">
        <f aca="false">"734730293356"</f>
        <v>734730293356</v>
      </c>
      <c r="F5828" s="49" t="s">
        <v>3992</v>
      </c>
      <c r="G5828" s="49" t="n">
        <v>0</v>
      </c>
      <c r="H5828" s="0" t="n">
        <v>0</v>
      </c>
      <c r="M5828" s="51" t="s">
        <v>10247</v>
      </c>
      <c r="N5828" s="49" t="n">
        <v>0</v>
      </c>
      <c r="O5828" s="53" t="n">
        <v>45942.5770023148</v>
      </c>
      <c r="P5828" s="53" t="n">
        <v>45995.7861689815</v>
      </c>
      <c r="Q5828" s="53" t="n">
        <v>45942.5770023148</v>
      </c>
      <c r="R5828" s="0" t="n">
        <v>0</v>
      </c>
      <c r="S5828" s="51" t="s">
        <v>2416</v>
      </c>
      <c r="T5828" s="51" t="s">
        <v>2416</v>
      </c>
      <c r="U5828" s="0" t="str">
        <f aca="false">"734730293356"</f>
        <v>734730293356</v>
      </c>
      <c r="V5828" s="51" t="s">
        <v>2365</v>
      </c>
      <c r="W5828" s="51" t="s">
        <v>4897</v>
      </c>
      <c r="X5828" s="51" t="s">
        <v>2359</v>
      </c>
    </row>
    <row r="5829" customFormat="false" ht="14.25" hidden="true" customHeight="false" outlineLevel="0" collapsed="false">
      <c r="A5829" s="49" t="s">
        <v>2349</v>
      </c>
      <c r="B5829" s="49" t="s">
        <v>2350</v>
      </c>
      <c r="C5829" s="49" t="s">
        <v>10263</v>
      </c>
      <c r="D5829" s="49" t="s">
        <v>2352</v>
      </c>
      <c r="E5829" s="49" t="str">
        <f aca="false">"734730293356"</f>
        <v>734730293356</v>
      </c>
      <c r="F5829" s="49" t="s">
        <v>3992</v>
      </c>
      <c r="G5829" s="49" t="n">
        <v>0</v>
      </c>
      <c r="H5829" s="0" t="n">
        <v>0</v>
      </c>
      <c r="M5829" s="51" t="s">
        <v>10247</v>
      </c>
      <c r="N5829" s="49" t="n">
        <v>0</v>
      </c>
      <c r="O5829" s="53" t="n">
        <v>45942.5786805556</v>
      </c>
      <c r="P5829" s="53" t="n">
        <v>46037.1116898148</v>
      </c>
      <c r="Q5829" s="53" t="n">
        <v>45942.5786805556</v>
      </c>
      <c r="R5829" s="0" t="n">
        <v>0</v>
      </c>
      <c r="S5829" s="51" t="s">
        <v>2416</v>
      </c>
      <c r="T5829" s="51" t="s">
        <v>2416</v>
      </c>
      <c r="U5829" s="0" t="str">
        <f aca="false">"734730293356"</f>
        <v>734730293356</v>
      </c>
      <c r="V5829" s="51" t="s">
        <v>2365</v>
      </c>
      <c r="W5829" s="51" t="s">
        <v>10264</v>
      </c>
      <c r="X5829" s="51" t="s">
        <v>2359</v>
      </c>
    </row>
    <row r="5830" customFormat="false" ht="14.25" hidden="true" customHeight="false" outlineLevel="0" collapsed="false">
      <c r="A5830" s="49" t="s">
        <v>2349</v>
      </c>
      <c r="B5830" s="49" t="s">
        <v>2350</v>
      </c>
      <c r="C5830" s="49" t="s">
        <v>10265</v>
      </c>
      <c r="D5830" s="49" t="s">
        <v>2352</v>
      </c>
      <c r="E5830" s="49" t="str">
        <f aca="false">"734730293356"</f>
        <v>734730293356</v>
      </c>
      <c r="F5830" s="49" t="s">
        <v>3992</v>
      </c>
      <c r="G5830" s="49" t="n">
        <v>0</v>
      </c>
      <c r="H5830" s="0" t="n">
        <v>0</v>
      </c>
      <c r="M5830" s="51" t="s">
        <v>10247</v>
      </c>
      <c r="N5830" s="49" t="n">
        <v>0</v>
      </c>
      <c r="O5830" s="53" t="n">
        <v>45942.5767708333</v>
      </c>
      <c r="P5830" s="53" t="n">
        <v>46021.5009143519</v>
      </c>
      <c r="Q5830" s="53" t="n">
        <v>45942.5767708333</v>
      </c>
      <c r="R5830" s="0" t="n">
        <v>0</v>
      </c>
      <c r="S5830" s="51" t="s">
        <v>2416</v>
      </c>
      <c r="T5830" s="51" t="s">
        <v>2416</v>
      </c>
      <c r="U5830" s="0" t="str">
        <f aca="false">"734730293356"</f>
        <v>734730293356</v>
      </c>
      <c r="V5830" s="51" t="s">
        <v>2365</v>
      </c>
      <c r="W5830" s="51" t="s">
        <v>10266</v>
      </c>
      <c r="X5830" s="51" t="s">
        <v>2359</v>
      </c>
    </row>
    <row r="5831" customFormat="false" ht="14.25" hidden="true" customHeight="false" outlineLevel="0" collapsed="false">
      <c r="A5831" s="49" t="s">
        <v>2349</v>
      </c>
      <c r="B5831" s="49" t="s">
        <v>2350</v>
      </c>
      <c r="C5831" s="49" t="s">
        <v>10267</v>
      </c>
      <c r="D5831" s="49" t="s">
        <v>2352</v>
      </c>
      <c r="E5831" s="49" t="str">
        <f aca="false">"734730293356"</f>
        <v>734730293356</v>
      </c>
      <c r="F5831" s="49" t="s">
        <v>3992</v>
      </c>
      <c r="G5831" s="49" t="n">
        <v>0</v>
      </c>
      <c r="H5831" s="0" t="n">
        <v>0</v>
      </c>
      <c r="M5831" s="51" t="s">
        <v>10247</v>
      </c>
      <c r="N5831" s="49" t="n">
        <v>0</v>
      </c>
      <c r="O5831" s="53" t="n">
        <v>45942.5788310185</v>
      </c>
      <c r="P5831" s="53" t="n">
        <v>45995.8840625</v>
      </c>
      <c r="Q5831" s="53" t="n">
        <v>45942.5788310185</v>
      </c>
      <c r="R5831" s="0" t="n">
        <v>0</v>
      </c>
      <c r="S5831" s="51" t="s">
        <v>2416</v>
      </c>
      <c r="T5831" s="51" t="s">
        <v>2416</v>
      </c>
      <c r="U5831" s="0" t="str">
        <f aca="false">"734730293356"</f>
        <v>734730293356</v>
      </c>
      <c r="V5831" s="51" t="s">
        <v>2365</v>
      </c>
      <c r="W5831" s="51" t="s">
        <v>10268</v>
      </c>
      <c r="X5831" s="51" t="s">
        <v>2359</v>
      </c>
    </row>
    <row r="5832" customFormat="false" ht="14.25" hidden="true" customHeight="false" outlineLevel="0" collapsed="false">
      <c r="A5832" s="49" t="s">
        <v>2349</v>
      </c>
      <c r="B5832" s="49" t="s">
        <v>2350</v>
      </c>
      <c r="C5832" s="49" t="s">
        <v>10269</v>
      </c>
      <c r="D5832" s="49" t="s">
        <v>2352</v>
      </c>
      <c r="E5832" s="49" t="str">
        <f aca="false">"734730293356"</f>
        <v>734730293356</v>
      </c>
      <c r="F5832" s="49" t="s">
        <v>3992</v>
      </c>
      <c r="G5832" s="49" t="n">
        <v>0</v>
      </c>
      <c r="H5832" s="0" t="n">
        <v>0</v>
      </c>
      <c r="M5832" s="51" t="s">
        <v>10247</v>
      </c>
      <c r="N5832" s="49" t="n">
        <v>0</v>
      </c>
      <c r="O5832" s="53" t="n">
        <v>45942.5761805556</v>
      </c>
      <c r="P5832" s="53" t="n">
        <v>46026.7500462963</v>
      </c>
      <c r="Q5832" s="53" t="n">
        <v>45942.5761805556</v>
      </c>
      <c r="R5832" s="0" t="n">
        <v>0</v>
      </c>
      <c r="S5832" s="51" t="s">
        <v>2416</v>
      </c>
      <c r="T5832" s="51" t="s">
        <v>2416</v>
      </c>
      <c r="U5832" s="0" t="str">
        <f aca="false">"734730293356"</f>
        <v>734730293356</v>
      </c>
      <c r="V5832" s="51" t="s">
        <v>2365</v>
      </c>
      <c r="W5832" s="51" t="s">
        <v>10270</v>
      </c>
      <c r="X5832" s="51" t="s">
        <v>2359</v>
      </c>
    </row>
    <row r="5833" customFormat="false" ht="14.25" hidden="true" customHeight="false" outlineLevel="0" collapsed="false">
      <c r="A5833" s="49" t="s">
        <v>2349</v>
      </c>
      <c r="B5833" s="49" t="s">
        <v>2350</v>
      </c>
      <c r="C5833" s="49" t="s">
        <v>10271</v>
      </c>
      <c r="D5833" s="49" t="s">
        <v>2352</v>
      </c>
      <c r="E5833" s="49" t="str">
        <f aca="false">"734730293356"</f>
        <v>734730293356</v>
      </c>
      <c r="F5833" s="49" t="s">
        <v>3992</v>
      </c>
      <c r="G5833" s="49" t="n">
        <v>0</v>
      </c>
      <c r="H5833" s="0" t="n">
        <v>0</v>
      </c>
      <c r="M5833" s="51" t="s">
        <v>10247</v>
      </c>
      <c r="N5833" s="49" t="n">
        <v>0</v>
      </c>
      <c r="O5833" s="53" t="n">
        <v>45942.5790162037</v>
      </c>
      <c r="P5833" s="53" t="n">
        <v>45998.7700347222</v>
      </c>
      <c r="Q5833" s="53" t="n">
        <v>45942.5790162037</v>
      </c>
      <c r="R5833" s="0" t="n">
        <v>0</v>
      </c>
      <c r="S5833" s="51" t="s">
        <v>2416</v>
      </c>
      <c r="T5833" s="51" t="s">
        <v>2416</v>
      </c>
      <c r="U5833" s="0" t="str">
        <f aca="false">"734730293356"</f>
        <v>734730293356</v>
      </c>
      <c r="V5833" s="51" t="s">
        <v>2365</v>
      </c>
      <c r="W5833" s="51" t="s">
        <v>8527</v>
      </c>
      <c r="X5833" s="51" t="s">
        <v>2359</v>
      </c>
    </row>
    <row r="5834" customFormat="false" ht="14.25" hidden="true" customHeight="false" outlineLevel="0" collapsed="false">
      <c r="A5834" s="49" t="s">
        <v>2349</v>
      </c>
      <c r="B5834" s="49" t="s">
        <v>2350</v>
      </c>
      <c r="C5834" s="49" t="s">
        <v>10272</v>
      </c>
      <c r="D5834" s="49" t="s">
        <v>2352</v>
      </c>
      <c r="E5834" s="49" t="str">
        <f aca="false">"734730293356"</f>
        <v>734730293356</v>
      </c>
      <c r="F5834" s="49" t="s">
        <v>3992</v>
      </c>
      <c r="G5834" s="49" t="n">
        <v>0</v>
      </c>
      <c r="H5834" s="0" t="n">
        <v>0</v>
      </c>
      <c r="M5834" s="51" t="s">
        <v>10247</v>
      </c>
      <c r="N5834" s="49" t="n">
        <v>0</v>
      </c>
      <c r="O5834" s="53" t="n">
        <v>45942.5760185185</v>
      </c>
      <c r="P5834" s="53" t="n">
        <v>46054.7777893519</v>
      </c>
      <c r="Q5834" s="53" t="n">
        <v>45942.5760185185</v>
      </c>
      <c r="R5834" s="0" t="n">
        <v>0</v>
      </c>
      <c r="S5834" s="51" t="s">
        <v>2416</v>
      </c>
      <c r="T5834" s="51" t="s">
        <v>2416</v>
      </c>
      <c r="U5834" s="0" t="str">
        <f aca="false">"734730293356"</f>
        <v>734730293356</v>
      </c>
      <c r="V5834" s="51" t="s">
        <v>2365</v>
      </c>
      <c r="W5834" s="51" t="s">
        <v>4923</v>
      </c>
      <c r="X5834" s="51" t="s">
        <v>2359</v>
      </c>
    </row>
    <row r="5835" customFormat="false" ht="14.25" hidden="true" customHeight="false" outlineLevel="0" collapsed="false">
      <c r="A5835" s="49" t="s">
        <v>2349</v>
      </c>
      <c r="B5835" s="49" t="s">
        <v>2350</v>
      </c>
      <c r="C5835" s="49" t="s">
        <v>10273</v>
      </c>
      <c r="D5835" s="49" t="s">
        <v>2352</v>
      </c>
      <c r="E5835" s="49" t="str">
        <f aca="false">"734730293356"</f>
        <v>734730293356</v>
      </c>
      <c r="F5835" s="49" t="s">
        <v>3992</v>
      </c>
      <c r="G5835" s="49" t="n">
        <v>0</v>
      </c>
      <c r="H5835" s="0" t="n">
        <v>0</v>
      </c>
      <c r="M5835" s="51" t="s">
        <v>10247</v>
      </c>
      <c r="N5835" s="49" t="n">
        <v>0</v>
      </c>
      <c r="O5835" s="53" t="n">
        <v>45942.5791435185</v>
      </c>
      <c r="P5835" s="53" t="n">
        <v>46021.495462963</v>
      </c>
      <c r="Q5835" s="53" t="n">
        <v>45942.5791435185</v>
      </c>
      <c r="R5835" s="0" t="n">
        <v>0</v>
      </c>
      <c r="S5835" s="51" t="s">
        <v>2416</v>
      </c>
      <c r="T5835" s="51" t="s">
        <v>2416</v>
      </c>
      <c r="U5835" s="0" t="str">
        <f aca="false">"734730293356"</f>
        <v>734730293356</v>
      </c>
      <c r="V5835" s="51" t="s">
        <v>2365</v>
      </c>
      <c r="W5835" s="51" t="s">
        <v>10274</v>
      </c>
      <c r="X5835" s="51" t="s">
        <v>2359</v>
      </c>
    </row>
    <row r="5836" customFormat="false" ht="14.25" hidden="true" customHeight="false" outlineLevel="0" collapsed="false">
      <c r="A5836" s="49" t="s">
        <v>2349</v>
      </c>
      <c r="B5836" s="49" t="s">
        <v>2350</v>
      </c>
      <c r="C5836" s="49" t="s">
        <v>10275</v>
      </c>
      <c r="D5836" s="49" t="s">
        <v>2352</v>
      </c>
      <c r="E5836" s="49" t="str">
        <f aca="false">"734730293356"</f>
        <v>734730293356</v>
      </c>
      <c r="F5836" s="49" t="s">
        <v>3992</v>
      </c>
      <c r="G5836" s="49" t="n">
        <v>0</v>
      </c>
      <c r="H5836" s="0" t="n">
        <v>0</v>
      </c>
      <c r="M5836" s="51" t="s">
        <v>10247</v>
      </c>
      <c r="N5836" s="49" t="n">
        <v>0</v>
      </c>
      <c r="O5836" s="53" t="n">
        <v>45942.5758680556</v>
      </c>
      <c r="P5836" s="53" t="n">
        <v>46043.0801041667</v>
      </c>
      <c r="Q5836" s="53" t="n">
        <v>45942.5758680556</v>
      </c>
      <c r="R5836" s="0" t="n">
        <v>0</v>
      </c>
      <c r="S5836" s="51" t="s">
        <v>2416</v>
      </c>
      <c r="T5836" s="51" t="s">
        <v>2416</v>
      </c>
      <c r="U5836" s="0" t="str">
        <f aca="false">"734730293356"</f>
        <v>734730293356</v>
      </c>
      <c r="V5836" s="51" t="s">
        <v>2365</v>
      </c>
      <c r="W5836" s="51" t="s">
        <v>10276</v>
      </c>
      <c r="X5836" s="51" t="s">
        <v>2359</v>
      </c>
    </row>
    <row r="5837" customFormat="false" ht="14.25" hidden="true" customHeight="false" outlineLevel="0" collapsed="false">
      <c r="A5837" s="49" t="s">
        <v>2349</v>
      </c>
      <c r="B5837" s="49" t="s">
        <v>2350</v>
      </c>
      <c r="C5837" s="49" t="s">
        <v>10277</v>
      </c>
      <c r="D5837" s="49" t="s">
        <v>2352</v>
      </c>
      <c r="E5837" s="49" t="str">
        <f aca="false">"734730293356"</f>
        <v>734730293356</v>
      </c>
      <c r="F5837" s="49" t="s">
        <v>3992</v>
      </c>
      <c r="G5837" s="49" t="n">
        <v>0</v>
      </c>
      <c r="H5837" s="0" t="n">
        <v>0</v>
      </c>
      <c r="M5837" s="51" t="s">
        <v>10247</v>
      </c>
      <c r="N5837" s="49" t="n">
        <v>0</v>
      </c>
      <c r="O5837" s="53" t="n">
        <v>45942.5793055556</v>
      </c>
      <c r="P5837" s="53" t="n">
        <v>46021.4962152778</v>
      </c>
      <c r="Q5837" s="53" t="n">
        <v>45942.5793055556</v>
      </c>
      <c r="R5837" s="0" t="n">
        <v>0</v>
      </c>
      <c r="S5837" s="51" t="s">
        <v>2416</v>
      </c>
      <c r="T5837" s="51" t="s">
        <v>2416</v>
      </c>
      <c r="U5837" s="0" t="str">
        <f aca="false">"734730293356"</f>
        <v>734730293356</v>
      </c>
      <c r="V5837" s="51" t="s">
        <v>2365</v>
      </c>
      <c r="W5837" s="51" t="s">
        <v>5028</v>
      </c>
      <c r="X5837" s="51" t="s">
        <v>2359</v>
      </c>
    </row>
    <row r="5838" customFormat="false" ht="14.25" hidden="true" customHeight="false" outlineLevel="0" collapsed="false">
      <c r="A5838" s="49" t="s">
        <v>2349</v>
      </c>
      <c r="B5838" s="49" t="s">
        <v>2350</v>
      </c>
      <c r="C5838" s="49" t="s">
        <v>10278</v>
      </c>
      <c r="D5838" s="49" t="s">
        <v>2352</v>
      </c>
      <c r="E5838" s="49" t="str">
        <f aca="false">"734730293356"</f>
        <v>734730293356</v>
      </c>
      <c r="F5838" s="49" t="s">
        <v>3992</v>
      </c>
      <c r="G5838" s="49" t="n">
        <v>0</v>
      </c>
      <c r="H5838" s="0" t="n">
        <v>0</v>
      </c>
      <c r="M5838" s="51" t="s">
        <v>10247</v>
      </c>
      <c r="N5838" s="49" t="n">
        <v>0</v>
      </c>
      <c r="O5838" s="53" t="n">
        <v>46007.8809837963</v>
      </c>
      <c r="P5838" s="53" t="n">
        <v>46021.512025463</v>
      </c>
      <c r="R5838" s="0" t="n">
        <v>0</v>
      </c>
      <c r="T5838" s="51" t="s">
        <v>2380</v>
      </c>
      <c r="U5838" s="0" t="str">
        <f aca="false">"734730293356"</f>
        <v>734730293356</v>
      </c>
      <c r="V5838" s="51" t="s">
        <v>2365</v>
      </c>
      <c r="W5838" s="51" t="s">
        <v>3936</v>
      </c>
      <c r="X5838" s="51" t="s">
        <v>2359</v>
      </c>
    </row>
    <row r="5839" customFormat="false" ht="14.25" hidden="true" customHeight="false" outlineLevel="0" collapsed="false">
      <c r="A5839" s="49" t="s">
        <v>2349</v>
      </c>
      <c r="B5839" s="49" t="s">
        <v>2350</v>
      </c>
      <c r="C5839" s="49" t="s">
        <v>10279</v>
      </c>
      <c r="D5839" s="49" t="s">
        <v>2352</v>
      </c>
      <c r="E5839" s="49" t="str">
        <f aca="false">"734730293356"</f>
        <v>734730293356</v>
      </c>
      <c r="F5839" s="49" t="s">
        <v>3992</v>
      </c>
      <c r="G5839" s="49" t="n">
        <v>0</v>
      </c>
      <c r="H5839" s="0" t="n">
        <v>0</v>
      </c>
      <c r="M5839" s="51" t="s">
        <v>10247</v>
      </c>
      <c r="N5839" s="49" t="n">
        <v>0</v>
      </c>
      <c r="O5839" s="53" t="n">
        <v>46026.6006481481</v>
      </c>
      <c r="P5839" s="53" t="n">
        <v>46054.7785185185</v>
      </c>
      <c r="R5839" s="0" t="n">
        <v>0</v>
      </c>
      <c r="T5839" s="51" t="s">
        <v>2364</v>
      </c>
      <c r="U5839" s="0" t="str">
        <f aca="false">"734730293356"</f>
        <v>734730293356</v>
      </c>
      <c r="V5839" s="51" t="s">
        <v>2365</v>
      </c>
      <c r="W5839" s="51" t="s">
        <v>10280</v>
      </c>
      <c r="X5839" s="51" t="s">
        <v>2359</v>
      </c>
    </row>
    <row r="5840" customFormat="false" ht="14.25" hidden="true" customHeight="false" outlineLevel="0" collapsed="false">
      <c r="A5840" s="49" t="s">
        <v>2349</v>
      </c>
      <c r="B5840" s="49" t="s">
        <v>2350</v>
      </c>
      <c r="C5840" s="49" t="s">
        <v>10281</v>
      </c>
      <c r="D5840" s="49" t="s">
        <v>2352</v>
      </c>
      <c r="E5840" s="49" t="str">
        <f aca="false">"5060175133922"</f>
        <v>5060175133922</v>
      </c>
      <c r="F5840" s="49" t="s">
        <v>3837</v>
      </c>
      <c r="G5840" s="49" t="n">
        <v>0</v>
      </c>
      <c r="H5840" s="0" t="n">
        <v>0</v>
      </c>
      <c r="M5840" s="51" t="s">
        <v>10282</v>
      </c>
      <c r="N5840" s="49" t="n">
        <v>0</v>
      </c>
      <c r="O5840" s="53" t="n">
        <v>45943.4378935185</v>
      </c>
      <c r="P5840" s="53" t="n">
        <v>45949.8939814815</v>
      </c>
      <c r="Q5840" s="53" t="n">
        <v>45943.4378935185</v>
      </c>
      <c r="R5840" s="0" t="n">
        <v>0</v>
      </c>
      <c r="S5840" s="51" t="s">
        <v>2416</v>
      </c>
      <c r="T5840" s="51" t="s">
        <v>2416</v>
      </c>
      <c r="U5840" s="0" t="str">
        <f aca="false">"5060175133922"</f>
        <v>5060175133922</v>
      </c>
      <c r="V5840" s="51" t="s">
        <v>2365</v>
      </c>
      <c r="W5840" s="51" t="s">
        <v>10283</v>
      </c>
      <c r="X5840" s="51" t="s">
        <v>2359</v>
      </c>
    </row>
    <row r="5841" customFormat="false" ht="14.25" hidden="true" customHeight="false" outlineLevel="0" collapsed="false">
      <c r="A5841" s="49" t="s">
        <v>2349</v>
      </c>
      <c r="B5841" s="49" t="s">
        <v>2350</v>
      </c>
      <c r="C5841" s="49" t="s">
        <v>10284</v>
      </c>
      <c r="D5841" s="49" t="s">
        <v>2352</v>
      </c>
      <c r="E5841" s="49" t="str">
        <f aca="false">"8908020441030"</f>
        <v>8908020441030</v>
      </c>
      <c r="F5841" s="49" t="s">
        <v>5384</v>
      </c>
      <c r="G5841" s="49" t="n">
        <v>0</v>
      </c>
      <c r="H5841" s="0" t="n">
        <v>0</v>
      </c>
      <c r="M5841" s="51" t="s">
        <v>10285</v>
      </c>
      <c r="N5841" s="49" t="n">
        <v>0</v>
      </c>
      <c r="O5841" s="53" t="n">
        <v>45893.6157291667</v>
      </c>
      <c r="P5841" s="53" t="n">
        <v>45963.6707986111</v>
      </c>
      <c r="Q5841" s="53" t="n">
        <v>45893.6157291667</v>
      </c>
      <c r="R5841" s="0" t="n">
        <v>0</v>
      </c>
      <c r="S5841" s="51" t="s">
        <v>2356</v>
      </c>
      <c r="T5841" s="51" t="s">
        <v>2356</v>
      </c>
      <c r="U5841" s="0" t="str">
        <f aca="false">"8908020441030"</f>
        <v>8908020441030</v>
      </c>
      <c r="V5841" s="51" t="s">
        <v>5386</v>
      </c>
      <c r="W5841" s="51" t="s">
        <v>4160</v>
      </c>
      <c r="X5841" s="51" t="s">
        <v>2359</v>
      </c>
    </row>
    <row r="5842" customFormat="false" ht="14.25" hidden="true" customHeight="false" outlineLevel="0" collapsed="false">
      <c r="A5842" s="49" t="s">
        <v>2349</v>
      </c>
      <c r="B5842" s="49" t="s">
        <v>2350</v>
      </c>
      <c r="C5842" s="49" t="s">
        <v>10286</v>
      </c>
      <c r="D5842" s="49" t="s">
        <v>2352</v>
      </c>
      <c r="E5842" s="49" t="str">
        <f aca="false">"12610361"</f>
        <v>12610361</v>
      </c>
      <c r="F5842" s="49" t="s">
        <v>10287</v>
      </c>
      <c r="G5842" s="49" t="n">
        <v>0</v>
      </c>
      <c r="H5842" s="0" t="n">
        <v>0</v>
      </c>
      <c r="M5842" s="51" t="s">
        <v>10288</v>
      </c>
      <c r="N5842" s="49" t="n">
        <v>0</v>
      </c>
      <c r="O5842" s="53" t="n">
        <v>45955.5801041667</v>
      </c>
      <c r="P5842" s="53" t="n">
        <v>45957.8201273148</v>
      </c>
      <c r="Q5842" s="53" t="n">
        <v>45955.5801041667</v>
      </c>
      <c r="R5842" s="0" t="n">
        <v>0</v>
      </c>
      <c r="S5842" s="51" t="s">
        <v>2401</v>
      </c>
      <c r="T5842" s="51" t="s">
        <v>2401</v>
      </c>
      <c r="U5842" s="0" t="str">
        <f aca="false">"12610361"</f>
        <v>12610361</v>
      </c>
      <c r="V5842" s="51" t="s">
        <v>2365</v>
      </c>
      <c r="W5842" s="51" t="s">
        <v>10289</v>
      </c>
      <c r="X5842" s="51" t="s">
        <v>2359</v>
      </c>
    </row>
    <row r="5843" customFormat="false" ht="14.25" hidden="true" customHeight="false" outlineLevel="0" collapsed="false">
      <c r="A5843" s="49" t="s">
        <v>2349</v>
      </c>
      <c r="B5843" s="49" t="s">
        <v>2350</v>
      </c>
      <c r="C5843" s="49" t="s">
        <v>10290</v>
      </c>
      <c r="D5843" s="49" t="s">
        <v>2352</v>
      </c>
      <c r="E5843" s="49" t="str">
        <f aca="false">"12610361"</f>
        <v>12610361</v>
      </c>
      <c r="F5843" s="49" t="s">
        <v>10287</v>
      </c>
      <c r="G5843" s="49" t="n">
        <v>0</v>
      </c>
      <c r="H5843" s="0" t="n">
        <v>0</v>
      </c>
      <c r="M5843" s="51" t="s">
        <v>10288</v>
      </c>
      <c r="N5843" s="49" t="n">
        <v>0</v>
      </c>
      <c r="O5843" s="53" t="n">
        <v>45955.5794444445</v>
      </c>
      <c r="P5843" s="53" t="n">
        <v>45957.8143402778</v>
      </c>
      <c r="Q5843" s="53" t="n">
        <v>45955.5794444445</v>
      </c>
      <c r="R5843" s="0" t="n">
        <v>0</v>
      </c>
      <c r="S5843" s="51" t="s">
        <v>2401</v>
      </c>
      <c r="T5843" s="51" t="s">
        <v>2401</v>
      </c>
      <c r="U5843" s="0" t="str">
        <f aca="false">"12610361"</f>
        <v>12610361</v>
      </c>
      <c r="V5843" s="51" t="s">
        <v>2365</v>
      </c>
      <c r="W5843" s="51" t="s">
        <v>10291</v>
      </c>
      <c r="X5843" s="51" t="s">
        <v>2359</v>
      </c>
    </row>
    <row r="5844" customFormat="false" ht="14.25" hidden="true" customHeight="false" outlineLevel="0" collapsed="false">
      <c r="A5844" s="49" t="s">
        <v>2349</v>
      </c>
      <c r="B5844" s="49" t="s">
        <v>2350</v>
      </c>
      <c r="C5844" s="49" t="s">
        <v>10292</v>
      </c>
      <c r="D5844" s="49" t="s">
        <v>2352</v>
      </c>
      <c r="E5844" s="49" t="str">
        <f aca="false">"12610361"</f>
        <v>12610361</v>
      </c>
      <c r="F5844" s="49" t="s">
        <v>10287</v>
      </c>
      <c r="G5844" s="49" t="n">
        <v>0</v>
      </c>
      <c r="H5844" s="0" t="n">
        <v>0</v>
      </c>
      <c r="M5844" s="51" t="s">
        <v>10288</v>
      </c>
      <c r="N5844" s="49" t="n">
        <v>0</v>
      </c>
      <c r="O5844" s="53" t="n">
        <v>45955.5790856482</v>
      </c>
      <c r="P5844" s="53" t="n">
        <v>45957.8151851852</v>
      </c>
      <c r="Q5844" s="53" t="n">
        <v>45955.5790856482</v>
      </c>
      <c r="R5844" s="0" t="n">
        <v>0</v>
      </c>
      <c r="S5844" s="51" t="s">
        <v>2401</v>
      </c>
      <c r="T5844" s="51" t="s">
        <v>2401</v>
      </c>
      <c r="U5844" s="0" t="str">
        <f aca="false">"12610361"</f>
        <v>12610361</v>
      </c>
      <c r="V5844" s="51" t="s">
        <v>2365</v>
      </c>
      <c r="W5844" s="51" t="s">
        <v>10293</v>
      </c>
      <c r="X5844" s="51" t="s">
        <v>2359</v>
      </c>
    </row>
    <row r="5845" customFormat="false" ht="14.25" hidden="true" customHeight="false" outlineLevel="0" collapsed="false">
      <c r="A5845" s="49" t="s">
        <v>2349</v>
      </c>
      <c r="B5845" s="49" t="s">
        <v>2350</v>
      </c>
      <c r="C5845" s="49" t="s">
        <v>10294</v>
      </c>
      <c r="D5845" s="49" t="s">
        <v>2352</v>
      </c>
      <c r="E5845" s="49" t="str">
        <f aca="false">"12610361"</f>
        <v>12610361</v>
      </c>
      <c r="F5845" s="49" t="s">
        <v>10287</v>
      </c>
      <c r="G5845" s="49" t="n">
        <v>0</v>
      </c>
      <c r="H5845" s="0" t="n">
        <v>0</v>
      </c>
      <c r="M5845" s="51" t="s">
        <v>10288</v>
      </c>
      <c r="N5845" s="49" t="n">
        <v>0</v>
      </c>
      <c r="O5845" s="53" t="n">
        <v>45955.5788078704</v>
      </c>
      <c r="P5845" s="53" t="n">
        <v>45957.8178472222</v>
      </c>
      <c r="Q5845" s="53" t="n">
        <v>45955.5788078704</v>
      </c>
      <c r="R5845" s="0" t="n">
        <v>0</v>
      </c>
      <c r="S5845" s="51" t="s">
        <v>2401</v>
      </c>
      <c r="T5845" s="51" t="s">
        <v>2401</v>
      </c>
      <c r="U5845" s="0" t="str">
        <f aca="false">"12610361"</f>
        <v>12610361</v>
      </c>
      <c r="V5845" s="51" t="s">
        <v>2365</v>
      </c>
      <c r="W5845" s="51" t="s">
        <v>10295</v>
      </c>
      <c r="X5845" s="51" t="s">
        <v>2359</v>
      </c>
    </row>
    <row r="5846" customFormat="false" ht="14.25" hidden="true" customHeight="false" outlineLevel="0" collapsed="false">
      <c r="A5846" s="49" t="s">
        <v>2349</v>
      </c>
      <c r="B5846" s="49" t="s">
        <v>2350</v>
      </c>
      <c r="C5846" s="49" t="s">
        <v>10296</v>
      </c>
      <c r="D5846" s="49" t="s">
        <v>2352</v>
      </c>
      <c r="E5846" s="49" t="str">
        <f aca="false">"12610361"</f>
        <v>12610361</v>
      </c>
      <c r="F5846" s="49" t="s">
        <v>10287</v>
      </c>
      <c r="G5846" s="49" t="n">
        <v>0</v>
      </c>
      <c r="H5846" s="0" t="n">
        <v>0</v>
      </c>
      <c r="M5846" s="51" t="s">
        <v>10288</v>
      </c>
      <c r="N5846" s="49" t="n">
        <v>0</v>
      </c>
      <c r="O5846" s="53" t="n">
        <v>45955.5785416667</v>
      </c>
      <c r="P5846" s="53" t="n">
        <v>45957.819525463</v>
      </c>
      <c r="Q5846" s="53" t="n">
        <v>45955.5785416667</v>
      </c>
      <c r="R5846" s="0" t="n">
        <v>0</v>
      </c>
      <c r="S5846" s="51" t="s">
        <v>2401</v>
      </c>
      <c r="T5846" s="51" t="s">
        <v>2401</v>
      </c>
      <c r="U5846" s="0" t="str">
        <f aca="false">"12610361"</f>
        <v>12610361</v>
      </c>
      <c r="V5846" s="51" t="s">
        <v>2365</v>
      </c>
      <c r="W5846" s="51" t="s">
        <v>10297</v>
      </c>
      <c r="X5846" s="51" t="s">
        <v>2359</v>
      </c>
    </row>
    <row r="5847" customFormat="false" ht="14.25" hidden="true" customHeight="false" outlineLevel="0" collapsed="false">
      <c r="A5847" s="49" t="s">
        <v>2349</v>
      </c>
      <c r="B5847" s="49" t="s">
        <v>2350</v>
      </c>
      <c r="C5847" s="49" t="s">
        <v>10298</v>
      </c>
      <c r="D5847" s="49" t="s">
        <v>2352</v>
      </c>
      <c r="E5847" s="49" t="str">
        <f aca="false">"12610361"</f>
        <v>12610361</v>
      </c>
      <c r="F5847" s="49" t="s">
        <v>10287</v>
      </c>
      <c r="G5847" s="49" t="n">
        <v>0</v>
      </c>
      <c r="H5847" s="0" t="n">
        <v>0</v>
      </c>
      <c r="M5847" s="51" t="s">
        <v>10288</v>
      </c>
      <c r="N5847" s="49" t="n">
        <v>0</v>
      </c>
      <c r="O5847" s="53" t="n">
        <v>45955.5781481481</v>
      </c>
      <c r="P5847" s="53" t="n">
        <v>45957.8103240741</v>
      </c>
      <c r="Q5847" s="53" t="n">
        <v>45955.5781481481</v>
      </c>
      <c r="R5847" s="0" t="n">
        <v>0</v>
      </c>
      <c r="S5847" s="51" t="s">
        <v>2401</v>
      </c>
      <c r="T5847" s="51" t="s">
        <v>2401</v>
      </c>
      <c r="U5847" s="0" t="str">
        <f aca="false">"12610361"</f>
        <v>12610361</v>
      </c>
      <c r="V5847" s="51" t="s">
        <v>2365</v>
      </c>
      <c r="W5847" s="51" t="s">
        <v>10176</v>
      </c>
      <c r="X5847" s="51" t="s">
        <v>2359</v>
      </c>
    </row>
    <row r="5848" customFormat="false" ht="14.25" hidden="true" customHeight="false" outlineLevel="0" collapsed="false">
      <c r="A5848" s="49" t="s">
        <v>2349</v>
      </c>
      <c r="B5848" s="49" t="s">
        <v>2350</v>
      </c>
      <c r="C5848" s="49" t="s">
        <v>10299</v>
      </c>
      <c r="D5848" s="49" t="s">
        <v>2352</v>
      </c>
      <c r="E5848" s="49" t="str">
        <f aca="false">"12610361"</f>
        <v>12610361</v>
      </c>
      <c r="F5848" s="49" t="s">
        <v>10287</v>
      </c>
      <c r="G5848" s="49" t="n">
        <v>0</v>
      </c>
      <c r="H5848" s="0" t="n">
        <v>0</v>
      </c>
      <c r="M5848" s="51" t="s">
        <v>10288</v>
      </c>
      <c r="N5848" s="49" t="n">
        <v>0</v>
      </c>
      <c r="O5848" s="53" t="n">
        <v>45955.5778009259</v>
      </c>
      <c r="P5848" s="53" t="n">
        <v>45957.812025463</v>
      </c>
      <c r="Q5848" s="53" t="n">
        <v>45955.5778009259</v>
      </c>
      <c r="R5848" s="0" t="n">
        <v>0</v>
      </c>
      <c r="S5848" s="51" t="s">
        <v>2401</v>
      </c>
      <c r="T5848" s="51" t="s">
        <v>2401</v>
      </c>
      <c r="U5848" s="0" t="str">
        <f aca="false">"12610361"</f>
        <v>12610361</v>
      </c>
      <c r="V5848" s="51" t="s">
        <v>2365</v>
      </c>
      <c r="W5848" s="51" t="s">
        <v>10174</v>
      </c>
      <c r="X5848" s="51" t="s">
        <v>2359</v>
      </c>
    </row>
    <row r="5849" customFormat="false" ht="14.25" hidden="true" customHeight="false" outlineLevel="0" collapsed="false">
      <c r="A5849" s="49" t="s">
        <v>2349</v>
      </c>
      <c r="B5849" s="49" t="s">
        <v>2350</v>
      </c>
      <c r="C5849" s="49" t="s">
        <v>10300</v>
      </c>
      <c r="D5849" s="49" t="s">
        <v>2352</v>
      </c>
      <c r="E5849" s="49" t="str">
        <f aca="false">"12610361"</f>
        <v>12610361</v>
      </c>
      <c r="F5849" s="49" t="s">
        <v>10287</v>
      </c>
      <c r="G5849" s="49" t="n">
        <v>0</v>
      </c>
      <c r="H5849" s="0" t="n">
        <v>0</v>
      </c>
      <c r="M5849" s="51" t="s">
        <v>10288</v>
      </c>
      <c r="N5849" s="49" t="n">
        <v>0</v>
      </c>
      <c r="O5849" s="53" t="n">
        <v>45955.5775810185</v>
      </c>
      <c r="P5849" s="53" t="n">
        <v>45957.8165393519</v>
      </c>
      <c r="Q5849" s="53" t="n">
        <v>45955.5775810185</v>
      </c>
      <c r="R5849" s="0" t="n">
        <v>0</v>
      </c>
      <c r="S5849" s="51" t="s">
        <v>2401</v>
      </c>
      <c r="T5849" s="51" t="s">
        <v>2401</v>
      </c>
      <c r="U5849" s="0" t="str">
        <f aca="false">"12610361"</f>
        <v>12610361</v>
      </c>
      <c r="V5849" s="51" t="s">
        <v>2365</v>
      </c>
      <c r="W5849" s="51" t="s">
        <v>10149</v>
      </c>
      <c r="X5849" s="51" t="s">
        <v>2359</v>
      </c>
    </row>
    <row r="5850" customFormat="false" ht="14.25" hidden="true" customHeight="false" outlineLevel="0" collapsed="false">
      <c r="A5850" s="49" t="s">
        <v>2349</v>
      </c>
      <c r="B5850" s="49" t="s">
        <v>2350</v>
      </c>
      <c r="C5850" s="49" t="s">
        <v>10301</v>
      </c>
      <c r="D5850" s="49" t="s">
        <v>2352</v>
      </c>
      <c r="E5850" s="49" t="s">
        <v>4012</v>
      </c>
      <c r="F5850" s="49" t="s">
        <v>4013</v>
      </c>
      <c r="G5850" s="49" t="n">
        <v>0</v>
      </c>
      <c r="H5850" s="0" t="n">
        <v>0</v>
      </c>
      <c r="M5850" s="51" t="s">
        <v>10302</v>
      </c>
      <c r="N5850" s="49" t="n">
        <v>0</v>
      </c>
      <c r="O5850" s="53" t="n">
        <v>45953.4875462963</v>
      </c>
      <c r="P5850" s="53" t="n">
        <v>45959.7716666667</v>
      </c>
      <c r="Q5850" s="53" t="n">
        <v>45953.4875462963</v>
      </c>
      <c r="R5850" s="0" t="n">
        <v>0</v>
      </c>
      <c r="S5850" s="51" t="s">
        <v>2401</v>
      </c>
      <c r="T5850" s="51" t="s">
        <v>2401</v>
      </c>
      <c r="U5850" s="51" t="s">
        <v>4012</v>
      </c>
      <c r="V5850" s="51" t="s">
        <v>2365</v>
      </c>
      <c r="W5850" s="51" t="s">
        <v>10162</v>
      </c>
      <c r="X5850" s="51" t="s">
        <v>2359</v>
      </c>
    </row>
    <row r="5851" customFormat="false" ht="14.25" hidden="true" customHeight="false" outlineLevel="0" collapsed="false">
      <c r="A5851" s="49" t="s">
        <v>2349</v>
      </c>
      <c r="B5851" s="49" t="s">
        <v>2350</v>
      </c>
      <c r="C5851" s="49" t="s">
        <v>10303</v>
      </c>
      <c r="D5851" s="49" t="s">
        <v>2352</v>
      </c>
      <c r="E5851" s="49" t="s">
        <v>4012</v>
      </c>
      <c r="F5851" s="49" t="s">
        <v>4013</v>
      </c>
      <c r="G5851" s="49" t="n">
        <v>0</v>
      </c>
      <c r="H5851" s="0" t="n">
        <v>0</v>
      </c>
      <c r="M5851" s="51" t="s">
        <v>10302</v>
      </c>
      <c r="N5851" s="49" t="n">
        <v>0</v>
      </c>
      <c r="O5851" s="53" t="n">
        <v>45953.4872685185</v>
      </c>
      <c r="P5851" s="53" t="n">
        <v>45956.9126851852</v>
      </c>
      <c r="Q5851" s="53" t="n">
        <v>45953.4872685185</v>
      </c>
      <c r="R5851" s="0" t="n">
        <v>0</v>
      </c>
      <c r="S5851" s="51" t="s">
        <v>2401</v>
      </c>
      <c r="T5851" s="51" t="s">
        <v>2401</v>
      </c>
      <c r="U5851" s="51" t="s">
        <v>4012</v>
      </c>
      <c r="V5851" s="51" t="s">
        <v>2365</v>
      </c>
      <c r="W5851" s="51" t="s">
        <v>10192</v>
      </c>
      <c r="X5851" s="51" t="s">
        <v>2359</v>
      </c>
    </row>
    <row r="5852" customFormat="false" ht="14.25" hidden="true" customHeight="false" outlineLevel="0" collapsed="false">
      <c r="A5852" s="49" t="s">
        <v>2349</v>
      </c>
      <c r="B5852" s="49" t="s">
        <v>2350</v>
      </c>
      <c r="C5852" s="49" t="s">
        <v>10304</v>
      </c>
      <c r="D5852" s="49" t="s">
        <v>2352</v>
      </c>
      <c r="E5852" s="49" t="s">
        <v>4012</v>
      </c>
      <c r="F5852" s="49" t="s">
        <v>4013</v>
      </c>
      <c r="G5852" s="49" t="n">
        <v>0</v>
      </c>
      <c r="H5852" s="0" t="n">
        <v>0</v>
      </c>
      <c r="M5852" s="51" t="s">
        <v>10302</v>
      </c>
      <c r="N5852" s="49" t="n">
        <v>0</v>
      </c>
      <c r="O5852" s="53" t="n">
        <v>45953.4869212963</v>
      </c>
      <c r="P5852" s="53" t="n">
        <v>45959.772662037</v>
      </c>
      <c r="Q5852" s="53" t="n">
        <v>45953.4869212963</v>
      </c>
      <c r="R5852" s="0" t="n">
        <v>0</v>
      </c>
      <c r="S5852" s="51" t="s">
        <v>2401</v>
      </c>
      <c r="T5852" s="51" t="s">
        <v>2401</v>
      </c>
      <c r="U5852" s="51" t="s">
        <v>4012</v>
      </c>
      <c r="V5852" s="51" t="s">
        <v>2365</v>
      </c>
      <c r="W5852" s="51" t="s">
        <v>10305</v>
      </c>
      <c r="X5852" s="51" t="s">
        <v>2359</v>
      </c>
    </row>
    <row r="5853" customFormat="false" ht="14.25" hidden="true" customHeight="false" outlineLevel="0" collapsed="false">
      <c r="A5853" s="49" t="s">
        <v>2349</v>
      </c>
      <c r="B5853" s="49" t="s">
        <v>2350</v>
      </c>
      <c r="C5853" s="49" t="s">
        <v>10306</v>
      </c>
      <c r="D5853" s="49" t="s">
        <v>2352</v>
      </c>
      <c r="E5853" s="49" t="s">
        <v>4012</v>
      </c>
      <c r="F5853" s="49" t="s">
        <v>4013</v>
      </c>
      <c r="G5853" s="49" t="n">
        <v>0</v>
      </c>
      <c r="H5853" s="0" t="n">
        <v>0</v>
      </c>
      <c r="M5853" s="51" t="s">
        <v>10302</v>
      </c>
      <c r="N5853" s="49" t="n">
        <v>0</v>
      </c>
      <c r="O5853" s="53" t="n">
        <v>45953.4867939815</v>
      </c>
      <c r="P5853" s="53" t="n">
        <v>45959.771087963</v>
      </c>
      <c r="Q5853" s="53" t="n">
        <v>45953.4867939815</v>
      </c>
      <c r="R5853" s="0" t="n">
        <v>0</v>
      </c>
      <c r="S5853" s="51" t="s">
        <v>2401</v>
      </c>
      <c r="T5853" s="51" t="s">
        <v>2401</v>
      </c>
      <c r="U5853" s="51" t="s">
        <v>4012</v>
      </c>
      <c r="V5853" s="51" t="s">
        <v>2365</v>
      </c>
      <c r="W5853" s="51" t="s">
        <v>10179</v>
      </c>
      <c r="X5853" s="51" t="s">
        <v>2359</v>
      </c>
    </row>
    <row r="5854" customFormat="false" ht="14.25" hidden="true" customHeight="false" outlineLevel="0" collapsed="false">
      <c r="A5854" s="49" t="s">
        <v>2349</v>
      </c>
      <c r="B5854" s="49" t="s">
        <v>2350</v>
      </c>
      <c r="C5854" s="49" t="s">
        <v>10307</v>
      </c>
      <c r="D5854" s="49" t="s">
        <v>2352</v>
      </c>
      <c r="E5854" s="49" t="s">
        <v>4012</v>
      </c>
      <c r="F5854" s="49" t="s">
        <v>4013</v>
      </c>
      <c r="G5854" s="49" t="n">
        <v>0</v>
      </c>
      <c r="H5854" s="0" t="n">
        <v>0</v>
      </c>
      <c r="M5854" s="51" t="s">
        <v>10302</v>
      </c>
      <c r="N5854" s="49" t="n">
        <v>0</v>
      </c>
      <c r="O5854" s="53" t="n">
        <v>45953.4866435185</v>
      </c>
      <c r="P5854" s="53" t="n">
        <v>45959.773912037</v>
      </c>
      <c r="Q5854" s="53" t="n">
        <v>45953.4866435185</v>
      </c>
      <c r="R5854" s="0" t="n">
        <v>0</v>
      </c>
      <c r="S5854" s="51" t="s">
        <v>2401</v>
      </c>
      <c r="T5854" s="51" t="s">
        <v>2401</v>
      </c>
      <c r="U5854" s="51" t="s">
        <v>4012</v>
      </c>
      <c r="V5854" s="51" t="s">
        <v>2365</v>
      </c>
      <c r="W5854" s="51" t="s">
        <v>10308</v>
      </c>
      <c r="X5854" s="51" t="s">
        <v>2359</v>
      </c>
    </row>
    <row r="5855" customFormat="false" ht="14.25" hidden="true" customHeight="false" outlineLevel="0" collapsed="false">
      <c r="A5855" s="49" t="s">
        <v>2349</v>
      </c>
      <c r="B5855" s="49" t="s">
        <v>2350</v>
      </c>
      <c r="C5855" s="49" t="s">
        <v>10309</v>
      </c>
      <c r="D5855" s="49" t="s">
        <v>2352</v>
      </c>
      <c r="E5855" s="49" t="s">
        <v>4012</v>
      </c>
      <c r="F5855" s="49" t="s">
        <v>4013</v>
      </c>
      <c r="G5855" s="49" t="n">
        <v>0</v>
      </c>
      <c r="H5855" s="0" t="n">
        <v>0</v>
      </c>
      <c r="M5855" s="51" t="s">
        <v>10302</v>
      </c>
      <c r="N5855" s="49" t="n">
        <v>0</v>
      </c>
      <c r="O5855" s="53" t="n">
        <v>45953.4823263889</v>
      </c>
      <c r="P5855" s="53" t="n">
        <v>45953.588287037</v>
      </c>
      <c r="Q5855" s="53" t="n">
        <v>45953.4823263889</v>
      </c>
      <c r="R5855" s="0" t="n">
        <v>0</v>
      </c>
      <c r="S5855" s="51" t="s">
        <v>2401</v>
      </c>
      <c r="T5855" s="51" t="s">
        <v>2401</v>
      </c>
      <c r="U5855" s="51" t="s">
        <v>4012</v>
      </c>
      <c r="V5855" s="51" t="s">
        <v>2365</v>
      </c>
      <c r="W5855" s="51" t="s">
        <v>4501</v>
      </c>
      <c r="X5855" s="51" t="s">
        <v>2359</v>
      </c>
    </row>
    <row r="5856" customFormat="false" ht="14.25" hidden="true" customHeight="false" outlineLevel="0" collapsed="false">
      <c r="A5856" s="49" t="s">
        <v>2349</v>
      </c>
      <c r="B5856" s="49" t="s">
        <v>2350</v>
      </c>
      <c r="C5856" s="49" t="s">
        <v>10310</v>
      </c>
      <c r="D5856" s="49" t="s">
        <v>2352</v>
      </c>
      <c r="E5856" s="49" t="s">
        <v>4012</v>
      </c>
      <c r="F5856" s="49" t="s">
        <v>4013</v>
      </c>
      <c r="G5856" s="49" t="n">
        <v>0</v>
      </c>
      <c r="H5856" s="0" t="n">
        <v>0</v>
      </c>
      <c r="M5856" s="51" t="s">
        <v>10302</v>
      </c>
      <c r="N5856" s="49" t="n">
        <v>0</v>
      </c>
      <c r="O5856" s="53" t="n">
        <v>45953.4855671296</v>
      </c>
      <c r="P5856" s="53" t="n">
        <v>45959.7724768519</v>
      </c>
      <c r="Q5856" s="53" t="n">
        <v>45953.4855671296</v>
      </c>
      <c r="R5856" s="0" t="n">
        <v>0</v>
      </c>
      <c r="S5856" s="51" t="s">
        <v>2401</v>
      </c>
      <c r="T5856" s="51" t="s">
        <v>2401</v>
      </c>
      <c r="U5856" s="51" t="s">
        <v>4012</v>
      </c>
      <c r="V5856" s="51" t="s">
        <v>2365</v>
      </c>
      <c r="W5856" s="51" t="s">
        <v>10311</v>
      </c>
      <c r="X5856" s="51" t="s">
        <v>2359</v>
      </c>
    </row>
    <row r="5857" customFormat="false" ht="14.25" hidden="true" customHeight="false" outlineLevel="0" collapsed="false">
      <c r="A5857" s="49" t="s">
        <v>2349</v>
      </c>
      <c r="B5857" s="49" t="s">
        <v>2350</v>
      </c>
      <c r="C5857" s="49" t="s">
        <v>10312</v>
      </c>
      <c r="D5857" s="49" t="s">
        <v>2352</v>
      </c>
      <c r="E5857" s="49" t="s">
        <v>4012</v>
      </c>
      <c r="F5857" s="49" t="s">
        <v>4013</v>
      </c>
      <c r="G5857" s="49" t="n">
        <v>0</v>
      </c>
      <c r="H5857" s="0" t="n">
        <v>0</v>
      </c>
      <c r="M5857" s="51" t="s">
        <v>10302</v>
      </c>
      <c r="N5857" s="49" t="n">
        <v>0</v>
      </c>
      <c r="O5857" s="53" t="n">
        <v>45953.4857407407</v>
      </c>
      <c r="P5857" s="53" t="n">
        <v>45977.8944444444</v>
      </c>
      <c r="Q5857" s="53" t="n">
        <v>45953.4857407407</v>
      </c>
      <c r="R5857" s="0" t="n">
        <v>0</v>
      </c>
      <c r="S5857" s="51" t="s">
        <v>2401</v>
      </c>
      <c r="T5857" s="51" t="s">
        <v>2401</v>
      </c>
      <c r="U5857" s="51" t="s">
        <v>4012</v>
      </c>
      <c r="V5857" s="51" t="s">
        <v>2365</v>
      </c>
      <c r="W5857" s="51" t="s">
        <v>10313</v>
      </c>
      <c r="X5857" s="51" t="s">
        <v>2359</v>
      </c>
    </row>
    <row r="5858" customFormat="false" ht="14.25" hidden="true" customHeight="false" outlineLevel="0" collapsed="false">
      <c r="A5858" s="49" t="s">
        <v>2349</v>
      </c>
      <c r="B5858" s="49" t="s">
        <v>2350</v>
      </c>
      <c r="C5858" s="49" t="s">
        <v>10314</v>
      </c>
      <c r="D5858" s="49" t="s">
        <v>2352</v>
      </c>
      <c r="E5858" s="49" t="s">
        <v>4012</v>
      </c>
      <c r="F5858" s="49" t="s">
        <v>4013</v>
      </c>
      <c r="G5858" s="49" t="n">
        <v>0</v>
      </c>
      <c r="H5858" s="0" t="n">
        <v>0</v>
      </c>
      <c r="M5858" s="51" t="s">
        <v>10302</v>
      </c>
      <c r="N5858" s="49" t="n">
        <v>0</v>
      </c>
      <c r="O5858" s="53" t="n">
        <v>45953.4858796296</v>
      </c>
      <c r="P5858" s="53" t="n">
        <v>45974.9519560185</v>
      </c>
      <c r="Q5858" s="53" t="n">
        <v>45953.4858796296</v>
      </c>
      <c r="R5858" s="0" t="n">
        <v>0</v>
      </c>
      <c r="S5858" s="51" t="s">
        <v>2401</v>
      </c>
      <c r="T5858" s="51" t="s">
        <v>2401</v>
      </c>
      <c r="U5858" s="51" t="s">
        <v>4012</v>
      </c>
      <c r="V5858" s="51" t="s">
        <v>2365</v>
      </c>
      <c r="W5858" s="51" t="s">
        <v>10315</v>
      </c>
      <c r="X5858" s="51" t="s">
        <v>2359</v>
      </c>
    </row>
    <row r="5859" customFormat="false" ht="14.25" hidden="true" customHeight="false" outlineLevel="0" collapsed="false">
      <c r="A5859" s="49" t="s">
        <v>2349</v>
      </c>
      <c r="B5859" s="49" t="s">
        <v>2350</v>
      </c>
      <c r="C5859" s="49" t="s">
        <v>10316</v>
      </c>
      <c r="D5859" s="49" t="s">
        <v>2352</v>
      </c>
      <c r="E5859" s="49" t="s">
        <v>4012</v>
      </c>
      <c r="F5859" s="49" t="s">
        <v>4013</v>
      </c>
      <c r="G5859" s="49" t="n">
        <v>0</v>
      </c>
      <c r="H5859" s="0" t="n">
        <v>0</v>
      </c>
      <c r="M5859" s="51" t="s">
        <v>10302</v>
      </c>
      <c r="N5859" s="49" t="n">
        <v>0</v>
      </c>
      <c r="O5859" s="53" t="n">
        <v>45953.4860300926</v>
      </c>
      <c r="P5859" s="53" t="n">
        <v>45971.3953472222</v>
      </c>
      <c r="Q5859" s="53" t="n">
        <v>45953.4860300926</v>
      </c>
      <c r="R5859" s="0" t="n">
        <v>0</v>
      </c>
      <c r="S5859" s="51" t="s">
        <v>2401</v>
      </c>
      <c r="T5859" s="51" t="s">
        <v>2401</v>
      </c>
      <c r="U5859" s="51" t="s">
        <v>4012</v>
      </c>
      <c r="V5859" s="51" t="s">
        <v>2365</v>
      </c>
      <c r="W5859" s="51" t="s">
        <v>7847</v>
      </c>
      <c r="X5859" s="51" t="s">
        <v>2359</v>
      </c>
    </row>
    <row r="5860" customFormat="false" ht="14.25" hidden="true" customHeight="false" outlineLevel="0" collapsed="false">
      <c r="A5860" s="49" t="s">
        <v>2349</v>
      </c>
      <c r="B5860" s="49" t="s">
        <v>2350</v>
      </c>
      <c r="C5860" s="49" t="s">
        <v>10317</v>
      </c>
      <c r="D5860" s="49" t="s">
        <v>2352</v>
      </c>
      <c r="E5860" s="49" t="s">
        <v>4012</v>
      </c>
      <c r="F5860" s="49" t="s">
        <v>4013</v>
      </c>
      <c r="G5860" s="49" t="n">
        <v>0</v>
      </c>
      <c r="H5860" s="0" t="n">
        <v>0</v>
      </c>
      <c r="M5860" s="51" t="s">
        <v>10302</v>
      </c>
      <c r="N5860" s="49" t="n">
        <v>0</v>
      </c>
      <c r="O5860" s="53" t="n">
        <v>45953.482650463</v>
      </c>
      <c r="P5860" s="53" t="n">
        <v>45953.5885185185</v>
      </c>
      <c r="Q5860" s="53" t="n">
        <v>45953.482650463</v>
      </c>
      <c r="R5860" s="0" t="n">
        <v>0</v>
      </c>
      <c r="S5860" s="51" t="s">
        <v>2401</v>
      </c>
      <c r="T5860" s="51" t="s">
        <v>2401</v>
      </c>
      <c r="U5860" s="51" t="s">
        <v>4012</v>
      </c>
      <c r="V5860" s="51" t="s">
        <v>2365</v>
      </c>
      <c r="W5860" s="51" t="s">
        <v>6752</v>
      </c>
      <c r="X5860" s="51" t="s">
        <v>2359</v>
      </c>
    </row>
    <row r="5861" customFormat="false" ht="14.25" hidden="true" customHeight="false" outlineLevel="0" collapsed="false">
      <c r="A5861" s="49" t="s">
        <v>2349</v>
      </c>
      <c r="B5861" s="49" t="s">
        <v>2350</v>
      </c>
      <c r="C5861" s="49" t="s">
        <v>10318</v>
      </c>
      <c r="D5861" s="49" t="s">
        <v>2352</v>
      </c>
      <c r="E5861" s="49" t="s">
        <v>4012</v>
      </c>
      <c r="F5861" s="49" t="s">
        <v>4013</v>
      </c>
      <c r="G5861" s="49" t="n">
        <v>0</v>
      </c>
      <c r="H5861" s="0" t="n">
        <v>0</v>
      </c>
      <c r="M5861" s="51" t="s">
        <v>10302</v>
      </c>
      <c r="N5861" s="49" t="n">
        <v>0</v>
      </c>
      <c r="O5861" s="53" t="n">
        <v>45953.482974537</v>
      </c>
      <c r="P5861" s="53" t="n">
        <v>45953.5891550926</v>
      </c>
      <c r="Q5861" s="53" t="n">
        <v>45953.482974537</v>
      </c>
      <c r="R5861" s="0" t="n">
        <v>0</v>
      </c>
      <c r="S5861" s="51" t="s">
        <v>2401</v>
      </c>
      <c r="T5861" s="51" t="s">
        <v>2401</v>
      </c>
      <c r="U5861" s="51" t="s">
        <v>4012</v>
      </c>
      <c r="V5861" s="51" t="s">
        <v>2365</v>
      </c>
      <c r="W5861" s="51" t="s">
        <v>7459</v>
      </c>
      <c r="X5861" s="51" t="s">
        <v>2359</v>
      </c>
    </row>
    <row r="5862" customFormat="false" ht="14.25" hidden="true" customHeight="false" outlineLevel="0" collapsed="false">
      <c r="A5862" s="49" t="s">
        <v>2349</v>
      </c>
      <c r="B5862" s="49" t="s">
        <v>2350</v>
      </c>
      <c r="C5862" s="49" t="s">
        <v>10319</v>
      </c>
      <c r="D5862" s="49" t="s">
        <v>2352</v>
      </c>
      <c r="E5862" s="49" t="s">
        <v>4012</v>
      </c>
      <c r="F5862" s="49" t="s">
        <v>4013</v>
      </c>
      <c r="G5862" s="49" t="n">
        <v>0</v>
      </c>
      <c r="H5862" s="0" t="n">
        <v>0</v>
      </c>
      <c r="M5862" s="51" t="s">
        <v>10302</v>
      </c>
      <c r="N5862" s="49" t="n">
        <v>0</v>
      </c>
      <c r="O5862" s="53" t="n">
        <v>45953.4831597222</v>
      </c>
      <c r="P5862" s="53" t="n">
        <v>45953.5894097222</v>
      </c>
      <c r="Q5862" s="53" t="n">
        <v>45953.4831597222</v>
      </c>
      <c r="R5862" s="0" t="n">
        <v>0</v>
      </c>
      <c r="S5862" s="51" t="s">
        <v>2401</v>
      </c>
      <c r="T5862" s="51" t="s">
        <v>2401</v>
      </c>
      <c r="U5862" s="51" t="s">
        <v>4012</v>
      </c>
      <c r="V5862" s="51" t="s">
        <v>2365</v>
      </c>
      <c r="W5862" s="51" t="s">
        <v>6550</v>
      </c>
      <c r="X5862" s="51" t="s">
        <v>2359</v>
      </c>
    </row>
    <row r="5863" customFormat="false" ht="14.25" hidden="true" customHeight="false" outlineLevel="0" collapsed="false">
      <c r="A5863" s="49" t="s">
        <v>2349</v>
      </c>
      <c r="B5863" s="49" t="s">
        <v>2350</v>
      </c>
      <c r="C5863" s="49" t="s">
        <v>10320</v>
      </c>
      <c r="D5863" s="49" t="s">
        <v>2352</v>
      </c>
      <c r="E5863" s="49" t="s">
        <v>4012</v>
      </c>
      <c r="F5863" s="49" t="s">
        <v>4013</v>
      </c>
      <c r="G5863" s="49" t="n">
        <v>0</v>
      </c>
      <c r="H5863" s="0" t="n">
        <v>0</v>
      </c>
      <c r="M5863" s="51" t="s">
        <v>10302</v>
      </c>
      <c r="N5863" s="49" t="n">
        <v>0</v>
      </c>
      <c r="O5863" s="53" t="n">
        <v>45953.4833217593</v>
      </c>
      <c r="P5863" s="53" t="n">
        <v>45953.5897800926</v>
      </c>
      <c r="Q5863" s="53" t="n">
        <v>45953.4833217593</v>
      </c>
      <c r="R5863" s="0" t="n">
        <v>0</v>
      </c>
      <c r="S5863" s="51" t="s">
        <v>2401</v>
      </c>
      <c r="T5863" s="51" t="s">
        <v>2401</v>
      </c>
      <c r="U5863" s="51" t="s">
        <v>4012</v>
      </c>
      <c r="V5863" s="51" t="s">
        <v>2365</v>
      </c>
      <c r="W5863" s="51" t="s">
        <v>6571</v>
      </c>
      <c r="X5863" s="51" t="s">
        <v>2359</v>
      </c>
    </row>
    <row r="5864" customFormat="false" ht="14.25" hidden="true" customHeight="false" outlineLevel="0" collapsed="false">
      <c r="A5864" s="49" t="s">
        <v>2349</v>
      </c>
      <c r="B5864" s="49" t="s">
        <v>2350</v>
      </c>
      <c r="C5864" s="49" t="s">
        <v>10321</v>
      </c>
      <c r="D5864" s="49" t="s">
        <v>2352</v>
      </c>
      <c r="E5864" s="49" t="s">
        <v>4012</v>
      </c>
      <c r="F5864" s="49" t="s">
        <v>4013</v>
      </c>
      <c r="G5864" s="49" t="n">
        <v>0</v>
      </c>
      <c r="H5864" s="0" t="n">
        <v>0</v>
      </c>
      <c r="M5864" s="51" t="s">
        <v>10302</v>
      </c>
      <c r="N5864" s="49" t="n">
        <v>0</v>
      </c>
      <c r="O5864" s="53" t="n">
        <v>45953.4834953704</v>
      </c>
      <c r="P5864" s="53" t="n">
        <v>45953.5900810185</v>
      </c>
      <c r="Q5864" s="53" t="n">
        <v>45953.4834953704</v>
      </c>
      <c r="R5864" s="0" t="n">
        <v>0</v>
      </c>
      <c r="S5864" s="51" t="s">
        <v>2401</v>
      </c>
      <c r="T5864" s="51" t="s">
        <v>2401</v>
      </c>
      <c r="U5864" s="51" t="s">
        <v>4012</v>
      </c>
      <c r="V5864" s="51" t="s">
        <v>2365</v>
      </c>
      <c r="W5864" s="51" t="s">
        <v>6552</v>
      </c>
      <c r="X5864" s="51" t="s">
        <v>2359</v>
      </c>
    </row>
    <row r="5865" customFormat="false" ht="14.25" hidden="true" customHeight="false" outlineLevel="0" collapsed="false">
      <c r="A5865" s="49" t="s">
        <v>2349</v>
      </c>
      <c r="B5865" s="49" t="s">
        <v>2350</v>
      </c>
      <c r="C5865" s="49" t="s">
        <v>10322</v>
      </c>
      <c r="D5865" s="49" t="s">
        <v>2352</v>
      </c>
      <c r="E5865" s="49" t="s">
        <v>4012</v>
      </c>
      <c r="F5865" s="49" t="s">
        <v>4013</v>
      </c>
      <c r="G5865" s="49" t="n">
        <v>0</v>
      </c>
      <c r="H5865" s="0" t="n">
        <v>0</v>
      </c>
      <c r="M5865" s="51" t="s">
        <v>10302</v>
      </c>
      <c r="N5865" s="49" t="n">
        <v>0</v>
      </c>
      <c r="O5865" s="53" t="n">
        <v>45953.4837268519</v>
      </c>
      <c r="P5865" s="53" t="n">
        <v>45953.5903240741</v>
      </c>
      <c r="Q5865" s="53" t="n">
        <v>45953.4837268519</v>
      </c>
      <c r="R5865" s="0" t="n">
        <v>0</v>
      </c>
      <c r="S5865" s="51" t="s">
        <v>2401</v>
      </c>
      <c r="T5865" s="51" t="s">
        <v>2401</v>
      </c>
      <c r="U5865" s="51" t="s">
        <v>4012</v>
      </c>
      <c r="V5865" s="51" t="s">
        <v>2365</v>
      </c>
      <c r="W5865" s="51" t="s">
        <v>10323</v>
      </c>
      <c r="X5865" s="51" t="s">
        <v>2359</v>
      </c>
    </row>
    <row r="5866" customFormat="false" ht="14.25" hidden="true" customHeight="false" outlineLevel="0" collapsed="false">
      <c r="A5866" s="49" t="s">
        <v>2349</v>
      </c>
      <c r="B5866" s="49" t="s">
        <v>2350</v>
      </c>
      <c r="C5866" s="49" t="s">
        <v>10324</v>
      </c>
      <c r="D5866" s="49" t="s">
        <v>2352</v>
      </c>
      <c r="E5866" s="49" t="s">
        <v>4012</v>
      </c>
      <c r="F5866" s="49" t="s">
        <v>4013</v>
      </c>
      <c r="G5866" s="49" t="n">
        <v>0</v>
      </c>
      <c r="H5866" s="0" t="n">
        <v>0</v>
      </c>
      <c r="M5866" s="51" t="s">
        <v>10302</v>
      </c>
      <c r="N5866" s="49" t="n">
        <v>0</v>
      </c>
      <c r="O5866" s="53" t="n">
        <v>45953.4838773148</v>
      </c>
      <c r="P5866" s="53" t="n">
        <v>45953.5905439815</v>
      </c>
      <c r="Q5866" s="53" t="n">
        <v>45953.4838773148</v>
      </c>
      <c r="R5866" s="0" t="n">
        <v>0</v>
      </c>
      <c r="S5866" s="51" t="s">
        <v>2401</v>
      </c>
      <c r="T5866" s="51" t="s">
        <v>2401</v>
      </c>
      <c r="U5866" s="51" t="s">
        <v>4012</v>
      </c>
      <c r="V5866" s="51" t="s">
        <v>2365</v>
      </c>
      <c r="W5866" s="51" t="s">
        <v>6769</v>
      </c>
      <c r="X5866" s="51" t="s">
        <v>2359</v>
      </c>
    </row>
    <row r="5867" customFormat="false" ht="14.25" hidden="true" customHeight="false" outlineLevel="0" collapsed="false">
      <c r="A5867" s="49" t="s">
        <v>2349</v>
      </c>
      <c r="B5867" s="49" t="s">
        <v>2350</v>
      </c>
      <c r="C5867" s="49" t="s">
        <v>10325</v>
      </c>
      <c r="D5867" s="49" t="s">
        <v>2352</v>
      </c>
      <c r="E5867" s="49" t="s">
        <v>4012</v>
      </c>
      <c r="F5867" s="49" t="s">
        <v>4013</v>
      </c>
      <c r="G5867" s="49" t="n">
        <v>0</v>
      </c>
      <c r="H5867" s="0" t="n">
        <v>0</v>
      </c>
      <c r="M5867" s="51" t="s">
        <v>10302</v>
      </c>
      <c r="N5867" s="49" t="n">
        <v>0</v>
      </c>
      <c r="O5867" s="53" t="n">
        <v>45953.4840162037</v>
      </c>
      <c r="P5867" s="53" t="n">
        <v>45953.5915740741</v>
      </c>
      <c r="Q5867" s="53" t="n">
        <v>45953.4840162037</v>
      </c>
      <c r="R5867" s="0" t="n">
        <v>0</v>
      </c>
      <c r="S5867" s="51" t="s">
        <v>2401</v>
      </c>
      <c r="T5867" s="51" t="s">
        <v>2401</v>
      </c>
      <c r="U5867" s="51" t="s">
        <v>4012</v>
      </c>
      <c r="V5867" s="51" t="s">
        <v>2365</v>
      </c>
      <c r="W5867" s="51" t="s">
        <v>6771</v>
      </c>
      <c r="X5867" s="51" t="s">
        <v>2359</v>
      </c>
    </row>
    <row r="5868" customFormat="false" ht="14.25" hidden="true" customHeight="false" outlineLevel="0" collapsed="false">
      <c r="A5868" s="49" t="s">
        <v>2349</v>
      </c>
      <c r="B5868" s="49" t="s">
        <v>2350</v>
      </c>
      <c r="C5868" s="49" t="s">
        <v>10326</v>
      </c>
      <c r="D5868" s="49" t="s">
        <v>2352</v>
      </c>
      <c r="E5868" s="49" t="s">
        <v>4012</v>
      </c>
      <c r="F5868" s="49" t="s">
        <v>4013</v>
      </c>
      <c r="G5868" s="49" t="n">
        <v>0</v>
      </c>
      <c r="H5868" s="0" t="n">
        <v>0</v>
      </c>
      <c r="M5868" s="51" t="s">
        <v>10302</v>
      </c>
      <c r="N5868" s="49" t="n">
        <v>0</v>
      </c>
      <c r="O5868" s="53" t="n">
        <v>45953.4841435185</v>
      </c>
      <c r="P5868" s="53" t="n">
        <v>45953.5920486111</v>
      </c>
      <c r="Q5868" s="53" t="n">
        <v>45953.4841435185</v>
      </c>
      <c r="R5868" s="0" t="n">
        <v>0</v>
      </c>
      <c r="S5868" s="51" t="s">
        <v>2401</v>
      </c>
      <c r="T5868" s="51" t="s">
        <v>2401</v>
      </c>
      <c r="U5868" s="51" t="s">
        <v>4012</v>
      </c>
      <c r="V5868" s="51" t="s">
        <v>2365</v>
      </c>
      <c r="W5868" s="51" t="s">
        <v>6690</v>
      </c>
      <c r="X5868" s="51" t="s">
        <v>2359</v>
      </c>
    </row>
    <row r="5869" customFormat="false" ht="14.25" hidden="true" customHeight="false" outlineLevel="0" collapsed="false">
      <c r="A5869" s="49" t="s">
        <v>2349</v>
      </c>
      <c r="B5869" s="49" t="s">
        <v>2350</v>
      </c>
      <c r="C5869" s="49" t="s">
        <v>10327</v>
      </c>
      <c r="D5869" s="49" t="s">
        <v>2352</v>
      </c>
      <c r="E5869" s="49" t="s">
        <v>4012</v>
      </c>
      <c r="F5869" s="49" t="s">
        <v>4013</v>
      </c>
      <c r="G5869" s="49" t="n">
        <v>0</v>
      </c>
      <c r="H5869" s="0" t="n">
        <v>0</v>
      </c>
      <c r="M5869" s="51" t="s">
        <v>10302</v>
      </c>
      <c r="N5869" s="49" t="n">
        <v>0</v>
      </c>
      <c r="O5869" s="53" t="n">
        <v>45953.4843055556</v>
      </c>
      <c r="P5869" s="53" t="n">
        <v>45953.5855787037</v>
      </c>
      <c r="Q5869" s="53" t="n">
        <v>45953.4843055556</v>
      </c>
      <c r="R5869" s="0" t="n">
        <v>0</v>
      </c>
      <c r="S5869" s="51" t="s">
        <v>2401</v>
      </c>
      <c r="T5869" s="51" t="s">
        <v>2401</v>
      </c>
      <c r="U5869" s="51" t="s">
        <v>4012</v>
      </c>
      <c r="V5869" s="51" t="s">
        <v>2365</v>
      </c>
      <c r="W5869" s="51" t="s">
        <v>9695</v>
      </c>
      <c r="X5869" s="51" t="s">
        <v>2359</v>
      </c>
    </row>
    <row r="5870" customFormat="false" ht="14.25" hidden="true" customHeight="false" outlineLevel="0" collapsed="false">
      <c r="A5870" s="49" t="s">
        <v>2349</v>
      </c>
      <c r="B5870" s="49" t="s">
        <v>2350</v>
      </c>
      <c r="C5870" s="49" t="s">
        <v>10328</v>
      </c>
      <c r="D5870" s="49" t="s">
        <v>2352</v>
      </c>
      <c r="E5870" s="49" t="s">
        <v>4012</v>
      </c>
      <c r="F5870" s="49" t="s">
        <v>4013</v>
      </c>
      <c r="G5870" s="49" t="n">
        <v>0</v>
      </c>
      <c r="H5870" s="0" t="n">
        <v>0</v>
      </c>
      <c r="M5870" s="51" t="s">
        <v>10302</v>
      </c>
      <c r="N5870" s="49" t="n">
        <v>0</v>
      </c>
      <c r="O5870" s="53" t="n">
        <v>45953.4844907407</v>
      </c>
      <c r="P5870" s="53" t="n">
        <v>45956.9149421296</v>
      </c>
      <c r="Q5870" s="53" t="n">
        <v>45953.4844907407</v>
      </c>
      <c r="R5870" s="0" t="n">
        <v>0</v>
      </c>
      <c r="S5870" s="51" t="s">
        <v>2401</v>
      </c>
      <c r="T5870" s="51" t="s">
        <v>2401</v>
      </c>
      <c r="U5870" s="51" t="s">
        <v>4012</v>
      </c>
      <c r="V5870" s="51" t="s">
        <v>2365</v>
      </c>
      <c r="W5870" s="51" t="s">
        <v>10195</v>
      </c>
      <c r="X5870" s="51" t="s">
        <v>2359</v>
      </c>
    </row>
    <row r="5871" customFormat="false" ht="14.25" hidden="true" customHeight="false" outlineLevel="0" collapsed="false">
      <c r="A5871" s="49" t="s">
        <v>2349</v>
      </c>
      <c r="B5871" s="49" t="s">
        <v>2350</v>
      </c>
      <c r="C5871" s="49" t="s">
        <v>10329</v>
      </c>
      <c r="D5871" s="49" t="s">
        <v>2352</v>
      </c>
      <c r="E5871" s="49" t="s">
        <v>4012</v>
      </c>
      <c r="F5871" s="49" t="s">
        <v>4013</v>
      </c>
      <c r="G5871" s="49" t="n">
        <v>0</v>
      </c>
      <c r="H5871" s="0" t="n">
        <v>0</v>
      </c>
      <c r="M5871" s="51" t="s">
        <v>10302</v>
      </c>
      <c r="N5871" s="49" t="n">
        <v>0</v>
      </c>
      <c r="O5871" s="53" t="n">
        <v>45953.4847222222</v>
      </c>
      <c r="P5871" s="53" t="n">
        <v>45959.7699768519</v>
      </c>
      <c r="Q5871" s="53" t="n">
        <v>45953.4847222222</v>
      </c>
      <c r="R5871" s="0" t="n">
        <v>0</v>
      </c>
      <c r="S5871" s="51" t="s">
        <v>2401</v>
      </c>
      <c r="T5871" s="51" t="s">
        <v>2401</v>
      </c>
      <c r="U5871" s="51" t="s">
        <v>4012</v>
      </c>
      <c r="V5871" s="51" t="s">
        <v>2365</v>
      </c>
      <c r="W5871" s="51" t="s">
        <v>10218</v>
      </c>
      <c r="X5871" s="51" t="s">
        <v>2359</v>
      </c>
    </row>
    <row r="5872" customFormat="false" ht="14.25" hidden="true" customHeight="false" outlineLevel="0" collapsed="false">
      <c r="A5872" s="49" t="s">
        <v>2349</v>
      </c>
      <c r="B5872" s="49" t="s">
        <v>2350</v>
      </c>
      <c r="C5872" s="49" t="s">
        <v>10330</v>
      </c>
      <c r="D5872" s="49" t="s">
        <v>2352</v>
      </c>
      <c r="E5872" s="49" t="s">
        <v>4012</v>
      </c>
      <c r="F5872" s="49" t="s">
        <v>4013</v>
      </c>
      <c r="G5872" s="49" t="n">
        <v>0</v>
      </c>
      <c r="H5872" s="0" t="n">
        <v>0</v>
      </c>
      <c r="M5872" s="51" t="s">
        <v>10302</v>
      </c>
      <c r="N5872" s="49" t="n">
        <v>0</v>
      </c>
      <c r="O5872" s="53" t="n">
        <v>45953.485</v>
      </c>
      <c r="P5872" s="53" t="n">
        <v>45963.4629398148</v>
      </c>
      <c r="Q5872" s="53" t="n">
        <v>45953.485</v>
      </c>
      <c r="R5872" s="0" t="n">
        <v>0</v>
      </c>
      <c r="S5872" s="51" t="s">
        <v>2401</v>
      </c>
      <c r="T5872" s="51" t="s">
        <v>2401</v>
      </c>
      <c r="U5872" s="51" t="s">
        <v>4012</v>
      </c>
      <c r="V5872" s="51" t="s">
        <v>2365</v>
      </c>
      <c r="W5872" s="51" t="s">
        <v>10195</v>
      </c>
      <c r="X5872" s="51" t="s">
        <v>2359</v>
      </c>
    </row>
    <row r="5873" customFormat="false" ht="14.25" hidden="true" customHeight="false" outlineLevel="0" collapsed="false">
      <c r="A5873" s="49" t="s">
        <v>2349</v>
      </c>
      <c r="B5873" s="49" t="s">
        <v>2350</v>
      </c>
      <c r="C5873" s="49" t="s">
        <v>10331</v>
      </c>
      <c r="D5873" s="49" t="s">
        <v>2352</v>
      </c>
      <c r="E5873" s="49" t="str">
        <f aca="false">"12362499"</f>
        <v>12362499</v>
      </c>
      <c r="F5873" s="49" t="s">
        <v>10332</v>
      </c>
      <c r="G5873" s="49" t="n">
        <v>0</v>
      </c>
      <c r="H5873" s="0" t="n">
        <v>0</v>
      </c>
      <c r="M5873" s="51" t="s">
        <v>10333</v>
      </c>
      <c r="N5873" s="49" t="n">
        <v>0</v>
      </c>
      <c r="O5873" s="53" t="n">
        <v>45952.5684722222</v>
      </c>
      <c r="P5873" s="53" t="n">
        <v>45953.7877083333</v>
      </c>
      <c r="Q5873" s="53" t="n">
        <v>45952.5684722222</v>
      </c>
      <c r="R5873" s="0" t="n">
        <v>0</v>
      </c>
      <c r="S5873" s="51" t="s">
        <v>2401</v>
      </c>
      <c r="T5873" s="51" t="s">
        <v>2401</v>
      </c>
      <c r="U5873" s="0" t="str">
        <f aca="false">"12362499"</f>
        <v>12362499</v>
      </c>
      <c r="V5873" s="51" t="s">
        <v>2365</v>
      </c>
      <c r="W5873" s="51" t="s">
        <v>10334</v>
      </c>
      <c r="X5873" s="51" t="s">
        <v>2359</v>
      </c>
    </row>
    <row r="5874" customFormat="false" ht="14.25" hidden="true" customHeight="false" outlineLevel="0" collapsed="false">
      <c r="A5874" s="49" t="s">
        <v>2349</v>
      </c>
      <c r="B5874" s="49" t="s">
        <v>2350</v>
      </c>
      <c r="C5874" s="49" t="s">
        <v>10335</v>
      </c>
      <c r="D5874" s="49" t="s">
        <v>2352</v>
      </c>
      <c r="E5874" s="49" t="str">
        <f aca="false">"12505166"</f>
        <v>12505166</v>
      </c>
      <c r="F5874" s="49" t="s">
        <v>10336</v>
      </c>
      <c r="G5874" s="49" t="n">
        <v>0</v>
      </c>
      <c r="H5874" s="0" t="n">
        <v>0</v>
      </c>
      <c r="M5874" s="51" t="s">
        <v>10333</v>
      </c>
      <c r="N5874" s="49" t="n">
        <v>0</v>
      </c>
      <c r="O5874" s="53" t="n">
        <v>45952.5675347222</v>
      </c>
      <c r="P5874" s="53" t="n">
        <v>45953.7868287037</v>
      </c>
      <c r="Q5874" s="53" t="n">
        <v>45952.5675347222</v>
      </c>
      <c r="R5874" s="0" t="n">
        <v>0</v>
      </c>
      <c r="S5874" s="51" t="s">
        <v>2401</v>
      </c>
      <c r="T5874" s="51" t="s">
        <v>2401</v>
      </c>
      <c r="U5874" s="0" t="str">
        <f aca="false">"12505166"</f>
        <v>12505166</v>
      </c>
      <c r="V5874" s="51" t="s">
        <v>2365</v>
      </c>
      <c r="W5874" s="51" t="s">
        <v>9608</v>
      </c>
      <c r="X5874" s="51" t="s">
        <v>2359</v>
      </c>
    </row>
    <row r="5875" customFormat="false" ht="14.25" hidden="true" customHeight="false" outlineLevel="0" collapsed="false">
      <c r="A5875" s="49" t="s">
        <v>2349</v>
      </c>
      <c r="B5875" s="49" t="s">
        <v>2350</v>
      </c>
      <c r="C5875" s="49" t="s">
        <v>10337</v>
      </c>
      <c r="D5875" s="49" t="s">
        <v>2352</v>
      </c>
      <c r="E5875" s="49" t="str">
        <f aca="false">"12235549"</f>
        <v>12235549</v>
      </c>
      <c r="F5875" s="49" t="s">
        <v>10338</v>
      </c>
      <c r="G5875" s="49" t="n">
        <v>0</v>
      </c>
      <c r="H5875" s="0" t="n">
        <v>0</v>
      </c>
      <c r="M5875" s="51" t="s">
        <v>10333</v>
      </c>
      <c r="N5875" s="49" t="n">
        <v>0</v>
      </c>
      <c r="O5875" s="53" t="n">
        <v>45952.570162037</v>
      </c>
      <c r="P5875" s="53" t="n">
        <v>45953.7869907407</v>
      </c>
      <c r="Q5875" s="53" t="n">
        <v>45952.570162037</v>
      </c>
      <c r="R5875" s="0" t="n">
        <v>0</v>
      </c>
      <c r="S5875" s="51" t="s">
        <v>2401</v>
      </c>
      <c r="T5875" s="51" t="s">
        <v>2401</v>
      </c>
      <c r="U5875" s="0" t="str">
        <f aca="false">"12235549"</f>
        <v>12235549</v>
      </c>
      <c r="V5875" s="51" t="s">
        <v>2365</v>
      </c>
      <c r="W5875" s="51" t="s">
        <v>9608</v>
      </c>
      <c r="X5875" s="51" t="s">
        <v>2359</v>
      </c>
    </row>
    <row r="5876" customFormat="false" ht="14.25" hidden="true" customHeight="false" outlineLevel="0" collapsed="false">
      <c r="A5876" s="49" t="s">
        <v>2349</v>
      </c>
      <c r="B5876" s="49" t="s">
        <v>2350</v>
      </c>
      <c r="C5876" s="49" t="s">
        <v>10339</v>
      </c>
      <c r="D5876" s="49" t="s">
        <v>2352</v>
      </c>
      <c r="E5876" s="49" t="str">
        <f aca="false">"12264240"</f>
        <v>12264240</v>
      </c>
      <c r="F5876" s="49" t="s">
        <v>10340</v>
      </c>
      <c r="G5876" s="49" t="n">
        <v>0</v>
      </c>
      <c r="H5876" s="0" t="n">
        <v>0</v>
      </c>
      <c r="M5876" s="51" t="s">
        <v>10333</v>
      </c>
      <c r="N5876" s="49" t="n">
        <v>0</v>
      </c>
      <c r="O5876" s="53" t="n">
        <v>45952.5710648148</v>
      </c>
      <c r="P5876" s="53" t="n">
        <v>45953.7873148148</v>
      </c>
      <c r="Q5876" s="53" t="n">
        <v>45952.5710648148</v>
      </c>
      <c r="R5876" s="0" t="n">
        <v>0</v>
      </c>
      <c r="S5876" s="51" t="s">
        <v>2401</v>
      </c>
      <c r="T5876" s="51" t="s">
        <v>2401</v>
      </c>
      <c r="U5876" s="0" t="str">
        <f aca="false">"12264240"</f>
        <v>12264240</v>
      </c>
      <c r="V5876" s="51" t="s">
        <v>2365</v>
      </c>
      <c r="W5876" s="51" t="s">
        <v>9608</v>
      </c>
      <c r="X5876" s="51" t="s">
        <v>2359</v>
      </c>
    </row>
    <row r="5877" customFormat="false" ht="14.25" hidden="true" customHeight="false" outlineLevel="0" collapsed="false">
      <c r="A5877" s="49" t="s">
        <v>2349</v>
      </c>
      <c r="B5877" s="49" t="s">
        <v>2350</v>
      </c>
      <c r="C5877" s="49" t="s">
        <v>10341</v>
      </c>
      <c r="D5877" s="49" t="s">
        <v>2352</v>
      </c>
      <c r="E5877" s="49" t="str">
        <f aca="false">"12364453"</f>
        <v>12364453</v>
      </c>
      <c r="F5877" s="49" t="s">
        <v>10342</v>
      </c>
      <c r="G5877" s="49" t="n">
        <v>0</v>
      </c>
      <c r="H5877" s="0" t="n">
        <v>0</v>
      </c>
      <c r="M5877" s="51" t="s">
        <v>10333</v>
      </c>
      <c r="N5877" s="49" t="n">
        <v>0</v>
      </c>
      <c r="O5877" s="53" t="n">
        <v>45952.5692361111</v>
      </c>
      <c r="P5877" s="53" t="n">
        <v>45953.7876157407</v>
      </c>
      <c r="Q5877" s="53" t="n">
        <v>45952.5692361111</v>
      </c>
      <c r="R5877" s="0" t="n">
        <v>0</v>
      </c>
      <c r="S5877" s="51" t="s">
        <v>2401</v>
      </c>
      <c r="T5877" s="51" t="s">
        <v>2401</v>
      </c>
      <c r="U5877" s="0" t="str">
        <f aca="false">"12364453"</f>
        <v>12364453</v>
      </c>
      <c r="V5877" s="51" t="s">
        <v>2365</v>
      </c>
      <c r="W5877" s="51" t="s">
        <v>10334</v>
      </c>
      <c r="X5877" s="51" t="s">
        <v>2359</v>
      </c>
    </row>
    <row r="5878" customFormat="false" ht="14.25" hidden="true" customHeight="false" outlineLevel="0" collapsed="false">
      <c r="A5878" s="49" t="s">
        <v>2349</v>
      </c>
      <c r="B5878" s="49" t="s">
        <v>2350</v>
      </c>
      <c r="C5878" s="49" t="s">
        <v>10343</v>
      </c>
      <c r="D5878" s="49" t="s">
        <v>2352</v>
      </c>
      <c r="E5878" s="49" t="str">
        <f aca="false">"12393792"</f>
        <v>12393792</v>
      </c>
      <c r="F5878" s="49" t="s">
        <v>2368</v>
      </c>
      <c r="G5878" s="49" t="n">
        <v>0</v>
      </c>
      <c r="H5878" s="0" t="n">
        <v>0</v>
      </c>
      <c r="M5878" s="51" t="s">
        <v>10344</v>
      </c>
      <c r="N5878" s="49" t="n">
        <v>0</v>
      </c>
      <c r="O5878" s="53" t="n">
        <v>45942.3569907407</v>
      </c>
      <c r="P5878" s="53" t="n">
        <v>45949.8878472222</v>
      </c>
      <c r="Q5878" s="53" t="n">
        <v>45942.3569907407</v>
      </c>
      <c r="R5878" s="0" t="n">
        <v>0</v>
      </c>
      <c r="S5878" s="51" t="s">
        <v>2416</v>
      </c>
      <c r="T5878" s="51" t="s">
        <v>2416</v>
      </c>
      <c r="U5878" s="0" t="str">
        <f aca="false">"12393792"</f>
        <v>12393792</v>
      </c>
      <c r="V5878" s="51" t="s">
        <v>2365</v>
      </c>
      <c r="W5878" s="51" t="s">
        <v>10345</v>
      </c>
      <c r="X5878" s="51" t="s">
        <v>2359</v>
      </c>
    </row>
    <row r="5879" customFormat="false" ht="14.25" hidden="true" customHeight="false" outlineLevel="0" collapsed="false">
      <c r="A5879" s="49" t="s">
        <v>2349</v>
      </c>
      <c r="B5879" s="49" t="s">
        <v>2350</v>
      </c>
      <c r="C5879" s="49" t="s">
        <v>10346</v>
      </c>
      <c r="D5879" s="49" t="s">
        <v>2352</v>
      </c>
      <c r="E5879" s="49" t="s">
        <v>4148</v>
      </c>
      <c r="F5879" s="49" t="s">
        <v>4149</v>
      </c>
      <c r="G5879" s="49" t="n">
        <v>0</v>
      </c>
      <c r="H5879" s="0" t="n">
        <v>0</v>
      </c>
      <c r="M5879" s="51" t="s">
        <v>10347</v>
      </c>
      <c r="N5879" s="49" t="n">
        <v>0</v>
      </c>
      <c r="O5879" s="53" t="n">
        <v>45899.5992476852</v>
      </c>
      <c r="P5879" s="53" t="n">
        <v>45902.4977777778</v>
      </c>
      <c r="Q5879" s="53" t="n">
        <v>45899.5992476852</v>
      </c>
      <c r="R5879" s="0" t="n">
        <v>0</v>
      </c>
      <c r="S5879" s="51" t="s">
        <v>2356</v>
      </c>
      <c r="T5879" s="51" t="s">
        <v>2356</v>
      </c>
      <c r="U5879" s="51" t="s">
        <v>4148</v>
      </c>
      <c r="V5879" s="51" t="s">
        <v>2365</v>
      </c>
      <c r="W5879" s="51" t="s">
        <v>4010</v>
      </c>
      <c r="X5879" s="51" t="s">
        <v>2359</v>
      </c>
    </row>
    <row r="5880" customFormat="false" ht="14.25" hidden="true" customHeight="false" outlineLevel="0" collapsed="false">
      <c r="A5880" s="49" t="s">
        <v>2349</v>
      </c>
      <c r="B5880" s="49" t="s">
        <v>2350</v>
      </c>
      <c r="C5880" s="49" t="s">
        <v>10348</v>
      </c>
      <c r="D5880" s="49" t="s">
        <v>2352</v>
      </c>
      <c r="E5880" s="49" t="s">
        <v>4148</v>
      </c>
      <c r="F5880" s="49" t="s">
        <v>4149</v>
      </c>
      <c r="G5880" s="49" t="n">
        <v>0</v>
      </c>
      <c r="H5880" s="0" t="n">
        <v>0</v>
      </c>
      <c r="M5880" s="51" t="s">
        <v>10347</v>
      </c>
      <c r="N5880" s="49" t="n">
        <v>0</v>
      </c>
      <c r="O5880" s="53" t="n">
        <v>45899.5988773148</v>
      </c>
      <c r="P5880" s="53" t="n">
        <v>45925.3209722222</v>
      </c>
      <c r="Q5880" s="53" t="n">
        <v>45899.5988773148</v>
      </c>
      <c r="R5880" s="0" t="n">
        <v>0</v>
      </c>
      <c r="S5880" s="51" t="s">
        <v>2356</v>
      </c>
      <c r="T5880" s="51" t="s">
        <v>2356</v>
      </c>
      <c r="U5880" s="51" t="s">
        <v>4148</v>
      </c>
      <c r="V5880" s="51" t="s">
        <v>2365</v>
      </c>
      <c r="W5880" s="51" t="s">
        <v>4010</v>
      </c>
      <c r="X5880" s="51" t="s">
        <v>2359</v>
      </c>
    </row>
    <row r="5881" customFormat="false" ht="14.25" hidden="true" customHeight="false" outlineLevel="0" collapsed="false">
      <c r="A5881" s="49" t="s">
        <v>2349</v>
      </c>
      <c r="B5881" s="49" t="s">
        <v>2350</v>
      </c>
      <c r="C5881" s="49" t="s">
        <v>10349</v>
      </c>
      <c r="D5881" s="49" t="s">
        <v>2352</v>
      </c>
      <c r="E5881" s="49" t="s">
        <v>4124</v>
      </c>
      <c r="F5881" s="49" t="s">
        <v>4125</v>
      </c>
      <c r="G5881" s="49" t="n">
        <v>0</v>
      </c>
      <c r="H5881" s="0" t="n">
        <v>0</v>
      </c>
      <c r="M5881" s="51" t="s">
        <v>10347</v>
      </c>
      <c r="N5881" s="49" t="n">
        <v>0</v>
      </c>
      <c r="O5881" s="53" t="n">
        <v>45899.5984490741</v>
      </c>
      <c r="P5881" s="53" t="n">
        <v>45902.4980324074</v>
      </c>
      <c r="Q5881" s="53" t="n">
        <v>45899.5984490741</v>
      </c>
      <c r="R5881" s="0" t="n">
        <v>0</v>
      </c>
      <c r="S5881" s="51" t="s">
        <v>2356</v>
      </c>
      <c r="T5881" s="51" t="s">
        <v>2356</v>
      </c>
      <c r="U5881" s="51" t="s">
        <v>4124</v>
      </c>
      <c r="V5881" s="51" t="s">
        <v>2365</v>
      </c>
      <c r="W5881" s="51" t="s">
        <v>4010</v>
      </c>
      <c r="X5881" s="51" t="s">
        <v>2359</v>
      </c>
    </row>
    <row r="5882" customFormat="false" ht="14.25" hidden="true" customHeight="false" outlineLevel="0" collapsed="false">
      <c r="A5882" s="49" t="s">
        <v>2349</v>
      </c>
      <c r="B5882" s="49" t="s">
        <v>2350</v>
      </c>
      <c r="C5882" s="49" t="s">
        <v>10350</v>
      </c>
      <c r="D5882" s="49" t="s">
        <v>2352</v>
      </c>
      <c r="E5882" s="49" t="s">
        <v>4124</v>
      </c>
      <c r="F5882" s="49" t="s">
        <v>4125</v>
      </c>
      <c r="G5882" s="49" t="n">
        <v>0</v>
      </c>
      <c r="H5882" s="0" t="n">
        <v>0</v>
      </c>
      <c r="M5882" s="51" t="s">
        <v>10347</v>
      </c>
      <c r="N5882" s="49" t="n">
        <v>0</v>
      </c>
      <c r="O5882" s="53" t="n">
        <v>45899.5979976852</v>
      </c>
      <c r="P5882" s="53" t="n">
        <v>45902.4989699074</v>
      </c>
      <c r="Q5882" s="53" t="n">
        <v>45899.5979976852</v>
      </c>
      <c r="R5882" s="0" t="n">
        <v>0</v>
      </c>
      <c r="S5882" s="51" t="s">
        <v>2356</v>
      </c>
      <c r="T5882" s="51" t="s">
        <v>2356</v>
      </c>
      <c r="U5882" s="51" t="s">
        <v>4124</v>
      </c>
      <c r="V5882" s="51" t="s">
        <v>2365</v>
      </c>
      <c r="W5882" s="51" t="s">
        <v>5739</v>
      </c>
      <c r="X5882" s="51" t="s">
        <v>2359</v>
      </c>
    </row>
    <row r="5883" customFormat="false" ht="14.25" hidden="true" customHeight="false" outlineLevel="0" collapsed="false">
      <c r="A5883" s="49" t="s">
        <v>2349</v>
      </c>
      <c r="B5883" s="49" t="s">
        <v>2350</v>
      </c>
      <c r="C5883" s="49" t="s">
        <v>10351</v>
      </c>
      <c r="D5883" s="49" t="s">
        <v>2352</v>
      </c>
      <c r="E5883" s="49" t="s">
        <v>3638</v>
      </c>
      <c r="F5883" s="49" t="s">
        <v>3639</v>
      </c>
      <c r="G5883" s="49" t="n">
        <v>0</v>
      </c>
      <c r="H5883" s="0" t="n">
        <v>0</v>
      </c>
      <c r="M5883" s="51" t="s">
        <v>10352</v>
      </c>
      <c r="N5883" s="49" t="n">
        <v>0</v>
      </c>
      <c r="O5883" s="53" t="n">
        <v>45945.4824652778</v>
      </c>
      <c r="P5883" s="53" t="n">
        <v>45953.847962963</v>
      </c>
      <c r="Q5883" s="53" t="n">
        <v>45945.4824652778</v>
      </c>
      <c r="R5883" s="0" t="n">
        <v>0</v>
      </c>
      <c r="S5883" s="51" t="s">
        <v>2356</v>
      </c>
      <c r="T5883" s="51" t="s">
        <v>2356</v>
      </c>
      <c r="U5883" s="51" t="s">
        <v>3638</v>
      </c>
      <c r="V5883" s="51" t="s">
        <v>2357</v>
      </c>
      <c r="W5883" s="51" t="s">
        <v>10353</v>
      </c>
      <c r="X5883" s="51" t="s">
        <v>2359</v>
      </c>
    </row>
    <row r="5884" customFormat="false" ht="14.25" hidden="true" customHeight="false" outlineLevel="0" collapsed="false">
      <c r="A5884" s="49" t="s">
        <v>2349</v>
      </c>
      <c r="B5884" s="49" t="s">
        <v>2350</v>
      </c>
      <c r="C5884" s="49" t="s">
        <v>10354</v>
      </c>
      <c r="D5884" s="49" t="s">
        <v>2352</v>
      </c>
      <c r="E5884" s="49" t="str">
        <f aca="false">"12560652"</f>
        <v>12560652</v>
      </c>
      <c r="F5884" s="49" t="s">
        <v>7880</v>
      </c>
      <c r="G5884" s="49" t="n">
        <v>0</v>
      </c>
      <c r="H5884" s="0" t="n">
        <v>0</v>
      </c>
      <c r="M5884" s="51" t="s">
        <v>10355</v>
      </c>
      <c r="N5884" s="49" t="n">
        <v>0</v>
      </c>
      <c r="O5884" s="53" t="n">
        <v>45948.6225578704</v>
      </c>
      <c r="P5884" s="53" t="n">
        <v>45986.4709259259</v>
      </c>
      <c r="Q5884" s="53" t="n">
        <v>45948.6225578704</v>
      </c>
      <c r="R5884" s="0" t="n">
        <v>0</v>
      </c>
      <c r="S5884" s="51" t="s">
        <v>2398</v>
      </c>
      <c r="T5884" s="51" t="s">
        <v>2398</v>
      </c>
      <c r="U5884" s="0" t="str">
        <f aca="false">"12560652"</f>
        <v>12560652</v>
      </c>
      <c r="V5884" s="51" t="s">
        <v>2365</v>
      </c>
      <c r="W5884" s="51" t="s">
        <v>10356</v>
      </c>
      <c r="X5884" s="51" t="s">
        <v>2359</v>
      </c>
    </row>
    <row r="5885" customFormat="false" ht="14.25" hidden="true" customHeight="false" outlineLevel="0" collapsed="false">
      <c r="A5885" s="49" t="s">
        <v>2349</v>
      </c>
      <c r="B5885" s="49" t="s">
        <v>2350</v>
      </c>
      <c r="C5885" s="49" t="s">
        <v>10357</v>
      </c>
      <c r="D5885" s="49" t="s">
        <v>2352</v>
      </c>
      <c r="E5885" s="49" t="str">
        <f aca="false">"12492587"</f>
        <v>12492587</v>
      </c>
      <c r="F5885" s="49" t="s">
        <v>6644</v>
      </c>
      <c r="G5885" s="49" t="n">
        <v>0</v>
      </c>
      <c r="H5885" s="0" t="n">
        <v>0</v>
      </c>
      <c r="M5885" s="51" t="s">
        <v>10355</v>
      </c>
      <c r="N5885" s="49" t="n">
        <v>0</v>
      </c>
      <c r="O5885" s="53" t="n">
        <v>45948.6234143519</v>
      </c>
      <c r="P5885" s="53" t="n">
        <v>46001.9208796296</v>
      </c>
      <c r="Q5885" s="53" t="n">
        <v>45948.6234143519</v>
      </c>
      <c r="R5885" s="0" t="n">
        <v>0</v>
      </c>
      <c r="S5885" s="51" t="s">
        <v>2398</v>
      </c>
      <c r="T5885" s="51" t="s">
        <v>2398</v>
      </c>
      <c r="U5885" s="0" t="str">
        <f aca="false">"12492587"</f>
        <v>12492587</v>
      </c>
      <c r="V5885" s="51" t="s">
        <v>2365</v>
      </c>
      <c r="W5885" s="51" t="s">
        <v>10358</v>
      </c>
      <c r="X5885" s="51" t="s">
        <v>2359</v>
      </c>
    </row>
    <row r="5886" customFormat="false" ht="14.25" hidden="true" customHeight="false" outlineLevel="0" collapsed="false">
      <c r="A5886" s="49" t="s">
        <v>2349</v>
      </c>
      <c r="B5886" s="49" t="s">
        <v>2350</v>
      </c>
      <c r="C5886" s="49" t="s">
        <v>10359</v>
      </c>
      <c r="D5886" s="49" t="s">
        <v>2352</v>
      </c>
      <c r="E5886" s="49" t="str">
        <f aca="false">"12452482"</f>
        <v>12452482</v>
      </c>
      <c r="F5886" s="49" t="s">
        <v>4179</v>
      </c>
      <c r="G5886" s="49" t="n">
        <v>0</v>
      </c>
      <c r="H5886" s="0" t="n">
        <v>0</v>
      </c>
      <c r="M5886" s="51" t="s">
        <v>10355</v>
      </c>
      <c r="N5886" s="49" t="n">
        <v>0</v>
      </c>
      <c r="O5886" s="53" t="n">
        <v>45948.6211574074</v>
      </c>
      <c r="P5886" s="53" t="n">
        <v>45956.4255439815</v>
      </c>
      <c r="Q5886" s="53" t="n">
        <v>45948.6211574074</v>
      </c>
      <c r="R5886" s="0" t="n">
        <v>0</v>
      </c>
      <c r="S5886" s="51" t="s">
        <v>2398</v>
      </c>
      <c r="T5886" s="51" t="s">
        <v>2398</v>
      </c>
      <c r="U5886" s="0" t="str">
        <f aca="false">"12452482"</f>
        <v>12452482</v>
      </c>
      <c r="V5886" s="51" t="s">
        <v>2365</v>
      </c>
      <c r="W5886" s="51" t="s">
        <v>10360</v>
      </c>
      <c r="X5886" s="51" t="s">
        <v>2359</v>
      </c>
    </row>
    <row r="5887" customFormat="false" ht="14.25" hidden="true" customHeight="false" outlineLevel="0" collapsed="false">
      <c r="A5887" s="49" t="s">
        <v>2349</v>
      </c>
      <c r="B5887" s="49" t="s">
        <v>2350</v>
      </c>
      <c r="C5887" s="49" t="s">
        <v>10361</v>
      </c>
      <c r="D5887" s="49" t="s">
        <v>2352</v>
      </c>
      <c r="E5887" s="49" t="str">
        <f aca="false">"12452482"</f>
        <v>12452482</v>
      </c>
      <c r="F5887" s="49" t="s">
        <v>4179</v>
      </c>
      <c r="G5887" s="49" t="n">
        <v>0</v>
      </c>
      <c r="H5887" s="0" t="n">
        <v>0</v>
      </c>
      <c r="M5887" s="51" t="s">
        <v>10355</v>
      </c>
      <c r="N5887" s="49" t="n">
        <v>0</v>
      </c>
      <c r="O5887" s="53" t="n">
        <v>45948.620625</v>
      </c>
      <c r="P5887" s="53" t="n">
        <v>45965.8830902778</v>
      </c>
      <c r="Q5887" s="53" t="n">
        <v>45948.620625</v>
      </c>
      <c r="R5887" s="0" t="n">
        <v>0</v>
      </c>
      <c r="S5887" s="51" t="s">
        <v>2398</v>
      </c>
      <c r="T5887" s="51" t="s">
        <v>2398</v>
      </c>
      <c r="U5887" s="0" t="str">
        <f aca="false">"12452482"</f>
        <v>12452482</v>
      </c>
      <c r="V5887" s="51" t="s">
        <v>2365</v>
      </c>
      <c r="W5887" s="51" t="s">
        <v>10362</v>
      </c>
      <c r="X5887" s="51" t="s">
        <v>2359</v>
      </c>
    </row>
    <row r="5888" customFormat="false" ht="14.25" hidden="true" customHeight="false" outlineLevel="0" collapsed="false">
      <c r="A5888" s="49" t="s">
        <v>2349</v>
      </c>
      <c r="B5888" s="49" t="s">
        <v>2350</v>
      </c>
      <c r="C5888" s="49" t="s">
        <v>10363</v>
      </c>
      <c r="D5888" s="49" t="s">
        <v>2352</v>
      </c>
      <c r="E5888" s="49" t="str">
        <f aca="false">"12452482"</f>
        <v>12452482</v>
      </c>
      <c r="F5888" s="49" t="s">
        <v>4179</v>
      </c>
      <c r="G5888" s="49" t="n">
        <v>0</v>
      </c>
      <c r="H5888" s="0" t="n">
        <v>0</v>
      </c>
      <c r="M5888" s="51" t="s">
        <v>10355</v>
      </c>
      <c r="N5888" s="49" t="n">
        <v>0</v>
      </c>
      <c r="O5888" s="53" t="n">
        <v>45948.6201388889</v>
      </c>
      <c r="P5888" s="53" t="n">
        <v>45956.4256481482</v>
      </c>
      <c r="Q5888" s="53" t="n">
        <v>45948.6201388889</v>
      </c>
      <c r="R5888" s="0" t="n">
        <v>0</v>
      </c>
      <c r="S5888" s="51" t="s">
        <v>2398</v>
      </c>
      <c r="T5888" s="51" t="s">
        <v>2398</v>
      </c>
      <c r="U5888" s="0" t="str">
        <f aca="false">"12452482"</f>
        <v>12452482</v>
      </c>
      <c r="V5888" s="51" t="s">
        <v>2365</v>
      </c>
      <c r="W5888" s="51" t="s">
        <v>8685</v>
      </c>
      <c r="X5888" s="51" t="s">
        <v>2359</v>
      </c>
    </row>
    <row r="5889" customFormat="false" ht="14.25" hidden="true" customHeight="false" outlineLevel="0" collapsed="false">
      <c r="A5889" s="49" t="s">
        <v>2349</v>
      </c>
      <c r="B5889" s="49" t="s">
        <v>2350</v>
      </c>
      <c r="C5889" s="49" t="s">
        <v>10364</v>
      </c>
      <c r="D5889" s="49" t="s">
        <v>2352</v>
      </c>
      <c r="E5889" s="49" t="str">
        <f aca="false">"12496983"</f>
        <v>12496983</v>
      </c>
      <c r="F5889" s="49" t="s">
        <v>4880</v>
      </c>
      <c r="G5889" s="49" t="n">
        <v>0</v>
      </c>
      <c r="H5889" s="0" t="n">
        <v>0</v>
      </c>
      <c r="M5889" s="51" t="s">
        <v>10355</v>
      </c>
      <c r="N5889" s="49" t="n">
        <v>0</v>
      </c>
      <c r="O5889" s="53" t="n">
        <v>45948.6187847222</v>
      </c>
      <c r="P5889" s="53" t="n">
        <v>45974.9118518519</v>
      </c>
      <c r="Q5889" s="53" t="n">
        <v>45948.6187847222</v>
      </c>
      <c r="R5889" s="0" t="n">
        <v>0</v>
      </c>
      <c r="S5889" s="51" t="s">
        <v>2398</v>
      </c>
      <c r="T5889" s="51" t="s">
        <v>2398</v>
      </c>
      <c r="U5889" s="0" t="str">
        <f aca="false">"12496983"</f>
        <v>12496983</v>
      </c>
      <c r="V5889" s="51" t="s">
        <v>2365</v>
      </c>
      <c r="W5889" s="51" t="s">
        <v>10365</v>
      </c>
      <c r="X5889" s="51" t="s">
        <v>2359</v>
      </c>
    </row>
    <row r="5890" customFormat="false" ht="14.25" hidden="true" customHeight="false" outlineLevel="0" collapsed="false">
      <c r="A5890" s="49" t="s">
        <v>2349</v>
      </c>
      <c r="B5890" s="49" t="s">
        <v>2350</v>
      </c>
      <c r="C5890" s="49" t="s">
        <v>10366</v>
      </c>
      <c r="D5890" s="49" t="s">
        <v>2352</v>
      </c>
      <c r="E5890" s="49" t="str">
        <f aca="false">"12496983"</f>
        <v>12496983</v>
      </c>
      <c r="F5890" s="49" t="s">
        <v>4880</v>
      </c>
      <c r="G5890" s="49" t="n">
        <v>0</v>
      </c>
      <c r="H5890" s="0" t="n">
        <v>0</v>
      </c>
      <c r="M5890" s="51" t="s">
        <v>10355</v>
      </c>
      <c r="N5890" s="49" t="n">
        <v>0</v>
      </c>
      <c r="O5890" s="53" t="n">
        <v>45948.6184490741</v>
      </c>
      <c r="P5890" s="53" t="n">
        <v>45958.9150115741</v>
      </c>
      <c r="Q5890" s="53" t="n">
        <v>45948.6184490741</v>
      </c>
      <c r="R5890" s="0" t="n">
        <v>0</v>
      </c>
      <c r="S5890" s="51" t="s">
        <v>2398</v>
      </c>
      <c r="T5890" s="51" t="s">
        <v>2398</v>
      </c>
      <c r="U5890" s="0" t="str">
        <f aca="false">"12496983"</f>
        <v>12496983</v>
      </c>
      <c r="V5890" s="51" t="s">
        <v>2365</v>
      </c>
      <c r="W5890" s="51" t="s">
        <v>10367</v>
      </c>
      <c r="X5890" s="51" t="s">
        <v>2359</v>
      </c>
    </row>
    <row r="5891" customFormat="false" ht="14.25" hidden="true" customHeight="false" outlineLevel="0" collapsed="false">
      <c r="A5891" s="49" t="s">
        <v>2349</v>
      </c>
      <c r="B5891" s="49" t="s">
        <v>2350</v>
      </c>
      <c r="C5891" s="49" t="s">
        <v>10368</v>
      </c>
      <c r="D5891" s="49" t="s">
        <v>2352</v>
      </c>
      <c r="E5891" s="49" t="str">
        <f aca="false">"12496983"</f>
        <v>12496983</v>
      </c>
      <c r="F5891" s="49" t="s">
        <v>4880</v>
      </c>
      <c r="G5891" s="49" t="n">
        <v>0</v>
      </c>
      <c r="H5891" s="0" t="n">
        <v>0</v>
      </c>
      <c r="M5891" s="51" t="s">
        <v>10355</v>
      </c>
      <c r="N5891" s="49" t="n">
        <v>0</v>
      </c>
      <c r="O5891" s="53" t="n">
        <v>45948.6181134259</v>
      </c>
      <c r="P5891" s="53" t="n">
        <v>45974.9127893519</v>
      </c>
      <c r="Q5891" s="53" t="n">
        <v>45948.6181134259</v>
      </c>
      <c r="R5891" s="0" t="n">
        <v>0</v>
      </c>
      <c r="S5891" s="51" t="s">
        <v>2398</v>
      </c>
      <c r="T5891" s="51" t="s">
        <v>2398</v>
      </c>
      <c r="U5891" s="0" t="str">
        <f aca="false">"12496983"</f>
        <v>12496983</v>
      </c>
      <c r="V5891" s="51" t="s">
        <v>2365</v>
      </c>
      <c r="W5891" s="51" t="s">
        <v>10369</v>
      </c>
      <c r="X5891" s="51" t="s">
        <v>2359</v>
      </c>
    </row>
    <row r="5892" customFormat="false" ht="14.25" hidden="true" customHeight="false" outlineLevel="0" collapsed="false">
      <c r="A5892" s="49" t="s">
        <v>2349</v>
      </c>
      <c r="B5892" s="49" t="s">
        <v>2350</v>
      </c>
      <c r="C5892" s="49" t="s">
        <v>10370</v>
      </c>
      <c r="D5892" s="49" t="s">
        <v>2352</v>
      </c>
      <c r="E5892" s="49" t="str">
        <f aca="false">"12363202"</f>
        <v>12363202</v>
      </c>
      <c r="F5892" s="49" t="s">
        <v>7041</v>
      </c>
      <c r="G5892" s="49" t="n">
        <v>0</v>
      </c>
      <c r="H5892" s="0" t="n">
        <v>0</v>
      </c>
      <c r="M5892" s="51" t="s">
        <v>10355</v>
      </c>
      <c r="N5892" s="49" t="n">
        <v>0</v>
      </c>
      <c r="O5892" s="53" t="n">
        <v>45948.6171296296</v>
      </c>
      <c r="P5892" s="53" t="n">
        <v>45992.6999421296</v>
      </c>
      <c r="Q5892" s="53" t="n">
        <v>45948.6171296296</v>
      </c>
      <c r="R5892" s="0" t="n">
        <v>0</v>
      </c>
      <c r="S5892" s="51" t="s">
        <v>2398</v>
      </c>
      <c r="T5892" s="51" t="s">
        <v>2398</v>
      </c>
      <c r="U5892" s="0" t="str">
        <f aca="false">"12363202"</f>
        <v>12363202</v>
      </c>
      <c r="V5892" s="51" t="s">
        <v>2365</v>
      </c>
      <c r="W5892" s="51" t="s">
        <v>3891</v>
      </c>
      <c r="X5892" s="51" t="s">
        <v>2359</v>
      </c>
    </row>
    <row r="5893" customFormat="false" ht="14.25" hidden="true" customHeight="false" outlineLevel="0" collapsed="false">
      <c r="A5893" s="49" t="s">
        <v>2349</v>
      </c>
      <c r="B5893" s="49" t="s">
        <v>2350</v>
      </c>
      <c r="C5893" s="49" t="s">
        <v>10371</v>
      </c>
      <c r="D5893" s="49" t="s">
        <v>2352</v>
      </c>
      <c r="E5893" s="49" t="str">
        <f aca="false">"12525017"</f>
        <v>12525017</v>
      </c>
      <c r="F5893" s="49" t="s">
        <v>10372</v>
      </c>
      <c r="G5893" s="49" t="n">
        <v>0</v>
      </c>
      <c r="H5893" s="0" t="n">
        <v>0</v>
      </c>
      <c r="M5893" s="51" t="s">
        <v>10355</v>
      </c>
      <c r="N5893" s="49" t="n">
        <v>0</v>
      </c>
      <c r="O5893" s="53" t="n">
        <v>45948.6157060185</v>
      </c>
      <c r="P5893" s="53" t="n">
        <v>45972.4936226852</v>
      </c>
      <c r="Q5893" s="53" t="n">
        <v>45948.6157060185</v>
      </c>
      <c r="R5893" s="0" t="n">
        <v>0</v>
      </c>
      <c r="S5893" s="51" t="s">
        <v>2398</v>
      </c>
      <c r="T5893" s="51" t="s">
        <v>2398</v>
      </c>
      <c r="U5893" s="0" t="str">
        <f aca="false">"12525017"</f>
        <v>12525017</v>
      </c>
      <c r="V5893" s="51" t="s">
        <v>2365</v>
      </c>
      <c r="W5893" s="51" t="s">
        <v>10373</v>
      </c>
      <c r="X5893" s="51" t="s">
        <v>2359</v>
      </c>
    </row>
    <row r="5894" customFormat="false" ht="14.25" hidden="true" customHeight="false" outlineLevel="0" collapsed="false">
      <c r="A5894" s="49" t="s">
        <v>2349</v>
      </c>
      <c r="B5894" s="49" t="s">
        <v>2350</v>
      </c>
      <c r="C5894" s="49" t="s">
        <v>10374</v>
      </c>
      <c r="D5894" s="49" t="s">
        <v>2352</v>
      </c>
      <c r="E5894" s="49" t="str">
        <f aca="false">"12363202"</f>
        <v>12363202</v>
      </c>
      <c r="F5894" s="49" t="s">
        <v>7041</v>
      </c>
      <c r="G5894" s="49" t="n">
        <v>0</v>
      </c>
      <c r="H5894" s="0" t="n">
        <v>0</v>
      </c>
      <c r="M5894" s="51" t="s">
        <v>10355</v>
      </c>
      <c r="N5894" s="49" t="n">
        <v>0</v>
      </c>
      <c r="O5894" s="53" t="n">
        <v>45948.6147453704</v>
      </c>
      <c r="P5894" s="53" t="n">
        <v>45957.9072685185</v>
      </c>
      <c r="Q5894" s="53" t="n">
        <v>45948.6147453704</v>
      </c>
      <c r="R5894" s="0" t="n">
        <v>0</v>
      </c>
      <c r="S5894" s="51" t="s">
        <v>2398</v>
      </c>
      <c r="T5894" s="51" t="s">
        <v>2398</v>
      </c>
      <c r="U5894" s="0" t="str">
        <f aca="false">"12363202"</f>
        <v>12363202</v>
      </c>
      <c r="V5894" s="51" t="s">
        <v>2365</v>
      </c>
      <c r="W5894" s="51" t="s">
        <v>10375</v>
      </c>
      <c r="X5894" s="51" t="s">
        <v>2359</v>
      </c>
    </row>
    <row r="5895" customFormat="false" ht="14.25" hidden="true" customHeight="false" outlineLevel="0" collapsed="false">
      <c r="A5895" s="49" t="s">
        <v>2349</v>
      </c>
      <c r="B5895" s="49" t="s">
        <v>2350</v>
      </c>
      <c r="C5895" s="49" t="s">
        <v>10376</v>
      </c>
      <c r="D5895" s="49" t="s">
        <v>2352</v>
      </c>
      <c r="E5895" s="49" t="str">
        <f aca="false">"12560652"</f>
        <v>12560652</v>
      </c>
      <c r="F5895" s="49" t="s">
        <v>7880</v>
      </c>
      <c r="G5895" s="49" t="n">
        <v>0</v>
      </c>
      <c r="H5895" s="0" t="n">
        <v>0</v>
      </c>
      <c r="M5895" s="51" t="s">
        <v>10355</v>
      </c>
      <c r="N5895" s="49" t="n">
        <v>0</v>
      </c>
      <c r="O5895" s="53" t="n">
        <v>45948.6166898148</v>
      </c>
      <c r="P5895" s="53" t="n">
        <v>45983.6130787037</v>
      </c>
      <c r="Q5895" s="53" t="n">
        <v>45948.6166898148</v>
      </c>
      <c r="R5895" s="0" t="n">
        <v>0</v>
      </c>
      <c r="S5895" s="51" t="s">
        <v>2398</v>
      </c>
      <c r="T5895" s="51" t="s">
        <v>2398</v>
      </c>
      <c r="U5895" s="0" t="str">
        <f aca="false">"12560652"</f>
        <v>12560652</v>
      </c>
      <c r="V5895" s="51" t="s">
        <v>2365</v>
      </c>
      <c r="W5895" s="51" t="s">
        <v>4223</v>
      </c>
      <c r="X5895" s="51" t="s">
        <v>2359</v>
      </c>
    </row>
    <row r="5896" customFormat="false" ht="14.25" hidden="true" customHeight="false" outlineLevel="0" collapsed="false">
      <c r="A5896" s="49" t="s">
        <v>2349</v>
      </c>
      <c r="B5896" s="49" t="s">
        <v>2350</v>
      </c>
      <c r="C5896" s="49" t="s">
        <v>10377</v>
      </c>
      <c r="D5896" s="49" t="s">
        <v>2352</v>
      </c>
      <c r="E5896" s="49" t="s">
        <v>4351</v>
      </c>
      <c r="F5896" s="49" t="s">
        <v>4352</v>
      </c>
      <c r="G5896" s="49" t="n">
        <v>0</v>
      </c>
      <c r="H5896" s="0" t="n">
        <v>0</v>
      </c>
      <c r="M5896" s="51" t="s">
        <v>10378</v>
      </c>
      <c r="N5896" s="49" t="n">
        <v>0</v>
      </c>
      <c r="O5896" s="53" t="n">
        <v>45946.7981597222</v>
      </c>
      <c r="P5896" s="53" t="n">
        <v>45959.3914467593</v>
      </c>
      <c r="Q5896" s="53" t="n">
        <v>45946.7981597222</v>
      </c>
      <c r="R5896" s="0" t="n">
        <v>0</v>
      </c>
      <c r="S5896" s="51" t="s">
        <v>2356</v>
      </c>
      <c r="T5896" s="51" t="s">
        <v>2356</v>
      </c>
      <c r="U5896" s="51" t="s">
        <v>4351</v>
      </c>
      <c r="V5896" s="51" t="s">
        <v>2365</v>
      </c>
      <c r="W5896" s="51" t="s">
        <v>8298</v>
      </c>
      <c r="X5896" s="51" t="s">
        <v>2359</v>
      </c>
    </row>
    <row r="5897" customFormat="false" ht="14.25" hidden="true" customHeight="false" outlineLevel="0" collapsed="false">
      <c r="A5897" s="49" t="s">
        <v>2349</v>
      </c>
      <c r="B5897" s="49" t="s">
        <v>2350</v>
      </c>
      <c r="C5897" s="49" t="s">
        <v>10379</v>
      </c>
      <c r="D5897" s="49" t="s">
        <v>2352</v>
      </c>
      <c r="E5897" s="49" t="s">
        <v>4351</v>
      </c>
      <c r="F5897" s="49" t="s">
        <v>4352</v>
      </c>
      <c r="G5897" s="49" t="n">
        <v>0</v>
      </c>
      <c r="H5897" s="0" t="n">
        <v>0</v>
      </c>
      <c r="M5897" s="51" t="s">
        <v>10378</v>
      </c>
      <c r="N5897" s="49" t="n">
        <v>0</v>
      </c>
      <c r="O5897" s="53" t="n">
        <v>45946.7979861111</v>
      </c>
      <c r="P5897" s="53" t="n">
        <v>45960.4150810185</v>
      </c>
      <c r="Q5897" s="53" t="n">
        <v>45946.7979861111</v>
      </c>
      <c r="R5897" s="0" t="n">
        <v>0</v>
      </c>
      <c r="S5897" s="51" t="s">
        <v>2356</v>
      </c>
      <c r="T5897" s="51" t="s">
        <v>2356</v>
      </c>
      <c r="U5897" s="51" t="s">
        <v>4351</v>
      </c>
      <c r="V5897" s="51" t="s">
        <v>2365</v>
      </c>
      <c r="W5897" s="51" t="s">
        <v>10380</v>
      </c>
      <c r="X5897" s="51" t="s">
        <v>2359</v>
      </c>
    </row>
    <row r="5898" customFormat="false" ht="14.25" hidden="true" customHeight="false" outlineLevel="0" collapsed="false">
      <c r="A5898" s="49" t="s">
        <v>2349</v>
      </c>
      <c r="B5898" s="49" t="s">
        <v>2350</v>
      </c>
      <c r="C5898" s="49" t="s">
        <v>10381</v>
      </c>
      <c r="D5898" s="49" t="s">
        <v>2352</v>
      </c>
      <c r="E5898" s="49" t="s">
        <v>4351</v>
      </c>
      <c r="F5898" s="49" t="s">
        <v>4352</v>
      </c>
      <c r="G5898" s="49" t="n">
        <v>0</v>
      </c>
      <c r="H5898" s="0" t="n">
        <v>0</v>
      </c>
      <c r="M5898" s="51" t="s">
        <v>10378</v>
      </c>
      <c r="N5898" s="49" t="n">
        <v>0</v>
      </c>
      <c r="O5898" s="53" t="n">
        <v>45946.7977662037</v>
      </c>
      <c r="P5898" s="53" t="n">
        <v>45963.4671990741</v>
      </c>
      <c r="Q5898" s="53" t="n">
        <v>45946.7977662037</v>
      </c>
      <c r="R5898" s="0" t="n">
        <v>0</v>
      </c>
      <c r="S5898" s="51" t="s">
        <v>2356</v>
      </c>
      <c r="T5898" s="51" t="s">
        <v>2356</v>
      </c>
      <c r="U5898" s="51" t="s">
        <v>4351</v>
      </c>
      <c r="V5898" s="51" t="s">
        <v>2365</v>
      </c>
      <c r="W5898" s="51" t="s">
        <v>10382</v>
      </c>
      <c r="X5898" s="51" t="s">
        <v>2359</v>
      </c>
    </row>
    <row r="5899" customFormat="false" ht="14.25" hidden="true" customHeight="false" outlineLevel="0" collapsed="false">
      <c r="A5899" s="49" t="s">
        <v>2349</v>
      </c>
      <c r="B5899" s="49" t="s">
        <v>2350</v>
      </c>
      <c r="C5899" s="49" t="s">
        <v>10383</v>
      </c>
      <c r="D5899" s="49" t="s">
        <v>2352</v>
      </c>
      <c r="E5899" s="49" t="s">
        <v>4351</v>
      </c>
      <c r="F5899" s="49" t="s">
        <v>4352</v>
      </c>
      <c r="G5899" s="49" t="n">
        <v>0</v>
      </c>
      <c r="H5899" s="0" t="n">
        <v>0</v>
      </c>
      <c r="M5899" s="51" t="s">
        <v>10378</v>
      </c>
      <c r="N5899" s="49" t="n">
        <v>0</v>
      </c>
      <c r="O5899" s="53" t="n">
        <v>45946.7975578704</v>
      </c>
      <c r="P5899" s="53" t="n">
        <v>45963.4673148148</v>
      </c>
      <c r="Q5899" s="53" t="n">
        <v>45946.7975578704</v>
      </c>
      <c r="R5899" s="0" t="n">
        <v>0</v>
      </c>
      <c r="S5899" s="51" t="s">
        <v>2356</v>
      </c>
      <c r="T5899" s="51" t="s">
        <v>2356</v>
      </c>
      <c r="U5899" s="51" t="s">
        <v>4351</v>
      </c>
      <c r="V5899" s="51" t="s">
        <v>2365</v>
      </c>
      <c r="W5899" s="51" t="s">
        <v>9670</v>
      </c>
      <c r="X5899" s="51" t="s">
        <v>2359</v>
      </c>
    </row>
    <row r="5900" customFormat="false" ht="14.25" hidden="true" customHeight="false" outlineLevel="0" collapsed="false">
      <c r="A5900" s="49" t="s">
        <v>2349</v>
      </c>
      <c r="B5900" s="49" t="s">
        <v>2350</v>
      </c>
      <c r="C5900" s="49" t="s">
        <v>10384</v>
      </c>
      <c r="D5900" s="49" t="s">
        <v>2352</v>
      </c>
      <c r="E5900" s="49" t="s">
        <v>4351</v>
      </c>
      <c r="F5900" s="49" t="s">
        <v>4352</v>
      </c>
      <c r="G5900" s="49" t="n">
        <v>0</v>
      </c>
      <c r="H5900" s="0" t="n">
        <v>0</v>
      </c>
      <c r="M5900" s="51" t="s">
        <v>10378</v>
      </c>
      <c r="N5900" s="49" t="n">
        <v>0</v>
      </c>
      <c r="O5900" s="53" t="n">
        <v>45946.7971990741</v>
      </c>
      <c r="P5900" s="53" t="n">
        <v>45959.3912962963</v>
      </c>
      <c r="Q5900" s="53" t="n">
        <v>45946.7971990741</v>
      </c>
      <c r="R5900" s="0" t="n">
        <v>0</v>
      </c>
      <c r="S5900" s="51" t="s">
        <v>2356</v>
      </c>
      <c r="T5900" s="51" t="s">
        <v>2356</v>
      </c>
      <c r="U5900" s="51" t="s">
        <v>4351</v>
      </c>
      <c r="V5900" s="51" t="s">
        <v>2365</v>
      </c>
      <c r="W5900" s="51" t="s">
        <v>5915</v>
      </c>
      <c r="X5900" s="51" t="s">
        <v>2359</v>
      </c>
    </row>
    <row r="5901" customFormat="false" ht="14.25" hidden="true" customHeight="false" outlineLevel="0" collapsed="false">
      <c r="A5901" s="49" t="s">
        <v>2349</v>
      </c>
      <c r="B5901" s="49" t="s">
        <v>2350</v>
      </c>
      <c r="C5901" s="49" t="s">
        <v>10385</v>
      </c>
      <c r="D5901" s="49" t="s">
        <v>2352</v>
      </c>
      <c r="E5901" s="49" t="s">
        <v>4351</v>
      </c>
      <c r="F5901" s="49" t="s">
        <v>4352</v>
      </c>
      <c r="G5901" s="49" t="n">
        <v>0</v>
      </c>
      <c r="H5901" s="0" t="n">
        <v>0</v>
      </c>
      <c r="M5901" s="51" t="s">
        <v>10378</v>
      </c>
      <c r="N5901" s="49" t="n">
        <v>0</v>
      </c>
      <c r="O5901" s="53" t="n">
        <v>45946.7969791667</v>
      </c>
      <c r="P5901" s="53" t="n">
        <v>45969.3034375</v>
      </c>
      <c r="Q5901" s="53" t="n">
        <v>45946.7969791667</v>
      </c>
      <c r="R5901" s="0" t="n">
        <v>0</v>
      </c>
      <c r="S5901" s="51" t="s">
        <v>2356</v>
      </c>
      <c r="T5901" s="51" t="s">
        <v>2356</v>
      </c>
      <c r="U5901" s="51" t="s">
        <v>4351</v>
      </c>
      <c r="V5901" s="51" t="s">
        <v>2365</v>
      </c>
      <c r="W5901" s="51" t="s">
        <v>10386</v>
      </c>
      <c r="X5901" s="51" t="s">
        <v>2359</v>
      </c>
    </row>
    <row r="5902" customFormat="false" ht="14.25" hidden="true" customHeight="false" outlineLevel="0" collapsed="false">
      <c r="A5902" s="49" t="s">
        <v>2349</v>
      </c>
      <c r="B5902" s="49" t="s">
        <v>2350</v>
      </c>
      <c r="C5902" s="49" t="s">
        <v>10387</v>
      </c>
      <c r="D5902" s="49" t="s">
        <v>2352</v>
      </c>
      <c r="E5902" s="49" t="s">
        <v>4351</v>
      </c>
      <c r="F5902" s="49" t="s">
        <v>4352</v>
      </c>
      <c r="G5902" s="49" t="n">
        <v>0</v>
      </c>
      <c r="H5902" s="0" t="n">
        <v>0</v>
      </c>
      <c r="M5902" s="51" t="s">
        <v>10378</v>
      </c>
      <c r="N5902" s="49" t="n">
        <v>0</v>
      </c>
      <c r="O5902" s="53" t="n">
        <v>45946.7967939815</v>
      </c>
      <c r="P5902" s="53" t="n">
        <v>45969.3096875</v>
      </c>
      <c r="Q5902" s="53" t="n">
        <v>45946.7967939815</v>
      </c>
      <c r="R5902" s="0" t="n">
        <v>0</v>
      </c>
      <c r="S5902" s="51" t="s">
        <v>2356</v>
      </c>
      <c r="T5902" s="51" t="s">
        <v>2356</v>
      </c>
      <c r="U5902" s="51" t="s">
        <v>4351</v>
      </c>
      <c r="V5902" s="51" t="s">
        <v>2365</v>
      </c>
      <c r="W5902" s="51" t="s">
        <v>10388</v>
      </c>
      <c r="X5902" s="51" t="s">
        <v>2359</v>
      </c>
    </row>
    <row r="5903" customFormat="false" ht="14.25" hidden="true" customHeight="false" outlineLevel="0" collapsed="false">
      <c r="A5903" s="49" t="s">
        <v>2349</v>
      </c>
      <c r="B5903" s="49" t="s">
        <v>2350</v>
      </c>
      <c r="C5903" s="49" t="s">
        <v>10389</v>
      </c>
      <c r="D5903" s="49" t="s">
        <v>2352</v>
      </c>
      <c r="E5903" s="49" t="s">
        <v>4351</v>
      </c>
      <c r="F5903" s="49" t="s">
        <v>4352</v>
      </c>
      <c r="G5903" s="49" t="n">
        <v>0</v>
      </c>
      <c r="H5903" s="0" t="n">
        <v>0</v>
      </c>
      <c r="M5903" s="51" t="s">
        <v>10378</v>
      </c>
      <c r="N5903" s="49" t="n">
        <v>0</v>
      </c>
      <c r="O5903" s="53" t="n">
        <v>45946.7965625</v>
      </c>
      <c r="P5903" s="53" t="n">
        <v>45965.6455671296</v>
      </c>
      <c r="Q5903" s="53" t="n">
        <v>45946.7965625</v>
      </c>
      <c r="R5903" s="0" t="n">
        <v>0</v>
      </c>
      <c r="S5903" s="51" t="s">
        <v>2356</v>
      </c>
      <c r="T5903" s="51" t="s">
        <v>2356</v>
      </c>
      <c r="U5903" s="51" t="s">
        <v>4351</v>
      </c>
      <c r="V5903" s="51" t="s">
        <v>2365</v>
      </c>
      <c r="W5903" s="51" t="s">
        <v>10390</v>
      </c>
      <c r="X5903" s="51" t="s">
        <v>2359</v>
      </c>
    </row>
    <row r="5904" customFormat="false" ht="14.25" hidden="true" customHeight="false" outlineLevel="0" collapsed="false">
      <c r="A5904" s="49" t="s">
        <v>2349</v>
      </c>
      <c r="B5904" s="49" t="s">
        <v>2350</v>
      </c>
      <c r="C5904" s="49" t="s">
        <v>10391</v>
      </c>
      <c r="D5904" s="49" t="s">
        <v>2352</v>
      </c>
      <c r="E5904" s="49" t="s">
        <v>4351</v>
      </c>
      <c r="F5904" s="49" t="s">
        <v>4352</v>
      </c>
      <c r="G5904" s="49" t="n">
        <v>0</v>
      </c>
      <c r="H5904" s="0" t="n">
        <v>0</v>
      </c>
      <c r="M5904" s="51" t="s">
        <v>10378</v>
      </c>
      <c r="N5904" s="49" t="n">
        <v>0</v>
      </c>
      <c r="O5904" s="53" t="n">
        <v>45946.7963194444</v>
      </c>
      <c r="P5904" s="53" t="n">
        <v>45971.5071875</v>
      </c>
      <c r="Q5904" s="53" t="n">
        <v>45946.7963194444</v>
      </c>
      <c r="R5904" s="0" t="n">
        <v>0</v>
      </c>
      <c r="S5904" s="51" t="s">
        <v>2356</v>
      </c>
      <c r="T5904" s="51" t="s">
        <v>2356</v>
      </c>
      <c r="U5904" s="51" t="s">
        <v>4351</v>
      </c>
      <c r="V5904" s="51" t="s">
        <v>2365</v>
      </c>
      <c r="W5904" s="51" t="s">
        <v>10392</v>
      </c>
      <c r="X5904" s="51" t="s">
        <v>2359</v>
      </c>
    </row>
    <row r="5905" customFormat="false" ht="14.25" hidden="true" customHeight="false" outlineLevel="0" collapsed="false">
      <c r="A5905" s="49" t="s">
        <v>2349</v>
      </c>
      <c r="B5905" s="49" t="s">
        <v>2350</v>
      </c>
      <c r="C5905" s="49" t="s">
        <v>10393</v>
      </c>
      <c r="D5905" s="49" t="s">
        <v>2352</v>
      </c>
      <c r="E5905" s="49" t="s">
        <v>4351</v>
      </c>
      <c r="F5905" s="49" t="s">
        <v>4352</v>
      </c>
      <c r="G5905" s="49" t="n">
        <v>0</v>
      </c>
      <c r="H5905" s="0" t="n">
        <v>0</v>
      </c>
      <c r="M5905" s="51" t="s">
        <v>10378</v>
      </c>
      <c r="N5905" s="49" t="n">
        <v>0</v>
      </c>
      <c r="O5905" s="53" t="n">
        <v>45946.7960763889</v>
      </c>
      <c r="P5905" s="53" t="n">
        <v>45970.4282407407</v>
      </c>
      <c r="Q5905" s="53" t="n">
        <v>45946.7960763889</v>
      </c>
      <c r="R5905" s="0" t="n">
        <v>0</v>
      </c>
      <c r="S5905" s="51" t="s">
        <v>2356</v>
      </c>
      <c r="T5905" s="51" t="s">
        <v>2356</v>
      </c>
      <c r="U5905" s="51" t="s">
        <v>4351</v>
      </c>
      <c r="V5905" s="51" t="s">
        <v>2365</v>
      </c>
      <c r="W5905" s="51" t="s">
        <v>6616</v>
      </c>
      <c r="X5905" s="51" t="s">
        <v>2359</v>
      </c>
    </row>
    <row r="5906" customFormat="false" ht="14.25" hidden="true" customHeight="false" outlineLevel="0" collapsed="false">
      <c r="A5906" s="49" t="s">
        <v>2349</v>
      </c>
      <c r="B5906" s="49" t="s">
        <v>2350</v>
      </c>
      <c r="C5906" s="49" t="s">
        <v>10394</v>
      </c>
      <c r="D5906" s="49" t="s">
        <v>2352</v>
      </c>
      <c r="E5906" s="49" t="s">
        <v>4351</v>
      </c>
      <c r="F5906" s="49" t="s">
        <v>4352</v>
      </c>
      <c r="G5906" s="49" t="n">
        <v>0</v>
      </c>
      <c r="H5906" s="0" t="n">
        <v>0</v>
      </c>
      <c r="M5906" s="51" t="s">
        <v>10378</v>
      </c>
      <c r="N5906" s="49" t="n">
        <v>0</v>
      </c>
      <c r="O5906" s="53" t="n">
        <v>45946.7958217593</v>
      </c>
      <c r="P5906" s="53" t="n">
        <v>45948.4693865741</v>
      </c>
      <c r="Q5906" s="53" t="n">
        <v>45946.7958217593</v>
      </c>
      <c r="R5906" s="0" t="n">
        <v>0</v>
      </c>
      <c r="S5906" s="51" t="s">
        <v>2356</v>
      </c>
      <c r="T5906" s="51" t="s">
        <v>2356</v>
      </c>
      <c r="U5906" s="51" t="s">
        <v>4351</v>
      </c>
      <c r="V5906" s="51" t="s">
        <v>2365</v>
      </c>
      <c r="W5906" s="51" t="s">
        <v>10392</v>
      </c>
      <c r="X5906" s="51" t="s">
        <v>2359</v>
      </c>
    </row>
    <row r="5907" customFormat="false" ht="14.25" hidden="true" customHeight="false" outlineLevel="0" collapsed="false">
      <c r="A5907" s="49" t="s">
        <v>2349</v>
      </c>
      <c r="B5907" s="49" t="s">
        <v>2350</v>
      </c>
      <c r="C5907" s="49" t="s">
        <v>10395</v>
      </c>
      <c r="D5907" s="49" t="s">
        <v>2352</v>
      </c>
      <c r="E5907" s="49" t="s">
        <v>4351</v>
      </c>
      <c r="F5907" s="49" t="s">
        <v>4352</v>
      </c>
      <c r="G5907" s="49" t="n">
        <v>0</v>
      </c>
      <c r="H5907" s="0" t="n">
        <v>0</v>
      </c>
      <c r="M5907" s="51" t="s">
        <v>10378</v>
      </c>
      <c r="N5907" s="49" t="n">
        <v>0</v>
      </c>
      <c r="O5907" s="53" t="n">
        <v>45946.7955902778</v>
      </c>
      <c r="P5907" s="53" t="n">
        <v>45948.469525463</v>
      </c>
      <c r="Q5907" s="53" t="n">
        <v>45946.7955902778</v>
      </c>
      <c r="R5907" s="0" t="n">
        <v>0</v>
      </c>
      <c r="S5907" s="51" t="s">
        <v>2356</v>
      </c>
      <c r="T5907" s="51" t="s">
        <v>2356</v>
      </c>
      <c r="U5907" s="51" t="s">
        <v>4351</v>
      </c>
      <c r="V5907" s="51" t="s">
        <v>2365</v>
      </c>
      <c r="W5907" s="51" t="s">
        <v>10396</v>
      </c>
      <c r="X5907" s="51" t="s">
        <v>2359</v>
      </c>
    </row>
    <row r="5908" customFormat="false" ht="14.25" hidden="true" customHeight="false" outlineLevel="0" collapsed="false">
      <c r="A5908" s="49" t="s">
        <v>2349</v>
      </c>
      <c r="B5908" s="49" t="s">
        <v>2350</v>
      </c>
      <c r="C5908" s="49" t="s">
        <v>10397</v>
      </c>
      <c r="D5908" s="49" t="s">
        <v>2352</v>
      </c>
      <c r="E5908" s="49" t="s">
        <v>4351</v>
      </c>
      <c r="F5908" s="49" t="s">
        <v>4352</v>
      </c>
      <c r="G5908" s="49" t="n">
        <v>0</v>
      </c>
      <c r="H5908" s="0" t="n">
        <v>0</v>
      </c>
      <c r="M5908" s="51" t="s">
        <v>10378</v>
      </c>
      <c r="N5908" s="49" t="n">
        <v>0</v>
      </c>
      <c r="O5908" s="53" t="n">
        <v>45946.7953703704</v>
      </c>
      <c r="P5908" s="53" t="n">
        <v>45948.4692361111</v>
      </c>
      <c r="Q5908" s="53" t="n">
        <v>45946.7953703704</v>
      </c>
      <c r="R5908" s="0" t="n">
        <v>0</v>
      </c>
      <c r="S5908" s="51" t="s">
        <v>2356</v>
      </c>
      <c r="T5908" s="51" t="s">
        <v>2356</v>
      </c>
      <c r="U5908" s="51" t="s">
        <v>4351</v>
      </c>
      <c r="V5908" s="51" t="s">
        <v>2365</v>
      </c>
      <c r="W5908" s="51" t="s">
        <v>10398</v>
      </c>
      <c r="X5908" s="51" t="s">
        <v>2359</v>
      </c>
    </row>
    <row r="5909" customFormat="false" ht="14.25" hidden="true" customHeight="false" outlineLevel="0" collapsed="false">
      <c r="A5909" s="49" t="s">
        <v>2349</v>
      </c>
      <c r="B5909" s="49" t="s">
        <v>2350</v>
      </c>
      <c r="C5909" s="49" t="s">
        <v>10399</v>
      </c>
      <c r="D5909" s="49" t="s">
        <v>2352</v>
      </c>
      <c r="E5909" s="49" t="s">
        <v>4351</v>
      </c>
      <c r="F5909" s="49" t="s">
        <v>4352</v>
      </c>
      <c r="G5909" s="49" t="n">
        <v>0</v>
      </c>
      <c r="H5909" s="0" t="n">
        <v>0</v>
      </c>
      <c r="M5909" s="51" t="s">
        <v>10378</v>
      </c>
      <c r="N5909" s="49" t="n">
        <v>0</v>
      </c>
      <c r="O5909" s="53" t="n">
        <v>45946.795150463</v>
      </c>
      <c r="P5909" s="53" t="n">
        <v>45948.4691203704</v>
      </c>
      <c r="Q5909" s="53" t="n">
        <v>45946.795150463</v>
      </c>
      <c r="R5909" s="0" t="n">
        <v>0</v>
      </c>
      <c r="S5909" s="51" t="s">
        <v>2356</v>
      </c>
      <c r="T5909" s="51" t="s">
        <v>2356</v>
      </c>
      <c r="U5909" s="51" t="s">
        <v>4351</v>
      </c>
      <c r="V5909" s="51" t="s">
        <v>2365</v>
      </c>
      <c r="W5909" s="51" t="s">
        <v>7086</v>
      </c>
      <c r="X5909" s="51" t="s">
        <v>2359</v>
      </c>
    </row>
    <row r="5910" customFormat="false" ht="14.25" hidden="true" customHeight="false" outlineLevel="0" collapsed="false">
      <c r="A5910" s="49" t="s">
        <v>2349</v>
      </c>
      <c r="B5910" s="49" t="s">
        <v>2350</v>
      </c>
      <c r="C5910" s="49" t="s">
        <v>10400</v>
      </c>
      <c r="D5910" s="49" t="s">
        <v>2352</v>
      </c>
      <c r="E5910" s="49" t="s">
        <v>4351</v>
      </c>
      <c r="F5910" s="49" t="s">
        <v>4352</v>
      </c>
      <c r="G5910" s="49" t="n">
        <v>0</v>
      </c>
      <c r="H5910" s="0" t="n">
        <v>0</v>
      </c>
      <c r="M5910" s="51" t="s">
        <v>10378</v>
      </c>
      <c r="N5910" s="49" t="n">
        <v>0</v>
      </c>
      <c r="O5910" s="53" t="n">
        <v>45946.7948958333</v>
      </c>
      <c r="P5910" s="53" t="n">
        <v>45948.4689814815</v>
      </c>
      <c r="Q5910" s="53" t="n">
        <v>45946.7948958333</v>
      </c>
      <c r="R5910" s="0" t="n">
        <v>0</v>
      </c>
      <c r="S5910" s="51" t="s">
        <v>2356</v>
      </c>
      <c r="T5910" s="51" t="s">
        <v>2356</v>
      </c>
      <c r="U5910" s="51" t="s">
        <v>4351</v>
      </c>
      <c r="V5910" s="51" t="s">
        <v>2365</v>
      </c>
      <c r="W5910" s="51" t="s">
        <v>6616</v>
      </c>
      <c r="X5910" s="51" t="s">
        <v>2359</v>
      </c>
    </row>
    <row r="5911" customFormat="false" ht="14.25" hidden="true" customHeight="false" outlineLevel="0" collapsed="false">
      <c r="A5911" s="49" t="s">
        <v>2349</v>
      </c>
      <c r="B5911" s="49" t="s">
        <v>2350</v>
      </c>
      <c r="C5911" s="49" t="s">
        <v>10401</v>
      </c>
      <c r="D5911" s="49" t="s">
        <v>2352</v>
      </c>
      <c r="E5911" s="49" t="s">
        <v>4351</v>
      </c>
      <c r="F5911" s="49" t="s">
        <v>4352</v>
      </c>
      <c r="G5911" s="49" t="n">
        <v>0</v>
      </c>
      <c r="H5911" s="0" t="n">
        <v>0</v>
      </c>
      <c r="M5911" s="51" t="s">
        <v>10378</v>
      </c>
      <c r="N5911" s="49" t="n">
        <v>0</v>
      </c>
      <c r="O5911" s="53" t="n">
        <v>45946.7946296296</v>
      </c>
      <c r="P5911" s="53" t="n">
        <v>45948.4688425926</v>
      </c>
      <c r="Q5911" s="53" t="n">
        <v>45946.7946296296</v>
      </c>
      <c r="R5911" s="0" t="n">
        <v>0</v>
      </c>
      <c r="S5911" s="51" t="s">
        <v>2356</v>
      </c>
      <c r="T5911" s="51" t="s">
        <v>2356</v>
      </c>
      <c r="U5911" s="51" t="s">
        <v>4351</v>
      </c>
      <c r="V5911" s="51" t="s">
        <v>2365</v>
      </c>
      <c r="W5911" s="51" t="s">
        <v>6618</v>
      </c>
      <c r="X5911" s="51" t="s">
        <v>2359</v>
      </c>
    </row>
    <row r="5912" customFormat="false" ht="14.25" hidden="true" customHeight="false" outlineLevel="0" collapsed="false">
      <c r="A5912" s="49" t="s">
        <v>2349</v>
      </c>
      <c r="B5912" s="49" t="s">
        <v>2350</v>
      </c>
      <c r="C5912" s="49" t="s">
        <v>10402</v>
      </c>
      <c r="D5912" s="49" t="s">
        <v>2352</v>
      </c>
      <c r="E5912" s="49" t="s">
        <v>4351</v>
      </c>
      <c r="F5912" s="49" t="s">
        <v>4352</v>
      </c>
      <c r="G5912" s="49" t="n">
        <v>0</v>
      </c>
      <c r="H5912" s="0" t="n">
        <v>0</v>
      </c>
      <c r="M5912" s="51" t="s">
        <v>10378</v>
      </c>
      <c r="N5912" s="49" t="n">
        <v>0</v>
      </c>
      <c r="O5912" s="53" t="n">
        <v>45946.794375</v>
      </c>
      <c r="P5912" s="53" t="n">
        <v>45948.4687268519</v>
      </c>
      <c r="Q5912" s="53" t="n">
        <v>45946.794375</v>
      </c>
      <c r="R5912" s="0" t="n">
        <v>0</v>
      </c>
      <c r="S5912" s="51" t="s">
        <v>2356</v>
      </c>
      <c r="T5912" s="51" t="s">
        <v>2356</v>
      </c>
      <c r="U5912" s="51" t="s">
        <v>4351</v>
      </c>
      <c r="V5912" s="51" t="s">
        <v>2365</v>
      </c>
      <c r="W5912" s="51" t="s">
        <v>5566</v>
      </c>
      <c r="X5912" s="51" t="s">
        <v>2359</v>
      </c>
    </row>
    <row r="5913" customFormat="false" ht="14.25" hidden="true" customHeight="false" outlineLevel="0" collapsed="false">
      <c r="A5913" s="49" t="s">
        <v>2349</v>
      </c>
      <c r="B5913" s="49" t="s">
        <v>2350</v>
      </c>
      <c r="C5913" s="49" t="s">
        <v>10403</v>
      </c>
      <c r="D5913" s="49" t="s">
        <v>2352</v>
      </c>
      <c r="E5913" s="49" t="s">
        <v>4351</v>
      </c>
      <c r="F5913" s="49" t="s">
        <v>4352</v>
      </c>
      <c r="G5913" s="49" t="n">
        <v>0</v>
      </c>
      <c r="H5913" s="0" t="n">
        <v>0</v>
      </c>
      <c r="M5913" s="51" t="s">
        <v>10378</v>
      </c>
      <c r="N5913" s="49" t="n">
        <v>0</v>
      </c>
      <c r="O5913" s="53" t="n">
        <v>45946.7941087963</v>
      </c>
      <c r="P5913" s="53" t="n">
        <v>45948.4684606481</v>
      </c>
      <c r="Q5913" s="53" t="n">
        <v>45946.7941087963</v>
      </c>
      <c r="R5913" s="0" t="n">
        <v>0</v>
      </c>
      <c r="S5913" s="51" t="s">
        <v>2356</v>
      </c>
      <c r="T5913" s="51" t="s">
        <v>2356</v>
      </c>
      <c r="U5913" s="51" t="s">
        <v>4351</v>
      </c>
      <c r="V5913" s="51" t="s">
        <v>2365</v>
      </c>
      <c r="W5913" s="51" t="s">
        <v>7215</v>
      </c>
      <c r="X5913" s="51" t="s">
        <v>2359</v>
      </c>
    </row>
    <row r="5914" customFormat="false" ht="14.25" hidden="true" customHeight="false" outlineLevel="0" collapsed="false">
      <c r="A5914" s="49" t="s">
        <v>2349</v>
      </c>
      <c r="B5914" s="49" t="s">
        <v>2350</v>
      </c>
      <c r="C5914" s="49" t="s">
        <v>10404</v>
      </c>
      <c r="D5914" s="49" t="s">
        <v>2352</v>
      </c>
      <c r="E5914" s="49" t="s">
        <v>4351</v>
      </c>
      <c r="F5914" s="49" t="s">
        <v>4352</v>
      </c>
      <c r="G5914" s="49" t="n">
        <v>0</v>
      </c>
      <c r="H5914" s="0" t="n">
        <v>0</v>
      </c>
      <c r="M5914" s="51" t="s">
        <v>10378</v>
      </c>
      <c r="N5914" s="49" t="n">
        <v>0</v>
      </c>
      <c r="O5914" s="53" t="n">
        <v>45946.7938194444</v>
      </c>
      <c r="P5914" s="53" t="n">
        <v>45948.468599537</v>
      </c>
      <c r="Q5914" s="53" t="n">
        <v>45946.7938194444</v>
      </c>
      <c r="R5914" s="0" t="n">
        <v>0</v>
      </c>
      <c r="S5914" s="51" t="s">
        <v>2356</v>
      </c>
      <c r="T5914" s="51" t="s">
        <v>2356</v>
      </c>
      <c r="U5914" s="51" t="s">
        <v>4351</v>
      </c>
      <c r="V5914" s="51" t="s">
        <v>2365</v>
      </c>
      <c r="W5914" s="51" t="s">
        <v>10405</v>
      </c>
      <c r="X5914" s="51" t="s">
        <v>2359</v>
      </c>
    </row>
    <row r="5915" customFormat="false" ht="14.25" hidden="true" customHeight="false" outlineLevel="0" collapsed="false">
      <c r="A5915" s="49" t="s">
        <v>2349</v>
      </c>
      <c r="B5915" s="49" t="s">
        <v>2350</v>
      </c>
      <c r="C5915" s="49" t="s">
        <v>10406</v>
      </c>
      <c r="D5915" s="49" t="s">
        <v>2352</v>
      </c>
      <c r="E5915" s="49" t="s">
        <v>4351</v>
      </c>
      <c r="F5915" s="49" t="s">
        <v>4352</v>
      </c>
      <c r="G5915" s="49" t="n">
        <v>0</v>
      </c>
      <c r="H5915" s="0" t="n">
        <v>0</v>
      </c>
      <c r="M5915" s="51" t="s">
        <v>10378</v>
      </c>
      <c r="N5915" s="49" t="n">
        <v>0</v>
      </c>
      <c r="O5915" s="53" t="n">
        <v>45946.7934490741</v>
      </c>
      <c r="P5915" s="53" t="n">
        <v>45948.4696759259</v>
      </c>
      <c r="Q5915" s="53" t="n">
        <v>45946.7934490741</v>
      </c>
      <c r="R5915" s="0" t="n">
        <v>0</v>
      </c>
      <c r="S5915" s="51" t="s">
        <v>2356</v>
      </c>
      <c r="T5915" s="51" t="s">
        <v>2356</v>
      </c>
      <c r="U5915" s="51" t="s">
        <v>4351</v>
      </c>
      <c r="V5915" s="51" t="s">
        <v>2365</v>
      </c>
      <c r="W5915" s="51" t="s">
        <v>10407</v>
      </c>
      <c r="X5915" s="51" t="s">
        <v>2359</v>
      </c>
    </row>
    <row r="5916" customFormat="false" ht="14.25" hidden="true" customHeight="false" outlineLevel="0" collapsed="false">
      <c r="A5916" s="49" t="s">
        <v>2349</v>
      </c>
      <c r="B5916" s="49" t="s">
        <v>2350</v>
      </c>
      <c r="C5916" s="49" t="s">
        <v>10408</v>
      </c>
      <c r="D5916" s="49" t="s">
        <v>2352</v>
      </c>
      <c r="E5916" s="49" t="str">
        <f aca="false">"8908020441030"</f>
        <v>8908020441030</v>
      </c>
      <c r="F5916" s="49" t="s">
        <v>5384</v>
      </c>
      <c r="G5916" s="49" t="n">
        <v>0</v>
      </c>
      <c r="H5916" s="0" t="n">
        <v>0</v>
      </c>
      <c r="M5916" s="51" t="s">
        <v>10409</v>
      </c>
      <c r="N5916" s="49" t="n">
        <v>0</v>
      </c>
      <c r="O5916" s="53" t="n">
        <v>45950.4965856482</v>
      </c>
      <c r="P5916" s="53" t="n">
        <v>46043.4768981482</v>
      </c>
      <c r="Q5916" s="53" t="n">
        <v>45950.4965856482</v>
      </c>
      <c r="R5916" s="0" t="n">
        <v>0</v>
      </c>
      <c r="S5916" s="51" t="s">
        <v>2356</v>
      </c>
      <c r="T5916" s="51" t="s">
        <v>2356</v>
      </c>
      <c r="U5916" s="0" t="str">
        <f aca="false">"8908020441030"</f>
        <v>8908020441030</v>
      </c>
      <c r="V5916" s="51" t="s">
        <v>5386</v>
      </c>
      <c r="W5916" s="51" t="s">
        <v>8832</v>
      </c>
      <c r="X5916" s="51" t="s">
        <v>2359</v>
      </c>
    </row>
    <row r="5917" customFormat="false" ht="14.25" hidden="true" customHeight="false" outlineLevel="0" collapsed="false">
      <c r="A5917" s="49" t="s">
        <v>2349</v>
      </c>
      <c r="B5917" s="49" t="s">
        <v>2350</v>
      </c>
      <c r="C5917" s="49" t="s">
        <v>10410</v>
      </c>
      <c r="D5917" s="49" t="s">
        <v>2352</v>
      </c>
      <c r="E5917" s="49" t="str">
        <f aca="false">"8908020441030"</f>
        <v>8908020441030</v>
      </c>
      <c r="F5917" s="49" t="s">
        <v>5384</v>
      </c>
      <c r="G5917" s="49" t="n">
        <v>0</v>
      </c>
      <c r="H5917" s="0" t="n">
        <v>0</v>
      </c>
      <c r="M5917" s="51" t="s">
        <v>10409</v>
      </c>
      <c r="N5917" s="49" t="n">
        <v>0</v>
      </c>
      <c r="O5917" s="53" t="n">
        <v>45950.4963888889</v>
      </c>
      <c r="P5917" s="53" t="n">
        <v>46043.4753472222</v>
      </c>
      <c r="Q5917" s="53" t="n">
        <v>45950.4963888889</v>
      </c>
      <c r="R5917" s="0" t="n">
        <v>0</v>
      </c>
      <c r="S5917" s="51" t="s">
        <v>2356</v>
      </c>
      <c r="T5917" s="51" t="s">
        <v>2356</v>
      </c>
      <c r="U5917" s="0" t="str">
        <f aca="false">"8908020441030"</f>
        <v>8908020441030</v>
      </c>
      <c r="V5917" s="51" t="s">
        <v>5386</v>
      </c>
      <c r="W5917" s="51" t="s">
        <v>5473</v>
      </c>
      <c r="X5917" s="51" t="s">
        <v>2359</v>
      </c>
    </row>
    <row r="5918" customFormat="false" ht="14.25" hidden="true" customHeight="false" outlineLevel="0" collapsed="false">
      <c r="A5918" s="49" t="s">
        <v>2349</v>
      </c>
      <c r="B5918" s="49" t="s">
        <v>2350</v>
      </c>
      <c r="C5918" s="49" t="s">
        <v>10411</v>
      </c>
      <c r="D5918" s="49" t="s">
        <v>2352</v>
      </c>
      <c r="E5918" s="49" t="str">
        <f aca="false">"8908020441030"</f>
        <v>8908020441030</v>
      </c>
      <c r="F5918" s="49" t="s">
        <v>5384</v>
      </c>
      <c r="G5918" s="49" t="n">
        <v>0</v>
      </c>
      <c r="H5918" s="0" t="n">
        <v>0</v>
      </c>
      <c r="M5918" s="51" t="s">
        <v>10409</v>
      </c>
      <c r="N5918" s="49" t="n">
        <v>0</v>
      </c>
      <c r="O5918" s="53" t="n">
        <v>45950.4962037037</v>
      </c>
      <c r="P5918" s="53" t="n">
        <v>45972.4871296296</v>
      </c>
      <c r="Q5918" s="53" t="n">
        <v>45950.4962037037</v>
      </c>
      <c r="R5918" s="0" t="n">
        <v>0</v>
      </c>
      <c r="S5918" s="51" t="s">
        <v>2356</v>
      </c>
      <c r="T5918" s="51" t="s">
        <v>2356</v>
      </c>
      <c r="U5918" s="0" t="str">
        <f aca="false">"8908020441030"</f>
        <v>8908020441030</v>
      </c>
      <c r="V5918" s="51" t="s">
        <v>5386</v>
      </c>
      <c r="W5918" s="51" t="s">
        <v>4128</v>
      </c>
      <c r="X5918" s="51" t="s">
        <v>2359</v>
      </c>
    </row>
    <row r="5919" customFormat="false" ht="14.25" hidden="true" customHeight="false" outlineLevel="0" collapsed="false">
      <c r="A5919" s="49" t="s">
        <v>2349</v>
      </c>
      <c r="B5919" s="49" t="s">
        <v>2350</v>
      </c>
      <c r="C5919" s="49" t="s">
        <v>10412</v>
      </c>
      <c r="D5919" s="49" t="s">
        <v>2352</v>
      </c>
      <c r="E5919" s="49" t="str">
        <f aca="false">"8908020441030"</f>
        <v>8908020441030</v>
      </c>
      <c r="F5919" s="49" t="s">
        <v>5384</v>
      </c>
      <c r="G5919" s="49" t="n">
        <v>0</v>
      </c>
      <c r="H5919" s="0" t="n">
        <v>0</v>
      </c>
      <c r="M5919" s="51" t="s">
        <v>10409</v>
      </c>
      <c r="N5919" s="49" t="n">
        <v>0</v>
      </c>
      <c r="O5919" s="53" t="n">
        <v>45950.4959490741</v>
      </c>
      <c r="P5919" s="53" t="n">
        <v>46043.4747337963</v>
      </c>
      <c r="Q5919" s="53" t="n">
        <v>45950.4959490741</v>
      </c>
      <c r="R5919" s="0" t="n">
        <v>0</v>
      </c>
      <c r="S5919" s="51" t="s">
        <v>2356</v>
      </c>
      <c r="T5919" s="51" t="s">
        <v>2356</v>
      </c>
      <c r="U5919" s="0" t="str">
        <f aca="false">"8908020441030"</f>
        <v>8908020441030</v>
      </c>
      <c r="V5919" s="51" t="s">
        <v>5386</v>
      </c>
      <c r="W5919" s="51" t="s">
        <v>10413</v>
      </c>
      <c r="X5919" s="51" t="s">
        <v>2359</v>
      </c>
    </row>
    <row r="5920" customFormat="false" ht="14.25" hidden="true" customHeight="false" outlineLevel="0" collapsed="false">
      <c r="A5920" s="49" t="s">
        <v>2349</v>
      </c>
      <c r="B5920" s="49" t="s">
        <v>2350</v>
      </c>
      <c r="C5920" s="49" t="s">
        <v>10414</v>
      </c>
      <c r="D5920" s="49" t="s">
        <v>2352</v>
      </c>
      <c r="E5920" s="49" t="str">
        <f aca="false">"8908020441030"</f>
        <v>8908020441030</v>
      </c>
      <c r="F5920" s="49" t="s">
        <v>5384</v>
      </c>
      <c r="G5920" s="49" t="n">
        <v>0</v>
      </c>
      <c r="H5920" s="0" t="n">
        <v>0</v>
      </c>
      <c r="M5920" s="51" t="s">
        <v>10409</v>
      </c>
      <c r="N5920" s="49" t="n">
        <v>0</v>
      </c>
      <c r="O5920" s="53" t="n">
        <v>45950.4957523148</v>
      </c>
      <c r="P5920" s="53" t="n">
        <v>46055.6260416667</v>
      </c>
      <c r="Q5920" s="53" t="n">
        <v>45950.4957523148</v>
      </c>
      <c r="R5920" s="0" t="n">
        <v>0</v>
      </c>
      <c r="S5920" s="51" t="s">
        <v>2356</v>
      </c>
      <c r="T5920" s="51" t="s">
        <v>2356</v>
      </c>
      <c r="U5920" s="0" t="str">
        <f aca="false">"8908020441030"</f>
        <v>8908020441030</v>
      </c>
      <c r="V5920" s="51" t="s">
        <v>5386</v>
      </c>
      <c r="W5920" s="51" t="s">
        <v>8830</v>
      </c>
      <c r="X5920" s="51" t="s">
        <v>2359</v>
      </c>
    </row>
    <row r="5921" customFormat="false" ht="14.25" hidden="true" customHeight="false" outlineLevel="0" collapsed="false">
      <c r="A5921" s="49" t="s">
        <v>2349</v>
      </c>
      <c r="B5921" s="49" t="s">
        <v>2350</v>
      </c>
      <c r="C5921" s="49" t="s">
        <v>10415</v>
      </c>
      <c r="D5921" s="49" t="s">
        <v>2352</v>
      </c>
      <c r="E5921" s="49" t="str">
        <f aca="false">"8908020441030"</f>
        <v>8908020441030</v>
      </c>
      <c r="F5921" s="49" t="s">
        <v>5384</v>
      </c>
      <c r="G5921" s="49" t="n">
        <v>0</v>
      </c>
      <c r="H5921" s="0" t="n">
        <v>0</v>
      </c>
      <c r="M5921" s="51" t="s">
        <v>10409</v>
      </c>
      <c r="N5921" s="49" t="n">
        <v>0</v>
      </c>
      <c r="O5921" s="53" t="n">
        <v>45950.4955555556</v>
      </c>
      <c r="P5921" s="53" t="n">
        <v>46043.4744560185</v>
      </c>
      <c r="Q5921" s="53" t="n">
        <v>45950.4955555556</v>
      </c>
      <c r="R5921" s="0" t="n">
        <v>0</v>
      </c>
      <c r="S5921" s="51" t="s">
        <v>2356</v>
      </c>
      <c r="T5921" s="51" t="s">
        <v>2356</v>
      </c>
      <c r="U5921" s="0" t="str">
        <f aca="false">"8908020441030"</f>
        <v>8908020441030</v>
      </c>
      <c r="V5921" s="51" t="s">
        <v>5386</v>
      </c>
      <c r="W5921" s="51" t="s">
        <v>4138</v>
      </c>
      <c r="X5921" s="51" t="s">
        <v>2359</v>
      </c>
    </row>
    <row r="5922" customFormat="false" ht="14.25" hidden="true" customHeight="false" outlineLevel="0" collapsed="false">
      <c r="A5922" s="49" t="s">
        <v>2349</v>
      </c>
      <c r="B5922" s="49" t="s">
        <v>2350</v>
      </c>
      <c r="C5922" s="49" t="s">
        <v>10416</v>
      </c>
      <c r="D5922" s="49" t="s">
        <v>2352</v>
      </c>
      <c r="E5922" s="49" t="str">
        <f aca="false">"8908020441030"</f>
        <v>8908020441030</v>
      </c>
      <c r="F5922" s="49" t="s">
        <v>5384</v>
      </c>
      <c r="G5922" s="49" t="n">
        <v>0</v>
      </c>
      <c r="H5922" s="0" t="n">
        <v>0</v>
      </c>
      <c r="M5922" s="51" t="s">
        <v>10409</v>
      </c>
      <c r="N5922" s="49" t="n">
        <v>0</v>
      </c>
      <c r="O5922" s="53" t="n">
        <v>45950.4951273148</v>
      </c>
      <c r="P5922" s="53" t="n">
        <v>46013.3956712963</v>
      </c>
      <c r="Q5922" s="53" t="n">
        <v>45950.4951273148</v>
      </c>
      <c r="R5922" s="0" t="n">
        <v>0</v>
      </c>
      <c r="S5922" s="51" t="s">
        <v>2356</v>
      </c>
      <c r="T5922" s="51" t="s">
        <v>2356</v>
      </c>
      <c r="U5922" s="0" t="str">
        <f aca="false">"8908020441030"</f>
        <v>8908020441030</v>
      </c>
      <c r="V5922" s="51" t="s">
        <v>5386</v>
      </c>
      <c r="W5922" s="51" t="s">
        <v>8251</v>
      </c>
      <c r="X5922" s="51" t="s">
        <v>2359</v>
      </c>
    </row>
    <row r="5923" customFormat="false" ht="14.25" hidden="true" customHeight="false" outlineLevel="0" collapsed="false">
      <c r="A5923" s="49" t="s">
        <v>2349</v>
      </c>
      <c r="B5923" s="49" t="s">
        <v>2350</v>
      </c>
      <c r="C5923" s="49" t="s">
        <v>10417</v>
      </c>
      <c r="D5923" s="49" t="s">
        <v>2352</v>
      </c>
      <c r="E5923" s="49" t="str">
        <f aca="false">"8908020441030"</f>
        <v>8908020441030</v>
      </c>
      <c r="F5923" s="49" t="s">
        <v>5384</v>
      </c>
      <c r="G5923" s="49" t="n">
        <v>0</v>
      </c>
      <c r="H5923" s="0" t="n">
        <v>0</v>
      </c>
      <c r="M5923" s="51" t="s">
        <v>10409</v>
      </c>
      <c r="N5923" s="49" t="n">
        <v>0</v>
      </c>
      <c r="O5923" s="53" t="n">
        <v>45950.4948958333</v>
      </c>
      <c r="P5923" s="53" t="n">
        <v>46026.5760532407</v>
      </c>
      <c r="Q5923" s="53" t="n">
        <v>45950.4948958333</v>
      </c>
      <c r="R5923" s="0" t="n">
        <v>0</v>
      </c>
      <c r="S5923" s="51" t="s">
        <v>2356</v>
      </c>
      <c r="T5923" s="51" t="s">
        <v>2356</v>
      </c>
      <c r="U5923" s="0" t="str">
        <f aca="false">"8908020441030"</f>
        <v>8908020441030</v>
      </c>
      <c r="V5923" s="51" t="s">
        <v>5386</v>
      </c>
      <c r="W5923" s="51" t="s">
        <v>5315</v>
      </c>
      <c r="X5923" s="51" t="s">
        <v>2359</v>
      </c>
    </row>
    <row r="5924" customFormat="false" ht="14.25" hidden="true" customHeight="false" outlineLevel="0" collapsed="false">
      <c r="A5924" s="49" t="s">
        <v>2349</v>
      </c>
      <c r="B5924" s="49" t="s">
        <v>2350</v>
      </c>
      <c r="C5924" s="49" t="s">
        <v>10418</v>
      </c>
      <c r="D5924" s="49" t="s">
        <v>2352</v>
      </c>
      <c r="E5924" s="49" t="str">
        <f aca="false">"8908020441030"</f>
        <v>8908020441030</v>
      </c>
      <c r="F5924" s="49" t="s">
        <v>5384</v>
      </c>
      <c r="G5924" s="49" t="n">
        <v>0</v>
      </c>
      <c r="H5924" s="0" t="n">
        <v>0</v>
      </c>
      <c r="M5924" s="51" t="s">
        <v>10409</v>
      </c>
      <c r="N5924" s="49" t="n">
        <v>0</v>
      </c>
      <c r="O5924" s="53" t="n">
        <v>45950.4947337963</v>
      </c>
      <c r="P5924" s="53" t="n">
        <v>46035.5946296296</v>
      </c>
      <c r="Q5924" s="53" t="n">
        <v>45950.4947337963</v>
      </c>
      <c r="R5924" s="0" t="n">
        <v>0</v>
      </c>
      <c r="S5924" s="51" t="s">
        <v>2356</v>
      </c>
      <c r="T5924" s="51" t="s">
        <v>2356</v>
      </c>
      <c r="U5924" s="0" t="str">
        <f aca="false">"8908020441030"</f>
        <v>8908020441030</v>
      </c>
      <c r="V5924" s="51" t="s">
        <v>5386</v>
      </c>
      <c r="W5924" s="51" t="s">
        <v>4367</v>
      </c>
      <c r="X5924" s="51" t="s">
        <v>2359</v>
      </c>
    </row>
    <row r="5925" customFormat="false" ht="14.25" hidden="true" customHeight="false" outlineLevel="0" collapsed="false">
      <c r="A5925" s="49" t="s">
        <v>2349</v>
      </c>
      <c r="B5925" s="49" t="s">
        <v>2350</v>
      </c>
      <c r="C5925" s="49" t="s">
        <v>10419</v>
      </c>
      <c r="D5925" s="49" t="s">
        <v>2352</v>
      </c>
      <c r="E5925" s="49" t="str">
        <f aca="false">"8908020441030"</f>
        <v>8908020441030</v>
      </c>
      <c r="F5925" s="49" t="s">
        <v>5384</v>
      </c>
      <c r="G5925" s="49" t="n">
        <v>0</v>
      </c>
      <c r="H5925" s="0" t="n">
        <v>0</v>
      </c>
      <c r="M5925" s="51" t="s">
        <v>10409</v>
      </c>
      <c r="N5925" s="49" t="n">
        <v>0</v>
      </c>
      <c r="O5925" s="53" t="n">
        <v>45950.4944212963</v>
      </c>
      <c r="P5925" s="53" t="n">
        <v>46006.8472337963</v>
      </c>
      <c r="Q5925" s="53" t="n">
        <v>45950.4944212963</v>
      </c>
      <c r="R5925" s="0" t="n">
        <v>0</v>
      </c>
      <c r="S5925" s="51" t="s">
        <v>2356</v>
      </c>
      <c r="T5925" s="51" t="s">
        <v>2356</v>
      </c>
      <c r="U5925" s="0" t="str">
        <f aca="false">"8908020441030"</f>
        <v>8908020441030</v>
      </c>
      <c r="V5925" s="51" t="s">
        <v>5386</v>
      </c>
      <c r="W5925" s="51" t="s">
        <v>5397</v>
      </c>
      <c r="X5925" s="51" t="s">
        <v>2359</v>
      </c>
    </row>
    <row r="5926" customFormat="false" ht="14.25" hidden="true" customHeight="false" outlineLevel="0" collapsed="false">
      <c r="A5926" s="49" t="s">
        <v>2349</v>
      </c>
      <c r="B5926" s="49" t="s">
        <v>2350</v>
      </c>
      <c r="C5926" s="49" t="s">
        <v>10420</v>
      </c>
      <c r="D5926" s="49" t="s">
        <v>2352</v>
      </c>
      <c r="E5926" s="49" t="str">
        <f aca="false">"8908020441030"</f>
        <v>8908020441030</v>
      </c>
      <c r="F5926" s="49" t="s">
        <v>5384</v>
      </c>
      <c r="G5926" s="49" t="n">
        <v>0</v>
      </c>
      <c r="H5926" s="0" t="n">
        <v>0</v>
      </c>
      <c r="M5926" s="51" t="s">
        <v>10409</v>
      </c>
      <c r="N5926" s="49" t="n">
        <v>0</v>
      </c>
      <c r="O5926" s="53" t="n">
        <v>45950.4941319445</v>
      </c>
      <c r="P5926" s="53" t="n">
        <v>46043.4746180556</v>
      </c>
      <c r="Q5926" s="53" t="n">
        <v>45950.4941319445</v>
      </c>
      <c r="R5926" s="0" t="n">
        <v>0</v>
      </c>
      <c r="S5926" s="51" t="s">
        <v>2356</v>
      </c>
      <c r="T5926" s="51" t="s">
        <v>2356</v>
      </c>
      <c r="U5926" s="0" t="str">
        <f aca="false">"8908020441030"</f>
        <v>8908020441030</v>
      </c>
      <c r="V5926" s="51" t="s">
        <v>5386</v>
      </c>
      <c r="W5926" s="51" t="s">
        <v>4142</v>
      </c>
      <c r="X5926" s="51" t="s">
        <v>2359</v>
      </c>
    </row>
    <row r="5927" customFormat="false" ht="14.25" hidden="true" customHeight="false" outlineLevel="0" collapsed="false">
      <c r="A5927" s="49" t="s">
        <v>2349</v>
      </c>
      <c r="B5927" s="49" t="s">
        <v>2350</v>
      </c>
      <c r="C5927" s="49" t="s">
        <v>10421</v>
      </c>
      <c r="D5927" s="49" t="s">
        <v>2352</v>
      </c>
      <c r="E5927" s="49" t="str">
        <f aca="false">"8908020441030"</f>
        <v>8908020441030</v>
      </c>
      <c r="F5927" s="49" t="s">
        <v>5384</v>
      </c>
      <c r="G5927" s="49" t="n">
        <v>0</v>
      </c>
      <c r="H5927" s="0" t="n">
        <v>0</v>
      </c>
      <c r="M5927" s="51" t="s">
        <v>10409</v>
      </c>
      <c r="N5927" s="49" t="n">
        <v>0</v>
      </c>
      <c r="O5927" s="53" t="n">
        <v>45950.4938657407</v>
      </c>
      <c r="P5927" s="53" t="n">
        <v>46006.847037037</v>
      </c>
      <c r="Q5927" s="53" t="n">
        <v>45950.4938657407</v>
      </c>
      <c r="R5927" s="0" t="n">
        <v>0</v>
      </c>
      <c r="S5927" s="51" t="s">
        <v>2356</v>
      </c>
      <c r="T5927" s="51" t="s">
        <v>2356</v>
      </c>
      <c r="U5927" s="0" t="str">
        <f aca="false">"8908020441030"</f>
        <v>8908020441030</v>
      </c>
      <c r="V5927" s="51" t="s">
        <v>5386</v>
      </c>
      <c r="W5927" s="51" t="s">
        <v>4792</v>
      </c>
      <c r="X5927" s="51" t="s">
        <v>2359</v>
      </c>
    </row>
    <row r="5928" customFormat="false" ht="14.25" hidden="true" customHeight="false" outlineLevel="0" collapsed="false">
      <c r="A5928" s="49" t="s">
        <v>2349</v>
      </c>
      <c r="B5928" s="49" t="s">
        <v>2350</v>
      </c>
      <c r="C5928" s="49" t="s">
        <v>10422</v>
      </c>
      <c r="D5928" s="49" t="s">
        <v>2352</v>
      </c>
      <c r="E5928" s="49" t="str">
        <f aca="false">"8908020441030"</f>
        <v>8908020441030</v>
      </c>
      <c r="F5928" s="49" t="s">
        <v>5384</v>
      </c>
      <c r="G5928" s="49" t="n">
        <v>0</v>
      </c>
      <c r="H5928" s="0" t="n">
        <v>0</v>
      </c>
      <c r="M5928" s="51" t="s">
        <v>10409</v>
      </c>
      <c r="N5928" s="49" t="n">
        <v>0</v>
      </c>
      <c r="O5928" s="53" t="n">
        <v>45950.4934375</v>
      </c>
      <c r="P5928" s="53" t="n">
        <v>46043.4765046296</v>
      </c>
      <c r="Q5928" s="53" t="n">
        <v>45950.4934375</v>
      </c>
      <c r="R5928" s="0" t="n">
        <v>0</v>
      </c>
      <c r="S5928" s="51" t="s">
        <v>2356</v>
      </c>
      <c r="T5928" s="51" t="s">
        <v>2356</v>
      </c>
      <c r="U5928" s="0" t="str">
        <f aca="false">"8908020441030"</f>
        <v>8908020441030</v>
      </c>
      <c r="V5928" s="51" t="s">
        <v>5386</v>
      </c>
      <c r="W5928" s="51" t="s">
        <v>3675</v>
      </c>
      <c r="X5928" s="51" t="s">
        <v>2359</v>
      </c>
    </row>
    <row r="5929" customFormat="false" ht="14.25" hidden="true" customHeight="false" outlineLevel="0" collapsed="false">
      <c r="A5929" s="49" t="s">
        <v>2349</v>
      </c>
      <c r="B5929" s="49" t="s">
        <v>2350</v>
      </c>
      <c r="C5929" s="49" t="s">
        <v>10423</v>
      </c>
      <c r="D5929" s="49" t="s">
        <v>2352</v>
      </c>
      <c r="E5929" s="49" t="str">
        <f aca="false">"8908020441030"</f>
        <v>8908020441030</v>
      </c>
      <c r="F5929" s="49" t="s">
        <v>5384</v>
      </c>
      <c r="G5929" s="49" t="n">
        <v>0</v>
      </c>
      <c r="H5929" s="0" t="n">
        <v>0</v>
      </c>
      <c r="M5929" s="51" t="s">
        <v>10409</v>
      </c>
      <c r="N5929" s="49" t="n">
        <v>0</v>
      </c>
      <c r="O5929" s="53" t="n">
        <v>45950.4932060185</v>
      </c>
      <c r="P5929" s="53" t="n">
        <v>46006.8474189815</v>
      </c>
      <c r="Q5929" s="53" t="n">
        <v>45950.4932060185</v>
      </c>
      <c r="R5929" s="0" t="n">
        <v>0</v>
      </c>
      <c r="S5929" s="51" t="s">
        <v>2356</v>
      </c>
      <c r="T5929" s="51" t="s">
        <v>2356</v>
      </c>
      <c r="U5929" s="0" t="str">
        <f aca="false">"8908020441030"</f>
        <v>8908020441030</v>
      </c>
      <c r="V5929" s="51" t="s">
        <v>5386</v>
      </c>
      <c r="W5929" s="51" t="s">
        <v>4122</v>
      </c>
      <c r="X5929" s="51" t="s">
        <v>2359</v>
      </c>
    </row>
    <row r="5930" customFormat="false" ht="14.25" hidden="true" customHeight="false" outlineLevel="0" collapsed="false">
      <c r="A5930" s="49" t="s">
        <v>2349</v>
      </c>
      <c r="B5930" s="49" t="s">
        <v>2350</v>
      </c>
      <c r="C5930" s="49" t="s">
        <v>10424</v>
      </c>
      <c r="D5930" s="49" t="s">
        <v>2352</v>
      </c>
      <c r="E5930" s="49" t="str">
        <f aca="false">"8908020441030"</f>
        <v>8908020441030</v>
      </c>
      <c r="F5930" s="49" t="s">
        <v>5384</v>
      </c>
      <c r="G5930" s="49" t="n">
        <v>0</v>
      </c>
      <c r="H5930" s="0" t="n">
        <v>0</v>
      </c>
      <c r="M5930" s="51" t="s">
        <v>10409</v>
      </c>
      <c r="N5930" s="49" t="n">
        <v>0</v>
      </c>
      <c r="O5930" s="53" t="n">
        <v>45950.4926851852</v>
      </c>
      <c r="P5930" s="53" t="n">
        <v>46006.8471412037</v>
      </c>
      <c r="Q5930" s="53" t="n">
        <v>45950.4926851852</v>
      </c>
      <c r="R5930" s="0" t="n">
        <v>0</v>
      </c>
      <c r="S5930" s="51" t="s">
        <v>2356</v>
      </c>
      <c r="T5930" s="51" t="s">
        <v>2356</v>
      </c>
      <c r="U5930" s="0" t="str">
        <f aca="false">"8908020441030"</f>
        <v>8908020441030</v>
      </c>
      <c r="V5930" s="51" t="s">
        <v>5386</v>
      </c>
      <c r="W5930" s="51" t="s">
        <v>4169</v>
      </c>
      <c r="X5930" s="51" t="s">
        <v>2359</v>
      </c>
    </row>
    <row r="5931" customFormat="false" ht="14.25" hidden="true" customHeight="false" outlineLevel="0" collapsed="false">
      <c r="A5931" s="49" t="s">
        <v>2349</v>
      </c>
      <c r="B5931" s="49" t="s">
        <v>2350</v>
      </c>
      <c r="C5931" s="49" t="s">
        <v>10425</v>
      </c>
      <c r="D5931" s="49" t="s">
        <v>2352</v>
      </c>
      <c r="E5931" s="49" t="str">
        <f aca="false">"8908020441030"</f>
        <v>8908020441030</v>
      </c>
      <c r="F5931" s="49" t="s">
        <v>5384</v>
      </c>
      <c r="G5931" s="49" t="n">
        <v>0</v>
      </c>
      <c r="H5931" s="0" t="n">
        <v>0</v>
      </c>
      <c r="M5931" s="51" t="s">
        <v>10409</v>
      </c>
      <c r="N5931" s="49" t="n">
        <v>0</v>
      </c>
      <c r="O5931" s="53" t="n">
        <v>45950.4925</v>
      </c>
      <c r="P5931" s="53" t="n">
        <v>46043.4760185185</v>
      </c>
      <c r="Q5931" s="53" t="n">
        <v>45950.4925</v>
      </c>
      <c r="R5931" s="0" t="n">
        <v>0</v>
      </c>
      <c r="S5931" s="51" t="s">
        <v>2356</v>
      </c>
      <c r="T5931" s="51" t="s">
        <v>2356</v>
      </c>
      <c r="U5931" s="0" t="str">
        <f aca="false">"8908020441030"</f>
        <v>8908020441030</v>
      </c>
      <c r="V5931" s="51" t="s">
        <v>5386</v>
      </c>
      <c r="W5931" s="51" t="s">
        <v>6603</v>
      </c>
      <c r="X5931" s="51" t="s">
        <v>2359</v>
      </c>
    </row>
    <row r="5932" customFormat="false" ht="14.25" hidden="true" customHeight="false" outlineLevel="0" collapsed="false">
      <c r="A5932" s="49" t="s">
        <v>2349</v>
      </c>
      <c r="B5932" s="49" t="s">
        <v>2350</v>
      </c>
      <c r="C5932" s="49" t="s">
        <v>10426</v>
      </c>
      <c r="D5932" s="49" t="s">
        <v>2352</v>
      </c>
      <c r="E5932" s="49" t="str">
        <f aca="false">"8908020441030"</f>
        <v>8908020441030</v>
      </c>
      <c r="F5932" s="49" t="s">
        <v>5384</v>
      </c>
      <c r="G5932" s="49" t="n">
        <v>0</v>
      </c>
      <c r="H5932" s="0" t="n">
        <v>0</v>
      </c>
      <c r="M5932" s="51" t="s">
        <v>10409</v>
      </c>
      <c r="N5932" s="49" t="n">
        <v>0</v>
      </c>
      <c r="O5932" s="53" t="n">
        <v>45950.4922916667</v>
      </c>
      <c r="P5932" s="53" t="n">
        <v>46028.4432291667</v>
      </c>
      <c r="Q5932" s="53" t="n">
        <v>45950.4922916667</v>
      </c>
      <c r="R5932" s="0" t="n">
        <v>0</v>
      </c>
      <c r="S5932" s="51" t="s">
        <v>2356</v>
      </c>
      <c r="T5932" s="51" t="s">
        <v>2356</v>
      </c>
      <c r="U5932" s="0" t="str">
        <f aca="false">"8908020441030"</f>
        <v>8908020441030</v>
      </c>
      <c r="V5932" s="51" t="s">
        <v>5386</v>
      </c>
      <c r="W5932" s="51" t="s">
        <v>4150</v>
      </c>
      <c r="X5932" s="51" t="s">
        <v>2359</v>
      </c>
    </row>
    <row r="5933" customFormat="false" ht="14.25" hidden="true" customHeight="false" outlineLevel="0" collapsed="false">
      <c r="A5933" s="49" t="s">
        <v>2349</v>
      </c>
      <c r="B5933" s="49" t="s">
        <v>2350</v>
      </c>
      <c r="C5933" s="49" t="s">
        <v>10427</v>
      </c>
      <c r="D5933" s="49" t="s">
        <v>2352</v>
      </c>
      <c r="E5933" s="49" t="str">
        <f aca="false">"8908020441030"</f>
        <v>8908020441030</v>
      </c>
      <c r="F5933" s="49" t="s">
        <v>5384</v>
      </c>
      <c r="G5933" s="49" t="n">
        <v>0</v>
      </c>
      <c r="H5933" s="0" t="n">
        <v>0</v>
      </c>
      <c r="M5933" s="51" t="s">
        <v>10409</v>
      </c>
      <c r="N5933" s="49" t="n">
        <v>0</v>
      </c>
      <c r="O5933" s="53" t="n">
        <v>45950.4920833333</v>
      </c>
      <c r="P5933" s="53" t="n">
        <v>46043.4742708333</v>
      </c>
      <c r="Q5933" s="53" t="n">
        <v>45950.4920833333</v>
      </c>
      <c r="R5933" s="0" t="n">
        <v>0</v>
      </c>
      <c r="S5933" s="51" t="s">
        <v>2356</v>
      </c>
      <c r="T5933" s="51" t="s">
        <v>2356</v>
      </c>
      <c r="U5933" s="0" t="str">
        <f aca="false">"8908020441030"</f>
        <v>8908020441030</v>
      </c>
      <c r="V5933" s="51" t="s">
        <v>5386</v>
      </c>
      <c r="W5933" s="51" t="s">
        <v>4365</v>
      </c>
      <c r="X5933" s="51" t="s">
        <v>2359</v>
      </c>
    </row>
    <row r="5934" customFormat="false" ht="14.25" hidden="true" customHeight="false" outlineLevel="0" collapsed="false">
      <c r="A5934" s="49" t="s">
        <v>2349</v>
      </c>
      <c r="B5934" s="49" t="s">
        <v>2350</v>
      </c>
      <c r="C5934" s="49" t="s">
        <v>10428</v>
      </c>
      <c r="D5934" s="49" t="s">
        <v>2352</v>
      </c>
      <c r="E5934" s="49" t="str">
        <f aca="false">"8908020441030"</f>
        <v>8908020441030</v>
      </c>
      <c r="F5934" s="49" t="s">
        <v>5384</v>
      </c>
      <c r="G5934" s="49" t="n">
        <v>0</v>
      </c>
      <c r="H5934" s="0" t="n">
        <v>0</v>
      </c>
      <c r="M5934" s="51" t="s">
        <v>10409</v>
      </c>
      <c r="N5934" s="49" t="n">
        <v>0</v>
      </c>
      <c r="O5934" s="53" t="n">
        <v>45950.4917824074</v>
      </c>
      <c r="P5934" s="53" t="n">
        <v>46043.47625</v>
      </c>
      <c r="Q5934" s="53" t="n">
        <v>45950.4917824074</v>
      </c>
      <c r="R5934" s="0" t="n">
        <v>0</v>
      </c>
      <c r="S5934" s="51" t="s">
        <v>2356</v>
      </c>
      <c r="T5934" s="51" t="s">
        <v>2356</v>
      </c>
      <c r="U5934" s="0" t="str">
        <f aca="false">"8908020441030"</f>
        <v>8908020441030</v>
      </c>
      <c r="V5934" s="51" t="s">
        <v>5386</v>
      </c>
      <c r="W5934" s="51" t="s">
        <v>10429</v>
      </c>
      <c r="X5934" s="51" t="s">
        <v>2359</v>
      </c>
    </row>
    <row r="5935" customFormat="false" ht="14.25" hidden="true" customHeight="false" outlineLevel="0" collapsed="false">
      <c r="A5935" s="49" t="s">
        <v>2349</v>
      </c>
      <c r="B5935" s="49" t="s">
        <v>2350</v>
      </c>
      <c r="C5935" s="49" t="s">
        <v>10430</v>
      </c>
      <c r="D5935" s="49" t="s">
        <v>2352</v>
      </c>
      <c r="E5935" s="49" t="str">
        <f aca="false">"8908020441030"</f>
        <v>8908020441030</v>
      </c>
      <c r="F5935" s="49" t="s">
        <v>5384</v>
      </c>
      <c r="G5935" s="49" t="n">
        <v>0</v>
      </c>
      <c r="H5935" s="0" t="n">
        <v>0</v>
      </c>
      <c r="M5935" s="51" t="s">
        <v>10409</v>
      </c>
      <c r="N5935" s="49" t="n">
        <v>0</v>
      </c>
      <c r="O5935" s="53" t="n">
        <v>45950.4915509259</v>
      </c>
      <c r="P5935" s="53" t="n">
        <v>45967.4473611111</v>
      </c>
      <c r="Q5935" s="53" t="n">
        <v>45950.4915509259</v>
      </c>
      <c r="R5935" s="0" t="n">
        <v>0</v>
      </c>
      <c r="S5935" s="51" t="s">
        <v>2356</v>
      </c>
      <c r="T5935" s="51" t="s">
        <v>2356</v>
      </c>
      <c r="U5935" s="0" t="str">
        <f aca="false">"8908020441030"</f>
        <v>8908020441030</v>
      </c>
      <c r="V5935" s="51" t="s">
        <v>5386</v>
      </c>
      <c r="W5935" s="51" t="s">
        <v>4175</v>
      </c>
      <c r="X5935" s="51" t="s">
        <v>2359</v>
      </c>
    </row>
    <row r="5936" customFormat="false" ht="14.25" hidden="true" customHeight="false" outlineLevel="0" collapsed="false">
      <c r="A5936" s="49" t="s">
        <v>2349</v>
      </c>
      <c r="B5936" s="49" t="s">
        <v>2350</v>
      </c>
      <c r="C5936" s="49" t="s">
        <v>10431</v>
      </c>
      <c r="D5936" s="49" t="s">
        <v>2352</v>
      </c>
      <c r="E5936" s="49" t="str">
        <f aca="false">"8908020441030"</f>
        <v>8908020441030</v>
      </c>
      <c r="F5936" s="49" t="s">
        <v>5384</v>
      </c>
      <c r="G5936" s="49" t="n">
        <v>0</v>
      </c>
      <c r="H5936" s="0" t="n">
        <v>0</v>
      </c>
      <c r="M5936" s="51" t="s">
        <v>10409</v>
      </c>
      <c r="N5936" s="49" t="n">
        <v>0</v>
      </c>
      <c r="O5936" s="53" t="n">
        <v>45950.4913425926</v>
      </c>
      <c r="P5936" s="53" t="n">
        <v>45967.4469675926</v>
      </c>
      <c r="Q5936" s="53" t="n">
        <v>45950.4913425926</v>
      </c>
      <c r="R5936" s="0" t="n">
        <v>0</v>
      </c>
      <c r="S5936" s="51" t="s">
        <v>2356</v>
      </c>
      <c r="T5936" s="51" t="s">
        <v>2356</v>
      </c>
      <c r="U5936" s="0" t="str">
        <f aca="false">"8908020441030"</f>
        <v>8908020441030</v>
      </c>
      <c r="V5936" s="51" t="s">
        <v>5386</v>
      </c>
      <c r="W5936" s="51" t="s">
        <v>4792</v>
      </c>
      <c r="X5936" s="51" t="s">
        <v>2359</v>
      </c>
    </row>
    <row r="5937" customFormat="false" ht="14.25" hidden="true" customHeight="false" outlineLevel="0" collapsed="false">
      <c r="A5937" s="49" t="s">
        <v>2349</v>
      </c>
      <c r="B5937" s="49" t="s">
        <v>2350</v>
      </c>
      <c r="C5937" s="49" t="s">
        <v>10432</v>
      </c>
      <c r="D5937" s="49" t="s">
        <v>2352</v>
      </c>
      <c r="E5937" s="49" t="str">
        <f aca="false">"8908020441030"</f>
        <v>8908020441030</v>
      </c>
      <c r="F5937" s="49" t="s">
        <v>5384</v>
      </c>
      <c r="G5937" s="49" t="n">
        <v>0</v>
      </c>
      <c r="H5937" s="0" t="n">
        <v>0</v>
      </c>
      <c r="M5937" s="51" t="s">
        <v>10409</v>
      </c>
      <c r="N5937" s="49" t="n">
        <v>0</v>
      </c>
      <c r="O5937" s="53" t="n">
        <v>45950.491099537</v>
      </c>
      <c r="P5937" s="53" t="n">
        <v>45967.4432060185</v>
      </c>
      <c r="Q5937" s="53" t="n">
        <v>45950.491099537</v>
      </c>
      <c r="R5937" s="0" t="n">
        <v>0</v>
      </c>
      <c r="S5937" s="51" t="s">
        <v>2356</v>
      </c>
      <c r="T5937" s="51" t="s">
        <v>2356</v>
      </c>
      <c r="U5937" s="0" t="str">
        <f aca="false">"8908020441030"</f>
        <v>8908020441030</v>
      </c>
      <c r="V5937" s="51" t="s">
        <v>5386</v>
      </c>
      <c r="W5937" s="51" t="s">
        <v>6879</v>
      </c>
      <c r="X5937" s="51" t="s">
        <v>2359</v>
      </c>
    </row>
    <row r="5938" customFormat="false" ht="14.25" hidden="true" customHeight="false" outlineLevel="0" collapsed="false">
      <c r="A5938" s="49" t="s">
        <v>2349</v>
      </c>
      <c r="B5938" s="49" t="s">
        <v>2350</v>
      </c>
      <c r="C5938" s="49" t="s">
        <v>10433</v>
      </c>
      <c r="D5938" s="49" t="s">
        <v>2352</v>
      </c>
      <c r="E5938" s="49" t="str">
        <f aca="false">"8908020441030"</f>
        <v>8908020441030</v>
      </c>
      <c r="F5938" s="49" t="s">
        <v>5384</v>
      </c>
      <c r="G5938" s="49" t="n">
        <v>0</v>
      </c>
      <c r="H5938" s="0" t="n">
        <v>0</v>
      </c>
      <c r="M5938" s="51" t="s">
        <v>10409</v>
      </c>
      <c r="N5938" s="49" t="n">
        <v>0</v>
      </c>
      <c r="O5938" s="53" t="n">
        <v>45950.4908796296</v>
      </c>
      <c r="P5938" s="53" t="n">
        <v>46021.6586921296</v>
      </c>
      <c r="Q5938" s="53" t="n">
        <v>45950.4908796296</v>
      </c>
      <c r="R5938" s="0" t="n">
        <v>0</v>
      </c>
      <c r="S5938" s="51" t="s">
        <v>2356</v>
      </c>
      <c r="T5938" s="51" t="s">
        <v>2356</v>
      </c>
      <c r="U5938" s="0" t="str">
        <f aca="false">"8908020441030"</f>
        <v>8908020441030</v>
      </c>
      <c r="V5938" s="51" t="s">
        <v>5386</v>
      </c>
      <c r="W5938" s="51" t="s">
        <v>8916</v>
      </c>
      <c r="X5938" s="51" t="s">
        <v>2359</v>
      </c>
    </row>
    <row r="5939" customFormat="false" ht="14.25" hidden="true" customHeight="false" outlineLevel="0" collapsed="false">
      <c r="A5939" s="49" t="s">
        <v>2349</v>
      </c>
      <c r="B5939" s="49" t="s">
        <v>2350</v>
      </c>
      <c r="C5939" s="49" t="s">
        <v>10434</v>
      </c>
      <c r="D5939" s="49" t="s">
        <v>2352</v>
      </c>
      <c r="E5939" s="49" t="str">
        <f aca="false">"8908020441030"</f>
        <v>8908020441030</v>
      </c>
      <c r="F5939" s="49" t="s">
        <v>5384</v>
      </c>
      <c r="G5939" s="49" t="n">
        <v>0</v>
      </c>
      <c r="H5939" s="0" t="n">
        <v>0</v>
      </c>
      <c r="M5939" s="51" t="s">
        <v>10409</v>
      </c>
      <c r="N5939" s="49" t="n">
        <v>0</v>
      </c>
      <c r="O5939" s="53" t="n">
        <v>45950.4906712963</v>
      </c>
      <c r="P5939" s="53" t="n">
        <v>46006.8462731482</v>
      </c>
      <c r="Q5939" s="53" t="n">
        <v>45950.4906712963</v>
      </c>
      <c r="R5939" s="0" t="n">
        <v>0</v>
      </c>
      <c r="S5939" s="51" t="s">
        <v>2356</v>
      </c>
      <c r="T5939" s="51" t="s">
        <v>2356</v>
      </c>
      <c r="U5939" s="0" t="str">
        <f aca="false">"8908020441030"</f>
        <v>8908020441030</v>
      </c>
      <c r="V5939" s="51" t="s">
        <v>5386</v>
      </c>
      <c r="W5939" s="51" t="s">
        <v>5331</v>
      </c>
      <c r="X5939" s="51" t="s">
        <v>2359</v>
      </c>
    </row>
    <row r="5940" customFormat="false" ht="14.25" hidden="true" customHeight="false" outlineLevel="0" collapsed="false">
      <c r="A5940" s="49" t="s">
        <v>2349</v>
      </c>
      <c r="B5940" s="49" t="s">
        <v>2350</v>
      </c>
      <c r="C5940" s="49" t="s">
        <v>10435</v>
      </c>
      <c r="D5940" s="49" t="s">
        <v>2352</v>
      </c>
      <c r="E5940" s="49" t="str">
        <f aca="false">"8908020441030"</f>
        <v>8908020441030</v>
      </c>
      <c r="F5940" s="49" t="s">
        <v>5384</v>
      </c>
      <c r="G5940" s="49" t="n">
        <v>0</v>
      </c>
      <c r="H5940" s="0" t="n">
        <v>0</v>
      </c>
      <c r="M5940" s="51" t="s">
        <v>10409</v>
      </c>
      <c r="N5940" s="49" t="n">
        <v>0</v>
      </c>
      <c r="O5940" s="53" t="n">
        <v>45950.4902314815</v>
      </c>
      <c r="P5940" s="53" t="n">
        <v>46043.475787037</v>
      </c>
      <c r="Q5940" s="53" t="n">
        <v>45950.4902314815</v>
      </c>
      <c r="R5940" s="0" t="n">
        <v>0</v>
      </c>
      <c r="S5940" s="51" t="s">
        <v>2356</v>
      </c>
      <c r="T5940" s="51" t="s">
        <v>2356</v>
      </c>
      <c r="U5940" s="0" t="str">
        <f aca="false">"8908020441030"</f>
        <v>8908020441030</v>
      </c>
      <c r="V5940" s="51" t="s">
        <v>5386</v>
      </c>
      <c r="W5940" s="51" t="s">
        <v>5756</v>
      </c>
      <c r="X5940" s="51" t="s">
        <v>2359</v>
      </c>
    </row>
    <row r="5941" customFormat="false" ht="14.25" hidden="true" customHeight="false" outlineLevel="0" collapsed="false">
      <c r="A5941" s="49" t="s">
        <v>2349</v>
      </c>
      <c r="B5941" s="49" t="s">
        <v>2350</v>
      </c>
      <c r="C5941" s="49" t="s">
        <v>10436</v>
      </c>
      <c r="D5941" s="49" t="s">
        <v>2352</v>
      </c>
      <c r="E5941" s="49" t="str">
        <f aca="false">"8908020441030"</f>
        <v>8908020441030</v>
      </c>
      <c r="F5941" s="49" t="s">
        <v>5384</v>
      </c>
      <c r="G5941" s="49" t="n">
        <v>0</v>
      </c>
      <c r="H5941" s="0" t="n">
        <v>0</v>
      </c>
      <c r="M5941" s="51" t="s">
        <v>10409</v>
      </c>
      <c r="N5941" s="49" t="n">
        <v>0</v>
      </c>
      <c r="O5941" s="53" t="n">
        <v>45950.4899421296</v>
      </c>
      <c r="P5941" s="53" t="n">
        <v>46043.4763773148</v>
      </c>
      <c r="Q5941" s="53" t="n">
        <v>45950.4899421296</v>
      </c>
      <c r="R5941" s="0" t="n">
        <v>0</v>
      </c>
      <c r="S5941" s="51" t="s">
        <v>2356</v>
      </c>
      <c r="T5941" s="51" t="s">
        <v>2356</v>
      </c>
      <c r="U5941" s="0" t="str">
        <f aca="false">"8908020441030"</f>
        <v>8908020441030</v>
      </c>
      <c r="V5941" s="51" t="s">
        <v>5386</v>
      </c>
      <c r="W5941" s="51" t="s">
        <v>10429</v>
      </c>
      <c r="X5941" s="51" t="s">
        <v>2359</v>
      </c>
    </row>
    <row r="5942" customFormat="false" ht="14.25" hidden="true" customHeight="false" outlineLevel="0" collapsed="false">
      <c r="A5942" s="49" t="s">
        <v>2349</v>
      </c>
      <c r="B5942" s="49" t="s">
        <v>2350</v>
      </c>
      <c r="C5942" s="49" t="s">
        <v>10437</v>
      </c>
      <c r="D5942" s="49" t="s">
        <v>2352</v>
      </c>
      <c r="E5942" s="49" t="str">
        <f aca="false">"8908020441030"</f>
        <v>8908020441030</v>
      </c>
      <c r="F5942" s="49" t="s">
        <v>5384</v>
      </c>
      <c r="G5942" s="49" t="n">
        <v>0</v>
      </c>
      <c r="H5942" s="0" t="n">
        <v>0</v>
      </c>
      <c r="M5942" s="51" t="s">
        <v>10409</v>
      </c>
      <c r="N5942" s="49" t="n">
        <v>0</v>
      </c>
      <c r="O5942" s="53" t="n">
        <v>45950.507974537</v>
      </c>
      <c r="P5942" s="53" t="n">
        <v>45967.4463425926</v>
      </c>
      <c r="Q5942" s="53" t="n">
        <v>45950.507974537</v>
      </c>
      <c r="R5942" s="0" t="n">
        <v>0</v>
      </c>
      <c r="S5942" s="51" t="s">
        <v>2356</v>
      </c>
      <c r="T5942" s="51" t="s">
        <v>2356</v>
      </c>
      <c r="U5942" s="0" t="str">
        <f aca="false">"8908020441030"</f>
        <v>8908020441030</v>
      </c>
      <c r="V5942" s="51" t="s">
        <v>5386</v>
      </c>
      <c r="W5942" s="51" t="s">
        <v>5159</v>
      </c>
      <c r="X5942" s="51" t="s">
        <v>2359</v>
      </c>
    </row>
    <row r="5943" customFormat="false" ht="14.25" hidden="true" customHeight="false" outlineLevel="0" collapsed="false">
      <c r="A5943" s="49" t="s">
        <v>2349</v>
      </c>
      <c r="B5943" s="49" t="s">
        <v>2350</v>
      </c>
      <c r="C5943" s="49" t="s">
        <v>10438</v>
      </c>
      <c r="D5943" s="49" t="s">
        <v>2352</v>
      </c>
      <c r="E5943" s="49" t="str">
        <f aca="false">"8908020441030"</f>
        <v>8908020441030</v>
      </c>
      <c r="F5943" s="49" t="s">
        <v>5384</v>
      </c>
      <c r="G5943" s="49" t="n">
        <v>0</v>
      </c>
      <c r="H5943" s="0" t="n">
        <v>0</v>
      </c>
      <c r="M5943" s="51" t="s">
        <v>10409</v>
      </c>
      <c r="N5943" s="49" t="n">
        <v>0</v>
      </c>
      <c r="O5943" s="53" t="n">
        <v>45950.5073726852</v>
      </c>
      <c r="P5943" s="53" t="n">
        <v>45967.4433449074</v>
      </c>
      <c r="Q5943" s="53" t="n">
        <v>45950.5073726852</v>
      </c>
      <c r="R5943" s="0" t="n">
        <v>0</v>
      </c>
      <c r="S5943" s="51" t="s">
        <v>2356</v>
      </c>
      <c r="T5943" s="51" t="s">
        <v>2356</v>
      </c>
      <c r="U5943" s="0" t="str">
        <f aca="false">"8908020441030"</f>
        <v>8908020441030</v>
      </c>
      <c r="V5943" s="51" t="s">
        <v>5386</v>
      </c>
      <c r="W5943" s="51" t="s">
        <v>5750</v>
      </c>
      <c r="X5943" s="51" t="s">
        <v>2359</v>
      </c>
    </row>
    <row r="5944" customFormat="false" ht="14.25" hidden="true" customHeight="false" outlineLevel="0" collapsed="false">
      <c r="A5944" s="49" t="s">
        <v>2349</v>
      </c>
      <c r="B5944" s="49" t="s">
        <v>2350</v>
      </c>
      <c r="C5944" s="49" t="s">
        <v>10439</v>
      </c>
      <c r="D5944" s="49" t="s">
        <v>2352</v>
      </c>
      <c r="E5944" s="49" t="str">
        <f aca="false">"8908020441030"</f>
        <v>8908020441030</v>
      </c>
      <c r="F5944" s="49" t="s">
        <v>5384</v>
      </c>
      <c r="G5944" s="49" t="n">
        <v>0</v>
      </c>
      <c r="H5944" s="0" t="n">
        <v>0</v>
      </c>
      <c r="M5944" s="51" t="s">
        <v>10409</v>
      </c>
      <c r="N5944" s="49" t="n">
        <v>0</v>
      </c>
      <c r="O5944" s="53" t="n">
        <v>45950.5077314815</v>
      </c>
      <c r="P5944" s="53" t="n">
        <v>45967.4466203704</v>
      </c>
      <c r="Q5944" s="53" t="n">
        <v>45950.5077314815</v>
      </c>
      <c r="R5944" s="0" t="n">
        <v>0</v>
      </c>
      <c r="S5944" s="51" t="s">
        <v>2356</v>
      </c>
      <c r="T5944" s="51" t="s">
        <v>2356</v>
      </c>
      <c r="U5944" s="0" t="str">
        <f aca="false">"8908020441030"</f>
        <v>8908020441030</v>
      </c>
      <c r="V5944" s="51" t="s">
        <v>5386</v>
      </c>
      <c r="W5944" s="51" t="s">
        <v>5157</v>
      </c>
      <c r="X5944" s="51" t="s">
        <v>2359</v>
      </c>
    </row>
    <row r="5945" customFormat="false" ht="14.25" hidden="true" customHeight="false" outlineLevel="0" collapsed="false">
      <c r="A5945" s="49" t="s">
        <v>2349</v>
      </c>
      <c r="B5945" s="49" t="s">
        <v>2350</v>
      </c>
      <c r="C5945" s="49" t="s">
        <v>10440</v>
      </c>
      <c r="D5945" s="49" t="s">
        <v>2352</v>
      </c>
      <c r="E5945" s="49" t="str">
        <f aca="false">"8908020441030"</f>
        <v>8908020441030</v>
      </c>
      <c r="F5945" s="49" t="s">
        <v>5384</v>
      </c>
      <c r="G5945" s="49" t="n">
        <v>0</v>
      </c>
      <c r="H5945" s="0" t="n">
        <v>0</v>
      </c>
      <c r="M5945" s="51" t="s">
        <v>10409</v>
      </c>
      <c r="N5945" s="49" t="n">
        <v>0</v>
      </c>
      <c r="O5945" s="53" t="n">
        <v>45950.5071527778</v>
      </c>
      <c r="P5945" s="53" t="n">
        <v>45967.4468518519</v>
      </c>
      <c r="Q5945" s="53" t="n">
        <v>45950.5071527778</v>
      </c>
      <c r="R5945" s="0" t="n">
        <v>0</v>
      </c>
      <c r="S5945" s="51" t="s">
        <v>2356</v>
      </c>
      <c r="T5945" s="51" t="s">
        <v>2356</v>
      </c>
      <c r="U5945" s="0" t="str">
        <f aca="false">"8908020441030"</f>
        <v>8908020441030</v>
      </c>
      <c r="V5945" s="51" t="s">
        <v>5386</v>
      </c>
      <c r="W5945" s="51" t="s">
        <v>5414</v>
      </c>
      <c r="X5945" s="51" t="s">
        <v>2359</v>
      </c>
    </row>
    <row r="5946" customFormat="false" ht="14.25" hidden="true" customHeight="false" outlineLevel="0" collapsed="false">
      <c r="A5946" s="49" t="s">
        <v>2349</v>
      </c>
      <c r="B5946" s="49" t="s">
        <v>2350</v>
      </c>
      <c r="C5946" s="49" t="s">
        <v>10441</v>
      </c>
      <c r="D5946" s="49" t="s">
        <v>2352</v>
      </c>
      <c r="E5946" s="49" t="str">
        <f aca="false">"8908020441030"</f>
        <v>8908020441030</v>
      </c>
      <c r="F5946" s="49" t="s">
        <v>5384</v>
      </c>
      <c r="G5946" s="49" t="n">
        <v>0</v>
      </c>
      <c r="H5946" s="0" t="n">
        <v>0</v>
      </c>
      <c r="M5946" s="51" t="s">
        <v>10409</v>
      </c>
      <c r="N5946" s="49" t="n">
        <v>0</v>
      </c>
      <c r="O5946" s="53" t="n">
        <v>45950.5068402778</v>
      </c>
      <c r="P5946" s="53" t="n">
        <v>46040.4508564815</v>
      </c>
      <c r="Q5946" s="53" t="n">
        <v>45950.5068402778</v>
      </c>
      <c r="R5946" s="0" t="n">
        <v>0</v>
      </c>
      <c r="S5946" s="51" t="s">
        <v>2356</v>
      </c>
      <c r="T5946" s="51" t="s">
        <v>2356</v>
      </c>
      <c r="U5946" s="0" t="str">
        <f aca="false">"8908020441030"</f>
        <v>8908020441030</v>
      </c>
      <c r="V5946" s="51" t="s">
        <v>5386</v>
      </c>
      <c r="W5946" s="51" t="s">
        <v>9050</v>
      </c>
      <c r="X5946" s="51" t="s">
        <v>2359</v>
      </c>
    </row>
    <row r="5947" customFormat="false" ht="14.25" hidden="true" customHeight="false" outlineLevel="0" collapsed="false">
      <c r="A5947" s="49" t="s">
        <v>2349</v>
      </c>
      <c r="B5947" s="49" t="s">
        <v>2350</v>
      </c>
      <c r="C5947" s="49" t="s">
        <v>10442</v>
      </c>
      <c r="D5947" s="49" t="s">
        <v>2352</v>
      </c>
      <c r="E5947" s="49" t="str">
        <f aca="false">"8908020441030"</f>
        <v>8908020441030</v>
      </c>
      <c r="F5947" s="49" t="s">
        <v>5384</v>
      </c>
      <c r="G5947" s="49" t="n">
        <v>0</v>
      </c>
      <c r="H5947" s="0" t="n">
        <v>0</v>
      </c>
      <c r="M5947" s="51" t="s">
        <v>10409</v>
      </c>
      <c r="N5947" s="49" t="n">
        <v>0</v>
      </c>
      <c r="O5947" s="53" t="n">
        <v>45950.5028703704</v>
      </c>
      <c r="P5947" s="53" t="n">
        <v>46037.6761458333</v>
      </c>
      <c r="Q5947" s="53" t="n">
        <v>45950.5028703704</v>
      </c>
      <c r="R5947" s="0" t="n">
        <v>0</v>
      </c>
      <c r="S5947" s="51" t="s">
        <v>2356</v>
      </c>
      <c r="T5947" s="51" t="s">
        <v>2356</v>
      </c>
      <c r="U5947" s="0" t="str">
        <f aca="false">"8908020441030"</f>
        <v>8908020441030</v>
      </c>
      <c r="V5947" s="51" t="s">
        <v>5386</v>
      </c>
      <c r="W5947" s="51" t="s">
        <v>7677</v>
      </c>
      <c r="X5947" s="51" t="s">
        <v>2359</v>
      </c>
    </row>
    <row r="5948" customFormat="false" ht="14.25" hidden="true" customHeight="false" outlineLevel="0" collapsed="false">
      <c r="A5948" s="49" t="s">
        <v>2349</v>
      </c>
      <c r="B5948" s="49" t="s">
        <v>2350</v>
      </c>
      <c r="C5948" s="49" t="s">
        <v>10443</v>
      </c>
      <c r="D5948" s="49" t="s">
        <v>2352</v>
      </c>
      <c r="E5948" s="49" t="str">
        <f aca="false">"8908020441030"</f>
        <v>8908020441030</v>
      </c>
      <c r="F5948" s="49" t="s">
        <v>5384</v>
      </c>
      <c r="G5948" s="49" t="n">
        <v>0</v>
      </c>
      <c r="H5948" s="0" t="n">
        <v>0</v>
      </c>
      <c r="M5948" s="51" t="s">
        <v>10409</v>
      </c>
      <c r="N5948" s="49" t="n">
        <v>0</v>
      </c>
      <c r="O5948" s="53" t="n">
        <v>45950.5027083333</v>
      </c>
      <c r="P5948" s="53" t="n">
        <v>46043.4756134259</v>
      </c>
      <c r="Q5948" s="53" t="n">
        <v>45950.5027083333</v>
      </c>
      <c r="R5948" s="0" t="n">
        <v>0</v>
      </c>
      <c r="S5948" s="51" t="s">
        <v>2356</v>
      </c>
      <c r="T5948" s="51" t="s">
        <v>2356</v>
      </c>
      <c r="U5948" s="0" t="str">
        <f aca="false">"8908020441030"</f>
        <v>8908020441030</v>
      </c>
      <c r="V5948" s="51" t="s">
        <v>5386</v>
      </c>
      <c r="W5948" s="51" t="s">
        <v>5476</v>
      </c>
      <c r="X5948" s="51" t="s">
        <v>2359</v>
      </c>
    </row>
    <row r="5949" customFormat="false" ht="14.25" hidden="true" customHeight="false" outlineLevel="0" collapsed="false">
      <c r="A5949" s="49" t="s">
        <v>2349</v>
      </c>
      <c r="B5949" s="49" t="s">
        <v>2350</v>
      </c>
      <c r="C5949" s="49" t="s">
        <v>10444</v>
      </c>
      <c r="D5949" s="49" t="s">
        <v>2352</v>
      </c>
      <c r="E5949" s="49" t="str">
        <f aca="false">"8908020441030"</f>
        <v>8908020441030</v>
      </c>
      <c r="F5949" s="49" t="s">
        <v>5384</v>
      </c>
      <c r="G5949" s="49" t="n">
        <v>0</v>
      </c>
      <c r="H5949" s="0" t="n">
        <v>0</v>
      </c>
      <c r="M5949" s="51" t="s">
        <v>10409</v>
      </c>
      <c r="N5949" s="49" t="n">
        <v>0</v>
      </c>
      <c r="O5949" s="53" t="n">
        <v>45950.5025462963</v>
      </c>
      <c r="P5949" s="53" t="n">
        <v>46006.3218865741</v>
      </c>
      <c r="Q5949" s="53" t="n">
        <v>45950.5025462963</v>
      </c>
      <c r="R5949" s="0" t="n">
        <v>0</v>
      </c>
      <c r="S5949" s="51" t="s">
        <v>2356</v>
      </c>
      <c r="T5949" s="51" t="s">
        <v>2356</v>
      </c>
      <c r="U5949" s="0" t="str">
        <f aca="false">"8908020441030"</f>
        <v>8908020441030</v>
      </c>
      <c r="V5949" s="51" t="s">
        <v>5386</v>
      </c>
      <c r="W5949" s="51" t="s">
        <v>5331</v>
      </c>
      <c r="X5949" s="51" t="s">
        <v>2359</v>
      </c>
    </row>
    <row r="5950" customFormat="false" ht="14.25" hidden="true" customHeight="false" outlineLevel="0" collapsed="false">
      <c r="A5950" s="49" t="s">
        <v>2349</v>
      </c>
      <c r="B5950" s="49" t="s">
        <v>2350</v>
      </c>
      <c r="C5950" s="49" t="s">
        <v>10445</v>
      </c>
      <c r="D5950" s="49" t="s">
        <v>2352</v>
      </c>
      <c r="E5950" s="49" t="str">
        <f aca="false">"8908020441030"</f>
        <v>8908020441030</v>
      </c>
      <c r="F5950" s="49" t="s">
        <v>5384</v>
      </c>
      <c r="G5950" s="49" t="n">
        <v>0</v>
      </c>
      <c r="H5950" s="0" t="n">
        <v>0</v>
      </c>
      <c r="M5950" s="51" t="s">
        <v>10409</v>
      </c>
      <c r="N5950" s="49" t="n">
        <v>0</v>
      </c>
      <c r="O5950" s="53" t="n">
        <v>45950.5023726852</v>
      </c>
      <c r="P5950" s="53" t="n">
        <v>45967.4464930556</v>
      </c>
      <c r="Q5950" s="53" t="n">
        <v>45950.5023726852</v>
      </c>
      <c r="R5950" s="0" t="n">
        <v>0</v>
      </c>
      <c r="S5950" s="51" t="s">
        <v>2356</v>
      </c>
      <c r="T5950" s="51" t="s">
        <v>2356</v>
      </c>
      <c r="U5950" s="0" t="str">
        <f aca="false">"8908020441030"</f>
        <v>8908020441030</v>
      </c>
      <c r="V5950" s="51" t="s">
        <v>5386</v>
      </c>
      <c r="W5950" s="51" t="s">
        <v>6881</v>
      </c>
      <c r="X5950" s="51" t="s">
        <v>2359</v>
      </c>
    </row>
    <row r="5951" customFormat="false" ht="14.25" hidden="true" customHeight="false" outlineLevel="0" collapsed="false">
      <c r="A5951" s="49" t="s">
        <v>2349</v>
      </c>
      <c r="B5951" s="49" t="s">
        <v>2350</v>
      </c>
      <c r="C5951" s="49" t="s">
        <v>10446</v>
      </c>
      <c r="D5951" s="49" t="s">
        <v>2352</v>
      </c>
      <c r="E5951" s="49" t="str">
        <f aca="false">"8908020441030"</f>
        <v>8908020441030</v>
      </c>
      <c r="F5951" s="49" t="s">
        <v>5384</v>
      </c>
      <c r="G5951" s="49" t="n">
        <v>0</v>
      </c>
      <c r="H5951" s="0" t="n">
        <v>0</v>
      </c>
      <c r="M5951" s="51" t="s">
        <v>10409</v>
      </c>
      <c r="N5951" s="49" t="n">
        <v>0</v>
      </c>
      <c r="O5951" s="53" t="n">
        <v>45950.5021875</v>
      </c>
      <c r="P5951" s="53" t="n">
        <v>45967.4454513889</v>
      </c>
      <c r="Q5951" s="53" t="n">
        <v>45950.5021875</v>
      </c>
      <c r="R5951" s="0" t="n">
        <v>0</v>
      </c>
      <c r="S5951" s="51" t="s">
        <v>2356</v>
      </c>
      <c r="T5951" s="51" t="s">
        <v>2356</v>
      </c>
      <c r="U5951" s="0" t="str">
        <f aca="false">"8908020441030"</f>
        <v>8908020441030</v>
      </c>
      <c r="V5951" s="51" t="s">
        <v>5386</v>
      </c>
      <c r="W5951" s="51" t="s">
        <v>5147</v>
      </c>
      <c r="X5951" s="51" t="s">
        <v>2359</v>
      </c>
    </row>
    <row r="5952" customFormat="false" ht="14.25" hidden="true" customHeight="false" outlineLevel="0" collapsed="false">
      <c r="A5952" s="49" t="s">
        <v>2349</v>
      </c>
      <c r="B5952" s="49" t="s">
        <v>2350</v>
      </c>
      <c r="C5952" s="49" t="s">
        <v>10447</v>
      </c>
      <c r="D5952" s="49" t="s">
        <v>2352</v>
      </c>
      <c r="E5952" s="49" t="str">
        <f aca="false">"8908020441030"</f>
        <v>8908020441030</v>
      </c>
      <c r="F5952" s="49" t="s">
        <v>5384</v>
      </c>
      <c r="G5952" s="49" t="n">
        <v>0</v>
      </c>
      <c r="H5952" s="0" t="n">
        <v>0</v>
      </c>
      <c r="M5952" s="51" t="s">
        <v>10409</v>
      </c>
      <c r="N5952" s="49" t="n">
        <v>0</v>
      </c>
      <c r="O5952" s="53" t="n">
        <v>45950.5020023148</v>
      </c>
      <c r="P5952" s="53" t="n">
        <v>45967.4476273148</v>
      </c>
      <c r="Q5952" s="53" t="n">
        <v>45950.5020023148</v>
      </c>
      <c r="R5952" s="0" t="n">
        <v>0</v>
      </c>
      <c r="S5952" s="51" t="s">
        <v>2356</v>
      </c>
      <c r="T5952" s="51" t="s">
        <v>2356</v>
      </c>
      <c r="U5952" s="0" t="str">
        <f aca="false">"8908020441030"</f>
        <v>8908020441030</v>
      </c>
      <c r="V5952" s="51" t="s">
        <v>5386</v>
      </c>
      <c r="W5952" s="51" t="s">
        <v>4586</v>
      </c>
      <c r="X5952" s="51" t="s">
        <v>2359</v>
      </c>
    </row>
    <row r="5953" customFormat="false" ht="14.25" hidden="true" customHeight="false" outlineLevel="0" collapsed="false">
      <c r="A5953" s="49" t="s">
        <v>2349</v>
      </c>
      <c r="B5953" s="49" t="s">
        <v>2350</v>
      </c>
      <c r="C5953" s="49" t="s">
        <v>10448</v>
      </c>
      <c r="D5953" s="49" t="s">
        <v>2352</v>
      </c>
      <c r="E5953" s="49" t="str">
        <f aca="false">"8908020441030"</f>
        <v>8908020441030</v>
      </c>
      <c r="F5953" s="49" t="s">
        <v>5384</v>
      </c>
      <c r="G5953" s="49" t="n">
        <v>0</v>
      </c>
      <c r="H5953" s="0" t="n">
        <v>0</v>
      </c>
      <c r="M5953" s="51" t="s">
        <v>10409</v>
      </c>
      <c r="N5953" s="49" t="n">
        <v>0</v>
      </c>
      <c r="O5953" s="53" t="n">
        <v>45950.5018287037</v>
      </c>
      <c r="P5953" s="53" t="n">
        <v>45967.4478819444</v>
      </c>
      <c r="Q5953" s="53" t="n">
        <v>45950.5018287037</v>
      </c>
      <c r="R5953" s="0" t="n">
        <v>0</v>
      </c>
      <c r="S5953" s="51" t="s">
        <v>2356</v>
      </c>
      <c r="T5953" s="51" t="s">
        <v>2356</v>
      </c>
      <c r="U5953" s="0" t="str">
        <f aca="false">"8908020441030"</f>
        <v>8908020441030</v>
      </c>
      <c r="V5953" s="51" t="s">
        <v>5386</v>
      </c>
      <c r="W5953" s="51" t="s">
        <v>4126</v>
      </c>
      <c r="X5953" s="51" t="s">
        <v>2359</v>
      </c>
    </row>
    <row r="5954" customFormat="false" ht="14.25" hidden="true" customHeight="false" outlineLevel="0" collapsed="false">
      <c r="A5954" s="49" t="s">
        <v>2349</v>
      </c>
      <c r="B5954" s="49" t="s">
        <v>2350</v>
      </c>
      <c r="C5954" s="49" t="s">
        <v>10449</v>
      </c>
      <c r="D5954" s="49" t="s">
        <v>2352</v>
      </c>
      <c r="E5954" s="49" t="str">
        <f aca="false">"5060458890191"</f>
        <v>5060458890191</v>
      </c>
      <c r="F5954" s="49" t="s">
        <v>3656</v>
      </c>
      <c r="G5954" s="49" t="n">
        <v>0</v>
      </c>
      <c r="H5954" s="0" t="n">
        <v>0</v>
      </c>
      <c r="M5954" s="51" t="s">
        <v>10450</v>
      </c>
      <c r="N5954" s="49" t="n">
        <v>0</v>
      </c>
      <c r="O5954" s="53" t="n">
        <v>45888.558275463</v>
      </c>
      <c r="P5954" s="53" t="n">
        <v>45901.8224305556</v>
      </c>
      <c r="Q5954" s="53" t="n">
        <v>45888.558275463</v>
      </c>
      <c r="R5954" s="0" t="n">
        <v>0</v>
      </c>
      <c r="S5954" s="51" t="s">
        <v>2416</v>
      </c>
      <c r="T5954" s="51" t="s">
        <v>2416</v>
      </c>
      <c r="U5954" s="0" t="str">
        <f aca="false">"5060458890191"</f>
        <v>5060458890191</v>
      </c>
      <c r="V5954" s="51" t="s">
        <v>2142</v>
      </c>
      <c r="W5954" s="51" t="s">
        <v>10451</v>
      </c>
      <c r="X5954" s="51" t="s">
        <v>2359</v>
      </c>
    </row>
    <row r="5955" customFormat="false" ht="14.25" hidden="true" customHeight="false" outlineLevel="0" collapsed="false">
      <c r="A5955" s="49" t="s">
        <v>2349</v>
      </c>
      <c r="B5955" s="49" t="s">
        <v>2350</v>
      </c>
      <c r="C5955" s="49" t="s">
        <v>10452</v>
      </c>
      <c r="D5955" s="49" t="s">
        <v>2352</v>
      </c>
      <c r="E5955" s="49" t="str">
        <f aca="false">"5060458890191"</f>
        <v>5060458890191</v>
      </c>
      <c r="F5955" s="49" t="s">
        <v>3656</v>
      </c>
      <c r="G5955" s="49" t="n">
        <v>0</v>
      </c>
      <c r="H5955" s="0" t="n">
        <v>0</v>
      </c>
      <c r="M5955" s="51" t="s">
        <v>10450</v>
      </c>
      <c r="N5955" s="49" t="n">
        <v>0</v>
      </c>
      <c r="O5955" s="53" t="n">
        <v>45888.5583912037</v>
      </c>
      <c r="P5955" s="53" t="n">
        <v>45890.6245717593</v>
      </c>
      <c r="Q5955" s="53" t="n">
        <v>45888.5583912037</v>
      </c>
      <c r="R5955" s="0" t="n">
        <v>0</v>
      </c>
      <c r="S5955" s="51" t="s">
        <v>2416</v>
      </c>
      <c r="T5955" s="51" t="s">
        <v>2416</v>
      </c>
      <c r="U5955" s="0" t="str">
        <f aca="false">"5060458890191"</f>
        <v>5060458890191</v>
      </c>
      <c r="V5955" s="51" t="s">
        <v>2142</v>
      </c>
      <c r="W5955" s="51" t="s">
        <v>10453</v>
      </c>
      <c r="X5955" s="51" t="s">
        <v>2359</v>
      </c>
    </row>
    <row r="5956" customFormat="false" ht="14.25" hidden="true" customHeight="false" outlineLevel="0" collapsed="false">
      <c r="A5956" s="49" t="s">
        <v>2349</v>
      </c>
      <c r="B5956" s="49" t="s">
        <v>2350</v>
      </c>
      <c r="C5956" s="49" t="s">
        <v>10454</v>
      </c>
      <c r="D5956" s="49" t="s">
        <v>2352</v>
      </c>
      <c r="E5956" s="49" t="str">
        <f aca="false">"5060458890191"</f>
        <v>5060458890191</v>
      </c>
      <c r="F5956" s="49" t="s">
        <v>3656</v>
      </c>
      <c r="G5956" s="49" t="n">
        <v>0</v>
      </c>
      <c r="H5956" s="0" t="n">
        <v>0</v>
      </c>
      <c r="M5956" s="51" t="s">
        <v>10450</v>
      </c>
      <c r="N5956" s="49" t="n">
        <v>0</v>
      </c>
      <c r="O5956" s="53" t="n">
        <v>45888.5584837963</v>
      </c>
      <c r="P5956" s="53" t="n">
        <v>45890.6276041667</v>
      </c>
      <c r="Q5956" s="53" t="n">
        <v>45888.5584837963</v>
      </c>
      <c r="R5956" s="0" t="n">
        <v>0</v>
      </c>
      <c r="S5956" s="51" t="s">
        <v>2416</v>
      </c>
      <c r="T5956" s="51" t="s">
        <v>2416</v>
      </c>
      <c r="U5956" s="0" t="str">
        <f aca="false">"5060458890191"</f>
        <v>5060458890191</v>
      </c>
      <c r="V5956" s="51" t="s">
        <v>2142</v>
      </c>
      <c r="W5956" s="51" t="s">
        <v>6430</v>
      </c>
      <c r="X5956" s="51" t="s">
        <v>2359</v>
      </c>
    </row>
    <row r="5957" customFormat="false" ht="14.25" hidden="true" customHeight="false" outlineLevel="0" collapsed="false">
      <c r="A5957" s="49" t="s">
        <v>2349</v>
      </c>
      <c r="B5957" s="49" t="s">
        <v>2350</v>
      </c>
      <c r="C5957" s="49" t="s">
        <v>10455</v>
      </c>
      <c r="D5957" s="49" t="s">
        <v>2352</v>
      </c>
      <c r="E5957" s="49" t="str">
        <f aca="false">"5060458890191"</f>
        <v>5060458890191</v>
      </c>
      <c r="F5957" s="49" t="s">
        <v>3656</v>
      </c>
      <c r="G5957" s="49" t="n">
        <v>0</v>
      </c>
      <c r="H5957" s="0" t="n">
        <v>0</v>
      </c>
      <c r="M5957" s="51" t="s">
        <v>10450</v>
      </c>
      <c r="N5957" s="49" t="n">
        <v>0</v>
      </c>
      <c r="O5957" s="53" t="n">
        <v>45888.5585763889</v>
      </c>
      <c r="P5957" s="53" t="n">
        <v>45890.5578703704</v>
      </c>
      <c r="Q5957" s="53" t="n">
        <v>45888.5585763889</v>
      </c>
      <c r="R5957" s="0" t="n">
        <v>0</v>
      </c>
      <c r="S5957" s="51" t="s">
        <v>2416</v>
      </c>
      <c r="T5957" s="51" t="s">
        <v>2416</v>
      </c>
      <c r="U5957" s="0" t="str">
        <f aca="false">"5060458890191"</f>
        <v>5060458890191</v>
      </c>
      <c r="V5957" s="51" t="s">
        <v>2142</v>
      </c>
      <c r="W5957" s="51" t="s">
        <v>7578</v>
      </c>
      <c r="X5957" s="51" t="s">
        <v>2359</v>
      </c>
    </row>
    <row r="5958" customFormat="false" ht="14.25" hidden="true" customHeight="false" outlineLevel="0" collapsed="false">
      <c r="A5958" s="49" t="s">
        <v>2349</v>
      </c>
      <c r="B5958" s="49" t="s">
        <v>2350</v>
      </c>
      <c r="C5958" s="49" t="s">
        <v>10456</v>
      </c>
      <c r="D5958" s="49" t="s">
        <v>2352</v>
      </c>
      <c r="E5958" s="49" t="str">
        <f aca="false">"5060458890191"</f>
        <v>5060458890191</v>
      </c>
      <c r="F5958" s="49" t="s">
        <v>3656</v>
      </c>
      <c r="G5958" s="49" t="n">
        <v>0</v>
      </c>
      <c r="H5958" s="0" t="n">
        <v>0</v>
      </c>
      <c r="M5958" s="51" t="s">
        <v>10450</v>
      </c>
      <c r="N5958" s="49" t="n">
        <v>0</v>
      </c>
      <c r="O5958" s="53" t="n">
        <v>45888.559212963</v>
      </c>
      <c r="P5958" s="53" t="n">
        <v>45890.8908449074</v>
      </c>
      <c r="Q5958" s="53" t="n">
        <v>45888.559212963</v>
      </c>
      <c r="R5958" s="0" t="n">
        <v>0</v>
      </c>
      <c r="S5958" s="51" t="s">
        <v>2416</v>
      </c>
      <c r="T5958" s="51" t="s">
        <v>2416</v>
      </c>
      <c r="U5958" s="0" t="str">
        <f aca="false">"5060458890191"</f>
        <v>5060458890191</v>
      </c>
      <c r="V5958" s="51" t="s">
        <v>2142</v>
      </c>
      <c r="W5958" s="51" t="s">
        <v>6938</v>
      </c>
      <c r="X5958" s="51" t="s">
        <v>2359</v>
      </c>
    </row>
    <row r="5959" customFormat="false" ht="14.25" hidden="true" customHeight="false" outlineLevel="0" collapsed="false">
      <c r="A5959" s="49" t="s">
        <v>2349</v>
      </c>
      <c r="B5959" s="49" t="s">
        <v>2350</v>
      </c>
      <c r="C5959" s="49" t="s">
        <v>10457</v>
      </c>
      <c r="D5959" s="49" t="s">
        <v>2352</v>
      </c>
      <c r="E5959" s="49" t="str">
        <f aca="false">"5060458890191"</f>
        <v>5060458890191</v>
      </c>
      <c r="F5959" s="49" t="s">
        <v>3656</v>
      </c>
      <c r="G5959" s="49" t="n">
        <v>0</v>
      </c>
      <c r="H5959" s="0" t="n">
        <v>0</v>
      </c>
      <c r="M5959" s="51" t="s">
        <v>10450</v>
      </c>
      <c r="N5959" s="49" t="n">
        <v>0</v>
      </c>
      <c r="O5959" s="53" t="n">
        <v>45888.5592939815</v>
      </c>
      <c r="P5959" s="53" t="n">
        <v>45918.8355092593</v>
      </c>
      <c r="Q5959" s="53" t="n">
        <v>45888.5592939815</v>
      </c>
      <c r="R5959" s="0" t="n">
        <v>0</v>
      </c>
      <c r="S5959" s="51" t="s">
        <v>2416</v>
      </c>
      <c r="T5959" s="51" t="s">
        <v>2416</v>
      </c>
      <c r="U5959" s="0" t="str">
        <f aca="false">"5060458890191"</f>
        <v>5060458890191</v>
      </c>
      <c r="V5959" s="51" t="s">
        <v>2142</v>
      </c>
      <c r="W5959" s="51" t="s">
        <v>10458</v>
      </c>
      <c r="X5959" s="51" t="s">
        <v>2359</v>
      </c>
    </row>
    <row r="5960" customFormat="false" ht="14.25" hidden="true" customHeight="false" outlineLevel="0" collapsed="false">
      <c r="A5960" s="49" t="s">
        <v>2349</v>
      </c>
      <c r="B5960" s="49" t="s">
        <v>2350</v>
      </c>
      <c r="C5960" s="49" t="s">
        <v>10459</v>
      </c>
      <c r="D5960" s="49" t="s">
        <v>2352</v>
      </c>
      <c r="E5960" s="49" t="str">
        <f aca="false">"5060458890191"</f>
        <v>5060458890191</v>
      </c>
      <c r="F5960" s="49" t="s">
        <v>3656</v>
      </c>
      <c r="G5960" s="49" t="n">
        <v>0</v>
      </c>
      <c r="H5960" s="0" t="n">
        <v>0</v>
      </c>
      <c r="M5960" s="51" t="s">
        <v>10450</v>
      </c>
      <c r="N5960" s="49" t="n">
        <v>0</v>
      </c>
      <c r="O5960" s="53" t="n">
        <v>45888.5593865741</v>
      </c>
      <c r="P5960" s="53" t="n">
        <v>45918.7654166667</v>
      </c>
      <c r="Q5960" s="53" t="n">
        <v>45888.5593865741</v>
      </c>
      <c r="R5960" s="0" t="n">
        <v>0</v>
      </c>
      <c r="S5960" s="51" t="s">
        <v>2416</v>
      </c>
      <c r="T5960" s="51" t="s">
        <v>2416</v>
      </c>
      <c r="U5960" s="0" t="str">
        <f aca="false">"5060458890191"</f>
        <v>5060458890191</v>
      </c>
      <c r="V5960" s="51" t="s">
        <v>2142</v>
      </c>
      <c r="W5960" s="51" t="s">
        <v>6185</v>
      </c>
      <c r="X5960" s="51" t="s">
        <v>2359</v>
      </c>
    </row>
    <row r="5961" customFormat="false" ht="14.25" hidden="true" customHeight="false" outlineLevel="0" collapsed="false">
      <c r="A5961" s="49" t="s">
        <v>2349</v>
      </c>
      <c r="B5961" s="49" t="s">
        <v>2350</v>
      </c>
      <c r="C5961" s="49" t="s">
        <v>10460</v>
      </c>
      <c r="D5961" s="49" t="s">
        <v>2352</v>
      </c>
      <c r="E5961" s="49" t="str">
        <f aca="false">"5060458890191"</f>
        <v>5060458890191</v>
      </c>
      <c r="F5961" s="49" t="s">
        <v>3656</v>
      </c>
      <c r="G5961" s="49" t="n">
        <v>0</v>
      </c>
      <c r="H5961" s="0" t="n">
        <v>0</v>
      </c>
      <c r="M5961" s="51" t="s">
        <v>10450</v>
      </c>
      <c r="N5961" s="49" t="n">
        <v>0</v>
      </c>
      <c r="O5961" s="53" t="n">
        <v>45888.5597337963</v>
      </c>
      <c r="P5961" s="53" t="n">
        <v>45890.5535763889</v>
      </c>
      <c r="Q5961" s="53" t="n">
        <v>45888.5597337963</v>
      </c>
      <c r="R5961" s="0" t="n">
        <v>0</v>
      </c>
      <c r="S5961" s="51" t="s">
        <v>2416</v>
      </c>
      <c r="T5961" s="51" t="s">
        <v>2416</v>
      </c>
      <c r="U5961" s="0" t="str">
        <f aca="false">"5060458890191"</f>
        <v>5060458890191</v>
      </c>
      <c r="V5961" s="51" t="s">
        <v>2142</v>
      </c>
      <c r="W5961" s="51" t="s">
        <v>4797</v>
      </c>
      <c r="X5961" s="51" t="s">
        <v>2359</v>
      </c>
    </row>
    <row r="5962" customFormat="false" ht="14.25" hidden="true" customHeight="false" outlineLevel="0" collapsed="false">
      <c r="A5962" s="49" t="s">
        <v>2349</v>
      </c>
      <c r="B5962" s="49" t="s">
        <v>2350</v>
      </c>
      <c r="C5962" s="49" t="s">
        <v>10461</v>
      </c>
      <c r="D5962" s="49" t="s">
        <v>2352</v>
      </c>
      <c r="E5962" s="49" t="str">
        <f aca="false">"5060458890191"</f>
        <v>5060458890191</v>
      </c>
      <c r="F5962" s="49" t="s">
        <v>3656</v>
      </c>
      <c r="G5962" s="49" t="n">
        <v>0</v>
      </c>
      <c r="H5962" s="0" t="n">
        <v>0</v>
      </c>
      <c r="M5962" s="51" t="s">
        <v>10450</v>
      </c>
      <c r="N5962" s="49" t="n">
        <v>0</v>
      </c>
      <c r="O5962" s="53" t="n">
        <v>45888.559837963</v>
      </c>
      <c r="P5962" s="53" t="n">
        <v>45890.5585416667</v>
      </c>
      <c r="Q5962" s="53" t="n">
        <v>45888.559837963</v>
      </c>
      <c r="R5962" s="0" t="n">
        <v>0</v>
      </c>
      <c r="S5962" s="51" t="s">
        <v>2416</v>
      </c>
      <c r="T5962" s="51" t="s">
        <v>2416</v>
      </c>
      <c r="U5962" s="0" t="str">
        <f aca="false">"5060458890191"</f>
        <v>5060458890191</v>
      </c>
      <c r="V5962" s="51" t="s">
        <v>2142</v>
      </c>
      <c r="W5962" s="51" t="s">
        <v>6568</v>
      </c>
      <c r="X5962" s="51" t="s">
        <v>2359</v>
      </c>
    </row>
    <row r="5963" customFormat="false" ht="14.25" hidden="true" customHeight="false" outlineLevel="0" collapsed="false">
      <c r="A5963" s="49" t="s">
        <v>2349</v>
      </c>
      <c r="B5963" s="49" t="s">
        <v>2350</v>
      </c>
      <c r="C5963" s="49" t="s">
        <v>10462</v>
      </c>
      <c r="D5963" s="49" t="s">
        <v>2352</v>
      </c>
      <c r="E5963" s="49" t="str">
        <f aca="false">"5060458890191"</f>
        <v>5060458890191</v>
      </c>
      <c r="F5963" s="49" t="s">
        <v>3656</v>
      </c>
      <c r="G5963" s="49" t="n">
        <v>0</v>
      </c>
      <c r="H5963" s="0" t="n">
        <v>0</v>
      </c>
      <c r="M5963" s="51" t="s">
        <v>10450</v>
      </c>
      <c r="N5963" s="49" t="n">
        <v>0</v>
      </c>
      <c r="O5963" s="53" t="n">
        <v>45888.5599189815</v>
      </c>
      <c r="P5963" s="53" t="n">
        <v>45900.7466087963</v>
      </c>
      <c r="Q5963" s="53" t="n">
        <v>45888.5599189815</v>
      </c>
      <c r="R5963" s="0" t="n">
        <v>0</v>
      </c>
      <c r="S5963" s="51" t="s">
        <v>2416</v>
      </c>
      <c r="T5963" s="51" t="s">
        <v>2416</v>
      </c>
      <c r="U5963" s="0" t="str">
        <f aca="false">"5060458890191"</f>
        <v>5060458890191</v>
      </c>
      <c r="V5963" s="51" t="s">
        <v>2142</v>
      </c>
      <c r="W5963" s="51" t="s">
        <v>8966</v>
      </c>
      <c r="X5963" s="51" t="s">
        <v>2359</v>
      </c>
    </row>
    <row r="5964" customFormat="false" ht="14.25" hidden="true" customHeight="false" outlineLevel="0" collapsed="false">
      <c r="A5964" s="49" t="s">
        <v>2349</v>
      </c>
      <c r="B5964" s="49" t="s">
        <v>2350</v>
      </c>
      <c r="C5964" s="49" t="s">
        <v>10463</v>
      </c>
      <c r="D5964" s="49" t="s">
        <v>2352</v>
      </c>
      <c r="E5964" s="49" t="str">
        <f aca="false">"5060458890191"</f>
        <v>5060458890191</v>
      </c>
      <c r="F5964" s="49" t="s">
        <v>3656</v>
      </c>
      <c r="G5964" s="49" t="n">
        <v>0</v>
      </c>
      <c r="H5964" s="0" t="n">
        <v>0</v>
      </c>
      <c r="M5964" s="51" t="s">
        <v>10450</v>
      </c>
      <c r="N5964" s="49" t="n">
        <v>0</v>
      </c>
      <c r="O5964" s="53" t="n">
        <v>45888.5600115741</v>
      </c>
      <c r="P5964" s="53" t="n">
        <v>45918.7625925926</v>
      </c>
      <c r="Q5964" s="53" t="n">
        <v>45888.5600115741</v>
      </c>
      <c r="R5964" s="0" t="n">
        <v>0</v>
      </c>
      <c r="S5964" s="51" t="s">
        <v>2416</v>
      </c>
      <c r="T5964" s="51" t="s">
        <v>2416</v>
      </c>
      <c r="U5964" s="0" t="str">
        <f aca="false">"5060458890191"</f>
        <v>5060458890191</v>
      </c>
      <c r="V5964" s="51" t="s">
        <v>2142</v>
      </c>
      <c r="W5964" s="51" t="s">
        <v>5644</v>
      </c>
      <c r="X5964" s="51" t="s">
        <v>2359</v>
      </c>
    </row>
    <row r="5965" customFormat="false" ht="14.25" hidden="true" customHeight="false" outlineLevel="0" collapsed="false">
      <c r="A5965" s="49" t="s">
        <v>2349</v>
      </c>
      <c r="B5965" s="49" t="s">
        <v>2350</v>
      </c>
      <c r="C5965" s="49" t="s">
        <v>10464</v>
      </c>
      <c r="D5965" s="49" t="s">
        <v>2352</v>
      </c>
      <c r="E5965" s="49" t="str">
        <f aca="false">"5060458890191"</f>
        <v>5060458890191</v>
      </c>
      <c r="F5965" s="49" t="s">
        <v>3656</v>
      </c>
      <c r="G5965" s="49" t="n">
        <v>0</v>
      </c>
      <c r="H5965" s="0" t="n">
        <v>0</v>
      </c>
      <c r="M5965" s="51" t="s">
        <v>10450</v>
      </c>
      <c r="N5965" s="49" t="n">
        <v>0</v>
      </c>
      <c r="O5965" s="53" t="n">
        <v>45888.5601041667</v>
      </c>
      <c r="P5965" s="53" t="n">
        <v>45918.7639351852</v>
      </c>
      <c r="Q5965" s="53" t="n">
        <v>45888.5601041667</v>
      </c>
      <c r="R5965" s="0" t="n">
        <v>0</v>
      </c>
      <c r="S5965" s="51" t="s">
        <v>2416</v>
      </c>
      <c r="T5965" s="51" t="s">
        <v>2416</v>
      </c>
      <c r="U5965" s="0" t="str">
        <f aca="false">"5060458890191"</f>
        <v>5060458890191</v>
      </c>
      <c r="V5965" s="51" t="s">
        <v>2142</v>
      </c>
      <c r="W5965" s="51" t="s">
        <v>4734</v>
      </c>
      <c r="X5965" s="51" t="s">
        <v>2359</v>
      </c>
    </row>
    <row r="5966" customFormat="false" ht="14.25" hidden="true" customHeight="false" outlineLevel="0" collapsed="false">
      <c r="A5966" s="49" t="s">
        <v>2349</v>
      </c>
      <c r="B5966" s="49" t="s">
        <v>2350</v>
      </c>
      <c r="C5966" s="49" t="s">
        <v>10465</v>
      </c>
      <c r="D5966" s="49" t="s">
        <v>2352</v>
      </c>
      <c r="E5966" s="49" t="str">
        <f aca="false">"5060458890191"</f>
        <v>5060458890191</v>
      </c>
      <c r="F5966" s="49" t="s">
        <v>3656</v>
      </c>
      <c r="G5966" s="49" t="n">
        <v>0</v>
      </c>
      <c r="H5966" s="0" t="n">
        <v>0</v>
      </c>
      <c r="M5966" s="51" t="s">
        <v>10450</v>
      </c>
      <c r="N5966" s="49" t="n">
        <v>0</v>
      </c>
      <c r="O5966" s="53" t="n">
        <v>45888.5601851852</v>
      </c>
      <c r="P5966" s="53" t="n">
        <v>45918.7633680556</v>
      </c>
      <c r="Q5966" s="53" t="n">
        <v>45888.5601851852</v>
      </c>
      <c r="R5966" s="0" t="n">
        <v>0</v>
      </c>
      <c r="S5966" s="51" t="s">
        <v>2416</v>
      </c>
      <c r="T5966" s="51" t="s">
        <v>2416</v>
      </c>
      <c r="U5966" s="0" t="str">
        <f aca="false">"5060458890191"</f>
        <v>5060458890191</v>
      </c>
      <c r="V5966" s="51" t="s">
        <v>2142</v>
      </c>
      <c r="W5966" s="51" t="s">
        <v>6270</v>
      </c>
      <c r="X5966" s="51" t="s">
        <v>2359</v>
      </c>
    </row>
    <row r="5967" customFormat="false" ht="14.25" hidden="true" customHeight="false" outlineLevel="0" collapsed="false">
      <c r="A5967" s="49" t="s">
        <v>2349</v>
      </c>
      <c r="B5967" s="49" t="s">
        <v>2350</v>
      </c>
      <c r="C5967" s="49" t="s">
        <v>10466</v>
      </c>
      <c r="D5967" s="49" t="s">
        <v>2352</v>
      </c>
      <c r="E5967" s="49" t="str">
        <f aca="false">"5060458890191"</f>
        <v>5060458890191</v>
      </c>
      <c r="F5967" s="49" t="s">
        <v>3656</v>
      </c>
      <c r="G5967" s="49" t="n">
        <v>0</v>
      </c>
      <c r="H5967" s="0" t="n">
        <v>0</v>
      </c>
      <c r="M5967" s="51" t="s">
        <v>10450</v>
      </c>
      <c r="N5967" s="49" t="n">
        <v>0</v>
      </c>
      <c r="O5967" s="53" t="n">
        <v>45888.5602777778</v>
      </c>
      <c r="P5967" s="53" t="n">
        <v>45918.8360069444</v>
      </c>
      <c r="Q5967" s="53" t="n">
        <v>45888.5602777778</v>
      </c>
      <c r="R5967" s="0" t="n">
        <v>0</v>
      </c>
      <c r="S5967" s="51" t="s">
        <v>2416</v>
      </c>
      <c r="T5967" s="51" t="s">
        <v>2416</v>
      </c>
      <c r="U5967" s="0" t="str">
        <f aca="false">"5060458890191"</f>
        <v>5060458890191</v>
      </c>
      <c r="V5967" s="51" t="s">
        <v>2142</v>
      </c>
      <c r="W5967" s="51" t="s">
        <v>4525</v>
      </c>
      <c r="X5967" s="51" t="s">
        <v>2359</v>
      </c>
    </row>
    <row r="5968" customFormat="false" ht="14.25" hidden="true" customHeight="false" outlineLevel="0" collapsed="false">
      <c r="A5968" s="49" t="s">
        <v>2349</v>
      </c>
      <c r="B5968" s="49" t="s">
        <v>2350</v>
      </c>
      <c r="C5968" s="49" t="s">
        <v>10467</v>
      </c>
      <c r="D5968" s="49" t="s">
        <v>2352</v>
      </c>
      <c r="E5968" s="49" t="str">
        <f aca="false">"5060458890191"</f>
        <v>5060458890191</v>
      </c>
      <c r="F5968" s="49" t="s">
        <v>3656</v>
      </c>
      <c r="G5968" s="49" t="n">
        <v>0</v>
      </c>
      <c r="H5968" s="0" t="n">
        <v>0</v>
      </c>
      <c r="M5968" s="51" t="s">
        <v>10450</v>
      </c>
      <c r="N5968" s="49" t="n">
        <v>0</v>
      </c>
      <c r="O5968" s="53" t="n">
        <v>45888.5603587963</v>
      </c>
      <c r="P5968" s="53" t="n">
        <v>45918.8368865741</v>
      </c>
      <c r="Q5968" s="53" t="n">
        <v>45888.5603587963</v>
      </c>
      <c r="R5968" s="0" t="n">
        <v>0</v>
      </c>
      <c r="S5968" s="51" t="s">
        <v>2416</v>
      </c>
      <c r="T5968" s="51" t="s">
        <v>2416</v>
      </c>
      <c r="U5968" s="0" t="str">
        <f aca="false">"5060458890191"</f>
        <v>5060458890191</v>
      </c>
      <c r="V5968" s="51" t="s">
        <v>2142</v>
      </c>
      <c r="W5968" s="51" t="s">
        <v>10468</v>
      </c>
      <c r="X5968" s="51" t="s">
        <v>2359</v>
      </c>
    </row>
    <row r="5969" customFormat="false" ht="14.25" hidden="true" customHeight="false" outlineLevel="0" collapsed="false">
      <c r="A5969" s="49" t="s">
        <v>2349</v>
      </c>
      <c r="B5969" s="49" t="s">
        <v>2350</v>
      </c>
      <c r="C5969" s="49" t="s">
        <v>10469</v>
      </c>
      <c r="D5969" s="49" t="s">
        <v>2352</v>
      </c>
      <c r="E5969" s="49" t="str">
        <f aca="false">"5060458890191"</f>
        <v>5060458890191</v>
      </c>
      <c r="F5969" s="49" t="s">
        <v>3656</v>
      </c>
      <c r="G5969" s="49" t="n">
        <v>0</v>
      </c>
      <c r="H5969" s="0" t="n">
        <v>0</v>
      </c>
      <c r="M5969" s="51" t="s">
        <v>10450</v>
      </c>
      <c r="N5969" s="49" t="n">
        <v>0</v>
      </c>
      <c r="O5969" s="53" t="n">
        <v>45888.5604398148</v>
      </c>
      <c r="P5969" s="53" t="n">
        <v>45901.8228819444</v>
      </c>
      <c r="Q5969" s="53" t="n">
        <v>45888.5604398148</v>
      </c>
      <c r="R5969" s="0" t="n">
        <v>0</v>
      </c>
      <c r="S5969" s="51" t="s">
        <v>2416</v>
      </c>
      <c r="T5969" s="51" t="s">
        <v>2416</v>
      </c>
      <c r="U5969" s="0" t="str">
        <f aca="false">"5060458890191"</f>
        <v>5060458890191</v>
      </c>
      <c r="V5969" s="51" t="s">
        <v>2142</v>
      </c>
      <c r="W5969" s="51" t="s">
        <v>7454</v>
      </c>
      <c r="X5969" s="51" t="s">
        <v>2359</v>
      </c>
    </row>
    <row r="5970" customFormat="false" ht="14.25" hidden="true" customHeight="false" outlineLevel="0" collapsed="false">
      <c r="A5970" s="49" t="s">
        <v>2349</v>
      </c>
      <c r="B5970" s="49" t="s">
        <v>2350</v>
      </c>
      <c r="C5970" s="49" t="s">
        <v>10470</v>
      </c>
      <c r="D5970" s="49" t="s">
        <v>2352</v>
      </c>
      <c r="E5970" s="49" t="str">
        <f aca="false">"5060458890191"</f>
        <v>5060458890191</v>
      </c>
      <c r="F5970" s="49" t="s">
        <v>3656</v>
      </c>
      <c r="G5970" s="49" t="n">
        <v>0</v>
      </c>
      <c r="H5970" s="0" t="n">
        <v>0</v>
      </c>
      <c r="M5970" s="51" t="s">
        <v>10450</v>
      </c>
      <c r="N5970" s="49" t="n">
        <v>0</v>
      </c>
      <c r="O5970" s="53" t="n">
        <v>45888.5605439815</v>
      </c>
      <c r="P5970" s="53" t="n">
        <v>45918.8315162037</v>
      </c>
      <c r="Q5970" s="53" t="n">
        <v>45888.5605439815</v>
      </c>
      <c r="R5970" s="0" t="n">
        <v>0</v>
      </c>
      <c r="S5970" s="51" t="s">
        <v>2416</v>
      </c>
      <c r="T5970" s="51" t="s">
        <v>2416</v>
      </c>
      <c r="U5970" s="0" t="str">
        <f aca="false">"5060458890191"</f>
        <v>5060458890191</v>
      </c>
      <c r="V5970" s="51" t="s">
        <v>2142</v>
      </c>
      <c r="W5970" s="51" t="s">
        <v>10471</v>
      </c>
      <c r="X5970" s="51" t="s">
        <v>2359</v>
      </c>
    </row>
    <row r="5971" customFormat="false" ht="14.25" hidden="true" customHeight="false" outlineLevel="0" collapsed="false">
      <c r="A5971" s="49" t="s">
        <v>2349</v>
      </c>
      <c r="B5971" s="49" t="s">
        <v>2350</v>
      </c>
      <c r="C5971" s="49" t="s">
        <v>10472</v>
      </c>
      <c r="D5971" s="49" t="s">
        <v>2352</v>
      </c>
      <c r="E5971" s="49" t="str">
        <f aca="false">"5060458890191"</f>
        <v>5060458890191</v>
      </c>
      <c r="F5971" s="49" t="s">
        <v>3656</v>
      </c>
      <c r="G5971" s="49" t="n">
        <v>0</v>
      </c>
      <c r="H5971" s="0" t="n">
        <v>0</v>
      </c>
      <c r="M5971" s="51" t="s">
        <v>10450</v>
      </c>
      <c r="N5971" s="49" t="n">
        <v>0</v>
      </c>
      <c r="O5971" s="53" t="n">
        <v>45888.5607407407</v>
      </c>
      <c r="P5971" s="53" t="n">
        <v>45918.8322800926</v>
      </c>
      <c r="Q5971" s="53" t="n">
        <v>45888.5607407407</v>
      </c>
      <c r="R5971" s="0" t="n">
        <v>0</v>
      </c>
      <c r="S5971" s="51" t="s">
        <v>2416</v>
      </c>
      <c r="T5971" s="51" t="s">
        <v>2416</v>
      </c>
      <c r="U5971" s="0" t="str">
        <f aca="false">"5060458890191"</f>
        <v>5060458890191</v>
      </c>
      <c r="V5971" s="51" t="s">
        <v>2142</v>
      </c>
      <c r="W5971" s="51" t="s">
        <v>10473</v>
      </c>
      <c r="X5971" s="51" t="s">
        <v>2359</v>
      </c>
    </row>
    <row r="5972" customFormat="false" ht="14.25" hidden="true" customHeight="false" outlineLevel="0" collapsed="false">
      <c r="A5972" s="49" t="s">
        <v>2349</v>
      </c>
      <c r="B5972" s="49" t="s">
        <v>2350</v>
      </c>
      <c r="C5972" s="49" t="s">
        <v>10474</v>
      </c>
      <c r="D5972" s="49" t="s">
        <v>2352</v>
      </c>
      <c r="E5972" s="49" t="str">
        <f aca="false">"5060458890191"</f>
        <v>5060458890191</v>
      </c>
      <c r="F5972" s="49" t="s">
        <v>3656</v>
      </c>
      <c r="G5972" s="49" t="n">
        <v>0</v>
      </c>
      <c r="H5972" s="0" t="n">
        <v>0</v>
      </c>
      <c r="M5972" s="51" t="s">
        <v>10450</v>
      </c>
      <c r="N5972" s="49" t="n">
        <v>0</v>
      </c>
      <c r="O5972" s="53" t="n">
        <v>45888.5608217593</v>
      </c>
      <c r="P5972" s="53" t="n">
        <v>45918.8328587963</v>
      </c>
      <c r="Q5972" s="53" t="n">
        <v>45888.5608217593</v>
      </c>
      <c r="R5972" s="0" t="n">
        <v>0</v>
      </c>
      <c r="S5972" s="51" t="s">
        <v>2416</v>
      </c>
      <c r="T5972" s="51" t="s">
        <v>2416</v>
      </c>
      <c r="U5972" s="0" t="str">
        <f aca="false">"5060458890191"</f>
        <v>5060458890191</v>
      </c>
      <c r="V5972" s="51" t="s">
        <v>2142</v>
      </c>
      <c r="W5972" s="51" t="s">
        <v>10475</v>
      </c>
      <c r="X5972" s="51" t="s">
        <v>2359</v>
      </c>
    </row>
    <row r="5973" customFormat="false" ht="14.25" hidden="true" customHeight="false" outlineLevel="0" collapsed="false">
      <c r="A5973" s="49" t="s">
        <v>2349</v>
      </c>
      <c r="B5973" s="49" t="s">
        <v>2350</v>
      </c>
      <c r="C5973" s="49" t="s">
        <v>10476</v>
      </c>
      <c r="D5973" s="49" t="s">
        <v>2352</v>
      </c>
      <c r="E5973" s="49" t="str">
        <f aca="false">"5060458890191"</f>
        <v>5060458890191</v>
      </c>
      <c r="F5973" s="49" t="s">
        <v>3656</v>
      </c>
      <c r="G5973" s="49" t="n">
        <v>0</v>
      </c>
      <c r="H5973" s="0" t="n">
        <v>0</v>
      </c>
      <c r="M5973" s="51" t="s">
        <v>10450</v>
      </c>
      <c r="N5973" s="49" t="n">
        <v>0</v>
      </c>
      <c r="O5973" s="53" t="n">
        <v>45888.5609143519</v>
      </c>
      <c r="P5973" s="53" t="n">
        <v>45918.8332291667</v>
      </c>
      <c r="Q5973" s="53" t="n">
        <v>45888.5609143519</v>
      </c>
      <c r="R5973" s="0" t="n">
        <v>0</v>
      </c>
      <c r="S5973" s="51" t="s">
        <v>2416</v>
      </c>
      <c r="T5973" s="51" t="s">
        <v>2416</v>
      </c>
      <c r="U5973" s="0" t="str">
        <f aca="false">"5060458890191"</f>
        <v>5060458890191</v>
      </c>
      <c r="V5973" s="51" t="s">
        <v>2142</v>
      </c>
      <c r="W5973" s="51" t="s">
        <v>10477</v>
      </c>
      <c r="X5973" s="51" t="s">
        <v>2359</v>
      </c>
    </row>
    <row r="5974" customFormat="false" ht="14.25" hidden="true" customHeight="false" outlineLevel="0" collapsed="false">
      <c r="A5974" s="49" t="s">
        <v>2349</v>
      </c>
      <c r="B5974" s="49" t="s">
        <v>2350</v>
      </c>
      <c r="C5974" s="49" t="s">
        <v>10478</v>
      </c>
      <c r="D5974" s="49" t="s">
        <v>2352</v>
      </c>
      <c r="E5974" s="49" t="str">
        <f aca="false">"5060458890191"</f>
        <v>5060458890191</v>
      </c>
      <c r="F5974" s="49" t="s">
        <v>3656</v>
      </c>
      <c r="G5974" s="49" t="n">
        <v>0</v>
      </c>
      <c r="H5974" s="0" t="n">
        <v>0</v>
      </c>
      <c r="M5974" s="51" t="s">
        <v>10450</v>
      </c>
      <c r="N5974" s="49" t="n">
        <v>0</v>
      </c>
      <c r="O5974" s="53" t="n">
        <v>45888.561087963</v>
      </c>
      <c r="P5974" s="53" t="n">
        <v>45918.8302314815</v>
      </c>
      <c r="Q5974" s="53" t="n">
        <v>45888.561087963</v>
      </c>
      <c r="R5974" s="0" t="n">
        <v>0</v>
      </c>
      <c r="S5974" s="51" t="s">
        <v>2416</v>
      </c>
      <c r="T5974" s="51" t="s">
        <v>2416</v>
      </c>
      <c r="U5974" s="0" t="str">
        <f aca="false">"5060458890191"</f>
        <v>5060458890191</v>
      </c>
      <c r="V5974" s="51" t="s">
        <v>2142</v>
      </c>
      <c r="W5974" s="51" t="s">
        <v>6077</v>
      </c>
      <c r="X5974" s="51" t="s">
        <v>2359</v>
      </c>
    </row>
    <row r="5975" customFormat="false" ht="14.25" hidden="true" customHeight="false" outlineLevel="0" collapsed="false">
      <c r="A5975" s="49" t="s">
        <v>2349</v>
      </c>
      <c r="B5975" s="49" t="s">
        <v>2350</v>
      </c>
      <c r="C5975" s="49" t="s">
        <v>10479</v>
      </c>
      <c r="D5975" s="49" t="s">
        <v>2352</v>
      </c>
      <c r="E5975" s="49" t="str">
        <f aca="false">"5060458890191"</f>
        <v>5060458890191</v>
      </c>
      <c r="F5975" s="49" t="s">
        <v>3656</v>
      </c>
      <c r="G5975" s="49" t="n">
        <v>0</v>
      </c>
      <c r="H5975" s="0" t="n">
        <v>0</v>
      </c>
      <c r="M5975" s="51" t="s">
        <v>10450</v>
      </c>
      <c r="N5975" s="49" t="n">
        <v>0</v>
      </c>
      <c r="O5975" s="53" t="n">
        <v>45888.5612384259</v>
      </c>
      <c r="P5975" s="53" t="n">
        <v>45890.5566666667</v>
      </c>
      <c r="Q5975" s="53" t="n">
        <v>45888.5612384259</v>
      </c>
      <c r="R5975" s="0" t="n">
        <v>0</v>
      </c>
      <c r="S5975" s="51" t="s">
        <v>2416</v>
      </c>
      <c r="T5975" s="51" t="s">
        <v>2416</v>
      </c>
      <c r="U5975" s="0" t="str">
        <f aca="false">"5060458890191"</f>
        <v>5060458890191</v>
      </c>
      <c r="V5975" s="51" t="s">
        <v>2142</v>
      </c>
      <c r="W5975" s="51" t="s">
        <v>4076</v>
      </c>
      <c r="X5975" s="51" t="s">
        <v>2359</v>
      </c>
    </row>
    <row r="5976" customFormat="false" ht="14.25" hidden="true" customHeight="false" outlineLevel="0" collapsed="false">
      <c r="A5976" s="49" t="s">
        <v>2349</v>
      </c>
      <c r="B5976" s="49" t="s">
        <v>2350</v>
      </c>
      <c r="C5976" s="49" t="s">
        <v>10480</v>
      </c>
      <c r="D5976" s="49" t="s">
        <v>2352</v>
      </c>
      <c r="E5976" s="49" t="str">
        <f aca="false">"5060458890191"</f>
        <v>5060458890191</v>
      </c>
      <c r="F5976" s="49" t="s">
        <v>3656</v>
      </c>
      <c r="G5976" s="49" t="n">
        <v>0</v>
      </c>
      <c r="H5976" s="0" t="n">
        <v>0</v>
      </c>
      <c r="M5976" s="51" t="s">
        <v>10450</v>
      </c>
      <c r="N5976" s="49" t="n">
        <v>0</v>
      </c>
      <c r="O5976" s="53" t="n">
        <v>45888.5613194444</v>
      </c>
      <c r="P5976" s="53" t="n">
        <v>45890.8943287037</v>
      </c>
      <c r="Q5976" s="53" t="n">
        <v>45888.5613194444</v>
      </c>
      <c r="R5976" s="0" t="n">
        <v>0</v>
      </c>
      <c r="S5976" s="51" t="s">
        <v>2416</v>
      </c>
      <c r="T5976" s="51" t="s">
        <v>2416</v>
      </c>
      <c r="U5976" s="0" t="str">
        <f aca="false">"5060458890191"</f>
        <v>5060458890191</v>
      </c>
      <c r="V5976" s="51" t="s">
        <v>2142</v>
      </c>
      <c r="W5976" s="51" t="s">
        <v>7531</v>
      </c>
      <c r="X5976" s="51" t="s">
        <v>2359</v>
      </c>
    </row>
    <row r="5977" customFormat="false" ht="14.25" hidden="true" customHeight="false" outlineLevel="0" collapsed="false">
      <c r="A5977" s="49" t="s">
        <v>2349</v>
      </c>
      <c r="B5977" s="49" t="s">
        <v>2350</v>
      </c>
      <c r="C5977" s="49" t="s">
        <v>10481</v>
      </c>
      <c r="D5977" s="49" t="s">
        <v>2352</v>
      </c>
      <c r="E5977" s="49" t="str">
        <f aca="false">"5060458890191"</f>
        <v>5060458890191</v>
      </c>
      <c r="F5977" s="49" t="s">
        <v>3656</v>
      </c>
      <c r="G5977" s="49" t="n">
        <v>0</v>
      </c>
      <c r="H5977" s="0" t="n">
        <v>0</v>
      </c>
      <c r="M5977" s="51" t="s">
        <v>10450</v>
      </c>
      <c r="N5977" s="49" t="n">
        <v>0</v>
      </c>
      <c r="O5977" s="53" t="n">
        <v>45888.561400463</v>
      </c>
      <c r="P5977" s="53" t="n">
        <v>45918.7618981482</v>
      </c>
      <c r="Q5977" s="53" t="n">
        <v>45888.561400463</v>
      </c>
      <c r="R5977" s="0" t="n">
        <v>0</v>
      </c>
      <c r="S5977" s="51" t="s">
        <v>2416</v>
      </c>
      <c r="T5977" s="51" t="s">
        <v>2416</v>
      </c>
      <c r="U5977" s="0" t="str">
        <f aca="false">"5060458890191"</f>
        <v>5060458890191</v>
      </c>
      <c r="V5977" s="51" t="s">
        <v>2142</v>
      </c>
      <c r="W5977" s="51" t="s">
        <v>5703</v>
      </c>
      <c r="X5977" s="51" t="s">
        <v>2359</v>
      </c>
    </row>
    <row r="5978" customFormat="false" ht="14.25" hidden="true" customHeight="false" outlineLevel="0" collapsed="false">
      <c r="A5978" s="49" t="s">
        <v>2349</v>
      </c>
      <c r="B5978" s="49" t="s">
        <v>2350</v>
      </c>
      <c r="C5978" s="49" t="s">
        <v>10482</v>
      </c>
      <c r="D5978" s="49" t="s">
        <v>2352</v>
      </c>
      <c r="E5978" s="49" t="str">
        <f aca="false">"5060458890191"</f>
        <v>5060458890191</v>
      </c>
      <c r="F5978" s="49" t="s">
        <v>3656</v>
      </c>
      <c r="G5978" s="49" t="n">
        <v>0</v>
      </c>
      <c r="H5978" s="0" t="n">
        <v>0</v>
      </c>
      <c r="M5978" s="51" t="s">
        <v>10450</v>
      </c>
      <c r="N5978" s="49" t="n">
        <v>0</v>
      </c>
      <c r="O5978" s="53" t="n">
        <v>45888.5614930556</v>
      </c>
      <c r="P5978" s="53" t="n">
        <v>45890.6240972222</v>
      </c>
      <c r="Q5978" s="53" t="n">
        <v>45888.5614930556</v>
      </c>
      <c r="R5978" s="0" t="n">
        <v>0</v>
      </c>
      <c r="S5978" s="51" t="s">
        <v>2416</v>
      </c>
      <c r="T5978" s="51" t="s">
        <v>2416</v>
      </c>
      <c r="U5978" s="0" t="str">
        <f aca="false">"5060458890191"</f>
        <v>5060458890191</v>
      </c>
      <c r="V5978" s="51" t="s">
        <v>2142</v>
      </c>
      <c r="W5978" s="51" t="s">
        <v>8070</v>
      </c>
      <c r="X5978" s="51" t="s">
        <v>2359</v>
      </c>
    </row>
    <row r="5979" customFormat="false" ht="14.25" hidden="true" customHeight="false" outlineLevel="0" collapsed="false">
      <c r="A5979" s="49" t="s">
        <v>2349</v>
      </c>
      <c r="B5979" s="49" t="s">
        <v>2350</v>
      </c>
      <c r="C5979" s="49" t="s">
        <v>10483</v>
      </c>
      <c r="D5979" s="49" t="s">
        <v>2352</v>
      </c>
      <c r="E5979" s="49" t="str">
        <f aca="false">"5060458890191"</f>
        <v>5060458890191</v>
      </c>
      <c r="F5979" s="49" t="s">
        <v>3656</v>
      </c>
      <c r="G5979" s="49" t="n">
        <v>0</v>
      </c>
      <c r="H5979" s="0" t="n">
        <v>0</v>
      </c>
      <c r="M5979" s="51" t="s">
        <v>10450</v>
      </c>
      <c r="N5979" s="49" t="n">
        <v>0</v>
      </c>
      <c r="O5979" s="53" t="n">
        <v>45888.5616203704</v>
      </c>
      <c r="P5979" s="53" t="n">
        <v>45890.5596412037</v>
      </c>
      <c r="Q5979" s="53" t="n">
        <v>45888.5616203704</v>
      </c>
      <c r="R5979" s="0" t="n">
        <v>0</v>
      </c>
      <c r="S5979" s="51" t="s">
        <v>2416</v>
      </c>
      <c r="T5979" s="51" t="s">
        <v>2416</v>
      </c>
      <c r="U5979" s="0" t="str">
        <f aca="false">"5060458890191"</f>
        <v>5060458890191</v>
      </c>
      <c r="V5979" s="51" t="s">
        <v>2142</v>
      </c>
      <c r="W5979" s="51" t="s">
        <v>5987</v>
      </c>
      <c r="X5979" s="51" t="s">
        <v>2359</v>
      </c>
    </row>
    <row r="5980" customFormat="false" ht="14.25" hidden="true" customHeight="false" outlineLevel="0" collapsed="false">
      <c r="A5980" s="49" t="s">
        <v>2349</v>
      </c>
      <c r="B5980" s="49" t="s">
        <v>2350</v>
      </c>
      <c r="C5980" s="49" t="s">
        <v>10484</v>
      </c>
      <c r="D5980" s="49" t="s">
        <v>2352</v>
      </c>
      <c r="E5980" s="49" t="str">
        <f aca="false">"5060458890191"</f>
        <v>5060458890191</v>
      </c>
      <c r="F5980" s="49" t="s">
        <v>3656</v>
      </c>
      <c r="G5980" s="49" t="n">
        <v>0</v>
      </c>
      <c r="H5980" s="0" t="n">
        <v>0</v>
      </c>
      <c r="M5980" s="51" t="s">
        <v>10450</v>
      </c>
      <c r="N5980" s="49" t="n">
        <v>0</v>
      </c>
      <c r="O5980" s="53" t="n">
        <v>45888.5618402778</v>
      </c>
      <c r="P5980" s="53" t="n">
        <v>45890.5609375</v>
      </c>
      <c r="Q5980" s="53" t="n">
        <v>45888.5618402778</v>
      </c>
      <c r="R5980" s="0" t="n">
        <v>0</v>
      </c>
      <c r="S5980" s="51" t="s">
        <v>2416</v>
      </c>
      <c r="T5980" s="51" t="s">
        <v>2416</v>
      </c>
      <c r="U5980" s="0" t="str">
        <f aca="false">"5060458890191"</f>
        <v>5060458890191</v>
      </c>
      <c r="V5980" s="51" t="s">
        <v>2142</v>
      </c>
      <c r="W5980" s="51" t="s">
        <v>5882</v>
      </c>
      <c r="X5980" s="51" t="s">
        <v>2359</v>
      </c>
    </row>
    <row r="5981" customFormat="false" ht="14.25" hidden="true" customHeight="false" outlineLevel="0" collapsed="false">
      <c r="A5981" s="49" t="s">
        <v>2349</v>
      </c>
      <c r="B5981" s="49" t="s">
        <v>2350</v>
      </c>
      <c r="C5981" s="49" t="s">
        <v>10485</v>
      </c>
      <c r="D5981" s="49" t="s">
        <v>2352</v>
      </c>
      <c r="E5981" s="49" t="str">
        <f aca="false">"5060458890191"</f>
        <v>5060458890191</v>
      </c>
      <c r="F5981" s="49" t="s">
        <v>3656</v>
      </c>
      <c r="G5981" s="49" t="n">
        <v>0</v>
      </c>
      <c r="H5981" s="0" t="n">
        <v>0</v>
      </c>
      <c r="M5981" s="51" t="s">
        <v>10450</v>
      </c>
      <c r="N5981" s="49" t="n">
        <v>0</v>
      </c>
      <c r="O5981" s="53" t="n">
        <v>45888.5619675926</v>
      </c>
      <c r="P5981" s="53" t="n">
        <v>45890.586875</v>
      </c>
      <c r="Q5981" s="53" t="n">
        <v>45888.5619675926</v>
      </c>
      <c r="R5981" s="0" t="n">
        <v>0</v>
      </c>
      <c r="S5981" s="51" t="s">
        <v>2416</v>
      </c>
      <c r="T5981" s="51" t="s">
        <v>2416</v>
      </c>
      <c r="U5981" s="0" t="str">
        <f aca="false">"5060458890191"</f>
        <v>5060458890191</v>
      </c>
      <c r="V5981" s="51" t="s">
        <v>2142</v>
      </c>
      <c r="W5981" s="51" t="s">
        <v>5699</v>
      </c>
      <c r="X5981" s="51" t="s">
        <v>2359</v>
      </c>
    </row>
    <row r="5982" customFormat="false" ht="14.25" hidden="true" customHeight="false" outlineLevel="0" collapsed="false">
      <c r="A5982" s="49" t="s">
        <v>2349</v>
      </c>
      <c r="B5982" s="49" t="s">
        <v>2350</v>
      </c>
      <c r="C5982" s="49" t="s">
        <v>10486</v>
      </c>
      <c r="D5982" s="49" t="s">
        <v>2352</v>
      </c>
      <c r="E5982" s="49" t="str">
        <f aca="false">"5060458890191"</f>
        <v>5060458890191</v>
      </c>
      <c r="F5982" s="49" t="s">
        <v>3656</v>
      </c>
      <c r="G5982" s="49" t="n">
        <v>0</v>
      </c>
      <c r="H5982" s="0" t="n">
        <v>0</v>
      </c>
      <c r="M5982" s="51" t="s">
        <v>10450</v>
      </c>
      <c r="N5982" s="49" t="n">
        <v>0</v>
      </c>
      <c r="O5982" s="53" t="n">
        <v>45888.5620601852</v>
      </c>
      <c r="P5982" s="53" t="n">
        <v>45890.6234606481</v>
      </c>
      <c r="Q5982" s="53" t="n">
        <v>45888.5620601852</v>
      </c>
      <c r="R5982" s="0" t="n">
        <v>0</v>
      </c>
      <c r="S5982" s="51" t="s">
        <v>2416</v>
      </c>
      <c r="T5982" s="51" t="s">
        <v>2416</v>
      </c>
      <c r="U5982" s="0" t="str">
        <f aca="false">"5060458890191"</f>
        <v>5060458890191</v>
      </c>
      <c r="V5982" s="51" t="s">
        <v>2142</v>
      </c>
      <c r="W5982" s="51" t="s">
        <v>8199</v>
      </c>
      <c r="X5982" s="51" t="s">
        <v>2359</v>
      </c>
    </row>
    <row r="5983" customFormat="false" ht="14.25" hidden="true" customHeight="false" outlineLevel="0" collapsed="false">
      <c r="A5983" s="49" t="s">
        <v>2349</v>
      </c>
      <c r="B5983" s="49" t="s">
        <v>2350</v>
      </c>
      <c r="C5983" s="49" t="s">
        <v>10487</v>
      </c>
      <c r="D5983" s="49" t="s">
        <v>2352</v>
      </c>
      <c r="E5983" s="49" t="str">
        <f aca="false">"8022180000122"</f>
        <v>8022180000122</v>
      </c>
      <c r="F5983" s="49" t="s">
        <v>3971</v>
      </c>
      <c r="G5983" s="49" t="n">
        <v>0</v>
      </c>
      <c r="H5983" s="0" t="n">
        <v>0</v>
      </c>
      <c r="M5983" s="51" t="s">
        <v>10488</v>
      </c>
      <c r="N5983" s="49" t="n">
        <v>0</v>
      </c>
      <c r="O5983" s="53" t="n">
        <v>45899.3955555556</v>
      </c>
      <c r="P5983" s="53" t="n">
        <v>45900.7701273148</v>
      </c>
      <c r="Q5983" s="53" t="n">
        <v>45899.3955555556</v>
      </c>
      <c r="R5983" s="0" t="n">
        <v>0</v>
      </c>
      <c r="S5983" s="51" t="s">
        <v>2416</v>
      </c>
      <c r="T5983" s="51" t="s">
        <v>2416</v>
      </c>
      <c r="U5983" s="0" t="str">
        <f aca="false">"8022180000122"</f>
        <v>8022180000122</v>
      </c>
      <c r="V5983" s="51" t="s">
        <v>2365</v>
      </c>
      <c r="W5983" s="51" t="s">
        <v>6741</v>
      </c>
      <c r="X5983" s="51" t="s">
        <v>2359</v>
      </c>
    </row>
    <row r="5984" customFormat="false" ht="14.25" hidden="true" customHeight="false" outlineLevel="0" collapsed="false">
      <c r="A5984" s="49" t="s">
        <v>2349</v>
      </c>
      <c r="B5984" s="49" t="s">
        <v>2350</v>
      </c>
      <c r="C5984" s="49" t="s">
        <v>10489</v>
      </c>
      <c r="D5984" s="49" t="s">
        <v>2352</v>
      </c>
      <c r="E5984" s="49" t="str">
        <f aca="false">"8908020441030"</f>
        <v>8908020441030</v>
      </c>
      <c r="F5984" s="49" t="s">
        <v>5384</v>
      </c>
      <c r="G5984" s="49" t="n">
        <v>0</v>
      </c>
      <c r="H5984" s="0" t="n">
        <v>0</v>
      </c>
      <c r="M5984" s="51" t="s">
        <v>10490</v>
      </c>
      <c r="N5984" s="49" t="n">
        <v>0</v>
      </c>
      <c r="O5984" s="53" t="n">
        <v>45950.4721527778</v>
      </c>
      <c r="P5984" s="53" t="n">
        <v>45967.4456481482</v>
      </c>
      <c r="Q5984" s="53" t="n">
        <v>45950.4721527778</v>
      </c>
      <c r="R5984" s="0" t="n">
        <v>0</v>
      </c>
      <c r="S5984" s="51" t="s">
        <v>2356</v>
      </c>
      <c r="T5984" s="51" t="s">
        <v>2356</v>
      </c>
      <c r="U5984" s="0" t="str">
        <f aca="false">"8908020441030"</f>
        <v>8908020441030</v>
      </c>
      <c r="V5984" s="51" t="s">
        <v>5386</v>
      </c>
      <c r="W5984" s="51" t="s">
        <v>5147</v>
      </c>
      <c r="X5984" s="51" t="s">
        <v>2359</v>
      </c>
    </row>
    <row r="5985" customFormat="false" ht="14.25" hidden="true" customHeight="false" outlineLevel="0" collapsed="false">
      <c r="A5985" s="49" t="s">
        <v>2349</v>
      </c>
      <c r="B5985" s="49" t="s">
        <v>2350</v>
      </c>
      <c r="C5985" s="49" t="s">
        <v>10491</v>
      </c>
      <c r="D5985" s="49" t="s">
        <v>2352</v>
      </c>
      <c r="E5985" s="49" t="str">
        <f aca="false">"8908020441030"</f>
        <v>8908020441030</v>
      </c>
      <c r="F5985" s="49" t="s">
        <v>5384</v>
      </c>
      <c r="G5985" s="49" t="n">
        <v>0</v>
      </c>
      <c r="H5985" s="0" t="n">
        <v>0</v>
      </c>
      <c r="M5985" s="51" t="s">
        <v>10490</v>
      </c>
      <c r="N5985" s="49" t="n">
        <v>0</v>
      </c>
      <c r="O5985" s="53" t="n">
        <v>45950.4750347222</v>
      </c>
      <c r="P5985" s="53" t="n">
        <v>46006.8475231482</v>
      </c>
      <c r="Q5985" s="53" t="n">
        <v>45950.4750347222</v>
      </c>
      <c r="R5985" s="0" t="n">
        <v>0</v>
      </c>
      <c r="S5985" s="51" t="s">
        <v>2356</v>
      </c>
      <c r="T5985" s="51" t="s">
        <v>2356</v>
      </c>
      <c r="U5985" s="0" t="str">
        <f aca="false">"8908020441030"</f>
        <v>8908020441030</v>
      </c>
      <c r="V5985" s="51" t="s">
        <v>5386</v>
      </c>
      <c r="W5985" s="51" t="s">
        <v>3754</v>
      </c>
      <c r="X5985" s="51" t="s">
        <v>2359</v>
      </c>
    </row>
    <row r="5986" customFormat="false" ht="14.25" hidden="true" customHeight="false" outlineLevel="0" collapsed="false">
      <c r="A5986" s="49" t="s">
        <v>2349</v>
      </c>
      <c r="B5986" s="49" t="s">
        <v>2350</v>
      </c>
      <c r="C5986" s="49" t="s">
        <v>10492</v>
      </c>
      <c r="D5986" s="49" t="s">
        <v>2352</v>
      </c>
      <c r="E5986" s="49" t="str">
        <f aca="false">"8908020441030"</f>
        <v>8908020441030</v>
      </c>
      <c r="F5986" s="49" t="s">
        <v>5384</v>
      </c>
      <c r="G5986" s="49" t="n">
        <v>0</v>
      </c>
      <c r="H5986" s="0" t="n">
        <v>0</v>
      </c>
      <c r="M5986" s="51" t="s">
        <v>10490</v>
      </c>
      <c r="N5986" s="49" t="n">
        <v>0</v>
      </c>
      <c r="O5986" s="53" t="n">
        <v>45950.4719444444</v>
      </c>
      <c r="P5986" s="53" t="n">
        <v>45967.4434606481</v>
      </c>
      <c r="Q5986" s="53" t="n">
        <v>45950.4719444444</v>
      </c>
      <c r="R5986" s="0" t="n">
        <v>0</v>
      </c>
      <c r="S5986" s="51" t="s">
        <v>2356</v>
      </c>
      <c r="T5986" s="51" t="s">
        <v>2356</v>
      </c>
      <c r="U5986" s="0" t="str">
        <f aca="false">"8908020441030"</f>
        <v>8908020441030</v>
      </c>
      <c r="V5986" s="51" t="s">
        <v>5386</v>
      </c>
      <c r="W5986" s="51" t="s">
        <v>4132</v>
      </c>
      <c r="X5986" s="51" t="s">
        <v>2359</v>
      </c>
    </row>
    <row r="5987" customFormat="false" ht="14.25" hidden="true" customHeight="false" outlineLevel="0" collapsed="false">
      <c r="A5987" s="49" t="s">
        <v>2349</v>
      </c>
      <c r="B5987" s="49" t="s">
        <v>2350</v>
      </c>
      <c r="C5987" s="49" t="s">
        <v>10493</v>
      </c>
      <c r="D5987" s="49" t="s">
        <v>2352</v>
      </c>
      <c r="E5987" s="49" t="str">
        <f aca="false">"8908020441030"</f>
        <v>8908020441030</v>
      </c>
      <c r="F5987" s="49" t="s">
        <v>5384</v>
      </c>
      <c r="G5987" s="49" t="n">
        <v>0</v>
      </c>
      <c r="H5987" s="0" t="n">
        <v>0</v>
      </c>
      <c r="M5987" s="51" t="s">
        <v>10490</v>
      </c>
      <c r="N5987" s="49" t="n">
        <v>0</v>
      </c>
      <c r="O5987" s="53" t="n">
        <v>45950.4717708333</v>
      </c>
      <c r="P5987" s="53" t="n">
        <v>45967.4470833333</v>
      </c>
      <c r="Q5987" s="53" t="n">
        <v>45950.4717708333</v>
      </c>
      <c r="R5987" s="0" t="n">
        <v>0</v>
      </c>
      <c r="S5987" s="51" t="s">
        <v>2356</v>
      </c>
      <c r="T5987" s="51" t="s">
        <v>2356</v>
      </c>
      <c r="U5987" s="0" t="str">
        <f aca="false">"8908020441030"</f>
        <v>8908020441030</v>
      </c>
      <c r="V5987" s="51" t="s">
        <v>5386</v>
      </c>
      <c r="W5987" s="51" t="s">
        <v>5397</v>
      </c>
      <c r="X5987" s="51" t="s">
        <v>2359</v>
      </c>
    </row>
    <row r="5988" customFormat="false" ht="14.25" hidden="true" customHeight="false" outlineLevel="0" collapsed="false">
      <c r="A5988" s="49" t="s">
        <v>2349</v>
      </c>
      <c r="B5988" s="49" t="s">
        <v>2350</v>
      </c>
      <c r="C5988" s="49" t="s">
        <v>10494</v>
      </c>
      <c r="D5988" s="49" t="s">
        <v>2352</v>
      </c>
      <c r="E5988" s="49" t="str">
        <f aca="false">"8908020441030"</f>
        <v>8908020441030</v>
      </c>
      <c r="F5988" s="49" t="s">
        <v>5384</v>
      </c>
      <c r="G5988" s="49" t="n">
        <v>0</v>
      </c>
      <c r="H5988" s="0" t="n">
        <v>0</v>
      </c>
      <c r="M5988" s="51" t="s">
        <v>10490</v>
      </c>
      <c r="N5988" s="49" t="n">
        <v>0</v>
      </c>
      <c r="O5988" s="53" t="n">
        <v>45950.471099537</v>
      </c>
      <c r="P5988" s="53" t="n">
        <v>46043.4777314815</v>
      </c>
      <c r="Q5988" s="53" t="n">
        <v>45950.471099537</v>
      </c>
      <c r="R5988" s="0" t="n">
        <v>0</v>
      </c>
      <c r="S5988" s="51" t="s">
        <v>2356</v>
      </c>
      <c r="T5988" s="51" t="s">
        <v>2356</v>
      </c>
      <c r="U5988" s="0" t="str">
        <f aca="false">"8908020441030"</f>
        <v>8908020441030</v>
      </c>
      <c r="V5988" s="51" t="s">
        <v>5386</v>
      </c>
      <c r="W5988" s="51" t="s">
        <v>10495</v>
      </c>
      <c r="X5988" s="51" t="s">
        <v>2359</v>
      </c>
    </row>
    <row r="5989" customFormat="false" ht="14.25" hidden="true" customHeight="false" outlineLevel="0" collapsed="false">
      <c r="A5989" s="49" t="s">
        <v>2349</v>
      </c>
      <c r="B5989" s="49" t="s">
        <v>2350</v>
      </c>
      <c r="C5989" s="49" t="s">
        <v>10496</v>
      </c>
      <c r="D5989" s="49" t="s">
        <v>2352</v>
      </c>
      <c r="E5989" s="49" t="str">
        <f aca="false">"8908020441030"</f>
        <v>8908020441030</v>
      </c>
      <c r="F5989" s="49" t="s">
        <v>5384</v>
      </c>
      <c r="G5989" s="49" t="n">
        <v>0</v>
      </c>
      <c r="H5989" s="0" t="n">
        <v>0</v>
      </c>
      <c r="M5989" s="51" t="s">
        <v>10490</v>
      </c>
      <c r="N5989" s="49" t="n">
        <v>0</v>
      </c>
      <c r="O5989" s="53" t="n">
        <v>45950.4709027778</v>
      </c>
      <c r="P5989" s="53" t="n">
        <v>46032.4290046296</v>
      </c>
      <c r="Q5989" s="53" t="n">
        <v>45950.4709027778</v>
      </c>
      <c r="R5989" s="0" t="n">
        <v>0</v>
      </c>
      <c r="S5989" s="51" t="s">
        <v>2356</v>
      </c>
      <c r="T5989" s="51" t="s">
        <v>2356</v>
      </c>
      <c r="U5989" s="0" t="str">
        <f aca="false">"8908020441030"</f>
        <v>8908020441030</v>
      </c>
      <c r="V5989" s="51" t="s">
        <v>5386</v>
      </c>
      <c r="W5989" s="51" t="s">
        <v>4604</v>
      </c>
      <c r="X5989" s="51" t="s">
        <v>2359</v>
      </c>
    </row>
    <row r="5990" customFormat="false" ht="14.25" hidden="true" customHeight="false" outlineLevel="0" collapsed="false">
      <c r="A5990" s="49" t="s">
        <v>2349</v>
      </c>
      <c r="B5990" s="49" t="s">
        <v>2350</v>
      </c>
      <c r="C5990" s="49" t="s">
        <v>10497</v>
      </c>
      <c r="D5990" s="49" t="s">
        <v>2352</v>
      </c>
      <c r="E5990" s="49" t="str">
        <f aca="false">"8908020441030"</f>
        <v>8908020441030</v>
      </c>
      <c r="F5990" s="49" t="s">
        <v>5384</v>
      </c>
      <c r="G5990" s="49" t="n">
        <v>0</v>
      </c>
      <c r="H5990" s="0" t="n">
        <v>0</v>
      </c>
      <c r="M5990" s="51" t="s">
        <v>10490</v>
      </c>
      <c r="N5990" s="49" t="n">
        <v>0</v>
      </c>
      <c r="O5990" s="53" t="n">
        <v>45950.4706712963</v>
      </c>
      <c r="P5990" s="53" t="n">
        <v>46050.4713657407</v>
      </c>
      <c r="Q5990" s="53" t="n">
        <v>45950.4706712963</v>
      </c>
      <c r="R5990" s="0" t="n">
        <v>0</v>
      </c>
      <c r="S5990" s="51" t="s">
        <v>2356</v>
      </c>
      <c r="T5990" s="51" t="s">
        <v>2356</v>
      </c>
      <c r="U5990" s="0" t="str">
        <f aca="false">"8908020441030"</f>
        <v>8908020441030</v>
      </c>
      <c r="V5990" s="51" t="s">
        <v>5386</v>
      </c>
      <c r="W5990" s="51" t="s">
        <v>6466</v>
      </c>
      <c r="X5990" s="51" t="s">
        <v>2359</v>
      </c>
    </row>
    <row r="5991" customFormat="false" ht="14.25" hidden="true" customHeight="false" outlineLevel="0" collapsed="false">
      <c r="A5991" s="49" t="s">
        <v>2349</v>
      </c>
      <c r="B5991" s="49" t="s">
        <v>2350</v>
      </c>
      <c r="C5991" s="49" t="s">
        <v>10498</v>
      </c>
      <c r="D5991" s="49" t="s">
        <v>2352</v>
      </c>
      <c r="E5991" s="49" t="str">
        <f aca="false">"8908020441030"</f>
        <v>8908020441030</v>
      </c>
      <c r="F5991" s="49" t="s">
        <v>5384</v>
      </c>
      <c r="G5991" s="49" t="n">
        <v>0</v>
      </c>
      <c r="H5991" s="0" t="n">
        <v>0</v>
      </c>
      <c r="M5991" s="51" t="s">
        <v>10490</v>
      </c>
      <c r="N5991" s="49" t="n">
        <v>0</v>
      </c>
      <c r="O5991" s="53" t="n">
        <v>45950.4702777778</v>
      </c>
      <c r="P5991" s="53" t="n">
        <v>46043.4761111111</v>
      </c>
      <c r="Q5991" s="53" t="n">
        <v>45950.4702777778</v>
      </c>
      <c r="R5991" s="0" t="n">
        <v>0</v>
      </c>
      <c r="S5991" s="51" t="s">
        <v>2356</v>
      </c>
      <c r="T5991" s="51" t="s">
        <v>2356</v>
      </c>
      <c r="U5991" s="0" t="str">
        <f aca="false">"8908020441030"</f>
        <v>8908020441030</v>
      </c>
      <c r="V5991" s="51" t="s">
        <v>5386</v>
      </c>
      <c r="W5991" s="51" t="s">
        <v>5479</v>
      </c>
      <c r="X5991" s="51" t="s">
        <v>2359</v>
      </c>
    </row>
    <row r="5992" customFormat="false" ht="14.25" hidden="true" customHeight="false" outlineLevel="0" collapsed="false">
      <c r="A5992" s="49" t="s">
        <v>2349</v>
      </c>
      <c r="B5992" s="49" t="s">
        <v>2350</v>
      </c>
      <c r="C5992" s="49" t="s">
        <v>10499</v>
      </c>
      <c r="D5992" s="49" t="s">
        <v>2352</v>
      </c>
      <c r="E5992" s="49" t="str">
        <f aca="false">"8908020441030"</f>
        <v>8908020441030</v>
      </c>
      <c r="F5992" s="49" t="s">
        <v>5384</v>
      </c>
      <c r="G5992" s="49" t="n">
        <v>0</v>
      </c>
      <c r="H5992" s="0" t="n">
        <v>0</v>
      </c>
      <c r="M5992" s="51" t="s">
        <v>10490</v>
      </c>
      <c r="N5992" s="49" t="n">
        <v>0</v>
      </c>
      <c r="O5992" s="53" t="n">
        <v>45950.4700694445</v>
      </c>
      <c r="P5992" s="53" t="n">
        <v>45992.5600462963</v>
      </c>
      <c r="Q5992" s="53" t="n">
        <v>45950.4700694445</v>
      </c>
      <c r="R5992" s="0" t="n">
        <v>0</v>
      </c>
      <c r="S5992" s="51" t="s">
        <v>2356</v>
      </c>
      <c r="T5992" s="51" t="s">
        <v>2356</v>
      </c>
      <c r="U5992" s="0" t="str">
        <f aca="false">"8908020441030"</f>
        <v>8908020441030</v>
      </c>
      <c r="V5992" s="51" t="s">
        <v>5386</v>
      </c>
      <c r="W5992" s="51" t="s">
        <v>9510</v>
      </c>
      <c r="X5992" s="51" t="s">
        <v>2359</v>
      </c>
    </row>
    <row r="5993" customFormat="false" ht="14.25" hidden="true" customHeight="false" outlineLevel="0" collapsed="false">
      <c r="A5993" s="49" t="s">
        <v>2349</v>
      </c>
      <c r="B5993" s="49" t="s">
        <v>2350</v>
      </c>
      <c r="C5993" s="49" t="s">
        <v>10500</v>
      </c>
      <c r="D5993" s="49" t="s">
        <v>2352</v>
      </c>
      <c r="E5993" s="49" t="str">
        <f aca="false">"8908020441030"</f>
        <v>8908020441030</v>
      </c>
      <c r="F5993" s="49" t="s">
        <v>5384</v>
      </c>
      <c r="G5993" s="49" t="n">
        <v>0</v>
      </c>
      <c r="H5993" s="0" t="n">
        <v>0</v>
      </c>
      <c r="M5993" s="51" t="s">
        <v>10490</v>
      </c>
      <c r="N5993" s="49" t="n">
        <v>0</v>
      </c>
      <c r="O5993" s="53" t="n">
        <v>45950.4696180556</v>
      </c>
      <c r="P5993" s="53" t="n">
        <v>46012.6513194444</v>
      </c>
      <c r="Q5993" s="53" t="n">
        <v>45950.4696180556</v>
      </c>
      <c r="R5993" s="0" t="n">
        <v>0</v>
      </c>
      <c r="S5993" s="51" t="s">
        <v>2356</v>
      </c>
      <c r="T5993" s="51" t="s">
        <v>2356</v>
      </c>
      <c r="U5993" s="0" t="str">
        <f aca="false">"8908020441030"</f>
        <v>8908020441030</v>
      </c>
      <c r="V5993" s="51" t="s">
        <v>5386</v>
      </c>
      <c r="W5993" s="51" t="s">
        <v>6879</v>
      </c>
      <c r="X5993" s="51" t="s">
        <v>2359</v>
      </c>
    </row>
    <row r="5994" customFormat="false" ht="14.25" hidden="true" customHeight="false" outlineLevel="0" collapsed="false">
      <c r="A5994" s="49" t="s">
        <v>2349</v>
      </c>
      <c r="B5994" s="49" t="s">
        <v>2350</v>
      </c>
      <c r="C5994" s="49" t="s">
        <v>10501</v>
      </c>
      <c r="D5994" s="49" t="s">
        <v>2352</v>
      </c>
      <c r="E5994" s="49" t="str">
        <f aca="false">"8908020441030"</f>
        <v>8908020441030</v>
      </c>
      <c r="F5994" s="49" t="s">
        <v>5384</v>
      </c>
      <c r="G5994" s="49" t="n">
        <v>0</v>
      </c>
      <c r="H5994" s="0" t="n">
        <v>0</v>
      </c>
      <c r="M5994" s="51" t="s">
        <v>10490</v>
      </c>
      <c r="N5994" s="49" t="n">
        <v>0</v>
      </c>
      <c r="O5994" s="53" t="n">
        <v>45950.4692939815</v>
      </c>
      <c r="P5994" s="53" t="n">
        <v>46050.4695833333</v>
      </c>
      <c r="Q5994" s="53" t="n">
        <v>45950.4692939815</v>
      </c>
      <c r="R5994" s="0" t="n">
        <v>0</v>
      </c>
      <c r="S5994" s="51" t="s">
        <v>2356</v>
      </c>
      <c r="T5994" s="51" t="s">
        <v>2356</v>
      </c>
      <c r="U5994" s="0" t="str">
        <f aca="false">"8908020441030"</f>
        <v>8908020441030</v>
      </c>
      <c r="V5994" s="51" t="s">
        <v>5386</v>
      </c>
      <c r="W5994" s="51" t="s">
        <v>6472</v>
      </c>
      <c r="X5994" s="51" t="s">
        <v>2359</v>
      </c>
    </row>
    <row r="5995" customFormat="false" ht="14.25" hidden="true" customHeight="false" outlineLevel="0" collapsed="false">
      <c r="A5995" s="49" t="s">
        <v>2349</v>
      </c>
      <c r="B5995" s="49" t="s">
        <v>2350</v>
      </c>
      <c r="C5995" s="49" t="s">
        <v>10502</v>
      </c>
      <c r="D5995" s="49" t="s">
        <v>2352</v>
      </c>
      <c r="E5995" s="49" t="str">
        <f aca="false">"8908020441030"</f>
        <v>8908020441030</v>
      </c>
      <c r="F5995" s="49" t="s">
        <v>5384</v>
      </c>
      <c r="G5995" s="49" t="n">
        <v>0</v>
      </c>
      <c r="H5995" s="0" t="n">
        <v>0</v>
      </c>
      <c r="M5995" s="51" t="s">
        <v>10490</v>
      </c>
      <c r="N5995" s="49" t="n">
        <v>0</v>
      </c>
      <c r="O5995" s="53" t="n">
        <v>45950.4656597222</v>
      </c>
      <c r="P5995" s="53" t="n">
        <v>46043.4754861111</v>
      </c>
      <c r="Q5995" s="53" t="n">
        <v>45950.4656597222</v>
      </c>
      <c r="R5995" s="0" t="n">
        <v>0</v>
      </c>
      <c r="S5995" s="51" t="s">
        <v>2356</v>
      </c>
      <c r="T5995" s="51" t="s">
        <v>2356</v>
      </c>
      <c r="U5995" s="0" t="str">
        <f aca="false">"8908020441030"</f>
        <v>8908020441030</v>
      </c>
      <c r="V5995" s="51" t="s">
        <v>5386</v>
      </c>
      <c r="W5995" s="51" t="s">
        <v>5139</v>
      </c>
      <c r="X5995" s="51" t="s">
        <v>2359</v>
      </c>
    </row>
    <row r="5996" customFormat="false" ht="14.25" hidden="true" customHeight="false" outlineLevel="0" collapsed="false">
      <c r="A5996" s="49" t="s">
        <v>2349</v>
      </c>
      <c r="B5996" s="49" t="s">
        <v>2350</v>
      </c>
      <c r="C5996" s="49" t="s">
        <v>10503</v>
      </c>
      <c r="D5996" s="49" t="s">
        <v>2352</v>
      </c>
      <c r="E5996" s="49" t="str">
        <f aca="false">"8908020441030"</f>
        <v>8908020441030</v>
      </c>
      <c r="F5996" s="49" t="s">
        <v>5384</v>
      </c>
      <c r="G5996" s="49" t="n">
        <v>0</v>
      </c>
      <c r="H5996" s="0" t="n">
        <v>0</v>
      </c>
      <c r="M5996" s="51" t="s">
        <v>10490</v>
      </c>
      <c r="N5996" s="49" t="n">
        <v>0</v>
      </c>
      <c r="O5996" s="53" t="n">
        <v>45950.4654398148</v>
      </c>
      <c r="P5996" s="53" t="n">
        <v>46043.4788194444</v>
      </c>
      <c r="Q5996" s="53" t="n">
        <v>45950.4654398148</v>
      </c>
      <c r="R5996" s="0" t="n">
        <v>0</v>
      </c>
      <c r="S5996" s="51" t="s">
        <v>2356</v>
      </c>
      <c r="T5996" s="51" t="s">
        <v>2356</v>
      </c>
      <c r="U5996" s="0" t="str">
        <f aca="false">"8908020441030"</f>
        <v>8908020441030</v>
      </c>
      <c r="V5996" s="51" t="s">
        <v>5386</v>
      </c>
      <c r="W5996" s="51" t="s">
        <v>7056</v>
      </c>
      <c r="X5996" s="51" t="s">
        <v>2359</v>
      </c>
    </row>
    <row r="5997" customFormat="false" ht="14.25" hidden="true" customHeight="false" outlineLevel="0" collapsed="false">
      <c r="A5997" s="49" t="s">
        <v>2349</v>
      </c>
      <c r="B5997" s="49" t="s">
        <v>2350</v>
      </c>
      <c r="C5997" s="49" t="s">
        <v>10504</v>
      </c>
      <c r="D5997" s="49" t="s">
        <v>2352</v>
      </c>
      <c r="E5997" s="49" t="str">
        <f aca="false">"8908020441030"</f>
        <v>8908020441030</v>
      </c>
      <c r="F5997" s="49" t="s">
        <v>5384</v>
      </c>
      <c r="G5997" s="49" t="n">
        <v>0</v>
      </c>
      <c r="H5997" s="0" t="n">
        <v>0</v>
      </c>
      <c r="M5997" s="51" t="s">
        <v>10490</v>
      </c>
      <c r="N5997" s="49" t="n">
        <v>0</v>
      </c>
      <c r="O5997" s="53" t="n">
        <v>45950.465150463</v>
      </c>
      <c r="P5997" s="53" t="n">
        <v>46043.476724537</v>
      </c>
      <c r="Q5997" s="53" t="n">
        <v>45950.465150463</v>
      </c>
      <c r="R5997" s="0" t="n">
        <v>0</v>
      </c>
      <c r="S5997" s="51" t="s">
        <v>2356</v>
      </c>
      <c r="T5997" s="51" t="s">
        <v>2356</v>
      </c>
      <c r="U5997" s="0" t="str">
        <f aca="false">"8908020441030"</f>
        <v>8908020441030</v>
      </c>
      <c r="V5997" s="51" t="s">
        <v>5386</v>
      </c>
      <c r="W5997" s="51" t="s">
        <v>3723</v>
      </c>
      <c r="X5997" s="51" t="s">
        <v>2359</v>
      </c>
    </row>
    <row r="5998" customFormat="false" ht="14.25" hidden="true" customHeight="false" outlineLevel="0" collapsed="false">
      <c r="A5998" s="49" t="s">
        <v>2349</v>
      </c>
      <c r="B5998" s="49" t="s">
        <v>2350</v>
      </c>
      <c r="C5998" s="49" t="s">
        <v>10505</v>
      </c>
      <c r="D5998" s="49" t="s">
        <v>2352</v>
      </c>
      <c r="E5998" s="49" t="str">
        <f aca="false">"8908020441030"</f>
        <v>8908020441030</v>
      </c>
      <c r="F5998" s="49" t="s">
        <v>5384</v>
      </c>
      <c r="G5998" s="49" t="n">
        <v>0</v>
      </c>
      <c r="H5998" s="0" t="n">
        <v>0</v>
      </c>
      <c r="M5998" s="51" t="s">
        <v>10490</v>
      </c>
      <c r="N5998" s="49" t="n">
        <v>0</v>
      </c>
      <c r="O5998" s="53" t="n">
        <v>45950.4649421296</v>
      </c>
      <c r="P5998" s="53" t="n">
        <v>46043.4793518519</v>
      </c>
      <c r="Q5998" s="53" t="n">
        <v>45950.4649421296</v>
      </c>
      <c r="R5998" s="0" t="n">
        <v>0</v>
      </c>
      <c r="S5998" s="51" t="s">
        <v>2356</v>
      </c>
      <c r="T5998" s="51" t="s">
        <v>2356</v>
      </c>
      <c r="U5998" s="0" t="str">
        <f aca="false">"8908020441030"</f>
        <v>8908020441030</v>
      </c>
      <c r="V5998" s="51" t="s">
        <v>5386</v>
      </c>
      <c r="W5998" s="51" t="s">
        <v>7282</v>
      </c>
      <c r="X5998" s="51" t="s">
        <v>2359</v>
      </c>
    </row>
    <row r="5999" customFormat="false" ht="14.25" hidden="true" customHeight="false" outlineLevel="0" collapsed="false">
      <c r="A5999" s="49" t="s">
        <v>2349</v>
      </c>
      <c r="B5999" s="49" t="s">
        <v>2350</v>
      </c>
      <c r="C5999" s="49" t="s">
        <v>10506</v>
      </c>
      <c r="D5999" s="49" t="s">
        <v>2352</v>
      </c>
      <c r="E5999" s="49" t="str">
        <f aca="false">"8908020441030"</f>
        <v>8908020441030</v>
      </c>
      <c r="F5999" s="49" t="s">
        <v>5384</v>
      </c>
      <c r="G5999" s="49" t="n">
        <v>0</v>
      </c>
      <c r="H5999" s="0" t="n">
        <v>0</v>
      </c>
      <c r="M5999" s="51" t="s">
        <v>10490</v>
      </c>
      <c r="N5999" s="49" t="n">
        <v>0</v>
      </c>
      <c r="O5999" s="53" t="n">
        <v>45950.4646875</v>
      </c>
      <c r="P5999" s="53" t="n">
        <v>46043.4786458333</v>
      </c>
      <c r="Q5999" s="53" t="n">
        <v>45950.4646875</v>
      </c>
      <c r="R5999" s="0" t="n">
        <v>0</v>
      </c>
      <c r="S5999" s="51" t="s">
        <v>2356</v>
      </c>
      <c r="T5999" s="51" t="s">
        <v>2356</v>
      </c>
      <c r="U5999" s="0" t="str">
        <f aca="false">"8908020441030"</f>
        <v>8908020441030</v>
      </c>
      <c r="V5999" s="51" t="s">
        <v>5386</v>
      </c>
      <c r="W5999" s="51" t="s">
        <v>7058</v>
      </c>
      <c r="X5999" s="51" t="s">
        <v>2359</v>
      </c>
    </row>
    <row r="6000" customFormat="false" ht="14.25" hidden="true" customHeight="false" outlineLevel="0" collapsed="false">
      <c r="A6000" s="49" t="s">
        <v>2349</v>
      </c>
      <c r="B6000" s="49" t="s">
        <v>2350</v>
      </c>
      <c r="C6000" s="49" t="s">
        <v>10507</v>
      </c>
      <c r="D6000" s="49" t="s">
        <v>2352</v>
      </c>
      <c r="E6000" s="49" t="str">
        <f aca="false">"8908020441030"</f>
        <v>8908020441030</v>
      </c>
      <c r="F6000" s="49" t="s">
        <v>5384</v>
      </c>
      <c r="G6000" s="49" t="n">
        <v>0</v>
      </c>
      <c r="H6000" s="0" t="n">
        <v>0</v>
      </c>
      <c r="M6000" s="51" t="s">
        <v>10490</v>
      </c>
      <c r="N6000" s="49" t="n">
        <v>0</v>
      </c>
      <c r="O6000" s="53" t="n">
        <v>45950.4643634259</v>
      </c>
      <c r="P6000" s="53" t="n">
        <v>46043.4791435185</v>
      </c>
      <c r="Q6000" s="53" t="n">
        <v>45950.4643634259</v>
      </c>
      <c r="R6000" s="0" t="n">
        <v>0</v>
      </c>
      <c r="S6000" s="51" t="s">
        <v>2356</v>
      </c>
      <c r="T6000" s="51" t="s">
        <v>2356</v>
      </c>
      <c r="U6000" s="0" t="str">
        <f aca="false">"8908020441030"</f>
        <v>8908020441030</v>
      </c>
      <c r="V6000" s="51" t="s">
        <v>5386</v>
      </c>
      <c r="W6000" s="51" t="s">
        <v>8298</v>
      </c>
      <c r="X6000" s="51" t="s">
        <v>2359</v>
      </c>
    </row>
    <row r="6001" customFormat="false" ht="14.25" hidden="true" customHeight="false" outlineLevel="0" collapsed="false">
      <c r="A6001" s="49" t="s">
        <v>2349</v>
      </c>
      <c r="B6001" s="49" t="s">
        <v>2350</v>
      </c>
      <c r="C6001" s="49" t="s">
        <v>10508</v>
      </c>
      <c r="D6001" s="49" t="s">
        <v>2352</v>
      </c>
      <c r="E6001" s="49" t="str">
        <f aca="false">"8908020441030"</f>
        <v>8908020441030</v>
      </c>
      <c r="F6001" s="49" t="s">
        <v>5384</v>
      </c>
      <c r="G6001" s="49" t="n">
        <v>0</v>
      </c>
      <c r="H6001" s="0" t="n">
        <v>0</v>
      </c>
      <c r="M6001" s="51" t="s">
        <v>10490</v>
      </c>
      <c r="N6001" s="49" t="n">
        <v>0</v>
      </c>
      <c r="O6001" s="53" t="n">
        <v>45950.4639814815</v>
      </c>
      <c r="P6001" s="53" t="n">
        <v>46043.4792476852</v>
      </c>
      <c r="Q6001" s="53" t="n">
        <v>45950.4639814815</v>
      </c>
      <c r="R6001" s="0" t="n">
        <v>0</v>
      </c>
      <c r="S6001" s="51" t="s">
        <v>2356</v>
      </c>
      <c r="T6001" s="51" t="s">
        <v>2356</v>
      </c>
      <c r="U6001" s="0" t="str">
        <f aca="false">"8908020441030"</f>
        <v>8908020441030</v>
      </c>
      <c r="V6001" s="51" t="s">
        <v>5386</v>
      </c>
      <c r="W6001" s="51" t="s">
        <v>7064</v>
      </c>
      <c r="X6001" s="51" t="s">
        <v>2359</v>
      </c>
    </row>
    <row r="6002" customFormat="false" ht="14.25" hidden="true" customHeight="false" outlineLevel="0" collapsed="false">
      <c r="A6002" s="49" t="s">
        <v>2349</v>
      </c>
      <c r="B6002" s="49" t="s">
        <v>2350</v>
      </c>
      <c r="C6002" s="49" t="s">
        <v>10509</v>
      </c>
      <c r="D6002" s="49" t="s">
        <v>2352</v>
      </c>
      <c r="E6002" s="49" t="str">
        <f aca="false">"8908020441030"</f>
        <v>8908020441030</v>
      </c>
      <c r="F6002" s="49" t="s">
        <v>5384</v>
      </c>
      <c r="G6002" s="49" t="n">
        <v>0</v>
      </c>
      <c r="H6002" s="0" t="n">
        <v>0</v>
      </c>
      <c r="M6002" s="51" t="s">
        <v>10490</v>
      </c>
      <c r="N6002" s="49" t="n">
        <v>0</v>
      </c>
      <c r="O6002" s="53" t="n">
        <v>45950.4634143519</v>
      </c>
      <c r="P6002" s="53" t="n">
        <v>46027.5093402778</v>
      </c>
      <c r="Q6002" s="53" t="n">
        <v>45950.4634143519</v>
      </c>
      <c r="R6002" s="0" t="n">
        <v>0</v>
      </c>
      <c r="S6002" s="51" t="s">
        <v>2356</v>
      </c>
      <c r="T6002" s="51" t="s">
        <v>2356</v>
      </c>
      <c r="U6002" s="0" t="str">
        <f aca="false">"8908020441030"</f>
        <v>8908020441030</v>
      </c>
      <c r="V6002" s="51" t="s">
        <v>5386</v>
      </c>
      <c r="W6002" s="51" t="s">
        <v>5143</v>
      </c>
      <c r="X6002" s="51" t="s">
        <v>2359</v>
      </c>
    </row>
    <row r="6003" customFormat="false" ht="14.25" hidden="true" customHeight="false" outlineLevel="0" collapsed="false">
      <c r="A6003" s="49" t="s">
        <v>2349</v>
      </c>
      <c r="B6003" s="49" t="s">
        <v>2350</v>
      </c>
      <c r="C6003" s="49" t="s">
        <v>10510</v>
      </c>
      <c r="D6003" s="49" t="s">
        <v>2352</v>
      </c>
      <c r="E6003" s="49" t="str">
        <f aca="false">"8908020441070"</f>
        <v>8908020441070</v>
      </c>
      <c r="F6003" s="49" t="s">
        <v>5404</v>
      </c>
      <c r="G6003" s="49" t="n">
        <v>0</v>
      </c>
      <c r="H6003" s="0" t="n">
        <v>0</v>
      </c>
      <c r="M6003" s="51" t="s">
        <v>10490</v>
      </c>
      <c r="N6003" s="49" t="n">
        <v>0</v>
      </c>
      <c r="O6003" s="53" t="n">
        <v>45950.4613773148</v>
      </c>
      <c r="P6003" s="53" t="n">
        <v>45958.3056828704</v>
      </c>
      <c r="Q6003" s="53" t="n">
        <v>45950.4613773148</v>
      </c>
      <c r="R6003" s="0" t="n">
        <v>0</v>
      </c>
      <c r="S6003" s="51" t="s">
        <v>2356</v>
      </c>
      <c r="T6003" s="51" t="s">
        <v>2356</v>
      </c>
      <c r="U6003" s="0" t="str">
        <f aca="false">"8908020441070"</f>
        <v>8908020441070</v>
      </c>
      <c r="V6003" s="51" t="s">
        <v>5386</v>
      </c>
      <c r="W6003" s="51" t="s">
        <v>3756</v>
      </c>
      <c r="X6003" s="51" t="s">
        <v>2359</v>
      </c>
    </row>
    <row r="6004" customFormat="false" ht="14.25" hidden="true" customHeight="false" outlineLevel="0" collapsed="false">
      <c r="A6004" s="49" t="s">
        <v>2349</v>
      </c>
      <c r="B6004" s="49" t="s">
        <v>2350</v>
      </c>
      <c r="C6004" s="49" t="s">
        <v>10511</v>
      </c>
      <c r="D6004" s="49" t="s">
        <v>2352</v>
      </c>
      <c r="E6004" s="49" t="str">
        <f aca="false">"8908020441070"</f>
        <v>8908020441070</v>
      </c>
      <c r="F6004" s="49" t="s">
        <v>5404</v>
      </c>
      <c r="G6004" s="49" t="n">
        <v>0</v>
      </c>
      <c r="H6004" s="0" t="n">
        <v>0</v>
      </c>
      <c r="M6004" s="51" t="s">
        <v>10490</v>
      </c>
      <c r="N6004" s="49" t="n">
        <v>0</v>
      </c>
      <c r="O6004" s="53" t="n">
        <v>45950.4610648148</v>
      </c>
      <c r="P6004" s="53" t="n">
        <v>45958.3055092593</v>
      </c>
      <c r="Q6004" s="53" t="n">
        <v>45950.4610648148</v>
      </c>
      <c r="R6004" s="0" t="n">
        <v>0</v>
      </c>
      <c r="S6004" s="51" t="s">
        <v>2356</v>
      </c>
      <c r="T6004" s="51" t="s">
        <v>2356</v>
      </c>
      <c r="U6004" s="0" t="str">
        <f aca="false">"8908020441070"</f>
        <v>8908020441070</v>
      </c>
      <c r="V6004" s="51" t="s">
        <v>5386</v>
      </c>
      <c r="W6004" s="51" t="s">
        <v>3677</v>
      </c>
      <c r="X6004" s="51" t="s">
        <v>2359</v>
      </c>
    </row>
    <row r="6005" customFormat="false" ht="14.25" hidden="true" customHeight="false" outlineLevel="0" collapsed="false">
      <c r="A6005" s="49" t="s">
        <v>2349</v>
      </c>
      <c r="B6005" s="49" t="s">
        <v>2350</v>
      </c>
      <c r="C6005" s="49" t="s">
        <v>10512</v>
      </c>
      <c r="D6005" s="49" t="s">
        <v>2352</v>
      </c>
      <c r="E6005" s="49" t="str">
        <f aca="false">"8908020441070"</f>
        <v>8908020441070</v>
      </c>
      <c r="F6005" s="49" t="s">
        <v>5404</v>
      </c>
      <c r="G6005" s="49" t="n">
        <v>0</v>
      </c>
      <c r="H6005" s="0" t="n">
        <v>0</v>
      </c>
      <c r="M6005" s="51" t="s">
        <v>10490</v>
      </c>
      <c r="N6005" s="49" t="n">
        <v>0</v>
      </c>
      <c r="O6005" s="53" t="n">
        <v>45950.460775463</v>
      </c>
      <c r="P6005" s="53" t="n">
        <v>45955.4931597222</v>
      </c>
      <c r="Q6005" s="53" t="n">
        <v>45950.460775463</v>
      </c>
      <c r="R6005" s="0" t="n">
        <v>0</v>
      </c>
      <c r="S6005" s="51" t="s">
        <v>2356</v>
      </c>
      <c r="T6005" s="51" t="s">
        <v>2356</v>
      </c>
      <c r="U6005" s="0" t="str">
        <f aca="false">"8908020441070"</f>
        <v>8908020441070</v>
      </c>
      <c r="V6005" s="51" t="s">
        <v>5386</v>
      </c>
      <c r="W6005" s="51" t="s">
        <v>10513</v>
      </c>
      <c r="X6005" s="51" t="s">
        <v>2359</v>
      </c>
    </row>
    <row r="6006" customFormat="false" ht="14.25" hidden="true" customHeight="false" outlineLevel="0" collapsed="false">
      <c r="A6006" s="49" t="s">
        <v>2349</v>
      </c>
      <c r="B6006" s="49" t="s">
        <v>2350</v>
      </c>
      <c r="C6006" s="49" t="s">
        <v>10514</v>
      </c>
      <c r="D6006" s="49" t="s">
        <v>2352</v>
      </c>
      <c r="E6006" s="49" t="str">
        <f aca="false">"8908020441030"</f>
        <v>8908020441030</v>
      </c>
      <c r="F6006" s="49" t="s">
        <v>5384</v>
      </c>
      <c r="G6006" s="49" t="n">
        <v>0</v>
      </c>
      <c r="H6006" s="0" t="n">
        <v>0</v>
      </c>
      <c r="M6006" s="51" t="s">
        <v>10515</v>
      </c>
      <c r="N6006" s="49" t="n">
        <v>0</v>
      </c>
      <c r="O6006" s="53" t="n">
        <v>45951.4652083333</v>
      </c>
      <c r="P6006" s="53" t="n">
        <v>46050.4714930556</v>
      </c>
      <c r="Q6006" s="53" t="n">
        <v>45951.4652083333</v>
      </c>
      <c r="R6006" s="0" t="n">
        <v>0</v>
      </c>
      <c r="S6006" s="51" t="s">
        <v>2356</v>
      </c>
      <c r="T6006" s="51" t="s">
        <v>2356</v>
      </c>
      <c r="U6006" s="0" t="str">
        <f aca="false">"8908020441030"</f>
        <v>8908020441030</v>
      </c>
      <c r="V6006" s="51" t="s">
        <v>5386</v>
      </c>
      <c r="W6006" s="51" t="s">
        <v>10516</v>
      </c>
      <c r="X6006" s="51" t="s">
        <v>2359</v>
      </c>
    </row>
    <row r="6007" customFormat="false" ht="14.25" hidden="true" customHeight="false" outlineLevel="0" collapsed="false">
      <c r="A6007" s="49" t="s">
        <v>2349</v>
      </c>
      <c r="B6007" s="49" t="s">
        <v>2350</v>
      </c>
      <c r="C6007" s="49" t="s">
        <v>10517</v>
      </c>
      <c r="D6007" s="49" t="s">
        <v>2352</v>
      </c>
      <c r="E6007" s="49" t="str">
        <f aca="false">"8908020441030"</f>
        <v>8908020441030</v>
      </c>
      <c r="F6007" s="49" t="s">
        <v>5384</v>
      </c>
      <c r="G6007" s="49" t="n">
        <v>0</v>
      </c>
      <c r="H6007" s="0" t="n">
        <v>0</v>
      </c>
      <c r="M6007" s="51" t="s">
        <v>10515</v>
      </c>
      <c r="N6007" s="49" t="n">
        <v>0</v>
      </c>
      <c r="O6007" s="53" t="n">
        <v>45951.4650115741</v>
      </c>
      <c r="P6007" s="53" t="n">
        <v>46048.4406944444</v>
      </c>
      <c r="Q6007" s="53" t="n">
        <v>45951.4650115741</v>
      </c>
      <c r="R6007" s="0" t="n">
        <v>0</v>
      </c>
      <c r="S6007" s="51" t="s">
        <v>2356</v>
      </c>
      <c r="T6007" s="51" t="s">
        <v>2356</v>
      </c>
      <c r="U6007" s="0" t="str">
        <f aca="false">"8908020441030"</f>
        <v>8908020441030</v>
      </c>
      <c r="V6007" s="51" t="s">
        <v>5386</v>
      </c>
      <c r="W6007" s="51" t="s">
        <v>8842</v>
      </c>
      <c r="X6007" s="51" t="s">
        <v>2359</v>
      </c>
    </row>
    <row r="6008" customFormat="false" ht="14.25" hidden="true" customHeight="false" outlineLevel="0" collapsed="false">
      <c r="A6008" s="49" t="s">
        <v>2349</v>
      </c>
      <c r="B6008" s="49" t="s">
        <v>2350</v>
      </c>
      <c r="C6008" s="49" t="s">
        <v>10518</v>
      </c>
      <c r="D6008" s="49" t="s">
        <v>2352</v>
      </c>
      <c r="E6008" s="49" t="str">
        <f aca="false">"8908020441030"</f>
        <v>8908020441030</v>
      </c>
      <c r="F6008" s="49" t="s">
        <v>5384</v>
      </c>
      <c r="G6008" s="49" t="n">
        <v>0</v>
      </c>
      <c r="H6008" s="0" t="n">
        <v>0</v>
      </c>
      <c r="M6008" s="51" t="s">
        <v>10515</v>
      </c>
      <c r="N6008" s="49" t="n">
        <v>0</v>
      </c>
      <c r="O6008" s="53" t="n">
        <v>45951.4648148148</v>
      </c>
      <c r="P6008" s="53" t="n">
        <v>46006.847337963</v>
      </c>
      <c r="Q6008" s="53" t="n">
        <v>45951.4648148148</v>
      </c>
      <c r="R6008" s="0" t="n">
        <v>0</v>
      </c>
      <c r="S6008" s="51" t="s">
        <v>2356</v>
      </c>
      <c r="T6008" s="51" t="s">
        <v>2356</v>
      </c>
      <c r="U6008" s="0" t="str">
        <f aca="false">"8908020441030"</f>
        <v>8908020441030</v>
      </c>
      <c r="V6008" s="51" t="s">
        <v>5386</v>
      </c>
      <c r="W6008" s="51" t="s">
        <v>4120</v>
      </c>
      <c r="X6008" s="51" t="s">
        <v>2359</v>
      </c>
    </row>
    <row r="6009" customFormat="false" ht="14.25" hidden="true" customHeight="false" outlineLevel="0" collapsed="false">
      <c r="A6009" s="49" t="s">
        <v>2349</v>
      </c>
      <c r="B6009" s="49" t="s">
        <v>2350</v>
      </c>
      <c r="C6009" s="49" t="s">
        <v>10519</v>
      </c>
      <c r="D6009" s="49" t="s">
        <v>2352</v>
      </c>
      <c r="E6009" s="49" t="str">
        <f aca="false">"8908020441030"</f>
        <v>8908020441030</v>
      </c>
      <c r="F6009" s="49" t="s">
        <v>5384</v>
      </c>
      <c r="G6009" s="49" t="n">
        <v>0</v>
      </c>
      <c r="H6009" s="0" t="n">
        <v>0</v>
      </c>
      <c r="M6009" s="51" t="s">
        <v>10515</v>
      </c>
      <c r="N6009" s="49" t="n">
        <v>0</v>
      </c>
      <c r="O6009" s="53" t="n">
        <v>45951.4646064815</v>
      </c>
      <c r="P6009" s="53" t="n">
        <v>46043.4778472222</v>
      </c>
      <c r="Q6009" s="53" t="n">
        <v>45951.4646064815</v>
      </c>
      <c r="R6009" s="0" t="n">
        <v>0</v>
      </c>
      <c r="S6009" s="51" t="s">
        <v>2356</v>
      </c>
      <c r="T6009" s="51" t="s">
        <v>2356</v>
      </c>
      <c r="U6009" s="0" t="str">
        <f aca="false">"8908020441030"</f>
        <v>8908020441030</v>
      </c>
      <c r="V6009" s="51" t="s">
        <v>5386</v>
      </c>
      <c r="W6009" s="51" t="s">
        <v>10520</v>
      </c>
      <c r="X6009" s="51" t="s">
        <v>2359</v>
      </c>
    </row>
    <row r="6010" customFormat="false" ht="14.25" hidden="true" customHeight="false" outlineLevel="0" collapsed="false">
      <c r="A6010" s="49" t="s">
        <v>2349</v>
      </c>
      <c r="B6010" s="49" t="s">
        <v>2350</v>
      </c>
      <c r="C6010" s="49" t="s">
        <v>10521</v>
      </c>
      <c r="D6010" s="49" t="s">
        <v>2352</v>
      </c>
      <c r="E6010" s="49" t="str">
        <f aca="false">"8908020441030"</f>
        <v>8908020441030</v>
      </c>
      <c r="F6010" s="49" t="s">
        <v>5384</v>
      </c>
      <c r="G6010" s="49" t="n">
        <v>0</v>
      </c>
      <c r="H6010" s="0" t="n">
        <v>0</v>
      </c>
      <c r="M6010" s="51" t="s">
        <v>10515</v>
      </c>
      <c r="N6010" s="49" t="n">
        <v>0</v>
      </c>
      <c r="O6010" s="53" t="n">
        <v>45951.4643981482</v>
      </c>
      <c r="P6010" s="53" t="n">
        <v>45993.3684259259</v>
      </c>
      <c r="Q6010" s="53" t="n">
        <v>45951.4643981482</v>
      </c>
      <c r="R6010" s="0" t="n">
        <v>0</v>
      </c>
      <c r="S6010" s="51" t="s">
        <v>2356</v>
      </c>
      <c r="T6010" s="51" t="s">
        <v>2356</v>
      </c>
      <c r="U6010" s="0" t="str">
        <f aca="false">"8908020441030"</f>
        <v>8908020441030</v>
      </c>
      <c r="V6010" s="51" t="s">
        <v>5386</v>
      </c>
      <c r="W6010" s="51" t="s">
        <v>8229</v>
      </c>
      <c r="X6010" s="51" t="s">
        <v>2359</v>
      </c>
    </row>
    <row r="6011" customFormat="false" ht="14.25" hidden="true" customHeight="false" outlineLevel="0" collapsed="false">
      <c r="A6011" s="49" t="s">
        <v>2349</v>
      </c>
      <c r="B6011" s="49" t="s">
        <v>2350</v>
      </c>
      <c r="C6011" s="49" t="s">
        <v>10522</v>
      </c>
      <c r="D6011" s="49" t="s">
        <v>2352</v>
      </c>
      <c r="E6011" s="49" t="str">
        <f aca="false">"8908020441030"</f>
        <v>8908020441030</v>
      </c>
      <c r="F6011" s="49" t="s">
        <v>5384</v>
      </c>
      <c r="G6011" s="49" t="n">
        <v>0</v>
      </c>
      <c r="H6011" s="0" t="n">
        <v>0</v>
      </c>
      <c r="M6011" s="51" t="s">
        <v>10515</v>
      </c>
      <c r="N6011" s="49" t="n">
        <v>0</v>
      </c>
      <c r="O6011" s="53" t="n">
        <v>45951.4641782407</v>
      </c>
      <c r="P6011" s="53" t="n">
        <v>46043.4780902778</v>
      </c>
      <c r="Q6011" s="53" t="n">
        <v>45951.4641782407</v>
      </c>
      <c r="R6011" s="0" t="n">
        <v>0</v>
      </c>
      <c r="S6011" s="51" t="s">
        <v>2356</v>
      </c>
      <c r="T6011" s="51" t="s">
        <v>2356</v>
      </c>
      <c r="U6011" s="0" t="str">
        <f aca="false">"8908020441030"</f>
        <v>8908020441030</v>
      </c>
      <c r="V6011" s="51" t="s">
        <v>5386</v>
      </c>
      <c r="W6011" s="51" t="s">
        <v>8274</v>
      </c>
      <c r="X6011" s="51" t="s">
        <v>2359</v>
      </c>
    </row>
    <row r="6012" customFormat="false" ht="14.25" hidden="true" customHeight="false" outlineLevel="0" collapsed="false">
      <c r="A6012" s="49" t="s">
        <v>2349</v>
      </c>
      <c r="B6012" s="49" t="s">
        <v>2350</v>
      </c>
      <c r="C6012" s="49" t="s">
        <v>10523</v>
      </c>
      <c r="D6012" s="49" t="s">
        <v>2352</v>
      </c>
      <c r="E6012" s="49" t="str">
        <f aca="false">"8908020441030"</f>
        <v>8908020441030</v>
      </c>
      <c r="F6012" s="49" t="s">
        <v>5384</v>
      </c>
      <c r="G6012" s="49" t="n">
        <v>0</v>
      </c>
      <c r="H6012" s="0" t="n">
        <v>0</v>
      </c>
      <c r="M6012" s="51" t="s">
        <v>10515</v>
      </c>
      <c r="N6012" s="49" t="n">
        <v>0</v>
      </c>
      <c r="O6012" s="53" t="n">
        <v>45951.4639583333</v>
      </c>
      <c r="P6012" s="53" t="n">
        <v>46006.8468518519</v>
      </c>
      <c r="Q6012" s="53" t="n">
        <v>45951.4639583333</v>
      </c>
      <c r="R6012" s="0" t="n">
        <v>0</v>
      </c>
      <c r="S6012" s="51" t="s">
        <v>2356</v>
      </c>
      <c r="T6012" s="51" t="s">
        <v>2356</v>
      </c>
      <c r="U6012" s="0" t="str">
        <f aca="false">"8908020441030"</f>
        <v>8908020441030</v>
      </c>
      <c r="V6012" s="51" t="s">
        <v>5386</v>
      </c>
      <c r="W6012" s="51" t="s">
        <v>5157</v>
      </c>
      <c r="X6012" s="51" t="s">
        <v>2359</v>
      </c>
    </row>
    <row r="6013" customFormat="false" ht="14.25" hidden="true" customHeight="false" outlineLevel="0" collapsed="false">
      <c r="A6013" s="49" t="s">
        <v>2349</v>
      </c>
      <c r="B6013" s="49" t="s">
        <v>2350</v>
      </c>
      <c r="C6013" s="49" t="s">
        <v>10524</v>
      </c>
      <c r="D6013" s="49" t="s">
        <v>2352</v>
      </c>
      <c r="E6013" s="49" t="str">
        <f aca="false">"8908020441030"</f>
        <v>8908020441030</v>
      </c>
      <c r="F6013" s="49" t="s">
        <v>5384</v>
      </c>
      <c r="G6013" s="49" t="n">
        <v>0</v>
      </c>
      <c r="H6013" s="0" t="n">
        <v>0</v>
      </c>
      <c r="M6013" s="51" t="s">
        <v>10515</v>
      </c>
      <c r="N6013" s="49" t="n">
        <v>0</v>
      </c>
      <c r="O6013" s="53" t="n">
        <v>45951.4637615741</v>
      </c>
      <c r="P6013" s="53" t="n">
        <v>46006.8467592593</v>
      </c>
      <c r="Q6013" s="53" t="n">
        <v>45951.4637615741</v>
      </c>
      <c r="R6013" s="0" t="n">
        <v>0</v>
      </c>
      <c r="S6013" s="51" t="s">
        <v>2356</v>
      </c>
      <c r="T6013" s="51" t="s">
        <v>2356</v>
      </c>
      <c r="U6013" s="0" t="str">
        <f aca="false">"8908020441030"</f>
        <v>8908020441030</v>
      </c>
      <c r="V6013" s="51" t="s">
        <v>5386</v>
      </c>
      <c r="W6013" s="51" t="s">
        <v>6881</v>
      </c>
      <c r="X6013" s="51" t="s">
        <v>2359</v>
      </c>
    </row>
    <row r="6014" customFormat="false" ht="14.25" hidden="true" customHeight="false" outlineLevel="0" collapsed="false">
      <c r="A6014" s="49" t="s">
        <v>2349</v>
      </c>
      <c r="B6014" s="49" t="s">
        <v>2350</v>
      </c>
      <c r="C6014" s="49" t="s">
        <v>10525</v>
      </c>
      <c r="D6014" s="49" t="s">
        <v>2352</v>
      </c>
      <c r="E6014" s="49" t="str">
        <f aca="false">"8908020441030"</f>
        <v>8908020441030</v>
      </c>
      <c r="F6014" s="49" t="s">
        <v>5384</v>
      </c>
      <c r="G6014" s="49" t="n">
        <v>0</v>
      </c>
      <c r="H6014" s="0" t="n">
        <v>0</v>
      </c>
      <c r="M6014" s="51" t="s">
        <v>10515</v>
      </c>
      <c r="N6014" s="49" t="n">
        <v>0</v>
      </c>
      <c r="O6014" s="53" t="n">
        <v>45951.4633912037</v>
      </c>
      <c r="P6014" s="53" t="n">
        <v>46043.4865972222</v>
      </c>
      <c r="Q6014" s="53" t="n">
        <v>45951.4633912037</v>
      </c>
      <c r="R6014" s="0" t="n">
        <v>0</v>
      </c>
      <c r="S6014" s="51" t="s">
        <v>2356</v>
      </c>
      <c r="T6014" s="51" t="s">
        <v>2356</v>
      </c>
      <c r="U6014" s="0" t="str">
        <f aca="false">"8908020441030"</f>
        <v>8908020441030</v>
      </c>
      <c r="V6014" s="51" t="s">
        <v>5386</v>
      </c>
      <c r="W6014" s="51" t="s">
        <v>7215</v>
      </c>
      <c r="X6014" s="51" t="s">
        <v>2359</v>
      </c>
    </row>
    <row r="6015" customFormat="false" ht="14.25" hidden="true" customHeight="false" outlineLevel="0" collapsed="false">
      <c r="A6015" s="49" t="s">
        <v>2349</v>
      </c>
      <c r="B6015" s="49" t="s">
        <v>2350</v>
      </c>
      <c r="C6015" s="49" t="s">
        <v>10526</v>
      </c>
      <c r="D6015" s="49" t="s">
        <v>2352</v>
      </c>
      <c r="E6015" s="49" t="str">
        <f aca="false">"8908020441030"</f>
        <v>8908020441030</v>
      </c>
      <c r="F6015" s="49" t="s">
        <v>5384</v>
      </c>
      <c r="G6015" s="49" t="n">
        <v>0</v>
      </c>
      <c r="H6015" s="0" t="n">
        <v>0</v>
      </c>
      <c r="M6015" s="51" t="s">
        <v>10515</v>
      </c>
      <c r="N6015" s="49" t="n">
        <v>0</v>
      </c>
      <c r="O6015" s="53" t="n">
        <v>45951.4631944444</v>
      </c>
      <c r="P6015" s="53" t="n">
        <v>46043.4785300926</v>
      </c>
      <c r="Q6015" s="53" t="n">
        <v>45951.4631944444</v>
      </c>
      <c r="R6015" s="0" t="n">
        <v>0</v>
      </c>
      <c r="S6015" s="51" t="s">
        <v>2356</v>
      </c>
      <c r="T6015" s="51" t="s">
        <v>2356</v>
      </c>
      <c r="U6015" s="0" t="str">
        <f aca="false">"8908020441030"</f>
        <v>8908020441030</v>
      </c>
      <c r="V6015" s="51" t="s">
        <v>5386</v>
      </c>
      <c r="W6015" s="51" t="s">
        <v>9687</v>
      </c>
      <c r="X6015" s="51" t="s">
        <v>2359</v>
      </c>
    </row>
    <row r="6016" customFormat="false" ht="14.25" hidden="true" customHeight="false" outlineLevel="0" collapsed="false">
      <c r="A6016" s="49" t="s">
        <v>2349</v>
      </c>
      <c r="B6016" s="49" t="s">
        <v>2350</v>
      </c>
      <c r="C6016" s="49" t="s">
        <v>10527</v>
      </c>
      <c r="D6016" s="49" t="s">
        <v>2352</v>
      </c>
      <c r="E6016" s="49" t="str">
        <f aca="false">"8908020441030"</f>
        <v>8908020441030</v>
      </c>
      <c r="F6016" s="49" t="s">
        <v>5384</v>
      </c>
      <c r="G6016" s="49" t="n">
        <v>0</v>
      </c>
      <c r="H6016" s="0" t="n">
        <v>0</v>
      </c>
      <c r="M6016" s="51" t="s">
        <v>10515</v>
      </c>
      <c r="N6016" s="49" t="n">
        <v>0</v>
      </c>
      <c r="O6016" s="53" t="n">
        <v>45951.4630092593</v>
      </c>
      <c r="P6016" s="53" t="n">
        <v>46000.3431712963</v>
      </c>
      <c r="Q6016" s="53" t="n">
        <v>45951.4630092593</v>
      </c>
      <c r="R6016" s="0" t="n">
        <v>0</v>
      </c>
      <c r="S6016" s="51" t="s">
        <v>2356</v>
      </c>
      <c r="T6016" s="51" t="s">
        <v>2356</v>
      </c>
      <c r="U6016" s="0" t="str">
        <f aca="false">"8908020441030"</f>
        <v>8908020441030</v>
      </c>
      <c r="V6016" s="51" t="s">
        <v>5386</v>
      </c>
      <c r="W6016" s="51" t="s">
        <v>4130</v>
      </c>
      <c r="X6016" s="51" t="s">
        <v>2359</v>
      </c>
    </row>
    <row r="6017" customFormat="false" ht="14.25" hidden="true" customHeight="false" outlineLevel="0" collapsed="false">
      <c r="A6017" s="49" t="s">
        <v>2349</v>
      </c>
      <c r="B6017" s="49" t="s">
        <v>2350</v>
      </c>
      <c r="C6017" s="49" t="s">
        <v>10528</v>
      </c>
      <c r="D6017" s="49" t="s">
        <v>2352</v>
      </c>
      <c r="E6017" s="49" t="str">
        <f aca="false">"8908020441030"</f>
        <v>8908020441030</v>
      </c>
      <c r="F6017" s="49" t="s">
        <v>5384</v>
      </c>
      <c r="G6017" s="49" t="n">
        <v>0</v>
      </c>
      <c r="H6017" s="0" t="n">
        <v>0</v>
      </c>
      <c r="M6017" s="51" t="s">
        <v>10515</v>
      </c>
      <c r="N6017" s="49" t="n">
        <v>0</v>
      </c>
      <c r="O6017" s="53" t="n">
        <v>45951.4628125</v>
      </c>
      <c r="P6017" s="53" t="n">
        <v>46006.8469444444</v>
      </c>
      <c r="Q6017" s="53" t="n">
        <v>45951.4628125</v>
      </c>
      <c r="R6017" s="0" t="n">
        <v>0</v>
      </c>
      <c r="S6017" s="51" t="s">
        <v>2356</v>
      </c>
      <c r="T6017" s="51" t="s">
        <v>2356</v>
      </c>
      <c r="U6017" s="0" t="str">
        <f aca="false">"8908020441030"</f>
        <v>8908020441030</v>
      </c>
      <c r="V6017" s="51" t="s">
        <v>5386</v>
      </c>
      <c r="W6017" s="51" t="s">
        <v>7397</v>
      </c>
      <c r="X6017" s="51" t="s">
        <v>2359</v>
      </c>
    </row>
    <row r="6018" customFormat="false" ht="14.25" hidden="true" customHeight="false" outlineLevel="0" collapsed="false">
      <c r="A6018" s="49" t="s">
        <v>2349</v>
      </c>
      <c r="B6018" s="49" t="s">
        <v>2350</v>
      </c>
      <c r="C6018" s="49" t="s">
        <v>10529</v>
      </c>
      <c r="D6018" s="49" t="s">
        <v>2352</v>
      </c>
      <c r="E6018" s="49" t="str">
        <f aca="false">"8908020441030"</f>
        <v>8908020441030</v>
      </c>
      <c r="F6018" s="49" t="s">
        <v>5384</v>
      </c>
      <c r="G6018" s="49" t="n">
        <v>0</v>
      </c>
      <c r="H6018" s="0" t="n">
        <v>0</v>
      </c>
      <c r="M6018" s="51" t="s">
        <v>10515</v>
      </c>
      <c r="N6018" s="49" t="n">
        <v>0</v>
      </c>
      <c r="O6018" s="53" t="n">
        <v>45951.4626157407</v>
      </c>
      <c r="P6018" s="53" t="n">
        <v>46043.478287037</v>
      </c>
      <c r="Q6018" s="53" t="n">
        <v>45951.4626157407</v>
      </c>
      <c r="R6018" s="0" t="n">
        <v>0</v>
      </c>
      <c r="S6018" s="51" t="s">
        <v>2356</v>
      </c>
      <c r="T6018" s="51" t="s">
        <v>2356</v>
      </c>
      <c r="U6018" s="0" t="str">
        <f aca="false">"8908020441030"</f>
        <v>8908020441030</v>
      </c>
      <c r="V6018" s="51" t="s">
        <v>5386</v>
      </c>
      <c r="W6018" s="51" t="s">
        <v>8846</v>
      </c>
      <c r="X6018" s="51" t="s">
        <v>2359</v>
      </c>
    </row>
    <row r="6019" customFormat="false" ht="14.25" hidden="true" customHeight="false" outlineLevel="0" collapsed="false">
      <c r="A6019" s="49" t="s">
        <v>2349</v>
      </c>
      <c r="B6019" s="49" t="s">
        <v>2350</v>
      </c>
      <c r="C6019" s="49" t="s">
        <v>10530</v>
      </c>
      <c r="D6019" s="49" t="s">
        <v>2352</v>
      </c>
      <c r="E6019" s="49" t="str">
        <f aca="false">"8908020441030"</f>
        <v>8908020441030</v>
      </c>
      <c r="F6019" s="49" t="s">
        <v>5384</v>
      </c>
      <c r="G6019" s="49" t="n">
        <v>0</v>
      </c>
      <c r="H6019" s="0" t="n">
        <v>0</v>
      </c>
      <c r="M6019" s="51" t="s">
        <v>10515</v>
      </c>
      <c r="N6019" s="49" t="n">
        <v>0</v>
      </c>
      <c r="O6019" s="53" t="n">
        <v>45951.4624189815</v>
      </c>
      <c r="P6019" s="53" t="n">
        <v>46043.4790277778</v>
      </c>
      <c r="Q6019" s="53" t="n">
        <v>45951.4624189815</v>
      </c>
      <c r="R6019" s="0" t="n">
        <v>0</v>
      </c>
      <c r="S6019" s="51" t="s">
        <v>2356</v>
      </c>
      <c r="T6019" s="51" t="s">
        <v>2356</v>
      </c>
      <c r="U6019" s="0" t="str">
        <f aca="false">"8908020441030"</f>
        <v>8908020441030</v>
      </c>
      <c r="V6019" s="51" t="s">
        <v>5386</v>
      </c>
      <c r="W6019" s="51" t="s">
        <v>10531</v>
      </c>
      <c r="X6019" s="51" t="s">
        <v>2359</v>
      </c>
    </row>
    <row r="6020" customFormat="false" ht="14.25" hidden="true" customHeight="false" outlineLevel="0" collapsed="false">
      <c r="A6020" s="49" t="s">
        <v>2349</v>
      </c>
      <c r="B6020" s="49" t="s">
        <v>2350</v>
      </c>
      <c r="C6020" s="49" t="s">
        <v>10532</v>
      </c>
      <c r="D6020" s="49" t="s">
        <v>2352</v>
      </c>
      <c r="E6020" s="49" t="str">
        <f aca="false">"8908020441030"</f>
        <v>8908020441030</v>
      </c>
      <c r="F6020" s="49" t="s">
        <v>5384</v>
      </c>
      <c r="G6020" s="49" t="n">
        <v>0</v>
      </c>
      <c r="H6020" s="0" t="n">
        <v>0</v>
      </c>
      <c r="M6020" s="51" t="s">
        <v>10515</v>
      </c>
      <c r="N6020" s="49" t="n">
        <v>0</v>
      </c>
      <c r="O6020" s="53" t="n">
        <v>45951.4622337963</v>
      </c>
      <c r="P6020" s="53" t="n">
        <v>46043.477962963</v>
      </c>
      <c r="Q6020" s="53" t="n">
        <v>45951.4622337963</v>
      </c>
      <c r="R6020" s="0" t="n">
        <v>0</v>
      </c>
      <c r="S6020" s="51" t="s">
        <v>2356</v>
      </c>
      <c r="T6020" s="51" t="s">
        <v>2356</v>
      </c>
      <c r="U6020" s="0" t="str">
        <f aca="false">"8908020441030"</f>
        <v>8908020441030</v>
      </c>
      <c r="V6020" s="51" t="s">
        <v>5386</v>
      </c>
      <c r="W6020" s="51" t="s">
        <v>9180</v>
      </c>
      <c r="X6020" s="51" t="s">
        <v>2359</v>
      </c>
    </row>
    <row r="6021" customFormat="false" ht="14.25" hidden="true" customHeight="false" outlineLevel="0" collapsed="false">
      <c r="A6021" s="49" t="s">
        <v>2349</v>
      </c>
      <c r="B6021" s="49" t="s">
        <v>2350</v>
      </c>
      <c r="C6021" s="49" t="s">
        <v>10533</v>
      </c>
      <c r="D6021" s="49" t="s">
        <v>2352</v>
      </c>
      <c r="E6021" s="49" t="str">
        <f aca="false">"8908020441030"</f>
        <v>8908020441030</v>
      </c>
      <c r="F6021" s="49" t="s">
        <v>5384</v>
      </c>
      <c r="G6021" s="49" t="n">
        <v>0</v>
      </c>
      <c r="H6021" s="0" t="n">
        <v>0</v>
      </c>
      <c r="M6021" s="51" t="s">
        <v>10515</v>
      </c>
      <c r="N6021" s="49" t="n">
        <v>0</v>
      </c>
      <c r="O6021" s="53" t="n">
        <v>45951.462025463</v>
      </c>
      <c r="P6021" s="53" t="n">
        <v>46043.4776157407</v>
      </c>
      <c r="Q6021" s="53" t="n">
        <v>45951.462025463</v>
      </c>
      <c r="R6021" s="0" t="n">
        <v>0</v>
      </c>
      <c r="S6021" s="51" t="s">
        <v>2356</v>
      </c>
      <c r="T6021" s="51" t="s">
        <v>2356</v>
      </c>
      <c r="U6021" s="0" t="str">
        <f aca="false">"8908020441030"</f>
        <v>8908020441030</v>
      </c>
      <c r="V6021" s="51" t="s">
        <v>5386</v>
      </c>
      <c r="W6021" s="51" t="s">
        <v>10075</v>
      </c>
      <c r="X6021" s="51" t="s">
        <v>2359</v>
      </c>
    </row>
    <row r="6022" customFormat="false" ht="14.25" hidden="true" customHeight="false" outlineLevel="0" collapsed="false">
      <c r="A6022" s="49" t="s">
        <v>2349</v>
      </c>
      <c r="B6022" s="49" t="s">
        <v>2350</v>
      </c>
      <c r="C6022" s="49" t="s">
        <v>10534</v>
      </c>
      <c r="D6022" s="49" t="s">
        <v>2352</v>
      </c>
      <c r="E6022" s="49" t="str">
        <f aca="false">"8908020441030"</f>
        <v>8908020441030</v>
      </c>
      <c r="F6022" s="49" t="s">
        <v>5384</v>
      </c>
      <c r="G6022" s="49" t="n">
        <v>0</v>
      </c>
      <c r="H6022" s="0" t="n">
        <v>0</v>
      </c>
      <c r="M6022" s="51" t="s">
        <v>10515</v>
      </c>
      <c r="N6022" s="49" t="n">
        <v>0</v>
      </c>
      <c r="O6022" s="53" t="n">
        <v>45951.4618171296</v>
      </c>
      <c r="P6022" s="53" t="n">
        <v>46006.8466319444</v>
      </c>
      <c r="Q6022" s="53" t="n">
        <v>45951.4618171296</v>
      </c>
      <c r="R6022" s="0" t="n">
        <v>0</v>
      </c>
      <c r="S6022" s="51" t="s">
        <v>2356</v>
      </c>
      <c r="T6022" s="51" t="s">
        <v>2356</v>
      </c>
      <c r="U6022" s="0" t="str">
        <f aca="false">"8908020441030"</f>
        <v>8908020441030</v>
      </c>
      <c r="V6022" s="51" t="s">
        <v>5386</v>
      </c>
      <c r="W6022" s="51" t="s">
        <v>5159</v>
      </c>
      <c r="X6022" s="51" t="s">
        <v>2359</v>
      </c>
    </row>
    <row r="6023" customFormat="false" ht="14.25" hidden="true" customHeight="false" outlineLevel="0" collapsed="false">
      <c r="A6023" s="49" t="s">
        <v>2349</v>
      </c>
      <c r="B6023" s="49" t="s">
        <v>2350</v>
      </c>
      <c r="C6023" s="49" t="s">
        <v>10535</v>
      </c>
      <c r="D6023" s="49" t="s">
        <v>2352</v>
      </c>
      <c r="E6023" s="49" t="str">
        <f aca="false">"8908020441030"</f>
        <v>8908020441030</v>
      </c>
      <c r="F6023" s="49" t="s">
        <v>5384</v>
      </c>
      <c r="G6023" s="49" t="n">
        <v>0</v>
      </c>
      <c r="H6023" s="0" t="n">
        <v>0</v>
      </c>
      <c r="M6023" s="51" t="s">
        <v>10515</v>
      </c>
      <c r="N6023" s="49" t="n">
        <v>0</v>
      </c>
      <c r="O6023" s="53" t="n">
        <v>45951.4616319445</v>
      </c>
      <c r="P6023" s="53" t="n">
        <v>46043.478912037</v>
      </c>
      <c r="Q6023" s="53" t="n">
        <v>45951.4616319445</v>
      </c>
      <c r="R6023" s="0" t="n">
        <v>0</v>
      </c>
      <c r="S6023" s="51" t="s">
        <v>2356</v>
      </c>
      <c r="T6023" s="51" t="s">
        <v>2356</v>
      </c>
      <c r="U6023" s="0" t="str">
        <f aca="false">"8908020441030"</f>
        <v>8908020441030</v>
      </c>
      <c r="V6023" s="51" t="s">
        <v>5386</v>
      </c>
      <c r="W6023" s="51" t="s">
        <v>7054</v>
      </c>
      <c r="X6023" s="51" t="s">
        <v>2359</v>
      </c>
    </row>
    <row r="6024" customFormat="false" ht="14.25" hidden="true" customHeight="false" outlineLevel="0" collapsed="false">
      <c r="A6024" s="49" t="s">
        <v>2349</v>
      </c>
      <c r="B6024" s="49" t="s">
        <v>2350</v>
      </c>
      <c r="C6024" s="49" t="s">
        <v>10536</v>
      </c>
      <c r="D6024" s="49" t="s">
        <v>2352</v>
      </c>
      <c r="E6024" s="49" t="str">
        <f aca="false">"8908020441030"</f>
        <v>8908020441030</v>
      </c>
      <c r="F6024" s="49" t="s">
        <v>5384</v>
      </c>
      <c r="G6024" s="49" t="n">
        <v>0</v>
      </c>
      <c r="H6024" s="0" t="n">
        <v>0</v>
      </c>
      <c r="M6024" s="51" t="s">
        <v>10515</v>
      </c>
      <c r="N6024" s="49" t="n">
        <v>0</v>
      </c>
      <c r="O6024" s="53" t="n">
        <v>45951.4613657407</v>
      </c>
      <c r="P6024" s="53" t="n">
        <v>46050.4699652778</v>
      </c>
      <c r="Q6024" s="53" t="n">
        <v>45951.4613657407</v>
      </c>
      <c r="R6024" s="0" t="n">
        <v>0</v>
      </c>
      <c r="S6024" s="51" t="s">
        <v>2356</v>
      </c>
      <c r="T6024" s="51" t="s">
        <v>2356</v>
      </c>
      <c r="U6024" s="0" t="str">
        <f aca="false">"8908020441030"</f>
        <v>8908020441030</v>
      </c>
      <c r="V6024" s="51" t="s">
        <v>5386</v>
      </c>
      <c r="W6024" s="51" t="s">
        <v>6468</v>
      </c>
      <c r="X6024" s="51" t="s">
        <v>2359</v>
      </c>
    </row>
    <row r="6025" customFormat="false" ht="14.25" hidden="true" customHeight="false" outlineLevel="0" collapsed="false">
      <c r="A6025" s="49" t="s">
        <v>2349</v>
      </c>
      <c r="B6025" s="49" t="s">
        <v>2350</v>
      </c>
      <c r="C6025" s="49" t="s">
        <v>10537</v>
      </c>
      <c r="D6025" s="49" t="s">
        <v>2352</v>
      </c>
      <c r="E6025" s="49" t="str">
        <f aca="false">"8908020441030"</f>
        <v>8908020441030</v>
      </c>
      <c r="F6025" s="49" t="s">
        <v>5384</v>
      </c>
      <c r="G6025" s="49" t="n">
        <v>0</v>
      </c>
      <c r="H6025" s="0" t="n">
        <v>0</v>
      </c>
      <c r="M6025" s="51" t="s">
        <v>10515</v>
      </c>
      <c r="N6025" s="49" t="n">
        <v>0</v>
      </c>
      <c r="O6025" s="53" t="n">
        <v>45951.4610416667</v>
      </c>
      <c r="P6025" s="53" t="n">
        <v>46006.8465277778</v>
      </c>
      <c r="Q6025" s="53" t="n">
        <v>45951.4610416667</v>
      </c>
      <c r="R6025" s="0" t="n">
        <v>0</v>
      </c>
      <c r="S6025" s="51" t="s">
        <v>2356</v>
      </c>
      <c r="T6025" s="51" t="s">
        <v>2356</v>
      </c>
      <c r="U6025" s="0" t="str">
        <f aca="false">"8908020441030"</f>
        <v>8908020441030</v>
      </c>
      <c r="V6025" s="51" t="s">
        <v>5386</v>
      </c>
      <c r="W6025" s="51" t="s">
        <v>5147</v>
      </c>
      <c r="X6025" s="51" t="s">
        <v>2359</v>
      </c>
    </row>
    <row r="6026" customFormat="false" ht="14.25" hidden="true" customHeight="false" outlineLevel="0" collapsed="false">
      <c r="A6026" s="49" t="s">
        <v>2349</v>
      </c>
      <c r="B6026" s="49" t="s">
        <v>2350</v>
      </c>
      <c r="C6026" s="49" t="s">
        <v>10538</v>
      </c>
      <c r="D6026" s="49" t="s">
        <v>2352</v>
      </c>
      <c r="E6026" s="49" t="str">
        <f aca="false">"8908020441030"</f>
        <v>8908020441030</v>
      </c>
      <c r="F6026" s="49" t="s">
        <v>5384</v>
      </c>
      <c r="G6026" s="49" t="n">
        <v>0</v>
      </c>
      <c r="H6026" s="0" t="n">
        <v>0</v>
      </c>
      <c r="M6026" s="51" t="s">
        <v>10515</v>
      </c>
      <c r="N6026" s="49" t="n">
        <v>0</v>
      </c>
      <c r="O6026" s="53" t="n">
        <v>45951.4605555556</v>
      </c>
      <c r="P6026" s="53" t="n">
        <v>45985.6263773148</v>
      </c>
      <c r="Q6026" s="53" t="n">
        <v>45951.4605555556</v>
      </c>
      <c r="R6026" s="0" t="n">
        <v>0</v>
      </c>
      <c r="S6026" s="51" t="s">
        <v>2356</v>
      </c>
      <c r="T6026" s="51" t="s">
        <v>2356</v>
      </c>
      <c r="U6026" s="0" t="str">
        <f aca="false">"8908020441030"</f>
        <v>8908020441030</v>
      </c>
      <c r="V6026" s="51" t="s">
        <v>5386</v>
      </c>
      <c r="W6026" s="51" t="s">
        <v>9510</v>
      </c>
      <c r="X6026" s="51" t="s">
        <v>2359</v>
      </c>
    </row>
    <row r="6027" customFormat="false" ht="14.25" hidden="true" customHeight="false" outlineLevel="0" collapsed="false">
      <c r="A6027" s="49" t="s">
        <v>2349</v>
      </c>
      <c r="B6027" s="49" t="s">
        <v>2350</v>
      </c>
      <c r="C6027" s="49" t="s">
        <v>10539</v>
      </c>
      <c r="D6027" s="49" t="s">
        <v>2352</v>
      </c>
      <c r="E6027" s="49" t="str">
        <f aca="false">"8908020441070"</f>
        <v>8908020441070</v>
      </c>
      <c r="F6027" s="49" t="s">
        <v>5404</v>
      </c>
      <c r="G6027" s="49" t="n">
        <v>0</v>
      </c>
      <c r="H6027" s="0" t="n">
        <v>0</v>
      </c>
      <c r="M6027" s="51" t="s">
        <v>10540</v>
      </c>
      <c r="N6027" s="49" t="n">
        <v>0</v>
      </c>
      <c r="O6027" s="53" t="n">
        <v>45951.4464351852</v>
      </c>
      <c r="P6027" s="53" t="n">
        <v>45985.6282060185</v>
      </c>
      <c r="Q6027" s="53" t="n">
        <v>45951.4464351852</v>
      </c>
      <c r="R6027" s="0" t="n">
        <v>0</v>
      </c>
      <c r="S6027" s="51" t="s">
        <v>2356</v>
      </c>
      <c r="T6027" s="51" t="s">
        <v>2356</v>
      </c>
      <c r="U6027" s="0" t="str">
        <f aca="false">"8908020441070"</f>
        <v>8908020441070</v>
      </c>
      <c r="V6027" s="51" t="s">
        <v>5386</v>
      </c>
      <c r="W6027" s="51" t="s">
        <v>9075</v>
      </c>
      <c r="X6027" s="51" t="s">
        <v>2359</v>
      </c>
    </row>
    <row r="6028" customFormat="false" ht="14.25" hidden="true" customHeight="false" outlineLevel="0" collapsed="false">
      <c r="A6028" s="49" t="s">
        <v>2349</v>
      </c>
      <c r="B6028" s="49" t="s">
        <v>2350</v>
      </c>
      <c r="C6028" s="49" t="s">
        <v>10541</v>
      </c>
      <c r="D6028" s="49" t="s">
        <v>2352</v>
      </c>
      <c r="E6028" s="49" t="str">
        <f aca="false">"8908020441070"</f>
        <v>8908020441070</v>
      </c>
      <c r="F6028" s="49" t="s">
        <v>5404</v>
      </c>
      <c r="G6028" s="49" t="n">
        <v>0</v>
      </c>
      <c r="H6028" s="0" t="n">
        <v>0</v>
      </c>
      <c r="M6028" s="51" t="s">
        <v>10540</v>
      </c>
      <c r="N6028" s="49" t="n">
        <v>0</v>
      </c>
      <c r="O6028" s="53" t="n">
        <v>45951.4461921296</v>
      </c>
      <c r="P6028" s="53" t="n">
        <v>45966.3811574074</v>
      </c>
      <c r="Q6028" s="53" t="n">
        <v>45951.4461921296</v>
      </c>
      <c r="R6028" s="0" t="n">
        <v>0</v>
      </c>
      <c r="S6028" s="51" t="s">
        <v>2356</v>
      </c>
      <c r="T6028" s="51" t="s">
        <v>2356</v>
      </c>
      <c r="U6028" s="0" t="str">
        <f aca="false">"8908020441070"</f>
        <v>8908020441070</v>
      </c>
      <c r="V6028" s="51" t="s">
        <v>5386</v>
      </c>
      <c r="W6028" s="51" t="s">
        <v>3685</v>
      </c>
      <c r="X6028" s="51" t="s">
        <v>2359</v>
      </c>
    </row>
    <row r="6029" customFormat="false" ht="14.25" hidden="true" customHeight="false" outlineLevel="0" collapsed="false">
      <c r="A6029" s="49" t="s">
        <v>2349</v>
      </c>
      <c r="B6029" s="49" t="s">
        <v>2350</v>
      </c>
      <c r="C6029" s="49" t="s">
        <v>10542</v>
      </c>
      <c r="D6029" s="49" t="s">
        <v>2352</v>
      </c>
      <c r="E6029" s="49" t="str">
        <f aca="false">"8908020441070"</f>
        <v>8908020441070</v>
      </c>
      <c r="F6029" s="49" t="s">
        <v>5404</v>
      </c>
      <c r="G6029" s="49" t="n">
        <v>0</v>
      </c>
      <c r="H6029" s="0" t="n">
        <v>0</v>
      </c>
      <c r="M6029" s="51" t="s">
        <v>10540</v>
      </c>
      <c r="N6029" s="49" t="n">
        <v>0</v>
      </c>
      <c r="O6029" s="53" t="n">
        <v>45951.4460185185</v>
      </c>
      <c r="P6029" s="53" t="n">
        <v>45985.6275694444</v>
      </c>
      <c r="Q6029" s="53" t="n">
        <v>45951.4460185185</v>
      </c>
      <c r="R6029" s="0" t="n">
        <v>0</v>
      </c>
      <c r="S6029" s="51" t="s">
        <v>2356</v>
      </c>
      <c r="T6029" s="51" t="s">
        <v>2356</v>
      </c>
      <c r="U6029" s="0" t="str">
        <f aca="false">"8908020441070"</f>
        <v>8908020441070</v>
      </c>
      <c r="V6029" s="51" t="s">
        <v>5386</v>
      </c>
      <c r="W6029" s="51" t="s">
        <v>5466</v>
      </c>
      <c r="X6029" s="51" t="s">
        <v>2359</v>
      </c>
    </row>
    <row r="6030" customFormat="false" ht="14.25" hidden="true" customHeight="false" outlineLevel="0" collapsed="false">
      <c r="A6030" s="49" t="s">
        <v>2349</v>
      </c>
      <c r="B6030" s="49" t="s">
        <v>2350</v>
      </c>
      <c r="C6030" s="49" t="s">
        <v>10543</v>
      </c>
      <c r="D6030" s="49" t="s">
        <v>2352</v>
      </c>
      <c r="E6030" s="49" t="str">
        <f aca="false">"8908020441070"</f>
        <v>8908020441070</v>
      </c>
      <c r="F6030" s="49" t="s">
        <v>5404</v>
      </c>
      <c r="G6030" s="49" t="n">
        <v>0</v>
      </c>
      <c r="H6030" s="0" t="n">
        <v>0</v>
      </c>
      <c r="M6030" s="51" t="s">
        <v>10540</v>
      </c>
      <c r="N6030" s="49" t="n">
        <v>0</v>
      </c>
      <c r="O6030" s="53" t="n">
        <v>45951.4458333333</v>
      </c>
      <c r="P6030" s="53" t="n">
        <v>45981.8168171296</v>
      </c>
      <c r="Q6030" s="53" t="n">
        <v>45951.4458333333</v>
      </c>
      <c r="R6030" s="0" t="n">
        <v>0</v>
      </c>
      <c r="S6030" s="51" t="s">
        <v>2356</v>
      </c>
      <c r="T6030" s="51" t="s">
        <v>2356</v>
      </c>
      <c r="U6030" s="0" t="str">
        <f aca="false">"8908020441070"</f>
        <v>8908020441070</v>
      </c>
      <c r="V6030" s="51" t="s">
        <v>5386</v>
      </c>
      <c r="W6030" s="51" t="s">
        <v>4373</v>
      </c>
      <c r="X6030" s="51" t="s">
        <v>2359</v>
      </c>
    </row>
    <row r="6031" customFormat="false" ht="14.25" hidden="true" customHeight="false" outlineLevel="0" collapsed="false">
      <c r="A6031" s="49" t="s">
        <v>2349</v>
      </c>
      <c r="B6031" s="49" t="s">
        <v>2350</v>
      </c>
      <c r="C6031" s="49" t="s">
        <v>10544</v>
      </c>
      <c r="D6031" s="49" t="s">
        <v>2352</v>
      </c>
      <c r="E6031" s="49" t="str">
        <f aca="false">"8908020441070"</f>
        <v>8908020441070</v>
      </c>
      <c r="F6031" s="49" t="s">
        <v>5404</v>
      </c>
      <c r="G6031" s="49" t="n">
        <v>0</v>
      </c>
      <c r="H6031" s="0" t="n">
        <v>0</v>
      </c>
      <c r="M6031" s="51" t="s">
        <v>10540</v>
      </c>
      <c r="N6031" s="49" t="n">
        <v>0</v>
      </c>
      <c r="O6031" s="53" t="n">
        <v>45951.4454050926</v>
      </c>
      <c r="P6031" s="53" t="n">
        <v>45987.6547800926</v>
      </c>
      <c r="Q6031" s="53" t="n">
        <v>45951.4454050926</v>
      </c>
      <c r="R6031" s="0" t="n">
        <v>0</v>
      </c>
      <c r="S6031" s="51" t="s">
        <v>2356</v>
      </c>
      <c r="T6031" s="51" t="s">
        <v>2356</v>
      </c>
      <c r="U6031" s="0" t="str">
        <f aca="false">"8908020441070"</f>
        <v>8908020441070</v>
      </c>
      <c r="V6031" s="51" t="s">
        <v>5386</v>
      </c>
      <c r="W6031" s="51" t="s">
        <v>4373</v>
      </c>
      <c r="X6031" s="51" t="s">
        <v>2359</v>
      </c>
    </row>
    <row r="6032" customFormat="false" ht="14.25" hidden="true" customHeight="false" outlineLevel="0" collapsed="false">
      <c r="A6032" s="49" t="s">
        <v>2349</v>
      </c>
      <c r="B6032" s="49" t="s">
        <v>2350</v>
      </c>
      <c r="C6032" s="49" t="s">
        <v>10545</v>
      </c>
      <c r="D6032" s="49" t="s">
        <v>2352</v>
      </c>
      <c r="E6032" s="49" t="str">
        <f aca="false">"8908020441070"</f>
        <v>8908020441070</v>
      </c>
      <c r="F6032" s="49" t="s">
        <v>5404</v>
      </c>
      <c r="G6032" s="49" t="n">
        <v>0</v>
      </c>
      <c r="H6032" s="0" t="n">
        <v>0</v>
      </c>
      <c r="M6032" s="51" t="s">
        <v>10540</v>
      </c>
      <c r="N6032" s="49" t="n">
        <v>0</v>
      </c>
      <c r="O6032" s="53" t="n">
        <v>45951.4449537037</v>
      </c>
      <c r="P6032" s="53" t="n">
        <v>45981.3062268519</v>
      </c>
      <c r="Q6032" s="53" t="n">
        <v>45951.4449537037</v>
      </c>
      <c r="R6032" s="0" t="n">
        <v>0</v>
      </c>
      <c r="S6032" s="51" t="s">
        <v>2356</v>
      </c>
      <c r="T6032" s="51" t="s">
        <v>2356</v>
      </c>
      <c r="U6032" s="0" t="str">
        <f aca="false">"8908020441070"</f>
        <v>8908020441070</v>
      </c>
      <c r="V6032" s="51" t="s">
        <v>5386</v>
      </c>
      <c r="W6032" s="51" t="s">
        <v>4357</v>
      </c>
      <c r="X6032" s="51" t="s">
        <v>2359</v>
      </c>
    </row>
    <row r="6033" customFormat="false" ht="14.25" hidden="true" customHeight="false" outlineLevel="0" collapsed="false">
      <c r="A6033" s="49" t="s">
        <v>2349</v>
      </c>
      <c r="B6033" s="49" t="s">
        <v>2350</v>
      </c>
      <c r="C6033" s="49" t="s">
        <v>10546</v>
      </c>
      <c r="D6033" s="49" t="s">
        <v>2352</v>
      </c>
      <c r="E6033" s="49" t="str">
        <f aca="false">"8908020441070"</f>
        <v>8908020441070</v>
      </c>
      <c r="F6033" s="49" t="s">
        <v>5404</v>
      </c>
      <c r="G6033" s="49" t="n">
        <v>0</v>
      </c>
      <c r="H6033" s="0" t="n">
        <v>0</v>
      </c>
      <c r="M6033" s="51" t="s">
        <v>10540</v>
      </c>
      <c r="N6033" s="49" t="n">
        <v>0</v>
      </c>
      <c r="O6033" s="53" t="n">
        <v>45951.4446990741</v>
      </c>
      <c r="P6033" s="53" t="n">
        <v>45972.4878703704</v>
      </c>
      <c r="Q6033" s="53" t="n">
        <v>45951.4446990741</v>
      </c>
      <c r="R6033" s="0" t="n">
        <v>0</v>
      </c>
      <c r="S6033" s="51" t="s">
        <v>2356</v>
      </c>
      <c r="T6033" s="51" t="s">
        <v>2356</v>
      </c>
      <c r="U6033" s="0" t="str">
        <f aca="false">"8908020441070"</f>
        <v>8908020441070</v>
      </c>
      <c r="V6033" s="51" t="s">
        <v>5386</v>
      </c>
      <c r="W6033" s="51" t="s">
        <v>10229</v>
      </c>
      <c r="X6033" s="51" t="s">
        <v>2359</v>
      </c>
    </row>
    <row r="6034" customFormat="false" ht="14.25" hidden="true" customHeight="false" outlineLevel="0" collapsed="false">
      <c r="A6034" s="49" t="s">
        <v>2349</v>
      </c>
      <c r="B6034" s="49" t="s">
        <v>2350</v>
      </c>
      <c r="C6034" s="49" t="s">
        <v>10547</v>
      </c>
      <c r="D6034" s="49" t="s">
        <v>2352</v>
      </c>
      <c r="E6034" s="49" t="str">
        <f aca="false">"8908020441070"</f>
        <v>8908020441070</v>
      </c>
      <c r="F6034" s="49" t="s">
        <v>5404</v>
      </c>
      <c r="G6034" s="49" t="n">
        <v>0</v>
      </c>
      <c r="H6034" s="0" t="n">
        <v>0</v>
      </c>
      <c r="M6034" s="51" t="s">
        <v>10540</v>
      </c>
      <c r="N6034" s="49" t="n">
        <v>0</v>
      </c>
      <c r="O6034" s="53" t="n">
        <v>45951.4445023148</v>
      </c>
      <c r="P6034" s="53" t="n">
        <v>45974.4220833333</v>
      </c>
      <c r="Q6034" s="53" t="n">
        <v>45951.4445023148</v>
      </c>
      <c r="R6034" s="0" t="n">
        <v>0</v>
      </c>
      <c r="S6034" s="51" t="s">
        <v>2356</v>
      </c>
      <c r="T6034" s="51" t="s">
        <v>2356</v>
      </c>
      <c r="U6034" s="0" t="str">
        <f aca="false">"8908020441070"</f>
        <v>8908020441070</v>
      </c>
      <c r="V6034" s="51" t="s">
        <v>5386</v>
      </c>
      <c r="W6034" s="51" t="s">
        <v>3772</v>
      </c>
      <c r="X6034" s="51" t="s">
        <v>2359</v>
      </c>
    </row>
    <row r="6035" customFormat="false" ht="14.25" hidden="true" customHeight="false" outlineLevel="0" collapsed="false">
      <c r="A6035" s="49" t="s">
        <v>2349</v>
      </c>
      <c r="B6035" s="49" t="s">
        <v>2350</v>
      </c>
      <c r="C6035" s="49" t="s">
        <v>10548</v>
      </c>
      <c r="D6035" s="49" t="s">
        <v>2352</v>
      </c>
      <c r="E6035" s="49" t="str">
        <f aca="false">"8908020441070"</f>
        <v>8908020441070</v>
      </c>
      <c r="F6035" s="49" t="s">
        <v>5404</v>
      </c>
      <c r="G6035" s="49" t="n">
        <v>0</v>
      </c>
      <c r="H6035" s="0" t="n">
        <v>0</v>
      </c>
      <c r="M6035" s="51" t="s">
        <v>10540</v>
      </c>
      <c r="N6035" s="49" t="n">
        <v>0</v>
      </c>
      <c r="O6035" s="53" t="n">
        <v>45951.4441319444</v>
      </c>
      <c r="P6035" s="53" t="n">
        <v>45972.487662037</v>
      </c>
      <c r="Q6035" s="53" t="n">
        <v>45951.4441319444</v>
      </c>
      <c r="R6035" s="0" t="n">
        <v>0</v>
      </c>
      <c r="S6035" s="51" t="s">
        <v>2356</v>
      </c>
      <c r="T6035" s="51" t="s">
        <v>2356</v>
      </c>
      <c r="U6035" s="0" t="str">
        <f aca="false">"8908020441070"</f>
        <v>8908020441070</v>
      </c>
      <c r="V6035" s="51" t="s">
        <v>5386</v>
      </c>
      <c r="W6035" s="51" t="s">
        <v>4363</v>
      </c>
      <c r="X6035" s="51" t="s">
        <v>2359</v>
      </c>
    </row>
    <row r="6036" customFormat="false" ht="14.25" hidden="true" customHeight="false" outlineLevel="0" collapsed="false">
      <c r="A6036" s="49" t="s">
        <v>2349</v>
      </c>
      <c r="B6036" s="49" t="s">
        <v>2350</v>
      </c>
      <c r="C6036" s="49" t="s">
        <v>10549</v>
      </c>
      <c r="D6036" s="49" t="s">
        <v>2352</v>
      </c>
      <c r="E6036" s="49" t="s">
        <v>4012</v>
      </c>
      <c r="F6036" s="49" t="s">
        <v>4013</v>
      </c>
      <c r="G6036" s="49" t="n">
        <v>0</v>
      </c>
      <c r="H6036" s="0" t="n">
        <v>0</v>
      </c>
      <c r="M6036" s="51" t="s">
        <v>10550</v>
      </c>
      <c r="N6036" s="49" t="n">
        <v>0</v>
      </c>
      <c r="O6036" s="53" t="n">
        <v>45953.5344097222</v>
      </c>
      <c r="P6036" s="53" t="n">
        <v>46040.7861921296</v>
      </c>
      <c r="Q6036" s="53" t="n">
        <v>45953.5344097222</v>
      </c>
      <c r="R6036" s="0" t="n">
        <v>0</v>
      </c>
      <c r="S6036" s="51" t="s">
        <v>2401</v>
      </c>
      <c r="T6036" s="51" t="s">
        <v>2401</v>
      </c>
      <c r="U6036" s="51" t="s">
        <v>4012</v>
      </c>
      <c r="V6036" s="51" t="s">
        <v>2365</v>
      </c>
      <c r="W6036" s="51" t="s">
        <v>9608</v>
      </c>
      <c r="X6036" s="51" t="s">
        <v>2359</v>
      </c>
    </row>
    <row r="6037" customFormat="false" ht="14.25" hidden="true" customHeight="false" outlineLevel="0" collapsed="false">
      <c r="A6037" s="49" t="s">
        <v>2349</v>
      </c>
      <c r="B6037" s="49" t="s">
        <v>2350</v>
      </c>
      <c r="C6037" s="49" t="s">
        <v>10551</v>
      </c>
      <c r="D6037" s="49" t="s">
        <v>2352</v>
      </c>
      <c r="E6037" s="49" t="s">
        <v>3896</v>
      </c>
      <c r="F6037" s="49" t="s">
        <v>3897</v>
      </c>
      <c r="G6037" s="49" t="n">
        <v>0</v>
      </c>
      <c r="H6037" s="0" t="n">
        <v>0</v>
      </c>
      <c r="M6037" s="51" t="s">
        <v>10552</v>
      </c>
      <c r="N6037" s="49" t="n">
        <v>0</v>
      </c>
      <c r="O6037" s="53" t="n">
        <v>45943.4372222222</v>
      </c>
      <c r="P6037" s="53" t="n">
        <v>46016.1113310185</v>
      </c>
      <c r="Q6037" s="53" t="n">
        <v>45943.4372222222</v>
      </c>
      <c r="R6037" s="0" t="n">
        <v>0</v>
      </c>
      <c r="S6037" s="51" t="s">
        <v>2416</v>
      </c>
      <c r="T6037" s="51" t="s">
        <v>2416</v>
      </c>
      <c r="U6037" s="51" t="s">
        <v>3896</v>
      </c>
      <c r="W6037" s="51" t="s">
        <v>3908</v>
      </c>
      <c r="X6037" s="51" t="s">
        <v>2359</v>
      </c>
    </row>
    <row r="6038" customFormat="false" ht="14.25" hidden="true" customHeight="false" outlineLevel="0" collapsed="false">
      <c r="A6038" s="49" t="s">
        <v>2349</v>
      </c>
      <c r="B6038" s="49" t="s">
        <v>2350</v>
      </c>
      <c r="C6038" s="49" t="s">
        <v>10553</v>
      </c>
      <c r="D6038" s="49" t="s">
        <v>2352</v>
      </c>
      <c r="E6038" s="49" t="s">
        <v>3633</v>
      </c>
      <c r="F6038" s="49" t="s">
        <v>3634</v>
      </c>
      <c r="G6038" s="49" t="n">
        <v>0</v>
      </c>
      <c r="H6038" s="0" t="n">
        <v>0</v>
      </c>
      <c r="M6038" s="51" t="s">
        <v>3674</v>
      </c>
      <c r="N6038" s="49" t="n">
        <v>0</v>
      </c>
      <c r="O6038" s="53" t="n">
        <v>45955.5659953704</v>
      </c>
      <c r="P6038" s="53" t="n">
        <v>45965.4574884259</v>
      </c>
      <c r="Q6038" s="53" t="n">
        <v>45955.5659953704</v>
      </c>
      <c r="R6038" s="0" t="n">
        <v>0</v>
      </c>
      <c r="S6038" s="51" t="s">
        <v>2356</v>
      </c>
      <c r="T6038" s="51" t="s">
        <v>2356</v>
      </c>
      <c r="U6038" s="51" t="s">
        <v>3633</v>
      </c>
      <c r="V6038" s="51" t="s">
        <v>2357</v>
      </c>
      <c r="W6038" s="51" t="s">
        <v>3723</v>
      </c>
      <c r="X6038" s="51" t="s">
        <v>2359</v>
      </c>
    </row>
    <row r="6039" customFormat="false" ht="14.25" hidden="true" customHeight="false" outlineLevel="0" collapsed="false">
      <c r="A6039" s="49" t="s">
        <v>2349</v>
      </c>
      <c r="B6039" s="49" t="s">
        <v>2350</v>
      </c>
      <c r="C6039" s="49" t="s">
        <v>10554</v>
      </c>
      <c r="D6039" s="49" t="s">
        <v>2352</v>
      </c>
      <c r="E6039" s="49" t="str">
        <f aca="false">"041500819389"</f>
        <v>041500819389</v>
      </c>
      <c r="F6039" s="49" t="s">
        <v>6674</v>
      </c>
      <c r="G6039" s="49" t="n">
        <v>0</v>
      </c>
      <c r="H6039" s="0" t="n">
        <v>0</v>
      </c>
      <c r="M6039" s="51" t="s">
        <v>10555</v>
      </c>
      <c r="N6039" s="49" t="n">
        <v>0</v>
      </c>
      <c r="O6039" s="53" t="n">
        <v>45948.6587037037</v>
      </c>
      <c r="P6039" s="53" t="n">
        <v>45950.5915625</v>
      </c>
      <c r="Q6039" s="53" t="n">
        <v>45948.6587037037</v>
      </c>
      <c r="R6039" s="0" t="n">
        <v>0</v>
      </c>
      <c r="S6039" s="51" t="s">
        <v>2436</v>
      </c>
      <c r="T6039" s="51" t="s">
        <v>2436</v>
      </c>
      <c r="U6039" s="0" t="str">
        <f aca="false">"041500819389"</f>
        <v>041500819389</v>
      </c>
      <c r="V6039" s="51" t="s">
        <v>2365</v>
      </c>
      <c r="W6039" s="51" t="s">
        <v>10556</v>
      </c>
      <c r="X6039" s="51" t="s">
        <v>2359</v>
      </c>
    </row>
    <row r="6040" customFormat="false" ht="14.25" hidden="true" customHeight="false" outlineLevel="0" collapsed="false">
      <c r="A6040" s="49" t="s">
        <v>2349</v>
      </c>
      <c r="B6040" s="49" t="s">
        <v>2350</v>
      </c>
      <c r="C6040" s="49" t="s">
        <v>10557</v>
      </c>
      <c r="D6040" s="49" t="s">
        <v>2352</v>
      </c>
      <c r="E6040" s="49" t="str">
        <f aca="false">"041500819389"</f>
        <v>041500819389</v>
      </c>
      <c r="F6040" s="49" t="s">
        <v>6674</v>
      </c>
      <c r="G6040" s="49" t="n">
        <v>0</v>
      </c>
      <c r="H6040" s="0" t="n">
        <v>0</v>
      </c>
      <c r="M6040" s="51" t="s">
        <v>10555</v>
      </c>
      <c r="N6040" s="49" t="n">
        <v>0</v>
      </c>
      <c r="O6040" s="53" t="n">
        <v>45948.6584606482</v>
      </c>
      <c r="P6040" s="53" t="n">
        <v>45984.8033449074</v>
      </c>
      <c r="Q6040" s="53" t="n">
        <v>45948.6584606482</v>
      </c>
      <c r="R6040" s="0" t="n">
        <v>0</v>
      </c>
      <c r="S6040" s="51" t="s">
        <v>2436</v>
      </c>
      <c r="T6040" s="51" t="s">
        <v>2436</v>
      </c>
      <c r="U6040" s="0" t="str">
        <f aca="false">"041500819389"</f>
        <v>041500819389</v>
      </c>
      <c r="V6040" s="51" t="s">
        <v>2365</v>
      </c>
      <c r="W6040" s="51" t="s">
        <v>8870</v>
      </c>
      <c r="X6040" s="51" t="s">
        <v>2359</v>
      </c>
    </row>
    <row r="6041" customFormat="false" ht="14.25" hidden="true" customHeight="false" outlineLevel="0" collapsed="false">
      <c r="A6041" s="49" t="s">
        <v>2349</v>
      </c>
      <c r="B6041" s="49" t="s">
        <v>2350</v>
      </c>
      <c r="C6041" s="49" t="s">
        <v>10558</v>
      </c>
      <c r="D6041" s="49" t="s">
        <v>2352</v>
      </c>
      <c r="E6041" s="49" t="s">
        <v>4148</v>
      </c>
      <c r="F6041" s="49" t="s">
        <v>4149</v>
      </c>
      <c r="G6041" s="49" t="n">
        <v>0</v>
      </c>
      <c r="H6041" s="0" t="n">
        <v>0</v>
      </c>
      <c r="M6041" s="51" t="s">
        <v>10559</v>
      </c>
      <c r="N6041" s="49" t="n">
        <v>0</v>
      </c>
      <c r="O6041" s="53" t="n">
        <v>45888.4539814815</v>
      </c>
      <c r="P6041" s="53" t="n">
        <v>45904.3981944444</v>
      </c>
      <c r="Q6041" s="53" t="n">
        <v>45888.4539814815</v>
      </c>
      <c r="R6041" s="0" t="n">
        <v>0</v>
      </c>
      <c r="S6041" s="51" t="s">
        <v>2356</v>
      </c>
      <c r="T6041" s="51" t="s">
        <v>2356</v>
      </c>
      <c r="U6041" s="51" t="s">
        <v>4148</v>
      </c>
      <c r="V6041" s="51" t="s">
        <v>2365</v>
      </c>
      <c r="W6041" s="51" t="s">
        <v>3683</v>
      </c>
      <c r="X6041" s="51" t="s">
        <v>2359</v>
      </c>
    </row>
    <row r="6042" customFormat="false" ht="14.25" hidden="true" customHeight="false" outlineLevel="0" collapsed="false">
      <c r="A6042" s="49" t="s">
        <v>2349</v>
      </c>
      <c r="B6042" s="49" t="s">
        <v>2350</v>
      </c>
      <c r="C6042" s="49" t="s">
        <v>10560</v>
      </c>
      <c r="D6042" s="49" t="s">
        <v>2352</v>
      </c>
      <c r="E6042" s="49" t="str">
        <f aca="false">"8032754230244"</f>
        <v>8032754230244</v>
      </c>
      <c r="F6042" s="49" t="s">
        <v>3737</v>
      </c>
      <c r="G6042" s="49" t="n">
        <v>0</v>
      </c>
      <c r="H6042" s="0" t="n">
        <v>0</v>
      </c>
      <c r="M6042" s="51" t="s">
        <v>3739</v>
      </c>
      <c r="N6042" s="49" t="n">
        <v>0</v>
      </c>
      <c r="O6042" s="53" t="n">
        <v>45951.6824884259</v>
      </c>
      <c r="P6042" s="53" t="n">
        <v>45977.4633564815</v>
      </c>
      <c r="Q6042" s="53" t="n">
        <v>45951.6824884259</v>
      </c>
      <c r="R6042" s="0" t="n">
        <v>0</v>
      </c>
      <c r="S6042" s="51" t="s">
        <v>2401</v>
      </c>
      <c r="T6042" s="51" t="s">
        <v>2401</v>
      </c>
      <c r="U6042" s="0" t="str">
        <f aca="false">"8032754230244"</f>
        <v>8032754230244</v>
      </c>
      <c r="V6042" s="51" t="s">
        <v>3740</v>
      </c>
      <c r="W6042" s="51" t="s">
        <v>10561</v>
      </c>
      <c r="X6042" s="51" t="s">
        <v>2359</v>
      </c>
    </row>
    <row r="6043" customFormat="false" ht="14.25" hidden="true" customHeight="false" outlineLevel="0" collapsed="false">
      <c r="A6043" s="49" t="s">
        <v>2349</v>
      </c>
      <c r="B6043" s="49" t="s">
        <v>2350</v>
      </c>
      <c r="C6043" s="49" t="s">
        <v>10562</v>
      </c>
      <c r="D6043" s="49" t="s">
        <v>2352</v>
      </c>
      <c r="E6043" s="49" t="str">
        <f aca="false">"8032754230244"</f>
        <v>8032754230244</v>
      </c>
      <c r="F6043" s="49" t="s">
        <v>3737</v>
      </c>
      <c r="G6043" s="49" t="n">
        <v>0</v>
      </c>
      <c r="H6043" s="0" t="n">
        <v>0</v>
      </c>
      <c r="M6043" s="51" t="s">
        <v>3739</v>
      </c>
      <c r="N6043" s="49" t="n">
        <v>0</v>
      </c>
      <c r="O6043" s="53" t="n">
        <v>45951.6815393519</v>
      </c>
      <c r="P6043" s="53" t="n">
        <v>45977.4620833333</v>
      </c>
      <c r="Q6043" s="53" t="n">
        <v>45951.6815393519</v>
      </c>
      <c r="R6043" s="0" t="n">
        <v>0</v>
      </c>
      <c r="S6043" s="51" t="s">
        <v>2401</v>
      </c>
      <c r="T6043" s="51" t="s">
        <v>2401</v>
      </c>
      <c r="U6043" s="0" t="str">
        <f aca="false">"8032754230244"</f>
        <v>8032754230244</v>
      </c>
      <c r="V6043" s="51" t="s">
        <v>3740</v>
      </c>
      <c r="W6043" s="51" t="s">
        <v>10563</v>
      </c>
      <c r="X6043" s="51" t="s">
        <v>2359</v>
      </c>
    </row>
    <row r="6044" customFormat="false" ht="14.25" hidden="true" customHeight="false" outlineLevel="0" collapsed="false">
      <c r="A6044" s="49" t="s">
        <v>2349</v>
      </c>
      <c r="B6044" s="49" t="s">
        <v>2350</v>
      </c>
      <c r="C6044" s="49" t="s">
        <v>10564</v>
      </c>
      <c r="D6044" s="49" t="s">
        <v>2352</v>
      </c>
      <c r="E6044" s="49" t="str">
        <f aca="false">"8032754230244"</f>
        <v>8032754230244</v>
      </c>
      <c r="F6044" s="49" t="s">
        <v>3737</v>
      </c>
      <c r="G6044" s="49" t="n">
        <v>0</v>
      </c>
      <c r="H6044" s="0" t="n">
        <v>0</v>
      </c>
      <c r="M6044" s="51" t="s">
        <v>3739</v>
      </c>
      <c r="N6044" s="49" t="n">
        <v>0</v>
      </c>
      <c r="O6044" s="53" t="n">
        <v>45951.6813657407</v>
      </c>
      <c r="P6044" s="53" t="n">
        <v>45977.4726736111</v>
      </c>
      <c r="Q6044" s="53" t="n">
        <v>45951.6813657407</v>
      </c>
      <c r="R6044" s="0" t="n">
        <v>0</v>
      </c>
      <c r="S6044" s="51" t="s">
        <v>2401</v>
      </c>
      <c r="T6044" s="51" t="s">
        <v>2401</v>
      </c>
      <c r="U6044" s="0" t="str">
        <f aca="false">"8032754230244"</f>
        <v>8032754230244</v>
      </c>
      <c r="V6044" s="51" t="s">
        <v>3740</v>
      </c>
      <c r="W6044" s="51" t="s">
        <v>5797</v>
      </c>
      <c r="X6044" s="51" t="s">
        <v>2359</v>
      </c>
    </row>
    <row r="6045" customFormat="false" ht="14.25" hidden="true" customHeight="false" outlineLevel="0" collapsed="false">
      <c r="A6045" s="49" t="s">
        <v>2349</v>
      </c>
      <c r="B6045" s="49" t="s">
        <v>2350</v>
      </c>
      <c r="C6045" s="49" t="s">
        <v>10565</v>
      </c>
      <c r="D6045" s="49" t="s">
        <v>2352</v>
      </c>
      <c r="E6045" s="49" t="str">
        <f aca="false">"8032754230244"</f>
        <v>8032754230244</v>
      </c>
      <c r="F6045" s="49" t="s">
        <v>3737</v>
      </c>
      <c r="G6045" s="49" t="n">
        <v>0</v>
      </c>
      <c r="H6045" s="0" t="n">
        <v>0</v>
      </c>
      <c r="M6045" s="51" t="s">
        <v>3739</v>
      </c>
      <c r="N6045" s="49" t="n">
        <v>0</v>
      </c>
      <c r="O6045" s="53" t="n">
        <v>45951.6810069445</v>
      </c>
      <c r="P6045" s="53" t="n">
        <v>45977.4762037037</v>
      </c>
      <c r="Q6045" s="53" t="n">
        <v>45951.6810069445</v>
      </c>
      <c r="R6045" s="0" t="n">
        <v>0</v>
      </c>
      <c r="S6045" s="51" t="s">
        <v>2401</v>
      </c>
      <c r="T6045" s="51" t="s">
        <v>2401</v>
      </c>
      <c r="U6045" s="0" t="str">
        <f aca="false">"8032754230244"</f>
        <v>8032754230244</v>
      </c>
      <c r="V6045" s="51" t="s">
        <v>3740</v>
      </c>
      <c r="W6045" s="51" t="s">
        <v>6578</v>
      </c>
      <c r="X6045" s="51" t="s">
        <v>2359</v>
      </c>
    </row>
    <row r="6046" customFormat="false" ht="14.25" hidden="true" customHeight="false" outlineLevel="0" collapsed="false">
      <c r="A6046" s="49" t="s">
        <v>2349</v>
      </c>
      <c r="B6046" s="49" t="s">
        <v>2350</v>
      </c>
      <c r="C6046" s="49" t="s">
        <v>10566</v>
      </c>
      <c r="D6046" s="49" t="s">
        <v>2352</v>
      </c>
      <c r="E6046" s="49" t="str">
        <f aca="false">"8032754230244"</f>
        <v>8032754230244</v>
      </c>
      <c r="F6046" s="49" t="s">
        <v>3737</v>
      </c>
      <c r="G6046" s="49" t="n">
        <v>0</v>
      </c>
      <c r="H6046" s="0" t="n">
        <v>0</v>
      </c>
      <c r="M6046" s="51" t="s">
        <v>3739</v>
      </c>
      <c r="N6046" s="49" t="n">
        <v>0</v>
      </c>
      <c r="O6046" s="53" t="n">
        <v>45951.680787037</v>
      </c>
      <c r="P6046" s="53" t="n">
        <v>45977.4728125</v>
      </c>
      <c r="Q6046" s="53" t="n">
        <v>45951.680787037</v>
      </c>
      <c r="R6046" s="0" t="n">
        <v>0</v>
      </c>
      <c r="S6046" s="51" t="s">
        <v>2401</v>
      </c>
      <c r="T6046" s="51" t="s">
        <v>2401</v>
      </c>
      <c r="U6046" s="0" t="str">
        <f aca="false">"8032754230244"</f>
        <v>8032754230244</v>
      </c>
      <c r="V6046" s="51" t="s">
        <v>3740</v>
      </c>
      <c r="W6046" s="51" t="s">
        <v>5801</v>
      </c>
      <c r="X6046" s="51" t="s">
        <v>2359</v>
      </c>
    </row>
    <row r="6047" customFormat="false" ht="14.25" hidden="true" customHeight="false" outlineLevel="0" collapsed="false">
      <c r="A6047" s="49" t="s">
        <v>2349</v>
      </c>
      <c r="B6047" s="49" t="s">
        <v>2350</v>
      </c>
      <c r="C6047" s="49" t="s">
        <v>10567</v>
      </c>
      <c r="D6047" s="49" t="s">
        <v>2352</v>
      </c>
      <c r="E6047" s="49" t="str">
        <f aca="false">"8032754230244"</f>
        <v>8032754230244</v>
      </c>
      <c r="F6047" s="49" t="s">
        <v>3737</v>
      </c>
      <c r="G6047" s="49" t="n">
        <v>0</v>
      </c>
      <c r="H6047" s="0" t="n">
        <v>0</v>
      </c>
      <c r="M6047" s="51" t="s">
        <v>3739</v>
      </c>
      <c r="N6047" s="49" t="n">
        <v>0</v>
      </c>
      <c r="O6047" s="53" t="n">
        <v>45951.6805671296</v>
      </c>
      <c r="P6047" s="53" t="n">
        <v>45977.4750925926</v>
      </c>
      <c r="Q6047" s="53" t="n">
        <v>45951.6805671296</v>
      </c>
      <c r="R6047" s="0" t="n">
        <v>0</v>
      </c>
      <c r="S6047" s="51" t="s">
        <v>2401</v>
      </c>
      <c r="T6047" s="51" t="s">
        <v>2401</v>
      </c>
      <c r="U6047" s="0" t="str">
        <f aca="false">"8032754230244"</f>
        <v>8032754230244</v>
      </c>
      <c r="V6047" s="51" t="s">
        <v>3740</v>
      </c>
      <c r="W6047" s="51" t="s">
        <v>10568</v>
      </c>
      <c r="X6047" s="51" t="s">
        <v>2359</v>
      </c>
    </row>
    <row r="6048" customFormat="false" ht="14.25" hidden="true" customHeight="false" outlineLevel="0" collapsed="false">
      <c r="A6048" s="49" t="s">
        <v>2349</v>
      </c>
      <c r="B6048" s="49" t="s">
        <v>2350</v>
      </c>
      <c r="C6048" s="49" t="s">
        <v>10569</v>
      </c>
      <c r="D6048" s="49" t="s">
        <v>2352</v>
      </c>
      <c r="E6048" s="49" t="str">
        <f aca="false">"8032754230244"</f>
        <v>8032754230244</v>
      </c>
      <c r="F6048" s="49" t="s">
        <v>3737</v>
      </c>
      <c r="G6048" s="49" t="n">
        <v>0</v>
      </c>
      <c r="H6048" s="0" t="n">
        <v>0</v>
      </c>
      <c r="M6048" s="51" t="s">
        <v>3739</v>
      </c>
      <c r="N6048" s="49" t="n">
        <v>0</v>
      </c>
      <c r="O6048" s="53" t="n">
        <v>45951.6802662037</v>
      </c>
      <c r="P6048" s="53" t="n">
        <v>45977.4823842593</v>
      </c>
      <c r="Q6048" s="53" t="n">
        <v>45951.6802662037</v>
      </c>
      <c r="R6048" s="0" t="n">
        <v>0</v>
      </c>
      <c r="S6048" s="51" t="s">
        <v>2401</v>
      </c>
      <c r="T6048" s="51" t="s">
        <v>2401</v>
      </c>
      <c r="U6048" s="0" t="str">
        <f aca="false">"8032754230244"</f>
        <v>8032754230244</v>
      </c>
      <c r="V6048" s="51" t="s">
        <v>3740</v>
      </c>
      <c r="W6048" s="51" t="s">
        <v>6379</v>
      </c>
      <c r="X6048" s="51" t="s">
        <v>2359</v>
      </c>
    </row>
    <row r="6049" customFormat="false" ht="14.25" hidden="true" customHeight="false" outlineLevel="0" collapsed="false">
      <c r="A6049" s="49" t="s">
        <v>2349</v>
      </c>
      <c r="B6049" s="49" t="s">
        <v>2350</v>
      </c>
      <c r="C6049" s="49" t="s">
        <v>10570</v>
      </c>
      <c r="D6049" s="49" t="s">
        <v>2352</v>
      </c>
      <c r="E6049" s="49" t="str">
        <f aca="false">"8032754230244"</f>
        <v>8032754230244</v>
      </c>
      <c r="F6049" s="49" t="s">
        <v>3737</v>
      </c>
      <c r="G6049" s="49" t="n">
        <v>0</v>
      </c>
      <c r="H6049" s="0" t="n">
        <v>0</v>
      </c>
      <c r="M6049" s="51" t="s">
        <v>3739</v>
      </c>
      <c r="N6049" s="49" t="n">
        <v>0</v>
      </c>
      <c r="O6049" s="53" t="n">
        <v>45955.4682291667</v>
      </c>
      <c r="P6049" s="53" t="n">
        <v>46015.4410300926</v>
      </c>
      <c r="R6049" s="0" t="n">
        <v>0</v>
      </c>
      <c r="T6049" s="51" t="s">
        <v>2371</v>
      </c>
      <c r="U6049" s="0" t="str">
        <f aca="false">"8032754230244"</f>
        <v>8032754230244</v>
      </c>
      <c r="V6049" s="51" t="s">
        <v>3740</v>
      </c>
      <c r="W6049" s="51" t="s">
        <v>10571</v>
      </c>
      <c r="X6049" s="51" t="s">
        <v>2359</v>
      </c>
    </row>
    <row r="6050" customFormat="false" ht="14.25" hidden="true" customHeight="false" outlineLevel="0" collapsed="false">
      <c r="A6050" s="49" t="s">
        <v>2349</v>
      </c>
      <c r="B6050" s="49" t="s">
        <v>2350</v>
      </c>
      <c r="C6050" s="49" t="s">
        <v>10572</v>
      </c>
      <c r="D6050" s="49" t="s">
        <v>2352</v>
      </c>
      <c r="E6050" s="49" t="str">
        <f aca="false">"8032754230244"</f>
        <v>8032754230244</v>
      </c>
      <c r="F6050" s="49" t="s">
        <v>3737</v>
      </c>
      <c r="G6050" s="49" t="n">
        <v>0</v>
      </c>
      <c r="H6050" s="0" t="n">
        <v>0</v>
      </c>
      <c r="M6050" s="51" t="s">
        <v>3739</v>
      </c>
      <c r="N6050" s="49" t="n">
        <v>0</v>
      </c>
      <c r="O6050" s="53" t="n">
        <v>45955.4680208333</v>
      </c>
      <c r="P6050" s="53" t="n">
        <v>46015.4402199074</v>
      </c>
      <c r="R6050" s="0" t="n">
        <v>0</v>
      </c>
      <c r="T6050" s="51" t="s">
        <v>2371</v>
      </c>
      <c r="U6050" s="0" t="str">
        <f aca="false">"8032754230244"</f>
        <v>8032754230244</v>
      </c>
      <c r="V6050" s="51" t="s">
        <v>3740</v>
      </c>
      <c r="W6050" s="51" t="s">
        <v>10573</v>
      </c>
      <c r="X6050" s="51" t="s">
        <v>2359</v>
      </c>
    </row>
    <row r="6051" customFormat="false" ht="14.25" hidden="true" customHeight="false" outlineLevel="0" collapsed="false">
      <c r="A6051" s="49" t="s">
        <v>2349</v>
      </c>
      <c r="B6051" s="49" t="s">
        <v>2350</v>
      </c>
      <c r="C6051" s="49" t="s">
        <v>10574</v>
      </c>
      <c r="D6051" s="49" t="s">
        <v>2352</v>
      </c>
      <c r="E6051" s="49" t="str">
        <f aca="false">"8032754230244"</f>
        <v>8032754230244</v>
      </c>
      <c r="F6051" s="49" t="s">
        <v>3737</v>
      </c>
      <c r="G6051" s="49" t="n">
        <v>0</v>
      </c>
      <c r="H6051" s="0" t="n">
        <v>0</v>
      </c>
      <c r="M6051" s="51" t="s">
        <v>3739</v>
      </c>
      <c r="N6051" s="49" t="n">
        <v>0</v>
      </c>
      <c r="O6051" s="53" t="n">
        <v>45951.6829166667</v>
      </c>
      <c r="P6051" s="53" t="n">
        <v>45981.7686342593</v>
      </c>
      <c r="Q6051" s="53" t="n">
        <v>45951.6829166667</v>
      </c>
      <c r="R6051" s="0" t="n">
        <v>0</v>
      </c>
      <c r="S6051" s="51" t="s">
        <v>2401</v>
      </c>
      <c r="T6051" s="51" t="s">
        <v>2401</v>
      </c>
      <c r="U6051" s="0" t="str">
        <f aca="false">"8032754230244"</f>
        <v>8032754230244</v>
      </c>
      <c r="V6051" s="51" t="s">
        <v>3740</v>
      </c>
      <c r="W6051" s="51" t="s">
        <v>4833</v>
      </c>
      <c r="X6051" s="51" t="s">
        <v>2359</v>
      </c>
    </row>
    <row r="6052" customFormat="false" ht="14.25" hidden="true" customHeight="false" outlineLevel="0" collapsed="false">
      <c r="A6052" s="49" t="s">
        <v>2349</v>
      </c>
      <c r="B6052" s="49" t="s">
        <v>2350</v>
      </c>
      <c r="C6052" s="49" t="s">
        <v>10575</v>
      </c>
      <c r="D6052" s="49" t="s">
        <v>2352</v>
      </c>
      <c r="E6052" s="49" t="str">
        <f aca="false">"8032754230244"</f>
        <v>8032754230244</v>
      </c>
      <c r="F6052" s="49" t="s">
        <v>3737</v>
      </c>
      <c r="G6052" s="49" t="n">
        <v>0</v>
      </c>
      <c r="H6052" s="0" t="n">
        <v>0</v>
      </c>
      <c r="M6052" s="51" t="s">
        <v>3739</v>
      </c>
      <c r="N6052" s="49" t="n">
        <v>0</v>
      </c>
      <c r="O6052" s="53" t="n">
        <v>45951.6831018519</v>
      </c>
      <c r="P6052" s="53" t="n">
        <v>45977.4597569444</v>
      </c>
      <c r="Q6052" s="53" t="n">
        <v>45951.6831018519</v>
      </c>
      <c r="R6052" s="0" t="n">
        <v>0</v>
      </c>
      <c r="S6052" s="51" t="s">
        <v>2401</v>
      </c>
      <c r="T6052" s="51" t="s">
        <v>2401</v>
      </c>
      <c r="U6052" s="0" t="str">
        <f aca="false">"8032754230244"</f>
        <v>8032754230244</v>
      </c>
      <c r="V6052" s="51" t="s">
        <v>3740</v>
      </c>
      <c r="W6052" s="51" t="s">
        <v>10576</v>
      </c>
      <c r="X6052" s="51" t="s">
        <v>2359</v>
      </c>
    </row>
    <row r="6053" customFormat="false" ht="14.25" hidden="true" customHeight="false" outlineLevel="0" collapsed="false">
      <c r="A6053" s="49" t="s">
        <v>2349</v>
      </c>
      <c r="B6053" s="49" t="s">
        <v>2350</v>
      </c>
      <c r="C6053" s="49" t="s">
        <v>10577</v>
      </c>
      <c r="D6053" s="49" t="s">
        <v>2352</v>
      </c>
      <c r="E6053" s="49" t="str">
        <f aca="false">"8032754230244"</f>
        <v>8032754230244</v>
      </c>
      <c r="F6053" s="49" t="s">
        <v>3737</v>
      </c>
      <c r="G6053" s="49" t="n">
        <v>0</v>
      </c>
      <c r="H6053" s="0" t="n">
        <v>0</v>
      </c>
      <c r="M6053" s="51" t="s">
        <v>3739</v>
      </c>
      <c r="N6053" s="49" t="n">
        <v>0</v>
      </c>
      <c r="O6053" s="53" t="n">
        <v>45951.683275463</v>
      </c>
      <c r="P6053" s="53" t="n">
        <v>45977.4816666667</v>
      </c>
      <c r="Q6053" s="53" t="n">
        <v>45951.683275463</v>
      </c>
      <c r="R6053" s="0" t="n">
        <v>0</v>
      </c>
      <c r="S6053" s="51" t="s">
        <v>2401</v>
      </c>
      <c r="T6053" s="51" t="s">
        <v>2401</v>
      </c>
      <c r="U6053" s="0" t="str">
        <f aca="false">"8032754230244"</f>
        <v>8032754230244</v>
      </c>
      <c r="V6053" s="51" t="s">
        <v>3740</v>
      </c>
      <c r="W6053" s="51" t="s">
        <v>10578</v>
      </c>
      <c r="X6053" s="51" t="s">
        <v>2359</v>
      </c>
    </row>
    <row r="6054" customFormat="false" ht="14.25" hidden="true" customHeight="false" outlineLevel="0" collapsed="false">
      <c r="A6054" s="49" t="s">
        <v>2349</v>
      </c>
      <c r="B6054" s="49" t="s">
        <v>2350</v>
      </c>
      <c r="C6054" s="49" t="s">
        <v>10579</v>
      </c>
      <c r="D6054" s="49" t="s">
        <v>2352</v>
      </c>
      <c r="E6054" s="49" t="str">
        <f aca="false">"8032754230244"</f>
        <v>8032754230244</v>
      </c>
      <c r="F6054" s="49" t="s">
        <v>3737</v>
      </c>
      <c r="G6054" s="49" t="n">
        <v>0</v>
      </c>
      <c r="H6054" s="0" t="n">
        <v>0</v>
      </c>
      <c r="M6054" s="51" t="s">
        <v>3739</v>
      </c>
      <c r="N6054" s="49" t="n">
        <v>0</v>
      </c>
      <c r="O6054" s="53" t="n">
        <v>45951.6834722222</v>
      </c>
      <c r="P6054" s="53" t="n">
        <v>45977.4602430556</v>
      </c>
      <c r="Q6054" s="53" t="n">
        <v>45951.6834722222</v>
      </c>
      <c r="R6054" s="0" t="n">
        <v>0</v>
      </c>
      <c r="S6054" s="51" t="s">
        <v>2401</v>
      </c>
      <c r="T6054" s="51" t="s">
        <v>2401</v>
      </c>
      <c r="U6054" s="0" t="str">
        <f aca="false">"8032754230244"</f>
        <v>8032754230244</v>
      </c>
      <c r="V6054" s="51" t="s">
        <v>3740</v>
      </c>
      <c r="W6054" s="51" t="s">
        <v>4998</v>
      </c>
      <c r="X6054" s="51" t="s">
        <v>2359</v>
      </c>
    </row>
    <row r="6055" customFormat="false" ht="14.25" hidden="true" customHeight="false" outlineLevel="0" collapsed="false">
      <c r="A6055" s="49" t="s">
        <v>2349</v>
      </c>
      <c r="B6055" s="49" t="s">
        <v>2350</v>
      </c>
      <c r="C6055" s="49" t="s">
        <v>10580</v>
      </c>
      <c r="D6055" s="49" t="s">
        <v>2352</v>
      </c>
      <c r="E6055" s="49" t="str">
        <f aca="false">"8032754230244"</f>
        <v>8032754230244</v>
      </c>
      <c r="F6055" s="49" t="s">
        <v>3737</v>
      </c>
      <c r="G6055" s="49" t="n">
        <v>0</v>
      </c>
      <c r="H6055" s="0" t="n">
        <v>0</v>
      </c>
      <c r="M6055" s="51" t="s">
        <v>3739</v>
      </c>
      <c r="N6055" s="49" t="n">
        <v>0</v>
      </c>
      <c r="O6055" s="53" t="n">
        <v>45951.6838078704</v>
      </c>
      <c r="P6055" s="53" t="n">
        <v>45980.6809143519</v>
      </c>
      <c r="Q6055" s="53" t="n">
        <v>45951.6838078704</v>
      </c>
      <c r="R6055" s="0" t="n">
        <v>0</v>
      </c>
      <c r="S6055" s="51" t="s">
        <v>2401</v>
      </c>
      <c r="T6055" s="51" t="s">
        <v>2401</v>
      </c>
      <c r="U6055" s="0" t="str">
        <f aca="false">"8032754230244"</f>
        <v>8032754230244</v>
      </c>
      <c r="V6055" s="51" t="s">
        <v>3740</v>
      </c>
      <c r="W6055" s="51" t="s">
        <v>9906</v>
      </c>
      <c r="X6055" s="51" t="s">
        <v>2359</v>
      </c>
    </row>
    <row r="6056" customFormat="false" ht="14.25" hidden="true" customHeight="false" outlineLevel="0" collapsed="false">
      <c r="A6056" s="49" t="s">
        <v>2349</v>
      </c>
      <c r="B6056" s="49" t="s">
        <v>2350</v>
      </c>
      <c r="C6056" s="49" t="s">
        <v>10581</v>
      </c>
      <c r="D6056" s="49" t="s">
        <v>2352</v>
      </c>
      <c r="E6056" s="49" t="str">
        <f aca="false">"8032754230244"</f>
        <v>8032754230244</v>
      </c>
      <c r="F6056" s="49" t="s">
        <v>3737</v>
      </c>
      <c r="G6056" s="49" t="n">
        <v>0</v>
      </c>
      <c r="H6056" s="0" t="n">
        <v>0</v>
      </c>
      <c r="M6056" s="51" t="s">
        <v>3739</v>
      </c>
      <c r="N6056" s="49" t="n">
        <v>0</v>
      </c>
      <c r="O6056" s="53" t="n">
        <v>45951.6840046296</v>
      </c>
      <c r="P6056" s="53" t="n">
        <v>45977.4828240741</v>
      </c>
      <c r="Q6056" s="53" t="n">
        <v>45951.6840046296</v>
      </c>
      <c r="R6056" s="0" t="n">
        <v>0</v>
      </c>
      <c r="S6056" s="51" t="s">
        <v>2401</v>
      </c>
      <c r="T6056" s="51" t="s">
        <v>2401</v>
      </c>
      <c r="U6056" s="0" t="str">
        <f aca="false">"8032754230244"</f>
        <v>8032754230244</v>
      </c>
      <c r="V6056" s="51" t="s">
        <v>3740</v>
      </c>
      <c r="W6056" s="51" t="s">
        <v>10582</v>
      </c>
      <c r="X6056" s="51" t="s">
        <v>2359</v>
      </c>
    </row>
    <row r="6057" customFormat="false" ht="14.25" hidden="true" customHeight="false" outlineLevel="0" collapsed="false">
      <c r="A6057" s="49" t="s">
        <v>2349</v>
      </c>
      <c r="B6057" s="49" t="s">
        <v>2350</v>
      </c>
      <c r="C6057" s="49" t="s">
        <v>10583</v>
      </c>
      <c r="D6057" s="49" t="s">
        <v>2352</v>
      </c>
      <c r="E6057" s="49" t="str">
        <f aca="false">"8032754230244"</f>
        <v>8032754230244</v>
      </c>
      <c r="F6057" s="49" t="s">
        <v>3737</v>
      </c>
      <c r="G6057" s="49" t="n">
        <v>0</v>
      </c>
      <c r="H6057" s="0" t="n">
        <v>0</v>
      </c>
      <c r="M6057" s="51" t="s">
        <v>3739</v>
      </c>
      <c r="N6057" s="49" t="n">
        <v>0</v>
      </c>
      <c r="O6057" s="53" t="n">
        <v>45951.6842824074</v>
      </c>
      <c r="P6057" s="53" t="n">
        <v>45977.4771180556</v>
      </c>
      <c r="Q6057" s="53" t="n">
        <v>45951.6842824074</v>
      </c>
      <c r="R6057" s="0" t="n">
        <v>0</v>
      </c>
      <c r="S6057" s="51" t="s">
        <v>2401</v>
      </c>
      <c r="T6057" s="51" t="s">
        <v>2401</v>
      </c>
      <c r="U6057" s="0" t="str">
        <f aca="false">"8032754230244"</f>
        <v>8032754230244</v>
      </c>
      <c r="V6057" s="51" t="s">
        <v>3740</v>
      </c>
      <c r="W6057" s="51" t="s">
        <v>10584</v>
      </c>
      <c r="X6057" s="51" t="s">
        <v>2359</v>
      </c>
    </row>
    <row r="6058" customFormat="false" ht="14.25" hidden="true" customHeight="false" outlineLevel="0" collapsed="false">
      <c r="A6058" s="49" t="s">
        <v>2349</v>
      </c>
      <c r="B6058" s="49" t="s">
        <v>2350</v>
      </c>
      <c r="C6058" s="49" t="s">
        <v>10585</v>
      </c>
      <c r="D6058" s="49" t="s">
        <v>2352</v>
      </c>
      <c r="E6058" s="49" t="str">
        <f aca="false">"8032754230244"</f>
        <v>8032754230244</v>
      </c>
      <c r="F6058" s="49" t="s">
        <v>3737</v>
      </c>
      <c r="G6058" s="49" t="n">
        <v>0</v>
      </c>
      <c r="H6058" s="0" t="n">
        <v>0</v>
      </c>
      <c r="M6058" s="51" t="s">
        <v>3739</v>
      </c>
      <c r="N6058" s="49" t="n">
        <v>0</v>
      </c>
      <c r="O6058" s="53" t="n">
        <v>45951.6869907407</v>
      </c>
      <c r="P6058" s="53" t="n">
        <v>45981.7711689815</v>
      </c>
      <c r="Q6058" s="53" t="n">
        <v>45951.6869907407</v>
      </c>
      <c r="R6058" s="0" t="n">
        <v>0</v>
      </c>
      <c r="S6058" s="51" t="s">
        <v>2401</v>
      </c>
      <c r="T6058" s="51" t="s">
        <v>2401</v>
      </c>
      <c r="U6058" s="0" t="str">
        <f aca="false">"8032754230244"</f>
        <v>8032754230244</v>
      </c>
      <c r="V6058" s="51" t="s">
        <v>3740</v>
      </c>
      <c r="W6058" s="51" t="s">
        <v>10586</v>
      </c>
      <c r="X6058" s="51" t="s">
        <v>2359</v>
      </c>
    </row>
    <row r="6059" customFormat="false" ht="14.25" hidden="true" customHeight="false" outlineLevel="0" collapsed="false">
      <c r="A6059" s="49" t="s">
        <v>2349</v>
      </c>
      <c r="B6059" s="49" t="s">
        <v>2350</v>
      </c>
      <c r="C6059" s="49" t="s">
        <v>10587</v>
      </c>
      <c r="D6059" s="49" t="s">
        <v>2352</v>
      </c>
      <c r="E6059" s="49" t="str">
        <f aca="false">"8032754230244"</f>
        <v>8032754230244</v>
      </c>
      <c r="F6059" s="49" t="s">
        <v>3737</v>
      </c>
      <c r="G6059" s="49" t="n">
        <v>0</v>
      </c>
      <c r="H6059" s="0" t="n">
        <v>0</v>
      </c>
      <c r="M6059" s="51" t="s">
        <v>3739</v>
      </c>
      <c r="N6059" s="49" t="n">
        <v>0</v>
      </c>
      <c r="O6059" s="53" t="n">
        <v>45951.6864351852</v>
      </c>
      <c r="P6059" s="53" t="n">
        <v>46015.4384375</v>
      </c>
      <c r="Q6059" s="53" t="n">
        <v>45951.6864351852</v>
      </c>
      <c r="R6059" s="0" t="n">
        <v>0</v>
      </c>
      <c r="S6059" s="51" t="s">
        <v>2401</v>
      </c>
      <c r="T6059" s="51" t="s">
        <v>2401</v>
      </c>
      <c r="U6059" s="0" t="str">
        <f aca="false">"8032754230244"</f>
        <v>8032754230244</v>
      </c>
      <c r="V6059" s="51" t="s">
        <v>3740</v>
      </c>
      <c r="W6059" s="51" t="s">
        <v>5826</v>
      </c>
      <c r="X6059" s="51" t="s">
        <v>2359</v>
      </c>
    </row>
    <row r="6060" customFormat="false" ht="14.25" hidden="true" customHeight="false" outlineLevel="0" collapsed="false">
      <c r="A6060" s="49" t="s">
        <v>2349</v>
      </c>
      <c r="B6060" s="49" t="s">
        <v>2350</v>
      </c>
      <c r="C6060" s="49" t="s">
        <v>10588</v>
      </c>
      <c r="D6060" s="49" t="s">
        <v>2352</v>
      </c>
      <c r="E6060" s="49" t="str">
        <f aca="false">"8032754230244"</f>
        <v>8032754230244</v>
      </c>
      <c r="F6060" s="49" t="s">
        <v>3737</v>
      </c>
      <c r="G6060" s="49" t="n">
        <v>0</v>
      </c>
      <c r="H6060" s="0" t="n">
        <v>0</v>
      </c>
      <c r="M6060" s="51" t="s">
        <v>3739</v>
      </c>
      <c r="N6060" s="49" t="n">
        <v>0</v>
      </c>
      <c r="O6060" s="53" t="n">
        <v>45951.6862847222</v>
      </c>
      <c r="P6060" s="53" t="n">
        <v>45992.7053356482</v>
      </c>
      <c r="Q6060" s="53" t="n">
        <v>45951.6862847222</v>
      </c>
      <c r="R6060" s="0" t="n">
        <v>0</v>
      </c>
      <c r="S6060" s="51" t="s">
        <v>2401</v>
      </c>
      <c r="T6060" s="51" t="s">
        <v>2401</v>
      </c>
      <c r="U6060" s="0" t="str">
        <f aca="false">"8032754230244"</f>
        <v>8032754230244</v>
      </c>
      <c r="V6060" s="51" t="s">
        <v>3740</v>
      </c>
      <c r="W6060" s="51" t="s">
        <v>4256</v>
      </c>
      <c r="X6060" s="51" t="s">
        <v>2359</v>
      </c>
    </row>
    <row r="6061" customFormat="false" ht="14.25" hidden="true" customHeight="false" outlineLevel="0" collapsed="false">
      <c r="A6061" s="49" t="s">
        <v>2349</v>
      </c>
      <c r="B6061" s="49" t="s">
        <v>2350</v>
      </c>
      <c r="C6061" s="49" t="s">
        <v>10589</v>
      </c>
      <c r="D6061" s="49" t="s">
        <v>2352</v>
      </c>
      <c r="E6061" s="49" t="str">
        <f aca="false">"8032754230244"</f>
        <v>8032754230244</v>
      </c>
      <c r="F6061" s="49" t="s">
        <v>3737</v>
      </c>
      <c r="G6061" s="49" t="n">
        <v>0</v>
      </c>
      <c r="H6061" s="0" t="n">
        <v>0</v>
      </c>
      <c r="M6061" s="51" t="s">
        <v>3739</v>
      </c>
      <c r="N6061" s="49" t="n">
        <v>0</v>
      </c>
      <c r="O6061" s="53" t="n">
        <v>45951.6860763889</v>
      </c>
      <c r="P6061" s="53" t="n">
        <v>46001.8926157407</v>
      </c>
      <c r="Q6061" s="53" t="n">
        <v>45951.6860763889</v>
      </c>
      <c r="R6061" s="0" t="n">
        <v>0</v>
      </c>
      <c r="S6061" s="51" t="s">
        <v>2401</v>
      </c>
      <c r="T6061" s="51" t="s">
        <v>2401</v>
      </c>
      <c r="U6061" s="0" t="str">
        <f aca="false">"8032754230244"</f>
        <v>8032754230244</v>
      </c>
      <c r="V6061" s="51" t="s">
        <v>3740</v>
      </c>
      <c r="W6061" s="51" t="s">
        <v>10590</v>
      </c>
      <c r="X6061" s="51" t="s">
        <v>2359</v>
      </c>
    </row>
    <row r="6062" customFormat="false" ht="14.25" hidden="true" customHeight="false" outlineLevel="0" collapsed="false">
      <c r="A6062" s="49" t="s">
        <v>2349</v>
      </c>
      <c r="B6062" s="49" t="s">
        <v>2350</v>
      </c>
      <c r="C6062" s="49" t="s">
        <v>10591</v>
      </c>
      <c r="D6062" s="49" t="s">
        <v>2352</v>
      </c>
      <c r="E6062" s="49" t="str">
        <f aca="false">"8032754230244"</f>
        <v>8032754230244</v>
      </c>
      <c r="F6062" s="49" t="s">
        <v>3737</v>
      </c>
      <c r="G6062" s="49" t="n">
        <v>0</v>
      </c>
      <c r="H6062" s="0" t="n">
        <v>0</v>
      </c>
      <c r="M6062" s="51" t="s">
        <v>3739</v>
      </c>
      <c r="N6062" s="49" t="n">
        <v>0</v>
      </c>
      <c r="O6062" s="53" t="n">
        <v>45951.6854050926</v>
      </c>
      <c r="P6062" s="53" t="n">
        <v>46015.4213194444</v>
      </c>
      <c r="Q6062" s="53" t="n">
        <v>45951.6854050926</v>
      </c>
      <c r="R6062" s="0" t="n">
        <v>0</v>
      </c>
      <c r="S6062" s="51" t="s">
        <v>2401</v>
      </c>
      <c r="T6062" s="51" t="s">
        <v>2401</v>
      </c>
      <c r="U6062" s="0" t="str">
        <f aca="false">"8032754230244"</f>
        <v>8032754230244</v>
      </c>
      <c r="V6062" s="51" t="s">
        <v>3740</v>
      </c>
      <c r="W6062" s="51" t="s">
        <v>4912</v>
      </c>
      <c r="X6062" s="51" t="s">
        <v>2359</v>
      </c>
    </row>
    <row r="6063" customFormat="false" ht="14.25" hidden="true" customHeight="false" outlineLevel="0" collapsed="false">
      <c r="A6063" s="49" t="s">
        <v>2349</v>
      </c>
      <c r="B6063" s="49" t="s">
        <v>2350</v>
      </c>
      <c r="C6063" s="49" t="s">
        <v>10592</v>
      </c>
      <c r="D6063" s="49" t="s">
        <v>2352</v>
      </c>
      <c r="E6063" s="49" t="str">
        <f aca="false">"8032754230244"</f>
        <v>8032754230244</v>
      </c>
      <c r="F6063" s="49" t="s">
        <v>3737</v>
      </c>
      <c r="G6063" s="49" t="n">
        <v>0</v>
      </c>
      <c r="H6063" s="0" t="n">
        <v>0</v>
      </c>
      <c r="M6063" s="51" t="s">
        <v>3739</v>
      </c>
      <c r="N6063" s="49" t="n">
        <v>0</v>
      </c>
      <c r="O6063" s="53" t="n">
        <v>45951.6851851852</v>
      </c>
      <c r="P6063" s="53" t="n">
        <v>45974.9550462963</v>
      </c>
      <c r="Q6063" s="53" t="n">
        <v>45951.6851851852</v>
      </c>
      <c r="R6063" s="0" t="n">
        <v>0</v>
      </c>
      <c r="S6063" s="51" t="s">
        <v>2401</v>
      </c>
      <c r="T6063" s="51" t="s">
        <v>2401</v>
      </c>
      <c r="U6063" s="0" t="str">
        <f aca="false">"8032754230244"</f>
        <v>8032754230244</v>
      </c>
      <c r="V6063" s="51" t="s">
        <v>3740</v>
      </c>
      <c r="W6063" s="51" t="s">
        <v>9906</v>
      </c>
      <c r="X6063" s="51" t="s">
        <v>2359</v>
      </c>
    </row>
    <row r="6064" customFormat="false" ht="14.25" hidden="true" customHeight="false" outlineLevel="0" collapsed="false">
      <c r="A6064" s="49" t="s">
        <v>2349</v>
      </c>
      <c r="B6064" s="49" t="s">
        <v>2350</v>
      </c>
      <c r="C6064" s="49" t="s">
        <v>10593</v>
      </c>
      <c r="D6064" s="49" t="s">
        <v>2352</v>
      </c>
      <c r="E6064" s="49" t="str">
        <f aca="false">"8032754230244"</f>
        <v>8032754230244</v>
      </c>
      <c r="F6064" s="49" t="s">
        <v>3737</v>
      </c>
      <c r="G6064" s="49" t="n">
        <v>0</v>
      </c>
      <c r="H6064" s="0" t="n">
        <v>0</v>
      </c>
      <c r="M6064" s="51" t="s">
        <v>3739</v>
      </c>
      <c r="N6064" s="49" t="n">
        <v>0</v>
      </c>
      <c r="O6064" s="53" t="n">
        <v>45951.6849421296</v>
      </c>
      <c r="P6064" s="53" t="n">
        <v>45977.4842592593</v>
      </c>
      <c r="Q6064" s="53" t="n">
        <v>45951.6849421296</v>
      </c>
      <c r="R6064" s="0" t="n">
        <v>0</v>
      </c>
      <c r="S6064" s="51" t="s">
        <v>2401</v>
      </c>
      <c r="T6064" s="51" t="s">
        <v>2401</v>
      </c>
      <c r="U6064" s="0" t="str">
        <f aca="false">"8032754230244"</f>
        <v>8032754230244</v>
      </c>
      <c r="V6064" s="51" t="s">
        <v>3740</v>
      </c>
      <c r="W6064" s="51" t="s">
        <v>10594</v>
      </c>
      <c r="X6064" s="51" t="s">
        <v>2359</v>
      </c>
    </row>
    <row r="6065" customFormat="false" ht="14.25" hidden="true" customHeight="false" outlineLevel="0" collapsed="false">
      <c r="A6065" s="49" t="s">
        <v>2349</v>
      </c>
      <c r="B6065" s="49" t="s">
        <v>2350</v>
      </c>
      <c r="C6065" s="49" t="s">
        <v>10595</v>
      </c>
      <c r="D6065" s="49" t="s">
        <v>2352</v>
      </c>
      <c r="E6065" s="49" t="str">
        <f aca="false">"8032754230244"</f>
        <v>8032754230244</v>
      </c>
      <c r="F6065" s="49" t="s">
        <v>3737</v>
      </c>
      <c r="G6065" s="49" t="n">
        <v>0</v>
      </c>
      <c r="H6065" s="0" t="n">
        <v>0</v>
      </c>
      <c r="M6065" s="51" t="s">
        <v>3739</v>
      </c>
      <c r="N6065" s="49" t="n">
        <v>0</v>
      </c>
      <c r="O6065" s="53" t="n">
        <v>45951.6846990741</v>
      </c>
      <c r="P6065" s="53" t="n">
        <v>45981.7701851852</v>
      </c>
      <c r="Q6065" s="53" t="n">
        <v>45951.6846990741</v>
      </c>
      <c r="R6065" s="0" t="n">
        <v>0</v>
      </c>
      <c r="S6065" s="51" t="s">
        <v>2401</v>
      </c>
      <c r="T6065" s="51" t="s">
        <v>2401</v>
      </c>
      <c r="U6065" s="0" t="str">
        <f aca="false">"8032754230244"</f>
        <v>8032754230244</v>
      </c>
      <c r="V6065" s="51" t="s">
        <v>3740</v>
      </c>
      <c r="W6065" s="51" t="s">
        <v>4256</v>
      </c>
      <c r="X6065" s="51" t="s">
        <v>2359</v>
      </c>
    </row>
    <row r="6066" customFormat="false" ht="14.25" hidden="true" customHeight="false" outlineLevel="0" collapsed="false">
      <c r="A6066" s="49" t="s">
        <v>2349</v>
      </c>
      <c r="B6066" s="49" t="s">
        <v>2350</v>
      </c>
      <c r="C6066" s="49" t="s">
        <v>10596</v>
      </c>
      <c r="D6066" s="49" t="s">
        <v>2352</v>
      </c>
      <c r="E6066" s="49" t="str">
        <f aca="false">"8032754230244"</f>
        <v>8032754230244</v>
      </c>
      <c r="F6066" s="49" t="s">
        <v>3737</v>
      </c>
      <c r="G6066" s="49" t="n">
        <v>0</v>
      </c>
      <c r="H6066" s="0" t="n">
        <v>0</v>
      </c>
      <c r="M6066" s="51" t="s">
        <v>3739</v>
      </c>
      <c r="N6066" s="49" t="n">
        <v>0</v>
      </c>
      <c r="O6066" s="53" t="n">
        <v>45951.6873148148</v>
      </c>
      <c r="P6066" s="53" t="n">
        <v>45953.5924884259</v>
      </c>
      <c r="Q6066" s="53" t="n">
        <v>45951.6873148148</v>
      </c>
      <c r="R6066" s="0" t="n">
        <v>0</v>
      </c>
      <c r="S6066" s="51" t="s">
        <v>2401</v>
      </c>
      <c r="T6066" s="51" t="s">
        <v>2401</v>
      </c>
      <c r="U6066" s="0" t="str">
        <f aca="false">"8032754230244"</f>
        <v>8032754230244</v>
      </c>
      <c r="V6066" s="51" t="s">
        <v>3740</v>
      </c>
      <c r="W6066" s="51" t="s">
        <v>6002</v>
      </c>
      <c r="X6066" s="51" t="s">
        <v>2359</v>
      </c>
    </row>
    <row r="6067" customFormat="false" ht="14.25" hidden="true" customHeight="false" outlineLevel="0" collapsed="false">
      <c r="A6067" s="49" t="s">
        <v>2349</v>
      </c>
      <c r="B6067" s="49" t="s">
        <v>2350</v>
      </c>
      <c r="C6067" s="49" t="s">
        <v>10597</v>
      </c>
      <c r="D6067" s="49" t="s">
        <v>2352</v>
      </c>
      <c r="E6067" s="49" t="str">
        <f aca="false">"8032754230244"</f>
        <v>8032754230244</v>
      </c>
      <c r="F6067" s="49" t="s">
        <v>3737</v>
      </c>
      <c r="G6067" s="49" t="n">
        <v>0</v>
      </c>
      <c r="H6067" s="0" t="n">
        <v>0</v>
      </c>
      <c r="M6067" s="51" t="s">
        <v>3739</v>
      </c>
      <c r="N6067" s="49" t="n">
        <v>0</v>
      </c>
      <c r="O6067" s="53" t="n">
        <v>45951.6874768519</v>
      </c>
      <c r="P6067" s="53" t="n">
        <v>45953.5941782407</v>
      </c>
      <c r="Q6067" s="53" t="n">
        <v>45951.6874768519</v>
      </c>
      <c r="R6067" s="0" t="n">
        <v>0</v>
      </c>
      <c r="S6067" s="51" t="s">
        <v>2401</v>
      </c>
      <c r="T6067" s="51" t="s">
        <v>2401</v>
      </c>
      <c r="U6067" s="0" t="str">
        <f aca="false">"8032754230244"</f>
        <v>8032754230244</v>
      </c>
      <c r="V6067" s="51" t="s">
        <v>3740</v>
      </c>
      <c r="W6067" s="51" t="s">
        <v>6006</v>
      </c>
      <c r="X6067" s="51" t="s">
        <v>2359</v>
      </c>
    </row>
    <row r="6068" customFormat="false" ht="14.25" hidden="true" customHeight="false" outlineLevel="0" collapsed="false">
      <c r="A6068" s="49" t="s">
        <v>2349</v>
      </c>
      <c r="B6068" s="49" t="s">
        <v>2350</v>
      </c>
      <c r="C6068" s="49" t="s">
        <v>10598</v>
      </c>
      <c r="D6068" s="49" t="s">
        <v>2352</v>
      </c>
      <c r="E6068" s="49" t="str">
        <f aca="false">"8032754230244"</f>
        <v>8032754230244</v>
      </c>
      <c r="F6068" s="49" t="s">
        <v>3737</v>
      </c>
      <c r="G6068" s="49" t="n">
        <v>0</v>
      </c>
      <c r="H6068" s="0" t="n">
        <v>0</v>
      </c>
      <c r="M6068" s="51" t="s">
        <v>3739</v>
      </c>
      <c r="N6068" s="49" t="n">
        <v>0</v>
      </c>
      <c r="O6068" s="53" t="n">
        <v>45951.6878240741</v>
      </c>
      <c r="P6068" s="53" t="n">
        <v>45953.5948958333</v>
      </c>
      <c r="Q6068" s="53" t="n">
        <v>45951.6878240741</v>
      </c>
      <c r="R6068" s="0" t="n">
        <v>0</v>
      </c>
      <c r="S6068" s="51" t="s">
        <v>2401</v>
      </c>
      <c r="T6068" s="51" t="s">
        <v>2401</v>
      </c>
      <c r="U6068" s="0" t="str">
        <f aca="false">"8032754230244"</f>
        <v>8032754230244</v>
      </c>
      <c r="V6068" s="51" t="s">
        <v>3740</v>
      </c>
      <c r="W6068" s="51" t="s">
        <v>6010</v>
      </c>
      <c r="X6068" s="51" t="s">
        <v>2359</v>
      </c>
    </row>
    <row r="6069" customFormat="false" ht="14.25" hidden="true" customHeight="false" outlineLevel="0" collapsed="false">
      <c r="A6069" s="49" t="s">
        <v>2349</v>
      </c>
      <c r="B6069" s="49" t="s">
        <v>2350</v>
      </c>
      <c r="C6069" s="49" t="s">
        <v>10599</v>
      </c>
      <c r="D6069" s="49" t="s">
        <v>2352</v>
      </c>
      <c r="E6069" s="49" t="str">
        <f aca="false">"8032754230244"</f>
        <v>8032754230244</v>
      </c>
      <c r="F6069" s="49" t="s">
        <v>3737</v>
      </c>
      <c r="G6069" s="49" t="n">
        <v>0</v>
      </c>
      <c r="H6069" s="0" t="n">
        <v>0</v>
      </c>
      <c r="M6069" s="51" t="s">
        <v>3739</v>
      </c>
      <c r="N6069" s="49" t="n">
        <v>0</v>
      </c>
      <c r="O6069" s="53" t="n">
        <v>45951.6880671296</v>
      </c>
      <c r="P6069" s="53" t="n">
        <v>45953.5953356482</v>
      </c>
      <c r="Q6069" s="53" t="n">
        <v>45951.6880671296</v>
      </c>
      <c r="R6069" s="0" t="n">
        <v>0</v>
      </c>
      <c r="S6069" s="51" t="s">
        <v>2401</v>
      </c>
      <c r="T6069" s="51" t="s">
        <v>2401</v>
      </c>
      <c r="U6069" s="0" t="str">
        <f aca="false">"8032754230244"</f>
        <v>8032754230244</v>
      </c>
      <c r="V6069" s="51" t="s">
        <v>3740</v>
      </c>
      <c r="W6069" s="51" t="s">
        <v>5791</v>
      </c>
      <c r="X6069" s="51" t="s">
        <v>2359</v>
      </c>
    </row>
    <row r="6070" customFormat="false" ht="14.25" hidden="true" customHeight="false" outlineLevel="0" collapsed="false">
      <c r="A6070" s="49" t="s">
        <v>2349</v>
      </c>
      <c r="B6070" s="49" t="s">
        <v>2350</v>
      </c>
      <c r="C6070" s="49" t="s">
        <v>10600</v>
      </c>
      <c r="D6070" s="49" t="s">
        <v>2352</v>
      </c>
      <c r="E6070" s="49" t="str">
        <f aca="false">"8032754230244"</f>
        <v>8032754230244</v>
      </c>
      <c r="F6070" s="49" t="s">
        <v>3737</v>
      </c>
      <c r="G6070" s="49" t="n">
        <v>0</v>
      </c>
      <c r="H6070" s="0" t="n">
        <v>0</v>
      </c>
      <c r="M6070" s="51" t="s">
        <v>3739</v>
      </c>
      <c r="N6070" s="49" t="n">
        <v>0</v>
      </c>
      <c r="O6070" s="53" t="n">
        <v>45951.6883333333</v>
      </c>
      <c r="P6070" s="53" t="n">
        <v>45953.5858449074</v>
      </c>
      <c r="Q6070" s="53" t="n">
        <v>45951.6883333333</v>
      </c>
      <c r="R6070" s="0" t="n">
        <v>0</v>
      </c>
      <c r="S6070" s="51" t="s">
        <v>2401</v>
      </c>
      <c r="T6070" s="51" t="s">
        <v>2401</v>
      </c>
      <c r="U6070" s="0" t="str">
        <f aca="false">"8032754230244"</f>
        <v>8032754230244</v>
      </c>
      <c r="V6070" s="51" t="s">
        <v>3740</v>
      </c>
      <c r="W6070" s="51" t="s">
        <v>9594</v>
      </c>
      <c r="X6070" s="51" t="s">
        <v>2359</v>
      </c>
    </row>
    <row r="6071" customFormat="false" ht="14.25" hidden="true" customHeight="false" outlineLevel="0" collapsed="false">
      <c r="A6071" s="49" t="s">
        <v>2349</v>
      </c>
      <c r="B6071" s="49" t="s">
        <v>2350</v>
      </c>
      <c r="C6071" s="49" t="s">
        <v>10601</v>
      </c>
      <c r="D6071" s="49" t="s">
        <v>2352</v>
      </c>
      <c r="E6071" s="49" t="str">
        <f aca="false">"8032754230244"</f>
        <v>8032754230244</v>
      </c>
      <c r="F6071" s="49" t="s">
        <v>3737</v>
      </c>
      <c r="G6071" s="49" t="n">
        <v>0</v>
      </c>
      <c r="H6071" s="0" t="n">
        <v>0</v>
      </c>
      <c r="M6071" s="51" t="s">
        <v>3739</v>
      </c>
      <c r="N6071" s="49" t="n">
        <v>0</v>
      </c>
      <c r="O6071" s="53" t="n">
        <v>45951.6885648148</v>
      </c>
      <c r="P6071" s="53" t="n">
        <v>45953.5866087963</v>
      </c>
      <c r="Q6071" s="53" t="n">
        <v>45951.6885648148</v>
      </c>
      <c r="R6071" s="0" t="n">
        <v>0</v>
      </c>
      <c r="S6071" s="51" t="s">
        <v>2401</v>
      </c>
      <c r="T6071" s="51" t="s">
        <v>2401</v>
      </c>
      <c r="U6071" s="0" t="str">
        <f aca="false">"8032754230244"</f>
        <v>8032754230244</v>
      </c>
      <c r="V6071" s="51" t="s">
        <v>3740</v>
      </c>
      <c r="W6071" s="51" t="s">
        <v>6329</v>
      </c>
      <c r="X6071" s="51" t="s">
        <v>2359</v>
      </c>
    </row>
    <row r="6072" customFormat="false" ht="14.25" hidden="true" customHeight="false" outlineLevel="0" collapsed="false">
      <c r="A6072" s="49" t="s">
        <v>2349</v>
      </c>
      <c r="B6072" s="49" t="s">
        <v>2350</v>
      </c>
      <c r="C6072" s="49" t="s">
        <v>10602</v>
      </c>
      <c r="D6072" s="49" t="s">
        <v>2352</v>
      </c>
      <c r="E6072" s="49" t="str">
        <f aca="false">"8032754230244"</f>
        <v>8032754230244</v>
      </c>
      <c r="F6072" s="49" t="s">
        <v>3737</v>
      </c>
      <c r="G6072" s="49" t="n">
        <v>0</v>
      </c>
      <c r="H6072" s="0" t="n">
        <v>0</v>
      </c>
      <c r="M6072" s="51" t="s">
        <v>3739</v>
      </c>
      <c r="N6072" s="49" t="n">
        <v>0</v>
      </c>
      <c r="O6072" s="53" t="n">
        <v>45951.6888773148</v>
      </c>
      <c r="P6072" s="53" t="n">
        <v>45953.5868981482</v>
      </c>
      <c r="Q6072" s="53" t="n">
        <v>45951.6888773148</v>
      </c>
      <c r="R6072" s="0" t="n">
        <v>0</v>
      </c>
      <c r="S6072" s="51" t="s">
        <v>2401</v>
      </c>
      <c r="T6072" s="51" t="s">
        <v>2401</v>
      </c>
      <c r="U6072" s="0" t="str">
        <f aca="false">"8032754230244"</f>
        <v>8032754230244</v>
      </c>
      <c r="V6072" s="51" t="s">
        <v>3740</v>
      </c>
      <c r="W6072" s="51" t="s">
        <v>6413</v>
      </c>
      <c r="X6072" s="51" t="s">
        <v>2359</v>
      </c>
    </row>
    <row r="6073" customFormat="false" ht="14.25" hidden="true" customHeight="false" outlineLevel="0" collapsed="false">
      <c r="A6073" s="49" t="s">
        <v>2349</v>
      </c>
      <c r="B6073" s="49" t="s">
        <v>2350</v>
      </c>
      <c r="C6073" s="49" t="s">
        <v>10603</v>
      </c>
      <c r="D6073" s="49" t="s">
        <v>2352</v>
      </c>
      <c r="E6073" s="49" t="str">
        <f aca="false">"8032754230244"</f>
        <v>8032754230244</v>
      </c>
      <c r="F6073" s="49" t="s">
        <v>3737</v>
      </c>
      <c r="G6073" s="49" t="n">
        <v>0</v>
      </c>
      <c r="H6073" s="0" t="n">
        <v>0</v>
      </c>
      <c r="M6073" s="51" t="s">
        <v>3739</v>
      </c>
      <c r="N6073" s="49" t="n">
        <v>0</v>
      </c>
      <c r="O6073" s="53" t="n">
        <v>45951.6891203704</v>
      </c>
      <c r="P6073" s="53" t="n">
        <v>46001.8890625</v>
      </c>
      <c r="Q6073" s="53" t="n">
        <v>45951.6891203704</v>
      </c>
      <c r="R6073" s="0" t="n">
        <v>0</v>
      </c>
      <c r="S6073" s="51" t="s">
        <v>2401</v>
      </c>
      <c r="T6073" s="51" t="s">
        <v>2401</v>
      </c>
      <c r="U6073" s="0" t="str">
        <f aca="false">"8032754230244"</f>
        <v>8032754230244</v>
      </c>
      <c r="V6073" s="51" t="s">
        <v>3740</v>
      </c>
      <c r="W6073" s="51" t="s">
        <v>10604</v>
      </c>
      <c r="X6073" s="51" t="s">
        <v>2359</v>
      </c>
    </row>
    <row r="6074" customFormat="false" ht="14.25" hidden="true" customHeight="false" outlineLevel="0" collapsed="false">
      <c r="A6074" s="49" t="s">
        <v>2349</v>
      </c>
      <c r="B6074" s="49" t="s">
        <v>2350</v>
      </c>
      <c r="C6074" s="49" t="s">
        <v>10605</v>
      </c>
      <c r="D6074" s="49" t="s">
        <v>2352</v>
      </c>
      <c r="E6074" s="49" t="str">
        <f aca="false">"8032754230244"</f>
        <v>8032754230244</v>
      </c>
      <c r="F6074" s="49" t="s">
        <v>3737</v>
      </c>
      <c r="G6074" s="49" t="n">
        <v>0</v>
      </c>
      <c r="H6074" s="0" t="n">
        <v>0</v>
      </c>
      <c r="M6074" s="51" t="s">
        <v>3739</v>
      </c>
      <c r="N6074" s="49" t="n">
        <v>0</v>
      </c>
      <c r="O6074" s="53" t="n">
        <v>45951.692974537</v>
      </c>
      <c r="P6074" s="53" t="n">
        <v>45953.5863657407</v>
      </c>
      <c r="Q6074" s="53" t="n">
        <v>45951.692974537</v>
      </c>
      <c r="R6074" s="0" t="n">
        <v>0</v>
      </c>
      <c r="S6074" s="51" t="s">
        <v>2401</v>
      </c>
      <c r="T6074" s="51" t="s">
        <v>2401</v>
      </c>
      <c r="U6074" s="0" t="str">
        <f aca="false">"8032754230244"</f>
        <v>8032754230244</v>
      </c>
      <c r="V6074" s="51" t="s">
        <v>3740</v>
      </c>
      <c r="W6074" s="51" t="s">
        <v>4822</v>
      </c>
      <c r="X6074" s="51" t="s">
        <v>2359</v>
      </c>
    </row>
    <row r="6075" customFormat="false" ht="14.25" hidden="true" customHeight="false" outlineLevel="0" collapsed="false">
      <c r="A6075" s="49" t="s">
        <v>2349</v>
      </c>
      <c r="B6075" s="49" t="s">
        <v>2350</v>
      </c>
      <c r="C6075" s="49" t="s">
        <v>10606</v>
      </c>
      <c r="D6075" s="49" t="s">
        <v>2352</v>
      </c>
      <c r="E6075" s="49" t="str">
        <f aca="false">"8032754230244"</f>
        <v>8032754230244</v>
      </c>
      <c r="F6075" s="49" t="s">
        <v>3737</v>
      </c>
      <c r="G6075" s="49" t="n">
        <v>0</v>
      </c>
      <c r="H6075" s="0" t="n">
        <v>0</v>
      </c>
      <c r="M6075" s="51" t="s">
        <v>3739</v>
      </c>
      <c r="N6075" s="49" t="n">
        <v>0</v>
      </c>
      <c r="O6075" s="53" t="n">
        <v>45951.6928009259</v>
      </c>
      <c r="P6075" s="53" t="n">
        <v>45953.5961458333</v>
      </c>
      <c r="Q6075" s="53" t="n">
        <v>45951.6928009259</v>
      </c>
      <c r="R6075" s="0" t="n">
        <v>0</v>
      </c>
      <c r="S6075" s="51" t="s">
        <v>2401</v>
      </c>
      <c r="T6075" s="51" t="s">
        <v>2401</v>
      </c>
      <c r="U6075" s="0" t="str">
        <f aca="false">"8032754230244"</f>
        <v>8032754230244</v>
      </c>
      <c r="V6075" s="51" t="s">
        <v>3740</v>
      </c>
      <c r="W6075" s="51" t="s">
        <v>10453</v>
      </c>
      <c r="X6075" s="51" t="s">
        <v>2359</v>
      </c>
    </row>
    <row r="6076" customFormat="false" ht="14.25" hidden="true" customHeight="false" outlineLevel="0" collapsed="false">
      <c r="A6076" s="49" t="s">
        <v>2349</v>
      </c>
      <c r="B6076" s="49" t="s">
        <v>2350</v>
      </c>
      <c r="C6076" s="49" t="s">
        <v>10607</v>
      </c>
      <c r="D6076" s="49" t="s">
        <v>2352</v>
      </c>
      <c r="E6076" s="49" t="str">
        <f aca="false">"8032754230244"</f>
        <v>8032754230244</v>
      </c>
      <c r="F6076" s="49" t="s">
        <v>3737</v>
      </c>
      <c r="G6076" s="49" t="n">
        <v>0</v>
      </c>
      <c r="H6076" s="0" t="n">
        <v>0</v>
      </c>
      <c r="M6076" s="51" t="s">
        <v>3739</v>
      </c>
      <c r="N6076" s="49" t="n">
        <v>0</v>
      </c>
      <c r="O6076" s="53" t="n">
        <v>45951.6925462963</v>
      </c>
      <c r="P6076" s="53" t="n">
        <v>45953.5967939815</v>
      </c>
      <c r="Q6076" s="53" t="n">
        <v>45951.6925462963</v>
      </c>
      <c r="R6076" s="0" t="n">
        <v>0</v>
      </c>
      <c r="S6076" s="51" t="s">
        <v>2401</v>
      </c>
      <c r="T6076" s="51" t="s">
        <v>2401</v>
      </c>
      <c r="U6076" s="0" t="str">
        <f aca="false">"8032754230244"</f>
        <v>8032754230244</v>
      </c>
      <c r="V6076" s="51" t="s">
        <v>3740</v>
      </c>
      <c r="W6076" s="51" t="s">
        <v>8710</v>
      </c>
      <c r="X6076" s="51" t="s">
        <v>2359</v>
      </c>
    </row>
    <row r="6077" customFormat="false" ht="14.25" hidden="true" customHeight="false" outlineLevel="0" collapsed="false">
      <c r="A6077" s="49" t="s">
        <v>2349</v>
      </c>
      <c r="B6077" s="49" t="s">
        <v>2350</v>
      </c>
      <c r="C6077" s="49" t="s">
        <v>10608</v>
      </c>
      <c r="D6077" s="49" t="s">
        <v>2352</v>
      </c>
      <c r="E6077" s="49" t="str">
        <f aca="false">"8032754230244"</f>
        <v>8032754230244</v>
      </c>
      <c r="F6077" s="49" t="s">
        <v>3737</v>
      </c>
      <c r="G6077" s="49" t="n">
        <v>0</v>
      </c>
      <c r="H6077" s="0" t="n">
        <v>0</v>
      </c>
      <c r="M6077" s="51" t="s">
        <v>3739</v>
      </c>
      <c r="N6077" s="49" t="n">
        <v>0</v>
      </c>
      <c r="O6077" s="53" t="n">
        <v>45951.6923726852</v>
      </c>
      <c r="P6077" s="53" t="n">
        <v>45953.5958217593</v>
      </c>
      <c r="Q6077" s="53" t="n">
        <v>45951.6923726852</v>
      </c>
      <c r="R6077" s="0" t="n">
        <v>0</v>
      </c>
      <c r="S6077" s="51" t="s">
        <v>2401</v>
      </c>
      <c r="T6077" s="51" t="s">
        <v>2401</v>
      </c>
      <c r="U6077" s="0" t="str">
        <f aca="false">"8032754230244"</f>
        <v>8032754230244</v>
      </c>
      <c r="V6077" s="51" t="s">
        <v>3740</v>
      </c>
      <c r="W6077" s="51" t="s">
        <v>10609</v>
      </c>
      <c r="X6077" s="51" t="s">
        <v>2359</v>
      </c>
    </row>
    <row r="6078" customFormat="false" ht="14.25" hidden="true" customHeight="false" outlineLevel="0" collapsed="false">
      <c r="A6078" s="49" t="s">
        <v>2349</v>
      </c>
      <c r="B6078" s="49" t="s">
        <v>2350</v>
      </c>
      <c r="C6078" s="49" t="s">
        <v>10610</v>
      </c>
      <c r="D6078" s="49" t="s">
        <v>2352</v>
      </c>
      <c r="E6078" s="49" t="str">
        <f aca="false">"8032754230244"</f>
        <v>8032754230244</v>
      </c>
      <c r="F6078" s="49" t="s">
        <v>3737</v>
      </c>
      <c r="G6078" s="49" t="n">
        <v>0</v>
      </c>
      <c r="H6078" s="0" t="n">
        <v>0</v>
      </c>
      <c r="M6078" s="51" t="s">
        <v>3739</v>
      </c>
      <c r="N6078" s="49" t="n">
        <v>0</v>
      </c>
      <c r="O6078" s="53" t="n">
        <v>45951.6922222222</v>
      </c>
      <c r="P6078" s="53" t="n">
        <v>45953.5944097222</v>
      </c>
      <c r="Q6078" s="53" t="n">
        <v>45951.6922222222</v>
      </c>
      <c r="R6078" s="0" t="n">
        <v>0</v>
      </c>
      <c r="S6078" s="51" t="s">
        <v>2401</v>
      </c>
      <c r="T6078" s="51" t="s">
        <v>2401</v>
      </c>
      <c r="U6078" s="0" t="str">
        <f aca="false">"8032754230244"</f>
        <v>8032754230244</v>
      </c>
      <c r="V6078" s="51" t="s">
        <v>3740</v>
      </c>
      <c r="W6078" s="51" t="s">
        <v>6017</v>
      </c>
      <c r="X6078" s="51" t="s">
        <v>2359</v>
      </c>
    </row>
    <row r="6079" customFormat="false" ht="14.25" hidden="true" customHeight="false" outlineLevel="0" collapsed="false">
      <c r="A6079" s="49" t="s">
        <v>2349</v>
      </c>
      <c r="B6079" s="49" t="s">
        <v>2350</v>
      </c>
      <c r="C6079" s="49" t="s">
        <v>10611</v>
      </c>
      <c r="D6079" s="49" t="s">
        <v>2352</v>
      </c>
      <c r="E6079" s="49" t="str">
        <f aca="false">"8032754230244"</f>
        <v>8032754230244</v>
      </c>
      <c r="F6079" s="49" t="s">
        <v>3737</v>
      </c>
      <c r="G6079" s="49" t="n">
        <v>0</v>
      </c>
      <c r="H6079" s="0" t="n">
        <v>0</v>
      </c>
      <c r="M6079" s="51" t="s">
        <v>3739</v>
      </c>
      <c r="N6079" s="49" t="n">
        <v>0</v>
      </c>
      <c r="O6079" s="53" t="n">
        <v>45951.692037037</v>
      </c>
      <c r="P6079" s="53" t="n">
        <v>45953.5933680556</v>
      </c>
      <c r="Q6079" s="53" t="n">
        <v>45951.692037037</v>
      </c>
      <c r="R6079" s="0" t="n">
        <v>0</v>
      </c>
      <c r="S6079" s="51" t="s">
        <v>2401</v>
      </c>
      <c r="T6079" s="51" t="s">
        <v>2401</v>
      </c>
      <c r="U6079" s="0" t="str">
        <f aca="false">"8032754230244"</f>
        <v>8032754230244</v>
      </c>
      <c r="V6079" s="51" t="s">
        <v>3740</v>
      </c>
      <c r="W6079" s="51" t="s">
        <v>6004</v>
      </c>
      <c r="X6079" s="51" t="s">
        <v>2359</v>
      </c>
    </row>
    <row r="6080" customFormat="false" ht="14.25" hidden="true" customHeight="false" outlineLevel="0" collapsed="false">
      <c r="A6080" s="49" t="s">
        <v>2349</v>
      </c>
      <c r="B6080" s="49" t="s">
        <v>2350</v>
      </c>
      <c r="C6080" s="49" t="s">
        <v>10612</v>
      </c>
      <c r="D6080" s="49" t="s">
        <v>2352</v>
      </c>
      <c r="E6080" s="49" t="str">
        <f aca="false">"8032754230244"</f>
        <v>8032754230244</v>
      </c>
      <c r="F6080" s="49" t="s">
        <v>3737</v>
      </c>
      <c r="G6080" s="49" t="n">
        <v>0</v>
      </c>
      <c r="H6080" s="0" t="n">
        <v>0</v>
      </c>
      <c r="M6080" s="51" t="s">
        <v>3739</v>
      </c>
      <c r="N6080" s="49" t="n">
        <v>0</v>
      </c>
      <c r="O6080" s="53" t="n">
        <v>45951.6918634259</v>
      </c>
      <c r="P6080" s="53" t="n">
        <v>45953.5936574074</v>
      </c>
      <c r="Q6080" s="53" t="n">
        <v>45951.6918634259</v>
      </c>
      <c r="R6080" s="0" t="n">
        <v>0</v>
      </c>
      <c r="S6080" s="51" t="s">
        <v>2401</v>
      </c>
      <c r="T6080" s="51" t="s">
        <v>2401</v>
      </c>
      <c r="U6080" s="0" t="str">
        <f aca="false">"8032754230244"</f>
        <v>8032754230244</v>
      </c>
      <c r="V6080" s="51" t="s">
        <v>3740</v>
      </c>
      <c r="W6080" s="51" t="s">
        <v>10613</v>
      </c>
      <c r="X6080" s="51" t="s">
        <v>2359</v>
      </c>
    </row>
    <row r="6081" customFormat="false" ht="14.25" hidden="true" customHeight="false" outlineLevel="0" collapsed="false">
      <c r="A6081" s="49" t="s">
        <v>2349</v>
      </c>
      <c r="B6081" s="49" t="s">
        <v>2350</v>
      </c>
      <c r="C6081" s="49" t="s">
        <v>10614</v>
      </c>
      <c r="D6081" s="49" t="s">
        <v>2352</v>
      </c>
      <c r="E6081" s="49" t="str">
        <f aca="false">"8032754230244"</f>
        <v>8032754230244</v>
      </c>
      <c r="F6081" s="49" t="s">
        <v>3737</v>
      </c>
      <c r="G6081" s="49" t="n">
        <v>0</v>
      </c>
      <c r="H6081" s="0" t="n">
        <v>0</v>
      </c>
      <c r="M6081" s="51" t="s">
        <v>3739</v>
      </c>
      <c r="N6081" s="49" t="n">
        <v>0</v>
      </c>
      <c r="O6081" s="53" t="n">
        <v>45951.6932175926</v>
      </c>
      <c r="P6081" s="53" t="n">
        <v>45953.5939351852</v>
      </c>
      <c r="Q6081" s="53" t="n">
        <v>45951.6932175926</v>
      </c>
      <c r="R6081" s="0" t="n">
        <v>0</v>
      </c>
      <c r="S6081" s="51" t="s">
        <v>2401</v>
      </c>
      <c r="T6081" s="51" t="s">
        <v>2401</v>
      </c>
      <c r="U6081" s="0" t="str">
        <f aca="false">"8032754230244"</f>
        <v>8032754230244</v>
      </c>
      <c r="V6081" s="51" t="s">
        <v>3740</v>
      </c>
      <c r="W6081" s="51" t="s">
        <v>6008</v>
      </c>
      <c r="X6081" s="51" t="s">
        <v>2359</v>
      </c>
    </row>
    <row r="6082" customFormat="false" ht="14.25" hidden="true" customHeight="false" outlineLevel="0" collapsed="false">
      <c r="A6082" s="49" t="s">
        <v>2349</v>
      </c>
      <c r="B6082" s="49" t="s">
        <v>2350</v>
      </c>
      <c r="C6082" s="49" t="s">
        <v>10615</v>
      </c>
      <c r="D6082" s="49" t="s">
        <v>2352</v>
      </c>
      <c r="E6082" s="49" t="str">
        <f aca="false">"8032754230244"</f>
        <v>8032754230244</v>
      </c>
      <c r="F6082" s="49" t="s">
        <v>3737</v>
      </c>
      <c r="G6082" s="49" t="n">
        <v>0</v>
      </c>
      <c r="H6082" s="0" t="n">
        <v>0</v>
      </c>
      <c r="M6082" s="51" t="s">
        <v>3739</v>
      </c>
      <c r="N6082" s="49" t="n">
        <v>0</v>
      </c>
      <c r="O6082" s="53" t="n">
        <v>45951.6934490741</v>
      </c>
      <c r="P6082" s="53" t="n">
        <v>45977.4724768519</v>
      </c>
      <c r="Q6082" s="53" t="n">
        <v>45951.6934490741</v>
      </c>
      <c r="R6082" s="0" t="n">
        <v>0</v>
      </c>
      <c r="S6082" s="51" t="s">
        <v>2401</v>
      </c>
      <c r="T6082" s="51" t="s">
        <v>2401</v>
      </c>
      <c r="U6082" s="0" t="str">
        <f aca="false">"8032754230244"</f>
        <v>8032754230244</v>
      </c>
      <c r="V6082" s="51" t="s">
        <v>3740</v>
      </c>
      <c r="W6082" s="51" t="s">
        <v>10616</v>
      </c>
      <c r="X6082" s="51" t="s">
        <v>2359</v>
      </c>
    </row>
    <row r="6083" customFormat="false" ht="14.25" hidden="true" customHeight="false" outlineLevel="0" collapsed="false">
      <c r="A6083" s="49" t="s">
        <v>2349</v>
      </c>
      <c r="B6083" s="49" t="s">
        <v>2350</v>
      </c>
      <c r="C6083" s="49" t="s">
        <v>10617</v>
      </c>
      <c r="D6083" s="49" t="s">
        <v>2352</v>
      </c>
      <c r="E6083" s="49" t="str">
        <f aca="false">"8032754230244"</f>
        <v>8032754230244</v>
      </c>
      <c r="F6083" s="49" t="s">
        <v>3737</v>
      </c>
      <c r="G6083" s="49" t="n">
        <v>0</v>
      </c>
      <c r="H6083" s="0" t="n">
        <v>0</v>
      </c>
      <c r="M6083" s="51" t="s">
        <v>3739</v>
      </c>
      <c r="N6083" s="49" t="n">
        <v>0</v>
      </c>
      <c r="O6083" s="53" t="n">
        <v>45951.6916898148</v>
      </c>
      <c r="P6083" s="53" t="n">
        <v>45953.5930092593</v>
      </c>
      <c r="Q6083" s="53" t="n">
        <v>45951.6916898148</v>
      </c>
      <c r="R6083" s="0" t="n">
        <v>0</v>
      </c>
      <c r="S6083" s="51" t="s">
        <v>2401</v>
      </c>
      <c r="T6083" s="51" t="s">
        <v>2401</v>
      </c>
      <c r="U6083" s="0" t="str">
        <f aca="false">"8032754230244"</f>
        <v>8032754230244</v>
      </c>
      <c r="V6083" s="51" t="s">
        <v>3740</v>
      </c>
      <c r="W6083" s="51" t="s">
        <v>6000</v>
      </c>
      <c r="X6083" s="51" t="s">
        <v>2359</v>
      </c>
    </row>
    <row r="6084" customFormat="false" ht="14.25" hidden="true" customHeight="false" outlineLevel="0" collapsed="false">
      <c r="A6084" s="49" t="s">
        <v>2349</v>
      </c>
      <c r="B6084" s="49" t="s">
        <v>2350</v>
      </c>
      <c r="C6084" s="49" t="s">
        <v>10618</v>
      </c>
      <c r="D6084" s="49" t="s">
        <v>2352</v>
      </c>
      <c r="E6084" s="49" t="str">
        <f aca="false">"8908020441070"</f>
        <v>8908020441070</v>
      </c>
      <c r="F6084" s="49" t="s">
        <v>5404</v>
      </c>
      <c r="G6084" s="49" t="n">
        <v>0</v>
      </c>
      <c r="H6084" s="0" t="n">
        <v>0</v>
      </c>
      <c r="M6084" s="51" t="s">
        <v>10619</v>
      </c>
      <c r="N6084" s="49" t="n">
        <v>0</v>
      </c>
      <c r="O6084" s="53" t="n">
        <v>45936.5906481482</v>
      </c>
      <c r="P6084" s="53" t="n">
        <v>45948.3492013889</v>
      </c>
      <c r="Q6084" s="53" t="n">
        <v>45936.5906481482</v>
      </c>
      <c r="R6084" s="0" t="n">
        <v>0</v>
      </c>
      <c r="S6084" s="51" t="s">
        <v>2356</v>
      </c>
      <c r="T6084" s="51" t="s">
        <v>2356</v>
      </c>
      <c r="U6084" s="0" t="str">
        <f aca="false">"8908020441070"</f>
        <v>8908020441070</v>
      </c>
      <c r="V6084" s="51" t="s">
        <v>5386</v>
      </c>
      <c r="W6084" s="51" t="s">
        <v>8301</v>
      </c>
      <c r="X6084" s="51" t="s">
        <v>2359</v>
      </c>
    </row>
    <row r="6085" customFormat="false" ht="14.25" hidden="true" customHeight="false" outlineLevel="0" collapsed="false">
      <c r="A6085" s="49" t="s">
        <v>2349</v>
      </c>
      <c r="B6085" s="49" t="s">
        <v>2350</v>
      </c>
      <c r="C6085" s="49" t="s">
        <v>10620</v>
      </c>
      <c r="D6085" s="49" t="s">
        <v>2352</v>
      </c>
      <c r="E6085" s="49" t="str">
        <f aca="false">"8908020441070"</f>
        <v>8908020441070</v>
      </c>
      <c r="F6085" s="49" t="s">
        <v>5404</v>
      </c>
      <c r="G6085" s="49" t="n">
        <v>0</v>
      </c>
      <c r="H6085" s="0" t="n">
        <v>0</v>
      </c>
      <c r="M6085" s="51" t="s">
        <v>10619</v>
      </c>
      <c r="N6085" s="49" t="n">
        <v>0</v>
      </c>
      <c r="O6085" s="53" t="n">
        <v>45936.5902199074</v>
      </c>
      <c r="P6085" s="53" t="n">
        <v>45960.3564699074</v>
      </c>
      <c r="Q6085" s="53" t="n">
        <v>45936.5902199074</v>
      </c>
      <c r="R6085" s="0" t="n">
        <v>0</v>
      </c>
      <c r="S6085" s="51" t="s">
        <v>2356</v>
      </c>
      <c r="T6085" s="51" t="s">
        <v>2356</v>
      </c>
      <c r="U6085" s="0" t="str">
        <f aca="false">"8908020441070"</f>
        <v>8908020441070</v>
      </c>
      <c r="V6085" s="51" t="s">
        <v>5386</v>
      </c>
      <c r="W6085" s="51" t="s">
        <v>8391</v>
      </c>
      <c r="X6085" s="51" t="s">
        <v>2359</v>
      </c>
    </row>
    <row r="6086" customFormat="false" ht="14.25" hidden="true" customHeight="false" outlineLevel="0" collapsed="false">
      <c r="A6086" s="49" t="s">
        <v>2349</v>
      </c>
      <c r="B6086" s="49" t="s">
        <v>2350</v>
      </c>
      <c r="C6086" s="49" t="s">
        <v>10621</v>
      </c>
      <c r="D6086" s="49" t="s">
        <v>2352</v>
      </c>
      <c r="E6086" s="49" t="str">
        <f aca="false">"8908020441070"</f>
        <v>8908020441070</v>
      </c>
      <c r="F6086" s="49" t="s">
        <v>5404</v>
      </c>
      <c r="G6086" s="49" t="n">
        <v>0</v>
      </c>
      <c r="H6086" s="0" t="n">
        <v>0</v>
      </c>
      <c r="M6086" s="51" t="s">
        <v>10619</v>
      </c>
      <c r="N6086" s="49" t="n">
        <v>0</v>
      </c>
      <c r="O6086" s="53" t="n">
        <v>45936.5899421296</v>
      </c>
      <c r="P6086" s="53" t="n">
        <v>45964.452662037</v>
      </c>
      <c r="Q6086" s="53" t="n">
        <v>45936.5899421296</v>
      </c>
      <c r="R6086" s="0" t="n">
        <v>0</v>
      </c>
      <c r="S6086" s="51" t="s">
        <v>2356</v>
      </c>
      <c r="T6086" s="51" t="s">
        <v>2356</v>
      </c>
      <c r="U6086" s="0" t="str">
        <f aca="false">"8908020441070"</f>
        <v>8908020441070</v>
      </c>
      <c r="V6086" s="51" t="s">
        <v>5386</v>
      </c>
      <c r="W6086" s="51" t="s">
        <v>3963</v>
      </c>
      <c r="X6086" s="51" t="s">
        <v>2359</v>
      </c>
    </row>
    <row r="6087" customFormat="false" ht="14.25" hidden="true" customHeight="false" outlineLevel="0" collapsed="false">
      <c r="A6087" s="49" t="s">
        <v>2349</v>
      </c>
      <c r="B6087" s="49" t="s">
        <v>2350</v>
      </c>
      <c r="C6087" s="49" t="s">
        <v>10622</v>
      </c>
      <c r="D6087" s="49" t="s">
        <v>2352</v>
      </c>
      <c r="E6087" s="49" t="str">
        <f aca="false">"8908020441070"</f>
        <v>8908020441070</v>
      </c>
      <c r="F6087" s="49" t="s">
        <v>5404</v>
      </c>
      <c r="G6087" s="49" t="n">
        <v>0</v>
      </c>
      <c r="H6087" s="0" t="n">
        <v>0</v>
      </c>
      <c r="M6087" s="51" t="s">
        <v>10619</v>
      </c>
      <c r="N6087" s="49" t="n">
        <v>0</v>
      </c>
      <c r="O6087" s="53" t="n">
        <v>45936.5897569444</v>
      </c>
      <c r="P6087" s="53" t="n">
        <v>45971.5112268519</v>
      </c>
      <c r="Q6087" s="53" t="n">
        <v>45936.5897569444</v>
      </c>
      <c r="R6087" s="0" t="n">
        <v>0</v>
      </c>
      <c r="S6087" s="51" t="s">
        <v>2356</v>
      </c>
      <c r="T6087" s="51" t="s">
        <v>2356</v>
      </c>
      <c r="U6087" s="0" t="str">
        <f aca="false">"8908020441070"</f>
        <v>8908020441070</v>
      </c>
      <c r="V6087" s="51" t="s">
        <v>5386</v>
      </c>
      <c r="W6087" s="51" t="s">
        <v>7206</v>
      </c>
      <c r="X6087" s="51" t="s">
        <v>2359</v>
      </c>
    </row>
    <row r="6088" customFormat="false" ht="14.25" hidden="true" customHeight="false" outlineLevel="0" collapsed="false">
      <c r="A6088" s="49" t="s">
        <v>2349</v>
      </c>
      <c r="B6088" s="49" t="s">
        <v>2350</v>
      </c>
      <c r="C6088" s="49" t="s">
        <v>10623</v>
      </c>
      <c r="D6088" s="49" t="s">
        <v>2352</v>
      </c>
      <c r="E6088" s="49" t="str">
        <f aca="false">"8908020441070"</f>
        <v>8908020441070</v>
      </c>
      <c r="F6088" s="49" t="s">
        <v>5404</v>
      </c>
      <c r="G6088" s="49" t="n">
        <v>0</v>
      </c>
      <c r="H6088" s="0" t="n">
        <v>0</v>
      </c>
      <c r="M6088" s="51" t="s">
        <v>10619</v>
      </c>
      <c r="N6088" s="49" t="n">
        <v>0</v>
      </c>
      <c r="O6088" s="53" t="n">
        <v>45936.589537037</v>
      </c>
      <c r="P6088" s="53" t="n">
        <v>45960.3561574074</v>
      </c>
      <c r="Q6088" s="53" t="n">
        <v>45936.589537037</v>
      </c>
      <c r="R6088" s="0" t="n">
        <v>0</v>
      </c>
      <c r="S6088" s="51" t="s">
        <v>2356</v>
      </c>
      <c r="T6088" s="51" t="s">
        <v>2356</v>
      </c>
      <c r="U6088" s="0" t="str">
        <f aca="false">"8908020441070"</f>
        <v>8908020441070</v>
      </c>
      <c r="V6088" s="51" t="s">
        <v>5386</v>
      </c>
      <c r="W6088" s="51" t="s">
        <v>7401</v>
      </c>
      <c r="X6088" s="51" t="s">
        <v>2359</v>
      </c>
    </row>
    <row r="6089" customFormat="false" ht="14.25" hidden="true" customHeight="false" outlineLevel="0" collapsed="false">
      <c r="A6089" s="49" t="s">
        <v>2349</v>
      </c>
      <c r="B6089" s="49" t="s">
        <v>2350</v>
      </c>
      <c r="C6089" s="49" t="s">
        <v>10624</v>
      </c>
      <c r="D6089" s="49" t="s">
        <v>2352</v>
      </c>
      <c r="E6089" s="49" t="str">
        <f aca="false">"8908020441070"</f>
        <v>8908020441070</v>
      </c>
      <c r="F6089" s="49" t="s">
        <v>5404</v>
      </c>
      <c r="G6089" s="49" t="n">
        <v>0</v>
      </c>
      <c r="H6089" s="0" t="n">
        <v>0</v>
      </c>
      <c r="M6089" s="51" t="s">
        <v>10619</v>
      </c>
      <c r="N6089" s="49" t="n">
        <v>0</v>
      </c>
      <c r="O6089" s="53" t="n">
        <v>45936.5893171296</v>
      </c>
      <c r="P6089" s="53" t="n">
        <v>45939.3976157407</v>
      </c>
      <c r="Q6089" s="53" t="n">
        <v>45936.5893171296</v>
      </c>
      <c r="R6089" s="0" t="n">
        <v>0</v>
      </c>
      <c r="S6089" s="51" t="s">
        <v>2356</v>
      </c>
      <c r="T6089" s="51" t="s">
        <v>2356</v>
      </c>
      <c r="U6089" s="0" t="str">
        <f aca="false">"8908020441070"</f>
        <v>8908020441070</v>
      </c>
      <c r="V6089" s="51" t="s">
        <v>5386</v>
      </c>
      <c r="W6089" s="51" t="s">
        <v>5748</v>
      </c>
      <c r="X6089" s="51" t="s">
        <v>2359</v>
      </c>
    </row>
    <row r="6090" customFormat="false" ht="14.25" hidden="true" customHeight="false" outlineLevel="0" collapsed="false">
      <c r="A6090" s="49" t="s">
        <v>2349</v>
      </c>
      <c r="B6090" s="49" t="s">
        <v>2350</v>
      </c>
      <c r="C6090" s="49" t="s">
        <v>10625</v>
      </c>
      <c r="D6090" s="49" t="s">
        <v>2352</v>
      </c>
      <c r="E6090" s="49" t="str">
        <f aca="false">"8908020441070"</f>
        <v>8908020441070</v>
      </c>
      <c r="F6090" s="49" t="s">
        <v>5404</v>
      </c>
      <c r="G6090" s="49" t="n">
        <v>0</v>
      </c>
      <c r="H6090" s="0" t="n">
        <v>0</v>
      </c>
      <c r="M6090" s="51" t="s">
        <v>10619</v>
      </c>
      <c r="N6090" s="49" t="n">
        <v>0</v>
      </c>
      <c r="O6090" s="53" t="n">
        <v>45936.5890740741</v>
      </c>
      <c r="P6090" s="53" t="n">
        <v>45942.4217013889</v>
      </c>
      <c r="Q6090" s="53" t="n">
        <v>45936.5890740741</v>
      </c>
      <c r="R6090" s="0" t="n">
        <v>0</v>
      </c>
      <c r="S6090" s="51" t="s">
        <v>2356</v>
      </c>
      <c r="T6090" s="51" t="s">
        <v>2356</v>
      </c>
      <c r="U6090" s="0" t="str">
        <f aca="false">"8908020441070"</f>
        <v>8908020441070</v>
      </c>
      <c r="V6090" s="51" t="s">
        <v>5386</v>
      </c>
      <c r="W6090" s="51" t="s">
        <v>5748</v>
      </c>
      <c r="X6090" s="51" t="s">
        <v>2359</v>
      </c>
    </row>
    <row r="6091" customFormat="false" ht="14.25" hidden="true" customHeight="false" outlineLevel="0" collapsed="false">
      <c r="A6091" s="49" t="s">
        <v>2349</v>
      </c>
      <c r="B6091" s="49" t="s">
        <v>2350</v>
      </c>
      <c r="C6091" s="49" t="s">
        <v>10626</v>
      </c>
      <c r="D6091" s="49" t="s">
        <v>2352</v>
      </c>
      <c r="E6091" s="49" t="str">
        <f aca="false">"8908020441070"</f>
        <v>8908020441070</v>
      </c>
      <c r="F6091" s="49" t="s">
        <v>5404</v>
      </c>
      <c r="G6091" s="49" t="n">
        <v>0</v>
      </c>
      <c r="H6091" s="0" t="n">
        <v>0</v>
      </c>
      <c r="M6091" s="51" t="s">
        <v>10619</v>
      </c>
      <c r="N6091" s="49" t="n">
        <v>0</v>
      </c>
      <c r="O6091" s="53" t="n">
        <v>45936.5887731482</v>
      </c>
      <c r="P6091" s="53" t="n">
        <v>45943.6519791667</v>
      </c>
      <c r="Q6091" s="53" t="n">
        <v>45936.5887731482</v>
      </c>
      <c r="R6091" s="0" t="n">
        <v>0</v>
      </c>
      <c r="S6091" s="51" t="s">
        <v>2356</v>
      </c>
      <c r="T6091" s="51" t="s">
        <v>2356</v>
      </c>
      <c r="U6091" s="0" t="str">
        <f aca="false">"8908020441070"</f>
        <v>8908020441070</v>
      </c>
      <c r="V6091" s="51" t="s">
        <v>5386</v>
      </c>
      <c r="W6091" s="51" t="s">
        <v>8229</v>
      </c>
      <c r="X6091" s="51" t="s">
        <v>2359</v>
      </c>
    </row>
    <row r="6092" customFormat="false" ht="14.25" hidden="true" customHeight="false" outlineLevel="0" collapsed="false">
      <c r="A6092" s="49" t="s">
        <v>2349</v>
      </c>
      <c r="B6092" s="49" t="s">
        <v>2350</v>
      </c>
      <c r="C6092" s="49" t="s">
        <v>10627</v>
      </c>
      <c r="D6092" s="49" t="s">
        <v>2352</v>
      </c>
      <c r="E6092" s="49" t="str">
        <f aca="false">"8908020441070"</f>
        <v>8908020441070</v>
      </c>
      <c r="F6092" s="49" t="s">
        <v>5404</v>
      </c>
      <c r="G6092" s="49" t="n">
        <v>0</v>
      </c>
      <c r="H6092" s="0" t="n">
        <v>0</v>
      </c>
      <c r="M6092" s="51" t="s">
        <v>10619</v>
      </c>
      <c r="N6092" s="49" t="n">
        <v>0</v>
      </c>
      <c r="O6092" s="53" t="n">
        <v>45936.5885069444</v>
      </c>
      <c r="P6092" s="53" t="n">
        <v>45951.5884953704</v>
      </c>
      <c r="Q6092" s="53" t="n">
        <v>45936.5885069444</v>
      </c>
      <c r="R6092" s="0" t="n">
        <v>0</v>
      </c>
      <c r="S6092" s="51" t="s">
        <v>2356</v>
      </c>
      <c r="T6092" s="51" t="s">
        <v>2356</v>
      </c>
      <c r="U6092" s="0" t="str">
        <f aca="false">"8908020441070"</f>
        <v>8908020441070</v>
      </c>
      <c r="V6092" s="51" t="s">
        <v>5386</v>
      </c>
      <c r="W6092" s="51" t="s">
        <v>4792</v>
      </c>
      <c r="X6092" s="51" t="s">
        <v>2359</v>
      </c>
    </row>
    <row r="6093" customFormat="false" ht="14.25" hidden="true" customHeight="false" outlineLevel="0" collapsed="false">
      <c r="A6093" s="49" t="s">
        <v>2349</v>
      </c>
      <c r="B6093" s="49" t="s">
        <v>2350</v>
      </c>
      <c r="C6093" s="49" t="s">
        <v>10628</v>
      </c>
      <c r="D6093" s="49" t="s">
        <v>2352</v>
      </c>
      <c r="E6093" s="49" t="str">
        <f aca="false">"8908020441070"</f>
        <v>8908020441070</v>
      </c>
      <c r="F6093" s="49" t="s">
        <v>5404</v>
      </c>
      <c r="G6093" s="49" t="n">
        <v>0</v>
      </c>
      <c r="H6093" s="0" t="n">
        <v>0</v>
      </c>
      <c r="M6093" s="51" t="s">
        <v>10619</v>
      </c>
      <c r="N6093" s="49" t="n">
        <v>0</v>
      </c>
      <c r="O6093" s="53" t="n">
        <v>45936.5881481482</v>
      </c>
      <c r="P6093" s="53" t="n">
        <v>45951.58875</v>
      </c>
      <c r="Q6093" s="53" t="n">
        <v>45936.5881481482</v>
      </c>
      <c r="R6093" s="0" t="n">
        <v>0</v>
      </c>
      <c r="S6093" s="51" t="s">
        <v>2356</v>
      </c>
      <c r="T6093" s="51" t="s">
        <v>2356</v>
      </c>
      <c r="U6093" s="0" t="str">
        <f aca="false">"8908020441070"</f>
        <v>8908020441070</v>
      </c>
      <c r="V6093" s="51" t="s">
        <v>5386</v>
      </c>
      <c r="W6093" s="51" t="s">
        <v>5397</v>
      </c>
      <c r="X6093" s="51" t="s">
        <v>2359</v>
      </c>
    </row>
    <row r="6094" customFormat="false" ht="14.25" hidden="true" customHeight="false" outlineLevel="0" collapsed="false">
      <c r="A6094" s="49" t="s">
        <v>2349</v>
      </c>
      <c r="B6094" s="49" t="s">
        <v>2350</v>
      </c>
      <c r="C6094" s="49" t="str">
        <f aca="false">"12364453"</f>
        <v>12364453</v>
      </c>
      <c r="D6094" s="49" t="s">
        <v>2352</v>
      </c>
      <c r="E6094" s="49" t="str">
        <f aca="false">"12364453"</f>
        <v>12364453</v>
      </c>
      <c r="F6094" s="49" t="s">
        <v>10342</v>
      </c>
      <c r="G6094" s="49" t="n">
        <v>0</v>
      </c>
      <c r="H6094" s="0" t="n">
        <v>0</v>
      </c>
      <c r="M6094" s="51" t="s">
        <v>10629</v>
      </c>
      <c r="N6094" s="49" t="n">
        <v>0</v>
      </c>
      <c r="O6094" s="53" t="n">
        <v>45937.3642939815</v>
      </c>
      <c r="P6094" s="53" t="n">
        <v>45941.5604050926</v>
      </c>
      <c r="Q6094" s="53" t="n">
        <v>45937.3642939815</v>
      </c>
      <c r="R6094" s="0" t="n">
        <v>0</v>
      </c>
      <c r="S6094" s="51" t="s">
        <v>2416</v>
      </c>
      <c r="T6094" s="51" t="s">
        <v>2416</v>
      </c>
      <c r="U6094" s="0" t="str">
        <f aca="false">"12364453"</f>
        <v>12364453</v>
      </c>
      <c r="V6094" s="51" t="s">
        <v>2365</v>
      </c>
      <c r="W6094" s="51" t="s">
        <v>3995</v>
      </c>
      <c r="X6094" s="51" t="s">
        <v>2359</v>
      </c>
    </row>
    <row r="6095" customFormat="false" ht="14.25" hidden="true" customHeight="false" outlineLevel="0" collapsed="false">
      <c r="A6095" s="49" t="s">
        <v>2349</v>
      </c>
      <c r="B6095" s="49" t="s">
        <v>2350</v>
      </c>
      <c r="C6095" s="49" t="s">
        <v>10630</v>
      </c>
      <c r="D6095" s="49" t="s">
        <v>2352</v>
      </c>
      <c r="E6095" s="49" t="str">
        <f aca="false">"12264240"</f>
        <v>12264240</v>
      </c>
      <c r="F6095" s="49" t="s">
        <v>10340</v>
      </c>
      <c r="G6095" s="49" t="n">
        <v>0</v>
      </c>
      <c r="H6095" s="0" t="n">
        <v>0</v>
      </c>
      <c r="M6095" s="51" t="s">
        <v>10629</v>
      </c>
      <c r="N6095" s="49" t="n">
        <v>0</v>
      </c>
      <c r="O6095" s="53" t="n">
        <v>45937.3599537037</v>
      </c>
      <c r="P6095" s="53" t="n">
        <v>45941.5631944445</v>
      </c>
      <c r="Q6095" s="53" t="n">
        <v>45937.3599537037</v>
      </c>
      <c r="R6095" s="0" t="n">
        <v>0</v>
      </c>
      <c r="S6095" s="51" t="s">
        <v>2416</v>
      </c>
      <c r="T6095" s="51" t="s">
        <v>2416</v>
      </c>
      <c r="U6095" s="0" t="str">
        <f aca="false">"12264240"</f>
        <v>12264240</v>
      </c>
      <c r="V6095" s="51" t="s">
        <v>2365</v>
      </c>
      <c r="W6095" s="51" t="s">
        <v>5532</v>
      </c>
      <c r="X6095" s="51" t="s">
        <v>2359</v>
      </c>
    </row>
    <row r="6096" customFormat="false" ht="14.25" hidden="true" customHeight="false" outlineLevel="0" collapsed="false">
      <c r="A6096" s="49" t="s">
        <v>2349</v>
      </c>
      <c r="B6096" s="49" t="s">
        <v>2350</v>
      </c>
      <c r="C6096" s="49" t="s">
        <v>10631</v>
      </c>
      <c r="D6096" s="49" t="s">
        <v>2352</v>
      </c>
      <c r="E6096" s="49" t="str">
        <f aca="false">"12505166"</f>
        <v>12505166</v>
      </c>
      <c r="F6096" s="49" t="s">
        <v>10336</v>
      </c>
      <c r="G6096" s="49" t="n">
        <v>0</v>
      </c>
      <c r="H6096" s="0" t="n">
        <v>0</v>
      </c>
      <c r="M6096" s="51" t="s">
        <v>10629</v>
      </c>
      <c r="N6096" s="49" t="n">
        <v>0</v>
      </c>
      <c r="O6096" s="53" t="n">
        <v>45937.3609259259</v>
      </c>
      <c r="P6096" s="53" t="n">
        <v>45941.5627199074</v>
      </c>
      <c r="Q6096" s="53" t="n">
        <v>45937.3609259259</v>
      </c>
      <c r="R6096" s="0" t="n">
        <v>0</v>
      </c>
      <c r="S6096" s="51" t="s">
        <v>2416</v>
      </c>
      <c r="T6096" s="51" t="s">
        <v>2416</v>
      </c>
      <c r="U6096" s="0" t="str">
        <f aca="false">"12505166"</f>
        <v>12505166</v>
      </c>
      <c r="V6096" s="51" t="s">
        <v>2365</v>
      </c>
      <c r="W6096" s="51" t="s">
        <v>5666</v>
      </c>
      <c r="X6096" s="51" t="s">
        <v>2359</v>
      </c>
    </row>
    <row r="6097" customFormat="false" ht="14.25" hidden="true" customHeight="false" outlineLevel="0" collapsed="false">
      <c r="A6097" s="49" t="s">
        <v>2349</v>
      </c>
      <c r="B6097" s="49" t="s">
        <v>2350</v>
      </c>
      <c r="C6097" s="49" t="s">
        <v>10632</v>
      </c>
      <c r="D6097" s="49" t="s">
        <v>2352</v>
      </c>
      <c r="E6097" s="49" t="str">
        <f aca="false">"12235549"</f>
        <v>12235549</v>
      </c>
      <c r="F6097" s="49" t="s">
        <v>10338</v>
      </c>
      <c r="G6097" s="49" t="n">
        <v>0</v>
      </c>
      <c r="H6097" s="0" t="n">
        <v>0</v>
      </c>
      <c r="M6097" s="51" t="s">
        <v>10629</v>
      </c>
      <c r="N6097" s="49" t="n">
        <v>0</v>
      </c>
      <c r="O6097" s="53" t="n">
        <v>45937.3620717593</v>
      </c>
      <c r="P6097" s="53" t="n">
        <v>45941.5630439815</v>
      </c>
      <c r="Q6097" s="53" t="n">
        <v>45937.3620717593</v>
      </c>
      <c r="R6097" s="0" t="n">
        <v>0</v>
      </c>
      <c r="S6097" s="51" t="s">
        <v>2416</v>
      </c>
      <c r="T6097" s="51" t="s">
        <v>2416</v>
      </c>
      <c r="U6097" s="0" t="str">
        <f aca="false">"12235549"</f>
        <v>12235549</v>
      </c>
      <c r="V6097" s="51" t="s">
        <v>2365</v>
      </c>
      <c r="W6097" s="51" t="s">
        <v>5532</v>
      </c>
      <c r="X6097" s="51" t="s">
        <v>2359</v>
      </c>
    </row>
    <row r="6098" customFormat="false" ht="14.25" hidden="true" customHeight="false" outlineLevel="0" collapsed="false">
      <c r="A6098" s="49" t="s">
        <v>2349</v>
      </c>
      <c r="B6098" s="49" t="s">
        <v>2350</v>
      </c>
      <c r="C6098" s="49" t="s">
        <v>10633</v>
      </c>
      <c r="D6098" s="49" t="s">
        <v>2352</v>
      </c>
      <c r="E6098" s="49" t="str">
        <f aca="false">"12362499"</f>
        <v>12362499</v>
      </c>
      <c r="F6098" s="49" t="s">
        <v>10332</v>
      </c>
      <c r="G6098" s="49" t="n">
        <v>0</v>
      </c>
      <c r="H6098" s="0" t="n">
        <v>0</v>
      </c>
      <c r="M6098" s="51" t="s">
        <v>10629</v>
      </c>
      <c r="N6098" s="49" t="n">
        <v>0</v>
      </c>
      <c r="O6098" s="53" t="n">
        <v>45937.3630092593</v>
      </c>
      <c r="P6098" s="53" t="n">
        <v>45941.5628819445</v>
      </c>
      <c r="Q6098" s="53" t="n">
        <v>45937.3630092593</v>
      </c>
      <c r="R6098" s="0" t="n">
        <v>0</v>
      </c>
      <c r="S6098" s="51" t="s">
        <v>2416</v>
      </c>
      <c r="T6098" s="51" t="s">
        <v>2416</v>
      </c>
      <c r="U6098" s="0" t="str">
        <f aca="false">"12362499"</f>
        <v>12362499</v>
      </c>
      <c r="V6098" s="51" t="s">
        <v>2365</v>
      </c>
      <c r="W6098" s="51" t="s">
        <v>5896</v>
      </c>
      <c r="X6098" s="51" t="s">
        <v>2359</v>
      </c>
    </row>
    <row r="6099" customFormat="false" ht="14.25" hidden="true" customHeight="false" outlineLevel="0" collapsed="false">
      <c r="A6099" s="49" t="s">
        <v>2349</v>
      </c>
      <c r="B6099" s="49" t="s">
        <v>2350</v>
      </c>
      <c r="C6099" s="49" t="s">
        <v>10634</v>
      </c>
      <c r="D6099" s="49" t="s">
        <v>2352</v>
      </c>
      <c r="E6099" s="49" t="str">
        <f aca="false">"195739"</f>
        <v>195739</v>
      </c>
      <c r="F6099" s="49" t="s">
        <v>10635</v>
      </c>
      <c r="G6099" s="49" t="n">
        <v>0</v>
      </c>
      <c r="H6099" s="0" t="n">
        <v>0</v>
      </c>
      <c r="M6099" s="51" t="s">
        <v>10636</v>
      </c>
      <c r="N6099" s="49" t="n">
        <v>0</v>
      </c>
      <c r="O6099" s="53" t="n">
        <v>45957.3197916667</v>
      </c>
      <c r="P6099" s="53" t="n">
        <v>45992.3809375</v>
      </c>
      <c r="Q6099" s="53" t="n">
        <v>45957.3197916667</v>
      </c>
      <c r="R6099" s="0" t="n">
        <v>0</v>
      </c>
      <c r="S6099" s="51" t="s">
        <v>2356</v>
      </c>
      <c r="T6099" s="51" t="s">
        <v>2356</v>
      </c>
      <c r="U6099" s="0" t="str">
        <f aca="false">"195739"</f>
        <v>195739</v>
      </c>
      <c r="V6099" s="51" t="s">
        <v>2365</v>
      </c>
      <c r="W6099" s="51" t="s">
        <v>9683</v>
      </c>
      <c r="X6099" s="51" t="s">
        <v>2359</v>
      </c>
    </row>
    <row r="6100" customFormat="false" ht="14.25" hidden="true" customHeight="false" outlineLevel="0" collapsed="false">
      <c r="A6100" s="49" t="s">
        <v>2349</v>
      </c>
      <c r="B6100" s="49" t="s">
        <v>2350</v>
      </c>
      <c r="C6100" s="49" t="s">
        <v>10637</v>
      </c>
      <c r="D6100" s="49" t="s">
        <v>2352</v>
      </c>
      <c r="E6100" s="49" t="str">
        <f aca="false">"195739"</f>
        <v>195739</v>
      </c>
      <c r="F6100" s="49" t="s">
        <v>10635</v>
      </c>
      <c r="G6100" s="49" t="n">
        <v>0</v>
      </c>
      <c r="H6100" s="0" t="n">
        <v>0</v>
      </c>
      <c r="M6100" s="51" t="s">
        <v>10636</v>
      </c>
      <c r="N6100" s="49" t="n">
        <v>0</v>
      </c>
      <c r="O6100" s="53" t="n">
        <v>45957.3195486111</v>
      </c>
      <c r="P6100" s="53" t="n">
        <v>45992.381099537</v>
      </c>
      <c r="Q6100" s="53" t="n">
        <v>45957.3195486111</v>
      </c>
      <c r="R6100" s="0" t="n">
        <v>0</v>
      </c>
      <c r="S6100" s="51" t="s">
        <v>2356</v>
      </c>
      <c r="T6100" s="51" t="s">
        <v>2356</v>
      </c>
      <c r="U6100" s="0" t="str">
        <f aca="false">"195739"</f>
        <v>195739</v>
      </c>
      <c r="V6100" s="51" t="s">
        <v>2365</v>
      </c>
      <c r="W6100" s="51" t="s">
        <v>3705</v>
      </c>
      <c r="X6100" s="51" t="s">
        <v>2359</v>
      </c>
    </row>
    <row r="6101" customFormat="false" ht="14.25" hidden="true" customHeight="false" outlineLevel="0" collapsed="false">
      <c r="A6101" s="49" t="s">
        <v>2349</v>
      </c>
      <c r="B6101" s="49" t="s">
        <v>2350</v>
      </c>
      <c r="C6101" s="49" t="s">
        <v>10638</v>
      </c>
      <c r="D6101" s="49" t="s">
        <v>2352</v>
      </c>
      <c r="E6101" s="49" t="str">
        <f aca="false">"195739"</f>
        <v>195739</v>
      </c>
      <c r="F6101" s="49" t="s">
        <v>10635</v>
      </c>
      <c r="G6101" s="49" t="n">
        <v>0</v>
      </c>
      <c r="H6101" s="0" t="n">
        <v>0</v>
      </c>
      <c r="M6101" s="51" t="s">
        <v>10636</v>
      </c>
      <c r="N6101" s="49" t="n">
        <v>0</v>
      </c>
      <c r="O6101" s="53" t="n">
        <v>45957.3192708333</v>
      </c>
      <c r="P6101" s="53" t="n">
        <v>45992.3808217593</v>
      </c>
      <c r="Q6101" s="53" t="n">
        <v>45957.3192708333</v>
      </c>
      <c r="R6101" s="0" t="n">
        <v>0</v>
      </c>
      <c r="S6101" s="51" t="s">
        <v>2356</v>
      </c>
      <c r="T6101" s="51" t="s">
        <v>2356</v>
      </c>
      <c r="U6101" s="0" t="str">
        <f aca="false">"195739"</f>
        <v>195739</v>
      </c>
      <c r="V6101" s="51" t="s">
        <v>2365</v>
      </c>
      <c r="W6101" s="51" t="s">
        <v>10513</v>
      </c>
      <c r="X6101" s="51" t="s">
        <v>2359</v>
      </c>
    </row>
    <row r="6102" customFormat="false" ht="14.25" hidden="true" customHeight="false" outlineLevel="0" collapsed="false">
      <c r="A6102" s="49" t="s">
        <v>2349</v>
      </c>
      <c r="B6102" s="49" t="s">
        <v>2350</v>
      </c>
      <c r="C6102" s="49" t="s">
        <v>10639</v>
      </c>
      <c r="D6102" s="49" t="s">
        <v>2352</v>
      </c>
      <c r="E6102" s="49" t="str">
        <f aca="false">"195739"</f>
        <v>195739</v>
      </c>
      <c r="F6102" s="49" t="s">
        <v>10635</v>
      </c>
      <c r="G6102" s="49" t="n">
        <v>0</v>
      </c>
      <c r="H6102" s="0" t="n">
        <v>0</v>
      </c>
      <c r="M6102" s="51" t="s">
        <v>10636</v>
      </c>
      <c r="N6102" s="49" t="n">
        <v>0</v>
      </c>
      <c r="O6102" s="53" t="n">
        <v>45957.3189236111</v>
      </c>
      <c r="P6102" s="53" t="n">
        <v>45992.3800231482</v>
      </c>
      <c r="Q6102" s="53" t="n">
        <v>45957.3189236111</v>
      </c>
      <c r="R6102" s="0" t="n">
        <v>0</v>
      </c>
      <c r="S6102" s="51" t="s">
        <v>2356</v>
      </c>
      <c r="T6102" s="51" t="s">
        <v>2356</v>
      </c>
      <c r="U6102" s="0" t="str">
        <f aca="false">"195739"</f>
        <v>195739</v>
      </c>
      <c r="V6102" s="51" t="s">
        <v>2365</v>
      </c>
      <c r="W6102" s="51" t="s">
        <v>5750</v>
      </c>
      <c r="X6102" s="51" t="s">
        <v>2359</v>
      </c>
    </row>
    <row r="6103" customFormat="false" ht="17.55" hidden="true" customHeight="false" outlineLevel="0" collapsed="false">
      <c r="A6103" s="49" t="s">
        <v>2349</v>
      </c>
      <c r="B6103" s="49" t="s">
        <v>2350</v>
      </c>
      <c r="C6103" s="49" t="s">
        <v>10640</v>
      </c>
      <c r="D6103" s="49" t="s">
        <v>2352</v>
      </c>
      <c r="E6103" s="49" t="str">
        <f aca="false">"1000007564"</f>
        <v>1000007564</v>
      </c>
      <c r="F6103" s="49" t="s">
        <v>10641</v>
      </c>
      <c r="G6103" s="49" t="n">
        <v>0</v>
      </c>
      <c r="H6103" s="0" t="n">
        <v>0</v>
      </c>
      <c r="M6103" s="51" t="s">
        <v>10636</v>
      </c>
      <c r="N6103" s="49" t="n">
        <v>0</v>
      </c>
      <c r="O6103" s="53" t="n">
        <v>45957.3166087963</v>
      </c>
      <c r="P6103" s="53" t="n">
        <v>46014.6238888889</v>
      </c>
      <c r="Q6103" s="53" t="n">
        <v>45957.3166087963</v>
      </c>
      <c r="R6103" s="0" t="n">
        <v>0</v>
      </c>
      <c r="S6103" s="51" t="s">
        <v>2356</v>
      </c>
      <c r="T6103" s="51" t="s">
        <v>2356</v>
      </c>
      <c r="U6103" s="0" t="str">
        <f aca="false">"1000007564"</f>
        <v>1000007564</v>
      </c>
      <c r="V6103" s="51" t="s">
        <v>2365</v>
      </c>
      <c r="W6103" s="51" t="s">
        <v>3764</v>
      </c>
      <c r="X6103" s="51" t="s">
        <v>2359</v>
      </c>
    </row>
    <row r="6104" customFormat="false" ht="14.25" hidden="true" customHeight="false" outlineLevel="0" collapsed="false">
      <c r="A6104" s="49" t="s">
        <v>2349</v>
      </c>
      <c r="B6104" s="49" t="s">
        <v>2350</v>
      </c>
      <c r="C6104" s="49" t="s">
        <v>10642</v>
      </c>
      <c r="D6104" s="49" t="s">
        <v>2352</v>
      </c>
      <c r="E6104" s="49" t="str">
        <f aca="false">"1000004386"</f>
        <v>1000004386</v>
      </c>
      <c r="F6104" s="49" t="s">
        <v>10643</v>
      </c>
      <c r="G6104" s="49" t="n">
        <v>0</v>
      </c>
      <c r="H6104" s="0" t="n">
        <v>0</v>
      </c>
      <c r="M6104" s="51" t="s">
        <v>10636</v>
      </c>
      <c r="N6104" s="49" t="n">
        <v>0</v>
      </c>
      <c r="O6104" s="53" t="n">
        <v>45957.3179050926</v>
      </c>
      <c r="P6104" s="53" t="n">
        <v>46014.6241550926</v>
      </c>
      <c r="Q6104" s="53" t="n">
        <v>45957.3179050926</v>
      </c>
      <c r="R6104" s="0" t="n">
        <v>0</v>
      </c>
      <c r="S6104" s="51" t="s">
        <v>2356</v>
      </c>
      <c r="T6104" s="51" t="s">
        <v>2356</v>
      </c>
      <c r="U6104" s="0" t="str">
        <f aca="false">"1000004386"</f>
        <v>1000004386</v>
      </c>
      <c r="V6104" s="51" t="s">
        <v>10644</v>
      </c>
      <c r="W6104" s="51" t="s">
        <v>4160</v>
      </c>
      <c r="X6104" s="51" t="s">
        <v>2359</v>
      </c>
    </row>
    <row r="6105" customFormat="false" ht="14.25" hidden="true" customHeight="false" outlineLevel="0" collapsed="false">
      <c r="A6105" s="49" t="s">
        <v>2349</v>
      </c>
      <c r="B6105" s="49" t="s">
        <v>2350</v>
      </c>
      <c r="C6105" s="49" t="s">
        <v>10645</v>
      </c>
      <c r="D6105" s="49" t="s">
        <v>2352</v>
      </c>
      <c r="E6105" s="49" t="str">
        <f aca="false">"1000012337"</f>
        <v>1000012337</v>
      </c>
      <c r="F6105" s="49" t="s">
        <v>10646</v>
      </c>
      <c r="G6105" s="49" t="n">
        <v>0</v>
      </c>
      <c r="H6105" s="0" t="n">
        <v>0</v>
      </c>
      <c r="M6105" s="51" t="s">
        <v>10636</v>
      </c>
      <c r="N6105" s="49" t="n">
        <v>0</v>
      </c>
      <c r="O6105" s="53" t="n">
        <v>45957.3155902778</v>
      </c>
      <c r="P6105" s="53" t="n">
        <v>46012.647037037</v>
      </c>
      <c r="Q6105" s="53" t="n">
        <v>45957.3155902778</v>
      </c>
      <c r="R6105" s="0" t="n">
        <v>0</v>
      </c>
      <c r="S6105" s="51" t="s">
        <v>2356</v>
      </c>
      <c r="T6105" s="51" t="s">
        <v>2356</v>
      </c>
      <c r="U6105" s="0" t="str">
        <f aca="false">"1000012337"</f>
        <v>1000012337</v>
      </c>
      <c r="V6105" s="51" t="s">
        <v>2365</v>
      </c>
      <c r="W6105" s="51" t="s">
        <v>6860</v>
      </c>
      <c r="X6105" s="51" t="s">
        <v>2359</v>
      </c>
    </row>
    <row r="6106" customFormat="false" ht="14.25" hidden="true" customHeight="false" outlineLevel="0" collapsed="false">
      <c r="A6106" s="49" t="s">
        <v>2349</v>
      </c>
      <c r="B6106" s="49" t="s">
        <v>2350</v>
      </c>
      <c r="C6106" s="49" t="s">
        <v>10647</v>
      </c>
      <c r="D6106" s="49" t="s">
        <v>2352</v>
      </c>
      <c r="E6106" s="49" t="str">
        <f aca="false">"1000012337"</f>
        <v>1000012337</v>
      </c>
      <c r="F6106" s="49" t="s">
        <v>10646</v>
      </c>
      <c r="G6106" s="49" t="n">
        <v>0</v>
      </c>
      <c r="H6106" s="0" t="n">
        <v>0</v>
      </c>
      <c r="M6106" s="51" t="s">
        <v>10636</v>
      </c>
      <c r="N6106" s="49" t="n">
        <v>0</v>
      </c>
      <c r="O6106" s="53" t="n">
        <v>45957.3150925926</v>
      </c>
      <c r="P6106" s="53" t="n">
        <v>45976.4343865741</v>
      </c>
      <c r="Q6106" s="53" t="n">
        <v>45957.3150925926</v>
      </c>
      <c r="R6106" s="0" t="n">
        <v>0</v>
      </c>
      <c r="S6106" s="51" t="s">
        <v>2356</v>
      </c>
      <c r="T6106" s="51" t="s">
        <v>2356</v>
      </c>
      <c r="U6106" s="0" t="str">
        <f aca="false">"1000012337"</f>
        <v>1000012337</v>
      </c>
      <c r="V6106" s="51" t="s">
        <v>2365</v>
      </c>
      <c r="W6106" s="51" t="s">
        <v>5134</v>
      </c>
      <c r="X6106" s="51" t="s">
        <v>2359</v>
      </c>
    </row>
    <row r="6107" customFormat="false" ht="14.25" hidden="true" customHeight="false" outlineLevel="0" collapsed="false">
      <c r="A6107" s="49" t="s">
        <v>2349</v>
      </c>
      <c r="B6107" s="49" t="s">
        <v>2350</v>
      </c>
      <c r="C6107" s="49" t="s">
        <v>10648</v>
      </c>
      <c r="D6107" s="49" t="s">
        <v>2352</v>
      </c>
      <c r="E6107" s="49" t="str">
        <f aca="false">"1000008022"</f>
        <v>1000008022</v>
      </c>
      <c r="F6107" s="49" t="s">
        <v>10649</v>
      </c>
      <c r="G6107" s="49" t="n">
        <v>0</v>
      </c>
      <c r="H6107" s="0" t="n">
        <v>0</v>
      </c>
      <c r="M6107" s="51" t="s">
        <v>10636</v>
      </c>
      <c r="N6107" s="49" t="n">
        <v>0</v>
      </c>
      <c r="O6107" s="53" t="n">
        <v>45957.3138078704</v>
      </c>
      <c r="P6107" s="53" t="n">
        <v>46040.4497106482</v>
      </c>
      <c r="Q6107" s="53" t="n">
        <v>45957.3138078704</v>
      </c>
      <c r="R6107" s="0" t="n">
        <v>0</v>
      </c>
      <c r="S6107" s="51" t="s">
        <v>2356</v>
      </c>
      <c r="T6107" s="51" t="s">
        <v>2356</v>
      </c>
      <c r="U6107" s="0" t="str">
        <f aca="false">"1000008022"</f>
        <v>1000008022</v>
      </c>
      <c r="V6107" s="51" t="s">
        <v>2365</v>
      </c>
      <c r="W6107" s="51" t="s">
        <v>5484</v>
      </c>
      <c r="X6107" s="51" t="s">
        <v>2359</v>
      </c>
    </row>
    <row r="6108" customFormat="false" ht="14.25" hidden="true" customHeight="false" outlineLevel="0" collapsed="false">
      <c r="A6108" s="49" t="s">
        <v>2349</v>
      </c>
      <c r="B6108" s="49" t="s">
        <v>2350</v>
      </c>
      <c r="C6108" s="49" t="s">
        <v>10650</v>
      </c>
      <c r="D6108" s="49" t="s">
        <v>2352</v>
      </c>
      <c r="E6108" s="49" t="str">
        <f aca="false">"1000010375"</f>
        <v>1000010375</v>
      </c>
      <c r="F6108" s="49" t="s">
        <v>10651</v>
      </c>
      <c r="G6108" s="49" t="n">
        <v>0</v>
      </c>
      <c r="H6108" s="0" t="n">
        <v>0</v>
      </c>
      <c r="M6108" s="51" t="s">
        <v>10636</v>
      </c>
      <c r="N6108" s="49" t="n">
        <v>0</v>
      </c>
      <c r="O6108" s="53" t="n">
        <v>45957.3125925926</v>
      </c>
      <c r="P6108" s="53" t="n">
        <v>46036.6685763889</v>
      </c>
      <c r="Q6108" s="53" t="n">
        <v>45957.3125925926</v>
      </c>
      <c r="R6108" s="0" t="n">
        <v>0</v>
      </c>
      <c r="S6108" s="51" t="s">
        <v>2356</v>
      </c>
      <c r="T6108" s="51" t="s">
        <v>2356</v>
      </c>
      <c r="U6108" s="0" t="str">
        <f aca="false">"1000010375"</f>
        <v>1000010375</v>
      </c>
      <c r="V6108" s="51" t="s">
        <v>2365</v>
      </c>
      <c r="W6108" s="51" t="s">
        <v>4144</v>
      </c>
      <c r="X6108" s="51" t="s">
        <v>2359</v>
      </c>
    </row>
    <row r="6109" customFormat="false" ht="14.25" hidden="true" customHeight="false" outlineLevel="0" collapsed="false">
      <c r="A6109" s="49" t="s">
        <v>2349</v>
      </c>
      <c r="B6109" s="49" t="s">
        <v>2350</v>
      </c>
      <c r="C6109" s="49" t="s">
        <v>10652</v>
      </c>
      <c r="D6109" s="49" t="s">
        <v>2352</v>
      </c>
      <c r="E6109" s="49" t="str">
        <f aca="false">"1000010375"</f>
        <v>1000010375</v>
      </c>
      <c r="F6109" s="49" t="s">
        <v>10651</v>
      </c>
      <c r="G6109" s="49" t="n">
        <v>0</v>
      </c>
      <c r="H6109" s="0" t="n">
        <v>0</v>
      </c>
      <c r="M6109" s="51" t="s">
        <v>10636</v>
      </c>
      <c r="N6109" s="49" t="n">
        <v>0</v>
      </c>
      <c r="O6109" s="53" t="n">
        <v>45957.3112037037</v>
      </c>
      <c r="P6109" s="53" t="n">
        <v>46020.3770833333</v>
      </c>
      <c r="Q6109" s="53" t="n">
        <v>45957.3112037037</v>
      </c>
      <c r="R6109" s="0" t="n">
        <v>0</v>
      </c>
      <c r="S6109" s="51" t="s">
        <v>2356</v>
      </c>
      <c r="T6109" s="51" t="s">
        <v>2356</v>
      </c>
      <c r="U6109" s="0" t="str">
        <f aca="false">"1000010375"</f>
        <v>1000010375</v>
      </c>
      <c r="V6109" s="51" t="s">
        <v>2365</v>
      </c>
      <c r="W6109" s="51" t="s">
        <v>5331</v>
      </c>
      <c r="X6109" s="51" t="s">
        <v>2359</v>
      </c>
    </row>
    <row r="6110" customFormat="false" ht="14.25" hidden="true" customHeight="false" outlineLevel="0" collapsed="false">
      <c r="A6110" s="49" t="s">
        <v>2349</v>
      </c>
      <c r="B6110" s="49" t="s">
        <v>2350</v>
      </c>
      <c r="C6110" s="49" t="s">
        <v>10653</v>
      </c>
      <c r="D6110" s="49" t="s">
        <v>2352</v>
      </c>
      <c r="E6110" s="49" t="str">
        <f aca="false">"1000010375"</f>
        <v>1000010375</v>
      </c>
      <c r="F6110" s="49" t="s">
        <v>10651</v>
      </c>
      <c r="G6110" s="49" t="n">
        <v>0</v>
      </c>
      <c r="H6110" s="0" t="n">
        <v>0</v>
      </c>
      <c r="M6110" s="51" t="s">
        <v>10636</v>
      </c>
      <c r="N6110" s="49" t="n">
        <v>0</v>
      </c>
      <c r="O6110" s="53" t="n">
        <v>45957.3107407407</v>
      </c>
      <c r="P6110" s="53" t="n">
        <v>46030.4150462963</v>
      </c>
      <c r="Q6110" s="53" t="n">
        <v>45957.3107407407</v>
      </c>
      <c r="R6110" s="0" t="n">
        <v>0</v>
      </c>
      <c r="S6110" s="51" t="s">
        <v>2356</v>
      </c>
      <c r="T6110" s="51" t="s">
        <v>2356</v>
      </c>
      <c r="U6110" s="0" t="str">
        <f aca="false">"1000010375"</f>
        <v>1000010375</v>
      </c>
      <c r="V6110" s="51" t="s">
        <v>2365</v>
      </c>
      <c r="W6110" s="51" t="s">
        <v>4126</v>
      </c>
      <c r="X6110" s="51" t="s">
        <v>2359</v>
      </c>
    </row>
    <row r="6111" customFormat="false" ht="14.25" hidden="true" customHeight="false" outlineLevel="0" collapsed="false">
      <c r="A6111" s="49" t="s">
        <v>2349</v>
      </c>
      <c r="B6111" s="49" t="s">
        <v>2350</v>
      </c>
      <c r="C6111" s="49" t="s">
        <v>10654</v>
      </c>
      <c r="D6111" s="49" t="s">
        <v>2352</v>
      </c>
      <c r="E6111" s="49" t="str">
        <f aca="false">"1000010375"</f>
        <v>1000010375</v>
      </c>
      <c r="F6111" s="49" t="s">
        <v>10651</v>
      </c>
      <c r="G6111" s="49" t="n">
        <v>0</v>
      </c>
      <c r="H6111" s="0" t="n">
        <v>0</v>
      </c>
      <c r="M6111" s="51" t="s">
        <v>10636</v>
      </c>
      <c r="N6111" s="49" t="n">
        <v>0</v>
      </c>
      <c r="O6111" s="53" t="n">
        <v>45957.3100694444</v>
      </c>
      <c r="P6111" s="53" t="n">
        <v>46032.4306712963</v>
      </c>
      <c r="Q6111" s="53" t="n">
        <v>45957.3100694444</v>
      </c>
      <c r="R6111" s="0" t="n">
        <v>0</v>
      </c>
      <c r="S6111" s="51" t="s">
        <v>2356</v>
      </c>
      <c r="T6111" s="51" t="s">
        <v>2356</v>
      </c>
      <c r="U6111" s="0" t="str">
        <f aca="false">"1000010375"</f>
        <v>1000010375</v>
      </c>
      <c r="V6111" s="51" t="s">
        <v>2365</v>
      </c>
      <c r="W6111" s="51" t="s">
        <v>6817</v>
      </c>
      <c r="X6111" s="51" t="s">
        <v>2359</v>
      </c>
    </row>
    <row r="6112" customFormat="false" ht="14.25" hidden="true" customHeight="false" outlineLevel="0" collapsed="false">
      <c r="A6112" s="49" t="s">
        <v>2349</v>
      </c>
      <c r="B6112" s="49" t="s">
        <v>2350</v>
      </c>
      <c r="C6112" s="49" t="s">
        <v>10655</v>
      </c>
      <c r="D6112" s="49" t="s">
        <v>2352</v>
      </c>
      <c r="E6112" s="49" t="str">
        <f aca="false">"1000012526"</f>
        <v>1000012526</v>
      </c>
      <c r="F6112" s="49" t="s">
        <v>10656</v>
      </c>
      <c r="G6112" s="49" t="n">
        <v>0</v>
      </c>
      <c r="H6112" s="0" t="n">
        <v>0</v>
      </c>
      <c r="M6112" s="51" t="s">
        <v>10636</v>
      </c>
      <c r="N6112" s="49" t="n">
        <v>0</v>
      </c>
      <c r="O6112" s="53" t="n">
        <v>45957.3088078704</v>
      </c>
      <c r="P6112" s="53" t="n">
        <v>46046.547337963</v>
      </c>
      <c r="Q6112" s="53" t="n">
        <v>45957.3088078704</v>
      </c>
      <c r="R6112" s="0" t="n">
        <v>0</v>
      </c>
      <c r="S6112" s="51" t="s">
        <v>2356</v>
      </c>
      <c r="T6112" s="51" t="s">
        <v>2356</v>
      </c>
      <c r="U6112" s="0" t="str">
        <f aca="false">"1000012526"</f>
        <v>1000012526</v>
      </c>
      <c r="V6112" s="51" t="s">
        <v>2365</v>
      </c>
      <c r="W6112" s="51" t="s">
        <v>4171</v>
      </c>
      <c r="X6112" s="51" t="s">
        <v>2359</v>
      </c>
    </row>
    <row r="6113" customFormat="false" ht="14.25" hidden="true" customHeight="false" outlineLevel="0" collapsed="false">
      <c r="A6113" s="49" t="s">
        <v>2349</v>
      </c>
      <c r="B6113" s="49" t="s">
        <v>2350</v>
      </c>
      <c r="C6113" s="49" t="s">
        <v>10657</v>
      </c>
      <c r="D6113" s="49" t="s">
        <v>2352</v>
      </c>
      <c r="E6113" s="49" t="str">
        <f aca="false">"1000005565"</f>
        <v>1000005565</v>
      </c>
      <c r="F6113" s="49" t="s">
        <v>10658</v>
      </c>
      <c r="G6113" s="49" t="n">
        <v>0</v>
      </c>
      <c r="H6113" s="0" t="n">
        <v>0</v>
      </c>
      <c r="M6113" s="51" t="s">
        <v>10636</v>
      </c>
      <c r="N6113" s="49" t="n">
        <v>0</v>
      </c>
      <c r="O6113" s="53" t="n">
        <v>45957.3054398148</v>
      </c>
      <c r="P6113" s="53" t="n">
        <v>46005.5079976852</v>
      </c>
      <c r="Q6113" s="53" t="n">
        <v>45957.3054398148</v>
      </c>
      <c r="R6113" s="0" t="n">
        <v>0</v>
      </c>
      <c r="S6113" s="51" t="s">
        <v>2356</v>
      </c>
      <c r="T6113" s="51" t="s">
        <v>2356</v>
      </c>
      <c r="U6113" s="0" t="str">
        <f aca="false">"1000005565"</f>
        <v>1000005565</v>
      </c>
      <c r="V6113" s="51" t="s">
        <v>2365</v>
      </c>
      <c r="W6113" s="51" t="s">
        <v>3699</v>
      </c>
      <c r="X6113" s="51" t="s">
        <v>2359</v>
      </c>
    </row>
    <row r="6114" customFormat="false" ht="14.25" hidden="true" customHeight="false" outlineLevel="0" collapsed="false">
      <c r="A6114" s="49" t="s">
        <v>2349</v>
      </c>
      <c r="B6114" s="49" t="s">
        <v>2350</v>
      </c>
      <c r="C6114" s="49" t="s">
        <v>10659</v>
      </c>
      <c r="D6114" s="49" t="s">
        <v>2352</v>
      </c>
      <c r="E6114" s="49" t="str">
        <f aca="false">"1000005565"</f>
        <v>1000005565</v>
      </c>
      <c r="F6114" s="49" t="s">
        <v>10658</v>
      </c>
      <c r="G6114" s="49" t="n">
        <v>0</v>
      </c>
      <c r="H6114" s="0" t="n">
        <v>0</v>
      </c>
      <c r="M6114" s="51" t="s">
        <v>10636</v>
      </c>
      <c r="N6114" s="49" t="n">
        <v>0</v>
      </c>
      <c r="O6114" s="53" t="n">
        <v>45957.3049884259</v>
      </c>
      <c r="P6114" s="53" t="n">
        <v>46005.5081365741</v>
      </c>
      <c r="Q6114" s="53" t="n">
        <v>45957.3049884259</v>
      </c>
      <c r="R6114" s="0" t="n">
        <v>0</v>
      </c>
      <c r="S6114" s="51" t="s">
        <v>2356</v>
      </c>
      <c r="T6114" s="51" t="s">
        <v>2356</v>
      </c>
      <c r="U6114" s="0" t="str">
        <f aca="false">"1000005565"</f>
        <v>1000005565</v>
      </c>
      <c r="V6114" s="51" t="s">
        <v>2365</v>
      </c>
      <c r="W6114" s="51" t="s">
        <v>4160</v>
      </c>
      <c r="X6114" s="51" t="s">
        <v>2359</v>
      </c>
    </row>
    <row r="6115" customFormat="false" ht="14.25" hidden="true" customHeight="false" outlineLevel="0" collapsed="false">
      <c r="A6115" s="49" t="s">
        <v>2349</v>
      </c>
      <c r="B6115" s="49" t="s">
        <v>2350</v>
      </c>
      <c r="C6115" s="49" t="s">
        <v>10660</v>
      </c>
      <c r="D6115" s="49" t="s">
        <v>2352</v>
      </c>
      <c r="E6115" s="49" t="str">
        <f aca="false">"1000001442"</f>
        <v>1000001442</v>
      </c>
      <c r="F6115" s="49" t="s">
        <v>10661</v>
      </c>
      <c r="G6115" s="49" t="n">
        <v>0</v>
      </c>
      <c r="H6115" s="0" t="n">
        <v>0</v>
      </c>
      <c r="M6115" s="51" t="s">
        <v>10636</v>
      </c>
      <c r="N6115" s="49" t="n">
        <v>0</v>
      </c>
      <c r="O6115" s="53" t="n">
        <v>45957.3021064815</v>
      </c>
      <c r="P6115" s="53" t="n">
        <v>46026.5775578704</v>
      </c>
      <c r="Q6115" s="53" t="n">
        <v>45957.3021064815</v>
      </c>
      <c r="R6115" s="0" t="n">
        <v>0</v>
      </c>
      <c r="S6115" s="51" t="s">
        <v>2356</v>
      </c>
      <c r="T6115" s="51" t="s">
        <v>2356</v>
      </c>
      <c r="U6115" s="0" t="str">
        <f aca="false">"1000001442"</f>
        <v>1000001442</v>
      </c>
      <c r="V6115" s="51" t="s">
        <v>2365</v>
      </c>
      <c r="W6115" s="51" t="s">
        <v>7270</v>
      </c>
      <c r="X6115" s="51" t="s">
        <v>2359</v>
      </c>
    </row>
    <row r="6116" customFormat="false" ht="14.25" hidden="true" customHeight="false" outlineLevel="0" collapsed="false">
      <c r="A6116" s="49" t="s">
        <v>2349</v>
      </c>
      <c r="B6116" s="49" t="s">
        <v>2350</v>
      </c>
      <c r="C6116" s="49" t="s">
        <v>10662</v>
      </c>
      <c r="D6116" s="49" t="s">
        <v>2352</v>
      </c>
      <c r="E6116" s="49" t="str">
        <f aca="false">"1000012337"</f>
        <v>1000012337</v>
      </c>
      <c r="F6116" s="49" t="s">
        <v>10646</v>
      </c>
      <c r="G6116" s="49" t="n">
        <v>0</v>
      </c>
      <c r="H6116" s="0" t="n">
        <v>0</v>
      </c>
      <c r="M6116" s="51" t="s">
        <v>10636</v>
      </c>
      <c r="N6116" s="49" t="n">
        <v>0</v>
      </c>
      <c r="O6116" s="53" t="n">
        <v>46011.3207291667</v>
      </c>
      <c r="P6116" s="53" t="n">
        <v>46012.6469444444</v>
      </c>
      <c r="R6116" s="0" t="n">
        <v>0</v>
      </c>
      <c r="T6116" s="51" t="s">
        <v>2356</v>
      </c>
      <c r="U6116" s="0" t="str">
        <f aca="false">"1000012337"</f>
        <v>1000012337</v>
      </c>
      <c r="V6116" s="51" t="s">
        <v>2365</v>
      </c>
      <c r="W6116" s="51" t="s">
        <v>4132</v>
      </c>
      <c r="X6116" s="51" t="s">
        <v>2359</v>
      </c>
    </row>
    <row r="6117" customFormat="false" ht="14.25" hidden="true" customHeight="false" outlineLevel="0" collapsed="false">
      <c r="A6117" s="49" t="s">
        <v>2349</v>
      </c>
      <c r="B6117" s="49" t="s">
        <v>2350</v>
      </c>
      <c r="C6117" s="49" t="s">
        <v>10663</v>
      </c>
      <c r="D6117" s="49" t="s">
        <v>2352</v>
      </c>
      <c r="E6117" s="49" t="s">
        <v>8289</v>
      </c>
      <c r="F6117" s="49" t="s">
        <v>8290</v>
      </c>
      <c r="G6117" s="49" t="n">
        <v>0</v>
      </c>
      <c r="H6117" s="0" t="n">
        <v>0</v>
      </c>
      <c r="M6117" s="51" t="s">
        <v>10664</v>
      </c>
      <c r="N6117" s="49" t="n">
        <v>0</v>
      </c>
      <c r="O6117" s="53" t="n">
        <v>45938.6076041667</v>
      </c>
      <c r="P6117" s="53" t="n">
        <v>45994.3155787037</v>
      </c>
      <c r="Q6117" s="53" t="n">
        <v>45938.6076041667</v>
      </c>
      <c r="R6117" s="0" t="n">
        <v>0</v>
      </c>
      <c r="S6117" s="51" t="s">
        <v>2356</v>
      </c>
      <c r="T6117" s="51" t="s">
        <v>2356</v>
      </c>
      <c r="U6117" s="51" t="s">
        <v>8289</v>
      </c>
      <c r="V6117" s="51" t="s">
        <v>2357</v>
      </c>
      <c r="W6117" s="51" t="s">
        <v>6476</v>
      </c>
      <c r="X6117" s="51" t="s">
        <v>2359</v>
      </c>
    </row>
    <row r="6118" customFormat="false" ht="14.25" hidden="true" customHeight="false" outlineLevel="0" collapsed="false">
      <c r="A6118" s="49" t="s">
        <v>2349</v>
      </c>
      <c r="B6118" s="49" t="s">
        <v>2350</v>
      </c>
      <c r="C6118" s="49" t="s">
        <v>10665</v>
      </c>
      <c r="D6118" s="49" t="s">
        <v>2352</v>
      </c>
      <c r="E6118" s="49" t="s">
        <v>8289</v>
      </c>
      <c r="F6118" s="49" t="s">
        <v>8290</v>
      </c>
      <c r="G6118" s="49" t="n">
        <v>0</v>
      </c>
      <c r="H6118" s="0" t="n">
        <v>0</v>
      </c>
      <c r="M6118" s="51" t="s">
        <v>10664</v>
      </c>
      <c r="N6118" s="49" t="n">
        <v>0</v>
      </c>
      <c r="O6118" s="53" t="n">
        <v>45938.6072453704</v>
      </c>
      <c r="P6118" s="53" t="n">
        <v>45986.5632291667</v>
      </c>
      <c r="Q6118" s="53" t="n">
        <v>45938.6072453704</v>
      </c>
      <c r="R6118" s="0" t="n">
        <v>0</v>
      </c>
      <c r="S6118" s="51" t="s">
        <v>2356</v>
      </c>
      <c r="T6118" s="51" t="s">
        <v>2356</v>
      </c>
      <c r="U6118" s="51" t="s">
        <v>8289</v>
      </c>
      <c r="V6118" s="51" t="s">
        <v>2357</v>
      </c>
      <c r="W6118" s="51" t="s">
        <v>9075</v>
      </c>
      <c r="X6118" s="51" t="s">
        <v>2359</v>
      </c>
    </row>
    <row r="6119" customFormat="false" ht="14.25" hidden="true" customHeight="false" outlineLevel="0" collapsed="false">
      <c r="A6119" s="49" t="s">
        <v>2349</v>
      </c>
      <c r="B6119" s="49" t="s">
        <v>2350</v>
      </c>
      <c r="C6119" s="49" t="s">
        <v>10666</v>
      </c>
      <c r="D6119" s="49" t="s">
        <v>2352</v>
      </c>
      <c r="E6119" s="49" t="s">
        <v>2353</v>
      </c>
      <c r="F6119" s="49" t="s">
        <v>2354</v>
      </c>
      <c r="G6119" s="49" t="n">
        <v>0</v>
      </c>
      <c r="H6119" s="0" t="n">
        <v>0</v>
      </c>
      <c r="M6119" s="51" t="s">
        <v>10664</v>
      </c>
      <c r="N6119" s="49" t="n">
        <v>0</v>
      </c>
      <c r="O6119" s="53" t="n">
        <v>45938.610775463</v>
      </c>
      <c r="P6119" s="53" t="n">
        <v>45946.6757407407</v>
      </c>
      <c r="Q6119" s="53" t="n">
        <v>45938.610775463</v>
      </c>
      <c r="R6119" s="0" t="n">
        <v>0</v>
      </c>
      <c r="S6119" s="51" t="s">
        <v>2356</v>
      </c>
      <c r="T6119" s="51" t="s">
        <v>2356</v>
      </c>
      <c r="U6119" s="51" t="s">
        <v>2353</v>
      </c>
      <c r="V6119" s="51" t="s">
        <v>2357</v>
      </c>
      <c r="W6119" s="51" t="s">
        <v>9050</v>
      </c>
      <c r="X6119" s="51" t="s">
        <v>2359</v>
      </c>
    </row>
    <row r="6120" customFormat="false" ht="14.25" hidden="true" customHeight="false" outlineLevel="0" collapsed="false">
      <c r="A6120" s="49" t="s">
        <v>2349</v>
      </c>
      <c r="B6120" s="49" t="s">
        <v>2350</v>
      </c>
      <c r="C6120" s="49" t="s">
        <v>10667</v>
      </c>
      <c r="D6120" s="49" t="s">
        <v>2352</v>
      </c>
      <c r="E6120" s="49" t="s">
        <v>8296</v>
      </c>
      <c r="F6120" s="49" t="s">
        <v>8297</v>
      </c>
      <c r="G6120" s="49" t="n">
        <v>0</v>
      </c>
      <c r="H6120" s="0" t="n">
        <v>0</v>
      </c>
      <c r="M6120" s="51" t="s">
        <v>10664</v>
      </c>
      <c r="N6120" s="49" t="n">
        <v>0</v>
      </c>
      <c r="O6120" s="53" t="n">
        <v>45938.6256481482</v>
      </c>
      <c r="P6120" s="53" t="n">
        <v>45973.6007986111</v>
      </c>
      <c r="Q6120" s="53" t="n">
        <v>45938.6256481482</v>
      </c>
      <c r="R6120" s="0" t="n">
        <v>0</v>
      </c>
      <c r="S6120" s="51" t="s">
        <v>2356</v>
      </c>
      <c r="T6120" s="51" t="s">
        <v>2356</v>
      </c>
      <c r="U6120" s="51" t="s">
        <v>8296</v>
      </c>
      <c r="V6120" s="51" t="s">
        <v>2357</v>
      </c>
      <c r="W6120" s="51" t="s">
        <v>3689</v>
      </c>
      <c r="X6120" s="51" t="s">
        <v>2359</v>
      </c>
    </row>
    <row r="6121" customFormat="false" ht="14.25" hidden="true" customHeight="false" outlineLevel="0" collapsed="false">
      <c r="A6121" s="49" t="s">
        <v>2349</v>
      </c>
      <c r="B6121" s="49" t="s">
        <v>2350</v>
      </c>
      <c r="C6121" s="49" t="s">
        <v>10668</v>
      </c>
      <c r="D6121" s="49" t="s">
        <v>2352</v>
      </c>
      <c r="E6121" s="49" t="s">
        <v>8296</v>
      </c>
      <c r="F6121" s="49" t="s">
        <v>8297</v>
      </c>
      <c r="G6121" s="49" t="n">
        <v>0</v>
      </c>
      <c r="H6121" s="0" t="n">
        <v>0</v>
      </c>
      <c r="M6121" s="51" t="s">
        <v>10664</v>
      </c>
      <c r="N6121" s="49" t="n">
        <v>0</v>
      </c>
      <c r="O6121" s="53" t="n">
        <v>45938.6242013889</v>
      </c>
      <c r="P6121" s="53" t="n">
        <v>45963.7269097222</v>
      </c>
      <c r="Q6121" s="53" t="n">
        <v>45938.6242013889</v>
      </c>
      <c r="R6121" s="0" t="n">
        <v>0</v>
      </c>
      <c r="S6121" s="51" t="s">
        <v>2356</v>
      </c>
      <c r="T6121" s="51" t="s">
        <v>2356</v>
      </c>
      <c r="U6121" s="51" t="s">
        <v>8296</v>
      </c>
      <c r="V6121" s="51" t="s">
        <v>2357</v>
      </c>
      <c r="W6121" s="51" t="s">
        <v>5968</v>
      </c>
      <c r="X6121" s="51" t="s">
        <v>2359</v>
      </c>
    </row>
    <row r="6122" customFormat="false" ht="14.25" hidden="true" customHeight="false" outlineLevel="0" collapsed="false">
      <c r="A6122" s="49" t="s">
        <v>2349</v>
      </c>
      <c r="B6122" s="49" t="s">
        <v>2350</v>
      </c>
      <c r="C6122" s="49" t="s">
        <v>10669</v>
      </c>
      <c r="D6122" s="49" t="s">
        <v>2352</v>
      </c>
      <c r="E6122" s="49" t="s">
        <v>8296</v>
      </c>
      <c r="F6122" s="49" t="s">
        <v>8297</v>
      </c>
      <c r="G6122" s="49" t="n">
        <v>0</v>
      </c>
      <c r="H6122" s="0" t="n">
        <v>0</v>
      </c>
      <c r="M6122" s="51" t="s">
        <v>10664</v>
      </c>
      <c r="N6122" s="49" t="n">
        <v>0</v>
      </c>
      <c r="O6122" s="53" t="n">
        <v>45938.6236458333</v>
      </c>
      <c r="P6122" s="53" t="n">
        <v>45973.6006828704</v>
      </c>
      <c r="Q6122" s="53" t="n">
        <v>45938.6236458333</v>
      </c>
      <c r="R6122" s="0" t="n">
        <v>0</v>
      </c>
      <c r="S6122" s="51" t="s">
        <v>2356</v>
      </c>
      <c r="T6122" s="51" t="s">
        <v>2356</v>
      </c>
      <c r="U6122" s="51" t="s">
        <v>8296</v>
      </c>
      <c r="V6122" s="51" t="s">
        <v>2357</v>
      </c>
      <c r="W6122" s="51" t="s">
        <v>7405</v>
      </c>
      <c r="X6122" s="51" t="s">
        <v>2359</v>
      </c>
    </row>
    <row r="6123" customFormat="false" ht="14.25" hidden="true" customHeight="false" outlineLevel="0" collapsed="false">
      <c r="A6123" s="49" t="s">
        <v>2349</v>
      </c>
      <c r="B6123" s="49" t="s">
        <v>2350</v>
      </c>
      <c r="C6123" s="49" t="s">
        <v>10670</v>
      </c>
      <c r="D6123" s="49" t="s">
        <v>2352</v>
      </c>
      <c r="E6123" s="49" t="s">
        <v>4351</v>
      </c>
      <c r="F6123" s="49" t="s">
        <v>4352</v>
      </c>
      <c r="G6123" s="49" t="n">
        <v>0</v>
      </c>
      <c r="H6123" s="0" t="n">
        <v>0</v>
      </c>
      <c r="M6123" s="51" t="s">
        <v>10671</v>
      </c>
      <c r="N6123" s="49" t="n">
        <v>0</v>
      </c>
      <c r="O6123" s="53" t="n">
        <v>45936.5969907407</v>
      </c>
      <c r="P6123" s="53" t="n">
        <v>45937.3641666667</v>
      </c>
      <c r="Q6123" s="53" t="n">
        <v>45936.5969907407</v>
      </c>
      <c r="R6123" s="0" t="n">
        <v>0</v>
      </c>
      <c r="S6123" s="51" t="s">
        <v>2356</v>
      </c>
      <c r="T6123" s="51" t="s">
        <v>2356</v>
      </c>
      <c r="U6123" s="51" t="s">
        <v>4351</v>
      </c>
      <c r="V6123" s="51" t="s">
        <v>2365</v>
      </c>
      <c r="W6123" s="51" t="s">
        <v>3692</v>
      </c>
      <c r="X6123" s="51" t="s">
        <v>2359</v>
      </c>
    </row>
    <row r="6124" customFormat="false" ht="14.25" hidden="true" customHeight="false" outlineLevel="0" collapsed="false">
      <c r="A6124" s="49" t="s">
        <v>2349</v>
      </c>
      <c r="B6124" s="49" t="s">
        <v>2350</v>
      </c>
      <c r="C6124" s="49" t="s">
        <v>10672</v>
      </c>
      <c r="D6124" s="49" t="s">
        <v>2352</v>
      </c>
      <c r="E6124" s="49" t="str">
        <f aca="false">"202187781202"</f>
        <v>202187781202</v>
      </c>
      <c r="F6124" s="49" t="s">
        <v>2386</v>
      </c>
      <c r="G6124" s="49" t="n">
        <v>0</v>
      </c>
      <c r="H6124" s="0" t="n">
        <v>0</v>
      </c>
      <c r="M6124" s="51" t="s">
        <v>10673</v>
      </c>
      <c r="N6124" s="49" t="n">
        <v>0</v>
      </c>
      <c r="O6124" s="53" t="n">
        <v>45941.4641435185</v>
      </c>
      <c r="P6124" s="53" t="n">
        <v>45944.782025463</v>
      </c>
      <c r="Q6124" s="53" t="n">
        <v>45941.4641435185</v>
      </c>
      <c r="R6124" s="0" t="n">
        <v>0</v>
      </c>
      <c r="S6124" s="51" t="s">
        <v>2416</v>
      </c>
      <c r="T6124" s="51" t="s">
        <v>2416</v>
      </c>
      <c r="U6124" s="0" t="str">
        <f aca="false">"202187781202"</f>
        <v>202187781202</v>
      </c>
      <c r="V6124" s="51" t="s">
        <v>2365</v>
      </c>
      <c r="W6124" s="51" t="s">
        <v>10674</v>
      </c>
      <c r="X6124" s="51" t="s">
        <v>2359</v>
      </c>
    </row>
    <row r="6125" customFormat="false" ht="14.25" hidden="true" customHeight="false" outlineLevel="0" collapsed="false">
      <c r="A6125" s="49" t="s">
        <v>2349</v>
      </c>
      <c r="B6125" s="49" t="s">
        <v>2350</v>
      </c>
      <c r="C6125" s="49" t="s">
        <v>10675</v>
      </c>
      <c r="D6125" s="49" t="s">
        <v>2352</v>
      </c>
      <c r="E6125" s="49" t="s">
        <v>10676</v>
      </c>
      <c r="F6125" s="49" t="s">
        <v>2434</v>
      </c>
      <c r="G6125" s="49" t="n">
        <v>0</v>
      </c>
      <c r="H6125" s="0" t="n">
        <v>0</v>
      </c>
      <c r="M6125" s="51" t="s">
        <v>10677</v>
      </c>
      <c r="N6125" s="49" t="n">
        <v>0</v>
      </c>
      <c r="O6125" s="53" t="n">
        <v>45946.6840856482</v>
      </c>
      <c r="P6125" s="53" t="n">
        <v>45946.929837963</v>
      </c>
      <c r="Q6125" s="53" t="n">
        <v>45946.6840856482</v>
      </c>
      <c r="R6125" s="0" t="n">
        <v>0</v>
      </c>
      <c r="S6125" s="51" t="s">
        <v>2383</v>
      </c>
      <c r="T6125" s="51" t="s">
        <v>2383</v>
      </c>
      <c r="U6125" s="51" t="s">
        <v>10676</v>
      </c>
      <c r="V6125" s="51" t="s">
        <v>2365</v>
      </c>
      <c r="W6125" s="51" t="s">
        <v>5128</v>
      </c>
      <c r="X6125" s="51" t="s">
        <v>2359</v>
      </c>
    </row>
    <row r="6126" customFormat="false" ht="14.25" hidden="true" customHeight="false" outlineLevel="0" collapsed="false">
      <c r="A6126" s="49" t="s">
        <v>2349</v>
      </c>
      <c r="B6126" s="49" t="s">
        <v>2350</v>
      </c>
      <c r="C6126" s="49" t="s">
        <v>10678</v>
      </c>
      <c r="D6126" s="49" t="s">
        <v>2352</v>
      </c>
      <c r="E6126" s="49" t="s">
        <v>10676</v>
      </c>
      <c r="F6126" s="49" t="s">
        <v>2434</v>
      </c>
      <c r="G6126" s="49" t="n">
        <v>0</v>
      </c>
      <c r="H6126" s="0" t="n">
        <v>0</v>
      </c>
      <c r="M6126" s="51" t="s">
        <v>10677</v>
      </c>
      <c r="N6126" s="49" t="n">
        <v>0</v>
      </c>
      <c r="O6126" s="53" t="n">
        <v>45946.6865509259</v>
      </c>
      <c r="P6126" s="53" t="n">
        <v>45946.9201157407</v>
      </c>
      <c r="Q6126" s="53" t="n">
        <v>45946.6865509259</v>
      </c>
      <c r="R6126" s="0" t="n">
        <v>0</v>
      </c>
      <c r="S6126" s="51" t="s">
        <v>2383</v>
      </c>
      <c r="T6126" s="51" t="s">
        <v>2383</v>
      </c>
      <c r="U6126" s="51" t="s">
        <v>10676</v>
      </c>
      <c r="V6126" s="51" t="s">
        <v>2365</v>
      </c>
      <c r="W6126" s="51" t="s">
        <v>10679</v>
      </c>
      <c r="X6126" s="51" t="s">
        <v>2359</v>
      </c>
    </row>
    <row r="6127" customFormat="false" ht="14.25" hidden="true" customHeight="false" outlineLevel="0" collapsed="false">
      <c r="A6127" s="49" t="s">
        <v>2349</v>
      </c>
      <c r="B6127" s="49" t="s">
        <v>2350</v>
      </c>
      <c r="C6127" s="49" t="s">
        <v>10680</v>
      </c>
      <c r="D6127" s="49" t="s">
        <v>2352</v>
      </c>
      <c r="E6127" s="49" t="s">
        <v>10676</v>
      </c>
      <c r="F6127" s="49" t="s">
        <v>2434</v>
      </c>
      <c r="G6127" s="49" t="n">
        <v>0</v>
      </c>
      <c r="H6127" s="0" t="n">
        <v>0</v>
      </c>
      <c r="M6127" s="51" t="s">
        <v>10677</v>
      </c>
      <c r="N6127" s="49" t="n">
        <v>0</v>
      </c>
      <c r="O6127" s="53" t="n">
        <v>45946.6867592593</v>
      </c>
      <c r="P6127" s="53" t="n">
        <v>45946.9115393519</v>
      </c>
      <c r="Q6127" s="53" t="n">
        <v>45946.6867592593</v>
      </c>
      <c r="R6127" s="0" t="n">
        <v>0</v>
      </c>
      <c r="S6127" s="51" t="s">
        <v>2383</v>
      </c>
      <c r="T6127" s="51" t="s">
        <v>2383</v>
      </c>
      <c r="U6127" s="51" t="s">
        <v>10676</v>
      </c>
      <c r="V6127" s="51" t="s">
        <v>2365</v>
      </c>
      <c r="W6127" s="51" t="s">
        <v>4501</v>
      </c>
      <c r="X6127" s="51" t="s">
        <v>2359</v>
      </c>
    </row>
    <row r="6128" customFormat="false" ht="14.25" hidden="true" customHeight="false" outlineLevel="0" collapsed="false">
      <c r="A6128" s="49" t="s">
        <v>2349</v>
      </c>
      <c r="B6128" s="49" t="s">
        <v>2350</v>
      </c>
      <c r="C6128" s="49" t="s">
        <v>10681</v>
      </c>
      <c r="D6128" s="49" t="s">
        <v>2352</v>
      </c>
      <c r="E6128" s="49" t="s">
        <v>10676</v>
      </c>
      <c r="F6128" s="49" t="s">
        <v>2434</v>
      </c>
      <c r="G6128" s="49" t="n">
        <v>0</v>
      </c>
      <c r="H6128" s="0" t="n">
        <v>0</v>
      </c>
      <c r="M6128" s="51" t="s">
        <v>10677</v>
      </c>
      <c r="N6128" s="49" t="n">
        <v>0</v>
      </c>
      <c r="O6128" s="53" t="n">
        <v>45946.6854861111</v>
      </c>
      <c r="P6128" s="53" t="n">
        <v>45946.9136342593</v>
      </c>
      <c r="Q6128" s="53" t="n">
        <v>45946.6854861111</v>
      </c>
      <c r="R6128" s="0" t="n">
        <v>0</v>
      </c>
      <c r="S6128" s="51" t="s">
        <v>2383</v>
      </c>
      <c r="T6128" s="51" t="s">
        <v>2383</v>
      </c>
      <c r="U6128" s="51" t="s">
        <v>10676</v>
      </c>
      <c r="V6128" s="51" t="s">
        <v>2365</v>
      </c>
      <c r="W6128" s="51" t="s">
        <v>5621</v>
      </c>
      <c r="X6128" s="51" t="s">
        <v>2359</v>
      </c>
    </row>
    <row r="6129" customFormat="false" ht="14.25" hidden="true" customHeight="false" outlineLevel="0" collapsed="false">
      <c r="A6129" s="49" t="s">
        <v>2349</v>
      </c>
      <c r="B6129" s="49" t="s">
        <v>2350</v>
      </c>
      <c r="C6129" s="49" t="s">
        <v>10682</v>
      </c>
      <c r="D6129" s="49" t="s">
        <v>2352</v>
      </c>
      <c r="E6129" s="49" t="s">
        <v>10676</v>
      </c>
      <c r="F6129" s="49" t="s">
        <v>2434</v>
      </c>
      <c r="G6129" s="49" t="n">
        <v>0</v>
      </c>
      <c r="H6129" s="0" t="n">
        <v>0</v>
      </c>
      <c r="M6129" s="51" t="s">
        <v>10677</v>
      </c>
      <c r="N6129" s="49" t="n">
        <v>0</v>
      </c>
      <c r="O6129" s="53" t="n">
        <v>45946.6848958333</v>
      </c>
      <c r="P6129" s="53" t="n">
        <v>45946.9277777778</v>
      </c>
      <c r="Q6129" s="53" t="n">
        <v>45946.6848958333</v>
      </c>
      <c r="R6129" s="0" t="n">
        <v>0</v>
      </c>
      <c r="S6129" s="51" t="s">
        <v>2383</v>
      </c>
      <c r="T6129" s="51" t="s">
        <v>2383</v>
      </c>
      <c r="U6129" s="51" t="s">
        <v>10676</v>
      </c>
      <c r="V6129" s="51" t="s">
        <v>2365</v>
      </c>
      <c r="W6129" s="51" t="s">
        <v>10683</v>
      </c>
      <c r="X6129" s="51" t="s">
        <v>2359</v>
      </c>
    </row>
    <row r="6130" customFormat="false" ht="14.25" hidden="true" customHeight="false" outlineLevel="0" collapsed="false">
      <c r="A6130" s="49" t="s">
        <v>2349</v>
      </c>
      <c r="B6130" s="49" t="s">
        <v>2350</v>
      </c>
      <c r="C6130" s="49" t="s">
        <v>10684</v>
      </c>
      <c r="D6130" s="49" t="s">
        <v>2352</v>
      </c>
      <c r="E6130" s="49" t="s">
        <v>10676</v>
      </c>
      <c r="F6130" s="49" t="s">
        <v>2434</v>
      </c>
      <c r="G6130" s="49" t="n">
        <v>0</v>
      </c>
      <c r="H6130" s="0" t="n">
        <v>0</v>
      </c>
      <c r="M6130" s="51" t="s">
        <v>10677</v>
      </c>
      <c r="N6130" s="49" t="n">
        <v>0</v>
      </c>
      <c r="O6130" s="53" t="n">
        <v>45946.6846990741</v>
      </c>
      <c r="P6130" s="53" t="n">
        <v>45946.9171875</v>
      </c>
      <c r="Q6130" s="53" t="n">
        <v>45946.6846990741</v>
      </c>
      <c r="R6130" s="0" t="n">
        <v>0</v>
      </c>
      <c r="S6130" s="51" t="s">
        <v>2383</v>
      </c>
      <c r="T6130" s="51" t="s">
        <v>2383</v>
      </c>
      <c r="U6130" s="51" t="s">
        <v>10676</v>
      </c>
      <c r="V6130" s="51" t="s">
        <v>2365</v>
      </c>
      <c r="W6130" s="51" t="s">
        <v>5636</v>
      </c>
      <c r="X6130" s="51" t="s">
        <v>2359</v>
      </c>
    </row>
    <row r="6131" customFormat="false" ht="14.25" hidden="true" customHeight="false" outlineLevel="0" collapsed="false">
      <c r="A6131" s="49" t="s">
        <v>2349</v>
      </c>
      <c r="B6131" s="49" t="s">
        <v>2350</v>
      </c>
      <c r="C6131" s="49" t="s">
        <v>10685</v>
      </c>
      <c r="D6131" s="49" t="s">
        <v>2352</v>
      </c>
      <c r="E6131" s="49" t="s">
        <v>10676</v>
      </c>
      <c r="F6131" s="49" t="s">
        <v>2434</v>
      </c>
      <c r="G6131" s="49" t="n">
        <v>0</v>
      </c>
      <c r="H6131" s="0" t="n">
        <v>0</v>
      </c>
      <c r="M6131" s="51" t="s">
        <v>10677</v>
      </c>
      <c r="N6131" s="49" t="n">
        <v>0</v>
      </c>
      <c r="O6131" s="53" t="n">
        <v>45946.6859490741</v>
      </c>
      <c r="P6131" s="53" t="n">
        <v>45950.9054166667</v>
      </c>
      <c r="Q6131" s="53" t="n">
        <v>45946.6859490741</v>
      </c>
      <c r="R6131" s="0" t="n">
        <v>0</v>
      </c>
      <c r="S6131" s="51" t="s">
        <v>2383</v>
      </c>
      <c r="T6131" s="51" t="s">
        <v>2383</v>
      </c>
      <c r="U6131" s="51" t="s">
        <v>10676</v>
      </c>
      <c r="V6131" s="51" t="s">
        <v>2365</v>
      </c>
      <c r="W6131" s="51" t="s">
        <v>4474</v>
      </c>
      <c r="X6131" s="51" t="s">
        <v>2359</v>
      </c>
    </row>
    <row r="6132" customFormat="false" ht="14.25" hidden="true" customHeight="false" outlineLevel="0" collapsed="false">
      <c r="A6132" s="49" t="s">
        <v>2349</v>
      </c>
      <c r="B6132" s="49" t="s">
        <v>2350</v>
      </c>
      <c r="C6132" s="49" t="s">
        <v>10686</v>
      </c>
      <c r="D6132" s="49" t="s">
        <v>2352</v>
      </c>
      <c r="E6132" s="49" t="s">
        <v>10676</v>
      </c>
      <c r="F6132" s="49" t="s">
        <v>2434</v>
      </c>
      <c r="G6132" s="49" t="n">
        <v>0</v>
      </c>
      <c r="H6132" s="0" t="n">
        <v>0</v>
      </c>
      <c r="M6132" s="51" t="s">
        <v>10677</v>
      </c>
      <c r="N6132" s="49" t="n">
        <v>0</v>
      </c>
      <c r="O6132" s="53" t="n">
        <v>45946.6857638889</v>
      </c>
      <c r="P6132" s="53" t="n">
        <v>45946.9219675926</v>
      </c>
      <c r="Q6132" s="53" t="n">
        <v>45946.6857638889</v>
      </c>
      <c r="R6132" s="0" t="n">
        <v>0</v>
      </c>
      <c r="S6132" s="51" t="s">
        <v>2383</v>
      </c>
      <c r="T6132" s="51" t="s">
        <v>2383</v>
      </c>
      <c r="U6132" s="51" t="s">
        <v>10676</v>
      </c>
      <c r="V6132" s="51" t="s">
        <v>2365</v>
      </c>
      <c r="W6132" s="51" t="s">
        <v>10687</v>
      </c>
      <c r="X6132" s="51" t="s">
        <v>2359</v>
      </c>
    </row>
    <row r="6133" customFormat="false" ht="14.25" hidden="true" customHeight="false" outlineLevel="0" collapsed="false">
      <c r="A6133" s="49" t="s">
        <v>2349</v>
      </c>
      <c r="B6133" s="49" t="s">
        <v>2350</v>
      </c>
      <c r="C6133" s="49" t="s">
        <v>10688</v>
      </c>
      <c r="D6133" s="49" t="s">
        <v>2352</v>
      </c>
      <c r="E6133" s="49" t="s">
        <v>10676</v>
      </c>
      <c r="F6133" s="49" t="s">
        <v>2434</v>
      </c>
      <c r="G6133" s="49" t="n">
        <v>0</v>
      </c>
      <c r="H6133" s="0" t="n">
        <v>0</v>
      </c>
      <c r="M6133" s="51" t="s">
        <v>10677</v>
      </c>
      <c r="N6133" s="49" t="n">
        <v>0</v>
      </c>
      <c r="O6133" s="53" t="n">
        <v>45946.6844212963</v>
      </c>
      <c r="P6133" s="53" t="n">
        <v>45957.4296875</v>
      </c>
      <c r="Q6133" s="53" t="n">
        <v>45946.6844212963</v>
      </c>
      <c r="R6133" s="0" t="n">
        <v>0</v>
      </c>
      <c r="S6133" s="51" t="s">
        <v>2383</v>
      </c>
      <c r="T6133" s="51" t="s">
        <v>2383</v>
      </c>
      <c r="U6133" s="51" t="s">
        <v>10676</v>
      </c>
      <c r="V6133" s="51" t="s">
        <v>2365</v>
      </c>
      <c r="W6133" s="51" t="s">
        <v>4474</v>
      </c>
      <c r="X6133" s="51" t="s">
        <v>2359</v>
      </c>
    </row>
    <row r="6134" customFormat="false" ht="14.25" hidden="true" customHeight="false" outlineLevel="0" collapsed="false">
      <c r="A6134" s="49" t="s">
        <v>2349</v>
      </c>
      <c r="B6134" s="49" t="s">
        <v>2350</v>
      </c>
      <c r="C6134" s="49" t="s">
        <v>10689</v>
      </c>
      <c r="D6134" s="49" t="s">
        <v>2352</v>
      </c>
      <c r="E6134" s="49" t="s">
        <v>3638</v>
      </c>
      <c r="F6134" s="49" t="s">
        <v>3639</v>
      </c>
      <c r="G6134" s="49" t="n">
        <v>0</v>
      </c>
      <c r="H6134" s="0" t="n">
        <v>0</v>
      </c>
      <c r="M6134" s="51" t="s">
        <v>3640</v>
      </c>
      <c r="N6134" s="49" t="n">
        <v>0</v>
      </c>
      <c r="O6134" s="53" t="n">
        <v>45950.3705671296</v>
      </c>
      <c r="P6134" s="53" t="n">
        <v>45953.8476041667</v>
      </c>
      <c r="Q6134" s="53" t="n">
        <v>45950.3705671296</v>
      </c>
      <c r="R6134" s="0" t="n">
        <v>0</v>
      </c>
      <c r="S6134" s="51" t="s">
        <v>2356</v>
      </c>
      <c r="T6134" s="51" t="s">
        <v>2356</v>
      </c>
      <c r="U6134" s="51" t="s">
        <v>3638</v>
      </c>
      <c r="V6134" s="51" t="s">
        <v>2357</v>
      </c>
      <c r="W6134" s="51" t="s">
        <v>3641</v>
      </c>
      <c r="X6134" s="51" t="s">
        <v>2359</v>
      </c>
    </row>
    <row r="6135" customFormat="false" ht="14.25" hidden="true" customHeight="false" outlineLevel="0" collapsed="false">
      <c r="A6135" s="49" t="s">
        <v>2349</v>
      </c>
      <c r="B6135" s="49" t="s">
        <v>2350</v>
      </c>
      <c r="C6135" s="49" t="s">
        <v>10690</v>
      </c>
      <c r="D6135" s="49" t="s">
        <v>2352</v>
      </c>
      <c r="E6135" s="49" t="s">
        <v>3638</v>
      </c>
      <c r="F6135" s="49" t="s">
        <v>3639</v>
      </c>
      <c r="G6135" s="49" t="n">
        <v>0</v>
      </c>
      <c r="H6135" s="0" t="n">
        <v>0</v>
      </c>
      <c r="M6135" s="51" t="s">
        <v>3640</v>
      </c>
      <c r="N6135" s="49" t="n">
        <v>0</v>
      </c>
      <c r="O6135" s="53" t="n">
        <v>45950.3696064815</v>
      </c>
      <c r="P6135" s="53" t="n">
        <v>46035.5900694444</v>
      </c>
      <c r="Q6135" s="53" t="n">
        <v>45950.3696064815</v>
      </c>
      <c r="R6135" s="0" t="n">
        <v>0</v>
      </c>
      <c r="S6135" s="51" t="s">
        <v>2356</v>
      </c>
      <c r="T6135" s="51" t="s">
        <v>2356</v>
      </c>
      <c r="U6135" s="51" t="s">
        <v>3638</v>
      </c>
      <c r="V6135" s="51" t="s">
        <v>2357</v>
      </c>
      <c r="W6135" s="51" t="s">
        <v>5677</v>
      </c>
      <c r="X6135" s="51" t="s">
        <v>2359</v>
      </c>
    </row>
    <row r="6136" customFormat="false" ht="14.25" hidden="true" customHeight="false" outlineLevel="0" collapsed="false">
      <c r="A6136" s="49" t="s">
        <v>2349</v>
      </c>
      <c r="B6136" s="49" t="s">
        <v>2350</v>
      </c>
      <c r="C6136" s="49" t="s">
        <v>10691</v>
      </c>
      <c r="D6136" s="49" t="s">
        <v>2352</v>
      </c>
      <c r="E6136" s="49" t="s">
        <v>3633</v>
      </c>
      <c r="F6136" s="49" t="s">
        <v>3634</v>
      </c>
      <c r="G6136" s="49" t="n">
        <v>0</v>
      </c>
      <c r="H6136" s="0" t="n">
        <v>0</v>
      </c>
      <c r="M6136" s="51" t="s">
        <v>3640</v>
      </c>
      <c r="N6136" s="49" t="n">
        <v>0</v>
      </c>
      <c r="O6136" s="53" t="n">
        <v>45950.3678009259</v>
      </c>
      <c r="P6136" s="53" t="n">
        <v>45959.3889814815</v>
      </c>
      <c r="Q6136" s="53" t="n">
        <v>45950.3678009259</v>
      </c>
      <c r="R6136" s="0" t="n">
        <v>0</v>
      </c>
      <c r="S6136" s="51" t="s">
        <v>2356</v>
      </c>
      <c r="T6136" s="51" t="s">
        <v>2356</v>
      </c>
      <c r="U6136" s="51" t="s">
        <v>3633</v>
      </c>
      <c r="V6136" s="51" t="s">
        <v>2357</v>
      </c>
      <c r="W6136" s="51" t="s">
        <v>5564</v>
      </c>
      <c r="X6136" s="51" t="s">
        <v>2359</v>
      </c>
    </row>
    <row r="6137" customFormat="false" ht="14.25" hidden="true" customHeight="false" outlineLevel="0" collapsed="false">
      <c r="A6137" s="49" t="s">
        <v>2349</v>
      </c>
      <c r="B6137" s="49" t="s">
        <v>2350</v>
      </c>
      <c r="C6137" s="49" t="s">
        <v>10692</v>
      </c>
      <c r="D6137" s="49" t="s">
        <v>2352</v>
      </c>
      <c r="E6137" s="49" t="s">
        <v>3633</v>
      </c>
      <c r="F6137" s="49" t="s">
        <v>3634</v>
      </c>
      <c r="G6137" s="49" t="n">
        <v>0</v>
      </c>
      <c r="H6137" s="0" t="n">
        <v>0</v>
      </c>
      <c r="M6137" s="51" t="s">
        <v>3640</v>
      </c>
      <c r="N6137" s="49" t="n">
        <v>0</v>
      </c>
      <c r="O6137" s="53" t="n">
        <v>45950.3671412037</v>
      </c>
      <c r="P6137" s="53" t="n">
        <v>45966.4986226852</v>
      </c>
      <c r="Q6137" s="53" t="n">
        <v>45950.3671412037</v>
      </c>
      <c r="R6137" s="0" t="n">
        <v>0</v>
      </c>
      <c r="S6137" s="51" t="s">
        <v>2356</v>
      </c>
      <c r="T6137" s="51" t="s">
        <v>2356</v>
      </c>
      <c r="U6137" s="51" t="s">
        <v>3633</v>
      </c>
      <c r="V6137" s="51" t="s">
        <v>2357</v>
      </c>
      <c r="W6137" s="51" t="s">
        <v>3705</v>
      </c>
      <c r="X6137" s="51" t="s">
        <v>2359</v>
      </c>
    </row>
    <row r="6138" customFormat="false" ht="14.25" hidden="true" customHeight="false" outlineLevel="0" collapsed="false">
      <c r="A6138" s="49" t="s">
        <v>2349</v>
      </c>
      <c r="B6138" s="49" t="s">
        <v>2350</v>
      </c>
      <c r="C6138" s="49" t="s">
        <v>10693</v>
      </c>
      <c r="D6138" s="49" t="s">
        <v>2352</v>
      </c>
      <c r="E6138" s="49" t="s">
        <v>3643</v>
      </c>
      <c r="F6138" s="49" t="s">
        <v>3644</v>
      </c>
      <c r="G6138" s="49" t="n">
        <v>0</v>
      </c>
      <c r="H6138" s="0" t="n">
        <v>0</v>
      </c>
      <c r="M6138" s="51" t="s">
        <v>3640</v>
      </c>
      <c r="N6138" s="49" t="n">
        <v>0</v>
      </c>
      <c r="O6138" s="53" t="n">
        <v>45950.3661226852</v>
      </c>
      <c r="P6138" s="53" t="n">
        <v>45963.395462963</v>
      </c>
      <c r="Q6138" s="53" t="n">
        <v>45950.3661226852</v>
      </c>
      <c r="R6138" s="0" t="n">
        <v>0</v>
      </c>
      <c r="S6138" s="51" t="s">
        <v>2356</v>
      </c>
      <c r="T6138" s="51" t="s">
        <v>2356</v>
      </c>
      <c r="U6138" s="51" t="s">
        <v>3643</v>
      </c>
      <c r="V6138" s="51" t="s">
        <v>2357</v>
      </c>
      <c r="W6138" s="51" t="s">
        <v>10694</v>
      </c>
      <c r="X6138" s="51" t="s">
        <v>2359</v>
      </c>
    </row>
    <row r="6139" customFormat="false" ht="14.25" hidden="true" customHeight="false" outlineLevel="0" collapsed="false">
      <c r="A6139" s="49" t="s">
        <v>2349</v>
      </c>
      <c r="B6139" s="49" t="s">
        <v>2350</v>
      </c>
      <c r="C6139" s="49" t="s">
        <v>10695</v>
      </c>
      <c r="D6139" s="49" t="s">
        <v>2352</v>
      </c>
      <c r="E6139" s="49" t="s">
        <v>3643</v>
      </c>
      <c r="F6139" s="49" t="s">
        <v>3644</v>
      </c>
      <c r="G6139" s="49" t="n">
        <v>0</v>
      </c>
      <c r="H6139" s="0" t="n">
        <v>0</v>
      </c>
      <c r="M6139" s="51" t="s">
        <v>3640</v>
      </c>
      <c r="N6139" s="49" t="n">
        <v>0</v>
      </c>
      <c r="O6139" s="53" t="n">
        <v>45950.3653703704</v>
      </c>
      <c r="P6139" s="53" t="n">
        <v>46048.4439814815</v>
      </c>
      <c r="Q6139" s="53" t="n">
        <v>45950.3653703704</v>
      </c>
      <c r="R6139" s="0" t="n">
        <v>0</v>
      </c>
      <c r="S6139" s="51" t="s">
        <v>2356</v>
      </c>
      <c r="T6139" s="51" t="s">
        <v>2356</v>
      </c>
      <c r="U6139" s="51" t="s">
        <v>3643</v>
      </c>
      <c r="V6139" s="51" t="s">
        <v>2357</v>
      </c>
      <c r="W6139" s="51" t="s">
        <v>4486</v>
      </c>
      <c r="X6139" s="51" t="s">
        <v>2359</v>
      </c>
    </row>
    <row r="6140" customFormat="false" ht="14.25" hidden="true" customHeight="false" outlineLevel="0" collapsed="false">
      <c r="A6140" s="49" t="s">
        <v>2349</v>
      </c>
      <c r="B6140" s="49" t="s">
        <v>2350</v>
      </c>
      <c r="C6140" s="49" t="s">
        <v>10696</v>
      </c>
      <c r="D6140" s="49" t="s">
        <v>2352</v>
      </c>
      <c r="E6140" s="49" t="s">
        <v>4124</v>
      </c>
      <c r="F6140" s="49" t="s">
        <v>4125</v>
      </c>
      <c r="G6140" s="49" t="n">
        <v>0</v>
      </c>
      <c r="H6140" s="0" t="n">
        <v>0</v>
      </c>
      <c r="M6140" s="51" t="s">
        <v>10697</v>
      </c>
      <c r="N6140" s="49" t="n">
        <v>0</v>
      </c>
      <c r="O6140" s="53" t="n">
        <v>45942.6988194444</v>
      </c>
      <c r="P6140" s="53" t="n">
        <v>45943.5708333333</v>
      </c>
      <c r="Q6140" s="53" t="n">
        <v>45942.6988194444</v>
      </c>
      <c r="R6140" s="0" t="n">
        <v>0</v>
      </c>
      <c r="S6140" s="51" t="s">
        <v>2356</v>
      </c>
      <c r="T6140" s="51" t="s">
        <v>2356</v>
      </c>
      <c r="U6140" s="51" t="s">
        <v>4124</v>
      </c>
      <c r="V6140" s="51" t="s">
        <v>2365</v>
      </c>
      <c r="W6140" s="51" t="s">
        <v>5414</v>
      </c>
      <c r="X6140" s="51" t="s">
        <v>2359</v>
      </c>
    </row>
    <row r="6141" customFormat="false" ht="14.25" hidden="true" customHeight="false" outlineLevel="0" collapsed="false">
      <c r="A6141" s="49" t="s">
        <v>2349</v>
      </c>
      <c r="B6141" s="49" t="s">
        <v>2350</v>
      </c>
      <c r="C6141" s="49" t="s">
        <v>10698</v>
      </c>
      <c r="D6141" s="49" t="s">
        <v>2352</v>
      </c>
      <c r="E6141" s="49" t="s">
        <v>4124</v>
      </c>
      <c r="F6141" s="49" t="s">
        <v>4125</v>
      </c>
      <c r="G6141" s="49" t="n">
        <v>0</v>
      </c>
      <c r="H6141" s="0" t="n">
        <v>0</v>
      </c>
      <c r="M6141" s="51" t="s">
        <v>10697</v>
      </c>
      <c r="N6141" s="49" t="n">
        <v>0</v>
      </c>
      <c r="O6141" s="53" t="n">
        <v>45942.6993865741</v>
      </c>
      <c r="P6141" s="53" t="n">
        <v>45943.5716782407</v>
      </c>
      <c r="Q6141" s="53" t="n">
        <v>45942.6993865741</v>
      </c>
      <c r="R6141" s="0" t="n">
        <v>0</v>
      </c>
      <c r="S6141" s="51" t="s">
        <v>2356</v>
      </c>
      <c r="T6141" s="51" t="s">
        <v>2356</v>
      </c>
      <c r="U6141" s="51" t="s">
        <v>4124</v>
      </c>
      <c r="V6141" s="51" t="s">
        <v>2365</v>
      </c>
      <c r="W6141" s="51" t="s">
        <v>4160</v>
      </c>
      <c r="X6141" s="51" t="s">
        <v>2359</v>
      </c>
    </row>
    <row r="6142" customFormat="false" ht="14.25" hidden="true" customHeight="false" outlineLevel="0" collapsed="false">
      <c r="A6142" s="49" t="s">
        <v>2349</v>
      </c>
      <c r="B6142" s="49" t="s">
        <v>2350</v>
      </c>
      <c r="C6142" s="49" t="s">
        <v>10699</v>
      </c>
      <c r="D6142" s="49" t="s">
        <v>2352</v>
      </c>
      <c r="E6142" s="49" t="s">
        <v>10700</v>
      </c>
      <c r="F6142" s="49" t="s">
        <v>10701</v>
      </c>
      <c r="G6142" s="49" t="n">
        <v>0</v>
      </c>
      <c r="H6142" s="0" t="n">
        <v>0</v>
      </c>
      <c r="M6142" s="51" t="s">
        <v>10697</v>
      </c>
      <c r="N6142" s="49" t="n">
        <v>0</v>
      </c>
      <c r="O6142" s="53" t="n">
        <v>45942.7003587963</v>
      </c>
      <c r="P6142" s="53" t="n">
        <v>45946.3264583333</v>
      </c>
      <c r="Q6142" s="53" t="n">
        <v>45942.7003587963</v>
      </c>
      <c r="R6142" s="0" t="n">
        <v>0</v>
      </c>
      <c r="S6142" s="51" t="s">
        <v>2356</v>
      </c>
      <c r="T6142" s="51" t="s">
        <v>2356</v>
      </c>
      <c r="U6142" s="51" t="s">
        <v>10700</v>
      </c>
      <c r="V6142" s="51" t="s">
        <v>2365</v>
      </c>
      <c r="W6142" s="51" t="s">
        <v>5317</v>
      </c>
      <c r="X6142" s="51" t="s">
        <v>2359</v>
      </c>
    </row>
    <row r="6143" customFormat="false" ht="14.25" hidden="true" customHeight="false" outlineLevel="0" collapsed="false">
      <c r="A6143" s="49" t="s">
        <v>2349</v>
      </c>
      <c r="B6143" s="49" t="s">
        <v>2350</v>
      </c>
      <c r="C6143" s="49" t="s">
        <v>10702</v>
      </c>
      <c r="D6143" s="49" t="s">
        <v>2352</v>
      </c>
      <c r="E6143" s="49" t="s">
        <v>4140</v>
      </c>
      <c r="F6143" s="49" t="s">
        <v>4141</v>
      </c>
      <c r="G6143" s="49" t="n">
        <v>0</v>
      </c>
      <c r="H6143" s="0" t="n">
        <v>0</v>
      </c>
      <c r="M6143" s="51" t="s">
        <v>10697</v>
      </c>
      <c r="N6143" s="49" t="n">
        <v>0</v>
      </c>
      <c r="O6143" s="53" t="n">
        <v>45942.7017361111</v>
      </c>
      <c r="P6143" s="53" t="n">
        <v>45974.6062731482</v>
      </c>
      <c r="Q6143" s="53" t="n">
        <v>45942.7017361111</v>
      </c>
      <c r="R6143" s="0" t="n">
        <v>0</v>
      </c>
      <c r="S6143" s="51" t="s">
        <v>2356</v>
      </c>
      <c r="T6143" s="51" t="s">
        <v>2356</v>
      </c>
      <c r="U6143" s="51" t="s">
        <v>4140</v>
      </c>
      <c r="V6143" s="51" t="s">
        <v>3740</v>
      </c>
      <c r="W6143" s="51" t="s">
        <v>5490</v>
      </c>
      <c r="X6143" s="51" t="s">
        <v>2359</v>
      </c>
    </row>
    <row r="6144" customFormat="false" ht="14.25" hidden="true" customHeight="false" outlineLevel="0" collapsed="false">
      <c r="A6144" s="49" t="s">
        <v>2349</v>
      </c>
      <c r="B6144" s="49" t="s">
        <v>2350</v>
      </c>
      <c r="C6144" s="49" t="s">
        <v>10703</v>
      </c>
      <c r="D6144" s="49" t="s">
        <v>2352</v>
      </c>
      <c r="E6144" s="49" t="s">
        <v>4140</v>
      </c>
      <c r="F6144" s="49" t="s">
        <v>4141</v>
      </c>
      <c r="G6144" s="49" t="n">
        <v>0</v>
      </c>
      <c r="H6144" s="0" t="n">
        <v>0</v>
      </c>
      <c r="M6144" s="51" t="s">
        <v>10697</v>
      </c>
      <c r="N6144" s="49" t="n">
        <v>0</v>
      </c>
      <c r="O6144" s="53" t="n">
        <v>45942.7012384259</v>
      </c>
      <c r="P6144" s="53" t="n">
        <v>45994.5721412037</v>
      </c>
      <c r="Q6144" s="53" t="n">
        <v>45942.7012384259</v>
      </c>
      <c r="R6144" s="0" t="n">
        <v>0</v>
      </c>
      <c r="S6144" s="51" t="s">
        <v>2356</v>
      </c>
      <c r="T6144" s="51" t="s">
        <v>2356</v>
      </c>
      <c r="U6144" s="51" t="s">
        <v>4140</v>
      </c>
      <c r="V6144" s="51" t="s">
        <v>3740</v>
      </c>
      <c r="W6144" s="51" t="s">
        <v>4160</v>
      </c>
      <c r="X6144" s="51" t="s">
        <v>2359</v>
      </c>
    </row>
    <row r="6145" customFormat="false" ht="14.25" hidden="true" customHeight="false" outlineLevel="0" collapsed="false">
      <c r="A6145" s="49" t="s">
        <v>2349</v>
      </c>
      <c r="B6145" s="49" t="s">
        <v>2350</v>
      </c>
      <c r="C6145" s="49" t="s">
        <v>10704</v>
      </c>
      <c r="D6145" s="49" t="s">
        <v>2352</v>
      </c>
      <c r="E6145" s="49" t="s">
        <v>4148</v>
      </c>
      <c r="F6145" s="49" t="s">
        <v>4149</v>
      </c>
      <c r="G6145" s="49" t="n">
        <v>0</v>
      </c>
      <c r="H6145" s="0" t="n">
        <v>0</v>
      </c>
      <c r="M6145" s="51" t="s">
        <v>10697</v>
      </c>
      <c r="N6145" s="49" t="n">
        <v>0</v>
      </c>
      <c r="O6145" s="53" t="n">
        <v>45942.7041898148</v>
      </c>
      <c r="P6145" s="53" t="n">
        <v>45943.5715625</v>
      </c>
      <c r="Q6145" s="53" t="n">
        <v>45942.7041898148</v>
      </c>
      <c r="R6145" s="0" t="n">
        <v>0</v>
      </c>
      <c r="S6145" s="51" t="s">
        <v>2356</v>
      </c>
      <c r="T6145" s="51" t="s">
        <v>2356</v>
      </c>
      <c r="U6145" s="51" t="s">
        <v>4148</v>
      </c>
      <c r="V6145" s="51" t="s">
        <v>2365</v>
      </c>
      <c r="W6145" s="51" t="s">
        <v>4592</v>
      </c>
      <c r="X6145" s="51" t="s">
        <v>2359</v>
      </c>
    </row>
    <row r="6146" customFormat="false" ht="14.25" hidden="true" customHeight="false" outlineLevel="0" collapsed="false">
      <c r="A6146" s="49" t="s">
        <v>2349</v>
      </c>
      <c r="B6146" s="49" t="s">
        <v>2350</v>
      </c>
      <c r="C6146" s="49" t="s">
        <v>10705</v>
      </c>
      <c r="D6146" s="49" t="s">
        <v>2352</v>
      </c>
      <c r="E6146" s="49" t="s">
        <v>4148</v>
      </c>
      <c r="F6146" s="49" t="s">
        <v>4149</v>
      </c>
      <c r="G6146" s="49" t="n">
        <v>0</v>
      </c>
      <c r="H6146" s="0" t="n">
        <v>0</v>
      </c>
      <c r="M6146" s="51" t="s">
        <v>10697</v>
      </c>
      <c r="N6146" s="49" t="n">
        <v>0</v>
      </c>
      <c r="O6146" s="53" t="n">
        <v>45942.7033101852</v>
      </c>
      <c r="P6146" s="53" t="n">
        <v>45943.4614351852</v>
      </c>
      <c r="Q6146" s="53" t="n">
        <v>45942.7033101852</v>
      </c>
      <c r="R6146" s="0" t="n">
        <v>0</v>
      </c>
      <c r="S6146" s="51" t="s">
        <v>2356</v>
      </c>
      <c r="T6146" s="51" t="s">
        <v>2356</v>
      </c>
      <c r="U6146" s="51" t="s">
        <v>4148</v>
      </c>
      <c r="V6146" s="51" t="s">
        <v>2365</v>
      </c>
      <c r="W6146" s="51" t="s">
        <v>4611</v>
      </c>
      <c r="X6146" s="51" t="s">
        <v>2359</v>
      </c>
    </row>
    <row r="6147" customFormat="false" ht="14.25" hidden="true" customHeight="false" outlineLevel="0" collapsed="false">
      <c r="A6147" s="49" t="s">
        <v>2349</v>
      </c>
      <c r="B6147" s="49" t="s">
        <v>2350</v>
      </c>
      <c r="C6147" s="49" t="s">
        <v>10706</v>
      </c>
      <c r="D6147" s="49" t="s">
        <v>2352</v>
      </c>
      <c r="E6147" s="49" t="s">
        <v>4148</v>
      </c>
      <c r="F6147" s="49" t="s">
        <v>4149</v>
      </c>
      <c r="G6147" s="49" t="n">
        <v>0</v>
      </c>
      <c r="H6147" s="0" t="n">
        <v>0</v>
      </c>
      <c r="M6147" s="51" t="s">
        <v>10697</v>
      </c>
      <c r="N6147" s="49" t="n">
        <v>0</v>
      </c>
      <c r="O6147" s="53" t="n">
        <v>45942.7027314815</v>
      </c>
      <c r="P6147" s="53" t="n">
        <v>45943.4615277778</v>
      </c>
      <c r="Q6147" s="53" t="n">
        <v>45942.7027314815</v>
      </c>
      <c r="R6147" s="0" t="n">
        <v>0</v>
      </c>
      <c r="S6147" s="51" t="s">
        <v>2356</v>
      </c>
      <c r="T6147" s="51" t="s">
        <v>2356</v>
      </c>
      <c r="U6147" s="51" t="s">
        <v>4148</v>
      </c>
      <c r="V6147" s="51" t="s">
        <v>2365</v>
      </c>
      <c r="W6147" s="51" t="s">
        <v>5744</v>
      </c>
      <c r="X6147" s="51" t="s">
        <v>2359</v>
      </c>
    </row>
    <row r="6148" customFormat="false" ht="14.25" hidden="true" customHeight="false" outlineLevel="0" collapsed="false">
      <c r="A6148" s="49" t="s">
        <v>2349</v>
      </c>
      <c r="B6148" s="49" t="s">
        <v>2350</v>
      </c>
      <c r="C6148" s="49" t="s">
        <v>10707</v>
      </c>
      <c r="D6148" s="49" t="s">
        <v>2352</v>
      </c>
      <c r="E6148" s="49" t="s">
        <v>4115</v>
      </c>
      <c r="F6148" s="49" t="s">
        <v>4116</v>
      </c>
      <c r="G6148" s="49" t="n">
        <v>0</v>
      </c>
      <c r="H6148" s="0" t="n">
        <v>0</v>
      </c>
      <c r="M6148" s="51" t="s">
        <v>10697</v>
      </c>
      <c r="N6148" s="49" t="n">
        <v>0</v>
      </c>
      <c r="O6148" s="53" t="n">
        <v>45942.7050462963</v>
      </c>
      <c r="P6148" s="53" t="n">
        <v>45943.5709722222</v>
      </c>
      <c r="Q6148" s="53" t="n">
        <v>45942.7050462963</v>
      </c>
      <c r="R6148" s="0" t="n">
        <v>0</v>
      </c>
      <c r="S6148" s="51" t="s">
        <v>2356</v>
      </c>
      <c r="T6148" s="51" t="s">
        <v>2356</v>
      </c>
      <c r="U6148" s="51" t="s">
        <v>4115</v>
      </c>
      <c r="V6148" s="51" t="s">
        <v>2365</v>
      </c>
      <c r="W6148" s="51" t="s">
        <v>8380</v>
      </c>
      <c r="X6148" s="51" t="s">
        <v>2359</v>
      </c>
    </row>
    <row r="6149" customFormat="false" ht="14.25" hidden="true" customHeight="false" outlineLevel="0" collapsed="false">
      <c r="A6149" s="49" t="s">
        <v>2349</v>
      </c>
      <c r="B6149" s="49" t="s">
        <v>2350</v>
      </c>
      <c r="C6149" s="49" t="s">
        <v>10708</v>
      </c>
      <c r="D6149" s="49" t="s">
        <v>2352</v>
      </c>
      <c r="E6149" s="49" t="s">
        <v>4115</v>
      </c>
      <c r="F6149" s="49" t="s">
        <v>4116</v>
      </c>
      <c r="G6149" s="49" t="n">
        <v>0</v>
      </c>
      <c r="H6149" s="0" t="n">
        <v>0</v>
      </c>
      <c r="M6149" s="51" t="s">
        <v>10697</v>
      </c>
      <c r="N6149" s="49" t="n">
        <v>0</v>
      </c>
      <c r="O6149" s="53" t="n">
        <v>45942.7053587963</v>
      </c>
      <c r="P6149" s="53" t="n">
        <v>45943.5712731482</v>
      </c>
      <c r="Q6149" s="53" t="n">
        <v>45942.7053587963</v>
      </c>
      <c r="R6149" s="0" t="n">
        <v>0</v>
      </c>
      <c r="S6149" s="51" t="s">
        <v>2356</v>
      </c>
      <c r="T6149" s="51" t="s">
        <v>2356</v>
      </c>
      <c r="U6149" s="51" t="s">
        <v>4115</v>
      </c>
      <c r="V6149" s="51" t="s">
        <v>2365</v>
      </c>
      <c r="W6149" s="51" t="s">
        <v>4126</v>
      </c>
      <c r="X6149" s="51" t="s">
        <v>2359</v>
      </c>
    </row>
    <row r="6150" customFormat="false" ht="14.25" hidden="true" customHeight="false" outlineLevel="0" collapsed="false">
      <c r="A6150" s="49" t="s">
        <v>2349</v>
      </c>
      <c r="B6150" s="49" t="s">
        <v>2350</v>
      </c>
      <c r="C6150" s="49" t="s">
        <v>10709</v>
      </c>
      <c r="D6150" s="49" t="s">
        <v>2352</v>
      </c>
      <c r="E6150" s="49" t="s">
        <v>4115</v>
      </c>
      <c r="F6150" s="49" t="s">
        <v>4116</v>
      </c>
      <c r="G6150" s="49" t="n">
        <v>0</v>
      </c>
      <c r="H6150" s="0" t="n">
        <v>0</v>
      </c>
      <c r="M6150" s="51" t="s">
        <v>10697</v>
      </c>
      <c r="N6150" s="49" t="n">
        <v>0</v>
      </c>
      <c r="O6150" s="53" t="n">
        <v>45942.7056597222</v>
      </c>
      <c r="P6150" s="53" t="n">
        <v>45943.4609490741</v>
      </c>
      <c r="Q6150" s="53" t="n">
        <v>45942.7056597222</v>
      </c>
      <c r="R6150" s="0" t="n">
        <v>0</v>
      </c>
      <c r="S6150" s="51" t="s">
        <v>2356</v>
      </c>
      <c r="T6150" s="51" t="s">
        <v>2356</v>
      </c>
      <c r="U6150" s="51" t="s">
        <v>4115</v>
      </c>
      <c r="V6150" s="51" t="s">
        <v>2365</v>
      </c>
      <c r="W6150" s="51" t="s">
        <v>6881</v>
      </c>
      <c r="X6150" s="51" t="s">
        <v>2359</v>
      </c>
    </row>
    <row r="6151" customFormat="false" ht="14.25" hidden="true" customHeight="false" outlineLevel="0" collapsed="false">
      <c r="A6151" s="49" t="s">
        <v>2349</v>
      </c>
      <c r="B6151" s="49" t="s">
        <v>2350</v>
      </c>
      <c r="C6151" s="49" t="s">
        <v>10710</v>
      </c>
      <c r="D6151" s="49" t="s">
        <v>2352</v>
      </c>
      <c r="E6151" s="49" t="s">
        <v>4115</v>
      </c>
      <c r="F6151" s="49" t="s">
        <v>4116</v>
      </c>
      <c r="G6151" s="49" t="n">
        <v>0</v>
      </c>
      <c r="H6151" s="0" t="n">
        <v>0</v>
      </c>
      <c r="M6151" s="51" t="s">
        <v>10697</v>
      </c>
      <c r="N6151" s="49" t="n">
        <v>0</v>
      </c>
      <c r="O6151" s="53" t="n">
        <v>45942.7060416667</v>
      </c>
      <c r="P6151" s="53" t="n">
        <v>45992.3803472222</v>
      </c>
      <c r="Q6151" s="53" t="n">
        <v>45942.7060416667</v>
      </c>
      <c r="R6151" s="0" t="n">
        <v>0</v>
      </c>
      <c r="S6151" s="51" t="s">
        <v>2356</v>
      </c>
      <c r="T6151" s="51" t="s">
        <v>2356</v>
      </c>
      <c r="U6151" s="51" t="s">
        <v>4115</v>
      </c>
      <c r="V6151" s="51" t="s">
        <v>2365</v>
      </c>
      <c r="W6151" s="51" t="s">
        <v>4614</v>
      </c>
      <c r="X6151" s="51" t="s">
        <v>2359</v>
      </c>
    </row>
    <row r="6152" customFormat="false" ht="14.25" hidden="true" customHeight="false" outlineLevel="0" collapsed="false">
      <c r="A6152" s="49" t="s">
        <v>2349</v>
      </c>
      <c r="B6152" s="49" t="s">
        <v>2350</v>
      </c>
      <c r="C6152" s="49" t="s">
        <v>10711</v>
      </c>
      <c r="D6152" s="49" t="s">
        <v>2352</v>
      </c>
      <c r="E6152" s="49" t="s">
        <v>4115</v>
      </c>
      <c r="F6152" s="49" t="s">
        <v>4116</v>
      </c>
      <c r="G6152" s="49" t="n">
        <v>0</v>
      </c>
      <c r="H6152" s="0" t="n">
        <v>0</v>
      </c>
      <c r="M6152" s="51" t="s">
        <v>10697</v>
      </c>
      <c r="N6152" s="49" t="n">
        <v>0</v>
      </c>
      <c r="O6152" s="53" t="n">
        <v>45942.7062731482</v>
      </c>
      <c r="P6152" s="53" t="n">
        <v>45943.5711342593</v>
      </c>
      <c r="Q6152" s="53" t="n">
        <v>45942.7062731482</v>
      </c>
      <c r="R6152" s="0" t="n">
        <v>0</v>
      </c>
      <c r="S6152" s="51" t="s">
        <v>2356</v>
      </c>
      <c r="T6152" s="51" t="s">
        <v>2356</v>
      </c>
      <c r="U6152" s="51" t="s">
        <v>4115</v>
      </c>
      <c r="V6152" s="51" t="s">
        <v>2365</v>
      </c>
      <c r="W6152" s="51" t="s">
        <v>4126</v>
      </c>
      <c r="X6152" s="51" t="s">
        <v>2359</v>
      </c>
    </row>
    <row r="6153" customFormat="false" ht="14.25" hidden="true" customHeight="false" outlineLevel="0" collapsed="false">
      <c r="A6153" s="49" t="s">
        <v>2349</v>
      </c>
      <c r="B6153" s="49" t="s">
        <v>2350</v>
      </c>
      <c r="C6153" s="49" t="s">
        <v>10712</v>
      </c>
      <c r="D6153" s="49" t="s">
        <v>2352</v>
      </c>
      <c r="E6153" s="49" t="str">
        <f aca="false">"5060458890191"</f>
        <v>5060458890191</v>
      </c>
      <c r="F6153" s="49" t="s">
        <v>3656</v>
      </c>
      <c r="G6153" s="49" t="n">
        <v>0</v>
      </c>
      <c r="H6153" s="0" t="n">
        <v>0</v>
      </c>
      <c r="M6153" s="51" t="s">
        <v>10713</v>
      </c>
      <c r="N6153" s="49" t="n">
        <v>0</v>
      </c>
      <c r="O6153" s="53" t="n">
        <v>45946.595474537</v>
      </c>
      <c r="P6153" s="53" t="n">
        <v>45965.9188773148</v>
      </c>
      <c r="Q6153" s="53" t="n">
        <v>45946.595474537</v>
      </c>
      <c r="R6153" s="0" t="n">
        <v>0</v>
      </c>
      <c r="S6153" s="51" t="s">
        <v>2380</v>
      </c>
      <c r="T6153" s="51" t="s">
        <v>2380</v>
      </c>
      <c r="U6153" s="0" t="str">
        <f aca="false">"5060458890191"</f>
        <v>5060458890191</v>
      </c>
      <c r="V6153" s="51" t="s">
        <v>2142</v>
      </c>
      <c r="W6153" s="51" t="s">
        <v>10714</v>
      </c>
      <c r="X6153" s="51" t="s">
        <v>2359</v>
      </c>
    </row>
    <row r="6154" customFormat="false" ht="14.25" hidden="true" customHeight="false" outlineLevel="0" collapsed="false">
      <c r="A6154" s="49" t="s">
        <v>2349</v>
      </c>
      <c r="B6154" s="49" t="s">
        <v>2350</v>
      </c>
      <c r="C6154" s="49" t="s">
        <v>10715</v>
      </c>
      <c r="D6154" s="49" t="s">
        <v>2352</v>
      </c>
      <c r="E6154" s="49" t="str">
        <f aca="false">"5060458890191"</f>
        <v>5060458890191</v>
      </c>
      <c r="F6154" s="49" t="s">
        <v>3656</v>
      </c>
      <c r="G6154" s="49" t="n">
        <v>0</v>
      </c>
      <c r="H6154" s="0" t="n">
        <v>0</v>
      </c>
      <c r="M6154" s="51" t="s">
        <v>10713</v>
      </c>
      <c r="N6154" s="49" t="n">
        <v>0</v>
      </c>
      <c r="O6154" s="53" t="n">
        <v>45946.5956712963</v>
      </c>
      <c r="P6154" s="53" t="n">
        <v>45965.8918055556</v>
      </c>
      <c r="Q6154" s="53" t="n">
        <v>45946.5956712963</v>
      </c>
      <c r="R6154" s="0" t="n">
        <v>0</v>
      </c>
      <c r="S6154" s="51" t="s">
        <v>2380</v>
      </c>
      <c r="T6154" s="51" t="s">
        <v>2380</v>
      </c>
      <c r="U6154" s="0" t="str">
        <f aca="false">"5060458890191"</f>
        <v>5060458890191</v>
      </c>
      <c r="V6154" s="51" t="s">
        <v>2142</v>
      </c>
      <c r="W6154" s="51" t="s">
        <v>10716</v>
      </c>
      <c r="X6154" s="51" t="s">
        <v>2359</v>
      </c>
    </row>
    <row r="6155" customFormat="false" ht="14.25" hidden="true" customHeight="false" outlineLevel="0" collapsed="false">
      <c r="A6155" s="49" t="s">
        <v>2349</v>
      </c>
      <c r="B6155" s="49" t="s">
        <v>2350</v>
      </c>
      <c r="C6155" s="49" t="s">
        <v>10717</v>
      </c>
      <c r="D6155" s="49" t="s">
        <v>2352</v>
      </c>
      <c r="E6155" s="49" t="str">
        <f aca="false">"5060458890191"</f>
        <v>5060458890191</v>
      </c>
      <c r="F6155" s="49" t="s">
        <v>3656</v>
      </c>
      <c r="G6155" s="49" t="n">
        <v>0</v>
      </c>
      <c r="H6155" s="0" t="n">
        <v>0</v>
      </c>
      <c r="M6155" s="51" t="s">
        <v>10713</v>
      </c>
      <c r="N6155" s="49" t="n">
        <v>0</v>
      </c>
      <c r="O6155" s="53" t="n">
        <v>45946.5958796296</v>
      </c>
      <c r="P6155" s="53" t="n">
        <v>45965.8943402778</v>
      </c>
      <c r="Q6155" s="53" t="n">
        <v>45946.5958796296</v>
      </c>
      <c r="R6155" s="0" t="n">
        <v>0</v>
      </c>
      <c r="S6155" s="51" t="s">
        <v>2380</v>
      </c>
      <c r="T6155" s="51" t="s">
        <v>2380</v>
      </c>
      <c r="U6155" s="0" t="str">
        <f aca="false">"5060458890191"</f>
        <v>5060458890191</v>
      </c>
      <c r="V6155" s="51" t="s">
        <v>2142</v>
      </c>
      <c r="W6155" s="51" t="s">
        <v>4297</v>
      </c>
      <c r="X6155" s="51" t="s">
        <v>2359</v>
      </c>
    </row>
    <row r="6156" customFormat="false" ht="14.25" hidden="true" customHeight="false" outlineLevel="0" collapsed="false">
      <c r="A6156" s="49" t="s">
        <v>2349</v>
      </c>
      <c r="B6156" s="49" t="s">
        <v>2350</v>
      </c>
      <c r="C6156" s="49" t="s">
        <v>10718</v>
      </c>
      <c r="D6156" s="49" t="s">
        <v>2352</v>
      </c>
      <c r="E6156" s="49" t="str">
        <f aca="false">"5060458890191"</f>
        <v>5060458890191</v>
      </c>
      <c r="F6156" s="49" t="s">
        <v>3656</v>
      </c>
      <c r="G6156" s="49" t="n">
        <v>0</v>
      </c>
      <c r="H6156" s="0" t="n">
        <v>0</v>
      </c>
      <c r="M6156" s="51" t="s">
        <v>10713</v>
      </c>
      <c r="N6156" s="49" t="n">
        <v>0</v>
      </c>
      <c r="O6156" s="53" t="n">
        <v>45946.5960532407</v>
      </c>
      <c r="P6156" s="53" t="n">
        <v>46001.8966782407</v>
      </c>
      <c r="Q6156" s="53" t="n">
        <v>45946.5960532407</v>
      </c>
      <c r="R6156" s="0" t="n">
        <v>0</v>
      </c>
      <c r="S6156" s="51" t="s">
        <v>2380</v>
      </c>
      <c r="T6156" s="51" t="s">
        <v>2380</v>
      </c>
      <c r="U6156" s="0" t="str">
        <f aca="false">"5060458890191"</f>
        <v>5060458890191</v>
      </c>
      <c r="V6156" s="51" t="s">
        <v>2142</v>
      </c>
      <c r="W6156" s="51" t="s">
        <v>4967</v>
      </c>
      <c r="X6156" s="51" t="s">
        <v>2359</v>
      </c>
    </row>
    <row r="6157" customFormat="false" ht="14.25" hidden="true" customHeight="false" outlineLevel="0" collapsed="false">
      <c r="A6157" s="49" t="s">
        <v>2349</v>
      </c>
      <c r="B6157" s="49" t="s">
        <v>2350</v>
      </c>
      <c r="C6157" s="49" t="s">
        <v>10719</v>
      </c>
      <c r="D6157" s="49" t="s">
        <v>2352</v>
      </c>
      <c r="E6157" s="49" t="str">
        <f aca="false">"5060458890191"</f>
        <v>5060458890191</v>
      </c>
      <c r="F6157" s="49" t="s">
        <v>3656</v>
      </c>
      <c r="G6157" s="49" t="n">
        <v>0</v>
      </c>
      <c r="H6157" s="0" t="n">
        <v>0</v>
      </c>
      <c r="M6157" s="51" t="s">
        <v>10713</v>
      </c>
      <c r="N6157" s="49" t="n">
        <v>0</v>
      </c>
      <c r="O6157" s="53" t="n">
        <v>45946.5962152778</v>
      </c>
      <c r="P6157" s="53" t="n">
        <v>46004.4482407407</v>
      </c>
      <c r="Q6157" s="53" t="n">
        <v>45946.5962152778</v>
      </c>
      <c r="R6157" s="0" t="n">
        <v>0</v>
      </c>
      <c r="S6157" s="51" t="s">
        <v>2380</v>
      </c>
      <c r="T6157" s="51" t="s">
        <v>2380</v>
      </c>
      <c r="U6157" s="0" t="str">
        <f aca="false">"5060458890191"</f>
        <v>5060458890191</v>
      </c>
      <c r="V6157" s="51" t="s">
        <v>2142</v>
      </c>
      <c r="W6157" s="51" t="s">
        <v>10720</v>
      </c>
      <c r="X6157" s="51" t="s">
        <v>2359</v>
      </c>
    </row>
    <row r="6158" customFormat="false" ht="14.25" hidden="true" customHeight="false" outlineLevel="0" collapsed="false">
      <c r="A6158" s="49" t="s">
        <v>2349</v>
      </c>
      <c r="B6158" s="49" t="s">
        <v>2350</v>
      </c>
      <c r="C6158" s="49" t="s">
        <v>10721</v>
      </c>
      <c r="D6158" s="49" t="s">
        <v>2352</v>
      </c>
      <c r="E6158" s="49" t="str">
        <f aca="false">"5060458890191"</f>
        <v>5060458890191</v>
      </c>
      <c r="F6158" s="49" t="s">
        <v>3656</v>
      </c>
      <c r="G6158" s="49" t="n">
        <v>0</v>
      </c>
      <c r="H6158" s="0" t="n">
        <v>0</v>
      </c>
      <c r="M6158" s="51" t="s">
        <v>10713</v>
      </c>
      <c r="N6158" s="49" t="n">
        <v>0</v>
      </c>
      <c r="O6158" s="53" t="n">
        <v>45946.5963657407</v>
      </c>
      <c r="P6158" s="53" t="n">
        <v>45965.8982291667</v>
      </c>
      <c r="Q6158" s="53" t="n">
        <v>45946.5963657407</v>
      </c>
      <c r="R6158" s="0" t="n">
        <v>0</v>
      </c>
      <c r="S6158" s="51" t="s">
        <v>2380</v>
      </c>
      <c r="T6158" s="51" t="s">
        <v>2380</v>
      </c>
      <c r="U6158" s="0" t="str">
        <f aca="false">"5060458890191"</f>
        <v>5060458890191</v>
      </c>
      <c r="V6158" s="51" t="s">
        <v>2142</v>
      </c>
      <c r="W6158" s="51" t="s">
        <v>10679</v>
      </c>
      <c r="X6158" s="51" t="s">
        <v>2359</v>
      </c>
    </row>
    <row r="6159" customFormat="false" ht="14.25" hidden="true" customHeight="false" outlineLevel="0" collapsed="false">
      <c r="A6159" s="49" t="s">
        <v>2349</v>
      </c>
      <c r="B6159" s="49" t="s">
        <v>2350</v>
      </c>
      <c r="C6159" s="49" t="s">
        <v>10722</v>
      </c>
      <c r="D6159" s="49" t="s">
        <v>2352</v>
      </c>
      <c r="E6159" s="49" t="str">
        <f aca="false">"5060458890191"</f>
        <v>5060458890191</v>
      </c>
      <c r="F6159" s="49" t="s">
        <v>3656</v>
      </c>
      <c r="G6159" s="49" t="n">
        <v>0</v>
      </c>
      <c r="H6159" s="0" t="n">
        <v>0</v>
      </c>
      <c r="M6159" s="51" t="s">
        <v>10713</v>
      </c>
      <c r="N6159" s="49" t="n">
        <v>0</v>
      </c>
      <c r="O6159" s="53" t="n">
        <v>45946.5978240741</v>
      </c>
      <c r="P6159" s="53" t="n">
        <v>46004.4464583333</v>
      </c>
      <c r="Q6159" s="53" t="n">
        <v>45946.5978240741</v>
      </c>
      <c r="R6159" s="0" t="n">
        <v>0</v>
      </c>
      <c r="S6159" s="51" t="s">
        <v>2380</v>
      </c>
      <c r="T6159" s="51" t="s">
        <v>2380</v>
      </c>
      <c r="U6159" s="0" t="str">
        <f aca="false">"5060458890191"</f>
        <v>5060458890191</v>
      </c>
      <c r="V6159" s="51" t="s">
        <v>2142</v>
      </c>
      <c r="W6159" s="51" t="s">
        <v>10723</v>
      </c>
      <c r="X6159" s="51" t="s">
        <v>2359</v>
      </c>
    </row>
    <row r="6160" customFormat="false" ht="14.25" hidden="true" customHeight="false" outlineLevel="0" collapsed="false">
      <c r="A6160" s="49" t="s">
        <v>2349</v>
      </c>
      <c r="B6160" s="49" t="s">
        <v>2350</v>
      </c>
      <c r="C6160" s="49" t="s">
        <v>10724</v>
      </c>
      <c r="D6160" s="49" t="s">
        <v>2352</v>
      </c>
      <c r="E6160" s="49" t="str">
        <f aca="false">"5060458890191"</f>
        <v>5060458890191</v>
      </c>
      <c r="F6160" s="49" t="s">
        <v>3656</v>
      </c>
      <c r="G6160" s="49" t="n">
        <v>0</v>
      </c>
      <c r="H6160" s="0" t="n">
        <v>0</v>
      </c>
      <c r="M6160" s="51" t="s">
        <v>10713</v>
      </c>
      <c r="N6160" s="49" t="n">
        <v>0</v>
      </c>
      <c r="O6160" s="53" t="n">
        <v>45946.5976388889</v>
      </c>
      <c r="P6160" s="53" t="n">
        <v>45994.9365509259</v>
      </c>
      <c r="Q6160" s="53" t="n">
        <v>45946.5976388889</v>
      </c>
      <c r="R6160" s="0" t="n">
        <v>0</v>
      </c>
      <c r="S6160" s="51" t="s">
        <v>2380</v>
      </c>
      <c r="T6160" s="51" t="s">
        <v>2380</v>
      </c>
      <c r="U6160" s="0" t="str">
        <f aca="false">"5060458890191"</f>
        <v>5060458890191</v>
      </c>
      <c r="V6160" s="51" t="s">
        <v>2142</v>
      </c>
      <c r="W6160" s="51" t="s">
        <v>10568</v>
      </c>
      <c r="X6160" s="51" t="s">
        <v>2359</v>
      </c>
    </row>
    <row r="6161" customFormat="false" ht="14.25" hidden="true" customHeight="false" outlineLevel="0" collapsed="false">
      <c r="A6161" s="49" t="s">
        <v>2349</v>
      </c>
      <c r="B6161" s="49" t="s">
        <v>2350</v>
      </c>
      <c r="C6161" s="49" t="s">
        <v>10725</v>
      </c>
      <c r="D6161" s="49" t="s">
        <v>2352</v>
      </c>
      <c r="E6161" s="49" t="str">
        <f aca="false">"5060458890191"</f>
        <v>5060458890191</v>
      </c>
      <c r="F6161" s="49" t="s">
        <v>3656</v>
      </c>
      <c r="G6161" s="49" t="n">
        <v>0</v>
      </c>
      <c r="H6161" s="0" t="n">
        <v>0</v>
      </c>
      <c r="M6161" s="51" t="s">
        <v>10713</v>
      </c>
      <c r="N6161" s="49" t="n">
        <v>0</v>
      </c>
      <c r="O6161" s="53" t="n">
        <v>45946.5971180556</v>
      </c>
      <c r="P6161" s="53" t="n">
        <v>45960.7337962963</v>
      </c>
      <c r="Q6161" s="53" t="n">
        <v>45946.5971180556</v>
      </c>
      <c r="R6161" s="0" t="n">
        <v>0</v>
      </c>
      <c r="S6161" s="51" t="s">
        <v>2380</v>
      </c>
      <c r="T6161" s="51" t="s">
        <v>2380</v>
      </c>
      <c r="U6161" s="0" t="str">
        <f aca="false">"5060458890191"</f>
        <v>5060458890191</v>
      </c>
      <c r="V6161" s="51" t="s">
        <v>2142</v>
      </c>
      <c r="W6161" s="51" t="s">
        <v>10726</v>
      </c>
      <c r="X6161" s="51" t="s">
        <v>2359</v>
      </c>
    </row>
    <row r="6162" customFormat="false" ht="14.25" hidden="true" customHeight="false" outlineLevel="0" collapsed="false">
      <c r="A6162" s="49" t="s">
        <v>2349</v>
      </c>
      <c r="B6162" s="49" t="s">
        <v>2350</v>
      </c>
      <c r="C6162" s="49" t="s">
        <v>10727</v>
      </c>
      <c r="D6162" s="49" t="s">
        <v>2352</v>
      </c>
      <c r="E6162" s="49" t="str">
        <f aca="false">"5060458890191"</f>
        <v>5060458890191</v>
      </c>
      <c r="F6162" s="49" t="s">
        <v>3656</v>
      </c>
      <c r="G6162" s="49" t="n">
        <v>0</v>
      </c>
      <c r="H6162" s="0" t="n">
        <v>0</v>
      </c>
      <c r="M6162" s="51" t="s">
        <v>10713</v>
      </c>
      <c r="N6162" s="49" t="n">
        <v>0</v>
      </c>
      <c r="O6162" s="53" t="n">
        <v>45946.5969675926</v>
      </c>
      <c r="P6162" s="53" t="n">
        <v>45960.7326157407</v>
      </c>
      <c r="Q6162" s="53" t="n">
        <v>45946.5969675926</v>
      </c>
      <c r="R6162" s="0" t="n">
        <v>0</v>
      </c>
      <c r="S6162" s="51" t="s">
        <v>2380</v>
      </c>
      <c r="T6162" s="51" t="s">
        <v>2380</v>
      </c>
      <c r="U6162" s="0" t="str">
        <f aca="false">"5060458890191"</f>
        <v>5060458890191</v>
      </c>
      <c r="V6162" s="51" t="s">
        <v>2142</v>
      </c>
      <c r="W6162" s="51" t="s">
        <v>4833</v>
      </c>
      <c r="X6162" s="51" t="s">
        <v>2359</v>
      </c>
    </row>
    <row r="6163" customFormat="false" ht="14.25" hidden="true" customHeight="false" outlineLevel="0" collapsed="false">
      <c r="A6163" s="49" t="s">
        <v>2349</v>
      </c>
      <c r="B6163" s="49" t="s">
        <v>2350</v>
      </c>
      <c r="C6163" s="49" t="s">
        <v>10728</v>
      </c>
      <c r="D6163" s="49" t="s">
        <v>2352</v>
      </c>
      <c r="E6163" s="49" t="str">
        <f aca="false">"5060458890191"</f>
        <v>5060458890191</v>
      </c>
      <c r="F6163" s="49" t="s">
        <v>3656</v>
      </c>
      <c r="G6163" s="49" t="n">
        <v>0</v>
      </c>
      <c r="H6163" s="0" t="n">
        <v>0</v>
      </c>
      <c r="M6163" s="51" t="s">
        <v>10713</v>
      </c>
      <c r="N6163" s="49" t="n">
        <v>0</v>
      </c>
      <c r="O6163" s="53" t="n">
        <v>45946.5968171296</v>
      </c>
      <c r="P6163" s="53" t="n">
        <v>45960.7314467593</v>
      </c>
      <c r="Q6163" s="53" t="n">
        <v>45946.5968171296</v>
      </c>
      <c r="R6163" s="0" t="n">
        <v>0</v>
      </c>
      <c r="S6163" s="51" t="s">
        <v>2380</v>
      </c>
      <c r="T6163" s="51" t="s">
        <v>2380</v>
      </c>
      <c r="U6163" s="0" t="str">
        <f aca="false">"5060458890191"</f>
        <v>5060458890191</v>
      </c>
      <c r="V6163" s="51" t="s">
        <v>2142</v>
      </c>
      <c r="W6163" s="51" t="s">
        <v>10729</v>
      </c>
      <c r="X6163" s="51" t="s">
        <v>2359</v>
      </c>
    </row>
    <row r="6164" customFormat="false" ht="14.25" hidden="true" customHeight="false" outlineLevel="0" collapsed="false">
      <c r="A6164" s="49" t="s">
        <v>2349</v>
      </c>
      <c r="B6164" s="49" t="s">
        <v>2350</v>
      </c>
      <c r="C6164" s="49" t="s">
        <v>10730</v>
      </c>
      <c r="D6164" s="49" t="s">
        <v>2352</v>
      </c>
      <c r="E6164" s="49" t="str">
        <f aca="false">"5060458890191"</f>
        <v>5060458890191</v>
      </c>
      <c r="F6164" s="49" t="s">
        <v>3656</v>
      </c>
      <c r="G6164" s="49" t="n">
        <v>0</v>
      </c>
      <c r="H6164" s="0" t="n">
        <v>0</v>
      </c>
      <c r="M6164" s="51" t="s">
        <v>10713</v>
      </c>
      <c r="N6164" s="49" t="n">
        <v>0</v>
      </c>
      <c r="O6164" s="53" t="n">
        <v>45946.5966435185</v>
      </c>
      <c r="P6164" s="53" t="n">
        <v>45965.8997337963</v>
      </c>
      <c r="Q6164" s="53" t="n">
        <v>45946.5966435185</v>
      </c>
      <c r="R6164" s="0" t="n">
        <v>0</v>
      </c>
      <c r="S6164" s="51" t="s">
        <v>2380</v>
      </c>
      <c r="T6164" s="51" t="s">
        <v>2380</v>
      </c>
      <c r="U6164" s="0" t="str">
        <f aca="false">"5060458890191"</f>
        <v>5060458890191</v>
      </c>
      <c r="V6164" s="51" t="s">
        <v>2142</v>
      </c>
      <c r="W6164" s="51" t="s">
        <v>10687</v>
      </c>
      <c r="X6164" s="51" t="s">
        <v>2359</v>
      </c>
    </row>
    <row r="6165" customFormat="false" ht="14.25" hidden="true" customHeight="false" outlineLevel="0" collapsed="false">
      <c r="A6165" s="49" t="s">
        <v>2349</v>
      </c>
      <c r="B6165" s="49" t="s">
        <v>2350</v>
      </c>
      <c r="C6165" s="49" t="s">
        <v>10731</v>
      </c>
      <c r="D6165" s="49" t="s">
        <v>2352</v>
      </c>
      <c r="E6165" s="49" t="str">
        <f aca="false">"5060458890191"</f>
        <v>5060458890191</v>
      </c>
      <c r="F6165" s="49" t="s">
        <v>3656</v>
      </c>
      <c r="G6165" s="49" t="n">
        <v>0</v>
      </c>
      <c r="H6165" s="0" t="n">
        <v>0</v>
      </c>
      <c r="M6165" s="51" t="s">
        <v>10713</v>
      </c>
      <c r="N6165" s="49" t="n">
        <v>0</v>
      </c>
      <c r="O6165" s="53" t="n">
        <v>45946.598125</v>
      </c>
      <c r="P6165" s="53" t="n">
        <v>45965.8964930556</v>
      </c>
      <c r="Q6165" s="53" t="n">
        <v>45946.598125</v>
      </c>
      <c r="R6165" s="0" t="n">
        <v>0</v>
      </c>
      <c r="S6165" s="51" t="s">
        <v>2380</v>
      </c>
      <c r="T6165" s="51" t="s">
        <v>2380</v>
      </c>
      <c r="U6165" s="0" t="str">
        <f aca="false">"5060458890191"</f>
        <v>5060458890191</v>
      </c>
      <c r="V6165" s="51" t="s">
        <v>2142</v>
      </c>
      <c r="W6165" s="51" t="s">
        <v>5033</v>
      </c>
      <c r="X6165" s="51" t="s">
        <v>2359</v>
      </c>
    </row>
    <row r="6166" customFormat="false" ht="14.25" hidden="true" customHeight="false" outlineLevel="0" collapsed="false">
      <c r="A6166" s="49" t="s">
        <v>2349</v>
      </c>
      <c r="B6166" s="49" t="s">
        <v>2350</v>
      </c>
      <c r="C6166" s="49" t="s">
        <v>10732</v>
      </c>
      <c r="D6166" s="49" t="s">
        <v>2352</v>
      </c>
      <c r="E6166" s="49" t="str">
        <f aca="false">"5060458890191"</f>
        <v>5060458890191</v>
      </c>
      <c r="F6166" s="49" t="s">
        <v>3656</v>
      </c>
      <c r="G6166" s="49" t="n">
        <v>0</v>
      </c>
      <c r="H6166" s="0" t="n">
        <v>0</v>
      </c>
      <c r="M6166" s="51" t="s">
        <v>10713</v>
      </c>
      <c r="N6166" s="49" t="n">
        <v>0</v>
      </c>
      <c r="O6166" s="53" t="n">
        <v>45946.5984490741</v>
      </c>
      <c r="P6166" s="53" t="n">
        <v>45960.7211689815</v>
      </c>
      <c r="Q6166" s="53" t="n">
        <v>45946.5984490741</v>
      </c>
      <c r="R6166" s="0" t="n">
        <v>0</v>
      </c>
      <c r="S6166" s="51" t="s">
        <v>2380</v>
      </c>
      <c r="T6166" s="51" t="s">
        <v>2380</v>
      </c>
      <c r="U6166" s="0" t="str">
        <f aca="false">"5060458890191"</f>
        <v>5060458890191</v>
      </c>
      <c r="V6166" s="51" t="s">
        <v>2142</v>
      </c>
      <c r="W6166" s="51" t="s">
        <v>10733</v>
      </c>
      <c r="X6166" s="51" t="s">
        <v>2359</v>
      </c>
    </row>
    <row r="6167" customFormat="false" ht="14.25" hidden="true" customHeight="false" outlineLevel="0" collapsed="false">
      <c r="A6167" s="49" t="s">
        <v>2349</v>
      </c>
      <c r="B6167" s="49" t="s">
        <v>2350</v>
      </c>
      <c r="C6167" s="49" t="s">
        <v>10734</v>
      </c>
      <c r="D6167" s="49" t="s">
        <v>2352</v>
      </c>
      <c r="E6167" s="49" t="str">
        <f aca="false">"5060458890191"</f>
        <v>5060458890191</v>
      </c>
      <c r="F6167" s="49" t="s">
        <v>3656</v>
      </c>
      <c r="G6167" s="49" t="n">
        <v>0</v>
      </c>
      <c r="H6167" s="0" t="n">
        <v>0</v>
      </c>
      <c r="M6167" s="51" t="s">
        <v>10713</v>
      </c>
      <c r="N6167" s="49" t="n">
        <v>0</v>
      </c>
      <c r="O6167" s="53" t="n">
        <v>45946.5986111111</v>
      </c>
      <c r="P6167" s="53" t="n">
        <v>45960.7238888889</v>
      </c>
      <c r="Q6167" s="53" t="n">
        <v>45946.5986111111</v>
      </c>
      <c r="R6167" s="0" t="n">
        <v>0</v>
      </c>
      <c r="S6167" s="51" t="s">
        <v>2380</v>
      </c>
      <c r="T6167" s="51" t="s">
        <v>2380</v>
      </c>
      <c r="U6167" s="0" t="str">
        <f aca="false">"5060458890191"</f>
        <v>5060458890191</v>
      </c>
      <c r="V6167" s="51" t="s">
        <v>2142</v>
      </c>
      <c r="W6167" s="51" t="s">
        <v>10735</v>
      </c>
      <c r="X6167" s="51" t="s">
        <v>2359</v>
      </c>
    </row>
    <row r="6168" customFormat="false" ht="14.25" hidden="true" customHeight="false" outlineLevel="0" collapsed="false">
      <c r="A6168" s="49" t="s">
        <v>2349</v>
      </c>
      <c r="B6168" s="49" t="s">
        <v>2350</v>
      </c>
      <c r="C6168" s="49" t="s">
        <v>10736</v>
      </c>
      <c r="D6168" s="49" t="s">
        <v>2352</v>
      </c>
      <c r="E6168" s="49" t="str">
        <f aca="false">"5060458890191"</f>
        <v>5060458890191</v>
      </c>
      <c r="F6168" s="49" t="s">
        <v>3656</v>
      </c>
      <c r="G6168" s="49" t="n">
        <v>0</v>
      </c>
      <c r="H6168" s="0" t="n">
        <v>0</v>
      </c>
      <c r="M6168" s="51" t="s">
        <v>10713</v>
      </c>
      <c r="N6168" s="49" t="n">
        <v>0</v>
      </c>
      <c r="O6168" s="53" t="n">
        <v>45946.6011342593</v>
      </c>
      <c r="P6168" s="53" t="n">
        <v>45960.7181828704</v>
      </c>
      <c r="Q6168" s="53" t="n">
        <v>45946.6011342593</v>
      </c>
      <c r="R6168" s="0" t="n">
        <v>0</v>
      </c>
      <c r="S6168" s="51" t="s">
        <v>2380</v>
      </c>
      <c r="T6168" s="51" t="s">
        <v>2380</v>
      </c>
      <c r="U6168" s="0" t="str">
        <f aca="false">"5060458890191"</f>
        <v>5060458890191</v>
      </c>
      <c r="V6168" s="51" t="s">
        <v>2142</v>
      </c>
      <c r="W6168" s="51" t="s">
        <v>10737</v>
      </c>
      <c r="X6168" s="51" t="s">
        <v>2359</v>
      </c>
    </row>
    <row r="6169" customFormat="false" ht="14.25" hidden="true" customHeight="false" outlineLevel="0" collapsed="false">
      <c r="A6169" s="49" t="s">
        <v>2349</v>
      </c>
      <c r="B6169" s="49" t="s">
        <v>2350</v>
      </c>
      <c r="C6169" s="49" t="s">
        <v>10738</v>
      </c>
      <c r="D6169" s="49" t="s">
        <v>2352</v>
      </c>
      <c r="E6169" s="49" t="str">
        <f aca="false">"5060458890191"</f>
        <v>5060458890191</v>
      </c>
      <c r="F6169" s="49" t="s">
        <v>3656</v>
      </c>
      <c r="G6169" s="49" t="n">
        <v>0</v>
      </c>
      <c r="H6169" s="0" t="n">
        <v>0</v>
      </c>
      <c r="M6169" s="51" t="s">
        <v>10713</v>
      </c>
      <c r="N6169" s="49" t="n">
        <v>0</v>
      </c>
      <c r="O6169" s="53" t="n">
        <v>45946.6010069444</v>
      </c>
      <c r="P6169" s="53" t="n">
        <v>45960.7279050926</v>
      </c>
      <c r="Q6169" s="53" t="n">
        <v>45946.6010069444</v>
      </c>
      <c r="R6169" s="0" t="n">
        <v>0</v>
      </c>
      <c r="S6169" s="51" t="s">
        <v>2380</v>
      </c>
      <c r="T6169" s="51" t="s">
        <v>2380</v>
      </c>
      <c r="U6169" s="0" t="str">
        <f aca="false">"5060458890191"</f>
        <v>5060458890191</v>
      </c>
      <c r="V6169" s="51" t="s">
        <v>2142</v>
      </c>
      <c r="W6169" s="51" t="s">
        <v>10739</v>
      </c>
      <c r="X6169" s="51" t="s">
        <v>2359</v>
      </c>
    </row>
    <row r="6170" customFormat="false" ht="14.25" hidden="true" customHeight="false" outlineLevel="0" collapsed="false">
      <c r="A6170" s="49" t="s">
        <v>2349</v>
      </c>
      <c r="B6170" s="49" t="s">
        <v>2350</v>
      </c>
      <c r="C6170" s="49" t="s">
        <v>10740</v>
      </c>
      <c r="D6170" s="49" t="s">
        <v>2352</v>
      </c>
      <c r="E6170" s="49" t="str">
        <f aca="false">"5060458890191"</f>
        <v>5060458890191</v>
      </c>
      <c r="F6170" s="49" t="s">
        <v>3656</v>
      </c>
      <c r="G6170" s="49" t="n">
        <v>0</v>
      </c>
      <c r="H6170" s="0" t="n">
        <v>0</v>
      </c>
      <c r="M6170" s="51" t="s">
        <v>10713</v>
      </c>
      <c r="N6170" s="49" t="n">
        <v>0</v>
      </c>
      <c r="O6170" s="53" t="n">
        <v>45946.6008564815</v>
      </c>
      <c r="P6170" s="53" t="n">
        <v>45965.9050578704</v>
      </c>
      <c r="Q6170" s="53" t="n">
        <v>45946.6008564815</v>
      </c>
      <c r="R6170" s="0" t="n">
        <v>0</v>
      </c>
      <c r="S6170" s="51" t="s">
        <v>2380</v>
      </c>
      <c r="T6170" s="51" t="s">
        <v>2380</v>
      </c>
      <c r="U6170" s="0" t="str">
        <f aca="false">"5060458890191"</f>
        <v>5060458890191</v>
      </c>
      <c r="V6170" s="51" t="s">
        <v>2142</v>
      </c>
      <c r="W6170" s="51" t="s">
        <v>10687</v>
      </c>
      <c r="X6170" s="51" t="s">
        <v>2359</v>
      </c>
    </row>
    <row r="6171" customFormat="false" ht="14.25" hidden="true" customHeight="false" outlineLevel="0" collapsed="false">
      <c r="A6171" s="49" t="s">
        <v>2349</v>
      </c>
      <c r="B6171" s="49" t="s">
        <v>2350</v>
      </c>
      <c r="C6171" s="49" t="s">
        <v>10741</v>
      </c>
      <c r="D6171" s="49" t="s">
        <v>2352</v>
      </c>
      <c r="E6171" s="49" t="str">
        <f aca="false">"5060458890191"</f>
        <v>5060458890191</v>
      </c>
      <c r="F6171" s="49" t="s">
        <v>3656</v>
      </c>
      <c r="G6171" s="49" t="n">
        <v>0</v>
      </c>
      <c r="H6171" s="0" t="n">
        <v>0</v>
      </c>
      <c r="M6171" s="51" t="s">
        <v>10713</v>
      </c>
      <c r="N6171" s="49" t="n">
        <v>0</v>
      </c>
      <c r="O6171" s="53" t="n">
        <v>45946.6007407407</v>
      </c>
      <c r="P6171" s="53" t="n">
        <v>45965.9196643519</v>
      </c>
      <c r="Q6171" s="53" t="n">
        <v>45946.6007407407</v>
      </c>
      <c r="R6171" s="0" t="n">
        <v>0</v>
      </c>
      <c r="S6171" s="51" t="s">
        <v>2380</v>
      </c>
      <c r="T6171" s="51" t="s">
        <v>2380</v>
      </c>
      <c r="U6171" s="0" t="str">
        <f aca="false">"5060458890191"</f>
        <v>5060458890191</v>
      </c>
      <c r="V6171" s="51" t="s">
        <v>2142</v>
      </c>
      <c r="W6171" s="51" t="s">
        <v>10742</v>
      </c>
      <c r="X6171" s="51" t="s">
        <v>2359</v>
      </c>
    </row>
    <row r="6172" customFormat="false" ht="14.25" hidden="true" customHeight="false" outlineLevel="0" collapsed="false">
      <c r="A6172" s="49" t="s">
        <v>2349</v>
      </c>
      <c r="B6172" s="49" t="s">
        <v>2350</v>
      </c>
      <c r="C6172" s="49" t="s">
        <v>10743</v>
      </c>
      <c r="D6172" s="49" t="s">
        <v>2352</v>
      </c>
      <c r="E6172" s="49" t="str">
        <f aca="false">"5060458890191"</f>
        <v>5060458890191</v>
      </c>
      <c r="F6172" s="49" t="s">
        <v>3656</v>
      </c>
      <c r="G6172" s="49" t="n">
        <v>0</v>
      </c>
      <c r="H6172" s="0" t="n">
        <v>0</v>
      </c>
      <c r="M6172" s="51" t="s">
        <v>10713</v>
      </c>
      <c r="N6172" s="49" t="n">
        <v>0</v>
      </c>
      <c r="O6172" s="53" t="n">
        <v>45946.6005671296</v>
      </c>
      <c r="P6172" s="53" t="n">
        <v>45960.4332060185</v>
      </c>
      <c r="Q6172" s="53" t="n">
        <v>45946.6005671296</v>
      </c>
      <c r="R6172" s="0" t="n">
        <v>0</v>
      </c>
      <c r="S6172" s="51" t="s">
        <v>2380</v>
      </c>
      <c r="T6172" s="51" t="s">
        <v>2380</v>
      </c>
      <c r="U6172" s="0" t="str">
        <f aca="false">"5060458890191"</f>
        <v>5060458890191</v>
      </c>
      <c r="V6172" s="51" t="s">
        <v>2142</v>
      </c>
      <c r="W6172" s="51" t="s">
        <v>10744</v>
      </c>
      <c r="X6172" s="51" t="s">
        <v>2359</v>
      </c>
    </row>
    <row r="6173" customFormat="false" ht="14.25" hidden="true" customHeight="false" outlineLevel="0" collapsed="false">
      <c r="A6173" s="49" t="s">
        <v>2349</v>
      </c>
      <c r="B6173" s="49" t="s">
        <v>2350</v>
      </c>
      <c r="C6173" s="49" t="s">
        <v>10745</v>
      </c>
      <c r="D6173" s="49" t="s">
        <v>2352</v>
      </c>
      <c r="E6173" s="49" t="str">
        <f aca="false">"5060458890191"</f>
        <v>5060458890191</v>
      </c>
      <c r="F6173" s="49" t="s">
        <v>3656</v>
      </c>
      <c r="G6173" s="49" t="n">
        <v>0</v>
      </c>
      <c r="H6173" s="0" t="n">
        <v>0</v>
      </c>
      <c r="M6173" s="51" t="s">
        <v>10713</v>
      </c>
      <c r="N6173" s="49" t="n">
        <v>0</v>
      </c>
      <c r="O6173" s="53" t="n">
        <v>45946.6004282407</v>
      </c>
      <c r="P6173" s="53" t="n">
        <v>45960.7417708333</v>
      </c>
      <c r="Q6173" s="53" t="n">
        <v>45946.6004282407</v>
      </c>
      <c r="R6173" s="0" t="n">
        <v>0</v>
      </c>
      <c r="S6173" s="51" t="s">
        <v>2380</v>
      </c>
      <c r="T6173" s="51" t="s">
        <v>2380</v>
      </c>
      <c r="U6173" s="0" t="str">
        <f aca="false">"5060458890191"</f>
        <v>5060458890191</v>
      </c>
      <c r="V6173" s="51" t="s">
        <v>2142</v>
      </c>
      <c r="W6173" s="51" t="s">
        <v>10276</v>
      </c>
      <c r="X6173" s="51" t="s">
        <v>2359</v>
      </c>
    </row>
    <row r="6174" customFormat="false" ht="14.25" hidden="true" customHeight="false" outlineLevel="0" collapsed="false">
      <c r="A6174" s="49" t="s">
        <v>2349</v>
      </c>
      <c r="B6174" s="49" t="s">
        <v>2350</v>
      </c>
      <c r="C6174" s="49" t="s">
        <v>10746</v>
      </c>
      <c r="D6174" s="49" t="s">
        <v>2352</v>
      </c>
      <c r="E6174" s="49" t="str">
        <f aca="false">"5060458890191"</f>
        <v>5060458890191</v>
      </c>
      <c r="F6174" s="49" t="s">
        <v>3656</v>
      </c>
      <c r="G6174" s="49" t="n">
        <v>0</v>
      </c>
      <c r="H6174" s="0" t="n">
        <v>0</v>
      </c>
      <c r="M6174" s="51" t="s">
        <v>10713</v>
      </c>
      <c r="N6174" s="49" t="n">
        <v>0</v>
      </c>
      <c r="O6174" s="53" t="n">
        <v>45946.6001041667</v>
      </c>
      <c r="P6174" s="53" t="n">
        <v>46004.4467708333</v>
      </c>
      <c r="Q6174" s="53" t="n">
        <v>45946.6001041667</v>
      </c>
      <c r="R6174" s="0" t="n">
        <v>0</v>
      </c>
      <c r="S6174" s="51" t="s">
        <v>2380</v>
      </c>
      <c r="T6174" s="51" t="s">
        <v>2380</v>
      </c>
      <c r="U6174" s="0" t="str">
        <f aca="false">"5060458890191"</f>
        <v>5060458890191</v>
      </c>
      <c r="V6174" s="51" t="s">
        <v>2142</v>
      </c>
      <c r="W6174" s="51" t="s">
        <v>10747</v>
      </c>
      <c r="X6174" s="51" t="s">
        <v>2359</v>
      </c>
    </row>
    <row r="6175" customFormat="false" ht="14.25" hidden="true" customHeight="false" outlineLevel="0" collapsed="false">
      <c r="A6175" s="49" t="s">
        <v>2349</v>
      </c>
      <c r="B6175" s="49" t="s">
        <v>2350</v>
      </c>
      <c r="C6175" s="49" t="s">
        <v>10748</v>
      </c>
      <c r="D6175" s="49" t="s">
        <v>2352</v>
      </c>
      <c r="E6175" s="49" t="str">
        <f aca="false">"5060458890191"</f>
        <v>5060458890191</v>
      </c>
      <c r="F6175" s="49" t="s">
        <v>3656</v>
      </c>
      <c r="G6175" s="49" t="n">
        <v>0</v>
      </c>
      <c r="H6175" s="0" t="n">
        <v>0</v>
      </c>
      <c r="M6175" s="51" t="s">
        <v>10713</v>
      </c>
      <c r="N6175" s="49" t="n">
        <v>0</v>
      </c>
      <c r="O6175" s="53" t="n">
        <v>45946.5998263889</v>
      </c>
      <c r="P6175" s="53" t="n">
        <v>45960.7566898148</v>
      </c>
      <c r="Q6175" s="53" t="n">
        <v>45946.5998263889</v>
      </c>
      <c r="R6175" s="0" t="n">
        <v>0</v>
      </c>
      <c r="S6175" s="51" t="s">
        <v>2380</v>
      </c>
      <c r="T6175" s="51" t="s">
        <v>2380</v>
      </c>
      <c r="U6175" s="0" t="str">
        <f aca="false">"5060458890191"</f>
        <v>5060458890191</v>
      </c>
      <c r="V6175" s="51" t="s">
        <v>2142</v>
      </c>
      <c r="W6175" s="51" t="s">
        <v>10737</v>
      </c>
      <c r="X6175" s="51" t="s">
        <v>2359</v>
      </c>
    </row>
    <row r="6176" customFormat="false" ht="14.25" hidden="true" customHeight="false" outlineLevel="0" collapsed="false">
      <c r="A6176" s="49" t="s">
        <v>2349</v>
      </c>
      <c r="B6176" s="49" t="s">
        <v>2350</v>
      </c>
      <c r="C6176" s="49" t="s">
        <v>10749</v>
      </c>
      <c r="D6176" s="49" t="s">
        <v>2352</v>
      </c>
      <c r="E6176" s="49" t="str">
        <f aca="false">"5060458890191"</f>
        <v>5060458890191</v>
      </c>
      <c r="F6176" s="49" t="s">
        <v>3656</v>
      </c>
      <c r="G6176" s="49" t="n">
        <v>0</v>
      </c>
      <c r="H6176" s="0" t="n">
        <v>0</v>
      </c>
      <c r="M6176" s="51" t="s">
        <v>10713</v>
      </c>
      <c r="N6176" s="49" t="n">
        <v>0</v>
      </c>
      <c r="O6176" s="53" t="n">
        <v>45946.5996296296</v>
      </c>
      <c r="P6176" s="53" t="n">
        <v>45960.7554050926</v>
      </c>
      <c r="Q6176" s="53" t="n">
        <v>45946.5996296296</v>
      </c>
      <c r="R6176" s="0" t="n">
        <v>0</v>
      </c>
      <c r="S6176" s="51" t="s">
        <v>2380</v>
      </c>
      <c r="T6176" s="51" t="s">
        <v>2380</v>
      </c>
      <c r="U6176" s="0" t="str">
        <f aca="false">"5060458890191"</f>
        <v>5060458890191</v>
      </c>
      <c r="V6176" s="51" t="s">
        <v>2142</v>
      </c>
      <c r="W6176" s="51" t="s">
        <v>10750</v>
      </c>
      <c r="X6176" s="51" t="s">
        <v>2359</v>
      </c>
    </row>
    <row r="6177" customFormat="false" ht="14.25" hidden="true" customHeight="false" outlineLevel="0" collapsed="false">
      <c r="A6177" s="49" t="s">
        <v>2349</v>
      </c>
      <c r="B6177" s="49" t="s">
        <v>2350</v>
      </c>
      <c r="C6177" s="49" t="s">
        <v>10751</v>
      </c>
      <c r="D6177" s="49" t="s">
        <v>2352</v>
      </c>
      <c r="E6177" s="49" t="str">
        <f aca="false">"5060458890191"</f>
        <v>5060458890191</v>
      </c>
      <c r="F6177" s="49" t="s">
        <v>3656</v>
      </c>
      <c r="G6177" s="49" t="n">
        <v>0</v>
      </c>
      <c r="H6177" s="0" t="n">
        <v>0</v>
      </c>
      <c r="M6177" s="51" t="s">
        <v>10713</v>
      </c>
      <c r="N6177" s="49" t="n">
        <v>0</v>
      </c>
      <c r="O6177" s="53" t="n">
        <v>45946.5988425926</v>
      </c>
      <c r="P6177" s="53" t="n">
        <v>45960.7225347222</v>
      </c>
      <c r="Q6177" s="53" t="n">
        <v>45946.5988425926</v>
      </c>
      <c r="R6177" s="0" t="n">
        <v>0</v>
      </c>
      <c r="S6177" s="51" t="s">
        <v>2380</v>
      </c>
      <c r="T6177" s="51" t="s">
        <v>2380</v>
      </c>
      <c r="U6177" s="0" t="str">
        <f aca="false">"5060458890191"</f>
        <v>5060458890191</v>
      </c>
      <c r="V6177" s="51" t="s">
        <v>2142</v>
      </c>
      <c r="W6177" s="51" t="s">
        <v>10752</v>
      </c>
      <c r="X6177" s="51" t="s">
        <v>2359</v>
      </c>
    </row>
    <row r="6178" customFormat="false" ht="14.25" hidden="true" customHeight="false" outlineLevel="0" collapsed="false">
      <c r="A6178" s="49" t="s">
        <v>2349</v>
      </c>
      <c r="B6178" s="49" t="s">
        <v>2350</v>
      </c>
      <c r="C6178" s="49" t="s">
        <v>10753</v>
      </c>
      <c r="D6178" s="49" t="s">
        <v>2352</v>
      </c>
      <c r="E6178" s="49" t="str">
        <f aca="false">"5060458890191"</f>
        <v>5060458890191</v>
      </c>
      <c r="F6178" s="49" t="s">
        <v>3656</v>
      </c>
      <c r="G6178" s="49" t="n">
        <v>0</v>
      </c>
      <c r="H6178" s="0" t="n">
        <v>0</v>
      </c>
      <c r="M6178" s="51" t="s">
        <v>10713</v>
      </c>
      <c r="N6178" s="49" t="n">
        <v>0</v>
      </c>
      <c r="O6178" s="53" t="n">
        <v>45946.5990277778</v>
      </c>
      <c r="P6178" s="53" t="n">
        <v>45960.7302546296</v>
      </c>
      <c r="Q6178" s="53" t="n">
        <v>45946.5990277778</v>
      </c>
      <c r="R6178" s="0" t="n">
        <v>0</v>
      </c>
      <c r="S6178" s="51" t="s">
        <v>2380</v>
      </c>
      <c r="T6178" s="51" t="s">
        <v>2380</v>
      </c>
      <c r="U6178" s="0" t="str">
        <f aca="false">"5060458890191"</f>
        <v>5060458890191</v>
      </c>
      <c r="V6178" s="51" t="s">
        <v>2142</v>
      </c>
      <c r="W6178" s="51" t="s">
        <v>10568</v>
      </c>
      <c r="X6178" s="51" t="s">
        <v>2359</v>
      </c>
    </row>
    <row r="6179" customFormat="false" ht="14.25" hidden="true" customHeight="false" outlineLevel="0" collapsed="false">
      <c r="A6179" s="49" t="s">
        <v>2349</v>
      </c>
      <c r="B6179" s="49" t="s">
        <v>2350</v>
      </c>
      <c r="C6179" s="49" t="s">
        <v>10754</v>
      </c>
      <c r="D6179" s="49" t="s">
        <v>2352</v>
      </c>
      <c r="E6179" s="49" t="str">
        <f aca="false">"5060458890191"</f>
        <v>5060458890191</v>
      </c>
      <c r="F6179" s="49" t="s">
        <v>3656</v>
      </c>
      <c r="G6179" s="49" t="n">
        <v>0</v>
      </c>
      <c r="H6179" s="0" t="n">
        <v>0</v>
      </c>
      <c r="M6179" s="51" t="s">
        <v>10713</v>
      </c>
      <c r="N6179" s="49" t="n">
        <v>0</v>
      </c>
      <c r="O6179" s="53" t="n">
        <v>45946.5991898148</v>
      </c>
      <c r="P6179" s="53" t="n">
        <v>45960.7290972222</v>
      </c>
      <c r="Q6179" s="53" t="n">
        <v>45946.5991898148</v>
      </c>
      <c r="R6179" s="0" t="n">
        <v>0</v>
      </c>
      <c r="S6179" s="51" t="s">
        <v>2380</v>
      </c>
      <c r="T6179" s="51" t="s">
        <v>2380</v>
      </c>
      <c r="U6179" s="0" t="str">
        <f aca="false">"5060458890191"</f>
        <v>5060458890191</v>
      </c>
      <c r="V6179" s="51" t="s">
        <v>2142</v>
      </c>
      <c r="W6179" s="51" t="s">
        <v>4202</v>
      </c>
      <c r="X6179" s="51" t="s">
        <v>2359</v>
      </c>
    </row>
    <row r="6180" customFormat="false" ht="14.25" hidden="true" customHeight="false" outlineLevel="0" collapsed="false">
      <c r="A6180" s="49" t="s">
        <v>2349</v>
      </c>
      <c r="B6180" s="49" t="s">
        <v>2350</v>
      </c>
      <c r="C6180" s="49" t="s">
        <v>10755</v>
      </c>
      <c r="D6180" s="49" t="s">
        <v>2352</v>
      </c>
      <c r="E6180" s="49" t="str">
        <f aca="false">"5060458890191"</f>
        <v>5060458890191</v>
      </c>
      <c r="F6180" s="49" t="s">
        <v>3656</v>
      </c>
      <c r="G6180" s="49" t="n">
        <v>0</v>
      </c>
      <c r="H6180" s="0" t="n">
        <v>0</v>
      </c>
      <c r="M6180" s="51" t="s">
        <v>10713</v>
      </c>
      <c r="N6180" s="49" t="n">
        <v>0</v>
      </c>
      <c r="O6180" s="53" t="n">
        <v>45946.5994328704</v>
      </c>
      <c r="P6180" s="53" t="n">
        <v>45960.7584722222</v>
      </c>
      <c r="Q6180" s="53" t="n">
        <v>45946.5994328704</v>
      </c>
      <c r="R6180" s="0" t="n">
        <v>0</v>
      </c>
      <c r="S6180" s="51" t="s">
        <v>2380</v>
      </c>
      <c r="T6180" s="51" t="s">
        <v>2380</v>
      </c>
      <c r="U6180" s="0" t="str">
        <f aca="false">"5060458890191"</f>
        <v>5060458890191</v>
      </c>
      <c r="V6180" s="51" t="s">
        <v>2142</v>
      </c>
      <c r="W6180" s="51" t="s">
        <v>8948</v>
      </c>
      <c r="X6180" s="51" t="s">
        <v>2359</v>
      </c>
    </row>
    <row r="6181" customFormat="false" ht="14.25" hidden="true" customHeight="false" outlineLevel="0" collapsed="false">
      <c r="A6181" s="49" t="s">
        <v>2349</v>
      </c>
      <c r="B6181" s="49" t="s">
        <v>2350</v>
      </c>
      <c r="C6181" s="49" t="s">
        <v>10756</v>
      </c>
      <c r="D6181" s="49" t="s">
        <v>2352</v>
      </c>
      <c r="E6181" s="49" t="str">
        <f aca="false">"5060458890191"</f>
        <v>5060458890191</v>
      </c>
      <c r="F6181" s="49" t="s">
        <v>3656</v>
      </c>
      <c r="G6181" s="49" t="n">
        <v>0</v>
      </c>
      <c r="H6181" s="0" t="n">
        <v>0</v>
      </c>
      <c r="M6181" s="51" t="s">
        <v>10713</v>
      </c>
      <c r="N6181" s="49" t="n">
        <v>0</v>
      </c>
      <c r="O6181" s="53" t="n">
        <v>45946.6012615741</v>
      </c>
      <c r="P6181" s="53" t="n">
        <v>45960.7200810185</v>
      </c>
      <c r="Q6181" s="53" t="n">
        <v>45946.6012615741</v>
      </c>
      <c r="R6181" s="0" t="n">
        <v>0</v>
      </c>
      <c r="S6181" s="51" t="s">
        <v>2380</v>
      </c>
      <c r="T6181" s="51" t="s">
        <v>2380</v>
      </c>
      <c r="U6181" s="0" t="str">
        <f aca="false">"5060458890191"</f>
        <v>5060458890191</v>
      </c>
      <c r="V6181" s="51" t="s">
        <v>2142</v>
      </c>
      <c r="W6181" s="51" t="s">
        <v>10757</v>
      </c>
      <c r="X6181" s="51" t="s">
        <v>2359</v>
      </c>
    </row>
    <row r="6182" customFormat="false" ht="14.25" hidden="true" customHeight="false" outlineLevel="0" collapsed="false">
      <c r="A6182" s="49" t="s">
        <v>2349</v>
      </c>
      <c r="B6182" s="49" t="s">
        <v>2350</v>
      </c>
      <c r="C6182" s="49" t="s">
        <v>10758</v>
      </c>
      <c r="D6182" s="49" t="s">
        <v>2352</v>
      </c>
      <c r="E6182" s="49" t="str">
        <f aca="false">"12452482"</f>
        <v>12452482</v>
      </c>
      <c r="F6182" s="49" t="s">
        <v>4179</v>
      </c>
      <c r="G6182" s="49" t="n">
        <v>0</v>
      </c>
      <c r="H6182" s="0" t="n">
        <v>0</v>
      </c>
      <c r="M6182" s="51" t="s">
        <v>10759</v>
      </c>
      <c r="N6182" s="49" t="n">
        <v>0</v>
      </c>
      <c r="O6182" s="53" t="n">
        <v>45924.42875</v>
      </c>
      <c r="P6182" s="53" t="n">
        <v>45956.4259953704</v>
      </c>
      <c r="Q6182" s="53" t="n">
        <v>45924.42875</v>
      </c>
      <c r="R6182" s="0" t="n">
        <v>0</v>
      </c>
      <c r="S6182" s="51" t="s">
        <v>2416</v>
      </c>
      <c r="T6182" s="51" t="s">
        <v>2416</v>
      </c>
      <c r="U6182" s="0" t="str">
        <f aca="false">"12452482"</f>
        <v>12452482</v>
      </c>
      <c r="V6182" s="51" t="s">
        <v>2365</v>
      </c>
      <c r="W6182" s="51" t="s">
        <v>10760</v>
      </c>
      <c r="X6182" s="51" t="s">
        <v>2359</v>
      </c>
    </row>
    <row r="6183" customFormat="false" ht="14.25" hidden="true" customHeight="false" outlineLevel="0" collapsed="false">
      <c r="A6183" s="49" t="s">
        <v>2349</v>
      </c>
      <c r="B6183" s="49" t="s">
        <v>2350</v>
      </c>
      <c r="C6183" s="49" t="s">
        <v>10761</v>
      </c>
      <c r="D6183" s="49" t="s">
        <v>2352</v>
      </c>
      <c r="E6183" s="49" t="str">
        <f aca="false">"12452482"</f>
        <v>12452482</v>
      </c>
      <c r="F6183" s="49" t="s">
        <v>4179</v>
      </c>
      <c r="G6183" s="49" t="n">
        <v>0</v>
      </c>
      <c r="H6183" s="0" t="n">
        <v>0</v>
      </c>
      <c r="M6183" s="51" t="s">
        <v>10759</v>
      </c>
      <c r="N6183" s="49" t="n">
        <v>0</v>
      </c>
      <c r="O6183" s="53" t="n">
        <v>45924.4290509259</v>
      </c>
      <c r="P6183" s="53" t="n">
        <v>45924.7490972222</v>
      </c>
      <c r="Q6183" s="53" t="n">
        <v>45924.4290509259</v>
      </c>
      <c r="R6183" s="0" t="n">
        <v>0</v>
      </c>
      <c r="S6183" s="51" t="s">
        <v>2416</v>
      </c>
      <c r="T6183" s="51" t="s">
        <v>2416</v>
      </c>
      <c r="U6183" s="0" t="str">
        <f aca="false">"12452482"</f>
        <v>12452482</v>
      </c>
      <c r="V6183" s="51" t="s">
        <v>2365</v>
      </c>
      <c r="W6183" s="51" t="s">
        <v>5898</v>
      </c>
      <c r="X6183" s="51" t="s">
        <v>2359</v>
      </c>
    </row>
    <row r="6184" customFormat="false" ht="14.25" hidden="true" customHeight="false" outlineLevel="0" collapsed="false">
      <c r="A6184" s="49" t="s">
        <v>2349</v>
      </c>
      <c r="B6184" s="49" t="s">
        <v>2350</v>
      </c>
      <c r="C6184" s="49" t="s">
        <v>10762</v>
      </c>
      <c r="D6184" s="49" t="s">
        <v>2352</v>
      </c>
      <c r="E6184" s="49" t="str">
        <f aca="false">"00653121044387"</f>
        <v>00653121044387</v>
      </c>
      <c r="F6184" s="49" t="s">
        <v>4003</v>
      </c>
      <c r="G6184" s="49" t="n">
        <v>0</v>
      </c>
      <c r="H6184" s="0" t="n">
        <v>0</v>
      </c>
      <c r="M6184" s="51" t="s">
        <v>10763</v>
      </c>
      <c r="N6184" s="49" t="n">
        <v>0</v>
      </c>
      <c r="O6184" s="53" t="n">
        <v>45888.6065393519</v>
      </c>
      <c r="P6184" s="53" t="n">
        <v>45889.5574305556</v>
      </c>
      <c r="Q6184" s="53" t="n">
        <v>45888.6065393519</v>
      </c>
      <c r="R6184" s="0" t="n">
        <v>0</v>
      </c>
      <c r="S6184" s="51" t="s">
        <v>2416</v>
      </c>
      <c r="T6184" s="51" t="s">
        <v>2416</v>
      </c>
      <c r="U6184" s="0" t="str">
        <f aca="false">"00653121044387"</f>
        <v>00653121044387</v>
      </c>
      <c r="V6184" s="51" t="s">
        <v>2365</v>
      </c>
      <c r="W6184" s="51" t="s">
        <v>8746</v>
      </c>
      <c r="X6184" s="51" t="s">
        <v>2359</v>
      </c>
    </row>
    <row r="6185" customFormat="false" ht="14.25" hidden="true" customHeight="false" outlineLevel="0" collapsed="false">
      <c r="A6185" s="49" t="s">
        <v>2349</v>
      </c>
      <c r="B6185" s="49" t="s">
        <v>2350</v>
      </c>
      <c r="C6185" s="49" t="s">
        <v>10764</v>
      </c>
      <c r="D6185" s="49" t="s">
        <v>2352</v>
      </c>
      <c r="E6185" s="49" t="str">
        <f aca="false">"19582390577"</f>
        <v>19582390577</v>
      </c>
      <c r="F6185" s="49" t="s">
        <v>2374</v>
      </c>
      <c r="G6185" s="49" t="n">
        <v>0</v>
      </c>
      <c r="H6185" s="0" t="n">
        <v>0</v>
      </c>
      <c r="M6185" s="51" t="s">
        <v>10763</v>
      </c>
      <c r="N6185" s="49" t="n">
        <v>0</v>
      </c>
      <c r="O6185" s="53" t="n">
        <v>45888.6074421296</v>
      </c>
      <c r="P6185" s="53" t="n">
        <v>45889.5585532407</v>
      </c>
      <c r="Q6185" s="53" t="n">
        <v>45888.6074421296</v>
      </c>
      <c r="R6185" s="0" t="n">
        <v>0</v>
      </c>
      <c r="S6185" s="51" t="s">
        <v>2416</v>
      </c>
      <c r="T6185" s="51" t="s">
        <v>2416</v>
      </c>
      <c r="U6185" s="0" t="str">
        <f aca="false">"19582390577"</f>
        <v>19582390577</v>
      </c>
      <c r="V6185" s="51" t="s">
        <v>2365</v>
      </c>
      <c r="W6185" s="51" t="s">
        <v>5664</v>
      </c>
      <c r="X6185" s="51" t="s">
        <v>2359</v>
      </c>
    </row>
    <row r="6186" customFormat="false" ht="14.25" hidden="true" customHeight="false" outlineLevel="0" collapsed="false">
      <c r="A6186" s="49" t="s">
        <v>2349</v>
      </c>
      <c r="B6186" s="49" t="s">
        <v>2350</v>
      </c>
      <c r="C6186" s="49" t="s">
        <v>10765</v>
      </c>
      <c r="D6186" s="49" t="s">
        <v>2352</v>
      </c>
      <c r="E6186" s="49" t="str">
        <f aca="false">"19582390577"</f>
        <v>19582390577</v>
      </c>
      <c r="F6186" s="49" t="s">
        <v>2374</v>
      </c>
      <c r="G6186" s="49" t="n">
        <v>0</v>
      </c>
      <c r="H6186" s="0" t="n">
        <v>0</v>
      </c>
      <c r="M6186" s="51" t="s">
        <v>10763</v>
      </c>
      <c r="N6186" s="49" t="n">
        <v>0</v>
      </c>
      <c r="O6186" s="53" t="n">
        <v>45888.6082986111</v>
      </c>
      <c r="P6186" s="53" t="n">
        <v>45889.5607291667</v>
      </c>
      <c r="Q6186" s="53" t="n">
        <v>45888.6082986111</v>
      </c>
      <c r="R6186" s="0" t="n">
        <v>0</v>
      </c>
      <c r="S6186" s="51" t="s">
        <v>2416</v>
      </c>
      <c r="T6186" s="51" t="s">
        <v>2416</v>
      </c>
      <c r="U6186" s="0" t="str">
        <f aca="false">"19582390577"</f>
        <v>19582390577</v>
      </c>
      <c r="V6186" s="51" t="s">
        <v>2365</v>
      </c>
      <c r="W6186" s="51" t="s">
        <v>8199</v>
      </c>
      <c r="X6186" s="51" t="s">
        <v>2359</v>
      </c>
    </row>
    <row r="6187" customFormat="false" ht="14.25" hidden="true" customHeight="false" outlineLevel="0" collapsed="false">
      <c r="A6187" s="49" t="s">
        <v>2349</v>
      </c>
      <c r="B6187" s="49" t="s">
        <v>2350</v>
      </c>
      <c r="C6187" s="49" t="s">
        <v>10766</v>
      </c>
      <c r="D6187" s="49" t="s">
        <v>2352</v>
      </c>
      <c r="E6187" s="49" t="str">
        <f aca="false">"19582390577"</f>
        <v>19582390577</v>
      </c>
      <c r="F6187" s="49" t="s">
        <v>2374</v>
      </c>
      <c r="G6187" s="49" t="n">
        <v>0</v>
      </c>
      <c r="H6187" s="0" t="n">
        <v>0</v>
      </c>
      <c r="M6187" s="51" t="s">
        <v>10763</v>
      </c>
      <c r="N6187" s="49" t="n">
        <v>0</v>
      </c>
      <c r="O6187" s="53" t="n">
        <v>45888.6086921296</v>
      </c>
      <c r="P6187" s="53" t="n">
        <v>45889.5613773148</v>
      </c>
      <c r="Q6187" s="53" t="n">
        <v>45888.6086921296</v>
      </c>
      <c r="R6187" s="0" t="n">
        <v>0</v>
      </c>
      <c r="S6187" s="51" t="s">
        <v>2416</v>
      </c>
      <c r="T6187" s="51" t="s">
        <v>2416</v>
      </c>
      <c r="U6187" s="0" t="str">
        <f aca="false">"19582390577"</f>
        <v>19582390577</v>
      </c>
      <c r="V6187" s="51" t="s">
        <v>2365</v>
      </c>
      <c r="W6187" s="51" t="s">
        <v>7516</v>
      </c>
      <c r="X6187" s="51" t="s">
        <v>2359</v>
      </c>
    </row>
    <row r="6188" customFormat="false" ht="14.25" hidden="true" customHeight="false" outlineLevel="0" collapsed="false">
      <c r="A6188" s="49" t="s">
        <v>2349</v>
      </c>
      <c r="B6188" s="49" t="s">
        <v>2350</v>
      </c>
      <c r="C6188" s="49" t="s">
        <v>10767</v>
      </c>
      <c r="D6188" s="49" t="s">
        <v>2352</v>
      </c>
      <c r="E6188" s="49" t="str">
        <f aca="false">"5942326400216"</f>
        <v>5942326400216</v>
      </c>
      <c r="F6188" s="49" t="s">
        <v>3777</v>
      </c>
      <c r="G6188" s="49" t="n">
        <v>0</v>
      </c>
      <c r="H6188" s="0" t="n">
        <v>0</v>
      </c>
      <c r="M6188" s="51" t="s">
        <v>10768</v>
      </c>
      <c r="N6188" s="49" t="n">
        <v>0</v>
      </c>
      <c r="O6188" s="53" t="n">
        <v>45924.5622337963</v>
      </c>
      <c r="P6188" s="53" t="n">
        <v>45925.8033449074</v>
      </c>
      <c r="Q6188" s="53" t="n">
        <v>45924.5622337963</v>
      </c>
      <c r="R6188" s="0" t="n">
        <v>0</v>
      </c>
      <c r="S6188" s="51" t="s">
        <v>2401</v>
      </c>
      <c r="T6188" s="51" t="s">
        <v>2401</v>
      </c>
      <c r="U6188" s="0" t="str">
        <f aca="false">"5942326400216"</f>
        <v>5942326400216</v>
      </c>
      <c r="V6188" s="51" t="s">
        <v>2365</v>
      </c>
      <c r="W6188" s="51" t="s">
        <v>10769</v>
      </c>
      <c r="X6188" s="51" t="s">
        <v>2359</v>
      </c>
    </row>
    <row r="6189" customFormat="false" ht="14.25" hidden="true" customHeight="false" outlineLevel="0" collapsed="false">
      <c r="A6189" s="49" t="s">
        <v>2349</v>
      </c>
      <c r="B6189" s="49" t="s">
        <v>2350</v>
      </c>
      <c r="C6189" s="49" t="s">
        <v>10770</v>
      </c>
      <c r="D6189" s="49" t="s">
        <v>2352</v>
      </c>
      <c r="E6189" s="49" t="str">
        <f aca="false">"8022180000122"</f>
        <v>8022180000122</v>
      </c>
      <c r="F6189" s="49" t="s">
        <v>3971</v>
      </c>
      <c r="G6189" s="49" t="n">
        <v>0</v>
      </c>
      <c r="H6189" s="0" t="n">
        <v>0</v>
      </c>
      <c r="M6189" s="51" t="s">
        <v>10771</v>
      </c>
      <c r="N6189" s="49" t="n">
        <v>0</v>
      </c>
      <c r="O6189" s="53" t="n">
        <v>45915.3641782407</v>
      </c>
      <c r="P6189" s="53" t="n">
        <v>45925.9484606482</v>
      </c>
      <c r="Q6189" s="53" t="n">
        <v>45915.3641782407</v>
      </c>
      <c r="R6189" s="0" t="n">
        <v>0</v>
      </c>
      <c r="S6189" s="51" t="s">
        <v>2401</v>
      </c>
      <c r="T6189" s="51" t="s">
        <v>2401</v>
      </c>
      <c r="U6189" s="0" t="str">
        <f aca="false">"8022180000122"</f>
        <v>8022180000122</v>
      </c>
      <c r="V6189" s="51" t="s">
        <v>2365</v>
      </c>
      <c r="W6189" s="51" t="s">
        <v>4521</v>
      </c>
      <c r="X6189" s="51" t="s">
        <v>2359</v>
      </c>
    </row>
    <row r="6190" customFormat="false" ht="14.25" hidden="true" customHeight="false" outlineLevel="0" collapsed="false">
      <c r="A6190" s="49" t="s">
        <v>2349</v>
      </c>
      <c r="B6190" s="49" t="s">
        <v>2350</v>
      </c>
      <c r="C6190" s="49" t="s">
        <v>10772</v>
      </c>
      <c r="D6190" s="49" t="s">
        <v>2352</v>
      </c>
      <c r="E6190" s="49" t="s">
        <v>10773</v>
      </c>
      <c r="F6190" s="49" t="s">
        <v>10774</v>
      </c>
      <c r="G6190" s="49" t="n">
        <v>0</v>
      </c>
      <c r="H6190" s="0" t="n">
        <v>0</v>
      </c>
      <c r="M6190" s="51" t="s">
        <v>10775</v>
      </c>
      <c r="N6190" s="49" t="n">
        <v>0</v>
      </c>
      <c r="O6190" s="53" t="n">
        <v>45890.6395023148</v>
      </c>
      <c r="P6190" s="53" t="n">
        <v>45895.6053009259</v>
      </c>
      <c r="Q6190" s="53" t="n">
        <v>45890.6395023148</v>
      </c>
      <c r="R6190" s="0" t="n">
        <v>0</v>
      </c>
      <c r="S6190" s="51" t="s">
        <v>2356</v>
      </c>
      <c r="T6190" s="51" t="s">
        <v>2356</v>
      </c>
      <c r="U6190" s="51" t="s">
        <v>10773</v>
      </c>
      <c r="W6190" s="51" t="s">
        <v>4478</v>
      </c>
      <c r="X6190" s="51" t="s">
        <v>2359</v>
      </c>
    </row>
    <row r="6191" customFormat="false" ht="14.25" hidden="true" customHeight="false" outlineLevel="0" collapsed="false">
      <c r="A6191" s="49" t="s">
        <v>2349</v>
      </c>
      <c r="B6191" s="49" t="s">
        <v>2350</v>
      </c>
      <c r="C6191" s="49" t="s">
        <v>10776</v>
      </c>
      <c r="D6191" s="49" t="s">
        <v>2397</v>
      </c>
      <c r="E6191" s="49" t="s">
        <v>10773</v>
      </c>
      <c r="F6191" s="49" t="s">
        <v>10774</v>
      </c>
      <c r="G6191" s="49" t="n">
        <v>0</v>
      </c>
      <c r="H6191" s="0" t="n">
        <v>0</v>
      </c>
      <c r="M6191" s="51" t="s">
        <v>10775</v>
      </c>
      <c r="N6191" s="49" t="n">
        <v>54</v>
      </c>
      <c r="O6191" s="53" t="n">
        <v>45890.6348611111</v>
      </c>
      <c r="P6191" s="53" t="n">
        <v>45893.6525462963</v>
      </c>
      <c r="Q6191" s="53" t="n">
        <v>45890.6348611111</v>
      </c>
      <c r="R6191" s="0" t="n">
        <v>0</v>
      </c>
      <c r="S6191" s="51" t="s">
        <v>2356</v>
      </c>
      <c r="T6191" s="51" t="s">
        <v>2356</v>
      </c>
      <c r="U6191" s="51" t="s">
        <v>10773</v>
      </c>
      <c r="W6191" s="51" t="s">
        <v>4480</v>
      </c>
      <c r="X6191" s="51" t="s">
        <v>2359</v>
      </c>
    </row>
    <row r="6192" customFormat="false" ht="14.25" hidden="true" customHeight="false" outlineLevel="0" collapsed="false">
      <c r="A6192" s="49" t="s">
        <v>2349</v>
      </c>
      <c r="B6192" s="49" t="s">
        <v>2350</v>
      </c>
      <c r="C6192" s="49" t="s">
        <v>10777</v>
      </c>
      <c r="D6192" s="49" t="s">
        <v>2352</v>
      </c>
      <c r="E6192" s="49" t="s">
        <v>4166</v>
      </c>
      <c r="F6192" s="49" t="s">
        <v>4167</v>
      </c>
      <c r="G6192" s="49" t="n">
        <v>0</v>
      </c>
      <c r="H6192" s="0" t="n">
        <v>0</v>
      </c>
      <c r="M6192" s="51" t="s">
        <v>10775</v>
      </c>
      <c r="N6192" s="49" t="n">
        <v>0</v>
      </c>
      <c r="O6192" s="53" t="n">
        <v>45890.6425810185</v>
      </c>
      <c r="P6192" s="53" t="n">
        <v>45892.493599537</v>
      </c>
      <c r="Q6192" s="53" t="n">
        <v>45890.6425810185</v>
      </c>
      <c r="R6192" s="0" t="n">
        <v>0</v>
      </c>
      <c r="S6192" s="51" t="s">
        <v>2356</v>
      </c>
      <c r="T6192" s="51" t="s">
        <v>2356</v>
      </c>
      <c r="U6192" s="51" t="s">
        <v>4166</v>
      </c>
      <c r="V6192" s="51" t="s">
        <v>2365</v>
      </c>
      <c r="W6192" s="51" t="s">
        <v>5414</v>
      </c>
      <c r="X6192" s="51" t="s">
        <v>2359</v>
      </c>
    </row>
    <row r="6193" customFormat="false" ht="14.25" hidden="true" customHeight="false" outlineLevel="0" collapsed="false">
      <c r="A6193" s="49" t="s">
        <v>2349</v>
      </c>
      <c r="B6193" s="49" t="s">
        <v>2350</v>
      </c>
      <c r="C6193" s="49" t="s">
        <v>10778</v>
      </c>
      <c r="D6193" s="49" t="s">
        <v>2352</v>
      </c>
      <c r="E6193" s="49" t="s">
        <v>4166</v>
      </c>
      <c r="F6193" s="49" t="s">
        <v>4167</v>
      </c>
      <c r="G6193" s="49" t="n">
        <v>0</v>
      </c>
      <c r="H6193" s="0" t="n">
        <v>0</v>
      </c>
      <c r="M6193" s="51" t="s">
        <v>10775</v>
      </c>
      <c r="N6193" s="49" t="n">
        <v>0</v>
      </c>
      <c r="O6193" s="53" t="n">
        <v>45890.6424537037</v>
      </c>
      <c r="P6193" s="53" t="n">
        <v>45892.4930324074</v>
      </c>
      <c r="Q6193" s="53" t="n">
        <v>45890.6424537037</v>
      </c>
      <c r="R6193" s="0" t="n">
        <v>0</v>
      </c>
      <c r="S6193" s="51" t="s">
        <v>2356</v>
      </c>
      <c r="T6193" s="51" t="s">
        <v>2356</v>
      </c>
      <c r="U6193" s="51" t="s">
        <v>4166</v>
      </c>
      <c r="V6193" s="51" t="s">
        <v>2365</v>
      </c>
      <c r="W6193" s="51" t="s">
        <v>5917</v>
      </c>
      <c r="X6193" s="51" t="s">
        <v>2359</v>
      </c>
    </row>
    <row r="6194" customFormat="false" ht="14.25" hidden="true" customHeight="false" outlineLevel="0" collapsed="false">
      <c r="A6194" s="49" t="s">
        <v>2349</v>
      </c>
      <c r="B6194" s="49" t="s">
        <v>2350</v>
      </c>
      <c r="C6194" s="49" t="s">
        <v>10779</v>
      </c>
      <c r="D6194" s="49" t="s">
        <v>2352</v>
      </c>
      <c r="E6194" s="49" t="s">
        <v>4166</v>
      </c>
      <c r="F6194" s="49" t="s">
        <v>4167</v>
      </c>
      <c r="G6194" s="49" t="n">
        <v>0</v>
      </c>
      <c r="H6194" s="0" t="n">
        <v>0</v>
      </c>
      <c r="M6194" s="51" t="s">
        <v>10775</v>
      </c>
      <c r="N6194" s="49" t="n">
        <v>0</v>
      </c>
      <c r="O6194" s="53" t="n">
        <v>45890.6423263889</v>
      </c>
      <c r="P6194" s="53" t="n">
        <v>45892.49375</v>
      </c>
      <c r="Q6194" s="53" t="n">
        <v>45890.6423263889</v>
      </c>
      <c r="R6194" s="0" t="n">
        <v>0</v>
      </c>
      <c r="S6194" s="51" t="s">
        <v>2356</v>
      </c>
      <c r="T6194" s="51" t="s">
        <v>2356</v>
      </c>
      <c r="U6194" s="51" t="s">
        <v>4166</v>
      </c>
      <c r="V6194" s="51" t="s">
        <v>2365</v>
      </c>
      <c r="W6194" s="51" t="s">
        <v>8380</v>
      </c>
      <c r="X6194" s="51" t="s">
        <v>2359</v>
      </c>
    </row>
    <row r="6195" customFormat="false" ht="14.25" hidden="true" customHeight="false" outlineLevel="0" collapsed="false">
      <c r="A6195" s="49" t="s">
        <v>2349</v>
      </c>
      <c r="B6195" s="49" t="s">
        <v>2350</v>
      </c>
      <c r="C6195" s="49" t="s">
        <v>10780</v>
      </c>
      <c r="D6195" s="49" t="s">
        <v>2352</v>
      </c>
      <c r="E6195" s="49" t="s">
        <v>4166</v>
      </c>
      <c r="F6195" s="49" t="s">
        <v>4167</v>
      </c>
      <c r="G6195" s="49" t="n">
        <v>0</v>
      </c>
      <c r="H6195" s="0" t="n">
        <v>0</v>
      </c>
      <c r="M6195" s="51" t="s">
        <v>10775</v>
      </c>
      <c r="N6195" s="49" t="n">
        <v>0</v>
      </c>
      <c r="O6195" s="53" t="n">
        <v>45890.6421759259</v>
      </c>
      <c r="P6195" s="53" t="n">
        <v>45899.2965972222</v>
      </c>
      <c r="Q6195" s="53" t="n">
        <v>45890.6421759259</v>
      </c>
      <c r="R6195" s="0" t="n">
        <v>0</v>
      </c>
      <c r="S6195" s="51" t="s">
        <v>2356</v>
      </c>
      <c r="T6195" s="51" t="s">
        <v>2356</v>
      </c>
      <c r="U6195" s="51" t="s">
        <v>4166</v>
      </c>
      <c r="V6195" s="51" t="s">
        <v>2365</v>
      </c>
      <c r="W6195" s="51" t="s">
        <v>7401</v>
      </c>
      <c r="X6195" s="51" t="s">
        <v>2359</v>
      </c>
    </row>
    <row r="6196" customFormat="false" ht="14.25" hidden="true" customHeight="false" outlineLevel="0" collapsed="false">
      <c r="A6196" s="49" t="s">
        <v>2349</v>
      </c>
      <c r="B6196" s="49" t="s">
        <v>2350</v>
      </c>
      <c r="C6196" s="49" t="s">
        <v>10781</v>
      </c>
      <c r="D6196" s="49" t="s">
        <v>2352</v>
      </c>
      <c r="E6196" s="49" t="s">
        <v>4166</v>
      </c>
      <c r="F6196" s="49" t="s">
        <v>4167</v>
      </c>
      <c r="G6196" s="49" t="n">
        <v>0</v>
      </c>
      <c r="H6196" s="0" t="n">
        <v>0</v>
      </c>
      <c r="M6196" s="51" t="s">
        <v>10775</v>
      </c>
      <c r="N6196" s="49" t="n">
        <v>0</v>
      </c>
      <c r="O6196" s="53" t="n">
        <v>45890.6420601852</v>
      </c>
      <c r="P6196" s="53" t="n">
        <v>45892.4940277778</v>
      </c>
      <c r="Q6196" s="53" t="n">
        <v>45890.6420601852</v>
      </c>
      <c r="R6196" s="0" t="n">
        <v>0</v>
      </c>
      <c r="S6196" s="51" t="s">
        <v>2356</v>
      </c>
      <c r="T6196" s="51" t="s">
        <v>2356</v>
      </c>
      <c r="U6196" s="51" t="s">
        <v>4166</v>
      </c>
      <c r="V6196" s="51" t="s">
        <v>2365</v>
      </c>
      <c r="W6196" s="51" t="s">
        <v>7405</v>
      </c>
      <c r="X6196" s="51" t="s">
        <v>2359</v>
      </c>
    </row>
    <row r="6197" customFormat="false" ht="14.25" hidden="true" customHeight="false" outlineLevel="0" collapsed="false">
      <c r="A6197" s="49" t="s">
        <v>2349</v>
      </c>
      <c r="B6197" s="49" t="s">
        <v>2350</v>
      </c>
      <c r="C6197" s="49" t="s">
        <v>10782</v>
      </c>
      <c r="D6197" s="49" t="s">
        <v>2352</v>
      </c>
      <c r="E6197" s="49" t="s">
        <v>4166</v>
      </c>
      <c r="F6197" s="49" t="s">
        <v>4167</v>
      </c>
      <c r="G6197" s="49" t="n">
        <v>0</v>
      </c>
      <c r="H6197" s="0" t="n">
        <v>0</v>
      </c>
      <c r="M6197" s="51" t="s">
        <v>10775</v>
      </c>
      <c r="N6197" s="49" t="n">
        <v>0</v>
      </c>
      <c r="O6197" s="53" t="n">
        <v>45890.6419212963</v>
      </c>
      <c r="P6197" s="53" t="n">
        <v>45892.4933912037</v>
      </c>
      <c r="Q6197" s="53" t="n">
        <v>45890.6419212963</v>
      </c>
      <c r="R6197" s="0" t="n">
        <v>0</v>
      </c>
      <c r="S6197" s="51" t="s">
        <v>2356</v>
      </c>
      <c r="T6197" s="51" t="s">
        <v>2356</v>
      </c>
      <c r="U6197" s="51" t="s">
        <v>4166</v>
      </c>
      <c r="V6197" s="51" t="s">
        <v>2365</v>
      </c>
      <c r="W6197" s="51" t="s">
        <v>9510</v>
      </c>
      <c r="X6197" s="51" t="s">
        <v>2359</v>
      </c>
    </row>
    <row r="6198" customFormat="false" ht="14.25" hidden="true" customHeight="false" outlineLevel="0" collapsed="false">
      <c r="A6198" s="49" t="s">
        <v>2349</v>
      </c>
      <c r="B6198" s="49" t="s">
        <v>2350</v>
      </c>
      <c r="C6198" s="49" t="s">
        <v>10783</v>
      </c>
      <c r="D6198" s="49" t="s">
        <v>2352</v>
      </c>
      <c r="E6198" s="49" t="s">
        <v>4166</v>
      </c>
      <c r="F6198" s="49" t="s">
        <v>4167</v>
      </c>
      <c r="G6198" s="49" t="n">
        <v>0</v>
      </c>
      <c r="H6198" s="0" t="n">
        <v>0</v>
      </c>
      <c r="M6198" s="51" t="s">
        <v>10775</v>
      </c>
      <c r="N6198" s="49" t="n">
        <v>0</v>
      </c>
      <c r="O6198" s="53" t="n">
        <v>45890.6417939815</v>
      </c>
      <c r="P6198" s="53" t="n">
        <v>45904.6443402778</v>
      </c>
      <c r="Q6198" s="53" t="n">
        <v>45890.6417939815</v>
      </c>
      <c r="R6198" s="0" t="n">
        <v>0</v>
      </c>
      <c r="S6198" s="51" t="s">
        <v>2356</v>
      </c>
      <c r="T6198" s="51" t="s">
        <v>2356</v>
      </c>
      <c r="U6198" s="51" t="s">
        <v>4166</v>
      </c>
      <c r="V6198" s="51" t="s">
        <v>2365</v>
      </c>
      <c r="W6198" s="51" t="s">
        <v>4588</v>
      </c>
      <c r="X6198" s="51" t="s">
        <v>2359</v>
      </c>
    </row>
    <row r="6199" customFormat="false" ht="14.25" hidden="true" customHeight="false" outlineLevel="0" collapsed="false">
      <c r="A6199" s="49" t="s">
        <v>2349</v>
      </c>
      <c r="B6199" s="49" t="s">
        <v>2350</v>
      </c>
      <c r="C6199" s="49" t="s">
        <v>10784</v>
      </c>
      <c r="D6199" s="49" t="s">
        <v>2352</v>
      </c>
      <c r="E6199" s="49" t="s">
        <v>4166</v>
      </c>
      <c r="F6199" s="49" t="s">
        <v>4167</v>
      </c>
      <c r="G6199" s="49" t="n">
        <v>0</v>
      </c>
      <c r="H6199" s="0" t="n">
        <v>0</v>
      </c>
      <c r="M6199" s="51" t="s">
        <v>10775</v>
      </c>
      <c r="N6199" s="49" t="n">
        <v>0</v>
      </c>
      <c r="O6199" s="53" t="n">
        <v>45890.6416782407</v>
      </c>
      <c r="P6199" s="53" t="n">
        <v>45892.4921296296</v>
      </c>
      <c r="Q6199" s="53" t="n">
        <v>45890.6416782407</v>
      </c>
      <c r="R6199" s="0" t="n">
        <v>0</v>
      </c>
      <c r="S6199" s="51" t="s">
        <v>2356</v>
      </c>
      <c r="T6199" s="51" t="s">
        <v>2356</v>
      </c>
      <c r="U6199" s="51" t="s">
        <v>4166</v>
      </c>
      <c r="V6199" s="51" t="s">
        <v>2365</v>
      </c>
      <c r="W6199" s="51" t="s">
        <v>5748</v>
      </c>
      <c r="X6199" s="51" t="s">
        <v>2359</v>
      </c>
    </row>
    <row r="6200" customFormat="false" ht="14.25" hidden="true" customHeight="false" outlineLevel="0" collapsed="false">
      <c r="A6200" s="49" t="s">
        <v>2349</v>
      </c>
      <c r="B6200" s="49" t="s">
        <v>2350</v>
      </c>
      <c r="C6200" s="49" t="s">
        <v>10785</v>
      </c>
      <c r="D6200" s="49" t="s">
        <v>2352</v>
      </c>
      <c r="E6200" s="49" t="s">
        <v>4166</v>
      </c>
      <c r="F6200" s="49" t="s">
        <v>4167</v>
      </c>
      <c r="G6200" s="49" t="n">
        <v>0</v>
      </c>
      <c r="H6200" s="0" t="n">
        <v>0</v>
      </c>
      <c r="M6200" s="51" t="s">
        <v>10775</v>
      </c>
      <c r="N6200" s="49" t="n">
        <v>0</v>
      </c>
      <c r="O6200" s="53" t="n">
        <v>45890.6415509259</v>
      </c>
      <c r="P6200" s="53" t="n">
        <v>45892.4922800926</v>
      </c>
      <c r="Q6200" s="53" t="n">
        <v>45890.6415509259</v>
      </c>
      <c r="R6200" s="0" t="n">
        <v>0</v>
      </c>
      <c r="S6200" s="51" t="s">
        <v>2356</v>
      </c>
      <c r="T6200" s="51" t="s">
        <v>2356</v>
      </c>
      <c r="U6200" s="51" t="s">
        <v>4166</v>
      </c>
      <c r="V6200" s="51" t="s">
        <v>2365</v>
      </c>
      <c r="W6200" s="51" t="s">
        <v>8229</v>
      </c>
      <c r="X6200" s="51" t="s">
        <v>2359</v>
      </c>
    </row>
    <row r="6201" customFormat="false" ht="14.25" hidden="true" customHeight="false" outlineLevel="0" collapsed="false">
      <c r="A6201" s="49" t="s">
        <v>2349</v>
      </c>
      <c r="B6201" s="49" t="s">
        <v>2350</v>
      </c>
      <c r="C6201" s="49" t="s">
        <v>10786</v>
      </c>
      <c r="D6201" s="49" t="s">
        <v>2352</v>
      </c>
      <c r="E6201" s="49" t="s">
        <v>4166</v>
      </c>
      <c r="F6201" s="49" t="s">
        <v>4167</v>
      </c>
      <c r="G6201" s="49" t="n">
        <v>0</v>
      </c>
      <c r="H6201" s="0" t="n">
        <v>0</v>
      </c>
      <c r="M6201" s="51" t="s">
        <v>10775</v>
      </c>
      <c r="N6201" s="49" t="n">
        <v>0</v>
      </c>
      <c r="O6201" s="53" t="n">
        <v>45890.6414351852</v>
      </c>
      <c r="P6201" s="53" t="n">
        <v>45904.6445949074</v>
      </c>
      <c r="Q6201" s="53" t="n">
        <v>45890.6414351852</v>
      </c>
      <c r="R6201" s="0" t="n">
        <v>0</v>
      </c>
      <c r="S6201" s="51" t="s">
        <v>2356</v>
      </c>
      <c r="T6201" s="51" t="s">
        <v>2356</v>
      </c>
      <c r="U6201" s="51" t="s">
        <v>4166</v>
      </c>
      <c r="V6201" s="51" t="s">
        <v>2365</v>
      </c>
      <c r="W6201" s="51" t="s">
        <v>8251</v>
      </c>
      <c r="X6201" s="51" t="s">
        <v>2359</v>
      </c>
    </row>
    <row r="6202" customFormat="false" ht="14.25" hidden="true" customHeight="false" outlineLevel="0" collapsed="false">
      <c r="A6202" s="49" t="s">
        <v>2349</v>
      </c>
      <c r="B6202" s="49" t="s">
        <v>2350</v>
      </c>
      <c r="C6202" s="49" t="s">
        <v>10787</v>
      </c>
      <c r="D6202" s="49" t="s">
        <v>2352</v>
      </c>
      <c r="E6202" s="49" t="s">
        <v>4166</v>
      </c>
      <c r="F6202" s="49" t="s">
        <v>4167</v>
      </c>
      <c r="G6202" s="49" t="n">
        <v>0</v>
      </c>
      <c r="H6202" s="0" t="n">
        <v>0</v>
      </c>
      <c r="M6202" s="51" t="s">
        <v>10775</v>
      </c>
      <c r="N6202" s="49" t="n">
        <v>0</v>
      </c>
      <c r="O6202" s="53" t="n">
        <v>45890.6413310185</v>
      </c>
      <c r="P6202" s="53" t="n">
        <v>45892.4924421296</v>
      </c>
      <c r="Q6202" s="53" t="n">
        <v>45890.6413310185</v>
      </c>
      <c r="R6202" s="0" t="n">
        <v>0</v>
      </c>
      <c r="S6202" s="51" t="s">
        <v>2356</v>
      </c>
      <c r="T6202" s="51" t="s">
        <v>2356</v>
      </c>
      <c r="U6202" s="51" t="s">
        <v>4166</v>
      </c>
      <c r="V6202" s="51" t="s">
        <v>2365</v>
      </c>
      <c r="W6202" s="51" t="s">
        <v>4130</v>
      </c>
      <c r="X6202" s="51" t="s">
        <v>2359</v>
      </c>
    </row>
    <row r="6203" customFormat="false" ht="14.25" hidden="true" customHeight="false" outlineLevel="0" collapsed="false">
      <c r="A6203" s="49" t="s">
        <v>2349</v>
      </c>
      <c r="B6203" s="49" t="s">
        <v>2350</v>
      </c>
      <c r="C6203" s="49" t="s">
        <v>10788</v>
      </c>
      <c r="D6203" s="49" t="s">
        <v>2352</v>
      </c>
      <c r="E6203" s="49" t="s">
        <v>4166</v>
      </c>
      <c r="F6203" s="49" t="s">
        <v>4167</v>
      </c>
      <c r="G6203" s="49" t="n">
        <v>0</v>
      </c>
      <c r="H6203" s="0" t="n">
        <v>0</v>
      </c>
      <c r="M6203" s="51" t="s">
        <v>10775</v>
      </c>
      <c r="N6203" s="49" t="n">
        <v>0</v>
      </c>
      <c r="O6203" s="53" t="n">
        <v>45890.6412037037</v>
      </c>
      <c r="P6203" s="53" t="n">
        <v>45892.4928819445</v>
      </c>
      <c r="Q6203" s="53" t="n">
        <v>45890.6412037037</v>
      </c>
      <c r="R6203" s="0" t="n">
        <v>0</v>
      </c>
      <c r="S6203" s="51" t="s">
        <v>2356</v>
      </c>
      <c r="T6203" s="51" t="s">
        <v>2356</v>
      </c>
      <c r="U6203" s="51" t="s">
        <v>4166</v>
      </c>
      <c r="V6203" s="51" t="s">
        <v>2365</v>
      </c>
      <c r="W6203" s="51" t="s">
        <v>6881</v>
      </c>
      <c r="X6203" s="51" t="s">
        <v>2359</v>
      </c>
    </row>
    <row r="6204" customFormat="false" ht="14.25" hidden="true" customHeight="false" outlineLevel="0" collapsed="false">
      <c r="A6204" s="49" t="s">
        <v>2349</v>
      </c>
      <c r="B6204" s="49" t="s">
        <v>2350</v>
      </c>
      <c r="C6204" s="49" t="s">
        <v>10789</v>
      </c>
      <c r="D6204" s="49" t="s">
        <v>2352</v>
      </c>
      <c r="E6204" s="49" t="s">
        <v>4166</v>
      </c>
      <c r="F6204" s="49" t="s">
        <v>4167</v>
      </c>
      <c r="G6204" s="49" t="n">
        <v>0</v>
      </c>
      <c r="H6204" s="0" t="n">
        <v>0</v>
      </c>
      <c r="M6204" s="51" t="s">
        <v>10775</v>
      </c>
      <c r="N6204" s="49" t="n">
        <v>0</v>
      </c>
      <c r="O6204" s="53" t="n">
        <v>45890.641087963</v>
      </c>
      <c r="P6204" s="53" t="n">
        <v>45892.4938773148</v>
      </c>
      <c r="Q6204" s="53" t="n">
        <v>45890.641087963</v>
      </c>
      <c r="R6204" s="0" t="n">
        <v>0</v>
      </c>
      <c r="S6204" s="51" t="s">
        <v>2356</v>
      </c>
      <c r="T6204" s="51" t="s">
        <v>2356</v>
      </c>
      <c r="U6204" s="51" t="s">
        <v>4166</v>
      </c>
      <c r="V6204" s="51" t="s">
        <v>2365</v>
      </c>
      <c r="W6204" s="51" t="s">
        <v>4169</v>
      </c>
      <c r="X6204" s="51" t="s">
        <v>2359</v>
      </c>
    </row>
    <row r="6205" customFormat="false" ht="14.25" hidden="true" customHeight="false" outlineLevel="0" collapsed="false">
      <c r="A6205" s="49" t="s">
        <v>2349</v>
      </c>
      <c r="B6205" s="49" t="s">
        <v>2350</v>
      </c>
      <c r="C6205" s="49" t="s">
        <v>10790</v>
      </c>
      <c r="D6205" s="49" t="s">
        <v>2352</v>
      </c>
      <c r="E6205" s="49" t="s">
        <v>4166</v>
      </c>
      <c r="F6205" s="49" t="s">
        <v>4167</v>
      </c>
      <c r="G6205" s="49" t="n">
        <v>0</v>
      </c>
      <c r="H6205" s="0" t="n">
        <v>0</v>
      </c>
      <c r="M6205" s="51" t="s">
        <v>10775</v>
      </c>
      <c r="N6205" s="49" t="n">
        <v>0</v>
      </c>
      <c r="O6205" s="53" t="n">
        <v>45890.6409722222</v>
      </c>
      <c r="P6205" s="53" t="n">
        <v>45899.2966782407</v>
      </c>
      <c r="Q6205" s="53" t="n">
        <v>45890.6409722222</v>
      </c>
      <c r="R6205" s="0" t="n">
        <v>0</v>
      </c>
      <c r="S6205" s="51" t="s">
        <v>2356</v>
      </c>
      <c r="T6205" s="51" t="s">
        <v>2356</v>
      </c>
      <c r="U6205" s="51" t="s">
        <v>4166</v>
      </c>
      <c r="V6205" s="51" t="s">
        <v>2365</v>
      </c>
      <c r="W6205" s="51" t="s">
        <v>10065</v>
      </c>
      <c r="X6205" s="51" t="s">
        <v>2359</v>
      </c>
    </row>
    <row r="6206" customFormat="false" ht="14.25" hidden="true" customHeight="false" outlineLevel="0" collapsed="false">
      <c r="A6206" s="49" t="s">
        <v>2349</v>
      </c>
      <c r="B6206" s="49" t="s">
        <v>2350</v>
      </c>
      <c r="C6206" s="49" t="s">
        <v>10791</v>
      </c>
      <c r="D6206" s="49" t="s">
        <v>2352</v>
      </c>
      <c r="E6206" s="49" t="s">
        <v>4166</v>
      </c>
      <c r="F6206" s="49" t="s">
        <v>4167</v>
      </c>
      <c r="G6206" s="49" t="n">
        <v>0</v>
      </c>
      <c r="H6206" s="0" t="n">
        <v>0</v>
      </c>
      <c r="M6206" s="51" t="s">
        <v>10775</v>
      </c>
      <c r="N6206" s="49" t="n">
        <v>0</v>
      </c>
      <c r="O6206" s="53" t="n">
        <v>45890.6408217593</v>
      </c>
      <c r="P6206" s="53" t="n">
        <v>45899.2965162037</v>
      </c>
      <c r="Q6206" s="53" t="n">
        <v>45890.6408217593</v>
      </c>
      <c r="R6206" s="0" t="n">
        <v>0</v>
      </c>
      <c r="S6206" s="51" t="s">
        <v>2356</v>
      </c>
      <c r="T6206" s="51" t="s">
        <v>2356</v>
      </c>
      <c r="U6206" s="51" t="s">
        <v>4166</v>
      </c>
      <c r="V6206" s="51" t="s">
        <v>2365</v>
      </c>
      <c r="W6206" s="51" t="s">
        <v>3764</v>
      </c>
      <c r="X6206" s="51" t="s">
        <v>2359</v>
      </c>
    </row>
    <row r="6207" customFormat="false" ht="14.25" hidden="true" customHeight="false" outlineLevel="0" collapsed="false">
      <c r="A6207" s="49" t="s">
        <v>2349</v>
      </c>
      <c r="B6207" s="49" t="s">
        <v>2350</v>
      </c>
      <c r="C6207" s="49" t="s">
        <v>10792</v>
      </c>
      <c r="D6207" s="49" t="s">
        <v>2352</v>
      </c>
      <c r="E6207" s="49" t="s">
        <v>4166</v>
      </c>
      <c r="F6207" s="49" t="s">
        <v>4167</v>
      </c>
      <c r="G6207" s="49" t="n">
        <v>0</v>
      </c>
      <c r="H6207" s="0" t="n">
        <v>0</v>
      </c>
      <c r="M6207" s="51" t="s">
        <v>10775</v>
      </c>
      <c r="N6207" s="49" t="n">
        <v>0</v>
      </c>
      <c r="O6207" s="53" t="n">
        <v>45890.6407175926</v>
      </c>
      <c r="P6207" s="53" t="n">
        <v>45899.2964467593</v>
      </c>
      <c r="Q6207" s="53" t="n">
        <v>45890.6407175926</v>
      </c>
      <c r="R6207" s="0" t="n">
        <v>0</v>
      </c>
      <c r="S6207" s="51" t="s">
        <v>2356</v>
      </c>
      <c r="T6207" s="51" t="s">
        <v>2356</v>
      </c>
      <c r="U6207" s="51" t="s">
        <v>4166</v>
      </c>
      <c r="V6207" s="51" t="s">
        <v>2365</v>
      </c>
      <c r="W6207" s="51" t="s">
        <v>4126</v>
      </c>
      <c r="X6207" s="51" t="s">
        <v>2359</v>
      </c>
    </row>
    <row r="6208" customFormat="false" ht="14.25" hidden="true" customHeight="false" outlineLevel="0" collapsed="false">
      <c r="A6208" s="49" t="s">
        <v>2349</v>
      </c>
      <c r="B6208" s="49" t="s">
        <v>2350</v>
      </c>
      <c r="C6208" s="49" t="s">
        <v>10793</v>
      </c>
      <c r="D6208" s="49" t="s">
        <v>2352</v>
      </c>
      <c r="E6208" s="49" t="s">
        <v>4166</v>
      </c>
      <c r="F6208" s="49" t="s">
        <v>4167</v>
      </c>
      <c r="G6208" s="49" t="n">
        <v>0</v>
      </c>
      <c r="H6208" s="0" t="n">
        <v>0</v>
      </c>
      <c r="M6208" s="51" t="s">
        <v>10775</v>
      </c>
      <c r="N6208" s="49" t="n">
        <v>0</v>
      </c>
      <c r="O6208" s="53" t="n">
        <v>45890.6406018519</v>
      </c>
      <c r="P6208" s="53" t="n">
        <v>45904.6443981482</v>
      </c>
      <c r="Q6208" s="53" t="n">
        <v>45890.6406018519</v>
      </c>
      <c r="R6208" s="0" t="n">
        <v>0</v>
      </c>
      <c r="S6208" s="51" t="s">
        <v>2356</v>
      </c>
      <c r="T6208" s="51" t="s">
        <v>2356</v>
      </c>
      <c r="U6208" s="51" t="s">
        <v>4166</v>
      </c>
      <c r="V6208" s="51" t="s">
        <v>2365</v>
      </c>
      <c r="W6208" s="51" t="s">
        <v>4611</v>
      </c>
      <c r="X6208" s="51" t="s">
        <v>2359</v>
      </c>
    </row>
    <row r="6209" customFormat="false" ht="14.25" hidden="true" customHeight="false" outlineLevel="0" collapsed="false">
      <c r="A6209" s="49" t="s">
        <v>2349</v>
      </c>
      <c r="B6209" s="49" t="s">
        <v>2350</v>
      </c>
      <c r="C6209" s="49" t="s">
        <v>10794</v>
      </c>
      <c r="D6209" s="49" t="s">
        <v>2352</v>
      </c>
      <c r="E6209" s="49" t="s">
        <v>4166</v>
      </c>
      <c r="F6209" s="49" t="s">
        <v>4167</v>
      </c>
      <c r="G6209" s="49" t="n">
        <v>0</v>
      </c>
      <c r="H6209" s="0" t="n">
        <v>0</v>
      </c>
      <c r="M6209" s="51" t="s">
        <v>10775</v>
      </c>
      <c r="N6209" s="49" t="n">
        <v>0</v>
      </c>
      <c r="O6209" s="53" t="n">
        <v>45890.6404513889</v>
      </c>
      <c r="P6209" s="53" t="n">
        <v>45904.6444444444</v>
      </c>
      <c r="Q6209" s="53" t="n">
        <v>45890.6404513889</v>
      </c>
      <c r="R6209" s="0" t="n">
        <v>0</v>
      </c>
      <c r="S6209" s="51" t="s">
        <v>2356</v>
      </c>
      <c r="T6209" s="51" t="s">
        <v>2356</v>
      </c>
      <c r="U6209" s="51" t="s">
        <v>4166</v>
      </c>
      <c r="V6209" s="51" t="s">
        <v>2365</v>
      </c>
      <c r="W6209" s="51" t="s">
        <v>4609</v>
      </c>
      <c r="X6209" s="51" t="s">
        <v>2359</v>
      </c>
    </row>
    <row r="6210" customFormat="false" ht="14.25" hidden="true" customHeight="false" outlineLevel="0" collapsed="false">
      <c r="A6210" s="49" t="s">
        <v>2349</v>
      </c>
      <c r="B6210" s="49" t="s">
        <v>2350</v>
      </c>
      <c r="C6210" s="49" t="s">
        <v>10795</v>
      </c>
      <c r="D6210" s="49" t="s">
        <v>2352</v>
      </c>
      <c r="E6210" s="49" t="s">
        <v>4166</v>
      </c>
      <c r="F6210" s="49" t="s">
        <v>4167</v>
      </c>
      <c r="G6210" s="49" t="n">
        <v>0</v>
      </c>
      <c r="H6210" s="0" t="n">
        <v>0</v>
      </c>
      <c r="M6210" s="51" t="s">
        <v>10775</v>
      </c>
      <c r="N6210" s="49" t="n">
        <v>0</v>
      </c>
      <c r="O6210" s="53" t="n">
        <v>45890.6403009259</v>
      </c>
      <c r="P6210" s="53" t="n">
        <v>45904.644525463</v>
      </c>
      <c r="Q6210" s="53" t="n">
        <v>45890.6403009259</v>
      </c>
      <c r="R6210" s="0" t="n">
        <v>0</v>
      </c>
      <c r="S6210" s="51" t="s">
        <v>2356</v>
      </c>
      <c r="T6210" s="51" t="s">
        <v>2356</v>
      </c>
      <c r="U6210" s="51" t="s">
        <v>4166</v>
      </c>
      <c r="V6210" s="51" t="s">
        <v>2365</v>
      </c>
      <c r="W6210" s="51" t="s">
        <v>4607</v>
      </c>
      <c r="X6210" s="51" t="s">
        <v>2359</v>
      </c>
    </row>
    <row r="6211" customFormat="false" ht="14.25" hidden="true" customHeight="false" outlineLevel="0" collapsed="false">
      <c r="A6211" s="49" t="s">
        <v>2349</v>
      </c>
      <c r="B6211" s="49" t="s">
        <v>2350</v>
      </c>
      <c r="C6211" s="49" t="s">
        <v>10796</v>
      </c>
      <c r="D6211" s="49" t="s">
        <v>2352</v>
      </c>
      <c r="E6211" s="49" t="s">
        <v>4166</v>
      </c>
      <c r="F6211" s="49" t="s">
        <v>4167</v>
      </c>
      <c r="G6211" s="49" t="n">
        <v>0</v>
      </c>
      <c r="H6211" s="0" t="n">
        <v>0</v>
      </c>
      <c r="M6211" s="51" t="s">
        <v>10775</v>
      </c>
      <c r="N6211" s="49" t="n">
        <v>0</v>
      </c>
      <c r="O6211" s="53" t="n">
        <v>45890.6401157407</v>
      </c>
      <c r="P6211" s="53" t="n">
        <v>45922.3945486111</v>
      </c>
      <c r="Q6211" s="53" t="n">
        <v>45890.6401157407</v>
      </c>
      <c r="R6211" s="0" t="n">
        <v>0</v>
      </c>
      <c r="S6211" s="51" t="s">
        <v>2356</v>
      </c>
      <c r="T6211" s="51" t="s">
        <v>2356</v>
      </c>
      <c r="U6211" s="51" t="s">
        <v>4166</v>
      </c>
      <c r="V6211" s="51" t="s">
        <v>2365</v>
      </c>
      <c r="W6211" s="51" t="s">
        <v>7296</v>
      </c>
      <c r="X6211" s="51" t="s">
        <v>2359</v>
      </c>
    </row>
    <row r="6212" customFormat="false" ht="14.25" hidden="true" customHeight="false" outlineLevel="0" collapsed="false">
      <c r="A6212" s="49" t="s">
        <v>2349</v>
      </c>
      <c r="B6212" s="49" t="s">
        <v>2350</v>
      </c>
      <c r="C6212" s="49" t="s">
        <v>10797</v>
      </c>
      <c r="D6212" s="49" t="s">
        <v>2352</v>
      </c>
      <c r="E6212" s="49" t="str">
        <f aca="false">"12482691"</f>
        <v>12482691</v>
      </c>
      <c r="F6212" s="49" t="s">
        <v>7031</v>
      </c>
      <c r="G6212" s="49" t="n">
        <v>0</v>
      </c>
      <c r="H6212" s="0" t="n">
        <v>0</v>
      </c>
      <c r="M6212" s="51" t="s">
        <v>10798</v>
      </c>
      <c r="N6212" s="49" t="n">
        <v>0</v>
      </c>
      <c r="O6212" s="53" t="n">
        <v>45921.4225925926</v>
      </c>
      <c r="P6212" s="53" t="n">
        <v>45921.8023263889</v>
      </c>
      <c r="Q6212" s="53" t="n">
        <v>45921.4225925926</v>
      </c>
      <c r="R6212" s="0" t="n">
        <v>0</v>
      </c>
      <c r="S6212" s="51" t="s">
        <v>2401</v>
      </c>
      <c r="T6212" s="51" t="s">
        <v>2401</v>
      </c>
      <c r="U6212" s="0" t="str">
        <f aca="false">"12482691"</f>
        <v>12482691</v>
      </c>
      <c r="V6212" s="51" t="s">
        <v>2365</v>
      </c>
      <c r="W6212" s="51" t="s">
        <v>7481</v>
      </c>
      <c r="X6212" s="51" t="s">
        <v>2359</v>
      </c>
    </row>
    <row r="6213" customFormat="false" ht="14.25" hidden="true" customHeight="false" outlineLevel="0" collapsed="false">
      <c r="A6213" s="49" t="s">
        <v>2349</v>
      </c>
      <c r="B6213" s="49" t="s">
        <v>2350</v>
      </c>
      <c r="C6213" s="49" t="s">
        <v>10799</v>
      </c>
      <c r="D6213" s="49" t="s">
        <v>2352</v>
      </c>
      <c r="E6213" s="49" t="str">
        <f aca="false">"12482691"</f>
        <v>12482691</v>
      </c>
      <c r="F6213" s="49" t="s">
        <v>7031</v>
      </c>
      <c r="G6213" s="49" t="n">
        <v>0</v>
      </c>
      <c r="H6213" s="0" t="n">
        <v>0</v>
      </c>
      <c r="M6213" s="51" t="s">
        <v>10798</v>
      </c>
      <c r="N6213" s="49" t="n">
        <v>0</v>
      </c>
      <c r="O6213" s="53" t="n">
        <v>45921.4221759259</v>
      </c>
      <c r="P6213" s="53" t="n">
        <v>45921.786724537</v>
      </c>
      <c r="Q6213" s="53" t="n">
        <v>45921.4221759259</v>
      </c>
      <c r="R6213" s="0" t="n">
        <v>0</v>
      </c>
      <c r="S6213" s="51" t="s">
        <v>2401</v>
      </c>
      <c r="T6213" s="51" t="s">
        <v>2401</v>
      </c>
      <c r="U6213" s="0" t="str">
        <f aca="false">"12482691"</f>
        <v>12482691</v>
      </c>
      <c r="V6213" s="51" t="s">
        <v>2365</v>
      </c>
      <c r="W6213" s="51" t="s">
        <v>4216</v>
      </c>
      <c r="X6213" s="51" t="s">
        <v>2359</v>
      </c>
    </row>
    <row r="6214" customFormat="false" ht="14.25" hidden="true" customHeight="false" outlineLevel="0" collapsed="false">
      <c r="A6214" s="49" t="s">
        <v>2349</v>
      </c>
      <c r="B6214" s="49" t="s">
        <v>2350</v>
      </c>
      <c r="C6214" s="49" t="s">
        <v>10800</v>
      </c>
      <c r="D6214" s="49" t="s">
        <v>2352</v>
      </c>
      <c r="E6214" s="49" t="str">
        <f aca="false">"12482691"</f>
        <v>12482691</v>
      </c>
      <c r="F6214" s="49" t="s">
        <v>7031</v>
      </c>
      <c r="G6214" s="49" t="n">
        <v>0</v>
      </c>
      <c r="H6214" s="0" t="n">
        <v>0</v>
      </c>
      <c r="M6214" s="51" t="s">
        <v>10798</v>
      </c>
      <c r="N6214" s="49" t="n">
        <v>0</v>
      </c>
      <c r="O6214" s="53" t="n">
        <v>45921.4218171296</v>
      </c>
      <c r="P6214" s="53" t="n">
        <v>45921.7898032407</v>
      </c>
      <c r="Q6214" s="53" t="n">
        <v>45921.4218171296</v>
      </c>
      <c r="R6214" s="0" t="n">
        <v>0</v>
      </c>
      <c r="S6214" s="51" t="s">
        <v>2401</v>
      </c>
      <c r="T6214" s="51" t="s">
        <v>2401</v>
      </c>
      <c r="U6214" s="0" t="str">
        <f aca="false">"12482691"</f>
        <v>12482691</v>
      </c>
      <c r="V6214" s="51" t="s">
        <v>2365</v>
      </c>
      <c r="W6214" s="51" t="s">
        <v>7733</v>
      </c>
      <c r="X6214" s="51" t="s">
        <v>2359</v>
      </c>
    </row>
    <row r="6215" customFormat="false" ht="14.25" hidden="true" customHeight="false" outlineLevel="0" collapsed="false">
      <c r="A6215" s="49" t="s">
        <v>2349</v>
      </c>
      <c r="B6215" s="49" t="s">
        <v>2350</v>
      </c>
      <c r="C6215" s="49" t="s">
        <v>10801</v>
      </c>
      <c r="D6215" s="49" t="s">
        <v>2352</v>
      </c>
      <c r="E6215" s="49" t="str">
        <f aca="false">"12482691"</f>
        <v>12482691</v>
      </c>
      <c r="F6215" s="49" t="s">
        <v>7031</v>
      </c>
      <c r="G6215" s="49" t="n">
        <v>0</v>
      </c>
      <c r="H6215" s="0" t="n">
        <v>0</v>
      </c>
      <c r="M6215" s="51" t="s">
        <v>10798</v>
      </c>
      <c r="N6215" s="49" t="n">
        <v>0</v>
      </c>
      <c r="O6215" s="53" t="n">
        <v>45921.4216203704</v>
      </c>
      <c r="P6215" s="53" t="n">
        <v>45921.7883217593</v>
      </c>
      <c r="Q6215" s="53" t="n">
        <v>45921.4216203704</v>
      </c>
      <c r="R6215" s="0" t="n">
        <v>0</v>
      </c>
      <c r="S6215" s="51" t="s">
        <v>2401</v>
      </c>
      <c r="T6215" s="51" t="s">
        <v>2401</v>
      </c>
      <c r="U6215" s="0" t="str">
        <f aca="false">"12482691"</f>
        <v>12482691</v>
      </c>
      <c r="V6215" s="51" t="s">
        <v>2365</v>
      </c>
      <c r="W6215" s="51" t="s">
        <v>4076</v>
      </c>
      <c r="X6215" s="51" t="s">
        <v>2359</v>
      </c>
    </row>
    <row r="6216" customFormat="false" ht="14.25" hidden="true" customHeight="false" outlineLevel="0" collapsed="false">
      <c r="A6216" s="49" t="s">
        <v>2349</v>
      </c>
      <c r="B6216" s="49" t="s">
        <v>2350</v>
      </c>
      <c r="C6216" s="49" t="s">
        <v>10802</v>
      </c>
      <c r="D6216" s="49" t="s">
        <v>2352</v>
      </c>
      <c r="E6216" s="49" t="str">
        <f aca="false">"12482691"</f>
        <v>12482691</v>
      </c>
      <c r="F6216" s="49" t="s">
        <v>7031</v>
      </c>
      <c r="G6216" s="49" t="n">
        <v>0</v>
      </c>
      <c r="H6216" s="0" t="n">
        <v>0</v>
      </c>
      <c r="M6216" s="51" t="s">
        <v>10798</v>
      </c>
      <c r="N6216" s="49" t="n">
        <v>0</v>
      </c>
      <c r="O6216" s="53" t="n">
        <v>45921.4214583333</v>
      </c>
      <c r="P6216" s="53" t="n">
        <v>45921.7827662037</v>
      </c>
      <c r="Q6216" s="53" t="n">
        <v>45921.4214583333</v>
      </c>
      <c r="R6216" s="0" t="n">
        <v>0</v>
      </c>
      <c r="S6216" s="51" t="s">
        <v>2401</v>
      </c>
      <c r="T6216" s="51" t="s">
        <v>2401</v>
      </c>
      <c r="U6216" s="0" t="str">
        <f aca="false">"12482691"</f>
        <v>12482691</v>
      </c>
      <c r="V6216" s="51" t="s">
        <v>2365</v>
      </c>
      <c r="W6216" s="51" t="s">
        <v>5837</v>
      </c>
      <c r="X6216" s="51" t="s">
        <v>2359</v>
      </c>
    </row>
    <row r="6217" customFormat="false" ht="14.25" hidden="true" customHeight="false" outlineLevel="0" collapsed="false">
      <c r="A6217" s="49" t="s">
        <v>2349</v>
      </c>
      <c r="B6217" s="49" t="s">
        <v>2350</v>
      </c>
      <c r="C6217" s="49" t="s">
        <v>10803</v>
      </c>
      <c r="D6217" s="49" t="s">
        <v>2352</v>
      </c>
      <c r="E6217" s="49" t="str">
        <f aca="false">"12482691"</f>
        <v>12482691</v>
      </c>
      <c r="F6217" s="49" t="s">
        <v>7031</v>
      </c>
      <c r="G6217" s="49" t="n">
        <v>0</v>
      </c>
      <c r="H6217" s="0" t="n">
        <v>0</v>
      </c>
      <c r="M6217" s="51" t="s">
        <v>10798</v>
      </c>
      <c r="N6217" s="49" t="n">
        <v>0</v>
      </c>
      <c r="O6217" s="53" t="n">
        <v>45921.4211805556</v>
      </c>
      <c r="P6217" s="53" t="n">
        <v>45921.7853587963</v>
      </c>
      <c r="Q6217" s="53" t="n">
        <v>45921.4211805556</v>
      </c>
      <c r="R6217" s="0" t="n">
        <v>0</v>
      </c>
      <c r="S6217" s="51" t="s">
        <v>2401</v>
      </c>
      <c r="T6217" s="51" t="s">
        <v>2401</v>
      </c>
      <c r="U6217" s="0" t="str">
        <f aca="false">"12482691"</f>
        <v>12482691</v>
      </c>
      <c r="V6217" s="51" t="s">
        <v>2365</v>
      </c>
      <c r="W6217" s="51" t="s">
        <v>7843</v>
      </c>
      <c r="X6217" s="51" t="s">
        <v>2359</v>
      </c>
    </row>
    <row r="6218" customFormat="false" ht="17.55" hidden="true" customHeight="false" outlineLevel="0" collapsed="false">
      <c r="A6218" s="49" t="s">
        <v>2349</v>
      </c>
      <c r="B6218" s="49" t="s">
        <v>2350</v>
      </c>
      <c r="C6218" s="49" t="s">
        <v>10804</v>
      </c>
      <c r="D6218" s="49" t="s">
        <v>2352</v>
      </c>
      <c r="E6218" s="49" t="str">
        <f aca="false">"6281024902554"</f>
        <v>6281024902554</v>
      </c>
      <c r="F6218" s="49" t="s">
        <v>4579</v>
      </c>
      <c r="G6218" s="49" t="n">
        <v>0</v>
      </c>
      <c r="H6218" s="0" t="n">
        <v>0</v>
      </c>
      <c r="M6218" s="51" t="s">
        <v>10805</v>
      </c>
      <c r="N6218" s="49" t="n">
        <v>0</v>
      </c>
      <c r="O6218" s="53" t="n">
        <v>45918.6773032407</v>
      </c>
      <c r="P6218" s="53" t="n">
        <v>45935.3688773148</v>
      </c>
      <c r="Q6218" s="53" t="n">
        <v>45918.6773032407</v>
      </c>
      <c r="R6218" s="0" t="n">
        <v>0</v>
      </c>
      <c r="S6218" s="51" t="s">
        <v>2356</v>
      </c>
      <c r="T6218" s="51" t="s">
        <v>2356</v>
      </c>
      <c r="U6218" s="0" t="str">
        <f aca="false">"6281024902554"</f>
        <v>6281024902554</v>
      </c>
      <c r="V6218" s="51" t="s">
        <v>2365</v>
      </c>
      <c r="W6218" s="51" t="s">
        <v>3758</v>
      </c>
      <c r="X6218" s="51" t="s">
        <v>2359</v>
      </c>
    </row>
    <row r="6219" customFormat="false" ht="17.55" hidden="true" customHeight="false" outlineLevel="0" collapsed="false">
      <c r="A6219" s="49" t="s">
        <v>2349</v>
      </c>
      <c r="B6219" s="49" t="s">
        <v>2350</v>
      </c>
      <c r="C6219" s="49" t="s">
        <v>10806</v>
      </c>
      <c r="D6219" s="49" t="s">
        <v>2352</v>
      </c>
      <c r="E6219" s="49" t="str">
        <f aca="false">"6281024902554"</f>
        <v>6281024902554</v>
      </c>
      <c r="F6219" s="49" t="s">
        <v>4579</v>
      </c>
      <c r="G6219" s="49" t="n">
        <v>0</v>
      </c>
      <c r="H6219" s="0" t="n">
        <v>0</v>
      </c>
      <c r="M6219" s="51" t="s">
        <v>10805</v>
      </c>
      <c r="N6219" s="49" t="n">
        <v>0</v>
      </c>
      <c r="O6219" s="53" t="n">
        <v>45918.6769907407</v>
      </c>
      <c r="P6219" s="53" t="n">
        <v>45992.5606944444</v>
      </c>
      <c r="Q6219" s="53" t="n">
        <v>45918.6769907407</v>
      </c>
      <c r="R6219" s="0" t="n">
        <v>0</v>
      </c>
      <c r="S6219" s="51" t="s">
        <v>2356</v>
      </c>
      <c r="T6219" s="51" t="s">
        <v>2356</v>
      </c>
      <c r="U6219" s="0" t="str">
        <f aca="false">"6281024902554"</f>
        <v>6281024902554</v>
      </c>
      <c r="V6219" s="51" t="s">
        <v>2365</v>
      </c>
      <c r="W6219" s="51" t="s">
        <v>9075</v>
      </c>
      <c r="X6219" s="51" t="s">
        <v>2359</v>
      </c>
    </row>
    <row r="6220" customFormat="false" ht="17.55" hidden="true" customHeight="false" outlineLevel="0" collapsed="false">
      <c r="A6220" s="49" t="s">
        <v>2349</v>
      </c>
      <c r="B6220" s="49" t="s">
        <v>2350</v>
      </c>
      <c r="C6220" s="49" t="s">
        <v>10807</v>
      </c>
      <c r="D6220" s="49" t="s">
        <v>2352</v>
      </c>
      <c r="E6220" s="49" t="str">
        <f aca="false">"6281024902554"</f>
        <v>6281024902554</v>
      </c>
      <c r="F6220" s="49" t="s">
        <v>4579</v>
      </c>
      <c r="G6220" s="49" t="n">
        <v>0</v>
      </c>
      <c r="H6220" s="0" t="n">
        <v>0</v>
      </c>
      <c r="M6220" s="51" t="s">
        <v>10805</v>
      </c>
      <c r="N6220" s="49" t="n">
        <v>0</v>
      </c>
      <c r="O6220" s="53" t="n">
        <v>45918.6763194444</v>
      </c>
      <c r="P6220" s="53" t="n">
        <v>45969.3081712963</v>
      </c>
      <c r="Q6220" s="53" t="n">
        <v>45918.6763194444</v>
      </c>
      <c r="R6220" s="0" t="n">
        <v>0</v>
      </c>
      <c r="S6220" s="51" t="s">
        <v>2356</v>
      </c>
      <c r="T6220" s="51" t="s">
        <v>2356</v>
      </c>
      <c r="U6220" s="0" t="str">
        <f aca="false">"6281024902554"</f>
        <v>6281024902554</v>
      </c>
      <c r="V6220" s="51" t="s">
        <v>2365</v>
      </c>
      <c r="W6220" s="51" t="s">
        <v>7058</v>
      </c>
      <c r="X6220" s="51" t="s">
        <v>2359</v>
      </c>
    </row>
    <row r="6221" customFormat="false" ht="17.55" hidden="true" customHeight="false" outlineLevel="0" collapsed="false">
      <c r="A6221" s="49" t="s">
        <v>2349</v>
      </c>
      <c r="B6221" s="49" t="s">
        <v>2350</v>
      </c>
      <c r="C6221" s="49" t="s">
        <v>10808</v>
      </c>
      <c r="D6221" s="49" t="s">
        <v>2352</v>
      </c>
      <c r="E6221" s="49" t="str">
        <f aca="false">"6281024902554"</f>
        <v>6281024902554</v>
      </c>
      <c r="F6221" s="49" t="s">
        <v>4579</v>
      </c>
      <c r="G6221" s="49" t="n">
        <v>0</v>
      </c>
      <c r="H6221" s="0" t="n">
        <v>0</v>
      </c>
      <c r="M6221" s="51" t="s">
        <v>10805</v>
      </c>
      <c r="N6221" s="49" t="n">
        <v>0</v>
      </c>
      <c r="O6221" s="53" t="n">
        <v>45918.6758101852</v>
      </c>
      <c r="P6221" s="53" t="n">
        <v>45992.5621180556</v>
      </c>
      <c r="Q6221" s="53" t="n">
        <v>45918.6758101852</v>
      </c>
      <c r="R6221" s="0" t="n">
        <v>0</v>
      </c>
      <c r="S6221" s="51" t="s">
        <v>2356</v>
      </c>
      <c r="T6221" s="51" t="s">
        <v>2356</v>
      </c>
      <c r="U6221" s="0" t="str">
        <f aca="false">"6281024902554"</f>
        <v>6281024902554</v>
      </c>
      <c r="V6221" s="51" t="s">
        <v>2365</v>
      </c>
      <c r="W6221" s="51" t="s">
        <v>9075</v>
      </c>
      <c r="X6221" s="51" t="s">
        <v>2359</v>
      </c>
    </row>
    <row r="6222" customFormat="false" ht="14.25" hidden="true" customHeight="false" outlineLevel="0" collapsed="false">
      <c r="A6222" s="49" t="s">
        <v>2349</v>
      </c>
      <c r="B6222" s="49" t="s">
        <v>2350</v>
      </c>
      <c r="C6222" s="49" t="s">
        <v>10809</v>
      </c>
      <c r="D6222" s="49" t="s">
        <v>2352</v>
      </c>
      <c r="E6222" s="49" t="s">
        <v>4012</v>
      </c>
      <c r="F6222" s="49" t="s">
        <v>4013</v>
      </c>
      <c r="G6222" s="49" t="n">
        <v>0</v>
      </c>
      <c r="H6222" s="0" t="n">
        <v>0</v>
      </c>
      <c r="M6222" s="51" t="s">
        <v>10810</v>
      </c>
      <c r="N6222" s="49" t="n">
        <v>0</v>
      </c>
      <c r="O6222" s="53" t="n">
        <v>45966.700787037</v>
      </c>
      <c r="P6222" s="53" t="n">
        <v>45967.9328587963</v>
      </c>
      <c r="Q6222" s="53" t="n">
        <v>45966.700787037</v>
      </c>
      <c r="R6222" s="0" t="n">
        <v>0</v>
      </c>
      <c r="S6222" s="51" t="s">
        <v>2401</v>
      </c>
      <c r="T6222" s="51" t="s">
        <v>2401</v>
      </c>
      <c r="U6222" s="51" t="s">
        <v>4012</v>
      </c>
      <c r="V6222" s="51" t="s">
        <v>2365</v>
      </c>
      <c r="W6222" s="51" t="s">
        <v>10811</v>
      </c>
      <c r="X6222" s="51" t="s">
        <v>2359</v>
      </c>
    </row>
    <row r="6223" customFormat="false" ht="14.25" hidden="true" customHeight="false" outlineLevel="0" collapsed="false">
      <c r="A6223" s="49" t="s">
        <v>2349</v>
      </c>
      <c r="B6223" s="49" t="s">
        <v>2350</v>
      </c>
      <c r="C6223" s="49" t="s">
        <v>10812</v>
      </c>
      <c r="D6223" s="49" t="s">
        <v>2352</v>
      </c>
      <c r="E6223" s="49" t="str">
        <f aca="false">"5060458890191"</f>
        <v>5060458890191</v>
      </c>
      <c r="F6223" s="49" t="s">
        <v>3656</v>
      </c>
      <c r="G6223" s="49" t="n">
        <v>0</v>
      </c>
      <c r="H6223" s="0" t="n">
        <v>0</v>
      </c>
      <c r="M6223" s="51" t="s">
        <v>10813</v>
      </c>
      <c r="N6223" s="49" t="n">
        <v>0</v>
      </c>
      <c r="O6223" s="53" t="n">
        <v>45915.7222569444</v>
      </c>
      <c r="P6223" s="53" t="n">
        <v>45935.439849537</v>
      </c>
      <c r="Q6223" s="53" t="n">
        <v>45915.7222569444</v>
      </c>
      <c r="R6223" s="0" t="n">
        <v>0</v>
      </c>
      <c r="S6223" s="51" t="s">
        <v>2401</v>
      </c>
      <c r="T6223" s="51" t="s">
        <v>2401</v>
      </c>
      <c r="U6223" s="0" t="str">
        <f aca="false">"5060458890191"</f>
        <v>5060458890191</v>
      </c>
      <c r="V6223" s="51" t="s">
        <v>2142</v>
      </c>
      <c r="W6223" s="51" t="s">
        <v>10814</v>
      </c>
      <c r="X6223" s="51" t="s">
        <v>2359</v>
      </c>
    </row>
    <row r="6224" customFormat="false" ht="14.25" hidden="true" customHeight="false" outlineLevel="0" collapsed="false">
      <c r="A6224" s="49" t="s">
        <v>2349</v>
      </c>
      <c r="B6224" s="49" t="s">
        <v>2350</v>
      </c>
      <c r="C6224" s="49" t="s">
        <v>10815</v>
      </c>
      <c r="D6224" s="49" t="s">
        <v>2352</v>
      </c>
      <c r="E6224" s="49" t="str">
        <f aca="false">"5060458890191"</f>
        <v>5060458890191</v>
      </c>
      <c r="F6224" s="49" t="s">
        <v>3656</v>
      </c>
      <c r="G6224" s="49" t="n">
        <v>0</v>
      </c>
      <c r="H6224" s="0" t="n">
        <v>0</v>
      </c>
      <c r="M6224" s="51" t="s">
        <v>10813</v>
      </c>
      <c r="N6224" s="49" t="n">
        <v>0</v>
      </c>
      <c r="O6224" s="53" t="n">
        <v>45915.7225347222</v>
      </c>
      <c r="P6224" s="53" t="n">
        <v>45931.8156944444</v>
      </c>
      <c r="Q6224" s="53" t="n">
        <v>45915.7225347222</v>
      </c>
      <c r="R6224" s="0" t="n">
        <v>0</v>
      </c>
      <c r="S6224" s="51" t="s">
        <v>2401</v>
      </c>
      <c r="T6224" s="51" t="s">
        <v>2401</v>
      </c>
      <c r="U6224" s="0" t="str">
        <f aca="false">"5060458890191"</f>
        <v>5060458890191</v>
      </c>
      <c r="V6224" s="51" t="s">
        <v>2142</v>
      </c>
      <c r="W6224" s="51" t="s">
        <v>10816</v>
      </c>
      <c r="X6224" s="51" t="s">
        <v>2359</v>
      </c>
    </row>
    <row r="6225" customFormat="false" ht="14.25" hidden="true" customHeight="false" outlineLevel="0" collapsed="false">
      <c r="A6225" s="49" t="s">
        <v>2349</v>
      </c>
      <c r="B6225" s="49" t="s">
        <v>2350</v>
      </c>
      <c r="C6225" s="49" t="s">
        <v>10817</v>
      </c>
      <c r="D6225" s="49" t="s">
        <v>2352</v>
      </c>
      <c r="E6225" s="49" t="str">
        <f aca="false">"5060458890191"</f>
        <v>5060458890191</v>
      </c>
      <c r="F6225" s="49" t="s">
        <v>3656</v>
      </c>
      <c r="G6225" s="49" t="n">
        <v>0</v>
      </c>
      <c r="H6225" s="0" t="n">
        <v>0</v>
      </c>
      <c r="M6225" s="51" t="s">
        <v>10813</v>
      </c>
      <c r="N6225" s="49" t="n">
        <v>0</v>
      </c>
      <c r="O6225" s="53" t="n">
        <v>45915.7273842593</v>
      </c>
      <c r="P6225" s="53" t="n">
        <v>45931.8167708333</v>
      </c>
      <c r="Q6225" s="53" t="n">
        <v>45915.7273842593</v>
      </c>
      <c r="R6225" s="0" t="n">
        <v>0</v>
      </c>
      <c r="S6225" s="51" t="s">
        <v>2401</v>
      </c>
      <c r="T6225" s="51" t="s">
        <v>2401</v>
      </c>
      <c r="U6225" s="0" t="str">
        <f aca="false">"5060458890191"</f>
        <v>5060458890191</v>
      </c>
      <c r="V6225" s="51" t="s">
        <v>2142</v>
      </c>
      <c r="W6225" s="51" t="s">
        <v>10818</v>
      </c>
      <c r="X6225" s="51" t="s">
        <v>2359</v>
      </c>
    </row>
    <row r="6226" customFormat="false" ht="14.25" hidden="true" customHeight="false" outlineLevel="0" collapsed="false">
      <c r="A6226" s="49" t="s">
        <v>2349</v>
      </c>
      <c r="B6226" s="49" t="s">
        <v>2350</v>
      </c>
      <c r="C6226" s="49" t="s">
        <v>10819</v>
      </c>
      <c r="D6226" s="49" t="s">
        <v>2352</v>
      </c>
      <c r="E6226" s="49" t="str">
        <f aca="false">"5060458890191"</f>
        <v>5060458890191</v>
      </c>
      <c r="F6226" s="49" t="s">
        <v>3656</v>
      </c>
      <c r="G6226" s="49" t="n">
        <v>0</v>
      </c>
      <c r="H6226" s="0" t="n">
        <v>0</v>
      </c>
      <c r="M6226" s="51" t="s">
        <v>10813</v>
      </c>
      <c r="N6226" s="49" t="n">
        <v>0</v>
      </c>
      <c r="O6226" s="53" t="n">
        <v>45915.7270949074</v>
      </c>
      <c r="P6226" s="53" t="n">
        <v>45931.7977777778</v>
      </c>
      <c r="Q6226" s="53" t="n">
        <v>45915.7270949074</v>
      </c>
      <c r="R6226" s="0" t="n">
        <v>0</v>
      </c>
      <c r="S6226" s="51" t="s">
        <v>2401</v>
      </c>
      <c r="T6226" s="51" t="s">
        <v>2401</v>
      </c>
      <c r="U6226" s="0" t="str">
        <f aca="false">"5060458890191"</f>
        <v>5060458890191</v>
      </c>
      <c r="V6226" s="51" t="s">
        <v>2142</v>
      </c>
      <c r="W6226" s="51" t="s">
        <v>4074</v>
      </c>
      <c r="X6226" s="51" t="s">
        <v>2359</v>
      </c>
    </row>
    <row r="6227" customFormat="false" ht="14.25" hidden="true" customHeight="false" outlineLevel="0" collapsed="false">
      <c r="A6227" s="49" t="s">
        <v>2349</v>
      </c>
      <c r="B6227" s="49" t="s">
        <v>2350</v>
      </c>
      <c r="C6227" s="49" t="s">
        <v>10820</v>
      </c>
      <c r="D6227" s="49" t="s">
        <v>2352</v>
      </c>
      <c r="E6227" s="49" t="str">
        <f aca="false">"5060458890191"</f>
        <v>5060458890191</v>
      </c>
      <c r="F6227" s="49" t="s">
        <v>3656</v>
      </c>
      <c r="G6227" s="49" t="n">
        <v>0</v>
      </c>
      <c r="H6227" s="0" t="n">
        <v>0</v>
      </c>
      <c r="M6227" s="51" t="s">
        <v>10813</v>
      </c>
      <c r="N6227" s="49" t="n">
        <v>0</v>
      </c>
      <c r="O6227" s="53" t="n">
        <v>45915.7270023148</v>
      </c>
      <c r="P6227" s="53" t="n">
        <v>45931.826087963</v>
      </c>
      <c r="Q6227" s="53" t="n">
        <v>45915.7270023148</v>
      </c>
      <c r="R6227" s="0" t="n">
        <v>0</v>
      </c>
      <c r="S6227" s="51" t="s">
        <v>2401</v>
      </c>
      <c r="T6227" s="51" t="s">
        <v>2401</v>
      </c>
      <c r="U6227" s="0" t="str">
        <f aca="false">"5060458890191"</f>
        <v>5060458890191</v>
      </c>
      <c r="V6227" s="51" t="s">
        <v>2142</v>
      </c>
      <c r="W6227" s="51" t="s">
        <v>8750</v>
      </c>
      <c r="X6227" s="51" t="s">
        <v>2359</v>
      </c>
    </row>
    <row r="6228" customFormat="false" ht="14.25" hidden="true" customHeight="false" outlineLevel="0" collapsed="false">
      <c r="A6228" s="49" t="s">
        <v>2349</v>
      </c>
      <c r="B6228" s="49" t="s">
        <v>2350</v>
      </c>
      <c r="C6228" s="49" t="s">
        <v>10821</v>
      </c>
      <c r="D6228" s="49" t="s">
        <v>2352</v>
      </c>
      <c r="E6228" s="49" t="str">
        <f aca="false">"5060458890191"</f>
        <v>5060458890191</v>
      </c>
      <c r="F6228" s="49" t="s">
        <v>3656</v>
      </c>
      <c r="G6228" s="49" t="n">
        <v>0</v>
      </c>
      <c r="H6228" s="0" t="n">
        <v>0</v>
      </c>
      <c r="M6228" s="51" t="s">
        <v>10813</v>
      </c>
      <c r="N6228" s="49" t="n">
        <v>0</v>
      </c>
      <c r="O6228" s="53" t="n">
        <v>45915.726875</v>
      </c>
      <c r="P6228" s="53" t="n">
        <v>45931.9153125</v>
      </c>
      <c r="Q6228" s="53" t="n">
        <v>45915.726875</v>
      </c>
      <c r="R6228" s="0" t="n">
        <v>0</v>
      </c>
      <c r="S6228" s="51" t="s">
        <v>2401</v>
      </c>
      <c r="T6228" s="51" t="s">
        <v>2401</v>
      </c>
      <c r="U6228" s="0" t="str">
        <f aca="false">"5060458890191"</f>
        <v>5060458890191</v>
      </c>
      <c r="V6228" s="51" t="s">
        <v>2142</v>
      </c>
      <c r="W6228" s="51" t="s">
        <v>10822</v>
      </c>
      <c r="X6228" s="51" t="s">
        <v>2359</v>
      </c>
    </row>
    <row r="6229" customFormat="false" ht="14.25" hidden="true" customHeight="false" outlineLevel="0" collapsed="false">
      <c r="A6229" s="49" t="s">
        <v>2349</v>
      </c>
      <c r="B6229" s="49" t="s">
        <v>2350</v>
      </c>
      <c r="C6229" s="49" t="s">
        <v>10823</v>
      </c>
      <c r="D6229" s="49" t="s">
        <v>2352</v>
      </c>
      <c r="E6229" s="49" t="str">
        <f aca="false">"5060458890191"</f>
        <v>5060458890191</v>
      </c>
      <c r="F6229" s="49" t="s">
        <v>3656</v>
      </c>
      <c r="G6229" s="49" t="n">
        <v>0</v>
      </c>
      <c r="H6229" s="0" t="n">
        <v>0</v>
      </c>
      <c r="M6229" s="51" t="s">
        <v>10813</v>
      </c>
      <c r="N6229" s="49" t="n">
        <v>0</v>
      </c>
      <c r="O6229" s="53" t="n">
        <v>45915.7267592593</v>
      </c>
      <c r="P6229" s="53" t="n">
        <v>45931.8034490741</v>
      </c>
      <c r="Q6229" s="53" t="n">
        <v>45915.7267592593</v>
      </c>
      <c r="R6229" s="0" t="n">
        <v>0</v>
      </c>
      <c r="S6229" s="51" t="s">
        <v>2401</v>
      </c>
      <c r="T6229" s="51" t="s">
        <v>2401</v>
      </c>
      <c r="U6229" s="0" t="str">
        <f aca="false">"5060458890191"</f>
        <v>5060458890191</v>
      </c>
      <c r="V6229" s="51" t="s">
        <v>2142</v>
      </c>
      <c r="W6229" s="51" t="s">
        <v>6190</v>
      </c>
      <c r="X6229" s="51" t="s">
        <v>2359</v>
      </c>
    </row>
    <row r="6230" customFormat="false" ht="14.25" hidden="true" customHeight="false" outlineLevel="0" collapsed="false">
      <c r="A6230" s="49" t="s">
        <v>2349</v>
      </c>
      <c r="B6230" s="49" t="s">
        <v>2350</v>
      </c>
      <c r="C6230" s="49" t="s">
        <v>10824</v>
      </c>
      <c r="D6230" s="49" t="s">
        <v>2352</v>
      </c>
      <c r="E6230" s="49" t="str">
        <f aca="false">"5060458890191"</f>
        <v>5060458890191</v>
      </c>
      <c r="F6230" s="49" t="s">
        <v>3656</v>
      </c>
      <c r="G6230" s="49" t="n">
        <v>0</v>
      </c>
      <c r="H6230" s="0" t="n">
        <v>0</v>
      </c>
      <c r="M6230" s="51" t="s">
        <v>10813</v>
      </c>
      <c r="N6230" s="49" t="n">
        <v>0</v>
      </c>
      <c r="O6230" s="53" t="n">
        <v>45915.7265972222</v>
      </c>
      <c r="P6230" s="53" t="n">
        <v>45931.8220833333</v>
      </c>
      <c r="Q6230" s="53" t="n">
        <v>45915.7265972222</v>
      </c>
      <c r="R6230" s="0" t="n">
        <v>0</v>
      </c>
      <c r="S6230" s="51" t="s">
        <v>2401</v>
      </c>
      <c r="T6230" s="51" t="s">
        <v>2401</v>
      </c>
      <c r="U6230" s="0" t="str">
        <f aca="false">"5060458890191"</f>
        <v>5060458890191</v>
      </c>
      <c r="V6230" s="51" t="s">
        <v>2142</v>
      </c>
      <c r="W6230" s="51" t="s">
        <v>8527</v>
      </c>
      <c r="X6230" s="51" t="s">
        <v>2359</v>
      </c>
    </row>
    <row r="6231" customFormat="false" ht="14.25" hidden="true" customHeight="false" outlineLevel="0" collapsed="false">
      <c r="A6231" s="49" t="s">
        <v>2349</v>
      </c>
      <c r="B6231" s="49" t="s">
        <v>2350</v>
      </c>
      <c r="C6231" s="49" t="s">
        <v>10825</v>
      </c>
      <c r="D6231" s="49" t="s">
        <v>2352</v>
      </c>
      <c r="E6231" s="49" t="str">
        <f aca="false">"5060458890191"</f>
        <v>5060458890191</v>
      </c>
      <c r="F6231" s="49" t="s">
        <v>3656</v>
      </c>
      <c r="G6231" s="49" t="n">
        <v>0</v>
      </c>
      <c r="H6231" s="0" t="n">
        <v>0</v>
      </c>
      <c r="M6231" s="51" t="s">
        <v>10813</v>
      </c>
      <c r="N6231" s="49" t="n">
        <v>0</v>
      </c>
      <c r="O6231" s="53" t="n">
        <v>45915.7264699074</v>
      </c>
      <c r="P6231" s="53" t="n">
        <v>45939.3902777778</v>
      </c>
      <c r="Q6231" s="53" t="n">
        <v>45915.7264699074</v>
      </c>
      <c r="R6231" s="0" t="n">
        <v>0</v>
      </c>
      <c r="S6231" s="51" t="s">
        <v>2401</v>
      </c>
      <c r="T6231" s="51" t="s">
        <v>2401</v>
      </c>
      <c r="U6231" s="0" t="str">
        <f aca="false">"5060458890191"</f>
        <v>5060458890191</v>
      </c>
      <c r="V6231" s="51" t="s">
        <v>2142</v>
      </c>
      <c r="W6231" s="51" t="s">
        <v>10826</v>
      </c>
      <c r="X6231" s="51" t="s">
        <v>2359</v>
      </c>
    </row>
    <row r="6232" customFormat="false" ht="14.25" hidden="true" customHeight="false" outlineLevel="0" collapsed="false">
      <c r="A6232" s="49" t="s">
        <v>2349</v>
      </c>
      <c r="B6232" s="49" t="s">
        <v>2350</v>
      </c>
      <c r="C6232" s="49" t="s">
        <v>10827</v>
      </c>
      <c r="D6232" s="49" t="s">
        <v>2352</v>
      </c>
      <c r="E6232" s="49" t="str">
        <f aca="false">"5060458890191"</f>
        <v>5060458890191</v>
      </c>
      <c r="F6232" s="49" t="s">
        <v>3656</v>
      </c>
      <c r="G6232" s="49" t="n">
        <v>0</v>
      </c>
      <c r="H6232" s="0" t="n">
        <v>0</v>
      </c>
      <c r="M6232" s="51" t="s">
        <v>10813</v>
      </c>
      <c r="N6232" s="49" t="n">
        <v>0</v>
      </c>
      <c r="O6232" s="53" t="n">
        <v>45915.7263541667</v>
      </c>
      <c r="P6232" s="53" t="n">
        <v>45939.5373148148</v>
      </c>
      <c r="Q6232" s="53" t="n">
        <v>45915.7263541667</v>
      </c>
      <c r="R6232" s="0" t="n">
        <v>0</v>
      </c>
      <c r="S6232" s="51" t="s">
        <v>2401</v>
      </c>
      <c r="T6232" s="51" t="s">
        <v>2401</v>
      </c>
      <c r="U6232" s="0" t="str">
        <f aca="false">"5060458890191"</f>
        <v>5060458890191</v>
      </c>
      <c r="V6232" s="51" t="s">
        <v>2142</v>
      </c>
      <c r="W6232" s="51" t="s">
        <v>4957</v>
      </c>
      <c r="X6232" s="51" t="s">
        <v>2359</v>
      </c>
    </row>
    <row r="6233" customFormat="false" ht="14.25" hidden="true" customHeight="false" outlineLevel="0" collapsed="false">
      <c r="A6233" s="49" t="s">
        <v>2349</v>
      </c>
      <c r="B6233" s="49" t="s">
        <v>2350</v>
      </c>
      <c r="C6233" s="49" t="s">
        <v>10828</v>
      </c>
      <c r="D6233" s="49" t="s">
        <v>2352</v>
      </c>
      <c r="E6233" s="49" t="str">
        <f aca="false">"5060458890191"</f>
        <v>5060458890191</v>
      </c>
      <c r="F6233" s="49" t="s">
        <v>3656</v>
      </c>
      <c r="G6233" s="49" t="n">
        <v>0</v>
      </c>
      <c r="H6233" s="0" t="n">
        <v>0</v>
      </c>
      <c r="M6233" s="51" t="s">
        <v>10813</v>
      </c>
      <c r="N6233" s="49" t="n">
        <v>0</v>
      </c>
      <c r="O6233" s="53" t="n">
        <v>45915.72625</v>
      </c>
      <c r="P6233" s="53" t="n">
        <v>45939.3392592593</v>
      </c>
      <c r="Q6233" s="53" t="n">
        <v>45915.72625</v>
      </c>
      <c r="R6233" s="0" t="n">
        <v>0</v>
      </c>
      <c r="S6233" s="51" t="s">
        <v>2401</v>
      </c>
      <c r="T6233" s="51" t="s">
        <v>2401</v>
      </c>
      <c r="U6233" s="0" t="str">
        <f aca="false">"5060458890191"</f>
        <v>5060458890191</v>
      </c>
      <c r="V6233" s="51" t="s">
        <v>2142</v>
      </c>
      <c r="W6233" s="51" t="s">
        <v>10829</v>
      </c>
      <c r="X6233" s="51" t="s">
        <v>2359</v>
      </c>
    </row>
    <row r="6234" customFormat="false" ht="14.25" hidden="true" customHeight="false" outlineLevel="0" collapsed="false">
      <c r="A6234" s="49" t="s">
        <v>2349</v>
      </c>
      <c r="B6234" s="49" t="s">
        <v>2350</v>
      </c>
      <c r="C6234" s="49" t="s">
        <v>10830</v>
      </c>
      <c r="D6234" s="49" t="s">
        <v>2352</v>
      </c>
      <c r="E6234" s="49" t="str">
        <f aca="false">"5060458890191"</f>
        <v>5060458890191</v>
      </c>
      <c r="F6234" s="49" t="s">
        <v>3656</v>
      </c>
      <c r="G6234" s="49" t="n">
        <v>0</v>
      </c>
      <c r="H6234" s="0" t="n">
        <v>0</v>
      </c>
      <c r="M6234" s="51" t="s">
        <v>10813</v>
      </c>
      <c r="N6234" s="49" t="n">
        <v>0</v>
      </c>
      <c r="O6234" s="53" t="n">
        <v>45915.7261226852</v>
      </c>
      <c r="P6234" s="53" t="n">
        <v>45939.5386226852</v>
      </c>
      <c r="Q6234" s="53" t="n">
        <v>45915.7261226852</v>
      </c>
      <c r="R6234" s="0" t="n">
        <v>0</v>
      </c>
      <c r="S6234" s="51" t="s">
        <v>2401</v>
      </c>
      <c r="T6234" s="51" t="s">
        <v>2401</v>
      </c>
      <c r="U6234" s="0" t="str">
        <f aca="false">"5060458890191"</f>
        <v>5060458890191</v>
      </c>
      <c r="V6234" s="51" t="s">
        <v>2142</v>
      </c>
      <c r="W6234" s="51" t="s">
        <v>10831</v>
      </c>
      <c r="X6234" s="51" t="s">
        <v>2359</v>
      </c>
    </row>
    <row r="6235" customFormat="false" ht="14.25" hidden="true" customHeight="false" outlineLevel="0" collapsed="false">
      <c r="A6235" s="49" t="s">
        <v>2349</v>
      </c>
      <c r="B6235" s="49" t="s">
        <v>2350</v>
      </c>
      <c r="C6235" s="49" t="s">
        <v>10832</v>
      </c>
      <c r="D6235" s="49" t="s">
        <v>2352</v>
      </c>
      <c r="E6235" s="49" t="str">
        <f aca="false">"5060458890191"</f>
        <v>5060458890191</v>
      </c>
      <c r="F6235" s="49" t="s">
        <v>3656</v>
      </c>
      <c r="G6235" s="49" t="n">
        <v>0</v>
      </c>
      <c r="H6235" s="0" t="n">
        <v>0</v>
      </c>
      <c r="M6235" s="51" t="s">
        <v>10813</v>
      </c>
      <c r="N6235" s="49" t="n">
        <v>0</v>
      </c>
      <c r="O6235" s="53" t="n">
        <v>45915.7260185185</v>
      </c>
      <c r="P6235" s="53" t="n">
        <v>45939.3906944444</v>
      </c>
      <c r="Q6235" s="53" t="n">
        <v>45915.7260185185</v>
      </c>
      <c r="R6235" s="0" t="n">
        <v>0</v>
      </c>
      <c r="S6235" s="51" t="s">
        <v>2401</v>
      </c>
      <c r="T6235" s="51" t="s">
        <v>2401</v>
      </c>
      <c r="U6235" s="0" t="str">
        <f aca="false">"5060458890191"</f>
        <v>5060458890191</v>
      </c>
      <c r="V6235" s="51" t="s">
        <v>2142</v>
      </c>
      <c r="W6235" s="51" t="s">
        <v>10833</v>
      </c>
      <c r="X6235" s="51" t="s">
        <v>2359</v>
      </c>
    </row>
    <row r="6236" customFormat="false" ht="14.25" hidden="true" customHeight="false" outlineLevel="0" collapsed="false">
      <c r="A6236" s="49" t="s">
        <v>2349</v>
      </c>
      <c r="B6236" s="49" t="s">
        <v>2350</v>
      </c>
      <c r="C6236" s="49" t="s">
        <v>10834</v>
      </c>
      <c r="D6236" s="49" t="s">
        <v>2352</v>
      </c>
      <c r="E6236" s="49" t="str">
        <f aca="false">"5060458890191"</f>
        <v>5060458890191</v>
      </c>
      <c r="F6236" s="49" t="s">
        <v>3656</v>
      </c>
      <c r="G6236" s="49" t="n">
        <v>0</v>
      </c>
      <c r="H6236" s="0" t="n">
        <v>0</v>
      </c>
      <c r="M6236" s="51" t="s">
        <v>10813</v>
      </c>
      <c r="N6236" s="49" t="n">
        <v>0</v>
      </c>
      <c r="O6236" s="53" t="n">
        <v>45915.7258449074</v>
      </c>
      <c r="P6236" s="53" t="n">
        <v>45939.5392708333</v>
      </c>
      <c r="Q6236" s="53" t="n">
        <v>45915.7258449074</v>
      </c>
      <c r="R6236" s="0" t="n">
        <v>0</v>
      </c>
      <c r="S6236" s="51" t="s">
        <v>2401</v>
      </c>
      <c r="T6236" s="51" t="s">
        <v>2401</v>
      </c>
      <c r="U6236" s="0" t="str">
        <f aca="false">"5060458890191"</f>
        <v>5060458890191</v>
      </c>
      <c r="V6236" s="51" t="s">
        <v>2142</v>
      </c>
      <c r="W6236" s="51" t="s">
        <v>10156</v>
      </c>
      <c r="X6236" s="51" t="s">
        <v>2359</v>
      </c>
    </row>
    <row r="6237" customFormat="false" ht="14.25" hidden="true" customHeight="false" outlineLevel="0" collapsed="false">
      <c r="A6237" s="49" t="s">
        <v>2349</v>
      </c>
      <c r="B6237" s="49" t="s">
        <v>2350</v>
      </c>
      <c r="C6237" s="49" t="s">
        <v>10835</v>
      </c>
      <c r="D6237" s="49" t="s">
        <v>2352</v>
      </c>
      <c r="E6237" s="49" t="str">
        <f aca="false">"5060458890191"</f>
        <v>5060458890191</v>
      </c>
      <c r="F6237" s="49" t="s">
        <v>3656</v>
      </c>
      <c r="G6237" s="49" t="n">
        <v>0</v>
      </c>
      <c r="H6237" s="0" t="n">
        <v>0</v>
      </c>
      <c r="M6237" s="51" t="s">
        <v>10813</v>
      </c>
      <c r="N6237" s="49" t="n">
        <v>0</v>
      </c>
      <c r="O6237" s="53" t="n">
        <v>45915.7257291667</v>
      </c>
      <c r="P6237" s="53" t="n">
        <v>45939.5380208333</v>
      </c>
      <c r="Q6237" s="53" t="n">
        <v>45915.7257291667</v>
      </c>
      <c r="R6237" s="0" t="n">
        <v>0</v>
      </c>
      <c r="S6237" s="51" t="s">
        <v>2401</v>
      </c>
      <c r="T6237" s="51" t="s">
        <v>2401</v>
      </c>
      <c r="U6237" s="0" t="str">
        <f aca="false">"5060458890191"</f>
        <v>5060458890191</v>
      </c>
      <c r="V6237" s="51" t="s">
        <v>2142</v>
      </c>
      <c r="W6237" s="51" t="s">
        <v>6582</v>
      </c>
      <c r="X6237" s="51" t="s">
        <v>2359</v>
      </c>
    </row>
    <row r="6238" customFormat="false" ht="14.25" hidden="true" customHeight="false" outlineLevel="0" collapsed="false">
      <c r="A6238" s="49" t="s">
        <v>2349</v>
      </c>
      <c r="B6238" s="49" t="s">
        <v>2350</v>
      </c>
      <c r="C6238" s="49" t="s">
        <v>10836</v>
      </c>
      <c r="D6238" s="49" t="s">
        <v>2352</v>
      </c>
      <c r="E6238" s="49" t="str">
        <f aca="false">"5060458890191"</f>
        <v>5060458890191</v>
      </c>
      <c r="F6238" s="49" t="s">
        <v>3656</v>
      </c>
      <c r="G6238" s="49" t="n">
        <v>0</v>
      </c>
      <c r="H6238" s="0" t="n">
        <v>0</v>
      </c>
      <c r="M6238" s="51" t="s">
        <v>10813</v>
      </c>
      <c r="N6238" s="49" t="n">
        <v>0</v>
      </c>
      <c r="O6238" s="53" t="n">
        <v>45915.7256134259</v>
      </c>
      <c r="P6238" s="53" t="n">
        <v>45931.8239930556</v>
      </c>
      <c r="Q6238" s="53" t="n">
        <v>45915.7256134259</v>
      </c>
      <c r="R6238" s="0" t="n">
        <v>0</v>
      </c>
      <c r="S6238" s="51" t="s">
        <v>2401</v>
      </c>
      <c r="T6238" s="51" t="s">
        <v>2401</v>
      </c>
      <c r="U6238" s="0" t="str">
        <f aca="false">"5060458890191"</f>
        <v>5060458890191</v>
      </c>
      <c r="V6238" s="51" t="s">
        <v>2142</v>
      </c>
      <c r="W6238" s="51" t="s">
        <v>10837</v>
      </c>
      <c r="X6238" s="51" t="s">
        <v>2359</v>
      </c>
    </row>
    <row r="6239" customFormat="false" ht="14.25" hidden="true" customHeight="false" outlineLevel="0" collapsed="false">
      <c r="A6239" s="49" t="s">
        <v>2349</v>
      </c>
      <c r="B6239" s="49" t="s">
        <v>2350</v>
      </c>
      <c r="C6239" s="49" t="s">
        <v>10838</v>
      </c>
      <c r="D6239" s="49" t="s">
        <v>2352</v>
      </c>
      <c r="E6239" s="49" t="str">
        <f aca="false">"5060458890191"</f>
        <v>5060458890191</v>
      </c>
      <c r="F6239" s="49" t="s">
        <v>3656</v>
      </c>
      <c r="G6239" s="49" t="n">
        <v>0</v>
      </c>
      <c r="H6239" s="0" t="n">
        <v>0</v>
      </c>
      <c r="M6239" s="51" t="s">
        <v>10813</v>
      </c>
      <c r="N6239" s="49" t="n">
        <v>0</v>
      </c>
      <c r="O6239" s="53" t="n">
        <v>45915.7246296296</v>
      </c>
      <c r="P6239" s="53" t="n">
        <v>45931.819212963</v>
      </c>
      <c r="Q6239" s="53" t="n">
        <v>45915.7246296296</v>
      </c>
      <c r="R6239" s="0" t="n">
        <v>0</v>
      </c>
      <c r="S6239" s="51" t="s">
        <v>2401</v>
      </c>
      <c r="T6239" s="51" t="s">
        <v>2401</v>
      </c>
      <c r="U6239" s="0" t="str">
        <f aca="false">"5060458890191"</f>
        <v>5060458890191</v>
      </c>
      <c r="V6239" s="51" t="s">
        <v>2142</v>
      </c>
      <c r="W6239" s="51" t="s">
        <v>10311</v>
      </c>
      <c r="X6239" s="51" t="s">
        <v>2359</v>
      </c>
    </row>
    <row r="6240" customFormat="false" ht="14.25" hidden="true" customHeight="false" outlineLevel="0" collapsed="false">
      <c r="A6240" s="49" t="s">
        <v>2349</v>
      </c>
      <c r="B6240" s="49" t="s">
        <v>2350</v>
      </c>
      <c r="C6240" s="49" t="s">
        <v>10839</v>
      </c>
      <c r="D6240" s="49" t="s">
        <v>2352</v>
      </c>
      <c r="E6240" s="49" t="str">
        <f aca="false">"5060458890191"</f>
        <v>5060458890191</v>
      </c>
      <c r="F6240" s="49" t="s">
        <v>3656</v>
      </c>
      <c r="G6240" s="49" t="n">
        <v>0</v>
      </c>
      <c r="H6240" s="0" t="n">
        <v>0</v>
      </c>
      <c r="M6240" s="51" t="s">
        <v>10813</v>
      </c>
      <c r="N6240" s="49" t="n">
        <v>0</v>
      </c>
      <c r="O6240" s="53" t="n">
        <v>45915.7247337963</v>
      </c>
      <c r="P6240" s="53" t="n">
        <v>45939.3930208333</v>
      </c>
      <c r="Q6240" s="53" t="n">
        <v>45915.7247337963</v>
      </c>
      <c r="R6240" s="0" t="n">
        <v>0</v>
      </c>
      <c r="S6240" s="51" t="s">
        <v>2401</v>
      </c>
      <c r="T6240" s="51" t="s">
        <v>2401</v>
      </c>
      <c r="U6240" s="0" t="str">
        <f aca="false">"5060458890191"</f>
        <v>5060458890191</v>
      </c>
      <c r="V6240" s="51" t="s">
        <v>2142</v>
      </c>
      <c r="W6240" s="51" t="s">
        <v>10206</v>
      </c>
      <c r="X6240" s="51" t="s">
        <v>2359</v>
      </c>
    </row>
    <row r="6241" customFormat="false" ht="14.25" hidden="true" customHeight="false" outlineLevel="0" collapsed="false">
      <c r="A6241" s="49" t="s">
        <v>2349</v>
      </c>
      <c r="B6241" s="49" t="s">
        <v>2350</v>
      </c>
      <c r="C6241" s="49" t="s">
        <v>10840</v>
      </c>
      <c r="D6241" s="49" t="s">
        <v>2352</v>
      </c>
      <c r="E6241" s="49" t="str">
        <f aca="false">"5060458890191"</f>
        <v>5060458890191</v>
      </c>
      <c r="F6241" s="49" t="s">
        <v>3656</v>
      </c>
      <c r="G6241" s="49" t="n">
        <v>0</v>
      </c>
      <c r="H6241" s="0" t="n">
        <v>0</v>
      </c>
      <c r="M6241" s="51" t="s">
        <v>10813</v>
      </c>
      <c r="N6241" s="49" t="n">
        <v>0</v>
      </c>
      <c r="O6241" s="53" t="n">
        <v>45915.7248842593</v>
      </c>
      <c r="P6241" s="53" t="n">
        <v>45931.9090625</v>
      </c>
      <c r="Q6241" s="53" t="n">
        <v>45915.7248842593</v>
      </c>
      <c r="R6241" s="0" t="n">
        <v>0</v>
      </c>
      <c r="S6241" s="51" t="s">
        <v>2401</v>
      </c>
      <c r="T6241" s="51" t="s">
        <v>2401</v>
      </c>
      <c r="U6241" s="0" t="str">
        <f aca="false">"5060458890191"</f>
        <v>5060458890191</v>
      </c>
      <c r="V6241" s="51" t="s">
        <v>2142</v>
      </c>
      <c r="W6241" s="51" t="s">
        <v>10841</v>
      </c>
      <c r="X6241" s="51" t="s">
        <v>2359</v>
      </c>
    </row>
    <row r="6242" customFormat="false" ht="14.25" hidden="true" customHeight="false" outlineLevel="0" collapsed="false">
      <c r="A6242" s="49" t="s">
        <v>2349</v>
      </c>
      <c r="B6242" s="49" t="s">
        <v>2350</v>
      </c>
      <c r="C6242" s="49" t="s">
        <v>10842</v>
      </c>
      <c r="D6242" s="49" t="s">
        <v>2352</v>
      </c>
      <c r="E6242" s="49" t="str">
        <f aca="false">"5060458890191"</f>
        <v>5060458890191</v>
      </c>
      <c r="F6242" s="49" t="s">
        <v>3656</v>
      </c>
      <c r="G6242" s="49" t="n">
        <v>0</v>
      </c>
      <c r="H6242" s="0" t="n">
        <v>0</v>
      </c>
      <c r="M6242" s="51" t="s">
        <v>10813</v>
      </c>
      <c r="N6242" s="49" t="n">
        <v>0</v>
      </c>
      <c r="O6242" s="53" t="n">
        <v>45915.7249884259</v>
      </c>
      <c r="P6242" s="53" t="n">
        <v>45931.7993287037</v>
      </c>
      <c r="Q6242" s="53" t="n">
        <v>45915.7249884259</v>
      </c>
      <c r="R6242" s="0" t="n">
        <v>0</v>
      </c>
      <c r="S6242" s="51" t="s">
        <v>2401</v>
      </c>
      <c r="T6242" s="51" t="s">
        <v>2401</v>
      </c>
      <c r="U6242" s="0" t="str">
        <f aca="false">"5060458890191"</f>
        <v>5060458890191</v>
      </c>
      <c r="V6242" s="51" t="s">
        <v>2142</v>
      </c>
      <c r="W6242" s="51" t="s">
        <v>4282</v>
      </c>
      <c r="X6242" s="51" t="s">
        <v>2359</v>
      </c>
    </row>
    <row r="6243" customFormat="false" ht="14.25" hidden="true" customHeight="false" outlineLevel="0" collapsed="false">
      <c r="A6243" s="49" t="s">
        <v>2349</v>
      </c>
      <c r="B6243" s="49" t="s">
        <v>2350</v>
      </c>
      <c r="C6243" s="49" t="s">
        <v>10843</v>
      </c>
      <c r="D6243" s="49" t="s">
        <v>2352</v>
      </c>
      <c r="E6243" s="49" t="str">
        <f aca="false">"5060458890191"</f>
        <v>5060458890191</v>
      </c>
      <c r="F6243" s="49" t="s">
        <v>3656</v>
      </c>
      <c r="G6243" s="49" t="n">
        <v>0</v>
      </c>
      <c r="H6243" s="0" t="n">
        <v>0</v>
      </c>
      <c r="M6243" s="51" t="s">
        <v>10813</v>
      </c>
      <c r="N6243" s="49" t="n">
        <v>0</v>
      </c>
      <c r="O6243" s="53" t="n">
        <v>45915.7251851852</v>
      </c>
      <c r="P6243" s="53" t="n">
        <v>45931.8124884259</v>
      </c>
      <c r="Q6243" s="53" t="n">
        <v>45915.7251851852</v>
      </c>
      <c r="R6243" s="0" t="n">
        <v>0</v>
      </c>
      <c r="S6243" s="51" t="s">
        <v>2401</v>
      </c>
      <c r="T6243" s="51" t="s">
        <v>2401</v>
      </c>
      <c r="U6243" s="0" t="str">
        <f aca="false">"5060458890191"</f>
        <v>5060458890191</v>
      </c>
      <c r="V6243" s="51" t="s">
        <v>2142</v>
      </c>
      <c r="W6243" s="51" t="s">
        <v>10844</v>
      </c>
      <c r="X6243" s="51" t="s">
        <v>2359</v>
      </c>
    </row>
    <row r="6244" customFormat="false" ht="14.25" hidden="true" customHeight="false" outlineLevel="0" collapsed="false">
      <c r="A6244" s="49" t="s">
        <v>2349</v>
      </c>
      <c r="B6244" s="49" t="s">
        <v>2350</v>
      </c>
      <c r="C6244" s="49" t="s">
        <v>10845</v>
      </c>
      <c r="D6244" s="49" t="s">
        <v>2352</v>
      </c>
      <c r="E6244" s="49" t="str">
        <f aca="false">"5060458890191"</f>
        <v>5060458890191</v>
      </c>
      <c r="F6244" s="49" t="s">
        <v>3656</v>
      </c>
      <c r="G6244" s="49" t="n">
        <v>0</v>
      </c>
      <c r="H6244" s="0" t="n">
        <v>0</v>
      </c>
      <c r="M6244" s="51" t="s">
        <v>10813</v>
      </c>
      <c r="N6244" s="49" t="n">
        <v>0</v>
      </c>
      <c r="O6244" s="53" t="n">
        <v>45915.7253587963</v>
      </c>
      <c r="P6244" s="53" t="n">
        <v>45931.8003819444</v>
      </c>
      <c r="Q6244" s="53" t="n">
        <v>45915.7253587963</v>
      </c>
      <c r="R6244" s="0" t="n">
        <v>0</v>
      </c>
      <c r="S6244" s="51" t="s">
        <v>2401</v>
      </c>
      <c r="T6244" s="51" t="s">
        <v>2401</v>
      </c>
      <c r="U6244" s="0" t="str">
        <f aca="false">"5060458890191"</f>
        <v>5060458890191</v>
      </c>
      <c r="V6244" s="51" t="s">
        <v>2142</v>
      </c>
      <c r="W6244" s="51" t="s">
        <v>4824</v>
      </c>
      <c r="X6244" s="51" t="s">
        <v>2359</v>
      </c>
    </row>
    <row r="6245" customFormat="false" ht="14.25" hidden="true" customHeight="false" outlineLevel="0" collapsed="false">
      <c r="A6245" s="49" t="s">
        <v>2349</v>
      </c>
      <c r="B6245" s="49" t="s">
        <v>2350</v>
      </c>
      <c r="C6245" s="49" t="s">
        <v>10846</v>
      </c>
      <c r="D6245" s="49" t="s">
        <v>2352</v>
      </c>
      <c r="E6245" s="49" t="str">
        <f aca="false">"5060458890191"</f>
        <v>5060458890191</v>
      </c>
      <c r="F6245" s="49" t="s">
        <v>3656</v>
      </c>
      <c r="G6245" s="49" t="n">
        <v>0</v>
      </c>
      <c r="H6245" s="0" t="n">
        <v>0</v>
      </c>
      <c r="M6245" s="51" t="s">
        <v>10813</v>
      </c>
      <c r="N6245" s="49" t="n">
        <v>0</v>
      </c>
      <c r="O6245" s="53" t="n">
        <v>45915.7244328704</v>
      </c>
      <c r="P6245" s="53" t="n">
        <v>45931.8064814815</v>
      </c>
      <c r="Q6245" s="53" t="n">
        <v>45915.7244328704</v>
      </c>
      <c r="R6245" s="0" t="n">
        <v>0</v>
      </c>
      <c r="S6245" s="51" t="s">
        <v>2401</v>
      </c>
      <c r="T6245" s="51" t="s">
        <v>2401</v>
      </c>
      <c r="U6245" s="0" t="str">
        <f aca="false">"5060458890191"</f>
        <v>5060458890191</v>
      </c>
      <c r="V6245" s="51" t="s">
        <v>2142</v>
      </c>
      <c r="W6245" s="51" t="s">
        <v>6196</v>
      </c>
      <c r="X6245" s="51" t="s">
        <v>2359</v>
      </c>
    </row>
    <row r="6246" customFormat="false" ht="14.25" hidden="true" customHeight="false" outlineLevel="0" collapsed="false">
      <c r="A6246" s="49" t="s">
        <v>2349</v>
      </c>
      <c r="B6246" s="49" t="s">
        <v>2350</v>
      </c>
      <c r="C6246" s="49" t="s">
        <v>10847</v>
      </c>
      <c r="D6246" s="49" t="s">
        <v>2352</v>
      </c>
      <c r="E6246" s="49" t="str">
        <f aca="false">"5060458890191"</f>
        <v>5060458890191</v>
      </c>
      <c r="F6246" s="49" t="s">
        <v>3656</v>
      </c>
      <c r="G6246" s="49" t="n">
        <v>0</v>
      </c>
      <c r="H6246" s="0" t="n">
        <v>0</v>
      </c>
      <c r="M6246" s="51" t="s">
        <v>10813</v>
      </c>
      <c r="N6246" s="49" t="n">
        <v>0</v>
      </c>
      <c r="O6246" s="53" t="n">
        <v>45915.7242939815</v>
      </c>
      <c r="P6246" s="53" t="n">
        <v>45922.6005439815</v>
      </c>
      <c r="Q6246" s="53" t="n">
        <v>45915.7242939815</v>
      </c>
      <c r="R6246" s="0" t="n">
        <v>0</v>
      </c>
      <c r="S6246" s="51" t="s">
        <v>2401</v>
      </c>
      <c r="T6246" s="51" t="s">
        <v>2401</v>
      </c>
      <c r="U6246" s="0" t="str">
        <f aca="false">"5060458890191"</f>
        <v>5060458890191</v>
      </c>
      <c r="V6246" s="51" t="s">
        <v>2142</v>
      </c>
      <c r="W6246" s="51" t="s">
        <v>4548</v>
      </c>
      <c r="X6246" s="51" t="s">
        <v>2359</v>
      </c>
    </row>
    <row r="6247" customFormat="false" ht="14.25" hidden="true" customHeight="false" outlineLevel="0" collapsed="false">
      <c r="A6247" s="49" t="s">
        <v>2349</v>
      </c>
      <c r="B6247" s="49" t="s">
        <v>2350</v>
      </c>
      <c r="C6247" s="49" t="s">
        <v>10848</v>
      </c>
      <c r="D6247" s="49" t="s">
        <v>2352</v>
      </c>
      <c r="E6247" s="49" t="str">
        <f aca="false">"5060458890191"</f>
        <v>5060458890191</v>
      </c>
      <c r="F6247" s="49" t="s">
        <v>3656</v>
      </c>
      <c r="G6247" s="49" t="n">
        <v>0</v>
      </c>
      <c r="H6247" s="0" t="n">
        <v>0</v>
      </c>
      <c r="M6247" s="51" t="s">
        <v>10813</v>
      </c>
      <c r="N6247" s="49" t="n">
        <v>0</v>
      </c>
      <c r="O6247" s="53" t="n">
        <v>45915.7241666667</v>
      </c>
      <c r="P6247" s="53" t="n">
        <v>45931.8080208333</v>
      </c>
      <c r="Q6247" s="53" t="n">
        <v>45915.7241666667</v>
      </c>
      <c r="R6247" s="0" t="n">
        <v>0</v>
      </c>
      <c r="S6247" s="51" t="s">
        <v>2401</v>
      </c>
      <c r="T6247" s="51" t="s">
        <v>2401</v>
      </c>
      <c r="U6247" s="0" t="str">
        <f aca="false">"5060458890191"</f>
        <v>5060458890191</v>
      </c>
      <c r="V6247" s="51" t="s">
        <v>2142</v>
      </c>
      <c r="W6247" s="51" t="s">
        <v>6688</v>
      </c>
      <c r="X6247" s="51" t="s">
        <v>2359</v>
      </c>
    </row>
    <row r="6248" customFormat="false" ht="14.25" hidden="true" customHeight="false" outlineLevel="0" collapsed="false">
      <c r="A6248" s="49" t="s">
        <v>2349</v>
      </c>
      <c r="B6248" s="49" t="s">
        <v>2350</v>
      </c>
      <c r="C6248" s="49" t="s">
        <v>10849</v>
      </c>
      <c r="D6248" s="49" t="s">
        <v>2352</v>
      </c>
      <c r="E6248" s="49" t="str">
        <f aca="false">"5060458890191"</f>
        <v>5060458890191</v>
      </c>
      <c r="F6248" s="49" t="s">
        <v>3656</v>
      </c>
      <c r="G6248" s="49" t="n">
        <v>0</v>
      </c>
      <c r="H6248" s="0" t="n">
        <v>0</v>
      </c>
      <c r="M6248" s="51" t="s">
        <v>10813</v>
      </c>
      <c r="N6248" s="49" t="n">
        <v>0</v>
      </c>
      <c r="O6248" s="53" t="n">
        <v>45915.7240509259</v>
      </c>
      <c r="P6248" s="53" t="n">
        <v>45931.7932407407</v>
      </c>
      <c r="Q6248" s="53" t="n">
        <v>45915.7240509259</v>
      </c>
      <c r="R6248" s="0" t="n">
        <v>0</v>
      </c>
      <c r="S6248" s="51" t="s">
        <v>2401</v>
      </c>
      <c r="T6248" s="51" t="s">
        <v>2401</v>
      </c>
      <c r="U6248" s="0" t="str">
        <f aca="false">"5060458890191"</f>
        <v>5060458890191</v>
      </c>
      <c r="V6248" s="51" t="s">
        <v>2142</v>
      </c>
      <c r="W6248" s="51" t="s">
        <v>7578</v>
      </c>
      <c r="X6248" s="51" t="s">
        <v>2359</v>
      </c>
    </row>
    <row r="6249" customFormat="false" ht="14.25" hidden="true" customHeight="false" outlineLevel="0" collapsed="false">
      <c r="A6249" s="49" t="s">
        <v>2349</v>
      </c>
      <c r="B6249" s="49" t="s">
        <v>2350</v>
      </c>
      <c r="C6249" s="49" t="s">
        <v>10850</v>
      </c>
      <c r="D6249" s="49" t="s">
        <v>2352</v>
      </c>
      <c r="E6249" s="49" t="str">
        <f aca="false">"5060458890191"</f>
        <v>5060458890191</v>
      </c>
      <c r="F6249" s="49" t="s">
        <v>3656</v>
      </c>
      <c r="G6249" s="49" t="n">
        <v>0</v>
      </c>
      <c r="H6249" s="0" t="n">
        <v>0</v>
      </c>
      <c r="M6249" s="51" t="s">
        <v>10813</v>
      </c>
      <c r="N6249" s="49" t="n">
        <v>0</v>
      </c>
      <c r="O6249" s="53" t="n">
        <v>45915.7239467593</v>
      </c>
      <c r="P6249" s="53" t="n">
        <v>45931.8048726852</v>
      </c>
      <c r="Q6249" s="53" t="n">
        <v>45915.7239467593</v>
      </c>
      <c r="R6249" s="0" t="n">
        <v>0</v>
      </c>
      <c r="S6249" s="51" t="s">
        <v>2401</v>
      </c>
      <c r="T6249" s="51" t="s">
        <v>2401</v>
      </c>
      <c r="U6249" s="0" t="str">
        <f aca="false">"5060458890191"</f>
        <v>5060458890191</v>
      </c>
      <c r="V6249" s="51" t="s">
        <v>2142</v>
      </c>
      <c r="W6249" s="51" t="s">
        <v>7360</v>
      </c>
      <c r="X6249" s="51" t="s">
        <v>2359</v>
      </c>
    </row>
    <row r="6250" customFormat="false" ht="14.25" hidden="true" customHeight="false" outlineLevel="0" collapsed="false">
      <c r="A6250" s="49" t="s">
        <v>2349</v>
      </c>
      <c r="B6250" s="49" t="s">
        <v>2350</v>
      </c>
      <c r="C6250" s="49" t="s">
        <v>10851</v>
      </c>
      <c r="D6250" s="49" t="s">
        <v>2352</v>
      </c>
      <c r="E6250" s="49" t="str">
        <f aca="false">"5060458890191"</f>
        <v>5060458890191</v>
      </c>
      <c r="F6250" s="49" t="s">
        <v>3656</v>
      </c>
      <c r="G6250" s="49" t="n">
        <v>0</v>
      </c>
      <c r="H6250" s="0" t="n">
        <v>0</v>
      </c>
      <c r="M6250" s="51" t="s">
        <v>10813</v>
      </c>
      <c r="N6250" s="49" t="n">
        <v>0</v>
      </c>
      <c r="O6250" s="53" t="n">
        <v>45915.7237962963</v>
      </c>
      <c r="P6250" s="53" t="n">
        <v>45931.8011226852</v>
      </c>
      <c r="Q6250" s="53" t="n">
        <v>45915.7237962963</v>
      </c>
      <c r="R6250" s="0" t="n">
        <v>0</v>
      </c>
      <c r="S6250" s="51" t="s">
        <v>2401</v>
      </c>
      <c r="T6250" s="51" t="s">
        <v>2401</v>
      </c>
      <c r="U6250" s="0" t="str">
        <f aca="false">"5060458890191"</f>
        <v>5060458890191</v>
      </c>
      <c r="V6250" s="51" t="s">
        <v>2142</v>
      </c>
      <c r="W6250" s="51" t="s">
        <v>4519</v>
      </c>
      <c r="X6250" s="51" t="s">
        <v>2359</v>
      </c>
    </row>
    <row r="6251" customFormat="false" ht="14.25" hidden="true" customHeight="false" outlineLevel="0" collapsed="false">
      <c r="A6251" s="49" t="s">
        <v>2349</v>
      </c>
      <c r="B6251" s="49" t="s">
        <v>2350</v>
      </c>
      <c r="C6251" s="49" t="s">
        <v>10852</v>
      </c>
      <c r="D6251" s="49" t="s">
        <v>2352</v>
      </c>
      <c r="E6251" s="49" t="str">
        <f aca="false">"5060458890191"</f>
        <v>5060458890191</v>
      </c>
      <c r="F6251" s="49" t="s">
        <v>3656</v>
      </c>
      <c r="G6251" s="49" t="n">
        <v>0</v>
      </c>
      <c r="H6251" s="0" t="n">
        <v>0</v>
      </c>
      <c r="M6251" s="51" t="s">
        <v>10813</v>
      </c>
      <c r="N6251" s="49" t="n">
        <v>0</v>
      </c>
      <c r="O6251" s="53" t="n">
        <v>45915.7236342593</v>
      </c>
      <c r="P6251" s="53" t="n">
        <v>45935.9316319445</v>
      </c>
      <c r="Q6251" s="53" t="n">
        <v>45915.7236342593</v>
      </c>
      <c r="R6251" s="0" t="n">
        <v>0</v>
      </c>
      <c r="S6251" s="51" t="s">
        <v>2401</v>
      </c>
      <c r="T6251" s="51" t="s">
        <v>2401</v>
      </c>
      <c r="U6251" s="0" t="str">
        <f aca="false">"5060458890191"</f>
        <v>5060458890191</v>
      </c>
      <c r="V6251" s="51" t="s">
        <v>2142</v>
      </c>
      <c r="W6251" s="51" t="s">
        <v>10258</v>
      </c>
      <c r="X6251" s="51" t="s">
        <v>2359</v>
      </c>
    </row>
    <row r="6252" customFormat="false" ht="14.25" hidden="true" customHeight="false" outlineLevel="0" collapsed="false">
      <c r="A6252" s="49" t="s">
        <v>2349</v>
      </c>
      <c r="B6252" s="49" t="s">
        <v>2350</v>
      </c>
      <c r="C6252" s="49" t="s">
        <v>10853</v>
      </c>
      <c r="D6252" s="49" t="s">
        <v>2352</v>
      </c>
      <c r="E6252" s="49" t="str">
        <f aca="false">"5060458890191"</f>
        <v>5060458890191</v>
      </c>
      <c r="F6252" s="49" t="s">
        <v>3656</v>
      </c>
      <c r="G6252" s="49" t="n">
        <v>0</v>
      </c>
      <c r="H6252" s="0" t="n">
        <v>0</v>
      </c>
      <c r="M6252" s="51" t="s">
        <v>10813</v>
      </c>
      <c r="N6252" s="49" t="n">
        <v>0</v>
      </c>
      <c r="O6252" s="53" t="n">
        <v>45915.7234027778</v>
      </c>
      <c r="P6252" s="53" t="n">
        <v>45935.9344444444</v>
      </c>
      <c r="Q6252" s="53" t="n">
        <v>45915.7234027778</v>
      </c>
      <c r="R6252" s="0" t="n">
        <v>0</v>
      </c>
      <c r="S6252" s="51" t="s">
        <v>2401</v>
      </c>
      <c r="T6252" s="51" t="s">
        <v>2401</v>
      </c>
      <c r="U6252" s="0" t="str">
        <f aca="false">"5060458890191"</f>
        <v>5060458890191</v>
      </c>
      <c r="V6252" s="51" t="s">
        <v>2142</v>
      </c>
      <c r="W6252" s="51" t="s">
        <v>10854</v>
      </c>
      <c r="X6252" s="51" t="s">
        <v>2359</v>
      </c>
    </row>
    <row r="6253" customFormat="false" ht="14.25" hidden="true" customHeight="false" outlineLevel="0" collapsed="false">
      <c r="A6253" s="49" t="s">
        <v>2349</v>
      </c>
      <c r="B6253" s="49" t="s">
        <v>2350</v>
      </c>
      <c r="C6253" s="49" t="s">
        <v>10855</v>
      </c>
      <c r="D6253" s="49" t="s">
        <v>2352</v>
      </c>
      <c r="E6253" s="49" t="str">
        <f aca="false">"10074865055175"</f>
        <v>10074865055175</v>
      </c>
      <c r="F6253" s="49" t="s">
        <v>5090</v>
      </c>
      <c r="G6253" s="49" t="n">
        <v>0</v>
      </c>
      <c r="H6253" s="0" t="n">
        <v>0</v>
      </c>
      <c r="M6253" s="51" t="s">
        <v>10856</v>
      </c>
      <c r="N6253" s="49" t="n">
        <v>0</v>
      </c>
      <c r="O6253" s="53" t="n">
        <v>45890.4754282407</v>
      </c>
      <c r="P6253" s="53" t="n">
        <v>45918.7343634259</v>
      </c>
      <c r="Q6253" s="53" t="n">
        <v>45890.4754282407</v>
      </c>
      <c r="R6253" s="0" t="n">
        <v>0</v>
      </c>
      <c r="S6253" s="51" t="s">
        <v>2416</v>
      </c>
      <c r="T6253" s="51" t="s">
        <v>2416</v>
      </c>
      <c r="U6253" s="0" t="str">
        <f aca="false">"10074865055175"</f>
        <v>10074865055175</v>
      </c>
      <c r="V6253" s="51" t="s">
        <v>2365</v>
      </c>
      <c r="W6253" s="51" t="s">
        <v>10857</v>
      </c>
      <c r="X6253" s="51" t="s">
        <v>2359</v>
      </c>
    </row>
    <row r="6254" customFormat="false" ht="14.25" hidden="true" customHeight="false" outlineLevel="0" collapsed="false">
      <c r="A6254" s="49" t="s">
        <v>2349</v>
      </c>
      <c r="B6254" s="49" t="s">
        <v>2350</v>
      </c>
      <c r="C6254" s="49" t="s">
        <v>10858</v>
      </c>
      <c r="D6254" s="49" t="s">
        <v>2352</v>
      </c>
      <c r="E6254" s="49" t="str">
        <f aca="false">"10074865055175"</f>
        <v>10074865055175</v>
      </c>
      <c r="F6254" s="49" t="s">
        <v>5090</v>
      </c>
      <c r="G6254" s="49" t="n">
        <v>0</v>
      </c>
      <c r="H6254" s="0" t="n">
        <v>0</v>
      </c>
      <c r="M6254" s="51" t="s">
        <v>10856</v>
      </c>
      <c r="N6254" s="49" t="n">
        <v>0</v>
      </c>
      <c r="O6254" s="53" t="n">
        <v>45890.4753356481</v>
      </c>
      <c r="P6254" s="53" t="n">
        <v>45918.7352777778</v>
      </c>
      <c r="Q6254" s="53" t="n">
        <v>45890.4753356481</v>
      </c>
      <c r="R6254" s="0" t="n">
        <v>0</v>
      </c>
      <c r="S6254" s="51" t="s">
        <v>2416</v>
      </c>
      <c r="T6254" s="51" t="s">
        <v>2416</v>
      </c>
      <c r="U6254" s="0" t="str">
        <f aca="false">"10074865055175"</f>
        <v>10074865055175</v>
      </c>
      <c r="V6254" s="51" t="s">
        <v>2365</v>
      </c>
      <c r="W6254" s="51" t="s">
        <v>4076</v>
      </c>
      <c r="X6254" s="51" t="s">
        <v>2359</v>
      </c>
    </row>
    <row r="6255" customFormat="false" ht="14.25" hidden="true" customHeight="false" outlineLevel="0" collapsed="false">
      <c r="A6255" s="49" t="s">
        <v>2349</v>
      </c>
      <c r="B6255" s="49" t="s">
        <v>2350</v>
      </c>
      <c r="C6255" s="49" t="s">
        <v>10859</v>
      </c>
      <c r="D6255" s="49" t="s">
        <v>2352</v>
      </c>
      <c r="E6255" s="49" t="str">
        <f aca="false">"10074865055175"</f>
        <v>10074865055175</v>
      </c>
      <c r="F6255" s="49" t="s">
        <v>5090</v>
      </c>
      <c r="G6255" s="49" t="n">
        <v>0</v>
      </c>
      <c r="H6255" s="0" t="n">
        <v>0</v>
      </c>
      <c r="M6255" s="51" t="s">
        <v>10856</v>
      </c>
      <c r="N6255" s="49" t="n">
        <v>0</v>
      </c>
      <c r="O6255" s="53" t="n">
        <v>45890.4752314815</v>
      </c>
      <c r="P6255" s="53" t="n">
        <v>45956.6518981482</v>
      </c>
      <c r="Q6255" s="53" t="n">
        <v>45890.4752314815</v>
      </c>
      <c r="R6255" s="0" t="n">
        <v>0</v>
      </c>
      <c r="S6255" s="51" t="s">
        <v>2416</v>
      </c>
      <c r="T6255" s="51" t="s">
        <v>2416</v>
      </c>
      <c r="U6255" s="0" t="str">
        <f aca="false">"10074865055175"</f>
        <v>10074865055175</v>
      </c>
      <c r="V6255" s="51" t="s">
        <v>2365</v>
      </c>
      <c r="W6255" s="51" t="s">
        <v>10860</v>
      </c>
      <c r="X6255" s="51" t="s">
        <v>2359</v>
      </c>
    </row>
    <row r="6256" customFormat="false" ht="14.25" hidden="true" customHeight="false" outlineLevel="0" collapsed="false">
      <c r="A6256" s="49" t="s">
        <v>2349</v>
      </c>
      <c r="B6256" s="49" t="s">
        <v>2350</v>
      </c>
      <c r="C6256" s="49" t="s">
        <v>10861</v>
      </c>
      <c r="D6256" s="49" t="s">
        <v>2352</v>
      </c>
      <c r="E6256" s="49" t="str">
        <f aca="false">"10074865055175"</f>
        <v>10074865055175</v>
      </c>
      <c r="F6256" s="49" t="s">
        <v>5090</v>
      </c>
      <c r="G6256" s="49" t="n">
        <v>0</v>
      </c>
      <c r="H6256" s="0" t="n">
        <v>0</v>
      </c>
      <c r="M6256" s="51" t="s">
        <v>10856</v>
      </c>
      <c r="N6256" s="49" t="n">
        <v>0</v>
      </c>
      <c r="O6256" s="53" t="n">
        <v>45890.4756018519</v>
      </c>
      <c r="P6256" s="53" t="n">
        <v>45918.7365740741</v>
      </c>
      <c r="Q6256" s="53" t="n">
        <v>45890.4756018519</v>
      </c>
      <c r="R6256" s="0" t="n">
        <v>0</v>
      </c>
      <c r="S6256" s="51" t="s">
        <v>2416</v>
      </c>
      <c r="T6256" s="51" t="s">
        <v>2416</v>
      </c>
      <c r="U6256" s="0" t="str">
        <f aca="false">"10074865055175"</f>
        <v>10074865055175</v>
      </c>
      <c r="V6256" s="51" t="s">
        <v>2365</v>
      </c>
      <c r="W6256" s="51" t="s">
        <v>10862</v>
      </c>
      <c r="X6256" s="51" t="s">
        <v>2359</v>
      </c>
    </row>
    <row r="6257" customFormat="false" ht="14.25" hidden="true" customHeight="false" outlineLevel="0" collapsed="false">
      <c r="A6257" s="49" t="s">
        <v>2349</v>
      </c>
      <c r="B6257" s="49" t="s">
        <v>2350</v>
      </c>
      <c r="C6257" s="49" t="s">
        <v>10863</v>
      </c>
      <c r="D6257" s="49" t="s">
        <v>2352</v>
      </c>
      <c r="E6257" s="49" t="str">
        <f aca="false">"10074865055175"</f>
        <v>10074865055175</v>
      </c>
      <c r="F6257" s="49" t="s">
        <v>5090</v>
      </c>
      <c r="G6257" s="49" t="n">
        <v>0</v>
      </c>
      <c r="H6257" s="0" t="n">
        <v>0</v>
      </c>
      <c r="M6257" s="51" t="s">
        <v>10856</v>
      </c>
      <c r="N6257" s="49" t="n">
        <v>0</v>
      </c>
      <c r="O6257" s="53" t="n">
        <v>45890.4750925926</v>
      </c>
      <c r="P6257" s="53" t="n">
        <v>45960.7977546296</v>
      </c>
      <c r="Q6257" s="53" t="n">
        <v>45890.4750925926</v>
      </c>
      <c r="R6257" s="0" t="n">
        <v>0</v>
      </c>
      <c r="S6257" s="51" t="s">
        <v>2416</v>
      </c>
      <c r="T6257" s="51" t="s">
        <v>2416</v>
      </c>
      <c r="U6257" s="0" t="str">
        <f aca="false">"10074865055175"</f>
        <v>10074865055175</v>
      </c>
      <c r="V6257" s="51" t="s">
        <v>2365</v>
      </c>
      <c r="W6257" s="51" t="s">
        <v>10561</v>
      </c>
      <c r="X6257" s="51" t="s">
        <v>2359</v>
      </c>
    </row>
    <row r="6258" customFormat="false" ht="14.25" hidden="true" customHeight="false" outlineLevel="0" collapsed="false">
      <c r="A6258" s="49" t="s">
        <v>2349</v>
      </c>
      <c r="B6258" s="49" t="s">
        <v>2350</v>
      </c>
      <c r="C6258" s="49" t="s">
        <v>10864</v>
      </c>
      <c r="D6258" s="49" t="s">
        <v>2352</v>
      </c>
      <c r="E6258" s="49" t="str">
        <f aca="false">"10074865055175"</f>
        <v>10074865055175</v>
      </c>
      <c r="F6258" s="49" t="s">
        <v>5090</v>
      </c>
      <c r="G6258" s="49" t="n">
        <v>0</v>
      </c>
      <c r="H6258" s="0" t="n">
        <v>0</v>
      </c>
      <c r="M6258" s="51" t="s">
        <v>10856</v>
      </c>
      <c r="N6258" s="49" t="n">
        <v>0</v>
      </c>
      <c r="O6258" s="53" t="n">
        <v>45890.4750115741</v>
      </c>
      <c r="P6258" s="53" t="n">
        <v>45918.7372800926</v>
      </c>
      <c r="Q6258" s="53" t="n">
        <v>45890.4750115741</v>
      </c>
      <c r="R6258" s="0" t="n">
        <v>0</v>
      </c>
      <c r="S6258" s="51" t="s">
        <v>2416</v>
      </c>
      <c r="T6258" s="51" t="s">
        <v>2416</v>
      </c>
      <c r="U6258" s="0" t="str">
        <f aca="false">"10074865055175"</f>
        <v>10074865055175</v>
      </c>
      <c r="V6258" s="51" t="s">
        <v>2365</v>
      </c>
      <c r="W6258" s="51" t="s">
        <v>7578</v>
      </c>
      <c r="X6258" s="51" t="s">
        <v>2359</v>
      </c>
    </row>
    <row r="6259" customFormat="false" ht="14.25" hidden="true" customHeight="false" outlineLevel="0" collapsed="false">
      <c r="A6259" s="49" t="s">
        <v>2349</v>
      </c>
      <c r="B6259" s="49" t="s">
        <v>2350</v>
      </c>
      <c r="C6259" s="49" t="s">
        <v>10865</v>
      </c>
      <c r="D6259" s="49" t="s">
        <v>2352</v>
      </c>
      <c r="E6259" s="49" t="str">
        <f aca="false">"10074865055175"</f>
        <v>10074865055175</v>
      </c>
      <c r="F6259" s="49" t="s">
        <v>5090</v>
      </c>
      <c r="G6259" s="49" t="n">
        <v>0</v>
      </c>
      <c r="H6259" s="0" t="n">
        <v>0</v>
      </c>
      <c r="M6259" s="51" t="s">
        <v>10856</v>
      </c>
      <c r="N6259" s="49" t="n">
        <v>0</v>
      </c>
      <c r="O6259" s="53" t="n">
        <v>45890.4772337963</v>
      </c>
      <c r="P6259" s="53" t="n">
        <v>45928.9525578704</v>
      </c>
      <c r="Q6259" s="53" t="n">
        <v>45890.4772337963</v>
      </c>
      <c r="R6259" s="0" t="n">
        <v>0</v>
      </c>
      <c r="S6259" s="51" t="s">
        <v>2416</v>
      </c>
      <c r="T6259" s="51" t="s">
        <v>2416</v>
      </c>
      <c r="U6259" s="0" t="str">
        <f aca="false">"10074865055175"</f>
        <v>10074865055175</v>
      </c>
      <c r="V6259" s="51" t="s">
        <v>2365</v>
      </c>
      <c r="W6259" s="51" t="s">
        <v>3672</v>
      </c>
      <c r="X6259" s="51" t="s">
        <v>2359</v>
      </c>
    </row>
    <row r="6260" customFormat="false" ht="14.25" hidden="true" customHeight="false" outlineLevel="0" collapsed="false">
      <c r="A6260" s="49" t="s">
        <v>2349</v>
      </c>
      <c r="B6260" s="49" t="s">
        <v>2350</v>
      </c>
      <c r="C6260" s="49" t="s">
        <v>10866</v>
      </c>
      <c r="D6260" s="49" t="s">
        <v>2352</v>
      </c>
      <c r="E6260" s="49" t="str">
        <f aca="false">"10074865055175"</f>
        <v>10074865055175</v>
      </c>
      <c r="F6260" s="49" t="s">
        <v>5090</v>
      </c>
      <c r="G6260" s="49" t="n">
        <v>0</v>
      </c>
      <c r="H6260" s="0" t="n">
        <v>0</v>
      </c>
      <c r="M6260" s="51" t="s">
        <v>10856</v>
      </c>
      <c r="N6260" s="49" t="n">
        <v>0</v>
      </c>
      <c r="O6260" s="53" t="n">
        <v>45890.4773148148</v>
      </c>
      <c r="P6260" s="53" t="n">
        <v>45941.5809143519</v>
      </c>
      <c r="Q6260" s="53" t="n">
        <v>45890.4773148148</v>
      </c>
      <c r="R6260" s="0" t="n">
        <v>0</v>
      </c>
      <c r="S6260" s="51" t="s">
        <v>2416</v>
      </c>
      <c r="T6260" s="51" t="s">
        <v>2416</v>
      </c>
      <c r="U6260" s="0" t="str">
        <f aca="false">"10074865055175"</f>
        <v>10074865055175</v>
      </c>
      <c r="V6260" s="51" t="s">
        <v>2365</v>
      </c>
      <c r="W6260" s="51" t="s">
        <v>8349</v>
      </c>
      <c r="X6260" s="51" t="s">
        <v>2359</v>
      </c>
    </row>
    <row r="6261" customFormat="false" ht="14.25" hidden="true" customHeight="false" outlineLevel="0" collapsed="false">
      <c r="A6261" s="49" t="s">
        <v>2349</v>
      </c>
      <c r="B6261" s="49" t="s">
        <v>2350</v>
      </c>
      <c r="C6261" s="49" t="s">
        <v>10867</v>
      </c>
      <c r="D6261" s="49" t="s">
        <v>2352</v>
      </c>
      <c r="E6261" s="49" t="str">
        <f aca="false">"10074865055175"</f>
        <v>10074865055175</v>
      </c>
      <c r="F6261" s="49" t="s">
        <v>5090</v>
      </c>
      <c r="G6261" s="49" t="n">
        <v>0</v>
      </c>
      <c r="H6261" s="0" t="n">
        <v>0</v>
      </c>
      <c r="M6261" s="51" t="s">
        <v>10856</v>
      </c>
      <c r="N6261" s="49" t="n">
        <v>0</v>
      </c>
      <c r="O6261" s="53" t="n">
        <v>45890.4771527778</v>
      </c>
      <c r="P6261" s="53" t="n">
        <v>45918.735775463</v>
      </c>
      <c r="Q6261" s="53" t="n">
        <v>45890.4771527778</v>
      </c>
      <c r="R6261" s="0" t="n">
        <v>0</v>
      </c>
      <c r="S6261" s="51" t="s">
        <v>2416</v>
      </c>
      <c r="T6261" s="51" t="s">
        <v>2416</v>
      </c>
      <c r="U6261" s="0" t="str">
        <f aca="false">"10074865055175"</f>
        <v>10074865055175</v>
      </c>
      <c r="V6261" s="51" t="s">
        <v>2365</v>
      </c>
      <c r="W6261" s="51" t="s">
        <v>7733</v>
      </c>
      <c r="X6261" s="51" t="s">
        <v>2359</v>
      </c>
    </row>
    <row r="6262" customFormat="false" ht="14.25" hidden="true" customHeight="false" outlineLevel="0" collapsed="false">
      <c r="A6262" s="49" t="s">
        <v>2349</v>
      </c>
      <c r="B6262" s="49" t="s">
        <v>2350</v>
      </c>
      <c r="C6262" s="49" t="s">
        <v>10868</v>
      </c>
      <c r="D6262" s="49" t="s">
        <v>2352</v>
      </c>
      <c r="E6262" s="49" t="str">
        <f aca="false">"10074865055175"</f>
        <v>10074865055175</v>
      </c>
      <c r="F6262" s="49" t="s">
        <v>5090</v>
      </c>
      <c r="G6262" s="49" t="n">
        <v>0</v>
      </c>
      <c r="H6262" s="0" t="n">
        <v>0</v>
      </c>
      <c r="M6262" s="51" t="s">
        <v>10856</v>
      </c>
      <c r="N6262" s="49" t="n">
        <v>0</v>
      </c>
      <c r="O6262" s="53" t="n">
        <v>45890.4770601852</v>
      </c>
      <c r="P6262" s="53" t="n">
        <v>45918.7375</v>
      </c>
      <c r="Q6262" s="53" t="n">
        <v>45890.4770601852</v>
      </c>
      <c r="R6262" s="0" t="n">
        <v>0</v>
      </c>
      <c r="S6262" s="51" t="s">
        <v>2416</v>
      </c>
      <c r="T6262" s="51" t="s">
        <v>2416</v>
      </c>
      <c r="U6262" s="0" t="str">
        <f aca="false">"10074865055175"</f>
        <v>10074865055175</v>
      </c>
      <c r="V6262" s="51" t="s">
        <v>2365</v>
      </c>
      <c r="W6262" s="51" t="s">
        <v>6568</v>
      </c>
      <c r="X6262" s="51" t="s">
        <v>2359</v>
      </c>
    </row>
    <row r="6263" customFormat="false" ht="14.25" hidden="true" customHeight="false" outlineLevel="0" collapsed="false">
      <c r="A6263" s="49" t="s">
        <v>2349</v>
      </c>
      <c r="B6263" s="49" t="s">
        <v>2350</v>
      </c>
      <c r="C6263" s="49" t="s">
        <v>10869</v>
      </c>
      <c r="D6263" s="49" t="s">
        <v>2352</v>
      </c>
      <c r="E6263" s="49" t="str">
        <f aca="false">"10074865055175"</f>
        <v>10074865055175</v>
      </c>
      <c r="F6263" s="49" t="s">
        <v>5090</v>
      </c>
      <c r="G6263" s="49" t="n">
        <v>0</v>
      </c>
      <c r="H6263" s="0" t="n">
        <v>0</v>
      </c>
      <c r="M6263" s="51" t="s">
        <v>10856</v>
      </c>
      <c r="N6263" s="49" t="n">
        <v>0</v>
      </c>
      <c r="O6263" s="53" t="n">
        <v>45890.4775694445</v>
      </c>
      <c r="P6263" s="53" t="n">
        <v>45918.7322106482</v>
      </c>
      <c r="Q6263" s="53" t="n">
        <v>45890.4775694445</v>
      </c>
      <c r="R6263" s="0" t="n">
        <v>0</v>
      </c>
      <c r="S6263" s="51" t="s">
        <v>2416</v>
      </c>
      <c r="T6263" s="51" t="s">
        <v>2416</v>
      </c>
      <c r="U6263" s="0" t="str">
        <f aca="false">"10074865055175"</f>
        <v>10074865055175</v>
      </c>
      <c r="V6263" s="51" t="s">
        <v>2365</v>
      </c>
      <c r="W6263" s="51" t="s">
        <v>6786</v>
      </c>
      <c r="X6263" s="51" t="s">
        <v>2359</v>
      </c>
    </row>
    <row r="6264" customFormat="false" ht="14.25" hidden="true" customHeight="false" outlineLevel="0" collapsed="false">
      <c r="A6264" s="49" t="s">
        <v>2349</v>
      </c>
      <c r="B6264" s="49" t="s">
        <v>2350</v>
      </c>
      <c r="C6264" s="49" t="s">
        <v>10870</v>
      </c>
      <c r="D6264" s="49" t="s">
        <v>2352</v>
      </c>
      <c r="E6264" s="49" t="str">
        <f aca="false">"10074865055175"</f>
        <v>10074865055175</v>
      </c>
      <c r="F6264" s="49" t="s">
        <v>5090</v>
      </c>
      <c r="G6264" s="49" t="n">
        <v>0</v>
      </c>
      <c r="H6264" s="0" t="n">
        <v>0</v>
      </c>
      <c r="M6264" s="51" t="s">
        <v>10856</v>
      </c>
      <c r="N6264" s="49" t="n">
        <v>0</v>
      </c>
      <c r="O6264" s="53" t="n">
        <v>45890.4769444445</v>
      </c>
      <c r="P6264" s="53" t="n">
        <v>45918.7325694444</v>
      </c>
      <c r="Q6264" s="53" t="n">
        <v>45890.4769444445</v>
      </c>
      <c r="R6264" s="0" t="n">
        <v>0</v>
      </c>
      <c r="S6264" s="51" t="s">
        <v>2416</v>
      </c>
      <c r="T6264" s="51" t="s">
        <v>2416</v>
      </c>
      <c r="U6264" s="0" t="str">
        <f aca="false">"10074865055175"</f>
        <v>10074865055175</v>
      </c>
      <c r="V6264" s="51" t="s">
        <v>2365</v>
      </c>
      <c r="W6264" s="51" t="s">
        <v>7843</v>
      </c>
      <c r="X6264" s="51" t="s">
        <v>2359</v>
      </c>
    </row>
    <row r="6265" customFormat="false" ht="14.25" hidden="true" customHeight="false" outlineLevel="0" collapsed="false">
      <c r="A6265" s="49" t="s">
        <v>2349</v>
      </c>
      <c r="B6265" s="49" t="s">
        <v>2350</v>
      </c>
      <c r="C6265" s="49" t="s">
        <v>10871</v>
      </c>
      <c r="D6265" s="49" t="s">
        <v>2352</v>
      </c>
      <c r="E6265" s="49" t="str">
        <f aca="false">"10074865055175"</f>
        <v>10074865055175</v>
      </c>
      <c r="F6265" s="49" t="s">
        <v>5090</v>
      </c>
      <c r="G6265" s="49" t="n">
        <v>0</v>
      </c>
      <c r="H6265" s="0" t="n">
        <v>0</v>
      </c>
      <c r="M6265" s="51" t="s">
        <v>10856</v>
      </c>
      <c r="N6265" s="49" t="n">
        <v>0</v>
      </c>
      <c r="O6265" s="53" t="n">
        <v>45890.4768518519</v>
      </c>
      <c r="P6265" s="53" t="n">
        <v>45918.7309722222</v>
      </c>
      <c r="Q6265" s="53" t="n">
        <v>45890.4768518519</v>
      </c>
      <c r="R6265" s="0" t="n">
        <v>0</v>
      </c>
      <c r="S6265" s="51" t="s">
        <v>2416</v>
      </c>
      <c r="T6265" s="51" t="s">
        <v>2416</v>
      </c>
      <c r="U6265" s="0" t="str">
        <f aca="false">"10074865055175"</f>
        <v>10074865055175</v>
      </c>
      <c r="V6265" s="51" t="s">
        <v>2365</v>
      </c>
      <c r="W6265" s="51" t="s">
        <v>5837</v>
      </c>
      <c r="X6265" s="51" t="s">
        <v>2359</v>
      </c>
    </row>
    <row r="6266" customFormat="false" ht="14.25" hidden="true" customHeight="false" outlineLevel="0" collapsed="false">
      <c r="A6266" s="49" t="s">
        <v>2349</v>
      </c>
      <c r="B6266" s="49" t="s">
        <v>2350</v>
      </c>
      <c r="C6266" s="49" t="s">
        <v>10872</v>
      </c>
      <c r="D6266" s="49" t="s">
        <v>2352</v>
      </c>
      <c r="E6266" s="49" t="str">
        <f aca="false">"10074865055175"</f>
        <v>10074865055175</v>
      </c>
      <c r="F6266" s="49" t="s">
        <v>5090</v>
      </c>
      <c r="G6266" s="49" t="n">
        <v>0</v>
      </c>
      <c r="H6266" s="0" t="n">
        <v>0</v>
      </c>
      <c r="M6266" s="51" t="s">
        <v>10856</v>
      </c>
      <c r="N6266" s="49" t="n">
        <v>0</v>
      </c>
      <c r="O6266" s="53" t="n">
        <v>45890.4767361111</v>
      </c>
      <c r="P6266" s="53" t="n">
        <v>45949.9194791667</v>
      </c>
      <c r="Q6266" s="53" t="n">
        <v>45890.4767361111</v>
      </c>
      <c r="R6266" s="0" t="n">
        <v>0</v>
      </c>
      <c r="S6266" s="51" t="s">
        <v>2416</v>
      </c>
      <c r="T6266" s="51" t="s">
        <v>2416</v>
      </c>
      <c r="U6266" s="0" t="str">
        <f aca="false">"10074865055175"</f>
        <v>10074865055175</v>
      </c>
      <c r="V6266" s="51" t="s">
        <v>2365</v>
      </c>
      <c r="W6266" s="51" t="s">
        <v>10126</v>
      </c>
      <c r="X6266" s="51" t="s">
        <v>2359</v>
      </c>
    </row>
    <row r="6267" customFormat="false" ht="14.25" hidden="true" customHeight="false" outlineLevel="0" collapsed="false">
      <c r="A6267" s="49" t="s">
        <v>2349</v>
      </c>
      <c r="B6267" s="49" t="s">
        <v>2350</v>
      </c>
      <c r="C6267" s="49" t="s">
        <v>10873</v>
      </c>
      <c r="D6267" s="49" t="s">
        <v>2352</v>
      </c>
      <c r="E6267" s="49" t="str">
        <f aca="false">"10074865055175"</f>
        <v>10074865055175</v>
      </c>
      <c r="F6267" s="49" t="s">
        <v>5090</v>
      </c>
      <c r="G6267" s="49" t="n">
        <v>0</v>
      </c>
      <c r="H6267" s="0" t="n">
        <v>0</v>
      </c>
      <c r="M6267" s="51" t="s">
        <v>10856</v>
      </c>
      <c r="N6267" s="49" t="n">
        <v>0</v>
      </c>
      <c r="O6267" s="53" t="n">
        <v>45890.4766435185</v>
      </c>
      <c r="P6267" s="53" t="n">
        <v>45939.5185763889</v>
      </c>
      <c r="Q6267" s="53" t="n">
        <v>45890.4766435185</v>
      </c>
      <c r="R6267" s="0" t="n">
        <v>0</v>
      </c>
      <c r="S6267" s="51" t="s">
        <v>2416</v>
      </c>
      <c r="T6267" s="51" t="s">
        <v>2416</v>
      </c>
      <c r="U6267" s="0" t="str">
        <f aca="false">"10074865055175"</f>
        <v>10074865055175</v>
      </c>
      <c r="V6267" s="51" t="s">
        <v>2365</v>
      </c>
      <c r="W6267" s="51" t="s">
        <v>10874</v>
      </c>
      <c r="X6267" s="51" t="s">
        <v>2359</v>
      </c>
    </row>
    <row r="6268" customFormat="false" ht="14.25" hidden="true" customHeight="false" outlineLevel="0" collapsed="false">
      <c r="A6268" s="49" t="s">
        <v>2349</v>
      </c>
      <c r="B6268" s="49" t="s">
        <v>2350</v>
      </c>
      <c r="C6268" s="49" t="s">
        <v>10875</v>
      </c>
      <c r="D6268" s="49" t="s">
        <v>2352</v>
      </c>
      <c r="E6268" s="49" t="str">
        <f aca="false">"10074865055175"</f>
        <v>10074865055175</v>
      </c>
      <c r="F6268" s="49" t="s">
        <v>5090</v>
      </c>
      <c r="G6268" s="49" t="n">
        <v>0</v>
      </c>
      <c r="H6268" s="0" t="n">
        <v>0</v>
      </c>
      <c r="M6268" s="51" t="s">
        <v>10856</v>
      </c>
      <c r="N6268" s="49" t="n">
        <v>0</v>
      </c>
      <c r="O6268" s="53" t="n">
        <v>45890.4765162037</v>
      </c>
      <c r="P6268" s="53" t="n">
        <v>45953.4645601852</v>
      </c>
      <c r="Q6268" s="53" t="n">
        <v>45890.4765162037</v>
      </c>
      <c r="R6268" s="0" t="n">
        <v>0</v>
      </c>
      <c r="S6268" s="51" t="s">
        <v>2416</v>
      </c>
      <c r="T6268" s="51" t="s">
        <v>2416</v>
      </c>
      <c r="U6268" s="0" t="str">
        <f aca="false">"10074865055175"</f>
        <v>10074865055175</v>
      </c>
      <c r="V6268" s="51" t="s">
        <v>2365</v>
      </c>
      <c r="W6268" s="51" t="s">
        <v>10089</v>
      </c>
      <c r="X6268" s="51" t="s">
        <v>2359</v>
      </c>
    </row>
    <row r="6269" customFormat="false" ht="14.25" hidden="true" customHeight="false" outlineLevel="0" collapsed="false">
      <c r="A6269" s="49" t="s">
        <v>2349</v>
      </c>
      <c r="B6269" s="49" t="s">
        <v>2350</v>
      </c>
      <c r="C6269" s="49" t="s">
        <v>10876</v>
      </c>
      <c r="D6269" s="49" t="s">
        <v>2352</v>
      </c>
      <c r="E6269" s="49" t="str">
        <f aca="false">"10074865055175"</f>
        <v>10074865055175</v>
      </c>
      <c r="F6269" s="49" t="s">
        <v>5090</v>
      </c>
      <c r="G6269" s="49" t="n">
        <v>0</v>
      </c>
      <c r="H6269" s="0" t="n">
        <v>0</v>
      </c>
      <c r="M6269" s="51" t="s">
        <v>10856</v>
      </c>
      <c r="N6269" s="49" t="n">
        <v>0</v>
      </c>
      <c r="O6269" s="53" t="n">
        <v>45890.4764467593</v>
      </c>
      <c r="P6269" s="53" t="n">
        <v>45924.7948148148</v>
      </c>
      <c r="Q6269" s="53" t="n">
        <v>45890.4764467593</v>
      </c>
      <c r="R6269" s="0" t="n">
        <v>0</v>
      </c>
      <c r="S6269" s="51" t="s">
        <v>2416</v>
      </c>
      <c r="T6269" s="51" t="s">
        <v>2416</v>
      </c>
      <c r="U6269" s="0" t="str">
        <f aca="false">"10074865055175"</f>
        <v>10074865055175</v>
      </c>
      <c r="V6269" s="51" t="s">
        <v>2365</v>
      </c>
      <c r="W6269" s="51" t="s">
        <v>6568</v>
      </c>
      <c r="X6269" s="51" t="s">
        <v>2359</v>
      </c>
    </row>
    <row r="6270" customFormat="false" ht="14.25" hidden="true" customHeight="false" outlineLevel="0" collapsed="false">
      <c r="A6270" s="49" t="s">
        <v>2349</v>
      </c>
      <c r="B6270" s="49" t="s">
        <v>2350</v>
      </c>
      <c r="C6270" s="49" t="s">
        <v>10877</v>
      </c>
      <c r="D6270" s="49" t="s">
        <v>2352</v>
      </c>
      <c r="E6270" s="49" t="str">
        <f aca="false">"10074865055175"</f>
        <v>10074865055175</v>
      </c>
      <c r="F6270" s="49" t="s">
        <v>5090</v>
      </c>
      <c r="G6270" s="49" t="n">
        <v>0</v>
      </c>
      <c r="H6270" s="0" t="n">
        <v>0</v>
      </c>
      <c r="M6270" s="51" t="s">
        <v>10856</v>
      </c>
      <c r="N6270" s="49" t="n">
        <v>0</v>
      </c>
      <c r="O6270" s="53" t="n">
        <v>45890.4738194444</v>
      </c>
      <c r="P6270" s="53" t="n">
        <v>45960.7952083333</v>
      </c>
      <c r="Q6270" s="53" t="n">
        <v>45890.4738194444</v>
      </c>
      <c r="R6270" s="0" t="n">
        <v>0</v>
      </c>
      <c r="S6270" s="51" t="s">
        <v>2416</v>
      </c>
      <c r="T6270" s="51" t="s">
        <v>2416</v>
      </c>
      <c r="U6270" s="0" t="str">
        <f aca="false">"10074865055175"</f>
        <v>10074865055175</v>
      </c>
      <c r="V6270" s="51" t="s">
        <v>2365</v>
      </c>
      <c r="W6270" s="51" t="s">
        <v>10563</v>
      </c>
      <c r="X6270" s="51" t="s">
        <v>2359</v>
      </c>
    </row>
    <row r="6271" customFormat="false" ht="14.25" hidden="true" customHeight="false" outlineLevel="0" collapsed="false">
      <c r="A6271" s="49" t="s">
        <v>2349</v>
      </c>
      <c r="B6271" s="49" t="s">
        <v>2350</v>
      </c>
      <c r="C6271" s="49" t="s">
        <v>10878</v>
      </c>
      <c r="D6271" s="49" t="s">
        <v>2352</v>
      </c>
      <c r="E6271" s="49" t="str">
        <f aca="false">"10074865055175"</f>
        <v>10074865055175</v>
      </c>
      <c r="F6271" s="49" t="s">
        <v>5090</v>
      </c>
      <c r="G6271" s="49" t="n">
        <v>0</v>
      </c>
      <c r="H6271" s="0" t="n">
        <v>0</v>
      </c>
      <c r="M6271" s="51" t="s">
        <v>10856</v>
      </c>
      <c r="N6271" s="49" t="n">
        <v>0</v>
      </c>
      <c r="O6271" s="53" t="n">
        <v>45890.4740393519</v>
      </c>
      <c r="P6271" s="53" t="n">
        <v>45960.8011111111</v>
      </c>
      <c r="Q6271" s="53" t="n">
        <v>45890.4740393519</v>
      </c>
      <c r="R6271" s="0" t="n">
        <v>0</v>
      </c>
      <c r="S6271" s="51" t="s">
        <v>2416</v>
      </c>
      <c r="T6271" s="51" t="s">
        <v>2416</v>
      </c>
      <c r="U6271" s="0" t="str">
        <f aca="false">"10074865055175"</f>
        <v>10074865055175</v>
      </c>
      <c r="V6271" s="51" t="s">
        <v>2365</v>
      </c>
      <c r="W6271" s="51" t="s">
        <v>10879</v>
      </c>
      <c r="X6271" s="51" t="s">
        <v>2359</v>
      </c>
    </row>
    <row r="6272" customFormat="false" ht="14.25" hidden="true" customHeight="false" outlineLevel="0" collapsed="false">
      <c r="A6272" s="49" t="s">
        <v>2349</v>
      </c>
      <c r="B6272" s="49" t="s">
        <v>2350</v>
      </c>
      <c r="C6272" s="49" t="s">
        <v>10880</v>
      </c>
      <c r="D6272" s="49" t="s">
        <v>2352</v>
      </c>
      <c r="E6272" s="49" t="str">
        <f aca="false">"10074865055175"</f>
        <v>10074865055175</v>
      </c>
      <c r="F6272" s="49" t="s">
        <v>5090</v>
      </c>
      <c r="G6272" s="49" t="n">
        <v>0</v>
      </c>
      <c r="H6272" s="0" t="n">
        <v>0</v>
      </c>
      <c r="M6272" s="51" t="s">
        <v>10856</v>
      </c>
      <c r="N6272" s="49" t="n">
        <v>0</v>
      </c>
      <c r="O6272" s="53" t="n">
        <v>45890.4743055556</v>
      </c>
      <c r="P6272" s="53" t="n">
        <v>45966.7494328704</v>
      </c>
      <c r="Q6272" s="53" t="n">
        <v>45890.4743055556</v>
      </c>
      <c r="R6272" s="0" t="n">
        <v>0</v>
      </c>
      <c r="S6272" s="51" t="s">
        <v>2416</v>
      </c>
      <c r="T6272" s="51" t="s">
        <v>2416</v>
      </c>
      <c r="U6272" s="0" t="str">
        <f aca="false">"10074865055175"</f>
        <v>10074865055175</v>
      </c>
      <c r="V6272" s="51" t="s">
        <v>2365</v>
      </c>
      <c r="W6272" s="51" t="s">
        <v>10881</v>
      </c>
      <c r="X6272" s="51" t="s">
        <v>2359</v>
      </c>
    </row>
    <row r="6273" customFormat="false" ht="14.25" hidden="true" customHeight="false" outlineLevel="0" collapsed="false">
      <c r="A6273" s="49" t="s">
        <v>2349</v>
      </c>
      <c r="B6273" s="49" t="s">
        <v>2350</v>
      </c>
      <c r="C6273" s="49" t="s">
        <v>10882</v>
      </c>
      <c r="D6273" s="49" t="s">
        <v>2352</v>
      </c>
      <c r="E6273" s="49" t="str">
        <f aca="false">"10074865055175"</f>
        <v>10074865055175</v>
      </c>
      <c r="F6273" s="49" t="s">
        <v>5090</v>
      </c>
      <c r="G6273" s="49" t="n">
        <v>0</v>
      </c>
      <c r="H6273" s="0" t="n">
        <v>0</v>
      </c>
      <c r="M6273" s="51" t="s">
        <v>10856</v>
      </c>
      <c r="N6273" s="49" t="n">
        <v>0</v>
      </c>
      <c r="O6273" s="53" t="n">
        <v>45890.4748611111</v>
      </c>
      <c r="P6273" s="53" t="n">
        <v>45918.7385185185</v>
      </c>
      <c r="Q6273" s="53" t="n">
        <v>45890.4748611111</v>
      </c>
      <c r="R6273" s="0" t="n">
        <v>0</v>
      </c>
      <c r="S6273" s="51" t="s">
        <v>2416</v>
      </c>
      <c r="T6273" s="51" t="s">
        <v>2416</v>
      </c>
      <c r="U6273" s="0" t="str">
        <f aca="false">"10074865055175"</f>
        <v>10074865055175</v>
      </c>
      <c r="V6273" s="51" t="s">
        <v>2365</v>
      </c>
      <c r="W6273" s="51" t="s">
        <v>6564</v>
      </c>
      <c r="X6273" s="51" t="s">
        <v>2359</v>
      </c>
    </row>
    <row r="6274" customFormat="false" ht="14.25" hidden="true" customHeight="false" outlineLevel="0" collapsed="false">
      <c r="A6274" s="49" t="s">
        <v>2349</v>
      </c>
      <c r="B6274" s="49" t="s">
        <v>2350</v>
      </c>
      <c r="C6274" s="49" t="s">
        <v>10883</v>
      </c>
      <c r="D6274" s="49" t="s">
        <v>2352</v>
      </c>
      <c r="E6274" s="49" t="str">
        <f aca="false">"10074865055175"</f>
        <v>10074865055175</v>
      </c>
      <c r="F6274" s="49" t="s">
        <v>5090</v>
      </c>
      <c r="G6274" s="49" t="n">
        <v>0</v>
      </c>
      <c r="H6274" s="0" t="n">
        <v>0</v>
      </c>
      <c r="M6274" s="51" t="s">
        <v>10856</v>
      </c>
      <c r="N6274" s="49" t="n">
        <v>0</v>
      </c>
      <c r="O6274" s="53" t="n">
        <v>45890.4743981482</v>
      </c>
      <c r="P6274" s="53" t="n">
        <v>45939.5296875</v>
      </c>
      <c r="Q6274" s="53" t="n">
        <v>45890.4743981482</v>
      </c>
      <c r="R6274" s="0" t="n">
        <v>0</v>
      </c>
      <c r="S6274" s="51" t="s">
        <v>2416</v>
      </c>
      <c r="T6274" s="51" t="s">
        <v>2416</v>
      </c>
      <c r="U6274" s="0" t="str">
        <f aca="false">"10074865055175"</f>
        <v>10074865055175</v>
      </c>
      <c r="V6274" s="51" t="s">
        <v>2365</v>
      </c>
      <c r="W6274" s="51" t="s">
        <v>8707</v>
      </c>
      <c r="X6274" s="51" t="s">
        <v>2359</v>
      </c>
    </row>
    <row r="6275" customFormat="false" ht="14.25" hidden="true" customHeight="false" outlineLevel="0" collapsed="false">
      <c r="A6275" s="49" t="s">
        <v>2349</v>
      </c>
      <c r="B6275" s="49" t="s">
        <v>2350</v>
      </c>
      <c r="C6275" s="49" t="s">
        <v>10884</v>
      </c>
      <c r="D6275" s="49" t="s">
        <v>2352</v>
      </c>
      <c r="E6275" s="49" t="str">
        <f aca="false">"10074865055175"</f>
        <v>10074865055175</v>
      </c>
      <c r="F6275" s="49" t="s">
        <v>5090</v>
      </c>
      <c r="G6275" s="49" t="n">
        <v>0</v>
      </c>
      <c r="H6275" s="0" t="n">
        <v>0</v>
      </c>
      <c r="M6275" s="51" t="s">
        <v>10856</v>
      </c>
      <c r="N6275" s="49" t="n">
        <v>0</v>
      </c>
      <c r="O6275" s="53" t="n">
        <v>45890.4745023148</v>
      </c>
      <c r="P6275" s="53" t="n">
        <v>45941.3186111111</v>
      </c>
      <c r="Q6275" s="53" t="n">
        <v>45890.4745023148</v>
      </c>
      <c r="R6275" s="0" t="n">
        <v>0</v>
      </c>
      <c r="S6275" s="51" t="s">
        <v>2416</v>
      </c>
      <c r="T6275" s="51" t="s">
        <v>2416</v>
      </c>
      <c r="U6275" s="0" t="str">
        <f aca="false">"10074865055175"</f>
        <v>10074865055175</v>
      </c>
      <c r="V6275" s="51" t="s">
        <v>2365</v>
      </c>
      <c r="W6275" s="51" t="s">
        <v>8351</v>
      </c>
      <c r="X6275" s="51" t="s">
        <v>2359</v>
      </c>
    </row>
    <row r="6276" customFormat="false" ht="14.25" hidden="true" customHeight="false" outlineLevel="0" collapsed="false">
      <c r="A6276" s="49" t="s">
        <v>2349</v>
      </c>
      <c r="B6276" s="49" t="s">
        <v>2350</v>
      </c>
      <c r="C6276" s="49" t="s">
        <v>10885</v>
      </c>
      <c r="D6276" s="49" t="s">
        <v>2352</v>
      </c>
      <c r="E6276" s="49" t="str">
        <f aca="false">"10074865055175"</f>
        <v>10074865055175</v>
      </c>
      <c r="F6276" s="49" t="s">
        <v>5090</v>
      </c>
      <c r="G6276" s="49" t="n">
        <v>0</v>
      </c>
      <c r="H6276" s="0" t="n">
        <v>0</v>
      </c>
      <c r="M6276" s="51" t="s">
        <v>10856</v>
      </c>
      <c r="N6276" s="49" t="n">
        <v>0</v>
      </c>
      <c r="O6276" s="53" t="n">
        <v>45890.4746296296</v>
      </c>
      <c r="P6276" s="53" t="n">
        <v>45960.8029166667</v>
      </c>
      <c r="Q6276" s="53" t="n">
        <v>45890.4746296296</v>
      </c>
      <c r="R6276" s="0" t="n">
        <v>0</v>
      </c>
      <c r="S6276" s="51" t="s">
        <v>2416</v>
      </c>
      <c r="T6276" s="51" t="s">
        <v>2416</v>
      </c>
      <c r="U6276" s="0" t="str">
        <f aca="false">"10074865055175"</f>
        <v>10074865055175</v>
      </c>
      <c r="V6276" s="51" t="s">
        <v>2365</v>
      </c>
      <c r="W6276" s="51" t="s">
        <v>10886</v>
      </c>
      <c r="X6276" s="51" t="s">
        <v>2359</v>
      </c>
    </row>
    <row r="6277" customFormat="false" ht="14.25" hidden="true" customHeight="false" outlineLevel="0" collapsed="false">
      <c r="A6277" s="49" t="s">
        <v>2349</v>
      </c>
      <c r="B6277" s="49" t="s">
        <v>2350</v>
      </c>
      <c r="C6277" s="49" t="s">
        <v>10887</v>
      </c>
      <c r="D6277" s="49" t="s">
        <v>2352</v>
      </c>
      <c r="E6277" s="49" t="str">
        <f aca="false">"10074865055175"</f>
        <v>10074865055175</v>
      </c>
      <c r="F6277" s="49" t="s">
        <v>5090</v>
      </c>
      <c r="G6277" s="49" t="n">
        <v>0</v>
      </c>
      <c r="H6277" s="0" t="n">
        <v>0</v>
      </c>
      <c r="M6277" s="51" t="s">
        <v>10856</v>
      </c>
      <c r="N6277" s="49" t="n">
        <v>0</v>
      </c>
      <c r="O6277" s="53" t="n">
        <v>45917.6035532407</v>
      </c>
      <c r="P6277" s="53" t="n">
        <v>45939.5247685185</v>
      </c>
      <c r="R6277" s="0" t="n">
        <v>0</v>
      </c>
      <c r="T6277" s="51" t="s">
        <v>2383</v>
      </c>
      <c r="U6277" s="0" t="str">
        <f aca="false">"10074865055175"</f>
        <v>10074865055175</v>
      </c>
      <c r="V6277" s="51" t="s">
        <v>2365</v>
      </c>
      <c r="W6277" s="51" t="s">
        <v>3844</v>
      </c>
      <c r="X6277" s="51" t="s">
        <v>2359</v>
      </c>
    </row>
    <row r="6278" customFormat="false" ht="14.25" hidden="true" customHeight="false" outlineLevel="0" collapsed="false">
      <c r="A6278" s="49" t="s">
        <v>2349</v>
      </c>
      <c r="B6278" s="49" t="s">
        <v>2350</v>
      </c>
      <c r="C6278" s="49" t="s">
        <v>10888</v>
      </c>
      <c r="D6278" s="49" t="s">
        <v>2352</v>
      </c>
      <c r="E6278" s="49" t="s">
        <v>4140</v>
      </c>
      <c r="F6278" s="49" t="s">
        <v>4141</v>
      </c>
      <c r="G6278" s="49" t="n">
        <v>0</v>
      </c>
      <c r="H6278" s="0" t="n">
        <v>0</v>
      </c>
      <c r="M6278" s="51" t="s">
        <v>10889</v>
      </c>
      <c r="N6278" s="49" t="n">
        <v>0</v>
      </c>
      <c r="O6278" s="53" t="n">
        <v>45914.4513541667</v>
      </c>
      <c r="P6278" s="53" t="n">
        <v>45974.6356712963</v>
      </c>
      <c r="Q6278" s="53" t="n">
        <v>45914.4513541667</v>
      </c>
      <c r="R6278" s="0" t="n">
        <v>0</v>
      </c>
      <c r="S6278" s="51" t="s">
        <v>2356</v>
      </c>
      <c r="T6278" s="51" t="s">
        <v>2356</v>
      </c>
      <c r="U6278" s="51" t="s">
        <v>4140</v>
      </c>
      <c r="V6278" s="51" t="s">
        <v>3740</v>
      </c>
      <c r="W6278" s="51" t="s">
        <v>4614</v>
      </c>
      <c r="X6278" s="51" t="s">
        <v>2359</v>
      </c>
    </row>
    <row r="6279" customFormat="false" ht="14.25" hidden="true" customHeight="false" outlineLevel="0" collapsed="false">
      <c r="A6279" s="49" t="s">
        <v>2349</v>
      </c>
      <c r="B6279" s="49" t="s">
        <v>2350</v>
      </c>
      <c r="C6279" s="49" t="s">
        <v>10890</v>
      </c>
      <c r="D6279" s="49" t="s">
        <v>2352</v>
      </c>
      <c r="E6279" s="49" t="s">
        <v>4140</v>
      </c>
      <c r="F6279" s="49" t="s">
        <v>4141</v>
      </c>
      <c r="G6279" s="49" t="n">
        <v>0</v>
      </c>
      <c r="H6279" s="0" t="n">
        <v>0</v>
      </c>
      <c r="M6279" s="51" t="s">
        <v>10889</v>
      </c>
      <c r="N6279" s="49" t="n">
        <v>0</v>
      </c>
      <c r="O6279" s="53" t="n">
        <v>45914.4510185185</v>
      </c>
      <c r="P6279" s="53" t="n">
        <v>45915.5477430556</v>
      </c>
      <c r="Q6279" s="53" t="n">
        <v>45914.4510185185</v>
      </c>
      <c r="R6279" s="0" t="n">
        <v>0</v>
      </c>
      <c r="S6279" s="51" t="s">
        <v>2356</v>
      </c>
      <c r="T6279" s="51" t="s">
        <v>2356</v>
      </c>
      <c r="U6279" s="51" t="s">
        <v>4140</v>
      </c>
      <c r="V6279" s="51" t="s">
        <v>3740</v>
      </c>
      <c r="W6279" s="51" t="s">
        <v>4132</v>
      </c>
      <c r="X6279" s="51" t="s">
        <v>2359</v>
      </c>
    </row>
    <row r="6280" customFormat="false" ht="14.25" hidden="true" customHeight="false" outlineLevel="0" collapsed="false">
      <c r="A6280" s="49" t="s">
        <v>2349</v>
      </c>
      <c r="B6280" s="49" t="s">
        <v>2350</v>
      </c>
      <c r="C6280" s="49" t="s">
        <v>10891</v>
      </c>
      <c r="D6280" s="49" t="s">
        <v>2352</v>
      </c>
      <c r="E6280" s="49" t="s">
        <v>4124</v>
      </c>
      <c r="F6280" s="49" t="s">
        <v>4125</v>
      </c>
      <c r="G6280" s="49" t="n">
        <v>0</v>
      </c>
      <c r="H6280" s="0" t="n">
        <v>0</v>
      </c>
      <c r="M6280" s="51" t="s">
        <v>10889</v>
      </c>
      <c r="N6280" s="49" t="n">
        <v>0</v>
      </c>
      <c r="O6280" s="53" t="n">
        <v>45914.4528472222</v>
      </c>
      <c r="P6280" s="53" t="n">
        <v>45915.5478703704</v>
      </c>
      <c r="Q6280" s="53" t="n">
        <v>45914.4528472222</v>
      </c>
      <c r="R6280" s="0" t="n">
        <v>0</v>
      </c>
      <c r="S6280" s="51" t="s">
        <v>2356</v>
      </c>
      <c r="T6280" s="51" t="s">
        <v>2356</v>
      </c>
      <c r="U6280" s="51" t="s">
        <v>4124</v>
      </c>
      <c r="V6280" s="51" t="s">
        <v>2365</v>
      </c>
      <c r="W6280" s="51" t="s">
        <v>5151</v>
      </c>
      <c r="X6280" s="51" t="s">
        <v>2359</v>
      </c>
    </row>
    <row r="6281" customFormat="false" ht="14.25" hidden="true" customHeight="false" outlineLevel="0" collapsed="false">
      <c r="A6281" s="49" t="s">
        <v>2349</v>
      </c>
      <c r="B6281" s="49" t="s">
        <v>2350</v>
      </c>
      <c r="C6281" s="49" t="s">
        <v>10892</v>
      </c>
      <c r="D6281" s="49" t="s">
        <v>2352</v>
      </c>
      <c r="E6281" s="49" t="s">
        <v>4124</v>
      </c>
      <c r="F6281" s="49" t="s">
        <v>4125</v>
      </c>
      <c r="G6281" s="49" t="n">
        <v>0</v>
      </c>
      <c r="H6281" s="0" t="n">
        <v>0</v>
      </c>
      <c r="M6281" s="51" t="s">
        <v>10889</v>
      </c>
      <c r="N6281" s="49" t="n">
        <v>0</v>
      </c>
      <c r="O6281" s="53" t="n">
        <v>45914.4529976852</v>
      </c>
      <c r="P6281" s="53" t="n">
        <v>45915.5481365741</v>
      </c>
      <c r="Q6281" s="53" t="n">
        <v>45914.4529976852</v>
      </c>
      <c r="R6281" s="0" t="n">
        <v>0</v>
      </c>
      <c r="S6281" s="51" t="s">
        <v>2356</v>
      </c>
      <c r="T6281" s="51" t="s">
        <v>2356</v>
      </c>
      <c r="U6281" s="51" t="s">
        <v>4124</v>
      </c>
      <c r="V6281" s="51" t="s">
        <v>2365</v>
      </c>
      <c r="W6281" s="51" t="s">
        <v>5159</v>
      </c>
      <c r="X6281" s="51" t="s">
        <v>2359</v>
      </c>
    </row>
    <row r="6282" customFormat="false" ht="14.25" hidden="true" customHeight="false" outlineLevel="0" collapsed="false">
      <c r="A6282" s="49" t="s">
        <v>2349</v>
      </c>
      <c r="B6282" s="49" t="s">
        <v>2350</v>
      </c>
      <c r="C6282" s="49" t="s">
        <v>10893</v>
      </c>
      <c r="D6282" s="49" t="s">
        <v>2352</v>
      </c>
      <c r="E6282" s="49" t="s">
        <v>4124</v>
      </c>
      <c r="F6282" s="49" t="s">
        <v>4125</v>
      </c>
      <c r="G6282" s="49" t="n">
        <v>0</v>
      </c>
      <c r="H6282" s="0" t="n">
        <v>0</v>
      </c>
      <c r="M6282" s="51" t="s">
        <v>10889</v>
      </c>
      <c r="N6282" s="49" t="n">
        <v>0</v>
      </c>
      <c r="O6282" s="53" t="n">
        <v>45914.4532060185</v>
      </c>
      <c r="P6282" s="53" t="n">
        <v>45915.6221296296</v>
      </c>
      <c r="Q6282" s="53" t="n">
        <v>45914.4532060185</v>
      </c>
      <c r="R6282" s="0" t="n">
        <v>0</v>
      </c>
      <c r="S6282" s="51" t="s">
        <v>2356</v>
      </c>
      <c r="T6282" s="51" t="s">
        <v>2356</v>
      </c>
      <c r="U6282" s="51" t="s">
        <v>4124</v>
      </c>
      <c r="V6282" s="51" t="s">
        <v>2365</v>
      </c>
      <c r="W6282" s="51" t="s">
        <v>6881</v>
      </c>
      <c r="X6282" s="51" t="s">
        <v>2359</v>
      </c>
    </row>
    <row r="6283" customFormat="false" ht="14.25" hidden="true" customHeight="false" outlineLevel="0" collapsed="false">
      <c r="A6283" s="49" t="s">
        <v>2349</v>
      </c>
      <c r="B6283" s="49" t="s">
        <v>2350</v>
      </c>
      <c r="C6283" s="49" t="s">
        <v>10894</v>
      </c>
      <c r="D6283" s="49" t="s">
        <v>2352</v>
      </c>
      <c r="E6283" s="49" t="s">
        <v>4124</v>
      </c>
      <c r="F6283" s="49" t="s">
        <v>4125</v>
      </c>
      <c r="G6283" s="49" t="n">
        <v>0</v>
      </c>
      <c r="H6283" s="0" t="n">
        <v>0</v>
      </c>
      <c r="M6283" s="51" t="s">
        <v>10889</v>
      </c>
      <c r="N6283" s="49" t="n">
        <v>0</v>
      </c>
      <c r="O6283" s="53" t="n">
        <v>45914.4534953704</v>
      </c>
      <c r="P6283" s="53" t="n">
        <v>45956.7016550926</v>
      </c>
      <c r="Q6283" s="53" t="n">
        <v>45914.4534953704</v>
      </c>
      <c r="R6283" s="0" t="n">
        <v>0</v>
      </c>
      <c r="S6283" s="51" t="s">
        <v>2356</v>
      </c>
      <c r="T6283" s="51" t="s">
        <v>2356</v>
      </c>
      <c r="U6283" s="51" t="s">
        <v>4124</v>
      </c>
      <c r="V6283" s="51" t="s">
        <v>2365</v>
      </c>
      <c r="W6283" s="51" t="s">
        <v>4927</v>
      </c>
      <c r="X6283" s="51" t="s">
        <v>2359</v>
      </c>
    </row>
    <row r="6284" customFormat="false" ht="14.25" hidden="true" customHeight="false" outlineLevel="0" collapsed="false">
      <c r="A6284" s="49" t="s">
        <v>2349</v>
      </c>
      <c r="B6284" s="49" t="s">
        <v>2350</v>
      </c>
      <c r="C6284" s="49" t="s">
        <v>10895</v>
      </c>
      <c r="D6284" s="49" t="s">
        <v>2352</v>
      </c>
      <c r="E6284" s="49" t="s">
        <v>4124</v>
      </c>
      <c r="F6284" s="49" t="s">
        <v>4125</v>
      </c>
      <c r="G6284" s="49" t="n">
        <v>0</v>
      </c>
      <c r="H6284" s="0" t="n">
        <v>0</v>
      </c>
      <c r="M6284" s="51" t="s">
        <v>10889</v>
      </c>
      <c r="N6284" s="49" t="n">
        <v>0</v>
      </c>
      <c r="O6284" s="53" t="n">
        <v>45914.4537152778</v>
      </c>
      <c r="P6284" s="53" t="n">
        <v>46006.8483333333</v>
      </c>
      <c r="Q6284" s="53" t="n">
        <v>45914.4537152778</v>
      </c>
      <c r="R6284" s="0" t="n">
        <v>0</v>
      </c>
      <c r="S6284" s="51" t="s">
        <v>2356</v>
      </c>
      <c r="T6284" s="51" t="s">
        <v>2356</v>
      </c>
      <c r="U6284" s="51" t="s">
        <v>4124</v>
      </c>
      <c r="V6284" s="51" t="s">
        <v>2365</v>
      </c>
      <c r="W6284" s="51" t="s">
        <v>5317</v>
      </c>
      <c r="X6284" s="51" t="s">
        <v>2359</v>
      </c>
    </row>
    <row r="6285" customFormat="false" ht="14.25" hidden="true" customHeight="false" outlineLevel="0" collapsed="false">
      <c r="A6285" s="49" t="s">
        <v>2349</v>
      </c>
      <c r="B6285" s="49" t="s">
        <v>2350</v>
      </c>
      <c r="C6285" s="49" t="s">
        <v>10896</v>
      </c>
      <c r="D6285" s="49" t="s">
        <v>2352</v>
      </c>
      <c r="E6285" s="49" t="s">
        <v>4124</v>
      </c>
      <c r="F6285" s="49" t="s">
        <v>4125</v>
      </c>
      <c r="G6285" s="49" t="n">
        <v>0</v>
      </c>
      <c r="H6285" s="0" t="n">
        <v>0</v>
      </c>
      <c r="M6285" s="51" t="s">
        <v>10889</v>
      </c>
      <c r="N6285" s="49" t="n">
        <v>0</v>
      </c>
      <c r="O6285" s="53" t="n">
        <v>45914.4538657407</v>
      </c>
      <c r="P6285" s="53" t="n">
        <v>45915.6224652778</v>
      </c>
      <c r="Q6285" s="53" t="n">
        <v>45914.4538657407</v>
      </c>
      <c r="R6285" s="0" t="n">
        <v>0</v>
      </c>
      <c r="S6285" s="51" t="s">
        <v>2356</v>
      </c>
      <c r="T6285" s="51" t="s">
        <v>2356</v>
      </c>
      <c r="U6285" s="51" t="s">
        <v>4124</v>
      </c>
      <c r="V6285" s="51" t="s">
        <v>2365</v>
      </c>
      <c r="W6285" s="51" t="s">
        <v>8391</v>
      </c>
      <c r="X6285" s="51" t="s">
        <v>2359</v>
      </c>
    </row>
    <row r="6286" customFormat="false" ht="14.25" hidden="true" customHeight="false" outlineLevel="0" collapsed="false">
      <c r="A6286" s="49" t="s">
        <v>2349</v>
      </c>
      <c r="B6286" s="49" t="s">
        <v>2350</v>
      </c>
      <c r="C6286" s="49" t="s">
        <v>10897</v>
      </c>
      <c r="D6286" s="49" t="s">
        <v>2352</v>
      </c>
      <c r="E6286" s="49" t="s">
        <v>4115</v>
      </c>
      <c r="F6286" s="49" t="s">
        <v>4116</v>
      </c>
      <c r="G6286" s="49" t="n">
        <v>0</v>
      </c>
      <c r="H6286" s="0" t="n">
        <v>0</v>
      </c>
      <c r="M6286" s="51" t="s">
        <v>10889</v>
      </c>
      <c r="N6286" s="49" t="n">
        <v>0</v>
      </c>
      <c r="O6286" s="53" t="n">
        <v>45914.4565393519</v>
      </c>
      <c r="P6286" s="53" t="n">
        <v>45915.6214236111</v>
      </c>
      <c r="Q6286" s="53" t="n">
        <v>45914.4565393519</v>
      </c>
      <c r="R6286" s="0" t="n">
        <v>0</v>
      </c>
      <c r="S6286" s="51" t="s">
        <v>2356</v>
      </c>
      <c r="T6286" s="51" t="s">
        <v>2356</v>
      </c>
      <c r="U6286" s="51" t="s">
        <v>4115</v>
      </c>
      <c r="V6286" s="51" t="s">
        <v>2365</v>
      </c>
      <c r="W6286" s="51" t="s">
        <v>9510</v>
      </c>
      <c r="X6286" s="51" t="s">
        <v>2359</v>
      </c>
    </row>
    <row r="6287" customFormat="false" ht="14.25" hidden="true" customHeight="false" outlineLevel="0" collapsed="false">
      <c r="A6287" s="49" t="s">
        <v>2349</v>
      </c>
      <c r="B6287" s="49" t="s">
        <v>2350</v>
      </c>
      <c r="C6287" s="49" t="s">
        <v>10898</v>
      </c>
      <c r="D6287" s="49" t="s">
        <v>2352</v>
      </c>
      <c r="E6287" s="49" t="s">
        <v>4115</v>
      </c>
      <c r="F6287" s="49" t="s">
        <v>4116</v>
      </c>
      <c r="G6287" s="49" t="n">
        <v>0</v>
      </c>
      <c r="H6287" s="0" t="n">
        <v>0</v>
      </c>
      <c r="M6287" s="51" t="s">
        <v>10889</v>
      </c>
      <c r="N6287" s="49" t="n">
        <v>0</v>
      </c>
      <c r="O6287" s="53" t="n">
        <v>45914.4567013889</v>
      </c>
      <c r="P6287" s="53" t="n">
        <v>45974.6355439815</v>
      </c>
      <c r="Q6287" s="53" t="n">
        <v>45914.4567013889</v>
      </c>
      <c r="R6287" s="0" t="n">
        <v>0</v>
      </c>
      <c r="S6287" s="51" t="s">
        <v>2356</v>
      </c>
      <c r="T6287" s="51" t="s">
        <v>2356</v>
      </c>
      <c r="U6287" s="51" t="s">
        <v>4115</v>
      </c>
      <c r="V6287" s="51" t="s">
        <v>2365</v>
      </c>
      <c r="W6287" s="51" t="s">
        <v>9510</v>
      </c>
      <c r="X6287" s="51" t="s">
        <v>2359</v>
      </c>
    </row>
    <row r="6288" customFormat="false" ht="14.25" hidden="true" customHeight="false" outlineLevel="0" collapsed="false">
      <c r="A6288" s="49" t="s">
        <v>2349</v>
      </c>
      <c r="B6288" s="49" t="s">
        <v>2350</v>
      </c>
      <c r="C6288" s="49" t="s">
        <v>10899</v>
      </c>
      <c r="D6288" s="49" t="s">
        <v>2352</v>
      </c>
      <c r="E6288" s="49" t="s">
        <v>4115</v>
      </c>
      <c r="F6288" s="49" t="s">
        <v>4116</v>
      </c>
      <c r="G6288" s="49" t="n">
        <v>0</v>
      </c>
      <c r="H6288" s="0" t="n">
        <v>0</v>
      </c>
      <c r="M6288" s="51" t="s">
        <v>10889</v>
      </c>
      <c r="N6288" s="49" t="n">
        <v>0</v>
      </c>
      <c r="O6288" s="53" t="n">
        <v>45914.456875</v>
      </c>
      <c r="P6288" s="53" t="n">
        <v>45974.6365393519</v>
      </c>
      <c r="Q6288" s="53" t="n">
        <v>45914.456875</v>
      </c>
      <c r="R6288" s="0" t="n">
        <v>0</v>
      </c>
      <c r="S6288" s="51" t="s">
        <v>2356</v>
      </c>
      <c r="T6288" s="51" t="s">
        <v>2356</v>
      </c>
      <c r="U6288" s="51" t="s">
        <v>4115</v>
      </c>
      <c r="V6288" s="51" t="s">
        <v>2365</v>
      </c>
      <c r="W6288" s="51" t="s">
        <v>4138</v>
      </c>
      <c r="X6288" s="51" t="s">
        <v>2359</v>
      </c>
    </row>
    <row r="6289" customFormat="false" ht="14.25" hidden="true" customHeight="false" outlineLevel="0" collapsed="false">
      <c r="A6289" s="49" t="s">
        <v>2349</v>
      </c>
      <c r="B6289" s="49" t="s">
        <v>2350</v>
      </c>
      <c r="C6289" s="49" t="s">
        <v>10900</v>
      </c>
      <c r="D6289" s="49" t="s">
        <v>2352</v>
      </c>
      <c r="E6289" s="49" t="s">
        <v>4115</v>
      </c>
      <c r="F6289" s="49" t="s">
        <v>4116</v>
      </c>
      <c r="G6289" s="49" t="n">
        <v>0</v>
      </c>
      <c r="H6289" s="0" t="n">
        <v>0</v>
      </c>
      <c r="M6289" s="51" t="s">
        <v>10889</v>
      </c>
      <c r="N6289" s="49" t="n">
        <v>0</v>
      </c>
      <c r="O6289" s="53" t="n">
        <v>45914.4572569444</v>
      </c>
      <c r="P6289" s="53" t="n">
        <v>45915.6226967593</v>
      </c>
      <c r="Q6289" s="53" t="n">
        <v>45914.4572569444</v>
      </c>
      <c r="R6289" s="0" t="n">
        <v>0</v>
      </c>
      <c r="S6289" s="51" t="s">
        <v>2356</v>
      </c>
      <c r="T6289" s="51" t="s">
        <v>2356</v>
      </c>
      <c r="U6289" s="51" t="s">
        <v>4115</v>
      </c>
      <c r="V6289" s="51" t="s">
        <v>2365</v>
      </c>
      <c r="W6289" s="51" t="s">
        <v>9050</v>
      </c>
      <c r="X6289" s="51" t="s">
        <v>2359</v>
      </c>
    </row>
    <row r="6290" customFormat="false" ht="14.25" hidden="true" customHeight="false" outlineLevel="0" collapsed="false">
      <c r="A6290" s="49" t="s">
        <v>2349</v>
      </c>
      <c r="B6290" s="49" t="s">
        <v>2350</v>
      </c>
      <c r="C6290" s="49" t="s">
        <v>10901</v>
      </c>
      <c r="D6290" s="49" t="s">
        <v>2352</v>
      </c>
      <c r="E6290" s="49" t="s">
        <v>4115</v>
      </c>
      <c r="F6290" s="49" t="s">
        <v>4116</v>
      </c>
      <c r="G6290" s="49" t="n">
        <v>0</v>
      </c>
      <c r="H6290" s="0" t="n">
        <v>0</v>
      </c>
      <c r="M6290" s="51" t="s">
        <v>10889</v>
      </c>
      <c r="N6290" s="49" t="n">
        <v>0</v>
      </c>
      <c r="O6290" s="53" t="n">
        <v>45914.4574421296</v>
      </c>
      <c r="P6290" s="53" t="n">
        <v>45915.622337963</v>
      </c>
      <c r="Q6290" s="53" t="n">
        <v>45914.4574421296</v>
      </c>
      <c r="R6290" s="0" t="n">
        <v>0</v>
      </c>
      <c r="S6290" s="51" t="s">
        <v>2356</v>
      </c>
      <c r="T6290" s="51" t="s">
        <v>2356</v>
      </c>
      <c r="U6290" s="51" t="s">
        <v>4115</v>
      </c>
      <c r="V6290" s="51" t="s">
        <v>2365</v>
      </c>
      <c r="W6290" s="51" t="s">
        <v>5414</v>
      </c>
      <c r="X6290" s="51" t="s">
        <v>2359</v>
      </c>
    </row>
    <row r="6291" customFormat="false" ht="14.25" hidden="true" customHeight="false" outlineLevel="0" collapsed="false">
      <c r="A6291" s="49" t="s">
        <v>2349</v>
      </c>
      <c r="B6291" s="49" t="s">
        <v>2350</v>
      </c>
      <c r="C6291" s="49" t="s">
        <v>10902</v>
      </c>
      <c r="D6291" s="49" t="s">
        <v>2352</v>
      </c>
      <c r="E6291" s="49" t="s">
        <v>4115</v>
      </c>
      <c r="F6291" s="49" t="s">
        <v>4116</v>
      </c>
      <c r="G6291" s="49" t="n">
        <v>0</v>
      </c>
      <c r="H6291" s="0" t="n">
        <v>0</v>
      </c>
      <c r="M6291" s="51" t="s">
        <v>10889</v>
      </c>
      <c r="N6291" s="49" t="n">
        <v>0</v>
      </c>
      <c r="O6291" s="53" t="n">
        <v>45914.4575578704</v>
      </c>
      <c r="P6291" s="53" t="n">
        <v>45915.5472337963</v>
      </c>
      <c r="Q6291" s="53" t="n">
        <v>45914.4575578704</v>
      </c>
      <c r="R6291" s="0" t="n">
        <v>0</v>
      </c>
      <c r="S6291" s="51" t="s">
        <v>2356</v>
      </c>
      <c r="T6291" s="51" t="s">
        <v>2356</v>
      </c>
      <c r="U6291" s="51" t="s">
        <v>4115</v>
      </c>
      <c r="V6291" s="51" t="s">
        <v>2365</v>
      </c>
      <c r="W6291" s="51" t="s">
        <v>5750</v>
      </c>
      <c r="X6291" s="51" t="s">
        <v>2359</v>
      </c>
    </row>
    <row r="6292" customFormat="false" ht="14.25" hidden="true" customHeight="false" outlineLevel="0" collapsed="false">
      <c r="A6292" s="49" t="s">
        <v>2349</v>
      </c>
      <c r="B6292" s="49" t="s">
        <v>2350</v>
      </c>
      <c r="C6292" s="49" t="s">
        <v>10903</v>
      </c>
      <c r="D6292" s="49" t="s">
        <v>2352</v>
      </c>
      <c r="E6292" s="49" t="s">
        <v>4148</v>
      </c>
      <c r="F6292" s="49" t="s">
        <v>4149</v>
      </c>
      <c r="G6292" s="49" t="n">
        <v>0</v>
      </c>
      <c r="H6292" s="0" t="n">
        <v>0</v>
      </c>
      <c r="M6292" s="51" t="s">
        <v>10889</v>
      </c>
      <c r="N6292" s="49" t="n">
        <v>0</v>
      </c>
      <c r="O6292" s="53" t="n">
        <v>45914.4549537037</v>
      </c>
      <c r="P6292" s="53" t="n">
        <v>45915.5475115741</v>
      </c>
      <c r="Q6292" s="53" t="n">
        <v>45914.4549537037</v>
      </c>
      <c r="R6292" s="0" t="n">
        <v>0</v>
      </c>
      <c r="S6292" s="51" t="s">
        <v>2356</v>
      </c>
      <c r="T6292" s="51" t="s">
        <v>2356</v>
      </c>
      <c r="U6292" s="51" t="s">
        <v>4148</v>
      </c>
      <c r="V6292" s="51" t="s">
        <v>2365</v>
      </c>
      <c r="W6292" s="51" t="s">
        <v>8229</v>
      </c>
      <c r="X6292" s="51" t="s">
        <v>2359</v>
      </c>
    </row>
    <row r="6293" customFormat="false" ht="14.25" hidden="true" customHeight="false" outlineLevel="0" collapsed="false">
      <c r="A6293" s="49" t="s">
        <v>2349</v>
      </c>
      <c r="B6293" s="49" t="s">
        <v>2350</v>
      </c>
      <c r="C6293" s="49" t="s">
        <v>10904</v>
      </c>
      <c r="D6293" s="49" t="s">
        <v>2352</v>
      </c>
      <c r="E6293" s="49" t="s">
        <v>4148</v>
      </c>
      <c r="F6293" s="49" t="s">
        <v>4149</v>
      </c>
      <c r="G6293" s="49" t="n">
        <v>0</v>
      </c>
      <c r="H6293" s="0" t="n">
        <v>0</v>
      </c>
      <c r="M6293" s="51" t="s">
        <v>10889</v>
      </c>
      <c r="N6293" s="49" t="n">
        <v>0</v>
      </c>
      <c r="O6293" s="53" t="n">
        <v>45914.4551388889</v>
      </c>
      <c r="P6293" s="53" t="n">
        <v>45951.4400578704</v>
      </c>
      <c r="Q6293" s="53" t="n">
        <v>45914.4551388889</v>
      </c>
      <c r="R6293" s="0" t="n">
        <v>0</v>
      </c>
      <c r="S6293" s="51" t="s">
        <v>2356</v>
      </c>
      <c r="T6293" s="51" t="s">
        <v>2356</v>
      </c>
      <c r="U6293" s="51" t="s">
        <v>4148</v>
      </c>
      <c r="V6293" s="51" t="s">
        <v>2365</v>
      </c>
      <c r="W6293" s="51" t="s">
        <v>6860</v>
      </c>
      <c r="X6293" s="51" t="s">
        <v>2359</v>
      </c>
    </row>
    <row r="6294" customFormat="false" ht="14.25" hidden="true" customHeight="false" outlineLevel="0" collapsed="false">
      <c r="A6294" s="49" t="s">
        <v>2349</v>
      </c>
      <c r="B6294" s="49" t="s">
        <v>2350</v>
      </c>
      <c r="C6294" s="49" t="s">
        <v>10905</v>
      </c>
      <c r="D6294" s="49" t="s">
        <v>2352</v>
      </c>
      <c r="E6294" s="49" t="s">
        <v>4148</v>
      </c>
      <c r="F6294" s="49" t="s">
        <v>4149</v>
      </c>
      <c r="G6294" s="49" t="n">
        <v>0</v>
      </c>
      <c r="H6294" s="0" t="n">
        <v>0</v>
      </c>
      <c r="M6294" s="51" t="s">
        <v>10889</v>
      </c>
      <c r="N6294" s="49" t="n">
        <v>0</v>
      </c>
      <c r="O6294" s="53" t="n">
        <v>45914.4553240741</v>
      </c>
      <c r="P6294" s="53" t="n">
        <v>45915.6215509259</v>
      </c>
      <c r="Q6294" s="53" t="n">
        <v>45914.4553240741</v>
      </c>
      <c r="R6294" s="0" t="n">
        <v>0</v>
      </c>
      <c r="S6294" s="51" t="s">
        <v>2356</v>
      </c>
      <c r="T6294" s="51" t="s">
        <v>2356</v>
      </c>
      <c r="U6294" s="51" t="s">
        <v>4148</v>
      </c>
      <c r="V6294" s="51" t="s">
        <v>2365</v>
      </c>
      <c r="W6294" s="51" t="s">
        <v>4130</v>
      </c>
      <c r="X6294" s="51" t="s">
        <v>2359</v>
      </c>
    </row>
    <row r="6295" customFormat="false" ht="14.25" hidden="true" customHeight="false" outlineLevel="0" collapsed="false">
      <c r="A6295" s="49" t="s">
        <v>2349</v>
      </c>
      <c r="B6295" s="49" t="s">
        <v>2350</v>
      </c>
      <c r="C6295" s="49" t="s">
        <v>10906</v>
      </c>
      <c r="D6295" s="49" t="s">
        <v>2352</v>
      </c>
      <c r="E6295" s="49" t="str">
        <f aca="false">"5060458890191"</f>
        <v>5060458890191</v>
      </c>
      <c r="F6295" s="49" t="s">
        <v>3656</v>
      </c>
      <c r="G6295" s="49" t="n">
        <v>0</v>
      </c>
      <c r="H6295" s="0" t="n">
        <v>0</v>
      </c>
      <c r="M6295" s="51" t="s">
        <v>10907</v>
      </c>
      <c r="N6295" s="49" t="n">
        <v>0</v>
      </c>
      <c r="O6295" s="53" t="n">
        <v>45918.5739699074</v>
      </c>
      <c r="P6295" s="53" t="n">
        <v>45931.8103009259</v>
      </c>
      <c r="Q6295" s="53" t="n">
        <v>45918.5739699074</v>
      </c>
      <c r="R6295" s="0" t="n">
        <v>0</v>
      </c>
      <c r="S6295" s="51" t="s">
        <v>2383</v>
      </c>
      <c r="T6295" s="51" t="s">
        <v>2383</v>
      </c>
      <c r="U6295" s="0" t="str">
        <f aca="false">"5060458890191"</f>
        <v>5060458890191</v>
      </c>
      <c r="V6295" s="51" t="s">
        <v>2142</v>
      </c>
      <c r="W6295" s="51" t="s">
        <v>7824</v>
      </c>
      <c r="X6295" s="51" t="s">
        <v>2359</v>
      </c>
    </row>
    <row r="6296" customFormat="false" ht="14.25" hidden="true" customHeight="false" outlineLevel="0" collapsed="false">
      <c r="A6296" s="49" t="s">
        <v>2349</v>
      </c>
      <c r="B6296" s="49" t="s">
        <v>2350</v>
      </c>
      <c r="C6296" s="49" t="s">
        <v>10908</v>
      </c>
      <c r="D6296" s="49" t="s">
        <v>2352</v>
      </c>
      <c r="E6296" s="49" t="str">
        <f aca="false">"5060458890191"</f>
        <v>5060458890191</v>
      </c>
      <c r="F6296" s="49" t="s">
        <v>3656</v>
      </c>
      <c r="G6296" s="49" t="n">
        <v>0</v>
      </c>
      <c r="H6296" s="0" t="n">
        <v>0</v>
      </c>
      <c r="M6296" s="51" t="s">
        <v>10907</v>
      </c>
      <c r="N6296" s="49" t="n">
        <v>0</v>
      </c>
      <c r="O6296" s="53" t="n">
        <v>45918.5712384259</v>
      </c>
      <c r="P6296" s="53" t="n">
        <v>45935.4345601852</v>
      </c>
      <c r="Q6296" s="53" t="n">
        <v>45918.5712384259</v>
      </c>
      <c r="R6296" s="0" t="n">
        <v>0</v>
      </c>
      <c r="S6296" s="51" t="s">
        <v>2383</v>
      </c>
      <c r="T6296" s="51" t="s">
        <v>2383</v>
      </c>
      <c r="U6296" s="0" t="str">
        <f aca="false">"5060458890191"</f>
        <v>5060458890191</v>
      </c>
      <c r="V6296" s="51" t="s">
        <v>2142</v>
      </c>
      <c r="W6296" s="51" t="s">
        <v>5709</v>
      </c>
      <c r="X6296" s="51" t="s">
        <v>2359</v>
      </c>
    </row>
    <row r="6297" customFormat="false" ht="14.25" hidden="true" customHeight="false" outlineLevel="0" collapsed="false">
      <c r="A6297" s="49" t="s">
        <v>2349</v>
      </c>
      <c r="B6297" s="49" t="s">
        <v>2350</v>
      </c>
      <c r="C6297" s="49" t="s">
        <v>10909</v>
      </c>
      <c r="D6297" s="49" t="s">
        <v>2352</v>
      </c>
      <c r="E6297" s="49" t="str">
        <f aca="false">"5060458890191"</f>
        <v>5060458890191</v>
      </c>
      <c r="F6297" s="49" t="s">
        <v>3656</v>
      </c>
      <c r="G6297" s="49" t="n">
        <v>0</v>
      </c>
      <c r="H6297" s="0" t="n">
        <v>0</v>
      </c>
      <c r="M6297" s="51" t="s">
        <v>10907</v>
      </c>
      <c r="N6297" s="49" t="n">
        <v>0</v>
      </c>
      <c r="O6297" s="53" t="n">
        <v>45918.5709027778</v>
      </c>
      <c r="P6297" s="53" t="n">
        <v>45935.4334490741</v>
      </c>
      <c r="Q6297" s="53" t="n">
        <v>45918.5709027778</v>
      </c>
      <c r="R6297" s="0" t="n">
        <v>0</v>
      </c>
      <c r="S6297" s="51" t="s">
        <v>2383</v>
      </c>
      <c r="T6297" s="51" t="s">
        <v>2383</v>
      </c>
      <c r="U6297" s="0" t="str">
        <f aca="false">"5060458890191"</f>
        <v>5060458890191</v>
      </c>
      <c r="V6297" s="51" t="s">
        <v>2142</v>
      </c>
      <c r="W6297" s="51" t="s">
        <v>7578</v>
      </c>
      <c r="X6297" s="51" t="s">
        <v>2359</v>
      </c>
    </row>
    <row r="6298" customFormat="false" ht="14.25" hidden="true" customHeight="false" outlineLevel="0" collapsed="false">
      <c r="A6298" s="49" t="s">
        <v>2349</v>
      </c>
      <c r="B6298" s="49" t="s">
        <v>2350</v>
      </c>
      <c r="C6298" s="49" t="s">
        <v>10910</v>
      </c>
      <c r="D6298" s="49" t="s">
        <v>2352</v>
      </c>
      <c r="E6298" s="49" t="str">
        <f aca="false">"5060458890191"</f>
        <v>5060458890191</v>
      </c>
      <c r="F6298" s="49" t="s">
        <v>3656</v>
      </c>
      <c r="G6298" s="49" t="n">
        <v>0</v>
      </c>
      <c r="H6298" s="0" t="n">
        <v>0</v>
      </c>
      <c r="M6298" s="51" t="s">
        <v>10907</v>
      </c>
      <c r="N6298" s="49" t="n">
        <v>0</v>
      </c>
      <c r="O6298" s="53" t="n">
        <v>45918.5700115741</v>
      </c>
      <c r="P6298" s="53" t="n">
        <v>45935.9699189815</v>
      </c>
      <c r="Q6298" s="53" t="n">
        <v>45918.5700115741</v>
      </c>
      <c r="R6298" s="0" t="n">
        <v>0</v>
      </c>
      <c r="S6298" s="51" t="s">
        <v>2383</v>
      </c>
      <c r="T6298" s="51" t="s">
        <v>2383</v>
      </c>
      <c r="U6298" s="0" t="str">
        <f aca="false">"5060458890191"</f>
        <v>5060458890191</v>
      </c>
      <c r="V6298" s="51" t="s">
        <v>2142</v>
      </c>
      <c r="W6298" s="51" t="s">
        <v>4285</v>
      </c>
      <c r="X6298" s="51" t="s">
        <v>2359</v>
      </c>
    </row>
    <row r="6299" customFormat="false" ht="14.25" hidden="true" customHeight="false" outlineLevel="0" collapsed="false">
      <c r="A6299" s="49" t="s">
        <v>2349</v>
      </c>
      <c r="B6299" s="49" t="s">
        <v>2350</v>
      </c>
      <c r="C6299" s="49" t="s">
        <v>10911</v>
      </c>
      <c r="D6299" s="49" t="s">
        <v>2352</v>
      </c>
      <c r="E6299" s="49" t="str">
        <f aca="false">"5060458890191"</f>
        <v>5060458890191</v>
      </c>
      <c r="F6299" s="49" t="s">
        <v>3656</v>
      </c>
      <c r="G6299" s="49" t="n">
        <v>0</v>
      </c>
      <c r="H6299" s="0" t="n">
        <v>0</v>
      </c>
      <c r="M6299" s="51" t="s">
        <v>10907</v>
      </c>
      <c r="N6299" s="49" t="n">
        <v>0</v>
      </c>
      <c r="O6299" s="53" t="n">
        <v>45918.5701967593</v>
      </c>
      <c r="P6299" s="53" t="n">
        <v>45935.9680092593</v>
      </c>
      <c r="Q6299" s="53" t="n">
        <v>45918.5701967593</v>
      </c>
      <c r="R6299" s="0" t="n">
        <v>0</v>
      </c>
      <c r="S6299" s="51" t="s">
        <v>2383</v>
      </c>
      <c r="T6299" s="51" t="s">
        <v>2383</v>
      </c>
      <c r="U6299" s="0" t="str">
        <f aca="false">"5060458890191"</f>
        <v>5060458890191</v>
      </c>
      <c r="V6299" s="51" t="s">
        <v>2142</v>
      </c>
      <c r="W6299" s="51" t="s">
        <v>10912</v>
      </c>
      <c r="X6299" s="51" t="s">
        <v>2359</v>
      </c>
    </row>
    <row r="6300" customFormat="false" ht="14.25" hidden="true" customHeight="false" outlineLevel="0" collapsed="false">
      <c r="A6300" s="49" t="s">
        <v>2349</v>
      </c>
      <c r="B6300" s="49" t="s">
        <v>2350</v>
      </c>
      <c r="C6300" s="49" t="s">
        <v>10913</v>
      </c>
      <c r="D6300" s="49" t="s">
        <v>2352</v>
      </c>
      <c r="E6300" s="49" t="str">
        <f aca="false">"5060458890191"</f>
        <v>5060458890191</v>
      </c>
      <c r="F6300" s="49" t="s">
        <v>3656</v>
      </c>
      <c r="G6300" s="49" t="n">
        <v>0</v>
      </c>
      <c r="H6300" s="0" t="n">
        <v>0</v>
      </c>
      <c r="M6300" s="51" t="s">
        <v>10907</v>
      </c>
      <c r="N6300" s="49" t="n">
        <v>0</v>
      </c>
      <c r="O6300" s="53" t="n">
        <v>45918.5703240741</v>
      </c>
      <c r="P6300" s="53" t="n">
        <v>45935.9561342593</v>
      </c>
      <c r="Q6300" s="53" t="n">
        <v>45918.5703240741</v>
      </c>
      <c r="R6300" s="0" t="n">
        <v>0</v>
      </c>
      <c r="S6300" s="51" t="s">
        <v>2383</v>
      </c>
      <c r="T6300" s="51" t="s">
        <v>2383</v>
      </c>
      <c r="U6300" s="0" t="str">
        <f aca="false">"5060458890191"</f>
        <v>5060458890191</v>
      </c>
      <c r="V6300" s="51" t="s">
        <v>2142</v>
      </c>
      <c r="W6300" s="51" t="s">
        <v>7340</v>
      </c>
      <c r="X6300" s="51" t="s">
        <v>2359</v>
      </c>
    </row>
    <row r="6301" customFormat="false" ht="14.25" hidden="true" customHeight="false" outlineLevel="0" collapsed="false">
      <c r="A6301" s="49" t="s">
        <v>2349</v>
      </c>
      <c r="B6301" s="49" t="s">
        <v>2350</v>
      </c>
      <c r="C6301" s="49" t="s">
        <v>10914</v>
      </c>
      <c r="D6301" s="49" t="s">
        <v>2352</v>
      </c>
      <c r="E6301" s="49" t="str">
        <f aca="false">"5060458890191"</f>
        <v>5060458890191</v>
      </c>
      <c r="F6301" s="49" t="s">
        <v>3656</v>
      </c>
      <c r="G6301" s="49" t="n">
        <v>0</v>
      </c>
      <c r="H6301" s="0" t="n">
        <v>0</v>
      </c>
      <c r="M6301" s="51" t="s">
        <v>10907</v>
      </c>
      <c r="N6301" s="49" t="n">
        <v>0</v>
      </c>
      <c r="O6301" s="53" t="n">
        <v>45918.5697569444</v>
      </c>
      <c r="P6301" s="53" t="n">
        <v>45935.9659722222</v>
      </c>
      <c r="Q6301" s="53" t="n">
        <v>45918.5697569444</v>
      </c>
      <c r="R6301" s="0" t="n">
        <v>0</v>
      </c>
      <c r="S6301" s="51" t="s">
        <v>2383</v>
      </c>
      <c r="T6301" s="51" t="s">
        <v>2383</v>
      </c>
      <c r="U6301" s="0" t="str">
        <f aca="false">"5060458890191"</f>
        <v>5060458890191</v>
      </c>
      <c r="V6301" s="51" t="s">
        <v>2142</v>
      </c>
      <c r="W6301" s="51" t="s">
        <v>6578</v>
      </c>
      <c r="X6301" s="51" t="s">
        <v>2359</v>
      </c>
    </row>
    <row r="6302" customFormat="false" ht="14.25" hidden="true" customHeight="false" outlineLevel="0" collapsed="false">
      <c r="A6302" s="49" t="s">
        <v>2349</v>
      </c>
      <c r="B6302" s="49" t="s">
        <v>2350</v>
      </c>
      <c r="C6302" s="49" t="s">
        <v>10915</v>
      </c>
      <c r="D6302" s="49" t="s">
        <v>2352</v>
      </c>
      <c r="E6302" s="49" t="str">
        <f aca="false">"5060458890191"</f>
        <v>5060458890191</v>
      </c>
      <c r="F6302" s="49" t="s">
        <v>3656</v>
      </c>
      <c r="G6302" s="49" t="n">
        <v>0</v>
      </c>
      <c r="H6302" s="0" t="n">
        <v>0</v>
      </c>
      <c r="M6302" s="51" t="s">
        <v>10907</v>
      </c>
      <c r="N6302" s="49" t="n">
        <v>0</v>
      </c>
      <c r="O6302" s="53" t="n">
        <v>45918.5691319444</v>
      </c>
      <c r="P6302" s="53" t="n">
        <v>45935.9517939815</v>
      </c>
      <c r="Q6302" s="53" t="n">
        <v>45918.5691319444</v>
      </c>
      <c r="R6302" s="0" t="n">
        <v>0</v>
      </c>
      <c r="S6302" s="51" t="s">
        <v>2383</v>
      </c>
      <c r="T6302" s="51" t="s">
        <v>2383</v>
      </c>
      <c r="U6302" s="0" t="str">
        <f aca="false">"5060458890191"</f>
        <v>5060458890191</v>
      </c>
      <c r="V6302" s="51" t="s">
        <v>2142</v>
      </c>
      <c r="W6302" s="51" t="s">
        <v>5657</v>
      </c>
      <c r="X6302" s="51" t="s">
        <v>2359</v>
      </c>
    </row>
    <row r="6303" customFormat="false" ht="14.25" hidden="true" customHeight="false" outlineLevel="0" collapsed="false">
      <c r="A6303" s="49" t="s">
        <v>2349</v>
      </c>
      <c r="B6303" s="49" t="s">
        <v>2350</v>
      </c>
      <c r="C6303" s="49" t="s">
        <v>10916</v>
      </c>
      <c r="D6303" s="49" t="s">
        <v>2352</v>
      </c>
      <c r="E6303" s="49" t="str">
        <f aca="false">"5060458890191"</f>
        <v>5060458890191</v>
      </c>
      <c r="F6303" s="49" t="s">
        <v>3656</v>
      </c>
      <c r="G6303" s="49" t="n">
        <v>0</v>
      </c>
      <c r="H6303" s="0" t="n">
        <v>0</v>
      </c>
      <c r="M6303" s="51" t="s">
        <v>10907</v>
      </c>
      <c r="N6303" s="49" t="n">
        <v>0</v>
      </c>
      <c r="O6303" s="53" t="n">
        <v>45918.569537037</v>
      </c>
      <c r="P6303" s="53" t="n">
        <v>45935.9575925926</v>
      </c>
      <c r="Q6303" s="53" t="n">
        <v>45918.569537037</v>
      </c>
      <c r="R6303" s="0" t="n">
        <v>0</v>
      </c>
      <c r="S6303" s="51" t="s">
        <v>2383</v>
      </c>
      <c r="T6303" s="51" t="s">
        <v>2383</v>
      </c>
      <c r="U6303" s="0" t="str">
        <f aca="false">"5060458890191"</f>
        <v>5060458890191</v>
      </c>
      <c r="V6303" s="51" t="s">
        <v>2142</v>
      </c>
      <c r="W6303" s="51" t="s">
        <v>5088</v>
      </c>
      <c r="X6303" s="51" t="s">
        <v>2359</v>
      </c>
    </row>
    <row r="6304" customFormat="false" ht="14.25" hidden="true" customHeight="false" outlineLevel="0" collapsed="false">
      <c r="A6304" s="49" t="s">
        <v>2349</v>
      </c>
      <c r="B6304" s="49" t="s">
        <v>2350</v>
      </c>
      <c r="C6304" s="49" t="s">
        <v>10917</v>
      </c>
      <c r="D6304" s="49" t="s">
        <v>2352</v>
      </c>
      <c r="E6304" s="49" t="str">
        <f aca="false">"5060458890191"</f>
        <v>5060458890191</v>
      </c>
      <c r="F6304" s="49" t="s">
        <v>3656</v>
      </c>
      <c r="G6304" s="49" t="n">
        <v>0</v>
      </c>
      <c r="H6304" s="0" t="n">
        <v>0</v>
      </c>
      <c r="M6304" s="51" t="s">
        <v>10907</v>
      </c>
      <c r="N6304" s="49" t="n">
        <v>0</v>
      </c>
      <c r="O6304" s="53" t="n">
        <v>45918.5693634259</v>
      </c>
      <c r="P6304" s="53" t="n">
        <v>45935.9568055556</v>
      </c>
      <c r="Q6304" s="53" t="n">
        <v>45918.5693634259</v>
      </c>
      <c r="R6304" s="0" t="n">
        <v>0</v>
      </c>
      <c r="S6304" s="51" t="s">
        <v>2383</v>
      </c>
      <c r="T6304" s="51" t="s">
        <v>2383</v>
      </c>
      <c r="U6304" s="0" t="str">
        <f aca="false">"5060458890191"</f>
        <v>5060458890191</v>
      </c>
      <c r="V6304" s="51" t="s">
        <v>2142</v>
      </c>
      <c r="W6304" s="51" t="s">
        <v>6257</v>
      </c>
      <c r="X6304" s="51" t="s">
        <v>2359</v>
      </c>
    </row>
    <row r="6305" customFormat="false" ht="14.25" hidden="true" customHeight="false" outlineLevel="0" collapsed="false">
      <c r="A6305" s="49" t="s">
        <v>2349</v>
      </c>
      <c r="B6305" s="49" t="s">
        <v>2350</v>
      </c>
      <c r="C6305" s="49" t="s">
        <v>10918</v>
      </c>
      <c r="D6305" s="49" t="s">
        <v>2352</v>
      </c>
      <c r="E6305" s="49" t="str">
        <f aca="false">"5060458890191"</f>
        <v>5060458890191</v>
      </c>
      <c r="F6305" s="49" t="s">
        <v>3656</v>
      </c>
      <c r="G6305" s="49" t="n">
        <v>0</v>
      </c>
      <c r="H6305" s="0" t="n">
        <v>0</v>
      </c>
      <c r="M6305" s="51" t="s">
        <v>10907</v>
      </c>
      <c r="N6305" s="49" t="n">
        <v>0</v>
      </c>
      <c r="O6305" s="53" t="n">
        <v>45918.5738078704</v>
      </c>
      <c r="P6305" s="53" t="n">
        <v>45935.9654861111</v>
      </c>
      <c r="Q6305" s="53" t="n">
        <v>45918.5738078704</v>
      </c>
      <c r="R6305" s="0" t="n">
        <v>0</v>
      </c>
      <c r="S6305" s="51" t="s">
        <v>2383</v>
      </c>
      <c r="T6305" s="51" t="s">
        <v>2383</v>
      </c>
      <c r="U6305" s="0" t="str">
        <f aca="false">"5060458890191"</f>
        <v>5060458890191</v>
      </c>
      <c r="V6305" s="51" t="s">
        <v>2142</v>
      </c>
      <c r="W6305" s="51" t="s">
        <v>10568</v>
      </c>
      <c r="X6305" s="51" t="s">
        <v>2359</v>
      </c>
    </row>
    <row r="6306" customFormat="false" ht="14.25" hidden="true" customHeight="false" outlineLevel="0" collapsed="false">
      <c r="A6306" s="49" t="s">
        <v>2349</v>
      </c>
      <c r="B6306" s="49" t="s">
        <v>2350</v>
      </c>
      <c r="C6306" s="49" t="s">
        <v>10919</v>
      </c>
      <c r="D6306" s="49" t="s">
        <v>2352</v>
      </c>
      <c r="E6306" s="49" t="str">
        <f aca="false">"5060458890191"</f>
        <v>5060458890191</v>
      </c>
      <c r="F6306" s="49" t="s">
        <v>3656</v>
      </c>
      <c r="G6306" s="49" t="n">
        <v>0</v>
      </c>
      <c r="H6306" s="0" t="n">
        <v>0</v>
      </c>
      <c r="M6306" s="51" t="s">
        <v>10907</v>
      </c>
      <c r="N6306" s="49" t="n">
        <v>0</v>
      </c>
      <c r="O6306" s="53" t="n">
        <v>45918.5726273148</v>
      </c>
      <c r="P6306" s="53" t="n">
        <v>45935.9671180556</v>
      </c>
      <c r="Q6306" s="53" t="n">
        <v>45918.5726273148</v>
      </c>
      <c r="R6306" s="0" t="n">
        <v>0</v>
      </c>
      <c r="S6306" s="51" t="s">
        <v>2383</v>
      </c>
      <c r="T6306" s="51" t="s">
        <v>2383</v>
      </c>
      <c r="U6306" s="0" t="str">
        <f aca="false">"5060458890191"</f>
        <v>5060458890191</v>
      </c>
      <c r="V6306" s="51" t="s">
        <v>2142</v>
      </c>
      <c r="W6306" s="51" t="s">
        <v>10920</v>
      </c>
      <c r="X6306" s="51" t="s">
        <v>2359</v>
      </c>
    </row>
    <row r="6307" customFormat="false" ht="14.25" hidden="true" customHeight="false" outlineLevel="0" collapsed="false">
      <c r="A6307" s="49" t="s">
        <v>2349</v>
      </c>
      <c r="B6307" s="49" t="s">
        <v>2350</v>
      </c>
      <c r="C6307" s="49" t="s">
        <v>10921</v>
      </c>
      <c r="D6307" s="49" t="s">
        <v>2352</v>
      </c>
      <c r="E6307" s="49" t="str">
        <f aca="false">"5060458890191"</f>
        <v>5060458890191</v>
      </c>
      <c r="F6307" s="49" t="s">
        <v>3656</v>
      </c>
      <c r="G6307" s="49" t="n">
        <v>0</v>
      </c>
      <c r="H6307" s="0" t="n">
        <v>0</v>
      </c>
      <c r="M6307" s="51" t="s">
        <v>10907</v>
      </c>
      <c r="N6307" s="49" t="n">
        <v>0</v>
      </c>
      <c r="O6307" s="53" t="n">
        <v>45918.5724768519</v>
      </c>
      <c r="P6307" s="53" t="n">
        <v>45935.9503587963</v>
      </c>
      <c r="Q6307" s="53" t="n">
        <v>45918.5724768519</v>
      </c>
      <c r="R6307" s="0" t="n">
        <v>0</v>
      </c>
      <c r="S6307" s="51" t="s">
        <v>2383</v>
      </c>
      <c r="T6307" s="51" t="s">
        <v>2383</v>
      </c>
      <c r="U6307" s="0" t="str">
        <f aca="false">"5060458890191"</f>
        <v>5060458890191</v>
      </c>
      <c r="V6307" s="51" t="s">
        <v>2142</v>
      </c>
      <c r="W6307" s="51" t="s">
        <v>7619</v>
      </c>
      <c r="X6307" s="51" t="s">
        <v>2359</v>
      </c>
    </row>
    <row r="6308" customFormat="false" ht="14.25" hidden="true" customHeight="false" outlineLevel="0" collapsed="false">
      <c r="A6308" s="49" t="s">
        <v>2349</v>
      </c>
      <c r="B6308" s="49" t="s">
        <v>2350</v>
      </c>
      <c r="C6308" s="49" t="s">
        <v>10922</v>
      </c>
      <c r="D6308" s="49" t="s">
        <v>2352</v>
      </c>
      <c r="E6308" s="49" t="str">
        <f aca="false">"5060458890191"</f>
        <v>5060458890191</v>
      </c>
      <c r="F6308" s="49" t="s">
        <v>3656</v>
      </c>
      <c r="G6308" s="49" t="n">
        <v>0</v>
      </c>
      <c r="H6308" s="0" t="n">
        <v>0</v>
      </c>
      <c r="M6308" s="51" t="s">
        <v>10907</v>
      </c>
      <c r="N6308" s="49" t="n">
        <v>0</v>
      </c>
      <c r="O6308" s="53" t="n">
        <v>45918.5723148148</v>
      </c>
      <c r="P6308" s="53" t="n">
        <v>45921.7808101852</v>
      </c>
      <c r="Q6308" s="53" t="n">
        <v>45918.5723148148</v>
      </c>
      <c r="R6308" s="0" t="n">
        <v>0</v>
      </c>
      <c r="S6308" s="51" t="s">
        <v>2383</v>
      </c>
      <c r="T6308" s="51" t="s">
        <v>2383</v>
      </c>
      <c r="U6308" s="0" t="str">
        <f aca="false">"5060458890191"</f>
        <v>5060458890191</v>
      </c>
      <c r="V6308" s="51" t="s">
        <v>2142</v>
      </c>
      <c r="W6308" s="51" t="s">
        <v>5903</v>
      </c>
      <c r="X6308" s="51" t="s">
        <v>2359</v>
      </c>
    </row>
    <row r="6309" customFormat="false" ht="14.25" hidden="true" customHeight="false" outlineLevel="0" collapsed="false">
      <c r="A6309" s="49" t="s">
        <v>2349</v>
      </c>
      <c r="B6309" s="49" t="s">
        <v>2350</v>
      </c>
      <c r="C6309" s="49" t="s">
        <v>10923</v>
      </c>
      <c r="D6309" s="49" t="s">
        <v>2352</v>
      </c>
      <c r="E6309" s="49" t="str">
        <f aca="false">"5060458890191"</f>
        <v>5060458890191</v>
      </c>
      <c r="F6309" s="49" t="s">
        <v>3656</v>
      </c>
      <c r="G6309" s="49" t="n">
        <v>0</v>
      </c>
      <c r="H6309" s="0" t="n">
        <v>0</v>
      </c>
      <c r="M6309" s="51" t="s">
        <v>10907</v>
      </c>
      <c r="N6309" s="49" t="n">
        <v>0</v>
      </c>
      <c r="O6309" s="53" t="n">
        <v>45918.572025463</v>
      </c>
      <c r="P6309" s="53" t="n">
        <v>45921.7807291667</v>
      </c>
      <c r="Q6309" s="53" t="n">
        <v>45918.572025463</v>
      </c>
      <c r="R6309" s="0" t="n">
        <v>0</v>
      </c>
      <c r="S6309" s="51" t="s">
        <v>2383</v>
      </c>
      <c r="T6309" s="51" t="s">
        <v>2383</v>
      </c>
      <c r="U6309" s="0" t="str">
        <f aca="false">"5060458890191"</f>
        <v>5060458890191</v>
      </c>
      <c r="V6309" s="51" t="s">
        <v>2142</v>
      </c>
      <c r="W6309" s="51" t="s">
        <v>5901</v>
      </c>
      <c r="X6309" s="51" t="s">
        <v>2359</v>
      </c>
    </row>
    <row r="6310" customFormat="false" ht="14.25" hidden="true" customHeight="false" outlineLevel="0" collapsed="false">
      <c r="A6310" s="49" t="s">
        <v>2349</v>
      </c>
      <c r="B6310" s="49" t="s">
        <v>2350</v>
      </c>
      <c r="C6310" s="49" t="s">
        <v>10924</v>
      </c>
      <c r="D6310" s="49" t="s">
        <v>2352</v>
      </c>
      <c r="E6310" s="49" t="str">
        <f aca="false">"5060458890191"</f>
        <v>5060458890191</v>
      </c>
      <c r="F6310" s="49" t="s">
        <v>3656</v>
      </c>
      <c r="G6310" s="49" t="n">
        <v>0</v>
      </c>
      <c r="H6310" s="0" t="n">
        <v>0</v>
      </c>
      <c r="M6310" s="51" t="s">
        <v>10907</v>
      </c>
      <c r="N6310" s="49" t="n">
        <v>0</v>
      </c>
      <c r="O6310" s="53" t="n">
        <v>45918.5718634259</v>
      </c>
      <c r="P6310" s="53" t="n">
        <v>45922.6006944444</v>
      </c>
      <c r="Q6310" s="53" t="n">
        <v>45918.5718634259</v>
      </c>
      <c r="R6310" s="0" t="n">
        <v>0</v>
      </c>
      <c r="S6310" s="51" t="s">
        <v>2383</v>
      </c>
      <c r="T6310" s="51" t="s">
        <v>2383</v>
      </c>
      <c r="U6310" s="0" t="str">
        <f aca="false">"5060458890191"</f>
        <v>5060458890191</v>
      </c>
      <c r="V6310" s="51" t="s">
        <v>2142</v>
      </c>
      <c r="W6310" s="51" t="s">
        <v>5945</v>
      </c>
      <c r="X6310" s="51" t="s">
        <v>2359</v>
      </c>
    </row>
    <row r="6311" customFormat="false" ht="14.25" hidden="true" customHeight="false" outlineLevel="0" collapsed="false">
      <c r="A6311" s="49" t="s">
        <v>2349</v>
      </c>
      <c r="B6311" s="49" t="s">
        <v>2350</v>
      </c>
      <c r="C6311" s="49" t="s">
        <v>10925</v>
      </c>
      <c r="D6311" s="49" t="s">
        <v>2352</v>
      </c>
      <c r="E6311" s="49" t="str">
        <f aca="false">"5060458890191"</f>
        <v>5060458890191</v>
      </c>
      <c r="F6311" s="49" t="s">
        <v>3656</v>
      </c>
      <c r="G6311" s="49" t="n">
        <v>0</v>
      </c>
      <c r="H6311" s="0" t="n">
        <v>0</v>
      </c>
      <c r="M6311" s="51" t="s">
        <v>10907</v>
      </c>
      <c r="N6311" s="49" t="n">
        <v>0</v>
      </c>
      <c r="O6311" s="53" t="n">
        <v>45918.571712963</v>
      </c>
      <c r="P6311" s="53" t="n">
        <v>45935.9486342593</v>
      </c>
      <c r="Q6311" s="53" t="n">
        <v>45918.571712963</v>
      </c>
      <c r="R6311" s="0" t="n">
        <v>0</v>
      </c>
      <c r="S6311" s="51" t="s">
        <v>2383</v>
      </c>
      <c r="T6311" s="51" t="s">
        <v>2383</v>
      </c>
      <c r="U6311" s="0" t="str">
        <f aca="false">"5060458890191"</f>
        <v>5060458890191</v>
      </c>
      <c r="V6311" s="51" t="s">
        <v>2142</v>
      </c>
      <c r="W6311" s="51" t="s">
        <v>3824</v>
      </c>
      <c r="X6311" s="51" t="s">
        <v>2359</v>
      </c>
    </row>
    <row r="6312" customFormat="false" ht="14.25" hidden="true" customHeight="false" outlineLevel="0" collapsed="false">
      <c r="A6312" s="49" t="s">
        <v>2349</v>
      </c>
      <c r="B6312" s="49" t="s">
        <v>2350</v>
      </c>
      <c r="C6312" s="49" t="s">
        <v>10926</v>
      </c>
      <c r="D6312" s="49" t="s">
        <v>2352</v>
      </c>
      <c r="E6312" s="49" t="str">
        <f aca="false">"5060458890191"</f>
        <v>5060458890191</v>
      </c>
      <c r="F6312" s="49" t="s">
        <v>3656</v>
      </c>
      <c r="G6312" s="49" t="n">
        <v>0</v>
      </c>
      <c r="H6312" s="0" t="n">
        <v>0</v>
      </c>
      <c r="M6312" s="51" t="s">
        <v>10907</v>
      </c>
      <c r="N6312" s="49" t="n">
        <v>0</v>
      </c>
      <c r="O6312" s="53" t="n">
        <v>45918.5715509259</v>
      </c>
      <c r="P6312" s="53" t="n">
        <v>45935.428275463</v>
      </c>
      <c r="Q6312" s="53" t="n">
        <v>45918.5715509259</v>
      </c>
      <c r="R6312" s="0" t="n">
        <v>0</v>
      </c>
      <c r="S6312" s="51" t="s">
        <v>2383</v>
      </c>
      <c r="T6312" s="51" t="s">
        <v>2383</v>
      </c>
      <c r="U6312" s="0" t="str">
        <f aca="false">"5060458890191"</f>
        <v>5060458890191</v>
      </c>
      <c r="V6312" s="51" t="s">
        <v>2142</v>
      </c>
      <c r="W6312" s="51" t="s">
        <v>5621</v>
      </c>
      <c r="X6312" s="51" t="s">
        <v>2359</v>
      </c>
    </row>
    <row r="6313" customFormat="false" ht="14.25" hidden="true" customHeight="false" outlineLevel="0" collapsed="false">
      <c r="A6313" s="49" t="s">
        <v>2349</v>
      </c>
      <c r="B6313" s="49" t="s">
        <v>2350</v>
      </c>
      <c r="C6313" s="49" t="s">
        <v>10927</v>
      </c>
      <c r="D6313" s="49" t="s">
        <v>2352</v>
      </c>
      <c r="E6313" s="49" t="str">
        <f aca="false">"5060458890191"</f>
        <v>5060458890191</v>
      </c>
      <c r="F6313" s="49" t="s">
        <v>3656</v>
      </c>
      <c r="G6313" s="49" t="n">
        <v>0</v>
      </c>
      <c r="H6313" s="0" t="n">
        <v>0</v>
      </c>
      <c r="M6313" s="51" t="s">
        <v>10907</v>
      </c>
      <c r="N6313" s="49" t="n">
        <v>0</v>
      </c>
      <c r="O6313" s="53" t="n">
        <v>45918.5736342593</v>
      </c>
      <c r="P6313" s="53" t="n">
        <v>45931.7909027778</v>
      </c>
      <c r="Q6313" s="53" t="n">
        <v>45918.5736342593</v>
      </c>
      <c r="R6313" s="0" t="n">
        <v>0</v>
      </c>
      <c r="S6313" s="51" t="s">
        <v>2383</v>
      </c>
      <c r="T6313" s="51" t="s">
        <v>2383</v>
      </c>
      <c r="U6313" s="0" t="str">
        <f aca="false">"5060458890191"</f>
        <v>5060458890191</v>
      </c>
      <c r="V6313" s="51" t="s">
        <v>2142</v>
      </c>
      <c r="W6313" s="51" t="s">
        <v>10323</v>
      </c>
      <c r="X6313" s="51" t="s">
        <v>2359</v>
      </c>
    </row>
    <row r="6314" customFormat="false" ht="14.25" hidden="true" customHeight="false" outlineLevel="0" collapsed="false">
      <c r="A6314" s="49" t="s">
        <v>2349</v>
      </c>
      <c r="B6314" s="49" t="s">
        <v>2350</v>
      </c>
      <c r="C6314" s="49" t="s">
        <v>10928</v>
      </c>
      <c r="D6314" s="49" t="s">
        <v>2352</v>
      </c>
      <c r="E6314" s="49" t="str">
        <f aca="false">"5060458890191"</f>
        <v>5060458890191</v>
      </c>
      <c r="F6314" s="49" t="s">
        <v>3656</v>
      </c>
      <c r="G6314" s="49" t="n">
        <v>0</v>
      </c>
      <c r="H6314" s="0" t="n">
        <v>0</v>
      </c>
      <c r="M6314" s="51" t="s">
        <v>10907</v>
      </c>
      <c r="N6314" s="49" t="n">
        <v>0</v>
      </c>
      <c r="O6314" s="53" t="n">
        <v>45918.5734722222</v>
      </c>
      <c r="P6314" s="53" t="n">
        <v>45935.9533333333</v>
      </c>
      <c r="Q6314" s="53" t="n">
        <v>45918.5734722222</v>
      </c>
      <c r="R6314" s="0" t="n">
        <v>0</v>
      </c>
      <c r="S6314" s="51" t="s">
        <v>2383</v>
      </c>
      <c r="T6314" s="51" t="s">
        <v>2383</v>
      </c>
      <c r="U6314" s="0" t="str">
        <f aca="false">"5060458890191"</f>
        <v>5060458890191</v>
      </c>
      <c r="V6314" s="51" t="s">
        <v>2142</v>
      </c>
      <c r="W6314" s="51" t="s">
        <v>6417</v>
      </c>
      <c r="X6314" s="51" t="s">
        <v>2359</v>
      </c>
    </row>
    <row r="6315" customFormat="false" ht="14.25" hidden="true" customHeight="false" outlineLevel="0" collapsed="false">
      <c r="A6315" s="49" t="s">
        <v>2349</v>
      </c>
      <c r="B6315" s="49" t="s">
        <v>2350</v>
      </c>
      <c r="C6315" s="49" t="s">
        <v>10929</v>
      </c>
      <c r="D6315" s="49" t="s">
        <v>2352</v>
      </c>
      <c r="E6315" s="49" t="str">
        <f aca="false">"5060458890191"</f>
        <v>5060458890191</v>
      </c>
      <c r="F6315" s="49" t="s">
        <v>3656</v>
      </c>
      <c r="G6315" s="49" t="n">
        <v>0</v>
      </c>
      <c r="H6315" s="0" t="n">
        <v>0</v>
      </c>
      <c r="M6315" s="51" t="s">
        <v>10907</v>
      </c>
      <c r="N6315" s="49" t="n">
        <v>0</v>
      </c>
      <c r="O6315" s="53" t="n">
        <v>45918.5733217593</v>
      </c>
      <c r="P6315" s="53" t="n">
        <v>45935.9879398148</v>
      </c>
      <c r="Q6315" s="53" t="n">
        <v>45918.5733217593</v>
      </c>
      <c r="R6315" s="0" t="n">
        <v>0</v>
      </c>
      <c r="S6315" s="51" t="s">
        <v>2383</v>
      </c>
      <c r="T6315" s="51" t="s">
        <v>2383</v>
      </c>
      <c r="U6315" s="0" t="str">
        <f aca="false">"5060458890191"</f>
        <v>5060458890191</v>
      </c>
      <c r="V6315" s="51" t="s">
        <v>2142</v>
      </c>
      <c r="W6315" s="51" t="s">
        <v>10172</v>
      </c>
      <c r="X6315" s="51" t="s">
        <v>2359</v>
      </c>
    </row>
    <row r="6316" customFormat="false" ht="14.25" hidden="true" customHeight="false" outlineLevel="0" collapsed="false">
      <c r="A6316" s="49" t="s">
        <v>2349</v>
      </c>
      <c r="B6316" s="49" t="s">
        <v>2350</v>
      </c>
      <c r="C6316" s="49" t="s">
        <v>10930</v>
      </c>
      <c r="D6316" s="49" t="s">
        <v>2352</v>
      </c>
      <c r="E6316" s="49" t="str">
        <f aca="false">"5060458890191"</f>
        <v>5060458890191</v>
      </c>
      <c r="F6316" s="49" t="s">
        <v>3656</v>
      </c>
      <c r="G6316" s="49" t="n">
        <v>0</v>
      </c>
      <c r="H6316" s="0" t="n">
        <v>0</v>
      </c>
      <c r="M6316" s="51" t="s">
        <v>10907</v>
      </c>
      <c r="N6316" s="49" t="n">
        <v>0</v>
      </c>
      <c r="O6316" s="53" t="n">
        <v>45918.5731597222</v>
      </c>
      <c r="P6316" s="53" t="n">
        <v>45935.954525463</v>
      </c>
      <c r="Q6316" s="53" t="n">
        <v>45918.5731597222</v>
      </c>
      <c r="R6316" s="0" t="n">
        <v>0</v>
      </c>
      <c r="S6316" s="51" t="s">
        <v>2383</v>
      </c>
      <c r="T6316" s="51" t="s">
        <v>2383</v>
      </c>
      <c r="U6316" s="0" t="str">
        <f aca="false">"5060458890191"</f>
        <v>5060458890191</v>
      </c>
      <c r="V6316" s="51" t="s">
        <v>2142</v>
      </c>
      <c r="W6316" s="51" t="s">
        <v>7326</v>
      </c>
      <c r="X6316" s="51" t="s">
        <v>2359</v>
      </c>
    </row>
    <row r="6317" customFormat="false" ht="14.25" hidden="true" customHeight="false" outlineLevel="0" collapsed="false">
      <c r="A6317" s="49" t="s">
        <v>2349</v>
      </c>
      <c r="B6317" s="49" t="s">
        <v>2350</v>
      </c>
      <c r="C6317" s="49" t="s">
        <v>10931</v>
      </c>
      <c r="D6317" s="49" t="s">
        <v>2352</v>
      </c>
      <c r="E6317" s="49" t="str">
        <f aca="false">"5060458890191"</f>
        <v>5060458890191</v>
      </c>
      <c r="F6317" s="49" t="s">
        <v>3656</v>
      </c>
      <c r="G6317" s="49" t="n">
        <v>0</v>
      </c>
      <c r="H6317" s="0" t="n">
        <v>0</v>
      </c>
      <c r="M6317" s="51" t="s">
        <v>10907</v>
      </c>
      <c r="N6317" s="49" t="n">
        <v>0</v>
      </c>
      <c r="O6317" s="53" t="n">
        <v>45918.5729861111</v>
      </c>
      <c r="P6317" s="53" t="n">
        <v>45935.9546527778</v>
      </c>
      <c r="Q6317" s="53" t="n">
        <v>45918.5729861111</v>
      </c>
      <c r="R6317" s="0" t="n">
        <v>0</v>
      </c>
      <c r="S6317" s="51" t="s">
        <v>2383</v>
      </c>
      <c r="T6317" s="51" t="s">
        <v>2383</v>
      </c>
      <c r="U6317" s="0" t="str">
        <f aca="false">"5060458890191"</f>
        <v>5060458890191</v>
      </c>
      <c r="V6317" s="51" t="s">
        <v>2142</v>
      </c>
      <c r="W6317" s="51" t="s">
        <v>6249</v>
      </c>
      <c r="X6317" s="51" t="s">
        <v>2359</v>
      </c>
    </row>
    <row r="6318" customFormat="false" ht="14.25" hidden="true" customHeight="false" outlineLevel="0" collapsed="false">
      <c r="A6318" s="49" t="s">
        <v>2349</v>
      </c>
      <c r="B6318" s="49" t="s">
        <v>2350</v>
      </c>
      <c r="C6318" s="49" t="s">
        <v>10932</v>
      </c>
      <c r="D6318" s="49" t="s">
        <v>2352</v>
      </c>
      <c r="E6318" s="49" t="str">
        <f aca="false">"5060458890191"</f>
        <v>5060458890191</v>
      </c>
      <c r="F6318" s="49" t="s">
        <v>3656</v>
      </c>
      <c r="G6318" s="49" t="n">
        <v>0</v>
      </c>
      <c r="H6318" s="0" t="n">
        <v>0</v>
      </c>
      <c r="M6318" s="51" t="s">
        <v>10907</v>
      </c>
      <c r="N6318" s="49" t="n">
        <v>0</v>
      </c>
      <c r="O6318" s="53" t="n">
        <v>45918.5727546296</v>
      </c>
      <c r="P6318" s="53" t="n">
        <v>45935.4314930556</v>
      </c>
      <c r="Q6318" s="53" t="n">
        <v>45918.5727546296</v>
      </c>
      <c r="R6318" s="0" t="n">
        <v>0</v>
      </c>
      <c r="S6318" s="51" t="s">
        <v>2383</v>
      </c>
      <c r="T6318" s="51" t="s">
        <v>2383</v>
      </c>
      <c r="U6318" s="0" t="str">
        <f aca="false">"5060458890191"</f>
        <v>5060458890191</v>
      </c>
      <c r="V6318" s="51" t="s">
        <v>2142</v>
      </c>
      <c r="W6318" s="51" t="s">
        <v>5612</v>
      </c>
      <c r="X6318" s="51" t="s">
        <v>2359</v>
      </c>
    </row>
    <row r="6319" customFormat="false" ht="14.25" hidden="true" customHeight="false" outlineLevel="0" collapsed="false">
      <c r="A6319" s="49" t="s">
        <v>2349</v>
      </c>
      <c r="B6319" s="49" t="s">
        <v>2350</v>
      </c>
      <c r="C6319" s="49" t="s">
        <v>10933</v>
      </c>
      <c r="D6319" s="49" t="s">
        <v>2352</v>
      </c>
      <c r="E6319" s="49" t="str">
        <f aca="false">"5060458890191"</f>
        <v>5060458890191</v>
      </c>
      <c r="F6319" s="49" t="s">
        <v>3656</v>
      </c>
      <c r="G6319" s="49" t="n">
        <v>0</v>
      </c>
      <c r="H6319" s="0" t="n">
        <v>0</v>
      </c>
      <c r="M6319" s="51" t="s">
        <v>10907</v>
      </c>
      <c r="N6319" s="49" t="n">
        <v>0</v>
      </c>
      <c r="O6319" s="53" t="n">
        <v>45918.574537037</v>
      </c>
      <c r="P6319" s="53" t="n">
        <v>45935.4296643519</v>
      </c>
      <c r="Q6319" s="53" t="n">
        <v>45918.574537037</v>
      </c>
      <c r="R6319" s="0" t="n">
        <v>0</v>
      </c>
      <c r="S6319" s="51" t="s">
        <v>2383</v>
      </c>
      <c r="T6319" s="51" t="s">
        <v>2383</v>
      </c>
      <c r="U6319" s="0" t="str">
        <f aca="false">"5060458890191"</f>
        <v>5060458890191</v>
      </c>
      <c r="V6319" s="51" t="s">
        <v>2142</v>
      </c>
      <c r="W6319" s="51" t="s">
        <v>7996</v>
      </c>
      <c r="X6319" s="51" t="s">
        <v>2359</v>
      </c>
    </row>
    <row r="6320" customFormat="false" ht="14.25" hidden="true" customHeight="false" outlineLevel="0" collapsed="false">
      <c r="A6320" s="49" t="s">
        <v>2349</v>
      </c>
      <c r="B6320" s="49" t="s">
        <v>2350</v>
      </c>
      <c r="C6320" s="49" t="s">
        <v>10934</v>
      </c>
      <c r="D6320" s="49" t="s">
        <v>2352</v>
      </c>
      <c r="E6320" s="49" t="str">
        <f aca="false">"5060458890191"</f>
        <v>5060458890191</v>
      </c>
      <c r="F6320" s="49" t="s">
        <v>3656</v>
      </c>
      <c r="G6320" s="49" t="n">
        <v>0</v>
      </c>
      <c r="H6320" s="0" t="n">
        <v>0</v>
      </c>
      <c r="M6320" s="51" t="s">
        <v>10907</v>
      </c>
      <c r="N6320" s="49" t="n">
        <v>0</v>
      </c>
      <c r="O6320" s="53" t="n">
        <v>45918.5744097222</v>
      </c>
      <c r="P6320" s="53" t="n">
        <v>45935.955474537</v>
      </c>
      <c r="Q6320" s="53" t="n">
        <v>45918.5744097222</v>
      </c>
      <c r="R6320" s="0" t="n">
        <v>0</v>
      </c>
      <c r="S6320" s="51" t="s">
        <v>2383</v>
      </c>
      <c r="T6320" s="51" t="s">
        <v>2383</v>
      </c>
      <c r="U6320" s="0" t="str">
        <f aca="false">"5060458890191"</f>
        <v>5060458890191</v>
      </c>
      <c r="V6320" s="51" t="s">
        <v>2142</v>
      </c>
      <c r="W6320" s="51" t="s">
        <v>4829</v>
      </c>
      <c r="X6320" s="51" t="s">
        <v>2359</v>
      </c>
    </row>
    <row r="6321" customFormat="false" ht="14.25" hidden="true" customHeight="false" outlineLevel="0" collapsed="false">
      <c r="A6321" s="49" t="s">
        <v>2349</v>
      </c>
      <c r="B6321" s="49" t="s">
        <v>2350</v>
      </c>
      <c r="C6321" s="49" t="s">
        <v>10935</v>
      </c>
      <c r="D6321" s="49" t="s">
        <v>2352</v>
      </c>
      <c r="E6321" s="49" t="str">
        <f aca="false">"5060458890191"</f>
        <v>5060458890191</v>
      </c>
      <c r="F6321" s="49" t="s">
        <v>3656</v>
      </c>
      <c r="G6321" s="49" t="n">
        <v>0</v>
      </c>
      <c r="H6321" s="0" t="n">
        <v>0</v>
      </c>
      <c r="M6321" s="51" t="s">
        <v>10907</v>
      </c>
      <c r="N6321" s="49" t="n">
        <v>0</v>
      </c>
      <c r="O6321" s="53" t="n">
        <v>45918.5743287037</v>
      </c>
      <c r="P6321" s="53" t="n">
        <v>45935.9646412037</v>
      </c>
      <c r="Q6321" s="53" t="n">
        <v>45918.5743287037</v>
      </c>
      <c r="R6321" s="0" t="n">
        <v>0</v>
      </c>
      <c r="S6321" s="51" t="s">
        <v>2383</v>
      </c>
      <c r="T6321" s="51" t="s">
        <v>2383</v>
      </c>
      <c r="U6321" s="0" t="str">
        <f aca="false">"5060458890191"</f>
        <v>5060458890191</v>
      </c>
      <c r="V6321" s="51" t="s">
        <v>2142</v>
      </c>
      <c r="W6321" s="51" t="s">
        <v>4202</v>
      </c>
      <c r="X6321" s="51" t="s">
        <v>2359</v>
      </c>
    </row>
    <row r="6322" customFormat="false" ht="14.25" hidden="true" customHeight="false" outlineLevel="0" collapsed="false">
      <c r="A6322" s="49" t="s">
        <v>2349</v>
      </c>
      <c r="B6322" s="49" t="s">
        <v>2350</v>
      </c>
      <c r="C6322" s="49" t="s">
        <v>10936</v>
      </c>
      <c r="D6322" s="49" t="s">
        <v>2352</v>
      </c>
      <c r="E6322" s="49" t="str">
        <f aca="false">"5060458890191"</f>
        <v>5060458890191</v>
      </c>
      <c r="F6322" s="49" t="s">
        <v>3656</v>
      </c>
      <c r="G6322" s="49" t="n">
        <v>0</v>
      </c>
      <c r="H6322" s="0" t="n">
        <v>0</v>
      </c>
      <c r="M6322" s="51" t="s">
        <v>10907</v>
      </c>
      <c r="N6322" s="49" t="n">
        <v>0</v>
      </c>
      <c r="O6322" s="53" t="n">
        <v>45918.5741898148</v>
      </c>
      <c r="P6322" s="53" t="n">
        <v>45935.9550462963</v>
      </c>
      <c r="Q6322" s="53" t="n">
        <v>45918.5741898148</v>
      </c>
      <c r="R6322" s="0" t="n">
        <v>0</v>
      </c>
      <c r="S6322" s="51" t="s">
        <v>2383</v>
      </c>
      <c r="T6322" s="51" t="s">
        <v>2383</v>
      </c>
      <c r="U6322" s="0" t="str">
        <f aca="false">"5060458890191"</f>
        <v>5060458890191</v>
      </c>
      <c r="V6322" s="51" t="s">
        <v>2142</v>
      </c>
      <c r="W6322" s="51" t="s">
        <v>4820</v>
      </c>
      <c r="X6322" s="51" t="s">
        <v>2359</v>
      </c>
    </row>
    <row r="6323" customFormat="false" ht="14.25" hidden="true" customHeight="false" outlineLevel="0" collapsed="false">
      <c r="A6323" s="49" t="s">
        <v>2349</v>
      </c>
      <c r="B6323" s="49" t="s">
        <v>2350</v>
      </c>
      <c r="C6323" s="49" t="s">
        <v>10937</v>
      </c>
      <c r="D6323" s="49" t="s">
        <v>2352</v>
      </c>
      <c r="E6323" s="49" t="str">
        <f aca="false">"5060458890191"</f>
        <v>5060458890191</v>
      </c>
      <c r="F6323" s="49" t="s">
        <v>3656</v>
      </c>
      <c r="G6323" s="49" t="n">
        <v>0</v>
      </c>
      <c r="H6323" s="0" t="n">
        <v>0</v>
      </c>
      <c r="M6323" s="51" t="s">
        <v>10907</v>
      </c>
      <c r="N6323" s="49" t="n">
        <v>0</v>
      </c>
      <c r="O6323" s="53" t="n">
        <v>45918.5740856482</v>
      </c>
      <c r="P6323" s="53" t="n">
        <v>45931.7972916667</v>
      </c>
      <c r="Q6323" s="53" t="n">
        <v>45918.5740856482</v>
      </c>
      <c r="R6323" s="0" t="n">
        <v>0</v>
      </c>
      <c r="S6323" s="51" t="s">
        <v>2383</v>
      </c>
      <c r="T6323" s="51" t="s">
        <v>2383</v>
      </c>
      <c r="U6323" s="0" t="str">
        <f aca="false">"5060458890191"</f>
        <v>5060458890191</v>
      </c>
      <c r="V6323" s="51" t="s">
        <v>2142</v>
      </c>
      <c r="W6323" s="51" t="s">
        <v>4627</v>
      </c>
      <c r="X6323" s="51" t="s">
        <v>2359</v>
      </c>
    </row>
    <row r="6324" customFormat="false" ht="14.25" hidden="true" customHeight="false" outlineLevel="0" collapsed="false">
      <c r="A6324" s="49" t="s">
        <v>2349</v>
      </c>
      <c r="B6324" s="49" t="s">
        <v>2350</v>
      </c>
      <c r="C6324" s="49" t="s">
        <v>10938</v>
      </c>
      <c r="D6324" s="49" t="s">
        <v>2352</v>
      </c>
      <c r="E6324" s="49" t="str">
        <f aca="false">"5060458890191"</f>
        <v>5060458890191</v>
      </c>
      <c r="F6324" s="49" t="s">
        <v>3656</v>
      </c>
      <c r="G6324" s="49" t="n">
        <v>0</v>
      </c>
      <c r="H6324" s="0" t="n">
        <v>0</v>
      </c>
      <c r="M6324" s="51" t="s">
        <v>10939</v>
      </c>
      <c r="N6324" s="49" t="n">
        <v>0</v>
      </c>
      <c r="O6324" s="53" t="n">
        <v>45916.5772800926</v>
      </c>
      <c r="P6324" s="53" t="n">
        <v>45931.1436111111</v>
      </c>
      <c r="Q6324" s="53" t="n">
        <v>45916.5772800926</v>
      </c>
      <c r="R6324" s="0" t="n">
        <v>0</v>
      </c>
      <c r="S6324" s="51" t="s">
        <v>2401</v>
      </c>
      <c r="T6324" s="51" t="s">
        <v>2401</v>
      </c>
      <c r="U6324" s="0" t="str">
        <f aca="false">"5060458890191"</f>
        <v>5060458890191</v>
      </c>
      <c r="V6324" s="51" t="s">
        <v>2142</v>
      </c>
      <c r="W6324" s="51" t="s">
        <v>10940</v>
      </c>
      <c r="X6324" s="51" t="s">
        <v>2359</v>
      </c>
    </row>
    <row r="6325" customFormat="false" ht="14.25" hidden="true" customHeight="false" outlineLevel="0" collapsed="false">
      <c r="A6325" s="49" t="s">
        <v>2349</v>
      </c>
      <c r="B6325" s="49" t="s">
        <v>2350</v>
      </c>
      <c r="C6325" s="49" t="s">
        <v>10941</v>
      </c>
      <c r="D6325" s="49" t="s">
        <v>2352</v>
      </c>
      <c r="E6325" s="49" t="str">
        <f aca="false">"5060458890191"</f>
        <v>5060458890191</v>
      </c>
      <c r="F6325" s="49" t="s">
        <v>3656</v>
      </c>
      <c r="G6325" s="49" t="n">
        <v>0</v>
      </c>
      <c r="H6325" s="0" t="n">
        <v>0</v>
      </c>
      <c r="M6325" s="51" t="s">
        <v>10939</v>
      </c>
      <c r="N6325" s="49" t="n">
        <v>0</v>
      </c>
      <c r="O6325" s="53" t="n">
        <v>45916.5770949074</v>
      </c>
      <c r="P6325" s="53" t="n">
        <v>45931.8133333333</v>
      </c>
      <c r="Q6325" s="53" t="n">
        <v>45916.5770949074</v>
      </c>
      <c r="R6325" s="0" t="n">
        <v>0</v>
      </c>
      <c r="S6325" s="51" t="s">
        <v>2401</v>
      </c>
      <c r="T6325" s="51" t="s">
        <v>2401</v>
      </c>
      <c r="U6325" s="0" t="str">
        <f aca="false">"5060458890191"</f>
        <v>5060458890191</v>
      </c>
      <c r="V6325" s="51" t="s">
        <v>2142</v>
      </c>
      <c r="W6325" s="51" t="s">
        <v>10942</v>
      </c>
      <c r="X6325" s="51" t="s">
        <v>2359</v>
      </c>
    </row>
    <row r="6326" customFormat="false" ht="14.25" hidden="true" customHeight="false" outlineLevel="0" collapsed="false">
      <c r="A6326" s="49" t="s">
        <v>2349</v>
      </c>
      <c r="B6326" s="49" t="s">
        <v>2350</v>
      </c>
      <c r="C6326" s="49" t="s">
        <v>10943</v>
      </c>
      <c r="D6326" s="49" t="s">
        <v>2352</v>
      </c>
      <c r="E6326" s="49" t="str">
        <f aca="false">"5060458890191"</f>
        <v>5060458890191</v>
      </c>
      <c r="F6326" s="49" t="s">
        <v>3656</v>
      </c>
      <c r="G6326" s="49" t="n">
        <v>0</v>
      </c>
      <c r="H6326" s="0" t="n">
        <v>0</v>
      </c>
      <c r="M6326" s="51" t="s">
        <v>10939</v>
      </c>
      <c r="N6326" s="49" t="n">
        <v>0</v>
      </c>
      <c r="O6326" s="53" t="n">
        <v>45916.5791319445</v>
      </c>
      <c r="P6326" s="53" t="n">
        <v>45918.7483564815</v>
      </c>
      <c r="Q6326" s="53" t="n">
        <v>45916.5791319445</v>
      </c>
      <c r="R6326" s="0" t="n">
        <v>0</v>
      </c>
      <c r="S6326" s="51" t="s">
        <v>2401</v>
      </c>
      <c r="T6326" s="51" t="s">
        <v>2401</v>
      </c>
      <c r="U6326" s="0" t="str">
        <f aca="false">"5060458890191"</f>
        <v>5060458890191</v>
      </c>
      <c r="V6326" s="51" t="s">
        <v>2142</v>
      </c>
      <c r="W6326" s="51" t="s">
        <v>5896</v>
      </c>
      <c r="X6326" s="51" t="s">
        <v>2359</v>
      </c>
    </row>
    <row r="6327" customFormat="false" ht="14.25" hidden="true" customHeight="false" outlineLevel="0" collapsed="false">
      <c r="A6327" s="49" t="s">
        <v>2349</v>
      </c>
      <c r="B6327" s="49" t="s">
        <v>2350</v>
      </c>
      <c r="C6327" s="49" t="s">
        <v>10944</v>
      </c>
      <c r="D6327" s="49" t="s">
        <v>2352</v>
      </c>
      <c r="E6327" s="49" t="str">
        <f aca="false">"5060458890191"</f>
        <v>5060458890191</v>
      </c>
      <c r="F6327" s="49" t="s">
        <v>3656</v>
      </c>
      <c r="G6327" s="49" t="n">
        <v>0</v>
      </c>
      <c r="H6327" s="0" t="n">
        <v>0</v>
      </c>
      <c r="M6327" s="51" t="s">
        <v>10939</v>
      </c>
      <c r="N6327" s="49" t="n">
        <v>0</v>
      </c>
      <c r="O6327" s="53" t="n">
        <v>45916.5815162037</v>
      </c>
      <c r="P6327" s="53" t="n">
        <v>45918.6825694444</v>
      </c>
      <c r="Q6327" s="53" t="n">
        <v>45916.5815162037</v>
      </c>
      <c r="R6327" s="0" t="n">
        <v>0</v>
      </c>
      <c r="S6327" s="51" t="s">
        <v>2401</v>
      </c>
      <c r="T6327" s="51" t="s">
        <v>2401</v>
      </c>
      <c r="U6327" s="0" t="str">
        <f aca="false">"5060458890191"</f>
        <v>5060458890191</v>
      </c>
      <c r="V6327" s="51" t="s">
        <v>2142</v>
      </c>
      <c r="W6327" s="51" t="s">
        <v>5534</v>
      </c>
      <c r="X6327" s="51" t="s">
        <v>2359</v>
      </c>
    </row>
    <row r="6328" customFormat="false" ht="14.25" hidden="true" customHeight="false" outlineLevel="0" collapsed="false">
      <c r="A6328" s="49" t="s">
        <v>2349</v>
      </c>
      <c r="B6328" s="49" t="s">
        <v>2350</v>
      </c>
      <c r="C6328" s="49" t="s">
        <v>10945</v>
      </c>
      <c r="D6328" s="49" t="s">
        <v>2352</v>
      </c>
      <c r="E6328" s="49" t="str">
        <f aca="false">"5060458890191"</f>
        <v>5060458890191</v>
      </c>
      <c r="F6328" s="49" t="s">
        <v>3656</v>
      </c>
      <c r="G6328" s="49" t="n">
        <v>0</v>
      </c>
      <c r="H6328" s="0" t="n">
        <v>0</v>
      </c>
      <c r="M6328" s="51" t="s">
        <v>10939</v>
      </c>
      <c r="N6328" s="49" t="n">
        <v>0</v>
      </c>
      <c r="O6328" s="53" t="n">
        <v>45916.5792708333</v>
      </c>
      <c r="P6328" s="53" t="n">
        <v>45918.6845601852</v>
      </c>
      <c r="Q6328" s="53" t="n">
        <v>45916.5792708333</v>
      </c>
      <c r="R6328" s="0" t="n">
        <v>0</v>
      </c>
      <c r="S6328" s="51" t="s">
        <v>2401</v>
      </c>
      <c r="T6328" s="51" t="s">
        <v>2401</v>
      </c>
      <c r="U6328" s="0" t="str">
        <f aca="false">"5060458890191"</f>
        <v>5060458890191</v>
      </c>
      <c r="V6328" s="51" t="s">
        <v>2142</v>
      </c>
      <c r="W6328" s="51" t="s">
        <v>9844</v>
      </c>
      <c r="X6328" s="51" t="s">
        <v>2359</v>
      </c>
    </row>
    <row r="6329" customFormat="false" ht="14.25" hidden="true" customHeight="false" outlineLevel="0" collapsed="false">
      <c r="A6329" s="49" t="s">
        <v>2349</v>
      </c>
      <c r="B6329" s="49" t="s">
        <v>2350</v>
      </c>
      <c r="C6329" s="49" t="s">
        <v>10946</v>
      </c>
      <c r="D6329" s="49" t="s">
        <v>2352</v>
      </c>
      <c r="E6329" s="49" t="str">
        <f aca="false">"5060458890191"</f>
        <v>5060458890191</v>
      </c>
      <c r="F6329" s="49" t="s">
        <v>3656</v>
      </c>
      <c r="G6329" s="49" t="n">
        <v>0</v>
      </c>
      <c r="H6329" s="0" t="n">
        <v>0</v>
      </c>
      <c r="M6329" s="51" t="s">
        <v>10939</v>
      </c>
      <c r="N6329" s="49" t="n">
        <v>0</v>
      </c>
      <c r="O6329" s="53" t="n">
        <v>45916.5810416667</v>
      </c>
      <c r="P6329" s="53" t="n">
        <v>45918.6827430556</v>
      </c>
      <c r="Q6329" s="53" t="n">
        <v>45916.5810416667</v>
      </c>
      <c r="R6329" s="0" t="n">
        <v>0</v>
      </c>
      <c r="S6329" s="51" t="s">
        <v>2401</v>
      </c>
      <c r="T6329" s="51" t="s">
        <v>2401</v>
      </c>
      <c r="U6329" s="0" t="str">
        <f aca="false">"5060458890191"</f>
        <v>5060458890191</v>
      </c>
      <c r="V6329" s="51" t="s">
        <v>2142</v>
      </c>
      <c r="W6329" s="51" t="s">
        <v>6793</v>
      </c>
      <c r="X6329" s="51" t="s">
        <v>2359</v>
      </c>
    </row>
    <row r="6330" customFormat="false" ht="14.25" hidden="true" customHeight="false" outlineLevel="0" collapsed="false">
      <c r="A6330" s="49" t="s">
        <v>2349</v>
      </c>
      <c r="B6330" s="49" t="s">
        <v>2350</v>
      </c>
      <c r="C6330" s="49" t="s">
        <v>10947</v>
      </c>
      <c r="D6330" s="49" t="s">
        <v>2352</v>
      </c>
      <c r="E6330" s="49" t="str">
        <f aca="false">"5060458890191"</f>
        <v>5060458890191</v>
      </c>
      <c r="F6330" s="49" t="s">
        <v>3656</v>
      </c>
      <c r="G6330" s="49" t="n">
        <v>0</v>
      </c>
      <c r="H6330" s="0" t="n">
        <v>0</v>
      </c>
      <c r="M6330" s="51" t="s">
        <v>10939</v>
      </c>
      <c r="N6330" s="49" t="n">
        <v>0</v>
      </c>
      <c r="O6330" s="53" t="n">
        <v>45916.5794097222</v>
      </c>
      <c r="P6330" s="53" t="n">
        <v>45918.6815856482</v>
      </c>
      <c r="Q6330" s="53" t="n">
        <v>45916.5794097222</v>
      </c>
      <c r="R6330" s="0" t="n">
        <v>0</v>
      </c>
      <c r="S6330" s="51" t="s">
        <v>2401</v>
      </c>
      <c r="T6330" s="51" t="s">
        <v>2401</v>
      </c>
      <c r="U6330" s="0" t="str">
        <f aca="false">"5060458890191"</f>
        <v>5060458890191</v>
      </c>
      <c r="V6330" s="51" t="s">
        <v>2142</v>
      </c>
      <c r="W6330" s="51" t="s">
        <v>4773</v>
      </c>
      <c r="X6330" s="51" t="s">
        <v>2359</v>
      </c>
    </row>
    <row r="6331" customFormat="false" ht="14.25" hidden="true" customHeight="false" outlineLevel="0" collapsed="false">
      <c r="A6331" s="49" t="s">
        <v>2349</v>
      </c>
      <c r="B6331" s="49" t="s">
        <v>2350</v>
      </c>
      <c r="C6331" s="49" t="s">
        <v>10948</v>
      </c>
      <c r="D6331" s="49" t="s">
        <v>2352</v>
      </c>
      <c r="E6331" s="49" t="str">
        <f aca="false">"5060458890191"</f>
        <v>5060458890191</v>
      </c>
      <c r="F6331" s="49" t="s">
        <v>3656</v>
      </c>
      <c r="G6331" s="49" t="n">
        <v>0</v>
      </c>
      <c r="H6331" s="0" t="n">
        <v>0</v>
      </c>
      <c r="M6331" s="51" t="s">
        <v>10939</v>
      </c>
      <c r="N6331" s="49" t="n">
        <v>0</v>
      </c>
      <c r="O6331" s="53" t="n">
        <v>45916.5808564815</v>
      </c>
      <c r="P6331" s="53" t="n">
        <v>45918.6913078704</v>
      </c>
      <c r="Q6331" s="53" t="n">
        <v>45916.5808564815</v>
      </c>
      <c r="R6331" s="0" t="n">
        <v>0</v>
      </c>
      <c r="S6331" s="51" t="s">
        <v>2401</v>
      </c>
      <c r="T6331" s="51" t="s">
        <v>2401</v>
      </c>
      <c r="U6331" s="0" t="str">
        <f aca="false">"5060458890191"</f>
        <v>5060458890191</v>
      </c>
      <c r="V6331" s="51" t="s">
        <v>2142</v>
      </c>
      <c r="W6331" s="51" t="s">
        <v>6413</v>
      </c>
      <c r="X6331" s="51" t="s">
        <v>2359</v>
      </c>
    </row>
    <row r="6332" customFormat="false" ht="14.25" hidden="true" customHeight="false" outlineLevel="0" collapsed="false">
      <c r="A6332" s="49" t="s">
        <v>2349</v>
      </c>
      <c r="B6332" s="49" t="s">
        <v>2350</v>
      </c>
      <c r="C6332" s="49" t="s">
        <v>10949</v>
      </c>
      <c r="D6332" s="49" t="s">
        <v>2352</v>
      </c>
      <c r="E6332" s="49" t="str">
        <f aca="false">"5060458890191"</f>
        <v>5060458890191</v>
      </c>
      <c r="F6332" s="49" t="s">
        <v>3656</v>
      </c>
      <c r="G6332" s="49" t="n">
        <v>0</v>
      </c>
      <c r="H6332" s="0" t="n">
        <v>0</v>
      </c>
      <c r="M6332" s="51" t="s">
        <v>10939</v>
      </c>
      <c r="N6332" s="49" t="n">
        <v>0</v>
      </c>
      <c r="O6332" s="53" t="n">
        <v>45916.5795601852</v>
      </c>
      <c r="P6332" s="53" t="n">
        <v>45918.6948263889</v>
      </c>
      <c r="Q6332" s="53" t="n">
        <v>45916.5795601852</v>
      </c>
      <c r="R6332" s="0" t="n">
        <v>0</v>
      </c>
      <c r="S6332" s="51" t="s">
        <v>2401</v>
      </c>
      <c r="T6332" s="51" t="s">
        <v>2401</v>
      </c>
      <c r="U6332" s="0" t="str">
        <f aca="false">"5060458890191"</f>
        <v>5060458890191</v>
      </c>
      <c r="V6332" s="51" t="s">
        <v>2142</v>
      </c>
      <c r="W6332" s="51" t="s">
        <v>6253</v>
      </c>
      <c r="X6332" s="51" t="s">
        <v>2359</v>
      </c>
    </row>
    <row r="6333" customFormat="false" ht="14.25" hidden="true" customHeight="false" outlineLevel="0" collapsed="false">
      <c r="A6333" s="49" t="s">
        <v>2349</v>
      </c>
      <c r="B6333" s="49" t="s">
        <v>2350</v>
      </c>
      <c r="C6333" s="49" t="s">
        <v>10950</v>
      </c>
      <c r="D6333" s="49" t="s">
        <v>2352</v>
      </c>
      <c r="E6333" s="49" t="str">
        <f aca="false">"5060458890191"</f>
        <v>5060458890191</v>
      </c>
      <c r="F6333" s="49" t="s">
        <v>3656</v>
      </c>
      <c r="G6333" s="49" t="n">
        <v>0</v>
      </c>
      <c r="H6333" s="0" t="n">
        <v>0</v>
      </c>
      <c r="M6333" s="51" t="s">
        <v>10939</v>
      </c>
      <c r="N6333" s="49" t="n">
        <v>0</v>
      </c>
      <c r="O6333" s="53" t="n">
        <v>45916.580625</v>
      </c>
      <c r="P6333" s="53" t="n">
        <v>45928.9187847222</v>
      </c>
      <c r="Q6333" s="53" t="n">
        <v>45916.580625</v>
      </c>
      <c r="R6333" s="0" t="n">
        <v>0</v>
      </c>
      <c r="S6333" s="51" t="s">
        <v>2401</v>
      </c>
      <c r="T6333" s="51" t="s">
        <v>2401</v>
      </c>
      <c r="U6333" s="0" t="str">
        <f aca="false">"5060458890191"</f>
        <v>5060458890191</v>
      </c>
      <c r="V6333" s="51" t="s">
        <v>2142</v>
      </c>
      <c r="W6333" s="51" t="s">
        <v>9566</v>
      </c>
      <c r="X6333" s="51" t="s">
        <v>2359</v>
      </c>
    </row>
    <row r="6334" customFormat="false" ht="14.25" hidden="true" customHeight="false" outlineLevel="0" collapsed="false">
      <c r="A6334" s="49" t="s">
        <v>2349</v>
      </c>
      <c r="B6334" s="49" t="s">
        <v>2350</v>
      </c>
      <c r="C6334" s="49" t="s">
        <v>10951</v>
      </c>
      <c r="D6334" s="49" t="s">
        <v>2352</v>
      </c>
      <c r="E6334" s="49" t="str">
        <f aca="false">"5060458890191"</f>
        <v>5060458890191</v>
      </c>
      <c r="F6334" s="49" t="s">
        <v>3656</v>
      </c>
      <c r="G6334" s="49" t="n">
        <v>0</v>
      </c>
      <c r="H6334" s="0" t="n">
        <v>0</v>
      </c>
      <c r="M6334" s="51" t="s">
        <v>10939</v>
      </c>
      <c r="N6334" s="49" t="n">
        <v>0</v>
      </c>
      <c r="O6334" s="53" t="n">
        <v>45916.5797800926</v>
      </c>
      <c r="P6334" s="53" t="n">
        <v>45918.8221643519</v>
      </c>
      <c r="Q6334" s="53" t="n">
        <v>45916.5797800926</v>
      </c>
      <c r="R6334" s="0" t="n">
        <v>0</v>
      </c>
      <c r="S6334" s="51" t="s">
        <v>2401</v>
      </c>
      <c r="T6334" s="51" t="s">
        <v>2401</v>
      </c>
      <c r="U6334" s="0" t="str">
        <f aca="false">"5060458890191"</f>
        <v>5060458890191</v>
      </c>
      <c r="V6334" s="51" t="s">
        <v>2142</v>
      </c>
      <c r="W6334" s="51" t="s">
        <v>5517</v>
      </c>
      <c r="X6334" s="51" t="s">
        <v>2359</v>
      </c>
    </row>
    <row r="6335" customFormat="false" ht="14.25" hidden="true" customHeight="false" outlineLevel="0" collapsed="false">
      <c r="A6335" s="49" t="s">
        <v>2349</v>
      </c>
      <c r="B6335" s="49" t="s">
        <v>2350</v>
      </c>
      <c r="C6335" s="49" t="s">
        <v>10952</v>
      </c>
      <c r="D6335" s="49" t="s">
        <v>2352</v>
      </c>
      <c r="E6335" s="49" t="str">
        <f aca="false">"5060458890191"</f>
        <v>5060458890191</v>
      </c>
      <c r="F6335" s="49" t="s">
        <v>3656</v>
      </c>
      <c r="G6335" s="49" t="n">
        <v>0</v>
      </c>
      <c r="H6335" s="0" t="n">
        <v>0</v>
      </c>
      <c r="M6335" s="51" t="s">
        <v>10939</v>
      </c>
      <c r="N6335" s="49" t="n">
        <v>0</v>
      </c>
      <c r="O6335" s="53" t="n">
        <v>45916.5803935185</v>
      </c>
      <c r="P6335" s="53" t="n">
        <v>45918.7478472222</v>
      </c>
      <c r="Q6335" s="53" t="n">
        <v>45916.5803935185</v>
      </c>
      <c r="R6335" s="0" t="n">
        <v>0</v>
      </c>
      <c r="S6335" s="51" t="s">
        <v>2401</v>
      </c>
      <c r="T6335" s="51" t="s">
        <v>2401</v>
      </c>
      <c r="U6335" s="0" t="str">
        <f aca="false">"5060458890191"</f>
        <v>5060458890191</v>
      </c>
      <c r="V6335" s="51" t="s">
        <v>2142</v>
      </c>
      <c r="W6335" s="51" t="s">
        <v>4564</v>
      </c>
      <c r="X6335" s="51" t="s">
        <v>2359</v>
      </c>
    </row>
    <row r="6336" customFormat="false" ht="14.25" hidden="true" customHeight="false" outlineLevel="0" collapsed="false">
      <c r="A6336" s="49" t="s">
        <v>2349</v>
      </c>
      <c r="B6336" s="49" t="s">
        <v>2350</v>
      </c>
      <c r="C6336" s="49" t="s">
        <v>10953</v>
      </c>
      <c r="D6336" s="49" t="s">
        <v>2352</v>
      </c>
      <c r="E6336" s="49" t="str">
        <f aca="false">"5060458890191"</f>
        <v>5060458890191</v>
      </c>
      <c r="F6336" s="49" t="s">
        <v>3656</v>
      </c>
      <c r="G6336" s="49" t="n">
        <v>0</v>
      </c>
      <c r="H6336" s="0" t="n">
        <v>0</v>
      </c>
      <c r="M6336" s="51" t="s">
        <v>10939</v>
      </c>
      <c r="N6336" s="49" t="n">
        <v>0</v>
      </c>
      <c r="O6336" s="53" t="n">
        <v>45916.5802083333</v>
      </c>
      <c r="P6336" s="53" t="n">
        <v>45918.822650463</v>
      </c>
      <c r="Q6336" s="53" t="n">
        <v>45916.5802083333</v>
      </c>
      <c r="R6336" s="0" t="n">
        <v>0</v>
      </c>
      <c r="S6336" s="51" t="s">
        <v>2401</v>
      </c>
      <c r="T6336" s="51" t="s">
        <v>2401</v>
      </c>
      <c r="U6336" s="0" t="str">
        <f aca="false">"5060458890191"</f>
        <v>5060458890191</v>
      </c>
      <c r="V6336" s="51" t="s">
        <v>2142</v>
      </c>
      <c r="W6336" s="51" t="s">
        <v>6417</v>
      </c>
      <c r="X6336" s="51" t="s">
        <v>2359</v>
      </c>
    </row>
    <row r="6337" customFormat="false" ht="14.25" hidden="true" customHeight="false" outlineLevel="0" collapsed="false">
      <c r="A6337" s="49" t="s">
        <v>2349</v>
      </c>
      <c r="B6337" s="49" t="s">
        <v>2350</v>
      </c>
      <c r="C6337" s="49" t="s">
        <v>10954</v>
      </c>
      <c r="D6337" s="49" t="s">
        <v>2352</v>
      </c>
      <c r="E6337" s="49" t="str">
        <f aca="false">"5060458890191"</f>
        <v>5060458890191</v>
      </c>
      <c r="F6337" s="49" t="s">
        <v>3656</v>
      </c>
      <c r="G6337" s="49" t="n">
        <v>0</v>
      </c>
      <c r="H6337" s="0" t="n">
        <v>0</v>
      </c>
      <c r="M6337" s="51" t="s">
        <v>10939</v>
      </c>
      <c r="N6337" s="49" t="n">
        <v>0</v>
      </c>
      <c r="O6337" s="53" t="n">
        <v>45916.5767824074</v>
      </c>
      <c r="P6337" s="53" t="n">
        <v>45918.6853240741</v>
      </c>
      <c r="Q6337" s="53" t="n">
        <v>45916.5767824074</v>
      </c>
      <c r="R6337" s="0" t="n">
        <v>0</v>
      </c>
      <c r="S6337" s="51" t="s">
        <v>2401</v>
      </c>
      <c r="T6337" s="51" t="s">
        <v>2401</v>
      </c>
      <c r="U6337" s="0" t="str">
        <f aca="false">"5060458890191"</f>
        <v>5060458890191</v>
      </c>
      <c r="V6337" s="51" t="s">
        <v>2142</v>
      </c>
      <c r="W6337" s="51" t="s">
        <v>10955</v>
      </c>
      <c r="X6337" s="51" t="s">
        <v>2359</v>
      </c>
    </row>
    <row r="6338" customFormat="false" ht="14.25" hidden="true" customHeight="false" outlineLevel="0" collapsed="false">
      <c r="A6338" s="49" t="s">
        <v>2349</v>
      </c>
      <c r="B6338" s="49" t="s">
        <v>2350</v>
      </c>
      <c r="C6338" s="49" t="s">
        <v>10956</v>
      </c>
      <c r="D6338" s="49" t="s">
        <v>2352</v>
      </c>
      <c r="E6338" s="49" t="str">
        <f aca="false">"5060458890191"</f>
        <v>5060458890191</v>
      </c>
      <c r="F6338" s="49" t="s">
        <v>3656</v>
      </c>
      <c r="G6338" s="49" t="n">
        <v>0</v>
      </c>
      <c r="H6338" s="0" t="n">
        <v>0</v>
      </c>
      <c r="M6338" s="51" t="s">
        <v>10939</v>
      </c>
      <c r="N6338" s="49" t="n">
        <v>0</v>
      </c>
      <c r="O6338" s="53" t="n">
        <v>45916.5784722222</v>
      </c>
      <c r="P6338" s="53" t="n">
        <v>45918.678599537</v>
      </c>
      <c r="Q6338" s="53" t="n">
        <v>45916.5784722222</v>
      </c>
      <c r="R6338" s="0" t="n">
        <v>0</v>
      </c>
      <c r="S6338" s="51" t="s">
        <v>2401</v>
      </c>
      <c r="T6338" s="51" t="s">
        <v>2401</v>
      </c>
      <c r="U6338" s="0" t="str">
        <f aca="false">"5060458890191"</f>
        <v>5060458890191</v>
      </c>
      <c r="V6338" s="51" t="s">
        <v>2142</v>
      </c>
      <c r="W6338" s="51" t="s">
        <v>5885</v>
      </c>
      <c r="X6338" s="51" t="s">
        <v>2359</v>
      </c>
    </row>
    <row r="6339" customFormat="false" ht="14.25" hidden="true" customHeight="false" outlineLevel="0" collapsed="false">
      <c r="A6339" s="49" t="s">
        <v>2349</v>
      </c>
      <c r="B6339" s="49" t="s">
        <v>2350</v>
      </c>
      <c r="C6339" s="49" t="s">
        <v>10957</v>
      </c>
      <c r="D6339" s="49" t="s">
        <v>2352</v>
      </c>
      <c r="E6339" s="49" t="str">
        <f aca="false">"5060458890191"</f>
        <v>5060458890191</v>
      </c>
      <c r="F6339" s="49" t="s">
        <v>3656</v>
      </c>
      <c r="G6339" s="49" t="n">
        <v>0</v>
      </c>
      <c r="H6339" s="0" t="n">
        <v>0</v>
      </c>
      <c r="M6339" s="51" t="s">
        <v>10939</v>
      </c>
      <c r="N6339" s="49" t="n">
        <v>0</v>
      </c>
      <c r="O6339" s="53" t="n">
        <v>45916.5759722222</v>
      </c>
      <c r="P6339" s="53" t="n">
        <v>45918.6779166667</v>
      </c>
      <c r="Q6339" s="53" t="n">
        <v>45916.5759722222</v>
      </c>
      <c r="R6339" s="0" t="n">
        <v>0</v>
      </c>
      <c r="S6339" s="51" t="s">
        <v>2401</v>
      </c>
      <c r="T6339" s="51" t="s">
        <v>2401</v>
      </c>
      <c r="U6339" s="0" t="str">
        <f aca="false">"5060458890191"</f>
        <v>5060458890191</v>
      </c>
      <c r="V6339" s="51" t="s">
        <v>2142</v>
      </c>
      <c r="W6339" s="51" t="s">
        <v>4784</v>
      </c>
      <c r="X6339" s="51" t="s">
        <v>2359</v>
      </c>
    </row>
    <row r="6340" customFormat="false" ht="14.25" hidden="true" customHeight="false" outlineLevel="0" collapsed="false">
      <c r="A6340" s="49" t="s">
        <v>2349</v>
      </c>
      <c r="B6340" s="49" t="s">
        <v>2350</v>
      </c>
      <c r="C6340" s="49" t="s">
        <v>10958</v>
      </c>
      <c r="D6340" s="49" t="s">
        <v>2352</v>
      </c>
      <c r="E6340" s="49" t="str">
        <f aca="false">"5060458890191"</f>
        <v>5060458890191</v>
      </c>
      <c r="F6340" s="49" t="s">
        <v>3656</v>
      </c>
      <c r="G6340" s="49" t="n">
        <v>0</v>
      </c>
      <c r="H6340" s="0" t="n">
        <v>0</v>
      </c>
      <c r="M6340" s="51" t="s">
        <v>10939</v>
      </c>
      <c r="N6340" s="49" t="n">
        <v>0</v>
      </c>
      <c r="O6340" s="53" t="n">
        <v>45916.5782986111</v>
      </c>
      <c r="P6340" s="53" t="n">
        <v>45918.6837847222</v>
      </c>
      <c r="Q6340" s="53" t="n">
        <v>45916.5782986111</v>
      </c>
      <c r="R6340" s="0" t="n">
        <v>0</v>
      </c>
      <c r="S6340" s="51" t="s">
        <v>2401</v>
      </c>
      <c r="T6340" s="51" t="s">
        <v>2401</v>
      </c>
      <c r="U6340" s="0" t="str">
        <f aca="false">"5060458890191"</f>
        <v>5060458890191</v>
      </c>
      <c r="V6340" s="51" t="s">
        <v>2142</v>
      </c>
      <c r="W6340" s="51" t="s">
        <v>6025</v>
      </c>
      <c r="X6340" s="51" t="s">
        <v>2359</v>
      </c>
    </row>
    <row r="6341" customFormat="false" ht="14.25" hidden="true" customHeight="false" outlineLevel="0" collapsed="false">
      <c r="A6341" s="49" t="s">
        <v>2349</v>
      </c>
      <c r="B6341" s="49" t="s">
        <v>2350</v>
      </c>
      <c r="C6341" s="49" t="s">
        <v>10959</v>
      </c>
      <c r="D6341" s="49" t="s">
        <v>2352</v>
      </c>
      <c r="E6341" s="49" t="str">
        <f aca="false">"5060458890191"</f>
        <v>5060458890191</v>
      </c>
      <c r="F6341" s="49" t="s">
        <v>3656</v>
      </c>
      <c r="G6341" s="49" t="n">
        <v>0</v>
      </c>
      <c r="H6341" s="0" t="n">
        <v>0</v>
      </c>
      <c r="M6341" s="51" t="s">
        <v>10939</v>
      </c>
      <c r="N6341" s="49" t="n">
        <v>0</v>
      </c>
      <c r="O6341" s="53" t="n">
        <v>45916.5758449074</v>
      </c>
      <c r="P6341" s="53" t="n">
        <v>45918.6752314815</v>
      </c>
      <c r="Q6341" s="53" t="n">
        <v>45916.5758449074</v>
      </c>
      <c r="R6341" s="0" t="n">
        <v>0</v>
      </c>
      <c r="S6341" s="51" t="s">
        <v>2401</v>
      </c>
      <c r="T6341" s="51" t="s">
        <v>2401</v>
      </c>
      <c r="U6341" s="0" t="str">
        <f aca="false">"5060458890191"</f>
        <v>5060458890191</v>
      </c>
      <c r="V6341" s="51" t="s">
        <v>2142</v>
      </c>
      <c r="W6341" s="51" t="s">
        <v>6054</v>
      </c>
      <c r="X6341" s="51" t="s">
        <v>2359</v>
      </c>
    </row>
    <row r="6342" customFormat="false" ht="14.25" hidden="true" customHeight="false" outlineLevel="0" collapsed="false">
      <c r="A6342" s="49" t="s">
        <v>2349</v>
      </c>
      <c r="B6342" s="49" t="s">
        <v>2350</v>
      </c>
      <c r="C6342" s="49" t="s">
        <v>10960</v>
      </c>
      <c r="D6342" s="49" t="s">
        <v>2352</v>
      </c>
      <c r="E6342" s="49" t="str">
        <f aca="false">"5060458890191"</f>
        <v>5060458890191</v>
      </c>
      <c r="F6342" s="49" t="s">
        <v>3656</v>
      </c>
      <c r="G6342" s="49" t="n">
        <v>0</v>
      </c>
      <c r="H6342" s="0" t="n">
        <v>0</v>
      </c>
      <c r="M6342" s="51" t="s">
        <v>10939</v>
      </c>
      <c r="N6342" s="49" t="n">
        <v>0</v>
      </c>
      <c r="O6342" s="53" t="n">
        <v>45916.5781134259</v>
      </c>
      <c r="P6342" s="53" t="n">
        <v>45918.6744328704</v>
      </c>
      <c r="Q6342" s="53" t="n">
        <v>45916.5781134259</v>
      </c>
      <c r="R6342" s="0" t="n">
        <v>0</v>
      </c>
      <c r="S6342" s="51" t="s">
        <v>2401</v>
      </c>
      <c r="T6342" s="51" t="s">
        <v>2401</v>
      </c>
      <c r="U6342" s="0" t="str">
        <f aca="false">"5060458890191"</f>
        <v>5060458890191</v>
      </c>
      <c r="V6342" s="51" t="s">
        <v>2142</v>
      </c>
      <c r="W6342" s="51" t="s">
        <v>5612</v>
      </c>
      <c r="X6342" s="51" t="s">
        <v>2359</v>
      </c>
    </row>
    <row r="6343" customFormat="false" ht="14.25" hidden="true" customHeight="false" outlineLevel="0" collapsed="false">
      <c r="A6343" s="49" t="s">
        <v>2349</v>
      </c>
      <c r="B6343" s="49" t="s">
        <v>2350</v>
      </c>
      <c r="C6343" s="49" t="s">
        <v>10961</v>
      </c>
      <c r="D6343" s="49" t="s">
        <v>2352</v>
      </c>
      <c r="E6343" s="49" t="str">
        <f aca="false">"5060458890191"</f>
        <v>5060458890191</v>
      </c>
      <c r="F6343" s="49" t="s">
        <v>3656</v>
      </c>
      <c r="G6343" s="49" t="n">
        <v>0</v>
      </c>
      <c r="H6343" s="0" t="n">
        <v>0</v>
      </c>
      <c r="M6343" s="51" t="s">
        <v>10939</v>
      </c>
      <c r="N6343" s="49" t="n">
        <v>0</v>
      </c>
      <c r="O6343" s="53" t="n">
        <v>45916.5757291667</v>
      </c>
      <c r="P6343" s="53" t="n">
        <v>45918.6774305556</v>
      </c>
      <c r="Q6343" s="53" t="n">
        <v>45916.5757291667</v>
      </c>
      <c r="R6343" s="0" t="n">
        <v>0</v>
      </c>
      <c r="S6343" s="51" t="s">
        <v>2401</v>
      </c>
      <c r="T6343" s="51" t="s">
        <v>2401</v>
      </c>
      <c r="U6343" s="0" t="str">
        <f aca="false">"5060458890191"</f>
        <v>5060458890191</v>
      </c>
      <c r="V6343" s="51" t="s">
        <v>2142</v>
      </c>
      <c r="W6343" s="51" t="s">
        <v>4989</v>
      </c>
      <c r="X6343" s="51" t="s">
        <v>2359</v>
      </c>
    </row>
    <row r="6344" customFormat="false" ht="14.25" hidden="true" customHeight="false" outlineLevel="0" collapsed="false">
      <c r="A6344" s="49" t="s">
        <v>2349</v>
      </c>
      <c r="B6344" s="49" t="s">
        <v>2350</v>
      </c>
      <c r="C6344" s="49" t="s">
        <v>10962</v>
      </c>
      <c r="D6344" s="49" t="s">
        <v>2352</v>
      </c>
      <c r="E6344" s="49" t="str">
        <f aca="false">"5060458890191"</f>
        <v>5060458890191</v>
      </c>
      <c r="F6344" s="49" t="s">
        <v>3656</v>
      </c>
      <c r="G6344" s="49" t="n">
        <v>0</v>
      </c>
      <c r="H6344" s="0" t="n">
        <v>0</v>
      </c>
      <c r="M6344" s="51" t="s">
        <v>10939</v>
      </c>
      <c r="N6344" s="49" t="n">
        <v>0</v>
      </c>
      <c r="O6344" s="53" t="n">
        <v>45916.5779513889</v>
      </c>
      <c r="P6344" s="53" t="n">
        <v>45918.8190046296</v>
      </c>
      <c r="Q6344" s="53" t="n">
        <v>45916.5779513889</v>
      </c>
      <c r="R6344" s="0" t="n">
        <v>0</v>
      </c>
      <c r="S6344" s="51" t="s">
        <v>2401</v>
      </c>
      <c r="T6344" s="51" t="s">
        <v>2401</v>
      </c>
      <c r="U6344" s="0" t="str">
        <f aca="false">"5060458890191"</f>
        <v>5060458890191</v>
      </c>
      <c r="V6344" s="51" t="s">
        <v>2142</v>
      </c>
      <c r="W6344" s="51" t="s">
        <v>5615</v>
      </c>
      <c r="X6344" s="51" t="s">
        <v>2359</v>
      </c>
    </row>
    <row r="6345" customFormat="false" ht="14.25" hidden="true" customHeight="false" outlineLevel="0" collapsed="false">
      <c r="A6345" s="49" t="s">
        <v>2349</v>
      </c>
      <c r="B6345" s="49" t="s">
        <v>2350</v>
      </c>
      <c r="C6345" s="49" t="s">
        <v>10963</v>
      </c>
      <c r="D6345" s="49" t="s">
        <v>2352</v>
      </c>
      <c r="E6345" s="49" t="str">
        <f aca="false">"5060458890191"</f>
        <v>5060458890191</v>
      </c>
      <c r="F6345" s="49" t="s">
        <v>3656</v>
      </c>
      <c r="G6345" s="49" t="n">
        <v>0</v>
      </c>
      <c r="H6345" s="0" t="n">
        <v>0</v>
      </c>
      <c r="M6345" s="51" t="s">
        <v>10939</v>
      </c>
      <c r="N6345" s="49" t="n">
        <v>0</v>
      </c>
      <c r="O6345" s="53" t="n">
        <v>45916.5755671296</v>
      </c>
      <c r="P6345" s="53" t="n">
        <v>45919.6494097222</v>
      </c>
      <c r="Q6345" s="53" t="n">
        <v>45916.5755671296</v>
      </c>
      <c r="R6345" s="0" t="n">
        <v>0</v>
      </c>
      <c r="S6345" s="51" t="s">
        <v>2401</v>
      </c>
      <c r="T6345" s="51" t="s">
        <v>2401</v>
      </c>
      <c r="U6345" s="0" t="str">
        <f aca="false">"5060458890191"</f>
        <v>5060458890191</v>
      </c>
      <c r="V6345" s="51" t="s">
        <v>2142</v>
      </c>
      <c r="W6345" s="51" t="s">
        <v>7721</v>
      </c>
      <c r="X6345" s="51" t="s">
        <v>2359</v>
      </c>
    </row>
    <row r="6346" customFormat="false" ht="14.25" hidden="true" customHeight="false" outlineLevel="0" collapsed="false">
      <c r="A6346" s="49" t="s">
        <v>2349</v>
      </c>
      <c r="B6346" s="49" t="s">
        <v>2350</v>
      </c>
      <c r="C6346" s="49" t="s">
        <v>10964</v>
      </c>
      <c r="D6346" s="49" t="s">
        <v>2352</v>
      </c>
      <c r="E6346" s="49" t="str">
        <f aca="false">"5060458890191"</f>
        <v>5060458890191</v>
      </c>
      <c r="F6346" s="49" t="s">
        <v>3656</v>
      </c>
      <c r="G6346" s="49" t="n">
        <v>0</v>
      </c>
      <c r="H6346" s="0" t="n">
        <v>0</v>
      </c>
      <c r="M6346" s="51" t="s">
        <v>10939</v>
      </c>
      <c r="N6346" s="49" t="n">
        <v>0</v>
      </c>
      <c r="O6346" s="53" t="n">
        <v>45916.5774652778</v>
      </c>
      <c r="P6346" s="53" t="n">
        <v>45918.6765972222</v>
      </c>
      <c r="Q6346" s="53" t="n">
        <v>45916.5774652778</v>
      </c>
      <c r="R6346" s="0" t="n">
        <v>0</v>
      </c>
      <c r="S6346" s="51" t="s">
        <v>2401</v>
      </c>
      <c r="T6346" s="51" t="s">
        <v>2401</v>
      </c>
      <c r="U6346" s="0" t="str">
        <f aca="false">"5060458890191"</f>
        <v>5060458890191</v>
      </c>
      <c r="V6346" s="51" t="s">
        <v>2142</v>
      </c>
      <c r="W6346" s="51" t="s">
        <v>5606</v>
      </c>
      <c r="X6346" s="51" t="s">
        <v>2359</v>
      </c>
    </row>
    <row r="6347" customFormat="false" ht="14.25" hidden="true" customHeight="false" outlineLevel="0" collapsed="false">
      <c r="A6347" s="49" t="s">
        <v>2349</v>
      </c>
      <c r="B6347" s="49" t="s">
        <v>2350</v>
      </c>
      <c r="C6347" s="49" t="s">
        <v>10965</v>
      </c>
      <c r="D6347" s="49" t="s">
        <v>2352</v>
      </c>
      <c r="E6347" s="49" t="str">
        <f aca="false">"5060458890191"</f>
        <v>5060458890191</v>
      </c>
      <c r="F6347" s="49" t="s">
        <v>3656</v>
      </c>
      <c r="G6347" s="49" t="n">
        <v>0</v>
      </c>
      <c r="H6347" s="0" t="n">
        <v>0</v>
      </c>
      <c r="M6347" s="51" t="s">
        <v>10939</v>
      </c>
      <c r="N6347" s="49" t="n">
        <v>0</v>
      </c>
      <c r="O6347" s="53" t="n">
        <v>45916.5752662037</v>
      </c>
      <c r="P6347" s="53" t="n">
        <v>45924.788912037</v>
      </c>
      <c r="Q6347" s="53" t="n">
        <v>45916.5752662037</v>
      </c>
      <c r="R6347" s="0" t="n">
        <v>0</v>
      </c>
      <c r="S6347" s="51" t="s">
        <v>2401</v>
      </c>
      <c r="T6347" s="51" t="s">
        <v>2401</v>
      </c>
      <c r="U6347" s="0" t="str">
        <f aca="false">"5060458890191"</f>
        <v>5060458890191</v>
      </c>
      <c r="V6347" s="51" t="s">
        <v>2142</v>
      </c>
      <c r="W6347" s="51" t="s">
        <v>6202</v>
      </c>
      <c r="X6347" s="51" t="s">
        <v>2359</v>
      </c>
    </row>
    <row r="6348" customFormat="false" ht="14.25" hidden="true" customHeight="false" outlineLevel="0" collapsed="false">
      <c r="A6348" s="49" t="s">
        <v>2349</v>
      </c>
      <c r="B6348" s="49" t="s">
        <v>2350</v>
      </c>
      <c r="C6348" s="49" t="s">
        <v>10966</v>
      </c>
      <c r="D6348" s="49" t="s">
        <v>2352</v>
      </c>
      <c r="E6348" s="49" t="str">
        <f aca="false">"5060458890191"</f>
        <v>5060458890191</v>
      </c>
      <c r="F6348" s="49" t="s">
        <v>3656</v>
      </c>
      <c r="G6348" s="49" t="n">
        <v>0</v>
      </c>
      <c r="H6348" s="0" t="n">
        <v>0</v>
      </c>
      <c r="M6348" s="51" t="s">
        <v>10939</v>
      </c>
      <c r="N6348" s="49" t="n">
        <v>0</v>
      </c>
      <c r="O6348" s="53" t="n">
        <v>45916.5751388889</v>
      </c>
      <c r="P6348" s="53" t="n">
        <v>45931.8280902778</v>
      </c>
      <c r="Q6348" s="53" t="n">
        <v>45916.5751388889</v>
      </c>
      <c r="R6348" s="0" t="n">
        <v>0</v>
      </c>
      <c r="S6348" s="51" t="s">
        <v>2401</v>
      </c>
      <c r="T6348" s="51" t="s">
        <v>2401</v>
      </c>
      <c r="U6348" s="0" t="str">
        <f aca="false">"5060458890191"</f>
        <v>5060458890191</v>
      </c>
      <c r="V6348" s="51" t="s">
        <v>2142</v>
      </c>
      <c r="W6348" s="51" t="s">
        <v>2428</v>
      </c>
      <c r="X6348" s="51" t="s">
        <v>2359</v>
      </c>
    </row>
    <row r="6349" customFormat="false" ht="14.25" hidden="true" customHeight="false" outlineLevel="0" collapsed="false">
      <c r="A6349" s="49" t="s">
        <v>2349</v>
      </c>
      <c r="B6349" s="49" t="s">
        <v>2350</v>
      </c>
      <c r="C6349" s="49" t="s">
        <v>10967</v>
      </c>
      <c r="D6349" s="49" t="s">
        <v>2352</v>
      </c>
      <c r="E6349" s="49" t="str">
        <f aca="false">"5060458890191"</f>
        <v>5060458890191</v>
      </c>
      <c r="F6349" s="49" t="s">
        <v>3656</v>
      </c>
      <c r="G6349" s="49" t="n">
        <v>0</v>
      </c>
      <c r="H6349" s="0" t="n">
        <v>0</v>
      </c>
      <c r="M6349" s="51" t="s">
        <v>10939</v>
      </c>
      <c r="N6349" s="49" t="n">
        <v>0</v>
      </c>
      <c r="O6349" s="53" t="n">
        <v>45916.5871990741</v>
      </c>
      <c r="P6349" s="53" t="n">
        <v>45918.7084143519</v>
      </c>
      <c r="Q6349" s="53" t="n">
        <v>45916.5871990741</v>
      </c>
      <c r="R6349" s="0" t="n">
        <v>0</v>
      </c>
      <c r="S6349" s="51" t="s">
        <v>2401</v>
      </c>
      <c r="T6349" s="51" t="s">
        <v>2401</v>
      </c>
      <c r="U6349" s="0" t="str">
        <f aca="false">"5060458890191"</f>
        <v>5060458890191</v>
      </c>
      <c r="V6349" s="51" t="s">
        <v>2142</v>
      </c>
      <c r="W6349" s="51" t="s">
        <v>5833</v>
      </c>
      <c r="X6349" s="51" t="s">
        <v>2359</v>
      </c>
    </row>
    <row r="6350" customFormat="false" ht="14.25" hidden="true" customHeight="false" outlineLevel="0" collapsed="false">
      <c r="A6350" s="49" t="s">
        <v>2349</v>
      </c>
      <c r="B6350" s="49" t="s">
        <v>2350</v>
      </c>
      <c r="C6350" s="49" t="s">
        <v>10968</v>
      </c>
      <c r="D6350" s="49" t="s">
        <v>2352</v>
      </c>
      <c r="E6350" s="49" t="str">
        <f aca="false">"5060458890191"</f>
        <v>5060458890191</v>
      </c>
      <c r="F6350" s="49" t="s">
        <v>3656</v>
      </c>
      <c r="G6350" s="49" t="n">
        <v>0</v>
      </c>
      <c r="H6350" s="0" t="n">
        <v>0</v>
      </c>
      <c r="M6350" s="51" t="s">
        <v>10939</v>
      </c>
      <c r="N6350" s="49" t="n">
        <v>0</v>
      </c>
      <c r="O6350" s="53" t="n">
        <v>45916.586875</v>
      </c>
      <c r="P6350" s="53" t="n">
        <v>45918.8379282407</v>
      </c>
      <c r="Q6350" s="53" t="n">
        <v>45916.586875</v>
      </c>
      <c r="R6350" s="0" t="n">
        <v>0</v>
      </c>
      <c r="S6350" s="51" t="s">
        <v>2401</v>
      </c>
      <c r="T6350" s="51" t="s">
        <v>2401</v>
      </c>
      <c r="U6350" s="0" t="str">
        <f aca="false">"5060458890191"</f>
        <v>5060458890191</v>
      </c>
      <c r="V6350" s="51" t="s">
        <v>2142</v>
      </c>
      <c r="W6350" s="51" t="s">
        <v>10969</v>
      </c>
      <c r="X6350" s="51" t="s">
        <v>2359</v>
      </c>
    </row>
    <row r="6351" customFormat="false" ht="14.25" hidden="true" customHeight="false" outlineLevel="0" collapsed="false">
      <c r="A6351" s="49" t="s">
        <v>2349</v>
      </c>
      <c r="B6351" s="49" t="s">
        <v>2350</v>
      </c>
      <c r="C6351" s="49" t="s">
        <v>10970</v>
      </c>
      <c r="D6351" s="49" t="s">
        <v>2352</v>
      </c>
      <c r="E6351" s="49" t="str">
        <f aca="false">"5060458890191"</f>
        <v>5060458890191</v>
      </c>
      <c r="F6351" s="49" t="s">
        <v>3656</v>
      </c>
      <c r="G6351" s="49" t="n">
        <v>0</v>
      </c>
      <c r="H6351" s="0" t="n">
        <v>0</v>
      </c>
      <c r="M6351" s="51" t="s">
        <v>10939</v>
      </c>
      <c r="N6351" s="49" t="n">
        <v>0</v>
      </c>
      <c r="O6351" s="53" t="n">
        <v>45916.586712963</v>
      </c>
      <c r="P6351" s="53" t="n">
        <v>45918.7489467593</v>
      </c>
      <c r="Q6351" s="53" t="n">
        <v>45916.586712963</v>
      </c>
      <c r="R6351" s="0" t="n">
        <v>0</v>
      </c>
      <c r="S6351" s="51" t="s">
        <v>2401</v>
      </c>
      <c r="T6351" s="51" t="s">
        <v>2401</v>
      </c>
      <c r="U6351" s="0" t="str">
        <f aca="false">"5060458890191"</f>
        <v>5060458890191</v>
      </c>
      <c r="V6351" s="51" t="s">
        <v>2142</v>
      </c>
      <c r="W6351" s="51" t="s">
        <v>10971</v>
      </c>
      <c r="X6351" s="51" t="s">
        <v>2359</v>
      </c>
    </row>
    <row r="6352" customFormat="false" ht="14.25" hidden="true" customHeight="false" outlineLevel="0" collapsed="false">
      <c r="A6352" s="49" t="s">
        <v>2349</v>
      </c>
      <c r="B6352" s="49" t="s">
        <v>2350</v>
      </c>
      <c r="C6352" s="49" t="s">
        <v>10972</v>
      </c>
      <c r="D6352" s="49" t="s">
        <v>2352</v>
      </c>
      <c r="E6352" s="49" t="str">
        <f aca="false">"5060458890191"</f>
        <v>5060458890191</v>
      </c>
      <c r="F6352" s="49" t="s">
        <v>3656</v>
      </c>
      <c r="G6352" s="49" t="n">
        <v>0</v>
      </c>
      <c r="H6352" s="0" t="n">
        <v>0</v>
      </c>
      <c r="M6352" s="51" t="s">
        <v>10939</v>
      </c>
      <c r="N6352" s="49" t="n">
        <v>0</v>
      </c>
      <c r="O6352" s="53" t="n">
        <v>45916.5865162037</v>
      </c>
      <c r="P6352" s="53" t="n">
        <v>45929.8058912037</v>
      </c>
      <c r="Q6352" s="53" t="n">
        <v>45916.5865162037</v>
      </c>
      <c r="R6352" s="0" t="n">
        <v>0</v>
      </c>
      <c r="S6352" s="51" t="s">
        <v>2401</v>
      </c>
      <c r="T6352" s="51" t="s">
        <v>2401</v>
      </c>
      <c r="U6352" s="0" t="str">
        <f aca="false">"5060458890191"</f>
        <v>5060458890191</v>
      </c>
      <c r="V6352" s="51" t="s">
        <v>2142</v>
      </c>
      <c r="W6352" s="51" t="s">
        <v>4757</v>
      </c>
      <c r="X6352" s="51" t="s">
        <v>2359</v>
      </c>
    </row>
    <row r="6353" customFormat="false" ht="14.25" hidden="true" customHeight="false" outlineLevel="0" collapsed="false">
      <c r="A6353" s="49" t="s">
        <v>2349</v>
      </c>
      <c r="B6353" s="49" t="s">
        <v>2350</v>
      </c>
      <c r="C6353" s="49" t="s">
        <v>10973</v>
      </c>
      <c r="D6353" s="49" t="s">
        <v>2352</v>
      </c>
      <c r="E6353" s="49" t="s">
        <v>4351</v>
      </c>
      <c r="F6353" s="49" t="s">
        <v>4352</v>
      </c>
      <c r="G6353" s="49" t="n">
        <v>0</v>
      </c>
      <c r="H6353" s="0" t="n">
        <v>0</v>
      </c>
      <c r="M6353" s="51" t="s">
        <v>10974</v>
      </c>
      <c r="N6353" s="49" t="n">
        <v>0</v>
      </c>
      <c r="O6353" s="53" t="n">
        <v>45921.5835648148</v>
      </c>
      <c r="P6353" s="53" t="n">
        <v>45922.6505787037</v>
      </c>
      <c r="Q6353" s="53" t="n">
        <v>45921.5835648148</v>
      </c>
      <c r="R6353" s="0" t="n">
        <v>0</v>
      </c>
      <c r="S6353" s="51" t="s">
        <v>2356</v>
      </c>
      <c r="T6353" s="51" t="s">
        <v>2356</v>
      </c>
      <c r="U6353" s="51" t="s">
        <v>4351</v>
      </c>
      <c r="V6353" s="51" t="s">
        <v>2365</v>
      </c>
      <c r="W6353" s="51" t="s">
        <v>8298</v>
      </c>
      <c r="X6353" s="51" t="s">
        <v>2359</v>
      </c>
    </row>
    <row r="6354" customFormat="false" ht="14.25" hidden="true" customHeight="false" outlineLevel="0" collapsed="false">
      <c r="A6354" s="49" t="s">
        <v>2349</v>
      </c>
      <c r="B6354" s="49" t="s">
        <v>2350</v>
      </c>
      <c r="C6354" s="49" t="s">
        <v>10975</v>
      </c>
      <c r="D6354" s="49" t="s">
        <v>2352</v>
      </c>
      <c r="E6354" s="49" t="str">
        <f aca="false">"8908020441030"</f>
        <v>8908020441030</v>
      </c>
      <c r="F6354" s="49" t="s">
        <v>5384</v>
      </c>
      <c r="G6354" s="49" t="n">
        <v>0</v>
      </c>
      <c r="H6354" s="0" t="n">
        <v>0</v>
      </c>
      <c r="M6354" s="51" t="s">
        <v>10976</v>
      </c>
      <c r="N6354" s="49" t="n">
        <v>0</v>
      </c>
      <c r="O6354" s="53" t="n">
        <v>45927.4792939815</v>
      </c>
      <c r="P6354" s="53" t="n">
        <v>45937.364525463</v>
      </c>
      <c r="Q6354" s="53" t="n">
        <v>45927.4792939815</v>
      </c>
      <c r="R6354" s="0" t="n">
        <v>0</v>
      </c>
      <c r="S6354" s="51" t="s">
        <v>2356</v>
      </c>
      <c r="T6354" s="51" t="s">
        <v>2356</v>
      </c>
      <c r="U6354" s="0" t="str">
        <f aca="false">"8908020441030"</f>
        <v>8908020441030</v>
      </c>
      <c r="V6354" s="51" t="s">
        <v>5386</v>
      </c>
      <c r="W6354" s="51" t="s">
        <v>6879</v>
      </c>
      <c r="X6354" s="51" t="s">
        <v>2359</v>
      </c>
    </row>
    <row r="6355" customFormat="false" ht="14.25" hidden="true" customHeight="false" outlineLevel="0" collapsed="false">
      <c r="A6355" s="49" t="s">
        <v>2349</v>
      </c>
      <c r="B6355" s="49" t="s">
        <v>2350</v>
      </c>
      <c r="C6355" s="49" t="s">
        <v>10977</v>
      </c>
      <c r="D6355" s="49" t="s">
        <v>2352</v>
      </c>
      <c r="E6355" s="49" t="str">
        <f aca="false">"8908020441030"</f>
        <v>8908020441030</v>
      </c>
      <c r="F6355" s="49" t="s">
        <v>5384</v>
      </c>
      <c r="G6355" s="49" t="n">
        <v>0</v>
      </c>
      <c r="H6355" s="0" t="n">
        <v>0</v>
      </c>
      <c r="M6355" s="51" t="s">
        <v>10976</v>
      </c>
      <c r="N6355" s="49" t="n">
        <v>0</v>
      </c>
      <c r="O6355" s="53" t="n">
        <v>45927.4790393519</v>
      </c>
      <c r="P6355" s="53" t="n">
        <v>45967.4489699074</v>
      </c>
      <c r="Q6355" s="53" t="n">
        <v>45927.4790393519</v>
      </c>
      <c r="R6355" s="0" t="n">
        <v>0</v>
      </c>
      <c r="S6355" s="51" t="s">
        <v>2356</v>
      </c>
      <c r="T6355" s="51" t="s">
        <v>2356</v>
      </c>
      <c r="U6355" s="0" t="str">
        <f aca="false">"8908020441030"</f>
        <v>8908020441030</v>
      </c>
      <c r="V6355" s="51" t="s">
        <v>5386</v>
      </c>
      <c r="W6355" s="51" t="s">
        <v>3687</v>
      </c>
      <c r="X6355" s="51" t="s">
        <v>2359</v>
      </c>
    </row>
    <row r="6356" customFormat="false" ht="14.25" hidden="true" customHeight="false" outlineLevel="0" collapsed="false">
      <c r="A6356" s="49" t="s">
        <v>2349</v>
      </c>
      <c r="B6356" s="49" t="s">
        <v>2350</v>
      </c>
      <c r="C6356" s="49" t="s">
        <v>10978</v>
      </c>
      <c r="D6356" s="49" t="s">
        <v>2352</v>
      </c>
      <c r="E6356" s="49" t="str">
        <f aca="false">"8908020441030"</f>
        <v>8908020441030</v>
      </c>
      <c r="F6356" s="49" t="s">
        <v>5384</v>
      </c>
      <c r="G6356" s="49" t="n">
        <v>0</v>
      </c>
      <c r="H6356" s="0" t="n">
        <v>0</v>
      </c>
      <c r="M6356" s="51" t="s">
        <v>10976</v>
      </c>
      <c r="N6356" s="49" t="n">
        <v>0</v>
      </c>
      <c r="O6356" s="53" t="n">
        <v>45927.4787847222</v>
      </c>
      <c r="P6356" s="53" t="n">
        <v>45938.5644791667</v>
      </c>
      <c r="Q6356" s="53" t="n">
        <v>45927.4787847222</v>
      </c>
      <c r="R6356" s="0" t="n">
        <v>0</v>
      </c>
      <c r="S6356" s="51" t="s">
        <v>2356</v>
      </c>
      <c r="T6356" s="51" t="s">
        <v>2356</v>
      </c>
      <c r="U6356" s="0" t="str">
        <f aca="false">"8908020441030"</f>
        <v>8908020441030</v>
      </c>
      <c r="V6356" s="51" t="s">
        <v>5386</v>
      </c>
      <c r="W6356" s="51" t="s">
        <v>4132</v>
      </c>
      <c r="X6356" s="51" t="s">
        <v>2359</v>
      </c>
    </row>
    <row r="6357" customFormat="false" ht="14.25" hidden="true" customHeight="false" outlineLevel="0" collapsed="false">
      <c r="A6357" s="49" t="s">
        <v>2349</v>
      </c>
      <c r="B6357" s="49" t="s">
        <v>2350</v>
      </c>
      <c r="C6357" s="49" t="s">
        <v>10979</v>
      </c>
      <c r="D6357" s="49" t="s">
        <v>2352</v>
      </c>
      <c r="E6357" s="49" t="str">
        <f aca="false">"8908020441030"</f>
        <v>8908020441030</v>
      </c>
      <c r="F6357" s="49" t="s">
        <v>5384</v>
      </c>
      <c r="G6357" s="49" t="n">
        <v>0</v>
      </c>
      <c r="H6357" s="0" t="n">
        <v>0</v>
      </c>
      <c r="M6357" s="51" t="s">
        <v>10976</v>
      </c>
      <c r="N6357" s="49" t="n">
        <v>0</v>
      </c>
      <c r="O6357" s="53" t="n">
        <v>45927.4785416667</v>
      </c>
      <c r="P6357" s="53" t="n">
        <v>45938.5645949074</v>
      </c>
      <c r="Q6357" s="53" t="n">
        <v>45927.4785416667</v>
      </c>
      <c r="R6357" s="0" t="n">
        <v>0</v>
      </c>
      <c r="S6357" s="51" t="s">
        <v>2356</v>
      </c>
      <c r="T6357" s="51" t="s">
        <v>2356</v>
      </c>
      <c r="U6357" s="0" t="str">
        <f aca="false">"8908020441030"</f>
        <v>8908020441030</v>
      </c>
      <c r="V6357" s="51" t="s">
        <v>5386</v>
      </c>
      <c r="W6357" s="51" t="s">
        <v>5151</v>
      </c>
      <c r="X6357" s="51" t="s">
        <v>2359</v>
      </c>
    </row>
    <row r="6358" customFormat="false" ht="14.25" hidden="true" customHeight="false" outlineLevel="0" collapsed="false">
      <c r="A6358" s="49" t="s">
        <v>2349</v>
      </c>
      <c r="B6358" s="49" t="s">
        <v>2350</v>
      </c>
      <c r="C6358" s="49" t="s">
        <v>10980</v>
      </c>
      <c r="D6358" s="49" t="s">
        <v>2352</v>
      </c>
      <c r="E6358" s="49" t="str">
        <f aca="false">"8908020441030"</f>
        <v>8908020441030</v>
      </c>
      <c r="F6358" s="49" t="s">
        <v>5384</v>
      </c>
      <c r="G6358" s="49" t="n">
        <v>0</v>
      </c>
      <c r="H6358" s="0" t="n">
        <v>0</v>
      </c>
      <c r="M6358" s="51" t="s">
        <v>10976</v>
      </c>
      <c r="N6358" s="49" t="n">
        <v>0</v>
      </c>
      <c r="O6358" s="53" t="n">
        <v>45927.4782291667</v>
      </c>
      <c r="P6358" s="53" t="n">
        <v>45948.3477083333</v>
      </c>
      <c r="Q6358" s="53" t="n">
        <v>45927.4782291667</v>
      </c>
      <c r="R6358" s="0" t="n">
        <v>0</v>
      </c>
      <c r="S6358" s="51" t="s">
        <v>2356</v>
      </c>
      <c r="T6358" s="51" t="s">
        <v>2356</v>
      </c>
      <c r="U6358" s="0" t="str">
        <f aca="false">"8908020441030"</f>
        <v>8908020441030</v>
      </c>
      <c r="V6358" s="51" t="s">
        <v>5386</v>
      </c>
      <c r="W6358" s="51" t="s">
        <v>5147</v>
      </c>
      <c r="X6358" s="51" t="s">
        <v>2359</v>
      </c>
    </row>
    <row r="6359" customFormat="false" ht="14.25" hidden="true" customHeight="false" outlineLevel="0" collapsed="false">
      <c r="A6359" s="49" t="s">
        <v>2349</v>
      </c>
      <c r="B6359" s="49" t="s">
        <v>2350</v>
      </c>
      <c r="C6359" s="49" t="s">
        <v>10981</v>
      </c>
      <c r="D6359" s="49" t="s">
        <v>2352</v>
      </c>
      <c r="E6359" s="49" t="str">
        <f aca="false">"8908020441030"</f>
        <v>8908020441030</v>
      </c>
      <c r="F6359" s="49" t="s">
        <v>5384</v>
      </c>
      <c r="G6359" s="49" t="n">
        <v>0</v>
      </c>
      <c r="H6359" s="0" t="n">
        <v>0</v>
      </c>
      <c r="M6359" s="51" t="s">
        <v>10976</v>
      </c>
      <c r="N6359" s="49" t="n">
        <v>0</v>
      </c>
      <c r="O6359" s="53" t="n">
        <v>45927.4777083333</v>
      </c>
      <c r="P6359" s="53" t="n">
        <v>45967.4491087963</v>
      </c>
      <c r="Q6359" s="53" t="n">
        <v>45927.4777083333</v>
      </c>
      <c r="R6359" s="0" t="n">
        <v>0</v>
      </c>
      <c r="S6359" s="51" t="s">
        <v>2356</v>
      </c>
      <c r="T6359" s="51" t="s">
        <v>2356</v>
      </c>
      <c r="U6359" s="0" t="str">
        <f aca="false">"8908020441030"</f>
        <v>8908020441030</v>
      </c>
      <c r="V6359" s="51" t="s">
        <v>5386</v>
      </c>
      <c r="W6359" s="51" t="s">
        <v>3683</v>
      </c>
      <c r="X6359" s="51" t="s">
        <v>2359</v>
      </c>
    </row>
    <row r="6360" customFormat="false" ht="14.25" hidden="true" customHeight="false" outlineLevel="0" collapsed="false">
      <c r="A6360" s="49" t="s">
        <v>2349</v>
      </c>
      <c r="B6360" s="49" t="s">
        <v>2350</v>
      </c>
      <c r="C6360" s="49" t="s">
        <v>10982</v>
      </c>
      <c r="D6360" s="49" t="s">
        <v>2352</v>
      </c>
      <c r="E6360" s="49" t="str">
        <f aca="false">"8908020441030"</f>
        <v>8908020441030</v>
      </c>
      <c r="F6360" s="49" t="s">
        <v>5384</v>
      </c>
      <c r="G6360" s="49" t="n">
        <v>0</v>
      </c>
      <c r="H6360" s="0" t="n">
        <v>0</v>
      </c>
      <c r="M6360" s="51" t="s">
        <v>10976</v>
      </c>
      <c r="N6360" s="49" t="n">
        <v>0</v>
      </c>
      <c r="O6360" s="53" t="n">
        <v>45927.4774421296</v>
      </c>
      <c r="P6360" s="53" t="n">
        <v>45967.449224537</v>
      </c>
      <c r="Q6360" s="53" t="n">
        <v>45927.4774421296</v>
      </c>
      <c r="R6360" s="0" t="n">
        <v>0</v>
      </c>
      <c r="S6360" s="51" t="s">
        <v>2356</v>
      </c>
      <c r="T6360" s="51" t="s">
        <v>2356</v>
      </c>
      <c r="U6360" s="0" t="str">
        <f aca="false">"8908020441030"</f>
        <v>8908020441030</v>
      </c>
      <c r="V6360" s="51" t="s">
        <v>5386</v>
      </c>
      <c r="W6360" s="51" t="s">
        <v>4607</v>
      </c>
      <c r="X6360" s="51" t="s">
        <v>2359</v>
      </c>
    </row>
    <row r="6361" customFormat="false" ht="14.25" hidden="true" customHeight="false" outlineLevel="0" collapsed="false">
      <c r="A6361" s="49" t="s">
        <v>2349</v>
      </c>
      <c r="B6361" s="49" t="s">
        <v>2350</v>
      </c>
      <c r="C6361" s="49" t="s">
        <v>10983</v>
      </c>
      <c r="D6361" s="49" t="s">
        <v>2352</v>
      </c>
      <c r="E6361" s="49" t="str">
        <f aca="false">"8908020441030"</f>
        <v>8908020441030</v>
      </c>
      <c r="F6361" s="49" t="s">
        <v>5384</v>
      </c>
      <c r="G6361" s="49" t="n">
        <v>0</v>
      </c>
      <c r="H6361" s="0" t="n">
        <v>0</v>
      </c>
      <c r="M6361" s="51" t="s">
        <v>10976</v>
      </c>
      <c r="N6361" s="49" t="n">
        <v>0</v>
      </c>
      <c r="O6361" s="53" t="n">
        <v>45927.4771180556</v>
      </c>
      <c r="P6361" s="53" t="n">
        <v>45967.4493287037</v>
      </c>
      <c r="Q6361" s="53" t="n">
        <v>45927.4771180556</v>
      </c>
      <c r="R6361" s="0" t="n">
        <v>0</v>
      </c>
      <c r="S6361" s="51" t="s">
        <v>2356</v>
      </c>
      <c r="T6361" s="51" t="s">
        <v>2356</v>
      </c>
      <c r="U6361" s="0" t="str">
        <f aca="false">"8908020441030"</f>
        <v>8908020441030</v>
      </c>
      <c r="V6361" s="51" t="s">
        <v>5386</v>
      </c>
      <c r="W6361" s="51" t="s">
        <v>4594</v>
      </c>
      <c r="X6361" s="51" t="s">
        <v>2359</v>
      </c>
    </row>
    <row r="6362" customFormat="false" ht="14.25" hidden="true" customHeight="false" outlineLevel="0" collapsed="false">
      <c r="A6362" s="49" t="s">
        <v>2349</v>
      </c>
      <c r="B6362" s="49" t="s">
        <v>2350</v>
      </c>
      <c r="C6362" s="49" t="s">
        <v>10984</v>
      </c>
      <c r="D6362" s="49" t="s">
        <v>2352</v>
      </c>
      <c r="E6362" s="49" t="str">
        <f aca="false">"8908020441030"</f>
        <v>8908020441030</v>
      </c>
      <c r="F6362" s="49" t="s">
        <v>5384</v>
      </c>
      <c r="G6362" s="49" t="n">
        <v>0</v>
      </c>
      <c r="H6362" s="0" t="n">
        <v>0</v>
      </c>
      <c r="M6362" s="51" t="s">
        <v>10976</v>
      </c>
      <c r="N6362" s="49" t="n">
        <v>0</v>
      </c>
      <c r="O6362" s="53" t="n">
        <v>45927.4768055556</v>
      </c>
      <c r="P6362" s="53" t="n">
        <v>45967.4488657407</v>
      </c>
      <c r="Q6362" s="53" t="n">
        <v>45927.4768055556</v>
      </c>
      <c r="R6362" s="0" t="n">
        <v>0</v>
      </c>
      <c r="S6362" s="51" t="s">
        <v>2356</v>
      </c>
      <c r="T6362" s="51" t="s">
        <v>2356</v>
      </c>
      <c r="U6362" s="0" t="str">
        <f aca="false">"8908020441030"</f>
        <v>8908020441030</v>
      </c>
      <c r="V6362" s="51" t="s">
        <v>5386</v>
      </c>
      <c r="W6362" s="51" t="s">
        <v>4588</v>
      </c>
      <c r="X6362" s="51" t="s">
        <v>2359</v>
      </c>
    </row>
    <row r="6363" customFormat="false" ht="14.25" hidden="true" customHeight="false" outlineLevel="0" collapsed="false">
      <c r="A6363" s="49" t="s">
        <v>2349</v>
      </c>
      <c r="B6363" s="49" t="s">
        <v>2350</v>
      </c>
      <c r="C6363" s="49" t="s">
        <v>10985</v>
      </c>
      <c r="D6363" s="49" t="s">
        <v>2352</v>
      </c>
      <c r="E6363" s="49" t="str">
        <f aca="false">"8908020441030"</f>
        <v>8908020441030</v>
      </c>
      <c r="F6363" s="49" t="s">
        <v>5384</v>
      </c>
      <c r="G6363" s="49" t="n">
        <v>0</v>
      </c>
      <c r="H6363" s="0" t="n">
        <v>0</v>
      </c>
      <c r="M6363" s="51" t="s">
        <v>10976</v>
      </c>
      <c r="N6363" s="49" t="n">
        <v>0</v>
      </c>
      <c r="O6363" s="53" t="n">
        <v>45927.4763310185</v>
      </c>
      <c r="P6363" s="53" t="n">
        <v>45967.447974537</v>
      </c>
      <c r="Q6363" s="53" t="n">
        <v>45927.4763310185</v>
      </c>
      <c r="R6363" s="0" t="n">
        <v>0</v>
      </c>
      <c r="S6363" s="51" t="s">
        <v>2356</v>
      </c>
      <c r="T6363" s="51" t="s">
        <v>2356</v>
      </c>
      <c r="U6363" s="0" t="str">
        <f aca="false">"8908020441030"</f>
        <v>8908020441030</v>
      </c>
      <c r="V6363" s="51" t="s">
        <v>5386</v>
      </c>
      <c r="W6363" s="51" t="s">
        <v>4128</v>
      </c>
      <c r="X6363" s="51" t="s">
        <v>2359</v>
      </c>
    </row>
    <row r="6364" customFormat="false" ht="14.25" hidden="true" customHeight="false" outlineLevel="0" collapsed="false">
      <c r="A6364" s="49" t="s">
        <v>2349</v>
      </c>
      <c r="B6364" s="49" t="s">
        <v>2350</v>
      </c>
      <c r="C6364" s="49" t="s">
        <v>10986</v>
      </c>
      <c r="D6364" s="49" t="s">
        <v>2352</v>
      </c>
      <c r="E6364" s="49" t="str">
        <f aca="false">"8908020441030"</f>
        <v>8908020441030</v>
      </c>
      <c r="F6364" s="49" t="s">
        <v>5384</v>
      </c>
      <c r="G6364" s="49" t="n">
        <v>0</v>
      </c>
      <c r="H6364" s="0" t="n">
        <v>0</v>
      </c>
      <c r="M6364" s="51" t="s">
        <v>10976</v>
      </c>
      <c r="N6364" s="49" t="n">
        <v>0</v>
      </c>
      <c r="O6364" s="53" t="n">
        <v>45927.4760416667</v>
      </c>
      <c r="P6364" s="53" t="n">
        <v>45967.4483333333</v>
      </c>
      <c r="Q6364" s="53" t="n">
        <v>45927.4760416667</v>
      </c>
      <c r="R6364" s="0" t="n">
        <v>0</v>
      </c>
      <c r="S6364" s="51" t="s">
        <v>2356</v>
      </c>
      <c r="T6364" s="51" t="s">
        <v>2356</v>
      </c>
      <c r="U6364" s="0" t="str">
        <f aca="false">"8908020441030"</f>
        <v>8908020441030</v>
      </c>
      <c r="V6364" s="51" t="s">
        <v>5386</v>
      </c>
      <c r="W6364" s="51" t="s">
        <v>3764</v>
      </c>
      <c r="X6364" s="51" t="s">
        <v>2359</v>
      </c>
    </row>
    <row r="6365" customFormat="false" ht="14.25" hidden="true" customHeight="false" outlineLevel="0" collapsed="false">
      <c r="A6365" s="49" t="s">
        <v>2349</v>
      </c>
      <c r="B6365" s="49" t="s">
        <v>2350</v>
      </c>
      <c r="C6365" s="49" t="s">
        <v>10987</v>
      </c>
      <c r="D6365" s="49" t="s">
        <v>2352</v>
      </c>
      <c r="E6365" s="49" t="str">
        <f aca="false">"8908020441030"</f>
        <v>8908020441030</v>
      </c>
      <c r="F6365" s="49" t="s">
        <v>5384</v>
      </c>
      <c r="G6365" s="49" t="n">
        <v>0</v>
      </c>
      <c r="H6365" s="0" t="n">
        <v>0</v>
      </c>
      <c r="M6365" s="51" t="s">
        <v>10976</v>
      </c>
      <c r="N6365" s="49" t="n">
        <v>0</v>
      </c>
      <c r="O6365" s="53" t="n">
        <v>45927.4756944444</v>
      </c>
      <c r="P6365" s="53" t="n">
        <v>45967.4474652778</v>
      </c>
      <c r="Q6365" s="53" t="n">
        <v>45927.4756944444</v>
      </c>
      <c r="R6365" s="0" t="n">
        <v>0</v>
      </c>
      <c r="S6365" s="51" t="s">
        <v>2356</v>
      </c>
      <c r="T6365" s="51" t="s">
        <v>2356</v>
      </c>
      <c r="U6365" s="0" t="str">
        <f aca="false">"8908020441030"</f>
        <v>8908020441030</v>
      </c>
      <c r="V6365" s="51" t="s">
        <v>5386</v>
      </c>
      <c r="W6365" s="51" t="s">
        <v>7428</v>
      </c>
      <c r="X6365" s="51" t="s">
        <v>2359</v>
      </c>
    </row>
    <row r="6366" customFormat="false" ht="14.25" hidden="true" customHeight="false" outlineLevel="0" collapsed="false">
      <c r="A6366" s="49" t="s">
        <v>2349</v>
      </c>
      <c r="B6366" s="49" t="s">
        <v>2350</v>
      </c>
      <c r="C6366" s="49" t="s">
        <v>10988</v>
      </c>
      <c r="D6366" s="49" t="s">
        <v>2352</v>
      </c>
      <c r="E6366" s="49" t="str">
        <f aca="false">"8908020441030"</f>
        <v>8908020441030</v>
      </c>
      <c r="F6366" s="49" t="s">
        <v>5384</v>
      </c>
      <c r="G6366" s="49" t="n">
        <v>0</v>
      </c>
      <c r="H6366" s="0" t="n">
        <v>0</v>
      </c>
      <c r="M6366" s="51" t="s">
        <v>10976</v>
      </c>
      <c r="N6366" s="49" t="n">
        <v>0</v>
      </c>
      <c r="O6366" s="53" t="n">
        <v>45927.4752546296</v>
      </c>
      <c r="P6366" s="53" t="n">
        <v>45949.3837268519</v>
      </c>
      <c r="Q6366" s="53" t="n">
        <v>45927.4752546296</v>
      </c>
      <c r="R6366" s="0" t="n">
        <v>0</v>
      </c>
      <c r="S6366" s="51" t="s">
        <v>2356</v>
      </c>
      <c r="T6366" s="51" t="s">
        <v>2356</v>
      </c>
      <c r="U6366" s="0" t="str">
        <f aca="false">"8908020441030"</f>
        <v>8908020441030</v>
      </c>
      <c r="V6366" s="51" t="s">
        <v>5386</v>
      </c>
      <c r="W6366" s="51" t="s">
        <v>5159</v>
      </c>
      <c r="X6366" s="51" t="s">
        <v>2359</v>
      </c>
    </row>
    <row r="6367" customFormat="false" ht="14.25" hidden="true" customHeight="false" outlineLevel="0" collapsed="false">
      <c r="A6367" s="49" t="s">
        <v>2349</v>
      </c>
      <c r="B6367" s="49" t="s">
        <v>2350</v>
      </c>
      <c r="C6367" s="49" t="s">
        <v>10989</v>
      </c>
      <c r="D6367" s="49" t="s">
        <v>2352</v>
      </c>
      <c r="E6367" s="49" t="str">
        <f aca="false">"8908020441030"</f>
        <v>8908020441030</v>
      </c>
      <c r="F6367" s="49" t="s">
        <v>5384</v>
      </c>
      <c r="G6367" s="49" t="n">
        <v>0</v>
      </c>
      <c r="H6367" s="0" t="n">
        <v>0</v>
      </c>
      <c r="M6367" s="51" t="s">
        <v>10976</v>
      </c>
      <c r="N6367" s="49" t="n">
        <v>0</v>
      </c>
      <c r="O6367" s="53" t="n">
        <v>45927.4918865741</v>
      </c>
      <c r="P6367" s="53" t="n">
        <v>45967.4494907407</v>
      </c>
      <c r="Q6367" s="53" t="n">
        <v>45927.4918865741</v>
      </c>
      <c r="R6367" s="0" t="n">
        <v>0</v>
      </c>
      <c r="S6367" s="51" t="s">
        <v>2356</v>
      </c>
      <c r="T6367" s="51" t="s">
        <v>2356</v>
      </c>
      <c r="U6367" s="0" t="str">
        <f aca="false">"8908020441030"</f>
        <v>8908020441030</v>
      </c>
      <c r="V6367" s="51" t="s">
        <v>5386</v>
      </c>
      <c r="W6367" s="51" t="s">
        <v>5479</v>
      </c>
      <c r="X6367" s="51" t="s">
        <v>2359</v>
      </c>
    </row>
    <row r="6368" customFormat="false" ht="14.25" hidden="true" customHeight="false" outlineLevel="0" collapsed="false">
      <c r="A6368" s="49" t="s">
        <v>2349</v>
      </c>
      <c r="B6368" s="49" t="s">
        <v>2350</v>
      </c>
      <c r="C6368" s="49" t="s">
        <v>10990</v>
      </c>
      <c r="D6368" s="49" t="s">
        <v>2352</v>
      </c>
      <c r="E6368" s="49" t="str">
        <f aca="false">"8908020441030"</f>
        <v>8908020441030</v>
      </c>
      <c r="F6368" s="49" t="s">
        <v>5384</v>
      </c>
      <c r="G6368" s="49" t="n">
        <v>0</v>
      </c>
      <c r="H6368" s="0" t="n">
        <v>0</v>
      </c>
      <c r="M6368" s="51" t="s">
        <v>10976</v>
      </c>
      <c r="N6368" s="49" t="n">
        <v>0</v>
      </c>
      <c r="O6368" s="53" t="n">
        <v>45927.4904861111</v>
      </c>
      <c r="P6368" s="53" t="n">
        <v>45967.4495949074</v>
      </c>
      <c r="Q6368" s="53" t="n">
        <v>45927.4904861111</v>
      </c>
      <c r="R6368" s="0" t="n">
        <v>0</v>
      </c>
      <c r="S6368" s="51" t="s">
        <v>2356</v>
      </c>
      <c r="T6368" s="51" t="s">
        <v>2356</v>
      </c>
      <c r="U6368" s="0" t="str">
        <f aca="false">"8908020441030"</f>
        <v>8908020441030</v>
      </c>
      <c r="V6368" s="51" t="s">
        <v>5386</v>
      </c>
      <c r="W6368" s="51" t="s">
        <v>3646</v>
      </c>
      <c r="X6368" s="51" t="s">
        <v>2359</v>
      </c>
    </row>
    <row r="6369" customFormat="false" ht="14.25" hidden="true" customHeight="false" outlineLevel="0" collapsed="false">
      <c r="A6369" s="49" t="s">
        <v>2349</v>
      </c>
      <c r="B6369" s="49" t="s">
        <v>2350</v>
      </c>
      <c r="C6369" s="49" t="s">
        <v>10991</v>
      </c>
      <c r="D6369" s="49" t="s">
        <v>2352</v>
      </c>
      <c r="E6369" s="49" t="str">
        <f aca="false">"8908020441030"</f>
        <v>8908020441030</v>
      </c>
      <c r="F6369" s="49" t="s">
        <v>5384</v>
      </c>
      <c r="G6369" s="49" t="n">
        <v>0</v>
      </c>
      <c r="H6369" s="0" t="n">
        <v>0</v>
      </c>
      <c r="M6369" s="51" t="s">
        <v>10976</v>
      </c>
      <c r="N6369" s="49" t="n">
        <v>0</v>
      </c>
      <c r="O6369" s="53" t="n">
        <v>45927.4902777778</v>
      </c>
      <c r="P6369" s="53" t="n">
        <v>45963.6697453704</v>
      </c>
      <c r="Q6369" s="53" t="n">
        <v>45927.4902777778</v>
      </c>
      <c r="R6369" s="0" t="n">
        <v>0</v>
      </c>
      <c r="S6369" s="51" t="s">
        <v>2356</v>
      </c>
      <c r="T6369" s="51" t="s">
        <v>2356</v>
      </c>
      <c r="U6369" s="0" t="str">
        <f aca="false">"8908020441030"</f>
        <v>8908020441030</v>
      </c>
      <c r="V6369" s="51" t="s">
        <v>5386</v>
      </c>
      <c r="W6369" s="51" t="s">
        <v>5315</v>
      </c>
      <c r="X6369" s="51" t="s">
        <v>2359</v>
      </c>
    </row>
    <row r="6370" customFormat="false" ht="14.25" hidden="true" customHeight="false" outlineLevel="0" collapsed="false">
      <c r="A6370" s="49" t="s">
        <v>2349</v>
      </c>
      <c r="B6370" s="49" t="s">
        <v>2350</v>
      </c>
      <c r="C6370" s="49" t="s">
        <v>10992</v>
      </c>
      <c r="D6370" s="49" t="s">
        <v>2352</v>
      </c>
      <c r="E6370" s="49" t="str">
        <f aca="false">"8908020441030"</f>
        <v>8908020441030</v>
      </c>
      <c r="F6370" s="49" t="s">
        <v>5384</v>
      </c>
      <c r="G6370" s="49" t="n">
        <v>0</v>
      </c>
      <c r="H6370" s="0" t="n">
        <v>0</v>
      </c>
      <c r="M6370" s="51" t="s">
        <v>10976</v>
      </c>
      <c r="N6370" s="49" t="n">
        <v>0</v>
      </c>
      <c r="O6370" s="53" t="n">
        <v>45927.4898148148</v>
      </c>
      <c r="P6370" s="53" t="n">
        <v>45963.6701041667</v>
      </c>
      <c r="Q6370" s="53" t="n">
        <v>45927.4898148148</v>
      </c>
      <c r="R6370" s="0" t="n">
        <v>0</v>
      </c>
      <c r="S6370" s="51" t="s">
        <v>2356</v>
      </c>
      <c r="T6370" s="51" t="s">
        <v>2356</v>
      </c>
      <c r="U6370" s="0" t="str">
        <f aca="false">"8908020441030"</f>
        <v>8908020441030</v>
      </c>
      <c r="V6370" s="51" t="s">
        <v>5386</v>
      </c>
      <c r="W6370" s="51" t="s">
        <v>4604</v>
      </c>
      <c r="X6370" s="51" t="s">
        <v>2359</v>
      </c>
    </row>
    <row r="6371" customFormat="false" ht="14.25" hidden="true" customHeight="false" outlineLevel="0" collapsed="false">
      <c r="A6371" s="49" t="s">
        <v>2349</v>
      </c>
      <c r="B6371" s="49" t="s">
        <v>2350</v>
      </c>
      <c r="C6371" s="49" t="s">
        <v>10993</v>
      </c>
      <c r="D6371" s="49" t="s">
        <v>2352</v>
      </c>
      <c r="E6371" s="49" t="str">
        <f aca="false">"8908020441030"</f>
        <v>8908020441030</v>
      </c>
      <c r="F6371" s="49" t="s">
        <v>5384</v>
      </c>
      <c r="G6371" s="49" t="n">
        <v>0</v>
      </c>
      <c r="H6371" s="0" t="n">
        <v>0</v>
      </c>
      <c r="M6371" s="51" t="s">
        <v>10976</v>
      </c>
      <c r="N6371" s="49" t="n">
        <v>0</v>
      </c>
      <c r="O6371" s="53" t="n">
        <v>45927.4891898148</v>
      </c>
      <c r="P6371" s="53" t="n">
        <v>45932.6373148148</v>
      </c>
      <c r="Q6371" s="53" t="n">
        <v>45927.4891898148</v>
      </c>
      <c r="R6371" s="0" t="n">
        <v>0</v>
      </c>
      <c r="S6371" s="51" t="s">
        <v>2356</v>
      </c>
      <c r="T6371" s="51" t="s">
        <v>2356</v>
      </c>
      <c r="U6371" s="0" t="str">
        <f aca="false">"8908020441030"</f>
        <v>8908020441030</v>
      </c>
      <c r="V6371" s="51" t="s">
        <v>5386</v>
      </c>
      <c r="W6371" s="51" t="s">
        <v>5397</v>
      </c>
      <c r="X6371" s="51" t="s">
        <v>2359</v>
      </c>
    </row>
    <row r="6372" customFormat="false" ht="14.25" hidden="true" customHeight="false" outlineLevel="0" collapsed="false">
      <c r="A6372" s="49" t="s">
        <v>2349</v>
      </c>
      <c r="B6372" s="49" t="s">
        <v>2350</v>
      </c>
      <c r="C6372" s="49" t="s">
        <v>10994</v>
      </c>
      <c r="D6372" s="49" t="s">
        <v>2352</v>
      </c>
      <c r="E6372" s="49" t="str">
        <f aca="false">"8908020441030"</f>
        <v>8908020441030</v>
      </c>
      <c r="F6372" s="49" t="s">
        <v>5384</v>
      </c>
      <c r="G6372" s="49" t="n">
        <v>0</v>
      </c>
      <c r="H6372" s="0" t="n">
        <v>0</v>
      </c>
      <c r="M6372" s="51" t="s">
        <v>10976</v>
      </c>
      <c r="N6372" s="49" t="n">
        <v>0</v>
      </c>
      <c r="O6372" s="53" t="n">
        <v>45927.4889467593</v>
      </c>
      <c r="P6372" s="53" t="n">
        <v>45932.6377546296</v>
      </c>
      <c r="Q6372" s="53" t="n">
        <v>45927.4889467593</v>
      </c>
      <c r="R6372" s="0" t="n">
        <v>0</v>
      </c>
      <c r="S6372" s="51" t="s">
        <v>2356</v>
      </c>
      <c r="T6372" s="51" t="s">
        <v>2356</v>
      </c>
      <c r="U6372" s="0" t="str">
        <f aca="false">"8908020441030"</f>
        <v>8908020441030</v>
      </c>
      <c r="V6372" s="51" t="s">
        <v>5386</v>
      </c>
      <c r="W6372" s="51" t="s">
        <v>3764</v>
      </c>
      <c r="X6372" s="51" t="s">
        <v>2359</v>
      </c>
    </row>
    <row r="6373" customFormat="false" ht="14.25" hidden="true" customHeight="false" outlineLevel="0" collapsed="false">
      <c r="A6373" s="49" t="s">
        <v>2349</v>
      </c>
      <c r="B6373" s="49" t="s">
        <v>2350</v>
      </c>
      <c r="C6373" s="49" t="s">
        <v>10995</v>
      </c>
      <c r="D6373" s="49" t="s">
        <v>2352</v>
      </c>
      <c r="E6373" s="49" t="str">
        <f aca="false">"8908020441030"</f>
        <v>8908020441030</v>
      </c>
      <c r="F6373" s="49" t="s">
        <v>5384</v>
      </c>
      <c r="G6373" s="49" t="n">
        <v>0</v>
      </c>
      <c r="H6373" s="0" t="n">
        <v>0</v>
      </c>
      <c r="M6373" s="51" t="s">
        <v>10976</v>
      </c>
      <c r="N6373" s="49" t="n">
        <v>0</v>
      </c>
      <c r="O6373" s="53" t="n">
        <v>45927.4886805556</v>
      </c>
      <c r="P6373" s="53" t="n">
        <v>45932.638900463</v>
      </c>
      <c r="Q6373" s="53" t="n">
        <v>45927.4886805556</v>
      </c>
      <c r="R6373" s="0" t="n">
        <v>0</v>
      </c>
      <c r="S6373" s="51" t="s">
        <v>2356</v>
      </c>
      <c r="T6373" s="51" t="s">
        <v>2356</v>
      </c>
      <c r="U6373" s="0" t="str">
        <f aca="false">"8908020441030"</f>
        <v>8908020441030</v>
      </c>
      <c r="V6373" s="51" t="s">
        <v>5386</v>
      </c>
      <c r="W6373" s="51" t="s">
        <v>4592</v>
      </c>
      <c r="X6373" s="51" t="s">
        <v>2359</v>
      </c>
    </row>
    <row r="6374" customFormat="false" ht="14.25" hidden="true" customHeight="false" outlineLevel="0" collapsed="false">
      <c r="A6374" s="49" t="s">
        <v>2349</v>
      </c>
      <c r="B6374" s="49" t="s">
        <v>2350</v>
      </c>
      <c r="C6374" s="49" t="s">
        <v>10996</v>
      </c>
      <c r="D6374" s="49" t="s">
        <v>2352</v>
      </c>
      <c r="E6374" s="49" t="str">
        <f aca="false">"8908020441030"</f>
        <v>8908020441030</v>
      </c>
      <c r="F6374" s="49" t="s">
        <v>5384</v>
      </c>
      <c r="G6374" s="49" t="n">
        <v>0</v>
      </c>
      <c r="H6374" s="0" t="n">
        <v>0</v>
      </c>
      <c r="M6374" s="51" t="s">
        <v>10976</v>
      </c>
      <c r="N6374" s="49" t="n">
        <v>0</v>
      </c>
      <c r="O6374" s="53" t="n">
        <v>45927.4882291667</v>
      </c>
      <c r="P6374" s="53" t="n">
        <v>45932.6387847222</v>
      </c>
      <c r="Q6374" s="53" t="n">
        <v>45927.4882291667</v>
      </c>
      <c r="R6374" s="0" t="n">
        <v>0</v>
      </c>
      <c r="S6374" s="51" t="s">
        <v>2356</v>
      </c>
      <c r="T6374" s="51" t="s">
        <v>2356</v>
      </c>
      <c r="U6374" s="0" t="str">
        <f aca="false">"8908020441030"</f>
        <v>8908020441030</v>
      </c>
      <c r="V6374" s="51" t="s">
        <v>5386</v>
      </c>
      <c r="W6374" s="51" t="s">
        <v>4592</v>
      </c>
      <c r="X6374" s="51" t="s">
        <v>2359</v>
      </c>
    </row>
    <row r="6375" customFormat="false" ht="14.25" hidden="true" customHeight="false" outlineLevel="0" collapsed="false">
      <c r="A6375" s="49" t="s">
        <v>2349</v>
      </c>
      <c r="B6375" s="49" t="s">
        <v>2350</v>
      </c>
      <c r="C6375" s="49" t="s">
        <v>10997</v>
      </c>
      <c r="D6375" s="49" t="s">
        <v>2352</v>
      </c>
      <c r="E6375" s="49" t="str">
        <f aca="false">"8908020441030"</f>
        <v>8908020441030</v>
      </c>
      <c r="F6375" s="49" t="s">
        <v>5384</v>
      </c>
      <c r="G6375" s="49" t="n">
        <v>0</v>
      </c>
      <c r="H6375" s="0" t="n">
        <v>0</v>
      </c>
      <c r="M6375" s="51" t="s">
        <v>10976</v>
      </c>
      <c r="N6375" s="49" t="n">
        <v>0</v>
      </c>
      <c r="O6375" s="53" t="n">
        <v>45927.4879513889</v>
      </c>
      <c r="P6375" s="53" t="n">
        <v>45932.6378587963</v>
      </c>
      <c r="Q6375" s="53" t="n">
        <v>45927.4879513889</v>
      </c>
      <c r="R6375" s="0" t="n">
        <v>0</v>
      </c>
      <c r="S6375" s="51" t="s">
        <v>2356</v>
      </c>
      <c r="T6375" s="51" t="s">
        <v>2356</v>
      </c>
      <c r="U6375" s="0" t="str">
        <f aca="false">"8908020441030"</f>
        <v>8908020441030</v>
      </c>
      <c r="V6375" s="51" t="s">
        <v>5386</v>
      </c>
      <c r="W6375" s="51" t="s">
        <v>4122</v>
      </c>
      <c r="X6375" s="51" t="s">
        <v>2359</v>
      </c>
    </row>
    <row r="6376" customFormat="false" ht="14.25" hidden="true" customHeight="false" outlineLevel="0" collapsed="false">
      <c r="A6376" s="49" t="s">
        <v>2349</v>
      </c>
      <c r="B6376" s="49" t="s">
        <v>2350</v>
      </c>
      <c r="C6376" s="49" t="s">
        <v>10998</v>
      </c>
      <c r="D6376" s="49" t="s">
        <v>2352</v>
      </c>
      <c r="E6376" s="49" t="str">
        <f aca="false">"8908020441030"</f>
        <v>8908020441030</v>
      </c>
      <c r="F6376" s="49" t="s">
        <v>5384</v>
      </c>
      <c r="G6376" s="49" t="n">
        <v>0</v>
      </c>
      <c r="H6376" s="0" t="n">
        <v>0</v>
      </c>
      <c r="M6376" s="51" t="s">
        <v>10976</v>
      </c>
      <c r="N6376" s="49" t="n">
        <v>0</v>
      </c>
      <c r="O6376" s="53" t="n">
        <v>45927.4877083333</v>
      </c>
      <c r="P6376" s="53" t="n">
        <v>45932.6368171296</v>
      </c>
      <c r="Q6376" s="53" t="n">
        <v>45927.4877083333</v>
      </c>
      <c r="R6376" s="0" t="n">
        <v>0</v>
      </c>
      <c r="S6376" s="51" t="s">
        <v>2356</v>
      </c>
      <c r="T6376" s="51" t="s">
        <v>2356</v>
      </c>
      <c r="U6376" s="0" t="str">
        <f aca="false">"8908020441030"</f>
        <v>8908020441030</v>
      </c>
      <c r="V6376" s="51" t="s">
        <v>5386</v>
      </c>
      <c r="W6376" s="51" t="s">
        <v>4130</v>
      </c>
      <c r="X6376" s="51" t="s">
        <v>2359</v>
      </c>
    </row>
    <row r="6377" customFormat="false" ht="14.25" hidden="true" customHeight="false" outlineLevel="0" collapsed="false">
      <c r="A6377" s="49" t="s">
        <v>2349</v>
      </c>
      <c r="B6377" s="49" t="s">
        <v>2350</v>
      </c>
      <c r="C6377" s="49" t="s">
        <v>10999</v>
      </c>
      <c r="D6377" s="49" t="s">
        <v>2352</v>
      </c>
      <c r="E6377" s="49" t="str">
        <f aca="false">"8908020441030"</f>
        <v>8908020441030</v>
      </c>
      <c r="F6377" s="49" t="s">
        <v>5384</v>
      </c>
      <c r="G6377" s="49" t="n">
        <v>0</v>
      </c>
      <c r="H6377" s="0" t="n">
        <v>0</v>
      </c>
      <c r="M6377" s="51" t="s">
        <v>10976</v>
      </c>
      <c r="N6377" s="49" t="n">
        <v>0</v>
      </c>
      <c r="O6377" s="53" t="n">
        <v>45927.4874305556</v>
      </c>
      <c r="P6377" s="53" t="n">
        <v>45932.6369560185</v>
      </c>
      <c r="Q6377" s="53" t="n">
        <v>45927.4874305556</v>
      </c>
      <c r="R6377" s="0" t="n">
        <v>0</v>
      </c>
      <c r="S6377" s="51" t="s">
        <v>2356</v>
      </c>
      <c r="T6377" s="51" t="s">
        <v>2356</v>
      </c>
      <c r="U6377" s="0" t="str">
        <f aca="false">"8908020441030"</f>
        <v>8908020441030</v>
      </c>
      <c r="V6377" s="51" t="s">
        <v>5386</v>
      </c>
      <c r="W6377" s="51" t="s">
        <v>5151</v>
      </c>
      <c r="X6377" s="51" t="s">
        <v>2359</v>
      </c>
    </row>
    <row r="6378" customFormat="false" ht="14.25" hidden="true" customHeight="false" outlineLevel="0" collapsed="false">
      <c r="A6378" s="49" t="s">
        <v>2349</v>
      </c>
      <c r="B6378" s="49" t="s">
        <v>2350</v>
      </c>
      <c r="C6378" s="49" t="s">
        <v>11000</v>
      </c>
      <c r="D6378" s="49" t="s">
        <v>2352</v>
      </c>
      <c r="E6378" s="49" t="str">
        <f aca="false">"8908020441030"</f>
        <v>8908020441030</v>
      </c>
      <c r="F6378" s="49" t="s">
        <v>5384</v>
      </c>
      <c r="G6378" s="49" t="n">
        <v>0</v>
      </c>
      <c r="H6378" s="0" t="n">
        <v>0</v>
      </c>
      <c r="M6378" s="51" t="s">
        <v>10976</v>
      </c>
      <c r="N6378" s="49" t="n">
        <v>0</v>
      </c>
      <c r="O6378" s="53" t="n">
        <v>45927.4871412037</v>
      </c>
      <c r="P6378" s="53" t="n">
        <v>45932.6371990741</v>
      </c>
      <c r="Q6378" s="53" t="n">
        <v>45927.4871412037</v>
      </c>
      <c r="R6378" s="0" t="n">
        <v>0</v>
      </c>
      <c r="S6378" s="51" t="s">
        <v>2356</v>
      </c>
      <c r="T6378" s="51" t="s">
        <v>2356</v>
      </c>
      <c r="U6378" s="0" t="str">
        <f aca="false">"8908020441030"</f>
        <v>8908020441030</v>
      </c>
      <c r="V6378" s="51" t="s">
        <v>5386</v>
      </c>
      <c r="W6378" s="51" t="s">
        <v>4792</v>
      </c>
      <c r="X6378" s="51" t="s">
        <v>2359</v>
      </c>
    </row>
    <row r="6379" customFormat="false" ht="14.25" hidden="true" customHeight="false" outlineLevel="0" collapsed="false">
      <c r="A6379" s="49" t="s">
        <v>2349</v>
      </c>
      <c r="B6379" s="49" t="s">
        <v>2350</v>
      </c>
      <c r="C6379" s="49" t="s">
        <v>11001</v>
      </c>
      <c r="D6379" s="49" t="s">
        <v>2352</v>
      </c>
      <c r="E6379" s="49" t="str">
        <f aca="false">"8908020441030"</f>
        <v>8908020441030</v>
      </c>
      <c r="F6379" s="49" t="s">
        <v>5384</v>
      </c>
      <c r="G6379" s="49" t="n">
        <v>0</v>
      </c>
      <c r="H6379" s="0" t="n">
        <v>0</v>
      </c>
      <c r="M6379" s="51" t="s">
        <v>10976</v>
      </c>
      <c r="N6379" s="49" t="n">
        <v>0</v>
      </c>
      <c r="O6379" s="53" t="n">
        <v>45927.4865856482</v>
      </c>
      <c r="P6379" s="53" t="n">
        <v>45932.6366435185</v>
      </c>
      <c r="Q6379" s="53" t="n">
        <v>45927.4865856482</v>
      </c>
      <c r="R6379" s="0" t="n">
        <v>0</v>
      </c>
      <c r="S6379" s="51" t="s">
        <v>2356</v>
      </c>
      <c r="T6379" s="51" t="s">
        <v>2356</v>
      </c>
      <c r="U6379" s="0" t="str">
        <f aca="false">"8908020441030"</f>
        <v>8908020441030</v>
      </c>
      <c r="V6379" s="51" t="s">
        <v>5386</v>
      </c>
      <c r="W6379" s="51" t="s">
        <v>8229</v>
      </c>
      <c r="X6379" s="51" t="s">
        <v>2359</v>
      </c>
    </row>
    <row r="6380" customFormat="false" ht="14.25" hidden="true" customHeight="false" outlineLevel="0" collapsed="false">
      <c r="A6380" s="49" t="s">
        <v>2349</v>
      </c>
      <c r="B6380" s="49" t="s">
        <v>2350</v>
      </c>
      <c r="C6380" s="49" t="s">
        <v>11002</v>
      </c>
      <c r="D6380" s="49" t="s">
        <v>2352</v>
      </c>
      <c r="E6380" s="49" t="str">
        <f aca="false">"8908020441030"</f>
        <v>8908020441030</v>
      </c>
      <c r="F6380" s="49" t="s">
        <v>5384</v>
      </c>
      <c r="G6380" s="49" t="n">
        <v>0</v>
      </c>
      <c r="H6380" s="0" t="n">
        <v>0</v>
      </c>
      <c r="M6380" s="51" t="s">
        <v>10976</v>
      </c>
      <c r="N6380" s="49" t="n">
        <v>0</v>
      </c>
      <c r="O6380" s="53" t="n">
        <v>45927.4862731482</v>
      </c>
      <c r="P6380" s="53" t="n">
        <v>45964.5397800926</v>
      </c>
      <c r="Q6380" s="53" t="n">
        <v>45927.4862731482</v>
      </c>
      <c r="R6380" s="0" t="n">
        <v>0</v>
      </c>
      <c r="S6380" s="51" t="s">
        <v>2356</v>
      </c>
      <c r="T6380" s="51" t="s">
        <v>2356</v>
      </c>
      <c r="U6380" s="0" t="str">
        <f aca="false">"8908020441030"</f>
        <v>8908020441030</v>
      </c>
      <c r="V6380" s="51" t="s">
        <v>5386</v>
      </c>
      <c r="W6380" s="51" t="s">
        <v>5469</v>
      </c>
      <c r="X6380" s="51" t="s">
        <v>2359</v>
      </c>
    </row>
    <row r="6381" customFormat="false" ht="14.25" hidden="true" customHeight="false" outlineLevel="0" collapsed="false">
      <c r="A6381" s="49" t="s">
        <v>2349</v>
      </c>
      <c r="B6381" s="49" t="s">
        <v>2350</v>
      </c>
      <c r="C6381" s="49" t="s">
        <v>11003</v>
      </c>
      <c r="D6381" s="49" t="s">
        <v>2352</v>
      </c>
      <c r="E6381" s="49" t="str">
        <f aca="false">"8908020441030"</f>
        <v>8908020441030</v>
      </c>
      <c r="F6381" s="49" t="s">
        <v>5384</v>
      </c>
      <c r="G6381" s="49" t="n">
        <v>0</v>
      </c>
      <c r="H6381" s="0" t="n">
        <v>0</v>
      </c>
      <c r="M6381" s="51" t="s">
        <v>10976</v>
      </c>
      <c r="N6381" s="49" t="n">
        <v>0</v>
      </c>
      <c r="O6381" s="53" t="n">
        <v>45927.4854976852</v>
      </c>
      <c r="P6381" s="53" t="n">
        <v>45963.6702546296</v>
      </c>
      <c r="Q6381" s="53" t="n">
        <v>45927.4854976852</v>
      </c>
      <c r="R6381" s="0" t="n">
        <v>0</v>
      </c>
      <c r="S6381" s="51" t="s">
        <v>2356</v>
      </c>
      <c r="T6381" s="51" t="s">
        <v>2356</v>
      </c>
      <c r="U6381" s="0" t="str">
        <f aca="false">"8908020441030"</f>
        <v>8908020441030</v>
      </c>
      <c r="V6381" s="51" t="s">
        <v>5386</v>
      </c>
      <c r="W6381" s="51" t="s">
        <v>7677</v>
      </c>
      <c r="X6381" s="51" t="s">
        <v>2359</v>
      </c>
    </row>
    <row r="6382" customFormat="false" ht="14.25" hidden="true" customHeight="false" outlineLevel="0" collapsed="false">
      <c r="A6382" s="49" t="s">
        <v>2349</v>
      </c>
      <c r="B6382" s="49" t="s">
        <v>2350</v>
      </c>
      <c r="C6382" s="49" t="s">
        <v>11004</v>
      </c>
      <c r="D6382" s="49" t="s">
        <v>2352</v>
      </c>
      <c r="E6382" s="49" t="str">
        <f aca="false">"8908020441030"</f>
        <v>8908020441030</v>
      </c>
      <c r="F6382" s="49" t="s">
        <v>5384</v>
      </c>
      <c r="G6382" s="49" t="n">
        <v>0</v>
      </c>
      <c r="H6382" s="0" t="n">
        <v>0</v>
      </c>
      <c r="M6382" s="51" t="s">
        <v>10976</v>
      </c>
      <c r="N6382" s="49" t="n">
        <v>0</v>
      </c>
      <c r="O6382" s="53" t="n">
        <v>45927.4851041667</v>
      </c>
      <c r="P6382" s="53" t="n">
        <v>45932.637974537</v>
      </c>
      <c r="Q6382" s="53" t="n">
        <v>45927.4851041667</v>
      </c>
      <c r="R6382" s="0" t="n">
        <v>0</v>
      </c>
      <c r="S6382" s="51" t="s">
        <v>2356</v>
      </c>
      <c r="T6382" s="51" t="s">
        <v>2356</v>
      </c>
      <c r="U6382" s="0" t="str">
        <f aca="false">"8908020441030"</f>
        <v>8908020441030</v>
      </c>
      <c r="V6382" s="51" t="s">
        <v>5386</v>
      </c>
      <c r="W6382" s="51" t="s">
        <v>7401</v>
      </c>
      <c r="X6382" s="51" t="s">
        <v>2359</v>
      </c>
    </row>
    <row r="6383" customFormat="false" ht="14.25" hidden="true" customHeight="false" outlineLevel="0" collapsed="false">
      <c r="A6383" s="49" t="s">
        <v>2349</v>
      </c>
      <c r="B6383" s="49" t="s">
        <v>2350</v>
      </c>
      <c r="C6383" s="49" t="s">
        <v>11005</v>
      </c>
      <c r="D6383" s="49" t="s">
        <v>2352</v>
      </c>
      <c r="E6383" s="49" t="str">
        <f aca="false">"8908020441030"</f>
        <v>8908020441030</v>
      </c>
      <c r="F6383" s="49" t="s">
        <v>5384</v>
      </c>
      <c r="G6383" s="49" t="n">
        <v>0</v>
      </c>
      <c r="H6383" s="0" t="n">
        <v>0</v>
      </c>
      <c r="M6383" s="51" t="s">
        <v>10976</v>
      </c>
      <c r="N6383" s="49" t="n">
        <v>0</v>
      </c>
      <c r="O6383" s="53" t="n">
        <v>45927.4847800926</v>
      </c>
      <c r="P6383" s="53" t="n">
        <v>45963.6694675926</v>
      </c>
      <c r="Q6383" s="53" t="n">
        <v>45927.4847800926</v>
      </c>
      <c r="R6383" s="0" t="n">
        <v>0</v>
      </c>
      <c r="S6383" s="51" t="s">
        <v>2356</v>
      </c>
      <c r="T6383" s="51" t="s">
        <v>2356</v>
      </c>
      <c r="U6383" s="0" t="str">
        <f aca="false">"8908020441030"</f>
        <v>8908020441030</v>
      </c>
      <c r="V6383" s="51" t="s">
        <v>5386</v>
      </c>
      <c r="W6383" s="51" t="s">
        <v>4607</v>
      </c>
      <c r="X6383" s="51" t="s">
        <v>2359</v>
      </c>
    </row>
    <row r="6384" customFormat="false" ht="14.25" hidden="true" customHeight="false" outlineLevel="0" collapsed="false">
      <c r="A6384" s="49" t="s">
        <v>2349</v>
      </c>
      <c r="B6384" s="49" t="s">
        <v>2350</v>
      </c>
      <c r="C6384" s="49" t="s">
        <v>11006</v>
      </c>
      <c r="D6384" s="49" t="s">
        <v>2352</v>
      </c>
      <c r="E6384" s="49" t="str">
        <f aca="false">"8908020441030"</f>
        <v>8908020441030</v>
      </c>
      <c r="F6384" s="49" t="s">
        <v>5384</v>
      </c>
      <c r="G6384" s="49" t="n">
        <v>0</v>
      </c>
      <c r="H6384" s="0" t="n">
        <v>0</v>
      </c>
      <c r="M6384" s="51" t="s">
        <v>10976</v>
      </c>
      <c r="N6384" s="49" t="n">
        <v>0</v>
      </c>
      <c r="O6384" s="53" t="n">
        <v>45927.4837615741</v>
      </c>
      <c r="P6384" s="53" t="n">
        <v>45932.6390393519</v>
      </c>
      <c r="Q6384" s="53" t="n">
        <v>45927.4837615741</v>
      </c>
      <c r="R6384" s="0" t="n">
        <v>0</v>
      </c>
      <c r="S6384" s="51" t="s">
        <v>2356</v>
      </c>
      <c r="T6384" s="51" t="s">
        <v>2356</v>
      </c>
      <c r="U6384" s="0" t="str">
        <f aca="false">"8908020441030"</f>
        <v>8908020441030</v>
      </c>
      <c r="V6384" s="51" t="s">
        <v>5386</v>
      </c>
      <c r="W6384" s="51" t="s">
        <v>3749</v>
      </c>
      <c r="X6384" s="51" t="s">
        <v>2359</v>
      </c>
    </row>
    <row r="6385" customFormat="false" ht="14.25" hidden="true" customHeight="false" outlineLevel="0" collapsed="false">
      <c r="A6385" s="49" t="s">
        <v>2349</v>
      </c>
      <c r="B6385" s="49" t="s">
        <v>2350</v>
      </c>
      <c r="C6385" s="49" t="s">
        <v>11007</v>
      </c>
      <c r="D6385" s="49" t="s">
        <v>2352</v>
      </c>
      <c r="E6385" s="49" t="str">
        <f aca="false">"8908020441030"</f>
        <v>8908020441030</v>
      </c>
      <c r="F6385" s="49" t="s">
        <v>5384</v>
      </c>
      <c r="G6385" s="49" t="n">
        <v>0</v>
      </c>
      <c r="H6385" s="0" t="n">
        <v>0</v>
      </c>
      <c r="M6385" s="51" t="s">
        <v>10976</v>
      </c>
      <c r="N6385" s="49" t="n">
        <v>0</v>
      </c>
      <c r="O6385" s="53" t="n">
        <v>45927.4834027778</v>
      </c>
      <c r="P6385" s="53" t="n">
        <v>45957.3657638889</v>
      </c>
      <c r="Q6385" s="53" t="n">
        <v>45927.4834027778</v>
      </c>
      <c r="R6385" s="0" t="n">
        <v>0</v>
      </c>
      <c r="S6385" s="51" t="s">
        <v>2356</v>
      </c>
      <c r="T6385" s="51" t="s">
        <v>2356</v>
      </c>
      <c r="U6385" s="0" t="str">
        <f aca="false">"8908020441030"</f>
        <v>8908020441030</v>
      </c>
      <c r="V6385" s="51" t="s">
        <v>5386</v>
      </c>
      <c r="W6385" s="51" t="s">
        <v>5324</v>
      </c>
      <c r="X6385" s="51" t="s">
        <v>2359</v>
      </c>
    </row>
    <row r="6386" customFormat="false" ht="14.25" hidden="true" customHeight="false" outlineLevel="0" collapsed="false">
      <c r="A6386" s="49" t="s">
        <v>2349</v>
      </c>
      <c r="B6386" s="49" t="s">
        <v>2350</v>
      </c>
      <c r="C6386" s="49" t="s">
        <v>11008</v>
      </c>
      <c r="D6386" s="49" t="s">
        <v>2352</v>
      </c>
      <c r="E6386" s="49" t="str">
        <f aca="false">"8908020441030"</f>
        <v>8908020441030</v>
      </c>
      <c r="F6386" s="49" t="s">
        <v>5384</v>
      </c>
      <c r="G6386" s="49" t="n">
        <v>0</v>
      </c>
      <c r="H6386" s="0" t="n">
        <v>0</v>
      </c>
      <c r="M6386" s="51" t="s">
        <v>10976</v>
      </c>
      <c r="N6386" s="49" t="n">
        <v>0</v>
      </c>
      <c r="O6386" s="53" t="n">
        <v>45927.4829398148</v>
      </c>
      <c r="P6386" s="53" t="n">
        <v>45932.6386574074</v>
      </c>
      <c r="Q6386" s="53" t="n">
        <v>45927.4829398148</v>
      </c>
      <c r="R6386" s="0" t="n">
        <v>0</v>
      </c>
      <c r="S6386" s="51" t="s">
        <v>2356</v>
      </c>
      <c r="T6386" s="51" t="s">
        <v>2356</v>
      </c>
      <c r="U6386" s="0" t="str">
        <f aca="false">"8908020441030"</f>
        <v>8908020441030</v>
      </c>
      <c r="V6386" s="51" t="s">
        <v>5386</v>
      </c>
      <c r="W6386" s="51" t="s">
        <v>5744</v>
      </c>
      <c r="X6386" s="51" t="s">
        <v>2359</v>
      </c>
    </row>
    <row r="6387" customFormat="false" ht="14.25" hidden="true" customHeight="false" outlineLevel="0" collapsed="false">
      <c r="A6387" s="49" t="s">
        <v>2349</v>
      </c>
      <c r="B6387" s="49" t="s">
        <v>2350</v>
      </c>
      <c r="C6387" s="49" t="s">
        <v>11009</v>
      </c>
      <c r="D6387" s="49" t="s">
        <v>2352</v>
      </c>
      <c r="E6387" s="49" t="str">
        <f aca="false">"8908020441030"</f>
        <v>8908020441030</v>
      </c>
      <c r="F6387" s="49" t="s">
        <v>5384</v>
      </c>
      <c r="G6387" s="49" t="n">
        <v>0</v>
      </c>
      <c r="H6387" s="0" t="n">
        <v>0</v>
      </c>
      <c r="M6387" s="51" t="s">
        <v>10976</v>
      </c>
      <c r="N6387" s="49" t="n">
        <v>0</v>
      </c>
      <c r="O6387" s="53" t="n">
        <v>45927.4826041667</v>
      </c>
      <c r="P6387" s="53" t="n">
        <v>45932.6384490741</v>
      </c>
      <c r="Q6387" s="53" t="n">
        <v>45927.4826041667</v>
      </c>
      <c r="R6387" s="0" t="n">
        <v>0</v>
      </c>
      <c r="S6387" s="51" t="s">
        <v>2356</v>
      </c>
      <c r="T6387" s="51" t="s">
        <v>2356</v>
      </c>
      <c r="U6387" s="0" t="str">
        <f aca="false">"8908020441030"</f>
        <v>8908020441030</v>
      </c>
      <c r="V6387" s="51" t="s">
        <v>5386</v>
      </c>
      <c r="W6387" s="51" t="s">
        <v>4611</v>
      </c>
      <c r="X6387" s="51" t="s">
        <v>2359</v>
      </c>
    </row>
    <row r="6388" customFormat="false" ht="14.25" hidden="true" customHeight="false" outlineLevel="0" collapsed="false">
      <c r="A6388" s="49" t="s">
        <v>2349</v>
      </c>
      <c r="B6388" s="49" t="s">
        <v>2350</v>
      </c>
      <c r="C6388" s="49" t="s">
        <v>11010</v>
      </c>
      <c r="D6388" s="49" t="s">
        <v>2352</v>
      </c>
      <c r="E6388" s="49" t="str">
        <f aca="false">"8908020441030"</f>
        <v>8908020441030</v>
      </c>
      <c r="F6388" s="49" t="s">
        <v>5384</v>
      </c>
      <c r="G6388" s="49" t="n">
        <v>0</v>
      </c>
      <c r="H6388" s="0" t="n">
        <v>0</v>
      </c>
      <c r="M6388" s="51" t="s">
        <v>10976</v>
      </c>
      <c r="N6388" s="49" t="n">
        <v>0</v>
      </c>
      <c r="O6388" s="53" t="n">
        <v>45927.482337963</v>
      </c>
      <c r="P6388" s="53" t="n">
        <v>45932.6376273148</v>
      </c>
      <c r="Q6388" s="53" t="n">
        <v>45927.482337963</v>
      </c>
      <c r="R6388" s="0" t="n">
        <v>0</v>
      </c>
      <c r="S6388" s="51" t="s">
        <v>2356</v>
      </c>
      <c r="T6388" s="51" t="s">
        <v>2356</v>
      </c>
      <c r="U6388" s="0" t="str">
        <f aca="false">"8908020441030"</f>
        <v>8908020441030</v>
      </c>
      <c r="V6388" s="51" t="s">
        <v>5386</v>
      </c>
      <c r="W6388" s="51" t="s">
        <v>4126</v>
      </c>
      <c r="X6388" s="51" t="s">
        <v>2359</v>
      </c>
    </row>
    <row r="6389" customFormat="false" ht="14.25" hidden="true" customHeight="false" outlineLevel="0" collapsed="false">
      <c r="A6389" s="49" t="s">
        <v>2349</v>
      </c>
      <c r="B6389" s="49" t="s">
        <v>2350</v>
      </c>
      <c r="C6389" s="49" t="s">
        <v>11011</v>
      </c>
      <c r="D6389" s="49" t="s">
        <v>2352</v>
      </c>
      <c r="E6389" s="49" t="str">
        <f aca="false">"8908020441030"</f>
        <v>8908020441030</v>
      </c>
      <c r="F6389" s="49" t="s">
        <v>5384</v>
      </c>
      <c r="G6389" s="49" t="n">
        <v>0</v>
      </c>
      <c r="H6389" s="0" t="n">
        <v>0</v>
      </c>
      <c r="M6389" s="51" t="s">
        <v>10976</v>
      </c>
      <c r="N6389" s="49" t="n">
        <v>0</v>
      </c>
      <c r="O6389" s="53" t="n">
        <v>45927.4820717593</v>
      </c>
      <c r="P6389" s="53" t="n">
        <v>45932.6374768519</v>
      </c>
      <c r="Q6389" s="53" t="n">
        <v>45927.4820717593</v>
      </c>
      <c r="R6389" s="0" t="n">
        <v>0</v>
      </c>
      <c r="S6389" s="51" t="s">
        <v>2356</v>
      </c>
      <c r="T6389" s="51" t="s">
        <v>2356</v>
      </c>
      <c r="U6389" s="0" t="str">
        <f aca="false">"8908020441030"</f>
        <v>8908020441030</v>
      </c>
      <c r="V6389" s="51" t="s">
        <v>5386</v>
      </c>
      <c r="W6389" s="51" t="s">
        <v>7405</v>
      </c>
      <c r="X6389" s="51" t="s">
        <v>2359</v>
      </c>
    </row>
    <row r="6390" customFormat="false" ht="14.25" hidden="true" customHeight="false" outlineLevel="0" collapsed="false">
      <c r="A6390" s="49" t="s">
        <v>2349</v>
      </c>
      <c r="B6390" s="49" t="s">
        <v>2350</v>
      </c>
      <c r="C6390" s="49" t="s">
        <v>11012</v>
      </c>
      <c r="D6390" s="49" t="s">
        <v>2352</v>
      </c>
      <c r="E6390" s="49" t="str">
        <f aca="false">"8908020441030"</f>
        <v>8908020441030</v>
      </c>
      <c r="F6390" s="49" t="s">
        <v>5384</v>
      </c>
      <c r="G6390" s="49" t="n">
        <v>0</v>
      </c>
      <c r="H6390" s="0" t="n">
        <v>0</v>
      </c>
      <c r="M6390" s="51" t="s">
        <v>10976</v>
      </c>
      <c r="N6390" s="49" t="n">
        <v>0</v>
      </c>
      <c r="O6390" s="53" t="n">
        <v>45927.481712963</v>
      </c>
      <c r="P6390" s="53" t="n">
        <v>45932.6370717593</v>
      </c>
      <c r="Q6390" s="53" t="n">
        <v>45927.481712963</v>
      </c>
      <c r="R6390" s="0" t="n">
        <v>0</v>
      </c>
      <c r="S6390" s="51" t="s">
        <v>2356</v>
      </c>
      <c r="T6390" s="51" t="s">
        <v>2356</v>
      </c>
      <c r="U6390" s="0" t="str">
        <f aca="false">"8908020441030"</f>
        <v>8908020441030</v>
      </c>
      <c r="V6390" s="51" t="s">
        <v>5386</v>
      </c>
      <c r="W6390" s="51" t="s">
        <v>6881</v>
      </c>
      <c r="X6390" s="51" t="s">
        <v>2359</v>
      </c>
    </row>
    <row r="6391" customFormat="false" ht="14.25" hidden="true" customHeight="false" outlineLevel="0" collapsed="false">
      <c r="A6391" s="49" t="s">
        <v>2349</v>
      </c>
      <c r="B6391" s="49" t="s">
        <v>2350</v>
      </c>
      <c r="C6391" s="49" t="s">
        <v>11013</v>
      </c>
      <c r="D6391" s="49" t="s">
        <v>2352</v>
      </c>
      <c r="E6391" s="49" t="str">
        <f aca="false">"8908020441030"</f>
        <v>8908020441030</v>
      </c>
      <c r="F6391" s="49" t="s">
        <v>5384</v>
      </c>
      <c r="G6391" s="49" t="n">
        <v>0</v>
      </c>
      <c r="H6391" s="0" t="n">
        <v>0</v>
      </c>
      <c r="M6391" s="51" t="s">
        <v>10976</v>
      </c>
      <c r="N6391" s="49" t="n">
        <v>0</v>
      </c>
      <c r="O6391" s="53" t="n">
        <v>45927.4805092593</v>
      </c>
      <c r="P6391" s="53" t="n">
        <v>45967.4467476852</v>
      </c>
      <c r="Q6391" s="53" t="n">
        <v>45927.4805092593</v>
      </c>
      <c r="R6391" s="0" t="n">
        <v>0</v>
      </c>
      <c r="S6391" s="51" t="s">
        <v>2356</v>
      </c>
      <c r="T6391" s="51" t="s">
        <v>2356</v>
      </c>
      <c r="U6391" s="0" t="str">
        <f aca="false">"8908020441030"</f>
        <v>8908020441030</v>
      </c>
      <c r="V6391" s="51" t="s">
        <v>5386</v>
      </c>
      <c r="W6391" s="51" t="s">
        <v>7397</v>
      </c>
      <c r="X6391" s="51" t="s">
        <v>2359</v>
      </c>
    </row>
    <row r="6392" customFormat="false" ht="14.25" hidden="true" customHeight="false" outlineLevel="0" collapsed="false">
      <c r="A6392" s="49" t="s">
        <v>2349</v>
      </c>
      <c r="B6392" s="49" t="s">
        <v>2350</v>
      </c>
      <c r="C6392" s="49" t="s">
        <v>11014</v>
      </c>
      <c r="D6392" s="49" t="s">
        <v>2352</v>
      </c>
      <c r="E6392" s="49" t="str">
        <f aca="false">"8908020441030"</f>
        <v>8908020441030</v>
      </c>
      <c r="F6392" s="49" t="s">
        <v>5384</v>
      </c>
      <c r="G6392" s="49" t="n">
        <v>0</v>
      </c>
      <c r="H6392" s="0" t="n">
        <v>0</v>
      </c>
      <c r="M6392" s="51" t="s">
        <v>10976</v>
      </c>
      <c r="N6392" s="49" t="n">
        <v>0</v>
      </c>
      <c r="O6392" s="53" t="n">
        <v>45927.4799421296</v>
      </c>
      <c r="P6392" s="53" t="n">
        <v>45949.3838541667</v>
      </c>
      <c r="Q6392" s="53" t="n">
        <v>45927.4799421296</v>
      </c>
      <c r="R6392" s="0" t="n">
        <v>0</v>
      </c>
      <c r="S6392" s="51" t="s">
        <v>2356</v>
      </c>
      <c r="T6392" s="51" t="s">
        <v>2356</v>
      </c>
      <c r="U6392" s="0" t="str">
        <f aca="false">"8908020441030"</f>
        <v>8908020441030</v>
      </c>
      <c r="V6392" s="51" t="s">
        <v>5386</v>
      </c>
      <c r="W6392" s="51" t="s">
        <v>5157</v>
      </c>
      <c r="X6392" s="51" t="s">
        <v>2359</v>
      </c>
    </row>
    <row r="6393" customFormat="false" ht="14.25" hidden="true" customHeight="false" outlineLevel="0" collapsed="false">
      <c r="A6393" s="49" t="s">
        <v>2349</v>
      </c>
      <c r="B6393" s="49" t="s">
        <v>2350</v>
      </c>
      <c r="C6393" s="49" t="s">
        <v>11015</v>
      </c>
      <c r="D6393" s="49" t="s">
        <v>2352</v>
      </c>
      <c r="E6393" s="49" t="str">
        <f aca="false">"8908020441030"</f>
        <v>8908020441030</v>
      </c>
      <c r="F6393" s="49" t="s">
        <v>5384</v>
      </c>
      <c r="G6393" s="49" t="n">
        <v>0</v>
      </c>
      <c r="H6393" s="0" t="n">
        <v>0</v>
      </c>
      <c r="M6393" s="51" t="s">
        <v>10976</v>
      </c>
      <c r="N6393" s="49" t="n">
        <v>0</v>
      </c>
      <c r="O6393" s="53" t="n">
        <v>45927.4743287037</v>
      </c>
      <c r="P6393" s="53" t="n">
        <v>45938.5647222222</v>
      </c>
      <c r="Q6393" s="53" t="n">
        <v>45927.4743287037</v>
      </c>
      <c r="R6393" s="0" t="n">
        <v>0</v>
      </c>
      <c r="S6393" s="51" t="s">
        <v>2356</v>
      </c>
      <c r="T6393" s="51" t="s">
        <v>2356</v>
      </c>
      <c r="U6393" s="0" t="str">
        <f aca="false">"8908020441030"</f>
        <v>8908020441030</v>
      </c>
      <c r="V6393" s="51" t="s">
        <v>5386</v>
      </c>
      <c r="W6393" s="51" t="s">
        <v>8301</v>
      </c>
      <c r="X6393" s="51" t="s">
        <v>2359</v>
      </c>
    </row>
    <row r="6394" customFormat="false" ht="14.25" hidden="true" customHeight="false" outlineLevel="0" collapsed="false">
      <c r="A6394" s="49" t="s">
        <v>2349</v>
      </c>
      <c r="B6394" s="49" t="s">
        <v>2350</v>
      </c>
      <c r="C6394" s="49" t="s">
        <v>11016</v>
      </c>
      <c r="D6394" s="49" t="s">
        <v>2352</v>
      </c>
      <c r="E6394" s="49" t="s">
        <v>3633</v>
      </c>
      <c r="F6394" s="49" t="s">
        <v>3634</v>
      </c>
      <c r="G6394" s="49" t="n">
        <v>0</v>
      </c>
      <c r="H6394" s="0" t="n">
        <v>0</v>
      </c>
      <c r="M6394" s="51" t="s">
        <v>11017</v>
      </c>
      <c r="N6394" s="49" t="n">
        <v>0</v>
      </c>
      <c r="O6394" s="53" t="n">
        <v>45965.4631365741</v>
      </c>
      <c r="P6394" s="53" t="n">
        <v>45966.4559722222</v>
      </c>
      <c r="Q6394" s="53" t="n">
        <v>45965.4631365741</v>
      </c>
      <c r="R6394" s="0" t="n">
        <v>0</v>
      </c>
      <c r="S6394" s="51" t="s">
        <v>2356</v>
      </c>
      <c r="T6394" s="51" t="s">
        <v>2356</v>
      </c>
      <c r="U6394" s="51" t="s">
        <v>3633</v>
      </c>
      <c r="V6394" s="51" t="s">
        <v>2357</v>
      </c>
      <c r="W6394" s="51" t="s">
        <v>3675</v>
      </c>
      <c r="X6394" s="51" t="s">
        <v>2359</v>
      </c>
    </row>
    <row r="6395" customFormat="false" ht="14.25" hidden="true" customHeight="false" outlineLevel="0" collapsed="false">
      <c r="A6395" s="49" t="s">
        <v>2349</v>
      </c>
      <c r="B6395" s="49" t="s">
        <v>2350</v>
      </c>
      <c r="C6395" s="49" t="s">
        <v>11018</v>
      </c>
      <c r="D6395" s="49" t="s">
        <v>2352</v>
      </c>
      <c r="E6395" s="49" t="str">
        <f aca="false">"734730225548"</f>
        <v>734730225548</v>
      </c>
      <c r="F6395" s="49" t="s">
        <v>2434</v>
      </c>
      <c r="G6395" s="49" t="n">
        <v>0</v>
      </c>
      <c r="H6395" s="0" t="n">
        <v>0</v>
      </c>
      <c r="M6395" s="51" t="s">
        <v>11019</v>
      </c>
      <c r="N6395" s="49" t="n">
        <v>0</v>
      </c>
      <c r="O6395" s="53" t="n">
        <v>45965.3927546296</v>
      </c>
      <c r="P6395" s="53" t="n">
        <v>45993.7685185185</v>
      </c>
      <c r="Q6395" s="53" t="n">
        <v>45965.3927546296</v>
      </c>
      <c r="R6395" s="0" t="n">
        <v>0</v>
      </c>
      <c r="S6395" s="51" t="s">
        <v>2401</v>
      </c>
      <c r="T6395" s="51" t="s">
        <v>2401</v>
      </c>
      <c r="U6395" s="0" t="str">
        <f aca="false">"734730225548"</f>
        <v>734730225548</v>
      </c>
      <c r="V6395" s="51" t="s">
        <v>2365</v>
      </c>
      <c r="W6395" s="51" t="s">
        <v>9608</v>
      </c>
      <c r="X6395" s="51" t="s">
        <v>2359</v>
      </c>
    </row>
    <row r="6396" customFormat="false" ht="14.25" hidden="true" customHeight="false" outlineLevel="0" collapsed="false">
      <c r="A6396" s="49" t="s">
        <v>2349</v>
      </c>
      <c r="B6396" s="49" t="s">
        <v>2350</v>
      </c>
      <c r="C6396" s="49" t="s">
        <v>11020</v>
      </c>
      <c r="D6396" s="49" t="s">
        <v>2352</v>
      </c>
      <c r="E6396" s="49" t="str">
        <f aca="false">"734730293356"</f>
        <v>734730293356</v>
      </c>
      <c r="F6396" s="49" t="s">
        <v>3992</v>
      </c>
      <c r="G6396" s="49" t="n">
        <v>0</v>
      </c>
      <c r="H6396" s="0" t="n">
        <v>0</v>
      </c>
      <c r="M6396" s="51" t="s">
        <v>11019</v>
      </c>
      <c r="N6396" s="49" t="n">
        <v>0</v>
      </c>
      <c r="O6396" s="53" t="n">
        <v>45965.3921296296</v>
      </c>
      <c r="P6396" s="53" t="n">
        <v>45995.88625</v>
      </c>
      <c r="Q6396" s="53" t="n">
        <v>45965.3921296296</v>
      </c>
      <c r="R6396" s="0" t="n">
        <v>0</v>
      </c>
      <c r="S6396" s="51" t="s">
        <v>2401</v>
      </c>
      <c r="T6396" s="51" t="s">
        <v>2401</v>
      </c>
      <c r="U6396" s="0" t="str">
        <f aca="false">"734730293356"</f>
        <v>734730293356</v>
      </c>
      <c r="V6396" s="51" t="s">
        <v>2365</v>
      </c>
      <c r="W6396" s="51" t="s">
        <v>9608</v>
      </c>
      <c r="X6396" s="51" t="s">
        <v>2359</v>
      </c>
    </row>
    <row r="6397" customFormat="false" ht="14.25" hidden="true" customHeight="false" outlineLevel="0" collapsed="false">
      <c r="A6397" s="49" t="s">
        <v>2349</v>
      </c>
      <c r="B6397" s="49" t="s">
        <v>2350</v>
      </c>
      <c r="C6397" s="49" t="s">
        <v>11021</v>
      </c>
      <c r="D6397" s="49" t="s">
        <v>2352</v>
      </c>
      <c r="E6397" s="49" t="str">
        <f aca="false">"10102020303000"</f>
        <v>10102020303000</v>
      </c>
      <c r="F6397" s="49" t="s">
        <v>11022</v>
      </c>
      <c r="G6397" s="49" t="n">
        <v>0</v>
      </c>
      <c r="H6397" s="0" t="n">
        <v>0</v>
      </c>
      <c r="M6397" s="51" t="s">
        <v>11023</v>
      </c>
      <c r="N6397" s="49" t="n">
        <v>0</v>
      </c>
      <c r="O6397" s="53" t="n">
        <v>45915.7283449074</v>
      </c>
      <c r="P6397" s="53" t="n">
        <v>46037.1281134259</v>
      </c>
      <c r="Q6397" s="53" t="n">
        <v>45915.7283449074</v>
      </c>
      <c r="R6397" s="0" t="n">
        <v>0</v>
      </c>
      <c r="S6397" s="51" t="s">
        <v>2401</v>
      </c>
      <c r="T6397" s="51" t="s">
        <v>2401</v>
      </c>
      <c r="U6397" s="0" t="str">
        <f aca="false">"10102020303000"</f>
        <v>10102020303000</v>
      </c>
      <c r="V6397" s="51" t="s">
        <v>7596</v>
      </c>
      <c r="W6397" s="51" t="s">
        <v>3820</v>
      </c>
      <c r="X6397" s="51" t="s">
        <v>2359</v>
      </c>
    </row>
    <row r="6398" customFormat="false" ht="14.25" hidden="true" customHeight="false" outlineLevel="0" collapsed="false">
      <c r="A6398" s="49" t="s">
        <v>2349</v>
      </c>
      <c r="B6398" s="49" t="s">
        <v>2350</v>
      </c>
      <c r="C6398" s="49" t="s">
        <v>11024</v>
      </c>
      <c r="D6398" s="49" t="s">
        <v>2352</v>
      </c>
      <c r="E6398" s="49" t="str">
        <f aca="false">"12496983"</f>
        <v>12496983</v>
      </c>
      <c r="F6398" s="49" t="s">
        <v>4880</v>
      </c>
      <c r="G6398" s="49" t="n">
        <v>0</v>
      </c>
      <c r="H6398" s="0" t="n">
        <v>0</v>
      </c>
      <c r="M6398" s="51" t="s">
        <v>11025</v>
      </c>
      <c r="N6398" s="49" t="n">
        <v>0</v>
      </c>
      <c r="O6398" s="53" t="n">
        <v>45927.4086689815</v>
      </c>
      <c r="P6398" s="53" t="n">
        <v>45958.9181597222</v>
      </c>
      <c r="Q6398" s="53" t="n">
        <v>45927.4086689815</v>
      </c>
      <c r="R6398" s="0" t="n">
        <v>0</v>
      </c>
      <c r="S6398" s="51" t="s">
        <v>2416</v>
      </c>
      <c r="T6398" s="51" t="s">
        <v>2416</v>
      </c>
      <c r="U6398" s="0" t="str">
        <f aca="false">"12496983"</f>
        <v>12496983</v>
      </c>
      <c r="V6398" s="51" t="s">
        <v>2365</v>
      </c>
      <c r="W6398" s="51" t="s">
        <v>11026</v>
      </c>
      <c r="X6398" s="51" t="s">
        <v>2359</v>
      </c>
    </row>
    <row r="6399" customFormat="false" ht="14.25" hidden="true" customHeight="false" outlineLevel="0" collapsed="false">
      <c r="A6399" s="49" t="s">
        <v>2349</v>
      </c>
      <c r="B6399" s="49" t="s">
        <v>2350</v>
      </c>
      <c r="C6399" s="49" t="s">
        <v>11027</v>
      </c>
      <c r="D6399" s="49" t="s">
        <v>2352</v>
      </c>
      <c r="E6399" s="49" t="str">
        <f aca="false">"12452482"</f>
        <v>12452482</v>
      </c>
      <c r="F6399" s="49" t="s">
        <v>4179</v>
      </c>
      <c r="G6399" s="49" t="n">
        <v>0</v>
      </c>
      <c r="H6399" s="0" t="n">
        <v>0</v>
      </c>
      <c r="M6399" s="51" t="s">
        <v>11025</v>
      </c>
      <c r="N6399" s="49" t="n">
        <v>0</v>
      </c>
      <c r="O6399" s="53" t="n">
        <v>45927.4105902778</v>
      </c>
      <c r="P6399" s="53" t="n">
        <v>45956.4264236111</v>
      </c>
      <c r="Q6399" s="53" t="n">
        <v>45927.4105902778</v>
      </c>
      <c r="R6399" s="0" t="n">
        <v>0</v>
      </c>
      <c r="S6399" s="51" t="s">
        <v>2416</v>
      </c>
      <c r="T6399" s="51" t="s">
        <v>2416</v>
      </c>
      <c r="U6399" s="0" t="str">
        <f aca="false">"12452482"</f>
        <v>12452482</v>
      </c>
      <c r="V6399" s="51" t="s">
        <v>2365</v>
      </c>
      <c r="W6399" s="51" t="s">
        <v>11028</v>
      </c>
      <c r="X6399" s="51" t="s">
        <v>2359</v>
      </c>
    </row>
    <row r="6400" customFormat="false" ht="14.25" hidden="true" customHeight="false" outlineLevel="0" collapsed="false">
      <c r="A6400" s="49" t="s">
        <v>2349</v>
      </c>
      <c r="B6400" s="49" t="s">
        <v>2350</v>
      </c>
      <c r="C6400" s="49" t="s">
        <v>11029</v>
      </c>
      <c r="D6400" s="49" t="s">
        <v>2352</v>
      </c>
      <c r="E6400" s="49" t="str">
        <f aca="false">"12452482"</f>
        <v>12452482</v>
      </c>
      <c r="F6400" s="49" t="s">
        <v>4179</v>
      </c>
      <c r="G6400" s="49" t="n">
        <v>0</v>
      </c>
      <c r="H6400" s="0" t="n">
        <v>0</v>
      </c>
      <c r="M6400" s="51" t="s">
        <v>11025</v>
      </c>
      <c r="N6400" s="49" t="n">
        <v>0</v>
      </c>
      <c r="O6400" s="53" t="n">
        <v>45927.4116898148</v>
      </c>
      <c r="P6400" s="53" t="n">
        <v>45991.4599189815</v>
      </c>
      <c r="Q6400" s="53" t="n">
        <v>45927.4116898148</v>
      </c>
      <c r="R6400" s="0" t="n">
        <v>0</v>
      </c>
      <c r="S6400" s="51" t="s">
        <v>2416</v>
      </c>
      <c r="T6400" s="51" t="s">
        <v>2416</v>
      </c>
      <c r="U6400" s="0" t="str">
        <f aca="false">"12452482"</f>
        <v>12452482</v>
      </c>
      <c r="V6400" s="51" t="s">
        <v>2365</v>
      </c>
      <c r="W6400" s="51" t="s">
        <v>5514</v>
      </c>
      <c r="X6400" s="51" t="s">
        <v>2359</v>
      </c>
    </row>
    <row r="6401" customFormat="false" ht="14.25" hidden="true" customHeight="false" outlineLevel="0" collapsed="false">
      <c r="A6401" s="49" t="s">
        <v>2349</v>
      </c>
      <c r="B6401" s="49" t="s">
        <v>2350</v>
      </c>
      <c r="C6401" s="49" t="s">
        <v>11030</v>
      </c>
      <c r="D6401" s="49" t="s">
        <v>2352</v>
      </c>
      <c r="E6401" s="49" t="str">
        <f aca="false">"12456742"</f>
        <v>12456742</v>
      </c>
      <c r="F6401" s="49" t="s">
        <v>6833</v>
      </c>
      <c r="G6401" s="49" t="n">
        <v>0</v>
      </c>
      <c r="H6401" s="0" t="n">
        <v>0</v>
      </c>
      <c r="M6401" s="51" t="s">
        <v>11025</v>
      </c>
      <c r="N6401" s="49" t="n">
        <v>0</v>
      </c>
      <c r="O6401" s="53" t="n">
        <v>45927.41375</v>
      </c>
      <c r="P6401" s="53" t="n">
        <v>45931.8114583333</v>
      </c>
      <c r="Q6401" s="53" t="n">
        <v>45927.41375</v>
      </c>
      <c r="R6401" s="0" t="n">
        <v>0</v>
      </c>
      <c r="S6401" s="51" t="s">
        <v>2416</v>
      </c>
      <c r="T6401" s="51" t="s">
        <v>2416</v>
      </c>
      <c r="U6401" s="0" t="str">
        <f aca="false">"12456742"</f>
        <v>12456742</v>
      </c>
      <c r="V6401" s="51" t="s">
        <v>2365</v>
      </c>
      <c r="W6401" s="51" t="s">
        <v>5960</v>
      </c>
      <c r="X6401" s="51" t="s">
        <v>2359</v>
      </c>
    </row>
    <row r="6402" customFormat="false" ht="14.25" hidden="true" customHeight="false" outlineLevel="0" collapsed="false">
      <c r="A6402" s="49" t="s">
        <v>2349</v>
      </c>
      <c r="B6402" s="49" t="s">
        <v>2350</v>
      </c>
      <c r="C6402" s="49" t="s">
        <v>11031</v>
      </c>
      <c r="D6402" s="49" t="s">
        <v>2352</v>
      </c>
      <c r="E6402" s="49" t="str">
        <f aca="false">"12456742"</f>
        <v>12456742</v>
      </c>
      <c r="F6402" s="49" t="s">
        <v>6833</v>
      </c>
      <c r="G6402" s="49" t="n">
        <v>0</v>
      </c>
      <c r="H6402" s="0" t="n">
        <v>0</v>
      </c>
      <c r="M6402" s="51" t="s">
        <v>11025</v>
      </c>
      <c r="N6402" s="49" t="n">
        <v>0</v>
      </c>
      <c r="O6402" s="53" t="n">
        <v>45927.4143865741</v>
      </c>
      <c r="P6402" s="53" t="n">
        <v>45931.8189930556</v>
      </c>
      <c r="Q6402" s="53" t="n">
        <v>45927.4143865741</v>
      </c>
      <c r="R6402" s="0" t="n">
        <v>0</v>
      </c>
      <c r="S6402" s="51" t="s">
        <v>2416</v>
      </c>
      <c r="T6402" s="51" t="s">
        <v>2416</v>
      </c>
      <c r="U6402" s="0" t="str">
        <f aca="false">"12456742"</f>
        <v>12456742</v>
      </c>
      <c r="V6402" s="51" t="s">
        <v>2365</v>
      </c>
      <c r="W6402" s="51" t="s">
        <v>7890</v>
      </c>
      <c r="X6402" s="51" t="s">
        <v>2359</v>
      </c>
    </row>
    <row r="6403" customFormat="false" ht="14.25" hidden="true" customHeight="false" outlineLevel="0" collapsed="false">
      <c r="A6403" s="49" t="s">
        <v>2349</v>
      </c>
      <c r="B6403" s="49" t="s">
        <v>2350</v>
      </c>
      <c r="C6403" s="49" t="s">
        <v>11032</v>
      </c>
      <c r="D6403" s="49" t="s">
        <v>2352</v>
      </c>
      <c r="E6403" s="49" t="str">
        <f aca="false">"12456742"</f>
        <v>12456742</v>
      </c>
      <c r="F6403" s="49" t="s">
        <v>6833</v>
      </c>
      <c r="G6403" s="49" t="n">
        <v>0</v>
      </c>
      <c r="H6403" s="0" t="n">
        <v>0</v>
      </c>
      <c r="M6403" s="51" t="s">
        <v>11025</v>
      </c>
      <c r="N6403" s="49" t="n">
        <v>0</v>
      </c>
      <c r="O6403" s="53" t="n">
        <v>45927.4145949074</v>
      </c>
      <c r="P6403" s="53" t="n">
        <v>45931.7991087963</v>
      </c>
      <c r="Q6403" s="53" t="n">
        <v>45927.4145949074</v>
      </c>
      <c r="R6403" s="0" t="n">
        <v>0</v>
      </c>
      <c r="S6403" s="51" t="s">
        <v>2416</v>
      </c>
      <c r="T6403" s="51" t="s">
        <v>2416</v>
      </c>
      <c r="U6403" s="0" t="str">
        <f aca="false">"12456742"</f>
        <v>12456742</v>
      </c>
      <c r="V6403" s="51" t="s">
        <v>2365</v>
      </c>
      <c r="W6403" s="51" t="s">
        <v>7008</v>
      </c>
      <c r="X6403" s="51" t="s">
        <v>2359</v>
      </c>
    </row>
    <row r="6404" customFormat="false" ht="14.25" hidden="true" customHeight="false" outlineLevel="0" collapsed="false">
      <c r="A6404" s="49" t="s">
        <v>2349</v>
      </c>
      <c r="B6404" s="49" t="s">
        <v>2350</v>
      </c>
      <c r="C6404" s="49" t="s">
        <v>11033</v>
      </c>
      <c r="D6404" s="49" t="s">
        <v>2352</v>
      </c>
      <c r="E6404" s="49" t="str">
        <f aca="false">"12456742"</f>
        <v>12456742</v>
      </c>
      <c r="F6404" s="49" t="s">
        <v>6833</v>
      </c>
      <c r="G6404" s="49" t="n">
        <v>0</v>
      </c>
      <c r="H6404" s="0" t="n">
        <v>0</v>
      </c>
      <c r="M6404" s="51" t="s">
        <v>11025</v>
      </c>
      <c r="N6404" s="49" t="n">
        <v>0</v>
      </c>
      <c r="O6404" s="53" t="n">
        <v>45927.414837963</v>
      </c>
      <c r="P6404" s="53" t="n">
        <v>45931.797349537</v>
      </c>
      <c r="Q6404" s="53" t="n">
        <v>45927.414837963</v>
      </c>
      <c r="R6404" s="0" t="n">
        <v>0</v>
      </c>
      <c r="S6404" s="51" t="s">
        <v>2416</v>
      </c>
      <c r="T6404" s="51" t="s">
        <v>2416</v>
      </c>
      <c r="U6404" s="0" t="str">
        <f aca="false">"12456742"</f>
        <v>12456742</v>
      </c>
      <c r="V6404" s="51" t="s">
        <v>2365</v>
      </c>
      <c r="W6404" s="51" t="s">
        <v>7881</v>
      </c>
      <c r="X6404" s="51" t="s">
        <v>2359</v>
      </c>
    </row>
    <row r="6405" customFormat="false" ht="14.25" hidden="true" customHeight="false" outlineLevel="0" collapsed="false">
      <c r="A6405" s="49" t="s">
        <v>2349</v>
      </c>
      <c r="B6405" s="49" t="s">
        <v>2350</v>
      </c>
      <c r="C6405" s="49" t="s">
        <v>11034</v>
      </c>
      <c r="D6405" s="49" t="s">
        <v>2352</v>
      </c>
      <c r="E6405" s="49" t="str">
        <f aca="false">"12518490"</f>
        <v>12518490</v>
      </c>
      <c r="F6405" s="49" t="s">
        <v>4858</v>
      </c>
      <c r="G6405" s="49" t="n">
        <v>0</v>
      </c>
      <c r="H6405" s="0" t="n">
        <v>0</v>
      </c>
      <c r="M6405" s="51" t="s">
        <v>11025</v>
      </c>
      <c r="N6405" s="49" t="n">
        <v>0</v>
      </c>
      <c r="O6405" s="53" t="n">
        <v>45927.4072685185</v>
      </c>
      <c r="P6405" s="53" t="n">
        <v>45929.7376157407</v>
      </c>
      <c r="Q6405" s="53" t="n">
        <v>45927.4072685185</v>
      </c>
      <c r="R6405" s="0" t="n">
        <v>0</v>
      </c>
      <c r="S6405" s="51" t="s">
        <v>2416</v>
      </c>
      <c r="T6405" s="51" t="s">
        <v>2416</v>
      </c>
      <c r="U6405" s="0" t="str">
        <f aca="false">"12518490"</f>
        <v>12518490</v>
      </c>
      <c r="V6405" s="51" t="s">
        <v>2365</v>
      </c>
      <c r="W6405" s="51" t="s">
        <v>4782</v>
      </c>
      <c r="X6405" s="51" t="s">
        <v>2359</v>
      </c>
    </row>
    <row r="6406" customFormat="false" ht="14.25" hidden="true" customHeight="false" outlineLevel="0" collapsed="false">
      <c r="A6406" s="49" t="s">
        <v>2349</v>
      </c>
      <c r="B6406" s="49" t="s">
        <v>2350</v>
      </c>
      <c r="C6406" s="49" t="s">
        <v>11035</v>
      </c>
      <c r="D6406" s="49" t="s">
        <v>2352</v>
      </c>
      <c r="E6406" s="49" t="str">
        <f aca="false">"12518490"</f>
        <v>12518490</v>
      </c>
      <c r="F6406" s="49" t="s">
        <v>4858</v>
      </c>
      <c r="G6406" s="49" t="n">
        <v>0</v>
      </c>
      <c r="H6406" s="0" t="n">
        <v>0</v>
      </c>
      <c r="M6406" s="51" t="s">
        <v>11025</v>
      </c>
      <c r="N6406" s="49" t="n">
        <v>0</v>
      </c>
      <c r="O6406" s="53" t="n">
        <v>45927.4044791667</v>
      </c>
      <c r="P6406" s="53" t="n">
        <v>45929.7349305556</v>
      </c>
      <c r="Q6406" s="53" t="n">
        <v>45927.4044791667</v>
      </c>
      <c r="R6406" s="0" t="n">
        <v>0</v>
      </c>
      <c r="S6406" s="51" t="s">
        <v>2416</v>
      </c>
      <c r="T6406" s="51" t="s">
        <v>2416</v>
      </c>
      <c r="U6406" s="0" t="str">
        <f aca="false">"12518490"</f>
        <v>12518490</v>
      </c>
      <c r="V6406" s="51" t="s">
        <v>2365</v>
      </c>
      <c r="W6406" s="51" t="s">
        <v>9363</v>
      </c>
      <c r="X6406" s="51" t="s">
        <v>2359</v>
      </c>
    </row>
    <row r="6407" customFormat="false" ht="14.25" hidden="true" customHeight="false" outlineLevel="0" collapsed="false">
      <c r="A6407" s="49" t="s">
        <v>2349</v>
      </c>
      <c r="B6407" s="49" t="s">
        <v>2350</v>
      </c>
      <c r="C6407" s="49" t="s">
        <v>11036</v>
      </c>
      <c r="D6407" s="49" t="s">
        <v>2352</v>
      </c>
      <c r="E6407" s="49" t="str">
        <f aca="false">"12518490"</f>
        <v>12518490</v>
      </c>
      <c r="F6407" s="49" t="s">
        <v>4858</v>
      </c>
      <c r="G6407" s="49" t="n">
        <v>0</v>
      </c>
      <c r="H6407" s="0" t="n">
        <v>0</v>
      </c>
      <c r="M6407" s="51" t="s">
        <v>11025</v>
      </c>
      <c r="N6407" s="49" t="n">
        <v>0</v>
      </c>
      <c r="O6407" s="53" t="n">
        <v>45927.4046759259</v>
      </c>
      <c r="P6407" s="53" t="n">
        <v>45929.7351041667</v>
      </c>
      <c r="Q6407" s="53" t="n">
        <v>45927.4046759259</v>
      </c>
      <c r="R6407" s="0" t="n">
        <v>0</v>
      </c>
      <c r="S6407" s="51" t="s">
        <v>2416</v>
      </c>
      <c r="T6407" s="51" t="s">
        <v>2416</v>
      </c>
      <c r="U6407" s="0" t="str">
        <f aca="false">"12518490"</f>
        <v>12518490</v>
      </c>
      <c r="V6407" s="51" t="s">
        <v>2365</v>
      </c>
      <c r="W6407" s="51" t="s">
        <v>5615</v>
      </c>
      <c r="X6407" s="51" t="s">
        <v>2359</v>
      </c>
    </row>
    <row r="6408" customFormat="false" ht="14.25" hidden="true" customHeight="false" outlineLevel="0" collapsed="false">
      <c r="A6408" s="49" t="s">
        <v>2349</v>
      </c>
      <c r="B6408" s="49" t="s">
        <v>2350</v>
      </c>
      <c r="C6408" s="49" t="s">
        <v>11037</v>
      </c>
      <c r="D6408" s="49" t="s">
        <v>2352</v>
      </c>
      <c r="E6408" s="49" t="str">
        <f aca="false">"12518490"</f>
        <v>12518490</v>
      </c>
      <c r="F6408" s="49" t="s">
        <v>4858</v>
      </c>
      <c r="G6408" s="49" t="n">
        <v>0</v>
      </c>
      <c r="H6408" s="0" t="n">
        <v>0</v>
      </c>
      <c r="M6408" s="51" t="s">
        <v>11025</v>
      </c>
      <c r="N6408" s="49" t="n">
        <v>0</v>
      </c>
      <c r="O6408" s="53" t="n">
        <v>45927.4049768519</v>
      </c>
      <c r="P6408" s="53" t="n">
        <v>45929.7421180556</v>
      </c>
      <c r="Q6408" s="53" t="n">
        <v>45927.4049768519</v>
      </c>
      <c r="R6408" s="0" t="n">
        <v>0</v>
      </c>
      <c r="S6408" s="51" t="s">
        <v>2416</v>
      </c>
      <c r="T6408" s="51" t="s">
        <v>2416</v>
      </c>
      <c r="U6408" s="0" t="str">
        <f aca="false">"12518490"</f>
        <v>12518490</v>
      </c>
      <c r="V6408" s="51" t="s">
        <v>2365</v>
      </c>
      <c r="W6408" s="51" t="s">
        <v>10862</v>
      </c>
      <c r="X6408" s="51" t="s">
        <v>2359</v>
      </c>
    </row>
    <row r="6409" customFormat="false" ht="14.25" hidden="true" customHeight="false" outlineLevel="0" collapsed="false">
      <c r="A6409" s="49" t="s">
        <v>2349</v>
      </c>
      <c r="B6409" s="49" t="s">
        <v>2350</v>
      </c>
      <c r="C6409" s="49" t="s">
        <v>11038</v>
      </c>
      <c r="D6409" s="49" t="s">
        <v>2352</v>
      </c>
      <c r="E6409" s="49" t="str">
        <f aca="false">"12518490"</f>
        <v>12518490</v>
      </c>
      <c r="F6409" s="49" t="s">
        <v>4858</v>
      </c>
      <c r="G6409" s="49" t="n">
        <v>0</v>
      </c>
      <c r="H6409" s="0" t="n">
        <v>0</v>
      </c>
      <c r="M6409" s="51" t="s">
        <v>11025</v>
      </c>
      <c r="N6409" s="49" t="n">
        <v>0</v>
      </c>
      <c r="O6409" s="53" t="n">
        <v>45927.4052662037</v>
      </c>
      <c r="P6409" s="53" t="n">
        <v>45929.741712963</v>
      </c>
      <c r="Q6409" s="53" t="n">
        <v>45927.4052662037</v>
      </c>
      <c r="R6409" s="0" t="n">
        <v>0</v>
      </c>
      <c r="S6409" s="51" t="s">
        <v>2416</v>
      </c>
      <c r="T6409" s="51" t="s">
        <v>2416</v>
      </c>
      <c r="U6409" s="0" t="str">
        <f aca="false">"12518490"</f>
        <v>12518490</v>
      </c>
      <c r="V6409" s="51" t="s">
        <v>2365</v>
      </c>
      <c r="W6409" s="51" t="s">
        <v>4548</v>
      </c>
      <c r="X6409" s="51" t="s">
        <v>2359</v>
      </c>
    </row>
    <row r="6410" customFormat="false" ht="14.25" hidden="true" customHeight="false" outlineLevel="0" collapsed="false">
      <c r="A6410" s="49" t="s">
        <v>2349</v>
      </c>
      <c r="B6410" s="49" t="s">
        <v>2350</v>
      </c>
      <c r="C6410" s="49" t="s">
        <v>11039</v>
      </c>
      <c r="D6410" s="49" t="s">
        <v>2352</v>
      </c>
      <c r="E6410" s="49" t="str">
        <f aca="false">"12518490"</f>
        <v>12518490</v>
      </c>
      <c r="F6410" s="49" t="s">
        <v>4858</v>
      </c>
      <c r="G6410" s="49" t="n">
        <v>0</v>
      </c>
      <c r="H6410" s="0" t="n">
        <v>0</v>
      </c>
      <c r="M6410" s="51" t="s">
        <v>11025</v>
      </c>
      <c r="N6410" s="49" t="n">
        <v>0</v>
      </c>
      <c r="O6410" s="53" t="n">
        <v>45927.4054398148</v>
      </c>
      <c r="P6410" s="53" t="n">
        <v>45929.7410185185</v>
      </c>
      <c r="Q6410" s="53" t="n">
        <v>45927.4054398148</v>
      </c>
      <c r="R6410" s="0" t="n">
        <v>0</v>
      </c>
      <c r="S6410" s="51" t="s">
        <v>2416</v>
      </c>
      <c r="T6410" s="51" t="s">
        <v>2416</v>
      </c>
      <c r="U6410" s="0" t="str">
        <f aca="false">"12518490"</f>
        <v>12518490</v>
      </c>
      <c r="V6410" s="51" t="s">
        <v>2365</v>
      </c>
      <c r="W6410" s="51" t="s">
        <v>10857</v>
      </c>
      <c r="X6410" s="51" t="s">
        <v>2359</v>
      </c>
    </row>
    <row r="6411" customFormat="false" ht="14.25" hidden="true" customHeight="false" outlineLevel="0" collapsed="false">
      <c r="A6411" s="49" t="s">
        <v>2349</v>
      </c>
      <c r="B6411" s="49" t="s">
        <v>2350</v>
      </c>
      <c r="C6411" s="49" t="s">
        <v>11040</v>
      </c>
      <c r="D6411" s="49" t="s">
        <v>2352</v>
      </c>
      <c r="E6411" s="49" t="str">
        <f aca="false">"12518490"</f>
        <v>12518490</v>
      </c>
      <c r="F6411" s="49" t="s">
        <v>4858</v>
      </c>
      <c r="G6411" s="49" t="n">
        <v>0</v>
      </c>
      <c r="H6411" s="0" t="n">
        <v>0</v>
      </c>
      <c r="M6411" s="51" t="s">
        <v>11025</v>
      </c>
      <c r="N6411" s="49" t="n">
        <v>0</v>
      </c>
      <c r="O6411" s="53" t="n">
        <v>45927.4056597222</v>
      </c>
      <c r="P6411" s="53" t="n">
        <v>45929.7398148148</v>
      </c>
      <c r="Q6411" s="53" t="n">
        <v>45927.4056597222</v>
      </c>
      <c r="R6411" s="0" t="n">
        <v>0</v>
      </c>
      <c r="S6411" s="51" t="s">
        <v>2416</v>
      </c>
      <c r="T6411" s="51" t="s">
        <v>2416</v>
      </c>
      <c r="U6411" s="0" t="str">
        <f aca="false">"12518490"</f>
        <v>12518490</v>
      </c>
      <c r="V6411" s="51" t="s">
        <v>2365</v>
      </c>
      <c r="W6411" s="51" t="s">
        <v>6786</v>
      </c>
      <c r="X6411" s="51" t="s">
        <v>2359</v>
      </c>
    </row>
    <row r="6412" customFormat="false" ht="14.25" hidden="true" customHeight="false" outlineLevel="0" collapsed="false">
      <c r="A6412" s="49" t="s">
        <v>2349</v>
      </c>
      <c r="B6412" s="49" t="s">
        <v>2350</v>
      </c>
      <c r="C6412" s="49" t="s">
        <v>11041</v>
      </c>
      <c r="D6412" s="49" t="s">
        <v>2352</v>
      </c>
      <c r="E6412" s="49" t="str">
        <f aca="false">"12518490"</f>
        <v>12518490</v>
      </c>
      <c r="F6412" s="49" t="s">
        <v>4858</v>
      </c>
      <c r="G6412" s="49" t="n">
        <v>0</v>
      </c>
      <c r="H6412" s="0" t="n">
        <v>0</v>
      </c>
      <c r="M6412" s="51" t="s">
        <v>11025</v>
      </c>
      <c r="N6412" s="49" t="n">
        <v>0</v>
      </c>
      <c r="O6412" s="53" t="n">
        <v>45927.4059606481</v>
      </c>
      <c r="P6412" s="53" t="n">
        <v>45929.7365972222</v>
      </c>
      <c r="Q6412" s="53" t="n">
        <v>45927.4059606481</v>
      </c>
      <c r="R6412" s="0" t="n">
        <v>0</v>
      </c>
      <c r="S6412" s="51" t="s">
        <v>2416</v>
      </c>
      <c r="T6412" s="51" t="s">
        <v>2416</v>
      </c>
      <c r="U6412" s="0" t="str">
        <f aca="false">"12518490"</f>
        <v>12518490</v>
      </c>
      <c r="V6412" s="51" t="s">
        <v>2365</v>
      </c>
      <c r="W6412" s="51" t="s">
        <v>7570</v>
      </c>
      <c r="X6412" s="51" t="s">
        <v>2359</v>
      </c>
    </row>
    <row r="6413" customFormat="false" ht="14.25" hidden="true" customHeight="false" outlineLevel="0" collapsed="false">
      <c r="A6413" s="49" t="s">
        <v>2349</v>
      </c>
      <c r="B6413" s="49" t="s">
        <v>2350</v>
      </c>
      <c r="C6413" s="49" t="s">
        <v>11042</v>
      </c>
      <c r="D6413" s="49" t="s">
        <v>2352</v>
      </c>
      <c r="E6413" s="49" t="str">
        <f aca="false">"12518490"</f>
        <v>12518490</v>
      </c>
      <c r="F6413" s="49" t="s">
        <v>4858</v>
      </c>
      <c r="G6413" s="49" t="n">
        <v>0</v>
      </c>
      <c r="H6413" s="0" t="n">
        <v>0</v>
      </c>
      <c r="M6413" s="51" t="s">
        <v>11025</v>
      </c>
      <c r="N6413" s="49" t="n">
        <v>0</v>
      </c>
      <c r="O6413" s="53" t="n">
        <v>45927.406712963</v>
      </c>
      <c r="P6413" s="53" t="n">
        <v>45949.6493634259</v>
      </c>
      <c r="Q6413" s="53" t="n">
        <v>45927.406712963</v>
      </c>
      <c r="R6413" s="0" t="n">
        <v>0</v>
      </c>
      <c r="S6413" s="51" t="s">
        <v>2416</v>
      </c>
      <c r="T6413" s="51" t="s">
        <v>2416</v>
      </c>
      <c r="U6413" s="0" t="str">
        <f aca="false">"12518490"</f>
        <v>12518490</v>
      </c>
      <c r="V6413" s="51" t="s">
        <v>2365</v>
      </c>
      <c r="W6413" s="51" t="s">
        <v>9327</v>
      </c>
      <c r="X6413" s="51" t="s">
        <v>2359</v>
      </c>
    </row>
    <row r="6414" customFormat="false" ht="14.25" hidden="true" customHeight="false" outlineLevel="0" collapsed="false">
      <c r="A6414" s="49" t="s">
        <v>2349</v>
      </c>
      <c r="B6414" s="49" t="s">
        <v>2350</v>
      </c>
      <c r="C6414" s="49" t="s">
        <v>11043</v>
      </c>
      <c r="D6414" s="49" t="s">
        <v>2352</v>
      </c>
      <c r="E6414" s="49" t="str">
        <f aca="false">"10074865055175"</f>
        <v>10074865055175</v>
      </c>
      <c r="F6414" s="49" t="s">
        <v>5090</v>
      </c>
      <c r="G6414" s="49" t="n">
        <v>0</v>
      </c>
      <c r="H6414" s="0" t="n">
        <v>0</v>
      </c>
      <c r="M6414" s="51" t="s">
        <v>11044</v>
      </c>
      <c r="N6414" s="49" t="n">
        <v>0</v>
      </c>
      <c r="O6414" s="53" t="n">
        <v>45973.3566087963</v>
      </c>
      <c r="P6414" s="53" t="n">
        <v>45992.4034375</v>
      </c>
      <c r="R6414" s="0" t="n">
        <v>0</v>
      </c>
      <c r="T6414" s="51" t="s">
        <v>3780</v>
      </c>
      <c r="U6414" s="0" t="str">
        <f aca="false">"10074865055175"</f>
        <v>10074865055175</v>
      </c>
      <c r="V6414" s="51" t="s">
        <v>2365</v>
      </c>
      <c r="W6414" s="51" t="s">
        <v>9908</v>
      </c>
      <c r="X6414" s="51" t="s">
        <v>2359</v>
      </c>
    </row>
    <row r="6415" customFormat="false" ht="14.25" hidden="true" customHeight="false" outlineLevel="0" collapsed="false">
      <c r="A6415" s="49" t="s">
        <v>2349</v>
      </c>
      <c r="B6415" s="49" t="s">
        <v>2350</v>
      </c>
      <c r="C6415" s="49" t="s">
        <v>11045</v>
      </c>
      <c r="D6415" s="49" t="s">
        <v>2352</v>
      </c>
      <c r="E6415" s="49" t="str">
        <f aca="false">"10074865055175"</f>
        <v>10074865055175</v>
      </c>
      <c r="F6415" s="49" t="s">
        <v>5090</v>
      </c>
      <c r="G6415" s="49" t="n">
        <v>0</v>
      </c>
      <c r="H6415" s="0" t="n">
        <v>0</v>
      </c>
      <c r="M6415" s="51" t="s">
        <v>11044</v>
      </c>
      <c r="N6415" s="49" t="n">
        <v>0</v>
      </c>
      <c r="O6415" s="53" t="n">
        <v>45970.4846064815</v>
      </c>
      <c r="P6415" s="53" t="n">
        <v>45971.4276041667</v>
      </c>
      <c r="Q6415" s="53" t="n">
        <v>45970.4846064815</v>
      </c>
      <c r="R6415" s="0" t="n">
        <v>0</v>
      </c>
      <c r="S6415" s="51" t="s">
        <v>2401</v>
      </c>
      <c r="T6415" s="51" t="s">
        <v>2401</v>
      </c>
      <c r="U6415" s="0" t="str">
        <f aca="false">"10074865055175"</f>
        <v>10074865055175</v>
      </c>
      <c r="V6415" s="51" t="s">
        <v>2365</v>
      </c>
      <c r="W6415" s="51" t="s">
        <v>9908</v>
      </c>
      <c r="X6415" s="51" t="s">
        <v>2359</v>
      </c>
    </row>
    <row r="6416" customFormat="false" ht="14.25" hidden="true" customHeight="false" outlineLevel="0" collapsed="false">
      <c r="A6416" s="49" t="s">
        <v>2349</v>
      </c>
      <c r="B6416" s="49" t="s">
        <v>2350</v>
      </c>
      <c r="C6416" s="49" t="s">
        <v>11046</v>
      </c>
      <c r="D6416" s="49" t="s">
        <v>2352</v>
      </c>
      <c r="E6416" s="49" t="str">
        <f aca="false">"10074865055175"</f>
        <v>10074865055175</v>
      </c>
      <c r="F6416" s="49" t="s">
        <v>5090</v>
      </c>
      <c r="G6416" s="49" t="n">
        <v>0</v>
      </c>
      <c r="H6416" s="0" t="n">
        <v>0</v>
      </c>
      <c r="M6416" s="51" t="s">
        <v>11044</v>
      </c>
      <c r="N6416" s="49" t="n">
        <v>0</v>
      </c>
      <c r="O6416" s="53" t="n">
        <v>45970.4855092593</v>
      </c>
      <c r="P6416" s="53" t="n">
        <v>45973.9118287037</v>
      </c>
      <c r="Q6416" s="53" t="n">
        <v>45970.4855092593</v>
      </c>
      <c r="R6416" s="0" t="n">
        <v>0</v>
      </c>
      <c r="S6416" s="51" t="s">
        <v>2401</v>
      </c>
      <c r="T6416" s="51" t="s">
        <v>2401</v>
      </c>
      <c r="U6416" s="0" t="str">
        <f aca="false">"10074865055175"</f>
        <v>10074865055175</v>
      </c>
      <c r="V6416" s="51" t="s">
        <v>2365</v>
      </c>
      <c r="W6416" s="51" t="s">
        <v>10179</v>
      </c>
      <c r="X6416" s="51" t="s">
        <v>2359</v>
      </c>
    </row>
    <row r="6417" customFormat="false" ht="14.25" hidden="true" customHeight="false" outlineLevel="0" collapsed="false">
      <c r="A6417" s="49" t="s">
        <v>2349</v>
      </c>
      <c r="B6417" s="49" t="s">
        <v>2350</v>
      </c>
      <c r="C6417" s="49" t="s">
        <v>11047</v>
      </c>
      <c r="D6417" s="49" t="s">
        <v>2352</v>
      </c>
      <c r="E6417" s="49" t="str">
        <f aca="false">"10074865055175"</f>
        <v>10074865055175</v>
      </c>
      <c r="F6417" s="49" t="s">
        <v>5090</v>
      </c>
      <c r="G6417" s="49" t="n">
        <v>0</v>
      </c>
      <c r="H6417" s="0" t="n">
        <v>0</v>
      </c>
      <c r="M6417" s="51" t="s">
        <v>11044</v>
      </c>
      <c r="N6417" s="49" t="n">
        <v>0</v>
      </c>
      <c r="O6417" s="53" t="n">
        <v>45970.48625</v>
      </c>
      <c r="P6417" s="53" t="n">
        <v>45973.9108912037</v>
      </c>
      <c r="Q6417" s="53" t="n">
        <v>45970.48625</v>
      </c>
      <c r="R6417" s="0" t="n">
        <v>0</v>
      </c>
      <c r="S6417" s="51" t="s">
        <v>2401</v>
      </c>
      <c r="T6417" s="51" t="s">
        <v>2401</v>
      </c>
      <c r="U6417" s="0" t="str">
        <f aca="false">"10074865055175"</f>
        <v>10074865055175</v>
      </c>
      <c r="V6417" s="51" t="s">
        <v>2365</v>
      </c>
      <c r="W6417" s="51" t="s">
        <v>9922</v>
      </c>
      <c r="X6417" s="51" t="s">
        <v>2359</v>
      </c>
    </row>
    <row r="6418" customFormat="false" ht="14.25" hidden="true" customHeight="false" outlineLevel="0" collapsed="false">
      <c r="A6418" s="49" t="s">
        <v>2349</v>
      </c>
      <c r="B6418" s="49" t="s">
        <v>2350</v>
      </c>
      <c r="C6418" s="49" t="s">
        <v>11048</v>
      </c>
      <c r="D6418" s="49" t="s">
        <v>2352</v>
      </c>
      <c r="E6418" s="49" t="str">
        <f aca="false">"10074865055175"</f>
        <v>10074865055175</v>
      </c>
      <c r="F6418" s="49" t="s">
        <v>5090</v>
      </c>
      <c r="G6418" s="49" t="n">
        <v>0</v>
      </c>
      <c r="H6418" s="0" t="n">
        <v>0</v>
      </c>
      <c r="M6418" s="51" t="s">
        <v>11044</v>
      </c>
      <c r="N6418" s="49" t="n">
        <v>0</v>
      </c>
      <c r="O6418" s="53" t="n">
        <v>45970.4869791667</v>
      </c>
      <c r="P6418" s="53" t="n">
        <v>45979.9554398148</v>
      </c>
      <c r="Q6418" s="53" t="n">
        <v>45970.4869791667</v>
      </c>
      <c r="R6418" s="0" t="n">
        <v>0</v>
      </c>
      <c r="S6418" s="51" t="s">
        <v>2401</v>
      </c>
      <c r="T6418" s="51" t="s">
        <v>2401</v>
      </c>
      <c r="U6418" s="0" t="str">
        <f aca="false">"10074865055175"</f>
        <v>10074865055175</v>
      </c>
      <c r="V6418" s="51" t="s">
        <v>2365</v>
      </c>
      <c r="W6418" s="51" t="s">
        <v>11049</v>
      </c>
      <c r="X6418" s="51" t="s">
        <v>2359</v>
      </c>
    </row>
    <row r="6419" customFormat="false" ht="14.25" hidden="true" customHeight="false" outlineLevel="0" collapsed="false">
      <c r="A6419" s="49" t="s">
        <v>2349</v>
      </c>
      <c r="B6419" s="49" t="s">
        <v>2350</v>
      </c>
      <c r="C6419" s="49" t="s">
        <v>11050</v>
      </c>
      <c r="D6419" s="49" t="s">
        <v>2352</v>
      </c>
      <c r="E6419" s="49" t="str">
        <f aca="false">"10074865055175"</f>
        <v>10074865055175</v>
      </c>
      <c r="F6419" s="49" t="s">
        <v>5090</v>
      </c>
      <c r="G6419" s="49" t="n">
        <v>0</v>
      </c>
      <c r="H6419" s="0" t="n">
        <v>0</v>
      </c>
      <c r="M6419" s="51" t="s">
        <v>11044</v>
      </c>
      <c r="N6419" s="49" t="n">
        <v>0</v>
      </c>
      <c r="O6419" s="53" t="n">
        <v>45970.487662037</v>
      </c>
      <c r="P6419" s="53" t="n">
        <v>45970.9173842593</v>
      </c>
      <c r="Q6419" s="53" t="n">
        <v>45970.487662037</v>
      </c>
      <c r="R6419" s="0" t="n">
        <v>0</v>
      </c>
      <c r="S6419" s="51" t="s">
        <v>2401</v>
      </c>
      <c r="T6419" s="51" t="s">
        <v>2401</v>
      </c>
      <c r="U6419" s="0" t="str">
        <f aca="false">"10074865055175"</f>
        <v>10074865055175</v>
      </c>
      <c r="V6419" s="51" t="s">
        <v>2365</v>
      </c>
      <c r="W6419" s="51" t="s">
        <v>11051</v>
      </c>
      <c r="X6419" s="51" t="s">
        <v>2359</v>
      </c>
    </row>
    <row r="6420" customFormat="false" ht="14.25" hidden="true" customHeight="false" outlineLevel="0" collapsed="false">
      <c r="A6420" s="49" t="s">
        <v>2349</v>
      </c>
      <c r="B6420" s="49" t="s">
        <v>2350</v>
      </c>
      <c r="C6420" s="49" t="s">
        <v>11052</v>
      </c>
      <c r="D6420" s="49" t="s">
        <v>2352</v>
      </c>
      <c r="E6420" s="49" t="str">
        <f aca="false">"10074865055175"</f>
        <v>10074865055175</v>
      </c>
      <c r="F6420" s="49" t="s">
        <v>5090</v>
      </c>
      <c r="G6420" s="49" t="n">
        <v>0</v>
      </c>
      <c r="H6420" s="0" t="n">
        <v>0</v>
      </c>
      <c r="M6420" s="51" t="s">
        <v>11044</v>
      </c>
      <c r="N6420" s="49" t="n">
        <v>0</v>
      </c>
      <c r="O6420" s="53" t="n">
        <v>45970.4883101852</v>
      </c>
      <c r="P6420" s="53" t="n">
        <v>45973.915775463</v>
      </c>
      <c r="Q6420" s="53" t="n">
        <v>45970.4883101852</v>
      </c>
      <c r="R6420" s="0" t="n">
        <v>0</v>
      </c>
      <c r="S6420" s="51" t="s">
        <v>2401</v>
      </c>
      <c r="T6420" s="51" t="s">
        <v>2401</v>
      </c>
      <c r="U6420" s="0" t="str">
        <f aca="false">"10074865055175"</f>
        <v>10074865055175</v>
      </c>
      <c r="V6420" s="51" t="s">
        <v>2365</v>
      </c>
      <c r="W6420" s="51" t="s">
        <v>10142</v>
      </c>
      <c r="X6420" s="51" t="s">
        <v>2359</v>
      </c>
    </row>
    <row r="6421" customFormat="false" ht="14.25" hidden="true" customHeight="false" outlineLevel="0" collapsed="false">
      <c r="A6421" s="49" t="s">
        <v>2349</v>
      </c>
      <c r="B6421" s="49" t="s">
        <v>2350</v>
      </c>
      <c r="C6421" s="49" t="s">
        <v>11053</v>
      </c>
      <c r="D6421" s="49" t="s">
        <v>2352</v>
      </c>
      <c r="E6421" s="49" t="str">
        <f aca="false">"10074865055175"</f>
        <v>10074865055175</v>
      </c>
      <c r="F6421" s="49" t="s">
        <v>5090</v>
      </c>
      <c r="G6421" s="49" t="n">
        <v>0</v>
      </c>
      <c r="H6421" s="0" t="n">
        <v>0</v>
      </c>
      <c r="M6421" s="51" t="s">
        <v>11044</v>
      </c>
      <c r="N6421" s="49" t="n">
        <v>0</v>
      </c>
      <c r="O6421" s="53" t="n">
        <v>45970.4889351852</v>
      </c>
      <c r="P6421" s="53" t="n">
        <v>45985.7527314815</v>
      </c>
      <c r="Q6421" s="53" t="n">
        <v>45970.4889351852</v>
      </c>
      <c r="R6421" s="0" t="n">
        <v>0</v>
      </c>
      <c r="S6421" s="51" t="s">
        <v>2401</v>
      </c>
      <c r="T6421" s="51" t="s">
        <v>2401</v>
      </c>
      <c r="U6421" s="0" t="str">
        <f aca="false">"10074865055175"</f>
        <v>10074865055175</v>
      </c>
      <c r="V6421" s="51" t="s">
        <v>2365</v>
      </c>
      <c r="W6421" s="51" t="s">
        <v>4197</v>
      </c>
      <c r="X6421" s="51" t="s">
        <v>2359</v>
      </c>
    </row>
    <row r="6422" customFormat="false" ht="14.25" hidden="true" customHeight="false" outlineLevel="0" collapsed="false">
      <c r="A6422" s="49" t="s">
        <v>2349</v>
      </c>
      <c r="B6422" s="49" t="s">
        <v>2350</v>
      </c>
      <c r="C6422" s="49" t="s">
        <v>11054</v>
      </c>
      <c r="D6422" s="49" t="s">
        <v>2352</v>
      </c>
      <c r="E6422" s="49" t="str">
        <f aca="false">"10074865055175"</f>
        <v>10074865055175</v>
      </c>
      <c r="F6422" s="49" t="s">
        <v>5090</v>
      </c>
      <c r="G6422" s="49" t="n">
        <v>0</v>
      </c>
      <c r="H6422" s="0" t="n">
        <v>0</v>
      </c>
      <c r="M6422" s="51" t="s">
        <v>11044</v>
      </c>
      <c r="N6422" s="49" t="n">
        <v>0</v>
      </c>
      <c r="O6422" s="53" t="n">
        <v>45970.4896064815</v>
      </c>
      <c r="P6422" s="53" t="n">
        <v>45973.9132523148</v>
      </c>
      <c r="Q6422" s="53" t="n">
        <v>45970.4896064815</v>
      </c>
      <c r="R6422" s="0" t="n">
        <v>0</v>
      </c>
      <c r="S6422" s="51" t="s">
        <v>2401</v>
      </c>
      <c r="T6422" s="51" t="s">
        <v>2401</v>
      </c>
      <c r="U6422" s="0" t="str">
        <f aca="false">"10074865055175"</f>
        <v>10074865055175</v>
      </c>
      <c r="V6422" s="51" t="s">
        <v>2365</v>
      </c>
      <c r="W6422" s="51" t="s">
        <v>11055</v>
      </c>
      <c r="X6422" s="51" t="s">
        <v>2359</v>
      </c>
    </row>
    <row r="6423" customFormat="false" ht="14.25" hidden="true" customHeight="false" outlineLevel="0" collapsed="false">
      <c r="A6423" s="49" t="s">
        <v>2349</v>
      </c>
      <c r="B6423" s="49" t="s">
        <v>2350</v>
      </c>
      <c r="C6423" s="49" t="s">
        <v>11056</v>
      </c>
      <c r="D6423" s="49" t="s">
        <v>2352</v>
      </c>
      <c r="E6423" s="49" t="str">
        <f aca="false">"10074865055175"</f>
        <v>10074865055175</v>
      </c>
      <c r="F6423" s="49" t="s">
        <v>5090</v>
      </c>
      <c r="G6423" s="49" t="n">
        <v>0</v>
      </c>
      <c r="H6423" s="0" t="n">
        <v>0</v>
      </c>
      <c r="M6423" s="51" t="s">
        <v>11044</v>
      </c>
      <c r="N6423" s="49" t="n">
        <v>0</v>
      </c>
      <c r="O6423" s="53" t="n">
        <v>45970.5777546296</v>
      </c>
      <c r="P6423" s="53" t="n">
        <v>46011.5669791667</v>
      </c>
      <c r="R6423" s="0" t="n">
        <v>0</v>
      </c>
      <c r="T6423" s="51" t="s">
        <v>2364</v>
      </c>
      <c r="U6423" s="0" t="str">
        <f aca="false">"10074865055175"</f>
        <v>10074865055175</v>
      </c>
      <c r="V6423" s="51" t="s">
        <v>2365</v>
      </c>
      <c r="W6423" s="51" t="s">
        <v>11057</v>
      </c>
      <c r="X6423" s="51" t="s">
        <v>2359</v>
      </c>
    </row>
    <row r="6424" customFormat="false" ht="14.25" hidden="true" customHeight="false" outlineLevel="0" collapsed="false">
      <c r="A6424" s="49" t="s">
        <v>2349</v>
      </c>
      <c r="B6424" s="49" t="s">
        <v>2350</v>
      </c>
      <c r="C6424" s="49" t="s">
        <v>11058</v>
      </c>
      <c r="D6424" s="49" t="s">
        <v>2352</v>
      </c>
      <c r="E6424" s="49" t="str">
        <f aca="false">"10074865055175"</f>
        <v>10074865055175</v>
      </c>
      <c r="F6424" s="49" t="s">
        <v>5090</v>
      </c>
      <c r="G6424" s="49" t="n">
        <v>0</v>
      </c>
      <c r="H6424" s="0" t="n">
        <v>0</v>
      </c>
      <c r="M6424" s="51" t="s">
        <v>11044</v>
      </c>
      <c r="N6424" s="49" t="n">
        <v>0</v>
      </c>
      <c r="O6424" s="53" t="n">
        <v>46008.0431828704</v>
      </c>
      <c r="P6424" s="53" t="n">
        <v>46013.4491087963</v>
      </c>
      <c r="R6424" s="0" t="n">
        <v>0</v>
      </c>
      <c r="T6424" s="51" t="s">
        <v>2364</v>
      </c>
      <c r="U6424" s="0" t="str">
        <f aca="false">"10074865055175"</f>
        <v>10074865055175</v>
      </c>
      <c r="V6424" s="51" t="s">
        <v>2365</v>
      </c>
      <c r="W6424" s="51" t="s">
        <v>11057</v>
      </c>
      <c r="X6424" s="51" t="s">
        <v>2359</v>
      </c>
    </row>
    <row r="6425" customFormat="false" ht="14.25" hidden="true" customHeight="false" outlineLevel="0" collapsed="false">
      <c r="A6425" s="49" t="s">
        <v>2349</v>
      </c>
      <c r="B6425" s="49" t="s">
        <v>2350</v>
      </c>
      <c r="C6425" s="49" t="s">
        <v>11059</v>
      </c>
      <c r="D6425" s="49" t="s">
        <v>2352</v>
      </c>
      <c r="E6425" s="49" t="s">
        <v>10773</v>
      </c>
      <c r="F6425" s="49" t="s">
        <v>10774</v>
      </c>
      <c r="G6425" s="49" t="n">
        <v>0</v>
      </c>
      <c r="H6425" s="0" t="n">
        <v>0</v>
      </c>
      <c r="M6425" s="51" t="s">
        <v>11060</v>
      </c>
      <c r="N6425" s="49" t="n">
        <v>0</v>
      </c>
      <c r="O6425" s="53" t="n">
        <v>45914.5765509259</v>
      </c>
      <c r="P6425" s="53" t="n">
        <v>45956.6960185185</v>
      </c>
      <c r="Q6425" s="53" t="n">
        <v>45914.5765509259</v>
      </c>
      <c r="R6425" s="0" t="n">
        <v>0</v>
      </c>
      <c r="S6425" s="51" t="s">
        <v>2356</v>
      </c>
      <c r="T6425" s="51" t="s">
        <v>2356</v>
      </c>
      <c r="U6425" s="51" t="s">
        <v>10773</v>
      </c>
      <c r="W6425" s="51" t="s">
        <v>5968</v>
      </c>
      <c r="X6425" s="51" t="s">
        <v>2359</v>
      </c>
    </row>
    <row r="6426" customFormat="false" ht="14.25" hidden="true" customHeight="false" outlineLevel="0" collapsed="false">
      <c r="A6426" s="49" t="s">
        <v>2349</v>
      </c>
      <c r="B6426" s="49" t="s">
        <v>2350</v>
      </c>
      <c r="C6426" s="49" t="s">
        <v>11061</v>
      </c>
      <c r="D6426" s="49" t="s">
        <v>2352</v>
      </c>
      <c r="E6426" s="49" t="str">
        <f aca="false">"8908020441030"</f>
        <v>8908020441030</v>
      </c>
      <c r="F6426" s="49" t="s">
        <v>5384</v>
      </c>
      <c r="G6426" s="49" t="n">
        <v>0</v>
      </c>
      <c r="H6426" s="0" t="n">
        <v>0</v>
      </c>
      <c r="M6426" s="51" t="s">
        <v>11062</v>
      </c>
      <c r="N6426" s="49" t="n">
        <v>0</v>
      </c>
      <c r="O6426" s="53" t="n">
        <v>45965.3626273148</v>
      </c>
      <c r="P6426" s="53" t="n">
        <v>45965.6390393519</v>
      </c>
      <c r="Q6426" s="53" t="n">
        <v>45965.3626273148</v>
      </c>
      <c r="R6426" s="0" t="n">
        <v>0</v>
      </c>
      <c r="S6426" s="51" t="s">
        <v>2356</v>
      </c>
      <c r="T6426" s="51" t="s">
        <v>2356</v>
      </c>
      <c r="U6426" s="0" t="str">
        <f aca="false">"8908020441030"</f>
        <v>8908020441030</v>
      </c>
      <c r="V6426" s="51" t="s">
        <v>5386</v>
      </c>
      <c r="W6426" s="51" t="s">
        <v>3670</v>
      </c>
      <c r="X6426" s="51" t="s">
        <v>2359</v>
      </c>
    </row>
    <row r="6427" customFormat="false" ht="14.25" hidden="true" customHeight="false" outlineLevel="0" collapsed="false">
      <c r="A6427" s="49" t="s">
        <v>2349</v>
      </c>
      <c r="B6427" s="49" t="s">
        <v>2350</v>
      </c>
      <c r="C6427" s="49" t="s">
        <v>11063</v>
      </c>
      <c r="D6427" s="49" t="s">
        <v>2352</v>
      </c>
      <c r="E6427" s="49" t="str">
        <f aca="false">"10074865055175"</f>
        <v>10074865055175</v>
      </c>
      <c r="F6427" s="49" t="s">
        <v>5090</v>
      </c>
      <c r="G6427" s="49" t="n">
        <v>0</v>
      </c>
      <c r="H6427" s="0" t="n">
        <v>0</v>
      </c>
      <c r="M6427" s="51" t="s">
        <v>11064</v>
      </c>
      <c r="N6427" s="49" t="n">
        <v>0</v>
      </c>
      <c r="O6427" s="53" t="n">
        <v>45966.6971180556</v>
      </c>
      <c r="P6427" s="53" t="n">
        <v>45971.9598032407</v>
      </c>
      <c r="Q6427" s="53" t="n">
        <v>45966.6971180556</v>
      </c>
      <c r="R6427" s="0" t="n">
        <v>0</v>
      </c>
      <c r="S6427" s="51" t="s">
        <v>2401</v>
      </c>
      <c r="T6427" s="51" t="s">
        <v>2401</v>
      </c>
      <c r="U6427" s="0" t="str">
        <f aca="false">"10074865055175"</f>
        <v>10074865055175</v>
      </c>
      <c r="V6427" s="51" t="s">
        <v>2365</v>
      </c>
      <c r="W6427" s="51" t="s">
        <v>4618</v>
      </c>
      <c r="X6427" s="51" t="s">
        <v>2359</v>
      </c>
    </row>
    <row r="6428" customFormat="false" ht="14.25" hidden="true" customHeight="false" outlineLevel="0" collapsed="false">
      <c r="A6428" s="49" t="s">
        <v>2349</v>
      </c>
      <c r="B6428" s="49" t="s">
        <v>2350</v>
      </c>
      <c r="C6428" s="49" t="s">
        <v>11065</v>
      </c>
      <c r="D6428" s="49" t="s">
        <v>2352</v>
      </c>
      <c r="E6428" s="49" t="str">
        <f aca="false">"10074865055175"</f>
        <v>10074865055175</v>
      </c>
      <c r="F6428" s="49" t="s">
        <v>5090</v>
      </c>
      <c r="G6428" s="49" t="n">
        <v>0</v>
      </c>
      <c r="H6428" s="0" t="n">
        <v>0</v>
      </c>
      <c r="M6428" s="51" t="s">
        <v>11064</v>
      </c>
      <c r="N6428" s="49" t="n">
        <v>0</v>
      </c>
      <c r="O6428" s="53" t="n">
        <v>46008.3239236111</v>
      </c>
      <c r="P6428" s="53" t="n">
        <v>46013.4495949074</v>
      </c>
      <c r="R6428" s="0" t="n">
        <v>0</v>
      </c>
      <c r="T6428" s="51" t="s">
        <v>2364</v>
      </c>
      <c r="U6428" s="0" t="str">
        <f aca="false">"10074865055175"</f>
        <v>10074865055175</v>
      </c>
      <c r="V6428" s="51" t="s">
        <v>2365</v>
      </c>
      <c r="W6428" s="51" t="s">
        <v>11066</v>
      </c>
      <c r="X6428" s="51" t="s">
        <v>2359</v>
      </c>
    </row>
    <row r="6429" customFormat="false" ht="14.25" hidden="true" customHeight="false" outlineLevel="0" collapsed="false">
      <c r="A6429" s="49" t="s">
        <v>2349</v>
      </c>
      <c r="B6429" s="49" t="s">
        <v>2350</v>
      </c>
      <c r="C6429" s="49" t="s">
        <v>11067</v>
      </c>
      <c r="D6429" s="49" t="s">
        <v>2352</v>
      </c>
      <c r="E6429" s="49" t="s">
        <v>4351</v>
      </c>
      <c r="F6429" s="49" t="s">
        <v>4352</v>
      </c>
      <c r="G6429" s="49" t="n">
        <v>0</v>
      </c>
      <c r="H6429" s="0" t="n">
        <v>0</v>
      </c>
      <c r="M6429" s="51" t="s">
        <v>11068</v>
      </c>
      <c r="N6429" s="49" t="n">
        <v>0</v>
      </c>
      <c r="O6429" s="53" t="n">
        <v>45918.3096875</v>
      </c>
      <c r="P6429" s="53" t="n">
        <v>45929.3486458333</v>
      </c>
      <c r="Q6429" s="53" t="n">
        <v>45918.3096875</v>
      </c>
      <c r="R6429" s="0" t="n">
        <v>0</v>
      </c>
      <c r="S6429" s="51" t="s">
        <v>2356</v>
      </c>
      <c r="T6429" s="51" t="s">
        <v>2356</v>
      </c>
      <c r="U6429" s="51" t="s">
        <v>4351</v>
      </c>
      <c r="V6429" s="51" t="s">
        <v>2365</v>
      </c>
      <c r="W6429" s="51" t="s">
        <v>4160</v>
      </c>
      <c r="X6429" s="51" t="s">
        <v>2359</v>
      </c>
    </row>
    <row r="6430" customFormat="false" ht="14.25" hidden="true" customHeight="false" outlineLevel="0" collapsed="false">
      <c r="A6430" s="49" t="s">
        <v>2349</v>
      </c>
      <c r="B6430" s="49" t="s">
        <v>2350</v>
      </c>
      <c r="C6430" s="49" t="s">
        <v>11069</v>
      </c>
      <c r="D6430" s="49" t="s">
        <v>2352</v>
      </c>
      <c r="E6430" s="49" t="str">
        <f aca="false">"12464079"</f>
        <v>12464079</v>
      </c>
      <c r="F6430" s="49" t="s">
        <v>4706</v>
      </c>
      <c r="G6430" s="49" t="n">
        <v>0</v>
      </c>
      <c r="H6430" s="0" t="n">
        <v>0</v>
      </c>
      <c r="M6430" s="51" t="s">
        <v>11070</v>
      </c>
      <c r="N6430" s="49" t="n">
        <v>0</v>
      </c>
      <c r="O6430" s="53" t="n">
        <v>45894.5271296296</v>
      </c>
      <c r="P6430" s="53" t="n">
        <v>45899.7883680556</v>
      </c>
      <c r="Q6430" s="53" t="n">
        <v>45894.5271296296</v>
      </c>
      <c r="R6430" s="0" t="n">
        <v>0</v>
      </c>
      <c r="S6430" s="51" t="s">
        <v>2416</v>
      </c>
      <c r="T6430" s="51" t="s">
        <v>2416</v>
      </c>
      <c r="U6430" s="0" t="str">
        <f aca="false">"12464079"</f>
        <v>12464079</v>
      </c>
      <c r="V6430" s="51" t="s">
        <v>2365</v>
      </c>
      <c r="W6430" s="51" t="s">
        <v>11071</v>
      </c>
      <c r="X6430" s="51" t="s">
        <v>2359</v>
      </c>
    </row>
    <row r="6431" customFormat="false" ht="14.25" hidden="true" customHeight="false" outlineLevel="0" collapsed="false">
      <c r="A6431" s="49" t="s">
        <v>2349</v>
      </c>
      <c r="B6431" s="49" t="s">
        <v>2350</v>
      </c>
      <c r="C6431" s="49" t="s">
        <v>11072</v>
      </c>
      <c r="D6431" s="49" t="s">
        <v>2352</v>
      </c>
      <c r="E6431" s="49" t="str">
        <f aca="false">"12464079"</f>
        <v>12464079</v>
      </c>
      <c r="F6431" s="49" t="s">
        <v>4706</v>
      </c>
      <c r="G6431" s="49" t="n">
        <v>0</v>
      </c>
      <c r="H6431" s="0" t="n">
        <v>0</v>
      </c>
      <c r="M6431" s="51" t="s">
        <v>11070</v>
      </c>
      <c r="N6431" s="49" t="n">
        <v>0</v>
      </c>
      <c r="O6431" s="53" t="n">
        <v>45894.5270138889</v>
      </c>
      <c r="P6431" s="53" t="n">
        <v>45899.7892476852</v>
      </c>
      <c r="Q6431" s="53" t="n">
        <v>45894.5270138889</v>
      </c>
      <c r="R6431" s="0" t="n">
        <v>0</v>
      </c>
      <c r="S6431" s="51" t="s">
        <v>2416</v>
      </c>
      <c r="T6431" s="51" t="s">
        <v>2416</v>
      </c>
      <c r="U6431" s="0" t="str">
        <f aca="false">"12464079"</f>
        <v>12464079</v>
      </c>
      <c r="V6431" s="51" t="s">
        <v>2365</v>
      </c>
      <c r="W6431" s="51" t="s">
        <v>11073</v>
      </c>
      <c r="X6431" s="51" t="s">
        <v>2359</v>
      </c>
    </row>
    <row r="6432" customFormat="false" ht="14.25" hidden="true" customHeight="false" outlineLevel="0" collapsed="false">
      <c r="A6432" s="49" t="s">
        <v>2349</v>
      </c>
      <c r="B6432" s="49" t="s">
        <v>2350</v>
      </c>
      <c r="C6432" s="49" t="s">
        <v>11074</v>
      </c>
      <c r="D6432" s="49" t="s">
        <v>2352</v>
      </c>
      <c r="E6432" s="49" t="str">
        <f aca="false">"12464079"</f>
        <v>12464079</v>
      </c>
      <c r="F6432" s="49" t="s">
        <v>4706</v>
      </c>
      <c r="G6432" s="49" t="n">
        <v>0</v>
      </c>
      <c r="H6432" s="0" t="n">
        <v>0</v>
      </c>
      <c r="M6432" s="51" t="s">
        <v>11070</v>
      </c>
      <c r="N6432" s="49" t="n">
        <v>0</v>
      </c>
      <c r="O6432" s="53" t="n">
        <v>45894.5268634259</v>
      </c>
      <c r="P6432" s="53" t="n">
        <v>45899.7905671296</v>
      </c>
      <c r="Q6432" s="53" t="n">
        <v>45894.5268634259</v>
      </c>
      <c r="R6432" s="0" t="n">
        <v>0</v>
      </c>
      <c r="S6432" s="51" t="s">
        <v>2416</v>
      </c>
      <c r="T6432" s="51" t="s">
        <v>2416</v>
      </c>
      <c r="U6432" s="0" t="str">
        <f aca="false">"12464079"</f>
        <v>12464079</v>
      </c>
      <c r="V6432" s="51" t="s">
        <v>2365</v>
      </c>
      <c r="W6432" s="51" t="s">
        <v>5861</v>
      </c>
      <c r="X6432" s="51" t="s">
        <v>2359</v>
      </c>
    </row>
    <row r="6433" customFormat="false" ht="14.25" hidden="true" customHeight="false" outlineLevel="0" collapsed="false">
      <c r="A6433" s="49" t="s">
        <v>2349</v>
      </c>
      <c r="B6433" s="49" t="s">
        <v>2350</v>
      </c>
      <c r="C6433" s="49" t="s">
        <v>11075</v>
      </c>
      <c r="D6433" s="49" t="s">
        <v>2352</v>
      </c>
      <c r="E6433" s="49" t="str">
        <f aca="false">"12464079"</f>
        <v>12464079</v>
      </c>
      <c r="F6433" s="49" t="s">
        <v>4706</v>
      </c>
      <c r="G6433" s="49" t="n">
        <v>0</v>
      </c>
      <c r="H6433" s="0" t="n">
        <v>0</v>
      </c>
      <c r="M6433" s="51" t="s">
        <v>11070</v>
      </c>
      <c r="N6433" s="49" t="n">
        <v>0</v>
      </c>
      <c r="O6433" s="53" t="n">
        <v>45894.526724537</v>
      </c>
      <c r="P6433" s="53" t="n">
        <v>45929.710775463</v>
      </c>
      <c r="Q6433" s="53" t="n">
        <v>45894.526724537</v>
      </c>
      <c r="R6433" s="0" t="n">
        <v>0</v>
      </c>
      <c r="S6433" s="51" t="s">
        <v>2416</v>
      </c>
      <c r="T6433" s="51" t="s">
        <v>2416</v>
      </c>
      <c r="U6433" s="0" t="str">
        <f aca="false">"12464079"</f>
        <v>12464079</v>
      </c>
      <c r="V6433" s="51" t="s">
        <v>2365</v>
      </c>
      <c r="W6433" s="51" t="s">
        <v>11076</v>
      </c>
      <c r="X6433" s="51" t="s">
        <v>2359</v>
      </c>
    </row>
    <row r="6434" customFormat="false" ht="14.25" hidden="true" customHeight="false" outlineLevel="0" collapsed="false">
      <c r="A6434" s="49" t="s">
        <v>2349</v>
      </c>
      <c r="B6434" s="49" t="s">
        <v>2350</v>
      </c>
      <c r="C6434" s="49" t="s">
        <v>11077</v>
      </c>
      <c r="D6434" s="49" t="s">
        <v>2352</v>
      </c>
      <c r="E6434" s="49" t="str">
        <f aca="false">"12464079"</f>
        <v>12464079</v>
      </c>
      <c r="F6434" s="49" t="s">
        <v>4706</v>
      </c>
      <c r="G6434" s="49" t="n">
        <v>0</v>
      </c>
      <c r="H6434" s="0" t="n">
        <v>0</v>
      </c>
      <c r="M6434" s="51" t="s">
        <v>11070</v>
      </c>
      <c r="N6434" s="49" t="n">
        <v>0</v>
      </c>
      <c r="O6434" s="53" t="n">
        <v>45894.5265972222</v>
      </c>
      <c r="P6434" s="53" t="n">
        <v>45899.7954861111</v>
      </c>
      <c r="Q6434" s="53" t="n">
        <v>45894.5265972222</v>
      </c>
      <c r="R6434" s="0" t="n">
        <v>0</v>
      </c>
      <c r="S6434" s="51" t="s">
        <v>2416</v>
      </c>
      <c r="T6434" s="51" t="s">
        <v>2416</v>
      </c>
      <c r="U6434" s="0" t="str">
        <f aca="false">"12464079"</f>
        <v>12464079</v>
      </c>
      <c r="V6434" s="51" t="s">
        <v>2365</v>
      </c>
      <c r="W6434" s="51" t="s">
        <v>5987</v>
      </c>
      <c r="X6434" s="51" t="s">
        <v>2359</v>
      </c>
    </row>
    <row r="6435" customFormat="false" ht="14.25" hidden="true" customHeight="false" outlineLevel="0" collapsed="false">
      <c r="A6435" s="49" t="s">
        <v>2349</v>
      </c>
      <c r="B6435" s="49" t="s">
        <v>2350</v>
      </c>
      <c r="C6435" s="49" t="s">
        <v>11078</v>
      </c>
      <c r="D6435" s="49" t="s">
        <v>2352</v>
      </c>
      <c r="E6435" s="49" t="str">
        <f aca="false">"12464079"</f>
        <v>12464079</v>
      </c>
      <c r="F6435" s="49" t="s">
        <v>4706</v>
      </c>
      <c r="G6435" s="49" t="n">
        <v>0</v>
      </c>
      <c r="H6435" s="0" t="n">
        <v>0</v>
      </c>
      <c r="M6435" s="51" t="s">
        <v>11070</v>
      </c>
      <c r="N6435" s="49" t="n">
        <v>0</v>
      </c>
      <c r="O6435" s="53" t="n">
        <v>45894.5264699074</v>
      </c>
      <c r="P6435" s="53" t="n">
        <v>45917.912025463</v>
      </c>
      <c r="Q6435" s="53" t="n">
        <v>45894.5264699074</v>
      </c>
      <c r="R6435" s="0" t="n">
        <v>0</v>
      </c>
      <c r="S6435" s="51" t="s">
        <v>2416</v>
      </c>
      <c r="T6435" s="51" t="s">
        <v>2416</v>
      </c>
      <c r="U6435" s="0" t="str">
        <f aca="false">"12464079"</f>
        <v>12464079</v>
      </c>
      <c r="V6435" s="51" t="s">
        <v>2365</v>
      </c>
      <c r="W6435" s="51" t="s">
        <v>11079</v>
      </c>
      <c r="X6435" s="51" t="s">
        <v>2359</v>
      </c>
    </row>
    <row r="6436" customFormat="false" ht="14.25" hidden="true" customHeight="false" outlineLevel="0" collapsed="false">
      <c r="A6436" s="49" t="s">
        <v>2349</v>
      </c>
      <c r="B6436" s="49" t="s">
        <v>2350</v>
      </c>
      <c r="C6436" s="49" t="s">
        <v>11080</v>
      </c>
      <c r="D6436" s="49" t="s">
        <v>2352</v>
      </c>
      <c r="E6436" s="49" t="str">
        <f aca="false">"12464079"</f>
        <v>12464079</v>
      </c>
      <c r="F6436" s="49" t="s">
        <v>4706</v>
      </c>
      <c r="G6436" s="49" t="n">
        <v>0</v>
      </c>
      <c r="H6436" s="0" t="n">
        <v>0</v>
      </c>
      <c r="M6436" s="51" t="s">
        <v>11070</v>
      </c>
      <c r="N6436" s="49" t="n">
        <v>0</v>
      </c>
      <c r="O6436" s="53" t="n">
        <v>45894.5262962963</v>
      </c>
      <c r="P6436" s="53" t="n">
        <v>45897.3804861111</v>
      </c>
      <c r="Q6436" s="53" t="n">
        <v>45894.5262962963</v>
      </c>
      <c r="R6436" s="0" t="n">
        <v>0</v>
      </c>
      <c r="S6436" s="51" t="s">
        <v>2416</v>
      </c>
      <c r="T6436" s="51" t="s">
        <v>2416</v>
      </c>
      <c r="U6436" s="0" t="str">
        <f aca="false">"12464079"</f>
        <v>12464079</v>
      </c>
      <c r="V6436" s="51" t="s">
        <v>2365</v>
      </c>
      <c r="W6436" s="51" t="s">
        <v>8490</v>
      </c>
      <c r="X6436" s="51" t="s">
        <v>2359</v>
      </c>
    </row>
    <row r="6437" customFormat="false" ht="14.25" hidden="true" customHeight="false" outlineLevel="0" collapsed="false">
      <c r="A6437" s="49" t="s">
        <v>2349</v>
      </c>
      <c r="B6437" s="49" t="s">
        <v>2350</v>
      </c>
      <c r="C6437" s="49" t="s">
        <v>11081</v>
      </c>
      <c r="D6437" s="49" t="s">
        <v>2352</v>
      </c>
      <c r="E6437" s="49" t="str">
        <f aca="false">"12464079"</f>
        <v>12464079</v>
      </c>
      <c r="F6437" s="49" t="s">
        <v>4706</v>
      </c>
      <c r="G6437" s="49" t="n">
        <v>0</v>
      </c>
      <c r="H6437" s="0" t="n">
        <v>0</v>
      </c>
      <c r="M6437" s="51" t="s">
        <v>11070</v>
      </c>
      <c r="N6437" s="49" t="n">
        <v>0</v>
      </c>
      <c r="O6437" s="53" t="n">
        <v>45894.5261921296</v>
      </c>
      <c r="P6437" s="53" t="n">
        <v>45901.8090972222</v>
      </c>
      <c r="Q6437" s="53" t="n">
        <v>45894.5261921296</v>
      </c>
      <c r="R6437" s="0" t="n">
        <v>0</v>
      </c>
      <c r="S6437" s="51" t="s">
        <v>2416</v>
      </c>
      <c r="T6437" s="51" t="s">
        <v>2416</v>
      </c>
      <c r="U6437" s="0" t="str">
        <f aca="false">"12464079"</f>
        <v>12464079</v>
      </c>
      <c r="V6437" s="51" t="s">
        <v>2365</v>
      </c>
      <c r="W6437" s="51" t="s">
        <v>7836</v>
      </c>
      <c r="X6437" s="51" t="s">
        <v>2359</v>
      </c>
    </row>
    <row r="6438" customFormat="false" ht="14.25" hidden="true" customHeight="false" outlineLevel="0" collapsed="false">
      <c r="A6438" s="49" t="s">
        <v>2349</v>
      </c>
      <c r="B6438" s="49" t="s">
        <v>2350</v>
      </c>
      <c r="C6438" s="49" t="s">
        <v>11082</v>
      </c>
      <c r="D6438" s="49" t="s">
        <v>2352</v>
      </c>
      <c r="E6438" s="49" t="str">
        <f aca="false">"12464079"</f>
        <v>12464079</v>
      </c>
      <c r="F6438" s="49" t="s">
        <v>4706</v>
      </c>
      <c r="G6438" s="49" t="n">
        <v>0</v>
      </c>
      <c r="H6438" s="0" t="n">
        <v>0</v>
      </c>
      <c r="M6438" s="51" t="s">
        <v>11070</v>
      </c>
      <c r="N6438" s="49" t="n">
        <v>0</v>
      </c>
      <c r="O6438" s="53" t="n">
        <v>45894.5260648148</v>
      </c>
      <c r="P6438" s="53" t="n">
        <v>45897.3785185185</v>
      </c>
      <c r="Q6438" s="53" t="n">
        <v>45894.5260648148</v>
      </c>
      <c r="R6438" s="0" t="n">
        <v>0</v>
      </c>
      <c r="S6438" s="51" t="s">
        <v>2416</v>
      </c>
      <c r="T6438" s="51" t="s">
        <v>2416</v>
      </c>
      <c r="U6438" s="0" t="str">
        <f aca="false">"12464079"</f>
        <v>12464079</v>
      </c>
      <c r="V6438" s="51" t="s">
        <v>2365</v>
      </c>
      <c r="W6438" s="51" t="s">
        <v>8945</v>
      </c>
      <c r="X6438" s="51" t="s">
        <v>2359</v>
      </c>
    </row>
    <row r="6439" customFormat="false" ht="14.25" hidden="true" customHeight="false" outlineLevel="0" collapsed="false">
      <c r="A6439" s="49" t="s">
        <v>2349</v>
      </c>
      <c r="B6439" s="49" t="s">
        <v>2350</v>
      </c>
      <c r="C6439" s="49" t="s">
        <v>11083</v>
      </c>
      <c r="D6439" s="49" t="s">
        <v>2352</v>
      </c>
      <c r="E6439" s="49" t="str">
        <f aca="false">"12464079"</f>
        <v>12464079</v>
      </c>
      <c r="F6439" s="49" t="s">
        <v>4706</v>
      </c>
      <c r="G6439" s="49" t="n">
        <v>0</v>
      </c>
      <c r="H6439" s="0" t="n">
        <v>0</v>
      </c>
      <c r="M6439" s="51" t="s">
        <v>11070</v>
      </c>
      <c r="N6439" s="49" t="n">
        <v>0</v>
      </c>
      <c r="O6439" s="53" t="n">
        <v>45894.5252430556</v>
      </c>
      <c r="P6439" s="53" t="n">
        <v>45899.785787037</v>
      </c>
      <c r="Q6439" s="53" t="n">
        <v>45894.5252430556</v>
      </c>
      <c r="R6439" s="0" t="n">
        <v>0</v>
      </c>
      <c r="S6439" s="51" t="s">
        <v>2416</v>
      </c>
      <c r="T6439" s="51" t="s">
        <v>2416</v>
      </c>
      <c r="U6439" s="0" t="str">
        <f aca="false">"12464079"</f>
        <v>12464079</v>
      </c>
      <c r="V6439" s="51" t="s">
        <v>2365</v>
      </c>
      <c r="W6439" s="51" t="s">
        <v>6681</v>
      </c>
      <c r="X6439" s="51" t="s">
        <v>2359</v>
      </c>
    </row>
    <row r="6440" customFormat="false" ht="14.25" hidden="true" customHeight="false" outlineLevel="0" collapsed="false">
      <c r="A6440" s="49" t="s">
        <v>2349</v>
      </c>
      <c r="B6440" s="49" t="s">
        <v>2350</v>
      </c>
      <c r="C6440" s="49" t="s">
        <v>11084</v>
      </c>
      <c r="D6440" s="49" t="s">
        <v>2352</v>
      </c>
      <c r="E6440" s="49" t="str">
        <f aca="false">"12464079"</f>
        <v>12464079</v>
      </c>
      <c r="F6440" s="49" t="s">
        <v>4706</v>
      </c>
      <c r="G6440" s="49" t="n">
        <v>0</v>
      </c>
      <c r="H6440" s="0" t="n">
        <v>0</v>
      </c>
      <c r="M6440" s="51" t="s">
        <v>11070</v>
      </c>
      <c r="N6440" s="49" t="n">
        <v>0</v>
      </c>
      <c r="O6440" s="53" t="n">
        <v>45894.5250925926</v>
      </c>
      <c r="P6440" s="53" t="n">
        <v>45901.8043634259</v>
      </c>
      <c r="Q6440" s="53" t="n">
        <v>45894.5250925926</v>
      </c>
      <c r="R6440" s="0" t="n">
        <v>0</v>
      </c>
      <c r="S6440" s="51" t="s">
        <v>2416</v>
      </c>
      <c r="T6440" s="51" t="s">
        <v>2416</v>
      </c>
      <c r="U6440" s="0" t="str">
        <f aca="false">"12464079"</f>
        <v>12464079</v>
      </c>
      <c r="V6440" s="51" t="s">
        <v>2365</v>
      </c>
      <c r="W6440" s="51" t="s">
        <v>8484</v>
      </c>
      <c r="X6440" s="51" t="s">
        <v>2359</v>
      </c>
    </row>
    <row r="6441" customFormat="false" ht="14.25" hidden="true" customHeight="false" outlineLevel="0" collapsed="false">
      <c r="A6441" s="49" t="s">
        <v>2349</v>
      </c>
      <c r="B6441" s="49" t="s">
        <v>2350</v>
      </c>
      <c r="C6441" s="49" t="s">
        <v>11085</v>
      </c>
      <c r="D6441" s="49" t="s">
        <v>2352</v>
      </c>
      <c r="E6441" s="49" t="str">
        <f aca="false">"12464079"</f>
        <v>12464079</v>
      </c>
      <c r="F6441" s="49" t="s">
        <v>4706</v>
      </c>
      <c r="G6441" s="49" t="n">
        <v>0</v>
      </c>
      <c r="H6441" s="0" t="n">
        <v>0</v>
      </c>
      <c r="M6441" s="51" t="s">
        <v>11070</v>
      </c>
      <c r="N6441" s="49" t="n">
        <v>0</v>
      </c>
      <c r="O6441" s="53" t="n">
        <v>45894.524837963</v>
      </c>
      <c r="P6441" s="53" t="n">
        <v>45901.8065625</v>
      </c>
      <c r="Q6441" s="53" t="n">
        <v>45894.524837963</v>
      </c>
      <c r="R6441" s="0" t="n">
        <v>0</v>
      </c>
      <c r="S6441" s="51" t="s">
        <v>2416</v>
      </c>
      <c r="T6441" s="51" t="s">
        <v>2416</v>
      </c>
      <c r="U6441" s="0" t="str">
        <f aca="false">"12464079"</f>
        <v>12464079</v>
      </c>
      <c r="V6441" s="51" t="s">
        <v>2365</v>
      </c>
      <c r="W6441" s="51" t="s">
        <v>8590</v>
      </c>
      <c r="X6441" s="51" t="s">
        <v>2359</v>
      </c>
    </row>
    <row r="6442" customFormat="false" ht="14.25" hidden="true" customHeight="false" outlineLevel="0" collapsed="false">
      <c r="A6442" s="49" t="s">
        <v>2349</v>
      </c>
      <c r="B6442" s="49" t="s">
        <v>2350</v>
      </c>
      <c r="C6442" s="49" t="s">
        <v>11086</v>
      </c>
      <c r="D6442" s="49" t="s">
        <v>2352</v>
      </c>
      <c r="E6442" s="49" t="str">
        <f aca="false">"12464079"</f>
        <v>12464079</v>
      </c>
      <c r="F6442" s="49" t="s">
        <v>4706</v>
      </c>
      <c r="G6442" s="49" t="n">
        <v>0</v>
      </c>
      <c r="H6442" s="0" t="n">
        <v>0</v>
      </c>
      <c r="M6442" s="51" t="s">
        <v>11070</v>
      </c>
      <c r="N6442" s="49" t="n">
        <v>0</v>
      </c>
      <c r="O6442" s="53" t="n">
        <v>45894.5242708333</v>
      </c>
      <c r="P6442" s="53" t="n">
        <v>45917.9176273148</v>
      </c>
      <c r="Q6442" s="53" t="n">
        <v>45894.5242708333</v>
      </c>
      <c r="R6442" s="0" t="n">
        <v>0</v>
      </c>
      <c r="S6442" s="51" t="s">
        <v>2416</v>
      </c>
      <c r="T6442" s="51" t="s">
        <v>2416</v>
      </c>
      <c r="U6442" s="0" t="str">
        <f aca="false">"12464079"</f>
        <v>12464079</v>
      </c>
      <c r="V6442" s="51" t="s">
        <v>2365</v>
      </c>
      <c r="W6442" s="51" t="s">
        <v>11087</v>
      </c>
      <c r="X6442" s="51" t="s">
        <v>2359</v>
      </c>
    </row>
    <row r="6443" customFormat="false" ht="14.25" hidden="true" customHeight="false" outlineLevel="0" collapsed="false">
      <c r="A6443" s="49" t="s">
        <v>2349</v>
      </c>
      <c r="B6443" s="49" t="s">
        <v>2350</v>
      </c>
      <c r="C6443" s="49" t="s">
        <v>11088</v>
      </c>
      <c r="D6443" s="49" t="s">
        <v>2352</v>
      </c>
      <c r="E6443" s="49" t="str">
        <f aca="false">"12464079"</f>
        <v>12464079</v>
      </c>
      <c r="F6443" s="49" t="s">
        <v>4706</v>
      </c>
      <c r="G6443" s="49" t="n">
        <v>0</v>
      </c>
      <c r="H6443" s="0" t="n">
        <v>0</v>
      </c>
      <c r="M6443" s="51" t="s">
        <v>11070</v>
      </c>
      <c r="N6443" s="49" t="n">
        <v>0</v>
      </c>
      <c r="O6443" s="53" t="n">
        <v>45894.5240625</v>
      </c>
      <c r="P6443" s="53" t="n">
        <v>45900.8048611111</v>
      </c>
      <c r="Q6443" s="53" t="n">
        <v>45894.5240625</v>
      </c>
      <c r="R6443" s="0" t="n">
        <v>0</v>
      </c>
      <c r="S6443" s="51" t="s">
        <v>2416</v>
      </c>
      <c r="T6443" s="51" t="s">
        <v>2416</v>
      </c>
      <c r="U6443" s="0" t="str">
        <f aca="false">"12464079"</f>
        <v>12464079</v>
      </c>
      <c r="V6443" s="51" t="s">
        <v>2365</v>
      </c>
      <c r="W6443" s="51" t="s">
        <v>11089</v>
      </c>
      <c r="X6443" s="51" t="s">
        <v>2359</v>
      </c>
    </row>
    <row r="6444" customFormat="false" ht="14.25" hidden="true" customHeight="false" outlineLevel="0" collapsed="false">
      <c r="A6444" s="49" t="s">
        <v>2349</v>
      </c>
      <c r="B6444" s="49" t="s">
        <v>2350</v>
      </c>
      <c r="C6444" s="49" t="s">
        <v>11090</v>
      </c>
      <c r="D6444" s="49" t="s">
        <v>2352</v>
      </c>
      <c r="E6444" s="49" t="str">
        <f aca="false">"12464079"</f>
        <v>12464079</v>
      </c>
      <c r="F6444" s="49" t="s">
        <v>4706</v>
      </c>
      <c r="G6444" s="49" t="n">
        <v>0</v>
      </c>
      <c r="H6444" s="0" t="n">
        <v>0</v>
      </c>
      <c r="M6444" s="51" t="s">
        <v>11070</v>
      </c>
      <c r="N6444" s="49" t="n">
        <v>0</v>
      </c>
      <c r="O6444" s="53" t="n">
        <v>45894.5236921296</v>
      </c>
      <c r="P6444" s="53" t="n">
        <v>45901.8046064815</v>
      </c>
      <c r="Q6444" s="53" t="n">
        <v>45894.5236921296</v>
      </c>
      <c r="R6444" s="0" t="n">
        <v>0</v>
      </c>
      <c r="S6444" s="51" t="s">
        <v>2416</v>
      </c>
      <c r="T6444" s="51" t="s">
        <v>2416</v>
      </c>
      <c r="U6444" s="0" t="str">
        <f aca="false">"12464079"</f>
        <v>12464079</v>
      </c>
      <c r="V6444" s="51" t="s">
        <v>2365</v>
      </c>
      <c r="W6444" s="51" t="s">
        <v>8482</v>
      </c>
      <c r="X6444" s="51" t="s">
        <v>2359</v>
      </c>
    </row>
    <row r="6445" customFormat="false" ht="14.25" hidden="true" customHeight="false" outlineLevel="0" collapsed="false">
      <c r="A6445" s="49" t="s">
        <v>2349</v>
      </c>
      <c r="B6445" s="49" t="s">
        <v>2350</v>
      </c>
      <c r="C6445" s="49" t="s">
        <v>11091</v>
      </c>
      <c r="D6445" s="49" t="s">
        <v>2352</v>
      </c>
      <c r="E6445" s="49" t="str">
        <f aca="false">"12464079"</f>
        <v>12464079</v>
      </c>
      <c r="F6445" s="49" t="s">
        <v>4706</v>
      </c>
      <c r="G6445" s="49" t="n">
        <v>0</v>
      </c>
      <c r="H6445" s="0" t="n">
        <v>0</v>
      </c>
      <c r="M6445" s="51" t="s">
        <v>11070</v>
      </c>
      <c r="N6445" s="49" t="n">
        <v>0</v>
      </c>
      <c r="O6445" s="53" t="n">
        <v>45894.5233796296</v>
      </c>
      <c r="P6445" s="53" t="n">
        <v>45903.7474421296</v>
      </c>
      <c r="Q6445" s="53" t="n">
        <v>45894.5233796296</v>
      </c>
      <c r="R6445" s="0" t="n">
        <v>0</v>
      </c>
      <c r="S6445" s="51" t="s">
        <v>2416</v>
      </c>
      <c r="T6445" s="51" t="s">
        <v>2416</v>
      </c>
      <c r="U6445" s="0" t="str">
        <f aca="false">"12464079"</f>
        <v>12464079</v>
      </c>
      <c r="V6445" s="51" t="s">
        <v>2365</v>
      </c>
      <c r="W6445" s="51" t="s">
        <v>6279</v>
      </c>
      <c r="X6445" s="51" t="s">
        <v>2359</v>
      </c>
    </row>
    <row r="6446" customFormat="false" ht="14.25" hidden="true" customHeight="false" outlineLevel="0" collapsed="false">
      <c r="A6446" s="49" t="s">
        <v>2349</v>
      </c>
      <c r="B6446" s="49" t="s">
        <v>2350</v>
      </c>
      <c r="C6446" s="49" t="s">
        <v>11092</v>
      </c>
      <c r="D6446" s="49" t="s">
        <v>2352</v>
      </c>
      <c r="E6446" s="49" t="str">
        <f aca="false">"12518490"</f>
        <v>12518490</v>
      </c>
      <c r="F6446" s="49" t="s">
        <v>4858</v>
      </c>
      <c r="G6446" s="49" t="n">
        <v>0</v>
      </c>
      <c r="H6446" s="0" t="n">
        <v>0</v>
      </c>
      <c r="M6446" s="51" t="s">
        <v>11070</v>
      </c>
      <c r="N6446" s="49" t="n">
        <v>0</v>
      </c>
      <c r="O6446" s="53" t="n">
        <v>45894.5218865741</v>
      </c>
      <c r="P6446" s="53" t="n">
        <v>45901.7546527778</v>
      </c>
      <c r="Q6446" s="53" t="n">
        <v>45894.5218865741</v>
      </c>
      <c r="R6446" s="0" t="n">
        <v>0</v>
      </c>
      <c r="S6446" s="51" t="s">
        <v>2416</v>
      </c>
      <c r="T6446" s="51" t="s">
        <v>2416</v>
      </c>
      <c r="U6446" s="0" t="str">
        <f aca="false">"12518490"</f>
        <v>12518490</v>
      </c>
      <c r="V6446" s="51" t="s">
        <v>2365</v>
      </c>
      <c r="W6446" s="51" t="s">
        <v>6834</v>
      </c>
      <c r="X6446" s="51" t="s">
        <v>2359</v>
      </c>
    </row>
    <row r="6447" customFormat="false" ht="14.25" hidden="true" customHeight="false" outlineLevel="0" collapsed="false">
      <c r="A6447" s="49" t="s">
        <v>2349</v>
      </c>
      <c r="B6447" s="49" t="s">
        <v>2350</v>
      </c>
      <c r="C6447" s="49" t="s">
        <v>11093</v>
      </c>
      <c r="D6447" s="49" t="s">
        <v>2352</v>
      </c>
      <c r="E6447" s="49" t="str">
        <f aca="false">"12518490"</f>
        <v>12518490</v>
      </c>
      <c r="F6447" s="49" t="s">
        <v>4858</v>
      </c>
      <c r="G6447" s="49" t="n">
        <v>0</v>
      </c>
      <c r="H6447" s="0" t="n">
        <v>0</v>
      </c>
      <c r="M6447" s="51" t="s">
        <v>11070</v>
      </c>
      <c r="N6447" s="49" t="n">
        <v>0</v>
      </c>
      <c r="O6447" s="53" t="n">
        <v>45894.5215162037</v>
      </c>
      <c r="P6447" s="53" t="n">
        <v>45901.7599884259</v>
      </c>
      <c r="Q6447" s="53" t="n">
        <v>45894.5215162037</v>
      </c>
      <c r="R6447" s="0" t="n">
        <v>0</v>
      </c>
      <c r="S6447" s="51" t="s">
        <v>2416</v>
      </c>
      <c r="T6447" s="51" t="s">
        <v>2416</v>
      </c>
      <c r="U6447" s="0" t="str">
        <f aca="false">"12518490"</f>
        <v>12518490</v>
      </c>
      <c r="V6447" s="51" t="s">
        <v>2365</v>
      </c>
      <c r="W6447" s="51" t="s">
        <v>6002</v>
      </c>
      <c r="X6447" s="51" t="s">
        <v>2359</v>
      </c>
    </row>
    <row r="6448" customFormat="false" ht="14.25" hidden="true" customHeight="false" outlineLevel="0" collapsed="false">
      <c r="A6448" s="49" t="s">
        <v>2349</v>
      </c>
      <c r="B6448" s="49" t="s">
        <v>2350</v>
      </c>
      <c r="C6448" s="49" t="s">
        <v>11094</v>
      </c>
      <c r="D6448" s="49" t="s">
        <v>2352</v>
      </c>
      <c r="E6448" s="49" t="str">
        <f aca="false">"12518490"</f>
        <v>12518490</v>
      </c>
      <c r="F6448" s="49" t="s">
        <v>4858</v>
      </c>
      <c r="G6448" s="49" t="n">
        <v>0</v>
      </c>
      <c r="H6448" s="0" t="n">
        <v>0</v>
      </c>
      <c r="M6448" s="51" t="s">
        <v>11070</v>
      </c>
      <c r="N6448" s="49" t="n">
        <v>0</v>
      </c>
      <c r="O6448" s="53" t="n">
        <v>45894.5213425926</v>
      </c>
      <c r="P6448" s="53" t="n">
        <v>45901.752962963</v>
      </c>
      <c r="Q6448" s="53" t="n">
        <v>45894.5213425926</v>
      </c>
      <c r="R6448" s="0" t="n">
        <v>0</v>
      </c>
      <c r="S6448" s="51" t="s">
        <v>2416</v>
      </c>
      <c r="T6448" s="51" t="s">
        <v>2416</v>
      </c>
      <c r="U6448" s="0" t="str">
        <f aca="false">"12518490"</f>
        <v>12518490</v>
      </c>
      <c r="V6448" s="51" t="s">
        <v>2365</v>
      </c>
      <c r="W6448" s="51" t="s">
        <v>7810</v>
      </c>
      <c r="X6448" s="51" t="s">
        <v>2359</v>
      </c>
    </row>
    <row r="6449" customFormat="false" ht="14.25" hidden="true" customHeight="false" outlineLevel="0" collapsed="false">
      <c r="A6449" s="49" t="s">
        <v>2349</v>
      </c>
      <c r="B6449" s="49" t="s">
        <v>2350</v>
      </c>
      <c r="C6449" s="49" t="s">
        <v>11095</v>
      </c>
      <c r="D6449" s="49" t="s">
        <v>2352</v>
      </c>
      <c r="E6449" s="49" t="str">
        <f aca="false">"12518490"</f>
        <v>12518490</v>
      </c>
      <c r="F6449" s="49" t="s">
        <v>4858</v>
      </c>
      <c r="G6449" s="49" t="n">
        <v>0</v>
      </c>
      <c r="H6449" s="0" t="n">
        <v>0</v>
      </c>
      <c r="M6449" s="51" t="s">
        <v>11070</v>
      </c>
      <c r="N6449" s="49" t="n">
        <v>0</v>
      </c>
      <c r="O6449" s="53" t="n">
        <v>45894.5212384259</v>
      </c>
      <c r="P6449" s="53" t="n">
        <v>45901.7590856482</v>
      </c>
      <c r="Q6449" s="53" t="n">
        <v>45894.5212384259</v>
      </c>
      <c r="R6449" s="0" t="n">
        <v>0</v>
      </c>
      <c r="S6449" s="51" t="s">
        <v>2416</v>
      </c>
      <c r="T6449" s="51" t="s">
        <v>2416</v>
      </c>
      <c r="U6449" s="0" t="str">
        <f aca="false">"12518490"</f>
        <v>12518490</v>
      </c>
      <c r="V6449" s="51" t="s">
        <v>2365</v>
      </c>
      <c r="W6449" s="51" t="s">
        <v>9844</v>
      </c>
      <c r="X6449" s="51" t="s">
        <v>2359</v>
      </c>
    </row>
    <row r="6450" customFormat="false" ht="14.25" hidden="true" customHeight="false" outlineLevel="0" collapsed="false">
      <c r="A6450" s="49" t="s">
        <v>2349</v>
      </c>
      <c r="B6450" s="49" t="s">
        <v>2350</v>
      </c>
      <c r="C6450" s="49" t="s">
        <v>11096</v>
      </c>
      <c r="D6450" s="49" t="s">
        <v>2352</v>
      </c>
      <c r="E6450" s="49" t="str">
        <f aca="false">"12518490"</f>
        <v>12518490</v>
      </c>
      <c r="F6450" s="49" t="s">
        <v>4858</v>
      </c>
      <c r="G6450" s="49" t="n">
        <v>0</v>
      </c>
      <c r="H6450" s="0" t="n">
        <v>0</v>
      </c>
      <c r="M6450" s="51" t="s">
        <v>11070</v>
      </c>
      <c r="N6450" s="49" t="n">
        <v>0</v>
      </c>
      <c r="O6450" s="53" t="n">
        <v>45894.5211574074</v>
      </c>
      <c r="P6450" s="53" t="n">
        <v>45901.7622222222</v>
      </c>
      <c r="Q6450" s="53" t="n">
        <v>45894.5211574074</v>
      </c>
      <c r="R6450" s="0" t="n">
        <v>0</v>
      </c>
      <c r="S6450" s="51" t="s">
        <v>2416</v>
      </c>
      <c r="T6450" s="51" t="s">
        <v>2416</v>
      </c>
      <c r="U6450" s="0" t="str">
        <f aca="false">"12518490"</f>
        <v>12518490</v>
      </c>
      <c r="V6450" s="51" t="s">
        <v>2365</v>
      </c>
      <c r="W6450" s="51" t="s">
        <v>7883</v>
      </c>
      <c r="X6450" s="51" t="s">
        <v>2359</v>
      </c>
    </row>
    <row r="6451" customFormat="false" ht="14.25" hidden="true" customHeight="false" outlineLevel="0" collapsed="false">
      <c r="A6451" s="49" t="s">
        <v>2349</v>
      </c>
      <c r="B6451" s="49" t="s">
        <v>2350</v>
      </c>
      <c r="C6451" s="49" t="s">
        <v>11097</v>
      </c>
      <c r="D6451" s="49" t="s">
        <v>2352</v>
      </c>
      <c r="E6451" s="49" t="str">
        <f aca="false">"12518490"</f>
        <v>12518490</v>
      </c>
      <c r="F6451" s="49" t="s">
        <v>4858</v>
      </c>
      <c r="G6451" s="49" t="n">
        <v>0</v>
      </c>
      <c r="H6451" s="0" t="n">
        <v>0</v>
      </c>
      <c r="M6451" s="51" t="s">
        <v>11070</v>
      </c>
      <c r="N6451" s="49" t="n">
        <v>0</v>
      </c>
      <c r="O6451" s="53" t="n">
        <v>45894.5210648148</v>
      </c>
      <c r="P6451" s="53" t="n">
        <v>45929.744224537</v>
      </c>
      <c r="Q6451" s="53" t="n">
        <v>45894.5210648148</v>
      </c>
      <c r="R6451" s="0" t="n">
        <v>0</v>
      </c>
      <c r="S6451" s="51" t="s">
        <v>2416</v>
      </c>
      <c r="T6451" s="51" t="s">
        <v>2416</v>
      </c>
      <c r="U6451" s="0" t="str">
        <f aca="false">"12518490"</f>
        <v>12518490</v>
      </c>
      <c r="V6451" s="51" t="s">
        <v>2365</v>
      </c>
      <c r="W6451" s="51" t="s">
        <v>4290</v>
      </c>
      <c r="X6451" s="51" t="s">
        <v>2359</v>
      </c>
    </row>
    <row r="6452" customFormat="false" ht="14.25" hidden="true" customHeight="false" outlineLevel="0" collapsed="false">
      <c r="A6452" s="49" t="s">
        <v>2349</v>
      </c>
      <c r="B6452" s="49" t="s">
        <v>2350</v>
      </c>
      <c r="C6452" s="49" t="s">
        <v>11098</v>
      </c>
      <c r="D6452" s="49" t="s">
        <v>2352</v>
      </c>
      <c r="E6452" s="49" t="str">
        <f aca="false">"12518490"</f>
        <v>12518490</v>
      </c>
      <c r="F6452" s="49" t="s">
        <v>4858</v>
      </c>
      <c r="G6452" s="49" t="n">
        <v>0</v>
      </c>
      <c r="H6452" s="0" t="n">
        <v>0</v>
      </c>
      <c r="M6452" s="51" t="s">
        <v>11070</v>
      </c>
      <c r="N6452" s="49" t="n">
        <v>0</v>
      </c>
      <c r="O6452" s="53" t="n">
        <v>45894.5209259259</v>
      </c>
      <c r="P6452" s="53" t="n">
        <v>45901.7611458333</v>
      </c>
      <c r="Q6452" s="53" t="n">
        <v>45894.5209259259</v>
      </c>
      <c r="R6452" s="0" t="n">
        <v>0</v>
      </c>
      <c r="S6452" s="51" t="s">
        <v>2416</v>
      </c>
      <c r="T6452" s="51" t="s">
        <v>2416</v>
      </c>
      <c r="U6452" s="0" t="str">
        <f aca="false">"12518490"</f>
        <v>12518490</v>
      </c>
      <c r="V6452" s="51" t="s">
        <v>2365</v>
      </c>
      <c r="W6452" s="51" t="s">
        <v>10047</v>
      </c>
      <c r="X6452" s="51" t="s">
        <v>2359</v>
      </c>
    </row>
    <row r="6453" customFormat="false" ht="14.25" hidden="true" customHeight="false" outlineLevel="0" collapsed="false">
      <c r="A6453" s="49" t="s">
        <v>2349</v>
      </c>
      <c r="B6453" s="49" t="s">
        <v>2350</v>
      </c>
      <c r="C6453" s="49" t="s">
        <v>11099</v>
      </c>
      <c r="D6453" s="49" t="s">
        <v>2352</v>
      </c>
      <c r="E6453" s="49" t="str">
        <f aca="false">"12518490"</f>
        <v>12518490</v>
      </c>
      <c r="F6453" s="49" t="s">
        <v>4858</v>
      </c>
      <c r="G6453" s="49" t="n">
        <v>0</v>
      </c>
      <c r="H6453" s="0" t="n">
        <v>0</v>
      </c>
      <c r="M6453" s="51" t="s">
        <v>11070</v>
      </c>
      <c r="N6453" s="49" t="n">
        <v>0</v>
      </c>
      <c r="O6453" s="53" t="n">
        <v>45894.5206018519</v>
      </c>
      <c r="P6453" s="53" t="n">
        <v>45901.7567939815</v>
      </c>
      <c r="Q6453" s="53" t="n">
        <v>45894.5206018519</v>
      </c>
      <c r="R6453" s="0" t="n">
        <v>0</v>
      </c>
      <c r="S6453" s="51" t="s">
        <v>2416</v>
      </c>
      <c r="T6453" s="51" t="s">
        <v>2416</v>
      </c>
      <c r="U6453" s="0" t="str">
        <f aca="false">"12518490"</f>
        <v>12518490</v>
      </c>
      <c r="V6453" s="51" t="s">
        <v>2365</v>
      </c>
      <c r="W6453" s="51" t="s">
        <v>6793</v>
      </c>
      <c r="X6453" s="51" t="s">
        <v>2359</v>
      </c>
    </row>
    <row r="6454" customFormat="false" ht="14.25" hidden="true" customHeight="false" outlineLevel="0" collapsed="false">
      <c r="A6454" s="49" t="s">
        <v>2349</v>
      </c>
      <c r="B6454" s="49" t="s">
        <v>2350</v>
      </c>
      <c r="C6454" s="49" t="s">
        <v>11100</v>
      </c>
      <c r="D6454" s="49" t="s">
        <v>2352</v>
      </c>
      <c r="E6454" s="49" t="str">
        <f aca="false">"12518490"</f>
        <v>12518490</v>
      </c>
      <c r="F6454" s="49" t="s">
        <v>4858</v>
      </c>
      <c r="G6454" s="49" t="n">
        <v>0</v>
      </c>
      <c r="H6454" s="0" t="n">
        <v>0</v>
      </c>
      <c r="M6454" s="51" t="s">
        <v>11070</v>
      </c>
      <c r="N6454" s="49" t="n">
        <v>0</v>
      </c>
      <c r="O6454" s="53" t="n">
        <v>45894.520462963</v>
      </c>
      <c r="P6454" s="53" t="n">
        <v>45901.7556944444</v>
      </c>
      <c r="Q6454" s="53" t="n">
        <v>45894.520462963</v>
      </c>
      <c r="R6454" s="0" t="n">
        <v>0</v>
      </c>
      <c r="S6454" s="51" t="s">
        <v>2416</v>
      </c>
      <c r="T6454" s="51" t="s">
        <v>2416</v>
      </c>
      <c r="U6454" s="0" t="str">
        <f aca="false">"12518490"</f>
        <v>12518490</v>
      </c>
      <c r="V6454" s="51" t="s">
        <v>2365</v>
      </c>
      <c r="W6454" s="51" t="s">
        <v>11101</v>
      </c>
      <c r="X6454" s="51" t="s">
        <v>2359</v>
      </c>
    </row>
    <row r="6455" customFormat="false" ht="14.25" hidden="true" customHeight="false" outlineLevel="0" collapsed="false">
      <c r="A6455" s="49" t="s">
        <v>2349</v>
      </c>
      <c r="B6455" s="49" t="s">
        <v>2350</v>
      </c>
      <c r="C6455" s="49" t="s">
        <v>11102</v>
      </c>
      <c r="D6455" s="49" t="s">
        <v>2352</v>
      </c>
      <c r="E6455" s="49" t="str">
        <f aca="false">"12518490"</f>
        <v>12518490</v>
      </c>
      <c r="F6455" s="49" t="s">
        <v>4858</v>
      </c>
      <c r="G6455" s="49" t="n">
        <v>0</v>
      </c>
      <c r="H6455" s="0" t="n">
        <v>0</v>
      </c>
      <c r="M6455" s="51" t="s">
        <v>11070</v>
      </c>
      <c r="N6455" s="49" t="n">
        <v>0</v>
      </c>
      <c r="O6455" s="53" t="n">
        <v>45894.5202893519</v>
      </c>
      <c r="P6455" s="53" t="n">
        <v>45901.757974537</v>
      </c>
      <c r="Q6455" s="53" t="n">
        <v>45894.5202893519</v>
      </c>
      <c r="R6455" s="0" t="n">
        <v>0</v>
      </c>
      <c r="S6455" s="51" t="s">
        <v>2416</v>
      </c>
      <c r="T6455" s="51" t="s">
        <v>2416</v>
      </c>
      <c r="U6455" s="0" t="str">
        <f aca="false">"12518490"</f>
        <v>12518490</v>
      </c>
      <c r="V6455" s="51" t="s">
        <v>2365</v>
      </c>
      <c r="W6455" s="51" t="s">
        <v>3824</v>
      </c>
      <c r="X6455" s="51" t="s">
        <v>2359</v>
      </c>
    </row>
    <row r="6456" customFormat="false" ht="14.25" hidden="true" customHeight="false" outlineLevel="0" collapsed="false">
      <c r="A6456" s="49" t="s">
        <v>2349</v>
      </c>
      <c r="B6456" s="49" t="s">
        <v>2350</v>
      </c>
      <c r="C6456" s="49" t="s">
        <v>11103</v>
      </c>
      <c r="D6456" s="49" t="s">
        <v>2352</v>
      </c>
      <c r="E6456" s="49" t="str">
        <f aca="false">"12112796"</f>
        <v>12112796</v>
      </c>
      <c r="F6456" s="49" t="s">
        <v>11104</v>
      </c>
      <c r="G6456" s="49" t="n">
        <v>0</v>
      </c>
      <c r="H6456" s="0" t="n">
        <v>0</v>
      </c>
      <c r="M6456" s="51" t="s">
        <v>11070</v>
      </c>
      <c r="N6456" s="49" t="n">
        <v>0</v>
      </c>
      <c r="O6456" s="53" t="n">
        <v>45894.5153935185</v>
      </c>
      <c r="P6456" s="53" t="n">
        <v>45896.4638888889</v>
      </c>
      <c r="Q6456" s="53" t="n">
        <v>45894.5153935185</v>
      </c>
      <c r="R6456" s="0" t="n">
        <v>0</v>
      </c>
      <c r="S6456" s="51" t="s">
        <v>2416</v>
      </c>
      <c r="T6456" s="51" t="s">
        <v>2416</v>
      </c>
      <c r="U6456" s="0" t="str">
        <f aca="false">"12112796"</f>
        <v>12112796</v>
      </c>
      <c r="V6456" s="51" t="s">
        <v>2365</v>
      </c>
      <c r="W6456" s="51" t="s">
        <v>5532</v>
      </c>
      <c r="X6456" s="51" t="s">
        <v>2359</v>
      </c>
    </row>
    <row r="6457" customFormat="false" ht="14.25" hidden="true" customHeight="false" outlineLevel="0" collapsed="false">
      <c r="A6457" s="49" t="s">
        <v>2349</v>
      </c>
      <c r="B6457" s="49" t="s">
        <v>2350</v>
      </c>
      <c r="C6457" s="49" t="s">
        <v>11105</v>
      </c>
      <c r="D6457" s="49" t="s">
        <v>2352</v>
      </c>
      <c r="E6457" s="49" t="str">
        <f aca="false">"12482691"</f>
        <v>12482691</v>
      </c>
      <c r="F6457" s="49" t="s">
        <v>7031</v>
      </c>
      <c r="G6457" s="49" t="n">
        <v>0</v>
      </c>
      <c r="H6457" s="0" t="n">
        <v>0</v>
      </c>
      <c r="M6457" s="51" t="s">
        <v>11070</v>
      </c>
      <c r="N6457" s="49" t="n">
        <v>0</v>
      </c>
      <c r="O6457" s="53" t="n">
        <v>45894.5160763889</v>
      </c>
      <c r="P6457" s="53" t="n">
        <v>45897.345474537</v>
      </c>
      <c r="Q6457" s="53" t="n">
        <v>45894.5160763889</v>
      </c>
      <c r="R6457" s="0" t="n">
        <v>0</v>
      </c>
      <c r="S6457" s="51" t="s">
        <v>2416</v>
      </c>
      <c r="T6457" s="51" t="s">
        <v>2416</v>
      </c>
      <c r="U6457" s="0" t="str">
        <f aca="false">"12482691"</f>
        <v>12482691</v>
      </c>
      <c r="V6457" s="51" t="s">
        <v>2365</v>
      </c>
      <c r="W6457" s="51" t="s">
        <v>3995</v>
      </c>
      <c r="X6457" s="51" t="s">
        <v>2359</v>
      </c>
    </row>
    <row r="6458" customFormat="false" ht="14.25" hidden="true" customHeight="false" outlineLevel="0" collapsed="false">
      <c r="A6458" s="49" t="s">
        <v>2349</v>
      </c>
      <c r="B6458" s="49" t="s">
        <v>2350</v>
      </c>
      <c r="C6458" s="49" t="s">
        <v>11106</v>
      </c>
      <c r="D6458" s="49" t="s">
        <v>2352</v>
      </c>
      <c r="E6458" s="49" t="str">
        <f aca="false">"12482691"</f>
        <v>12482691</v>
      </c>
      <c r="F6458" s="49" t="s">
        <v>7031</v>
      </c>
      <c r="G6458" s="49" t="n">
        <v>0</v>
      </c>
      <c r="H6458" s="0" t="n">
        <v>0</v>
      </c>
      <c r="M6458" s="51" t="s">
        <v>11070</v>
      </c>
      <c r="N6458" s="49" t="n">
        <v>0</v>
      </c>
      <c r="O6458" s="53" t="n">
        <v>45894.5165277778</v>
      </c>
      <c r="P6458" s="53" t="n">
        <v>45897.3502546296</v>
      </c>
      <c r="Q6458" s="53" t="n">
        <v>45894.5165277778</v>
      </c>
      <c r="R6458" s="0" t="n">
        <v>0</v>
      </c>
      <c r="S6458" s="51" t="s">
        <v>2416</v>
      </c>
      <c r="T6458" s="51" t="s">
        <v>2416</v>
      </c>
      <c r="U6458" s="0" t="str">
        <f aca="false">"12482691"</f>
        <v>12482691</v>
      </c>
      <c r="V6458" s="51" t="s">
        <v>2365</v>
      </c>
      <c r="W6458" s="51" t="s">
        <v>6070</v>
      </c>
      <c r="X6458" s="51" t="s">
        <v>2359</v>
      </c>
    </row>
    <row r="6459" customFormat="false" ht="14.25" hidden="true" customHeight="false" outlineLevel="0" collapsed="false">
      <c r="A6459" s="49" t="s">
        <v>2349</v>
      </c>
      <c r="B6459" s="49" t="s">
        <v>2350</v>
      </c>
      <c r="C6459" s="49" t="s">
        <v>11107</v>
      </c>
      <c r="D6459" s="49" t="s">
        <v>2352</v>
      </c>
      <c r="E6459" s="49" t="str">
        <f aca="false">"12482691"</f>
        <v>12482691</v>
      </c>
      <c r="F6459" s="49" t="s">
        <v>7031</v>
      </c>
      <c r="G6459" s="49" t="n">
        <v>0</v>
      </c>
      <c r="H6459" s="0" t="n">
        <v>0</v>
      </c>
      <c r="M6459" s="51" t="s">
        <v>11070</v>
      </c>
      <c r="N6459" s="49" t="n">
        <v>0</v>
      </c>
      <c r="O6459" s="53" t="n">
        <v>45894.5170601852</v>
      </c>
      <c r="P6459" s="53" t="n">
        <v>45897.3446412037</v>
      </c>
      <c r="Q6459" s="53" t="n">
        <v>45894.5170601852</v>
      </c>
      <c r="R6459" s="0" t="n">
        <v>0</v>
      </c>
      <c r="S6459" s="51" t="s">
        <v>2416</v>
      </c>
      <c r="T6459" s="51" t="s">
        <v>2416</v>
      </c>
      <c r="U6459" s="0" t="str">
        <f aca="false">"12482691"</f>
        <v>12482691</v>
      </c>
      <c r="V6459" s="51" t="s">
        <v>2365</v>
      </c>
      <c r="W6459" s="51" t="s">
        <v>5958</v>
      </c>
      <c r="X6459" s="51" t="s">
        <v>2359</v>
      </c>
    </row>
    <row r="6460" customFormat="false" ht="14.25" hidden="true" customHeight="false" outlineLevel="0" collapsed="false">
      <c r="A6460" s="49" t="s">
        <v>2349</v>
      </c>
      <c r="B6460" s="49" t="s">
        <v>2350</v>
      </c>
      <c r="C6460" s="49" t="s">
        <v>11108</v>
      </c>
      <c r="D6460" s="49" t="s">
        <v>2352</v>
      </c>
      <c r="E6460" s="49" t="str">
        <f aca="false">"12363202"</f>
        <v>12363202</v>
      </c>
      <c r="F6460" s="49" t="s">
        <v>7041</v>
      </c>
      <c r="G6460" s="49" t="n">
        <v>0</v>
      </c>
      <c r="H6460" s="0" t="n">
        <v>0</v>
      </c>
      <c r="M6460" s="51" t="s">
        <v>11070</v>
      </c>
      <c r="N6460" s="49" t="n">
        <v>0</v>
      </c>
      <c r="O6460" s="53" t="n">
        <v>45894.5182175926</v>
      </c>
      <c r="P6460" s="53" t="n">
        <v>45957.9088310185</v>
      </c>
      <c r="Q6460" s="53" t="n">
        <v>45894.5182175926</v>
      </c>
      <c r="R6460" s="0" t="n">
        <v>0</v>
      </c>
      <c r="S6460" s="51" t="s">
        <v>2416</v>
      </c>
      <c r="T6460" s="51" t="s">
        <v>2416</v>
      </c>
      <c r="U6460" s="0" t="str">
        <f aca="false">"12363202"</f>
        <v>12363202</v>
      </c>
      <c r="V6460" s="51" t="s">
        <v>2365</v>
      </c>
      <c r="W6460" s="51" t="s">
        <v>4893</v>
      </c>
      <c r="X6460" s="51" t="s">
        <v>2359</v>
      </c>
    </row>
    <row r="6461" customFormat="false" ht="14.25" hidden="true" customHeight="false" outlineLevel="0" collapsed="false">
      <c r="A6461" s="49" t="s">
        <v>2349</v>
      </c>
      <c r="B6461" s="49" t="s">
        <v>2350</v>
      </c>
      <c r="C6461" s="49" t="s">
        <v>11109</v>
      </c>
      <c r="D6461" s="49" t="s">
        <v>2352</v>
      </c>
      <c r="E6461" s="49" t="str">
        <f aca="false">"12363202"</f>
        <v>12363202</v>
      </c>
      <c r="F6461" s="49" t="s">
        <v>7041</v>
      </c>
      <c r="G6461" s="49" t="n">
        <v>0</v>
      </c>
      <c r="H6461" s="0" t="n">
        <v>0</v>
      </c>
      <c r="M6461" s="51" t="s">
        <v>11070</v>
      </c>
      <c r="N6461" s="49" t="n">
        <v>0</v>
      </c>
      <c r="O6461" s="53" t="n">
        <v>45894.5186458333</v>
      </c>
      <c r="P6461" s="53" t="n">
        <v>45903.7554398148</v>
      </c>
      <c r="Q6461" s="53" t="n">
        <v>45894.5186458333</v>
      </c>
      <c r="R6461" s="0" t="n">
        <v>0</v>
      </c>
      <c r="S6461" s="51" t="s">
        <v>2416</v>
      </c>
      <c r="T6461" s="51" t="s">
        <v>2416</v>
      </c>
      <c r="U6461" s="0" t="str">
        <f aca="false">"12363202"</f>
        <v>12363202</v>
      </c>
      <c r="V6461" s="51" t="s">
        <v>2365</v>
      </c>
      <c r="W6461" s="51" t="s">
        <v>4290</v>
      </c>
      <c r="X6461" s="51" t="s">
        <v>2359</v>
      </c>
    </row>
    <row r="6462" customFormat="false" ht="14.25" hidden="true" customHeight="false" outlineLevel="0" collapsed="false">
      <c r="A6462" s="49" t="s">
        <v>2349</v>
      </c>
      <c r="B6462" s="49" t="s">
        <v>2350</v>
      </c>
      <c r="C6462" s="49" t="s">
        <v>11110</v>
      </c>
      <c r="D6462" s="49" t="s">
        <v>2352</v>
      </c>
      <c r="E6462" s="49" t="str">
        <f aca="false">"12520129"</f>
        <v>12520129</v>
      </c>
      <c r="F6462" s="49" t="s">
        <v>4870</v>
      </c>
      <c r="G6462" s="49" t="n">
        <v>0</v>
      </c>
      <c r="H6462" s="0" t="n">
        <v>0</v>
      </c>
      <c r="M6462" s="51" t="s">
        <v>11070</v>
      </c>
      <c r="N6462" s="49" t="n">
        <v>0</v>
      </c>
      <c r="O6462" s="53" t="n">
        <v>45894.5140972222</v>
      </c>
      <c r="P6462" s="53" t="n">
        <v>45897.3658680556</v>
      </c>
      <c r="Q6462" s="53" t="n">
        <v>45894.5140972222</v>
      </c>
      <c r="R6462" s="0" t="n">
        <v>0</v>
      </c>
      <c r="S6462" s="51" t="s">
        <v>2416</v>
      </c>
      <c r="T6462" s="51" t="s">
        <v>2416</v>
      </c>
      <c r="U6462" s="0" t="str">
        <f aca="false">"12520129"</f>
        <v>12520129</v>
      </c>
      <c r="V6462" s="51" t="s">
        <v>2365</v>
      </c>
      <c r="W6462" s="51" t="s">
        <v>11111</v>
      </c>
      <c r="X6462" s="51" t="s">
        <v>2359</v>
      </c>
    </row>
    <row r="6463" customFormat="false" ht="14.25" hidden="true" customHeight="false" outlineLevel="0" collapsed="false">
      <c r="A6463" s="49" t="s">
        <v>2349</v>
      </c>
      <c r="B6463" s="49" t="s">
        <v>2350</v>
      </c>
      <c r="C6463" s="49" t="s">
        <v>11112</v>
      </c>
      <c r="D6463" s="49" t="s">
        <v>2352</v>
      </c>
      <c r="E6463" s="49" t="str">
        <f aca="false">"12520129"</f>
        <v>12520129</v>
      </c>
      <c r="F6463" s="49" t="s">
        <v>4870</v>
      </c>
      <c r="G6463" s="49" t="n">
        <v>0</v>
      </c>
      <c r="H6463" s="0" t="n">
        <v>0</v>
      </c>
      <c r="M6463" s="51" t="s">
        <v>11070</v>
      </c>
      <c r="N6463" s="49" t="n">
        <v>0</v>
      </c>
      <c r="O6463" s="53" t="n">
        <v>45894.5143402778</v>
      </c>
      <c r="P6463" s="53" t="n">
        <v>45897.3655208333</v>
      </c>
      <c r="Q6463" s="53" t="n">
        <v>45894.5143402778</v>
      </c>
      <c r="R6463" s="0" t="n">
        <v>0</v>
      </c>
      <c r="S6463" s="51" t="s">
        <v>2416</v>
      </c>
      <c r="T6463" s="51" t="s">
        <v>2416</v>
      </c>
      <c r="U6463" s="0" t="str">
        <f aca="false">"12520129"</f>
        <v>12520129</v>
      </c>
      <c r="V6463" s="51" t="s">
        <v>2365</v>
      </c>
      <c r="W6463" s="51" t="s">
        <v>11113</v>
      </c>
      <c r="X6463" s="51" t="s">
        <v>2359</v>
      </c>
    </row>
    <row r="6464" customFormat="false" ht="14.25" hidden="true" customHeight="false" outlineLevel="0" collapsed="false">
      <c r="A6464" s="49" t="s">
        <v>2349</v>
      </c>
      <c r="B6464" s="49" t="s">
        <v>2350</v>
      </c>
      <c r="C6464" s="49" t="s">
        <v>11114</v>
      </c>
      <c r="D6464" s="49" t="s">
        <v>2352</v>
      </c>
      <c r="E6464" s="49" t="str">
        <f aca="false">"12520129"</f>
        <v>12520129</v>
      </c>
      <c r="F6464" s="49" t="s">
        <v>4870</v>
      </c>
      <c r="G6464" s="49" t="n">
        <v>0</v>
      </c>
      <c r="H6464" s="0" t="n">
        <v>0</v>
      </c>
      <c r="M6464" s="51" t="s">
        <v>11070</v>
      </c>
      <c r="N6464" s="49" t="n">
        <v>0</v>
      </c>
      <c r="O6464" s="53" t="n">
        <v>45894.514525463</v>
      </c>
      <c r="P6464" s="53" t="n">
        <v>45897.3595601852</v>
      </c>
      <c r="Q6464" s="53" t="n">
        <v>45894.514525463</v>
      </c>
      <c r="R6464" s="0" t="n">
        <v>0</v>
      </c>
      <c r="S6464" s="51" t="s">
        <v>2416</v>
      </c>
      <c r="T6464" s="51" t="s">
        <v>2416</v>
      </c>
      <c r="U6464" s="0" t="str">
        <f aca="false">"12520129"</f>
        <v>12520129</v>
      </c>
      <c r="V6464" s="51" t="s">
        <v>2365</v>
      </c>
      <c r="W6464" s="51" t="s">
        <v>11115</v>
      </c>
      <c r="X6464" s="51" t="s">
        <v>2359</v>
      </c>
    </row>
    <row r="6465" customFormat="false" ht="14.25" hidden="true" customHeight="false" outlineLevel="0" collapsed="false">
      <c r="A6465" s="49" t="s">
        <v>2349</v>
      </c>
      <c r="B6465" s="49" t="s">
        <v>2350</v>
      </c>
      <c r="C6465" s="49" t="s">
        <v>11116</v>
      </c>
      <c r="D6465" s="49" t="s">
        <v>2352</v>
      </c>
      <c r="E6465" s="49" t="str">
        <f aca="false">"12520129"</f>
        <v>12520129</v>
      </c>
      <c r="F6465" s="49" t="s">
        <v>4870</v>
      </c>
      <c r="G6465" s="49" t="n">
        <v>0</v>
      </c>
      <c r="H6465" s="0" t="n">
        <v>0</v>
      </c>
      <c r="M6465" s="51" t="s">
        <v>11070</v>
      </c>
      <c r="N6465" s="49" t="n">
        <v>0</v>
      </c>
      <c r="O6465" s="53" t="n">
        <v>45894.514837963</v>
      </c>
      <c r="P6465" s="53" t="n">
        <v>45897.3525810185</v>
      </c>
      <c r="Q6465" s="53" t="n">
        <v>45894.514837963</v>
      </c>
      <c r="R6465" s="0" t="n">
        <v>0</v>
      </c>
      <c r="S6465" s="51" t="s">
        <v>2416</v>
      </c>
      <c r="T6465" s="51" t="s">
        <v>2416</v>
      </c>
      <c r="U6465" s="0" t="str">
        <f aca="false">"12520129"</f>
        <v>12520129</v>
      </c>
      <c r="V6465" s="51" t="s">
        <v>2365</v>
      </c>
      <c r="W6465" s="51" t="s">
        <v>5699</v>
      </c>
      <c r="X6465" s="51" t="s">
        <v>2359</v>
      </c>
    </row>
    <row r="6466" customFormat="false" ht="14.25" hidden="true" customHeight="false" outlineLevel="0" collapsed="false">
      <c r="A6466" s="49" t="s">
        <v>2349</v>
      </c>
      <c r="B6466" s="49" t="s">
        <v>2350</v>
      </c>
      <c r="C6466" s="49" t="s">
        <v>11117</v>
      </c>
      <c r="D6466" s="49" t="s">
        <v>2352</v>
      </c>
      <c r="E6466" s="49" t="str">
        <f aca="false">"5060175133274"</f>
        <v>5060175133274</v>
      </c>
      <c r="F6466" s="49" t="s">
        <v>5130</v>
      </c>
      <c r="G6466" s="49" t="n">
        <v>0</v>
      </c>
      <c r="H6466" s="0" t="n">
        <v>0</v>
      </c>
      <c r="M6466" s="51" t="s">
        <v>11118</v>
      </c>
      <c r="N6466" s="49" t="n">
        <v>0</v>
      </c>
      <c r="O6466" s="53" t="n">
        <v>45889.4994791667</v>
      </c>
      <c r="P6466" s="53" t="n">
        <v>45897.3399768519</v>
      </c>
      <c r="Q6466" s="53" t="n">
        <v>45889.4994791667</v>
      </c>
      <c r="R6466" s="0" t="n">
        <v>0</v>
      </c>
      <c r="S6466" s="51" t="s">
        <v>2416</v>
      </c>
      <c r="T6466" s="51" t="s">
        <v>2416</v>
      </c>
      <c r="U6466" s="0" t="str">
        <f aca="false">"5060175133274"</f>
        <v>5060175133274</v>
      </c>
      <c r="V6466" s="51" t="s">
        <v>2365</v>
      </c>
      <c r="W6466" s="51" t="s">
        <v>11119</v>
      </c>
      <c r="X6466" s="51" t="s">
        <v>2359</v>
      </c>
    </row>
    <row r="6467" customFormat="false" ht="14.25" hidden="true" customHeight="false" outlineLevel="0" collapsed="false">
      <c r="A6467" s="49" t="s">
        <v>2349</v>
      </c>
      <c r="B6467" s="49" t="s">
        <v>2350</v>
      </c>
      <c r="C6467" s="49" t="s">
        <v>11120</v>
      </c>
      <c r="D6467" s="49" t="s">
        <v>2352</v>
      </c>
      <c r="E6467" s="49" t="s">
        <v>8289</v>
      </c>
      <c r="F6467" s="49" t="s">
        <v>8290</v>
      </c>
      <c r="G6467" s="49" t="n">
        <v>0</v>
      </c>
      <c r="H6467" s="0" t="n">
        <v>0</v>
      </c>
      <c r="M6467" s="51" t="s">
        <v>11121</v>
      </c>
      <c r="N6467" s="49" t="n">
        <v>0</v>
      </c>
      <c r="O6467" s="53" t="n">
        <v>45914.4475</v>
      </c>
      <c r="P6467" s="53" t="n">
        <v>45925.632037037</v>
      </c>
      <c r="Q6467" s="53" t="n">
        <v>45914.4475</v>
      </c>
      <c r="R6467" s="0" t="n">
        <v>0</v>
      </c>
      <c r="S6467" s="51" t="s">
        <v>2356</v>
      </c>
      <c r="T6467" s="51" t="s">
        <v>2356</v>
      </c>
      <c r="U6467" s="51" t="s">
        <v>8289</v>
      </c>
      <c r="V6467" s="51" t="s">
        <v>2357</v>
      </c>
      <c r="W6467" s="51" t="s">
        <v>5159</v>
      </c>
      <c r="X6467" s="51" t="s">
        <v>2359</v>
      </c>
    </row>
    <row r="6468" customFormat="false" ht="14.25" hidden="true" customHeight="false" outlineLevel="0" collapsed="false">
      <c r="A6468" s="49" t="s">
        <v>2349</v>
      </c>
      <c r="B6468" s="49" t="s">
        <v>2350</v>
      </c>
      <c r="C6468" s="49" t="s">
        <v>11122</v>
      </c>
      <c r="D6468" s="49" t="s">
        <v>2352</v>
      </c>
      <c r="E6468" s="49" t="s">
        <v>8289</v>
      </c>
      <c r="F6468" s="49" t="s">
        <v>8290</v>
      </c>
      <c r="G6468" s="49" t="n">
        <v>0</v>
      </c>
      <c r="H6468" s="0" t="n">
        <v>0</v>
      </c>
      <c r="M6468" s="51" t="s">
        <v>11121</v>
      </c>
      <c r="N6468" s="49" t="n">
        <v>0</v>
      </c>
      <c r="O6468" s="53" t="n">
        <v>45914.4470486111</v>
      </c>
      <c r="P6468" s="53" t="n">
        <v>45963.7270486111</v>
      </c>
      <c r="Q6468" s="53" t="n">
        <v>45914.4470486111</v>
      </c>
      <c r="R6468" s="0" t="n">
        <v>0</v>
      </c>
      <c r="S6468" s="51" t="s">
        <v>2356</v>
      </c>
      <c r="T6468" s="51" t="s">
        <v>2356</v>
      </c>
      <c r="U6468" s="51" t="s">
        <v>8289</v>
      </c>
      <c r="V6468" s="51" t="s">
        <v>2357</v>
      </c>
      <c r="W6468" s="51" t="s">
        <v>3670</v>
      </c>
      <c r="X6468" s="51" t="s">
        <v>2359</v>
      </c>
    </row>
    <row r="6469" customFormat="false" ht="14.25" hidden="true" customHeight="false" outlineLevel="0" collapsed="false">
      <c r="A6469" s="49" t="s">
        <v>2349</v>
      </c>
      <c r="B6469" s="49" t="s">
        <v>2350</v>
      </c>
      <c r="C6469" s="49" t="s">
        <v>11123</v>
      </c>
      <c r="D6469" s="49" t="s">
        <v>2352</v>
      </c>
      <c r="E6469" s="49" t="str">
        <f aca="false">"12428864"</f>
        <v>12428864</v>
      </c>
      <c r="F6469" s="49" t="s">
        <v>4251</v>
      </c>
      <c r="G6469" s="49" t="n">
        <v>0</v>
      </c>
      <c r="H6469" s="0" t="n">
        <v>0</v>
      </c>
      <c r="M6469" s="51" t="s">
        <v>11124</v>
      </c>
      <c r="N6469" s="49" t="n">
        <v>0</v>
      </c>
      <c r="O6469" s="53" t="n">
        <v>45922.637974537</v>
      </c>
      <c r="P6469" s="53" t="n">
        <v>45942.7636689815</v>
      </c>
      <c r="Q6469" s="53" t="n">
        <v>45922.637974537</v>
      </c>
      <c r="R6469" s="0" t="n">
        <v>0</v>
      </c>
      <c r="S6469" s="51" t="s">
        <v>2416</v>
      </c>
      <c r="T6469" s="51" t="s">
        <v>2416</v>
      </c>
      <c r="U6469" s="0" t="str">
        <f aca="false">"12428864"</f>
        <v>12428864</v>
      </c>
      <c r="V6469" s="51" t="s">
        <v>2365</v>
      </c>
      <c r="W6469" s="51" t="s">
        <v>11125</v>
      </c>
      <c r="X6469" s="51" t="s">
        <v>2359</v>
      </c>
    </row>
    <row r="6470" customFormat="false" ht="14.25" hidden="true" customHeight="false" outlineLevel="0" collapsed="false">
      <c r="A6470" s="49" t="s">
        <v>2349</v>
      </c>
      <c r="B6470" s="49" t="s">
        <v>2350</v>
      </c>
      <c r="C6470" s="49" t="s">
        <v>11126</v>
      </c>
      <c r="D6470" s="49" t="s">
        <v>2352</v>
      </c>
      <c r="E6470" s="49" t="str">
        <f aca="false">"12428864"</f>
        <v>12428864</v>
      </c>
      <c r="F6470" s="49" t="s">
        <v>4251</v>
      </c>
      <c r="G6470" s="49" t="n">
        <v>0</v>
      </c>
      <c r="H6470" s="0" t="n">
        <v>0</v>
      </c>
      <c r="M6470" s="51" t="s">
        <v>11124</v>
      </c>
      <c r="N6470" s="49" t="n">
        <v>0</v>
      </c>
      <c r="O6470" s="53" t="n">
        <v>45922.637650463</v>
      </c>
      <c r="P6470" s="53" t="n">
        <v>45942.7618402778</v>
      </c>
      <c r="Q6470" s="53" t="n">
        <v>45922.637650463</v>
      </c>
      <c r="R6470" s="0" t="n">
        <v>0</v>
      </c>
      <c r="S6470" s="51" t="s">
        <v>2416</v>
      </c>
      <c r="T6470" s="51" t="s">
        <v>2416</v>
      </c>
      <c r="U6470" s="0" t="str">
        <f aca="false">"12428864"</f>
        <v>12428864</v>
      </c>
      <c r="V6470" s="51" t="s">
        <v>2365</v>
      </c>
      <c r="W6470" s="51" t="s">
        <v>11127</v>
      </c>
      <c r="X6470" s="51" t="s">
        <v>2359</v>
      </c>
    </row>
    <row r="6471" customFormat="false" ht="14.25" hidden="true" customHeight="false" outlineLevel="0" collapsed="false">
      <c r="A6471" s="49" t="s">
        <v>2349</v>
      </c>
      <c r="B6471" s="49" t="s">
        <v>2350</v>
      </c>
      <c r="C6471" s="49" t="s">
        <v>11128</v>
      </c>
      <c r="D6471" s="49" t="s">
        <v>2352</v>
      </c>
      <c r="E6471" s="49" t="str">
        <f aca="false">"12496983"</f>
        <v>12496983</v>
      </c>
      <c r="F6471" s="49" t="s">
        <v>4880</v>
      </c>
      <c r="G6471" s="49" t="n">
        <v>0</v>
      </c>
      <c r="H6471" s="0" t="n">
        <v>0</v>
      </c>
      <c r="M6471" s="51" t="s">
        <v>11124</v>
      </c>
      <c r="N6471" s="49" t="n">
        <v>0</v>
      </c>
      <c r="O6471" s="53" t="n">
        <v>45922.6374537037</v>
      </c>
      <c r="P6471" s="53" t="n">
        <v>45924.7972453704</v>
      </c>
      <c r="Q6471" s="53" t="n">
        <v>45922.6374537037</v>
      </c>
      <c r="R6471" s="0" t="n">
        <v>0</v>
      </c>
      <c r="S6471" s="51" t="s">
        <v>2416</v>
      </c>
      <c r="T6471" s="51" t="s">
        <v>2416</v>
      </c>
      <c r="U6471" s="0" t="str">
        <f aca="false">"12496983"</f>
        <v>12496983</v>
      </c>
      <c r="V6471" s="51" t="s">
        <v>2365</v>
      </c>
      <c r="W6471" s="51" t="s">
        <v>11129</v>
      </c>
      <c r="X6471" s="51" t="s">
        <v>2359</v>
      </c>
    </row>
    <row r="6472" customFormat="false" ht="14.25" hidden="true" customHeight="false" outlineLevel="0" collapsed="false">
      <c r="A6472" s="49" t="s">
        <v>2349</v>
      </c>
      <c r="B6472" s="49" t="s">
        <v>2350</v>
      </c>
      <c r="C6472" s="49" t="s">
        <v>11130</v>
      </c>
      <c r="D6472" s="49" t="s">
        <v>2352</v>
      </c>
      <c r="E6472" s="49" t="str">
        <f aca="false">"12496983"</f>
        <v>12496983</v>
      </c>
      <c r="F6472" s="49" t="s">
        <v>4880</v>
      </c>
      <c r="G6472" s="49" t="n">
        <v>0</v>
      </c>
      <c r="H6472" s="0" t="n">
        <v>0</v>
      </c>
      <c r="M6472" s="51" t="s">
        <v>11124</v>
      </c>
      <c r="N6472" s="49" t="n">
        <v>0</v>
      </c>
      <c r="O6472" s="53" t="n">
        <v>45922.637337963</v>
      </c>
      <c r="P6472" s="53" t="n">
        <v>45942.4367824074</v>
      </c>
      <c r="Q6472" s="53" t="n">
        <v>45922.637337963</v>
      </c>
      <c r="R6472" s="0" t="n">
        <v>0</v>
      </c>
      <c r="S6472" s="51" t="s">
        <v>2416</v>
      </c>
      <c r="T6472" s="51" t="s">
        <v>2416</v>
      </c>
      <c r="U6472" s="0" t="str">
        <f aca="false">"12496983"</f>
        <v>12496983</v>
      </c>
      <c r="V6472" s="51" t="s">
        <v>2365</v>
      </c>
      <c r="W6472" s="51" t="s">
        <v>9584</v>
      </c>
      <c r="X6472" s="51" t="s">
        <v>2359</v>
      </c>
    </row>
    <row r="6473" customFormat="false" ht="14.25" hidden="true" customHeight="false" outlineLevel="0" collapsed="false">
      <c r="A6473" s="49" t="s">
        <v>2349</v>
      </c>
      <c r="B6473" s="49" t="s">
        <v>2350</v>
      </c>
      <c r="C6473" s="49" t="s">
        <v>11131</v>
      </c>
      <c r="D6473" s="49" t="s">
        <v>2352</v>
      </c>
      <c r="E6473" s="49" t="str">
        <f aca="false">"12207690"</f>
        <v>12207690</v>
      </c>
      <c r="F6473" s="49" t="s">
        <v>4199</v>
      </c>
      <c r="G6473" s="49" t="n">
        <v>0</v>
      </c>
      <c r="H6473" s="0" t="n">
        <v>0</v>
      </c>
      <c r="M6473" s="51" t="s">
        <v>11124</v>
      </c>
      <c r="N6473" s="49" t="n">
        <v>0</v>
      </c>
      <c r="O6473" s="53" t="n">
        <v>45922.6396990741</v>
      </c>
      <c r="P6473" s="53" t="n">
        <v>45992.4561574074</v>
      </c>
      <c r="Q6473" s="53" t="n">
        <v>45922.6396990741</v>
      </c>
      <c r="R6473" s="0" t="n">
        <v>0</v>
      </c>
      <c r="S6473" s="51" t="s">
        <v>2416</v>
      </c>
      <c r="T6473" s="51" t="s">
        <v>2416</v>
      </c>
      <c r="U6473" s="0" t="str">
        <f aca="false">"12207690"</f>
        <v>12207690</v>
      </c>
      <c r="V6473" s="51" t="s">
        <v>2365</v>
      </c>
      <c r="W6473" s="51" t="s">
        <v>11132</v>
      </c>
      <c r="X6473" s="51" t="s">
        <v>2359</v>
      </c>
    </row>
    <row r="6474" customFormat="false" ht="14.25" hidden="true" customHeight="false" outlineLevel="0" collapsed="false">
      <c r="A6474" s="49" t="s">
        <v>2349</v>
      </c>
      <c r="B6474" s="49" t="s">
        <v>2350</v>
      </c>
      <c r="C6474" s="49" t="s">
        <v>11133</v>
      </c>
      <c r="D6474" s="49" t="s">
        <v>2352</v>
      </c>
      <c r="E6474" s="49" t="str">
        <f aca="false">"12496983"</f>
        <v>12496983</v>
      </c>
      <c r="F6474" s="49" t="s">
        <v>4880</v>
      </c>
      <c r="G6474" s="49" t="n">
        <v>0</v>
      </c>
      <c r="H6474" s="0" t="n">
        <v>0</v>
      </c>
      <c r="M6474" s="51" t="s">
        <v>11124</v>
      </c>
      <c r="N6474" s="49" t="n">
        <v>0</v>
      </c>
      <c r="O6474" s="53" t="n">
        <v>45922.6359490741</v>
      </c>
      <c r="P6474" s="53" t="n">
        <v>45958.9201157407</v>
      </c>
      <c r="Q6474" s="53" t="n">
        <v>45922.6359490741</v>
      </c>
      <c r="R6474" s="0" t="n">
        <v>0</v>
      </c>
      <c r="S6474" s="51" t="s">
        <v>2416</v>
      </c>
      <c r="T6474" s="51" t="s">
        <v>2416</v>
      </c>
      <c r="U6474" s="0" t="str">
        <f aca="false">"12496983"</f>
        <v>12496983</v>
      </c>
      <c r="V6474" s="51" t="s">
        <v>2365</v>
      </c>
      <c r="W6474" s="51" t="s">
        <v>11134</v>
      </c>
      <c r="X6474" s="51" t="s">
        <v>2359</v>
      </c>
    </row>
    <row r="6475" customFormat="false" ht="14.25" hidden="true" customHeight="false" outlineLevel="0" collapsed="false">
      <c r="A6475" s="49" t="s">
        <v>2349</v>
      </c>
      <c r="B6475" s="49" t="s">
        <v>2350</v>
      </c>
      <c r="C6475" s="49" t="s">
        <v>11135</v>
      </c>
      <c r="D6475" s="49" t="s">
        <v>2352</v>
      </c>
      <c r="E6475" s="49" t="str">
        <f aca="false">"12207690"</f>
        <v>12207690</v>
      </c>
      <c r="F6475" s="49" t="s">
        <v>4199</v>
      </c>
      <c r="G6475" s="49" t="n">
        <v>0</v>
      </c>
      <c r="H6475" s="0" t="n">
        <v>0</v>
      </c>
      <c r="M6475" s="51" t="s">
        <v>11124</v>
      </c>
      <c r="N6475" s="49" t="n">
        <v>0</v>
      </c>
      <c r="O6475" s="53" t="n">
        <v>45922.6355671296</v>
      </c>
      <c r="P6475" s="53" t="n">
        <v>45932.8028703704</v>
      </c>
      <c r="Q6475" s="53" t="n">
        <v>45922.6355671296</v>
      </c>
      <c r="R6475" s="0" t="n">
        <v>0</v>
      </c>
      <c r="S6475" s="51" t="s">
        <v>2416</v>
      </c>
      <c r="T6475" s="51" t="s">
        <v>2416</v>
      </c>
      <c r="U6475" s="0" t="str">
        <f aca="false">"12207690"</f>
        <v>12207690</v>
      </c>
      <c r="V6475" s="51" t="s">
        <v>2365</v>
      </c>
      <c r="W6475" s="51" t="s">
        <v>8991</v>
      </c>
      <c r="X6475" s="51" t="s">
        <v>2359</v>
      </c>
    </row>
    <row r="6476" customFormat="false" ht="14.25" hidden="true" customHeight="false" outlineLevel="0" collapsed="false">
      <c r="A6476" s="49" t="s">
        <v>2349</v>
      </c>
      <c r="B6476" s="49" t="s">
        <v>2350</v>
      </c>
      <c r="C6476" s="49" t="s">
        <v>11136</v>
      </c>
      <c r="D6476" s="49" t="s">
        <v>2352</v>
      </c>
      <c r="E6476" s="49" t="str">
        <f aca="false">"12464079"</f>
        <v>12464079</v>
      </c>
      <c r="F6476" s="49" t="s">
        <v>4706</v>
      </c>
      <c r="G6476" s="49" t="n">
        <v>0</v>
      </c>
      <c r="H6476" s="0" t="n">
        <v>0</v>
      </c>
      <c r="M6476" s="51" t="s">
        <v>11124</v>
      </c>
      <c r="N6476" s="49" t="n">
        <v>0</v>
      </c>
      <c r="O6476" s="53" t="n">
        <v>45922.6351041667</v>
      </c>
      <c r="P6476" s="53" t="n">
        <v>46000.1847569444</v>
      </c>
      <c r="Q6476" s="53" t="n">
        <v>45922.6351041667</v>
      </c>
      <c r="R6476" s="0" t="n">
        <v>0</v>
      </c>
      <c r="S6476" s="51" t="s">
        <v>2416</v>
      </c>
      <c r="T6476" s="51" t="s">
        <v>2416</v>
      </c>
      <c r="U6476" s="0" t="str">
        <f aca="false">"12464079"</f>
        <v>12464079</v>
      </c>
      <c r="V6476" s="51" t="s">
        <v>2365</v>
      </c>
      <c r="W6476" s="51" t="s">
        <v>4891</v>
      </c>
      <c r="X6476" s="51" t="s">
        <v>2359</v>
      </c>
    </row>
    <row r="6477" customFormat="false" ht="14.25" hidden="true" customHeight="false" outlineLevel="0" collapsed="false">
      <c r="A6477" s="49" t="s">
        <v>2349</v>
      </c>
      <c r="B6477" s="49" t="s">
        <v>2350</v>
      </c>
      <c r="C6477" s="49" t="s">
        <v>11137</v>
      </c>
      <c r="D6477" s="49" t="s">
        <v>2352</v>
      </c>
      <c r="E6477" s="49" t="str">
        <f aca="false">"12464079"</f>
        <v>12464079</v>
      </c>
      <c r="F6477" s="49" t="s">
        <v>4706</v>
      </c>
      <c r="G6477" s="49" t="n">
        <v>0</v>
      </c>
      <c r="H6477" s="0" t="n">
        <v>0</v>
      </c>
      <c r="M6477" s="51" t="s">
        <v>11124</v>
      </c>
      <c r="N6477" s="49" t="n">
        <v>0</v>
      </c>
      <c r="O6477" s="53" t="n">
        <v>45922.6349189815</v>
      </c>
      <c r="P6477" s="53" t="n">
        <v>45952.925150463</v>
      </c>
      <c r="Q6477" s="53" t="n">
        <v>45922.6349189815</v>
      </c>
      <c r="R6477" s="0" t="n">
        <v>0</v>
      </c>
      <c r="S6477" s="51" t="s">
        <v>2416</v>
      </c>
      <c r="T6477" s="51" t="s">
        <v>2416</v>
      </c>
      <c r="U6477" s="0" t="str">
        <f aca="false">"12464079"</f>
        <v>12464079</v>
      </c>
      <c r="V6477" s="51" t="s">
        <v>2365</v>
      </c>
      <c r="W6477" s="51" t="s">
        <v>10616</v>
      </c>
      <c r="X6477" s="51" t="s">
        <v>2359</v>
      </c>
    </row>
    <row r="6478" customFormat="false" ht="14.25" hidden="true" customHeight="false" outlineLevel="0" collapsed="false">
      <c r="A6478" s="49" t="s">
        <v>2349</v>
      </c>
      <c r="B6478" s="49" t="s">
        <v>2350</v>
      </c>
      <c r="C6478" s="49" t="s">
        <v>11138</v>
      </c>
      <c r="D6478" s="49" t="s">
        <v>2352</v>
      </c>
      <c r="E6478" s="49" t="str">
        <f aca="false">"12428864"</f>
        <v>12428864</v>
      </c>
      <c r="F6478" s="49" t="s">
        <v>4251</v>
      </c>
      <c r="G6478" s="49" t="n">
        <v>0</v>
      </c>
      <c r="H6478" s="0" t="n">
        <v>0</v>
      </c>
      <c r="M6478" s="51" t="s">
        <v>11124</v>
      </c>
      <c r="N6478" s="49" t="n">
        <v>0</v>
      </c>
      <c r="O6478" s="53" t="n">
        <v>45922.6345949074</v>
      </c>
      <c r="P6478" s="53" t="n">
        <v>45949.6530671296</v>
      </c>
      <c r="Q6478" s="53" t="n">
        <v>45922.6345949074</v>
      </c>
      <c r="R6478" s="0" t="n">
        <v>0</v>
      </c>
      <c r="S6478" s="51" t="s">
        <v>2416</v>
      </c>
      <c r="T6478" s="51" t="s">
        <v>2416</v>
      </c>
      <c r="U6478" s="0" t="str">
        <f aca="false">"12428864"</f>
        <v>12428864</v>
      </c>
      <c r="V6478" s="51" t="s">
        <v>2365</v>
      </c>
      <c r="W6478" s="51" t="s">
        <v>11139</v>
      </c>
      <c r="X6478" s="51" t="s">
        <v>2359</v>
      </c>
    </row>
    <row r="6479" customFormat="false" ht="14.25" hidden="true" customHeight="false" outlineLevel="0" collapsed="false">
      <c r="A6479" s="49" t="s">
        <v>2349</v>
      </c>
      <c r="B6479" s="49" t="s">
        <v>2350</v>
      </c>
      <c r="C6479" s="49" t="s">
        <v>11140</v>
      </c>
      <c r="D6479" s="49" t="s">
        <v>2352</v>
      </c>
      <c r="E6479" s="49" t="str">
        <f aca="false">"12428864"</f>
        <v>12428864</v>
      </c>
      <c r="F6479" s="49" t="s">
        <v>4251</v>
      </c>
      <c r="G6479" s="49" t="n">
        <v>0</v>
      </c>
      <c r="H6479" s="0" t="n">
        <v>0</v>
      </c>
      <c r="M6479" s="51" t="s">
        <v>11124</v>
      </c>
      <c r="N6479" s="49" t="n">
        <v>0</v>
      </c>
      <c r="O6479" s="53" t="n">
        <v>45922.6340972222</v>
      </c>
      <c r="P6479" s="53" t="n">
        <v>45949.654375</v>
      </c>
      <c r="Q6479" s="53" t="n">
        <v>45922.6340972222</v>
      </c>
      <c r="R6479" s="0" t="n">
        <v>0</v>
      </c>
      <c r="S6479" s="51" t="s">
        <v>2416</v>
      </c>
      <c r="T6479" s="51" t="s">
        <v>2416</v>
      </c>
      <c r="U6479" s="0" t="str">
        <f aca="false">"12428864"</f>
        <v>12428864</v>
      </c>
      <c r="V6479" s="51" t="s">
        <v>2365</v>
      </c>
      <c r="W6479" s="51" t="s">
        <v>10142</v>
      </c>
      <c r="X6479" s="51" t="s">
        <v>2359</v>
      </c>
    </row>
    <row r="6480" customFormat="false" ht="14.25" hidden="true" customHeight="false" outlineLevel="0" collapsed="false">
      <c r="A6480" s="49" t="s">
        <v>2349</v>
      </c>
      <c r="B6480" s="49" t="s">
        <v>2350</v>
      </c>
      <c r="C6480" s="49" t="s">
        <v>11141</v>
      </c>
      <c r="D6480" s="49" t="s">
        <v>2352</v>
      </c>
      <c r="E6480" s="49" t="str">
        <f aca="false">"12464079"</f>
        <v>12464079</v>
      </c>
      <c r="F6480" s="49" t="s">
        <v>4706</v>
      </c>
      <c r="G6480" s="49" t="n">
        <v>0</v>
      </c>
      <c r="H6480" s="0" t="n">
        <v>0</v>
      </c>
      <c r="M6480" s="51" t="s">
        <v>11124</v>
      </c>
      <c r="N6480" s="49" t="n">
        <v>0</v>
      </c>
      <c r="O6480" s="53" t="n">
        <v>45922.6337268519</v>
      </c>
      <c r="P6480" s="53" t="n">
        <v>45951.4685532407</v>
      </c>
      <c r="Q6480" s="53" t="n">
        <v>45922.6337268519</v>
      </c>
      <c r="R6480" s="0" t="n">
        <v>0</v>
      </c>
      <c r="S6480" s="51" t="s">
        <v>2416</v>
      </c>
      <c r="T6480" s="51" t="s">
        <v>2416</v>
      </c>
      <c r="U6480" s="0" t="str">
        <f aca="false">"12464079"</f>
        <v>12464079</v>
      </c>
      <c r="V6480" s="51" t="s">
        <v>2365</v>
      </c>
      <c r="W6480" s="51" t="s">
        <v>11142</v>
      </c>
      <c r="X6480" s="51" t="s">
        <v>2359</v>
      </c>
    </row>
    <row r="6481" customFormat="false" ht="14.25" hidden="true" customHeight="false" outlineLevel="0" collapsed="false">
      <c r="A6481" s="49" t="s">
        <v>2349</v>
      </c>
      <c r="B6481" s="49" t="s">
        <v>2350</v>
      </c>
      <c r="C6481" s="49" t="s">
        <v>11143</v>
      </c>
      <c r="D6481" s="49" t="s">
        <v>2352</v>
      </c>
      <c r="E6481" s="49" t="str">
        <f aca="false">"12464079"</f>
        <v>12464079</v>
      </c>
      <c r="F6481" s="49" t="s">
        <v>4706</v>
      </c>
      <c r="G6481" s="49" t="n">
        <v>0</v>
      </c>
      <c r="H6481" s="0" t="n">
        <v>0</v>
      </c>
      <c r="M6481" s="51" t="s">
        <v>11124</v>
      </c>
      <c r="N6481" s="49" t="n">
        <v>0</v>
      </c>
      <c r="O6481" s="53" t="n">
        <v>45922.633587963</v>
      </c>
      <c r="P6481" s="53" t="n">
        <v>45953.5304166667</v>
      </c>
      <c r="Q6481" s="53" t="n">
        <v>45922.633587963</v>
      </c>
      <c r="R6481" s="0" t="n">
        <v>0</v>
      </c>
      <c r="S6481" s="51" t="s">
        <v>2416</v>
      </c>
      <c r="T6481" s="51" t="s">
        <v>2416</v>
      </c>
      <c r="U6481" s="0" t="str">
        <f aca="false">"12464079"</f>
        <v>12464079</v>
      </c>
      <c r="V6481" s="51" t="s">
        <v>2365</v>
      </c>
      <c r="W6481" s="51" t="s">
        <v>11144</v>
      </c>
      <c r="X6481" s="51" t="s">
        <v>2359</v>
      </c>
    </row>
    <row r="6482" customFormat="false" ht="14.25" hidden="true" customHeight="false" outlineLevel="0" collapsed="false">
      <c r="A6482" s="49" t="s">
        <v>2349</v>
      </c>
      <c r="B6482" s="49" t="s">
        <v>2350</v>
      </c>
      <c r="C6482" s="49" t="s">
        <v>11145</v>
      </c>
      <c r="D6482" s="49" t="s">
        <v>2352</v>
      </c>
      <c r="E6482" s="49" t="str">
        <f aca="false">"12482691"</f>
        <v>12482691</v>
      </c>
      <c r="F6482" s="49" t="s">
        <v>7031</v>
      </c>
      <c r="G6482" s="49" t="n">
        <v>0</v>
      </c>
      <c r="H6482" s="0" t="n">
        <v>0</v>
      </c>
      <c r="M6482" s="51" t="s">
        <v>11124</v>
      </c>
      <c r="N6482" s="49" t="n">
        <v>0</v>
      </c>
      <c r="O6482" s="53" t="n">
        <v>45922.6333912037</v>
      </c>
      <c r="P6482" s="53" t="n">
        <v>45924.8012037037</v>
      </c>
      <c r="Q6482" s="53" t="n">
        <v>45922.6333912037</v>
      </c>
      <c r="R6482" s="0" t="n">
        <v>0</v>
      </c>
      <c r="S6482" s="51" t="s">
        <v>2416</v>
      </c>
      <c r="T6482" s="51" t="s">
        <v>2416</v>
      </c>
      <c r="U6482" s="0" t="str">
        <f aca="false">"12482691"</f>
        <v>12482691</v>
      </c>
      <c r="V6482" s="51" t="s">
        <v>2365</v>
      </c>
      <c r="W6482" s="51" t="s">
        <v>6267</v>
      </c>
      <c r="X6482" s="51" t="s">
        <v>2359</v>
      </c>
    </row>
    <row r="6483" customFormat="false" ht="14.25" hidden="true" customHeight="false" outlineLevel="0" collapsed="false">
      <c r="A6483" s="49" t="s">
        <v>2349</v>
      </c>
      <c r="B6483" s="49" t="s">
        <v>2350</v>
      </c>
      <c r="C6483" s="49" t="s">
        <v>11146</v>
      </c>
      <c r="D6483" s="49" t="s">
        <v>2352</v>
      </c>
      <c r="E6483" s="49" t="str">
        <f aca="false">"12482691"</f>
        <v>12482691</v>
      </c>
      <c r="F6483" s="49" t="s">
        <v>7031</v>
      </c>
      <c r="G6483" s="49" t="n">
        <v>0</v>
      </c>
      <c r="H6483" s="0" t="n">
        <v>0</v>
      </c>
      <c r="M6483" s="51" t="s">
        <v>11124</v>
      </c>
      <c r="N6483" s="49" t="n">
        <v>0</v>
      </c>
      <c r="O6483" s="53" t="n">
        <v>45922.7738773148</v>
      </c>
      <c r="P6483" s="53" t="n">
        <v>45924.7997800926</v>
      </c>
      <c r="R6483" s="0" t="n">
        <v>0</v>
      </c>
      <c r="T6483" s="51" t="s">
        <v>2394</v>
      </c>
      <c r="U6483" s="0" t="str">
        <f aca="false">"12482691"</f>
        <v>12482691</v>
      </c>
      <c r="V6483" s="51" t="s">
        <v>2365</v>
      </c>
      <c r="W6483" s="51" t="s">
        <v>4784</v>
      </c>
      <c r="X6483" s="51" t="s">
        <v>2359</v>
      </c>
    </row>
    <row r="6484" customFormat="false" ht="14.25" hidden="true" customHeight="false" outlineLevel="0" collapsed="false">
      <c r="A6484" s="49" t="s">
        <v>2349</v>
      </c>
      <c r="B6484" s="49" t="s">
        <v>2350</v>
      </c>
      <c r="C6484" s="49" t="s">
        <v>11147</v>
      </c>
      <c r="D6484" s="49" t="s">
        <v>2352</v>
      </c>
      <c r="E6484" s="49" t="str">
        <f aca="false">"12207690"</f>
        <v>12207690</v>
      </c>
      <c r="F6484" s="49" t="s">
        <v>4199</v>
      </c>
      <c r="G6484" s="49" t="n">
        <v>0</v>
      </c>
      <c r="H6484" s="0" t="n">
        <v>0</v>
      </c>
      <c r="M6484" s="51" t="s">
        <v>11124</v>
      </c>
      <c r="N6484" s="49" t="n">
        <v>0</v>
      </c>
      <c r="O6484" s="53" t="n">
        <v>45922.6321412037</v>
      </c>
      <c r="P6484" s="53" t="n">
        <v>45995.3499074074</v>
      </c>
      <c r="Q6484" s="53" t="n">
        <v>45922.6321412037</v>
      </c>
      <c r="R6484" s="0" t="n">
        <v>0</v>
      </c>
      <c r="S6484" s="51" t="s">
        <v>2416</v>
      </c>
      <c r="T6484" s="51" t="s">
        <v>2416</v>
      </c>
      <c r="U6484" s="0" t="str">
        <f aca="false">"12207690"</f>
        <v>12207690</v>
      </c>
      <c r="V6484" s="51" t="s">
        <v>2365</v>
      </c>
      <c r="W6484" s="51" t="s">
        <v>10879</v>
      </c>
      <c r="X6484" s="51" t="s">
        <v>2359</v>
      </c>
    </row>
    <row r="6485" customFormat="false" ht="14.25" hidden="true" customHeight="false" outlineLevel="0" collapsed="false">
      <c r="A6485" s="49" t="s">
        <v>2349</v>
      </c>
      <c r="B6485" s="49" t="s">
        <v>2350</v>
      </c>
      <c r="C6485" s="49" t="s">
        <v>11148</v>
      </c>
      <c r="D6485" s="49" t="s">
        <v>2352</v>
      </c>
      <c r="E6485" s="49" t="str">
        <f aca="false">"12207690"</f>
        <v>12207690</v>
      </c>
      <c r="F6485" s="49" t="s">
        <v>4199</v>
      </c>
      <c r="G6485" s="49" t="n">
        <v>0</v>
      </c>
      <c r="H6485" s="0" t="n">
        <v>0</v>
      </c>
      <c r="M6485" s="51" t="s">
        <v>11124</v>
      </c>
      <c r="N6485" s="49" t="n">
        <v>0</v>
      </c>
      <c r="O6485" s="53" t="n">
        <v>45922.631099537</v>
      </c>
      <c r="P6485" s="53" t="n">
        <v>46015.4372453704</v>
      </c>
      <c r="Q6485" s="53" t="n">
        <v>45922.631099537</v>
      </c>
      <c r="R6485" s="0" t="n">
        <v>0</v>
      </c>
      <c r="S6485" s="51" t="s">
        <v>2416</v>
      </c>
      <c r="T6485" s="51" t="s">
        <v>2416</v>
      </c>
      <c r="U6485" s="0" t="str">
        <f aca="false">"12207690"</f>
        <v>12207690</v>
      </c>
      <c r="V6485" s="51" t="s">
        <v>2365</v>
      </c>
      <c r="W6485" s="51" t="s">
        <v>4935</v>
      </c>
      <c r="X6485" s="51" t="s">
        <v>2359</v>
      </c>
    </row>
    <row r="6486" customFormat="false" ht="14.25" hidden="true" customHeight="false" outlineLevel="0" collapsed="false">
      <c r="A6486" s="49" t="s">
        <v>2349</v>
      </c>
      <c r="B6486" s="49" t="s">
        <v>2350</v>
      </c>
      <c r="C6486" s="49" t="s">
        <v>11149</v>
      </c>
      <c r="D6486" s="49" t="s">
        <v>2352</v>
      </c>
      <c r="E6486" s="49" t="str">
        <f aca="false">"12496983"</f>
        <v>12496983</v>
      </c>
      <c r="F6486" s="49" t="s">
        <v>4880</v>
      </c>
      <c r="G6486" s="49" t="n">
        <v>0</v>
      </c>
      <c r="H6486" s="0" t="n">
        <v>0</v>
      </c>
      <c r="M6486" s="51" t="s">
        <v>11124</v>
      </c>
      <c r="N6486" s="49" t="n">
        <v>0</v>
      </c>
      <c r="O6486" s="53" t="n">
        <v>45922.6307523148</v>
      </c>
      <c r="P6486" s="53" t="n">
        <v>45924.7959259259</v>
      </c>
      <c r="Q6486" s="53" t="n">
        <v>45922.6307523148</v>
      </c>
      <c r="R6486" s="0" t="n">
        <v>0</v>
      </c>
      <c r="S6486" s="51" t="s">
        <v>2416</v>
      </c>
      <c r="T6486" s="51" t="s">
        <v>2416</v>
      </c>
      <c r="U6486" s="0" t="str">
        <f aca="false">"12496983"</f>
        <v>12496983</v>
      </c>
      <c r="V6486" s="51" t="s">
        <v>2365</v>
      </c>
      <c r="W6486" s="51" t="s">
        <v>9568</v>
      </c>
      <c r="X6486" s="51" t="s">
        <v>2359</v>
      </c>
    </row>
    <row r="6487" customFormat="false" ht="14.25" hidden="true" customHeight="false" outlineLevel="0" collapsed="false">
      <c r="A6487" s="49" t="s">
        <v>2349</v>
      </c>
      <c r="B6487" s="49" t="s">
        <v>2350</v>
      </c>
      <c r="C6487" s="49" t="s">
        <v>11150</v>
      </c>
      <c r="D6487" s="49" t="s">
        <v>2352</v>
      </c>
      <c r="E6487" s="49" t="str">
        <f aca="false">"12464079"</f>
        <v>12464079</v>
      </c>
      <c r="F6487" s="49" t="s">
        <v>4706</v>
      </c>
      <c r="G6487" s="49" t="n">
        <v>0</v>
      </c>
      <c r="H6487" s="0" t="n">
        <v>0</v>
      </c>
      <c r="M6487" s="51" t="s">
        <v>11124</v>
      </c>
      <c r="N6487" s="49" t="n">
        <v>0</v>
      </c>
      <c r="O6487" s="53" t="n">
        <v>45922.6302430556</v>
      </c>
      <c r="P6487" s="53" t="n">
        <v>45951.4666319444</v>
      </c>
      <c r="Q6487" s="53" t="n">
        <v>45922.6302430556</v>
      </c>
      <c r="R6487" s="0" t="n">
        <v>0</v>
      </c>
      <c r="S6487" s="51" t="s">
        <v>2416</v>
      </c>
      <c r="T6487" s="51" t="s">
        <v>2416</v>
      </c>
      <c r="U6487" s="0" t="str">
        <f aca="false">"12464079"</f>
        <v>12464079</v>
      </c>
      <c r="V6487" s="51" t="s">
        <v>2365</v>
      </c>
      <c r="W6487" s="51" t="s">
        <v>11151</v>
      </c>
      <c r="X6487" s="51" t="s">
        <v>2359</v>
      </c>
    </row>
    <row r="6488" customFormat="false" ht="14.25" hidden="true" customHeight="false" outlineLevel="0" collapsed="false">
      <c r="A6488" s="49" t="s">
        <v>2349</v>
      </c>
      <c r="B6488" s="49" t="s">
        <v>2350</v>
      </c>
      <c r="C6488" s="49" t="s">
        <v>11152</v>
      </c>
      <c r="D6488" s="49" t="s">
        <v>2352</v>
      </c>
      <c r="E6488" s="49" t="str">
        <f aca="false">"12482691"</f>
        <v>12482691</v>
      </c>
      <c r="F6488" s="49" t="s">
        <v>7031</v>
      </c>
      <c r="G6488" s="49" t="n">
        <v>0</v>
      </c>
      <c r="H6488" s="0" t="n">
        <v>0</v>
      </c>
      <c r="M6488" s="51" t="s">
        <v>11124</v>
      </c>
      <c r="N6488" s="49" t="n">
        <v>0</v>
      </c>
      <c r="O6488" s="53" t="n">
        <v>45922.6299884259</v>
      </c>
      <c r="P6488" s="53" t="n">
        <v>45924.802662037</v>
      </c>
      <c r="Q6488" s="53" t="n">
        <v>45922.6299884259</v>
      </c>
      <c r="R6488" s="0" t="n">
        <v>0</v>
      </c>
      <c r="S6488" s="51" t="s">
        <v>2416</v>
      </c>
      <c r="T6488" s="51" t="s">
        <v>2416</v>
      </c>
      <c r="U6488" s="0" t="str">
        <f aca="false">"12482691"</f>
        <v>12482691</v>
      </c>
      <c r="V6488" s="51" t="s">
        <v>2365</v>
      </c>
      <c r="W6488" s="51" t="s">
        <v>9566</v>
      </c>
      <c r="X6488" s="51" t="s">
        <v>2359</v>
      </c>
    </row>
    <row r="6489" customFormat="false" ht="14.25" hidden="true" customHeight="false" outlineLevel="0" collapsed="false">
      <c r="A6489" s="49" t="s">
        <v>2349</v>
      </c>
      <c r="B6489" s="49" t="s">
        <v>2350</v>
      </c>
      <c r="C6489" s="49" t="s">
        <v>11153</v>
      </c>
      <c r="D6489" s="49" t="s">
        <v>2352</v>
      </c>
      <c r="E6489" s="49" t="str">
        <f aca="false">"12464079"</f>
        <v>12464079</v>
      </c>
      <c r="F6489" s="49" t="s">
        <v>4706</v>
      </c>
      <c r="G6489" s="49" t="n">
        <v>0</v>
      </c>
      <c r="H6489" s="0" t="n">
        <v>0</v>
      </c>
      <c r="M6489" s="51" t="s">
        <v>11124</v>
      </c>
      <c r="N6489" s="49" t="n">
        <v>0</v>
      </c>
      <c r="O6489" s="53" t="n">
        <v>45922.6287152778</v>
      </c>
      <c r="P6489" s="53" t="n">
        <v>45953.5306597222</v>
      </c>
      <c r="Q6489" s="53" t="n">
        <v>45922.6287152778</v>
      </c>
      <c r="R6489" s="0" t="n">
        <v>0</v>
      </c>
      <c r="S6489" s="51" t="s">
        <v>2416</v>
      </c>
      <c r="T6489" s="51" t="s">
        <v>2416</v>
      </c>
      <c r="U6489" s="0" t="str">
        <f aca="false">"12464079"</f>
        <v>12464079</v>
      </c>
      <c r="V6489" s="51" t="s">
        <v>2365</v>
      </c>
      <c r="W6489" s="51" t="s">
        <v>11154</v>
      </c>
      <c r="X6489" s="51" t="s">
        <v>2359</v>
      </c>
    </row>
    <row r="6490" customFormat="false" ht="14.25" hidden="true" customHeight="false" outlineLevel="0" collapsed="false">
      <c r="A6490" s="49" t="s">
        <v>2349</v>
      </c>
      <c r="B6490" s="49" t="s">
        <v>2350</v>
      </c>
      <c r="C6490" s="49" t="s">
        <v>11155</v>
      </c>
      <c r="D6490" s="49" t="s">
        <v>2352</v>
      </c>
      <c r="E6490" s="49" t="str">
        <f aca="false">"12428864"</f>
        <v>12428864</v>
      </c>
      <c r="F6490" s="49" t="s">
        <v>4251</v>
      </c>
      <c r="G6490" s="49" t="n">
        <v>0</v>
      </c>
      <c r="H6490" s="0" t="n">
        <v>0</v>
      </c>
      <c r="M6490" s="51" t="s">
        <v>11124</v>
      </c>
      <c r="N6490" s="49" t="n">
        <v>0</v>
      </c>
      <c r="O6490" s="53" t="n">
        <v>45922.6285185185</v>
      </c>
      <c r="P6490" s="53" t="n">
        <v>45949.6539236111</v>
      </c>
      <c r="Q6490" s="53" t="n">
        <v>45922.6285185185</v>
      </c>
      <c r="R6490" s="0" t="n">
        <v>0</v>
      </c>
      <c r="S6490" s="51" t="s">
        <v>2416</v>
      </c>
      <c r="T6490" s="51" t="s">
        <v>2416</v>
      </c>
      <c r="U6490" s="0" t="str">
        <f aca="false">"12428864"</f>
        <v>12428864</v>
      </c>
      <c r="V6490" s="51" t="s">
        <v>2365</v>
      </c>
      <c r="W6490" s="51" t="s">
        <v>11156</v>
      </c>
      <c r="X6490" s="51" t="s">
        <v>2359</v>
      </c>
    </row>
    <row r="6491" customFormat="false" ht="14.25" hidden="true" customHeight="false" outlineLevel="0" collapsed="false">
      <c r="A6491" s="49" t="s">
        <v>2349</v>
      </c>
      <c r="B6491" s="49" t="s">
        <v>2350</v>
      </c>
      <c r="C6491" s="49" t="s">
        <v>11157</v>
      </c>
      <c r="D6491" s="49" t="s">
        <v>2352</v>
      </c>
      <c r="E6491" s="49" t="str">
        <f aca="false">"12464079"</f>
        <v>12464079</v>
      </c>
      <c r="F6491" s="49" t="s">
        <v>4706</v>
      </c>
      <c r="G6491" s="49" t="n">
        <v>0</v>
      </c>
      <c r="H6491" s="0" t="n">
        <v>0</v>
      </c>
      <c r="M6491" s="51" t="s">
        <v>11124</v>
      </c>
      <c r="N6491" s="49" t="n">
        <v>0</v>
      </c>
      <c r="O6491" s="53" t="n">
        <v>45922.6278587963</v>
      </c>
      <c r="P6491" s="53" t="n">
        <v>45929.7056944444</v>
      </c>
      <c r="Q6491" s="53" t="n">
        <v>45922.6278587963</v>
      </c>
      <c r="R6491" s="0" t="n">
        <v>0</v>
      </c>
      <c r="S6491" s="51" t="s">
        <v>2416</v>
      </c>
      <c r="T6491" s="51" t="s">
        <v>2416</v>
      </c>
      <c r="U6491" s="0" t="str">
        <f aca="false">"12464079"</f>
        <v>12464079</v>
      </c>
      <c r="V6491" s="51" t="s">
        <v>2365</v>
      </c>
      <c r="W6491" s="51" t="s">
        <v>8493</v>
      </c>
      <c r="X6491" s="51" t="s">
        <v>2359</v>
      </c>
    </row>
    <row r="6492" customFormat="false" ht="14.25" hidden="true" customHeight="false" outlineLevel="0" collapsed="false">
      <c r="A6492" s="49" t="s">
        <v>2349</v>
      </c>
      <c r="B6492" s="49" t="s">
        <v>2350</v>
      </c>
      <c r="C6492" s="49" t="s">
        <v>11158</v>
      </c>
      <c r="D6492" s="49" t="s">
        <v>2352</v>
      </c>
      <c r="E6492" s="49" t="str">
        <f aca="false">"12520129"</f>
        <v>12520129</v>
      </c>
      <c r="F6492" s="49" t="s">
        <v>4870</v>
      </c>
      <c r="G6492" s="49" t="n">
        <v>0</v>
      </c>
      <c r="H6492" s="0" t="n">
        <v>0</v>
      </c>
      <c r="M6492" s="51" t="s">
        <v>11159</v>
      </c>
      <c r="N6492" s="49" t="n">
        <v>0</v>
      </c>
      <c r="O6492" s="53" t="n">
        <v>45899.5049537037</v>
      </c>
      <c r="P6492" s="53" t="n">
        <v>45922.7362615741</v>
      </c>
      <c r="Q6492" s="53" t="n">
        <v>45899.5049537037</v>
      </c>
      <c r="R6492" s="0" t="n">
        <v>0</v>
      </c>
      <c r="S6492" s="51" t="s">
        <v>2416</v>
      </c>
      <c r="T6492" s="51" t="s">
        <v>2416</v>
      </c>
      <c r="U6492" s="0" t="str">
        <f aca="false">"12520129"</f>
        <v>12520129</v>
      </c>
      <c r="V6492" s="51" t="s">
        <v>2365</v>
      </c>
      <c r="W6492" s="51" t="s">
        <v>5898</v>
      </c>
      <c r="X6492" s="51" t="s">
        <v>2359</v>
      </c>
    </row>
    <row r="6493" customFormat="false" ht="14.25" hidden="true" customHeight="false" outlineLevel="0" collapsed="false">
      <c r="A6493" s="49" t="s">
        <v>2349</v>
      </c>
      <c r="B6493" s="49" t="s">
        <v>2350</v>
      </c>
      <c r="C6493" s="49" t="s">
        <v>11160</v>
      </c>
      <c r="D6493" s="49" t="s">
        <v>2352</v>
      </c>
      <c r="E6493" s="49" t="str">
        <f aca="false">"734730293356"</f>
        <v>734730293356</v>
      </c>
      <c r="F6493" s="49" t="s">
        <v>3992</v>
      </c>
      <c r="G6493" s="49" t="n">
        <v>0</v>
      </c>
      <c r="H6493" s="0" t="n">
        <v>0</v>
      </c>
      <c r="M6493" s="51" t="s">
        <v>11161</v>
      </c>
      <c r="N6493" s="49" t="n">
        <v>0</v>
      </c>
      <c r="O6493" s="53" t="n">
        <v>45922.5617476852</v>
      </c>
      <c r="P6493" s="53" t="n">
        <v>45925.722337963</v>
      </c>
      <c r="Q6493" s="53" t="n">
        <v>45922.5617476852</v>
      </c>
      <c r="R6493" s="0" t="n">
        <v>0</v>
      </c>
      <c r="S6493" s="51" t="s">
        <v>2416</v>
      </c>
      <c r="T6493" s="51" t="s">
        <v>2416</v>
      </c>
      <c r="U6493" s="0" t="str">
        <f aca="false">"734730293356"</f>
        <v>734730293356</v>
      </c>
      <c r="V6493" s="51" t="s">
        <v>2365</v>
      </c>
      <c r="W6493" s="51" t="s">
        <v>5606</v>
      </c>
      <c r="X6493" s="51" t="s">
        <v>2359</v>
      </c>
    </row>
    <row r="6494" customFormat="false" ht="14.25" hidden="true" customHeight="false" outlineLevel="0" collapsed="false">
      <c r="A6494" s="49" t="s">
        <v>2349</v>
      </c>
      <c r="B6494" s="49" t="s">
        <v>2350</v>
      </c>
      <c r="C6494" s="49" t="s">
        <v>11162</v>
      </c>
      <c r="D6494" s="49" t="s">
        <v>2352</v>
      </c>
      <c r="E6494" s="49" t="str">
        <f aca="false">"734730293356"</f>
        <v>734730293356</v>
      </c>
      <c r="F6494" s="49" t="s">
        <v>3992</v>
      </c>
      <c r="G6494" s="49" t="n">
        <v>0</v>
      </c>
      <c r="H6494" s="0" t="n">
        <v>0</v>
      </c>
      <c r="M6494" s="51" t="s">
        <v>11161</v>
      </c>
      <c r="N6494" s="49" t="n">
        <v>0</v>
      </c>
      <c r="O6494" s="53" t="n">
        <v>45922.5619907407</v>
      </c>
      <c r="P6494" s="53" t="n">
        <v>45925.7206018519</v>
      </c>
      <c r="Q6494" s="53" t="n">
        <v>45922.5619907407</v>
      </c>
      <c r="R6494" s="0" t="n">
        <v>0</v>
      </c>
      <c r="S6494" s="51" t="s">
        <v>2416</v>
      </c>
      <c r="T6494" s="51" t="s">
        <v>2416</v>
      </c>
      <c r="U6494" s="0" t="str">
        <f aca="false">"734730293356"</f>
        <v>734730293356</v>
      </c>
      <c r="V6494" s="51" t="s">
        <v>2365</v>
      </c>
      <c r="W6494" s="51" t="s">
        <v>7721</v>
      </c>
      <c r="X6494" s="51" t="s">
        <v>2359</v>
      </c>
    </row>
    <row r="6495" customFormat="false" ht="14.25" hidden="true" customHeight="false" outlineLevel="0" collapsed="false">
      <c r="A6495" s="49" t="s">
        <v>2349</v>
      </c>
      <c r="B6495" s="49" t="s">
        <v>2350</v>
      </c>
      <c r="C6495" s="49" t="s">
        <v>11163</v>
      </c>
      <c r="D6495" s="49" t="s">
        <v>2352</v>
      </c>
      <c r="E6495" s="49" t="str">
        <f aca="false">"734730293356"</f>
        <v>734730293356</v>
      </c>
      <c r="F6495" s="49" t="s">
        <v>3992</v>
      </c>
      <c r="G6495" s="49" t="n">
        <v>0</v>
      </c>
      <c r="H6495" s="0" t="n">
        <v>0</v>
      </c>
      <c r="M6495" s="51" t="s">
        <v>11161</v>
      </c>
      <c r="N6495" s="49" t="n">
        <v>0</v>
      </c>
      <c r="O6495" s="53" t="n">
        <v>45922.5621180556</v>
      </c>
      <c r="P6495" s="53" t="n">
        <v>45925.7229166667</v>
      </c>
      <c r="Q6495" s="53" t="n">
        <v>45922.5621180556</v>
      </c>
      <c r="R6495" s="0" t="n">
        <v>0</v>
      </c>
      <c r="S6495" s="51" t="s">
        <v>2416</v>
      </c>
      <c r="T6495" s="51" t="s">
        <v>2416</v>
      </c>
      <c r="U6495" s="0" t="str">
        <f aca="false">"734730293356"</f>
        <v>734730293356</v>
      </c>
      <c r="V6495" s="51" t="s">
        <v>2365</v>
      </c>
      <c r="W6495" s="51" t="s">
        <v>4989</v>
      </c>
      <c r="X6495" s="51" t="s">
        <v>2359</v>
      </c>
    </row>
    <row r="6496" customFormat="false" ht="14.25" hidden="true" customHeight="false" outlineLevel="0" collapsed="false">
      <c r="A6496" s="49" t="s">
        <v>2349</v>
      </c>
      <c r="B6496" s="49" t="s">
        <v>2350</v>
      </c>
      <c r="C6496" s="49" t="s">
        <v>11164</v>
      </c>
      <c r="D6496" s="49" t="s">
        <v>2352</v>
      </c>
      <c r="E6496" s="49" t="str">
        <f aca="false">"734730293356"</f>
        <v>734730293356</v>
      </c>
      <c r="F6496" s="49" t="s">
        <v>3992</v>
      </c>
      <c r="G6496" s="49" t="n">
        <v>0</v>
      </c>
      <c r="H6496" s="0" t="n">
        <v>0</v>
      </c>
      <c r="M6496" s="51" t="s">
        <v>11161</v>
      </c>
      <c r="N6496" s="49" t="n">
        <v>0</v>
      </c>
      <c r="O6496" s="53" t="n">
        <v>45922.5622453704</v>
      </c>
      <c r="P6496" s="53" t="n">
        <v>45925.7258101852</v>
      </c>
      <c r="Q6496" s="53" t="n">
        <v>45922.5622453704</v>
      </c>
      <c r="R6496" s="0" t="n">
        <v>0</v>
      </c>
      <c r="S6496" s="51" t="s">
        <v>2416</v>
      </c>
      <c r="T6496" s="51" t="s">
        <v>2416</v>
      </c>
      <c r="U6496" s="0" t="str">
        <f aca="false">"734730293356"</f>
        <v>734730293356</v>
      </c>
      <c r="V6496" s="51" t="s">
        <v>2365</v>
      </c>
      <c r="W6496" s="51" t="s">
        <v>4288</v>
      </c>
      <c r="X6496" s="51" t="s">
        <v>2359</v>
      </c>
    </row>
    <row r="6497" customFormat="false" ht="14.25" hidden="true" customHeight="false" outlineLevel="0" collapsed="false">
      <c r="A6497" s="49" t="s">
        <v>2349</v>
      </c>
      <c r="B6497" s="49" t="s">
        <v>2350</v>
      </c>
      <c r="C6497" s="49" t="s">
        <v>11165</v>
      </c>
      <c r="D6497" s="49" t="s">
        <v>2352</v>
      </c>
      <c r="E6497" s="49" t="str">
        <f aca="false">"734730293356"</f>
        <v>734730293356</v>
      </c>
      <c r="F6497" s="49" t="s">
        <v>3992</v>
      </c>
      <c r="G6497" s="49" t="n">
        <v>0</v>
      </c>
      <c r="H6497" s="0" t="n">
        <v>0</v>
      </c>
      <c r="M6497" s="51" t="s">
        <v>11161</v>
      </c>
      <c r="N6497" s="49" t="n">
        <v>0</v>
      </c>
      <c r="O6497" s="53" t="n">
        <v>45922.5623958333</v>
      </c>
      <c r="P6497" s="53" t="n">
        <v>45995.8268402778</v>
      </c>
      <c r="Q6497" s="53" t="n">
        <v>45922.5623958333</v>
      </c>
      <c r="R6497" s="0" t="n">
        <v>0</v>
      </c>
      <c r="S6497" s="51" t="s">
        <v>2416</v>
      </c>
      <c r="T6497" s="51" t="s">
        <v>2416</v>
      </c>
      <c r="U6497" s="0" t="str">
        <f aca="false">"734730293356"</f>
        <v>734730293356</v>
      </c>
      <c r="V6497" s="51" t="s">
        <v>2365</v>
      </c>
      <c r="W6497" s="51" t="s">
        <v>3877</v>
      </c>
      <c r="X6497" s="51" t="s">
        <v>2359</v>
      </c>
    </row>
    <row r="6498" customFormat="false" ht="14.25" hidden="true" customHeight="false" outlineLevel="0" collapsed="false">
      <c r="A6498" s="49" t="s">
        <v>2349</v>
      </c>
      <c r="B6498" s="49" t="s">
        <v>2350</v>
      </c>
      <c r="C6498" s="49" t="s">
        <v>11166</v>
      </c>
      <c r="D6498" s="49" t="s">
        <v>2352</v>
      </c>
      <c r="E6498" s="49" t="str">
        <f aca="false">"734730293356"</f>
        <v>734730293356</v>
      </c>
      <c r="F6498" s="49" t="s">
        <v>3992</v>
      </c>
      <c r="G6498" s="49" t="n">
        <v>0</v>
      </c>
      <c r="H6498" s="0" t="n">
        <v>0</v>
      </c>
      <c r="M6498" s="51" t="s">
        <v>11161</v>
      </c>
      <c r="N6498" s="49" t="n">
        <v>0</v>
      </c>
      <c r="O6498" s="53" t="n">
        <v>45922.5625115741</v>
      </c>
      <c r="P6498" s="53" t="n">
        <v>45925.7768981482</v>
      </c>
      <c r="Q6498" s="53" t="n">
        <v>45922.5625115741</v>
      </c>
      <c r="R6498" s="0" t="n">
        <v>0</v>
      </c>
      <c r="S6498" s="51" t="s">
        <v>2416</v>
      </c>
      <c r="T6498" s="51" t="s">
        <v>2416</v>
      </c>
      <c r="U6498" s="0" t="str">
        <f aca="false">"734730293356"</f>
        <v>734730293356</v>
      </c>
      <c r="V6498" s="51" t="s">
        <v>2365</v>
      </c>
      <c r="W6498" s="51" t="s">
        <v>7843</v>
      </c>
      <c r="X6498" s="51" t="s">
        <v>2359</v>
      </c>
    </row>
    <row r="6499" customFormat="false" ht="14.25" hidden="true" customHeight="false" outlineLevel="0" collapsed="false">
      <c r="A6499" s="49" t="s">
        <v>2349</v>
      </c>
      <c r="B6499" s="49" t="s">
        <v>2350</v>
      </c>
      <c r="C6499" s="49" t="s">
        <v>11167</v>
      </c>
      <c r="D6499" s="49" t="s">
        <v>2352</v>
      </c>
      <c r="E6499" s="49" t="str">
        <f aca="false">"734730293356"</f>
        <v>734730293356</v>
      </c>
      <c r="F6499" s="49" t="s">
        <v>3992</v>
      </c>
      <c r="G6499" s="49" t="n">
        <v>0</v>
      </c>
      <c r="H6499" s="0" t="n">
        <v>0</v>
      </c>
      <c r="M6499" s="51" t="s">
        <v>11161</v>
      </c>
      <c r="N6499" s="49" t="n">
        <v>0</v>
      </c>
      <c r="O6499" s="53" t="n">
        <v>45922.5627314815</v>
      </c>
      <c r="P6499" s="53" t="n">
        <v>45925.9256134259</v>
      </c>
      <c r="Q6499" s="53" t="n">
        <v>45922.5627314815</v>
      </c>
      <c r="R6499" s="0" t="n">
        <v>0</v>
      </c>
      <c r="S6499" s="51" t="s">
        <v>2416</v>
      </c>
      <c r="T6499" s="51" t="s">
        <v>2416</v>
      </c>
      <c r="U6499" s="0" t="str">
        <f aca="false">"734730293356"</f>
        <v>734730293356</v>
      </c>
      <c r="V6499" s="51" t="s">
        <v>2365</v>
      </c>
      <c r="W6499" s="51" t="s">
        <v>4076</v>
      </c>
      <c r="X6499" s="51" t="s">
        <v>2359</v>
      </c>
    </row>
    <row r="6500" customFormat="false" ht="14.25" hidden="true" customHeight="false" outlineLevel="0" collapsed="false">
      <c r="A6500" s="49" t="s">
        <v>2349</v>
      </c>
      <c r="B6500" s="49" t="s">
        <v>2350</v>
      </c>
      <c r="C6500" s="49" t="s">
        <v>11168</v>
      </c>
      <c r="D6500" s="49" t="s">
        <v>2352</v>
      </c>
      <c r="E6500" s="49" t="str">
        <f aca="false">"734730293356"</f>
        <v>734730293356</v>
      </c>
      <c r="F6500" s="49" t="s">
        <v>3992</v>
      </c>
      <c r="G6500" s="49" t="n">
        <v>0</v>
      </c>
      <c r="H6500" s="0" t="n">
        <v>0</v>
      </c>
      <c r="M6500" s="51" t="s">
        <v>11161</v>
      </c>
      <c r="N6500" s="49" t="n">
        <v>0</v>
      </c>
      <c r="O6500" s="53" t="n">
        <v>45922.5628240741</v>
      </c>
      <c r="P6500" s="53" t="n">
        <v>45995.8110185185</v>
      </c>
      <c r="Q6500" s="53" t="n">
        <v>45922.5628240741</v>
      </c>
      <c r="R6500" s="0" t="n">
        <v>0</v>
      </c>
      <c r="S6500" s="51" t="s">
        <v>2416</v>
      </c>
      <c r="T6500" s="51" t="s">
        <v>2416</v>
      </c>
      <c r="U6500" s="0" t="str">
        <f aca="false">"734730293356"</f>
        <v>734730293356</v>
      </c>
      <c r="V6500" s="51" t="s">
        <v>2365</v>
      </c>
      <c r="W6500" s="51" t="s">
        <v>10912</v>
      </c>
      <c r="X6500" s="51" t="s">
        <v>2359</v>
      </c>
    </row>
    <row r="6501" customFormat="false" ht="14.25" hidden="true" customHeight="false" outlineLevel="0" collapsed="false">
      <c r="A6501" s="49" t="s">
        <v>2349</v>
      </c>
      <c r="B6501" s="49" t="s">
        <v>2350</v>
      </c>
      <c r="C6501" s="49" t="s">
        <v>11169</v>
      </c>
      <c r="D6501" s="49" t="s">
        <v>2352</v>
      </c>
      <c r="E6501" s="49" t="str">
        <f aca="false">"734730293356"</f>
        <v>734730293356</v>
      </c>
      <c r="F6501" s="49" t="s">
        <v>3992</v>
      </c>
      <c r="G6501" s="49" t="n">
        <v>0</v>
      </c>
      <c r="H6501" s="0" t="n">
        <v>0</v>
      </c>
      <c r="M6501" s="51" t="s">
        <v>11161</v>
      </c>
      <c r="N6501" s="49" t="n">
        <v>0</v>
      </c>
      <c r="O6501" s="53" t="n">
        <v>45922.5629513889</v>
      </c>
      <c r="P6501" s="53" t="n">
        <v>45984.7948032407</v>
      </c>
      <c r="Q6501" s="53" t="n">
        <v>45922.5629513889</v>
      </c>
      <c r="R6501" s="0" t="n">
        <v>0</v>
      </c>
      <c r="S6501" s="51" t="s">
        <v>2416</v>
      </c>
      <c r="T6501" s="51" t="s">
        <v>2416</v>
      </c>
      <c r="U6501" s="0" t="str">
        <f aca="false">"734730293356"</f>
        <v>734730293356</v>
      </c>
      <c r="V6501" s="51" t="s">
        <v>2365</v>
      </c>
      <c r="W6501" s="51" t="s">
        <v>4445</v>
      </c>
      <c r="X6501" s="51" t="s">
        <v>2359</v>
      </c>
    </row>
    <row r="6502" customFormat="false" ht="14.25" hidden="true" customHeight="false" outlineLevel="0" collapsed="false">
      <c r="A6502" s="49" t="s">
        <v>2349</v>
      </c>
      <c r="B6502" s="49" t="s">
        <v>2350</v>
      </c>
      <c r="C6502" s="49" t="s">
        <v>11170</v>
      </c>
      <c r="D6502" s="49" t="s">
        <v>2352</v>
      </c>
      <c r="E6502" s="49" t="str">
        <f aca="false">"734730293356"</f>
        <v>734730293356</v>
      </c>
      <c r="F6502" s="49" t="s">
        <v>3992</v>
      </c>
      <c r="G6502" s="49" t="n">
        <v>0</v>
      </c>
      <c r="H6502" s="0" t="n">
        <v>0</v>
      </c>
      <c r="M6502" s="51" t="s">
        <v>11161</v>
      </c>
      <c r="N6502" s="49" t="n">
        <v>0</v>
      </c>
      <c r="O6502" s="53" t="n">
        <v>45922.5630555556</v>
      </c>
      <c r="P6502" s="53" t="n">
        <v>45995.5193865741</v>
      </c>
      <c r="Q6502" s="53" t="n">
        <v>45922.5630555556</v>
      </c>
      <c r="R6502" s="0" t="n">
        <v>0</v>
      </c>
      <c r="S6502" s="51" t="s">
        <v>2416</v>
      </c>
      <c r="T6502" s="51" t="s">
        <v>2416</v>
      </c>
      <c r="U6502" s="0" t="str">
        <f aca="false">"734730293356"</f>
        <v>734730293356</v>
      </c>
      <c r="V6502" s="51" t="s">
        <v>2365</v>
      </c>
      <c r="W6502" s="51" t="s">
        <v>11171</v>
      </c>
      <c r="X6502" s="51" t="s">
        <v>2359</v>
      </c>
    </row>
    <row r="6503" customFormat="false" ht="14.25" hidden="true" customHeight="false" outlineLevel="0" collapsed="false">
      <c r="A6503" s="49" t="s">
        <v>2349</v>
      </c>
      <c r="B6503" s="49" t="s">
        <v>2350</v>
      </c>
      <c r="C6503" s="49" t="s">
        <v>11172</v>
      </c>
      <c r="D6503" s="49" t="s">
        <v>2352</v>
      </c>
      <c r="E6503" s="49" t="str">
        <f aca="false">"734730293356"</f>
        <v>734730293356</v>
      </c>
      <c r="F6503" s="49" t="s">
        <v>3992</v>
      </c>
      <c r="G6503" s="49" t="n">
        <v>0</v>
      </c>
      <c r="H6503" s="0" t="n">
        <v>0</v>
      </c>
      <c r="M6503" s="51" t="s">
        <v>11161</v>
      </c>
      <c r="N6503" s="49" t="n">
        <v>0</v>
      </c>
      <c r="O6503" s="53" t="n">
        <v>45922.5631481482</v>
      </c>
      <c r="P6503" s="53" t="n">
        <v>45995.8080902778</v>
      </c>
      <c r="Q6503" s="53" t="n">
        <v>45922.5631481482</v>
      </c>
      <c r="R6503" s="0" t="n">
        <v>0</v>
      </c>
      <c r="S6503" s="51" t="s">
        <v>2416</v>
      </c>
      <c r="T6503" s="51" t="s">
        <v>2416</v>
      </c>
      <c r="U6503" s="0" t="str">
        <f aca="false">"734730293356"</f>
        <v>734730293356</v>
      </c>
      <c r="V6503" s="51" t="s">
        <v>2365</v>
      </c>
      <c r="W6503" s="51" t="s">
        <v>4453</v>
      </c>
      <c r="X6503" s="51" t="s">
        <v>2359</v>
      </c>
    </row>
    <row r="6504" customFormat="false" ht="14.25" hidden="true" customHeight="false" outlineLevel="0" collapsed="false">
      <c r="A6504" s="49" t="s">
        <v>2349</v>
      </c>
      <c r="B6504" s="49" t="s">
        <v>2350</v>
      </c>
      <c r="C6504" s="49" t="s">
        <v>11173</v>
      </c>
      <c r="D6504" s="49" t="s">
        <v>2352</v>
      </c>
      <c r="E6504" s="49" t="str">
        <f aca="false">"734730293356"</f>
        <v>734730293356</v>
      </c>
      <c r="F6504" s="49" t="s">
        <v>3992</v>
      </c>
      <c r="G6504" s="49" t="n">
        <v>0</v>
      </c>
      <c r="H6504" s="0" t="n">
        <v>0</v>
      </c>
      <c r="M6504" s="51" t="s">
        <v>11161</v>
      </c>
      <c r="N6504" s="49" t="n">
        <v>0</v>
      </c>
      <c r="O6504" s="53" t="n">
        <v>45922.5632407407</v>
      </c>
      <c r="P6504" s="53" t="n">
        <v>45929.8027199074</v>
      </c>
      <c r="Q6504" s="53" t="n">
        <v>45922.5632407407</v>
      </c>
      <c r="R6504" s="0" t="n">
        <v>0</v>
      </c>
      <c r="S6504" s="51" t="s">
        <v>2416</v>
      </c>
      <c r="T6504" s="51" t="s">
        <v>2416</v>
      </c>
      <c r="U6504" s="0" t="str">
        <f aca="false">"734730293356"</f>
        <v>734730293356</v>
      </c>
      <c r="V6504" s="51" t="s">
        <v>2365</v>
      </c>
      <c r="W6504" s="51" t="s">
        <v>6793</v>
      </c>
      <c r="X6504" s="51" t="s">
        <v>2359</v>
      </c>
    </row>
    <row r="6505" customFormat="false" ht="14.25" hidden="true" customHeight="false" outlineLevel="0" collapsed="false">
      <c r="A6505" s="49" t="s">
        <v>2349</v>
      </c>
      <c r="B6505" s="49" t="s">
        <v>2350</v>
      </c>
      <c r="C6505" s="49" t="s">
        <v>11174</v>
      </c>
      <c r="D6505" s="49" t="s">
        <v>2352</v>
      </c>
      <c r="E6505" s="49" t="str">
        <f aca="false">"734730293356"</f>
        <v>734730293356</v>
      </c>
      <c r="F6505" s="49" t="s">
        <v>3992</v>
      </c>
      <c r="G6505" s="49" t="n">
        <v>0</v>
      </c>
      <c r="H6505" s="0" t="n">
        <v>0</v>
      </c>
      <c r="M6505" s="51" t="s">
        <v>11161</v>
      </c>
      <c r="N6505" s="49" t="n">
        <v>0</v>
      </c>
      <c r="O6505" s="53" t="n">
        <v>45922.5634259259</v>
      </c>
      <c r="P6505" s="53" t="n">
        <v>45984.7913773148</v>
      </c>
      <c r="Q6505" s="53" t="n">
        <v>45922.5634143519</v>
      </c>
      <c r="R6505" s="0" t="n">
        <v>0</v>
      </c>
      <c r="S6505" s="51" t="s">
        <v>2416</v>
      </c>
      <c r="T6505" s="51" t="s">
        <v>2416</v>
      </c>
      <c r="U6505" s="0" t="str">
        <f aca="false">"734730293356"</f>
        <v>734730293356</v>
      </c>
      <c r="V6505" s="51" t="s">
        <v>2365</v>
      </c>
      <c r="W6505" s="51" t="s">
        <v>4334</v>
      </c>
      <c r="X6505" s="51" t="s">
        <v>2359</v>
      </c>
    </row>
    <row r="6506" customFormat="false" ht="14.25" hidden="true" customHeight="false" outlineLevel="0" collapsed="false">
      <c r="A6506" s="49" t="s">
        <v>2349</v>
      </c>
      <c r="B6506" s="49" t="s">
        <v>2350</v>
      </c>
      <c r="C6506" s="49" t="s">
        <v>11175</v>
      </c>
      <c r="D6506" s="49" t="s">
        <v>2352</v>
      </c>
      <c r="E6506" s="49" t="str">
        <f aca="false">"734730293356"</f>
        <v>734730293356</v>
      </c>
      <c r="F6506" s="49" t="s">
        <v>3992</v>
      </c>
      <c r="G6506" s="49" t="n">
        <v>0</v>
      </c>
      <c r="H6506" s="0" t="n">
        <v>0</v>
      </c>
      <c r="M6506" s="51" t="s">
        <v>11161</v>
      </c>
      <c r="N6506" s="49" t="n">
        <v>0</v>
      </c>
      <c r="O6506" s="53" t="n">
        <v>45922.563599537</v>
      </c>
      <c r="P6506" s="53" t="n">
        <v>45925.8791898148</v>
      </c>
      <c r="Q6506" s="53" t="n">
        <v>45922.563599537</v>
      </c>
      <c r="R6506" s="0" t="n">
        <v>0</v>
      </c>
      <c r="S6506" s="51" t="s">
        <v>2416</v>
      </c>
      <c r="T6506" s="51" t="s">
        <v>2416</v>
      </c>
      <c r="U6506" s="0" t="str">
        <f aca="false">"734730293356"</f>
        <v>734730293356</v>
      </c>
      <c r="V6506" s="51" t="s">
        <v>2365</v>
      </c>
      <c r="W6506" s="51" t="s">
        <v>4210</v>
      </c>
      <c r="X6506" s="51" t="s">
        <v>2359</v>
      </c>
    </row>
    <row r="6507" customFormat="false" ht="14.25" hidden="true" customHeight="false" outlineLevel="0" collapsed="false">
      <c r="A6507" s="49" t="s">
        <v>2349</v>
      </c>
      <c r="B6507" s="49" t="s">
        <v>2350</v>
      </c>
      <c r="C6507" s="49" t="s">
        <v>11176</v>
      </c>
      <c r="D6507" s="49" t="s">
        <v>2352</v>
      </c>
      <c r="E6507" s="49" t="str">
        <f aca="false">"734730293356"</f>
        <v>734730293356</v>
      </c>
      <c r="F6507" s="49" t="s">
        <v>3992</v>
      </c>
      <c r="G6507" s="49" t="n">
        <v>0</v>
      </c>
      <c r="H6507" s="0" t="n">
        <v>0</v>
      </c>
      <c r="M6507" s="51" t="s">
        <v>11161</v>
      </c>
      <c r="N6507" s="49" t="n">
        <v>0</v>
      </c>
      <c r="O6507" s="53" t="n">
        <v>45922.5636805556</v>
      </c>
      <c r="P6507" s="53" t="n">
        <v>45925.7236689815</v>
      </c>
      <c r="Q6507" s="53" t="n">
        <v>45922.5636805556</v>
      </c>
      <c r="R6507" s="0" t="n">
        <v>0</v>
      </c>
      <c r="S6507" s="51" t="s">
        <v>2416</v>
      </c>
      <c r="T6507" s="51" t="s">
        <v>2416</v>
      </c>
      <c r="U6507" s="0" t="str">
        <f aca="false">"734730293356"</f>
        <v>734730293356</v>
      </c>
      <c r="V6507" s="51" t="s">
        <v>2365</v>
      </c>
      <c r="W6507" s="51" t="s">
        <v>7570</v>
      </c>
      <c r="X6507" s="51" t="s">
        <v>2359</v>
      </c>
    </row>
    <row r="6508" customFormat="false" ht="14.25" hidden="true" customHeight="false" outlineLevel="0" collapsed="false">
      <c r="A6508" s="49" t="s">
        <v>2349</v>
      </c>
      <c r="B6508" s="49" t="s">
        <v>2350</v>
      </c>
      <c r="C6508" s="49" t="s">
        <v>11177</v>
      </c>
      <c r="D6508" s="49" t="s">
        <v>2352</v>
      </c>
      <c r="E6508" s="49" t="str">
        <f aca="false">"734730293356"</f>
        <v>734730293356</v>
      </c>
      <c r="F6508" s="49" t="s">
        <v>3992</v>
      </c>
      <c r="G6508" s="49" t="n">
        <v>0</v>
      </c>
      <c r="H6508" s="0" t="n">
        <v>0</v>
      </c>
      <c r="M6508" s="51" t="s">
        <v>11161</v>
      </c>
      <c r="N6508" s="49" t="n">
        <v>0</v>
      </c>
      <c r="O6508" s="53" t="n">
        <v>45922.5637615741</v>
      </c>
      <c r="P6508" s="53" t="n">
        <v>45925.7760185185</v>
      </c>
      <c r="Q6508" s="53" t="n">
        <v>45922.5637615741</v>
      </c>
      <c r="R6508" s="0" t="n">
        <v>0</v>
      </c>
      <c r="S6508" s="51" t="s">
        <v>2416</v>
      </c>
      <c r="T6508" s="51" t="s">
        <v>2416</v>
      </c>
      <c r="U6508" s="0" t="str">
        <f aca="false">"734730293356"</f>
        <v>734730293356</v>
      </c>
      <c r="V6508" s="51" t="s">
        <v>2365</v>
      </c>
      <c r="W6508" s="51" t="s">
        <v>6786</v>
      </c>
      <c r="X6508" s="51" t="s">
        <v>2359</v>
      </c>
    </row>
    <row r="6509" customFormat="false" ht="14.25" hidden="true" customHeight="false" outlineLevel="0" collapsed="false">
      <c r="A6509" s="49" t="s">
        <v>2349</v>
      </c>
      <c r="B6509" s="49" t="s">
        <v>2350</v>
      </c>
      <c r="C6509" s="49" t="s">
        <v>11178</v>
      </c>
      <c r="D6509" s="49" t="s">
        <v>2352</v>
      </c>
      <c r="E6509" s="49" t="str">
        <f aca="false">"734730293356"</f>
        <v>734730293356</v>
      </c>
      <c r="F6509" s="49" t="s">
        <v>3992</v>
      </c>
      <c r="G6509" s="49" t="n">
        <v>0</v>
      </c>
      <c r="H6509" s="0" t="n">
        <v>0</v>
      </c>
      <c r="M6509" s="51" t="s">
        <v>11161</v>
      </c>
      <c r="N6509" s="49" t="n">
        <v>0</v>
      </c>
      <c r="O6509" s="53" t="n">
        <v>45922.5638425926</v>
      </c>
      <c r="P6509" s="53" t="n">
        <v>45925.9237962963</v>
      </c>
      <c r="Q6509" s="53" t="n">
        <v>45922.5638425926</v>
      </c>
      <c r="R6509" s="0" t="n">
        <v>0</v>
      </c>
      <c r="S6509" s="51" t="s">
        <v>2416</v>
      </c>
      <c r="T6509" s="51" t="s">
        <v>2416</v>
      </c>
      <c r="U6509" s="0" t="str">
        <f aca="false">"734730293356"</f>
        <v>734730293356</v>
      </c>
      <c r="V6509" s="51" t="s">
        <v>2365</v>
      </c>
      <c r="W6509" s="51" t="s">
        <v>4548</v>
      </c>
      <c r="X6509" s="51" t="s">
        <v>2359</v>
      </c>
    </row>
    <row r="6510" customFormat="false" ht="14.25" hidden="true" customHeight="false" outlineLevel="0" collapsed="false">
      <c r="A6510" s="49" t="s">
        <v>2349</v>
      </c>
      <c r="B6510" s="49" t="s">
        <v>2350</v>
      </c>
      <c r="C6510" s="49" t="s">
        <v>11179</v>
      </c>
      <c r="D6510" s="49" t="s">
        <v>2352</v>
      </c>
      <c r="E6510" s="49" t="str">
        <f aca="false">"734730293356"</f>
        <v>734730293356</v>
      </c>
      <c r="F6510" s="49" t="s">
        <v>3992</v>
      </c>
      <c r="G6510" s="49" t="n">
        <v>0</v>
      </c>
      <c r="H6510" s="0" t="n">
        <v>0</v>
      </c>
      <c r="M6510" s="51" t="s">
        <v>11161</v>
      </c>
      <c r="N6510" s="49" t="n">
        <v>0</v>
      </c>
      <c r="O6510" s="53" t="n">
        <v>45922.5640162037</v>
      </c>
      <c r="P6510" s="53" t="n">
        <v>45925.880162037</v>
      </c>
      <c r="Q6510" s="53" t="n">
        <v>45922.5640162037</v>
      </c>
      <c r="R6510" s="0" t="n">
        <v>0</v>
      </c>
      <c r="S6510" s="51" t="s">
        <v>2416</v>
      </c>
      <c r="T6510" s="51" t="s">
        <v>2416</v>
      </c>
      <c r="U6510" s="0" t="str">
        <f aca="false">"734730293356"</f>
        <v>734730293356</v>
      </c>
      <c r="V6510" s="51" t="s">
        <v>2365</v>
      </c>
      <c r="W6510" s="51" t="s">
        <v>10857</v>
      </c>
      <c r="X6510" s="51" t="s">
        <v>2359</v>
      </c>
    </row>
    <row r="6511" customFormat="false" ht="14.25" hidden="true" customHeight="false" outlineLevel="0" collapsed="false">
      <c r="A6511" s="49" t="s">
        <v>2349</v>
      </c>
      <c r="B6511" s="49" t="s">
        <v>2350</v>
      </c>
      <c r="C6511" s="49" t="s">
        <v>11180</v>
      </c>
      <c r="D6511" s="49" t="s">
        <v>2352</v>
      </c>
      <c r="E6511" s="49" t="str">
        <f aca="false">"734730293356"</f>
        <v>734730293356</v>
      </c>
      <c r="F6511" s="49" t="s">
        <v>3992</v>
      </c>
      <c r="G6511" s="49" t="n">
        <v>0</v>
      </c>
      <c r="H6511" s="0" t="n">
        <v>0</v>
      </c>
      <c r="M6511" s="51" t="s">
        <v>11161</v>
      </c>
      <c r="N6511" s="49" t="n">
        <v>0</v>
      </c>
      <c r="O6511" s="53" t="n">
        <v>45922.5640972222</v>
      </c>
      <c r="P6511" s="53" t="n">
        <v>45925.9242708333</v>
      </c>
      <c r="Q6511" s="53" t="n">
        <v>45922.5640972222</v>
      </c>
      <c r="R6511" s="0" t="n">
        <v>0</v>
      </c>
      <c r="S6511" s="51" t="s">
        <v>2416</v>
      </c>
      <c r="T6511" s="51" t="s">
        <v>2416</v>
      </c>
      <c r="U6511" s="0" t="str">
        <f aca="false">"734730293356"</f>
        <v>734730293356</v>
      </c>
      <c r="V6511" s="51" t="s">
        <v>2365</v>
      </c>
      <c r="W6511" s="51" t="s">
        <v>10862</v>
      </c>
      <c r="X6511" s="51" t="s">
        <v>2359</v>
      </c>
    </row>
    <row r="6512" customFormat="false" ht="14.25" hidden="true" customHeight="false" outlineLevel="0" collapsed="false">
      <c r="A6512" s="49" t="s">
        <v>2349</v>
      </c>
      <c r="B6512" s="49" t="s">
        <v>2350</v>
      </c>
      <c r="C6512" s="49" t="s">
        <v>11181</v>
      </c>
      <c r="D6512" s="49" t="s">
        <v>2352</v>
      </c>
      <c r="E6512" s="49" t="str">
        <f aca="false">"734730293356"</f>
        <v>734730293356</v>
      </c>
      <c r="F6512" s="49" t="s">
        <v>3992</v>
      </c>
      <c r="G6512" s="49" t="n">
        <v>0</v>
      </c>
      <c r="H6512" s="0" t="n">
        <v>0</v>
      </c>
      <c r="M6512" s="51" t="s">
        <v>11161</v>
      </c>
      <c r="N6512" s="49" t="n">
        <v>0</v>
      </c>
      <c r="O6512" s="53" t="n">
        <v>45922.5641898148</v>
      </c>
      <c r="P6512" s="53" t="n">
        <v>45925.9262268519</v>
      </c>
      <c r="Q6512" s="53" t="n">
        <v>45922.5641898148</v>
      </c>
      <c r="R6512" s="0" t="n">
        <v>0</v>
      </c>
      <c r="S6512" s="51" t="s">
        <v>2416</v>
      </c>
      <c r="T6512" s="51" t="s">
        <v>2416</v>
      </c>
      <c r="U6512" s="0" t="str">
        <f aca="false">"734730293356"</f>
        <v>734730293356</v>
      </c>
      <c r="V6512" s="51" t="s">
        <v>2365</v>
      </c>
      <c r="W6512" s="51" t="s">
        <v>4541</v>
      </c>
      <c r="X6512" s="51" t="s">
        <v>2359</v>
      </c>
    </row>
    <row r="6513" customFormat="false" ht="14.25" hidden="true" customHeight="false" outlineLevel="0" collapsed="false">
      <c r="A6513" s="49" t="s">
        <v>2349</v>
      </c>
      <c r="B6513" s="49" t="s">
        <v>2350</v>
      </c>
      <c r="C6513" s="49" t="s">
        <v>11182</v>
      </c>
      <c r="D6513" s="49" t="s">
        <v>2352</v>
      </c>
      <c r="E6513" s="49" t="str">
        <f aca="false">"734730293356"</f>
        <v>734730293356</v>
      </c>
      <c r="F6513" s="49" t="s">
        <v>3992</v>
      </c>
      <c r="G6513" s="49" t="n">
        <v>0</v>
      </c>
      <c r="H6513" s="0" t="n">
        <v>0</v>
      </c>
      <c r="M6513" s="51" t="s">
        <v>11161</v>
      </c>
      <c r="N6513" s="49" t="n">
        <v>0</v>
      </c>
      <c r="O6513" s="53" t="n">
        <v>45945.642650463</v>
      </c>
      <c r="P6513" s="53" t="n">
        <v>45995.8208680556</v>
      </c>
      <c r="R6513" s="0" t="n">
        <v>0</v>
      </c>
      <c r="T6513" s="51" t="s">
        <v>2383</v>
      </c>
      <c r="U6513" s="0" t="str">
        <f aca="false">"734730293356"</f>
        <v>734730293356</v>
      </c>
      <c r="V6513" s="51" t="s">
        <v>2365</v>
      </c>
      <c r="W6513" s="51" t="s">
        <v>3855</v>
      </c>
      <c r="X6513" s="51" t="s">
        <v>2359</v>
      </c>
    </row>
    <row r="6514" customFormat="false" ht="14.25" hidden="true" customHeight="false" outlineLevel="0" collapsed="false">
      <c r="A6514" s="49" t="s">
        <v>2349</v>
      </c>
      <c r="B6514" s="49" t="s">
        <v>2350</v>
      </c>
      <c r="C6514" s="49" t="s">
        <v>11183</v>
      </c>
      <c r="D6514" s="49" t="s">
        <v>2352</v>
      </c>
      <c r="E6514" s="49" t="str">
        <f aca="false">"12464079"</f>
        <v>12464079</v>
      </c>
      <c r="F6514" s="49" t="s">
        <v>4706</v>
      </c>
      <c r="G6514" s="49" t="n">
        <v>0</v>
      </c>
      <c r="H6514" s="0" t="n">
        <v>0</v>
      </c>
      <c r="M6514" s="51" t="s">
        <v>11184</v>
      </c>
      <c r="N6514" s="49" t="n">
        <v>0</v>
      </c>
      <c r="O6514" s="53" t="n">
        <v>45922.5587037037</v>
      </c>
      <c r="P6514" s="53" t="n">
        <v>45943.8223726852</v>
      </c>
      <c r="Q6514" s="53" t="n">
        <v>45922.5587037037</v>
      </c>
      <c r="R6514" s="0" t="n">
        <v>0</v>
      </c>
      <c r="S6514" s="51" t="s">
        <v>2416</v>
      </c>
      <c r="T6514" s="51" t="s">
        <v>2416</v>
      </c>
      <c r="U6514" s="0" t="str">
        <f aca="false">"12464079"</f>
        <v>12464079</v>
      </c>
      <c r="V6514" s="51" t="s">
        <v>2365</v>
      </c>
      <c r="W6514" s="51" t="s">
        <v>5703</v>
      </c>
      <c r="X6514" s="51" t="s">
        <v>2359</v>
      </c>
    </row>
    <row r="6515" customFormat="false" ht="14.25" hidden="true" customHeight="false" outlineLevel="0" collapsed="false">
      <c r="A6515" s="49" t="s">
        <v>2349</v>
      </c>
      <c r="B6515" s="49" t="s">
        <v>2350</v>
      </c>
      <c r="C6515" s="49" t="s">
        <v>11185</v>
      </c>
      <c r="D6515" s="49" t="s">
        <v>2352</v>
      </c>
      <c r="E6515" s="49" t="str">
        <f aca="false">"12464079"</f>
        <v>12464079</v>
      </c>
      <c r="F6515" s="49" t="s">
        <v>4706</v>
      </c>
      <c r="G6515" s="49" t="n">
        <v>0</v>
      </c>
      <c r="H6515" s="0" t="n">
        <v>0</v>
      </c>
      <c r="M6515" s="51" t="s">
        <v>11184</v>
      </c>
      <c r="N6515" s="49" t="n">
        <v>0</v>
      </c>
      <c r="O6515" s="53" t="n">
        <v>45922.558587963</v>
      </c>
      <c r="P6515" s="53" t="n">
        <v>46004.4239930556</v>
      </c>
      <c r="Q6515" s="53" t="n">
        <v>45922.558587963</v>
      </c>
      <c r="R6515" s="0" t="n">
        <v>0</v>
      </c>
      <c r="S6515" s="51" t="s">
        <v>2416</v>
      </c>
      <c r="T6515" s="51" t="s">
        <v>2416</v>
      </c>
      <c r="U6515" s="0" t="str">
        <f aca="false">"12464079"</f>
        <v>12464079</v>
      </c>
      <c r="V6515" s="51" t="s">
        <v>2365</v>
      </c>
      <c r="W6515" s="51" t="s">
        <v>9613</v>
      </c>
      <c r="X6515" s="51" t="s">
        <v>2359</v>
      </c>
    </row>
    <row r="6516" customFormat="false" ht="14.25" hidden="true" customHeight="false" outlineLevel="0" collapsed="false">
      <c r="A6516" s="49" t="s">
        <v>2349</v>
      </c>
      <c r="B6516" s="49" t="s">
        <v>2350</v>
      </c>
      <c r="C6516" s="49" t="s">
        <v>11186</v>
      </c>
      <c r="D6516" s="49" t="s">
        <v>2352</v>
      </c>
      <c r="E6516" s="49" t="str">
        <f aca="false">"12464079"</f>
        <v>12464079</v>
      </c>
      <c r="F6516" s="49" t="s">
        <v>4706</v>
      </c>
      <c r="G6516" s="49" t="n">
        <v>0</v>
      </c>
      <c r="H6516" s="0" t="n">
        <v>0</v>
      </c>
      <c r="M6516" s="51" t="s">
        <v>11184</v>
      </c>
      <c r="N6516" s="49" t="n">
        <v>0</v>
      </c>
      <c r="O6516" s="53" t="n">
        <v>45922.5584606482</v>
      </c>
      <c r="P6516" s="53" t="n">
        <v>46004.4263541667</v>
      </c>
      <c r="Q6516" s="53" t="n">
        <v>45922.5584606482</v>
      </c>
      <c r="R6516" s="0" t="n">
        <v>0</v>
      </c>
      <c r="S6516" s="51" t="s">
        <v>2416</v>
      </c>
      <c r="T6516" s="51" t="s">
        <v>2416</v>
      </c>
      <c r="U6516" s="0" t="str">
        <f aca="false">"12464079"</f>
        <v>12464079</v>
      </c>
      <c r="V6516" s="51" t="s">
        <v>2365</v>
      </c>
      <c r="W6516" s="51" t="s">
        <v>10181</v>
      </c>
      <c r="X6516" s="51" t="s">
        <v>2359</v>
      </c>
    </row>
    <row r="6517" customFormat="false" ht="14.25" hidden="true" customHeight="false" outlineLevel="0" collapsed="false">
      <c r="A6517" s="49" t="s">
        <v>2349</v>
      </c>
      <c r="B6517" s="49" t="s">
        <v>2350</v>
      </c>
      <c r="C6517" s="49" t="s">
        <v>11187</v>
      </c>
      <c r="D6517" s="49" t="s">
        <v>2352</v>
      </c>
      <c r="E6517" s="49" t="str">
        <f aca="false">"12464079"</f>
        <v>12464079</v>
      </c>
      <c r="F6517" s="49" t="s">
        <v>4706</v>
      </c>
      <c r="G6517" s="49" t="n">
        <v>0</v>
      </c>
      <c r="H6517" s="0" t="n">
        <v>0</v>
      </c>
      <c r="M6517" s="51" t="s">
        <v>11184</v>
      </c>
      <c r="N6517" s="49" t="n">
        <v>0</v>
      </c>
      <c r="O6517" s="53" t="n">
        <v>45922.5583449074</v>
      </c>
      <c r="P6517" s="53" t="n">
        <v>46004.4088773148</v>
      </c>
      <c r="Q6517" s="53" t="n">
        <v>45922.5583449074</v>
      </c>
      <c r="R6517" s="0" t="n">
        <v>0</v>
      </c>
      <c r="S6517" s="51" t="s">
        <v>2416</v>
      </c>
      <c r="T6517" s="51" t="s">
        <v>2416</v>
      </c>
      <c r="U6517" s="0" t="str">
        <f aca="false">"12464079"</f>
        <v>12464079</v>
      </c>
      <c r="V6517" s="51" t="s">
        <v>2365</v>
      </c>
      <c r="W6517" s="51" t="s">
        <v>10568</v>
      </c>
      <c r="X6517" s="51" t="s">
        <v>2359</v>
      </c>
    </row>
    <row r="6518" customFormat="false" ht="14.25" hidden="true" customHeight="false" outlineLevel="0" collapsed="false">
      <c r="A6518" s="49" t="s">
        <v>2349</v>
      </c>
      <c r="B6518" s="49" t="s">
        <v>2350</v>
      </c>
      <c r="C6518" s="49" t="s">
        <v>11188</v>
      </c>
      <c r="D6518" s="49" t="s">
        <v>2352</v>
      </c>
      <c r="E6518" s="49" t="str">
        <f aca="false">"12464079"</f>
        <v>12464079</v>
      </c>
      <c r="F6518" s="49" t="s">
        <v>4706</v>
      </c>
      <c r="G6518" s="49" t="n">
        <v>0</v>
      </c>
      <c r="H6518" s="0" t="n">
        <v>0</v>
      </c>
      <c r="M6518" s="51" t="s">
        <v>11184</v>
      </c>
      <c r="N6518" s="49" t="n">
        <v>0</v>
      </c>
      <c r="O6518" s="53" t="n">
        <v>45922.5582407407</v>
      </c>
      <c r="P6518" s="53" t="n">
        <v>46004.4231481482</v>
      </c>
      <c r="Q6518" s="53" t="n">
        <v>45922.5582407407</v>
      </c>
      <c r="R6518" s="0" t="n">
        <v>0</v>
      </c>
      <c r="S6518" s="51" t="s">
        <v>2416</v>
      </c>
      <c r="T6518" s="51" t="s">
        <v>2416</v>
      </c>
      <c r="U6518" s="0" t="str">
        <f aca="false">"12464079"</f>
        <v>12464079</v>
      </c>
      <c r="V6518" s="51" t="s">
        <v>2365</v>
      </c>
      <c r="W6518" s="51" t="s">
        <v>11189</v>
      </c>
      <c r="X6518" s="51" t="s">
        <v>2359</v>
      </c>
    </row>
    <row r="6519" customFormat="false" ht="14.25" hidden="true" customHeight="false" outlineLevel="0" collapsed="false">
      <c r="A6519" s="49" t="s">
        <v>2349</v>
      </c>
      <c r="B6519" s="49" t="s">
        <v>2350</v>
      </c>
      <c r="C6519" s="49" t="s">
        <v>11190</v>
      </c>
      <c r="D6519" s="49" t="s">
        <v>2352</v>
      </c>
      <c r="E6519" s="49" t="str">
        <f aca="false">"12464079"</f>
        <v>12464079</v>
      </c>
      <c r="F6519" s="49" t="s">
        <v>4706</v>
      </c>
      <c r="G6519" s="49" t="n">
        <v>0</v>
      </c>
      <c r="H6519" s="0" t="n">
        <v>0</v>
      </c>
      <c r="M6519" s="51" t="s">
        <v>11184</v>
      </c>
      <c r="N6519" s="49" t="n">
        <v>0</v>
      </c>
      <c r="O6519" s="53" t="n">
        <v>45922.5581018519</v>
      </c>
      <c r="P6519" s="53" t="n">
        <v>45929.7821527778</v>
      </c>
      <c r="Q6519" s="53" t="n">
        <v>45922.5581018519</v>
      </c>
      <c r="R6519" s="0" t="n">
        <v>0</v>
      </c>
      <c r="S6519" s="51" t="s">
        <v>2416</v>
      </c>
      <c r="T6519" s="51" t="s">
        <v>2416</v>
      </c>
      <c r="U6519" s="0" t="str">
        <f aca="false">"12464079"</f>
        <v>12464079</v>
      </c>
      <c r="V6519" s="51" t="s">
        <v>2365</v>
      </c>
      <c r="W6519" s="51" t="s">
        <v>11191</v>
      </c>
      <c r="X6519" s="51" t="s">
        <v>2359</v>
      </c>
    </row>
    <row r="6520" customFormat="false" ht="14.25" hidden="true" customHeight="false" outlineLevel="0" collapsed="false">
      <c r="A6520" s="49" t="s">
        <v>2349</v>
      </c>
      <c r="B6520" s="49" t="s">
        <v>2350</v>
      </c>
      <c r="C6520" s="49" t="s">
        <v>11192</v>
      </c>
      <c r="D6520" s="49" t="s">
        <v>2352</v>
      </c>
      <c r="E6520" s="49" t="str">
        <f aca="false">"12464079"</f>
        <v>12464079</v>
      </c>
      <c r="F6520" s="49" t="s">
        <v>4706</v>
      </c>
      <c r="G6520" s="49" t="n">
        <v>0</v>
      </c>
      <c r="H6520" s="0" t="n">
        <v>0</v>
      </c>
      <c r="M6520" s="51" t="s">
        <v>11184</v>
      </c>
      <c r="N6520" s="49" t="n">
        <v>0</v>
      </c>
      <c r="O6520" s="53" t="n">
        <v>45922.5579513889</v>
      </c>
      <c r="P6520" s="53" t="n">
        <v>45929.7030671296</v>
      </c>
      <c r="Q6520" s="53" t="n">
        <v>45922.5579513889</v>
      </c>
      <c r="R6520" s="0" t="n">
        <v>0</v>
      </c>
      <c r="S6520" s="51" t="s">
        <v>2416</v>
      </c>
      <c r="T6520" s="51" t="s">
        <v>2416</v>
      </c>
      <c r="U6520" s="0" t="str">
        <f aca="false">"12464079"</f>
        <v>12464079</v>
      </c>
      <c r="V6520" s="51" t="s">
        <v>2365</v>
      </c>
      <c r="W6520" s="51" t="s">
        <v>4216</v>
      </c>
      <c r="X6520" s="51" t="s">
        <v>2359</v>
      </c>
    </row>
    <row r="6521" customFormat="false" ht="14.25" hidden="true" customHeight="false" outlineLevel="0" collapsed="false">
      <c r="A6521" s="49" t="s">
        <v>2349</v>
      </c>
      <c r="B6521" s="49" t="s">
        <v>2350</v>
      </c>
      <c r="C6521" s="49" t="s">
        <v>11193</v>
      </c>
      <c r="D6521" s="49" t="s">
        <v>2352</v>
      </c>
      <c r="E6521" s="49" t="str">
        <f aca="false">"12464079"</f>
        <v>12464079</v>
      </c>
      <c r="F6521" s="49" t="s">
        <v>4706</v>
      </c>
      <c r="G6521" s="49" t="n">
        <v>0</v>
      </c>
      <c r="H6521" s="0" t="n">
        <v>0</v>
      </c>
      <c r="M6521" s="51" t="s">
        <v>11184</v>
      </c>
      <c r="N6521" s="49" t="n">
        <v>0</v>
      </c>
      <c r="O6521" s="53" t="n">
        <v>45922.5577546296</v>
      </c>
      <c r="P6521" s="53" t="n">
        <v>45924.738275463</v>
      </c>
      <c r="Q6521" s="53" t="n">
        <v>45922.5577546296</v>
      </c>
      <c r="R6521" s="0" t="n">
        <v>0</v>
      </c>
      <c r="S6521" s="51" t="s">
        <v>2416</v>
      </c>
      <c r="T6521" s="51" t="s">
        <v>2416</v>
      </c>
      <c r="U6521" s="0" t="str">
        <f aca="false">"12464079"</f>
        <v>12464079</v>
      </c>
      <c r="V6521" s="51" t="s">
        <v>2365</v>
      </c>
      <c r="W6521" s="51" t="s">
        <v>4216</v>
      </c>
      <c r="X6521" s="51" t="s">
        <v>2359</v>
      </c>
    </row>
    <row r="6522" customFormat="false" ht="14.25" hidden="true" customHeight="false" outlineLevel="0" collapsed="false">
      <c r="A6522" s="49" t="s">
        <v>2349</v>
      </c>
      <c r="B6522" s="49" t="s">
        <v>2350</v>
      </c>
      <c r="C6522" s="49" t="s">
        <v>11194</v>
      </c>
      <c r="D6522" s="49" t="s">
        <v>2352</v>
      </c>
      <c r="E6522" s="49" t="str">
        <f aca="false">"12464079"</f>
        <v>12464079</v>
      </c>
      <c r="F6522" s="49" t="s">
        <v>4706</v>
      </c>
      <c r="G6522" s="49" t="n">
        <v>0</v>
      </c>
      <c r="H6522" s="0" t="n">
        <v>0</v>
      </c>
      <c r="M6522" s="51" t="s">
        <v>11184</v>
      </c>
      <c r="N6522" s="49" t="n">
        <v>0</v>
      </c>
      <c r="O6522" s="53" t="n">
        <v>45922.5575810185</v>
      </c>
      <c r="P6522" s="53" t="n">
        <v>45997.5699074074</v>
      </c>
      <c r="Q6522" s="53" t="n">
        <v>45922.5575810185</v>
      </c>
      <c r="R6522" s="0" t="n">
        <v>0</v>
      </c>
      <c r="S6522" s="51" t="s">
        <v>2416</v>
      </c>
      <c r="T6522" s="51" t="s">
        <v>2416</v>
      </c>
      <c r="U6522" s="0" t="str">
        <f aca="false">"12464079"</f>
        <v>12464079</v>
      </c>
      <c r="V6522" s="51" t="s">
        <v>2365</v>
      </c>
      <c r="W6522" s="51" t="s">
        <v>10568</v>
      </c>
      <c r="X6522" s="51" t="s">
        <v>2359</v>
      </c>
    </row>
    <row r="6523" customFormat="false" ht="14.25" hidden="true" customHeight="false" outlineLevel="0" collapsed="false">
      <c r="A6523" s="49" t="s">
        <v>2349</v>
      </c>
      <c r="B6523" s="49" t="s">
        <v>2350</v>
      </c>
      <c r="C6523" s="49" t="s">
        <v>11195</v>
      </c>
      <c r="D6523" s="49" t="s">
        <v>2352</v>
      </c>
      <c r="E6523" s="49" t="str">
        <f aca="false">"12464079"</f>
        <v>12464079</v>
      </c>
      <c r="F6523" s="49" t="s">
        <v>4706</v>
      </c>
      <c r="G6523" s="49" t="n">
        <v>0</v>
      </c>
      <c r="H6523" s="0" t="n">
        <v>0</v>
      </c>
      <c r="M6523" s="51" t="s">
        <v>11184</v>
      </c>
      <c r="N6523" s="49" t="n">
        <v>0</v>
      </c>
      <c r="O6523" s="53" t="n">
        <v>45922.5574768519</v>
      </c>
      <c r="P6523" s="53" t="n">
        <v>45929.7071990741</v>
      </c>
      <c r="Q6523" s="53" t="n">
        <v>45922.5574768519</v>
      </c>
      <c r="R6523" s="0" t="n">
        <v>0</v>
      </c>
      <c r="S6523" s="51" t="s">
        <v>2416</v>
      </c>
      <c r="T6523" s="51" t="s">
        <v>2416</v>
      </c>
      <c r="U6523" s="0" t="str">
        <f aca="false">"12464079"</f>
        <v>12464079</v>
      </c>
      <c r="V6523" s="51" t="s">
        <v>2365</v>
      </c>
      <c r="W6523" s="51" t="s">
        <v>6179</v>
      </c>
      <c r="X6523" s="51" t="s">
        <v>2359</v>
      </c>
    </row>
    <row r="6524" customFormat="false" ht="14.25" hidden="true" customHeight="false" outlineLevel="0" collapsed="false">
      <c r="A6524" s="49" t="s">
        <v>2349</v>
      </c>
      <c r="B6524" s="49" t="s">
        <v>2350</v>
      </c>
      <c r="C6524" s="49" t="s">
        <v>11196</v>
      </c>
      <c r="D6524" s="49" t="s">
        <v>2352</v>
      </c>
      <c r="E6524" s="49" t="str">
        <f aca="false">"12464079"</f>
        <v>12464079</v>
      </c>
      <c r="F6524" s="49" t="s">
        <v>4706</v>
      </c>
      <c r="G6524" s="49" t="n">
        <v>0</v>
      </c>
      <c r="H6524" s="0" t="n">
        <v>0</v>
      </c>
      <c r="M6524" s="51" t="s">
        <v>11184</v>
      </c>
      <c r="N6524" s="49" t="n">
        <v>0</v>
      </c>
      <c r="O6524" s="53" t="n">
        <v>45922.557349537</v>
      </c>
      <c r="P6524" s="53" t="n">
        <v>45994.9626273148</v>
      </c>
      <c r="Q6524" s="53" t="n">
        <v>45922.557349537</v>
      </c>
      <c r="R6524" s="0" t="n">
        <v>0</v>
      </c>
      <c r="S6524" s="51" t="s">
        <v>2416</v>
      </c>
      <c r="T6524" s="51" t="s">
        <v>2416</v>
      </c>
      <c r="U6524" s="0" t="str">
        <f aca="false">"12464079"</f>
        <v>12464079</v>
      </c>
      <c r="V6524" s="51" t="s">
        <v>2365</v>
      </c>
      <c r="W6524" s="51" t="s">
        <v>10563</v>
      </c>
      <c r="X6524" s="51" t="s">
        <v>2359</v>
      </c>
    </row>
    <row r="6525" customFormat="false" ht="14.25" hidden="true" customHeight="false" outlineLevel="0" collapsed="false">
      <c r="A6525" s="49" t="s">
        <v>2349</v>
      </c>
      <c r="B6525" s="49" t="s">
        <v>2350</v>
      </c>
      <c r="C6525" s="49" t="s">
        <v>11197</v>
      </c>
      <c r="D6525" s="49" t="s">
        <v>2352</v>
      </c>
      <c r="E6525" s="49" t="str">
        <f aca="false">"12464079"</f>
        <v>12464079</v>
      </c>
      <c r="F6525" s="49" t="s">
        <v>4706</v>
      </c>
      <c r="G6525" s="49" t="n">
        <v>0</v>
      </c>
      <c r="H6525" s="0" t="n">
        <v>0</v>
      </c>
      <c r="M6525" s="51" t="s">
        <v>11184</v>
      </c>
      <c r="N6525" s="49" t="n">
        <v>0</v>
      </c>
      <c r="O6525" s="53" t="n">
        <v>45922.5572222222</v>
      </c>
      <c r="P6525" s="53" t="n">
        <v>45953.5299189815</v>
      </c>
      <c r="Q6525" s="53" t="n">
        <v>45922.5572222222</v>
      </c>
      <c r="R6525" s="0" t="n">
        <v>0</v>
      </c>
      <c r="S6525" s="51" t="s">
        <v>2416</v>
      </c>
      <c r="T6525" s="51" t="s">
        <v>2416</v>
      </c>
      <c r="U6525" s="0" t="str">
        <f aca="false">"12464079"</f>
        <v>12464079</v>
      </c>
      <c r="V6525" s="51" t="s">
        <v>2365</v>
      </c>
      <c r="W6525" s="51" t="s">
        <v>11198</v>
      </c>
      <c r="X6525" s="51" t="s">
        <v>2359</v>
      </c>
    </row>
    <row r="6526" customFormat="false" ht="14.25" hidden="true" customHeight="false" outlineLevel="0" collapsed="false">
      <c r="A6526" s="49" t="s">
        <v>2349</v>
      </c>
      <c r="B6526" s="49" t="s">
        <v>2350</v>
      </c>
      <c r="C6526" s="49" t="s">
        <v>11199</v>
      </c>
      <c r="D6526" s="49" t="s">
        <v>2352</v>
      </c>
      <c r="E6526" s="49" t="str">
        <f aca="false">"12464079"</f>
        <v>12464079</v>
      </c>
      <c r="F6526" s="49" t="s">
        <v>4706</v>
      </c>
      <c r="G6526" s="49" t="n">
        <v>0</v>
      </c>
      <c r="H6526" s="0" t="n">
        <v>0</v>
      </c>
      <c r="M6526" s="51" t="s">
        <v>11184</v>
      </c>
      <c r="N6526" s="49" t="n">
        <v>0</v>
      </c>
      <c r="O6526" s="53" t="n">
        <v>45922.5571180556</v>
      </c>
      <c r="P6526" s="53" t="n">
        <v>45929.7050231482</v>
      </c>
      <c r="Q6526" s="53" t="n">
        <v>45922.5571180556</v>
      </c>
      <c r="R6526" s="0" t="n">
        <v>0</v>
      </c>
      <c r="S6526" s="51" t="s">
        <v>2416</v>
      </c>
      <c r="T6526" s="51" t="s">
        <v>2416</v>
      </c>
      <c r="U6526" s="0" t="str">
        <f aca="false">"12464079"</f>
        <v>12464079</v>
      </c>
      <c r="V6526" s="51" t="s">
        <v>2365</v>
      </c>
      <c r="W6526" s="51" t="s">
        <v>11079</v>
      </c>
      <c r="X6526" s="51" t="s">
        <v>2359</v>
      </c>
    </row>
    <row r="6527" customFormat="false" ht="14.25" hidden="true" customHeight="false" outlineLevel="0" collapsed="false">
      <c r="A6527" s="49" t="s">
        <v>2349</v>
      </c>
      <c r="B6527" s="49" t="s">
        <v>2350</v>
      </c>
      <c r="C6527" s="49" t="s">
        <v>11200</v>
      </c>
      <c r="D6527" s="49" t="s">
        <v>2352</v>
      </c>
      <c r="E6527" s="49" t="str">
        <f aca="false">"12464079"</f>
        <v>12464079</v>
      </c>
      <c r="F6527" s="49" t="s">
        <v>4706</v>
      </c>
      <c r="G6527" s="49" t="n">
        <v>0</v>
      </c>
      <c r="H6527" s="0" t="n">
        <v>0</v>
      </c>
      <c r="M6527" s="51" t="s">
        <v>11184</v>
      </c>
      <c r="N6527" s="49" t="n">
        <v>0</v>
      </c>
      <c r="O6527" s="53" t="n">
        <v>45922.557037037</v>
      </c>
      <c r="P6527" s="53" t="n">
        <v>45994.9640277778</v>
      </c>
      <c r="Q6527" s="53" t="n">
        <v>45922.557037037</v>
      </c>
      <c r="R6527" s="0" t="n">
        <v>0</v>
      </c>
      <c r="S6527" s="51" t="s">
        <v>2416</v>
      </c>
      <c r="T6527" s="51" t="s">
        <v>2416</v>
      </c>
      <c r="U6527" s="0" t="str">
        <f aca="false">"12464079"</f>
        <v>12464079</v>
      </c>
      <c r="V6527" s="51" t="s">
        <v>2365</v>
      </c>
      <c r="W6527" s="51" t="s">
        <v>11201</v>
      </c>
      <c r="X6527" s="51" t="s">
        <v>2359</v>
      </c>
    </row>
    <row r="6528" customFormat="false" ht="14.25" hidden="true" customHeight="false" outlineLevel="0" collapsed="false">
      <c r="A6528" s="49" t="s">
        <v>2349</v>
      </c>
      <c r="B6528" s="49" t="s">
        <v>2350</v>
      </c>
      <c r="C6528" s="49" t="s">
        <v>11202</v>
      </c>
      <c r="D6528" s="49" t="s">
        <v>2352</v>
      </c>
      <c r="E6528" s="49" t="str">
        <f aca="false">"12464079"</f>
        <v>12464079</v>
      </c>
      <c r="F6528" s="49" t="s">
        <v>4706</v>
      </c>
      <c r="G6528" s="49" t="n">
        <v>0</v>
      </c>
      <c r="H6528" s="0" t="n">
        <v>0</v>
      </c>
      <c r="M6528" s="51" t="s">
        <v>11184</v>
      </c>
      <c r="N6528" s="49" t="n">
        <v>0</v>
      </c>
      <c r="O6528" s="53" t="n">
        <v>45922.5568981482</v>
      </c>
      <c r="P6528" s="53" t="n">
        <v>45929.782349537</v>
      </c>
      <c r="Q6528" s="53" t="n">
        <v>45922.5568981482</v>
      </c>
      <c r="R6528" s="0" t="n">
        <v>0</v>
      </c>
      <c r="S6528" s="51" t="s">
        <v>2416</v>
      </c>
      <c r="T6528" s="51" t="s">
        <v>2416</v>
      </c>
      <c r="U6528" s="0" t="str">
        <f aca="false">"12464079"</f>
        <v>12464079</v>
      </c>
      <c r="V6528" s="51" t="s">
        <v>2365</v>
      </c>
      <c r="W6528" s="51" t="s">
        <v>11203</v>
      </c>
      <c r="X6528" s="51" t="s">
        <v>2359</v>
      </c>
    </row>
    <row r="6529" customFormat="false" ht="14.25" hidden="true" customHeight="false" outlineLevel="0" collapsed="false">
      <c r="A6529" s="49" t="s">
        <v>2349</v>
      </c>
      <c r="B6529" s="49" t="s">
        <v>2350</v>
      </c>
      <c r="C6529" s="49" t="s">
        <v>11204</v>
      </c>
      <c r="D6529" s="49" t="s">
        <v>2352</v>
      </c>
      <c r="E6529" s="49" t="str">
        <f aca="false">"12464079"</f>
        <v>12464079</v>
      </c>
      <c r="F6529" s="49" t="s">
        <v>4706</v>
      </c>
      <c r="G6529" s="49" t="n">
        <v>0</v>
      </c>
      <c r="H6529" s="0" t="n">
        <v>0</v>
      </c>
      <c r="M6529" s="51" t="s">
        <v>11184</v>
      </c>
      <c r="N6529" s="49" t="n">
        <v>0</v>
      </c>
      <c r="O6529" s="53" t="n">
        <v>45922.5567939815</v>
      </c>
      <c r="P6529" s="53" t="n">
        <v>45994.9647222222</v>
      </c>
      <c r="Q6529" s="53" t="n">
        <v>45922.5567939815</v>
      </c>
      <c r="R6529" s="0" t="n">
        <v>0</v>
      </c>
      <c r="S6529" s="51" t="s">
        <v>2416</v>
      </c>
      <c r="T6529" s="51" t="s">
        <v>2416</v>
      </c>
      <c r="U6529" s="0" t="str">
        <f aca="false">"12464079"</f>
        <v>12464079</v>
      </c>
      <c r="V6529" s="51" t="s">
        <v>2365</v>
      </c>
      <c r="W6529" s="51" t="s">
        <v>10561</v>
      </c>
      <c r="X6529" s="51" t="s">
        <v>2359</v>
      </c>
    </row>
    <row r="6530" customFormat="false" ht="14.25" hidden="true" customHeight="false" outlineLevel="0" collapsed="false">
      <c r="A6530" s="49" t="s">
        <v>2349</v>
      </c>
      <c r="B6530" s="49" t="s">
        <v>2350</v>
      </c>
      <c r="C6530" s="49" t="s">
        <v>11205</v>
      </c>
      <c r="D6530" s="49" t="s">
        <v>2352</v>
      </c>
      <c r="E6530" s="49" t="str">
        <f aca="false">"12464079"</f>
        <v>12464079</v>
      </c>
      <c r="F6530" s="49" t="s">
        <v>4706</v>
      </c>
      <c r="G6530" s="49" t="n">
        <v>0</v>
      </c>
      <c r="H6530" s="0" t="n">
        <v>0</v>
      </c>
      <c r="M6530" s="51" t="s">
        <v>11184</v>
      </c>
      <c r="N6530" s="49" t="n">
        <v>0</v>
      </c>
      <c r="O6530" s="53" t="n">
        <v>45922.5566782407</v>
      </c>
      <c r="P6530" s="53" t="n">
        <v>45997.5726736111</v>
      </c>
      <c r="Q6530" s="53" t="n">
        <v>45922.5566782407</v>
      </c>
      <c r="R6530" s="0" t="n">
        <v>0</v>
      </c>
      <c r="S6530" s="51" t="s">
        <v>2416</v>
      </c>
      <c r="T6530" s="51" t="s">
        <v>2416</v>
      </c>
      <c r="U6530" s="0" t="str">
        <f aca="false">"12464079"</f>
        <v>12464079</v>
      </c>
      <c r="V6530" s="51" t="s">
        <v>2365</v>
      </c>
      <c r="W6530" s="51" t="s">
        <v>8687</v>
      </c>
      <c r="X6530" s="51" t="s">
        <v>2359</v>
      </c>
    </row>
    <row r="6531" customFormat="false" ht="14.25" hidden="true" customHeight="false" outlineLevel="0" collapsed="false">
      <c r="A6531" s="49" t="s">
        <v>2349</v>
      </c>
      <c r="B6531" s="49" t="s">
        <v>2350</v>
      </c>
      <c r="C6531" s="49" t="s">
        <v>11206</v>
      </c>
      <c r="D6531" s="49" t="s">
        <v>2352</v>
      </c>
      <c r="E6531" s="49" t="str">
        <f aca="false">"12464079"</f>
        <v>12464079</v>
      </c>
      <c r="F6531" s="49" t="s">
        <v>4706</v>
      </c>
      <c r="G6531" s="49" t="n">
        <v>0</v>
      </c>
      <c r="H6531" s="0" t="n">
        <v>0</v>
      </c>
      <c r="M6531" s="51" t="s">
        <v>11184</v>
      </c>
      <c r="N6531" s="49" t="n">
        <v>0</v>
      </c>
      <c r="O6531" s="53" t="n">
        <v>45922.5565856482</v>
      </c>
      <c r="P6531" s="53" t="n">
        <v>45997.5749305556</v>
      </c>
      <c r="Q6531" s="53" t="n">
        <v>45922.5565856482</v>
      </c>
      <c r="R6531" s="0" t="n">
        <v>0</v>
      </c>
      <c r="S6531" s="51" t="s">
        <v>2416</v>
      </c>
      <c r="T6531" s="51" t="s">
        <v>2416</v>
      </c>
      <c r="U6531" s="0" t="str">
        <f aca="false">"12464079"</f>
        <v>12464079</v>
      </c>
      <c r="V6531" s="51" t="s">
        <v>2365</v>
      </c>
      <c r="W6531" s="51" t="s">
        <v>11207</v>
      </c>
      <c r="X6531" s="51" t="s">
        <v>2359</v>
      </c>
    </row>
    <row r="6532" customFormat="false" ht="14.25" hidden="true" customHeight="false" outlineLevel="0" collapsed="false">
      <c r="A6532" s="49" t="s">
        <v>2349</v>
      </c>
      <c r="B6532" s="49" t="s">
        <v>2350</v>
      </c>
      <c r="C6532" s="49" t="s">
        <v>11208</v>
      </c>
      <c r="D6532" s="49" t="s">
        <v>2352</v>
      </c>
      <c r="E6532" s="49" t="str">
        <f aca="false">"12464079"</f>
        <v>12464079</v>
      </c>
      <c r="F6532" s="49" t="s">
        <v>4706</v>
      </c>
      <c r="G6532" s="49" t="n">
        <v>0</v>
      </c>
      <c r="H6532" s="0" t="n">
        <v>0</v>
      </c>
      <c r="M6532" s="51" t="s">
        <v>11184</v>
      </c>
      <c r="N6532" s="49" t="n">
        <v>0</v>
      </c>
      <c r="O6532" s="53" t="n">
        <v>45922.5564814815</v>
      </c>
      <c r="P6532" s="53" t="n">
        <v>45953.530150463</v>
      </c>
      <c r="Q6532" s="53" t="n">
        <v>45922.5564814815</v>
      </c>
      <c r="R6532" s="0" t="n">
        <v>0</v>
      </c>
      <c r="S6532" s="51" t="s">
        <v>2416</v>
      </c>
      <c r="T6532" s="51" t="s">
        <v>2416</v>
      </c>
      <c r="U6532" s="0" t="str">
        <f aca="false">"12464079"</f>
        <v>12464079</v>
      </c>
      <c r="V6532" s="51" t="s">
        <v>2365</v>
      </c>
      <c r="W6532" s="51" t="s">
        <v>8696</v>
      </c>
      <c r="X6532" s="51" t="s">
        <v>2359</v>
      </c>
    </row>
    <row r="6533" customFormat="false" ht="14.25" hidden="true" customHeight="false" outlineLevel="0" collapsed="false">
      <c r="A6533" s="49" t="s">
        <v>2349</v>
      </c>
      <c r="B6533" s="49" t="s">
        <v>2350</v>
      </c>
      <c r="C6533" s="49" t="s">
        <v>11209</v>
      </c>
      <c r="D6533" s="49" t="s">
        <v>2352</v>
      </c>
      <c r="E6533" s="49" t="str">
        <f aca="false">"12464079"</f>
        <v>12464079</v>
      </c>
      <c r="F6533" s="49" t="s">
        <v>4706</v>
      </c>
      <c r="G6533" s="49" t="n">
        <v>0</v>
      </c>
      <c r="H6533" s="0" t="n">
        <v>0</v>
      </c>
      <c r="M6533" s="51" t="s">
        <v>11184</v>
      </c>
      <c r="N6533" s="49" t="n">
        <v>0</v>
      </c>
      <c r="O6533" s="53" t="n">
        <v>45922.5563194445</v>
      </c>
      <c r="P6533" s="53" t="n">
        <v>45942.7982523148</v>
      </c>
      <c r="Q6533" s="53" t="n">
        <v>45922.5563194445</v>
      </c>
      <c r="R6533" s="0" t="n">
        <v>0</v>
      </c>
      <c r="S6533" s="51" t="s">
        <v>2416</v>
      </c>
      <c r="T6533" s="51" t="s">
        <v>2416</v>
      </c>
      <c r="U6533" s="0" t="str">
        <f aca="false">"12464079"</f>
        <v>12464079</v>
      </c>
      <c r="V6533" s="51" t="s">
        <v>2365</v>
      </c>
      <c r="W6533" s="51" t="s">
        <v>7360</v>
      </c>
      <c r="X6533" s="51" t="s">
        <v>2359</v>
      </c>
    </row>
    <row r="6534" customFormat="false" ht="14.25" hidden="true" customHeight="false" outlineLevel="0" collapsed="false">
      <c r="A6534" s="49" t="s">
        <v>2349</v>
      </c>
      <c r="B6534" s="49" t="s">
        <v>2350</v>
      </c>
      <c r="C6534" s="49" t="s">
        <v>11210</v>
      </c>
      <c r="D6534" s="49" t="s">
        <v>2352</v>
      </c>
      <c r="E6534" s="49" t="str">
        <f aca="false">"12464079"</f>
        <v>12464079</v>
      </c>
      <c r="F6534" s="49" t="s">
        <v>4706</v>
      </c>
      <c r="G6534" s="49" t="n">
        <v>0</v>
      </c>
      <c r="H6534" s="0" t="n">
        <v>0</v>
      </c>
      <c r="M6534" s="51" t="s">
        <v>11184</v>
      </c>
      <c r="N6534" s="49" t="n">
        <v>0</v>
      </c>
      <c r="O6534" s="53" t="n">
        <v>45922.5561458333</v>
      </c>
      <c r="P6534" s="53" t="n">
        <v>45924.7373032407</v>
      </c>
      <c r="Q6534" s="53" t="n">
        <v>45922.5561458333</v>
      </c>
      <c r="R6534" s="0" t="n">
        <v>0</v>
      </c>
      <c r="S6534" s="51" t="s">
        <v>2416</v>
      </c>
      <c r="T6534" s="51" t="s">
        <v>2416</v>
      </c>
      <c r="U6534" s="0" t="str">
        <f aca="false">"12464079"</f>
        <v>12464079</v>
      </c>
      <c r="V6534" s="51" t="s">
        <v>2365</v>
      </c>
      <c r="W6534" s="51" t="s">
        <v>7481</v>
      </c>
      <c r="X6534" s="51" t="s">
        <v>2359</v>
      </c>
    </row>
    <row r="6535" customFormat="false" ht="14.25" hidden="true" customHeight="false" outlineLevel="0" collapsed="false">
      <c r="A6535" s="49" t="s">
        <v>2349</v>
      </c>
      <c r="B6535" s="49" t="s">
        <v>2350</v>
      </c>
      <c r="C6535" s="49" t="s">
        <v>11211</v>
      </c>
      <c r="D6535" s="49" t="s">
        <v>2352</v>
      </c>
      <c r="E6535" s="49" t="str">
        <f aca="false">"12464079"</f>
        <v>12464079</v>
      </c>
      <c r="F6535" s="49" t="s">
        <v>4706</v>
      </c>
      <c r="G6535" s="49" t="n">
        <v>0</v>
      </c>
      <c r="H6535" s="0" t="n">
        <v>0</v>
      </c>
      <c r="M6535" s="51" t="s">
        <v>11184</v>
      </c>
      <c r="N6535" s="49" t="n">
        <v>0</v>
      </c>
      <c r="O6535" s="53" t="n">
        <v>45922.5559953704</v>
      </c>
      <c r="P6535" s="53" t="n">
        <v>45922.7254513889</v>
      </c>
      <c r="Q6535" s="53" t="n">
        <v>45922.5559953704</v>
      </c>
      <c r="R6535" s="0" t="n">
        <v>0</v>
      </c>
      <c r="S6535" s="51" t="s">
        <v>2416</v>
      </c>
      <c r="T6535" s="51" t="s">
        <v>2416</v>
      </c>
      <c r="U6535" s="0" t="str">
        <f aca="false">"12464079"</f>
        <v>12464079</v>
      </c>
      <c r="V6535" s="51" t="s">
        <v>2365</v>
      </c>
      <c r="W6535" s="51" t="s">
        <v>4784</v>
      </c>
      <c r="X6535" s="51" t="s">
        <v>2359</v>
      </c>
    </row>
    <row r="6536" customFormat="false" ht="14.25" hidden="true" customHeight="false" outlineLevel="0" collapsed="false">
      <c r="A6536" s="49" t="s">
        <v>2349</v>
      </c>
      <c r="B6536" s="49" t="s">
        <v>2350</v>
      </c>
      <c r="C6536" s="49" t="s">
        <v>11212</v>
      </c>
      <c r="D6536" s="49" t="s">
        <v>2352</v>
      </c>
      <c r="E6536" s="49" t="str">
        <f aca="false">"12464079"</f>
        <v>12464079</v>
      </c>
      <c r="F6536" s="49" t="s">
        <v>4706</v>
      </c>
      <c r="G6536" s="49" t="n">
        <v>0</v>
      </c>
      <c r="H6536" s="0" t="n">
        <v>0</v>
      </c>
      <c r="M6536" s="51" t="s">
        <v>11184</v>
      </c>
      <c r="N6536" s="49" t="n">
        <v>0</v>
      </c>
      <c r="O6536" s="53" t="n">
        <v>45922.5558333333</v>
      </c>
      <c r="P6536" s="53" t="n">
        <v>45924.7351851852</v>
      </c>
      <c r="Q6536" s="53" t="n">
        <v>45922.5558333333</v>
      </c>
      <c r="R6536" s="0" t="n">
        <v>0</v>
      </c>
      <c r="S6536" s="51" t="s">
        <v>2416</v>
      </c>
      <c r="T6536" s="51" t="s">
        <v>2416</v>
      </c>
      <c r="U6536" s="0" t="str">
        <f aca="false">"12464079"</f>
        <v>12464079</v>
      </c>
      <c r="V6536" s="51" t="s">
        <v>2365</v>
      </c>
      <c r="W6536" s="51" t="s">
        <v>5837</v>
      </c>
      <c r="X6536" s="51" t="s">
        <v>2359</v>
      </c>
    </row>
    <row r="6537" customFormat="false" ht="14.25" hidden="true" customHeight="false" outlineLevel="0" collapsed="false">
      <c r="A6537" s="49" t="s">
        <v>2349</v>
      </c>
      <c r="B6537" s="49" t="s">
        <v>2350</v>
      </c>
      <c r="C6537" s="49" t="s">
        <v>11213</v>
      </c>
      <c r="D6537" s="49" t="s">
        <v>2352</v>
      </c>
      <c r="E6537" s="49" t="str">
        <f aca="false">"12464079"</f>
        <v>12464079</v>
      </c>
      <c r="F6537" s="49" t="s">
        <v>4706</v>
      </c>
      <c r="G6537" s="49" t="n">
        <v>0</v>
      </c>
      <c r="H6537" s="0" t="n">
        <v>0</v>
      </c>
      <c r="M6537" s="51" t="s">
        <v>11184</v>
      </c>
      <c r="N6537" s="49" t="n">
        <v>0</v>
      </c>
      <c r="O6537" s="53" t="n">
        <v>45922.5553587963</v>
      </c>
      <c r="P6537" s="53" t="n">
        <v>45924.7341898148</v>
      </c>
      <c r="Q6537" s="53" t="n">
        <v>45922.5553587963</v>
      </c>
      <c r="R6537" s="0" t="n">
        <v>0</v>
      </c>
      <c r="S6537" s="51" t="s">
        <v>2416</v>
      </c>
      <c r="T6537" s="51" t="s">
        <v>2416</v>
      </c>
      <c r="U6537" s="0" t="str">
        <f aca="false">"12464079"</f>
        <v>12464079</v>
      </c>
      <c r="V6537" s="51" t="s">
        <v>2365</v>
      </c>
      <c r="W6537" s="51" t="s">
        <v>5615</v>
      </c>
      <c r="X6537" s="51" t="s">
        <v>2359</v>
      </c>
    </row>
    <row r="6538" customFormat="false" ht="14.25" hidden="true" customHeight="false" outlineLevel="0" collapsed="false">
      <c r="A6538" s="49" t="s">
        <v>2349</v>
      </c>
      <c r="B6538" s="49" t="s">
        <v>2350</v>
      </c>
      <c r="C6538" s="49" t="s">
        <v>11214</v>
      </c>
      <c r="D6538" s="49" t="s">
        <v>2352</v>
      </c>
      <c r="E6538" s="49" t="str">
        <f aca="false">"12235549"</f>
        <v>12235549</v>
      </c>
      <c r="F6538" s="49" t="s">
        <v>10338</v>
      </c>
      <c r="G6538" s="49" t="n">
        <v>0</v>
      </c>
      <c r="H6538" s="0" t="n">
        <v>0</v>
      </c>
      <c r="M6538" s="51" t="s">
        <v>11215</v>
      </c>
      <c r="N6538" s="49" t="n">
        <v>0</v>
      </c>
      <c r="O6538" s="53" t="n">
        <v>45970.4936921296</v>
      </c>
      <c r="P6538" s="53" t="n">
        <v>45972.9026273148</v>
      </c>
      <c r="Q6538" s="53" t="n">
        <v>45970.4936921296</v>
      </c>
      <c r="R6538" s="0" t="n">
        <v>0</v>
      </c>
      <c r="S6538" s="51" t="s">
        <v>2401</v>
      </c>
      <c r="T6538" s="51" t="s">
        <v>2401</v>
      </c>
      <c r="U6538" s="0" t="str">
        <f aca="false">"12235549"</f>
        <v>12235549</v>
      </c>
      <c r="V6538" s="51" t="s">
        <v>2365</v>
      </c>
      <c r="W6538" s="51" t="s">
        <v>10334</v>
      </c>
      <c r="X6538" s="51" t="s">
        <v>2359</v>
      </c>
    </row>
    <row r="6539" customFormat="false" ht="14.25" hidden="true" customHeight="false" outlineLevel="0" collapsed="false">
      <c r="A6539" s="49" t="s">
        <v>2349</v>
      </c>
      <c r="B6539" s="49" t="s">
        <v>2350</v>
      </c>
      <c r="C6539" s="49" t="s">
        <v>11216</v>
      </c>
      <c r="D6539" s="49" t="s">
        <v>2352</v>
      </c>
      <c r="E6539" s="49" t="s">
        <v>4351</v>
      </c>
      <c r="F6539" s="49" t="s">
        <v>4352</v>
      </c>
      <c r="G6539" s="49" t="n">
        <v>0</v>
      </c>
      <c r="H6539" s="0" t="n">
        <v>0</v>
      </c>
      <c r="M6539" s="51" t="s">
        <v>11217</v>
      </c>
      <c r="N6539" s="49" t="n">
        <v>0</v>
      </c>
      <c r="O6539" s="53" t="n">
        <v>45916.4822453704</v>
      </c>
      <c r="P6539" s="53" t="n">
        <v>45925.3219212963</v>
      </c>
      <c r="Q6539" s="53" t="n">
        <v>45916.4822453704</v>
      </c>
      <c r="R6539" s="0" t="n">
        <v>0</v>
      </c>
      <c r="S6539" s="51" t="s">
        <v>2356</v>
      </c>
      <c r="T6539" s="51" t="s">
        <v>2356</v>
      </c>
      <c r="U6539" s="51" t="s">
        <v>4351</v>
      </c>
      <c r="V6539" s="51" t="s">
        <v>2365</v>
      </c>
      <c r="W6539" s="51" t="s">
        <v>4010</v>
      </c>
      <c r="X6539" s="51" t="s">
        <v>2359</v>
      </c>
    </row>
    <row r="6540" customFormat="false" ht="14.25" hidden="true" customHeight="false" outlineLevel="0" collapsed="false">
      <c r="A6540" s="49" t="s">
        <v>2349</v>
      </c>
      <c r="B6540" s="49" t="s">
        <v>2350</v>
      </c>
      <c r="C6540" s="49" t="s">
        <v>11218</v>
      </c>
      <c r="D6540" s="49" t="s">
        <v>2352</v>
      </c>
      <c r="E6540" s="49" t="str">
        <f aca="false">"5942326400483"</f>
        <v>5942326400483</v>
      </c>
      <c r="F6540" s="49" t="s">
        <v>3651</v>
      </c>
      <c r="G6540" s="49" t="n">
        <v>0</v>
      </c>
      <c r="H6540" s="0" t="n">
        <v>0</v>
      </c>
      <c r="M6540" s="51" t="s">
        <v>3653</v>
      </c>
      <c r="N6540" s="49" t="n">
        <v>0</v>
      </c>
      <c r="O6540" s="53" t="n">
        <v>45924.4543634259</v>
      </c>
      <c r="P6540" s="53" t="n">
        <v>45956.8887152778</v>
      </c>
      <c r="Q6540" s="53" t="n">
        <v>45924.4543634259</v>
      </c>
      <c r="R6540" s="0" t="n">
        <v>0</v>
      </c>
      <c r="S6540" s="51" t="s">
        <v>2416</v>
      </c>
      <c r="T6540" s="51" t="s">
        <v>2416</v>
      </c>
      <c r="U6540" s="0" t="str">
        <f aca="false">"5942326400483"</f>
        <v>5942326400483</v>
      </c>
      <c r="V6540" s="51" t="s">
        <v>2365</v>
      </c>
      <c r="W6540" s="51" t="s">
        <v>10604</v>
      </c>
      <c r="X6540" s="51" t="s">
        <v>2359</v>
      </c>
    </row>
    <row r="6541" customFormat="false" ht="14.25" hidden="true" customHeight="false" outlineLevel="0" collapsed="false">
      <c r="A6541" s="49" t="s">
        <v>2349</v>
      </c>
      <c r="B6541" s="49" t="s">
        <v>2350</v>
      </c>
      <c r="C6541" s="49" t="s">
        <v>11219</v>
      </c>
      <c r="D6541" s="49" t="s">
        <v>2352</v>
      </c>
      <c r="E6541" s="49" t="str">
        <f aca="false">"5942326400483"</f>
        <v>5942326400483</v>
      </c>
      <c r="F6541" s="49" t="s">
        <v>3651</v>
      </c>
      <c r="G6541" s="49" t="n">
        <v>0</v>
      </c>
      <c r="H6541" s="0" t="n">
        <v>0</v>
      </c>
      <c r="M6541" s="51" t="s">
        <v>3653</v>
      </c>
      <c r="N6541" s="49" t="n">
        <v>0</v>
      </c>
      <c r="O6541" s="53" t="n">
        <v>45924.454849537</v>
      </c>
      <c r="P6541" s="53" t="n">
        <v>45925.7965509259</v>
      </c>
      <c r="Q6541" s="53" t="n">
        <v>45924.454849537</v>
      </c>
      <c r="R6541" s="0" t="n">
        <v>0</v>
      </c>
      <c r="S6541" s="51" t="s">
        <v>2416</v>
      </c>
      <c r="T6541" s="51" t="s">
        <v>2416</v>
      </c>
      <c r="U6541" s="0" t="str">
        <f aca="false">"5942326400483"</f>
        <v>5942326400483</v>
      </c>
      <c r="V6541" s="51" t="s">
        <v>2365</v>
      </c>
      <c r="W6541" s="51" t="s">
        <v>10752</v>
      </c>
      <c r="X6541" s="51" t="s">
        <v>2359</v>
      </c>
    </row>
    <row r="6542" customFormat="false" ht="14.25" hidden="true" customHeight="false" outlineLevel="0" collapsed="false">
      <c r="A6542" s="49" t="s">
        <v>2349</v>
      </c>
      <c r="B6542" s="49" t="s">
        <v>2350</v>
      </c>
      <c r="C6542" s="49" t="s">
        <v>11220</v>
      </c>
      <c r="D6542" s="49" t="s">
        <v>2352</v>
      </c>
      <c r="E6542" s="49" t="str">
        <f aca="false">"5942326400483"</f>
        <v>5942326400483</v>
      </c>
      <c r="F6542" s="49" t="s">
        <v>3651</v>
      </c>
      <c r="G6542" s="49" t="n">
        <v>0</v>
      </c>
      <c r="H6542" s="0" t="n">
        <v>0</v>
      </c>
      <c r="M6542" s="51" t="s">
        <v>3653</v>
      </c>
      <c r="N6542" s="49" t="n">
        <v>0</v>
      </c>
      <c r="O6542" s="53" t="n">
        <v>45924.4554513889</v>
      </c>
      <c r="P6542" s="53" t="n">
        <v>45972.9274421296</v>
      </c>
      <c r="Q6542" s="53" t="n">
        <v>45924.4554513889</v>
      </c>
      <c r="R6542" s="0" t="n">
        <v>0</v>
      </c>
      <c r="S6542" s="51" t="s">
        <v>2416</v>
      </c>
      <c r="T6542" s="51" t="s">
        <v>2416</v>
      </c>
      <c r="U6542" s="0" t="str">
        <f aca="false">"5942326400483"</f>
        <v>5942326400483</v>
      </c>
      <c r="V6542" s="51" t="s">
        <v>2365</v>
      </c>
      <c r="W6542" s="51" t="s">
        <v>11221</v>
      </c>
      <c r="X6542" s="51" t="s">
        <v>2359</v>
      </c>
    </row>
    <row r="6543" customFormat="false" ht="14.25" hidden="true" customHeight="false" outlineLevel="0" collapsed="false">
      <c r="A6543" s="49" t="s">
        <v>2349</v>
      </c>
      <c r="B6543" s="49" t="s">
        <v>2350</v>
      </c>
      <c r="C6543" s="49" t="s">
        <v>11222</v>
      </c>
      <c r="D6543" s="49" t="s">
        <v>2352</v>
      </c>
      <c r="E6543" s="49" t="str">
        <f aca="false">"5942326400483"</f>
        <v>5942326400483</v>
      </c>
      <c r="F6543" s="49" t="s">
        <v>3651</v>
      </c>
      <c r="G6543" s="49" t="n">
        <v>0</v>
      </c>
      <c r="H6543" s="0" t="n">
        <v>0</v>
      </c>
      <c r="M6543" s="51" t="s">
        <v>3653</v>
      </c>
      <c r="N6543" s="49" t="n">
        <v>0</v>
      </c>
      <c r="O6543" s="53" t="n">
        <v>45924.4558217593</v>
      </c>
      <c r="P6543" s="53" t="n">
        <v>45925.7989351852</v>
      </c>
      <c r="Q6543" s="53" t="n">
        <v>45924.4558217593</v>
      </c>
      <c r="R6543" s="0" t="n">
        <v>0</v>
      </c>
      <c r="S6543" s="51" t="s">
        <v>2416</v>
      </c>
      <c r="T6543" s="51" t="s">
        <v>2416</v>
      </c>
      <c r="U6543" s="0" t="str">
        <f aca="false">"5942326400483"</f>
        <v>5942326400483</v>
      </c>
      <c r="V6543" s="51" t="s">
        <v>2365</v>
      </c>
      <c r="W6543" s="51" t="s">
        <v>11223</v>
      </c>
      <c r="X6543" s="51" t="s">
        <v>2359</v>
      </c>
    </row>
    <row r="6544" customFormat="false" ht="14.25" hidden="true" customHeight="false" outlineLevel="0" collapsed="false">
      <c r="A6544" s="49" t="s">
        <v>2349</v>
      </c>
      <c r="B6544" s="49" t="s">
        <v>2350</v>
      </c>
      <c r="C6544" s="49" t="s">
        <v>11224</v>
      </c>
      <c r="D6544" s="49" t="s">
        <v>2352</v>
      </c>
      <c r="E6544" s="49" t="str">
        <f aca="false">"5942326400483"</f>
        <v>5942326400483</v>
      </c>
      <c r="F6544" s="49" t="s">
        <v>3651</v>
      </c>
      <c r="G6544" s="49" t="n">
        <v>0</v>
      </c>
      <c r="H6544" s="0" t="n">
        <v>0</v>
      </c>
      <c r="M6544" s="51" t="s">
        <v>3653</v>
      </c>
      <c r="N6544" s="49" t="n">
        <v>0</v>
      </c>
      <c r="O6544" s="53" t="n">
        <v>45924.4565393519</v>
      </c>
      <c r="P6544" s="53" t="n">
        <v>45925.7996759259</v>
      </c>
      <c r="Q6544" s="53" t="n">
        <v>45924.4565393519</v>
      </c>
      <c r="R6544" s="0" t="n">
        <v>0</v>
      </c>
      <c r="S6544" s="51" t="s">
        <v>2416</v>
      </c>
      <c r="T6544" s="51" t="s">
        <v>2416</v>
      </c>
      <c r="U6544" s="0" t="str">
        <f aca="false">"5942326400483"</f>
        <v>5942326400483</v>
      </c>
      <c r="V6544" s="51" t="s">
        <v>2365</v>
      </c>
      <c r="W6544" s="51" t="s">
        <v>11225</v>
      </c>
      <c r="X6544" s="51" t="s">
        <v>2359</v>
      </c>
    </row>
    <row r="6545" customFormat="false" ht="14.25" hidden="true" customHeight="false" outlineLevel="0" collapsed="false">
      <c r="A6545" s="49" t="s">
        <v>2349</v>
      </c>
      <c r="B6545" s="49" t="s">
        <v>2350</v>
      </c>
      <c r="C6545" s="49" t="s">
        <v>11226</v>
      </c>
      <c r="D6545" s="49" t="s">
        <v>2352</v>
      </c>
      <c r="E6545" s="49" t="str">
        <f aca="false">"5942326400483"</f>
        <v>5942326400483</v>
      </c>
      <c r="F6545" s="49" t="s">
        <v>3651</v>
      </c>
      <c r="G6545" s="49" t="n">
        <v>0</v>
      </c>
      <c r="H6545" s="0" t="n">
        <v>0</v>
      </c>
      <c r="M6545" s="51" t="s">
        <v>3653</v>
      </c>
      <c r="N6545" s="49" t="n">
        <v>0</v>
      </c>
      <c r="O6545" s="53" t="n">
        <v>45924.4570833333</v>
      </c>
      <c r="P6545" s="53" t="n">
        <v>45963.4884259259</v>
      </c>
      <c r="Q6545" s="53" t="n">
        <v>45924.4570833333</v>
      </c>
      <c r="R6545" s="0" t="n">
        <v>0</v>
      </c>
      <c r="S6545" s="51" t="s">
        <v>2416</v>
      </c>
      <c r="T6545" s="51" t="s">
        <v>2416</v>
      </c>
      <c r="U6545" s="0" t="str">
        <f aca="false">"5942326400483"</f>
        <v>5942326400483</v>
      </c>
      <c r="V6545" s="51" t="s">
        <v>2365</v>
      </c>
      <c r="W6545" s="51" t="s">
        <v>11227</v>
      </c>
      <c r="X6545" s="51" t="s">
        <v>2359</v>
      </c>
    </row>
    <row r="6546" customFormat="false" ht="14.25" hidden="true" customHeight="false" outlineLevel="0" collapsed="false">
      <c r="A6546" s="49" t="s">
        <v>2349</v>
      </c>
      <c r="B6546" s="49" t="s">
        <v>2350</v>
      </c>
      <c r="C6546" s="49" t="s">
        <v>11228</v>
      </c>
      <c r="D6546" s="49" t="s">
        <v>2352</v>
      </c>
      <c r="E6546" s="49" t="str">
        <f aca="false">"5942326400483"</f>
        <v>5942326400483</v>
      </c>
      <c r="F6546" s="49" t="s">
        <v>3651</v>
      </c>
      <c r="G6546" s="49" t="n">
        <v>0</v>
      </c>
      <c r="H6546" s="0" t="n">
        <v>0</v>
      </c>
      <c r="M6546" s="51" t="s">
        <v>3653</v>
      </c>
      <c r="N6546" s="49" t="n">
        <v>0</v>
      </c>
      <c r="O6546" s="53" t="n">
        <v>45924.4578009259</v>
      </c>
      <c r="P6546" s="53" t="n">
        <v>45970.9453703704</v>
      </c>
      <c r="Q6546" s="53" t="n">
        <v>45924.4578009259</v>
      </c>
      <c r="R6546" s="0" t="n">
        <v>0</v>
      </c>
      <c r="S6546" s="51" t="s">
        <v>2416</v>
      </c>
      <c r="T6546" s="51" t="s">
        <v>2416</v>
      </c>
      <c r="U6546" s="0" t="str">
        <f aca="false">"5942326400483"</f>
        <v>5942326400483</v>
      </c>
      <c r="V6546" s="51" t="s">
        <v>2365</v>
      </c>
      <c r="W6546" s="51" t="s">
        <v>11229</v>
      </c>
      <c r="X6546" s="51" t="s">
        <v>2359</v>
      </c>
    </row>
    <row r="6547" customFormat="false" ht="14.25" hidden="true" customHeight="false" outlineLevel="0" collapsed="false">
      <c r="A6547" s="49" t="s">
        <v>2349</v>
      </c>
      <c r="B6547" s="49" t="s">
        <v>2350</v>
      </c>
      <c r="C6547" s="49" t="s">
        <v>11230</v>
      </c>
      <c r="D6547" s="49" t="s">
        <v>2352</v>
      </c>
      <c r="E6547" s="49" t="str">
        <f aca="false">"5942326400223"</f>
        <v>5942326400223</v>
      </c>
      <c r="F6547" s="49" t="s">
        <v>3798</v>
      </c>
      <c r="G6547" s="49" t="n">
        <v>0</v>
      </c>
      <c r="H6547" s="0" t="n">
        <v>0</v>
      </c>
      <c r="M6547" s="51" t="s">
        <v>3653</v>
      </c>
      <c r="N6547" s="49" t="n">
        <v>0</v>
      </c>
      <c r="O6547" s="53" t="n">
        <v>45924.4583449074</v>
      </c>
      <c r="P6547" s="53" t="n">
        <v>45993.8033333333</v>
      </c>
      <c r="Q6547" s="53" t="n">
        <v>45924.4583449074</v>
      </c>
      <c r="R6547" s="0" t="n">
        <v>0</v>
      </c>
      <c r="S6547" s="51" t="s">
        <v>2416</v>
      </c>
      <c r="T6547" s="51" t="s">
        <v>2416</v>
      </c>
      <c r="U6547" s="0" t="str">
        <f aca="false">"5942326400223"</f>
        <v>5942326400223</v>
      </c>
      <c r="V6547" s="51" t="s">
        <v>2365</v>
      </c>
      <c r="W6547" s="51" t="s">
        <v>8753</v>
      </c>
      <c r="X6547" s="51" t="s">
        <v>2359</v>
      </c>
    </row>
    <row r="6548" customFormat="false" ht="14.25" hidden="true" customHeight="false" outlineLevel="0" collapsed="false">
      <c r="A6548" s="49" t="s">
        <v>2349</v>
      </c>
      <c r="B6548" s="49" t="s">
        <v>2350</v>
      </c>
      <c r="C6548" s="49" t="s">
        <v>11231</v>
      </c>
      <c r="D6548" s="49" t="s">
        <v>2352</v>
      </c>
      <c r="E6548" s="49" t="str">
        <f aca="false">"5942326400223"</f>
        <v>5942326400223</v>
      </c>
      <c r="F6548" s="49" t="s">
        <v>3798</v>
      </c>
      <c r="G6548" s="49" t="n">
        <v>0</v>
      </c>
      <c r="H6548" s="0" t="n">
        <v>0</v>
      </c>
      <c r="M6548" s="51" t="s">
        <v>3653</v>
      </c>
      <c r="N6548" s="49" t="n">
        <v>0</v>
      </c>
      <c r="O6548" s="53" t="n">
        <v>45924.4608564815</v>
      </c>
      <c r="P6548" s="53" t="n">
        <v>46000.1576851852</v>
      </c>
      <c r="Q6548" s="53" t="n">
        <v>45924.4608564815</v>
      </c>
      <c r="R6548" s="0" t="n">
        <v>0</v>
      </c>
      <c r="S6548" s="51" t="s">
        <v>2416</v>
      </c>
      <c r="T6548" s="51" t="s">
        <v>2416</v>
      </c>
      <c r="U6548" s="0" t="str">
        <f aca="false">"5942326400223"</f>
        <v>5942326400223</v>
      </c>
      <c r="V6548" s="51" t="s">
        <v>2365</v>
      </c>
      <c r="W6548" s="51" t="s">
        <v>11051</v>
      </c>
      <c r="X6548" s="51" t="s">
        <v>2359</v>
      </c>
    </row>
    <row r="6549" customFormat="false" ht="14.25" hidden="true" customHeight="false" outlineLevel="0" collapsed="false">
      <c r="A6549" s="49" t="s">
        <v>2349</v>
      </c>
      <c r="B6549" s="49" t="s">
        <v>2350</v>
      </c>
      <c r="C6549" s="49" t="s">
        <v>11232</v>
      </c>
      <c r="D6549" s="49" t="s">
        <v>2352</v>
      </c>
      <c r="E6549" s="49" t="str">
        <f aca="false">"5942326400216"</f>
        <v>5942326400216</v>
      </c>
      <c r="F6549" s="49" t="s">
        <v>3777</v>
      </c>
      <c r="G6549" s="49" t="n">
        <v>0</v>
      </c>
      <c r="H6549" s="0" t="n">
        <v>0</v>
      </c>
      <c r="M6549" s="51" t="s">
        <v>3653</v>
      </c>
      <c r="N6549" s="49" t="n">
        <v>0</v>
      </c>
      <c r="O6549" s="53" t="n">
        <v>45924.5633333333</v>
      </c>
      <c r="P6549" s="53" t="n">
        <v>45993.806875</v>
      </c>
      <c r="Q6549" s="53" t="n">
        <v>45924.5633333333</v>
      </c>
      <c r="R6549" s="0" t="n">
        <v>0</v>
      </c>
      <c r="S6549" s="51" t="s">
        <v>2401</v>
      </c>
      <c r="T6549" s="51" t="s">
        <v>2401</v>
      </c>
      <c r="U6549" s="0" t="str">
        <f aca="false">"5942326400216"</f>
        <v>5942326400216</v>
      </c>
      <c r="V6549" s="51" t="s">
        <v>2365</v>
      </c>
      <c r="W6549" s="51" t="s">
        <v>7804</v>
      </c>
      <c r="X6549" s="51" t="s">
        <v>2359</v>
      </c>
    </row>
    <row r="6550" customFormat="false" ht="14.25" hidden="true" customHeight="false" outlineLevel="0" collapsed="false">
      <c r="A6550" s="49" t="s">
        <v>2349</v>
      </c>
      <c r="B6550" s="49" t="s">
        <v>2350</v>
      </c>
      <c r="C6550" s="49" t="s">
        <v>11233</v>
      </c>
      <c r="D6550" s="49" t="s">
        <v>2352</v>
      </c>
      <c r="E6550" s="49" t="str">
        <f aca="false">"5942326400216"</f>
        <v>5942326400216</v>
      </c>
      <c r="F6550" s="49" t="s">
        <v>3777</v>
      </c>
      <c r="G6550" s="49" t="n">
        <v>0</v>
      </c>
      <c r="H6550" s="0" t="n">
        <v>0</v>
      </c>
      <c r="M6550" s="51" t="s">
        <v>3653</v>
      </c>
      <c r="N6550" s="49" t="n">
        <v>0</v>
      </c>
      <c r="O6550" s="53" t="n">
        <v>45924.5643865741</v>
      </c>
      <c r="P6550" s="53" t="n">
        <v>45930.4780208333</v>
      </c>
      <c r="Q6550" s="53" t="n">
        <v>45924.5643865741</v>
      </c>
      <c r="R6550" s="0" t="n">
        <v>0</v>
      </c>
      <c r="S6550" s="51" t="s">
        <v>2401</v>
      </c>
      <c r="T6550" s="51" t="s">
        <v>2401</v>
      </c>
      <c r="U6550" s="0" t="str">
        <f aca="false">"5942326400216"</f>
        <v>5942326400216</v>
      </c>
      <c r="V6550" s="51" t="s">
        <v>2365</v>
      </c>
      <c r="W6550" s="51" t="s">
        <v>11234</v>
      </c>
      <c r="X6550" s="51" t="s">
        <v>2359</v>
      </c>
    </row>
    <row r="6551" customFormat="false" ht="14.25" hidden="true" customHeight="false" outlineLevel="0" collapsed="false">
      <c r="A6551" s="49" t="s">
        <v>2349</v>
      </c>
      <c r="B6551" s="49" t="s">
        <v>2350</v>
      </c>
      <c r="C6551" s="49" t="s">
        <v>11235</v>
      </c>
      <c r="D6551" s="49" t="s">
        <v>2352</v>
      </c>
      <c r="E6551" s="49" t="str">
        <f aca="false">"5942326400483"</f>
        <v>5942326400483</v>
      </c>
      <c r="F6551" s="49" t="s">
        <v>3651</v>
      </c>
      <c r="G6551" s="49" t="n">
        <v>0</v>
      </c>
      <c r="H6551" s="0" t="n">
        <v>0</v>
      </c>
      <c r="M6551" s="51" t="s">
        <v>3653</v>
      </c>
      <c r="N6551" s="49" t="n">
        <v>0</v>
      </c>
      <c r="O6551" s="53" t="n">
        <v>45924.4483217593</v>
      </c>
      <c r="P6551" s="53" t="n">
        <v>45925.8009722222</v>
      </c>
      <c r="Q6551" s="53" t="n">
        <v>45924.4483217593</v>
      </c>
      <c r="R6551" s="0" t="n">
        <v>0</v>
      </c>
      <c r="S6551" s="51" t="s">
        <v>2416</v>
      </c>
      <c r="T6551" s="51" t="s">
        <v>2416</v>
      </c>
      <c r="U6551" s="0" t="str">
        <f aca="false">"5942326400483"</f>
        <v>5942326400483</v>
      </c>
      <c r="V6551" s="51" t="s">
        <v>2365</v>
      </c>
      <c r="W6551" s="51" t="s">
        <v>10082</v>
      </c>
      <c r="X6551" s="51" t="s">
        <v>2359</v>
      </c>
    </row>
    <row r="6552" customFormat="false" ht="14.25" hidden="true" customHeight="false" outlineLevel="0" collapsed="false">
      <c r="A6552" s="49" t="s">
        <v>2349</v>
      </c>
      <c r="B6552" s="49" t="s">
        <v>2350</v>
      </c>
      <c r="C6552" s="49" t="s">
        <v>11236</v>
      </c>
      <c r="D6552" s="49" t="s">
        <v>2352</v>
      </c>
      <c r="E6552" s="49" t="str">
        <f aca="false">"5942326400483"</f>
        <v>5942326400483</v>
      </c>
      <c r="F6552" s="49" t="s">
        <v>3651</v>
      </c>
      <c r="G6552" s="49" t="n">
        <v>0</v>
      </c>
      <c r="H6552" s="0" t="n">
        <v>0</v>
      </c>
      <c r="M6552" s="51" t="s">
        <v>3653</v>
      </c>
      <c r="N6552" s="49" t="n">
        <v>0</v>
      </c>
      <c r="O6552" s="53" t="n">
        <v>45924.4489814815</v>
      </c>
      <c r="P6552" s="53" t="n">
        <v>45963.4885763889</v>
      </c>
      <c r="Q6552" s="53" t="n">
        <v>45924.4489814815</v>
      </c>
      <c r="R6552" s="0" t="n">
        <v>0</v>
      </c>
      <c r="S6552" s="51" t="s">
        <v>2416</v>
      </c>
      <c r="T6552" s="51" t="s">
        <v>2416</v>
      </c>
      <c r="U6552" s="0" t="str">
        <f aca="false">"5942326400483"</f>
        <v>5942326400483</v>
      </c>
      <c r="V6552" s="51" t="s">
        <v>2365</v>
      </c>
      <c r="W6552" s="51" t="s">
        <v>11237</v>
      </c>
      <c r="X6552" s="51" t="s">
        <v>2359</v>
      </c>
    </row>
    <row r="6553" customFormat="false" ht="14.25" hidden="true" customHeight="false" outlineLevel="0" collapsed="false">
      <c r="A6553" s="49" t="s">
        <v>2349</v>
      </c>
      <c r="B6553" s="49" t="s">
        <v>2350</v>
      </c>
      <c r="C6553" s="49" t="s">
        <v>11238</v>
      </c>
      <c r="D6553" s="49" t="s">
        <v>2352</v>
      </c>
      <c r="E6553" s="49" t="str">
        <f aca="false">"5942326400483"</f>
        <v>5942326400483</v>
      </c>
      <c r="F6553" s="49" t="s">
        <v>3651</v>
      </c>
      <c r="G6553" s="49" t="n">
        <v>0</v>
      </c>
      <c r="H6553" s="0" t="n">
        <v>0</v>
      </c>
      <c r="M6553" s="51" t="s">
        <v>3653</v>
      </c>
      <c r="N6553" s="49" t="n">
        <v>0</v>
      </c>
      <c r="O6553" s="53" t="n">
        <v>45924.4501157407</v>
      </c>
      <c r="P6553" s="53" t="n">
        <v>45925.8003819444</v>
      </c>
      <c r="Q6553" s="53" t="n">
        <v>45924.4501157407</v>
      </c>
      <c r="R6553" s="0" t="n">
        <v>0</v>
      </c>
      <c r="S6553" s="51" t="s">
        <v>2416</v>
      </c>
      <c r="T6553" s="51" t="s">
        <v>2416</v>
      </c>
      <c r="U6553" s="0" t="str">
        <f aca="false">"5942326400483"</f>
        <v>5942326400483</v>
      </c>
      <c r="V6553" s="51" t="s">
        <v>2365</v>
      </c>
      <c r="W6553" s="51" t="s">
        <v>9904</v>
      </c>
      <c r="X6553" s="51" t="s">
        <v>2359</v>
      </c>
    </row>
    <row r="6554" customFormat="false" ht="14.25" hidden="true" customHeight="false" outlineLevel="0" collapsed="false">
      <c r="A6554" s="49" t="s">
        <v>2349</v>
      </c>
      <c r="B6554" s="49" t="s">
        <v>2350</v>
      </c>
      <c r="C6554" s="49" t="s">
        <v>11239</v>
      </c>
      <c r="D6554" s="49" t="s">
        <v>2352</v>
      </c>
      <c r="E6554" s="49" t="str">
        <f aca="false">"5942326400483"</f>
        <v>5942326400483</v>
      </c>
      <c r="F6554" s="49" t="s">
        <v>3651</v>
      </c>
      <c r="G6554" s="49" t="n">
        <v>0</v>
      </c>
      <c r="H6554" s="0" t="n">
        <v>0</v>
      </c>
      <c r="M6554" s="51" t="s">
        <v>3653</v>
      </c>
      <c r="N6554" s="49" t="n">
        <v>0</v>
      </c>
      <c r="O6554" s="53" t="n">
        <v>45924.450625</v>
      </c>
      <c r="P6554" s="53" t="n">
        <v>45971.9628472222</v>
      </c>
      <c r="Q6554" s="53" t="n">
        <v>45924.450625</v>
      </c>
      <c r="R6554" s="0" t="n">
        <v>0</v>
      </c>
      <c r="S6554" s="51" t="s">
        <v>2416</v>
      </c>
      <c r="T6554" s="51" t="s">
        <v>2416</v>
      </c>
      <c r="U6554" s="0" t="str">
        <f aca="false">"5942326400483"</f>
        <v>5942326400483</v>
      </c>
      <c r="V6554" s="51" t="s">
        <v>2365</v>
      </c>
      <c r="W6554" s="51" t="s">
        <v>11240</v>
      </c>
      <c r="X6554" s="51" t="s">
        <v>2359</v>
      </c>
    </row>
    <row r="6555" customFormat="false" ht="14.25" hidden="true" customHeight="false" outlineLevel="0" collapsed="false">
      <c r="A6555" s="49" t="s">
        <v>2349</v>
      </c>
      <c r="B6555" s="49" t="s">
        <v>2350</v>
      </c>
      <c r="C6555" s="49" t="s">
        <v>11241</v>
      </c>
      <c r="D6555" s="49" t="s">
        <v>2352</v>
      </c>
      <c r="E6555" s="49" t="str">
        <f aca="false">"5942326400483"</f>
        <v>5942326400483</v>
      </c>
      <c r="F6555" s="49" t="s">
        <v>3651</v>
      </c>
      <c r="G6555" s="49" t="n">
        <v>0</v>
      </c>
      <c r="H6555" s="0" t="n">
        <v>0</v>
      </c>
      <c r="M6555" s="51" t="s">
        <v>3653</v>
      </c>
      <c r="N6555" s="49" t="n">
        <v>0</v>
      </c>
      <c r="O6555" s="53" t="n">
        <v>45924.4510300926</v>
      </c>
      <c r="P6555" s="53" t="n">
        <v>45944.7676273148</v>
      </c>
      <c r="Q6555" s="53" t="n">
        <v>45924.4510300926</v>
      </c>
      <c r="R6555" s="0" t="n">
        <v>0</v>
      </c>
      <c r="S6555" s="51" t="s">
        <v>2416</v>
      </c>
      <c r="T6555" s="51" t="s">
        <v>2416</v>
      </c>
      <c r="U6555" s="0" t="str">
        <f aca="false">"5942326400483"</f>
        <v>5942326400483</v>
      </c>
      <c r="V6555" s="51" t="s">
        <v>2365</v>
      </c>
      <c r="W6555" s="51" t="s">
        <v>10739</v>
      </c>
      <c r="X6555" s="51" t="s">
        <v>2359</v>
      </c>
    </row>
    <row r="6556" customFormat="false" ht="14.25" hidden="true" customHeight="false" outlineLevel="0" collapsed="false">
      <c r="A6556" s="49" t="s">
        <v>2349</v>
      </c>
      <c r="B6556" s="49" t="s">
        <v>2350</v>
      </c>
      <c r="C6556" s="49" t="s">
        <v>11242</v>
      </c>
      <c r="D6556" s="49" t="s">
        <v>2352</v>
      </c>
      <c r="E6556" s="49" t="str">
        <f aca="false">"5942326400483"</f>
        <v>5942326400483</v>
      </c>
      <c r="F6556" s="49" t="s">
        <v>3651</v>
      </c>
      <c r="G6556" s="49" t="n">
        <v>0</v>
      </c>
      <c r="H6556" s="0" t="n">
        <v>0</v>
      </c>
      <c r="M6556" s="51" t="s">
        <v>3653</v>
      </c>
      <c r="N6556" s="49" t="n">
        <v>0</v>
      </c>
      <c r="O6556" s="53" t="n">
        <v>45924.4514699074</v>
      </c>
      <c r="P6556" s="53" t="n">
        <v>45925.7971759259</v>
      </c>
      <c r="Q6556" s="53" t="n">
        <v>45924.4514699074</v>
      </c>
      <c r="R6556" s="0" t="n">
        <v>0</v>
      </c>
      <c r="S6556" s="51" t="s">
        <v>2416</v>
      </c>
      <c r="T6556" s="51" t="s">
        <v>2416</v>
      </c>
      <c r="U6556" s="0" t="str">
        <f aca="false">"5942326400483"</f>
        <v>5942326400483</v>
      </c>
      <c r="V6556" s="51" t="s">
        <v>2365</v>
      </c>
      <c r="W6556" s="51" t="s">
        <v>11243</v>
      </c>
      <c r="X6556" s="51" t="s">
        <v>2359</v>
      </c>
    </row>
    <row r="6557" customFormat="false" ht="14.25" hidden="true" customHeight="false" outlineLevel="0" collapsed="false">
      <c r="A6557" s="49" t="s">
        <v>2349</v>
      </c>
      <c r="B6557" s="49" t="s">
        <v>2350</v>
      </c>
      <c r="C6557" s="49" t="s">
        <v>11244</v>
      </c>
      <c r="D6557" s="49" t="s">
        <v>2352</v>
      </c>
      <c r="E6557" s="49" t="str">
        <f aca="false">"5942326400483"</f>
        <v>5942326400483</v>
      </c>
      <c r="F6557" s="49" t="s">
        <v>3651</v>
      </c>
      <c r="G6557" s="49" t="n">
        <v>0</v>
      </c>
      <c r="H6557" s="0" t="n">
        <v>0</v>
      </c>
      <c r="M6557" s="51" t="s">
        <v>3653</v>
      </c>
      <c r="N6557" s="49" t="n">
        <v>0</v>
      </c>
      <c r="O6557" s="53" t="n">
        <v>45924.4519907407</v>
      </c>
      <c r="P6557" s="53" t="n">
        <v>45938.4868634259</v>
      </c>
      <c r="Q6557" s="53" t="n">
        <v>45924.4519907407</v>
      </c>
      <c r="R6557" s="0" t="n">
        <v>0</v>
      </c>
      <c r="S6557" s="51" t="s">
        <v>2416</v>
      </c>
      <c r="T6557" s="51" t="s">
        <v>2416</v>
      </c>
      <c r="U6557" s="0" t="str">
        <f aca="false">"5942326400483"</f>
        <v>5942326400483</v>
      </c>
      <c r="V6557" s="51" t="s">
        <v>2365</v>
      </c>
      <c r="W6557" s="51" t="s">
        <v>11245</v>
      </c>
      <c r="X6557" s="51" t="s">
        <v>2359</v>
      </c>
    </row>
    <row r="6558" customFormat="false" ht="14.25" hidden="true" customHeight="false" outlineLevel="0" collapsed="false">
      <c r="A6558" s="49" t="s">
        <v>2349</v>
      </c>
      <c r="B6558" s="49" t="s">
        <v>2350</v>
      </c>
      <c r="C6558" s="49" t="s">
        <v>11246</v>
      </c>
      <c r="D6558" s="49" t="s">
        <v>2352</v>
      </c>
      <c r="E6558" s="49" t="str">
        <f aca="false">"5942326400483"</f>
        <v>5942326400483</v>
      </c>
      <c r="F6558" s="49" t="s">
        <v>3651</v>
      </c>
      <c r="G6558" s="49" t="n">
        <v>0</v>
      </c>
      <c r="H6558" s="0" t="n">
        <v>0</v>
      </c>
      <c r="M6558" s="51" t="s">
        <v>3653</v>
      </c>
      <c r="N6558" s="49" t="n">
        <v>0</v>
      </c>
      <c r="O6558" s="53" t="n">
        <v>45924.4527893519</v>
      </c>
      <c r="P6558" s="53" t="n">
        <v>45925.7977199074</v>
      </c>
      <c r="Q6558" s="53" t="n">
        <v>45924.4527893519</v>
      </c>
      <c r="R6558" s="0" t="n">
        <v>0</v>
      </c>
      <c r="S6558" s="51" t="s">
        <v>2416</v>
      </c>
      <c r="T6558" s="51" t="s">
        <v>2416</v>
      </c>
      <c r="U6558" s="0" t="str">
        <f aca="false">"5942326400483"</f>
        <v>5942326400483</v>
      </c>
      <c r="V6558" s="51" t="s">
        <v>2365</v>
      </c>
      <c r="W6558" s="51" t="s">
        <v>10881</v>
      </c>
      <c r="X6558" s="51" t="s">
        <v>2359</v>
      </c>
    </row>
    <row r="6559" customFormat="false" ht="14.25" hidden="true" customHeight="false" outlineLevel="0" collapsed="false">
      <c r="A6559" s="49" t="s">
        <v>2349</v>
      </c>
      <c r="B6559" s="49" t="s">
        <v>2350</v>
      </c>
      <c r="C6559" s="49" t="s">
        <v>11247</v>
      </c>
      <c r="D6559" s="49" t="s">
        <v>2352</v>
      </c>
      <c r="E6559" s="49" t="str">
        <f aca="false">"5942326400483"</f>
        <v>5942326400483</v>
      </c>
      <c r="F6559" s="49" t="s">
        <v>3651</v>
      </c>
      <c r="G6559" s="49" t="n">
        <v>0</v>
      </c>
      <c r="H6559" s="0" t="n">
        <v>0</v>
      </c>
      <c r="M6559" s="51" t="s">
        <v>3653</v>
      </c>
      <c r="N6559" s="49" t="n">
        <v>0</v>
      </c>
      <c r="O6559" s="53" t="n">
        <v>45924.4532638889</v>
      </c>
      <c r="P6559" s="53" t="n">
        <v>45941.4287615741</v>
      </c>
      <c r="Q6559" s="53" t="n">
        <v>45924.4532638889</v>
      </c>
      <c r="R6559" s="0" t="n">
        <v>0</v>
      </c>
      <c r="S6559" s="51" t="s">
        <v>2416</v>
      </c>
      <c r="T6559" s="51" t="s">
        <v>2416</v>
      </c>
      <c r="U6559" s="0" t="str">
        <f aca="false">"5942326400483"</f>
        <v>5942326400483</v>
      </c>
      <c r="V6559" s="51" t="s">
        <v>2365</v>
      </c>
      <c r="W6559" s="51" t="s">
        <v>11248</v>
      </c>
      <c r="X6559" s="51" t="s">
        <v>2359</v>
      </c>
    </row>
    <row r="6560" customFormat="false" ht="14.25" hidden="true" customHeight="false" outlineLevel="0" collapsed="false">
      <c r="A6560" s="49" t="s">
        <v>2349</v>
      </c>
      <c r="B6560" s="49" t="s">
        <v>2350</v>
      </c>
      <c r="C6560" s="49" t="s">
        <v>11249</v>
      </c>
      <c r="D6560" s="49" t="s">
        <v>2352</v>
      </c>
      <c r="E6560" s="49" t="str">
        <f aca="false">"5942326400216"</f>
        <v>5942326400216</v>
      </c>
      <c r="F6560" s="49" t="s">
        <v>3777</v>
      </c>
      <c r="G6560" s="49" t="n">
        <v>0</v>
      </c>
      <c r="H6560" s="0" t="n">
        <v>0</v>
      </c>
      <c r="M6560" s="51" t="s">
        <v>3653</v>
      </c>
      <c r="N6560" s="49" t="n">
        <v>0</v>
      </c>
      <c r="O6560" s="53" t="n">
        <v>45945.6224189815</v>
      </c>
      <c r="P6560" s="53" t="n">
        <v>46000.1816550926</v>
      </c>
      <c r="R6560" s="0" t="n">
        <v>0</v>
      </c>
      <c r="T6560" s="51" t="s">
        <v>2383</v>
      </c>
      <c r="U6560" s="0" t="str">
        <f aca="false">"5942326400216"</f>
        <v>5942326400216</v>
      </c>
      <c r="V6560" s="51" t="s">
        <v>2365</v>
      </c>
      <c r="W6560" s="51" t="s">
        <v>3829</v>
      </c>
      <c r="X6560" s="51" t="s">
        <v>2359</v>
      </c>
    </row>
    <row r="6561" customFormat="false" ht="14.25" hidden="true" customHeight="false" outlineLevel="0" collapsed="false">
      <c r="A6561" s="49" t="s">
        <v>2349</v>
      </c>
      <c r="B6561" s="49" t="s">
        <v>2350</v>
      </c>
      <c r="C6561" s="49" t="s">
        <v>11250</v>
      </c>
      <c r="D6561" s="49" t="s">
        <v>2352</v>
      </c>
      <c r="E6561" s="49" t="str">
        <f aca="false">"5942326400483"</f>
        <v>5942326400483</v>
      </c>
      <c r="F6561" s="49" t="s">
        <v>3651</v>
      </c>
      <c r="G6561" s="49" t="n">
        <v>0</v>
      </c>
      <c r="H6561" s="0" t="n">
        <v>0</v>
      </c>
      <c r="M6561" s="51" t="s">
        <v>3653</v>
      </c>
      <c r="N6561" s="49" t="n">
        <v>0</v>
      </c>
      <c r="O6561" s="53" t="n">
        <v>46007.9952662037</v>
      </c>
      <c r="P6561" s="53" t="n">
        <v>46013.8936805556</v>
      </c>
      <c r="R6561" s="0" t="n">
        <v>0</v>
      </c>
      <c r="T6561" s="51" t="s">
        <v>2364</v>
      </c>
      <c r="U6561" s="0" t="str">
        <f aca="false">"5942326400483"</f>
        <v>5942326400483</v>
      </c>
      <c r="V6561" s="51" t="s">
        <v>2365</v>
      </c>
      <c r="W6561" s="51" t="s">
        <v>2440</v>
      </c>
      <c r="X6561" s="51" t="s">
        <v>2359</v>
      </c>
    </row>
    <row r="6562" customFormat="false" ht="14.25" hidden="true" customHeight="false" outlineLevel="0" collapsed="false">
      <c r="A6562" s="49" t="s">
        <v>2349</v>
      </c>
      <c r="B6562" s="49" t="s">
        <v>2350</v>
      </c>
      <c r="C6562" s="49" t="s">
        <v>11251</v>
      </c>
      <c r="D6562" s="49" t="s">
        <v>2352</v>
      </c>
      <c r="E6562" s="49" t="s">
        <v>10676</v>
      </c>
      <c r="F6562" s="49" t="s">
        <v>2434</v>
      </c>
      <c r="G6562" s="49" t="n">
        <v>0</v>
      </c>
      <c r="H6562" s="0" t="n">
        <v>0</v>
      </c>
      <c r="M6562" s="51" t="s">
        <v>11252</v>
      </c>
      <c r="N6562" s="49" t="n">
        <v>0</v>
      </c>
      <c r="O6562" s="53" t="n">
        <v>45965.6518055556</v>
      </c>
      <c r="P6562" s="53" t="n">
        <v>45969.9461226852</v>
      </c>
      <c r="Q6562" s="53" t="n">
        <v>45965.6518055556</v>
      </c>
      <c r="R6562" s="0" t="n">
        <v>0</v>
      </c>
      <c r="S6562" s="51" t="s">
        <v>2401</v>
      </c>
      <c r="T6562" s="51" t="s">
        <v>2401</v>
      </c>
      <c r="U6562" s="51" t="s">
        <v>10676</v>
      </c>
      <c r="V6562" s="51" t="s">
        <v>2365</v>
      </c>
      <c r="W6562" s="51" t="s">
        <v>9908</v>
      </c>
      <c r="X6562" s="51" t="s">
        <v>2359</v>
      </c>
    </row>
    <row r="6563" customFormat="false" ht="14.25" hidden="true" customHeight="false" outlineLevel="0" collapsed="false">
      <c r="A6563" s="49" t="s">
        <v>2349</v>
      </c>
      <c r="B6563" s="49" t="s">
        <v>2350</v>
      </c>
      <c r="C6563" s="49" t="s">
        <v>11253</v>
      </c>
      <c r="D6563" s="49" t="s">
        <v>2352</v>
      </c>
      <c r="E6563" s="49" t="s">
        <v>10676</v>
      </c>
      <c r="F6563" s="49" t="s">
        <v>2434</v>
      </c>
      <c r="G6563" s="49" t="n">
        <v>0</v>
      </c>
      <c r="H6563" s="0" t="n">
        <v>0</v>
      </c>
      <c r="M6563" s="51" t="s">
        <v>11252</v>
      </c>
      <c r="N6563" s="49" t="n">
        <v>0</v>
      </c>
      <c r="O6563" s="53" t="n">
        <v>45965.6513888889</v>
      </c>
      <c r="P6563" s="53" t="n">
        <v>45993.7679861111</v>
      </c>
      <c r="Q6563" s="53" t="n">
        <v>45965.6513888889</v>
      </c>
      <c r="R6563" s="0" t="n">
        <v>0</v>
      </c>
      <c r="S6563" s="51" t="s">
        <v>2401</v>
      </c>
      <c r="T6563" s="51" t="s">
        <v>2401</v>
      </c>
      <c r="U6563" s="51" t="s">
        <v>10676</v>
      </c>
      <c r="V6563" s="51" t="s">
        <v>2365</v>
      </c>
      <c r="W6563" s="51" t="s">
        <v>10886</v>
      </c>
      <c r="X6563" s="51" t="s">
        <v>2359</v>
      </c>
    </row>
    <row r="6564" customFormat="false" ht="14.25" hidden="true" customHeight="false" outlineLevel="0" collapsed="false">
      <c r="A6564" s="49" t="s">
        <v>2349</v>
      </c>
      <c r="B6564" s="49" t="s">
        <v>2350</v>
      </c>
      <c r="C6564" s="49" t="s">
        <v>11254</v>
      </c>
      <c r="D6564" s="49" t="s">
        <v>2352</v>
      </c>
      <c r="E6564" s="49" t="s">
        <v>4012</v>
      </c>
      <c r="F6564" s="49" t="s">
        <v>4013</v>
      </c>
      <c r="G6564" s="49" t="n">
        <v>0</v>
      </c>
      <c r="H6564" s="0" t="n">
        <v>0</v>
      </c>
      <c r="M6564" s="51" t="s">
        <v>11255</v>
      </c>
      <c r="N6564" s="49" t="n">
        <v>0</v>
      </c>
      <c r="O6564" s="53" t="n">
        <v>45925.7510648148</v>
      </c>
      <c r="P6564" s="53" t="n">
        <v>45925.8573726852</v>
      </c>
      <c r="Q6564" s="53" t="n">
        <v>45925.7510648148</v>
      </c>
      <c r="R6564" s="0" t="n">
        <v>0</v>
      </c>
      <c r="S6564" s="51" t="s">
        <v>2398</v>
      </c>
      <c r="T6564" s="51" t="s">
        <v>2398</v>
      </c>
      <c r="U6564" s="51" t="s">
        <v>4012</v>
      </c>
      <c r="V6564" s="51" t="s">
        <v>2365</v>
      </c>
      <c r="W6564" s="51" t="s">
        <v>6002</v>
      </c>
      <c r="X6564" s="51" t="s">
        <v>2359</v>
      </c>
    </row>
    <row r="6565" customFormat="false" ht="14.25" hidden="true" customHeight="false" outlineLevel="0" collapsed="false">
      <c r="A6565" s="49" t="s">
        <v>2349</v>
      </c>
      <c r="B6565" s="49" t="s">
        <v>2350</v>
      </c>
      <c r="C6565" s="49" t="s">
        <v>11256</v>
      </c>
      <c r="D6565" s="49" t="s">
        <v>2352</v>
      </c>
      <c r="E6565" s="49" t="s">
        <v>4012</v>
      </c>
      <c r="F6565" s="49" t="s">
        <v>4013</v>
      </c>
      <c r="G6565" s="49" t="n">
        <v>0</v>
      </c>
      <c r="H6565" s="0" t="n">
        <v>0</v>
      </c>
      <c r="M6565" s="51" t="s">
        <v>11255</v>
      </c>
      <c r="N6565" s="49" t="n">
        <v>0</v>
      </c>
      <c r="O6565" s="53" t="n">
        <v>45925.7515046296</v>
      </c>
      <c r="P6565" s="53" t="n">
        <v>45925.8574421296</v>
      </c>
      <c r="Q6565" s="53" t="n">
        <v>45925.7515046296</v>
      </c>
      <c r="R6565" s="0" t="n">
        <v>0</v>
      </c>
      <c r="S6565" s="51" t="s">
        <v>2398</v>
      </c>
      <c r="T6565" s="51" t="s">
        <v>2398</v>
      </c>
      <c r="U6565" s="51" t="s">
        <v>4012</v>
      </c>
      <c r="V6565" s="51" t="s">
        <v>2365</v>
      </c>
      <c r="W6565" s="51" t="s">
        <v>11257</v>
      </c>
      <c r="X6565" s="51" t="s">
        <v>2359</v>
      </c>
    </row>
    <row r="6566" customFormat="false" ht="14.25" hidden="true" customHeight="false" outlineLevel="0" collapsed="false">
      <c r="A6566" s="49" t="s">
        <v>2349</v>
      </c>
      <c r="B6566" s="49" t="s">
        <v>2350</v>
      </c>
      <c r="C6566" s="49" t="s">
        <v>11258</v>
      </c>
      <c r="D6566" s="49" t="s">
        <v>2352</v>
      </c>
      <c r="E6566" s="49" t="s">
        <v>4012</v>
      </c>
      <c r="F6566" s="49" t="s">
        <v>4013</v>
      </c>
      <c r="G6566" s="49" t="n">
        <v>0</v>
      </c>
      <c r="H6566" s="0" t="n">
        <v>0</v>
      </c>
      <c r="M6566" s="51" t="s">
        <v>11255</v>
      </c>
      <c r="N6566" s="49" t="n">
        <v>0</v>
      </c>
      <c r="O6566" s="53" t="n">
        <v>45925.7516898148</v>
      </c>
      <c r="P6566" s="53" t="n">
        <v>45925.8575</v>
      </c>
      <c r="Q6566" s="53" t="n">
        <v>45925.7516898148</v>
      </c>
      <c r="R6566" s="0" t="n">
        <v>0</v>
      </c>
      <c r="S6566" s="51" t="s">
        <v>2398</v>
      </c>
      <c r="T6566" s="51" t="s">
        <v>2398</v>
      </c>
      <c r="U6566" s="51" t="s">
        <v>4012</v>
      </c>
      <c r="V6566" s="51" t="s">
        <v>2365</v>
      </c>
      <c r="W6566" s="51" t="s">
        <v>6000</v>
      </c>
      <c r="X6566" s="51" t="s">
        <v>2359</v>
      </c>
    </row>
    <row r="6567" customFormat="false" ht="14.25" hidden="true" customHeight="false" outlineLevel="0" collapsed="false">
      <c r="A6567" s="49" t="s">
        <v>2349</v>
      </c>
      <c r="B6567" s="49" t="s">
        <v>2350</v>
      </c>
      <c r="C6567" s="49" t="s">
        <v>11259</v>
      </c>
      <c r="D6567" s="49" t="s">
        <v>2352</v>
      </c>
      <c r="E6567" s="49" t="s">
        <v>4012</v>
      </c>
      <c r="F6567" s="49" t="s">
        <v>4013</v>
      </c>
      <c r="G6567" s="49" t="n">
        <v>0</v>
      </c>
      <c r="H6567" s="0" t="n">
        <v>0</v>
      </c>
      <c r="M6567" s="51" t="s">
        <v>11255</v>
      </c>
      <c r="N6567" s="49" t="n">
        <v>0</v>
      </c>
      <c r="O6567" s="53" t="n">
        <v>45925.7518402778</v>
      </c>
      <c r="P6567" s="53" t="n">
        <v>45925.8575578704</v>
      </c>
      <c r="Q6567" s="53" t="n">
        <v>45925.7518402778</v>
      </c>
      <c r="R6567" s="0" t="n">
        <v>0</v>
      </c>
      <c r="S6567" s="51" t="s">
        <v>2398</v>
      </c>
      <c r="T6567" s="51" t="s">
        <v>2398</v>
      </c>
      <c r="U6567" s="51" t="s">
        <v>4012</v>
      </c>
      <c r="V6567" s="51" t="s">
        <v>2365</v>
      </c>
      <c r="W6567" s="51" t="s">
        <v>6004</v>
      </c>
      <c r="X6567" s="51" t="s">
        <v>2359</v>
      </c>
    </row>
    <row r="6568" customFormat="false" ht="14.25" hidden="true" customHeight="false" outlineLevel="0" collapsed="false">
      <c r="A6568" s="49" t="s">
        <v>2349</v>
      </c>
      <c r="B6568" s="49" t="s">
        <v>2350</v>
      </c>
      <c r="C6568" s="49" t="s">
        <v>11260</v>
      </c>
      <c r="D6568" s="49" t="s">
        <v>2352</v>
      </c>
      <c r="E6568" s="49" t="s">
        <v>4012</v>
      </c>
      <c r="F6568" s="49" t="s">
        <v>4013</v>
      </c>
      <c r="G6568" s="49" t="n">
        <v>0</v>
      </c>
      <c r="H6568" s="0" t="n">
        <v>0</v>
      </c>
      <c r="M6568" s="51" t="s">
        <v>11255</v>
      </c>
      <c r="N6568" s="49" t="n">
        <v>0</v>
      </c>
      <c r="O6568" s="53" t="n">
        <v>45925.7520138889</v>
      </c>
      <c r="P6568" s="53" t="n">
        <v>45925.8576041667</v>
      </c>
      <c r="Q6568" s="53" t="n">
        <v>45925.7520138889</v>
      </c>
      <c r="R6568" s="0" t="n">
        <v>0</v>
      </c>
      <c r="S6568" s="51" t="s">
        <v>2398</v>
      </c>
      <c r="T6568" s="51" t="s">
        <v>2398</v>
      </c>
      <c r="U6568" s="51" t="s">
        <v>4012</v>
      </c>
      <c r="V6568" s="51" t="s">
        <v>2365</v>
      </c>
      <c r="W6568" s="51" t="s">
        <v>11261</v>
      </c>
      <c r="X6568" s="51" t="s">
        <v>2359</v>
      </c>
    </row>
    <row r="6569" customFormat="false" ht="14.25" hidden="true" customHeight="false" outlineLevel="0" collapsed="false">
      <c r="A6569" s="49" t="s">
        <v>2349</v>
      </c>
      <c r="B6569" s="49" t="s">
        <v>2350</v>
      </c>
      <c r="C6569" s="49" t="s">
        <v>11262</v>
      </c>
      <c r="D6569" s="49" t="s">
        <v>2352</v>
      </c>
      <c r="E6569" s="49" t="s">
        <v>4012</v>
      </c>
      <c r="F6569" s="49" t="s">
        <v>4013</v>
      </c>
      <c r="G6569" s="49" t="n">
        <v>0</v>
      </c>
      <c r="H6569" s="0" t="n">
        <v>0</v>
      </c>
      <c r="M6569" s="51" t="s">
        <v>11255</v>
      </c>
      <c r="N6569" s="49" t="n">
        <v>0</v>
      </c>
      <c r="O6569" s="53" t="n">
        <v>45925.7522453704</v>
      </c>
      <c r="P6569" s="53" t="n">
        <v>45925.857662037</v>
      </c>
      <c r="Q6569" s="53" t="n">
        <v>45925.7522453704</v>
      </c>
      <c r="R6569" s="0" t="n">
        <v>0</v>
      </c>
      <c r="S6569" s="51" t="s">
        <v>2398</v>
      </c>
      <c r="T6569" s="51" t="s">
        <v>2398</v>
      </c>
      <c r="U6569" s="51" t="s">
        <v>4012</v>
      </c>
      <c r="V6569" s="51" t="s">
        <v>2365</v>
      </c>
      <c r="W6569" s="51" t="s">
        <v>10613</v>
      </c>
      <c r="X6569" s="51" t="s">
        <v>2359</v>
      </c>
    </row>
    <row r="6570" customFormat="false" ht="14.25" hidden="true" customHeight="false" outlineLevel="0" collapsed="false">
      <c r="A6570" s="49" t="s">
        <v>2349</v>
      </c>
      <c r="B6570" s="49" t="s">
        <v>2350</v>
      </c>
      <c r="C6570" s="49" t="s">
        <v>11263</v>
      </c>
      <c r="D6570" s="49" t="s">
        <v>2352</v>
      </c>
      <c r="E6570" s="49" t="s">
        <v>4012</v>
      </c>
      <c r="F6570" s="49" t="s">
        <v>4013</v>
      </c>
      <c r="G6570" s="49" t="n">
        <v>0</v>
      </c>
      <c r="H6570" s="0" t="n">
        <v>0</v>
      </c>
      <c r="M6570" s="51" t="s">
        <v>11255</v>
      </c>
      <c r="N6570" s="49" t="n">
        <v>0</v>
      </c>
      <c r="O6570" s="53" t="n">
        <v>45925.7527662037</v>
      </c>
      <c r="P6570" s="53" t="n">
        <v>45925.8579398148</v>
      </c>
      <c r="Q6570" s="53" t="n">
        <v>45925.7527662037</v>
      </c>
      <c r="R6570" s="0" t="n">
        <v>0</v>
      </c>
      <c r="S6570" s="51" t="s">
        <v>2398</v>
      </c>
      <c r="T6570" s="51" t="s">
        <v>2398</v>
      </c>
      <c r="U6570" s="51" t="s">
        <v>4012</v>
      </c>
      <c r="V6570" s="51" t="s">
        <v>2365</v>
      </c>
      <c r="W6570" s="51" t="s">
        <v>6008</v>
      </c>
      <c r="X6570" s="51" t="s">
        <v>2359</v>
      </c>
    </row>
    <row r="6571" customFormat="false" ht="14.25" hidden="true" customHeight="false" outlineLevel="0" collapsed="false">
      <c r="A6571" s="49" t="s">
        <v>2349</v>
      </c>
      <c r="B6571" s="49" t="s">
        <v>2350</v>
      </c>
      <c r="C6571" s="49" t="s">
        <v>11264</v>
      </c>
      <c r="D6571" s="49" t="s">
        <v>2352</v>
      </c>
      <c r="E6571" s="49" t="s">
        <v>4012</v>
      </c>
      <c r="F6571" s="49" t="s">
        <v>4013</v>
      </c>
      <c r="G6571" s="49" t="n">
        <v>0</v>
      </c>
      <c r="H6571" s="0" t="n">
        <v>0</v>
      </c>
      <c r="M6571" s="51" t="s">
        <v>11255</v>
      </c>
      <c r="N6571" s="49" t="n">
        <v>0</v>
      </c>
      <c r="O6571" s="53" t="n">
        <v>45925.7529398148</v>
      </c>
      <c r="P6571" s="53" t="n">
        <v>45925.8579976852</v>
      </c>
      <c r="Q6571" s="53" t="n">
        <v>45925.7529398148</v>
      </c>
      <c r="R6571" s="0" t="n">
        <v>0</v>
      </c>
      <c r="S6571" s="51" t="s">
        <v>2398</v>
      </c>
      <c r="T6571" s="51" t="s">
        <v>2398</v>
      </c>
      <c r="U6571" s="51" t="s">
        <v>4012</v>
      </c>
      <c r="V6571" s="51" t="s">
        <v>2365</v>
      </c>
      <c r="W6571" s="51" t="s">
        <v>11265</v>
      </c>
      <c r="X6571" s="51" t="s">
        <v>2359</v>
      </c>
    </row>
    <row r="6572" customFormat="false" ht="14.25" hidden="true" customHeight="false" outlineLevel="0" collapsed="false">
      <c r="A6572" s="49" t="s">
        <v>2349</v>
      </c>
      <c r="B6572" s="49" t="s">
        <v>2350</v>
      </c>
      <c r="C6572" s="49" t="s">
        <v>11266</v>
      </c>
      <c r="D6572" s="49" t="s">
        <v>2352</v>
      </c>
      <c r="E6572" s="49" t="s">
        <v>4012</v>
      </c>
      <c r="F6572" s="49" t="s">
        <v>4013</v>
      </c>
      <c r="G6572" s="49" t="n">
        <v>0</v>
      </c>
      <c r="H6572" s="0" t="n">
        <v>0</v>
      </c>
      <c r="M6572" s="51" t="s">
        <v>11255</v>
      </c>
      <c r="N6572" s="49" t="n">
        <v>0</v>
      </c>
      <c r="O6572" s="53" t="n">
        <v>45925.7530787037</v>
      </c>
      <c r="P6572" s="53" t="n">
        <v>45925.8580439815</v>
      </c>
      <c r="Q6572" s="53" t="n">
        <v>45925.7530787037</v>
      </c>
      <c r="R6572" s="0" t="n">
        <v>0</v>
      </c>
      <c r="S6572" s="51" t="s">
        <v>2398</v>
      </c>
      <c r="T6572" s="51" t="s">
        <v>2398</v>
      </c>
      <c r="U6572" s="51" t="s">
        <v>4012</v>
      </c>
      <c r="V6572" s="51" t="s">
        <v>2365</v>
      </c>
      <c r="W6572" s="51" t="s">
        <v>6006</v>
      </c>
      <c r="X6572" s="51" t="s">
        <v>2359</v>
      </c>
    </row>
    <row r="6573" customFormat="false" ht="14.25" hidden="true" customHeight="false" outlineLevel="0" collapsed="false">
      <c r="A6573" s="49" t="s">
        <v>2349</v>
      </c>
      <c r="B6573" s="49" t="s">
        <v>2350</v>
      </c>
      <c r="C6573" s="49" t="s">
        <v>11267</v>
      </c>
      <c r="D6573" s="49" t="s">
        <v>2352</v>
      </c>
      <c r="E6573" s="49" t="s">
        <v>4012</v>
      </c>
      <c r="F6573" s="49" t="s">
        <v>4013</v>
      </c>
      <c r="G6573" s="49" t="n">
        <v>0</v>
      </c>
      <c r="H6573" s="0" t="n">
        <v>0</v>
      </c>
      <c r="M6573" s="51" t="s">
        <v>11255</v>
      </c>
      <c r="N6573" s="49" t="n">
        <v>0</v>
      </c>
      <c r="O6573" s="53" t="n">
        <v>45925.7532175926</v>
      </c>
      <c r="P6573" s="53" t="n">
        <v>45925.8581018519</v>
      </c>
      <c r="Q6573" s="53" t="n">
        <v>45925.7532175926</v>
      </c>
      <c r="R6573" s="0" t="n">
        <v>0</v>
      </c>
      <c r="S6573" s="51" t="s">
        <v>2398</v>
      </c>
      <c r="T6573" s="51" t="s">
        <v>2398</v>
      </c>
      <c r="U6573" s="51" t="s">
        <v>4012</v>
      </c>
      <c r="V6573" s="51" t="s">
        <v>2365</v>
      </c>
      <c r="W6573" s="51" t="s">
        <v>6017</v>
      </c>
      <c r="X6573" s="51" t="s">
        <v>2359</v>
      </c>
    </row>
    <row r="6574" customFormat="false" ht="14.25" hidden="true" customHeight="false" outlineLevel="0" collapsed="false">
      <c r="A6574" s="49" t="s">
        <v>2349</v>
      </c>
      <c r="B6574" s="49" t="s">
        <v>2350</v>
      </c>
      <c r="C6574" s="49" t="s">
        <v>11268</v>
      </c>
      <c r="D6574" s="49" t="s">
        <v>2352</v>
      </c>
      <c r="E6574" s="49" t="s">
        <v>4012</v>
      </c>
      <c r="F6574" s="49" t="s">
        <v>4013</v>
      </c>
      <c r="G6574" s="49" t="n">
        <v>0</v>
      </c>
      <c r="H6574" s="0" t="n">
        <v>0</v>
      </c>
      <c r="M6574" s="51" t="s">
        <v>11255</v>
      </c>
      <c r="N6574" s="49" t="n">
        <v>0</v>
      </c>
      <c r="O6574" s="53" t="n">
        <v>45925.7533912037</v>
      </c>
      <c r="P6574" s="53" t="n">
        <v>45925.8581828704</v>
      </c>
      <c r="Q6574" s="53" t="n">
        <v>45925.7533912037</v>
      </c>
      <c r="R6574" s="0" t="n">
        <v>0</v>
      </c>
      <c r="S6574" s="51" t="s">
        <v>2398</v>
      </c>
      <c r="T6574" s="51" t="s">
        <v>2398</v>
      </c>
      <c r="U6574" s="51" t="s">
        <v>4012</v>
      </c>
      <c r="V6574" s="51" t="s">
        <v>2365</v>
      </c>
      <c r="W6574" s="51" t="s">
        <v>11269</v>
      </c>
      <c r="X6574" s="51" t="s">
        <v>2359</v>
      </c>
    </row>
    <row r="6575" customFormat="false" ht="14.25" hidden="true" customHeight="false" outlineLevel="0" collapsed="false">
      <c r="A6575" s="49" t="s">
        <v>2349</v>
      </c>
      <c r="B6575" s="49" t="s">
        <v>2350</v>
      </c>
      <c r="C6575" s="49" t="s">
        <v>11270</v>
      </c>
      <c r="D6575" s="49" t="s">
        <v>2352</v>
      </c>
      <c r="E6575" s="49" t="s">
        <v>4012</v>
      </c>
      <c r="F6575" s="49" t="s">
        <v>4013</v>
      </c>
      <c r="G6575" s="49" t="n">
        <v>0</v>
      </c>
      <c r="H6575" s="0" t="n">
        <v>0</v>
      </c>
      <c r="M6575" s="51" t="s">
        <v>11255</v>
      </c>
      <c r="N6575" s="49" t="n">
        <v>0</v>
      </c>
      <c r="O6575" s="53" t="n">
        <v>45925.7536226852</v>
      </c>
      <c r="P6575" s="53" t="n">
        <v>45935.8902893519</v>
      </c>
      <c r="Q6575" s="53" t="n">
        <v>45925.7536226852</v>
      </c>
      <c r="R6575" s="0" t="n">
        <v>0</v>
      </c>
      <c r="S6575" s="51" t="s">
        <v>2398</v>
      </c>
      <c r="T6575" s="51" t="s">
        <v>2398</v>
      </c>
      <c r="U6575" s="51" t="s">
        <v>4012</v>
      </c>
      <c r="V6575" s="51" t="s">
        <v>2365</v>
      </c>
      <c r="W6575" s="51" t="s">
        <v>7733</v>
      </c>
      <c r="X6575" s="51" t="s">
        <v>2359</v>
      </c>
    </row>
    <row r="6576" customFormat="false" ht="14.25" hidden="true" customHeight="false" outlineLevel="0" collapsed="false">
      <c r="A6576" s="49" t="s">
        <v>2349</v>
      </c>
      <c r="B6576" s="49" t="s">
        <v>2350</v>
      </c>
      <c r="C6576" s="49" t="s">
        <v>11271</v>
      </c>
      <c r="D6576" s="49" t="s">
        <v>2352</v>
      </c>
      <c r="E6576" s="49" t="s">
        <v>4012</v>
      </c>
      <c r="F6576" s="49" t="s">
        <v>4013</v>
      </c>
      <c r="G6576" s="49" t="n">
        <v>0</v>
      </c>
      <c r="H6576" s="0" t="n">
        <v>0</v>
      </c>
      <c r="M6576" s="51" t="s">
        <v>11255</v>
      </c>
      <c r="N6576" s="49" t="n">
        <v>0</v>
      </c>
      <c r="O6576" s="53" t="n">
        <v>45925.7538078704</v>
      </c>
      <c r="P6576" s="53" t="n">
        <v>45928.947025463</v>
      </c>
      <c r="Q6576" s="53" t="n">
        <v>45925.7538078704</v>
      </c>
      <c r="R6576" s="0" t="n">
        <v>0</v>
      </c>
      <c r="S6576" s="51" t="s">
        <v>2398</v>
      </c>
      <c r="T6576" s="51" t="s">
        <v>2398</v>
      </c>
      <c r="U6576" s="51" t="s">
        <v>4012</v>
      </c>
      <c r="V6576" s="51" t="s">
        <v>2365</v>
      </c>
      <c r="W6576" s="51" t="s">
        <v>5837</v>
      </c>
      <c r="X6576" s="51" t="s">
        <v>2359</v>
      </c>
    </row>
    <row r="6577" customFormat="false" ht="14.25" hidden="true" customHeight="false" outlineLevel="0" collapsed="false">
      <c r="A6577" s="49" t="s">
        <v>2349</v>
      </c>
      <c r="B6577" s="49" t="s">
        <v>2350</v>
      </c>
      <c r="C6577" s="49" t="s">
        <v>11272</v>
      </c>
      <c r="D6577" s="49" t="s">
        <v>2352</v>
      </c>
      <c r="E6577" s="49" t="s">
        <v>4012</v>
      </c>
      <c r="F6577" s="49" t="s">
        <v>4013</v>
      </c>
      <c r="G6577" s="49" t="n">
        <v>0</v>
      </c>
      <c r="H6577" s="0" t="n">
        <v>0</v>
      </c>
      <c r="M6577" s="51" t="s">
        <v>11255</v>
      </c>
      <c r="N6577" s="49" t="n">
        <v>0</v>
      </c>
      <c r="O6577" s="53" t="n">
        <v>45925.7540046296</v>
      </c>
      <c r="P6577" s="53" t="n">
        <v>45932.8188541667</v>
      </c>
      <c r="Q6577" s="53" t="n">
        <v>45925.7540046296</v>
      </c>
      <c r="R6577" s="0" t="n">
        <v>0</v>
      </c>
      <c r="S6577" s="51" t="s">
        <v>2398</v>
      </c>
      <c r="T6577" s="51" t="s">
        <v>2398</v>
      </c>
      <c r="U6577" s="51" t="s">
        <v>4012</v>
      </c>
      <c r="V6577" s="51" t="s">
        <v>2365</v>
      </c>
      <c r="W6577" s="51" t="s">
        <v>7843</v>
      </c>
      <c r="X6577" s="51" t="s">
        <v>2359</v>
      </c>
    </row>
    <row r="6578" customFormat="false" ht="14.25" hidden="true" customHeight="false" outlineLevel="0" collapsed="false">
      <c r="A6578" s="49" t="s">
        <v>2349</v>
      </c>
      <c r="B6578" s="49" t="s">
        <v>2350</v>
      </c>
      <c r="C6578" s="49" t="s">
        <v>11273</v>
      </c>
      <c r="D6578" s="49" t="s">
        <v>2352</v>
      </c>
      <c r="E6578" s="49" t="s">
        <v>4012</v>
      </c>
      <c r="F6578" s="49" t="s">
        <v>4013</v>
      </c>
      <c r="G6578" s="49" t="n">
        <v>0</v>
      </c>
      <c r="H6578" s="0" t="n">
        <v>0</v>
      </c>
      <c r="M6578" s="51" t="s">
        <v>11255</v>
      </c>
      <c r="N6578" s="49" t="n">
        <v>0</v>
      </c>
      <c r="O6578" s="53" t="n">
        <v>45925.754212963</v>
      </c>
      <c r="P6578" s="53" t="n">
        <v>45935.9008101852</v>
      </c>
      <c r="Q6578" s="53" t="n">
        <v>45925.754212963</v>
      </c>
      <c r="R6578" s="0" t="n">
        <v>0</v>
      </c>
      <c r="S6578" s="51" t="s">
        <v>2398</v>
      </c>
      <c r="T6578" s="51" t="s">
        <v>2398</v>
      </c>
      <c r="U6578" s="51" t="s">
        <v>4012</v>
      </c>
      <c r="V6578" s="51" t="s">
        <v>2365</v>
      </c>
      <c r="W6578" s="51" t="s">
        <v>11274</v>
      </c>
      <c r="X6578" s="51" t="s">
        <v>2359</v>
      </c>
    </row>
    <row r="6579" customFormat="false" ht="14.25" hidden="true" customHeight="false" outlineLevel="0" collapsed="false">
      <c r="A6579" s="49" t="s">
        <v>2349</v>
      </c>
      <c r="B6579" s="49" t="s">
        <v>2350</v>
      </c>
      <c r="C6579" s="49" t="s">
        <v>11275</v>
      </c>
      <c r="D6579" s="49" t="s">
        <v>2352</v>
      </c>
      <c r="E6579" s="49" t="s">
        <v>4012</v>
      </c>
      <c r="F6579" s="49" t="s">
        <v>4013</v>
      </c>
      <c r="G6579" s="49" t="n">
        <v>0</v>
      </c>
      <c r="H6579" s="0" t="n">
        <v>0</v>
      </c>
      <c r="M6579" s="51" t="s">
        <v>11255</v>
      </c>
      <c r="N6579" s="49" t="n">
        <v>0</v>
      </c>
      <c r="O6579" s="53" t="n">
        <v>45925.7545486111</v>
      </c>
      <c r="P6579" s="53" t="n">
        <v>45944.7561805556</v>
      </c>
      <c r="Q6579" s="53" t="n">
        <v>45925.7545486111</v>
      </c>
      <c r="R6579" s="0" t="n">
        <v>0</v>
      </c>
      <c r="S6579" s="51" t="s">
        <v>2398</v>
      </c>
      <c r="T6579" s="51" t="s">
        <v>2398</v>
      </c>
      <c r="U6579" s="51" t="s">
        <v>4012</v>
      </c>
      <c r="V6579" s="51" t="s">
        <v>2365</v>
      </c>
      <c r="W6579" s="51" t="s">
        <v>11276</v>
      </c>
      <c r="X6579" s="51" t="s">
        <v>2359</v>
      </c>
    </row>
    <row r="6580" customFormat="false" ht="14.25" hidden="true" customHeight="false" outlineLevel="0" collapsed="false">
      <c r="A6580" s="49" t="s">
        <v>2349</v>
      </c>
      <c r="B6580" s="49" t="s">
        <v>2350</v>
      </c>
      <c r="C6580" s="49" t="s">
        <v>11277</v>
      </c>
      <c r="D6580" s="49" t="s">
        <v>2352</v>
      </c>
      <c r="E6580" s="49" t="s">
        <v>4012</v>
      </c>
      <c r="F6580" s="49" t="s">
        <v>4013</v>
      </c>
      <c r="G6580" s="49" t="n">
        <v>0</v>
      </c>
      <c r="H6580" s="0" t="n">
        <v>0</v>
      </c>
      <c r="M6580" s="51" t="s">
        <v>11255</v>
      </c>
      <c r="N6580" s="49" t="n">
        <v>0</v>
      </c>
      <c r="O6580" s="53" t="n">
        <v>45925.7547337963</v>
      </c>
      <c r="P6580" s="53" t="n">
        <v>46040.784537037</v>
      </c>
      <c r="Q6580" s="53" t="n">
        <v>45925.7547337963</v>
      </c>
      <c r="R6580" s="0" t="n">
        <v>0</v>
      </c>
      <c r="S6580" s="51" t="s">
        <v>2398</v>
      </c>
      <c r="T6580" s="51" t="s">
        <v>2398</v>
      </c>
      <c r="U6580" s="51" t="s">
        <v>4012</v>
      </c>
      <c r="V6580" s="51" t="s">
        <v>2365</v>
      </c>
      <c r="W6580" s="51" t="s">
        <v>5824</v>
      </c>
      <c r="X6580" s="51" t="s">
        <v>2359</v>
      </c>
    </row>
    <row r="6581" customFormat="false" ht="14.25" hidden="true" customHeight="false" outlineLevel="0" collapsed="false">
      <c r="A6581" s="49" t="s">
        <v>2349</v>
      </c>
      <c r="B6581" s="49" t="s">
        <v>2350</v>
      </c>
      <c r="C6581" s="49" t="s">
        <v>11278</v>
      </c>
      <c r="D6581" s="49" t="s">
        <v>2352</v>
      </c>
      <c r="E6581" s="49" t="s">
        <v>4012</v>
      </c>
      <c r="F6581" s="49" t="s">
        <v>4013</v>
      </c>
      <c r="G6581" s="49" t="n">
        <v>0</v>
      </c>
      <c r="H6581" s="0" t="n">
        <v>0</v>
      </c>
      <c r="M6581" s="51" t="s">
        <v>11255</v>
      </c>
      <c r="N6581" s="49" t="n">
        <v>0</v>
      </c>
      <c r="O6581" s="53" t="n">
        <v>45925.7549421296</v>
      </c>
      <c r="P6581" s="53" t="n">
        <v>45942.8030902778</v>
      </c>
      <c r="Q6581" s="53" t="n">
        <v>45925.7549421296</v>
      </c>
      <c r="R6581" s="0" t="n">
        <v>0</v>
      </c>
      <c r="S6581" s="51" t="s">
        <v>2398</v>
      </c>
      <c r="T6581" s="51" t="s">
        <v>2398</v>
      </c>
      <c r="U6581" s="51" t="s">
        <v>4012</v>
      </c>
      <c r="V6581" s="51" t="s">
        <v>2365</v>
      </c>
      <c r="W6581" s="51" t="s">
        <v>4076</v>
      </c>
      <c r="X6581" s="51" t="s">
        <v>2359</v>
      </c>
    </row>
    <row r="6582" customFormat="false" ht="14.25" hidden="true" customHeight="false" outlineLevel="0" collapsed="false">
      <c r="A6582" s="49" t="s">
        <v>2349</v>
      </c>
      <c r="B6582" s="49" t="s">
        <v>2350</v>
      </c>
      <c r="C6582" s="49" t="s">
        <v>11279</v>
      </c>
      <c r="D6582" s="49" t="s">
        <v>2352</v>
      </c>
      <c r="E6582" s="49" t="s">
        <v>4012</v>
      </c>
      <c r="F6582" s="49" t="s">
        <v>4013</v>
      </c>
      <c r="G6582" s="49" t="n">
        <v>0</v>
      </c>
      <c r="H6582" s="0" t="n">
        <v>0</v>
      </c>
      <c r="M6582" s="51" t="s">
        <v>11255</v>
      </c>
      <c r="N6582" s="49" t="n">
        <v>0</v>
      </c>
      <c r="O6582" s="53" t="n">
        <v>45925.7551967593</v>
      </c>
      <c r="P6582" s="53" t="n">
        <v>45925.9626736111</v>
      </c>
      <c r="Q6582" s="53" t="n">
        <v>45925.7551967593</v>
      </c>
      <c r="R6582" s="0" t="n">
        <v>0</v>
      </c>
      <c r="S6582" s="51" t="s">
        <v>2398</v>
      </c>
      <c r="T6582" s="51" t="s">
        <v>2398</v>
      </c>
      <c r="U6582" s="51" t="s">
        <v>4012</v>
      </c>
      <c r="V6582" s="51" t="s">
        <v>2365</v>
      </c>
      <c r="W6582" s="51" t="s">
        <v>10609</v>
      </c>
      <c r="X6582" s="51" t="s">
        <v>2359</v>
      </c>
    </row>
    <row r="6583" customFormat="false" ht="14.25" hidden="true" customHeight="false" outlineLevel="0" collapsed="false">
      <c r="A6583" s="49" t="s">
        <v>2349</v>
      </c>
      <c r="B6583" s="49" t="s">
        <v>2350</v>
      </c>
      <c r="C6583" s="49" t="s">
        <v>11280</v>
      </c>
      <c r="D6583" s="49" t="s">
        <v>2352</v>
      </c>
      <c r="E6583" s="49" t="s">
        <v>4012</v>
      </c>
      <c r="F6583" s="49" t="s">
        <v>4013</v>
      </c>
      <c r="G6583" s="49" t="n">
        <v>0</v>
      </c>
      <c r="H6583" s="0" t="n">
        <v>0</v>
      </c>
      <c r="M6583" s="51" t="s">
        <v>11255</v>
      </c>
      <c r="N6583" s="49" t="n">
        <v>0</v>
      </c>
      <c r="O6583" s="53" t="n">
        <v>45925.7554166667</v>
      </c>
      <c r="P6583" s="53" t="n">
        <v>45925.8585763889</v>
      </c>
      <c r="Q6583" s="53" t="n">
        <v>45925.7554166667</v>
      </c>
      <c r="R6583" s="0" t="n">
        <v>0</v>
      </c>
      <c r="S6583" s="51" t="s">
        <v>2398</v>
      </c>
      <c r="T6583" s="51" t="s">
        <v>2398</v>
      </c>
      <c r="U6583" s="51" t="s">
        <v>4012</v>
      </c>
      <c r="V6583" s="51" t="s">
        <v>2365</v>
      </c>
      <c r="W6583" s="51" t="s">
        <v>10609</v>
      </c>
      <c r="X6583" s="51" t="s">
        <v>2359</v>
      </c>
    </row>
    <row r="6584" customFormat="false" ht="14.25" hidden="true" customHeight="false" outlineLevel="0" collapsed="false">
      <c r="A6584" s="49" t="s">
        <v>2349</v>
      </c>
      <c r="B6584" s="49" t="s">
        <v>2350</v>
      </c>
      <c r="C6584" s="49" t="s">
        <v>11281</v>
      </c>
      <c r="D6584" s="49" t="s">
        <v>2352</v>
      </c>
      <c r="E6584" s="49" t="s">
        <v>4012</v>
      </c>
      <c r="F6584" s="49" t="s">
        <v>4013</v>
      </c>
      <c r="G6584" s="49" t="n">
        <v>0</v>
      </c>
      <c r="H6584" s="0" t="n">
        <v>0</v>
      </c>
      <c r="M6584" s="51" t="s">
        <v>11255</v>
      </c>
      <c r="N6584" s="49" t="n">
        <v>0</v>
      </c>
      <c r="O6584" s="53" t="n">
        <v>45925.7555671296</v>
      </c>
      <c r="P6584" s="53" t="n">
        <v>45925.8584375</v>
      </c>
      <c r="Q6584" s="53" t="n">
        <v>45925.7555671296</v>
      </c>
      <c r="R6584" s="0" t="n">
        <v>0</v>
      </c>
      <c r="S6584" s="51" t="s">
        <v>2398</v>
      </c>
      <c r="T6584" s="51" t="s">
        <v>2398</v>
      </c>
      <c r="U6584" s="51" t="s">
        <v>4012</v>
      </c>
      <c r="V6584" s="51" t="s">
        <v>2365</v>
      </c>
      <c r="W6584" s="51" t="s">
        <v>11282</v>
      </c>
      <c r="X6584" s="51" t="s">
        <v>2359</v>
      </c>
    </row>
    <row r="6585" customFormat="false" ht="14.25" hidden="true" customHeight="false" outlineLevel="0" collapsed="false">
      <c r="A6585" s="49" t="s">
        <v>2349</v>
      </c>
      <c r="B6585" s="49" t="s">
        <v>2350</v>
      </c>
      <c r="C6585" s="49" t="s">
        <v>11283</v>
      </c>
      <c r="D6585" s="49" t="s">
        <v>2352</v>
      </c>
      <c r="E6585" s="49" t="s">
        <v>4012</v>
      </c>
      <c r="F6585" s="49" t="s">
        <v>4013</v>
      </c>
      <c r="G6585" s="49" t="n">
        <v>0</v>
      </c>
      <c r="H6585" s="0" t="n">
        <v>0</v>
      </c>
      <c r="M6585" s="51" t="s">
        <v>11255</v>
      </c>
      <c r="N6585" s="49" t="n">
        <v>0</v>
      </c>
      <c r="O6585" s="53" t="n">
        <v>45925.755775463</v>
      </c>
      <c r="P6585" s="53" t="n">
        <v>45925.8583912037</v>
      </c>
      <c r="Q6585" s="53" t="n">
        <v>45925.755775463</v>
      </c>
      <c r="R6585" s="0" t="n">
        <v>0</v>
      </c>
      <c r="S6585" s="51" t="s">
        <v>2398</v>
      </c>
      <c r="T6585" s="51" t="s">
        <v>2398</v>
      </c>
      <c r="U6585" s="51" t="s">
        <v>4012</v>
      </c>
      <c r="V6585" s="51" t="s">
        <v>2365</v>
      </c>
      <c r="W6585" s="51" t="s">
        <v>5791</v>
      </c>
      <c r="X6585" s="51" t="s">
        <v>2359</v>
      </c>
    </row>
    <row r="6586" customFormat="false" ht="14.25" hidden="true" customHeight="false" outlineLevel="0" collapsed="false">
      <c r="A6586" s="49" t="s">
        <v>2349</v>
      </c>
      <c r="B6586" s="49" t="s">
        <v>2350</v>
      </c>
      <c r="C6586" s="49" t="s">
        <v>11284</v>
      </c>
      <c r="D6586" s="49" t="s">
        <v>2352</v>
      </c>
      <c r="E6586" s="49" t="s">
        <v>4012</v>
      </c>
      <c r="F6586" s="49" t="s">
        <v>4013</v>
      </c>
      <c r="G6586" s="49" t="n">
        <v>0</v>
      </c>
      <c r="H6586" s="0" t="n">
        <v>0</v>
      </c>
      <c r="M6586" s="51" t="s">
        <v>11255</v>
      </c>
      <c r="N6586" s="49" t="n">
        <v>0</v>
      </c>
      <c r="O6586" s="53" t="n">
        <v>45925.7559259259</v>
      </c>
      <c r="P6586" s="53" t="n">
        <v>45925.8583449074</v>
      </c>
      <c r="Q6586" s="53" t="n">
        <v>45925.7559259259</v>
      </c>
      <c r="R6586" s="0" t="n">
        <v>0</v>
      </c>
      <c r="S6586" s="51" t="s">
        <v>2398</v>
      </c>
      <c r="T6586" s="51" t="s">
        <v>2398</v>
      </c>
      <c r="U6586" s="51" t="s">
        <v>4012</v>
      </c>
      <c r="V6586" s="51" t="s">
        <v>2365</v>
      </c>
      <c r="W6586" s="51" t="s">
        <v>6010</v>
      </c>
      <c r="X6586" s="51" t="s">
        <v>2359</v>
      </c>
    </row>
    <row r="6587" customFormat="false" ht="14.25" hidden="true" customHeight="false" outlineLevel="0" collapsed="false">
      <c r="A6587" s="49" t="s">
        <v>2349</v>
      </c>
      <c r="B6587" s="49" t="s">
        <v>2350</v>
      </c>
      <c r="C6587" s="49" t="s">
        <v>11285</v>
      </c>
      <c r="D6587" s="49" t="s">
        <v>2352</v>
      </c>
      <c r="E6587" s="49" t="s">
        <v>4012</v>
      </c>
      <c r="F6587" s="49" t="s">
        <v>4013</v>
      </c>
      <c r="G6587" s="49" t="n">
        <v>0</v>
      </c>
      <c r="H6587" s="0" t="n">
        <v>0</v>
      </c>
      <c r="M6587" s="51" t="s">
        <v>11286</v>
      </c>
      <c r="N6587" s="49" t="n">
        <v>0</v>
      </c>
      <c r="O6587" s="53" t="n">
        <v>45909.5618171296</v>
      </c>
      <c r="P6587" s="53" t="n">
        <v>45916.8868055556</v>
      </c>
      <c r="Q6587" s="53" t="n">
        <v>45909.5618171296</v>
      </c>
      <c r="R6587" s="0" t="n">
        <v>0</v>
      </c>
      <c r="S6587" s="51" t="s">
        <v>2401</v>
      </c>
      <c r="T6587" s="51" t="s">
        <v>2401</v>
      </c>
      <c r="U6587" s="51" t="s">
        <v>4012</v>
      </c>
      <c r="V6587" s="51" t="s">
        <v>2365</v>
      </c>
      <c r="W6587" s="51" t="s">
        <v>3995</v>
      </c>
      <c r="X6587" s="51" t="s">
        <v>2359</v>
      </c>
    </row>
    <row r="6588" customFormat="false" ht="14.25" hidden="true" customHeight="false" outlineLevel="0" collapsed="false">
      <c r="A6588" s="49" t="s">
        <v>2349</v>
      </c>
      <c r="B6588" s="49" t="s">
        <v>2350</v>
      </c>
      <c r="C6588" s="49" t="s">
        <v>11287</v>
      </c>
      <c r="D6588" s="49" t="s">
        <v>2352</v>
      </c>
      <c r="E6588" s="49" t="s">
        <v>3960</v>
      </c>
      <c r="F6588" s="49" t="s">
        <v>3961</v>
      </c>
      <c r="G6588" s="49" t="n">
        <v>0</v>
      </c>
      <c r="H6588" s="0" t="n">
        <v>0</v>
      </c>
      <c r="M6588" s="51" t="s">
        <v>11288</v>
      </c>
      <c r="N6588" s="49" t="n">
        <v>0</v>
      </c>
      <c r="O6588" s="53" t="n">
        <v>45902.4897106482</v>
      </c>
      <c r="P6588" s="53" t="n">
        <v>45906.5659953704</v>
      </c>
      <c r="Q6588" s="53" t="n">
        <v>45902.4897106482</v>
      </c>
      <c r="R6588" s="0" t="n">
        <v>0</v>
      </c>
      <c r="S6588" s="51" t="s">
        <v>2356</v>
      </c>
      <c r="T6588" s="51" t="s">
        <v>2356</v>
      </c>
      <c r="U6588" s="51" t="s">
        <v>3960</v>
      </c>
      <c r="V6588" s="51" t="s">
        <v>2365</v>
      </c>
      <c r="W6588" s="51" t="s">
        <v>4134</v>
      </c>
      <c r="X6588" s="51" t="s">
        <v>2359</v>
      </c>
    </row>
    <row r="6589" customFormat="false" ht="14.25" hidden="true" customHeight="false" outlineLevel="0" collapsed="false">
      <c r="A6589" s="49" t="s">
        <v>2349</v>
      </c>
      <c r="B6589" s="49" t="s">
        <v>2350</v>
      </c>
      <c r="C6589" s="49" t="s">
        <v>11289</v>
      </c>
      <c r="D6589" s="49" t="s">
        <v>2352</v>
      </c>
      <c r="E6589" s="49" t="s">
        <v>3960</v>
      </c>
      <c r="F6589" s="49" t="s">
        <v>3961</v>
      </c>
      <c r="G6589" s="49" t="n">
        <v>0</v>
      </c>
      <c r="H6589" s="0" t="n">
        <v>0</v>
      </c>
      <c r="M6589" s="51" t="s">
        <v>11288</v>
      </c>
      <c r="N6589" s="49" t="n">
        <v>0</v>
      </c>
      <c r="O6589" s="53" t="n">
        <v>45902.489537037</v>
      </c>
      <c r="P6589" s="53" t="n">
        <v>45906.6074421296</v>
      </c>
      <c r="Q6589" s="53" t="n">
        <v>45902.489537037</v>
      </c>
      <c r="R6589" s="0" t="n">
        <v>0</v>
      </c>
      <c r="S6589" s="51" t="s">
        <v>2356</v>
      </c>
      <c r="T6589" s="51" t="s">
        <v>2356</v>
      </c>
      <c r="U6589" s="51" t="s">
        <v>3960</v>
      </c>
      <c r="V6589" s="51" t="s">
        <v>2365</v>
      </c>
      <c r="W6589" s="51" t="s">
        <v>5748</v>
      </c>
      <c r="X6589" s="51" t="s">
        <v>2359</v>
      </c>
    </row>
    <row r="6590" customFormat="false" ht="14.25" hidden="true" customHeight="false" outlineLevel="0" collapsed="false">
      <c r="A6590" s="49" t="s">
        <v>2349</v>
      </c>
      <c r="B6590" s="49" t="s">
        <v>2350</v>
      </c>
      <c r="C6590" s="49" t="s">
        <v>11290</v>
      </c>
      <c r="D6590" s="49" t="s">
        <v>2352</v>
      </c>
      <c r="E6590" s="49" t="s">
        <v>3960</v>
      </c>
      <c r="F6590" s="49" t="s">
        <v>3961</v>
      </c>
      <c r="G6590" s="49" t="n">
        <v>0</v>
      </c>
      <c r="H6590" s="0" t="n">
        <v>0</v>
      </c>
      <c r="M6590" s="51" t="s">
        <v>11288</v>
      </c>
      <c r="N6590" s="49" t="n">
        <v>0</v>
      </c>
      <c r="O6590" s="53" t="n">
        <v>45902.4893055556</v>
      </c>
      <c r="P6590" s="53" t="n">
        <v>45906.6076388889</v>
      </c>
      <c r="Q6590" s="53" t="n">
        <v>45902.4893055556</v>
      </c>
      <c r="R6590" s="0" t="n">
        <v>0</v>
      </c>
      <c r="S6590" s="51" t="s">
        <v>2356</v>
      </c>
      <c r="T6590" s="51" t="s">
        <v>2356</v>
      </c>
      <c r="U6590" s="51" t="s">
        <v>3960</v>
      </c>
      <c r="V6590" s="51" t="s">
        <v>2365</v>
      </c>
      <c r="W6590" s="51" t="s">
        <v>8229</v>
      </c>
      <c r="X6590" s="51" t="s">
        <v>2359</v>
      </c>
    </row>
    <row r="6591" customFormat="false" ht="14.25" hidden="true" customHeight="false" outlineLevel="0" collapsed="false">
      <c r="A6591" s="49" t="s">
        <v>2349</v>
      </c>
      <c r="B6591" s="49" t="s">
        <v>2350</v>
      </c>
      <c r="C6591" s="49" t="s">
        <v>11291</v>
      </c>
      <c r="D6591" s="49" t="s">
        <v>2352</v>
      </c>
      <c r="E6591" s="49" t="s">
        <v>3960</v>
      </c>
      <c r="F6591" s="49" t="s">
        <v>3961</v>
      </c>
      <c r="G6591" s="49" t="n">
        <v>0</v>
      </c>
      <c r="H6591" s="0" t="n">
        <v>0</v>
      </c>
      <c r="M6591" s="51" t="s">
        <v>11288</v>
      </c>
      <c r="N6591" s="49" t="n">
        <v>0</v>
      </c>
      <c r="O6591" s="53" t="n">
        <v>45902.4891550926</v>
      </c>
      <c r="P6591" s="53" t="n">
        <v>45906.6077199074</v>
      </c>
      <c r="Q6591" s="53" t="n">
        <v>45902.4891550926</v>
      </c>
      <c r="R6591" s="0" t="n">
        <v>0</v>
      </c>
      <c r="S6591" s="51" t="s">
        <v>2356</v>
      </c>
      <c r="T6591" s="51" t="s">
        <v>2356</v>
      </c>
      <c r="U6591" s="51" t="s">
        <v>3960</v>
      </c>
      <c r="V6591" s="51" t="s">
        <v>2365</v>
      </c>
      <c r="W6591" s="51" t="s">
        <v>4130</v>
      </c>
      <c r="X6591" s="51" t="s">
        <v>2359</v>
      </c>
    </row>
    <row r="6592" customFormat="false" ht="14.25" hidden="true" customHeight="false" outlineLevel="0" collapsed="false">
      <c r="A6592" s="49" t="s">
        <v>2349</v>
      </c>
      <c r="B6592" s="49" t="s">
        <v>2350</v>
      </c>
      <c r="C6592" s="49" t="s">
        <v>11292</v>
      </c>
      <c r="D6592" s="49" t="s">
        <v>2352</v>
      </c>
      <c r="E6592" s="49" t="s">
        <v>3960</v>
      </c>
      <c r="F6592" s="49" t="s">
        <v>3961</v>
      </c>
      <c r="G6592" s="49" t="n">
        <v>0</v>
      </c>
      <c r="H6592" s="0" t="n">
        <v>0</v>
      </c>
      <c r="M6592" s="51" t="s">
        <v>11288</v>
      </c>
      <c r="N6592" s="49" t="n">
        <v>0</v>
      </c>
      <c r="O6592" s="53" t="n">
        <v>45902.4890162037</v>
      </c>
      <c r="P6592" s="53" t="n">
        <v>45906.6077893519</v>
      </c>
      <c r="Q6592" s="53" t="n">
        <v>45902.4890162037</v>
      </c>
      <c r="R6592" s="0" t="n">
        <v>0</v>
      </c>
      <c r="S6592" s="51" t="s">
        <v>2356</v>
      </c>
      <c r="T6592" s="51" t="s">
        <v>2356</v>
      </c>
      <c r="U6592" s="51" t="s">
        <v>3960</v>
      </c>
      <c r="V6592" s="51" t="s">
        <v>2365</v>
      </c>
      <c r="W6592" s="51" t="s">
        <v>5968</v>
      </c>
      <c r="X6592" s="51" t="s">
        <v>2359</v>
      </c>
    </row>
    <row r="6593" customFormat="false" ht="14.25" hidden="true" customHeight="false" outlineLevel="0" collapsed="false">
      <c r="A6593" s="49" t="s">
        <v>2349</v>
      </c>
      <c r="B6593" s="49" t="s">
        <v>2350</v>
      </c>
      <c r="C6593" s="49" t="s">
        <v>11293</v>
      </c>
      <c r="D6593" s="49" t="s">
        <v>2352</v>
      </c>
      <c r="E6593" s="49" t="s">
        <v>3960</v>
      </c>
      <c r="F6593" s="49" t="s">
        <v>3961</v>
      </c>
      <c r="G6593" s="49" t="n">
        <v>0</v>
      </c>
      <c r="H6593" s="0" t="n">
        <v>0</v>
      </c>
      <c r="M6593" s="51" t="s">
        <v>11288</v>
      </c>
      <c r="N6593" s="49" t="n">
        <v>0</v>
      </c>
      <c r="O6593" s="53" t="n">
        <v>45902.4684837963</v>
      </c>
      <c r="P6593" s="53" t="n">
        <v>45937.3954050926</v>
      </c>
      <c r="Q6593" s="53" t="n">
        <v>45902.4684837963</v>
      </c>
      <c r="R6593" s="0" t="n">
        <v>0</v>
      </c>
      <c r="S6593" s="51" t="s">
        <v>2356</v>
      </c>
      <c r="T6593" s="51" t="s">
        <v>2356</v>
      </c>
      <c r="U6593" s="51" t="s">
        <v>3960</v>
      </c>
      <c r="V6593" s="51" t="s">
        <v>2365</v>
      </c>
      <c r="W6593" s="51" t="s">
        <v>4596</v>
      </c>
      <c r="X6593" s="51" t="s">
        <v>2359</v>
      </c>
    </row>
    <row r="6594" customFormat="false" ht="14.25" hidden="true" customHeight="false" outlineLevel="0" collapsed="false">
      <c r="A6594" s="49" t="s">
        <v>2349</v>
      </c>
      <c r="B6594" s="49" t="s">
        <v>2350</v>
      </c>
      <c r="C6594" s="49" t="s">
        <v>11294</v>
      </c>
      <c r="D6594" s="49" t="s">
        <v>2352</v>
      </c>
      <c r="E6594" s="49" t="s">
        <v>3960</v>
      </c>
      <c r="F6594" s="49" t="s">
        <v>3961</v>
      </c>
      <c r="G6594" s="49" t="n">
        <v>0</v>
      </c>
      <c r="H6594" s="0" t="n">
        <v>0</v>
      </c>
      <c r="M6594" s="51" t="s">
        <v>11288</v>
      </c>
      <c r="N6594" s="49" t="n">
        <v>0</v>
      </c>
      <c r="O6594" s="53" t="n">
        <v>45902.4830208333</v>
      </c>
      <c r="P6594" s="53" t="n">
        <v>45906.6078703704</v>
      </c>
      <c r="Q6594" s="53" t="n">
        <v>45902.4830208333</v>
      </c>
      <c r="R6594" s="0" t="n">
        <v>0</v>
      </c>
      <c r="S6594" s="51" t="s">
        <v>2356</v>
      </c>
      <c r="T6594" s="51" t="s">
        <v>2356</v>
      </c>
      <c r="U6594" s="51" t="s">
        <v>3960</v>
      </c>
      <c r="V6594" s="51" t="s">
        <v>2365</v>
      </c>
      <c r="W6594" s="51" t="s">
        <v>5147</v>
      </c>
      <c r="X6594" s="51" t="s">
        <v>2359</v>
      </c>
    </row>
    <row r="6595" customFormat="false" ht="14.25" hidden="true" customHeight="false" outlineLevel="0" collapsed="false">
      <c r="A6595" s="49" t="s">
        <v>2349</v>
      </c>
      <c r="B6595" s="49" t="s">
        <v>2350</v>
      </c>
      <c r="C6595" s="49" t="s">
        <v>11295</v>
      </c>
      <c r="D6595" s="49" t="s">
        <v>2352</v>
      </c>
      <c r="E6595" s="49" t="s">
        <v>3960</v>
      </c>
      <c r="F6595" s="49" t="s">
        <v>3961</v>
      </c>
      <c r="G6595" s="49" t="n">
        <v>0</v>
      </c>
      <c r="H6595" s="0" t="n">
        <v>0</v>
      </c>
      <c r="M6595" s="51" t="s">
        <v>11288</v>
      </c>
      <c r="N6595" s="49" t="n">
        <v>0</v>
      </c>
      <c r="O6595" s="53" t="n">
        <v>45902.4834837963</v>
      </c>
      <c r="P6595" s="53" t="n">
        <v>45906.6079398148</v>
      </c>
      <c r="Q6595" s="53" t="n">
        <v>45902.4834837963</v>
      </c>
      <c r="R6595" s="0" t="n">
        <v>0</v>
      </c>
      <c r="S6595" s="51" t="s">
        <v>2356</v>
      </c>
      <c r="T6595" s="51" t="s">
        <v>2356</v>
      </c>
      <c r="U6595" s="51" t="s">
        <v>3960</v>
      </c>
      <c r="V6595" s="51" t="s">
        <v>2365</v>
      </c>
      <c r="W6595" s="51" t="s">
        <v>4614</v>
      </c>
      <c r="X6595" s="51" t="s">
        <v>2359</v>
      </c>
    </row>
    <row r="6596" customFormat="false" ht="14.25" hidden="true" customHeight="false" outlineLevel="0" collapsed="false">
      <c r="A6596" s="49" t="s">
        <v>2349</v>
      </c>
      <c r="B6596" s="49" t="s">
        <v>2350</v>
      </c>
      <c r="C6596" s="49" t="s">
        <v>11296</v>
      </c>
      <c r="D6596" s="49" t="s">
        <v>2352</v>
      </c>
      <c r="E6596" s="49" t="s">
        <v>3960</v>
      </c>
      <c r="F6596" s="49" t="s">
        <v>3961</v>
      </c>
      <c r="G6596" s="49" t="n">
        <v>0</v>
      </c>
      <c r="H6596" s="0" t="n">
        <v>0</v>
      </c>
      <c r="M6596" s="51" t="s">
        <v>11288</v>
      </c>
      <c r="N6596" s="49" t="n">
        <v>0</v>
      </c>
      <c r="O6596" s="53" t="n">
        <v>45902.4836458333</v>
      </c>
      <c r="P6596" s="53" t="n">
        <v>45906.6079976852</v>
      </c>
      <c r="Q6596" s="53" t="n">
        <v>45902.4836458333</v>
      </c>
      <c r="R6596" s="0" t="n">
        <v>0</v>
      </c>
      <c r="S6596" s="51" t="s">
        <v>2356</v>
      </c>
      <c r="T6596" s="51" t="s">
        <v>2356</v>
      </c>
      <c r="U6596" s="51" t="s">
        <v>3960</v>
      </c>
      <c r="V6596" s="51" t="s">
        <v>2365</v>
      </c>
      <c r="W6596" s="51" t="s">
        <v>6881</v>
      </c>
      <c r="X6596" s="51" t="s">
        <v>2359</v>
      </c>
    </row>
    <row r="6597" customFormat="false" ht="14.25" hidden="true" customHeight="false" outlineLevel="0" collapsed="false">
      <c r="A6597" s="49" t="s">
        <v>2349</v>
      </c>
      <c r="B6597" s="49" t="s">
        <v>2350</v>
      </c>
      <c r="C6597" s="49" t="s">
        <v>11297</v>
      </c>
      <c r="D6597" s="49" t="s">
        <v>2352</v>
      </c>
      <c r="E6597" s="49" t="s">
        <v>3960</v>
      </c>
      <c r="F6597" s="49" t="s">
        <v>3961</v>
      </c>
      <c r="G6597" s="49" t="n">
        <v>0</v>
      </c>
      <c r="H6597" s="0" t="n">
        <v>0</v>
      </c>
      <c r="M6597" s="51" t="s">
        <v>11288</v>
      </c>
      <c r="N6597" s="49" t="n">
        <v>0</v>
      </c>
      <c r="O6597" s="53" t="n">
        <v>45902.4838194444</v>
      </c>
      <c r="P6597" s="53" t="n">
        <v>45907.4715972222</v>
      </c>
      <c r="Q6597" s="53" t="n">
        <v>45902.4838194444</v>
      </c>
      <c r="R6597" s="0" t="n">
        <v>0</v>
      </c>
      <c r="S6597" s="51" t="s">
        <v>2356</v>
      </c>
      <c r="T6597" s="51" t="s">
        <v>2356</v>
      </c>
      <c r="U6597" s="51" t="s">
        <v>3960</v>
      </c>
      <c r="V6597" s="51" t="s">
        <v>2365</v>
      </c>
      <c r="W6597" s="51" t="s">
        <v>3764</v>
      </c>
      <c r="X6597" s="51" t="s">
        <v>2359</v>
      </c>
    </row>
    <row r="6598" customFormat="false" ht="14.25" hidden="true" customHeight="false" outlineLevel="0" collapsed="false">
      <c r="A6598" s="49" t="s">
        <v>2349</v>
      </c>
      <c r="B6598" s="49" t="s">
        <v>2350</v>
      </c>
      <c r="C6598" s="49" t="s">
        <v>11298</v>
      </c>
      <c r="D6598" s="49" t="s">
        <v>2352</v>
      </c>
      <c r="E6598" s="49" t="s">
        <v>3960</v>
      </c>
      <c r="F6598" s="49" t="s">
        <v>3961</v>
      </c>
      <c r="G6598" s="49" t="n">
        <v>0</v>
      </c>
      <c r="H6598" s="0" t="n">
        <v>0</v>
      </c>
      <c r="M6598" s="51" t="s">
        <v>11288</v>
      </c>
      <c r="N6598" s="49" t="n">
        <v>0</v>
      </c>
      <c r="O6598" s="53" t="n">
        <v>45902.4840046296</v>
      </c>
      <c r="P6598" s="53" t="n">
        <v>45907.4714930556</v>
      </c>
      <c r="Q6598" s="53" t="n">
        <v>45902.4840046296</v>
      </c>
      <c r="R6598" s="0" t="n">
        <v>0</v>
      </c>
      <c r="S6598" s="51" t="s">
        <v>2356</v>
      </c>
      <c r="T6598" s="51" t="s">
        <v>2356</v>
      </c>
      <c r="U6598" s="51" t="s">
        <v>3960</v>
      </c>
      <c r="V6598" s="51" t="s">
        <v>2365</v>
      </c>
      <c r="W6598" s="51" t="s">
        <v>4126</v>
      </c>
      <c r="X6598" s="51" t="s">
        <v>2359</v>
      </c>
    </row>
    <row r="6599" customFormat="false" ht="14.25" hidden="true" customHeight="false" outlineLevel="0" collapsed="false">
      <c r="A6599" s="49" t="s">
        <v>2349</v>
      </c>
      <c r="B6599" s="49" t="s">
        <v>2350</v>
      </c>
      <c r="C6599" s="49" t="s">
        <v>11299</v>
      </c>
      <c r="D6599" s="49" t="s">
        <v>2352</v>
      </c>
      <c r="E6599" s="49" t="s">
        <v>3960</v>
      </c>
      <c r="F6599" s="49" t="s">
        <v>3961</v>
      </c>
      <c r="G6599" s="49" t="n">
        <v>0</v>
      </c>
      <c r="H6599" s="0" t="n">
        <v>0</v>
      </c>
      <c r="M6599" s="51" t="s">
        <v>11288</v>
      </c>
      <c r="N6599" s="49" t="n">
        <v>0</v>
      </c>
      <c r="O6599" s="53" t="n">
        <v>45902.4848032407</v>
      </c>
      <c r="P6599" s="53" t="n">
        <v>45907.4720949074</v>
      </c>
      <c r="Q6599" s="53" t="n">
        <v>45902.4848032407</v>
      </c>
      <c r="R6599" s="0" t="n">
        <v>0</v>
      </c>
      <c r="S6599" s="51" t="s">
        <v>2356</v>
      </c>
      <c r="T6599" s="51" t="s">
        <v>2356</v>
      </c>
      <c r="U6599" s="51" t="s">
        <v>3960</v>
      </c>
      <c r="V6599" s="51" t="s">
        <v>2365</v>
      </c>
      <c r="W6599" s="51" t="s">
        <v>4592</v>
      </c>
      <c r="X6599" s="51" t="s">
        <v>2359</v>
      </c>
    </row>
    <row r="6600" customFormat="false" ht="14.25" hidden="true" customHeight="false" outlineLevel="0" collapsed="false">
      <c r="A6600" s="49" t="s">
        <v>2349</v>
      </c>
      <c r="B6600" s="49" t="s">
        <v>2350</v>
      </c>
      <c r="C6600" s="49" t="s">
        <v>11300</v>
      </c>
      <c r="D6600" s="49" t="s">
        <v>2352</v>
      </c>
      <c r="E6600" s="49" t="s">
        <v>3960</v>
      </c>
      <c r="F6600" s="49" t="s">
        <v>3961</v>
      </c>
      <c r="G6600" s="49" t="n">
        <v>0</v>
      </c>
      <c r="H6600" s="0" t="n">
        <v>0</v>
      </c>
      <c r="M6600" s="51" t="s">
        <v>11288</v>
      </c>
      <c r="N6600" s="49" t="n">
        <v>0</v>
      </c>
      <c r="O6600" s="53" t="n">
        <v>45902.4849884259</v>
      </c>
      <c r="P6600" s="53" t="n">
        <v>46046.5599421296</v>
      </c>
      <c r="Q6600" s="53" t="n">
        <v>45902.4849884259</v>
      </c>
      <c r="R6600" s="0" t="n">
        <v>0</v>
      </c>
      <c r="S6600" s="51" t="s">
        <v>2356</v>
      </c>
      <c r="T6600" s="51" t="s">
        <v>2356</v>
      </c>
      <c r="U6600" s="51" t="s">
        <v>3960</v>
      </c>
      <c r="V6600" s="51" t="s">
        <v>2365</v>
      </c>
      <c r="W6600" s="51" t="s">
        <v>8293</v>
      </c>
      <c r="X6600" s="51" t="s">
        <v>2359</v>
      </c>
    </row>
    <row r="6601" customFormat="false" ht="14.25" hidden="true" customHeight="false" outlineLevel="0" collapsed="false">
      <c r="A6601" s="49" t="s">
        <v>2349</v>
      </c>
      <c r="B6601" s="49" t="s">
        <v>2350</v>
      </c>
      <c r="C6601" s="49" t="s">
        <v>11301</v>
      </c>
      <c r="D6601" s="49" t="s">
        <v>2352</v>
      </c>
      <c r="E6601" s="49" t="s">
        <v>3960</v>
      </c>
      <c r="F6601" s="49" t="s">
        <v>3961</v>
      </c>
      <c r="G6601" s="49" t="n">
        <v>0</v>
      </c>
      <c r="H6601" s="0" t="n">
        <v>0</v>
      </c>
      <c r="M6601" s="51" t="s">
        <v>11288</v>
      </c>
      <c r="N6601" s="49" t="n">
        <v>0</v>
      </c>
      <c r="O6601" s="53" t="n">
        <v>45902.485150463</v>
      </c>
      <c r="P6601" s="53" t="n">
        <v>46046.5577662037</v>
      </c>
      <c r="Q6601" s="53" t="n">
        <v>45902.485150463</v>
      </c>
      <c r="R6601" s="0" t="n">
        <v>0</v>
      </c>
      <c r="S6601" s="51" t="s">
        <v>2356</v>
      </c>
      <c r="T6601" s="51" t="s">
        <v>2356</v>
      </c>
      <c r="U6601" s="51" t="s">
        <v>3960</v>
      </c>
      <c r="V6601" s="51" t="s">
        <v>2365</v>
      </c>
      <c r="W6601" s="51" t="s">
        <v>7688</v>
      </c>
      <c r="X6601" s="51" t="s">
        <v>2359</v>
      </c>
    </row>
    <row r="6602" customFormat="false" ht="14.25" hidden="true" customHeight="false" outlineLevel="0" collapsed="false">
      <c r="A6602" s="49" t="s">
        <v>2349</v>
      </c>
      <c r="B6602" s="49" t="s">
        <v>2350</v>
      </c>
      <c r="C6602" s="49" t="s">
        <v>11302</v>
      </c>
      <c r="D6602" s="49" t="s">
        <v>2352</v>
      </c>
      <c r="E6602" s="49" t="s">
        <v>3960</v>
      </c>
      <c r="F6602" s="49" t="s">
        <v>3961</v>
      </c>
      <c r="G6602" s="49" t="n">
        <v>0</v>
      </c>
      <c r="H6602" s="0" t="n">
        <v>0</v>
      </c>
      <c r="M6602" s="51" t="s">
        <v>11288</v>
      </c>
      <c r="N6602" s="49" t="n">
        <v>0</v>
      </c>
      <c r="O6602" s="53" t="n">
        <v>45902.4852893519</v>
      </c>
      <c r="P6602" s="53" t="n">
        <v>46006.8403356482</v>
      </c>
      <c r="Q6602" s="53" t="n">
        <v>45902.4852893519</v>
      </c>
      <c r="R6602" s="0" t="n">
        <v>0</v>
      </c>
      <c r="S6602" s="51" t="s">
        <v>2356</v>
      </c>
      <c r="T6602" s="51" t="s">
        <v>2356</v>
      </c>
      <c r="U6602" s="51" t="s">
        <v>3960</v>
      </c>
      <c r="V6602" s="51" t="s">
        <v>2365</v>
      </c>
      <c r="W6602" s="51" t="s">
        <v>7401</v>
      </c>
      <c r="X6602" s="51" t="s">
        <v>2359</v>
      </c>
    </row>
    <row r="6603" customFormat="false" ht="14.25" hidden="true" customHeight="false" outlineLevel="0" collapsed="false">
      <c r="A6603" s="49" t="s">
        <v>2349</v>
      </c>
      <c r="B6603" s="49" t="s">
        <v>2350</v>
      </c>
      <c r="C6603" s="49" t="s">
        <v>11303</v>
      </c>
      <c r="D6603" s="49" t="s">
        <v>2352</v>
      </c>
      <c r="E6603" s="49" t="s">
        <v>3960</v>
      </c>
      <c r="F6603" s="49" t="s">
        <v>3961</v>
      </c>
      <c r="G6603" s="49" t="n">
        <v>0</v>
      </c>
      <c r="H6603" s="0" t="n">
        <v>0</v>
      </c>
      <c r="M6603" s="51" t="s">
        <v>11288</v>
      </c>
      <c r="N6603" s="49" t="n">
        <v>0</v>
      </c>
      <c r="O6603" s="53" t="n">
        <v>45902.4855902778</v>
      </c>
      <c r="P6603" s="53" t="n">
        <v>46046.5602199074</v>
      </c>
      <c r="Q6603" s="53" t="n">
        <v>45902.4855902778</v>
      </c>
      <c r="R6603" s="0" t="n">
        <v>0</v>
      </c>
      <c r="S6603" s="51" t="s">
        <v>2356</v>
      </c>
      <c r="T6603" s="51" t="s">
        <v>2356</v>
      </c>
      <c r="U6603" s="51" t="s">
        <v>3960</v>
      </c>
      <c r="V6603" s="51" t="s">
        <v>2365</v>
      </c>
      <c r="W6603" s="51" t="s">
        <v>9718</v>
      </c>
      <c r="X6603" s="51" t="s">
        <v>2359</v>
      </c>
    </row>
    <row r="6604" customFormat="false" ht="14.25" hidden="true" customHeight="false" outlineLevel="0" collapsed="false">
      <c r="A6604" s="49" t="s">
        <v>2349</v>
      </c>
      <c r="B6604" s="49" t="s">
        <v>2350</v>
      </c>
      <c r="C6604" s="49" t="s">
        <v>11304</v>
      </c>
      <c r="D6604" s="49" t="s">
        <v>2352</v>
      </c>
      <c r="E6604" s="49" t="s">
        <v>3960</v>
      </c>
      <c r="F6604" s="49" t="s">
        <v>3961</v>
      </c>
      <c r="G6604" s="49" t="n">
        <v>0</v>
      </c>
      <c r="H6604" s="0" t="n">
        <v>0</v>
      </c>
      <c r="M6604" s="51" t="s">
        <v>11288</v>
      </c>
      <c r="N6604" s="49" t="n">
        <v>0</v>
      </c>
      <c r="O6604" s="53" t="n">
        <v>45902.485787037</v>
      </c>
      <c r="P6604" s="53" t="n">
        <v>45973.6009143519</v>
      </c>
      <c r="Q6604" s="53" t="n">
        <v>45902.485787037</v>
      </c>
      <c r="R6604" s="0" t="n">
        <v>0</v>
      </c>
      <c r="S6604" s="51" t="s">
        <v>2356</v>
      </c>
      <c r="T6604" s="51" t="s">
        <v>2356</v>
      </c>
      <c r="U6604" s="51" t="s">
        <v>3960</v>
      </c>
      <c r="V6604" s="51" t="s">
        <v>2365</v>
      </c>
      <c r="W6604" s="51" t="s">
        <v>8293</v>
      </c>
      <c r="X6604" s="51" t="s">
        <v>2359</v>
      </c>
    </row>
    <row r="6605" customFormat="false" ht="14.25" hidden="true" customHeight="false" outlineLevel="0" collapsed="false">
      <c r="A6605" s="49" t="s">
        <v>2349</v>
      </c>
      <c r="B6605" s="49" t="s">
        <v>2350</v>
      </c>
      <c r="C6605" s="49" t="s">
        <v>11305</v>
      </c>
      <c r="D6605" s="49" t="s">
        <v>2352</v>
      </c>
      <c r="E6605" s="49" t="s">
        <v>3960</v>
      </c>
      <c r="F6605" s="49" t="s">
        <v>3961</v>
      </c>
      <c r="G6605" s="49" t="n">
        <v>0</v>
      </c>
      <c r="H6605" s="0" t="n">
        <v>0</v>
      </c>
      <c r="M6605" s="51" t="s">
        <v>11288</v>
      </c>
      <c r="N6605" s="49" t="n">
        <v>0</v>
      </c>
      <c r="O6605" s="53" t="n">
        <v>45902.4961342593</v>
      </c>
      <c r="P6605" s="53" t="n">
        <v>45965.6453009259</v>
      </c>
      <c r="Q6605" s="53" t="n">
        <v>45902.4961342593</v>
      </c>
      <c r="R6605" s="0" t="n">
        <v>0</v>
      </c>
      <c r="S6605" s="51" t="s">
        <v>2356</v>
      </c>
      <c r="T6605" s="51" t="s">
        <v>2356</v>
      </c>
      <c r="U6605" s="51" t="s">
        <v>3960</v>
      </c>
      <c r="V6605" s="51" t="s">
        <v>2365</v>
      </c>
      <c r="W6605" s="51" t="s">
        <v>3734</v>
      </c>
      <c r="X6605" s="51" t="s">
        <v>2359</v>
      </c>
    </row>
    <row r="6606" customFormat="false" ht="14.25" hidden="true" customHeight="false" outlineLevel="0" collapsed="false">
      <c r="A6606" s="49" t="s">
        <v>2349</v>
      </c>
      <c r="B6606" s="49" t="s">
        <v>2350</v>
      </c>
      <c r="C6606" s="49" t="s">
        <v>11306</v>
      </c>
      <c r="D6606" s="49" t="s">
        <v>2352</v>
      </c>
      <c r="E6606" s="49" t="s">
        <v>3960</v>
      </c>
      <c r="F6606" s="49" t="s">
        <v>3961</v>
      </c>
      <c r="G6606" s="49" t="n">
        <v>0</v>
      </c>
      <c r="H6606" s="0" t="n">
        <v>0</v>
      </c>
      <c r="M6606" s="51" t="s">
        <v>11288</v>
      </c>
      <c r="N6606" s="49" t="n">
        <v>0</v>
      </c>
      <c r="O6606" s="53" t="n">
        <v>45902.4860185185</v>
      </c>
      <c r="P6606" s="53" t="n">
        <v>45907.4723726852</v>
      </c>
      <c r="Q6606" s="53" t="n">
        <v>45902.4860185185</v>
      </c>
      <c r="R6606" s="0" t="n">
        <v>0</v>
      </c>
      <c r="S6606" s="51" t="s">
        <v>2356</v>
      </c>
      <c r="T6606" s="51" t="s">
        <v>2356</v>
      </c>
      <c r="U6606" s="51" t="s">
        <v>3960</v>
      </c>
      <c r="V6606" s="51" t="s">
        <v>2365</v>
      </c>
      <c r="W6606" s="51" t="s">
        <v>3694</v>
      </c>
      <c r="X6606" s="51" t="s">
        <v>2359</v>
      </c>
    </row>
    <row r="6607" customFormat="false" ht="14.25" hidden="true" customHeight="false" outlineLevel="0" collapsed="false">
      <c r="A6607" s="49" t="s">
        <v>2349</v>
      </c>
      <c r="B6607" s="49" t="s">
        <v>2350</v>
      </c>
      <c r="C6607" s="49" t="s">
        <v>11307</v>
      </c>
      <c r="D6607" s="49" t="s">
        <v>2352</v>
      </c>
      <c r="E6607" s="49" t="s">
        <v>3960</v>
      </c>
      <c r="F6607" s="49" t="s">
        <v>3961</v>
      </c>
      <c r="G6607" s="49" t="n">
        <v>0</v>
      </c>
      <c r="H6607" s="0" t="n">
        <v>0</v>
      </c>
      <c r="M6607" s="51" t="s">
        <v>11288</v>
      </c>
      <c r="N6607" s="49" t="n">
        <v>0</v>
      </c>
      <c r="O6607" s="53" t="n">
        <v>45902.4862152778</v>
      </c>
      <c r="P6607" s="53" t="n">
        <v>45924.4793865741</v>
      </c>
      <c r="Q6607" s="53" t="n">
        <v>45902.4862152778</v>
      </c>
      <c r="R6607" s="0" t="n">
        <v>0</v>
      </c>
      <c r="S6607" s="51" t="s">
        <v>2356</v>
      </c>
      <c r="T6607" s="51" t="s">
        <v>2356</v>
      </c>
      <c r="U6607" s="51" t="s">
        <v>3960</v>
      </c>
      <c r="V6607" s="51" t="s">
        <v>2365</v>
      </c>
      <c r="W6607" s="51" t="s">
        <v>8916</v>
      </c>
      <c r="X6607" s="51" t="s">
        <v>2359</v>
      </c>
    </row>
    <row r="6608" customFormat="false" ht="14.25" hidden="true" customHeight="false" outlineLevel="0" collapsed="false">
      <c r="A6608" s="49" t="s">
        <v>2349</v>
      </c>
      <c r="B6608" s="49" t="s">
        <v>2350</v>
      </c>
      <c r="C6608" s="49" t="s">
        <v>11308</v>
      </c>
      <c r="D6608" s="49" t="s">
        <v>2352</v>
      </c>
      <c r="E6608" s="49" t="s">
        <v>3960</v>
      </c>
      <c r="F6608" s="49" t="s">
        <v>3961</v>
      </c>
      <c r="G6608" s="49" t="n">
        <v>0</v>
      </c>
      <c r="H6608" s="0" t="n">
        <v>0</v>
      </c>
      <c r="M6608" s="51" t="s">
        <v>11288</v>
      </c>
      <c r="N6608" s="49" t="n">
        <v>0</v>
      </c>
      <c r="O6608" s="53" t="n">
        <v>45902.4863773148</v>
      </c>
      <c r="P6608" s="53" t="n">
        <v>45907.4723148148</v>
      </c>
      <c r="Q6608" s="53" t="n">
        <v>45902.4863657407</v>
      </c>
      <c r="R6608" s="0" t="n">
        <v>0</v>
      </c>
      <c r="S6608" s="51" t="s">
        <v>2356</v>
      </c>
      <c r="T6608" s="51" t="s">
        <v>2356</v>
      </c>
      <c r="U6608" s="51" t="s">
        <v>3960</v>
      </c>
      <c r="V6608" s="51" t="s">
        <v>2365</v>
      </c>
      <c r="W6608" s="51" t="s">
        <v>5392</v>
      </c>
      <c r="X6608" s="51" t="s">
        <v>2359</v>
      </c>
    </row>
    <row r="6609" customFormat="false" ht="14.25" hidden="true" customHeight="false" outlineLevel="0" collapsed="false">
      <c r="A6609" s="49" t="s">
        <v>2349</v>
      </c>
      <c r="B6609" s="49" t="s">
        <v>2350</v>
      </c>
      <c r="C6609" s="49" t="s">
        <v>11309</v>
      </c>
      <c r="D6609" s="49" t="s">
        <v>2352</v>
      </c>
      <c r="E6609" s="49" t="s">
        <v>3960</v>
      </c>
      <c r="F6609" s="49" t="s">
        <v>3961</v>
      </c>
      <c r="G6609" s="49" t="n">
        <v>0</v>
      </c>
      <c r="H6609" s="0" t="n">
        <v>0</v>
      </c>
      <c r="M6609" s="51" t="s">
        <v>11288</v>
      </c>
      <c r="N6609" s="49" t="n">
        <v>0</v>
      </c>
      <c r="O6609" s="53" t="n">
        <v>45902.4865625</v>
      </c>
      <c r="P6609" s="53" t="n">
        <v>45907.4722337963</v>
      </c>
      <c r="Q6609" s="53" t="n">
        <v>45902.4865625</v>
      </c>
      <c r="R6609" s="0" t="n">
        <v>0</v>
      </c>
      <c r="S6609" s="51" t="s">
        <v>2356</v>
      </c>
      <c r="T6609" s="51" t="s">
        <v>2356</v>
      </c>
      <c r="U6609" s="51" t="s">
        <v>3960</v>
      </c>
      <c r="V6609" s="51" t="s">
        <v>2365</v>
      </c>
      <c r="W6609" s="51" t="s">
        <v>4146</v>
      </c>
      <c r="X6609" s="51" t="s">
        <v>2359</v>
      </c>
    </row>
    <row r="6610" customFormat="false" ht="14.25" hidden="true" customHeight="false" outlineLevel="0" collapsed="false">
      <c r="A6610" s="49" t="s">
        <v>2349</v>
      </c>
      <c r="B6610" s="49" t="s">
        <v>2350</v>
      </c>
      <c r="C6610" s="49" t="s">
        <v>11310</v>
      </c>
      <c r="D6610" s="49" t="s">
        <v>2352</v>
      </c>
      <c r="E6610" s="49" t="s">
        <v>3960</v>
      </c>
      <c r="F6610" s="49" t="s">
        <v>3961</v>
      </c>
      <c r="G6610" s="49" t="n">
        <v>0</v>
      </c>
      <c r="H6610" s="0" t="n">
        <v>0</v>
      </c>
      <c r="M6610" s="51" t="s">
        <v>11288</v>
      </c>
      <c r="N6610" s="49" t="n">
        <v>0</v>
      </c>
      <c r="O6610" s="53" t="n">
        <v>45902.4868402778</v>
      </c>
      <c r="P6610" s="53" t="n">
        <v>45907.4718055556</v>
      </c>
      <c r="Q6610" s="53" t="n">
        <v>45902.4868402778</v>
      </c>
      <c r="R6610" s="0" t="n">
        <v>0</v>
      </c>
      <c r="S6610" s="51" t="s">
        <v>2356</v>
      </c>
      <c r="T6610" s="51" t="s">
        <v>2356</v>
      </c>
      <c r="U6610" s="51" t="s">
        <v>3960</v>
      </c>
      <c r="V6610" s="51" t="s">
        <v>2365</v>
      </c>
      <c r="W6610" s="51" t="s">
        <v>6817</v>
      </c>
      <c r="X6610" s="51" t="s">
        <v>2359</v>
      </c>
    </row>
    <row r="6611" customFormat="false" ht="14.25" hidden="true" customHeight="false" outlineLevel="0" collapsed="false">
      <c r="A6611" s="49" t="s">
        <v>2349</v>
      </c>
      <c r="B6611" s="49" t="s">
        <v>2350</v>
      </c>
      <c r="C6611" s="49" t="s">
        <v>11311</v>
      </c>
      <c r="D6611" s="49" t="s">
        <v>2352</v>
      </c>
      <c r="E6611" s="49" t="s">
        <v>3960</v>
      </c>
      <c r="F6611" s="49" t="s">
        <v>3961</v>
      </c>
      <c r="G6611" s="49" t="n">
        <v>0</v>
      </c>
      <c r="H6611" s="0" t="n">
        <v>0</v>
      </c>
      <c r="M6611" s="51" t="s">
        <v>11288</v>
      </c>
      <c r="N6611" s="49" t="n">
        <v>0</v>
      </c>
      <c r="O6611" s="53" t="n">
        <v>45902.4870486111</v>
      </c>
      <c r="P6611" s="53" t="n">
        <v>45907.4716782407</v>
      </c>
      <c r="Q6611" s="53" t="n">
        <v>45902.4870486111</v>
      </c>
      <c r="R6611" s="0" t="n">
        <v>0</v>
      </c>
      <c r="S6611" s="51" t="s">
        <v>2356</v>
      </c>
      <c r="T6611" s="51" t="s">
        <v>2356</v>
      </c>
      <c r="U6611" s="51" t="s">
        <v>3960</v>
      </c>
      <c r="V6611" s="51" t="s">
        <v>2365</v>
      </c>
      <c r="W6611" s="51" t="s">
        <v>7401</v>
      </c>
      <c r="X6611" s="51" t="s">
        <v>2359</v>
      </c>
    </row>
    <row r="6612" customFormat="false" ht="14.25" hidden="true" customHeight="false" outlineLevel="0" collapsed="false">
      <c r="A6612" s="49" t="s">
        <v>2349</v>
      </c>
      <c r="B6612" s="49" t="s">
        <v>2350</v>
      </c>
      <c r="C6612" s="49" t="s">
        <v>11312</v>
      </c>
      <c r="D6612" s="49" t="s">
        <v>2352</v>
      </c>
      <c r="E6612" s="49" t="s">
        <v>3960</v>
      </c>
      <c r="F6612" s="49" t="s">
        <v>3961</v>
      </c>
      <c r="G6612" s="49" t="n">
        <v>0</v>
      </c>
      <c r="H6612" s="0" t="n">
        <v>0</v>
      </c>
      <c r="M6612" s="51" t="s">
        <v>11288</v>
      </c>
      <c r="N6612" s="49" t="n">
        <v>0</v>
      </c>
      <c r="O6612" s="53" t="n">
        <v>45902.4872337963</v>
      </c>
      <c r="P6612" s="53" t="n">
        <v>45907.4709027778</v>
      </c>
      <c r="Q6612" s="53" t="n">
        <v>45902.4872337963</v>
      </c>
      <c r="R6612" s="0" t="n">
        <v>0</v>
      </c>
      <c r="S6612" s="51" t="s">
        <v>2356</v>
      </c>
      <c r="T6612" s="51" t="s">
        <v>2356</v>
      </c>
      <c r="U6612" s="51" t="s">
        <v>3960</v>
      </c>
      <c r="V6612" s="51" t="s">
        <v>2365</v>
      </c>
      <c r="W6612" s="51" t="s">
        <v>4169</v>
      </c>
      <c r="X6612" s="51" t="s">
        <v>2359</v>
      </c>
    </row>
    <row r="6613" customFormat="false" ht="14.25" hidden="true" customHeight="false" outlineLevel="0" collapsed="false">
      <c r="A6613" s="49" t="s">
        <v>2349</v>
      </c>
      <c r="B6613" s="49" t="s">
        <v>2350</v>
      </c>
      <c r="C6613" s="49" t="s">
        <v>11313</v>
      </c>
      <c r="D6613" s="49" t="s">
        <v>2352</v>
      </c>
      <c r="E6613" s="49" t="s">
        <v>3960</v>
      </c>
      <c r="F6613" s="49" t="s">
        <v>3961</v>
      </c>
      <c r="G6613" s="49" t="n">
        <v>0</v>
      </c>
      <c r="H6613" s="0" t="n">
        <v>0</v>
      </c>
      <c r="M6613" s="51" t="s">
        <v>11288</v>
      </c>
      <c r="N6613" s="49" t="n">
        <v>0</v>
      </c>
      <c r="O6613" s="53" t="n">
        <v>45902.4874189815</v>
      </c>
      <c r="P6613" s="53" t="n">
        <v>45907.4706712963</v>
      </c>
      <c r="Q6613" s="53" t="n">
        <v>45902.4874189815</v>
      </c>
      <c r="R6613" s="0" t="n">
        <v>0</v>
      </c>
      <c r="S6613" s="51" t="s">
        <v>2356</v>
      </c>
      <c r="T6613" s="51" t="s">
        <v>2356</v>
      </c>
      <c r="U6613" s="51" t="s">
        <v>3960</v>
      </c>
      <c r="V6613" s="51" t="s">
        <v>2365</v>
      </c>
      <c r="W6613" s="51" t="s">
        <v>3670</v>
      </c>
      <c r="X6613" s="51" t="s">
        <v>2359</v>
      </c>
    </row>
    <row r="6614" customFormat="false" ht="14.25" hidden="true" customHeight="false" outlineLevel="0" collapsed="false">
      <c r="A6614" s="49" t="s">
        <v>2349</v>
      </c>
      <c r="B6614" s="49" t="s">
        <v>2350</v>
      </c>
      <c r="C6614" s="49" t="s">
        <v>11314</v>
      </c>
      <c r="D6614" s="49" t="s">
        <v>2352</v>
      </c>
      <c r="E6614" s="49" t="s">
        <v>3960</v>
      </c>
      <c r="F6614" s="49" t="s">
        <v>3961</v>
      </c>
      <c r="G6614" s="49" t="n">
        <v>0</v>
      </c>
      <c r="H6614" s="0" t="n">
        <v>0</v>
      </c>
      <c r="M6614" s="51" t="s">
        <v>11288</v>
      </c>
      <c r="N6614" s="49" t="n">
        <v>0</v>
      </c>
      <c r="O6614" s="53" t="n">
        <v>45902.4875694444</v>
      </c>
      <c r="P6614" s="53" t="n">
        <v>45907.4707638889</v>
      </c>
      <c r="Q6614" s="53" t="n">
        <v>45902.4875694444</v>
      </c>
      <c r="R6614" s="0" t="n">
        <v>0</v>
      </c>
      <c r="S6614" s="51" t="s">
        <v>2356</v>
      </c>
      <c r="T6614" s="51" t="s">
        <v>2356</v>
      </c>
      <c r="U6614" s="51" t="s">
        <v>3960</v>
      </c>
      <c r="V6614" s="51" t="s">
        <v>2365</v>
      </c>
      <c r="W6614" s="51" t="s">
        <v>5917</v>
      </c>
      <c r="X6614" s="51" t="s">
        <v>2359</v>
      </c>
    </row>
    <row r="6615" customFormat="false" ht="14.25" hidden="true" customHeight="false" outlineLevel="0" collapsed="false">
      <c r="A6615" s="49" t="s">
        <v>2349</v>
      </c>
      <c r="B6615" s="49" t="s">
        <v>2350</v>
      </c>
      <c r="C6615" s="49" t="s">
        <v>11315</v>
      </c>
      <c r="D6615" s="49" t="s">
        <v>2352</v>
      </c>
      <c r="E6615" s="49" t="s">
        <v>3960</v>
      </c>
      <c r="F6615" s="49" t="s">
        <v>3961</v>
      </c>
      <c r="G6615" s="49" t="n">
        <v>0</v>
      </c>
      <c r="H6615" s="0" t="n">
        <v>0</v>
      </c>
      <c r="M6615" s="51" t="s">
        <v>11288</v>
      </c>
      <c r="N6615" s="49" t="n">
        <v>0</v>
      </c>
      <c r="O6615" s="53" t="n">
        <v>45902.4877662037</v>
      </c>
      <c r="P6615" s="53" t="n">
        <v>45952.7878935185</v>
      </c>
      <c r="Q6615" s="53" t="n">
        <v>45902.4877662037</v>
      </c>
      <c r="R6615" s="0" t="n">
        <v>0</v>
      </c>
      <c r="S6615" s="51" t="s">
        <v>2356</v>
      </c>
      <c r="T6615" s="51" t="s">
        <v>2356</v>
      </c>
      <c r="U6615" s="51" t="s">
        <v>3960</v>
      </c>
      <c r="V6615" s="51" t="s">
        <v>2365</v>
      </c>
      <c r="W6615" s="51" t="s">
        <v>4144</v>
      </c>
      <c r="X6615" s="51" t="s">
        <v>2359</v>
      </c>
    </row>
    <row r="6616" customFormat="false" ht="14.25" hidden="true" customHeight="false" outlineLevel="0" collapsed="false">
      <c r="A6616" s="49" t="s">
        <v>2349</v>
      </c>
      <c r="B6616" s="49" t="s">
        <v>2350</v>
      </c>
      <c r="C6616" s="49" t="s">
        <v>11316</v>
      </c>
      <c r="D6616" s="49" t="s">
        <v>2352</v>
      </c>
      <c r="E6616" s="49" t="s">
        <v>3960</v>
      </c>
      <c r="F6616" s="49" t="s">
        <v>3961</v>
      </c>
      <c r="G6616" s="49" t="n">
        <v>0</v>
      </c>
      <c r="H6616" s="0" t="n">
        <v>0</v>
      </c>
      <c r="M6616" s="51" t="s">
        <v>11288</v>
      </c>
      <c r="N6616" s="49" t="n">
        <v>0</v>
      </c>
      <c r="O6616" s="53" t="n">
        <v>45902.4884953704</v>
      </c>
      <c r="P6616" s="53" t="n">
        <v>46006.8402199074</v>
      </c>
      <c r="Q6616" s="53" t="n">
        <v>45902.4884953704</v>
      </c>
      <c r="R6616" s="0" t="n">
        <v>0</v>
      </c>
      <c r="S6616" s="51" t="s">
        <v>2356</v>
      </c>
      <c r="T6616" s="51" t="s">
        <v>2356</v>
      </c>
      <c r="U6616" s="51" t="s">
        <v>3960</v>
      </c>
      <c r="V6616" s="51" t="s">
        <v>2365</v>
      </c>
      <c r="W6616" s="51" t="s">
        <v>3670</v>
      </c>
      <c r="X6616" s="51" t="s">
        <v>2359</v>
      </c>
    </row>
    <row r="6617" customFormat="false" ht="14.25" hidden="true" customHeight="false" outlineLevel="0" collapsed="false">
      <c r="A6617" s="49" t="s">
        <v>2349</v>
      </c>
      <c r="B6617" s="49" t="s">
        <v>2350</v>
      </c>
      <c r="C6617" s="49" t="s">
        <v>11317</v>
      </c>
      <c r="D6617" s="49" t="s">
        <v>2352</v>
      </c>
      <c r="E6617" s="49" t="s">
        <v>3960</v>
      </c>
      <c r="F6617" s="49" t="s">
        <v>3961</v>
      </c>
      <c r="G6617" s="49" t="n">
        <v>0</v>
      </c>
      <c r="H6617" s="0" t="n">
        <v>0</v>
      </c>
      <c r="M6617" s="51" t="s">
        <v>11288</v>
      </c>
      <c r="N6617" s="49" t="n">
        <v>0</v>
      </c>
      <c r="O6617" s="53" t="n">
        <v>45902.4886342593</v>
      </c>
      <c r="P6617" s="53" t="n">
        <v>45907.4705324074</v>
      </c>
      <c r="Q6617" s="53" t="n">
        <v>45902.4886342593</v>
      </c>
      <c r="R6617" s="0" t="n">
        <v>0</v>
      </c>
      <c r="S6617" s="51" t="s">
        <v>2356</v>
      </c>
      <c r="T6617" s="51" t="s">
        <v>2356</v>
      </c>
      <c r="U6617" s="51" t="s">
        <v>3960</v>
      </c>
      <c r="V6617" s="51" t="s">
        <v>2365</v>
      </c>
      <c r="W6617" s="51" t="s">
        <v>5157</v>
      </c>
      <c r="X6617" s="51" t="s">
        <v>2359</v>
      </c>
    </row>
    <row r="6618" customFormat="false" ht="14.25" hidden="true" customHeight="false" outlineLevel="0" collapsed="false">
      <c r="A6618" s="49" t="s">
        <v>2349</v>
      </c>
      <c r="B6618" s="49" t="s">
        <v>2350</v>
      </c>
      <c r="C6618" s="49" t="s">
        <v>11318</v>
      </c>
      <c r="D6618" s="49" t="s">
        <v>2352</v>
      </c>
      <c r="E6618" s="49" t="s">
        <v>3960</v>
      </c>
      <c r="F6618" s="49" t="s">
        <v>3961</v>
      </c>
      <c r="G6618" s="49" t="n">
        <v>0</v>
      </c>
      <c r="H6618" s="0" t="n">
        <v>0</v>
      </c>
      <c r="M6618" s="51" t="s">
        <v>11288</v>
      </c>
      <c r="N6618" s="49" t="n">
        <v>0</v>
      </c>
      <c r="O6618" s="53" t="n">
        <v>45902.4888310185</v>
      </c>
      <c r="P6618" s="53" t="n">
        <v>46046.5591319444</v>
      </c>
      <c r="Q6618" s="53" t="n">
        <v>45902.4888310185</v>
      </c>
      <c r="R6618" s="0" t="n">
        <v>0</v>
      </c>
      <c r="S6618" s="51" t="s">
        <v>2356</v>
      </c>
      <c r="T6618" s="51" t="s">
        <v>2356</v>
      </c>
      <c r="U6618" s="51" t="s">
        <v>3960</v>
      </c>
      <c r="V6618" s="51" t="s">
        <v>2365</v>
      </c>
      <c r="W6618" s="51" t="s">
        <v>8243</v>
      </c>
      <c r="X6618" s="51" t="s">
        <v>2359</v>
      </c>
    </row>
    <row r="6619" customFormat="false" ht="14.25" hidden="true" customHeight="false" outlineLevel="0" collapsed="false">
      <c r="A6619" s="49" t="s">
        <v>2349</v>
      </c>
      <c r="B6619" s="49" t="s">
        <v>2350</v>
      </c>
      <c r="C6619" s="49" t="s">
        <v>11319</v>
      </c>
      <c r="D6619" s="49" t="s">
        <v>2352</v>
      </c>
      <c r="E6619" s="49" t="str">
        <f aca="false">"10102020303000"</f>
        <v>10102020303000</v>
      </c>
      <c r="F6619" s="49" t="s">
        <v>11022</v>
      </c>
      <c r="G6619" s="49" t="n">
        <v>0</v>
      </c>
      <c r="H6619" s="0" t="n">
        <v>0</v>
      </c>
      <c r="M6619" s="51" t="s">
        <v>11320</v>
      </c>
      <c r="N6619" s="49" t="n">
        <v>0</v>
      </c>
      <c r="O6619" s="53" t="n">
        <v>45935.6605439815</v>
      </c>
      <c r="P6619" s="53" t="n">
        <v>45948.9063657407</v>
      </c>
      <c r="Q6619" s="53" t="n">
        <v>45935.6605439815</v>
      </c>
      <c r="R6619" s="0" t="n">
        <v>0</v>
      </c>
      <c r="S6619" s="51" t="s">
        <v>2394</v>
      </c>
      <c r="T6619" s="51" t="s">
        <v>2394</v>
      </c>
      <c r="U6619" s="0" t="str">
        <f aca="false">"10102020303000"</f>
        <v>10102020303000</v>
      </c>
      <c r="V6619" s="51" t="s">
        <v>7596</v>
      </c>
      <c r="W6619" s="51" t="s">
        <v>2440</v>
      </c>
      <c r="X6619" s="51" t="s">
        <v>2359</v>
      </c>
    </row>
    <row r="6620" customFormat="false" ht="14.25" hidden="true" customHeight="false" outlineLevel="0" collapsed="false">
      <c r="A6620" s="49" t="s">
        <v>2349</v>
      </c>
      <c r="B6620" s="49" t="s">
        <v>2350</v>
      </c>
      <c r="C6620" s="49" t="s">
        <v>11321</v>
      </c>
      <c r="D6620" s="49" t="s">
        <v>2352</v>
      </c>
      <c r="E6620" s="49" t="str">
        <f aca="false">"5060458890191"</f>
        <v>5060458890191</v>
      </c>
      <c r="F6620" s="49" t="s">
        <v>3656</v>
      </c>
      <c r="G6620" s="49" t="n">
        <v>0</v>
      </c>
      <c r="H6620" s="0" t="n">
        <v>0</v>
      </c>
      <c r="M6620" s="51" t="s">
        <v>11322</v>
      </c>
      <c r="N6620" s="49" t="n">
        <v>0</v>
      </c>
      <c r="O6620" s="53" t="n">
        <v>45928.5700462963</v>
      </c>
      <c r="P6620" s="53" t="n">
        <v>45965.9097106482</v>
      </c>
      <c r="Q6620" s="53" t="n">
        <v>45928.5700462963</v>
      </c>
      <c r="R6620" s="0" t="n">
        <v>0</v>
      </c>
      <c r="S6620" s="51" t="s">
        <v>2416</v>
      </c>
      <c r="T6620" s="51" t="s">
        <v>2416</v>
      </c>
      <c r="U6620" s="0" t="str">
        <f aca="false">"5060458890191"</f>
        <v>5060458890191</v>
      </c>
      <c r="V6620" s="51" t="s">
        <v>2142</v>
      </c>
      <c r="W6620" s="51" t="s">
        <v>4191</v>
      </c>
      <c r="X6620" s="51" t="s">
        <v>2359</v>
      </c>
    </row>
    <row r="6621" customFormat="false" ht="14.25" hidden="true" customHeight="false" outlineLevel="0" collapsed="false">
      <c r="A6621" s="49" t="s">
        <v>2349</v>
      </c>
      <c r="B6621" s="49" t="s">
        <v>2350</v>
      </c>
      <c r="C6621" s="49" t="s">
        <v>11323</v>
      </c>
      <c r="D6621" s="49" t="s">
        <v>2352</v>
      </c>
      <c r="E6621" s="49" t="str">
        <f aca="false">"5060458890191"</f>
        <v>5060458890191</v>
      </c>
      <c r="F6621" s="49" t="s">
        <v>3656</v>
      </c>
      <c r="G6621" s="49" t="n">
        <v>0</v>
      </c>
      <c r="H6621" s="0" t="n">
        <v>0</v>
      </c>
      <c r="M6621" s="51" t="s">
        <v>11322</v>
      </c>
      <c r="N6621" s="49" t="n">
        <v>0</v>
      </c>
      <c r="O6621" s="53" t="n">
        <v>45928.5662615741</v>
      </c>
      <c r="P6621" s="53" t="n">
        <v>45939.5210300926</v>
      </c>
      <c r="Q6621" s="53" t="n">
        <v>45928.5662615741</v>
      </c>
      <c r="R6621" s="0" t="n">
        <v>0</v>
      </c>
      <c r="S6621" s="51" t="s">
        <v>2416</v>
      </c>
      <c r="T6621" s="51" t="s">
        <v>2416</v>
      </c>
      <c r="U6621" s="0" t="str">
        <f aca="false">"5060458890191"</f>
        <v>5060458890191</v>
      </c>
      <c r="V6621" s="51" t="s">
        <v>2142</v>
      </c>
      <c r="W6621" s="51" t="s">
        <v>5606</v>
      </c>
      <c r="X6621" s="51" t="s">
        <v>2359</v>
      </c>
    </row>
    <row r="6622" customFormat="false" ht="14.25" hidden="true" customHeight="false" outlineLevel="0" collapsed="false">
      <c r="A6622" s="49" t="s">
        <v>2349</v>
      </c>
      <c r="B6622" s="49" t="s">
        <v>2350</v>
      </c>
      <c r="C6622" s="49" t="s">
        <v>11324</v>
      </c>
      <c r="D6622" s="49" t="s">
        <v>2352</v>
      </c>
      <c r="E6622" s="49" t="str">
        <f aca="false">"5060458890191"</f>
        <v>5060458890191</v>
      </c>
      <c r="F6622" s="49" t="s">
        <v>3656</v>
      </c>
      <c r="G6622" s="49" t="n">
        <v>0</v>
      </c>
      <c r="H6622" s="0" t="n">
        <v>0</v>
      </c>
      <c r="M6622" s="51" t="s">
        <v>11322</v>
      </c>
      <c r="N6622" s="49" t="n">
        <v>0</v>
      </c>
      <c r="O6622" s="53" t="n">
        <v>45928.5663541667</v>
      </c>
      <c r="P6622" s="53" t="n">
        <v>45939.5207291667</v>
      </c>
      <c r="Q6622" s="53" t="n">
        <v>45928.5663541667</v>
      </c>
      <c r="R6622" s="0" t="n">
        <v>0</v>
      </c>
      <c r="S6622" s="51" t="s">
        <v>2416</v>
      </c>
      <c r="T6622" s="51" t="s">
        <v>2416</v>
      </c>
      <c r="U6622" s="0" t="str">
        <f aca="false">"5060458890191"</f>
        <v>5060458890191</v>
      </c>
      <c r="V6622" s="51" t="s">
        <v>2142</v>
      </c>
      <c r="W6622" s="51" t="s">
        <v>7721</v>
      </c>
      <c r="X6622" s="51" t="s">
        <v>2359</v>
      </c>
    </row>
    <row r="6623" customFormat="false" ht="14.25" hidden="true" customHeight="false" outlineLevel="0" collapsed="false">
      <c r="A6623" s="49" t="s">
        <v>2349</v>
      </c>
      <c r="B6623" s="49" t="s">
        <v>2350</v>
      </c>
      <c r="C6623" s="49" t="s">
        <v>11325</v>
      </c>
      <c r="D6623" s="49" t="s">
        <v>2352</v>
      </c>
      <c r="E6623" s="49" t="str">
        <f aca="false">"5060458890191"</f>
        <v>5060458890191</v>
      </c>
      <c r="F6623" s="49" t="s">
        <v>3656</v>
      </c>
      <c r="G6623" s="49" t="n">
        <v>0</v>
      </c>
      <c r="H6623" s="0" t="n">
        <v>0</v>
      </c>
      <c r="M6623" s="51" t="s">
        <v>11322</v>
      </c>
      <c r="N6623" s="49" t="n">
        <v>0</v>
      </c>
      <c r="O6623" s="53" t="n">
        <v>45928.5664351852</v>
      </c>
      <c r="P6623" s="53" t="n">
        <v>45939.5196296296</v>
      </c>
      <c r="Q6623" s="53" t="n">
        <v>45928.5664351852</v>
      </c>
      <c r="R6623" s="0" t="n">
        <v>0</v>
      </c>
      <c r="S6623" s="51" t="s">
        <v>2416</v>
      </c>
      <c r="T6623" s="51" t="s">
        <v>2416</v>
      </c>
      <c r="U6623" s="0" t="str">
        <f aca="false">"5060458890191"</f>
        <v>5060458890191</v>
      </c>
      <c r="V6623" s="51" t="s">
        <v>2142</v>
      </c>
      <c r="W6623" s="51" t="s">
        <v>4521</v>
      </c>
      <c r="X6623" s="51" t="s">
        <v>2359</v>
      </c>
    </row>
    <row r="6624" customFormat="false" ht="14.25" hidden="true" customHeight="false" outlineLevel="0" collapsed="false">
      <c r="A6624" s="49" t="s">
        <v>2349</v>
      </c>
      <c r="B6624" s="49" t="s">
        <v>2350</v>
      </c>
      <c r="C6624" s="49" t="s">
        <v>11326</v>
      </c>
      <c r="D6624" s="49" t="s">
        <v>2352</v>
      </c>
      <c r="E6624" s="49" t="str">
        <f aca="false">"5060458890191"</f>
        <v>5060458890191</v>
      </c>
      <c r="F6624" s="49" t="s">
        <v>3656</v>
      </c>
      <c r="G6624" s="49" t="n">
        <v>0</v>
      </c>
      <c r="H6624" s="0" t="n">
        <v>0</v>
      </c>
      <c r="M6624" s="51" t="s">
        <v>11322</v>
      </c>
      <c r="N6624" s="49" t="n">
        <v>0</v>
      </c>
      <c r="O6624" s="53" t="n">
        <v>45928.5665046296</v>
      </c>
      <c r="P6624" s="53" t="n">
        <v>45939.5296875</v>
      </c>
      <c r="Q6624" s="53" t="n">
        <v>45928.5665046296</v>
      </c>
      <c r="R6624" s="0" t="n">
        <v>0</v>
      </c>
      <c r="S6624" s="51" t="s">
        <v>2416</v>
      </c>
      <c r="T6624" s="51" t="s">
        <v>2416</v>
      </c>
      <c r="U6624" s="0" t="str">
        <f aca="false">"5060458890191"</f>
        <v>5060458890191</v>
      </c>
      <c r="V6624" s="51" t="s">
        <v>2142</v>
      </c>
      <c r="W6624" s="51" t="s">
        <v>7346</v>
      </c>
      <c r="X6624" s="51" t="s">
        <v>2359</v>
      </c>
    </row>
    <row r="6625" customFormat="false" ht="14.25" hidden="true" customHeight="false" outlineLevel="0" collapsed="false">
      <c r="A6625" s="49" t="s">
        <v>2349</v>
      </c>
      <c r="B6625" s="49" t="s">
        <v>2350</v>
      </c>
      <c r="C6625" s="49" t="s">
        <v>11327</v>
      </c>
      <c r="D6625" s="49" t="s">
        <v>2352</v>
      </c>
      <c r="E6625" s="49" t="str">
        <f aca="false">"5060458890191"</f>
        <v>5060458890191</v>
      </c>
      <c r="F6625" s="49" t="s">
        <v>3656</v>
      </c>
      <c r="G6625" s="49" t="n">
        <v>0</v>
      </c>
      <c r="H6625" s="0" t="n">
        <v>0</v>
      </c>
      <c r="M6625" s="51" t="s">
        <v>11322</v>
      </c>
      <c r="N6625" s="49" t="n">
        <v>0</v>
      </c>
      <c r="O6625" s="53" t="n">
        <v>45928.5665972222</v>
      </c>
      <c r="P6625" s="53" t="n">
        <v>45939.5240856482</v>
      </c>
      <c r="Q6625" s="53" t="n">
        <v>45928.5665972222</v>
      </c>
      <c r="R6625" s="0" t="n">
        <v>0</v>
      </c>
      <c r="S6625" s="51" t="s">
        <v>2416</v>
      </c>
      <c r="T6625" s="51" t="s">
        <v>2416</v>
      </c>
      <c r="U6625" s="0" t="str">
        <f aca="false">"5060458890191"</f>
        <v>5060458890191</v>
      </c>
      <c r="V6625" s="51" t="s">
        <v>2142</v>
      </c>
      <c r="W6625" s="51" t="s">
        <v>4541</v>
      </c>
      <c r="X6625" s="51" t="s">
        <v>2359</v>
      </c>
    </row>
    <row r="6626" customFormat="false" ht="14.25" hidden="true" customHeight="false" outlineLevel="0" collapsed="false">
      <c r="A6626" s="49" t="s">
        <v>2349</v>
      </c>
      <c r="B6626" s="49" t="s">
        <v>2350</v>
      </c>
      <c r="C6626" s="49" t="s">
        <v>11328</v>
      </c>
      <c r="D6626" s="49" t="s">
        <v>2352</v>
      </c>
      <c r="E6626" s="49" t="str">
        <f aca="false">"5060458890191"</f>
        <v>5060458890191</v>
      </c>
      <c r="F6626" s="49" t="s">
        <v>3656</v>
      </c>
      <c r="G6626" s="49" t="n">
        <v>0</v>
      </c>
      <c r="H6626" s="0" t="n">
        <v>0</v>
      </c>
      <c r="M6626" s="51" t="s">
        <v>11322</v>
      </c>
      <c r="N6626" s="49" t="n">
        <v>0</v>
      </c>
      <c r="O6626" s="53" t="n">
        <v>45928.566712963</v>
      </c>
      <c r="P6626" s="53" t="n">
        <v>45939.5302777778</v>
      </c>
      <c r="Q6626" s="53" t="n">
        <v>45928.566712963</v>
      </c>
      <c r="R6626" s="0" t="n">
        <v>0</v>
      </c>
      <c r="S6626" s="51" t="s">
        <v>2416</v>
      </c>
      <c r="T6626" s="51" t="s">
        <v>2416</v>
      </c>
      <c r="U6626" s="0" t="str">
        <f aca="false">"5060458890191"</f>
        <v>5060458890191</v>
      </c>
      <c r="V6626" s="51" t="s">
        <v>2142</v>
      </c>
      <c r="W6626" s="51" t="s">
        <v>7362</v>
      </c>
      <c r="X6626" s="51" t="s">
        <v>2359</v>
      </c>
    </row>
    <row r="6627" customFormat="false" ht="14.25" hidden="true" customHeight="false" outlineLevel="0" collapsed="false">
      <c r="A6627" s="49" t="s">
        <v>2349</v>
      </c>
      <c r="B6627" s="49" t="s">
        <v>2350</v>
      </c>
      <c r="C6627" s="49" t="s">
        <v>11329</v>
      </c>
      <c r="D6627" s="49" t="s">
        <v>2352</v>
      </c>
      <c r="E6627" s="49" t="str">
        <f aca="false">"5060458890191"</f>
        <v>5060458890191</v>
      </c>
      <c r="F6627" s="49" t="s">
        <v>3656</v>
      </c>
      <c r="G6627" s="49" t="n">
        <v>0</v>
      </c>
      <c r="H6627" s="0" t="n">
        <v>0</v>
      </c>
      <c r="M6627" s="51" t="s">
        <v>11322</v>
      </c>
      <c r="N6627" s="49" t="n">
        <v>0</v>
      </c>
      <c r="O6627" s="53" t="n">
        <v>45928.5668055556</v>
      </c>
      <c r="P6627" s="53" t="n">
        <v>45939.5284490741</v>
      </c>
      <c r="Q6627" s="53" t="n">
        <v>45928.5668055556</v>
      </c>
      <c r="R6627" s="0" t="n">
        <v>0</v>
      </c>
      <c r="S6627" s="51" t="s">
        <v>2416</v>
      </c>
      <c r="T6627" s="51" t="s">
        <v>2416</v>
      </c>
      <c r="U6627" s="0" t="str">
        <f aca="false">"5060458890191"</f>
        <v>5060458890191</v>
      </c>
      <c r="V6627" s="51" t="s">
        <v>2142</v>
      </c>
      <c r="W6627" s="51" t="s">
        <v>11330</v>
      </c>
      <c r="X6627" s="51" t="s">
        <v>2359</v>
      </c>
    </row>
    <row r="6628" customFormat="false" ht="14.25" hidden="true" customHeight="false" outlineLevel="0" collapsed="false">
      <c r="A6628" s="49" t="s">
        <v>2349</v>
      </c>
      <c r="B6628" s="49" t="s">
        <v>2350</v>
      </c>
      <c r="C6628" s="49" t="s">
        <v>11331</v>
      </c>
      <c r="D6628" s="49" t="s">
        <v>2352</v>
      </c>
      <c r="E6628" s="49" t="str">
        <f aca="false">"5060458890191"</f>
        <v>5060458890191</v>
      </c>
      <c r="F6628" s="49" t="s">
        <v>3656</v>
      </c>
      <c r="G6628" s="49" t="n">
        <v>0</v>
      </c>
      <c r="H6628" s="0" t="n">
        <v>0</v>
      </c>
      <c r="M6628" s="51" t="s">
        <v>11322</v>
      </c>
      <c r="N6628" s="49" t="n">
        <v>0</v>
      </c>
      <c r="O6628" s="53" t="n">
        <v>45928.5669097222</v>
      </c>
      <c r="P6628" s="53" t="n">
        <v>45939.5244560185</v>
      </c>
      <c r="Q6628" s="53" t="n">
        <v>45928.5669097222</v>
      </c>
      <c r="R6628" s="0" t="n">
        <v>0</v>
      </c>
      <c r="S6628" s="51" t="s">
        <v>2416</v>
      </c>
      <c r="T6628" s="51" t="s">
        <v>2416</v>
      </c>
      <c r="U6628" s="0" t="str">
        <f aca="false">"5060458890191"</f>
        <v>5060458890191</v>
      </c>
      <c r="V6628" s="51" t="s">
        <v>2142</v>
      </c>
      <c r="W6628" s="51" t="s">
        <v>5987</v>
      </c>
      <c r="X6628" s="51" t="s">
        <v>2359</v>
      </c>
    </row>
    <row r="6629" customFormat="false" ht="14.25" hidden="true" customHeight="false" outlineLevel="0" collapsed="false">
      <c r="A6629" s="49" t="s">
        <v>2349</v>
      </c>
      <c r="B6629" s="49" t="s">
        <v>2350</v>
      </c>
      <c r="C6629" s="49" t="s">
        <v>11332</v>
      </c>
      <c r="D6629" s="49" t="s">
        <v>2352</v>
      </c>
      <c r="E6629" s="49" t="str">
        <f aca="false">"5060458890191"</f>
        <v>5060458890191</v>
      </c>
      <c r="F6629" s="49" t="s">
        <v>3656</v>
      </c>
      <c r="G6629" s="49" t="n">
        <v>0</v>
      </c>
      <c r="H6629" s="0" t="n">
        <v>0</v>
      </c>
      <c r="M6629" s="51" t="s">
        <v>11322</v>
      </c>
      <c r="N6629" s="49" t="n">
        <v>0</v>
      </c>
      <c r="O6629" s="53" t="n">
        <v>45928.5670486111</v>
      </c>
      <c r="P6629" s="53" t="n">
        <v>45944.7377083333</v>
      </c>
      <c r="Q6629" s="53" t="n">
        <v>45928.5670486111</v>
      </c>
      <c r="R6629" s="0" t="n">
        <v>0</v>
      </c>
      <c r="S6629" s="51" t="s">
        <v>2416</v>
      </c>
      <c r="T6629" s="51" t="s">
        <v>2416</v>
      </c>
      <c r="U6629" s="0" t="str">
        <f aca="false">"5060458890191"</f>
        <v>5060458890191</v>
      </c>
      <c r="V6629" s="51" t="s">
        <v>2142</v>
      </c>
      <c r="W6629" s="51" t="s">
        <v>11333</v>
      </c>
      <c r="X6629" s="51" t="s">
        <v>2359</v>
      </c>
    </row>
    <row r="6630" customFormat="false" ht="14.25" hidden="true" customHeight="false" outlineLevel="0" collapsed="false">
      <c r="A6630" s="49" t="s">
        <v>2349</v>
      </c>
      <c r="B6630" s="49" t="s">
        <v>2350</v>
      </c>
      <c r="C6630" s="49" t="s">
        <v>11334</v>
      </c>
      <c r="D6630" s="49" t="s">
        <v>2352</v>
      </c>
      <c r="E6630" s="49" t="str">
        <f aca="false">"5060458890191"</f>
        <v>5060458890191</v>
      </c>
      <c r="F6630" s="49" t="s">
        <v>3656</v>
      </c>
      <c r="G6630" s="49" t="n">
        <v>0</v>
      </c>
      <c r="H6630" s="0" t="n">
        <v>0</v>
      </c>
      <c r="M6630" s="51" t="s">
        <v>11322</v>
      </c>
      <c r="N6630" s="49" t="n">
        <v>0</v>
      </c>
      <c r="O6630" s="53" t="n">
        <v>45928.5671875</v>
      </c>
      <c r="P6630" s="53" t="n">
        <v>45944.7433912037</v>
      </c>
      <c r="Q6630" s="53" t="n">
        <v>45928.5671875</v>
      </c>
      <c r="R6630" s="0" t="n">
        <v>0</v>
      </c>
      <c r="S6630" s="51" t="s">
        <v>2416</v>
      </c>
      <c r="T6630" s="51" t="s">
        <v>2416</v>
      </c>
      <c r="U6630" s="0" t="str">
        <f aca="false">"5060458890191"</f>
        <v>5060458890191</v>
      </c>
      <c r="V6630" s="51" t="s">
        <v>2142</v>
      </c>
      <c r="W6630" s="51" t="s">
        <v>4445</v>
      </c>
      <c r="X6630" s="51" t="s">
        <v>2359</v>
      </c>
    </row>
    <row r="6631" customFormat="false" ht="14.25" hidden="true" customHeight="false" outlineLevel="0" collapsed="false">
      <c r="A6631" s="49" t="s">
        <v>2349</v>
      </c>
      <c r="B6631" s="49" t="s">
        <v>2350</v>
      </c>
      <c r="C6631" s="49" t="s">
        <v>11335</v>
      </c>
      <c r="D6631" s="49" t="s">
        <v>2352</v>
      </c>
      <c r="E6631" s="49" t="str">
        <f aca="false">"5060458890191"</f>
        <v>5060458890191</v>
      </c>
      <c r="F6631" s="49" t="s">
        <v>3656</v>
      </c>
      <c r="G6631" s="49" t="n">
        <v>0</v>
      </c>
      <c r="H6631" s="0" t="n">
        <v>0</v>
      </c>
      <c r="M6631" s="51" t="s">
        <v>11322</v>
      </c>
      <c r="N6631" s="49" t="n">
        <v>0</v>
      </c>
      <c r="O6631" s="53" t="n">
        <v>45928.5672685185</v>
      </c>
      <c r="P6631" s="53" t="n">
        <v>45948.9293171296</v>
      </c>
      <c r="Q6631" s="53" t="n">
        <v>45928.5672685185</v>
      </c>
      <c r="R6631" s="0" t="n">
        <v>0</v>
      </c>
      <c r="S6631" s="51" t="s">
        <v>2416</v>
      </c>
      <c r="T6631" s="51" t="s">
        <v>2416</v>
      </c>
      <c r="U6631" s="0" t="str">
        <f aca="false">"5060458890191"</f>
        <v>5060458890191</v>
      </c>
      <c r="V6631" s="51" t="s">
        <v>2142</v>
      </c>
      <c r="W6631" s="51" t="s">
        <v>4038</v>
      </c>
      <c r="X6631" s="51" t="s">
        <v>2359</v>
      </c>
    </row>
    <row r="6632" customFormat="false" ht="14.25" hidden="true" customHeight="false" outlineLevel="0" collapsed="false">
      <c r="A6632" s="49" t="s">
        <v>2349</v>
      </c>
      <c r="B6632" s="49" t="s">
        <v>2350</v>
      </c>
      <c r="C6632" s="49" t="s">
        <v>11336</v>
      </c>
      <c r="D6632" s="49" t="s">
        <v>2352</v>
      </c>
      <c r="E6632" s="49" t="str">
        <f aca="false">"5060458890191"</f>
        <v>5060458890191</v>
      </c>
      <c r="F6632" s="49" t="s">
        <v>3656</v>
      </c>
      <c r="G6632" s="49" t="n">
        <v>0</v>
      </c>
      <c r="H6632" s="0" t="n">
        <v>0</v>
      </c>
      <c r="M6632" s="51" t="s">
        <v>11322</v>
      </c>
      <c r="N6632" s="49" t="n">
        <v>0</v>
      </c>
      <c r="O6632" s="53" t="n">
        <v>45928.5673842593</v>
      </c>
      <c r="P6632" s="53" t="n">
        <v>45939.5230439815</v>
      </c>
      <c r="Q6632" s="53" t="n">
        <v>45928.5673842593</v>
      </c>
      <c r="R6632" s="0" t="n">
        <v>0</v>
      </c>
      <c r="S6632" s="51" t="s">
        <v>2416</v>
      </c>
      <c r="T6632" s="51" t="s">
        <v>2416</v>
      </c>
      <c r="U6632" s="0" t="str">
        <f aca="false">"5060458890191"</f>
        <v>5060458890191</v>
      </c>
      <c r="V6632" s="51" t="s">
        <v>2142</v>
      </c>
      <c r="W6632" s="51" t="s">
        <v>4210</v>
      </c>
      <c r="X6632" s="51" t="s">
        <v>2359</v>
      </c>
    </row>
    <row r="6633" customFormat="false" ht="14.25" hidden="true" customHeight="false" outlineLevel="0" collapsed="false">
      <c r="A6633" s="49" t="s">
        <v>2349</v>
      </c>
      <c r="B6633" s="49" t="s">
        <v>2350</v>
      </c>
      <c r="C6633" s="49" t="s">
        <v>11337</v>
      </c>
      <c r="D6633" s="49" t="s">
        <v>2352</v>
      </c>
      <c r="E6633" s="49" t="str">
        <f aca="false">"5060458890191"</f>
        <v>5060458890191</v>
      </c>
      <c r="F6633" s="49" t="s">
        <v>3656</v>
      </c>
      <c r="G6633" s="49" t="n">
        <v>0</v>
      </c>
      <c r="H6633" s="0" t="n">
        <v>0</v>
      </c>
      <c r="M6633" s="51" t="s">
        <v>11322</v>
      </c>
      <c r="N6633" s="49" t="n">
        <v>0</v>
      </c>
      <c r="O6633" s="53" t="n">
        <v>45928.5675115741</v>
      </c>
      <c r="P6633" s="53" t="n">
        <v>45948.9284722222</v>
      </c>
      <c r="Q6633" s="53" t="n">
        <v>45928.5675115741</v>
      </c>
      <c r="R6633" s="0" t="n">
        <v>0</v>
      </c>
      <c r="S6633" s="51" t="s">
        <v>2416</v>
      </c>
      <c r="T6633" s="51" t="s">
        <v>2416</v>
      </c>
      <c r="U6633" s="0" t="str">
        <f aca="false">"5060458890191"</f>
        <v>5060458890191</v>
      </c>
      <c r="V6633" s="51" t="s">
        <v>2142</v>
      </c>
      <c r="W6633" s="51" t="s">
        <v>3891</v>
      </c>
      <c r="X6633" s="51" t="s">
        <v>2359</v>
      </c>
    </row>
    <row r="6634" customFormat="false" ht="14.25" hidden="true" customHeight="false" outlineLevel="0" collapsed="false">
      <c r="A6634" s="49" t="s">
        <v>2349</v>
      </c>
      <c r="B6634" s="49" t="s">
        <v>2350</v>
      </c>
      <c r="C6634" s="49" t="s">
        <v>11338</v>
      </c>
      <c r="D6634" s="49" t="s">
        <v>2352</v>
      </c>
      <c r="E6634" s="49" t="str">
        <f aca="false">"5060458890191"</f>
        <v>5060458890191</v>
      </c>
      <c r="F6634" s="49" t="s">
        <v>3656</v>
      </c>
      <c r="G6634" s="49" t="n">
        <v>0</v>
      </c>
      <c r="H6634" s="0" t="n">
        <v>0</v>
      </c>
      <c r="M6634" s="51" t="s">
        <v>11322</v>
      </c>
      <c r="N6634" s="49" t="n">
        <v>0</v>
      </c>
      <c r="O6634" s="53" t="n">
        <v>45928.567662037</v>
      </c>
      <c r="P6634" s="53" t="n">
        <v>45939.5249537037</v>
      </c>
      <c r="Q6634" s="53" t="n">
        <v>45928.567662037</v>
      </c>
      <c r="R6634" s="0" t="n">
        <v>0</v>
      </c>
      <c r="S6634" s="51" t="s">
        <v>2416</v>
      </c>
      <c r="T6634" s="51" t="s">
        <v>2416</v>
      </c>
      <c r="U6634" s="0" t="str">
        <f aca="false">"5060458890191"</f>
        <v>5060458890191</v>
      </c>
      <c r="V6634" s="51" t="s">
        <v>2142</v>
      </c>
      <c r="W6634" s="51" t="s">
        <v>6681</v>
      </c>
      <c r="X6634" s="51" t="s">
        <v>2359</v>
      </c>
    </row>
    <row r="6635" customFormat="false" ht="14.25" hidden="true" customHeight="false" outlineLevel="0" collapsed="false">
      <c r="A6635" s="49" t="s">
        <v>2349</v>
      </c>
      <c r="B6635" s="49" t="s">
        <v>2350</v>
      </c>
      <c r="C6635" s="49" t="s">
        <v>11339</v>
      </c>
      <c r="D6635" s="49" t="s">
        <v>2352</v>
      </c>
      <c r="E6635" s="49" t="str">
        <f aca="false">"5060458890191"</f>
        <v>5060458890191</v>
      </c>
      <c r="F6635" s="49" t="s">
        <v>3656</v>
      </c>
      <c r="G6635" s="49" t="n">
        <v>0</v>
      </c>
      <c r="H6635" s="0" t="n">
        <v>0</v>
      </c>
      <c r="M6635" s="51" t="s">
        <v>11322</v>
      </c>
      <c r="N6635" s="49" t="n">
        <v>0</v>
      </c>
      <c r="O6635" s="53" t="n">
        <v>45928.5661574074</v>
      </c>
      <c r="P6635" s="53" t="n">
        <v>45939.5212962963</v>
      </c>
      <c r="Q6635" s="53" t="n">
        <v>45928.5661574074</v>
      </c>
      <c r="R6635" s="0" t="n">
        <v>0</v>
      </c>
      <c r="S6635" s="51" t="s">
        <v>2416</v>
      </c>
      <c r="T6635" s="51" t="s">
        <v>2416</v>
      </c>
      <c r="U6635" s="0" t="str">
        <f aca="false">"5060458890191"</f>
        <v>5060458890191</v>
      </c>
      <c r="V6635" s="51" t="s">
        <v>2142</v>
      </c>
      <c r="W6635" s="51" t="s">
        <v>4989</v>
      </c>
      <c r="X6635" s="51" t="s">
        <v>2359</v>
      </c>
    </row>
    <row r="6636" customFormat="false" ht="14.25" hidden="true" customHeight="false" outlineLevel="0" collapsed="false">
      <c r="A6636" s="49" t="s">
        <v>2349</v>
      </c>
      <c r="B6636" s="49" t="s">
        <v>2350</v>
      </c>
      <c r="C6636" s="49" t="s">
        <v>11340</v>
      </c>
      <c r="D6636" s="49" t="s">
        <v>2352</v>
      </c>
      <c r="E6636" s="49" t="str">
        <f aca="false">"5060458890191"</f>
        <v>5060458890191</v>
      </c>
      <c r="F6636" s="49" t="s">
        <v>3656</v>
      </c>
      <c r="G6636" s="49" t="n">
        <v>0</v>
      </c>
      <c r="H6636" s="0" t="n">
        <v>0</v>
      </c>
      <c r="M6636" s="51" t="s">
        <v>11322</v>
      </c>
      <c r="N6636" s="49" t="n">
        <v>0</v>
      </c>
      <c r="O6636" s="53" t="n">
        <v>45928.5679398148</v>
      </c>
      <c r="P6636" s="53" t="n">
        <v>45939.5290509259</v>
      </c>
      <c r="Q6636" s="53" t="n">
        <v>45928.5679398148</v>
      </c>
      <c r="R6636" s="0" t="n">
        <v>0</v>
      </c>
      <c r="S6636" s="51" t="s">
        <v>2416</v>
      </c>
      <c r="T6636" s="51" t="s">
        <v>2416</v>
      </c>
      <c r="U6636" s="0" t="str">
        <f aca="false">"5060458890191"</f>
        <v>5060458890191</v>
      </c>
      <c r="V6636" s="51" t="s">
        <v>2142</v>
      </c>
      <c r="W6636" s="51" t="s">
        <v>5861</v>
      </c>
      <c r="X6636" s="51" t="s">
        <v>2359</v>
      </c>
    </row>
    <row r="6637" customFormat="false" ht="14.25" hidden="true" customHeight="false" outlineLevel="0" collapsed="false">
      <c r="A6637" s="49" t="s">
        <v>2349</v>
      </c>
      <c r="B6637" s="49" t="s">
        <v>2350</v>
      </c>
      <c r="C6637" s="49" t="s">
        <v>11341</v>
      </c>
      <c r="D6637" s="49" t="s">
        <v>2352</v>
      </c>
      <c r="E6637" s="49" t="str">
        <f aca="false">"5060458890191"</f>
        <v>5060458890191</v>
      </c>
      <c r="F6637" s="49" t="s">
        <v>3656</v>
      </c>
      <c r="G6637" s="49" t="n">
        <v>0</v>
      </c>
      <c r="H6637" s="0" t="n">
        <v>0</v>
      </c>
      <c r="M6637" s="51" t="s">
        <v>11322</v>
      </c>
      <c r="N6637" s="49" t="n">
        <v>0</v>
      </c>
      <c r="O6637" s="53" t="n">
        <v>45928.5680555556</v>
      </c>
      <c r="P6637" s="53" t="n">
        <v>45939.526724537</v>
      </c>
      <c r="Q6637" s="53" t="n">
        <v>45928.5680555556</v>
      </c>
      <c r="R6637" s="0" t="n">
        <v>0</v>
      </c>
      <c r="S6637" s="51" t="s">
        <v>2416</v>
      </c>
      <c r="T6637" s="51" t="s">
        <v>2416</v>
      </c>
      <c r="U6637" s="0" t="str">
        <f aca="false">"5060458890191"</f>
        <v>5060458890191</v>
      </c>
      <c r="V6637" s="51" t="s">
        <v>2142</v>
      </c>
      <c r="W6637" s="51" t="s">
        <v>11113</v>
      </c>
      <c r="X6637" s="51" t="s">
        <v>2359</v>
      </c>
    </row>
    <row r="6638" customFormat="false" ht="14.25" hidden="true" customHeight="false" outlineLevel="0" collapsed="false">
      <c r="A6638" s="49" t="s">
        <v>2349</v>
      </c>
      <c r="B6638" s="49" t="s">
        <v>2350</v>
      </c>
      <c r="C6638" s="49" t="s">
        <v>11342</v>
      </c>
      <c r="D6638" s="49" t="s">
        <v>2352</v>
      </c>
      <c r="E6638" s="49" t="str">
        <f aca="false">"5060458890191"</f>
        <v>5060458890191</v>
      </c>
      <c r="F6638" s="49" t="s">
        <v>3656</v>
      </c>
      <c r="G6638" s="49" t="n">
        <v>0</v>
      </c>
      <c r="H6638" s="0" t="n">
        <v>0</v>
      </c>
      <c r="M6638" s="51" t="s">
        <v>11322</v>
      </c>
      <c r="N6638" s="49" t="n">
        <v>0</v>
      </c>
      <c r="O6638" s="53" t="n">
        <v>45928.5681481482</v>
      </c>
      <c r="P6638" s="53" t="n">
        <v>45939.527349537</v>
      </c>
      <c r="Q6638" s="53" t="n">
        <v>45928.5681481482</v>
      </c>
      <c r="R6638" s="0" t="n">
        <v>0</v>
      </c>
      <c r="S6638" s="51" t="s">
        <v>2416</v>
      </c>
      <c r="T6638" s="51" t="s">
        <v>2416</v>
      </c>
      <c r="U6638" s="0" t="str">
        <f aca="false">"5060458890191"</f>
        <v>5060458890191</v>
      </c>
      <c r="V6638" s="51" t="s">
        <v>2142</v>
      </c>
      <c r="W6638" s="51" t="s">
        <v>11071</v>
      </c>
      <c r="X6638" s="51" t="s">
        <v>2359</v>
      </c>
    </row>
    <row r="6639" customFormat="false" ht="14.25" hidden="true" customHeight="false" outlineLevel="0" collapsed="false">
      <c r="A6639" s="49" t="s">
        <v>2349</v>
      </c>
      <c r="B6639" s="49" t="s">
        <v>2350</v>
      </c>
      <c r="C6639" s="49" t="s">
        <v>11343</v>
      </c>
      <c r="D6639" s="49" t="s">
        <v>2352</v>
      </c>
      <c r="E6639" s="49" t="str">
        <f aca="false">"5060458890191"</f>
        <v>5060458890191</v>
      </c>
      <c r="F6639" s="49" t="s">
        <v>3656</v>
      </c>
      <c r="G6639" s="49" t="n">
        <v>0</v>
      </c>
      <c r="H6639" s="0" t="n">
        <v>0</v>
      </c>
      <c r="M6639" s="51" t="s">
        <v>11322</v>
      </c>
      <c r="N6639" s="49" t="n">
        <v>0</v>
      </c>
      <c r="O6639" s="53" t="n">
        <v>45928.5682291667</v>
      </c>
      <c r="P6639" s="53" t="n">
        <v>45944.7353819445</v>
      </c>
      <c r="Q6639" s="53" t="n">
        <v>45928.5682291667</v>
      </c>
      <c r="R6639" s="0" t="n">
        <v>0</v>
      </c>
      <c r="S6639" s="51" t="s">
        <v>2416</v>
      </c>
      <c r="T6639" s="51" t="s">
        <v>2416</v>
      </c>
      <c r="U6639" s="0" t="str">
        <f aca="false">"5060458890191"</f>
        <v>5060458890191</v>
      </c>
      <c r="V6639" s="51" t="s">
        <v>2142</v>
      </c>
      <c r="W6639" s="51" t="s">
        <v>4468</v>
      </c>
      <c r="X6639" s="51" t="s">
        <v>2359</v>
      </c>
    </row>
    <row r="6640" customFormat="false" ht="14.25" hidden="true" customHeight="false" outlineLevel="0" collapsed="false">
      <c r="A6640" s="49" t="s">
        <v>2349</v>
      </c>
      <c r="B6640" s="49" t="s">
        <v>2350</v>
      </c>
      <c r="C6640" s="49" t="s">
        <v>11344</v>
      </c>
      <c r="D6640" s="49" t="s">
        <v>2352</v>
      </c>
      <c r="E6640" s="49" t="str">
        <f aca="false">"5060458890191"</f>
        <v>5060458890191</v>
      </c>
      <c r="F6640" s="49" t="s">
        <v>3656</v>
      </c>
      <c r="G6640" s="49" t="n">
        <v>0</v>
      </c>
      <c r="H6640" s="0" t="n">
        <v>0</v>
      </c>
      <c r="M6640" s="51" t="s">
        <v>11322</v>
      </c>
      <c r="N6640" s="49" t="n">
        <v>0</v>
      </c>
      <c r="O6640" s="53" t="n">
        <v>45928.5683564815</v>
      </c>
      <c r="P6640" s="53" t="n">
        <v>45939.5313773148</v>
      </c>
      <c r="Q6640" s="53" t="n">
        <v>45928.5683564815</v>
      </c>
      <c r="R6640" s="0" t="n">
        <v>0</v>
      </c>
      <c r="S6640" s="51" t="s">
        <v>2416</v>
      </c>
      <c r="T6640" s="51" t="s">
        <v>2416</v>
      </c>
      <c r="U6640" s="0" t="str">
        <f aca="false">"5060458890191"</f>
        <v>5060458890191</v>
      </c>
      <c r="V6640" s="51" t="s">
        <v>2142</v>
      </c>
      <c r="W6640" s="51" t="s">
        <v>6202</v>
      </c>
      <c r="X6640" s="51" t="s">
        <v>2359</v>
      </c>
    </row>
    <row r="6641" customFormat="false" ht="14.25" hidden="true" customHeight="false" outlineLevel="0" collapsed="false">
      <c r="A6641" s="49" t="s">
        <v>2349</v>
      </c>
      <c r="B6641" s="49" t="s">
        <v>2350</v>
      </c>
      <c r="C6641" s="49" t="s">
        <v>11345</v>
      </c>
      <c r="D6641" s="49" t="s">
        <v>2352</v>
      </c>
      <c r="E6641" s="49" t="str">
        <f aca="false">"5060458890191"</f>
        <v>5060458890191</v>
      </c>
      <c r="F6641" s="49" t="s">
        <v>3656</v>
      </c>
      <c r="G6641" s="49" t="n">
        <v>0</v>
      </c>
      <c r="H6641" s="0" t="n">
        <v>0</v>
      </c>
      <c r="M6641" s="51" t="s">
        <v>11322</v>
      </c>
      <c r="N6641" s="49" t="n">
        <v>0</v>
      </c>
      <c r="O6641" s="53" t="n">
        <v>45928.5684953704</v>
      </c>
      <c r="P6641" s="53" t="n">
        <v>45939.5278935185</v>
      </c>
      <c r="Q6641" s="53" t="n">
        <v>45928.5684953704</v>
      </c>
      <c r="R6641" s="0" t="n">
        <v>0</v>
      </c>
      <c r="S6641" s="51" t="s">
        <v>2416</v>
      </c>
      <c r="T6641" s="51" t="s">
        <v>2416</v>
      </c>
      <c r="U6641" s="0" t="str">
        <f aca="false">"5060458890191"</f>
        <v>5060458890191</v>
      </c>
      <c r="V6641" s="51" t="s">
        <v>2142</v>
      </c>
      <c r="W6641" s="51" t="s">
        <v>11073</v>
      </c>
      <c r="X6641" s="51" t="s">
        <v>2359</v>
      </c>
    </row>
    <row r="6642" customFormat="false" ht="14.25" hidden="true" customHeight="false" outlineLevel="0" collapsed="false">
      <c r="A6642" s="49" t="s">
        <v>2349</v>
      </c>
      <c r="B6642" s="49" t="s">
        <v>2350</v>
      </c>
      <c r="C6642" s="49" t="s">
        <v>11346</v>
      </c>
      <c r="D6642" s="49" t="s">
        <v>2352</v>
      </c>
      <c r="E6642" s="49" t="str">
        <f aca="false">"5060458890191"</f>
        <v>5060458890191</v>
      </c>
      <c r="F6642" s="49" t="s">
        <v>3656</v>
      </c>
      <c r="G6642" s="49" t="n">
        <v>0</v>
      </c>
      <c r="H6642" s="0" t="n">
        <v>0</v>
      </c>
      <c r="M6642" s="51" t="s">
        <v>11322</v>
      </c>
      <c r="N6642" s="49" t="n">
        <v>0</v>
      </c>
      <c r="O6642" s="53" t="n">
        <v>45928.5686458333</v>
      </c>
      <c r="P6642" s="53" t="n">
        <v>45939.5335185185</v>
      </c>
      <c r="Q6642" s="53" t="n">
        <v>45928.5686458333</v>
      </c>
      <c r="R6642" s="0" t="n">
        <v>0</v>
      </c>
      <c r="S6642" s="51" t="s">
        <v>2416</v>
      </c>
      <c r="T6642" s="51" t="s">
        <v>2416</v>
      </c>
      <c r="U6642" s="0" t="str">
        <f aca="false">"5060458890191"</f>
        <v>5060458890191</v>
      </c>
      <c r="V6642" s="51" t="s">
        <v>2142</v>
      </c>
      <c r="W6642" s="51" t="s">
        <v>10142</v>
      </c>
      <c r="X6642" s="51" t="s">
        <v>2359</v>
      </c>
    </row>
    <row r="6643" customFormat="false" ht="14.25" hidden="true" customHeight="false" outlineLevel="0" collapsed="false">
      <c r="A6643" s="49" t="s">
        <v>2349</v>
      </c>
      <c r="B6643" s="49" t="s">
        <v>2350</v>
      </c>
      <c r="C6643" s="49" t="s">
        <v>11347</v>
      </c>
      <c r="D6643" s="49" t="s">
        <v>2352</v>
      </c>
      <c r="E6643" s="49" t="str">
        <f aca="false">"5060458890191"</f>
        <v>5060458890191</v>
      </c>
      <c r="F6643" s="49" t="s">
        <v>3656</v>
      </c>
      <c r="G6643" s="49" t="n">
        <v>0</v>
      </c>
      <c r="H6643" s="0" t="n">
        <v>0</v>
      </c>
      <c r="M6643" s="51" t="s">
        <v>11322</v>
      </c>
      <c r="N6643" s="49" t="n">
        <v>0</v>
      </c>
      <c r="O6643" s="53" t="n">
        <v>45928.5696412037</v>
      </c>
      <c r="P6643" s="53" t="n">
        <v>45939.5147453704</v>
      </c>
      <c r="Q6643" s="53" t="n">
        <v>45928.5696412037</v>
      </c>
      <c r="R6643" s="0" t="n">
        <v>0</v>
      </c>
      <c r="S6643" s="51" t="s">
        <v>2416</v>
      </c>
      <c r="T6643" s="51" t="s">
        <v>2416</v>
      </c>
      <c r="U6643" s="0" t="str">
        <f aca="false">"5060458890191"</f>
        <v>5060458890191</v>
      </c>
      <c r="V6643" s="51" t="s">
        <v>2142</v>
      </c>
      <c r="W6643" s="51" t="s">
        <v>5945</v>
      </c>
      <c r="X6643" s="51" t="s">
        <v>2359</v>
      </c>
    </row>
    <row r="6644" customFormat="false" ht="14.25" hidden="true" customHeight="false" outlineLevel="0" collapsed="false">
      <c r="A6644" s="49" t="s">
        <v>2349</v>
      </c>
      <c r="B6644" s="49" t="s">
        <v>2350</v>
      </c>
      <c r="C6644" s="49" t="s">
        <v>11348</v>
      </c>
      <c r="D6644" s="49" t="s">
        <v>2352</v>
      </c>
      <c r="E6644" s="49" t="str">
        <f aca="false">"5060458890191"</f>
        <v>5060458890191</v>
      </c>
      <c r="F6644" s="49" t="s">
        <v>3656</v>
      </c>
      <c r="G6644" s="49" t="n">
        <v>0</v>
      </c>
      <c r="H6644" s="0" t="n">
        <v>0</v>
      </c>
      <c r="M6644" s="51" t="s">
        <v>11322</v>
      </c>
      <c r="N6644" s="49" t="n">
        <v>0</v>
      </c>
      <c r="O6644" s="53" t="n">
        <v>45928.5697106481</v>
      </c>
      <c r="P6644" s="53" t="n">
        <v>45994.945775463</v>
      </c>
      <c r="Q6644" s="53" t="n">
        <v>45928.5697106481</v>
      </c>
      <c r="R6644" s="0" t="n">
        <v>0</v>
      </c>
      <c r="S6644" s="51" t="s">
        <v>2416</v>
      </c>
      <c r="T6644" s="51" t="s">
        <v>2416</v>
      </c>
      <c r="U6644" s="0" t="str">
        <f aca="false">"5060458890191"</f>
        <v>5060458890191</v>
      </c>
      <c r="V6644" s="51" t="s">
        <v>2142</v>
      </c>
      <c r="W6644" s="51" t="s">
        <v>8703</v>
      </c>
      <c r="X6644" s="51" t="s">
        <v>2359</v>
      </c>
    </row>
    <row r="6645" customFormat="false" ht="14.25" hidden="true" customHeight="false" outlineLevel="0" collapsed="false">
      <c r="A6645" s="49" t="s">
        <v>2349</v>
      </c>
      <c r="B6645" s="49" t="s">
        <v>2350</v>
      </c>
      <c r="C6645" s="49" t="s">
        <v>11349</v>
      </c>
      <c r="D6645" s="49" t="s">
        <v>2352</v>
      </c>
      <c r="E6645" s="49" t="str">
        <f aca="false">"5060458890191"</f>
        <v>5060458890191</v>
      </c>
      <c r="F6645" s="49" t="s">
        <v>3656</v>
      </c>
      <c r="G6645" s="49" t="n">
        <v>0</v>
      </c>
      <c r="H6645" s="0" t="n">
        <v>0</v>
      </c>
      <c r="M6645" s="51" t="s">
        <v>11322</v>
      </c>
      <c r="N6645" s="49" t="n">
        <v>0</v>
      </c>
      <c r="O6645" s="53" t="n">
        <v>45928.5698148148</v>
      </c>
      <c r="P6645" s="53" t="n">
        <v>45939.5318865741</v>
      </c>
      <c r="Q6645" s="53" t="n">
        <v>45928.5698148148</v>
      </c>
      <c r="R6645" s="0" t="n">
        <v>0</v>
      </c>
      <c r="S6645" s="51" t="s">
        <v>2416</v>
      </c>
      <c r="T6645" s="51" t="s">
        <v>2416</v>
      </c>
      <c r="U6645" s="0" t="str">
        <f aca="false">"5060458890191"</f>
        <v>5060458890191</v>
      </c>
      <c r="V6645" s="51" t="s">
        <v>2142</v>
      </c>
      <c r="W6645" s="51" t="s">
        <v>10752</v>
      </c>
      <c r="X6645" s="51" t="s">
        <v>2359</v>
      </c>
    </row>
    <row r="6646" customFormat="false" ht="14.25" hidden="true" customHeight="false" outlineLevel="0" collapsed="false">
      <c r="A6646" s="49" t="s">
        <v>2349</v>
      </c>
      <c r="B6646" s="49" t="s">
        <v>2350</v>
      </c>
      <c r="C6646" s="49" t="s">
        <v>11350</v>
      </c>
      <c r="D6646" s="49" t="s">
        <v>2352</v>
      </c>
      <c r="E6646" s="49" t="str">
        <f aca="false">"5060458890191"</f>
        <v>5060458890191</v>
      </c>
      <c r="F6646" s="49" t="s">
        <v>3656</v>
      </c>
      <c r="G6646" s="49" t="n">
        <v>0</v>
      </c>
      <c r="H6646" s="0" t="n">
        <v>0</v>
      </c>
      <c r="M6646" s="51" t="s">
        <v>11322</v>
      </c>
      <c r="N6646" s="49" t="n">
        <v>0</v>
      </c>
      <c r="O6646" s="53" t="n">
        <v>45928.5698958333</v>
      </c>
      <c r="P6646" s="53" t="n">
        <v>45956.4642824074</v>
      </c>
      <c r="Q6646" s="53" t="n">
        <v>45928.5698958333</v>
      </c>
      <c r="R6646" s="0" t="n">
        <v>0</v>
      </c>
      <c r="S6646" s="51" t="s">
        <v>2416</v>
      </c>
      <c r="T6646" s="51" t="s">
        <v>2416</v>
      </c>
      <c r="U6646" s="0" t="str">
        <f aca="false">"5060458890191"</f>
        <v>5060458890191</v>
      </c>
      <c r="V6646" s="51" t="s">
        <v>2142</v>
      </c>
      <c r="W6646" s="51" t="s">
        <v>11351</v>
      </c>
      <c r="X6646" s="51" t="s">
        <v>2359</v>
      </c>
    </row>
    <row r="6647" customFormat="false" ht="14.25" hidden="true" customHeight="false" outlineLevel="0" collapsed="false">
      <c r="A6647" s="49" t="s">
        <v>2349</v>
      </c>
      <c r="B6647" s="49" t="s">
        <v>2350</v>
      </c>
      <c r="C6647" s="49" t="s">
        <v>11352</v>
      </c>
      <c r="D6647" s="49" t="s">
        <v>2352</v>
      </c>
      <c r="E6647" s="49" t="str">
        <f aca="false">"5060458890191"</f>
        <v>5060458890191</v>
      </c>
      <c r="F6647" s="49" t="s">
        <v>3656</v>
      </c>
      <c r="G6647" s="49" t="n">
        <v>0</v>
      </c>
      <c r="H6647" s="0" t="n">
        <v>0</v>
      </c>
      <c r="M6647" s="51" t="s">
        <v>11322</v>
      </c>
      <c r="N6647" s="49" t="n">
        <v>0</v>
      </c>
      <c r="O6647" s="53" t="n">
        <v>45928.5699768519</v>
      </c>
      <c r="P6647" s="53" t="n">
        <v>45943.6520717593</v>
      </c>
      <c r="Q6647" s="53" t="n">
        <v>45928.5699768519</v>
      </c>
      <c r="R6647" s="0" t="n">
        <v>0</v>
      </c>
      <c r="S6647" s="51" t="s">
        <v>2416</v>
      </c>
      <c r="T6647" s="51" t="s">
        <v>2416</v>
      </c>
      <c r="U6647" s="0" t="str">
        <f aca="false">"5060458890191"</f>
        <v>5060458890191</v>
      </c>
      <c r="V6647" s="51" t="s">
        <v>2142</v>
      </c>
      <c r="W6647" s="51" t="s">
        <v>11353</v>
      </c>
      <c r="X6647" s="51" t="s">
        <v>2359</v>
      </c>
    </row>
    <row r="6648" customFormat="false" ht="14.25" hidden="true" customHeight="false" outlineLevel="0" collapsed="false">
      <c r="A6648" s="49" t="s">
        <v>2349</v>
      </c>
      <c r="B6648" s="49" t="s">
        <v>2350</v>
      </c>
      <c r="C6648" s="49" t="s">
        <v>11354</v>
      </c>
      <c r="D6648" s="49" t="s">
        <v>2352</v>
      </c>
      <c r="E6648" s="49" t="str">
        <f aca="false">"5060458890191"</f>
        <v>5060458890191</v>
      </c>
      <c r="F6648" s="49" t="s">
        <v>3656</v>
      </c>
      <c r="G6648" s="49" t="n">
        <v>0</v>
      </c>
      <c r="H6648" s="0" t="n">
        <v>0</v>
      </c>
      <c r="M6648" s="51" t="s">
        <v>11322</v>
      </c>
      <c r="N6648" s="49" t="n">
        <v>0</v>
      </c>
      <c r="O6648" s="53" t="n">
        <v>45928.5677430556</v>
      </c>
      <c r="P6648" s="53" t="n">
        <v>45943.6509143519</v>
      </c>
      <c r="Q6648" s="53" t="n">
        <v>45928.5677430556</v>
      </c>
      <c r="R6648" s="0" t="n">
        <v>0</v>
      </c>
      <c r="S6648" s="51" t="s">
        <v>2416</v>
      </c>
      <c r="T6648" s="51" t="s">
        <v>2416</v>
      </c>
      <c r="U6648" s="0" t="str">
        <f aca="false">"5060458890191"</f>
        <v>5060458890191</v>
      </c>
      <c r="V6648" s="51" t="s">
        <v>2142</v>
      </c>
      <c r="W6648" s="51" t="s">
        <v>5648</v>
      </c>
      <c r="X6648" s="51" t="s">
        <v>2359</v>
      </c>
    </row>
    <row r="6649" customFormat="false" ht="14.25" hidden="true" customHeight="false" outlineLevel="0" collapsed="false">
      <c r="A6649" s="49" t="s">
        <v>2349</v>
      </c>
      <c r="B6649" s="49" t="s">
        <v>2350</v>
      </c>
      <c r="C6649" s="49" t="s">
        <v>11355</v>
      </c>
      <c r="D6649" s="49" t="s">
        <v>2352</v>
      </c>
      <c r="E6649" s="49" t="s">
        <v>4166</v>
      </c>
      <c r="F6649" s="49" t="s">
        <v>4167</v>
      </c>
      <c r="G6649" s="49" t="n">
        <v>0</v>
      </c>
      <c r="H6649" s="0" t="n">
        <v>0</v>
      </c>
      <c r="M6649" s="51" t="s">
        <v>11356</v>
      </c>
      <c r="N6649" s="49" t="n">
        <v>0</v>
      </c>
      <c r="O6649" s="53" t="n">
        <v>45928.4430208333</v>
      </c>
      <c r="P6649" s="53" t="n">
        <v>45939.6503240741</v>
      </c>
      <c r="Q6649" s="53" t="n">
        <v>45928.4430208333</v>
      </c>
      <c r="R6649" s="0" t="n">
        <v>0</v>
      </c>
      <c r="S6649" s="51" t="s">
        <v>2356</v>
      </c>
      <c r="T6649" s="51" t="s">
        <v>2356</v>
      </c>
      <c r="U6649" s="51" t="s">
        <v>4166</v>
      </c>
      <c r="V6649" s="51" t="s">
        <v>2365</v>
      </c>
      <c r="W6649" s="51" t="s">
        <v>4175</v>
      </c>
      <c r="X6649" s="51" t="s">
        <v>2359</v>
      </c>
    </row>
    <row r="6650" customFormat="false" ht="14.25" hidden="true" customHeight="false" outlineLevel="0" collapsed="false">
      <c r="A6650" s="49" t="s">
        <v>2349</v>
      </c>
      <c r="B6650" s="49" t="s">
        <v>2350</v>
      </c>
      <c r="C6650" s="49" t="s">
        <v>11357</v>
      </c>
      <c r="D6650" s="49" t="s">
        <v>2352</v>
      </c>
      <c r="E6650" s="49" t="s">
        <v>4166</v>
      </c>
      <c r="F6650" s="49" t="s">
        <v>4167</v>
      </c>
      <c r="G6650" s="49" t="n">
        <v>0</v>
      </c>
      <c r="H6650" s="0" t="n">
        <v>0</v>
      </c>
      <c r="M6650" s="51" t="s">
        <v>11356</v>
      </c>
      <c r="N6650" s="49" t="n">
        <v>0</v>
      </c>
      <c r="O6650" s="53" t="n">
        <v>45928.4415509259</v>
      </c>
      <c r="P6650" s="53" t="n">
        <v>45956.6963888889</v>
      </c>
      <c r="Q6650" s="53" t="n">
        <v>45928.4415509259</v>
      </c>
      <c r="R6650" s="0" t="n">
        <v>0</v>
      </c>
      <c r="S6650" s="51" t="s">
        <v>2356</v>
      </c>
      <c r="T6650" s="51" t="s">
        <v>2356</v>
      </c>
      <c r="U6650" s="51" t="s">
        <v>4166</v>
      </c>
      <c r="V6650" s="51" t="s">
        <v>2365</v>
      </c>
      <c r="W6650" s="51" t="s">
        <v>5388</v>
      </c>
      <c r="X6650" s="51" t="s">
        <v>2359</v>
      </c>
    </row>
    <row r="6651" customFormat="false" ht="14.25" hidden="true" customHeight="false" outlineLevel="0" collapsed="false">
      <c r="A6651" s="49" t="s">
        <v>2349</v>
      </c>
      <c r="B6651" s="49" t="s">
        <v>2350</v>
      </c>
      <c r="C6651" s="49" t="s">
        <v>11358</v>
      </c>
      <c r="D6651" s="49" t="s">
        <v>2352</v>
      </c>
      <c r="E6651" s="49" t="s">
        <v>4166</v>
      </c>
      <c r="F6651" s="49" t="s">
        <v>4167</v>
      </c>
      <c r="G6651" s="49" t="n">
        <v>0</v>
      </c>
      <c r="H6651" s="0" t="n">
        <v>0</v>
      </c>
      <c r="M6651" s="51" t="s">
        <v>11356</v>
      </c>
      <c r="N6651" s="49" t="n">
        <v>0</v>
      </c>
      <c r="O6651" s="53" t="n">
        <v>45928.4412615741</v>
      </c>
      <c r="P6651" s="53" t="n">
        <v>45939.6504513889</v>
      </c>
      <c r="Q6651" s="53" t="n">
        <v>45928.4412615741</v>
      </c>
      <c r="R6651" s="0" t="n">
        <v>0</v>
      </c>
      <c r="S6651" s="51" t="s">
        <v>2356</v>
      </c>
      <c r="T6651" s="51" t="s">
        <v>2356</v>
      </c>
      <c r="U6651" s="51" t="s">
        <v>4166</v>
      </c>
      <c r="V6651" s="51" t="s">
        <v>2365</v>
      </c>
      <c r="W6651" s="51" t="s">
        <v>5490</v>
      </c>
      <c r="X6651" s="51" t="s">
        <v>2359</v>
      </c>
    </row>
    <row r="6652" customFormat="false" ht="14.25" hidden="true" customHeight="false" outlineLevel="0" collapsed="false">
      <c r="A6652" s="49" t="s">
        <v>2349</v>
      </c>
      <c r="B6652" s="49" t="s">
        <v>2350</v>
      </c>
      <c r="C6652" s="49" t="s">
        <v>11359</v>
      </c>
      <c r="D6652" s="49" t="s">
        <v>2352</v>
      </c>
      <c r="E6652" s="49" t="s">
        <v>4166</v>
      </c>
      <c r="F6652" s="49" t="s">
        <v>4167</v>
      </c>
      <c r="G6652" s="49" t="n">
        <v>0</v>
      </c>
      <c r="H6652" s="0" t="n">
        <v>0</v>
      </c>
      <c r="M6652" s="51" t="s">
        <v>11356</v>
      </c>
      <c r="N6652" s="49" t="n">
        <v>0</v>
      </c>
      <c r="O6652" s="53" t="n">
        <v>45928.4403472222</v>
      </c>
      <c r="P6652" s="53" t="n">
        <v>45956.701400463</v>
      </c>
      <c r="Q6652" s="53" t="n">
        <v>45928.4403472222</v>
      </c>
      <c r="R6652" s="0" t="n">
        <v>0</v>
      </c>
      <c r="S6652" s="51" t="s">
        <v>2356</v>
      </c>
      <c r="T6652" s="51" t="s">
        <v>2356</v>
      </c>
      <c r="U6652" s="51" t="s">
        <v>4166</v>
      </c>
      <c r="V6652" s="51" t="s">
        <v>2365</v>
      </c>
      <c r="W6652" s="51" t="s">
        <v>5487</v>
      </c>
      <c r="X6652" s="51" t="s">
        <v>2359</v>
      </c>
    </row>
    <row r="6653" customFormat="false" ht="14.25" hidden="true" customHeight="false" outlineLevel="0" collapsed="false">
      <c r="A6653" s="49" t="s">
        <v>2349</v>
      </c>
      <c r="B6653" s="49" t="s">
        <v>2350</v>
      </c>
      <c r="C6653" s="49" t="s">
        <v>11360</v>
      </c>
      <c r="D6653" s="49" t="s">
        <v>2352</v>
      </c>
      <c r="E6653" s="49" t="s">
        <v>4166</v>
      </c>
      <c r="F6653" s="49" t="s">
        <v>4167</v>
      </c>
      <c r="G6653" s="49" t="n">
        <v>0</v>
      </c>
      <c r="H6653" s="0" t="n">
        <v>0</v>
      </c>
      <c r="M6653" s="51" t="s">
        <v>11356</v>
      </c>
      <c r="N6653" s="49" t="n">
        <v>0</v>
      </c>
      <c r="O6653" s="53" t="n">
        <v>45928.4409259259</v>
      </c>
      <c r="P6653" s="53" t="n">
        <v>45956.7015162037</v>
      </c>
      <c r="Q6653" s="53" t="n">
        <v>45928.4409259259</v>
      </c>
      <c r="R6653" s="0" t="n">
        <v>0</v>
      </c>
      <c r="S6653" s="51" t="s">
        <v>2356</v>
      </c>
      <c r="T6653" s="51" t="s">
        <v>2356</v>
      </c>
      <c r="U6653" s="51" t="s">
        <v>4166</v>
      </c>
      <c r="V6653" s="51" t="s">
        <v>2365</v>
      </c>
      <c r="W6653" s="51" t="s">
        <v>5484</v>
      </c>
      <c r="X6653" s="51" t="s">
        <v>2359</v>
      </c>
    </row>
    <row r="6654" customFormat="false" ht="14.25" hidden="true" customHeight="false" outlineLevel="0" collapsed="false">
      <c r="A6654" s="49" t="s">
        <v>2349</v>
      </c>
      <c r="B6654" s="49" t="s">
        <v>2350</v>
      </c>
      <c r="C6654" s="49" t="s">
        <v>11361</v>
      </c>
      <c r="D6654" s="49" t="s">
        <v>2352</v>
      </c>
      <c r="E6654" s="49" t="s">
        <v>4166</v>
      </c>
      <c r="F6654" s="49" t="s">
        <v>4167</v>
      </c>
      <c r="G6654" s="49" t="n">
        <v>0</v>
      </c>
      <c r="H6654" s="0" t="n">
        <v>0</v>
      </c>
      <c r="M6654" s="51" t="s">
        <v>11356</v>
      </c>
      <c r="N6654" s="49" t="n">
        <v>0</v>
      </c>
      <c r="O6654" s="53" t="n">
        <v>45928.4400462963</v>
      </c>
      <c r="P6654" s="53" t="n">
        <v>45956.7012962963</v>
      </c>
      <c r="Q6654" s="53" t="n">
        <v>45928.4400462963</v>
      </c>
      <c r="R6654" s="0" t="n">
        <v>0</v>
      </c>
      <c r="S6654" s="51" t="s">
        <v>2356</v>
      </c>
      <c r="T6654" s="51" t="s">
        <v>2356</v>
      </c>
      <c r="U6654" s="51" t="s">
        <v>4166</v>
      </c>
      <c r="V6654" s="51" t="s">
        <v>2365</v>
      </c>
      <c r="W6654" s="51" t="s">
        <v>7688</v>
      </c>
      <c r="X6654" s="51" t="s">
        <v>2359</v>
      </c>
    </row>
    <row r="6655" customFormat="false" ht="14.25" hidden="true" customHeight="false" outlineLevel="0" collapsed="false">
      <c r="A6655" s="49" t="s">
        <v>2349</v>
      </c>
      <c r="B6655" s="49" t="s">
        <v>2350</v>
      </c>
      <c r="C6655" s="49" t="s">
        <v>11362</v>
      </c>
      <c r="D6655" s="49" t="s">
        <v>2352</v>
      </c>
      <c r="E6655" s="49" t="s">
        <v>4166</v>
      </c>
      <c r="F6655" s="49" t="s">
        <v>4167</v>
      </c>
      <c r="G6655" s="49" t="n">
        <v>0</v>
      </c>
      <c r="H6655" s="0" t="n">
        <v>0</v>
      </c>
      <c r="M6655" s="51" t="s">
        <v>11356</v>
      </c>
      <c r="N6655" s="49" t="n">
        <v>0</v>
      </c>
      <c r="O6655" s="53" t="n">
        <v>45928.4396527778</v>
      </c>
      <c r="P6655" s="53" t="n">
        <v>45956.7019444444</v>
      </c>
      <c r="Q6655" s="53" t="n">
        <v>45928.4396527778</v>
      </c>
      <c r="R6655" s="0" t="n">
        <v>0</v>
      </c>
      <c r="S6655" s="51" t="s">
        <v>2356</v>
      </c>
      <c r="T6655" s="51" t="s">
        <v>2356</v>
      </c>
      <c r="U6655" s="51" t="s">
        <v>4166</v>
      </c>
      <c r="V6655" s="51" t="s">
        <v>2365</v>
      </c>
      <c r="W6655" s="51" t="s">
        <v>5392</v>
      </c>
      <c r="X6655" s="51" t="s">
        <v>2359</v>
      </c>
    </row>
    <row r="6656" customFormat="false" ht="14.25" hidden="true" customHeight="false" outlineLevel="0" collapsed="false">
      <c r="A6656" s="49" t="s">
        <v>2349</v>
      </c>
      <c r="B6656" s="49" t="s">
        <v>2350</v>
      </c>
      <c r="C6656" s="49" t="s">
        <v>11363</v>
      </c>
      <c r="D6656" s="49" t="s">
        <v>2352</v>
      </c>
      <c r="E6656" s="49" t="s">
        <v>4166</v>
      </c>
      <c r="F6656" s="49" t="s">
        <v>4167</v>
      </c>
      <c r="G6656" s="49" t="n">
        <v>0</v>
      </c>
      <c r="H6656" s="0" t="n">
        <v>0</v>
      </c>
      <c r="M6656" s="51" t="s">
        <v>11356</v>
      </c>
      <c r="N6656" s="49" t="n">
        <v>0</v>
      </c>
      <c r="O6656" s="53" t="n">
        <v>45928.4393287037</v>
      </c>
      <c r="P6656" s="53" t="n">
        <v>45956.7020601852</v>
      </c>
      <c r="Q6656" s="53" t="n">
        <v>45928.4393287037</v>
      </c>
      <c r="R6656" s="0" t="n">
        <v>0</v>
      </c>
      <c r="S6656" s="51" t="s">
        <v>2356</v>
      </c>
      <c r="T6656" s="51" t="s">
        <v>2356</v>
      </c>
      <c r="U6656" s="51" t="s">
        <v>4166</v>
      </c>
      <c r="V6656" s="51" t="s">
        <v>2365</v>
      </c>
      <c r="W6656" s="51" t="s">
        <v>7258</v>
      </c>
      <c r="X6656" s="51" t="s">
        <v>2359</v>
      </c>
    </row>
    <row r="6657" customFormat="false" ht="14.25" hidden="true" customHeight="false" outlineLevel="0" collapsed="false">
      <c r="A6657" s="49" t="s">
        <v>2349</v>
      </c>
      <c r="B6657" s="49" t="s">
        <v>2350</v>
      </c>
      <c r="C6657" s="49" t="s">
        <v>11364</v>
      </c>
      <c r="D6657" s="49" t="s">
        <v>2352</v>
      </c>
      <c r="E6657" s="49" t="s">
        <v>4166</v>
      </c>
      <c r="F6657" s="49" t="s">
        <v>4167</v>
      </c>
      <c r="G6657" s="49" t="n">
        <v>0</v>
      </c>
      <c r="H6657" s="0" t="n">
        <v>0</v>
      </c>
      <c r="M6657" s="51" t="s">
        <v>11356</v>
      </c>
      <c r="N6657" s="49" t="n">
        <v>0</v>
      </c>
      <c r="O6657" s="53" t="n">
        <v>45928.4389583333</v>
      </c>
      <c r="P6657" s="53" t="n">
        <v>45981.8113078704</v>
      </c>
      <c r="Q6657" s="53" t="n">
        <v>45928.4389583333</v>
      </c>
      <c r="R6657" s="0" t="n">
        <v>0</v>
      </c>
      <c r="S6657" s="51" t="s">
        <v>2356</v>
      </c>
      <c r="T6657" s="51" t="s">
        <v>2356</v>
      </c>
      <c r="U6657" s="51" t="s">
        <v>4166</v>
      </c>
      <c r="V6657" s="51" t="s">
        <v>2365</v>
      </c>
      <c r="W6657" s="51" t="s">
        <v>5759</v>
      </c>
      <c r="X6657" s="51" t="s">
        <v>2359</v>
      </c>
    </row>
    <row r="6658" customFormat="false" ht="14.25" hidden="true" customHeight="false" outlineLevel="0" collapsed="false">
      <c r="A6658" s="49" t="s">
        <v>2349</v>
      </c>
      <c r="B6658" s="49" t="s">
        <v>2350</v>
      </c>
      <c r="C6658" s="49" t="s">
        <v>11365</v>
      </c>
      <c r="D6658" s="49" t="s">
        <v>2352</v>
      </c>
      <c r="E6658" s="49" t="s">
        <v>4166</v>
      </c>
      <c r="F6658" s="49" t="s">
        <v>4167</v>
      </c>
      <c r="G6658" s="49" t="n">
        <v>0</v>
      </c>
      <c r="H6658" s="0" t="n">
        <v>0</v>
      </c>
      <c r="M6658" s="51" t="s">
        <v>11356</v>
      </c>
      <c r="N6658" s="49" t="n">
        <v>0</v>
      </c>
      <c r="O6658" s="53" t="n">
        <v>45928.438599537</v>
      </c>
      <c r="P6658" s="53" t="n">
        <v>45981.8111921296</v>
      </c>
      <c r="Q6658" s="53" t="n">
        <v>45928.438599537</v>
      </c>
      <c r="R6658" s="0" t="n">
        <v>0</v>
      </c>
      <c r="S6658" s="51" t="s">
        <v>2356</v>
      </c>
      <c r="T6658" s="51" t="s">
        <v>2356</v>
      </c>
      <c r="U6658" s="51" t="s">
        <v>4166</v>
      </c>
      <c r="V6658" s="51" t="s">
        <v>2365</v>
      </c>
      <c r="W6658" s="51" t="s">
        <v>7265</v>
      </c>
      <c r="X6658" s="51" t="s">
        <v>2359</v>
      </c>
    </row>
    <row r="6659" customFormat="false" ht="14.25" hidden="true" customHeight="false" outlineLevel="0" collapsed="false">
      <c r="A6659" s="49" t="s">
        <v>2349</v>
      </c>
      <c r="B6659" s="49" t="s">
        <v>2350</v>
      </c>
      <c r="C6659" s="49" t="s">
        <v>11366</v>
      </c>
      <c r="D6659" s="49" t="s">
        <v>2352</v>
      </c>
      <c r="E6659" s="49" t="s">
        <v>4166</v>
      </c>
      <c r="F6659" s="49" t="s">
        <v>4167</v>
      </c>
      <c r="G6659" s="49" t="n">
        <v>0</v>
      </c>
      <c r="H6659" s="0" t="n">
        <v>0</v>
      </c>
      <c r="M6659" s="51" t="s">
        <v>11356</v>
      </c>
      <c r="N6659" s="49" t="n">
        <v>0</v>
      </c>
      <c r="O6659" s="53" t="n">
        <v>45928.4382175926</v>
      </c>
      <c r="P6659" s="53" t="n">
        <v>45981.8114236111</v>
      </c>
      <c r="Q6659" s="53" t="n">
        <v>45928.4382175926</v>
      </c>
      <c r="R6659" s="0" t="n">
        <v>0</v>
      </c>
      <c r="S6659" s="51" t="s">
        <v>2356</v>
      </c>
      <c r="T6659" s="51" t="s">
        <v>2356</v>
      </c>
      <c r="U6659" s="51" t="s">
        <v>4166</v>
      </c>
      <c r="V6659" s="51" t="s">
        <v>2365</v>
      </c>
      <c r="W6659" s="51" t="s">
        <v>9075</v>
      </c>
      <c r="X6659" s="51" t="s">
        <v>2359</v>
      </c>
    </row>
    <row r="6660" customFormat="false" ht="14.25" hidden="true" customHeight="false" outlineLevel="0" collapsed="false">
      <c r="A6660" s="49" t="s">
        <v>2349</v>
      </c>
      <c r="B6660" s="49" t="s">
        <v>2350</v>
      </c>
      <c r="C6660" s="49" t="s">
        <v>11367</v>
      </c>
      <c r="D6660" s="49" t="s">
        <v>2352</v>
      </c>
      <c r="E6660" s="49" t="s">
        <v>4166</v>
      </c>
      <c r="F6660" s="49" t="s">
        <v>4167</v>
      </c>
      <c r="G6660" s="49" t="n">
        <v>0</v>
      </c>
      <c r="H6660" s="0" t="n">
        <v>0</v>
      </c>
      <c r="M6660" s="51" t="s">
        <v>11356</v>
      </c>
      <c r="N6660" s="49" t="n">
        <v>0</v>
      </c>
      <c r="O6660" s="53" t="n">
        <v>45928.4434143519</v>
      </c>
      <c r="P6660" s="53" t="n">
        <v>45939.6508680556</v>
      </c>
      <c r="Q6660" s="53" t="n">
        <v>45928.4434143519</v>
      </c>
      <c r="R6660" s="0" t="n">
        <v>0</v>
      </c>
      <c r="S6660" s="51" t="s">
        <v>2356</v>
      </c>
      <c r="T6660" s="51" t="s">
        <v>2356</v>
      </c>
      <c r="U6660" s="51" t="s">
        <v>4166</v>
      </c>
      <c r="V6660" s="51" t="s">
        <v>2365</v>
      </c>
      <c r="W6660" s="51" t="s">
        <v>6817</v>
      </c>
      <c r="X6660" s="51" t="s">
        <v>2359</v>
      </c>
    </row>
    <row r="6661" customFormat="false" ht="14.25" hidden="true" customHeight="false" outlineLevel="0" collapsed="false">
      <c r="A6661" s="49" t="s">
        <v>2349</v>
      </c>
      <c r="B6661" s="49" t="s">
        <v>2350</v>
      </c>
      <c r="C6661" s="49" t="s">
        <v>11368</v>
      </c>
      <c r="D6661" s="49" t="s">
        <v>2352</v>
      </c>
      <c r="E6661" s="49" t="s">
        <v>4166</v>
      </c>
      <c r="F6661" s="49" t="s">
        <v>4167</v>
      </c>
      <c r="G6661" s="49" t="n">
        <v>0</v>
      </c>
      <c r="H6661" s="0" t="n">
        <v>0</v>
      </c>
      <c r="M6661" s="51" t="s">
        <v>11356</v>
      </c>
      <c r="N6661" s="49" t="n">
        <v>0</v>
      </c>
      <c r="O6661" s="53" t="n">
        <v>45928.4371875</v>
      </c>
      <c r="P6661" s="53" t="n">
        <v>45939.6509837963</v>
      </c>
      <c r="Q6661" s="53" t="n">
        <v>45928.4371875</v>
      </c>
      <c r="R6661" s="0" t="n">
        <v>0</v>
      </c>
      <c r="S6661" s="51" t="s">
        <v>2356</v>
      </c>
      <c r="T6661" s="51" t="s">
        <v>2356</v>
      </c>
      <c r="U6661" s="51" t="s">
        <v>4166</v>
      </c>
      <c r="V6661" s="51" t="s">
        <v>2365</v>
      </c>
      <c r="W6661" s="51" t="s">
        <v>3745</v>
      </c>
      <c r="X6661" s="51" t="s">
        <v>2359</v>
      </c>
    </row>
    <row r="6662" customFormat="false" ht="14.25" hidden="true" customHeight="false" outlineLevel="0" collapsed="false">
      <c r="A6662" s="49" t="s">
        <v>2349</v>
      </c>
      <c r="B6662" s="49" t="s">
        <v>2350</v>
      </c>
      <c r="C6662" s="49" t="s">
        <v>11369</v>
      </c>
      <c r="D6662" s="49" t="s">
        <v>2352</v>
      </c>
      <c r="E6662" s="49" t="s">
        <v>4166</v>
      </c>
      <c r="F6662" s="49" t="s">
        <v>4167</v>
      </c>
      <c r="G6662" s="49" t="n">
        <v>0</v>
      </c>
      <c r="H6662" s="0" t="n">
        <v>0</v>
      </c>
      <c r="M6662" s="51" t="s">
        <v>11356</v>
      </c>
      <c r="N6662" s="49" t="n">
        <v>0</v>
      </c>
      <c r="O6662" s="53" t="n">
        <v>45928.4368402778</v>
      </c>
      <c r="P6662" s="53" t="n">
        <v>45939.6511111111</v>
      </c>
      <c r="Q6662" s="53" t="n">
        <v>45928.4368402778</v>
      </c>
      <c r="R6662" s="0" t="n">
        <v>0</v>
      </c>
      <c r="S6662" s="51" t="s">
        <v>2356</v>
      </c>
      <c r="T6662" s="51" t="s">
        <v>2356</v>
      </c>
      <c r="U6662" s="51" t="s">
        <v>4166</v>
      </c>
      <c r="V6662" s="51" t="s">
        <v>2365</v>
      </c>
      <c r="W6662" s="51" t="s">
        <v>5983</v>
      </c>
      <c r="X6662" s="51" t="s">
        <v>2359</v>
      </c>
    </row>
    <row r="6663" customFormat="false" ht="14.25" hidden="true" customHeight="false" outlineLevel="0" collapsed="false">
      <c r="A6663" s="49" t="s">
        <v>2349</v>
      </c>
      <c r="B6663" s="49" t="s">
        <v>2350</v>
      </c>
      <c r="C6663" s="49" t="s">
        <v>11370</v>
      </c>
      <c r="D6663" s="49" t="s">
        <v>2352</v>
      </c>
      <c r="E6663" s="49" t="s">
        <v>4166</v>
      </c>
      <c r="F6663" s="49" t="s">
        <v>4167</v>
      </c>
      <c r="G6663" s="49" t="n">
        <v>0</v>
      </c>
      <c r="H6663" s="0" t="n">
        <v>0</v>
      </c>
      <c r="M6663" s="51" t="s">
        <v>11356</v>
      </c>
      <c r="N6663" s="49" t="n">
        <v>0</v>
      </c>
      <c r="O6663" s="53" t="n">
        <v>45928.4364930556</v>
      </c>
      <c r="P6663" s="53" t="n">
        <v>45939.6513194444</v>
      </c>
      <c r="Q6663" s="53" t="n">
        <v>45928.4364930556</v>
      </c>
      <c r="R6663" s="0" t="n">
        <v>0</v>
      </c>
      <c r="S6663" s="51" t="s">
        <v>2356</v>
      </c>
      <c r="T6663" s="51" t="s">
        <v>2356</v>
      </c>
      <c r="U6663" s="51" t="s">
        <v>4166</v>
      </c>
      <c r="V6663" s="51" t="s">
        <v>2365</v>
      </c>
      <c r="W6663" s="51" t="s">
        <v>7265</v>
      </c>
      <c r="X6663" s="51" t="s">
        <v>2359</v>
      </c>
    </row>
    <row r="6664" customFormat="false" ht="14.25" hidden="true" customHeight="false" outlineLevel="0" collapsed="false">
      <c r="A6664" s="49" t="s">
        <v>2349</v>
      </c>
      <c r="B6664" s="49" t="s">
        <v>2350</v>
      </c>
      <c r="C6664" s="49" t="s">
        <v>11371</v>
      </c>
      <c r="D6664" s="49" t="s">
        <v>2352</v>
      </c>
      <c r="E6664" s="49" t="s">
        <v>4166</v>
      </c>
      <c r="F6664" s="49" t="s">
        <v>4167</v>
      </c>
      <c r="G6664" s="49" t="n">
        <v>0</v>
      </c>
      <c r="H6664" s="0" t="n">
        <v>0</v>
      </c>
      <c r="M6664" s="51" t="s">
        <v>11356</v>
      </c>
      <c r="N6664" s="49" t="n">
        <v>0</v>
      </c>
      <c r="O6664" s="53" t="n">
        <v>45928.4353587963</v>
      </c>
      <c r="P6664" s="53" t="n">
        <v>45939.6514583333</v>
      </c>
      <c r="Q6664" s="53" t="n">
        <v>45928.4353587963</v>
      </c>
      <c r="R6664" s="0" t="n">
        <v>0</v>
      </c>
      <c r="S6664" s="51" t="s">
        <v>2356</v>
      </c>
      <c r="T6664" s="51" t="s">
        <v>2356</v>
      </c>
      <c r="U6664" s="51" t="s">
        <v>4166</v>
      </c>
      <c r="V6664" s="51" t="s">
        <v>2365</v>
      </c>
      <c r="W6664" s="51" t="s">
        <v>7296</v>
      </c>
      <c r="X6664" s="51" t="s">
        <v>2359</v>
      </c>
    </row>
    <row r="6665" customFormat="false" ht="14.25" hidden="true" customHeight="false" outlineLevel="0" collapsed="false">
      <c r="A6665" s="49" t="s">
        <v>2349</v>
      </c>
      <c r="B6665" s="49" t="s">
        <v>2350</v>
      </c>
      <c r="C6665" s="49" t="s">
        <v>11372</v>
      </c>
      <c r="D6665" s="49" t="s">
        <v>2352</v>
      </c>
      <c r="E6665" s="49" t="s">
        <v>4166</v>
      </c>
      <c r="F6665" s="49" t="s">
        <v>4167</v>
      </c>
      <c r="G6665" s="49" t="n">
        <v>0</v>
      </c>
      <c r="H6665" s="0" t="n">
        <v>0</v>
      </c>
      <c r="M6665" s="51" t="s">
        <v>11356</v>
      </c>
      <c r="N6665" s="49" t="n">
        <v>0</v>
      </c>
      <c r="O6665" s="53" t="n">
        <v>45928.4453935185</v>
      </c>
      <c r="P6665" s="53" t="n">
        <v>45939.6512152778</v>
      </c>
      <c r="Q6665" s="53" t="n">
        <v>45928.4453935185</v>
      </c>
      <c r="R6665" s="0" t="n">
        <v>0</v>
      </c>
      <c r="S6665" s="51" t="s">
        <v>2356</v>
      </c>
      <c r="T6665" s="51" t="s">
        <v>2356</v>
      </c>
      <c r="U6665" s="51" t="s">
        <v>4166</v>
      </c>
      <c r="V6665" s="51" t="s">
        <v>2365</v>
      </c>
      <c r="W6665" s="51" t="s">
        <v>8251</v>
      </c>
      <c r="X6665" s="51" t="s">
        <v>2359</v>
      </c>
    </row>
    <row r="6666" customFormat="false" ht="14.25" hidden="true" customHeight="false" outlineLevel="0" collapsed="false">
      <c r="A6666" s="49" t="s">
        <v>2349</v>
      </c>
      <c r="B6666" s="49" t="s">
        <v>2350</v>
      </c>
      <c r="C6666" s="49" t="s">
        <v>11373</v>
      </c>
      <c r="D6666" s="49" t="s">
        <v>2352</v>
      </c>
      <c r="E6666" s="49" t="s">
        <v>4166</v>
      </c>
      <c r="F6666" s="49" t="s">
        <v>4167</v>
      </c>
      <c r="G6666" s="49" t="n">
        <v>0</v>
      </c>
      <c r="H6666" s="0" t="n">
        <v>0</v>
      </c>
      <c r="M6666" s="51" t="s">
        <v>11356</v>
      </c>
      <c r="N6666" s="49" t="n">
        <v>0</v>
      </c>
      <c r="O6666" s="53" t="n">
        <v>45928.4349305556</v>
      </c>
      <c r="P6666" s="53" t="n">
        <v>45939.6500925926</v>
      </c>
      <c r="Q6666" s="53" t="n">
        <v>45928.4349305556</v>
      </c>
      <c r="R6666" s="0" t="n">
        <v>0</v>
      </c>
      <c r="S6666" s="51" t="s">
        <v>2356</v>
      </c>
      <c r="T6666" s="51" t="s">
        <v>2356</v>
      </c>
      <c r="U6666" s="51" t="s">
        <v>4166</v>
      </c>
      <c r="V6666" s="51" t="s">
        <v>2365</v>
      </c>
      <c r="W6666" s="51" t="s">
        <v>5750</v>
      </c>
      <c r="X6666" s="51" t="s">
        <v>2359</v>
      </c>
    </row>
    <row r="6667" customFormat="false" ht="14.25" hidden="true" customHeight="false" outlineLevel="0" collapsed="false">
      <c r="A6667" s="49" t="s">
        <v>2349</v>
      </c>
      <c r="B6667" s="49" t="s">
        <v>2350</v>
      </c>
      <c r="C6667" s="49" t="s">
        <v>11374</v>
      </c>
      <c r="D6667" s="49" t="s">
        <v>2352</v>
      </c>
      <c r="E6667" s="49" t="s">
        <v>4166</v>
      </c>
      <c r="F6667" s="49" t="s">
        <v>4167</v>
      </c>
      <c r="G6667" s="49" t="n">
        <v>0</v>
      </c>
      <c r="H6667" s="0" t="n">
        <v>0</v>
      </c>
      <c r="M6667" s="51" t="s">
        <v>11356</v>
      </c>
      <c r="N6667" s="49" t="n">
        <v>0</v>
      </c>
      <c r="O6667" s="53" t="n">
        <v>45928.4344097222</v>
      </c>
      <c r="P6667" s="53" t="n">
        <v>45939.6502199074</v>
      </c>
      <c r="Q6667" s="53" t="n">
        <v>45928.4344097222</v>
      </c>
      <c r="R6667" s="0" t="n">
        <v>0</v>
      </c>
      <c r="S6667" s="51" t="s">
        <v>2356</v>
      </c>
      <c r="T6667" s="51" t="s">
        <v>2356</v>
      </c>
      <c r="U6667" s="51" t="s">
        <v>4166</v>
      </c>
      <c r="V6667" s="51" t="s">
        <v>2365</v>
      </c>
      <c r="W6667" s="51" t="s">
        <v>5414</v>
      </c>
      <c r="X6667" s="51" t="s">
        <v>2359</v>
      </c>
    </row>
    <row r="6668" customFormat="false" ht="14.25" hidden="true" customHeight="false" outlineLevel="0" collapsed="false">
      <c r="A6668" s="49" t="s">
        <v>2349</v>
      </c>
      <c r="B6668" s="49" t="s">
        <v>2350</v>
      </c>
      <c r="C6668" s="49" t="s">
        <v>11375</v>
      </c>
      <c r="D6668" s="49" t="s">
        <v>2352</v>
      </c>
      <c r="E6668" s="49" t="str">
        <f aca="false">"5942326400483"</f>
        <v>5942326400483</v>
      </c>
      <c r="F6668" s="49" t="s">
        <v>3651</v>
      </c>
      <c r="G6668" s="49" t="n">
        <v>0</v>
      </c>
      <c r="H6668" s="0" t="n">
        <v>0</v>
      </c>
      <c r="M6668" s="51" t="s">
        <v>11376</v>
      </c>
      <c r="N6668" s="49" t="n">
        <v>0</v>
      </c>
      <c r="O6668" s="53" t="n">
        <v>45889.4959259259</v>
      </c>
      <c r="P6668" s="53" t="n">
        <v>45935.9435532407</v>
      </c>
      <c r="Q6668" s="53" t="n">
        <v>45889.4959259259</v>
      </c>
      <c r="R6668" s="0" t="n">
        <v>0</v>
      </c>
      <c r="S6668" s="51" t="s">
        <v>2416</v>
      </c>
      <c r="T6668" s="51" t="s">
        <v>2416</v>
      </c>
      <c r="U6668" s="0" t="str">
        <f aca="false">"5942326400483"</f>
        <v>5942326400483</v>
      </c>
      <c r="V6668" s="51" t="s">
        <v>2365</v>
      </c>
      <c r="W6668" s="51" t="s">
        <v>6550</v>
      </c>
      <c r="X6668" s="51" t="s">
        <v>2359</v>
      </c>
    </row>
    <row r="6669" customFormat="false" ht="14.25" hidden="true" customHeight="false" outlineLevel="0" collapsed="false">
      <c r="A6669" s="49" t="s">
        <v>2349</v>
      </c>
      <c r="B6669" s="49" t="s">
        <v>2350</v>
      </c>
      <c r="C6669" s="49" t="s">
        <v>11377</v>
      </c>
      <c r="D6669" s="49" t="s">
        <v>2352</v>
      </c>
      <c r="E6669" s="49" t="str">
        <f aca="false">"5942326400483"</f>
        <v>5942326400483</v>
      </c>
      <c r="F6669" s="49" t="s">
        <v>3651</v>
      </c>
      <c r="G6669" s="49" t="n">
        <v>0</v>
      </c>
      <c r="H6669" s="0" t="n">
        <v>0</v>
      </c>
      <c r="M6669" s="51" t="s">
        <v>11376</v>
      </c>
      <c r="N6669" s="49" t="n">
        <v>0</v>
      </c>
      <c r="O6669" s="53" t="n">
        <v>45889.4953703704</v>
      </c>
      <c r="P6669" s="53" t="n">
        <v>45914.5880787037</v>
      </c>
      <c r="Q6669" s="53" t="n">
        <v>45889.4953703704</v>
      </c>
      <c r="R6669" s="0" t="n">
        <v>0</v>
      </c>
      <c r="S6669" s="51" t="s">
        <v>2416</v>
      </c>
      <c r="T6669" s="51" t="s">
        <v>2416</v>
      </c>
      <c r="U6669" s="0" t="str">
        <f aca="false">"5942326400483"</f>
        <v>5942326400483</v>
      </c>
      <c r="V6669" s="51" t="s">
        <v>2365</v>
      </c>
      <c r="W6669" s="51" t="s">
        <v>5833</v>
      </c>
      <c r="X6669" s="51" t="s">
        <v>2359</v>
      </c>
    </row>
    <row r="6670" customFormat="false" ht="14.25" hidden="true" customHeight="false" outlineLevel="0" collapsed="false">
      <c r="A6670" s="49" t="s">
        <v>2349</v>
      </c>
      <c r="B6670" s="49" t="s">
        <v>2350</v>
      </c>
      <c r="C6670" s="49" t="s">
        <v>11378</v>
      </c>
      <c r="D6670" s="49" t="s">
        <v>2352</v>
      </c>
      <c r="E6670" s="49" t="str">
        <f aca="false">"5942326400483"</f>
        <v>5942326400483</v>
      </c>
      <c r="F6670" s="49" t="s">
        <v>3651</v>
      </c>
      <c r="G6670" s="49" t="n">
        <v>0</v>
      </c>
      <c r="H6670" s="0" t="n">
        <v>0</v>
      </c>
      <c r="M6670" s="51" t="s">
        <v>11376</v>
      </c>
      <c r="N6670" s="49" t="n">
        <v>0</v>
      </c>
      <c r="O6670" s="53" t="n">
        <v>45889.4947569444</v>
      </c>
      <c r="P6670" s="53" t="n">
        <v>45918.8259837963</v>
      </c>
      <c r="Q6670" s="53" t="n">
        <v>45889.4947569444</v>
      </c>
      <c r="R6670" s="0" t="n">
        <v>0</v>
      </c>
      <c r="S6670" s="51" t="s">
        <v>2416</v>
      </c>
      <c r="T6670" s="51" t="s">
        <v>2416</v>
      </c>
      <c r="U6670" s="0" t="str">
        <f aca="false">"5942326400483"</f>
        <v>5942326400483</v>
      </c>
      <c r="V6670" s="51" t="s">
        <v>2365</v>
      </c>
      <c r="W6670" s="51" t="s">
        <v>11379</v>
      </c>
      <c r="X6670" s="51" t="s">
        <v>2359</v>
      </c>
    </row>
    <row r="6671" customFormat="false" ht="14.25" hidden="true" customHeight="false" outlineLevel="0" collapsed="false">
      <c r="A6671" s="49" t="s">
        <v>2349</v>
      </c>
      <c r="B6671" s="49" t="s">
        <v>2350</v>
      </c>
      <c r="C6671" s="49" t="s">
        <v>11380</v>
      </c>
      <c r="D6671" s="49" t="s">
        <v>2352</v>
      </c>
      <c r="E6671" s="49" t="str">
        <f aca="false">"5942326400483"</f>
        <v>5942326400483</v>
      </c>
      <c r="F6671" s="49" t="s">
        <v>3651</v>
      </c>
      <c r="G6671" s="49" t="n">
        <v>0</v>
      </c>
      <c r="H6671" s="0" t="n">
        <v>0</v>
      </c>
      <c r="M6671" s="51" t="s">
        <v>11376</v>
      </c>
      <c r="N6671" s="49" t="n">
        <v>0</v>
      </c>
      <c r="O6671" s="53" t="n">
        <v>45889.4942013889</v>
      </c>
      <c r="P6671" s="53" t="n">
        <v>45918.8265625</v>
      </c>
      <c r="Q6671" s="53" t="n">
        <v>45889.4942013889</v>
      </c>
      <c r="R6671" s="0" t="n">
        <v>0</v>
      </c>
      <c r="S6671" s="51" t="s">
        <v>2416</v>
      </c>
      <c r="T6671" s="51" t="s">
        <v>2416</v>
      </c>
      <c r="U6671" s="0" t="str">
        <f aca="false">"5942326400483"</f>
        <v>5942326400483</v>
      </c>
      <c r="V6671" s="51" t="s">
        <v>2365</v>
      </c>
      <c r="W6671" s="51" t="s">
        <v>11381</v>
      </c>
      <c r="X6671" s="51" t="s">
        <v>2359</v>
      </c>
    </row>
    <row r="6672" customFormat="false" ht="14.25" hidden="true" customHeight="false" outlineLevel="0" collapsed="false">
      <c r="A6672" s="49" t="s">
        <v>2349</v>
      </c>
      <c r="B6672" s="49" t="s">
        <v>2350</v>
      </c>
      <c r="C6672" s="49" t="s">
        <v>11382</v>
      </c>
      <c r="D6672" s="49" t="s">
        <v>2352</v>
      </c>
      <c r="E6672" s="49" t="str">
        <f aca="false">"5942326400483"</f>
        <v>5942326400483</v>
      </c>
      <c r="F6672" s="49" t="s">
        <v>3651</v>
      </c>
      <c r="G6672" s="49" t="n">
        <v>0</v>
      </c>
      <c r="H6672" s="0" t="n">
        <v>0</v>
      </c>
      <c r="M6672" s="51" t="s">
        <v>11376</v>
      </c>
      <c r="N6672" s="49" t="n">
        <v>0</v>
      </c>
      <c r="O6672" s="53" t="n">
        <v>45889.493599537</v>
      </c>
      <c r="P6672" s="53" t="n">
        <v>45902.8836921296</v>
      </c>
      <c r="Q6672" s="53" t="n">
        <v>45889.493599537</v>
      </c>
      <c r="R6672" s="0" t="n">
        <v>0</v>
      </c>
      <c r="S6672" s="51" t="s">
        <v>2416</v>
      </c>
      <c r="T6672" s="51" t="s">
        <v>2416</v>
      </c>
      <c r="U6672" s="0" t="str">
        <f aca="false">"5942326400483"</f>
        <v>5942326400483</v>
      </c>
      <c r="V6672" s="51" t="s">
        <v>2365</v>
      </c>
      <c r="W6672" s="51" t="s">
        <v>6417</v>
      </c>
      <c r="X6672" s="51" t="s">
        <v>2359</v>
      </c>
    </row>
    <row r="6673" customFormat="false" ht="14.25" hidden="true" customHeight="false" outlineLevel="0" collapsed="false">
      <c r="A6673" s="49" t="s">
        <v>2349</v>
      </c>
      <c r="B6673" s="49" t="s">
        <v>2350</v>
      </c>
      <c r="C6673" s="49" t="s">
        <v>11383</v>
      </c>
      <c r="D6673" s="49" t="s">
        <v>2352</v>
      </c>
      <c r="E6673" s="49" t="str">
        <f aca="false">"5942326400483"</f>
        <v>5942326400483</v>
      </c>
      <c r="F6673" s="49" t="s">
        <v>3651</v>
      </c>
      <c r="G6673" s="49" t="n">
        <v>0</v>
      </c>
      <c r="H6673" s="0" t="n">
        <v>0</v>
      </c>
      <c r="M6673" s="51" t="s">
        <v>11376</v>
      </c>
      <c r="N6673" s="49" t="n">
        <v>0</v>
      </c>
      <c r="O6673" s="53" t="n">
        <v>45889.4929861111</v>
      </c>
      <c r="P6673" s="53" t="n">
        <v>45908.3329282407</v>
      </c>
      <c r="Q6673" s="53" t="n">
        <v>45889.4929861111</v>
      </c>
      <c r="R6673" s="0" t="n">
        <v>0</v>
      </c>
      <c r="S6673" s="51" t="s">
        <v>2416</v>
      </c>
      <c r="T6673" s="51" t="s">
        <v>2416</v>
      </c>
      <c r="U6673" s="0" t="str">
        <f aca="false">"5942326400483"</f>
        <v>5942326400483</v>
      </c>
      <c r="V6673" s="51" t="s">
        <v>2365</v>
      </c>
      <c r="W6673" s="51" t="s">
        <v>6417</v>
      </c>
      <c r="X6673" s="51" t="s">
        <v>2359</v>
      </c>
    </row>
    <row r="6674" customFormat="false" ht="14.25" hidden="true" customHeight="false" outlineLevel="0" collapsed="false">
      <c r="A6674" s="49" t="s">
        <v>2349</v>
      </c>
      <c r="B6674" s="49" t="s">
        <v>2350</v>
      </c>
      <c r="C6674" s="49" t="s">
        <v>11384</v>
      </c>
      <c r="D6674" s="49" t="s">
        <v>2352</v>
      </c>
      <c r="E6674" s="49" t="str">
        <f aca="false">"5942326400483"</f>
        <v>5942326400483</v>
      </c>
      <c r="F6674" s="49" t="s">
        <v>3651</v>
      </c>
      <c r="G6674" s="49" t="n">
        <v>0</v>
      </c>
      <c r="H6674" s="0" t="n">
        <v>0</v>
      </c>
      <c r="M6674" s="51" t="s">
        <v>11376</v>
      </c>
      <c r="N6674" s="49" t="n">
        <v>0</v>
      </c>
      <c r="O6674" s="53" t="n">
        <v>45889.4919907407</v>
      </c>
      <c r="P6674" s="53" t="n">
        <v>45935.9861921296</v>
      </c>
      <c r="Q6674" s="53" t="n">
        <v>45889.4919907407</v>
      </c>
      <c r="R6674" s="0" t="n">
        <v>0</v>
      </c>
      <c r="S6674" s="51" t="s">
        <v>2416</v>
      </c>
      <c r="T6674" s="51" t="s">
        <v>2416</v>
      </c>
      <c r="U6674" s="0" t="str">
        <f aca="false">"5942326400483"</f>
        <v>5942326400483</v>
      </c>
      <c r="V6674" s="51" t="s">
        <v>2365</v>
      </c>
      <c r="W6674" s="51" t="s">
        <v>11385</v>
      </c>
      <c r="X6674" s="51" t="s">
        <v>2359</v>
      </c>
    </row>
    <row r="6675" customFormat="false" ht="14.25" hidden="true" customHeight="false" outlineLevel="0" collapsed="false">
      <c r="A6675" s="49" t="s">
        <v>2349</v>
      </c>
      <c r="B6675" s="49" t="s">
        <v>2350</v>
      </c>
      <c r="C6675" s="49" t="s">
        <v>11386</v>
      </c>
      <c r="D6675" s="49" t="s">
        <v>2352</v>
      </c>
      <c r="E6675" s="49" t="str">
        <f aca="false">"5942326400483"</f>
        <v>5942326400483</v>
      </c>
      <c r="F6675" s="49" t="s">
        <v>3651</v>
      </c>
      <c r="G6675" s="49" t="n">
        <v>0</v>
      </c>
      <c r="H6675" s="0" t="n">
        <v>0</v>
      </c>
      <c r="M6675" s="51" t="s">
        <v>11376</v>
      </c>
      <c r="N6675" s="49" t="n">
        <v>0</v>
      </c>
      <c r="O6675" s="53" t="n">
        <v>45889.4913194444</v>
      </c>
      <c r="P6675" s="53" t="n">
        <v>45935.9641666667</v>
      </c>
      <c r="Q6675" s="53" t="n">
        <v>45889.4913194444</v>
      </c>
      <c r="R6675" s="0" t="n">
        <v>0</v>
      </c>
      <c r="S6675" s="51" t="s">
        <v>2416</v>
      </c>
      <c r="T6675" s="51" t="s">
        <v>2416</v>
      </c>
      <c r="U6675" s="0" t="str">
        <f aca="false">"5942326400483"</f>
        <v>5942326400483</v>
      </c>
      <c r="V6675" s="51" t="s">
        <v>2365</v>
      </c>
      <c r="W6675" s="51" t="s">
        <v>4761</v>
      </c>
      <c r="X6675" s="51" t="s">
        <v>2359</v>
      </c>
    </row>
    <row r="6676" customFormat="false" ht="14.25" hidden="true" customHeight="false" outlineLevel="0" collapsed="false">
      <c r="A6676" s="49" t="s">
        <v>2349</v>
      </c>
      <c r="B6676" s="49" t="s">
        <v>2350</v>
      </c>
      <c r="C6676" s="49" t="s">
        <v>11387</v>
      </c>
      <c r="D6676" s="49" t="s">
        <v>2352</v>
      </c>
      <c r="E6676" s="49" t="str">
        <f aca="false">"5942326400483"</f>
        <v>5942326400483</v>
      </c>
      <c r="F6676" s="49" t="s">
        <v>3651</v>
      </c>
      <c r="G6676" s="49" t="n">
        <v>0</v>
      </c>
      <c r="H6676" s="0" t="n">
        <v>0</v>
      </c>
      <c r="M6676" s="51" t="s">
        <v>11376</v>
      </c>
      <c r="N6676" s="49" t="n">
        <v>0</v>
      </c>
      <c r="O6676" s="53" t="n">
        <v>45889.4906944444</v>
      </c>
      <c r="P6676" s="53" t="n">
        <v>45902.8884953704</v>
      </c>
      <c r="Q6676" s="53" t="n">
        <v>45889.4906944444</v>
      </c>
      <c r="R6676" s="0" t="n">
        <v>0</v>
      </c>
      <c r="S6676" s="51" t="s">
        <v>2416</v>
      </c>
      <c r="T6676" s="51" t="s">
        <v>2416</v>
      </c>
      <c r="U6676" s="0" t="str">
        <f aca="false">"5942326400483"</f>
        <v>5942326400483</v>
      </c>
      <c r="V6676" s="51" t="s">
        <v>2365</v>
      </c>
      <c r="W6676" s="51" t="s">
        <v>6253</v>
      </c>
      <c r="X6676" s="51" t="s">
        <v>2359</v>
      </c>
    </row>
    <row r="6677" customFormat="false" ht="14.25" hidden="true" customHeight="false" outlineLevel="0" collapsed="false">
      <c r="A6677" s="49" t="s">
        <v>2349</v>
      </c>
      <c r="B6677" s="49" t="s">
        <v>2350</v>
      </c>
      <c r="C6677" s="49" t="s">
        <v>11388</v>
      </c>
      <c r="D6677" s="49" t="s">
        <v>2352</v>
      </c>
      <c r="E6677" s="49" t="str">
        <f aca="false">"5942326400643"</f>
        <v>5942326400643</v>
      </c>
      <c r="F6677" s="49" t="s">
        <v>5687</v>
      </c>
      <c r="G6677" s="49" t="n">
        <v>0</v>
      </c>
      <c r="H6677" s="0" t="n">
        <v>0</v>
      </c>
      <c r="M6677" s="51" t="s">
        <v>11376</v>
      </c>
      <c r="N6677" s="49" t="n">
        <v>0</v>
      </c>
      <c r="O6677" s="53" t="n">
        <v>45889.4884259259</v>
      </c>
      <c r="P6677" s="53" t="n">
        <v>45949.8828240741</v>
      </c>
      <c r="Q6677" s="53" t="n">
        <v>45889.4884259259</v>
      </c>
      <c r="R6677" s="0" t="n">
        <v>0</v>
      </c>
      <c r="S6677" s="51" t="s">
        <v>2416</v>
      </c>
      <c r="T6677" s="51" t="s">
        <v>2416</v>
      </c>
      <c r="U6677" s="0" t="str">
        <f aca="false">"5942326400643"</f>
        <v>5942326400643</v>
      </c>
      <c r="V6677" s="51" t="s">
        <v>2365</v>
      </c>
      <c r="W6677" s="51" t="s">
        <v>11389</v>
      </c>
      <c r="X6677" s="51" t="s">
        <v>2359</v>
      </c>
    </row>
    <row r="6678" customFormat="false" ht="14.25" hidden="true" customHeight="false" outlineLevel="0" collapsed="false">
      <c r="A6678" s="49" t="s">
        <v>2349</v>
      </c>
      <c r="B6678" s="49" t="s">
        <v>2350</v>
      </c>
      <c r="C6678" s="49" t="s">
        <v>11390</v>
      </c>
      <c r="D6678" s="49" t="s">
        <v>2352</v>
      </c>
      <c r="E6678" s="49" t="str">
        <f aca="false">"5942326400643"</f>
        <v>5942326400643</v>
      </c>
      <c r="F6678" s="49" t="s">
        <v>5687</v>
      </c>
      <c r="G6678" s="49" t="n">
        <v>0</v>
      </c>
      <c r="H6678" s="0" t="n">
        <v>0</v>
      </c>
      <c r="M6678" s="51" t="s">
        <v>11376</v>
      </c>
      <c r="N6678" s="49" t="n">
        <v>0</v>
      </c>
      <c r="O6678" s="53" t="n">
        <v>45889.4877199074</v>
      </c>
      <c r="P6678" s="53" t="n">
        <v>45994.4411805556</v>
      </c>
      <c r="Q6678" s="53" t="n">
        <v>45889.4877199074</v>
      </c>
      <c r="R6678" s="0" t="n">
        <v>0</v>
      </c>
      <c r="S6678" s="51" t="s">
        <v>2416</v>
      </c>
      <c r="T6678" s="51" t="s">
        <v>2416</v>
      </c>
      <c r="U6678" s="0" t="str">
        <f aca="false">"5942326400643"</f>
        <v>5942326400643</v>
      </c>
      <c r="V6678" s="51" t="s">
        <v>2365</v>
      </c>
      <c r="W6678" s="51" t="s">
        <v>4994</v>
      </c>
      <c r="X6678" s="51" t="s">
        <v>2359</v>
      </c>
    </row>
    <row r="6679" customFormat="false" ht="14.25" hidden="true" customHeight="false" outlineLevel="0" collapsed="false">
      <c r="A6679" s="49" t="s">
        <v>2349</v>
      </c>
      <c r="B6679" s="49" t="s">
        <v>2350</v>
      </c>
      <c r="C6679" s="49" t="s">
        <v>11391</v>
      </c>
      <c r="D6679" s="49" t="s">
        <v>2352</v>
      </c>
      <c r="E6679" s="49" t="str">
        <f aca="false">"5942326400643"</f>
        <v>5942326400643</v>
      </c>
      <c r="F6679" s="49" t="s">
        <v>5687</v>
      </c>
      <c r="G6679" s="49" t="n">
        <v>0</v>
      </c>
      <c r="H6679" s="0" t="n">
        <v>0</v>
      </c>
      <c r="M6679" s="51" t="s">
        <v>11376</v>
      </c>
      <c r="N6679" s="49" t="n">
        <v>0</v>
      </c>
      <c r="O6679" s="53" t="n">
        <v>45889.4871875</v>
      </c>
      <c r="P6679" s="53" t="n">
        <v>46002.9621180556</v>
      </c>
      <c r="Q6679" s="53" t="n">
        <v>45889.4871875</v>
      </c>
      <c r="R6679" s="0" t="n">
        <v>0</v>
      </c>
      <c r="S6679" s="51" t="s">
        <v>2416</v>
      </c>
      <c r="T6679" s="51" t="s">
        <v>2416</v>
      </c>
      <c r="U6679" s="0" t="str">
        <f aca="false">"5942326400643"</f>
        <v>5942326400643</v>
      </c>
      <c r="V6679" s="51" t="s">
        <v>2365</v>
      </c>
      <c r="W6679" s="51" t="s">
        <v>5521</v>
      </c>
      <c r="X6679" s="51" t="s">
        <v>2359</v>
      </c>
    </row>
    <row r="6680" customFormat="false" ht="14.25" hidden="true" customHeight="false" outlineLevel="0" collapsed="false">
      <c r="A6680" s="49" t="s">
        <v>2349</v>
      </c>
      <c r="B6680" s="49" t="s">
        <v>2350</v>
      </c>
      <c r="C6680" s="49" t="s">
        <v>11392</v>
      </c>
      <c r="D6680" s="49" t="s">
        <v>2352</v>
      </c>
      <c r="E6680" s="49" t="str">
        <f aca="false">"5942326400483"</f>
        <v>5942326400483</v>
      </c>
      <c r="F6680" s="49" t="s">
        <v>3651</v>
      </c>
      <c r="G6680" s="49" t="n">
        <v>0</v>
      </c>
      <c r="H6680" s="0" t="n">
        <v>0</v>
      </c>
      <c r="M6680" s="51" t="s">
        <v>11376</v>
      </c>
      <c r="N6680" s="49" t="n">
        <v>0</v>
      </c>
      <c r="O6680" s="53" t="n">
        <v>45889.4858449074</v>
      </c>
      <c r="P6680" s="53" t="n">
        <v>45929.5629976852</v>
      </c>
      <c r="Q6680" s="53" t="n">
        <v>45889.4858449074</v>
      </c>
      <c r="R6680" s="0" t="n">
        <v>0</v>
      </c>
      <c r="S6680" s="51" t="s">
        <v>2416</v>
      </c>
      <c r="T6680" s="51" t="s">
        <v>2416</v>
      </c>
      <c r="U6680" s="0" t="str">
        <f aca="false">"5942326400483"</f>
        <v>5942326400483</v>
      </c>
      <c r="V6680" s="51" t="s">
        <v>2365</v>
      </c>
      <c r="W6680" s="51" t="s">
        <v>4247</v>
      </c>
      <c r="X6680" s="51" t="s">
        <v>2359</v>
      </c>
    </row>
    <row r="6681" customFormat="false" ht="14.25" hidden="true" customHeight="false" outlineLevel="0" collapsed="false">
      <c r="A6681" s="49" t="s">
        <v>2349</v>
      </c>
      <c r="B6681" s="49" t="s">
        <v>2350</v>
      </c>
      <c r="C6681" s="49" t="s">
        <v>11393</v>
      </c>
      <c r="D6681" s="49" t="s">
        <v>2352</v>
      </c>
      <c r="E6681" s="49" t="str">
        <f aca="false">"5942326400483"</f>
        <v>5942326400483</v>
      </c>
      <c r="F6681" s="49" t="s">
        <v>3651</v>
      </c>
      <c r="G6681" s="49" t="n">
        <v>0</v>
      </c>
      <c r="H6681" s="0" t="n">
        <v>0</v>
      </c>
      <c r="M6681" s="51" t="s">
        <v>11376</v>
      </c>
      <c r="N6681" s="49" t="n">
        <v>0</v>
      </c>
      <c r="O6681" s="53" t="n">
        <v>45889.4847916667</v>
      </c>
      <c r="P6681" s="53" t="n">
        <v>45935.9585300926</v>
      </c>
      <c r="Q6681" s="53" t="n">
        <v>45889.4847916667</v>
      </c>
      <c r="R6681" s="0" t="n">
        <v>0</v>
      </c>
      <c r="S6681" s="51" t="s">
        <v>2416</v>
      </c>
      <c r="T6681" s="51" t="s">
        <v>2416</v>
      </c>
      <c r="U6681" s="0" t="str">
        <f aca="false">"5942326400483"</f>
        <v>5942326400483</v>
      </c>
      <c r="V6681" s="51" t="s">
        <v>2365</v>
      </c>
      <c r="W6681" s="51" t="s">
        <v>4527</v>
      </c>
      <c r="X6681" s="51" t="s">
        <v>2359</v>
      </c>
    </row>
    <row r="6682" customFormat="false" ht="14.25" hidden="true" customHeight="false" outlineLevel="0" collapsed="false">
      <c r="A6682" s="49" t="s">
        <v>2349</v>
      </c>
      <c r="B6682" s="49" t="s">
        <v>2350</v>
      </c>
      <c r="C6682" s="49" t="s">
        <v>11394</v>
      </c>
      <c r="D6682" s="49" t="s">
        <v>2352</v>
      </c>
      <c r="E6682" s="49" t="str">
        <f aca="false">"5942326400483"</f>
        <v>5942326400483</v>
      </c>
      <c r="F6682" s="49" t="s">
        <v>3651</v>
      </c>
      <c r="G6682" s="49" t="n">
        <v>0</v>
      </c>
      <c r="H6682" s="0" t="n">
        <v>0</v>
      </c>
      <c r="M6682" s="51" t="s">
        <v>11376</v>
      </c>
      <c r="N6682" s="49" t="n">
        <v>0</v>
      </c>
      <c r="O6682" s="53" t="n">
        <v>45889.4839236111</v>
      </c>
      <c r="P6682" s="53" t="n">
        <v>45918.5601157407</v>
      </c>
      <c r="Q6682" s="53" t="n">
        <v>45889.4839236111</v>
      </c>
      <c r="R6682" s="0" t="n">
        <v>0</v>
      </c>
      <c r="S6682" s="51" t="s">
        <v>2416</v>
      </c>
      <c r="T6682" s="51" t="s">
        <v>2416</v>
      </c>
      <c r="U6682" s="0" t="str">
        <f aca="false">"5942326400483"</f>
        <v>5942326400483</v>
      </c>
      <c r="V6682" s="51" t="s">
        <v>2365</v>
      </c>
      <c r="W6682" s="51" t="s">
        <v>7156</v>
      </c>
      <c r="X6682" s="51" t="s">
        <v>2359</v>
      </c>
    </row>
    <row r="6683" customFormat="false" ht="14.25" hidden="true" customHeight="false" outlineLevel="0" collapsed="false">
      <c r="A6683" s="49" t="s">
        <v>2349</v>
      </c>
      <c r="B6683" s="49" t="s">
        <v>2350</v>
      </c>
      <c r="C6683" s="49" t="s">
        <v>11395</v>
      </c>
      <c r="D6683" s="49" t="s">
        <v>2352</v>
      </c>
      <c r="E6683" s="49" t="str">
        <f aca="false">"5942326400483"</f>
        <v>5942326400483</v>
      </c>
      <c r="F6683" s="49" t="s">
        <v>3651</v>
      </c>
      <c r="G6683" s="49" t="n">
        <v>0</v>
      </c>
      <c r="H6683" s="0" t="n">
        <v>0</v>
      </c>
      <c r="M6683" s="51" t="s">
        <v>11376</v>
      </c>
      <c r="N6683" s="49" t="n">
        <v>0</v>
      </c>
      <c r="O6683" s="53" t="n">
        <v>45889.4831944444</v>
      </c>
      <c r="P6683" s="53" t="n">
        <v>45904.9153240741</v>
      </c>
      <c r="Q6683" s="53" t="n">
        <v>45889.4831944444</v>
      </c>
      <c r="R6683" s="0" t="n">
        <v>0</v>
      </c>
      <c r="S6683" s="51" t="s">
        <v>2416</v>
      </c>
      <c r="T6683" s="51" t="s">
        <v>2416</v>
      </c>
      <c r="U6683" s="0" t="str">
        <f aca="false">"5942326400483"</f>
        <v>5942326400483</v>
      </c>
      <c r="V6683" s="51" t="s">
        <v>2365</v>
      </c>
      <c r="W6683" s="51" t="s">
        <v>6548</v>
      </c>
      <c r="X6683" s="51" t="s">
        <v>2359</v>
      </c>
    </row>
    <row r="6684" customFormat="false" ht="14.25" hidden="true" customHeight="false" outlineLevel="0" collapsed="false">
      <c r="A6684" s="49" t="s">
        <v>2349</v>
      </c>
      <c r="B6684" s="49" t="s">
        <v>2350</v>
      </c>
      <c r="C6684" s="49" t="s">
        <v>11396</v>
      </c>
      <c r="D6684" s="49" t="s">
        <v>2352</v>
      </c>
      <c r="E6684" s="49" t="str">
        <f aca="false">"5942326400483"</f>
        <v>5942326400483</v>
      </c>
      <c r="F6684" s="49" t="s">
        <v>3651</v>
      </c>
      <c r="G6684" s="49" t="n">
        <v>0</v>
      </c>
      <c r="H6684" s="0" t="n">
        <v>0</v>
      </c>
      <c r="M6684" s="51" t="s">
        <v>11376</v>
      </c>
      <c r="N6684" s="49" t="n">
        <v>0</v>
      </c>
      <c r="O6684" s="53" t="n">
        <v>45889.4972569444</v>
      </c>
      <c r="P6684" s="53" t="n">
        <v>45918.7469675926</v>
      </c>
      <c r="Q6684" s="53" t="n">
        <v>45889.4972569444</v>
      </c>
      <c r="R6684" s="0" t="n">
        <v>0</v>
      </c>
      <c r="S6684" s="51" t="s">
        <v>2416</v>
      </c>
      <c r="T6684" s="51" t="s">
        <v>2416</v>
      </c>
      <c r="U6684" s="0" t="str">
        <f aca="false">"5942326400483"</f>
        <v>5942326400483</v>
      </c>
      <c r="V6684" s="51" t="s">
        <v>2365</v>
      </c>
      <c r="W6684" s="51" t="s">
        <v>4881</v>
      </c>
      <c r="X6684" s="51" t="s">
        <v>2359</v>
      </c>
    </row>
    <row r="6685" customFormat="false" ht="14.25" hidden="true" customHeight="false" outlineLevel="0" collapsed="false">
      <c r="A6685" s="49" t="s">
        <v>2349</v>
      </c>
      <c r="B6685" s="49" t="s">
        <v>2350</v>
      </c>
      <c r="C6685" s="49" t="s">
        <v>11397</v>
      </c>
      <c r="D6685" s="49" t="s">
        <v>2352</v>
      </c>
      <c r="E6685" s="49" t="str">
        <f aca="false">"5942326400483"</f>
        <v>5942326400483</v>
      </c>
      <c r="F6685" s="49" t="s">
        <v>3651</v>
      </c>
      <c r="G6685" s="49" t="n">
        <v>0</v>
      </c>
      <c r="H6685" s="0" t="n">
        <v>0</v>
      </c>
      <c r="M6685" s="51" t="s">
        <v>11376</v>
      </c>
      <c r="N6685" s="49" t="n">
        <v>0</v>
      </c>
      <c r="O6685" s="53" t="n">
        <v>45889.4980671296</v>
      </c>
      <c r="P6685" s="53" t="n">
        <v>45935.9457060185</v>
      </c>
      <c r="Q6685" s="53" t="n">
        <v>45889.4980671296</v>
      </c>
      <c r="R6685" s="0" t="n">
        <v>0</v>
      </c>
      <c r="S6685" s="51" t="s">
        <v>2416</v>
      </c>
      <c r="T6685" s="51" t="s">
        <v>2416</v>
      </c>
      <c r="U6685" s="0" t="str">
        <f aca="false">"5942326400483"</f>
        <v>5942326400483</v>
      </c>
      <c r="V6685" s="51" t="s">
        <v>2365</v>
      </c>
      <c r="W6685" s="51" t="s">
        <v>6763</v>
      </c>
      <c r="X6685" s="51" t="s">
        <v>2359</v>
      </c>
    </row>
    <row r="6686" customFormat="false" ht="14.25" hidden="true" customHeight="false" outlineLevel="0" collapsed="false">
      <c r="A6686" s="49" t="s">
        <v>2349</v>
      </c>
      <c r="B6686" s="49" t="s">
        <v>2350</v>
      </c>
      <c r="C6686" s="49" t="s">
        <v>11398</v>
      </c>
      <c r="D6686" s="49" t="s">
        <v>2352</v>
      </c>
      <c r="E6686" s="49" t="str">
        <f aca="false">"5060458890191"</f>
        <v>5060458890191</v>
      </c>
      <c r="F6686" s="49" t="s">
        <v>3656</v>
      </c>
      <c r="G6686" s="49" t="n">
        <v>0</v>
      </c>
      <c r="H6686" s="0" t="n">
        <v>0</v>
      </c>
      <c r="M6686" s="51" t="s">
        <v>3667</v>
      </c>
      <c r="N6686" s="49" t="n">
        <v>0</v>
      </c>
      <c r="O6686" s="53" t="n">
        <v>45929.6803356482</v>
      </c>
      <c r="P6686" s="53" t="n">
        <v>45948.9162615741</v>
      </c>
      <c r="Q6686" s="53" t="n">
        <v>45929.6803356482</v>
      </c>
      <c r="R6686" s="0" t="n">
        <v>0</v>
      </c>
      <c r="S6686" s="51" t="s">
        <v>2416</v>
      </c>
      <c r="T6686" s="51" t="s">
        <v>2416</v>
      </c>
      <c r="U6686" s="0" t="str">
        <f aca="false">"5060458890191"</f>
        <v>5060458890191</v>
      </c>
      <c r="V6686" s="51" t="s">
        <v>2142</v>
      </c>
      <c r="W6686" s="51" t="s">
        <v>11399</v>
      </c>
      <c r="X6686" s="51" t="s">
        <v>2359</v>
      </c>
    </row>
    <row r="6687" customFormat="false" ht="14.25" hidden="true" customHeight="false" outlineLevel="0" collapsed="false">
      <c r="A6687" s="49" t="s">
        <v>2349</v>
      </c>
      <c r="B6687" s="49" t="s">
        <v>2350</v>
      </c>
      <c r="C6687" s="49" t="s">
        <v>11400</v>
      </c>
      <c r="D6687" s="49" t="s">
        <v>2352</v>
      </c>
      <c r="E6687" s="49" t="str">
        <f aca="false">"5060458890191"</f>
        <v>5060458890191</v>
      </c>
      <c r="F6687" s="49" t="s">
        <v>3656</v>
      </c>
      <c r="G6687" s="49" t="n">
        <v>0</v>
      </c>
      <c r="H6687" s="0" t="n">
        <v>0</v>
      </c>
      <c r="M6687" s="51" t="s">
        <v>3667</v>
      </c>
      <c r="N6687" s="49" t="n">
        <v>0</v>
      </c>
      <c r="O6687" s="53" t="n">
        <v>45929.6802546296</v>
      </c>
      <c r="P6687" s="53" t="n">
        <v>45948.9048611111</v>
      </c>
      <c r="Q6687" s="53" t="n">
        <v>45929.6802546296</v>
      </c>
      <c r="R6687" s="0" t="n">
        <v>0</v>
      </c>
      <c r="S6687" s="51" t="s">
        <v>2416</v>
      </c>
      <c r="T6687" s="51" t="s">
        <v>2416</v>
      </c>
      <c r="U6687" s="0" t="str">
        <f aca="false">"5060458890191"</f>
        <v>5060458890191</v>
      </c>
      <c r="V6687" s="51" t="s">
        <v>2142</v>
      </c>
      <c r="W6687" s="51" t="s">
        <v>10190</v>
      </c>
      <c r="X6687" s="51" t="s">
        <v>2359</v>
      </c>
    </row>
    <row r="6688" customFormat="false" ht="14.25" hidden="true" customHeight="false" outlineLevel="0" collapsed="false">
      <c r="A6688" s="49" t="s">
        <v>2349</v>
      </c>
      <c r="B6688" s="49" t="s">
        <v>2350</v>
      </c>
      <c r="C6688" s="49" t="s">
        <v>11401</v>
      </c>
      <c r="D6688" s="49" t="s">
        <v>2352</v>
      </c>
      <c r="E6688" s="49" t="str">
        <f aca="false">"5060458890191"</f>
        <v>5060458890191</v>
      </c>
      <c r="F6688" s="49" t="s">
        <v>3656</v>
      </c>
      <c r="G6688" s="49" t="n">
        <v>0</v>
      </c>
      <c r="H6688" s="0" t="n">
        <v>0</v>
      </c>
      <c r="M6688" s="51" t="s">
        <v>3667</v>
      </c>
      <c r="N6688" s="49" t="n">
        <v>0</v>
      </c>
      <c r="O6688" s="53" t="n">
        <v>45929.6801967593</v>
      </c>
      <c r="P6688" s="53" t="n">
        <v>45948.9084490741</v>
      </c>
      <c r="Q6688" s="53" t="n">
        <v>45929.6801967593</v>
      </c>
      <c r="R6688" s="0" t="n">
        <v>0</v>
      </c>
      <c r="S6688" s="51" t="s">
        <v>2416</v>
      </c>
      <c r="T6688" s="51" t="s">
        <v>2416</v>
      </c>
      <c r="U6688" s="0" t="str">
        <f aca="false">"5060458890191"</f>
        <v>5060458890191</v>
      </c>
      <c r="V6688" s="51" t="s">
        <v>2142</v>
      </c>
      <c r="W6688" s="51" t="s">
        <v>9904</v>
      </c>
      <c r="X6688" s="51" t="s">
        <v>2359</v>
      </c>
    </row>
    <row r="6689" customFormat="false" ht="14.25" hidden="true" customHeight="false" outlineLevel="0" collapsed="false">
      <c r="A6689" s="49" t="s">
        <v>2349</v>
      </c>
      <c r="B6689" s="49" t="s">
        <v>2350</v>
      </c>
      <c r="C6689" s="49" t="s">
        <v>11402</v>
      </c>
      <c r="D6689" s="49" t="s">
        <v>2352</v>
      </c>
      <c r="E6689" s="49" t="str">
        <f aca="false">"5060458890191"</f>
        <v>5060458890191</v>
      </c>
      <c r="F6689" s="49" t="s">
        <v>3656</v>
      </c>
      <c r="G6689" s="49" t="n">
        <v>0</v>
      </c>
      <c r="H6689" s="0" t="n">
        <v>0</v>
      </c>
      <c r="M6689" s="51" t="s">
        <v>3667</v>
      </c>
      <c r="N6689" s="49" t="n">
        <v>0</v>
      </c>
      <c r="O6689" s="53" t="n">
        <v>45929.6801388889</v>
      </c>
      <c r="P6689" s="53" t="n">
        <v>45948.9034375</v>
      </c>
      <c r="Q6689" s="53" t="n">
        <v>45929.6801388889</v>
      </c>
      <c r="R6689" s="0" t="n">
        <v>0</v>
      </c>
      <c r="S6689" s="51" t="s">
        <v>2416</v>
      </c>
      <c r="T6689" s="51" t="s">
        <v>2416</v>
      </c>
      <c r="U6689" s="0" t="str">
        <f aca="false">"5060458890191"</f>
        <v>5060458890191</v>
      </c>
      <c r="V6689" s="51" t="s">
        <v>2142</v>
      </c>
      <c r="W6689" s="51" t="s">
        <v>11403</v>
      </c>
      <c r="X6689" s="51" t="s">
        <v>2359</v>
      </c>
    </row>
    <row r="6690" customFormat="false" ht="14.25" hidden="true" customHeight="false" outlineLevel="0" collapsed="false">
      <c r="A6690" s="49" t="s">
        <v>2349</v>
      </c>
      <c r="B6690" s="49" t="s">
        <v>2350</v>
      </c>
      <c r="C6690" s="49" t="s">
        <v>11404</v>
      </c>
      <c r="D6690" s="49" t="s">
        <v>2352</v>
      </c>
      <c r="E6690" s="49" t="str">
        <f aca="false">"5060458890191"</f>
        <v>5060458890191</v>
      </c>
      <c r="F6690" s="49" t="s">
        <v>3656</v>
      </c>
      <c r="G6690" s="49" t="n">
        <v>0</v>
      </c>
      <c r="H6690" s="0" t="n">
        <v>0</v>
      </c>
      <c r="M6690" s="51" t="s">
        <v>3667</v>
      </c>
      <c r="N6690" s="49" t="n">
        <v>0</v>
      </c>
      <c r="O6690" s="53" t="n">
        <v>45929.6800810185</v>
      </c>
      <c r="P6690" s="53" t="n">
        <v>45949.9014699074</v>
      </c>
      <c r="Q6690" s="53" t="n">
        <v>45929.6800810185</v>
      </c>
      <c r="R6690" s="0" t="n">
        <v>0</v>
      </c>
      <c r="S6690" s="51" t="s">
        <v>2416</v>
      </c>
      <c r="T6690" s="51" t="s">
        <v>2416</v>
      </c>
      <c r="U6690" s="0" t="str">
        <f aca="false">"5060458890191"</f>
        <v>5060458890191</v>
      </c>
      <c r="V6690" s="51" t="s">
        <v>2142</v>
      </c>
      <c r="W6690" s="51" t="s">
        <v>10097</v>
      </c>
      <c r="X6690" s="51" t="s">
        <v>2359</v>
      </c>
    </row>
    <row r="6691" customFormat="false" ht="14.25" hidden="true" customHeight="false" outlineLevel="0" collapsed="false">
      <c r="A6691" s="49" t="s">
        <v>2349</v>
      </c>
      <c r="B6691" s="49" t="s">
        <v>2350</v>
      </c>
      <c r="C6691" s="49" t="s">
        <v>11405</v>
      </c>
      <c r="D6691" s="49" t="s">
        <v>2352</v>
      </c>
      <c r="E6691" s="49" t="str">
        <f aca="false">"5060458890191"</f>
        <v>5060458890191</v>
      </c>
      <c r="F6691" s="49" t="s">
        <v>3656</v>
      </c>
      <c r="G6691" s="49" t="n">
        <v>0</v>
      </c>
      <c r="H6691" s="0" t="n">
        <v>0</v>
      </c>
      <c r="M6691" s="51" t="s">
        <v>3667</v>
      </c>
      <c r="N6691" s="49" t="n">
        <v>0</v>
      </c>
      <c r="O6691" s="53" t="n">
        <v>45929.6800115741</v>
      </c>
      <c r="P6691" s="53" t="n">
        <v>45948.9098726852</v>
      </c>
      <c r="Q6691" s="53" t="n">
        <v>45929.6800115741</v>
      </c>
      <c r="R6691" s="0" t="n">
        <v>0</v>
      </c>
      <c r="S6691" s="51" t="s">
        <v>2416</v>
      </c>
      <c r="T6691" s="51" t="s">
        <v>2416</v>
      </c>
      <c r="U6691" s="0" t="str">
        <f aca="false">"5060458890191"</f>
        <v>5060458890191</v>
      </c>
      <c r="V6691" s="51" t="s">
        <v>2142</v>
      </c>
      <c r="W6691" s="51" t="s">
        <v>10082</v>
      </c>
      <c r="X6691" s="51" t="s">
        <v>2359</v>
      </c>
    </row>
    <row r="6692" customFormat="false" ht="14.25" hidden="true" customHeight="false" outlineLevel="0" collapsed="false">
      <c r="A6692" s="49" t="s">
        <v>2349</v>
      </c>
      <c r="B6692" s="49" t="s">
        <v>2350</v>
      </c>
      <c r="C6692" s="49" t="s">
        <v>11406</v>
      </c>
      <c r="D6692" s="49" t="s">
        <v>2352</v>
      </c>
      <c r="E6692" s="49" t="str">
        <f aca="false">"5060458890191"</f>
        <v>5060458890191</v>
      </c>
      <c r="F6692" s="49" t="s">
        <v>3656</v>
      </c>
      <c r="G6692" s="49" t="n">
        <v>0</v>
      </c>
      <c r="H6692" s="0" t="n">
        <v>0</v>
      </c>
      <c r="M6692" s="51" t="s">
        <v>3667</v>
      </c>
      <c r="N6692" s="49" t="n">
        <v>0</v>
      </c>
      <c r="O6692" s="53" t="n">
        <v>45929.6799421296</v>
      </c>
      <c r="P6692" s="53" t="n">
        <v>45948.9134606481</v>
      </c>
      <c r="Q6692" s="53" t="n">
        <v>45929.6799421296</v>
      </c>
      <c r="R6692" s="0" t="n">
        <v>0</v>
      </c>
      <c r="S6692" s="51" t="s">
        <v>2416</v>
      </c>
      <c r="T6692" s="51" t="s">
        <v>2416</v>
      </c>
      <c r="U6692" s="0" t="str">
        <f aca="false">"5060458890191"</f>
        <v>5060458890191</v>
      </c>
      <c r="V6692" s="51" t="s">
        <v>2142</v>
      </c>
      <c r="W6692" s="51" t="s">
        <v>10769</v>
      </c>
      <c r="X6692" s="51" t="s">
        <v>2359</v>
      </c>
    </row>
    <row r="6693" customFormat="false" ht="14.25" hidden="true" customHeight="false" outlineLevel="0" collapsed="false">
      <c r="A6693" s="49" t="s">
        <v>2349</v>
      </c>
      <c r="B6693" s="49" t="s">
        <v>2350</v>
      </c>
      <c r="C6693" s="49" t="s">
        <v>11407</v>
      </c>
      <c r="D6693" s="49" t="s">
        <v>2352</v>
      </c>
      <c r="E6693" s="49" t="str">
        <f aca="false">"5060458890191"</f>
        <v>5060458890191</v>
      </c>
      <c r="F6693" s="49" t="s">
        <v>3656</v>
      </c>
      <c r="G6693" s="49" t="n">
        <v>0</v>
      </c>
      <c r="H6693" s="0" t="n">
        <v>0</v>
      </c>
      <c r="M6693" s="51" t="s">
        <v>3667</v>
      </c>
      <c r="N6693" s="49" t="n">
        <v>0</v>
      </c>
      <c r="O6693" s="53" t="n">
        <v>45929.6798842593</v>
      </c>
      <c r="P6693" s="53" t="n">
        <v>45948.9177777778</v>
      </c>
      <c r="Q6693" s="53" t="n">
        <v>45929.6798842593</v>
      </c>
      <c r="R6693" s="0" t="n">
        <v>0</v>
      </c>
      <c r="S6693" s="51" t="s">
        <v>2416</v>
      </c>
      <c r="T6693" s="51" t="s">
        <v>2416</v>
      </c>
      <c r="U6693" s="0" t="str">
        <f aca="false">"5060458890191"</f>
        <v>5060458890191</v>
      </c>
      <c r="V6693" s="51" t="s">
        <v>2142</v>
      </c>
      <c r="W6693" s="51" t="s">
        <v>10084</v>
      </c>
      <c r="X6693" s="51" t="s">
        <v>2359</v>
      </c>
    </row>
    <row r="6694" customFormat="false" ht="14.25" hidden="true" customHeight="false" outlineLevel="0" collapsed="false">
      <c r="A6694" s="49" t="s">
        <v>2349</v>
      </c>
      <c r="B6694" s="49" t="s">
        <v>2350</v>
      </c>
      <c r="C6694" s="49" t="s">
        <v>11408</v>
      </c>
      <c r="D6694" s="49" t="s">
        <v>2352</v>
      </c>
      <c r="E6694" s="49" t="str">
        <f aca="false">"5060458890191"</f>
        <v>5060458890191</v>
      </c>
      <c r="F6694" s="49" t="s">
        <v>3656</v>
      </c>
      <c r="G6694" s="49" t="n">
        <v>0</v>
      </c>
      <c r="H6694" s="0" t="n">
        <v>0</v>
      </c>
      <c r="M6694" s="51" t="s">
        <v>3667</v>
      </c>
      <c r="N6694" s="49" t="n">
        <v>0</v>
      </c>
      <c r="O6694" s="53" t="n">
        <v>45929.6798148148</v>
      </c>
      <c r="P6694" s="53" t="n">
        <v>45948.923587963</v>
      </c>
      <c r="Q6694" s="53" t="n">
        <v>45929.6798148148</v>
      </c>
      <c r="R6694" s="0" t="n">
        <v>0</v>
      </c>
      <c r="S6694" s="51" t="s">
        <v>2416</v>
      </c>
      <c r="T6694" s="51" t="s">
        <v>2416</v>
      </c>
      <c r="U6694" s="0" t="str">
        <f aca="false">"5060458890191"</f>
        <v>5060458890191</v>
      </c>
      <c r="V6694" s="51" t="s">
        <v>2142</v>
      </c>
      <c r="W6694" s="51" t="s">
        <v>11409</v>
      </c>
      <c r="X6694" s="51" t="s">
        <v>2359</v>
      </c>
    </row>
    <row r="6695" customFormat="false" ht="14.25" hidden="true" customHeight="false" outlineLevel="0" collapsed="false">
      <c r="A6695" s="49" t="s">
        <v>2349</v>
      </c>
      <c r="B6695" s="49" t="s">
        <v>2350</v>
      </c>
      <c r="C6695" s="49" t="s">
        <v>11410</v>
      </c>
      <c r="D6695" s="49" t="s">
        <v>2352</v>
      </c>
      <c r="E6695" s="49" t="str">
        <f aca="false">"5060458890191"</f>
        <v>5060458890191</v>
      </c>
      <c r="F6695" s="49" t="s">
        <v>3656</v>
      </c>
      <c r="G6695" s="49" t="n">
        <v>0</v>
      </c>
      <c r="H6695" s="0" t="n">
        <v>0</v>
      </c>
      <c r="M6695" s="51" t="s">
        <v>3667</v>
      </c>
      <c r="N6695" s="49" t="n">
        <v>0</v>
      </c>
      <c r="O6695" s="53" t="n">
        <v>45929.6796643519</v>
      </c>
      <c r="P6695" s="53" t="n">
        <v>45945.8177314815</v>
      </c>
      <c r="Q6695" s="53" t="n">
        <v>45929.6796643519</v>
      </c>
      <c r="R6695" s="0" t="n">
        <v>0</v>
      </c>
      <c r="S6695" s="51" t="s">
        <v>2416</v>
      </c>
      <c r="T6695" s="51" t="s">
        <v>2416</v>
      </c>
      <c r="U6695" s="0" t="str">
        <f aca="false">"5060458890191"</f>
        <v>5060458890191</v>
      </c>
      <c r="V6695" s="51" t="s">
        <v>2142</v>
      </c>
      <c r="W6695" s="51" t="s">
        <v>4445</v>
      </c>
      <c r="X6695" s="51" t="s">
        <v>2359</v>
      </c>
    </row>
    <row r="6696" customFormat="false" ht="14.25" hidden="true" customHeight="false" outlineLevel="0" collapsed="false">
      <c r="A6696" s="49" t="s">
        <v>2349</v>
      </c>
      <c r="B6696" s="49" t="s">
        <v>2350</v>
      </c>
      <c r="C6696" s="49" t="s">
        <v>11411</v>
      </c>
      <c r="D6696" s="49" t="s">
        <v>2352</v>
      </c>
      <c r="E6696" s="49" t="str">
        <f aca="false">"5060458890191"</f>
        <v>5060458890191</v>
      </c>
      <c r="F6696" s="49" t="s">
        <v>3656</v>
      </c>
      <c r="G6696" s="49" t="n">
        <v>0</v>
      </c>
      <c r="H6696" s="0" t="n">
        <v>0</v>
      </c>
      <c r="M6696" s="51" t="s">
        <v>3667</v>
      </c>
      <c r="N6696" s="49" t="n">
        <v>0</v>
      </c>
      <c r="O6696" s="53" t="n">
        <v>45929.6795833333</v>
      </c>
      <c r="P6696" s="53" t="n">
        <v>45945.8138541667</v>
      </c>
      <c r="Q6696" s="53" t="n">
        <v>45929.6795833333</v>
      </c>
      <c r="R6696" s="0" t="n">
        <v>0</v>
      </c>
      <c r="S6696" s="51" t="s">
        <v>2416</v>
      </c>
      <c r="T6696" s="51" t="s">
        <v>2416</v>
      </c>
      <c r="U6696" s="0" t="str">
        <f aca="false">"5060458890191"</f>
        <v>5060458890191</v>
      </c>
      <c r="V6696" s="51" t="s">
        <v>2142</v>
      </c>
      <c r="W6696" s="51" t="s">
        <v>10735</v>
      </c>
      <c r="X6696" s="51" t="s">
        <v>2359</v>
      </c>
    </row>
    <row r="6697" customFormat="false" ht="14.25" hidden="true" customHeight="false" outlineLevel="0" collapsed="false">
      <c r="A6697" s="49" t="s">
        <v>2349</v>
      </c>
      <c r="B6697" s="49" t="s">
        <v>2350</v>
      </c>
      <c r="C6697" s="49" t="s">
        <v>11412</v>
      </c>
      <c r="D6697" s="49" t="s">
        <v>2352</v>
      </c>
      <c r="E6697" s="49" t="str">
        <f aca="false">"5060458890191"</f>
        <v>5060458890191</v>
      </c>
      <c r="F6697" s="49" t="s">
        <v>3656</v>
      </c>
      <c r="G6697" s="49" t="n">
        <v>0</v>
      </c>
      <c r="H6697" s="0" t="n">
        <v>0</v>
      </c>
      <c r="M6697" s="51" t="s">
        <v>3667</v>
      </c>
      <c r="N6697" s="49" t="n">
        <v>0</v>
      </c>
      <c r="O6697" s="53" t="n">
        <v>45929.6795138889</v>
      </c>
      <c r="P6697" s="53" t="n">
        <v>45944.7364814815</v>
      </c>
      <c r="Q6697" s="53" t="n">
        <v>45929.6795138889</v>
      </c>
      <c r="R6697" s="0" t="n">
        <v>0</v>
      </c>
      <c r="S6697" s="51" t="s">
        <v>2416</v>
      </c>
      <c r="T6697" s="51" t="s">
        <v>2416</v>
      </c>
      <c r="U6697" s="0" t="str">
        <f aca="false">"5060458890191"</f>
        <v>5060458890191</v>
      </c>
      <c r="V6697" s="51" t="s">
        <v>2142</v>
      </c>
      <c r="W6697" s="51" t="s">
        <v>11413</v>
      </c>
      <c r="X6697" s="51" t="s">
        <v>2359</v>
      </c>
    </row>
    <row r="6698" customFormat="false" ht="14.25" hidden="true" customHeight="false" outlineLevel="0" collapsed="false">
      <c r="A6698" s="49" t="s">
        <v>2349</v>
      </c>
      <c r="B6698" s="49" t="s">
        <v>2350</v>
      </c>
      <c r="C6698" s="49" t="s">
        <v>11414</v>
      </c>
      <c r="D6698" s="49" t="s">
        <v>2352</v>
      </c>
      <c r="E6698" s="49" t="str">
        <f aca="false">"5060458890191"</f>
        <v>5060458890191</v>
      </c>
      <c r="F6698" s="49" t="s">
        <v>3656</v>
      </c>
      <c r="G6698" s="49" t="n">
        <v>0</v>
      </c>
      <c r="H6698" s="0" t="n">
        <v>0</v>
      </c>
      <c r="M6698" s="51" t="s">
        <v>3667</v>
      </c>
      <c r="N6698" s="49" t="n">
        <v>0</v>
      </c>
      <c r="O6698" s="53" t="n">
        <v>45929.6793634259</v>
      </c>
      <c r="P6698" s="53" t="n">
        <v>45939.5113657407</v>
      </c>
      <c r="Q6698" s="53" t="n">
        <v>45929.6793634259</v>
      </c>
      <c r="R6698" s="0" t="n">
        <v>0</v>
      </c>
      <c r="S6698" s="51" t="s">
        <v>2416</v>
      </c>
      <c r="T6698" s="51" t="s">
        <v>2416</v>
      </c>
      <c r="U6698" s="0" t="str">
        <f aca="false">"5060458890191"</f>
        <v>5060458890191</v>
      </c>
      <c r="V6698" s="51" t="s">
        <v>2142</v>
      </c>
      <c r="W6698" s="51" t="s">
        <v>9363</v>
      </c>
      <c r="X6698" s="51" t="s">
        <v>2359</v>
      </c>
    </row>
    <row r="6699" customFormat="false" ht="14.25" hidden="true" customHeight="false" outlineLevel="0" collapsed="false">
      <c r="A6699" s="49" t="s">
        <v>2349</v>
      </c>
      <c r="B6699" s="49" t="s">
        <v>2350</v>
      </c>
      <c r="C6699" s="49" t="s">
        <v>11415</v>
      </c>
      <c r="D6699" s="49" t="s">
        <v>2352</v>
      </c>
      <c r="E6699" s="49" t="str">
        <f aca="false">"5060458890191"</f>
        <v>5060458890191</v>
      </c>
      <c r="F6699" s="49" t="s">
        <v>3656</v>
      </c>
      <c r="G6699" s="49" t="n">
        <v>0</v>
      </c>
      <c r="H6699" s="0" t="n">
        <v>0</v>
      </c>
      <c r="M6699" s="51" t="s">
        <v>3667</v>
      </c>
      <c r="N6699" s="49" t="n">
        <v>0</v>
      </c>
      <c r="O6699" s="53" t="n">
        <v>45929.6784027778</v>
      </c>
      <c r="P6699" s="53" t="n">
        <v>45948.9007407407</v>
      </c>
      <c r="Q6699" s="53" t="n">
        <v>45929.6784027778</v>
      </c>
      <c r="R6699" s="0" t="n">
        <v>0</v>
      </c>
      <c r="S6699" s="51" t="s">
        <v>2416</v>
      </c>
      <c r="T6699" s="51" t="s">
        <v>2416</v>
      </c>
      <c r="U6699" s="0" t="str">
        <f aca="false">"5060458890191"</f>
        <v>5060458890191</v>
      </c>
      <c r="V6699" s="51" t="s">
        <v>2142</v>
      </c>
      <c r="W6699" s="51" t="s">
        <v>10097</v>
      </c>
      <c r="X6699" s="51" t="s">
        <v>2359</v>
      </c>
    </row>
    <row r="6700" customFormat="false" ht="14.25" hidden="true" customHeight="false" outlineLevel="0" collapsed="false">
      <c r="A6700" s="49" t="s">
        <v>2349</v>
      </c>
      <c r="B6700" s="49" t="s">
        <v>2350</v>
      </c>
      <c r="C6700" s="49" t="s">
        <v>11416</v>
      </c>
      <c r="D6700" s="49" t="s">
        <v>2352</v>
      </c>
      <c r="E6700" s="49" t="str">
        <f aca="false">"5060458890191"</f>
        <v>5060458890191</v>
      </c>
      <c r="F6700" s="49" t="s">
        <v>3656</v>
      </c>
      <c r="G6700" s="49" t="n">
        <v>0</v>
      </c>
      <c r="H6700" s="0" t="n">
        <v>0</v>
      </c>
      <c r="M6700" s="51" t="s">
        <v>3667</v>
      </c>
      <c r="N6700" s="49" t="n">
        <v>0</v>
      </c>
      <c r="O6700" s="53" t="n">
        <v>45929.6783333333</v>
      </c>
      <c r="P6700" s="53" t="n">
        <v>45953.7914699074</v>
      </c>
      <c r="Q6700" s="53" t="n">
        <v>45929.6783333333</v>
      </c>
      <c r="R6700" s="0" t="n">
        <v>0</v>
      </c>
      <c r="S6700" s="51" t="s">
        <v>2416</v>
      </c>
      <c r="T6700" s="51" t="s">
        <v>2416</v>
      </c>
      <c r="U6700" s="0" t="str">
        <f aca="false">"5060458890191"</f>
        <v>5060458890191</v>
      </c>
      <c r="V6700" s="51" t="s">
        <v>2142</v>
      </c>
      <c r="W6700" s="51" t="s">
        <v>10311</v>
      </c>
      <c r="X6700" s="51" t="s">
        <v>2359</v>
      </c>
    </row>
    <row r="6701" customFormat="false" ht="14.25" hidden="true" customHeight="false" outlineLevel="0" collapsed="false">
      <c r="A6701" s="49" t="s">
        <v>2349</v>
      </c>
      <c r="B6701" s="49" t="s">
        <v>2350</v>
      </c>
      <c r="C6701" s="49" t="s">
        <v>11417</v>
      </c>
      <c r="D6701" s="49" t="s">
        <v>2352</v>
      </c>
      <c r="E6701" s="49" t="str">
        <f aca="false">"5060458890191"</f>
        <v>5060458890191</v>
      </c>
      <c r="F6701" s="49" t="s">
        <v>3656</v>
      </c>
      <c r="G6701" s="49" t="n">
        <v>0</v>
      </c>
      <c r="H6701" s="0" t="n">
        <v>0</v>
      </c>
      <c r="M6701" s="51" t="s">
        <v>3667</v>
      </c>
      <c r="N6701" s="49" t="n">
        <v>0</v>
      </c>
      <c r="O6701" s="53" t="n">
        <v>45929.6784837963</v>
      </c>
      <c r="P6701" s="53" t="n">
        <v>45948.9207407407</v>
      </c>
      <c r="Q6701" s="53" t="n">
        <v>45929.6784837963</v>
      </c>
      <c r="R6701" s="0" t="n">
        <v>0</v>
      </c>
      <c r="S6701" s="51" t="s">
        <v>2416</v>
      </c>
      <c r="T6701" s="51" t="s">
        <v>2416</v>
      </c>
      <c r="U6701" s="0" t="str">
        <f aca="false">"5060458890191"</f>
        <v>5060458890191</v>
      </c>
      <c r="V6701" s="51" t="s">
        <v>2142</v>
      </c>
      <c r="W6701" s="51" t="s">
        <v>10100</v>
      </c>
      <c r="X6701" s="51" t="s">
        <v>2359</v>
      </c>
    </row>
    <row r="6702" customFormat="false" ht="14.25" hidden="true" customHeight="false" outlineLevel="0" collapsed="false">
      <c r="A6702" s="49" t="s">
        <v>2349</v>
      </c>
      <c r="B6702" s="49" t="s">
        <v>2350</v>
      </c>
      <c r="C6702" s="49" t="s">
        <v>11418</v>
      </c>
      <c r="D6702" s="49" t="s">
        <v>2352</v>
      </c>
      <c r="E6702" s="49" t="str">
        <f aca="false">"5060458890191"</f>
        <v>5060458890191</v>
      </c>
      <c r="F6702" s="49" t="s">
        <v>3656</v>
      </c>
      <c r="G6702" s="49" t="n">
        <v>0</v>
      </c>
      <c r="H6702" s="0" t="n">
        <v>0</v>
      </c>
      <c r="M6702" s="51" t="s">
        <v>3667</v>
      </c>
      <c r="N6702" s="49" t="n">
        <v>0</v>
      </c>
      <c r="O6702" s="53" t="n">
        <v>45929.6782638889</v>
      </c>
      <c r="P6702" s="53" t="n">
        <v>45945.8122685185</v>
      </c>
      <c r="Q6702" s="53" t="n">
        <v>45929.6782638889</v>
      </c>
      <c r="R6702" s="0" t="n">
        <v>0</v>
      </c>
      <c r="S6702" s="51" t="s">
        <v>2416</v>
      </c>
      <c r="T6702" s="51" t="s">
        <v>2416</v>
      </c>
      <c r="U6702" s="0" t="str">
        <f aca="false">"5060458890191"</f>
        <v>5060458890191</v>
      </c>
      <c r="V6702" s="51" t="s">
        <v>2142</v>
      </c>
      <c r="W6702" s="51" t="s">
        <v>10744</v>
      </c>
      <c r="X6702" s="51" t="s">
        <v>2359</v>
      </c>
    </row>
    <row r="6703" customFormat="false" ht="14.25" hidden="true" customHeight="false" outlineLevel="0" collapsed="false">
      <c r="A6703" s="49" t="s">
        <v>2349</v>
      </c>
      <c r="B6703" s="49" t="s">
        <v>2350</v>
      </c>
      <c r="C6703" s="49" t="s">
        <v>11419</v>
      </c>
      <c r="D6703" s="49" t="s">
        <v>2352</v>
      </c>
      <c r="E6703" s="49" t="str">
        <f aca="false">"5060458890191"</f>
        <v>5060458890191</v>
      </c>
      <c r="F6703" s="49" t="s">
        <v>3656</v>
      </c>
      <c r="G6703" s="49" t="n">
        <v>0</v>
      </c>
      <c r="H6703" s="0" t="n">
        <v>0</v>
      </c>
      <c r="M6703" s="51" t="s">
        <v>3667</v>
      </c>
      <c r="N6703" s="49" t="n">
        <v>0</v>
      </c>
      <c r="O6703" s="53" t="n">
        <v>45929.6781828704</v>
      </c>
      <c r="P6703" s="53" t="n">
        <v>45939.5223726852</v>
      </c>
      <c r="Q6703" s="53" t="n">
        <v>45929.6781828704</v>
      </c>
      <c r="R6703" s="0" t="n">
        <v>0</v>
      </c>
      <c r="S6703" s="51" t="s">
        <v>2416</v>
      </c>
      <c r="T6703" s="51" t="s">
        <v>2416</v>
      </c>
      <c r="U6703" s="0" t="str">
        <f aca="false">"5060458890191"</f>
        <v>5060458890191</v>
      </c>
      <c r="V6703" s="51" t="s">
        <v>2142</v>
      </c>
      <c r="W6703" s="51" t="s">
        <v>4782</v>
      </c>
      <c r="X6703" s="51" t="s">
        <v>2359</v>
      </c>
    </row>
    <row r="6704" customFormat="false" ht="14.25" hidden="true" customHeight="false" outlineLevel="0" collapsed="false">
      <c r="A6704" s="49" t="s">
        <v>2349</v>
      </c>
      <c r="B6704" s="49" t="s">
        <v>2350</v>
      </c>
      <c r="C6704" s="49" t="s">
        <v>11420</v>
      </c>
      <c r="D6704" s="49" t="s">
        <v>2352</v>
      </c>
      <c r="E6704" s="49" t="str">
        <f aca="false">"5060458890191"</f>
        <v>5060458890191</v>
      </c>
      <c r="F6704" s="49" t="s">
        <v>3656</v>
      </c>
      <c r="G6704" s="49" t="n">
        <v>0</v>
      </c>
      <c r="H6704" s="0" t="n">
        <v>0</v>
      </c>
      <c r="M6704" s="51" t="s">
        <v>3667</v>
      </c>
      <c r="N6704" s="49" t="n">
        <v>0</v>
      </c>
      <c r="O6704" s="53" t="n">
        <v>45929.6788078704</v>
      </c>
      <c r="P6704" s="53" t="n">
        <v>45948.9271296296</v>
      </c>
      <c r="Q6704" s="53" t="n">
        <v>45929.6788078704</v>
      </c>
      <c r="R6704" s="0" t="n">
        <v>0</v>
      </c>
      <c r="S6704" s="51" t="s">
        <v>2416</v>
      </c>
      <c r="T6704" s="51" t="s">
        <v>2416</v>
      </c>
      <c r="U6704" s="0" t="str">
        <f aca="false">"5060458890191"</f>
        <v>5060458890191</v>
      </c>
      <c r="V6704" s="51" t="s">
        <v>2142</v>
      </c>
      <c r="W6704" s="51" t="s">
        <v>10212</v>
      </c>
      <c r="X6704" s="51" t="s">
        <v>2359</v>
      </c>
    </row>
    <row r="6705" customFormat="false" ht="14.25" hidden="true" customHeight="false" outlineLevel="0" collapsed="false">
      <c r="A6705" s="49" t="s">
        <v>2349</v>
      </c>
      <c r="B6705" s="49" t="s">
        <v>2350</v>
      </c>
      <c r="C6705" s="49" t="s">
        <v>11421</v>
      </c>
      <c r="D6705" s="49" t="s">
        <v>2352</v>
      </c>
      <c r="E6705" s="49" t="str">
        <f aca="false">"5060458890191"</f>
        <v>5060458890191</v>
      </c>
      <c r="F6705" s="49" t="s">
        <v>3656</v>
      </c>
      <c r="G6705" s="49" t="n">
        <v>0</v>
      </c>
      <c r="H6705" s="0" t="n">
        <v>0</v>
      </c>
      <c r="M6705" s="51" t="s">
        <v>3667</v>
      </c>
      <c r="N6705" s="49" t="n">
        <v>0</v>
      </c>
      <c r="O6705" s="53" t="n">
        <v>45929.6781018519</v>
      </c>
      <c r="P6705" s="53" t="n">
        <v>45939.5227199074</v>
      </c>
      <c r="Q6705" s="53" t="n">
        <v>45929.6781018519</v>
      </c>
      <c r="R6705" s="0" t="n">
        <v>0</v>
      </c>
      <c r="S6705" s="51" t="s">
        <v>2416</v>
      </c>
      <c r="T6705" s="51" t="s">
        <v>2416</v>
      </c>
      <c r="U6705" s="0" t="str">
        <f aca="false">"5060458890191"</f>
        <v>5060458890191</v>
      </c>
      <c r="V6705" s="51" t="s">
        <v>2142</v>
      </c>
      <c r="W6705" s="51" t="s">
        <v>6786</v>
      </c>
      <c r="X6705" s="51" t="s">
        <v>2359</v>
      </c>
    </row>
    <row r="6706" customFormat="false" ht="14.25" hidden="true" customHeight="false" outlineLevel="0" collapsed="false">
      <c r="A6706" s="49" t="s">
        <v>2349</v>
      </c>
      <c r="B6706" s="49" t="s">
        <v>2350</v>
      </c>
      <c r="C6706" s="49" t="s">
        <v>11422</v>
      </c>
      <c r="D6706" s="49" t="s">
        <v>2352</v>
      </c>
      <c r="E6706" s="49" t="str">
        <f aca="false">"5060458890191"</f>
        <v>5060458890191</v>
      </c>
      <c r="F6706" s="49" t="s">
        <v>3656</v>
      </c>
      <c r="G6706" s="49" t="n">
        <v>0</v>
      </c>
      <c r="H6706" s="0" t="n">
        <v>0</v>
      </c>
      <c r="M6706" s="51" t="s">
        <v>3667</v>
      </c>
      <c r="N6706" s="49" t="n">
        <v>0</v>
      </c>
      <c r="O6706" s="53" t="n">
        <v>45929.6789236111</v>
      </c>
      <c r="P6706" s="53" t="n">
        <v>45943.6340625</v>
      </c>
      <c r="Q6706" s="53" t="n">
        <v>45929.6789236111</v>
      </c>
      <c r="R6706" s="0" t="n">
        <v>0</v>
      </c>
      <c r="S6706" s="51" t="s">
        <v>2416</v>
      </c>
      <c r="T6706" s="51" t="s">
        <v>2416</v>
      </c>
      <c r="U6706" s="0" t="str">
        <f aca="false">"5060458890191"</f>
        <v>5060458890191</v>
      </c>
      <c r="V6706" s="51" t="s">
        <v>2142</v>
      </c>
      <c r="W6706" s="51" t="s">
        <v>7570</v>
      </c>
      <c r="X6706" s="51" t="s">
        <v>2359</v>
      </c>
    </row>
    <row r="6707" customFormat="false" ht="14.25" hidden="true" customHeight="false" outlineLevel="0" collapsed="false">
      <c r="A6707" s="49" t="s">
        <v>2349</v>
      </c>
      <c r="B6707" s="49" t="s">
        <v>2350</v>
      </c>
      <c r="C6707" s="49" t="s">
        <v>11423</v>
      </c>
      <c r="D6707" s="49" t="s">
        <v>2352</v>
      </c>
      <c r="E6707" s="49" t="str">
        <f aca="false">"5060458890191"</f>
        <v>5060458890191</v>
      </c>
      <c r="F6707" s="49" t="s">
        <v>3656</v>
      </c>
      <c r="G6707" s="49" t="n">
        <v>0</v>
      </c>
      <c r="H6707" s="0" t="n">
        <v>0</v>
      </c>
      <c r="M6707" s="51" t="s">
        <v>3667</v>
      </c>
      <c r="N6707" s="49" t="n">
        <v>0</v>
      </c>
      <c r="O6707" s="53" t="n">
        <v>45929.6780092593</v>
      </c>
      <c r="P6707" s="53" t="n">
        <v>45941.4283217593</v>
      </c>
      <c r="Q6707" s="53" t="n">
        <v>45929.6780092593</v>
      </c>
      <c r="R6707" s="0" t="n">
        <v>0</v>
      </c>
      <c r="S6707" s="51" t="s">
        <v>2416</v>
      </c>
      <c r="T6707" s="51" t="s">
        <v>2416</v>
      </c>
      <c r="U6707" s="0" t="str">
        <f aca="false">"5060458890191"</f>
        <v>5060458890191</v>
      </c>
      <c r="V6707" s="51" t="s">
        <v>2142</v>
      </c>
      <c r="W6707" s="51" t="s">
        <v>10857</v>
      </c>
      <c r="X6707" s="51" t="s">
        <v>2359</v>
      </c>
    </row>
    <row r="6708" customFormat="false" ht="14.25" hidden="true" customHeight="false" outlineLevel="0" collapsed="false">
      <c r="A6708" s="49" t="s">
        <v>2349</v>
      </c>
      <c r="B6708" s="49" t="s">
        <v>2350</v>
      </c>
      <c r="C6708" s="49" t="s">
        <v>11424</v>
      </c>
      <c r="D6708" s="49" t="s">
        <v>2352</v>
      </c>
      <c r="E6708" s="49" t="str">
        <f aca="false">"5060458890191"</f>
        <v>5060458890191</v>
      </c>
      <c r="F6708" s="49" t="s">
        <v>3656</v>
      </c>
      <c r="G6708" s="49" t="n">
        <v>0</v>
      </c>
      <c r="H6708" s="0" t="n">
        <v>0</v>
      </c>
      <c r="M6708" s="51" t="s">
        <v>3667</v>
      </c>
      <c r="N6708" s="49" t="n">
        <v>0</v>
      </c>
      <c r="O6708" s="53" t="n">
        <v>45929.6790162037</v>
      </c>
      <c r="P6708" s="53" t="n">
        <v>45939.522025463</v>
      </c>
      <c r="Q6708" s="53" t="n">
        <v>45929.6790162037</v>
      </c>
      <c r="R6708" s="0" t="n">
        <v>0</v>
      </c>
      <c r="S6708" s="51" t="s">
        <v>2416</v>
      </c>
      <c r="T6708" s="51" t="s">
        <v>2416</v>
      </c>
      <c r="U6708" s="0" t="str">
        <f aca="false">"5060458890191"</f>
        <v>5060458890191</v>
      </c>
      <c r="V6708" s="51" t="s">
        <v>2142</v>
      </c>
      <c r="W6708" s="51" t="s">
        <v>5837</v>
      </c>
      <c r="X6708" s="51" t="s">
        <v>2359</v>
      </c>
    </row>
    <row r="6709" customFormat="false" ht="14.25" hidden="true" customHeight="false" outlineLevel="0" collapsed="false">
      <c r="A6709" s="49" t="s">
        <v>2349</v>
      </c>
      <c r="B6709" s="49" t="s">
        <v>2350</v>
      </c>
      <c r="C6709" s="49" t="s">
        <v>11425</v>
      </c>
      <c r="D6709" s="49" t="s">
        <v>2352</v>
      </c>
      <c r="E6709" s="49" t="str">
        <f aca="false">"5060458890191"</f>
        <v>5060458890191</v>
      </c>
      <c r="F6709" s="49" t="s">
        <v>3656</v>
      </c>
      <c r="G6709" s="49" t="n">
        <v>0</v>
      </c>
      <c r="H6709" s="0" t="n">
        <v>0</v>
      </c>
      <c r="M6709" s="51" t="s">
        <v>3667</v>
      </c>
      <c r="N6709" s="49" t="n">
        <v>0</v>
      </c>
      <c r="O6709" s="53" t="n">
        <v>45929.6779050926</v>
      </c>
      <c r="P6709" s="53" t="n">
        <v>45952.4571412037</v>
      </c>
      <c r="Q6709" s="53" t="n">
        <v>45929.6779050926</v>
      </c>
      <c r="R6709" s="0" t="n">
        <v>0</v>
      </c>
      <c r="S6709" s="51" t="s">
        <v>2416</v>
      </c>
      <c r="T6709" s="51" t="s">
        <v>2416</v>
      </c>
      <c r="U6709" s="0" t="str">
        <f aca="false">"5060458890191"</f>
        <v>5060458890191</v>
      </c>
      <c r="V6709" s="51" t="s">
        <v>2142</v>
      </c>
      <c r="W6709" s="51" t="s">
        <v>6721</v>
      </c>
      <c r="X6709" s="51" t="s">
        <v>2359</v>
      </c>
    </row>
    <row r="6710" customFormat="false" ht="14.25" hidden="true" customHeight="false" outlineLevel="0" collapsed="false">
      <c r="A6710" s="49" t="s">
        <v>2349</v>
      </c>
      <c r="B6710" s="49" t="s">
        <v>2350</v>
      </c>
      <c r="C6710" s="49" t="s">
        <v>11426</v>
      </c>
      <c r="D6710" s="49" t="s">
        <v>2352</v>
      </c>
      <c r="E6710" s="49" t="str">
        <f aca="false">"5060458890191"</f>
        <v>5060458890191</v>
      </c>
      <c r="F6710" s="49" t="s">
        <v>3656</v>
      </c>
      <c r="G6710" s="49" t="n">
        <v>0</v>
      </c>
      <c r="H6710" s="0" t="n">
        <v>0</v>
      </c>
      <c r="M6710" s="51" t="s">
        <v>3667</v>
      </c>
      <c r="N6710" s="49" t="n">
        <v>0</v>
      </c>
      <c r="O6710" s="53" t="n">
        <v>45929.6791087963</v>
      </c>
      <c r="P6710" s="53" t="n">
        <v>45939.5236111111</v>
      </c>
      <c r="Q6710" s="53" t="n">
        <v>45929.6791087963</v>
      </c>
      <c r="R6710" s="0" t="n">
        <v>0</v>
      </c>
      <c r="S6710" s="51" t="s">
        <v>2416</v>
      </c>
      <c r="T6710" s="51" t="s">
        <v>2416</v>
      </c>
      <c r="U6710" s="0" t="str">
        <f aca="false">"5060458890191"</f>
        <v>5060458890191</v>
      </c>
      <c r="V6710" s="51" t="s">
        <v>2142</v>
      </c>
      <c r="W6710" s="51" t="s">
        <v>4216</v>
      </c>
      <c r="X6710" s="51" t="s">
        <v>2359</v>
      </c>
    </row>
    <row r="6711" customFormat="false" ht="14.25" hidden="true" customHeight="false" outlineLevel="0" collapsed="false">
      <c r="A6711" s="49" t="s">
        <v>2349</v>
      </c>
      <c r="B6711" s="49" t="s">
        <v>2350</v>
      </c>
      <c r="C6711" s="49" t="s">
        <v>11427</v>
      </c>
      <c r="D6711" s="49" t="s">
        <v>2352</v>
      </c>
      <c r="E6711" s="49" t="str">
        <f aca="false">"5060458890191"</f>
        <v>5060458890191</v>
      </c>
      <c r="F6711" s="49" t="s">
        <v>3656</v>
      </c>
      <c r="G6711" s="49" t="n">
        <v>0</v>
      </c>
      <c r="H6711" s="0" t="n">
        <v>0</v>
      </c>
      <c r="M6711" s="51" t="s">
        <v>3667</v>
      </c>
      <c r="N6711" s="49" t="n">
        <v>0</v>
      </c>
      <c r="O6711" s="53" t="n">
        <v>45929.6792361111</v>
      </c>
      <c r="P6711" s="53" t="n">
        <v>45944.7341550926</v>
      </c>
      <c r="Q6711" s="53" t="n">
        <v>45929.6792361111</v>
      </c>
      <c r="R6711" s="0" t="n">
        <v>0</v>
      </c>
      <c r="S6711" s="51" t="s">
        <v>2416</v>
      </c>
      <c r="T6711" s="51" t="s">
        <v>2416</v>
      </c>
      <c r="U6711" s="0" t="str">
        <f aca="false">"5060458890191"</f>
        <v>5060458890191</v>
      </c>
      <c r="V6711" s="51" t="s">
        <v>2142</v>
      </c>
      <c r="W6711" s="51" t="s">
        <v>5514</v>
      </c>
      <c r="X6711" s="51" t="s">
        <v>2359</v>
      </c>
    </row>
    <row r="6712" customFormat="false" ht="14.25" hidden="true" customHeight="false" outlineLevel="0" collapsed="false">
      <c r="A6712" s="49" t="s">
        <v>2349</v>
      </c>
      <c r="B6712" s="49" t="s">
        <v>2350</v>
      </c>
      <c r="C6712" s="49" t="s">
        <v>11428</v>
      </c>
      <c r="D6712" s="49" t="s">
        <v>2352</v>
      </c>
      <c r="E6712" s="49" t="str">
        <f aca="false">"5060458890191"</f>
        <v>5060458890191</v>
      </c>
      <c r="F6712" s="49" t="s">
        <v>3656</v>
      </c>
      <c r="G6712" s="49" t="n">
        <v>0</v>
      </c>
      <c r="H6712" s="0" t="n">
        <v>0</v>
      </c>
      <c r="M6712" s="51" t="s">
        <v>3667</v>
      </c>
      <c r="N6712" s="49" t="n">
        <v>0</v>
      </c>
      <c r="O6712" s="53" t="n">
        <v>45929.6777893519</v>
      </c>
      <c r="P6712" s="53" t="n">
        <v>45941.3295023148</v>
      </c>
      <c r="Q6712" s="53" t="n">
        <v>45929.6777893519</v>
      </c>
      <c r="R6712" s="0" t="n">
        <v>0</v>
      </c>
      <c r="S6712" s="51" t="s">
        <v>2416</v>
      </c>
      <c r="T6712" s="51" t="s">
        <v>2416</v>
      </c>
      <c r="U6712" s="0" t="str">
        <f aca="false">"5060458890191"</f>
        <v>5060458890191</v>
      </c>
      <c r="V6712" s="51" t="s">
        <v>2142</v>
      </c>
      <c r="W6712" s="51" t="s">
        <v>5615</v>
      </c>
      <c r="X6712" s="51" t="s">
        <v>2359</v>
      </c>
    </row>
    <row r="6713" customFormat="false" ht="14.25" hidden="true" customHeight="false" outlineLevel="0" collapsed="false">
      <c r="A6713" s="49" t="s">
        <v>2349</v>
      </c>
      <c r="B6713" s="49" t="s">
        <v>2350</v>
      </c>
      <c r="C6713" s="49" t="s">
        <v>11429</v>
      </c>
      <c r="D6713" s="49" t="s">
        <v>2352</v>
      </c>
      <c r="E6713" s="49" t="str">
        <f aca="false">"5060458890191"</f>
        <v>5060458890191</v>
      </c>
      <c r="F6713" s="49" t="s">
        <v>3656</v>
      </c>
      <c r="G6713" s="49" t="n">
        <v>0</v>
      </c>
      <c r="H6713" s="0" t="n">
        <v>0</v>
      </c>
      <c r="M6713" s="51" t="s">
        <v>3667</v>
      </c>
      <c r="N6713" s="49" t="n">
        <v>0</v>
      </c>
      <c r="O6713" s="53" t="n">
        <v>45994.4758333333</v>
      </c>
      <c r="P6713" s="53" t="n">
        <v>45994.9463888889</v>
      </c>
      <c r="R6713" s="0" t="n">
        <v>0</v>
      </c>
      <c r="T6713" s="51" t="s">
        <v>2364</v>
      </c>
      <c r="U6713" s="0" t="str">
        <f aca="false">"5060458890191"</f>
        <v>5060458890191</v>
      </c>
      <c r="V6713" s="51" t="s">
        <v>2142</v>
      </c>
      <c r="W6713" s="51" t="s">
        <v>3820</v>
      </c>
      <c r="X6713" s="51" t="s">
        <v>2359</v>
      </c>
    </row>
    <row r="6714" customFormat="false" ht="14.25" hidden="true" customHeight="false" outlineLevel="0" collapsed="false">
      <c r="A6714" s="49" t="s">
        <v>2349</v>
      </c>
      <c r="B6714" s="49" t="s">
        <v>2350</v>
      </c>
      <c r="C6714" s="49" t="s">
        <v>11430</v>
      </c>
      <c r="D6714" s="49" t="s">
        <v>2352</v>
      </c>
      <c r="E6714" s="49" t="str">
        <f aca="false">"5060458890191"</f>
        <v>5060458890191</v>
      </c>
      <c r="F6714" s="49" t="s">
        <v>3656</v>
      </c>
      <c r="G6714" s="49" t="n">
        <v>0</v>
      </c>
      <c r="H6714" s="0" t="n">
        <v>0</v>
      </c>
      <c r="M6714" s="51" t="s">
        <v>11431</v>
      </c>
      <c r="N6714" s="49" t="n">
        <v>0</v>
      </c>
      <c r="O6714" s="53" t="n">
        <v>45889.5149421296</v>
      </c>
      <c r="P6714" s="53" t="n">
        <v>45918.9203472222</v>
      </c>
      <c r="Q6714" s="53" t="n">
        <v>45889.5149421296</v>
      </c>
      <c r="R6714" s="0" t="n">
        <v>0</v>
      </c>
      <c r="S6714" s="51" t="s">
        <v>2416</v>
      </c>
      <c r="T6714" s="51" t="s">
        <v>2416</v>
      </c>
      <c r="U6714" s="0" t="str">
        <f aca="false">"5060458890191"</f>
        <v>5060458890191</v>
      </c>
      <c r="V6714" s="51" t="s">
        <v>2142</v>
      </c>
      <c r="W6714" s="51" t="s">
        <v>5289</v>
      </c>
      <c r="X6714" s="51" t="s">
        <v>2359</v>
      </c>
    </row>
    <row r="6715" customFormat="false" ht="14.25" hidden="true" customHeight="false" outlineLevel="0" collapsed="false">
      <c r="A6715" s="49" t="s">
        <v>2349</v>
      </c>
      <c r="B6715" s="49" t="s">
        <v>2350</v>
      </c>
      <c r="C6715" s="49" t="s">
        <v>11432</v>
      </c>
      <c r="D6715" s="49" t="s">
        <v>2352</v>
      </c>
      <c r="E6715" s="49" t="str">
        <f aca="false">"5060458890191"</f>
        <v>5060458890191</v>
      </c>
      <c r="F6715" s="49" t="s">
        <v>3656</v>
      </c>
      <c r="G6715" s="49" t="n">
        <v>0</v>
      </c>
      <c r="H6715" s="0" t="n">
        <v>0</v>
      </c>
      <c r="M6715" s="51" t="s">
        <v>11431</v>
      </c>
      <c r="N6715" s="49" t="n">
        <v>0</v>
      </c>
      <c r="O6715" s="53" t="n">
        <v>45889.5150231481</v>
      </c>
      <c r="P6715" s="53" t="n">
        <v>45909.480474537</v>
      </c>
      <c r="Q6715" s="53" t="n">
        <v>45889.5150231481</v>
      </c>
      <c r="R6715" s="0" t="n">
        <v>0</v>
      </c>
      <c r="S6715" s="51" t="s">
        <v>2416</v>
      </c>
      <c r="T6715" s="51" t="s">
        <v>2416</v>
      </c>
      <c r="U6715" s="0" t="str">
        <f aca="false">"5060458890191"</f>
        <v>5060458890191</v>
      </c>
      <c r="V6715" s="51" t="s">
        <v>2142</v>
      </c>
      <c r="W6715" s="51" t="s">
        <v>11433</v>
      </c>
      <c r="X6715" s="51" t="s">
        <v>2359</v>
      </c>
    </row>
    <row r="6716" customFormat="false" ht="14.25" hidden="true" customHeight="false" outlineLevel="0" collapsed="false">
      <c r="A6716" s="49" t="s">
        <v>2349</v>
      </c>
      <c r="B6716" s="49" t="s">
        <v>2350</v>
      </c>
      <c r="C6716" s="49" t="s">
        <v>11434</v>
      </c>
      <c r="D6716" s="49" t="s">
        <v>2352</v>
      </c>
      <c r="E6716" s="49" t="str">
        <f aca="false">"5060458890191"</f>
        <v>5060458890191</v>
      </c>
      <c r="F6716" s="49" t="s">
        <v>3656</v>
      </c>
      <c r="G6716" s="49" t="n">
        <v>0</v>
      </c>
      <c r="H6716" s="0" t="n">
        <v>0</v>
      </c>
      <c r="M6716" s="51" t="s">
        <v>11431</v>
      </c>
      <c r="N6716" s="49" t="n">
        <v>0</v>
      </c>
      <c r="O6716" s="53" t="n">
        <v>45889.5150925926</v>
      </c>
      <c r="P6716" s="53" t="n">
        <v>45904.9230555556</v>
      </c>
      <c r="Q6716" s="53" t="n">
        <v>45889.5150925926</v>
      </c>
      <c r="R6716" s="0" t="n">
        <v>0</v>
      </c>
      <c r="S6716" s="51" t="s">
        <v>2416</v>
      </c>
      <c r="T6716" s="51" t="s">
        <v>2416</v>
      </c>
      <c r="U6716" s="0" t="str">
        <f aca="false">"5060458890191"</f>
        <v>5060458890191</v>
      </c>
      <c r="V6716" s="51" t="s">
        <v>2142</v>
      </c>
      <c r="W6716" s="51" t="s">
        <v>4564</v>
      </c>
      <c r="X6716" s="51" t="s">
        <v>2359</v>
      </c>
    </row>
    <row r="6717" customFormat="false" ht="14.25" hidden="true" customHeight="false" outlineLevel="0" collapsed="false">
      <c r="A6717" s="49" t="s">
        <v>2349</v>
      </c>
      <c r="B6717" s="49" t="s">
        <v>2350</v>
      </c>
      <c r="C6717" s="49" t="s">
        <v>11435</v>
      </c>
      <c r="D6717" s="49" t="s">
        <v>2352</v>
      </c>
      <c r="E6717" s="49" t="str">
        <f aca="false">"5060458890191"</f>
        <v>5060458890191</v>
      </c>
      <c r="F6717" s="49" t="s">
        <v>3656</v>
      </c>
      <c r="G6717" s="49" t="n">
        <v>0</v>
      </c>
      <c r="H6717" s="0" t="n">
        <v>0</v>
      </c>
      <c r="M6717" s="51" t="s">
        <v>11431</v>
      </c>
      <c r="N6717" s="49" t="n">
        <v>0</v>
      </c>
      <c r="O6717" s="53" t="n">
        <v>45889.5137847222</v>
      </c>
      <c r="P6717" s="53" t="n">
        <v>45914.9057060185</v>
      </c>
      <c r="Q6717" s="53" t="n">
        <v>45889.5137847222</v>
      </c>
      <c r="R6717" s="0" t="n">
        <v>0</v>
      </c>
      <c r="S6717" s="51" t="s">
        <v>2416</v>
      </c>
      <c r="T6717" s="51" t="s">
        <v>2416</v>
      </c>
      <c r="U6717" s="0" t="str">
        <f aca="false">"5060458890191"</f>
        <v>5060458890191</v>
      </c>
      <c r="V6717" s="51" t="s">
        <v>2142</v>
      </c>
      <c r="W6717" s="51" t="s">
        <v>6430</v>
      </c>
      <c r="X6717" s="51" t="s">
        <v>2359</v>
      </c>
    </row>
    <row r="6718" customFormat="false" ht="14.25" hidden="true" customHeight="false" outlineLevel="0" collapsed="false">
      <c r="A6718" s="49" t="s">
        <v>2349</v>
      </c>
      <c r="B6718" s="49" t="s">
        <v>2350</v>
      </c>
      <c r="C6718" s="49" t="s">
        <v>11436</v>
      </c>
      <c r="D6718" s="49" t="s">
        <v>2352</v>
      </c>
      <c r="E6718" s="49" t="str">
        <f aca="false">"5060458890191"</f>
        <v>5060458890191</v>
      </c>
      <c r="F6718" s="49" t="s">
        <v>3656</v>
      </c>
      <c r="G6718" s="49" t="n">
        <v>0</v>
      </c>
      <c r="H6718" s="0" t="n">
        <v>0</v>
      </c>
      <c r="M6718" s="51" t="s">
        <v>11431</v>
      </c>
      <c r="N6718" s="49" t="n">
        <v>0</v>
      </c>
      <c r="O6718" s="53" t="n">
        <v>45889.5136805556</v>
      </c>
      <c r="P6718" s="53" t="n">
        <v>45897.3290509259</v>
      </c>
      <c r="Q6718" s="53" t="n">
        <v>45889.5136805556</v>
      </c>
      <c r="R6718" s="0" t="n">
        <v>0</v>
      </c>
      <c r="S6718" s="51" t="s">
        <v>2416</v>
      </c>
      <c r="T6718" s="51" t="s">
        <v>2416</v>
      </c>
      <c r="U6718" s="0" t="str">
        <f aca="false">"5060458890191"</f>
        <v>5060458890191</v>
      </c>
      <c r="V6718" s="51" t="s">
        <v>2142</v>
      </c>
      <c r="W6718" s="51" t="s">
        <v>7531</v>
      </c>
      <c r="X6718" s="51" t="s">
        <v>2359</v>
      </c>
    </row>
    <row r="6719" customFormat="false" ht="14.25" hidden="true" customHeight="false" outlineLevel="0" collapsed="false">
      <c r="A6719" s="49" t="s">
        <v>2349</v>
      </c>
      <c r="B6719" s="49" t="s">
        <v>2350</v>
      </c>
      <c r="C6719" s="49" t="s">
        <v>11437</v>
      </c>
      <c r="D6719" s="49" t="s">
        <v>2352</v>
      </c>
      <c r="E6719" s="49" t="str">
        <f aca="false">"5060458890191"</f>
        <v>5060458890191</v>
      </c>
      <c r="F6719" s="49" t="s">
        <v>3656</v>
      </c>
      <c r="G6719" s="49" t="n">
        <v>0</v>
      </c>
      <c r="H6719" s="0" t="n">
        <v>0</v>
      </c>
      <c r="M6719" s="51" t="s">
        <v>11431</v>
      </c>
      <c r="N6719" s="49" t="n">
        <v>0</v>
      </c>
      <c r="O6719" s="53" t="n">
        <v>45889.5133449074</v>
      </c>
      <c r="P6719" s="53" t="n">
        <v>45909.3512847222</v>
      </c>
      <c r="Q6719" s="53" t="n">
        <v>45889.5133449074</v>
      </c>
      <c r="R6719" s="0" t="n">
        <v>0</v>
      </c>
      <c r="S6719" s="51" t="s">
        <v>2416</v>
      </c>
      <c r="T6719" s="51" t="s">
        <v>2416</v>
      </c>
      <c r="U6719" s="0" t="str">
        <f aca="false">"5060458890191"</f>
        <v>5060458890191</v>
      </c>
      <c r="V6719" s="51" t="s">
        <v>2142</v>
      </c>
      <c r="W6719" s="51" t="s">
        <v>6661</v>
      </c>
      <c r="X6719" s="51" t="s">
        <v>2359</v>
      </c>
    </row>
    <row r="6720" customFormat="false" ht="14.25" hidden="true" customHeight="false" outlineLevel="0" collapsed="false">
      <c r="A6720" s="49" t="s">
        <v>2349</v>
      </c>
      <c r="B6720" s="49" t="s">
        <v>2350</v>
      </c>
      <c r="C6720" s="49" t="s">
        <v>11438</v>
      </c>
      <c r="D6720" s="49" t="s">
        <v>2352</v>
      </c>
      <c r="E6720" s="49" t="str">
        <f aca="false">"5060458890191"</f>
        <v>5060458890191</v>
      </c>
      <c r="F6720" s="49" t="s">
        <v>3656</v>
      </c>
      <c r="G6720" s="49" t="n">
        <v>0</v>
      </c>
      <c r="H6720" s="0" t="n">
        <v>0</v>
      </c>
      <c r="M6720" s="51" t="s">
        <v>11431</v>
      </c>
      <c r="N6720" s="49" t="n">
        <v>0</v>
      </c>
      <c r="O6720" s="53" t="n">
        <v>45889.5142708333</v>
      </c>
      <c r="P6720" s="53" t="n">
        <v>45914.9061111111</v>
      </c>
      <c r="Q6720" s="53" t="n">
        <v>45889.5142708333</v>
      </c>
      <c r="R6720" s="0" t="n">
        <v>0</v>
      </c>
      <c r="S6720" s="51" t="s">
        <v>2416</v>
      </c>
      <c r="T6720" s="51" t="s">
        <v>2416</v>
      </c>
      <c r="U6720" s="0" t="str">
        <f aca="false">"5060458890191"</f>
        <v>5060458890191</v>
      </c>
      <c r="V6720" s="51" t="s">
        <v>2142</v>
      </c>
      <c r="W6720" s="51" t="s">
        <v>6430</v>
      </c>
      <c r="X6720" s="51" t="s">
        <v>2359</v>
      </c>
    </row>
    <row r="6721" customFormat="false" ht="14.25" hidden="true" customHeight="false" outlineLevel="0" collapsed="false">
      <c r="A6721" s="49" t="s">
        <v>2349</v>
      </c>
      <c r="B6721" s="49" t="s">
        <v>2350</v>
      </c>
      <c r="C6721" s="49" t="s">
        <v>11439</v>
      </c>
      <c r="D6721" s="49" t="s">
        <v>2352</v>
      </c>
      <c r="E6721" s="49" t="str">
        <f aca="false">"5060458890191"</f>
        <v>5060458890191</v>
      </c>
      <c r="F6721" s="49" t="s">
        <v>3656</v>
      </c>
      <c r="G6721" s="49" t="n">
        <v>0</v>
      </c>
      <c r="H6721" s="0" t="n">
        <v>0</v>
      </c>
      <c r="M6721" s="51" t="s">
        <v>11431</v>
      </c>
      <c r="N6721" s="49" t="n">
        <v>0</v>
      </c>
      <c r="O6721" s="53" t="n">
        <v>45889.5140972222</v>
      </c>
      <c r="P6721" s="53" t="n">
        <v>45909.3178240741</v>
      </c>
      <c r="Q6721" s="53" t="n">
        <v>45889.5140972222</v>
      </c>
      <c r="R6721" s="0" t="n">
        <v>0</v>
      </c>
      <c r="S6721" s="51" t="s">
        <v>2416</v>
      </c>
      <c r="T6721" s="51" t="s">
        <v>2416</v>
      </c>
      <c r="U6721" s="0" t="str">
        <f aca="false">"5060458890191"</f>
        <v>5060458890191</v>
      </c>
      <c r="V6721" s="51" t="s">
        <v>2142</v>
      </c>
      <c r="W6721" s="51" t="s">
        <v>5517</v>
      </c>
      <c r="X6721" s="51" t="s">
        <v>2359</v>
      </c>
    </row>
    <row r="6722" customFormat="false" ht="14.25" hidden="true" customHeight="false" outlineLevel="0" collapsed="false">
      <c r="A6722" s="49" t="s">
        <v>2349</v>
      </c>
      <c r="B6722" s="49" t="s">
        <v>2350</v>
      </c>
      <c r="C6722" s="49" t="s">
        <v>11440</v>
      </c>
      <c r="D6722" s="49" t="s">
        <v>2352</v>
      </c>
      <c r="E6722" s="49" t="str">
        <f aca="false">"5060458890191"</f>
        <v>5060458890191</v>
      </c>
      <c r="F6722" s="49" t="s">
        <v>3656</v>
      </c>
      <c r="G6722" s="49" t="n">
        <v>0</v>
      </c>
      <c r="H6722" s="0" t="n">
        <v>0</v>
      </c>
      <c r="M6722" s="51" t="s">
        <v>11431</v>
      </c>
      <c r="N6722" s="49" t="n">
        <v>0</v>
      </c>
      <c r="O6722" s="53" t="n">
        <v>45889.5134027778</v>
      </c>
      <c r="P6722" s="53" t="n">
        <v>45904.9190856482</v>
      </c>
      <c r="Q6722" s="53" t="n">
        <v>45889.5134027778</v>
      </c>
      <c r="R6722" s="0" t="n">
        <v>0</v>
      </c>
      <c r="S6722" s="51" t="s">
        <v>2416</v>
      </c>
      <c r="T6722" s="51" t="s">
        <v>2416</v>
      </c>
      <c r="U6722" s="0" t="str">
        <f aca="false">"5060458890191"</f>
        <v>5060458890191</v>
      </c>
      <c r="V6722" s="51" t="s">
        <v>2142</v>
      </c>
      <c r="W6722" s="51" t="s">
        <v>5949</v>
      </c>
      <c r="X6722" s="51" t="s">
        <v>2359</v>
      </c>
    </row>
    <row r="6723" customFormat="false" ht="14.25" hidden="true" customHeight="false" outlineLevel="0" collapsed="false">
      <c r="A6723" s="49" t="s">
        <v>2349</v>
      </c>
      <c r="B6723" s="49" t="s">
        <v>2350</v>
      </c>
      <c r="C6723" s="49" t="s">
        <v>11441</v>
      </c>
      <c r="D6723" s="49" t="s">
        <v>2352</v>
      </c>
      <c r="E6723" s="49" t="str">
        <f aca="false">"5060458890191"</f>
        <v>5060458890191</v>
      </c>
      <c r="F6723" s="49" t="s">
        <v>3656</v>
      </c>
      <c r="G6723" s="49" t="n">
        <v>0</v>
      </c>
      <c r="H6723" s="0" t="n">
        <v>0</v>
      </c>
      <c r="M6723" s="51" t="s">
        <v>11431</v>
      </c>
      <c r="N6723" s="49" t="n">
        <v>0</v>
      </c>
      <c r="O6723" s="53" t="n">
        <v>45889.5139930556</v>
      </c>
      <c r="P6723" s="53" t="n">
        <v>45909.4790972222</v>
      </c>
      <c r="Q6723" s="53" t="n">
        <v>45889.5139930556</v>
      </c>
      <c r="R6723" s="0" t="n">
        <v>0</v>
      </c>
      <c r="S6723" s="51" t="s">
        <v>2416</v>
      </c>
      <c r="T6723" s="51" t="s">
        <v>2416</v>
      </c>
      <c r="U6723" s="0" t="str">
        <f aca="false">"5060458890191"</f>
        <v>5060458890191</v>
      </c>
      <c r="V6723" s="51" t="s">
        <v>2142</v>
      </c>
      <c r="W6723" s="51" t="s">
        <v>6413</v>
      </c>
      <c r="X6723" s="51" t="s">
        <v>2359</v>
      </c>
    </row>
    <row r="6724" customFormat="false" ht="14.25" hidden="true" customHeight="false" outlineLevel="0" collapsed="false">
      <c r="A6724" s="49" t="s">
        <v>2349</v>
      </c>
      <c r="B6724" s="49" t="s">
        <v>2350</v>
      </c>
      <c r="C6724" s="49" t="s">
        <v>11442</v>
      </c>
      <c r="D6724" s="49" t="s">
        <v>2352</v>
      </c>
      <c r="E6724" s="49" t="str">
        <f aca="false">"5060458890191"</f>
        <v>5060458890191</v>
      </c>
      <c r="F6724" s="49" t="s">
        <v>3656</v>
      </c>
      <c r="G6724" s="49" t="n">
        <v>0</v>
      </c>
      <c r="H6724" s="0" t="n">
        <v>0</v>
      </c>
      <c r="M6724" s="51" t="s">
        <v>11431</v>
      </c>
      <c r="N6724" s="49" t="n">
        <v>0</v>
      </c>
      <c r="O6724" s="53" t="n">
        <v>45889.5134606482</v>
      </c>
      <c r="P6724" s="53" t="n">
        <v>45914.9067013889</v>
      </c>
      <c r="Q6724" s="53" t="n">
        <v>45889.5134606482</v>
      </c>
      <c r="R6724" s="0" t="n">
        <v>0</v>
      </c>
      <c r="S6724" s="51" t="s">
        <v>2416</v>
      </c>
      <c r="T6724" s="51" t="s">
        <v>2416</v>
      </c>
      <c r="U6724" s="0" t="str">
        <f aca="false">"5060458890191"</f>
        <v>5060458890191</v>
      </c>
      <c r="V6724" s="51" t="s">
        <v>2142</v>
      </c>
      <c r="W6724" s="51" t="s">
        <v>6281</v>
      </c>
      <c r="X6724" s="51" t="s">
        <v>2359</v>
      </c>
    </row>
    <row r="6725" customFormat="false" ht="14.25" hidden="true" customHeight="false" outlineLevel="0" collapsed="false">
      <c r="A6725" s="49" t="s">
        <v>2349</v>
      </c>
      <c r="B6725" s="49" t="s">
        <v>2350</v>
      </c>
      <c r="C6725" s="49" t="s">
        <v>11443</v>
      </c>
      <c r="D6725" s="49" t="s">
        <v>2352</v>
      </c>
      <c r="E6725" s="49" t="str">
        <f aca="false">"5060458890191"</f>
        <v>5060458890191</v>
      </c>
      <c r="F6725" s="49" t="s">
        <v>3656</v>
      </c>
      <c r="G6725" s="49" t="n">
        <v>0</v>
      </c>
      <c r="H6725" s="0" t="n">
        <v>0</v>
      </c>
      <c r="M6725" s="51" t="s">
        <v>11431</v>
      </c>
      <c r="N6725" s="49" t="n">
        <v>0</v>
      </c>
      <c r="O6725" s="53" t="n">
        <v>45889.513912037</v>
      </c>
      <c r="P6725" s="53" t="n">
        <v>45909.3312152778</v>
      </c>
      <c r="Q6725" s="53" t="n">
        <v>45889.513912037</v>
      </c>
      <c r="R6725" s="0" t="n">
        <v>0</v>
      </c>
      <c r="S6725" s="51" t="s">
        <v>2416</v>
      </c>
      <c r="T6725" s="51" t="s">
        <v>2416</v>
      </c>
      <c r="U6725" s="0" t="str">
        <f aca="false">"5060458890191"</f>
        <v>5060458890191</v>
      </c>
      <c r="V6725" s="51" t="s">
        <v>2142</v>
      </c>
      <c r="W6725" s="51" t="s">
        <v>8199</v>
      </c>
      <c r="X6725" s="51" t="s">
        <v>2359</v>
      </c>
    </row>
    <row r="6726" customFormat="false" ht="14.25" hidden="true" customHeight="false" outlineLevel="0" collapsed="false">
      <c r="A6726" s="49" t="s">
        <v>2349</v>
      </c>
      <c r="B6726" s="49" t="s">
        <v>2350</v>
      </c>
      <c r="C6726" s="49" t="s">
        <v>11444</v>
      </c>
      <c r="D6726" s="49" t="s">
        <v>2352</v>
      </c>
      <c r="E6726" s="49" t="str">
        <f aca="false">"5060458890191"</f>
        <v>5060458890191</v>
      </c>
      <c r="F6726" s="49" t="s">
        <v>3656</v>
      </c>
      <c r="G6726" s="49" t="n">
        <v>0</v>
      </c>
      <c r="H6726" s="0" t="n">
        <v>0</v>
      </c>
      <c r="M6726" s="51" t="s">
        <v>11431</v>
      </c>
      <c r="N6726" s="49" t="n">
        <v>0</v>
      </c>
      <c r="O6726" s="53" t="n">
        <v>45889.5135069444</v>
      </c>
      <c r="P6726" s="53" t="n">
        <v>45910.8161921296</v>
      </c>
      <c r="Q6726" s="53" t="n">
        <v>45889.5135069444</v>
      </c>
      <c r="R6726" s="0" t="n">
        <v>0</v>
      </c>
      <c r="S6726" s="51" t="s">
        <v>2416</v>
      </c>
      <c r="T6726" s="51" t="s">
        <v>2416</v>
      </c>
      <c r="U6726" s="0" t="str">
        <f aca="false">"5060458890191"</f>
        <v>5060458890191</v>
      </c>
      <c r="V6726" s="51" t="s">
        <v>2142</v>
      </c>
      <c r="W6726" s="51" t="s">
        <v>4519</v>
      </c>
      <c r="X6726" s="51" t="s">
        <v>2359</v>
      </c>
    </row>
    <row r="6727" customFormat="false" ht="14.25" hidden="true" customHeight="false" outlineLevel="0" collapsed="false">
      <c r="A6727" s="49" t="s">
        <v>2349</v>
      </c>
      <c r="B6727" s="49" t="s">
        <v>2350</v>
      </c>
      <c r="C6727" s="49" t="s">
        <v>11445</v>
      </c>
      <c r="D6727" s="49" t="s">
        <v>2352</v>
      </c>
      <c r="E6727" s="49" t="str">
        <f aca="false">"5060458890191"</f>
        <v>5060458890191</v>
      </c>
      <c r="F6727" s="49" t="s">
        <v>3656</v>
      </c>
      <c r="G6727" s="49" t="n">
        <v>0</v>
      </c>
      <c r="H6727" s="0" t="n">
        <v>0</v>
      </c>
      <c r="M6727" s="51" t="s">
        <v>11431</v>
      </c>
      <c r="N6727" s="49" t="n">
        <v>0</v>
      </c>
      <c r="O6727" s="53" t="n">
        <v>45889.5143402778</v>
      </c>
      <c r="P6727" s="53" t="n">
        <v>45918.5665740741</v>
      </c>
      <c r="Q6727" s="53" t="n">
        <v>45889.5143402778</v>
      </c>
      <c r="R6727" s="0" t="n">
        <v>0</v>
      </c>
      <c r="S6727" s="51" t="s">
        <v>2416</v>
      </c>
      <c r="T6727" s="51" t="s">
        <v>2416</v>
      </c>
      <c r="U6727" s="0" t="str">
        <f aca="false">"5060458890191"</f>
        <v>5060458890191</v>
      </c>
      <c r="V6727" s="51" t="s">
        <v>2142</v>
      </c>
      <c r="W6727" s="51" t="s">
        <v>11446</v>
      </c>
      <c r="X6727" s="51" t="s">
        <v>2359</v>
      </c>
    </row>
    <row r="6728" customFormat="false" ht="14.25" hidden="true" customHeight="false" outlineLevel="0" collapsed="false">
      <c r="A6728" s="49" t="s">
        <v>2349</v>
      </c>
      <c r="B6728" s="49" t="s">
        <v>2350</v>
      </c>
      <c r="C6728" s="49" t="s">
        <v>11447</v>
      </c>
      <c r="D6728" s="49" t="s">
        <v>2352</v>
      </c>
      <c r="E6728" s="49" t="str">
        <f aca="false">"5060458890191"</f>
        <v>5060458890191</v>
      </c>
      <c r="F6728" s="49" t="s">
        <v>3656</v>
      </c>
      <c r="G6728" s="49" t="n">
        <v>0</v>
      </c>
      <c r="H6728" s="0" t="n">
        <v>0</v>
      </c>
      <c r="M6728" s="51" t="s">
        <v>11431</v>
      </c>
      <c r="N6728" s="49" t="n">
        <v>0</v>
      </c>
      <c r="O6728" s="53" t="n">
        <v>45889.5132986111</v>
      </c>
      <c r="P6728" s="53" t="n">
        <v>45914.9076041667</v>
      </c>
      <c r="Q6728" s="53" t="n">
        <v>45889.5132986111</v>
      </c>
      <c r="R6728" s="0" t="n">
        <v>0</v>
      </c>
      <c r="S6728" s="51" t="s">
        <v>2416</v>
      </c>
      <c r="T6728" s="51" t="s">
        <v>2416</v>
      </c>
      <c r="U6728" s="0" t="str">
        <f aca="false">"5060458890191"</f>
        <v>5060458890191</v>
      </c>
      <c r="V6728" s="51" t="s">
        <v>2142</v>
      </c>
      <c r="W6728" s="51" t="s">
        <v>11448</v>
      </c>
      <c r="X6728" s="51" t="s">
        <v>2359</v>
      </c>
    </row>
    <row r="6729" customFormat="false" ht="14.25" hidden="true" customHeight="false" outlineLevel="0" collapsed="false">
      <c r="A6729" s="49" t="s">
        <v>2349</v>
      </c>
      <c r="B6729" s="49" t="s">
        <v>2350</v>
      </c>
      <c r="C6729" s="49" t="s">
        <v>11449</v>
      </c>
      <c r="D6729" s="49" t="s">
        <v>2352</v>
      </c>
      <c r="E6729" s="49" t="str">
        <f aca="false">"5060458890191"</f>
        <v>5060458890191</v>
      </c>
      <c r="F6729" s="49" t="s">
        <v>3656</v>
      </c>
      <c r="G6729" s="49" t="n">
        <v>0</v>
      </c>
      <c r="H6729" s="0" t="n">
        <v>0</v>
      </c>
      <c r="M6729" s="51" t="s">
        <v>11431</v>
      </c>
      <c r="N6729" s="49" t="n">
        <v>0</v>
      </c>
      <c r="O6729" s="53" t="n">
        <v>45889.514837963</v>
      </c>
      <c r="P6729" s="53" t="n">
        <v>45918.9214351852</v>
      </c>
      <c r="Q6729" s="53" t="n">
        <v>45889.514837963</v>
      </c>
      <c r="R6729" s="0" t="n">
        <v>0</v>
      </c>
      <c r="S6729" s="51" t="s">
        <v>2416</v>
      </c>
      <c r="T6729" s="51" t="s">
        <v>2416</v>
      </c>
      <c r="U6729" s="0" t="str">
        <f aca="false">"5060458890191"</f>
        <v>5060458890191</v>
      </c>
      <c r="V6729" s="51" t="s">
        <v>2142</v>
      </c>
      <c r="W6729" s="51" t="s">
        <v>5285</v>
      </c>
      <c r="X6729" s="51" t="s">
        <v>2359</v>
      </c>
    </row>
    <row r="6730" customFormat="false" ht="14.25" hidden="true" customHeight="false" outlineLevel="0" collapsed="false">
      <c r="A6730" s="49" t="s">
        <v>2349</v>
      </c>
      <c r="B6730" s="49" t="s">
        <v>2350</v>
      </c>
      <c r="C6730" s="49" t="s">
        <v>11450</v>
      </c>
      <c r="D6730" s="49" t="s">
        <v>2352</v>
      </c>
      <c r="E6730" s="49" t="str">
        <f aca="false">"5060458890191"</f>
        <v>5060458890191</v>
      </c>
      <c r="F6730" s="49" t="s">
        <v>3656</v>
      </c>
      <c r="G6730" s="49" t="n">
        <v>0</v>
      </c>
      <c r="H6730" s="0" t="n">
        <v>0</v>
      </c>
      <c r="M6730" s="51" t="s">
        <v>11431</v>
      </c>
      <c r="N6730" s="49" t="n">
        <v>0</v>
      </c>
      <c r="O6730" s="53" t="n">
        <v>45889.5132407407</v>
      </c>
      <c r="P6730" s="53" t="n">
        <v>45904.4468865741</v>
      </c>
      <c r="Q6730" s="53" t="n">
        <v>45889.5132407407</v>
      </c>
      <c r="R6730" s="0" t="n">
        <v>0</v>
      </c>
      <c r="S6730" s="51" t="s">
        <v>2416</v>
      </c>
      <c r="T6730" s="51" t="s">
        <v>2416</v>
      </c>
      <c r="U6730" s="0" t="str">
        <f aca="false">"5060458890191"</f>
        <v>5060458890191</v>
      </c>
      <c r="V6730" s="51" t="s">
        <v>2142</v>
      </c>
      <c r="W6730" s="51" t="s">
        <v>6775</v>
      </c>
      <c r="X6730" s="51" t="s">
        <v>2359</v>
      </c>
    </row>
    <row r="6731" customFormat="false" ht="14.25" hidden="true" customHeight="false" outlineLevel="0" collapsed="false">
      <c r="A6731" s="49" t="s">
        <v>2349</v>
      </c>
      <c r="B6731" s="49" t="s">
        <v>2350</v>
      </c>
      <c r="C6731" s="49" t="s">
        <v>11451</v>
      </c>
      <c r="D6731" s="49" t="s">
        <v>2352</v>
      </c>
      <c r="E6731" s="49" t="str">
        <f aca="false">"5060458890191"</f>
        <v>5060458890191</v>
      </c>
      <c r="F6731" s="49" t="s">
        <v>3656</v>
      </c>
      <c r="G6731" s="49" t="n">
        <v>0</v>
      </c>
      <c r="H6731" s="0" t="n">
        <v>0</v>
      </c>
      <c r="M6731" s="51" t="s">
        <v>11431</v>
      </c>
      <c r="N6731" s="49" t="n">
        <v>0</v>
      </c>
      <c r="O6731" s="53" t="n">
        <v>45889.5127199074</v>
      </c>
      <c r="P6731" s="53" t="n">
        <v>45904.4479166667</v>
      </c>
      <c r="Q6731" s="53" t="n">
        <v>45889.5127199074</v>
      </c>
      <c r="R6731" s="0" t="n">
        <v>0</v>
      </c>
      <c r="S6731" s="51" t="s">
        <v>2416</v>
      </c>
      <c r="T6731" s="51" t="s">
        <v>2416</v>
      </c>
      <c r="U6731" s="0" t="str">
        <f aca="false">"5060458890191"</f>
        <v>5060458890191</v>
      </c>
      <c r="V6731" s="51" t="s">
        <v>2142</v>
      </c>
      <c r="W6731" s="51" t="s">
        <v>6054</v>
      </c>
      <c r="X6731" s="51" t="s">
        <v>2359</v>
      </c>
    </row>
    <row r="6732" customFormat="false" ht="14.25" hidden="true" customHeight="false" outlineLevel="0" collapsed="false">
      <c r="A6732" s="49" t="s">
        <v>2349</v>
      </c>
      <c r="B6732" s="49" t="s">
        <v>2350</v>
      </c>
      <c r="C6732" s="49" t="s">
        <v>11452</v>
      </c>
      <c r="D6732" s="49" t="s">
        <v>2352</v>
      </c>
      <c r="E6732" s="49" t="str">
        <f aca="false">"5060458890191"</f>
        <v>5060458890191</v>
      </c>
      <c r="F6732" s="49" t="s">
        <v>3656</v>
      </c>
      <c r="G6732" s="49" t="n">
        <v>0</v>
      </c>
      <c r="H6732" s="0" t="n">
        <v>0</v>
      </c>
      <c r="M6732" s="51" t="s">
        <v>11431</v>
      </c>
      <c r="N6732" s="49" t="n">
        <v>0</v>
      </c>
      <c r="O6732" s="53" t="n">
        <v>45889.5126388889</v>
      </c>
      <c r="P6732" s="53" t="n">
        <v>45902.8980555556</v>
      </c>
      <c r="Q6732" s="53" t="n">
        <v>45889.5126388889</v>
      </c>
      <c r="R6732" s="0" t="n">
        <v>0</v>
      </c>
      <c r="S6732" s="51" t="s">
        <v>2416</v>
      </c>
      <c r="T6732" s="51" t="s">
        <v>2416</v>
      </c>
      <c r="U6732" s="0" t="str">
        <f aca="false">"5060458890191"</f>
        <v>5060458890191</v>
      </c>
      <c r="V6732" s="51" t="s">
        <v>2142</v>
      </c>
      <c r="W6732" s="51" t="s">
        <v>6484</v>
      </c>
      <c r="X6732" s="51" t="s">
        <v>2359</v>
      </c>
    </row>
    <row r="6733" customFormat="false" ht="14.25" hidden="true" customHeight="false" outlineLevel="0" collapsed="false">
      <c r="A6733" s="49" t="s">
        <v>2349</v>
      </c>
      <c r="B6733" s="49" t="s">
        <v>2350</v>
      </c>
      <c r="C6733" s="49" t="s">
        <v>11453</v>
      </c>
      <c r="D6733" s="49" t="s">
        <v>2352</v>
      </c>
      <c r="E6733" s="49" t="str">
        <f aca="false">"5060458890191"</f>
        <v>5060458890191</v>
      </c>
      <c r="F6733" s="49" t="s">
        <v>3656</v>
      </c>
      <c r="G6733" s="49" t="n">
        <v>0</v>
      </c>
      <c r="H6733" s="0" t="n">
        <v>0</v>
      </c>
      <c r="M6733" s="51" t="s">
        <v>11431</v>
      </c>
      <c r="N6733" s="49" t="n">
        <v>0</v>
      </c>
      <c r="O6733" s="53" t="n">
        <v>45889.5125694444</v>
      </c>
      <c r="P6733" s="53" t="n">
        <v>45904.9202314815</v>
      </c>
      <c r="Q6733" s="53" t="n">
        <v>45889.5125694444</v>
      </c>
      <c r="R6733" s="0" t="n">
        <v>0</v>
      </c>
      <c r="S6733" s="51" t="s">
        <v>2416</v>
      </c>
      <c r="T6733" s="51" t="s">
        <v>2416</v>
      </c>
      <c r="U6733" s="0" t="str">
        <f aca="false">"5060458890191"</f>
        <v>5060458890191</v>
      </c>
      <c r="V6733" s="51" t="s">
        <v>2142</v>
      </c>
      <c r="W6733" s="51" t="s">
        <v>4214</v>
      </c>
      <c r="X6733" s="51" t="s">
        <v>2359</v>
      </c>
    </row>
    <row r="6734" customFormat="false" ht="14.25" hidden="true" customHeight="false" outlineLevel="0" collapsed="false">
      <c r="A6734" s="49" t="s">
        <v>2349</v>
      </c>
      <c r="B6734" s="49" t="s">
        <v>2350</v>
      </c>
      <c r="C6734" s="49" t="s">
        <v>11454</v>
      </c>
      <c r="D6734" s="49" t="s">
        <v>2352</v>
      </c>
      <c r="E6734" s="49" t="str">
        <f aca="false">"5060458890191"</f>
        <v>5060458890191</v>
      </c>
      <c r="F6734" s="49" t="s">
        <v>3656</v>
      </c>
      <c r="G6734" s="49" t="n">
        <v>0</v>
      </c>
      <c r="H6734" s="0" t="n">
        <v>0</v>
      </c>
      <c r="M6734" s="51" t="s">
        <v>11431</v>
      </c>
      <c r="N6734" s="49" t="n">
        <v>0</v>
      </c>
      <c r="O6734" s="53" t="n">
        <v>45889.5125</v>
      </c>
      <c r="P6734" s="53" t="n">
        <v>45904.9181134259</v>
      </c>
      <c r="Q6734" s="53" t="n">
        <v>45889.5125</v>
      </c>
      <c r="R6734" s="0" t="n">
        <v>0</v>
      </c>
      <c r="S6734" s="51" t="s">
        <v>2416</v>
      </c>
      <c r="T6734" s="51" t="s">
        <v>2416</v>
      </c>
      <c r="U6734" s="0" t="str">
        <f aca="false">"5060458890191"</f>
        <v>5060458890191</v>
      </c>
      <c r="V6734" s="51" t="s">
        <v>2142</v>
      </c>
      <c r="W6734" s="51" t="s">
        <v>8746</v>
      </c>
      <c r="X6734" s="51" t="s">
        <v>2359</v>
      </c>
    </row>
    <row r="6735" customFormat="false" ht="14.25" hidden="true" customHeight="false" outlineLevel="0" collapsed="false">
      <c r="A6735" s="49" t="s">
        <v>2349</v>
      </c>
      <c r="B6735" s="49" t="s">
        <v>2350</v>
      </c>
      <c r="C6735" s="49" t="s">
        <v>11455</v>
      </c>
      <c r="D6735" s="49" t="s">
        <v>2352</v>
      </c>
      <c r="E6735" s="49" t="str">
        <f aca="false">"5060458890191"</f>
        <v>5060458890191</v>
      </c>
      <c r="F6735" s="49" t="s">
        <v>3656</v>
      </c>
      <c r="G6735" s="49" t="n">
        <v>0</v>
      </c>
      <c r="H6735" s="0" t="n">
        <v>0</v>
      </c>
      <c r="M6735" s="51" t="s">
        <v>11431</v>
      </c>
      <c r="N6735" s="49" t="n">
        <v>0</v>
      </c>
      <c r="O6735" s="53" t="n">
        <v>45889.512349537</v>
      </c>
      <c r="P6735" s="53" t="n">
        <v>45902.8991319445</v>
      </c>
      <c r="Q6735" s="53" t="n">
        <v>45889.512349537</v>
      </c>
      <c r="R6735" s="0" t="n">
        <v>0</v>
      </c>
      <c r="S6735" s="51" t="s">
        <v>2416</v>
      </c>
      <c r="T6735" s="51" t="s">
        <v>2416</v>
      </c>
      <c r="U6735" s="0" t="str">
        <f aca="false">"5060458890191"</f>
        <v>5060458890191</v>
      </c>
      <c r="V6735" s="51" t="s">
        <v>2142</v>
      </c>
      <c r="W6735" s="51" t="s">
        <v>4797</v>
      </c>
      <c r="X6735" s="51" t="s">
        <v>2359</v>
      </c>
    </row>
    <row r="6736" customFormat="false" ht="14.25" hidden="true" customHeight="false" outlineLevel="0" collapsed="false">
      <c r="A6736" s="49" t="s">
        <v>2349</v>
      </c>
      <c r="B6736" s="49" t="s">
        <v>2350</v>
      </c>
      <c r="C6736" s="49" t="s">
        <v>11456</v>
      </c>
      <c r="D6736" s="49" t="s">
        <v>2352</v>
      </c>
      <c r="E6736" s="49" t="str">
        <f aca="false">"5060458890191"</f>
        <v>5060458890191</v>
      </c>
      <c r="F6736" s="49" t="s">
        <v>3656</v>
      </c>
      <c r="G6736" s="49" t="n">
        <v>0</v>
      </c>
      <c r="H6736" s="0" t="n">
        <v>0</v>
      </c>
      <c r="M6736" s="51" t="s">
        <v>11431</v>
      </c>
      <c r="N6736" s="49" t="n">
        <v>0</v>
      </c>
      <c r="O6736" s="53" t="n">
        <v>45889.5131365741</v>
      </c>
      <c r="P6736" s="53" t="n">
        <v>45904.4486805556</v>
      </c>
      <c r="Q6736" s="53" t="n">
        <v>45889.5131365741</v>
      </c>
      <c r="R6736" s="0" t="n">
        <v>0</v>
      </c>
      <c r="S6736" s="51" t="s">
        <v>2416</v>
      </c>
      <c r="T6736" s="51" t="s">
        <v>2416</v>
      </c>
      <c r="U6736" s="0" t="str">
        <f aca="false">"5060458890191"</f>
        <v>5060458890191</v>
      </c>
      <c r="V6736" s="51" t="s">
        <v>2142</v>
      </c>
      <c r="W6736" s="51" t="s">
        <v>6974</v>
      </c>
      <c r="X6736" s="51" t="s">
        <v>2359</v>
      </c>
    </row>
    <row r="6737" customFormat="false" ht="14.25" hidden="true" customHeight="false" outlineLevel="0" collapsed="false">
      <c r="A6737" s="49" t="s">
        <v>2349</v>
      </c>
      <c r="B6737" s="49" t="s">
        <v>2350</v>
      </c>
      <c r="C6737" s="49" t="s">
        <v>11457</v>
      </c>
      <c r="D6737" s="49" t="s">
        <v>2352</v>
      </c>
      <c r="E6737" s="49" t="str">
        <f aca="false">"5060458890191"</f>
        <v>5060458890191</v>
      </c>
      <c r="F6737" s="49" t="s">
        <v>3656</v>
      </c>
      <c r="G6737" s="49" t="n">
        <v>0</v>
      </c>
      <c r="H6737" s="0" t="n">
        <v>0</v>
      </c>
      <c r="M6737" s="51" t="s">
        <v>11431</v>
      </c>
      <c r="N6737" s="49" t="n">
        <v>0</v>
      </c>
      <c r="O6737" s="53" t="n">
        <v>45889.5130787037</v>
      </c>
      <c r="P6737" s="53" t="n">
        <v>45904.921400463</v>
      </c>
      <c r="Q6737" s="53" t="n">
        <v>45889.5130787037</v>
      </c>
      <c r="R6737" s="0" t="n">
        <v>0</v>
      </c>
      <c r="S6737" s="51" t="s">
        <v>2416</v>
      </c>
      <c r="T6737" s="51" t="s">
        <v>2416</v>
      </c>
      <c r="U6737" s="0" t="str">
        <f aca="false">"5060458890191"</f>
        <v>5060458890191</v>
      </c>
      <c r="V6737" s="51" t="s">
        <v>2142</v>
      </c>
      <c r="W6737" s="51" t="s">
        <v>7578</v>
      </c>
      <c r="X6737" s="51" t="s">
        <v>2359</v>
      </c>
    </row>
    <row r="6738" customFormat="false" ht="14.25" hidden="true" customHeight="false" outlineLevel="0" collapsed="false">
      <c r="A6738" s="49" t="s">
        <v>2349</v>
      </c>
      <c r="B6738" s="49" t="s">
        <v>2350</v>
      </c>
      <c r="C6738" s="49" t="s">
        <v>11458</v>
      </c>
      <c r="D6738" s="49" t="s">
        <v>2352</v>
      </c>
      <c r="E6738" s="49" t="str">
        <f aca="false">"5060458890191"</f>
        <v>5060458890191</v>
      </c>
      <c r="F6738" s="49" t="s">
        <v>3656</v>
      </c>
      <c r="G6738" s="49" t="n">
        <v>0</v>
      </c>
      <c r="H6738" s="0" t="n">
        <v>0</v>
      </c>
      <c r="M6738" s="51" t="s">
        <v>11431</v>
      </c>
      <c r="N6738" s="49" t="n">
        <v>0</v>
      </c>
      <c r="O6738" s="53" t="n">
        <v>45889.5130092593</v>
      </c>
      <c r="P6738" s="53" t="n">
        <v>45904.9272685185</v>
      </c>
      <c r="Q6738" s="53" t="n">
        <v>45889.5130092593</v>
      </c>
      <c r="R6738" s="0" t="n">
        <v>0</v>
      </c>
      <c r="S6738" s="51" t="s">
        <v>2416</v>
      </c>
      <c r="T6738" s="51" t="s">
        <v>2416</v>
      </c>
      <c r="U6738" s="0" t="str">
        <f aca="false">"5060458890191"</f>
        <v>5060458890191</v>
      </c>
      <c r="V6738" s="51" t="s">
        <v>2142</v>
      </c>
      <c r="W6738" s="51" t="s">
        <v>4773</v>
      </c>
      <c r="X6738" s="51" t="s">
        <v>2359</v>
      </c>
    </row>
    <row r="6739" customFormat="false" ht="14.25" hidden="true" customHeight="false" outlineLevel="0" collapsed="false">
      <c r="A6739" s="49" t="s">
        <v>2349</v>
      </c>
      <c r="B6739" s="49" t="s">
        <v>2350</v>
      </c>
      <c r="C6739" s="49" t="s">
        <v>11459</v>
      </c>
      <c r="D6739" s="49" t="s">
        <v>2352</v>
      </c>
      <c r="E6739" s="49" t="str">
        <f aca="false">"5060458890191"</f>
        <v>5060458890191</v>
      </c>
      <c r="F6739" s="49" t="s">
        <v>3656</v>
      </c>
      <c r="G6739" s="49" t="n">
        <v>0</v>
      </c>
      <c r="H6739" s="0" t="n">
        <v>0</v>
      </c>
      <c r="M6739" s="51" t="s">
        <v>11431</v>
      </c>
      <c r="N6739" s="49" t="n">
        <v>0</v>
      </c>
      <c r="O6739" s="53" t="n">
        <v>45889.512962963</v>
      </c>
      <c r="P6739" s="53" t="n">
        <v>45904.916412037</v>
      </c>
      <c r="Q6739" s="53" t="n">
        <v>45889.512962963</v>
      </c>
      <c r="R6739" s="0" t="n">
        <v>0</v>
      </c>
      <c r="S6739" s="51" t="s">
        <v>2416</v>
      </c>
      <c r="T6739" s="51" t="s">
        <v>2416</v>
      </c>
      <c r="U6739" s="0" t="str">
        <f aca="false">"5060458890191"</f>
        <v>5060458890191</v>
      </c>
      <c r="V6739" s="51" t="s">
        <v>2142</v>
      </c>
      <c r="W6739" s="51" t="s">
        <v>4943</v>
      </c>
      <c r="X6739" s="51" t="s">
        <v>2359</v>
      </c>
    </row>
    <row r="6740" customFormat="false" ht="14.25" hidden="true" customHeight="false" outlineLevel="0" collapsed="false">
      <c r="A6740" s="49" t="s">
        <v>2349</v>
      </c>
      <c r="B6740" s="49" t="s">
        <v>2350</v>
      </c>
      <c r="C6740" s="49" t="s">
        <v>11460</v>
      </c>
      <c r="D6740" s="49" t="s">
        <v>2352</v>
      </c>
      <c r="E6740" s="49" t="str">
        <f aca="false">"5060458890191"</f>
        <v>5060458890191</v>
      </c>
      <c r="F6740" s="49" t="s">
        <v>3656</v>
      </c>
      <c r="G6740" s="49" t="n">
        <v>0</v>
      </c>
      <c r="H6740" s="0" t="n">
        <v>0</v>
      </c>
      <c r="M6740" s="51" t="s">
        <v>11431</v>
      </c>
      <c r="N6740" s="49" t="n">
        <v>0</v>
      </c>
      <c r="O6740" s="53" t="n">
        <v>45889.5129050926</v>
      </c>
      <c r="P6740" s="53" t="n">
        <v>45904.9168518519</v>
      </c>
      <c r="Q6740" s="53" t="n">
        <v>45889.5129050926</v>
      </c>
      <c r="R6740" s="0" t="n">
        <v>0</v>
      </c>
      <c r="S6740" s="51" t="s">
        <v>2416</v>
      </c>
      <c r="T6740" s="51" t="s">
        <v>2416</v>
      </c>
      <c r="U6740" s="0" t="str">
        <f aca="false">"5060458890191"</f>
        <v>5060458890191</v>
      </c>
      <c r="V6740" s="51" t="s">
        <v>2142</v>
      </c>
      <c r="W6740" s="51" t="s">
        <v>5768</v>
      </c>
      <c r="X6740" s="51" t="s">
        <v>2359</v>
      </c>
    </row>
    <row r="6741" customFormat="false" ht="14.25" hidden="true" customHeight="false" outlineLevel="0" collapsed="false">
      <c r="A6741" s="49" t="s">
        <v>2349</v>
      </c>
      <c r="B6741" s="49" t="s">
        <v>2350</v>
      </c>
      <c r="C6741" s="49" t="s">
        <v>11461</v>
      </c>
      <c r="D6741" s="49" t="s">
        <v>2352</v>
      </c>
      <c r="E6741" s="49" t="str">
        <f aca="false">"5060458890191"</f>
        <v>5060458890191</v>
      </c>
      <c r="F6741" s="49" t="s">
        <v>3656</v>
      </c>
      <c r="G6741" s="49" t="n">
        <v>0</v>
      </c>
      <c r="H6741" s="0" t="n">
        <v>0</v>
      </c>
      <c r="M6741" s="51" t="s">
        <v>11431</v>
      </c>
      <c r="N6741" s="49" t="n">
        <v>0</v>
      </c>
      <c r="O6741" s="53" t="n">
        <v>45889.5128356482</v>
      </c>
      <c r="P6741" s="53" t="n">
        <v>45904.4504050926</v>
      </c>
      <c r="Q6741" s="53" t="n">
        <v>45889.5128356482</v>
      </c>
      <c r="R6741" s="0" t="n">
        <v>0</v>
      </c>
      <c r="S6741" s="51" t="s">
        <v>2416</v>
      </c>
      <c r="T6741" s="51" t="s">
        <v>2416</v>
      </c>
      <c r="U6741" s="0" t="str">
        <f aca="false">"5060458890191"</f>
        <v>5060458890191</v>
      </c>
      <c r="V6741" s="51" t="s">
        <v>2142</v>
      </c>
      <c r="W6741" s="51" t="s">
        <v>5172</v>
      </c>
      <c r="X6741" s="51" t="s">
        <v>2359</v>
      </c>
    </row>
    <row r="6742" customFormat="false" ht="14.25" hidden="true" customHeight="false" outlineLevel="0" collapsed="false">
      <c r="A6742" s="49" t="s">
        <v>2349</v>
      </c>
      <c r="B6742" s="49" t="s">
        <v>2350</v>
      </c>
      <c r="C6742" s="49" t="s">
        <v>11462</v>
      </c>
      <c r="D6742" s="49" t="s">
        <v>2352</v>
      </c>
      <c r="E6742" s="49" t="str">
        <f aca="false">"5060458890191"</f>
        <v>5060458890191</v>
      </c>
      <c r="F6742" s="49" t="s">
        <v>3656</v>
      </c>
      <c r="G6742" s="49" t="n">
        <v>0</v>
      </c>
      <c r="H6742" s="0" t="n">
        <v>0</v>
      </c>
      <c r="M6742" s="51" t="s">
        <v>11431</v>
      </c>
      <c r="N6742" s="49" t="n">
        <v>0</v>
      </c>
      <c r="O6742" s="53" t="n">
        <v>45889.5122569444</v>
      </c>
      <c r="P6742" s="53" t="n">
        <v>45918.8205555556</v>
      </c>
      <c r="Q6742" s="53" t="n">
        <v>45889.5122569444</v>
      </c>
      <c r="R6742" s="0" t="n">
        <v>0</v>
      </c>
      <c r="S6742" s="51" t="s">
        <v>2416</v>
      </c>
      <c r="T6742" s="51" t="s">
        <v>2416</v>
      </c>
      <c r="U6742" s="0" t="str">
        <f aca="false">"5060458890191"</f>
        <v>5060458890191</v>
      </c>
      <c r="V6742" s="51" t="s">
        <v>2142</v>
      </c>
      <c r="W6742" s="51" t="s">
        <v>4943</v>
      </c>
      <c r="X6742" s="51" t="s">
        <v>2359</v>
      </c>
    </row>
    <row r="6743" customFormat="false" ht="14.25" hidden="true" customHeight="false" outlineLevel="0" collapsed="false">
      <c r="A6743" s="49" t="s">
        <v>2349</v>
      </c>
      <c r="B6743" s="49" t="s">
        <v>2350</v>
      </c>
      <c r="C6743" s="49" t="s">
        <v>11463</v>
      </c>
      <c r="D6743" s="49" t="s">
        <v>2352</v>
      </c>
      <c r="E6743" s="49" t="str">
        <f aca="false">"00041390050107"</f>
        <v>00041390050107</v>
      </c>
      <c r="F6743" s="49" t="s">
        <v>2378</v>
      </c>
      <c r="G6743" s="49" t="n">
        <v>0</v>
      </c>
      <c r="H6743" s="0" t="n">
        <v>0</v>
      </c>
      <c r="M6743" s="51" t="s">
        <v>11464</v>
      </c>
      <c r="N6743" s="49" t="n">
        <v>0</v>
      </c>
      <c r="O6743" s="53" t="n">
        <v>45896.4077777778</v>
      </c>
      <c r="P6743" s="53" t="n">
        <v>46051.3642939815</v>
      </c>
      <c r="Q6743" s="53" t="n">
        <v>45896.4077777778</v>
      </c>
      <c r="R6743" s="0" t="n">
        <v>0</v>
      </c>
      <c r="S6743" s="51" t="s">
        <v>2383</v>
      </c>
      <c r="T6743" s="51" t="s">
        <v>2383</v>
      </c>
      <c r="U6743" s="0" t="str">
        <f aca="false">"00041390050107"</f>
        <v>00041390050107</v>
      </c>
      <c r="V6743" s="51" t="s">
        <v>2365</v>
      </c>
      <c r="W6743" s="51" t="s">
        <v>11465</v>
      </c>
      <c r="X6743" s="51" t="s">
        <v>2359</v>
      </c>
    </row>
    <row r="6744" customFormat="false" ht="14.25" hidden="true" customHeight="false" outlineLevel="0" collapsed="false">
      <c r="A6744" s="49" t="s">
        <v>2349</v>
      </c>
      <c r="B6744" s="49" t="s">
        <v>2350</v>
      </c>
      <c r="C6744" s="49" t="s">
        <v>11466</v>
      </c>
      <c r="D6744" s="49" t="s">
        <v>2352</v>
      </c>
      <c r="E6744" s="49" t="str">
        <f aca="false">"00041390050107"</f>
        <v>00041390050107</v>
      </c>
      <c r="F6744" s="49" t="s">
        <v>2378</v>
      </c>
      <c r="G6744" s="49" t="n">
        <v>0</v>
      </c>
      <c r="H6744" s="0" t="n">
        <v>0</v>
      </c>
      <c r="M6744" s="51" t="s">
        <v>11464</v>
      </c>
      <c r="N6744" s="49" t="n">
        <v>0</v>
      </c>
      <c r="O6744" s="53" t="n">
        <v>45896.4075231482</v>
      </c>
      <c r="P6744" s="53" t="n">
        <v>45960.7680208333</v>
      </c>
      <c r="Q6744" s="53" t="n">
        <v>45896.4075231482</v>
      </c>
      <c r="R6744" s="0" t="n">
        <v>0</v>
      </c>
      <c r="S6744" s="51" t="s">
        <v>2383</v>
      </c>
      <c r="T6744" s="51" t="s">
        <v>2383</v>
      </c>
      <c r="U6744" s="0" t="str">
        <f aca="false">"00041390050107"</f>
        <v>00041390050107</v>
      </c>
      <c r="V6744" s="51" t="s">
        <v>2365</v>
      </c>
      <c r="W6744" s="51" t="s">
        <v>4907</v>
      </c>
      <c r="X6744" s="51" t="s">
        <v>2359</v>
      </c>
    </row>
    <row r="6745" customFormat="false" ht="14.25" hidden="true" customHeight="false" outlineLevel="0" collapsed="false">
      <c r="A6745" s="49" t="s">
        <v>2349</v>
      </c>
      <c r="B6745" s="49" t="s">
        <v>2350</v>
      </c>
      <c r="C6745" s="49" t="s">
        <v>11467</v>
      </c>
      <c r="D6745" s="49" t="s">
        <v>2352</v>
      </c>
      <c r="E6745" s="49" t="str">
        <f aca="false">"00041390050107"</f>
        <v>00041390050107</v>
      </c>
      <c r="F6745" s="49" t="s">
        <v>2378</v>
      </c>
      <c r="G6745" s="49" t="n">
        <v>0</v>
      </c>
      <c r="H6745" s="0" t="n">
        <v>0</v>
      </c>
      <c r="M6745" s="51" t="s">
        <v>11464</v>
      </c>
      <c r="N6745" s="49" t="n">
        <v>0</v>
      </c>
      <c r="O6745" s="53" t="n">
        <v>45896.4070949074</v>
      </c>
      <c r="P6745" s="53" t="n">
        <v>45948.8850462963</v>
      </c>
      <c r="Q6745" s="53" t="n">
        <v>45896.4070949074</v>
      </c>
      <c r="R6745" s="0" t="n">
        <v>0</v>
      </c>
      <c r="S6745" s="51" t="s">
        <v>2383</v>
      </c>
      <c r="T6745" s="51" t="s">
        <v>2383</v>
      </c>
      <c r="U6745" s="0" t="str">
        <f aca="false">"00041390050107"</f>
        <v>00041390050107</v>
      </c>
      <c r="V6745" s="51" t="s">
        <v>2365</v>
      </c>
      <c r="W6745" s="51" t="s">
        <v>11468</v>
      </c>
      <c r="X6745" s="51" t="s">
        <v>2359</v>
      </c>
    </row>
    <row r="6746" customFormat="false" ht="14.25" hidden="true" customHeight="false" outlineLevel="0" collapsed="false">
      <c r="A6746" s="49" t="s">
        <v>2349</v>
      </c>
      <c r="B6746" s="49" t="s">
        <v>2350</v>
      </c>
      <c r="C6746" s="49" t="s">
        <v>11469</v>
      </c>
      <c r="D6746" s="49" t="s">
        <v>2352</v>
      </c>
      <c r="E6746" s="49" t="str">
        <f aca="false">"00041390050107"</f>
        <v>00041390050107</v>
      </c>
      <c r="F6746" s="49" t="s">
        <v>2378</v>
      </c>
      <c r="G6746" s="49" t="n">
        <v>0</v>
      </c>
      <c r="H6746" s="0" t="n">
        <v>0</v>
      </c>
      <c r="M6746" s="51" t="s">
        <v>11464</v>
      </c>
      <c r="N6746" s="49" t="n">
        <v>0</v>
      </c>
      <c r="O6746" s="53" t="n">
        <v>45896.406099537</v>
      </c>
      <c r="P6746" s="53" t="n">
        <v>45948.8939351852</v>
      </c>
      <c r="Q6746" s="53" t="n">
        <v>45896.406099537</v>
      </c>
      <c r="R6746" s="0" t="n">
        <v>0</v>
      </c>
      <c r="S6746" s="51" t="s">
        <v>2383</v>
      </c>
      <c r="T6746" s="51" t="s">
        <v>2383</v>
      </c>
      <c r="U6746" s="0" t="str">
        <f aca="false">"00041390050107"</f>
        <v>00041390050107</v>
      </c>
      <c r="V6746" s="51" t="s">
        <v>2365</v>
      </c>
      <c r="W6746" s="51" t="s">
        <v>10369</v>
      </c>
      <c r="X6746" s="51" t="s">
        <v>2359</v>
      </c>
    </row>
    <row r="6747" customFormat="false" ht="14.25" hidden="true" customHeight="false" outlineLevel="0" collapsed="false">
      <c r="A6747" s="49" t="s">
        <v>2349</v>
      </c>
      <c r="B6747" s="49" t="s">
        <v>2350</v>
      </c>
      <c r="C6747" s="49" t="s">
        <v>11470</v>
      </c>
      <c r="D6747" s="49" t="s">
        <v>2352</v>
      </c>
      <c r="E6747" s="49" t="str">
        <f aca="false">"00041390050107"</f>
        <v>00041390050107</v>
      </c>
      <c r="F6747" s="49" t="s">
        <v>2378</v>
      </c>
      <c r="G6747" s="49" t="n">
        <v>0</v>
      </c>
      <c r="H6747" s="0" t="n">
        <v>0</v>
      </c>
      <c r="M6747" s="51" t="s">
        <v>11464</v>
      </c>
      <c r="N6747" s="49" t="n">
        <v>0</v>
      </c>
      <c r="O6747" s="53" t="n">
        <v>45896.4057986111</v>
      </c>
      <c r="P6747" s="53" t="n">
        <v>45948.8919444445</v>
      </c>
      <c r="Q6747" s="53" t="n">
        <v>45896.4057986111</v>
      </c>
      <c r="R6747" s="0" t="n">
        <v>0</v>
      </c>
      <c r="S6747" s="51" t="s">
        <v>2383</v>
      </c>
      <c r="T6747" s="51" t="s">
        <v>2383</v>
      </c>
      <c r="U6747" s="0" t="str">
        <f aca="false">"00041390050107"</f>
        <v>00041390050107</v>
      </c>
      <c r="V6747" s="51" t="s">
        <v>2365</v>
      </c>
      <c r="W6747" s="51" t="s">
        <v>10576</v>
      </c>
      <c r="X6747" s="51" t="s">
        <v>2359</v>
      </c>
    </row>
    <row r="6748" customFormat="false" ht="14.25" hidden="true" customHeight="false" outlineLevel="0" collapsed="false">
      <c r="A6748" s="49" t="s">
        <v>2349</v>
      </c>
      <c r="B6748" s="49" t="s">
        <v>2350</v>
      </c>
      <c r="C6748" s="49" t="s">
        <v>11471</v>
      </c>
      <c r="D6748" s="49" t="s">
        <v>2352</v>
      </c>
      <c r="E6748" s="49" t="str">
        <f aca="false">"00041390050107"</f>
        <v>00041390050107</v>
      </c>
      <c r="F6748" s="49" t="s">
        <v>2378</v>
      </c>
      <c r="G6748" s="49" t="n">
        <v>0</v>
      </c>
      <c r="H6748" s="0" t="n">
        <v>0</v>
      </c>
      <c r="M6748" s="51" t="s">
        <v>11464</v>
      </c>
      <c r="N6748" s="49" t="n">
        <v>0</v>
      </c>
      <c r="O6748" s="53" t="n">
        <v>45896.4053009259</v>
      </c>
      <c r="P6748" s="53" t="n">
        <v>46021.142662037</v>
      </c>
      <c r="Q6748" s="53" t="n">
        <v>45896.4053009259</v>
      </c>
      <c r="R6748" s="0" t="n">
        <v>0</v>
      </c>
      <c r="S6748" s="51" t="s">
        <v>2383</v>
      </c>
      <c r="T6748" s="51" t="s">
        <v>2383</v>
      </c>
      <c r="U6748" s="0" t="str">
        <f aca="false">"00041390050107"</f>
        <v>00041390050107</v>
      </c>
      <c r="V6748" s="51" t="s">
        <v>2365</v>
      </c>
      <c r="W6748" s="51" t="s">
        <v>11472</v>
      </c>
      <c r="X6748" s="51" t="s">
        <v>2359</v>
      </c>
    </row>
    <row r="6749" customFormat="false" ht="14.25" hidden="true" customHeight="false" outlineLevel="0" collapsed="false">
      <c r="A6749" s="49" t="s">
        <v>2349</v>
      </c>
      <c r="B6749" s="49" t="s">
        <v>2350</v>
      </c>
      <c r="C6749" s="49" t="s">
        <v>11473</v>
      </c>
      <c r="D6749" s="49" t="s">
        <v>2352</v>
      </c>
      <c r="E6749" s="49" t="str">
        <f aca="false">"00041390050107"</f>
        <v>00041390050107</v>
      </c>
      <c r="F6749" s="49" t="s">
        <v>2378</v>
      </c>
      <c r="G6749" s="49" t="n">
        <v>0</v>
      </c>
      <c r="H6749" s="0" t="n">
        <v>0</v>
      </c>
      <c r="M6749" s="51" t="s">
        <v>11464</v>
      </c>
      <c r="N6749" s="49" t="n">
        <v>0</v>
      </c>
      <c r="O6749" s="53" t="n">
        <v>45896.4047569444</v>
      </c>
      <c r="P6749" s="53" t="n">
        <v>45948.8904050926</v>
      </c>
      <c r="Q6749" s="53" t="n">
        <v>45896.4047569444</v>
      </c>
      <c r="R6749" s="0" t="n">
        <v>0</v>
      </c>
      <c r="S6749" s="51" t="s">
        <v>2383</v>
      </c>
      <c r="T6749" s="51" t="s">
        <v>2383</v>
      </c>
      <c r="U6749" s="0" t="str">
        <f aca="false">"00041390050107"</f>
        <v>00041390050107</v>
      </c>
      <c r="V6749" s="51" t="s">
        <v>2365</v>
      </c>
      <c r="W6749" s="51" t="s">
        <v>11474</v>
      </c>
      <c r="X6749" s="51" t="s">
        <v>2359</v>
      </c>
    </row>
    <row r="6750" customFormat="false" ht="14.25" hidden="true" customHeight="false" outlineLevel="0" collapsed="false">
      <c r="A6750" s="49" t="s">
        <v>2349</v>
      </c>
      <c r="B6750" s="49" t="s">
        <v>2350</v>
      </c>
      <c r="C6750" s="49" t="s">
        <v>11475</v>
      </c>
      <c r="D6750" s="49" t="s">
        <v>2352</v>
      </c>
      <c r="E6750" s="49" t="str">
        <f aca="false">"00041390050107"</f>
        <v>00041390050107</v>
      </c>
      <c r="F6750" s="49" t="s">
        <v>2378</v>
      </c>
      <c r="G6750" s="49" t="n">
        <v>0</v>
      </c>
      <c r="H6750" s="0" t="n">
        <v>0</v>
      </c>
      <c r="M6750" s="51" t="s">
        <v>11464</v>
      </c>
      <c r="N6750" s="49" t="n">
        <v>0</v>
      </c>
      <c r="O6750" s="53" t="n">
        <v>45896.4041782407</v>
      </c>
      <c r="P6750" s="53" t="n">
        <v>45948.8886805556</v>
      </c>
      <c r="Q6750" s="53" t="n">
        <v>45896.4041782407</v>
      </c>
      <c r="R6750" s="0" t="n">
        <v>0</v>
      </c>
      <c r="S6750" s="51" t="s">
        <v>2383</v>
      </c>
      <c r="T6750" s="51" t="s">
        <v>2383</v>
      </c>
      <c r="U6750" s="0" t="str">
        <f aca="false">"00041390050107"</f>
        <v>00041390050107</v>
      </c>
      <c r="V6750" s="51" t="s">
        <v>2365</v>
      </c>
      <c r="W6750" s="51" t="s">
        <v>4907</v>
      </c>
      <c r="X6750" s="51" t="s">
        <v>2359</v>
      </c>
    </row>
    <row r="6751" customFormat="false" ht="14.25" hidden="true" customHeight="false" outlineLevel="0" collapsed="false">
      <c r="A6751" s="49" t="s">
        <v>2349</v>
      </c>
      <c r="B6751" s="49" t="s">
        <v>2350</v>
      </c>
      <c r="C6751" s="49" t="s">
        <v>11476</v>
      </c>
      <c r="D6751" s="49" t="s">
        <v>2352</v>
      </c>
      <c r="E6751" s="49" t="str">
        <f aca="false">"00041390050107"</f>
        <v>00041390050107</v>
      </c>
      <c r="F6751" s="49" t="s">
        <v>2378</v>
      </c>
      <c r="G6751" s="49" t="n">
        <v>0</v>
      </c>
      <c r="H6751" s="0" t="n">
        <v>0</v>
      </c>
      <c r="M6751" s="51" t="s">
        <v>11464</v>
      </c>
      <c r="N6751" s="49" t="n">
        <v>0</v>
      </c>
      <c r="O6751" s="53" t="n">
        <v>45896.4035069444</v>
      </c>
      <c r="P6751" s="53" t="n">
        <v>45960.799212963</v>
      </c>
      <c r="Q6751" s="53" t="n">
        <v>45896.4035069444</v>
      </c>
      <c r="R6751" s="0" t="n">
        <v>0</v>
      </c>
      <c r="S6751" s="51" t="s">
        <v>2383</v>
      </c>
      <c r="T6751" s="51" t="s">
        <v>2383</v>
      </c>
      <c r="U6751" s="0" t="str">
        <f aca="false">"00041390050107"</f>
        <v>00041390050107</v>
      </c>
      <c r="V6751" s="51" t="s">
        <v>2365</v>
      </c>
      <c r="W6751" s="51" t="s">
        <v>10137</v>
      </c>
      <c r="X6751" s="51" t="s">
        <v>2359</v>
      </c>
    </row>
    <row r="6752" customFormat="false" ht="14.25" hidden="true" customHeight="false" outlineLevel="0" collapsed="false">
      <c r="A6752" s="49" t="s">
        <v>2349</v>
      </c>
      <c r="B6752" s="49" t="s">
        <v>2350</v>
      </c>
      <c r="C6752" s="49" t="s">
        <v>11477</v>
      </c>
      <c r="D6752" s="49" t="s">
        <v>2352</v>
      </c>
      <c r="E6752" s="49" t="str">
        <f aca="false">"00041390050107"</f>
        <v>00041390050107</v>
      </c>
      <c r="F6752" s="49" t="s">
        <v>2378</v>
      </c>
      <c r="G6752" s="49" t="n">
        <v>0</v>
      </c>
      <c r="H6752" s="0" t="n">
        <v>0</v>
      </c>
      <c r="M6752" s="51" t="s">
        <v>11464</v>
      </c>
      <c r="N6752" s="49" t="n">
        <v>0</v>
      </c>
      <c r="O6752" s="53" t="n">
        <v>45896.4027199074</v>
      </c>
      <c r="P6752" s="53" t="n">
        <v>45960.776712963</v>
      </c>
      <c r="Q6752" s="53" t="n">
        <v>45896.4027199074</v>
      </c>
      <c r="R6752" s="0" t="n">
        <v>0</v>
      </c>
      <c r="S6752" s="51" t="s">
        <v>2383</v>
      </c>
      <c r="T6752" s="51" t="s">
        <v>2383</v>
      </c>
      <c r="U6752" s="0" t="str">
        <f aca="false">"00041390050107"</f>
        <v>00041390050107</v>
      </c>
      <c r="V6752" s="51" t="s">
        <v>2365</v>
      </c>
      <c r="W6752" s="51" t="s">
        <v>10362</v>
      </c>
      <c r="X6752" s="51" t="s">
        <v>2359</v>
      </c>
    </row>
    <row r="6753" customFormat="false" ht="14.25" hidden="true" customHeight="false" outlineLevel="0" collapsed="false">
      <c r="A6753" s="49" t="s">
        <v>2349</v>
      </c>
      <c r="B6753" s="49" t="s">
        <v>2350</v>
      </c>
      <c r="C6753" s="49" t="s">
        <v>11478</v>
      </c>
      <c r="D6753" s="49" t="s">
        <v>2352</v>
      </c>
      <c r="E6753" s="49" t="str">
        <f aca="false">"00041390050107"</f>
        <v>00041390050107</v>
      </c>
      <c r="F6753" s="49" t="s">
        <v>2378</v>
      </c>
      <c r="G6753" s="49" t="n">
        <v>0</v>
      </c>
      <c r="H6753" s="0" t="n">
        <v>0</v>
      </c>
      <c r="M6753" s="51" t="s">
        <v>11464</v>
      </c>
      <c r="N6753" s="49" t="n">
        <v>0</v>
      </c>
      <c r="O6753" s="53" t="n">
        <v>45896.4025462963</v>
      </c>
      <c r="P6753" s="53" t="n">
        <v>45948.9354166667</v>
      </c>
      <c r="Q6753" s="53" t="n">
        <v>45896.4025462963</v>
      </c>
      <c r="R6753" s="0" t="n">
        <v>0</v>
      </c>
      <c r="S6753" s="51" t="s">
        <v>2383</v>
      </c>
      <c r="T6753" s="51" t="s">
        <v>2383</v>
      </c>
      <c r="U6753" s="0" t="str">
        <f aca="false">"00041390050107"</f>
        <v>00041390050107</v>
      </c>
      <c r="V6753" s="51" t="s">
        <v>2365</v>
      </c>
      <c r="W6753" s="51" t="s">
        <v>7810</v>
      </c>
      <c r="X6753" s="51" t="s">
        <v>2359</v>
      </c>
    </row>
    <row r="6754" customFormat="false" ht="14.25" hidden="true" customHeight="false" outlineLevel="0" collapsed="false">
      <c r="A6754" s="49" t="s">
        <v>2349</v>
      </c>
      <c r="B6754" s="49" t="s">
        <v>2350</v>
      </c>
      <c r="C6754" s="49" t="s">
        <v>11479</v>
      </c>
      <c r="D6754" s="49" t="s">
        <v>2352</v>
      </c>
      <c r="E6754" s="49" t="str">
        <f aca="false">"00041390050107"</f>
        <v>00041390050107</v>
      </c>
      <c r="F6754" s="49" t="s">
        <v>2378</v>
      </c>
      <c r="G6754" s="49" t="n">
        <v>0</v>
      </c>
      <c r="H6754" s="0" t="n">
        <v>0</v>
      </c>
      <c r="M6754" s="51" t="s">
        <v>11464</v>
      </c>
      <c r="N6754" s="49" t="n">
        <v>0</v>
      </c>
      <c r="O6754" s="53" t="n">
        <v>45980.8055671296</v>
      </c>
      <c r="P6754" s="53" t="n">
        <v>46043.9034027778</v>
      </c>
      <c r="R6754" s="0" t="n">
        <v>0</v>
      </c>
      <c r="T6754" s="51" t="s">
        <v>2394</v>
      </c>
      <c r="U6754" s="0" t="str">
        <f aca="false">"00041390050107"</f>
        <v>00041390050107</v>
      </c>
      <c r="V6754" s="51" t="s">
        <v>2365</v>
      </c>
      <c r="W6754" s="51" t="s">
        <v>11480</v>
      </c>
      <c r="X6754" s="51" t="s">
        <v>2359</v>
      </c>
    </row>
    <row r="6755" customFormat="false" ht="14.25" hidden="true" customHeight="false" outlineLevel="0" collapsed="false">
      <c r="A6755" s="49" t="s">
        <v>2349</v>
      </c>
      <c r="B6755" s="49" t="s">
        <v>2350</v>
      </c>
      <c r="C6755" s="49" t="s">
        <v>11481</v>
      </c>
      <c r="D6755" s="49" t="s">
        <v>2352</v>
      </c>
      <c r="E6755" s="49" t="str">
        <f aca="false">"00041390050107"</f>
        <v>00041390050107</v>
      </c>
      <c r="F6755" s="49" t="s">
        <v>2378</v>
      </c>
      <c r="G6755" s="49" t="n">
        <v>0</v>
      </c>
      <c r="H6755" s="0" t="n">
        <v>0</v>
      </c>
      <c r="M6755" s="51" t="s">
        <v>11464</v>
      </c>
      <c r="N6755" s="49" t="n">
        <v>0</v>
      </c>
      <c r="O6755" s="53" t="n">
        <v>45896.4021759259</v>
      </c>
      <c r="P6755" s="53" t="n">
        <v>45980.8055671296</v>
      </c>
      <c r="Q6755" s="53" t="n">
        <v>45896.4021759259</v>
      </c>
      <c r="R6755" s="0" t="n">
        <v>0</v>
      </c>
      <c r="S6755" s="51" t="s">
        <v>2383</v>
      </c>
      <c r="T6755" s="51" t="s">
        <v>2383</v>
      </c>
      <c r="U6755" s="0" t="str">
        <f aca="false">"00041390050107"</f>
        <v>00041390050107</v>
      </c>
      <c r="V6755" s="51" t="s">
        <v>2365</v>
      </c>
      <c r="W6755" s="51" t="s">
        <v>11482</v>
      </c>
      <c r="X6755" s="51" t="s">
        <v>2359</v>
      </c>
    </row>
    <row r="6756" customFormat="false" ht="14.25" hidden="true" customHeight="false" outlineLevel="0" collapsed="false">
      <c r="A6756" s="49" t="s">
        <v>2349</v>
      </c>
      <c r="B6756" s="49" t="s">
        <v>2350</v>
      </c>
      <c r="C6756" s="49" t="s">
        <v>11483</v>
      </c>
      <c r="D6756" s="49" t="s">
        <v>2352</v>
      </c>
      <c r="E6756" s="49" t="str">
        <f aca="false">"00041390050107"</f>
        <v>00041390050107</v>
      </c>
      <c r="F6756" s="49" t="s">
        <v>2378</v>
      </c>
      <c r="G6756" s="49" t="n">
        <v>0</v>
      </c>
      <c r="H6756" s="0" t="n">
        <v>0</v>
      </c>
      <c r="M6756" s="51" t="s">
        <v>11464</v>
      </c>
      <c r="N6756" s="49" t="n">
        <v>0</v>
      </c>
      <c r="O6756" s="53" t="n">
        <v>45896.4018865741</v>
      </c>
      <c r="P6756" s="53" t="n">
        <v>45948.8874884259</v>
      </c>
      <c r="Q6756" s="53" t="n">
        <v>45896.4018865741</v>
      </c>
      <c r="R6756" s="0" t="n">
        <v>0</v>
      </c>
      <c r="S6756" s="51" t="s">
        <v>2383</v>
      </c>
      <c r="T6756" s="51" t="s">
        <v>2383</v>
      </c>
      <c r="U6756" s="0" t="str">
        <f aca="false">"00041390050107"</f>
        <v>00041390050107</v>
      </c>
      <c r="V6756" s="51" t="s">
        <v>2365</v>
      </c>
      <c r="W6756" s="51" t="s">
        <v>10367</v>
      </c>
      <c r="X6756" s="51" t="s">
        <v>2359</v>
      </c>
    </row>
    <row r="6757" customFormat="false" ht="14.25" hidden="true" customHeight="false" outlineLevel="0" collapsed="false">
      <c r="A6757" s="49" t="s">
        <v>2349</v>
      </c>
      <c r="B6757" s="49" t="s">
        <v>2350</v>
      </c>
      <c r="C6757" s="49" t="s">
        <v>11484</v>
      </c>
      <c r="D6757" s="49" t="s">
        <v>2352</v>
      </c>
      <c r="E6757" s="49" t="s">
        <v>4351</v>
      </c>
      <c r="F6757" s="49" t="s">
        <v>4352</v>
      </c>
      <c r="G6757" s="49" t="n">
        <v>0</v>
      </c>
      <c r="H6757" s="0" t="n">
        <v>0</v>
      </c>
      <c r="M6757" s="51" t="s">
        <v>11485</v>
      </c>
      <c r="N6757" s="49" t="n">
        <v>0</v>
      </c>
      <c r="O6757" s="53" t="n">
        <v>45909.4674768519</v>
      </c>
      <c r="P6757" s="53" t="n">
        <v>45911.3000115741</v>
      </c>
      <c r="Q6757" s="53" t="n">
        <v>45909.4674768519</v>
      </c>
      <c r="R6757" s="0" t="n">
        <v>0</v>
      </c>
      <c r="S6757" s="51" t="s">
        <v>2356</v>
      </c>
      <c r="T6757" s="51" t="s">
        <v>2356</v>
      </c>
      <c r="U6757" s="51" t="s">
        <v>4351</v>
      </c>
      <c r="V6757" s="51" t="s">
        <v>2365</v>
      </c>
      <c r="W6757" s="51" t="s">
        <v>9510</v>
      </c>
      <c r="X6757" s="51" t="s">
        <v>2359</v>
      </c>
    </row>
    <row r="6758" customFormat="false" ht="14.25" hidden="true" customHeight="false" outlineLevel="0" collapsed="false">
      <c r="A6758" s="49" t="s">
        <v>2349</v>
      </c>
      <c r="B6758" s="49" t="s">
        <v>2350</v>
      </c>
      <c r="C6758" s="49" t="s">
        <v>11486</v>
      </c>
      <c r="D6758" s="49" t="s">
        <v>2352</v>
      </c>
      <c r="E6758" s="49" t="s">
        <v>4351</v>
      </c>
      <c r="F6758" s="49" t="s">
        <v>4352</v>
      </c>
      <c r="G6758" s="49" t="n">
        <v>0</v>
      </c>
      <c r="H6758" s="0" t="n">
        <v>0</v>
      </c>
      <c r="M6758" s="51" t="s">
        <v>11485</v>
      </c>
      <c r="N6758" s="49" t="n">
        <v>0</v>
      </c>
      <c r="O6758" s="53" t="n">
        <v>45909.4684027778</v>
      </c>
      <c r="P6758" s="53" t="n">
        <v>45921.6549884259</v>
      </c>
      <c r="Q6758" s="53" t="n">
        <v>45909.4684027778</v>
      </c>
      <c r="R6758" s="0" t="n">
        <v>0</v>
      </c>
      <c r="S6758" s="51" t="s">
        <v>2356</v>
      </c>
      <c r="T6758" s="51" t="s">
        <v>2356</v>
      </c>
      <c r="U6758" s="51" t="s">
        <v>4351</v>
      </c>
      <c r="V6758" s="51" t="s">
        <v>2365</v>
      </c>
      <c r="W6758" s="51" t="s">
        <v>3683</v>
      </c>
      <c r="X6758" s="51" t="s">
        <v>2359</v>
      </c>
    </row>
    <row r="6759" customFormat="false" ht="14.25" hidden="true" customHeight="false" outlineLevel="0" collapsed="false">
      <c r="A6759" s="49" t="s">
        <v>2349</v>
      </c>
      <c r="B6759" s="49" t="s">
        <v>2350</v>
      </c>
      <c r="C6759" s="49" t="s">
        <v>11487</v>
      </c>
      <c r="D6759" s="49" t="s">
        <v>2352</v>
      </c>
      <c r="E6759" s="49" t="s">
        <v>4351</v>
      </c>
      <c r="F6759" s="49" t="s">
        <v>4352</v>
      </c>
      <c r="G6759" s="49" t="n">
        <v>0</v>
      </c>
      <c r="H6759" s="0" t="n">
        <v>0</v>
      </c>
      <c r="M6759" s="51" t="s">
        <v>11485</v>
      </c>
      <c r="N6759" s="49" t="n">
        <v>0</v>
      </c>
      <c r="O6759" s="53" t="n">
        <v>45909.4689814815</v>
      </c>
      <c r="P6759" s="53" t="n">
        <v>45911.3002314815</v>
      </c>
      <c r="Q6759" s="53" t="n">
        <v>45909.4689814815</v>
      </c>
      <c r="R6759" s="0" t="n">
        <v>0</v>
      </c>
      <c r="S6759" s="51" t="s">
        <v>2356</v>
      </c>
      <c r="T6759" s="51" t="s">
        <v>2356</v>
      </c>
      <c r="U6759" s="51" t="s">
        <v>4351</v>
      </c>
      <c r="V6759" s="51" t="s">
        <v>2365</v>
      </c>
      <c r="W6759" s="51" t="s">
        <v>4134</v>
      </c>
      <c r="X6759" s="51" t="s">
        <v>2359</v>
      </c>
    </row>
    <row r="6760" customFormat="false" ht="14.25" hidden="true" customHeight="false" outlineLevel="0" collapsed="false">
      <c r="A6760" s="49" t="s">
        <v>2349</v>
      </c>
      <c r="B6760" s="49" t="s">
        <v>2350</v>
      </c>
      <c r="C6760" s="49" t="s">
        <v>11488</v>
      </c>
      <c r="D6760" s="49" t="s">
        <v>2352</v>
      </c>
      <c r="E6760" s="49" t="s">
        <v>4351</v>
      </c>
      <c r="F6760" s="49" t="s">
        <v>4352</v>
      </c>
      <c r="G6760" s="49" t="n">
        <v>0</v>
      </c>
      <c r="H6760" s="0" t="n">
        <v>0</v>
      </c>
      <c r="M6760" s="51" t="s">
        <v>11485</v>
      </c>
      <c r="N6760" s="49" t="n">
        <v>0</v>
      </c>
      <c r="O6760" s="53" t="n">
        <v>45909.4697106482</v>
      </c>
      <c r="P6760" s="53" t="n">
        <v>45911.3043981481</v>
      </c>
      <c r="Q6760" s="53" t="n">
        <v>45909.4697106482</v>
      </c>
      <c r="R6760" s="0" t="n">
        <v>0</v>
      </c>
      <c r="S6760" s="51" t="s">
        <v>2356</v>
      </c>
      <c r="T6760" s="51" t="s">
        <v>2356</v>
      </c>
      <c r="U6760" s="51" t="s">
        <v>4351</v>
      </c>
      <c r="V6760" s="51" t="s">
        <v>2365</v>
      </c>
      <c r="W6760" s="51" t="s">
        <v>8229</v>
      </c>
      <c r="X6760" s="51" t="s">
        <v>2359</v>
      </c>
    </row>
    <row r="6761" customFormat="false" ht="14.25" hidden="true" customHeight="false" outlineLevel="0" collapsed="false">
      <c r="A6761" s="49" t="s">
        <v>2349</v>
      </c>
      <c r="B6761" s="49" t="s">
        <v>2350</v>
      </c>
      <c r="C6761" s="49" t="s">
        <v>11489</v>
      </c>
      <c r="D6761" s="49" t="s">
        <v>2352</v>
      </c>
      <c r="E6761" s="49" t="s">
        <v>4351</v>
      </c>
      <c r="F6761" s="49" t="s">
        <v>4352</v>
      </c>
      <c r="G6761" s="49" t="n">
        <v>0</v>
      </c>
      <c r="H6761" s="0" t="n">
        <v>0</v>
      </c>
      <c r="M6761" s="51" t="s">
        <v>11485</v>
      </c>
      <c r="N6761" s="49" t="n">
        <v>0</v>
      </c>
      <c r="O6761" s="53" t="n">
        <v>45909.4702777778</v>
      </c>
      <c r="P6761" s="53" t="n">
        <v>45911.3045601852</v>
      </c>
      <c r="Q6761" s="53" t="n">
        <v>45909.4702777778</v>
      </c>
      <c r="R6761" s="0" t="n">
        <v>0</v>
      </c>
      <c r="S6761" s="51" t="s">
        <v>2356</v>
      </c>
      <c r="T6761" s="51" t="s">
        <v>2356</v>
      </c>
      <c r="U6761" s="51" t="s">
        <v>4351</v>
      </c>
      <c r="V6761" s="51" t="s">
        <v>2365</v>
      </c>
      <c r="W6761" s="51" t="s">
        <v>4130</v>
      </c>
      <c r="X6761" s="51" t="s">
        <v>2359</v>
      </c>
    </row>
    <row r="6762" customFormat="false" ht="14.25" hidden="true" customHeight="false" outlineLevel="0" collapsed="false">
      <c r="A6762" s="49" t="s">
        <v>2349</v>
      </c>
      <c r="B6762" s="49" t="s">
        <v>2350</v>
      </c>
      <c r="C6762" s="49" t="s">
        <v>11490</v>
      </c>
      <c r="D6762" s="49" t="s">
        <v>2352</v>
      </c>
      <c r="E6762" s="49" t="s">
        <v>4351</v>
      </c>
      <c r="F6762" s="49" t="s">
        <v>4352</v>
      </c>
      <c r="G6762" s="49" t="n">
        <v>0</v>
      </c>
      <c r="H6762" s="0" t="n">
        <v>0</v>
      </c>
      <c r="M6762" s="51" t="s">
        <v>11485</v>
      </c>
      <c r="N6762" s="49" t="n">
        <v>0</v>
      </c>
      <c r="O6762" s="53" t="n">
        <v>45909.4706828704</v>
      </c>
      <c r="P6762" s="53" t="n">
        <v>45911.4603009259</v>
      </c>
      <c r="Q6762" s="53" t="n">
        <v>45909.4706828704</v>
      </c>
      <c r="R6762" s="0" t="n">
        <v>0</v>
      </c>
      <c r="S6762" s="51" t="s">
        <v>2356</v>
      </c>
      <c r="T6762" s="51" t="s">
        <v>2356</v>
      </c>
      <c r="U6762" s="51" t="s">
        <v>4351</v>
      </c>
      <c r="V6762" s="51" t="s">
        <v>2365</v>
      </c>
      <c r="W6762" s="51" t="s">
        <v>5159</v>
      </c>
      <c r="X6762" s="51" t="s">
        <v>2359</v>
      </c>
    </row>
    <row r="6763" customFormat="false" ht="14.25" hidden="true" customHeight="false" outlineLevel="0" collapsed="false">
      <c r="A6763" s="49" t="s">
        <v>2349</v>
      </c>
      <c r="B6763" s="49" t="s">
        <v>2350</v>
      </c>
      <c r="C6763" s="49" t="s">
        <v>11491</v>
      </c>
      <c r="D6763" s="49" t="s">
        <v>2352</v>
      </c>
      <c r="E6763" s="49" t="s">
        <v>4351</v>
      </c>
      <c r="F6763" s="49" t="s">
        <v>4352</v>
      </c>
      <c r="G6763" s="49" t="n">
        <v>0</v>
      </c>
      <c r="H6763" s="0" t="n">
        <v>0</v>
      </c>
      <c r="M6763" s="51" t="s">
        <v>11485</v>
      </c>
      <c r="N6763" s="49" t="n">
        <v>0</v>
      </c>
      <c r="O6763" s="53" t="n">
        <v>45909.4710532407</v>
      </c>
      <c r="P6763" s="53" t="n">
        <v>45911.4610300926</v>
      </c>
      <c r="Q6763" s="53" t="n">
        <v>45909.4710532407</v>
      </c>
      <c r="R6763" s="0" t="n">
        <v>0</v>
      </c>
      <c r="S6763" s="51" t="s">
        <v>2356</v>
      </c>
      <c r="T6763" s="51" t="s">
        <v>2356</v>
      </c>
      <c r="U6763" s="51" t="s">
        <v>4351</v>
      </c>
      <c r="V6763" s="51" t="s">
        <v>2365</v>
      </c>
      <c r="W6763" s="51" t="s">
        <v>6881</v>
      </c>
      <c r="X6763" s="51" t="s">
        <v>2359</v>
      </c>
    </row>
    <row r="6764" customFormat="false" ht="14.25" hidden="true" customHeight="false" outlineLevel="0" collapsed="false">
      <c r="A6764" s="49" t="s">
        <v>2349</v>
      </c>
      <c r="B6764" s="49" t="s">
        <v>2350</v>
      </c>
      <c r="C6764" s="49" t="s">
        <v>11492</v>
      </c>
      <c r="D6764" s="49" t="s">
        <v>2352</v>
      </c>
      <c r="E6764" s="49" t="s">
        <v>4351</v>
      </c>
      <c r="F6764" s="49" t="s">
        <v>4352</v>
      </c>
      <c r="G6764" s="49" t="n">
        <v>0</v>
      </c>
      <c r="H6764" s="0" t="n">
        <v>0</v>
      </c>
      <c r="M6764" s="51" t="s">
        <v>11485</v>
      </c>
      <c r="N6764" s="49" t="n">
        <v>0</v>
      </c>
      <c r="O6764" s="53" t="n">
        <v>45909.4713773148</v>
      </c>
      <c r="P6764" s="53" t="n">
        <v>45911.4600231481</v>
      </c>
      <c r="Q6764" s="53" t="n">
        <v>45909.4713773148</v>
      </c>
      <c r="R6764" s="0" t="n">
        <v>0</v>
      </c>
      <c r="S6764" s="51" t="s">
        <v>2356</v>
      </c>
      <c r="T6764" s="51" t="s">
        <v>2356</v>
      </c>
      <c r="U6764" s="51" t="s">
        <v>4351</v>
      </c>
      <c r="V6764" s="51" t="s">
        <v>2365</v>
      </c>
      <c r="W6764" s="51" t="s">
        <v>5147</v>
      </c>
      <c r="X6764" s="51" t="s">
        <v>2359</v>
      </c>
    </row>
    <row r="6765" customFormat="false" ht="14.25" hidden="true" customHeight="false" outlineLevel="0" collapsed="false">
      <c r="A6765" s="49" t="s">
        <v>2349</v>
      </c>
      <c r="B6765" s="49" t="s">
        <v>2350</v>
      </c>
      <c r="C6765" s="49" t="s">
        <v>11493</v>
      </c>
      <c r="D6765" s="49" t="s">
        <v>2352</v>
      </c>
      <c r="E6765" s="49" t="s">
        <v>4351</v>
      </c>
      <c r="F6765" s="49" t="s">
        <v>4352</v>
      </c>
      <c r="G6765" s="49" t="n">
        <v>0</v>
      </c>
      <c r="H6765" s="0" t="n">
        <v>0</v>
      </c>
      <c r="M6765" s="51" t="s">
        <v>11485</v>
      </c>
      <c r="N6765" s="49" t="n">
        <v>0</v>
      </c>
      <c r="O6765" s="53" t="n">
        <v>45909.4717939815</v>
      </c>
      <c r="P6765" s="53" t="n">
        <v>45911.460162037</v>
      </c>
      <c r="Q6765" s="53" t="n">
        <v>45909.4717939815</v>
      </c>
      <c r="R6765" s="0" t="n">
        <v>0</v>
      </c>
      <c r="S6765" s="51" t="s">
        <v>2356</v>
      </c>
      <c r="T6765" s="51" t="s">
        <v>2356</v>
      </c>
      <c r="U6765" s="51" t="s">
        <v>4351</v>
      </c>
      <c r="V6765" s="51" t="s">
        <v>2365</v>
      </c>
      <c r="W6765" s="51" t="s">
        <v>4614</v>
      </c>
      <c r="X6765" s="51" t="s">
        <v>2359</v>
      </c>
    </row>
    <row r="6766" customFormat="false" ht="14.25" hidden="true" customHeight="false" outlineLevel="0" collapsed="false">
      <c r="A6766" s="49" t="s">
        <v>2349</v>
      </c>
      <c r="B6766" s="49" t="s">
        <v>2350</v>
      </c>
      <c r="C6766" s="49" t="s">
        <v>11494</v>
      </c>
      <c r="D6766" s="49" t="s">
        <v>2352</v>
      </c>
      <c r="E6766" s="49" t="s">
        <v>4351</v>
      </c>
      <c r="F6766" s="49" t="s">
        <v>4352</v>
      </c>
      <c r="G6766" s="49" t="n">
        <v>0</v>
      </c>
      <c r="H6766" s="0" t="n">
        <v>0</v>
      </c>
      <c r="M6766" s="51" t="s">
        <v>11485</v>
      </c>
      <c r="N6766" s="49" t="n">
        <v>0</v>
      </c>
      <c r="O6766" s="53" t="n">
        <v>45909.4722337963</v>
      </c>
      <c r="P6766" s="53" t="n">
        <v>45911.4596643519</v>
      </c>
      <c r="Q6766" s="53" t="n">
        <v>45909.4722337963</v>
      </c>
      <c r="R6766" s="0" t="n">
        <v>0</v>
      </c>
      <c r="S6766" s="51" t="s">
        <v>2356</v>
      </c>
      <c r="T6766" s="51" t="s">
        <v>2356</v>
      </c>
      <c r="U6766" s="51" t="s">
        <v>4351</v>
      </c>
      <c r="V6766" s="51" t="s">
        <v>2365</v>
      </c>
      <c r="W6766" s="51" t="s">
        <v>5968</v>
      </c>
      <c r="X6766" s="51" t="s">
        <v>2359</v>
      </c>
    </row>
    <row r="6767" customFormat="false" ht="14.25" hidden="true" customHeight="false" outlineLevel="0" collapsed="false">
      <c r="A6767" s="49" t="s">
        <v>2349</v>
      </c>
      <c r="B6767" s="49" t="s">
        <v>2350</v>
      </c>
      <c r="C6767" s="49" t="s">
        <v>11495</v>
      </c>
      <c r="D6767" s="49" t="s">
        <v>2352</v>
      </c>
      <c r="E6767" s="49" t="s">
        <v>4351</v>
      </c>
      <c r="F6767" s="49" t="s">
        <v>4352</v>
      </c>
      <c r="G6767" s="49" t="n">
        <v>0</v>
      </c>
      <c r="H6767" s="0" t="n">
        <v>0</v>
      </c>
      <c r="M6767" s="51" t="s">
        <v>11485</v>
      </c>
      <c r="N6767" s="49" t="n">
        <v>0</v>
      </c>
      <c r="O6767" s="53" t="n">
        <v>45909.4725810185</v>
      </c>
      <c r="P6767" s="53" t="n">
        <v>45911.4598148148</v>
      </c>
      <c r="Q6767" s="53" t="n">
        <v>45909.4725810185</v>
      </c>
      <c r="R6767" s="0" t="n">
        <v>0</v>
      </c>
      <c r="S6767" s="51" t="s">
        <v>2356</v>
      </c>
      <c r="T6767" s="51" t="s">
        <v>2356</v>
      </c>
      <c r="U6767" s="51" t="s">
        <v>4351</v>
      </c>
      <c r="V6767" s="51" t="s">
        <v>2365</v>
      </c>
      <c r="W6767" s="51" t="s">
        <v>8301</v>
      </c>
      <c r="X6767" s="51" t="s">
        <v>2359</v>
      </c>
    </row>
    <row r="6768" customFormat="false" ht="14.25" hidden="true" customHeight="false" outlineLevel="0" collapsed="false">
      <c r="A6768" s="49" t="s">
        <v>2349</v>
      </c>
      <c r="B6768" s="49" t="s">
        <v>2350</v>
      </c>
      <c r="C6768" s="49" t="s">
        <v>11496</v>
      </c>
      <c r="D6768" s="49" t="s">
        <v>2352</v>
      </c>
      <c r="E6768" s="49" t="s">
        <v>4351</v>
      </c>
      <c r="F6768" s="49" t="s">
        <v>4352</v>
      </c>
      <c r="G6768" s="49" t="n">
        <v>0</v>
      </c>
      <c r="H6768" s="0" t="n">
        <v>0</v>
      </c>
      <c r="M6768" s="51" t="s">
        <v>11485</v>
      </c>
      <c r="N6768" s="49" t="n">
        <v>0</v>
      </c>
      <c r="O6768" s="53" t="n">
        <v>45909.4731018519</v>
      </c>
      <c r="P6768" s="53" t="n">
        <v>45916.4946296296</v>
      </c>
      <c r="Q6768" s="53" t="n">
        <v>45909.4731018519</v>
      </c>
      <c r="R6768" s="0" t="n">
        <v>0</v>
      </c>
      <c r="S6768" s="51" t="s">
        <v>2356</v>
      </c>
      <c r="T6768" s="51" t="s">
        <v>2356</v>
      </c>
      <c r="U6768" s="51" t="s">
        <v>4351</v>
      </c>
      <c r="V6768" s="51" t="s">
        <v>2365</v>
      </c>
      <c r="W6768" s="51" t="s">
        <v>7405</v>
      </c>
      <c r="X6768" s="51" t="s">
        <v>2359</v>
      </c>
    </row>
    <row r="6769" customFormat="false" ht="14.25" hidden="true" customHeight="false" outlineLevel="0" collapsed="false">
      <c r="A6769" s="49" t="s">
        <v>2349</v>
      </c>
      <c r="B6769" s="49" t="s">
        <v>2350</v>
      </c>
      <c r="C6769" s="49" t="s">
        <v>11497</v>
      </c>
      <c r="D6769" s="49" t="s">
        <v>2352</v>
      </c>
      <c r="E6769" s="49" t="s">
        <v>4351</v>
      </c>
      <c r="F6769" s="49" t="s">
        <v>4352</v>
      </c>
      <c r="G6769" s="49" t="n">
        <v>0</v>
      </c>
      <c r="H6769" s="0" t="n">
        <v>0</v>
      </c>
      <c r="M6769" s="51" t="s">
        <v>11485</v>
      </c>
      <c r="N6769" s="49" t="n">
        <v>0</v>
      </c>
      <c r="O6769" s="53" t="n">
        <v>45909.4734143519</v>
      </c>
      <c r="P6769" s="53" t="n">
        <v>45916.3971759259</v>
      </c>
      <c r="Q6769" s="53" t="n">
        <v>45909.4734143519</v>
      </c>
      <c r="R6769" s="0" t="n">
        <v>0</v>
      </c>
      <c r="S6769" s="51" t="s">
        <v>2356</v>
      </c>
      <c r="T6769" s="51" t="s">
        <v>2356</v>
      </c>
      <c r="U6769" s="51" t="s">
        <v>4351</v>
      </c>
      <c r="V6769" s="51" t="s">
        <v>2365</v>
      </c>
      <c r="W6769" s="51" t="s">
        <v>4126</v>
      </c>
      <c r="X6769" s="51" t="s">
        <v>2359</v>
      </c>
    </row>
    <row r="6770" customFormat="false" ht="14.25" hidden="true" customHeight="false" outlineLevel="0" collapsed="false">
      <c r="A6770" s="49" t="s">
        <v>2349</v>
      </c>
      <c r="B6770" s="49" t="s">
        <v>2350</v>
      </c>
      <c r="C6770" s="49" t="s">
        <v>11498</v>
      </c>
      <c r="D6770" s="49" t="s">
        <v>2352</v>
      </c>
      <c r="E6770" s="49" t="s">
        <v>4351</v>
      </c>
      <c r="F6770" s="49" t="s">
        <v>4352</v>
      </c>
      <c r="G6770" s="49" t="n">
        <v>0</v>
      </c>
      <c r="H6770" s="0" t="n">
        <v>0</v>
      </c>
      <c r="M6770" s="51" t="s">
        <v>11485</v>
      </c>
      <c r="N6770" s="49" t="n">
        <v>0</v>
      </c>
      <c r="O6770" s="53" t="n">
        <v>45909.4738657407</v>
      </c>
      <c r="P6770" s="53" t="n">
        <v>45920.4315972222</v>
      </c>
      <c r="Q6770" s="53" t="n">
        <v>45909.4738657407</v>
      </c>
      <c r="R6770" s="0" t="n">
        <v>0</v>
      </c>
      <c r="S6770" s="51" t="s">
        <v>2356</v>
      </c>
      <c r="T6770" s="51" t="s">
        <v>2356</v>
      </c>
      <c r="U6770" s="51" t="s">
        <v>4351</v>
      </c>
      <c r="V6770" s="51" t="s">
        <v>2365</v>
      </c>
      <c r="W6770" s="51" t="s">
        <v>3764</v>
      </c>
      <c r="X6770" s="51" t="s">
        <v>2359</v>
      </c>
    </row>
    <row r="6771" customFormat="false" ht="14.25" hidden="true" customHeight="false" outlineLevel="0" collapsed="false">
      <c r="A6771" s="49" t="s">
        <v>2349</v>
      </c>
      <c r="B6771" s="49" t="s">
        <v>2350</v>
      </c>
      <c r="C6771" s="49" t="s">
        <v>11499</v>
      </c>
      <c r="D6771" s="49" t="s">
        <v>2352</v>
      </c>
      <c r="E6771" s="49" t="s">
        <v>4351</v>
      </c>
      <c r="F6771" s="49" t="s">
        <v>4352</v>
      </c>
      <c r="G6771" s="49" t="n">
        <v>0</v>
      </c>
      <c r="H6771" s="0" t="n">
        <v>0</v>
      </c>
      <c r="M6771" s="51" t="s">
        <v>11485</v>
      </c>
      <c r="N6771" s="49" t="n">
        <v>0</v>
      </c>
      <c r="O6771" s="53" t="n">
        <v>45909.4745949074</v>
      </c>
      <c r="P6771" s="53" t="n">
        <v>45920.4320486111</v>
      </c>
      <c r="Q6771" s="53" t="n">
        <v>45909.4745949074</v>
      </c>
      <c r="R6771" s="0" t="n">
        <v>0</v>
      </c>
      <c r="S6771" s="51" t="s">
        <v>2356</v>
      </c>
      <c r="T6771" s="51" t="s">
        <v>2356</v>
      </c>
      <c r="U6771" s="51" t="s">
        <v>4351</v>
      </c>
      <c r="V6771" s="51" t="s">
        <v>2365</v>
      </c>
      <c r="W6771" s="51" t="s">
        <v>4611</v>
      </c>
      <c r="X6771" s="51" t="s">
        <v>2359</v>
      </c>
    </row>
    <row r="6772" customFormat="false" ht="14.25" hidden="true" customHeight="false" outlineLevel="0" collapsed="false">
      <c r="A6772" s="49" t="s">
        <v>2349</v>
      </c>
      <c r="B6772" s="49" t="s">
        <v>2350</v>
      </c>
      <c r="C6772" s="49" t="s">
        <v>11500</v>
      </c>
      <c r="D6772" s="49" t="s">
        <v>2352</v>
      </c>
      <c r="E6772" s="49" t="s">
        <v>4351</v>
      </c>
      <c r="F6772" s="49" t="s">
        <v>4352</v>
      </c>
      <c r="G6772" s="49" t="n">
        <v>0</v>
      </c>
      <c r="H6772" s="0" t="n">
        <v>0</v>
      </c>
      <c r="M6772" s="51" t="s">
        <v>11485</v>
      </c>
      <c r="N6772" s="49" t="n">
        <v>0</v>
      </c>
      <c r="O6772" s="53" t="n">
        <v>45909.4749421296</v>
      </c>
      <c r="P6772" s="53" t="n">
        <v>45920.4318634259</v>
      </c>
      <c r="Q6772" s="53" t="n">
        <v>45909.4749421296</v>
      </c>
      <c r="R6772" s="0" t="n">
        <v>0</v>
      </c>
      <c r="S6772" s="51" t="s">
        <v>2356</v>
      </c>
      <c r="T6772" s="51" t="s">
        <v>2356</v>
      </c>
      <c r="U6772" s="51" t="s">
        <v>4351</v>
      </c>
      <c r="V6772" s="51" t="s">
        <v>2365</v>
      </c>
      <c r="W6772" s="51" t="s">
        <v>4588</v>
      </c>
      <c r="X6772" s="51" t="s">
        <v>2359</v>
      </c>
    </row>
    <row r="6773" customFormat="false" ht="14.25" hidden="true" customHeight="false" outlineLevel="0" collapsed="false">
      <c r="A6773" s="49" t="s">
        <v>2349</v>
      </c>
      <c r="B6773" s="49" t="s">
        <v>2350</v>
      </c>
      <c r="C6773" s="49" t="s">
        <v>11501</v>
      </c>
      <c r="D6773" s="49" t="s">
        <v>2352</v>
      </c>
      <c r="E6773" s="49" t="s">
        <v>4351</v>
      </c>
      <c r="F6773" s="49" t="s">
        <v>4352</v>
      </c>
      <c r="G6773" s="49" t="n">
        <v>0</v>
      </c>
      <c r="H6773" s="0" t="n">
        <v>0</v>
      </c>
      <c r="M6773" s="51" t="s">
        <v>11485</v>
      </c>
      <c r="N6773" s="49" t="n">
        <v>0</v>
      </c>
      <c r="O6773" s="53" t="n">
        <v>45909.4752314815</v>
      </c>
      <c r="P6773" s="53" t="n">
        <v>45911.4613541667</v>
      </c>
      <c r="Q6773" s="53" t="n">
        <v>45909.4752314815</v>
      </c>
      <c r="R6773" s="0" t="n">
        <v>0</v>
      </c>
      <c r="S6773" s="51" t="s">
        <v>2356</v>
      </c>
      <c r="T6773" s="51" t="s">
        <v>2356</v>
      </c>
      <c r="U6773" s="51" t="s">
        <v>4351</v>
      </c>
      <c r="V6773" s="51" t="s">
        <v>2365</v>
      </c>
      <c r="W6773" s="51" t="s">
        <v>5917</v>
      </c>
      <c r="X6773" s="51" t="s">
        <v>2359</v>
      </c>
    </row>
    <row r="6774" customFormat="false" ht="14.25" hidden="true" customHeight="false" outlineLevel="0" collapsed="false">
      <c r="A6774" s="49" t="s">
        <v>2349</v>
      </c>
      <c r="B6774" s="49" t="s">
        <v>2350</v>
      </c>
      <c r="C6774" s="49" t="s">
        <v>11502</v>
      </c>
      <c r="D6774" s="49" t="s">
        <v>2352</v>
      </c>
      <c r="E6774" s="49" t="s">
        <v>4351</v>
      </c>
      <c r="F6774" s="49" t="s">
        <v>4352</v>
      </c>
      <c r="G6774" s="49" t="n">
        <v>0</v>
      </c>
      <c r="H6774" s="0" t="n">
        <v>0</v>
      </c>
      <c r="M6774" s="51" t="s">
        <v>11485</v>
      </c>
      <c r="N6774" s="49" t="n">
        <v>0</v>
      </c>
      <c r="O6774" s="53" t="n">
        <v>45909.4758449074</v>
      </c>
      <c r="P6774" s="53" t="n">
        <v>45920.4317361111</v>
      </c>
      <c r="Q6774" s="53" t="n">
        <v>45909.4758449074</v>
      </c>
      <c r="R6774" s="0" t="n">
        <v>0</v>
      </c>
      <c r="S6774" s="51" t="s">
        <v>2356</v>
      </c>
      <c r="T6774" s="51" t="s">
        <v>2356</v>
      </c>
      <c r="U6774" s="51" t="s">
        <v>4351</v>
      </c>
      <c r="V6774" s="51" t="s">
        <v>2365</v>
      </c>
      <c r="W6774" s="51" t="s">
        <v>4154</v>
      </c>
      <c r="X6774" s="51" t="s">
        <v>2359</v>
      </c>
    </row>
    <row r="6775" customFormat="false" ht="14.25" hidden="true" customHeight="false" outlineLevel="0" collapsed="false">
      <c r="A6775" s="49" t="s">
        <v>2349</v>
      </c>
      <c r="B6775" s="49" t="s">
        <v>2350</v>
      </c>
      <c r="C6775" s="49" t="s">
        <v>11503</v>
      </c>
      <c r="D6775" s="49" t="s">
        <v>2352</v>
      </c>
      <c r="E6775" s="49" t="s">
        <v>4351</v>
      </c>
      <c r="F6775" s="49" t="s">
        <v>4352</v>
      </c>
      <c r="G6775" s="49" t="n">
        <v>0</v>
      </c>
      <c r="H6775" s="0" t="n">
        <v>0</v>
      </c>
      <c r="M6775" s="51" t="s">
        <v>11485</v>
      </c>
      <c r="N6775" s="49" t="n">
        <v>0</v>
      </c>
      <c r="O6775" s="53" t="n">
        <v>45909.4761805556</v>
      </c>
      <c r="P6775" s="53" t="n">
        <v>45920.4322916667</v>
      </c>
      <c r="Q6775" s="53" t="n">
        <v>45909.4761805556</v>
      </c>
      <c r="R6775" s="0" t="n">
        <v>0</v>
      </c>
      <c r="S6775" s="51" t="s">
        <v>2356</v>
      </c>
      <c r="T6775" s="51" t="s">
        <v>2356</v>
      </c>
      <c r="U6775" s="51" t="s">
        <v>4351</v>
      </c>
      <c r="V6775" s="51" t="s">
        <v>2365</v>
      </c>
      <c r="W6775" s="51" t="s">
        <v>5744</v>
      </c>
      <c r="X6775" s="51" t="s">
        <v>2359</v>
      </c>
    </row>
    <row r="6776" customFormat="false" ht="14.25" hidden="true" customHeight="false" outlineLevel="0" collapsed="false">
      <c r="A6776" s="49" t="s">
        <v>2349</v>
      </c>
      <c r="B6776" s="49" t="s">
        <v>2350</v>
      </c>
      <c r="C6776" s="49" t="s">
        <v>11504</v>
      </c>
      <c r="D6776" s="49" t="s">
        <v>2352</v>
      </c>
      <c r="E6776" s="49" t="s">
        <v>4351</v>
      </c>
      <c r="F6776" s="49" t="s">
        <v>4352</v>
      </c>
      <c r="G6776" s="49" t="n">
        <v>0</v>
      </c>
      <c r="H6776" s="0" t="n">
        <v>0</v>
      </c>
      <c r="M6776" s="51" t="s">
        <v>11485</v>
      </c>
      <c r="N6776" s="49" t="n">
        <v>0</v>
      </c>
      <c r="O6776" s="53" t="n">
        <v>45909.476412037</v>
      </c>
      <c r="P6776" s="53" t="n">
        <v>45920.432662037</v>
      </c>
      <c r="Q6776" s="53" t="n">
        <v>45909.476412037</v>
      </c>
      <c r="R6776" s="0" t="n">
        <v>0</v>
      </c>
      <c r="S6776" s="51" t="s">
        <v>2356</v>
      </c>
      <c r="T6776" s="51" t="s">
        <v>2356</v>
      </c>
      <c r="U6776" s="51" t="s">
        <v>4351</v>
      </c>
      <c r="V6776" s="51" t="s">
        <v>2365</v>
      </c>
      <c r="W6776" s="51" t="s">
        <v>3696</v>
      </c>
      <c r="X6776" s="51" t="s">
        <v>2359</v>
      </c>
    </row>
    <row r="6777" customFormat="false" ht="14.25" hidden="true" customHeight="false" outlineLevel="0" collapsed="false">
      <c r="A6777" s="49" t="s">
        <v>2349</v>
      </c>
      <c r="B6777" s="49" t="s">
        <v>2350</v>
      </c>
      <c r="C6777" s="49" t="s">
        <v>11505</v>
      </c>
      <c r="D6777" s="49" t="s">
        <v>2352</v>
      </c>
      <c r="E6777" s="49" t="str">
        <f aca="false">"12464079"</f>
        <v>12464079</v>
      </c>
      <c r="F6777" s="49" t="s">
        <v>4706</v>
      </c>
      <c r="G6777" s="49" t="n">
        <v>0</v>
      </c>
      <c r="H6777" s="0" t="n">
        <v>0</v>
      </c>
      <c r="M6777" s="51" t="s">
        <v>11506</v>
      </c>
      <c r="N6777" s="49" t="n">
        <v>0</v>
      </c>
      <c r="O6777" s="53" t="n">
        <v>45930.6678125</v>
      </c>
      <c r="P6777" s="53" t="n">
        <v>45932.894849537</v>
      </c>
      <c r="Q6777" s="53" t="n">
        <v>45930.6678125</v>
      </c>
      <c r="R6777" s="0" t="n">
        <v>0</v>
      </c>
      <c r="S6777" s="51" t="s">
        <v>2436</v>
      </c>
      <c r="T6777" s="51" t="s">
        <v>2436</v>
      </c>
      <c r="U6777" s="0" t="str">
        <f aca="false">"12464079"</f>
        <v>12464079</v>
      </c>
      <c r="V6777" s="51" t="s">
        <v>2365</v>
      </c>
      <c r="W6777" s="51" t="s">
        <v>5958</v>
      </c>
      <c r="X6777" s="51" t="s">
        <v>2359</v>
      </c>
    </row>
    <row r="6778" customFormat="false" ht="14.25" hidden="true" customHeight="false" outlineLevel="0" collapsed="false">
      <c r="A6778" s="49" t="s">
        <v>2349</v>
      </c>
      <c r="B6778" s="49" t="s">
        <v>2350</v>
      </c>
      <c r="C6778" s="49" t="s">
        <v>11507</v>
      </c>
      <c r="D6778" s="49" t="s">
        <v>2352</v>
      </c>
      <c r="E6778" s="49" t="str">
        <f aca="false">"12520129"</f>
        <v>12520129</v>
      </c>
      <c r="F6778" s="49" t="s">
        <v>4870</v>
      </c>
      <c r="G6778" s="49" t="n">
        <v>0</v>
      </c>
      <c r="H6778" s="0" t="n">
        <v>0</v>
      </c>
      <c r="M6778" s="51" t="s">
        <v>11508</v>
      </c>
      <c r="N6778" s="49" t="n">
        <v>0</v>
      </c>
      <c r="O6778" s="53" t="n">
        <v>45899.5047916667</v>
      </c>
      <c r="P6778" s="53" t="n">
        <v>45915.8119212963</v>
      </c>
      <c r="Q6778" s="53" t="n">
        <v>45899.5047916667</v>
      </c>
      <c r="R6778" s="0" t="n">
        <v>0</v>
      </c>
      <c r="S6778" s="51" t="s">
        <v>2416</v>
      </c>
      <c r="T6778" s="51" t="s">
        <v>2416</v>
      </c>
      <c r="U6778" s="0" t="str">
        <f aca="false">"12520129"</f>
        <v>12520129</v>
      </c>
      <c r="V6778" s="51" t="s">
        <v>2365</v>
      </c>
      <c r="W6778" s="51" t="s">
        <v>5896</v>
      </c>
      <c r="X6778" s="51" t="s">
        <v>2359</v>
      </c>
    </row>
    <row r="6779" customFormat="false" ht="14.25" hidden="true" customHeight="false" outlineLevel="0" collapsed="false">
      <c r="A6779" s="49" t="s">
        <v>2349</v>
      </c>
      <c r="B6779" s="49" t="s">
        <v>2350</v>
      </c>
      <c r="C6779" s="49" t="s">
        <v>11509</v>
      </c>
      <c r="D6779" s="49" t="s">
        <v>2352</v>
      </c>
      <c r="E6779" s="49" t="str">
        <f aca="false">"12520141"</f>
        <v>12520141</v>
      </c>
      <c r="F6779" s="49" t="s">
        <v>11510</v>
      </c>
      <c r="G6779" s="49" t="n">
        <v>0</v>
      </c>
      <c r="H6779" s="0" t="n">
        <v>0</v>
      </c>
      <c r="M6779" s="51" t="s">
        <v>11511</v>
      </c>
      <c r="N6779" s="49" t="n">
        <v>0</v>
      </c>
      <c r="O6779" s="53" t="n">
        <v>45930.5265046296</v>
      </c>
      <c r="P6779" s="53" t="n">
        <v>45931.8995023148</v>
      </c>
      <c r="Q6779" s="53" t="n">
        <v>45930.5265046296</v>
      </c>
      <c r="R6779" s="0" t="n">
        <v>0</v>
      </c>
      <c r="S6779" s="51" t="s">
        <v>2416</v>
      </c>
      <c r="T6779" s="51" t="s">
        <v>2416</v>
      </c>
      <c r="U6779" s="0" t="str">
        <f aca="false">"12520141"</f>
        <v>12520141</v>
      </c>
      <c r="V6779" s="51" t="s">
        <v>2365</v>
      </c>
      <c r="W6779" s="51" t="s">
        <v>4254</v>
      </c>
      <c r="X6779" s="51" t="s">
        <v>2359</v>
      </c>
    </row>
    <row r="6780" customFormat="false" ht="14.25" hidden="true" customHeight="false" outlineLevel="0" collapsed="false">
      <c r="A6780" s="49" t="s">
        <v>2349</v>
      </c>
      <c r="B6780" s="49" t="s">
        <v>2350</v>
      </c>
      <c r="C6780" s="49" t="s">
        <v>11512</v>
      </c>
      <c r="D6780" s="49" t="s">
        <v>2352</v>
      </c>
      <c r="E6780" s="49" t="str">
        <f aca="false">"12520141"</f>
        <v>12520141</v>
      </c>
      <c r="F6780" s="49" t="s">
        <v>11510</v>
      </c>
      <c r="G6780" s="49" t="n">
        <v>0</v>
      </c>
      <c r="H6780" s="0" t="n">
        <v>0</v>
      </c>
      <c r="M6780" s="51" t="s">
        <v>11511</v>
      </c>
      <c r="N6780" s="49" t="n">
        <v>0</v>
      </c>
      <c r="O6780" s="53" t="n">
        <v>45930.526712963</v>
      </c>
      <c r="P6780" s="53" t="n">
        <v>45931.8252546296</v>
      </c>
      <c r="Q6780" s="53" t="n">
        <v>45930.526712963</v>
      </c>
      <c r="R6780" s="0" t="n">
        <v>0</v>
      </c>
      <c r="S6780" s="51" t="s">
        <v>2416</v>
      </c>
      <c r="T6780" s="51" t="s">
        <v>2416</v>
      </c>
      <c r="U6780" s="0" t="str">
        <f aca="false">"12520141"</f>
        <v>12520141</v>
      </c>
      <c r="V6780" s="51" t="s">
        <v>2365</v>
      </c>
      <c r="W6780" s="51" t="s">
        <v>11513</v>
      </c>
      <c r="X6780" s="51" t="s">
        <v>2359</v>
      </c>
    </row>
    <row r="6781" customFormat="false" ht="14.25" hidden="true" customHeight="false" outlineLevel="0" collapsed="false">
      <c r="A6781" s="49" t="s">
        <v>2349</v>
      </c>
      <c r="B6781" s="49" t="s">
        <v>2350</v>
      </c>
      <c r="C6781" s="49" t="s">
        <v>11514</v>
      </c>
      <c r="D6781" s="49" t="s">
        <v>2352</v>
      </c>
      <c r="E6781" s="49" t="str">
        <f aca="false">"12520141"</f>
        <v>12520141</v>
      </c>
      <c r="F6781" s="49" t="s">
        <v>11510</v>
      </c>
      <c r="G6781" s="49" t="n">
        <v>0</v>
      </c>
      <c r="H6781" s="0" t="n">
        <v>0</v>
      </c>
      <c r="M6781" s="51" t="s">
        <v>11511</v>
      </c>
      <c r="N6781" s="49" t="n">
        <v>0</v>
      </c>
      <c r="O6781" s="53" t="n">
        <v>45930.5270949074</v>
      </c>
      <c r="P6781" s="53" t="n">
        <v>45931.8274189815</v>
      </c>
      <c r="Q6781" s="53" t="n">
        <v>45930.5270949074</v>
      </c>
      <c r="R6781" s="0" t="n">
        <v>0</v>
      </c>
      <c r="S6781" s="51" t="s">
        <v>2416</v>
      </c>
      <c r="T6781" s="51" t="s">
        <v>2416</v>
      </c>
      <c r="U6781" s="0" t="str">
        <f aca="false">"12520141"</f>
        <v>12520141</v>
      </c>
      <c r="V6781" s="51" t="s">
        <v>2365</v>
      </c>
      <c r="W6781" s="51" t="s">
        <v>11515</v>
      </c>
      <c r="X6781" s="51" t="s">
        <v>2359</v>
      </c>
    </row>
    <row r="6782" customFormat="false" ht="14.25" hidden="true" customHeight="false" outlineLevel="0" collapsed="false">
      <c r="A6782" s="49" t="s">
        <v>2349</v>
      </c>
      <c r="B6782" s="49" t="s">
        <v>2350</v>
      </c>
      <c r="C6782" s="49" t="s">
        <v>11516</v>
      </c>
      <c r="D6782" s="49" t="s">
        <v>2352</v>
      </c>
      <c r="E6782" s="49" t="str">
        <f aca="false">"12520141"</f>
        <v>12520141</v>
      </c>
      <c r="F6782" s="49" t="s">
        <v>11510</v>
      </c>
      <c r="G6782" s="49" t="n">
        <v>0</v>
      </c>
      <c r="H6782" s="0" t="n">
        <v>0</v>
      </c>
      <c r="M6782" s="51" t="s">
        <v>11511</v>
      </c>
      <c r="N6782" s="49" t="n">
        <v>0</v>
      </c>
      <c r="O6782" s="53" t="n">
        <v>45930.5274189815</v>
      </c>
      <c r="P6782" s="53" t="n">
        <v>45931.830150463</v>
      </c>
      <c r="Q6782" s="53" t="n">
        <v>45930.5274189815</v>
      </c>
      <c r="R6782" s="0" t="n">
        <v>0</v>
      </c>
      <c r="S6782" s="51" t="s">
        <v>2416</v>
      </c>
      <c r="T6782" s="51" t="s">
        <v>2416</v>
      </c>
      <c r="U6782" s="0" t="str">
        <f aca="false">"12520141"</f>
        <v>12520141</v>
      </c>
      <c r="V6782" s="51" t="s">
        <v>2365</v>
      </c>
      <c r="W6782" s="51" t="s">
        <v>11517</v>
      </c>
      <c r="X6782" s="51" t="s">
        <v>2359</v>
      </c>
    </row>
    <row r="6783" customFormat="false" ht="14.25" hidden="true" customHeight="false" outlineLevel="0" collapsed="false">
      <c r="A6783" s="49" t="s">
        <v>2349</v>
      </c>
      <c r="B6783" s="49" t="s">
        <v>2350</v>
      </c>
      <c r="C6783" s="49" t="s">
        <v>11518</v>
      </c>
      <c r="D6783" s="49" t="s">
        <v>2352</v>
      </c>
      <c r="E6783" s="49" t="str">
        <f aca="false">"8493690104868"</f>
        <v>8493690104868</v>
      </c>
      <c r="F6783" s="49" t="s">
        <v>3822</v>
      </c>
      <c r="G6783" s="49" t="n">
        <v>0</v>
      </c>
      <c r="H6783" s="0" t="n">
        <v>0</v>
      </c>
      <c r="M6783" s="51" t="s">
        <v>11519</v>
      </c>
      <c r="N6783" s="49" t="n">
        <v>0</v>
      </c>
      <c r="O6783" s="53" t="n">
        <v>45930.5247453704</v>
      </c>
      <c r="P6783" s="53" t="n">
        <v>45931.8287268519</v>
      </c>
      <c r="Q6783" s="53" t="n">
        <v>45930.5247453704</v>
      </c>
      <c r="R6783" s="0" t="n">
        <v>0</v>
      </c>
      <c r="S6783" s="51" t="s">
        <v>2416</v>
      </c>
      <c r="T6783" s="51" t="s">
        <v>2416</v>
      </c>
      <c r="U6783" s="0" t="str">
        <f aca="false">"8493690104868"</f>
        <v>8493690104868</v>
      </c>
      <c r="V6783" s="51" t="s">
        <v>2142</v>
      </c>
      <c r="W6783" s="51" t="s">
        <v>10760</v>
      </c>
      <c r="X6783" s="51" t="s">
        <v>2359</v>
      </c>
    </row>
    <row r="6784" customFormat="false" ht="14.25" hidden="true" customHeight="false" outlineLevel="0" collapsed="false">
      <c r="A6784" s="49" t="s">
        <v>2349</v>
      </c>
      <c r="B6784" s="49" t="s">
        <v>2350</v>
      </c>
      <c r="C6784" s="49" t="s">
        <v>11520</v>
      </c>
      <c r="D6784" s="49" t="s">
        <v>2352</v>
      </c>
      <c r="E6784" s="49" t="str">
        <f aca="false">"10859585004074"</f>
        <v>10859585004074</v>
      </c>
      <c r="F6784" s="49" t="s">
        <v>7737</v>
      </c>
      <c r="G6784" s="49" t="n">
        <v>0</v>
      </c>
      <c r="H6784" s="0" t="n">
        <v>0</v>
      </c>
      <c r="M6784" s="51" t="s">
        <v>11521</v>
      </c>
      <c r="N6784" s="49" t="n">
        <v>0</v>
      </c>
      <c r="O6784" s="53" t="n">
        <v>45895.4803356482</v>
      </c>
      <c r="P6784" s="53" t="n">
        <v>45928.3950115741</v>
      </c>
      <c r="Q6784" s="53" t="n">
        <v>45895.4803356482</v>
      </c>
      <c r="R6784" s="0" t="n">
        <v>0</v>
      </c>
      <c r="S6784" s="51" t="s">
        <v>2383</v>
      </c>
      <c r="T6784" s="51" t="s">
        <v>2383</v>
      </c>
      <c r="U6784" s="0" t="str">
        <f aca="false">"10859585004074"</f>
        <v>10859585004074</v>
      </c>
      <c r="V6784" s="51" t="s">
        <v>7596</v>
      </c>
      <c r="W6784" s="51" t="s">
        <v>5382</v>
      </c>
      <c r="X6784" s="51" t="s">
        <v>2359</v>
      </c>
    </row>
    <row r="6785" customFormat="false" ht="14.25" hidden="true" customHeight="false" outlineLevel="0" collapsed="false">
      <c r="A6785" s="49" t="s">
        <v>2349</v>
      </c>
      <c r="B6785" s="49" t="s">
        <v>2350</v>
      </c>
      <c r="C6785" s="49" t="s">
        <v>11522</v>
      </c>
      <c r="D6785" s="49" t="s">
        <v>2352</v>
      </c>
      <c r="E6785" s="49" t="str">
        <f aca="false">"10859585004074"</f>
        <v>10859585004074</v>
      </c>
      <c r="F6785" s="49" t="s">
        <v>7737</v>
      </c>
      <c r="G6785" s="49" t="n">
        <v>0</v>
      </c>
      <c r="H6785" s="0" t="n">
        <v>0</v>
      </c>
      <c r="M6785" s="51" t="s">
        <v>11521</v>
      </c>
      <c r="N6785" s="49" t="n">
        <v>0</v>
      </c>
      <c r="O6785" s="53" t="n">
        <v>45895.4806597222</v>
      </c>
      <c r="P6785" s="53" t="n">
        <v>45928.3992361111</v>
      </c>
      <c r="Q6785" s="53" t="n">
        <v>45895.4806597222</v>
      </c>
      <c r="R6785" s="0" t="n">
        <v>0</v>
      </c>
      <c r="S6785" s="51" t="s">
        <v>2383</v>
      </c>
      <c r="T6785" s="51" t="s">
        <v>2383</v>
      </c>
      <c r="U6785" s="0" t="str">
        <f aca="false">"10859585004074"</f>
        <v>10859585004074</v>
      </c>
      <c r="V6785" s="51" t="s">
        <v>7596</v>
      </c>
      <c r="W6785" s="51" t="s">
        <v>5358</v>
      </c>
      <c r="X6785" s="51" t="s">
        <v>2359</v>
      </c>
    </row>
    <row r="6786" customFormat="false" ht="14.25" hidden="true" customHeight="false" outlineLevel="0" collapsed="false">
      <c r="A6786" s="49" t="s">
        <v>2349</v>
      </c>
      <c r="B6786" s="49" t="s">
        <v>2350</v>
      </c>
      <c r="C6786" s="49" t="s">
        <v>11523</v>
      </c>
      <c r="D6786" s="49" t="s">
        <v>2352</v>
      </c>
      <c r="E6786" s="49" t="str">
        <f aca="false">"10859585004074"</f>
        <v>10859585004074</v>
      </c>
      <c r="F6786" s="49" t="s">
        <v>7737</v>
      </c>
      <c r="G6786" s="49" t="n">
        <v>0</v>
      </c>
      <c r="H6786" s="0" t="n">
        <v>0</v>
      </c>
      <c r="M6786" s="51" t="s">
        <v>11521</v>
      </c>
      <c r="N6786" s="49" t="n">
        <v>0</v>
      </c>
      <c r="O6786" s="53" t="n">
        <v>45895.4800462963</v>
      </c>
      <c r="P6786" s="53" t="n">
        <v>45928.3922453704</v>
      </c>
      <c r="Q6786" s="53" t="n">
        <v>45895.4800462963</v>
      </c>
      <c r="R6786" s="0" t="n">
        <v>0</v>
      </c>
      <c r="S6786" s="51" t="s">
        <v>2383</v>
      </c>
      <c r="T6786" s="51" t="s">
        <v>2383</v>
      </c>
      <c r="U6786" s="0" t="str">
        <f aca="false">"10859585004074"</f>
        <v>10859585004074</v>
      </c>
      <c r="V6786" s="51" t="s">
        <v>7596</v>
      </c>
      <c r="W6786" s="51" t="s">
        <v>4728</v>
      </c>
      <c r="X6786" s="51" t="s">
        <v>2359</v>
      </c>
    </row>
    <row r="6787" customFormat="false" ht="14.25" hidden="true" customHeight="false" outlineLevel="0" collapsed="false">
      <c r="A6787" s="49" t="s">
        <v>2349</v>
      </c>
      <c r="B6787" s="49" t="s">
        <v>2350</v>
      </c>
      <c r="C6787" s="49" t="s">
        <v>11524</v>
      </c>
      <c r="D6787" s="49" t="s">
        <v>2352</v>
      </c>
      <c r="E6787" s="49" t="str">
        <f aca="false">"10859585004074"</f>
        <v>10859585004074</v>
      </c>
      <c r="F6787" s="49" t="s">
        <v>7737</v>
      </c>
      <c r="G6787" s="49" t="n">
        <v>0</v>
      </c>
      <c r="H6787" s="0" t="n">
        <v>0</v>
      </c>
      <c r="M6787" s="51" t="s">
        <v>11521</v>
      </c>
      <c r="N6787" s="49" t="n">
        <v>0</v>
      </c>
      <c r="O6787" s="53" t="n">
        <v>45895.4801851852</v>
      </c>
      <c r="P6787" s="53" t="n">
        <v>45928.393912037</v>
      </c>
      <c r="Q6787" s="53" t="n">
        <v>45895.4801851852</v>
      </c>
      <c r="R6787" s="0" t="n">
        <v>0</v>
      </c>
      <c r="S6787" s="51" t="s">
        <v>2383</v>
      </c>
      <c r="T6787" s="51" t="s">
        <v>2383</v>
      </c>
      <c r="U6787" s="0" t="str">
        <f aca="false">"10859585004074"</f>
        <v>10859585004074</v>
      </c>
      <c r="V6787" s="51" t="s">
        <v>7596</v>
      </c>
      <c r="W6787" s="51" t="s">
        <v>5377</v>
      </c>
      <c r="X6787" s="51" t="s">
        <v>2359</v>
      </c>
    </row>
    <row r="6788" customFormat="false" ht="14.25" hidden="true" customHeight="false" outlineLevel="0" collapsed="false">
      <c r="A6788" s="49" t="s">
        <v>2349</v>
      </c>
      <c r="B6788" s="49" t="s">
        <v>2350</v>
      </c>
      <c r="C6788" s="49" t="s">
        <v>11525</v>
      </c>
      <c r="D6788" s="49" t="s">
        <v>2352</v>
      </c>
      <c r="E6788" s="49" t="str">
        <f aca="false">"10859585004074"</f>
        <v>10859585004074</v>
      </c>
      <c r="F6788" s="49" t="s">
        <v>7737</v>
      </c>
      <c r="G6788" s="49" t="n">
        <v>0</v>
      </c>
      <c r="H6788" s="0" t="n">
        <v>0</v>
      </c>
      <c r="M6788" s="51" t="s">
        <v>11521</v>
      </c>
      <c r="N6788" s="49" t="n">
        <v>0</v>
      </c>
      <c r="O6788" s="53" t="n">
        <v>45895.4798842593</v>
      </c>
      <c r="P6788" s="53" t="n">
        <v>45928.3902083333</v>
      </c>
      <c r="Q6788" s="53" t="n">
        <v>45895.4798842593</v>
      </c>
      <c r="R6788" s="0" t="n">
        <v>0</v>
      </c>
      <c r="S6788" s="51" t="s">
        <v>2383</v>
      </c>
      <c r="T6788" s="51" t="s">
        <v>2383</v>
      </c>
      <c r="U6788" s="0" t="str">
        <f aca="false">"10859585004074"</f>
        <v>10859585004074</v>
      </c>
      <c r="V6788" s="51" t="s">
        <v>7596</v>
      </c>
      <c r="W6788" s="51" t="s">
        <v>11526</v>
      </c>
      <c r="X6788" s="51" t="s">
        <v>2359</v>
      </c>
    </row>
    <row r="6789" customFormat="false" ht="14.25" hidden="true" customHeight="false" outlineLevel="0" collapsed="false">
      <c r="A6789" s="49" t="s">
        <v>2349</v>
      </c>
      <c r="B6789" s="49" t="s">
        <v>2350</v>
      </c>
      <c r="C6789" s="49" t="s">
        <v>11527</v>
      </c>
      <c r="D6789" s="49" t="s">
        <v>2352</v>
      </c>
      <c r="E6789" s="49" t="str">
        <f aca="false">"10859585004074"</f>
        <v>10859585004074</v>
      </c>
      <c r="F6789" s="49" t="s">
        <v>7737</v>
      </c>
      <c r="G6789" s="49" t="n">
        <v>0</v>
      </c>
      <c r="H6789" s="0" t="n">
        <v>0</v>
      </c>
      <c r="M6789" s="51" t="s">
        <v>11521</v>
      </c>
      <c r="N6789" s="49" t="n">
        <v>0</v>
      </c>
      <c r="O6789" s="53" t="n">
        <v>45895.4809606482</v>
      </c>
      <c r="P6789" s="53" t="n">
        <v>45928.4014930556</v>
      </c>
      <c r="Q6789" s="53" t="n">
        <v>45895.4809606482</v>
      </c>
      <c r="R6789" s="0" t="n">
        <v>0</v>
      </c>
      <c r="S6789" s="51" t="s">
        <v>2383</v>
      </c>
      <c r="T6789" s="51" t="s">
        <v>2383</v>
      </c>
      <c r="U6789" s="0" t="str">
        <f aca="false">"10859585004074"</f>
        <v>10859585004074</v>
      </c>
      <c r="V6789" s="51" t="s">
        <v>7596</v>
      </c>
      <c r="W6789" s="51" t="s">
        <v>6170</v>
      </c>
      <c r="X6789" s="51" t="s">
        <v>2359</v>
      </c>
    </row>
    <row r="6790" customFormat="false" ht="14.25" hidden="true" customHeight="false" outlineLevel="0" collapsed="false">
      <c r="A6790" s="49" t="s">
        <v>2349</v>
      </c>
      <c r="B6790" s="49" t="s">
        <v>2350</v>
      </c>
      <c r="C6790" s="49" t="s">
        <v>11528</v>
      </c>
      <c r="D6790" s="49" t="s">
        <v>2352</v>
      </c>
      <c r="E6790" s="49" t="str">
        <f aca="false">"10859585004074"</f>
        <v>10859585004074</v>
      </c>
      <c r="F6790" s="49" t="s">
        <v>7737</v>
      </c>
      <c r="G6790" s="49" t="n">
        <v>0</v>
      </c>
      <c r="H6790" s="0" t="n">
        <v>0</v>
      </c>
      <c r="M6790" s="51" t="s">
        <v>11521</v>
      </c>
      <c r="N6790" s="49" t="n">
        <v>0</v>
      </c>
      <c r="O6790" s="53" t="n">
        <v>45895.486087963</v>
      </c>
      <c r="P6790" s="53" t="n">
        <v>45928.4117824074</v>
      </c>
      <c r="Q6790" s="53" t="n">
        <v>45895.486087963</v>
      </c>
      <c r="R6790" s="0" t="n">
        <v>0</v>
      </c>
      <c r="S6790" s="51" t="s">
        <v>2383</v>
      </c>
      <c r="T6790" s="51" t="s">
        <v>2383</v>
      </c>
      <c r="U6790" s="0" t="str">
        <f aca="false">"10859585004074"</f>
        <v>10859585004074</v>
      </c>
      <c r="V6790" s="51" t="s">
        <v>7596</v>
      </c>
      <c r="W6790" s="51" t="s">
        <v>10582</v>
      </c>
      <c r="X6790" s="51" t="s">
        <v>2359</v>
      </c>
    </row>
    <row r="6791" customFormat="false" ht="14.25" hidden="true" customHeight="false" outlineLevel="0" collapsed="false">
      <c r="A6791" s="49" t="s">
        <v>2349</v>
      </c>
      <c r="B6791" s="49" t="s">
        <v>2350</v>
      </c>
      <c r="C6791" s="49" t="s">
        <v>11529</v>
      </c>
      <c r="D6791" s="49" t="s">
        <v>2352</v>
      </c>
      <c r="E6791" s="49" t="str">
        <f aca="false">"10859585004074"</f>
        <v>10859585004074</v>
      </c>
      <c r="F6791" s="49" t="s">
        <v>7737</v>
      </c>
      <c r="G6791" s="49" t="n">
        <v>0</v>
      </c>
      <c r="H6791" s="0" t="n">
        <v>0</v>
      </c>
      <c r="M6791" s="51" t="s">
        <v>11521</v>
      </c>
      <c r="N6791" s="49" t="n">
        <v>0</v>
      </c>
      <c r="O6791" s="53" t="n">
        <v>45895.4859490741</v>
      </c>
      <c r="P6791" s="53" t="n">
        <v>45928.4133564815</v>
      </c>
      <c r="Q6791" s="53" t="n">
        <v>45895.4859490741</v>
      </c>
      <c r="R6791" s="0" t="n">
        <v>0</v>
      </c>
      <c r="S6791" s="51" t="s">
        <v>2383</v>
      </c>
      <c r="T6791" s="51" t="s">
        <v>2383</v>
      </c>
      <c r="U6791" s="0" t="str">
        <f aca="false">"10859585004074"</f>
        <v>10859585004074</v>
      </c>
      <c r="V6791" s="51" t="s">
        <v>7596</v>
      </c>
      <c r="W6791" s="51" t="s">
        <v>10594</v>
      </c>
      <c r="X6791" s="51" t="s">
        <v>2359</v>
      </c>
    </row>
    <row r="6792" customFormat="false" ht="14.25" hidden="true" customHeight="false" outlineLevel="0" collapsed="false">
      <c r="A6792" s="49" t="s">
        <v>2349</v>
      </c>
      <c r="B6792" s="49" t="s">
        <v>2350</v>
      </c>
      <c r="C6792" s="49" t="s">
        <v>11530</v>
      </c>
      <c r="D6792" s="49" t="s">
        <v>2352</v>
      </c>
      <c r="E6792" s="49" t="str">
        <f aca="false">"10859585004074"</f>
        <v>10859585004074</v>
      </c>
      <c r="F6792" s="49" t="s">
        <v>7737</v>
      </c>
      <c r="G6792" s="49" t="n">
        <v>0</v>
      </c>
      <c r="H6792" s="0" t="n">
        <v>0</v>
      </c>
      <c r="M6792" s="51" t="s">
        <v>11521</v>
      </c>
      <c r="N6792" s="49" t="n">
        <v>0</v>
      </c>
      <c r="O6792" s="53" t="n">
        <v>45895.4808333333</v>
      </c>
      <c r="P6792" s="53" t="n">
        <v>45928.4005555556</v>
      </c>
      <c r="Q6792" s="53" t="n">
        <v>45895.4808333333</v>
      </c>
      <c r="R6792" s="0" t="n">
        <v>0</v>
      </c>
      <c r="S6792" s="51" t="s">
        <v>2383</v>
      </c>
      <c r="T6792" s="51" t="s">
        <v>2383</v>
      </c>
      <c r="U6792" s="0" t="str">
        <f aca="false">"10859585004074"</f>
        <v>10859585004074</v>
      </c>
      <c r="V6792" s="51" t="s">
        <v>7596</v>
      </c>
      <c r="W6792" s="51" t="s">
        <v>11531</v>
      </c>
      <c r="X6792" s="51" t="s">
        <v>2359</v>
      </c>
    </row>
    <row r="6793" customFormat="false" ht="14.25" hidden="true" customHeight="false" outlineLevel="0" collapsed="false">
      <c r="A6793" s="49" t="s">
        <v>2349</v>
      </c>
      <c r="B6793" s="49" t="s">
        <v>2350</v>
      </c>
      <c r="C6793" s="49" t="s">
        <v>11532</v>
      </c>
      <c r="D6793" s="49" t="s">
        <v>2352</v>
      </c>
      <c r="E6793" s="49" t="str">
        <f aca="false">"10859585004074"</f>
        <v>10859585004074</v>
      </c>
      <c r="F6793" s="49" t="s">
        <v>7737</v>
      </c>
      <c r="G6793" s="49" t="n">
        <v>0</v>
      </c>
      <c r="H6793" s="0" t="n">
        <v>0</v>
      </c>
      <c r="M6793" s="51" t="s">
        <v>11521</v>
      </c>
      <c r="N6793" s="49" t="n">
        <v>0</v>
      </c>
      <c r="O6793" s="53" t="n">
        <v>45895.4857060185</v>
      </c>
      <c r="P6793" s="53" t="n">
        <v>45928.4113425926</v>
      </c>
      <c r="Q6793" s="53" t="n">
        <v>45895.4857060185</v>
      </c>
      <c r="R6793" s="0" t="n">
        <v>0</v>
      </c>
      <c r="S6793" s="51" t="s">
        <v>2383</v>
      </c>
      <c r="T6793" s="51" t="s">
        <v>2383</v>
      </c>
      <c r="U6793" s="0" t="str">
        <f aca="false">"10859585004074"</f>
        <v>10859585004074</v>
      </c>
      <c r="V6793" s="51" t="s">
        <v>7596</v>
      </c>
      <c r="W6793" s="51" t="s">
        <v>10942</v>
      </c>
      <c r="X6793" s="51" t="s">
        <v>2359</v>
      </c>
    </row>
    <row r="6794" customFormat="false" ht="14.25" hidden="true" customHeight="false" outlineLevel="0" collapsed="false">
      <c r="A6794" s="49" t="s">
        <v>2349</v>
      </c>
      <c r="B6794" s="49" t="s">
        <v>2350</v>
      </c>
      <c r="C6794" s="49" t="s">
        <v>11533</v>
      </c>
      <c r="D6794" s="49" t="s">
        <v>2352</v>
      </c>
      <c r="E6794" s="49" t="str">
        <f aca="false">"10859585004074"</f>
        <v>10859585004074</v>
      </c>
      <c r="F6794" s="49" t="s">
        <v>7737</v>
      </c>
      <c r="G6794" s="49" t="n">
        <v>0</v>
      </c>
      <c r="H6794" s="0" t="n">
        <v>0</v>
      </c>
      <c r="M6794" s="51" t="s">
        <v>11521</v>
      </c>
      <c r="N6794" s="49" t="n">
        <v>0</v>
      </c>
      <c r="O6794" s="53" t="n">
        <v>45895.4839351852</v>
      </c>
      <c r="P6794" s="53" t="n">
        <v>45928.3768171296</v>
      </c>
      <c r="Q6794" s="53" t="n">
        <v>45895.4839351852</v>
      </c>
      <c r="R6794" s="0" t="n">
        <v>0</v>
      </c>
      <c r="S6794" s="51" t="s">
        <v>2383</v>
      </c>
      <c r="T6794" s="51" t="s">
        <v>2383</v>
      </c>
      <c r="U6794" s="0" t="str">
        <f aca="false">"10859585004074"</f>
        <v>10859585004074</v>
      </c>
      <c r="V6794" s="51" t="s">
        <v>7596</v>
      </c>
      <c r="W6794" s="51" t="s">
        <v>6693</v>
      </c>
      <c r="X6794" s="51" t="s">
        <v>2359</v>
      </c>
    </row>
    <row r="6795" customFormat="false" ht="14.25" hidden="true" customHeight="false" outlineLevel="0" collapsed="false">
      <c r="A6795" s="49" t="s">
        <v>2349</v>
      </c>
      <c r="B6795" s="49" t="s">
        <v>2350</v>
      </c>
      <c r="C6795" s="49" t="s">
        <v>11534</v>
      </c>
      <c r="D6795" s="49" t="s">
        <v>2352</v>
      </c>
      <c r="E6795" s="49" t="str">
        <f aca="false">"10859585004074"</f>
        <v>10859585004074</v>
      </c>
      <c r="F6795" s="49" t="s">
        <v>7737</v>
      </c>
      <c r="G6795" s="49" t="n">
        <v>0</v>
      </c>
      <c r="H6795" s="0" t="n">
        <v>0</v>
      </c>
      <c r="M6795" s="51" t="s">
        <v>11521</v>
      </c>
      <c r="N6795" s="49" t="n">
        <v>0</v>
      </c>
      <c r="O6795" s="53" t="n">
        <v>45895.484525463</v>
      </c>
      <c r="P6795" s="53" t="n">
        <v>45928.3756944445</v>
      </c>
      <c r="Q6795" s="53" t="n">
        <v>45895.484525463</v>
      </c>
      <c r="R6795" s="0" t="n">
        <v>0</v>
      </c>
      <c r="S6795" s="51" t="s">
        <v>2383</v>
      </c>
      <c r="T6795" s="51" t="s">
        <v>2383</v>
      </c>
      <c r="U6795" s="0" t="str">
        <f aca="false">"10859585004074"</f>
        <v>10859585004074</v>
      </c>
      <c r="V6795" s="51" t="s">
        <v>7596</v>
      </c>
      <c r="W6795" s="51" t="s">
        <v>5861</v>
      </c>
      <c r="X6795" s="51" t="s">
        <v>2359</v>
      </c>
    </row>
    <row r="6796" customFormat="false" ht="14.25" hidden="true" customHeight="false" outlineLevel="0" collapsed="false">
      <c r="A6796" s="49" t="s">
        <v>2349</v>
      </c>
      <c r="B6796" s="49" t="s">
        <v>2350</v>
      </c>
      <c r="C6796" s="49" t="s">
        <v>11535</v>
      </c>
      <c r="D6796" s="49" t="s">
        <v>2352</v>
      </c>
      <c r="E6796" s="49" t="str">
        <f aca="false">"10859585004074"</f>
        <v>10859585004074</v>
      </c>
      <c r="F6796" s="49" t="s">
        <v>7737</v>
      </c>
      <c r="G6796" s="49" t="n">
        <v>0</v>
      </c>
      <c r="H6796" s="0" t="n">
        <v>0</v>
      </c>
      <c r="M6796" s="51" t="s">
        <v>11521</v>
      </c>
      <c r="N6796" s="49" t="n">
        <v>0</v>
      </c>
      <c r="O6796" s="53" t="n">
        <v>45895.483587963</v>
      </c>
      <c r="P6796" s="53" t="n">
        <v>45928.3706018519</v>
      </c>
      <c r="Q6796" s="53" t="n">
        <v>45895.483587963</v>
      </c>
      <c r="R6796" s="0" t="n">
        <v>0</v>
      </c>
      <c r="S6796" s="51" t="s">
        <v>2383</v>
      </c>
      <c r="T6796" s="51" t="s">
        <v>2383</v>
      </c>
      <c r="U6796" s="0" t="str">
        <f aca="false">"10859585004074"</f>
        <v>10859585004074</v>
      </c>
      <c r="V6796" s="51" t="s">
        <v>7596</v>
      </c>
      <c r="W6796" s="51" t="s">
        <v>11071</v>
      </c>
      <c r="X6796" s="51" t="s">
        <v>2359</v>
      </c>
    </row>
    <row r="6797" customFormat="false" ht="14.25" hidden="true" customHeight="false" outlineLevel="0" collapsed="false">
      <c r="A6797" s="49" t="s">
        <v>2349</v>
      </c>
      <c r="B6797" s="49" t="s">
        <v>2350</v>
      </c>
      <c r="C6797" s="49" t="s">
        <v>11536</v>
      </c>
      <c r="D6797" s="49" t="s">
        <v>2352</v>
      </c>
      <c r="E6797" s="49" t="str">
        <f aca="false">"10859585004074"</f>
        <v>10859585004074</v>
      </c>
      <c r="F6797" s="49" t="s">
        <v>7737</v>
      </c>
      <c r="G6797" s="49" t="n">
        <v>0</v>
      </c>
      <c r="H6797" s="0" t="n">
        <v>0</v>
      </c>
      <c r="M6797" s="51" t="s">
        <v>11521</v>
      </c>
      <c r="N6797" s="49" t="n">
        <v>0</v>
      </c>
      <c r="O6797" s="53" t="n">
        <v>45895.4846759259</v>
      </c>
      <c r="P6797" s="53" t="n">
        <v>45928.3732407407</v>
      </c>
      <c r="Q6797" s="53" t="n">
        <v>45895.4846759259</v>
      </c>
      <c r="R6797" s="0" t="n">
        <v>0</v>
      </c>
      <c r="S6797" s="51" t="s">
        <v>2383</v>
      </c>
      <c r="T6797" s="51" t="s">
        <v>2383</v>
      </c>
      <c r="U6797" s="0" t="str">
        <f aca="false">"10859585004074"</f>
        <v>10859585004074</v>
      </c>
      <c r="V6797" s="51" t="s">
        <v>7596</v>
      </c>
      <c r="W6797" s="51" t="s">
        <v>11330</v>
      </c>
      <c r="X6797" s="51" t="s">
        <v>2359</v>
      </c>
    </row>
    <row r="6798" customFormat="false" ht="14.25" hidden="true" customHeight="false" outlineLevel="0" collapsed="false">
      <c r="A6798" s="49" t="s">
        <v>2349</v>
      </c>
      <c r="B6798" s="49" t="s">
        <v>2350</v>
      </c>
      <c r="C6798" s="49" t="s">
        <v>11537</v>
      </c>
      <c r="D6798" s="49" t="s">
        <v>2352</v>
      </c>
      <c r="E6798" s="49" t="str">
        <f aca="false">"10859585004074"</f>
        <v>10859585004074</v>
      </c>
      <c r="F6798" s="49" t="s">
        <v>7737</v>
      </c>
      <c r="G6798" s="49" t="n">
        <v>0</v>
      </c>
      <c r="H6798" s="0" t="n">
        <v>0</v>
      </c>
      <c r="M6798" s="51" t="s">
        <v>11521</v>
      </c>
      <c r="N6798" s="49" t="n">
        <v>0</v>
      </c>
      <c r="O6798" s="53" t="n">
        <v>45895.4820486111</v>
      </c>
      <c r="P6798" s="53" t="n">
        <v>45928.3668402778</v>
      </c>
      <c r="Q6798" s="53" t="n">
        <v>45895.4820486111</v>
      </c>
      <c r="R6798" s="0" t="n">
        <v>0</v>
      </c>
      <c r="S6798" s="51" t="s">
        <v>2383</v>
      </c>
      <c r="T6798" s="51" t="s">
        <v>2383</v>
      </c>
      <c r="U6798" s="0" t="str">
        <f aca="false">"10859585004074"</f>
        <v>10859585004074</v>
      </c>
      <c r="V6798" s="51" t="s">
        <v>7596</v>
      </c>
      <c r="W6798" s="51" t="s">
        <v>5699</v>
      </c>
      <c r="X6798" s="51" t="s">
        <v>2359</v>
      </c>
    </row>
    <row r="6799" customFormat="false" ht="14.25" hidden="true" customHeight="false" outlineLevel="0" collapsed="false">
      <c r="A6799" s="49" t="s">
        <v>2349</v>
      </c>
      <c r="B6799" s="49" t="s">
        <v>2350</v>
      </c>
      <c r="C6799" s="49" t="s">
        <v>11538</v>
      </c>
      <c r="D6799" s="49" t="s">
        <v>2352</v>
      </c>
      <c r="E6799" s="49" t="str">
        <f aca="false">"10859585004074"</f>
        <v>10859585004074</v>
      </c>
      <c r="F6799" s="49" t="s">
        <v>7737</v>
      </c>
      <c r="G6799" s="49" t="n">
        <v>0</v>
      </c>
      <c r="H6799" s="0" t="n">
        <v>0</v>
      </c>
      <c r="M6799" s="51" t="s">
        <v>11521</v>
      </c>
      <c r="N6799" s="49" t="n">
        <v>0</v>
      </c>
      <c r="O6799" s="53" t="n">
        <v>45895.4812037037</v>
      </c>
      <c r="P6799" s="53" t="n">
        <v>45928.4030092593</v>
      </c>
      <c r="Q6799" s="53" t="n">
        <v>45895.4812037037</v>
      </c>
      <c r="R6799" s="0" t="n">
        <v>0</v>
      </c>
      <c r="S6799" s="51" t="s">
        <v>2383</v>
      </c>
      <c r="T6799" s="51" t="s">
        <v>2383</v>
      </c>
      <c r="U6799" s="0" t="str">
        <f aca="false">"10859585004074"</f>
        <v>10859585004074</v>
      </c>
      <c r="V6799" s="51" t="s">
        <v>7596</v>
      </c>
      <c r="W6799" s="51" t="s">
        <v>6046</v>
      </c>
      <c r="X6799" s="51" t="s">
        <v>2359</v>
      </c>
    </row>
    <row r="6800" customFormat="false" ht="14.25" hidden="true" customHeight="false" outlineLevel="0" collapsed="false">
      <c r="A6800" s="49" t="s">
        <v>2349</v>
      </c>
      <c r="B6800" s="49" t="s">
        <v>2350</v>
      </c>
      <c r="C6800" s="49" t="s">
        <v>11539</v>
      </c>
      <c r="D6800" s="49" t="s">
        <v>2352</v>
      </c>
      <c r="E6800" s="49" t="str">
        <f aca="false">"10859585004074"</f>
        <v>10859585004074</v>
      </c>
      <c r="F6800" s="49" t="s">
        <v>7737</v>
      </c>
      <c r="G6800" s="49" t="n">
        <v>0</v>
      </c>
      <c r="H6800" s="0" t="n">
        <v>0</v>
      </c>
      <c r="M6800" s="51" t="s">
        <v>11521</v>
      </c>
      <c r="N6800" s="49" t="n">
        <v>0</v>
      </c>
      <c r="O6800" s="53" t="n">
        <v>45895.4794212963</v>
      </c>
      <c r="P6800" s="53" t="n">
        <v>45928.3878356482</v>
      </c>
      <c r="Q6800" s="53" t="n">
        <v>45895.4794212963</v>
      </c>
      <c r="R6800" s="0" t="n">
        <v>0</v>
      </c>
      <c r="S6800" s="51" t="s">
        <v>2383</v>
      </c>
      <c r="T6800" s="51" t="s">
        <v>2383</v>
      </c>
      <c r="U6800" s="0" t="str">
        <f aca="false">"10859585004074"</f>
        <v>10859585004074</v>
      </c>
      <c r="V6800" s="51" t="s">
        <v>7596</v>
      </c>
      <c r="W6800" s="51" t="s">
        <v>5442</v>
      </c>
      <c r="X6800" s="51" t="s">
        <v>2359</v>
      </c>
    </row>
    <row r="6801" customFormat="false" ht="14.25" hidden="true" customHeight="false" outlineLevel="0" collapsed="false">
      <c r="A6801" s="49" t="s">
        <v>2349</v>
      </c>
      <c r="B6801" s="49" t="s">
        <v>2350</v>
      </c>
      <c r="C6801" s="49" t="s">
        <v>11540</v>
      </c>
      <c r="D6801" s="49" t="s">
        <v>2352</v>
      </c>
      <c r="E6801" s="49" t="str">
        <f aca="false">"10859585004074"</f>
        <v>10859585004074</v>
      </c>
      <c r="F6801" s="49" t="s">
        <v>7737</v>
      </c>
      <c r="G6801" s="49" t="n">
        <v>0</v>
      </c>
      <c r="H6801" s="0" t="n">
        <v>0</v>
      </c>
      <c r="M6801" s="51" t="s">
        <v>11521</v>
      </c>
      <c r="N6801" s="49" t="n">
        <v>0</v>
      </c>
      <c r="O6801" s="53" t="n">
        <v>45895.4815740741</v>
      </c>
      <c r="P6801" s="53" t="n">
        <v>45928.4059143519</v>
      </c>
      <c r="Q6801" s="53" t="n">
        <v>45895.4815740741</v>
      </c>
      <c r="R6801" s="0" t="n">
        <v>0</v>
      </c>
      <c r="S6801" s="51" t="s">
        <v>2383</v>
      </c>
      <c r="T6801" s="51" t="s">
        <v>2383</v>
      </c>
      <c r="U6801" s="0" t="str">
        <f aca="false">"10859585004074"</f>
        <v>10859585004074</v>
      </c>
      <c r="V6801" s="51" t="s">
        <v>7596</v>
      </c>
      <c r="W6801" s="51" t="s">
        <v>6419</v>
      </c>
      <c r="X6801" s="51" t="s">
        <v>2359</v>
      </c>
    </row>
    <row r="6802" customFormat="false" ht="14.25" hidden="true" customHeight="false" outlineLevel="0" collapsed="false">
      <c r="A6802" s="49" t="s">
        <v>2349</v>
      </c>
      <c r="B6802" s="49" t="s">
        <v>2350</v>
      </c>
      <c r="C6802" s="49" t="s">
        <v>11541</v>
      </c>
      <c r="D6802" s="49" t="s">
        <v>2352</v>
      </c>
      <c r="E6802" s="49" t="str">
        <f aca="false">"10859585004074"</f>
        <v>10859585004074</v>
      </c>
      <c r="F6802" s="49" t="s">
        <v>7737</v>
      </c>
      <c r="G6802" s="49" t="n">
        <v>0</v>
      </c>
      <c r="H6802" s="0" t="n">
        <v>0</v>
      </c>
      <c r="M6802" s="51" t="s">
        <v>11521</v>
      </c>
      <c r="N6802" s="49" t="n">
        <v>0</v>
      </c>
      <c r="O6802" s="53" t="n">
        <v>45895.4792824074</v>
      </c>
      <c r="P6802" s="53" t="n">
        <v>45928.3862847222</v>
      </c>
      <c r="Q6802" s="53" t="n">
        <v>45895.4792824074</v>
      </c>
      <c r="R6802" s="0" t="n">
        <v>0</v>
      </c>
      <c r="S6802" s="51" t="s">
        <v>2383</v>
      </c>
      <c r="T6802" s="51" t="s">
        <v>2383</v>
      </c>
      <c r="U6802" s="0" t="str">
        <f aca="false">"10859585004074"</f>
        <v>10859585004074</v>
      </c>
      <c r="V6802" s="51" t="s">
        <v>7596</v>
      </c>
      <c r="W6802" s="51" t="s">
        <v>4730</v>
      </c>
      <c r="X6802" s="51" t="s">
        <v>2359</v>
      </c>
    </row>
    <row r="6803" customFormat="false" ht="14.25" hidden="true" customHeight="false" outlineLevel="0" collapsed="false">
      <c r="A6803" s="49" t="s">
        <v>2349</v>
      </c>
      <c r="B6803" s="49" t="s">
        <v>2350</v>
      </c>
      <c r="C6803" s="49" t="s">
        <v>11542</v>
      </c>
      <c r="D6803" s="49" t="s">
        <v>2352</v>
      </c>
      <c r="E6803" s="49" t="str">
        <f aca="false">"10859585004074"</f>
        <v>10859585004074</v>
      </c>
      <c r="F6803" s="49" t="s">
        <v>7737</v>
      </c>
      <c r="G6803" s="49" t="n">
        <v>0</v>
      </c>
      <c r="H6803" s="0" t="n">
        <v>0</v>
      </c>
      <c r="M6803" s="51" t="s">
        <v>11521</v>
      </c>
      <c r="N6803" s="49" t="n">
        <v>0</v>
      </c>
      <c r="O6803" s="53" t="n">
        <v>45895.4795949074</v>
      </c>
      <c r="P6803" s="53" t="n">
        <v>45928.3894212963</v>
      </c>
      <c r="Q6803" s="53" t="n">
        <v>45895.4795949074</v>
      </c>
      <c r="R6803" s="0" t="n">
        <v>0</v>
      </c>
      <c r="S6803" s="51" t="s">
        <v>2383</v>
      </c>
      <c r="T6803" s="51" t="s">
        <v>2383</v>
      </c>
      <c r="U6803" s="0" t="str">
        <f aca="false">"10859585004074"</f>
        <v>10859585004074</v>
      </c>
      <c r="V6803" s="51" t="s">
        <v>7596</v>
      </c>
      <c r="W6803" s="51" t="s">
        <v>5440</v>
      </c>
      <c r="X6803" s="51" t="s">
        <v>2359</v>
      </c>
    </row>
    <row r="6804" customFormat="false" ht="14.25" hidden="true" customHeight="false" outlineLevel="0" collapsed="false">
      <c r="A6804" s="49" t="s">
        <v>2349</v>
      </c>
      <c r="B6804" s="49" t="s">
        <v>2350</v>
      </c>
      <c r="C6804" s="49" t="s">
        <v>11543</v>
      </c>
      <c r="D6804" s="49" t="s">
        <v>2352</v>
      </c>
      <c r="E6804" s="49" t="str">
        <f aca="false">"10859585004074"</f>
        <v>10859585004074</v>
      </c>
      <c r="F6804" s="49" t="s">
        <v>7737</v>
      </c>
      <c r="G6804" s="49" t="n">
        <v>0</v>
      </c>
      <c r="H6804" s="0" t="n">
        <v>0</v>
      </c>
      <c r="M6804" s="51" t="s">
        <v>11521</v>
      </c>
      <c r="N6804" s="49" t="n">
        <v>0</v>
      </c>
      <c r="O6804" s="53" t="n">
        <v>45895.4813657407</v>
      </c>
      <c r="P6804" s="53" t="n">
        <v>45928.4045138889</v>
      </c>
      <c r="Q6804" s="53" t="n">
        <v>45895.4813657407</v>
      </c>
      <c r="R6804" s="0" t="n">
        <v>0</v>
      </c>
      <c r="S6804" s="51" t="s">
        <v>2383</v>
      </c>
      <c r="T6804" s="51" t="s">
        <v>2383</v>
      </c>
      <c r="U6804" s="0" t="str">
        <f aca="false">"10859585004074"</f>
        <v>10859585004074</v>
      </c>
      <c r="V6804" s="51" t="s">
        <v>7596</v>
      </c>
      <c r="W6804" s="51" t="s">
        <v>11544</v>
      </c>
      <c r="X6804" s="51" t="s">
        <v>2359</v>
      </c>
    </row>
    <row r="6805" customFormat="false" ht="14.25" hidden="true" customHeight="false" outlineLevel="0" collapsed="false">
      <c r="A6805" s="49" t="s">
        <v>2349</v>
      </c>
      <c r="B6805" s="49" t="s">
        <v>2350</v>
      </c>
      <c r="C6805" s="49" t="s">
        <v>11545</v>
      </c>
      <c r="D6805" s="49" t="s">
        <v>2352</v>
      </c>
      <c r="E6805" s="49" t="str">
        <f aca="false">"10859585004074"</f>
        <v>10859585004074</v>
      </c>
      <c r="F6805" s="49" t="s">
        <v>7737</v>
      </c>
      <c r="G6805" s="49" t="n">
        <v>0</v>
      </c>
      <c r="H6805" s="0" t="n">
        <v>0</v>
      </c>
      <c r="M6805" s="51" t="s">
        <v>11521</v>
      </c>
      <c r="N6805" s="49" t="n">
        <v>0</v>
      </c>
      <c r="O6805" s="53" t="n">
        <v>45895.4810648148</v>
      </c>
      <c r="P6805" s="53" t="n">
        <v>45928.4026851852</v>
      </c>
      <c r="Q6805" s="53" t="n">
        <v>45895.4810648148</v>
      </c>
      <c r="R6805" s="0" t="n">
        <v>0</v>
      </c>
      <c r="S6805" s="51" t="s">
        <v>2383</v>
      </c>
      <c r="T6805" s="51" t="s">
        <v>2383</v>
      </c>
      <c r="U6805" s="0" t="str">
        <f aca="false">"10859585004074"</f>
        <v>10859585004074</v>
      </c>
      <c r="V6805" s="51" t="s">
        <v>7596</v>
      </c>
      <c r="W6805" s="51" t="s">
        <v>11546</v>
      </c>
      <c r="X6805" s="51" t="s">
        <v>2359</v>
      </c>
    </row>
    <row r="6806" customFormat="false" ht="14.25" hidden="true" customHeight="false" outlineLevel="0" collapsed="false">
      <c r="A6806" s="49" t="s">
        <v>2349</v>
      </c>
      <c r="B6806" s="49" t="s">
        <v>2350</v>
      </c>
      <c r="C6806" s="49" t="s">
        <v>11547</v>
      </c>
      <c r="D6806" s="49" t="s">
        <v>2352</v>
      </c>
      <c r="E6806" s="49" t="str">
        <f aca="false">"10859585004074"</f>
        <v>10859585004074</v>
      </c>
      <c r="F6806" s="49" t="s">
        <v>7737</v>
      </c>
      <c r="G6806" s="49" t="n">
        <v>0</v>
      </c>
      <c r="H6806" s="0" t="n">
        <v>0</v>
      </c>
      <c r="M6806" s="51" t="s">
        <v>11521</v>
      </c>
      <c r="N6806" s="49" t="n">
        <v>0</v>
      </c>
      <c r="O6806" s="53" t="n">
        <v>45895.4862615741</v>
      </c>
      <c r="P6806" s="53" t="n">
        <v>45928.3776388889</v>
      </c>
      <c r="Q6806" s="53" t="n">
        <v>45895.4862615741</v>
      </c>
      <c r="R6806" s="0" t="n">
        <v>0</v>
      </c>
      <c r="S6806" s="51" t="s">
        <v>2383</v>
      </c>
      <c r="T6806" s="51" t="s">
        <v>2383</v>
      </c>
      <c r="U6806" s="0" t="str">
        <f aca="false">"10859585004074"</f>
        <v>10859585004074</v>
      </c>
      <c r="V6806" s="51" t="s">
        <v>7596</v>
      </c>
      <c r="W6806" s="51" t="s">
        <v>7346</v>
      </c>
      <c r="X6806" s="51" t="s">
        <v>2359</v>
      </c>
    </row>
    <row r="6807" customFormat="false" ht="14.25" hidden="true" customHeight="false" outlineLevel="0" collapsed="false">
      <c r="A6807" s="49" t="s">
        <v>2349</v>
      </c>
      <c r="B6807" s="49" t="s">
        <v>2350</v>
      </c>
      <c r="C6807" s="49" t="s">
        <v>11548</v>
      </c>
      <c r="D6807" s="49" t="s">
        <v>2352</v>
      </c>
      <c r="E6807" s="49" t="str">
        <f aca="false">"10859585004074"</f>
        <v>10859585004074</v>
      </c>
      <c r="F6807" s="49" t="s">
        <v>7737</v>
      </c>
      <c r="G6807" s="49" t="n">
        <v>0</v>
      </c>
      <c r="H6807" s="0" t="n">
        <v>0</v>
      </c>
      <c r="M6807" s="51" t="s">
        <v>11521</v>
      </c>
      <c r="N6807" s="49" t="n">
        <v>0</v>
      </c>
      <c r="O6807" s="53" t="n">
        <v>45895.4861689815</v>
      </c>
      <c r="P6807" s="53" t="n">
        <v>45928.4146412037</v>
      </c>
      <c r="Q6807" s="53" t="n">
        <v>45895.4861689815</v>
      </c>
      <c r="R6807" s="0" t="n">
        <v>0</v>
      </c>
      <c r="S6807" s="51" t="s">
        <v>2383</v>
      </c>
      <c r="T6807" s="51" t="s">
        <v>2383</v>
      </c>
      <c r="U6807" s="0" t="str">
        <f aca="false">"10859585004074"</f>
        <v>10859585004074</v>
      </c>
      <c r="V6807" s="51" t="s">
        <v>7596</v>
      </c>
      <c r="W6807" s="51" t="s">
        <v>4840</v>
      </c>
      <c r="X6807" s="51" t="s">
        <v>2359</v>
      </c>
    </row>
    <row r="6808" customFormat="false" ht="14.25" hidden="true" customHeight="false" outlineLevel="0" collapsed="false">
      <c r="A6808" s="49" t="s">
        <v>2349</v>
      </c>
      <c r="B6808" s="49" t="s">
        <v>2350</v>
      </c>
      <c r="C6808" s="49" t="s">
        <v>11549</v>
      </c>
      <c r="D6808" s="49" t="s">
        <v>2352</v>
      </c>
      <c r="E6808" s="49" t="str">
        <f aca="false">"10859585004074"</f>
        <v>10859585004074</v>
      </c>
      <c r="F6808" s="49" t="s">
        <v>7737</v>
      </c>
      <c r="G6808" s="49" t="n">
        <v>0</v>
      </c>
      <c r="H6808" s="0" t="n">
        <v>0</v>
      </c>
      <c r="M6808" s="51" t="s">
        <v>11521</v>
      </c>
      <c r="N6808" s="49" t="n">
        <v>0</v>
      </c>
      <c r="O6808" s="53" t="n">
        <v>45895.4853125</v>
      </c>
      <c r="P6808" s="53" t="n">
        <v>45928.3682523148</v>
      </c>
      <c r="Q6808" s="53" t="n">
        <v>45895.4853125</v>
      </c>
      <c r="R6808" s="0" t="n">
        <v>0</v>
      </c>
      <c r="S6808" s="51" t="s">
        <v>2383</v>
      </c>
      <c r="T6808" s="51" t="s">
        <v>2383</v>
      </c>
      <c r="U6808" s="0" t="str">
        <f aca="false">"10859585004074"</f>
        <v>10859585004074</v>
      </c>
      <c r="V6808" s="51" t="s">
        <v>7596</v>
      </c>
      <c r="W6808" s="51" t="s">
        <v>11115</v>
      </c>
      <c r="X6808" s="51" t="s">
        <v>2359</v>
      </c>
    </row>
    <row r="6809" customFormat="false" ht="14.25" hidden="true" customHeight="false" outlineLevel="0" collapsed="false">
      <c r="A6809" s="49" t="s">
        <v>2349</v>
      </c>
      <c r="B6809" s="49" t="s">
        <v>2350</v>
      </c>
      <c r="C6809" s="49" t="s">
        <v>11550</v>
      </c>
      <c r="D6809" s="49" t="s">
        <v>2352</v>
      </c>
      <c r="E6809" s="49" t="str">
        <f aca="false">"10859585004074"</f>
        <v>10859585004074</v>
      </c>
      <c r="F6809" s="49" t="s">
        <v>7737</v>
      </c>
      <c r="G6809" s="49" t="n">
        <v>0</v>
      </c>
      <c r="H6809" s="0" t="n">
        <v>0</v>
      </c>
      <c r="M6809" s="51" t="s">
        <v>11521</v>
      </c>
      <c r="N6809" s="49" t="n">
        <v>0</v>
      </c>
      <c r="O6809" s="53" t="n">
        <v>45895.4804976852</v>
      </c>
      <c r="P6809" s="53" t="n">
        <v>45928.3979398148</v>
      </c>
      <c r="Q6809" s="53" t="n">
        <v>45895.4804976852</v>
      </c>
      <c r="R6809" s="0" t="n">
        <v>0</v>
      </c>
      <c r="S6809" s="51" t="s">
        <v>2383</v>
      </c>
      <c r="T6809" s="51" t="s">
        <v>2383</v>
      </c>
      <c r="U6809" s="0" t="str">
        <f aca="false">"10859585004074"</f>
        <v>10859585004074</v>
      </c>
      <c r="V6809" s="51" t="s">
        <v>7596</v>
      </c>
      <c r="W6809" s="51" t="s">
        <v>6168</v>
      </c>
      <c r="X6809" s="51" t="s">
        <v>2359</v>
      </c>
    </row>
    <row r="6810" customFormat="false" ht="14.25" hidden="true" customHeight="false" outlineLevel="0" collapsed="false">
      <c r="A6810" s="49" t="s">
        <v>2349</v>
      </c>
      <c r="B6810" s="49" t="s">
        <v>2350</v>
      </c>
      <c r="C6810" s="49" t="s">
        <v>11551</v>
      </c>
      <c r="D6810" s="49" t="s">
        <v>2352</v>
      </c>
      <c r="E6810" s="49" t="str">
        <f aca="false">"10859585004074"</f>
        <v>10859585004074</v>
      </c>
      <c r="F6810" s="49" t="s">
        <v>7737</v>
      </c>
      <c r="G6810" s="49" t="n">
        <v>0</v>
      </c>
      <c r="H6810" s="0" t="n">
        <v>0</v>
      </c>
      <c r="M6810" s="51" t="s">
        <v>11521</v>
      </c>
      <c r="N6810" s="49" t="n">
        <v>0</v>
      </c>
      <c r="O6810" s="53" t="n">
        <v>45895.4892013889</v>
      </c>
      <c r="P6810" s="53" t="n">
        <v>45928.3649189815</v>
      </c>
      <c r="Q6810" s="53" t="n">
        <v>45895.4892013889</v>
      </c>
      <c r="R6810" s="0" t="n">
        <v>0</v>
      </c>
      <c r="S6810" s="51" t="s">
        <v>2383</v>
      </c>
      <c r="T6810" s="51" t="s">
        <v>2383</v>
      </c>
      <c r="U6810" s="0" t="str">
        <f aca="false">"10859585004074"</f>
        <v>10859585004074</v>
      </c>
      <c r="V6810" s="51" t="s">
        <v>7596</v>
      </c>
      <c r="W6810" s="51" t="s">
        <v>6681</v>
      </c>
      <c r="X6810" s="51" t="s">
        <v>2359</v>
      </c>
    </row>
    <row r="6811" customFormat="false" ht="14.25" hidden="true" customHeight="false" outlineLevel="0" collapsed="false">
      <c r="A6811" s="49" t="s">
        <v>2349</v>
      </c>
      <c r="B6811" s="49" t="s">
        <v>2350</v>
      </c>
      <c r="C6811" s="49" t="s">
        <v>11552</v>
      </c>
      <c r="D6811" s="49" t="s">
        <v>2352</v>
      </c>
      <c r="E6811" s="49" t="str">
        <f aca="false">"10859585004074"</f>
        <v>10859585004074</v>
      </c>
      <c r="F6811" s="49" t="s">
        <v>7737</v>
      </c>
      <c r="G6811" s="49" t="n">
        <v>0</v>
      </c>
      <c r="H6811" s="0" t="n">
        <v>0</v>
      </c>
      <c r="M6811" s="51" t="s">
        <v>11521</v>
      </c>
      <c r="N6811" s="49" t="n">
        <v>0</v>
      </c>
      <c r="O6811" s="53" t="n">
        <v>45895.4817013889</v>
      </c>
      <c r="P6811" s="53" t="n">
        <v>45928.4060532407</v>
      </c>
      <c r="Q6811" s="53" t="n">
        <v>45895.4817013889</v>
      </c>
      <c r="R6811" s="0" t="n">
        <v>0</v>
      </c>
      <c r="S6811" s="51" t="s">
        <v>2383</v>
      </c>
      <c r="T6811" s="51" t="s">
        <v>2383</v>
      </c>
      <c r="U6811" s="0" t="str">
        <f aca="false">"10859585004074"</f>
        <v>10859585004074</v>
      </c>
      <c r="V6811" s="51" t="s">
        <v>7596</v>
      </c>
      <c r="W6811" s="51" t="s">
        <v>6421</v>
      </c>
      <c r="X6811" s="51" t="s">
        <v>2359</v>
      </c>
    </row>
    <row r="6812" customFormat="false" ht="14.25" hidden="true" customHeight="false" outlineLevel="0" collapsed="false">
      <c r="A6812" s="49" t="s">
        <v>2349</v>
      </c>
      <c r="B6812" s="49" t="s">
        <v>2350</v>
      </c>
      <c r="C6812" s="49" t="s">
        <v>11553</v>
      </c>
      <c r="D6812" s="49" t="s">
        <v>2352</v>
      </c>
      <c r="E6812" s="49" t="str">
        <f aca="false">"10859585004074"</f>
        <v>10859585004074</v>
      </c>
      <c r="F6812" s="49" t="s">
        <v>7737</v>
      </c>
      <c r="G6812" s="49" t="n">
        <v>0</v>
      </c>
      <c r="H6812" s="0" t="n">
        <v>0</v>
      </c>
      <c r="M6812" s="51" t="s">
        <v>11521</v>
      </c>
      <c r="N6812" s="49" t="n">
        <v>0</v>
      </c>
      <c r="O6812" s="53" t="n">
        <v>45895.4892939815</v>
      </c>
      <c r="P6812" s="53" t="n">
        <v>45928.3661111111</v>
      </c>
      <c r="Q6812" s="53" t="n">
        <v>45895.4892939815</v>
      </c>
      <c r="R6812" s="0" t="n">
        <v>0</v>
      </c>
      <c r="S6812" s="51" t="s">
        <v>2383</v>
      </c>
      <c r="T6812" s="51" t="s">
        <v>2383</v>
      </c>
      <c r="U6812" s="0" t="str">
        <f aca="false">"10859585004074"</f>
        <v>10859585004074</v>
      </c>
      <c r="V6812" s="51" t="s">
        <v>7596</v>
      </c>
      <c r="W6812" s="51" t="s">
        <v>5958</v>
      </c>
      <c r="X6812" s="51" t="s">
        <v>2359</v>
      </c>
    </row>
    <row r="6813" customFormat="false" ht="14.25" hidden="true" customHeight="false" outlineLevel="0" collapsed="false">
      <c r="A6813" s="49" t="s">
        <v>2349</v>
      </c>
      <c r="B6813" s="49" t="s">
        <v>2350</v>
      </c>
      <c r="C6813" s="49" t="s">
        <v>11554</v>
      </c>
      <c r="D6813" s="49" t="s">
        <v>2352</v>
      </c>
      <c r="E6813" s="49" t="str">
        <f aca="false">"10859585004074"</f>
        <v>10859585004074</v>
      </c>
      <c r="F6813" s="49" t="s">
        <v>7737</v>
      </c>
      <c r="G6813" s="49" t="n">
        <v>0</v>
      </c>
      <c r="H6813" s="0" t="n">
        <v>0</v>
      </c>
      <c r="M6813" s="51" t="s">
        <v>11521</v>
      </c>
      <c r="N6813" s="49" t="n">
        <v>0</v>
      </c>
      <c r="O6813" s="53" t="n">
        <v>45895.4847916667</v>
      </c>
      <c r="P6813" s="53" t="n">
        <v>45928.3728356482</v>
      </c>
      <c r="Q6813" s="53" t="n">
        <v>45895.4847916667</v>
      </c>
      <c r="R6813" s="0" t="n">
        <v>0</v>
      </c>
      <c r="S6813" s="51" t="s">
        <v>2383</v>
      </c>
      <c r="T6813" s="51" t="s">
        <v>2383</v>
      </c>
      <c r="U6813" s="0" t="str">
        <f aca="false">"10859585004074"</f>
        <v>10859585004074</v>
      </c>
      <c r="V6813" s="51" t="s">
        <v>7596</v>
      </c>
      <c r="W6813" s="51" t="s">
        <v>5713</v>
      </c>
      <c r="X6813" s="51" t="s">
        <v>2359</v>
      </c>
    </row>
    <row r="6814" customFormat="false" ht="14.25" hidden="true" customHeight="false" outlineLevel="0" collapsed="false">
      <c r="A6814" s="49" t="s">
        <v>2349</v>
      </c>
      <c r="B6814" s="49" t="s">
        <v>2350</v>
      </c>
      <c r="C6814" s="49" t="s">
        <v>11555</v>
      </c>
      <c r="D6814" s="49" t="s">
        <v>2352</v>
      </c>
      <c r="E6814" s="49" t="str">
        <f aca="false">"10859585004074"</f>
        <v>10859585004074</v>
      </c>
      <c r="F6814" s="49" t="s">
        <v>7737</v>
      </c>
      <c r="G6814" s="49" t="n">
        <v>0</v>
      </c>
      <c r="H6814" s="0" t="n">
        <v>0</v>
      </c>
      <c r="M6814" s="51" t="s">
        <v>11521</v>
      </c>
      <c r="N6814" s="49" t="n">
        <v>0</v>
      </c>
      <c r="O6814" s="53" t="n">
        <v>45895.4837962963</v>
      </c>
      <c r="P6814" s="53" t="n">
        <v>45928.3718287037</v>
      </c>
      <c r="Q6814" s="53" t="n">
        <v>45895.4837962963</v>
      </c>
      <c r="R6814" s="0" t="n">
        <v>0</v>
      </c>
      <c r="S6814" s="51" t="s">
        <v>2383</v>
      </c>
      <c r="T6814" s="51" t="s">
        <v>2383</v>
      </c>
      <c r="U6814" s="0" t="str">
        <f aca="false">"10859585004074"</f>
        <v>10859585004074</v>
      </c>
      <c r="V6814" s="51" t="s">
        <v>7596</v>
      </c>
      <c r="W6814" s="51" t="s">
        <v>11073</v>
      </c>
      <c r="X6814" s="51" t="s">
        <v>2359</v>
      </c>
    </row>
    <row r="6815" customFormat="false" ht="14.25" hidden="true" customHeight="false" outlineLevel="0" collapsed="false">
      <c r="A6815" s="49" t="s">
        <v>2349</v>
      </c>
      <c r="B6815" s="49" t="s">
        <v>2350</v>
      </c>
      <c r="C6815" s="49" t="s">
        <v>11556</v>
      </c>
      <c r="D6815" s="49" t="s">
        <v>2352</v>
      </c>
      <c r="E6815" s="49" t="str">
        <f aca="false">"10859585004074"</f>
        <v>10859585004074</v>
      </c>
      <c r="F6815" s="49" t="s">
        <v>7737</v>
      </c>
      <c r="G6815" s="49" t="n">
        <v>0</v>
      </c>
      <c r="H6815" s="0" t="n">
        <v>0</v>
      </c>
      <c r="M6815" s="51" t="s">
        <v>11521</v>
      </c>
      <c r="N6815" s="49" t="n">
        <v>0</v>
      </c>
      <c r="O6815" s="53" t="n">
        <v>45895.4778819445</v>
      </c>
      <c r="P6815" s="53" t="n">
        <v>45928.3820949074</v>
      </c>
      <c r="Q6815" s="53" t="n">
        <v>45895.4778819445</v>
      </c>
      <c r="R6815" s="0" t="n">
        <v>0</v>
      </c>
      <c r="S6815" s="51" t="s">
        <v>2383</v>
      </c>
      <c r="T6815" s="51" t="s">
        <v>2383</v>
      </c>
      <c r="U6815" s="0" t="str">
        <f aca="false">"10859585004074"</f>
        <v>10859585004074</v>
      </c>
      <c r="V6815" s="51" t="s">
        <v>7596</v>
      </c>
      <c r="W6815" s="51" t="s">
        <v>6033</v>
      </c>
      <c r="X6815" s="51" t="s">
        <v>2359</v>
      </c>
    </row>
    <row r="6816" customFormat="false" ht="14.25" hidden="true" customHeight="false" outlineLevel="0" collapsed="false">
      <c r="A6816" s="49" t="s">
        <v>2349</v>
      </c>
      <c r="B6816" s="49" t="s">
        <v>2350</v>
      </c>
      <c r="C6816" s="49" t="s">
        <v>11557</v>
      </c>
      <c r="D6816" s="49" t="s">
        <v>2352</v>
      </c>
      <c r="E6816" s="49" t="str">
        <f aca="false">"10859585004074"</f>
        <v>10859585004074</v>
      </c>
      <c r="F6816" s="49" t="s">
        <v>7737</v>
      </c>
      <c r="G6816" s="49" t="n">
        <v>0</v>
      </c>
      <c r="H6816" s="0" t="n">
        <v>0</v>
      </c>
      <c r="M6816" s="51" t="s">
        <v>11521</v>
      </c>
      <c r="N6816" s="49" t="n">
        <v>0</v>
      </c>
      <c r="O6816" s="53" t="n">
        <v>45895.4814699074</v>
      </c>
      <c r="P6816" s="53" t="n">
        <v>45928.404837963</v>
      </c>
      <c r="Q6816" s="53" t="n">
        <v>45895.4814699074</v>
      </c>
      <c r="R6816" s="0" t="n">
        <v>0</v>
      </c>
      <c r="S6816" s="51" t="s">
        <v>2383</v>
      </c>
      <c r="T6816" s="51" t="s">
        <v>2383</v>
      </c>
      <c r="U6816" s="0" t="str">
        <f aca="false">"10859585004074"</f>
        <v>10859585004074</v>
      </c>
      <c r="V6816" s="51" t="s">
        <v>7596</v>
      </c>
      <c r="W6816" s="51" t="s">
        <v>11558</v>
      </c>
      <c r="X6816" s="51" t="s">
        <v>2359</v>
      </c>
    </row>
    <row r="6817" customFormat="false" ht="14.25" hidden="true" customHeight="false" outlineLevel="0" collapsed="false">
      <c r="A6817" s="49" t="s">
        <v>2349</v>
      </c>
      <c r="B6817" s="49" t="s">
        <v>2350</v>
      </c>
      <c r="C6817" s="49" t="s">
        <v>11559</v>
      </c>
      <c r="D6817" s="49" t="s">
        <v>2352</v>
      </c>
      <c r="E6817" s="49" t="str">
        <f aca="false">"10859585004074"</f>
        <v>10859585004074</v>
      </c>
      <c r="F6817" s="49" t="s">
        <v>7737</v>
      </c>
      <c r="G6817" s="49" t="n">
        <v>0</v>
      </c>
      <c r="H6817" s="0" t="n">
        <v>0</v>
      </c>
      <c r="M6817" s="51" t="s">
        <v>11521</v>
      </c>
      <c r="N6817" s="49" t="n">
        <v>0</v>
      </c>
      <c r="O6817" s="53" t="n">
        <v>45895.4848958333</v>
      </c>
      <c r="P6817" s="53" t="n">
        <v>45928.3693287037</v>
      </c>
      <c r="Q6817" s="53" t="n">
        <v>45895.4848958333</v>
      </c>
      <c r="R6817" s="0" t="n">
        <v>0</v>
      </c>
      <c r="S6817" s="51" t="s">
        <v>2383</v>
      </c>
      <c r="T6817" s="51" t="s">
        <v>2383</v>
      </c>
      <c r="U6817" s="0" t="str">
        <f aca="false">"10859585004074"</f>
        <v>10859585004074</v>
      </c>
      <c r="V6817" s="51" t="s">
        <v>7596</v>
      </c>
      <c r="W6817" s="51" t="s">
        <v>11113</v>
      </c>
      <c r="X6817" s="51" t="s">
        <v>2359</v>
      </c>
    </row>
    <row r="6818" customFormat="false" ht="14.25" hidden="true" customHeight="false" outlineLevel="0" collapsed="false">
      <c r="A6818" s="49" t="s">
        <v>2349</v>
      </c>
      <c r="B6818" s="49" t="s">
        <v>2350</v>
      </c>
      <c r="C6818" s="49" t="s">
        <v>11560</v>
      </c>
      <c r="D6818" s="49" t="s">
        <v>2352</v>
      </c>
      <c r="E6818" s="49" t="str">
        <f aca="false">"10859585004074"</f>
        <v>10859585004074</v>
      </c>
      <c r="F6818" s="49" t="s">
        <v>7737</v>
      </c>
      <c r="G6818" s="49" t="n">
        <v>0</v>
      </c>
      <c r="H6818" s="0" t="n">
        <v>0</v>
      </c>
      <c r="M6818" s="51" t="s">
        <v>11521</v>
      </c>
      <c r="N6818" s="49" t="n">
        <v>0</v>
      </c>
      <c r="O6818" s="53" t="n">
        <v>45895.4872453704</v>
      </c>
      <c r="P6818" s="53" t="n">
        <v>45928.3836342593</v>
      </c>
      <c r="Q6818" s="53" t="n">
        <v>45895.4872453704</v>
      </c>
      <c r="R6818" s="0" t="n">
        <v>0</v>
      </c>
      <c r="S6818" s="51" t="s">
        <v>2383</v>
      </c>
      <c r="T6818" s="51" t="s">
        <v>2383</v>
      </c>
      <c r="U6818" s="0" t="str">
        <f aca="false">"10859585004074"</f>
        <v>10859585004074</v>
      </c>
      <c r="V6818" s="51" t="s">
        <v>7596</v>
      </c>
      <c r="W6818" s="51" t="s">
        <v>6031</v>
      </c>
      <c r="X6818" s="51" t="s">
        <v>2359</v>
      </c>
    </row>
    <row r="6819" customFormat="false" ht="14.25" hidden="true" customHeight="false" outlineLevel="0" collapsed="false">
      <c r="A6819" s="49" t="s">
        <v>2349</v>
      </c>
      <c r="B6819" s="49" t="s">
        <v>2350</v>
      </c>
      <c r="C6819" s="49" t="s">
        <v>11561</v>
      </c>
      <c r="D6819" s="49" t="s">
        <v>2352</v>
      </c>
      <c r="E6819" s="49" t="str">
        <f aca="false">"10859585004074"</f>
        <v>10859585004074</v>
      </c>
      <c r="F6819" s="49" t="s">
        <v>7737</v>
      </c>
      <c r="G6819" s="49" t="n">
        <v>0</v>
      </c>
      <c r="H6819" s="0" t="n">
        <v>0</v>
      </c>
      <c r="M6819" s="51" t="s">
        <v>11521</v>
      </c>
      <c r="N6819" s="49" t="n">
        <v>0</v>
      </c>
      <c r="O6819" s="53" t="n">
        <v>45895.4875462963</v>
      </c>
      <c r="P6819" s="53" t="n">
        <v>45928.3959375</v>
      </c>
      <c r="Q6819" s="53" t="n">
        <v>45895.4875462963</v>
      </c>
      <c r="R6819" s="0" t="n">
        <v>0</v>
      </c>
      <c r="S6819" s="51" t="s">
        <v>2383</v>
      </c>
      <c r="T6819" s="51" t="s">
        <v>2383</v>
      </c>
      <c r="U6819" s="0" t="str">
        <f aca="false">"10859585004074"</f>
        <v>10859585004074</v>
      </c>
      <c r="V6819" s="51" t="s">
        <v>7596</v>
      </c>
      <c r="W6819" s="51" t="s">
        <v>6166</v>
      </c>
      <c r="X6819" s="51" t="s">
        <v>2359</v>
      </c>
    </row>
    <row r="6820" customFormat="false" ht="14.25" hidden="true" customHeight="false" outlineLevel="0" collapsed="false">
      <c r="A6820" s="49" t="s">
        <v>2349</v>
      </c>
      <c r="B6820" s="49" t="s">
        <v>2350</v>
      </c>
      <c r="C6820" s="49" t="s">
        <v>11562</v>
      </c>
      <c r="D6820" s="49" t="s">
        <v>2352</v>
      </c>
      <c r="E6820" s="49" t="str">
        <f aca="false">"10859585004074"</f>
        <v>10859585004074</v>
      </c>
      <c r="F6820" s="49" t="s">
        <v>7737</v>
      </c>
      <c r="G6820" s="49" t="n">
        <v>0</v>
      </c>
      <c r="H6820" s="0" t="n">
        <v>0</v>
      </c>
      <c r="M6820" s="51" t="s">
        <v>11521</v>
      </c>
      <c r="N6820" s="49" t="n">
        <v>0</v>
      </c>
      <c r="O6820" s="53" t="n">
        <v>45895.4901851852</v>
      </c>
      <c r="P6820" s="53" t="n">
        <v>45928.3603240741</v>
      </c>
      <c r="Q6820" s="53" t="n">
        <v>45895.4901851852</v>
      </c>
      <c r="R6820" s="0" t="n">
        <v>0</v>
      </c>
      <c r="S6820" s="51" t="s">
        <v>2383</v>
      </c>
      <c r="T6820" s="51" t="s">
        <v>2383</v>
      </c>
      <c r="U6820" s="0" t="str">
        <f aca="false">"10859585004074"</f>
        <v>10859585004074</v>
      </c>
      <c r="V6820" s="51" t="s">
        <v>7596</v>
      </c>
      <c r="W6820" s="51" t="s">
        <v>5987</v>
      </c>
      <c r="X6820" s="51" t="s">
        <v>2359</v>
      </c>
    </row>
    <row r="6821" customFormat="false" ht="14.25" hidden="true" customHeight="false" outlineLevel="0" collapsed="false">
      <c r="A6821" s="49" t="s">
        <v>2349</v>
      </c>
      <c r="B6821" s="49" t="s">
        <v>2350</v>
      </c>
      <c r="C6821" s="49" t="s">
        <v>11563</v>
      </c>
      <c r="D6821" s="49" t="s">
        <v>2352</v>
      </c>
      <c r="E6821" s="49" t="str">
        <f aca="false">"6281055000564"</f>
        <v>6281055000564</v>
      </c>
      <c r="F6821" s="49" t="s">
        <v>11564</v>
      </c>
      <c r="G6821" s="49" t="n">
        <v>0</v>
      </c>
      <c r="H6821" s="0" t="n">
        <v>0</v>
      </c>
      <c r="M6821" s="51" t="s">
        <v>11565</v>
      </c>
      <c r="N6821" s="49" t="n">
        <v>0</v>
      </c>
      <c r="O6821" s="53" t="n">
        <v>45932.6255671296</v>
      </c>
      <c r="P6821" s="53" t="n">
        <v>45935.9481712963</v>
      </c>
      <c r="Q6821" s="53" t="n">
        <v>45932.6255671296</v>
      </c>
      <c r="R6821" s="0" t="n">
        <v>0</v>
      </c>
      <c r="S6821" s="51" t="s">
        <v>2383</v>
      </c>
      <c r="T6821" s="51" t="s">
        <v>2383</v>
      </c>
      <c r="U6821" s="0" t="str">
        <f aca="false">"6281055000564"</f>
        <v>6281055000564</v>
      </c>
      <c r="V6821" s="51" t="s">
        <v>2365</v>
      </c>
      <c r="W6821" s="51" t="s">
        <v>4627</v>
      </c>
      <c r="X6821" s="51" t="s">
        <v>2359</v>
      </c>
    </row>
    <row r="6822" customFormat="false" ht="14.25" hidden="true" customHeight="false" outlineLevel="0" collapsed="false">
      <c r="A6822" s="49" t="s">
        <v>2349</v>
      </c>
      <c r="B6822" s="49" t="s">
        <v>2350</v>
      </c>
      <c r="C6822" s="49" t="s">
        <v>11566</v>
      </c>
      <c r="D6822" s="49" t="s">
        <v>2352</v>
      </c>
      <c r="E6822" s="49" t="str">
        <f aca="false">"6281055000564"</f>
        <v>6281055000564</v>
      </c>
      <c r="F6822" s="49" t="s">
        <v>11564</v>
      </c>
      <c r="G6822" s="49" t="n">
        <v>0</v>
      </c>
      <c r="H6822" s="0" t="n">
        <v>0</v>
      </c>
      <c r="M6822" s="51" t="s">
        <v>11565</v>
      </c>
      <c r="N6822" s="49" t="n">
        <v>0</v>
      </c>
      <c r="O6822" s="53" t="n">
        <v>45932.6251388889</v>
      </c>
      <c r="P6822" s="53" t="n">
        <v>45935.9525462963</v>
      </c>
      <c r="Q6822" s="53" t="n">
        <v>45932.6251388889</v>
      </c>
      <c r="R6822" s="0" t="n">
        <v>0</v>
      </c>
      <c r="S6822" s="51" t="s">
        <v>2383</v>
      </c>
      <c r="T6822" s="51" t="s">
        <v>2383</v>
      </c>
      <c r="U6822" s="0" t="str">
        <f aca="false">"6281055000564"</f>
        <v>6281055000564</v>
      </c>
      <c r="V6822" s="51" t="s">
        <v>2365</v>
      </c>
      <c r="W6822" s="51" t="s">
        <v>4074</v>
      </c>
      <c r="X6822" s="51" t="s">
        <v>2359</v>
      </c>
    </row>
    <row r="6823" customFormat="false" ht="14.25" hidden="true" customHeight="false" outlineLevel="0" collapsed="false">
      <c r="A6823" s="49" t="s">
        <v>2349</v>
      </c>
      <c r="B6823" s="49" t="s">
        <v>2350</v>
      </c>
      <c r="C6823" s="49" t="s">
        <v>11567</v>
      </c>
      <c r="D6823" s="49" t="s">
        <v>2352</v>
      </c>
      <c r="E6823" s="49" t="s">
        <v>4351</v>
      </c>
      <c r="F6823" s="49" t="s">
        <v>4352</v>
      </c>
      <c r="G6823" s="49" t="n">
        <v>0</v>
      </c>
      <c r="H6823" s="0" t="n">
        <v>0</v>
      </c>
      <c r="M6823" s="51" t="s">
        <v>11568</v>
      </c>
      <c r="N6823" s="49" t="n">
        <v>0</v>
      </c>
      <c r="O6823" s="53" t="n">
        <v>45931.4429282407</v>
      </c>
      <c r="P6823" s="53" t="n">
        <v>45932.6729050926</v>
      </c>
      <c r="Q6823" s="53" t="n">
        <v>45931.4429282407</v>
      </c>
      <c r="R6823" s="0" t="n">
        <v>0</v>
      </c>
      <c r="S6823" s="51" t="s">
        <v>2356</v>
      </c>
      <c r="T6823" s="51" t="s">
        <v>2356</v>
      </c>
      <c r="U6823" s="51" t="s">
        <v>4351</v>
      </c>
      <c r="V6823" s="51" t="s">
        <v>2365</v>
      </c>
      <c r="W6823" s="51" t="s">
        <v>5558</v>
      </c>
      <c r="X6823" s="51" t="s">
        <v>2359</v>
      </c>
    </row>
    <row r="6824" customFormat="false" ht="14.25" hidden="true" customHeight="false" outlineLevel="0" collapsed="false">
      <c r="A6824" s="49" t="s">
        <v>2349</v>
      </c>
      <c r="B6824" s="49" t="s">
        <v>2350</v>
      </c>
      <c r="C6824" s="49" t="s">
        <v>11569</v>
      </c>
      <c r="D6824" s="49" t="s">
        <v>2352</v>
      </c>
      <c r="E6824" s="49" t="s">
        <v>4351</v>
      </c>
      <c r="F6824" s="49" t="s">
        <v>4352</v>
      </c>
      <c r="G6824" s="49" t="n">
        <v>0</v>
      </c>
      <c r="H6824" s="0" t="n">
        <v>0</v>
      </c>
      <c r="M6824" s="51" t="s">
        <v>11568</v>
      </c>
      <c r="N6824" s="49" t="n">
        <v>0</v>
      </c>
      <c r="O6824" s="53" t="n">
        <v>45931.4425115741</v>
      </c>
      <c r="P6824" s="53" t="n">
        <v>45932.6721296296</v>
      </c>
      <c r="Q6824" s="53" t="n">
        <v>45931.4425115741</v>
      </c>
      <c r="R6824" s="0" t="n">
        <v>0</v>
      </c>
      <c r="S6824" s="51" t="s">
        <v>2356</v>
      </c>
      <c r="T6824" s="51" t="s">
        <v>2356</v>
      </c>
      <c r="U6824" s="51" t="s">
        <v>4351</v>
      </c>
      <c r="V6824" s="51" t="s">
        <v>2365</v>
      </c>
      <c r="W6824" s="51" t="s">
        <v>10229</v>
      </c>
      <c r="X6824" s="51" t="s">
        <v>2359</v>
      </c>
    </row>
    <row r="6825" customFormat="false" ht="14.25" hidden="true" customHeight="false" outlineLevel="0" collapsed="false">
      <c r="A6825" s="49" t="s">
        <v>2349</v>
      </c>
      <c r="B6825" s="49" t="s">
        <v>2350</v>
      </c>
      <c r="C6825" s="49" t="s">
        <v>11570</v>
      </c>
      <c r="D6825" s="49" t="s">
        <v>2352</v>
      </c>
      <c r="E6825" s="49" t="s">
        <v>4351</v>
      </c>
      <c r="F6825" s="49" t="s">
        <v>4352</v>
      </c>
      <c r="G6825" s="49" t="n">
        <v>0</v>
      </c>
      <c r="H6825" s="0" t="n">
        <v>0</v>
      </c>
      <c r="M6825" s="51" t="s">
        <v>11568</v>
      </c>
      <c r="N6825" s="49" t="n">
        <v>0</v>
      </c>
      <c r="O6825" s="53" t="n">
        <v>45931.4421296296</v>
      </c>
      <c r="P6825" s="53" t="n">
        <v>45932.6725347222</v>
      </c>
      <c r="Q6825" s="53" t="n">
        <v>45931.4421296296</v>
      </c>
      <c r="R6825" s="0" t="n">
        <v>0</v>
      </c>
      <c r="S6825" s="51" t="s">
        <v>2356</v>
      </c>
      <c r="T6825" s="51" t="s">
        <v>2356</v>
      </c>
      <c r="U6825" s="51" t="s">
        <v>4351</v>
      </c>
      <c r="V6825" s="51" t="s">
        <v>2365</v>
      </c>
      <c r="W6825" s="51" t="s">
        <v>9141</v>
      </c>
      <c r="X6825" s="51" t="s">
        <v>2359</v>
      </c>
    </row>
    <row r="6826" customFormat="false" ht="14.25" hidden="true" customHeight="false" outlineLevel="0" collapsed="false">
      <c r="A6826" s="49" t="s">
        <v>2349</v>
      </c>
      <c r="B6826" s="49" t="s">
        <v>2350</v>
      </c>
      <c r="C6826" s="49" t="s">
        <v>11571</v>
      </c>
      <c r="D6826" s="49" t="s">
        <v>2352</v>
      </c>
      <c r="E6826" s="49" t="s">
        <v>4351</v>
      </c>
      <c r="F6826" s="49" t="s">
        <v>4352</v>
      </c>
      <c r="G6826" s="49" t="n">
        <v>0</v>
      </c>
      <c r="H6826" s="0" t="n">
        <v>0</v>
      </c>
      <c r="M6826" s="51" t="s">
        <v>11568</v>
      </c>
      <c r="N6826" s="49" t="n">
        <v>0</v>
      </c>
      <c r="O6826" s="53" t="n">
        <v>45931.4416203704</v>
      </c>
      <c r="P6826" s="53" t="n">
        <v>45932.6727893519</v>
      </c>
      <c r="Q6826" s="53" t="n">
        <v>45931.4416203704</v>
      </c>
      <c r="R6826" s="0" t="n">
        <v>0</v>
      </c>
      <c r="S6826" s="51" t="s">
        <v>2356</v>
      </c>
      <c r="T6826" s="51" t="s">
        <v>2356</v>
      </c>
      <c r="U6826" s="51" t="s">
        <v>4351</v>
      </c>
      <c r="V6826" s="51" t="s">
        <v>2365</v>
      </c>
      <c r="W6826" s="51" t="s">
        <v>7290</v>
      </c>
      <c r="X6826" s="51" t="s">
        <v>2359</v>
      </c>
    </row>
    <row r="6827" customFormat="false" ht="14.25" hidden="true" customHeight="false" outlineLevel="0" collapsed="false">
      <c r="A6827" s="49" t="s">
        <v>2349</v>
      </c>
      <c r="B6827" s="49" t="s">
        <v>2350</v>
      </c>
      <c r="C6827" s="49" t="s">
        <v>11572</v>
      </c>
      <c r="D6827" s="49" t="s">
        <v>2352</v>
      </c>
      <c r="E6827" s="49" t="s">
        <v>4351</v>
      </c>
      <c r="F6827" s="49" t="s">
        <v>4352</v>
      </c>
      <c r="G6827" s="49" t="n">
        <v>0</v>
      </c>
      <c r="H6827" s="0" t="n">
        <v>0</v>
      </c>
      <c r="M6827" s="51" t="s">
        <v>11568</v>
      </c>
      <c r="N6827" s="49" t="n">
        <v>0</v>
      </c>
      <c r="O6827" s="53" t="n">
        <v>45931.4411805556</v>
      </c>
      <c r="P6827" s="53" t="n">
        <v>45932.6718634259</v>
      </c>
      <c r="Q6827" s="53" t="n">
        <v>45931.4411805556</v>
      </c>
      <c r="R6827" s="0" t="n">
        <v>0</v>
      </c>
      <c r="S6827" s="51" t="s">
        <v>2356</v>
      </c>
      <c r="T6827" s="51" t="s">
        <v>2356</v>
      </c>
      <c r="U6827" s="51" t="s">
        <v>4351</v>
      </c>
      <c r="V6827" s="51" t="s">
        <v>2365</v>
      </c>
      <c r="W6827" s="51" t="s">
        <v>4154</v>
      </c>
      <c r="X6827" s="51" t="s">
        <v>2359</v>
      </c>
    </row>
    <row r="6828" customFormat="false" ht="14.25" hidden="true" customHeight="false" outlineLevel="0" collapsed="false">
      <c r="A6828" s="49" t="s">
        <v>2349</v>
      </c>
      <c r="B6828" s="49" t="s">
        <v>2350</v>
      </c>
      <c r="C6828" s="49" t="s">
        <v>11573</v>
      </c>
      <c r="D6828" s="49" t="s">
        <v>2352</v>
      </c>
      <c r="E6828" s="49" t="s">
        <v>4351</v>
      </c>
      <c r="F6828" s="49" t="s">
        <v>4352</v>
      </c>
      <c r="G6828" s="49" t="n">
        <v>0</v>
      </c>
      <c r="H6828" s="0" t="n">
        <v>0</v>
      </c>
      <c r="M6828" s="51" t="s">
        <v>11568</v>
      </c>
      <c r="N6828" s="49" t="n">
        <v>0</v>
      </c>
      <c r="O6828" s="53" t="n">
        <v>45931.4407291667</v>
      </c>
      <c r="P6828" s="53" t="n">
        <v>45932.672662037</v>
      </c>
      <c r="Q6828" s="53" t="n">
        <v>45931.4407291667</v>
      </c>
      <c r="R6828" s="0" t="n">
        <v>0</v>
      </c>
      <c r="S6828" s="51" t="s">
        <v>2356</v>
      </c>
      <c r="T6828" s="51" t="s">
        <v>2356</v>
      </c>
      <c r="U6828" s="51" t="s">
        <v>4351</v>
      </c>
      <c r="V6828" s="51" t="s">
        <v>2365</v>
      </c>
      <c r="W6828" s="51" t="s">
        <v>5141</v>
      </c>
      <c r="X6828" s="51" t="s">
        <v>2359</v>
      </c>
    </row>
    <row r="6829" customFormat="false" ht="14.25" hidden="true" customHeight="false" outlineLevel="0" collapsed="false">
      <c r="A6829" s="49" t="s">
        <v>2349</v>
      </c>
      <c r="B6829" s="49" t="s">
        <v>2350</v>
      </c>
      <c r="C6829" s="49" t="s">
        <v>11574</v>
      </c>
      <c r="D6829" s="49" t="s">
        <v>2352</v>
      </c>
      <c r="E6829" s="49" t="s">
        <v>4351</v>
      </c>
      <c r="F6829" s="49" t="s">
        <v>4352</v>
      </c>
      <c r="G6829" s="49" t="n">
        <v>0</v>
      </c>
      <c r="H6829" s="0" t="n">
        <v>0</v>
      </c>
      <c r="M6829" s="51" t="s">
        <v>11568</v>
      </c>
      <c r="N6829" s="49" t="n">
        <v>0</v>
      </c>
      <c r="O6829" s="53" t="n">
        <v>45931.4403935185</v>
      </c>
      <c r="P6829" s="53" t="n">
        <v>45932.6720138889</v>
      </c>
      <c r="Q6829" s="53" t="n">
        <v>45931.4403935185</v>
      </c>
      <c r="R6829" s="0" t="n">
        <v>0</v>
      </c>
      <c r="S6829" s="51" t="s">
        <v>2356</v>
      </c>
      <c r="T6829" s="51" t="s">
        <v>2356</v>
      </c>
      <c r="U6829" s="51" t="s">
        <v>4351</v>
      </c>
      <c r="V6829" s="51" t="s">
        <v>2365</v>
      </c>
      <c r="W6829" s="51" t="s">
        <v>3754</v>
      </c>
      <c r="X6829" s="51" t="s">
        <v>2359</v>
      </c>
    </row>
    <row r="6830" customFormat="false" ht="14.25" hidden="true" customHeight="false" outlineLevel="0" collapsed="false">
      <c r="A6830" s="49" t="s">
        <v>2349</v>
      </c>
      <c r="B6830" s="49" t="s">
        <v>2350</v>
      </c>
      <c r="C6830" s="49" t="s">
        <v>11575</v>
      </c>
      <c r="D6830" s="49" t="s">
        <v>2352</v>
      </c>
      <c r="E6830" s="49" t="s">
        <v>4351</v>
      </c>
      <c r="F6830" s="49" t="s">
        <v>4352</v>
      </c>
      <c r="G6830" s="49" t="n">
        <v>0</v>
      </c>
      <c r="H6830" s="0" t="n">
        <v>0</v>
      </c>
      <c r="M6830" s="51" t="s">
        <v>11568</v>
      </c>
      <c r="N6830" s="49" t="n">
        <v>0</v>
      </c>
      <c r="O6830" s="53" t="n">
        <v>45931.4395138889</v>
      </c>
      <c r="P6830" s="53" t="n">
        <v>45932.6730092593</v>
      </c>
      <c r="Q6830" s="53" t="n">
        <v>45931.4395138889</v>
      </c>
      <c r="R6830" s="0" t="n">
        <v>0</v>
      </c>
      <c r="S6830" s="51" t="s">
        <v>2356</v>
      </c>
      <c r="T6830" s="51" t="s">
        <v>2356</v>
      </c>
      <c r="U6830" s="51" t="s">
        <v>4351</v>
      </c>
      <c r="V6830" s="51" t="s">
        <v>2365</v>
      </c>
      <c r="W6830" s="51" t="s">
        <v>5560</v>
      </c>
      <c r="X6830" s="51" t="s">
        <v>2359</v>
      </c>
    </row>
    <row r="6831" customFormat="false" ht="14.25" hidden="true" customHeight="false" outlineLevel="0" collapsed="false">
      <c r="A6831" s="49" t="s">
        <v>2349</v>
      </c>
      <c r="B6831" s="49" t="s">
        <v>2350</v>
      </c>
      <c r="C6831" s="49" t="s">
        <v>11576</v>
      </c>
      <c r="D6831" s="49" t="s">
        <v>2352</v>
      </c>
      <c r="E6831" s="49" t="s">
        <v>4351</v>
      </c>
      <c r="F6831" s="49" t="s">
        <v>4352</v>
      </c>
      <c r="G6831" s="49" t="n">
        <v>0</v>
      </c>
      <c r="H6831" s="0" t="n">
        <v>0</v>
      </c>
      <c r="M6831" s="51" t="s">
        <v>11568</v>
      </c>
      <c r="N6831" s="49" t="n">
        <v>0</v>
      </c>
      <c r="O6831" s="53" t="n">
        <v>45931.4385300926</v>
      </c>
      <c r="P6831" s="53" t="n">
        <v>45941.3236805556</v>
      </c>
      <c r="Q6831" s="53" t="n">
        <v>45931.4385300926</v>
      </c>
      <c r="R6831" s="0" t="n">
        <v>0</v>
      </c>
      <c r="S6831" s="51" t="s">
        <v>2356</v>
      </c>
      <c r="T6831" s="51" t="s">
        <v>2356</v>
      </c>
      <c r="U6831" s="51" t="s">
        <v>4351</v>
      </c>
      <c r="V6831" s="51" t="s">
        <v>2365</v>
      </c>
      <c r="W6831" s="51" t="s">
        <v>5756</v>
      </c>
      <c r="X6831" s="51" t="s">
        <v>2359</v>
      </c>
    </row>
    <row r="6832" customFormat="false" ht="14.25" hidden="true" customHeight="false" outlineLevel="0" collapsed="false">
      <c r="A6832" s="49" t="s">
        <v>2349</v>
      </c>
      <c r="B6832" s="49" t="s">
        <v>2350</v>
      </c>
      <c r="C6832" s="49" t="s">
        <v>11577</v>
      </c>
      <c r="D6832" s="49" t="s">
        <v>2352</v>
      </c>
      <c r="E6832" s="49" t="s">
        <v>4351</v>
      </c>
      <c r="F6832" s="49" t="s">
        <v>4352</v>
      </c>
      <c r="G6832" s="49" t="n">
        <v>0</v>
      </c>
      <c r="H6832" s="0" t="n">
        <v>0</v>
      </c>
      <c r="M6832" s="51" t="s">
        <v>11568</v>
      </c>
      <c r="N6832" s="49" t="n">
        <v>0</v>
      </c>
      <c r="O6832" s="53" t="n">
        <v>45931.4378587963</v>
      </c>
      <c r="P6832" s="53" t="n">
        <v>45932.6398726852</v>
      </c>
      <c r="Q6832" s="53" t="n">
        <v>45931.4378587963</v>
      </c>
      <c r="R6832" s="0" t="n">
        <v>0</v>
      </c>
      <c r="S6832" s="51" t="s">
        <v>2356</v>
      </c>
      <c r="T6832" s="51" t="s">
        <v>2356</v>
      </c>
      <c r="U6832" s="51" t="s">
        <v>4351</v>
      </c>
      <c r="V6832" s="51" t="s">
        <v>2365</v>
      </c>
      <c r="W6832" s="51" t="s">
        <v>7272</v>
      </c>
      <c r="X6832" s="51" t="s">
        <v>2359</v>
      </c>
    </row>
    <row r="6833" customFormat="false" ht="14.25" hidden="true" customHeight="false" outlineLevel="0" collapsed="false">
      <c r="A6833" s="49" t="s">
        <v>2349</v>
      </c>
      <c r="B6833" s="49" t="s">
        <v>2350</v>
      </c>
      <c r="C6833" s="49" t="s">
        <v>11578</v>
      </c>
      <c r="D6833" s="49" t="s">
        <v>2352</v>
      </c>
      <c r="E6833" s="49" t="s">
        <v>4351</v>
      </c>
      <c r="F6833" s="49" t="s">
        <v>4352</v>
      </c>
      <c r="G6833" s="49" t="n">
        <v>0</v>
      </c>
      <c r="H6833" s="0" t="n">
        <v>0</v>
      </c>
      <c r="M6833" s="51" t="s">
        <v>11568</v>
      </c>
      <c r="N6833" s="49" t="n">
        <v>0</v>
      </c>
      <c r="O6833" s="53" t="n">
        <v>45931.4376157407</v>
      </c>
      <c r="P6833" s="53" t="n">
        <v>45941.3237962963</v>
      </c>
      <c r="Q6833" s="53" t="n">
        <v>45931.4376157407</v>
      </c>
      <c r="R6833" s="0" t="n">
        <v>0</v>
      </c>
      <c r="S6833" s="51" t="s">
        <v>2356</v>
      </c>
      <c r="T6833" s="51" t="s">
        <v>2356</v>
      </c>
      <c r="U6833" s="51" t="s">
        <v>4351</v>
      </c>
      <c r="V6833" s="51" t="s">
        <v>2365</v>
      </c>
      <c r="W6833" s="51" t="s">
        <v>5562</v>
      </c>
      <c r="X6833" s="51" t="s">
        <v>2359</v>
      </c>
    </row>
    <row r="6834" customFormat="false" ht="14.25" hidden="true" customHeight="false" outlineLevel="0" collapsed="false">
      <c r="A6834" s="49" t="s">
        <v>2349</v>
      </c>
      <c r="B6834" s="49" t="s">
        <v>2350</v>
      </c>
      <c r="C6834" s="49" t="s">
        <v>11579</v>
      </c>
      <c r="D6834" s="49" t="s">
        <v>2352</v>
      </c>
      <c r="E6834" s="49" t="s">
        <v>4351</v>
      </c>
      <c r="F6834" s="49" t="s">
        <v>4352</v>
      </c>
      <c r="G6834" s="49" t="n">
        <v>0</v>
      </c>
      <c r="H6834" s="0" t="n">
        <v>0</v>
      </c>
      <c r="M6834" s="51" t="s">
        <v>11568</v>
      </c>
      <c r="N6834" s="49" t="n">
        <v>0</v>
      </c>
      <c r="O6834" s="53" t="n">
        <v>45931.4372800926</v>
      </c>
      <c r="P6834" s="53" t="n">
        <v>45932.6397569444</v>
      </c>
      <c r="Q6834" s="53" t="n">
        <v>45931.4372800926</v>
      </c>
      <c r="R6834" s="0" t="n">
        <v>0</v>
      </c>
      <c r="S6834" s="51" t="s">
        <v>2356</v>
      </c>
      <c r="T6834" s="51" t="s">
        <v>2356</v>
      </c>
      <c r="U6834" s="51" t="s">
        <v>4351</v>
      </c>
      <c r="V6834" s="51" t="s">
        <v>2365</v>
      </c>
      <c r="W6834" s="51" t="s">
        <v>9050</v>
      </c>
      <c r="X6834" s="51" t="s">
        <v>2359</v>
      </c>
    </row>
    <row r="6835" customFormat="false" ht="14.25" hidden="true" customHeight="false" outlineLevel="0" collapsed="false">
      <c r="A6835" s="49" t="s">
        <v>2349</v>
      </c>
      <c r="B6835" s="49" t="s">
        <v>2350</v>
      </c>
      <c r="C6835" s="49" t="s">
        <v>11580</v>
      </c>
      <c r="D6835" s="49" t="s">
        <v>2352</v>
      </c>
      <c r="E6835" s="49" t="s">
        <v>4351</v>
      </c>
      <c r="F6835" s="49" t="s">
        <v>4352</v>
      </c>
      <c r="G6835" s="49" t="n">
        <v>0</v>
      </c>
      <c r="H6835" s="0" t="n">
        <v>0</v>
      </c>
      <c r="M6835" s="51" t="s">
        <v>11568</v>
      </c>
      <c r="N6835" s="49" t="n">
        <v>0</v>
      </c>
      <c r="O6835" s="53" t="n">
        <v>45931.4370717593</v>
      </c>
      <c r="P6835" s="53" t="n">
        <v>45939.3526041667</v>
      </c>
      <c r="Q6835" s="53" t="n">
        <v>45931.4370717593</v>
      </c>
      <c r="R6835" s="0" t="n">
        <v>0</v>
      </c>
      <c r="S6835" s="51" t="s">
        <v>2356</v>
      </c>
      <c r="T6835" s="51" t="s">
        <v>2356</v>
      </c>
      <c r="U6835" s="51" t="s">
        <v>4351</v>
      </c>
      <c r="V6835" s="51" t="s">
        <v>2365</v>
      </c>
      <c r="W6835" s="51" t="s">
        <v>7268</v>
      </c>
      <c r="X6835" s="51" t="s">
        <v>2359</v>
      </c>
    </row>
    <row r="6836" customFormat="false" ht="14.25" hidden="true" customHeight="false" outlineLevel="0" collapsed="false">
      <c r="A6836" s="49" t="s">
        <v>2349</v>
      </c>
      <c r="B6836" s="49" t="s">
        <v>2350</v>
      </c>
      <c r="C6836" s="49" t="s">
        <v>11581</v>
      </c>
      <c r="D6836" s="49" t="s">
        <v>2352</v>
      </c>
      <c r="E6836" s="49" t="s">
        <v>4351</v>
      </c>
      <c r="F6836" s="49" t="s">
        <v>4352</v>
      </c>
      <c r="G6836" s="49" t="n">
        <v>0</v>
      </c>
      <c r="H6836" s="0" t="n">
        <v>0</v>
      </c>
      <c r="M6836" s="51" t="s">
        <v>11568</v>
      </c>
      <c r="N6836" s="49" t="n">
        <v>0</v>
      </c>
      <c r="O6836" s="53" t="n">
        <v>45931.4368171296</v>
      </c>
      <c r="P6836" s="53" t="n">
        <v>45941.3239236111</v>
      </c>
      <c r="Q6836" s="53" t="n">
        <v>45931.4368171296</v>
      </c>
      <c r="R6836" s="0" t="n">
        <v>0</v>
      </c>
      <c r="S6836" s="51" t="s">
        <v>2356</v>
      </c>
      <c r="T6836" s="51" t="s">
        <v>2356</v>
      </c>
      <c r="U6836" s="51" t="s">
        <v>4351</v>
      </c>
      <c r="V6836" s="51" t="s">
        <v>2365</v>
      </c>
      <c r="W6836" s="51" t="s">
        <v>8284</v>
      </c>
      <c r="X6836" s="51" t="s">
        <v>2359</v>
      </c>
    </row>
    <row r="6837" customFormat="false" ht="14.25" hidden="true" customHeight="false" outlineLevel="0" collapsed="false">
      <c r="A6837" s="49" t="s">
        <v>2349</v>
      </c>
      <c r="B6837" s="49" t="s">
        <v>2350</v>
      </c>
      <c r="C6837" s="49" t="s">
        <v>11582</v>
      </c>
      <c r="D6837" s="49" t="s">
        <v>2352</v>
      </c>
      <c r="E6837" s="49" t="s">
        <v>4351</v>
      </c>
      <c r="F6837" s="49" t="s">
        <v>4352</v>
      </c>
      <c r="G6837" s="49" t="n">
        <v>0</v>
      </c>
      <c r="H6837" s="0" t="n">
        <v>0</v>
      </c>
      <c r="M6837" s="51" t="s">
        <v>11568</v>
      </c>
      <c r="N6837" s="49" t="n">
        <v>0</v>
      </c>
      <c r="O6837" s="53" t="n">
        <v>45931.4365972222</v>
      </c>
      <c r="P6837" s="53" t="n">
        <v>45932.6396180556</v>
      </c>
      <c r="Q6837" s="53" t="n">
        <v>45931.4365972222</v>
      </c>
      <c r="R6837" s="0" t="n">
        <v>0</v>
      </c>
      <c r="S6837" s="51" t="s">
        <v>2356</v>
      </c>
      <c r="T6837" s="51" t="s">
        <v>2356</v>
      </c>
      <c r="U6837" s="51" t="s">
        <v>4351</v>
      </c>
      <c r="V6837" s="51" t="s">
        <v>2365</v>
      </c>
      <c r="W6837" s="51" t="s">
        <v>5915</v>
      </c>
      <c r="X6837" s="51" t="s">
        <v>2359</v>
      </c>
    </row>
    <row r="6838" customFormat="false" ht="14.25" hidden="true" customHeight="false" outlineLevel="0" collapsed="false">
      <c r="A6838" s="49" t="s">
        <v>2349</v>
      </c>
      <c r="B6838" s="49" t="s">
        <v>2350</v>
      </c>
      <c r="C6838" s="49" t="s">
        <v>11583</v>
      </c>
      <c r="D6838" s="49" t="s">
        <v>2352</v>
      </c>
      <c r="E6838" s="49" t="s">
        <v>4351</v>
      </c>
      <c r="F6838" s="49" t="s">
        <v>4352</v>
      </c>
      <c r="G6838" s="49" t="n">
        <v>0</v>
      </c>
      <c r="H6838" s="0" t="n">
        <v>0</v>
      </c>
      <c r="M6838" s="51" t="s">
        <v>11568</v>
      </c>
      <c r="N6838" s="49" t="n">
        <v>0</v>
      </c>
      <c r="O6838" s="53" t="n">
        <v>45931.4361921296</v>
      </c>
      <c r="P6838" s="53" t="n">
        <v>45932.6399884259</v>
      </c>
      <c r="Q6838" s="53" t="n">
        <v>45931.4361921296</v>
      </c>
      <c r="R6838" s="0" t="n">
        <v>0</v>
      </c>
      <c r="S6838" s="51" t="s">
        <v>2356</v>
      </c>
      <c r="T6838" s="51" t="s">
        <v>2356</v>
      </c>
      <c r="U6838" s="51" t="s">
        <v>4351</v>
      </c>
      <c r="V6838" s="51" t="s">
        <v>2365</v>
      </c>
      <c r="W6838" s="51" t="s">
        <v>7276</v>
      </c>
      <c r="X6838" s="51" t="s">
        <v>2359</v>
      </c>
    </row>
    <row r="6839" customFormat="false" ht="14.25" hidden="true" customHeight="false" outlineLevel="0" collapsed="false">
      <c r="A6839" s="49" t="s">
        <v>2349</v>
      </c>
      <c r="B6839" s="49" t="s">
        <v>2350</v>
      </c>
      <c r="C6839" s="49" t="s">
        <v>11584</v>
      </c>
      <c r="D6839" s="49" t="s">
        <v>2352</v>
      </c>
      <c r="E6839" s="49" t="s">
        <v>4351</v>
      </c>
      <c r="F6839" s="49" t="s">
        <v>4352</v>
      </c>
      <c r="G6839" s="49" t="n">
        <v>0</v>
      </c>
      <c r="H6839" s="0" t="n">
        <v>0</v>
      </c>
      <c r="M6839" s="51" t="s">
        <v>11568</v>
      </c>
      <c r="N6839" s="49" t="n">
        <v>0</v>
      </c>
      <c r="O6839" s="53" t="n">
        <v>45931.4352546296</v>
      </c>
      <c r="P6839" s="53" t="n">
        <v>45932.6394791667</v>
      </c>
      <c r="Q6839" s="53" t="n">
        <v>45931.4352546296</v>
      </c>
      <c r="R6839" s="0" t="n">
        <v>0</v>
      </c>
      <c r="S6839" s="51" t="s">
        <v>2356</v>
      </c>
      <c r="T6839" s="51" t="s">
        <v>2356</v>
      </c>
      <c r="U6839" s="51" t="s">
        <v>4351</v>
      </c>
      <c r="V6839" s="51" t="s">
        <v>2365</v>
      </c>
      <c r="W6839" s="51" t="s">
        <v>8515</v>
      </c>
      <c r="X6839" s="51" t="s">
        <v>2359</v>
      </c>
    </row>
    <row r="6840" customFormat="false" ht="14.25" hidden="true" customHeight="false" outlineLevel="0" collapsed="false">
      <c r="A6840" s="49" t="s">
        <v>2349</v>
      </c>
      <c r="B6840" s="49" t="s">
        <v>2350</v>
      </c>
      <c r="C6840" s="49" t="s">
        <v>11585</v>
      </c>
      <c r="D6840" s="49" t="s">
        <v>2352</v>
      </c>
      <c r="E6840" s="49" t="s">
        <v>4351</v>
      </c>
      <c r="F6840" s="49" t="s">
        <v>4352</v>
      </c>
      <c r="G6840" s="49" t="n">
        <v>0</v>
      </c>
      <c r="H6840" s="0" t="n">
        <v>0</v>
      </c>
      <c r="M6840" s="51" t="s">
        <v>11568</v>
      </c>
      <c r="N6840" s="49" t="n">
        <v>0</v>
      </c>
      <c r="O6840" s="53" t="n">
        <v>45931.435787037</v>
      </c>
      <c r="P6840" s="53" t="n">
        <v>45941.3240972222</v>
      </c>
      <c r="Q6840" s="53" t="n">
        <v>45931.435787037</v>
      </c>
      <c r="R6840" s="0" t="n">
        <v>0</v>
      </c>
      <c r="S6840" s="51" t="s">
        <v>2356</v>
      </c>
      <c r="T6840" s="51" t="s">
        <v>2356</v>
      </c>
      <c r="U6840" s="51" t="s">
        <v>4351</v>
      </c>
      <c r="V6840" s="51" t="s">
        <v>2365</v>
      </c>
      <c r="W6840" s="51" t="s">
        <v>5568</v>
      </c>
      <c r="X6840" s="51" t="s">
        <v>2359</v>
      </c>
    </row>
    <row r="6841" customFormat="false" ht="14.25" hidden="true" customHeight="false" outlineLevel="0" collapsed="false">
      <c r="A6841" s="49" t="s">
        <v>2349</v>
      </c>
      <c r="B6841" s="49" t="s">
        <v>2350</v>
      </c>
      <c r="C6841" s="49" t="s">
        <v>11586</v>
      </c>
      <c r="D6841" s="49" t="s">
        <v>2352</v>
      </c>
      <c r="E6841" s="49" t="s">
        <v>4351</v>
      </c>
      <c r="F6841" s="49" t="s">
        <v>4352</v>
      </c>
      <c r="G6841" s="49" t="n">
        <v>0</v>
      </c>
      <c r="H6841" s="0" t="n">
        <v>0</v>
      </c>
      <c r="M6841" s="51" t="s">
        <v>11568</v>
      </c>
      <c r="N6841" s="49" t="n">
        <v>0</v>
      </c>
      <c r="O6841" s="53" t="n">
        <v>45931.4348958333</v>
      </c>
      <c r="P6841" s="53" t="n">
        <v>45932.6393518519</v>
      </c>
      <c r="Q6841" s="53" t="n">
        <v>45931.4348958333</v>
      </c>
      <c r="R6841" s="0" t="n">
        <v>0</v>
      </c>
      <c r="S6841" s="51" t="s">
        <v>2356</v>
      </c>
      <c r="T6841" s="51" t="s">
        <v>2356</v>
      </c>
      <c r="U6841" s="51" t="s">
        <v>4351</v>
      </c>
      <c r="V6841" s="51" t="s">
        <v>2365</v>
      </c>
      <c r="W6841" s="51" t="s">
        <v>5466</v>
      </c>
      <c r="X6841" s="51" t="s">
        <v>2359</v>
      </c>
    </row>
    <row r="6842" customFormat="false" ht="14.25" hidden="true" customHeight="false" outlineLevel="0" collapsed="false">
      <c r="A6842" s="49" t="s">
        <v>2349</v>
      </c>
      <c r="B6842" s="49" t="s">
        <v>2350</v>
      </c>
      <c r="C6842" s="49" t="s">
        <v>11587</v>
      </c>
      <c r="D6842" s="49" t="s">
        <v>2352</v>
      </c>
      <c r="E6842" s="49" t="s">
        <v>4351</v>
      </c>
      <c r="F6842" s="49" t="s">
        <v>4352</v>
      </c>
      <c r="G6842" s="49" t="n">
        <v>0</v>
      </c>
      <c r="H6842" s="0" t="n">
        <v>0</v>
      </c>
      <c r="M6842" s="51" t="s">
        <v>11568</v>
      </c>
      <c r="N6842" s="49" t="n">
        <v>0</v>
      </c>
      <c r="O6842" s="53" t="n">
        <v>45931.4343287037</v>
      </c>
      <c r="P6842" s="53" t="n">
        <v>45932.6383101852</v>
      </c>
      <c r="Q6842" s="53" t="n">
        <v>45931.4343287037</v>
      </c>
      <c r="R6842" s="0" t="n">
        <v>0</v>
      </c>
      <c r="S6842" s="51" t="s">
        <v>2356</v>
      </c>
      <c r="T6842" s="51" t="s">
        <v>2356</v>
      </c>
      <c r="U6842" s="51" t="s">
        <v>4351</v>
      </c>
      <c r="V6842" s="51" t="s">
        <v>2365</v>
      </c>
      <c r="W6842" s="51" t="s">
        <v>8391</v>
      </c>
      <c r="X6842" s="51" t="s">
        <v>2359</v>
      </c>
    </row>
    <row r="6843" customFormat="false" ht="14.25" hidden="true" customHeight="false" outlineLevel="0" collapsed="false">
      <c r="A6843" s="49" t="s">
        <v>2349</v>
      </c>
      <c r="B6843" s="49" t="s">
        <v>2350</v>
      </c>
      <c r="C6843" s="49" t="s">
        <v>11588</v>
      </c>
      <c r="D6843" s="49" t="s">
        <v>2352</v>
      </c>
      <c r="E6843" s="49" t="s">
        <v>4351</v>
      </c>
      <c r="F6843" s="49" t="s">
        <v>4352</v>
      </c>
      <c r="G6843" s="49" t="n">
        <v>0</v>
      </c>
      <c r="H6843" s="0" t="n">
        <v>0</v>
      </c>
      <c r="M6843" s="51" t="s">
        <v>11568</v>
      </c>
      <c r="N6843" s="49" t="n">
        <v>0</v>
      </c>
      <c r="O6843" s="53" t="n">
        <v>45931.4338194444</v>
      </c>
      <c r="P6843" s="53" t="n">
        <v>45932.6392013889</v>
      </c>
      <c r="Q6843" s="53" t="n">
        <v>45931.4338194444</v>
      </c>
      <c r="R6843" s="0" t="n">
        <v>0</v>
      </c>
      <c r="S6843" s="51" t="s">
        <v>2356</v>
      </c>
      <c r="T6843" s="51" t="s">
        <v>2356</v>
      </c>
      <c r="U6843" s="51" t="s">
        <v>4351</v>
      </c>
      <c r="V6843" s="51" t="s">
        <v>2365</v>
      </c>
      <c r="W6843" s="51" t="s">
        <v>4118</v>
      </c>
      <c r="X6843" s="51" t="s">
        <v>2359</v>
      </c>
    </row>
    <row r="6844" customFormat="false" ht="14.25" hidden="true" customHeight="false" outlineLevel="0" collapsed="false">
      <c r="A6844" s="49" t="s">
        <v>2349</v>
      </c>
      <c r="B6844" s="49" t="s">
        <v>2350</v>
      </c>
      <c r="C6844" s="49" t="s">
        <v>11589</v>
      </c>
      <c r="D6844" s="49" t="s">
        <v>2352</v>
      </c>
      <c r="E6844" s="49" t="s">
        <v>7079</v>
      </c>
      <c r="F6844" s="49" t="s">
        <v>7080</v>
      </c>
      <c r="G6844" s="49" t="n">
        <v>0</v>
      </c>
      <c r="H6844" s="0" t="n">
        <v>0</v>
      </c>
      <c r="M6844" s="51" t="s">
        <v>11590</v>
      </c>
      <c r="N6844" s="49" t="n">
        <v>0</v>
      </c>
      <c r="O6844" s="53" t="n">
        <v>45929.5770138889</v>
      </c>
      <c r="P6844" s="53" t="n">
        <v>45969.3071527778</v>
      </c>
      <c r="Q6844" s="53" t="n">
        <v>45929.5770138889</v>
      </c>
      <c r="R6844" s="0" t="n">
        <v>0</v>
      </c>
      <c r="S6844" s="51" t="s">
        <v>2356</v>
      </c>
      <c r="T6844" s="51" t="s">
        <v>2356</v>
      </c>
      <c r="U6844" s="51" t="s">
        <v>7079</v>
      </c>
      <c r="V6844" s="51" t="s">
        <v>2365</v>
      </c>
      <c r="W6844" s="51" t="s">
        <v>11591</v>
      </c>
      <c r="X6844" s="51" t="s">
        <v>2359</v>
      </c>
    </row>
    <row r="6845" customFormat="false" ht="14.25" hidden="true" customHeight="false" outlineLevel="0" collapsed="false">
      <c r="A6845" s="49" t="s">
        <v>2349</v>
      </c>
      <c r="B6845" s="49" t="s">
        <v>2350</v>
      </c>
      <c r="C6845" s="49" t="s">
        <v>11592</v>
      </c>
      <c r="D6845" s="49" t="s">
        <v>2352</v>
      </c>
      <c r="E6845" s="49" t="s">
        <v>7079</v>
      </c>
      <c r="F6845" s="49" t="s">
        <v>7080</v>
      </c>
      <c r="G6845" s="49" t="n">
        <v>0</v>
      </c>
      <c r="H6845" s="0" t="n">
        <v>0</v>
      </c>
      <c r="M6845" s="51" t="s">
        <v>11590</v>
      </c>
      <c r="N6845" s="49" t="n">
        <v>0</v>
      </c>
      <c r="O6845" s="53" t="n">
        <v>45929.5753935185</v>
      </c>
      <c r="P6845" s="53" t="n">
        <v>46008.476099537</v>
      </c>
      <c r="Q6845" s="53" t="n">
        <v>45929.5753935185</v>
      </c>
      <c r="R6845" s="0" t="n">
        <v>0</v>
      </c>
      <c r="S6845" s="51" t="s">
        <v>2356</v>
      </c>
      <c r="T6845" s="51" t="s">
        <v>2356</v>
      </c>
      <c r="U6845" s="51" t="s">
        <v>7079</v>
      </c>
      <c r="V6845" s="51" t="s">
        <v>2365</v>
      </c>
      <c r="W6845" s="51" t="s">
        <v>9075</v>
      </c>
      <c r="X6845" s="51" t="s">
        <v>2359</v>
      </c>
    </row>
    <row r="6846" customFormat="false" ht="14.25" hidden="true" customHeight="false" outlineLevel="0" collapsed="false">
      <c r="A6846" s="49" t="s">
        <v>2349</v>
      </c>
      <c r="B6846" s="49" t="s">
        <v>2350</v>
      </c>
      <c r="C6846" s="49" t="s">
        <v>11593</v>
      </c>
      <c r="D6846" s="49" t="s">
        <v>2352</v>
      </c>
      <c r="E6846" s="49" t="str">
        <f aca="false">"8032754230244"</f>
        <v>8032754230244</v>
      </c>
      <c r="F6846" s="49" t="s">
        <v>3737</v>
      </c>
      <c r="G6846" s="49" t="n">
        <v>0</v>
      </c>
      <c r="H6846" s="0" t="n">
        <v>0</v>
      </c>
      <c r="M6846" s="51" t="s">
        <v>11594</v>
      </c>
      <c r="N6846" s="49" t="n">
        <v>0</v>
      </c>
      <c r="O6846" s="53" t="n">
        <v>45930.5295601852</v>
      </c>
      <c r="P6846" s="53" t="n">
        <v>45974.9573263889</v>
      </c>
      <c r="Q6846" s="53" t="n">
        <v>45930.5295601852</v>
      </c>
      <c r="R6846" s="0" t="n">
        <v>0</v>
      </c>
      <c r="S6846" s="51" t="s">
        <v>2416</v>
      </c>
      <c r="T6846" s="51" t="s">
        <v>2416</v>
      </c>
      <c r="U6846" s="0" t="str">
        <f aca="false">"8032754230244"</f>
        <v>8032754230244</v>
      </c>
      <c r="V6846" s="51" t="s">
        <v>3740</v>
      </c>
      <c r="W6846" s="51" t="s">
        <v>11595</v>
      </c>
      <c r="X6846" s="51" t="s">
        <v>2359</v>
      </c>
    </row>
    <row r="6847" customFormat="false" ht="14.25" hidden="true" customHeight="false" outlineLevel="0" collapsed="false">
      <c r="A6847" s="49" t="s">
        <v>2349</v>
      </c>
      <c r="B6847" s="49" t="s">
        <v>2350</v>
      </c>
      <c r="C6847" s="49" t="s">
        <v>11596</v>
      </c>
      <c r="D6847" s="49" t="s">
        <v>2352</v>
      </c>
      <c r="E6847" s="49" t="str">
        <f aca="false">"8032754230244"</f>
        <v>8032754230244</v>
      </c>
      <c r="F6847" s="49" t="s">
        <v>3737</v>
      </c>
      <c r="G6847" s="49" t="n">
        <v>0</v>
      </c>
      <c r="H6847" s="0" t="n">
        <v>0</v>
      </c>
      <c r="M6847" s="51" t="s">
        <v>11594</v>
      </c>
      <c r="N6847" s="49" t="n">
        <v>0</v>
      </c>
      <c r="O6847" s="53" t="n">
        <v>45930.5298032407</v>
      </c>
      <c r="P6847" s="53" t="n">
        <v>45948.8878472222</v>
      </c>
      <c r="Q6847" s="53" t="n">
        <v>45930.5298032407</v>
      </c>
      <c r="R6847" s="0" t="n">
        <v>0</v>
      </c>
      <c r="S6847" s="51" t="s">
        <v>2416</v>
      </c>
      <c r="T6847" s="51" t="s">
        <v>2416</v>
      </c>
      <c r="U6847" s="0" t="str">
        <f aca="false">"8032754230244"</f>
        <v>8032754230244</v>
      </c>
      <c r="V6847" s="51" t="s">
        <v>3740</v>
      </c>
      <c r="W6847" s="51" t="s">
        <v>11597</v>
      </c>
      <c r="X6847" s="51" t="s">
        <v>2359</v>
      </c>
    </row>
    <row r="6848" customFormat="false" ht="14.25" hidden="true" customHeight="false" outlineLevel="0" collapsed="false">
      <c r="A6848" s="49" t="s">
        <v>2349</v>
      </c>
      <c r="B6848" s="49" t="s">
        <v>2350</v>
      </c>
      <c r="C6848" s="49" t="s">
        <v>11598</v>
      </c>
      <c r="D6848" s="49" t="s">
        <v>2352</v>
      </c>
      <c r="E6848" s="49" t="str">
        <f aca="false">"8032754230244"</f>
        <v>8032754230244</v>
      </c>
      <c r="F6848" s="49" t="s">
        <v>3737</v>
      </c>
      <c r="G6848" s="49" t="n">
        <v>0</v>
      </c>
      <c r="H6848" s="0" t="n">
        <v>0</v>
      </c>
      <c r="M6848" s="51" t="s">
        <v>11594</v>
      </c>
      <c r="N6848" s="49" t="n">
        <v>0</v>
      </c>
      <c r="O6848" s="53" t="n">
        <v>45930.53</v>
      </c>
      <c r="P6848" s="53" t="n">
        <v>45948.8934027778</v>
      </c>
      <c r="Q6848" s="53" t="n">
        <v>45930.53</v>
      </c>
      <c r="R6848" s="0" t="n">
        <v>0</v>
      </c>
      <c r="S6848" s="51" t="s">
        <v>2416</v>
      </c>
      <c r="T6848" s="51" t="s">
        <v>2416</v>
      </c>
      <c r="U6848" s="0" t="str">
        <f aca="false">"8032754230244"</f>
        <v>8032754230244</v>
      </c>
      <c r="V6848" s="51" t="s">
        <v>3740</v>
      </c>
      <c r="W6848" s="51" t="s">
        <v>8685</v>
      </c>
      <c r="X6848" s="51" t="s">
        <v>2359</v>
      </c>
    </row>
    <row r="6849" customFormat="false" ht="14.25" hidden="true" customHeight="false" outlineLevel="0" collapsed="false">
      <c r="A6849" s="49" t="s">
        <v>2349</v>
      </c>
      <c r="B6849" s="49" t="s">
        <v>2350</v>
      </c>
      <c r="C6849" s="49" t="s">
        <v>11599</v>
      </c>
      <c r="D6849" s="49" t="s">
        <v>2352</v>
      </c>
      <c r="E6849" s="49" t="s">
        <v>4166</v>
      </c>
      <c r="F6849" s="49" t="s">
        <v>4167</v>
      </c>
      <c r="G6849" s="49" t="n">
        <v>0</v>
      </c>
      <c r="H6849" s="0" t="n">
        <v>0</v>
      </c>
      <c r="M6849" s="51" t="s">
        <v>11600</v>
      </c>
      <c r="N6849" s="49" t="n">
        <v>0</v>
      </c>
      <c r="O6849" s="53" t="n">
        <v>45910.5897453704</v>
      </c>
      <c r="P6849" s="53" t="n">
        <v>45997.3712268519</v>
      </c>
      <c r="Q6849" s="53" t="n">
        <v>45910.5897453704</v>
      </c>
      <c r="R6849" s="0" t="n">
        <v>0</v>
      </c>
      <c r="S6849" s="51" t="s">
        <v>2356</v>
      </c>
      <c r="T6849" s="51" t="s">
        <v>2356</v>
      </c>
      <c r="U6849" s="51" t="s">
        <v>4166</v>
      </c>
      <c r="V6849" s="51" t="s">
        <v>2365</v>
      </c>
      <c r="W6849" s="51" t="s">
        <v>4152</v>
      </c>
      <c r="X6849" s="51" t="s">
        <v>2359</v>
      </c>
    </row>
    <row r="6850" customFormat="false" ht="14.25" hidden="true" customHeight="false" outlineLevel="0" collapsed="false">
      <c r="A6850" s="49" t="s">
        <v>2349</v>
      </c>
      <c r="B6850" s="49" t="s">
        <v>2350</v>
      </c>
      <c r="C6850" s="49" t="s">
        <v>11601</v>
      </c>
      <c r="D6850" s="49" t="s">
        <v>2352</v>
      </c>
      <c r="E6850" s="49" t="s">
        <v>4166</v>
      </c>
      <c r="F6850" s="49" t="s">
        <v>4167</v>
      </c>
      <c r="G6850" s="49" t="n">
        <v>0</v>
      </c>
      <c r="H6850" s="0" t="n">
        <v>0</v>
      </c>
      <c r="M6850" s="51" t="s">
        <v>11600</v>
      </c>
      <c r="N6850" s="49" t="n">
        <v>0</v>
      </c>
      <c r="O6850" s="53" t="n">
        <v>45910.5903356482</v>
      </c>
      <c r="P6850" s="53" t="n">
        <v>45911.5977083333</v>
      </c>
      <c r="Q6850" s="53" t="n">
        <v>45910.5903356482</v>
      </c>
      <c r="R6850" s="0" t="n">
        <v>0</v>
      </c>
      <c r="S6850" s="51" t="s">
        <v>2356</v>
      </c>
      <c r="T6850" s="51" t="s">
        <v>2356</v>
      </c>
      <c r="U6850" s="51" t="s">
        <v>4166</v>
      </c>
      <c r="V6850" s="51" t="s">
        <v>2365</v>
      </c>
      <c r="W6850" s="51" t="s">
        <v>4478</v>
      </c>
      <c r="X6850" s="51" t="s">
        <v>2359</v>
      </c>
    </row>
    <row r="6851" customFormat="false" ht="14.25" hidden="true" customHeight="false" outlineLevel="0" collapsed="false">
      <c r="A6851" s="49" t="s">
        <v>2349</v>
      </c>
      <c r="B6851" s="49" t="s">
        <v>2350</v>
      </c>
      <c r="C6851" s="49" t="s">
        <v>11602</v>
      </c>
      <c r="D6851" s="49" t="s">
        <v>2352</v>
      </c>
      <c r="E6851" s="49" t="s">
        <v>4166</v>
      </c>
      <c r="F6851" s="49" t="s">
        <v>4167</v>
      </c>
      <c r="G6851" s="49" t="n">
        <v>0</v>
      </c>
      <c r="H6851" s="0" t="n">
        <v>0</v>
      </c>
      <c r="M6851" s="51" t="s">
        <v>11600</v>
      </c>
      <c r="N6851" s="49" t="n">
        <v>0</v>
      </c>
      <c r="O6851" s="53" t="n">
        <v>45910.5905324074</v>
      </c>
      <c r="P6851" s="53" t="n">
        <v>45911.5977662037</v>
      </c>
      <c r="Q6851" s="53" t="n">
        <v>45910.5905324074</v>
      </c>
      <c r="R6851" s="0" t="n">
        <v>0</v>
      </c>
      <c r="S6851" s="51" t="s">
        <v>2356</v>
      </c>
      <c r="T6851" s="51" t="s">
        <v>2356</v>
      </c>
      <c r="U6851" s="51" t="s">
        <v>4166</v>
      </c>
      <c r="V6851" s="51" t="s">
        <v>2365</v>
      </c>
      <c r="W6851" s="51" t="s">
        <v>4480</v>
      </c>
      <c r="X6851" s="51" t="s">
        <v>2359</v>
      </c>
    </row>
    <row r="6852" customFormat="false" ht="14.25" hidden="true" customHeight="false" outlineLevel="0" collapsed="false">
      <c r="A6852" s="49" t="s">
        <v>2349</v>
      </c>
      <c r="B6852" s="49" t="s">
        <v>2350</v>
      </c>
      <c r="C6852" s="49" t="s">
        <v>11603</v>
      </c>
      <c r="D6852" s="49" t="s">
        <v>2352</v>
      </c>
      <c r="E6852" s="49" t="s">
        <v>4166</v>
      </c>
      <c r="F6852" s="49" t="s">
        <v>4167</v>
      </c>
      <c r="G6852" s="49" t="n">
        <v>0</v>
      </c>
      <c r="H6852" s="0" t="n">
        <v>0</v>
      </c>
      <c r="M6852" s="51" t="s">
        <v>11600</v>
      </c>
      <c r="N6852" s="49" t="n">
        <v>0</v>
      </c>
      <c r="O6852" s="53" t="n">
        <v>45910.5907638889</v>
      </c>
      <c r="P6852" s="53" t="n">
        <v>45911.5979050926</v>
      </c>
      <c r="Q6852" s="53" t="n">
        <v>45910.5907638889</v>
      </c>
      <c r="R6852" s="0" t="n">
        <v>0</v>
      </c>
      <c r="S6852" s="51" t="s">
        <v>2356</v>
      </c>
      <c r="T6852" s="51" t="s">
        <v>2356</v>
      </c>
      <c r="U6852" s="51" t="s">
        <v>4166</v>
      </c>
      <c r="V6852" s="51" t="s">
        <v>2365</v>
      </c>
      <c r="W6852" s="51" t="s">
        <v>3758</v>
      </c>
      <c r="X6852" s="51" t="s">
        <v>2359</v>
      </c>
    </row>
    <row r="6853" customFormat="false" ht="14.25" hidden="true" customHeight="false" outlineLevel="0" collapsed="false">
      <c r="A6853" s="49" t="s">
        <v>2349</v>
      </c>
      <c r="B6853" s="49" t="s">
        <v>2350</v>
      </c>
      <c r="C6853" s="49" t="s">
        <v>11604</v>
      </c>
      <c r="D6853" s="49" t="s">
        <v>2352</v>
      </c>
      <c r="E6853" s="49" t="s">
        <v>4166</v>
      </c>
      <c r="F6853" s="49" t="s">
        <v>4167</v>
      </c>
      <c r="G6853" s="49" t="n">
        <v>0</v>
      </c>
      <c r="H6853" s="0" t="n">
        <v>0</v>
      </c>
      <c r="M6853" s="51" t="s">
        <v>11600</v>
      </c>
      <c r="N6853" s="49" t="n">
        <v>0</v>
      </c>
      <c r="O6853" s="53" t="n">
        <v>45910.5910300926</v>
      </c>
      <c r="P6853" s="53" t="n">
        <v>45911.5979513889</v>
      </c>
      <c r="Q6853" s="53" t="n">
        <v>45910.5910300926</v>
      </c>
      <c r="R6853" s="0" t="n">
        <v>0</v>
      </c>
      <c r="S6853" s="51" t="s">
        <v>2356</v>
      </c>
      <c r="T6853" s="51" t="s">
        <v>2356</v>
      </c>
      <c r="U6853" s="51" t="s">
        <v>4166</v>
      </c>
      <c r="V6853" s="51" t="s">
        <v>2365</v>
      </c>
      <c r="W6853" s="51" t="s">
        <v>7403</v>
      </c>
      <c r="X6853" s="51" t="s">
        <v>2359</v>
      </c>
    </row>
    <row r="6854" customFormat="false" ht="14.25" hidden="true" customHeight="false" outlineLevel="0" collapsed="false">
      <c r="A6854" s="49" t="s">
        <v>2349</v>
      </c>
      <c r="B6854" s="49" t="s">
        <v>2350</v>
      </c>
      <c r="C6854" s="49" t="s">
        <v>11605</v>
      </c>
      <c r="D6854" s="49" t="s">
        <v>2352</v>
      </c>
      <c r="E6854" s="49" t="s">
        <v>4166</v>
      </c>
      <c r="F6854" s="49" t="s">
        <v>4167</v>
      </c>
      <c r="G6854" s="49" t="n">
        <v>0</v>
      </c>
      <c r="H6854" s="0" t="n">
        <v>0</v>
      </c>
      <c r="M6854" s="51" t="s">
        <v>11600</v>
      </c>
      <c r="N6854" s="49" t="n">
        <v>0</v>
      </c>
      <c r="O6854" s="53" t="n">
        <v>45910.5912615741</v>
      </c>
      <c r="P6854" s="53" t="n">
        <v>45911.5980324074</v>
      </c>
      <c r="Q6854" s="53" t="n">
        <v>45910.5912615741</v>
      </c>
      <c r="R6854" s="0" t="n">
        <v>0</v>
      </c>
      <c r="S6854" s="51" t="s">
        <v>2356</v>
      </c>
      <c r="T6854" s="51" t="s">
        <v>2356</v>
      </c>
      <c r="U6854" s="51" t="s">
        <v>4166</v>
      </c>
      <c r="V6854" s="51" t="s">
        <v>2365</v>
      </c>
      <c r="W6854" s="51" t="s">
        <v>7058</v>
      </c>
      <c r="X6854" s="51" t="s">
        <v>2359</v>
      </c>
    </row>
    <row r="6855" customFormat="false" ht="14.25" hidden="true" customHeight="false" outlineLevel="0" collapsed="false">
      <c r="A6855" s="49" t="s">
        <v>2349</v>
      </c>
      <c r="B6855" s="49" t="s">
        <v>2350</v>
      </c>
      <c r="C6855" s="49" t="s">
        <v>11606</v>
      </c>
      <c r="D6855" s="49" t="s">
        <v>2352</v>
      </c>
      <c r="E6855" s="49" t="s">
        <v>4166</v>
      </c>
      <c r="F6855" s="49" t="s">
        <v>4167</v>
      </c>
      <c r="G6855" s="49" t="n">
        <v>0</v>
      </c>
      <c r="H6855" s="0" t="n">
        <v>0</v>
      </c>
      <c r="M6855" s="51" t="s">
        <v>11600</v>
      </c>
      <c r="N6855" s="49" t="n">
        <v>0</v>
      </c>
      <c r="O6855" s="53" t="n">
        <v>45910.5914699074</v>
      </c>
      <c r="P6855" s="53" t="n">
        <v>45911.5981597222</v>
      </c>
      <c r="Q6855" s="53" t="n">
        <v>45910.5914699074</v>
      </c>
      <c r="R6855" s="0" t="n">
        <v>0</v>
      </c>
      <c r="S6855" s="51" t="s">
        <v>2356</v>
      </c>
      <c r="T6855" s="51" t="s">
        <v>2356</v>
      </c>
      <c r="U6855" s="51" t="s">
        <v>4166</v>
      </c>
      <c r="V6855" s="51" t="s">
        <v>2365</v>
      </c>
      <c r="W6855" s="51" t="s">
        <v>7056</v>
      </c>
      <c r="X6855" s="51" t="s">
        <v>2359</v>
      </c>
    </row>
    <row r="6856" customFormat="false" ht="14.25" hidden="true" customHeight="false" outlineLevel="0" collapsed="false">
      <c r="A6856" s="49" t="s">
        <v>2349</v>
      </c>
      <c r="B6856" s="49" t="s">
        <v>2350</v>
      </c>
      <c r="C6856" s="49" t="s">
        <v>11607</v>
      </c>
      <c r="D6856" s="49" t="s">
        <v>2352</v>
      </c>
      <c r="E6856" s="49" t="s">
        <v>4166</v>
      </c>
      <c r="F6856" s="49" t="s">
        <v>4167</v>
      </c>
      <c r="G6856" s="49" t="n">
        <v>0</v>
      </c>
      <c r="H6856" s="0" t="n">
        <v>0</v>
      </c>
      <c r="M6856" s="51" t="s">
        <v>11600</v>
      </c>
      <c r="N6856" s="49" t="n">
        <v>0</v>
      </c>
      <c r="O6856" s="53" t="n">
        <v>45910.5916898148</v>
      </c>
      <c r="P6856" s="53" t="n">
        <v>45911.5982523148</v>
      </c>
      <c r="Q6856" s="53" t="n">
        <v>45910.5916898148</v>
      </c>
      <c r="R6856" s="0" t="n">
        <v>0</v>
      </c>
      <c r="S6856" s="51" t="s">
        <v>2356</v>
      </c>
      <c r="T6856" s="51" t="s">
        <v>2356</v>
      </c>
      <c r="U6856" s="51" t="s">
        <v>4166</v>
      </c>
      <c r="V6856" s="51" t="s">
        <v>2365</v>
      </c>
      <c r="W6856" s="51" t="s">
        <v>7054</v>
      </c>
      <c r="X6856" s="51" t="s">
        <v>2359</v>
      </c>
    </row>
    <row r="6857" customFormat="false" ht="14.25" hidden="true" customHeight="false" outlineLevel="0" collapsed="false">
      <c r="A6857" s="49" t="s">
        <v>2349</v>
      </c>
      <c r="B6857" s="49" t="s">
        <v>2350</v>
      </c>
      <c r="C6857" s="49" t="s">
        <v>11608</v>
      </c>
      <c r="D6857" s="49" t="s">
        <v>2352</v>
      </c>
      <c r="E6857" s="49" t="s">
        <v>4166</v>
      </c>
      <c r="F6857" s="49" t="s">
        <v>4167</v>
      </c>
      <c r="G6857" s="49" t="n">
        <v>0</v>
      </c>
      <c r="H6857" s="0" t="n">
        <v>0</v>
      </c>
      <c r="M6857" s="51" t="s">
        <v>11600</v>
      </c>
      <c r="N6857" s="49" t="n">
        <v>0</v>
      </c>
      <c r="O6857" s="53" t="n">
        <v>45910.5918865741</v>
      </c>
      <c r="P6857" s="53" t="n">
        <v>45911.5984027778</v>
      </c>
      <c r="Q6857" s="53" t="n">
        <v>45910.5918865741</v>
      </c>
      <c r="R6857" s="0" t="n">
        <v>0</v>
      </c>
      <c r="S6857" s="51" t="s">
        <v>2356</v>
      </c>
      <c r="T6857" s="51" t="s">
        <v>2356</v>
      </c>
      <c r="U6857" s="51" t="s">
        <v>4166</v>
      </c>
      <c r="V6857" s="51" t="s">
        <v>2365</v>
      </c>
      <c r="W6857" s="51" t="s">
        <v>10531</v>
      </c>
      <c r="X6857" s="51" t="s">
        <v>2359</v>
      </c>
    </row>
    <row r="6858" customFormat="false" ht="14.25" hidden="true" customHeight="false" outlineLevel="0" collapsed="false">
      <c r="A6858" s="49" t="s">
        <v>2349</v>
      </c>
      <c r="B6858" s="49" t="s">
        <v>2350</v>
      </c>
      <c r="C6858" s="49" t="s">
        <v>11609</v>
      </c>
      <c r="D6858" s="49" t="s">
        <v>2352</v>
      </c>
      <c r="E6858" s="49" t="s">
        <v>4166</v>
      </c>
      <c r="F6858" s="49" t="s">
        <v>4167</v>
      </c>
      <c r="G6858" s="49" t="n">
        <v>0</v>
      </c>
      <c r="H6858" s="0" t="n">
        <v>0</v>
      </c>
      <c r="M6858" s="51" t="s">
        <v>11600</v>
      </c>
      <c r="N6858" s="49" t="n">
        <v>0</v>
      </c>
      <c r="O6858" s="53" t="n">
        <v>45910.5921180556</v>
      </c>
      <c r="P6858" s="53" t="n">
        <v>45911.5986689815</v>
      </c>
      <c r="Q6858" s="53" t="n">
        <v>45910.5921180556</v>
      </c>
      <c r="R6858" s="0" t="n">
        <v>0</v>
      </c>
      <c r="S6858" s="51" t="s">
        <v>2356</v>
      </c>
      <c r="T6858" s="51" t="s">
        <v>2356</v>
      </c>
      <c r="U6858" s="51" t="s">
        <v>4166</v>
      </c>
      <c r="V6858" s="51" t="s">
        <v>2365</v>
      </c>
      <c r="W6858" s="51" t="s">
        <v>6476</v>
      </c>
      <c r="X6858" s="51" t="s">
        <v>2359</v>
      </c>
    </row>
    <row r="6859" customFormat="false" ht="14.25" hidden="true" customHeight="false" outlineLevel="0" collapsed="false">
      <c r="A6859" s="49" t="s">
        <v>2349</v>
      </c>
      <c r="B6859" s="49" t="s">
        <v>2350</v>
      </c>
      <c r="C6859" s="49" t="s">
        <v>11610</v>
      </c>
      <c r="D6859" s="49" t="s">
        <v>2352</v>
      </c>
      <c r="E6859" s="49" t="s">
        <v>4166</v>
      </c>
      <c r="F6859" s="49" t="s">
        <v>4167</v>
      </c>
      <c r="G6859" s="49" t="n">
        <v>0</v>
      </c>
      <c r="H6859" s="0" t="n">
        <v>0</v>
      </c>
      <c r="M6859" s="51" t="s">
        <v>11600</v>
      </c>
      <c r="N6859" s="49" t="n">
        <v>0</v>
      </c>
      <c r="O6859" s="53" t="n">
        <v>45910.5924074074</v>
      </c>
      <c r="P6859" s="53" t="n">
        <v>45911.5987384259</v>
      </c>
      <c r="Q6859" s="53" t="n">
        <v>45910.5924074074</v>
      </c>
      <c r="R6859" s="0" t="n">
        <v>0</v>
      </c>
      <c r="S6859" s="51" t="s">
        <v>2356</v>
      </c>
      <c r="T6859" s="51" t="s">
        <v>2356</v>
      </c>
      <c r="U6859" s="51" t="s">
        <v>4166</v>
      </c>
      <c r="V6859" s="51" t="s">
        <v>2365</v>
      </c>
      <c r="W6859" s="51" t="s">
        <v>5412</v>
      </c>
      <c r="X6859" s="51" t="s">
        <v>2359</v>
      </c>
    </row>
    <row r="6860" customFormat="false" ht="14.25" hidden="true" customHeight="false" outlineLevel="0" collapsed="false">
      <c r="A6860" s="49" t="s">
        <v>2349</v>
      </c>
      <c r="B6860" s="49" t="s">
        <v>2350</v>
      </c>
      <c r="C6860" s="49" t="s">
        <v>11611</v>
      </c>
      <c r="D6860" s="49" t="s">
        <v>2352</v>
      </c>
      <c r="E6860" s="49" t="s">
        <v>4166</v>
      </c>
      <c r="F6860" s="49" t="s">
        <v>4167</v>
      </c>
      <c r="G6860" s="49" t="n">
        <v>0</v>
      </c>
      <c r="H6860" s="0" t="n">
        <v>0</v>
      </c>
      <c r="M6860" s="51" t="s">
        <v>11600</v>
      </c>
      <c r="N6860" s="49" t="n">
        <v>0</v>
      </c>
      <c r="O6860" s="53" t="n">
        <v>45910.5926273148</v>
      </c>
      <c r="P6860" s="53" t="n">
        <v>45911.5988888889</v>
      </c>
      <c r="Q6860" s="53" t="n">
        <v>45910.5926273148</v>
      </c>
      <c r="R6860" s="0" t="n">
        <v>0</v>
      </c>
      <c r="S6860" s="51" t="s">
        <v>2356</v>
      </c>
      <c r="T6860" s="51" t="s">
        <v>2356</v>
      </c>
      <c r="U6860" s="51" t="s">
        <v>4166</v>
      </c>
      <c r="V6860" s="51" t="s">
        <v>2365</v>
      </c>
      <c r="W6860" s="51" t="s">
        <v>3747</v>
      </c>
      <c r="X6860" s="51" t="s">
        <v>2359</v>
      </c>
    </row>
    <row r="6861" customFormat="false" ht="14.25" hidden="true" customHeight="false" outlineLevel="0" collapsed="false">
      <c r="A6861" s="49" t="s">
        <v>2349</v>
      </c>
      <c r="B6861" s="49" t="s">
        <v>2350</v>
      </c>
      <c r="C6861" s="49" t="s">
        <v>11612</v>
      </c>
      <c r="D6861" s="49" t="s">
        <v>2352</v>
      </c>
      <c r="E6861" s="49" t="s">
        <v>4166</v>
      </c>
      <c r="F6861" s="49" t="s">
        <v>4167</v>
      </c>
      <c r="G6861" s="49" t="n">
        <v>0</v>
      </c>
      <c r="H6861" s="0" t="n">
        <v>0</v>
      </c>
      <c r="M6861" s="51" t="s">
        <v>11600</v>
      </c>
      <c r="N6861" s="49" t="n">
        <v>0</v>
      </c>
      <c r="O6861" s="53" t="n">
        <v>45910.5928703704</v>
      </c>
      <c r="P6861" s="53" t="n">
        <v>45911.5989583333</v>
      </c>
      <c r="Q6861" s="53" t="n">
        <v>45910.5928703704</v>
      </c>
      <c r="R6861" s="0" t="n">
        <v>0</v>
      </c>
      <c r="S6861" s="51" t="s">
        <v>2356</v>
      </c>
      <c r="T6861" s="51" t="s">
        <v>2356</v>
      </c>
      <c r="U6861" s="51" t="s">
        <v>4166</v>
      </c>
      <c r="V6861" s="51" t="s">
        <v>2365</v>
      </c>
      <c r="W6861" s="51" t="s">
        <v>3747</v>
      </c>
      <c r="X6861" s="51" t="s">
        <v>2359</v>
      </c>
    </row>
    <row r="6862" customFormat="false" ht="14.25" hidden="true" customHeight="false" outlineLevel="0" collapsed="false">
      <c r="A6862" s="49" t="s">
        <v>2349</v>
      </c>
      <c r="B6862" s="49" t="s">
        <v>2350</v>
      </c>
      <c r="C6862" s="49" t="s">
        <v>11613</v>
      </c>
      <c r="D6862" s="49" t="s">
        <v>2352</v>
      </c>
      <c r="E6862" s="49" t="s">
        <v>4166</v>
      </c>
      <c r="F6862" s="49" t="s">
        <v>4167</v>
      </c>
      <c r="G6862" s="49" t="n">
        <v>0</v>
      </c>
      <c r="H6862" s="0" t="n">
        <v>0</v>
      </c>
      <c r="M6862" s="51" t="s">
        <v>11600</v>
      </c>
      <c r="N6862" s="49" t="n">
        <v>0</v>
      </c>
      <c r="O6862" s="53" t="n">
        <v>45910.5931134259</v>
      </c>
      <c r="P6862" s="53" t="n">
        <v>45911.5990162037</v>
      </c>
      <c r="Q6862" s="53" t="n">
        <v>45910.5931134259</v>
      </c>
      <c r="R6862" s="0" t="n">
        <v>0</v>
      </c>
      <c r="S6862" s="51" t="s">
        <v>2356</v>
      </c>
      <c r="T6862" s="51" t="s">
        <v>2356</v>
      </c>
      <c r="U6862" s="51" t="s">
        <v>4166</v>
      </c>
      <c r="V6862" s="51" t="s">
        <v>2365</v>
      </c>
      <c r="W6862" s="51" t="s">
        <v>6472</v>
      </c>
      <c r="X6862" s="51" t="s">
        <v>2359</v>
      </c>
    </row>
    <row r="6863" customFormat="false" ht="14.25" hidden="true" customHeight="false" outlineLevel="0" collapsed="false">
      <c r="A6863" s="49" t="s">
        <v>2349</v>
      </c>
      <c r="B6863" s="49" t="s">
        <v>2350</v>
      </c>
      <c r="C6863" s="49" t="s">
        <v>11614</v>
      </c>
      <c r="D6863" s="49" t="s">
        <v>2352</v>
      </c>
      <c r="E6863" s="49" t="s">
        <v>4166</v>
      </c>
      <c r="F6863" s="49" t="s">
        <v>4167</v>
      </c>
      <c r="G6863" s="49" t="n">
        <v>0</v>
      </c>
      <c r="H6863" s="0" t="n">
        <v>0</v>
      </c>
      <c r="M6863" s="51" t="s">
        <v>11600</v>
      </c>
      <c r="N6863" s="49" t="n">
        <v>0</v>
      </c>
      <c r="O6863" s="53" t="n">
        <v>45910.5933101852</v>
      </c>
      <c r="P6863" s="53" t="n">
        <v>45911.5991435185</v>
      </c>
      <c r="Q6863" s="53" t="n">
        <v>45910.5933101852</v>
      </c>
      <c r="R6863" s="0" t="n">
        <v>0</v>
      </c>
      <c r="S6863" s="51" t="s">
        <v>2356</v>
      </c>
      <c r="T6863" s="51" t="s">
        <v>2356</v>
      </c>
      <c r="U6863" s="51" t="s">
        <v>4166</v>
      </c>
      <c r="V6863" s="51" t="s">
        <v>2365</v>
      </c>
      <c r="W6863" s="51" t="s">
        <v>6472</v>
      </c>
      <c r="X6863" s="51" t="s">
        <v>2359</v>
      </c>
    </row>
    <row r="6864" customFormat="false" ht="14.25" hidden="true" customHeight="false" outlineLevel="0" collapsed="false">
      <c r="A6864" s="49" t="s">
        <v>2349</v>
      </c>
      <c r="B6864" s="49" t="s">
        <v>2350</v>
      </c>
      <c r="C6864" s="49" t="s">
        <v>11615</v>
      </c>
      <c r="D6864" s="49" t="s">
        <v>2352</v>
      </c>
      <c r="E6864" s="49" t="s">
        <v>4166</v>
      </c>
      <c r="F6864" s="49" t="s">
        <v>4167</v>
      </c>
      <c r="G6864" s="49" t="n">
        <v>0</v>
      </c>
      <c r="H6864" s="0" t="n">
        <v>0</v>
      </c>
      <c r="M6864" s="51" t="s">
        <v>11600</v>
      </c>
      <c r="N6864" s="49" t="n">
        <v>0</v>
      </c>
      <c r="O6864" s="53" t="n">
        <v>45910.5935069444</v>
      </c>
      <c r="P6864" s="53" t="n">
        <v>45911.599212963</v>
      </c>
      <c r="Q6864" s="53" t="n">
        <v>45910.5935069444</v>
      </c>
      <c r="R6864" s="0" t="n">
        <v>0</v>
      </c>
      <c r="S6864" s="51" t="s">
        <v>2356</v>
      </c>
      <c r="T6864" s="51" t="s">
        <v>2356</v>
      </c>
      <c r="U6864" s="51" t="s">
        <v>4166</v>
      </c>
      <c r="V6864" s="51" t="s">
        <v>2365</v>
      </c>
      <c r="W6864" s="51" t="s">
        <v>6470</v>
      </c>
      <c r="X6864" s="51" t="s">
        <v>2359</v>
      </c>
    </row>
    <row r="6865" customFormat="false" ht="14.25" hidden="true" customHeight="false" outlineLevel="0" collapsed="false">
      <c r="A6865" s="49" t="s">
        <v>2349</v>
      </c>
      <c r="B6865" s="49" t="s">
        <v>2350</v>
      </c>
      <c r="C6865" s="49" t="s">
        <v>11616</v>
      </c>
      <c r="D6865" s="49" t="s">
        <v>2352</v>
      </c>
      <c r="E6865" s="49" t="s">
        <v>4166</v>
      </c>
      <c r="F6865" s="49" t="s">
        <v>4167</v>
      </c>
      <c r="G6865" s="49" t="n">
        <v>0</v>
      </c>
      <c r="H6865" s="0" t="n">
        <v>0</v>
      </c>
      <c r="M6865" s="51" t="s">
        <v>11600</v>
      </c>
      <c r="N6865" s="49" t="n">
        <v>0</v>
      </c>
      <c r="O6865" s="53" t="n">
        <v>45910.5937037037</v>
      </c>
      <c r="P6865" s="53" t="n">
        <v>45911.5994212963</v>
      </c>
      <c r="Q6865" s="53" t="n">
        <v>45910.5937037037</v>
      </c>
      <c r="R6865" s="0" t="n">
        <v>0</v>
      </c>
      <c r="S6865" s="51" t="s">
        <v>2356</v>
      </c>
      <c r="T6865" s="51" t="s">
        <v>2356</v>
      </c>
      <c r="U6865" s="51" t="s">
        <v>4166</v>
      </c>
      <c r="V6865" s="51" t="s">
        <v>2365</v>
      </c>
      <c r="W6865" s="51" t="s">
        <v>6468</v>
      </c>
      <c r="X6865" s="51" t="s">
        <v>2359</v>
      </c>
    </row>
    <row r="6866" customFormat="false" ht="14.25" hidden="true" customHeight="false" outlineLevel="0" collapsed="false">
      <c r="A6866" s="49" t="s">
        <v>2349</v>
      </c>
      <c r="B6866" s="49" t="s">
        <v>2350</v>
      </c>
      <c r="C6866" s="49" t="s">
        <v>11617</v>
      </c>
      <c r="D6866" s="49" t="s">
        <v>2352</v>
      </c>
      <c r="E6866" s="49" t="s">
        <v>4166</v>
      </c>
      <c r="F6866" s="49" t="s">
        <v>4167</v>
      </c>
      <c r="G6866" s="49" t="n">
        <v>0</v>
      </c>
      <c r="H6866" s="0" t="n">
        <v>0</v>
      </c>
      <c r="M6866" s="51" t="s">
        <v>11600</v>
      </c>
      <c r="N6866" s="49" t="n">
        <v>0</v>
      </c>
      <c r="O6866" s="53" t="n">
        <v>45910.5939699074</v>
      </c>
      <c r="P6866" s="53" t="n">
        <v>45911.5994675926</v>
      </c>
      <c r="Q6866" s="53" t="n">
        <v>45910.5939699074</v>
      </c>
      <c r="R6866" s="0" t="n">
        <v>0</v>
      </c>
      <c r="S6866" s="51" t="s">
        <v>2356</v>
      </c>
      <c r="T6866" s="51" t="s">
        <v>2356</v>
      </c>
      <c r="U6866" s="51" t="s">
        <v>4166</v>
      </c>
      <c r="V6866" s="51" t="s">
        <v>2365</v>
      </c>
      <c r="W6866" s="51" t="s">
        <v>6466</v>
      </c>
      <c r="X6866" s="51" t="s">
        <v>2359</v>
      </c>
    </row>
    <row r="6867" customFormat="false" ht="14.25" hidden="true" customHeight="false" outlineLevel="0" collapsed="false">
      <c r="A6867" s="49" t="s">
        <v>2349</v>
      </c>
      <c r="B6867" s="49" t="s">
        <v>2350</v>
      </c>
      <c r="C6867" s="49" t="s">
        <v>11618</v>
      </c>
      <c r="D6867" s="49" t="s">
        <v>2352</v>
      </c>
      <c r="E6867" s="49" t="s">
        <v>4166</v>
      </c>
      <c r="F6867" s="49" t="s">
        <v>4167</v>
      </c>
      <c r="G6867" s="49" t="n">
        <v>0</v>
      </c>
      <c r="H6867" s="0" t="n">
        <v>0</v>
      </c>
      <c r="M6867" s="51" t="s">
        <v>11600</v>
      </c>
      <c r="N6867" s="49" t="n">
        <v>0</v>
      </c>
      <c r="O6867" s="53" t="n">
        <v>45910.5941782407</v>
      </c>
      <c r="P6867" s="53" t="n">
        <v>45939.4724074074</v>
      </c>
      <c r="Q6867" s="53" t="n">
        <v>45910.5941782407</v>
      </c>
      <c r="R6867" s="0" t="n">
        <v>0</v>
      </c>
      <c r="S6867" s="51" t="s">
        <v>2356</v>
      </c>
      <c r="T6867" s="51" t="s">
        <v>2356</v>
      </c>
      <c r="U6867" s="51" t="s">
        <v>4166</v>
      </c>
      <c r="V6867" s="51" t="s">
        <v>2365</v>
      </c>
      <c r="W6867" s="51" t="s">
        <v>4169</v>
      </c>
      <c r="X6867" s="51" t="s">
        <v>2359</v>
      </c>
    </row>
    <row r="6868" customFormat="false" ht="14.25" hidden="true" customHeight="false" outlineLevel="0" collapsed="false">
      <c r="A6868" s="49" t="s">
        <v>2349</v>
      </c>
      <c r="B6868" s="49" t="s">
        <v>2350</v>
      </c>
      <c r="C6868" s="49" t="s">
        <v>11619</v>
      </c>
      <c r="D6868" s="49" t="s">
        <v>2352</v>
      </c>
      <c r="E6868" s="49" t="s">
        <v>4166</v>
      </c>
      <c r="F6868" s="49" t="s">
        <v>4167</v>
      </c>
      <c r="G6868" s="49" t="n">
        <v>0</v>
      </c>
      <c r="H6868" s="0" t="n">
        <v>0</v>
      </c>
      <c r="M6868" s="51" t="s">
        <v>11600</v>
      </c>
      <c r="N6868" s="49" t="n">
        <v>0</v>
      </c>
      <c r="O6868" s="53" t="n">
        <v>45910.5943518519</v>
      </c>
      <c r="P6868" s="53" t="n">
        <v>45997.3713541667</v>
      </c>
      <c r="Q6868" s="53" t="n">
        <v>45910.5943518519</v>
      </c>
      <c r="R6868" s="0" t="n">
        <v>0</v>
      </c>
      <c r="S6868" s="51" t="s">
        <v>2356</v>
      </c>
      <c r="T6868" s="51" t="s">
        <v>2356</v>
      </c>
      <c r="U6868" s="51" t="s">
        <v>4166</v>
      </c>
      <c r="V6868" s="51" t="s">
        <v>2365</v>
      </c>
      <c r="W6868" s="51" t="s">
        <v>4152</v>
      </c>
      <c r="X6868" s="51" t="s">
        <v>2359</v>
      </c>
    </row>
    <row r="6869" customFormat="false" ht="14.25" hidden="true" customHeight="false" outlineLevel="0" collapsed="false">
      <c r="A6869" s="49" t="s">
        <v>2349</v>
      </c>
      <c r="B6869" s="49" t="s">
        <v>2350</v>
      </c>
      <c r="C6869" s="49" t="s">
        <v>11620</v>
      </c>
      <c r="D6869" s="49" t="s">
        <v>2352</v>
      </c>
      <c r="E6869" s="49" t="s">
        <v>4166</v>
      </c>
      <c r="F6869" s="49" t="s">
        <v>4167</v>
      </c>
      <c r="G6869" s="49" t="n">
        <v>0</v>
      </c>
      <c r="H6869" s="0" t="n">
        <v>0</v>
      </c>
      <c r="M6869" s="51" t="s">
        <v>11600</v>
      </c>
      <c r="N6869" s="49" t="n">
        <v>0</v>
      </c>
      <c r="O6869" s="53" t="n">
        <v>45910.594537037</v>
      </c>
      <c r="P6869" s="53" t="n">
        <v>45986.5667361111</v>
      </c>
      <c r="Q6869" s="53" t="n">
        <v>45910.594537037</v>
      </c>
      <c r="R6869" s="0" t="n">
        <v>0</v>
      </c>
      <c r="S6869" s="51" t="s">
        <v>2356</v>
      </c>
      <c r="T6869" s="51" t="s">
        <v>2356</v>
      </c>
      <c r="U6869" s="51" t="s">
        <v>4166</v>
      </c>
      <c r="V6869" s="51" t="s">
        <v>2365</v>
      </c>
      <c r="W6869" s="51" t="s">
        <v>5968</v>
      </c>
      <c r="X6869" s="51" t="s">
        <v>2359</v>
      </c>
    </row>
    <row r="6870" customFormat="false" ht="14.25" hidden="true" customHeight="false" outlineLevel="0" collapsed="false">
      <c r="A6870" s="49" t="s">
        <v>2349</v>
      </c>
      <c r="B6870" s="49" t="s">
        <v>2350</v>
      </c>
      <c r="C6870" s="49" t="s">
        <v>11621</v>
      </c>
      <c r="D6870" s="49" t="s">
        <v>2352</v>
      </c>
      <c r="E6870" s="49" t="s">
        <v>4166</v>
      </c>
      <c r="F6870" s="49" t="s">
        <v>4167</v>
      </c>
      <c r="G6870" s="49" t="n">
        <v>0</v>
      </c>
      <c r="H6870" s="0" t="n">
        <v>0</v>
      </c>
      <c r="M6870" s="51" t="s">
        <v>11600</v>
      </c>
      <c r="N6870" s="49" t="n">
        <v>0</v>
      </c>
      <c r="O6870" s="53" t="n">
        <v>45910.5947453704</v>
      </c>
      <c r="P6870" s="53" t="n">
        <v>45939.4722916667</v>
      </c>
      <c r="Q6870" s="53" t="n">
        <v>45910.5947453704</v>
      </c>
      <c r="R6870" s="0" t="n">
        <v>0</v>
      </c>
      <c r="S6870" s="51" t="s">
        <v>2356</v>
      </c>
      <c r="T6870" s="51" t="s">
        <v>2356</v>
      </c>
      <c r="U6870" s="51" t="s">
        <v>4166</v>
      </c>
      <c r="V6870" s="51" t="s">
        <v>2365</v>
      </c>
      <c r="W6870" s="51" t="s">
        <v>5750</v>
      </c>
      <c r="X6870" s="51" t="s">
        <v>2359</v>
      </c>
    </row>
    <row r="6871" customFormat="false" ht="14.25" hidden="true" customHeight="false" outlineLevel="0" collapsed="false">
      <c r="A6871" s="49" t="s">
        <v>2349</v>
      </c>
      <c r="B6871" s="49" t="s">
        <v>2350</v>
      </c>
      <c r="C6871" s="49" t="s">
        <v>11622</v>
      </c>
      <c r="D6871" s="49" t="s">
        <v>2352</v>
      </c>
      <c r="E6871" s="49" t="s">
        <v>4166</v>
      </c>
      <c r="F6871" s="49" t="s">
        <v>4167</v>
      </c>
      <c r="G6871" s="49" t="n">
        <v>0</v>
      </c>
      <c r="H6871" s="0" t="n">
        <v>0</v>
      </c>
      <c r="M6871" s="51" t="s">
        <v>11600</v>
      </c>
      <c r="N6871" s="49" t="n">
        <v>0</v>
      </c>
      <c r="O6871" s="53" t="n">
        <v>45910.5950578704</v>
      </c>
      <c r="P6871" s="53" t="n">
        <v>46005.4014583333</v>
      </c>
      <c r="Q6871" s="53" t="n">
        <v>45910.5950578704</v>
      </c>
      <c r="R6871" s="0" t="n">
        <v>0</v>
      </c>
      <c r="S6871" s="51" t="s">
        <v>2356</v>
      </c>
      <c r="T6871" s="51" t="s">
        <v>2356</v>
      </c>
      <c r="U6871" s="51" t="s">
        <v>4166</v>
      </c>
      <c r="V6871" s="51" t="s">
        <v>2365</v>
      </c>
      <c r="W6871" s="51" t="s">
        <v>4152</v>
      </c>
      <c r="X6871" s="51" t="s">
        <v>2359</v>
      </c>
    </row>
    <row r="6872" customFormat="false" ht="14.25" hidden="true" customHeight="false" outlineLevel="0" collapsed="false">
      <c r="A6872" s="49" t="s">
        <v>2349</v>
      </c>
      <c r="B6872" s="49" t="s">
        <v>2350</v>
      </c>
      <c r="C6872" s="49" t="s">
        <v>11623</v>
      </c>
      <c r="D6872" s="49" t="s">
        <v>2352</v>
      </c>
      <c r="E6872" s="49" t="str">
        <f aca="false">"12415275"</f>
        <v>12415275</v>
      </c>
      <c r="F6872" s="49" t="s">
        <v>8355</v>
      </c>
      <c r="G6872" s="49" t="n">
        <v>0</v>
      </c>
      <c r="H6872" s="0" t="n">
        <v>0</v>
      </c>
      <c r="M6872" s="51" t="s">
        <v>11624</v>
      </c>
      <c r="N6872" s="49" t="n">
        <v>0</v>
      </c>
      <c r="O6872" s="53" t="n">
        <v>45928.4307986111</v>
      </c>
      <c r="P6872" s="53" t="n">
        <v>45931.7929513889</v>
      </c>
      <c r="Q6872" s="53" t="n">
        <v>45928.4307986111</v>
      </c>
      <c r="R6872" s="0" t="n">
        <v>0</v>
      </c>
      <c r="S6872" s="51" t="s">
        <v>2416</v>
      </c>
      <c r="T6872" s="51" t="s">
        <v>2416</v>
      </c>
      <c r="U6872" s="0" t="str">
        <f aca="false">"12415275"</f>
        <v>12415275</v>
      </c>
      <c r="V6872" s="51" t="s">
        <v>2365</v>
      </c>
      <c r="W6872" s="51" t="s">
        <v>6243</v>
      </c>
      <c r="X6872" s="51" t="s">
        <v>2359</v>
      </c>
    </row>
    <row r="6873" customFormat="false" ht="14.25" hidden="true" customHeight="false" outlineLevel="0" collapsed="false">
      <c r="A6873" s="49" t="s">
        <v>2349</v>
      </c>
      <c r="B6873" s="49" t="s">
        <v>2350</v>
      </c>
      <c r="C6873" s="49" t="s">
        <v>11625</v>
      </c>
      <c r="D6873" s="49" t="s">
        <v>2352</v>
      </c>
      <c r="E6873" s="49" t="str">
        <f aca="false">"71505021166"</f>
        <v>71505021166</v>
      </c>
      <c r="F6873" s="49" t="s">
        <v>7985</v>
      </c>
      <c r="G6873" s="49" t="n">
        <v>0</v>
      </c>
      <c r="H6873" s="0" t="n">
        <v>0</v>
      </c>
      <c r="M6873" s="51" t="s">
        <v>11626</v>
      </c>
      <c r="N6873" s="49" t="n">
        <v>0</v>
      </c>
      <c r="O6873" s="53" t="n">
        <v>45909.4900694444</v>
      </c>
      <c r="P6873" s="53" t="n">
        <v>46047.3604861111</v>
      </c>
      <c r="Q6873" s="53" t="n">
        <v>45909.4900694444</v>
      </c>
      <c r="R6873" s="0" t="n">
        <v>0</v>
      </c>
      <c r="S6873" s="51" t="s">
        <v>2356</v>
      </c>
      <c r="T6873" s="51" t="s">
        <v>2356</v>
      </c>
      <c r="U6873" s="0" t="str">
        <f aca="false">"71505021166"</f>
        <v>71505021166</v>
      </c>
      <c r="V6873" s="51" t="s">
        <v>5386</v>
      </c>
      <c r="W6873" s="51" t="s">
        <v>11627</v>
      </c>
      <c r="X6873" s="51" t="s">
        <v>2359</v>
      </c>
    </row>
    <row r="6874" customFormat="false" ht="14.25" hidden="true" customHeight="false" outlineLevel="0" collapsed="false">
      <c r="A6874" s="49" t="s">
        <v>2349</v>
      </c>
      <c r="B6874" s="49" t="s">
        <v>2350</v>
      </c>
      <c r="C6874" s="49" t="s">
        <v>11628</v>
      </c>
      <c r="D6874" s="49" t="s">
        <v>2352</v>
      </c>
      <c r="E6874" s="49" t="str">
        <f aca="false">"71505021166"</f>
        <v>71505021166</v>
      </c>
      <c r="F6874" s="49" t="s">
        <v>7985</v>
      </c>
      <c r="G6874" s="49" t="n">
        <v>0</v>
      </c>
      <c r="H6874" s="0" t="n">
        <v>0</v>
      </c>
      <c r="M6874" s="51" t="s">
        <v>11626</v>
      </c>
      <c r="N6874" s="49" t="n">
        <v>0</v>
      </c>
      <c r="O6874" s="53" t="n">
        <v>45909.490474537</v>
      </c>
      <c r="P6874" s="53" t="n">
        <v>45913.5038888889</v>
      </c>
      <c r="Q6874" s="53" t="n">
        <v>45909.490474537</v>
      </c>
      <c r="R6874" s="0" t="n">
        <v>0</v>
      </c>
      <c r="S6874" s="51" t="s">
        <v>2356</v>
      </c>
      <c r="T6874" s="51" t="s">
        <v>2356</v>
      </c>
      <c r="U6874" s="0" t="str">
        <f aca="false">"71505021166"</f>
        <v>71505021166</v>
      </c>
      <c r="V6874" s="51" t="s">
        <v>5386</v>
      </c>
      <c r="W6874" s="51" t="s">
        <v>4486</v>
      </c>
      <c r="X6874" s="51" t="s">
        <v>2359</v>
      </c>
    </row>
    <row r="6875" customFormat="false" ht="14.25" hidden="true" customHeight="false" outlineLevel="0" collapsed="false">
      <c r="A6875" s="49" t="s">
        <v>2349</v>
      </c>
      <c r="B6875" s="49" t="s">
        <v>2350</v>
      </c>
      <c r="C6875" s="49" t="s">
        <v>11629</v>
      </c>
      <c r="D6875" s="49" t="s">
        <v>2352</v>
      </c>
      <c r="E6875" s="49" t="str">
        <f aca="false">"71505021166"</f>
        <v>71505021166</v>
      </c>
      <c r="F6875" s="49" t="s">
        <v>7985</v>
      </c>
      <c r="G6875" s="49" t="n">
        <v>0</v>
      </c>
      <c r="H6875" s="0" t="n">
        <v>0</v>
      </c>
      <c r="M6875" s="51" t="s">
        <v>11626</v>
      </c>
      <c r="N6875" s="49" t="n">
        <v>0</v>
      </c>
      <c r="O6875" s="53" t="n">
        <v>45909.4912268519</v>
      </c>
      <c r="P6875" s="53" t="n">
        <v>45913.3074074074</v>
      </c>
      <c r="Q6875" s="53" t="n">
        <v>45909.4912268519</v>
      </c>
      <c r="R6875" s="0" t="n">
        <v>0</v>
      </c>
      <c r="S6875" s="51" t="s">
        <v>2356</v>
      </c>
      <c r="T6875" s="51" t="s">
        <v>2356</v>
      </c>
      <c r="U6875" s="0" t="str">
        <f aca="false">"71505021166"</f>
        <v>71505021166</v>
      </c>
      <c r="V6875" s="51" t="s">
        <v>5386</v>
      </c>
      <c r="W6875" s="51" t="s">
        <v>4486</v>
      </c>
      <c r="X6875" s="51" t="s">
        <v>2359</v>
      </c>
    </row>
    <row r="6876" customFormat="false" ht="14.25" hidden="true" customHeight="false" outlineLevel="0" collapsed="false">
      <c r="A6876" s="49" t="s">
        <v>2349</v>
      </c>
      <c r="B6876" s="49" t="s">
        <v>2350</v>
      </c>
      <c r="C6876" s="49" t="s">
        <v>11630</v>
      </c>
      <c r="D6876" s="49" t="s">
        <v>2352</v>
      </c>
      <c r="E6876" s="49" t="str">
        <f aca="false">"71505021166"</f>
        <v>71505021166</v>
      </c>
      <c r="F6876" s="49" t="s">
        <v>7985</v>
      </c>
      <c r="G6876" s="49" t="n">
        <v>0</v>
      </c>
      <c r="H6876" s="0" t="n">
        <v>0</v>
      </c>
      <c r="M6876" s="51" t="s">
        <v>11626</v>
      </c>
      <c r="N6876" s="49" t="n">
        <v>0</v>
      </c>
      <c r="O6876" s="53" t="n">
        <v>45909.4920833333</v>
      </c>
      <c r="P6876" s="53" t="n">
        <v>45913.5040277778</v>
      </c>
      <c r="Q6876" s="53" t="n">
        <v>45909.4920833333</v>
      </c>
      <c r="R6876" s="0" t="n">
        <v>0</v>
      </c>
      <c r="S6876" s="51" t="s">
        <v>2356</v>
      </c>
      <c r="T6876" s="51" t="s">
        <v>2356</v>
      </c>
      <c r="U6876" s="0" t="str">
        <f aca="false">"71505021166"</f>
        <v>71505021166</v>
      </c>
      <c r="V6876" s="51" t="s">
        <v>5386</v>
      </c>
      <c r="W6876" s="51" t="s">
        <v>4478</v>
      </c>
      <c r="X6876" s="51" t="s">
        <v>2359</v>
      </c>
    </row>
    <row r="6877" customFormat="false" ht="14.25" hidden="true" customHeight="false" outlineLevel="0" collapsed="false">
      <c r="A6877" s="49" t="s">
        <v>2349</v>
      </c>
      <c r="B6877" s="49" t="s">
        <v>2350</v>
      </c>
      <c r="C6877" s="49" t="s">
        <v>11631</v>
      </c>
      <c r="D6877" s="49" t="s">
        <v>2352</v>
      </c>
      <c r="E6877" s="49" t="str">
        <f aca="false">"71505021166"</f>
        <v>71505021166</v>
      </c>
      <c r="F6877" s="49" t="s">
        <v>7985</v>
      </c>
      <c r="G6877" s="49" t="n">
        <v>0</v>
      </c>
      <c r="H6877" s="0" t="n">
        <v>0</v>
      </c>
      <c r="M6877" s="51" t="s">
        <v>11626</v>
      </c>
      <c r="N6877" s="49" t="n">
        <v>0</v>
      </c>
      <c r="O6877" s="53" t="n">
        <v>45909.4926967593</v>
      </c>
      <c r="P6877" s="53" t="n">
        <v>45913.5041435185</v>
      </c>
      <c r="Q6877" s="53" t="n">
        <v>45909.4926967593</v>
      </c>
      <c r="R6877" s="0" t="n">
        <v>0</v>
      </c>
      <c r="S6877" s="51" t="s">
        <v>2356</v>
      </c>
      <c r="T6877" s="51" t="s">
        <v>2356</v>
      </c>
      <c r="U6877" s="0" t="str">
        <f aca="false">"71505021166"</f>
        <v>71505021166</v>
      </c>
      <c r="V6877" s="51" t="s">
        <v>5386</v>
      </c>
      <c r="W6877" s="51" t="s">
        <v>4480</v>
      </c>
      <c r="X6877" s="51" t="s">
        <v>2359</v>
      </c>
    </row>
    <row r="6878" customFormat="false" ht="14.25" hidden="true" customHeight="false" outlineLevel="0" collapsed="false">
      <c r="A6878" s="49" t="s">
        <v>2349</v>
      </c>
      <c r="B6878" s="49" t="s">
        <v>2350</v>
      </c>
      <c r="C6878" s="49" t="s">
        <v>11632</v>
      </c>
      <c r="D6878" s="49" t="s">
        <v>2352</v>
      </c>
      <c r="E6878" s="49" t="str">
        <f aca="false">"71505021166"</f>
        <v>71505021166</v>
      </c>
      <c r="F6878" s="49" t="s">
        <v>7985</v>
      </c>
      <c r="G6878" s="49" t="n">
        <v>0</v>
      </c>
      <c r="H6878" s="0" t="n">
        <v>0</v>
      </c>
      <c r="M6878" s="51" t="s">
        <v>11626</v>
      </c>
      <c r="N6878" s="49" t="n">
        <v>0</v>
      </c>
      <c r="O6878" s="53" t="n">
        <v>45909.4931134259</v>
      </c>
      <c r="P6878" s="53" t="n">
        <v>45913.5042824074</v>
      </c>
      <c r="Q6878" s="53" t="n">
        <v>45909.4931134259</v>
      </c>
      <c r="R6878" s="0" t="n">
        <v>0</v>
      </c>
      <c r="S6878" s="51" t="s">
        <v>2356</v>
      </c>
      <c r="T6878" s="51" t="s">
        <v>2356</v>
      </c>
      <c r="U6878" s="0" t="str">
        <f aca="false">"71505021166"</f>
        <v>71505021166</v>
      </c>
      <c r="V6878" s="51" t="s">
        <v>5386</v>
      </c>
      <c r="W6878" s="51" t="s">
        <v>3758</v>
      </c>
      <c r="X6878" s="51" t="s">
        <v>2359</v>
      </c>
    </row>
    <row r="6879" customFormat="false" ht="14.25" hidden="true" customHeight="false" outlineLevel="0" collapsed="false">
      <c r="A6879" s="49" t="s">
        <v>2349</v>
      </c>
      <c r="B6879" s="49" t="s">
        <v>2350</v>
      </c>
      <c r="C6879" s="49" t="s">
        <v>11633</v>
      </c>
      <c r="D6879" s="49" t="s">
        <v>2352</v>
      </c>
      <c r="E6879" s="49" t="str">
        <f aca="false">"71505021166"</f>
        <v>71505021166</v>
      </c>
      <c r="F6879" s="49" t="s">
        <v>7985</v>
      </c>
      <c r="G6879" s="49" t="n">
        <v>0</v>
      </c>
      <c r="H6879" s="0" t="n">
        <v>0</v>
      </c>
      <c r="M6879" s="51" t="s">
        <v>11626</v>
      </c>
      <c r="N6879" s="49" t="n">
        <v>0</v>
      </c>
      <c r="O6879" s="53" t="n">
        <v>45909.4935648148</v>
      </c>
      <c r="P6879" s="53" t="n">
        <v>45913.5044212963</v>
      </c>
      <c r="Q6879" s="53" t="n">
        <v>45909.4935648148</v>
      </c>
      <c r="R6879" s="0" t="n">
        <v>0</v>
      </c>
      <c r="S6879" s="51" t="s">
        <v>2356</v>
      </c>
      <c r="T6879" s="51" t="s">
        <v>2356</v>
      </c>
      <c r="U6879" s="0" t="str">
        <f aca="false">"71505021166"</f>
        <v>71505021166</v>
      </c>
      <c r="V6879" s="51" t="s">
        <v>5386</v>
      </c>
      <c r="W6879" s="51" t="s">
        <v>7403</v>
      </c>
      <c r="X6879" s="51" t="s">
        <v>2359</v>
      </c>
    </row>
    <row r="6880" customFormat="false" ht="14.25" hidden="true" customHeight="false" outlineLevel="0" collapsed="false">
      <c r="A6880" s="49" t="s">
        <v>2349</v>
      </c>
      <c r="B6880" s="49" t="s">
        <v>2350</v>
      </c>
      <c r="C6880" s="49" t="s">
        <v>11634</v>
      </c>
      <c r="D6880" s="49" t="s">
        <v>2352</v>
      </c>
      <c r="E6880" s="49" t="str">
        <f aca="false">"71505021166"</f>
        <v>71505021166</v>
      </c>
      <c r="F6880" s="49" t="s">
        <v>7985</v>
      </c>
      <c r="G6880" s="49" t="n">
        <v>0</v>
      </c>
      <c r="H6880" s="0" t="n">
        <v>0</v>
      </c>
      <c r="M6880" s="51" t="s">
        <v>11626</v>
      </c>
      <c r="N6880" s="49" t="n">
        <v>0</v>
      </c>
      <c r="O6880" s="53" t="n">
        <v>45909.4940625</v>
      </c>
      <c r="P6880" s="53" t="n">
        <v>45913.504537037</v>
      </c>
      <c r="Q6880" s="53" t="n">
        <v>45909.4940625</v>
      </c>
      <c r="R6880" s="0" t="n">
        <v>0</v>
      </c>
      <c r="S6880" s="51" t="s">
        <v>2356</v>
      </c>
      <c r="T6880" s="51" t="s">
        <v>2356</v>
      </c>
      <c r="U6880" s="0" t="str">
        <f aca="false">"71505021166"</f>
        <v>71505021166</v>
      </c>
      <c r="V6880" s="51" t="s">
        <v>5386</v>
      </c>
      <c r="W6880" s="51" t="s">
        <v>7058</v>
      </c>
      <c r="X6880" s="51" t="s">
        <v>2359</v>
      </c>
    </row>
    <row r="6881" customFormat="false" ht="14.25" hidden="true" customHeight="false" outlineLevel="0" collapsed="false">
      <c r="A6881" s="49" t="s">
        <v>2349</v>
      </c>
      <c r="B6881" s="49" t="s">
        <v>2350</v>
      </c>
      <c r="C6881" s="49" t="s">
        <v>11635</v>
      </c>
      <c r="D6881" s="49" t="s">
        <v>2352</v>
      </c>
      <c r="E6881" s="49" t="str">
        <f aca="false">"71505021166"</f>
        <v>71505021166</v>
      </c>
      <c r="F6881" s="49" t="s">
        <v>7985</v>
      </c>
      <c r="G6881" s="49" t="n">
        <v>0</v>
      </c>
      <c r="H6881" s="0" t="n">
        <v>0</v>
      </c>
      <c r="M6881" s="51" t="s">
        <v>11626</v>
      </c>
      <c r="N6881" s="49" t="n">
        <v>0</v>
      </c>
      <c r="O6881" s="53" t="n">
        <v>45909.494537037</v>
      </c>
      <c r="P6881" s="53" t="n">
        <v>45913.5046759259</v>
      </c>
      <c r="Q6881" s="53" t="n">
        <v>45909.494537037</v>
      </c>
      <c r="R6881" s="0" t="n">
        <v>0</v>
      </c>
      <c r="S6881" s="51" t="s">
        <v>2356</v>
      </c>
      <c r="T6881" s="51" t="s">
        <v>2356</v>
      </c>
      <c r="U6881" s="0" t="str">
        <f aca="false">"71505021166"</f>
        <v>71505021166</v>
      </c>
      <c r="V6881" s="51" t="s">
        <v>5386</v>
      </c>
      <c r="W6881" s="51" t="s">
        <v>7054</v>
      </c>
      <c r="X6881" s="51" t="s">
        <v>2359</v>
      </c>
    </row>
    <row r="6882" customFormat="false" ht="14.25" hidden="true" customHeight="false" outlineLevel="0" collapsed="false">
      <c r="A6882" s="49" t="s">
        <v>2349</v>
      </c>
      <c r="B6882" s="49" t="s">
        <v>2350</v>
      </c>
      <c r="C6882" s="49" t="s">
        <v>11636</v>
      </c>
      <c r="D6882" s="49" t="s">
        <v>2352</v>
      </c>
      <c r="E6882" s="49" t="str">
        <f aca="false">"71505021166"</f>
        <v>71505021166</v>
      </c>
      <c r="F6882" s="49" t="s">
        <v>7985</v>
      </c>
      <c r="G6882" s="49" t="n">
        <v>0</v>
      </c>
      <c r="H6882" s="0" t="n">
        <v>0</v>
      </c>
      <c r="M6882" s="51" t="s">
        <v>11626</v>
      </c>
      <c r="N6882" s="49" t="n">
        <v>0</v>
      </c>
      <c r="O6882" s="53" t="n">
        <v>45909.4950347222</v>
      </c>
      <c r="P6882" s="53" t="n">
        <v>45913.5048148148</v>
      </c>
      <c r="Q6882" s="53" t="n">
        <v>45909.4950347222</v>
      </c>
      <c r="R6882" s="0" t="n">
        <v>0</v>
      </c>
      <c r="S6882" s="51" t="s">
        <v>2356</v>
      </c>
      <c r="T6882" s="51" t="s">
        <v>2356</v>
      </c>
      <c r="U6882" s="0" t="str">
        <f aca="false">"71505021166"</f>
        <v>71505021166</v>
      </c>
      <c r="V6882" s="51" t="s">
        <v>5386</v>
      </c>
      <c r="W6882" s="51" t="s">
        <v>10531</v>
      </c>
      <c r="X6882" s="51" t="s">
        <v>2359</v>
      </c>
    </row>
    <row r="6883" customFormat="false" ht="14.25" hidden="true" customHeight="false" outlineLevel="0" collapsed="false">
      <c r="A6883" s="49" t="s">
        <v>2349</v>
      </c>
      <c r="B6883" s="49" t="s">
        <v>2350</v>
      </c>
      <c r="C6883" s="49" t="s">
        <v>11637</v>
      </c>
      <c r="D6883" s="49" t="s">
        <v>2352</v>
      </c>
      <c r="E6883" s="49" t="str">
        <f aca="false">"71505021166"</f>
        <v>71505021166</v>
      </c>
      <c r="F6883" s="49" t="s">
        <v>7985</v>
      </c>
      <c r="G6883" s="49" t="n">
        <v>0</v>
      </c>
      <c r="H6883" s="0" t="n">
        <v>0</v>
      </c>
      <c r="M6883" s="51" t="s">
        <v>11626</v>
      </c>
      <c r="N6883" s="49" t="n">
        <v>0</v>
      </c>
      <c r="O6883" s="53" t="n">
        <v>45909.495462963</v>
      </c>
      <c r="P6883" s="53" t="n">
        <v>45913.5049305556</v>
      </c>
      <c r="Q6883" s="53" t="n">
        <v>45909.495462963</v>
      </c>
      <c r="R6883" s="0" t="n">
        <v>0</v>
      </c>
      <c r="S6883" s="51" t="s">
        <v>2356</v>
      </c>
      <c r="T6883" s="51" t="s">
        <v>2356</v>
      </c>
      <c r="U6883" s="0" t="str">
        <f aca="false">"71505021166"</f>
        <v>71505021166</v>
      </c>
      <c r="V6883" s="51" t="s">
        <v>5386</v>
      </c>
      <c r="W6883" s="51" t="s">
        <v>6476</v>
      </c>
      <c r="X6883" s="51" t="s">
        <v>2359</v>
      </c>
    </row>
    <row r="6884" customFormat="false" ht="14.25" hidden="true" customHeight="false" outlineLevel="0" collapsed="false">
      <c r="A6884" s="49" t="s">
        <v>2349</v>
      </c>
      <c r="B6884" s="49" t="s">
        <v>2350</v>
      </c>
      <c r="C6884" s="49" t="s">
        <v>11638</v>
      </c>
      <c r="D6884" s="49" t="s">
        <v>2352</v>
      </c>
      <c r="E6884" s="49" t="str">
        <f aca="false">"71505021166"</f>
        <v>71505021166</v>
      </c>
      <c r="F6884" s="49" t="s">
        <v>7985</v>
      </c>
      <c r="G6884" s="49" t="n">
        <v>0</v>
      </c>
      <c r="H6884" s="0" t="n">
        <v>0</v>
      </c>
      <c r="M6884" s="51" t="s">
        <v>11626</v>
      </c>
      <c r="N6884" s="49" t="n">
        <v>0</v>
      </c>
      <c r="O6884" s="53" t="n">
        <v>45909.4962152778</v>
      </c>
      <c r="P6884" s="53" t="n">
        <v>45913.5050578704</v>
      </c>
      <c r="Q6884" s="53" t="n">
        <v>45909.4962152778</v>
      </c>
      <c r="R6884" s="0" t="n">
        <v>0</v>
      </c>
      <c r="S6884" s="51" t="s">
        <v>2356</v>
      </c>
      <c r="T6884" s="51" t="s">
        <v>2356</v>
      </c>
      <c r="U6884" s="0" t="str">
        <f aca="false">"71505021166"</f>
        <v>71505021166</v>
      </c>
      <c r="V6884" s="51" t="s">
        <v>5386</v>
      </c>
      <c r="W6884" s="51" t="s">
        <v>5412</v>
      </c>
      <c r="X6884" s="51" t="s">
        <v>2359</v>
      </c>
    </row>
    <row r="6885" customFormat="false" ht="14.25" hidden="true" customHeight="false" outlineLevel="0" collapsed="false">
      <c r="A6885" s="49" t="s">
        <v>2349</v>
      </c>
      <c r="B6885" s="49" t="s">
        <v>2350</v>
      </c>
      <c r="C6885" s="49" t="s">
        <v>11639</v>
      </c>
      <c r="D6885" s="49" t="s">
        <v>2352</v>
      </c>
      <c r="E6885" s="49" t="str">
        <f aca="false">"71505021166"</f>
        <v>71505021166</v>
      </c>
      <c r="F6885" s="49" t="s">
        <v>7985</v>
      </c>
      <c r="G6885" s="49" t="n">
        <v>0</v>
      </c>
      <c r="H6885" s="0" t="n">
        <v>0</v>
      </c>
      <c r="M6885" s="51" t="s">
        <v>11626</v>
      </c>
      <c r="N6885" s="49" t="n">
        <v>0</v>
      </c>
      <c r="O6885" s="53" t="n">
        <v>45909.4965162037</v>
      </c>
      <c r="P6885" s="53" t="n">
        <v>45913.5051967593</v>
      </c>
      <c r="Q6885" s="53" t="n">
        <v>45909.4965162037</v>
      </c>
      <c r="R6885" s="0" t="n">
        <v>0</v>
      </c>
      <c r="S6885" s="51" t="s">
        <v>2356</v>
      </c>
      <c r="T6885" s="51" t="s">
        <v>2356</v>
      </c>
      <c r="U6885" s="0" t="str">
        <f aca="false">"71505021166"</f>
        <v>71505021166</v>
      </c>
      <c r="V6885" s="51" t="s">
        <v>5386</v>
      </c>
      <c r="W6885" s="51" t="s">
        <v>3747</v>
      </c>
      <c r="X6885" s="51" t="s">
        <v>2359</v>
      </c>
    </row>
    <row r="6886" customFormat="false" ht="14.25" hidden="true" customHeight="false" outlineLevel="0" collapsed="false">
      <c r="A6886" s="49" t="s">
        <v>2349</v>
      </c>
      <c r="B6886" s="49" t="s">
        <v>2350</v>
      </c>
      <c r="C6886" s="49" t="s">
        <v>11640</v>
      </c>
      <c r="D6886" s="49" t="s">
        <v>2352</v>
      </c>
      <c r="E6886" s="49" t="str">
        <f aca="false">"71505021166"</f>
        <v>71505021166</v>
      </c>
      <c r="F6886" s="49" t="s">
        <v>7985</v>
      </c>
      <c r="G6886" s="49" t="n">
        <v>0</v>
      </c>
      <c r="H6886" s="0" t="n">
        <v>0</v>
      </c>
      <c r="M6886" s="51" t="s">
        <v>11626</v>
      </c>
      <c r="N6886" s="49" t="n">
        <v>0</v>
      </c>
      <c r="O6886" s="53" t="n">
        <v>45909.4967939815</v>
      </c>
      <c r="P6886" s="53" t="n">
        <v>45913.5053356482</v>
      </c>
      <c r="Q6886" s="53" t="n">
        <v>45909.4967939815</v>
      </c>
      <c r="R6886" s="0" t="n">
        <v>0</v>
      </c>
      <c r="S6886" s="51" t="s">
        <v>2356</v>
      </c>
      <c r="T6886" s="51" t="s">
        <v>2356</v>
      </c>
      <c r="U6886" s="0" t="str">
        <f aca="false">"71505021166"</f>
        <v>71505021166</v>
      </c>
      <c r="V6886" s="51" t="s">
        <v>5386</v>
      </c>
      <c r="W6886" s="51" t="s">
        <v>11641</v>
      </c>
      <c r="X6886" s="51" t="s">
        <v>2359</v>
      </c>
    </row>
    <row r="6887" customFormat="false" ht="14.25" hidden="true" customHeight="false" outlineLevel="0" collapsed="false">
      <c r="A6887" s="49" t="s">
        <v>2349</v>
      </c>
      <c r="B6887" s="49" t="s">
        <v>2350</v>
      </c>
      <c r="C6887" s="49" t="s">
        <v>11642</v>
      </c>
      <c r="D6887" s="49" t="s">
        <v>2352</v>
      </c>
      <c r="E6887" s="49" t="str">
        <f aca="false">"71505021166"</f>
        <v>71505021166</v>
      </c>
      <c r="F6887" s="49" t="s">
        <v>7985</v>
      </c>
      <c r="G6887" s="49" t="n">
        <v>0</v>
      </c>
      <c r="H6887" s="0" t="n">
        <v>0</v>
      </c>
      <c r="M6887" s="51" t="s">
        <v>11626</v>
      </c>
      <c r="N6887" s="49" t="n">
        <v>0</v>
      </c>
      <c r="O6887" s="53" t="n">
        <v>45909.4970717593</v>
      </c>
      <c r="P6887" s="53" t="n">
        <v>45913.505462963</v>
      </c>
      <c r="Q6887" s="53" t="n">
        <v>45909.4970717593</v>
      </c>
      <c r="R6887" s="0" t="n">
        <v>0</v>
      </c>
      <c r="S6887" s="51" t="s">
        <v>2356</v>
      </c>
      <c r="T6887" s="51" t="s">
        <v>2356</v>
      </c>
      <c r="U6887" s="0" t="str">
        <f aca="false">"71505021166"</f>
        <v>71505021166</v>
      </c>
      <c r="V6887" s="51" t="s">
        <v>5386</v>
      </c>
      <c r="W6887" s="51" t="s">
        <v>6472</v>
      </c>
      <c r="X6887" s="51" t="s">
        <v>2359</v>
      </c>
    </row>
    <row r="6888" customFormat="false" ht="14.25" hidden="true" customHeight="false" outlineLevel="0" collapsed="false">
      <c r="A6888" s="49" t="s">
        <v>2349</v>
      </c>
      <c r="B6888" s="49" t="s">
        <v>2350</v>
      </c>
      <c r="C6888" s="49" t="s">
        <v>11643</v>
      </c>
      <c r="D6888" s="49" t="s">
        <v>2352</v>
      </c>
      <c r="E6888" s="49" t="str">
        <f aca="false">"71505021166"</f>
        <v>71505021166</v>
      </c>
      <c r="F6888" s="49" t="s">
        <v>7985</v>
      </c>
      <c r="G6888" s="49" t="n">
        <v>0</v>
      </c>
      <c r="H6888" s="0" t="n">
        <v>0</v>
      </c>
      <c r="M6888" s="51" t="s">
        <v>11626</v>
      </c>
      <c r="N6888" s="49" t="n">
        <v>0</v>
      </c>
      <c r="O6888" s="53" t="n">
        <v>45909.497349537</v>
      </c>
      <c r="P6888" s="53" t="n">
        <v>45913.5055902778</v>
      </c>
      <c r="Q6888" s="53" t="n">
        <v>45909.497349537</v>
      </c>
      <c r="R6888" s="0" t="n">
        <v>0</v>
      </c>
      <c r="S6888" s="51" t="s">
        <v>2356</v>
      </c>
      <c r="T6888" s="51" t="s">
        <v>2356</v>
      </c>
      <c r="U6888" s="0" t="str">
        <f aca="false">"71505021166"</f>
        <v>71505021166</v>
      </c>
      <c r="V6888" s="51" t="s">
        <v>5386</v>
      </c>
      <c r="W6888" s="51" t="s">
        <v>6470</v>
      </c>
      <c r="X6888" s="51" t="s">
        <v>2359</v>
      </c>
    </row>
    <row r="6889" customFormat="false" ht="14.25" hidden="true" customHeight="false" outlineLevel="0" collapsed="false">
      <c r="A6889" s="49" t="s">
        <v>2349</v>
      </c>
      <c r="B6889" s="49" t="s">
        <v>2350</v>
      </c>
      <c r="C6889" s="49" t="s">
        <v>11644</v>
      </c>
      <c r="D6889" s="49" t="s">
        <v>2352</v>
      </c>
      <c r="E6889" s="49" t="str">
        <f aca="false">"71505021166"</f>
        <v>71505021166</v>
      </c>
      <c r="F6889" s="49" t="s">
        <v>7985</v>
      </c>
      <c r="G6889" s="49" t="n">
        <v>0</v>
      </c>
      <c r="H6889" s="0" t="n">
        <v>0</v>
      </c>
      <c r="M6889" s="51" t="s">
        <v>11626</v>
      </c>
      <c r="N6889" s="49" t="n">
        <v>0</v>
      </c>
      <c r="O6889" s="53" t="n">
        <v>45909.4976736111</v>
      </c>
      <c r="P6889" s="53" t="n">
        <v>45913.5057407407</v>
      </c>
      <c r="Q6889" s="53" t="n">
        <v>45909.4976736111</v>
      </c>
      <c r="R6889" s="0" t="n">
        <v>0</v>
      </c>
      <c r="S6889" s="51" t="s">
        <v>2356</v>
      </c>
      <c r="T6889" s="51" t="s">
        <v>2356</v>
      </c>
      <c r="U6889" s="0" t="str">
        <f aca="false">"71505021166"</f>
        <v>71505021166</v>
      </c>
      <c r="V6889" s="51" t="s">
        <v>5386</v>
      </c>
      <c r="W6889" s="51" t="s">
        <v>6468</v>
      </c>
      <c r="X6889" s="51" t="s">
        <v>2359</v>
      </c>
    </row>
    <row r="6890" customFormat="false" ht="14.25" hidden="true" customHeight="false" outlineLevel="0" collapsed="false">
      <c r="A6890" s="49" t="s">
        <v>2349</v>
      </c>
      <c r="B6890" s="49" t="s">
        <v>2350</v>
      </c>
      <c r="C6890" s="49" t="s">
        <v>11645</v>
      </c>
      <c r="D6890" s="49" t="s">
        <v>2352</v>
      </c>
      <c r="E6890" s="49" t="str">
        <f aca="false">"71505021166"</f>
        <v>71505021166</v>
      </c>
      <c r="F6890" s="49" t="s">
        <v>7985</v>
      </c>
      <c r="G6890" s="49" t="n">
        <v>0</v>
      </c>
      <c r="H6890" s="0" t="n">
        <v>0</v>
      </c>
      <c r="M6890" s="51" t="s">
        <v>11626</v>
      </c>
      <c r="N6890" s="49" t="n">
        <v>0</v>
      </c>
      <c r="O6890" s="53" t="n">
        <v>45909.4985069444</v>
      </c>
      <c r="P6890" s="53" t="n">
        <v>45913.5058796296</v>
      </c>
      <c r="Q6890" s="53" t="n">
        <v>45909.4985069444</v>
      </c>
      <c r="R6890" s="0" t="n">
        <v>0</v>
      </c>
      <c r="S6890" s="51" t="s">
        <v>2356</v>
      </c>
      <c r="T6890" s="51" t="s">
        <v>2356</v>
      </c>
      <c r="U6890" s="0" t="str">
        <f aca="false">"71505021166"</f>
        <v>71505021166</v>
      </c>
      <c r="V6890" s="51" t="s">
        <v>5386</v>
      </c>
      <c r="W6890" s="51" t="s">
        <v>6468</v>
      </c>
      <c r="X6890" s="51" t="s">
        <v>2359</v>
      </c>
    </row>
    <row r="6891" customFormat="false" ht="14.25" hidden="true" customHeight="false" outlineLevel="0" collapsed="false">
      <c r="A6891" s="49" t="s">
        <v>2349</v>
      </c>
      <c r="B6891" s="49" t="s">
        <v>2350</v>
      </c>
      <c r="C6891" s="49" t="s">
        <v>11646</v>
      </c>
      <c r="D6891" s="49" t="s">
        <v>2352</v>
      </c>
      <c r="E6891" s="49" t="str">
        <f aca="false">"71505021166"</f>
        <v>71505021166</v>
      </c>
      <c r="F6891" s="49" t="s">
        <v>7985</v>
      </c>
      <c r="G6891" s="49" t="n">
        <v>0</v>
      </c>
      <c r="H6891" s="0" t="n">
        <v>0</v>
      </c>
      <c r="M6891" s="51" t="s">
        <v>11626</v>
      </c>
      <c r="N6891" s="49" t="n">
        <v>0</v>
      </c>
      <c r="O6891" s="53" t="n">
        <v>45909.4994560185</v>
      </c>
      <c r="P6891" s="53" t="n">
        <v>45941.3189699074</v>
      </c>
      <c r="Q6891" s="53" t="n">
        <v>45909.4994560185</v>
      </c>
      <c r="R6891" s="0" t="n">
        <v>0</v>
      </c>
      <c r="S6891" s="51" t="s">
        <v>2356</v>
      </c>
      <c r="T6891" s="51" t="s">
        <v>2356</v>
      </c>
      <c r="U6891" s="0" t="str">
        <f aca="false">"71505021166"</f>
        <v>71505021166</v>
      </c>
      <c r="V6891" s="51" t="s">
        <v>5386</v>
      </c>
      <c r="W6891" s="51" t="s">
        <v>6466</v>
      </c>
      <c r="X6891" s="51" t="s">
        <v>2359</v>
      </c>
    </row>
    <row r="6892" customFormat="false" ht="14.25" hidden="true" customHeight="false" outlineLevel="0" collapsed="false">
      <c r="A6892" s="49" t="s">
        <v>2349</v>
      </c>
      <c r="B6892" s="49" t="s">
        <v>2350</v>
      </c>
      <c r="C6892" s="49" t="s">
        <v>11647</v>
      </c>
      <c r="D6892" s="49" t="s">
        <v>2352</v>
      </c>
      <c r="E6892" s="49" t="str">
        <f aca="false">"71505021166"</f>
        <v>71505021166</v>
      </c>
      <c r="F6892" s="49" t="s">
        <v>7985</v>
      </c>
      <c r="G6892" s="49" t="n">
        <v>0</v>
      </c>
      <c r="H6892" s="0" t="n">
        <v>0</v>
      </c>
      <c r="M6892" s="51" t="s">
        <v>11626</v>
      </c>
      <c r="N6892" s="49" t="n">
        <v>0</v>
      </c>
      <c r="O6892" s="53" t="n">
        <v>45909.4996875</v>
      </c>
      <c r="P6892" s="53" t="n">
        <v>45974.4228935185</v>
      </c>
      <c r="Q6892" s="53" t="n">
        <v>45909.4996875</v>
      </c>
      <c r="R6892" s="0" t="n">
        <v>0</v>
      </c>
      <c r="S6892" s="51" t="s">
        <v>2356</v>
      </c>
      <c r="T6892" s="51" t="s">
        <v>2356</v>
      </c>
      <c r="U6892" s="0" t="str">
        <f aca="false">"71505021166"</f>
        <v>71505021166</v>
      </c>
      <c r="V6892" s="51" t="s">
        <v>5386</v>
      </c>
      <c r="W6892" s="51" t="s">
        <v>6536</v>
      </c>
      <c r="X6892" s="51" t="s">
        <v>2359</v>
      </c>
    </row>
    <row r="6893" customFormat="false" ht="14.25" hidden="true" customHeight="false" outlineLevel="0" collapsed="false">
      <c r="A6893" s="49" t="s">
        <v>2349</v>
      </c>
      <c r="B6893" s="49" t="s">
        <v>2350</v>
      </c>
      <c r="C6893" s="49" t="s">
        <v>11648</v>
      </c>
      <c r="D6893" s="49" t="s">
        <v>2352</v>
      </c>
      <c r="E6893" s="49" t="str">
        <f aca="false">"71505021166"</f>
        <v>71505021166</v>
      </c>
      <c r="F6893" s="49" t="s">
        <v>7985</v>
      </c>
      <c r="G6893" s="49" t="n">
        <v>0</v>
      </c>
      <c r="H6893" s="0" t="n">
        <v>0</v>
      </c>
      <c r="M6893" s="51" t="s">
        <v>11626</v>
      </c>
      <c r="N6893" s="49" t="n">
        <v>0</v>
      </c>
      <c r="O6893" s="53" t="n">
        <v>45909.4999189815</v>
      </c>
      <c r="P6893" s="53" t="n">
        <v>45930.3037731481</v>
      </c>
      <c r="Q6893" s="53" t="n">
        <v>45909.4999189815</v>
      </c>
      <c r="R6893" s="0" t="n">
        <v>0</v>
      </c>
      <c r="S6893" s="51" t="s">
        <v>2356</v>
      </c>
      <c r="T6893" s="51" t="s">
        <v>2356</v>
      </c>
      <c r="U6893" s="0" t="str">
        <f aca="false">"71505021166"</f>
        <v>71505021166</v>
      </c>
      <c r="V6893" s="51" t="s">
        <v>5386</v>
      </c>
      <c r="W6893" s="51" t="s">
        <v>4480</v>
      </c>
      <c r="X6893" s="51" t="s">
        <v>2359</v>
      </c>
    </row>
    <row r="6894" customFormat="false" ht="14.25" hidden="true" customHeight="false" outlineLevel="0" collapsed="false">
      <c r="A6894" s="49" t="s">
        <v>2349</v>
      </c>
      <c r="B6894" s="49" t="s">
        <v>2350</v>
      </c>
      <c r="C6894" s="49" t="s">
        <v>11649</v>
      </c>
      <c r="D6894" s="49" t="s">
        <v>2352</v>
      </c>
      <c r="E6894" s="49" t="str">
        <f aca="false">"849369010349"</f>
        <v>849369010349</v>
      </c>
      <c r="F6894" s="49" t="s">
        <v>8652</v>
      </c>
      <c r="G6894" s="49" t="n">
        <v>0</v>
      </c>
      <c r="H6894" s="0" t="n">
        <v>0</v>
      </c>
      <c r="M6894" s="51" t="s">
        <v>11650</v>
      </c>
      <c r="N6894" s="49" t="n">
        <v>0</v>
      </c>
      <c r="O6894" s="53" t="n">
        <v>45893.6126736111</v>
      </c>
      <c r="P6894" s="53" t="n">
        <v>46015.350787037</v>
      </c>
      <c r="Q6894" s="53" t="n">
        <v>45893.6126736111</v>
      </c>
      <c r="R6894" s="0" t="n">
        <v>0</v>
      </c>
      <c r="S6894" s="51" t="s">
        <v>2416</v>
      </c>
      <c r="T6894" s="51" t="s">
        <v>2416</v>
      </c>
      <c r="U6894" s="0" t="str">
        <f aca="false">"849369010349"</f>
        <v>849369010349</v>
      </c>
      <c r="V6894" s="51" t="s">
        <v>2142</v>
      </c>
      <c r="W6894" s="51" t="s">
        <v>11651</v>
      </c>
      <c r="X6894" s="51" t="s">
        <v>2359</v>
      </c>
    </row>
    <row r="6895" customFormat="false" ht="14.25" hidden="true" customHeight="false" outlineLevel="0" collapsed="false">
      <c r="A6895" s="49" t="s">
        <v>2349</v>
      </c>
      <c r="B6895" s="49" t="s">
        <v>2350</v>
      </c>
      <c r="C6895" s="49" t="s">
        <v>11652</v>
      </c>
      <c r="D6895" s="49" t="s">
        <v>2352</v>
      </c>
      <c r="E6895" s="49" t="str">
        <f aca="false">"5060458890191"</f>
        <v>5060458890191</v>
      </c>
      <c r="F6895" s="49" t="s">
        <v>3656</v>
      </c>
      <c r="G6895" s="49" t="n">
        <v>0</v>
      </c>
      <c r="H6895" s="0" t="n">
        <v>0</v>
      </c>
      <c r="M6895" s="51" t="s">
        <v>3658</v>
      </c>
      <c r="N6895" s="49" t="n">
        <v>0</v>
      </c>
      <c r="O6895" s="53" t="n">
        <v>45930.6575694445</v>
      </c>
      <c r="P6895" s="53" t="n">
        <v>45956.902650463</v>
      </c>
      <c r="Q6895" s="53" t="n">
        <v>45930.6575694445</v>
      </c>
      <c r="R6895" s="0" t="n">
        <v>0</v>
      </c>
      <c r="S6895" s="51" t="s">
        <v>2416</v>
      </c>
      <c r="T6895" s="51" t="s">
        <v>2416</v>
      </c>
      <c r="U6895" s="0" t="str">
        <f aca="false">"5060458890191"</f>
        <v>5060458890191</v>
      </c>
      <c r="V6895" s="51" t="s">
        <v>2142</v>
      </c>
      <c r="W6895" s="51" t="s">
        <v>11653</v>
      </c>
      <c r="X6895" s="51" t="s">
        <v>2359</v>
      </c>
    </row>
    <row r="6896" customFormat="false" ht="14.25" hidden="true" customHeight="false" outlineLevel="0" collapsed="false">
      <c r="A6896" s="49" t="s">
        <v>2349</v>
      </c>
      <c r="B6896" s="49" t="s">
        <v>2350</v>
      </c>
      <c r="C6896" s="49" t="s">
        <v>11654</v>
      </c>
      <c r="D6896" s="49" t="s">
        <v>2352</v>
      </c>
      <c r="E6896" s="49" t="str">
        <f aca="false">"5060458890191"</f>
        <v>5060458890191</v>
      </c>
      <c r="F6896" s="49" t="s">
        <v>3656</v>
      </c>
      <c r="G6896" s="49" t="n">
        <v>0</v>
      </c>
      <c r="H6896" s="0" t="n">
        <v>0</v>
      </c>
      <c r="M6896" s="51" t="s">
        <v>3658</v>
      </c>
      <c r="N6896" s="49" t="n">
        <v>0</v>
      </c>
      <c r="O6896" s="53" t="n">
        <v>45930.657662037</v>
      </c>
      <c r="P6896" s="53" t="n">
        <v>45960.7858101852</v>
      </c>
      <c r="Q6896" s="53" t="n">
        <v>45930.657662037</v>
      </c>
      <c r="R6896" s="0" t="n">
        <v>0</v>
      </c>
      <c r="S6896" s="51" t="s">
        <v>2416</v>
      </c>
      <c r="T6896" s="51" t="s">
        <v>2416</v>
      </c>
      <c r="U6896" s="0" t="str">
        <f aca="false">"5060458890191"</f>
        <v>5060458890191</v>
      </c>
      <c r="V6896" s="51" t="s">
        <v>2142</v>
      </c>
      <c r="W6896" s="51" t="s">
        <v>4247</v>
      </c>
      <c r="X6896" s="51" t="s">
        <v>2359</v>
      </c>
    </row>
    <row r="6897" customFormat="false" ht="14.25" hidden="true" customHeight="false" outlineLevel="0" collapsed="false">
      <c r="A6897" s="49" t="s">
        <v>2349</v>
      </c>
      <c r="B6897" s="49" t="s">
        <v>2350</v>
      </c>
      <c r="C6897" s="49" t="s">
        <v>11655</v>
      </c>
      <c r="D6897" s="49" t="s">
        <v>2352</v>
      </c>
      <c r="E6897" s="49" t="str">
        <f aca="false">"5060458890191"</f>
        <v>5060458890191</v>
      </c>
      <c r="F6897" s="49" t="s">
        <v>3656</v>
      </c>
      <c r="G6897" s="49" t="n">
        <v>0</v>
      </c>
      <c r="H6897" s="0" t="n">
        <v>0</v>
      </c>
      <c r="M6897" s="51" t="s">
        <v>3658</v>
      </c>
      <c r="N6897" s="49" t="n">
        <v>0</v>
      </c>
      <c r="O6897" s="53" t="n">
        <v>45930.6596759259</v>
      </c>
      <c r="P6897" s="53" t="n">
        <v>45960.7871064815</v>
      </c>
      <c r="Q6897" s="53" t="n">
        <v>45930.6596759259</v>
      </c>
      <c r="R6897" s="0" t="n">
        <v>0</v>
      </c>
      <c r="S6897" s="51" t="s">
        <v>2416</v>
      </c>
      <c r="T6897" s="51" t="s">
        <v>2416</v>
      </c>
      <c r="U6897" s="0" t="str">
        <f aca="false">"5060458890191"</f>
        <v>5060458890191</v>
      </c>
      <c r="V6897" s="51" t="s">
        <v>2142</v>
      </c>
      <c r="W6897" s="51" t="s">
        <v>4036</v>
      </c>
      <c r="X6897" s="51" t="s">
        <v>2359</v>
      </c>
    </row>
    <row r="6898" customFormat="false" ht="14.25" hidden="true" customHeight="false" outlineLevel="0" collapsed="false">
      <c r="A6898" s="49" t="s">
        <v>2349</v>
      </c>
      <c r="B6898" s="49" t="s">
        <v>2350</v>
      </c>
      <c r="C6898" s="49" t="s">
        <v>11656</v>
      </c>
      <c r="D6898" s="49" t="s">
        <v>2352</v>
      </c>
      <c r="E6898" s="49" t="str">
        <f aca="false">"5060458890191"</f>
        <v>5060458890191</v>
      </c>
      <c r="F6898" s="49" t="s">
        <v>3656</v>
      </c>
      <c r="G6898" s="49" t="n">
        <v>0</v>
      </c>
      <c r="H6898" s="0" t="n">
        <v>0</v>
      </c>
      <c r="M6898" s="51" t="s">
        <v>3658</v>
      </c>
      <c r="N6898" s="49" t="n">
        <v>0</v>
      </c>
      <c r="O6898" s="53" t="n">
        <v>45930.6596064815</v>
      </c>
      <c r="P6898" s="53" t="n">
        <v>45960.8070949074</v>
      </c>
      <c r="Q6898" s="53" t="n">
        <v>45930.6596064815</v>
      </c>
      <c r="R6898" s="0" t="n">
        <v>0</v>
      </c>
      <c r="S6898" s="51" t="s">
        <v>2416</v>
      </c>
      <c r="T6898" s="51" t="s">
        <v>2416</v>
      </c>
      <c r="U6898" s="0" t="str">
        <f aca="false">"5060458890191"</f>
        <v>5060458890191</v>
      </c>
      <c r="V6898" s="51" t="s">
        <v>2142</v>
      </c>
      <c r="W6898" s="51" t="s">
        <v>11225</v>
      </c>
      <c r="X6898" s="51" t="s">
        <v>2359</v>
      </c>
    </row>
    <row r="6899" customFormat="false" ht="14.25" hidden="true" customHeight="false" outlineLevel="0" collapsed="false">
      <c r="A6899" s="49" t="s">
        <v>2349</v>
      </c>
      <c r="B6899" s="49" t="s">
        <v>2350</v>
      </c>
      <c r="C6899" s="49" t="s">
        <v>11657</v>
      </c>
      <c r="D6899" s="49" t="s">
        <v>2352</v>
      </c>
      <c r="E6899" s="49" t="str">
        <f aca="false">"5060458890191"</f>
        <v>5060458890191</v>
      </c>
      <c r="F6899" s="49" t="s">
        <v>3656</v>
      </c>
      <c r="G6899" s="49" t="n">
        <v>0</v>
      </c>
      <c r="H6899" s="0" t="n">
        <v>0</v>
      </c>
      <c r="M6899" s="51" t="s">
        <v>3658</v>
      </c>
      <c r="N6899" s="49" t="n">
        <v>0</v>
      </c>
      <c r="O6899" s="53" t="n">
        <v>45930.6594907407</v>
      </c>
      <c r="P6899" s="53" t="n">
        <v>45960.7796643519</v>
      </c>
      <c r="Q6899" s="53" t="n">
        <v>45930.6594907407</v>
      </c>
      <c r="R6899" s="0" t="n">
        <v>0</v>
      </c>
      <c r="S6899" s="51" t="s">
        <v>2416</v>
      </c>
      <c r="T6899" s="51" t="s">
        <v>2416</v>
      </c>
      <c r="U6899" s="0" t="str">
        <f aca="false">"5060458890191"</f>
        <v>5060458890191</v>
      </c>
      <c r="V6899" s="51" t="s">
        <v>2142</v>
      </c>
      <c r="W6899" s="51" t="s">
        <v>11658</v>
      </c>
      <c r="X6899" s="51" t="s">
        <v>2359</v>
      </c>
    </row>
    <row r="6900" customFormat="false" ht="14.25" hidden="true" customHeight="false" outlineLevel="0" collapsed="false">
      <c r="A6900" s="49" t="s">
        <v>2349</v>
      </c>
      <c r="B6900" s="49" t="s">
        <v>2350</v>
      </c>
      <c r="C6900" s="49" t="s">
        <v>11659</v>
      </c>
      <c r="D6900" s="49" t="s">
        <v>2352</v>
      </c>
      <c r="E6900" s="49" t="str">
        <f aca="false">"5060458890191"</f>
        <v>5060458890191</v>
      </c>
      <c r="F6900" s="49" t="s">
        <v>3656</v>
      </c>
      <c r="G6900" s="49" t="n">
        <v>0</v>
      </c>
      <c r="H6900" s="0" t="n">
        <v>0</v>
      </c>
      <c r="M6900" s="51" t="s">
        <v>3658</v>
      </c>
      <c r="N6900" s="49" t="n">
        <v>0</v>
      </c>
      <c r="O6900" s="53" t="n">
        <v>45930.6594097222</v>
      </c>
      <c r="P6900" s="53" t="n">
        <v>45960.7854282407</v>
      </c>
      <c r="Q6900" s="53" t="n">
        <v>45930.6594097222</v>
      </c>
      <c r="R6900" s="0" t="n">
        <v>0</v>
      </c>
      <c r="S6900" s="51" t="s">
        <v>2416</v>
      </c>
      <c r="T6900" s="51" t="s">
        <v>2416</v>
      </c>
      <c r="U6900" s="0" t="str">
        <f aca="false">"5060458890191"</f>
        <v>5060458890191</v>
      </c>
      <c r="V6900" s="51" t="s">
        <v>2142</v>
      </c>
      <c r="W6900" s="51" t="s">
        <v>11660</v>
      </c>
      <c r="X6900" s="51" t="s">
        <v>2359</v>
      </c>
    </row>
    <row r="6901" customFormat="false" ht="14.25" hidden="true" customHeight="false" outlineLevel="0" collapsed="false">
      <c r="A6901" s="49" t="s">
        <v>2349</v>
      </c>
      <c r="B6901" s="49" t="s">
        <v>2350</v>
      </c>
      <c r="C6901" s="49" t="s">
        <v>11661</v>
      </c>
      <c r="D6901" s="49" t="s">
        <v>2352</v>
      </c>
      <c r="E6901" s="49" t="str">
        <f aca="false">"5060458890191"</f>
        <v>5060458890191</v>
      </c>
      <c r="F6901" s="49" t="s">
        <v>3656</v>
      </c>
      <c r="G6901" s="49" t="n">
        <v>0</v>
      </c>
      <c r="H6901" s="0" t="n">
        <v>0</v>
      </c>
      <c r="M6901" s="51" t="s">
        <v>3658</v>
      </c>
      <c r="N6901" s="49" t="n">
        <v>0</v>
      </c>
      <c r="O6901" s="53" t="n">
        <v>45930.6589814815</v>
      </c>
      <c r="P6901" s="53" t="n">
        <v>45957.8977893519</v>
      </c>
      <c r="Q6901" s="53" t="n">
        <v>45930.6589814815</v>
      </c>
      <c r="R6901" s="0" t="n">
        <v>0</v>
      </c>
      <c r="S6901" s="51" t="s">
        <v>2416</v>
      </c>
      <c r="T6901" s="51" t="s">
        <v>2416</v>
      </c>
      <c r="U6901" s="0" t="str">
        <f aca="false">"5060458890191"</f>
        <v>5060458890191</v>
      </c>
      <c r="V6901" s="51" t="s">
        <v>2142</v>
      </c>
      <c r="W6901" s="51" t="s">
        <v>11243</v>
      </c>
      <c r="X6901" s="51" t="s">
        <v>2359</v>
      </c>
    </row>
    <row r="6902" customFormat="false" ht="14.25" hidden="true" customHeight="false" outlineLevel="0" collapsed="false">
      <c r="A6902" s="49" t="s">
        <v>2349</v>
      </c>
      <c r="B6902" s="49" t="s">
        <v>2350</v>
      </c>
      <c r="C6902" s="49" t="s">
        <v>11662</v>
      </c>
      <c r="D6902" s="49" t="s">
        <v>2352</v>
      </c>
      <c r="E6902" s="49" t="str">
        <f aca="false">"5060458890191"</f>
        <v>5060458890191</v>
      </c>
      <c r="F6902" s="49" t="s">
        <v>3656</v>
      </c>
      <c r="G6902" s="49" t="n">
        <v>0</v>
      </c>
      <c r="H6902" s="0" t="n">
        <v>0</v>
      </c>
      <c r="M6902" s="51" t="s">
        <v>3658</v>
      </c>
      <c r="N6902" s="49" t="n">
        <v>0</v>
      </c>
      <c r="O6902" s="53" t="n">
        <v>45930.6588657407</v>
      </c>
      <c r="P6902" s="53" t="n">
        <v>45963.7703356482</v>
      </c>
      <c r="Q6902" s="53" t="n">
        <v>45930.6588657407</v>
      </c>
      <c r="R6902" s="0" t="n">
        <v>0</v>
      </c>
      <c r="S6902" s="51" t="s">
        <v>2416</v>
      </c>
      <c r="T6902" s="51" t="s">
        <v>2416</v>
      </c>
      <c r="U6902" s="0" t="str">
        <f aca="false">"5060458890191"</f>
        <v>5060458890191</v>
      </c>
      <c r="V6902" s="51" t="s">
        <v>2142</v>
      </c>
      <c r="W6902" s="51" t="s">
        <v>4831</v>
      </c>
      <c r="X6902" s="51" t="s">
        <v>2359</v>
      </c>
    </row>
    <row r="6903" customFormat="false" ht="14.25" hidden="true" customHeight="false" outlineLevel="0" collapsed="false">
      <c r="A6903" s="49" t="s">
        <v>2349</v>
      </c>
      <c r="B6903" s="49" t="s">
        <v>2350</v>
      </c>
      <c r="C6903" s="49" t="s">
        <v>11663</v>
      </c>
      <c r="D6903" s="49" t="s">
        <v>2352</v>
      </c>
      <c r="E6903" s="49" t="str">
        <f aca="false">"5060458890191"</f>
        <v>5060458890191</v>
      </c>
      <c r="F6903" s="49" t="s">
        <v>3656</v>
      </c>
      <c r="G6903" s="49" t="n">
        <v>0</v>
      </c>
      <c r="H6903" s="0" t="n">
        <v>0</v>
      </c>
      <c r="M6903" s="51" t="s">
        <v>3658</v>
      </c>
      <c r="N6903" s="49" t="n">
        <v>0</v>
      </c>
      <c r="O6903" s="53" t="n">
        <v>45930.6587962963</v>
      </c>
      <c r="P6903" s="53" t="n">
        <v>45963.7741782407</v>
      </c>
      <c r="Q6903" s="53" t="n">
        <v>45930.6587962963</v>
      </c>
      <c r="R6903" s="0" t="n">
        <v>0</v>
      </c>
      <c r="S6903" s="51" t="s">
        <v>2416</v>
      </c>
      <c r="T6903" s="51" t="s">
        <v>2416</v>
      </c>
      <c r="U6903" s="0" t="str">
        <f aca="false">"5060458890191"</f>
        <v>5060458890191</v>
      </c>
      <c r="V6903" s="51" t="s">
        <v>2142</v>
      </c>
      <c r="W6903" s="51" t="s">
        <v>11664</v>
      </c>
      <c r="X6903" s="51" t="s">
        <v>2359</v>
      </c>
    </row>
    <row r="6904" customFormat="false" ht="14.25" hidden="true" customHeight="false" outlineLevel="0" collapsed="false">
      <c r="A6904" s="49" t="s">
        <v>2349</v>
      </c>
      <c r="B6904" s="49" t="s">
        <v>2350</v>
      </c>
      <c r="C6904" s="49" t="s">
        <v>11665</v>
      </c>
      <c r="D6904" s="49" t="s">
        <v>2352</v>
      </c>
      <c r="E6904" s="49" t="str">
        <f aca="false">"5060458890191"</f>
        <v>5060458890191</v>
      </c>
      <c r="F6904" s="49" t="s">
        <v>3656</v>
      </c>
      <c r="G6904" s="49" t="n">
        <v>0</v>
      </c>
      <c r="H6904" s="0" t="n">
        <v>0</v>
      </c>
      <c r="M6904" s="51" t="s">
        <v>3658</v>
      </c>
      <c r="N6904" s="49" t="n">
        <v>0</v>
      </c>
      <c r="O6904" s="53" t="n">
        <v>45930.6587152778</v>
      </c>
      <c r="P6904" s="53" t="n">
        <v>45957.885162037</v>
      </c>
      <c r="Q6904" s="53" t="n">
        <v>45930.6587152778</v>
      </c>
      <c r="R6904" s="0" t="n">
        <v>0</v>
      </c>
      <c r="S6904" s="51" t="s">
        <v>2416</v>
      </c>
      <c r="T6904" s="51" t="s">
        <v>2416</v>
      </c>
      <c r="U6904" s="0" t="str">
        <f aca="false">"5060458890191"</f>
        <v>5060458890191</v>
      </c>
      <c r="V6904" s="51" t="s">
        <v>2142</v>
      </c>
      <c r="W6904" s="51" t="s">
        <v>11666</v>
      </c>
      <c r="X6904" s="51" t="s">
        <v>2359</v>
      </c>
    </row>
    <row r="6905" customFormat="false" ht="14.25" hidden="true" customHeight="false" outlineLevel="0" collapsed="false">
      <c r="A6905" s="49" t="s">
        <v>2349</v>
      </c>
      <c r="B6905" s="49" t="s">
        <v>2350</v>
      </c>
      <c r="C6905" s="49" t="s">
        <v>11667</v>
      </c>
      <c r="D6905" s="49" t="s">
        <v>2352</v>
      </c>
      <c r="E6905" s="49" t="str">
        <f aca="false">"5060458890191"</f>
        <v>5060458890191</v>
      </c>
      <c r="F6905" s="49" t="s">
        <v>3656</v>
      </c>
      <c r="G6905" s="49" t="n">
        <v>0</v>
      </c>
      <c r="H6905" s="0" t="n">
        <v>0</v>
      </c>
      <c r="M6905" s="51" t="s">
        <v>3658</v>
      </c>
      <c r="N6905" s="49" t="n">
        <v>0</v>
      </c>
      <c r="O6905" s="53" t="n">
        <v>45930.6586458333</v>
      </c>
      <c r="P6905" s="53" t="n">
        <v>45994.9856944445</v>
      </c>
      <c r="Q6905" s="53" t="n">
        <v>45930.6586458333</v>
      </c>
      <c r="R6905" s="0" t="n">
        <v>0</v>
      </c>
      <c r="S6905" s="51" t="s">
        <v>2416</v>
      </c>
      <c r="T6905" s="51" t="s">
        <v>2416</v>
      </c>
      <c r="U6905" s="0" t="str">
        <f aca="false">"5060458890191"</f>
        <v>5060458890191</v>
      </c>
      <c r="V6905" s="51" t="s">
        <v>2142</v>
      </c>
      <c r="W6905" s="51" t="s">
        <v>11668</v>
      </c>
      <c r="X6905" s="51" t="s">
        <v>2359</v>
      </c>
    </row>
    <row r="6906" customFormat="false" ht="14.25" hidden="true" customHeight="false" outlineLevel="0" collapsed="false">
      <c r="A6906" s="49" t="s">
        <v>2349</v>
      </c>
      <c r="B6906" s="49" t="s">
        <v>2350</v>
      </c>
      <c r="C6906" s="49" t="s">
        <v>11669</v>
      </c>
      <c r="D6906" s="49" t="s">
        <v>2352</v>
      </c>
      <c r="E6906" s="49" t="str">
        <f aca="false">"5060458890191"</f>
        <v>5060458890191</v>
      </c>
      <c r="F6906" s="49" t="s">
        <v>3656</v>
      </c>
      <c r="G6906" s="49" t="n">
        <v>0</v>
      </c>
      <c r="H6906" s="0" t="n">
        <v>0</v>
      </c>
      <c r="M6906" s="51" t="s">
        <v>3658</v>
      </c>
      <c r="N6906" s="49" t="n">
        <v>0</v>
      </c>
      <c r="O6906" s="53" t="n">
        <v>45930.6584259259</v>
      </c>
      <c r="P6906" s="53" t="n">
        <v>45994.9495717593</v>
      </c>
      <c r="Q6906" s="53" t="n">
        <v>45930.6584259259</v>
      </c>
      <c r="R6906" s="0" t="n">
        <v>0</v>
      </c>
      <c r="S6906" s="51" t="s">
        <v>2416</v>
      </c>
      <c r="T6906" s="51" t="s">
        <v>2416</v>
      </c>
      <c r="U6906" s="0" t="str">
        <f aca="false">"5060458890191"</f>
        <v>5060458890191</v>
      </c>
      <c r="V6906" s="51" t="s">
        <v>2142</v>
      </c>
      <c r="W6906" s="51" t="s">
        <v>4437</v>
      </c>
      <c r="X6906" s="51" t="s">
        <v>2359</v>
      </c>
    </row>
    <row r="6907" customFormat="false" ht="14.25" hidden="true" customHeight="false" outlineLevel="0" collapsed="false">
      <c r="A6907" s="49" t="s">
        <v>2349</v>
      </c>
      <c r="B6907" s="49" t="s">
        <v>2350</v>
      </c>
      <c r="C6907" s="49" t="s">
        <v>11670</v>
      </c>
      <c r="D6907" s="49" t="s">
        <v>2352</v>
      </c>
      <c r="E6907" s="49" t="str">
        <f aca="false">"5060458890191"</f>
        <v>5060458890191</v>
      </c>
      <c r="F6907" s="49" t="s">
        <v>3656</v>
      </c>
      <c r="G6907" s="49" t="n">
        <v>0</v>
      </c>
      <c r="H6907" s="0" t="n">
        <v>0</v>
      </c>
      <c r="M6907" s="51" t="s">
        <v>3658</v>
      </c>
      <c r="N6907" s="49" t="n">
        <v>0</v>
      </c>
      <c r="O6907" s="53" t="n">
        <v>45930.6583564815</v>
      </c>
      <c r="P6907" s="53" t="n">
        <v>45960.7843287037</v>
      </c>
      <c r="Q6907" s="53" t="n">
        <v>45930.6583564815</v>
      </c>
      <c r="R6907" s="0" t="n">
        <v>0</v>
      </c>
      <c r="S6907" s="51" t="s">
        <v>2416</v>
      </c>
      <c r="T6907" s="51" t="s">
        <v>2416</v>
      </c>
      <c r="U6907" s="0" t="str">
        <f aca="false">"5060458890191"</f>
        <v>5060458890191</v>
      </c>
      <c r="V6907" s="51" t="s">
        <v>2142</v>
      </c>
      <c r="W6907" s="51" t="s">
        <v>11671</v>
      </c>
      <c r="X6907" s="51" t="s">
        <v>2359</v>
      </c>
    </row>
    <row r="6908" customFormat="false" ht="14.25" hidden="true" customHeight="false" outlineLevel="0" collapsed="false">
      <c r="A6908" s="49" t="s">
        <v>2349</v>
      </c>
      <c r="B6908" s="49" t="s">
        <v>2350</v>
      </c>
      <c r="C6908" s="49" t="s">
        <v>11672</v>
      </c>
      <c r="D6908" s="49" t="s">
        <v>2352</v>
      </c>
      <c r="E6908" s="49" t="str">
        <f aca="false">"5060458890191"</f>
        <v>5060458890191</v>
      </c>
      <c r="F6908" s="49" t="s">
        <v>3656</v>
      </c>
      <c r="G6908" s="49" t="n">
        <v>0</v>
      </c>
      <c r="H6908" s="0" t="n">
        <v>0</v>
      </c>
      <c r="M6908" s="51" t="s">
        <v>3658</v>
      </c>
      <c r="N6908" s="49" t="n">
        <v>0</v>
      </c>
      <c r="O6908" s="53" t="n">
        <v>45930.658275463</v>
      </c>
      <c r="P6908" s="53" t="n">
        <v>45960.7828819445</v>
      </c>
      <c r="Q6908" s="53" t="n">
        <v>45930.658275463</v>
      </c>
      <c r="R6908" s="0" t="n">
        <v>0</v>
      </c>
      <c r="S6908" s="51" t="s">
        <v>2416</v>
      </c>
      <c r="T6908" s="51" t="s">
        <v>2416</v>
      </c>
      <c r="U6908" s="0" t="str">
        <f aca="false">"5060458890191"</f>
        <v>5060458890191</v>
      </c>
      <c r="V6908" s="51" t="s">
        <v>2142</v>
      </c>
      <c r="W6908" s="51" t="s">
        <v>4256</v>
      </c>
      <c r="X6908" s="51" t="s">
        <v>2359</v>
      </c>
    </row>
    <row r="6909" customFormat="false" ht="14.25" hidden="true" customHeight="false" outlineLevel="0" collapsed="false">
      <c r="A6909" s="49" t="s">
        <v>2349</v>
      </c>
      <c r="B6909" s="49" t="s">
        <v>2350</v>
      </c>
      <c r="C6909" s="49" t="s">
        <v>11673</v>
      </c>
      <c r="D6909" s="49" t="s">
        <v>2352</v>
      </c>
      <c r="E6909" s="49" t="str">
        <f aca="false">"5060458890191"</f>
        <v>5060458890191</v>
      </c>
      <c r="F6909" s="49" t="s">
        <v>3656</v>
      </c>
      <c r="G6909" s="49" t="n">
        <v>0</v>
      </c>
      <c r="H6909" s="0" t="n">
        <v>0</v>
      </c>
      <c r="M6909" s="51" t="s">
        <v>3658</v>
      </c>
      <c r="N6909" s="49" t="n">
        <v>0</v>
      </c>
      <c r="O6909" s="53" t="n">
        <v>45930.6581944445</v>
      </c>
      <c r="P6909" s="53" t="n">
        <v>45963.7758564815</v>
      </c>
      <c r="Q6909" s="53" t="n">
        <v>45930.6581944445</v>
      </c>
      <c r="R6909" s="0" t="n">
        <v>0</v>
      </c>
      <c r="S6909" s="51" t="s">
        <v>2416</v>
      </c>
      <c r="T6909" s="51" t="s">
        <v>2416</v>
      </c>
      <c r="U6909" s="0" t="str">
        <f aca="false">"5060458890191"</f>
        <v>5060458890191</v>
      </c>
      <c r="V6909" s="51" t="s">
        <v>2142</v>
      </c>
      <c r="W6909" s="51" t="s">
        <v>10881</v>
      </c>
      <c r="X6909" s="51" t="s">
        <v>2359</v>
      </c>
    </row>
    <row r="6910" customFormat="false" ht="14.25" hidden="true" customHeight="false" outlineLevel="0" collapsed="false">
      <c r="A6910" s="49" t="s">
        <v>2349</v>
      </c>
      <c r="B6910" s="49" t="s">
        <v>2350</v>
      </c>
      <c r="C6910" s="49" t="s">
        <v>11674</v>
      </c>
      <c r="D6910" s="49" t="s">
        <v>2352</v>
      </c>
      <c r="E6910" s="49" t="str">
        <f aca="false">"5060458890191"</f>
        <v>5060458890191</v>
      </c>
      <c r="F6910" s="49" t="s">
        <v>3656</v>
      </c>
      <c r="G6910" s="49" t="n">
        <v>0</v>
      </c>
      <c r="H6910" s="0" t="n">
        <v>0</v>
      </c>
      <c r="M6910" s="51" t="s">
        <v>3658</v>
      </c>
      <c r="N6910" s="49" t="n">
        <v>0</v>
      </c>
      <c r="O6910" s="53" t="n">
        <v>45930.6581365741</v>
      </c>
      <c r="P6910" s="53" t="n">
        <v>45994.9385763889</v>
      </c>
      <c r="Q6910" s="53" t="n">
        <v>45930.6581365741</v>
      </c>
      <c r="R6910" s="0" t="n">
        <v>0</v>
      </c>
      <c r="S6910" s="51" t="s">
        <v>2416</v>
      </c>
      <c r="T6910" s="51" t="s">
        <v>2416</v>
      </c>
      <c r="U6910" s="0" t="str">
        <f aca="false">"5060458890191"</f>
        <v>5060458890191</v>
      </c>
      <c r="V6910" s="51" t="s">
        <v>2142</v>
      </c>
      <c r="W6910" s="51" t="s">
        <v>4297</v>
      </c>
      <c r="X6910" s="51" t="s">
        <v>2359</v>
      </c>
    </row>
    <row r="6911" customFormat="false" ht="14.25" hidden="true" customHeight="false" outlineLevel="0" collapsed="false">
      <c r="A6911" s="49" t="s">
        <v>2349</v>
      </c>
      <c r="B6911" s="49" t="s">
        <v>2350</v>
      </c>
      <c r="C6911" s="49" t="s">
        <v>11675</v>
      </c>
      <c r="D6911" s="49" t="s">
        <v>2352</v>
      </c>
      <c r="E6911" s="49" t="str">
        <f aca="false">"5060458890191"</f>
        <v>5060458890191</v>
      </c>
      <c r="F6911" s="49" t="s">
        <v>3656</v>
      </c>
      <c r="G6911" s="49" t="n">
        <v>0</v>
      </c>
      <c r="H6911" s="0" t="n">
        <v>0</v>
      </c>
      <c r="M6911" s="51" t="s">
        <v>3658</v>
      </c>
      <c r="N6911" s="49" t="n">
        <v>0</v>
      </c>
      <c r="O6911" s="53" t="n">
        <v>45930.6580208333</v>
      </c>
      <c r="P6911" s="53" t="n">
        <v>45993.7518055556</v>
      </c>
      <c r="Q6911" s="53" t="n">
        <v>45930.6580208333</v>
      </c>
      <c r="R6911" s="0" t="n">
        <v>0</v>
      </c>
      <c r="S6911" s="51" t="s">
        <v>2416</v>
      </c>
      <c r="T6911" s="51" t="s">
        <v>2416</v>
      </c>
      <c r="U6911" s="0" t="str">
        <f aca="false">"5060458890191"</f>
        <v>5060458890191</v>
      </c>
      <c r="V6911" s="51" t="s">
        <v>2142</v>
      </c>
      <c r="W6911" s="51" t="s">
        <v>11221</v>
      </c>
      <c r="X6911" s="51" t="s">
        <v>2359</v>
      </c>
    </row>
    <row r="6912" customFormat="false" ht="14.25" hidden="true" customHeight="false" outlineLevel="0" collapsed="false">
      <c r="A6912" s="49" t="s">
        <v>2349</v>
      </c>
      <c r="B6912" s="49" t="s">
        <v>2350</v>
      </c>
      <c r="C6912" s="49" t="s">
        <v>11676</v>
      </c>
      <c r="D6912" s="49" t="s">
        <v>2352</v>
      </c>
      <c r="E6912" s="49" t="str">
        <f aca="false">"5060458890191"</f>
        <v>5060458890191</v>
      </c>
      <c r="F6912" s="49" t="s">
        <v>3656</v>
      </c>
      <c r="G6912" s="49" t="n">
        <v>0</v>
      </c>
      <c r="H6912" s="0" t="n">
        <v>0</v>
      </c>
      <c r="M6912" s="51" t="s">
        <v>3658</v>
      </c>
      <c r="N6912" s="49" t="n">
        <v>0</v>
      </c>
      <c r="O6912" s="53" t="n">
        <v>45930.6579513889</v>
      </c>
      <c r="P6912" s="53" t="n">
        <v>45991.7453472222</v>
      </c>
      <c r="Q6912" s="53" t="n">
        <v>45930.6579513889</v>
      </c>
      <c r="R6912" s="0" t="n">
        <v>0</v>
      </c>
      <c r="S6912" s="51" t="s">
        <v>2416</v>
      </c>
      <c r="T6912" s="51" t="s">
        <v>2416</v>
      </c>
      <c r="U6912" s="0" t="str">
        <f aca="false">"5060458890191"</f>
        <v>5060458890191</v>
      </c>
      <c r="V6912" s="51" t="s">
        <v>2142</v>
      </c>
      <c r="W6912" s="51" t="s">
        <v>4191</v>
      </c>
      <c r="X6912" s="51" t="s">
        <v>2359</v>
      </c>
    </row>
    <row r="6913" customFormat="false" ht="14.25" hidden="true" customHeight="false" outlineLevel="0" collapsed="false">
      <c r="A6913" s="49" t="s">
        <v>2349</v>
      </c>
      <c r="B6913" s="49" t="s">
        <v>2350</v>
      </c>
      <c r="C6913" s="49" t="s">
        <v>11677</v>
      </c>
      <c r="D6913" s="49" t="s">
        <v>2352</v>
      </c>
      <c r="E6913" s="49" t="str">
        <f aca="false">"5060458890191"</f>
        <v>5060458890191</v>
      </c>
      <c r="F6913" s="49" t="s">
        <v>3656</v>
      </c>
      <c r="G6913" s="49" t="n">
        <v>0</v>
      </c>
      <c r="H6913" s="0" t="n">
        <v>0</v>
      </c>
      <c r="M6913" s="51" t="s">
        <v>3658</v>
      </c>
      <c r="N6913" s="49" t="n">
        <v>0</v>
      </c>
      <c r="O6913" s="53" t="n">
        <v>45930.6578819445</v>
      </c>
      <c r="P6913" s="53" t="n">
        <v>45963.7777083333</v>
      </c>
      <c r="Q6913" s="53" t="n">
        <v>45930.6578819445</v>
      </c>
      <c r="R6913" s="0" t="n">
        <v>0</v>
      </c>
      <c r="S6913" s="51" t="s">
        <v>2416</v>
      </c>
      <c r="T6913" s="51" t="s">
        <v>2416</v>
      </c>
      <c r="U6913" s="0" t="str">
        <f aca="false">"5060458890191"</f>
        <v>5060458890191</v>
      </c>
      <c r="V6913" s="51" t="s">
        <v>2142</v>
      </c>
      <c r="W6913" s="51" t="s">
        <v>8663</v>
      </c>
      <c r="X6913" s="51" t="s">
        <v>2359</v>
      </c>
    </row>
    <row r="6914" customFormat="false" ht="14.25" hidden="true" customHeight="false" outlineLevel="0" collapsed="false">
      <c r="A6914" s="49" t="s">
        <v>2349</v>
      </c>
      <c r="B6914" s="49" t="s">
        <v>2350</v>
      </c>
      <c r="C6914" s="49" t="s">
        <v>11678</v>
      </c>
      <c r="D6914" s="49" t="s">
        <v>2352</v>
      </c>
      <c r="E6914" s="49" t="str">
        <f aca="false">"5060458890191"</f>
        <v>5060458890191</v>
      </c>
      <c r="F6914" s="49" t="s">
        <v>3656</v>
      </c>
      <c r="G6914" s="49" t="n">
        <v>0</v>
      </c>
      <c r="H6914" s="0" t="n">
        <v>0</v>
      </c>
      <c r="M6914" s="51" t="s">
        <v>3658</v>
      </c>
      <c r="N6914" s="49" t="n">
        <v>0</v>
      </c>
      <c r="O6914" s="53" t="n">
        <v>45930.6574652778</v>
      </c>
      <c r="P6914" s="53" t="n">
        <v>45960.7896759259</v>
      </c>
      <c r="Q6914" s="53" t="n">
        <v>45930.6574652778</v>
      </c>
      <c r="R6914" s="0" t="n">
        <v>0</v>
      </c>
      <c r="S6914" s="51" t="s">
        <v>2416</v>
      </c>
      <c r="T6914" s="51" t="s">
        <v>2416</v>
      </c>
      <c r="U6914" s="0" t="str">
        <f aca="false">"5060458890191"</f>
        <v>5060458890191</v>
      </c>
      <c r="V6914" s="51" t="s">
        <v>2142</v>
      </c>
      <c r="W6914" s="51" t="s">
        <v>10582</v>
      </c>
      <c r="X6914" s="51" t="s">
        <v>2359</v>
      </c>
    </row>
    <row r="6915" customFormat="false" ht="14.25" hidden="true" customHeight="false" outlineLevel="0" collapsed="false">
      <c r="A6915" s="49" t="s">
        <v>2349</v>
      </c>
      <c r="B6915" s="49" t="s">
        <v>2350</v>
      </c>
      <c r="C6915" s="49" t="s">
        <v>11679</v>
      </c>
      <c r="D6915" s="49" t="s">
        <v>2352</v>
      </c>
      <c r="E6915" s="49" t="str">
        <f aca="false">"5060458890191"</f>
        <v>5060458890191</v>
      </c>
      <c r="F6915" s="49" t="s">
        <v>3656</v>
      </c>
      <c r="G6915" s="49" t="n">
        <v>0</v>
      </c>
      <c r="H6915" s="0" t="n">
        <v>0</v>
      </c>
      <c r="M6915" s="51" t="s">
        <v>3658</v>
      </c>
      <c r="N6915" s="49" t="n">
        <v>0</v>
      </c>
      <c r="O6915" s="53" t="n">
        <v>45930.6573611111</v>
      </c>
      <c r="P6915" s="53" t="n">
        <v>45963.7723148148</v>
      </c>
      <c r="Q6915" s="53" t="n">
        <v>45930.6573611111</v>
      </c>
      <c r="R6915" s="0" t="n">
        <v>0</v>
      </c>
      <c r="S6915" s="51" t="s">
        <v>2416</v>
      </c>
      <c r="T6915" s="51" t="s">
        <v>2416</v>
      </c>
      <c r="U6915" s="0" t="str">
        <f aca="false">"5060458890191"</f>
        <v>5060458890191</v>
      </c>
      <c r="V6915" s="51" t="s">
        <v>2142</v>
      </c>
      <c r="W6915" s="51" t="s">
        <v>10844</v>
      </c>
      <c r="X6915" s="51" t="s">
        <v>2359</v>
      </c>
    </row>
    <row r="6916" customFormat="false" ht="14.25" hidden="true" customHeight="false" outlineLevel="0" collapsed="false">
      <c r="A6916" s="49" t="s">
        <v>2349</v>
      </c>
      <c r="B6916" s="49" t="s">
        <v>2350</v>
      </c>
      <c r="C6916" s="49" t="s">
        <v>11680</v>
      </c>
      <c r="D6916" s="49" t="s">
        <v>2352</v>
      </c>
      <c r="E6916" s="49" t="str">
        <f aca="false">"5060458890191"</f>
        <v>5060458890191</v>
      </c>
      <c r="F6916" s="49" t="s">
        <v>3656</v>
      </c>
      <c r="G6916" s="49" t="n">
        <v>0</v>
      </c>
      <c r="H6916" s="0" t="n">
        <v>0</v>
      </c>
      <c r="M6916" s="51" t="s">
        <v>3658</v>
      </c>
      <c r="N6916" s="49" t="n">
        <v>0</v>
      </c>
      <c r="O6916" s="53" t="n">
        <v>45930.6572569445</v>
      </c>
      <c r="P6916" s="53" t="n">
        <v>45960.7785185185</v>
      </c>
      <c r="Q6916" s="53" t="n">
        <v>45930.6572569445</v>
      </c>
      <c r="R6916" s="0" t="n">
        <v>0</v>
      </c>
      <c r="S6916" s="51" t="s">
        <v>2416</v>
      </c>
      <c r="T6916" s="51" t="s">
        <v>2416</v>
      </c>
      <c r="U6916" s="0" t="str">
        <f aca="false">"5060458890191"</f>
        <v>5060458890191</v>
      </c>
      <c r="V6916" s="51" t="s">
        <v>2142</v>
      </c>
      <c r="W6916" s="51" t="s">
        <v>11681</v>
      </c>
      <c r="X6916" s="51" t="s">
        <v>2359</v>
      </c>
    </row>
    <row r="6917" customFormat="false" ht="14.25" hidden="true" customHeight="false" outlineLevel="0" collapsed="false">
      <c r="A6917" s="49" t="s">
        <v>2349</v>
      </c>
      <c r="B6917" s="49" t="s">
        <v>2350</v>
      </c>
      <c r="C6917" s="49" t="s">
        <v>11682</v>
      </c>
      <c r="D6917" s="49" t="s">
        <v>2352</v>
      </c>
      <c r="E6917" s="49" t="str">
        <f aca="false">"5060458890191"</f>
        <v>5060458890191</v>
      </c>
      <c r="F6917" s="49" t="s">
        <v>3656</v>
      </c>
      <c r="G6917" s="49" t="n">
        <v>0</v>
      </c>
      <c r="H6917" s="0" t="n">
        <v>0</v>
      </c>
      <c r="M6917" s="51" t="s">
        <v>3658</v>
      </c>
      <c r="N6917" s="49" t="n">
        <v>0</v>
      </c>
      <c r="O6917" s="53" t="n">
        <v>45930.6571643519</v>
      </c>
      <c r="P6917" s="53" t="n">
        <v>45991.7519907407</v>
      </c>
      <c r="Q6917" s="53" t="n">
        <v>45930.6571643519</v>
      </c>
      <c r="R6917" s="0" t="n">
        <v>0</v>
      </c>
      <c r="S6917" s="51" t="s">
        <v>2416</v>
      </c>
      <c r="T6917" s="51" t="s">
        <v>2416</v>
      </c>
      <c r="U6917" s="0" t="str">
        <f aca="false">"5060458890191"</f>
        <v>5060458890191</v>
      </c>
      <c r="V6917" s="51" t="s">
        <v>2142</v>
      </c>
      <c r="W6917" s="51" t="s">
        <v>4254</v>
      </c>
      <c r="X6917" s="51" t="s">
        <v>2359</v>
      </c>
    </row>
    <row r="6918" customFormat="false" ht="14.25" hidden="true" customHeight="false" outlineLevel="0" collapsed="false">
      <c r="A6918" s="49" t="s">
        <v>2349</v>
      </c>
      <c r="B6918" s="49" t="s">
        <v>2350</v>
      </c>
      <c r="C6918" s="49" t="s">
        <v>11683</v>
      </c>
      <c r="D6918" s="49" t="s">
        <v>2352</v>
      </c>
      <c r="E6918" s="49" t="str">
        <f aca="false">"5060458890191"</f>
        <v>5060458890191</v>
      </c>
      <c r="F6918" s="49" t="s">
        <v>3656</v>
      </c>
      <c r="G6918" s="49" t="n">
        <v>0</v>
      </c>
      <c r="H6918" s="0" t="n">
        <v>0</v>
      </c>
      <c r="M6918" s="51" t="s">
        <v>3658</v>
      </c>
      <c r="N6918" s="49" t="n">
        <v>0</v>
      </c>
      <c r="O6918" s="53" t="n">
        <v>45930.6570949074</v>
      </c>
      <c r="P6918" s="53" t="n">
        <v>45965.8865972222</v>
      </c>
      <c r="Q6918" s="53" t="n">
        <v>45930.6570949074</v>
      </c>
      <c r="R6918" s="0" t="n">
        <v>0</v>
      </c>
      <c r="S6918" s="51" t="s">
        <v>2416</v>
      </c>
      <c r="T6918" s="51" t="s">
        <v>2416</v>
      </c>
      <c r="U6918" s="0" t="str">
        <f aca="false">"5060458890191"</f>
        <v>5060458890191</v>
      </c>
      <c r="V6918" s="51" t="s">
        <v>2142</v>
      </c>
      <c r="W6918" s="51" t="s">
        <v>11684</v>
      </c>
      <c r="X6918" s="51" t="s">
        <v>2359</v>
      </c>
    </row>
    <row r="6919" customFormat="false" ht="14.25" hidden="true" customHeight="false" outlineLevel="0" collapsed="false">
      <c r="A6919" s="49" t="s">
        <v>2349</v>
      </c>
      <c r="B6919" s="49" t="s">
        <v>2350</v>
      </c>
      <c r="C6919" s="49" t="s">
        <v>11685</v>
      </c>
      <c r="D6919" s="49" t="s">
        <v>2352</v>
      </c>
      <c r="E6919" s="49" t="str">
        <f aca="false">"5060458890191"</f>
        <v>5060458890191</v>
      </c>
      <c r="F6919" s="49" t="s">
        <v>3656</v>
      </c>
      <c r="G6919" s="49" t="n">
        <v>0</v>
      </c>
      <c r="H6919" s="0" t="n">
        <v>0</v>
      </c>
      <c r="M6919" s="51" t="s">
        <v>3658</v>
      </c>
      <c r="N6919" s="49" t="n">
        <v>0</v>
      </c>
      <c r="O6919" s="53" t="n">
        <v>45930.6569675926</v>
      </c>
      <c r="P6919" s="53" t="n">
        <v>45969.4962731482</v>
      </c>
      <c r="Q6919" s="53" t="n">
        <v>45930.6569675926</v>
      </c>
      <c r="R6919" s="0" t="n">
        <v>0</v>
      </c>
      <c r="S6919" s="51" t="s">
        <v>2416</v>
      </c>
      <c r="T6919" s="51" t="s">
        <v>2416</v>
      </c>
      <c r="U6919" s="0" t="str">
        <f aca="false">"5060458890191"</f>
        <v>5060458890191</v>
      </c>
      <c r="V6919" s="51" t="s">
        <v>2142</v>
      </c>
      <c r="W6919" s="51" t="s">
        <v>11055</v>
      </c>
      <c r="X6919" s="51" t="s">
        <v>2359</v>
      </c>
    </row>
    <row r="6920" customFormat="false" ht="14.25" hidden="true" customHeight="false" outlineLevel="0" collapsed="false">
      <c r="A6920" s="49" t="s">
        <v>2349</v>
      </c>
      <c r="B6920" s="49" t="s">
        <v>2350</v>
      </c>
      <c r="C6920" s="49" t="s">
        <v>11686</v>
      </c>
      <c r="D6920" s="49" t="s">
        <v>2352</v>
      </c>
      <c r="E6920" s="49" t="str">
        <f aca="false">"5060458890191"</f>
        <v>5060458890191</v>
      </c>
      <c r="F6920" s="49" t="s">
        <v>3656</v>
      </c>
      <c r="G6920" s="49" t="n">
        <v>0</v>
      </c>
      <c r="H6920" s="0" t="n">
        <v>0</v>
      </c>
      <c r="M6920" s="51" t="s">
        <v>3658</v>
      </c>
      <c r="N6920" s="49" t="n">
        <v>0</v>
      </c>
      <c r="O6920" s="53" t="n">
        <v>45930.6568518519</v>
      </c>
      <c r="P6920" s="53" t="n">
        <v>45994.9396296296</v>
      </c>
      <c r="Q6920" s="53" t="n">
        <v>45930.6568518519</v>
      </c>
      <c r="R6920" s="0" t="n">
        <v>0</v>
      </c>
      <c r="S6920" s="51" t="s">
        <v>2416</v>
      </c>
      <c r="T6920" s="51" t="s">
        <v>2416</v>
      </c>
      <c r="U6920" s="0" t="str">
        <f aca="false">"5060458890191"</f>
        <v>5060458890191</v>
      </c>
      <c r="V6920" s="51" t="s">
        <v>2142</v>
      </c>
      <c r="W6920" s="51" t="s">
        <v>5527</v>
      </c>
      <c r="X6920" s="51" t="s">
        <v>2359</v>
      </c>
    </row>
    <row r="6921" customFormat="false" ht="14.25" hidden="true" customHeight="false" outlineLevel="0" collapsed="false">
      <c r="A6921" s="49" t="s">
        <v>2349</v>
      </c>
      <c r="B6921" s="49" t="s">
        <v>2350</v>
      </c>
      <c r="C6921" s="49" t="s">
        <v>11687</v>
      </c>
      <c r="D6921" s="49" t="s">
        <v>2352</v>
      </c>
      <c r="E6921" s="49" t="str">
        <f aca="false">"5060458890191"</f>
        <v>5060458890191</v>
      </c>
      <c r="F6921" s="49" t="s">
        <v>3656</v>
      </c>
      <c r="G6921" s="49" t="n">
        <v>0</v>
      </c>
      <c r="H6921" s="0" t="n">
        <v>0</v>
      </c>
      <c r="M6921" s="51" t="s">
        <v>3658</v>
      </c>
      <c r="N6921" s="49" t="n">
        <v>0</v>
      </c>
      <c r="O6921" s="53" t="n">
        <v>45930.6567824074</v>
      </c>
      <c r="P6921" s="53" t="n">
        <v>45965.8853819444</v>
      </c>
      <c r="Q6921" s="53" t="n">
        <v>45930.6567824074</v>
      </c>
      <c r="R6921" s="0" t="n">
        <v>0</v>
      </c>
      <c r="S6921" s="51" t="s">
        <v>2416</v>
      </c>
      <c r="T6921" s="51" t="s">
        <v>2416</v>
      </c>
      <c r="U6921" s="0" t="str">
        <f aca="false">"5060458890191"</f>
        <v>5060458890191</v>
      </c>
      <c r="V6921" s="51" t="s">
        <v>2142</v>
      </c>
      <c r="W6921" s="51" t="s">
        <v>11688</v>
      </c>
      <c r="X6921" s="51" t="s">
        <v>2359</v>
      </c>
    </row>
    <row r="6922" customFormat="false" ht="14.25" hidden="true" customHeight="false" outlineLevel="0" collapsed="false">
      <c r="A6922" s="49" t="s">
        <v>2349</v>
      </c>
      <c r="B6922" s="49" t="s">
        <v>2350</v>
      </c>
      <c r="C6922" s="49" t="s">
        <v>11689</v>
      </c>
      <c r="D6922" s="49" t="s">
        <v>2352</v>
      </c>
      <c r="E6922" s="49" t="str">
        <f aca="false">"5060458890191"</f>
        <v>5060458890191</v>
      </c>
      <c r="F6922" s="49" t="s">
        <v>3656</v>
      </c>
      <c r="G6922" s="49" t="n">
        <v>0</v>
      </c>
      <c r="H6922" s="0" t="n">
        <v>0</v>
      </c>
      <c r="M6922" s="51" t="s">
        <v>3658</v>
      </c>
      <c r="N6922" s="49" t="n">
        <v>0</v>
      </c>
      <c r="O6922" s="53" t="n">
        <v>45930.6566782407</v>
      </c>
      <c r="P6922" s="53" t="n">
        <v>45965.8882638889</v>
      </c>
      <c r="Q6922" s="53" t="n">
        <v>45930.6566782407</v>
      </c>
      <c r="R6922" s="0" t="n">
        <v>0</v>
      </c>
      <c r="S6922" s="51" t="s">
        <v>2416</v>
      </c>
      <c r="T6922" s="51" t="s">
        <v>2416</v>
      </c>
      <c r="U6922" s="0" t="str">
        <f aca="false">"5060458890191"</f>
        <v>5060458890191</v>
      </c>
      <c r="V6922" s="51" t="s">
        <v>2142</v>
      </c>
      <c r="W6922" s="51" t="s">
        <v>11690</v>
      </c>
      <c r="X6922" s="51" t="s">
        <v>2359</v>
      </c>
    </row>
    <row r="6923" customFormat="false" ht="14.25" hidden="true" customHeight="false" outlineLevel="0" collapsed="false">
      <c r="A6923" s="49" t="s">
        <v>2349</v>
      </c>
      <c r="B6923" s="49" t="s">
        <v>2350</v>
      </c>
      <c r="C6923" s="49" t="s">
        <v>11691</v>
      </c>
      <c r="D6923" s="49" t="s">
        <v>2352</v>
      </c>
      <c r="E6923" s="49" t="str">
        <f aca="false">"5060458890191"</f>
        <v>5060458890191</v>
      </c>
      <c r="F6923" s="49" t="s">
        <v>3656</v>
      </c>
      <c r="G6923" s="49" t="n">
        <v>0</v>
      </c>
      <c r="H6923" s="0" t="n">
        <v>0</v>
      </c>
      <c r="M6923" s="51" t="s">
        <v>3658</v>
      </c>
      <c r="N6923" s="49" t="n">
        <v>0</v>
      </c>
      <c r="O6923" s="53" t="n">
        <v>45930.6559490741</v>
      </c>
      <c r="P6923" s="53" t="n">
        <v>45991.7515277778</v>
      </c>
      <c r="Q6923" s="53" t="n">
        <v>45930.6559490741</v>
      </c>
      <c r="R6923" s="0" t="n">
        <v>0</v>
      </c>
      <c r="S6923" s="51" t="s">
        <v>2416</v>
      </c>
      <c r="T6923" s="51" t="s">
        <v>2416</v>
      </c>
      <c r="U6923" s="0" t="str">
        <f aca="false">"5060458890191"</f>
        <v>5060458890191</v>
      </c>
      <c r="V6923" s="51" t="s">
        <v>2142</v>
      </c>
      <c r="W6923" s="51" t="s">
        <v>10137</v>
      </c>
      <c r="X6923" s="51" t="s">
        <v>2359</v>
      </c>
    </row>
    <row r="6924" customFormat="false" ht="14.25" hidden="true" customHeight="false" outlineLevel="0" collapsed="false">
      <c r="A6924" s="49" t="s">
        <v>2349</v>
      </c>
      <c r="B6924" s="49" t="s">
        <v>2350</v>
      </c>
      <c r="C6924" s="49" t="s">
        <v>11692</v>
      </c>
      <c r="D6924" s="49" t="s">
        <v>2397</v>
      </c>
      <c r="E6924" s="49" t="s">
        <v>3960</v>
      </c>
      <c r="F6924" s="49" t="s">
        <v>3961</v>
      </c>
      <c r="G6924" s="49" t="n">
        <v>0</v>
      </c>
      <c r="H6924" s="0" t="n">
        <v>0</v>
      </c>
      <c r="M6924" s="51" t="s">
        <v>11693</v>
      </c>
      <c r="N6924" s="49" t="n">
        <v>0</v>
      </c>
      <c r="O6924" s="53" t="n">
        <v>45902.4089814815</v>
      </c>
      <c r="P6924" s="53" t="n">
        <v>45902.4897106482</v>
      </c>
      <c r="Q6924" s="53" t="n">
        <v>45902.4089814815</v>
      </c>
      <c r="R6924" s="0" t="n">
        <v>0</v>
      </c>
      <c r="S6924" s="51" t="s">
        <v>2356</v>
      </c>
      <c r="T6924" s="51" t="s">
        <v>2356</v>
      </c>
      <c r="U6924" s="51" t="s">
        <v>3960</v>
      </c>
      <c r="V6924" s="51" t="s">
        <v>2365</v>
      </c>
      <c r="X6924" s="51" t="s">
        <v>2359</v>
      </c>
    </row>
    <row r="6925" customFormat="false" ht="14.25" hidden="true" customHeight="false" outlineLevel="0" collapsed="false">
      <c r="A6925" s="49" t="s">
        <v>2349</v>
      </c>
      <c r="B6925" s="49" t="s">
        <v>2350</v>
      </c>
      <c r="C6925" s="49" t="s">
        <v>11694</v>
      </c>
      <c r="D6925" s="49" t="s">
        <v>2397</v>
      </c>
      <c r="E6925" s="49" t="s">
        <v>3960</v>
      </c>
      <c r="F6925" s="49" t="s">
        <v>3961</v>
      </c>
      <c r="G6925" s="49" t="n">
        <v>0</v>
      </c>
      <c r="H6925" s="0" t="n">
        <v>0</v>
      </c>
      <c r="M6925" s="51" t="s">
        <v>11693</v>
      </c>
      <c r="N6925" s="49" t="n">
        <v>0</v>
      </c>
      <c r="O6925" s="53" t="n">
        <v>45902.4088773148</v>
      </c>
      <c r="P6925" s="53" t="n">
        <v>45902.489537037</v>
      </c>
      <c r="Q6925" s="53" t="n">
        <v>45902.4088773148</v>
      </c>
      <c r="R6925" s="0" t="n">
        <v>0</v>
      </c>
      <c r="S6925" s="51" t="s">
        <v>2356</v>
      </c>
      <c r="T6925" s="51" t="s">
        <v>2356</v>
      </c>
      <c r="U6925" s="51" t="s">
        <v>3960</v>
      </c>
      <c r="V6925" s="51" t="s">
        <v>2365</v>
      </c>
      <c r="X6925" s="51" t="s">
        <v>2359</v>
      </c>
    </row>
    <row r="6926" customFormat="false" ht="14.25" hidden="true" customHeight="false" outlineLevel="0" collapsed="false">
      <c r="A6926" s="49" t="s">
        <v>2349</v>
      </c>
      <c r="B6926" s="49" t="s">
        <v>2350</v>
      </c>
      <c r="C6926" s="49" t="s">
        <v>11695</v>
      </c>
      <c r="D6926" s="49" t="s">
        <v>2397</v>
      </c>
      <c r="E6926" s="49" t="s">
        <v>3960</v>
      </c>
      <c r="F6926" s="49" t="s">
        <v>3961</v>
      </c>
      <c r="G6926" s="49" t="n">
        <v>0</v>
      </c>
      <c r="H6926" s="0" t="n">
        <v>0</v>
      </c>
      <c r="M6926" s="51" t="s">
        <v>11693</v>
      </c>
      <c r="N6926" s="49" t="n">
        <v>0</v>
      </c>
      <c r="O6926" s="53" t="n">
        <v>45902.4087731482</v>
      </c>
      <c r="P6926" s="53" t="n">
        <v>45902.4893055556</v>
      </c>
      <c r="Q6926" s="53" t="n">
        <v>45902.4087731482</v>
      </c>
      <c r="R6926" s="0" t="n">
        <v>0</v>
      </c>
      <c r="S6926" s="51" t="s">
        <v>2356</v>
      </c>
      <c r="T6926" s="51" t="s">
        <v>2356</v>
      </c>
      <c r="U6926" s="51" t="s">
        <v>3960</v>
      </c>
      <c r="V6926" s="51" t="s">
        <v>2365</v>
      </c>
      <c r="X6926" s="51" t="s">
        <v>2359</v>
      </c>
    </row>
    <row r="6927" customFormat="false" ht="14.25" hidden="true" customHeight="false" outlineLevel="0" collapsed="false">
      <c r="A6927" s="49" t="s">
        <v>2349</v>
      </c>
      <c r="B6927" s="49" t="s">
        <v>2350</v>
      </c>
      <c r="C6927" s="49" t="s">
        <v>11696</v>
      </c>
      <c r="D6927" s="49" t="s">
        <v>2397</v>
      </c>
      <c r="E6927" s="49" t="s">
        <v>3960</v>
      </c>
      <c r="F6927" s="49" t="s">
        <v>3961</v>
      </c>
      <c r="G6927" s="49" t="n">
        <v>0</v>
      </c>
      <c r="H6927" s="0" t="n">
        <v>0</v>
      </c>
      <c r="M6927" s="51" t="s">
        <v>11693</v>
      </c>
      <c r="N6927" s="49" t="n">
        <v>0</v>
      </c>
      <c r="O6927" s="53" t="n">
        <v>45902.4086689815</v>
      </c>
      <c r="P6927" s="53" t="n">
        <v>45902.4891550926</v>
      </c>
      <c r="Q6927" s="53" t="n">
        <v>45902.4086689815</v>
      </c>
      <c r="R6927" s="0" t="n">
        <v>0</v>
      </c>
      <c r="S6927" s="51" t="s">
        <v>2356</v>
      </c>
      <c r="T6927" s="51" t="s">
        <v>2356</v>
      </c>
      <c r="U6927" s="51" t="s">
        <v>3960</v>
      </c>
      <c r="V6927" s="51" t="s">
        <v>2365</v>
      </c>
      <c r="X6927" s="51" t="s">
        <v>2359</v>
      </c>
    </row>
    <row r="6928" customFormat="false" ht="14.25" hidden="true" customHeight="false" outlineLevel="0" collapsed="false">
      <c r="A6928" s="49" t="s">
        <v>2349</v>
      </c>
      <c r="B6928" s="49" t="s">
        <v>2350</v>
      </c>
      <c r="C6928" s="49" t="s">
        <v>11697</v>
      </c>
      <c r="D6928" s="49" t="s">
        <v>2397</v>
      </c>
      <c r="E6928" s="49" t="s">
        <v>3960</v>
      </c>
      <c r="F6928" s="49" t="s">
        <v>3961</v>
      </c>
      <c r="G6928" s="49" t="n">
        <v>0</v>
      </c>
      <c r="H6928" s="0" t="n">
        <v>0</v>
      </c>
      <c r="M6928" s="51" t="s">
        <v>11693</v>
      </c>
      <c r="N6928" s="49" t="n">
        <v>0</v>
      </c>
      <c r="O6928" s="53" t="n">
        <v>45902.4084722222</v>
      </c>
      <c r="P6928" s="53" t="n">
        <v>45902.4890162037</v>
      </c>
      <c r="Q6928" s="53" t="n">
        <v>45902.4084722222</v>
      </c>
      <c r="R6928" s="0" t="n">
        <v>0</v>
      </c>
      <c r="S6928" s="51" t="s">
        <v>2356</v>
      </c>
      <c r="T6928" s="51" t="s">
        <v>2356</v>
      </c>
      <c r="U6928" s="51" t="s">
        <v>3960</v>
      </c>
      <c r="V6928" s="51" t="s">
        <v>2365</v>
      </c>
      <c r="X6928" s="51" t="s">
        <v>2359</v>
      </c>
    </row>
    <row r="6929" customFormat="false" ht="14.25" hidden="true" customHeight="false" outlineLevel="0" collapsed="false">
      <c r="A6929" s="49" t="s">
        <v>2349</v>
      </c>
      <c r="B6929" s="49" t="s">
        <v>2350</v>
      </c>
      <c r="C6929" s="49" t="s">
        <v>11698</v>
      </c>
      <c r="D6929" s="49" t="s">
        <v>2397</v>
      </c>
      <c r="E6929" s="49" t="s">
        <v>3960</v>
      </c>
      <c r="F6929" s="49" t="s">
        <v>3961</v>
      </c>
      <c r="G6929" s="49" t="n">
        <v>0</v>
      </c>
      <c r="H6929" s="0" t="n">
        <v>0</v>
      </c>
      <c r="M6929" s="51" t="s">
        <v>11693</v>
      </c>
      <c r="N6929" s="49" t="n">
        <v>0</v>
      </c>
      <c r="O6929" s="53" t="n">
        <v>45902.4042013889</v>
      </c>
      <c r="P6929" s="53" t="n">
        <v>45902.4684837963</v>
      </c>
      <c r="Q6929" s="53" t="n">
        <v>45902.4042013889</v>
      </c>
      <c r="R6929" s="0" t="n">
        <v>0</v>
      </c>
      <c r="S6929" s="51" t="s">
        <v>2356</v>
      </c>
      <c r="T6929" s="51" t="s">
        <v>2356</v>
      </c>
      <c r="U6929" s="51" t="s">
        <v>3960</v>
      </c>
      <c r="V6929" s="51" t="s">
        <v>2365</v>
      </c>
      <c r="X6929" s="51" t="s">
        <v>2359</v>
      </c>
    </row>
    <row r="6930" customFormat="false" ht="14.25" hidden="true" customHeight="false" outlineLevel="0" collapsed="false">
      <c r="A6930" s="49" t="s">
        <v>2349</v>
      </c>
      <c r="B6930" s="49" t="s">
        <v>2350</v>
      </c>
      <c r="C6930" s="49" t="s">
        <v>11699</v>
      </c>
      <c r="D6930" s="49" t="s">
        <v>2397</v>
      </c>
      <c r="E6930" s="49" t="s">
        <v>3960</v>
      </c>
      <c r="F6930" s="49" t="s">
        <v>3961</v>
      </c>
      <c r="G6930" s="49" t="n">
        <v>0</v>
      </c>
      <c r="H6930" s="0" t="n">
        <v>0</v>
      </c>
      <c r="M6930" s="51" t="s">
        <v>11693</v>
      </c>
      <c r="N6930" s="49" t="n">
        <v>0</v>
      </c>
      <c r="O6930" s="53" t="n">
        <v>45902.404375</v>
      </c>
      <c r="P6930" s="53" t="n">
        <v>45902.4830208333</v>
      </c>
      <c r="Q6930" s="53" t="n">
        <v>45902.404375</v>
      </c>
      <c r="R6930" s="0" t="n">
        <v>0</v>
      </c>
      <c r="S6930" s="51" t="s">
        <v>2356</v>
      </c>
      <c r="T6930" s="51" t="s">
        <v>2356</v>
      </c>
      <c r="U6930" s="51" t="s">
        <v>3960</v>
      </c>
      <c r="V6930" s="51" t="s">
        <v>2365</v>
      </c>
      <c r="X6930" s="51" t="s">
        <v>2359</v>
      </c>
    </row>
    <row r="6931" customFormat="false" ht="14.25" hidden="true" customHeight="false" outlineLevel="0" collapsed="false">
      <c r="A6931" s="49" t="s">
        <v>2349</v>
      </c>
      <c r="B6931" s="49" t="s">
        <v>2350</v>
      </c>
      <c r="C6931" s="49" t="s">
        <v>11700</v>
      </c>
      <c r="D6931" s="49" t="s">
        <v>2397</v>
      </c>
      <c r="E6931" s="49" t="s">
        <v>3960</v>
      </c>
      <c r="F6931" s="49" t="s">
        <v>3961</v>
      </c>
      <c r="G6931" s="49" t="n">
        <v>0</v>
      </c>
      <c r="H6931" s="0" t="n">
        <v>0</v>
      </c>
      <c r="M6931" s="51" t="s">
        <v>11693</v>
      </c>
      <c r="N6931" s="49" t="n">
        <v>0</v>
      </c>
      <c r="O6931" s="53" t="n">
        <v>45902.4045486111</v>
      </c>
      <c r="P6931" s="53" t="n">
        <v>45902.4834837963</v>
      </c>
      <c r="Q6931" s="53" t="n">
        <v>45902.4045486111</v>
      </c>
      <c r="R6931" s="0" t="n">
        <v>0</v>
      </c>
      <c r="S6931" s="51" t="s">
        <v>2356</v>
      </c>
      <c r="T6931" s="51" t="s">
        <v>2356</v>
      </c>
      <c r="U6931" s="51" t="s">
        <v>3960</v>
      </c>
      <c r="V6931" s="51" t="s">
        <v>2365</v>
      </c>
      <c r="X6931" s="51" t="s">
        <v>2359</v>
      </c>
    </row>
    <row r="6932" customFormat="false" ht="14.25" hidden="true" customHeight="false" outlineLevel="0" collapsed="false">
      <c r="A6932" s="49" t="s">
        <v>2349</v>
      </c>
      <c r="B6932" s="49" t="s">
        <v>2350</v>
      </c>
      <c r="C6932" s="49" t="s">
        <v>11701</v>
      </c>
      <c r="D6932" s="49" t="s">
        <v>2397</v>
      </c>
      <c r="E6932" s="49" t="s">
        <v>3960</v>
      </c>
      <c r="F6932" s="49" t="s">
        <v>3961</v>
      </c>
      <c r="G6932" s="49" t="n">
        <v>0</v>
      </c>
      <c r="H6932" s="0" t="n">
        <v>0</v>
      </c>
      <c r="M6932" s="51" t="s">
        <v>11693</v>
      </c>
      <c r="N6932" s="49" t="n">
        <v>0</v>
      </c>
      <c r="O6932" s="53" t="n">
        <v>45902.4046990741</v>
      </c>
      <c r="P6932" s="53" t="n">
        <v>45902.4836458333</v>
      </c>
      <c r="Q6932" s="53" t="n">
        <v>45902.4046990741</v>
      </c>
      <c r="R6932" s="0" t="n">
        <v>0</v>
      </c>
      <c r="S6932" s="51" t="s">
        <v>2356</v>
      </c>
      <c r="T6932" s="51" t="s">
        <v>2356</v>
      </c>
      <c r="U6932" s="51" t="s">
        <v>3960</v>
      </c>
      <c r="V6932" s="51" t="s">
        <v>2365</v>
      </c>
      <c r="X6932" s="51" t="s">
        <v>2359</v>
      </c>
    </row>
    <row r="6933" customFormat="false" ht="14.25" hidden="true" customHeight="false" outlineLevel="0" collapsed="false">
      <c r="A6933" s="49" t="s">
        <v>2349</v>
      </c>
      <c r="B6933" s="49" t="s">
        <v>2350</v>
      </c>
      <c r="C6933" s="49" t="s">
        <v>11702</v>
      </c>
      <c r="D6933" s="49" t="s">
        <v>2397</v>
      </c>
      <c r="E6933" s="49" t="s">
        <v>3960</v>
      </c>
      <c r="F6933" s="49" t="s">
        <v>3961</v>
      </c>
      <c r="G6933" s="49" t="n">
        <v>0</v>
      </c>
      <c r="H6933" s="0" t="n">
        <v>0</v>
      </c>
      <c r="M6933" s="51" t="s">
        <v>11693</v>
      </c>
      <c r="N6933" s="49" t="n">
        <v>0</v>
      </c>
      <c r="O6933" s="53" t="n">
        <v>45902.4048263889</v>
      </c>
      <c r="P6933" s="53" t="n">
        <v>45902.4838078704</v>
      </c>
      <c r="Q6933" s="53" t="n">
        <v>45902.4048263889</v>
      </c>
      <c r="R6933" s="0" t="n">
        <v>0</v>
      </c>
      <c r="S6933" s="51" t="s">
        <v>2356</v>
      </c>
      <c r="T6933" s="51" t="s">
        <v>2356</v>
      </c>
      <c r="U6933" s="51" t="s">
        <v>3960</v>
      </c>
      <c r="V6933" s="51" t="s">
        <v>2365</v>
      </c>
      <c r="X6933" s="51" t="s">
        <v>2359</v>
      </c>
    </row>
    <row r="6934" customFormat="false" ht="14.25" hidden="true" customHeight="false" outlineLevel="0" collapsed="false">
      <c r="A6934" s="49" t="s">
        <v>2349</v>
      </c>
      <c r="B6934" s="49" t="s">
        <v>2350</v>
      </c>
      <c r="C6934" s="49" t="s">
        <v>11703</v>
      </c>
      <c r="D6934" s="49" t="s">
        <v>2397</v>
      </c>
      <c r="E6934" s="49" t="s">
        <v>3960</v>
      </c>
      <c r="F6934" s="49" t="s">
        <v>3961</v>
      </c>
      <c r="G6934" s="49" t="n">
        <v>0</v>
      </c>
      <c r="H6934" s="0" t="n">
        <v>0</v>
      </c>
      <c r="M6934" s="51" t="s">
        <v>11693</v>
      </c>
      <c r="N6934" s="49" t="n">
        <v>0</v>
      </c>
      <c r="O6934" s="53" t="n">
        <v>45902.4050231481</v>
      </c>
      <c r="P6934" s="53" t="n">
        <v>45902.4840046296</v>
      </c>
      <c r="Q6934" s="53" t="n">
        <v>45902.4050231481</v>
      </c>
      <c r="R6934" s="0" t="n">
        <v>0</v>
      </c>
      <c r="S6934" s="51" t="s">
        <v>2356</v>
      </c>
      <c r="T6934" s="51" t="s">
        <v>2356</v>
      </c>
      <c r="U6934" s="51" t="s">
        <v>3960</v>
      </c>
      <c r="V6934" s="51" t="s">
        <v>2365</v>
      </c>
      <c r="X6934" s="51" t="s">
        <v>2359</v>
      </c>
    </row>
    <row r="6935" customFormat="false" ht="14.25" hidden="true" customHeight="false" outlineLevel="0" collapsed="false">
      <c r="A6935" s="49" t="s">
        <v>2349</v>
      </c>
      <c r="B6935" s="49" t="s">
        <v>2350</v>
      </c>
      <c r="C6935" s="49" t="s">
        <v>11704</v>
      </c>
      <c r="D6935" s="49" t="s">
        <v>2397</v>
      </c>
      <c r="E6935" s="49" t="s">
        <v>3960</v>
      </c>
      <c r="F6935" s="49" t="s">
        <v>3961</v>
      </c>
      <c r="G6935" s="49" t="n">
        <v>0</v>
      </c>
      <c r="H6935" s="0" t="n">
        <v>0</v>
      </c>
      <c r="M6935" s="51" t="s">
        <v>11693</v>
      </c>
      <c r="N6935" s="49" t="n">
        <v>0</v>
      </c>
      <c r="O6935" s="53" t="n">
        <v>45902.405162037</v>
      </c>
      <c r="P6935" s="53" t="n">
        <v>45902.4848032407</v>
      </c>
      <c r="Q6935" s="53" t="n">
        <v>45902.405162037</v>
      </c>
      <c r="R6935" s="0" t="n">
        <v>0</v>
      </c>
      <c r="S6935" s="51" t="s">
        <v>2356</v>
      </c>
      <c r="T6935" s="51" t="s">
        <v>2356</v>
      </c>
      <c r="U6935" s="51" t="s">
        <v>3960</v>
      </c>
      <c r="V6935" s="51" t="s">
        <v>2365</v>
      </c>
      <c r="X6935" s="51" t="s">
        <v>2359</v>
      </c>
    </row>
    <row r="6936" customFormat="false" ht="14.25" hidden="true" customHeight="false" outlineLevel="0" collapsed="false">
      <c r="A6936" s="49" t="s">
        <v>2349</v>
      </c>
      <c r="B6936" s="49" t="s">
        <v>2350</v>
      </c>
      <c r="C6936" s="49" t="s">
        <v>11705</v>
      </c>
      <c r="D6936" s="49" t="s">
        <v>2397</v>
      </c>
      <c r="E6936" s="49" t="s">
        <v>3960</v>
      </c>
      <c r="F6936" s="49" t="s">
        <v>3961</v>
      </c>
      <c r="G6936" s="49" t="n">
        <v>0</v>
      </c>
      <c r="H6936" s="0" t="n">
        <v>0</v>
      </c>
      <c r="M6936" s="51" t="s">
        <v>11693</v>
      </c>
      <c r="N6936" s="49" t="n">
        <v>0</v>
      </c>
      <c r="O6936" s="53" t="n">
        <v>45902.4052777778</v>
      </c>
      <c r="P6936" s="53" t="n">
        <v>45902.4849884259</v>
      </c>
      <c r="Q6936" s="53" t="n">
        <v>45902.4052777778</v>
      </c>
      <c r="R6936" s="0" t="n">
        <v>0</v>
      </c>
      <c r="S6936" s="51" t="s">
        <v>2356</v>
      </c>
      <c r="T6936" s="51" t="s">
        <v>2356</v>
      </c>
      <c r="U6936" s="51" t="s">
        <v>3960</v>
      </c>
      <c r="V6936" s="51" t="s">
        <v>2365</v>
      </c>
      <c r="X6936" s="51" t="s">
        <v>2359</v>
      </c>
    </row>
    <row r="6937" customFormat="false" ht="14.25" hidden="true" customHeight="false" outlineLevel="0" collapsed="false">
      <c r="A6937" s="49" t="s">
        <v>2349</v>
      </c>
      <c r="B6937" s="49" t="s">
        <v>2350</v>
      </c>
      <c r="C6937" s="49" t="s">
        <v>11706</v>
      </c>
      <c r="D6937" s="49" t="s">
        <v>2397</v>
      </c>
      <c r="E6937" s="49" t="s">
        <v>3960</v>
      </c>
      <c r="F6937" s="49" t="s">
        <v>3961</v>
      </c>
      <c r="G6937" s="49" t="n">
        <v>0</v>
      </c>
      <c r="H6937" s="0" t="n">
        <v>0</v>
      </c>
      <c r="M6937" s="51" t="s">
        <v>11693</v>
      </c>
      <c r="N6937" s="49" t="n">
        <v>0</v>
      </c>
      <c r="O6937" s="53" t="n">
        <v>45902.4053935185</v>
      </c>
      <c r="P6937" s="53" t="n">
        <v>45902.485150463</v>
      </c>
      <c r="Q6937" s="53" t="n">
        <v>45902.4053935185</v>
      </c>
      <c r="R6937" s="0" t="n">
        <v>0</v>
      </c>
      <c r="S6937" s="51" t="s">
        <v>2356</v>
      </c>
      <c r="T6937" s="51" t="s">
        <v>2356</v>
      </c>
      <c r="U6937" s="51" t="s">
        <v>3960</v>
      </c>
      <c r="V6937" s="51" t="s">
        <v>2365</v>
      </c>
      <c r="X6937" s="51" t="s">
        <v>2359</v>
      </c>
    </row>
    <row r="6938" customFormat="false" ht="14.25" hidden="true" customHeight="false" outlineLevel="0" collapsed="false">
      <c r="A6938" s="49" t="s">
        <v>2349</v>
      </c>
      <c r="B6938" s="49" t="s">
        <v>2350</v>
      </c>
      <c r="C6938" s="49" t="s">
        <v>11707</v>
      </c>
      <c r="D6938" s="49" t="s">
        <v>2397</v>
      </c>
      <c r="E6938" s="49" t="s">
        <v>3960</v>
      </c>
      <c r="F6938" s="49" t="s">
        <v>3961</v>
      </c>
      <c r="G6938" s="49" t="n">
        <v>0</v>
      </c>
      <c r="H6938" s="0" t="n">
        <v>0</v>
      </c>
      <c r="M6938" s="51" t="s">
        <v>11693</v>
      </c>
      <c r="N6938" s="49" t="n">
        <v>0</v>
      </c>
      <c r="O6938" s="53" t="n">
        <v>45902.4054976852</v>
      </c>
      <c r="P6938" s="53" t="n">
        <v>45902.4852893519</v>
      </c>
      <c r="Q6938" s="53" t="n">
        <v>45902.4054976852</v>
      </c>
      <c r="R6938" s="0" t="n">
        <v>0</v>
      </c>
      <c r="S6938" s="51" t="s">
        <v>2356</v>
      </c>
      <c r="T6938" s="51" t="s">
        <v>2356</v>
      </c>
      <c r="U6938" s="51" t="s">
        <v>3960</v>
      </c>
      <c r="V6938" s="51" t="s">
        <v>2365</v>
      </c>
      <c r="X6938" s="51" t="s">
        <v>2359</v>
      </c>
    </row>
    <row r="6939" customFormat="false" ht="14.25" hidden="true" customHeight="false" outlineLevel="0" collapsed="false">
      <c r="A6939" s="49" t="s">
        <v>2349</v>
      </c>
      <c r="B6939" s="49" t="s">
        <v>2350</v>
      </c>
      <c r="C6939" s="49" t="s">
        <v>11708</v>
      </c>
      <c r="D6939" s="49" t="s">
        <v>2397</v>
      </c>
      <c r="E6939" s="49" t="s">
        <v>3960</v>
      </c>
      <c r="F6939" s="49" t="s">
        <v>3961</v>
      </c>
      <c r="G6939" s="49" t="n">
        <v>0</v>
      </c>
      <c r="H6939" s="0" t="n">
        <v>0</v>
      </c>
      <c r="M6939" s="51" t="s">
        <v>11693</v>
      </c>
      <c r="N6939" s="49" t="n">
        <v>0</v>
      </c>
      <c r="O6939" s="53" t="n">
        <v>45902.4056134259</v>
      </c>
      <c r="P6939" s="53" t="n">
        <v>45902.4854282407</v>
      </c>
      <c r="Q6939" s="53" t="n">
        <v>45902.4056134259</v>
      </c>
      <c r="R6939" s="0" t="n">
        <v>0</v>
      </c>
      <c r="S6939" s="51" t="s">
        <v>2356</v>
      </c>
      <c r="T6939" s="51" t="s">
        <v>2356</v>
      </c>
      <c r="U6939" s="51" t="s">
        <v>3960</v>
      </c>
      <c r="V6939" s="51" t="s">
        <v>2365</v>
      </c>
      <c r="X6939" s="51" t="s">
        <v>2359</v>
      </c>
    </row>
    <row r="6940" customFormat="false" ht="14.25" hidden="true" customHeight="false" outlineLevel="0" collapsed="false">
      <c r="A6940" s="49" t="s">
        <v>2349</v>
      </c>
      <c r="B6940" s="49" t="s">
        <v>2350</v>
      </c>
      <c r="C6940" s="49" t="s">
        <v>11709</v>
      </c>
      <c r="D6940" s="49" t="s">
        <v>2397</v>
      </c>
      <c r="E6940" s="49" t="s">
        <v>3960</v>
      </c>
      <c r="F6940" s="49" t="s">
        <v>3961</v>
      </c>
      <c r="G6940" s="49" t="n">
        <v>0</v>
      </c>
      <c r="H6940" s="0" t="n">
        <v>0</v>
      </c>
      <c r="M6940" s="51" t="s">
        <v>11693</v>
      </c>
      <c r="N6940" s="49" t="n">
        <v>0</v>
      </c>
      <c r="O6940" s="53" t="n">
        <v>45902.405775463</v>
      </c>
      <c r="P6940" s="53" t="n">
        <v>45902.4855902778</v>
      </c>
      <c r="Q6940" s="53" t="n">
        <v>45902.405775463</v>
      </c>
      <c r="R6940" s="0" t="n">
        <v>0</v>
      </c>
      <c r="S6940" s="51" t="s">
        <v>2356</v>
      </c>
      <c r="T6940" s="51" t="s">
        <v>2356</v>
      </c>
      <c r="U6940" s="51" t="s">
        <v>3960</v>
      </c>
      <c r="V6940" s="51" t="s">
        <v>2365</v>
      </c>
      <c r="X6940" s="51" t="s">
        <v>2359</v>
      </c>
    </row>
    <row r="6941" customFormat="false" ht="14.25" hidden="true" customHeight="false" outlineLevel="0" collapsed="false">
      <c r="A6941" s="49" t="s">
        <v>2349</v>
      </c>
      <c r="B6941" s="49" t="s">
        <v>2350</v>
      </c>
      <c r="C6941" s="49" t="s">
        <v>11710</v>
      </c>
      <c r="D6941" s="49" t="s">
        <v>2397</v>
      </c>
      <c r="E6941" s="49" t="s">
        <v>3960</v>
      </c>
      <c r="F6941" s="49" t="s">
        <v>3961</v>
      </c>
      <c r="G6941" s="49" t="n">
        <v>0</v>
      </c>
      <c r="H6941" s="0" t="n">
        <v>0</v>
      </c>
      <c r="M6941" s="51" t="s">
        <v>11693</v>
      </c>
      <c r="N6941" s="49" t="n">
        <v>0</v>
      </c>
      <c r="O6941" s="53" t="n">
        <v>45902.4059375</v>
      </c>
      <c r="P6941" s="53" t="n">
        <v>45902.485787037</v>
      </c>
      <c r="Q6941" s="53" t="n">
        <v>45902.4059375</v>
      </c>
      <c r="R6941" s="0" t="n">
        <v>0</v>
      </c>
      <c r="S6941" s="51" t="s">
        <v>2356</v>
      </c>
      <c r="T6941" s="51" t="s">
        <v>2356</v>
      </c>
      <c r="U6941" s="51" t="s">
        <v>3960</v>
      </c>
      <c r="V6941" s="51" t="s">
        <v>2365</v>
      </c>
      <c r="X6941" s="51" t="s">
        <v>2359</v>
      </c>
    </row>
    <row r="6942" customFormat="false" ht="14.25" hidden="true" customHeight="false" outlineLevel="0" collapsed="false">
      <c r="A6942" s="49" t="s">
        <v>2349</v>
      </c>
      <c r="B6942" s="49" t="s">
        <v>2350</v>
      </c>
      <c r="C6942" s="49" t="s">
        <v>11711</v>
      </c>
      <c r="D6942" s="49" t="s">
        <v>2397</v>
      </c>
      <c r="E6942" s="49" t="s">
        <v>3960</v>
      </c>
      <c r="F6942" s="49" t="s">
        <v>3961</v>
      </c>
      <c r="G6942" s="49" t="n">
        <v>0</v>
      </c>
      <c r="H6942" s="0" t="n">
        <v>0</v>
      </c>
      <c r="M6942" s="51" t="s">
        <v>11693</v>
      </c>
      <c r="N6942" s="49" t="n">
        <v>0</v>
      </c>
      <c r="O6942" s="53" t="n">
        <v>45902.4060648148</v>
      </c>
      <c r="P6942" s="53" t="n">
        <v>45902.4961342593</v>
      </c>
      <c r="Q6942" s="53" t="n">
        <v>45902.4060648148</v>
      </c>
      <c r="R6942" s="0" t="n">
        <v>0</v>
      </c>
      <c r="S6942" s="51" t="s">
        <v>2356</v>
      </c>
      <c r="T6942" s="51" t="s">
        <v>2356</v>
      </c>
      <c r="U6942" s="51" t="s">
        <v>3960</v>
      </c>
      <c r="V6942" s="51" t="s">
        <v>2365</v>
      </c>
      <c r="X6942" s="51" t="s">
        <v>2359</v>
      </c>
    </row>
    <row r="6943" customFormat="false" ht="14.25" hidden="true" customHeight="false" outlineLevel="0" collapsed="false">
      <c r="A6943" s="49" t="s">
        <v>2349</v>
      </c>
      <c r="B6943" s="49" t="s">
        <v>2350</v>
      </c>
      <c r="C6943" s="49" t="s">
        <v>11712</v>
      </c>
      <c r="D6943" s="49" t="s">
        <v>2397</v>
      </c>
      <c r="E6943" s="49" t="s">
        <v>3960</v>
      </c>
      <c r="F6943" s="49" t="s">
        <v>3961</v>
      </c>
      <c r="G6943" s="49" t="n">
        <v>0</v>
      </c>
      <c r="H6943" s="0" t="n">
        <v>0</v>
      </c>
      <c r="M6943" s="51" t="s">
        <v>11693</v>
      </c>
      <c r="N6943" s="49" t="n">
        <v>0</v>
      </c>
      <c r="O6943" s="53" t="n">
        <v>45902.4062384259</v>
      </c>
      <c r="P6943" s="53" t="n">
        <v>45902.4860185185</v>
      </c>
      <c r="Q6943" s="53" t="n">
        <v>45902.4062384259</v>
      </c>
      <c r="R6943" s="0" t="n">
        <v>0</v>
      </c>
      <c r="S6943" s="51" t="s">
        <v>2356</v>
      </c>
      <c r="T6943" s="51" t="s">
        <v>2356</v>
      </c>
      <c r="U6943" s="51" t="s">
        <v>3960</v>
      </c>
      <c r="V6943" s="51" t="s">
        <v>2365</v>
      </c>
      <c r="X6943" s="51" t="s">
        <v>2359</v>
      </c>
    </row>
    <row r="6944" customFormat="false" ht="14.25" hidden="true" customHeight="false" outlineLevel="0" collapsed="false">
      <c r="A6944" s="49" t="s">
        <v>2349</v>
      </c>
      <c r="B6944" s="49" t="s">
        <v>2350</v>
      </c>
      <c r="C6944" s="49" t="s">
        <v>11713</v>
      </c>
      <c r="D6944" s="49" t="s">
        <v>2397</v>
      </c>
      <c r="E6944" s="49" t="s">
        <v>3960</v>
      </c>
      <c r="F6944" s="49" t="s">
        <v>3961</v>
      </c>
      <c r="G6944" s="49" t="n">
        <v>0</v>
      </c>
      <c r="H6944" s="0" t="n">
        <v>0</v>
      </c>
      <c r="M6944" s="51" t="s">
        <v>11693</v>
      </c>
      <c r="N6944" s="49" t="n">
        <v>0</v>
      </c>
      <c r="O6944" s="53" t="n">
        <v>45902.406412037</v>
      </c>
      <c r="P6944" s="53" t="n">
        <v>45902.4862152778</v>
      </c>
      <c r="Q6944" s="53" t="n">
        <v>45902.406412037</v>
      </c>
      <c r="R6944" s="0" t="n">
        <v>0</v>
      </c>
      <c r="S6944" s="51" t="s">
        <v>2356</v>
      </c>
      <c r="T6944" s="51" t="s">
        <v>2356</v>
      </c>
      <c r="U6944" s="51" t="s">
        <v>3960</v>
      </c>
      <c r="V6944" s="51" t="s">
        <v>2365</v>
      </c>
      <c r="X6944" s="51" t="s">
        <v>2359</v>
      </c>
    </row>
    <row r="6945" customFormat="false" ht="14.25" hidden="true" customHeight="false" outlineLevel="0" collapsed="false">
      <c r="A6945" s="49" t="s">
        <v>2349</v>
      </c>
      <c r="B6945" s="49" t="s">
        <v>2350</v>
      </c>
      <c r="C6945" s="49" t="s">
        <v>11714</v>
      </c>
      <c r="D6945" s="49" t="s">
        <v>2397</v>
      </c>
      <c r="E6945" s="49" t="s">
        <v>3960</v>
      </c>
      <c r="F6945" s="49" t="s">
        <v>3961</v>
      </c>
      <c r="G6945" s="49" t="n">
        <v>0</v>
      </c>
      <c r="H6945" s="0" t="n">
        <v>0</v>
      </c>
      <c r="M6945" s="51" t="s">
        <v>11693</v>
      </c>
      <c r="N6945" s="49" t="n">
        <v>0</v>
      </c>
      <c r="O6945" s="53" t="n">
        <v>45902.4065393519</v>
      </c>
      <c r="P6945" s="53" t="n">
        <v>45902.4863657407</v>
      </c>
      <c r="Q6945" s="53" t="n">
        <v>45902.4065393519</v>
      </c>
      <c r="R6945" s="0" t="n">
        <v>0</v>
      </c>
      <c r="S6945" s="51" t="s">
        <v>2356</v>
      </c>
      <c r="T6945" s="51" t="s">
        <v>2356</v>
      </c>
      <c r="U6945" s="51" t="s">
        <v>3960</v>
      </c>
      <c r="V6945" s="51" t="s">
        <v>2365</v>
      </c>
      <c r="X6945" s="51" t="s">
        <v>2359</v>
      </c>
    </row>
    <row r="6946" customFormat="false" ht="14.25" hidden="true" customHeight="false" outlineLevel="0" collapsed="false">
      <c r="A6946" s="49" t="s">
        <v>2349</v>
      </c>
      <c r="B6946" s="49" t="s">
        <v>2350</v>
      </c>
      <c r="C6946" s="49" t="s">
        <v>11715</v>
      </c>
      <c r="D6946" s="49" t="s">
        <v>2397</v>
      </c>
      <c r="E6946" s="49" t="s">
        <v>3960</v>
      </c>
      <c r="F6946" s="49" t="s">
        <v>3961</v>
      </c>
      <c r="G6946" s="49" t="n">
        <v>0</v>
      </c>
      <c r="H6946" s="0" t="n">
        <v>0</v>
      </c>
      <c r="M6946" s="51" t="s">
        <v>11693</v>
      </c>
      <c r="N6946" s="49" t="n">
        <v>0</v>
      </c>
      <c r="O6946" s="53" t="n">
        <v>45902.4066550926</v>
      </c>
      <c r="P6946" s="53" t="n">
        <v>45902.4865625</v>
      </c>
      <c r="Q6946" s="53" t="n">
        <v>45902.4066550926</v>
      </c>
      <c r="R6946" s="0" t="n">
        <v>0</v>
      </c>
      <c r="S6946" s="51" t="s">
        <v>2356</v>
      </c>
      <c r="T6946" s="51" t="s">
        <v>2356</v>
      </c>
      <c r="U6946" s="51" t="s">
        <v>3960</v>
      </c>
      <c r="V6946" s="51" t="s">
        <v>2365</v>
      </c>
      <c r="X6946" s="51" t="s">
        <v>2359</v>
      </c>
    </row>
    <row r="6947" customFormat="false" ht="14.25" hidden="true" customHeight="false" outlineLevel="0" collapsed="false">
      <c r="A6947" s="49" t="s">
        <v>2349</v>
      </c>
      <c r="B6947" s="49" t="s">
        <v>2350</v>
      </c>
      <c r="C6947" s="49" t="s">
        <v>11716</v>
      </c>
      <c r="D6947" s="49" t="s">
        <v>2397</v>
      </c>
      <c r="E6947" s="49" t="s">
        <v>3960</v>
      </c>
      <c r="F6947" s="49" t="s">
        <v>3961</v>
      </c>
      <c r="G6947" s="49" t="n">
        <v>0</v>
      </c>
      <c r="H6947" s="0" t="n">
        <v>0</v>
      </c>
      <c r="M6947" s="51" t="s">
        <v>11693</v>
      </c>
      <c r="N6947" s="49" t="n">
        <v>0</v>
      </c>
      <c r="O6947" s="53" t="n">
        <v>45902.4067708333</v>
      </c>
      <c r="P6947" s="53" t="n">
        <v>45902.4868402778</v>
      </c>
      <c r="Q6947" s="53" t="n">
        <v>45902.4067708333</v>
      </c>
      <c r="R6947" s="0" t="n">
        <v>0</v>
      </c>
      <c r="S6947" s="51" t="s">
        <v>2356</v>
      </c>
      <c r="T6947" s="51" t="s">
        <v>2356</v>
      </c>
      <c r="U6947" s="51" t="s">
        <v>3960</v>
      </c>
      <c r="V6947" s="51" t="s">
        <v>2365</v>
      </c>
      <c r="X6947" s="51" t="s">
        <v>2359</v>
      </c>
    </row>
    <row r="6948" customFormat="false" ht="14.25" hidden="true" customHeight="false" outlineLevel="0" collapsed="false">
      <c r="A6948" s="49" t="s">
        <v>2349</v>
      </c>
      <c r="B6948" s="49" t="s">
        <v>2350</v>
      </c>
      <c r="C6948" s="49" t="s">
        <v>11717</v>
      </c>
      <c r="D6948" s="49" t="s">
        <v>2397</v>
      </c>
      <c r="E6948" s="49" t="s">
        <v>3960</v>
      </c>
      <c r="F6948" s="49" t="s">
        <v>3961</v>
      </c>
      <c r="G6948" s="49" t="n">
        <v>0</v>
      </c>
      <c r="H6948" s="0" t="n">
        <v>0</v>
      </c>
      <c r="M6948" s="51" t="s">
        <v>11693</v>
      </c>
      <c r="N6948" s="49" t="n">
        <v>0</v>
      </c>
      <c r="O6948" s="53" t="n">
        <v>45902.406875</v>
      </c>
      <c r="P6948" s="53" t="n">
        <v>45902.4870486111</v>
      </c>
      <c r="Q6948" s="53" t="n">
        <v>45902.406875</v>
      </c>
      <c r="R6948" s="0" t="n">
        <v>0</v>
      </c>
      <c r="S6948" s="51" t="s">
        <v>2356</v>
      </c>
      <c r="T6948" s="51" t="s">
        <v>2356</v>
      </c>
      <c r="U6948" s="51" t="s">
        <v>3960</v>
      </c>
      <c r="V6948" s="51" t="s">
        <v>2365</v>
      </c>
      <c r="X6948" s="51" t="s">
        <v>2359</v>
      </c>
    </row>
    <row r="6949" customFormat="false" ht="14.25" hidden="true" customHeight="false" outlineLevel="0" collapsed="false">
      <c r="A6949" s="49" t="s">
        <v>2349</v>
      </c>
      <c r="B6949" s="49" t="s">
        <v>2350</v>
      </c>
      <c r="C6949" s="49" t="s">
        <v>11718</v>
      </c>
      <c r="D6949" s="49" t="s">
        <v>2397</v>
      </c>
      <c r="E6949" s="49" t="s">
        <v>3960</v>
      </c>
      <c r="F6949" s="49" t="s">
        <v>3961</v>
      </c>
      <c r="G6949" s="49" t="n">
        <v>0</v>
      </c>
      <c r="H6949" s="0" t="n">
        <v>0</v>
      </c>
      <c r="M6949" s="51" t="s">
        <v>11693</v>
      </c>
      <c r="N6949" s="49" t="n">
        <v>0</v>
      </c>
      <c r="O6949" s="53" t="n">
        <v>45902.407025463</v>
      </c>
      <c r="P6949" s="53" t="n">
        <v>45902.4872337963</v>
      </c>
      <c r="Q6949" s="53" t="n">
        <v>45902.407025463</v>
      </c>
      <c r="R6949" s="0" t="n">
        <v>0</v>
      </c>
      <c r="S6949" s="51" t="s">
        <v>2356</v>
      </c>
      <c r="T6949" s="51" t="s">
        <v>2356</v>
      </c>
      <c r="U6949" s="51" t="s">
        <v>3960</v>
      </c>
      <c r="V6949" s="51" t="s">
        <v>2365</v>
      </c>
      <c r="X6949" s="51" t="s">
        <v>2359</v>
      </c>
    </row>
    <row r="6950" customFormat="false" ht="14.25" hidden="true" customHeight="false" outlineLevel="0" collapsed="false">
      <c r="A6950" s="49" t="s">
        <v>2349</v>
      </c>
      <c r="B6950" s="49" t="s">
        <v>2350</v>
      </c>
      <c r="C6950" s="49" t="s">
        <v>11719</v>
      </c>
      <c r="D6950" s="49" t="s">
        <v>2397</v>
      </c>
      <c r="E6950" s="49" t="s">
        <v>3960</v>
      </c>
      <c r="F6950" s="49" t="s">
        <v>3961</v>
      </c>
      <c r="G6950" s="49" t="n">
        <v>0</v>
      </c>
      <c r="H6950" s="0" t="n">
        <v>0</v>
      </c>
      <c r="M6950" s="51" t="s">
        <v>11693</v>
      </c>
      <c r="N6950" s="49" t="n">
        <v>0</v>
      </c>
      <c r="O6950" s="53" t="n">
        <v>45902.4071296296</v>
      </c>
      <c r="P6950" s="53" t="n">
        <v>45902.4874189815</v>
      </c>
      <c r="Q6950" s="53" t="n">
        <v>45902.4071296296</v>
      </c>
      <c r="R6950" s="0" t="n">
        <v>0</v>
      </c>
      <c r="S6950" s="51" t="s">
        <v>2356</v>
      </c>
      <c r="T6950" s="51" t="s">
        <v>2356</v>
      </c>
      <c r="U6950" s="51" t="s">
        <v>3960</v>
      </c>
      <c r="V6950" s="51" t="s">
        <v>2365</v>
      </c>
      <c r="X6950" s="51" t="s">
        <v>2359</v>
      </c>
    </row>
    <row r="6951" customFormat="false" ht="14.25" hidden="true" customHeight="false" outlineLevel="0" collapsed="false">
      <c r="A6951" s="49" t="s">
        <v>2349</v>
      </c>
      <c r="B6951" s="49" t="s">
        <v>2350</v>
      </c>
      <c r="C6951" s="49" t="s">
        <v>11720</v>
      </c>
      <c r="D6951" s="49" t="s">
        <v>2397</v>
      </c>
      <c r="E6951" s="49" t="s">
        <v>3960</v>
      </c>
      <c r="F6951" s="49" t="s">
        <v>3961</v>
      </c>
      <c r="G6951" s="49" t="n">
        <v>0</v>
      </c>
      <c r="H6951" s="0" t="n">
        <v>0</v>
      </c>
      <c r="M6951" s="51" t="s">
        <v>11693</v>
      </c>
      <c r="N6951" s="49" t="n">
        <v>0</v>
      </c>
      <c r="O6951" s="53" t="n">
        <v>45902.4072453704</v>
      </c>
      <c r="P6951" s="53" t="n">
        <v>45902.4875694444</v>
      </c>
      <c r="Q6951" s="53" t="n">
        <v>45902.4072453704</v>
      </c>
      <c r="R6951" s="0" t="n">
        <v>0</v>
      </c>
      <c r="S6951" s="51" t="s">
        <v>2356</v>
      </c>
      <c r="T6951" s="51" t="s">
        <v>2356</v>
      </c>
      <c r="U6951" s="51" t="s">
        <v>3960</v>
      </c>
      <c r="V6951" s="51" t="s">
        <v>2365</v>
      </c>
      <c r="X6951" s="51" t="s">
        <v>2359</v>
      </c>
    </row>
    <row r="6952" customFormat="false" ht="14.25" hidden="true" customHeight="false" outlineLevel="0" collapsed="false">
      <c r="A6952" s="49" t="s">
        <v>2349</v>
      </c>
      <c r="B6952" s="49" t="s">
        <v>2350</v>
      </c>
      <c r="C6952" s="49" t="s">
        <v>11721</v>
      </c>
      <c r="D6952" s="49" t="s">
        <v>2397</v>
      </c>
      <c r="E6952" s="49" t="s">
        <v>3960</v>
      </c>
      <c r="F6952" s="49" t="s">
        <v>3961</v>
      </c>
      <c r="G6952" s="49" t="n">
        <v>0</v>
      </c>
      <c r="H6952" s="0" t="n">
        <v>0</v>
      </c>
      <c r="M6952" s="51" t="s">
        <v>11693</v>
      </c>
      <c r="N6952" s="49" t="n">
        <v>0</v>
      </c>
      <c r="O6952" s="53" t="n">
        <v>45902.407349537</v>
      </c>
      <c r="P6952" s="53" t="n">
        <v>45902.4877662037</v>
      </c>
      <c r="Q6952" s="53" t="n">
        <v>45902.407349537</v>
      </c>
      <c r="R6952" s="0" t="n">
        <v>0</v>
      </c>
      <c r="S6952" s="51" t="s">
        <v>2356</v>
      </c>
      <c r="T6952" s="51" t="s">
        <v>2356</v>
      </c>
      <c r="U6952" s="51" t="s">
        <v>3960</v>
      </c>
      <c r="V6952" s="51" t="s">
        <v>2365</v>
      </c>
      <c r="X6952" s="51" t="s">
        <v>2359</v>
      </c>
    </row>
    <row r="6953" customFormat="false" ht="14.25" hidden="true" customHeight="false" outlineLevel="0" collapsed="false">
      <c r="A6953" s="49" t="s">
        <v>2349</v>
      </c>
      <c r="B6953" s="49" t="s">
        <v>2350</v>
      </c>
      <c r="C6953" s="49" t="s">
        <v>11722</v>
      </c>
      <c r="D6953" s="49" t="s">
        <v>2397</v>
      </c>
      <c r="E6953" s="49" t="s">
        <v>3960</v>
      </c>
      <c r="F6953" s="49" t="s">
        <v>3961</v>
      </c>
      <c r="G6953" s="49" t="n">
        <v>0</v>
      </c>
      <c r="H6953" s="0" t="n">
        <v>0</v>
      </c>
      <c r="M6953" s="51" t="s">
        <v>11693</v>
      </c>
      <c r="N6953" s="49" t="n">
        <v>0</v>
      </c>
      <c r="O6953" s="53" t="n">
        <v>45902.4074768519</v>
      </c>
      <c r="P6953" s="53" t="n">
        <v>45902.4879976852</v>
      </c>
      <c r="Q6953" s="53" t="n">
        <v>45902.4074768519</v>
      </c>
      <c r="R6953" s="0" t="n">
        <v>0</v>
      </c>
      <c r="S6953" s="51" t="s">
        <v>2356</v>
      </c>
      <c r="T6953" s="51" t="s">
        <v>2356</v>
      </c>
      <c r="U6953" s="51" t="s">
        <v>3960</v>
      </c>
      <c r="V6953" s="51" t="s">
        <v>2365</v>
      </c>
      <c r="X6953" s="51" t="s">
        <v>2359</v>
      </c>
    </row>
    <row r="6954" customFormat="false" ht="14.25" hidden="true" customHeight="false" outlineLevel="0" collapsed="false">
      <c r="A6954" s="49" t="s">
        <v>2349</v>
      </c>
      <c r="B6954" s="49" t="s">
        <v>2350</v>
      </c>
      <c r="C6954" s="49" t="s">
        <v>11723</v>
      </c>
      <c r="D6954" s="49" t="s">
        <v>2397</v>
      </c>
      <c r="E6954" s="49" t="s">
        <v>3960</v>
      </c>
      <c r="F6954" s="49" t="s">
        <v>3961</v>
      </c>
      <c r="G6954" s="49" t="n">
        <v>0</v>
      </c>
      <c r="H6954" s="0" t="n">
        <v>0</v>
      </c>
      <c r="M6954" s="51" t="s">
        <v>11693</v>
      </c>
      <c r="N6954" s="49" t="n">
        <v>0</v>
      </c>
      <c r="O6954" s="53" t="n">
        <v>45902.4076273148</v>
      </c>
      <c r="P6954" s="53" t="n">
        <v>45902.4881712963</v>
      </c>
      <c r="Q6954" s="53" t="n">
        <v>45902.4076273148</v>
      </c>
      <c r="R6954" s="0" t="n">
        <v>0</v>
      </c>
      <c r="S6954" s="51" t="s">
        <v>2356</v>
      </c>
      <c r="T6954" s="51" t="s">
        <v>2356</v>
      </c>
      <c r="U6954" s="51" t="s">
        <v>3960</v>
      </c>
      <c r="V6954" s="51" t="s">
        <v>2365</v>
      </c>
      <c r="X6954" s="51" t="s">
        <v>2359</v>
      </c>
    </row>
    <row r="6955" customFormat="false" ht="14.25" hidden="true" customHeight="false" outlineLevel="0" collapsed="false">
      <c r="A6955" s="49" t="s">
        <v>2349</v>
      </c>
      <c r="B6955" s="49" t="s">
        <v>2350</v>
      </c>
      <c r="C6955" s="49" t="s">
        <v>11724</v>
      </c>
      <c r="D6955" s="49" t="s">
        <v>2397</v>
      </c>
      <c r="E6955" s="49" t="s">
        <v>3960</v>
      </c>
      <c r="F6955" s="49" t="s">
        <v>3961</v>
      </c>
      <c r="G6955" s="49" t="n">
        <v>0</v>
      </c>
      <c r="H6955" s="0" t="n">
        <v>0</v>
      </c>
      <c r="M6955" s="51" t="s">
        <v>11693</v>
      </c>
      <c r="N6955" s="49" t="n">
        <v>0</v>
      </c>
      <c r="O6955" s="53" t="n">
        <v>45902.4077662037</v>
      </c>
      <c r="P6955" s="53" t="n">
        <v>45902.4883101852</v>
      </c>
      <c r="Q6955" s="53" t="n">
        <v>45902.4077662037</v>
      </c>
      <c r="R6955" s="0" t="n">
        <v>0</v>
      </c>
      <c r="S6955" s="51" t="s">
        <v>2356</v>
      </c>
      <c r="T6955" s="51" t="s">
        <v>2356</v>
      </c>
      <c r="U6955" s="51" t="s">
        <v>3960</v>
      </c>
      <c r="V6955" s="51" t="s">
        <v>2365</v>
      </c>
      <c r="X6955" s="51" t="s">
        <v>2359</v>
      </c>
    </row>
    <row r="6956" customFormat="false" ht="14.25" hidden="true" customHeight="false" outlineLevel="0" collapsed="false">
      <c r="A6956" s="49" t="s">
        <v>2349</v>
      </c>
      <c r="B6956" s="49" t="s">
        <v>2350</v>
      </c>
      <c r="C6956" s="49" t="s">
        <v>11725</v>
      </c>
      <c r="D6956" s="49" t="s">
        <v>2397</v>
      </c>
      <c r="E6956" s="49" t="s">
        <v>3960</v>
      </c>
      <c r="F6956" s="49" t="s">
        <v>3961</v>
      </c>
      <c r="G6956" s="49" t="n">
        <v>0</v>
      </c>
      <c r="H6956" s="0" t="n">
        <v>0</v>
      </c>
      <c r="M6956" s="51" t="s">
        <v>11693</v>
      </c>
      <c r="N6956" s="49" t="n">
        <v>0</v>
      </c>
      <c r="O6956" s="53" t="n">
        <v>45902.407962963</v>
      </c>
      <c r="P6956" s="53" t="n">
        <v>45902.4884953704</v>
      </c>
      <c r="Q6956" s="53" t="n">
        <v>45902.407962963</v>
      </c>
      <c r="R6956" s="0" t="n">
        <v>0</v>
      </c>
      <c r="S6956" s="51" t="s">
        <v>2356</v>
      </c>
      <c r="T6956" s="51" t="s">
        <v>2356</v>
      </c>
      <c r="U6956" s="51" t="s">
        <v>3960</v>
      </c>
      <c r="V6956" s="51" t="s">
        <v>2365</v>
      </c>
      <c r="X6956" s="51" t="s">
        <v>2359</v>
      </c>
    </row>
    <row r="6957" customFormat="false" ht="14.25" hidden="true" customHeight="false" outlineLevel="0" collapsed="false">
      <c r="A6957" s="49" t="s">
        <v>2349</v>
      </c>
      <c r="B6957" s="49" t="s">
        <v>2350</v>
      </c>
      <c r="C6957" s="49" t="s">
        <v>11726</v>
      </c>
      <c r="D6957" s="49" t="s">
        <v>2397</v>
      </c>
      <c r="E6957" s="49" t="s">
        <v>3960</v>
      </c>
      <c r="F6957" s="49" t="s">
        <v>3961</v>
      </c>
      <c r="G6957" s="49" t="n">
        <v>0</v>
      </c>
      <c r="H6957" s="0" t="n">
        <v>0</v>
      </c>
      <c r="M6957" s="51" t="s">
        <v>11693</v>
      </c>
      <c r="N6957" s="49" t="n">
        <v>0</v>
      </c>
      <c r="O6957" s="53" t="n">
        <v>45902.4081134259</v>
      </c>
      <c r="P6957" s="53" t="n">
        <v>45902.4886342593</v>
      </c>
      <c r="Q6957" s="53" t="n">
        <v>45902.4081134259</v>
      </c>
      <c r="R6957" s="0" t="n">
        <v>0</v>
      </c>
      <c r="S6957" s="51" t="s">
        <v>2356</v>
      </c>
      <c r="T6957" s="51" t="s">
        <v>2356</v>
      </c>
      <c r="U6957" s="51" t="s">
        <v>3960</v>
      </c>
      <c r="V6957" s="51" t="s">
        <v>2365</v>
      </c>
      <c r="X6957" s="51" t="s">
        <v>2359</v>
      </c>
    </row>
    <row r="6958" customFormat="false" ht="14.25" hidden="true" customHeight="false" outlineLevel="0" collapsed="false">
      <c r="A6958" s="49" t="s">
        <v>2349</v>
      </c>
      <c r="B6958" s="49" t="s">
        <v>2350</v>
      </c>
      <c r="C6958" s="49" t="s">
        <v>11727</v>
      </c>
      <c r="D6958" s="49" t="s">
        <v>2397</v>
      </c>
      <c r="E6958" s="49" t="s">
        <v>3960</v>
      </c>
      <c r="F6958" s="49" t="s">
        <v>3961</v>
      </c>
      <c r="G6958" s="49" t="n">
        <v>0</v>
      </c>
      <c r="H6958" s="0" t="n">
        <v>0</v>
      </c>
      <c r="M6958" s="51" t="s">
        <v>11693</v>
      </c>
      <c r="N6958" s="49" t="n">
        <v>0</v>
      </c>
      <c r="O6958" s="53" t="n">
        <v>45902.408287037</v>
      </c>
      <c r="P6958" s="53" t="n">
        <v>45902.4888310185</v>
      </c>
      <c r="Q6958" s="53" t="n">
        <v>45902.408287037</v>
      </c>
      <c r="R6958" s="0" t="n">
        <v>0</v>
      </c>
      <c r="S6958" s="51" t="s">
        <v>2356</v>
      </c>
      <c r="T6958" s="51" t="s">
        <v>2356</v>
      </c>
      <c r="U6958" s="51" t="s">
        <v>3960</v>
      </c>
      <c r="V6958" s="51" t="s">
        <v>2365</v>
      </c>
      <c r="X6958" s="51" t="s">
        <v>2359</v>
      </c>
    </row>
    <row r="6959" customFormat="false" ht="14.25" hidden="true" customHeight="false" outlineLevel="0" collapsed="false">
      <c r="A6959" s="49" t="s">
        <v>2349</v>
      </c>
      <c r="B6959" s="49" t="s">
        <v>2350</v>
      </c>
      <c r="C6959" s="49" t="s">
        <v>11728</v>
      </c>
      <c r="D6959" s="49" t="s">
        <v>2352</v>
      </c>
      <c r="E6959" s="49" t="s">
        <v>2353</v>
      </c>
      <c r="F6959" s="49" t="s">
        <v>2354</v>
      </c>
      <c r="G6959" s="49" t="n">
        <v>0</v>
      </c>
      <c r="H6959" s="0" t="n">
        <v>0</v>
      </c>
      <c r="M6959" s="51" t="s">
        <v>11729</v>
      </c>
      <c r="N6959" s="49" t="n">
        <v>0</v>
      </c>
      <c r="O6959" s="53" t="n">
        <v>45894.6053240741</v>
      </c>
      <c r="P6959" s="53" t="n">
        <v>45899.2960416667</v>
      </c>
      <c r="Q6959" s="53" t="n">
        <v>45894.6053240741</v>
      </c>
      <c r="R6959" s="0" t="n">
        <v>0</v>
      </c>
      <c r="S6959" s="51" t="s">
        <v>2356</v>
      </c>
      <c r="T6959" s="51" t="s">
        <v>2356</v>
      </c>
      <c r="U6959" s="51" t="s">
        <v>2353</v>
      </c>
      <c r="V6959" s="51" t="s">
        <v>2357</v>
      </c>
      <c r="W6959" s="51" t="s">
        <v>4614</v>
      </c>
      <c r="X6959" s="51" t="s">
        <v>2359</v>
      </c>
    </row>
    <row r="6960" customFormat="false" ht="14.25" hidden="true" customHeight="false" outlineLevel="0" collapsed="false">
      <c r="A6960" s="49" t="s">
        <v>2349</v>
      </c>
      <c r="B6960" s="49" t="s">
        <v>2350</v>
      </c>
      <c r="C6960" s="49" t="s">
        <v>11730</v>
      </c>
      <c r="D6960" s="49" t="s">
        <v>2352</v>
      </c>
      <c r="E6960" s="49" t="s">
        <v>2353</v>
      </c>
      <c r="F6960" s="49" t="s">
        <v>2354</v>
      </c>
      <c r="G6960" s="49" t="n">
        <v>0</v>
      </c>
      <c r="H6960" s="0" t="n">
        <v>0</v>
      </c>
      <c r="M6960" s="51" t="s">
        <v>11729</v>
      </c>
      <c r="N6960" s="49" t="n">
        <v>0</v>
      </c>
      <c r="O6960" s="53" t="n">
        <v>45894.6057175926</v>
      </c>
      <c r="P6960" s="53" t="n">
        <v>45904.6467013889</v>
      </c>
      <c r="Q6960" s="53" t="n">
        <v>45894.6057175926</v>
      </c>
      <c r="R6960" s="0" t="n">
        <v>0</v>
      </c>
      <c r="S6960" s="51" t="s">
        <v>2356</v>
      </c>
      <c r="T6960" s="51" t="s">
        <v>2356</v>
      </c>
      <c r="U6960" s="51" t="s">
        <v>2353</v>
      </c>
      <c r="V6960" s="51" t="s">
        <v>2357</v>
      </c>
      <c r="W6960" s="51" t="s">
        <v>7405</v>
      </c>
      <c r="X6960" s="51" t="s">
        <v>2359</v>
      </c>
    </row>
    <row r="6961" customFormat="false" ht="14.25" hidden="true" customHeight="false" outlineLevel="0" collapsed="false">
      <c r="A6961" s="49" t="s">
        <v>2349</v>
      </c>
      <c r="B6961" s="49" t="s">
        <v>2350</v>
      </c>
      <c r="C6961" s="49" t="s">
        <v>11731</v>
      </c>
      <c r="D6961" s="49" t="s">
        <v>2352</v>
      </c>
      <c r="E6961" s="49" t="s">
        <v>2353</v>
      </c>
      <c r="F6961" s="49" t="s">
        <v>2354</v>
      </c>
      <c r="G6961" s="49" t="n">
        <v>0</v>
      </c>
      <c r="H6961" s="0" t="n">
        <v>0</v>
      </c>
      <c r="M6961" s="51" t="s">
        <v>11729</v>
      </c>
      <c r="N6961" s="49" t="n">
        <v>0</v>
      </c>
      <c r="O6961" s="53" t="n">
        <v>45894.6059953704</v>
      </c>
      <c r="P6961" s="53" t="n">
        <v>45899.2948148148</v>
      </c>
      <c r="Q6961" s="53" t="n">
        <v>45894.6059953704</v>
      </c>
      <c r="R6961" s="0" t="n">
        <v>0</v>
      </c>
      <c r="S6961" s="51" t="s">
        <v>2356</v>
      </c>
      <c r="T6961" s="51" t="s">
        <v>2356</v>
      </c>
      <c r="U6961" s="51" t="s">
        <v>2353</v>
      </c>
      <c r="V6961" s="51" t="s">
        <v>2357</v>
      </c>
      <c r="W6961" s="51" t="s">
        <v>5750</v>
      </c>
      <c r="X6961" s="51" t="s">
        <v>2359</v>
      </c>
    </row>
    <row r="6962" customFormat="false" ht="14.25" hidden="true" customHeight="false" outlineLevel="0" collapsed="false">
      <c r="A6962" s="49" t="s">
        <v>2349</v>
      </c>
      <c r="B6962" s="49" t="s">
        <v>2350</v>
      </c>
      <c r="C6962" s="49" t="s">
        <v>11732</v>
      </c>
      <c r="D6962" s="49" t="s">
        <v>2352</v>
      </c>
      <c r="E6962" s="49" t="s">
        <v>2353</v>
      </c>
      <c r="F6962" s="49" t="s">
        <v>2354</v>
      </c>
      <c r="G6962" s="49" t="n">
        <v>0</v>
      </c>
      <c r="H6962" s="0" t="n">
        <v>0</v>
      </c>
      <c r="M6962" s="51" t="s">
        <v>11729</v>
      </c>
      <c r="N6962" s="49" t="n">
        <v>0</v>
      </c>
      <c r="O6962" s="53" t="n">
        <v>45894.60625</v>
      </c>
      <c r="P6962" s="53" t="n">
        <v>45941.322037037</v>
      </c>
      <c r="Q6962" s="53" t="n">
        <v>45894.60625</v>
      </c>
      <c r="R6962" s="0" t="n">
        <v>0</v>
      </c>
      <c r="S6962" s="51" t="s">
        <v>2356</v>
      </c>
      <c r="T6962" s="51" t="s">
        <v>2356</v>
      </c>
      <c r="U6962" s="51" t="s">
        <v>2353</v>
      </c>
      <c r="V6962" s="51" t="s">
        <v>2357</v>
      </c>
      <c r="W6962" s="51" t="s">
        <v>4171</v>
      </c>
      <c r="X6962" s="51" t="s">
        <v>2359</v>
      </c>
    </row>
    <row r="6963" customFormat="false" ht="14.25" hidden="true" customHeight="false" outlineLevel="0" collapsed="false">
      <c r="A6963" s="49" t="s">
        <v>2349</v>
      </c>
      <c r="B6963" s="49" t="s">
        <v>2350</v>
      </c>
      <c r="C6963" s="49" t="s">
        <v>11733</v>
      </c>
      <c r="D6963" s="49" t="s">
        <v>2352</v>
      </c>
      <c r="E6963" s="49" t="s">
        <v>2353</v>
      </c>
      <c r="F6963" s="49" t="s">
        <v>2354</v>
      </c>
      <c r="G6963" s="49" t="n">
        <v>0</v>
      </c>
      <c r="H6963" s="0" t="n">
        <v>0</v>
      </c>
      <c r="M6963" s="51" t="s">
        <v>11729</v>
      </c>
      <c r="N6963" s="49" t="n">
        <v>0</v>
      </c>
      <c r="O6963" s="53" t="n">
        <v>45894.6064814815</v>
      </c>
      <c r="P6963" s="53" t="n">
        <v>45899.2952430556</v>
      </c>
      <c r="Q6963" s="53" t="n">
        <v>45894.6064814815</v>
      </c>
      <c r="R6963" s="0" t="n">
        <v>0</v>
      </c>
      <c r="S6963" s="51" t="s">
        <v>2356</v>
      </c>
      <c r="T6963" s="51" t="s">
        <v>2356</v>
      </c>
      <c r="U6963" s="51" t="s">
        <v>2353</v>
      </c>
      <c r="V6963" s="51" t="s">
        <v>2357</v>
      </c>
      <c r="W6963" s="51" t="s">
        <v>4134</v>
      </c>
      <c r="X6963" s="51" t="s">
        <v>2359</v>
      </c>
    </row>
    <row r="6964" customFormat="false" ht="14.25" hidden="true" customHeight="false" outlineLevel="0" collapsed="false">
      <c r="A6964" s="49" t="s">
        <v>2349</v>
      </c>
      <c r="B6964" s="49" t="s">
        <v>2350</v>
      </c>
      <c r="C6964" s="49" t="s">
        <v>11734</v>
      </c>
      <c r="D6964" s="49" t="s">
        <v>2352</v>
      </c>
      <c r="E6964" s="49" t="s">
        <v>2353</v>
      </c>
      <c r="F6964" s="49" t="s">
        <v>2354</v>
      </c>
      <c r="G6964" s="49" t="n">
        <v>0</v>
      </c>
      <c r="H6964" s="0" t="n">
        <v>0</v>
      </c>
      <c r="M6964" s="51" t="s">
        <v>11729</v>
      </c>
      <c r="N6964" s="49" t="n">
        <v>0</v>
      </c>
      <c r="O6964" s="53" t="n">
        <v>45894.6067013889</v>
      </c>
      <c r="P6964" s="53" t="n">
        <v>45899.2961574074</v>
      </c>
      <c r="Q6964" s="53" t="n">
        <v>45894.6067013889</v>
      </c>
      <c r="R6964" s="0" t="n">
        <v>0</v>
      </c>
      <c r="S6964" s="51" t="s">
        <v>2356</v>
      </c>
      <c r="T6964" s="51" t="s">
        <v>2356</v>
      </c>
      <c r="U6964" s="51" t="s">
        <v>2353</v>
      </c>
      <c r="V6964" s="51" t="s">
        <v>2357</v>
      </c>
      <c r="W6964" s="51" t="s">
        <v>4169</v>
      </c>
      <c r="X6964" s="51" t="s">
        <v>2359</v>
      </c>
    </row>
    <row r="6965" customFormat="false" ht="14.25" hidden="true" customHeight="false" outlineLevel="0" collapsed="false">
      <c r="A6965" s="49" t="s">
        <v>2349</v>
      </c>
      <c r="B6965" s="49" t="s">
        <v>2350</v>
      </c>
      <c r="C6965" s="49" t="s">
        <v>11735</v>
      </c>
      <c r="D6965" s="49" t="s">
        <v>2352</v>
      </c>
      <c r="E6965" s="49" t="s">
        <v>2353</v>
      </c>
      <c r="F6965" s="49" t="s">
        <v>2354</v>
      </c>
      <c r="G6965" s="49" t="n">
        <v>0</v>
      </c>
      <c r="H6965" s="0" t="n">
        <v>0</v>
      </c>
      <c r="M6965" s="51" t="s">
        <v>11729</v>
      </c>
      <c r="N6965" s="49" t="n">
        <v>0</v>
      </c>
      <c r="O6965" s="53" t="n">
        <v>45894.6071412037</v>
      </c>
      <c r="P6965" s="53" t="n">
        <v>45899.2959606481</v>
      </c>
      <c r="Q6965" s="53" t="n">
        <v>45894.6071412037</v>
      </c>
      <c r="R6965" s="0" t="n">
        <v>0</v>
      </c>
      <c r="S6965" s="51" t="s">
        <v>2356</v>
      </c>
      <c r="T6965" s="51" t="s">
        <v>2356</v>
      </c>
      <c r="U6965" s="51" t="s">
        <v>2353</v>
      </c>
      <c r="V6965" s="51" t="s">
        <v>2357</v>
      </c>
      <c r="W6965" s="51" t="s">
        <v>5147</v>
      </c>
      <c r="X6965" s="51" t="s">
        <v>2359</v>
      </c>
    </row>
    <row r="6966" customFormat="false" ht="14.25" hidden="true" customHeight="false" outlineLevel="0" collapsed="false">
      <c r="A6966" s="49" t="s">
        <v>2349</v>
      </c>
      <c r="B6966" s="49" t="s">
        <v>2350</v>
      </c>
      <c r="C6966" s="49" t="s">
        <v>11736</v>
      </c>
      <c r="D6966" s="49" t="s">
        <v>2352</v>
      </c>
      <c r="E6966" s="49" t="s">
        <v>2353</v>
      </c>
      <c r="F6966" s="49" t="s">
        <v>2354</v>
      </c>
      <c r="G6966" s="49" t="n">
        <v>0</v>
      </c>
      <c r="H6966" s="0" t="n">
        <v>0</v>
      </c>
      <c r="M6966" s="51" t="s">
        <v>11729</v>
      </c>
      <c r="N6966" s="49" t="n">
        <v>0</v>
      </c>
      <c r="O6966" s="53" t="n">
        <v>45894.6073611111</v>
      </c>
      <c r="P6966" s="53" t="n">
        <v>45899.2958796296</v>
      </c>
      <c r="Q6966" s="53" t="n">
        <v>45894.6073611111</v>
      </c>
      <c r="R6966" s="0" t="n">
        <v>0</v>
      </c>
      <c r="S6966" s="51" t="s">
        <v>2356</v>
      </c>
      <c r="T6966" s="51" t="s">
        <v>2356</v>
      </c>
      <c r="U6966" s="51" t="s">
        <v>2353</v>
      </c>
      <c r="V6966" s="51" t="s">
        <v>2357</v>
      </c>
      <c r="W6966" s="51" t="s">
        <v>4130</v>
      </c>
      <c r="X6966" s="51" t="s">
        <v>2359</v>
      </c>
    </row>
    <row r="6967" customFormat="false" ht="14.25" hidden="true" customHeight="false" outlineLevel="0" collapsed="false">
      <c r="A6967" s="49" t="s">
        <v>2349</v>
      </c>
      <c r="B6967" s="49" t="s">
        <v>2350</v>
      </c>
      <c r="C6967" s="49" t="s">
        <v>11737</v>
      </c>
      <c r="D6967" s="49" t="s">
        <v>2352</v>
      </c>
      <c r="E6967" s="49" t="s">
        <v>2353</v>
      </c>
      <c r="F6967" s="49" t="s">
        <v>2354</v>
      </c>
      <c r="G6967" s="49" t="n">
        <v>0</v>
      </c>
      <c r="H6967" s="0" t="n">
        <v>0</v>
      </c>
      <c r="M6967" s="51" t="s">
        <v>11729</v>
      </c>
      <c r="N6967" s="49" t="n">
        <v>0</v>
      </c>
      <c r="O6967" s="53" t="n">
        <v>45894.6075810185</v>
      </c>
      <c r="P6967" s="53" t="n">
        <v>45899.2953587963</v>
      </c>
      <c r="Q6967" s="53" t="n">
        <v>45894.6075810185</v>
      </c>
      <c r="R6967" s="0" t="n">
        <v>0</v>
      </c>
      <c r="S6967" s="51" t="s">
        <v>2356</v>
      </c>
      <c r="T6967" s="51" t="s">
        <v>2356</v>
      </c>
      <c r="U6967" s="51" t="s">
        <v>2353</v>
      </c>
      <c r="V6967" s="51" t="s">
        <v>2357</v>
      </c>
      <c r="W6967" s="51" t="s">
        <v>8229</v>
      </c>
      <c r="X6967" s="51" t="s">
        <v>2359</v>
      </c>
    </row>
    <row r="6968" customFormat="false" ht="14.25" hidden="true" customHeight="false" outlineLevel="0" collapsed="false">
      <c r="A6968" s="49" t="s">
        <v>2349</v>
      </c>
      <c r="B6968" s="49" t="s">
        <v>2350</v>
      </c>
      <c r="C6968" s="49" t="s">
        <v>11738</v>
      </c>
      <c r="D6968" s="49" t="s">
        <v>2352</v>
      </c>
      <c r="E6968" s="49" t="s">
        <v>2353</v>
      </c>
      <c r="F6968" s="49" t="s">
        <v>2354</v>
      </c>
      <c r="G6968" s="49" t="n">
        <v>0</v>
      </c>
      <c r="H6968" s="0" t="n">
        <v>0</v>
      </c>
      <c r="M6968" s="51" t="s">
        <v>11729</v>
      </c>
      <c r="N6968" s="49" t="n">
        <v>0</v>
      </c>
      <c r="O6968" s="53" t="n">
        <v>45894.6079398148</v>
      </c>
      <c r="P6968" s="53" t="n">
        <v>45899.2950694444</v>
      </c>
      <c r="Q6968" s="53" t="n">
        <v>45894.6079398148</v>
      </c>
      <c r="R6968" s="0" t="n">
        <v>0</v>
      </c>
      <c r="S6968" s="51" t="s">
        <v>2356</v>
      </c>
      <c r="T6968" s="51" t="s">
        <v>2356</v>
      </c>
      <c r="U6968" s="51" t="s">
        <v>2353</v>
      </c>
      <c r="V6968" s="51" t="s">
        <v>2357</v>
      </c>
      <c r="W6968" s="51" t="s">
        <v>9510</v>
      </c>
      <c r="X6968" s="51" t="s">
        <v>2359</v>
      </c>
    </row>
    <row r="6969" customFormat="false" ht="14.25" hidden="true" customHeight="false" outlineLevel="0" collapsed="false">
      <c r="A6969" s="49" t="s">
        <v>2349</v>
      </c>
      <c r="B6969" s="49" t="s">
        <v>2350</v>
      </c>
      <c r="C6969" s="49" t="s">
        <v>11739</v>
      </c>
      <c r="D6969" s="49" t="s">
        <v>2352</v>
      </c>
      <c r="E6969" s="49" t="s">
        <v>4351</v>
      </c>
      <c r="F6969" s="49" t="s">
        <v>4352</v>
      </c>
      <c r="G6969" s="49" t="n">
        <v>0</v>
      </c>
      <c r="H6969" s="0" t="n">
        <v>0</v>
      </c>
      <c r="M6969" s="51" t="s">
        <v>11740</v>
      </c>
      <c r="N6969" s="49" t="n">
        <v>0</v>
      </c>
      <c r="O6969" s="53" t="n">
        <v>45910.4569212963</v>
      </c>
      <c r="P6969" s="53" t="n">
        <v>45911.4611342593</v>
      </c>
      <c r="Q6969" s="53" t="n">
        <v>45910.4569212963</v>
      </c>
      <c r="R6969" s="0" t="n">
        <v>0</v>
      </c>
      <c r="S6969" s="51" t="s">
        <v>2356</v>
      </c>
      <c r="T6969" s="51" t="s">
        <v>2356</v>
      </c>
      <c r="U6969" s="51" t="s">
        <v>4351</v>
      </c>
      <c r="V6969" s="51" t="s">
        <v>2365</v>
      </c>
      <c r="W6969" s="51" t="s">
        <v>5157</v>
      </c>
      <c r="X6969" s="51" t="s">
        <v>2359</v>
      </c>
    </row>
    <row r="6970" customFormat="false" ht="14.25" hidden="true" customHeight="false" outlineLevel="0" collapsed="false">
      <c r="A6970" s="49" t="s">
        <v>2349</v>
      </c>
      <c r="B6970" s="49" t="s">
        <v>2350</v>
      </c>
      <c r="C6970" s="49" t="s">
        <v>11741</v>
      </c>
      <c r="D6970" s="49" t="s">
        <v>2352</v>
      </c>
      <c r="E6970" s="49" t="s">
        <v>4351</v>
      </c>
      <c r="F6970" s="49" t="s">
        <v>4352</v>
      </c>
      <c r="G6970" s="49" t="n">
        <v>0</v>
      </c>
      <c r="H6970" s="0" t="n">
        <v>0</v>
      </c>
      <c r="M6970" s="51" t="s">
        <v>11740</v>
      </c>
      <c r="N6970" s="49" t="n">
        <v>0</v>
      </c>
      <c r="O6970" s="53" t="n">
        <v>45910.4567824074</v>
      </c>
      <c r="P6970" s="53" t="n">
        <v>45911.4612384259</v>
      </c>
      <c r="Q6970" s="53" t="n">
        <v>45910.4567824074</v>
      </c>
      <c r="R6970" s="0" t="n">
        <v>0</v>
      </c>
      <c r="S6970" s="51" t="s">
        <v>2356</v>
      </c>
      <c r="T6970" s="51" t="s">
        <v>2356</v>
      </c>
      <c r="U6970" s="51" t="s">
        <v>4351</v>
      </c>
      <c r="V6970" s="51" t="s">
        <v>2365</v>
      </c>
      <c r="W6970" s="51" t="s">
        <v>7397</v>
      </c>
      <c r="X6970" s="51" t="s">
        <v>2359</v>
      </c>
    </row>
    <row r="6971" customFormat="false" ht="14.25" hidden="true" customHeight="false" outlineLevel="0" collapsed="false">
      <c r="A6971" s="49" t="s">
        <v>2349</v>
      </c>
      <c r="B6971" s="49" t="s">
        <v>2350</v>
      </c>
      <c r="C6971" s="49" t="s">
        <v>11742</v>
      </c>
      <c r="D6971" s="49" t="s">
        <v>2352</v>
      </c>
      <c r="E6971" s="49" t="s">
        <v>4351</v>
      </c>
      <c r="F6971" s="49" t="s">
        <v>4352</v>
      </c>
      <c r="G6971" s="49" t="n">
        <v>0</v>
      </c>
      <c r="H6971" s="0" t="n">
        <v>0</v>
      </c>
      <c r="M6971" s="51" t="s">
        <v>11740</v>
      </c>
      <c r="N6971" s="49" t="n">
        <v>0</v>
      </c>
      <c r="O6971" s="53" t="n">
        <v>45910.4566666667</v>
      </c>
      <c r="P6971" s="53" t="n">
        <v>45911.4614699074</v>
      </c>
      <c r="Q6971" s="53" t="n">
        <v>45910.4566666667</v>
      </c>
      <c r="R6971" s="0" t="n">
        <v>0</v>
      </c>
      <c r="S6971" s="51" t="s">
        <v>2356</v>
      </c>
      <c r="T6971" s="51" t="s">
        <v>2356</v>
      </c>
      <c r="U6971" s="51" t="s">
        <v>4351</v>
      </c>
      <c r="V6971" s="51" t="s">
        <v>2365</v>
      </c>
      <c r="W6971" s="51" t="s">
        <v>5414</v>
      </c>
      <c r="X6971" s="51" t="s">
        <v>2359</v>
      </c>
    </row>
    <row r="6972" customFormat="false" ht="14.25" hidden="true" customHeight="false" outlineLevel="0" collapsed="false">
      <c r="A6972" s="49" t="s">
        <v>2349</v>
      </c>
      <c r="B6972" s="49" t="s">
        <v>2350</v>
      </c>
      <c r="C6972" s="49" t="s">
        <v>11743</v>
      </c>
      <c r="D6972" s="49" t="s">
        <v>2352</v>
      </c>
      <c r="E6972" s="49" t="s">
        <v>4351</v>
      </c>
      <c r="F6972" s="49" t="s">
        <v>4352</v>
      </c>
      <c r="G6972" s="49" t="n">
        <v>0</v>
      </c>
      <c r="H6972" s="0" t="n">
        <v>0</v>
      </c>
      <c r="M6972" s="51" t="s">
        <v>11740</v>
      </c>
      <c r="N6972" s="49" t="n">
        <v>0</v>
      </c>
      <c r="O6972" s="53" t="n">
        <v>45910.4565393519</v>
      </c>
      <c r="P6972" s="53" t="n">
        <v>45916.4944907407</v>
      </c>
      <c r="Q6972" s="53" t="n">
        <v>45910.4565393519</v>
      </c>
      <c r="R6972" s="0" t="n">
        <v>0</v>
      </c>
      <c r="S6972" s="51" t="s">
        <v>2356</v>
      </c>
      <c r="T6972" s="51" t="s">
        <v>2356</v>
      </c>
      <c r="U6972" s="51" t="s">
        <v>4351</v>
      </c>
      <c r="V6972" s="51" t="s">
        <v>2365</v>
      </c>
      <c r="W6972" s="51" t="s">
        <v>8380</v>
      </c>
      <c r="X6972" s="51" t="s">
        <v>2359</v>
      </c>
    </row>
    <row r="6973" customFormat="false" ht="14.25" hidden="true" customHeight="false" outlineLevel="0" collapsed="false">
      <c r="A6973" s="49" t="s">
        <v>2349</v>
      </c>
      <c r="B6973" s="49" t="s">
        <v>2350</v>
      </c>
      <c r="C6973" s="49" t="s">
        <v>11744</v>
      </c>
      <c r="D6973" s="49" t="s">
        <v>2352</v>
      </c>
      <c r="E6973" s="49" t="s">
        <v>4351</v>
      </c>
      <c r="F6973" s="49" t="s">
        <v>4352</v>
      </c>
      <c r="G6973" s="49" t="n">
        <v>0</v>
      </c>
      <c r="H6973" s="0" t="n">
        <v>0</v>
      </c>
      <c r="M6973" s="51" t="s">
        <v>11740</v>
      </c>
      <c r="N6973" s="49" t="n">
        <v>0</v>
      </c>
      <c r="O6973" s="53" t="n">
        <v>45910.4563888889</v>
      </c>
      <c r="P6973" s="53" t="n">
        <v>45922.3956712963</v>
      </c>
      <c r="Q6973" s="53" t="n">
        <v>45910.4563888889</v>
      </c>
      <c r="R6973" s="0" t="n">
        <v>0</v>
      </c>
      <c r="S6973" s="51" t="s">
        <v>2356</v>
      </c>
      <c r="T6973" s="51" t="s">
        <v>2356</v>
      </c>
      <c r="U6973" s="51" t="s">
        <v>4351</v>
      </c>
      <c r="V6973" s="51" t="s">
        <v>2365</v>
      </c>
      <c r="W6973" s="51" t="s">
        <v>5759</v>
      </c>
      <c r="X6973" s="51" t="s">
        <v>2359</v>
      </c>
    </row>
    <row r="6974" customFormat="false" ht="14.25" hidden="true" customHeight="false" outlineLevel="0" collapsed="false">
      <c r="A6974" s="49" t="s">
        <v>2349</v>
      </c>
      <c r="B6974" s="49" t="s">
        <v>2350</v>
      </c>
      <c r="C6974" s="49" t="s">
        <v>11745</v>
      </c>
      <c r="D6974" s="49" t="s">
        <v>2352</v>
      </c>
      <c r="E6974" s="49" t="s">
        <v>4351</v>
      </c>
      <c r="F6974" s="49" t="s">
        <v>4352</v>
      </c>
      <c r="G6974" s="49" t="n">
        <v>0</v>
      </c>
      <c r="H6974" s="0" t="n">
        <v>0</v>
      </c>
      <c r="M6974" s="51" t="s">
        <v>11740</v>
      </c>
      <c r="N6974" s="49" t="n">
        <v>0</v>
      </c>
      <c r="O6974" s="53" t="n">
        <v>45910.4562731482</v>
      </c>
      <c r="P6974" s="53" t="n">
        <v>45939.4242824074</v>
      </c>
      <c r="Q6974" s="53" t="n">
        <v>45910.4562731482</v>
      </c>
      <c r="R6974" s="0" t="n">
        <v>0</v>
      </c>
      <c r="S6974" s="51" t="s">
        <v>2356</v>
      </c>
      <c r="T6974" s="51" t="s">
        <v>2356</v>
      </c>
      <c r="U6974" s="51" t="s">
        <v>4351</v>
      </c>
      <c r="V6974" s="51" t="s">
        <v>2365</v>
      </c>
      <c r="W6974" s="51" t="s">
        <v>11746</v>
      </c>
      <c r="X6974" s="51" t="s">
        <v>2359</v>
      </c>
    </row>
    <row r="6975" customFormat="false" ht="14.25" hidden="true" customHeight="false" outlineLevel="0" collapsed="false">
      <c r="A6975" s="49" t="s">
        <v>2349</v>
      </c>
      <c r="B6975" s="49" t="s">
        <v>2350</v>
      </c>
      <c r="C6975" s="49" t="s">
        <v>11747</v>
      </c>
      <c r="D6975" s="49" t="s">
        <v>2352</v>
      </c>
      <c r="E6975" s="49" t="s">
        <v>4351</v>
      </c>
      <c r="F6975" s="49" t="s">
        <v>4352</v>
      </c>
      <c r="G6975" s="49" t="n">
        <v>0</v>
      </c>
      <c r="H6975" s="0" t="n">
        <v>0</v>
      </c>
      <c r="M6975" s="51" t="s">
        <v>11740</v>
      </c>
      <c r="N6975" s="49" t="n">
        <v>0</v>
      </c>
      <c r="O6975" s="53" t="n">
        <v>45910.4561458333</v>
      </c>
      <c r="P6975" s="53" t="n">
        <v>45938.5902199074</v>
      </c>
      <c r="Q6975" s="53" t="n">
        <v>45910.4561458333</v>
      </c>
      <c r="R6975" s="0" t="n">
        <v>0</v>
      </c>
      <c r="S6975" s="51" t="s">
        <v>2356</v>
      </c>
      <c r="T6975" s="51" t="s">
        <v>2356</v>
      </c>
      <c r="U6975" s="51" t="s">
        <v>4351</v>
      </c>
      <c r="V6975" s="51" t="s">
        <v>2365</v>
      </c>
      <c r="W6975" s="51" t="s">
        <v>10429</v>
      </c>
      <c r="X6975" s="51" t="s">
        <v>2359</v>
      </c>
    </row>
    <row r="6976" customFormat="false" ht="14.25" hidden="true" customHeight="false" outlineLevel="0" collapsed="false">
      <c r="A6976" s="49" t="s">
        <v>2349</v>
      </c>
      <c r="B6976" s="49" t="s">
        <v>2350</v>
      </c>
      <c r="C6976" s="49" t="s">
        <v>11748</v>
      </c>
      <c r="D6976" s="49" t="s">
        <v>2352</v>
      </c>
      <c r="E6976" s="49" t="s">
        <v>4351</v>
      </c>
      <c r="F6976" s="49" t="s">
        <v>4352</v>
      </c>
      <c r="G6976" s="49" t="n">
        <v>0</v>
      </c>
      <c r="H6976" s="0" t="n">
        <v>0</v>
      </c>
      <c r="M6976" s="51" t="s">
        <v>11740</v>
      </c>
      <c r="N6976" s="49" t="n">
        <v>0</v>
      </c>
      <c r="O6976" s="53" t="n">
        <v>45910.4559722222</v>
      </c>
      <c r="P6976" s="53" t="n">
        <v>45922.6503240741</v>
      </c>
      <c r="Q6976" s="53" t="n">
        <v>45910.4559722222</v>
      </c>
      <c r="R6976" s="0" t="n">
        <v>0</v>
      </c>
      <c r="S6976" s="51" t="s">
        <v>2356</v>
      </c>
      <c r="T6976" s="51" t="s">
        <v>2356</v>
      </c>
      <c r="U6976" s="51" t="s">
        <v>4351</v>
      </c>
      <c r="V6976" s="51" t="s">
        <v>2365</v>
      </c>
      <c r="W6976" s="51" t="s">
        <v>5143</v>
      </c>
      <c r="X6976" s="51" t="s">
        <v>2359</v>
      </c>
    </row>
    <row r="6977" customFormat="false" ht="14.25" hidden="true" customHeight="false" outlineLevel="0" collapsed="false">
      <c r="A6977" s="49" t="s">
        <v>2349</v>
      </c>
      <c r="B6977" s="49" t="s">
        <v>2350</v>
      </c>
      <c r="C6977" s="49" t="s">
        <v>11749</v>
      </c>
      <c r="D6977" s="49" t="s">
        <v>2352</v>
      </c>
      <c r="E6977" s="49" t="s">
        <v>4351</v>
      </c>
      <c r="F6977" s="49" t="s">
        <v>4352</v>
      </c>
      <c r="G6977" s="49" t="n">
        <v>0</v>
      </c>
      <c r="H6977" s="0" t="n">
        <v>0</v>
      </c>
      <c r="M6977" s="51" t="s">
        <v>11740</v>
      </c>
      <c r="N6977" s="49" t="n">
        <v>0</v>
      </c>
      <c r="O6977" s="53" t="n">
        <v>45910.4558449074</v>
      </c>
      <c r="P6977" s="53" t="n">
        <v>45935.4287268519</v>
      </c>
      <c r="Q6977" s="53" t="n">
        <v>45910.4558449074</v>
      </c>
      <c r="R6977" s="0" t="n">
        <v>0</v>
      </c>
      <c r="S6977" s="51" t="s">
        <v>2356</v>
      </c>
      <c r="T6977" s="51" t="s">
        <v>2356</v>
      </c>
      <c r="U6977" s="51" t="s">
        <v>4351</v>
      </c>
      <c r="V6977" s="51" t="s">
        <v>2365</v>
      </c>
      <c r="W6977" s="51" t="s">
        <v>7288</v>
      </c>
      <c r="X6977" s="51" t="s">
        <v>2359</v>
      </c>
    </row>
    <row r="6978" customFormat="false" ht="14.25" hidden="true" customHeight="false" outlineLevel="0" collapsed="false">
      <c r="A6978" s="49" t="s">
        <v>2349</v>
      </c>
      <c r="B6978" s="49" t="s">
        <v>2350</v>
      </c>
      <c r="C6978" s="49" t="s">
        <v>11750</v>
      </c>
      <c r="D6978" s="49" t="s">
        <v>2352</v>
      </c>
      <c r="E6978" s="49" t="s">
        <v>4351</v>
      </c>
      <c r="F6978" s="49" t="s">
        <v>4352</v>
      </c>
      <c r="G6978" s="49" t="n">
        <v>0</v>
      </c>
      <c r="H6978" s="0" t="n">
        <v>0</v>
      </c>
      <c r="M6978" s="51" t="s">
        <v>11740</v>
      </c>
      <c r="N6978" s="49" t="n">
        <v>0</v>
      </c>
      <c r="O6978" s="53" t="n">
        <v>45910.4557291667</v>
      </c>
      <c r="P6978" s="53" t="n">
        <v>45929.3483217593</v>
      </c>
      <c r="Q6978" s="53" t="n">
        <v>45910.4557291667</v>
      </c>
      <c r="R6978" s="0" t="n">
        <v>0</v>
      </c>
      <c r="S6978" s="51" t="s">
        <v>2356</v>
      </c>
      <c r="T6978" s="51" t="s">
        <v>2356</v>
      </c>
      <c r="U6978" s="51" t="s">
        <v>4351</v>
      </c>
      <c r="V6978" s="51" t="s">
        <v>2365</v>
      </c>
      <c r="W6978" s="51" t="s">
        <v>3683</v>
      </c>
      <c r="X6978" s="51" t="s">
        <v>2359</v>
      </c>
    </row>
    <row r="6979" customFormat="false" ht="14.25" hidden="true" customHeight="false" outlineLevel="0" collapsed="false">
      <c r="A6979" s="49" t="s">
        <v>2349</v>
      </c>
      <c r="B6979" s="49" t="s">
        <v>2350</v>
      </c>
      <c r="C6979" s="49" t="s">
        <v>11751</v>
      </c>
      <c r="D6979" s="49" t="s">
        <v>2352</v>
      </c>
      <c r="E6979" s="49" t="s">
        <v>4351</v>
      </c>
      <c r="F6979" s="49" t="s">
        <v>4352</v>
      </c>
      <c r="G6979" s="49" t="n">
        <v>0</v>
      </c>
      <c r="H6979" s="0" t="n">
        <v>0</v>
      </c>
      <c r="M6979" s="51" t="s">
        <v>11740</v>
      </c>
      <c r="N6979" s="49" t="n">
        <v>0</v>
      </c>
      <c r="O6979" s="53" t="n">
        <v>45910.4556018519</v>
      </c>
      <c r="P6979" s="53" t="n">
        <v>45929.3488078704</v>
      </c>
      <c r="Q6979" s="53" t="n">
        <v>45910.4556018519</v>
      </c>
      <c r="R6979" s="0" t="n">
        <v>0</v>
      </c>
      <c r="S6979" s="51" t="s">
        <v>2356</v>
      </c>
      <c r="T6979" s="51" t="s">
        <v>2356</v>
      </c>
      <c r="U6979" s="51" t="s">
        <v>4351</v>
      </c>
      <c r="V6979" s="51" t="s">
        <v>2365</v>
      </c>
      <c r="W6979" s="51" t="s">
        <v>5476</v>
      </c>
      <c r="X6979" s="51" t="s">
        <v>2359</v>
      </c>
    </row>
    <row r="6980" customFormat="false" ht="14.25" hidden="true" customHeight="false" outlineLevel="0" collapsed="false">
      <c r="A6980" s="49" t="s">
        <v>2349</v>
      </c>
      <c r="B6980" s="49" t="s">
        <v>2350</v>
      </c>
      <c r="C6980" s="49" t="s">
        <v>11752</v>
      </c>
      <c r="D6980" s="49" t="s">
        <v>2352</v>
      </c>
      <c r="E6980" s="49" t="s">
        <v>4351</v>
      </c>
      <c r="F6980" s="49" t="s">
        <v>4352</v>
      </c>
      <c r="G6980" s="49" t="n">
        <v>0</v>
      </c>
      <c r="H6980" s="0" t="n">
        <v>0</v>
      </c>
      <c r="M6980" s="51" t="s">
        <v>11740</v>
      </c>
      <c r="N6980" s="49" t="n">
        <v>0</v>
      </c>
      <c r="O6980" s="53" t="n">
        <v>45910.4553819444</v>
      </c>
      <c r="P6980" s="53" t="n">
        <v>45936.3574189815</v>
      </c>
      <c r="Q6980" s="53" t="n">
        <v>45910.4553819444</v>
      </c>
      <c r="R6980" s="0" t="n">
        <v>0</v>
      </c>
      <c r="S6980" s="51" t="s">
        <v>2356</v>
      </c>
      <c r="T6980" s="51" t="s">
        <v>2356</v>
      </c>
      <c r="U6980" s="51" t="s">
        <v>4351</v>
      </c>
      <c r="V6980" s="51" t="s">
        <v>2365</v>
      </c>
      <c r="W6980" s="51" t="s">
        <v>11753</v>
      </c>
      <c r="X6980" s="51" t="s">
        <v>2359</v>
      </c>
    </row>
    <row r="6981" customFormat="false" ht="14.25" hidden="true" customHeight="false" outlineLevel="0" collapsed="false">
      <c r="A6981" s="49" t="s">
        <v>2349</v>
      </c>
      <c r="B6981" s="49" t="s">
        <v>2350</v>
      </c>
      <c r="C6981" s="49" t="s">
        <v>11754</v>
      </c>
      <c r="D6981" s="49" t="s">
        <v>2352</v>
      </c>
      <c r="E6981" s="49" t="s">
        <v>4351</v>
      </c>
      <c r="F6981" s="49" t="s">
        <v>4352</v>
      </c>
      <c r="G6981" s="49" t="n">
        <v>0</v>
      </c>
      <c r="H6981" s="0" t="n">
        <v>0</v>
      </c>
      <c r="M6981" s="51" t="s">
        <v>11740</v>
      </c>
      <c r="N6981" s="49" t="n">
        <v>0</v>
      </c>
      <c r="O6981" s="53" t="n">
        <v>45910.4552662037</v>
      </c>
      <c r="P6981" s="53" t="n">
        <v>45931.4462615741</v>
      </c>
      <c r="Q6981" s="53" t="n">
        <v>45910.4552662037</v>
      </c>
      <c r="R6981" s="0" t="n">
        <v>0</v>
      </c>
      <c r="S6981" s="51" t="s">
        <v>2356</v>
      </c>
      <c r="T6981" s="51" t="s">
        <v>2356</v>
      </c>
      <c r="U6981" s="51" t="s">
        <v>4351</v>
      </c>
      <c r="V6981" s="51" t="s">
        <v>2365</v>
      </c>
      <c r="W6981" s="51" t="s">
        <v>11755</v>
      </c>
      <c r="X6981" s="51" t="s">
        <v>2359</v>
      </c>
    </row>
    <row r="6982" customFormat="false" ht="14.25" hidden="true" customHeight="false" outlineLevel="0" collapsed="false">
      <c r="A6982" s="49" t="s">
        <v>2349</v>
      </c>
      <c r="B6982" s="49" t="s">
        <v>2350</v>
      </c>
      <c r="C6982" s="49" t="s">
        <v>11756</v>
      </c>
      <c r="D6982" s="49" t="s">
        <v>2352</v>
      </c>
      <c r="E6982" s="49" t="s">
        <v>4351</v>
      </c>
      <c r="F6982" s="49" t="s">
        <v>4352</v>
      </c>
      <c r="G6982" s="49" t="n">
        <v>0</v>
      </c>
      <c r="H6982" s="0" t="n">
        <v>0</v>
      </c>
      <c r="M6982" s="51" t="s">
        <v>11740</v>
      </c>
      <c r="N6982" s="49" t="n">
        <v>0</v>
      </c>
      <c r="O6982" s="53" t="n">
        <v>45910.4551157407</v>
      </c>
      <c r="P6982" s="53" t="n">
        <v>45925.3217939815</v>
      </c>
      <c r="Q6982" s="53" t="n">
        <v>45910.4551157407</v>
      </c>
      <c r="R6982" s="0" t="n">
        <v>0</v>
      </c>
      <c r="S6982" s="51" t="s">
        <v>2356</v>
      </c>
      <c r="T6982" s="51" t="s">
        <v>2356</v>
      </c>
      <c r="U6982" s="51" t="s">
        <v>4351</v>
      </c>
      <c r="V6982" s="51" t="s">
        <v>2365</v>
      </c>
      <c r="W6982" s="51" t="s">
        <v>9718</v>
      </c>
      <c r="X6982" s="51" t="s">
        <v>2359</v>
      </c>
    </row>
    <row r="6983" customFormat="false" ht="14.25" hidden="true" customHeight="false" outlineLevel="0" collapsed="false">
      <c r="A6983" s="49" t="s">
        <v>2349</v>
      </c>
      <c r="B6983" s="49" t="s">
        <v>2350</v>
      </c>
      <c r="C6983" s="49" t="s">
        <v>11757</v>
      </c>
      <c r="D6983" s="49" t="s">
        <v>2352</v>
      </c>
      <c r="E6983" s="49" t="s">
        <v>4351</v>
      </c>
      <c r="F6983" s="49" t="s">
        <v>4352</v>
      </c>
      <c r="G6983" s="49" t="n">
        <v>0</v>
      </c>
      <c r="H6983" s="0" t="n">
        <v>0</v>
      </c>
      <c r="M6983" s="51" t="s">
        <v>11740</v>
      </c>
      <c r="N6983" s="49" t="n">
        <v>0</v>
      </c>
      <c r="O6983" s="53" t="n">
        <v>45910.4549421296</v>
      </c>
      <c r="P6983" s="53" t="n">
        <v>45922.3824305556</v>
      </c>
      <c r="Q6983" s="53" t="n">
        <v>45910.4549421296</v>
      </c>
      <c r="R6983" s="0" t="n">
        <v>0</v>
      </c>
      <c r="S6983" s="51" t="s">
        <v>2356</v>
      </c>
      <c r="T6983" s="51" t="s">
        <v>2356</v>
      </c>
      <c r="U6983" s="51" t="s">
        <v>4351</v>
      </c>
      <c r="V6983" s="51" t="s">
        <v>2365</v>
      </c>
      <c r="W6983" s="51" t="s">
        <v>8251</v>
      </c>
      <c r="X6983" s="51" t="s">
        <v>2359</v>
      </c>
    </row>
    <row r="6984" customFormat="false" ht="14.25" hidden="true" customHeight="false" outlineLevel="0" collapsed="false">
      <c r="A6984" s="49" t="s">
        <v>2349</v>
      </c>
      <c r="B6984" s="49" t="s">
        <v>2350</v>
      </c>
      <c r="C6984" s="49" t="s">
        <v>11758</v>
      </c>
      <c r="D6984" s="49" t="s">
        <v>2352</v>
      </c>
      <c r="E6984" s="49" t="s">
        <v>4351</v>
      </c>
      <c r="F6984" s="49" t="s">
        <v>4352</v>
      </c>
      <c r="G6984" s="49" t="n">
        <v>0</v>
      </c>
      <c r="H6984" s="0" t="n">
        <v>0</v>
      </c>
      <c r="M6984" s="51" t="s">
        <v>11740</v>
      </c>
      <c r="N6984" s="49" t="n">
        <v>0</v>
      </c>
      <c r="O6984" s="53" t="n">
        <v>45910.4548032407</v>
      </c>
      <c r="P6984" s="53" t="n">
        <v>45920.4327893519</v>
      </c>
      <c r="Q6984" s="53" t="n">
        <v>45910.4548032407</v>
      </c>
      <c r="R6984" s="0" t="n">
        <v>0</v>
      </c>
      <c r="S6984" s="51" t="s">
        <v>2356</v>
      </c>
      <c r="T6984" s="51" t="s">
        <v>2356</v>
      </c>
      <c r="U6984" s="51" t="s">
        <v>4351</v>
      </c>
      <c r="V6984" s="51" t="s">
        <v>2365</v>
      </c>
      <c r="W6984" s="51" t="s">
        <v>3687</v>
      </c>
      <c r="X6984" s="51" t="s">
        <v>2359</v>
      </c>
    </row>
    <row r="6985" customFormat="false" ht="14.25" hidden="true" customHeight="false" outlineLevel="0" collapsed="false">
      <c r="A6985" s="49" t="s">
        <v>2349</v>
      </c>
      <c r="B6985" s="49" t="s">
        <v>2350</v>
      </c>
      <c r="C6985" s="49" t="s">
        <v>11759</v>
      </c>
      <c r="D6985" s="49" t="s">
        <v>2352</v>
      </c>
      <c r="E6985" s="49" t="s">
        <v>4351</v>
      </c>
      <c r="F6985" s="49" t="s">
        <v>4352</v>
      </c>
      <c r="G6985" s="49" t="n">
        <v>0</v>
      </c>
      <c r="H6985" s="0" t="n">
        <v>0</v>
      </c>
      <c r="M6985" s="51" t="s">
        <v>11740</v>
      </c>
      <c r="N6985" s="49" t="n">
        <v>0</v>
      </c>
      <c r="O6985" s="53" t="n">
        <v>45910.4545949074</v>
      </c>
      <c r="P6985" s="53" t="n">
        <v>45920.4325462963</v>
      </c>
      <c r="Q6985" s="53" t="n">
        <v>45910.4545949074</v>
      </c>
      <c r="R6985" s="0" t="n">
        <v>0</v>
      </c>
      <c r="S6985" s="51" t="s">
        <v>2356</v>
      </c>
      <c r="T6985" s="51" t="s">
        <v>2356</v>
      </c>
      <c r="U6985" s="51" t="s">
        <v>4351</v>
      </c>
      <c r="V6985" s="51" t="s">
        <v>2365</v>
      </c>
      <c r="W6985" s="51" t="s">
        <v>4592</v>
      </c>
      <c r="X6985" s="51" t="s">
        <v>2359</v>
      </c>
    </row>
    <row r="6986" customFormat="false" ht="14.25" hidden="true" customHeight="false" outlineLevel="0" collapsed="false">
      <c r="A6986" s="49" t="s">
        <v>2349</v>
      </c>
      <c r="B6986" s="49" t="s">
        <v>2350</v>
      </c>
      <c r="C6986" s="49" t="s">
        <v>11760</v>
      </c>
      <c r="D6986" s="49" t="s">
        <v>2352</v>
      </c>
      <c r="E6986" s="49" t="s">
        <v>4351</v>
      </c>
      <c r="F6986" s="49" t="s">
        <v>4352</v>
      </c>
      <c r="G6986" s="49" t="n">
        <v>0</v>
      </c>
      <c r="H6986" s="0" t="n">
        <v>0</v>
      </c>
      <c r="M6986" s="51" t="s">
        <v>11740</v>
      </c>
      <c r="N6986" s="49" t="n">
        <v>0</v>
      </c>
      <c r="O6986" s="53" t="n">
        <v>45910.4544675926</v>
      </c>
      <c r="P6986" s="53" t="n">
        <v>45920.4324421296</v>
      </c>
      <c r="Q6986" s="53" t="n">
        <v>45910.4544675926</v>
      </c>
      <c r="R6986" s="0" t="n">
        <v>0</v>
      </c>
      <c r="S6986" s="51" t="s">
        <v>2356</v>
      </c>
      <c r="T6986" s="51" t="s">
        <v>2356</v>
      </c>
      <c r="U6986" s="51" t="s">
        <v>4351</v>
      </c>
      <c r="V6986" s="51" t="s">
        <v>2365</v>
      </c>
      <c r="W6986" s="51" t="s">
        <v>5744</v>
      </c>
      <c r="X6986" s="51" t="s">
        <v>2359</v>
      </c>
    </row>
    <row r="6987" customFormat="false" ht="14.25" hidden="true" customHeight="false" outlineLevel="0" collapsed="false">
      <c r="A6987" s="49" t="s">
        <v>2349</v>
      </c>
      <c r="B6987" s="49" t="s">
        <v>2350</v>
      </c>
      <c r="C6987" s="49" t="s">
        <v>11761</v>
      </c>
      <c r="D6987" s="49" t="s">
        <v>2352</v>
      </c>
      <c r="E6987" s="49" t="s">
        <v>4351</v>
      </c>
      <c r="F6987" s="49" t="s">
        <v>4352</v>
      </c>
      <c r="G6987" s="49" t="n">
        <v>0</v>
      </c>
      <c r="H6987" s="0" t="n">
        <v>0</v>
      </c>
      <c r="M6987" s="51" t="s">
        <v>11740</v>
      </c>
      <c r="N6987" s="49" t="n">
        <v>0</v>
      </c>
      <c r="O6987" s="53" t="n">
        <v>45910.4543287037</v>
      </c>
      <c r="P6987" s="53" t="n">
        <v>45920.4321643519</v>
      </c>
      <c r="Q6987" s="53" t="n">
        <v>45910.4543287037</v>
      </c>
      <c r="R6987" s="0" t="n">
        <v>0</v>
      </c>
      <c r="S6987" s="51" t="s">
        <v>2356</v>
      </c>
      <c r="T6987" s="51" t="s">
        <v>2356</v>
      </c>
      <c r="U6987" s="51" t="s">
        <v>4351</v>
      </c>
      <c r="V6987" s="51" t="s">
        <v>2365</v>
      </c>
      <c r="W6987" s="51" t="s">
        <v>5744</v>
      </c>
      <c r="X6987" s="51" t="s">
        <v>2359</v>
      </c>
    </row>
    <row r="6988" customFormat="false" ht="14.25" hidden="true" customHeight="false" outlineLevel="0" collapsed="false">
      <c r="A6988" s="49" t="s">
        <v>2349</v>
      </c>
      <c r="B6988" s="49" t="s">
        <v>2350</v>
      </c>
      <c r="C6988" s="49" t="s">
        <v>11762</v>
      </c>
      <c r="D6988" s="49" t="s">
        <v>2352</v>
      </c>
      <c r="E6988" s="49" t="s">
        <v>4351</v>
      </c>
      <c r="F6988" s="49" t="s">
        <v>4352</v>
      </c>
      <c r="G6988" s="49" t="n">
        <v>0</v>
      </c>
      <c r="H6988" s="0" t="n">
        <v>0</v>
      </c>
      <c r="M6988" s="51" t="s">
        <v>11740</v>
      </c>
      <c r="N6988" s="49" t="n">
        <v>0</v>
      </c>
      <c r="O6988" s="53" t="n">
        <v>45910.4537731482</v>
      </c>
      <c r="P6988" s="53" t="n">
        <v>45917.3336342593</v>
      </c>
      <c r="Q6988" s="53" t="n">
        <v>45910.4537731482</v>
      </c>
      <c r="R6988" s="0" t="n">
        <v>0</v>
      </c>
      <c r="S6988" s="51" t="s">
        <v>2356</v>
      </c>
      <c r="T6988" s="51" t="s">
        <v>2356</v>
      </c>
      <c r="U6988" s="51" t="s">
        <v>4351</v>
      </c>
      <c r="V6988" s="51" t="s">
        <v>2365</v>
      </c>
      <c r="W6988" s="51" t="s">
        <v>4594</v>
      </c>
      <c r="X6988" s="51" t="s">
        <v>2359</v>
      </c>
    </row>
    <row r="6989" customFormat="false" ht="14.25" hidden="true" customHeight="false" outlineLevel="0" collapsed="false">
      <c r="A6989" s="49" t="s">
        <v>2349</v>
      </c>
      <c r="B6989" s="49" t="s">
        <v>2350</v>
      </c>
      <c r="C6989" s="49" t="s">
        <v>11763</v>
      </c>
      <c r="D6989" s="49" t="s">
        <v>2352</v>
      </c>
      <c r="E6989" s="49" t="str">
        <f aca="false">"5060175133182"</f>
        <v>5060175133182</v>
      </c>
      <c r="F6989" s="49" t="s">
        <v>6385</v>
      </c>
      <c r="G6989" s="49" t="n">
        <v>0</v>
      </c>
      <c r="H6989" s="0" t="n">
        <v>0</v>
      </c>
      <c r="M6989" s="51" t="s">
        <v>11764</v>
      </c>
      <c r="N6989" s="49" t="n">
        <v>0</v>
      </c>
      <c r="O6989" s="53" t="n">
        <v>45957.459837963</v>
      </c>
      <c r="P6989" s="53" t="n">
        <v>46005.457974537</v>
      </c>
      <c r="Q6989" s="53" t="n">
        <v>45957.459837963</v>
      </c>
      <c r="R6989" s="0" t="n">
        <v>0</v>
      </c>
      <c r="S6989" s="51" t="s">
        <v>2401</v>
      </c>
      <c r="T6989" s="51" t="s">
        <v>2401</v>
      </c>
      <c r="U6989" s="0" t="str">
        <f aca="false">"5060175133182"</f>
        <v>5060175133182</v>
      </c>
      <c r="V6989" s="51" t="s">
        <v>2365</v>
      </c>
      <c r="W6989" s="51" t="s">
        <v>3904</v>
      </c>
      <c r="X6989" s="51" t="s">
        <v>2359</v>
      </c>
    </row>
    <row r="6990" customFormat="false" ht="14.25" hidden="true" customHeight="false" outlineLevel="0" collapsed="false">
      <c r="A6990" s="49" t="s">
        <v>2349</v>
      </c>
      <c r="B6990" s="49" t="s">
        <v>2350</v>
      </c>
      <c r="C6990" s="49" t="s">
        <v>11765</v>
      </c>
      <c r="D6990" s="49" t="s">
        <v>2352</v>
      </c>
      <c r="E6990" s="49" t="str">
        <f aca="false">"5060175133274"</f>
        <v>5060175133274</v>
      </c>
      <c r="F6990" s="49" t="s">
        <v>5130</v>
      </c>
      <c r="G6990" s="49" t="n">
        <v>0</v>
      </c>
      <c r="H6990" s="0" t="n">
        <v>0</v>
      </c>
      <c r="M6990" s="51" t="s">
        <v>11764</v>
      </c>
      <c r="N6990" s="49" t="n">
        <v>0</v>
      </c>
      <c r="O6990" s="53" t="n">
        <v>45957.4597106481</v>
      </c>
      <c r="P6990" s="53" t="n">
        <v>45967.6263773148</v>
      </c>
      <c r="Q6990" s="53" t="n">
        <v>45957.4597106481</v>
      </c>
      <c r="R6990" s="0" t="n">
        <v>0</v>
      </c>
      <c r="S6990" s="51" t="s">
        <v>2401</v>
      </c>
      <c r="T6990" s="51" t="s">
        <v>2401</v>
      </c>
      <c r="U6990" s="0" t="str">
        <f aca="false">"5060175133274"</f>
        <v>5060175133274</v>
      </c>
      <c r="V6990" s="51" t="s">
        <v>2365</v>
      </c>
      <c r="W6990" s="51" t="s">
        <v>3904</v>
      </c>
      <c r="X6990" s="51" t="s">
        <v>2359</v>
      </c>
    </row>
    <row r="6991" customFormat="false" ht="14.25" hidden="true" customHeight="false" outlineLevel="0" collapsed="false">
      <c r="A6991" s="49" t="s">
        <v>2349</v>
      </c>
      <c r="B6991" s="49" t="s">
        <v>2350</v>
      </c>
      <c r="C6991" s="49" t="s">
        <v>11766</v>
      </c>
      <c r="D6991" s="49" t="s">
        <v>2352</v>
      </c>
      <c r="E6991" s="49" t="str">
        <f aca="false">"5060175133830"</f>
        <v>5060175133830</v>
      </c>
      <c r="F6991" s="49" t="s">
        <v>3981</v>
      </c>
      <c r="G6991" s="49" t="n">
        <v>0</v>
      </c>
      <c r="H6991" s="0" t="n">
        <v>0</v>
      </c>
      <c r="M6991" s="51" t="s">
        <v>11764</v>
      </c>
      <c r="N6991" s="49" t="n">
        <v>0</v>
      </c>
      <c r="O6991" s="53" t="n">
        <v>45957.459537037</v>
      </c>
      <c r="P6991" s="53" t="n">
        <v>45959.8018634259</v>
      </c>
      <c r="Q6991" s="53" t="n">
        <v>45957.459537037</v>
      </c>
      <c r="R6991" s="0" t="n">
        <v>0</v>
      </c>
      <c r="S6991" s="51" t="s">
        <v>2401</v>
      </c>
      <c r="T6991" s="51" t="s">
        <v>2401</v>
      </c>
      <c r="U6991" s="0" t="str">
        <f aca="false">"5060175133830"</f>
        <v>5060175133830</v>
      </c>
      <c r="V6991" s="51" t="s">
        <v>2365</v>
      </c>
      <c r="W6991" s="51" t="s">
        <v>3904</v>
      </c>
      <c r="X6991" s="51" t="s">
        <v>2359</v>
      </c>
    </row>
    <row r="6992" customFormat="false" ht="14.25" hidden="true" customHeight="false" outlineLevel="0" collapsed="false">
      <c r="A6992" s="49" t="s">
        <v>2349</v>
      </c>
      <c r="B6992" s="49" t="s">
        <v>2350</v>
      </c>
      <c r="C6992" s="49" t="s">
        <v>11767</v>
      </c>
      <c r="D6992" s="49" t="s">
        <v>2352</v>
      </c>
      <c r="E6992" s="49" t="str">
        <f aca="false">"5060175135492"</f>
        <v>5060175135492</v>
      </c>
      <c r="F6992" s="49" t="s">
        <v>9079</v>
      </c>
      <c r="G6992" s="49" t="n">
        <v>0</v>
      </c>
      <c r="H6992" s="0" t="n">
        <v>0</v>
      </c>
      <c r="M6992" s="51" t="s">
        <v>11764</v>
      </c>
      <c r="N6992" s="49" t="n">
        <v>0</v>
      </c>
      <c r="O6992" s="53" t="n">
        <v>45957.4599652778</v>
      </c>
      <c r="P6992" s="53" t="n">
        <v>45963.8935532407</v>
      </c>
      <c r="Q6992" s="53" t="n">
        <v>45957.4599652778</v>
      </c>
      <c r="R6992" s="0" t="n">
        <v>0</v>
      </c>
      <c r="S6992" s="51" t="s">
        <v>2401</v>
      </c>
      <c r="T6992" s="51" t="s">
        <v>2401</v>
      </c>
      <c r="U6992" s="0" t="str">
        <f aca="false">"5060175135492"</f>
        <v>5060175135492</v>
      </c>
      <c r="V6992" s="51" t="s">
        <v>2365</v>
      </c>
      <c r="W6992" s="51" t="s">
        <v>3904</v>
      </c>
      <c r="X6992" s="51" t="s">
        <v>2359</v>
      </c>
    </row>
    <row r="6993" customFormat="false" ht="14.25" hidden="true" customHeight="false" outlineLevel="0" collapsed="false">
      <c r="A6993" s="49" t="s">
        <v>2349</v>
      </c>
      <c r="B6993" s="49" t="s">
        <v>2350</v>
      </c>
      <c r="C6993" s="49" t="s">
        <v>11768</v>
      </c>
      <c r="D6993" s="49" t="s">
        <v>2352</v>
      </c>
      <c r="E6993" s="49" t="str">
        <f aca="false">"5060175133380"</f>
        <v>5060175133380</v>
      </c>
      <c r="F6993" s="49" t="s">
        <v>3978</v>
      </c>
      <c r="G6993" s="49" t="n">
        <v>0</v>
      </c>
      <c r="H6993" s="0" t="n">
        <v>0</v>
      </c>
      <c r="M6993" s="51" t="s">
        <v>11764</v>
      </c>
      <c r="N6993" s="49" t="n">
        <v>0</v>
      </c>
      <c r="O6993" s="53" t="n">
        <v>45957.4600810185</v>
      </c>
      <c r="P6993" s="53" t="n">
        <v>45963.8931018519</v>
      </c>
      <c r="Q6993" s="53" t="n">
        <v>45957.4600810185</v>
      </c>
      <c r="R6993" s="0" t="n">
        <v>0</v>
      </c>
      <c r="S6993" s="51" t="s">
        <v>2401</v>
      </c>
      <c r="T6993" s="51" t="s">
        <v>2401</v>
      </c>
      <c r="U6993" s="0" t="str">
        <f aca="false">"5060175133380"</f>
        <v>5060175133380</v>
      </c>
      <c r="V6993" s="51" t="s">
        <v>2365</v>
      </c>
      <c r="W6993" s="51" t="s">
        <v>3904</v>
      </c>
      <c r="X6993" s="51" t="s">
        <v>2359</v>
      </c>
    </row>
    <row r="6994" customFormat="false" ht="14.25" hidden="true" customHeight="false" outlineLevel="0" collapsed="false">
      <c r="A6994" s="49" t="s">
        <v>2349</v>
      </c>
      <c r="B6994" s="49" t="s">
        <v>2350</v>
      </c>
      <c r="C6994" s="49" t="s">
        <v>11769</v>
      </c>
      <c r="D6994" s="49" t="s">
        <v>2352</v>
      </c>
      <c r="E6994" s="49" t="str">
        <f aca="false">"5060458890191"</f>
        <v>5060458890191</v>
      </c>
      <c r="F6994" s="49" t="s">
        <v>3656</v>
      </c>
      <c r="G6994" s="49" t="n">
        <v>0</v>
      </c>
      <c r="H6994" s="0" t="n">
        <v>0</v>
      </c>
      <c r="M6994" s="51" t="s">
        <v>11770</v>
      </c>
      <c r="N6994" s="49" t="n">
        <v>0</v>
      </c>
      <c r="O6994" s="53" t="n">
        <v>45960.4147800926</v>
      </c>
      <c r="P6994" s="53" t="n">
        <v>45973.9027777778</v>
      </c>
      <c r="Q6994" s="53" t="n">
        <v>45960.4147800926</v>
      </c>
      <c r="R6994" s="0" t="n">
        <v>0</v>
      </c>
      <c r="S6994" s="51" t="s">
        <v>2401</v>
      </c>
      <c r="T6994" s="51" t="s">
        <v>2401</v>
      </c>
      <c r="U6994" s="0" t="str">
        <f aca="false">"5060458890191"</f>
        <v>5060458890191</v>
      </c>
      <c r="V6994" s="51" t="s">
        <v>2142</v>
      </c>
      <c r="W6994" s="51" t="s">
        <v>11771</v>
      </c>
      <c r="X6994" s="51" t="s">
        <v>2359</v>
      </c>
    </row>
    <row r="6995" customFormat="false" ht="14.25" hidden="true" customHeight="false" outlineLevel="0" collapsed="false">
      <c r="A6995" s="49" t="s">
        <v>2349</v>
      </c>
      <c r="B6995" s="49" t="s">
        <v>2350</v>
      </c>
      <c r="C6995" s="49" t="s">
        <v>11772</v>
      </c>
      <c r="D6995" s="49" t="s">
        <v>2352</v>
      </c>
      <c r="E6995" s="49" t="str">
        <f aca="false">"5060458890191"</f>
        <v>5060458890191</v>
      </c>
      <c r="F6995" s="49" t="s">
        <v>3656</v>
      </c>
      <c r="G6995" s="49" t="n">
        <v>0</v>
      </c>
      <c r="H6995" s="0" t="n">
        <v>0</v>
      </c>
      <c r="M6995" s="51" t="s">
        <v>11770</v>
      </c>
      <c r="N6995" s="49" t="n">
        <v>0</v>
      </c>
      <c r="O6995" s="53" t="n">
        <v>45960.4171527778</v>
      </c>
      <c r="P6995" s="53" t="n">
        <v>45973.905162037</v>
      </c>
      <c r="Q6995" s="53" t="n">
        <v>45960.4171527778</v>
      </c>
      <c r="R6995" s="0" t="n">
        <v>0</v>
      </c>
      <c r="S6995" s="51" t="s">
        <v>2401</v>
      </c>
      <c r="T6995" s="51" t="s">
        <v>2401</v>
      </c>
      <c r="U6995" s="0" t="str">
        <f aca="false">"5060458890191"</f>
        <v>5060458890191</v>
      </c>
      <c r="V6995" s="51" t="s">
        <v>2142</v>
      </c>
      <c r="W6995" s="51" t="s">
        <v>11245</v>
      </c>
      <c r="X6995" s="51" t="s">
        <v>2359</v>
      </c>
    </row>
    <row r="6996" customFormat="false" ht="14.25" hidden="true" customHeight="false" outlineLevel="0" collapsed="false">
      <c r="A6996" s="49" t="s">
        <v>2349</v>
      </c>
      <c r="B6996" s="49" t="s">
        <v>2350</v>
      </c>
      <c r="C6996" s="49" t="s">
        <v>11773</v>
      </c>
      <c r="D6996" s="49" t="s">
        <v>2352</v>
      </c>
      <c r="E6996" s="49" t="str">
        <f aca="false">"5060458890191"</f>
        <v>5060458890191</v>
      </c>
      <c r="F6996" s="49" t="s">
        <v>3656</v>
      </c>
      <c r="G6996" s="49" t="n">
        <v>0</v>
      </c>
      <c r="H6996" s="0" t="n">
        <v>0</v>
      </c>
      <c r="M6996" s="51" t="s">
        <v>11770</v>
      </c>
      <c r="N6996" s="49" t="n">
        <v>0</v>
      </c>
      <c r="O6996" s="53" t="n">
        <v>45960.4173611111</v>
      </c>
      <c r="P6996" s="53" t="n">
        <v>45973.9087962963</v>
      </c>
      <c r="Q6996" s="53" t="n">
        <v>45960.4173611111</v>
      </c>
      <c r="R6996" s="0" t="n">
        <v>0</v>
      </c>
      <c r="S6996" s="51" t="s">
        <v>2401</v>
      </c>
      <c r="T6996" s="51" t="s">
        <v>2401</v>
      </c>
      <c r="U6996" s="0" t="str">
        <f aca="false">"5060458890191"</f>
        <v>5060458890191</v>
      </c>
      <c r="V6996" s="51" t="s">
        <v>2142</v>
      </c>
      <c r="W6996" s="51" t="s">
        <v>10100</v>
      </c>
      <c r="X6996" s="51" t="s">
        <v>2359</v>
      </c>
    </row>
    <row r="6997" customFormat="false" ht="14.25" hidden="true" customHeight="false" outlineLevel="0" collapsed="false">
      <c r="A6997" s="49" t="s">
        <v>2349</v>
      </c>
      <c r="B6997" s="49" t="s">
        <v>2350</v>
      </c>
      <c r="C6997" s="49" t="s">
        <v>11774</v>
      </c>
      <c r="D6997" s="49" t="s">
        <v>2352</v>
      </c>
      <c r="E6997" s="49" t="str">
        <f aca="false">"5060458890191"</f>
        <v>5060458890191</v>
      </c>
      <c r="F6997" s="49" t="s">
        <v>3656</v>
      </c>
      <c r="G6997" s="49" t="n">
        <v>0</v>
      </c>
      <c r="H6997" s="0" t="n">
        <v>0</v>
      </c>
      <c r="M6997" s="51" t="s">
        <v>11770</v>
      </c>
      <c r="N6997" s="49" t="n">
        <v>0</v>
      </c>
      <c r="O6997" s="53" t="n">
        <v>45960.4185532407</v>
      </c>
      <c r="P6997" s="53" t="n">
        <v>45971.9327546296</v>
      </c>
      <c r="Q6997" s="53" t="n">
        <v>45960.4185532407</v>
      </c>
      <c r="R6997" s="0" t="n">
        <v>0</v>
      </c>
      <c r="S6997" s="51" t="s">
        <v>2401</v>
      </c>
      <c r="T6997" s="51" t="s">
        <v>2401</v>
      </c>
      <c r="U6997" s="0" t="str">
        <f aca="false">"5060458890191"</f>
        <v>5060458890191</v>
      </c>
      <c r="V6997" s="51" t="s">
        <v>2142</v>
      </c>
      <c r="W6997" s="51" t="s">
        <v>10295</v>
      </c>
      <c r="X6997" s="51" t="s">
        <v>2359</v>
      </c>
    </row>
    <row r="6998" customFormat="false" ht="14.25" hidden="true" customHeight="false" outlineLevel="0" collapsed="false">
      <c r="A6998" s="49" t="s">
        <v>2349</v>
      </c>
      <c r="B6998" s="49" t="s">
        <v>2350</v>
      </c>
      <c r="C6998" s="49" t="s">
        <v>11775</v>
      </c>
      <c r="D6998" s="49" t="s">
        <v>2352</v>
      </c>
      <c r="E6998" s="49" t="str">
        <f aca="false">"5060458890191"</f>
        <v>5060458890191</v>
      </c>
      <c r="F6998" s="49" t="s">
        <v>3656</v>
      </c>
      <c r="G6998" s="49" t="n">
        <v>0</v>
      </c>
      <c r="H6998" s="0" t="n">
        <v>0</v>
      </c>
      <c r="M6998" s="51" t="s">
        <v>11770</v>
      </c>
      <c r="N6998" s="49" t="n">
        <v>0</v>
      </c>
      <c r="O6998" s="53" t="n">
        <v>45960.4175578704</v>
      </c>
      <c r="P6998" s="53" t="n">
        <v>45985.4440509259</v>
      </c>
      <c r="Q6998" s="53" t="n">
        <v>45960.4175578704</v>
      </c>
      <c r="R6998" s="0" t="n">
        <v>0</v>
      </c>
      <c r="S6998" s="51" t="s">
        <v>2401</v>
      </c>
      <c r="T6998" s="51" t="s">
        <v>2401</v>
      </c>
      <c r="U6998" s="0" t="str">
        <f aca="false">"5060458890191"</f>
        <v>5060458890191</v>
      </c>
      <c r="V6998" s="51" t="s">
        <v>2142</v>
      </c>
      <c r="W6998" s="51" t="s">
        <v>10844</v>
      </c>
      <c r="X6998" s="51" t="s">
        <v>2359</v>
      </c>
    </row>
    <row r="6999" customFormat="false" ht="14.25" hidden="true" customHeight="false" outlineLevel="0" collapsed="false">
      <c r="A6999" s="49" t="s">
        <v>2349</v>
      </c>
      <c r="B6999" s="49" t="s">
        <v>2350</v>
      </c>
      <c r="C6999" s="49" t="s">
        <v>11776</v>
      </c>
      <c r="D6999" s="49" t="s">
        <v>2352</v>
      </c>
      <c r="E6999" s="49" t="str">
        <f aca="false">"5060458890191"</f>
        <v>5060458890191</v>
      </c>
      <c r="F6999" s="49" t="s">
        <v>3656</v>
      </c>
      <c r="G6999" s="49" t="n">
        <v>0</v>
      </c>
      <c r="H6999" s="0" t="n">
        <v>0</v>
      </c>
      <c r="M6999" s="51" t="s">
        <v>11770</v>
      </c>
      <c r="N6999" s="49" t="n">
        <v>0</v>
      </c>
      <c r="O6999" s="53" t="n">
        <v>45960.4178125</v>
      </c>
      <c r="P6999" s="53" t="n">
        <v>45984.7838078704</v>
      </c>
      <c r="Q6999" s="53" t="n">
        <v>45960.4178125</v>
      </c>
      <c r="R6999" s="0" t="n">
        <v>0</v>
      </c>
      <c r="S6999" s="51" t="s">
        <v>2401</v>
      </c>
      <c r="T6999" s="51" t="s">
        <v>2401</v>
      </c>
      <c r="U6999" s="0" t="str">
        <f aca="false">"5060458890191"</f>
        <v>5060458890191</v>
      </c>
      <c r="V6999" s="51" t="s">
        <v>2142</v>
      </c>
      <c r="W6999" s="51" t="s">
        <v>10584</v>
      </c>
      <c r="X6999" s="51" t="s">
        <v>2359</v>
      </c>
    </row>
    <row r="7000" customFormat="false" ht="14.25" hidden="true" customHeight="false" outlineLevel="0" collapsed="false">
      <c r="A7000" s="49" t="s">
        <v>2349</v>
      </c>
      <c r="B7000" s="49" t="s">
        <v>2350</v>
      </c>
      <c r="C7000" s="49" t="s">
        <v>11777</v>
      </c>
      <c r="D7000" s="49" t="s">
        <v>2352</v>
      </c>
      <c r="E7000" s="49" t="str">
        <f aca="false">"5060458890191"</f>
        <v>5060458890191</v>
      </c>
      <c r="F7000" s="49" t="s">
        <v>3656</v>
      </c>
      <c r="G7000" s="49" t="n">
        <v>0</v>
      </c>
      <c r="H7000" s="0" t="n">
        <v>0</v>
      </c>
      <c r="M7000" s="51" t="s">
        <v>11770</v>
      </c>
      <c r="N7000" s="49" t="n">
        <v>0</v>
      </c>
      <c r="O7000" s="53" t="n">
        <v>45960.4179398148</v>
      </c>
      <c r="P7000" s="53" t="n">
        <v>45977.9041087963</v>
      </c>
      <c r="Q7000" s="53" t="n">
        <v>45960.4179398148</v>
      </c>
      <c r="R7000" s="0" t="n">
        <v>0</v>
      </c>
      <c r="S7000" s="51" t="s">
        <v>2401</v>
      </c>
      <c r="T7000" s="51" t="s">
        <v>2401</v>
      </c>
      <c r="U7000" s="0" t="str">
        <f aca="false">"5060458890191"</f>
        <v>5060458890191</v>
      </c>
      <c r="V7000" s="51" t="s">
        <v>2142</v>
      </c>
      <c r="W7000" s="51" t="s">
        <v>11690</v>
      </c>
      <c r="X7000" s="51" t="s">
        <v>2359</v>
      </c>
    </row>
    <row r="7001" customFormat="false" ht="14.25" hidden="true" customHeight="false" outlineLevel="0" collapsed="false">
      <c r="A7001" s="49" t="s">
        <v>2349</v>
      </c>
      <c r="B7001" s="49" t="s">
        <v>2350</v>
      </c>
      <c r="C7001" s="49" t="s">
        <v>11778</v>
      </c>
      <c r="D7001" s="49" t="s">
        <v>2352</v>
      </c>
      <c r="E7001" s="49" t="str">
        <f aca="false">"5060458890191"</f>
        <v>5060458890191</v>
      </c>
      <c r="F7001" s="49" t="s">
        <v>3656</v>
      </c>
      <c r="G7001" s="49" t="n">
        <v>0</v>
      </c>
      <c r="H7001" s="0" t="n">
        <v>0</v>
      </c>
      <c r="M7001" s="51" t="s">
        <v>11770</v>
      </c>
      <c r="N7001" s="49" t="n">
        <v>0</v>
      </c>
      <c r="O7001" s="53" t="n">
        <v>45960.4181712963</v>
      </c>
      <c r="P7001" s="53" t="n">
        <v>45973.8918981482</v>
      </c>
      <c r="Q7001" s="53" t="n">
        <v>45960.4181712963</v>
      </c>
      <c r="R7001" s="0" t="n">
        <v>0</v>
      </c>
      <c r="S7001" s="51" t="s">
        <v>2401</v>
      </c>
      <c r="T7001" s="51" t="s">
        <v>2401</v>
      </c>
      <c r="U7001" s="0" t="str">
        <f aca="false">"5060458890191"</f>
        <v>5060458890191</v>
      </c>
      <c r="V7001" s="51" t="s">
        <v>2142</v>
      </c>
      <c r="W7001" s="51" t="s">
        <v>10729</v>
      </c>
      <c r="X7001" s="51" t="s">
        <v>2359</v>
      </c>
    </row>
    <row r="7002" customFormat="false" ht="14.25" hidden="true" customHeight="false" outlineLevel="0" collapsed="false">
      <c r="A7002" s="49" t="s">
        <v>2349</v>
      </c>
      <c r="B7002" s="49" t="s">
        <v>2350</v>
      </c>
      <c r="C7002" s="49" t="s">
        <v>11779</v>
      </c>
      <c r="D7002" s="49" t="s">
        <v>2352</v>
      </c>
      <c r="E7002" s="49" t="str">
        <f aca="false">"5060458890191"</f>
        <v>5060458890191</v>
      </c>
      <c r="F7002" s="49" t="s">
        <v>3656</v>
      </c>
      <c r="G7002" s="49" t="n">
        <v>0</v>
      </c>
      <c r="H7002" s="0" t="n">
        <v>0</v>
      </c>
      <c r="M7002" s="51" t="s">
        <v>11770</v>
      </c>
      <c r="N7002" s="49" t="n">
        <v>0</v>
      </c>
      <c r="O7002" s="53" t="n">
        <v>45960.6543055556</v>
      </c>
      <c r="P7002" s="53" t="n">
        <v>45991.7563425926</v>
      </c>
      <c r="Q7002" s="53" t="n">
        <v>45960.6543055556</v>
      </c>
      <c r="R7002" s="0" t="n">
        <v>0</v>
      </c>
      <c r="S7002" s="51" t="s">
        <v>2401</v>
      </c>
      <c r="T7002" s="51" t="s">
        <v>2401</v>
      </c>
      <c r="U7002" s="0" t="str">
        <f aca="false">"5060458890191"</f>
        <v>5060458890191</v>
      </c>
      <c r="V7002" s="51" t="s">
        <v>2142</v>
      </c>
      <c r="W7002" s="51" t="s">
        <v>10311</v>
      </c>
      <c r="X7002" s="51" t="s">
        <v>2359</v>
      </c>
    </row>
    <row r="7003" customFormat="false" ht="14.25" hidden="true" customHeight="false" outlineLevel="0" collapsed="false">
      <c r="A7003" s="49" t="s">
        <v>2349</v>
      </c>
      <c r="B7003" s="49" t="s">
        <v>2350</v>
      </c>
      <c r="C7003" s="49" t="s">
        <v>11780</v>
      </c>
      <c r="D7003" s="49" t="s">
        <v>2352</v>
      </c>
      <c r="E7003" s="49" t="str">
        <f aca="false">"5060458890191"</f>
        <v>5060458890191</v>
      </c>
      <c r="F7003" s="49" t="s">
        <v>3656</v>
      </c>
      <c r="G7003" s="49" t="n">
        <v>0</v>
      </c>
      <c r="H7003" s="0" t="n">
        <v>0</v>
      </c>
      <c r="M7003" s="51" t="s">
        <v>11770</v>
      </c>
      <c r="N7003" s="49" t="n">
        <v>0</v>
      </c>
      <c r="O7003" s="53" t="n">
        <v>45960.4161689815</v>
      </c>
      <c r="P7003" s="53" t="n">
        <v>45973.907037037</v>
      </c>
      <c r="Q7003" s="53" t="n">
        <v>45960.4161689815</v>
      </c>
      <c r="R7003" s="0" t="n">
        <v>0</v>
      </c>
      <c r="S7003" s="51" t="s">
        <v>2401</v>
      </c>
      <c r="T7003" s="51" t="s">
        <v>2401</v>
      </c>
      <c r="U7003" s="0" t="str">
        <f aca="false">"5060458890191"</f>
        <v>5060458890191</v>
      </c>
      <c r="V7003" s="51" t="s">
        <v>2142</v>
      </c>
      <c r="W7003" s="51" t="s">
        <v>11237</v>
      </c>
      <c r="X7003" s="51" t="s">
        <v>2359</v>
      </c>
    </row>
    <row r="7004" customFormat="false" ht="14.25" hidden="true" customHeight="false" outlineLevel="0" collapsed="false">
      <c r="A7004" s="49" t="s">
        <v>2349</v>
      </c>
      <c r="B7004" s="49" t="s">
        <v>2350</v>
      </c>
      <c r="C7004" s="49" t="s">
        <v>11781</v>
      </c>
      <c r="D7004" s="49" t="s">
        <v>2352</v>
      </c>
      <c r="E7004" s="49" t="str">
        <f aca="false">"5060458890191"</f>
        <v>5060458890191</v>
      </c>
      <c r="F7004" s="49" t="s">
        <v>3656</v>
      </c>
      <c r="G7004" s="49" t="n">
        <v>0</v>
      </c>
      <c r="H7004" s="0" t="n">
        <v>0</v>
      </c>
      <c r="M7004" s="51" t="s">
        <v>11770</v>
      </c>
      <c r="N7004" s="49" t="n">
        <v>0</v>
      </c>
      <c r="O7004" s="53" t="n">
        <v>45960.4160416667</v>
      </c>
      <c r="P7004" s="53" t="n">
        <v>45973.8850694444</v>
      </c>
      <c r="Q7004" s="53" t="n">
        <v>45960.4160416667</v>
      </c>
      <c r="R7004" s="0" t="n">
        <v>0</v>
      </c>
      <c r="S7004" s="51" t="s">
        <v>2401</v>
      </c>
      <c r="T7004" s="51" t="s">
        <v>2401</v>
      </c>
      <c r="U7004" s="0" t="str">
        <f aca="false">"5060458890191"</f>
        <v>5060458890191</v>
      </c>
      <c r="V7004" s="51" t="s">
        <v>2142</v>
      </c>
      <c r="W7004" s="51" t="s">
        <v>11664</v>
      </c>
      <c r="X7004" s="51" t="s">
        <v>2359</v>
      </c>
    </row>
    <row r="7005" customFormat="false" ht="14.25" hidden="true" customHeight="false" outlineLevel="0" collapsed="false">
      <c r="A7005" s="49" t="s">
        <v>2349</v>
      </c>
      <c r="B7005" s="49" t="s">
        <v>2350</v>
      </c>
      <c r="C7005" s="49" t="s">
        <v>11782</v>
      </c>
      <c r="D7005" s="49" t="s">
        <v>2352</v>
      </c>
      <c r="E7005" s="49" t="str">
        <f aca="false">"5060458890191"</f>
        <v>5060458890191</v>
      </c>
      <c r="F7005" s="49" t="s">
        <v>3656</v>
      </c>
      <c r="G7005" s="49" t="n">
        <v>0</v>
      </c>
      <c r="H7005" s="0" t="n">
        <v>0</v>
      </c>
      <c r="M7005" s="51" t="s">
        <v>11770</v>
      </c>
      <c r="N7005" s="49" t="n">
        <v>0</v>
      </c>
      <c r="O7005" s="53" t="n">
        <v>45960.4158796296</v>
      </c>
      <c r="P7005" s="53" t="n">
        <v>45973.8942013889</v>
      </c>
      <c r="Q7005" s="53" t="n">
        <v>45960.4158796296</v>
      </c>
      <c r="R7005" s="0" t="n">
        <v>0</v>
      </c>
      <c r="S7005" s="51" t="s">
        <v>2401</v>
      </c>
      <c r="T7005" s="51" t="s">
        <v>2401</v>
      </c>
      <c r="U7005" s="0" t="str">
        <f aca="false">"5060458890191"</f>
        <v>5060458890191</v>
      </c>
      <c r="V7005" s="51" t="s">
        <v>2142</v>
      </c>
      <c r="W7005" s="51" t="s">
        <v>10844</v>
      </c>
      <c r="X7005" s="51" t="s">
        <v>2359</v>
      </c>
    </row>
    <row r="7006" customFormat="false" ht="14.25" hidden="true" customHeight="false" outlineLevel="0" collapsed="false">
      <c r="A7006" s="49" t="s">
        <v>2349</v>
      </c>
      <c r="B7006" s="49" t="s">
        <v>2350</v>
      </c>
      <c r="C7006" s="49" t="s">
        <v>11783</v>
      </c>
      <c r="D7006" s="49" t="s">
        <v>2352</v>
      </c>
      <c r="E7006" s="49" t="str">
        <f aca="false">"5060458890191"</f>
        <v>5060458890191</v>
      </c>
      <c r="F7006" s="49" t="s">
        <v>3656</v>
      </c>
      <c r="G7006" s="49" t="n">
        <v>0</v>
      </c>
      <c r="H7006" s="0" t="n">
        <v>0</v>
      </c>
      <c r="M7006" s="51" t="s">
        <v>11770</v>
      </c>
      <c r="N7006" s="49" t="n">
        <v>0</v>
      </c>
      <c r="O7006" s="53" t="n">
        <v>45960.4153240741</v>
      </c>
      <c r="P7006" s="53" t="n">
        <v>45971.9678125</v>
      </c>
      <c r="Q7006" s="53" t="n">
        <v>45960.4153240741</v>
      </c>
      <c r="R7006" s="0" t="n">
        <v>0</v>
      </c>
      <c r="S7006" s="51" t="s">
        <v>2401</v>
      </c>
      <c r="T7006" s="51" t="s">
        <v>2401</v>
      </c>
      <c r="U7006" s="0" t="str">
        <f aca="false">"5060458890191"</f>
        <v>5060458890191</v>
      </c>
      <c r="V7006" s="51" t="s">
        <v>2142</v>
      </c>
      <c r="W7006" s="51" t="s">
        <v>4831</v>
      </c>
      <c r="X7006" s="51" t="s">
        <v>2359</v>
      </c>
    </row>
    <row r="7007" customFormat="false" ht="14.25" hidden="true" customHeight="false" outlineLevel="0" collapsed="false">
      <c r="A7007" s="49" t="s">
        <v>2349</v>
      </c>
      <c r="B7007" s="49" t="s">
        <v>2350</v>
      </c>
      <c r="C7007" s="49" t="s">
        <v>11784</v>
      </c>
      <c r="D7007" s="49" t="s">
        <v>2352</v>
      </c>
      <c r="E7007" s="49" t="str">
        <f aca="false">"5060458890191"</f>
        <v>5060458890191</v>
      </c>
      <c r="F7007" s="49" t="s">
        <v>3656</v>
      </c>
      <c r="G7007" s="49" t="n">
        <v>0</v>
      </c>
      <c r="H7007" s="0" t="n">
        <v>0</v>
      </c>
      <c r="M7007" s="51" t="s">
        <v>11770</v>
      </c>
      <c r="N7007" s="49" t="n">
        <v>0</v>
      </c>
      <c r="O7007" s="53" t="n">
        <v>45960.4151736111</v>
      </c>
      <c r="P7007" s="53" t="n">
        <v>45973.8863425926</v>
      </c>
      <c r="Q7007" s="53" t="n">
        <v>45960.4151736111</v>
      </c>
      <c r="R7007" s="0" t="n">
        <v>0</v>
      </c>
      <c r="S7007" s="51" t="s">
        <v>2401</v>
      </c>
      <c r="T7007" s="51" t="s">
        <v>2401</v>
      </c>
      <c r="U7007" s="0" t="str">
        <f aca="false">"5060458890191"</f>
        <v>5060458890191</v>
      </c>
      <c r="V7007" s="51" t="s">
        <v>2142</v>
      </c>
      <c r="W7007" s="51" t="s">
        <v>10251</v>
      </c>
      <c r="X7007" s="51" t="s">
        <v>2359</v>
      </c>
    </row>
    <row r="7008" customFormat="false" ht="14.25" hidden="true" customHeight="false" outlineLevel="0" collapsed="false">
      <c r="A7008" s="49" t="s">
        <v>2349</v>
      </c>
      <c r="B7008" s="49" t="s">
        <v>2350</v>
      </c>
      <c r="C7008" s="49" t="s">
        <v>11785</v>
      </c>
      <c r="D7008" s="49" t="s">
        <v>2352</v>
      </c>
      <c r="E7008" s="49" t="str">
        <f aca="false">"5060458890191"</f>
        <v>5060458890191</v>
      </c>
      <c r="F7008" s="49" t="s">
        <v>3656</v>
      </c>
      <c r="G7008" s="49" t="n">
        <v>0</v>
      </c>
      <c r="H7008" s="0" t="n">
        <v>0</v>
      </c>
      <c r="M7008" s="51" t="s">
        <v>11770</v>
      </c>
      <c r="N7008" s="49" t="n">
        <v>0</v>
      </c>
      <c r="O7008" s="53" t="n">
        <v>45960.4149305556</v>
      </c>
      <c r="P7008" s="53" t="n">
        <v>45973.9082175926</v>
      </c>
      <c r="Q7008" s="53" t="n">
        <v>45960.4149305556</v>
      </c>
      <c r="R7008" s="0" t="n">
        <v>0</v>
      </c>
      <c r="S7008" s="51" t="s">
        <v>2401</v>
      </c>
      <c r="T7008" s="51" t="s">
        <v>2401</v>
      </c>
      <c r="U7008" s="0" t="str">
        <f aca="false">"5060458890191"</f>
        <v>5060458890191</v>
      </c>
      <c r="V7008" s="51" t="s">
        <v>2142</v>
      </c>
      <c r="W7008" s="51" t="s">
        <v>10084</v>
      </c>
      <c r="X7008" s="51" t="s">
        <v>2359</v>
      </c>
    </row>
    <row r="7009" customFormat="false" ht="14.25" hidden="true" customHeight="false" outlineLevel="0" collapsed="false">
      <c r="A7009" s="49" t="s">
        <v>2349</v>
      </c>
      <c r="B7009" s="49" t="s">
        <v>2350</v>
      </c>
      <c r="C7009" s="49" t="s">
        <v>11786</v>
      </c>
      <c r="D7009" s="49" t="s">
        <v>2352</v>
      </c>
      <c r="E7009" s="49" t="str">
        <f aca="false">"5060458890191"</f>
        <v>5060458890191</v>
      </c>
      <c r="F7009" s="49" t="s">
        <v>3656</v>
      </c>
      <c r="G7009" s="49" t="n">
        <v>0</v>
      </c>
      <c r="H7009" s="0" t="n">
        <v>0</v>
      </c>
      <c r="M7009" s="51" t="s">
        <v>11770</v>
      </c>
      <c r="N7009" s="49" t="n">
        <v>0</v>
      </c>
      <c r="O7009" s="53" t="n">
        <v>45960.3749189815</v>
      </c>
      <c r="P7009" s="53" t="n">
        <v>45973.899849537</v>
      </c>
      <c r="Q7009" s="53" t="n">
        <v>45960.3749189815</v>
      </c>
      <c r="R7009" s="0" t="n">
        <v>0</v>
      </c>
      <c r="S7009" s="51" t="s">
        <v>2401</v>
      </c>
      <c r="T7009" s="51" t="s">
        <v>2401</v>
      </c>
      <c r="U7009" s="0" t="str">
        <f aca="false">"5060458890191"</f>
        <v>5060458890191</v>
      </c>
      <c r="V7009" s="51" t="s">
        <v>2142</v>
      </c>
      <c r="W7009" s="51" t="s">
        <v>11787</v>
      </c>
      <c r="X7009" s="51" t="s">
        <v>2359</v>
      </c>
    </row>
    <row r="7010" customFormat="false" ht="14.25" hidden="true" customHeight="false" outlineLevel="0" collapsed="false">
      <c r="A7010" s="49" t="s">
        <v>2349</v>
      </c>
      <c r="B7010" s="49" t="s">
        <v>2350</v>
      </c>
      <c r="C7010" s="49" t="s">
        <v>11788</v>
      </c>
      <c r="D7010" s="49" t="s">
        <v>2352</v>
      </c>
      <c r="E7010" s="49" t="str">
        <f aca="false">"5060458890191"</f>
        <v>5060458890191</v>
      </c>
      <c r="F7010" s="49" t="s">
        <v>3656</v>
      </c>
      <c r="G7010" s="49" t="n">
        <v>0</v>
      </c>
      <c r="H7010" s="0" t="n">
        <v>0</v>
      </c>
      <c r="M7010" s="51" t="s">
        <v>11770</v>
      </c>
      <c r="N7010" s="49" t="n">
        <v>0</v>
      </c>
      <c r="O7010" s="53" t="n">
        <v>45960.3751388889</v>
      </c>
      <c r="P7010" s="53" t="n">
        <v>45973.896400463</v>
      </c>
      <c r="Q7010" s="53" t="n">
        <v>45960.3751388889</v>
      </c>
      <c r="R7010" s="0" t="n">
        <v>0</v>
      </c>
      <c r="S7010" s="51" t="s">
        <v>2401</v>
      </c>
      <c r="T7010" s="51" t="s">
        <v>2401</v>
      </c>
      <c r="U7010" s="0" t="str">
        <f aca="false">"5060458890191"</f>
        <v>5060458890191</v>
      </c>
      <c r="V7010" s="51" t="s">
        <v>2142</v>
      </c>
      <c r="W7010" s="51" t="s">
        <v>11207</v>
      </c>
      <c r="X7010" s="51" t="s">
        <v>2359</v>
      </c>
    </row>
    <row r="7011" customFormat="false" ht="14.25" hidden="true" customHeight="false" outlineLevel="0" collapsed="false">
      <c r="A7011" s="49" t="s">
        <v>2349</v>
      </c>
      <c r="B7011" s="49" t="s">
        <v>2350</v>
      </c>
      <c r="C7011" s="49" t="s">
        <v>11789</v>
      </c>
      <c r="D7011" s="49" t="s">
        <v>2352</v>
      </c>
      <c r="E7011" s="49" t="str">
        <f aca="false">"5060458890191"</f>
        <v>5060458890191</v>
      </c>
      <c r="F7011" s="49" t="s">
        <v>3656</v>
      </c>
      <c r="G7011" s="49" t="n">
        <v>0</v>
      </c>
      <c r="H7011" s="0" t="n">
        <v>0</v>
      </c>
      <c r="M7011" s="51" t="s">
        <v>11770</v>
      </c>
      <c r="N7011" s="49" t="n">
        <v>0</v>
      </c>
      <c r="O7011" s="53" t="n">
        <v>45960.3753356482</v>
      </c>
      <c r="P7011" s="53" t="n">
        <v>45973.9012731482</v>
      </c>
      <c r="Q7011" s="53" t="n">
        <v>45960.3753356482</v>
      </c>
      <c r="R7011" s="0" t="n">
        <v>0</v>
      </c>
      <c r="S7011" s="51" t="s">
        <v>2401</v>
      </c>
      <c r="T7011" s="51" t="s">
        <v>2401</v>
      </c>
      <c r="U7011" s="0" t="str">
        <f aca="false">"5060458890191"</f>
        <v>5060458890191</v>
      </c>
      <c r="V7011" s="51" t="s">
        <v>2142</v>
      </c>
      <c r="W7011" s="51" t="s">
        <v>10726</v>
      </c>
      <c r="X7011" s="51" t="s">
        <v>2359</v>
      </c>
    </row>
    <row r="7012" customFormat="false" ht="14.25" hidden="true" customHeight="false" outlineLevel="0" collapsed="false">
      <c r="A7012" s="49" t="s">
        <v>2349</v>
      </c>
      <c r="B7012" s="49" t="s">
        <v>2350</v>
      </c>
      <c r="C7012" s="49" t="s">
        <v>11790</v>
      </c>
      <c r="D7012" s="49" t="s">
        <v>2352</v>
      </c>
      <c r="E7012" s="49" t="str">
        <f aca="false">"5060458890191"</f>
        <v>5060458890191</v>
      </c>
      <c r="F7012" s="49" t="s">
        <v>3656</v>
      </c>
      <c r="G7012" s="49" t="n">
        <v>0</v>
      </c>
      <c r="H7012" s="0" t="n">
        <v>0</v>
      </c>
      <c r="M7012" s="51" t="s">
        <v>11770</v>
      </c>
      <c r="N7012" s="49" t="n">
        <v>0</v>
      </c>
      <c r="O7012" s="53" t="n">
        <v>45960.3755787037</v>
      </c>
      <c r="P7012" s="53" t="n">
        <v>45974.9358680556</v>
      </c>
      <c r="Q7012" s="53" t="n">
        <v>45960.3755787037</v>
      </c>
      <c r="R7012" s="0" t="n">
        <v>0</v>
      </c>
      <c r="S7012" s="51" t="s">
        <v>2401</v>
      </c>
      <c r="T7012" s="51" t="s">
        <v>2401</v>
      </c>
      <c r="U7012" s="0" t="str">
        <f aca="false">"5060458890191"</f>
        <v>5060458890191</v>
      </c>
      <c r="V7012" s="51" t="s">
        <v>2142</v>
      </c>
      <c r="W7012" s="51" t="s">
        <v>4923</v>
      </c>
      <c r="X7012" s="51" t="s">
        <v>2359</v>
      </c>
    </row>
    <row r="7013" customFormat="false" ht="14.25" hidden="true" customHeight="false" outlineLevel="0" collapsed="false">
      <c r="A7013" s="49" t="s">
        <v>2349</v>
      </c>
      <c r="B7013" s="49" t="s">
        <v>2350</v>
      </c>
      <c r="C7013" s="49" t="s">
        <v>11791</v>
      </c>
      <c r="D7013" s="49" t="s">
        <v>2352</v>
      </c>
      <c r="E7013" s="49" t="str">
        <f aca="false">"5060458890191"</f>
        <v>5060458890191</v>
      </c>
      <c r="F7013" s="49" t="s">
        <v>3656</v>
      </c>
      <c r="G7013" s="49" t="n">
        <v>0</v>
      </c>
      <c r="H7013" s="0" t="n">
        <v>0</v>
      </c>
      <c r="M7013" s="51" t="s">
        <v>11770</v>
      </c>
      <c r="N7013" s="49" t="n">
        <v>0</v>
      </c>
      <c r="O7013" s="53" t="n">
        <v>45960.3758333333</v>
      </c>
      <c r="P7013" s="53" t="n">
        <v>45974.9340625</v>
      </c>
      <c r="Q7013" s="53" t="n">
        <v>45960.3758333333</v>
      </c>
      <c r="R7013" s="0" t="n">
        <v>0</v>
      </c>
      <c r="S7013" s="51" t="s">
        <v>2401</v>
      </c>
      <c r="T7013" s="51" t="s">
        <v>2401</v>
      </c>
      <c r="U7013" s="0" t="str">
        <f aca="false">"5060458890191"</f>
        <v>5060458890191</v>
      </c>
      <c r="V7013" s="51" t="s">
        <v>2142</v>
      </c>
      <c r="W7013" s="51" t="s">
        <v>4967</v>
      </c>
      <c r="X7013" s="51" t="s">
        <v>2359</v>
      </c>
    </row>
    <row r="7014" customFormat="false" ht="14.25" hidden="true" customHeight="false" outlineLevel="0" collapsed="false">
      <c r="A7014" s="49" t="s">
        <v>2349</v>
      </c>
      <c r="B7014" s="49" t="s">
        <v>2350</v>
      </c>
      <c r="C7014" s="49" t="s">
        <v>11792</v>
      </c>
      <c r="D7014" s="49" t="s">
        <v>2352</v>
      </c>
      <c r="E7014" s="49" t="str">
        <f aca="false">"5060458890191"</f>
        <v>5060458890191</v>
      </c>
      <c r="F7014" s="49" t="s">
        <v>3656</v>
      </c>
      <c r="G7014" s="49" t="n">
        <v>0</v>
      </c>
      <c r="H7014" s="0" t="n">
        <v>0</v>
      </c>
      <c r="M7014" s="51" t="s">
        <v>11770</v>
      </c>
      <c r="N7014" s="49" t="n">
        <v>0</v>
      </c>
      <c r="O7014" s="53" t="n">
        <v>45960.3760069445</v>
      </c>
      <c r="P7014" s="53" t="n">
        <v>45991.7575115741</v>
      </c>
      <c r="Q7014" s="53" t="n">
        <v>45960.3760069445</v>
      </c>
      <c r="R7014" s="0" t="n">
        <v>0</v>
      </c>
      <c r="S7014" s="51" t="s">
        <v>2401</v>
      </c>
      <c r="T7014" s="51" t="s">
        <v>2401</v>
      </c>
      <c r="U7014" s="0" t="str">
        <f aca="false">"5060458890191"</f>
        <v>5060458890191</v>
      </c>
      <c r="V7014" s="51" t="s">
        <v>2142</v>
      </c>
      <c r="W7014" s="51" t="s">
        <v>8538</v>
      </c>
      <c r="X7014" s="51" t="s">
        <v>2359</v>
      </c>
    </row>
    <row r="7015" customFormat="false" ht="14.25" hidden="true" customHeight="false" outlineLevel="0" collapsed="false">
      <c r="A7015" s="49" t="s">
        <v>2349</v>
      </c>
      <c r="B7015" s="49" t="s">
        <v>2350</v>
      </c>
      <c r="C7015" s="49" t="s">
        <v>11793</v>
      </c>
      <c r="D7015" s="49" t="s">
        <v>2352</v>
      </c>
      <c r="E7015" s="49" t="str">
        <f aca="false">"5060458890191"</f>
        <v>5060458890191</v>
      </c>
      <c r="F7015" s="49" t="s">
        <v>3656</v>
      </c>
      <c r="G7015" s="49" t="n">
        <v>0</v>
      </c>
      <c r="H7015" s="0" t="n">
        <v>0</v>
      </c>
      <c r="M7015" s="51" t="s">
        <v>11770</v>
      </c>
      <c r="N7015" s="49" t="n">
        <v>0</v>
      </c>
      <c r="O7015" s="53" t="n">
        <v>45960.3764930556</v>
      </c>
      <c r="P7015" s="53" t="n">
        <v>45974.9323263889</v>
      </c>
      <c r="Q7015" s="53" t="n">
        <v>45960.3764930556</v>
      </c>
      <c r="R7015" s="0" t="n">
        <v>0</v>
      </c>
      <c r="S7015" s="51" t="s">
        <v>2401</v>
      </c>
      <c r="T7015" s="51" t="s">
        <v>2401</v>
      </c>
      <c r="U7015" s="0" t="str">
        <f aca="false">"5060458890191"</f>
        <v>5060458890191</v>
      </c>
      <c r="V7015" s="51" t="s">
        <v>2142</v>
      </c>
      <c r="W7015" s="51" t="s">
        <v>11794</v>
      </c>
      <c r="X7015" s="51" t="s">
        <v>2359</v>
      </c>
    </row>
    <row r="7016" customFormat="false" ht="14.25" hidden="true" customHeight="false" outlineLevel="0" collapsed="false">
      <c r="A7016" s="49" t="s">
        <v>2349</v>
      </c>
      <c r="B7016" s="49" t="s">
        <v>2350</v>
      </c>
      <c r="C7016" s="49" t="s">
        <v>11795</v>
      </c>
      <c r="D7016" s="49" t="s">
        <v>2352</v>
      </c>
      <c r="E7016" s="49" t="str">
        <f aca="false">"5060458890191"</f>
        <v>5060458890191</v>
      </c>
      <c r="F7016" s="49" t="s">
        <v>3656</v>
      </c>
      <c r="G7016" s="49" t="n">
        <v>0</v>
      </c>
      <c r="H7016" s="0" t="n">
        <v>0</v>
      </c>
      <c r="M7016" s="51" t="s">
        <v>11770</v>
      </c>
      <c r="N7016" s="49" t="n">
        <v>0</v>
      </c>
      <c r="O7016" s="53" t="n">
        <v>45960.3746064815</v>
      </c>
      <c r="P7016" s="53" t="n">
        <v>45991.7456597222</v>
      </c>
      <c r="Q7016" s="53" t="n">
        <v>45960.3746064815</v>
      </c>
      <c r="R7016" s="0" t="n">
        <v>0</v>
      </c>
      <c r="S7016" s="51" t="s">
        <v>2401</v>
      </c>
      <c r="T7016" s="51" t="s">
        <v>2401</v>
      </c>
      <c r="U7016" s="0" t="str">
        <f aca="false">"5060458890191"</f>
        <v>5060458890191</v>
      </c>
      <c r="V7016" s="51" t="s">
        <v>2142</v>
      </c>
      <c r="W7016" s="51" t="s">
        <v>4833</v>
      </c>
      <c r="X7016" s="51" t="s">
        <v>2359</v>
      </c>
    </row>
    <row r="7017" customFormat="false" ht="14.25" hidden="true" customHeight="false" outlineLevel="0" collapsed="false">
      <c r="A7017" s="49" t="s">
        <v>2349</v>
      </c>
      <c r="B7017" s="49" t="s">
        <v>2350</v>
      </c>
      <c r="C7017" s="49" t="s">
        <v>11796</v>
      </c>
      <c r="D7017" s="49" t="s">
        <v>2352</v>
      </c>
      <c r="E7017" s="49" t="str">
        <f aca="false">"5060458890191"</f>
        <v>5060458890191</v>
      </c>
      <c r="F7017" s="49" t="s">
        <v>3656</v>
      </c>
      <c r="G7017" s="49" t="n">
        <v>0</v>
      </c>
      <c r="H7017" s="0" t="n">
        <v>0</v>
      </c>
      <c r="M7017" s="51" t="s">
        <v>11770</v>
      </c>
      <c r="N7017" s="49" t="n">
        <v>0</v>
      </c>
      <c r="O7017" s="53" t="n">
        <v>45960.3743981481</v>
      </c>
      <c r="P7017" s="53" t="n">
        <v>45973.8952083333</v>
      </c>
      <c r="Q7017" s="53" t="n">
        <v>45960.3743981481</v>
      </c>
      <c r="R7017" s="0" t="n">
        <v>0</v>
      </c>
      <c r="S7017" s="51" t="s">
        <v>2401</v>
      </c>
      <c r="T7017" s="51" t="s">
        <v>2401</v>
      </c>
      <c r="U7017" s="0" t="str">
        <f aca="false">"5060458890191"</f>
        <v>5060458890191</v>
      </c>
      <c r="V7017" s="51" t="s">
        <v>2142</v>
      </c>
      <c r="W7017" s="51" t="s">
        <v>11353</v>
      </c>
      <c r="X7017" s="51" t="s">
        <v>2359</v>
      </c>
    </row>
    <row r="7018" customFormat="false" ht="14.25" hidden="true" customHeight="false" outlineLevel="0" collapsed="false">
      <c r="A7018" s="49" t="s">
        <v>2349</v>
      </c>
      <c r="B7018" s="49" t="s">
        <v>2350</v>
      </c>
      <c r="C7018" s="49" t="s">
        <v>11797</v>
      </c>
      <c r="D7018" s="49" t="s">
        <v>2352</v>
      </c>
      <c r="E7018" s="49" t="str">
        <f aca="false">"5060458890191"</f>
        <v>5060458890191</v>
      </c>
      <c r="F7018" s="49" t="s">
        <v>3656</v>
      </c>
      <c r="G7018" s="49" t="n">
        <v>0</v>
      </c>
      <c r="H7018" s="0" t="n">
        <v>0</v>
      </c>
      <c r="M7018" s="51" t="s">
        <v>11770</v>
      </c>
      <c r="N7018" s="49" t="n">
        <v>0</v>
      </c>
      <c r="O7018" s="53" t="n">
        <v>45960.3741898148</v>
      </c>
      <c r="P7018" s="53" t="n">
        <v>45965.7635416667</v>
      </c>
      <c r="Q7018" s="53" t="n">
        <v>45960.3741898148</v>
      </c>
      <c r="R7018" s="0" t="n">
        <v>0</v>
      </c>
      <c r="S7018" s="51" t="s">
        <v>2401</v>
      </c>
      <c r="T7018" s="51" t="s">
        <v>2401</v>
      </c>
      <c r="U7018" s="0" t="str">
        <f aca="false">"5060458890191"</f>
        <v>5060458890191</v>
      </c>
      <c r="V7018" s="51" t="s">
        <v>2142</v>
      </c>
      <c r="W7018" s="51" t="s">
        <v>11658</v>
      </c>
      <c r="X7018" s="51" t="s">
        <v>2359</v>
      </c>
    </row>
    <row r="7019" customFormat="false" ht="14.25" hidden="true" customHeight="false" outlineLevel="0" collapsed="false">
      <c r="A7019" s="49" t="s">
        <v>2349</v>
      </c>
      <c r="B7019" s="49" t="s">
        <v>2350</v>
      </c>
      <c r="C7019" s="49" t="s">
        <v>11798</v>
      </c>
      <c r="D7019" s="49" t="s">
        <v>2352</v>
      </c>
      <c r="E7019" s="49" t="str">
        <f aca="false">"5060458890191"</f>
        <v>5060458890191</v>
      </c>
      <c r="F7019" s="49" t="s">
        <v>3656</v>
      </c>
      <c r="G7019" s="49" t="n">
        <v>0</v>
      </c>
      <c r="H7019" s="0" t="n">
        <v>0</v>
      </c>
      <c r="M7019" s="51" t="s">
        <v>11770</v>
      </c>
      <c r="N7019" s="49" t="n">
        <v>0</v>
      </c>
      <c r="O7019" s="53" t="n">
        <v>45960.3740046296</v>
      </c>
      <c r="P7019" s="53" t="n">
        <v>45974.9065856482</v>
      </c>
      <c r="Q7019" s="53" t="n">
        <v>45960.3740046296</v>
      </c>
      <c r="R7019" s="0" t="n">
        <v>0</v>
      </c>
      <c r="S7019" s="51" t="s">
        <v>2401</v>
      </c>
      <c r="T7019" s="51" t="s">
        <v>2401</v>
      </c>
      <c r="U7019" s="0" t="str">
        <f aca="false">"5060458890191"</f>
        <v>5060458890191</v>
      </c>
      <c r="V7019" s="51" t="s">
        <v>2142</v>
      </c>
      <c r="W7019" s="51" t="s">
        <v>11227</v>
      </c>
      <c r="X7019" s="51" t="s">
        <v>2359</v>
      </c>
    </row>
    <row r="7020" customFormat="false" ht="14.25" hidden="true" customHeight="false" outlineLevel="0" collapsed="false">
      <c r="A7020" s="49" t="s">
        <v>2349</v>
      </c>
      <c r="B7020" s="49" t="s">
        <v>2350</v>
      </c>
      <c r="C7020" s="49" t="s">
        <v>11799</v>
      </c>
      <c r="D7020" s="49" t="s">
        <v>2352</v>
      </c>
      <c r="E7020" s="49" t="str">
        <f aca="false">"5060458890191"</f>
        <v>5060458890191</v>
      </c>
      <c r="F7020" s="49" t="s">
        <v>3656</v>
      </c>
      <c r="G7020" s="49" t="n">
        <v>0</v>
      </c>
      <c r="H7020" s="0" t="n">
        <v>0</v>
      </c>
      <c r="M7020" s="51" t="s">
        <v>11770</v>
      </c>
      <c r="N7020" s="49" t="n">
        <v>0</v>
      </c>
      <c r="O7020" s="53" t="n">
        <v>45960.3737037037</v>
      </c>
      <c r="P7020" s="53" t="n">
        <v>45973.8981597222</v>
      </c>
      <c r="Q7020" s="53" t="n">
        <v>45960.3737037037</v>
      </c>
      <c r="R7020" s="0" t="n">
        <v>0</v>
      </c>
      <c r="S7020" s="51" t="s">
        <v>2401</v>
      </c>
      <c r="T7020" s="51" t="s">
        <v>2401</v>
      </c>
      <c r="U7020" s="0" t="str">
        <f aca="false">"5060458890191"</f>
        <v>5060458890191</v>
      </c>
      <c r="V7020" s="51" t="s">
        <v>2142</v>
      </c>
      <c r="W7020" s="51" t="s">
        <v>11225</v>
      </c>
      <c r="X7020" s="51" t="s">
        <v>2359</v>
      </c>
    </row>
    <row r="7021" customFormat="false" ht="14.25" hidden="true" customHeight="false" outlineLevel="0" collapsed="false">
      <c r="A7021" s="49" t="s">
        <v>2349</v>
      </c>
      <c r="B7021" s="49" t="s">
        <v>2350</v>
      </c>
      <c r="C7021" s="49" t="s">
        <v>11800</v>
      </c>
      <c r="D7021" s="49" t="s">
        <v>2352</v>
      </c>
      <c r="E7021" s="49" t="str">
        <f aca="false">"5060458890191"</f>
        <v>5060458890191</v>
      </c>
      <c r="F7021" s="49" t="s">
        <v>3656</v>
      </c>
      <c r="G7021" s="49" t="n">
        <v>0</v>
      </c>
      <c r="H7021" s="0" t="n">
        <v>0</v>
      </c>
      <c r="M7021" s="51" t="s">
        <v>11770</v>
      </c>
      <c r="N7021" s="49" t="n">
        <v>0</v>
      </c>
      <c r="O7021" s="53" t="n">
        <v>45960.3734722222</v>
      </c>
      <c r="P7021" s="53" t="n">
        <v>45974.9049421296</v>
      </c>
      <c r="Q7021" s="53" t="n">
        <v>45960.3734722222</v>
      </c>
      <c r="R7021" s="0" t="n">
        <v>0</v>
      </c>
      <c r="S7021" s="51" t="s">
        <v>2401</v>
      </c>
      <c r="T7021" s="51" t="s">
        <v>2401</v>
      </c>
      <c r="U7021" s="0" t="str">
        <f aca="false">"5060458890191"</f>
        <v>5060458890191</v>
      </c>
      <c r="V7021" s="51" t="s">
        <v>2142</v>
      </c>
      <c r="W7021" s="51" t="s">
        <v>11801</v>
      </c>
      <c r="X7021" s="51" t="s">
        <v>2359</v>
      </c>
    </row>
    <row r="7022" customFormat="false" ht="14.25" hidden="true" customHeight="false" outlineLevel="0" collapsed="false">
      <c r="A7022" s="49" t="s">
        <v>2349</v>
      </c>
      <c r="B7022" s="49" t="s">
        <v>2350</v>
      </c>
      <c r="C7022" s="49" t="s">
        <v>11802</v>
      </c>
      <c r="D7022" s="49" t="s">
        <v>2352</v>
      </c>
      <c r="E7022" s="49" t="str">
        <f aca="false">"5060458890191"</f>
        <v>5060458890191</v>
      </c>
      <c r="F7022" s="49" t="s">
        <v>3656</v>
      </c>
      <c r="G7022" s="49" t="n">
        <v>0</v>
      </c>
      <c r="H7022" s="0" t="n">
        <v>0</v>
      </c>
      <c r="M7022" s="51" t="s">
        <v>11770</v>
      </c>
      <c r="N7022" s="49" t="n">
        <v>0</v>
      </c>
      <c r="O7022" s="53" t="n">
        <v>45960.3729976852</v>
      </c>
      <c r="P7022" s="53" t="n">
        <v>45974.9299189815</v>
      </c>
      <c r="Q7022" s="53" t="n">
        <v>45960.3729976852</v>
      </c>
      <c r="R7022" s="0" t="n">
        <v>0</v>
      </c>
      <c r="S7022" s="51" t="s">
        <v>2401</v>
      </c>
      <c r="T7022" s="51" t="s">
        <v>2401</v>
      </c>
      <c r="U7022" s="0" t="str">
        <f aca="false">"5060458890191"</f>
        <v>5060458890191</v>
      </c>
      <c r="V7022" s="51" t="s">
        <v>2142</v>
      </c>
      <c r="W7022" s="51" t="s">
        <v>4949</v>
      </c>
      <c r="X7022" s="51" t="s">
        <v>2359</v>
      </c>
    </row>
    <row r="7023" customFormat="false" ht="14.25" hidden="true" customHeight="false" outlineLevel="0" collapsed="false">
      <c r="A7023" s="49" t="s">
        <v>2349</v>
      </c>
      <c r="B7023" s="49" t="s">
        <v>2350</v>
      </c>
      <c r="C7023" s="49" t="s">
        <v>11803</v>
      </c>
      <c r="D7023" s="49" t="s">
        <v>2352</v>
      </c>
      <c r="E7023" s="49" t="s">
        <v>3633</v>
      </c>
      <c r="F7023" s="49" t="s">
        <v>3634</v>
      </c>
      <c r="G7023" s="49" t="n">
        <v>0</v>
      </c>
      <c r="H7023" s="0" t="n">
        <v>0</v>
      </c>
      <c r="M7023" s="51" t="s">
        <v>3660</v>
      </c>
      <c r="N7023" s="49" t="n">
        <v>0</v>
      </c>
      <c r="O7023" s="53" t="n">
        <v>45973.4214351852</v>
      </c>
      <c r="P7023" s="53" t="n">
        <v>45987.4758333333</v>
      </c>
      <c r="Q7023" s="53" t="n">
        <v>45973.4214351852</v>
      </c>
      <c r="R7023" s="0" t="n">
        <v>0</v>
      </c>
      <c r="S7023" s="51" t="s">
        <v>2356</v>
      </c>
      <c r="T7023" s="51" t="s">
        <v>2356</v>
      </c>
      <c r="U7023" s="51" t="s">
        <v>3633</v>
      </c>
      <c r="V7023" s="51" t="s">
        <v>2357</v>
      </c>
      <c r="W7023" s="51" t="s">
        <v>3699</v>
      </c>
      <c r="X7023" s="51" t="s">
        <v>2359</v>
      </c>
    </row>
    <row r="7024" customFormat="false" ht="14.25" hidden="true" customHeight="false" outlineLevel="0" collapsed="false">
      <c r="A7024" s="49" t="s">
        <v>2349</v>
      </c>
      <c r="B7024" s="49" t="s">
        <v>2350</v>
      </c>
      <c r="C7024" s="49" t="s">
        <v>11804</v>
      </c>
      <c r="D7024" s="49" t="s">
        <v>2352</v>
      </c>
      <c r="E7024" s="49" t="s">
        <v>3633</v>
      </c>
      <c r="F7024" s="49" t="s">
        <v>3634</v>
      </c>
      <c r="G7024" s="49" t="n">
        <v>0</v>
      </c>
      <c r="H7024" s="0" t="n">
        <v>0</v>
      </c>
      <c r="M7024" s="51" t="s">
        <v>3660</v>
      </c>
      <c r="N7024" s="49" t="n">
        <v>0</v>
      </c>
      <c r="O7024" s="53" t="n">
        <v>45973.4205439815</v>
      </c>
      <c r="P7024" s="53" t="n">
        <v>46040.6091782407</v>
      </c>
      <c r="Q7024" s="53" t="n">
        <v>45973.4205439815</v>
      </c>
      <c r="R7024" s="0" t="n">
        <v>0</v>
      </c>
      <c r="S7024" s="51" t="s">
        <v>2356</v>
      </c>
      <c r="T7024" s="51" t="s">
        <v>2356</v>
      </c>
      <c r="U7024" s="51" t="s">
        <v>3633</v>
      </c>
      <c r="V7024" s="51" t="s">
        <v>2357</v>
      </c>
      <c r="W7024" s="51" t="s">
        <v>8880</v>
      </c>
      <c r="X7024" s="51" t="s">
        <v>2359</v>
      </c>
    </row>
    <row r="7025" customFormat="false" ht="14.25" hidden="true" customHeight="false" outlineLevel="0" collapsed="false">
      <c r="A7025" s="49" t="s">
        <v>2349</v>
      </c>
      <c r="B7025" s="49" t="s">
        <v>2350</v>
      </c>
      <c r="C7025" s="49" t="s">
        <v>11805</v>
      </c>
      <c r="D7025" s="49" t="s">
        <v>2352</v>
      </c>
      <c r="E7025" s="49" t="s">
        <v>3633</v>
      </c>
      <c r="F7025" s="49" t="s">
        <v>3634</v>
      </c>
      <c r="G7025" s="49" t="n">
        <v>0</v>
      </c>
      <c r="H7025" s="0" t="n">
        <v>0</v>
      </c>
      <c r="M7025" s="51" t="s">
        <v>3660</v>
      </c>
      <c r="N7025" s="49" t="n">
        <v>0</v>
      </c>
      <c r="O7025" s="53" t="n">
        <v>45973.4202430556</v>
      </c>
      <c r="P7025" s="53" t="n">
        <v>46055.4296412037</v>
      </c>
      <c r="Q7025" s="53" t="n">
        <v>45973.4202430556</v>
      </c>
      <c r="R7025" s="0" t="n">
        <v>0</v>
      </c>
      <c r="S7025" s="51" t="s">
        <v>2356</v>
      </c>
      <c r="T7025" s="51" t="s">
        <v>2356</v>
      </c>
      <c r="U7025" s="51" t="s">
        <v>3633</v>
      </c>
      <c r="V7025" s="51" t="s">
        <v>2357</v>
      </c>
      <c r="W7025" s="51" t="s">
        <v>11806</v>
      </c>
      <c r="X7025" s="51" t="s">
        <v>2359</v>
      </c>
    </row>
    <row r="7026" customFormat="false" ht="14.25" hidden="true" customHeight="false" outlineLevel="0" collapsed="false">
      <c r="A7026" s="49" t="s">
        <v>2349</v>
      </c>
      <c r="B7026" s="49" t="s">
        <v>2350</v>
      </c>
      <c r="C7026" s="49" t="s">
        <v>11807</v>
      </c>
      <c r="D7026" s="49" t="s">
        <v>2352</v>
      </c>
      <c r="E7026" s="49" t="s">
        <v>3633</v>
      </c>
      <c r="F7026" s="49" t="s">
        <v>3634</v>
      </c>
      <c r="G7026" s="49" t="n">
        <v>0</v>
      </c>
      <c r="H7026" s="0" t="n">
        <v>0</v>
      </c>
      <c r="M7026" s="51" t="s">
        <v>3660</v>
      </c>
      <c r="N7026" s="49" t="n">
        <v>0</v>
      </c>
      <c r="O7026" s="53" t="n">
        <v>45973.4191550926</v>
      </c>
      <c r="P7026" s="53" t="n">
        <v>45985.6293171296</v>
      </c>
      <c r="Q7026" s="53" t="n">
        <v>45973.4191550926</v>
      </c>
      <c r="R7026" s="0" t="n">
        <v>0</v>
      </c>
      <c r="S7026" s="51" t="s">
        <v>2356</v>
      </c>
      <c r="T7026" s="51" t="s">
        <v>2356</v>
      </c>
      <c r="U7026" s="51" t="s">
        <v>3633</v>
      </c>
      <c r="V7026" s="51" t="s">
        <v>2357</v>
      </c>
      <c r="W7026" s="51" t="s">
        <v>3699</v>
      </c>
      <c r="X7026" s="51" t="s">
        <v>2359</v>
      </c>
    </row>
    <row r="7027" customFormat="false" ht="14.25" hidden="true" customHeight="false" outlineLevel="0" collapsed="false">
      <c r="A7027" s="49" t="s">
        <v>2349</v>
      </c>
      <c r="B7027" s="49" t="s">
        <v>2350</v>
      </c>
      <c r="C7027" s="49" t="s">
        <v>11808</v>
      </c>
      <c r="D7027" s="49" t="s">
        <v>2352</v>
      </c>
      <c r="E7027" s="49" t="s">
        <v>3633</v>
      </c>
      <c r="F7027" s="49" t="s">
        <v>3634</v>
      </c>
      <c r="G7027" s="49" t="n">
        <v>0</v>
      </c>
      <c r="H7027" s="0" t="n">
        <v>0</v>
      </c>
      <c r="M7027" s="51" t="s">
        <v>3660</v>
      </c>
      <c r="N7027" s="49" t="n">
        <v>0</v>
      </c>
      <c r="O7027" s="53" t="n">
        <v>45973.4194791667</v>
      </c>
      <c r="P7027" s="53" t="n">
        <v>46029.4086458333</v>
      </c>
      <c r="Q7027" s="53" t="n">
        <v>45973.4194791667</v>
      </c>
      <c r="R7027" s="0" t="n">
        <v>0</v>
      </c>
      <c r="S7027" s="51" t="s">
        <v>2356</v>
      </c>
      <c r="T7027" s="51" t="s">
        <v>2356</v>
      </c>
      <c r="U7027" s="51" t="s">
        <v>3633</v>
      </c>
      <c r="V7027" s="51" t="s">
        <v>2357</v>
      </c>
      <c r="W7027" s="51" t="s">
        <v>4361</v>
      </c>
      <c r="X7027" s="51" t="s">
        <v>2359</v>
      </c>
    </row>
    <row r="7028" customFormat="false" ht="14.25" hidden="true" customHeight="false" outlineLevel="0" collapsed="false">
      <c r="A7028" s="49" t="s">
        <v>2349</v>
      </c>
      <c r="B7028" s="49" t="s">
        <v>2350</v>
      </c>
      <c r="C7028" s="49" t="s">
        <v>11809</v>
      </c>
      <c r="D7028" s="49" t="s">
        <v>2352</v>
      </c>
      <c r="E7028" s="49" t="s">
        <v>3633</v>
      </c>
      <c r="F7028" s="49" t="s">
        <v>3634</v>
      </c>
      <c r="G7028" s="49" t="n">
        <v>0</v>
      </c>
      <c r="H7028" s="0" t="n">
        <v>0</v>
      </c>
      <c r="M7028" s="51" t="s">
        <v>3660</v>
      </c>
      <c r="N7028" s="49" t="n">
        <v>0</v>
      </c>
      <c r="O7028" s="53" t="n">
        <v>45973.4180324074</v>
      </c>
      <c r="P7028" s="53" t="n">
        <v>46046.5449074074</v>
      </c>
      <c r="Q7028" s="53" t="n">
        <v>45973.4180324074</v>
      </c>
      <c r="R7028" s="0" t="n">
        <v>0</v>
      </c>
      <c r="S7028" s="51" t="s">
        <v>2356</v>
      </c>
      <c r="T7028" s="51" t="s">
        <v>2356</v>
      </c>
      <c r="U7028" s="51" t="s">
        <v>3633</v>
      </c>
      <c r="V7028" s="51" t="s">
        <v>2357</v>
      </c>
      <c r="W7028" s="51" t="s">
        <v>11810</v>
      </c>
      <c r="X7028" s="51" t="s">
        <v>2359</v>
      </c>
    </row>
    <row r="7029" customFormat="false" ht="14.25" hidden="true" customHeight="false" outlineLevel="0" collapsed="false">
      <c r="A7029" s="49" t="s">
        <v>2349</v>
      </c>
      <c r="B7029" s="49" t="s">
        <v>2350</v>
      </c>
      <c r="C7029" s="49" t="s">
        <v>11811</v>
      </c>
      <c r="D7029" s="49" t="s">
        <v>2352</v>
      </c>
      <c r="E7029" s="49" t="s">
        <v>3633</v>
      </c>
      <c r="F7029" s="49" t="s">
        <v>3634</v>
      </c>
      <c r="G7029" s="49" t="n">
        <v>0</v>
      </c>
      <c r="H7029" s="0" t="n">
        <v>0</v>
      </c>
      <c r="M7029" s="51" t="s">
        <v>3660</v>
      </c>
      <c r="N7029" s="49" t="n">
        <v>0</v>
      </c>
      <c r="O7029" s="53" t="n">
        <v>45973.4171643519</v>
      </c>
      <c r="P7029" s="53" t="n">
        <v>46046.5443865741</v>
      </c>
      <c r="Q7029" s="53" t="n">
        <v>45973.4171643519</v>
      </c>
      <c r="R7029" s="0" t="n">
        <v>0</v>
      </c>
      <c r="S7029" s="51" t="s">
        <v>2356</v>
      </c>
      <c r="T7029" s="51" t="s">
        <v>2356</v>
      </c>
      <c r="U7029" s="51" t="s">
        <v>3633</v>
      </c>
      <c r="V7029" s="51" t="s">
        <v>2357</v>
      </c>
      <c r="W7029" s="51" t="s">
        <v>4020</v>
      </c>
      <c r="X7029" s="51" t="s">
        <v>2359</v>
      </c>
    </row>
    <row r="7030" customFormat="false" ht="14.25" hidden="true" customHeight="false" outlineLevel="0" collapsed="false">
      <c r="A7030" s="49" t="s">
        <v>2349</v>
      </c>
      <c r="B7030" s="49" t="s">
        <v>2350</v>
      </c>
      <c r="C7030" s="49" t="s">
        <v>11812</v>
      </c>
      <c r="D7030" s="49" t="s">
        <v>2352</v>
      </c>
      <c r="E7030" s="49" t="s">
        <v>3633</v>
      </c>
      <c r="F7030" s="49" t="s">
        <v>3634</v>
      </c>
      <c r="G7030" s="49" t="n">
        <v>0</v>
      </c>
      <c r="H7030" s="0" t="n">
        <v>0</v>
      </c>
      <c r="M7030" s="51" t="s">
        <v>3660</v>
      </c>
      <c r="N7030" s="49" t="n">
        <v>0</v>
      </c>
      <c r="O7030" s="53" t="n">
        <v>45973.4167708333</v>
      </c>
      <c r="P7030" s="53" t="n">
        <v>46046.5446412037</v>
      </c>
      <c r="Q7030" s="53" t="n">
        <v>45973.4167708333</v>
      </c>
      <c r="R7030" s="0" t="n">
        <v>0</v>
      </c>
      <c r="S7030" s="51" t="s">
        <v>2356</v>
      </c>
      <c r="T7030" s="51" t="s">
        <v>2356</v>
      </c>
      <c r="U7030" s="51" t="s">
        <v>3633</v>
      </c>
      <c r="V7030" s="51" t="s">
        <v>2357</v>
      </c>
      <c r="W7030" s="51" t="s">
        <v>7201</v>
      </c>
      <c r="X7030" s="51" t="s">
        <v>2359</v>
      </c>
    </row>
    <row r="7031" customFormat="false" ht="14.25" hidden="true" customHeight="false" outlineLevel="0" collapsed="false">
      <c r="A7031" s="49" t="s">
        <v>2349</v>
      </c>
      <c r="B7031" s="49" t="s">
        <v>2350</v>
      </c>
      <c r="C7031" s="49" t="s">
        <v>11813</v>
      </c>
      <c r="D7031" s="49" t="s">
        <v>2352</v>
      </c>
      <c r="E7031" s="49" t="s">
        <v>3633</v>
      </c>
      <c r="F7031" s="49" t="s">
        <v>3634</v>
      </c>
      <c r="G7031" s="49" t="n">
        <v>0</v>
      </c>
      <c r="H7031" s="0" t="n">
        <v>0</v>
      </c>
      <c r="M7031" s="51" t="s">
        <v>3660</v>
      </c>
      <c r="N7031" s="49" t="n">
        <v>0</v>
      </c>
      <c r="O7031" s="53" t="n">
        <v>45973.415</v>
      </c>
      <c r="P7031" s="53" t="n">
        <v>46018.4808796296</v>
      </c>
      <c r="Q7031" s="53" t="n">
        <v>45973.415</v>
      </c>
      <c r="R7031" s="0" t="n">
        <v>0</v>
      </c>
      <c r="S7031" s="51" t="s">
        <v>2356</v>
      </c>
      <c r="T7031" s="51" t="s">
        <v>2356</v>
      </c>
      <c r="U7031" s="51" t="s">
        <v>3633</v>
      </c>
      <c r="V7031" s="51" t="s">
        <v>2357</v>
      </c>
      <c r="W7031" s="51" t="s">
        <v>11814</v>
      </c>
      <c r="X7031" s="51" t="s">
        <v>2359</v>
      </c>
    </row>
    <row r="7032" customFormat="false" ht="14.25" hidden="true" customHeight="false" outlineLevel="0" collapsed="false">
      <c r="A7032" s="49" t="s">
        <v>2349</v>
      </c>
      <c r="B7032" s="49" t="s">
        <v>2350</v>
      </c>
      <c r="C7032" s="49" t="s">
        <v>11815</v>
      </c>
      <c r="D7032" s="49" t="s">
        <v>2352</v>
      </c>
      <c r="E7032" s="49" t="s">
        <v>3633</v>
      </c>
      <c r="F7032" s="49" t="s">
        <v>3634</v>
      </c>
      <c r="G7032" s="49" t="n">
        <v>0</v>
      </c>
      <c r="H7032" s="0" t="n">
        <v>0</v>
      </c>
      <c r="M7032" s="51" t="s">
        <v>3660</v>
      </c>
      <c r="N7032" s="49" t="n">
        <v>0</v>
      </c>
      <c r="O7032" s="53" t="n">
        <v>45973.4146180556</v>
      </c>
      <c r="P7032" s="53" t="n">
        <v>46029.4084837963</v>
      </c>
      <c r="Q7032" s="53" t="n">
        <v>45973.4146180556</v>
      </c>
      <c r="R7032" s="0" t="n">
        <v>0</v>
      </c>
      <c r="S7032" s="51" t="s">
        <v>2356</v>
      </c>
      <c r="T7032" s="51" t="s">
        <v>2356</v>
      </c>
      <c r="U7032" s="51" t="s">
        <v>3633</v>
      </c>
      <c r="V7032" s="51" t="s">
        <v>2357</v>
      </c>
      <c r="W7032" s="51" t="s">
        <v>5324</v>
      </c>
      <c r="X7032" s="51" t="s">
        <v>2359</v>
      </c>
    </row>
    <row r="7033" customFormat="false" ht="14.25" hidden="true" customHeight="false" outlineLevel="0" collapsed="false">
      <c r="A7033" s="49" t="s">
        <v>2349</v>
      </c>
      <c r="B7033" s="49" t="s">
        <v>2350</v>
      </c>
      <c r="C7033" s="49" t="s">
        <v>11816</v>
      </c>
      <c r="D7033" s="49" t="s">
        <v>2352</v>
      </c>
      <c r="E7033" s="49" t="s">
        <v>3633</v>
      </c>
      <c r="F7033" s="49" t="s">
        <v>3634</v>
      </c>
      <c r="G7033" s="49" t="n">
        <v>0</v>
      </c>
      <c r="H7033" s="0" t="n">
        <v>0</v>
      </c>
      <c r="M7033" s="51" t="s">
        <v>3660</v>
      </c>
      <c r="N7033" s="49" t="n">
        <v>0</v>
      </c>
      <c r="O7033" s="53" t="n">
        <v>45973.4138310185</v>
      </c>
      <c r="P7033" s="53" t="n">
        <v>46030.48375</v>
      </c>
      <c r="Q7033" s="53" t="n">
        <v>45973.4138310185</v>
      </c>
      <c r="R7033" s="0" t="n">
        <v>0</v>
      </c>
      <c r="S7033" s="51" t="s">
        <v>2356</v>
      </c>
      <c r="T7033" s="51" t="s">
        <v>2356</v>
      </c>
      <c r="U7033" s="51" t="s">
        <v>3633</v>
      </c>
      <c r="V7033" s="51" t="s">
        <v>2357</v>
      </c>
      <c r="W7033" s="51" t="s">
        <v>4154</v>
      </c>
      <c r="X7033" s="51" t="s">
        <v>2359</v>
      </c>
    </row>
    <row r="7034" customFormat="false" ht="14.25" hidden="true" customHeight="false" outlineLevel="0" collapsed="false">
      <c r="A7034" s="49" t="s">
        <v>2349</v>
      </c>
      <c r="B7034" s="49" t="s">
        <v>2350</v>
      </c>
      <c r="C7034" s="49" t="s">
        <v>11817</v>
      </c>
      <c r="D7034" s="49" t="s">
        <v>2352</v>
      </c>
      <c r="E7034" s="49" t="s">
        <v>3633</v>
      </c>
      <c r="F7034" s="49" t="s">
        <v>3634</v>
      </c>
      <c r="G7034" s="49" t="n">
        <v>0</v>
      </c>
      <c r="H7034" s="0" t="n">
        <v>0</v>
      </c>
      <c r="M7034" s="51" t="s">
        <v>3660</v>
      </c>
      <c r="N7034" s="49" t="n">
        <v>0</v>
      </c>
      <c r="O7034" s="53" t="n">
        <v>45973.4134143519</v>
      </c>
      <c r="P7034" s="53" t="n">
        <v>46040.6524189815</v>
      </c>
      <c r="Q7034" s="53" t="n">
        <v>45973.4134143519</v>
      </c>
      <c r="R7034" s="0" t="n">
        <v>0</v>
      </c>
      <c r="S7034" s="51" t="s">
        <v>2356</v>
      </c>
      <c r="T7034" s="51" t="s">
        <v>2356</v>
      </c>
      <c r="U7034" s="51" t="s">
        <v>3633</v>
      </c>
      <c r="V7034" s="51" t="s">
        <v>2357</v>
      </c>
      <c r="W7034" s="51" t="s">
        <v>5412</v>
      </c>
      <c r="X7034" s="51" t="s">
        <v>2359</v>
      </c>
    </row>
    <row r="7035" customFormat="false" ht="14.25" hidden="true" customHeight="false" outlineLevel="0" collapsed="false">
      <c r="A7035" s="49" t="s">
        <v>2349</v>
      </c>
      <c r="B7035" s="49" t="s">
        <v>2350</v>
      </c>
      <c r="C7035" s="49" t="s">
        <v>11818</v>
      </c>
      <c r="D7035" s="49" t="s">
        <v>2352</v>
      </c>
      <c r="E7035" s="49" t="s">
        <v>3633</v>
      </c>
      <c r="F7035" s="49" t="s">
        <v>3634</v>
      </c>
      <c r="G7035" s="49" t="n">
        <v>0</v>
      </c>
      <c r="H7035" s="0" t="n">
        <v>0</v>
      </c>
      <c r="M7035" s="51" t="s">
        <v>3660</v>
      </c>
      <c r="N7035" s="49" t="n">
        <v>0</v>
      </c>
      <c r="O7035" s="53" t="n">
        <v>45973.4099884259</v>
      </c>
      <c r="P7035" s="53" t="n">
        <v>46046.5447685185</v>
      </c>
      <c r="Q7035" s="53" t="n">
        <v>45973.4099884259</v>
      </c>
      <c r="R7035" s="0" t="n">
        <v>0</v>
      </c>
      <c r="S7035" s="51" t="s">
        <v>2356</v>
      </c>
      <c r="T7035" s="51" t="s">
        <v>2356</v>
      </c>
      <c r="U7035" s="51" t="s">
        <v>3633</v>
      </c>
      <c r="V7035" s="51" t="s">
        <v>2357</v>
      </c>
      <c r="W7035" s="51" t="s">
        <v>11819</v>
      </c>
      <c r="X7035" s="51" t="s">
        <v>2359</v>
      </c>
    </row>
    <row r="7036" customFormat="false" ht="14.25" hidden="true" customHeight="false" outlineLevel="0" collapsed="false">
      <c r="A7036" s="49" t="s">
        <v>2349</v>
      </c>
      <c r="B7036" s="49" t="s">
        <v>2350</v>
      </c>
      <c r="C7036" s="49" t="s">
        <v>11820</v>
      </c>
      <c r="D7036" s="49" t="s">
        <v>2352</v>
      </c>
      <c r="E7036" s="49" t="s">
        <v>3633</v>
      </c>
      <c r="F7036" s="49" t="s">
        <v>3634</v>
      </c>
      <c r="G7036" s="49" t="n">
        <v>0</v>
      </c>
      <c r="H7036" s="0" t="n">
        <v>0</v>
      </c>
      <c r="M7036" s="51" t="s">
        <v>3660</v>
      </c>
      <c r="N7036" s="49" t="n">
        <v>0</v>
      </c>
      <c r="O7036" s="53" t="n">
        <v>45973.4081597222</v>
      </c>
      <c r="P7036" s="53" t="n">
        <v>45993.3618981482</v>
      </c>
      <c r="Q7036" s="53" t="n">
        <v>45973.4081597222</v>
      </c>
      <c r="R7036" s="0" t="n">
        <v>0</v>
      </c>
      <c r="S7036" s="51" t="s">
        <v>2356</v>
      </c>
      <c r="T7036" s="51" t="s">
        <v>2356</v>
      </c>
      <c r="U7036" s="51" t="s">
        <v>3633</v>
      </c>
      <c r="V7036" s="51" t="s">
        <v>2357</v>
      </c>
      <c r="W7036" s="51" t="s">
        <v>5331</v>
      </c>
      <c r="X7036" s="51" t="s">
        <v>2359</v>
      </c>
    </row>
    <row r="7037" customFormat="false" ht="14.25" hidden="true" customHeight="false" outlineLevel="0" collapsed="false">
      <c r="A7037" s="49" t="s">
        <v>2349</v>
      </c>
      <c r="B7037" s="49" t="s">
        <v>2350</v>
      </c>
      <c r="C7037" s="49" t="s">
        <v>11821</v>
      </c>
      <c r="D7037" s="49" t="s">
        <v>2352</v>
      </c>
      <c r="E7037" s="49" t="s">
        <v>4351</v>
      </c>
      <c r="F7037" s="49" t="s">
        <v>4352</v>
      </c>
      <c r="G7037" s="49" t="n">
        <v>0</v>
      </c>
      <c r="H7037" s="0" t="n">
        <v>0</v>
      </c>
      <c r="M7037" s="51" t="s">
        <v>11822</v>
      </c>
      <c r="N7037" s="49" t="n">
        <v>0</v>
      </c>
      <c r="O7037" s="53" t="n">
        <v>45979.3964930556</v>
      </c>
      <c r="P7037" s="53" t="n">
        <v>45979.4257638889</v>
      </c>
      <c r="Q7037" s="53" t="n">
        <v>45979.3964930556</v>
      </c>
      <c r="R7037" s="0" t="n">
        <v>0</v>
      </c>
      <c r="S7037" s="51" t="s">
        <v>2356</v>
      </c>
      <c r="T7037" s="51" t="s">
        <v>2356</v>
      </c>
      <c r="U7037" s="51" t="s">
        <v>4351</v>
      </c>
      <c r="V7037" s="51" t="s">
        <v>2365</v>
      </c>
      <c r="W7037" s="51" t="s">
        <v>3675</v>
      </c>
      <c r="X7037" s="51" t="s">
        <v>2359</v>
      </c>
    </row>
    <row r="7038" customFormat="false" ht="14.25" hidden="true" customHeight="false" outlineLevel="0" collapsed="false">
      <c r="A7038" s="49" t="s">
        <v>2349</v>
      </c>
      <c r="B7038" s="49" t="s">
        <v>2350</v>
      </c>
      <c r="C7038" s="49" t="s">
        <v>11823</v>
      </c>
      <c r="D7038" s="49" t="s">
        <v>2352</v>
      </c>
      <c r="E7038" s="49" t="s">
        <v>4351</v>
      </c>
      <c r="F7038" s="49" t="s">
        <v>4352</v>
      </c>
      <c r="G7038" s="49" t="n">
        <v>0</v>
      </c>
      <c r="H7038" s="0" t="n">
        <v>0</v>
      </c>
      <c r="M7038" s="51" t="s">
        <v>11824</v>
      </c>
      <c r="N7038" s="49" t="n">
        <v>0</v>
      </c>
      <c r="O7038" s="53" t="n">
        <v>45962.4480555556</v>
      </c>
      <c r="P7038" s="53" t="n">
        <v>45963.667974537</v>
      </c>
      <c r="Q7038" s="53" t="n">
        <v>45962.4480555556</v>
      </c>
      <c r="R7038" s="0" t="n">
        <v>0</v>
      </c>
      <c r="S7038" s="51" t="s">
        <v>2356</v>
      </c>
      <c r="T7038" s="51" t="s">
        <v>2356</v>
      </c>
      <c r="U7038" s="51" t="s">
        <v>4351</v>
      </c>
      <c r="V7038" s="51" t="s">
        <v>2365</v>
      </c>
      <c r="W7038" s="51" t="s">
        <v>5322</v>
      </c>
      <c r="X7038" s="51" t="s">
        <v>2359</v>
      </c>
    </row>
    <row r="7039" customFormat="false" ht="14.25" hidden="true" customHeight="false" outlineLevel="0" collapsed="false">
      <c r="A7039" s="49" t="s">
        <v>2349</v>
      </c>
      <c r="B7039" s="49" t="s">
        <v>2350</v>
      </c>
      <c r="C7039" s="49" t="s">
        <v>11825</v>
      </c>
      <c r="D7039" s="49" t="s">
        <v>2352</v>
      </c>
      <c r="E7039" s="49" t="s">
        <v>4351</v>
      </c>
      <c r="F7039" s="49" t="s">
        <v>4352</v>
      </c>
      <c r="G7039" s="49" t="n">
        <v>0</v>
      </c>
      <c r="H7039" s="0" t="n">
        <v>0</v>
      </c>
      <c r="M7039" s="51" t="s">
        <v>11824</v>
      </c>
      <c r="N7039" s="49" t="n">
        <v>0</v>
      </c>
      <c r="O7039" s="53" t="n">
        <v>45962.4478125</v>
      </c>
      <c r="P7039" s="53" t="n">
        <v>45963.6681481482</v>
      </c>
      <c r="Q7039" s="53" t="n">
        <v>45962.4478125</v>
      </c>
      <c r="R7039" s="0" t="n">
        <v>0</v>
      </c>
      <c r="S7039" s="51" t="s">
        <v>2356</v>
      </c>
      <c r="T7039" s="51" t="s">
        <v>2356</v>
      </c>
      <c r="U7039" s="51" t="s">
        <v>4351</v>
      </c>
      <c r="V7039" s="51" t="s">
        <v>2365</v>
      </c>
      <c r="W7039" s="51" t="s">
        <v>5322</v>
      </c>
      <c r="X7039" s="51" t="s">
        <v>2359</v>
      </c>
    </row>
    <row r="7040" customFormat="false" ht="14.25" hidden="true" customHeight="false" outlineLevel="0" collapsed="false">
      <c r="A7040" s="49" t="s">
        <v>2349</v>
      </c>
      <c r="B7040" s="49" t="s">
        <v>2350</v>
      </c>
      <c r="C7040" s="49" t="s">
        <v>11826</v>
      </c>
      <c r="D7040" s="49" t="s">
        <v>2352</v>
      </c>
      <c r="E7040" s="49" t="s">
        <v>4351</v>
      </c>
      <c r="F7040" s="49" t="s">
        <v>4352</v>
      </c>
      <c r="G7040" s="49" t="n">
        <v>0</v>
      </c>
      <c r="H7040" s="0" t="n">
        <v>0</v>
      </c>
      <c r="M7040" s="51" t="s">
        <v>11824</v>
      </c>
      <c r="N7040" s="49" t="n">
        <v>0</v>
      </c>
      <c r="O7040" s="53" t="n">
        <v>45962.4476388889</v>
      </c>
      <c r="P7040" s="53" t="n">
        <v>45963.66625</v>
      </c>
      <c r="Q7040" s="53" t="n">
        <v>45962.4476388889</v>
      </c>
      <c r="R7040" s="0" t="n">
        <v>0</v>
      </c>
      <c r="S7040" s="51" t="s">
        <v>2356</v>
      </c>
      <c r="T7040" s="51" t="s">
        <v>2356</v>
      </c>
      <c r="U7040" s="51" t="s">
        <v>4351</v>
      </c>
      <c r="V7040" s="51" t="s">
        <v>2365</v>
      </c>
      <c r="W7040" s="51" t="s">
        <v>5322</v>
      </c>
      <c r="X7040" s="51" t="s">
        <v>2359</v>
      </c>
    </row>
    <row r="7041" customFormat="false" ht="14.25" hidden="true" customHeight="false" outlineLevel="0" collapsed="false">
      <c r="A7041" s="49" t="s">
        <v>2349</v>
      </c>
      <c r="B7041" s="49" t="s">
        <v>2350</v>
      </c>
      <c r="C7041" s="49" t="s">
        <v>11827</v>
      </c>
      <c r="D7041" s="49" t="s">
        <v>2352</v>
      </c>
      <c r="E7041" s="49" t="s">
        <v>4351</v>
      </c>
      <c r="F7041" s="49" t="s">
        <v>4352</v>
      </c>
      <c r="G7041" s="49" t="n">
        <v>0</v>
      </c>
      <c r="H7041" s="0" t="n">
        <v>0</v>
      </c>
      <c r="M7041" s="51" t="s">
        <v>11824</v>
      </c>
      <c r="N7041" s="49" t="n">
        <v>0</v>
      </c>
      <c r="O7041" s="53" t="n">
        <v>45962.4474652778</v>
      </c>
      <c r="P7041" s="53" t="n">
        <v>45963.6669444444</v>
      </c>
      <c r="Q7041" s="53" t="n">
        <v>45962.4474652778</v>
      </c>
      <c r="R7041" s="0" t="n">
        <v>0</v>
      </c>
      <c r="S7041" s="51" t="s">
        <v>2356</v>
      </c>
      <c r="T7041" s="51" t="s">
        <v>2356</v>
      </c>
      <c r="U7041" s="51" t="s">
        <v>4351</v>
      </c>
      <c r="V7041" s="51" t="s">
        <v>2365</v>
      </c>
      <c r="W7041" s="51" t="s">
        <v>5322</v>
      </c>
      <c r="X7041" s="51" t="s">
        <v>2359</v>
      </c>
    </row>
    <row r="7042" customFormat="false" ht="14.25" hidden="true" customHeight="false" outlineLevel="0" collapsed="false">
      <c r="A7042" s="49" t="s">
        <v>2349</v>
      </c>
      <c r="B7042" s="49" t="s">
        <v>2350</v>
      </c>
      <c r="C7042" s="49" t="s">
        <v>11828</v>
      </c>
      <c r="D7042" s="49" t="s">
        <v>2352</v>
      </c>
      <c r="E7042" s="49" t="s">
        <v>4351</v>
      </c>
      <c r="F7042" s="49" t="s">
        <v>4352</v>
      </c>
      <c r="G7042" s="49" t="n">
        <v>0</v>
      </c>
      <c r="H7042" s="0" t="n">
        <v>0</v>
      </c>
      <c r="M7042" s="51" t="s">
        <v>11824</v>
      </c>
      <c r="N7042" s="49" t="n">
        <v>0</v>
      </c>
      <c r="O7042" s="53" t="n">
        <v>45962.4472916667</v>
      </c>
      <c r="P7042" s="53" t="n">
        <v>45963.6670717593</v>
      </c>
      <c r="Q7042" s="53" t="n">
        <v>45962.4472916667</v>
      </c>
      <c r="R7042" s="0" t="n">
        <v>0</v>
      </c>
      <c r="S7042" s="51" t="s">
        <v>2356</v>
      </c>
      <c r="T7042" s="51" t="s">
        <v>2356</v>
      </c>
      <c r="U7042" s="51" t="s">
        <v>4351</v>
      </c>
      <c r="V7042" s="51" t="s">
        <v>2365</v>
      </c>
      <c r="W7042" s="51" t="s">
        <v>5322</v>
      </c>
      <c r="X7042" s="51" t="s">
        <v>2359</v>
      </c>
    </row>
    <row r="7043" customFormat="false" ht="14.25" hidden="true" customHeight="false" outlineLevel="0" collapsed="false">
      <c r="A7043" s="49" t="s">
        <v>2349</v>
      </c>
      <c r="B7043" s="49" t="s">
        <v>2350</v>
      </c>
      <c r="C7043" s="49" t="s">
        <v>11829</v>
      </c>
      <c r="D7043" s="49" t="s">
        <v>2352</v>
      </c>
      <c r="E7043" s="49" t="s">
        <v>4351</v>
      </c>
      <c r="F7043" s="49" t="s">
        <v>4352</v>
      </c>
      <c r="G7043" s="49" t="n">
        <v>0</v>
      </c>
      <c r="H7043" s="0" t="n">
        <v>0</v>
      </c>
      <c r="M7043" s="51" t="s">
        <v>11824</v>
      </c>
      <c r="N7043" s="49" t="n">
        <v>0</v>
      </c>
      <c r="O7043" s="53" t="n">
        <v>45962.4470833333</v>
      </c>
      <c r="P7043" s="53" t="n">
        <v>45963.6665972222</v>
      </c>
      <c r="Q7043" s="53" t="n">
        <v>45962.4470833333</v>
      </c>
      <c r="R7043" s="0" t="n">
        <v>0</v>
      </c>
      <c r="S7043" s="51" t="s">
        <v>2356</v>
      </c>
      <c r="T7043" s="51" t="s">
        <v>2356</v>
      </c>
      <c r="U7043" s="51" t="s">
        <v>4351</v>
      </c>
      <c r="V7043" s="51" t="s">
        <v>2365</v>
      </c>
      <c r="W7043" s="51" t="s">
        <v>5322</v>
      </c>
      <c r="X7043" s="51" t="s">
        <v>2359</v>
      </c>
    </row>
    <row r="7044" customFormat="false" ht="14.25" hidden="true" customHeight="false" outlineLevel="0" collapsed="false">
      <c r="A7044" s="49" t="s">
        <v>2349</v>
      </c>
      <c r="B7044" s="49" t="s">
        <v>2350</v>
      </c>
      <c r="C7044" s="49" t="s">
        <v>11830</v>
      </c>
      <c r="D7044" s="49" t="s">
        <v>2352</v>
      </c>
      <c r="E7044" s="49" t="s">
        <v>4351</v>
      </c>
      <c r="F7044" s="49" t="s">
        <v>4352</v>
      </c>
      <c r="G7044" s="49" t="n">
        <v>0</v>
      </c>
      <c r="H7044" s="0" t="n">
        <v>0</v>
      </c>
      <c r="M7044" s="51" t="s">
        <v>11824</v>
      </c>
      <c r="N7044" s="49" t="n">
        <v>0</v>
      </c>
      <c r="O7044" s="53" t="n">
        <v>45962.4468981482</v>
      </c>
      <c r="P7044" s="53" t="n">
        <v>45967.4421875</v>
      </c>
      <c r="Q7044" s="53" t="n">
        <v>45962.4468981482</v>
      </c>
      <c r="R7044" s="0" t="n">
        <v>0</v>
      </c>
      <c r="S7044" s="51" t="s">
        <v>2356</v>
      </c>
      <c r="T7044" s="51" t="s">
        <v>2356</v>
      </c>
      <c r="U7044" s="51" t="s">
        <v>4351</v>
      </c>
      <c r="V7044" s="51" t="s">
        <v>2365</v>
      </c>
      <c r="W7044" s="51" t="s">
        <v>10407</v>
      </c>
      <c r="X7044" s="51" t="s">
        <v>2359</v>
      </c>
    </row>
    <row r="7045" customFormat="false" ht="14.25" hidden="true" customHeight="false" outlineLevel="0" collapsed="false">
      <c r="A7045" s="49" t="s">
        <v>2349</v>
      </c>
      <c r="B7045" s="49" t="s">
        <v>2350</v>
      </c>
      <c r="C7045" s="49" t="s">
        <v>11831</v>
      </c>
      <c r="D7045" s="49" t="s">
        <v>2352</v>
      </c>
      <c r="E7045" s="49" t="s">
        <v>4351</v>
      </c>
      <c r="F7045" s="49" t="s">
        <v>4352</v>
      </c>
      <c r="G7045" s="49" t="n">
        <v>0</v>
      </c>
      <c r="H7045" s="0" t="n">
        <v>0</v>
      </c>
      <c r="M7045" s="51" t="s">
        <v>11824</v>
      </c>
      <c r="N7045" s="49" t="n">
        <v>0</v>
      </c>
      <c r="O7045" s="53" t="n">
        <v>45962.4466898148</v>
      </c>
      <c r="P7045" s="53" t="n">
        <v>45963.6682638889</v>
      </c>
      <c r="Q7045" s="53" t="n">
        <v>45962.4466898148</v>
      </c>
      <c r="R7045" s="0" t="n">
        <v>0</v>
      </c>
      <c r="S7045" s="51" t="s">
        <v>2356</v>
      </c>
      <c r="T7045" s="51" t="s">
        <v>2356</v>
      </c>
      <c r="U7045" s="51" t="s">
        <v>4351</v>
      </c>
      <c r="V7045" s="51" t="s">
        <v>2365</v>
      </c>
      <c r="W7045" s="51" t="s">
        <v>11832</v>
      </c>
      <c r="X7045" s="51" t="s">
        <v>2359</v>
      </c>
    </row>
    <row r="7046" customFormat="false" ht="14.25" hidden="true" customHeight="false" outlineLevel="0" collapsed="false">
      <c r="A7046" s="49" t="s">
        <v>2349</v>
      </c>
      <c r="B7046" s="49" t="s">
        <v>2350</v>
      </c>
      <c r="C7046" s="49" t="s">
        <v>11833</v>
      </c>
      <c r="D7046" s="49" t="s">
        <v>2352</v>
      </c>
      <c r="E7046" s="49" t="s">
        <v>4351</v>
      </c>
      <c r="F7046" s="49" t="s">
        <v>4352</v>
      </c>
      <c r="G7046" s="49" t="n">
        <v>0</v>
      </c>
      <c r="H7046" s="0" t="n">
        <v>0</v>
      </c>
      <c r="M7046" s="51" t="s">
        <v>11824</v>
      </c>
      <c r="N7046" s="49" t="n">
        <v>0</v>
      </c>
      <c r="O7046" s="53" t="n">
        <v>45962.4465277778</v>
      </c>
      <c r="P7046" s="53" t="n">
        <v>45963.6683680556</v>
      </c>
      <c r="Q7046" s="53" t="n">
        <v>45962.4465277778</v>
      </c>
      <c r="R7046" s="0" t="n">
        <v>0</v>
      </c>
      <c r="S7046" s="51" t="s">
        <v>2356</v>
      </c>
      <c r="T7046" s="51" t="s">
        <v>2356</v>
      </c>
      <c r="U7046" s="51" t="s">
        <v>4351</v>
      </c>
      <c r="V7046" s="51" t="s">
        <v>2365</v>
      </c>
      <c r="W7046" s="51" t="s">
        <v>11832</v>
      </c>
      <c r="X7046" s="51" t="s">
        <v>2359</v>
      </c>
    </row>
    <row r="7047" customFormat="false" ht="14.25" hidden="true" customHeight="false" outlineLevel="0" collapsed="false">
      <c r="A7047" s="49" t="s">
        <v>2349</v>
      </c>
      <c r="B7047" s="49" t="s">
        <v>2350</v>
      </c>
      <c r="C7047" s="49" t="s">
        <v>11834</v>
      </c>
      <c r="D7047" s="49" t="s">
        <v>2352</v>
      </c>
      <c r="E7047" s="49" t="s">
        <v>4351</v>
      </c>
      <c r="F7047" s="49" t="s">
        <v>4352</v>
      </c>
      <c r="G7047" s="49" t="n">
        <v>0</v>
      </c>
      <c r="H7047" s="0" t="n">
        <v>0</v>
      </c>
      <c r="M7047" s="51" t="s">
        <v>11824</v>
      </c>
      <c r="N7047" s="49" t="n">
        <v>0</v>
      </c>
      <c r="O7047" s="53" t="n">
        <v>45962.4462962963</v>
      </c>
      <c r="P7047" s="53" t="n">
        <v>45963.6684722222</v>
      </c>
      <c r="Q7047" s="53" t="n">
        <v>45962.4462962963</v>
      </c>
      <c r="R7047" s="0" t="n">
        <v>0</v>
      </c>
      <c r="S7047" s="51" t="s">
        <v>2356</v>
      </c>
      <c r="T7047" s="51" t="s">
        <v>2356</v>
      </c>
      <c r="U7047" s="51" t="s">
        <v>4351</v>
      </c>
      <c r="V7047" s="51" t="s">
        <v>2365</v>
      </c>
      <c r="W7047" s="51" t="s">
        <v>11832</v>
      </c>
      <c r="X7047" s="51" t="s">
        <v>2359</v>
      </c>
    </row>
    <row r="7048" customFormat="false" ht="14.25" hidden="true" customHeight="false" outlineLevel="0" collapsed="false">
      <c r="A7048" s="49" t="s">
        <v>2349</v>
      </c>
      <c r="B7048" s="49" t="s">
        <v>2350</v>
      </c>
      <c r="C7048" s="49" t="s">
        <v>11835</v>
      </c>
      <c r="D7048" s="49" t="s">
        <v>2352</v>
      </c>
      <c r="E7048" s="49" t="s">
        <v>4351</v>
      </c>
      <c r="F7048" s="49" t="s">
        <v>4352</v>
      </c>
      <c r="G7048" s="49" t="n">
        <v>0</v>
      </c>
      <c r="H7048" s="0" t="n">
        <v>0</v>
      </c>
      <c r="M7048" s="51" t="s">
        <v>11824</v>
      </c>
      <c r="N7048" s="49" t="n">
        <v>0</v>
      </c>
      <c r="O7048" s="53" t="n">
        <v>45962.4460416667</v>
      </c>
      <c r="P7048" s="53" t="n">
        <v>45963.6685648148</v>
      </c>
      <c r="Q7048" s="53" t="n">
        <v>45962.4460416667</v>
      </c>
      <c r="R7048" s="0" t="n">
        <v>0</v>
      </c>
      <c r="S7048" s="51" t="s">
        <v>2356</v>
      </c>
      <c r="T7048" s="51" t="s">
        <v>2356</v>
      </c>
      <c r="U7048" s="51" t="s">
        <v>4351</v>
      </c>
      <c r="V7048" s="51" t="s">
        <v>2365</v>
      </c>
      <c r="W7048" s="51" t="s">
        <v>6476</v>
      </c>
      <c r="X7048" s="51" t="s">
        <v>2359</v>
      </c>
    </row>
    <row r="7049" customFormat="false" ht="14.25" hidden="true" customHeight="false" outlineLevel="0" collapsed="false">
      <c r="A7049" s="49" t="s">
        <v>2349</v>
      </c>
      <c r="B7049" s="49" t="s">
        <v>2350</v>
      </c>
      <c r="C7049" s="49" t="s">
        <v>11836</v>
      </c>
      <c r="D7049" s="49" t="s">
        <v>2352</v>
      </c>
      <c r="E7049" s="49" t="s">
        <v>4351</v>
      </c>
      <c r="F7049" s="49" t="s">
        <v>4352</v>
      </c>
      <c r="G7049" s="49" t="n">
        <v>0</v>
      </c>
      <c r="H7049" s="0" t="n">
        <v>0</v>
      </c>
      <c r="M7049" s="51" t="s">
        <v>11824</v>
      </c>
      <c r="N7049" s="49" t="n">
        <v>0</v>
      </c>
      <c r="O7049" s="53" t="n">
        <v>45962.4458333333</v>
      </c>
      <c r="P7049" s="53" t="n">
        <v>45973.6025694445</v>
      </c>
      <c r="Q7049" s="53" t="n">
        <v>45962.4458333333</v>
      </c>
      <c r="R7049" s="0" t="n">
        <v>0</v>
      </c>
      <c r="S7049" s="51" t="s">
        <v>2356</v>
      </c>
      <c r="T7049" s="51" t="s">
        <v>2356</v>
      </c>
      <c r="U7049" s="51" t="s">
        <v>4351</v>
      </c>
      <c r="V7049" s="51" t="s">
        <v>2365</v>
      </c>
      <c r="W7049" s="51" t="s">
        <v>11837</v>
      </c>
      <c r="X7049" s="51" t="s">
        <v>2359</v>
      </c>
    </row>
    <row r="7050" customFormat="false" ht="14.25" hidden="true" customHeight="false" outlineLevel="0" collapsed="false">
      <c r="A7050" s="49" t="s">
        <v>2349</v>
      </c>
      <c r="B7050" s="49" t="s">
        <v>2350</v>
      </c>
      <c r="C7050" s="49" t="s">
        <v>11838</v>
      </c>
      <c r="D7050" s="49" t="s">
        <v>2352</v>
      </c>
      <c r="E7050" s="49" t="s">
        <v>4351</v>
      </c>
      <c r="F7050" s="49" t="s">
        <v>4352</v>
      </c>
      <c r="G7050" s="49" t="n">
        <v>0</v>
      </c>
      <c r="H7050" s="0" t="n">
        <v>0</v>
      </c>
      <c r="M7050" s="51" t="s">
        <v>11824</v>
      </c>
      <c r="N7050" s="49" t="n">
        <v>0</v>
      </c>
      <c r="O7050" s="53" t="n">
        <v>45962.4455787037</v>
      </c>
      <c r="P7050" s="53" t="n">
        <v>45967.4420717593</v>
      </c>
      <c r="Q7050" s="53" t="n">
        <v>45962.4455787037</v>
      </c>
      <c r="R7050" s="0" t="n">
        <v>0</v>
      </c>
      <c r="S7050" s="51" t="s">
        <v>2356</v>
      </c>
      <c r="T7050" s="51" t="s">
        <v>2356</v>
      </c>
      <c r="U7050" s="51" t="s">
        <v>4351</v>
      </c>
      <c r="V7050" s="51" t="s">
        <v>2365</v>
      </c>
      <c r="W7050" s="51" t="s">
        <v>10407</v>
      </c>
      <c r="X7050" s="51" t="s">
        <v>2359</v>
      </c>
    </row>
    <row r="7051" customFormat="false" ht="14.25" hidden="true" customHeight="false" outlineLevel="0" collapsed="false">
      <c r="A7051" s="49" t="s">
        <v>2349</v>
      </c>
      <c r="B7051" s="49" t="s">
        <v>2350</v>
      </c>
      <c r="C7051" s="49" t="s">
        <v>11839</v>
      </c>
      <c r="D7051" s="49" t="s">
        <v>2352</v>
      </c>
      <c r="E7051" s="49" t="s">
        <v>4351</v>
      </c>
      <c r="F7051" s="49" t="s">
        <v>4352</v>
      </c>
      <c r="G7051" s="49" t="n">
        <v>0</v>
      </c>
      <c r="H7051" s="0" t="n">
        <v>0</v>
      </c>
      <c r="M7051" s="51" t="s">
        <v>11824</v>
      </c>
      <c r="N7051" s="49" t="n">
        <v>0</v>
      </c>
      <c r="O7051" s="53" t="n">
        <v>45962.4452546296</v>
      </c>
      <c r="P7051" s="53" t="n">
        <v>45981.8184375</v>
      </c>
      <c r="Q7051" s="53" t="n">
        <v>45962.4452546296</v>
      </c>
      <c r="R7051" s="0" t="n">
        <v>0</v>
      </c>
      <c r="S7051" s="51" t="s">
        <v>2356</v>
      </c>
      <c r="T7051" s="51" t="s">
        <v>2356</v>
      </c>
      <c r="U7051" s="51" t="s">
        <v>4351</v>
      </c>
      <c r="V7051" s="51" t="s">
        <v>2365</v>
      </c>
      <c r="W7051" s="51" t="s">
        <v>9075</v>
      </c>
      <c r="X7051" s="51" t="s">
        <v>2359</v>
      </c>
    </row>
    <row r="7052" customFormat="false" ht="14.25" hidden="true" customHeight="false" outlineLevel="0" collapsed="false">
      <c r="A7052" s="49" t="s">
        <v>2349</v>
      </c>
      <c r="B7052" s="49" t="s">
        <v>2350</v>
      </c>
      <c r="C7052" s="49" t="s">
        <v>11840</v>
      </c>
      <c r="D7052" s="49" t="s">
        <v>2352</v>
      </c>
      <c r="E7052" s="49" t="s">
        <v>4351</v>
      </c>
      <c r="F7052" s="49" t="s">
        <v>4352</v>
      </c>
      <c r="G7052" s="49" t="n">
        <v>0</v>
      </c>
      <c r="H7052" s="0" t="n">
        <v>0</v>
      </c>
      <c r="M7052" s="51" t="s">
        <v>11824</v>
      </c>
      <c r="N7052" s="49" t="n">
        <v>0</v>
      </c>
      <c r="O7052" s="53" t="n">
        <v>45962.4450115741</v>
      </c>
      <c r="P7052" s="53" t="n">
        <v>45967.4424305556</v>
      </c>
      <c r="Q7052" s="53" t="n">
        <v>45962.4450115741</v>
      </c>
      <c r="R7052" s="0" t="n">
        <v>0</v>
      </c>
      <c r="S7052" s="51" t="s">
        <v>2356</v>
      </c>
      <c r="T7052" s="51" t="s">
        <v>2356</v>
      </c>
      <c r="U7052" s="51" t="s">
        <v>4351</v>
      </c>
      <c r="V7052" s="51" t="s">
        <v>2365</v>
      </c>
      <c r="W7052" s="51" t="s">
        <v>11837</v>
      </c>
      <c r="X7052" s="51" t="s">
        <v>2359</v>
      </c>
    </row>
    <row r="7053" customFormat="false" ht="14.25" hidden="true" customHeight="false" outlineLevel="0" collapsed="false">
      <c r="A7053" s="49" t="s">
        <v>2349</v>
      </c>
      <c r="B7053" s="49" t="s">
        <v>2350</v>
      </c>
      <c r="C7053" s="49" t="s">
        <v>11841</v>
      </c>
      <c r="D7053" s="49" t="s">
        <v>2352</v>
      </c>
      <c r="E7053" s="49" t="s">
        <v>4351</v>
      </c>
      <c r="F7053" s="49" t="s">
        <v>4352</v>
      </c>
      <c r="G7053" s="49" t="n">
        <v>0</v>
      </c>
      <c r="H7053" s="0" t="n">
        <v>0</v>
      </c>
      <c r="M7053" s="51" t="s">
        <v>11824</v>
      </c>
      <c r="N7053" s="49" t="n">
        <v>0</v>
      </c>
      <c r="O7053" s="53" t="n">
        <v>45962.4435185185</v>
      </c>
      <c r="P7053" s="53" t="n">
        <v>45967.4407407407</v>
      </c>
      <c r="Q7053" s="53" t="n">
        <v>45962.4435185185</v>
      </c>
      <c r="R7053" s="0" t="n">
        <v>0</v>
      </c>
      <c r="S7053" s="51" t="s">
        <v>2356</v>
      </c>
      <c r="T7053" s="51" t="s">
        <v>2356</v>
      </c>
      <c r="U7053" s="51" t="s">
        <v>4351</v>
      </c>
      <c r="V7053" s="51" t="s">
        <v>2365</v>
      </c>
      <c r="W7053" s="51" t="s">
        <v>5134</v>
      </c>
      <c r="X7053" s="51" t="s">
        <v>2359</v>
      </c>
    </row>
    <row r="7054" customFormat="false" ht="14.25" hidden="true" customHeight="false" outlineLevel="0" collapsed="false">
      <c r="A7054" s="49" t="s">
        <v>2349</v>
      </c>
      <c r="B7054" s="49" t="s">
        <v>2350</v>
      </c>
      <c r="C7054" s="49" t="s">
        <v>11842</v>
      </c>
      <c r="D7054" s="49" t="s">
        <v>2352</v>
      </c>
      <c r="E7054" s="49" t="s">
        <v>4351</v>
      </c>
      <c r="F7054" s="49" t="s">
        <v>4352</v>
      </c>
      <c r="G7054" s="49" t="n">
        <v>0</v>
      </c>
      <c r="H7054" s="0" t="n">
        <v>0</v>
      </c>
      <c r="M7054" s="51" t="s">
        <v>11824</v>
      </c>
      <c r="N7054" s="49" t="n">
        <v>0</v>
      </c>
      <c r="O7054" s="53" t="n">
        <v>45962.4433333333</v>
      </c>
      <c r="P7054" s="53" t="n">
        <v>45967.4408680556</v>
      </c>
      <c r="Q7054" s="53" t="n">
        <v>45962.4433333333</v>
      </c>
      <c r="R7054" s="0" t="n">
        <v>0</v>
      </c>
      <c r="S7054" s="51" t="s">
        <v>2356</v>
      </c>
      <c r="T7054" s="51" t="s">
        <v>2356</v>
      </c>
      <c r="U7054" s="51" t="s">
        <v>4351</v>
      </c>
      <c r="V7054" s="51" t="s">
        <v>2365</v>
      </c>
      <c r="W7054" s="51" t="s">
        <v>5134</v>
      </c>
      <c r="X7054" s="51" t="s">
        <v>2359</v>
      </c>
    </row>
    <row r="7055" customFormat="false" ht="14.25" hidden="true" customHeight="false" outlineLevel="0" collapsed="false">
      <c r="A7055" s="49" t="s">
        <v>2349</v>
      </c>
      <c r="B7055" s="49" t="s">
        <v>2350</v>
      </c>
      <c r="C7055" s="49" t="s">
        <v>11843</v>
      </c>
      <c r="D7055" s="49" t="s">
        <v>2352</v>
      </c>
      <c r="E7055" s="49" t="s">
        <v>4351</v>
      </c>
      <c r="F7055" s="49" t="s">
        <v>4352</v>
      </c>
      <c r="G7055" s="49" t="n">
        <v>0</v>
      </c>
      <c r="H7055" s="0" t="n">
        <v>0</v>
      </c>
      <c r="M7055" s="51" t="s">
        <v>11824</v>
      </c>
      <c r="N7055" s="49" t="n">
        <v>0</v>
      </c>
      <c r="O7055" s="53" t="n">
        <v>45962.4431134259</v>
      </c>
      <c r="P7055" s="53" t="n">
        <v>45967.4411921296</v>
      </c>
      <c r="Q7055" s="53" t="n">
        <v>45962.4431134259</v>
      </c>
      <c r="R7055" s="0" t="n">
        <v>0</v>
      </c>
      <c r="S7055" s="51" t="s">
        <v>2356</v>
      </c>
      <c r="T7055" s="51" t="s">
        <v>2356</v>
      </c>
      <c r="U7055" s="51" t="s">
        <v>4351</v>
      </c>
      <c r="V7055" s="51" t="s">
        <v>2365</v>
      </c>
      <c r="W7055" s="51" t="s">
        <v>5134</v>
      </c>
      <c r="X7055" s="51" t="s">
        <v>2359</v>
      </c>
    </row>
    <row r="7056" customFormat="false" ht="14.25" hidden="true" customHeight="false" outlineLevel="0" collapsed="false">
      <c r="A7056" s="49" t="s">
        <v>2349</v>
      </c>
      <c r="B7056" s="49" t="s">
        <v>2350</v>
      </c>
      <c r="C7056" s="49" t="s">
        <v>11844</v>
      </c>
      <c r="D7056" s="49" t="s">
        <v>2352</v>
      </c>
      <c r="E7056" s="49" t="s">
        <v>4351</v>
      </c>
      <c r="F7056" s="49" t="s">
        <v>4352</v>
      </c>
      <c r="G7056" s="49" t="n">
        <v>0</v>
      </c>
      <c r="H7056" s="0" t="n">
        <v>0</v>
      </c>
      <c r="M7056" s="51" t="s">
        <v>11824</v>
      </c>
      <c r="N7056" s="49" t="n">
        <v>0</v>
      </c>
      <c r="O7056" s="53" t="n">
        <v>45962.4428472222</v>
      </c>
      <c r="P7056" s="53" t="n">
        <v>45967.4419675926</v>
      </c>
      <c r="Q7056" s="53" t="n">
        <v>45962.4428472222</v>
      </c>
      <c r="R7056" s="0" t="n">
        <v>0</v>
      </c>
      <c r="S7056" s="51" t="s">
        <v>2356</v>
      </c>
      <c r="T7056" s="51" t="s">
        <v>2356</v>
      </c>
      <c r="U7056" s="51" t="s">
        <v>4351</v>
      </c>
      <c r="V7056" s="51" t="s">
        <v>2365</v>
      </c>
      <c r="W7056" s="51" t="s">
        <v>11845</v>
      </c>
      <c r="X7056" s="51" t="s">
        <v>2359</v>
      </c>
    </row>
    <row r="7057" customFormat="false" ht="14.25" hidden="true" customHeight="false" outlineLevel="0" collapsed="false">
      <c r="A7057" s="49" t="s">
        <v>2349</v>
      </c>
      <c r="B7057" s="49" t="s">
        <v>2350</v>
      </c>
      <c r="C7057" s="49" t="s">
        <v>11846</v>
      </c>
      <c r="D7057" s="49" t="s">
        <v>2352</v>
      </c>
      <c r="E7057" s="49" t="s">
        <v>4351</v>
      </c>
      <c r="F7057" s="49" t="s">
        <v>4352</v>
      </c>
      <c r="G7057" s="49" t="n">
        <v>0</v>
      </c>
      <c r="H7057" s="0" t="n">
        <v>0</v>
      </c>
      <c r="M7057" s="51" t="s">
        <v>11824</v>
      </c>
      <c r="N7057" s="49" t="n">
        <v>0</v>
      </c>
      <c r="O7057" s="53" t="n">
        <v>45962.4426273148</v>
      </c>
      <c r="P7057" s="53" t="n">
        <v>45967.4417708333</v>
      </c>
      <c r="Q7057" s="53" t="n">
        <v>45962.4426273148</v>
      </c>
      <c r="R7057" s="0" t="n">
        <v>0</v>
      </c>
      <c r="S7057" s="51" t="s">
        <v>2356</v>
      </c>
      <c r="T7057" s="51" t="s">
        <v>2356</v>
      </c>
      <c r="U7057" s="51" t="s">
        <v>4351</v>
      </c>
      <c r="V7057" s="51" t="s">
        <v>2365</v>
      </c>
      <c r="W7057" s="51" t="s">
        <v>11845</v>
      </c>
      <c r="X7057" s="51" t="s">
        <v>2359</v>
      </c>
    </row>
    <row r="7058" customFormat="false" ht="14.25" hidden="true" customHeight="false" outlineLevel="0" collapsed="false">
      <c r="A7058" s="49" t="s">
        <v>2349</v>
      </c>
      <c r="B7058" s="49" t="s">
        <v>2350</v>
      </c>
      <c r="C7058" s="49" t="s">
        <v>11847</v>
      </c>
      <c r="D7058" s="49" t="s">
        <v>2352</v>
      </c>
      <c r="E7058" s="49" t="s">
        <v>4351</v>
      </c>
      <c r="F7058" s="49" t="s">
        <v>4352</v>
      </c>
      <c r="G7058" s="49" t="n">
        <v>0</v>
      </c>
      <c r="H7058" s="0" t="n">
        <v>0</v>
      </c>
      <c r="M7058" s="51" t="s">
        <v>11824</v>
      </c>
      <c r="N7058" s="49" t="n">
        <v>0</v>
      </c>
      <c r="O7058" s="53" t="n">
        <v>45962.4420601852</v>
      </c>
      <c r="P7058" s="53" t="n">
        <v>45967.4418634259</v>
      </c>
      <c r="Q7058" s="53" t="n">
        <v>45962.4420601852</v>
      </c>
      <c r="R7058" s="0" t="n">
        <v>0</v>
      </c>
      <c r="S7058" s="51" t="s">
        <v>2356</v>
      </c>
      <c r="T7058" s="51" t="s">
        <v>2356</v>
      </c>
      <c r="U7058" s="51" t="s">
        <v>4351</v>
      </c>
      <c r="V7058" s="51" t="s">
        <v>2365</v>
      </c>
      <c r="W7058" s="51" t="s">
        <v>11845</v>
      </c>
      <c r="X7058" s="51" t="s">
        <v>2359</v>
      </c>
    </row>
    <row r="7059" customFormat="false" ht="14.25" hidden="true" customHeight="false" outlineLevel="0" collapsed="false">
      <c r="A7059" s="49" t="s">
        <v>2349</v>
      </c>
      <c r="B7059" s="49" t="s">
        <v>2350</v>
      </c>
      <c r="C7059" s="49" t="s">
        <v>11848</v>
      </c>
      <c r="D7059" s="49" t="s">
        <v>2352</v>
      </c>
      <c r="E7059" s="49" t="s">
        <v>4351</v>
      </c>
      <c r="F7059" s="49" t="s">
        <v>4352</v>
      </c>
      <c r="G7059" s="49" t="n">
        <v>0</v>
      </c>
      <c r="H7059" s="0" t="n">
        <v>0</v>
      </c>
      <c r="M7059" s="51" t="s">
        <v>11824</v>
      </c>
      <c r="N7059" s="49" t="n">
        <v>0</v>
      </c>
      <c r="O7059" s="53" t="n">
        <v>45962.442349537</v>
      </c>
      <c r="P7059" s="53" t="n">
        <v>45967.4413194444</v>
      </c>
      <c r="Q7059" s="53" t="n">
        <v>45962.442349537</v>
      </c>
      <c r="R7059" s="0" t="n">
        <v>0</v>
      </c>
      <c r="S7059" s="51" t="s">
        <v>2356</v>
      </c>
      <c r="T7059" s="51" t="s">
        <v>2356</v>
      </c>
      <c r="U7059" s="51" t="s">
        <v>4351</v>
      </c>
      <c r="V7059" s="51" t="s">
        <v>2365</v>
      </c>
      <c r="W7059" s="51" t="s">
        <v>11845</v>
      </c>
      <c r="X7059" s="51" t="s">
        <v>2359</v>
      </c>
    </row>
    <row r="7060" customFormat="false" ht="14.25" hidden="true" customHeight="false" outlineLevel="0" collapsed="false">
      <c r="A7060" s="49" t="s">
        <v>2349</v>
      </c>
      <c r="B7060" s="49" t="s">
        <v>2350</v>
      </c>
      <c r="C7060" s="49" t="s">
        <v>11849</v>
      </c>
      <c r="D7060" s="49" t="s">
        <v>2352</v>
      </c>
      <c r="E7060" s="49" t="str">
        <f aca="false">"12452482"</f>
        <v>12452482</v>
      </c>
      <c r="F7060" s="49" t="s">
        <v>4179</v>
      </c>
      <c r="G7060" s="49" t="n">
        <v>0</v>
      </c>
      <c r="H7060" s="0" t="n">
        <v>0</v>
      </c>
      <c r="M7060" s="51" t="s">
        <v>11850</v>
      </c>
      <c r="N7060" s="49" t="n">
        <v>0</v>
      </c>
      <c r="O7060" s="53" t="n">
        <v>45958.4669328704</v>
      </c>
      <c r="P7060" s="53" t="n">
        <v>45991.4670601852</v>
      </c>
      <c r="Q7060" s="53" t="n">
        <v>45958.4669328704</v>
      </c>
      <c r="R7060" s="0" t="n">
        <v>0</v>
      </c>
      <c r="S7060" s="51" t="s">
        <v>2401</v>
      </c>
      <c r="T7060" s="51" t="s">
        <v>2401</v>
      </c>
      <c r="U7060" s="0" t="str">
        <f aca="false">"12452482"</f>
        <v>12452482</v>
      </c>
      <c r="V7060" s="51" t="s">
        <v>2365</v>
      </c>
      <c r="W7060" s="51" t="s">
        <v>9608</v>
      </c>
      <c r="X7060" s="51" t="s">
        <v>2359</v>
      </c>
    </row>
    <row r="7061" customFormat="false" ht="14.25" hidden="true" customHeight="false" outlineLevel="0" collapsed="false">
      <c r="A7061" s="49" t="s">
        <v>2349</v>
      </c>
      <c r="B7061" s="49" t="s">
        <v>2350</v>
      </c>
      <c r="C7061" s="49" t="s">
        <v>11851</v>
      </c>
      <c r="D7061" s="49" t="s">
        <v>2352</v>
      </c>
      <c r="E7061" s="49" t="s">
        <v>7198</v>
      </c>
      <c r="F7061" s="49" t="s">
        <v>7199</v>
      </c>
      <c r="G7061" s="49" t="n">
        <v>0</v>
      </c>
      <c r="H7061" s="0" t="n">
        <v>0</v>
      </c>
      <c r="M7061" s="51" t="s">
        <v>11852</v>
      </c>
      <c r="N7061" s="49" t="n">
        <v>0</v>
      </c>
      <c r="O7061" s="53" t="n">
        <v>45887.4869907407</v>
      </c>
      <c r="P7061" s="53" t="n">
        <v>45960.4122222222</v>
      </c>
      <c r="Q7061" s="53" t="n">
        <v>45887.4869907407</v>
      </c>
      <c r="R7061" s="0" t="n">
        <v>0</v>
      </c>
      <c r="S7061" s="51" t="s">
        <v>2356</v>
      </c>
      <c r="T7061" s="51" t="s">
        <v>2356</v>
      </c>
      <c r="U7061" s="51" t="s">
        <v>7198</v>
      </c>
      <c r="V7061" s="51" t="s">
        <v>2365</v>
      </c>
      <c r="W7061" s="51" t="s">
        <v>8276</v>
      </c>
      <c r="X7061" s="51" t="s">
        <v>2359</v>
      </c>
    </row>
    <row r="7062" customFormat="false" ht="14.25" hidden="true" customHeight="false" outlineLevel="0" collapsed="false">
      <c r="A7062" s="49" t="s">
        <v>2349</v>
      </c>
      <c r="B7062" s="49" t="s">
        <v>2350</v>
      </c>
      <c r="C7062" s="49" t="s">
        <v>11853</v>
      </c>
      <c r="D7062" s="49" t="s">
        <v>2352</v>
      </c>
      <c r="E7062" s="49" t="s">
        <v>7198</v>
      </c>
      <c r="F7062" s="49" t="s">
        <v>7199</v>
      </c>
      <c r="G7062" s="49" t="n">
        <v>0</v>
      </c>
      <c r="H7062" s="0" t="n">
        <v>0</v>
      </c>
      <c r="M7062" s="51" t="s">
        <v>11852</v>
      </c>
      <c r="N7062" s="49" t="n">
        <v>0</v>
      </c>
      <c r="O7062" s="53" t="n">
        <v>45887.4867361111</v>
      </c>
      <c r="P7062" s="53" t="n">
        <v>45892.4925925926</v>
      </c>
      <c r="Q7062" s="53" t="n">
        <v>45887.4867361111</v>
      </c>
      <c r="R7062" s="0" t="n">
        <v>0</v>
      </c>
      <c r="S7062" s="51" t="s">
        <v>2356</v>
      </c>
      <c r="T7062" s="51" t="s">
        <v>2356</v>
      </c>
      <c r="U7062" s="51" t="s">
        <v>7198</v>
      </c>
      <c r="V7062" s="51" t="s">
        <v>2365</v>
      </c>
      <c r="W7062" s="51" t="s">
        <v>5147</v>
      </c>
      <c r="X7062" s="51" t="s">
        <v>2359</v>
      </c>
    </row>
    <row r="7063" customFormat="false" ht="14.25" hidden="true" customHeight="false" outlineLevel="0" collapsed="false">
      <c r="A7063" s="49" t="s">
        <v>2349</v>
      </c>
      <c r="B7063" s="49" t="s">
        <v>2350</v>
      </c>
      <c r="C7063" s="49" t="s">
        <v>11854</v>
      </c>
      <c r="D7063" s="49" t="s">
        <v>2352</v>
      </c>
      <c r="E7063" s="49" t="s">
        <v>7198</v>
      </c>
      <c r="F7063" s="49" t="s">
        <v>7199</v>
      </c>
      <c r="G7063" s="49" t="n">
        <v>0</v>
      </c>
      <c r="H7063" s="0" t="n">
        <v>0</v>
      </c>
      <c r="M7063" s="51" t="s">
        <v>11852</v>
      </c>
      <c r="N7063" s="49" t="n">
        <v>0</v>
      </c>
      <c r="O7063" s="53" t="n">
        <v>45887.4865740741</v>
      </c>
      <c r="P7063" s="53" t="n">
        <v>45892.4927314815</v>
      </c>
      <c r="Q7063" s="53" t="n">
        <v>45887.4865740741</v>
      </c>
      <c r="R7063" s="0" t="n">
        <v>0</v>
      </c>
      <c r="S7063" s="51" t="s">
        <v>2356</v>
      </c>
      <c r="T7063" s="51" t="s">
        <v>2356</v>
      </c>
      <c r="U7063" s="51" t="s">
        <v>7198</v>
      </c>
      <c r="V7063" s="51" t="s">
        <v>2365</v>
      </c>
      <c r="W7063" s="51" t="s">
        <v>4614</v>
      </c>
      <c r="X7063" s="51" t="s">
        <v>2359</v>
      </c>
    </row>
    <row r="7064" customFormat="false" ht="14.25" hidden="true" customHeight="false" outlineLevel="0" collapsed="false">
      <c r="A7064" s="49" t="s">
        <v>2349</v>
      </c>
      <c r="B7064" s="49" t="s">
        <v>2350</v>
      </c>
      <c r="C7064" s="49" t="s">
        <v>11855</v>
      </c>
      <c r="D7064" s="49" t="s">
        <v>2352</v>
      </c>
      <c r="E7064" s="49" t="s">
        <v>7198</v>
      </c>
      <c r="F7064" s="49" t="s">
        <v>7199</v>
      </c>
      <c r="G7064" s="49" t="n">
        <v>0</v>
      </c>
      <c r="H7064" s="0" t="n">
        <v>0</v>
      </c>
      <c r="M7064" s="51" t="s">
        <v>11852</v>
      </c>
      <c r="N7064" s="49" t="n">
        <v>0</v>
      </c>
      <c r="O7064" s="53" t="n">
        <v>45887.486412037</v>
      </c>
      <c r="P7064" s="53" t="n">
        <v>45892.4947685185</v>
      </c>
      <c r="Q7064" s="53" t="n">
        <v>45887.486412037</v>
      </c>
      <c r="R7064" s="0" t="n">
        <v>0</v>
      </c>
      <c r="S7064" s="51" t="s">
        <v>2356</v>
      </c>
      <c r="T7064" s="51" t="s">
        <v>2356</v>
      </c>
      <c r="U7064" s="51" t="s">
        <v>7198</v>
      </c>
      <c r="V7064" s="51" t="s">
        <v>2365</v>
      </c>
      <c r="W7064" s="51" t="s">
        <v>8293</v>
      </c>
      <c r="X7064" s="51" t="s">
        <v>2359</v>
      </c>
    </row>
    <row r="7065" customFormat="false" ht="14.25" hidden="true" customHeight="false" outlineLevel="0" collapsed="false">
      <c r="A7065" s="49" t="s">
        <v>2349</v>
      </c>
      <c r="B7065" s="49" t="s">
        <v>2350</v>
      </c>
      <c r="C7065" s="49" t="s">
        <v>11856</v>
      </c>
      <c r="D7065" s="49" t="s">
        <v>2352</v>
      </c>
      <c r="E7065" s="49" t="s">
        <v>7198</v>
      </c>
      <c r="F7065" s="49" t="s">
        <v>7199</v>
      </c>
      <c r="G7065" s="49" t="n">
        <v>0</v>
      </c>
      <c r="H7065" s="0" t="n">
        <v>0</v>
      </c>
      <c r="M7065" s="51" t="s">
        <v>11852</v>
      </c>
      <c r="N7065" s="49" t="n">
        <v>0</v>
      </c>
      <c r="O7065" s="53" t="n">
        <v>45887.4862384259</v>
      </c>
      <c r="P7065" s="53" t="n">
        <v>45892.4968171296</v>
      </c>
      <c r="Q7065" s="53" t="n">
        <v>45887.4862384259</v>
      </c>
      <c r="R7065" s="0" t="n">
        <v>0</v>
      </c>
      <c r="S7065" s="51" t="s">
        <v>2356</v>
      </c>
      <c r="T7065" s="51" t="s">
        <v>2356</v>
      </c>
      <c r="U7065" s="51" t="s">
        <v>7198</v>
      </c>
      <c r="V7065" s="51" t="s">
        <v>2365</v>
      </c>
      <c r="W7065" s="51" t="s">
        <v>9718</v>
      </c>
      <c r="X7065" s="51" t="s">
        <v>2359</v>
      </c>
    </row>
    <row r="7066" customFormat="false" ht="14.25" hidden="true" customHeight="false" outlineLevel="0" collapsed="false">
      <c r="A7066" s="49" t="s">
        <v>2349</v>
      </c>
      <c r="B7066" s="49" t="s">
        <v>2350</v>
      </c>
      <c r="C7066" s="49" t="s">
        <v>11857</v>
      </c>
      <c r="D7066" s="49" t="s">
        <v>2352</v>
      </c>
      <c r="E7066" s="49" t="s">
        <v>7198</v>
      </c>
      <c r="F7066" s="49" t="s">
        <v>7199</v>
      </c>
      <c r="G7066" s="49" t="n">
        <v>0</v>
      </c>
      <c r="H7066" s="0" t="n">
        <v>0</v>
      </c>
      <c r="M7066" s="51" t="s">
        <v>11852</v>
      </c>
      <c r="N7066" s="49" t="n">
        <v>0</v>
      </c>
      <c r="O7066" s="53" t="n">
        <v>45887.4859722222</v>
      </c>
      <c r="P7066" s="53" t="n">
        <v>45892.4973263889</v>
      </c>
      <c r="Q7066" s="53" t="n">
        <v>45887.4859722222</v>
      </c>
      <c r="R7066" s="0" t="n">
        <v>0</v>
      </c>
      <c r="S7066" s="51" t="s">
        <v>2356</v>
      </c>
      <c r="T7066" s="51" t="s">
        <v>2356</v>
      </c>
      <c r="U7066" s="51" t="s">
        <v>7198</v>
      </c>
      <c r="V7066" s="51" t="s">
        <v>2365</v>
      </c>
      <c r="W7066" s="51" t="s">
        <v>4365</v>
      </c>
      <c r="X7066" s="51" t="s">
        <v>2359</v>
      </c>
    </row>
    <row r="7067" customFormat="false" ht="14.25" hidden="true" customHeight="false" outlineLevel="0" collapsed="false">
      <c r="A7067" s="49" t="s">
        <v>2349</v>
      </c>
      <c r="B7067" s="49" t="s">
        <v>2350</v>
      </c>
      <c r="C7067" s="49" t="s">
        <v>11858</v>
      </c>
      <c r="D7067" s="49" t="s">
        <v>2352</v>
      </c>
      <c r="E7067" s="49" t="s">
        <v>7198</v>
      </c>
      <c r="F7067" s="49" t="s">
        <v>7199</v>
      </c>
      <c r="G7067" s="49" t="n">
        <v>0</v>
      </c>
      <c r="H7067" s="0" t="n">
        <v>0</v>
      </c>
      <c r="M7067" s="51" t="s">
        <v>11852</v>
      </c>
      <c r="N7067" s="49" t="n">
        <v>0</v>
      </c>
      <c r="O7067" s="53" t="n">
        <v>45887.4857986111</v>
      </c>
      <c r="P7067" s="53" t="n">
        <v>45960.412337963</v>
      </c>
      <c r="Q7067" s="53" t="n">
        <v>45887.4857986111</v>
      </c>
      <c r="R7067" s="0" t="n">
        <v>0</v>
      </c>
      <c r="S7067" s="51" t="s">
        <v>2356</v>
      </c>
      <c r="T7067" s="51" t="s">
        <v>2356</v>
      </c>
      <c r="U7067" s="51" t="s">
        <v>7198</v>
      </c>
      <c r="V7067" s="51" t="s">
        <v>2365</v>
      </c>
      <c r="W7067" s="51" t="s">
        <v>8278</v>
      </c>
      <c r="X7067" s="51" t="s">
        <v>2359</v>
      </c>
    </row>
    <row r="7068" customFormat="false" ht="14.25" hidden="true" customHeight="false" outlineLevel="0" collapsed="false">
      <c r="A7068" s="49" t="s">
        <v>2349</v>
      </c>
      <c r="B7068" s="49" t="s">
        <v>2350</v>
      </c>
      <c r="C7068" s="49" t="s">
        <v>11859</v>
      </c>
      <c r="D7068" s="49" t="s">
        <v>2352</v>
      </c>
      <c r="E7068" s="49" t="s">
        <v>7198</v>
      </c>
      <c r="F7068" s="49" t="s">
        <v>7199</v>
      </c>
      <c r="G7068" s="49" t="n">
        <v>0</v>
      </c>
      <c r="H7068" s="0" t="n">
        <v>0</v>
      </c>
      <c r="M7068" s="51" t="s">
        <v>11852</v>
      </c>
      <c r="N7068" s="49" t="n">
        <v>0</v>
      </c>
      <c r="O7068" s="53" t="n">
        <v>45887.4854976852</v>
      </c>
      <c r="P7068" s="53" t="n">
        <v>45997.3715856482</v>
      </c>
      <c r="Q7068" s="53" t="n">
        <v>45887.4854976852</v>
      </c>
      <c r="R7068" s="0" t="n">
        <v>0</v>
      </c>
      <c r="S7068" s="51" t="s">
        <v>2356</v>
      </c>
      <c r="T7068" s="51" t="s">
        <v>2356</v>
      </c>
      <c r="U7068" s="51" t="s">
        <v>7198</v>
      </c>
      <c r="V7068" s="51" t="s">
        <v>2365</v>
      </c>
      <c r="W7068" s="51" t="s">
        <v>8278</v>
      </c>
      <c r="X7068" s="51" t="s">
        <v>2359</v>
      </c>
    </row>
    <row r="7069" customFormat="false" ht="14.25" hidden="true" customHeight="false" outlineLevel="0" collapsed="false">
      <c r="A7069" s="49" t="s">
        <v>2349</v>
      </c>
      <c r="B7069" s="49" t="s">
        <v>2350</v>
      </c>
      <c r="C7069" s="49" t="s">
        <v>11860</v>
      </c>
      <c r="D7069" s="49" t="s">
        <v>2352</v>
      </c>
      <c r="E7069" s="49" t="s">
        <v>7198</v>
      </c>
      <c r="F7069" s="49" t="s">
        <v>7199</v>
      </c>
      <c r="G7069" s="49" t="n">
        <v>0</v>
      </c>
      <c r="H7069" s="0" t="n">
        <v>0</v>
      </c>
      <c r="M7069" s="51" t="s">
        <v>11852</v>
      </c>
      <c r="N7069" s="49" t="n">
        <v>0</v>
      </c>
      <c r="O7069" s="53" t="n">
        <v>45887.4853009259</v>
      </c>
      <c r="P7069" s="53" t="n">
        <v>45892.4976736111</v>
      </c>
      <c r="Q7069" s="53" t="n">
        <v>45887.4853009259</v>
      </c>
      <c r="R7069" s="0" t="n">
        <v>0</v>
      </c>
      <c r="S7069" s="51" t="s">
        <v>2356</v>
      </c>
      <c r="T7069" s="51" t="s">
        <v>2356</v>
      </c>
      <c r="U7069" s="51" t="s">
        <v>7198</v>
      </c>
      <c r="V7069" s="51" t="s">
        <v>2365</v>
      </c>
      <c r="W7069" s="51" t="s">
        <v>8830</v>
      </c>
      <c r="X7069" s="51" t="s">
        <v>2359</v>
      </c>
    </row>
    <row r="7070" customFormat="false" ht="14.25" hidden="true" customHeight="false" outlineLevel="0" collapsed="false">
      <c r="A7070" s="49" t="s">
        <v>2349</v>
      </c>
      <c r="B7070" s="49" t="s">
        <v>2350</v>
      </c>
      <c r="C7070" s="49" t="s">
        <v>11861</v>
      </c>
      <c r="D7070" s="49" t="s">
        <v>2352</v>
      </c>
      <c r="E7070" s="49" t="s">
        <v>7198</v>
      </c>
      <c r="F7070" s="49" t="s">
        <v>7199</v>
      </c>
      <c r="G7070" s="49" t="n">
        <v>0</v>
      </c>
      <c r="H7070" s="0" t="n">
        <v>0</v>
      </c>
      <c r="M7070" s="51" t="s">
        <v>11852</v>
      </c>
      <c r="N7070" s="49" t="n">
        <v>0</v>
      </c>
      <c r="O7070" s="53" t="n">
        <v>45887.4850925926</v>
      </c>
      <c r="P7070" s="53" t="n">
        <v>45892.4974537037</v>
      </c>
      <c r="Q7070" s="53" t="n">
        <v>45887.4850925926</v>
      </c>
      <c r="R7070" s="0" t="n">
        <v>0</v>
      </c>
      <c r="S7070" s="51" t="s">
        <v>2356</v>
      </c>
      <c r="T7070" s="51" t="s">
        <v>2356</v>
      </c>
      <c r="U7070" s="51" t="s">
        <v>7198</v>
      </c>
      <c r="V7070" s="51" t="s">
        <v>2365</v>
      </c>
      <c r="W7070" s="51" t="s">
        <v>7201</v>
      </c>
      <c r="X7070" s="51" t="s">
        <v>2359</v>
      </c>
    </row>
    <row r="7071" customFormat="false" ht="14.25" hidden="true" customHeight="false" outlineLevel="0" collapsed="false">
      <c r="A7071" s="49" t="s">
        <v>2349</v>
      </c>
      <c r="B7071" s="49" t="s">
        <v>2350</v>
      </c>
      <c r="C7071" s="49" t="s">
        <v>11862</v>
      </c>
      <c r="D7071" s="49" t="s">
        <v>2352</v>
      </c>
      <c r="E7071" s="49" t="s">
        <v>7198</v>
      </c>
      <c r="F7071" s="49" t="s">
        <v>7199</v>
      </c>
      <c r="G7071" s="49" t="n">
        <v>0</v>
      </c>
      <c r="H7071" s="0" t="n">
        <v>0</v>
      </c>
      <c r="M7071" s="51" t="s">
        <v>11852</v>
      </c>
      <c r="N7071" s="49" t="n">
        <v>0</v>
      </c>
      <c r="O7071" s="53" t="n">
        <v>45887.4847222222</v>
      </c>
      <c r="P7071" s="53" t="n">
        <v>45892.4941898148</v>
      </c>
      <c r="Q7071" s="53" t="n">
        <v>45887.4847222222</v>
      </c>
      <c r="R7071" s="0" t="n">
        <v>0</v>
      </c>
      <c r="S7071" s="51" t="s">
        <v>2356</v>
      </c>
      <c r="T7071" s="51" t="s">
        <v>2356</v>
      </c>
      <c r="U7071" s="51" t="s">
        <v>7198</v>
      </c>
      <c r="V7071" s="51" t="s">
        <v>2365</v>
      </c>
      <c r="W7071" s="51" t="s">
        <v>4146</v>
      </c>
      <c r="X7071" s="51" t="s">
        <v>2359</v>
      </c>
    </row>
    <row r="7072" customFormat="false" ht="14.25" hidden="true" customHeight="false" outlineLevel="0" collapsed="false">
      <c r="A7072" s="49" t="s">
        <v>2349</v>
      </c>
      <c r="B7072" s="49" t="s">
        <v>2350</v>
      </c>
      <c r="C7072" s="49" t="s">
        <v>11863</v>
      </c>
      <c r="D7072" s="49" t="s">
        <v>2352</v>
      </c>
      <c r="E7072" s="49" t="str">
        <f aca="false">"12610361"</f>
        <v>12610361</v>
      </c>
      <c r="F7072" s="49" t="s">
        <v>10287</v>
      </c>
      <c r="G7072" s="49" t="n">
        <v>0</v>
      </c>
      <c r="H7072" s="0" t="n">
        <v>0</v>
      </c>
      <c r="M7072" s="51" t="s">
        <v>11864</v>
      </c>
      <c r="N7072" s="49" t="n">
        <v>0</v>
      </c>
      <c r="O7072" s="53" t="n">
        <v>45959.5635300926</v>
      </c>
      <c r="P7072" s="53" t="n">
        <v>45965.4717013889</v>
      </c>
      <c r="Q7072" s="53" t="n">
        <v>45959.5635300926</v>
      </c>
      <c r="R7072" s="0" t="n">
        <v>0</v>
      </c>
      <c r="S7072" s="51" t="s">
        <v>2401</v>
      </c>
      <c r="T7072" s="51" t="s">
        <v>2401</v>
      </c>
      <c r="U7072" s="0" t="str">
        <f aca="false">"12610361"</f>
        <v>12610361</v>
      </c>
      <c r="V7072" s="51" t="s">
        <v>2365</v>
      </c>
      <c r="W7072" s="51" t="s">
        <v>10154</v>
      </c>
      <c r="X7072" s="51" t="s">
        <v>2359</v>
      </c>
    </row>
    <row r="7073" customFormat="false" ht="14.25" hidden="true" customHeight="false" outlineLevel="0" collapsed="false">
      <c r="A7073" s="49" t="s">
        <v>2349</v>
      </c>
      <c r="B7073" s="49" t="s">
        <v>2350</v>
      </c>
      <c r="C7073" s="49" t="s">
        <v>11865</v>
      </c>
      <c r="D7073" s="49" t="s">
        <v>2352</v>
      </c>
      <c r="E7073" s="49" t="str">
        <f aca="false">"12610361"</f>
        <v>12610361</v>
      </c>
      <c r="F7073" s="49" t="s">
        <v>10287</v>
      </c>
      <c r="G7073" s="49" t="n">
        <v>0</v>
      </c>
      <c r="H7073" s="0" t="n">
        <v>0</v>
      </c>
      <c r="M7073" s="51" t="s">
        <v>11864</v>
      </c>
      <c r="N7073" s="49" t="n">
        <v>0</v>
      </c>
      <c r="O7073" s="53" t="n">
        <v>45959.5631481482</v>
      </c>
      <c r="P7073" s="53" t="n">
        <v>45965.4730902778</v>
      </c>
      <c r="Q7073" s="53" t="n">
        <v>45959.5631481482</v>
      </c>
      <c r="R7073" s="0" t="n">
        <v>0</v>
      </c>
      <c r="S7073" s="51" t="s">
        <v>2401</v>
      </c>
      <c r="T7073" s="51" t="s">
        <v>2401</v>
      </c>
      <c r="U7073" s="0" t="str">
        <f aca="false">"12610361"</f>
        <v>12610361</v>
      </c>
      <c r="V7073" s="51" t="s">
        <v>2365</v>
      </c>
      <c r="W7073" s="51" t="s">
        <v>10149</v>
      </c>
      <c r="X7073" s="51" t="s">
        <v>2359</v>
      </c>
    </row>
    <row r="7074" customFormat="false" ht="14.25" hidden="true" customHeight="false" outlineLevel="0" collapsed="false">
      <c r="A7074" s="49" t="s">
        <v>2349</v>
      </c>
      <c r="B7074" s="49" t="s">
        <v>2350</v>
      </c>
      <c r="C7074" s="49" t="s">
        <v>11866</v>
      </c>
      <c r="D7074" s="49" t="s">
        <v>2352</v>
      </c>
      <c r="E7074" s="49" t="str">
        <f aca="false">"12610361"</f>
        <v>12610361</v>
      </c>
      <c r="F7074" s="49" t="s">
        <v>10287</v>
      </c>
      <c r="G7074" s="49" t="n">
        <v>0</v>
      </c>
      <c r="H7074" s="0" t="n">
        <v>0</v>
      </c>
      <c r="M7074" s="51" t="s">
        <v>11864</v>
      </c>
      <c r="N7074" s="49" t="n">
        <v>0</v>
      </c>
      <c r="O7074" s="53" t="n">
        <v>45959.5234143519</v>
      </c>
      <c r="P7074" s="53" t="n">
        <v>45965.4722106482</v>
      </c>
      <c r="Q7074" s="53" t="n">
        <v>45959.5234143519</v>
      </c>
      <c r="R7074" s="0" t="n">
        <v>0</v>
      </c>
      <c r="S7074" s="51" t="s">
        <v>2401</v>
      </c>
      <c r="T7074" s="51" t="s">
        <v>2401</v>
      </c>
      <c r="U7074" s="0" t="str">
        <f aca="false">"12610361"</f>
        <v>12610361</v>
      </c>
      <c r="V7074" s="51" t="s">
        <v>2365</v>
      </c>
      <c r="W7074" s="51" t="s">
        <v>10176</v>
      </c>
      <c r="X7074" s="51" t="s">
        <v>2359</v>
      </c>
    </row>
    <row r="7075" customFormat="false" ht="14.25" hidden="true" customHeight="false" outlineLevel="0" collapsed="false">
      <c r="A7075" s="49" t="s">
        <v>2349</v>
      </c>
      <c r="B7075" s="49" t="s">
        <v>2350</v>
      </c>
      <c r="C7075" s="49" t="s">
        <v>11867</v>
      </c>
      <c r="D7075" s="49" t="s">
        <v>2352</v>
      </c>
      <c r="E7075" s="49" t="str">
        <f aca="false">"12428864"</f>
        <v>12428864</v>
      </c>
      <c r="F7075" s="49" t="s">
        <v>4251</v>
      </c>
      <c r="G7075" s="49" t="n">
        <v>0</v>
      </c>
      <c r="H7075" s="0" t="n">
        <v>0</v>
      </c>
      <c r="M7075" s="51" t="s">
        <v>11864</v>
      </c>
      <c r="N7075" s="49" t="n">
        <v>0</v>
      </c>
      <c r="O7075" s="53" t="n">
        <v>45959.5662962963</v>
      </c>
      <c r="P7075" s="53" t="n">
        <v>45963.8119907407</v>
      </c>
      <c r="Q7075" s="53" t="n">
        <v>45959.5662962963</v>
      </c>
      <c r="R7075" s="0" t="n">
        <v>0</v>
      </c>
      <c r="S7075" s="51" t="s">
        <v>2401</v>
      </c>
      <c r="T7075" s="51" t="s">
        <v>2401</v>
      </c>
      <c r="U7075" s="0" t="str">
        <f aca="false">"12428864"</f>
        <v>12428864</v>
      </c>
      <c r="V7075" s="51" t="s">
        <v>2365</v>
      </c>
      <c r="W7075" s="51" t="s">
        <v>11868</v>
      </c>
      <c r="X7075" s="51" t="s">
        <v>2359</v>
      </c>
    </row>
    <row r="7076" customFormat="false" ht="14.25" hidden="true" customHeight="false" outlineLevel="0" collapsed="false">
      <c r="A7076" s="49" t="s">
        <v>2349</v>
      </c>
      <c r="B7076" s="49" t="s">
        <v>2350</v>
      </c>
      <c r="C7076" s="49" t="s">
        <v>11869</v>
      </c>
      <c r="D7076" s="49" t="s">
        <v>2352</v>
      </c>
      <c r="E7076" s="49" t="str">
        <f aca="false">"12428864"</f>
        <v>12428864</v>
      </c>
      <c r="F7076" s="49" t="s">
        <v>4251</v>
      </c>
      <c r="G7076" s="49" t="n">
        <v>0</v>
      </c>
      <c r="H7076" s="0" t="n">
        <v>0</v>
      </c>
      <c r="M7076" s="51" t="s">
        <v>11864</v>
      </c>
      <c r="N7076" s="49" t="n">
        <v>0</v>
      </c>
      <c r="O7076" s="53" t="n">
        <v>45959.5659143519</v>
      </c>
      <c r="P7076" s="53" t="n">
        <v>45963.8135532407</v>
      </c>
      <c r="Q7076" s="53" t="n">
        <v>45959.5659143519</v>
      </c>
      <c r="R7076" s="0" t="n">
        <v>0</v>
      </c>
      <c r="S7076" s="51" t="s">
        <v>2401</v>
      </c>
      <c r="T7076" s="51" t="s">
        <v>2401</v>
      </c>
      <c r="U7076" s="0" t="str">
        <f aca="false">"12428864"</f>
        <v>12428864</v>
      </c>
      <c r="V7076" s="51" t="s">
        <v>2365</v>
      </c>
      <c r="W7076" s="51" t="s">
        <v>11870</v>
      </c>
      <c r="X7076" s="51" t="s">
        <v>2359</v>
      </c>
    </row>
    <row r="7077" customFormat="false" ht="14.25" hidden="true" customHeight="false" outlineLevel="0" collapsed="false">
      <c r="A7077" s="49" t="s">
        <v>2349</v>
      </c>
      <c r="B7077" s="49" t="s">
        <v>2350</v>
      </c>
      <c r="C7077" s="49" t="s">
        <v>11871</v>
      </c>
      <c r="D7077" s="49" t="s">
        <v>2352</v>
      </c>
      <c r="E7077" s="49" t="str">
        <f aca="false">"12428864"</f>
        <v>12428864</v>
      </c>
      <c r="F7077" s="49" t="s">
        <v>4251</v>
      </c>
      <c r="G7077" s="49" t="n">
        <v>0</v>
      </c>
      <c r="H7077" s="0" t="n">
        <v>0</v>
      </c>
      <c r="M7077" s="51" t="s">
        <v>11864</v>
      </c>
      <c r="N7077" s="49" t="n">
        <v>0</v>
      </c>
      <c r="O7077" s="53" t="n">
        <v>45959.5655787037</v>
      </c>
      <c r="P7077" s="53" t="n">
        <v>45972.8862962963</v>
      </c>
      <c r="Q7077" s="53" t="n">
        <v>45959.5655787037</v>
      </c>
      <c r="R7077" s="0" t="n">
        <v>0</v>
      </c>
      <c r="S7077" s="51" t="s">
        <v>2401</v>
      </c>
      <c r="T7077" s="51" t="s">
        <v>2401</v>
      </c>
      <c r="U7077" s="0" t="str">
        <f aca="false">"12428864"</f>
        <v>12428864</v>
      </c>
      <c r="V7077" s="51" t="s">
        <v>2365</v>
      </c>
      <c r="W7077" s="51" t="s">
        <v>8948</v>
      </c>
      <c r="X7077" s="51" t="s">
        <v>2359</v>
      </c>
    </row>
    <row r="7078" customFormat="false" ht="14.25" hidden="true" customHeight="false" outlineLevel="0" collapsed="false">
      <c r="A7078" s="49" t="s">
        <v>2349</v>
      </c>
      <c r="B7078" s="49" t="s">
        <v>2350</v>
      </c>
      <c r="C7078" s="49" t="s">
        <v>11872</v>
      </c>
      <c r="D7078" s="49" t="s">
        <v>2352</v>
      </c>
      <c r="E7078" s="49" t="str">
        <f aca="false">"12428864"</f>
        <v>12428864</v>
      </c>
      <c r="F7078" s="49" t="s">
        <v>4251</v>
      </c>
      <c r="G7078" s="49" t="n">
        <v>0</v>
      </c>
      <c r="H7078" s="0" t="n">
        <v>0</v>
      </c>
      <c r="M7078" s="51" t="s">
        <v>11864</v>
      </c>
      <c r="N7078" s="49" t="n">
        <v>0</v>
      </c>
      <c r="O7078" s="53" t="n">
        <v>45959.5654050926</v>
      </c>
      <c r="P7078" s="53" t="n">
        <v>45972.8880092593</v>
      </c>
      <c r="Q7078" s="53" t="n">
        <v>45959.5654050926</v>
      </c>
      <c r="R7078" s="0" t="n">
        <v>0</v>
      </c>
      <c r="S7078" s="51" t="s">
        <v>2401</v>
      </c>
      <c r="T7078" s="51" t="s">
        <v>2401</v>
      </c>
      <c r="U7078" s="0" t="str">
        <f aca="false">"12428864"</f>
        <v>12428864</v>
      </c>
      <c r="V7078" s="51" t="s">
        <v>2365</v>
      </c>
      <c r="W7078" s="51" t="s">
        <v>10556</v>
      </c>
      <c r="X7078" s="51" t="s">
        <v>2359</v>
      </c>
    </row>
    <row r="7079" customFormat="false" ht="14.25" hidden="true" customHeight="false" outlineLevel="0" collapsed="false">
      <c r="A7079" s="49" t="s">
        <v>2349</v>
      </c>
      <c r="B7079" s="49" t="s">
        <v>2350</v>
      </c>
      <c r="C7079" s="49" t="s">
        <v>11873</v>
      </c>
      <c r="D7079" s="49" t="s">
        <v>2352</v>
      </c>
      <c r="E7079" s="49" t="str">
        <f aca="false">"12428864"</f>
        <v>12428864</v>
      </c>
      <c r="F7079" s="49" t="s">
        <v>4251</v>
      </c>
      <c r="G7079" s="49" t="n">
        <v>0</v>
      </c>
      <c r="H7079" s="0" t="n">
        <v>0</v>
      </c>
      <c r="M7079" s="51" t="s">
        <v>11864</v>
      </c>
      <c r="N7079" s="49" t="n">
        <v>0</v>
      </c>
      <c r="O7079" s="53" t="n">
        <v>45959.5649305556</v>
      </c>
      <c r="P7079" s="53" t="n">
        <v>45970.4848958333</v>
      </c>
      <c r="Q7079" s="53" t="n">
        <v>45959.5649305556</v>
      </c>
      <c r="R7079" s="0" t="n">
        <v>0</v>
      </c>
      <c r="S7079" s="51" t="s">
        <v>2401</v>
      </c>
      <c r="T7079" s="51" t="s">
        <v>2401</v>
      </c>
      <c r="U7079" s="0" t="str">
        <f aca="false">"12428864"</f>
        <v>12428864</v>
      </c>
      <c r="V7079" s="51" t="s">
        <v>2365</v>
      </c>
      <c r="W7079" s="51" t="s">
        <v>10881</v>
      </c>
      <c r="X7079" s="51" t="s">
        <v>2359</v>
      </c>
    </row>
    <row r="7080" customFormat="false" ht="14.25" hidden="true" customHeight="false" outlineLevel="0" collapsed="false">
      <c r="A7080" s="49" t="s">
        <v>2349</v>
      </c>
      <c r="B7080" s="49" t="s">
        <v>2350</v>
      </c>
      <c r="C7080" s="49" t="s">
        <v>11874</v>
      </c>
      <c r="D7080" s="49" t="s">
        <v>2352</v>
      </c>
      <c r="E7080" s="49" t="str">
        <f aca="false">"12428864"</f>
        <v>12428864</v>
      </c>
      <c r="F7080" s="49" t="s">
        <v>4251</v>
      </c>
      <c r="G7080" s="49" t="n">
        <v>0</v>
      </c>
      <c r="H7080" s="0" t="n">
        <v>0</v>
      </c>
      <c r="M7080" s="51" t="s">
        <v>11864</v>
      </c>
      <c r="N7080" s="49" t="n">
        <v>0</v>
      </c>
      <c r="O7080" s="53" t="n">
        <v>45959.5646990741</v>
      </c>
      <c r="P7080" s="53" t="n">
        <v>45970.4819212963</v>
      </c>
      <c r="Q7080" s="53" t="n">
        <v>45959.5646990741</v>
      </c>
      <c r="R7080" s="0" t="n">
        <v>0</v>
      </c>
      <c r="S7080" s="51" t="s">
        <v>2401</v>
      </c>
      <c r="T7080" s="51" t="s">
        <v>2401</v>
      </c>
      <c r="U7080" s="0" t="str">
        <f aca="false">"12428864"</f>
        <v>12428864</v>
      </c>
      <c r="V7080" s="51" t="s">
        <v>2365</v>
      </c>
      <c r="W7080" s="51" t="s">
        <v>11597</v>
      </c>
      <c r="X7080" s="51" t="s">
        <v>2359</v>
      </c>
    </row>
    <row r="7081" customFormat="false" ht="14.25" hidden="true" customHeight="false" outlineLevel="0" collapsed="false">
      <c r="A7081" s="49" t="s">
        <v>2349</v>
      </c>
      <c r="B7081" s="49" t="s">
        <v>2350</v>
      </c>
      <c r="C7081" s="49" t="s">
        <v>11875</v>
      </c>
      <c r="D7081" s="49" t="s">
        <v>2352</v>
      </c>
      <c r="E7081" s="49" t="str">
        <f aca="false">"12428864"</f>
        <v>12428864</v>
      </c>
      <c r="F7081" s="49" t="s">
        <v>4251</v>
      </c>
      <c r="G7081" s="49" t="n">
        <v>0</v>
      </c>
      <c r="H7081" s="0" t="n">
        <v>0</v>
      </c>
      <c r="M7081" s="51" t="s">
        <v>11864</v>
      </c>
      <c r="N7081" s="49" t="n">
        <v>0</v>
      </c>
      <c r="O7081" s="53" t="n">
        <v>45959.564375</v>
      </c>
      <c r="P7081" s="53" t="n">
        <v>45965.481875</v>
      </c>
      <c r="Q7081" s="53" t="n">
        <v>45959.564375</v>
      </c>
      <c r="R7081" s="0" t="n">
        <v>0</v>
      </c>
      <c r="S7081" s="51" t="s">
        <v>2401</v>
      </c>
      <c r="T7081" s="51" t="s">
        <v>2401</v>
      </c>
      <c r="U7081" s="0" t="str">
        <f aca="false">"12428864"</f>
        <v>12428864</v>
      </c>
      <c r="V7081" s="51" t="s">
        <v>2365</v>
      </c>
      <c r="W7081" s="51" t="s">
        <v>11876</v>
      </c>
      <c r="X7081" s="51" t="s">
        <v>2359</v>
      </c>
    </row>
    <row r="7082" customFormat="false" ht="14.25" hidden="true" customHeight="false" outlineLevel="0" collapsed="false">
      <c r="A7082" s="49" t="s">
        <v>2349</v>
      </c>
      <c r="B7082" s="49" t="s">
        <v>2350</v>
      </c>
      <c r="C7082" s="49" t="s">
        <v>11877</v>
      </c>
      <c r="D7082" s="49" t="s">
        <v>2352</v>
      </c>
      <c r="E7082" s="49" t="str">
        <f aca="false">"12610361"</f>
        <v>12610361</v>
      </c>
      <c r="F7082" s="49" t="s">
        <v>10287</v>
      </c>
      <c r="G7082" s="49" t="n">
        <v>0</v>
      </c>
      <c r="H7082" s="0" t="n">
        <v>0</v>
      </c>
      <c r="M7082" s="51" t="s">
        <v>11864</v>
      </c>
      <c r="N7082" s="49" t="n">
        <v>0</v>
      </c>
      <c r="O7082" s="53" t="n">
        <v>45959.5230787037</v>
      </c>
      <c r="P7082" s="53" t="n">
        <v>45965.4737037037</v>
      </c>
      <c r="Q7082" s="53" t="n">
        <v>45959.5230787037</v>
      </c>
      <c r="R7082" s="0" t="n">
        <v>0</v>
      </c>
      <c r="S7082" s="51" t="s">
        <v>2401</v>
      </c>
      <c r="T7082" s="51" t="s">
        <v>2401</v>
      </c>
      <c r="U7082" s="0" t="str">
        <f aca="false">"12610361"</f>
        <v>12610361</v>
      </c>
      <c r="V7082" s="51" t="s">
        <v>2365</v>
      </c>
      <c r="W7082" s="51" t="s">
        <v>10179</v>
      </c>
      <c r="X7082" s="51" t="s">
        <v>2359</v>
      </c>
    </row>
    <row r="7083" customFormat="false" ht="14.25" hidden="true" customHeight="false" outlineLevel="0" collapsed="false">
      <c r="A7083" s="49" t="s">
        <v>2349</v>
      </c>
      <c r="B7083" s="49" t="s">
        <v>2350</v>
      </c>
      <c r="C7083" s="49" t="s">
        <v>11878</v>
      </c>
      <c r="D7083" s="49" t="s">
        <v>2352</v>
      </c>
      <c r="E7083" s="49" t="str">
        <f aca="false">"12610361"</f>
        <v>12610361</v>
      </c>
      <c r="F7083" s="49" t="s">
        <v>10287</v>
      </c>
      <c r="G7083" s="49" t="n">
        <v>0</v>
      </c>
      <c r="H7083" s="0" t="n">
        <v>0</v>
      </c>
      <c r="M7083" s="51" t="s">
        <v>11864</v>
      </c>
      <c r="N7083" s="49" t="n">
        <v>0</v>
      </c>
      <c r="O7083" s="53" t="n">
        <v>45959.5229050926</v>
      </c>
      <c r="P7083" s="53" t="n">
        <v>45965.472650463</v>
      </c>
      <c r="Q7083" s="53" t="n">
        <v>45959.5229050926</v>
      </c>
      <c r="R7083" s="0" t="n">
        <v>0</v>
      </c>
      <c r="S7083" s="51" t="s">
        <v>2401</v>
      </c>
      <c r="T7083" s="51" t="s">
        <v>2401</v>
      </c>
      <c r="U7083" s="0" t="str">
        <f aca="false">"12610361"</f>
        <v>12610361</v>
      </c>
      <c r="V7083" s="51" t="s">
        <v>2365</v>
      </c>
      <c r="W7083" s="51" t="s">
        <v>10174</v>
      </c>
      <c r="X7083" s="51" t="s">
        <v>2359</v>
      </c>
    </row>
    <row r="7084" customFormat="false" ht="14.25" hidden="true" customHeight="false" outlineLevel="0" collapsed="false">
      <c r="A7084" s="49" t="s">
        <v>2349</v>
      </c>
      <c r="B7084" s="49" t="s">
        <v>2350</v>
      </c>
      <c r="C7084" s="49" t="s">
        <v>11879</v>
      </c>
      <c r="D7084" s="49" t="s">
        <v>2352</v>
      </c>
      <c r="E7084" s="49" t="str">
        <f aca="false">"5060458890191"</f>
        <v>5060458890191</v>
      </c>
      <c r="F7084" s="49" t="s">
        <v>3656</v>
      </c>
      <c r="G7084" s="49" t="n">
        <v>0</v>
      </c>
      <c r="H7084" s="0" t="n">
        <v>0</v>
      </c>
      <c r="M7084" s="51" t="s">
        <v>11880</v>
      </c>
      <c r="N7084" s="49" t="n">
        <v>0</v>
      </c>
      <c r="O7084" s="53" t="n">
        <v>45960.6607986111</v>
      </c>
      <c r="P7084" s="53" t="n">
        <v>45971.9166898148</v>
      </c>
      <c r="Q7084" s="53" t="n">
        <v>45960.6607986111</v>
      </c>
      <c r="R7084" s="0" t="n">
        <v>0</v>
      </c>
      <c r="S7084" s="51" t="s">
        <v>2401</v>
      </c>
      <c r="T7084" s="51" t="s">
        <v>2401</v>
      </c>
      <c r="U7084" s="0" t="str">
        <f aca="false">"5060458890191"</f>
        <v>5060458890191</v>
      </c>
      <c r="V7084" s="51" t="s">
        <v>2142</v>
      </c>
      <c r="W7084" s="51" t="s">
        <v>10218</v>
      </c>
      <c r="X7084" s="51" t="s">
        <v>2359</v>
      </c>
    </row>
    <row r="7085" customFormat="false" ht="14.25" hidden="true" customHeight="false" outlineLevel="0" collapsed="false">
      <c r="A7085" s="49" t="s">
        <v>2349</v>
      </c>
      <c r="B7085" s="49" t="s">
        <v>2350</v>
      </c>
      <c r="C7085" s="49" t="s">
        <v>11881</v>
      </c>
      <c r="D7085" s="49" t="s">
        <v>2352</v>
      </c>
      <c r="E7085" s="49" t="str">
        <f aca="false">"5060458890191"</f>
        <v>5060458890191</v>
      </c>
      <c r="F7085" s="49" t="s">
        <v>3656</v>
      </c>
      <c r="G7085" s="49" t="n">
        <v>0</v>
      </c>
      <c r="H7085" s="0" t="n">
        <v>0</v>
      </c>
      <c r="M7085" s="51" t="s">
        <v>11880</v>
      </c>
      <c r="N7085" s="49" t="n">
        <v>0</v>
      </c>
      <c r="O7085" s="53" t="n">
        <v>45960.6610069444</v>
      </c>
      <c r="P7085" s="53" t="n">
        <v>45971.9193055556</v>
      </c>
      <c r="Q7085" s="53" t="n">
        <v>45960.6610069444</v>
      </c>
      <c r="R7085" s="0" t="n">
        <v>0</v>
      </c>
      <c r="S7085" s="51" t="s">
        <v>2401</v>
      </c>
      <c r="T7085" s="51" t="s">
        <v>2401</v>
      </c>
      <c r="U7085" s="0" t="str">
        <f aca="false">"5060458890191"</f>
        <v>5060458890191</v>
      </c>
      <c r="V7085" s="51" t="s">
        <v>2142</v>
      </c>
      <c r="W7085" s="51" t="s">
        <v>4235</v>
      </c>
      <c r="X7085" s="51" t="s">
        <v>2359</v>
      </c>
    </row>
    <row r="7086" customFormat="false" ht="14.25" hidden="true" customHeight="false" outlineLevel="0" collapsed="false">
      <c r="A7086" s="49" t="s">
        <v>2349</v>
      </c>
      <c r="B7086" s="49" t="s">
        <v>2350</v>
      </c>
      <c r="C7086" s="49" t="s">
        <v>11882</v>
      </c>
      <c r="D7086" s="49" t="s">
        <v>2352</v>
      </c>
      <c r="E7086" s="49" t="str">
        <f aca="false">"5060458890191"</f>
        <v>5060458890191</v>
      </c>
      <c r="F7086" s="49" t="s">
        <v>3656</v>
      </c>
      <c r="G7086" s="49" t="n">
        <v>0</v>
      </c>
      <c r="H7086" s="0" t="n">
        <v>0</v>
      </c>
      <c r="M7086" s="51" t="s">
        <v>11880</v>
      </c>
      <c r="N7086" s="49" t="n">
        <v>0</v>
      </c>
      <c r="O7086" s="53" t="n">
        <v>45960.6611574074</v>
      </c>
      <c r="P7086" s="53" t="n">
        <v>45973.8837731482</v>
      </c>
      <c r="Q7086" s="53" t="n">
        <v>45960.6611574074</v>
      </c>
      <c r="R7086" s="0" t="n">
        <v>0</v>
      </c>
      <c r="S7086" s="51" t="s">
        <v>2401</v>
      </c>
      <c r="T7086" s="51" t="s">
        <v>2401</v>
      </c>
      <c r="U7086" s="0" t="str">
        <f aca="false">"5060458890191"</f>
        <v>5060458890191</v>
      </c>
      <c r="V7086" s="51" t="s">
        <v>2142</v>
      </c>
      <c r="W7086" s="51" t="s">
        <v>10097</v>
      </c>
      <c r="X7086" s="51" t="s">
        <v>2359</v>
      </c>
    </row>
    <row r="7087" customFormat="false" ht="14.25" hidden="true" customHeight="false" outlineLevel="0" collapsed="false">
      <c r="A7087" s="49" t="s">
        <v>2349</v>
      </c>
      <c r="B7087" s="49" t="s">
        <v>2350</v>
      </c>
      <c r="C7087" s="49" t="s">
        <v>11883</v>
      </c>
      <c r="D7087" s="49" t="s">
        <v>2352</v>
      </c>
      <c r="E7087" s="49" t="str">
        <f aca="false">"5060458890191"</f>
        <v>5060458890191</v>
      </c>
      <c r="F7087" s="49" t="s">
        <v>3656</v>
      </c>
      <c r="G7087" s="49" t="n">
        <v>0</v>
      </c>
      <c r="H7087" s="0" t="n">
        <v>0</v>
      </c>
      <c r="M7087" s="51" t="s">
        <v>11880</v>
      </c>
      <c r="N7087" s="49" t="n">
        <v>0</v>
      </c>
      <c r="O7087" s="53" t="n">
        <v>45960.6615162037</v>
      </c>
      <c r="P7087" s="53" t="n">
        <v>45984.7790393519</v>
      </c>
      <c r="Q7087" s="53" t="n">
        <v>45960.6615162037</v>
      </c>
      <c r="R7087" s="0" t="n">
        <v>0</v>
      </c>
      <c r="S7087" s="51" t="s">
        <v>2401</v>
      </c>
      <c r="T7087" s="51" t="s">
        <v>2401</v>
      </c>
      <c r="U7087" s="0" t="str">
        <f aca="false">"5060458890191"</f>
        <v>5060458890191</v>
      </c>
      <c r="V7087" s="51" t="s">
        <v>2142</v>
      </c>
      <c r="W7087" s="51" t="s">
        <v>2406</v>
      </c>
      <c r="X7087" s="51" t="s">
        <v>2359</v>
      </c>
    </row>
    <row r="7088" customFormat="false" ht="14.25" hidden="true" customHeight="false" outlineLevel="0" collapsed="false">
      <c r="A7088" s="49" t="s">
        <v>2349</v>
      </c>
      <c r="B7088" s="49" t="s">
        <v>2350</v>
      </c>
      <c r="C7088" s="49" t="s">
        <v>11884</v>
      </c>
      <c r="D7088" s="49" t="s">
        <v>2352</v>
      </c>
      <c r="E7088" s="49" t="str">
        <f aca="false">"5060458890191"</f>
        <v>5060458890191</v>
      </c>
      <c r="F7088" s="49" t="s">
        <v>3656</v>
      </c>
      <c r="G7088" s="49" t="n">
        <v>0</v>
      </c>
      <c r="H7088" s="0" t="n">
        <v>0</v>
      </c>
      <c r="M7088" s="51" t="s">
        <v>11880</v>
      </c>
      <c r="N7088" s="49" t="n">
        <v>0</v>
      </c>
      <c r="O7088" s="53" t="n">
        <v>45960.6616203704</v>
      </c>
      <c r="P7088" s="53" t="n">
        <v>45971.917349537</v>
      </c>
      <c r="Q7088" s="53" t="n">
        <v>45960.6616203704</v>
      </c>
      <c r="R7088" s="0" t="n">
        <v>0</v>
      </c>
      <c r="S7088" s="51" t="s">
        <v>2401</v>
      </c>
      <c r="T7088" s="51" t="s">
        <v>2401</v>
      </c>
      <c r="U7088" s="0" t="str">
        <f aca="false">"5060458890191"</f>
        <v>5060458890191</v>
      </c>
      <c r="V7088" s="51" t="s">
        <v>2142</v>
      </c>
      <c r="W7088" s="51" t="s">
        <v>10757</v>
      </c>
      <c r="X7088" s="51" t="s">
        <v>2359</v>
      </c>
    </row>
    <row r="7089" customFormat="false" ht="14.25" hidden="true" customHeight="false" outlineLevel="0" collapsed="false">
      <c r="A7089" s="49" t="s">
        <v>2349</v>
      </c>
      <c r="B7089" s="49" t="s">
        <v>2350</v>
      </c>
      <c r="C7089" s="49" t="s">
        <v>11885</v>
      </c>
      <c r="D7089" s="49" t="s">
        <v>2352</v>
      </c>
      <c r="E7089" s="49" t="str">
        <f aca="false">"5060458890191"</f>
        <v>5060458890191</v>
      </c>
      <c r="F7089" s="49" t="s">
        <v>3656</v>
      </c>
      <c r="G7089" s="49" t="n">
        <v>0</v>
      </c>
      <c r="H7089" s="0" t="n">
        <v>0</v>
      </c>
      <c r="M7089" s="51" t="s">
        <v>11880</v>
      </c>
      <c r="N7089" s="49" t="n">
        <v>0</v>
      </c>
      <c r="O7089" s="53" t="n">
        <v>45960.6617361111</v>
      </c>
      <c r="P7089" s="53" t="n">
        <v>45973.8881597222</v>
      </c>
      <c r="Q7089" s="53" t="n">
        <v>45960.6617361111</v>
      </c>
      <c r="R7089" s="0" t="n">
        <v>0</v>
      </c>
      <c r="S7089" s="51" t="s">
        <v>2401</v>
      </c>
      <c r="T7089" s="51" t="s">
        <v>2401</v>
      </c>
      <c r="U7089" s="0" t="str">
        <f aca="false">"5060458890191"</f>
        <v>5060458890191</v>
      </c>
      <c r="V7089" s="51" t="s">
        <v>2142</v>
      </c>
      <c r="W7089" s="51" t="s">
        <v>11403</v>
      </c>
      <c r="X7089" s="51" t="s">
        <v>2359</v>
      </c>
    </row>
    <row r="7090" customFormat="false" ht="14.25" hidden="true" customHeight="false" outlineLevel="0" collapsed="false">
      <c r="A7090" s="49" t="s">
        <v>2349</v>
      </c>
      <c r="B7090" s="49" t="s">
        <v>2350</v>
      </c>
      <c r="C7090" s="49" t="s">
        <v>11886</v>
      </c>
      <c r="D7090" s="49" t="s">
        <v>2352</v>
      </c>
      <c r="E7090" s="49" t="str">
        <f aca="false">"5060458890191"</f>
        <v>5060458890191</v>
      </c>
      <c r="F7090" s="49" t="s">
        <v>3656</v>
      </c>
      <c r="G7090" s="49" t="n">
        <v>0</v>
      </c>
      <c r="H7090" s="0" t="n">
        <v>0</v>
      </c>
      <c r="M7090" s="51" t="s">
        <v>11880</v>
      </c>
      <c r="N7090" s="49" t="n">
        <v>0</v>
      </c>
      <c r="O7090" s="53" t="n">
        <v>45960.6618402778</v>
      </c>
      <c r="P7090" s="53" t="n">
        <v>45973.8906481481</v>
      </c>
      <c r="Q7090" s="53" t="n">
        <v>45960.6618402778</v>
      </c>
      <c r="R7090" s="0" t="n">
        <v>0</v>
      </c>
      <c r="S7090" s="51" t="s">
        <v>2401</v>
      </c>
      <c r="T7090" s="51" t="s">
        <v>2401</v>
      </c>
      <c r="U7090" s="0" t="str">
        <f aca="false">"5060458890191"</f>
        <v>5060458890191</v>
      </c>
      <c r="V7090" s="51" t="s">
        <v>2142</v>
      </c>
      <c r="W7090" s="51" t="s">
        <v>4202</v>
      </c>
      <c r="X7090" s="51" t="s">
        <v>2359</v>
      </c>
    </row>
    <row r="7091" customFormat="false" ht="14.25" hidden="true" customHeight="false" outlineLevel="0" collapsed="false">
      <c r="A7091" s="49" t="s">
        <v>2349</v>
      </c>
      <c r="B7091" s="49" t="s">
        <v>2350</v>
      </c>
      <c r="C7091" s="49" t="s">
        <v>11887</v>
      </c>
      <c r="D7091" s="49" t="s">
        <v>2352</v>
      </c>
      <c r="E7091" s="49" t="str">
        <f aca="false">"5060458890191"</f>
        <v>5060458890191</v>
      </c>
      <c r="F7091" s="49" t="s">
        <v>3656</v>
      </c>
      <c r="G7091" s="49" t="n">
        <v>0</v>
      </c>
      <c r="H7091" s="0" t="n">
        <v>0</v>
      </c>
      <c r="M7091" s="51" t="s">
        <v>11880</v>
      </c>
      <c r="N7091" s="49" t="n">
        <v>0</v>
      </c>
      <c r="O7091" s="53" t="n">
        <v>45960.6603703704</v>
      </c>
      <c r="P7091" s="53" t="n">
        <v>45973.889525463</v>
      </c>
      <c r="Q7091" s="53" t="n">
        <v>45960.6603703704</v>
      </c>
      <c r="R7091" s="0" t="n">
        <v>0</v>
      </c>
      <c r="S7091" s="51" t="s">
        <v>2401</v>
      </c>
      <c r="T7091" s="51" t="s">
        <v>2401</v>
      </c>
      <c r="U7091" s="0" t="str">
        <f aca="false">"5060458890191"</f>
        <v>5060458890191</v>
      </c>
      <c r="V7091" s="51" t="s">
        <v>2142</v>
      </c>
      <c r="W7091" s="51" t="s">
        <v>10739</v>
      </c>
      <c r="X7091" s="51" t="s">
        <v>2359</v>
      </c>
    </row>
    <row r="7092" customFormat="false" ht="14.25" hidden="true" customHeight="false" outlineLevel="0" collapsed="false">
      <c r="A7092" s="49" t="s">
        <v>2349</v>
      </c>
      <c r="B7092" s="49" t="s">
        <v>2350</v>
      </c>
      <c r="C7092" s="49" t="s">
        <v>11888</v>
      </c>
      <c r="D7092" s="49" t="s">
        <v>2352</v>
      </c>
      <c r="E7092" s="49" t="str">
        <f aca="false">"5060458890191"</f>
        <v>5060458890191</v>
      </c>
      <c r="F7092" s="49" t="s">
        <v>3656</v>
      </c>
      <c r="G7092" s="49" t="n">
        <v>0</v>
      </c>
      <c r="H7092" s="0" t="n">
        <v>0</v>
      </c>
      <c r="M7092" s="51" t="s">
        <v>11880</v>
      </c>
      <c r="N7092" s="49" t="n">
        <v>0</v>
      </c>
      <c r="O7092" s="53" t="n">
        <v>45960.6601851852</v>
      </c>
      <c r="P7092" s="53" t="n">
        <v>45971.9157407407</v>
      </c>
      <c r="Q7092" s="53" t="n">
        <v>45960.6601851852</v>
      </c>
      <c r="R7092" s="0" t="n">
        <v>0</v>
      </c>
      <c r="S7092" s="51" t="s">
        <v>2401</v>
      </c>
      <c r="T7092" s="51" t="s">
        <v>2401</v>
      </c>
      <c r="U7092" s="0" t="str">
        <f aca="false">"5060458890191"</f>
        <v>5060458890191</v>
      </c>
      <c r="V7092" s="51" t="s">
        <v>2142</v>
      </c>
      <c r="W7092" s="51" t="s">
        <v>10195</v>
      </c>
      <c r="X7092" s="51" t="s">
        <v>2359</v>
      </c>
    </row>
    <row r="7093" customFormat="false" ht="14.25" hidden="true" customHeight="false" outlineLevel="0" collapsed="false">
      <c r="A7093" s="49" t="s">
        <v>2349</v>
      </c>
      <c r="B7093" s="49" t="s">
        <v>2350</v>
      </c>
      <c r="C7093" s="49" t="s">
        <v>11889</v>
      </c>
      <c r="D7093" s="49" t="s">
        <v>2352</v>
      </c>
      <c r="E7093" s="49" t="str">
        <f aca="false">"5060458890191"</f>
        <v>5060458890191</v>
      </c>
      <c r="F7093" s="49" t="s">
        <v>3656</v>
      </c>
      <c r="G7093" s="49" t="n">
        <v>0</v>
      </c>
      <c r="H7093" s="0" t="n">
        <v>0</v>
      </c>
      <c r="M7093" s="51" t="s">
        <v>11880</v>
      </c>
      <c r="N7093" s="49" t="n">
        <v>0</v>
      </c>
      <c r="O7093" s="53" t="n">
        <v>45960.6600694444</v>
      </c>
      <c r="P7093" s="53" t="n">
        <v>45971.9106018519</v>
      </c>
      <c r="Q7093" s="53" t="n">
        <v>45960.6600694444</v>
      </c>
      <c r="R7093" s="0" t="n">
        <v>0</v>
      </c>
      <c r="S7093" s="51" t="s">
        <v>2401</v>
      </c>
      <c r="T7093" s="51" t="s">
        <v>2401</v>
      </c>
      <c r="U7093" s="0" t="str">
        <f aca="false">"5060458890191"</f>
        <v>5060458890191</v>
      </c>
      <c r="V7093" s="51" t="s">
        <v>2142</v>
      </c>
      <c r="W7093" s="51" t="s">
        <v>9924</v>
      </c>
      <c r="X7093" s="51" t="s">
        <v>2359</v>
      </c>
    </row>
    <row r="7094" customFormat="false" ht="14.25" hidden="true" customHeight="false" outlineLevel="0" collapsed="false">
      <c r="A7094" s="49" t="s">
        <v>2349</v>
      </c>
      <c r="B7094" s="49" t="s">
        <v>2350</v>
      </c>
      <c r="C7094" s="49" t="s">
        <v>11890</v>
      </c>
      <c r="D7094" s="49" t="s">
        <v>2352</v>
      </c>
      <c r="E7094" s="49" t="str">
        <f aca="false">"5060458890191"</f>
        <v>5060458890191</v>
      </c>
      <c r="F7094" s="49" t="s">
        <v>3656</v>
      </c>
      <c r="G7094" s="49" t="n">
        <v>0</v>
      </c>
      <c r="H7094" s="0" t="n">
        <v>0</v>
      </c>
      <c r="M7094" s="51" t="s">
        <v>11880</v>
      </c>
      <c r="N7094" s="49" t="n">
        <v>0</v>
      </c>
      <c r="O7094" s="53" t="n">
        <v>45960.6599189815</v>
      </c>
      <c r="P7094" s="53" t="n">
        <v>45974.9276736111</v>
      </c>
      <c r="Q7094" s="53" t="n">
        <v>45960.6599189815</v>
      </c>
      <c r="R7094" s="0" t="n">
        <v>0</v>
      </c>
      <c r="S7094" s="51" t="s">
        <v>2401</v>
      </c>
      <c r="T7094" s="51" t="s">
        <v>2401</v>
      </c>
      <c r="U7094" s="0" t="str">
        <f aca="false">"5060458890191"</f>
        <v>5060458890191</v>
      </c>
      <c r="V7094" s="51" t="s">
        <v>2142</v>
      </c>
      <c r="W7094" s="51" t="s">
        <v>4891</v>
      </c>
      <c r="X7094" s="51" t="s">
        <v>2359</v>
      </c>
    </row>
    <row r="7095" customFormat="false" ht="14.25" hidden="true" customHeight="false" outlineLevel="0" collapsed="false">
      <c r="A7095" s="49" t="s">
        <v>2349</v>
      </c>
      <c r="B7095" s="49" t="s">
        <v>2350</v>
      </c>
      <c r="C7095" s="49" t="s">
        <v>11891</v>
      </c>
      <c r="D7095" s="49" t="s">
        <v>2352</v>
      </c>
      <c r="E7095" s="49" t="str">
        <f aca="false">"5060458890191"</f>
        <v>5060458890191</v>
      </c>
      <c r="F7095" s="49" t="s">
        <v>3656</v>
      </c>
      <c r="G7095" s="49" t="n">
        <v>0</v>
      </c>
      <c r="H7095" s="0" t="n">
        <v>0</v>
      </c>
      <c r="M7095" s="51" t="s">
        <v>11880</v>
      </c>
      <c r="N7095" s="49" t="n">
        <v>0</v>
      </c>
      <c r="O7095" s="53" t="n">
        <v>45960.6596875</v>
      </c>
      <c r="P7095" s="53" t="n">
        <v>45974.9265277778</v>
      </c>
      <c r="Q7095" s="53" t="n">
        <v>45960.6596875</v>
      </c>
      <c r="R7095" s="0" t="n">
        <v>0</v>
      </c>
      <c r="S7095" s="51" t="s">
        <v>2401</v>
      </c>
      <c r="T7095" s="51" t="s">
        <v>2401</v>
      </c>
      <c r="U7095" s="0" t="str">
        <f aca="false">"5060458890191"</f>
        <v>5060458890191</v>
      </c>
      <c r="V7095" s="51" t="s">
        <v>2142</v>
      </c>
      <c r="W7095" s="51" t="s">
        <v>11892</v>
      </c>
      <c r="X7095" s="51" t="s">
        <v>2359</v>
      </c>
    </row>
    <row r="7096" customFormat="false" ht="14.25" hidden="true" customHeight="false" outlineLevel="0" collapsed="false">
      <c r="A7096" s="49" t="s">
        <v>2349</v>
      </c>
      <c r="B7096" s="49" t="s">
        <v>2350</v>
      </c>
      <c r="C7096" s="49" t="s">
        <v>11893</v>
      </c>
      <c r="D7096" s="49" t="s">
        <v>2352</v>
      </c>
      <c r="E7096" s="49" t="str">
        <f aca="false">"5060458890191"</f>
        <v>5060458890191</v>
      </c>
      <c r="F7096" s="49" t="s">
        <v>3656</v>
      </c>
      <c r="G7096" s="49" t="n">
        <v>0</v>
      </c>
      <c r="H7096" s="0" t="n">
        <v>0</v>
      </c>
      <c r="M7096" s="51" t="s">
        <v>11880</v>
      </c>
      <c r="N7096" s="49" t="n">
        <v>0</v>
      </c>
      <c r="O7096" s="53" t="n">
        <v>45960.659537037</v>
      </c>
      <c r="P7096" s="53" t="n">
        <v>45984.8030092593</v>
      </c>
      <c r="Q7096" s="53" t="n">
        <v>45960.659537037</v>
      </c>
      <c r="R7096" s="0" t="n">
        <v>0</v>
      </c>
      <c r="S7096" s="51" t="s">
        <v>2401</v>
      </c>
      <c r="T7096" s="51" t="s">
        <v>2401</v>
      </c>
      <c r="U7096" s="0" t="str">
        <f aca="false">"5060458890191"</f>
        <v>5060458890191</v>
      </c>
      <c r="V7096" s="51" t="s">
        <v>2142</v>
      </c>
      <c r="W7096" s="51" t="s">
        <v>4978</v>
      </c>
      <c r="X7096" s="51" t="s">
        <v>2359</v>
      </c>
    </row>
    <row r="7097" customFormat="false" ht="14.25" hidden="true" customHeight="false" outlineLevel="0" collapsed="false">
      <c r="A7097" s="49" t="s">
        <v>2349</v>
      </c>
      <c r="B7097" s="49" t="s">
        <v>2350</v>
      </c>
      <c r="C7097" s="49" t="s">
        <v>11894</v>
      </c>
      <c r="D7097" s="49" t="s">
        <v>2352</v>
      </c>
      <c r="E7097" s="49" t="str">
        <f aca="false">"5060458890191"</f>
        <v>5060458890191</v>
      </c>
      <c r="F7097" s="49" t="s">
        <v>3656</v>
      </c>
      <c r="G7097" s="49" t="n">
        <v>0</v>
      </c>
      <c r="H7097" s="0" t="n">
        <v>0</v>
      </c>
      <c r="M7097" s="51" t="s">
        <v>11880</v>
      </c>
      <c r="N7097" s="49" t="n">
        <v>0</v>
      </c>
      <c r="O7097" s="53" t="n">
        <v>45960.6594212963</v>
      </c>
      <c r="P7097" s="53" t="n">
        <v>45974.9035185185</v>
      </c>
      <c r="Q7097" s="53" t="n">
        <v>45960.6594212963</v>
      </c>
      <c r="R7097" s="0" t="n">
        <v>0</v>
      </c>
      <c r="S7097" s="51" t="s">
        <v>2401</v>
      </c>
      <c r="T7097" s="51" t="s">
        <v>2401</v>
      </c>
      <c r="U7097" s="0" t="str">
        <f aca="false">"5060458890191"</f>
        <v>5060458890191</v>
      </c>
      <c r="V7097" s="51" t="s">
        <v>2142</v>
      </c>
      <c r="W7097" s="51" t="s">
        <v>10735</v>
      </c>
      <c r="X7097" s="51" t="s">
        <v>2359</v>
      </c>
    </row>
    <row r="7098" customFormat="false" ht="14.25" hidden="true" customHeight="false" outlineLevel="0" collapsed="false">
      <c r="A7098" s="49" t="s">
        <v>2349</v>
      </c>
      <c r="B7098" s="49" t="s">
        <v>2350</v>
      </c>
      <c r="C7098" s="49" t="s">
        <v>11895</v>
      </c>
      <c r="D7098" s="49" t="s">
        <v>2352</v>
      </c>
      <c r="E7098" s="49" t="str">
        <f aca="false">"5060458890191"</f>
        <v>5060458890191</v>
      </c>
      <c r="F7098" s="49" t="s">
        <v>3656</v>
      </c>
      <c r="G7098" s="49" t="n">
        <v>0</v>
      </c>
      <c r="H7098" s="0" t="n">
        <v>0</v>
      </c>
      <c r="M7098" s="51" t="s">
        <v>11880</v>
      </c>
      <c r="N7098" s="49" t="n">
        <v>0</v>
      </c>
      <c r="O7098" s="53" t="n">
        <v>45960.6580092593</v>
      </c>
      <c r="P7098" s="53" t="n">
        <v>45974.9415277778</v>
      </c>
      <c r="Q7098" s="53" t="n">
        <v>45960.6580092593</v>
      </c>
      <c r="R7098" s="0" t="n">
        <v>0</v>
      </c>
      <c r="S7098" s="51" t="s">
        <v>2401</v>
      </c>
      <c r="T7098" s="51" t="s">
        <v>2401</v>
      </c>
      <c r="U7098" s="0" t="str">
        <f aca="false">"5060458890191"</f>
        <v>5060458890191</v>
      </c>
      <c r="V7098" s="51" t="s">
        <v>2142</v>
      </c>
      <c r="W7098" s="51" t="s">
        <v>11896</v>
      </c>
      <c r="X7098" s="51" t="s">
        <v>2359</v>
      </c>
    </row>
    <row r="7099" customFormat="false" ht="14.25" hidden="true" customHeight="false" outlineLevel="0" collapsed="false">
      <c r="A7099" s="49" t="s">
        <v>2349</v>
      </c>
      <c r="B7099" s="49" t="s">
        <v>2350</v>
      </c>
      <c r="C7099" s="49" t="s">
        <v>11897</v>
      </c>
      <c r="D7099" s="49" t="s">
        <v>2352</v>
      </c>
      <c r="E7099" s="49" t="str">
        <f aca="false">"5060458890191"</f>
        <v>5060458890191</v>
      </c>
      <c r="F7099" s="49" t="s">
        <v>3656</v>
      </c>
      <c r="G7099" s="49" t="n">
        <v>0</v>
      </c>
      <c r="H7099" s="0" t="n">
        <v>0</v>
      </c>
      <c r="M7099" s="51" t="s">
        <v>11880</v>
      </c>
      <c r="N7099" s="49" t="n">
        <v>0</v>
      </c>
      <c r="O7099" s="53" t="n">
        <v>45960.6581365741</v>
      </c>
      <c r="P7099" s="53" t="n">
        <v>45984.8016782407</v>
      </c>
      <c r="Q7099" s="53" t="n">
        <v>45960.6581365741</v>
      </c>
      <c r="R7099" s="0" t="n">
        <v>0</v>
      </c>
      <c r="S7099" s="51" t="s">
        <v>2401</v>
      </c>
      <c r="T7099" s="51" t="s">
        <v>2401</v>
      </c>
      <c r="U7099" s="0" t="str">
        <f aca="false">"5060458890191"</f>
        <v>5060458890191</v>
      </c>
      <c r="V7099" s="51" t="s">
        <v>2142</v>
      </c>
      <c r="W7099" s="51" t="s">
        <v>3919</v>
      </c>
      <c r="X7099" s="51" t="s">
        <v>2359</v>
      </c>
    </row>
    <row r="7100" customFormat="false" ht="14.25" hidden="true" customHeight="false" outlineLevel="0" collapsed="false">
      <c r="A7100" s="49" t="s">
        <v>2349</v>
      </c>
      <c r="B7100" s="49" t="s">
        <v>2350</v>
      </c>
      <c r="C7100" s="49" t="s">
        <v>11898</v>
      </c>
      <c r="D7100" s="49" t="s">
        <v>2352</v>
      </c>
      <c r="E7100" s="49" t="str">
        <f aca="false">"5060458890191"</f>
        <v>5060458890191</v>
      </c>
      <c r="F7100" s="49" t="s">
        <v>3656</v>
      </c>
      <c r="G7100" s="49" t="n">
        <v>0</v>
      </c>
      <c r="H7100" s="0" t="n">
        <v>0</v>
      </c>
      <c r="M7100" s="51" t="s">
        <v>11880</v>
      </c>
      <c r="N7100" s="49" t="n">
        <v>0</v>
      </c>
      <c r="O7100" s="53" t="n">
        <v>45960.6582638889</v>
      </c>
      <c r="P7100" s="53" t="n">
        <v>45974.9155787037</v>
      </c>
      <c r="Q7100" s="53" t="n">
        <v>45960.6582638889</v>
      </c>
      <c r="R7100" s="0" t="n">
        <v>0</v>
      </c>
      <c r="S7100" s="51" t="s">
        <v>2401</v>
      </c>
      <c r="T7100" s="51" t="s">
        <v>2401</v>
      </c>
      <c r="U7100" s="0" t="str">
        <f aca="false">"5060458890191"</f>
        <v>5060458890191</v>
      </c>
      <c r="V7100" s="51" t="s">
        <v>2142</v>
      </c>
      <c r="W7100" s="51" t="s">
        <v>10345</v>
      </c>
      <c r="X7100" s="51" t="s">
        <v>2359</v>
      </c>
    </row>
    <row r="7101" customFormat="false" ht="14.25" hidden="true" customHeight="false" outlineLevel="0" collapsed="false">
      <c r="A7101" s="49" t="s">
        <v>2349</v>
      </c>
      <c r="B7101" s="49" t="s">
        <v>2350</v>
      </c>
      <c r="C7101" s="49" t="s">
        <v>11899</v>
      </c>
      <c r="D7101" s="49" t="s">
        <v>2352</v>
      </c>
      <c r="E7101" s="49" t="str">
        <f aca="false">"5060458890191"</f>
        <v>5060458890191</v>
      </c>
      <c r="F7101" s="49" t="s">
        <v>3656</v>
      </c>
      <c r="G7101" s="49" t="n">
        <v>0</v>
      </c>
      <c r="H7101" s="0" t="n">
        <v>0</v>
      </c>
      <c r="M7101" s="51" t="s">
        <v>11880</v>
      </c>
      <c r="N7101" s="49" t="n">
        <v>0</v>
      </c>
      <c r="O7101" s="53" t="n">
        <v>45960.6583796296</v>
      </c>
      <c r="P7101" s="53" t="n">
        <v>45974.9241319444</v>
      </c>
      <c r="Q7101" s="53" t="n">
        <v>45960.6583796296</v>
      </c>
      <c r="R7101" s="0" t="n">
        <v>0</v>
      </c>
      <c r="S7101" s="51" t="s">
        <v>2401</v>
      </c>
      <c r="T7101" s="51" t="s">
        <v>2401</v>
      </c>
      <c r="U7101" s="0" t="str">
        <f aca="false">"5060458890191"</f>
        <v>5060458890191</v>
      </c>
      <c r="V7101" s="51" t="s">
        <v>2142</v>
      </c>
      <c r="W7101" s="51" t="s">
        <v>3891</v>
      </c>
      <c r="X7101" s="51" t="s">
        <v>2359</v>
      </c>
    </row>
    <row r="7102" customFormat="false" ht="14.25" hidden="true" customHeight="false" outlineLevel="0" collapsed="false">
      <c r="A7102" s="49" t="s">
        <v>2349</v>
      </c>
      <c r="B7102" s="49" t="s">
        <v>2350</v>
      </c>
      <c r="C7102" s="49" t="s">
        <v>11900</v>
      </c>
      <c r="D7102" s="49" t="s">
        <v>2352</v>
      </c>
      <c r="E7102" s="49" t="str">
        <f aca="false">"5060458890191"</f>
        <v>5060458890191</v>
      </c>
      <c r="F7102" s="49" t="s">
        <v>3656</v>
      </c>
      <c r="G7102" s="49" t="n">
        <v>0</v>
      </c>
      <c r="H7102" s="0" t="n">
        <v>0</v>
      </c>
      <c r="M7102" s="51" t="s">
        <v>11880</v>
      </c>
      <c r="N7102" s="49" t="n">
        <v>0</v>
      </c>
      <c r="O7102" s="53" t="n">
        <v>45960.6585300926</v>
      </c>
      <c r="P7102" s="53" t="n">
        <v>45971.9186342593</v>
      </c>
      <c r="Q7102" s="53" t="n">
        <v>45960.6585300926</v>
      </c>
      <c r="R7102" s="0" t="n">
        <v>0</v>
      </c>
      <c r="S7102" s="51" t="s">
        <v>2401</v>
      </c>
      <c r="T7102" s="51" t="s">
        <v>2401</v>
      </c>
      <c r="U7102" s="0" t="str">
        <f aca="false">"5060458890191"</f>
        <v>5060458890191</v>
      </c>
      <c r="V7102" s="51" t="s">
        <v>2142</v>
      </c>
      <c r="W7102" s="51" t="s">
        <v>11901</v>
      </c>
      <c r="X7102" s="51" t="s">
        <v>2359</v>
      </c>
    </row>
    <row r="7103" customFormat="false" ht="14.25" hidden="true" customHeight="false" outlineLevel="0" collapsed="false">
      <c r="A7103" s="49" t="s">
        <v>2349</v>
      </c>
      <c r="B7103" s="49" t="s">
        <v>2350</v>
      </c>
      <c r="C7103" s="49" t="s">
        <v>11902</v>
      </c>
      <c r="D7103" s="49" t="s">
        <v>2352</v>
      </c>
      <c r="E7103" s="49" t="str">
        <f aca="false">"5060458890191"</f>
        <v>5060458890191</v>
      </c>
      <c r="F7103" s="49" t="s">
        <v>3656</v>
      </c>
      <c r="G7103" s="49" t="n">
        <v>0</v>
      </c>
      <c r="H7103" s="0" t="n">
        <v>0</v>
      </c>
      <c r="M7103" s="51" t="s">
        <v>11880</v>
      </c>
      <c r="N7103" s="49" t="n">
        <v>0</v>
      </c>
      <c r="O7103" s="53" t="n">
        <v>45960.6586689815</v>
      </c>
      <c r="P7103" s="53" t="n">
        <v>45971.9115277778</v>
      </c>
      <c r="Q7103" s="53" t="n">
        <v>45960.6586689815</v>
      </c>
      <c r="R7103" s="0" t="n">
        <v>0</v>
      </c>
      <c r="S7103" s="51" t="s">
        <v>2401</v>
      </c>
      <c r="T7103" s="51" t="s">
        <v>2401</v>
      </c>
      <c r="U7103" s="0" t="str">
        <f aca="false">"5060458890191"</f>
        <v>5060458890191</v>
      </c>
      <c r="V7103" s="51" t="s">
        <v>2142</v>
      </c>
      <c r="W7103" s="51" t="s">
        <v>9912</v>
      </c>
      <c r="X7103" s="51" t="s">
        <v>2359</v>
      </c>
    </row>
    <row r="7104" customFormat="false" ht="14.25" hidden="true" customHeight="false" outlineLevel="0" collapsed="false">
      <c r="A7104" s="49" t="s">
        <v>2349</v>
      </c>
      <c r="B7104" s="49" t="s">
        <v>2350</v>
      </c>
      <c r="C7104" s="49" t="s">
        <v>11903</v>
      </c>
      <c r="D7104" s="49" t="s">
        <v>2352</v>
      </c>
      <c r="E7104" s="49" t="str">
        <f aca="false">"5060458890191"</f>
        <v>5060458890191</v>
      </c>
      <c r="F7104" s="49" t="s">
        <v>3656</v>
      </c>
      <c r="G7104" s="49" t="n">
        <v>0</v>
      </c>
      <c r="H7104" s="0" t="n">
        <v>0</v>
      </c>
      <c r="M7104" s="51" t="s">
        <v>11880</v>
      </c>
      <c r="N7104" s="49" t="n">
        <v>0</v>
      </c>
      <c r="O7104" s="53" t="n">
        <v>45960.6590277778</v>
      </c>
      <c r="P7104" s="53" t="n">
        <v>45973.8947222222</v>
      </c>
      <c r="Q7104" s="53" t="n">
        <v>45960.6590277778</v>
      </c>
      <c r="R7104" s="0" t="n">
        <v>0</v>
      </c>
      <c r="S7104" s="51" t="s">
        <v>2401</v>
      </c>
      <c r="T7104" s="51" t="s">
        <v>2401</v>
      </c>
      <c r="U7104" s="0" t="str">
        <f aca="false">"5060458890191"</f>
        <v>5060458890191</v>
      </c>
      <c r="V7104" s="51" t="s">
        <v>2142</v>
      </c>
      <c r="W7104" s="51" t="s">
        <v>11904</v>
      </c>
      <c r="X7104" s="51" t="s">
        <v>2359</v>
      </c>
    </row>
    <row r="7105" customFormat="false" ht="14.25" hidden="true" customHeight="false" outlineLevel="0" collapsed="false">
      <c r="A7105" s="49" t="s">
        <v>2349</v>
      </c>
      <c r="B7105" s="49" t="s">
        <v>2350</v>
      </c>
      <c r="C7105" s="49" t="s">
        <v>11905</v>
      </c>
      <c r="D7105" s="49" t="s">
        <v>2352</v>
      </c>
      <c r="E7105" s="49" t="str">
        <f aca="false">"5060458890191"</f>
        <v>5060458890191</v>
      </c>
      <c r="F7105" s="49" t="s">
        <v>3656</v>
      </c>
      <c r="G7105" s="49" t="n">
        <v>0</v>
      </c>
      <c r="H7105" s="0" t="n">
        <v>0</v>
      </c>
      <c r="M7105" s="51" t="s">
        <v>11880</v>
      </c>
      <c r="N7105" s="49" t="n">
        <v>0</v>
      </c>
      <c r="O7105" s="53" t="n">
        <v>45960.6591550926</v>
      </c>
      <c r="P7105" s="53" t="n">
        <v>45974.9402662037</v>
      </c>
      <c r="Q7105" s="53" t="n">
        <v>45960.6591550926</v>
      </c>
      <c r="R7105" s="0" t="n">
        <v>0</v>
      </c>
      <c r="S7105" s="51" t="s">
        <v>2401</v>
      </c>
      <c r="T7105" s="51" t="s">
        <v>2401</v>
      </c>
      <c r="U7105" s="0" t="str">
        <f aca="false">"5060458890191"</f>
        <v>5060458890191</v>
      </c>
      <c r="V7105" s="51" t="s">
        <v>2142</v>
      </c>
      <c r="W7105" s="51" t="s">
        <v>4831</v>
      </c>
      <c r="X7105" s="51" t="s">
        <v>2359</v>
      </c>
    </row>
    <row r="7106" customFormat="false" ht="14.25" hidden="true" customHeight="false" outlineLevel="0" collapsed="false">
      <c r="A7106" s="49" t="s">
        <v>2349</v>
      </c>
      <c r="B7106" s="49" t="s">
        <v>2350</v>
      </c>
      <c r="C7106" s="49" t="s">
        <v>11906</v>
      </c>
      <c r="D7106" s="49" t="s">
        <v>2352</v>
      </c>
      <c r="E7106" s="49" t="str">
        <f aca="false">"5060458890191"</f>
        <v>5060458890191</v>
      </c>
      <c r="F7106" s="49" t="s">
        <v>3656</v>
      </c>
      <c r="G7106" s="49" t="n">
        <v>0</v>
      </c>
      <c r="H7106" s="0" t="n">
        <v>0</v>
      </c>
      <c r="M7106" s="51" t="s">
        <v>11880</v>
      </c>
      <c r="N7106" s="49" t="n">
        <v>0</v>
      </c>
      <c r="O7106" s="53" t="n">
        <v>45960.6569907407</v>
      </c>
      <c r="P7106" s="53" t="n">
        <v>45974.9312731482</v>
      </c>
      <c r="Q7106" s="53" t="n">
        <v>45960.6569907407</v>
      </c>
      <c r="R7106" s="0" t="n">
        <v>0</v>
      </c>
      <c r="S7106" s="51" t="s">
        <v>2401</v>
      </c>
      <c r="T7106" s="51" t="s">
        <v>2401</v>
      </c>
      <c r="U7106" s="0" t="str">
        <f aca="false">"5060458890191"</f>
        <v>5060458890191</v>
      </c>
      <c r="V7106" s="51" t="s">
        <v>2142</v>
      </c>
      <c r="W7106" s="51" t="s">
        <v>10172</v>
      </c>
      <c r="X7106" s="51" t="s">
        <v>2359</v>
      </c>
    </row>
    <row r="7107" customFormat="false" ht="14.25" hidden="true" customHeight="false" outlineLevel="0" collapsed="false">
      <c r="A7107" s="49" t="s">
        <v>2349</v>
      </c>
      <c r="B7107" s="49" t="s">
        <v>2350</v>
      </c>
      <c r="C7107" s="49" t="s">
        <v>11907</v>
      </c>
      <c r="D7107" s="49" t="s">
        <v>2352</v>
      </c>
      <c r="E7107" s="49" t="str">
        <f aca="false">"5060458890191"</f>
        <v>5060458890191</v>
      </c>
      <c r="F7107" s="49" t="s">
        <v>3656</v>
      </c>
      <c r="G7107" s="49" t="n">
        <v>0</v>
      </c>
      <c r="H7107" s="0" t="n">
        <v>0</v>
      </c>
      <c r="M7107" s="51" t="s">
        <v>11880</v>
      </c>
      <c r="N7107" s="49" t="n">
        <v>0</v>
      </c>
      <c r="O7107" s="53" t="n">
        <v>45960.6568055556</v>
      </c>
      <c r="P7107" s="53" t="n">
        <v>45991.7591435185</v>
      </c>
      <c r="Q7107" s="53" t="n">
        <v>45960.6568055556</v>
      </c>
      <c r="R7107" s="0" t="n">
        <v>0</v>
      </c>
      <c r="S7107" s="51" t="s">
        <v>2401</v>
      </c>
      <c r="T7107" s="51" t="s">
        <v>2401</v>
      </c>
      <c r="U7107" s="0" t="str">
        <f aca="false">"5060458890191"</f>
        <v>5060458890191</v>
      </c>
      <c r="V7107" s="51" t="s">
        <v>2142</v>
      </c>
      <c r="W7107" s="51" t="s">
        <v>5821</v>
      </c>
      <c r="X7107" s="51" t="s">
        <v>2359</v>
      </c>
    </row>
    <row r="7108" customFormat="false" ht="14.25" hidden="true" customHeight="false" outlineLevel="0" collapsed="false">
      <c r="A7108" s="49" t="s">
        <v>2349</v>
      </c>
      <c r="B7108" s="49" t="s">
        <v>2350</v>
      </c>
      <c r="C7108" s="49" t="s">
        <v>11908</v>
      </c>
      <c r="D7108" s="49" t="s">
        <v>2352</v>
      </c>
      <c r="E7108" s="49" t="str">
        <f aca="false">"5060458890191"</f>
        <v>5060458890191</v>
      </c>
      <c r="F7108" s="49" t="s">
        <v>3656</v>
      </c>
      <c r="G7108" s="49" t="n">
        <v>0</v>
      </c>
      <c r="H7108" s="0" t="n">
        <v>0</v>
      </c>
      <c r="M7108" s="51" t="s">
        <v>11880</v>
      </c>
      <c r="N7108" s="49" t="n">
        <v>0</v>
      </c>
      <c r="O7108" s="53" t="n">
        <v>45960.6564236111</v>
      </c>
      <c r="P7108" s="53" t="n">
        <v>45974.9177777778</v>
      </c>
      <c r="Q7108" s="53" t="n">
        <v>45960.6564236111</v>
      </c>
      <c r="R7108" s="0" t="n">
        <v>0</v>
      </c>
      <c r="S7108" s="51" t="s">
        <v>2401</v>
      </c>
      <c r="T7108" s="51" t="s">
        <v>2401</v>
      </c>
      <c r="U7108" s="0" t="str">
        <f aca="false">"5060458890191"</f>
        <v>5060458890191</v>
      </c>
      <c r="V7108" s="51" t="s">
        <v>2142</v>
      </c>
      <c r="W7108" s="51" t="s">
        <v>10126</v>
      </c>
      <c r="X7108" s="51" t="s">
        <v>2359</v>
      </c>
    </row>
    <row r="7109" customFormat="false" ht="14.25" hidden="true" customHeight="false" outlineLevel="0" collapsed="false">
      <c r="A7109" s="49" t="s">
        <v>2349</v>
      </c>
      <c r="B7109" s="49" t="s">
        <v>2350</v>
      </c>
      <c r="C7109" s="49" t="s">
        <v>11909</v>
      </c>
      <c r="D7109" s="49" t="s">
        <v>2352</v>
      </c>
      <c r="E7109" s="49" t="str">
        <f aca="false">"5060458890191"</f>
        <v>5060458890191</v>
      </c>
      <c r="F7109" s="49" t="s">
        <v>3656</v>
      </c>
      <c r="G7109" s="49" t="n">
        <v>0</v>
      </c>
      <c r="H7109" s="0" t="n">
        <v>0</v>
      </c>
      <c r="M7109" s="51" t="s">
        <v>11880</v>
      </c>
      <c r="N7109" s="49" t="n">
        <v>0</v>
      </c>
      <c r="O7109" s="53" t="n">
        <v>45960.6561574074</v>
      </c>
      <c r="P7109" s="53" t="n">
        <v>45991.7544675926</v>
      </c>
      <c r="Q7109" s="53" t="n">
        <v>45960.6561574074</v>
      </c>
      <c r="R7109" s="0" t="n">
        <v>0</v>
      </c>
      <c r="S7109" s="51" t="s">
        <v>2401</v>
      </c>
      <c r="T7109" s="51" t="s">
        <v>2401</v>
      </c>
      <c r="U7109" s="0" t="str">
        <f aca="false">"5060458890191"</f>
        <v>5060458890191</v>
      </c>
      <c r="V7109" s="51" t="s">
        <v>2142</v>
      </c>
      <c r="W7109" s="51" t="s">
        <v>11051</v>
      </c>
      <c r="X7109" s="51" t="s">
        <v>2359</v>
      </c>
    </row>
    <row r="7110" customFormat="false" ht="14.25" hidden="true" customHeight="false" outlineLevel="0" collapsed="false">
      <c r="A7110" s="49" t="s">
        <v>2349</v>
      </c>
      <c r="B7110" s="49" t="s">
        <v>2350</v>
      </c>
      <c r="C7110" s="49" t="s">
        <v>11910</v>
      </c>
      <c r="D7110" s="49" t="s">
        <v>2352</v>
      </c>
      <c r="E7110" s="49" t="str">
        <f aca="false">"5060458890191"</f>
        <v>5060458890191</v>
      </c>
      <c r="F7110" s="49" t="s">
        <v>3656</v>
      </c>
      <c r="G7110" s="49" t="n">
        <v>0</v>
      </c>
      <c r="H7110" s="0" t="n">
        <v>0</v>
      </c>
      <c r="M7110" s="51" t="s">
        <v>11880</v>
      </c>
      <c r="N7110" s="49" t="n">
        <v>0</v>
      </c>
      <c r="O7110" s="53" t="n">
        <v>45960.6559953704</v>
      </c>
      <c r="P7110" s="53" t="n">
        <v>45974.9020486111</v>
      </c>
      <c r="Q7110" s="53" t="n">
        <v>45960.6559953704</v>
      </c>
      <c r="R7110" s="0" t="n">
        <v>0</v>
      </c>
      <c r="S7110" s="51" t="s">
        <v>2401</v>
      </c>
      <c r="T7110" s="51" t="s">
        <v>2401</v>
      </c>
      <c r="U7110" s="0" t="str">
        <f aca="false">"5060458890191"</f>
        <v>5060458890191</v>
      </c>
      <c r="V7110" s="51" t="s">
        <v>2142</v>
      </c>
      <c r="W7110" s="51" t="s">
        <v>10752</v>
      </c>
      <c r="X7110" s="51" t="s">
        <v>2359</v>
      </c>
    </row>
    <row r="7111" customFormat="false" ht="14.25" hidden="true" customHeight="false" outlineLevel="0" collapsed="false">
      <c r="A7111" s="49" t="s">
        <v>2349</v>
      </c>
      <c r="B7111" s="49" t="s">
        <v>2350</v>
      </c>
      <c r="C7111" s="49" t="s">
        <v>11911</v>
      </c>
      <c r="D7111" s="49" t="s">
        <v>2352</v>
      </c>
      <c r="E7111" s="49" t="str">
        <f aca="false">"5060458890191"</f>
        <v>5060458890191</v>
      </c>
      <c r="F7111" s="49" t="s">
        <v>3656</v>
      </c>
      <c r="G7111" s="49" t="n">
        <v>0</v>
      </c>
      <c r="H7111" s="0" t="n">
        <v>0</v>
      </c>
      <c r="M7111" s="51" t="s">
        <v>11880</v>
      </c>
      <c r="N7111" s="49" t="n">
        <v>0</v>
      </c>
      <c r="O7111" s="53" t="n">
        <v>45960.6557175926</v>
      </c>
      <c r="P7111" s="53" t="n">
        <v>45974.9284953704</v>
      </c>
      <c r="Q7111" s="53" t="n">
        <v>45960.6557175926</v>
      </c>
      <c r="R7111" s="0" t="n">
        <v>0</v>
      </c>
      <c r="S7111" s="51" t="s">
        <v>2401</v>
      </c>
      <c r="T7111" s="51" t="s">
        <v>2401</v>
      </c>
      <c r="U7111" s="0" t="str">
        <f aca="false">"5060458890191"</f>
        <v>5060458890191</v>
      </c>
      <c r="V7111" s="51" t="s">
        <v>2142</v>
      </c>
      <c r="W7111" s="51" t="s">
        <v>4036</v>
      </c>
      <c r="X7111" s="51" t="s">
        <v>2359</v>
      </c>
    </row>
    <row r="7112" customFormat="false" ht="14.25" hidden="true" customHeight="false" outlineLevel="0" collapsed="false">
      <c r="A7112" s="49" t="s">
        <v>2349</v>
      </c>
      <c r="B7112" s="49" t="s">
        <v>2350</v>
      </c>
      <c r="C7112" s="49" t="s">
        <v>11912</v>
      </c>
      <c r="D7112" s="49" t="s">
        <v>2352</v>
      </c>
      <c r="E7112" s="49" t="str">
        <f aca="false">"5060458890191"</f>
        <v>5060458890191</v>
      </c>
      <c r="F7112" s="49" t="s">
        <v>3656</v>
      </c>
      <c r="G7112" s="49" t="n">
        <v>0</v>
      </c>
      <c r="H7112" s="0" t="n">
        <v>0</v>
      </c>
      <c r="M7112" s="51" t="s">
        <v>11880</v>
      </c>
      <c r="N7112" s="49" t="n">
        <v>0</v>
      </c>
      <c r="O7112" s="53" t="n">
        <v>45960.6555092593</v>
      </c>
      <c r="P7112" s="53" t="n">
        <v>45991.7503935185</v>
      </c>
      <c r="Q7112" s="53" t="n">
        <v>45960.6555092593</v>
      </c>
      <c r="R7112" s="0" t="n">
        <v>0</v>
      </c>
      <c r="S7112" s="51" t="s">
        <v>2401</v>
      </c>
      <c r="T7112" s="51" t="s">
        <v>2401</v>
      </c>
      <c r="U7112" s="0" t="str">
        <f aca="false">"5060458890191"</f>
        <v>5060458890191</v>
      </c>
      <c r="V7112" s="51" t="s">
        <v>2142</v>
      </c>
      <c r="W7112" s="51" t="s">
        <v>4621</v>
      </c>
      <c r="X7112" s="51" t="s">
        <v>2359</v>
      </c>
    </row>
    <row r="7113" customFormat="false" ht="14.25" hidden="true" customHeight="false" outlineLevel="0" collapsed="false">
      <c r="A7113" s="49" t="s">
        <v>2349</v>
      </c>
      <c r="B7113" s="49" t="s">
        <v>2350</v>
      </c>
      <c r="C7113" s="49" t="s">
        <v>11913</v>
      </c>
      <c r="D7113" s="49" t="s">
        <v>2352</v>
      </c>
      <c r="E7113" s="49" t="str">
        <f aca="false">"5942326400483"</f>
        <v>5942326400483</v>
      </c>
      <c r="F7113" s="49" t="s">
        <v>3651</v>
      </c>
      <c r="G7113" s="49" t="n">
        <v>0</v>
      </c>
      <c r="H7113" s="0" t="n">
        <v>0</v>
      </c>
      <c r="M7113" s="51" t="s">
        <v>11914</v>
      </c>
      <c r="N7113" s="49" t="n">
        <v>0</v>
      </c>
      <c r="O7113" s="53" t="n">
        <v>45974.6338310185</v>
      </c>
      <c r="P7113" s="53" t="n">
        <v>46013.897962963</v>
      </c>
      <c r="Q7113" s="53" t="n">
        <v>45974.6338310185</v>
      </c>
      <c r="R7113" s="0" t="n">
        <v>0</v>
      </c>
      <c r="S7113" s="51" t="s">
        <v>2401</v>
      </c>
      <c r="T7113" s="51" t="s">
        <v>2401</v>
      </c>
      <c r="U7113" s="0" t="str">
        <f aca="false">"5942326400483"</f>
        <v>5942326400483</v>
      </c>
      <c r="V7113" s="51" t="s">
        <v>2365</v>
      </c>
      <c r="W7113" s="51" t="s">
        <v>5799</v>
      </c>
      <c r="X7113" s="51" t="s">
        <v>2359</v>
      </c>
    </row>
    <row r="7114" customFormat="false" ht="14.25" hidden="true" customHeight="false" outlineLevel="0" collapsed="false">
      <c r="A7114" s="49" t="s">
        <v>2349</v>
      </c>
      <c r="B7114" s="49" t="s">
        <v>2350</v>
      </c>
      <c r="C7114" s="49" t="s">
        <v>11915</v>
      </c>
      <c r="D7114" s="49" t="s">
        <v>2352</v>
      </c>
      <c r="E7114" s="49" t="str">
        <f aca="false">"10110809"</f>
        <v>10110809</v>
      </c>
      <c r="F7114" s="49" t="s">
        <v>10058</v>
      </c>
      <c r="G7114" s="49" t="n">
        <v>0</v>
      </c>
      <c r="H7114" s="0" t="n">
        <v>0</v>
      </c>
      <c r="M7114" s="51" t="s">
        <v>11916</v>
      </c>
      <c r="N7114" s="49" t="n">
        <v>0</v>
      </c>
      <c r="O7114" s="53" t="n">
        <v>45973.5897106482</v>
      </c>
      <c r="P7114" s="53" t="n">
        <v>46021.4621527778</v>
      </c>
      <c r="Q7114" s="53" t="n">
        <v>45973.5897106482</v>
      </c>
      <c r="R7114" s="0" t="n">
        <v>0</v>
      </c>
      <c r="S7114" s="51" t="s">
        <v>2356</v>
      </c>
      <c r="T7114" s="51" t="s">
        <v>2356</v>
      </c>
      <c r="U7114" s="0" t="str">
        <f aca="false">"10110809"</f>
        <v>10110809</v>
      </c>
      <c r="V7114" s="51" t="s">
        <v>2365</v>
      </c>
      <c r="W7114" s="51" t="s">
        <v>11917</v>
      </c>
      <c r="X7114" s="51" t="s">
        <v>2359</v>
      </c>
    </row>
    <row r="7115" customFormat="false" ht="14.25" hidden="true" customHeight="false" outlineLevel="0" collapsed="false">
      <c r="A7115" s="49" t="s">
        <v>2349</v>
      </c>
      <c r="B7115" s="49" t="s">
        <v>2350</v>
      </c>
      <c r="C7115" s="49" t="s">
        <v>11918</v>
      </c>
      <c r="D7115" s="49" t="s">
        <v>2352</v>
      </c>
      <c r="E7115" s="49" t="str">
        <f aca="false">"71505021166"</f>
        <v>71505021166</v>
      </c>
      <c r="F7115" s="49" t="s">
        <v>7985</v>
      </c>
      <c r="G7115" s="49" t="n">
        <v>0</v>
      </c>
      <c r="H7115" s="0" t="n">
        <v>0</v>
      </c>
      <c r="M7115" s="51" t="s">
        <v>11919</v>
      </c>
      <c r="N7115" s="49" t="n">
        <v>0</v>
      </c>
      <c r="O7115" s="53" t="n">
        <v>45958.6389467593</v>
      </c>
      <c r="P7115" s="53" t="n">
        <v>45960.4080671296</v>
      </c>
      <c r="Q7115" s="53" t="n">
        <v>45958.6389467593</v>
      </c>
      <c r="R7115" s="0" t="n">
        <v>0</v>
      </c>
      <c r="S7115" s="51" t="s">
        <v>2356</v>
      </c>
      <c r="T7115" s="51" t="s">
        <v>2356</v>
      </c>
      <c r="U7115" s="0" t="str">
        <f aca="false">"71505021166"</f>
        <v>71505021166</v>
      </c>
      <c r="V7115" s="51" t="s">
        <v>5386</v>
      </c>
      <c r="W7115" s="51" t="s">
        <v>5322</v>
      </c>
      <c r="X7115" s="51" t="s">
        <v>2359</v>
      </c>
    </row>
    <row r="7116" customFormat="false" ht="14.25" hidden="true" customHeight="false" outlineLevel="0" collapsed="false">
      <c r="A7116" s="49" t="s">
        <v>2349</v>
      </c>
      <c r="B7116" s="49" t="s">
        <v>2350</v>
      </c>
      <c r="C7116" s="49" t="s">
        <v>11920</v>
      </c>
      <c r="D7116" s="49" t="s">
        <v>2352</v>
      </c>
      <c r="E7116" s="49" t="str">
        <f aca="false">"71505021166"</f>
        <v>71505021166</v>
      </c>
      <c r="F7116" s="49" t="s">
        <v>7985</v>
      </c>
      <c r="G7116" s="49" t="n">
        <v>0</v>
      </c>
      <c r="H7116" s="0" t="n">
        <v>0</v>
      </c>
      <c r="M7116" s="51" t="s">
        <v>11919</v>
      </c>
      <c r="N7116" s="49" t="n">
        <v>0</v>
      </c>
      <c r="O7116" s="53" t="n">
        <v>45958.6387384259</v>
      </c>
      <c r="P7116" s="53" t="n">
        <v>45960.4098842593</v>
      </c>
      <c r="Q7116" s="53" t="n">
        <v>45958.6387384259</v>
      </c>
      <c r="R7116" s="0" t="n">
        <v>0</v>
      </c>
      <c r="S7116" s="51" t="s">
        <v>2356</v>
      </c>
      <c r="T7116" s="51" t="s">
        <v>2356</v>
      </c>
      <c r="U7116" s="0" t="str">
        <f aca="false">"71505021166"</f>
        <v>71505021166</v>
      </c>
      <c r="V7116" s="51" t="s">
        <v>5386</v>
      </c>
      <c r="W7116" s="51" t="s">
        <v>5322</v>
      </c>
      <c r="X7116" s="51" t="s">
        <v>2359</v>
      </c>
    </row>
    <row r="7117" customFormat="false" ht="14.25" hidden="true" customHeight="false" outlineLevel="0" collapsed="false">
      <c r="A7117" s="49" t="s">
        <v>2349</v>
      </c>
      <c r="B7117" s="49" t="s">
        <v>2350</v>
      </c>
      <c r="C7117" s="49" t="s">
        <v>11921</v>
      </c>
      <c r="D7117" s="49" t="s">
        <v>2352</v>
      </c>
      <c r="E7117" s="49" t="str">
        <f aca="false">"71505021166"</f>
        <v>71505021166</v>
      </c>
      <c r="F7117" s="49" t="s">
        <v>7985</v>
      </c>
      <c r="G7117" s="49" t="n">
        <v>0</v>
      </c>
      <c r="H7117" s="0" t="n">
        <v>0</v>
      </c>
      <c r="M7117" s="51" t="s">
        <v>11919</v>
      </c>
      <c r="N7117" s="49" t="n">
        <v>0</v>
      </c>
      <c r="O7117" s="53" t="n">
        <v>45958.6384606482</v>
      </c>
      <c r="P7117" s="53" t="n">
        <v>46056.3745486111</v>
      </c>
      <c r="Q7117" s="53" t="n">
        <v>45958.6384606482</v>
      </c>
      <c r="R7117" s="0" t="n">
        <v>0</v>
      </c>
      <c r="S7117" s="51" t="s">
        <v>2356</v>
      </c>
      <c r="T7117" s="51" t="s">
        <v>2356</v>
      </c>
      <c r="U7117" s="0" t="str">
        <f aca="false">"71505021166"</f>
        <v>71505021166</v>
      </c>
      <c r="V7117" s="51" t="s">
        <v>5386</v>
      </c>
      <c r="W7117" s="51" t="s">
        <v>7855</v>
      </c>
      <c r="X7117" s="51" t="s">
        <v>2359</v>
      </c>
    </row>
    <row r="7118" customFormat="false" ht="14.25" hidden="true" customHeight="false" outlineLevel="0" collapsed="false">
      <c r="A7118" s="49" t="s">
        <v>2349</v>
      </c>
      <c r="B7118" s="49" t="s">
        <v>2350</v>
      </c>
      <c r="C7118" s="49" t="s">
        <v>11922</v>
      </c>
      <c r="D7118" s="49" t="s">
        <v>2352</v>
      </c>
      <c r="E7118" s="49" t="str">
        <f aca="false">"71505021166"</f>
        <v>71505021166</v>
      </c>
      <c r="F7118" s="49" t="s">
        <v>7985</v>
      </c>
      <c r="G7118" s="49" t="n">
        <v>0</v>
      </c>
      <c r="H7118" s="0" t="n">
        <v>0</v>
      </c>
      <c r="M7118" s="51" t="s">
        <v>11919</v>
      </c>
      <c r="N7118" s="49" t="n">
        <v>0</v>
      </c>
      <c r="O7118" s="53" t="n">
        <v>45958.6382523148</v>
      </c>
      <c r="P7118" s="53" t="n">
        <v>45960.4109722222</v>
      </c>
      <c r="Q7118" s="53" t="n">
        <v>45958.6382523148</v>
      </c>
      <c r="R7118" s="0" t="n">
        <v>0</v>
      </c>
      <c r="S7118" s="51" t="s">
        <v>2356</v>
      </c>
      <c r="T7118" s="51" t="s">
        <v>2356</v>
      </c>
      <c r="U7118" s="0" t="str">
        <f aca="false">"71505021166"</f>
        <v>71505021166</v>
      </c>
      <c r="V7118" s="51" t="s">
        <v>5386</v>
      </c>
      <c r="W7118" s="51" t="s">
        <v>4478</v>
      </c>
      <c r="X7118" s="51" t="s">
        <v>2359</v>
      </c>
    </row>
    <row r="7119" customFormat="false" ht="14.25" hidden="true" customHeight="false" outlineLevel="0" collapsed="false">
      <c r="A7119" s="49" t="s">
        <v>2349</v>
      </c>
      <c r="B7119" s="49" t="s">
        <v>2350</v>
      </c>
      <c r="C7119" s="49" t="s">
        <v>11923</v>
      </c>
      <c r="D7119" s="49" t="s">
        <v>2352</v>
      </c>
      <c r="E7119" s="49" t="str">
        <f aca="false">"71505021166"</f>
        <v>71505021166</v>
      </c>
      <c r="F7119" s="49" t="s">
        <v>7985</v>
      </c>
      <c r="G7119" s="49" t="n">
        <v>0</v>
      </c>
      <c r="H7119" s="0" t="n">
        <v>0</v>
      </c>
      <c r="M7119" s="51" t="s">
        <v>11919</v>
      </c>
      <c r="N7119" s="49" t="n">
        <v>0</v>
      </c>
      <c r="O7119" s="53" t="n">
        <v>45958.6379050926</v>
      </c>
      <c r="P7119" s="53" t="n">
        <v>45960.4100115741</v>
      </c>
      <c r="Q7119" s="53" t="n">
        <v>45958.6379050926</v>
      </c>
      <c r="R7119" s="0" t="n">
        <v>0</v>
      </c>
      <c r="S7119" s="51" t="s">
        <v>2356</v>
      </c>
      <c r="T7119" s="51" t="s">
        <v>2356</v>
      </c>
      <c r="U7119" s="0" t="str">
        <f aca="false">"71505021166"</f>
        <v>71505021166</v>
      </c>
      <c r="V7119" s="51" t="s">
        <v>5386</v>
      </c>
      <c r="W7119" s="51" t="s">
        <v>5322</v>
      </c>
      <c r="X7119" s="51" t="s">
        <v>2359</v>
      </c>
    </row>
    <row r="7120" customFormat="false" ht="14.25" hidden="true" customHeight="false" outlineLevel="0" collapsed="false">
      <c r="A7120" s="49" t="s">
        <v>2349</v>
      </c>
      <c r="B7120" s="49" t="s">
        <v>2350</v>
      </c>
      <c r="C7120" s="49" t="s">
        <v>11924</v>
      </c>
      <c r="D7120" s="49" t="s">
        <v>2352</v>
      </c>
      <c r="E7120" s="49" t="str">
        <f aca="false">"71505021166"</f>
        <v>71505021166</v>
      </c>
      <c r="F7120" s="49" t="s">
        <v>7985</v>
      </c>
      <c r="G7120" s="49" t="n">
        <v>0</v>
      </c>
      <c r="H7120" s="0" t="n">
        <v>0</v>
      </c>
      <c r="M7120" s="51" t="s">
        <v>11919</v>
      </c>
      <c r="N7120" s="49" t="n">
        <v>0</v>
      </c>
      <c r="O7120" s="53" t="n">
        <v>45958.637662037</v>
      </c>
      <c r="P7120" s="53" t="n">
        <v>45978.4511574074</v>
      </c>
      <c r="Q7120" s="53" t="n">
        <v>45958.637662037</v>
      </c>
      <c r="R7120" s="0" t="n">
        <v>0</v>
      </c>
      <c r="S7120" s="51" t="s">
        <v>2356</v>
      </c>
      <c r="T7120" s="51" t="s">
        <v>2356</v>
      </c>
      <c r="U7120" s="0" t="str">
        <f aca="false">"71505021166"</f>
        <v>71505021166</v>
      </c>
      <c r="V7120" s="51" t="s">
        <v>5386</v>
      </c>
      <c r="W7120" s="51" t="s">
        <v>4478</v>
      </c>
      <c r="X7120" s="51" t="s">
        <v>2359</v>
      </c>
    </row>
    <row r="7121" customFormat="false" ht="14.25" hidden="true" customHeight="false" outlineLevel="0" collapsed="false">
      <c r="A7121" s="49" t="s">
        <v>2349</v>
      </c>
      <c r="B7121" s="49" t="s">
        <v>2350</v>
      </c>
      <c r="C7121" s="49" t="s">
        <v>11925</v>
      </c>
      <c r="D7121" s="49" t="s">
        <v>2352</v>
      </c>
      <c r="E7121" s="49" t="str">
        <f aca="false">"71505021166"</f>
        <v>71505021166</v>
      </c>
      <c r="F7121" s="49" t="s">
        <v>7985</v>
      </c>
      <c r="G7121" s="49" t="n">
        <v>0</v>
      </c>
      <c r="H7121" s="0" t="n">
        <v>0</v>
      </c>
      <c r="M7121" s="51" t="s">
        <v>11919</v>
      </c>
      <c r="N7121" s="49" t="n">
        <v>0</v>
      </c>
      <c r="O7121" s="53" t="n">
        <v>45958.6374189815</v>
      </c>
      <c r="P7121" s="53" t="n">
        <v>45960.4086805556</v>
      </c>
      <c r="Q7121" s="53" t="n">
        <v>45958.6374189815</v>
      </c>
      <c r="R7121" s="0" t="n">
        <v>0</v>
      </c>
      <c r="S7121" s="51" t="s">
        <v>2356</v>
      </c>
      <c r="T7121" s="51" t="s">
        <v>2356</v>
      </c>
      <c r="U7121" s="0" t="str">
        <f aca="false">"71505021166"</f>
        <v>71505021166</v>
      </c>
      <c r="V7121" s="51" t="s">
        <v>5386</v>
      </c>
      <c r="W7121" s="51" t="s">
        <v>5322</v>
      </c>
      <c r="X7121" s="51" t="s">
        <v>2359</v>
      </c>
    </row>
    <row r="7122" customFormat="false" ht="14.25" hidden="true" customHeight="false" outlineLevel="0" collapsed="false">
      <c r="A7122" s="49" t="s">
        <v>2349</v>
      </c>
      <c r="B7122" s="49" t="s">
        <v>2350</v>
      </c>
      <c r="C7122" s="49" t="s">
        <v>11926</v>
      </c>
      <c r="D7122" s="49" t="s">
        <v>2352</v>
      </c>
      <c r="E7122" s="49" t="str">
        <f aca="false">"71505021166"</f>
        <v>71505021166</v>
      </c>
      <c r="F7122" s="49" t="s">
        <v>7985</v>
      </c>
      <c r="G7122" s="49" t="n">
        <v>0</v>
      </c>
      <c r="H7122" s="0" t="n">
        <v>0</v>
      </c>
      <c r="M7122" s="51" t="s">
        <v>11919</v>
      </c>
      <c r="N7122" s="49" t="n">
        <v>0</v>
      </c>
      <c r="O7122" s="53" t="n">
        <v>45958.6371412037</v>
      </c>
      <c r="P7122" s="53" t="n">
        <v>45960.4083333333</v>
      </c>
      <c r="Q7122" s="53" t="n">
        <v>45958.6371412037</v>
      </c>
      <c r="R7122" s="0" t="n">
        <v>0</v>
      </c>
      <c r="S7122" s="51" t="s">
        <v>2356</v>
      </c>
      <c r="T7122" s="51" t="s">
        <v>2356</v>
      </c>
      <c r="U7122" s="0" t="str">
        <f aca="false">"71505021166"</f>
        <v>71505021166</v>
      </c>
      <c r="V7122" s="51" t="s">
        <v>5386</v>
      </c>
      <c r="W7122" s="51" t="s">
        <v>5322</v>
      </c>
      <c r="X7122" s="51" t="s">
        <v>2359</v>
      </c>
    </row>
    <row r="7123" customFormat="false" ht="14.25" hidden="true" customHeight="false" outlineLevel="0" collapsed="false">
      <c r="A7123" s="49" t="s">
        <v>2349</v>
      </c>
      <c r="B7123" s="49" t="s">
        <v>2350</v>
      </c>
      <c r="C7123" s="49" t="s">
        <v>11927</v>
      </c>
      <c r="D7123" s="49" t="s">
        <v>2352</v>
      </c>
      <c r="E7123" s="49" t="str">
        <f aca="false">"71505021166"</f>
        <v>71505021166</v>
      </c>
      <c r="F7123" s="49" t="s">
        <v>7985</v>
      </c>
      <c r="G7123" s="49" t="n">
        <v>0</v>
      </c>
      <c r="H7123" s="0" t="n">
        <v>0</v>
      </c>
      <c r="M7123" s="51" t="s">
        <v>11919</v>
      </c>
      <c r="N7123" s="49" t="n">
        <v>0</v>
      </c>
      <c r="O7123" s="53" t="n">
        <v>45958.6369097222</v>
      </c>
      <c r="P7123" s="53" t="n">
        <v>45960.4096875</v>
      </c>
      <c r="Q7123" s="53" t="n">
        <v>45958.6369097222</v>
      </c>
      <c r="R7123" s="0" t="n">
        <v>0</v>
      </c>
      <c r="S7123" s="51" t="s">
        <v>2356</v>
      </c>
      <c r="T7123" s="51" t="s">
        <v>2356</v>
      </c>
      <c r="U7123" s="0" t="str">
        <f aca="false">"71505021166"</f>
        <v>71505021166</v>
      </c>
      <c r="V7123" s="51" t="s">
        <v>5386</v>
      </c>
      <c r="W7123" s="51" t="s">
        <v>5322</v>
      </c>
      <c r="X7123" s="51" t="s">
        <v>2359</v>
      </c>
    </row>
    <row r="7124" customFormat="false" ht="14.25" hidden="true" customHeight="false" outlineLevel="0" collapsed="false">
      <c r="A7124" s="49" t="s">
        <v>2349</v>
      </c>
      <c r="B7124" s="49" t="s">
        <v>2350</v>
      </c>
      <c r="C7124" s="49" t="s">
        <v>11928</v>
      </c>
      <c r="D7124" s="49" t="s">
        <v>2352</v>
      </c>
      <c r="E7124" s="49" t="str">
        <f aca="false">"71505021166"</f>
        <v>71505021166</v>
      </c>
      <c r="F7124" s="49" t="s">
        <v>7985</v>
      </c>
      <c r="G7124" s="49" t="n">
        <v>0</v>
      </c>
      <c r="H7124" s="0" t="n">
        <v>0</v>
      </c>
      <c r="M7124" s="51" t="s">
        <v>11919</v>
      </c>
      <c r="N7124" s="49" t="n">
        <v>0</v>
      </c>
      <c r="O7124" s="53" t="n">
        <v>45958.63625</v>
      </c>
      <c r="P7124" s="53" t="n">
        <v>45960.410625</v>
      </c>
      <c r="Q7124" s="53" t="n">
        <v>45958.63625</v>
      </c>
      <c r="R7124" s="0" t="n">
        <v>0</v>
      </c>
      <c r="S7124" s="51" t="s">
        <v>2356</v>
      </c>
      <c r="T7124" s="51" t="s">
        <v>2356</v>
      </c>
      <c r="U7124" s="0" t="str">
        <f aca="false">"71505021166"</f>
        <v>71505021166</v>
      </c>
      <c r="V7124" s="51" t="s">
        <v>5386</v>
      </c>
      <c r="W7124" s="51" t="s">
        <v>4478</v>
      </c>
      <c r="X7124" s="51" t="s">
        <v>2359</v>
      </c>
    </row>
    <row r="7125" customFormat="false" ht="14.25" hidden="true" customHeight="false" outlineLevel="0" collapsed="false">
      <c r="A7125" s="49" t="s">
        <v>2349</v>
      </c>
      <c r="B7125" s="49" t="s">
        <v>2350</v>
      </c>
      <c r="C7125" s="49" t="s">
        <v>11929</v>
      </c>
      <c r="D7125" s="49" t="s">
        <v>2352</v>
      </c>
      <c r="E7125" s="49" t="str">
        <f aca="false">"71505021166"</f>
        <v>71505021166</v>
      </c>
      <c r="F7125" s="49" t="s">
        <v>7985</v>
      </c>
      <c r="G7125" s="49" t="n">
        <v>0</v>
      </c>
      <c r="H7125" s="0" t="n">
        <v>0</v>
      </c>
      <c r="M7125" s="51" t="s">
        <v>11919</v>
      </c>
      <c r="N7125" s="49" t="n">
        <v>0</v>
      </c>
      <c r="O7125" s="53" t="n">
        <v>45958.6366666667</v>
      </c>
      <c r="P7125" s="53" t="n">
        <v>45960.4107291667</v>
      </c>
      <c r="Q7125" s="53" t="n">
        <v>45958.6366666667</v>
      </c>
      <c r="R7125" s="0" t="n">
        <v>0</v>
      </c>
      <c r="S7125" s="51" t="s">
        <v>2356</v>
      </c>
      <c r="T7125" s="51" t="s">
        <v>2356</v>
      </c>
      <c r="U7125" s="0" t="str">
        <f aca="false">"71505021166"</f>
        <v>71505021166</v>
      </c>
      <c r="V7125" s="51" t="s">
        <v>5386</v>
      </c>
      <c r="W7125" s="51" t="s">
        <v>4478</v>
      </c>
      <c r="X7125" s="51" t="s">
        <v>2359</v>
      </c>
    </row>
    <row r="7126" customFormat="false" ht="14.25" hidden="true" customHeight="false" outlineLevel="0" collapsed="false">
      <c r="A7126" s="49" t="s">
        <v>2349</v>
      </c>
      <c r="B7126" s="49" t="s">
        <v>2350</v>
      </c>
      <c r="C7126" s="49" t="s">
        <v>11930</v>
      </c>
      <c r="D7126" s="49" t="s">
        <v>2352</v>
      </c>
      <c r="E7126" s="49" t="str">
        <f aca="false">"71505021166"</f>
        <v>71505021166</v>
      </c>
      <c r="F7126" s="49" t="s">
        <v>7985</v>
      </c>
      <c r="G7126" s="49" t="n">
        <v>0</v>
      </c>
      <c r="H7126" s="0" t="n">
        <v>0</v>
      </c>
      <c r="M7126" s="51" t="s">
        <v>11919</v>
      </c>
      <c r="N7126" s="49" t="n">
        <v>0</v>
      </c>
      <c r="O7126" s="53" t="n">
        <v>45958.6360185185</v>
      </c>
      <c r="P7126" s="53" t="n">
        <v>45960.4095717593</v>
      </c>
      <c r="Q7126" s="53" t="n">
        <v>45958.6360185185</v>
      </c>
      <c r="R7126" s="0" t="n">
        <v>0</v>
      </c>
      <c r="S7126" s="51" t="s">
        <v>2356</v>
      </c>
      <c r="T7126" s="51" t="s">
        <v>2356</v>
      </c>
      <c r="U7126" s="0" t="str">
        <f aca="false">"71505021166"</f>
        <v>71505021166</v>
      </c>
      <c r="V7126" s="51" t="s">
        <v>5386</v>
      </c>
      <c r="W7126" s="51" t="s">
        <v>5322</v>
      </c>
      <c r="X7126" s="51" t="s">
        <v>2359</v>
      </c>
    </row>
    <row r="7127" customFormat="false" ht="14.25" hidden="true" customHeight="false" outlineLevel="0" collapsed="false">
      <c r="A7127" s="49" t="s">
        <v>2349</v>
      </c>
      <c r="B7127" s="49" t="s">
        <v>2350</v>
      </c>
      <c r="C7127" s="49" t="s">
        <v>11931</v>
      </c>
      <c r="D7127" s="49" t="s">
        <v>2352</v>
      </c>
      <c r="E7127" s="49" t="str">
        <f aca="false">"71505021166"</f>
        <v>71505021166</v>
      </c>
      <c r="F7127" s="49" t="s">
        <v>7985</v>
      </c>
      <c r="G7127" s="49" t="n">
        <v>0</v>
      </c>
      <c r="H7127" s="0" t="n">
        <v>0</v>
      </c>
      <c r="M7127" s="51" t="s">
        <v>11919</v>
      </c>
      <c r="N7127" s="49" t="n">
        <v>0</v>
      </c>
      <c r="O7127" s="53" t="n">
        <v>45958.6355555556</v>
      </c>
      <c r="P7127" s="53" t="n">
        <v>45960.4097916667</v>
      </c>
      <c r="Q7127" s="53" t="n">
        <v>45958.6355555556</v>
      </c>
      <c r="R7127" s="0" t="n">
        <v>0</v>
      </c>
      <c r="S7127" s="51" t="s">
        <v>2356</v>
      </c>
      <c r="T7127" s="51" t="s">
        <v>2356</v>
      </c>
      <c r="U7127" s="0" t="str">
        <f aca="false">"71505021166"</f>
        <v>71505021166</v>
      </c>
      <c r="V7127" s="51" t="s">
        <v>5386</v>
      </c>
      <c r="W7127" s="51" t="s">
        <v>5322</v>
      </c>
      <c r="X7127" s="51" t="s">
        <v>2359</v>
      </c>
    </row>
    <row r="7128" customFormat="false" ht="14.25" hidden="true" customHeight="false" outlineLevel="0" collapsed="false">
      <c r="A7128" s="49" t="s">
        <v>2349</v>
      </c>
      <c r="B7128" s="49" t="s">
        <v>2350</v>
      </c>
      <c r="C7128" s="49" t="s">
        <v>11932</v>
      </c>
      <c r="D7128" s="49" t="s">
        <v>2352</v>
      </c>
      <c r="E7128" s="49" t="str">
        <f aca="false">"71505021166"</f>
        <v>71505021166</v>
      </c>
      <c r="F7128" s="49" t="s">
        <v>7985</v>
      </c>
      <c r="G7128" s="49" t="n">
        <v>0</v>
      </c>
      <c r="H7128" s="0" t="n">
        <v>0</v>
      </c>
      <c r="M7128" s="51" t="s">
        <v>11919</v>
      </c>
      <c r="N7128" s="49" t="n">
        <v>0</v>
      </c>
      <c r="O7128" s="53" t="n">
        <v>45958.635787037</v>
      </c>
      <c r="P7128" s="53" t="n">
        <v>45960.410462963</v>
      </c>
      <c r="Q7128" s="53" t="n">
        <v>45958.635787037</v>
      </c>
      <c r="R7128" s="0" t="n">
        <v>0</v>
      </c>
      <c r="S7128" s="51" t="s">
        <v>2356</v>
      </c>
      <c r="T7128" s="51" t="s">
        <v>2356</v>
      </c>
      <c r="U7128" s="0" t="str">
        <f aca="false">"71505021166"</f>
        <v>71505021166</v>
      </c>
      <c r="V7128" s="51" t="s">
        <v>5386</v>
      </c>
      <c r="W7128" s="51" t="s">
        <v>4478</v>
      </c>
      <c r="X7128" s="51" t="s">
        <v>2359</v>
      </c>
    </row>
    <row r="7129" customFormat="false" ht="14.25" hidden="true" customHeight="false" outlineLevel="0" collapsed="false">
      <c r="A7129" s="49" t="s">
        <v>2349</v>
      </c>
      <c r="B7129" s="49" t="s">
        <v>2350</v>
      </c>
      <c r="C7129" s="49" t="s">
        <v>11933</v>
      </c>
      <c r="D7129" s="49" t="s">
        <v>2352</v>
      </c>
      <c r="E7129" s="49" t="str">
        <f aca="false">"71505021166"</f>
        <v>71505021166</v>
      </c>
      <c r="F7129" s="49" t="s">
        <v>7985</v>
      </c>
      <c r="G7129" s="49" t="n">
        <v>0</v>
      </c>
      <c r="H7129" s="0" t="n">
        <v>0</v>
      </c>
      <c r="M7129" s="51" t="s">
        <v>11919</v>
      </c>
      <c r="N7129" s="49" t="n">
        <v>0</v>
      </c>
      <c r="O7129" s="53" t="n">
        <v>45958.6352777778</v>
      </c>
      <c r="P7129" s="53" t="n">
        <v>45960.4082175926</v>
      </c>
      <c r="Q7129" s="53" t="n">
        <v>45958.6352777778</v>
      </c>
      <c r="R7129" s="0" t="n">
        <v>0</v>
      </c>
      <c r="S7129" s="51" t="s">
        <v>2356</v>
      </c>
      <c r="T7129" s="51" t="s">
        <v>2356</v>
      </c>
      <c r="U7129" s="0" t="str">
        <f aca="false">"71505021166"</f>
        <v>71505021166</v>
      </c>
      <c r="V7129" s="51" t="s">
        <v>5386</v>
      </c>
      <c r="W7129" s="51" t="s">
        <v>5322</v>
      </c>
      <c r="X7129" s="51" t="s">
        <v>2359</v>
      </c>
    </row>
    <row r="7130" customFormat="false" ht="14.25" hidden="true" customHeight="false" outlineLevel="0" collapsed="false">
      <c r="A7130" s="49" t="s">
        <v>2349</v>
      </c>
      <c r="B7130" s="49" t="s">
        <v>2350</v>
      </c>
      <c r="C7130" s="49" t="s">
        <v>11934</v>
      </c>
      <c r="D7130" s="49" t="s">
        <v>2352</v>
      </c>
      <c r="E7130" s="49" t="str">
        <f aca="false">"71505021166"</f>
        <v>71505021166</v>
      </c>
      <c r="F7130" s="49" t="s">
        <v>7985</v>
      </c>
      <c r="G7130" s="49" t="n">
        <v>0</v>
      </c>
      <c r="H7130" s="0" t="n">
        <v>0</v>
      </c>
      <c r="M7130" s="51" t="s">
        <v>11919</v>
      </c>
      <c r="N7130" s="49" t="n">
        <v>0</v>
      </c>
      <c r="O7130" s="53" t="n">
        <v>45958.6347685185</v>
      </c>
      <c r="P7130" s="53" t="n">
        <v>45960.4088194444</v>
      </c>
      <c r="Q7130" s="53" t="n">
        <v>45958.6347685185</v>
      </c>
      <c r="R7130" s="0" t="n">
        <v>0</v>
      </c>
      <c r="S7130" s="51" t="s">
        <v>2356</v>
      </c>
      <c r="T7130" s="51" t="s">
        <v>2356</v>
      </c>
      <c r="U7130" s="0" t="str">
        <f aca="false">"71505021166"</f>
        <v>71505021166</v>
      </c>
      <c r="V7130" s="51" t="s">
        <v>5386</v>
      </c>
      <c r="W7130" s="51" t="s">
        <v>5322</v>
      </c>
      <c r="X7130" s="51" t="s">
        <v>2359</v>
      </c>
    </row>
    <row r="7131" customFormat="false" ht="14.25" hidden="true" customHeight="false" outlineLevel="0" collapsed="false">
      <c r="A7131" s="49" t="s">
        <v>2349</v>
      </c>
      <c r="B7131" s="49" t="s">
        <v>2350</v>
      </c>
      <c r="C7131" s="49" t="s">
        <v>11935</v>
      </c>
      <c r="D7131" s="49" t="s">
        <v>2352</v>
      </c>
      <c r="E7131" s="49" t="str">
        <f aca="false">"71505021166"</f>
        <v>71505021166</v>
      </c>
      <c r="F7131" s="49" t="s">
        <v>7985</v>
      </c>
      <c r="G7131" s="49" t="n">
        <v>0</v>
      </c>
      <c r="H7131" s="0" t="n">
        <v>0</v>
      </c>
      <c r="M7131" s="51" t="s">
        <v>11919</v>
      </c>
      <c r="N7131" s="49" t="n">
        <v>0</v>
      </c>
      <c r="O7131" s="53" t="n">
        <v>45958.6338078704</v>
      </c>
      <c r="P7131" s="53" t="n">
        <v>45960.4089930556</v>
      </c>
      <c r="Q7131" s="53" t="n">
        <v>45958.6338078704</v>
      </c>
      <c r="R7131" s="0" t="n">
        <v>0</v>
      </c>
      <c r="S7131" s="51" t="s">
        <v>2356</v>
      </c>
      <c r="T7131" s="51" t="s">
        <v>2356</v>
      </c>
      <c r="U7131" s="0" t="str">
        <f aca="false">"71505021166"</f>
        <v>71505021166</v>
      </c>
      <c r="V7131" s="51" t="s">
        <v>5386</v>
      </c>
      <c r="W7131" s="51" t="s">
        <v>5322</v>
      </c>
      <c r="X7131" s="51" t="s">
        <v>2359</v>
      </c>
    </row>
    <row r="7132" customFormat="false" ht="14.25" hidden="true" customHeight="false" outlineLevel="0" collapsed="false">
      <c r="A7132" s="49" t="s">
        <v>2349</v>
      </c>
      <c r="B7132" s="49" t="s">
        <v>2350</v>
      </c>
      <c r="C7132" s="49" t="s">
        <v>11936</v>
      </c>
      <c r="D7132" s="49" t="s">
        <v>2352</v>
      </c>
      <c r="E7132" s="49" t="str">
        <f aca="false">"71505021166"</f>
        <v>71505021166</v>
      </c>
      <c r="F7132" s="49" t="s">
        <v>7985</v>
      </c>
      <c r="G7132" s="49" t="n">
        <v>0</v>
      </c>
      <c r="H7132" s="0" t="n">
        <v>0</v>
      </c>
      <c r="M7132" s="51" t="s">
        <v>11919</v>
      </c>
      <c r="N7132" s="49" t="n">
        <v>0</v>
      </c>
      <c r="O7132" s="53" t="n">
        <v>45958.6333680556</v>
      </c>
      <c r="P7132" s="53" t="n">
        <v>46020.4273726852</v>
      </c>
      <c r="Q7132" s="53" t="n">
        <v>45958.6333680556</v>
      </c>
      <c r="R7132" s="0" t="n">
        <v>0</v>
      </c>
      <c r="S7132" s="51" t="s">
        <v>2356</v>
      </c>
      <c r="T7132" s="51" t="s">
        <v>2356</v>
      </c>
      <c r="U7132" s="0" t="str">
        <f aca="false">"71505021166"</f>
        <v>71505021166</v>
      </c>
      <c r="V7132" s="51" t="s">
        <v>5386</v>
      </c>
      <c r="W7132" s="51" t="s">
        <v>9075</v>
      </c>
      <c r="X7132" s="51" t="s">
        <v>2359</v>
      </c>
    </row>
    <row r="7133" customFormat="false" ht="14.25" hidden="true" customHeight="false" outlineLevel="0" collapsed="false">
      <c r="A7133" s="49" t="s">
        <v>2349</v>
      </c>
      <c r="B7133" s="49" t="s">
        <v>2350</v>
      </c>
      <c r="C7133" s="49" t="s">
        <v>11937</v>
      </c>
      <c r="D7133" s="49" t="s">
        <v>2352</v>
      </c>
      <c r="E7133" s="49" t="str">
        <f aca="false">"71505021166"</f>
        <v>71505021166</v>
      </c>
      <c r="F7133" s="49" t="s">
        <v>7985</v>
      </c>
      <c r="G7133" s="49" t="n">
        <v>0</v>
      </c>
      <c r="H7133" s="0" t="n">
        <v>0</v>
      </c>
      <c r="M7133" s="51" t="s">
        <v>11919</v>
      </c>
      <c r="N7133" s="49" t="n">
        <v>0</v>
      </c>
      <c r="O7133" s="53" t="n">
        <v>45958.632962963</v>
      </c>
      <c r="P7133" s="53" t="n">
        <v>45960.4102314815</v>
      </c>
      <c r="Q7133" s="53" t="n">
        <v>45958.632962963</v>
      </c>
      <c r="R7133" s="0" t="n">
        <v>0</v>
      </c>
      <c r="S7133" s="51" t="s">
        <v>2356</v>
      </c>
      <c r="T7133" s="51" t="s">
        <v>2356</v>
      </c>
      <c r="U7133" s="0" t="str">
        <f aca="false">"71505021166"</f>
        <v>71505021166</v>
      </c>
      <c r="V7133" s="51" t="s">
        <v>5386</v>
      </c>
      <c r="W7133" s="51" t="s">
        <v>11938</v>
      </c>
      <c r="X7133" s="51" t="s">
        <v>2359</v>
      </c>
    </row>
    <row r="7134" customFormat="false" ht="14.25" hidden="true" customHeight="false" outlineLevel="0" collapsed="false">
      <c r="A7134" s="49" t="s">
        <v>2349</v>
      </c>
      <c r="B7134" s="49" t="s">
        <v>2350</v>
      </c>
      <c r="C7134" s="49" t="s">
        <v>11939</v>
      </c>
      <c r="D7134" s="49" t="s">
        <v>2352</v>
      </c>
      <c r="E7134" s="49" t="str">
        <f aca="false">"71505021166"</f>
        <v>71505021166</v>
      </c>
      <c r="F7134" s="49" t="s">
        <v>7985</v>
      </c>
      <c r="G7134" s="49" t="n">
        <v>0</v>
      </c>
      <c r="H7134" s="0" t="n">
        <v>0</v>
      </c>
      <c r="M7134" s="51" t="s">
        <v>11919</v>
      </c>
      <c r="N7134" s="49" t="n">
        <v>0</v>
      </c>
      <c r="O7134" s="53" t="n">
        <v>45958.6325115741</v>
      </c>
      <c r="P7134" s="53" t="n">
        <v>45960.4079513889</v>
      </c>
      <c r="Q7134" s="53" t="n">
        <v>45958.6325115741</v>
      </c>
      <c r="R7134" s="0" t="n">
        <v>0</v>
      </c>
      <c r="S7134" s="51" t="s">
        <v>2356</v>
      </c>
      <c r="T7134" s="51" t="s">
        <v>2356</v>
      </c>
      <c r="U7134" s="0" t="str">
        <f aca="false">"71505021166"</f>
        <v>71505021166</v>
      </c>
      <c r="V7134" s="51" t="s">
        <v>5386</v>
      </c>
      <c r="W7134" s="51" t="s">
        <v>5322</v>
      </c>
      <c r="X7134" s="51" t="s">
        <v>2359</v>
      </c>
    </row>
    <row r="7135" customFormat="false" ht="14.25" hidden="true" customHeight="false" outlineLevel="0" collapsed="false">
      <c r="A7135" s="49" t="s">
        <v>2349</v>
      </c>
      <c r="B7135" s="49" t="s">
        <v>2350</v>
      </c>
      <c r="C7135" s="49" t="s">
        <v>11940</v>
      </c>
      <c r="D7135" s="49" t="s">
        <v>2352</v>
      </c>
      <c r="E7135" s="49" t="str">
        <f aca="false">"5060458890191"</f>
        <v>5060458890191</v>
      </c>
      <c r="F7135" s="49" t="s">
        <v>3656</v>
      </c>
      <c r="G7135" s="49" t="n">
        <v>0</v>
      </c>
      <c r="H7135" s="0" t="n">
        <v>0</v>
      </c>
      <c r="M7135" s="51" t="s">
        <v>11941</v>
      </c>
      <c r="N7135" s="49" t="n">
        <v>0</v>
      </c>
      <c r="O7135" s="53" t="n">
        <v>45956.6085532407</v>
      </c>
      <c r="P7135" s="53" t="n">
        <v>45966.7240740741</v>
      </c>
      <c r="Q7135" s="53" t="n">
        <v>45956.6085532407</v>
      </c>
      <c r="R7135" s="0" t="n">
        <v>0</v>
      </c>
      <c r="S7135" s="51" t="s">
        <v>2401</v>
      </c>
      <c r="T7135" s="51" t="s">
        <v>2401</v>
      </c>
      <c r="U7135" s="0" t="str">
        <f aca="false">"5060458890191"</f>
        <v>5060458890191</v>
      </c>
      <c r="V7135" s="51" t="s">
        <v>2142</v>
      </c>
      <c r="W7135" s="51" t="s">
        <v>11409</v>
      </c>
      <c r="X7135" s="51" t="s">
        <v>2359</v>
      </c>
    </row>
    <row r="7136" customFormat="false" ht="14.25" hidden="true" customHeight="false" outlineLevel="0" collapsed="false">
      <c r="A7136" s="49" t="s">
        <v>2349</v>
      </c>
      <c r="B7136" s="49" t="s">
        <v>2350</v>
      </c>
      <c r="C7136" s="49" t="s">
        <v>11942</v>
      </c>
      <c r="D7136" s="49" t="s">
        <v>2352</v>
      </c>
      <c r="E7136" s="49" t="str">
        <f aca="false">"5060458890191"</f>
        <v>5060458890191</v>
      </c>
      <c r="F7136" s="49" t="s">
        <v>3656</v>
      </c>
      <c r="G7136" s="49" t="n">
        <v>0</v>
      </c>
      <c r="H7136" s="0" t="n">
        <v>0</v>
      </c>
      <c r="M7136" s="51" t="s">
        <v>11941</v>
      </c>
      <c r="N7136" s="49" t="n">
        <v>0</v>
      </c>
      <c r="O7136" s="53" t="n">
        <v>45956.6083564815</v>
      </c>
      <c r="P7136" s="53" t="n">
        <v>45973.8957291667</v>
      </c>
      <c r="Q7136" s="53" t="n">
        <v>45956.6083564815</v>
      </c>
      <c r="R7136" s="0" t="n">
        <v>0</v>
      </c>
      <c r="S7136" s="51" t="s">
        <v>2401</v>
      </c>
      <c r="T7136" s="51" t="s">
        <v>2401</v>
      </c>
      <c r="U7136" s="0" t="str">
        <f aca="false">"5060458890191"</f>
        <v>5060458890191</v>
      </c>
      <c r="V7136" s="51" t="s">
        <v>2142</v>
      </c>
      <c r="W7136" s="51" t="s">
        <v>11653</v>
      </c>
      <c r="X7136" s="51" t="s">
        <v>2359</v>
      </c>
    </row>
    <row r="7137" customFormat="false" ht="14.25" hidden="true" customHeight="false" outlineLevel="0" collapsed="false">
      <c r="A7137" s="49" t="s">
        <v>2349</v>
      </c>
      <c r="B7137" s="49" t="s">
        <v>2350</v>
      </c>
      <c r="C7137" s="49" t="s">
        <v>11943</v>
      </c>
      <c r="D7137" s="49" t="s">
        <v>2352</v>
      </c>
      <c r="E7137" s="49" t="str">
        <f aca="false">"5060458890191"</f>
        <v>5060458890191</v>
      </c>
      <c r="F7137" s="49" t="s">
        <v>3656</v>
      </c>
      <c r="G7137" s="49" t="n">
        <v>0</v>
      </c>
      <c r="H7137" s="0" t="n">
        <v>0</v>
      </c>
      <c r="M7137" s="51" t="s">
        <v>11941</v>
      </c>
      <c r="N7137" s="49" t="n">
        <v>0</v>
      </c>
      <c r="O7137" s="53" t="n">
        <v>45956.6081828704</v>
      </c>
      <c r="P7137" s="53" t="n">
        <v>45971.9125694444</v>
      </c>
      <c r="Q7137" s="53" t="n">
        <v>45956.6081828704</v>
      </c>
      <c r="R7137" s="0" t="n">
        <v>0</v>
      </c>
      <c r="S7137" s="51" t="s">
        <v>2401</v>
      </c>
      <c r="T7137" s="51" t="s">
        <v>2401</v>
      </c>
      <c r="U7137" s="0" t="str">
        <f aca="false">"5060458890191"</f>
        <v>5060458890191</v>
      </c>
      <c r="V7137" s="51" t="s">
        <v>2142</v>
      </c>
      <c r="W7137" s="51" t="s">
        <v>10737</v>
      </c>
      <c r="X7137" s="51" t="s">
        <v>2359</v>
      </c>
    </row>
    <row r="7138" customFormat="false" ht="14.25" hidden="true" customHeight="false" outlineLevel="0" collapsed="false">
      <c r="A7138" s="49" t="s">
        <v>2349</v>
      </c>
      <c r="B7138" s="49" t="s">
        <v>2350</v>
      </c>
      <c r="C7138" s="49" t="s">
        <v>11944</v>
      </c>
      <c r="D7138" s="49" t="s">
        <v>2352</v>
      </c>
      <c r="E7138" s="49" t="str">
        <f aca="false">"5060458890191"</f>
        <v>5060458890191</v>
      </c>
      <c r="F7138" s="49" t="s">
        <v>3656</v>
      </c>
      <c r="G7138" s="49" t="n">
        <v>0</v>
      </c>
      <c r="H7138" s="0" t="n">
        <v>0</v>
      </c>
      <c r="M7138" s="51" t="s">
        <v>11941</v>
      </c>
      <c r="N7138" s="49" t="n">
        <v>0</v>
      </c>
      <c r="O7138" s="53" t="n">
        <v>45956.6080208333</v>
      </c>
      <c r="P7138" s="53" t="n">
        <v>45971.9146412037</v>
      </c>
      <c r="Q7138" s="53" t="n">
        <v>45956.6080208333</v>
      </c>
      <c r="R7138" s="0" t="n">
        <v>0</v>
      </c>
      <c r="S7138" s="51" t="s">
        <v>2401</v>
      </c>
      <c r="T7138" s="51" t="s">
        <v>2401</v>
      </c>
      <c r="U7138" s="0" t="str">
        <f aca="false">"5060458890191"</f>
        <v>5060458890191</v>
      </c>
      <c r="V7138" s="51" t="s">
        <v>2142</v>
      </c>
      <c r="W7138" s="51" t="s">
        <v>10192</v>
      </c>
      <c r="X7138" s="51" t="s">
        <v>2359</v>
      </c>
    </row>
    <row r="7139" customFormat="false" ht="14.25" hidden="true" customHeight="false" outlineLevel="0" collapsed="false">
      <c r="A7139" s="49" t="s">
        <v>2349</v>
      </c>
      <c r="B7139" s="49" t="s">
        <v>2350</v>
      </c>
      <c r="C7139" s="49" t="s">
        <v>11945</v>
      </c>
      <c r="D7139" s="49" t="s">
        <v>2352</v>
      </c>
      <c r="E7139" s="49" t="str">
        <f aca="false">"5060458890191"</f>
        <v>5060458890191</v>
      </c>
      <c r="F7139" s="49" t="s">
        <v>3656</v>
      </c>
      <c r="G7139" s="49" t="n">
        <v>0</v>
      </c>
      <c r="H7139" s="0" t="n">
        <v>0</v>
      </c>
      <c r="M7139" s="51" t="s">
        <v>11941</v>
      </c>
      <c r="N7139" s="49" t="n">
        <v>0</v>
      </c>
      <c r="O7139" s="53" t="n">
        <v>45956.6076736111</v>
      </c>
      <c r="P7139" s="53" t="n">
        <v>45965.7592824074</v>
      </c>
      <c r="Q7139" s="53" t="n">
        <v>45956.6076736111</v>
      </c>
      <c r="R7139" s="0" t="n">
        <v>0</v>
      </c>
      <c r="S7139" s="51" t="s">
        <v>2401</v>
      </c>
      <c r="T7139" s="51" t="s">
        <v>2401</v>
      </c>
      <c r="U7139" s="0" t="str">
        <f aca="false">"5060458890191"</f>
        <v>5060458890191</v>
      </c>
      <c r="V7139" s="51" t="s">
        <v>2142</v>
      </c>
      <c r="W7139" s="51" t="s">
        <v>10188</v>
      </c>
      <c r="X7139" s="51" t="s">
        <v>2359</v>
      </c>
    </row>
    <row r="7140" customFormat="false" ht="14.25" hidden="true" customHeight="false" outlineLevel="0" collapsed="false">
      <c r="A7140" s="49" t="s">
        <v>2349</v>
      </c>
      <c r="B7140" s="49" t="s">
        <v>2350</v>
      </c>
      <c r="C7140" s="49" t="s">
        <v>11946</v>
      </c>
      <c r="D7140" s="49" t="s">
        <v>2352</v>
      </c>
      <c r="E7140" s="49" t="str">
        <f aca="false">"5060458890191"</f>
        <v>5060458890191</v>
      </c>
      <c r="F7140" s="49" t="s">
        <v>3656</v>
      </c>
      <c r="G7140" s="49" t="n">
        <v>0</v>
      </c>
      <c r="H7140" s="0" t="n">
        <v>0</v>
      </c>
      <c r="M7140" s="51" t="s">
        <v>11941</v>
      </c>
      <c r="N7140" s="49" t="n">
        <v>0</v>
      </c>
      <c r="O7140" s="53" t="n">
        <v>45956.6071875</v>
      </c>
      <c r="P7140" s="53" t="n">
        <v>45971.9266782407</v>
      </c>
      <c r="Q7140" s="53" t="n">
        <v>45956.6071875</v>
      </c>
      <c r="R7140" s="0" t="n">
        <v>0</v>
      </c>
      <c r="S7140" s="51" t="s">
        <v>2401</v>
      </c>
      <c r="T7140" s="51" t="s">
        <v>2401</v>
      </c>
      <c r="U7140" s="0" t="str">
        <f aca="false">"5060458890191"</f>
        <v>5060458890191</v>
      </c>
      <c r="V7140" s="51" t="s">
        <v>2142</v>
      </c>
      <c r="W7140" s="51" t="s">
        <v>4094</v>
      </c>
      <c r="X7140" s="51" t="s">
        <v>2359</v>
      </c>
    </row>
    <row r="7141" customFormat="false" ht="14.25" hidden="true" customHeight="false" outlineLevel="0" collapsed="false">
      <c r="A7141" s="49" t="s">
        <v>2349</v>
      </c>
      <c r="B7141" s="49" t="s">
        <v>2350</v>
      </c>
      <c r="C7141" s="49" t="s">
        <v>11947</v>
      </c>
      <c r="D7141" s="49" t="s">
        <v>2352</v>
      </c>
      <c r="E7141" s="49" t="str">
        <f aca="false">"5060458890191"</f>
        <v>5060458890191</v>
      </c>
      <c r="F7141" s="49" t="s">
        <v>3656</v>
      </c>
      <c r="G7141" s="49" t="n">
        <v>0</v>
      </c>
      <c r="H7141" s="0" t="n">
        <v>0</v>
      </c>
      <c r="M7141" s="51" t="s">
        <v>11941</v>
      </c>
      <c r="N7141" s="49" t="n">
        <v>0</v>
      </c>
      <c r="O7141" s="53" t="n">
        <v>45956.6068518519</v>
      </c>
      <c r="P7141" s="53" t="n">
        <v>45965.7903356482</v>
      </c>
      <c r="Q7141" s="53" t="n">
        <v>45956.6068518519</v>
      </c>
      <c r="R7141" s="0" t="n">
        <v>0</v>
      </c>
      <c r="S7141" s="51" t="s">
        <v>2401</v>
      </c>
      <c r="T7141" s="51" t="s">
        <v>2401</v>
      </c>
      <c r="U7141" s="0" t="str">
        <f aca="false">"5060458890191"</f>
        <v>5060458890191</v>
      </c>
      <c r="V7141" s="51" t="s">
        <v>2142</v>
      </c>
      <c r="W7141" s="51" t="s">
        <v>4395</v>
      </c>
      <c r="X7141" s="51" t="s">
        <v>2359</v>
      </c>
    </row>
    <row r="7142" customFormat="false" ht="14.25" hidden="true" customHeight="false" outlineLevel="0" collapsed="false">
      <c r="A7142" s="49" t="s">
        <v>2349</v>
      </c>
      <c r="B7142" s="49" t="s">
        <v>2350</v>
      </c>
      <c r="C7142" s="49" t="s">
        <v>11948</v>
      </c>
      <c r="D7142" s="49" t="s">
        <v>2352</v>
      </c>
      <c r="E7142" s="49" t="str">
        <f aca="false">"5060458890191"</f>
        <v>5060458890191</v>
      </c>
      <c r="F7142" s="49" t="s">
        <v>3656</v>
      </c>
      <c r="G7142" s="49" t="n">
        <v>0</v>
      </c>
      <c r="H7142" s="0" t="n">
        <v>0</v>
      </c>
      <c r="M7142" s="51" t="s">
        <v>11941</v>
      </c>
      <c r="N7142" s="49" t="n">
        <v>0</v>
      </c>
      <c r="O7142" s="53" t="n">
        <v>45956.609525463</v>
      </c>
      <c r="P7142" s="53" t="n">
        <v>45965.7915972222</v>
      </c>
      <c r="Q7142" s="53" t="n">
        <v>45956.609525463</v>
      </c>
      <c r="R7142" s="0" t="n">
        <v>0</v>
      </c>
      <c r="S7142" s="51" t="s">
        <v>2401</v>
      </c>
      <c r="T7142" s="51" t="s">
        <v>2401</v>
      </c>
      <c r="U7142" s="0" t="str">
        <f aca="false">"5060458890191"</f>
        <v>5060458890191</v>
      </c>
      <c r="V7142" s="51" t="s">
        <v>2142</v>
      </c>
      <c r="W7142" s="51" t="s">
        <v>4808</v>
      </c>
      <c r="X7142" s="51" t="s">
        <v>2359</v>
      </c>
    </row>
    <row r="7143" customFormat="false" ht="14.25" hidden="true" customHeight="false" outlineLevel="0" collapsed="false">
      <c r="A7143" s="49" t="s">
        <v>2349</v>
      </c>
      <c r="B7143" s="49" t="s">
        <v>2350</v>
      </c>
      <c r="C7143" s="49" t="s">
        <v>11949</v>
      </c>
      <c r="D7143" s="49" t="s">
        <v>2352</v>
      </c>
      <c r="E7143" s="49" t="str">
        <f aca="false">"5060458890191"</f>
        <v>5060458890191</v>
      </c>
      <c r="F7143" s="49" t="s">
        <v>3656</v>
      </c>
      <c r="G7143" s="49" t="n">
        <v>0</v>
      </c>
      <c r="H7143" s="0" t="n">
        <v>0</v>
      </c>
      <c r="M7143" s="51" t="s">
        <v>11941</v>
      </c>
      <c r="N7143" s="49" t="n">
        <v>0</v>
      </c>
      <c r="O7143" s="53" t="n">
        <v>45956.6098032407</v>
      </c>
      <c r="P7143" s="53" t="n">
        <v>45970.8918518519</v>
      </c>
      <c r="Q7143" s="53" t="n">
        <v>45956.6098032407</v>
      </c>
      <c r="R7143" s="0" t="n">
        <v>0</v>
      </c>
      <c r="S7143" s="51" t="s">
        <v>2401</v>
      </c>
      <c r="T7143" s="51" t="s">
        <v>2401</v>
      </c>
      <c r="U7143" s="0" t="str">
        <f aca="false">"5060458890191"</f>
        <v>5060458890191</v>
      </c>
      <c r="V7143" s="51" t="s">
        <v>2142</v>
      </c>
      <c r="W7143" s="51" t="s">
        <v>4935</v>
      </c>
      <c r="X7143" s="51" t="s">
        <v>2359</v>
      </c>
    </row>
    <row r="7144" customFormat="false" ht="14.25" hidden="true" customHeight="false" outlineLevel="0" collapsed="false">
      <c r="A7144" s="49" t="s">
        <v>2349</v>
      </c>
      <c r="B7144" s="49" t="s">
        <v>2350</v>
      </c>
      <c r="C7144" s="49" t="s">
        <v>11950</v>
      </c>
      <c r="D7144" s="49" t="s">
        <v>2352</v>
      </c>
      <c r="E7144" s="49" t="str">
        <f aca="false">"5060458890191"</f>
        <v>5060458890191</v>
      </c>
      <c r="F7144" s="49" t="s">
        <v>3656</v>
      </c>
      <c r="G7144" s="49" t="n">
        <v>0</v>
      </c>
      <c r="H7144" s="0" t="n">
        <v>0</v>
      </c>
      <c r="M7144" s="51" t="s">
        <v>11941</v>
      </c>
      <c r="N7144" s="49" t="n">
        <v>0</v>
      </c>
      <c r="O7144" s="53" t="n">
        <v>45956.6099537037</v>
      </c>
      <c r="P7144" s="53" t="n">
        <v>45966.7290625</v>
      </c>
      <c r="Q7144" s="53" t="n">
        <v>45956.6099537037</v>
      </c>
      <c r="R7144" s="0" t="n">
        <v>0</v>
      </c>
      <c r="S7144" s="51" t="s">
        <v>2401</v>
      </c>
      <c r="T7144" s="51" t="s">
        <v>2401</v>
      </c>
      <c r="U7144" s="0" t="str">
        <f aca="false">"5060458890191"</f>
        <v>5060458890191</v>
      </c>
      <c r="V7144" s="51" t="s">
        <v>2142</v>
      </c>
      <c r="W7144" s="51" t="s">
        <v>4618</v>
      </c>
      <c r="X7144" s="51" t="s">
        <v>2359</v>
      </c>
    </row>
    <row r="7145" customFormat="false" ht="14.25" hidden="true" customHeight="false" outlineLevel="0" collapsed="false">
      <c r="A7145" s="49" t="s">
        <v>2349</v>
      </c>
      <c r="B7145" s="49" t="s">
        <v>2350</v>
      </c>
      <c r="C7145" s="49" t="s">
        <v>11951</v>
      </c>
      <c r="D7145" s="49" t="s">
        <v>2352</v>
      </c>
      <c r="E7145" s="49" t="str">
        <f aca="false">"5060458890191"</f>
        <v>5060458890191</v>
      </c>
      <c r="F7145" s="49" t="s">
        <v>3656</v>
      </c>
      <c r="G7145" s="49" t="n">
        <v>0</v>
      </c>
      <c r="H7145" s="0" t="n">
        <v>0</v>
      </c>
      <c r="M7145" s="51" t="s">
        <v>11941</v>
      </c>
      <c r="N7145" s="49" t="n">
        <v>0</v>
      </c>
      <c r="O7145" s="53" t="n">
        <v>45956.6101851852</v>
      </c>
      <c r="P7145" s="53" t="n">
        <v>45960.9178587963</v>
      </c>
      <c r="Q7145" s="53" t="n">
        <v>45956.6101851852</v>
      </c>
      <c r="R7145" s="0" t="n">
        <v>0</v>
      </c>
      <c r="S7145" s="51" t="s">
        <v>2401</v>
      </c>
      <c r="T7145" s="51" t="s">
        <v>2401</v>
      </c>
      <c r="U7145" s="0" t="str">
        <f aca="false">"5060458890191"</f>
        <v>5060458890191</v>
      </c>
      <c r="V7145" s="51" t="s">
        <v>2142</v>
      </c>
      <c r="W7145" s="51" t="s">
        <v>4380</v>
      </c>
      <c r="X7145" s="51" t="s">
        <v>2359</v>
      </c>
    </row>
    <row r="7146" customFormat="false" ht="14.25" hidden="true" customHeight="false" outlineLevel="0" collapsed="false">
      <c r="A7146" s="49" t="s">
        <v>2349</v>
      </c>
      <c r="B7146" s="49" t="s">
        <v>2350</v>
      </c>
      <c r="C7146" s="49" t="s">
        <v>11952</v>
      </c>
      <c r="D7146" s="49" t="s">
        <v>2352</v>
      </c>
      <c r="E7146" s="49" t="str">
        <f aca="false">"5060458890191"</f>
        <v>5060458890191</v>
      </c>
      <c r="F7146" s="49" t="s">
        <v>3656</v>
      </c>
      <c r="G7146" s="49" t="n">
        <v>0</v>
      </c>
      <c r="H7146" s="0" t="n">
        <v>0</v>
      </c>
      <c r="M7146" s="51" t="s">
        <v>11941</v>
      </c>
      <c r="N7146" s="49" t="n">
        <v>0</v>
      </c>
      <c r="O7146" s="53" t="n">
        <v>45956.6105092593</v>
      </c>
      <c r="P7146" s="53" t="n">
        <v>45971.9208217593</v>
      </c>
      <c r="Q7146" s="53" t="n">
        <v>45956.6105092593</v>
      </c>
      <c r="R7146" s="0" t="n">
        <v>0</v>
      </c>
      <c r="S7146" s="51" t="s">
        <v>2401</v>
      </c>
      <c r="T7146" s="51" t="s">
        <v>2401</v>
      </c>
      <c r="U7146" s="0" t="str">
        <f aca="false">"5060458890191"</f>
        <v>5060458890191</v>
      </c>
      <c r="V7146" s="51" t="s">
        <v>2142</v>
      </c>
      <c r="W7146" s="51" t="s">
        <v>8685</v>
      </c>
      <c r="X7146" s="51" t="s">
        <v>2359</v>
      </c>
    </row>
    <row r="7147" customFormat="false" ht="14.25" hidden="true" customHeight="false" outlineLevel="0" collapsed="false">
      <c r="A7147" s="49" t="s">
        <v>2349</v>
      </c>
      <c r="B7147" s="49" t="s">
        <v>2350</v>
      </c>
      <c r="C7147" s="49" t="s">
        <v>11953</v>
      </c>
      <c r="D7147" s="49" t="s">
        <v>2352</v>
      </c>
      <c r="E7147" s="49" t="str">
        <f aca="false">"5060458890191"</f>
        <v>5060458890191</v>
      </c>
      <c r="F7147" s="49" t="s">
        <v>3656</v>
      </c>
      <c r="G7147" s="49" t="n">
        <v>0</v>
      </c>
      <c r="H7147" s="0" t="n">
        <v>0</v>
      </c>
      <c r="M7147" s="51" t="s">
        <v>11941</v>
      </c>
      <c r="N7147" s="49" t="n">
        <v>0</v>
      </c>
      <c r="O7147" s="53" t="n">
        <v>45956.610775463</v>
      </c>
      <c r="P7147" s="53" t="n">
        <v>45965.7626273148</v>
      </c>
      <c r="Q7147" s="53" t="n">
        <v>45956.610775463</v>
      </c>
      <c r="R7147" s="0" t="n">
        <v>0</v>
      </c>
      <c r="S7147" s="51" t="s">
        <v>2401</v>
      </c>
      <c r="T7147" s="51" t="s">
        <v>2401</v>
      </c>
      <c r="U7147" s="0" t="str">
        <f aca="false">"5060458890191"</f>
        <v>5060458890191</v>
      </c>
      <c r="V7147" s="51" t="s">
        <v>2142</v>
      </c>
      <c r="W7147" s="51" t="s">
        <v>11351</v>
      </c>
      <c r="X7147" s="51" t="s">
        <v>2359</v>
      </c>
    </row>
    <row r="7148" customFormat="false" ht="14.25" hidden="true" customHeight="false" outlineLevel="0" collapsed="false">
      <c r="A7148" s="49" t="s">
        <v>2349</v>
      </c>
      <c r="B7148" s="49" t="s">
        <v>2350</v>
      </c>
      <c r="C7148" s="49" t="s">
        <v>11954</v>
      </c>
      <c r="D7148" s="49" t="s">
        <v>2352</v>
      </c>
      <c r="E7148" s="49" t="str">
        <f aca="false">"5060458890191"</f>
        <v>5060458890191</v>
      </c>
      <c r="F7148" s="49" t="s">
        <v>3656</v>
      </c>
      <c r="G7148" s="49" t="n">
        <v>0</v>
      </c>
      <c r="H7148" s="0" t="n">
        <v>0</v>
      </c>
      <c r="M7148" s="51" t="s">
        <v>11941</v>
      </c>
      <c r="N7148" s="49" t="n">
        <v>0</v>
      </c>
      <c r="O7148" s="53" t="n">
        <v>45956.6110069445</v>
      </c>
      <c r="P7148" s="53" t="n">
        <v>45965.8044328704</v>
      </c>
      <c r="Q7148" s="53" t="n">
        <v>45956.6110069445</v>
      </c>
      <c r="R7148" s="0" t="n">
        <v>0</v>
      </c>
      <c r="S7148" s="51" t="s">
        <v>2401</v>
      </c>
      <c r="T7148" s="51" t="s">
        <v>2401</v>
      </c>
      <c r="U7148" s="0" t="str">
        <f aca="false">"5060458890191"</f>
        <v>5060458890191</v>
      </c>
      <c r="V7148" s="51" t="s">
        <v>2142</v>
      </c>
      <c r="W7148" s="51" t="s">
        <v>10769</v>
      </c>
      <c r="X7148" s="51" t="s">
        <v>2359</v>
      </c>
    </row>
    <row r="7149" customFormat="false" ht="14.25" hidden="true" customHeight="false" outlineLevel="0" collapsed="false">
      <c r="A7149" s="49" t="s">
        <v>2349</v>
      </c>
      <c r="B7149" s="49" t="s">
        <v>2350</v>
      </c>
      <c r="C7149" s="49" t="s">
        <v>11955</v>
      </c>
      <c r="D7149" s="49" t="s">
        <v>2352</v>
      </c>
      <c r="E7149" s="49" t="str">
        <f aca="false">"5060458890191"</f>
        <v>5060458890191</v>
      </c>
      <c r="F7149" s="49" t="s">
        <v>3656</v>
      </c>
      <c r="G7149" s="49" t="n">
        <v>0</v>
      </c>
      <c r="H7149" s="0" t="n">
        <v>0</v>
      </c>
      <c r="M7149" s="51" t="s">
        <v>11941</v>
      </c>
      <c r="N7149" s="49" t="n">
        <v>0</v>
      </c>
      <c r="O7149" s="53" t="n">
        <v>45956.6130092593</v>
      </c>
      <c r="P7149" s="53" t="n">
        <v>45960.9185416667</v>
      </c>
      <c r="Q7149" s="53" t="n">
        <v>45956.6130092593</v>
      </c>
      <c r="R7149" s="0" t="n">
        <v>0</v>
      </c>
      <c r="S7149" s="51" t="s">
        <v>2401</v>
      </c>
      <c r="T7149" s="51" t="s">
        <v>2401</v>
      </c>
      <c r="U7149" s="0" t="str">
        <f aca="false">"5060458890191"</f>
        <v>5060458890191</v>
      </c>
      <c r="V7149" s="51" t="s">
        <v>2142</v>
      </c>
      <c r="W7149" s="51" t="s">
        <v>4810</v>
      </c>
      <c r="X7149" s="51" t="s">
        <v>2359</v>
      </c>
    </row>
    <row r="7150" customFormat="false" ht="14.25" hidden="true" customHeight="false" outlineLevel="0" collapsed="false">
      <c r="A7150" s="49" t="s">
        <v>2349</v>
      </c>
      <c r="B7150" s="49" t="s">
        <v>2350</v>
      </c>
      <c r="C7150" s="49" t="s">
        <v>11956</v>
      </c>
      <c r="D7150" s="49" t="s">
        <v>2352</v>
      </c>
      <c r="E7150" s="49" t="str">
        <f aca="false">"5060458890191"</f>
        <v>5060458890191</v>
      </c>
      <c r="F7150" s="49" t="s">
        <v>3656</v>
      </c>
      <c r="G7150" s="49" t="n">
        <v>0</v>
      </c>
      <c r="H7150" s="0" t="n">
        <v>0</v>
      </c>
      <c r="M7150" s="51" t="s">
        <v>11941</v>
      </c>
      <c r="N7150" s="49" t="n">
        <v>0</v>
      </c>
      <c r="O7150" s="53" t="n">
        <v>45956.612650463</v>
      </c>
      <c r="P7150" s="53" t="n">
        <v>45965.7931597222</v>
      </c>
      <c r="Q7150" s="53" t="n">
        <v>45956.612650463</v>
      </c>
      <c r="R7150" s="0" t="n">
        <v>0</v>
      </c>
      <c r="S7150" s="51" t="s">
        <v>2401</v>
      </c>
      <c r="T7150" s="51" t="s">
        <v>2401</v>
      </c>
      <c r="U7150" s="0" t="str">
        <f aca="false">"5060458890191"</f>
        <v>5060458890191</v>
      </c>
      <c r="V7150" s="51" t="s">
        <v>2142</v>
      </c>
      <c r="W7150" s="51" t="s">
        <v>4812</v>
      </c>
      <c r="X7150" s="51" t="s">
        <v>2359</v>
      </c>
    </row>
    <row r="7151" customFormat="false" ht="14.25" hidden="true" customHeight="false" outlineLevel="0" collapsed="false">
      <c r="A7151" s="49" t="s">
        <v>2349</v>
      </c>
      <c r="B7151" s="49" t="s">
        <v>2350</v>
      </c>
      <c r="C7151" s="49" t="s">
        <v>11957</v>
      </c>
      <c r="D7151" s="49" t="s">
        <v>2352</v>
      </c>
      <c r="E7151" s="49" t="str">
        <f aca="false">"5060458890191"</f>
        <v>5060458890191</v>
      </c>
      <c r="F7151" s="49" t="s">
        <v>3656</v>
      </c>
      <c r="G7151" s="49" t="n">
        <v>0</v>
      </c>
      <c r="H7151" s="0" t="n">
        <v>0</v>
      </c>
      <c r="M7151" s="51" t="s">
        <v>11941</v>
      </c>
      <c r="N7151" s="49" t="n">
        <v>0</v>
      </c>
      <c r="O7151" s="53" t="n">
        <v>45956.6123842593</v>
      </c>
      <c r="P7151" s="53" t="n">
        <v>45965.7947916667</v>
      </c>
      <c r="Q7151" s="53" t="n">
        <v>45956.6123842593</v>
      </c>
      <c r="R7151" s="0" t="n">
        <v>0</v>
      </c>
      <c r="S7151" s="51" t="s">
        <v>2401</v>
      </c>
      <c r="T7151" s="51" t="s">
        <v>2401</v>
      </c>
      <c r="U7151" s="0" t="str">
        <f aca="false">"5060458890191"</f>
        <v>5060458890191</v>
      </c>
      <c r="V7151" s="51" t="s">
        <v>2142</v>
      </c>
      <c r="W7151" s="51" t="s">
        <v>4814</v>
      </c>
      <c r="X7151" s="51" t="s">
        <v>2359</v>
      </c>
    </row>
    <row r="7152" customFormat="false" ht="14.25" hidden="true" customHeight="false" outlineLevel="0" collapsed="false">
      <c r="A7152" s="49" t="s">
        <v>2349</v>
      </c>
      <c r="B7152" s="49" t="s">
        <v>2350</v>
      </c>
      <c r="C7152" s="49" t="s">
        <v>11958</v>
      </c>
      <c r="D7152" s="49" t="s">
        <v>2352</v>
      </c>
      <c r="E7152" s="49" t="str">
        <f aca="false">"5060458890191"</f>
        <v>5060458890191</v>
      </c>
      <c r="F7152" s="49" t="s">
        <v>3656</v>
      </c>
      <c r="G7152" s="49" t="n">
        <v>0</v>
      </c>
      <c r="H7152" s="0" t="n">
        <v>0</v>
      </c>
      <c r="M7152" s="51" t="s">
        <v>11941</v>
      </c>
      <c r="N7152" s="49" t="n">
        <v>0</v>
      </c>
      <c r="O7152" s="53" t="n">
        <v>45956.6121759259</v>
      </c>
      <c r="P7152" s="53" t="n">
        <v>45971.9137152778</v>
      </c>
      <c r="Q7152" s="53" t="n">
        <v>45956.6121759259</v>
      </c>
      <c r="R7152" s="0" t="n">
        <v>0</v>
      </c>
      <c r="S7152" s="51" t="s">
        <v>2401</v>
      </c>
      <c r="T7152" s="51" t="s">
        <v>2401</v>
      </c>
      <c r="U7152" s="0" t="str">
        <f aca="false">"5060458890191"</f>
        <v>5060458890191</v>
      </c>
      <c r="V7152" s="51" t="s">
        <v>2142</v>
      </c>
      <c r="W7152" s="51" t="s">
        <v>11876</v>
      </c>
      <c r="X7152" s="51" t="s">
        <v>2359</v>
      </c>
    </row>
    <row r="7153" customFormat="false" ht="14.25" hidden="true" customHeight="false" outlineLevel="0" collapsed="false">
      <c r="A7153" s="49" t="s">
        <v>2349</v>
      </c>
      <c r="B7153" s="49" t="s">
        <v>2350</v>
      </c>
      <c r="C7153" s="49" t="s">
        <v>11959</v>
      </c>
      <c r="D7153" s="49" t="s">
        <v>2352</v>
      </c>
      <c r="E7153" s="49" t="str">
        <f aca="false">"5060458890191"</f>
        <v>5060458890191</v>
      </c>
      <c r="F7153" s="49" t="s">
        <v>3656</v>
      </c>
      <c r="G7153" s="49" t="n">
        <v>0</v>
      </c>
      <c r="H7153" s="0" t="n">
        <v>0</v>
      </c>
      <c r="M7153" s="51" t="s">
        <v>11941</v>
      </c>
      <c r="N7153" s="49" t="n">
        <v>0</v>
      </c>
      <c r="O7153" s="53" t="n">
        <v>45956.6117939815</v>
      </c>
      <c r="P7153" s="53" t="n">
        <v>45965.7980787037</v>
      </c>
      <c r="Q7153" s="53" t="n">
        <v>45956.6117939815</v>
      </c>
      <c r="R7153" s="0" t="n">
        <v>0</v>
      </c>
      <c r="S7153" s="51" t="s">
        <v>2401</v>
      </c>
      <c r="T7153" s="51" t="s">
        <v>2401</v>
      </c>
      <c r="U7153" s="0" t="str">
        <f aca="false">"5060458890191"</f>
        <v>5060458890191</v>
      </c>
      <c r="V7153" s="51" t="s">
        <v>2142</v>
      </c>
      <c r="W7153" s="51" t="s">
        <v>5247</v>
      </c>
      <c r="X7153" s="51" t="s">
        <v>2359</v>
      </c>
    </row>
    <row r="7154" customFormat="false" ht="14.25" hidden="true" customHeight="false" outlineLevel="0" collapsed="false">
      <c r="A7154" s="49" t="s">
        <v>2349</v>
      </c>
      <c r="B7154" s="49" t="s">
        <v>2350</v>
      </c>
      <c r="C7154" s="49" t="s">
        <v>11960</v>
      </c>
      <c r="D7154" s="49" t="s">
        <v>2352</v>
      </c>
      <c r="E7154" s="49" t="str">
        <f aca="false">"5060458890191"</f>
        <v>5060458890191</v>
      </c>
      <c r="F7154" s="49" t="s">
        <v>3656</v>
      </c>
      <c r="G7154" s="49" t="n">
        <v>0</v>
      </c>
      <c r="H7154" s="0" t="n">
        <v>0</v>
      </c>
      <c r="M7154" s="51" t="s">
        <v>11941</v>
      </c>
      <c r="N7154" s="49" t="n">
        <v>0</v>
      </c>
      <c r="O7154" s="53" t="n">
        <v>45956.6115856482</v>
      </c>
      <c r="P7154" s="53" t="n">
        <v>45973.8933101852</v>
      </c>
      <c r="Q7154" s="53" t="n">
        <v>45956.6115856482</v>
      </c>
      <c r="R7154" s="0" t="n">
        <v>0</v>
      </c>
      <c r="S7154" s="51" t="s">
        <v>2401</v>
      </c>
      <c r="T7154" s="51" t="s">
        <v>2401</v>
      </c>
      <c r="U7154" s="0" t="str">
        <f aca="false">"5060458890191"</f>
        <v>5060458890191</v>
      </c>
      <c r="V7154" s="51" t="s">
        <v>2142</v>
      </c>
      <c r="W7154" s="51" t="s">
        <v>11690</v>
      </c>
      <c r="X7154" s="51" t="s">
        <v>2359</v>
      </c>
    </row>
    <row r="7155" customFormat="false" ht="14.25" hidden="true" customHeight="false" outlineLevel="0" collapsed="false">
      <c r="A7155" s="49" t="s">
        <v>2349</v>
      </c>
      <c r="B7155" s="49" t="s">
        <v>2350</v>
      </c>
      <c r="C7155" s="49" t="s">
        <v>11961</v>
      </c>
      <c r="D7155" s="49" t="s">
        <v>2352</v>
      </c>
      <c r="E7155" s="49" t="str">
        <f aca="false">"5060458890191"</f>
        <v>5060458890191</v>
      </c>
      <c r="F7155" s="49" t="s">
        <v>3656</v>
      </c>
      <c r="G7155" s="49" t="n">
        <v>0</v>
      </c>
      <c r="H7155" s="0" t="n">
        <v>0</v>
      </c>
      <c r="M7155" s="51" t="s">
        <v>11941</v>
      </c>
      <c r="N7155" s="49" t="n">
        <v>0</v>
      </c>
      <c r="O7155" s="53" t="n">
        <v>45956.6113310185</v>
      </c>
      <c r="P7155" s="53" t="n">
        <v>45971.924224537</v>
      </c>
      <c r="Q7155" s="53" t="n">
        <v>45956.6113310185</v>
      </c>
      <c r="R7155" s="0" t="n">
        <v>0</v>
      </c>
      <c r="S7155" s="51" t="s">
        <v>2401</v>
      </c>
      <c r="T7155" s="51" t="s">
        <v>2401</v>
      </c>
      <c r="U7155" s="0" t="str">
        <f aca="false">"5060458890191"</f>
        <v>5060458890191</v>
      </c>
      <c r="V7155" s="51" t="s">
        <v>2142</v>
      </c>
      <c r="W7155" s="51" t="s">
        <v>10716</v>
      </c>
      <c r="X7155" s="51" t="s">
        <v>2359</v>
      </c>
    </row>
    <row r="7156" customFormat="false" ht="14.25" hidden="true" customHeight="false" outlineLevel="0" collapsed="false">
      <c r="A7156" s="49" t="s">
        <v>2349</v>
      </c>
      <c r="B7156" s="49" t="s">
        <v>2350</v>
      </c>
      <c r="C7156" s="49" t="s">
        <v>11962</v>
      </c>
      <c r="D7156" s="49" t="s">
        <v>2352</v>
      </c>
      <c r="E7156" s="49" t="str">
        <f aca="false">"5060458890191"</f>
        <v>5060458890191</v>
      </c>
      <c r="F7156" s="49" t="s">
        <v>3656</v>
      </c>
      <c r="G7156" s="49" t="n">
        <v>0</v>
      </c>
      <c r="H7156" s="0" t="n">
        <v>0</v>
      </c>
      <c r="M7156" s="51" t="s">
        <v>11941</v>
      </c>
      <c r="N7156" s="49" t="n">
        <v>0</v>
      </c>
      <c r="O7156" s="53" t="n">
        <v>45956.6139467593</v>
      </c>
      <c r="P7156" s="53" t="n">
        <v>45974.9251157407</v>
      </c>
      <c r="Q7156" s="53" t="n">
        <v>45956.6139467593</v>
      </c>
      <c r="R7156" s="0" t="n">
        <v>0</v>
      </c>
      <c r="S7156" s="51" t="s">
        <v>2401</v>
      </c>
      <c r="T7156" s="51" t="s">
        <v>2401</v>
      </c>
      <c r="U7156" s="0" t="str">
        <f aca="false">"5060458890191"</f>
        <v>5060458890191</v>
      </c>
      <c r="V7156" s="51" t="s">
        <v>2142</v>
      </c>
      <c r="W7156" s="51" t="s">
        <v>4080</v>
      </c>
      <c r="X7156" s="51" t="s">
        <v>2359</v>
      </c>
    </row>
    <row r="7157" customFormat="false" ht="14.25" hidden="true" customHeight="false" outlineLevel="0" collapsed="false">
      <c r="A7157" s="49" t="s">
        <v>2349</v>
      </c>
      <c r="B7157" s="49" t="s">
        <v>2350</v>
      </c>
      <c r="C7157" s="49" t="s">
        <v>11963</v>
      </c>
      <c r="D7157" s="49" t="s">
        <v>2352</v>
      </c>
      <c r="E7157" s="49" t="str">
        <f aca="false">"5060458890191"</f>
        <v>5060458890191</v>
      </c>
      <c r="F7157" s="49" t="s">
        <v>3656</v>
      </c>
      <c r="G7157" s="49" t="n">
        <v>0</v>
      </c>
      <c r="H7157" s="0" t="n">
        <v>0</v>
      </c>
      <c r="M7157" s="51" t="s">
        <v>11941</v>
      </c>
      <c r="N7157" s="49" t="n">
        <v>0</v>
      </c>
      <c r="O7157" s="53" t="n">
        <v>45956.6161342593</v>
      </c>
      <c r="P7157" s="53" t="n">
        <v>45971.9313194445</v>
      </c>
      <c r="Q7157" s="53" t="n">
        <v>45956.6161342593</v>
      </c>
      <c r="R7157" s="0" t="n">
        <v>0</v>
      </c>
      <c r="S7157" s="51" t="s">
        <v>2401</v>
      </c>
      <c r="T7157" s="51" t="s">
        <v>2401</v>
      </c>
      <c r="U7157" s="0" t="str">
        <f aca="false">"5060458890191"</f>
        <v>5060458890191</v>
      </c>
      <c r="V7157" s="51" t="s">
        <v>2142</v>
      </c>
      <c r="W7157" s="51" t="s">
        <v>4197</v>
      </c>
      <c r="X7157" s="51" t="s">
        <v>2359</v>
      </c>
    </row>
    <row r="7158" customFormat="false" ht="14.25" hidden="true" customHeight="false" outlineLevel="0" collapsed="false">
      <c r="A7158" s="49" t="s">
        <v>2349</v>
      </c>
      <c r="B7158" s="49" t="s">
        <v>2350</v>
      </c>
      <c r="C7158" s="49" t="s">
        <v>11964</v>
      </c>
      <c r="D7158" s="49" t="s">
        <v>2352</v>
      </c>
      <c r="E7158" s="49" t="str">
        <f aca="false">"5060458890191"</f>
        <v>5060458890191</v>
      </c>
      <c r="F7158" s="49" t="s">
        <v>3656</v>
      </c>
      <c r="G7158" s="49" t="n">
        <v>0</v>
      </c>
      <c r="H7158" s="0" t="n">
        <v>0</v>
      </c>
      <c r="M7158" s="51" t="s">
        <v>11941</v>
      </c>
      <c r="N7158" s="49" t="n">
        <v>0</v>
      </c>
      <c r="O7158" s="53" t="n">
        <v>45956.6163657407</v>
      </c>
      <c r="P7158" s="53" t="n">
        <v>45971.9281018519</v>
      </c>
      <c r="Q7158" s="53" t="n">
        <v>45956.6163657407</v>
      </c>
      <c r="R7158" s="0" t="n">
        <v>0</v>
      </c>
      <c r="S7158" s="51" t="s">
        <v>2401</v>
      </c>
      <c r="T7158" s="51" t="s">
        <v>2401</v>
      </c>
      <c r="U7158" s="0" t="str">
        <f aca="false">"5060458890191"</f>
        <v>5060458890191</v>
      </c>
      <c r="V7158" s="51" t="s">
        <v>2142</v>
      </c>
      <c r="W7158" s="51" t="s">
        <v>5033</v>
      </c>
      <c r="X7158" s="51" t="s">
        <v>2359</v>
      </c>
    </row>
    <row r="7159" customFormat="false" ht="14.25" hidden="true" customHeight="false" outlineLevel="0" collapsed="false">
      <c r="A7159" s="49" t="s">
        <v>2349</v>
      </c>
      <c r="B7159" s="49" t="s">
        <v>2350</v>
      </c>
      <c r="C7159" s="49" t="s">
        <v>11965</v>
      </c>
      <c r="D7159" s="49" t="s">
        <v>2352</v>
      </c>
      <c r="E7159" s="49" t="str">
        <f aca="false">"5060458890191"</f>
        <v>5060458890191</v>
      </c>
      <c r="F7159" s="49" t="s">
        <v>3656</v>
      </c>
      <c r="G7159" s="49" t="n">
        <v>0</v>
      </c>
      <c r="H7159" s="0" t="n">
        <v>0</v>
      </c>
      <c r="M7159" s="51" t="s">
        <v>11941</v>
      </c>
      <c r="N7159" s="49" t="n">
        <v>0</v>
      </c>
      <c r="O7159" s="53" t="n">
        <v>45956.6165162037</v>
      </c>
      <c r="P7159" s="53" t="n">
        <v>45971.9252777778</v>
      </c>
      <c r="Q7159" s="53" t="n">
        <v>45956.6165162037</v>
      </c>
      <c r="R7159" s="0" t="n">
        <v>0</v>
      </c>
      <c r="S7159" s="51" t="s">
        <v>2401</v>
      </c>
      <c r="T7159" s="51" t="s">
        <v>2401</v>
      </c>
      <c r="U7159" s="0" t="str">
        <f aca="false">"5060458890191"</f>
        <v>5060458890191</v>
      </c>
      <c r="V7159" s="51" t="s">
        <v>2142</v>
      </c>
      <c r="W7159" s="51" t="s">
        <v>4297</v>
      </c>
      <c r="X7159" s="51" t="s">
        <v>2359</v>
      </c>
    </row>
    <row r="7160" customFormat="false" ht="14.25" hidden="true" customHeight="false" outlineLevel="0" collapsed="false">
      <c r="A7160" s="49" t="s">
        <v>2349</v>
      </c>
      <c r="B7160" s="49" t="s">
        <v>2350</v>
      </c>
      <c r="C7160" s="49" t="s">
        <v>11966</v>
      </c>
      <c r="D7160" s="49" t="s">
        <v>2352</v>
      </c>
      <c r="E7160" s="49" t="str">
        <f aca="false">"5060458890191"</f>
        <v>5060458890191</v>
      </c>
      <c r="F7160" s="49" t="s">
        <v>3656</v>
      </c>
      <c r="G7160" s="49" t="n">
        <v>0</v>
      </c>
      <c r="H7160" s="0" t="n">
        <v>0</v>
      </c>
      <c r="M7160" s="51" t="s">
        <v>11941</v>
      </c>
      <c r="N7160" s="49" t="n">
        <v>0</v>
      </c>
      <c r="O7160" s="53" t="n">
        <v>45956.616712963</v>
      </c>
      <c r="P7160" s="53" t="n">
        <v>45971.9292708333</v>
      </c>
      <c r="Q7160" s="53" t="n">
        <v>45956.616712963</v>
      </c>
      <c r="R7160" s="0" t="n">
        <v>0</v>
      </c>
      <c r="S7160" s="51" t="s">
        <v>2401</v>
      </c>
      <c r="T7160" s="51" t="s">
        <v>2401</v>
      </c>
      <c r="U7160" s="0" t="str">
        <f aca="false">"5060458890191"</f>
        <v>5060458890191</v>
      </c>
      <c r="V7160" s="51" t="s">
        <v>2142</v>
      </c>
      <c r="W7160" s="51" t="s">
        <v>11049</v>
      </c>
      <c r="X7160" s="51" t="s">
        <v>2359</v>
      </c>
    </row>
    <row r="7161" customFormat="false" ht="14.25" hidden="true" customHeight="false" outlineLevel="0" collapsed="false">
      <c r="A7161" s="49" t="s">
        <v>2349</v>
      </c>
      <c r="B7161" s="49" t="s">
        <v>2350</v>
      </c>
      <c r="C7161" s="49" t="s">
        <v>11967</v>
      </c>
      <c r="D7161" s="49" t="s">
        <v>2352</v>
      </c>
      <c r="E7161" s="49" t="str">
        <f aca="false">"5060458890191"</f>
        <v>5060458890191</v>
      </c>
      <c r="F7161" s="49" t="s">
        <v>3656</v>
      </c>
      <c r="G7161" s="49" t="n">
        <v>0</v>
      </c>
      <c r="H7161" s="0" t="n">
        <v>0</v>
      </c>
      <c r="M7161" s="51" t="s">
        <v>11941</v>
      </c>
      <c r="N7161" s="49" t="n">
        <v>0</v>
      </c>
      <c r="O7161" s="53" t="n">
        <v>45956.6169560185</v>
      </c>
      <c r="P7161" s="53" t="n">
        <v>45965.8084143519</v>
      </c>
      <c r="Q7161" s="53" t="n">
        <v>45956.6169560185</v>
      </c>
      <c r="R7161" s="0" t="n">
        <v>0</v>
      </c>
      <c r="S7161" s="51" t="s">
        <v>2401</v>
      </c>
      <c r="T7161" s="51" t="s">
        <v>2401</v>
      </c>
      <c r="U7161" s="0" t="str">
        <f aca="false">"5060458890191"</f>
        <v>5060458890191</v>
      </c>
      <c r="V7161" s="51" t="s">
        <v>2142</v>
      </c>
      <c r="W7161" s="51" t="s">
        <v>10826</v>
      </c>
      <c r="X7161" s="51" t="s">
        <v>2359</v>
      </c>
    </row>
    <row r="7162" customFormat="false" ht="14.25" hidden="true" customHeight="false" outlineLevel="0" collapsed="false">
      <c r="A7162" s="49" t="s">
        <v>2349</v>
      </c>
      <c r="B7162" s="49" t="s">
        <v>2350</v>
      </c>
      <c r="C7162" s="49" t="s">
        <v>11968</v>
      </c>
      <c r="D7162" s="49" t="s">
        <v>2352</v>
      </c>
      <c r="E7162" s="49" t="str">
        <f aca="false">"5060458890191"</f>
        <v>5060458890191</v>
      </c>
      <c r="F7162" s="49" t="s">
        <v>3656</v>
      </c>
      <c r="G7162" s="49" t="n">
        <v>0</v>
      </c>
      <c r="H7162" s="0" t="n">
        <v>0</v>
      </c>
      <c r="M7162" s="51" t="s">
        <v>11941</v>
      </c>
      <c r="N7162" s="49" t="n">
        <v>0</v>
      </c>
      <c r="O7162" s="53" t="n">
        <v>45956.6175115741</v>
      </c>
      <c r="P7162" s="53" t="n">
        <v>45965.8072222222</v>
      </c>
      <c r="Q7162" s="53" t="n">
        <v>45956.6175115741</v>
      </c>
      <c r="R7162" s="0" t="n">
        <v>0</v>
      </c>
      <c r="S7162" s="51" t="s">
        <v>2401</v>
      </c>
      <c r="T7162" s="51" t="s">
        <v>2401</v>
      </c>
      <c r="U7162" s="0" t="str">
        <f aca="false">"5060458890191"</f>
        <v>5060458890191</v>
      </c>
      <c r="V7162" s="51" t="s">
        <v>2142</v>
      </c>
      <c r="W7162" s="51" t="s">
        <v>4197</v>
      </c>
      <c r="X7162" s="51" t="s">
        <v>2359</v>
      </c>
    </row>
    <row r="7163" customFormat="false" ht="14.25" hidden="true" customHeight="false" outlineLevel="0" collapsed="false">
      <c r="A7163" s="49" t="s">
        <v>2349</v>
      </c>
      <c r="B7163" s="49" t="s">
        <v>2350</v>
      </c>
      <c r="C7163" s="49" t="s">
        <v>11969</v>
      </c>
      <c r="D7163" s="49" t="s">
        <v>2352</v>
      </c>
      <c r="E7163" s="49" t="str">
        <f aca="false">"5060458890191"</f>
        <v>5060458890191</v>
      </c>
      <c r="F7163" s="49" t="s">
        <v>3656</v>
      </c>
      <c r="G7163" s="49" t="n">
        <v>0</v>
      </c>
      <c r="H7163" s="0" t="n">
        <v>0</v>
      </c>
      <c r="M7163" s="51" t="s">
        <v>11941</v>
      </c>
      <c r="N7163" s="49" t="n">
        <v>0</v>
      </c>
      <c r="O7163" s="53" t="n">
        <v>45956.6088657407</v>
      </c>
      <c r="P7163" s="53" t="n">
        <v>45965.8116435185</v>
      </c>
      <c r="Q7163" s="53" t="n">
        <v>45956.6088657407</v>
      </c>
      <c r="R7163" s="0" t="n">
        <v>0</v>
      </c>
      <c r="S7163" s="51" t="s">
        <v>2401</v>
      </c>
      <c r="T7163" s="51" t="s">
        <v>2401</v>
      </c>
      <c r="U7163" s="0" t="str">
        <f aca="false">"5060458890191"</f>
        <v>5060458890191</v>
      </c>
      <c r="V7163" s="51" t="s">
        <v>2142</v>
      </c>
      <c r="W7163" s="51" t="s">
        <v>10147</v>
      </c>
      <c r="X7163" s="51" t="s">
        <v>2359</v>
      </c>
    </row>
    <row r="7164" customFormat="false" ht="14.25" hidden="true" customHeight="false" outlineLevel="0" collapsed="false">
      <c r="A7164" s="49" t="s">
        <v>2349</v>
      </c>
      <c r="B7164" s="49" t="s">
        <v>2350</v>
      </c>
      <c r="C7164" s="49" t="s">
        <v>11970</v>
      </c>
      <c r="D7164" s="49" t="s">
        <v>2352</v>
      </c>
      <c r="E7164" s="49" t="s">
        <v>4148</v>
      </c>
      <c r="F7164" s="49" t="s">
        <v>4149</v>
      </c>
      <c r="G7164" s="49" t="n">
        <v>0</v>
      </c>
      <c r="H7164" s="0" t="n">
        <v>0</v>
      </c>
      <c r="M7164" s="51" t="s">
        <v>11971</v>
      </c>
      <c r="N7164" s="49" t="n">
        <v>0</v>
      </c>
      <c r="O7164" s="53" t="n">
        <v>45979.6635069444</v>
      </c>
      <c r="P7164" s="53" t="n">
        <v>46013.3951388889</v>
      </c>
      <c r="Q7164" s="53" t="n">
        <v>45979.6635069444</v>
      </c>
      <c r="R7164" s="0" t="n">
        <v>0</v>
      </c>
      <c r="S7164" s="51" t="s">
        <v>2356</v>
      </c>
      <c r="T7164" s="51" t="s">
        <v>2356</v>
      </c>
      <c r="U7164" s="51" t="s">
        <v>4148</v>
      </c>
      <c r="V7164" s="51" t="s">
        <v>2365</v>
      </c>
      <c r="W7164" s="51" t="s">
        <v>5983</v>
      </c>
      <c r="X7164" s="51" t="s">
        <v>2359</v>
      </c>
    </row>
    <row r="7165" customFormat="false" ht="14.25" hidden="true" customHeight="false" outlineLevel="0" collapsed="false">
      <c r="A7165" s="49" t="s">
        <v>2349</v>
      </c>
      <c r="B7165" s="49" t="s">
        <v>2350</v>
      </c>
      <c r="C7165" s="49" t="s">
        <v>11972</v>
      </c>
      <c r="D7165" s="49" t="s">
        <v>2352</v>
      </c>
      <c r="E7165" s="49" t="s">
        <v>4148</v>
      </c>
      <c r="F7165" s="49" t="s">
        <v>4149</v>
      </c>
      <c r="G7165" s="49" t="n">
        <v>0</v>
      </c>
      <c r="H7165" s="0" t="n">
        <v>0</v>
      </c>
      <c r="M7165" s="51" t="s">
        <v>11971</v>
      </c>
      <c r="N7165" s="49" t="n">
        <v>0</v>
      </c>
      <c r="O7165" s="53" t="n">
        <v>45979.6631481481</v>
      </c>
      <c r="P7165" s="53" t="n">
        <v>45997.372025463</v>
      </c>
      <c r="Q7165" s="53" t="n">
        <v>45979.6631481481</v>
      </c>
      <c r="R7165" s="0" t="n">
        <v>0</v>
      </c>
      <c r="S7165" s="51" t="s">
        <v>2356</v>
      </c>
      <c r="T7165" s="51" t="s">
        <v>2356</v>
      </c>
      <c r="U7165" s="51" t="s">
        <v>4148</v>
      </c>
      <c r="V7165" s="51" t="s">
        <v>2365</v>
      </c>
      <c r="W7165" s="51" t="s">
        <v>4173</v>
      </c>
      <c r="X7165" s="51" t="s">
        <v>2359</v>
      </c>
    </row>
    <row r="7166" customFormat="false" ht="14.25" hidden="true" customHeight="false" outlineLevel="0" collapsed="false">
      <c r="A7166" s="49" t="s">
        <v>2349</v>
      </c>
      <c r="B7166" s="49" t="s">
        <v>2350</v>
      </c>
      <c r="C7166" s="49" t="s">
        <v>11973</v>
      </c>
      <c r="D7166" s="49" t="s">
        <v>2352</v>
      </c>
      <c r="E7166" s="49" t="s">
        <v>4148</v>
      </c>
      <c r="F7166" s="49" t="s">
        <v>4149</v>
      </c>
      <c r="G7166" s="49" t="n">
        <v>0</v>
      </c>
      <c r="H7166" s="0" t="n">
        <v>0</v>
      </c>
      <c r="M7166" s="51" t="s">
        <v>11971</v>
      </c>
      <c r="N7166" s="49" t="n">
        <v>0</v>
      </c>
      <c r="O7166" s="53" t="n">
        <v>45979.6626736111</v>
      </c>
      <c r="P7166" s="53" t="n">
        <v>45981.6858680556</v>
      </c>
      <c r="Q7166" s="53" t="n">
        <v>45979.6626736111</v>
      </c>
      <c r="R7166" s="0" t="n">
        <v>0</v>
      </c>
      <c r="S7166" s="51" t="s">
        <v>2356</v>
      </c>
      <c r="T7166" s="51" t="s">
        <v>2356</v>
      </c>
      <c r="U7166" s="51" t="s">
        <v>4148</v>
      </c>
      <c r="V7166" s="51" t="s">
        <v>2365</v>
      </c>
      <c r="W7166" s="51" t="s">
        <v>4175</v>
      </c>
      <c r="X7166" s="51" t="s">
        <v>2359</v>
      </c>
    </row>
    <row r="7167" customFormat="false" ht="14.25" hidden="true" customHeight="false" outlineLevel="0" collapsed="false">
      <c r="A7167" s="49" t="s">
        <v>2349</v>
      </c>
      <c r="B7167" s="49" t="s">
        <v>2350</v>
      </c>
      <c r="C7167" s="49" t="s">
        <v>11974</v>
      </c>
      <c r="D7167" s="49" t="s">
        <v>2352</v>
      </c>
      <c r="E7167" s="49" t="str">
        <f aca="false">"734730293357"</f>
        <v>734730293357</v>
      </c>
      <c r="F7167" s="49" t="s">
        <v>11975</v>
      </c>
      <c r="G7167" s="49" t="n">
        <v>0</v>
      </c>
      <c r="H7167" s="0" t="n">
        <v>0</v>
      </c>
      <c r="M7167" s="51" t="s">
        <v>11976</v>
      </c>
      <c r="N7167" s="49" t="n">
        <v>0</v>
      </c>
      <c r="O7167" s="53" t="n">
        <v>45984.4523726852</v>
      </c>
      <c r="P7167" s="53" t="n">
        <v>45992.3785416667</v>
      </c>
      <c r="Q7167" s="53" t="n">
        <v>45984.4523726852</v>
      </c>
      <c r="R7167" s="0" t="n">
        <v>0</v>
      </c>
      <c r="S7167" s="51" t="s">
        <v>2356</v>
      </c>
      <c r="T7167" s="51" t="s">
        <v>2356</v>
      </c>
      <c r="U7167" s="0" t="str">
        <f aca="false">"734730293357"</f>
        <v>734730293357</v>
      </c>
      <c r="V7167" s="51" t="s">
        <v>2365</v>
      </c>
      <c r="W7167" s="51" t="s">
        <v>7221</v>
      </c>
      <c r="X7167" s="51" t="s">
        <v>2359</v>
      </c>
    </row>
    <row r="7168" customFormat="false" ht="14.25" hidden="true" customHeight="false" outlineLevel="0" collapsed="false">
      <c r="A7168" s="49" t="s">
        <v>2349</v>
      </c>
      <c r="B7168" s="49" t="s">
        <v>2350</v>
      </c>
      <c r="C7168" s="49" t="s">
        <v>11977</v>
      </c>
      <c r="D7168" s="49" t="s">
        <v>2352</v>
      </c>
      <c r="E7168" s="49" t="str">
        <f aca="false">"734730293357"</f>
        <v>734730293357</v>
      </c>
      <c r="F7168" s="49" t="s">
        <v>11975</v>
      </c>
      <c r="G7168" s="49" t="n">
        <v>0</v>
      </c>
      <c r="H7168" s="0" t="n">
        <v>0</v>
      </c>
      <c r="M7168" s="51" t="s">
        <v>11976</v>
      </c>
      <c r="N7168" s="49" t="n">
        <v>0</v>
      </c>
      <c r="O7168" s="53" t="n">
        <v>45984.4515393519</v>
      </c>
      <c r="P7168" s="53" t="n">
        <v>45992.3784027778</v>
      </c>
      <c r="Q7168" s="53" t="n">
        <v>45984.4515393519</v>
      </c>
      <c r="R7168" s="0" t="n">
        <v>0</v>
      </c>
      <c r="S7168" s="51" t="s">
        <v>2356</v>
      </c>
      <c r="T7168" s="51" t="s">
        <v>2356</v>
      </c>
      <c r="U7168" s="0" t="str">
        <f aca="false">"734730293357"</f>
        <v>734730293357</v>
      </c>
      <c r="V7168" s="51" t="s">
        <v>2365</v>
      </c>
      <c r="W7168" s="51" t="s">
        <v>3664</v>
      </c>
      <c r="X7168" s="51" t="s">
        <v>2359</v>
      </c>
    </row>
    <row r="7169" customFormat="false" ht="14.25" hidden="true" customHeight="false" outlineLevel="0" collapsed="false">
      <c r="A7169" s="49" t="s">
        <v>2349</v>
      </c>
      <c r="B7169" s="49" t="s">
        <v>2350</v>
      </c>
      <c r="C7169" s="49" t="s">
        <v>11978</v>
      </c>
      <c r="D7169" s="49" t="s">
        <v>2352</v>
      </c>
      <c r="E7169" s="49" t="str">
        <f aca="false">"734730293357"</f>
        <v>734730293357</v>
      </c>
      <c r="F7169" s="49" t="s">
        <v>11975</v>
      </c>
      <c r="G7169" s="49" t="n">
        <v>0</v>
      </c>
      <c r="H7169" s="0" t="n">
        <v>0</v>
      </c>
      <c r="M7169" s="51" t="s">
        <v>11976</v>
      </c>
      <c r="N7169" s="49" t="n">
        <v>0</v>
      </c>
      <c r="O7169" s="53" t="n">
        <v>45984.4512615741</v>
      </c>
      <c r="P7169" s="53" t="n">
        <v>45992.3786574074</v>
      </c>
      <c r="Q7169" s="53" t="n">
        <v>45984.4512615741</v>
      </c>
      <c r="R7169" s="0" t="n">
        <v>0</v>
      </c>
      <c r="S7169" s="51" t="s">
        <v>2356</v>
      </c>
      <c r="T7169" s="51" t="s">
        <v>2356</v>
      </c>
      <c r="U7169" s="0" t="str">
        <f aca="false">"734730293357"</f>
        <v>734730293357</v>
      </c>
      <c r="V7169" s="51" t="s">
        <v>2365</v>
      </c>
      <c r="W7169" s="51" t="s">
        <v>11979</v>
      </c>
      <c r="X7169" s="51" t="s">
        <v>2359</v>
      </c>
    </row>
    <row r="7170" customFormat="false" ht="14.25" hidden="true" customHeight="false" outlineLevel="0" collapsed="false">
      <c r="A7170" s="49" t="s">
        <v>2349</v>
      </c>
      <c r="B7170" s="49" t="s">
        <v>2350</v>
      </c>
      <c r="C7170" s="49" t="s">
        <v>11980</v>
      </c>
      <c r="D7170" s="49" t="s">
        <v>2352</v>
      </c>
      <c r="E7170" s="49" t="str">
        <f aca="false">"734730293357"</f>
        <v>734730293357</v>
      </c>
      <c r="F7170" s="49" t="s">
        <v>11975</v>
      </c>
      <c r="G7170" s="49" t="n">
        <v>0</v>
      </c>
      <c r="H7170" s="0" t="n">
        <v>0</v>
      </c>
      <c r="M7170" s="51" t="s">
        <v>11976</v>
      </c>
      <c r="N7170" s="49" t="n">
        <v>0</v>
      </c>
      <c r="O7170" s="53" t="n">
        <v>45984.4510648148</v>
      </c>
      <c r="P7170" s="53" t="n">
        <v>45992.3790740741</v>
      </c>
      <c r="Q7170" s="53" t="n">
        <v>45984.4510648148</v>
      </c>
      <c r="R7170" s="0" t="n">
        <v>0</v>
      </c>
      <c r="S7170" s="51" t="s">
        <v>2356</v>
      </c>
      <c r="T7170" s="51" t="s">
        <v>2356</v>
      </c>
      <c r="U7170" s="0" t="str">
        <f aca="false">"734730293357"</f>
        <v>734730293357</v>
      </c>
      <c r="V7170" s="51" t="s">
        <v>2365</v>
      </c>
      <c r="W7170" s="51" t="s">
        <v>11981</v>
      </c>
      <c r="X7170" s="51" t="s">
        <v>2359</v>
      </c>
    </row>
    <row r="7171" customFormat="false" ht="14.25" hidden="true" customHeight="false" outlineLevel="0" collapsed="false">
      <c r="A7171" s="49" t="s">
        <v>2349</v>
      </c>
      <c r="B7171" s="49" t="s">
        <v>2350</v>
      </c>
      <c r="C7171" s="49" t="s">
        <v>11982</v>
      </c>
      <c r="D7171" s="49" t="s">
        <v>2352</v>
      </c>
      <c r="E7171" s="49" t="str">
        <f aca="false">"734730293357"</f>
        <v>734730293357</v>
      </c>
      <c r="F7171" s="49" t="s">
        <v>11975</v>
      </c>
      <c r="G7171" s="49" t="n">
        <v>0</v>
      </c>
      <c r="H7171" s="0" t="n">
        <v>0</v>
      </c>
      <c r="M7171" s="51" t="s">
        <v>11976</v>
      </c>
      <c r="N7171" s="49" t="n">
        <v>0</v>
      </c>
      <c r="O7171" s="53" t="n">
        <v>45984.4508912037</v>
      </c>
      <c r="P7171" s="53" t="n">
        <v>45992.3792013889</v>
      </c>
      <c r="Q7171" s="53" t="n">
        <v>45984.4508912037</v>
      </c>
      <c r="R7171" s="0" t="n">
        <v>0</v>
      </c>
      <c r="S7171" s="51" t="s">
        <v>2356</v>
      </c>
      <c r="T7171" s="51" t="s">
        <v>2356</v>
      </c>
      <c r="U7171" s="0" t="str">
        <f aca="false">"734730293357"</f>
        <v>734730293357</v>
      </c>
      <c r="V7171" s="51" t="s">
        <v>2365</v>
      </c>
      <c r="W7171" s="51" t="s">
        <v>11983</v>
      </c>
      <c r="X7171" s="51" t="s">
        <v>2359</v>
      </c>
    </row>
    <row r="7172" customFormat="false" ht="14.25" hidden="true" customHeight="false" outlineLevel="0" collapsed="false">
      <c r="A7172" s="49" t="s">
        <v>2349</v>
      </c>
      <c r="B7172" s="49" t="s">
        <v>2350</v>
      </c>
      <c r="C7172" s="49" t="s">
        <v>11984</v>
      </c>
      <c r="D7172" s="49" t="s">
        <v>2352</v>
      </c>
      <c r="E7172" s="49" t="str">
        <f aca="false">"734730293357"</f>
        <v>734730293357</v>
      </c>
      <c r="F7172" s="49" t="s">
        <v>11975</v>
      </c>
      <c r="G7172" s="49" t="n">
        <v>0</v>
      </c>
      <c r="H7172" s="0" t="n">
        <v>0</v>
      </c>
      <c r="M7172" s="51" t="s">
        <v>11976</v>
      </c>
      <c r="N7172" s="49" t="n">
        <v>0</v>
      </c>
      <c r="O7172" s="53" t="n">
        <v>45984.4507175926</v>
      </c>
      <c r="P7172" s="53" t="n">
        <v>45992.3794560185</v>
      </c>
      <c r="Q7172" s="53" t="n">
        <v>45984.4507175926</v>
      </c>
      <c r="R7172" s="0" t="n">
        <v>0</v>
      </c>
      <c r="S7172" s="51" t="s">
        <v>2356</v>
      </c>
      <c r="T7172" s="51" t="s">
        <v>2356</v>
      </c>
      <c r="U7172" s="0" t="str">
        <f aca="false">"734730293357"</f>
        <v>734730293357</v>
      </c>
      <c r="V7172" s="51" t="s">
        <v>2365</v>
      </c>
      <c r="W7172" s="51" t="s">
        <v>5568</v>
      </c>
      <c r="X7172" s="51" t="s">
        <v>2359</v>
      </c>
    </row>
    <row r="7173" customFormat="false" ht="14.25" hidden="true" customHeight="false" outlineLevel="0" collapsed="false">
      <c r="A7173" s="49" t="s">
        <v>2349</v>
      </c>
      <c r="B7173" s="49" t="s">
        <v>2350</v>
      </c>
      <c r="C7173" s="49" t="s">
        <v>11985</v>
      </c>
      <c r="D7173" s="49" t="s">
        <v>2352</v>
      </c>
      <c r="E7173" s="49" t="str">
        <f aca="false">"734730293357"</f>
        <v>734730293357</v>
      </c>
      <c r="F7173" s="49" t="s">
        <v>11975</v>
      </c>
      <c r="G7173" s="49" t="n">
        <v>0</v>
      </c>
      <c r="H7173" s="0" t="n">
        <v>0</v>
      </c>
      <c r="M7173" s="51" t="s">
        <v>11976</v>
      </c>
      <c r="N7173" s="49" t="n">
        <v>0</v>
      </c>
      <c r="O7173" s="53" t="n">
        <v>45984.4505439815</v>
      </c>
      <c r="P7173" s="53" t="n">
        <v>46018.6369328704</v>
      </c>
      <c r="Q7173" s="53" t="n">
        <v>45984.4505439815</v>
      </c>
      <c r="R7173" s="0" t="n">
        <v>0</v>
      </c>
      <c r="S7173" s="51" t="s">
        <v>2356</v>
      </c>
      <c r="T7173" s="51" t="s">
        <v>2356</v>
      </c>
      <c r="U7173" s="0" t="str">
        <f aca="false">"734730293357"</f>
        <v>734730293357</v>
      </c>
      <c r="V7173" s="51" t="s">
        <v>2365</v>
      </c>
      <c r="W7173" s="51" t="s">
        <v>10388</v>
      </c>
      <c r="X7173" s="51" t="s">
        <v>2359</v>
      </c>
    </row>
    <row r="7174" customFormat="false" ht="14.25" hidden="true" customHeight="false" outlineLevel="0" collapsed="false">
      <c r="A7174" s="49" t="s">
        <v>2349</v>
      </c>
      <c r="B7174" s="49" t="s">
        <v>2350</v>
      </c>
      <c r="C7174" s="49" t="s">
        <v>11986</v>
      </c>
      <c r="D7174" s="49" t="s">
        <v>2352</v>
      </c>
      <c r="E7174" s="49" t="str">
        <f aca="false">"734730293357"</f>
        <v>734730293357</v>
      </c>
      <c r="F7174" s="49" t="s">
        <v>11975</v>
      </c>
      <c r="G7174" s="49" t="n">
        <v>0</v>
      </c>
      <c r="H7174" s="0" t="n">
        <v>0</v>
      </c>
      <c r="M7174" s="51" t="s">
        <v>11976</v>
      </c>
      <c r="N7174" s="49" t="n">
        <v>0</v>
      </c>
      <c r="O7174" s="53" t="n">
        <v>45984.4503356482</v>
      </c>
      <c r="P7174" s="53" t="n">
        <v>46018.6361458333</v>
      </c>
      <c r="Q7174" s="53" t="n">
        <v>45984.4503356482</v>
      </c>
      <c r="R7174" s="0" t="n">
        <v>0</v>
      </c>
      <c r="S7174" s="51" t="s">
        <v>2356</v>
      </c>
      <c r="T7174" s="51" t="s">
        <v>2356</v>
      </c>
      <c r="U7174" s="0" t="str">
        <f aca="false">"734730293357"</f>
        <v>734730293357</v>
      </c>
      <c r="V7174" s="51" t="s">
        <v>2365</v>
      </c>
      <c r="W7174" s="51" t="s">
        <v>10390</v>
      </c>
      <c r="X7174" s="51" t="s">
        <v>2359</v>
      </c>
    </row>
    <row r="7175" customFormat="false" ht="14.25" hidden="true" customHeight="false" outlineLevel="0" collapsed="false">
      <c r="A7175" s="49" t="s">
        <v>2349</v>
      </c>
      <c r="B7175" s="49" t="s">
        <v>2350</v>
      </c>
      <c r="C7175" s="49" t="s">
        <v>11987</v>
      </c>
      <c r="D7175" s="49" t="s">
        <v>2352</v>
      </c>
      <c r="E7175" s="49" t="str">
        <f aca="false">"734730293357"</f>
        <v>734730293357</v>
      </c>
      <c r="F7175" s="49" t="s">
        <v>11975</v>
      </c>
      <c r="G7175" s="49" t="n">
        <v>0</v>
      </c>
      <c r="H7175" s="0" t="n">
        <v>0</v>
      </c>
      <c r="M7175" s="51" t="s">
        <v>11976</v>
      </c>
      <c r="N7175" s="49" t="n">
        <v>0</v>
      </c>
      <c r="O7175" s="53" t="n">
        <v>45984.450150463</v>
      </c>
      <c r="P7175" s="53" t="n">
        <v>45992.3789351852</v>
      </c>
      <c r="Q7175" s="53" t="n">
        <v>45984.450150463</v>
      </c>
      <c r="R7175" s="0" t="n">
        <v>0</v>
      </c>
      <c r="S7175" s="51" t="s">
        <v>2356</v>
      </c>
      <c r="T7175" s="51" t="s">
        <v>2356</v>
      </c>
      <c r="U7175" s="0" t="str">
        <f aca="false">"734730293357"</f>
        <v>734730293357</v>
      </c>
      <c r="V7175" s="51" t="s">
        <v>2365</v>
      </c>
      <c r="W7175" s="51" t="s">
        <v>3774</v>
      </c>
      <c r="X7175" s="51" t="s">
        <v>2359</v>
      </c>
    </row>
    <row r="7176" customFormat="false" ht="14.25" hidden="true" customHeight="false" outlineLevel="0" collapsed="false">
      <c r="A7176" s="49" t="s">
        <v>2349</v>
      </c>
      <c r="B7176" s="49" t="s">
        <v>2350</v>
      </c>
      <c r="C7176" s="49" t="s">
        <v>11988</v>
      </c>
      <c r="D7176" s="49" t="s">
        <v>2352</v>
      </c>
      <c r="E7176" s="49" t="str">
        <f aca="false">"734730293357"</f>
        <v>734730293357</v>
      </c>
      <c r="F7176" s="49" t="s">
        <v>11975</v>
      </c>
      <c r="G7176" s="49" t="n">
        <v>0</v>
      </c>
      <c r="H7176" s="0" t="n">
        <v>0</v>
      </c>
      <c r="M7176" s="51" t="s">
        <v>11976</v>
      </c>
      <c r="N7176" s="49" t="n">
        <v>0</v>
      </c>
      <c r="O7176" s="53" t="n">
        <v>45984.4499884259</v>
      </c>
      <c r="P7176" s="53" t="n">
        <v>46018.6357291667</v>
      </c>
      <c r="Q7176" s="53" t="n">
        <v>45984.4499884259</v>
      </c>
      <c r="R7176" s="0" t="n">
        <v>0</v>
      </c>
      <c r="S7176" s="51" t="s">
        <v>2356</v>
      </c>
      <c r="T7176" s="51" t="s">
        <v>2356</v>
      </c>
      <c r="U7176" s="0" t="str">
        <f aca="false">"734730293357"</f>
        <v>734730293357</v>
      </c>
      <c r="V7176" s="51" t="s">
        <v>2365</v>
      </c>
      <c r="W7176" s="51" t="s">
        <v>9670</v>
      </c>
      <c r="X7176" s="51" t="s">
        <v>2359</v>
      </c>
    </row>
    <row r="7177" customFormat="false" ht="14.25" hidden="true" customHeight="false" outlineLevel="0" collapsed="false">
      <c r="A7177" s="49" t="s">
        <v>2349</v>
      </c>
      <c r="B7177" s="49" t="s">
        <v>2350</v>
      </c>
      <c r="C7177" s="49" t="s">
        <v>11989</v>
      </c>
      <c r="D7177" s="49" t="s">
        <v>2352</v>
      </c>
      <c r="E7177" s="49" t="str">
        <f aca="false">"734730293357"</f>
        <v>734730293357</v>
      </c>
      <c r="F7177" s="49" t="s">
        <v>11975</v>
      </c>
      <c r="G7177" s="49" t="n">
        <v>0</v>
      </c>
      <c r="H7177" s="0" t="n">
        <v>0</v>
      </c>
      <c r="M7177" s="51" t="s">
        <v>11976</v>
      </c>
      <c r="N7177" s="49" t="n">
        <v>0</v>
      </c>
      <c r="O7177" s="53" t="n">
        <v>45984.4498148148</v>
      </c>
      <c r="P7177" s="53" t="n">
        <v>45992.3787847222</v>
      </c>
      <c r="Q7177" s="53" t="n">
        <v>45984.4498148148</v>
      </c>
      <c r="R7177" s="0" t="n">
        <v>0</v>
      </c>
      <c r="S7177" s="51" t="s">
        <v>2356</v>
      </c>
      <c r="T7177" s="51" t="s">
        <v>2356</v>
      </c>
      <c r="U7177" s="0" t="str">
        <f aca="false">"734730293357"</f>
        <v>734730293357</v>
      </c>
      <c r="V7177" s="51" t="s">
        <v>2365</v>
      </c>
      <c r="W7177" s="51" t="s">
        <v>8272</v>
      </c>
      <c r="X7177" s="51" t="s">
        <v>2359</v>
      </c>
    </row>
    <row r="7178" customFormat="false" ht="14.25" hidden="true" customHeight="false" outlineLevel="0" collapsed="false">
      <c r="A7178" s="49" t="s">
        <v>2349</v>
      </c>
      <c r="B7178" s="49" t="s">
        <v>2350</v>
      </c>
      <c r="C7178" s="49" t="s">
        <v>11990</v>
      </c>
      <c r="D7178" s="49" t="s">
        <v>2352</v>
      </c>
      <c r="E7178" s="49" t="str">
        <f aca="false">"734730293357"</f>
        <v>734730293357</v>
      </c>
      <c r="F7178" s="49" t="s">
        <v>11975</v>
      </c>
      <c r="G7178" s="49" t="n">
        <v>0</v>
      </c>
      <c r="H7178" s="0" t="n">
        <v>0</v>
      </c>
      <c r="M7178" s="51" t="s">
        <v>11976</v>
      </c>
      <c r="N7178" s="49" t="n">
        <v>0</v>
      </c>
      <c r="O7178" s="53" t="n">
        <v>45984.4496527778</v>
      </c>
      <c r="P7178" s="53" t="n">
        <v>46018.6354282407</v>
      </c>
      <c r="Q7178" s="53" t="n">
        <v>45984.4496527778</v>
      </c>
      <c r="R7178" s="0" t="n">
        <v>0</v>
      </c>
      <c r="S7178" s="51" t="s">
        <v>2356</v>
      </c>
      <c r="T7178" s="51" t="s">
        <v>2356</v>
      </c>
      <c r="U7178" s="0" t="str">
        <f aca="false">"734730293357"</f>
        <v>734730293357</v>
      </c>
      <c r="V7178" s="51" t="s">
        <v>2365</v>
      </c>
      <c r="W7178" s="51" t="s">
        <v>6476</v>
      </c>
      <c r="X7178" s="51" t="s">
        <v>2359</v>
      </c>
    </row>
    <row r="7179" customFormat="false" ht="14.25" hidden="true" customHeight="false" outlineLevel="0" collapsed="false">
      <c r="A7179" s="49" t="s">
        <v>2349</v>
      </c>
      <c r="B7179" s="49" t="s">
        <v>2350</v>
      </c>
      <c r="C7179" s="49" t="s">
        <v>11991</v>
      </c>
      <c r="D7179" s="49" t="s">
        <v>2352</v>
      </c>
      <c r="E7179" s="49" t="str">
        <f aca="false">"734730293357"</f>
        <v>734730293357</v>
      </c>
      <c r="F7179" s="49" t="s">
        <v>11975</v>
      </c>
      <c r="G7179" s="49" t="n">
        <v>0</v>
      </c>
      <c r="H7179" s="0" t="n">
        <v>0</v>
      </c>
      <c r="M7179" s="51" t="s">
        <v>11976</v>
      </c>
      <c r="N7179" s="49" t="n">
        <v>0</v>
      </c>
      <c r="O7179" s="53" t="n">
        <v>45984.4494791667</v>
      </c>
      <c r="P7179" s="53" t="n">
        <v>45992.3795833333</v>
      </c>
      <c r="Q7179" s="53" t="n">
        <v>45984.4494791667</v>
      </c>
      <c r="R7179" s="0" t="n">
        <v>0</v>
      </c>
      <c r="S7179" s="51" t="s">
        <v>2356</v>
      </c>
      <c r="T7179" s="51" t="s">
        <v>2356</v>
      </c>
      <c r="U7179" s="0" t="str">
        <f aca="false">"734730293357"</f>
        <v>734730293357</v>
      </c>
      <c r="V7179" s="51" t="s">
        <v>2365</v>
      </c>
      <c r="W7179" s="51" t="s">
        <v>10382</v>
      </c>
      <c r="X7179" s="51" t="s">
        <v>2359</v>
      </c>
    </row>
    <row r="7180" customFormat="false" ht="14.25" hidden="true" customHeight="false" outlineLevel="0" collapsed="false">
      <c r="A7180" s="49" t="s">
        <v>2349</v>
      </c>
      <c r="B7180" s="49" t="s">
        <v>2350</v>
      </c>
      <c r="C7180" s="49" t="s">
        <v>11992</v>
      </c>
      <c r="D7180" s="49" t="s">
        <v>2352</v>
      </c>
      <c r="E7180" s="49" t="str">
        <f aca="false">"734730293357"</f>
        <v>734730293357</v>
      </c>
      <c r="F7180" s="49" t="s">
        <v>11975</v>
      </c>
      <c r="G7180" s="49" t="n">
        <v>0</v>
      </c>
      <c r="H7180" s="0" t="n">
        <v>0</v>
      </c>
      <c r="M7180" s="51" t="s">
        <v>11976</v>
      </c>
      <c r="N7180" s="49" t="n">
        <v>0</v>
      </c>
      <c r="O7180" s="53" t="n">
        <v>45984.4492939815</v>
      </c>
      <c r="P7180" s="53" t="n">
        <v>46018.6358564815</v>
      </c>
      <c r="Q7180" s="53" t="n">
        <v>45984.4492939815</v>
      </c>
      <c r="R7180" s="0" t="n">
        <v>0</v>
      </c>
      <c r="S7180" s="51" t="s">
        <v>2356</v>
      </c>
      <c r="T7180" s="51" t="s">
        <v>2356</v>
      </c>
      <c r="U7180" s="0" t="str">
        <f aca="false">"734730293357"</f>
        <v>734730293357</v>
      </c>
      <c r="V7180" s="51" t="s">
        <v>2365</v>
      </c>
      <c r="W7180" s="51" t="s">
        <v>5553</v>
      </c>
      <c r="X7180" s="51" t="s">
        <v>2359</v>
      </c>
    </row>
    <row r="7181" customFormat="false" ht="14.25" hidden="true" customHeight="false" outlineLevel="0" collapsed="false">
      <c r="A7181" s="49" t="s">
        <v>2349</v>
      </c>
      <c r="B7181" s="49" t="s">
        <v>2350</v>
      </c>
      <c r="C7181" s="49" t="s">
        <v>11993</v>
      </c>
      <c r="D7181" s="49" t="s">
        <v>2352</v>
      </c>
      <c r="E7181" s="49" t="str">
        <f aca="false">"734730293357"</f>
        <v>734730293357</v>
      </c>
      <c r="F7181" s="49" t="s">
        <v>11975</v>
      </c>
      <c r="G7181" s="49" t="n">
        <v>0</v>
      </c>
      <c r="H7181" s="0" t="n">
        <v>0</v>
      </c>
      <c r="M7181" s="51" t="s">
        <v>11976</v>
      </c>
      <c r="N7181" s="49" t="n">
        <v>0</v>
      </c>
      <c r="O7181" s="53" t="n">
        <v>45984.4488541667</v>
      </c>
      <c r="P7181" s="53" t="n">
        <v>45992.3797222222</v>
      </c>
      <c r="Q7181" s="53" t="n">
        <v>45984.4488541667</v>
      </c>
      <c r="R7181" s="0" t="n">
        <v>0</v>
      </c>
      <c r="S7181" s="51" t="s">
        <v>2356</v>
      </c>
      <c r="T7181" s="51" t="s">
        <v>2356</v>
      </c>
      <c r="U7181" s="0" t="str">
        <f aca="false">"734730293357"</f>
        <v>734730293357</v>
      </c>
      <c r="V7181" s="51" t="s">
        <v>2365</v>
      </c>
      <c r="W7181" s="51" t="s">
        <v>11994</v>
      </c>
      <c r="X7181" s="51" t="s">
        <v>2359</v>
      </c>
    </row>
    <row r="7182" customFormat="false" ht="14.25" hidden="true" customHeight="false" outlineLevel="0" collapsed="false">
      <c r="A7182" s="49" t="s">
        <v>2349</v>
      </c>
      <c r="B7182" s="49" t="s">
        <v>2350</v>
      </c>
      <c r="C7182" s="49" t="s">
        <v>11995</v>
      </c>
      <c r="D7182" s="49" t="s">
        <v>2352</v>
      </c>
      <c r="E7182" s="49" t="str">
        <f aca="false">"734730293357"</f>
        <v>734730293357</v>
      </c>
      <c r="F7182" s="49" t="s">
        <v>11975</v>
      </c>
      <c r="G7182" s="49" t="n">
        <v>0</v>
      </c>
      <c r="H7182" s="0" t="n">
        <v>0</v>
      </c>
      <c r="M7182" s="51" t="s">
        <v>11976</v>
      </c>
      <c r="N7182" s="49" t="n">
        <v>0</v>
      </c>
      <c r="O7182" s="53" t="n">
        <v>45984.4486574074</v>
      </c>
      <c r="P7182" s="53" t="n">
        <v>46018.6359606482</v>
      </c>
      <c r="Q7182" s="53" t="n">
        <v>45984.4486574074</v>
      </c>
      <c r="R7182" s="0" t="n">
        <v>0</v>
      </c>
      <c r="S7182" s="51" t="s">
        <v>2356</v>
      </c>
      <c r="T7182" s="51" t="s">
        <v>2356</v>
      </c>
      <c r="U7182" s="0" t="str">
        <f aca="false">"734730293357"</f>
        <v>734730293357</v>
      </c>
      <c r="V7182" s="51" t="s">
        <v>2365</v>
      </c>
      <c r="W7182" s="51" t="s">
        <v>5754</v>
      </c>
      <c r="X7182" s="51" t="s">
        <v>2359</v>
      </c>
    </row>
    <row r="7183" customFormat="false" ht="14.25" hidden="true" customHeight="false" outlineLevel="0" collapsed="false">
      <c r="A7183" s="49" t="s">
        <v>2349</v>
      </c>
      <c r="B7183" s="49" t="s">
        <v>2350</v>
      </c>
      <c r="C7183" s="49" t="s">
        <v>11996</v>
      </c>
      <c r="D7183" s="49" t="s">
        <v>2352</v>
      </c>
      <c r="E7183" s="49" t="str">
        <f aca="false">"734730293357"</f>
        <v>734730293357</v>
      </c>
      <c r="F7183" s="49" t="s">
        <v>11975</v>
      </c>
      <c r="G7183" s="49" t="n">
        <v>0</v>
      </c>
      <c r="H7183" s="0" t="n">
        <v>0</v>
      </c>
      <c r="M7183" s="51" t="s">
        <v>11976</v>
      </c>
      <c r="N7183" s="49" t="n">
        <v>0</v>
      </c>
      <c r="O7183" s="53" t="n">
        <v>45984.4478472222</v>
      </c>
      <c r="P7183" s="53" t="n">
        <v>46018.6378125</v>
      </c>
      <c r="Q7183" s="53" t="n">
        <v>45984.4478472222</v>
      </c>
      <c r="R7183" s="0" t="n">
        <v>0</v>
      </c>
      <c r="S7183" s="51" t="s">
        <v>2356</v>
      </c>
      <c r="T7183" s="51" t="s">
        <v>2356</v>
      </c>
      <c r="U7183" s="0" t="str">
        <f aca="false">"734730293357"</f>
        <v>734730293357</v>
      </c>
      <c r="V7183" s="51" t="s">
        <v>2365</v>
      </c>
      <c r="W7183" s="51" t="s">
        <v>10398</v>
      </c>
      <c r="X7183" s="51" t="s">
        <v>2359</v>
      </c>
    </row>
    <row r="7184" customFormat="false" ht="14.25" hidden="true" customHeight="false" outlineLevel="0" collapsed="false">
      <c r="A7184" s="49" t="s">
        <v>2349</v>
      </c>
      <c r="B7184" s="49" t="s">
        <v>2350</v>
      </c>
      <c r="C7184" s="49" t="s">
        <v>11997</v>
      </c>
      <c r="D7184" s="49" t="s">
        <v>2352</v>
      </c>
      <c r="E7184" s="49" t="str">
        <f aca="false">"734730293357"</f>
        <v>734730293357</v>
      </c>
      <c r="F7184" s="49" t="s">
        <v>11975</v>
      </c>
      <c r="G7184" s="49" t="n">
        <v>0</v>
      </c>
      <c r="H7184" s="0" t="n">
        <v>0</v>
      </c>
      <c r="M7184" s="51" t="s">
        <v>11976</v>
      </c>
      <c r="N7184" s="49" t="n">
        <v>0</v>
      </c>
      <c r="O7184" s="53" t="n">
        <v>45984.4476273148</v>
      </c>
      <c r="P7184" s="53" t="n">
        <v>46018.6379282407</v>
      </c>
      <c r="Q7184" s="53" t="n">
        <v>45984.4476273148</v>
      </c>
      <c r="R7184" s="0" t="n">
        <v>0</v>
      </c>
      <c r="S7184" s="51" t="s">
        <v>2356</v>
      </c>
      <c r="T7184" s="51" t="s">
        <v>2356</v>
      </c>
      <c r="U7184" s="0" t="str">
        <f aca="false">"734730293357"</f>
        <v>734730293357</v>
      </c>
      <c r="V7184" s="51" t="s">
        <v>2365</v>
      </c>
      <c r="W7184" s="51" t="s">
        <v>10392</v>
      </c>
      <c r="X7184" s="51" t="s">
        <v>2359</v>
      </c>
    </row>
    <row r="7185" customFormat="false" ht="14.25" hidden="true" customHeight="false" outlineLevel="0" collapsed="false">
      <c r="A7185" s="49" t="s">
        <v>2349</v>
      </c>
      <c r="B7185" s="49" t="s">
        <v>2350</v>
      </c>
      <c r="C7185" s="49" t="s">
        <v>11998</v>
      </c>
      <c r="D7185" s="49" t="s">
        <v>2352</v>
      </c>
      <c r="E7185" s="49" t="str">
        <f aca="false">"734730293357"</f>
        <v>734730293357</v>
      </c>
      <c r="F7185" s="49" t="s">
        <v>11975</v>
      </c>
      <c r="G7185" s="49" t="n">
        <v>0</v>
      </c>
      <c r="H7185" s="0" t="n">
        <v>0</v>
      </c>
      <c r="M7185" s="51" t="s">
        <v>11976</v>
      </c>
      <c r="N7185" s="49" t="n">
        <v>119</v>
      </c>
      <c r="O7185" s="53" t="n">
        <v>45984.4388657407</v>
      </c>
      <c r="P7185" s="53" t="n">
        <v>46018.6376851852</v>
      </c>
      <c r="Q7185" s="53" t="n">
        <v>45984.4388657407</v>
      </c>
      <c r="R7185" s="0" t="n">
        <v>0</v>
      </c>
      <c r="S7185" s="51" t="s">
        <v>2356</v>
      </c>
      <c r="T7185" s="51" t="s">
        <v>2356</v>
      </c>
      <c r="U7185" s="0" t="str">
        <f aca="false">"734730293357"</f>
        <v>734730293357</v>
      </c>
      <c r="V7185" s="51" t="s">
        <v>2365</v>
      </c>
      <c r="W7185" s="51" t="s">
        <v>11999</v>
      </c>
      <c r="X7185" s="51" t="s">
        <v>2359</v>
      </c>
    </row>
    <row r="7186" customFormat="false" ht="14.25" hidden="true" customHeight="false" outlineLevel="0" collapsed="false">
      <c r="A7186" s="49" t="s">
        <v>2349</v>
      </c>
      <c r="B7186" s="49" t="s">
        <v>2350</v>
      </c>
      <c r="C7186" s="49" t="s">
        <v>12000</v>
      </c>
      <c r="D7186" s="49" t="s">
        <v>2352</v>
      </c>
      <c r="E7186" s="49" t="str">
        <f aca="false">"12476048"</f>
        <v>12476048</v>
      </c>
      <c r="F7186" s="49" t="s">
        <v>4272</v>
      </c>
      <c r="G7186" s="49" t="n">
        <v>0</v>
      </c>
      <c r="H7186" s="0" t="n">
        <v>0</v>
      </c>
      <c r="M7186" s="51" t="s">
        <v>12001</v>
      </c>
      <c r="N7186" s="49" t="n">
        <v>0</v>
      </c>
      <c r="O7186" s="53" t="n">
        <v>45985.4753472222</v>
      </c>
      <c r="P7186" s="53" t="n">
        <v>45988.6403819444</v>
      </c>
      <c r="Q7186" s="53" t="n">
        <v>45985.4753472222</v>
      </c>
      <c r="R7186" s="0" t="n">
        <v>0</v>
      </c>
      <c r="S7186" s="51" t="s">
        <v>3780</v>
      </c>
      <c r="T7186" s="51" t="s">
        <v>3780</v>
      </c>
      <c r="U7186" s="0" t="str">
        <f aca="false">"12476048"</f>
        <v>12476048</v>
      </c>
      <c r="V7186" s="51" t="s">
        <v>2365</v>
      </c>
      <c r="W7186" s="51" t="s">
        <v>4907</v>
      </c>
      <c r="X7186" s="51" t="s">
        <v>2359</v>
      </c>
    </row>
    <row r="7187" customFormat="false" ht="14.25" hidden="true" customHeight="false" outlineLevel="0" collapsed="false">
      <c r="A7187" s="49" t="s">
        <v>2349</v>
      </c>
      <c r="B7187" s="49" t="s">
        <v>2350</v>
      </c>
      <c r="C7187" s="49" t="s">
        <v>12002</v>
      </c>
      <c r="D7187" s="49" t="s">
        <v>2352</v>
      </c>
      <c r="E7187" s="49" t="str">
        <f aca="false">"10110809"</f>
        <v>10110809</v>
      </c>
      <c r="F7187" s="49" t="s">
        <v>10058</v>
      </c>
      <c r="G7187" s="49" t="n">
        <v>0</v>
      </c>
      <c r="H7187" s="0" t="n">
        <v>0</v>
      </c>
      <c r="M7187" s="51" t="s">
        <v>12003</v>
      </c>
      <c r="N7187" s="49" t="n">
        <v>0</v>
      </c>
      <c r="O7187" s="53" t="n">
        <v>45960.4017476852</v>
      </c>
      <c r="P7187" s="53" t="n">
        <v>45977.4143287037</v>
      </c>
      <c r="Q7187" s="53" t="n">
        <v>45960.4017476852</v>
      </c>
      <c r="R7187" s="0" t="n">
        <v>0</v>
      </c>
      <c r="S7187" s="51" t="s">
        <v>2356</v>
      </c>
      <c r="T7187" s="51" t="s">
        <v>2356</v>
      </c>
      <c r="U7187" s="0" t="str">
        <f aca="false">"10110809"</f>
        <v>10110809</v>
      </c>
      <c r="V7187" s="51" t="s">
        <v>2365</v>
      </c>
      <c r="W7187" s="51" t="s">
        <v>7855</v>
      </c>
      <c r="X7187" s="51" t="s">
        <v>2359</v>
      </c>
    </row>
    <row r="7188" customFormat="false" ht="14.25" hidden="true" customHeight="false" outlineLevel="0" collapsed="false">
      <c r="A7188" s="49" t="s">
        <v>2349</v>
      </c>
      <c r="B7188" s="49" t="s">
        <v>2350</v>
      </c>
      <c r="C7188" s="49" t="s">
        <v>12004</v>
      </c>
      <c r="D7188" s="49" t="s">
        <v>2352</v>
      </c>
      <c r="E7188" s="49" t="str">
        <f aca="false">"10074865055175"</f>
        <v>10074865055175</v>
      </c>
      <c r="F7188" s="49" t="s">
        <v>5090</v>
      </c>
      <c r="G7188" s="49" t="n">
        <v>0</v>
      </c>
      <c r="H7188" s="0" t="n">
        <v>0</v>
      </c>
      <c r="M7188" s="51" t="s">
        <v>12005</v>
      </c>
      <c r="N7188" s="49" t="n">
        <v>0</v>
      </c>
      <c r="O7188" s="53" t="n">
        <v>45956.6519097222</v>
      </c>
      <c r="P7188" s="53" t="n">
        <v>45963.8048958333</v>
      </c>
      <c r="Q7188" s="53" t="n">
        <v>45956.6518981482</v>
      </c>
      <c r="R7188" s="0" t="n">
        <v>0</v>
      </c>
      <c r="S7188" s="51" t="s">
        <v>2401</v>
      </c>
      <c r="T7188" s="51" t="s">
        <v>2401</v>
      </c>
      <c r="U7188" s="0" t="str">
        <f aca="false">"10074865055175"</f>
        <v>10074865055175</v>
      </c>
      <c r="V7188" s="51" t="s">
        <v>2365</v>
      </c>
      <c r="W7188" s="51" t="s">
        <v>5184</v>
      </c>
      <c r="X7188" s="51" t="s">
        <v>2359</v>
      </c>
    </row>
    <row r="7189" customFormat="false" ht="14.25" hidden="true" customHeight="false" outlineLevel="0" collapsed="false">
      <c r="A7189" s="49" t="s">
        <v>2349</v>
      </c>
      <c r="B7189" s="49" t="s">
        <v>2350</v>
      </c>
      <c r="C7189" s="49" t="s">
        <v>12006</v>
      </c>
      <c r="D7189" s="49" t="s">
        <v>2352</v>
      </c>
      <c r="E7189" s="49" t="s">
        <v>10773</v>
      </c>
      <c r="F7189" s="49" t="s">
        <v>10774</v>
      </c>
      <c r="G7189" s="49" t="n">
        <v>0</v>
      </c>
      <c r="H7189" s="0" t="n">
        <v>0</v>
      </c>
      <c r="M7189" s="51" t="s">
        <v>12007</v>
      </c>
      <c r="N7189" s="49" t="n">
        <v>0</v>
      </c>
      <c r="O7189" s="53" t="n">
        <v>45893.6605324074</v>
      </c>
      <c r="P7189" s="53" t="n">
        <v>45918.3096875</v>
      </c>
      <c r="Q7189" s="53" t="n">
        <v>45893.6605324074</v>
      </c>
      <c r="R7189" s="0" t="n">
        <v>0</v>
      </c>
      <c r="S7189" s="51" t="s">
        <v>2356</v>
      </c>
      <c r="T7189" s="51" t="s">
        <v>2356</v>
      </c>
      <c r="U7189" s="51" t="s">
        <v>10773</v>
      </c>
      <c r="W7189" s="51" t="s">
        <v>4480</v>
      </c>
      <c r="X7189" s="51" t="s">
        <v>2359</v>
      </c>
    </row>
    <row r="7190" customFormat="false" ht="14.25" hidden="true" customHeight="false" outlineLevel="0" collapsed="false">
      <c r="A7190" s="49" t="s">
        <v>2349</v>
      </c>
      <c r="B7190" s="49" t="s">
        <v>2350</v>
      </c>
      <c r="C7190" s="49" t="s">
        <v>12008</v>
      </c>
      <c r="D7190" s="49" t="s">
        <v>2352</v>
      </c>
      <c r="E7190" s="49" t="str">
        <f aca="false">"30210890"</f>
        <v>30210890</v>
      </c>
      <c r="F7190" s="49" t="s">
        <v>12009</v>
      </c>
      <c r="G7190" s="49" t="n">
        <v>0</v>
      </c>
      <c r="H7190" s="0" t="n">
        <v>0</v>
      </c>
      <c r="M7190" s="51" t="s">
        <v>12010</v>
      </c>
      <c r="N7190" s="49" t="n">
        <v>0</v>
      </c>
      <c r="O7190" s="53" t="n">
        <v>45958.4649537037</v>
      </c>
      <c r="P7190" s="53" t="n">
        <v>45972.4994097222</v>
      </c>
      <c r="Q7190" s="53" t="n">
        <v>45958.4649537037</v>
      </c>
      <c r="R7190" s="0" t="n">
        <v>0</v>
      </c>
      <c r="S7190" s="51" t="s">
        <v>2356</v>
      </c>
      <c r="T7190" s="51" t="s">
        <v>2356</v>
      </c>
      <c r="U7190" s="0" t="str">
        <f aca="false">"30210890"</f>
        <v>30210890</v>
      </c>
      <c r="V7190" s="51" t="s">
        <v>2365</v>
      </c>
      <c r="W7190" s="51" t="s">
        <v>3675</v>
      </c>
      <c r="X7190" s="51" t="s">
        <v>2359</v>
      </c>
    </row>
    <row r="7191" customFormat="false" ht="14.25" hidden="true" customHeight="false" outlineLevel="0" collapsed="false">
      <c r="A7191" s="49" t="s">
        <v>2349</v>
      </c>
      <c r="B7191" s="49" t="s">
        <v>2350</v>
      </c>
      <c r="C7191" s="49" t="s">
        <v>12011</v>
      </c>
      <c r="D7191" s="49" t="s">
        <v>2352</v>
      </c>
      <c r="E7191" s="49" t="s">
        <v>3633</v>
      </c>
      <c r="F7191" s="49" t="s">
        <v>3634</v>
      </c>
      <c r="G7191" s="49" t="n">
        <v>0</v>
      </c>
      <c r="H7191" s="0" t="n">
        <v>0</v>
      </c>
      <c r="M7191" s="51" t="s">
        <v>3648</v>
      </c>
      <c r="N7191" s="49" t="n">
        <v>0</v>
      </c>
      <c r="O7191" s="53" t="n">
        <v>45986.5739930556</v>
      </c>
      <c r="P7191" s="53" t="n">
        <v>46046.5452546296</v>
      </c>
      <c r="Q7191" s="53" t="n">
        <v>45986.5739930556</v>
      </c>
      <c r="R7191" s="0" t="n">
        <v>0</v>
      </c>
      <c r="S7191" s="51" t="s">
        <v>2356</v>
      </c>
      <c r="T7191" s="51" t="s">
        <v>2356</v>
      </c>
      <c r="U7191" s="51" t="s">
        <v>3633</v>
      </c>
      <c r="V7191" s="51" t="s">
        <v>2357</v>
      </c>
      <c r="W7191" s="51" t="s">
        <v>11845</v>
      </c>
      <c r="X7191" s="51" t="s">
        <v>2359</v>
      </c>
    </row>
    <row r="7192" customFormat="false" ht="14.25" hidden="true" customHeight="false" outlineLevel="0" collapsed="false">
      <c r="A7192" s="49" t="s">
        <v>2349</v>
      </c>
      <c r="B7192" s="49" t="s">
        <v>2350</v>
      </c>
      <c r="C7192" s="49" t="s">
        <v>12012</v>
      </c>
      <c r="D7192" s="49" t="s">
        <v>2352</v>
      </c>
      <c r="E7192" s="49" t="s">
        <v>3633</v>
      </c>
      <c r="F7192" s="49" t="s">
        <v>3634</v>
      </c>
      <c r="G7192" s="49" t="n">
        <v>0</v>
      </c>
      <c r="H7192" s="0" t="n">
        <v>0</v>
      </c>
      <c r="M7192" s="51" t="s">
        <v>3648</v>
      </c>
      <c r="N7192" s="49" t="n">
        <v>0</v>
      </c>
      <c r="O7192" s="53" t="n">
        <v>45986.5744675926</v>
      </c>
      <c r="P7192" s="53" t="n">
        <v>46055.429849537</v>
      </c>
      <c r="Q7192" s="53" t="n">
        <v>45986.5744675926</v>
      </c>
      <c r="R7192" s="0" t="n">
        <v>0</v>
      </c>
      <c r="S7192" s="51" t="s">
        <v>2356</v>
      </c>
      <c r="T7192" s="51" t="s">
        <v>2356</v>
      </c>
      <c r="U7192" s="51" t="s">
        <v>3633</v>
      </c>
      <c r="V7192" s="51" t="s">
        <v>2357</v>
      </c>
      <c r="W7192" s="51" t="s">
        <v>6375</v>
      </c>
      <c r="X7192" s="51" t="s">
        <v>2359</v>
      </c>
    </row>
    <row r="7193" customFormat="false" ht="14.25" hidden="true" customHeight="false" outlineLevel="0" collapsed="false">
      <c r="A7193" s="49" t="s">
        <v>2349</v>
      </c>
      <c r="B7193" s="49" t="s">
        <v>2350</v>
      </c>
      <c r="C7193" s="49" t="s">
        <v>12013</v>
      </c>
      <c r="D7193" s="49" t="s">
        <v>2352</v>
      </c>
      <c r="E7193" s="49" t="s">
        <v>3633</v>
      </c>
      <c r="F7193" s="49" t="s">
        <v>3634</v>
      </c>
      <c r="G7193" s="49" t="n">
        <v>0</v>
      </c>
      <c r="H7193" s="0" t="n">
        <v>0</v>
      </c>
      <c r="M7193" s="51" t="s">
        <v>3648</v>
      </c>
      <c r="N7193" s="49" t="n">
        <v>0</v>
      </c>
      <c r="O7193" s="53" t="n">
        <v>45986.5767939815</v>
      </c>
      <c r="P7193" s="53" t="n">
        <v>46035.5911805556</v>
      </c>
      <c r="Q7193" s="53" t="n">
        <v>45986.5767939815</v>
      </c>
      <c r="R7193" s="0" t="n">
        <v>0</v>
      </c>
      <c r="S7193" s="51" t="s">
        <v>2356</v>
      </c>
      <c r="T7193" s="51" t="s">
        <v>2356</v>
      </c>
      <c r="U7193" s="51" t="s">
        <v>3633</v>
      </c>
      <c r="V7193" s="51" t="s">
        <v>2357</v>
      </c>
      <c r="W7193" s="51" t="s">
        <v>10407</v>
      </c>
      <c r="X7193" s="51" t="s">
        <v>2359</v>
      </c>
    </row>
    <row r="7194" customFormat="false" ht="14.25" hidden="true" customHeight="false" outlineLevel="0" collapsed="false">
      <c r="A7194" s="49" t="s">
        <v>2349</v>
      </c>
      <c r="B7194" s="49" t="s">
        <v>2350</v>
      </c>
      <c r="C7194" s="49" t="s">
        <v>12014</v>
      </c>
      <c r="D7194" s="49" t="s">
        <v>2352</v>
      </c>
      <c r="E7194" s="49" t="s">
        <v>3633</v>
      </c>
      <c r="F7194" s="49" t="s">
        <v>3634</v>
      </c>
      <c r="G7194" s="49" t="n">
        <v>0</v>
      </c>
      <c r="H7194" s="0" t="n">
        <v>0</v>
      </c>
      <c r="M7194" s="51" t="s">
        <v>3648</v>
      </c>
      <c r="N7194" s="49" t="n">
        <v>0</v>
      </c>
      <c r="O7194" s="53" t="n">
        <v>45986.5771412037</v>
      </c>
      <c r="P7194" s="53" t="n">
        <v>46035.5894444444</v>
      </c>
      <c r="Q7194" s="53" t="n">
        <v>45986.5771412037</v>
      </c>
      <c r="R7194" s="0" t="n">
        <v>0</v>
      </c>
      <c r="S7194" s="51" t="s">
        <v>2356</v>
      </c>
      <c r="T7194" s="51" t="s">
        <v>2356</v>
      </c>
      <c r="U7194" s="51" t="s">
        <v>3633</v>
      </c>
      <c r="V7194" s="51" t="s">
        <v>2357</v>
      </c>
      <c r="W7194" s="51" t="s">
        <v>3696</v>
      </c>
      <c r="X7194" s="51" t="s">
        <v>2359</v>
      </c>
    </row>
    <row r="7195" customFormat="false" ht="14.25" hidden="true" customHeight="false" outlineLevel="0" collapsed="false">
      <c r="A7195" s="49" t="s">
        <v>2349</v>
      </c>
      <c r="B7195" s="49" t="s">
        <v>2350</v>
      </c>
      <c r="C7195" s="49" t="s">
        <v>12015</v>
      </c>
      <c r="D7195" s="49" t="s">
        <v>2352</v>
      </c>
      <c r="E7195" s="49" t="s">
        <v>3633</v>
      </c>
      <c r="F7195" s="49" t="s">
        <v>3634</v>
      </c>
      <c r="G7195" s="49" t="n">
        <v>0</v>
      </c>
      <c r="H7195" s="0" t="n">
        <v>0</v>
      </c>
      <c r="M7195" s="51" t="s">
        <v>3648</v>
      </c>
      <c r="N7195" s="49" t="n">
        <v>0</v>
      </c>
      <c r="O7195" s="53" t="n">
        <v>45986.5775115741</v>
      </c>
      <c r="P7195" s="53" t="n">
        <v>46035.5913310185</v>
      </c>
      <c r="Q7195" s="53" t="n">
        <v>45986.5775115741</v>
      </c>
      <c r="R7195" s="0" t="n">
        <v>0</v>
      </c>
      <c r="S7195" s="51" t="s">
        <v>2356</v>
      </c>
      <c r="T7195" s="51" t="s">
        <v>2356</v>
      </c>
      <c r="U7195" s="51" t="s">
        <v>3633</v>
      </c>
      <c r="V7195" s="51" t="s">
        <v>2357</v>
      </c>
      <c r="W7195" s="51" t="s">
        <v>11837</v>
      </c>
      <c r="X7195" s="51" t="s">
        <v>2359</v>
      </c>
    </row>
    <row r="7196" customFormat="false" ht="14.25" hidden="true" customHeight="false" outlineLevel="0" collapsed="false">
      <c r="A7196" s="49" t="s">
        <v>2349</v>
      </c>
      <c r="B7196" s="49" t="s">
        <v>2350</v>
      </c>
      <c r="C7196" s="49" t="s">
        <v>12016</v>
      </c>
      <c r="D7196" s="49" t="s">
        <v>2352</v>
      </c>
      <c r="E7196" s="49" t="s">
        <v>3633</v>
      </c>
      <c r="F7196" s="49" t="s">
        <v>3634</v>
      </c>
      <c r="G7196" s="49" t="n">
        <v>0</v>
      </c>
      <c r="H7196" s="0" t="n">
        <v>0</v>
      </c>
      <c r="M7196" s="51" t="s">
        <v>3648</v>
      </c>
      <c r="N7196" s="49" t="n">
        <v>0</v>
      </c>
      <c r="O7196" s="53" t="n">
        <v>45986.5778703704</v>
      </c>
      <c r="P7196" s="53" t="n">
        <v>46028.5145949074</v>
      </c>
      <c r="Q7196" s="53" t="n">
        <v>45986.5778703704</v>
      </c>
      <c r="R7196" s="0" t="n">
        <v>0</v>
      </c>
      <c r="S7196" s="51" t="s">
        <v>2356</v>
      </c>
      <c r="T7196" s="51" t="s">
        <v>2356</v>
      </c>
      <c r="U7196" s="51" t="s">
        <v>3633</v>
      </c>
      <c r="V7196" s="51" t="s">
        <v>2357</v>
      </c>
      <c r="W7196" s="51" t="s">
        <v>3694</v>
      </c>
      <c r="X7196" s="51" t="s">
        <v>2359</v>
      </c>
    </row>
    <row r="7197" customFormat="false" ht="14.25" hidden="true" customHeight="false" outlineLevel="0" collapsed="false">
      <c r="A7197" s="49" t="s">
        <v>2349</v>
      </c>
      <c r="B7197" s="49" t="s">
        <v>2350</v>
      </c>
      <c r="C7197" s="49" t="s">
        <v>12017</v>
      </c>
      <c r="D7197" s="49" t="s">
        <v>2352</v>
      </c>
      <c r="E7197" s="49" t="s">
        <v>3633</v>
      </c>
      <c r="F7197" s="49" t="s">
        <v>3634</v>
      </c>
      <c r="G7197" s="49" t="n">
        <v>0</v>
      </c>
      <c r="H7197" s="0" t="n">
        <v>0</v>
      </c>
      <c r="M7197" s="51" t="s">
        <v>3648</v>
      </c>
      <c r="N7197" s="49" t="n">
        <v>0</v>
      </c>
      <c r="O7197" s="53" t="n">
        <v>45986.5791782407</v>
      </c>
      <c r="P7197" s="53" t="n">
        <v>46020.3805902778</v>
      </c>
      <c r="Q7197" s="53" t="n">
        <v>45986.5791782407</v>
      </c>
      <c r="R7197" s="0" t="n">
        <v>0</v>
      </c>
      <c r="S7197" s="51" t="s">
        <v>2356</v>
      </c>
      <c r="T7197" s="51" t="s">
        <v>2356</v>
      </c>
      <c r="U7197" s="51" t="s">
        <v>3633</v>
      </c>
      <c r="V7197" s="51" t="s">
        <v>2357</v>
      </c>
      <c r="W7197" s="51" t="s">
        <v>5405</v>
      </c>
      <c r="X7197" s="51" t="s">
        <v>2359</v>
      </c>
    </row>
    <row r="7198" customFormat="false" ht="14.25" hidden="true" customHeight="false" outlineLevel="0" collapsed="false">
      <c r="A7198" s="49" t="s">
        <v>2349</v>
      </c>
      <c r="B7198" s="49" t="s">
        <v>2350</v>
      </c>
      <c r="C7198" s="49" t="s">
        <v>12018</v>
      </c>
      <c r="D7198" s="49" t="s">
        <v>2352</v>
      </c>
      <c r="E7198" s="49" t="s">
        <v>3633</v>
      </c>
      <c r="F7198" s="49" t="s">
        <v>3634</v>
      </c>
      <c r="G7198" s="49" t="n">
        <v>0</v>
      </c>
      <c r="H7198" s="0" t="n">
        <v>0</v>
      </c>
      <c r="M7198" s="51" t="s">
        <v>3648</v>
      </c>
      <c r="N7198" s="49" t="n">
        <v>0</v>
      </c>
      <c r="O7198" s="53" t="n">
        <v>45986.5800810185</v>
      </c>
      <c r="P7198" s="53" t="n">
        <v>46035.5910185185</v>
      </c>
      <c r="Q7198" s="53" t="n">
        <v>45986.5800810185</v>
      </c>
      <c r="R7198" s="0" t="n">
        <v>0</v>
      </c>
      <c r="S7198" s="51" t="s">
        <v>2356</v>
      </c>
      <c r="T7198" s="51" t="s">
        <v>2356</v>
      </c>
      <c r="U7198" s="51" t="s">
        <v>3633</v>
      </c>
      <c r="V7198" s="51" t="s">
        <v>2357</v>
      </c>
      <c r="W7198" s="51" t="s">
        <v>7239</v>
      </c>
      <c r="X7198" s="51" t="s">
        <v>2359</v>
      </c>
    </row>
    <row r="7199" customFormat="false" ht="14.25" hidden="true" customHeight="false" outlineLevel="0" collapsed="false">
      <c r="A7199" s="49" t="s">
        <v>2349</v>
      </c>
      <c r="B7199" s="49" t="s">
        <v>2350</v>
      </c>
      <c r="C7199" s="49" t="s">
        <v>12019</v>
      </c>
      <c r="D7199" s="49" t="s">
        <v>2352</v>
      </c>
      <c r="E7199" s="49" t="s">
        <v>3633</v>
      </c>
      <c r="F7199" s="49" t="s">
        <v>3634</v>
      </c>
      <c r="G7199" s="49" t="n">
        <v>0</v>
      </c>
      <c r="H7199" s="0" t="n">
        <v>0</v>
      </c>
      <c r="M7199" s="51" t="s">
        <v>3648</v>
      </c>
      <c r="N7199" s="49" t="n">
        <v>0</v>
      </c>
      <c r="O7199" s="53" t="n">
        <v>45986.5805324074</v>
      </c>
      <c r="P7199" s="53" t="n">
        <v>45999.6073842593</v>
      </c>
      <c r="Q7199" s="53" t="n">
        <v>45986.5805324074</v>
      </c>
      <c r="R7199" s="0" t="n">
        <v>0</v>
      </c>
      <c r="S7199" s="51" t="s">
        <v>2356</v>
      </c>
      <c r="T7199" s="51" t="s">
        <v>2356</v>
      </c>
      <c r="U7199" s="51" t="s">
        <v>3633</v>
      </c>
      <c r="V7199" s="51" t="s">
        <v>2357</v>
      </c>
      <c r="W7199" s="51" t="s">
        <v>12020</v>
      </c>
      <c r="X7199" s="51" t="s">
        <v>2359</v>
      </c>
    </row>
    <row r="7200" customFormat="false" ht="14.25" hidden="true" customHeight="false" outlineLevel="0" collapsed="false">
      <c r="A7200" s="49" t="s">
        <v>2349</v>
      </c>
      <c r="B7200" s="49" t="s">
        <v>2350</v>
      </c>
      <c r="C7200" s="49" t="s">
        <v>12021</v>
      </c>
      <c r="D7200" s="49" t="s">
        <v>2352</v>
      </c>
      <c r="E7200" s="49" t="s">
        <v>3633</v>
      </c>
      <c r="F7200" s="49" t="s">
        <v>3634</v>
      </c>
      <c r="G7200" s="49" t="n">
        <v>0</v>
      </c>
      <c r="H7200" s="0" t="n">
        <v>0</v>
      </c>
      <c r="M7200" s="51" t="s">
        <v>3648</v>
      </c>
      <c r="N7200" s="49" t="n">
        <v>0</v>
      </c>
      <c r="O7200" s="53" t="n">
        <v>45986.5809375</v>
      </c>
      <c r="P7200" s="53" t="n">
        <v>46035.5914583333</v>
      </c>
      <c r="Q7200" s="53" t="n">
        <v>45986.5809375</v>
      </c>
      <c r="R7200" s="0" t="n">
        <v>0</v>
      </c>
      <c r="S7200" s="51" t="s">
        <v>2356</v>
      </c>
      <c r="T7200" s="51" t="s">
        <v>2356</v>
      </c>
      <c r="U7200" s="51" t="s">
        <v>3633</v>
      </c>
      <c r="V7200" s="51" t="s">
        <v>2357</v>
      </c>
      <c r="W7200" s="51" t="s">
        <v>12022</v>
      </c>
      <c r="X7200" s="51" t="s">
        <v>2359</v>
      </c>
    </row>
    <row r="7201" customFormat="false" ht="14.25" hidden="true" customHeight="false" outlineLevel="0" collapsed="false">
      <c r="A7201" s="49" t="s">
        <v>2349</v>
      </c>
      <c r="B7201" s="49" t="s">
        <v>2350</v>
      </c>
      <c r="C7201" s="49" t="s">
        <v>12023</v>
      </c>
      <c r="D7201" s="49" t="s">
        <v>2352</v>
      </c>
      <c r="E7201" s="49" t="s">
        <v>3633</v>
      </c>
      <c r="F7201" s="49" t="s">
        <v>3634</v>
      </c>
      <c r="G7201" s="49" t="n">
        <v>0</v>
      </c>
      <c r="H7201" s="0" t="n">
        <v>0</v>
      </c>
      <c r="M7201" s="51" t="s">
        <v>3648</v>
      </c>
      <c r="N7201" s="49" t="n">
        <v>0</v>
      </c>
      <c r="O7201" s="53" t="n">
        <v>45986.5813310185</v>
      </c>
      <c r="P7201" s="53" t="n">
        <v>46040.6090393519</v>
      </c>
      <c r="Q7201" s="53" t="n">
        <v>45986.5813310185</v>
      </c>
      <c r="R7201" s="0" t="n">
        <v>0</v>
      </c>
      <c r="S7201" s="51" t="s">
        <v>2356</v>
      </c>
      <c r="T7201" s="51" t="s">
        <v>2356</v>
      </c>
      <c r="U7201" s="51" t="s">
        <v>3633</v>
      </c>
      <c r="V7201" s="51" t="s">
        <v>2357</v>
      </c>
      <c r="W7201" s="51" t="s">
        <v>8313</v>
      </c>
      <c r="X7201" s="51" t="s">
        <v>2359</v>
      </c>
    </row>
    <row r="7202" customFormat="false" ht="14.25" hidden="true" customHeight="false" outlineLevel="0" collapsed="false">
      <c r="A7202" s="49" t="s">
        <v>2349</v>
      </c>
      <c r="B7202" s="49" t="s">
        <v>2350</v>
      </c>
      <c r="C7202" s="49" t="s">
        <v>12024</v>
      </c>
      <c r="D7202" s="49" t="s">
        <v>2352</v>
      </c>
      <c r="E7202" s="49" t="s">
        <v>3633</v>
      </c>
      <c r="F7202" s="49" t="s">
        <v>3634</v>
      </c>
      <c r="G7202" s="49" t="n">
        <v>0</v>
      </c>
      <c r="H7202" s="0" t="n">
        <v>0</v>
      </c>
      <c r="M7202" s="51" t="s">
        <v>3648</v>
      </c>
      <c r="N7202" s="49" t="n">
        <v>0</v>
      </c>
      <c r="O7202" s="53" t="n">
        <v>45986.5817939815</v>
      </c>
      <c r="P7202" s="53" t="n">
        <v>46035.5917708333</v>
      </c>
      <c r="Q7202" s="53" t="n">
        <v>45986.5817939815</v>
      </c>
      <c r="R7202" s="0" t="n">
        <v>0</v>
      </c>
      <c r="S7202" s="51" t="s">
        <v>2356</v>
      </c>
      <c r="T7202" s="51" t="s">
        <v>2356</v>
      </c>
      <c r="U7202" s="51" t="s">
        <v>3633</v>
      </c>
      <c r="V7202" s="51" t="s">
        <v>2357</v>
      </c>
      <c r="W7202" s="51" t="s">
        <v>7088</v>
      </c>
      <c r="X7202" s="51" t="s">
        <v>2359</v>
      </c>
    </row>
    <row r="7203" customFormat="false" ht="14.25" hidden="true" customHeight="false" outlineLevel="0" collapsed="false">
      <c r="A7203" s="49" t="s">
        <v>2349</v>
      </c>
      <c r="B7203" s="49" t="s">
        <v>2350</v>
      </c>
      <c r="C7203" s="49" t="s">
        <v>12025</v>
      </c>
      <c r="D7203" s="49" t="s">
        <v>2352</v>
      </c>
      <c r="E7203" s="49" t="s">
        <v>3633</v>
      </c>
      <c r="F7203" s="49" t="s">
        <v>3634</v>
      </c>
      <c r="G7203" s="49" t="n">
        <v>0</v>
      </c>
      <c r="H7203" s="0" t="n">
        <v>0</v>
      </c>
      <c r="M7203" s="51" t="s">
        <v>3648</v>
      </c>
      <c r="N7203" s="49" t="n">
        <v>0</v>
      </c>
      <c r="O7203" s="53" t="n">
        <v>45986.5821064815</v>
      </c>
      <c r="P7203" s="53" t="n">
        <v>46029.4083449074</v>
      </c>
      <c r="Q7203" s="53" t="n">
        <v>45986.5821064815</v>
      </c>
      <c r="R7203" s="0" t="n">
        <v>0</v>
      </c>
      <c r="S7203" s="51" t="s">
        <v>2356</v>
      </c>
      <c r="T7203" s="51" t="s">
        <v>2356</v>
      </c>
      <c r="U7203" s="51" t="s">
        <v>3633</v>
      </c>
      <c r="V7203" s="51" t="s">
        <v>2357</v>
      </c>
      <c r="W7203" s="51" t="s">
        <v>5414</v>
      </c>
      <c r="X7203" s="51" t="s">
        <v>2359</v>
      </c>
    </row>
    <row r="7204" customFormat="false" ht="14.25" hidden="true" customHeight="false" outlineLevel="0" collapsed="false">
      <c r="A7204" s="49" t="s">
        <v>2349</v>
      </c>
      <c r="B7204" s="49" t="s">
        <v>2350</v>
      </c>
      <c r="C7204" s="49" t="s">
        <v>12026</v>
      </c>
      <c r="D7204" s="49" t="s">
        <v>2352</v>
      </c>
      <c r="E7204" s="49" t="s">
        <v>3633</v>
      </c>
      <c r="F7204" s="49" t="s">
        <v>3634</v>
      </c>
      <c r="G7204" s="49" t="n">
        <v>0</v>
      </c>
      <c r="H7204" s="0" t="n">
        <v>0</v>
      </c>
      <c r="M7204" s="51" t="s">
        <v>3648</v>
      </c>
      <c r="N7204" s="49" t="n">
        <v>0</v>
      </c>
      <c r="O7204" s="53" t="n">
        <v>45986.5824768519</v>
      </c>
      <c r="P7204" s="53" t="n">
        <v>46035.5918981481</v>
      </c>
      <c r="Q7204" s="53" t="n">
        <v>45986.5824768519</v>
      </c>
      <c r="R7204" s="0" t="n">
        <v>0</v>
      </c>
      <c r="S7204" s="51" t="s">
        <v>2356</v>
      </c>
      <c r="T7204" s="51" t="s">
        <v>2356</v>
      </c>
      <c r="U7204" s="51" t="s">
        <v>3633</v>
      </c>
      <c r="V7204" s="51" t="s">
        <v>2357</v>
      </c>
      <c r="W7204" s="51" t="s">
        <v>12027</v>
      </c>
      <c r="X7204" s="51" t="s">
        <v>2359</v>
      </c>
    </row>
    <row r="7205" customFormat="false" ht="14.25" hidden="true" customHeight="false" outlineLevel="0" collapsed="false">
      <c r="A7205" s="49" t="s">
        <v>2349</v>
      </c>
      <c r="B7205" s="49" t="s">
        <v>2350</v>
      </c>
      <c r="C7205" s="49" t="s">
        <v>12028</v>
      </c>
      <c r="D7205" s="49" t="s">
        <v>2352</v>
      </c>
      <c r="E7205" s="49" t="s">
        <v>3633</v>
      </c>
      <c r="F7205" s="49" t="s">
        <v>3634</v>
      </c>
      <c r="G7205" s="49" t="n">
        <v>0</v>
      </c>
      <c r="H7205" s="0" t="n">
        <v>0</v>
      </c>
      <c r="M7205" s="51" t="s">
        <v>3648</v>
      </c>
      <c r="N7205" s="49" t="n">
        <v>0</v>
      </c>
      <c r="O7205" s="53" t="n">
        <v>45986.5828703704</v>
      </c>
      <c r="P7205" s="53" t="n">
        <v>46035.5916087963</v>
      </c>
      <c r="Q7205" s="53" t="n">
        <v>45986.5828703704</v>
      </c>
      <c r="R7205" s="0" t="n">
        <v>0</v>
      </c>
      <c r="S7205" s="51" t="s">
        <v>2356</v>
      </c>
      <c r="T7205" s="51" t="s">
        <v>2356</v>
      </c>
      <c r="U7205" s="51" t="s">
        <v>3633</v>
      </c>
      <c r="V7205" s="51" t="s">
        <v>2357</v>
      </c>
      <c r="W7205" s="51" t="s">
        <v>12029</v>
      </c>
      <c r="X7205" s="51" t="s">
        <v>2359</v>
      </c>
    </row>
    <row r="7206" customFormat="false" ht="14.25" hidden="true" customHeight="false" outlineLevel="0" collapsed="false">
      <c r="A7206" s="49" t="s">
        <v>2349</v>
      </c>
      <c r="B7206" s="49" t="s">
        <v>2350</v>
      </c>
      <c r="C7206" s="49" t="s">
        <v>12030</v>
      </c>
      <c r="D7206" s="49" t="s">
        <v>2352</v>
      </c>
      <c r="E7206" s="49" t="s">
        <v>3633</v>
      </c>
      <c r="F7206" s="49" t="s">
        <v>3634</v>
      </c>
      <c r="G7206" s="49" t="n">
        <v>0</v>
      </c>
      <c r="H7206" s="0" t="n">
        <v>0</v>
      </c>
      <c r="M7206" s="51" t="s">
        <v>3648</v>
      </c>
      <c r="N7206" s="49" t="n">
        <v>0</v>
      </c>
      <c r="O7206" s="53" t="n">
        <v>45986.5833217593</v>
      </c>
      <c r="P7206" s="53" t="n">
        <v>46029.4087847222</v>
      </c>
      <c r="Q7206" s="53" t="n">
        <v>45986.5833217593</v>
      </c>
      <c r="R7206" s="0" t="n">
        <v>0</v>
      </c>
      <c r="S7206" s="51" t="s">
        <v>2356</v>
      </c>
      <c r="T7206" s="51" t="s">
        <v>2356</v>
      </c>
      <c r="U7206" s="51" t="s">
        <v>3633</v>
      </c>
      <c r="V7206" s="51" t="s">
        <v>2357</v>
      </c>
      <c r="W7206" s="51" t="s">
        <v>4010</v>
      </c>
      <c r="X7206" s="51" t="s">
        <v>2359</v>
      </c>
    </row>
    <row r="7207" customFormat="false" ht="14.25" hidden="true" customHeight="false" outlineLevel="0" collapsed="false">
      <c r="A7207" s="49" t="s">
        <v>2349</v>
      </c>
      <c r="B7207" s="49" t="s">
        <v>2350</v>
      </c>
      <c r="C7207" s="49" t="s">
        <v>12031</v>
      </c>
      <c r="D7207" s="49" t="s">
        <v>2352</v>
      </c>
      <c r="E7207" s="49" t="s">
        <v>3633</v>
      </c>
      <c r="F7207" s="49" t="s">
        <v>3634</v>
      </c>
      <c r="G7207" s="49" t="n">
        <v>0</v>
      </c>
      <c r="H7207" s="0" t="n">
        <v>0</v>
      </c>
      <c r="M7207" s="51" t="s">
        <v>3648</v>
      </c>
      <c r="N7207" s="49" t="n">
        <v>0</v>
      </c>
      <c r="O7207" s="53" t="n">
        <v>45986.5849189815</v>
      </c>
      <c r="P7207" s="53" t="n">
        <v>46035.5908449074</v>
      </c>
      <c r="Q7207" s="53" t="n">
        <v>45986.5849189815</v>
      </c>
      <c r="R7207" s="0" t="n">
        <v>0</v>
      </c>
      <c r="S7207" s="51" t="s">
        <v>2356</v>
      </c>
      <c r="T7207" s="51" t="s">
        <v>2356</v>
      </c>
      <c r="U7207" s="51" t="s">
        <v>3633</v>
      </c>
      <c r="V7207" s="51" t="s">
        <v>2357</v>
      </c>
      <c r="W7207" s="51" t="s">
        <v>7245</v>
      </c>
      <c r="X7207" s="51" t="s">
        <v>2359</v>
      </c>
    </row>
    <row r="7208" customFormat="false" ht="14.25" hidden="true" customHeight="false" outlineLevel="0" collapsed="false">
      <c r="A7208" s="49" t="s">
        <v>2349</v>
      </c>
      <c r="B7208" s="49" t="s">
        <v>2350</v>
      </c>
      <c r="C7208" s="49" t="s">
        <v>12032</v>
      </c>
      <c r="D7208" s="49" t="s">
        <v>2352</v>
      </c>
      <c r="E7208" s="49" t="s">
        <v>3633</v>
      </c>
      <c r="F7208" s="49" t="s">
        <v>3634</v>
      </c>
      <c r="G7208" s="49" t="n">
        <v>0</v>
      </c>
      <c r="H7208" s="0" t="n">
        <v>0</v>
      </c>
      <c r="M7208" s="51" t="s">
        <v>3648</v>
      </c>
      <c r="N7208" s="49" t="n">
        <v>0</v>
      </c>
      <c r="O7208" s="53" t="n">
        <v>45986.5853587963</v>
      </c>
      <c r="P7208" s="53" t="n">
        <v>46035.5906597222</v>
      </c>
      <c r="Q7208" s="53" t="n">
        <v>45986.5853587963</v>
      </c>
      <c r="R7208" s="0" t="n">
        <v>0</v>
      </c>
      <c r="S7208" s="51" t="s">
        <v>2356</v>
      </c>
      <c r="T7208" s="51" t="s">
        <v>2356</v>
      </c>
      <c r="U7208" s="51" t="s">
        <v>3633</v>
      </c>
      <c r="V7208" s="51" t="s">
        <v>2357</v>
      </c>
      <c r="W7208" s="51" t="s">
        <v>12033</v>
      </c>
      <c r="X7208" s="51" t="s">
        <v>2359</v>
      </c>
    </row>
    <row r="7209" customFormat="false" ht="14.25" hidden="true" customHeight="false" outlineLevel="0" collapsed="false">
      <c r="A7209" s="49" t="s">
        <v>2349</v>
      </c>
      <c r="B7209" s="49" t="s">
        <v>2350</v>
      </c>
      <c r="C7209" s="49" t="s">
        <v>12034</v>
      </c>
      <c r="D7209" s="49" t="s">
        <v>2352</v>
      </c>
      <c r="E7209" s="49" t="s">
        <v>3633</v>
      </c>
      <c r="F7209" s="49" t="s">
        <v>3634</v>
      </c>
      <c r="G7209" s="49" t="n">
        <v>0</v>
      </c>
      <c r="H7209" s="0" t="n">
        <v>0</v>
      </c>
      <c r="M7209" s="51" t="s">
        <v>3648</v>
      </c>
      <c r="N7209" s="49" t="n">
        <v>0</v>
      </c>
      <c r="O7209" s="53" t="n">
        <v>45986.5864583333</v>
      </c>
      <c r="P7209" s="53" t="n">
        <v>46040.6093171296</v>
      </c>
      <c r="Q7209" s="53" t="n">
        <v>45986.5864583333</v>
      </c>
      <c r="R7209" s="0" t="n">
        <v>0</v>
      </c>
      <c r="S7209" s="51" t="s">
        <v>2356</v>
      </c>
      <c r="T7209" s="51" t="s">
        <v>2356</v>
      </c>
      <c r="U7209" s="51" t="s">
        <v>3633</v>
      </c>
      <c r="V7209" s="51" t="s">
        <v>2357</v>
      </c>
      <c r="W7209" s="51" t="s">
        <v>5134</v>
      </c>
      <c r="X7209" s="51" t="s">
        <v>2359</v>
      </c>
    </row>
    <row r="7210" customFormat="false" ht="14.25" hidden="true" customHeight="false" outlineLevel="0" collapsed="false">
      <c r="A7210" s="49" t="s">
        <v>2349</v>
      </c>
      <c r="B7210" s="49" t="s">
        <v>2350</v>
      </c>
      <c r="C7210" s="49" t="s">
        <v>12035</v>
      </c>
      <c r="D7210" s="49" t="s">
        <v>2352</v>
      </c>
      <c r="E7210" s="49" t="s">
        <v>3633</v>
      </c>
      <c r="F7210" s="49" t="s">
        <v>3634</v>
      </c>
      <c r="G7210" s="49" t="n">
        <v>0</v>
      </c>
      <c r="H7210" s="0" t="n">
        <v>0</v>
      </c>
      <c r="M7210" s="51" t="s">
        <v>3648</v>
      </c>
      <c r="N7210" s="49" t="n">
        <v>0</v>
      </c>
      <c r="O7210" s="53" t="n">
        <v>45986.5868171296</v>
      </c>
      <c r="P7210" s="53" t="n">
        <v>46040.6095949074</v>
      </c>
      <c r="Q7210" s="53" t="n">
        <v>45986.5868171296</v>
      </c>
      <c r="R7210" s="0" t="n">
        <v>0</v>
      </c>
      <c r="S7210" s="51" t="s">
        <v>2356</v>
      </c>
      <c r="T7210" s="51" t="s">
        <v>2356</v>
      </c>
      <c r="U7210" s="51" t="s">
        <v>3633</v>
      </c>
      <c r="V7210" s="51" t="s">
        <v>2357</v>
      </c>
      <c r="W7210" s="51" t="s">
        <v>10405</v>
      </c>
      <c r="X7210" s="51" t="s">
        <v>2359</v>
      </c>
    </row>
    <row r="7211" customFormat="false" ht="14.25" hidden="true" customHeight="false" outlineLevel="0" collapsed="false">
      <c r="A7211" s="49" t="s">
        <v>2349</v>
      </c>
      <c r="B7211" s="49" t="s">
        <v>2350</v>
      </c>
      <c r="C7211" s="49" t="s">
        <v>12036</v>
      </c>
      <c r="D7211" s="49" t="s">
        <v>2352</v>
      </c>
      <c r="E7211" s="49" t="s">
        <v>3633</v>
      </c>
      <c r="F7211" s="49" t="s">
        <v>3634</v>
      </c>
      <c r="G7211" s="49" t="n">
        <v>0</v>
      </c>
      <c r="H7211" s="0" t="n">
        <v>0</v>
      </c>
      <c r="M7211" s="51" t="s">
        <v>3648</v>
      </c>
      <c r="N7211" s="49" t="n">
        <v>0</v>
      </c>
      <c r="O7211" s="53" t="n">
        <v>45986.5874074074</v>
      </c>
      <c r="P7211" s="53" t="n">
        <v>46046.5450694444</v>
      </c>
      <c r="Q7211" s="53" t="n">
        <v>45986.5874074074</v>
      </c>
      <c r="R7211" s="0" t="n">
        <v>0</v>
      </c>
      <c r="S7211" s="51" t="s">
        <v>2356</v>
      </c>
      <c r="T7211" s="51" t="s">
        <v>2356</v>
      </c>
      <c r="U7211" s="51" t="s">
        <v>3633</v>
      </c>
      <c r="V7211" s="51" t="s">
        <v>2357</v>
      </c>
      <c r="W7211" s="51" t="s">
        <v>12037</v>
      </c>
      <c r="X7211" s="51" t="s">
        <v>2359</v>
      </c>
    </row>
    <row r="7212" customFormat="false" ht="14.25" hidden="true" customHeight="false" outlineLevel="0" collapsed="false">
      <c r="A7212" s="49" t="s">
        <v>2349</v>
      </c>
      <c r="B7212" s="49" t="s">
        <v>2350</v>
      </c>
      <c r="C7212" s="49" t="s">
        <v>12038</v>
      </c>
      <c r="D7212" s="49" t="s">
        <v>2352</v>
      </c>
      <c r="E7212" s="49" t="s">
        <v>3633</v>
      </c>
      <c r="F7212" s="49" t="s">
        <v>3634</v>
      </c>
      <c r="G7212" s="49" t="n">
        <v>0</v>
      </c>
      <c r="H7212" s="0" t="n">
        <v>0</v>
      </c>
      <c r="M7212" s="51" t="s">
        <v>3648</v>
      </c>
      <c r="N7212" s="49" t="n">
        <v>0</v>
      </c>
      <c r="O7212" s="53" t="n">
        <v>45986.5881365741</v>
      </c>
      <c r="P7212" s="53" t="n">
        <v>46034.4784027778</v>
      </c>
      <c r="Q7212" s="53" t="n">
        <v>45986.5881365741</v>
      </c>
      <c r="R7212" s="0" t="n">
        <v>0</v>
      </c>
      <c r="S7212" s="51" t="s">
        <v>2356</v>
      </c>
      <c r="T7212" s="51" t="s">
        <v>2356</v>
      </c>
      <c r="U7212" s="51" t="s">
        <v>3633</v>
      </c>
      <c r="V7212" s="51" t="s">
        <v>2357</v>
      </c>
      <c r="W7212" s="51" t="s">
        <v>10221</v>
      </c>
      <c r="X7212" s="51" t="s">
        <v>2359</v>
      </c>
    </row>
    <row r="7213" customFormat="false" ht="14.25" hidden="true" customHeight="false" outlineLevel="0" collapsed="false">
      <c r="A7213" s="49" t="s">
        <v>2349</v>
      </c>
      <c r="B7213" s="49" t="s">
        <v>2350</v>
      </c>
      <c r="C7213" s="49" t="s">
        <v>12039</v>
      </c>
      <c r="D7213" s="49" t="s">
        <v>2352</v>
      </c>
      <c r="E7213" s="49" t="s">
        <v>4124</v>
      </c>
      <c r="F7213" s="49" t="s">
        <v>4125</v>
      </c>
      <c r="G7213" s="49" t="n">
        <v>0</v>
      </c>
      <c r="H7213" s="0" t="n">
        <v>0</v>
      </c>
      <c r="M7213" s="51" t="s">
        <v>12040</v>
      </c>
      <c r="N7213" s="49" t="n">
        <v>0</v>
      </c>
      <c r="O7213" s="53" t="n">
        <v>45973.5867592593</v>
      </c>
      <c r="P7213" s="53" t="n">
        <v>45974.6037152778</v>
      </c>
      <c r="Q7213" s="53" t="n">
        <v>45973.5867592593</v>
      </c>
      <c r="R7213" s="0" t="n">
        <v>0</v>
      </c>
      <c r="S7213" s="51" t="s">
        <v>2356</v>
      </c>
      <c r="T7213" s="51" t="s">
        <v>2356</v>
      </c>
      <c r="U7213" s="51" t="s">
        <v>4124</v>
      </c>
      <c r="V7213" s="51" t="s">
        <v>2365</v>
      </c>
      <c r="W7213" s="51" t="s">
        <v>10407</v>
      </c>
      <c r="X7213" s="51" t="s">
        <v>2359</v>
      </c>
    </row>
    <row r="7214" customFormat="false" ht="14.25" hidden="true" customHeight="false" outlineLevel="0" collapsed="false">
      <c r="A7214" s="49" t="s">
        <v>2349</v>
      </c>
      <c r="B7214" s="49" t="s">
        <v>2350</v>
      </c>
      <c r="C7214" s="49" t="s">
        <v>12041</v>
      </c>
      <c r="D7214" s="49" t="s">
        <v>2352</v>
      </c>
      <c r="E7214" s="49" t="s">
        <v>4124</v>
      </c>
      <c r="F7214" s="49" t="s">
        <v>4125</v>
      </c>
      <c r="G7214" s="49" t="n">
        <v>0</v>
      </c>
      <c r="H7214" s="0" t="n">
        <v>0</v>
      </c>
      <c r="M7214" s="51" t="s">
        <v>12040</v>
      </c>
      <c r="N7214" s="49" t="n">
        <v>0</v>
      </c>
      <c r="O7214" s="53" t="n">
        <v>45973.5862037037</v>
      </c>
      <c r="P7214" s="53" t="n">
        <v>45974.6366666667</v>
      </c>
      <c r="Q7214" s="53" t="n">
        <v>45973.5862037037</v>
      </c>
      <c r="R7214" s="0" t="n">
        <v>0</v>
      </c>
      <c r="S7214" s="51" t="s">
        <v>2356</v>
      </c>
      <c r="T7214" s="51" t="s">
        <v>2356</v>
      </c>
      <c r="U7214" s="51" t="s">
        <v>4124</v>
      </c>
      <c r="V7214" s="51" t="s">
        <v>2365</v>
      </c>
      <c r="W7214" s="51" t="s">
        <v>10407</v>
      </c>
      <c r="X7214" s="51" t="s">
        <v>2359</v>
      </c>
    </row>
    <row r="7215" customFormat="false" ht="14.25" hidden="true" customHeight="false" outlineLevel="0" collapsed="false">
      <c r="A7215" s="49" t="s">
        <v>2349</v>
      </c>
      <c r="B7215" s="49" t="s">
        <v>2350</v>
      </c>
      <c r="C7215" s="49" t="s">
        <v>12042</v>
      </c>
      <c r="D7215" s="49" t="s">
        <v>2352</v>
      </c>
      <c r="E7215" s="49" t="s">
        <v>4124</v>
      </c>
      <c r="F7215" s="49" t="s">
        <v>4125</v>
      </c>
      <c r="G7215" s="49" t="n">
        <v>0</v>
      </c>
      <c r="H7215" s="0" t="n">
        <v>0</v>
      </c>
      <c r="M7215" s="51" t="s">
        <v>12040</v>
      </c>
      <c r="N7215" s="49" t="n">
        <v>0</v>
      </c>
      <c r="O7215" s="53" t="n">
        <v>45973.5865509259</v>
      </c>
      <c r="P7215" s="53" t="n">
        <v>45974.6044328704</v>
      </c>
      <c r="Q7215" s="53" t="n">
        <v>45973.5865509259</v>
      </c>
      <c r="R7215" s="0" t="n">
        <v>0</v>
      </c>
      <c r="S7215" s="51" t="s">
        <v>2356</v>
      </c>
      <c r="T7215" s="51" t="s">
        <v>2356</v>
      </c>
      <c r="U7215" s="51" t="s">
        <v>4124</v>
      </c>
      <c r="V7215" s="51" t="s">
        <v>2365</v>
      </c>
      <c r="W7215" s="51" t="s">
        <v>10407</v>
      </c>
      <c r="X7215" s="51" t="s">
        <v>2359</v>
      </c>
    </row>
    <row r="7216" customFormat="false" ht="14.25" hidden="true" customHeight="false" outlineLevel="0" collapsed="false">
      <c r="A7216" s="49" t="s">
        <v>2349</v>
      </c>
      <c r="B7216" s="49" t="s">
        <v>2350</v>
      </c>
      <c r="C7216" s="49" t="s">
        <v>12043</v>
      </c>
      <c r="D7216" s="49" t="s">
        <v>2352</v>
      </c>
      <c r="E7216" s="49" t="str">
        <f aca="false">"12235549"</f>
        <v>12235549</v>
      </c>
      <c r="F7216" s="49" t="s">
        <v>10338</v>
      </c>
      <c r="G7216" s="49" t="n">
        <v>0</v>
      </c>
      <c r="H7216" s="0" t="n">
        <v>0</v>
      </c>
      <c r="M7216" s="51" t="s">
        <v>12044</v>
      </c>
      <c r="N7216" s="49" t="n">
        <v>0</v>
      </c>
      <c r="O7216" s="53" t="n">
        <v>45959.5955092593</v>
      </c>
      <c r="P7216" s="53" t="n">
        <v>45971.942974537</v>
      </c>
      <c r="Q7216" s="53" t="n">
        <v>45959.5955092593</v>
      </c>
      <c r="R7216" s="0" t="n">
        <v>0</v>
      </c>
      <c r="S7216" s="51" t="s">
        <v>2401</v>
      </c>
      <c r="T7216" s="51" t="s">
        <v>2401</v>
      </c>
      <c r="U7216" s="0" t="str">
        <f aca="false">"12235549"</f>
        <v>12235549</v>
      </c>
      <c r="V7216" s="51" t="s">
        <v>2365</v>
      </c>
      <c r="W7216" s="51" t="s">
        <v>3904</v>
      </c>
      <c r="X7216" s="51" t="s">
        <v>2359</v>
      </c>
    </row>
    <row r="7217" customFormat="false" ht="14.25" hidden="true" customHeight="false" outlineLevel="0" collapsed="false">
      <c r="A7217" s="49" t="s">
        <v>2349</v>
      </c>
      <c r="B7217" s="49" t="s">
        <v>2350</v>
      </c>
      <c r="C7217" s="49" t="s">
        <v>12045</v>
      </c>
      <c r="D7217" s="49" t="s">
        <v>2352</v>
      </c>
      <c r="E7217" s="49" t="str">
        <f aca="false">"12364453"</f>
        <v>12364453</v>
      </c>
      <c r="F7217" s="49" t="s">
        <v>10342</v>
      </c>
      <c r="G7217" s="49" t="n">
        <v>0</v>
      </c>
      <c r="H7217" s="0" t="n">
        <v>0</v>
      </c>
      <c r="M7217" s="51" t="s">
        <v>12044</v>
      </c>
      <c r="N7217" s="49" t="n">
        <v>0</v>
      </c>
      <c r="O7217" s="53" t="n">
        <v>45959.593599537</v>
      </c>
      <c r="P7217" s="53" t="n">
        <v>45972.9018981482</v>
      </c>
      <c r="Q7217" s="53" t="n">
        <v>45959.593599537</v>
      </c>
      <c r="R7217" s="0" t="n">
        <v>0</v>
      </c>
      <c r="S7217" s="51" t="s">
        <v>2401</v>
      </c>
      <c r="T7217" s="51" t="s">
        <v>2401</v>
      </c>
      <c r="U7217" s="0" t="str">
        <f aca="false">"12364453"</f>
        <v>12364453</v>
      </c>
      <c r="V7217" s="51" t="s">
        <v>2365</v>
      </c>
      <c r="W7217" s="51" t="s">
        <v>3904</v>
      </c>
      <c r="X7217" s="51" t="s">
        <v>2359</v>
      </c>
    </row>
    <row r="7218" customFormat="false" ht="14.25" hidden="true" customHeight="false" outlineLevel="0" collapsed="false">
      <c r="A7218" s="49" t="s">
        <v>2349</v>
      </c>
      <c r="B7218" s="49" t="s">
        <v>2350</v>
      </c>
      <c r="C7218" s="49" t="s">
        <v>12046</v>
      </c>
      <c r="D7218" s="49" t="s">
        <v>2352</v>
      </c>
      <c r="E7218" s="49" t="str">
        <f aca="false">"12362499"</f>
        <v>12362499</v>
      </c>
      <c r="F7218" s="49" t="s">
        <v>10332</v>
      </c>
      <c r="G7218" s="49" t="n">
        <v>0</v>
      </c>
      <c r="H7218" s="0" t="n">
        <v>0</v>
      </c>
      <c r="M7218" s="51" t="s">
        <v>12044</v>
      </c>
      <c r="N7218" s="49" t="n">
        <v>0</v>
      </c>
      <c r="O7218" s="53" t="n">
        <v>45959.5946643519</v>
      </c>
      <c r="P7218" s="53" t="n">
        <v>45972.9019907407</v>
      </c>
      <c r="Q7218" s="53" t="n">
        <v>45959.5946643519</v>
      </c>
      <c r="R7218" s="0" t="n">
        <v>0</v>
      </c>
      <c r="S7218" s="51" t="s">
        <v>2401</v>
      </c>
      <c r="T7218" s="51" t="s">
        <v>2401</v>
      </c>
      <c r="U7218" s="0" t="str">
        <f aca="false">"12362499"</f>
        <v>12362499</v>
      </c>
      <c r="V7218" s="51" t="s">
        <v>2365</v>
      </c>
      <c r="W7218" s="51" t="s">
        <v>3904</v>
      </c>
      <c r="X7218" s="51" t="s">
        <v>2359</v>
      </c>
    </row>
    <row r="7219" customFormat="false" ht="14.25" hidden="true" customHeight="false" outlineLevel="0" collapsed="false">
      <c r="A7219" s="49" t="s">
        <v>2349</v>
      </c>
      <c r="B7219" s="49" t="s">
        <v>2350</v>
      </c>
      <c r="C7219" s="49" t="s">
        <v>12047</v>
      </c>
      <c r="D7219" s="49" t="s">
        <v>2352</v>
      </c>
      <c r="E7219" s="49" t="str">
        <f aca="false">"12264240"</f>
        <v>12264240</v>
      </c>
      <c r="F7219" s="49" t="s">
        <v>10340</v>
      </c>
      <c r="G7219" s="49" t="n">
        <v>0</v>
      </c>
      <c r="H7219" s="0" t="n">
        <v>0</v>
      </c>
      <c r="M7219" s="51" t="s">
        <v>12044</v>
      </c>
      <c r="N7219" s="49" t="n">
        <v>0</v>
      </c>
      <c r="O7219" s="53" t="n">
        <v>45959.5928009259</v>
      </c>
      <c r="P7219" s="53" t="n">
        <v>45972.9020949074</v>
      </c>
      <c r="Q7219" s="53" t="n">
        <v>45959.5928009259</v>
      </c>
      <c r="R7219" s="0" t="n">
        <v>0</v>
      </c>
      <c r="S7219" s="51" t="s">
        <v>2401</v>
      </c>
      <c r="T7219" s="51" t="s">
        <v>2401</v>
      </c>
      <c r="U7219" s="0" t="str">
        <f aca="false">"12264240"</f>
        <v>12264240</v>
      </c>
      <c r="V7219" s="51" t="s">
        <v>2365</v>
      </c>
      <c r="W7219" s="51" t="s">
        <v>3904</v>
      </c>
      <c r="X7219" s="51" t="s">
        <v>2359</v>
      </c>
    </row>
    <row r="7220" customFormat="false" ht="14.25" hidden="true" customHeight="false" outlineLevel="0" collapsed="false">
      <c r="A7220" s="49" t="s">
        <v>2349</v>
      </c>
      <c r="B7220" s="49" t="s">
        <v>2350</v>
      </c>
      <c r="C7220" s="49" t="s">
        <v>12048</v>
      </c>
      <c r="D7220" s="49" t="s">
        <v>2352</v>
      </c>
      <c r="E7220" s="49" t="str">
        <f aca="false">"12505166"</f>
        <v>12505166</v>
      </c>
      <c r="F7220" s="49" t="s">
        <v>10336</v>
      </c>
      <c r="G7220" s="49" t="n">
        <v>0</v>
      </c>
      <c r="H7220" s="0" t="n">
        <v>0</v>
      </c>
      <c r="M7220" s="51" t="s">
        <v>12044</v>
      </c>
      <c r="N7220" s="49" t="n">
        <v>0</v>
      </c>
      <c r="O7220" s="53" t="n">
        <v>45959.5922685185</v>
      </c>
      <c r="P7220" s="53" t="n">
        <v>45972.9017824074</v>
      </c>
      <c r="Q7220" s="53" t="n">
        <v>45959.5922685185</v>
      </c>
      <c r="R7220" s="0" t="n">
        <v>0</v>
      </c>
      <c r="S7220" s="51" t="s">
        <v>2401</v>
      </c>
      <c r="T7220" s="51" t="s">
        <v>2401</v>
      </c>
      <c r="U7220" s="0" t="str">
        <f aca="false">"12505166"</f>
        <v>12505166</v>
      </c>
      <c r="V7220" s="51" t="s">
        <v>2365</v>
      </c>
      <c r="W7220" s="51" t="s">
        <v>3904</v>
      </c>
      <c r="X7220" s="51" t="s">
        <v>2359</v>
      </c>
    </row>
    <row r="7221" customFormat="false" ht="14.25" hidden="true" customHeight="false" outlineLevel="0" collapsed="false">
      <c r="A7221" s="49" t="s">
        <v>2349</v>
      </c>
      <c r="B7221" s="49" t="s">
        <v>2350</v>
      </c>
      <c r="C7221" s="49" t="s">
        <v>12049</v>
      </c>
      <c r="D7221" s="49" t="s">
        <v>2352</v>
      </c>
      <c r="E7221" s="49" t="str">
        <f aca="false">"5060175133274"</f>
        <v>5060175133274</v>
      </c>
      <c r="F7221" s="49" t="s">
        <v>5130</v>
      </c>
      <c r="G7221" s="49" t="n">
        <v>0</v>
      </c>
      <c r="H7221" s="0" t="n">
        <v>0</v>
      </c>
      <c r="M7221" s="51" t="s">
        <v>12050</v>
      </c>
      <c r="N7221" s="49" t="n">
        <v>0</v>
      </c>
      <c r="O7221" s="53" t="n">
        <v>45973.5885300926</v>
      </c>
      <c r="P7221" s="53" t="n">
        <v>45998.4488541667</v>
      </c>
      <c r="Q7221" s="53" t="n">
        <v>45973.5885300926</v>
      </c>
      <c r="R7221" s="0" t="n">
        <v>0</v>
      </c>
      <c r="S7221" s="51" t="s">
        <v>2401</v>
      </c>
      <c r="T7221" s="51" t="s">
        <v>2401</v>
      </c>
      <c r="U7221" s="0" t="str">
        <f aca="false">"5060175133274"</f>
        <v>5060175133274</v>
      </c>
      <c r="V7221" s="51" t="s">
        <v>2365</v>
      </c>
      <c r="W7221" s="51" t="s">
        <v>3829</v>
      </c>
      <c r="X7221" s="51" t="s">
        <v>2359</v>
      </c>
    </row>
    <row r="7222" customFormat="false" ht="14.25" hidden="true" customHeight="false" outlineLevel="0" collapsed="false">
      <c r="A7222" s="49" t="s">
        <v>2349</v>
      </c>
      <c r="B7222" s="49" t="s">
        <v>2350</v>
      </c>
      <c r="C7222" s="49" t="s">
        <v>12051</v>
      </c>
      <c r="D7222" s="49" t="s">
        <v>2352</v>
      </c>
      <c r="E7222" s="49" t="s">
        <v>8296</v>
      </c>
      <c r="F7222" s="49" t="s">
        <v>8297</v>
      </c>
      <c r="G7222" s="49" t="n">
        <v>0</v>
      </c>
      <c r="H7222" s="0" t="n">
        <v>0</v>
      </c>
      <c r="M7222" s="51" t="s">
        <v>12052</v>
      </c>
      <c r="N7222" s="49" t="n">
        <v>0</v>
      </c>
      <c r="O7222" s="53" t="n">
        <v>45981.5099421296</v>
      </c>
      <c r="P7222" s="53" t="n">
        <v>46046.543125</v>
      </c>
      <c r="Q7222" s="53" t="n">
        <v>45981.5099421296</v>
      </c>
      <c r="R7222" s="0" t="n">
        <v>0</v>
      </c>
      <c r="S7222" s="51" t="s">
        <v>2356</v>
      </c>
      <c r="T7222" s="51" t="s">
        <v>2356</v>
      </c>
      <c r="U7222" s="51" t="s">
        <v>8296</v>
      </c>
      <c r="V7222" s="51" t="s">
        <v>2357</v>
      </c>
      <c r="W7222" s="51" t="s">
        <v>3699</v>
      </c>
      <c r="X7222" s="51" t="s">
        <v>2359</v>
      </c>
    </row>
    <row r="7223" customFormat="false" ht="14.25" hidden="true" customHeight="false" outlineLevel="0" collapsed="false">
      <c r="A7223" s="49" t="s">
        <v>2349</v>
      </c>
      <c r="B7223" s="49" t="s">
        <v>2350</v>
      </c>
      <c r="C7223" s="49" t="s">
        <v>12053</v>
      </c>
      <c r="D7223" s="49" t="s">
        <v>2352</v>
      </c>
      <c r="E7223" s="49" t="str">
        <f aca="false">"12428864"</f>
        <v>12428864</v>
      </c>
      <c r="F7223" s="49" t="s">
        <v>4251</v>
      </c>
      <c r="G7223" s="49" t="n">
        <v>0</v>
      </c>
      <c r="H7223" s="0" t="n">
        <v>0</v>
      </c>
      <c r="M7223" s="51" t="s">
        <v>12054</v>
      </c>
      <c r="N7223" s="49" t="n">
        <v>0</v>
      </c>
      <c r="O7223" s="53" t="n">
        <v>45957.6511689815</v>
      </c>
      <c r="P7223" s="53" t="n">
        <v>45958.9241203704</v>
      </c>
      <c r="Q7223" s="53" t="n">
        <v>45957.6511689815</v>
      </c>
      <c r="R7223" s="0" t="n">
        <v>0</v>
      </c>
      <c r="S7223" s="51" t="s">
        <v>2401</v>
      </c>
      <c r="T7223" s="51" t="s">
        <v>2401</v>
      </c>
      <c r="U7223" s="0" t="str">
        <f aca="false">"12428864"</f>
        <v>12428864</v>
      </c>
      <c r="V7223" s="51" t="s">
        <v>2365</v>
      </c>
      <c r="W7223" s="51" t="s">
        <v>12055</v>
      </c>
      <c r="X7223" s="51" t="s">
        <v>2359</v>
      </c>
    </row>
    <row r="7224" customFormat="false" ht="14.25" hidden="true" customHeight="false" outlineLevel="0" collapsed="false">
      <c r="A7224" s="49" t="s">
        <v>2349</v>
      </c>
      <c r="B7224" s="49" t="s">
        <v>2350</v>
      </c>
      <c r="C7224" s="49" t="s">
        <v>12056</v>
      </c>
      <c r="D7224" s="49" t="s">
        <v>2352</v>
      </c>
      <c r="E7224" s="49" t="str">
        <f aca="false">"12428864"</f>
        <v>12428864</v>
      </c>
      <c r="F7224" s="49" t="s">
        <v>4251</v>
      </c>
      <c r="G7224" s="49" t="n">
        <v>0</v>
      </c>
      <c r="H7224" s="0" t="n">
        <v>0</v>
      </c>
      <c r="M7224" s="51" t="s">
        <v>12054</v>
      </c>
      <c r="N7224" s="49" t="n">
        <v>0</v>
      </c>
      <c r="O7224" s="53" t="n">
        <v>45957.6502199074</v>
      </c>
      <c r="P7224" s="53" t="n">
        <v>45958.9243055556</v>
      </c>
      <c r="Q7224" s="53" t="n">
        <v>45957.6502199074</v>
      </c>
      <c r="R7224" s="0" t="n">
        <v>0</v>
      </c>
      <c r="S7224" s="51" t="s">
        <v>2401</v>
      </c>
      <c r="T7224" s="51" t="s">
        <v>2401</v>
      </c>
      <c r="U7224" s="0" t="str">
        <f aca="false">"12428864"</f>
        <v>12428864</v>
      </c>
      <c r="V7224" s="51" t="s">
        <v>2365</v>
      </c>
      <c r="W7224" s="51" t="s">
        <v>12057</v>
      </c>
      <c r="X7224" s="51" t="s">
        <v>2359</v>
      </c>
    </row>
    <row r="7225" customFormat="false" ht="14.25" hidden="true" customHeight="false" outlineLevel="0" collapsed="false">
      <c r="A7225" s="49" t="s">
        <v>2349</v>
      </c>
      <c r="B7225" s="49" t="s">
        <v>2350</v>
      </c>
      <c r="C7225" s="49" t="s">
        <v>12058</v>
      </c>
      <c r="D7225" s="49" t="s">
        <v>2352</v>
      </c>
      <c r="E7225" s="49" t="str">
        <f aca="false">"12428864"</f>
        <v>12428864</v>
      </c>
      <c r="F7225" s="49" t="s">
        <v>4251</v>
      </c>
      <c r="G7225" s="49" t="n">
        <v>0</v>
      </c>
      <c r="H7225" s="0" t="n">
        <v>0</v>
      </c>
      <c r="M7225" s="51" t="s">
        <v>12054</v>
      </c>
      <c r="N7225" s="49" t="n">
        <v>0</v>
      </c>
      <c r="O7225" s="53" t="n">
        <v>45957.6500462963</v>
      </c>
      <c r="P7225" s="53" t="n">
        <v>45958.924224537</v>
      </c>
      <c r="Q7225" s="53" t="n">
        <v>45957.6500462963</v>
      </c>
      <c r="R7225" s="0" t="n">
        <v>0</v>
      </c>
      <c r="S7225" s="51" t="s">
        <v>2401</v>
      </c>
      <c r="T7225" s="51" t="s">
        <v>2401</v>
      </c>
      <c r="U7225" s="0" t="str">
        <f aca="false">"12428864"</f>
        <v>12428864</v>
      </c>
      <c r="V7225" s="51" t="s">
        <v>2365</v>
      </c>
      <c r="W7225" s="51" t="s">
        <v>12057</v>
      </c>
      <c r="X7225" s="51" t="s">
        <v>2359</v>
      </c>
    </row>
    <row r="7226" customFormat="false" ht="14.25" hidden="true" customHeight="false" outlineLevel="0" collapsed="false">
      <c r="A7226" s="49" t="s">
        <v>2349</v>
      </c>
      <c r="B7226" s="49" t="s">
        <v>2350</v>
      </c>
      <c r="C7226" s="49" t="s">
        <v>12059</v>
      </c>
      <c r="D7226" s="49" t="s">
        <v>2352</v>
      </c>
      <c r="E7226" s="49" t="str">
        <f aca="false">"051600003014"</f>
        <v>051600003014</v>
      </c>
      <c r="F7226" s="49" t="s">
        <v>5809</v>
      </c>
      <c r="G7226" s="49" t="n">
        <v>0</v>
      </c>
      <c r="H7226" s="0" t="n">
        <v>0</v>
      </c>
      <c r="M7226" s="51" t="s">
        <v>12060</v>
      </c>
      <c r="N7226" s="49" t="n">
        <v>0</v>
      </c>
      <c r="O7226" s="53" t="n">
        <v>45977.5855787037</v>
      </c>
      <c r="P7226" s="53" t="n">
        <v>46043.0773958333</v>
      </c>
      <c r="Q7226" s="53" t="n">
        <v>45977.5855787037</v>
      </c>
      <c r="R7226" s="0" t="n">
        <v>0</v>
      </c>
      <c r="S7226" s="51" t="s">
        <v>2401</v>
      </c>
      <c r="T7226" s="51" t="s">
        <v>2401</v>
      </c>
      <c r="U7226" s="0" t="str">
        <f aca="false">"051600003014"</f>
        <v>051600003014</v>
      </c>
      <c r="V7226" s="51" t="s">
        <v>2365</v>
      </c>
      <c r="W7226" s="51" t="s">
        <v>4949</v>
      </c>
      <c r="X7226" s="51" t="s">
        <v>2359</v>
      </c>
    </row>
    <row r="7227" customFormat="false" ht="14.25" hidden="true" customHeight="false" outlineLevel="0" collapsed="false">
      <c r="A7227" s="49" t="s">
        <v>2349</v>
      </c>
      <c r="B7227" s="49" t="s">
        <v>2350</v>
      </c>
      <c r="C7227" s="49" t="s">
        <v>12061</v>
      </c>
      <c r="D7227" s="49" t="s">
        <v>2352</v>
      </c>
      <c r="E7227" s="49" t="str">
        <f aca="false">"12452482"</f>
        <v>12452482</v>
      </c>
      <c r="F7227" s="49" t="s">
        <v>4179</v>
      </c>
      <c r="G7227" s="49" t="n">
        <v>0</v>
      </c>
      <c r="H7227" s="0" t="n">
        <v>0</v>
      </c>
      <c r="M7227" s="51" t="s">
        <v>12062</v>
      </c>
      <c r="N7227" s="49" t="n">
        <v>0</v>
      </c>
      <c r="O7227" s="53" t="n">
        <v>45897.6743402778</v>
      </c>
      <c r="P7227" s="53" t="n">
        <v>45904.9909490741</v>
      </c>
      <c r="Q7227" s="53" t="n">
        <v>45897.6743402778</v>
      </c>
      <c r="R7227" s="0" t="n">
        <v>0</v>
      </c>
      <c r="S7227" s="51" t="s">
        <v>2416</v>
      </c>
      <c r="T7227" s="51" t="s">
        <v>2416</v>
      </c>
      <c r="U7227" s="0" t="str">
        <f aca="false">"12452482"</f>
        <v>12452482</v>
      </c>
      <c r="V7227" s="51" t="s">
        <v>2365</v>
      </c>
      <c r="W7227" s="51" t="s">
        <v>4241</v>
      </c>
      <c r="X7227" s="51" t="s">
        <v>2359</v>
      </c>
    </row>
    <row r="7228" customFormat="false" ht="14.25" hidden="true" customHeight="false" outlineLevel="0" collapsed="false">
      <c r="A7228" s="49" t="s">
        <v>2349</v>
      </c>
      <c r="B7228" s="49" t="s">
        <v>2350</v>
      </c>
      <c r="C7228" s="49" t="s">
        <v>12063</v>
      </c>
      <c r="D7228" s="49" t="s">
        <v>2352</v>
      </c>
      <c r="E7228" s="49" t="str">
        <f aca="false">"12452482"</f>
        <v>12452482</v>
      </c>
      <c r="F7228" s="49" t="s">
        <v>4179</v>
      </c>
      <c r="G7228" s="49" t="n">
        <v>0</v>
      </c>
      <c r="H7228" s="0" t="n">
        <v>0</v>
      </c>
      <c r="M7228" s="51" t="s">
        <v>12062</v>
      </c>
      <c r="N7228" s="49" t="n">
        <v>0</v>
      </c>
      <c r="O7228" s="53" t="n">
        <v>45897.6756944444</v>
      </c>
      <c r="P7228" s="53" t="n">
        <v>45924.7506018519</v>
      </c>
      <c r="Q7228" s="53" t="n">
        <v>45897.6756944444</v>
      </c>
      <c r="R7228" s="0" t="n">
        <v>0</v>
      </c>
      <c r="S7228" s="51" t="s">
        <v>2416</v>
      </c>
      <c r="T7228" s="51" t="s">
        <v>2416</v>
      </c>
      <c r="U7228" s="0" t="str">
        <f aca="false">"12452482"</f>
        <v>12452482</v>
      </c>
      <c r="V7228" s="51" t="s">
        <v>2365</v>
      </c>
      <c r="W7228" s="51" t="s">
        <v>3824</v>
      </c>
      <c r="X7228" s="51" t="s">
        <v>2359</v>
      </c>
    </row>
    <row r="7229" customFormat="false" ht="14.25" hidden="true" customHeight="false" outlineLevel="0" collapsed="false">
      <c r="A7229" s="49" t="s">
        <v>2349</v>
      </c>
      <c r="B7229" s="49" t="s">
        <v>2350</v>
      </c>
      <c r="C7229" s="49" t="s">
        <v>12064</v>
      </c>
      <c r="D7229" s="49" t="s">
        <v>2352</v>
      </c>
      <c r="E7229" s="49" t="str">
        <f aca="false">"12393792"</f>
        <v>12393792</v>
      </c>
      <c r="F7229" s="49" t="s">
        <v>2368</v>
      </c>
      <c r="G7229" s="49" t="n">
        <v>0</v>
      </c>
      <c r="H7229" s="0" t="n">
        <v>0</v>
      </c>
      <c r="M7229" s="51" t="s">
        <v>12062</v>
      </c>
      <c r="N7229" s="49" t="n">
        <v>0</v>
      </c>
      <c r="O7229" s="53" t="n">
        <v>45897.6762037037</v>
      </c>
      <c r="P7229" s="53" t="n">
        <v>45910.9104513889</v>
      </c>
      <c r="Q7229" s="53" t="n">
        <v>45897.6762037037</v>
      </c>
      <c r="R7229" s="0" t="n">
        <v>0</v>
      </c>
      <c r="S7229" s="51" t="s">
        <v>2416</v>
      </c>
      <c r="T7229" s="51" t="s">
        <v>2416</v>
      </c>
      <c r="U7229" s="0" t="str">
        <f aca="false">"12393792"</f>
        <v>12393792</v>
      </c>
      <c r="V7229" s="51" t="s">
        <v>2365</v>
      </c>
      <c r="W7229" s="51" t="s">
        <v>7859</v>
      </c>
      <c r="X7229" s="51" t="s">
        <v>2359</v>
      </c>
    </row>
    <row r="7230" customFormat="false" ht="14.25" hidden="true" customHeight="false" outlineLevel="0" collapsed="false">
      <c r="A7230" s="49" t="s">
        <v>2349</v>
      </c>
      <c r="B7230" s="49" t="s">
        <v>2350</v>
      </c>
      <c r="C7230" s="49" t="s">
        <v>12065</v>
      </c>
      <c r="D7230" s="49" t="s">
        <v>2352</v>
      </c>
      <c r="E7230" s="49" t="str">
        <f aca="false">"5060175133274"</f>
        <v>5060175133274</v>
      </c>
      <c r="F7230" s="49" t="s">
        <v>5130</v>
      </c>
      <c r="G7230" s="49" t="n">
        <v>0</v>
      </c>
      <c r="H7230" s="0" t="n">
        <v>0</v>
      </c>
      <c r="M7230" s="51" t="s">
        <v>12066</v>
      </c>
      <c r="N7230" s="49" t="n">
        <v>0</v>
      </c>
      <c r="O7230" s="53" t="n">
        <v>45973.5881712963</v>
      </c>
      <c r="P7230" s="53" t="n">
        <v>45988.812662037</v>
      </c>
      <c r="Q7230" s="53" t="n">
        <v>45973.5881712963</v>
      </c>
      <c r="R7230" s="0" t="n">
        <v>0</v>
      </c>
      <c r="S7230" s="51" t="s">
        <v>2401</v>
      </c>
      <c r="T7230" s="51" t="s">
        <v>2401</v>
      </c>
      <c r="U7230" s="0" t="str">
        <f aca="false">"5060175133274"</f>
        <v>5060175133274</v>
      </c>
      <c r="V7230" s="51" t="s">
        <v>2365</v>
      </c>
      <c r="W7230" s="51" t="s">
        <v>3829</v>
      </c>
      <c r="X7230" s="51" t="s">
        <v>2359</v>
      </c>
    </row>
    <row r="7231" customFormat="false" ht="17.55" hidden="true" customHeight="false" outlineLevel="0" collapsed="false">
      <c r="A7231" s="49" t="s">
        <v>2349</v>
      </c>
      <c r="B7231" s="49" t="s">
        <v>2350</v>
      </c>
      <c r="C7231" s="49" t="s">
        <v>12067</v>
      </c>
      <c r="D7231" s="49" t="s">
        <v>2352</v>
      </c>
      <c r="E7231" s="49" t="str">
        <f aca="false">"6281024902554"</f>
        <v>6281024902554</v>
      </c>
      <c r="F7231" s="49" t="s">
        <v>4579</v>
      </c>
      <c r="G7231" s="49" t="n">
        <v>0</v>
      </c>
      <c r="H7231" s="0" t="n">
        <v>0</v>
      </c>
      <c r="M7231" s="51" t="s">
        <v>12068</v>
      </c>
      <c r="N7231" s="49" t="n">
        <v>0</v>
      </c>
      <c r="O7231" s="53" t="n">
        <v>45984.3655671296</v>
      </c>
      <c r="P7231" s="53" t="n">
        <v>46046.6422453704</v>
      </c>
      <c r="Q7231" s="53" t="n">
        <v>45984.3655671296</v>
      </c>
      <c r="R7231" s="0" t="n">
        <v>0</v>
      </c>
      <c r="S7231" s="51" t="s">
        <v>2356</v>
      </c>
      <c r="T7231" s="51" t="s">
        <v>2356</v>
      </c>
      <c r="U7231" s="0" t="str">
        <f aca="false">"6281024902554"</f>
        <v>6281024902554</v>
      </c>
      <c r="V7231" s="51" t="s">
        <v>2365</v>
      </c>
      <c r="W7231" s="51" t="s">
        <v>6534</v>
      </c>
      <c r="X7231" s="51" t="s">
        <v>2359</v>
      </c>
    </row>
    <row r="7232" customFormat="false" ht="17.55" hidden="true" customHeight="false" outlineLevel="0" collapsed="false">
      <c r="A7232" s="49" t="s">
        <v>2349</v>
      </c>
      <c r="B7232" s="49" t="s">
        <v>2350</v>
      </c>
      <c r="C7232" s="49" t="s">
        <v>12069</v>
      </c>
      <c r="D7232" s="49" t="s">
        <v>2352</v>
      </c>
      <c r="E7232" s="49" t="str">
        <f aca="false">"6281024902554"</f>
        <v>6281024902554</v>
      </c>
      <c r="F7232" s="49" t="s">
        <v>4579</v>
      </c>
      <c r="G7232" s="49" t="n">
        <v>0</v>
      </c>
      <c r="H7232" s="0" t="n">
        <v>0</v>
      </c>
      <c r="M7232" s="51" t="s">
        <v>12068</v>
      </c>
      <c r="N7232" s="49" t="n">
        <v>0</v>
      </c>
      <c r="O7232" s="53" t="n">
        <v>45984.3648032407</v>
      </c>
      <c r="P7232" s="53" t="n">
        <v>46055.4287615741</v>
      </c>
      <c r="Q7232" s="53" t="n">
        <v>45984.3648032407</v>
      </c>
      <c r="R7232" s="0" t="n">
        <v>0</v>
      </c>
      <c r="S7232" s="51" t="s">
        <v>2356</v>
      </c>
      <c r="T7232" s="51" t="s">
        <v>2356</v>
      </c>
      <c r="U7232" s="0" t="str">
        <f aca="false">"6281024902554"</f>
        <v>6281024902554</v>
      </c>
      <c r="V7232" s="51" t="s">
        <v>2365</v>
      </c>
      <c r="W7232" s="51" t="s">
        <v>7990</v>
      </c>
      <c r="X7232" s="51" t="s">
        <v>2359</v>
      </c>
    </row>
    <row r="7233" customFormat="false" ht="14.25" hidden="true" customHeight="false" outlineLevel="0" collapsed="false">
      <c r="A7233" s="49" t="s">
        <v>2349</v>
      </c>
      <c r="B7233" s="49" t="s">
        <v>2350</v>
      </c>
      <c r="C7233" s="49" t="s">
        <v>12070</v>
      </c>
      <c r="D7233" s="49" t="s">
        <v>2352</v>
      </c>
      <c r="E7233" s="49" t="s">
        <v>4012</v>
      </c>
      <c r="F7233" s="49" t="s">
        <v>4013</v>
      </c>
      <c r="G7233" s="49" t="n">
        <v>0</v>
      </c>
      <c r="H7233" s="0" t="n">
        <v>0</v>
      </c>
      <c r="M7233" s="51" t="s">
        <v>12071</v>
      </c>
      <c r="N7233" s="49" t="n">
        <v>0</v>
      </c>
      <c r="O7233" s="53" t="n">
        <v>45972.4917013889</v>
      </c>
      <c r="P7233" s="53" t="n">
        <v>46021.4980208333</v>
      </c>
      <c r="Q7233" s="53" t="n">
        <v>45972.4917013889</v>
      </c>
      <c r="R7233" s="0" t="n">
        <v>0</v>
      </c>
      <c r="S7233" s="51" t="s">
        <v>2401</v>
      </c>
      <c r="T7233" s="51" t="s">
        <v>2401</v>
      </c>
      <c r="U7233" s="51" t="s">
        <v>4012</v>
      </c>
      <c r="V7233" s="51" t="s">
        <v>2365</v>
      </c>
      <c r="W7233" s="51" t="s">
        <v>10714</v>
      </c>
      <c r="X7233" s="51" t="s">
        <v>2359</v>
      </c>
    </row>
    <row r="7234" customFormat="false" ht="14.25" hidden="true" customHeight="false" outlineLevel="0" collapsed="false">
      <c r="A7234" s="49" t="s">
        <v>2349</v>
      </c>
      <c r="B7234" s="49" t="s">
        <v>2350</v>
      </c>
      <c r="C7234" s="49" t="s">
        <v>12072</v>
      </c>
      <c r="D7234" s="49" t="s">
        <v>2352</v>
      </c>
      <c r="E7234" s="49" t="s">
        <v>4012</v>
      </c>
      <c r="F7234" s="49" t="s">
        <v>4013</v>
      </c>
      <c r="G7234" s="49" t="n">
        <v>0</v>
      </c>
      <c r="H7234" s="0" t="n">
        <v>0</v>
      </c>
      <c r="M7234" s="51" t="s">
        <v>12071</v>
      </c>
      <c r="N7234" s="49" t="n">
        <v>0</v>
      </c>
      <c r="O7234" s="53" t="n">
        <v>45972.491412037</v>
      </c>
      <c r="P7234" s="53" t="n">
        <v>46021.4936689815</v>
      </c>
      <c r="Q7234" s="53" t="n">
        <v>45972.491412037</v>
      </c>
      <c r="R7234" s="0" t="n">
        <v>0</v>
      </c>
      <c r="S7234" s="51" t="s">
        <v>2401</v>
      </c>
      <c r="T7234" s="51" t="s">
        <v>2401</v>
      </c>
      <c r="U7234" s="51" t="s">
        <v>4012</v>
      </c>
      <c r="V7234" s="51" t="s">
        <v>2365</v>
      </c>
      <c r="W7234" s="51" t="s">
        <v>9839</v>
      </c>
      <c r="X7234" s="51" t="s">
        <v>2359</v>
      </c>
    </row>
    <row r="7235" customFormat="false" ht="14.25" hidden="true" customHeight="false" outlineLevel="0" collapsed="false">
      <c r="A7235" s="49" t="s">
        <v>2349</v>
      </c>
      <c r="B7235" s="49" t="s">
        <v>2350</v>
      </c>
      <c r="C7235" s="49" t="s">
        <v>12073</v>
      </c>
      <c r="D7235" s="49" t="s">
        <v>2352</v>
      </c>
      <c r="E7235" s="49" t="s">
        <v>4012</v>
      </c>
      <c r="F7235" s="49" t="s">
        <v>4013</v>
      </c>
      <c r="G7235" s="49" t="n">
        <v>0</v>
      </c>
      <c r="H7235" s="0" t="n">
        <v>0</v>
      </c>
      <c r="M7235" s="51" t="s">
        <v>12071</v>
      </c>
      <c r="N7235" s="49" t="n">
        <v>0</v>
      </c>
      <c r="O7235" s="53" t="n">
        <v>45972.4871527778</v>
      </c>
      <c r="P7235" s="53" t="n">
        <v>45980.6789583333</v>
      </c>
      <c r="Q7235" s="53" t="n">
        <v>45972.4871527778</v>
      </c>
      <c r="R7235" s="0" t="n">
        <v>0</v>
      </c>
      <c r="S7235" s="51" t="s">
        <v>2401</v>
      </c>
      <c r="T7235" s="51" t="s">
        <v>2401</v>
      </c>
      <c r="U7235" s="51" t="s">
        <v>4012</v>
      </c>
      <c r="V7235" s="51" t="s">
        <v>2365</v>
      </c>
      <c r="W7235" s="51" t="s">
        <v>11051</v>
      </c>
      <c r="X7235" s="51" t="s">
        <v>2359</v>
      </c>
    </row>
    <row r="7236" customFormat="false" ht="14.25" hidden="true" customHeight="false" outlineLevel="0" collapsed="false">
      <c r="A7236" s="49" t="s">
        <v>2349</v>
      </c>
      <c r="B7236" s="49" t="s">
        <v>2350</v>
      </c>
      <c r="C7236" s="49" t="s">
        <v>12074</v>
      </c>
      <c r="D7236" s="49" t="s">
        <v>2352</v>
      </c>
      <c r="E7236" s="49" t="s">
        <v>4012</v>
      </c>
      <c r="F7236" s="49" t="s">
        <v>4013</v>
      </c>
      <c r="G7236" s="49" t="n">
        <v>0</v>
      </c>
      <c r="H7236" s="0" t="n">
        <v>0</v>
      </c>
      <c r="M7236" s="51" t="s">
        <v>12071</v>
      </c>
      <c r="N7236" s="49" t="n">
        <v>0</v>
      </c>
      <c r="O7236" s="53" t="n">
        <v>45972.4864583333</v>
      </c>
      <c r="P7236" s="53" t="n">
        <v>46021.4999074074</v>
      </c>
      <c r="Q7236" s="53" t="n">
        <v>45972.4864583333</v>
      </c>
      <c r="R7236" s="0" t="n">
        <v>0</v>
      </c>
      <c r="S7236" s="51" t="s">
        <v>2401</v>
      </c>
      <c r="T7236" s="51" t="s">
        <v>2401</v>
      </c>
      <c r="U7236" s="51" t="s">
        <v>4012</v>
      </c>
      <c r="V7236" s="51" t="s">
        <v>2365</v>
      </c>
      <c r="W7236" s="51" t="s">
        <v>8753</v>
      </c>
      <c r="X7236" s="51" t="s">
        <v>2359</v>
      </c>
    </row>
    <row r="7237" customFormat="false" ht="14.25" hidden="true" customHeight="false" outlineLevel="0" collapsed="false">
      <c r="A7237" s="49" t="s">
        <v>2349</v>
      </c>
      <c r="B7237" s="49" t="s">
        <v>2350</v>
      </c>
      <c r="C7237" s="49" t="s">
        <v>12075</v>
      </c>
      <c r="D7237" s="49" t="s">
        <v>2352</v>
      </c>
      <c r="E7237" s="49" t="s">
        <v>4012</v>
      </c>
      <c r="F7237" s="49" t="s">
        <v>4013</v>
      </c>
      <c r="G7237" s="49" t="n">
        <v>0</v>
      </c>
      <c r="H7237" s="0" t="n">
        <v>0</v>
      </c>
      <c r="M7237" s="51" t="s">
        <v>12071</v>
      </c>
      <c r="N7237" s="49" t="n">
        <v>0</v>
      </c>
      <c r="O7237" s="53" t="n">
        <v>45972.4861805556</v>
      </c>
      <c r="P7237" s="53" t="n">
        <v>45973.8919675926</v>
      </c>
      <c r="Q7237" s="53" t="n">
        <v>45972.4861805556</v>
      </c>
      <c r="R7237" s="0" t="n">
        <v>0</v>
      </c>
      <c r="S7237" s="51" t="s">
        <v>2401</v>
      </c>
      <c r="T7237" s="51" t="s">
        <v>2401</v>
      </c>
      <c r="U7237" s="51" t="s">
        <v>4012</v>
      </c>
      <c r="V7237" s="51" t="s">
        <v>2365</v>
      </c>
      <c r="W7237" s="51" t="s">
        <v>10757</v>
      </c>
      <c r="X7237" s="51" t="s">
        <v>2359</v>
      </c>
    </row>
    <row r="7238" customFormat="false" ht="14.25" hidden="true" customHeight="false" outlineLevel="0" collapsed="false">
      <c r="A7238" s="49" t="s">
        <v>2349</v>
      </c>
      <c r="B7238" s="49" t="s">
        <v>2350</v>
      </c>
      <c r="C7238" s="49" t="s">
        <v>12076</v>
      </c>
      <c r="D7238" s="49" t="s">
        <v>2352</v>
      </c>
      <c r="E7238" s="49" t="s">
        <v>4012</v>
      </c>
      <c r="F7238" s="49" t="s">
        <v>4013</v>
      </c>
      <c r="G7238" s="49" t="n">
        <v>0</v>
      </c>
      <c r="H7238" s="0" t="n">
        <v>0</v>
      </c>
      <c r="M7238" s="51" t="s">
        <v>12071</v>
      </c>
      <c r="N7238" s="49" t="n">
        <v>0</v>
      </c>
      <c r="O7238" s="53" t="n">
        <v>45972.4859259259</v>
      </c>
      <c r="P7238" s="53" t="n">
        <v>45973.892962963</v>
      </c>
      <c r="Q7238" s="53" t="n">
        <v>45972.4859259259</v>
      </c>
      <c r="R7238" s="0" t="n">
        <v>0</v>
      </c>
      <c r="S7238" s="51" t="s">
        <v>2401</v>
      </c>
      <c r="T7238" s="51" t="s">
        <v>2401</v>
      </c>
      <c r="U7238" s="51" t="s">
        <v>4012</v>
      </c>
      <c r="V7238" s="51" t="s">
        <v>2365</v>
      </c>
      <c r="W7238" s="51" t="s">
        <v>4227</v>
      </c>
      <c r="X7238" s="51" t="s">
        <v>2359</v>
      </c>
    </row>
    <row r="7239" customFormat="false" ht="14.25" hidden="true" customHeight="false" outlineLevel="0" collapsed="false">
      <c r="A7239" s="49" t="s">
        <v>2349</v>
      </c>
      <c r="B7239" s="49" t="s">
        <v>2350</v>
      </c>
      <c r="C7239" s="49" t="s">
        <v>12077</v>
      </c>
      <c r="D7239" s="49" t="s">
        <v>2352</v>
      </c>
      <c r="E7239" s="49" t="s">
        <v>4012</v>
      </c>
      <c r="F7239" s="49" t="s">
        <v>4013</v>
      </c>
      <c r="G7239" s="49" t="n">
        <v>0</v>
      </c>
      <c r="H7239" s="0" t="n">
        <v>0</v>
      </c>
      <c r="M7239" s="51" t="s">
        <v>12071</v>
      </c>
      <c r="N7239" s="49" t="n">
        <v>0</v>
      </c>
      <c r="O7239" s="53" t="n">
        <v>45972.4856481482</v>
      </c>
      <c r="P7239" s="53" t="n">
        <v>45973.8876967593</v>
      </c>
      <c r="Q7239" s="53" t="n">
        <v>45972.4856481482</v>
      </c>
      <c r="R7239" s="0" t="n">
        <v>0</v>
      </c>
      <c r="S7239" s="51" t="s">
        <v>2401</v>
      </c>
      <c r="T7239" s="51" t="s">
        <v>2401</v>
      </c>
      <c r="U7239" s="51" t="s">
        <v>4012</v>
      </c>
      <c r="V7239" s="51" t="s">
        <v>2365</v>
      </c>
      <c r="W7239" s="51" t="s">
        <v>9270</v>
      </c>
      <c r="X7239" s="51" t="s">
        <v>2359</v>
      </c>
    </row>
    <row r="7240" customFormat="false" ht="14.25" hidden="true" customHeight="false" outlineLevel="0" collapsed="false">
      <c r="A7240" s="49" t="s">
        <v>2349</v>
      </c>
      <c r="B7240" s="49" t="s">
        <v>2350</v>
      </c>
      <c r="C7240" s="49" t="s">
        <v>12078</v>
      </c>
      <c r="D7240" s="49" t="s">
        <v>2352</v>
      </c>
      <c r="E7240" s="49" t="s">
        <v>4012</v>
      </c>
      <c r="F7240" s="49" t="s">
        <v>4013</v>
      </c>
      <c r="G7240" s="49" t="n">
        <v>0</v>
      </c>
      <c r="H7240" s="0" t="n">
        <v>0</v>
      </c>
      <c r="M7240" s="51" t="s">
        <v>12071</v>
      </c>
      <c r="N7240" s="49" t="n">
        <v>0</v>
      </c>
      <c r="O7240" s="53" t="n">
        <v>45972.4853125</v>
      </c>
      <c r="P7240" s="53" t="n">
        <v>45973.883587963</v>
      </c>
      <c r="Q7240" s="53" t="n">
        <v>45972.4853125</v>
      </c>
      <c r="R7240" s="0" t="n">
        <v>0</v>
      </c>
      <c r="S7240" s="51" t="s">
        <v>2401</v>
      </c>
      <c r="T7240" s="51" t="s">
        <v>2401</v>
      </c>
      <c r="U7240" s="51" t="s">
        <v>4012</v>
      </c>
      <c r="V7240" s="51" t="s">
        <v>2365</v>
      </c>
      <c r="W7240" s="51" t="s">
        <v>10737</v>
      </c>
      <c r="X7240" s="51" t="s">
        <v>2359</v>
      </c>
    </row>
    <row r="7241" customFormat="false" ht="14.25" hidden="true" customHeight="false" outlineLevel="0" collapsed="false">
      <c r="A7241" s="49" t="s">
        <v>2349</v>
      </c>
      <c r="B7241" s="49" t="s">
        <v>2350</v>
      </c>
      <c r="C7241" s="49" t="s">
        <v>12079</v>
      </c>
      <c r="D7241" s="49" t="s">
        <v>2352</v>
      </c>
      <c r="E7241" s="49" t="s">
        <v>4012</v>
      </c>
      <c r="F7241" s="49" t="s">
        <v>4013</v>
      </c>
      <c r="G7241" s="49" t="n">
        <v>0</v>
      </c>
      <c r="H7241" s="0" t="n">
        <v>0</v>
      </c>
      <c r="M7241" s="51" t="s">
        <v>12071</v>
      </c>
      <c r="N7241" s="49" t="n">
        <v>0</v>
      </c>
      <c r="O7241" s="53" t="n">
        <v>45972.485</v>
      </c>
      <c r="P7241" s="53" t="n">
        <v>45995.7904513889</v>
      </c>
      <c r="Q7241" s="53" t="n">
        <v>45972.485</v>
      </c>
      <c r="R7241" s="0" t="n">
        <v>0</v>
      </c>
      <c r="S7241" s="51" t="s">
        <v>2401</v>
      </c>
      <c r="T7241" s="51" t="s">
        <v>2401</v>
      </c>
      <c r="U7241" s="51" t="s">
        <v>4012</v>
      </c>
      <c r="V7241" s="51" t="s">
        <v>2365</v>
      </c>
      <c r="W7241" s="51" t="s">
        <v>12080</v>
      </c>
      <c r="X7241" s="51" t="s">
        <v>2359</v>
      </c>
    </row>
    <row r="7242" customFormat="false" ht="14.25" hidden="true" customHeight="false" outlineLevel="0" collapsed="false">
      <c r="A7242" s="49" t="s">
        <v>2349</v>
      </c>
      <c r="B7242" s="49" t="s">
        <v>2350</v>
      </c>
      <c r="C7242" s="49" t="s">
        <v>12081</v>
      </c>
      <c r="D7242" s="49" t="s">
        <v>2352</v>
      </c>
      <c r="E7242" s="49" t="s">
        <v>4012</v>
      </c>
      <c r="F7242" s="49" t="s">
        <v>4013</v>
      </c>
      <c r="G7242" s="49" t="n">
        <v>0</v>
      </c>
      <c r="H7242" s="0" t="n">
        <v>0</v>
      </c>
      <c r="M7242" s="51" t="s">
        <v>12071</v>
      </c>
      <c r="N7242" s="49" t="n">
        <v>0</v>
      </c>
      <c r="O7242" s="53" t="n">
        <v>45972.4846527778</v>
      </c>
      <c r="P7242" s="53" t="n">
        <v>45973.8862037037</v>
      </c>
      <c r="Q7242" s="53" t="n">
        <v>45972.4846527778</v>
      </c>
      <c r="R7242" s="0" t="n">
        <v>0</v>
      </c>
      <c r="S7242" s="51" t="s">
        <v>2401</v>
      </c>
      <c r="T7242" s="51" t="s">
        <v>2401</v>
      </c>
      <c r="U7242" s="51" t="s">
        <v>4012</v>
      </c>
      <c r="V7242" s="51" t="s">
        <v>2365</v>
      </c>
      <c r="W7242" s="51" t="s">
        <v>10154</v>
      </c>
      <c r="X7242" s="51" t="s">
        <v>2359</v>
      </c>
    </row>
    <row r="7243" customFormat="false" ht="14.25" hidden="true" customHeight="false" outlineLevel="0" collapsed="false">
      <c r="A7243" s="49" t="s">
        <v>2349</v>
      </c>
      <c r="B7243" s="49" t="s">
        <v>2350</v>
      </c>
      <c r="C7243" s="49" t="s">
        <v>12082</v>
      </c>
      <c r="D7243" s="49" t="s">
        <v>2352</v>
      </c>
      <c r="E7243" s="49" t="s">
        <v>4012</v>
      </c>
      <c r="F7243" s="49" t="s">
        <v>4013</v>
      </c>
      <c r="G7243" s="49" t="n">
        <v>0</v>
      </c>
      <c r="H7243" s="0" t="n">
        <v>0</v>
      </c>
      <c r="M7243" s="51" t="s">
        <v>12071</v>
      </c>
      <c r="N7243" s="49" t="n">
        <v>0</v>
      </c>
      <c r="O7243" s="53" t="n">
        <v>45972.4842939815</v>
      </c>
      <c r="P7243" s="53" t="n">
        <v>45973.8866898148</v>
      </c>
      <c r="Q7243" s="53" t="n">
        <v>45972.4842939815</v>
      </c>
      <c r="R7243" s="0" t="n">
        <v>0</v>
      </c>
      <c r="S7243" s="51" t="s">
        <v>2401</v>
      </c>
      <c r="T7243" s="51" t="s">
        <v>2401</v>
      </c>
      <c r="U7243" s="51" t="s">
        <v>4012</v>
      </c>
      <c r="V7243" s="51" t="s">
        <v>2365</v>
      </c>
      <c r="W7243" s="51" t="s">
        <v>10154</v>
      </c>
      <c r="X7243" s="51" t="s">
        <v>2359</v>
      </c>
    </row>
    <row r="7244" customFormat="false" ht="14.25" hidden="true" customHeight="false" outlineLevel="0" collapsed="false">
      <c r="A7244" s="49" t="s">
        <v>2349</v>
      </c>
      <c r="B7244" s="49" t="s">
        <v>2350</v>
      </c>
      <c r="C7244" s="49" t="s">
        <v>12083</v>
      </c>
      <c r="D7244" s="49" t="s">
        <v>2352</v>
      </c>
      <c r="E7244" s="49" t="s">
        <v>4012</v>
      </c>
      <c r="F7244" s="49" t="s">
        <v>4013</v>
      </c>
      <c r="G7244" s="49" t="n">
        <v>0</v>
      </c>
      <c r="H7244" s="0" t="n">
        <v>0</v>
      </c>
      <c r="M7244" s="51" t="s">
        <v>12071</v>
      </c>
      <c r="N7244" s="49" t="n">
        <v>0</v>
      </c>
      <c r="O7244" s="53" t="n">
        <v>45972.4827083333</v>
      </c>
      <c r="P7244" s="53" t="n">
        <v>45973.8872569444</v>
      </c>
      <c r="Q7244" s="53" t="n">
        <v>45972.4827083333</v>
      </c>
      <c r="R7244" s="0" t="n">
        <v>0</v>
      </c>
      <c r="S7244" s="51" t="s">
        <v>2401</v>
      </c>
      <c r="T7244" s="51" t="s">
        <v>2401</v>
      </c>
      <c r="U7244" s="51" t="s">
        <v>4012</v>
      </c>
      <c r="V7244" s="51" t="s">
        <v>2365</v>
      </c>
      <c r="W7244" s="51" t="s">
        <v>10147</v>
      </c>
      <c r="X7244" s="51" t="s">
        <v>2359</v>
      </c>
    </row>
    <row r="7245" customFormat="false" ht="14.25" hidden="true" customHeight="false" outlineLevel="0" collapsed="false">
      <c r="A7245" s="49" t="s">
        <v>2349</v>
      </c>
      <c r="B7245" s="49" t="s">
        <v>2350</v>
      </c>
      <c r="C7245" s="49" t="s">
        <v>12084</v>
      </c>
      <c r="D7245" s="49" t="s">
        <v>2352</v>
      </c>
      <c r="E7245" s="49" t="s">
        <v>4012</v>
      </c>
      <c r="F7245" s="49" t="s">
        <v>4013</v>
      </c>
      <c r="G7245" s="49" t="n">
        <v>0</v>
      </c>
      <c r="H7245" s="0" t="n">
        <v>0</v>
      </c>
      <c r="M7245" s="51" t="s">
        <v>12071</v>
      </c>
      <c r="N7245" s="49" t="n">
        <v>0</v>
      </c>
      <c r="O7245" s="53" t="n">
        <v>45972.4821759259</v>
      </c>
      <c r="P7245" s="53" t="n">
        <v>45973.8891435185</v>
      </c>
      <c r="Q7245" s="53" t="n">
        <v>45972.4821759259</v>
      </c>
      <c r="R7245" s="0" t="n">
        <v>0</v>
      </c>
      <c r="S7245" s="51" t="s">
        <v>2401</v>
      </c>
      <c r="T7245" s="51" t="s">
        <v>2401</v>
      </c>
      <c r="U7245" s="51" t="s">
        <v>4012</v>
      </c>
      <c r="V7245" s="51" t="s">
        <v>2365</v>
      </c>
      <c r="W7245" s="51" t="s">
        <v>10176</v>
      </c>
      <c r="X7245" s="51" t="s">
        <v>2359</v>
      </c>
    </row>
    <row r="7246" customFormat="false" ht="14.25" hidden="true" customHeight="false" outlineLevel="0" collapsed="false">
      <c r="A7246" s="49" t="s">
        <v>2349</v>
      </c>
      <c r="B7246" s="49" t="s">
        <v>2350</v>
      </c>
      <c r="C7246" s="49" t="s">
        <v>12085</v>
      </c>
      <c r="D7246" s="49" t="s">
        <v>2352</v>
      </c>
      <c r="E7246" s="49" t="s">
        <v>4012</v>
      </c>
      <c r="F7246" s="49" t="s">
        <v>4013</v>
      </c>
      <c r="G7246" s="49" t="n">
        <v>0</v>
      </c>
      <c r="H7246" s="0" t="n">
        <v>0</v>
      </c>
      <c r="M7246" s="51" t="s">
        <v>12071</v>
      </c>
      <c r="N7246" s="49" t="n">
        <v>0</v>
      </c>
      <c r="O7246" s="53" t="n">
        <v>45972.4815625</v>
      </c>
      <c r="P7246" s="53" t="n">
        <v>45973.8896759259</v>
      </c>
      <c r="Q7246" s="53" t="n">
        <v>45972.4815625</v>
      </c>
      <c r="R7246" s="0" t="n">
        <v>0</v>
      </c>
      <c r="S7246" s="51" t="s">
        <v>2401</v>
      </c>
      <c r="T7246" s="51" t="s">
        <v>2401</v>
      </c>
      <c r="U7246" s="51" t="s">
        <v>4012</v>
      </c>
      <c r="V7246" s="51" t="s">
        <v>2365</v>
      </c>
      <c r="W7246" s="51" t="s">
        <v>10174</v>
      </c>
      <c r="X7246" s="51" t="s">
        <v>2359</v>
      </c>
    </row>
    <row r="7247" customFormat="false" ht="14.25" hidden="true" customHeight="false" outlineLevel="0" collapsed="false">
      <c r="A7247" s="49" t="s">
        <v>2349</v>
      </c>
      <c r="B7247" s="49" t="s">
        <v>2350</v>
      </c>
      <c r="C7247" s="49" t="s">
        <v>12086</v>
      </c>
      <c r="D7247" s="49" t="s">
        <v>2352</v>
      </c>
      <c r="E7247" s="49" t="s">
        <v>4012</v>
      </c>
      <c r="F7247" s="49" t="s">
        <v>4013</v>
      </c>
      <c r="G7247" s="49" t="n">
        <v>0</v>
      </c>
      <c r="H7247" s="0" t="n">
        <v>0</v>
      </c>
      <c r="M7247" s="51" t="s">
        <v>12071</v>
      </c>
      <c r="N7247" s="49" t="n">
        <v>0</v>
      </c>
      <c r="O7247" s="53" t="n">
        <v>45972.4810763889</v>
      </c>
      <c r="P7247" s="53" t="n">
        <v>45973.8845138889</v>
      </c>
      <c r="Q7247" s="53" t="n">
        <v>45972.4810763889</v>
      </c>
      <c r="R7247" s="0" t="n">
        <v>0</v>
      </c>
      <c r="S7247" s="51" t="s">
        <v>2401</v>
      </c>
      <c r="T7247" s="51" t="s">
        <v>2401</v>
      </c>
      <c r="U7247" s="51" t="s">
        <v>4012</v>
      </c>
      <c r="V7247" s="51" t="s">
        <v>2365</v>
      </c>
      <c r="W7247" s="51" t="s">
        <v>10737</v>
      </c>
      <c r="X7247" s="51" t="s">
        <v>2359</v>
      </c>
    </row>
    <row r="7248" customFormat="false" ht="14.25" hidden="true" customHeight="false" outlineLevel="0" collapsed="false">
      <c r="A7248" s="49" t="s">
        <v>2349</v>
      </c>
      <c r="B7248" s="49" t="s">
        <v>2350</v>
      </c>
      <c r="C7248" s="49" t="s">
        <v>12087</v>
      </c>
      <c r="D7248" s="49" t="s">
        <v>2352</v>
      </c>
      <c r="E7248" s="49" t="s">
        <v>4012</v>
      </c>
      <c r="F7248" s="49" t="s">
        <v>4013</v>
      </c>
      <c r="G7248" s="49" t="n">
        <v>0</v>
      </c>
      <c r="H7248" s="0" t="n">
        <v>0</v>
      </c>
      <c r="M7248" s="51" t="s">
        <v>12071</v>
      </c>
      <c r="N7248" s="49" t="n">
        <v>0</v>
      </c>
      <c r="O7248" s="53" t="n">
        <v>45972.4801273148</v>
      </c>
      <c r="P7248" s="53" t="n">
        <v>45973.8853935185</v>
      </c>
      <c r="Q7248" s="53" t="n">
        <v>45972.4801273148</v>
      </c>
      <c r="R7248" s="0" t="n">
        <v>0</v>
      </c>
      <c r="S7248" s="51" t="s">
        <v>2401</v>
      </c>
      <c r="T7248" s="51" t="s">
        <v>2401</v>
      </c>
      <c r="U7248" s="51" t="s">
        <v>4012</v>
      </c>
      <c r="V7248" s="51" t="s">
        <v>2365</v>
      </c>
      <c r="W7248" s="51" t="s">
        <v>11876</v>
      </c>
      <c r="X7248" s="51" t="s">
        <v>2359</v>
      </c>
    </row>
    <row r="7249" customFormat="false" ht="14.25" hidden="true" customHeight="false" outlineLevel="0" collapsed="false">
      <c r="A7249" s="49" t="s">
        <v>2349</v>
      </c>
      <c r="B7249" s="49" t="s">
        <v>2350</v>
      </c>
      <c r="C7249" s="49" t="s">
        <v>12088</v>
      </c>
      <c r="D7249" s="49" t="s">
        <v>2352</v>
      </c>
      <c r="E7249" s="49" t="s">
        <v>4012</v>
      </c>
      <c r="F7249" s="49" t="s">
        <v>4013</v>
      </c>
      <c r="G7249" s="49" t="n">
        <v>0</v>
      </c>
      <c r="H7249" s="0" t="n">
        <v>0</v>
      </c>
      <c r="M7249" s="51" t="s">
        <v>12071</v>
      </c>
      <c r="N7249" s="49" t="n">
        <v>0</v>
      </c>
      <c r="O7249" s="53" t="n">
        <v>45972.4791319444</v>
      </c>
      <c r="P7249" s="53" t="n">
        <v>45973.8878125</v>
      </c>
      <c r="Q7249" s="53" t="n">
        <v>45972.4791319444</v>
      </c>
      <c r="R7249" s="0" t="n">
        <v>0</v>
      </c>
      <c r="S7249" s="51" t="s">
        <v>2401</v>
      </c>
      <c r="T7249" s="51" t="s">
        <v>2401</v>
      </c>
      <c r="U7249" s="51" t="s">
        <v>4012</v>
      </c>
      <c r="V7249" s="51" t="s">
        <v>2365</v>
      </c>
      <c r="W7249" s="51" t="s">
        <v>10192</v>
      </c>
      <c r="X7249" s="51" t="s">
        <v>2359</v>
      </c>
    </row>
    <row r="7250" customFormat="false" ht="14.25" hidden="true" customHeight="false" outlineLevel="0" collapsed="false">
      <c r="A7250" s="49" t="s">
        <v>2349</v>
      </c>
      <c r="B7250" s="49" t="s">
        <v>2350</v>
      </c>
      <c r="C7250" s="49" t="s">
        <v>12089</v>
      </c>
      <c r="D7250" s="49" t="s">
        <v>2352</v>
      </c>
      <c r="E7250" s="49" t="s">
        <v>4012</v>
      </c>
      <c r="F7250" s="49" t="s">
        <v>4013</v>
      </c>
      <c r="G7250" s="49" t="n">
        <v>0</v>
      </c>
      <c r="H7250" s="0" t="n">
        <v>0</v>
      </c>
      <c r="M7250" s="51" t="s">
        <v>12071</v>
      </c>
      <c r="N7250" s="49" t="n">
        <v>0</v>
      </c>
      <c r="O7250" s="53" t="n">
        <v>45972.478275463</v>
      </c>
      <c r="P7250" s="53" t="n">
        <v>45973.888599537</v>
      </c>
      <c r="Q7250" s="53" t="n">
        <v>45972.478275463</v>
      </c>
      <c r="R7250" s="0" t="n">
        <v>0</v>
      </c>
      <c r="S7250" s="51" t="s">
        <v>2401</v>
      </c>
      <c r="T7250" s="51" t="s">
        <v>2401</v>
      </c>
      <c r="U7250" s="51" t="s">
        <v>4012</v>
      </c>
      <c r="V7250" s="51" t="s">
        <v>2365</v>
      </c>
      <c r="W7250" s="51" t="s">
        <v>10188</v>
      </c>
      <c r="X7250" s="51" t="s">
        <v>2359</v>
      </c>
    </row>
    <row r="7251" customFormat="false" ht="14.25" hidden="true" customHeight="false" outlineLevel="0" collapsed="false">
      <c r="A7251" s="49" t="s">
        <v>2349</v>
      </c>
      <c r="B7251" s="49" t="s">
        <v>2350</v>
      </c>
      <c r="C7251" s="49" t="s">
        <v>12090</v>
      </c>
      <c r="D7251" s="49" t="s">
        <v>2352</v>
      </c>
      <c r="E7251" s="49" t="s">
        <v>4012</v>
      </c>
      <c r="F7251" s="49" t="s">
        <v>4013</v>
      </c>
      <c r="G7251" s="49" t="n">
        <v>0</v>
      </c>
      <c r="H7251" s="0" t="n">
        <v>0</v>
      </c>
      <c r="M7251" s="51" t="s">
        <v>12071</v>
      </c>
      <c r="N7251" s="49" t="n">
        <v>0</v>
      </c>
      <c r="O7251" s="53" t="n">
        <v>45972.4924189815</v>
      </c>
      <c r="P7251" s="53" t="n">
        <v>46021.4991435185</v>
      </c>
      <c r="Q7251" s="53" t="n">
        <v>45972.4924189815</v>
      </c>
      <c r="R7251" s="0" t="n">
        <v>0</v>
      </c>
      <c r="S7251" s="51" t="s">
        <v>2401</v>
      </c>
      <c r="T7251" s="51" t="s">
        <v>2401</v>
      </c>
      <c r="U7251" s="51" t="s">
        <v>4012</v>
      </c>
      <c r="V7251" s="51" t="s">
        <v>2365</v>
      </c>
      <c r="W7251" s="51" t="s">
        <v>10811</v>
      </c>
      <c r="X7251" s="51" t="s">
        <v>2359</v>
      </c>
    </row>
    <row r="7252" customFormat="false" ht="14.25" hidden="true" customHeight="false" outlineLevel="0" collapsed="false">
      <c r="A7252" s="49" t="s">
        <v>2349</v>
      </c>
      <c r="B7252" s="49" t="s">
        <v>2350</v>
      </c>
      <c r="C7252" s="49" t="s">
        <v>12091</v>
      </c>
      <c r="D7252" s="49" t="s">
        <v>2352</v>
      </c>
      <c r="E7252" s="49" t="s">
        <v>4012</v>
      </c>
      <c r="F7252" s="49" t="s">
        <v>4013</v>
      </c>
      <c r="G7252" s="49" t="n">
        <v>0</v>
      </c>
      <c r="H7252" s="0" t="n">
        <v>0</v>
      </c>
      <c r="M7252" s="51" t="s">
        <v>12071</v>
      </c>
      <c r="N7252" s="49" t="n">
        <v>0</v>
      </c>
      <c r="O7252" s="53" t="n">
        <v>45972.4920138889</v>
      </c>
      <c r="P7252" s="53" t="n">
        <v>46021.4986226852</v>
      </c>
      <c r="Q7252" s="53" t="n">
        <v>45972.4920138889</v>
      </c>
      <c r="R7252" s="0" t="n">
        <v>0</v>
      </c>
      <c r="S7252" s="51" t="s">
        <v>2401</v>
      </c>
      <c r="T7252" s="51" t="s">
        <v>2401</v>
      </c>
      <c r="U7252" s="51" t="s">
        <v>4012</v>
      </c>
      <c r="V7252" s="51" t="s">
        <v>2365</v>
      </c>
      <c r="W7252" s="51" t="s">
        <v>12092</v>
      </c>
      <c r="X7252" s="51" t="s">
        <v>2359</v>
      </c>
    </row>
    <row r="7253" customFormat="false" ht="14.25" hidden="true" customHeight="false" outlineLevel="0" collapsed="false">
      <c r="A7253" s="49" t="s">
        <v>2349</v>
      </c>
      <c r="B7253" s="49" t="s">
        <v>2350</v>
      </c>
      <c r="C7253" s="49" t="s">
        <v>12093</v>
      </c>
      <c r="D7253" s="49" t="s">
        <v>2352</v>
      </c>
      <c r="E7253" s="49" t="s">
        <v>4012</v>
      </c>
      <c r="F7253" s="49" t="s">
        <v>4013</v>
      </c>
      <c r="G7253" s="49" t="n">
        <v>0</v>
      </c>
      <c r="H7253" s="0" t="n">
        <v>0</v>
      </c>
      <c r="M7253" s="51" t="s">
        <v>12071</v>
      </c>
      <c r="N7253" s="49" t="n">
        <v>0</v>
      </c>
      <c r="O7253" s="53" t="n">
        <v>45972.4929166667</v>
      </c>
      <c r="P7253" s="53" t="n">
        <v>45973.8907407407</v>
      </c>
      <c r="Q7253" s="53" t="n">
        <v>45972.4929166667</v>
      </c>
      <c r="R7253" s="0" t="n">
        <v>0</v>
      </c>
      <c r="S7253" s="51" t="s">
        <v>2401</v>
      </c>
      <c r="T7253" s="51" t="s">
        <v>2401</v>
      </c>
      <c r="U7253" s="51" t="s">
        <v>4012</v>
      </c>
      <c r="V7253" s="51" t="s">
        <v>2365</v>
      </c>
      <c r="W7253" s="51" t="s">
        <v>10218</v>
      </c>
      <c r="X7253" s="51" t="s">
        <v>2359</v>
      </c>
    </row>
    <row r="7254" customFormat="false" ht="14.25" hidden="true" customHeight="false" outlineLevel="0" collapsed="false">
      <c r="A7254" s="49" t="s">
        <v>2349</v>
      </c>
      <c r="B7254" s="49" t="s">
        <v>2350</v>
      </c>
      <c r="C7254" s="49" t="s">
        <v>12094</v>
      </c>
      <c r="D7254" s="49" t="s">
        <v>2352</v>
      </c>
      <c r="E7254" s="49" t="s">
        <v>4012</v>
      </c>
      <c r="F7254" s="49" t="s">
        <v>4013</v>
      </c>
      <c r="G7254" s="49" t="n">
        <v>0</v>
      </c>
      <c r="H7254" s="0" t="n">
        <v>0</v>
      </c>
      <c r="M7254" s="51" t="s">
        <v>12071</v>
      </c>
      <c r="N7254" s="49" t="n">
        <v>0</v>
      </c>
      <c r="O7254" s="53" t="n">
        <v>45972.4933101852</v>
      </c>
      <c r="P7254" s="53" t="n">
        <v>45973.889849537</v>
      </c>
      <c r="Q7254" s="53" t="n">
        <v>45972.4933101852</v>
      </c>
      <c r="R7254" s="0" t="n">
        <v>0</v>
      </c>
      <c r="S7254" s="51" t="s">
        <v>2401</v>
      </c>
      <c r="T7254" s="51" t="s">
        <v>2401</v>
      </c>
      <c r="U7254" s="51" t="s">
        <v>4012</v>
      </c>
      <c r="V7254" s="51" t="s">
        <v>2365</v>
      </c>
      <c r="W7254" s="51" t="s">
        <v>10195</v>
      </c>
      <c r="X7254" s="51" t="s">
        <v>2359</v>
      </c>
    </row>
    <row r="7255" customFormat="false" ht="14.25" hidden="true" customHeight="false" outlineLevel="0" collapsed="false">
      <c r="A7255" s="49" t="s">
        <v>2349</v>
      </c>
      <c r="B7255" s="49" t="s">
        <v>2350</v>
      </c>
      <c r="C7255" s="49" t="s">
        <v>12095</v>
      </c>
      <c r="D7255" s="49" t="s">
        <v>2352</v>
      </c>
      <c r="E7255" s="49" t="s">
        <v>4012</v>
      </c>
      <c r="F7255" s="49" t="s">
        <v>4013</v>
      </c>
      <c r="G7255" s="49" t="n">
        <v>0</v>
      </c>
      <c r="H7255" s="0" t="n">
        <v>0</v>
      </c>
      <c r="M7255" s="51" t="s">
        <v>12071</v>
      </c>
      <c r="N7255" s="49" t="n">
        <v>0</v>
      </c>
      <c r="O7255" s="53" t="n">
        <v>45994.4918865741</v>
      </c>
      <c r="P7255" s="53" t="n">
        <v>45995.3279050926</v>
      </c>
      <c r="R7255" s="0" t="n">
        <v>0</v>
      </c>
      <c r="T7255" s="51" t="s">
        <v>2364</v>
      </c>
      <c r="U7255" s="51" t="s">
        <v>4012</v>
      </c>
      <c r="V7255" s="51" t="s">
        <v>2365</v>
      </c>
      <c r="W7255" s="51" t="s">
        <v>2440</v>
      </c>
      <c r="X7255" s="51" t="s">
        <v>2359</v>
      </c>
    </row>
    <row r="7256" customFormat="false" ht="14.25" hidden="true" customHeight="false" outlineLevel="0" collapsed="false">
      <c r="A7256" s="49" t="s">
        <v>2349</v>
      </c>
      <c r="B7256" s="49" t="s">
        <v>2350</v>
      </c>
      <c r="C7256" s="49" t="s">
        <v>12096</v>
      </c>
      <c r="D7256" s="49" t="s">
        <v>2352</v>
      </c>
      <c r="E7256" s="49" t="s">
        <v>4124</v>
      </c>
      <c r="F7256" s="49" t="s">
        <v>4125</v>
      </c>
      <c r="G7256" s="49" t="n">
        <v>0</v>
      </c>
      <c r="H7256" s="0" t="n">
        <v>0</v>
      </c>
      <c r="M7256" s="51" t="s">
        <v>12097</v>
      </c>
      <c r="N7256" s="49" t="n">
        <v>0</v>
      </c>
      <c r="O7256" s="53" t="n">
        <v>45959.466412037</v>
      </c>
      <c r="P7256" s="53" t="n">
        <v>45963.6711342593</v>
      </c>
      <c r="Q7256" s="53" t="n">
        <v>45959.466412037</v>
      </c>
      <c r="R7256" s="0" t="n">
        <v>0</v>
      </c>
      <c r="S7256" s="51" t="s">
        <v>2356</v>
      </c>
      <c r="T7256" s="51" t="s">
        <v>2356</v>
      </c>
      <c r="U7256" s="51" t="s">
        <v>4124</v>
      </c>
      <c r="V7256" s="51" t="s">
        <v>2365</v>
      </c>
      <c r="W7256" s="51" t="s">
        <v>12098</v>
      </c>
      <c r="X7256" s="51" t="s">
        <v>2359</v>
      </c>
    </row>
    <row r="7257" customFormat="false" ht="14.25" hidden="true" customHeight="false" outlineLevel="0" collapsed="false">
      <c r="A7257" s="49" t="s">
        <v>2349</v>
      </c>
      <c r="B7257" s="49" t="s">
        <v>2350</v>
      </c>
      <c r="C7257" s="49" t="s">
        <v>12099</v>
      </c>
      <c r="D7257" s="49" t="s">
        <v>2352</v>
      </c>
      <c r="E7257" s="49" t="s">
        <v>4124</v>
      </c>
      <c r="F7257" s="49" t="s">
        <v>4125</v>
      </c>
      <c r="G7257" s="49" t="n">
        <v>0</v>
      </c>
      <c r="H7257" s="0" t="n">
        <v>0</v>
      </c>
      <c r="M7257" s="51" t="s">
        <v>12097</v>
      </c>
      <c r="N7257" s="49" t="n">
        <v>0</v>
      </c>
      <c r="O7257" s="53" t="n">
        <v>45959.4662268519</v>
      </c>
      <c r="P7257" s="53" t="n">
        <v>45963.6710185185</v>
      </c>
      <c r="Q7257" s="53" t="n">
        <v>45959.4662268519</v>
      </c>
      <c r="R7257" s="0" t="n">
        <v>0</v>
      </c>
      <c r="S7257" s="51" t="s">
        <v>2356</v>
      </c>
      <c r="T7257" s="51" t="s">
        <v>2356</v>
      </c>
      <c r="U7257" s="51" t="s">
        <v>4124</v>
      </c>
      <c r="V7257" s="51" t="s">
        <v>2365</v>
      </c>
      <c r="W7257" s="51" t="s">
        <v>12098</v>
      </c>
      <c r="X7257" s="51" t="s">
        <v>2359</v>
      </c>
    </row>
    <row r="7258" customFormat="false" ht="14.25" hidden="true" customHeight="false" outlineLevel="0" collapsed="false">
      <c r="A7258" s="49" t="s">
        <v>2349</v>
      </c>
      <c r="B7258" s="49" t="s">
        <v>2350</v>
      </c>
      <c r="C7258" s="49" t="s">
        <v>12100</v>
      </c>
      <c r="D7258" s="49" t="s">
        <v>2352</v>
      </c>
      <c r="E7258" s="49" t="s">
        <v>4124</v>
      </c>
      <c r="F7258" s="49" t="s">
        <v>4125</v>
      </c>
      <c r="G7258" s="49" t="n">
        <v>0</v>
      </c>
      <c r="H7258" s="0" t="n">
        <v>0</v>
      </c>
      <c r="M7258" s="51" t="s">
        <v>12097</v>
      </c>
      <c r="N7258" s="49" t="n">
        <v>0</v>
      </c>
      <c r="O7258" s="53" t="n">
        <v>45959.4659375</v>
      </c>
      <c r="P7258" s="53" t="n">
        <v>45963.6712384259</v>
      </c>
      <c r="Q7258" s="53" t="n">
        <v>45959.4659375</v>
      </c>
      <c r="R7258" s="0" t="n">
        <v>0</v>
      </c>
      <c r="S7258" s="51" t="s">
        <v>2356</v>
      </c>
      <c r="T7258" s="51" t="s">
        <v>2356</v>
      </c>
      <c r="U7258" s="51" t="s">
        <v>4124</v>
      </c>
      <c r="V7258" s="51" t="s">
        <v>2365</v>
      </c>
      <c r="W7258" s="51" t="s">
        <v>12098</v>
      </c>
      <c r="X7258" s="51" t="s">
        <v>2359</v>
      </c>
    </row>
    <row r="7259" customFormat="false" ht="14.25" hidden="true" customHeight="false" outlineLevel="0" collapsed="false">
      <c r="A7259" s="49" t="s">
        <v>2349</v>
      </c>
      <c r="B7259" s="49" t="s">
        <v>2350</v>
      </c>
      <c r="C7259" s="49" t="s">
        <v>12101</v>
      </c>
      <c r="D7259" s="49" t="s">
        <v>2352</v>
      </c>
      <c r="E7259" s="49" t="str">
        <f aca="false">"10110807"</f>
        <v>10110807</v>
      </c>
      <c r="F7259" s="49" t="s">
        <v>10053</v>
      </c>
      <c r="G7259" s="49" t="n">
        <v>0</v>
      </c>
      <c r="H7259" s="0" t="n">
        <v>0</v>
      </c>
      <c r="M7259" s="51" t="s">
        <v>12102</v>
      </c>
      <c r="N7259" s="49" t="n">
        <v>0</v>
      </c>
      <c r="O7259" s="53" t="n">
        <v>45981.4663888889</v>
      </c>
      <c r="P7259" s="53" t="n">
        <v>45986.5661458333</v>
      </c>
      <c r="Q7259" s="53" t="n">
        <v>45981.4663888889</v>
      </c>
      <c r="R7259" s="0" t="n">
        <v>0</v>
      </c>
      <c r="S7259" s="51" t="s">
        <v>2356</v>
      </c>
      <c r="T7259" s="51" t="s">
        <v>2356</v>
      </c>
      <c r="U7259" s="0" t="str">
        <f aca="false">"10110807"</f>
        <v>10110807</v>
      </c>
      <c r="V7259" s="51" t="s">
        <v>2365</v>
      </c>
      <c r="W7259" s="51" t="s">
        <v>10407</v>
      </c>
      <c r="X7259" s="51" t="s">
        <v>2359</v>
      </c>
    </row>
    <row r="7260" customFormat="false" ht="14.25" hidden="true" customHeight="false" outlineLevel="0" collapsed="false">
      <c r="A7260" s="49" t="s">
        <v>2349</v>
      </c>
      <c r="B7260" s="49" t="s">
        <v>2350</v>
      </c>
      <c r="C7260" s="49" t="s">
        <v>12103</v>
      </c>
      <c r="D7260" s="49" t="s">
        <v>2352</v>
      </c>
      <c r="E7260" s="49" t="str">
        <f aca="false">"10110807"</f>
        <v>10110807</v>
      </c>
      <c r="F7260" s="49" t="s">
        <v>10053</v>
      </c>
      <c r="G7260" s="49" t="n">
        <v>0</v>
      </c>
      <c r="H7260" s="0" t="n">
        <v>0</v>
      </c>
      <c r="M7260" s="51" t="s">
        <v>12102</v>
      </c>
      <c r="N7260" s="49" t="n">
        <v>0</v>
      </c>
      <c r="O7260" s="53" t="n">
        <v>45981.4657638889</v>
      </c>
      <c r="P7260" s="53" t="n">
        <v>45986.5662847222</v>
      </c>
      <c r="Q7260" s="53" t="n">
        <v>45981.4657638889</v>
      </c>
      <c r="R7260" s="0" t="n">
        <v>0</v>
      </c>
      <c r="S7260" s="51" t="s">
        <v>2356</v>
      </c>
      <c r="T7260" s="51" t="s">
        <v>2356</v>
      </c>
      <c r="U7260" s="0" t="str">
        <f aca="false">"10110807"</f>
        <v>10110807</v>
      </c>
      <c r="V7260" s="51" t="s">
        <v>2365</v>
      </c>
      <c r="W7260" s="51" t="s">
        <v>10407</v>
      </c>
      <c r="X7260" s="51" t="s">
        <v>2359</v>
      </c>
    </row>
    <row r="7261" customFormat="false" ht="14.25" hidden="true" customHeight="false" outlineLevel="0" collapsed="false">
      <c r="A7261" s="49" t="s">
        <v>2349</v>
      </c>
      <c r="B7261" s="49" t="s">
        <v>2350</v>
      </c>
      <c r="C7261" s="49" t="s">
        <v>12104</v>
      </c>
      <c r="D7261" s="49" t="s">
        <v>2352</v>
      </c>
      <c r="E7261" s="49" t="str">
        <f aca="false">"12505166"</f>
        <v>12505166</v>
      </c>
      <c r="F7261" s="49" t="s">
        <v>10336</v>
      </c>
      <c r="G7261" s="49" t="n">
        <v>0</v>
      </c>
      <c r="H7261" s="0" t="n">
        <v>0</v>
      </c>
      <c r="M7261" s="51" t="s">
        <v>12105</v>
      </c>
      <c r="N7261" s="49" t="n">
        <v>0</v>
      </c>
      <c r="O7261" s="53" t="n">
        <v>45977.5811458333</v>
      </c>
      <c r="P7261" s="53" t="n">
        <v>46036.3556828704</v>
      </c>
      <c r="Q7261" s="53" t="n">
        <v>45977.5811458333</v>
      </c>
      <c r="R7261" s="0" t="n">
        <v>0</v>
      </c>
      <c r="S7261" s="51" t="s">
        <v>2401</v>
      </c>
      <c r="T7261" s="51" t="s">
        <v>2401</v>
      </c>
      <c r="U7261" s="0" t="str">
        <f aca="false">"12505166"</f>
        <v>12505166</v>
      </c>
      <c r="V7261" s="51" t="s">
        <v>2365</v>
      </c>
      <c r="W7261" s="51" t="s">
        <v>3925</v>
      </c>
      <c r="X7261" s="51" t="s">
        <v>2359</v>
      </c>
    </row>
    <row r="7262" customFormat="false" ht="14.25" hidden="true" customHeight="false" outlineLevel="0" collapsed="false">
      <c r="A7262" s="49" t="s">
        <v>2349</v>
      </c>
      <c r="B7262" s="49" t="s">
        <v>2350</v>
      </c>
      <c r="C7262" s="49" t="s">
        <v>12106</v>
      </c>
      <c r="D7262" s="49" t="s">
        <v>2352</v>
      </c>
      <c r="E7262" s="49" t="str">
        <f aca="false">"12235549"</f>
        <v>12235549</v>
      </c>
      <c r="F7262" s="49" t="s">
        <v>10338</v>
      </c>
      <c r="G7262" s="49" t="n">
        <v>0</v>
      </c>
      <c r="H7262" s="0" t="n">
        <v>0</v>
      </c>
      <c r="M7262" s="51" t="s">
        <v>12105</v>
      </c>
      <c r="N7262" s="49" t="n">
        <v>0</v>
      </c>
      <c r="O7262" s="53" t="n">
        <v>45977.5803356482</v>
      </c>
      <c r="P7262" s="53" t="n">
        <v>46049.0129166667</v>
      </c>
      <c r="Q7262" s="53" t="n">
        <v>45977.5803356482</v>
      </c>
      <c r="R7262" s="0" t="n">
        <v>0</v>
      </c>
      <c r="S7262" s="51" t="s">
        <v>2401</v>
      </c>
      <c r="T7262" s="51" t="s">
        <v>2401</v>
      </c>
      <c r="U7262" s="0" t="str">
        <f aca="false">"12235549"</f>
        <v>12235549</v>
      </c>
      <c r="V7262" s="51" t="s">
        <v>2365</v>
      </c>
      <c r="W7262" s="51" t="s">
        <v>8674</v>
      </c>
      <c r="X7262" s="51" t="s">
        <v>2359</v>
      </c>
    </row>
    <row r="7263" customFormat="false" ht="14.25" hidden="true" customHeight="false" outlineLevel="0" collapsed="false">
      <c r="A7263" s="49" t="s">
        <v>2349</v>
      </c>
      <c r="B7263" s="49" t="s">
        <v>2350</v>
      </c>
      <c r="C7263" s="49" t="s">
        <v>12107</v>
      </c>
      <c r="D7263" s="49" t="s">
        <v>2352</v>
      </c>
      <c r="E7263" s="49" t="str">
        <f aca="false">"5060458890191"</f>
        <v>5060458890191</v>
      </c>
      <c r="F7263" s="49" t="s">
        <v>3656</v>
      </c>
      <c r="G7263" s="49" t="n">
        <v>0</v>
      </c>
      <c r="H7263" s="0" t="n">
        <v>0</v>
      </c>
      <c r="M7263" s="51" t="s">
        <v>12108</v>
      </c>
      <c r="N7263" s="49" t="n">
        <v>0</v>
      </c>
      <c r="O7263" s="53" t="n">
        <v>45957.6770138889</v>
      </c>
      <c r="P7263" s="53" t="n">
        <v>46006.3671990741</v>
      </c>
      <c r="Q7263" s="53" t="n">
        <v>45957.6770138889</v>
      </c>
      <c r="R7263" s="0" t="n">
        <v>0</v>
      </c>
      <c r="S7263" s="51" t="s">
        <v>2401</v>
      </c>
      <c r="T7263" s="51" t="s">
        <v>2401</v>
      </c>
      <c r="U7263" s="0" t="str">
        <f aca="false">"5060458890191"</f>
        <v>5060458890191</v>
      </c>
      <c r="V7263" s="51" t="s">
        <v>2142</v>
      </c>
      <c r="W7263" s="51" t="s">
        <v>10822</v>
      </c>
      <c r="X7263" s="51" t="s">
        <v>2359</v>
      </c>
    </row>
    <row r="7264" customFormat="false" ht="14.25" hidden="true" customHeight="false" outlineLevel="0" collapsed="false">
      <c r="A7264" s="49" t="s">
        <v>2349</v>
      </c>
      <c r="B7264" s="49" t="s">
        <v>2350</v>
      </c>
      <c r="C7264" s="49" t="s">
        <v>12109</v>
      </c>
      <c r="D7264" s="49" t="s">
        <v>2352</v>
      </c>
      <c r="E7264" s="49" t="str">
        <f aca="false">"5060458890191"</f>
        <v>5060458890191</v>
      </c>
      <c r="F7264" s="49" t="s">
        <v>3656</v>
      </c>
      <c r="G7264" s="49" t="n">
        <v>0</v>
      </c>
      <c r="H7264" s="0" t="n">
        <v>0</v>
      </c>
      <c r="M7264" s="51" t="s">
        <v>12108</v>
      </c>
      <c r="N7264" s="49" t="n">
        <v>0</v>
      </c>
      <c r="O7264" s="53" t="n">
        <v>45957.6767708333</v>
      </c>
      <c r="P7264" s="53" t="n">
        <v>45965.8060185185</v>
      </c>
      <c r="Q7264" s="53" t="n">
        <v>45957.6767708333</v>
      </c>
      <c r="R7264" s="0" t="n">
        <v>0</v>
      </c>
      <c r="S7264" s="51" t="s">
        <v>2401</v>
      </c>
      <c r="T7264" s="51" t="s">
        <v>2401</v>
      </c>
      <c r="U7264" s="0" t="str">
        <f aca="false">"5060458890191"</f>
        <v>5060458890191</v>
      </c>
      <c r="V7264" s="51" t="s">
        <v>2142</v>
      </c>
      <c r="W7264" s="51" t="s">
        <v>4094</v>
      </c>
      <c r="X7264" s="51" t="s">
        <v>2359</v>
      </c>
    </row>
    <row r="7265" customFormat="false" ht="14.25" hidden="true" customHeight="false" outlineLevel="0" collapsed="false">
      <c r="A7265" s="49" t="s">
        <v>2349</v>
      </c>
      <c r="B7265" s="49" t="s">
        <v>2350</v>
      </c>
      <c r="C7265" s="49" t="s">
        <v>12110</v>
      </c>
      <c r="D7265" s="49" t="s">
        <v>2352</v>
      </c>
      <c r="E7265" s="49" t="str">
        <f aca="false">"5060458890191"</f>
        <v>5060458890191</v>
      </c>
      <c r="F7265" s="49" t="s">
        <v>3656</v>
      </c>
      <c r="G7265" s="49" t="n">
        <v>0</v>
      </c>
      <c r="H7265" s="0" t="n">
        <v>0</v>
      </c>
      <c r="M7265" s="51" t="s">
        <v>12108</v>
      </c>
      <c r="N7265" s="49" t="n">
        <v>0</v>
      </c>
      <c r="O7265" s="53" t="n">
        <v>45957.6765972222</v>
      </c>
      <c r="P7265" s="53" t="n">
        <v>46004.7678009259</v>
      </c>
      <c r="Q7265" s="53" t="n">
        <v>45957.6765972222</v>
      </c>
      <c r="R7265" s="0" t="n">
        <v>0</v>
      </c>
      <c r="S7265" s="51" t="s">
        <v>2401</v>
      </c>
      <c r="T7265" s="51" t="s">
        <v>2401</v>
      </c>
      <c r="U7265" s="0" t="str">
        <f aca="false">"5060458890191"</f>
        <v>5060458890191</v>
      </c>
      <c r="V7265" s="51" t="s">
        <v>2142</v>
      </c>
      <c r="W7265" s="51" t="s">
        <v>5179</v>
      </c>
      <c r="X7265" s="51" t="s">
        <v>2359</v>
      </c>
    </row>
    <row r="7266" customFormat="false" ht="14.25" hidden="true" customHeight="false" outlineLevel="0" collapsed="false">
      <c r="A7266" s="49" t="s">
        <v>2349</v>
      </c>
      <c r="B7266" s="49" t="s">
        <v>2350</v>
      </c>
      <c r="C7266" s="49" t="s">
        <v>12111</v>
      </c>
      <c r="D7266" s="49" t="s">
        <v>2352</v>
      </c>
      <c r="E7266" s="49" t="str">
        <f aca="false">"5060458890191"</f>
        <v>5060458890191</v>
      </c>
      <c r="F7266" s="49" t="s">
        <v>3656</v>
      </c>
      <c r="G7266" s="49" t="n">
        <v>0</v>
      </c>
      <c r="H7266" s="0" t="n">
        <v>0</v>
      </c>
      <c r="M7266" s="51" t="s">
        <v>12108</v>
      </c>
      <c r="N7266" s="49" t="n">
        <v>0</v>
      </c>
      <c r="O7266" s="53" t="n">
        <v>45957.6764351852</v>
      </c>
      <c r="P7266" s="53" t="n">
        <v>46004.4426851852</v>
      </c>
      <c r="Q7266" s="53" t="n">
        <v>45957.6764351852</v>
      </c>
      <c r="R7266" s="0" t="n">
        <v>0</v>
      </c>
      <c r="S7266" s="51" t="s">
        <v>2401</v>
      </c>
      <c r="T7266" s="51" t="s">
        <v>2401</v>
      </c>
      <c r="U7266" s="0" t="str">
        <f aca="false">"5060458890191"</f>
        <v>5060458890191</v>
      </c>
      <c r="V7266" s="51" t="s">
        <v>2142</v>
      </c>
      <c r="W7266" s="51" t="s">
        <v>9619</v>
      </c>
      <c r="X7266" s="51" t="s">
        <v>2359</v>
      </c>
    </row>
    <row r="7267" customFormat="false" ht="14.25" hidden="true" customHeight="false" outlineLevel="0" collapsed="false">
      <c r="A7267" s="49" t="s">
        <v>2349</v>
      </c>
      <c r="B7267" s="49" t="s">
        <v>2350</v>
      </c>
      <c r="C7267" s="49" t="s">
        <v>12112</v>
      </c>
      <c r="D7267" s="49" t="s">
        <v>2352</v>
      </c>
      <c r="E7267" s="49" t="str">
        <f aca="false">"5060458890191"</f>
        <v>5060458890191</v>
      </c>
      <c r="F7267" s="49" t="s">
        <v>3656</v>
      </c>
      <c r="G7267" s="49" t="n">
        <v>0</v>
      </c>
      <c r="H7267" s="0" t="n">
        <v>0</v>
      </c>
      <c r="M7267" s="51" t="s">
        <v>12108</v>
      </c>
      <c r="N7267" s="49" t="n">
        <v>0</v>
      </c>
      <c r="O7267" s="53" t="n">
        <v>45957.6761342593</v>
      </c>
      <c r="P7267" s="53" t="n">
        <v>46006.3678240741</v>
      </c>
      <c r="Q7267" s="53" t="n">
        <v>45957.6761342593</v>
      </c>
      <c r="R7267" s="0" t="n">
        <v>0</v>
      </c>
      <c r="S7267" s="51" t="s">
        <v>2401</v>
      </c>
      <c r="T7267" s="51" t="s">
        <v>2401</v>
      </c>
      <c r="U7267" s="0" t="str">
        <f aca="false">"5060458890191"</f>
        <v>5060458890191</v>
      </c>
      <c r="V7267" s="51" t="s">
        <v>2142</v>
      </c>
      <c r="W7267" s="51" t="s">
        <v>8750</v>
      </c>
      <c r="X7267" s="51" t="s">
        <v>2359</v>
      </c>
    </row>
    <row r="7268" customFormat="false" ht="14.25" hidden="true" customHeight="false" outlineLevel="0" collapsed="false">
      <c r="A7268" s="49" t="s">
        <v>2349</v>
      </c>
      <c r="B7268" s="49" t="s">
        <v>2350</v>
      </c>
      <c r="C7268" s="49" t="s">
        <v>12113</v>
      </c>
      <c r="D7268" s="49" t="s">
        <v>2352</v>
      </c>
      <c r="E7268" s="49" t="str">
        <f aca="false">"5060458890191"</f>
        <v>5060458890191</v>
      </c>
      <c r="F7268" s="49" t="s">
        <v>3656</v>
      </c>
      <c r="G7268" s="49" t="n">
        <v>0</v>
      </c>
      <c r="H7268" s="0" t="n">
        <v>0</v>
      </c>
      <c r="M7268" s="51" t="s">
        <v>12108</v>
      </c>
      <c r="N7268" s="49" t="n">
        <v>0</v>
      </c>
      <c r="O7268" s="53" t="n">
        <v>45957.6758449074</v>
      </c>
      <c r="P7268" s="53" t="n">
        <v>45966.7265393519</v>
      </c>
      <c r="Q7268" s="53" t="n">
        <v>45957.6758449074</v>
      </c>
      <c r="R7268" s="0" t="n">
        <v>0</v>
      </c>
      <c r="S7268" s="51" t="s">
        <v>2401</v>
      </c>
      <c r="T7268" s="51" t="s">
        <v>2401</v>
      </c>
      <c r="U7268" s="0" t="str">
        <f aca="false">"5060458890191"</f>
        <v>5060458890191</v>
      </c>
      <c r="V7268" s="51" t="s">
        <v>2142</v>
      </c>
      <c r="W7268" s="51" t="s">
        <v>11243</v>
      </c>
      <c r="X7268" s="51" t="s">
        <v>2359</v>
      </c>
    </row>
    <row r="7269" customFormat="false" ht="14.25" hidden="true" customHeight="false" outlineLevel="0" collapsed="false">
      <c r="A7269" s="49" t="s">
        <v>2349</v>
      </c>
      <c r="B7269" s="49" t="s">
        <v>2350</v>
      </c>
      <c r="C7269" s="49" t="s">
        <v>12114</v>
      </c>
      <c r="D7269" s="49" t="s">
        <v>2352</v>
      </c>
      <c r="E7269" s="49" t="str">
        <f aca="false">"5060458890191"</f>
        <v>5060458890191</v>
      </c>
      <c r="F7269" s="49" t="s">
        <v>3656</v>
      </c>
      <c r="G7269" s="49" t="n">
        <v>0</v>
      </c>
      <c r="H7269" s="0" t="n">
        <v>0</v>
      </c>
      <c r="M7269" s="51" t="s">
        <v>12108</v>
      </c>
      <c r="N7269" s="49" t="n">
        <v>0</v>
      </c>
      <c r="O7269" s="53" t="n">
        <v>45957.6659143519</v>
      </c>
      <c r="P7269" s="53" t="n">
        <v>45970.8968518519</v>
      </c>
      <c r="Q7269" s="53" t="n">
        <v>45957.6659143519</v>
      </c>
      <c r="R7269" s="0" t="n">
        <v>0</v>
      </c>
      <c r="S7269" s="51" t="s">
        <v>2401</v>
      </c>
      <c r="T7269" s="51" t="s">
        <v>2401</v>
      </c>
      <c r="U7269" s="0" t="str">
        <f aca="false">"5060458890191"</f>
        <v>5060458890191</v>
      </c>
      <c r="V7269" s="51" t="s">
        <v>2142</v>
      </c>
      <c r="W7269" s="51" t="s">
        <v>12115</v>
      </c>
      <c r="X7269" s="51" t="s">
        <v>2359</v>
      </c>
    </row>
    <row r="7270" customFormat="false" ht="14.25" hidden="true" customHeight="false" outlineLevel="0" collapsed="false">
      <c r="A7270" s="49" t="s">
        <v>2349</v>
      </c>
      <c r="B7270" s="49" t="s">
        <v>2350</v>
      </c>
      <c r="C7270" s="49" t="s">
        <v>12116</v>
      </c>
      <c r="D7270" s="49" t="s">
        <v>2352</v>
      </c>
      <c r="E7270" s="49" t="str">
        <f aca="false">"5060458890191"</f>
        <v>5060458890191</v>
      </c>
      <c r="F7270" s="49" t="s">
        <v>3656</v>
      </c>
      <c r="G7270" s="49" t="n">
        <v>0</v>
      </c>
      <c r="H7270" s="0" t="n">
        <v>0</v>
      </c>
      <c r="M7270" s="51" t="s">
        <v>12108</v>
      </c>
      <c r="N7270" s="49" t="n">
        <v>0</v>
      </c>
      <c r="O7270" s="53" t="n">
        <v>45957.666099537</v>
      </c>
      <c r="P7270" s="53" t="n">
        <v>45960.9139351852</v>
      </c>
      <c r="Q7270" s="53" t="n">
        <v>45957.666099537</v>
      </c>
      <c r="R7270" s="0" t="n">
        <v>0</v>
      </c>
      <c r="S7270" s="51" t="s">
        <v>2401</v>
      </c>
      <c r="T7270" s="51" t="s">
        <v>2401</v>
      </c>
      <c r="U7270" s="0" t="str">
        <f aca="false">"5060458890191"</f>
        <v>5060458890191</v>
      </c>
      <c r="V7270" s="51" t="s">
        <v>2142</v>
      </c>
      <c r="W7270" s="51" t="s">
        <v>7434</v>
      </c>
      <c r="X7270" s="51" t="s">
        <v>2359</v>
      </c>
    </row>
    <row r="7271" customFormat="false" ht="14.25" hidden="true" customHeight="false" outlineLevel="0" collapsed="false">
      <c r="A7271" s="49" t="s">
        <v>2349</v>
      </c>
      <c r="B7271" s="49" t="s">
        <v>2350</v>
      </c>
      <c r="C7271" s="49" t="s">
        <v>12117</v>
      </c>
      <c r="D7271" s="49" t="s">
        <v>2352</v>
      </c>
      <c r="E7271" s="49" t="str">
        <f aca="false">"5060458890191"</f>
        <v>5060458890191</v>
      </c>
      <c r="F7271" s="49" t="s">
        <v>3656</v>
      </c>
      <c r="G7271" s="49" t="n">
        <v>0</v>
      </c>
      <c r="H7271" s="0" t="n">
        <v>0</v>
      </c>
      <c r="M7271" s="51" t="s">
        <v>12108</v>
      </c>
      <c r="N7271" s="49" t="n">
        <v>0</v>
      </c>
      <c r="O7271" s="53" t="n">
        <v>45957.6663310185</v>
      </c>
      <c r="P7271" s="53" t="n">
        <v>45960.9140046296</v>
      </c>
      <c r="Q7271" s="53" t="n">
        <v>45957.6663310185</v>
      </c>
      <c r="R7271" s="0" t="n">
        <v>0</v>
      </c>
      <c r="S7271" s="51" t="s">
        <v>2401</v>
      </c>
      <c r="T7271" s="51" t="s">
        <v>2401</v>
      </c>
      <c r="U7271" s="0" t="str">
        <f aca="false">"5060458890191"</f>
        <v>5060458890191</v>
      </c>
      <c r="V7271" s="51" t="s">
        <v>2142</v>
      </c>
      <c r="W7271" s="51" t="s">
        <v>7432</v>
      </c>
      <c r="X7271" s="51" t="s">
        <v>2359</v>
      </c>
    </row>
    <row r="7272" customFormat="false" ht="14.25" hidden="true" customHeight="false" outlineLevel="0" collapsed="false">
      <c r="A7272" s="49" t="s">
        <v>2349</v>
      </c>
      <c r="B7272" s="49" t="s">
        <v>2350</v>
      </c>
      <c r="C7272" s="49" t="s">
        <v>12118</v>
      </c>
      <c r="D7272" s="49" t="s">
        <v>2352</v>
      </c>
      <c r="E7272" s="49" t="str">
        <f aca="false">"5060458890191"</f>
        <v>5060458890191</v>
      </c>
      <c r="F7272" s="49" t="s">
        <v>3656</v>
      </c>
      <c r="G7272" s="49" t="n">
        <v>0</v>
      </c>
      <c r="H7272" s="0" t="n">
        <v>0</v>
      </c>
      <c r="M7272" s="51" t="s">
        <v>12108</v>
      </c>
      <c r="N7272" s="49" t="n">
        <v>0</v>
      </c>
      <c r="O7272" s="53" t="n">
        <v>45957.6665509259</v>
      </c>
      <c r="P7272" s="53" t="n">
        <v>45960.916087963</v>
      </c>
      <c r="Q7272" s="53" t="n">
        <v>45957.6665509259</v>
      </c>
      <c r="R7272" s="0" t="n">
        <v>0</v>
      </c>
      <c r="S7272" s="51" t="s">
        <v>2401</v>
      </c>
      <c r="T7272" s="51" t="s">
        <v>2401</v>
      </c>
      <c r="U7272" s="0" t="str">
        <f aca="false">"5060458890191"</f>
        <v>5060458890191</v>
      </c>
      <c r="V7272" s="51" t="s">
        <v>2142</v>
      </c>
      <c r="W7272" s="51" t="s">
        <v>4552</v>
      </c>
      <c r="X7272" s="51" t="s">
        <v>2359</v>
      </c>
    </row>
    <row r="7273" customFormat="false" ht="14.25" hidden="true" customHeight="false" outlineLevel="0" collapsed="false">
      <c r="A7273" s="49" t="s">
        <v>2349</v>
      </c>
      <c r="B7273" s="49" t="s">
        <v>2350</v>
      </c>
      <c r="C7273" s="49" t="s">
        <v>12119</v>
      </c>
      <c r="D7273" s="49" t="s">
        <v>2352</v>
      </c>
      <c r="E7273" s="49" t="str">
        <f aca="false">"5060458890191"</f>
        <v>5060458890191</v>
      </c>
      <c r="F7273" s="49" t="s">
        <v>3656</v>
      </c>
      <c r="G7273" s="49" t="n">
        <v>0</v>
      </c>
      <c r="H7273" s="0" t="n">
        <v>0</v>
      </c>
      <c r="M7273" s="51" t="s">
        <v>12108</v>
      </c>
      <c r="N7273" s="49" t="n">
        <v>0</v>
      </c>
      <c r="O7273" s="53" t="n">
        <v>45957.6667708333</v>
      </c>
      <c r="P7273" s="53" t="n">
        <v>45960.9162384259</v>
      </c>
      <c r="Q7273" s="53" t="n">
        <v>45957.6667708333</v>
      </c>
      <c r="R7273" s="0" t="n">
        <v>0</v>
      </c>
      <c r="S7273" s="51" t="s">
        <v>2401</v>
      </c>
      <c r="T7273" s="51" t="s">
        <v>2401</v>
      </c>
      <c r="U7273" s="0" t="str">
        <f aca="false">"5060458890191"</f>
        <v>5060458890191</v>
      </c>
      <c r="V7273" s="51" t="s">
        <v>2142</v>
      </c>
      <c r="W7273" s="51" t="s">
        <v>7438</v>
      </c>
      <c r="X7273" s="51" t="s">
        <v>2359</v>
      </c>
    </row>
    <row r="7274" customFormat="false" ht="14.25" hidden="true" customHeight="false" outlineLevel="0" collapsed="false">
      <c r="A7274" s="49" t="s">
        <v>2349</v>
      </c>
      <c r="B7274" s="49" t="s">
        <v>2350</v>
      </c>
      <c r="C7274" s="49" t="s">
        <v>12120</v>
      </c>
      <c r="D7274" s="49" t="s">
        <v>2352</v>
      </c>
      <c r="E7274" s="49" t="str">
        <f aca="false">"5060458890191"</f>
        <v>5060458890191</v>
      </c>
      <c r="F7274" s="49" t="s">
        <v>3656</v>
      </c>
      <c r="G7274" s="49" t="n">
        <v>0</v>
      </c>
      <c r="H7274" s="0" t="n">
        <v>0</v>
      </c>
      <c r="M7274" s="51" t="s">
        <v>12108</v>
      </c>
      <c r="N7274" s="49" t="n">
        <v>0</v>
      </c>
      <c r="O7274" s="53" t="n">
        <v>45957.671400463</v>
      </c>
      <c r="P7274" s="53" t="n">
        <v>45960.916712963</v>
      </c>
      <c r="Q7274" s="53" t="n">
        <v>45957.671400463</v>
      </c>
      <c r="R7274" s="0" t="n">
        <v>0</v>
      </c>
      <c r="S7274" s="51" t="s">
        <v>2401</v>
      </c>
      <c r="T7274" s="51" t="s">
        <v>2401</v>
      </c>
      <c r="U7274" s="0" t="str">
        <f aca="false">"5060458890191"</f>
        <v>5060458890191</v>
      </c>
      <c r="V7274" s="51" t="s">
        <v>2142</v>
      </c>
      <c r="W7274" s="51" t="s">
        <v>7461</v>
      </c>
      <c r="X7274" s="51" t="s">
        <v>2359</v>
      </c>
    </row>
    <row r="7275" customFormat="false" ht="14.25" hidden="true" customHeight="false" outlineLevel="0" collapsed="false">
      <c r="A7275" s="49" t="s">
        <v>2349</v>
      </c>
      <c r="B7275" s="49" t="s">
        <v>2350</v>
      </c>
      <c r="C7275" s="49" t="s">
        <v>12121</v>
      </c>
      <c r="D7275" s="49" t="s">
        <v>2352</v>
      </c>
      <c r="E7275" s="49" t="str">
        <f aca="false">"5060458890191"</f>
        <v>5060458890191</v>
      </c>
      <c r="F7275" s="49" t="s">
        <v>3656</v>
      </c>
      <c r="G7275" s="49" t="n">
        <v>0</v>
      </c>
      <c r="H7275" s="0" t="n">
        <v>0</v>
      </c>
      <c r="M7275" s="51" t="s">
        <v>12108</v>
      </c>
      <c r="N7275" s="49" t="n">
        <v>0</v>
      </c>
      <c r="O7275" s="53" t="n">
        <v>45957.6711689815</v>
      </c>
      <c r="P7275" s="53" t="n">
        <v>45960.9164699074</v>
      </c>
      <c r="Q7275" s="53" t="n">
        <v>45957.6711689815</v>
      </c>
      <c r="R7275" s="0" t="n">
        <v>0</v>
      </c>
      <c r="S7275" s="51" t="s">
        <v>2401</v>
      </c>
      <c r="T7275" s="51" t="s">
        <v>2401</v>
      </c>
      <c r="U7275" s="0" t="str">
        <f aca="false">"5060458890191"</f>
        <v>5060458890191</v>
      </c>
      <c r="V7275" s="51" t="s">
        <v>2142</v>
      </c>
      <c r="W7275" s="51" t="s">
        <v>7465</v>
      </c>
      <c r="X7275" s="51" t="s">
        <v>2359</v>
      </c>
    </row>
    <row r="7276" customFormat="false" ht="14.25" hidden="true" customHeight="false" outlineLevel="0" collapsed="false">
      <c r="A7276" s="49" t="s">
        <v>2349</v>
      </c>
      <c r="B7276" s="49" t="s">
        <v>2350</v>
      </c>
      <c r="C7276" s="49" t="s">
        <v>12122</v>
      </c>
      <c r="D7276" s="49" t="s">
        <v>2352</v>
      </c>
      <c r="E7276" s="49" t="str">
        <f aca="false">"5060458890191"</f>
        <v>5060458890191</v>
      </c>
      <c r="F7276" s="49" t="s">
        <v>3656</v>
      </c>
      <c r="G7276" s="49" t="n">
        <v>0</v>
      </c>
      <c r="H7276" s="0" t="n">
        <v>0</v>
      </c>
      <c r="M7276" s="51" t="s">
        <v>12108</v>
      </c>
      <c r="N7276" s="49" t="n">
        <v>0</v>
      </c>
      <c r="O7276" s="53" t="n">
        <v>45957.6709259259</v>
      </c>
      <c r="P7276" s="53" t="n">
        <v>45960.9165509259</v>
      </c>
      <c r="Q7276" s="53" t="n">
        <v>45957.6709259259</v>
      </c>
      <c r="R7276" s="0" t="n">
        <v>0</v>
      </c>
      <c r="S7276" s="51" t="s">
        <v>2401</v>
      </c>
      <c r="T7276" s="51" t="s">
        <v>2401</v>
      </c>
      <c r="U7276" s="0" t="str">
        <f aca="false">"5060458890191"</f>
        <v>5060458890191</v>
      </c>
      <c r="V7276" s="51" t="s">
        <v>2142</v>
      </c>
      <c r="W7276" s="51" t="s">
        <v>7463</v>
      </c>
      <c r="X7276" s="51" t="s">
        <v>2359</v>
      </c>
    </row>
    <row r="7277" customFormat="false" ht="14.25" hidden="true" customHeight="false" outlineLevel="0" collapsed="false">
      <c r="A7277" s="49" t="s">
        <v>2349</v>
      </c>
      <c r="B7277" s="49" t="s">
        <v>2350</v>
      </c>
      <c r="C7277" s="49" t="s">
        <v>12123</v>
      </c>
      <c r="D7277" s="49" t="s">
        <v>2352</v>
      </c>
      <c r="E7277" s="49" t="str">
        <f aca="false">"5060458890191"</f>
        <v>5060458890191</v>
      </c>
      <c r="F7277" s="49" t="s">
        <v>3656</v>
      </c>
      <c r="G7277" s="49" t="n">
        <v>0</v>
      </c>
      <c r="H7277" s="0" t="n">
        <v>0</v>
      </c>
      <c r="M7277" s="51" t="s">
        <v>12108</v>
      </c>
      <c r="N7277" s="49" t="n">
        <v>0</v>
      </c>
      <c r="O7277" s="53" t="n">
        <v>45957.6706481481</v>
      </c>
      <c r="P7277" s="53" t="n">
        <v>45960.9163194444</v>
      </c>
      <c r="Q7277" s="53" t="n">
        <v>45957.6706481481</v>
      </c>
      <c r="R7277" s="0" t="n">
        <v>0</v>
      </c>
      <c r="S7277" s="51" t="s">
        <v>2401</v>
      </c>
      <c r="T7277" s="51" t="s">
        <v>2401</v>
      </c>
      <c r="U7277" s="0" t="str">
        <f aca="false">"5060458890191"</f>
        <v>5060458890191</v>
      </c>
      <c r="V7277" s="51" t="s">
        <v>2142</v>
      </c>
      <c r="W7277" s="51" t="s">
        <v>7467</v>
      </c>
      <c r="X7277" s="51" t="s">
        <v>2359</v>
      </c>
    </row>
    <row r="7278" customFormat="false" ht="14.25" hidden="true" customHeight="false" outlineLevel="0" collapsed="false">
      <c r="A7278" s="49" t="s">
        <v>2349</v>
      </c>
      <c r="B7278" s="49" t="s">
        <v>2350</v>
      </c>
      <c r="C7278" s="49" t="s">
        <v>12124</v>
      </c>
      <c r="D7278" s="49" t="s">
        <v>2352</v>
      </c>
      <c r="E7278" s="49" t="str">
        <f aca="false">"5060458890191"</f>
        <v>5060458890191</v>
      </c>
      <c r="F7278" s="49" t="s">
        <v>3656</v>
      </c>
      <c r="G7278" s="49" t="n">
        <v>0</v>
      </c>
      <c r="H7278" s="0" t="n">
        <v>0</v>
      </c>
      <c r="M7278" s="51" t="s">
        <v>12108</v>
      </c>
      <c r="N7278" s="49" t="n">
        <v>0</v>
      </c>
      <c r="O7278" s="53" t="n">
        <v>45957.6704398148</v>
      </c>
      <c r="P7278" s="53" t="n">
        <v>45960.916400463</v>
      </c>
      <c r="Q7278" s="53" t="n">
        <v>45957.6704398148</v>
      </c>
      <c r="R7278" s="0" t="n">
        <v>0</v>
      </c>
      <c r="S7278" s="51" t="s">
        <v>2401</v>
      </c>
      <c r="T7278" s="51" t="s">
        <v>2401</v>
      </c>
      <c r="U7278" s="0" t="str">
        <f aca="false">"5060458890191"</f>
        <v>5060458890191</v>
      </c>
      <c r="V7278" s="51" t="s">
        <v>2142</v>
      </c>
      <c r="W7278" s="51" t="s">
        <v>7469</v>
      </c>
      <c r="X7278" s="51" t="s">
        <v>2359</v>
      </c>
    </row>
    <row r="7279" customFormat="false" ht="14.25" hidden="true" customHeight="false" outlineLevel="0" collapsed="false">
      <c r="A7279" s="49" t="s">
        <v>2349</v>
      </c>
      <c r="B7279" s="49" t="s">
        <v>2350</v>
      </c>
      <c r="C7279" s="49" t="s">
        <v>12125</v>
      </c>
      <c r="D7279" s="49" t="s">
        <v>2352</v>
      </c>
      <c r="E7279" s="49" t="str">
        <f aca="false">"5060458890191"</f>
        <v>5060458890191</v>
      </c>
      <c r="F7279" s="49" t="s">
        <v>3656</v>
      </c>
      <c r="G7279" s="49" t="n">
        <v>0</v>
      </c>
      <c r="H7279" s="0" t="n">
        <v>0</v>
      </c>
      <c r="M7279" s="51" t="s">
        <v>12108</v>
      </c>
      <c r="N7279" s="49" t="n">
        <v>0</v>
      </c>
      <c r="O7279" s="53" t="n">
        <v>45957.6674305556</v>
      </c>
      <c r="P7279" s="53" t="n">
        <v>45960.9161689815</v>
      </c>
      <c r="Q7279" s="53" t="n">
        <v>45957.6674305556</v>
      </c>
      <c r="R7279" s="0" t="n">
        <v>0</v>
      </c>
      <c r="S7279" s="51" t="s">
        <v>2401</v>
      </c>
      <c r="T7279" s="51" t="s">
        <v>2401</v>
      </c>
      <c r="U7279" s="0" t="str">
        <f aca="false">"5060458890191"</f>
        <v>5060458890191</v>
      </c>
      <c r="V7279" s="51" t="s">
        <v>2142</v>
      </c>
      <c r="W7279" s="51" t="s">
        <v>4533</v>
      </c>
      <c r="X7279" s="51" t="s">
        <v>2359</v>
      </c>
    </row>
    <row r="7280" customFormat="false" ht="14.25" hidden="true" customHeight="false" outlineLevel="0" collapsed="false">
      <c r="A7280" s="49" t="s">
        <v>2349</v>
      </c>
      <c r="B7280" s="49" t="s">
        <v>2350</v>
      </c>
      <c r="C7280" s="49" t="s">
        <v>12126</v>
      </c>
      <c r="D7280" s="49" t="s">
        <v>2352</v>
      </c>
      <c r="E7280" s="49" t="str">
        <f aca="false">"5060458890191"</f>
        <v>5060458890191</v>
      </c>
      <c r="F7280" s="49" t="s">
        <v>3656</v>
      </c>
      <c r="G7280" s="49" t="n">
        <v>0</v>
      </c>
      <c r="H7280" s="0" t="n">
        <v>0</v>
      </c>
      <c r="M7280" s="51" t="s">
        <v>12108</v>
      </c>
      <c r="N7280" s="49" t="n">
        <v>0</v>
      </c>
      <c r="O7280" s="53" t="n">
        <v>45957.6672569444</v>
      </c>
      <c r="P7280" s="53" t="n">
        <v>45966.6413657407</v>
      </c>
      <c r="Q7280" s="53" t="n">
        <v>45957.6672569444</v>
      </c>
      <c r="R7280" s="0" t="n">
        <v>0</v>
      </c>
      <c r="S7280" s="51" t="s">
        <v>2401</v>
      </c>
      <c r="T7280" s="51" t="s">
        <v>2401</v>
      </c>
      <c r="U7280" s="0" t="str">
        <f aca="false">"5060458890191"</f>
        <v>5060458890191</v>
      </c>
      <c r="V7280" s="51" t="s">
        <v>2142</v>
      </c>
      <c r="W7280" s="51" t="s">
        <v>11051</v>
      </c>
      <c r="X7280" s="51" t="s">
        <v>2359</v>
      </c>
    </row>
    <row r="7281" customFormat="false" ht="14.25" hidden="true" customHeight="false" outlineLevel="0" collapsed="false">
      <c r="A7281" s="49" t="s">
        <v>2349</v>
      </c>
      <c r="B7281" s="49" t="s">
        <v>2350</v>
      </c>
      <c r="C7281" s="49" t="s">
        <v>12127</v>
      </c>
      <c r="D7281" s="49" t="s">
        <v>2352</v>
      </c>
      <c r="E7281" s="49" t="str">
        <f aca="false">"5060458890191"</f>
        <v>5060458890191</v>
      </c>
      <c r="F7281" s="49" t="s">
        <v>3656</v>
      </c>
      <c r="G7281" s="49" t="n">
        <v>0</v>
      </c>
      <c r="H7281" s="0" t="n">
        <v>0</v>
      </c>
      <c r="M7281" s="51" t="s">
        <v>12108</v>
      </c>
      <c r="N7281" s="49" t="n">
        <v>0</v>
      </c>
      <c r="O7281" s="53" t="n">
        <v>45957.6718402778</v>
      </c>
      <c r="P7281" s="53" t="n">
        <v>45960.9166435185</v>
      </c>
      <c r="Q7281" s="53" t="n">
        <v>45957.6718402778</v>
      </c>
      <c r="R7281" s="0" t="n">
        <v>0</v>
      </c>
      <c r="S7281" s="51" t="s">
        <v>2401</v>
      </c>
      <c r="T7281" s="51" t="s">
        <v>2401</v>
      </c>
      <c r="U7281" s="0" t="str">
        <f aca="false">"5060458890191"</f>
        <v>5060458890191</v>
      </c>
      <c r="V7281" s="51" t="s">
        <v>2142</v>
      </c>
      <c r="W7281" s="51" t="s">
        <v>4529</v>
      </c>
      <c r="X7281" s="51" t="s">
        <v>2359</v>
      </c>
    </row>
    <row r="7282" customFormat="false" ht="14.25" hidden="true" customHeight="false" outlineLevel="0" collapsed="false">
      <c r="A7282" s="49" t="s">
        <v>2349</v>
      </c>
      <c r="B7282" s="49" t="s">
        <v>2350</v>
      </c>
      <c r="C7282" s="49" t="s">
        <v>12128</v>
      </c>
      <c r="D7282" s="49" t="s">
        <v>2352</v>
      </c>
      <c r="E7282" s="49" t="str">
        <f aca="false">"5060458890191"</f>
        <v>5060458890191</v>
      </c>
      <c r="F7282" s="49" t="s">
        <v>3656</v>
      </c>
      <c r="G7282" s="49" t="n">
        <v>0</v>
      </c>
      <c r="H7282" s="0" t="n">
        <v>0</v>
      </c>
      <c r="M7282" s="51" t="s">
        <v>12108</v>
      </c>
      <c r="N7282" s="49" t="n">
        <v>0</v>
      </c>
      <c r="O7282" s="53" t="n">
        <v>45957.6720717593</v>
      </c>
      <c r="P7282" s="53" t="n">
        <v>45960.916875</v>
      </c>
      <c r="Q7282" s="53" t="n">
        <v>45957.6720717593</v>
      </c>
      <c r="R7282" s="0" t="n">
        <v>0</v>
      </c>
      <c r="S7282" s="51" t="s">
        <v>2401</v>
      </c>
      <c r="T7282" s="51" t="s">
        <v>2401</v>
      </c>
      <c r="U7282" s="0" t="str">
        <f aca="false">"5060458890191"</f>
        <v>5060458890191</v>
      </c>
      <c r="V7282" s="51" t="s">
        <v>2142</v>
      </c>
      <c r="W7282" s="51" t="s">
        <v>7448</v>
      </c>
      <c r="X7282" s="51" t="s">
        <v>2359</v>
      </c>
    </row>
    <row r="7283" customFormat="false" ht="14.25" hidden="true" customHeight="false" outlineLevel="0" collapsed="false">
      <c r="A7283" s="49" t="s">
        <v>2349</v>
      </c>
      <c r="B7283" s="49" t="s">
        <v>2350</v>
      </c>
      <c r="C7283" s="49" t="s">
        <v>12129</v>
      </c>
      <c r="D7283" s="49" t="s">
        <v>2352</v>
      </c>
      <c r="E7283" s="49" t="str">
        <f aca="false">"5060458890191"</f>
        <v>5060458890191</v>
      </c>
      <c r="F7283" s="49" t="s">
        <v>3656</v>
      </c>
      <c r="G7283" s="49" t="n">
        <v>0</v>
      </c>
      <c r="H7283" s="0" t="n">
        <v>0</v>
      </c>
      <c r="M7283" s="51" t="s">
        <v>12108</v>
      </c>
      <c r="N7283" s="49" t="n">
        <v>0</v>
      </c>
      <c r="O7283" s="53" t="n">
        <v>45957.6726041667</v>
      </c>
      <c r="P7283" s="53" t="n">
        <v>45960.9168055556</v>
      </c>
      <c r="Q7283" s="53" t="n">
        <v>45957.6726041667</v>
      </c>
      <c r="R7283" s="0" t="n">
        <v>0</v>
      </c>
      <c r="S7283" s="51" t="s">
        <v>2401</v>
      </c>
      <c r="T7283" s="51" t="s">
        <v>2401</v>
      </c>
      <c r="U7283" s="0" t="str">
        <f aca="false">"5060458890191"</f>
        <v>5060458890191</v>
      </c>
      <c r="V7283" s="51" t="s">
        <v>2142</v>
      </c>
      <c r="W7283" s="51" t="s">
        <v>7445</v>
      </c>
      <c r="X7283" s="51" t="s">
        <v>2359</v>
      </c>
    </row>
    <row r="7284" customFormat="false" ht="14.25" hidden="true" customHeight="false" outlineLevel="0" collapsed="false">
      <c r="A7284" s="49" t="s">
        <v>2349</v>
      </c>
      <c r="B7284" s="49" t="s">
        <v>2350</v>
      </c>
      <c r="C7284" s="49" t="s">
        <v>12130</v>
      </c>
      <c r="D7284" s="49" t="s">
        <v>2352</v>
      </c>
      <c r="E7284" s="49" t="str">
        <f aca="false">"5060458890191"</f>
        <v>5060458890191</v>
      </c>
      <c r="F7284" s="49" t="s">
        <v>3656</v>
      </c>
      <c r="G7284" s="49" t="n">
        <v>0</v>
      </c>
      <c r="H7284" s="0" t="n">
        <v>0</v>
      </c>
      <c r="M7284" s="51" t="s">
        <v>12108</v>
      </c>
      <c r="N7284" s="49" t="n">
        <v>0</v>
      </c>
      <c r="O7284" s="53" t="n">
        <v>45957.6730092593</v>
      </c>
      <c r="P7284" s="53" t="n">
        <v>45960.917037037</v>
      </c>
      <c r="Q7284" s="53" t="n">
        <v>45957.6730092593</v>
      </c>
      <c r="R7284" s="0" t="n">
        <v>0</v>
      </c>
      <c r="S7284" s="51" t="s">
        <v>2401</v>
      </c>
      <c r="T7284" s="51" t="s">
        <v>2401</v>
      </c>
      <c r="U7284" s="0" t="str">
        <f aca="false">"5060458890191"</f>
        <v>5060458890191</v>
      </c>
      <c r="V7284" s="51" t="s">
        <v>2142</v>
      </c>
      <c r="W7284" s="51" t="s">
        <v>7443</v>
      </c>
      <c r="X7284" s="51" t="s">
        <v>2359</v>
      </c>
    </row>
    <row r="7285" customFormat="false" ht="14.25" hidden="true" customHeight="false" outlineLevel="0" collapsed="false">
      <c r="A7285" s="49" t="s">
        <v>2349</v>
      </c>
      <c r="B7285" s="49" t="s">
        <v>2350</v>
      </c>
      <c r="C7285" s="49" t="s">
        <v>12131</v>
      </c>
      <c r="D7285" s="49" t="s">
        <v>2352</v>
      </c>
      <c r="E7285" s="49" t="str">
        <f aca="false">"5060458890191"</f>
        <v>5060458890191</v>
      </c>
      <c r="F7285" s="49" t="s">
        <v>3656</v>
      </c>
      <c r="G7285" s="49" t="n">
        <v>0</v>
      </c>
      <c r="H7285" s="0" t="n">
        <v>0</v>
      </c>
      <c r="M7285" s="51" t="s">
        <v>12108</v>
      </c>
      <c r="N7285" s="49" t="n">
        <v>0</v>
      </c>
      <c r="O7285" s="53" t="n">
        <v>45957.6731944445</v>
      </c>
      <c r="P7285" s="53" t="n">
        <v>45960.9169675926</v>
      </c>
      <c r="Q7285" s="53" t="n">
        <v>45957.6731944445</v>
      </c>
      <c r="R7285" s="0" t="n">
        <v>0</v>
      </c>
      <c r="S7285" s="51" t="s">
        <v>2401</v>
      </c>
      <c r="T7285" s="51" t="s">
        <v>2401</v>
      </c>
      <c r="U7285" s="0" t="str">
        <f aca="false">"5060458890191"</f>
        <v>5060458890191</v>
      </c>
      <c r="V7285" s="51" t="s">
        <v>2142</v>
      </c>
      <c r="W7285" s="51" t="s">
        <v>4517</v>
      </c>
      <c r="X7285" s="51" t="s">
        <v>2359</v>
      </c>
    </row>
    <row r="7286" customFormat="false" ht="14.25" hidden="true" customHeight="false" outlineLevel="0" collapsed="false">
      <c r="A7286" s="49" t="s">
        <v>2349</v>
      </c>
      <c r="B7286" s="49" t="s">
        <v>2350</v>
      </c>
      <c r="C7286" s="49" t="s">
        <v>12132</v>
      </c>
      <c r="D7286" s="49" t="s">
        <v>2352</v>
      </c>
      <c r="E7286" s="49" t="str">
        <f aca="false">"5060458890191"</f>
        <v>5060458890191</v>
      </c>
      <c r="F7286" s="49" t="s">
        <v>3656</v>
      </c>
      <c r="G7286" s="49" t="n">
        <v>0</v>
      </c>
      <c r="H7286" s="0" t="n">
        <v>0</v>
      </c>
      <c r="M7286" s="51" t="s">
        <v>12108</v>
      </c>
      <c r="N7286" s="49" t="n">
        <v>0</v>
      </c>
      <c r="O7286" s="53" t="n">
        <v>45957.6736111111</v>
      </c>
      <c r="P7286" s="53" t="n">
        <v>45960.9171759259</v>
      </c>
      <c r="Q7286" s="53" t="n">
        <v>45957.6736111111</v>
      </c>
      <c r="R7286" s="0" t="n">
        <v>0</v>
      </c>
      <c r="S7286" s="51" t="s">
        <v>2401</v>
      </c>
      <c r="T7286" s="51" t="s">
        <v>2401</v>
      </c>
      <c r="U7286" s="0" t="str">
        <f aca="false">"5060458890191"</f>
        <v>5060458890191</v>
      </c>
      <c r="V7286" s="51" t="s">
        <v>2142</v>
      </c>
      <c r="W7286" s="51" t="s">
        <v>9465</v>
      </c>
      <c r="X7286" s="51" t="s">
        <v>2359</v>
      </c>
    </row>
    <row r="7287" customFormat="false" ht="14.25" hidden="true" customHeight="false" outlineLevel="0" collapsed="false">
      <c r="A7287" s="49" t="s">
        <v>2349</v>
      </c>
      <c r="B7287" s="49" t="s">
        <v>2350</v>
      </c>
      <c r="C7287" s="49" t="s">
        <v>12133</v>
      </c>
      <c r="D7287" s="49" t="s">
        <v>2352</v>
      </c>
      <c r="E7287" s="49" t="str">
        <f aca="false">"5060458890191"</f>
        <v>5060458890191</v>
      </c>
      <c r="F7287" s="49" t="s">
        <v>3656</v>
      </c>
      <c r="G7287" s="49" t="n">
        <v>0</v>
      </c>
      <c r="H7287" s="0" t="n">
        <v>0</v>
      </c>
      <c r="M7287" s="51" t="s">
        <v>12108</v>
      </c>
      <c r="N7287" s="49" t="n">
        <v>0</v>
      </c>
      <c r="O7287" s="53" t="n">
        <v>45957.6738541667</v>
      </c>
      <c r="P7287" s="53" t="n">
        <v>45960.9171064815</v>
      </c>
      <c r="Q7287" s="53" t="n">
        <v>45957.6738541667</v>
      </c>
      <c r="R7287" s="0" t="n">
        <v>0</v>
      </c>
      <c r="S7287" s="51" t="s">
        <v>2401</v>
      </c>
      <c r="T7287" s="51" t="s">
        <v>2401</v>
      </c>
      <c r="U7287" s="0" t="str">
        <f aca="false">"5060458890191"</f>
        <v>5060458890191</v>
      </c>
      <c r="V7287" s="51" t="s">
        <v>2142</v>
      </c>
      <c r="W7287" s="51" t="s">
        <v>7441</v>
      </c>
      <c r="X7287" s="51" t="s">
        <v>2359</v>
      </c>
    </row>
    <row r="7288" customFormat="false" ht="14.25" hidden="true" customHeight="false" outlineLevel="0" collapsed="false">
      <c r="A7288" s="49" t="s">
        <v>2349</v>
      </c>
      <c r="B7288" s="49" t="s">
        <v>2350</v>
      </c>
      <c r="C7288" s="49" t="s">
        <v>12134</v>
      </c>
      <c r="D7288" s="49" t="s">
        <v>2352</v>
      </c>
      <c r="E7288" s="49" t="str">
        <f aca="false">"5060458890191"</f>
        <v>5060458890191</v>
      </c>
      <c r="F7288" s="49" t="s">
        <v>3656</v>
      </c>
      <c r="G7288" s="49" t="n">
        <v>0</v>
      </c>
      <c r="H7288" s="0" t="n">
        <v>0</v>
      </c>
      <c r="M7288" s="51" t="s">
        <v>12108</v>
      </c>
      <c r="N7288" s="49" t="n">
        <v>0</v>
      </c>
      <c r="O7288" s="53" t="n">
        <v>45957.6752777778</v>
      </c>
      <c r="P7288" s="53" t="n">
        <v>45965.7619791667</v>
      </c>
      <c r="Q7288" s="53" t="n">
        <v>45957.6752777778</v>
      </c>
      <c r="R7288" s="0" t="n">
        <v>0</v>
      </c>
      <c r="S7288" s="51" t="s">
        <v>2401</v>
      </c>
      <c r="T7288" s="51" t="s">
        <v>2401</v>
      </c>
      <c r="U7288" s="0" t="str">
        <f aca="false">"5060458890191"</f>
        <v>5060458890191</v>
      </c>
      <c r="V7288" s="51" t="s">
        <v>2142</v>
      </c>
      <c r="W7288" s="51" t="s">
        <v>11666</v>
      </c>
      <c r="X7288" s="51" t="s">
        <v>2359</v>
      </c>
    </row>
    <row r="7289" customFormat="false" ht="14.25" hidden="true" customHeight="false" outlineLevel="0" collapsed="false">
      <c r="A7289" s="49" t="s">
        <v>2349</v>
      </c>
      <c r="B7289" s="49" t="s">
        <v>2350</v>
      </c>
      <c r="C7289" s="49" t="s">
        <v>12135</v>
      </c>
      <c r="D7289" s="49" t="s">
        <v>2352</v>
      </c>
      <c r="E7289" s="49" t="str">
        <f aca="false">"5060458890191"</f>
        <v>5060458890191</v>
      </c>
      <c r="F7289" s="49" t="s">
        <v>3656</v>
      </c>
      <c r="G7289" s="49" t="n">
        <v>0</v>
      </c>
      <c r="H7289" s="0" t="n">
        <v>0</v>
      </c>
      <c r="M7289" s="51" t="s">
        <v>12108</v>
      </c>
      <c r="N7289" s="49" t="n">
        <v>0</v>
      </c>
      <c r="O7289" s="53" t="n">
        <v>45957.6750462963</v>
      </c>
      <c r="P7289" s="53" t="n">
        <v>45960.9197800926</v>
      </c>
      <c r="Q7289" s="53" t="n">
        <v>45957.6750462963</v>
      </c>
      <c r="R7289" s="0" t="n">
        <v>0</v>
      </c>
      <c r="S7289" s="51" t="s">
        <v>2401</v>
      </c>
      <c r="T7289" s="51" t="s">
        <v>2401</v>
      </c>
      <c r="U7289" s="0" t="str">
        <f aca="false">"5060458890191"</f>
        <v>5060458890191</v>
      </c>
      <c r="V7289" s="51" t="s">
        <v>2142</v>
      </c>
      <c r="W7289" s="51" t="s">
        <v>6348</v>
      </c>
      <c r="X7289" s="51" t="s">
        <v>2359</v>
      </c>
    </row>
    <row r="7290" customFormat="false" ht="14.25" hidden="true" customHeight="false" outlineLevel="0" collapsed="false">
      <c r="A7290" s="49" t="s">
        <v>2349</v>
      </c>
      <c r="B7290" s="49" t="s">
        <v>2350</v>
      </c>
      <c r="C7290" s="49" t="s">
        <v>12136</v>
      </c>
      <c r="D7290" s="49" t="s">
        <v>2352</v>
      </c>
      <c r="E7290" s="49" t="str">
        <f aca="false">"5060458890191"</f>
        <v>5060458890191</v>
      </c>
      <c r="F7290" s="49" t="s">
        <v>3656</v>
      </c>
      <c r="G7290" s="49" t="n">
        <v>0</v>
      </c>
      <c r="H7290" s="0" t="n">
        <v>0</v>
      </c>
      <c r="M7290" s="51" t="s">
        <v>12108</v>
      </c>
      <c r="N7290" s="49" t="n">
        <v>0</v>
      </c>
      <c r="O7290" s="53" t="n">
        <v>45957.6744675926</v>
      </c>
      <c r="P7290" s="53" t="n">
        <v>45960.9172453704</v>
      </c>
      <c r="Q7290" s="53" t="n">
        <v>45957.6744675926</v>
      </c>
      <c r="R7290" s="0" t="n">
        <v>0</v>
      </c>
      <c r="S7290" s="51" t="s">
        <v>2401</v>
      </c>
      <c r="T7290" s="51" t="s">
        <v>2401</v>
      </c>
      <c r="U7290" s="0" t="str">
        <f aca="false">"5060458890191"</f>
        <v>5060458890191</v>
      </c>
      <c r="V7290" s="51" t="s">
        <v>2142</v>
      </c>
      <c r="W7290" s="51" t="s">
        <v>9443</v>
      </c>
      <c r="X7290" s="51" t="s">
        <v>2359</v>
      </c>
    </row>
    <row r="7291" customFormat="false" ht="14.25" hidden="true" customHeight="false" outlineLevel="0" collapsed="false">
      <c r="A7291" s="49" t="s">
        <v>2349</v>
      </c>
      <c r="B7291" s="49" t="s">
        <v>2350</v>
      </c>
      <c r="C7291" s="49" t="s">
        <v>12137</v>
      </c>
      <c r="D7291" s="49" t="s">
        <v>2352</v>
      </c>
      <c r="E7291" s="49" t="str">
        <f aca="false">"5060458890191"</f>
        <v>5060458890191</v>
      </c>
      <c r="F7291" s="49" t="s">
        <v>3656</v>
      </c>
      <c r="G7291" s="49" t="n">
        <v>0</v>
      </c>
      <c r="H7291" s="0" t="n">
        <v>0</v>
      </c>
      <c r="M7291" s="51" t="s">
        <v>12108</v>
      </c>
      <c r="N7291" s="49" t="n">
        <v>0</v>
      </c>
      <c r="O7291" s="53" t="n">
        <v>45957.6742708333</v>
      </c>
      <c r="P7291" s="53" t="n">
        <v>45960.9173148148</v>
      </c>
      <c r="Q7291" s="53" t="n">
        <v>45957.6742708333</v>
      </c>
      <c r="R7291" s="0" t="n">
        <v>0</v>
      </c>
      <c r="S7291" s="51" t="s">
        <v>2401</v>
      </c>
      <c r="T7291" s="51" t="s">
        <v>2401</v>
      </c>
      <c r="U7291" s="0" t="str">
        <f aca="false">"5060458890191"</f>
        <v>5060458890191</v>
      </c>
      <c r="V7291" s="51" t="s">
        <v>2142</v>
      </c>
      <c r="W7291" s="51" t="s">
        <v>9441</v>
      </c>
      <c r="X7291" s="51" t="s">
        <v>2359</v>
      </c>
    </row>
    <row r="7292" customFormat="false" ht="14.25" hidden="true" customHeight="false" outlineLevel="0" collapsed="false">
      <c r="A7292" s="49" t="s">
        <v>2349</v>
      </c>
      <c r="B7292" s="49" t="s">
        <v>2350</v>
      </c>
      <c r="C7292" s="49" t="s">
        <v>12138</v>
      </c>
      <c r="D7292" s="49" t="s">
        <v>2352</v>
      </c>
      <c r="E7292" s="49" t="s">
        <v>4351</v>
      </c>
      <c r="F7292" s="49" t="s">
        <v>4352</v>
      </c>
      <c r="G7292" s="49" t="n">
        <v>0</v>
      </c>
      <c r="H7292" s="0" t="n">
        <v>0</v>
      </c>
      <c r="M7292" s="51" t="s">
        <v>12139</v>
      </c>
      <c r="N7292" s="49" t="n">
        <v>0</v>
      </c>
      <c r="O7292" s="53" t="n">
        <v>45979.6684490741</v>
      </c>
      <c r="P7292" s="53" t="n">
        <v>45981.8082291667</v>
      </c>
      <c r="Q7292" s="53" t="n">
        <v>45979.6684490741</v>
      </c>
      <c r="R7292" s="0" t="n">
        <v>0</v>
      </c>
      <c r="S7292" s="51" t="s">
        <v>2356</v>
      </c>
      <c r="T7292" s="51" t="s">
        <v>2356</v>
      </c>
      <c r="U7292" s="51" t="s">
        <v>4351</v>
      </c>
      <c r="V7292" s="51" t="s">
        <v>2365</v>
      </c>
      <c r="W7292" s="51" t="s">
        <v>7258</v>
      </c>
      <c r="X7292" s="51" t="s">
        <v>2359</v>
      </c>
    </row>
    <row r="7293" customFormat="false" ht="14.25" hidden="true" customHeight="false" outlineLevel="0" collapsed="false">
      <c r="A7293" s="49" t="s">
        <v>2349</v>
      </c>
      <c r="B7293" s="49" t="s">
        <v>2350</v>
      </c>
      <c r="C7293" s="49" t="s">
        <v>12140</v>
      </c>
      <c r="D7293" s="49" t="s">
        <v>2352</v>
      </c>
      <c r="E7293" s="49" t="s">
        <v>4351</v>
      </c>
      <c r="F7293" s="49" t="s">
        <v>4352</v>
      </c>
      <c r="G7293" s="49" t="n">
        <v>0</v>
      </c>
      <c r="H7293" s="0" t="n">
        <v>0</v>
      </c>
      <c r="M7293" s="51" t="s">
        <v>12139</v>
      </c>
      <c r="N7293" s="49" t="n">
        <v>0</v>
      </c>
      <c r="O7293" s="53" t="n">
        <v>45979.6690972222</v>
      </c>
      <c r="P7293" s="53" t="n">
        <v>46006.8478356482</v>
      </c>
      <c r="Q7293" s="53" t="n">
        <v>45979.6690972222</v>
      </c>
      <c r="R7293" s="0" t="n">
        <v>0</v>
      </c>
      <c r="S7293" s="51" t="s">
        <v>2356</v>
      </c>
      <c r="T7293" s="51" t="s">
        <v>2356</v>
      </c>
      <c r="U7293" s="51" t="s">
        <v>4351</v>
      </c>
      <c r="V7293" s="51" t="s">
        <v>2365</v>
      </c>
      <c r="W7293" s="51" t="s">
        <v>7296</v>
      </c>
      <c r="X7293" s="51" t="s">
        <v>2359</v>
      </c>
    </row>
    <row r="7294" customFormat="false" ht="14.25" hidden="true" customHeight="false" outlineLevel="0" collapsed="false">
      <c r="A7294" s="49" t="s">
        <v>2349</v>
      </c>
      <c r="B7294" s="49" t="s">
        <v>2350</v>
      </c>
      <c r="C7294" s="49" t="s">
        <v>12141</v>
      </c>
      <c r="D7294" s="49" t="s">
        <v>2352</v>
      </c>
      <c r="E7294" s="49" t="s">
        <v>4351</v>
      </c>
      <c r="F7294" s="49" t="s">
        <v>4352</v>
      </c>
      <c r="G7294" s="49" t="n">
        <v>0</v>
      </c>
      <c r="H7294" s="0" t="n">
        <v>0</v>
      </c>
      <c r="M7294" s="51" t="s">
        <v>12139</v>
      </c>
      <c r="N7294" s="49" t="n">
        <v>0</v>
      </c>
      <c r="O7294" s="53" t="n">
        <v>45979.6698611111</v>
      </c>
      <c r="P7294" s="53" t="n">
        <v>46006.8480902778</v>
      </c>
      <c r="Q7294" s="53" t="n">
        <v>45979.6698611111</v>
      </c>
      <c r="R7294" s="0" t="n">
        <v>0</v>
      </c>
      <c r="S7294" s="51" t="s">
        <v>2356</v>
      </c>
      <c r="T7294" s="51" t="s">
        <v>2356</v>
      </c>
      <c r="U7294" s="51" t="s">
        <v>4351</v>
      </c>
      <c r="V7294" s="51" t="s">
        <v>2365</v>
      </c>
      <c r="W7294" s="51" t="s">
        <v>8510</v>
      </c>
      <c r="X7294" s="51" t="s">
        <v>2359</v>
      </c>
    </row>
    <row r="7295" customFormat="false" ht="14.25" hidden="true" customHeight="false" outlineLevel="0" collapsed="false">
      <c r="A7295" s="49" t="s">
        <v>2349</v>
      </c>
      <c r="B7295" s="49" t="s">
        <v>2350</v>
      </c>
      <c r="C7295" s="49" t="s">
        <v>12142</v>
      </c>
      <c r="D7295" s="49" t="s">
        <v>2352</v>
      </c>
      <c r="E7295" s="49" t="s">
        <v>4351</v>
      </c>
      <c r="F7295" s="49" t="s">
        <v>4352</v>
      </c>
      <c r="G7295" s="49" t="n">
        <v>0</v>
      </c>
      <c r="H7295" s="0" t="n">
        <v>0</v>
      </c>
      <c r="M7295" s="51" t="s">
        <v>12139</v>
      </c>
      <c r="N7295" s="49" t="n">
        <v>0</v>
      </c>
      <c r="O7295" s="53" t="n">
        <v>45979.6695486111</v>
      </c>
      <c r="P7295" s="53" t="n">
        <v>46006.8479282407</v>
      </c>
      <c r="Q7295" s="53" t="n">
        <v>45979.6695486111</v>
      </c>
      <c r="R7295" s="0" t="n">
        <v>0</v>
      </c>
      <c r="S7295" s="51" t="s">
        <v>2356</v>
      </c>
      <c r="T7295" s="51" t="s">
        <v>2356</v>
      </c>
      <c r="U7295" s="51" t="s">
        <v>4351</v>
      </c>
      <c r="V7295" s="51" t="s">
        <v>2365</v>
      </c>
      <c r="W7295" s="51" t="s">
        <v>5761</v>
      </c>
      <c r="X7295" s="51" t="s">
        <v>2359</v>
      </c>
    </row>
    <row r="7296" customFormat="false" ht="14.25" hidden="true" customHeight="false" outlineLevel="0" collapsed="false">
      <c r="A7296" s="49" t="s">
        <v>2349</v>
      </c>
      <c r="B7296" s="49" t="s">
        <v>2350</v>
      </c>
      <c r="C7296" s="49" t="s">
        <v>12143</v>
      </c>
      <c r="D7296" s="49" t="s">
        <v>2352</v>
      </c>
      <c r="E7296" s="49" t="s">
        <v>4351</v>
      </c>
      <c r="F7296" s="49" t="s">
        <v>4352</v>
      </c>
      <c r="G7296" s="49" t="n">
        <v>0</v>
      </c>
      <c r="H7296" s="0" t="n">
        <v>0</v>
      </c>
      <c r="M7296" s="51" t="s">
        <v>12139</v>
      </c>
      <c r="N7296" s="49" t="n">
        <v>0</v>
      </c>
      <c r="O7296" s="53" t="n">
        <v>45979.6702314815</v>
      </c>
      <c r="P7296" s="53" t="n">
        <v>45988.6051041667</v>
      </c>
      <c r="Q7296" s="53" t="n">
        <v>45979.6702314815</v>
      </c>
      <c r="R7296" s="0" t="n">
        <v>0</v>
      </c>
      <c r="S7296" s="51" t="s">
        <v>2356</v>
      </c>
      <c r="T7296" s="51" t="s">
        <v>2356</v>
      </c>
      <c r="U7296" s="51" t="s">
        <v>4351</v>
      </c>
      <c r="V7296" s="51" t="s">
        <v>2365</v>
      </c>
      <c r="W7296" s="51" t="s">
        <v>7293</v>
      </c>
      <c r="X7296" s="51" t="s">
        <v>2359</v>
      </c>
    </row>
    <row r="7297" customFormat="false" ht="14.25" hidden="true" customHeight="false" outlineLevel="0" collapsed="false">
      <c r="A7297" s="49" t="s">
        <v>2349</v>
      </c>
      <c r="B7297" s="49" t="s">
        <v>2350</v>
      </c>
      <c r="C7297" s="49" t="s">
        <v>12144</v>
      </c>
      <c r="D7297" s="49" t="s">
        <v>2352</v>
      </c>
      <c r="E7297" s="49" t="s">
        <v>4351</v>
      </c>
      <c r="F7297" s="49" t="s">
        <v>4352</v>
      </c>
      <c r="G7297" s="49" t="n">
        <v>0</v>
      </c>
      <c r="H7297" s="0" t="n">
        <v>0</v>
      </c>
      <c r="M7297" s="51" t="s">
        <v>12139</v>
      </c>
      <c r="N7297" s="49" t="n">
        <v>0</v>
      </c>
      <c r="O7297" s="53" t="n">
        <v>45979.6721412037</v>
      </c>
      <c r="P7297" s="53" t="n">
        <v>45981.6864699074</v>
      </c>
      <c r="Q7297" s="53" t="n">
        <v>45979.6721412037</v>
      </c>
      <c r="R7297" s="0" t="n">
        <v>0</v>
      </c>
      <c r="S7297" s="51" t="s">
        <v>2356</v>
      </c>
      <c r="T7297" s="51" t="s">
        <v>2356</v>
      </c>
      <c r="U7297" s="51" t="s">
        <v>4351</v>
      </c>
      <c r="V7297" s="51" t="s">
        <v>2365</v>
      </c>
      <c r="W7297" s="51" t="s">
        <v>11983</v>
      </c>
      <c r="X7297" s="51" t="s">
        <v>2359</v>
      </c>
    </row>
    <row r="7298" customFormat="false" ht="14.25" hidden="true" customHeight="false" outlineLevel="0" collapsed="false">
      <c r="A7298" s="49" t="s">
        <v>2349</v>
      </c>
      <c r="B7298" s="49" t="s">
        <v>2350</v>
      </c>
      <c r="C7298" s="49" t="s">
        <v>12145</v>
      </c>
      <c r="D7298" s="49" t="s">
        <v>2352</v>
      </c>
      <c r="E7298" s="49" t="s">
        <v>4351</v>
      </c>
      <c r="F7298" s="49" t="s">
        <v>4352</v>
      </c>
      <c r="G7298" s="49" t="n">
        <v>0</v>
      </c>
      <c r="H7298" s="0" t="n">
        <v>0</v>
      </c>
      <c r="M7298" s="51" t="s">
        <v>12139</v>
      </c>
      <c r="N7298" s="49" t="n">
        <v>0</v>
      </c>
      <c r="O7298" s="53" t="n">
        <v>45979.671400463</v>
      </c>
      <c r="P7298" s="53" t="n">
        <v>46007.6633333333</v>
      </c>
      <c r="Q7298" s="53" t="n">
        <v>45979.671400463</v>
      </c>
      <c r="R7298" s="0" t="n">
        <v>0</v>
      </c>
      <c r="S7298" s="51" t="s">
        <v>2356</v>
      </c>
      <c r="T7298" s="51" t="s">
        <v>2356</v>
      </c>
      <c r="U7298" s="51" t="s">
        <v>4351</v>
      </c>
      <c r="V7298" s="51" t="s">
        <v>2365</v>
      </c>
      <c r="W7298" s="51" t="s">
        <v>8284</v>
      </c>
      <c r="X7298" s="51" t="s">
        <v>2359</v>
      </c>
    </row>
    <row r="7299" customFormat="false" ht="14.25" hidden="true" customHeight="false" outlineLevel="0" collapsed="false">
      <c r="A7299" s="49" t="s">
        <v>2349</v>
      </c>
      <c r="B7299" s="49" t="s">
        <v>2350</v>
      </c>
      <c r="C7299" s="49" t="s">
        <v>12146</v>
      </c>
      <c r="D7299" s="49" t="s">
        <v>2352</v>
      </c>
      <c r="E7299" s="49" t="s">
        <v>4351</v>
      </c>
      <c r="F7299" s="49" t="s">
        <v>4352</v>
      </c>
      <c r="G7299" s="49" t="n">
        <v>0</v>
      </c>
      <c r="H7299" s="0" t="n">
        <v>0</v>
      </c>
      <c r="M7299" s="51" t="s">
        <v>12139</v>
      </c>
      <c r="N7299" s="49" t="n">
        <v>0</v>
      </c>
      <c r="O7299" s="53" t="n">
        <v>45979.6733796296</v>
      </c>
      <c r="P7299" s="53" t="n">
        <v>46007.6645949074</v>
      </c>
      <c r="Q7299" s="53" t="n">
        <v>45979.6733796296</v>
      </c>
      <c r="R7299" s="0" t="n">
        <v>0</v>
      </c>
      <c r="S7299" s="51" t="s">
        <v>2356</v>
      </c>
      <c r="T7299" s="51" t="s">
        <v>2356</v>
      </c>
      <c r="U7299" s="51" t="s">
        <v>4351</v>
      </c>
      <c r="V7299" s="51" t="s">
        <v>2365</v>
      </c>
      <c r="W7299" s="51" t="s">
        <v>5564</v>
      </c>
      <c r="X7299" s="51" t="s">
        <v>2359</v>
      </c>
    </row>
    <row r="7300" customFormat="false" ht="14.25" hidden="true" customHeight="false" outlineLevel="0" collapsed="false">
      <c r="A7300" s="49" t="s">
        <v>2349</v>
      </c>
      <c r="B7300" s="49" t="s">
        <v>2350</v>
      </c>
      <c r="C7300" s="49" t="s">
        <v>12147</v>
      </c>
      <c r="D7300" s="49" t="s">
        <v>2352</v>
      </c>
      <c r="E7300" s="49" t="s">
        <v>4351</v>
      </c>
      <c r="F7300" s="49" t="s">
        <v>4352</v>
      </c>
      <c r="G7300" s="49" t="n">
        <v>0</v>
      </c>
      <c r="H7300" s="0" t="n">
        <v>0</v>
      </c>
      <c r="M7300" s="51" t="s">
        <v>12139</v>
      </c>
      <c r="N7300" s="49" t="n">
        <v>0</v>
      </c>
      <c r="O7300" s="53" t="n">
        <v>45979.6726041667</v>
      </c>
      <c r="P7300" s="53" t="n">
        <v>45981.6863657407</v>
      </c>
      <c r="Q7300" s="53" t="n">
        <v>45979.6726041667</v>
      </c>
      <c r="R7300" s="0" t="n">
        <v>0</v>
      </c>
      <c r="S7300" s="51" t="s">
        <v>2356</v>
      </c>
      <c r="T7300" s="51" t="s">
        <v>2356</v>
      </c>
      <c r="U7300" s="51" t="s">
        <v>4351</v>
      </c>
      <c r="V7300" s="51" t="s">
        <v>2365</v>
      </c>
      <c r="W7300" s="51" t="s">
        <v>11981</v>
      </c>
      <c r="X7300" s="51" t="s">
        <v>2359</v>
      </c>
    </row>
    <row r="7301" customFormat="false" ht="14.25" hidden="true" customHeight="false" outlineLevel="0" collapsed="false">
      <c r="A7301" s="49" t="s">
        <v>2349</v>
      </c>
      <c r="B7301" s="49" t="s">
        <v>2350</v>
      </c>
      <c r="C7301" s="49" t="s">
        <v>12148</v>
      </c>
      <c r="D7301" s="49" t="s">
        <v>2352</v>
      </c>
      <c r="E7301" s="49" t="s">
        <v>4351</v>
      </c>
      <c r="F7301" s="49" t="s">
        <v>4352</v>
      </c>
      <c r="G7301" s="49" t="n">
        <v>0</v>
      </c>
      <c r="H7301" s="0" t="n">
        <v>0</v>
      </c>
      <c r="M7301" s="51" t="s">
        <v>12139</v>
      </c>
      <c r="N7301" s="49" t="n">
        <v>0</v>
      </c>
      <c r="O7301" s="53" t="n">
        <v>45979.6737615741</v>
      </c>
      <c r="P7301" s="53" t="n">
        <v>45981.6862615741</v>
      </c>
      <c r="Q7301" s="53" t="n">
        <v>45979.6737615741</v>
      </c>
      <c r="R7301" s="0" t="n">
        <v>0</v>
      </c>
      <c r="S7301" s="51" t="s">
        <v>2356</v>
      </c>
      <c r="T7301" s="51" t="s">
        <v>2356</v>
      </c>
      <c r="U7301" s="51" t="s">
        <v>4351</v>
      </c>
      <c r="V7301" s="51" t="s">
        <v>2365</v>
      </c>
      <c r="W7301" s="51" t="s">
        <v>8313</v>
      </c>
      <c r="X7301" s="51" t="s">
        <v>2359</v>
      </c>
    </row>
    <row r="7302" customFormat="false" ht="14.25" hidden="true" customHeight="false" outlineLevel="0" collapsed="false">
      <c r="A7302" s="49" t="s">
        <v>2349</v>
      </c>
      <c r="B7302" s="49" t="s">
        <v>2350</v>
      </c>
      <c r="C7302" s="49" t="s">
        <v>12149</v>
      </c>
      <c r="D7302" s="49" t="s">
        <v>2352</v>
      </c>
      <c r="E7302" s="49" t="s">
        <v>4351</v>
      </c>
      <c r="F7302" s="49" t="s">
        <v>4352</v>
      </c>
      <c r="G7302" s="49" t="n">
        <v>0</v>
      </c>
      <c r="H7302" s="0" t="n">
        <v>0</v>
      </c>
      <c r="M7302" s="51" t="s">
        <v>12139</v>
      </c>
      <c r="N7302" s="49" t="n">
        <v>0</v>
      </c>
      <c r="O7302" s="53" t="n">
        <v>45979.6740856482</v>
      </c>
      <c r="P7302" s="53" t="n">
        <v>45981.6861689815</v>
      </c>
      <c r="Q7302" s="53" t="n">
        <v>45979.6740856482</v>
      </c>
      <c r="R7302" s="0" t="n">
        <v>0</v>
      </c>
      <c r="S7302" s="51" t="s">
        <v>2356</v>
      </c>
      <c r="T7302" s="51" t="s">
        <v>2356</v>
      </c>
      <c r="U7302" s="51" t="s">
        <v>4351</v>
      </c>
      <c r="V7302" s="51" t="s">
        <v>2365</v>
      </c>
      <c r="W7302" s="51" t="s">
        <v>7296</v>
      </c>
      <c r="X7302" s="51" t="s">
        <v>2359</v>
      </c>
    </row>
    <row r="7303" customFormat="false" ht="14.25" hidden="true" customHeight="false" outlineLevel="0" collapsed="false">
      <c r="A7303" s="49" t="s">
        <v>2349</v>
      </c>
      <c r="B7303" s="49" t="s">
        <v>2350</v>
      </c>
      <c r="C7303" s="49" t="s">
        <v>12150</v>
      </c>
      <c r="D7303" s="49" t="s">
        <v>2352</v>
      </c>
      <c r="E7303" s="49" t="s">
        <v>4351</v>
      </c>
      <c r="F7303" s="49" t="s">
        <v>4352</v>
      </c>
      <c r="G7303" s="49" t="n">
        <v>0</v>
      </c>
      <c r="H7303" s="0" t="n">
        <v>0</v>
      </c>
      <c r="M7303" s="51" t="s">
        <v>12139</v>
      </c>
      <c r="N7303" s="49" t="n">
        <v>0</v>
      </c>
      <c r="O7303" s="53" t="n">
        <v>45979.6744907407</v>
      </c>
      <c r="P7303" s="53" t="n">
        <v>46006.8476273148</v>
      </c>
      <c r="Q7303" s="53" t="n">
        <v>45979.6744907407</v>
      </c>
      <c r="R7303" s="0" t="n">
        <v>0</v>
      </c>
      <c r="S7303" s="51" t="s">
        <v>2356</v>
      </c>
      <c r="T7303" s="51" t="s">
        <v>2356</v>
      </c>
      <c r="U7303" s="51" t="s">
        <v>4351</v>
      </c>
      <c r="V7303" s="51" t="s">
        <v>2365</v>
      </c>
      <c r="W7303" s="51" t="s">
        <v>7256</v>
      </c>
      <c r="X7303" s="51" t="s">
        <v>2359</v>
      </c>
    </row>
    <row r="7304" customFormat="false" ht="14.25" hidden="true" customHeight="false" outlineLevel="0" collapsed="false">
      <c r="A7304" s="49" t="s">
        <v>2349</v>
      </c>
      <c r="B7304" s="49" t="s">
        <v>2350</v>
      </c>
      <c r="C7304" s="49" t="s">
        <v>12151</v>
      </c>
      <c r="D7304" s="49" t="s">
        <v>2352</v>
      </c>
      <c r="E7304" s="49" t="s">
        <v>4351</v>
      </c>
      <c r="F7304" s="49" t="s">
        <v>4352</v>
      </c>
      <c r="G7304" s="49" t="n">
        <v>0</v>
      </c>
      <c r="H7304" s="0" t="n">
        <v>0</v>
      </c>
      <c r="M7304" s="51" t="s">
        <v>12139</v>
      </c>
      <c r="N7304" s="49" t="n">
        <v>0</v>
      </c>
      <c r="O7304" s="53" t="n">
        <v>45979.6748726852</v>
      </c>
      <c r="P7304" s="53" t="n">
        <v>46002.3460532407</v>
      </c>
      <c r="Q7304" s="53" t="n">
        <v>45979.6748726852</v>
      </c>
      <c r="R7304" s="0" t="n">
        <v>0</v>
      </c>
      <c r="S7304" s="51" t="s">
        <v>2356</v>
      </c>
      <c r="T7304" s="51" t="s">
        <v>2356</v>
      </c>
      <c r="U7304" s="51" t="s">
        <v>4351</v>
      </c>
      <c r="V7304" s="51" t="s">
        <v>2365</v>
      </c>
      <c r="W7304" s="51" t="s">
        <v>4609</v>
      </c>
      <c r="X7304" s="51" t="s">
        <v>2359</v>
      </c>
    </row>
    <row r="7305" customFormat="false" ht="14.25" hidden="true" customHeight="false" outlineLevel="0" collapsed="false">
      <c r="A7305" s="49" t="s">
        <v>2349</v>
      </c>
      <c r="B7305" s="49" t="s">
        <v>2350</v>
      </c>
      <c r="C7305" s="49" t="s">
        <v>12152</v>
      </c>
      <c r="D7305" s="49" t="s">
        <v>2352</v>
      </c>
      <c r="E7305" s="49" t="s">
        <v>4351</v>
      </c>
      <c r="F7305" s="49" t="s">
        <v>4352</v>
      </c>
      <c r="G7305" s="49" t="n">
        <v>0</v>
      </c>
      <c r="H7305" s="0" t="n">
        <v>0</v>
      </c>
      <c r="M7305" s="51" t="s">
        <v>12139</v>
      </c>
      <c r="N7305" s="49" t="n">
        <v>0</v>
      </c>
      <c r="O7305" s="53" t="n">
        <v>45979.6758101852</v>
      </c>
      <c r="P7305" s="53" t="n">
        <v>46006.8481944444</v>
      </c>
      <c r="Q7305" s="53" t="n">
        <v>45979.6758101852</v>
      </c>
      <c r="R7305" s="0" t="n">
        <v>0</v>
      </c>
      <c r="S7305" s="51" t="s">
        <v>2356</v>
      </c>
      <c r="T7305" s="51" t="s">
        <v>2356</v>
      </c>
      <c r="U7305" s="51" t="s">
        <v>4351</v>
      </c>
      <c r="V7305" s="51" t="s">
        <v>2365</v>
      </c>
      <c r="W7305" s="51" t="s">
        <v>7276</v>
      </c>
      <c r="X7305" s="51" t="s">
        <v>2359</v>
      </c>
    </row>
    <row r="7306" customFormat="false" ht="14.25" hidden="true" customHeight="false" outlineLevel="0" collapsed="false">
      <c r="A7306" s="49" t="s">
        <v>2349</v>
      </c>
      <c r="B7306" s="49" t="s">
        <v>2350</v>
      </c>
      <c r="C7306" s="49" t="s">
        <v>12153</v>
      </c>
      <c r="D7306" s="49" t="s">
        <v>2352</v>
      </c>
      <c r="E7306" s="49" t="s">
        <v>4351</v>
      </c>
      <c r="F7306" s="49" t="s">
        <v>4352</v>
      </c>
      <c r="G7306" s="49" t="n">
        <v>0</v>
      </c>
      <c r="H7306" s="0" t="n">
        <v>0</v>
      </c>
      <c r="M7306" s="51" t="s">
        <v>12139</v>
      </c>
      <c r="N7306" s="49" t="n">
        <v>0</v>
      </c>
      <c r="O7306" s="53" t="n">
        <v>45979.6762615741</v>
      </c>
      <c r="P7306" s="53" t="n">
        <v>46006.8485185185</v>
      </c>
      <c r="Q7306" s="53" t="n">
        <v>45979.6762615741</v>
      </c>
      <c r="R7306" s="0" t="n">
        <v>0</v>
      </c>
      <c r="S7306" s="51" t="s">
        <v>2356</v>
      </c>
      <c r="T7306" s="51" t="s">
        <v>2356</v>
      </c>
      <c r="U7306" s="51" t="s">
        <v>4351</v>
      </c>
      <c r="V7306" s="51" t="s">
        <v>2365</v>
      </c>
      <c r="W7306" s="51" t="s">
        <v>3963</v>
      </c>
      <c r="X7306" s="51" t="s">
        <v>2359</v>
      </c>
    </row>
    <row r="7307" customFormat="false" ht="14.25" hidden="true" customHeight="false" outlineLevel="0" collapsed="false">
      <c r="A7307" s="49" t="s">
        <v>2349</v>
      </c>
      <c r="B7307" s="49" t="s">
        <v>2350</v>
      </c>
      <c r="C7307" s="49" t="s">
        <v>12154</v>
      </c>
      <c r="D7307" s="49" t="s">
        <v>2352</v>
      </c>
      <c r="E7307" s="49" t="s">
        <v>4351</v>
      </c>
      <c r="F7307" s="49" t="s">
        <v>4352</v>
      </c>
      <c r="G7307" s="49" t="n">
        <v>0</v>
      </c>
      <c r="H7307" s="0" t="n">
        <v>0</v>
      </c>
      <c r="M7307" s="51" t="s">
        <v>12139</v>
      </c>
      <c r="N7307" s="49" t="n">
        <v>0</v>
      </c>
      <c r="O7307" s="53" t="n">
        <v>45979.6772800926</v>
      </c>
      <c r="P7307" s="53" t="n">
        <v>45981.8181018519</v>
      </c>
      <c r="Q7307" s="53" t="n">
        <v>45979.6772800926</v>
      </c>
      <c r="R7307" s="0" t="n">
        <v>0</v>
      </c>
      <c r="S7307" s="51" t="s">
        <v>2356</v>
      </c>
      <c r="T7307" s="51" t="s">
        <v>2356</v>
      </c>
      <c r="U7307" s="51" t="s">
        <v>4351</v>
      </c>
      <c r="V7307" s="51" t="s">
        <v>2365</v>
      </c>
      <c r="W7307" s="51" t="s">
        <v>12155</v>
      </c>
      <c r="X7307" s="51" t="s">
        <v>2359</v>
      </c>
    </row>
    <row r="7308" customFormat="false" ht="14.25" hidden="true" customHeight="false" outlineLevel="0" collapsed="false">
      <c r="A7308" s="49" t="s">
        <v>2349</v>
      </c>
      <c r="B7308" s="49" t="s">
        <v>2350</v>
      </c>
      <c r="C7308" s="49" t="s">
        <v>12156</v>
      </c>
      <c r="D7308" s="49" t="s">
        <v>2352</v>
      </c>
      <c r="E7308" s="49" t="s">
        <v>4351</v>
      </c>
      <c r="F7308" s="49" t="s">
        <v>4352</v>
      </c>
      <c r="G7308" s="49" t="n">
        <v>0</v>
      </c>
      <c r="H7308" s="0" t="n">
        <v>0</v>
      </c>
      <c r="M7308" s="51" t="s">
        <v>12139</v>
      </c>
      <c r="N7308" s="49" t="n">
        <v>0</v>
      </c>
      <c r="O7308" s="53" t="n">
        <v>45979.6768055556</v>
      </c>
      <c r="P7308" s="53" t="n">
        <v>45991.6244675926</v>
      </c>
      <c r="Q7308" s="53" t="n">
        <v>45979.6768055556</v>
      </c>
      <c r="R7308" s="0" t="n">
        <v>0</v>
      </c>
      <c r="S7308" s="51" t="s">
        <v>2356</v>
      </c>
      <c r="T7308" s="51" t="s">
        <v>2356</v>
      </c>
      <c r="U7308" s="51" t="s">
        <v>4351</v>
      </c>
      <c r="V7308" s="51" t="s">
        <v>2365</v>
      </c>
      <c r="W7308" s="51" t="s">
        <v>7268</v>
      </c>
      <c r="X7308" s="51" t="s">
        <v>2359</v>
      </c>
    </row>
    <row r="7309" customFormat="false" ht="14.25" hidden="true" customHeight="false" outlineLevel="0" collapsed="false">
      <c r="A7309" s="49" t="s">
        <v>2349</v>
      </c>
      <c r="B7309" s="49" t="s">
        <v>2350</v>
      </c>
      <c r="C7309" s="49" t="s">
        <v>12157</v>
      </c>
      <c r="D7309" s="49" t="s">
        <v>2352</v>
      </c>
      <c r="E7309" s="49" t="s">
        <v>4351</v>
      </c>
      <c r="F7309" s="49" t="s">
        <v>4352</v>
      </c>
      <c r="G7309" s="49" t="n">
        <v>0</v>
      </c>
      <c r="H7309" s="0" t="n">
        <v>0</v>
      </c>
      <c r="M7309" s="51" t="s">
        <v>12139</v>
      </c>
      <c r="N7309" s="49" t="n">
        <v>0</v>
      </c>
      <c r="O7309" s="53" t="n">
        <v>45979.6781944444</v>
      </c>
      <c r="P7309" s="53" t="n">
        <v>45986.5651388889</v>
      </c>
      <c r="Q7309" s="53" t="n">
        <v>45979.6781944444</v>
      </c>
      <c r="R7309" s="0" t="n">
        <v>0</v>
      </c>
      <c r="S7309" s="51" t="s">
        <v>2356</v>
      </c>
      <c r="T7309" s="51" t="s">
        <v>2356</v>
      </c>
      <c r="U7309" s="51" t="s">
        <v>4351</v>
      </c>
      <c r="V7309" s="51" t="s">
        <v>2365</v>
      </c>
      <c r="W7309" s="51" t="s">
        <v>7272</v>
      </c>
      <c r="X7309" s="51" t="s">
        <v>2359</v>
      </c>
    </row>
    <row r="7310" customFormat="false" ht="14.25" hidden="true" customHeight="false" outlineLevel="0" collapsed="false">
      <c r="A7310" s="49" t="s">
        <v>2349</v>
      </c>
      <c r="B7310" s="49" t="s">
        <v>2350</v>
      </c>
      <c r="C7310" s="49" t="s">
        <v>12158</v>
      </c>
      <c r="D7310" s="49" t="s">
        <v>2352</v>
      </c>
      <c r="E7310" s="49" t="s">
        <v>4351</v>
      </c>
      <c r="F7310" s="49" t="s">
        <v>4352</v>
      </c>
      <c r="G7310" s="49" t="n">
        <v>0</v>
      </c>
      <c r="H7310" s="0" t="n">
        <v>0</v>
      </c>
      <c r="M7310" s="51" t="s">
        <v>12139</v>
      </c>
      <c r="N7310" s="49" t="n">
        <v>0</v>
      </c>
      <c r="O7310" s="53" t="n">
        <v>45979.6777777778</v>
      </c>
      <c r="P7310" s="53" t="n">
        <v>46000.3451273148</v>
      </c>
      <c r="Q7310" s="53" t="n">
        <v>45979.6777777778</v>
      </c>
      <c r="R7310" s="0" t="n">
        <v>0</v>
      </c>
      <c r="S7310" s="51" t="s">
        <v>2356</v>
      </c>
      <c r="T7310" s="51" t="s">
        <v>2356</v>
      </c>
      <c r="U7310" s="51" t="s">
        <v>4351</v>
      </c>
      <c r="V7310" s="51" t="s">
        <v>2365</v>
      </c>
      <c r="W7310" s="51" t="s">
        <v>7286</v>
      </c>
      <c r="X7310" s="51" t="s">
        <v>2359</v>
      </c>
    </row>
    <row r="7311" customFormat="false" ht="14.25" hidden="true" customHeight="false" outlineLevel="0" collapsed="false">
      <c r="A7311" s="49" t="s">
        <v>2349</v>
      </c>
      <c r="B7311" s="49" t="s">
        <v>2350</v>
      </c>
      <c r="C7311" s="49" t="s">
        <v>12159</v>
      </c>
      <c r="D7311" s="49" t="s">
        <v>2352</v>
      </c>
      <c r="E7311" s="49" t="s">
        <v>4351</v>
      </c>
      <c r="F7311" s="49" t="s">
        <v>4352</v>
      </c>
      <c r="G7311" s="49" t="n">
        <v>0</v>
      </c>
      <c r="H7311" s="0" t="n">
        <v>0</v>
      </c>
      <c r="M7311" s="51" t="s">
        <v>12139</v>
      </c>
      <c r="N7311" s="49" t="n">
        <v>0</v>
      </c>
      <c r="O7311" s="53" t="n">
        <v>45979.6788425926</v>
      </c>
      <c r="P7311" s="53" t="n">
        <v>45998.6686689815</v>
      </c>
      <c r="Q7311" s="53" t="n">
        <v>45979.6788425926</v>
      </c>
      <c r="R7311" s="0" t="n">
        <v>0</v>
      </c>
      <c r="S7311" s="51" t="s">
        <v>2356</v>
      </c>
      <c r="T7311" s="51" t="s">
        <v>2356</v>
      </c>
      <c r="U7311" s="51" t="s">
        <v>4351</v>
      </c>
      <c r="V7311" s="51" t="s">
        <v>2365</v>
      </c>
      <c r="W7311" s="51" t="s">
        <v>9724</v>
      </c>
      <c r="X7311" s="51" t="s">
        <v>2359</v>
      </c>
    </row>
    <row r="7312" customFormat="false" ht="14.25" hidden="true" customHeight="false" outlineLevel="0" collapsed="false">
      <c r="A7312" s="49" t="s">
        <v>2349</v>
      </c>
      <c r="B7312" s="49" t="s">
        <v>2350</v>
      </c>
      <c r="C7312" s="49" t="s">
        <v>12160</v>
      </c>
      <c r="D7312" s="49" t="s">
        <v>2352</v>
      </c>
      <c r="E7312" s="49" t="s">
        <v>4351</v>
      </c>
      <c r="F7312" s="49" t="s">
        <v>4352</v>
      </c>
      <c r="G7312" s="49" t="n">
        <v>0</v>
      </c>
      <c r="H7312" s="0" t="n">
        <v>0</v>
      </c>
      <c r="M7312" s="51" t="s">
        <v>12139</v>
      </c>
      <c r="N7312" s="49" t="n">
        <v>0</v>
      </c>
      <c r="O7312" s="53" t="n">
        <v>45979.6785185185</v>
      </c>
      <c r="P7312" s="53" t="n">
        <v>46006.8486111111</v>
      </c>
      <c r="Q7312" s="53" t="n">
        <v>45979.6785185185</v>
      </c>
      <c r="R7312" s="0" t="n">
        <v>0</v>
      </c>
      <c r="S7312" s="51" t="s">
        <v>2356</v>
      </c>
      <c r="T7312" s="51" t="s">
        <v>2356</v>
      </c>
      <c r="U7312" s="51" t="s">
        <v>4351</v>
      </c>
      <c r="V7312" s="51" t="s">
        <v>2365</v>
      </c>
      <c r="W7312" s="51" t="s">
        <v>7288</v>
      </c>
      <c r="X7312" s="51" t="s">
        <v>2359</v>
      </c>
    </row>
    <row r="7313" customFormat="false" ht="14.25" hidden="true" customHeight="false" outlineLevel="0" collapsed="false">
      <c r="A7313" s="49" t="s">
        <v>2349</v>
      </c>
      <c r="B7313" s="49" t="s">
        <v>2350</v>
      </c>
      <c r="C7313" s="49" t="s">
        <v>12161</v>
      </c>
      <c r="D7313" s="49" t="s">
        <v>2352</v>
      </c>
      <c r="E7313" s="49" t="str">
        <f aca="false">"8493690104868"</f>
        <v>8493690104868</v>
      </c>
      <c r="F7313" s="49" t="s">
        <v>3822</v>
      </c>
      <c r="G7313" s="49" t="n">
        <v>0</v>
      </c>
      <c r="H7313" s="0" t="n">
        <v>0</v>
      </c>
      <c r="M7313" s="51" t="s">
        <v>12162</v>
      </c>
      <c r="N7313" s="49" t="n">
        <v>0</v>
      </c>
      <c r="O7313" s="53" t="n">
        <v>45892.5252083333</v>
      </c>
      <c r="P7313" s="53" t="n">
        <v>45902.8914467593</v>
      </c>
      <c r="Q7313" s="53" t="n">
        <v>45892.5252083333</v>
      </c>
      <c r="R7313" s="0" t="n">
        <v>0</v>
      </c>
      <c r="S7313" s="51" t="s">
        <v>2416</v>
      </c>
      <c r="T7313" s="51" t="s">
        <v>2416</v>
      </c>
      <c r="U7313" s="0" t="str">
        <f aca="false">"8493690104868"</f>
        <v>8493690104868</v>
      </c>
      <c r="V7313" s="51" t="s">
        <v>2142</v>
      </c>
      <c r="W7313" s="51" t="s">
        <v>10955</v>
      </c>
      <c r="X7313" s="51" t="s">
        <v>2359</v>
      </c>
    </row>
    <row r="7314" customFormat="false" ht="14.25" hidden="true" customHeight="false" outlineLevel="0" collapsed="false">
      <c r="A7314" s="49" t="s">
        <v>2349</v>
      </c>
      <c r="B7314" s="49" t="s">
        <v>2350</v>
      </c>
      <c r="C7314" s="49" t="s">
        <v>12163</v>
      </c>
      <c r="D7314" s="49" t="s">
        <v>2352</v>
      </c>
      <c r="E7314" s="49" t="str">
        <f aca="false">"8493690104868"</f>
        <v>8493690104868</v>
      </c>
      <c r="F7314" s="49" t="s">
        <v>3822</v>
      </c>
      <c r="G7314" s="49" t="n">
        <v>0</v>
      </c>
      <c r="H7314" s="0" t="n">
        <v>0</v>
      </c>
      <c r="M7314" s="51" t="s">
        <v>12162</v>
      </c>
      <c r="N7314" s="49" t="n">
        <v>0</v>
      </c>
      <c r="O7314" s="53" t="n">
        <v>45892.5253240741</v>
      </c>
      <c r="P7314" s="53" t="n">
        <v>45911.8055324074</v>
      </c>
      <c r="Q7314" s="53" t="n">
        <v>45892.5253240741</v>
      </c>
      <c r="R7314" s="0" t="n">
        <v>0</v>
      </c>
      <c r="S7314" s="51" t="s">
        <v>2416</v>
      </c>
      <c r="T7314" s="51" t="s">
        <v>2416</v>
      </c>
      <c r="U7314" s="0" t="str">
        <f aca="false">"8493690104868"</f>
        <v>8493690104868</v>
      </c>
      <c r="V7314" s="51" t="s">
        <v>2142</v>
      </c>
      <c r="W7314" s="51" t="s">
        <v>5517</v>
      </c>
      <c r="X7314" s="51" t="s">
        <v>2359</v>
      </c>
    </row>
    <row r="7315" customFormat="false" ht="14.25" hidden="true" customHeight="false" outlineLevel="0" collapsed="false">
      <c r="A7315" s="49" t="s">
        <v>2349</v>
      </c>
      <c r="B7315" s="49" t="s">
        <v>2350</v>
      </c>
      <c r="C7315" s="49" t="s">
        <v>12164</v>
      </c>
      <c r="D7315" s="49" t="s">
        <v>2352</v>
      </c>
      <c r="E7315" s="49" t="str">
        <f aca="false">"8493690104868"</f>
        <v>8493690104868</v>
      </c>
      <c r="F7315" s="49" t="s">
        <v>3822</v>
      </c>
      <c r="G7315" s="49" t="n">
        <v>0</v>
      </c>
      <c r="H7315" s="0" t="n">
        <v>0</v>
      </c>
      <c r="M7315" s="51" t="s">
        <v>12162</v>
      </c>
      <c r="N7315" s="49" t="n">
        <v>0</v>
      </c>
      <c r="O7315" s="53" t="n">
        <v>45892.5254166667</v>
      </c>
      <c r="P7315" s="53" t="n">
        <v>45929.8995833333</v>
      </c>
      <c r="Q7315" s="53" t="n">
        <v>45892.5254166667</v>
      </c>
      <c r="R7315" s="0" t="n">
        <v>0</v>
      </c>
      <c r="S7315" s="51" t="s">
        <v>2416</v>
      </c>
      <c r="T7315" s="51" t="s">
        <v>2416</v>
      </c>
      <c r="U7315" s="0" t="str">
        <f aca="false">"8493690104868"</f>
        <v>8493690104868</v>
      </c>
      <c r="V7315" s="51" t="s">
        <v>2142</v>
      </c>
      <c r="W7315" s="51" t="s">
        <v>12165</v>
      </c>
      <c r="X7315" s="51" t="s">
        <v>2359</v>
      </c>
    </row>
    <row r="7316" customFormat="false" ht="14.25" hidden="true" customHeight="false" outlineLevel="0" collapsed="false">
      <c r="A7316" s="49" t="s">
        <v>2349</v>
      </c>
      <c r="B7316" s="49" t="s">
        <v>2350</v>
      </c>
      <c r="C7316" s="49" t="s">
        <v>12166</v>
      </c>
      <c r="D7316" s="49" t="s">
        <v>2352</v>
      </c>
      <c r="E7316" s="49" t="str">
        <f aca="false">"8493690104868"</f>
        <v>8493690104868</v>
      </c>
      <c r="F7316" s="49" t="s">
        <v>3822</v>
      </c>
      <c r="G7316" s="49" t="n">
        <v>0</v>
      </c>
      <c r="H7316" s="0" t="n">
        <v>0</v>
      </c>
      <c r="M7316" s="51" t="s">
        <v>12162</v>
      </c>
      <c r="N7316" s="49" t="n">
        <v>0</v>
      </c>
      <c r="O7316" s="53" t="n">
        <v>45892.5255439815</v>
      </c>
      <c r="P7316" s="53" t="n">
        <v>45929.8908101852</v>
      </c>
      <c r="Q7316" s="53" t="n">
        <v>45892.5255439815</v>
      </c>
      <c r="R7316" s="0" t="n">
        <v>0</v>
      </c>
      <c r="S7316" s="51" t="s">
        <v>2416</v>
      </c>
      <c r="T7316" s="51" t="s">
        <v>2416</v>
      </c>
      <c r="U7316" s="0" t="str">
        <f aca="false">"8493690104868"</f>
        <v>8493690104868</v>
      </c>
      <c r="V7316" s="51" t="s">
        <v>2142</v>
      </c>
      <c r="W7316" s="51" t="s">
        <v>12167</v>
      </c>
      <c r="X7316" s="51" t="s">
        <v>2359</v>
      </c>
    </row>
    <row r="7317" customFormat="false" ht="14.25" hidden="true" customHeight="false" outlineLevel="0" collapsed="false">
      <c r="A7317" s="49" t="s">
        <v>2349</v>
      </c>
      <c r="B7317" s="49" t="s">
        <v>2350</v>
      </c>
      <c r="C7317" s="49" t="s">
        <v>12168</v>
      </c>
      <c r="D7317" s="49" t="s">
        <v>2352</v>
      </c>
      <c r="E7317" s="49" t="s">
        <v>10773</v>
      </c>
      <c r="F7317" s="49" t="s">
        <v>10774</v>
      </c>
      <c r="G7317" s="49" t="n">
        <v>0</v>
      </c>
      <c r="H7317" s="0" t="n">
        <v>0</v>
      </c>
      <c r="M7317" s="51" t="s">
        <v>12169</v>
      </c>
      <c r="N7317" s="49" t="n">
        <v>0</v>
      </c>
      <c r="O7317" s="53" t="n">
        <v>45890.6471527778</v>
      </c>
      <c r="P7317" s="53" t="n">
        <v>45895.6055671296</v>
      </c>
      <c r="Q7317" s="53" t="n">
        <v>45890.6471527778</v>
      </c>
      <c r="R7317" s="0" t="n">
        <v>0</v>
      </c>
      <c r="S7317" s="51" t="s">
        <v>2356</v>
      </c>
      <c r="T7317" s="51" t="s">
        <v>2356</v>
      </c>
      <c r="U7317" s="51" t="s">
        <v>10773</v>
      </c>
      <c r="W7317" s="51" t="s">
        <v>3758</v>
      </c>
      <c r="X7317" s="51" t="s">
        <v>2359</v>
      </c>
    </row>
    <row r="7318" customFormat="false" ht="14.25" hidden="true" customHeight="false" outlineLevel="0" collapsed="false">
      <c r="A7318" s="49" t="s">
        <v>2349</v>
      </c>
      <c r="B7318" s="49" t="s">
        <v>2350</v>
      </c>
      <c r="C7318" s="49" t="s">
        <v>12170</v>
      </c>
      <c r="D7318" s="49" t="s">
        <v>2352</v>
      </c>
      <c r="E7318" s="49" t="s">
        <v>4351</v>
      </c>
      <c r="F7318" s="49" t="s">
        <v>4352</v>
      </c>
      <c r="G7318" s="49" t="n">
        <v>0</v>
      </c>
      <c r="H7318" s="0" t="n">
        <v>0</v>
      </c>
      <c r="M7318" s="51" t="s">
        <v>12169</v>
      </c>
      <c r="N7318" s="49" t="n">
        <v>0</v>
      </c>
      <c r="O7318" s="53" t="n">
        <v>45890.6513888889</v>
      </c>
      <c r="P7318" s="53" t="n">
        <v>45892.495474537</v>
      </c>
      <c r="Q7318" s="53" t="n">
        <v>45890.6513888889</v>
      </c>
      <c r="R7318" s="0" t="n">
        <v>0</v>
      </c>
      <c r="S7318" s="51" t="s">
        <v>2356</v>
      </c>
      <c r="T7318" s="51" t="s">
        <v>2356</v>
      </c>
      <c r="U7318" s="51" t="s">
        <v>4351</v>
      </c>
      <c r="V7318" s="51" t="s">
        <v>2365</v>
      </c>
      <c r="W7318" s="51" t="s">
        <v>9050</v>
      </c>
      <c r="X7318" s="51" t="s">
        <v>2359</v>
      </c>
    </row>
    <row r="7319" customFormat="false" ht="14.25" hidden="true" customHeight="false" outlineLevel="0" collapsed="false">
      <c r="A7319" s="49" t="s">
        <v>2349</v>
      </c>
      <c r="B7319" s="49" t="s">
        <v>2350</v>
      </c>
      <c r="C7319" s="49" t="s">
        <v>12171</v>
      </c>
      <c r="D7319" s="49" t="s">
        <v>2352</v>
      </c>
      <c r="E7319" s="49" t="s">
        <v>4351</v>
      </c>
      <c r="F7319" s="49" t="s">
        <v>4352</v>
      </c>
      <c r="G7319" s="49" t="n">
        <v>0</v>
      </c>
      <c r="H7319" s="0" t="n">
        <v>0</v>
      </c>
      <c r="M7319" s="51" t="s">
        <v>12169</v>
      </c>
      <c r="N7319" s="49" t="n">
        <v>0</v>
      </c>
      <c r="O7319" s="53" t="n">
        <v>45890.6513078704</v>
      </c>
      <c r="P7319" s="53" t="n">
        <v>45892.4957291667</v>
      </c>
      <c r="Q7319" s="53" t="n">
        <v>45890.6513078704</v>
      </c>
      <c r="R7319" s="0" t="n">
        <v>0</v>
      </c>
      <c r="S7319" s="51" t="s">
        <v>2356</v>
      </c>
      <c r="T7319" s="51" t="s">
        <v>2356</v>
      </c>
      <c r="U7319" s="51" t="s">
        <v>4351</v>
      </c>
      <c r="V7319" s="51" t="s">
        <v>2365</v>
      </c>
      <c r="W7319" s="51" t="s">
        <v>4138</v>
      </c>
      <c r="X7319" s="51" t="s">
        <v>2359</v>
      </c>
    </row>
    <row r="7320" customFormat="false" ht="14.25" hidden="true" customHeight="false" outlineLevel="0" collapsed="false">
      <c r="A7320" s="49" t="s">
        <v>2349</v>
      </c>
      <c r="B7320" s="49" t="s">
        <v>2350</v>
      </c>
      <c r="C7320" s="49" t="s">
        <v>12172</v>
      </c>
      <c r="D7320" s="49" t="s">
        <v>2352</v>
      </c>
      <c r="E7320" s="49" t="s">
        <v>4351</v>
      </c>
      <c r="F7320" s="49" t="s">
        <v>4352</v>
      </c>
      <c r="G7320" s="49" t="n">
        <v>0</v>
      </c>
      <c r="H7320" s="0" t="n">
        <v>0</v>
      </c>
      <c r="M7320" s="51" t="s">
        <v>12169</v>
      </c>
      <c r="N7320" s="49" t="n">
        <v>0</v>
      </c>
      <c r="O7320" s="53" t="n">
        <v>45890.6512268519</v>
      </c>
      <c r="P7320" s="53" t="n">
        <v>45892.4958680556</v>
      </c>
      <c r="Q7320" s="53" t="n">
        <v>45890.6512268519</v>
      </c>
      <c r="R7320" s="0" t="n">
        <v>0</v>
      </c>
      <c r="S7320" s="51" t="s">
        <v>2356</v>
      </c>
      <c r="T7320" s="51" t="s">
        <v>2356</v>
      </c>
      <c r="U7320" s="51" t="s">
        <v>4351</v>
      </c>
      <c r="V7320" s="51" t="s">
        <v>2365</v>
      </c>
      <c r="W7320" s="51" t="s">
        <v>7272</v>
      </c>
      <c r="X7320" s="51" t="s">
        <v>2359</v>
      </c>
    </row>
    <row r="7321" customFormat="false" ht="14.25" hidden="true" customHeight="false" outlineLevel="0" collapsed="false">
      <c r="A7321" s="49" t="s">
        <v>2349</v>
      </c>
      <c r="B7321" s="49" t="s">
        <v>2350</v>
      </c>
      <c r="C7321" s="49" t="s">
        <v>12173</v>
      </c>
      <c r="D7321" s="49" t="s">
        <v>2352</v>
      </c>
      <c r="E7321" s="49" t="s">
        <v>4351</v>
      </c>
      <c r="F7321" s="49" t="s">
        <v>4352</v>
      </c>
      <c r="G7321" s="49" t="n">
        <v>0</v>
      </c>
      <c r="H7321" s="0" t="n">
        <v>0</v>
      </c>
      <c r="M7321" s="51" t="s">
        <v>12169</v>
      </c>
      <c r="N7321" s="49" t="n">
        <v>0</v>
      </c>
      <c r="O7321" s="53" t="n">
        <v>45890.6511458333</v>
      </c>
      <c r="P7321" s="53" t="n">
        <v>45904.6451388889</v>
      </c>
      <c r="Q7321" s="53" t="n">
        <v>45890.6511458333</v>
      </c>
      <c r="R7321" s="0" t="n">
        <v>0</v>
      </c>
      <c r="S7321" s="51" t="s">
        <v>2356</v>
      </c>
      <c r="T7321" s="51" t="s">
        <v>2356</v>
      </c>
      <c r="U7321" s="51" t="s">
        <v>4351</v>
      </c>
      <c r="V7321" s="51" t="s">
        <v>2365</v>
      </c>
      <c r="W7321" s="51" t="s">
        <v>11753</v>
      </c>
      <c r="X7321" s="51" t="s">
        <v>2359</v>
      </c>
    </row>
    <row r="7322" customFormat="false" ht="14.25" hidden="true" customHeight="false" outlineLevel="0" collapsed="false">
      <c r="A7322" s="49" t="s">
        <v>2349</v>
      </c>
      <c r="B7322" s="49" t="s">
        <v>2350</v>
      </c>
      <c r="C7322" s="49" t="s">
        <v>12174</v>
      </c>
      <c r="D7322" s="49" t="s">
        <v>2352</v>
      </c>
      <c r="E7322" s="49" t="s">
        <v>4351</v>
      </c>
      <c r="F7322" s="49" t="s">
        <v>4352</v>
      </c>
      <c r="G7322" s="49" t="n">
        <v>0</v>
      </c>
      <c r="H7322" s="0" t="n">
        <v>0</v>
      </c>
      <c r="M7322" s="51" t="s">
        <v>12169</v>
      </c>
      <c r="N7322" s="49" t="n">
        <v>0</v>
      </c>
      <c r="O7322" s="53" t="n">
        <v>45890.6510648148</v>
      </c>
      <c r="P7322" s="53" t="n">
        <v>45903.3408217593</v>
      </c>
      <c r="Q7322" s="53" t="n">
        <v>45890.6510648148</v>
      </c>
      <c r="R7322" s="0" t="n">
        <v>0</v>
      </c>
      <c r="S7322" s="51" t="s">
        <v>2356</v>
      </c>
      <c r="T7322" s="51" t="s">
        <v>2356</v>
      </c>
      <c r="U7322" s="51" t="s">
        <v>4351</v>
      </c>
      <c r="V7322" s="51" t="s">
        <v>2365</v>
      </c>
      <c r="W7322" s="51" t="s">
        <v>9724</v>
      </c>
      <c r="X7322" s="51" t="s">
        <v>2359</v>
      </c>
    </row>
    <row r="7323" customFormat="false" ht="14.25" hidden="true" customHeight="false" outlineLevel="0" collapsed="false">
      <c r="A7323" s="49" t="s">
        <v>2349</v>
      </c>
      <c r="B7323" s="49" t="s">
        <v>2350</v>
      </c>
      <c r="C7323" s="49" t="s">
        <v>12175</v>
      </c>
      <c r="D7323" s="49" t="s">
        <v>2352</v>
      </c>
      <c r="E7323" s="49" t="s">
        <v>4351</v>
      </c>
      <c r="F7323" s="49" t="s">
        <v>4352</v>
      </c>
      <c r="G7323" s="49" t="n">
        <v>0</v>
      </c>
      <c r="H7323" s="0" t="n">
        <v>0</v>
      </c>
      <c r="M7323" s="51" t="s">
        <v>12169</v>
      </c>
      <c r="N7323" s="49" t="n">
        <v>0</v>
      </c>
      <c r="O7323" s="53" t="n">
        <v>45890.6509606482</v>
      </c>
      <c r="P7323" s="53" t="n">
        <v>45903.6082060185</v>
      </c>
      <c r="Q7323" s="53" t="n">
        <v>45890.6509606482</v>
      </c>
      <c r="R7323" s="0" t="n">
        <v>0</v>
      </c>
      <c r="S7323" s="51" t="s">
        <v>2356</v>
      </c>
      <c r="T7323" s="51" t="s">
        <v>2356</v>
      </c>
      <c r="U7323" s="51" t="s">
        <v>4351</v>
      </c>
      <c r="V7323" s="51" t="s">
        <v>2365</v>
      </c>
      <c r="W7323" s="51" t="s">
        <v>12176</v>
      </c>
      <c r="X7323" s="51" t="s">
        <v>2359</v>
      </c>
    </row>
    <row r="7324" customFormat="false" ht="14.25" hidden="true" customHeight="false" outlineLevel="0" collapsed="false">
      <c r="A7324" s="49" t="s">
        <v>2349</v>
      </c>
      <c r="B7324" s="49" t="s">
        <v>2350</v>
      </c>
      <c r="C7324" s="49" t="s">
        <v>12177</v>
      </c>
      <c r="D7324" s="49" t="s">
        <v>2352</v>
      </c>
      <c r="E7324" s="49" t="s">
        <v>4351</v>
      </c>
      <c r="F7324" s="49" t="s">
        <v>4352</v>
      </c>
      <c r="G7324" s="49" t="n">
        <v>0</v>
      </c>
      <c r="H7324" s="0" t="n">
        <v>0</v>
      </c>
      <c r="M7324" s="51" t="s">
        <v>12169</v>
      </c>
      <c r="N7324" s="49" t="n">
        <v>0</v>
      </c>
      <c r="O7324" s="53" t="n">
        <v>45890.6508101852</v>
      </c>
      <c r="P7324" s="53" t="n">
        <v>45904.6440625</v>
      </c>
      <c r="Q7324" s="53" t="n">
        <v>45890.6508101852</v>
      </c>
      <c r="R7324" s="0" t="n">
        <v>0</v>
      </c>
      <c r="S7324" s="51" t="s">
        <v>2356</v>
      </c>
      <c r="T7324" s="51" t="s">
        <v>2356</v>
      </c>
      <c r="U7324" s="51" t="s">
        <v>4351</v>
      </c>
      <c r="V7324" s="51" t="s">
        <v>2365</v>
      </c>
      <c r="W7324" s="51" t="s">
        <v>7288</v>
      </c>
      <c r="X7324" s="51" t="s">
        <v>2359</v>
      </c>
    </row>
    <row r="7325" customFormat="false" ht="14.25" hidden="true" customHeight="false" outlineLevel="0" collapsed="false">
      <c r="A7325" s="49" t="s">
        <v>2349</v>
      </c>
      <c r="B7325" s="49" t="s">
        <v>2350</v>
      </c>
      <c r="C7325" s="49" t="s">
        <v>12178</v>
      </c>
      <c r="D7325" s="49" t="s">
        <v>2352</v>
      </c>
      <c r="E7325" s="49" t="s">
        <v>4351</v>
      </c>
      <c r="F7325" s="49" t="s">
        <v>4352</v>
      </c>
      <c r="G7325" s="49" t="n">
        <v>0</v>
      </c>
      <c r="H7325" s="0" t="n">
        <v>0</v>
      </c>
      <c r="M7325" s="51" t="s">
        <v>12169</v>
      </c>
      <c r="N7325" s="49" t="n">
        <v>0</v>
      </c>
      <c r="O7325" s="53" t="n">
        <v>45890.6507060185</v>
      </c>
      <c r="P7325" s="53" t="n">
        <v>45908.301412037</v>
      </c>
      <c r="Q7325" s="53" t="n">
        <v>45890.6507060185</v>
      </c>
      <c r="R7325" s="0" t="n">
        <v>0</v>
      </c>
      <c r="S7325" s="51" t="s">
        <v>2356</v>
      </c>
      <c r="T7325" s="51" t="s">
        <v>2356</v>
      </c>
      <c r="U7325" s="51" t="s">
        <v>4351</v>
      </c>
      <c r="V7325" s="51" t="s">
        <v>2365</v>
      </c>
      <c r="W7325" s="51" t="s">
        <v>12179</v>
      </c>
      <c r="X7325" s="51" t="s">
        <v>2359</v>
      </c>
    </row>
    <row r="7326" customFormat="false" ht="14.25" hidden="true" customHeight="false" outlineLevel="0" collapsed="false">
      <c r="A7326" s="49" t="s">
        <v>2349</v>
      </c>
      <c r="B7326" s="49" t="s">
        <v>2350</v>
      </c>
      <c r="C7326" s="49" t="s">
        <v>12180</v>
      </c>
      <c r="D7326" s="49" t="s">
        <v>2352</v>
      </c>
      <c r="E7326" s="49" t="s">
        <v>4351</v>
      </c>
      <c r="F7326" s="49" t="s">
        <v>4352</v>
      </c>
      <c r="G7326" s="49" t="n">
        <v>0</v>
      </c>
      <c r="H7326" s="0" t="n">
        <v>0</v>
      </c>
      <c r="M7326" s="51" t="s">
        <v>12169</v>
      </c>
      <c r="N7326" s="49" t="n">
        <v>0</v>
      </c>
      <c r="O7326" s="53" t="n">
        <v>45890.6505787037</v>
      </c>
      <c r="P7326" s="53" t="n">
        <v>45910.3063888889</v>
      </c>
      <c r="Q7326" s="53" t="n">
        <v>45890.6505787037</v>
      </c>
      <c r="R7326" s="0" t="n">
        <v>0</v>
      </c>
      <c r="S7326" s="51" t="s">
        <v>2356</v>
      </c>
      <c r="T7326" s="51" t="s">
        <v>2356</v>
      </c>
      <c r="U7326" s="51" t="s">
        <v>4351</v>
      </c>
      <c r="V7326" s="51" t="s">
        <v>2365</v>
      </c>
      <c r="W7326" s="51" t="s">
        <v>5492</v>
      </c>
      <c r="X7326" s="51" t="s">
        <v>2359</v>
      </c>
    </row>
    <row r="7327" customFormat="false" ht="14.25" hidden="true" customHeight="false" outlineLevel="0" collapsed="false">
      <c r="A7327" s="49" t="s">
        <v>2349</v>
      </c>
      <c r="B7327" s="49" t="s">
        <v>2350</v>
      </c>
      <c r="C7327" s="49" t="s">
        <v>12181</v>
      </c>
      <c r="D7327" s="49" t="s">
        <v>2352</v>
      </c>
      <c r="E7327" s="49" t="s">
        <v>4351</v>
      </c>
      <c r="F7327" s="49" t="s">
        <v>4352</v>
      </c>
      <c r="G7327" s="49" t="n">
        <v>0</v>
      </c>
      <c r="H7327" s="0" t="n">
        <v>0</v>
      </c>
      <c r="M7327" s="51" t="s">
        <v>12169</v>
      </c>
      <c r="N7327" s="49" t="n">
        <v>0</v>
      </c>
      <c r="O7327" s="53" t="n">
        <v>45890.6505092593</v>
      </c>
      <c r="P7327" s="53" t="n">
        <v>45901.6546180556</v>
      </c>
      <c r="Q7327" s="53" t="n">
        <v>45890.6505092593</v>
      </c>
      <c r="R7327" s="0" t="n">
        <v>0</v>
      </c>
      <c r="S7327" s="51" t="s">
        <v>2356</v>
      </c>
      <c r="T7327" s="51" t="s">
        <v>2356</v>
      </c>
      <c r="U7327" s="51" t="s">
        <v>4351</v>
      </c>
      <c r="V7327" s="51" t="s">
        <v>2365</v>
      </c>
      <c r="W7327" s="51" t="s">
        <v>5141</v>
      </c>
      <c r="X7327" s="51" t="s">
        <v>2359</v>
      </c>
    </row>
    <row r="7328" customFormat="false" ht="14.25" hidden="true" customHeight="false" outlineLevel="0" collapsed="false">
      <c r="A7328" s="49" t="s">
        <v>2349</v>
      </c>
      <c r="B7328" s="49" t="s">
        <v>2350</v>
      </c>
      <c r="C7328" s="49" t="s">
        <v>12182</v>
      </c>
      <c r="D7328" s="49" t="s">
        <v>2352</v>
      </c>
      <c r="E7328" s="49" t="s">
        <v>4351</v>
      </c>
      <c r="F7328" s="49" t="s">
        <v>4352</v>
      </c>
      <c r="G7328" s="49" t="n">
        <v>0</v>
      </c>
      <c r="H7328" s="0" t="n">
        <v>0</v>
      </c>
      <c r="M7328" s="51" t="s">
        <v>12169</v>
      </c>
      <c r="N7328" s="49" t="n">
        <v>0</v>
      </c>
      <c r="O7328" s="53" t="n">
        <v>45890.6504282407</v>
      </c>
      <c r="P7328" s="53" t="n">
        <v>45900.4477777778</v>
      </c>
      <c r="Q7328" s="53" t="n">
        <v>45890.6504282407</v>
      </c>
      <c r="R7328" s="0" t="n">
        <v>0</v>
      </c>
      <c r="S7328" s="51" t="s">
        <v>2356</v>
      </c>
      <c r="T7328" s="51" t="s">
        <v>2356</v>
      </c>
      <c r="U7328" s="51" t="s">
        <v>4351</v>
      </c>
      <c r="V7328" s="51" t="s">
        <v>2365</v>
      </c>
      <c r="W7328" s="51" t="s">
        <v>5476</v>
      </c>
      <c r="X7328" s="51" t="s">
        <v>2359</v>
      </c>
    </row>
    <row r="7329" customFormat="false" ht="14.25" hidden="true" customHeight="false" outlineLevel="0" collapsed="false">
      <c r="A7329" s="49" t="s">
        <v>2349</v>
      </c>
      <c r="B7329" s="49" t="s">
        <v>2350</v>
      </c>
      <c r="C7329" s="49" t="s">
        <v>12183</v>
      </c>
      <c r="D7329" s="49" t="s">
        <v>2352</v>
      </c>
      <c r="E7329" s="49" t="s">
        <v>4351</v>
      </c>
      <c r="F7329" s="49" t="s">
        <v>4352</v>
      </c>
      <c r="G7329" s="49" t="n">
        <v>0</v>
      </c>
      <c r="H7329" s="0" t="n">
        <v>0</v>
      </c>
      <c r="M7329" s="51" t="s">
        <v>12169</v>
      </c>
      <c r="N7329" s="49" t="n">
        <v>0</v>
      </c>
      <c r="O7329" s="53" t="n">
        <v>45890.6503009259</v>
      </c>
      <c r="P7329" s="53" t="n">
        <v>45899.5690625</v>
      </c>
      <c r="Q7329" s="53" t="n">
        <v>45890.6503009259</v>
      </c>
      <c r="R7329" s="0" t="n">
        <v>0</v>
      </c>
      <c r="S7329" s="51" t="s">
        <v>2356</v>
      </c>
      <c r="T7329" s="51" t="s">
        <v>2356</v>
      </c>
      <c r="U7329" s="51" t="s">
        <v>4351</v>
      </c>
      <c r="V7329" s="51" t="s">
        <v>2365</v>
      </c>
      <c r="W7329" s="51" t="s">
        <v>5473</v>
      </c>
      <c r="X7329" s="51" t="s">
        <v>2359</v>
      </c>
    </row>
    <row r="7330" customFormat="false" ht="14.25" hidden="true" customHeight="false" outlineLevel="0" collapsed="false">
      <c r="A7330" s="49" t="s">
        <v>2349</v>
      </c>
      <c r="B7330" s="49" t="s">
        <v>2350</v>
      </c>
      <c r="C7330" s="49" t="s">
        <v>12184</v>
      </c>
      <c r="D7330" s="49" t="s">
        <v>2352</v>
      </c>
      <c r="E7330" s="49" t="s">
        <v>4351</v>
      </c>
      <c r="F7330" s="49" t="s">
        <v>4352</v>
      </c>
      <c r="G7330" s="49" t="n">
        <v>0</v>
      </c>
      <c r="H7330" s="0" t="n">
        <v>0</v>
      </c>
      <c r="M7330" s="51" t="s">
        <v>12169</v>
      </c>
      <c r="N7330" s="49" t="n">
        <v>0</v>
      </c>
      <c r="O7330" s="53" t="n">
        <v>45890.6502199074</v>
      </c>
      <c r="P7330" s="53" t="n">
        <v>45899.5689930556</v>
      </c>
      <c r="Q7330" s="53" t="n">
        <v>45890.6502199074</v>
      </c>
      <c r="R7330" s="0" t="n">
        <v>0</v>
      </c>
      <c r="S7330" s="51" t="s">
        <v>2356</v>
      </c>
      <c r="T7330" s="51" t="s">
        <v>2356</v>
      </c>
      <c r="U7330" s="51" t="s">
        <v>4351</v>
      </c>
      <c r="V7330" s="51" t="s">
        <v>2365</v>
      </c>
      <c r="W7330" s="51" t="s">
        <v>12185</v>
      </c>
      <c r="X7330" s="51" t="s">
        <v>2359</v>
      </c>
    </row>
    <row r="7331" customFormat="false" ht="14.25" hidden="true" customHeight="false" outlineLevel="0" collapsed="false">
      <c r="A7331" s="49" t="s">
        <v>2349</v>
      </c>
      <c r="B7331" s="49" t="s">
        <v>2350</v>
      </c>
      <c r="C7331" s="49" t="s">
        <v>12186</v>
      </c>
      <c r="D7331" s="49" t="s">
        <v>2352</v>
      </c>
      <c r="E7331" s="49" t="s">
        <v>4351</v>
      </c>
      <c r="F7331" s="49" t="s">
        <v>4352</v>
      </c>
      <c r="G7331" s="49" t="n">
        <v>0</v>
      </c>
      <c r="H7331" s="0" t="n">
        <v>0</v>
      </c>
      <c r="M7331" s="51" t="s">
        <v>12169</v>
      </c>
      <c r="N7331" s="49" t="n">
        <v>0</v>
      </c>
      <c r="O7331" s="53" t="n">
        <v>45890.6501157407</v>
      </c>
      <c r="P7331" s="53" t="n">
        <v>45892.4949305556</v>
      </c>
      <c r="Q7331" s="53" t="n">
        <v>45890.6501157407</v>
      </c>
      <c r="R7331" s="0" t="n">
        <v>0</v>
      </c>
      <c r="S7331" s="51" t="s">
        <v>2356</v>
      </c>
      <c r="T7331" s="51" t="s">
        <v>2356</v>
      </c>
      <c r="U7331" s="51" t="s">
        <v>4351</v>
      </c>
      <c r="V7331" s="51" t="s">
        <v>2365</v>
      </c>
      <c r="W7331" s="51" t="s">
        <v>4150</v>
      </c>
      <c r="X7331" s="51" t="s">
        <v>2359</v>
      </c>
    </row>
    <row r="7332" customFormat="false" ht="14.25" hidden="true" customHeight="false" outlineLevel="0" collapsed="false">
      <c r="A7332" s="49" t="s">
        <v>2349</v>
      </c>
      <c r="B7332" s="49" t="s">
        <v>2350</v>
      </c>
      <c r="C7332" s="49" t="s">
        <v>12187</v>
      </c>
      <c r="D7332" s="49" t="s">
        <v>2352</v>
      </c>
      <c r="E7332" s="49" t="s">
        <v>4351</v>
      </c>
      <c r="F7332" s="49" t="s">
        <v>4352</v>
      </c>
      <c r="G7332" s="49" t="n">
        <v>0</v>
      </c>
      <c r="H7332" s="0" t="n">
        <v>0</v>
      </c>
      <c r="M7332" s="51" t="s">
        <v>12169</v>
      </c>
      <c r="N7332" s="49" t="n">
        <v>0</v>
      </c>
      <c r="O7332" s="53" t="n">
        <v>45890.65</v>
      </c>
      <c r="P7332" s="53" t="n">
        <v>45892.4950694444</v>
      </c>
      <c r="Q7332" s="53" t="n">
        <v>45890.65</v>
      </c>
      <c r="R7332" s="0" t="n">
        <v>0</v>
      </c>
      <c r="S7332" s="51" t="s">
        <v>2356</v>
      </c>
      <c r="T7332" s="51" t="s">
        <v>2356</v>
      </c>
      <c r="U7332" s="51" t="s">
        <v>4351</v>
      </c>
      <c r="V7332" s="51" t="s">
        <v>2365</v>
      </c>
      <c r="W7332" s="51" t="s">
        <v>4367</v>
      </c>
      <c r="X7332" s="51" t="s">
        <v>2359</v>
      </c>
    </row>
    <row r="7333" customFormat="false" ht="14.25" hidden="true" customHeight="false" outlineLevel="0" collapsed="false">
      <c r="A7333" s="49" t="s">
        <v>2349</v>
      </c>
      <c r="B7333" s="49" t="s">
        <v>2350</v>
      </c>
      <c r="C7333" s="49" t="s">
        <v>12188</v>
      </c>
      <c r="D7333" s="49" t="s">
        <v>2352</v>
      </c>
      <c r="E7333" s="49" t="s">
        <v>4351</v>
      </c>
      <c r="F7333" s="49" t="s">
        <v>4352</v>
      </c>
      <c r="G7333" s="49" t="n">
        <v>0</v>
      </c>
      <c r="H7333" s="0" t="n">
        <v>0</v>
      </c>
      <c r="M7333" s="51" t="s">
        <v>12169</v>
      </c>
      <c r="N7333" s="49" t="n">
        <v>0</v>
      </c>
      <c r="O7333" s="53" t="n">
        <v>45890.6498842593</v>
      </c>
      <c r="P7333" s="53" t="n">
        <v>45892.4951851852</v>
      </c>
      <c r="Q7333" s="53" t="n">
        <v>45890.6498842593</v>
      </c>
      <c r="R7333" s="0" t="n">
        <v>0</v>
      </c>
      <c r="S7333" s="51" t="s">
        <v>2356</v>
      </c>
      <c r="T7333" s="51" t="s">
        <v>2356</v>
      </c>
      <c r="U7333" s="51" t="s">
        <v>4351</v>
      </c>
      <c r="V7333" s="51" t="s">
        <v>2365</v>
      </c>
      <c r="W7333" s="51" t="s">
        <v>5469</v>
      </c>
      <c r="X7333" s="51" t="s">
        <v>2359</v>
      </c>
    </row>
    <row r="7334" customFormat="false" ht="14.25" hidden="true" customHeight="false" outlineLevel="0" collapsed="false">
      <c r="A7334" s="49" t="s">
        <v>2349</v>
      </c>
      <c r="B7334" s="49" t="s">
        <v>2350</v>
      </c>
      <c r="C7334" s="49" t="s">
        <v>12189</v>
      </c>
      <c r="D7334" s="49" t="s">
        <v>2352</v>
      </c>
      <c r="E7334" s="49" t="s">
        <v>4351</v>
      </c>
      <c r="F7334" s="49" t="s">
        <v>4352</v>
      </c>
      <c r="G7334" s="49" t="n">
        <v>0</v>
      </c>
      <c r="H7334" s="0" t="n">
        <v>0</v>
      </c>
      <c r="M7334" s="51" t="s">
        <v>12169</v>
      </c>
      <c r="N7334" s="49" t="n">
        <v>0</v>
      </c>
      <c r="O7334" s="53" t="n">
        <v>45890.6496875</v>
      </c>
      <c r="P7334" s="53" t="n">
        <v>45892.4953356482</v>
      </c>
      <c r="Q7334" s="53" t="n">
        <v>45890.6496875</v>
      </c>
      <c r="R7334" s="0" t="n">
        <v>0</v>
      </c>
      <c r="S7334" s="51" t="s">
        <v>2356</v>
      </c>
      <c r="T7334" s="51" t="s">
        <v>2356</v>
      </c>
      <c r="U7334" s="51" t="s">
        <v>4351</v>
      </c>
      <c r="V7334" s="51" t="s">
        <v>2365</v>
      </c>
      <c r="W7334" s="51" t="s">
        <v>5915</v>
      </c>
      <c r="X7334" s="51" t="s">
        <v>2359</v>
      </c>
    </row>
    <row r="7335" customFormat="false" ht="14.25" hidden="true" customHeight="false" outlineLevel="0" collapsed="false">
      <c r="A7335" s="49" t="s">
        <v>2349</v>
      </c>
      <c r="B7335" s="49" t="s">
        <v>2350</v>
      </c>
      <c r="C7335" s="49" t="s">
        <v>12190</v>
      </c>
      <c r="D7335" s="49" t="s">
        <v>2352</v>
      </c>
      <c r="E7335" s="49" t="s">
        <v>4351</v>
      </c>
      <c r="F7335" s="49" t="s">
        <v>4352</v>
      </c>
      <c r="G7335" s="49" t="n">
        <v>0</v>
      </c>
      <c r="H7335" s="0" t="n">
        <v>0</v>
      </c>
      <c r="M7335" s="51" t="s">
        <v>12169</v>
      </c>
      <c r="N7335" s="49" t="n">
        <v>0</v>
      </c>
      <c r="O7335" s="53" t="n">
        <v>45890.6495601852</v>
      </c>
      <c r="P7335" s="53" t="n">
        <v>45892.4946412037</v>
      </c>
      <c r="Q7335" s="53" t="n">
        <v>45890.6495601852</v>
      </c>
      <c r="R7335" s="0" t="n">
        <v>0</v>
      </c>
      <c r="S7335" s="51" t="s">
        <v>2356</v>
      </c>
      <c r="T7335" s="51" t="s">
        <v>2356</v>
      </c>
      <c r="U7335" s="51" t="s">
        <v>4351</v>
      </c>
      <c r="V7335" s="51" t="s">
        <v>2365</v>
      </c>
      <c r="W7335" s="51" t="s">
        <v>4144</v>
      </c>
      <c r="X7335" s="51" t="s">
        <v>2359</v>
      </c>
    </row>
    <row r="7336" customFormat="false" ht="14.25" hidden="true" customHeight="false" outlineLevel="0" collapsed="false">
      <c r="A7336" s="49" t="s">
        <v>2349</v>
      </c>
      <c r="B7336" s="49" t="s">
        <v>2350</v>
      </c>
      <c r="C7336" s="49" t="s">
        <v>12191</v>
      </c>
      <c r="D7336" s="49" t="s">
        <v>2352</v>
      </c>
      <c r="E7336" s="49" t="s">
        <v>4351</v>
      </c>
      <c r="F7336" s="49" t="s">
        <v>4352</v>
      </c>
      <c r="G7336" s="49" t="n">
        <v>0</v>
      </c>
      <c r="H7336" s="0" t="n">
        <v>0</v>
      </c>
      <c r="M7336" s="51" t="s">
        <v>12169</v>
      </c>
      <c r="N7336" s="49" t="n">
        <v>0</v>
      </c>
      <c r="O7336" s="53" t="n">
        <v>45890.6494444445</v>
      </c>
      <c r="P7336" s="53" t="n">
        <v>45892.4943287037</v>
      </c>
      <c r="Q7336" s="53" t="n">
        <v>45890.6494444445</v>
      </c>
      <c r="R7336" s="0" t="n">
        <v>0</v>
      </c>
      <c r="S7336" s="51" t="s">
        <v>2356</v>
      </c>
      <c r="T7336" s="51" t="s">
        <v>2356</v>
      </c>
      <c r="U7336" s="51" t="s">
        <v>4351</v>
      </c>
      <c r="V7336" s="51" t="s">
        <v>2365</v>
      </c>
      <c r="W7336" s="51" t="s">
        <v>4357</v>
      </c>
      <c r="X7336" s="51" t="s">
        <v>2359</v>
      </c>
    </row>
    <row r="7337" customFormat="false" ht="14.25" hidden="true" customHeight="false" outlineLevel="0" collapsed="false">
      <c r="A7337" s="49" t="s">
        <v>2349</v>
      </c>
      <c r="B7337" s="49" t="s">
        <v>2350</v>
      </c>
      <c r="C7337" s="49" t="s">
        <v>12192</v>
      </c>
      <c r="D7337" s="49" t="s">
        <v>2352</v>
      </c>
      <c r="E7337" s="49" t="s">
        <v>4351</v>
      </c>
      <c r="F7337" s="49" t="s">
        <v>4352</v>
      </c>
      <c r="G7337" s="49" t="n">
        <v>0</v>
      </c>
      <c r="H7337" s="0" t="n">
        <v>0</v>
      </c>
      <c r="M7337" s="51" t="s">
        <v>12169</v>
      </c>
      <c r="N7337" s="49" t="n">
        <v>0</v>
      </c>
      <c r="O7337" s="53" t="n">
        <v>45890.6479861111</v>
      </c>
      <c r="P7337" s="53" t="n">
        <v>45892.4944791667</v>
      </c>
      <c r="Q7337" s="53" t="n">
        <v>45890.6479861111</v>
      </c>
      <c r="R7337" s="0" t="n">
        <v>0</v>
      </c>
      <c r="S7337" s="51" t="s">
        <v>2356</v>
      </c>
      <c r="T7337" s="51" t="s">
        <v>2356</v>
      </c>
      <c r="U7337" s="51" t="s">
        <v>4351</v>
      </c>
      <c r="V7337" s="51" t="s">
        <v>2365</v>
      </c>
      <c r="W7337" s="51" t="s">
        <v>4373</v>
      </c>
      <c r="X7337" s="51" t="s">
        <v>2359</v>
      </c>
    </row>
    <row r="7338" customFormat="false" ht="14.25" hidden="true" customHeight="false" outlineLevel="0" collapsed="false">
      <c r="A7338" s="49" t="s">
        <v>2349</v>
      </c>
      <c r="B7338" s="49" t="s">
        <v>2350</v>
      </c>
      <c r="C7338" s="49" t="s">
        <v>12193</v>
      </c>
      <c r="D7338" s="49" t="s">
        <v>2352</v>
      </c>
      <c r="E7338" s="49" t="str">
        <f aca="false">"12608305"</f>
        <v>12608305</v>
      </c>
      <c r="F7338" s="49" t="s">
        <v>12194</v>
      </c>
      <c r="G7338" s="49" t="n">
        <v>0</v>
      </c>
      <c r="H7338" s="0" t="n">
        <v>0</v>
      </c>
      <c r="M7338" s="51" t="s">
        <v>12195</v>
      </c>
      <c r="N7338" s="49" t="n">
        <v>0</v>
      </c>
      <c r="O7338" s="53" t="n">
        <v>46014.5833217593</v>
      </c>
      <c r="P7338" s="53" t="n">
        <v>46031.7661805556</v>
      </c>
      <c r="Q7338" s="53" t="n">
        <v>46014.5833217593</v>
      </c>
      <c r="R7338" s="0" t="n">
        <v>0</v>
      </c>
      <c r="S7338" s="51" t="s">
        <v>3780</v>
      </c>
      <c r="T7338" s="51" t="s">
        <v>3780</v>
      </c>
      <c r="U7338" s="0" t="str">
        <f aca="false">"12608305"</f>
        <v>12608305</v>
      </c>
      <c r="V7338" s="51" t="s">
        <v>2365</v>
      </c>
      <c r="W7338" s="51" t="s">
        <v>11681</v>
      </c>
      <c r="X7338" s="51" t="s">
        <v>2359</v>
      </c>
    </row>
    <row r="7339" customFormat="false" ht="14.25" hidden="true" customHeight="false" outlineLevel="0" collapsed="false">
      <c r="A7339" s="49" t="s">
        <v>2349</v>
      </c>
      <c r="B7339" s="49" t="s">
        <v>2350</v>
      </c>
      <c r="C7339" s="49" t="s">
        <v>12196</v>
      </c>
      <c r="D7339" s="49" t="s">
        <v>2352</v>
      </c>
      <c r="E7339" s="49" t="str">
        <f aca="false">"8908020441070"</f>
        <v>8908020441070</v>
      </c>
      <c r="F7339" s="49" t="s">
        <v>5404</v>
      </c>
      <c r="G7339" s="49" t="n">
        <v>0</v>
      </c>
      <c r="H7339" s="0" t="n">
        <v>0</v>
      </c>
      <c r="M7339" s="51" t="s">
        <v>12197</v>
      </c>
      <c r="N7339" s="49" t="n">
        <v>0</v>
      </c>
      <c r="O7339" s="53" t="n">
        <v>45992.5789583333</v>
      </c>
      <c r="P7339" s="53" t="n">
        <v>46006.8409606482</v>
      </c>
      <c r="Q7339" s="53" t="n">
        <v>45992.5789583333</v>
      </c>
      <c r="R7339" s="0" t="n">
        <v>0</v>
      </c>
      <c r="S7339" s="51" t="s">
        <v>2356</v>
      </c>
      <c r="T7339" s="51" t="s">
        <v>2356</v>
      </c>
      <c r="U7339" s="0" t="str">
        <f aca="false">"8908020441070"</f>
        <v>8908020441070</v>
      </c>
      <c r="V7339" s="51" t="s">
        <v>5386</v>
      </c>
      <c r="W7339" s="51" t="s">
        <v>4118</v>
      </c>
      <c r="X7339" s="51" t="s">
        <v>2359</v>
      </c>
    </row>
    <row r="7340" customFormat="false" ht="14.25" hidden="true" customHeight="false" outlineLevel="0" collapsed="false">
      <c r="A7340" s="49" t="s">
        <v>2349</v>
      </c>
      <c r="B7340" s="49" t="s">
        <v>2350</v>
      </c>
      <c r="C7340" s="49" t="s">
        <v>12198</v>
      </c>
      <c r="D7340" s="49" t="s">
        <v>2352</v>
      </c>
      <c r="E7340" s="49" t="str">
        <f aca="false">"8908020441070"</f>
        <v>8908020441070</v>
      </c>
      <c r="F7340" s="49" t="s">
        <v>5404</v>
      </c>
      <c r="G7340" s="49" t="n">
        <v>0</v>
      </c>
      <c r="H7340" s="0" t="n">
        <v>0</v>
      </c>
      <c r="M7340" s="51" t="s">
        <v>12197</v>
      </c>
      <c r="N7340" s="49" t="n">
        <v>0</v>
      </c>
      <c r="O7340" s="53" t="n">
        <v>45992.5781365741</v>
      </c>
      <c r="P7340" s="53" t="n">
        <v>46006.8421875</v>
      </c>
      <c r="Q7340" s="53" t="n">
        <v>45992.5781365741</v>
      </c>
      <c r="R7340" s="0" t="n">
        <v>0</v>
      </c>
      <c r="S7340" s="51" t="s">
        <v>2356</v>
      </c>
      <c r="T7340" s="51" t="s">
        <v>2356</v>
      </c>
      <c r="U7340" s="0" t="str">
        <f aca="false">"8908020441070"</f>
        <v>8908020441070</v>
      </c>
      <c r="V7340" s="51" t="s">
        <v>5386</v>
      </c>
      <c r="W7340" s="51" t="s">
        <v>4607</v>
      </c>
      <c r="X7340" s="51" t="s">
        <v>2359</v>
      </c>
    </row>
    <row r="7341" customFormat="false" ht="14.25" hidden="true" customHeight="false" outlineLevel="0" collapsed="false">
      <c r="A7341" s="49" t="s">
        <v>2349</v>
      </c>
      <c r="B7341" s="49" t="s">
        <v>2350</v>
      </c>
      <c r="C7341" s="49" t="s">
        <v>12199</v>
      </c>
      <c r="D7341" s="49" t="s">
        <v>2352</v>
      </c>
      <c r="E7341" s="49" t="str">
        <f aca="false">"8908020441070"</f>
        <v>8908020441070</v>
      </c>
      <c r="F7341" s="49" t="s">
        <v>5404</v>
      </c>
      <c r="G7341" s="49" t="n">
        <v>0</v>
      </c>
      <c r="H7341" s="0" t="n">
        <v>0</v>
      </c>
      <c r="M7341" s="51" t="s">
        <v>12197</v>
      </c>
      <c r="N7341" s="49" t="n">
        <v>0</v>
      </c>
      <c r="O7341" s="53" t="n">
        <v>45992.5777199074</v>
      </c>
      <c r="P7341" s="53" t="n">
        <v>45995.5322800926</v>
      </c>
      <c r="Q7341" s="53" t="n">
        <v>45992.5777199074</v>
      </c>
      <c r="R7341" s="0" t="n">
        <v>0</v>
      </c>
      <c r="S7341" s="51" t="s">
        <v>2356</v>
      </c>
      <c r="T7341" s="51" t="s">
        <v>2356</v>
      </c>
      <c r="U7341" s="0" t="str">
        <f aca="false">"8908020441070"</f>
        <v>8908020441070</v>
      </c>
      <c r="V7341" s="51" t="s">
        <v>5386</v>
      </c>
      <c r="W7341" s="51" t="s">
        <v>4614</v>
      </c>
      <c r="X7341" s="51" t="s">
        <v>2359</v>
      </c>
    </row>
    <row r="7342" customFormat="false" ht="14.25" hidden="true" customHeight="false" outlineLevel="0" collapsed="false">
      <c r="A7342" s="49" t="s">
        <v>2349</v>
      </c>
      <c r="B7342" s="49" t="s">
        <v>2350</v>
      </c>
      <c r="C7342" s="49" t="s">
        <v>12200</v>
      </c>
      <c r="D7342" s="49" t="s">
        <v>2352</v>
      </c>
      <c r="E7342" s="49" t="str">
        <f aca="false">"8908020441070"</f>
        <v>8908020441070</v>
      </c>
      <c r="F7342" s="49" t="s">
        <v>5404</v>
      </c>
      <c r="G7342" s="49" t="n">
        <v>0</v>
      </c>
      <c r="H7342" s="0" t="n">
        <v>0</v>
      </c>
      <c r="M7342" s="51" t="s">
        <v>12197</v>
      </c>
      <c r="N7342" s="49" t="n">
        <v>0</v>
      </c>
      <c r="O7342" s="53" t="n">
        <v>45992.5772222222</v>
      </c>
      <c r="P7342" s="53" t="n">
        <v>45998.6691898148</v>
      </c>
      <c r="Q7342" s="53" t="n">
        <v>45992.5772222222</v>
      </c>
      <c r="R7342" s="0" t="n">
        <v>0</v>
      </c>
      <c r="S7342" s="51" t="s">
        <v>2356</v>
      </c>
      <c r="T7342" s="51" t="s">
        <v>2356</v>
      </c>
      <c r="U7342" s="0" t="str">
        <f aca="false">"8908020441070"</f>
        <v>8908020441070</v>
      </c>
      <c r="V7342" s="51" t="s">
        <v>5386</v>
      </c>
      <c r="W7342" s="51" t="s">
        <v>5748</v>
      </c>
      <c r="X7342" s="51" t="s">
        <v>2359</v>
      </c>
    </row>
    <row r="7343" customFormat="false" ht="14.25" hidden="true" customHeight="false" outlineLevel="0" collapsed="false">
      <c r="A7343" s="49" t="s">
        <v>2349</v>
      </c>
      <c r="B7343" s="49" t="s">
        <v>2350</v>
      </c>
      <c r="C7343" s="49" t="s">
        <v>12201</v>
      </c>
      <c r="D7343" s="49" t="s">
        <v>2352</v>
      </c>
      <c r="E7343" s="49" t="str">
        <f aca="false">"12428864"</f>
        <v>12428864</v>
      </c>
      <c r="F7343" s="49" t="s">
        <v>4251</v>
      </c>
      <c r="G7343" s="49" t="n">
        <v>0</v>
      </c>
      <c r="H7343" s="0" t="n">
        <v>0</v>
      </c>
      <c r="M7343" s="51" t="s">
        <v>12202</v>
      </c>
      <c r="N7343" s="49" t="n">
        <v>0</v>
      </c>
      <c r="O7343" s="53" t="n">
        <v>45988.5603703704</v>
      </c>
      <c r="P7343" s="53" t="n">
        <v>45994.9772222222</v>
      </c>
      <c r="Q7343" s="53" t="n">
        <v>45988.5603703704</v>
      </c>
      <c r="R7343" s="0" t="n">
        <v>0</v>
      </c>
      <c r="S7343" s="51" t="s">
        <v>2401</v>
      </c>
      <c r="T7343" s="51" t="s">
        <v>2401</v>
      </c>
      <c r="U7343" s="0" t="str">
        <f aca="false">"12428864"</f>
        <v>12428864</v>
      </c>
      <c r="V7343" s="51" t="s">
        <v>2365</v>
      </c>
      <c r="W7343" s="51" t="s">
        <v>4195</v>
      </c>
      <c r="X7343" s="51" t="s">
        <v>2359</v>
      </c>
    </row>
    <row r="7344" customFormat="false" ht="14.25" hidden="true" customHeight="false" outlineLevel="0" collapsed="false">
      <c r="A7344" s="49" t="s">
        <v>2349</v>
      </c>
      <c r="B7344" s="49" t="s">
        <v>2350</v>
      </c>
      <c r="C7344" s="49" t="s">
        <v>12203</v>
      </c>
      <c r="D7344" s="49" t="s">
        <v>2352</v>
      </c>
      <c r="E7344" s="49" t="str">
        <f aca="false">"12363202"</f>
        <v>12363202</v>
      </c>
      <c r="F7344" s="49" t="s">
        <v>7041</v>
      </c>
      <c r="G7344" s="49" t="n">
        <v>0</v>
      </c>
      <c r="H7344" s="0" t="n">
        <v>0</v>
      </c>
      <c r="M7344" s="51" t="s">
        <v>12202</v>
      </c>
      <c r="N7344" s="49" t="n">
        <v>0</v>
      </c>
      <c r="O7344" s="53" t="n">
        <v>45988.560162037</v>
      </c>
      <c r="P7344" s="53" t="n">
        <v>45992.7022222222</v>
      </c>
      <c r="Q7344" s="53" t="n">
        <v>45988.560162037</v>
      </c>
      <c r="R7344" s="0" t="n">
        <v>0</v>
      </c>
      <c r="S7344" s="51" t="s">
        <v>2401</v>
      </c>
      <c r="T7344" s="51" t="s">
        <v>2401</v>
      </c>
      <c r="U7344" s="0" t="str">
        <f aca="false">"12363202"</f>
        <v>12363202</v>
      </c>
      <c r="V7344" s="51" t="s">
        <v>2365</v>
      </c>
      <c r="W7344" s="51" t="s">
        <v>10356</v>
      </c>
      <c r="X7344" s="51" t="s">
        <v>2359</v>
      </c>
    </row>
    <row r="7345" customFormat="false" ht="14.25" hidden="true" customHeight="false" outlineLevel="0" collapsed="false">
      <c r="A7345" s="49" t="s">
        <v>2349</v>
      </c>
      <c r="B7345" s="49" t="s">
        <v>2350</v>
      </c>
      <c r="C7345" s="49" t="s">
        <v>12204</v>
      </c>
      <c r="D7345" s="49" t="s">
        <v>2352</v>
      </c>
      <c r="E7345" s="49" t="str">
        <f aca="false">"12428864"</f>
        <v>12428864</v>
      </c>
      <c r="F7345" s="49" t="s">
        <v>4251</v>
      </c>
      <c r="G7345" s="49" t="n">
        <v>0</v>
      </c>
      <c r="H7345" s="0" t="n">
        <v>0</v>
      </c>
      <c r="M7345" s="51" t="s">
        <v>12202</v>
      </c>
      <c r="N7345" s="49" t="n">
        <v>0</v>
      </c>
      <c r="O7345" s="53" t="n">
        <v>45988.5598263889</v>
      </c>
      <c r="P7345" s="53" t="n">
        <v>46034.636875</v>
      </c>
      <c r="Q7345" s="53" t="n">
        <v>45988.5598263889</v>
      </c>
      <c r="R7345" s="0" t="n">
        <v>0</v>
      </c>
      <c r="S7345" s="51" t="s">
        <v>2401</v>
      </c>
      <c r="T7345" s="51" t="s">
        <v>2401</v>
      </c>
      <c r="U7345" s="0" t="str">
        <f aca="false">"12428864"</f>
        <v>12428864</v>
      </c>
      <c r="V7345" s="51" t="s">
        <v>2365</v>
      </c>
      <c r="W7345" s="51" t="s">
        <v>10356</v>
      </c>
      <c r="X7345" s="51" t="s">
        <v>2359</v>
      </c>
    </row>
    <row r="7346" customFormat="false" ht="14.25" hidden="true" customHeight="false" outlineLevel="0" collapsed="false">
      <c r="A7346" s="49" t="s">
        <v>2349</v>
      </c>
      <c r="B7346" s="49" t="s">
        <v>2350</v>
      </c>
      <c r="C7346" s="49" t="s">
        <v>12205</v>
      </c>
      <c r="D7346" s="49" t="s">
        <v>2352</v>
      </c>
      <c r="E7346" s="49" t="str">
        <f aca="false">"12428864"</f>
        <v>12428864</v>
      </c>
      <c r="F7346" s="49" t="s">
        <v>4251</v>
      </c>
      <c r="G7346" s="49" t="n">
        <v>0</v>
      </c>
      <c r="H7346" s="0" t="n">
        <v>0</v>
      </c>
      <c r="M7346" s="51" t="s">
        <v>12202</v>
      </c>
      <c r="N7346" s="49" t="n">
        <v>0</v>
      </c>
      <c r="O7346" s="53" t="n">
        <v>45988.5595138889</v>
      </c>
      <c r="P7346" s="53" t="n">
        <v>46012.7872800926</v>
      </c>
      <c r="Q7346" s="53" t="n">
        <v>45988.5595138889</v>
      </c>
      <c r="R7346" s="0" t="n">
        <v>0</v>
      </c>
      <c r="S7346" s="51" t="s">
        <v>2401</v>
      </c>
      <c r="T7346" s="51" t="s">
        <v>2401</v>
      </c>
      <c r="U7346" s="0" t="str">
        <f aca="false">"12428864"</f>
        <v>12428864</v>
      </c>
      <c r="V7346" s="51" t="s">
        <v>2365</v>
      </c>
      <c r="W7346" s="51" t="s">
        <v>5033</v>
      </c>
      <c r="X7346" s="51" t="s">
        <v>2359</v>
      </c>
    </row>
    <row r="7347" customFormat="false" ht="14.25" hidden="true" customHeight="false" outlineLevel="0" collapsed="false">
      <c r="A7347" s="49" t="s">
        <v>2349</v>
      </c>
      <c r="B7347" s="49" t="s">
        <v>2350</v>
      </c>
      <c r="C7347" s="49" t="s">
        <v>12206</v>
      </c>
      <c r="D7347" s="49" t="s">
        <v>2352</v>
      </c>
      <c r="E7347" s="49" t="str">
        <f aca="false">"12428864"</f>
        <v>12428864</v>
      </c>
      <c r="F7347" s="49" t="s">
        <v>4251</v>
      </c>
      <c r="G7347" s="49" t="n">
        <v>0</v>
      </c>
      <c r="H7347" s="0" t="n">
        <v>0</v>
      </c>
      <c r="M7347" s="51" t="s">
        <v>12202</v>
      </c>
      <c r="N7347" s="49" t="n">
        <v>0</v>
      </c>
      <c r="O7347" s="53" t="n">
        <v>45988.5588310185</v>
      </c>
      <c r="P7347" s="53" t="n">
        <v>46012.7920717593</v>
      </c>
      <c r="Q7347" s="53" t="n">
        <v>45988.5588310185</v>
      </c>
      <c r="R7347" s="0" t="n">
        <v>0</v>
      </c>
      <c r="S7347" s="51" t="s">
        <v>2401</v>
      </c>
      <c r="T7347" s="51" t="s">
        <v>2401</v>
      </c>
      <c r="U7347" s="0" t="str">
        <f aca="false">"12428864"</f>
        <v>12428864</v>
      </c>
      <c r="V7347" s="51" t="s">
        <v>2365</v>
      </c>
      <c r="W7347" s="51" t="s">
        <v>10276</v>
      </c>
      <c r="X7347" s="51" t="s">
        <v>2359</v>
      </c>
    </row>
    <row r="7348" customFormat="false" ht="14.25" hidden="true" customHeight="false" outlineLevel="0" collapsed="false">
      <c r="A7348" s="49" t="s">
        <v>2349</v>
      </c>
      <c r="B7348" s="49" t="s">
        <v>2350</v>
      </c>
      <c r="C7348" s="49" t="s">
        <v>12207</v>
      </c>
      <c r="D7348" s="49" t="s">
        <v>2352</v>
      </c>
      <c r="E7348" s="49" t="str">
        <f aca="false">"12452482"</f>
        <v>12452482</v>
      </c>
      <c r="F7348" s="49" t="s">
        <v>4179</v>
      </c>
      <c r="G7348" s="49" t="n">
        <v>0</v>
      </c>
      <c r="H7348" s="0" t="n">
        <v>0</v>
      </c>
      <c r="M7348" s="51" t="s">
        <v>12202</v>
      </c>
      <c r="N7348" s="49" t="n">
        <v>0</v>
      </c>
      <c r="O7348" s="53" t="n">
        <v>45988.5585763889</v>
      </c>
      <c r="P7348" s="53" t="n">
        <v>46000.142974537</v>
      </c>
      <c r="Q7348" s="53" t="n">
        <v>45988.5585763889</v>
      </c>
      <c r="R7348" s="0" t="n">
        <v>0</v>
      </c>
      <c r="S7348" s="51" t="s">
        <v>2401</v>
      </c>
      <c r="T7348" s="51" t="s">
        <v>2401</v>
      </c>
      <c r="U7348" s="0" t="str">
        <f aca="false">"12452482"</f>
        <v>12452482</v>
      </c>
      <c r="V7348" s="51" t="s">
        <v>2365</v>
      </c>
      <c r="W7348" s="51" t="s">
        <v>4897</v>
      </c>
      <c r="X7348" s="51" t="s">
        <v>2359</v>
      </c>
    </row>
    <row r="7349" customFormat="false" ht="14.25" hidden="true" customHeight="false" outlineLevel="0" collapsed="false">
      <c r="A7349" s="49" t="s">
        <v>2349</v>
      </c>
      <c r="B7349" s="49" t="s">
        <v>2350</v>
      </c>
      <c r="C7349" s="49" t="s">
        <v>12208</v>
      </c>
      <c r="D7349" s="49" t="s">
        <v>2352</v>
      </c>
      <c r="E7349" s="49" t="str">
        <f aca="false">"12428864"</f>
        <v>12428864</v>
      </c>
      <c r="F7349" s="49" t="s">
        <v>4251</v>
      </c>
      <c r="G7349" s="49" t="n">
        <v>0</v>
      </c>
      <c r="H7349" s="0" t="n">
        <v>0</v>
      </c>
      <c r="M7349" s="51" t="s">
        <v>12202</v>
      </c>
      <c r="N7349" s="49" t="n">
        <v>0</v>
      </c>
      <c r="O7349" s="53" t="n">
        <v>45988.5582986111</v>
      </c>
      <c r="P7349" s="53" t="n">
        <v>46000.1462615741</v>
      </c>
      <c r="Q7349" s="53" t="n">
        <v>45988.5582986111</v>
      </c>
      <c r="R7349" s="0" t="n">
        <v>0</v>
      </c>
      <c r="S7349" s="51" t="s">
        <v>2401</v>
      </c>
      <c r="T7349" s="51" t="s">
        <v>2401</v>
      </c>
      <c r="U7349" s="0" t="str">
        <f aca="false">"12428864"</f>
        <v>12428864</v>
      </c>
      <c r="V7349" s="51" t="s">
        <v>2365</v>
      </c>
      <c r="W7349" s="51" t="s">
        <v>4434</v>
      </c>
      <c r="X7349" s="51" t="s">
        <v>2359</v>
      </c>
    </row>
    <row r="7350" customFormat="false" ht="14.25" hidden="true" customHeight="false" outlineLevel="0" collapsed="false">
      <c r="A7350" s="49" t="s">
        <v>2349</v>
      </c>
      <c r="B7350" s="49" t="s">
        <v>2350</v>
      </c>
      <c r="C7350" s="49" t="s">
        <v>12209</v>
      </c>
      <c r="D7350" s="49" t="s">
        <v>2352</v>
      </c>
      <c r="E7350" s="49" t="str">
        <f aca="false">"12452482"</f>
        <v>12452482</v>
      </c>
      <c r="F7350" s="49" t="s">
        <v>4179</v>
      </c>
      <c r="G7350" s="49" t="n">
        <v>0</v>
      </c>
      <c r="H7350" s="0" t="n">
        <v>0</v>
      </c>
      <c r="M7350" s="51" t="s">
        <v>12202</v>
      </c>
      <c r="N7350" s="49" t="n">
        <v>0</v>
      </c>
      <c r="O7350" s="53" t="n">
        <v>45988.5579398148</v>
      </c>
      <c r="P7350" s="53" t="n">
        <v>46001.9180208333</v>
      </c>
      <c r="Q7350" s="53" t="n">
        <v>45988.5579398148</v>
      </c>
      <c r="R7350" s="0" t="n">
        <v>0</v>
      </c>
      <c r="S7350" s="51" t="s">
        <v>2401</v>
      </c>
      <c r="T7350" s="51" t="s">
        <v>2401</v>
      </c>
      <c r="U7350" s="0" t="str">
        <f aca="false">"12452482"</f>
        <v>12452482</v>
      </c>
      <c r="V7350" s="51" t="s">
        <v>2365</v>
      </c>
      <c r="W7350" s="51" t="s">
        <v>10165</v>
      </c>
      <c r="X7350" s="51" t="s">
        <v>2359</v>
      </c>
    </row>
    <row r="7351" customFormat="false" ht="14.25" hidden="true" customHeight="false" outlineLevel="0" collapsed="false">
      <c r="A7351" s="49" t="s">
        <v>2349</v>
      </c>
      <c r="B7351" s="49" t="s">
        <v>2350</v>
      </c>
      <c r="C7351" s="49" t="s">
        <v>12210</v>
      </c>
      <c r="D7351" s="49" t="s">
        <v>2352</v>
      </c>
      <c r="E7351" s="49" t="str">
        <f aca="false">"1666686"</f>
        <v>1666686</v>
      </c>
      <c r="F7351" s="49" t="s">
        <v>12211</v>
      </c>
      <c r="G7351" s="49" t="n">
        <v>0</v>
      </c>
      <c r="H7351" s="0" t="n">
        <v>0</v>
      </c>
      <c r="M7351" s="51" t="s">
        <v>12202</v>
      </c>
      <c r="N7351" s="49" t="n">
        <v>0</v>
      </c>
      <c r="O7351" s="53" t="n">
        <v>45988.5550925926</v>
      </c>
      <c r="P7351" s="53" t="n">
        <v>45990.4611689815</v>
      </c>
      <c r="Q7351" s="53" t="n">
        <v>45988.5550925926</v>
      </c>
      <c r="R7351" s="0" t="n">
        <v>0</v>
      </c>
      <c r="S7351" s="51" t="s">
        <v>2401</v>
      </c>
      <c r="T7351" s="51" t="s">
        <v>2401</v>
      </c>
      <c r="U7351" s="0" t="str">
        <f aca="false">"1666686"</f>
        <v>1666686</v>
      </c>
      <c r="V7351" s="51" t="s">
        <v>2365</v>
      </c>
      <c r="W7351" s="51" t="s">
        <v>10145</v>
      </c>
      <c r="X7351" s="51" t="s">
        <v>2359</v>
      </c>
    </row>
    <row r="7352" customFormat="false" ht="14.25" hidden="true" customHeight="false" outlineLevel="0" collapsed="false">
      <c r="A7352" s="49" t="s">
        <v>2349</v>
      </c>
      <c r="B7352" s="49" t="s">
        <v>2350</v>
      </c>
      <c r="C7352" s="49" t="s">
        <v>12212</v>
      </c>
      <c r="D7352" s="49" t="s">
        <v>2352</v>
      </c>
      <c r="E7352" s="49" t="str">
        <f aca="false">"12428864"</f>
        <v>12428864</v>
      </c>
      <c r="F7352" s="49" t="s">
        <v>4251</v>
      </c>
      <c r="G7352" s="49" t="n">
        <v>0</v>
      </c>
      <c r="H7352" s="0" t="n">
        <v>0</v>
      </c>
      <c r="M7352" s="51" t="s">
        <v>12202</v>
      </c>
      <c r="N7352" s="49" t="n">
        <v>0</v>
      </c>
      <c r="O7352" s="53" t="n">
        <v>45988.5572569444</v>
      </c>
      <c r="P7352" s="53" t="n">
        <v>46025.7215625</v>
      </c>
      <c r="Q7352" s="53" t="n">
        <v>45988.5572569444</v>
      </c>
      <c r="R7352" s="0" t="n">
        <v>0</v>
      </c>
      <c r="S7352" s="51" t="s">
        <v>2401</v>
      </c>
      <c r="T7352" s="51" t="s">
        <v>2401</v>
      </c>
      <c r="U7352" s="0" t="str">
        <f aca="false">"12428864"</f>
        <v>12428864</v>
      </c>
      <c r="V7352" s="51" t="s">
        <v>2365</v>
      </c>
      <c r="W7352" s="51" t="s">
        <v>12213</v>
      </c>
      <c r="X7352" s="51" t="s">
        <v>2359</v>
      </c>
    </row>
    <row r="7353" customFormat="false" ht="14.25" hidden="true" customHeight="false" outlineLevel="0" collapsed="false">
      <c r="A7353" s="49" t="s">
        <v>2349</v>
      </c>
      <c r="B7353" s="49" t="s">
        <v>2350</v>
      </c>
      <c r="C7353" s="49" t="s">
        <v>12214</v>
      </c>
      <c r="D7353" s="49" t="s">
        <v>2352</v>
      </c>
      <c r="E7353" s="49" t="str">
        <f aca="false">"12452482"</f>
        <v>12452482</v>
      </c>
      <c r="F7353" s="49" t="s">
        <v>4179</v>
      </c>
      <c r="G7353" s="49" t="n">
        <v>0</v>
      </c>
      <c r="H7353" s="0" t="n">
        <v>0</v>
      </c>
      <c r="M7353" s="51" t="s">
        <v>12202</v>
      </c>
      <c r="N7353" s="49" t="n">
        <v>0</v>
      </c>
      <c r="O7353" s="53" t="n">
        <v>45988.5575810185</v>
      </c>
      <c r="P7353" s="53" t="n">
        <v>45991.4590972222</v>
      </c>
      <c r="Q7353" s="53" t="n">
        <v>45988.5575810185</v>
      </c>
      <c r="R7353" s="0" t="n">
        <v>0</v>
      </c>
      <c r="S7353" s="51" t="s">
        <v>2401</v>
      </c>
      <c r="T7353" s="51" t="s">
        <v>2401</v>
      </c>
      <c r="U7353" s="0" t="str">
        <f aca="false">"12452482"</f>
        <v>12452482</v>
      </c>
      <c r="V7353" s="51" t="s">
        <v>2365</v>
      </c>
      <c r="W7353" s="51" t="s">
        <v>10195</v>
      </c>
      <c r="X7353" s="51" t="s">
        <v>2359</v>
      </c>
    </row>
    <row r="7354" customFormat="false" ht="14.25" hidden="true" customHeight="false" outlineLevel="0" collapsed="false">
      <c r="A7354" s="49" t="s">
        <v>2349</v>
      </c>
      <c r="B7354" s="49" t="s">
        <v>2350</v>
      </c>
      <c r="C7354" s="49" t="s">
        <v>12215</v>
      </c>
      <c r="D7354" s="49" t="s">
        <v>2352</v>
      </c>
      <c r="E7354" s="49" t="str">
        <f aca="false">"12428864"</f>
        <v>12428864</v>
      </c>
      <c r="F7354" s="49" t="s">
        <v>4251</v>
      </c>
      <c r="G7354" s="49" t="n">
        <v>0</v>
      </c>
      <c r="H7354" s="0" t="n">
        <v>0</v>
      </c>
      <c r="M7354" s="51" t="s">
        <v>12202</v>
      </c>
      <c r="N7354" s="49" t="n">
        <v>0</v>
      </c>
      <c r="O7354" s="53" t="n">
        <v>45988.5571064815</v>
      </c>
      <c r="P7354" s="53" t="n">
        <v>46034.6349189815</v>
      </c>
      <c r="Q7354" s="53" t="n">
        <v>45988.5571064815</v>
      </c>
      <c r="R7354" s="0" t="n">
        <v>0</v>
      </c>
      <c r="S7354" s="51" t="s">
        <v>2401</v>
      </c>
      <c r="T7354" s="51" t="s">
        <v>2401</v>
      </c>
      <c r="U7354" s="0" t="str">
        <f aca="false">"12428864"</f>
        <v>12428864</v>
      </c>
      <c r="V7354" s="51" t="s">
        <v>2365</v>
      </c>
      <c r="W7354" s="51" t="s">
        <v>10311</v>
      </c>
      <c r="X7354" s="51" t="s">
        <v>2359</v>
      </c>
    </row>
    <row r="7355" customFormat="false" ht="14.25" hidden="true" customHeight="false" outlineLevel="0" collapsed="false">
      <c r="A7355" s="49" t="s">
        <v>2349</v>
      </c>
      <c r="B7355" s="49" t="s">
        <v>2350</v>
      </c>
      <c r="C7355" s="49" t="s">
        <v>12216</v>
      </c>
      <c r="D7355" s="49" t="s">
        <v>2352</v>
      </c>
      <c r="E7355" s="49" t="str">
        <f aca="false">"12428864"</f>
        <v>12428864</v>
      </c>
      <c r="F7355" s="49" t="s">
        <v>4251</v>
      </c>
      <c r="G7355" s="49" t="n">
        <v>0</v>
      </c>
      <c r="H7355" s="0" t="n">
        <v>0</v>
      </c>
      <c r="M7355" s="51" t="s">
        <v>12202</v>
      </c>
      <c r="N7355" s="49" t="n">
        <v>0</v>
      </c>
      <c r="O7355" s="53" t="n">
        <v>45988.5570023148</v>
      </c>
      <c r="P7355" s="53" t="n">
        <v>45994.9751041667</v>
      </c>
      <c r="Q7355" s="53" t="n">
        <v>45988.5570023148</v>
      </c>
      <c r="R7355" s="0" t="n">
        <v>0</v>
      </c>
      <c r="S7355" s="51" t="s">
        <v>2401</v>
      </c>
      <c r="T7355" s="51" t="s">
        <v>2401</v>
      </c>
      <c r="U7355" s="0" t="str">
        <f aca="false">"12428864"</f>
        <v>12428864</v>
      </c>
      <c r="V7355" s="51" t="s">
        <v>2365</v>
      </c>
      <c r="W7355" s="51" t="s">
        <v>11472</v>
      </c>
      <c r="X7355" s="51" t="s">
        <v>2359</v>
      </c>
    </row>
    <row r="7356" customFormat="false" ht="14.25" hidden="true" customHeight="false" outlineLevel="0" collapsed="false">
      <c r="A7356" s="49" t="s">
        <v>2349</v>
      </c>
      <c r="B7356" s="49" t="s">
        <v>2350</v>
      </c>
      <c r="C7356" s="49" t="s">
        <v>12217</v>
      </c>
      <c r="D7356" s="49" t="s">
        <v>2352</v>
      </c>
      <c r="E7356" s="49" t="str">
        <f aca="false">"12428864"</f>
        <v>12428864</v>
      </c>
      <c r="F7356" s="49" t="s">
        <v>4251</v>
      </c>
      <c r="G7356" s="49" t="n">
        <v>0</v>
      </c>
      <c r="H7356" s="0" t="n">
        <v>0</v>
      </c>
      <c r="M7356" s="51" t="s">
        <v>12202</v>
      </c>
      <c r="N7356" s="49" t="n">
        <v>0</v>
      </c>
      <c r="O7356" s="53" t="n">
        <v>45988.5567939815</v>
      </c>
      <c r="P7356" s="53" t="n">
        <v>46012.5801967593</v>
      </c>
      <c r="Q7356" s="53" t="n">
        <v>45988.5567939815</v>
      </c>
      <c r="R7356" s="0" t="n">
        <v>0</v>
      </c>
      <c r="S7356" s="51" t="s">
        <v>2401</v>
      </c>
      <c r="T7356" s="51" t="s">
        <v>2401</v>
      </c>
      <c r="U7356" s="0" t="str">
        <f aca="false">"12428864"</f>
        <v>12428864</v>
      </c>
      <c r="V7356" s="51" t="s">
        <v>2365</v>
      </c>
      <c r="W7356" s="51" t="s">
        <v>10358</v>
      </c>
      <c r="X7356" s="51" t="s">
        <v>2359</v>
      </c>
    </row>
    <row r="7357" customFormat="false" ht="14.25" hidden="true" customHeight="false" outlineLevel="0" collapsed="false">
      <c r="A7357" s="49" t="s">
        <v>2349</v>
      </c>
      <c r="B7357" s="49" t="s">
        <v>2350</v>
      </c>
      <c r="C7357" s="49" t="s">
        <v>12218</v>
      </c>
      <c r="D7357" s="49" t="s">
        <v>2352</v>
      </c>
      <c r="E7357" s="49" t="str">
        <f aca="false">"12428864"</f>
        <v>12428864</v>
      </c>
      <c r="F7357" s="49" t="s">
        <v>4251</v>
      </c>
      <c r="G7357" s="49" t="n">
        <v>0</v>
      </c>
      <c r="H7357" s="0" t="n">
        <v>0</v>
      </c>
      <c r="M7357" s="51" t="s">
        <v>12202</v>
      </c>
      <c r="N7357" s="49" t="n">
        <v>0</v>
      </c>
      <c r="O7357" s="53" t="n">
        <v>45988.5566550926</v>
      </c>
      <c r="P7357" s="53" t="n">
        <v>46000.1468634259</v>
      </c>
      <c r="Q7357" s="53" t="n">
        <v>45988.5566435185</v>
      </c>
      <c r="R7357" s="0" t="n">
        <v>0</v>
      </c>
      <c r="S7357" s="51" t="s">
        <v>2401</v>
      </c>
      <c r="T7357" s="51" t="s">
        <v>2401</v>
      </c>
      <c r="U7357" s="0" t="str">
        <f aca="false">"12428864"</f>
        <v>12428864</v>
      </c>
      <c r="V7357" s="51" t="s">
        <v>2365</v>
      </c>
      <c r="W7357" s="51" t="s">
        <v>4826</v>
      </c>
      <c r="X7357" s="51" t="s">
        <v>2359</v>
      </c>
    </row>
    <row r="7358" customFormat="false" ht="14.25" hidden="true" customHeight="false" outlineLevel="0" collapsed="false">
      <c r="A7358" s="49" t="s">
        <v>2349</v>
      </c>
      <c r="B7358" s="49" t="s">
        <v>2350</v>
      </c>
      <c r="C7358" s="49" t="s">
        <v>12219</v>
      </c>
      <c r="D7358" s="49" t="s">
        <v>2352</v>
      </c>
      <c r="E7358" s="49" t="str">
        <f aca="false">"12428864"</f>
        <v>12428864</v>
      </c>
      <c r="F7358" s="49" t="s">
        <v>4251</v>
      </c>
      <c r="G7358" s="49" t="n">
        <v>0</v>
      </c>
      <c r="H7358" s="0" t="n">
        <v>0</v>
      </c>
      <c r="M7358" s="51" t="s">
        <v>12202</v>
      </c>
      <c r="N7358" s="49" t="n">
        <v>0</v>
      </c>
      <c r="O7358" s="53" t="n">
        <v>45988.5558449074</v>
      </c>
      <c r="P7358" s="53" t="n">
        <v>46034.6355787037</v>
      </c>
      <c r="Q7358" s="53" t="n">
        <v>45988.5558449074</v>
      </c>
      <c r="R7358" s="0" t="n">
        <v>0</v>
      </c>
      <c r="S7358" s="51" t="s">
        <v>2401</v>
      </c>
      <c r="T7358" s="51" t="s">
        <v>2401</v>
      </c>
      <c r="U7358" s="0" t="str">
        <f aca="false">"12428864"</f>
        <v>12428864</v>
      </c>
      <c r="V7358" s="51" t="s">
        <v>2365</v>
      </c>
      <c r="W7358" s="51" t="s">
        <v>12220</v>
      </c>
      <c r="X7358" s="51" t="s">
        <v>2359</v>
      </c>
    </row>
    <row r="7359" customFormat="false" ht="14.25" hidden="true" customHeight="false" outlineLevel="0" collapsed="false">
      <c r="A7359" s="49" t="s">
        <v>2349</v>
      </c>
      <c r="B7359" s="49" t="s">
        <v>2350</v>
      </c>
      <c r="C7359" s="49" t="s">
        <v>12221</v>
      </c>
      <c r="D7359" s="49" t="s">
        <v>2352</v>
      </c>
      <c r="E7359" s="49" t="str">
        <f aca="false">"1666686"</f>
        <v>1666686</v>
      </c>
      <c r="F7359" s="49" t="s">
        <v>12211</v>
      </c>
      <c r="G7359" s="49" t="n">
        <v>0</v>
      </c>
      <c r="H7359" s="0" t="n">
        <v>0</v>
      </c>
      <c r="M7359" s="51" t="s">
        <v>12202</v>
      </c>
      <c r="N7359" s="49" t="n">
        <v>0</v>
      </c>
      <c r="O7359" s="53" t="n">
        <v>45988.5548611111</v>
      </c>
      <c r="P7359" s="53" t="n">
        <v>45990.4584375</v>
      </c>
      <c r="Q7359" s="53" t="n">
        <v>45988.5548611111</v>
      </c>
      <c r="R7359" s="0" t="n">
        <v>0</v>
      </c>
      <c r="S7359" s="51" t="s">
        <v>2401</v>
      </c>
      <c r="T7359" s="51" t="s">
        <v>2401</v>
      </c>
      <c r="U7359" s="0" t="str">
        <f aca="false">"1666686"</f>
        <v>1666686</v>
      </c>
      <c r="V7359" s="51" t="s">
        <v>2365</v>
      </c>
      <c r="W7359" s="51" t="s">
        <v>9922</v>
      </c>
      <c r="X7359" s="51" t="s">
        <v>2359</v>
      </c>
    </row>
    <row r="7360" customFormat="false" ht="14.25" hidden="true" customHeight="false" outlineLevel="0" collapsed="false">
      <c r="A7360" s="49" t="s">
        <v>2349</v>
      </c>
      <c r="B7360" s="49" t="s">
        <v>2350</v>
      </c>
      <c r="C7360" s="49" t="s">
        <v>12222</v>
      </c>
      <c r="D7360" s="49" t="s">
        <v>2352</v>
      </c>
      <c r="E7360" s="49" t="str">
        <f aca="false">"1666686"</f>
        <v>1666686</v>
      </c>
      <c r="F7360" s="49" t="s">
        <v>12211</v>
      </c>
      <c r="G7360" s="49" t="n">
        <v>0</v>
      </c>
      <c r="H7360" s="0" t="n">
        <v>0</v>
      </c>
      <c r="M7360" s="51" t="s">
        <v>12202</v>
      </c>
      <c r="N7360" s="49" t="n">
        <v>0</v>
      </c>
      <c r="O7360" s="53" t="n">
        <v>45988.5546527778</v>
      </c>
      <c r="P7360" s="53" t="n">
        <v>45990.4575462963</v>
      </c>
      <c r="Q7360" s="53" t="n">
        <v>45988.5546527778</v>
      </c>
      <c r="R7360" s="0" t="n">
        <v>0</v>
      </c>
      <c r="S7360" s="51" t="s">
        <v>2401</v>
      </c>
      <c r="T7360" s="51" t="s">
        <v>2401</v>
      </c>
      <c r="U7360" s="0" t="str">
        <f aca="false">"1666686"</f>
        <v>1666686</v>
      </c>
      <c r="V7360" s="51" t="s">
        <v>2365</v>
      </c>
      <c r="W7360" s="51" t="s">
        <v>10149</v>
      </c>
      <c r="X7360" s="51" t="s">
        <v>2359</v>
      </c>
    </row>
    <row r="7361" customFormat="false" ht="14.25" hidden="true" customHeight="false" outlineLevel="0" collapsed="false">
      <c r="A7361" s="49" t="s">
        <v>2349</v>
      </c>
      <c r="B7361" s="49" t="s">
        <v>2350</v>
      </c>
      <c r="C7361" s="49" t="s">
        <v>12223</v>
      </c>
      <c r="D7361" s="49" t="s">
        <v>2352</v>
      </c>
      <c r="E7361" s="49" t="str">
        <f aca="false">"1666686"</f>
        <v>1666686</v>
      </c>
      <c r="F7361" s="49" t="s">
        <v>12211</v>
      </c>
      <c r="G7361" s="49" t="n">
        <v>0</v>
      </c>
      <c r="H7361" s="0" t="n">
        <v>0</v>
      </c>
      <c r="M7361" s="51" t="s">
        <v>12202</v>
      </c>
      <c r="N7361" s="49" t="n">
        <v>0</v>
      </c>
      <c r="O7361" s="53" t="n">
        <v>45988.5543287037</v>
      </c>
      <c r="P7361" s="53" t="n">
        <v>45990.4558564815</v>
      </c>
      <c r="Q7361" s="53" t="n">
        <v>45988.5543287037</v>
      </c>
      <c r="R7361" s="0" t="n">
        <v>0</v>
      </c>
      <c r="S7361" s="51" t="s">
        <v>2401</v>
      </c>
      <c r="T7361" s="51" t="s">
        <v>2401</v>
      </c>
      <c r="U7361" s="0" t="str">
        <f aca="false">"1666686"</f>
        <v>1666686</v>
      </c>
      <c r="V7361" s="51" t="s">
        <v>2365</v>
      </c>
      <c r="W7361" s="51" t="s">
        <v>10147</v>
      </c>
      <c r="X7361" s="51" t="s">
        <v>2359</v>
      </c>
    </row>
    <row r="7362" customFormat="false" ht="14.25" hidden="true" customHeight="false" outlineLevel="0" collapsed="false">
      <c r="A7362" s="49" t="s">
        <v>2349</v>
      </c>
      <c r="B7362" s="49" t="s">
        <v>2350</v>
      </c>
      <c r="C7362" s="49" t="s">
        <v>12224</v>
      </c>
      <c r="D7362" s="49" t="s">
        <v>2352</v>
      </c>
      <c r="E7362" s="49" t="str">
        <f aca="false">"1666686"</f>
        <v>1666686</v>
      </c>
      <c r="F7362" s="49" t="s">
        <v>12211</v>
      </c>
      <c r="G7362" s="49" t="n">
        <v>0</v>
      </c>
      <c r="H7362" s="0" t="n">
        <v>0</v>
      </c>
      <c r="M7362" s="51" t="s">
        <v>12202</v>
      </c>
      <c r="N7362" s="49" t="n">
        <v>0</v>
      </c>
      <c r="O7362" s="53" t="n">
        <v>45988.5541550926</v>
      </c>
      <c r="P7362" s="53" t="n">
        <v>45990.455150463</v>
      </c>
      <c r="Q7362" s="53" t="n">
        <v>45988.5541550926</v>
      </c>
      <c r="R7362" s="0" t="n">
        <v>0</v>
      </c>
      <c r="S7362" s="51" t="s">
        <v>2401</v>
      </c>
      <c r="T7362" s="51" t="s">
        <v>2401</v>
      </c>
      <c r="U7362" s="0" t="str">
        <f aca="false">"1666686"</f>
        <v>1666686</v>
      </c>
      <c r="V7362" s="51" t="s">
        <v>2365</v>
      </c>
      <c r="W7362" s="51" t="s">
        <v>10154</v>
      </c>
      <c r="X7362" s="51" t="s">
        <v>2359</v>
      </c>
    </row>
    <row r="7363" customFormat="false" ht="14.25" hidden="true" customHeight="false" outlineLevel="0" collapsed="false">
      <c r="A7363" s="49" t="s">
        <v>2349</v>
      </c>
      <c r="B7363" s="49" t="s">
        <v>2350</v>
      </c>
      <c r="C7363" s="49" t="s">
        <v>12225</v>
      </c>
      <c r="D7363" s="49" t="s">
        <v>2352</v>
      </c>
      <c r="E7363" s="49" t="str">
        <f aca="false">"1666686"</f>
        <v>1666686</v>
      </c>
      <c r="F7363" s="49" t="s">
        <v>12211</v>
      </c>
      <c r="G7363" s="49" t="n">
        <v>0</v>
      </c>
      <c r="H7363" s="0" t="n">
        <v>0</v>
      </c>
      <c r="M7363" s="51" t="s">
        <v>12202</v>
      </c>
      <c r="N7363" s="49" t="n">
        <v>0</v>
      </c>
      <c r="O7363" s="53" t="n">
        <v>45988.5539814815</v>
      </c>
      <c r="P7363" s="53" t="n">
        <v>45990.4566898148</v>
      </c>
      <c r="Q7363" s="53" t="n">
        <v>45988.5539814815</v>
      </c>
      <c r="R7363" s="0" t="n">
        <v>0</v>
      </c>
      <c r="S7363" s="51" t="s">
        <v>2401</v>
      </c>
      <c r="T7363" s="51" t="s">
        <v>2401</v>
      </c>
      <c r="U7363" s="0" t="str">
        <f aca="false">"1666686"</f>
        <v>1666686</v>
      </c>
      <c r="V7363" s="51" t="s">
        <v>2365</v>
      </c>
      <c r="W7363" s="51" t="s">
        <v>10174</v>
      </c>
      <c r="X7363" s="51" t="s">
        <v>2359</v>
      </c>
    </row>
    <row r="7364" customFormat="false" ht="14.25" hidden="true" customHeight="false" outlineLevel="0" collapsed="false">
      <c r="A7364" s="49" t="s">
        <v>2349</v>
      </c>
      <c r="B7364" s="49" t="s">
        <v>2350</v>
      </c>
      <c r="C7364" s="49" t="s">
        <v>12226</v>
      </c>
      <c r="D7364" s="49" t="s">
        <v>2352</v>
      </c>
      <c r="E7364" s="49" t="str">
        <f aca="false">"1666686"</f>
        <v>1666686</v>
      </c>
      <c r="F7364" s="49" t="s">
        <v>12211</v>
      </c>
      <c r="G7364" s="49" t="n">
        <v>0</v>
      </c>
      <c r="H7364" s="0" t="n">
        <v>0</v>
      </c>
      <c r="M7364" s="51" t="s">
        <v>12202</v>
      </c>
      <c r="N7364" s="49" t="n">
        <v>0</v>
      </c>
      <c r="O7364" s="53" t="n">
        <v>45988.5533796296</v>
      </c>
      <c r="P7364" s="53" t="n">
        <v>45990.4562731482</v>
      </c>
      <c r="Q7364" s="53" t="n">
        <v>45988.5533796296</v>
      </c>
      <c r="R7364" s="0" t="n">
        <v>0</v>
      </c>
      <c r="S7364" s="51" t="s">
        <v>2401</v>
      </c>
      <c r="T7364" s="51" t="s">
        <v>2401</v>
      </c>
      <c r="U7364" s="0" t="str">
        <f aca="false">"1666686"</f>
        <v>1666686</v>
      </c>
      <c r="V7364" s="51" t="s">
        <v>2365</v>
      </c>
      <c r="W7364" s="51" t="s">
        <v>10176</v>
      </c>
      <c r="X7364" s="51" t="s">
        <v>2359</v>
      </c>
    </row>
    <row r="7365" customFormat="false" ht="14.25" hidden="true" customHeight="false" outlineLevel="0" collapsed="false">
      <c r="A7365" s="49" t="s">
        <v>2349</v>
      </c>
      <c r="B7365" s="49" t="s">
        <v>2350</v>
      </c>
      <c r="C7365" s="49" t="s">
        <v>12227</v>
      </c>
      <c r="D7365" s="49" t="s">
        <v>2352</v>
      </c>
      <c r="E7365" s="49" t="str">
        <f aca="false">"12452482"</f>
        <v>12452482</v>
      </c>
      <c r="F7365" s="49" t="s">
        <v>4179</v>
      </c>
      <c r="G7365" s="49" t="n">
        <v>0</v>
      </c>
      <c r="H7365" s="0" t="n">
        <v>0</v>
      </c>
      <c r="M7365" s="51" t="s">
        <v>12202</v>
      </c>
      <c r="N7365" s="49" t="n">
        <v>0</v>
      </c>
      <c r="O7365" s="53" t="n">
        <v>45988.5512962963</v>
      </c>
      <c r="P7365" s="53" t="n">
        <v>46001.9178935185</v>
      </c>
      <c r="Q7365" s="53" t="n">
        <v>45988.5512962963</v>
      </c>
      <c r="R7365" s="0" t="n">
        <v>0</v>
      </c>
      <c r="S7365" s="51" t="s">
        <v>2401</v>
      </c>
      <c r="T7365" s="51" t="s">
        <v>2401</v>
      </c>
      <c r="U7365" s="0" t="str">
        <f aca="false">"12452482"</f>
        <v>12452482</v>
      </c>
      <c r="V7365" s="51" t="s">
        <v>2365</v>
      </c>
      <c r="W7365" s="51" t="s">
        <v>4826</v>
      </c>
      <c r="X7365" s="51" t="s">
        <v>2359</v>
      </c>
    </row>
    <row r="7366" customFormat="false" ht="14.25" hidden="true" customHeight="false" outlineLevel="0" collapsed="false">
      <c r="A7366" s="49" t="s">
        <v>2349</v>
      </c>
      <c r="B7366" s="49" t="s">
        <v>2350</v>
      </c>
      <c r="C7366" s="49" t="s">
        <v>12228</v>
      </c>
      <c r="D7366" s="49" t="s">
        <v>2352</v>
      </c>
      <c r="E7366" s="49" t="str">
        <f aca="false">"5942326400223"</f>
        <v>5942326400223</v>
      </c>
      <c r="F7366" s="49" t="s">
        <v>3798</v>
      </c>
      <c r="G7366" s="49" t="n">
        <v>0</v>
      </c>
      <c r="H7366" s="0" t="n">
        <v>0</v>
      </c>
      <c r="M7366" s="51" t="s">
        <v>3779</v>
      </c>
      <c r="N7366" s="49" t="n">
        <v>0</v>
      </c>
      <c r="O7366" s="53" t="n">
        <v>45994.5782060185</v>
      </c>
      <c r="P7366" s="53" t="n">
        <v>46033.9146643519</v>
      </c>
      <c r="Q7366" s="53" t="n">
        <v>45994.5782060185</v>
      </c>
      <c r="R7366" s="0" t="n">
        <v>0</v>
      </c>
      <c r="S7366" s="51" t="s">
        <v>3780</v>
      </c>
      <c r="T7366" s="51" t="s">
        <v>3780</v>
      </c>
      <c r="U7366" s="0" t="str">
        <f aca="false">"5942326400223"</f>
        <v>5942326400223</v>
      </c>
      <c r="V7366" s="51" t="s">
        <v>2365</v>
      </c>
      <c r="W7366" s="51" t="s">
        <v>10369</v>
      </c>
      <c r="X7366" s="51" t="s">
        <v>2359</v>
      </c>
    </row>
    <row r="7367" customFormat="false" ht="14.25" hidden="true" customHeight="false" outlineLevel="0" collapsed="false">
      <c r="A7367" s="49" t="s">
        <v>2349</v>
      </c>
      <c r="B7367" s="49" t="s">
        <v>2350</v>
      </c>
      <c r="C7367" s="49" t="s">
        <v>12229</v>
      </c>
      <c r="D7367" s="49" t="s">
        <v>2352</v>
      </c>
      <c r="E7367" s="49" t="str">
        <f aca="false">"5942326400476"</f>
        <v>5942326400476</v>
      </c>
      <c r="F7367" s="49" t="s">
        <v>5167</v>
      </c>
      <c r="G7367" s="49" t="n">
        <v>0</v>
      </c>
      <c r="H7367" s="0" t="n">
        <v>0</v>
      </c>
      <c r="M7367" s="51" t="s">
        <v>3779</v>
      </c>
      <c r="N7367" s="49" t="n">
        <v>0</v>
      </c>
      <c r="O7367" s="53" t="n">
        <v>45994.5737037037</v>
      </c>
      <c r="P7367" s="53" t="n">
        <v>46027.9275231482</v>
      </c>
      <c r="Q7367" s="53" t="n">
        <v>45994.5737037037</v>
      </c>
      <c r="R7367" s="0" t="n">
        <v>0</v>
      </c>
      <c r="S7367" s="51" t="s">
        <v>3780</v>
      </c>
      <c r="T7367" s="51" t="s">
        <v>3780</v>
      </c>
      <c r="U7367" s="0" t="str">
        <f aca="false">"5942326400476"</f>
        <v>5942326400476</v>
      </c>
      <c r="V7367" s="51" t="s">
        <v>2365</v>
      </c>
      <c r="W7367" s="51" t="s">
        <v>5514</v>
      </c>
      <c r="X7367" s="51" t="s">
        <v>2359</v>
      </c>
    </row>
    <row r="7368" customFormat="false" ht="14.25" hidden="true" customHeight="false" outlineLevel="0" collapsed="false">
      <c r="A7368" s="49" t="s">
        <v>2349</v>
      </c>
      <c r="B7368" s="49" t="s">
        <v>2350</v>
      </c>
      <c r="C7368" s="49" t="s">
        <v>12230</v>
      </c>
      <c r="D7368" s="49" t="s">
        <v>2352</v>
      </c>
      <c r="E7368" s="49" t="str">
        <f aca="false">"5942326400483"</f>
        <v>5942326400483</v>
      </c>
      <c r="F7368" s="49" t="s">
        <v>3651</v>
      </c>
      <c r="G7368" s="49" t="n">
        <v>0</v>
      </c>
      <c r="H7368" s="0" t="n">
        <v>0</v>
      </c>
      <c r="M7368" s="51" t="s">
        <v>3779</v>
      </c>
      <c r="N7368" s="49" t="n">
        <v>0</v>
      </c>
      <c r="O7368" s="53" t="n">
        <v>45994.5664351852</v>
      </c>
      <c r="P7368" s="53" t="n">
        <v>46023.9368287037</v>
      </c>
      <c r="Q7368" s="53" t="n">
        <v>45994.5664351852</v>
      </c>
      <c r="R7368" s="0" t="n">
        <v>0</v>
      </c>
      <c r="S7368" s="51" t="s">
        <v>3780</v>
      </c>
      <c r="T7368" s="51" t="s">
        <v>3780</v>
      </c>
      <c r="U7368" s="0" t="str">
        <f aca="false">"5942326400483"</f>
        <v>5942326400483</v>
      </c>
      <c r="V7368" s="51" t="s">
        <v>2365</v>
      </c>
      <c r="W7368" s="51" t="s">
        <v>12231</v>
      </c>
      <c r="X7368" s="51" t="s">
        <v>2359</v>
      </c>
    </row>
    <row r="7369" customFormat="false" ht="14.25" hidden="true" customHeight="false" outlineLevel="0" collapsed="false">
      <c r="A7369" s="49" t="s">
        <v>2349</v>
      </c>
      <c r="B7369" s="49" t="s">
        <v>2350</v>
      </c>
      <c r="C7369" s="49" t="s">
        <v>12232</v>
      </c>
      <c r="D7369" s="49" t="s">
        <v>2352</v>
      </c>
      <c r="E7369" s="49" t="str">
        <f aca="false">"5942326400483"</f>
        <v>5942326400483</v>
      </c>
      <c r="F7369" s="49" t="s">
        <v>3651</v>
      </c>
      <c r="G7369" s="49" t="n">
        <v>0</v>
      </c>
      <c r="H7369" s="0" t="n">
        <v>0</v>
      </c>
      <c r="M7369" s="51" t="s">
        <v>3779</v>
      </c>
      <c r="N7369" s="49" t="n">
        <v>0</v>
      </c>
      <c r="O7369" s="53" t="n">
        <v>45994.5659722222</v>
      </c>
      <c r="P7369" s="53" t="n">
        <v>46027.9145717593</v>
      </c>
      <c r="Q7369" s="53" t="n">
        <v>45994.5659722222</v>
      </c>
      <c r="R7369" s="0" t="n">
        <v>0</v>
      </c>
      <c r="S7369" s="51" t="s">
        <v>3780</v>
      </c>
      <c r="T7369" s="51" t="s">
        <v>3780</v>
      </c>
      <c r="U7369" s="0" t="str">
        <f aca="false">"5942326400483"</f>
        <v>5942326400483</v>
      </c>
      <c r="V7369" s="51" t="s">
        <v>2365</v>
      </c>
      <c r="W7369" s="51" t="s">
        <v>4618</v>
      </c>
      <c r="X7369" s="51" t="s">
        <v>2359</v>
      </c>
    </row>
    <row r="7370" customFormat="false" ht="14.25" hidden="true" customHeight="false" outlineLevel="0" collapsed="false">
      <c r="A7370" s="49" t="s">
        <v>2349</v>
      </c>
      <c r="B7370" s="49" t="s">
        <v>2350</v>
      </c>
      <c r="C7370" s="49" t="s">
        <v>12233</v>
      </c>
      <c r="D7370" s="49" t="s">
        <v>2352</v>
      </c>
      <c r="E7370" s="49" t="str">
        <f aca="false">"5942326400483"</f>
        <v>5942326400483</v>
      </c>
      <c r="F7370" s="49" t="s">
        <v>3651</v>
      </c>
      <c r="G7370" s="49" t="n">
        <v>0</v>
      </c>
      <c r="H7370" s="0" t="n">
        <v>0</v>
      </c>
      <c r="M7370" s="51" t="s">
        <v>3779</v>
      </c>
      <c r="N7370" s="49" t="n">
        <v>0</v>
      </c>
      <c r="O7370" s="53" t="n">
        <v>45994.5653356482</v>
      </c>
      <c r="P7370" s="53" t="n">
        <v>46055.9607986111</v>
      </c>
      <c r="Q7370" s="53" t="n">
        <v>45994.5653356482</v>
      </c>
      <c r="R7370" s="0" t="n">
        <v>0</v>
      </c>
      <c r="S7370" s="51" t="s">
        <v>3780</v>
      </c>
      <c r="T7370" s="51" t="s">
        <v>3780</v>
      </c>
      <c r="U7370" s="0" t="str">
        <f aca="false">"5942326400483"</f>
        <v>5942326400483</v>
      </c>
      <c r="V7370" s="51" t="s">
        <v>2365</v>
      </c>
      <c r="W7370" s="51" t="s">
        <v>4334</v>
      </c>
      <c r="X7370" s="51" t="s">
        <v>2359</v>
      </c>
    </row>
    <row r="7371" customFormat="false" ht="14.25" hidden="true" customHeight="false" outlineLevel="0" collapsed="false">
      <c r="A7371" s="49" t="s">
        <v>2349</v>
      </c>
      <c r="B7371" s="49" t="s">
        <v>2350</v>
      </c>
      <c r="C7371" s="49" t="s">
        <v>12234</v>
      </c>
      <c r="D7371" s="49" t="s">
        <v>2352</v>
      </c>
      <c r="E7371" s="49" t="str">
        <f aca="false">"5942326400483"</f>
        <v>5942326400483</v>
      </c>
      <c r="F7371" s="49" t="s">
        <v>3651</v>
      </c>
      <c r="G7371" s="49" t="n">
        <v>0</v>
      </c>
      <c r="H7371" s="0" t="n">
        <v>0</v>
      </c>
      <c r="M7371" s="51" t="s">
        <v>3779</v>
      </c>
      <c r="N7371" s="49" t="n">
        <v>0</v>
      </c>
      <c r="O7371" s="53" t="n">
        <v>45994.5648032407</v>
      </c>
      <c r="P7371" s="53" t="n">
        <v>46034.4996875</v>
      </c>
      <c r="Q7371" s="53" t="n">
        <v>45994.5648032407</v>
      </c>
      <c r="R7371" s="0" t="n">
        <v>0</v>
      </c>
      <c r="S7371" s="51" t="s">
        <v>3780</v>
      </c>
      <c r="T7371" s="51" t="s">
        <v>3780</v>
      </c>
      <c r="U7371" s="0" t="str">
        <f aca="false">"5942326400483"</f>
        <v>5942326400483</v>
      </c>
      <c r="V7371" s="51" t="s">
        <v>2365</v>
      </c>
      <c r="W7371" s="51" t="s">
        <v>4340</v>
      </c>
      <c r="X7371" s="51" t="s">
        <v>2359</v>
      </c>
    </row>
    <row r="7372" customFormat="false" ht="14.25" hidden="true" customHeight="false" outlineLevel="0" collapsed="false">
      <c r="A7372" s="49" t="s">
        <v>2349</v>
      </c>
      <c r="B7372" s="49" t="s">
        <v>2350</v>
      </c>
      <c r="C7372" s="49" t="s">
        <v>12235</v>
      </c>
      <c r="D7372" s="49" t="s">
        <v>2352</v>
      </c>
      <c r="E7372" s="49" t="str">
        <f aca="false">"5942326400483"</f>
        <v>5942326400483</v>
      </c>
      <c r="F7372" s="49" t="s">
        <v>3651</v>
      </c>
      <c r="G7372" s="49" t="n">
        <v>0</v>
      </c>
      <c r="H7372" s="0" t="n">
        <v>0</v>
      </c>
      <c r="M7372" s="51" t="s">
        <v>3779</v>
      </c>
      <c r="N7372" s="49" t="n">
        <v>0</v>
      </c>
      <c r="O7372" s="53" t="n">
        <v>45994.5643518519</v>
      </c>
      <c r="P7372" s="53" t="n">
        <v>46027.9127083333</v>
      </c>
      <c r="Q7372" s="53" t="n">
        <v>45994.5643518519</v>
      </c>
      <c r="R7372" s="0" t="n">
        <v>0</v>
      </c>
      <c r="S7372" s="51" t="s">
        <v>3780</v>
      </c>
      <c r="T7372" s="51" t="s">
        <v>3780</v>
      </c>
      <c r="U7372" s="0" t="str">
        <f aca="false">"5942326400483"</f>
        <v>5942326400483</v>
      </c>
      <c r="V7372" s="51" t="s">
        <v>2365</v>
      </c>
      <c r="W7372" s="51" t="s">
        <v>4208</v>
      </c>
      <c r="X7372" s="51" t="s">
        <v>2359</v>
      </c>
    </row>
    <row r="7373" customFormat="false" ht="14.25" hidden="true" customHeight="false" outlineLevel="0" collapsed="false">
      <c r="A7373" s="49" t="s">
        <v>2349</v>
      </c>
      <c r="B7373" s="49" t="s">
        <v>2350</v>
      </c>
      <c r="C7373" s="49" t="s">
        <v>12236</v>
      </c>
      <c r="D7373" s="49" t="s">
        <v>2352</v>
      </c>
      <c r="E7373" s="49" t="str">
        <f aca="false">"5942326400483"</f>
        <v>5942326400483</v>
      </c>
      <c r="F7373" s="49" t="s">
        <v>3651</v>
      </c>
      <c r="G7373" s="49" t="n">
        <v>0</v>
      </c>
      <c r="H7373" s="0" t="n">
        <v>0</v>
      </c>
      <c r="M7373" s="51" t="s">
        <v>3779</v>
      </c>
      <c r="N7373" s="49" t="n">
        <v>0</v>
      </c>
      <c r="O7373" s="53" t="n">
        <v>45994.5635300926</v>
      </c>
      <c r="P7373" s="53" t="n">
        <v>46023.9385763889</v>
      </c>
      <c r="Q7373" s="53" t="n">
        <v>45994.5635300926</v>
      </c>
      <c r="R7373" s="0" t="n">
        <v>0</v>
      </c>
      <c r="S7373" s="51" t="s">
        <v>3780</v>
      </c>
      <c r="T7373" s="51" t="s">
        <v>3780</v>
      </c>
      <c r="U7373" s="0" t="str">
        <f aca="false">"5942326400483"</f>
        <v>5942326400483</v>
      </c>
      <c r="V7373" s="51" t="s">
        <v>2365</v>
      </c>
      <c r="W7373" s="51" t="s">
        <v>4974</v>
      </c>
      <c r="X7373" s="51" t="s">
        <v>2359</v>
      </c>
    </row>
    <row r="7374" customFormat="false" ht="14.25" hidden="true" customHeight="false" outlineLevel="0" collapsed="false">
      <c r="A7374" s="49" t="s">
        <v>2349</v>
      </c>
      <c r="B7374" s="49" t="s">
        <v>2350</v>
      </c>
      <c r="C7374" s="49" t="s">
        <v>12237</v>
      </c>
      <c r="D7374" s="49" t="s">
        <v>2352</v>
      </c>
      <c r="E7374" s="49" t="str">
        <f aca="false">"5942326400216"</f>
        <v>5942326400216</v>
      </c>
      <c r="F7374" s="49" t="s">
        <v>3777</v>
      </c>
      <c r="G7374" s="49" t="n">
        <v>0</v>
      </c>
      <c r="H7374" s="0" t="n">
        <v>0</v>
      </c>
      <c r="M7374" s="51" t="s">
        <v>3779</v>
      </c>
      <c r="N7374" s="49" t="n">
        <v>0</v>
      </c>
      <c r="O7374" s="53" t="n">
        <v>45994.5568287037</v>
      </c>
      <c r="P7374" s="53" t="n">
        <v>46033.9225810185</v>
      </c>
      <c r="Q7374" s="53" t="n">
        <v>45994.5568287037</v>
      </c>
      <c r="R7374" s="0" t="n">
        <v>0</v>
      </c>
      <c r="S7374" s="51" t="s">
        <v>3780</v>
      </c>
      <c r="T7374" s="51" t="s">
        <v>3780</v>
      </c>
      <c r="U7374" s="0" t="str">
        <f aca="false">"5942326400216"</f>
        <v>5942326400216</v>
      </c>
      <c r="V7374" s="51" t="s">
        <v>2365</v>
      </c>
      <c r="W7374" s="51" t="s">
        <v>11482</v>
      </c>
      <c r="X7374" s="51" t="s">
        <v>2359</v>
      </c>
    </row>
    <row r="7375" customFormat="false" ht="14.25" hidden="true" customHeight="false" outlineLevel="0" collapsed="false">
      <c r="A7375" s="49" t="s">
        <v>2349</v>
      </c>
      <c r="B7375" s="49" t="s">
        <v>2350</v>
      </c>
      <c r="C7375" s="49" t="s">
        <v>12238</v>
      </c>
      <c r="D7375" s="49" t="s">
        <v>2352</v>
      </c>
      <c r="E7375" s="49" t="str">
        <f aca="false">"5942326400216"</f>
        <v>5942326400216</v>
      </c>
      <c r="F7375" s="49" t="s">
        <v>3777</v>
      </c>
      <c r="G7375" s="49" t="n">
        <v>0</v>
      </c>
      <c r="H7375" s="0" t="n">
        <v>0</v>
      </c>
      <c r="M7375" s="51" t="s">
        <v>3779</v>
      </c>
      <c r="N7375" s="49" t="n">
        <v>0</v>
      </c>
      <c r="O7375" s="53" t="n">
        <v>45994.5558217593</v>
      </c>
      <c r="P7375" s="53" t="n">
        <v>45995.7851388889</v>
      </c>
      <c r="Q7375" s="53" t="n">
        <v>45994.5558217593</v>
      </c>
      <c r="R7375" s="0" t="n">
        <v>0</v>
      </c>
      <c r="S7375" s="51" t="s">
        <v>3780</v>
      </c>
      <c r="T7375" s="51" t="s">
        <v>3780</v>
      </c>
      <c r="U7375" s="0" t="str">
        <f aca="false">"5942326400216"</f>
        <v>5942326400216</v>
      </c>
      <c r="V7375" s="51" t="s">
        <v>2365</v>
      </c>
      <c r="W7375" s="51" t="s">
        <v>8533</v>
      </c>
      <c r="X7375" s="51" t="s">
        <v>2359</v>
      </c>
    </row>
    <row r="7376" customFormat="false" ht="14.25" hidden="true" customHeight="false" outlineLevel="0" collapsed="false">
      <c r="A7376" s="49" t="s">
        <v>2349</v>
      </c>
      <c r="B7376" s="49" t="s">
        <v>2350</v>
      </c>
      <c r="C7376" s="49" t="s">
        <v>12239</v>
      </c>
      <c r="D7376" s="49" t="s">
        <v>2352</v>
      </c>
      <c r="E7376" s="49" t="s">
        <v>4124</v>
      </c>
      <c r="F7376" s="49" t="s">
        <v>4125</v>
      </c>
      <c r="G7376" s="49" t="n">
        <v>0</v>
      </c>
      <c r="H7376" s="0" t="n">
        <v>0</v>
      </c>
      <c r="M7376" s="51" t="s">
        <v>12240</v>
      </c>
      <c r="N7376" s="49" t="n">
        <v>0</v>
      </c>
      <c r="O7376" s="53" t="n">
        <v>45995.6365856482</v>
      </c>
      <c r="P7376" s="53" t="n">
        <v>46006.8461574074</v>
      </c>
      <c r="Q7376" s="53" t="n">
        <v>45995.6365856482</v>
      </c>
      <c r="R7376" s="0" t="n">
        <v>0</v>
      </c>
      <c r="S7376" s="51" t="s">
        <v>2356</v>
      </c>
      <c r="T7376" s="51" t="s">
        <v>2356</v>
      </c>
      <c r="U7376" s="51" t="s">
        <v>4124</v>
      </c>
      <c r="V7376" s="51" t="s">
        <v>2365</v>
      </c>
      <c r="W7376" s="51" t="s">
        <v>4134</v>
      </c>
      <c r="X7376" s="51" t="s">
        <v>2359</v>
      </c>
    </row>
    <row r="7377" customFormat="false" ht="14.25" hidden="true" customHeight="false" outlineLevel="0" collapsed="false">
      <c r="A7377" s="49" t="s">
        <v>2349</v>
      </c>
      <c r="B7377" s="49" t="s">
        <v>2350</v>
      </c>
      <c r="C7377" s="49" t="s">
        <v>12241</v>
      </c>
      <c r="D7377" s="49" t="s">
        <v>2352</v>
      </c>
      <c r="E7377" s="49" t="s">
        <v>4124</v>
      </c>
      <c r="F7377" s="49" t="s">
        <v>4125</v>
      </c>
      <c r="G7377" s="49" t="n">
        <v>0</v>
      </c>
      <c r="H7377" s="0" t="n">
        <v>0</v>
      </c>
      <c r="M7377" s="51" t="s">
        <v>12240</v>
      </c>
      <c r="N7377" s="49" t="n">
        <v>0</v>
      </c>
      <c r="O7377" s="53" t="n">
        <v>45995.6369097222</v>
      </c>
      <c r="P7377" s="53" t="n">
        <v>46006.8484259259</v>
      </c>
      <c r="Q7377" s="53" t="n">
        <v>45995.6369097222</v>
      </c>
      <c r="R7377" s="0" t="n">
        <v>0</v>
      </c>
      <c r="S7377" s="51" t="s">
        <v>2356</v>
      </c>
      <c r="T7377" s="51" t="s">
        <v>2356</v>
      </c>
      <c r="U7377" s="51" t="s">
        <v>4124</v>
      </c>
      <c r="V7377" s="51" t="s">
        <v>2365</v>
      </c>
      <c r="W7377" s="51" t="s">
        <v>5317</v>
      </c>
      <c r="X7377" s="51" t="s">
        <v>2359</v>
      </c>
    </row>
    <row r="7378" customFormat="false" ht="14.25" hidden="true" customHeight="false" outlineLevel="0" collapsed="false">
      <c r="A7378" s="49" t="s">
        <v>2349</v>
      </c>
      <c r="B7378" s="49" t="s">
        <v>2350</v>
      </c>
      <c r="C7378" s="49" t="s">
        <v>12242</v>
      </c>
      <c r="D7378" s="49" t="s">
        <v>2352</v>
      </c>
      <c r="E7378" s="49" t="s">
        <v>4351</v>
      </c>
      <c r="F7378" s="49" t="s">
        <v>4352</v>
      </c>
      <c r="G7378" s="49" t="n">
        <v>0</v>
      </c>
      <c r="H7378" s="0" t="n">
        <v>0</v>
      </c>
      <c r="M7378" s="51" t="s">
        <v>12243</v>
      </c>
      <c r="N7378" s="49" t="n">
        <v>0</v>
      </c>
      <c r="O7378" s="53" t="n">
        <v>46012.4688425926</v>
      </c>
      <c r="P7378" s="53" t="n">
        <v>46037.594212963</v>
      </c>
      <c r="Q7378" s="53" t="n">
        <v>46012.4688425926</v>
      </c>
      <c r="R7378" s="0" t="n">
        <v>0</v>
      </c>
      <c r="S7378" s="51" t="s">
        <v>2356</v>
      </c>
      <c r="T7378" s="51" t="s">
        <v>2356</v>
      </c>
      <c r="U7378" s="51" t="s">
        <v>4351</v>
      </c>
      <c r="V7378" s="51" t="s">
        <v>2365</v>
      </c>
      <c r="W7378" s="51" t="s">
        <v>12244</v>
      </c>
      <c r="X7378" s="51" t="s">
        <v>2359</v>
      </c>
    </row>
    <row r="7379" customFormat="false" ht="14.25" hidden="true" customHeight="false" outlineLevel="0" collapsed="false">
      <c r="A7379" s="49" t="s">
        <v>2349</v>
      </c>
      <c r="B7379" s="49" t="s">
        <v>2350</v>
      </c>
      <c r="C7379" s="49" t="s">
        <v>12245</v>
      </c>
      <c r="D7379" s="49" t="s">
        <v>2352</v>
      </c>
      <c r="E7379" s="49" t="s">
        <v>4351</v>
      </c>
      <c r="F7379" s="49" t="s">
        <v>4352</v>
      </c>
      <c r="G7379" s="49" t="n">
        <v>0</v>
      </c>
      <c r="H7379" s="0" t="n">
        <v>0</v>
      </c>
      <c r="M7379" s="51" t="s">
        <v>12243</v>
      </c>
      <c r="N7379" s="49" t="n">
        <v>0</v>
      </c>
      <c r="O7379" s="53" t="n">
        <v>46012.4684953704</v>
      </c>
      <c r="P7379" s="53" t="n">
        <v>46032.4304398148</v>
      </c>
      <c r="Q7379" s="53" t="n">
        <v>46012.4684953704</v>
      </c>
      <c r="R7379" s="0" t="n">
        <v>0</v>
      </c>
      <c r="S7379" s="51" t="s">
        <v>2356</v>
      </c>
      <c r="T7379" s="51" t="s">
        <v>2356</v>
      </c>
      <c r="U7379" s="51" t="s">
        <v>4351</v>
      </c>
      <c r="V7379" s="51" t="s">
        <v>2365</v>
      </c>
      <c r="W7379" s="51" t="s">
        <v>4118</v>
      </c>
      <c r="X7379" s="51" t="s">
        <v>2359</v>
      </c>
    </row>
    <row r="7380" customFormat="false" ht="14.25" hidden="true" customHeight="false" outlineLevel="0" collapsed="false">
      <c r="A7380" s="49" t="s">
        <v>2349</v>
      </c>
      <c r="B7380" s="49" t="s">
        <v>2350</v>
      </c>
      <c r="C7380" s="49" t="s">
        <v>12246</v>
      </c>
      <c r="D7380" s="49" t="s">
        <v>2352</v>
      </c>
      <c r="E7380" s="49" t="s">
        <v>4351</v>
      </c>
      <c r="F7380" s="49" t="s">
        <v>4352</v>
      </c>
      <c r="G7380" s="49" t="n">
        <v>0</v>
      </c>
      <c r="H7380" s="0" t="n">
        <v>0</v>
      </c>
      <c r="M7380" s="51" t="s">
        <v>12243</v>
      </c>
      <c r="N7380" s="49" t="n">
        <v>0</v>
      </c>
      <c r="O7380" s="53" t="n">
        <v>46012.4657291667</v>
      </c>
      <c r="P7380" s="53" t="n">
        <v>46028.4435185185</v>
      </c>
      <c r="Q7380" s="53" t="n">
        <v>46012.4657291667</v>
      </c>
      <c r="R7380" s="0" t="n">
        <v>0</v>
      </c>
      <c r="S7380" s="51" t="s">
        <v>2356</v>
      </c>
      <c r="T7380" s="51" t="s">
        <v>2356</v>
      </c>
      <c r="U7380" s="51" t="s">
        <v>4351</v>
      </c>
      <c r="V7380" s="51" t="s">
        <v>2365</v>
      </c>
      <c r="W7380" s="51" t="s">
        <v>4927</v>
      </c>
      <c r="X7380" s="51" t="s">
        <v>2359</v>
      </c>
    </row>
    <row r="7381" customFormat="false" ht="14.25" hidden="true" customHeight="false" outlineLevel="0" collapsed="false">
      <c r="A7381" s="49" t="s">
        <v>2349</v>
      </c>
      <c r="B7381" s="49" t="s">
        <v>2350</v>
      </c>
      <c r="C7381" s="49" t="s">
        <v>12247</v>
      </c>
      <c r="D7381" s="49" t="s">
        <v>2352</v>
      </c>
      <c r="E7381" s="49" t="s">
        <v>4351</v>
      </c>
      <c r="F7381" s="49" t="s">
        <v>4352</v>
      </c>
      <c r="G7381" s="49" t="n">
        <v>0</v>
      </c>
      <c r="H7381" s="0" t="n">
        <v>0</v>
      </c>
      <c r="M7381" s="51" t="s">
        <v>12243</v>
      </c>
      <c r="N7381" s="49" t="n">
        <v>0</v>
      </c>
      <c r="O7381" s="53" t="n">
        <v>46012.4644444444</v>
      </c>
      <c r="P7381" s="53" t="n">
        <v>46037.670625</v>
      </c>
      <c r="Q7381" s="53" t="n">
        <v>46012.4644444444</v>
      </c>
      <c r="R7381" s="0" t="n">
        <v>0</v>
      </c>
      <c r="S7381" s="51" t="s">
        <v>2356</v>
      </c>
      <c r="T7381" s="51" t="s">
        <v>2356</v>
      </c>
      <c r="U7381" s="51" t="s">
        <v>4351</v>
      </c>
      <c r="V7381" s="51" t="s">
        <v>2365</v>
      </c>
      <c r="W7381" s="51" t="s">
        <v>4598</v>
      </c>
      <c r="X7381" s="51" t="s">
        <v>2359</v>
      </c>
    </row>
    <row r="7382" customFormat="false" ht="14.25" hidden="true" customHeight="false" outlineLevel="0" collapsed="false">
      <c r="A7382" s="49" t="s">
        <v>2349</v>
      </c>
      <c r="B7382" s="49" t="s">
        <v>2350</v>
      </c>
      <c r="C7382" s="49" t="s">
        <v>12248</v>
      </c>
      <c r="D7382" s="49" t="s">
        <v>2352</v>
      </c>
      <c r="E7382" s="49" t="s">
        <v>4351</v>
      </c>
      <c r="F7382" s="49" t="s">
        <v>4352</v>
      </c>
      <c r="G7382" s="49" t="n">
        <v>0</v>
      </c>
      <c r="H7382" s="0" t="n">
        <v>0</v>
      </c>
      <c r="M7382" s="51" t="s">
        <v>12243</v>
      </c>
      <c r="N7382" s="49" t="n">
        <v>0</v>
      </c>
      <c r="O7382" s="53" t="n">
        <v>46012.464837963</v>
      </c>
      <c r="P7382" s="53" t="n">
        <v>46037.5944212963</v>
      </c>
      <c r="Q7382" s="53" t="n">
        <v>46012.464837963</v>
      </c>
      <c r="R7382" s="0" t="n">
        <v>0</v>
      </c>
      <c r="S7382" s="51" t="s">
        <v>2356</v>
      </c>
      <c r="T7382" s="51" t="s">
        <v>2356</v>
      </c>
      <c r="U7382" s="51" t="s">
        <v>4351</v>
      </c>
      <c r="V7382" s="51" t="s">
        <v>2365</v>
      </c>
      <c r="W7382" s="51" t="s">
        <v>7268</v>
      </c>
      <c r="X7382" s="51" t="s">
        <v>2359</v>
      </c>
    </row>
    <row r="7383" customFormat="false" ht="14.25" hidden="true" customHeight="false" outlineLevel="0" collapsed="false">
      <c r="A7383" s="49" t="s">
        <v>2349</v>
      </c>
      <c r="B7383" s="49" t="s">
        <v>2350</v>
      </c>
      <c r="C7383" s="49" t="s">
        <v>12249</v>
      </c>
      <c r="D7383" s="49" t="s">
        <v>2352</v>
      </c>
      <c r="E7383" s="49" t="s">
        <v>4351</v>
      </c>
      <c r="F7383" s="49" t="s">
        <v>4352</v>
      </c>
      <c r="G7383" s="49" t="n">
        <v>0</v>
      </c>
      <c r="H7383" s="0" t="n">
        <v>0</v>
      </c>
      <c r="M7383" s="51" t="s">
        <v>12243</v>
      </c>
      <c r="N7383" s="49" t="n">
        <v>0</v>
      </c>
      <c r="O7383" s="53" t="n">
        <v>46012.4646527778</v>
      </c>
      <c r="P7383" s="53" t="n">
        <v>46037.5948611111</v>
      </c>
      <c r="Q7383" s="53" t="n">
        <v>46012.4646527778</v>
      </c>
      <c r="R7383" s="0" t="n">
        <v>0</v>
      </c>
      <c r="S7383" s="51" t="s">
        <v>2356</v>
      </c>
      <c r="T7383" s="51" t="s">
        <v>2356</v>
      </c>
      <c r="U7383" s="51" t="s">
        <v>4351</v>
      </c>
      <c r="V7383" s="51" t="s">
        <v>2365</v>
      </c>
      <c r="W7383" s="51" t="s">
        <v>7286</v>
      </c>
      <c r="X7383" s="51" t="s">
        <v>2359</v>
      </c>
    </row>
    <row r="7384" customFormat="false" ht="14.25" hidden="true" customHeight="false" outlineLevel="0" collapsed="false">
      <c r="A7384" s="49" t="s">
        <v>2349</v>
      </c>
      <c r="B7384" s="49" t="s">
        <v>2350</v>
      </c>
      <c r="C7384" s="49" t="s">
        <v>12250</v>
      </c>
      <c r="D7384" s="49" t="s">
        <v>2352</v>
      </c>
      <c r="E7384" s="49" t="s">
        <v>4351</v>
      </c>
      <c r="F7384" s="49" t="s">
        <v>4352</v>
      </c>
      <c r="G7384" s="49" t="n">
        <v>0</v>
      </c>
      <c r="H7384" s="0" t="n">
        <v>0</v>
      </c>
      <c r="M7384" s="51" t="s">
        <v>12243</v>
      </c>
      <c r="N7384" s="49" t="n">
        <v>0</v>
      </c>
      <c r="O7384" s="53" t="n">
        <v>46012.4650231482</v>
      </c>
      <c r="P7384" s="53" t="n">
        <v>46037.5943287037</v>
      </c>
      <c r="Q7384" s="53" t="n">
        <v>46012.4650231482</v>
      </c>
      <c r="R7384" s="0" t="n">
        <v>0</v>
      </c>
      <c r="S7384" s="51" t="s">
        <v>2356</v>
      </c>
      <c r="T7384" s="51" t="s">
        <v>2356</v>
      </c>
      <c r="U7384" s="51" t="s">
        <v>4351</v>
      </c>
      <c r="V7384" s="51" t="s">
        <v>2365</v>
      </c>
      <c r="W7384" s="51" t="s">
        <v>7276</v>
      </c>
      <c r="X7384" s="51" t="s">
        <v>2359</v>
      </c>
    </row>
    <row r="7385" customFormat="false" ht="14.25" hidden="true" customHeight="false" outlineLevel="0" collapsed="false">
      <c r="A7385" s="49" t="s">
        <v>2349</v>
      </c>
      <c r="B7385" s="49" t="s">
        <v>2350</v>
      </c>
      <c r="C7385" s="49" t="s">
        <v>12251</v>
      </c>
      <c r="D7385" s="49" t="s">
        <v>2352</v>
      </c>
      <c r="E7385" s="49" t="s">
        <v>4351</v>
      </c>
      <c r="F7385" s="49" t="s">
        <v>4352</v>
      </c>
      <c r="G7385" s="49" t="n">
        <v>0</v>
      </c>
      <c r="H7385" s="0" t="n">
        <v>0</v>
      </c>
      <c r="M7385" s="51" t="s">
        <v>12243</v>
      </c>
      <c r="N7385" s="49" t="n">
        <v>0</v>
      </c>
      <c r="O7385" s="53" t="n">
        <v>46012.4652546296</v>
      </c>
      <c r="P7385" s="53" t="n">
        <v>46037.594525463</v>
      </c>
      <c r="Q7385" s="53" t="n">
        <v>46012.4652546296</v>
      </c>
      <c r="R7385" s="0" t="n">
        <v>0</v>
      </c>
      <c r="S7385" s="51" t="s">
        <v>2356</v>
      </c>
      <c r="T7385" s="51" t="s">
        <v>2356</v>
      </c>
      <c r="U7385" s="51" t="s">
        <v>4351</v>
      </c>
      <c r="V7385" s="51" t="s">
        <v>2365</v>
      </c>
      <c r="W7385" s="51" t="s">
        <v>12179</v>
      </c>
      <c r="X7385" s="51" t="s">
        <v>2359</v>
      </c>
    </row>
    <row r="7386" customFormat="false" ht="14.25" hidden="true" customHeight="false" outlineLevel="0" collapsed="false">
      <c r="A7386" s="49" t="s">
        <v>2349</v>
      </c>
      <c r="B7386" s="49" t="s">
        <v>2350</v>
      </c>
      <c r="C7386" s="49" t="s">
        <v>12252</v>
      </c>
      <c r="D7386" s="49" t="s">
        <v>2352</v>
      </c>
      <c r="E7386" s="49" t="s">
        <v>4351</v>
      </c>
      <c r="F7386" s="49" t="s">
        <v>4352</v>
      </c>
      <c r="G7386" s="49" t="n">
        <v>0</v>
      </c>
      <c r="H7386" s="0" t="n">
        <v>0</v>
      </c>
      <c r="M7386" s="51" t="s">
        <v>12243</v>
      </c>
      <c r="N7386" s="49" t="n">
        <v>0</v>
      </c>
      <c r="O7386" s="53" t="n">
        <v>46012.4641550926</v>
      </c>
      <c r="P7386" s="53" t="n">
        <v>46037.6693865741</v>
      </c>
      <c r="Q7386" s="53" t="n">
        <v>46012.4641550926</v>
      </c>
      <c r="R7386" s="0" t="n">
        <v>0</v>
      </c>
      <c r="S7386" s="51" t="s">
        <v>2356</v>
      </c>
      <c r="T7386" s="51" t="s">
        <v>2356</v>
      </c>
      <c r="U7386" s="51" t="s">
        <v>4351</v>
      </c>
      <c r="V7386" s="51" t="s">
        <v>2365</v>
      </c>
      <c r="W7386" s="51" t="s">
        <v>8515</v>
      </c>
      <c r="X7386" s="51" t="s">
        <v>2359</v>
      </c>
    </row>
    <row r="7387" customFormat="false" ht="14.25" hidden="true" customHeight="false" outlineLevel="0" collapsed="false">
      <c r="A7387" s="49" t="s">
        <v>2349</v>
      </c>
      <c r="B7387" s="49" t="s">
        <v>2350</v>
      </c>
      <c r="C7387" s="49" t="s">
        <v>12253</v>
      </c>
      <c r="D7387" s="49" t="s">
        <v>2352</v>
      </c>
      <c r="E7387" s="49" t="s">
        <v>4351</v>
      </c>
      <c r="F7387" s="49" t="s">
        <v>4352</v>
      </c>
      <c r="G7387" s="49" t="n">
        <v>0</v>
      </c>
      <c r="H7387" s="0" t="n">
        <v>0</v>
      </c>
      <c r="M7387" s="51" t="s">
        <v>12243</v>
      </c>
      <c r="N7387" s="49" t="n">
        <v>0</v>
      </c>
      <c r="O7387" s="53" t="n">
        <v>46012.4639814815</v>
      </c>
      <c r="P7387" s="53" t="n">
        <v>46028.3597453704</v>
      </c>
      <c r="Q7387" s="53" t="n">
        <v>46012.4639814815</v>
      </c>
      <c r="R7387" s="0" t="n">
        <v>0</v>
      </c>
      <c r="S7387" s="51" t="s">
        <v>2356</v>
      </c>
      <c r="T7387" s="51" t="s">
        <v>2356</v>
      </c>
      <c r="U7387" s="51" t="s">
        <v>4351</v>
      </c>
      <c r="V7387" s="51" t="s">
        <v>2365</v>
      </c>
      <c r="W7387" s="51" t="s">
        <v>7405</v>
      </c>
      <c r="X7387" s="51" t="s">
        <v>2359</v>
      </c>
    </row>
    <row r="7388" customFormat="false" ht="14.25" hidden="true" customHeight="false" outlineLevel="0" collapsed="false">
      <c r="A7388" s="49" t="s">
        <v>2349</v>
      </c>
      <c r="B7388" s="49" t="s">
        <v>2350</v>
      </c>
      <c r="C7388" s="49" t="s">
        <v>12254</v>
      </c>
      <c r="D7388" s="49" t="s">
        <v>2352</v>
      </c>
      <c r="E7388" s="49" t="s">
        <v>4351</v>
      </c>
      <c r="F7388" s="49" t="s">
        <v>4352</v>
      </c>
      <c r="G7388" s="49" t="n">
        <v>0</v>
      </c>
      <c r="H7388" s="0" t="n">
        <v>0</v>
      </c>
      <c r="M7388" s="51" t="s">
        <v>12243</v>
      </c>
      <c r="N7388" s="49" t="n">
        <v>0</v>
      </c>
      <c r="O7388" s="53" t="n">
        <v>46012.462962963</v>
      </c>
      <c r="P7388" s="53" t="n">
        <v>46054.4712962963</v>
      </c>
      <c r="Q7388" s="53" t="n">
        <v>46012.462962963</v>
      </c>
      <c r="R7388" s="0" t="n">
        <v>0</v>
      </c>
      <c r="S7388" s="51" t="s">
        <v>2356</v>
      </c>
      <c r="T7388" s="51" t="s">
        <v>2356</v>
      </c>
      <c r="U7388" s="51" t="s">
        <v>4351</v>
      </c>
      <c r="V7388" s="51" t="s">
        <v>2365</v>
      </c>
      <c r="W7388" s="51" t="s">
        <v>5568</v>
      </c>
      <c r="X7388" s="51" t="s">
        <v>2359</v>
      </c>
    </row>
    <row r="7389" customFormat="false" ht="14.25" hidden="true" customHeight="false" outlineLevel="0" collapsed="false">
      <c r="A7389" s="49" t="s">
        <v>2349</v>
      </c>
      <c r="B7389" s="49" t="s">
        <v>2350</v>
      </c>
      <c r="C7389" s="49" t="s">
        <v>12255</v>
      </c>
      <c r="D7389" s="49" t="s">
        <v>2352</v>
      </c>
      <c r="E7389" s="49" t="s">
        <v>4351</v>
      </c>
      <c r="F7389" s="49" t="s">
        <v>4352</v>
      </c>
      <c r="G7389" s="49" t="n">
        <v>0</v>
      </c>
      <c r="H7389" s="0" t="n">
        <v>0</v>
      </c>
      <c r="M7389" s="51" t="s">
        <v>12243</v>
      </c>
      <c r="N7389" s="49" t="n">
        <v>0</v>
      </c>
      <c r="O7389" s="53" t="n">
        <v>46012.4633796296</v>
      </c>
      <c r="P7389" s="53" t="n">
        <v>46037.8042476852</v>
      </c>
      <c r="Q7389" s="53" t="n">
        <v>46012.4633796296</v>
      </c>
      <c r="R7389" s="0" t="n">
        <v>0</v>
      </c>
      <c r="S7389" s="51" t="s">
        <v>2356</v>
      </c>
      <c r="T7389" s="51" t="s">
        <v>2356</v>
      </c>
      <c r="U7389" s="51" t="s">
        <v>4351</v>
      </c>
      <c r="V7389" s="51" t="s">
        <v>2365</v>
      </c>
      <c r="W7389" s="51" t="s">
        <v>5564</v>
      </c>
      <c r="X7389" s="51" t="s">
        <v>2359</v>
      </c>
    </row>
    <row r="7390" customFormat="false" ht="14.25" hidden="true" customHeight="false" outlineLevel="0" collapsed="false">
      <c r="A7390" s="49" t="s">
        <v>2349</v>
      </c>
      <c r="B7390" s="49" t="s">
        <v>2350</v>
      </c>
      <c r="C7390" s="49" t="s">
        <v>12256</v>
      </c>
      <c r="D7390" s="49" t="s">
        <v>2352</v>
      </c>
      <c r="E7390" s="49" t="s">
        <v>4351</v>
      </c>
      <c r="F7390" s="49" t="s">
        <v>4352</v>
      </c>
      <c r="G7390" s="49" t="n">
        <v>0</v>
      </c>
      <c r="H7390" s="0" t="n">
        <v>0</v>
      </c>
      <c r="M7390" s="51" t="s">
        <v>12243</v>
      </c>
      <c r="N7390" s="49" t="n">
        <v>0</v>
      </c>
      <c r="O7390" s="53" t="n">
        <v>46012.462650463</v>
      </c>
      <c r="P7390" s="53" t="n">
        <v>46037.595162037</v>
      </c>
      <c r="Q7390" s="53" t="n">
        <v>46012.462650463</v>
      </c>
      <c r="R7390" s="0" t="n">
        <v>0</v>
      </c>
      <c r="S7390" s="51" t="s">
        <v>2356</v>
      </c>
      <c r="T7390" s="51" t="s">
        <v>2356</v>
      </c>
      <c r="U7390" s="51" t="s">
        <v>4351</v>
      </c>
      <c r="V7390" s="51" t="s">
        <v>2365</v>
      </c>
      <c r="W7390" s="51" t="s">
        <v>7403</v>
      </c>
      <c r="X7390" s="51" t="s">
        <v>2359</v>
      </c>
    </row>
    <row r="7391" customFormat="false" ht="14.25" hidden="true" customHeight="false" outlineLevel="0" collapsed="false">
      <c r="A7391" s="49" t="s">
        <v>2349</v>
      </c>
      <c r="B7391" s="49" t="s">
        <v>2350</v>
      </c>
      <c r="C7391" s="49" t="s">
        <v>12257</v>
      </c>
      <c r="D7391" s="49" t="s">
        <v>2352</v>
      </c>
      <c r="E7391" s="49" t="s">
        <v>4351</v>
      </c>
      <c r="F7391" s="49" t="s">
        <v>4352</v>
      </c>
      <c r="G7391" s="49" t="n">
        <v>0</v>
      </c>
      <c r="H7391" s="0" t="n">
        <v>0</v>
      </c>
      <c r="M7391" s="51" t="s">
        <v>12243</v>
      </c>
      <c r="N7391" s="49" t="n">
        <v>0</v>
      </c>
      <c r="O7391" s="53" t="n">
        <v>46012.4622222222</v>
      </c>
      <c r="P7391" s="53" t="n">
        <v>46037.8040162037</v>
      </c>
      <c r="Q7391" s="53" t="n">
        <v>46012.4622222222</v>
      </c>
      <c r="R7391" s="0" t="n">
        <v>0</v>
      </c>
      <c r="S7391" s="51" t="s">
        <v>2356</v>
      </c>
      <c r="T7391" s="51" t="s">
        <v>2356</v>
      </c>
      <c r="U7391" s="51" t="s">
        <v>4351</v>
      </c>
      <c r="V7391" s="51" t="s">
        <v>2365</v>
      </c>
      <c r="W7391" s="51" t="s">
        <v>11981</v>
      </c>
      <c r="X7391" s="51" t="s">
        <v>2359</v>
      </c>
    </row>
    <row r="7392" customFormat="false" ht="14.25" hidden="true" customHeight="false" outlineLevel="0" collapsed="false">
      <c r="A7392" s="49" t="s">
        <v>2349</v>
      </c>
      <c r="B7392" s="49" t="s">
        <v>2350</v>
      </c>
      <c r="C7392" s="49" t="s">
        <v>12258</v>
      </c>
      <c r="D7392" s="49" t="s">
        <v>2352</v>
      </c>
      <c r="E7392" s="49" t="s">
        <v>4351</v>
      </c>
      <c r="F7392" s="49" t="s">
        <v>4352</v>
      </c>
      <c r="G7392" s="49" t="n">
        <v>0</v>
      </c>
      <c r="H7392" s="0" t="n">
        <v>0</v>
      </c>
      <c r="M7392" s="51" t="s">
        <v>12243</v>
      </c>
      <c r="N7392" s="49" t="n">
        <v>0</v>
      </c>
      <c r="O7392" s="53" t="n">
        <v>46012.4615972222</v>
      </c>
      <c r="P7392" s="53" t="n">
        <v>46037.5952893519</v>
      </c>
      <c r="Q7392" s="53" t="n">
        <v>46012.4615972222</v>
      </c>
      <c r="R7392" s="0" t="n">
        <v>0</v>
      </c>
      <c r="S7392" s="51" t="s">
        <v>2356</v>
      </c>
      <c r="T7392" s="51" t="s">
        <v>2356</v>
      </c>
      <c r="U7392" s="51" t="s">
        <v>4351</v>
      </c>
      <c r="V7392" s="51" t="s">
        <v>2365</v>
      </c>
      <c r="W7392" s="51" t="s">
        <v>11641</v>
      </c>
      <c r="X7392" s="51" t="s">
        <v>2359</v>
      </c>
    </row>
    <row r="7393" customFormat="false" ht="14.25" hidden="true" customHeight="false" outlineLevel="0" collapsed="false">
      <c r="A7393" s="49" t="s">
        <v>2349</v>
      </c>
      <c r="B7393" s="49" t="s">
        <v>2350</v>
      </c>
      <c r="C7393" s="49" t="s">
        <v>12259</v>
      </c>
      <c r="D7393" s="49" t="s">
        <v>2352</v>
      </c>
      <c r="E7393" s="49" t="s">
        <v>4351</v>
      </c>
      <c r="F7393" s="49" t="s">
        <v>4352</v>
      </c>
      <c r="G7393" s="49" t="n">
        <v>0</v>
      </c>
      <c r="H7393" s="0" t="n">
        <v>0</v>
      </c>
      <c r="M7393" s="51" t="s">
        <v>12243</v>
      </c>
      <c r="N7393" s="49" t="n">
        <v>0</v>
      </c>
      <c r="O7393" s="53" t="n">
        <v>46012.4618634259</v>
      </c>
      <c r="P7393" s="53" t="n">
        <v>46037.5953819445</v>
      </c>
      <c r="Q7393" s="53" t="n">
        <v>46012.4618634259</v>
      </c>
      <c r="R7393" s="0" t="n">
        <v>0</v>
      </c>
      <c r="S7393" s="51" t="s">
        <v>2356</v>
      </c>
      <c r="T7393" s="51" t="s">
        <v>2356</v>
      </c>
      <c r="U7393" s="51" t="s">
        <v>4351</v>
      </c>
      <c r="V7393" s="51" t="s">
        <v>2365</v>
      </c>
      <c r="W7393" s="51" t="s">
        <v>6464</v>
      </c>
      <c r="X7393" s="51" t="s">
        <v>2359</v>
      </c>
    </row>
    <row r="7394" customFormat="false" ht="14.25" hidden="true" customHeight="false" outlineLevel="0" collapsed="false">
      <c r="A7394" s="49" t="s">
        <v>2349</v>
      </c>
      <c r="B7394" s="49" t="s">
        <v>2350</v>
      </c>
      <c r="C7394" s="49" t="s">
        <v>12260</v>
      </c>
      <c r="D7394" s="49" t="s">
        <v>2352</v>
      </c>
      <c r="E7394" s="49" t="s">
        <v>4351</v>
      </c>
      <c r="F7394" s="49" t="s">
        <v>4352</v>
      </c>
      <c r="G7394" s="49" t="n">
        <v>0</v>
      </c>
      <c r="H7394" s="0" t="n">
        <v>0</v>
      </c>
      <c r="M7394" s="51" t="s">
        <v>12243</v>
      </c>
      <c r="N7394" s="49" t="n">
        <v>0</v>
      </c>
      <c r="O7394" s="53" t="n">
        <v>46012.460625</v>
      </c>
      <c r="P7394" s="53" t="n">
        <v>46037.595474537</v>
      </c>
      <c r="Q7394" s="53" t="n">
        <v>46012.460625</v>
      </c>
      <c r="R7394" s="0" t="n">
        <v>0</v>
      </c>
      <c r="S7394" s="51" t="s">
        <v>2356</v>
      </c>
      <c r="T7394" s="51" t="s">
        <v>2356</v>
      </c>
      <c r="U7394" s="51" t="s">
        <v>4351</v>
      </c>
      <c r="V7394" s="51" t="s">
        <v>2365</v>
      </c>
      <c r="W7394" s="51" t="s">
        <v>6462</v>
      </c>
      <c r="X7394" s="51" t="s">
        <v>2359</v>
      </c>
    </row>
    <row r="7395" customFormat="false" ht="14.25" hidden="true" customHeight="false" outlineLevel="0" collapsed="false">
      <c r="A7395" s="49" t="s">
        <v>2349</v>
      </c>
      <c r="B7395" s="49" t="s">
        <v>2350</v>
      </c>
      <c r="C7395" s="49" t="s">
        <v>12261</v>
      </c>
      <c r="D7395" s="49" t="s">
        <v>2352</v>
      </c>
      <c r="E7395" s="49" t="s">
        <v>4351</v>
      </c>
      <c r="F7395" s="49" t="s">
        <v>4352</v>
      </c>
      <c r="G7395" s="49" t="n">
        <v>0</v>
      </c>
      <c r="H7395" s="0" t="n">
        <v>0</v>
      </c>
      <c r="M7395" s="51" t="s">
        <v>12243</v>
      </c>
      <c r="N7395" s="49" t="n">
        <v>0</v>
      </c>
      <c r="O7395" s="53" t="n">
        <v>46012.4609490741</v>
      </c>
      <c r="P7395" s="53" t="n">
        <v>46037.5958564815</v>
      </c>
      <c r="Q7395" s="53" t="n">
        <v>46012.4609490741</v>
      </c>
      <c r="R7395" s="0" t="n">
        <v>0</v>
      </c>
      <c r="S7395" s="51" t="s">
        <v>2356</v>
      </c>
      <c r="T7395" s="51" t="s">
        <v>2356</v>
      </c>
      <c r="U7395" s="51" t="s">
        <v>4351</v>
      </c>
      <c r="V7395" s="51" t="s">
        <v>2365</v>
      </c>
      <c r="W7395" s="51" t="s">
        <v>5562</v>
      </c>
      <c r="X7395" s="51" t="s">
        <v>2359</v>
      </c>
    </row>
    <row r="7396" customFormat="false" ht="14.25" hidden="true" customHeight="false" outlineLevel="0" collapsed="false">
      <c r="A7396" s="49" t="s">
        <v>2349</v>
      </c>
      <c r="B7396" s="49" t="s">
        <v>2350</v>
      </c>
      <c r="C7396" s="49" t="s">
        <v>12262</v>
      </c>
      <c r="D7396" s="49" t="s">
        <v>2352</v>
      </c>
      <c r="E7396" s="49" t="s">
        <v>4351</v>
      </c>
      <c r="F7396" s="49" t="s">
        <v>4352</v>
      </c>
      <c r="G7396" s="49" t="n">
        <v>0</v>
      </c>
      <c r="H7396" s="0" t="n">
        <v>0</v>
      </c>
      <c r="M7396" s="51" t="s">
        <v>12243</v>
      </c>
      <c r="N7396" s="49" t="n">
        <v>0</v>
      </c>
      <c r="O7396" s="53" t="n">
        <v>46012.4599884259</v>
      </c>
      <c r="P7396" s="53" t="n">
        <v>46037.8041319444</v>
      </c>
      <c r="Q7396" s="53" t="n">
        <v>46012.4599884259</v>
      </c>
      <c r="R7396" s="0" t="n">
        <v>0</v>
      </c>
      <c r="S7396" s="51" t="s">
        <v>2356</v>
      </c>
      <c r="T7396" s="51" t="s">
        <v>2356</v>
      </c>
      <c r="U7396" s="51" t="s">
        <v>4351</v>
      </c>
      <c r="V7396" s="51" t="s">
        <v>2365</v>
      </c>
      <c r="W7396" s="51" t="s">
        <v>11983</v>
      </c>
      <c r="X7396" s="51" t="s">
        <v>2359</v>
      </c>
    </row>
    <row r="7397" customFormat="false" ht="14.25" hidden="true" customHeight="false" outlineLevel="0" collapsed="false">
      <c r="A7397" s="49" t="s">
        <v>2349</v>
      </c>
      <c r="B7397" s="49" t="s">
        <v>2350</v>
      </c>
      <c r="C7397" s="49" t="s">
        <v>12263</v>
      </c>
      <c r="D7397" s="49" t="s">
        <v>2352</v>
      </c>
      <c r="E7397" s="49" t="s">
        <v>4351</v>
      </c>
      <c r="F7397" s="49" t="s">
        <v>4352</v>
      </c>
      <c r="G7397" s="49" t="n">
        <v>0</v>
      </c>
      <c r="H7397" s="0" t="n">
        <v>0</v>
      </c>
      <c r="M7397" s="51" t="s">
        <v>12243</v>
      </c>
      <c r="N7397" s="49" t="n">
        <v>0</v>
      </c>
      <c r="O7397" s="53" t="n">
        <v>46012.4596527778</v>
      </c>
      <c r="P7397" s="53" t="n">
        <v>46037.5955787037</v>
      </c>
      <c r="Q7397" s="53" t="n">
        <v>46012.4596527778</v>
      </c>
      <c r="R7397" s="0" t="n">
        <v>0</v>
      </c>
      <c r="S7397" s="51" t="s">
        <v>2356</v>
      </c>
      <c r="T7397" s="51" t="s">
        <v>2356</v>
      </c>
      <c r="U7397" s="51" t="s">
        <v>4351</v>
      </c>
      <c r="V7397" s="51" t="s">
        <v>2365</v>
      </c>
      <c r="W7397" s="51" t="s">
        <v>3641</v>
      </c>
      <c r="X7397" s="51" t="s">
        <v>2359</v>
      </c>
    </row>
    <row r="7398" customFormat="false" ht="14.25" hidden="true" customHeight="false" outlineLevel="0" collapsed="false">
      <c r="A7398" s="49" t="s">
        <v>2349</v>
      </c>
      <c r="B7398" s="49" t="s">
        <v>2350</v>
      </c>
      <c r="C7398" s="49" t="s">
        <v>12264</v>
      </c>
      <c r="D7398" s="49" t="s">
        <v>2352</v>
      </c>
      <c r="E7398" s="49" t="s">
        <v>9073</v>
      </c>
      <c r="F7398" s="49" t="s">
        <v>9074</v>
      </c>
      <c r="G7398" s="49" t="n">
        <v>0</v>
      </c>
      <c r="H7398" s="0" t="n">
        <v>0</v>
      </c>
      <c r="M7398" s="51" t="s">
        <v>12265</v>
      </c>
      <c r="N7398" s="49" t="n">
        <v>0</v>
      </c>
      <c r="O7398" s="53" t="n">
        <v>45999.611724537</v>
      </c>
      <c r="P7398" s="53" t="n">
        <v>46001.3847106482</v>
      </c>
      <c r="Q7398" s="53" t="n">
        <v>45999.611724537</v>
      </c>
      <c r="R7398" s="0" t="n">
        <v>0</v>
      </c>
      <c r="S7398" s="51" t="s">
        <v>2356</v>
      </c>
      <c r="T7398" s="51" t="s">
        <v>2356</v>
      </c>
      <c r="U7398" s="51" t="s">
        <v>9073</v>
      </c>
      <c r="V7398" s="51" t="s">
        <v>2357</v>
      </c>
      <c r="W7398" s="51" t="s">
        <v>4486</v>
      </c>
      <c r="X7398" s="51" t="s">
        <v>2359</v>
      </c>
    </row>
    <row r="7399" customFormat="false" ht="14.25" hidden="true" customHeight="false" outlineLevel="0" collapsed="false">
      <c r="A7399" s="49" t="s">
        <v>2349</v>
      </c>
      <c r="B7399" s="49" t="s">
        <v>2350</v>
      </c>
      <c r="C7399" s="49" t="s">
        <v>12266</v>
      </c>
      <c r="D7399" s="49" t="s">
        <v>2352</v>
      </c>
      <c r="E7399" s="49" t="str">
        <f aca="false">"12393792"</f>
        <v>12393792</v>
      </c>
      <c r="F7399" s="49" t="s">
        <v>2368</v>
      </c>
      <c r="G7399" s="49" t="n">
        <v>0</v>
      </c>
      <c r="H7399" s="0" t="n">
        <v>0</v>
      </c>
      <c r="M7399" s="51" t="s">
        <v>12267</v>
      </c>
      <c r="N7399" s="49" t="n">
        <v>0</v>
      </c>
      <c r="O7399" s="53" t="n">
        <v>46013.4707175926</v>
      </c>
      <c r="P7399" s="53" t="n">
        <v>46027.4783101852</v>
      </c>
      <c r="Q7399" s="53" t="n">
        <v>46013.4707175926</v>
      </c>
      <c r="R7399" s="0" t="n">
        <v>0</v>
      </c>
      <c r="S7399" s="51" t="s">
        <v>2383</v>
      </c>
      <c r="T7399" s="51" t="s">
        <v>2383</v>
      </c>
      <c r="U7399" s="0" t="str">
        <f aca="false">"12393792"</f>
        <v>12393792</v>
      </c>
      <c r="V7399" s="51" t="s">
        <v>2365</v>
      </c>
      <c r="W7399" s="51" t="s">
        <v>8554</v>
      </c>
      <c r="X7399" s="51" t="s">
        <v>2359</v>
      </c>
    </row>
    <row r="7400" customFormat="false" ht="14.25" hidden="true" customHeight="false" outlineLevel="0" collapsed="false">
      <c r="A7400" s="49" t="s">
        <v>2349</v>
      </c>
      <c r="B7400" s="49" t="s">
        <v>2350</v>
      </c>
      <c r="C7400" s="49" t="s">
        <v>12268</v>
      </c>
      <c r="D7400" s="49" t="s">
        <v>2352</v>
      </c>
      <c r="E7400" s="49" t="str">
        <f aca="false">"12393792"</f>
        <v>12393792</v>
      </c>
      <c r="F7400" s="49" t="s">
        <v>2368</v>
      </c>
      <c r="G7400" s="49" t="n">
        <v>0</v>
      </c>
      <c r="H7400" s="0" t="n">
        <v>0</v>
      </c>
      <c r="M7400" s="51" t="s">
        <v>12267</v>
      </c>
      <c r="N7400" s="49" t="n">
        <v>0</v>
      </c>
      <c r="O7400" s="53" t="n">
        <v>46013.470162037</v>
      </c>
      <c r="P7400" s="53" t="n">
        <v>46055.5881712963</v>
      </c>
      <c r="Q7400" s="53" t="n">
        <v>46013.470162037</v>
      </c>
      <c r="R7400" s="0" t="n">
        <v>0</v>
      </c>
      <c r="S7400" s="51" t="s">
        <v>2383</v>
      </c>
      <c r="T7400" s="51" t="s">
        <v>2383</v>
      </c>
      <c r="U7400" s="0" t="str">
        <f aca="false">"12393792"</f>
        <v>12393792</v>
      </c>
      <c r="V7400" s="51" t="s">
        <v>2365</v>
      </c>
      <c r="W7400" s="51" t="s">
        <v>12269</v>
      </c>
      <c r="X7400" s="51" t="s">
        <v>2359</v>
      </c>
    </row>
    <row r="7401" customFormat="false" ht="14.25" hidden="true" customHeight="false" outlineLevel="0" collapsed="false">
      <c r="A7401" s="49" t="s">
        <v>2349</v>
      </c>
      <c r="B7401" s="49" t="s">
        <v>2350</v>
      </c>
      <c r="C7401" s="49" t="s">
        <v>12270</v>
      </c>
      <c r="D7401" s="49" t="s">
        <v>2352</v>
      </c>
      <c r="E7401" s="49" t="str">
        <f aca="false">"12608559"</f>
        <v>12608559</v>
      </c>
      <c r="F7401" s="49" t="s">
        <v>12271</v>
      </c>
      <c r="G7401" s="49" t="n">
        <v>0</v>
      </c>
      <c r="H7401" s="0" t="n">
        <v>0</v>
      </c>
      <c r="M7401" s="51" t="s">
        <v>12267</v>
      </c>
      <c r="N7401" s="49" t="n">
        <v>0</v>
      </c>
      <c r="O7401" s="53" t="n">
        <v>46013.4644675926</v>
      </c>
      <c r="P7401" s="53" t="n">
        <v>46023.9222106482</v>
      </c>
      <c r="Q7401" s="53" t="n">
        <v>46013.4644675926</v>
      </c>
      <c r="R7401" s="0" t="n">
        <v>0</v>
      </c>
      <c r="S7401" s="51" t="s">
        <v>2383</v>
      </c>
      <c r="T7401" s="51" t="s">
        <v>2383</v>
      </c>
      <c r="U7401" s="0" t="str">
        <f aca="false">"12608559"</f>
        <v>12608559</v>
      </c>
      <c r="V7401" s="51" t="s">
        <v>2365</v>
      </c>
      <c r="W7401" s="51" t="s">
        <v>4899</v>
      </c>
      <c r="X7401" s="51" t="s">
        <v>2359</v>
      </c>
    </row>
    <row r="7402" customFormat="false" ht="14.25" hidden="true" customHeight="false" outlineLevel="0" collapsed="false">
      <c r="A7402" s="49" t="s">
        <v>2349</v>
      </c>
      <c r="B7402" s="49" t="s">
        <v>2350</v>
      </c>
      <c r="C7402" s="49" t="s">
        <v>12272</v>
      </c>
      <c r="D7402" s="49" t="s">
        <v>2352</v>
      </c>
      <c r="E7402" s="49" t="str">
        <f aca="false">"12207690"</f>
        <v>12207690</v>
      </c>
      <c r="F7402" s="49" t="s">
        <v>4199</v>
      </c>
      <c r="G7402" s="49" t="n">
        <v>0</v>
      </c>
      <c r="H7402" s="0" t="n">
        <v>0</v>
      </c>
      <c r="M7402" s="51" t="s">
        <v>12267</v>
      </c>
      <c r="N7402" s="49" t="n">
        <v>0</v>
      </c>
      <c r="O7402" s="53" t="n">
        <v>46013.459525463</v>
      </c>
      <c r="P7402" s="53" t="n">
        <v>46029.9712962963</v>
      </c>
      <c r="Q7402" s="53" t="n">
        <v>46013.459525463</v>
      </c>
      <c r="R7402" s="0" t="n">
        <v>0</v>
      </c>
      <c r="S7402" s="51" t="s">
        <v>2383</v>
      </c>
      <c r="T7402" s="51" t="s">
        <v>2383</v>
      </c>
      <c r="U7402" s="0" t="str">
        <f aca="false">"12207690"</f>
        <v>12207690</v>
      </c>
      <c r="V7402" s="51" t="s">
        <v>2365</v>
      </c>
      <c r="W7402" s="51" t="s">
        <v>10942</v>
      </c>
      <c r="X7402" s="51" t="s">
        <v>2359</v>
      </c>
    </row>
    <row r="7403" customFormat="false" ht="14.25" hidden="true" customHeight="false" outlineLevel="0" collapsed="false">
      <c r="A7403" s="49" t="s">
        <v>2349</v>
      </c>
      <c r="B7403" s="49" t="s">
        <v>2350</v>
      </c>
      <c r="C7403" s="49" t="s">
        <v>12273</v>
      </c>
      <c r="D7403" s="49" t="s">
        <v>2352</v>
      </c>
      <c r="E7403" s="49" t="str">
        <f aca="false">"12393792"</f>
        <v>12393792</v>
      </c>
      <c r="F7403" s="49" t="s">
        <v>2368</v>
      </c>
      <c r="G7403" s="49" t="n">
        <v>0</v>
      </c>
      <c r="H7403" s="0" t="n">
        <v>0</v>
      </c>
      <c r="M7403" s="51" t="s">
        <v>12267</v>
      </c>
      <c r="N7403" s="49" t="n">
        <v>0</v>
      </c>
      <c r="O7403" s="53" t="n">
        <v>46026.5872685185</v>
      </c>
      <c r="P7403" s="53" t="n">
        <v>46055.590474537</v>
      </c>
      <c r="R7403" s="0" t="n">
        <v>0</v>
      </c>
      <c r="T7403" s="51" t="s">
        <v>2364</v>
      </c>
      <c r="U7403" s="0" t="str">
        <f aca="false">"12393792"</f>
        <v>12393792</v>
      </c>
      <c r="V7403" s="51" t="s">
        <v>2365</v>
      </c>
      <c r="W7403" s="51" t="s">
        <v>3877</v>
      </c>
      <c r="X7403" s="51" t="s">
        <v>2359</v>
      </c>
    </row>
    <row r="7404" customFormat="false" ht="14.25" hidden="true" customHeight="false" outlineLevel="0" collapsed="false">
      <c r="A7404" s="49" t="s">
        <v>2349</v>
      </c>
      <c r="B7404" s="49" t="s">
        <v>2350</v>
      </c>
      <c r="C7404" s="49" t="s">
        <v>12274</v>
      </c>
      <c r="D7404" s="49" t="s">
        <v>2352</v>
      </c>
      <c r="E7404" s="49" t="str">
        <f aca="false">"12464079"</f>
        <v>12464079</v>
      </c>
      <c r="F7404" s="49" t="s">
        <v>4706</v>
      </c>
      <c r="G7404" s="49" t="n">
        <v>0</v>
      </c>
      <c r="H7404" s="0" t="n">
        <v>0</v>
      </c>
      <c r="M7404" s="51" t="s">
        <v>12267</v>
      </c>
      <c r="N7404" s="49" t="n">
        <v>0</v>
      </c>
      <c r="O7404" s="53" t="n">
        <v>46013.5649652778</v>
      </c>
      <c r="P7404" s="53" t="n">
        <v>46035.345162037</v>
      </c>
      <c r="Q7404" s="53" t="n">
        <v>46013.5649652778</v>
      </c>
      <c r="R7404" s="0" t="n">
        <v>0</v>
      </c>
      <c r="S7404" s="51" t="s">
        <v>2383</v>
      </c>
      <c r="T7404" s="51" t="s">
        <v>2383</v>
      </c>
      <c r="U7404" s="0" t="str">
        <f aca="false">"12464079"</f>
        <v>12464079</v>
      </c>
      <c r="V7404" s="51" t="s">
        <v>2365</v>
      </c>
      <c r="W7404" s="51" t="s">
        <v>12275</v>
      </c>
      <c r="X7404" s="51" t="s">
        <v>2359</v>
      </c>
    </row>
    <row r="7405" customFormat="false" ht="14.25" hidden="true" customHeight="false" outlineLevel="0" collapsed="false">
      <c r="A7405" s="49" t="s">
        <v>2349</v>
      </c>
      <c r="B7405" s="49" t="s">
        <v>2350</v>
      </c>
      <c r="C7405" s="49" t="s">
        <v>12276</v>
      </c>
      <c r="D7405" s="49" t="s">
        <v>2352</v>
      </c>
      <c r="E7405" s="49" t="str">
        <f aca="false">"12464079"</f>
        <v>12464079</v>
      </c>
      <c r="F7405" s="49" t="s">
        <v>4706</v>
      </c>
      <c r="G7405" s="49" t="n">
        <v>0</v>
      </c>
      <c r="H7405" s="0" t="n">
        <v>0</v>
      </c>
      <c r="M7405" s="51" t="s">
        <v>12267</v>
      </c>
      <c r="N7405" s="49" t="n">
        <v>0</v>
      </c>
      <c r="O7405" s="53" t="n">
        <v>46013.5697337963</v>
      </c>
      <c r="P7405" s="53" t="n">
        <v>46037.1056481482</v>
      </c>
      <c r="Q7405" s="53" t="n">
        <v>46013.5697337963</v>
      </c>
      <c r="R7405" s="0" t="n">
        <v>0</v>
      </c>
      <c r="S7405" s="51" t="s">
        <v>2383</v>
      </c>
      <c r="T7405" s="51" t="s">
        <v>2383</v>
      </c>
      <c r="U7405" s="0" t="str">
        <f aca="false">"12464079"</f>
        <v>12464079</v>
      </c>
      <c r="V7405" s="51" t="s">
        <v>2365</v>
      </c>
      <c r="W7405" s="51" t="s">
        <v>10568</v>
      </c>
      <c r="X7405" s="51" t="s">
        <v>2359</v>
      </c>
    </row>
    <row r="7406" customFormat="false" ht="14.25" hidden="true" customHeight="false" outlineLevel="0" collapsed="false">
      <c r="A7406" s="49" t="s">
        <v>2349</v>
      </c>
      <c r="B7406" s="49" t="s">
        <v>2350</v>
      </c>
      <c r="C7406" s="49" t="s">
        <v>12277</v>
      </c>
      <c r="D7406" s="49" t="s">
        <v>2352</v>
      </c>
      <c r="E7406" s="49" t="str">
        <f aca="false">"12464079"</f>
        <v>12464079</v>
      </c>
      <c r="F7406" s="49" t="s">
        <v>4706</v>
      </c>
      <c r="G7406" s="49" t="n">
        <v>0</v>
      </c>
      <c r="H7406" s="0" t="n">
        <v>0</v>
      </c>
      <c r="M7406" s="51" t="s">
        <v>12267</v>
      </c>
      <c r="N7406" s="49" t="n">
        <v>0</v>
      </c>
      <c r="O7406" s="53" t="n">
        <v>46013.5699768519</v>
      </c>
      <c r="P7406" s="53" t="n">
        <v>46035.9548958333</v>
      </c>
      <c r="Q7406" s="53" t="n">
        <v>46013.5699768519</v>
      </c>
      <c r="R7406" s="0" t="n">
        <v>0</v>
      </c>
      <c r="S7406" s="51" t="s">
        <v>2383</v>
      </c>
      <c r="T7406" s="51" t="s">
        <v>2383</v>
      </c>
      <c r="U7406" s="0" t="str">
        <f aca="false">"12464079"</f>
        <v>12464079</v>
      </c>
      <c r="V7406" s="51" t="s">
        <v>2365</v>
      </c>
      <c r="W7406" s="51" t="s">
        <v>12278</v>
      </c>
      <c r="X7406" s="51" t="s">
        <v>2359</v>
      </c>
    </row>
    <row r="7407" customFormat="false" ht="14.25" hidden="true" customHeight="false" outlineLevel="0" collapsed="false">
      <c r="A7407" s="49" t="s">
        <v>2349</v>
      </c>
      <c r="B7407" s="49" t="s">
        <v>2350</v>
      </c>
      <c r="C7407" s="49" t="s">
        <v>12279</v>
      </c>
      <c r="D7407" s="49" t="s">
        <v>2352</v>
      </c>
      <c r="E7407" s="49" t="str">
        <f aca="false">"12464079"</f>
        <v>12464079</v>
      </c>
      <c r="F7407" s="49" t="s">
        <v>4706</v>
      </c>
      <c r="G7407" s="49" t="n">
        <v>0</v>
      </c>
      <c r="H7407" s="0" t="n">
        <v>0</v>
      </c>
      <c r="M7407" s="51" t="s">
        <v>12267</v>
      </c>
      <c r="N7407" s="49" t="n">
        <v>0</v>
      </c>
      <c r="O7407" s="53" t="n">
        <v>46013.5706134259</v>
      </c>
      <c r="P7407" s="53" t="n">
        <v>46035.352974537</v>
      </c>
      <c r="Q7407" s="53" t="n">
        <v>46013.5706134259</v>
      </c>
      <c r="R7407" s="0" t="n">
        <v>0</v>
      </c>
      <c r="S7407" s="51" t="s">
        <v>2383</v>
      </c>
      <c r="T7407" s="51" t="s">
        <v>2383</v>
      </c>
      <c r="U7407" s="0" t="str">
        <f aca="false">"12464079"</f>
        <v>12464079</v>
      </c>
      <c r="V7407" s="51" t="s">
        <v>2365</v>
      </c>
      <c r="W7407" s="51" t="s">
        <v>8546</v>
      </c>
      <c r="X7407" s="51" t="s">
        <v>2359</v>
      </c>
    </row>
    <row r="7408" customFormat="false" ht="14.25" hidden="true" customHeight="false" outlineLevel="0" collapsed="false">
      <c r="A7408" s="49" t="s">
        <v>2349</v>
      </c>
      <c r="B7408" s="49" t="s">
        <v>2350</v>
      </c>
      <c r="C7408" s="49" t="s">
        <v>12280</v>
      </c>
      <c r="D7408" s="49" t="s">
        <v>2352</v>
      </c>
      <c r="E7408" s="49" t="str">
        <f aca="false">"12464079"</f>
        <v>12464079</v>
      </c>
      <c r="F7408" s="49" t="s">
        <v>4706</v>
      </c>
      <c r="G7408" s="49" t="n">
        <v>0</v>
      </c>
      <c r="H7408" s="0" t="n">
        <v>0</v>
      </c>
      <c r="M7408" s="51" t="s">
        <v>12267</v>
      </c>
      <c r="N7408" s="49" t="n">
        <v>0</v>
      </c>
      <c r="O7408" s="53" t="n">
        <v>46013.5709837963</v>
      </c>
      <c r="P7408" s="53" t="n">
        <v>46035.3538888889</v>
      </c>
      <c r="Q7408" s="53" t="n">
        <v>46013.5709837963</v>
      </c>
      <c r="R7408" s="0" t="n">
        <v>0</v>
      </c>
      <c r="S7408" s="51" t="s">
        <v>2383</v>
      </c>
      <c r="T7408" s="51" t="s">
        <v>2383</v>
      </c>
      <c r="U7408" s="0" t="str">
        <f aca="false">"12464079"</f>
        <v>12464079</v>
      </c>
      <c r="V7408" s="51" t="s">
        <v>2365</v>
      </c>
      <c r="W7408" s="51" t="s">
        <v>11904</v>
      </c>
      <c r="X7408" s="51" t="s">
        <v>2359</v>
      </c>
    </row>
    <row r="7409" customFormat="false" ht="14.25" hidden="true" customHeight="false" outlineLevel="0" collapsed="false">
      <c r="A7409" s="49" t="s">
        <v>2349</v>
      </c>
      <c r="B7409" s="49" t="s">
        <v>2350</v>
      </c>
      <c r="C7409" s="49" t="s">
        <v>12281</v>
      </c>
      <c r="D7409" s="49" t="s">
        <v>2352</v>
      </c>
      <c r="E7409" s="49" t="str">
        <f aca="false">"12464079"</f>
        <v>12464079</v>
      </c>
      <c r="F7409" s="49" t="s">
        <v>4706</v>
      </c>
      <c r="G7409" s="49" t="n">
        <v>0</v>
      </c>
      <c r="H7409" s="0" t="n">
        <v>0</v>
      </c>
      <c r="M7409" s="51" t="s">
        <v>12267</v>
      </c>
      <c r="N7409" s="49" t="n">
        <v>0</v>
      </c>
      <c r="O7409" s="53" t="n">
        <v>46013.5712615741</v>
      </c>
      <c r="P7409" s="53" t="n">
        <v>46035.3556828704</v>
      </c>
      <c r="Q7409" s="53" t="n">
        <v>46013.5712615741</v>
      </c>
      <c r="R7409" s="0" t="n">
        <v>0</v>
      </c>
      <c r="S7409" s="51" t="s">
        <v>2383</v>
      </c>
      <c r="T7409" s="51" t="s">
        <v>2383</v>
      </c>
      <c r="U7409" s="0" t="str">
        <f aca="false">"12464079"</f>
        <v>12464079</v>
      </c>
      <c r="V7409" s="51" t="s">
        <v>2365</v>
      </c>
      <c r="W7409" s="51" t="s">
        <v>8558</v>
      </c>
      <c r="X7409" s="51" t="s">
        <v>2359</v>
      </c>
    </row>
    <row r="7410" customFormat="false" ht="14.25" hidden="true" customHeight="false" outlineLevel="0" collapsed="false">
      <c r="A7410" s="49" t="s">
        <v>2349</v>
      </c>
      <c r="B7410" s="49" t="s">
        <v>2350</v>
      </c>
      <c r="C7410" s="49" t="s">
        <v>12282</v>
      </c>
      <c r="D7410" s="49" t="s">
        <v>2352</v>
      </c>
      <c r="E7410" s="49" t="str">
        <f aca="false">"12464079"</f>
        <v>12464079</v>
      </c>
      <c r="F7410" s="49" t="s">
        <v>4706</v>
      </c>
      <c r="G7410" s="49" t="n">
        <v>0</v>
      </c>
      <c r="H7410" s="0" t="n">
        <v>0</v>
      </c>
      <c r="M7410" s="51" t="s">
        <v>12267</v>
      </c>
      <c r="N7410" s="49" t="n">
        <v>0</v>
      </c>
      <c r="O7410" s="53" t="n">
        <v>46013.572025463</v>
      </c>
      <c r="P7410" s="53" t="n">
        <v>46035.3560763889</v>
      </c>
      <c r="Q7410" s="53" t="n">
        <v>46013.572025463</v>
      </c>
      <c r="R7410" s="0" t="n">
        <v>0</v>
      </c>
      <c r="S7410" s="51" t="s">
        <v>2383</v>
      </c>
      <c r="T7410" s="51" t="s">
        <v>2383</v>
      </c>
      <c r="U7410" s="0" t="str">
        <f aca="false">"12464079"</f>
        <v>12464079</v>
      </c>
      <c r="V7410" s="51" t="s">
        <v>2365</v>
      </c>
      <c r="W7410" s="51" t="s">
        <v>10251</v>
      </c>
      <c r="X7410" s="51" t="s">
        <v>2359</v>
      </c>
    </row>
    <row r="7411" customFormat="false" ht="14.25" hidden="true" customHeight="false" outlineLevel="0" collapsed="false">
      <c r="A7411" s="49" t="s">
        <v>2349</v>
      </c>
      <c r="B7411" s="49" t="s">
        <v>2350</v>
      </c>
      <c r="C7411" s="49" t="s">
        <v>12283</v>
      </c>
      <c r="D7411" s="49" t="s">
        <v>2352</v>
      </c>
      <c r="E7411" s="49" t="str">
        <f aca="false">"12464079"</f>
        <v>12464079</v>
      </c>
      <c r="F7411" s="49" t="s">
        <v>4706</v>
      </c>
      <c r="G7411" s="49" t="n">
        <v>0</v>
      </c>
      <c r="H7411" s="0" t="n">
        <v>0</v>
      </c>
      <c r="M7411" s="51" t="s">
        <v>12267</v>
      </c>
      <c r="N7411" s="49" t="n">
        <v>0</v>
      </c>
      <c r="O7411" s="53" t="n">
        <v>46013.5666898148</v>
      </c>
      <c r="P7411" s="53" t="n">
        <v>46035.3436574074</v>
      </c>
      <c r="Q7411" s="53" t="n">
        <v>46013.5666898148</v>
      </c>
      <c r="R7411" s="0" t="n">
        <v>0</v>
      </c>
      <c r="S7411" s="51" t="s">
        <v>2383</v>
      </c>
      <c r="T7411" s="51" t="s">
        <v>2383</v>
      </c>
      <c r="U7411" s="0" t="str">
        <f aca="false">"12464079"</f>
        <v>12464079</v>
      </c>
      <c r="V7411" s="51" t="s">
        <v>2365</v>
      </c>
      <c r="W7411" s="51" t="s">
        <v>5801</v>
      </c>
      <c r="X7411" s="51" t="s">
        <v>2359</v>
      </c>
    </row>
    <row r="7412" customFormat="false" ht="14.25" hidden="true" customHeight="false" outlineLevel="0" collapsed="false">
      <c r="A7412" s="49" t="s">
        <v>2349</v>
      </c>
      <c r="B7412" s="49" t="s">
        <v>2350</v>
      </c>
      <c r="C7412" s="49" t="s">
        <v>12284</v>
      </c>
      <c r="D7412" s="49" t="s">
        <v>2352</v>
      </c>
      <c r="E7412" s="49" t="str">
        <f aca="false">"12464079"</f>
        <v>12464079</v>
      </c>
      <c r="F7412" s="49" t="s">
        <v>4706</v>
      </c>
      <c r="G7412" s="49" t="n">
        <v>0</v>
      </c>
      <c r="H7412" s="0" t="n">
        <v>0</v>
      </c>
      <c r="M7412" s="51" t="s">
        <v>12267</v>
      </c>
      <c r="N7412" s="49" t="n">
        <v>0</v>
      </c>
      <c r="O7412" s="53" t="n">
        <v>46013.5681481482</v>
      </c>
      <c r="P7412" s="53" t="n">
        <v>46049.9219097222</v>
      </c>
      <c r="Q7412" s="53" t="n">
        <v>46013.5681481482</v>
      </c>
      <c r="R7412" s="0" t="n">
        <v>0</v>
      </c>
      <c r="S7412" s="51" t="s">
        <v>2383</v>
      </c>
      <c r="T7412" s="51" t="s">
        <v>2383</v>
      </c>
      <c r="U7412" s="0" t="str">
        <f aca="false">"12464079"</f>
        <v>12464079</v>
      </c>
      <c r="V7412" s="51" t="s">
        <v>2365</v>
      </c>
      <c r="W7412" s="51" t="s">
        <v>12285</v>
      </c>
      <c r="X7412" s="51" t="s">
        <v>2359</v>
      </c>
    </row>
    <row r="7413" customFormat="false" ht="14.25" hidden="true" customHeight="false" outlineLevel="0" collapsed="false">
      <c r="A7413" s="49" t="s">
        <v>2349</v>
      </c>
      <c r="B7413" s="49" t="s">
        <v>2350</v>
      </c>
      <c r="C7413" s="49" t="s">
        <v>12286</v>
      </c>
      <c r="D7413" s="49" t="s">
        <v>2352</v>
      </c>
      <c r="E7413" s="49" t="str">
        <f aca="false">"12464079"</f>
        <v>12464079</v>
      </c>
      <c r="F7413" s="49" t="s">
        <v>4706</v>
      </c>
      <c r="G7413" s="49" t="n">
        <v>0</v>
      </c>
      <c r="H7413" s="0" t="n">
        <v>0</v>
      </c>
      <c r="M7413" s="51" t="s">
        <v>12267</v>
      </c>
      <c r="N7413" s="49" t="n">
        <v>0</v>
      </c>
      <c r="O7413" s="53" t="n">
        <v>46013.5684259259</v>
      </c>
      <c r="P7413" s="53" t="n">
        <v>46035.956875</v>
      </c>
      <c r="Q7413" s="53" t="n">
        <v>46013.5684259259</v>
      </c>
      <c r="R7413" s="0" t="n">
        <v>0</v>
      </c>
      <c r="S7413" s="51" t="s">
        <v>2383</v>
      </c>
      <c r="T7413" s="51" t="s">
        <v>2383</v>
      </c>
      <c r="U7413" s="0" t="str">
        <f aca="false">"12464079"</f>
        <v>12464079</v>
      </c>
      <c r="V7413" s="51" t="s">
        <v>2365</v>
      </c>
      <c r="W7413" s="51" t="s">
        <v>8868</v>
      </c>
      <c r="X7413" s="51" t="s">
        <v>2359</v>
      </c>
    </row>
    <row r="7414" customFormat="false" ht="14.25" hidden="true" customHeight="false" outlineLevel="0" collapsed="false">
      <c r="A7414" s="49" t="s">
        <v>2349</v>
      </c>
      <c r="B7414" s="49" t="s">
        <v>2350</v>
      </c>
      <c r="C7414" s="49" t="s">
        <v>12287</v>
      </c>
      <c r="D7414" s="49" t="s">
        <v>2352</v>
      </c>
      <c r="E7414" s="49" t="str">
        <f aca="false">"12464079"</f>
        <v>12464079</v>
      </c>
      <c r="F7414" s="49" t="s">
        <v>4706</v>
      </c>
      <c r="G7414" s="49" t="n">
        <v>0</v>
      </c>
      <c r="H7414" s="0" t="n">
        <v>0</v>
      </c>
      <c r="M7414" s="51" t="s">
        <v>12267</v>
      </c>
      <c r="N7414" s="49" t="n">
        <v>0</v>
      </c>
      <c r="O7414" s="53" t="n">
        <v>46013.5689583333</v>
      </c>
      <c r="P7414" s="53" t="n">
        <v>46017.7195833333</v>
      </c>
      <c r="Q7414" s="53" t="n">
        <v>46013.5689583333</v>
      </c>
      <c r="R7414" s="0" t="n">
        <v>0</v>
      </c>
      <c r="S7414" s="51" t="s">
        <v>2383</v>
      </c>
      <c r="T7414" s="51" t="s">
        <v>2383</v>
      </c>
      <c r="U7414" s="0" t="str">
        <f aca="false">"12464079"</f>
        <v>12464079</v>
      </c>
      <c r="V7414" s="51" t="s">
        <v>2365</v>
      </c>
      <c r="W7414" s="51" t="s">
        <v>4439</v>
      </c>
      <c r="X7414" s="51" t="s">
        <v>2359</v>
      </c>
    </row>
    <row r="7415" customFormat="false" ht="14.25" hidden="true" customHeight="false" outlineLevel="0" collapsed="false">
      <c r="A7415" s="49" t="s">
        <v>2349</v>
      </c>
      <c r="B7415" s="49" t="s">
        <v>2350</v>
      </c>
      <c r="C7415" s="49" t="s">
        <v>12288</v>
      </c>
      <c r="D7415" s="49" t="s">
        <v>2352</v>
      </c>
      <c r="E7415" s="49" t="str">
        <f aca="false">"12464079"</f>
        <v>12464079</v>
      </c>
      <c r="F7415" s="49" t="s">
        <v>4706</v>
      </c>
      <c r="G7415" s="49" t="n">
        <v>0</v>
      </c>
      <c r="H7415" s="0" t="n">
        <v>0</v>
      </c>
      <c r="M7415" s="51" t="s">
        <v>12267</v>
      </c>
      <c r="N7415" s="49" t="n">
        <v>0</v>
      </c>
      <c r="O7415" s="53" t="n">
        <v>46013.5771527778</v>
      </c>
      <c r="P7415" s="53" t="n">
        <v>46051.4799189815</v>
      </c>
      <c r="Q7415" s="53" t="n">
        <v>46013.5771527778</v>
      </c>
      <c r="R7415" s="0" t="n">
        <v>0</v>
      </c>
      <c r="S7415" s="51" t="s">
        <v>2383</v>
      </c>
      <c r="T7415" s="51" t="s">
        <v>2383</v>
      </c>
      <c r="U7415" s="0" t="str">
        <f aca="false">"12464079"</f>
        <v>12464079</v>
      </c>
      <c r="V7415" s="51" t="s">
        <v>2365</v>
      </c>
      <c r="W7415" s="51" t="s">
        <v>4907</v>
      </c>
      <c r="X7415" s="51" t="s">
        <v>2359</v>
      </c>
    </row>
    <row r="7416" customFormat="false" ht="14.25" hidden="true" customHeight="false" outlineLevel="0" collapsed="false">
      <c r="A7416" s="49" t="s">
        <v>2349</v>
      </c>
      <c r="B7416" s="49" t="s">
        <v>2350</v>
      </c>
      <c r="C7416" s="49" t="s">
        <v>12289</v>
      </c>
      <c r="D7416" s="49" t="s">
        <v>2352</v>
      </c>
      <c r="E7416" s="49" t="str">
        <f aca="false">"12464079"</f>
        <v>12464079</v>
      </c>
      <c r="F7416" s="49" t="s">
        <v>4706</v>
      </c>
      <c r="G7416" s="49" t="n">
        <v>0</v>
      </c>
      <c r="H7416" s="0" t="n">
        <v>0</v>
      </c>
      <c r="M7416" s="51" t="s">
        <v>12267</v>
      </c>
      <c r="N7416" s="49" t="n">
        <v>0</v>
      </c>
      <c r="O7416" s="53" t="n">
        <v>46013.5640393519</v>
      </c>
      <c r="P7416" s="53" t="n">
        <v>46035.3446990741</v>
      </c>
      <c r="Q7416" s="53" t="n">
        <v>46013.5640393519</v>
      </c>
      <c r="R7416" s="0" t="n">
        <v>0</v>
      </c>
      <c r="S7416" s="51" t="s">
        <v>2383</v>
      </c>
      <c r="T7416" s="51" t="s">
        <v>2383</v>
      </c>
      <c r="U7416" s="0" t="str">
        <f aca="false">"12464079"</f>
        <v>12464079</v>
      </c>
      <c r="V7416" s="51" t="s">
        <v>2365</v>
      </c>
      <c r="W7416" s="51" t="s">
        <v>6578</v>
      </c>
      <c r="X7416" s="51" t="s">
        <v>2359</v>
      </c>
    </row>
    <row r="7417" customFormat="false" ht="14.25" hidden="true" customHeight="false" outlineLevel="0" collapsed="false">
      <c r="A7417" s="49" t="s">
        <v>2349</v>
      </c>
      <c r="B7417" s="49" t="s">
        <v>2350</v>
      </c>
      <c r="C7417" s="49" t="s">
        <v>12290</v>
      </c>
      <c r="D7417" s="49" t="s">
        <v>2352</v>
      </c>
      <c r="E7417" s="49" t="str">
        <f aca="false">"12464079"</f>
        <v>12464079</v>
      </c>
      <c r="F7417" s="49" t="s">
        <v>4706</v>
      </c>
      <c r="G7417" s="49" t="n">
        <v>0</v>
      </c>
      <c r="H7417" s="0" t="n">
        <v>0</v>
      </c>
      <c r="M7417" s="51" t="s">
        <v>12267</v>
      </c>
      <c r="N7417" s="49" t="n">
        <v>0</v>
      </c>
      <c r="O7417" s="53" t="n">
        <v>46013.5631828704</v>
      </c>
      <c r="P7417" s="53" t="n">
        <v>46017.7231944444</v>
      </c>
      <c r="Q7417" s="53" t="n">
        <v>46013.5631828704</v>
      </c>
      <c r="R7417" s="0" t="n">
        <v>0</v>
      </c>
      <c r="S7417" s="51" t="s">
        <v>2383</v>
      </c>
      <c r="T7417" s="51" t="s">
        <v>2383</v>
      </c>
      <c r="U7417" s="0" t="str">
        <f aca="false">"12464079"</f>
        <v>12464079</v>
      </c>
      <c r="V7417" s="51" t="s">
        <v>2365</v>
      </c>
      <c r="W7417" s="51" t="s">
        <v>8538</v>
      </c>
      <c r="X7417" s="51" t="s">
        <v>2359</v>
      </c>
    </row>
    <row r="7418" customFormat="false" ht="14.25" hidden="true" customHeight="false" outlineLevel="0" collapsed="false">
      <c r="A7418" s="49" t="s">
        <v>2349</v>
      </c>
      <c r="B7418" s="49" t="s">
        <v>2350</v>
      </c>
      <c r="C7418" s="49" t="s">
        <v>12291</v>
      </c>
      <c r="D7418" s="49" t="s">
        <v>2352</v>
      </c>
      <c r="E7418" s="49" t="str">
        <f aca="false">"12464079"</f>
        <v>12464079</v>
      </c>
      <c r="F7418" s="49" t="s">
        <v>4706</v>
      </c>
      <c r="G7418" s="49" t="n">
        <v>0</v>
      </c>
      <c r="H7418" s="0" t="n">
        <v>0</v>
      </c>
      <c r="M7418" s="51" t="s">
        <v>12267</v>
      </c>
      <c r="N7418" s="49" t="n">
        <v>0</v>
      </c>
      <c r="O7418" s="53" t="n">
        <v>46013.5625</v>
      </c>
      <c r="P7418" s="53" t="n">
        <v>46035.9532407407</v>
      </c>
      <c r="Q7418" s="53" t="n">
        <v>46013.5625</v>
      </c>
      <c r="R7418" s="0" t="n">
        <v>0</v>
      </c>
      <c r="S7418" s="51" t="s">
        <v>2383</v>
      </c>
      <c r="T7418" s="51" t="s">
        <v>2383</v>
      </c>
      <c r="U7418" s="0" t="str">
        <f aca="false">"12464079"</f>
        <v>12464079</v>
      </c>
      <c r="V7418" s="51" t="s">
        <v>2365</v>
      </c>
      <c r="W7418" s="51" t="s">
        <v>12292</v>
      </c>
      <c r="X7418" s="51" t="s">
        <v>2359</v>
      </c>
    </row>
    <row r="7419" customFormat="false" ht="14.25" hidden="true" customHeight="false" outlineLevel="0" collapsed="false">
      <c r="A7419" s="49" t="s">
        <v>2349</v>
      </c>
      <c r="B7419" s="49" t="s">
        <v>2350</v>
      </c>
      <c r="C7419" s="49" t="s">
        <v>12293</v>
      </c>
      <c r="D7419" s="49" t="s">
        <v>2352</v>
      </c>
      <c r="E7419" s="49" t="str">
        <f aca="false">"12464079"</f>
        <v>12464079</v>
      </c>
      <c r="F7419" s="49" t="s">
        <v>4706</v>
      </c>
      <c r="G7419" s="49" t="n">
        <v>0</v>
      </c>
      <c r="H7419" s="0" t="n">
        <v>0</v>
      </c>
      <c r="M7419" s="51" t="s">
        <v>12267</v>
      </c>
      <c r="N7419" s="49" t="n">
        <v>0</v>
      </c>
      <c r="O7419" s="53" t="n">
        <v>46013.5628587963</v>
      </c>
      <c r="P7419" s="53" t="n">
        <v>46035.3484259259</v>
      </c>
      <c r="Q7419" s="53" t="n">
        <v>46013.5628587963</v>
      </c>
      <c r="R7419" s="0" t="n">
        <v>0</v>
      </c>
      <c r="S7419" s="51" t="s">
        <v>2383</v>
      </c>
      <c r="T7419" s="51" t="s">
        <v>2383</v>
      </c>
      <c r="U7419" s="0" t="str">
        <f aca="false">"12464079"</f>
        <v>12464079</v>
      </c>
      <c r="V7419" s="51" t="s">
        <v>2365</v>
      </c>
      <c r="W7419" s="51" t="s">
        <v>5816</v>
      </c>
      <c r="X7419" s="51" t="s">
        <v>2359</v>
      </c>
    </row>
    <row r="7420" customFormat="false" ht="14.25" hidden="true" customHeight="false" outlineLevel="0" collapsed="false">
      <c r="A7420" s="49" t="s">
        <v>2349</v>
      </c>
      <c r="B7420" s="49" t="s">
        <v>2350</v>
      </c>
      <c r="C7420" s="49" t="s">
        <v>12294</v>
      </c>
      <c r="D7420" s="49" t="s">
        <v>2352</v>
      </c>
      <c r="E7420" s="49" t="str">
        <f aca="false">"12464079"</f>
        <v>12464079</v>
      </c>
      <c r="F7420" s="49" t="s">
        <v>4706</v>
      </c>
      <c r="G7420" s="49" t="n">
        <v>0</v>
      </c>
      <c r="H7420" s="0" t="n">
        <v>0</v>
      </c>
      <c r="M7420" s="51" t="s">
        <v>12267</v>
      </c>
      <c r="N7420" s="49" t="n">
        <v>0</v>
      </c>
      <c r="O7420" s="53" t="n">
        <v>46013.5619907407</v>
      </c>
      <c r="P7420" s="53" t="n">
        <v>46017.7206828704</v>
      </c>
      <c r="Q7420" s="53" t="n">
        <v>46013.5619907407</v>
      </c>
      <c r="R7420" s="0" t="n">
        <v>0</v>
      </c>
      <c r="S7420" s="51" t="s">
        <v>2383</v>
      </c>
      <c r="T7420" s="51" t="s">
        <v>2383</v>
      </c>
      <c r="U7420" s="0" t="str">
        <f aca="false">"12464079"</f>
        <v>12464079</v>
      </c>
      <c r="V7420" s="51" t="s">
        <v>2365</v>
      </c>
      <c r="W7420" s="51" t="s">
        <v>12295</v>
      </c>
      <c r="X7420" s="51" t="s">
        <v>2359</v>
      </c>
    </row>
    <row r="7421" customFormat="false" ht="14.25" hidden="true" customHeight="false" outlineLevel="0" collapsed="false">
      <c r="A7421" s="49" t="s">
        <v>2349</v>
      </c>
      <c r="B7421" s="49" t="s">
        <v>2350</v>
      </c>
      <c r="C7421" s="49" t="s">
        <v>12296</v>
      </c>
      <c r="D7421" s="49" t="s">
        <v>2352</v>
      </c>
      <c r="E7421" s="49" t="str">
        <f aca="false">"12464079"</f>
        <v>12464079</v>
      </c>
      <c r="F7421" s="49" t="s">
        <v>4706</v>
      </c>
      <c r="G7421" s="49" t="n">
        <v>0</v>
      </c>
      <c r="H7421" s="0" t="n">
        <v>0</v>
      </c>
      <c r="M7421" s="51" t="s">
        <v>12267</v>
      </c>
      <c r="N7421" s="49" t="n">
        <v>0</v>
      </c>
      <c r="O7421" s="53" t="n">
        <v>46013.5614351852</v>
      </c>
      <c r="P7421" s="53" t="n">
        <v>46017.7190046296</v>
      </c>
      <c r="Q7421" s="53" t="n">
        <v>46013.5614351852</v>
      </c>
      <c r="R7421" s="0" t="n">
        <v>0</v>
      </c>
      <c r="S7421" s="51" t="s">
        <v>2383</v>
      </c>
      <c r="T7421" s="51" t="s">
        <v>2383</v>
      </c>
      <c r="U7421" s="0" t="str">
        <f aca="false">"12464079"</f>
        <v>12464079</v>
      </c>
      <c r="V7421" s="51" t="s">
        <v>2365</v>
      </c>
      <c r="W7421" s="51" t="s">
        <v>6757</v>
      </c>
      <c r="X7421" s="51" t="s">
        <v>2359</v>
      </c>
    </row>
    <row r="7422" customFormat="false" ht="14.25" hidden="true" customHeight="false" outlineLevel="0" collapsed="false">
      <c r="A7422" s="49" t="s">
        <v>2349</v>
      </c>
      <c r="B7422" s="49" t="s">
        <v>2350</v>
      </c>
      <c r="C7422" s="49" t="s">
        <v>12297</v>
      </c>
      <c r="D7422" s="49" t="s">
        <v>2352</v>
      </c>
      <c r="E7422" s="49" t="str">
        <f aca="false">"12363202"</f>
        <v>12363202</v>
      </c>
      <c r="F7422" s="49" t="s">
        <v>7041</v>
      </c>
      <c r="G7422" s="49" t="n">
        <v>0</v>
      </c>
      <c r="H7422" s="0" t="n">
        <v>0</v>
      </c>
      <c r="M7422" s="51" t="s">
        <v>12267</v>
      </c>
      <c r="N7422" s="49" t="n">
        <v>0</v>
      </c>
      <c r="O7422" s="53" t="n">
        <v>46013.555162037</v>
      </c>
      <c r="P7422" s="53" t="n">
        <v>46031.7391087963</v>
      </c>
      <c r="Q7422" s="53" t="n">
        <v>46013.555162037</v>
      </c>
      <c r="R7422" s="0" t="n">
        <v>0</v>
      </c>
      <c r="S7422" s="51" t="s">
        <v>2383</v>
      </c>
      <c r="T7422" s="51" t="s">
        <v>2383</v>
      </c>
      <c r="U7422" s="0" t="str">
        <f aca="false">"12363202"</f>
        <v>12363202</v>
      </c>
      <c r="V7422" s="51" t="s">
        <v>2365</v>
      </c>
      <c r="W7422" s="51" t="s">
        <v>10563</v>
      </c>
      <c r="X7422" s="51" t="s">
        <v>2359</v>
      </c>
    </row>
    <row r="7423" customFormat="false" ht="14.25" hidden="true" customHeight="false" outlineLevel="0" collapsed="false">
      <c r="A7423" s="49" t="s">
        <v>2349</v>
      </c>
      <c r="B7423" s="49" t="s">
        <v>2350</v>
      </c>
      <c r="C7423" s="49" t="s">
        <v>12298</v>
      </c>
      <c r="D7423" s="49" t="s">
        <v>2352</v>
      </c>
      <c r="E7423" s="49" t="str">
        <f aca="false">"12363202"</f>
        <v>12363202</v>
      </c>
      <c r="F7423" s="49" t="s">
        <v>7041</v>
      </c>
      <c r="G7423" s="49" t="n">
        <v>0</v>
      </c>
      <c r="H7423" s="0" t="n">
        <v>0</v>
      </c>
      <c r="M7423" s="51" t="s">
        <v>12267</v>
      </c>
      <c r="N7423" s="49" t="n">
        <v>0</v>
      </c>
      <c r="O7423" s="53" t="n">
        <v>46013.5542824074</v>
      </c>
      <c r="P7423" s="53" t="n">
        <v>46031.7383333333</v>
      </c>
      <c r="Q7423" s="53" t="n">
        <v>46013.5542824074</v>
      </c>
      <c r="R7423" s="0" t="n">
        <v>0</v>
      </c>
      <c r="S7423" s="51" t="s">
        <v>2383</v>
      </c>
      <c r="T7423" s="51" t="s">
        <v>2383</v>
      </c>
      <c r="U7423" s="0" t="str">
        <f aca="false">"12363202"</f>
        <v>12363202</v>
      </c>
      <c r="V7423" s="51" t="s">
        <v>2365</v>
      </c>
      <c r="W7423" s="51" t="s">
        <v>2409</v>
      </c>
      <c r="X7423" s="51" t="s">
        <v>2359</v>
      </c>
    </row>
    <row r="7424" customFormat="false" ht="14.25" hidden="true" customHeight="false" outlineLevel="0" collapsed="false">
      <c r="A7424" s="49" t="s">
        <v>2349</v>
      </c>
      <c r="B7424" s="49" t="s">
        <v>2350</v>
      </c>
      <c r="C7424" s="49" t="s">
        <v>12299</v>
      </c>
      <c r="D7424" s="49" t="s">
        <v>2352</v>
      </c>
      <c r="E7424" s="49" t="str">
        <f aca="false">"12496976"</f>
        <v>12496976</v>
      </c>
      <c r="F7424" s="49" t="s">
        <v>4220</v>
      </c>
      <c r="G7424" s="49" t="n">
        <v>0</v>
      </c>
      <c r="H7424" s="0" t="n">
        <v>0</v>
      </c>
      <c r="M7424" s="51" t="s">
        <v>12267</v>
      </c>
      <c r="N7424" s="49" t="n">
        <v>0</v>
      </c>
      <c r="O7424" s="53" t="n">
        <v>46013.5021875</v>
      </c>
      <c r="P7424" s="53" t="n">
        <v>46051.4092361111</v>
      </c>
      <c r="Q7424" s="53" t="n">
        <v>46013.5021875</v>
      </c>
      <c r="R7424" s="0" t="n">
        <v>0</v>
      </c>
      <c r="S7424" s="51" t="s">
        <v>2383</v>
      </c>
      <c r="T7424" s="51" t="s">
        <v>2383</v>
      </c>
      <c r="U7424" s="0" t="str">
        <f aca="false">"12496976"</f>
        <v>12496976</v>
      </c>
      <c r="V7424" s="51" t="s">
        <v>2365</v>
      </c>
      <c r="W7424" s="51" t="s">
        <v>12300</v>
      </c>
      <c r="X7424" s="51" t="s">
        <v>2359</v>
      </c>
    </row>
    <row r="7425" customFormat="false" ht="14.25" hidden="true" customHeight="false" outlineLevel="0" collapsed="false">
      <c r="A7425" s="49" t="s">
        <v>2349</v>
      </c>
      <c r="B7425" s="49" t="s">
        <v>2350</v>
      </c>
      <c r="C7425" s="49" t="s">
        <v>12301</v>
      </c>
      <c r="D7425" s="49" t="s">
        <v>2352</v>
      </c>
      <c r="E7425" s="49" t="str">
        <f aca="false">"12496976"</f>
        <v>12496976</v>
      </c>
      <c r="F7425" s="49" t="s">
        <v>4220</v>
      </c>
      <c r="G7425" s="49" t="n">
        <v>0</v>
      </c>
      <c r="H7425" s="0" t="n">
        <v>0</v>
      </c>
      <c r="M7425" s="51" t="s">
        <v>12267</v>
      </c>
      <c r="N7425" s="49" t="n">
        <v>0</v>
      </c>
      <c r="O7425" s="53" t="n">
        <v>46013.4962615741</v>
      </c>
      <c r="P7425" s="53" t="n">
        <v>46051.4122453704</v>
      </c>
      <c r="Q7425" s="53" t="n">
        <v>46013.4962615741</v>
      </c>
      <c r="R7425" s="0" t="n">
        <v>0</v>
      </c>
      <c r="S7425" s="51" t="s">
        <v>2383</v>
      </c>
      <c r="T7425" s="51" t="s">
        <v>2383</v>
      </c>
      <c r="U7425" s="0" t="str">
        <f aca="false">"12496976"</f>
        <v>12496976</v>
      </c>
      <c r="V7425" s="51" t="s">
        <v>2365</v>
      </c>
      <c r="W7425" s="51" t="s">
        <v>12302</v>
      </c>
      <c r="X7425" s="51" t="s">
        <v>2359</v>
      </c>
    </row>
    <row r="7426" customFormat="false" ht="14.25" hidden="true" customHeight="false" outlineLevel="0" collapsed="false">
      <c r="A7426" s="49" t="s">
        <v>2349</v>
      </c>
      <c r="B7426" s="49" t="s">
        <v>2350</v>
      </c>
      <c r="C7426" s="49" t="s">
        <v>12303</v>
      </c>
      <c r="D7426" s="49" t="s">
        <v>2352</v>
      </c>
      <c r="E7426" s="49" t="str">
        <f aca="false">"12496976"</f>
        <v>12496976</v>
      </c>
      <c r="F7426" s="49" t="s">
        <v>4220</v>
      </c>
      <c r="G7426" s="49" t="n">
        <v>0</v>
      </c>
      <c r="H7426" s="0" t="n">
        <v>0</v>
      </c>
      <c r="M7426" s="51" t="s">
        <v>12267</v>
      </c>
      <c r="N7426" s="49" t="n">
        <v>0</v>
      </c>
      <c r="O7426" s="53" t="n">
        <v>46013.4957407407</v>
      </c>
      <c r="P7426" s="53" t="n">
        <v>46051.4228935185</v>
      </c>
      <c r="Q7426" s="53" t="n">
        <v>46013.4957407407</v>
      </c>
      <c r="R7426" s="0" t="n">
        <v>0</v>
      </c>
      <c r="S7426" s="51" t="s">
        <v>2383</v>
      </c>
      <c r="T7426" s="51" t="s">
        <v>2383</v>
      </c>
      <c r="U7426" s="0" t="str">
        <f aca="false">"12496976"</f>
        <v>12496976</v>
      </c>
      <c r="V7426" s="51" t="s">
        <v>2365</v>
      </c>
      <c r="W7426" s="51" t="s">
        <v>8527</v>
      </c>
      <c r="X7426" s="51" t="s">
        <v>2359</v>
      </c>
    </row>
    <row r="7427" customFormat="false" ht="14.25" hidden="true" customHeight="false" outlineLevel="0" collapsed="false">
      <c r="A7427" s="49" t="s">
        <v>2349</v>
      </c>
      <c r="B7427" s="49" t="s">
        <v>2350</v>
      </c>
      <c r="C7427" s="49" t="s">
        <v>12304</v>
      </c>
      <c r="D7427" s="49" t="s">
        <v>2352</v>
      </c>
      <c r="E7427" s="49" t="str">
        <f aca="false">"12496976"</f>
        <v>12496976</v>
      </c>
      <c r="F7427" s="49" t="s">
        <v>4220</v>
      </c>
      <c r="G7427" s="49" t="n">
        <v>0</v>
      </c>
      <c r="H7427" s="0" t="n">
        <v>0</v>
      </c>
      <c r="M7427" s="51" t="s">
        <v>12267</v>
      </c>
      <c r="N7427" s="49" t="n">
        <v>0</v>
      </c>
      <c r="O7427" s="53" t="n">
        <v>46013.4949421296</v>
      </c>
      <c r="P7427" s="53" t="n">
        <v>46051.4063310185</v>
      </c>
      <c r="Q7427" s="53" t="n">
        <v>46013.4949421296</v>
      </c>
      <c r="R7427" s="0" t="n">
        <v>0</v>
      </c>
      <c r="S7427" s="51" t="s">
        <v>2383</v>
      </c>
      <c r="T7427" s="51" t="s">
        <v>2383</v>
      </c>
      <c r="U7427" s="0" t="str">
        <f aca="false">"12496976"</f>
        <v>12496976</v>
      </c>
      <c r="V7427" s="51" t="s">
        <v>2365</v>
      </c>
      <c r="W7427" s="51" t="s">
        <v>11201</v>
      </c>
      <c r="X7427" s="51" t="s">
        <v>2359</v>
      </c>
    </row>
    <row r="7428" customFormat="false" ht="14.25" hidden="true" customHeight="false" outlineLevel="0" collapsed="false">
      <c r="A7428" s="49" t="s">
        <v>2349</v>
      </c>
      <c r="B7428" s="49" t="s">
        <v>2350</v>
      </c>
      <c r="C7428" s="49" t="s">
        <v>12305</v>
      </c>
      <c r="D7428" s="49" t="s">
        <v>2352</v>
      </c>
      <c r="E7428" s="49" t="str">
        <f aca="false">"12496976"</f>
        <v>12496976</v>
      </c>
      <c r="F7428" s="49" t="s">
        <v>4220</v>
      </c>
      <c r="G7428" s="49" t="n">
        <v>0</v>
      </c>
      <c r="H7428" s="0" t="n">
        <v>0</v>
      </c>
      <c r="M7428" s="51" t="s">
        <v>12267</v>
      </c>
      <c r="N7428" s="49" t="n">
        <v>0</v>
      </c>
      <c r="O7428" s="53" t="n">
        <v>46013.4938194445</v>
      </c>
      <c r="P7428" s="53" t="n">
        <v>46051.4084606482</v>
      </c>
      <c r="Q7428" s="53" t="n">
        <v>46013.4938194445</v>
      </c>
      <c r="R7428" s="0" t="n">
        <v>0</v>
      </c>
      <c r="S7428" s="51" t="s">
        <v>2383</v>
      </c>
      <c r="T7428" s="51" t="s">
        <v>2383</v>
      </c>
      <c r="U7428" s="0" t="str">
        <f aca="false">"12496976"</f>
        <v>12496976</v>
      </c>
      <c r="V7428" s="51" t="s">
        <v>2365</v>
      </c>
      <c r="W7428" s="51" t="s">
        <v>8763</v>
      </c>
      <c r="X7428" s="51" t="s">
        <v>2359</v>
      </c>
    </row>
    <row r="7429" customFormat="false" ht="14.25" hidden="true" customHeight="false" outlineLevel="0" collapsed="false">
      <c r="A7429" s="49" t="s">
        <v>2349</v>
      </c>
      <c r="B7429" s="49" t="s">
        <v>2350</v>
      </c>
      <c r="C7429" s="49" t="s">
        <v>12306</v>
      </c>
      <c r="D7429" s="49" t="s">
        <v>2352</v>
      </c>
      <c r="E7429" s="49" t="str">
        <f aca="false">"12496976"</f>
        <v>12496976</v>
      </c>
      <c r="F7429" s="49" t="s">
        <v>4220</v>
      </c>
      <c r="G7429" s="49" t="n">
        <v>0</v>
      </c>
      <c r="H7429" s="0" t="n">
        <v>0</v>
      </c>
      <c r="M7429" s="51" t="s">
        <v>12267</v>
      </c>
      <c r="N7429" s="49" t="n">
        <v>0</v>
      </c>
      <c r="O7429" s="53" t="n">
        <v>46013.4926388889</v>
      </c>
      <c r="P7429" s="53" t="n">
        <v>46051.4116435185</v>
      </c>
      <c r="Q7429" s="53" t="n">
        <v>46013.4926388889</v>
      </c>
      <c r="R7429" s="0" t="n">
        <v>0</v>
      </c>
      <c r="S7429" s="51" t="s">
        <v>2383</v>
      </c>
      <c r="T7429" s="51" t="s">
        <v>2383</v>
      </c>
      <c r="U7429" s="0" t="str">
        <f aca="false">"12496976"</f>
        <v>12496976</v>
      </c>
      <c r="V7429" s="51" t="s">
        <v>2365</v>
      </c>
      <c r="W7429" s="51" t="s">
        <v>8670</v>
      </c>
      <c r="X7429" s="51" t="s">
        <v>2359</v>
      </c>
    </row>
    <row r="7430" customFormat="false" ht="14.25" hidden="true" customHeight="false" outlineLevel="0" collapsed="false">
      <c r="A7430" s="49" t="s">
        <v>2349</v>
      </c>
      <c r="B7430" s="49" t="s">
        <v>2350</v>
      </c>
      <c r="C7430" s="49" t="s">
        <v>12307</v>
      </c>
      <c r="D7430" s="49" t="s">
        <v>2352</v>
      </c>
      <c r="E7430" s="49" t="str">
        <f aca="false">"12393792"</f>
        <v>12393792</v>
      </c>
      <c r="F7430" s="49" t="s">
        <v>2368</v>
      </c>
      <c r="G7430" s="49" t="n">
        <v>0</v>
      </c>
      <c r="H7430" s="0" t="n">
        <v>0</v>
      </c>
      <c r="M7430" s="51" t="s">
        <v>12267</v>
      </c>
      <c r="N7430" s="49" t="n">
        <v>0</v>
      </c>
      <c r="O7430" s="53" t="n">
        <v>46013.4783912037</v>
      </c>
      <c r="P7430" s="53" t="n">
        <v>46017.6558796296</v>
      </c>
      <c r="Q7430" s="53" t="n">
        <v>46013.4783912037</v>
      </c>
      <c r="R7430" s="0" t="n">
        <v>0</v>
      </c>
      <c r="S7430" s="51" t="s">
        <v>2383</v>
      </c>
      <c r="T7430" s="51" t="s">
        <v>2383</v>
      </c>
      <c r="U7430" s="0" t="str">
        <f aca="false">"12393792"</f>
        <v>12393792</v>
      </c>
      <c r="V7430" s="51" t="s">
        <v>2365</v>
      </c>
      <c r="W7430" s="51" t="s">
        <v>4462</v>
      </c>
      <c r="X7430" s="51" t="s">
        <v>2359</v>
      </c>
    </row>
    <row r="7431" customFormat="false" ht="14.25" hidden="true" customHeight="false" outlineLevel="0" collapsed="false">
      <c r="A7431" s="49" t="s">
        <v>2349</v>
      </c>
      <c r="B7431" s="49" t="s">
        <v>2350</v>
      </c>
      <c r="C7431" s="49" t="s">
        <v>12308</v>
      </c>
      <c r="D7431" s="49" t="s">
        <v>2352</v>
      </c>
      <c r="E7431" s="49" t="str">
        <f aca="false">"12496983"</f>
        <v>12496983</v>
      </c>
      <c r="F7431" s="49" t="s">
        <v>4880</v>
      </c>
      <c r="G7431" s="49" t="n">
        <v>0</v>
      </c>
      <c r="H7431" s="0" t="n">
        <v>0</v>
      </c>
      <c r="M7431" s="51" t="s">
        <v>12309</v>
      </c>
      <c r="N7431" s="49" t="n">
        <v>0</v>
      </c>
      <c r="O7431" s="53" t="n">
        <v>46002.4259953704</v>
      </c>
      <c r="P7431" s="53" t="n">
        <v>46021.1520138889</v>
      </c>
      <c r="Q7431" s="53" t="n">
        <v>46002.4259953704</v>
      </c>
      <c r="R7431" s="0" t="n">
        <v>0</v>
      </c>
      <c r="S7431" s="51" t="s">
        <v>2383</v>
      </c>
      <c r="T7431" s="51" t="s">
        <v>2383</v>
      </c>
      <c r="U7431" s="0" t="str">
        <f aca="false">"12496983"</f>
        <v>12496983</v>
      </c>
      <c r="V7431" s="51" t="s">
        <v>2365</v>
      </c>
      <c r="W7431" s="51" t="s">
        <v>2402</v>
      </c>
      <c r="X7431" s="51" t="s">
        <v>2359</v>
      </c>
    </row>
    <row r="7432" customFormat="false" ht="14.25" hidden="true" customHeight="false" outlineLevel="0" collapsed="false">
      <c r="A7432" s="49" t="s">
        <v>2349</v>
      </c>
      <c r="B7432" s="49" t="s">
        <v>2350</v>
      </c>
      <c r="C7432" s="49" t="s">
        <v>12310</v>
      </c>
      <c r="D7432" s="49" t="s">
        <v>2352</v>
      </c>
      <c r="E7432" s="49" t="str">
        <f aca="false">"12496983"</f>
        <v>12496983</v>
      </c>
      <c r="F7432" s="49" t="s">
        <v>4880</v>
      </c>
      <c r="G7432" s="49" t="n">
        <v>0</v>
      </c>
      <c r="H7432" s="0" t="n">
        <v>0</v>
      </c>
      <c r="M7432" s="51" t="s">
        <v>12309</v>
      </c>
      <c r="N7432" s="49" t="n">
        <v>0</v>
      </c>
      <c r="O7432" s="53" t="n">
        <v>46002.4247569444</v>
      </c>
      <c r="P7432" s="53" t="n">
        <v>46021.1526273148</v>
      </c>
      <c r="Q7432" s="53" t="n">
        <v>46002.4247569444</v>
      </c>
      <c r="R7432" s="0" t="n">
        <v>0</v>
      </c>
      <c r="S7432" s="51" t="s">
        <v>2383</v>
      </c>
      <c r="T7432" s="51" t="s">
        <v>2383</v>
      </c>
      <c r="U7432" s="0" t="str">
        <f aca="false">"12496983"</f>
        <v>12496983</v>
      </c>
      <c r="V7432" s="51" t="s">
        <v>2365</v>
      </c>
      <c r="W7432" s="51" t="s">
        <v>12311</v>
      </c>
      <c r="X7432" s="51" t="s">
        <v>2359</v>
      </c>
    </row>
    <row r="7433" customFormat="false" ht="14.25" hidden="true" customHeight="false" outlineLevel="0" collapsed="false">
      <c r="A7433" s="49" t="s">
        <v>2349</v>
      </c>
      <c r="B7433" s="49" t="s">
        <v>2350</v>
      </c>
      <c r="C7433" s="49" t="s">
        <v>12312</v>
      </c>
      <c r="D7433" s="49" t="s">
        <v>2352</v>
      </c>
      <c r="E7433" s="49" t="str">
        <f aca="false">"12496983"</f>
        <v>12496983</v>
      </c>
      <c r="F7433" s="49" t="s">
        <v>4880</v>
      </c>
      <c r="G7433" s="49" t="n">
        <v>0</v>
      </c>
      <c r="H7433" s="0" t="n">
        <v>0</v>
      </c>
      <c r="M7433" s="51" t="s">
        <v>12309</v>
      </c>
      <c r="N7433" s="49" t="n">
        <v>0</v>
      </c>
      <c r="O7433" s="53" t="n">
        <v>46002.4262268519</v>
      </c>
      <c r="P7433" s="53" t="n">
        <v>46021.1512268519</v>
      </c>
      <c r="Q7433" s="53" t="n">
        <v>46002.4262268519</v>
      </c>
      <c r="R7433" s="0" t="n">
        <v>0</v>
      </c>
      <c r="S7433" s="51" t="s">
        <v>2383</v>
      </c>
      <c r="T7433" s="51" t="s">
        <v>2383</v>
      </c>
      <c r="U7433" s="0" t="str">
        <f aca="false">"12496983"</f>
        <v>12496983</v>
      </c>
      <c r="V7433" s="51" t="s">
        <v>2365</v>
      </c>
      <c r="W7433" s="51" t="s">
        <v>10248</v>
      </c>
      <c r="X7433" s="51" t="s">
        <v>2359</v>
      </c>
    </row>
    <row r="7434" customFormat="false" ht="14.25" hidden="true" customHeight="false" outlineLevel="0" collapsed="false">
      <c r="A7434" s="49" t="s">
        <v>2349</v>
      </c>
      <c r="B7434" s="49" t="s">
        <v>2350</v>
      </c>
      <c r="C7434" s="49" t="s">
        <v>12313</v>
      </c>
      <c r="D7434" s="49" t="s">
        <v>2352</v>
      </c>
      <c r="E7434" s="49" t="s">
        <v>4166</v>
      </c>
      <c r="F7434" s="49" t="s">
        <v>4167</v>
      </c>
      <c r="G7434" s="49" t="n">
        <v>0</v>
      </c>
      <c r="H7434" s="0" t="n">
        <v>0</v>
      </c>
      <c r="M7434" s="51" t="s">
        <v>12314</v>
      </c>
      <c r="N7434" s="49" t="n">
        <v>0</v>
      </c>
      <c r="O7434" s="53" t="n">
        <v>45998.4574189815</v>
      </c>
      <c r="P7434" s="53" t="n">
        <v>45999.4344097222</v>
      </c>
      <c r="Q7434" s="53" t="n">
        <v>45998.4574189815</v>
      </c>
      <c r="R7434" s="0" t="n">
        <v>0</v>
      </c>
      <c r="S7434" s="51" t="s">
        <v>2356</v>
      </c>
      <c r="T7434" s="51" t="s">
        <v>2356</v>
      </c>
      <c r="U7434" s="51" t="s">
        <v>4166</v>
      </c>
      <c r="V7434" s="51" t="s">
        <v>2365</v>
      </c>
      <c r="W7434" s="51" t="s">
        <v>11753</v>
      </c>
      <c r="X7434" s="51" t="s">
        <v>2359</v>
      </c>
    </row>
    <row r="7435" customFormat="false" ht="14.25" hidden="true" customHeight="false" outlineLevel="0" collapsed="false">
      <c r="A7435" s="49" t="s">
        <v>2349</v>
      </c>
      <c r="B7435" s="49" t="s">
        <v>2350</v>
      </c>
      <c r="C7435" s="49" t="s">
        <v>12315</v>
      </c>
      <c r="D7435" s="49" t="s">
        <v>2352</v>
      </c>
      <c r="E7435" s="49" t="s">
        <v>4166</v>
      </c>
      <c r="F7435" s="49" t="s">
        <v>4167</v>
      </c>
      <c r="G7435" s="49" t="n">
        <v>0</v>
      </c>
      <c r="H7435" s="0" t="n">
        <v>0</v>
      </c>
      <c r="M7435" s="51" t="s">
        <v>12314</v>
      </c>
      <c r="N7435" s="49" t="n">
        <v>0</v>
      </c>
      <c r="O7435" s="53" t="n">
        <v>45998.4571296296</v>
      </c>
      <c r="P7435" s="53" t="n">
        <v>45999.4340393519</v>
      </c>
      <c r="Q7435" s="53" t="n">
        <v>45998.4571296296</v>
      </c>
      <c r="R7435" s="0" t="n">
        <v>0</v>
      </c>
      <c r="S7435" s="51" t="s">
        <v>2356</v>
      </c>
      <c r="T7435" s="51" t="s">
        <v>2356</v>
      </c>
      <c r="U7435" s="51" t="s">
        <v>4166</v>
      </c>
      <c r="V7435" s="51" t="s">
        <v>2365</v>
      </c>
      <c r="W7435" s="51" t="s">
        <v>5759</v>
      </c>
      <c r="X7435" s="51" t="s">
        <v>2359</v>
      </c>
    </row>
    <row r="7436" customFormat="false" ht="14.25" hidden="true" customHeight="false" outlineLevel="0" collapsed="false">
      <c r="A7436" s="49" t="s">
        <v>2349</v>
      </c>
      <c r="B7436" s="49" t="s">
        <v>2350</v>
      </c>
      <c r="C7436" s="49" t="s">
        <v>12316</v>
      </c>
      <c r="D7436" s="49" t="s">
        <v>2352</v>
      </c>
      <c r="E7436" s="49" t="s">
        <v>4166</v>
      </c>
      <c r="F7436" s="49" t="s">
        <v>4167</v>
      </c>
      <c r="G7436" s="49" t="n">
        <v>0</v>
      </c>
      <c r="H7436" s="0" t="n">
        <v>0</v>
      </c>
      <c r="M7436" s="51" t="s">
        <v>12314</v>
      </c>
      <c r="N7436" s="49" t="n">
        <v>0</v>
      </c>
      <c r="O7436" s="53" t="n">
        <v>45998.4569444444</v>
      </c>
      <c r="P7436" s="53" t="n">
        <v>45999.4341666667</v>
      </c>
      <c r="Q7436" s="53" t="n">
        <v>45998.4569444444</v>
      </c>
      <c r="R7436" s="0" t="n">
        <v>0</v>
      </c>
      <c r="S7436" s="51" t="s">
        <v>2356</v>
      </c>
      <c r="T7436" s="51" t="s">
        <v>2356</v>
      </c>
      <c r="U7436" s="51" t="s">
        <v>4166</v>
      </c>
      <c r="V7436" s="51" t="s">
        <v>2365</v>
      </c>
      <c r="W7436" s="51" t="s">
        <v>7272</v>
      </c>
      <c r="X7436" s="51" t="s">
        <v>2359</v>
      </c>
    </row>
    <row r="7437" customFormat="false" ht="14.25" hidden="true" customHeight="false" outlineLevel="0" collapsed="false">
      <c r="A7437" s="49" t="s">
        <v>2349</v>
      </c>
      <c r="B7437" s="49" t="s">
        <v>2350</v>
      </c>
      <c r="C7437" s="49" t="s">
        <v>12317</v>
      </c>
      <c r="D7437" s="49" t="s">
        <v>2352</v>
      </c>
      <c r="E7437" s="49" t="s">
        <v>4166</v>
      </c>
      <c r="F7437" s="49" t="s">
        <v>4167</v>
      </c>
      <c r="G7437" s="49" t="n">
        <v>0</v>
      </c>
      <c r="H7437" s="0" t="n">
        <v>0</v>
      </c>
      <c r="M7437" s="51" t="s">
        <v>12314</v>
      </c>
      <c r="N7437" s="49" t="n">
        <v>0</v>
      </c>
      <c r="O7437" s="53" t="n">
        <v>45998.4567361111</v>
      </c>
      <c r="P7437" s="53" t="n">
        <v>45999.4271643519</v>
      </c>
      <c r="Q7437" s="53" t="n">
        <v>45998.4567361111</v>
      </c>
      <c r="R7437" s="0" t="n">
        <v>0</v>
      </c>
      <c r="S7437" s="51" t="s">
        <v>2356</v>
      </c>
      <c r="T7437" s="51" t="s">
        <v>2356</v>
      </c>
      <c r="U7437" s="51" t="s">
        <v>4166</v>
      </c>
      <c r="V7437" s="51" t="s">
        <v>2365</v>
      </c>
      <c r="W7437" s="51" t="s">
        <v>4373</v>
      </c>
      <c r="X7437" s="51" t="s">
        <v>2359</v>
      </c>
    </row>
    <row r="7438" customFormat="false" ht="14.25" hidden="true" customHeight="false" outlineLevel="0" collapsed="false">
      <c r="A7438" s="49" t="s">
        <v>2349</v>
      </c>
      <c r="B7438" s="49" t="s">
        <v>2350</v>
      </c>
      <c r="C7438" s="49" t="s">
        <v>12318</v>
      </c>
      <c r="D7438" s="49" t="s">
        <v>2352</v>
      </c>
      <c r="E7438" s="49" t="s">
        <v>4166</v>
      </c>
      <c r="F7438" s="49" t="s">
        <v>4167</v>
      </c>
      <c r="G7438" s="49" t="n">
        <v>0</v>
      </c>
      <c r="H7438" s="0" t="n">
        <v>0</v>
      </c>
      <c r="M7438" s="51" t="s">
        <v>12314</v>
      </c>
      <c r="N7438" s="49" t="n">
        <v>0</v>
      </c>
      <c r="O7438" s="53" t="n">
        <v>45998.4565393519</v>
      </c>
      <c r="P7438" s="53" t="n">
        <v>45999.427037037</v>
      </c>
      <c r="Q7438" s="53" t="n">
        <v>45998.4565393519</v>
      </c>
      <c r="R7438" s="0" t="n">
        <v>0</v>
      </c>
      <c r="S7438" s="51" t="s">
        <v>2356</v>
      </c>
      <c r="T7438" s="51" t="s">
        <v>2356</v>
      </c>
      <c r="U7438" s="51" t="s">
        <v>4166</v>
      </c>
      <c r="V7438" s="51" t="s">
        <v>2365</v>
      </c>
      <c r="W7438" s="51" t="s">
        <v>5324</v>
      </c>
      <c r="X7438" s="51" t="s">
        <v>2359</v>
      </c>
    </row>
    <row r="7439" customFormat="false" ht="14.25" hidden="true" customHeight="false" outlineLevel="0" collapsed="false">
      <c r="A7439" s="49" t="s">
        <v>2349</v>
      </c>
      <c r="B7439" s="49" t="s">
        <v>2350</v>
      </c>
      <c r="C7439" s="49" t="s">
        <v>12319</v>
      </c>
      <c r="D7439" s="49" t="s">
        <v>2352</v>
      </c>
      <c r="E7439" s="49" t="s">
        <v>4166</v>
      </c>
      <c r="F7439" s="49" t="s">
        <v>4167</v>
      </c>
      <c r="G7439" s="49" t="n">
        <v>0</v>
      </c>
      <c r="H7439" s="0" t="n">
        <v>0</v>
      </c>
      <c r="M7439" s="51" t="s">
        <v>12314</v>
      </c>
      <c r="N7439" s="49" t="n">
        <v>0</v>
      </c>
      <c r="O7439" s="53" t="n">
        <v>45998.4563078704</v>
      </c>
      <c r="P7439" s="53" t="n">
        <v>45999.4268865741</v>
      </c>
      <c r="Q7439" s="53" t="n">
        <v>45998.4563078704</v>
      </c>
      <c r="R7439" s="0" t="n">
        <v>0</v>
      </c>
      <c r="S7439" s="51" t="s">
        <v>2356</v>
      </c>
      <c r="T7439" s="51" t="s">
        <v>2356</v>
      </c>
      <c r="U7439" s="51" t="s">
        <v>4166</v>
      </c>
      <c r="V7439" s="51" t="s">
        <v>2365</v>
      </c>
      <c r="W7439" s="51" t="s">
        <v>10065</v>
      </c>
      <c r="X7439" s="51" t="s">
        <v>2359</v>
      </c>
    </row>
    <row r="7440" customFormat="false" ht="14.25" hidden="true" customHeight="false" outlineLevel="0" collapsed="false">
      <c r="A7440" s="49" t="s">
        <v>2349</v>
      </c>
      <c r="B7440" s="49" t="s">
        <v>2350</v>
      </c>
      <c r="C7440" s="49" t="s">
        <v>12320</v>
      </c>
      <c r="D7440" s="49" t="s">
        <v>2352</v>
      </c>
      <c r="E7440" s="49" t="s">
        <v>4166</v>
      </c>
      <c r="F7440" s="49" t="s">
        <v>4167</v>
      </c>
      <c r="G7440" s="49" t="n">
        <v>0</v>
      </c>
      <c r="H7440" s="0" t="n">
        <v>0</v>
      </c>
      <c r="M7440" s="51" t="s">
        <v>12314</v>
      </c>
      <c r="N7440" s="49" t="n">
        <v>0</v>
      </c>
      <c r="O7440" s="53" t="n">
        <v>45998.456087963</v>
      </c>
      <c r="P7440" s="53" t="n">
        <v>45999.4265393519</v>
      </c>
      <c r="Q7440" s="53" t="n">
        <v>45998.456087963</v>
      </c>
      <c r="R7440" s="0" t="n">
        <v>0</v>
      </c>
      <c r="S7440" s="51" t="s">
        <v>2356</v>
      </c>
      <c r="T7440" s="51" t="s">
        <v>2356</v>
      </c>
      <c r="U7440" s="51" t="s">
        <v>4166</v>
      </c>
      <c r="V7440" s="51" t="s">
        <v>2365</v>
      </c>
      <c r="W7440" s="51" t="s">
        <v>5490</v>
      </c>
      <c r="X7440" s="51" t="s">
        <v>2359</v>
      </c>
    </row>
    <row r="7441" customFormat="false" ht="14.25" hidden="true" customHeight="false" outlineLevel="0" collapsed="false">
      <c r="A7441" s="49" t="s">
        <v>2349</v>
      </c>
      <c r="B7441" s="49" t="s">
        <v>2350</v>
      </c>
      <c r="C7441" s="49" t="s">
        <v>12321</v>
      </c>
      <c r="D7441" s="49" t="s">
        <v>2352</v>
      </c>
      <c r="E7441" s="49" t="s">
        <v>4166</v>
      </c>
      <c r="F7441" s="49" t="s">
        <v>4167</v>
      </c>
      <c r="G7441" s="49" t="n">
        <v>0</v>
      </c>
      <c r="H7441" s="0" t="n">
        <v>0</v>
      </c>
      <c r="M7441" s="51" t="s">
        <v>12314</v>
      </c>
      <c r="N7441" s="49" t="n">
        <v>0</v>
      </c>
      <c r="O7441" s="53" t="n">
        <v>45998.4558333333</v>
      </c>
      <c r="P7441" s="53" t="n">
        <v>45999.426400463</v>
      </c>
      <c r="Q7441" s="53" t="n">
        <v>45998.4558333333</v>
      </c>
      <c r="R7441" s="0" t="n">
        <v>0</v>
      </c>
      <c r="S7441" s="51" t="s">
        <v>2356</v>
      </c>
      <c r="T7441" s="51" t="s">
        <v>2356</v>
      </c>
      <c r="U7441" s="51" t="s">
        <v>4166</v>
      </c>
      <c r="V7441" s="51" t="s">
        <v>2365</v>
      </c>
      <c r="W7441" s="51" t="s">
        <v>4175</v>
      </c>
      <c r="X7441" s="51" t="s">
        <v>2359</v>
      </c>
    </row>
    <row r="7442" customFormat="false" ht="14.25" hidden="true" customHeight="false" outlineLevel="0" collapsed="false">
      <c r="A7442" s="49" t="s">
        <v>2349</v>
      </c>
      <c r="B7442" s="49" t="s">
        <v>2350</v>
      </c>
      <c r="C7442" s="49" t="s">
        <v>12322</v>
      </c>
      <c r="D7442" s="49" t="s">
        <v>2352</v>
      </c>
      <c r="E7442" s="49" t="s">
        <v>4166</v>
      </c>
      <c r="F7442" s="49" t="s">
        <v>4167</v>
      </c>
      <c r="G7442" s="49" t="n">
        <v>0</v>
      </c>
      <c r="H7442" s="0" t="n">
        <v>0</v>
      </c>
      <c r="M7442" s="51" t="s">
        <v>12314</v>
      </c>
      <c r="N7442" s="49" t="n">
        <v>0</v>
      </c>
      <c r="O7442" s="53" t="n">
        <v>45998.4554976852</v>
      </c>
      <c r="P7442" s="53" t="n">
        <v>45999.4267592593</v>
      </c>
      <c r="Q7442" s="53" t="n">
        <v>45998.4554976852</v>
      </c>
      <c r="R7442" s="0" t="n">
        <v>0</v>
      </c>
      <c r="S7442" s="51" t="s">
        <v>2356</v>
      </c>
      <c r="T7442" s="51" t="s">
        <v>2356</v>
      </c>
      <c r="U7442" s="51" t="s">
        <v>4166</v>
      </c>
      <c r="V7442" s="51" t="s">
        <v>2365</v>
      </c>
      <c r="W7442" s="51" t="s">
        <v>7405</v>
      </c>
      <c r="X7442" s="51" t="s">
        <v>2359</v>
      </c>
    </row>
    <row r="7443" customFormat="false" ht="14.25" hidden="true" customHeight="false" outlineLevel="0" collapsed="false">
      <c r="A7443" s="49" t="s">
        <v>2349</v>
      </c>
      <c r="B7443" s="49" t="s">
        <v>2350</v>
      </c>
      <c r="C7443" s="49" t="s">
        <v>12323</v>
      </c>
      <c r="D7443" s="49" t="s">
        <v>2352</v>
      </c>
      <c r="E7443" s="49" t="s">
        <v>4166</v>
      </c>
      <c r="F7443" s="49" t="s">
        <v>4167</v>
      </c>
      <c r="G7443" s="49" t="n">
        <v>0</v>
      </c>
      <c r="H7443" s="0" t="n">
        <v>0</v>
      </c>
      <c r="M7443" s="51" t="s">
        <v>12314</v>
      </c>
      <c r="N7443" s="49" t="n">
        <v>0</v>
      </c>
      <c r="O7443" s="53" t="n">
        <v>45998.4551967593</v>
      </c>
      <c r="P7443" s="53" t="n">
        <v>45999.4339351852</v>
      </c>
      <c r="Q7443" s="53" t="n">
        <v>45998.4551967593</v>
      </c>
      <c r="R7443" s="0" t="n">
        <v>0</v>
      </c>
      <c r="S7443" s="51" t="s">
        <v>2356</v>
      </c>
      <c r="T7443" s="51" t="s">
        <v>2356</v>
      </c>
      <c r="U7443" s="51" t="s">
        <v>4166</v>
      </c>
      <c r="V7443" s="51" t="s">
        <v>2365</v>
      </c>
      <c r="W7443" s="51" t="s">
        <v>7265</v>
      </c>
      <c r="X7443" s="51" t="s">
        <v>2359</v>
      </c>
    </row>
    <row r="7444" customFormat="false" ht="14.25" hidden="true" customHeight="false" outlineLevel="0" collapsed="false">
      <c r="A7444" s="49" t="s">
        <v>2349</v>
      </c>
      <c r="B7444" s="49" t="s">
        <v>2350</v>
      </c>
      <c r="C7444" s="49" t="s">
        <v>12324</v>
      </c>
      <c r="D7444" s="49" t="s">
        <v>2352</v>
      </c>
      <c r="E7444" s="49" t="s">
        <v>7198</v>
      </c>
      <c r="F7444" s="49" t="s">
        <v>7199</v>
      </c>
      <c r="G7444" s="49" t="n">
        <v>0</v>
      </c>
      <c r="H7444" s="0" t="n">
        <v>0</v>
      </c>
      <c r="M7444" s="51" t="s">
        <v>12314</v>
      </c>
      <c r="N7444" s="49" t="n">
        <v>0</v>
      </c>
      <c r="O7444" s="53" t="n">
        <v>45998.4487962963</v>
      </c>
      <c r="P7444" s="53" t="n">
        <v>45999.434537037</v>
      </c>
      <c r="Q7444" s="53" t="n">
        <v>45998.4487962963</v>
      </c>
      <c r="R7444" s="0" t="n">
        <v>0</v>
      </c>
      <c r="S7444" s="51" t="s">
        <v>2356</v>
      </c>
      <c r="T7444" s="51" t="s">
        <v>2356</v>
      </c>
      <c r="U7444" s="51" t="s">
        <v>7198</v>
      </c>
      <c r="V7444" s="51" t="s">
        <v>2365</v>
      </c>
      <c r="W7444" s="51" t="s">
        <v>12325</v>
      </c>
      <c r="X7444" s="51" t="s">
        <v>2359</v>
      </c>
    </row>
    <row r="7445" customFormat="false" ht="14.25" hidden="true" customHeight="false" outlineLevel="0" collapsed="false">
      <c r="A7445" s="49" t="s">
        <v>2349</v>
      </c>
      <c r="B7445" s="49" t="s">
        <v>2350</v>
      </c>
      <c r="C7445" s="49" t="s">
        <v>12326</v>
      </c>
      <c r="D7445" s="49" t="s">
        <v>2352</v>
      </c>
      <c r="E7445" s="49" t="s">
        <v>7198</v>
      </c>
      <c r="F7445" s="49" t="s">
        <v>7199</v>
      </c>
      <c r="G7445" s="49" t="n">
        <v>0</v>
      </c>
      <c r="H7445" s="0" t="n">
        <v>0</v>
      </c>
      <c r="M7445" s="51" t="s">
        <v>12314</v>
      </c>
      <c r="N7445" s="49" t="n">
        <v>0</v>
      </c>
      <c r="O7445" s="53" t="n">
        <v>45998.4485532407</v>
      </c>
      <c r="P7445" s="53" t="n">
        <v>46006.8488425926</v>
      </c>
      <c r="Q7445" s="53" t="n">
        <v>45998.4485532407</v>
      </c>
      <c r="R7445" s="0" t="n">
        <v>0</v>
      </c>
      <c r="S7445" s="51" t="s">
        <v>2356</v>
      </c>
      <c r="T7445" s="51" t="s">
        <v>2356</v>
      </c>
      <c r="U7445" s="51" t="s">
        <v>7198</v>
      </c>
      <c r="V7445" s="51" t="s">
        <v>2365</v>
      </c>
      <c r="W7445" s="51" t="s">
        <v>8278</v>
      </c>
      <c r="X7445" s="51" t="s">
        <v>2359</v>
      </c>
    </row>
    <row r="7446" customFormat="false" ht="14.25" hidden="true" customHeight="false" outlineLevel="0" collapsed="false">
      <c r="A7446" s="49" t="s">
        <v>2349</v>
      </c>
      <c r="B7446" s="49" t="s">
        <v>2350</v>
      </c>
      <c r="C7446" s="49" t="s">
        <v>12327</v>
      </c>
      <c r="D7446" s="49" t="s">
        <v>2352</v>
      </c>
      <c r="E7446" s="49" t="s">
        <v>7198</v>
      </c>
      <c r="F7446" s="49" t="s">
        <v>7199</v>
      </c>
      <c r="G7446" s="49" t="n">
        <v>0</v>
      </c>
      <c r="H7446" s="0" t="n">
        <v>0</v>
      </c>
      <c r="M7446" s="51" t="s">
        <v>12314</v>
      </c>
      <c r="N7446" s="49" t="n">
        <v>0</v>
      </c>
      <c r="O7446" s="53" t="n">
        <v>45998.4482638889</v>
      </c>
      <c r="P7446" s="53" t="n">
        <v>45999.42625</v>
      </c>
      <c r="Q7446" s="53" t="n">
        <v>45998.4482638889</v>
      </c>
      <c r="R7446" s="0" t="n">
        <v>0</v>
      </c>
      <c r="S7446" s="51" t="s">
        <v>2356</v>
      </c>
      <c r="T7446" s="51" t="s">
        <v>2356</v>
      </c>
      <c r="U7446" s="51" t="s">
        <v>7198</v>
      </c>
      <c r="V7446" s="51" t="s">
        <v>2365</v>
      </c>
      <c r="W7446" s="51" t="s">
        <v>4614</v>
      </c>
      <c r="X7446" s="51" t="s">
        <v>2359</v>
      </c>
    </row>
    <row r="7447" customFormat="false" ht="14.25" hidden="true" customHeight="false" outlineLevel="0" collapsed="false">
      <c r="A7447" s="49" t="s">
        <v>2349</v>
      </c>
      <c r="B7447" s="49" t="s">
        <v>2350</v>
      </c>
      <c r="C7447" s="49" t="s">
        <v>12328</v>
      </c>
      <c r="D7447" s="49" t="s">
        <v>2352</v>
      </c>
      <c r="E7447" s="49" t="s">
        <v>7198</v>
      </c>
      <c r="F7447" s="49" t="s">
        <v>7199</v>
      </c>
      <c r="G7447" s="49" t="n">
        <v>0</v>
      </c>
      <c r="H7447" s="0" t="n">
        <v>0</v>
      </c>
      <c r="M7447" s="51" t="s">
        <v>12314</v>
      </c>
      <c r="N7447" s="49" t="n">
        <v>0</v>
      </c>
      <c r="O7447" s="53" t="n">
        <v>45998.4479050926</v>
      </c>
      <c r="P7447" s="53" t="n">
        <v>46020.3762152778</v>
      </c>
      <c r="Q7447" s="53" t="n">
        <v>45998.4479050926</v>
      </c>
      <c r="R7447" s="0" t="n">
        <v>0</v>
      </c>
      <c r="S7447" s="51" t="s">
        <v>2356</v>
      </c>
      <c r="T7447" s="51" t="s">
        <v>2356</v>
      </c>
      <c r="U7447" s="51" t="s">
        <v>7198</v>
      </c>
      <c r="V7447" s="51" t="s">
        <v>2365</v>
      </c>
      <c r="W7447" s="51" t="s">
        <v>4478</v>
      </c>
      <c r="X7447" s="51" t="s">
        <v>2359</v>
      </c>
    </row>
    <row r="7448" customFormat="false" ht="14.25" hidden="true" customHeight="false" outlineLevel="0" collapsed="false">
      <c r="A7448" s="49" t="s">
        <v>2349</v>
      </c>
      <c r="B7448" s="49" t="s">
        <v>2350</v>
      </c>
      <c r="C7448" s="49" t="s">
        <v>12329</v>
      </c>
      <c r="D7448" s="49" t="s">
        <v>2352</v>
      </c>
      <c r="E7448" s="49" t="s">
        <v>7198</v>
      </c>
      <c r="F7448" s="49" t="s">
        <v>7199</v>
      </c>
      <c r="G7448" s="49" t="n">
        <v>0</v>
      </c>
      <c r="H7448" s="0" t="n">
        <v>0</v>
      </c>
      <c r="M7448" s="51" t="s">
        <v>12314</v>
      </c>
      <c r="N7448" s="49" t="n">
        <v>0</v>
      </c>
      <c r="O7448" s="53" t="n">
        <v>45998.4474305556</v>
      </c>
      <c r="P7448" s="53" t="n">
        <v>46027.5114814815</v>
      </c>
      <c r="Q7448" s="53" t="n">
        <v>45998.4474305556</v>
      </c>
      <c r="R7448" s="0" t="n">
        <v>0</v>
      </c>
      <c r="S7448" s="51" t="s">
        <v>2356</v>
      </c>
      <c r="T7448" s="51" t="s">
        <v>2356</v>
      </c>
      <c r="U7448" s="51" t="s">
        <v>7198</v>
      </c>
      <c r="V7448" s="51" t="s">
        <v>2365</v>
      </c>
      <c r="W7448" s="51" t="s">
        <v>6470</v>
      </c>
      <c r="X7448" s="51" t="s">
        <v>2359</v>
      </c>
    </row>
    <row r="7449" customFormat="false" ht="14.25" hidden="true" customHeight="false" outlineLevel="0" collapsed="false">
      <c r="A7449" s="49" t="s">
        <v>2349</v>
      </c>
      <c r="B7449" s="49" t="s">
        <v>2350</v>
      </c>
      <c r="C7449" s="49" t="s">
        <v>12330</v>
      </c>
      <c r="D7449" s="49" t="s">
        <v>2352</v>
      </c>
      <c r="E7449" s="49" t="s">
        <v>4166</v>
      </c>
      <c r="F7449" s="49" t="s">
        <v>4167</v>
      </c>
      <c r="G7449" s="49" t="n">
        <v>0</v>
      </c>
      <c r="H7449" s="0" t="n">
        <v>0</v>
      </c>
      <c r="M7449" s="51" t="s">
        <v>12314</v>
      </c>
      <c r="N7449" s="49" t="n">
        <v>0</v>
      </c>
      <c r="O7449" s="53" t="n">
        <v>45998.4530324074</v>
      </c>
      <c r="P7449" s="53" t="n">
        <v>46037.8020601852</v>
      </c>
      <c r="Q7449" s="53" t="n">
        <v>45998.4530324074</v>
      </c>
      <c r="R7449" s="0" t="n">
        <v>0</v>
      </c>
      <c r="S7449" s="51" t="s">
        <v>2356</v>
      </c>
      <c r="T7449" s="51" t="s">
        <v>2356</v>
      </c>
      <c r="U7449" s="51" t="s">
        <v>4166</v>
      </c>
      <c r="V7449" s="51" t="s">
        <v>2365</v>
      </c>
      <c r="W7449" s="51" t="s">
        <v>5471</v>
      </c>
      <c r="X7449" s="51" t="s">
        <v>2359</v>
      </c>
    </row>
    <row r="7450" customFormat="false" ht="14.25" hidden="true" customHeight="false" outlineLevel="0" collapsed="false">
      <c r="A7450" s="49" t="s">
        <v>2349</v>
      </c>
      <c r="B7450" s="49" t="s">
        <v>2350</v>
      </c>
      <c r="C7450" s="49" t="s">
        <v>12331</v>
      </c>
      <c r="D7450" s="49" t="s">
        <v>2352</v>
      </c>
      <c r="E7450" s="49" t="s">
        <v>4166</v>
      </c>
      <c r="F7450" s="49" t="s">
        <v>4167</v>
      </c>
      <c r="G7450" s="49" t="n">
        <v>0</v>
      </c>
      <c r="H7450" s="0" t="n">
        <v>0</v>
      </c>
      <c r="M7450" s="51" t="s">
        <v>12314</v>
      </c>
      <c r="N7450" s="49" t="n">
        <v>0</v>
      </c>
      <c r="O7450" s="53" t="n">
        <v>45998.4527662037</v>
      </c>
      <c r="P7450" s="53" t="n">
        <v>46037.8023611111</v>
      </c>
      <c r="Q7450" s="53" t="n">
        <v>45998.4527662037</v>
      </c>
      <c r="R7450" s="0" t="n">
        <v>0</v>
      </c>
      <c r="S7450" s="51" t="s">
        <v>2356</v>
      </c>
      <c r="T7450" s="51" t="s">
        <v>2356</v>
      </c>
      <c r="U7450" s="51" t="s">
        <v>4166</v>
      </c>
      <c r="V7450" s="51" t="s">
        <v>2365</v>
      </c>
      <c r="W7450" s="51" t="s">
        <v>7293</v>
      </c>
      <c r="X7450" s="51" t="s">
        <v>2359</v>
      </c>
    </row>
    <row r="7451" customFormat="false" ht="14.25" hidden="true" customHeight="false" outlineLevel="0" collapsed="false">
      <c r="A7451" s="49" t="s">
        <v>2349</v>
      </c>
      <c r="B7451" s="49" t="s">
        <v>2350</v>
      </c>
      <c r="C7451" s="49" t="s">
        <v>12332</v>
      </c>
      <c r="D7451" s="49" t="s">
        <v>2352</v>
      </c>
      <c r="E7451" s="49" t="s">
        <v>4166</v>
      </c>
      <c r="F7451" s="49" t="s">
        <v>4167</v>
      </c>
      <c r="G7451" s="49" t="n">
        <v>0</v>
      </c>
      <c r="H7451" s="0" t="n">
        <v>0</v>
      </c>
      <c r="M7451" s="51" t="s">
        <v>12314</v>
      </c>
      <c r="N7451" s="49" t="n">
        <v>0</v>
      </c>
      <c r="O7451" s="53" t="n">
        <v>45998.4525115741</v>
      </c>
      <c r="P7451" s="53" t="n">
        <v>46030.4833101852</v>
      </c>
      <c r="Q7451" s="53" t="n">
        <v>45998.4525115741</v>
      </c>
      <c r="R7451" s="0" t="n">
        <v>0</v>
      </c>
      <c r="S7451" s="51" t="s">
        <v>2356</v>
      </c>
      <c r="T7451" s="51" t="s">
        <v>2356</v>
      </c>
      <c r="U7451" s="51" t="s">
        <v>4166</v>
      </c>
      <c r="V7451" s="51" t="s">
        <v>2365</v>
      </c>
      <c r="W7451" s="51" t="s">
        <v>5469</v>
      </c>
      <c r="X7451" s="51" t="s">
        <v>2359</v>
      </c>
    </row>
    <row r="7452" customFormat="false" ht="14.25" hidden="true" customHeight="false" outlineLevel="0" collapsed="false">
      <c r="A7452" s="49" t="s">
        <v>2349</v>
      </c>
      <c r="B7452" s="49" t="s">
        <v>2350</v>
      </c>
      <c r="C7452" s="49" t="s">
        <v>12333</v>
      </c>
      <c r="D7452" s="49" t="s">
        <v>2352</v>
      </c>
      <c r="E7452" s="49" t="s">
        <v>4166</v>
      </c>
      <c r="F7452" s="49" t="s">
        <v>4167</v>
      </c>
      <c r="G7452" s="49" t="n">
        <v>0</v>
      </c>
      <c r="H7452" s="0" t="n">
        <v>0</v>
      </c>
      <c r="M7452" s="51" t="s">
        <v>12314</v>
      </c>
      <c r="N7452" s="49" t="n">
        <v>0</v>
      </c>
      <c r="O7452" s="53" t="n">
        <v>45998.4522569444</v>
      </c>
      <c r="P7452" s="53" t="n">
        <v>46012.6490162037</v>
      </c>
      <c r="Q7452" s="53" t="n">
        <v>45998.4522569444</v>
      </c>
      <c r="R7452" s="0" t="n">
        <v>0</v>
      </c>
      <c r="S7452" s="51" t="s">
        <v>2356</v>
      </c>
      <c r="T7452" s="51" t="s">
        <v>2356</v>
      </c>
      <c r="U7452" s="51" t="s">
        <v>4166</v>
      </c>
      <c r="V7452" s="51" t="s">
        <v>2365</v>
      </c>
      <c r="W7452" s="51" t="s">
        <v>12155</v>
      </c>
      <c r="X7452" s="51" t="s">
        <v>2359</v>
      </c>
    </row>
    <row r="7453" customFormat="false" ht="14.25" hidden="true" customHeight="false" outlineLevel="0" collapsed="false">
      <c r="A7453" s="49" t="s">
        <v>2349</v>
      </c>
      <c r="B7453" s="49" t="s">
        <v>2350</v>
      </c>
      <c r="C7453" s="49" t="s">
        <v>12334</v>
      </c>
      <c r="D7453" s="49" t="s">
        <v>2352</v>
      </c>
      <c r="E7453" s="49" t="s">
        <v>4166</v>
      </c>
      <c r="F7453" s="49" t="s">
        <v>4167</v>
      </c>
      <c r="G7453" s="49" t="n">
        <v>0</v>
      </c>
      <c r="H7453" s="0" t="n">
        <v>0</v>
      </c>
      <c r="M7453" s="51" t="s">
        <v>12314</v>
      </c>
      <c r="N7453" s="49" t="n">
        <v>0</v>
      </c>
      <c r="O7453" s="53" t="n">
        <v>45998.4518402778</v>
      </c>
      <c r="P7453" s="53" t="n">
        <v>46028.5116666667</v>
      </c>
      <c r="Q7453" s="53" t="n">
        <v>45998.4518402778</v>
      </c>
      <c r="R7453" s="0" t="n">
        <v>0</v>
      </c>
      <c r="S7453" s="51" t="s">
        <v>2356</v>
      </c>
      <c r="T7453" s="51" t="s">
        <v>2356</v>
      </c>
      <c r="U7453" s="51" t="s">
        <v>4166</v>
      </c>
      <c r="V7453" s="51" t="s">
        <v>2365</v>
      </c>
      <c r="W7453" s="51" t="s">
        <v>9510</v>
      </c>
      <c r="X7453" s="51" t="s">
        <v>2359</v>
      </c>
    </row>
    <row r="7454" customFormat="false" ht="14.25" hidden="true" customHeight="false" outlineLevel="0" collapsed="false">
      <c r="A7454" s="49" t="s">
        <v>2349</v>
      </c>
      <c r="B7454" s="49" t="s">
        <v>2350</v>
      </c>
      <c r="C7454" s="49" t="s">
        <v>12335</v>
      </c>
      <c r="D7454" s="49" t="s">
        <v>2352</v>
      </c>
      <c r="E7454" s="49" t="s">
        <v>4351</v>
      </c>
      <c r="F7454" s="49" t="s">
        <v>4352</v>
      </c>
      <c r="G7454" s="49" t="n">
        <v>0</v>
      </c>
      <c r="H7454" s="0" t="n">
        <v>0</v>
      </c>
      <c r="M7454" s="51" t="s">
        <v>12314</v>
      </c>
      <c r="N7454" s="49" t="n">
        <v>0</v>
      </c>
      <c r="O7454" s="53" t="n">
        <v>45998.4408333333</v>
      </c>
      <c r="P7454" s="53" t="n">
        <v>45999.4352430556</v>
      </c>
      <c r="Q7454" s="53" t="n">
        <v>45998.4408333333</v>
      </c>
      <c r="R7454" s="0" t="n">
        <v>0</v>
      </c>
      <c r="S7454" s="51" t="s">
        <v>2356</v>
      </c>
      <c r="T7454" s="51" t="s">
        <v>2356</v>
      </c>
      <c r="U7454" s="51" t="s">
        <v>4351</v>
      </c>
      <c r="V7454" s="51" t="s">
        <v>2365</v>
      </c>
      <c r="W7454" s="51" t="s">
        <v>7221</v>
      </c>
      <c r="X7454" s="51" t="s">
        <v>2359</v>
      </c>
    </row>
    <row r="7455" customFormat="false" ht="14.25" hidden="true" customHeight="false" outlineLevel="0" collapsed="false">
      <c r="A7455" s="49" t="s">
        <v>2349</v>
      </c>
      <c r="B7455" s="49" t="s">
        <v>2350</v>
      </c>
      <c r="C7455" s="49" t="s">
        <v>12336</v>
      </c>
      <c r="D7455" s="49" t="s">
        <v>2352</v>
      </c>
      <c r="E7455" s="49" t="s">
        <v>4351</v>
      </c>
      <c r="F7455" s="49" t="s">
        <v>4352</v>
      </c>
      <c r="G7455" s="49" t="n">
        <v>0</v>
      </c>
      <c r="H7455" s="0" t="n">
        <v>0</v>
      </c>
      <c r="M7455" s="51" t="s">
        <v>12314</v>
      </c>
      <c r="N7455" s="49" t="n">
        <v>0</v>
      </c>
      <c r="O7455" s="53" t="n">
        <v>45998.441099537</v>
      </c>
      <c r="P7455" s="53" t="n">
        <v>45999.4351273148</v>
      </c>
      <c r="Q7455" s="53" t="n">
        <v>45998.441099537</v>
      </c>
      <c r="R7455" s="0" t="n">
        <v>0</v>
      </c>
      <c r="S7455" s="51" t="s">
        <v>2356</v>
      </c>
      <c r="T7455" s="51" t="s">
        <v>2356</v>
      </c>
      <c r="U7455" s="51" t="s">
        <v>4351</v>
      </c>
      <c r="V7455" s="51" t="s">
        <v>2365</v>
      </c>
      <c r="W7455" s="51" t="s">
        <v>3664</v>
      </c>
      <c r="X7455" s="51" t="s">
        <v>2359</v>
      </c>
    </row>
    <row r="7456" customFormat="false" ht="14.25" hidden="true" customHeight="false" outlineLevel="0" collapsed="false">
      <c r="A7456" s="49" t="s">
        <v>2349</v>
      </c>
      <c r="B7456" s="49" t="s">
        <v>2350</v>
      </c>
      <c r="C7456" s="49" t="s">
        <v>12337</v>
      </c>
      <c r="D7456" s="49" t="s">
        <v>2352</v>
      </c>
      <c r="E7456" s="49" t="s">
        <v>4351</v>
      </c>
      <c r="F7456" s="49" t="s">
        <v>4352</v>
      </c>
      <c r="G7456" s="49" t="n">
        <v>0</v>
      </c>
      <c r="H7456" s="0" t="n">
        <v>0</v>
      </c>
      <c r="M7456" s="51" t="s">
        <v>12314</v>
      </c>
      <c r="N7456" s="49" t="n">
        <v>0</v>
      </c>
      <c r="O7456" s="53" t="n">
        <v>45998.441412037</v>
      </c>
      <c r="P7456" s="53" t="n">
        <v>45999.4348842593</v>
      </c>
      <c r="Q7456" s="53" t="n">
        <v>45998.441412037</v>
      </c>
      <c r="R7456" s="0" t="n">
        <v>0</v>
      </c>
      <c r="S7456" s="51" t="s">
        <v>2356</v>
      </c>
      <c r="T7456" s="51" t="s">
        <v>2356</v>
      </c>
      <c r="U7456" s="51" t="s">
        <v>4351</v>
      </c>
      <c r="V7456" s="51" t="s">
        <v>2365</v>
      </c>
      <c r="W7456" s="51" t="s">
        <v>4478</v>
      </c>
      <c r="X7456" s="51" t="s">
        <v>2359</v>
      </c>
    </row>
    <row r="7457" customFormat="false" ht="14.25" hidden="true" customHeight="false" outlineLevel="0" collapsed="false">
      <c r="A7457" s="49" t="s">
        <v>2349</v>
      </c>
      <c r="B7457" s="49" t="s">
        <v>2350</v>
      </c>
      <c r="C7457" s="49" t="s">
        <v>12338</v>
      </c>
      <c r="D7457" s="49" t="s">
        <v>2352</v>
      </c>
      <c r="E7457" s="49" t="s">
        <v>4351</v>
      </c>
      <c r="F7457" s="49" t="s">
        <v>4352</v>
      </c>
      <c r="G7457" s="49" t="n">
        <v>0</v>
      </c>
      <c r="H7457" s="0" t="n">
        <v>0</v>
      </c>
      <c r="M7457" s="51" t="s">
        <v>12314</v>
      </c>
      <c r="N7457" s="49" t="n">
        <v>0</v>
      </c>
      <c r="O7457" s="53" t="n">
        <v>45998.4416319444</v>
      </c>
      <c r="P7457" s="53" t="n">
        <v>46019.3940162037</v>
      </c>
      <c r="Q7457" s="53" t="n">
        <v>45998.4416319444</v>
      </c>
      <c r="R7457" s="0" t="n">
        <v>0</v>
      </c>
      <c r="S7457" s="51" t="s">
        <v>2356</v>
      </c>
      <c r="T7457" s="51" t="s">
        <v>2356</v>
      </c>
      <c r="U7457" s="51" t="s">
        <v>4351</v>
      </c>
      <c r="V7457" s="51" t="s">
        <v>2365</v>
      </c>
      <c r="W7457" s="51" t="s">
        <v>5568</v>
      </c>
      <c r="X7457" s="51" t="s">
        <v>2359</v>
      </c>
    </row>
    <row r="7458" customFormat="false" ht="14.25" hidden="true" customHeight="false" outlineLevel="0" collapsed="false">
      <c r="A7458" s="49" t="s">
        <v>2349</v>
      </c>
      <c r="B7458" s="49" t="s">
        <v>2350</v>
      </c>
      <c r="C7458" s="49" t="s">
        <v>12339</v>
      </c>
      <c r="D7458" s="49" t="s">
        <v>2352</v>
      </c>
      <c r="E7458" s="49" t="s">
        <v>4351</v>
      </c>
      <c r="F7458" s="49" t="s">
        <v>4352</v>
      </c>
      <c r="G7458" s="49" t="n">
        <v>0</v>
      </c>
      <c r="H7458" s="0" t="n">
        <v>0</v>
      </c>
      <c r="M7458" s="51" t="s">
        <v>12314</v>
      </c>
      <c r="N7458" s="49" t="n">
        <v>0</v>
      </c>
      <c r="O7458" s="53" t="n">
        <v>45998.4418402778</v>
      </c>
      <c r="P7458" s="53" t="n">
        <v>45999.4356597222</v>
      </c>
      <c r="Q7458" s="53" t="n">
        <v>45998.4418402778</v>
      </c>
      <c r="R7458" s="0" t="n">
        <v>0</v>
      </c>
      <c r="S7458" s="51" t="s">
        <v>2356</v>
      </c>
      <c r="T7458" s="51" t="s">
        <v>2356</v>
      </c>
      <c r="U7458" s="51" t="s">
        <v>4351</v>
      </c>
      <c r="V7458" s="51" t="s">
        <v>2365</v>
      </c>
      <c r="W7458" s="51" t="s">
        <v>3705</v>
      </c>
      <c r="X7458" s="51" t="s">
        <v>2359</v>
      </c>
    </row>
    <row r="7459" customFormat="false" ht="14.25" hidden="true" customHeight="false" outlineLevel="0" collapsed="false">
      <c r="A7459" s="49" t="s">
        <v>2349</v>
      </c>
      <c r="B7459" s="49" t="s">
        <v>2350</v>
      </c>
      <c r="C7459" s="49" t="s">
        <v>12340</v>
      </c>
      <c r="D7459" s="49" t="s">
        <v>2352</v>
      </c>
      <c r="E7459" s="49" t="s">
        <v>4351</v>
      </c>
      <c r="F7459" s="49" t="s">
        <v>4352</v>
      </c>
      <c r="G7459" s="49" t="n">
        <v>0</v>
      </c>
      <c r="H7459" s="0" t="n">
        <v>0</v>
      </c>
      <c r="M7459" s="51" t="s">
        <v>12314</v>
      </c>
      <c r="N7459" s="49" t="n">
        <v>0</v>
      </c>
      <c r="O7459" s="53" t="n">
        <v>45998.442037037</v>
      </c>
      <c r="P7459" s="53" t="n">
        <v>45999.4353472222</v>
      </c>
      <c r="Q7459" s="53" t="n">
        <v>45998.442037037</v>
      </c>
      <c r="R7459" s="0" t="n">
        <v>0</v>
      </c>
      <c r="S7459" s="51" t="s">
        <v>2356</v>
      </c>
      <c r="T7459" s="51" t="s">
        <v>2356</v>
      </c>
      <c r="U7459" s="51" t="s">
        <v>4351</v>
      </c>
      <c r="V7459" s="51" t="s">
        <v>2365</v>
      </c>
      <c r="W7459" s="51" t="s">
        <v>9683</v>
      </c>
      <c r="X7459" s="51" t="s">
        <v>2359</v>
      </c>
    </row>
    <row r="7460" customFormat="false" ht="14.25" hidden="true" customHeight="false" outlineLevel="0" collapsed="false">
      <c r="A7460" s="49" t="s">
        <v>2349</v>
      </c>
      <c r="B7460" s="49" t="s">
        <v>2350</v>
      </c>
      <c r="C7460" s="49" t="s">
        <v>12341</v>
      </c>
      <c r="D7460" s="49" t="s">
        <v>2352</v>
      </c>
      <c r="E7460" s="49" t="s">
        <v>4351</v>
      </c>
      <c r="F7460" s="49" t="s">
        <v>4352</v>
      </c>
      <c r="G7460" s="49" t="n">
        <v>0</v>
      </c>
      <c r="H7460" s="0" t="n">
        <v>0</v>
      </c>
      <c r="M7460" s="51" t="s">
        <v>12314</v>
      </c>
      <c r="N7460" s="49" t="n">
        <v>0</v>
      </c>
      <c r="O7460" s="53" t="n">
        <v>45998.4422222222</v>
      </c>
      <c r="P7460" s="53" t="n">
        <v>46016.5605439815</v>
      </c>
      <c r="Q7460" s="53" t="n">
        <v>45998.4422222222</v>
      </c>
      <c r="R7460" s="0" t="n">
        <v>0</v>
      </c>
      <c r="S7460" s="51" t="s">
        <v>2356</v>
      </c>
      <c r="T7460" s="51" t="s">
        <v>2356</v>
      </c>
      <c r="U7460" s="51" t="s">
        <v>4351</v>
      </c>
      <c r="V7460" s="51" t="s">
        <v>2365</v>
      </c>
      <c r="W7460" s="51" t="s">
        <v>11981</v>
      </c>
      <c r="X7460" s="51" t="s">
        <v>2359</v>
      </c>
    </row>
    <row r="7461" customFormat="false" ht="14.25" hidden="true" customHeight="false" outlineLevel="0" collapsed="false">
      <c r="A7461" s="49" t="s">
        <v>2349</v>
      </c>
      <c r="B7461" s="49" t="s">
        <v>2350</v>
      </c>
      <c r="C7461" s="49" t="s">
        <v>12342</v>
      </c>
      <c r="D7461" s="49" t="s">
        <v>2352</v>
      </c>
      <c r="E7461" s="49" t="s">
        <v>4351</v>
      </c>
      <c r="F7461" s="49" t="s">
        <v>4352</v>
      </c>
      <c r="G7461" s="49" t="n">
        <v>0</v>
      </c>
      <c r="H7461" s="0" t="n">
        <v>0</v>
      </c>
      <c r="M7461" s="51" t="s">
        <v>12314</v>
      </c>
      <c r="N7461" s="49" t="n">
        <v>0</v>
      </c>
      <c r="O7461" s="53" t="n">
        <v>45998.4424652778</v>
      </c>
      <c r="P7461" s="53" t="n">
        <v>46016.5634259259</v>
      </c>
      <c r="Q7461" s="53" t="n">
        <v>45998.4424652778</v>
      </c>
      <c r="R7461" s="0" t="n">
        <v>0</v>
      </c>
      <c r="S7461" s="51" t="s">
        <v>2356</v>
      </c>
      <c r="T7461" s="51" t="s">
        <v>2356</v>
      </c>
      <c r="U7461" s="51" t="s">
        <v>4351</v>
      </c>
      <c r="V7461" s="51" t="s">
        <v>2365</v>
      </c>
      <c r="W7461" s="51" t="s">
        <v>11983</v>
      </c>
      <c r="X7461" s="51" t="s">
        <v>2359</v>
      </c>
    </row>
    <row r="7462" customFormat="false" ht="14.25" hidden="true" customHeight="false" outlineLevel="0" collapsed="false">
      <c r="A7462" s="49" t="s">
        <v>2349</v>
      </c>
      <c r="B7462" s="49" t="s">
        <v>2350</v>
      </c>
      <c r="C7462" s="49" t="s">
        <v>12343</v>
      </c>
      <c r="D7462" s="49" t="s">
        <v>2352</v>
      </c>
      <c r="E7462" s="49" t="s">
        <v>4351</v>
      </c>
      <c r="F7462" s="49" t="s">
        <v>4352</v>
      </c>
      <c r="G7462" s="49" t="n">
        <v>0</v>
      </c>
      <c r="H7462" s="0" t="n">
        <v>0</v>
      </c>
      <c r="M7462" s="51" t="s">
        <v>12314</v>
      </c>
      <c r="N7462" s="49" t="n">
        <v>0</v>
      </c>
      <c r="O7462" s="53" t="n">
        <v>45998.4427083333</v>
      </c>
      <c r="P7462" s="53" t="n">
        <v>45999.4346643519</v>
      </c>
      <c r="Q7462" s="53" t="n">
        <v>45998.4427083333</v>
      </c>
      <c r="R7462" s="0" t="n">
        <v>0</v>
      </c>
      <c r="S7462" s="51" t="s">
        <v>2356</v>
      </c>
      <c r="T7462" s="51" t="s">
        <v>2356</v>
      </c>
      <c r="U7462" s="51" t="s">
        <v>4351</v>
      </c>
      <c r="V7462" s="51" t="s">
        <v>2365</v>
      </c>
      <c r="W7462" s="51" t="s">
        <v>8278</v>
      </c>
      <c r="X7462" s="51" t="s">
        <v>2359</v>
      </c>
    </row>
    <row r="7463" customFormat="false" ht="14.25" hidden="true" customHeight="false" outlineLevel="0" collapsed="false">
      <c r="A7463" s="49" t="s">
        <v>2349</v>
      </c>
      <c r="B7463" s="49" t="s">
        <v>2350</v>
      </c>
      <c r="C7463" s="49" t="s">
        <v>12344</v>
      </c>
      <c r="D7463" s="49" t="s">
        <v>2352</v>
      </c>
      <c r="E7463" s="49" t="s">
        <v>4351</v>
      </c>
      <c r="F7463" s="49" t="s">
        <v>4352</v>
      </c>
      <c r="G7463" s="49" t="n">
        <v>0</v>
      </c>
      <c r="H7463" s="0" t="n">
        <v>0</v>
      </c>
      <c r="M7463" s="51" t="s">
        <v>12314</v>
      </c>
      <c r="N7463" s="49" t="n">
        <v>0</v>
      </c>
      <c r="O7463" s="53" t="n">
        <v>45998.442974537</v>
      </c>
      <c r="P7463" s="53" t="n">
        <v>46012.6516782407</v>
      </c>
      <c r="Q7463" s="53" t="n">
        <v>45998.442974537</v>
      </c>
      <c r="R7463" s="0" t="n">
        <v>0</v>
      </c>
      <c r="S7463" s="51" t="s">
        <v>2356</v>
      </c>
      <c r="T7463" s="51" t="s">
        <v>2356</v>
      </c>
      <c r="U7463" s="51" t="s">
        <v>4351</v>
      </c>
      <c r="V7463" s="51" t="s">
        <v>2365</v>
      </c>
      <c r="W7463" s="51" t="s">
        <v>3774</v>
      </c>
      <c r="X7463" s="51" t="s">
        <v>2359</v>
      </c>
    </row>
    <row r="7464" customFormat="false" ht="14.25" hidden="true" customHeight="false" outlineLevel="0" collapsed="false">
      <c r="A7464" s="49" t="s">
        <v>2349</v>
      </c>
      <c r="B7464" s="49" t="s">
        <v>2350</v>
      </c>
      <c r="C7464" s="49" t="s">
        <v>12345</v>
      </c>
      <c r="D7464" s="49" t="s">
        <v>2352</v>
      </c>
      <c r="E7464" s="49" t="s">
        <v>4351</v>
      </c>
      <c r="F7464" s="49" t="s">
        <v>4352</v>
      </c>
      <c r="G7464" s="49" t="n">
        <v>0</v>
      </c>
      <c r="H7464" s="0" t="n">
        <v>0</v>
      </c>
      <c r="M7464" s="51" t="s">
        <v>12314</v>
      </c>
      <c r="N7464" s="49" t="n">
        <v>0</v>
      </c>
      <c r="O7464" s="53" t="n">
        <v>45998.4432060185</v>
      </c>
      <c r="P7464" s="53" t="n">
        <v>45999.435462963</v>
      </c>
      <c r="Q7464" s="53" t="n">
        <v>45998.4432060185</v>
      </c>
      <c r="R7464" s="0" t="n">
        <v>0</v>
      </c>
      <c r="S7464" s="51" t="s">
        <v>2356</v>
      </c>
      <c r="T7464" s="51" t="s">
        <v>2356</v>
      </c>
      <c r="U7464" s="51" t="s">
        <v>4351</v>
      </c>
      <c r="V7464" s="51" t="s">
        <v>2365</v>
      </c>
      <c r="W7464" s="51" t="s">
        <v>11979</v>
      </c>
      <c r="X7464" s="51" t="s">
        <v>2359</v>
      </c>
    </row>
    <row r="7465" customFormat="false" ht="14.25" hidden="true" customHeight="false" outlineLevel="0" collapsed="false">
      <c r="A7465" s="49" t="s">
        <v>2349</v>
      </c>
      <c r="B7465" s="49" t="s">
        <v>2350</v>
      </c>
      <c r="C7465" s="49" t="s">
        <v>12346</v>
      </c>
      <c r="D7465" s="49" t="s">
        <v>2352</v>
      </c>
      <c r="E7465" s="49" t="s">
        <v>4351</v>
      </c>
      <c r="F7465" s="49" t="s">
        <v>4352</v>
      </c>
      <c r="G7465" s="49" t="n">
        <v>0</v>
      </c>
      <c r="H7465" s="0" t="n">
        <v>0</v>
      </c>
      <c r="M7465" s="51" t="s">
        <v>12314</v>
      </c>
      <c r="N7465" s="49" t="n">
        <v>0</v>
      </c>
      <c r="O7465" s="53" t="n">
        <v>45998.4434606481</v>
      </c>
      <c r="P7465" s="53" t="n">
        <v>46028.3600231482</v>
      </c>
      <c r="Q7465" s="53" t="n">
        <v>45998.4434606481</v>
      </c>
      <c r="R7465" s="0" t="n">
        <v>0</v>
      </c>
      <c r="S7465" s="51" t="s">
        <v>2356</v>
      </c>
      <c r="T7465" s="51" t="s">
        <v>2356</v>
      </c>
      <c r="U7465" s="51" t="s">
        <v>4351</v>
      </c>
      <c r="V7465" s="51" t="s">
        <v>2365</v>
      </c>
      <c r="W7465" s="51" t="s">
        <v>12347</v>
      </c>
      <c r="X7465" s="51" t="s">
        <v>2359</v>
      </c>
    </row>
    <row r="7466" customFormat="false" ht="14.25" hidden="true" customHeight="false" outlineLevel="0" collapsed="false">
      <c r="A7466" s="49" t="s">
        <v>2349</v>
      </c>
      <c r="B7466" s="49" t="s">
        <v>2350</v>
      </c>
      <c r="C7466" s="49" t="s">
        <v>12348</v>
      </c>
      <c r="D7466" s="49" t="s">
        <v>2352</v>
      </c>
      <c r="E7466" s="49" t="s">
        <v>4351</v>
      </c>
      <c r="F7466" s="49" t="s">
        <v>4352</v>
      </c>
      <c r="G7466" s="49" t="n">
        <v>0</v>
      </c>
      <c r="H7466" s="0" t="n">
        <v>0</v>
      </c>
      <c r="M7466" s="51" t="s">
        <v>12314</v>
      </c>
      <c r="N7466" s="49" t="n">
        <v>0</v>
      </c>
      <c r="O7466" s="53" t="n">
        <v>45998.4437268519</v>
      </c>
      <c r="P7466" s="53" t="n">
        <v>46027.5117939815</v>
      </c>
      <c r="Q7466" s="53" t="n">
        <v>45998.4437268519</v>
      </c>
      <c r="R7466" s="0" t="n">
        <v>0</v>
      </c>
      <c r="S7466" s="51" t="s">
        <v>2356</v>
      </c>
      <c r="T7466" s="51" t="s">
        <v>2356</v>
      </c>
      <c r="U7466" s="51" t="s">
        <v>4351</v>
      </c>
      <c r="V7466" s="51" t="s">
        <v>2365</v>
      </c>
      <c r="W7466" s="51" t="s">
        <v>11994</v>
      </c>
      <c r="X7466" s="51" t="s">
        <v>2359</v>
      </c>
    </row>
    <row r="7467" customFormat="false" ht="14.25" hidden="true" customHeight="false" outlineLevel="0" collapsed="false">
      <c r="A7467" s="49" t="s">
        <v>2349</v>
      </c>
      <c r="B7467" s="49" t="s">
        <v>2350</v>
      </c>
      <c r="C7467" s="49" t="s">
        <v>12349</v>
      </c>
      <c r="D7467" s="49" t="s">
        <v>2352</v>
      </c>
      <c r="E7467" s="49" t="s">
        <v>4351</v>
      </c>
      <c r="F7467" s="49" t="s">
        <v>4352</v>
      </c>
      <c r="G7467" s="49" t="n">
        <v>0</v>
      </c>
      <c r="H7467" s="0" t="n">
        <v>0</v>
      </c>
      <c r="M7467" s="51" t="s">
        <v>12314</v>
      </c>
      <c r="N7467" s="49" t="n">
        <v>0</v>
      </c>
      <c r="O7467" s="53" t="n">
        <v>45998.4439583333</v>
      </c>
      <c r="P7467" s="53" t="n">
        <v>46025.4583796296</v>
      </c>
      <c r="Q7467" s="53" t="n">
        <v>45998.4439583333</v>
      </c>
      <c r="R7467" s="0" t="n">
        <v>0</v>
      </c>
      <c r="S7467" s="51" t="s">
        <v>2356</v>
      </c>
      <c r="T7467" s="51" t="s">
        <v>2356</v>
      </c>
      <c r="U7467" s="51" t="s">
        <v>4351</v>
      </c>
      <c r="V7467" s="51" t="s">
        <v>2365</v>
      </c>
      <c r="W7467" s="51" t="s">
        <v>10382</v>
      </c>
      <c r="X7467" s="51" t="s">
        <v>2359</v>
      </c>
    </row>
    <row r="7468" customFormat="false" ht="14.25" hidden="true" customHeight="false" outlineLevel="0" collapsed="false">
      <c r="A7468" s="49" t="s">
        <v>2349</v>
      </c>
      <c r="B7468" s="49" t="s">
        <v>2350</v>
      </c>
      <c r="C7468" s="49" t="s">
        <v>12350</v>
      </c>
      <c r="D7468" s="49" t="s">
        <v>2352</v>
      </c>
      <c r="E7468" s="49" t="s">
        <v>4351</v>
      </c>
      <c r="F7468" s="49" t="s">
        <v>4352</v>
      </c>
      <c r="G7468" s="49" t="n">
        <v>0</v>
      </c>
      <c r="H7468" s="0" t="n">
        <v>0</v>
      </c>
      <c r="M7468" s="51" t="s">
        <v>12314</v>
      </c>
      <c r="N7468" s="49" t="n">
        <v>0</v>
      </c>
      <c r="O7468" s="53" t="n">
        <v>45998.4441550926</v>
      </c>
      <c r="P7468" s="53" t="n">
        <v>45999.4355671296</v>
      </c>
      <c r="Q7468" s="53" t="n">
        <v>45998.4441550926</v>
      </c>
      <c r="R7468" s="0" t="n">
        <v>0</v>
      </c>
      <c r="S7468" s="51" t="s">
        <v>2356</v>
      </c>
      <c r="T7468" s="51" t="s">
        <v>2356</v>
      </c>
      <c r="U7468" s="51" t="s">
        <v>4351</v>
      </c>
      <c r="V7468" s="51" t="s">
        <v>2365</v>
      </c>
      <c r="W7468" s="51" t="s">
        <v>8272</v>
      </c>
      <c r="X7468" s="51" t="s">
        <v>2359</v>
      </c>
    </row>
    <row r="7469" customFormat="false" ht="14.25" hidden="true" customHeight="false" outlineLevel="0" collapsed="false">
      <c r="A7469" s="49" t="s">
        <v>2349</v>
      </c>
      <c r="B7469" s="49" t="s">
        <v>2350</v>
      </c>
      <c r="C7469" s="49" t="s">
        <v>12351</v>
      </c>
      <c r="D7469" s="49" t="s">
        <v>2352</v>
      </c>
      <c r="E7469" s="49" t="s">
        <v>4351</v>
      </c>
      <c r="F7469" s="49" t="s">
        <v>4352</v>
      </c>
      <c r="G7469" s="49" t="n">
        <v>0</v>
      </c>
      <c r="H7469" s="0" t="n">
        <v>0</v>
      </c>
      <c r="M7469" s="51" t="s">
        <v>12314</v>
      </c>
      <c r="N7469" s="49" t="n">
        <v>0</v>
      </c>
      <c r="O7469" s="53" t="n">
        <v>45998.4443634259</v>
      </c>
      <c r="P7469" s="53" t="n">
        <v>45999.4254166667</v>
      </c>
      <c r="Q7469" s="53" t="n">
        <v>45998.4443634259</v>
      </c>
      <c r="R7469" s="0" t="n">
        <v>0</v>
      </c>
      <c r="S7469" s="51" t="s">
        <v>2356</v>
      </c>
      <c r="T7469" s="51" t="s">
        <v>2356</v>
      </c>
      <c r="U7469" s="51" t="s">
        <v>4351</v>
      </c>
      <c r="V7469" s="51" t="s">
        <v>2365</v>
      </c>
      <c r="W7469" s="51" t="s">
        <v>5750</v>
      </c>
      <c r="X7469" s="51" t="s">
        <v>2359</v>
      </c>
    </row>
    <row r="7470" customFormat="false" ht="14.25" hidden="true" customHeight="false" outlineLevel="0" collapsed="false">
      <c r="A7470" s="49" t="s">
        <v>2349</v>
      </c>
      <c r="B7470" s="49" t="s">
        <v>2350</v>
      </c>
      <c r="C7470" s="49" t="s">
        <v>12352</v>
      </c>
      <c r="D7470" s="49" t="s">
        <v>2352</v>
      </c>
      <c r="E7470" s="49" t="s">
        <v>4351</v>
      </c>
      <c r="F7470" s="49" t="s">
        <v>4352</v>
      </c>
      <c r="G7470" s="49" t="n">
        <v>0</v>
      </c>
      <c r="H7470" s="0" t="n">
        <v>0</v>
      </c>
      <c r="M7470" s="51" t="s">
        <v>12314</v>
      </c>
      <c r="N7470" s="49" t="n">
        <v>0</v>
      </c>
      <c r="O7470" s="53" t="n">
        <v>45998.4445717593</v>
      </c>
      <c r="P7470" s="53" t="n">
        <v>45999.4261226852</v>
      </c>
      <c r="Q7470" s="53" t="n">
        <v>45998.4445717593</v>
      </c>
      <c r="R7470" s="0" t="n">
        <v>0</v>
      </c>
      <c r="S7470" s="51" t="s">
        <v>2356</v>
      </c>
      <c r="T7470" s="51" t="s">
        <v>2356</v>
      </c>
      <c r="U7470" s="51" t="s">
        <v>4351</v>
      </c>
      <c r="V7470" s="51" t="s">
        <v>2365</v>
      </c>
      <c r="W7470" s="51" t="s">
        <v>8229</v>
      </c>
      <c r="X7470" s="51" t="s">
        <v>2359</v>
      </c>
    </row>
    <row r="7471" customFormat="false" ht="14.25" hidden="true" customHeight="false" outlineLevel="0" collapsed="false">
      <c r="A7471" s="49" t="s">
        <v>2349</v>
      </c>
      <c r="B7471" s="49" t="s">
        <v>2350</v>
      </c>
      <c r="C7471" s="49" t="s">
        <v>12353</v>
      </c>
      <c r="D7471" s="49" t="s">
        <v>2352</v>
      </c>
      <c r="E7471" s="49" t="s">
        <v>4351</v>
      </c>
      <c r="F7471" s="49" t="s">
        <v>4352</v>
      </c>
      <c r="G7471" s="49" t="n">
        <v>0</v>
      </c>
      <c r="H7471" s="0" t="n">
        <v>0</v>
      </c>
      <c r="M7471" s="51" t="s">
        <v>12314</v>
      </c>
      <c r="N7471" s="49" t="n">
        <v>0</v>
      </c>
      <c r="O7471" s="53" t="n">
        <v>45998.4447916667</v>
      </c>
      <c r="P7471" s="53" t="n">
        <v>45999.4256828704</v>
      </c>
      <c r="Q7471" s="53" t="n">
        <v>45998.4447916667</v>
      </c>
      <c r="R7471" s="0" t="n">
        <v>0</v>
      </c>
      <c r="S7471" s="51" t="s">
        <v>2356</v>
      </c>
      <c r="T7471" s="51" t="s">
        <v>2356</v>
      </c>
      <c r="U7471" s="51" t="s">
        <v>4351</v>
      </c>
      <c r="V7471" s="51" t="s">
        <v>2365</v>
      </c>
      <c r="W7471" s="51" t="s">
        <v>8229</v>
      </c>
      <c r="X7471" s="51" t="s">
        <v>2359</v>
      </c>
    </row>
    <row r="7472" customFormat="false" ht="14.25" hidden="true" customHeight="false" outlineLevel="0" collapsed="false">
      <c r="A7472" s="49" t="s">
        <v>2349</v>
      </c>
      <c r="B7472" s="49" t="s">
        <v>2350</v>
      </c>
      <c r="C7472" s="49" t="s">
        <v>12354</v>
      </c>
      <c r="D7472" s="49" t="s">
        <v>2352</v>
      </c>
      <c r="E7472" s="49" t="s">
        <v>4351</v>
      </c>
      <c r="F7472" s="49" t="s">
        <v>4352</v>
      </c>
      <c r="G7472" s="49" t="n">
        <v>0</v>
      </c>
      <c r="H7472" s="0" t="n">
        <v>0</v>
      </c>
      <c r="M7472" s="51" t="s">
        <v>12314</v>
      </c>
      <c r="N7472" s="49" t="n">
        <v>0</v>
      </c>
      <c r="O7472" s="53" t="n">
        <v>45998.445</v>
      </c>
      <c r="P7472" s="53" t="n">
        <v>45999.4273148148</v>
      </c>
      <c r="Q7472" s="53" t="n">
        <v>45998.445</v>
      </c>
      <c r="R7472" s="0" t="n">
        <v>0</v>
      </c>
      <c r="S7472" s="51" t="s">
        <v>2356</v>
      </c>
      <c r="T7472" s="51" t="s">
        <v>2356</v>
      </c>
      <c r="U7472" s="51" t="s">
        <v>4351</v>
      </c>
      <c r="V7472" s="51" t="s">
        <v>2365</v>
      </c>
      <c r="W7472" s="51" t="s">
        <v>5466</v>
      </c>
      <c r="X7472" s="51" t="s">
        <v>2359</v>
      </c>
    </row>
    <row r="7473" customFormat="false" ht="14.25" hidden="true" customHeight="false" outlineLevel="0" collapsed="false">
      <c r="A7473" s="49" t="s">
        <v>2349</v>
      </c>
      <c r="B7473" s="49" t="s">
        <v>2350</v>
      </c>
      <c r="C7473" s="49" t="s">
        <v>12355</v>
      </c>
      <c r="D7473" s="49" t="s">
        <v>2352</v>
      </c>
      <c r="E7473" s="49" t="s">
        <v>4351</v>
      </c>
      <c r="F7473" s="49" t="s">
        <v>4352</v>
      </c>
      <c r="G7473" s="49" t="n">
        <v>0</v>
      </c>
      <c r="H7473" s="0" t="n">
        <v>0</v>
      </c>
      <c r="M7473" s="51" t="s">
        <v>12314</v>
      </c>
      <c r="N7473" s="49" t="n">
        <v>0</v>
      </c>
      <c r="O7473" s="53" t="n">
        <v>45998.4451736111</v>
      </c>
      <c r="P7473" s="53" t="n">
        <v>45999.4342824074</v>
      </c>
      <c r="Q7473" s="53" t="n">
        <v>45998.4451736111</v>
      </c>
      <c r="R7473" s="0" t="n">
        <v>0</v>
      </c>
      <c r="S7473" s="51" t="s">
        <v>2356</v>
      </c>
      <c r="T7473" s="51" t="s">
        <v>2356</v>
      </c>
      <c r="U7473" s="51" t="s">
        <v>4351</v>
      </c>
      <c r="V7473" s="51" t="s">
        <v>2365</v>
      </c>
      <c r="W7473" s="51" t="s">
        <v>9724</v>
      </c>
      <c r="X7473" s="51" t="s">
        <v>2359</v>
      </c>
    </row>
    <row r="7474" customFormat="false" ht="14.25" hidden="true" customHeight="false" outlineLevel="0" collapsed="false">
      <c r="A7474" s="49" t="s">
        <v>2349</v>
      </c>
      <c r="B7474" s="49" t="s">
        <v>2350</v>
      </c>
      <c r="C7474" s="49" t="s">
        <v>12356</v>
      </c>
      <c r="D7474" s="49" t="s">
        <v>2352</v>
      </c>
      <c r="E7474" s="49" t="s">
        <v>4115</v>
      </c>
      <c r="F7474" s="49" t="s">
        <v>4116</v>
      </c>
      <c r="G7474" s="49" t="n">
        <v>0</v>
      </c>
      <c r="H7474" s="0" t="n">
        <v>0</v>
      </c>
      <c r="M7474" s="51" t="s">
        <v>12357</v>
      </c>
      <c r="N7474" s="49" t="n">
        <v>0</v>
      </c>
      <c r="O7474" s="53" t="n">
        <v>46012.6428935185</v>
      </c>
      <c r="P7474" s="53" t="n">
        <v>46016.6208449074</v>
      </c>
      <c r="Q7474" s="53" t="n">
        <v>46012.6428935185</v>
      </c>
      <c r="R7474" s="0" t="n">
        <v>0</v>
      </c>
      <c r="S7474" s="51" t="s">
        <v>2356</v>
      </c>
      <c r="T7474" s="51" t="s">
        <v>2356</v>
      </c>
      <c r="U7474" s="51" t="s">
        <v>4115</v>
      </c>
      <c r="V7474" s="51" t="s">
        <v>2365</v>
      </c>
      <c r="W7474" s="51" t="s">
        <v>6860</v>
      </c>
      <c r="X7474" s="51" t="s">
        <v>2359</v>
      </c>
    </row>
    <row r="7475" customFormat="false" ht="14.25" hidden="true" customHeight="false" outlineLevel="0" collapsed="false">
      <c r="A7475" s="49" t="s">
        <v>2349</v>
      </c>
      <c r="B7475" s="49" t="s">
        <v>2350</v>
      </c>
      <c r="C7475" s="49" t="s">
        <v>12358</v>
      </c>
      <c r="D7475" s="49" t="s">
        <v>2352</v>
      </c>
      <c r="E7475" s="49" t="s">
        <v>4115</v>
      </c>
      <c r="F7475" s="49" t="s">
        <v>4116</v>
      </c>
      <c r="G7475" s="49" t="n">
        <v>0</v>
      </c>
      <c r="H7475" s="0" t="n">
        <v>0</v>
      </c>
      <c r="M7475" s="51" t="s">
        <v>12357</v>
      </c>
      <c r="N7475" s="49" t="n">
        <v>0</v>
      </c>
      <c r="O7475" s="53" t="n">
        <v>46012.6426157407</v>
      </c>
      <c r="P7475" s="53" t="n">
        <v>46025.5823726852</v>
      </c>
      <c r="Q7475" s="53" t="n">
        <v>46012.6426157407</v>
      </c>
      <c r="R7475" s="0" t="n">
        <v>0</v>
      </c>
      <c r="S7475" s="51" t="s">
        <v>2356</v>
      </c>
      <c r="T7475" s="51" t="s">
        <v>2356</v>
      </c>
      <c r="U7475" s="51" t="s">
        <v>4115</v>
      </c>
      <c r="V7475" s="51" t="s">
        <v>2365</v>
      </c>
      <c r="W7475" s="51" t="s">
        <v>8278</v>
      </c>
      <c r="X7475" s="51" t="s">
        <v>2359</v>
      </c>
    </row>
    <row r="7476" customFormat="false" ht="14.25" hidden="true" customHeight="false" outlineLevel="0" collapsed="false">
      <c r="A7476" s="49" t="s">
        <v>2349</v>
      </c>
      <c r="B7476" s="49" t="s">
        <v>2350</v>
      </c>
      <c r="C7476" s="49" t="s">
        <v>12359</v>
      </c>
      <c r="D7476" s="49" t="s">
        <v>2352</v>
      </c>
      <c r="E7476" s="49" t="s">
        <v>4115</v>
      </c>
      <c r="F7476" s="49" t="s">
        <v>4116</v>
      </c>
      <c r="G7476" s="49" t="n">
        <v>0</v>
      </c>
      <c r="H7476" s="0" t="n">
        <v>0</v>
      </c>
      <c r="M7476" s="51" t="s">
        <v>12357</v>
      </c>
      <c r="N7476" s="49" t="n">
        <v>0</v>
      </c>
      <c r="O7476" s="53" t="n">
        <v>46012.6418171296</v>
      </c>
      <c r="P7476" s="53" t="n">
        <v>46016.6220023148</v>
      </c>
      <c r="Q7476" s="53" t="n">
        <v>46012.6418171296</v>
      </c>
      <c r="R7476" s="0" t="n">
        <v>0</v>
      </c>
      <c r="S7476" s="51" t="s">
        <v>2356</v>
      </c>
      <c r="T7476" s="51" t="s">
        <v>2356</v>
      </c>
      <c r="U7476" s="51" t="s">
        <v>4115</v>
      </c>
      <c r="V7476" s="51" t="s">
        <v>2365</v>
      </c>
      <c r="W7476" s="51" t="s">
        <v>7258</v>
      </c>
      <c r="X7476" s="51" t="s">
        <v>2359</v>
      </c>
    </row>
    <row r="7477" customFormat="false" ht="14.25" hidden="true" customHeight="false" outlineLevel="0" collapsed="false">
      <c r="A7477" s="49" t="s">
        <v>2349</v>
      </c>
      <c r="B7477" s="49" t="s">
        <v>2350</v>
      </c>
      <c r="C7477" s="49" t="s">
        <v>12360</v>
      </c>
      <c r="D7477" s="49" t="s">
        <v>2352</v>
      </c>
      <c r="E7477" s="49" t="str">
        <f aca="false">"713231"</f>
        <v>713231</v>
      </c>
      <c r="F7477" s="49" t="s">
        <v>8748</v>
      </c>
      <c r="G7477" s="49" t="n">
        <v>0</v>
      </c>
      <c r="H7477" s="0" t="n">
        <v>0</v>
      </c>
      <c r="M7477" s="51" t="s">
        <v>12361</v>
      </c>
      <c r="N7477" s="49" t="n">
        <v>0</v>
      </c>
      <c r="O7477" s="53" t="n">
        <v>45995.5518055556</v>
      </c>
      <c r="P7477" s="53" t="n">
        <v>46015.3137962963</v>
      </c>
      <c r="Q7477" s="53" t="n">
        <v>45995.5518055556</v>
      </c>
      <c r="R7477" s="0" t="n">
        <v>0</v>
      </c>
      <c r="S7477" s="51" t="s">
        <v>3780</v>
      </c>
      <c r="T7477" s="51" t="s">
        <v>3780</v>
      </c>
      <c r="U7477" s="0" t="str">
        <f aca="false">"713231"</f>
        <v>713231</v>
      </c>
      <c r="V7477" s="51" t="s">
        <v>5386</v>
      </c>
      <c r="W7477" s="51" t="s">
        <v>10674</v>
      </c>
      <c r="X7477" s="51" t="s">
        <v>2359</v>
      </c>
    </row>
    <row r="7478" customFormat="false" ht="14.25" hidden="true" customHeight="false" outlineLevel="0" collapsed="false">
      <c r="A7478" s="49" t="s">
        <v>2349</v>
      </c>
      <c r="B7478" s="49" t="s">
        <v>2350</v>
      </c>
      <c r="C7478" s="49" t="s">
        <v>12362</v>
      </c>
      <c r="D7478" s="49" t="s">
        <v>2352</v>
      </c>
      <c r="E7478" s="49" t="str">
        <f aca="false">"12610361"</f>
        <v>12610361</v>
      </c>
      <c r="F7478" s="49" t="s">
        <v>10287</v>
      </c>
      <c r="G7478" s="49" t="n">
        <v>0</v>
      </c>
      <c r="H7478" s="0" t="n">
        <v>0</v>
      </c>
      <c r="M7478" s="51" t="s">
        <v>12363</v>
      </c>
      <c r="N7478" s="49" t="n">
        <v>0</v>
      </c>
      <c r="O7478" s="53" t="n">
        <v>45988.6094328704</v>
      </c>
      <c r="P7478" s="53" t="n">
        <v>45992.6846643519</v>
      </c>
      <c r="Q7478" s="53" t="n">
        <v>45988.6094328704</v>
      </c>
      <c r="R7478" s="0" t="n">
        <v>0</v>
      </c>
      <c r="S7478" s="51" t="s">
        <v>2401</v>
      </c>
      <c r="T7478" s="51" t="s">
        <v>2401</v>
      </c>
      <c r="U7478" s="0" t="str">
        <f aca="false">"12610361"</f>
        <v>12610361</v>
      </c>
      <c r="V7478" s="51" t="s">
        <v>2365</v>
      </c>
      <c r="W7478" s="51" t="s">
        <v>10140</v>
      </c>
      <c r="X7478" s="51" t="s">
        <v>2359</v>
      </c>
    </row>
    <row r="7479" customFormat="false" ht="14.25" hidden="true" customHeight="false" outlineLevel="0" collapsed="false">
      <c r="A7479" s="49" t="s">
        <v>2349</v>
      </c>
      <c r="B7479" s="49" t="s">
        <v>2350</v>
      </c>
      <c r="C7479" s="49" t="s">
        <v>12364</v>
      </c>
      <c r="D7479" s="49" t="s">
        <v>2352</v>
      </c>
      <c r="E7479" s="49" t="str">
        <f aca="false">"12428864"</f>
        <v>12428864</v>
      </c>
      <c r="F7479" s="49" t="s">
        <v>4251</v>
      </c>
      <c r="G7479" s="49" t="n">
        <v>0</v>
      </c>
      <c r="H7479" s="0" t="n">
        <v>0</v>
      </c>
      <c r="M7479" s="51" t="s">
        <v>12363</v>
      </c>
      <c r="N7479" s="49" t="n">
        <v>0</v>
      </c>
      <c r="O7479" s="53" t="n">
        <v>45988.6084490741</v>
      </c>
      <c r="P7479" s="53" t="n">
        <v>45991.446724537</v>
      </c>
      <c r="Q7479" s="53" t="n">
        <v>45988.6084490741</v>
      </c>
      <c r="R7479" s="0" t="n">
        <v>0</v>
      </c>
      <c r="S7479" s="51" t="s">
        <v>2401</v>
      </c>
      <c r="T7479" s="51" t="s">
        <v>2401</v>
      </c>
      <c r="U7479" s="0" t="str">
        <f aca="false">"12428864"</f>
        <v>12428864</v>
      </c>
      <c r="V7479" s="51" t="s">
        <v>2365</v>
      </c>
      <c r="W7479" s="51" t="s">
        <v>11248</v>
      </c>
      <c r="X7479" s="51" t="s">
        <v>2359</v>
      </c>
    </row>
    <row r="7480" customFormat="false" ht="14.25" hidden="true" customHeight="false" outlineLevel="0" collapsed="false">
      <c r="A7480" s="49" t="s">
        <v>2349</v>
      </c>
      <c r="B7480" s="49" t="s">
        <v>2350</v>
      </c>
      <c r="C7480" s="49" t="s">
        <v>12365</v>
      </c>
      <c r="D7480" s="49" t="s">
        <v>2352</v>
      </c>
      <c r="E7480" s="49" t="str">
        <f aca="false">"12428864"</f>
        <v>12428864</v>
      </c>
      <c r="F7480" s="49" t="s">
        <v>4251</v>
      </c>
      <c r="G7480" s="49" t="n">
        <v>0</v>
      </c>
      <c r="H7480" s="0" t="n">
        <v>0</v>
      </c>
      <c r="M7480" s="51" t="s">
        <v>12363</v>
      </c>
      <c r="N7480" s="49" t="n">
        <v>0</v>
      </c>
      <c r="O7480" s="53" t="n">
        <v>45988.6080324074</v>
      </c>
      <c r="P7480" s="53" t="n">
        <v>46016.659212963</v>
      </c>
      <c r="Q7480" s="53" t="n">
        <v>45988.6080324074</v>
      </c>
      <c r="R7480" s="0" t="n">
        <v>0</v>
      </c>
      <c r="S7480" s="51" t="s">
        <v>2401</v>
      </c>
      <c r="T7480" s="51" t="s">
        <v>2401</v>
      </c>
      <c r="U7480" s="0" t="str">
        <f aca="false">"12428864"</f>
        <v>12428864</v>
      </c>
      <c r="V7480" s="51" t="s">
        <v>2365</v>
      </c>
      <c r="W7480" s="51" t="s">
        <v>5116</v>
      </c>
      <c r="X7480" s="51" t="s">
        <v>2359</v>
      </c>
    </row>
    <row r="7481" customFormat="false" ht="14.25" hidden="true" customHeight="false" outlineLevel="0" collapsed="false">
      <c r="A7481" s="49" t="s">
        <v>2349</v>
      </c>
      <c r="B7481" s="49" t="s">
        <v>2350</v>
      </c>
      <c r="C7481" s="49" t="s">
        <v>12366</v>
      </c>
      <c r="D7481" s="49" t="s">
        <v>2352</v>
      </c>
      <c r="E7481" s="49" t="str">
        <f aca="false">"12610361"</f>
        <v>12610361</v>
      </c>
      <c r="F7481" s="49" t="s">
        <v>10287</v>
      </c>
      <c r="G7481" s="49" t="n">
        <v>0</v>
      </c>
      <c r="H7481" s="0" t="n">
        <v>0</v>
      </c>
      <c r="M7481" s="51" t="s">
        <v>12363</v>
      </c>
      <c r="N7481" s="49" t="n">
        <v>0</v>
      </c>
      <c r="O7481" s="53" t="n">
        <v>45988.6098148148</v>
      </c>
      <c r="P7481" s="53" t="n">
        <v>45992.6882638889</v>
      </c>
      <c r="Q7481" s="53" t="n">
        <v>45988.6098148148</v>
      </c>
      <c r="R7481" s="0" t="n">
        <v>0</v>
      </c>
      <c r="S7481" s="51" t="s">
        <v>2401</v>
      </c>
      <c r="T7481" s="51" t="s">
        <v>2401</v>
      </c>
      <c r="U7481" s="0" t="str">
        <f aca="false">"12610361"</f>
        <v>12610361</v>
      </c>
      <c r="V7481" s="51" t="s">
        <v>2365</v>
      </c>
      <c r="W7481" s="51" t="s">
        <v>4987</v>
      </c>
      <c r="X7481" s="51" t="s">
        <v>2359</v>
      </c>
    </row>
    <row r="7482" customFormat="false" ht="14.25" hidden="true" customHeight="false" outlineLevel="0" collapsed="false">
      <c r="A7482" s="49" t="s">
        <v>2349</v>
      </c>
      <c r="B7482" s="49" t="s">
        <v>2350</v>
      </c>
      <c r="C7482" s="49" t="s">
        <v>12367</v>
      </c>
      <c r="D7482" s="49" t="s">
        <v>2352</v>
      </c>
      <c r="E7482" s="49" t="str">
        <f aca="false">"12610361"</f>
        <v>12610361</v>
      </c>
      <c r="F7482" s="49" t="s">
        <v>10287</v>
      </c>
      <c r="G7482" s="49" t="n">
        <v>0</v>
      </c>
      <c r="H7482" s="0" t="n">
        <v>0</v>
      </c>
      <c r="M7482" s="51" t="s">
        <v>12363</v>
      </c>
      <c r="N7482" s="49" t="n">
        <v>0</v>
      </c>
      <c r="O7482" s="53" t="n">
        <v>45988.6096180556</v>
      </c>
      <c r="P7482" s="53" t="n">
        <v>45992.6874074074</v>
      </c>
      <c r="Q7482" s="53" t="n">
        <v>45988.6096180556</v>
      </c>
      <c r="R7482" s="0" t="n">
        <v>0</v>
      </c>
      <c r="S7482" s="51" t="s">
        <v>2401</v>
      </c>
      <c r="T7482" s="51" t="s">
        <v>2401</v>
      </c>
      <c r="U7482" s="0" t="str">
        <f aca="false">"12610361"</f>
        <v>12610361</v>
      </c>
      <c r="V7482" s="51" t="s">
        <v>2365</v>
      </c>
      <c r="W7482" s="51" t="s">
        <v>4243</v>
      </c>
      <c r="X7482" s="51" t="s">
        <v>2359</v>
      </c>
    </row>
    <row r="7483" customFormat="false" ht="14.25" hidden="true" customHeight="false" outlineLevel="0" collapsed="false">
      <c r="A7483" s="49" t="s">
        <v>2349</v>
      </c>
      <c r="B7483" s="49" t="s">
        <v>2350</v>
      </c>
      <c r="C7483" s="49" t="s">
        <v>12368</v>
      </c>
      <c r="D7483" s="49" t="s">
        <v>2352</v>
      </c>
      <c r="E7483" s="49" t="str">
        <f aca="false">"12610361"</f>
        <v>12610361</v>
      </c>
      <c r="F7483" s="49" t="s">
        <v>10287</v>
      </c>
      <c r="G7483" s="49" t="n">
        <v>0</v>
      </c>
      <c r="H7483" s="0" t="n">
        <v>0</v>
      </c>
      <c r="M7483" s="51" t="s">
        <v>12363</v>
      </c>
      <c r="N7483" s="49" t="n">
        <v>0</v>
      </c>
      <c r="O7483" s="53" t="n">
        <v>45988.6090162037</v>
      </c>
      <c r="P7483" s="53" t="n">
        <v>45992.6862731481</v>
      </c>
      <c r="Q7483" s="53" t="n">
        <v>45988.6090162037</v>
      </c>
      <c r="R7483" s="0" t="n">
        <v>0</v>
      </c>
      <c r="S7483" s="51" t="s">
        <v>2401</v>
      </c>
      <c r="T7483" s="51" t="s">
        <v>2401</v>
      </c>
      <c r="U7483" s="0" t="str">
        <f aca="false">"12610361"</f>
        <v>12610361</v>
      </c>
      <c r="V7483" s="51" t="s">
        <v>2365</v>
      </c>
      <c r="W7483" s="51" t="s">
        <v>11026</v>
      </c>
      <c r="X7483" s="51" t="s">
        <v>2359</v>
      </c>
    </row>
    <row r="7484" customFormat="false" ht="14.25" hidden="true" customHeight="false" outlineLevel="0" collapsed="false">
      <c r="A7484" s="49" t="s">
        <v>2349</v>
      </c>
      <c r="B7484" s="49" t="s">
        <v>2350</v>
      </c>
      <c r="C7484" s="49" t="s">
        <v>12369</v>
      </c>
      <c r="D7484" s="49" t="s">
        <v>2352</v>
      </c>
      <c r="E7484" s="49" t="str">
        <f aca="false">"12610361"</f>
        <v>12610361</v>
      </c>
      <c r="F7484" s="49" t="s">
        <v>10287</v>
      </c>
      <c r="G7484" s="49" t="n">
        <v>0</v>
      </c>
      <c r="H7484" s="0" t="n">
        <v>0</v>
      </c>
      <c r="M7484" s="51" t="s">
        <v>12363</v>
      </c>
      <c r="N7484" s="49" t="n">
        <v>0</v>
      </c>
      <c r="O7484" s="53" t="n">
        <v>45988.6092592593</v>
      </c>
      <c r="P7484" s="53" t="n">
        <v>45992.6853472222</v>
      </c>
      <c r="Q7484" s="53" t="n">
        <v>45988.6092592593</v>
      </c>
      <c r="R7484" s="0" t="n">
        <v>0</v>
      </c>
      <c r="S7484" s="51" t="s">
        <v>2401</v>
      </c>
      <c r="T7484" s="51" t="s">
        <v>2401</v>
      </c>
      <c r="U7484" s="0" t="str">
        <f aca="false">"12610361"</f>
        <v>12610361</v>
      </c>
      <c r="V7484" s="51" t="s">
        <v>2365</v>
      </c>
      <c r="W7484" s="51" t="s">
        <v>10135</v>
      </c>
      <c r="X7484" s="51" t="s">
        <v>2359</v>
      </c>
    </row>
    <row r="7485" customFormat="false" ht="14.25" hidden="true" customHeight="false" outlineLevel="0" collapsed="false">
      <c r="A7485" s="49" t="s">
        <v>2349</v>
      </c>
      <c r="B7485" s="49" t="s">
        <v>2350</v>
      </c>
      <c r="C7485" s="49" t="s">
        <v>12370</v>
      </c>
      <c r="D7485" s="49" t="s">
        <v>2352</v>
      </c>
      <c r="E7485" s="49" t="str">
        <f aca="false">"12428864"</f>
        <v>12428864</v>
      </c>
      <c r="F7485" s="49" t="s">
        <v>4251</v>
      </c>
      <c r="G7485" s="49" t="n">
        <v>0</v>
      </c>
      <c r="H7485" s="0" t="n">
        <v>0</v>
      </c>
      <c r="M7485" s="51" t="s">
        <v>12363</v>
      </c>
      <c r="N7485" s="49" t="n">
        <v>0</v>
      </c>
      <c r="O7485" s="53" t="n">
        <v>45988.6078125</v>
      </c>
      <c r="P7485" s="53" t="n">
        <v>46034.6363078704</v>
      </c>
      <c r="Q7485" s="53" t="n">
        <v>45988.6078125</v>
      </c>
      <c r="R7485" s="0" t="n">
        <v>0</v>
      </c>
      <c r="S7485" s="51" t="s">
        <v>2401</v>
      </c>
      <c r="T7485" s="51" t="s">
        <v>2401</v>
      </c>
      <c r="U7485" s="0" t="str">
        <f aca="false">"12428864"</f>
        <v>12428864</v>
      </c>
      <c r="V7485" s="51" t="s">
        <v>2365</v>
      </c>
      <c r="W7485" s="51" t="s">
        <v>6582</v>
      </c>
      <c r="X7485" s="51" t="s">
        <v>2359</v>
      </c>
    </row>
    <row r="7486" customFormat="false" ht="14.25" hidden="true" customHeight="false" outlineLevel="0" collapsed="false">
      <c r="A7486" s="49" t="s">
        <v>2349</v>
      </c>
      <c r="B7486" s="49" t="s">
        <v>2350</v>
      </c>
      <c r="C7486" s="49" t="s">
        <v>12371</v>
      </c>
      <c r="D7486" s="49" t="s">
        <v>2352</v>
      </c>
      <c r="E7486" s="49" t="str">
        <f aca="false">"12428864"</f>
        <v>12428864</v>
      </c>
      <c r="F7486" s="49" t="s">
        <v>4251</v>
      </c>
      <c r="G7486" s="49" t="n">
        <v>0</v>
      </c>
      <c r="H7486" s="0" t="n">
        <v>0</v>
      </c>
      <c r="M7486" s="51" t="s">
        <v>12363</v>
      </c>
      <c r="N7486" s="49" t="n">
        <v>0</v>
      </c>
      <c r="O7486" s="53" t="n">
        <v>45988.607662037</v>
      </c>
      <c r="P7486" s="53" t="n">
        <v>46000.1488541667</v>
      </c>
      <c r="Q7486" s="53" t="n">
        <v>45988.607662037</v>
      </c>
      <c r="R7486" s="0" t="n">
        <v>0</v>
      </c>
      <c r="S7486" s="51" t="s">
        <v>2401</v>
      </c>
      <c r="T7486" s="51" t="s">
        <v>2401</v>
      </c>
      <c r="U7486" s="0" t="str">
        <f aca="false">"12428864"</f>
        <v>12428864</v>
      </c>
      <c r="V7486" s="51" t="s">
        <v>2365</v>
      </c>
      <c r="W7486" s="51" t="s">
        <v>4978</v>
      </c>
      <c r="X7486" s="51" t="s">
        <v>2359</v>
      </c>
    </row>
    <row r="7487" customFormat="false" ht="14.25" hidden="true" customHeight="false" outlineLevel="0" collapsed="false">
      <c r="A7487" s="49" t="s">
        <v>2349</v>
      </c>
      <c r="B7487" s="49" t="s">
        <v>2350</v>
      </c>
      <c r="C7487" s="49" t="s">
        <v>12372</v>
      </c>
      <c r="D7487" s="49" t="s">
        <v>2352</v>
      </c>
      <c r="E7487" s="49" t="str">
        <f aca="false">"8908020441070"</f>
        <v>8908020441070</v>
      </c>
      <c r="F7487" s="49" t="s">
        <v>5404</v>
      </c>
      <c r="G7487" s="49" t="n">
        <v>0</v>
      </c>
      <c r="H7487" s="0" t="n">
        <v>0</v>
      </c>
      <c r="M7487" s="51" t="s">
        <v>12373</v>
      </c>
      <c r="N7487" s="49" t="n">
        <v>0</v>
      </c>
      <c r="O7487" s="53" t="n">
        <v>46000.4535300926</v>
      </c>
      <c r="P7487" s="53" t="n">
        <v>46005.3907986111</v>
      </c>
      <c r="Q7487" s="53" t="n">
        <v>46000.4535300926</v>
      </c>
      <c r="R7487" s="0" t="n">
        <v>0</v>
      </c>
      <c r="S7487" s="51" t="s">
        <v>2356</v>
      </c>
      <c r="T7487" s="51" t="s">
        <v>2356</v>
      </c>
      <c r="U7487" s="0" t="str">
        <f aca="false">"8908020441070"</f>
        <v>8908020441070</v>
      </c>
      <c r="V7487" s="51" t="s">
        <v>5386</v>
      </c>
      <c r="W7487" s="51" t="s">
        <v>5750</v>
      </c>
      <c r="X7487" s="51" t="s">
        <v>2359</v>
      </c>
    </row>
    <row r="7488" customFormat="false" ht="17.55" hidden="true" customHeight="false" outlineLevel="0" collapsed="false">
      <c r="A7488" s="49" t="s">
        <v>2349</v>
      </c>
      <c r="B7488" s="49" t="s">
        <v>2350</v>
      </c>
      <c r="C7488" s="49" t="s">
        <v>12374</v>
      </c>
      <c r="D7488" s="49" t="s">
        <v>2352</v>
      </c>
      <c r="E7488" s="49" t="s">
        <v>10072</v>
      </c>
      <c r="F7488" s="49" t="s">
        <v>10073</v>
      </c>
      <c r="G7488" s="49" t="n">
        <v>0</v>
      </c>
      <c r="H7488" s="0" t="n">
        <v>0</v>
      </c>
      <c r="M7488" s="51" t="s">
        <v>12373</v>
      </c>
      <c r="N7488" s="49" t="n">
        <v>0</v>
      </c>
      <c r="O7488" s="53" t="n">
        <v>46000.4522453704</v>
      </c>
      <c r="P7488" s="53" t="n">
        <v>46004.4223958333</v>
      </c>
      <c r="Q7488" s="53" t="n">
        <v>46000.4522453704</v>
      </c>
      <c r="R7488" s="0" t="n">
        <v>0</v>
      </c>
      <c r="S7488" s="51" t="s">
        <v>2356</v>
      </c>
      <c r="T7488" s="51" t="s">
        <v>2356</v>
      </c>
      <c r="U7488" s="51" t="s">
        <v>10072</v>
      </c>
      <c r="V7488" s="51" t="s">
        <v>2365</v>
      </c>
      <c r="W7488" s="51" t="s">
        <v>4614</v>
      </c>
      <c r="X7488" s="51" t="s">
        <v>2359</v>
      </c>
    </row>
    <row r="7489" customFormat="false" ht="14.25" hidden="true" customHeight="false" outlineLevel="0" collapsed="false">
      <c r="A7489" s="49" t="s">
        <v>2349</v>
      </c>
      <c r="B7489" s="49" t="s">
        <v>2350</v>
      </c>
      <c r="C7489" s="49" t="s">
        <v>12375</v>
      </c>
      <c r="D7489" s="49" t="s">
        <v>2352</v>
      </c>
      <c r="E7489" s="49" t="str">
        <f aca="false">"8908020441070"</f>
        <v>8908020441070</v>
      </c>
      <c r="F7489" s="49" t="s">
        <v>5404</v>
      </c>
      <c r="G7489" s="49" t="n">
        <v>0</v>
      </c>
      <c r="H7489" s="0" t="n">
        <v>0</v>
      </c>
      <c r="M7489" s="51" t="s">
        <v>12373</v>
      </c>
      <c r="N7489" s="49" t="n">
        <v>0</v>
      </c>
      <c r="O7489" s="53" t="n">
        <v>46000.4542939815</v>
      </c>
      <c r="P7489" s="53" t="n">
        <v>46013.3926157407</v>
      </c>
      <c r="Q7489" s="53" t="n">
        <v>46000.4542939815</v>
      </c>
      <c r="R7489" s="0" t="n">
        <v>0</v>
      </c>
      <c r="S7489" s="51" t="s">
        <v>2356</v>
      </c>
      <c r="T7489" s="51" t="s">
        <v>2356</v>
      </c>
      <c r="U7489" s="0" t="str">
        <f aca="false">"8908020441070"</f>
        <v>8908020441070</v>
      </c>
      <c r="V7489" s="51" t="s">
        <v>5386</v>
      </c>
      <c r="W7489" s="51" t="s">
        <v>7405</v>
      </c>
      <c r="X7489" s="51" t="s">
        <v>2359</v>
      </c>
    </row>
    <row r="7490" customFormat="false" ht="14.25" hidden="true" customHeight="false" outlineLevel="0" collapsed="false">
      <c r="A7490" s="49" t="s">
        <v>2349</v>
      </c>
      <c r="B7490" s="49" t="s">
        <v>2350</v>
      </c>
      <c r="C7490" s="49" t="s">
        <v>12376</v>
      </c>
      <c r="D7490" s="49" t="s">
        <v>2352</v>
      </c>
      <c r="E7490" s="49" t="str">
        <f aca="false">"8908020441070"</f>
        <v>8908020441070</v>
      </c>
      <c r="F7490" s="49" t="s">
        <v>5404</v>
      </c>
      <c r="G7490" s="49" t="n">
        <v>0</v>
      </c>
      <c r="H7490" s="0" t="n">
        <v>0</v>
      </c>
      <c r="M7490" s="51" t="s">
        <v>12373</v>
      </c>
      <c r="N7490" s="49" t="n">
        <v>0</v>
      </c>
      <c r="O7490" s="53" t="n">
        <v>46000.4549652778</v>
      </c>
      <c r="P7490" s="53" t="n">
        <v>46004.4222337963</v>
      </c>
      <c r="Q7490" s="53" t="n">
        <v>46000.4549652778</v>
      </c>
      <c r="R7490" s="0" t="n">
        <v>0</v>
      </c>
      <c r="S7490" s="51" t="s">
        <v>2356</v>
      </c>
      <c r="T7490" s="51" t="s">
        <v>2356</v>
      </c>
      <c r="U7490" s="0" t="str">
        <f aca="false">"8908020441070"</f>
        <v>8908020441070</v>
      </c>
      <c r="V7490" s="51" t="s">
        <v>5386</v>
      </c>
      <c r="W7490" s="51" t="s">
        <v>5968</v>
      </c>
      <c r="X7490" s="51" t="s">
        <v>2359</v>
      </c>
    </row>
    <row r="7491" customFormat="false" ht="14.25" hidden="true" customHeight="false" outlineLevel="0" collapsed="false">
      <c r="A7491" s="49" t="s">
        <v>2349</v>
      </c>
      <c r="B7491" s="49" t="s">
        <v>2350</v>
      </c>
      <c r="C7491" s="49" t="s">
        <v>12377</v>
      </c>
      <c r="D7491" s="49" t="s">
        <v>2352</v>
      </c>
      <c r="E7491" s="49" t="str">
        <f aca="false">"8908020441070"</f>
        <v>8908020441070</v>
      </c>
      <c r="F7491" s="49" t="s">
        <v>5404</v>
      </c>
      <c r="G7491" s="49" t="n">
        <v>0</v>
      </c>
      <c r="H7491" s="0" t="n">
        <v>0</v>
      </c>
      <c r="M7491" s="51" t="s">
        <v>12373</v>
      </c>
      <c r="N7491" s="49" t="n">
        <v>0</v>
      </c>
      <c r="O7491" s="53" t="n">
        <v>46000.4528356481</v>
      </c>
      <c r="P7491" s="53" t="n">
        <v>46002.3471296296</v>
      </c>
      <c r="Q7491" s="53" t="n">
        <v>46000.4528356481</v>
      </c>
      <c r="R7491" s="0" t="n">
        <v>0</v>
      </c>
      <c r="S7491" s="51" t="s">
        <v>2356</v>
      </c>
      <c r="T7491" s="51" t="s">
        <v>2356</v>
      </c>
      <c r="U7491" s="0" t="str">
        <f aca="false">"8908020441070"</f>
        <v>8908020441070</v>
      </c>
      <c r="V7491" s="51" t="s">
        <v>5386</v>
      </c>
      <c r="W7491" s="51" t="s">
        <v>8229</v>
      </c>
      <c r="X7491" s="51" t="s">
        <v>2359</v>
      </c>
    </row>
    <row r="7492" customFormat="false" ht="17.55" hidden="true" customHeight="false" outlineLevel="0" collapsed="false">
      <c r="A7492" s="49" t="s">
        <v>2349</v>
      </c>
      <c r="B7492" s="49" t="s">
        <v>2350</v>
      </c>
      <c r="C7492" s="49" t="s">
        <v>12378</v>
      </c>
      <c r="D7492" s="49" t="s">
        <v>2352</v>
      </c>
      <c r="E7492" s="49" t="s">
        <v>10077</v>
      </c>
      <c r="F7492" s="49" t="s">
        <v>10078</v>
      </c>
      <c r="G7492" s="49" t="n">
        <v>0</v>
      </c>
      <c r="H7492" s="0" t="n">
        <v>0</v>
      </c>
      <c r="M7492" s="51" t="s">
        <v>12373</v>
      </c>
      <c r="N7492" s="49" t="n">
        <v>0</v>
      </c>
      <c r="O7492" s="53" t="n">
        <v>46000.451400463</v>
      </c>
      <c r="P7492" s="53" t="n">
        <v>46037.5930555556</v>
      </c>
      <c r="Q7492" s="53" t="n">
        <v>46000.451400463</v>
      </c>
      <c r="R7492" s="0" t="n">
        <v>0</v>
      </c>
      <c r="S7492" s="51" t="s">
        <v>2356</v>
      </c>
      <c r="T7492" s="51" t="s">
        <v>2356</v>
      </c>
      <c r="U7492" s="51" t="s">
        <v>10077</v>
      </c>
      <c r="V7492" s="51" t="s">
        <v>2365</v>
      </c>
      <c r="W7492" s="51" t="s">
        <v>5490</v>
      </c>
      <c r="X7492" s="51" t="s">
        <v>2359</v>
      </c>
    </row>
    <row r="7493" customFormat="false" ht="14.25" hidden="true" customHeight="false" outlineLevel="0" collapsed="false">
      <c r="A7493" s="49" t="s">
        <v>2349</v>
      </c>
      <c r="B7493" s="49" t="s">
        <v>2350</v>
      </c>
      <c r="C7493" s="49" t="s">
        <v>12379</v>
      </c>
      <c r="D7493" s="49" t="s">
        <v>2352</v>
      </c>
      <c r="E7493" s="49" t="str">
        <f aca="false">"5060458890191"</f>
        <v>5060458890191</v>
      </c>
      <c r="F7493" s="49" t="s">
        <v>3656</v>
      </c>
      <c r="G7493" s="49" t="n">
        <v>0</v>
      </c>
      <c r="H7493" s="0" t="n">
        <v>0</v>
      </c>
      <c r="M7493" s="51" t="s">
        <v>12380</v>
      </c>
      <c r="N7493" s="49" t="n">
        <v>0</v>
      </c>
      <c r="O7493" s="53" t="n">
        <v>46012.6659375</v>
      </c>
      <c r="P7493" s="53" t="n">
        <v>46015.9553356482</v>
      </c>
      <c r="Q7493" s="53" t="n">
        <v>46012.6659375</v>
      </c>
      <c r="R7493" s="0" t="n">
        <v>0</v>
      </c>
      <c r="S7493" s="51" t="s">
        <v>2398</v>
      </c>
      <c r="T7493" s="51" t="s">
        <v>2398</v>
      </c>
      <c r="U7493" s="0" t="str">
        <f aca="false">"5060458890191"</f>
        <v>5060458890191</v>
      </c>
      <c r="V7493" s="51" t="s">
        <v>2142</v>
      </c>
      <c r="W7493" s="51" t="s">
        <v>4202</v>
      </c>
      <c r="X7493" s="51" t="s">
        <v>2359</v>
      </c>
    </row>
    <row r="7494" customFormat="false" ht="14.25" hidden="true" customHeight="false" outlineLevel="0" collapsed="false">
      <c r="A7494" s="49" t="s">
        <v>2349</v>
      </c>
      <c r="B7494" s="49" t="s">
        <v>2350</v>
      </c>
      <c r="C7494" s="49" t="s">
        <v>12381</v>
      </c>
      <c r="D7494" s="49" t="s">
        <v>2352</v>
      </c>
      <c r="E7494" s="49" t="str">
        <f aca="false">"5060458890191"</f>
        <v>5060458890191</v>
      </c>
      <c r="F7494" s="49" t="s">
        <v>3656</v>
      </c>
      <c r="G7494" s="49" t="n">
        <v>0</v>
      </c>
      <c r="H7494" s="0" t="n">
        <v>0</v>
      </c>
      <c r="M7494" s="51" t="s">
        <v>12380</v>
      </c>
      <c r="N7494" s="49" t="n">
        <v>0</v>
      </c>
      <c r="O7494" s="53" t="n">
        <v>46012.6656828704</v>
      </c>
      <c r="P7494" s="53" t="n">
        <v>46015.9524537037</v>
      </c>
      <c r="Q7494" s="53" t="n">
        <v>46012.6656828704</v>
      </c>
      <c r="R7494" s="0" t="n">
        <v>0</v>
      </c>
      <c r="S7494" s="51" t="s">
        <v>2398</v>
      </c>
      <c r="T7494" s="51" t="s">
        <v>2398</v>
      </c>
      <c r="U7494" s="0" t="str">
        <f aca="false">"5060458890191"</f>
        <v>5060458890191</v>
      </c>
      <c r="V7494" s="51" t="s">
        <v>2142</v>
      </c>
      <c r="W7494" s="51" t="s">
        <v>10097</v>
      </c>
      <c r="X7494" s="51" t="s">
        <v>2359</v>
      </c>
    </row>
    <row r="7495" customFormat="false" ht="14.25" hidden="true" customHeight="false" outlineLevel="0" collapsed="false">
      <c r="A7495" s="49" t="s">
        <v>2349</v>
      </c>
      <c r="B7495" s="49" t="s">
        <v>2350</v>
      </c>
      <c r="C7495" s="49" t="s">
        <v>12382</v>
      </c>
      <c r="D7495" s="49" t="s">
        <v>2352</v>
      </c>
      <c r="E7495" s="49" t="str">
        <f aca="false">"5060458890191"</f>
        <v>5060458890191</v>
      </c>
      <c r="F7495" s="49" t="s">
        <v>3656</v>
      </c>
      <c r="G7495" s="49" t="n">
        <v>0</v>
      </c>
      <c r="H7495" s="0" t="n">
        <v>0</v>
      </c>
      <c r="M7495" s="51" t="s">
        <v>12380</v>
      </c>
      <c r="N7495" s="49" t="n">
        <v>0</v>
      </c>
      <c r="O7495" s="53" t="n">
        <v>46012.6653935185</v>
      </c>
      <c r="P7495" s="53" t="n">
        <v>46015.9533564815</v>
      </c>
      <c r="Q7495" s="53" t="n">
        <v>46012.6653935185</v>
      </c>
      <c r="R7495" s="0" t="n">
        <v>0</v>
      </c>
      <c r="S7495" s="51" t="s">
        <v>2398</v>
      </c>
      <c r="T7495" s="51" t="s">
        <v>2398</v>
      </c>
      <c r="U7495" s="0" t="str">
        <f aca="false">"5060458890191"</f>
        <v>5060458890191</v>
      </c>
      <c r="V7495" s="51" t="s">
        <v>2142</v>
      </c>
      <c r="W7495" s="51" t="s">
        <v>11664</v>
      </c>
      <c r="X7495" s="51" t="s">
        <v>2359</v>
      </c>
    </row>
    <row r="7496" customFormat="false" ht="14.25" hidden="true" customHeight="false" outlineLevel="0" collapsed="false">
      <c r="A7496" s="49" t="s">
        <v>2349</v>
      </c>
      <c r="B7496" s="49" t="s">
        <v>2350</v>
      </c>
      <c r="C7496" s="49" t="s">
        <v>12383</v>
      </c>
      <c r="D7496" s="49" t="s">
        <v>2352</v>
      </c>
      <c r="E7496" s="49" t="str">
        <f aca="false">"5060458890191"</f>
        <v>5060458890191</v>
      </c>
      <c r="F7496" s="49" t="s">
        <v>3656</v>
      </c>
      <c r="G7496" s="49" t="n">
        <v>0</v>
      </c>
      <c r="H7496" s="0" t="n">
        <v>0</v>
      </c>
      <c r="M7496" s="51" t="s">
        <v>12380</v>
      </c>
      <c r="N7496" s="49" t="n">
        <v>0</v>
      </c>
      <c r="O7496" s="53" t="n">
        <v>46012.6650231482</v>
      </c>
      <c r="P7496" s="53" t="n">
        <v>46015.9504166667</v>
      </c>
      <c r="Q7496" s="53" t="n">
        <v>46012.6650231482</v>
      </c>
      <c r="R7496" s="0" t="n">
        <v>0</v>
      </c>
      <c r="S7496" s="51" t="s">
        <v>2398</v>
      </c>
      <c r="T7496" s="51" t="s">
        <v>2398</v>
      </c>
      <c r="U7496" s="0" t="str">
        <f aca="false">"5060458890191"</f>
        <v>5060458890191</v>
      </c>
      <c r="V7496" s="51" t="s">
        <v>2142</v>
      </c>
      <c r="W7496" s="51" t="s">
        <v>4831</v>
      </c>
      <c r="X7496" s="51" t="s">
        <v>2359</v>
      </c>
    </row>
    <row r="7497" customFormat="false" ht="14.25" hidden="true" customHeight="false" outlineLevel="0" collapsed="false">
      <c r="A7497" s="49" t="s">
        <v>2349</v>
      </c>
      <c r="B7497" s="49" t="s">
        <v>2350</v>
      </c>
      <c r="C7497" s="49" t="s">
        <v>12384</v>
      </c>
      <c r="D7497" s="49" t="s">
        <v>2352</v>
      </c>
      <c r="E7497" s="49" t="str">
        <f aca="false">"5060458890191"</f>
        <v>5060458890191</v>
      </c>
      <c r="F7497" s="49" t="s">
        <v>3656</v>
      </c>
      <c r="G7497" s="49" t="n">
        <v>0</v>
      </c>
      <c r="H7497" s="0" t="n">
        <v>0</v>
      </c>
      <c r="M7497" s="51" t="s">
        <v>12380</v>
      </c>
      <c r="N7497" s="49" t="n">
        <v>0</v>
      </c>
      <c r="O7497" s="53" t="n">
        <v>46012.6646759259</v>
      </c>
      <c r="P7497" s="53" t="n">
        <v>46015.9512847222</v>
      </c>
      <c r="Q7497" s="53" t="n">
        <v>46012.6646759259</v>
      </c>
      <c r="R7497" s="0" t="n">
        <v>0</v>
      </c>
      <c r="S7497" s="51" t="s">
        <v>2398</v>
      </c>
      <c r="T7497" s="51" t="s">
        <v>2398</v>
      </c>
      <c r="U7497" s="0" t="str">
        <f aca="false">"5060458890191"</f>
        <v>5060458890191</v>
      </c>
      <c r="V7497" s="51" t="s">
        <v>2142</v>
      </c>
      <c r="W7497" s="51" t="s">
        <v>10844</v>
      </c>
      <c r="X7497" s="51" t="s">
        <v>2359</v>
      </c>
    </row>
    <row r="7498" customFormat="false" ht="14.25" hidden="true" customHeight="false" outlineLevel="0" collapsed="false">
      <c r="A7498" s="49" t="s">
        <v>2349</v>
      </c>
      <c r="B7498" s="49" t="s">
        <v>2350</v>
      </c>
      <c r="C7498" s="49" t="s">
        <v>12385</v>
      </c>
      <c r="D7498" s="49" t="s">
        <v>2352</v>
      </c>
      <c r="E7498" s="49" t="str">
        <f aca="false">"5060458890191"</f>
        <v>5060458890191</v>
      </c>
      <c r="F7498" s="49" t="s">
        <v>3656</v>
      </c>
      <c r="G7498" s="49" t="n">
        <v>0</v>
      </c>
      <c r="H7498" s="0" t="n">
        <v>0</v>
      </c>
      <c r="M7498" s="51" t="s">
        <v>12380</v>
      </c>
      <c r="N7498" s="49" t="n">
        <v>0</v>
      </c>
      <c r="O7498" s="53" t="n">
        <v>46012.6642939815</v>
      </c>
      <c r="P7498" s="53" t="n">
        <v>46015.9493402778</v>
      </c>
      <c r="Q7498" s="53" t="n">
        <v>46012.6642939815</v>
      </c>
      <c r="R7498" s="0" t="n">
        <v>0</v>
      </c>
      <c r="S7498" s="51" t="s">
        <v>2398</v>
      </c>
      <c r="T7498" s="51" t="s">
        <v>2398</v>
      </c>
      <c r="U7498" s="0" t="str">
        <f aca="false">"5060458890191"</f>
        <v>5060458890191</v>
      </c>
      <c r="V7498" s="51" t="s">
        <v>2142</v>
      </c>
      <c r="W7498" s="51" t="s">
        <v>4897</v>
      </c>
      <c r="X7498" s="51" t="s">
        <v>2359</v>
      </c>
    </row>
    <row r="7499" customFormat="false" ht="14.25" hidden="true" customHeight="false" outlineLevel="0" collapsed="false">
      <c r="A7499" s="49" t="s">
        <v>2349</v>
      </c>
      <c r="B7499" s="49" t="s">
        <v>2350</v>
      </c>
      <c r="C7499" s="49" t="s">
        <v>12386</v>
      </c>
      <c r="D7499" s="49" t="s">
        <v>2352</v>
      </c>
      <c r="E7499" s="49" t="str">
        <f aca="false">"5060458890191"</f>
        <v>5060458890191</v>
      </c>
      <c r="F7499" s="49" t="s">
        <v>3656</v>
      </c>
      <c r="G7499" s="49" t="n">
        <v>0</v>
      </c>
      <c r="H7499" s="0" t="n">
        <v>0</v>
      </c>
      <c r="M7499" s="51" t="s">
        <v>12380</v>
      </c>
      <c r="N7499" s="49" t="n">
        <v>0</v>
      </c>
      <c r="O7499" s="53" t="n">
        <v>46012.6639351852</v>
      </c>
      <c r="P7499" s="53" t="n">
        <v>46037.0735763889</v>
      </c>
      <c r="Q7499" s="53" t="n">
        <v>46012.6639351852</v>
      </c>
      <c r="R7499" s="0" t="n">
        <v>0</v>
      </c>
      <c r="S7499" s="51" t="s">
        <v>2398</v>
      </c>
      <c r="T7499" s="51" t="s">
        <v>2398</v>
      </c>
      <c r="U7499" s="0" t="str">
        <f aca="false">"5060458890191"</f>
        <v>5060458890191</v>
      </c>
      <c r="V7499" s="51" t="s">
        <v>2142</v>
      </c>
      <c r="W7499" s="51" t="s">
        <v>12213</v>
      </c>
      <c r="X7499" s="51" t="s">
        <v>2359</v>
      </c>
    </row>
    <row r="7500" customFormat="false" ht="14.25" hidden="true" customHeight="false" outlineLevel="0" collapsed="false">
      <c r="A7500" s="49" t="s">
        <v>2349</v>
      </c>
      <c r="B7500" s="49" t="s">
        <v>2350</v>
      </c>
      <c r="C7500" s="49" t="s">
        <v>12387</v>
      </c>
      <c r="D7500" s="49" t="s">
        <v>2352</v>
      </c>
      <c r="E7500" s="49" t="str">
        <f aca="false">"5060458890191"</f>
        <v>5060458890191</v>
      </c>
      <c r="F7500" s="49" t="s">
        <v>3656</v>
      </c>
      <c r="G7500" s="49" t="n">
        <v>0</v>
      </c>
      <c r="H7500" s="0" t="n">
        <v>0</v>
      </c>
      <c r="M7500" s="51" t="s">
        <v>12380</v>
      </c>
      <c r="N7500" s="49" t="n">
        <v>0</v>
      </c>
      <c r="O7500" s="53" t="n">
        <v>46012.6611342593</v>
      </c>
      <c r="P7500" s="53" t="n">
        <v>46015.9625462963</v>
      </c>
      <c r="Q7500" s="53" t="n">
        <v>46012.6611342593</v>
      </c>
      <c r="R7500" s="0" t="n">
        <v>0</v>
      </c>
      <c r="S7500" s="51" t="s">
        <v>2398</v>
      </c>
      <c r="T7500" s="51" t="s">
        <v>2398</v>
      </c>
      <c r="U7500" s="0" t="str">
        <f aca="false">"5060458890191"</f>
        <v>5060458890191</v>
      </c>
      <c r="V7500" s="51" t="s">
        <v>2142</v>
      </c>
      <c r="W7500" s="51" t="s">
        <v>4034</v>
      </c>
      <c r="X7500" s="51" t="s">
        <v>2359</v>
      </c>
    </row>
    <row r="7501" customFormat="false" ht="14.25" hidden="true" customHeight="false" outlineLevel="0" collapsed="false">
      <c r="A7501" s="49" t="s">
        <v>2349</v>
      </c>
      <c r="B7501" s="49" t="s">
        <v>2350</v>
      </c>
      <c r="C7501" s="49" t="s">
        <v>12388</v>
      </c>
      <c r="D7501" s="49" t="s">
        <v>2352</v>
      </c>
      <c r="E7501" s="49" t="str">
        <f aca="false">"5060458890191"</f>
        <v>5060458890191</v>
      </c>
      <c r="F7501" s="49" t="s">
        <v>3656</v>
      </c>
      <c r="G7501" s="49" t="n">
        <v>0</v>
      </c>
      <c r="H7501" s="0" t="n">
        <v>0</v>
      </c>
      <c r="M7501" s="51" t="s">
        <v>12380</v>
      </c>
      <c r="N7501" s="49" t="n">
        <v>0</v>
      </c>
      <c r="O7501" s="53" t="n">
        <v>46012.6614351852</v>
      </c>
      <c r="P7501" s="53" t="n">
        <v>46015.9613541667</v>
      </c>
      <c r="Q7501" s="53" t="n">
        <v>46012.6614351852</v>
      </c>
      <c r="R7501" s="0" t="n">
        <v>0</v>
      </c>
      <c r="S7501" s="51" t="s">
        <v>2398</v>
      </c>
      <c r="T7501" s="51" t="s">
        <v>2398</v>
      </c>
      <c r="U7501" s="0" t="str">
        <f aca="false">"5060458890191"</f>
        <v>5060458890191</v>
      </c>
      <c r="V7501" s="51" t="s">
        <v>2142</v>
      </c>
      <c r="W7501" s="51" t="s">
        <v>10594</v>
      </c>
      <c r="X7501" s="51" t="s">
        <v>2359</v>
      </c>
    </row>
    <row r="7502" customFormat="false" ht="14.25" hidden="true" customHeight="false" outlineLevel="0" collapsed="false">
      <c r="A7502" s="49" t="s">
        <v>2349</v>
      </c>
      <c r="B7502" s="49" t="s">
        <v>2350</v>
      </c>
      <c r="C7502" s="49" t="s">
        <v>12389</v>
      </c>
      <c r="D7502" s="49" t="s">
        <v>2352</v>
      </c>
      <c r="E7502" s="49" t="str">
        <f aca="false">"5060458890191"</f>
        <v>5060458890191</v>
      </c>
      <c r="F7502" s="49" t="s">
        <v>3656</v>
      </c>
      <c r="G7502" s="49" t="n">
        <v>0</v>
      </c>
      <c r="H7502" s="0" t="n">
        <v>0</v>
      </c>
      <c r="M7502" s="51" t="s">
        <v>12380</v>
      </c>
      <c r="N7502" s="49" t="n">
        <v>0</v>
      </c>
      <c r="O7502" s="53" t="n">
        <v>46012.6617939815</v>
      </c>
      <c r="P7502" s="53" t="n">
        <v>46015.9589467593</v>
      </c>
      <c r="Q7502" s="53" t="n">
        <v>46012.6617939815</v>
      </c>
      <c r="R7502" s="0" t="n">
        <v>0</v>
      </c>
      <c r="S7502" s="51" t="s">
        <v>2398</v>
      </c>
      <c r="T7502" s="51" t="s">
        <v>2398</v>
      </c>
      <c r="U7502" s="0" t="str">
        <f aca="false">"5060458890191"</f>
        <v>5060458890191</v>
      </c>
      <c r="V7502" s="51" t="s">
        <v>2142</v>
      </c>
      <c r="W7502" s="51" t="s">
        <v>4260</v>
      </c>
      <c r="X7502" s="51" t="s">
        <v>2359</v>
      </c>
    </row>
    <row r="7503" customFormat="false" ht="14.25" hidden="true" customHeight="false" outlineLevel="0" collapsed="false">
      <c r="A7503" s="49" t="s">
        <v>2349</v>
      </c>
      <c r="B7503" s="49" t="s">
        <v>2350</v>
      </c>
      <c r="C7503" s="49" t="s">
        <v>12390</v>
      </c>
      <c r="D7503" s="49" t="s">
        <v>2352</v>
      </c>
      <c r="E7503" s="49" t="str">
        <f aca="false">"5060458890191"</f>
        <v>5060458890191</v>
      </c>
      <c r="F7503" s="49" t="s">
        <v>3656</v>
      </c>
      <c r="G7503" s="49" t="n">
        <v>0</v>
      </c>
      <c r="H7503" s="0" t="n">
        <v>0</v>
      </c>
      <c r="M7503" s="51" t="s">
        <v>12380</v>
      </c>
      <c r="N7503" s="49" t="n">
        <v>0</v>
      </c>
      <c r="O7503" s="53" t="n">
        <v>46012.6621527778</v>
      </c>
      <c r="P7503" s="53" t="n">
        <v>46015.9599768519</v>
      </c>
      <c r="Q7503" s="53" t="n">
        <v>46012.6621527778</v>
      </c>
      <c r="R7503" s="0" t="n">
        <v>0</v>
      </c>
      <c r="S7503" s="51" t="s">
        <v>2398</v>
      </c>
      <c r="T7503" s="51" t="s">
        <v>2398</v>
      </c>
      <c r="U7503" s="0" t="str">
        <f aca="false">"5060458890191"</f>
        <v>5060458890191</v>
      </c>
      <c r="V7503" s="51" t="s">
        <v>2142</v>
      </c>
      <c r="W7503" s="51" t="s">
        <v>10729</v>
      </c>
      <c r="X7503" s="51" t="s">
        <v>2359</v>
      </c>
    </row>
    <row r="7504" customFormat="false" ht="14.25" hidden="true" customHeight="false" outlineLevel="0" collapsed="false">
      <c r="A7504" s="49" t="s">
        <v>2349</v>
      </c>
      <c r="B7504" s="49" t="s">
        <v>2350</v>
      </c>
      <c r="C7504" s="49" t="s">
        <v>12391</v>
      </c>
      <c r="D7504" s="49" t="s">
        <v>2352</v>
      </c>
      <c r="E7504" s="49" t="str">
        <f aca="false">"5060458890191"</f>
        <v>5060458890191</v>
      </c>
      <c r="F7504" s="49" t="s">
        <v>3656</v>
      </c>
      <c r="G7504" s="49" t="n">
        <v>0</v>
      </c>
      <c r="H7504" s="0" t="n">
        <v>0</v>
      </c>
      <c r="M7504" s="51" t="s">
        <v>12380</v>
      </c>
      <c r="N7504" s="49" t="n">
        <v>0</v>
      </c>
      <c r="O7504" s="53" t="n">
        <v>46012.662650463</v>
      </c>
      <c r="P7504" s="53" t="n">
        <v>46015.956400463</v>
      </c>
      <c r="Q7504" s="53" t="n">
        <v>46012.662650463</v>
      </c>
      <c r="R7504" s="0" t="n">
        <v>0</v>
      </c>
      <c r="S7504" s="51" t="s">
        <v>2398</v>
      </c>
      <c r="T7504" s="51" t="s">
        <v>2398</v>
      </c>
      <c r="U7504" s="0" t="str">
        <f aca="false">"5060458890191"</f>
        <v>5060458890191</v>
      </c>
      <c r="V7504" s="51" t="s">
        <v>2142</v>
      </c>
      <c r="W7504" s="51" t="s">
        <v>10886</v>
      </c>
      <c r="X7504" s="51" t="s">
        <v>2359</v>
      </c>
    </row>
    <row r="7505" customFormat="false" ht="14.25" hidden="true" customHeight="false" outlineLevel="0" collapsed="false">
      <c r="A7505" s="49" t="s">
        <v>2349</v>
      </c>
      <c r="B7505" s="49" t="s">
        <v>2350</v>
      </c>
      <c r="C7505" s="49" t="s">
        <v>12392</v>
      </c>
      <c r="D7505" s="49" t="s">
        <v>2352</v>
      </c>
      <c r="E7505" s="49" t="str">
        <f aca="false">"5060458890191"</f>
        <v>5060458890191</v>
      </c>
      <c r="F7505" s="49" t="s">
        <v>3656</v>
      </c>
      <c r="G7505" s="49" t="n">
        <v>0</v>
      </c>
      <c r="H7505" s="0" t="n">
        <v>0</v>
      </c>
      <c r="M7505" s="51" t="s">
        <v>12380</v>
      </c>
      <c r="N7505" s="49" t="n">
        <v>0</v>
      </c>
      <c r="O7505" s="53" t="n">
        <v>46012.6629513889</v>
      </c>
      <c r="P7505" s="53" t="n">
        <v>46015.9573842593</v>
      </c>
      <c r="Q7505" s="53" t="n">
        <v>46012.6629513889</v>
      </c>
      <c r="R7505" s="0" t="n">
        <v>0</v>
      </c>
      <c r="S7505" s="51" t="s">
        <v>2398</v>
      </c>
      <c r="T7505" s="51" t="s">
        <v>2398</v>
      </c>
      <c r="U7505" s="0" t="str">
        <f aca="false">"5060458890191"</f>
        <v>5060458890191</v>
      </c>
      <c r="V7505" s="51" t="s">
        <v>2142</v>
      </c>
      <c r="W7505" s="51" t="s">
        <v>10568</v>
      </c>
      <c r="X7505" s="51" t="s">
        <v>2359</v>
      </c>
    </row>
    <row r="7506" customFormat="false" ht="14.25" hidden="true" customHeight="false" outlineLevel="0" collapsed="false">
      <c r="A7506" s="49" t="s">
        <v>2349</v>
      </c>
      <c r="B7506" s="49" t="s">
        <v>2350</v>
      </c>
      <c r="C7506" s="49" t="s">
        <v>12393</v>
      </c>
      <c r="D7506" s="49" t="s">
        <v>2352</v>
      </c>
      <c r="E7506" s="49" t="str">
        <f aca="false">"5060458890191"</f>
        <v>5060458890191</v>
      </c>
      <c r="F7506" s="49" t="s">
        <v>3656</v>
      </c>
      <c r="G7506" s="49" t="n">
        <v>0</v>
      </c>
      <c r="H7506" s="0" t="n">
        <v>0</v>
      </c>
      <c r="M7506" s="51" t="s">
        <v>12380</v>
      </c>
      <c r="N7506" s="49" t="n">
        <v>0</v>
      </c>
      <c r="O7506" s="53" t="n">
        <v>46012.6632638889</v>
      </c>
      <c r="P7506" s="53" t="n">
        <v>46015.9543634259</v>
      </c>
      <c r="Q7506" s="53" t="n">
        <v>46012.6632638889</v>
      </c>
      <c r="R7506" s="0" t="n">
        <v>0</v>
      </c>
      <c r="S7506" s="51" t="s">
        <v>2398</v>
      </c>
      <c r="T7506" s="51" t="s">
        <v>2398</v>
      </c>
      <c r="U7506" s="0" t="str">
        <f aca="false">"5060458890191"</f>
        <v>5060458890191</v>
      </c>
      <c r="V7506" s="51" t="s">
        <v>2142</v>
      </c>
      <c r="W7506" s="51" t="s">
        <v>4262</v>
      </c>
      <c r="X7506" s="51" t="s">
        <v>2359</v>
      </c>
    </row>
    <row r="7507" customFormat="false" ht="14.25" hidden="true" customHeight="false" outlineLevel="0" collapsed="false">
      <c r="A7507" s="49" t="s">
        <v>2349</v>
      </c>
      <c r="B7507" s="49" t="s">
        <v>2350</v>
      </c>
      <c r="C7507" s="49" t="s">
        <v>12394</v>
      </c>
      <c r="D7507" s="49" t="s">
        <v>2352</v>
      </c>
      <c r="E7507" s="49" t="str">
        <f aca="false">"5060458890191"</f>
        <v>5060458890191</v>
      </c>
      <c r="F7507" s="49" t="s">
        <v>3656</v>
      </c>
      <c r="G7507" s="49" t="n">
        <v>0</v>
      </c>
      <c r="H7507" s="0" t="n">
        <v>0</v>
      </c>
      <c r="M7507" s="51" t="s">
        <v>12380</v>
      </c>
      <c r="N7507" s="49" t="n">
        <v>0</v>
      </c>
      <c r="O7507" s="53" t="n">
        <v>46012.6603356482</v>
      </c>
      <c r="P7507" s="53" t="n">
        <v>46016.0243055556</v>
      </c>
      <c r="Q7507" s="53" t="n">
        <v>46012.6603356482</v>
      </c>
      <c r="R7507" s="0" t="n">
        <v>0</v>
      </c>
      <c r="S7507" s="51" t="s">
        <v>2398</v>
      </c>
      <c r="T7507" s="51" t="s">
        <v>2398</v>
      </c>
      <c r="U7507" s="0" t="str">
        <f aca="false">"5060458890191"</f>
        <v>5060458890191</v>
      </c>
      <c r="V7507" s="51" t="s">
        <v>2142</v>
      </c>
      <c r="W7507" s="51" t="s">
        <v>12395</v>
      </c>
      <c r="X7507" s="51" t="s">
        <v>2359</v>
      </c>
    </row>
    <row r="7508" customFormat="false" ht="14.25" hidden="true" customHeight="false" outlineLevel="0" collapsed="false">
      <c r="A7508" s="49" t="s">
        <v>2349</v>
      </c>
      <c r="B7508" s="49" t="s">
        <v>2350</v>
      </c>
      <c r="C7508" s="49" t="s">
        <v>12396</v>
      </c>
      <c r="D7508" s="49" t="s">
        <v>2352</v>
      </c>
      <c r="E7508" s="49" t="str">
        <f aca="false">"5060458890191"</f>
        <v>5060458890191</v>
      </c>
      <c r="F7508" s="49" t="s">
        <v>3656</v>
      </c>
      <c r="G7508" s="49" t="n">
        <v>0</v>
      </c>
      <c r="H7508" s="0" t="n">
        <v>0</v>
      </c>
      <c r="M7508" s="51" t="s">
        <v>12380</v>
      </c>
      <c r="N7508" s="49" t="n">
        <v>0</v>
      </c>
      <c r="O7508" s="53" t="n">
        <v>46012.6598032407</v>
      </c>
      <c r="P7508" s="53" t="n">
        <v>46015.9700694445</v>
      </c>
      <c r="Q7508" s="53" t="n">
        <v>46012.6598032407</v>
      </c>
      <c r="R7508" s="0" t="n">
        <v>0</v>
      </c>
      <c r="S7508" s="51" t="s">
        <v>2398</v>
      </c>
      <c r="T7508" s="51" t="s">
        <v>2398</v>
      </c>
      <c r="U7508" s="0" t="str">
        <f aca="false">"5060458890191"</f>
        <v>5060458890191</v>
      </c>
      <c r="V7508" s="51" t="s">
        <v>2142</v>
      </c>
      <c r="W7508" s="51" t="s">
        <v>4032</v>
      </c>
      <c r="X7508" s="51" t="s">
        <v>2359</v>
      </c>
    </row>
    <row r="7509" customFormat="false" ht="14.25" hidden="true" customHeight="false" outlineLevel="0" collapsed="false">
      <c r="A7509" s="49" t="s">
        <v>2349</v>
      </c>
      <c r="B7509" s="49" t="s">
        <v>2350</v>
      </c>
      <c r="C7509" s="49" t="s">
        <v>12397</v>
      </c>
      <c r="D7509" s="49" t="s">
        <v>2352</v>
      </c>
      <c r="E7509" s="49" t="str">
        <f aca="false">"5060458890191"</f>
        <v>5060458890191</v>
      </c>
      <c r="F7509" s="49" t="s">
        <v>3656</v>
      </c>
      <c r="G7509" s="49" t="n">
        <v>0</v>
      </c>
      <c r="H7509" s="0" t="n">
        <v>0</v>
      </c>
      <c r="M7509" s="51" t="s">
        <v>12380</v>
      </c>
      <c r="N7509" s="49" t="n">
        <v>0</v>
      </c>
      <c r="O7509" s="53" t="n">
        <v>46012.6595023148</v>
      </c>
      <c r="P7509" s="53" t="n">
        <v>46015.9678472222</v>
      </c>
      <c r="Q7509" s="53" t="n">
        <v>46012.6595023148</v>
      </c>
      <c r="R7509" s="0" t="n">
        <v>0</v>
      </c>
      <c r="S7509" s="51" t="s">
        <v>2398</v>
      </c>
      <c r="T7509" s="51" t="s">
        <v>2398</v>
      </c>
      <c r="U7509" s="0" t="str">
        <f aca="false">"5060458890191"</f>
        <v>5060458890191</v>
      </c>
      <c r="V7509" s="51" t="s">
        <v>2142</v>
      </c>
      <c r="W7509" s="51" t="s">
        <v>4254</v>
      </c>
      <c r="X7509" s="51" t="s">
        <v>2359</v>
      </c>
    </row>
    <row r="7510" customFormat="false" ht="14.25" hidden="true" customHeight="false" outlineLevel="0" collapsed="false">
      <c r="A7510" s="49" t="s">
        <v>2349</v>
      </c>
      <c r="B7510" s="49" t="s">
        <v>2350</v>
      </c>
      <c r="C7510" s="49" t="s">
        <v>12398</v>
      </c>
      <c r="D7510" s="49" t="s">
        <v>2352</v>
      </c>
      <c r="E7510" s="49" t="str">
        <f aca="false">"5060458890191"</f>
        <v>5060458890191</v>
      </c>
      <c r="F7510" s="49" t="s">
        <v>3656</v>
      </c>
      <c r="G7510" s="49" t="n">
        <v>0</v>
      </c>
      <c r="H7510" s="0" t="n">
        <v>0</v>
      </c>
      <c r="M7510" s="51" t="s">
        <v>12380</v>
      </c>
      <c r="N7510" s="49" t="n">
        <v>0</v>
      </c>
      <c r="O7510" s="53" t="n">
        <v>46012.6590972222</v>
      </c>
      <c r="P7510" s="53" t="n">
        <v>46015.9687731481</v>
      </c>
      <c r="Q7510" s="53" t="n">
        <v>46012.6590972222</v>
      </c>
      <c r="R7510" s="0" t="n">
        <v>0</v>
      </c>
      <c r="S7510" s="51" t="s">
        <v>2398</v>
      </c>
      <c r="T7510" s="51" t="s">
        <v>2398</v>
      </c>
      <c r="U7510" s="0" t="str">
        <f aca="false">"5060458890191"</f>
        <v>5060458890191</v>
      </c>
      <c r="V7510" s="51" t="s">
        <v>2142</v>
      </c>
      <c r="W7510" s="51" t="s">
        <v>4256</v>
      </c>
      <c r="X7510" s="51" t="s">
        <v>2359</v>
      </c>
    </row>
    <row r="7511" customFormat="false" ht="14.25" hidden="true" customHeight="false" outlineLevel="0" collapsed="false">
      <c r="A7511" s="49" t="s">
        <v>2349</v>
      </c>
      <c r="B7511" s="49" t="s">
        <v>2350</v>
      </c>
      <c r="C7511" s="49" t="s">
        <v>12399</v>
      </c>
      <c r="D7511" s="49" t="s">
        <v>2352</v>
      </c>
      <c r="E7511" s="49" t="str">
        <f aca="false">"5060458890191"</f>
        <v>5060458890191</v>
      </c>
      <c r="F7511" s="49" t="s">
        <v>3656</v>
      </c>
      <c r="G7511" s="49" t="n">
        <v>0</v>
      </c>
      <c r="H7511" s="0" t="n">
        <v>0</v>
      </c>
      <c r="M7511" s="51" t="s">
        <v>12380</v>
      </c>
      <c r="N7511" s="49" t="n">
        <v>0</v>
      </c>
      <c r="O7511" s="53" t="n">
        <v>46012.6585416667</v>
      </c>
      <c r="P7511" s="53" t="n">
        <v>46015.9634375</v>
      </c>
      <c r="Q7511" s="53" t="n">
        <v>46012.6585416667</v>
      </c>
      <c r="R7511" s="0" t="n">
        <v>0</v>
      </c>
      <c r="S7511" s="51" t="s">
        <v>2398</v>
      </c>
      <c r="T7511" s="51" t="s">
        <v>2398</v>
      </c>
      <c r="U7511" s="0" t="str">
        <f aca="false">"5060458890191"</f>
        <v>5060458890191</v>
      </c>
      <c r="V7511" s="51" t="s">
        <v>2142</v>
      </c>
      <c r="W7511" s="51" t="s">
        <v>4833</v>
      </c>
      <c r="X7511" s="51" t="s">
        <v>2359</v>
      </c>
    </row>
    <row r="7512" customFormat="false" ht="14.25" hidden="true" customHeight="false" outlineLevel="0" collapsed="false">
      <c r="A7512" s="49" t="s">
        <v>2349</v>
      </c>
      <c r="B7512" s="49" t="s">
        <v>2350</v>
      </c>
      <c r="C7512" s="49" t="s">
        <v>12400</v>
      </c>
      <c r="D7512" s="49" t="s">
        <v>2352</v>
      </c>
      <c r="E7512" s="49" t="str">
        <f aca="false">"5060458890191"</f>
        <v>5060458890191</v>
      </c>
      <c r="F7512" s="49" t="s">
        <v>3656</v>
      </c>
      <c r="G7512" s="49" t="n">
        <v>0</v>
      </c>
      <c r="H7512" s="0" t="n">
        <v>0</v>
      </c>
      <c r="M7512" s="51" t="s">
        <v>12380</v>
      </c>
      <c r="N7512" s="49" t="n">
        <v>0</v>
      </c>
      <c r="O7512" s="53" t="n">
        <v>46012.6582291667</v>
      </c>
      <c r="P7512" s="53" t="n">
        <v>46015.9661574074</v>
      </c>
      <c r="Q7512" s="53" t="n">
        <v>46012.6582291667</v>
      </c>
      <c r="R7512" s="0" t="n">
        <v>0</v>
      </c>
      <c r="S7512" s="51" t="s">
        <v>2398</v>
      </c>
      <c r="T7512" s="51" t="s">
        <v>2398</v>
      </c>
      <c r="U7512" s="0" t="str">
        <f aca="false">"5060458890191"</f>
        <v>5060458890191</v>
      </c>
      <c r="V7512" s="51" t="s">
        <v>2142</v>
      </c>
      <c r="W7512" s="51" t="s">
        <v>4258</v>
      </c>
      <c r="X7512" s="51" t="s">
        <v>2359</v>
      </c>
    </row>
    <row r="7513" customFormat="false" ht="14.25" hidden="true" customHeight="false" outlineLevel="0" collapsed="false">
      <c r="A7513" s="49" t="s">
        <v>2349</v>
      </c>
      <c r="B7513" s="49" t="s">
        <v>2350</v>
      </c>
      <c r="C7513" s="49" t="s">
        <v>12401</v>
      </c>
      <c r="D7513" s="49" t="s">
        <v>2352</v>
      </c>
      <c r="E7513" s="49" t="str">
        <f aca="false">"5060458890191"</f>
        <v>5060458890191</v>
      </c>
      <c r="F7513" s="49" t="s">
        <v>3656</v>
      </c>
      <c r="G7513" s="49" t="n">
        <v>0</v>
      </c>
      <c r="H7513" s="0" t="n">
        <v>0</v>
      </c>
      <c r="M7513" s="51" t="s">
        <v>12380</v>
      </c>
      <c r="N7513" s="49" t="n">
        <v>0</v>
      </c>
      <c r="O7513" s="53" t="n">
        <v>46012.6689236111</v>
      </c>
      <c r="P7513" s="53" t="n">
        <v>46023.8989814815</v>
      </c>
      <c r="Q7513" s="53" t="n">
        <v>46012.6689236111</v>
      </c>
      <c r="R7513" s="0" t="n">
        <v>0</v>
      </c>
      <c r="S7513" s="51" t="s">
        <v>2398</v>
      </c>
      <c r="T7513" s="51" t="s">
        <v>2398</v>
      </c>
      <c r="U7513" s="0" t="str">
        <f aca="false">"5060458890191"</f>
        <v>5060458890191</v>
      </c>
      <c r="V7513" s="51" t="s">
        <v>2142</v>
      </c>
      <c r="W7513" s="51" t="s">
        <v>2404</v>
      </c>
      <c r="X7513" s="51" t="s">
        <v>2359</v>
      </c>
    </row>
    <row r="7514" customFormat="false" ht="14.25" hidden="true" customHeight="false" outlineLevel="0" collapsed="false">
      <c r="A7514" s="49" t="s">
        <v>2349</v>
      </c>
      <c r="B7514" s="49" t="s">
        <v>2350</v>
      </c>
      <c r="C7514" s="49" t="s">
        <v>12402</v>
      </c>
      <c r="D7514" s="49" t="s">
        <v>2352</v>
      </c>
      <c r="E7514" s="49" t="str">
        <f aca="false">"5060458890191"</f>
        <v>5060458890191</v>
      </c>
      <c r="F7514" s="49" t="s">
        <v>3656</v>
      </c>
      <c r="G7514" s="49" t="n">
        <v>0</v>
      </c>
      <c r="H7514" s="0" t="n">
        <v>0</v>
      </c>
      <c r="M7514" s="51" t="s">
        <v>12380</v>
      </c>
      <c r="N7514" s="49" t="n">
        <v>0</v>
      </c>
      <c r="O7514" s="53" t="n">
        <v>46012.6696064815</v>
      </c>
      <c r="P7514" s="53" t="n">
        <v>46023.9225810185</v>
      </c>
      <c r="Q7514" s="53" t="n">
        <v>46012.6696064815</v>
      </c>
      <c r="R7514" s="0" t="n">
        <v>0</v>
      </c>
      <c r="S7514" s="51" t="s">
        <v>2398</v>
      </c>
      <c r="T7514" s="51" t="s">
        <v>2398</v>
      </c>
      <c r="U7514" s="0" t="str">
        <f aca="false">"5060458890191"</f>
        <v>5060458890191</v>
      </c>
      <c r="V7514" s="51" t="s">
        <v>2142</v>
      </c>
      <c r="W7514" s="51" t="s">
        <v>8755</v>
      </c>
      <c r="X7514" s="51" t="s">
        <v>2359</v>
      </c>
    </row>
    <row r="7515" customFormat="false" ht="14.25" hidden="true" customHeight="false" outlineLevel="0" collapsed="false">
      <c r="A7515" s="49" t="s">
        <v>2349</v>
      </c>
      <c r="B7515" s="49" t="s">
        <v>2350</v>
      </c>
      <c r="C7515" s="49" t="s">
        <v>12403</v>
      </c>
      <c r="D7515" s="49" t="s">
        <v>2352</v>
      </c>
      <c r="E7515" s="49" t="str">
        <f aca="false">"5060458890191"</f>
        <v>5060458890191</v>
      </c>
      <c r="F7515" s="49" t="s">
        <v>3656</v>
      </c>
      <c r="G7515" s="49" t="n">
        <v>0</v>
      </c>
      <c r="H7515" s="0" t="n">
        <v>0</v>
      </c>
      <c r="M7515" s="51" t="s">
        <v>12380</v>
      </c>
      <c r="N7515" s="49" t="n">
        <v>0</v>
      </c>
      <c r="O7515" s="53" t="n">
        <v>46012.6692476852</v>
      </c>
      <c r="P7515" s="53" t="n">
        <v>46023.9128703704</v>
      </c>
      <c r="Q7515" s="53" t="n">
        <v>46012.6692476852</v>
      </c>
      <c r="R7515" s="0" t="n">
        <v>0</v>
      </c>
      <c r="S7515" s="51" t="s">
        <v>2398</v>
      </c>
      <c r="T7515" s="51" t="s">
        <v>2398</v>
      </c>
      <c r="U7515" s="0" t="str">
        <f aca="false">"5060458890191"</f>
        <v>5060458890191</v>
      </c>
      <c r="V7515" s="51" t="s">
        <v>2142</v>
      </c>
      <c r="W7515" s="51" t="s">
        <v>5033</v>
      </c>
      <c r="X7515" s="51" t="s">
        <v>2359</v>
      </c>
    </row>
    <row r="7516" customFormat="false" ht="14.25" hidden="true" customHeight="false" outlineLevel="0" collapsed="false">
      <c r="A7516" s="49" t="s">
        <v>2349</v>
      </c>
      <c r="B7516" s="49" t="s">
        <v>2350</v>
      </c>
      <c r="C7516" s="49" t="s">
        <v>12404</v>
      </c>
      <c r="D7516" s="49" t="s">
        <v>2352</v>
      </c>
      <c r="E7516" s="49" t="str">
        <f aca="false">"5060458890191"</f>
        <v>5060458890191</v>
      </c>
      <c r="F7516" s="49" t="s">
        <v>3656</v>
      </c>
      <c r="G7516" s="49" t="n">
        <v>0</v>
      </c>
      <c r="H7516" s="0" t="n">
        <v>0</v>
      </c>
      <c r="M7516" s="51" t="s">
        <v>12380</v>
      </c>
      <c r="N7516" s="49" t="n">
        <v>0</v>
      </c>
      <c r="O7516" s="53" t="n">
        <v>46012.6686458333</v>
      </c>
      <c r="P7516" s="53" t="n">
        <v>46037.0715277778</v>
      </c>
      <c r="Q7516" s="53" t="n">
        <v>46012.6686458333</v>
      </c>
      <c r="R7516" s="0" t="n">
        <v>0</v>
      </c>
      <c r="S7516" s="51" t="s">
        <v>2398</v>
      </c>
      <c r="T7516" s="51" t="s">
        <v>2398</v>
      </c>
      <c r="U7516" s="0" t="str">
        <f aca="false">"5060458890191"</f>
        <v>5060458890191</v>
      </c>
      <c r="V7516" s="51" t="s">
        <v>2142</v>
      </c>
      <c r="W7516" s="51" t="s">
        <v>10276</v>
      </c>
      <c r="X7516" s="51" t="s">
        <v>2359</v>
      </c>
    </row>
    <row r="7517" customFormat="false" ht="14.25" hidden="true" customHeight="false" outlineLevel="0" collapsed="false">
      <c r="A7517" s="49" t="s">
        <v>2349</v>
      </c>
      <c r="B7517" s="49" t="s">
        <v>2350</v>
      </c>
      <c r="C7517" s="49" t="s">
        <v>12405</v>
      </c>
      <c r="D7517" s="49" t="s">
        <v>2352</v>
      </c>
      <c r="E7517" s="49" t="str">
        <f aca="false">"5060458890191"</f>
        <v>5060458890191</v>
      </c>
      <c r="F7517" s="49" t="s">
        <v>3656</v>
      </c>
      <c r="G7517" s="49" t="n">
        <v>0</v>
      </c>
      <c r="H7517" s="0" t="n">
        <v>0</v>
      </c>
      <c r="M7517" s="51" t="s">
        <v>12380</v>
      </c>
      <c r="N7517" s="49" t="n">
        <v>0</v>
      </c>
      <c r="O7517" s="53" t="n">
        <v>46012.6683333333</v>
      </c>
      <c r="P7517" s="53" t="n">
        <v>46023.910775463</v>
      </c>
      <c r="Q7517" s="53" t="n">
        <v>46012.6683333333</v>
      </c>
      <c r="R7517" s="0" t="n">
        <v>0</v>
      </c>
      <c r="S7517" s="51" t="s">
        <v>2398</v>
      </c>
      <c r="T7517" s="51" t="s">
        <v>2398</v>
      </c>
      <c r="U7517" s="0" t="str">
        <f aca="false">"5060458890191"</f>
        <v>5060458890191</v>
      </c>
      <c r="V7517" s="51" t="s">
        <v>2142</v>
      </c>
      <c r="W7517" s="51" t="s">
        <v>5527</v>
      </c>
      <c r="X7517" s="51" t="s">
        <v>2359</v>
      </c>
    </row>
    <row r="7518" customFormat="false" ht="14.25" hidden="true" customHeight="false" outlineLevel="0" collapsed="false">
      <c r="A7518" s="49" t="s">
        <v>2349</v>
      </c>
      <c r="B7518" s="49" t="s">
        <v>2350</v>
      </c>
      <c r="C7518" s="49" t="s">
        <v>12406</v>
      </c>
      <c r="D7518" s="49" t="s">
        <v>2352</v>
      </c>
      <c r="E7518" s="49" t="str">
        <f aca="false">"5060458890191"</f>
        <v>5060458890191</v>
      </c>
      <c r="F7518" s="49" t="s">
        <v>3656</v>
      </c>
      <c r="G7518" s="49" t="n">
        <v>0</v>
      </c>
      <c r="H7518" s="0" t="n">
        <v>0</v>
      </c>
      <c r="M7518" s="51" t="s">
        <v>12380</v>
      </c>
      <c r="N7518" s="49" t="n">
        <v>0</v>
      </c>
      <c r="O7518" s="53" t="n">
        <v>46012.6679861111</v>
      </c>
      <c r="P7518" s="53" t="n">
        <v>46023.9076041667</v>
      </c>
      <c r="Q7518" s="53" t="n">
        <v>46012.6679861111</v>
      </c>
      <c r="R7518" s="0" t="n">
        <v>0</v>
      </c>
      <c r="S7518" s="51" t="s">
        <v>2398</v>
      </c>
      <c r="T7518" s="51" t="s">
        <v>2398</v>
      </c>
      <c r="U7518" s="0" t="str">
        <f aca="false">"5060458890191"</f>
        <v>5060458890191</v>
      </c>
      <c r="V7518" s="51" t="s">
        <v>2142</v>
      </c>
      <c r="W7518" s="51" t="s">
        <v>4453</v>
      </c>
      <c r="X7518" s="51" t="s">
        <v>2359</v>
      </c>
    </row>
    <row r="7519" customFormat="false" ht="14.25" hidden="true" customHeight="false" outlineLevel="0" collapsed="false">
      <c r="A7519" s="49" t="s">
        <v>2349</v>
      </c>
      <c r="B7519" s="49" t="s">
        <v>2350</v>
      </c>
      <c r="C7519" s="49" t="s">
        <v>12407</v>
      </c>
      <c r="D7519" s="49" t="s">
        <v>2352</v>
      </c>
      <c r="E7519" s="49" t="str">
        <f aca="false">"5060458890191"</f>
        <v>5060458890191</v>
      </c>
      <c r="F7519" s="49" t="s">
        <v>3656</v>
      </c>
      <c r="G7519" s="49" t="n">
        <v>0</v>
      </c>
      <c r="H7519" s="0" t="n">
        <v>0</v>
      </c>
      <c r="M7519" s="51" t="s">
        <v>12380</v>
      </c>
      <c r="N7519" s="49" t="n">
        <v>0</v>
      </c>
      <c r="O7519" s="53" t="n">
        <v>46012.6676967593</v>
      </c>
      <c r="P7519" s="53" t="n">
        <v>46023.9053819444</v>
      </c>
      <c r="Q7519" s="53" t="n">
        <v>46012.6676967593</v>
      </c>
      <c r="R7519" s="0" t="n">
        <v>0</v>
      </c>
      <c r="S7519" s="51" t="s">
        <v>2398</v>
      </c>
      <c r="T7519" s="51" t="s">
        <v>2398</v>
      </c>
      <c r="U7519" s="0" t="str">
        <f aca="false">"5060458890191"</f>
        <v>5060458890191</v>
      </c>
      <c r="V7519" s="51" t="s">
        <v>2142</v>
      </c>
      <c r="W7519" s="51" t="s">
        <v>4643</v>
      </c>
      <c r="X7519" s="51" t="s">
        <v>2359</v>
      </c>
    </row>
    <row r="7520" customFormat="false" ht="14.25" hidden="true" customHeight="false" outlineLevel="0" collapsed="false">
      <c r="A7520" s="49" t="s">
        <v>2349</v>
      </c>
      <c r="B7520" s="49" t="s">
        <v>2350</v>
      </c>
      <c r="C7520" s="49" t="s">
        <v>12408</v>
      </c>
      <c r="D7520" s="49" t="s">
        <v>2352</v>
      </c>
      <c r="E7520" s="49" t="str">
        <f aca="false">"5060458890191"</f>
        <v>5060458890191</v>
      </c>
      <c r="F7520" s="49" t="s">
        <v>3656</v>
      </c>
      <c r="G7520" s="49" t="n">
        <v>0</v>
      </c>
      <c r="H7520" s="0" t="n">
        <v>0</v>
      </c>
      <c r="M7520" s="51" t="s">
        <v>12380</v>
      </c>
      <c r="N7520" s="49" t="n">
        <v>0</v>
      </c>
      <c r="O7520" s="53" t="n">
        <v>46012.6667476852</v>
      </c>
      <c r="P7520" s="53" t="n">
        <v>46023.8986458333</v>
      </c>
      <c r="Q7520" s="53" t="n">
        <v>46012.6667476852</v>
      </c>
      <c r="R7520" s="0" t="n">
        <v>0</v>
      </c>
      <c r="S7520" s="51" t="s">
        <v>2398</v>
      </c>
      <c r="T7520" s="51" t="s">
        <v>2398</v>
      </c>
      <c r="U7520" s="0" t="str">
        <f aca="false">"5060458890191"</f>
        <v>5060458890191</v>
      </c>
      <c r="V7520" s="51" t="s">
        <v>2142</v>
      </c>
      <c r="W7520" s="51" t="s">
        <v>10202</v>
      </c>
      <c r="X7520" s="51" t="s">
        <v>2359</v>
      </c>
    </row>
    <row r="7521" customFormat="false" ht="14.25" hidden="true" customHeight="false" outlineLevel="0" collapsed="false">
      <c r="A7521" s="49" t="s">
        <v>2349</v>
      </c>
      <c r="B7521" s="49" t="s">
        <v>2350</v>
      </c>
      <c r="C7521" s="49" t="s">
        <v>12409</v>
      </c>
      <c r="D7521" s="49" t="s">
        <v>2352</v>
      </c>
      <c r="E7521" s="49" t="str">
        <f aca="false">"5060458890191"</f>
        <v>5060458890191</v>
      </c>
      <c r="F7521" s="49" t="s">
        <v>3656</v>
      </c>
      <c r="G7521" s="49" t="n">
        <v>0</v>
      </c>
      <c r="H7521" s="0" t="n">
        <v>0</v>
      </c>
      <c r="M7521" s="51" t="s">
        <v>12380</v>
      </c>
      <c r="N7521" s="49" t="n">
        <v>0</v>
      </c>
      <c r="O7521" s="53" t="n">
        <v>46012.666400463</v>
      </c>
      <c r="P7521" s="53" t="n">
        <v>46023.8966666667</v>
      </c>
      <c r="Q7521" s="53" t="n">
        <v>46012.666400463</v>
      </c>
      <c r="R7521" s="0" t="n">
        <v>0</v>
      </c>
      <c r="S7521" s="51" t="s">
        <v>2398</v>
      </c>
      <c r="T7521" s="51" t="s">
        <v>2398</v>
      </c>
      <c r="U7521" s="0" t="str">
        <f aca="false">"5060458890191"</f>
        <v>5060458890191</v>
      </c>
      <c r="V7521" s="51" t="s">
        <v>2142</v>
      </c>
      <c r="W7521" s="51" t="s">
        <v>3891</v>
      </c>
      <c r="X7521" s="51" t="s">
        <v>2359</v>
      </c>
    </row>
    <row r="7522" customFormat="false" ht="14.25" hidden="true" customHeight="false" outlineLevel="0" collapsed="false">
      <c r="A7522" s="49" t="s">
        <v>2349</v>
      </c>
      <c r="B7522" s="49" t="s">
        <v>2350</v>
      </c>
      <c r="C7522" s="49" t="s">
        <v>12410</v>
      </c>
      <c r="D7522" s="49" t="s">
        <v>2352</v>
      </c>
      <c r="E7522" s="49" t="str">
        <f aca="false">"5060458890191"</f>
        <v>5060458890191</v>
      </c>
      <c r="F7522" s="49" t="s">
        <v>3656</v>
      </c>
      <c r="G7522" s="49" t="n">
        <v>0</v>
      </c>
      <c r="H7522" s="0" t="n">
        <v>0</v>
      </c>
      <c r="M7522" s="51" t="s">
        <v>3786</v>
      </c>
      <c r="N7522" s="49" t="n">
        <v>0</v>
      </c>
      <c r="O7522" s="53" t="n">
        <v>46014.337962963</v>
      </c>
      <c r="P7522" s="53" t="n">
        <v>46020.408287037</v>
      </c>
      <c r="Q7522" s="53" t="n">
        <v>46014.337962963</v>
      </c>
      <c r="R7522" s="0" t="n">
        <v>0</v>
      </c>
      <c r="S7522" s="51" t="s">
        <v>2383</v>
      </c>
      <c r="T7522" s="51" t="s">
        <v>2383</v>
      </c>
      <c r="U7522" s="0" t="str">
        <f aca="false">"5060458890191"</f>
        <v>5060458890191</v>
      </c>
      <c r="V7522" s="51" t="s">
        <v>2142</v>
      </c>
      <c r="W7522" s="51" t="s">
        <v>10940</v>
      </c>
      <c r="X7522" s="51" t="s">
        <v>2359</v>
      </c>
    </row>
    <row r="7523" customFormat="false" ht="14.25" hidden="true" customHeight="false" outlineLevel="0" collapsed="false">
      <c r="A7523" s="49" t="s">
        <v>2349</v>
      </c>
      <c r="B7523" s="49" t="s">
        <v>2350</v>
      </c>
      <c r="C7523" s="49" t="s">
        <v>12411</v>
      </c>
      <c r="D7523" s="49" t="s">
        <v>2352</v>
      </c>
      <c r="E7523" s="49" t="str">
        <f aca="false">"5060458890191"</f>
        <v>5060458890191</v>
      </c>
      <c r="F7523" s="49" t="s">
        <v>3656</v>
      </c>
      <c r="G7523" s="49" t="n">
        <v>0</v>
      </c>
      <c r="H7523" s="0" t="n">
        <v>0</v>
      </c>
      <c r="M7523" s="51" t="s">
        <v>3786</v>
      </c>
      <c r="N7523" s="49" t="n">
        <v>0</v>
      </c>
      <c r="O7523" s="53" t="n">
        <v>46014.3377662037</v>
      </c>
      <c r="P7523" s="53" t="n">
        <v>46020.4100810185</v>
      </c>
      <c r="Q7523" s="53" t="n">
        <v>46014.3377662037</v>
      </c>
      <c r="R7523" s="0" t="n">
        <v>0</v>
      </c>
      <c r="S7523" s="51" t="s">
        <v>2383</v>
      </c>
      <c r="T7523" s="51" t="s">
        <v>2383</v>
      </c>
      <c r="U7523" s="0" t="str">
        <f aca="false">"5060458890191"</f>
        <v>5060458890191</v>
      </c>
      <c r="V7523" s="51" t="s">
        <v>2142</v>
      </c>
      <c r="W7523" s="51" t="s">
        <v>4437</v>
      </c>
      <c r="X7523" s="51" t="s">
        <v>2359</v>
      </c>
    </row>
    <row r="7524" customFormat="false" ht="14.25" hidden="true" customHeight="false" outlineLevel="0" collapsed="false">
      <c r="A7524" s="49" t="s">
        <v>2349</v>
      </c>
      <c r="B7524" s="49" t="s">
        <v>2350</v>
      </c>
      <c r="C7524" s="49" t="s">
        <v>12412</v>
      </c>
      <c r="D7524" s="49" t="s">
        <v>2352</v>
      </c>
      <c r="E7524" s="49" t="str">
        <f aca="false">"5060458890191"</f>
        <v>5060458890191</v>
      </c>
      <c r="F7524" s="49" t="s">
        <v>3656</v>
      </c>
      <c r="G7524" s="49" t="n">
        <v>0</v>
      </c>
      <c r="H7524" s="0" t="n">
        <v>0</v>
      </c>
      <c r="M7524" s="51" t="s">
        <v>3786</v>
      </c>
      <c r="N7524" s="49" t="n">
        <v>0</v>
      </c>
      <c r="O7524" s="53" t="n">
        <v>46014.3374652778</v>
      </c>
      <c r="P7524" s="53" t="n">
        <v>46020.4079166667</v>
      </c>
      <c r="Q7524" s="53" t="n">
        <v>46014.3374652778</v>
      </c>
      <c r="R7524" s="0" t="n">
        <v>0</v>
      </c>
      <c r="S7524" s="51" t="s">
        <v>2383</v>
      </c>
      <c r="T7524" s="51" t="s">
        <v>2383</v>
      </c>
      <c r="U7524" s="0" t="str">
        <f aca="false">"5060458890191"</f>
        <v>5060458890191</v>
      </c>
      <c r="V7524" s="51" t="s">
        <v>2142</v>
      </c>
      <c r="W7524" s="51" t="s">
        <v>11234</v>
      </c>
      <c r="X7524" s="51" t="s">
        <v>2359</v>
      </c>
    </row>
    <row r="7525" customFormat="false" ht="14.25" hidden="true" customHeight="false" outlineLevel="0" collapsed="false">
      <c r="A7525" s="49" t="s">
        <v>2349</v>
      </c>
      <c r="B7525" s="49" t="s">
        <v>2350</v>
      </c>
      <c r="C7525" s="49" t="s">
        <v>12413</v>
      </c>
      <c r="D7525" s="49" t="s">
        <v>2352</v>
      </c>
      <c r="E7525" s="49" t="str">
        <f aca="false">"5060458890191"</f>
        <v>5060458890191</v>
      </c>
      <c r="F7525" s="49" t="s">
        <v>3656</v>
      </c>
      <c r="G7525" s="49" t="n">
        <v>0</v>
      </c>
      <c r="H7525" s="0" t="n">
        <v>0</v>
      </c>
      <c r="M7525" s="51" t="s">
        <v>3786</v>
      </c>
      <c r="N7525" s="49" t="n">
        <v>0</v>
      </c>
      <c r="O7525" s="53" t="n">
        <v>46014.3370601852</v>
      </c>
      <c r="P7525" s="53" t="n">
        <v>46020.4102083333</v>
      </c>
      <c r="Q7525" s="53" t="n">
        <v>46014.3370601852</v>
      </c>
      <c r="R7525" s="0" t="n">
        <v>0</v>
      </c>
      <c r="S7525" s="51" t="s">
        <v>2383</v>
      </c>
      <c r="T7525" s="51" t="s">
        <v>2383</v>
      </c>
      <c r="U7525" s="0" t="str">
        <f aca="false">"5060458890191"</f>
        <v>5060458890191</v>
      </c>
      <c r="V7525" s="51" t="s">
        <v>2142</v>
      </c>
      <c r="W7525" s="51" t="s">
        <v>4466</v>
      </c>
      <c r="X7525" s="51" t="s">
        <v>2359</v>
      </c>
    </row>
    <row r="7526" customFormat="false" ht="14.25" hidden="true" customHeight="false" outlineLevel="0" collapsed="false">
      <c r="A7526" s="49" t="s">
        <v>2349</v>
      </c>
      <c r="B7526" s="49" t="s">
        <v>2350</v>
      </c>
      <c r="C7526" s="49" t="s">
        <v>12414</v>
      </c>
      <c r="D7526" s="49" t="s">
        <v>2352</v>
      </c>
      <c r="E7526" s="49" t="str">
        <f aca="false">"5060458890191"</f>
        <v>5060458890191</v>
      </c>
      <c r="F7526" s="49" t="s">
        <v>3656</v>
      </c>
      <c r="G7526" s="49" t="n">
        <v>0</v>
      </c>
      <c r="H7526" s="0" t="n">
        <v>0</v>
      </c>
      <c r="M7526" s="51" t="s">
        <v>3786</v>
      </c>
      <c r="N7526" s="49" t="n">
        <v>0</v>
      </c>
      <c r="O7526" s="53" t="n">
        <v>46014.3365625</v>
      </c>
      <c r="P7526" s="53" t="n">
        <v>46020.4090856482</v>
      </c>
      <c r="Q7526" s="53" t="n">
        <v>46014.3365625</v>
      </c>
      <c r="R7526" s="0" t="n">
        <v>0</v>
      </c>
      <c r="S7526" s="51" t="s">
        <v>2383</v>
      </c>
      <c r="T7526" s="51" t="s">
        <v>2383</v>
      </c>
      <c r="U7526" s="0" t="str">
        <f aca="false">"5060458890191"</f>
        <v>5060458890191</v>
      </c>
      <c r="V7526" s="51" t="s">
        <v>2142</v>
      </c>
      <c r="W7526" s="51" t="s">
        <v>12415</v>
      </c>
      <c r="X7526" s="51" t="s">
        <v>2359</v>
      </c>
    </row>
    <row r="7527" customFormat="false" ht="14.25" hidden="true" customHeight="false" outlineLevel="0" collapsed="false">
      <c r="A7527" s="49" t="s">
        <v>2349</v>
      </c>
      <c r="B7527" s="49" t="s">
        <v>2350</v>
      </c>
      <c r="C7527" s="49" t="s">
        <v>12416</v>
      </c>
      <c r="D7527" s="49" t="s">
        <v>2352</v>
      </c>
      <c r="E7527" s="49" t="str">
        <f aca="false">"5060458890191"</f>
        <v>5060458890191</v>
      </c>
      <c r="F7527" s="49" t="s">
        <v>3656</v>
      </c>
      <c r="G7527" s="49" t="n">
        <v>0</v>
      </c>
      <c r="H7527" s="0" t="n">
        <v>0</v>
      </c>
      <c r="M7527" s="51" t="s">
        <v>3786</v>
      </c>
      <c r="N7527" s="49" t="n">
        <v>0</v>
      </c>
      <c r="O7527" s="53" t="n">
        <v>46014.3361342593</v>
      </c>
      <c r="P7527" s="53" t="n">
        <v>46020.4074537037</v>
      </c>
      <c r="Q7527" s="53" t="n">
        <v>46014.3361342593</v>
      </c>
      <c r="R7527" s="0" t="n">
        <v>0</v>
      </c>
      <c r="S7527" s="51" t="s">
        <v>2383</v>
      </c>
      <c r="T7527" s="51" t="s">
        <v>2383</v>
      </c>
      <c r="U7527" s="0" t="str">
        <f aca="false">"5060458890191"</f>
        <v>5060458890191</v>
      </c>
      <c r="V7527" s="51" t="s">
        <v>2142</v>
      </c>
      <c r="W7527" s="51" t="s">
        <v>4247</v>
      </c>
      <c r="X7527" s="51" t="s">
        <v>2359</v>
      </c>
    </row>
    <row r="7528" customFormat="false" ht="14.25" hidden="true" customHeight="false" outlineLevel="0" collapsed="false">
      <c r="A7528" s="49" t="s">
        <v>2349</v>
      </c>
      <c r="B7528" s="49" t="s">
        <v>2350</v>
      </c>
      <c r="C7528" s="49" t="s">
        <v>12417</v>
      </c>
      <c r="D7528" s="49" t="s">
        <v>2352</v>
      </c>
      <c r="E7528" s="49" t="str">
        <f aca="false">"5060458890191"</f>
        <v>5060458890191</v>
      </c>
      <c r="F7528" s="49" t="s">
        <v>3656</v>
      </c>
      <c r="G7528" s="49" t="n">
        <v>0</v>
      </c>
      <c r="H7528" s="0" t="n">
        <v>0</v>
      </c>
      <c r="M7528" s="51" t="s">
        <v>3786</v>
      </c>
      <c r="N7528" s="49" t="n">
        <v>0</v>
      </c>
      <c r="O7528" s="53" t="n">
        <v>46014.3350810185</v>
      </c>
      <c r="P7528" s="53" t="n">
        <v>46020.4089814815</v>
      </c>
      <c r="Q7528" s="53" t="n">
        <v>46014.3350810185</v>
      </c>
      <c r="R7528" s="0" t="n">
        <v>0</v>
      </c>
      <c r="S7528" s="51" t="s">
        <v>2383</v>
      </c>
      <c r="T7528" s="51" t="s">
        <v>2383</v>
      </c>
      <c r="U7528" s="0" t="str">
        <f aca="false">"5060458890191"</f>
        <v>5060458890191</v>
      </c>
      <c r="V7528" s="51" t="s">
        <v>2142</v>
      </c>
      <c r="W7528" s="51" t="s">
        <v>4462</v>
      </c>
      <c r="X7528" s="51" t="s">
        <v>2359</v>
      </c>
    </row>
    <row r="7529" customFormat="false" ht="14.25" hidden="true" customHeight="false" outlineLevel="0" collapsed="false">
      <c r="A7529" s="49" t="s">
        <v>2349</v>
      </c>
      <c r="B7529" s="49" t="s">
        <v>2350</v>
      </c>
      <c r="C7529" s="49" t="s">
        <v>12418</v>
      </c>
      <c r="D7529" s="49" t="s">
        <v>2352</v>
      </c>
      <c r="E7529" s="49" t="str">
        <f aca="false">"5060458890191"</f>
        <v>5060458890191</v>
      </c>
      <c r="F7529" s="49" t="s">
        <v>3656</v>
      </c>
      <c r="G7529" s="49" t="n">
        <v>0</v>
      </c>
      <c r="H7529" s="0" t="n">
        <v>0</v>
      </c>
      <c r="M7529" s="51" t="s">
        <v>3786</v>
      </c>
      <c r="N7529" s="49" t="n">
        <v>0</v>
      </c>
      <c r="O7529" s="53" t="n">
        <v>46014.3356365741</v>
      </c>
      <c r="P7529" s="53" t="n">
        <v>46020.4070486111</v>
      </c>
      <c r="Q7529" s="53" t="n">
        <v>46014.3356365741</v>
      </c>
      <c r="R7529" s="0" t="n">
        <v>0</v>
      </c>
      <c r="S7529" s="51" t="s">
        <v>2383</v>
      </c>
      <c r="T7529" s="51" t="s">
        <v>2383</v>
      </c>
      <c r="U7529" s="0" t="str">
        <f aca="false">"5060458890191"</f>
        <v>5060458890191</v>
      </c>
      <c r="V7529" s="51" t="s">
        <v>2142</v>
      </c>
      <c r="W7529" s="51" t="s">
        <v>11660</v>
      </c>
      <c r="X7529" s="51" t="s">
        <v>2359</v>
      </c>
    </row>
    <row r="7530" customFormat="false" ht="14.25" hidden="true" customHeight="false" outlineLevel="0" collapsed="false">
      <c r="A7530" s="49" t="s">
        <v>2349</v>
      </c>
      <c r="B7530" s="49" t="s">
        <v>2350</v>
      </c>
      <c r="C7530" s="49" t="s">
        <v>12419</v>
      </c>
      <c r="D7530" s="49" t="s">
        <v>2352</v>
      </c>
      <c r="E7530" s="49" t="str">
        <f aca="false">"5060458890191"</f>
        <v>5060458890191</v>
      </c>
      <c r="F7530" s="49" t="s">
        <v>3656</v>
      </c>
      <c r="G7530" s="49" t="n">
        <v>0</v>
      </c>
      <c r="H7530" s="0" t="n">
        <v>0</v>
      </c>
      <c r="M7530" s="51" t="s">
        <v>3786</v>
      </c>
      <c r="N7530" s="49" t="n">
        <v>0</v>
      </c>
      <c r="O7530" s="53" t="n">
        <v>46014.3347453704</v>
      </c>
      <c r="P7530" s="53" t="n">
        <v>46020.406400463</v>
      </c>
      <c r="Q7530" s="53" t="n">
        <v>46014.3347453704</v>
      </c>
      <c r="R7530" s="0" t="n">
        <v>0</v>
      </c>
      <c r="S7530" s="51" t="s">
        <v>2383</v>
      </c>
      <c r="T7530" s="51" t="s">
        <v>2383</v>
      </c>
      <c r="U7530" s="0" t="str">
        <f aca="false">"5060458890191"</f>
        <v>5060458890191</v>
      </c>
      <c r="V7530" s="51" t="s">
        <v>2142</v>
      </c>
      <c r="W7530" s="51" t="s">
        <v>10082</v>
      </c>
      <c r="X7530" s="51" t="s">
        <v>2359</v>
      </c>
    </row>
    <row r="7531" customFormat="false" ht="14.25" hidden="true" customHeight="false" outlineLevel="0" collapsed="false">
      <c r="A7531" s="49" t="s">
        <v>2349</v>
      </c>
      <c r="B7531" s="49" t="s">
        <v>2350</v>
      </c>
      <c r="C7531" s="49" t="s">
        <v>12420</v>
      </c>
      <c r="D7531" s="49" t="s">
        <v>2352</v>
      </c>
      <c r="E7531" s="49" t="str">
        <f aca="false">"5060458890191"</f>
        <v>5060458890191</v>
      </c>
      <c r="F7531" s="49" t="s">
        <v>3656</v>
      </c>
      <c r="G7531" s="49" t="n">
        <v>0</v>
      </c>
      <c r="H7531" s="0" t="n">
        <v>0</v>
      </c>
      <c r="M7531" s="51" t="s">
        <v>3786</v>
      </c>
      <c r="N7531" s="49" t="n">
        <v>0</v>
      </c>
      <c r="O7531" s="53" t="n">
        <v>46014.3343518519</v>
      </c>
      <c r="P7531" s="53" t="n">
        <v>46020.4059143519</v>
      </c>
      <c r="Q7531" s="53" t="n">
        <v>46014.3343518519</v>
      </c>
      <c r="R7531" s="0" t="n">
        <v>0</v>
      </c>
      <c r="S7531" s="51" t="s">
        <v>2383</v>
      </c>
      <c r="T7531" s="51" t="s">
        <v>2383</v>
      </c>
      <c r="U7531" s="0" t="str">
        <f aca="false">"5060458890191"</f>
        <v>5060458890191</v>
      </c>
      <c r="V7531" s="51" t="s">
        <v>2142</v>
      </c>
      <c r="W7531" s="51" t="s">
        <v>9904</v>
      </c>
      <c r="X7531" s="51" t="s">
        <v>2359</v>
      </c>
    </row>
    <row r="7532" customFormat="false" ht="14.25" hidden="true" customHeight="false" outlineLevel="0" collapsed="false">
      <c r="A7532" s="49" t="s">
        <v>2349</v>
      </c>
      <c r="B7532" s="49" t="s">
        <v>2350</v>
      </c>
      <c r="C7532" s="49" t="s">
        <v>12421</v>
      </c>
      <c r="D7532" s="49" t="s">
        <v>2352</v>
      </c>
      <c r="E7532" s="49" t="str">
        <f aca="false">"5060458890191"</f>
        <v>5060458890191</v>
      </c>
      <c r="F7532" s="49" t="s">
        <v>3656</v>
      </c>
      <c r="G7532" s="49" t="n">
        <v>0</v>
      </c>
      <c r="H7532" s="0" t="n">
        <v>0</v>
      </c>
      <c r="M7532" s="51" t="s">
        <v>3786</v>
      </c>
      <c r="N7532" s="49" t="n">
        <v>0</v>
      </c>
      <c r="O7532" s="53" t="n">
        <v>46014.3334606482</v>
      </c>
      <c r="P7532" s="53" t="n">
        <v>46016.0183680556</v>
      </c>
      <c r="Q7532" s="53" t="n">
        <v>46014.3334606482</v>
      </c>
      <c r="R7532" s="0" t="n">
        <v>0</v>
      </c>
      <c r="S7532" s="51" t="s">
        <v>2383</v>
      </c>
      <c r="T7532" s="51" t="s">
        <v>2383</v>
      </c>
      <c r="U7532" s="0" t="str">
        <f aca="false">"5060458890191"</f>
        <v>5060458890191</v>
      </c>
      <c r="V7532" s="51" t="s">
        <v>2142</v>
      </c>
      <c r="W7532" s="51" t="s">
        <v>12422</v>
      </c>
      <c r="X7532" s="51" t="s">
        <v>2359</v>
      </c>
    </row>
    <row r="7533" customFormat="false" ht="14.25" hidden="true" customHeight="false" outlineLevel="0" collapsed="false">
      <c r="A7533" s="49" t="s">
        <v>2349</v>
      </c>
      <c r="B7533" s="49" t="s">
        <v>2350</v>
      </c>
      <c r="C7533" s="49" t="s">
        <v>12423</v>
      </c>
      <c r="D7533" s="49" t="s">
        <v>2352</v>
      </c>
      <c r="E7533" s="49" t="str">
        <f aca="false">"5060458890191"</f>
        <v>5060458890191</v>
      </c>
      <c r="F7533" s="49" t="s">
        <v>3656</v>
      </c>
      <c r="G7533" s="49" t="n">
        <v>0</v>
      </c>
      <c r="H7533" s="0" t="n">
        <v>0</v>
      </c>
      <c r="M7533" s="51" t="s">
        <v>3786</v>
      </c>
      <c r="N7533" s="49" t="n">
        <v>0</v>
      </c>
      <c r="O7533" s="53" t="n">
        <v>46013.6550810185</v>
      </c>
      <c r="P7533" s="53" t="n">
        <v>46015.9828935185</v>
      </c>
      <c r="Q7533" s="53" t="n">
        <v>46013.6550810185</v>
      </c>
      <c r="R7533" s="0" t="n">
        <v>0</v>
      </c>
      <c r="S7533" s="51" t="s">
        <v>2416</v>
      </c>
      <c r="T7533" s="51" t="s">
        <v>2416</v>
      </c>
      <c r="U7533" s="0" t="str">
        <f aca="false">"5060458890191"</f>
        <v>5060458890191</v>
      </c>
      <c r="V7533" s="51" t="s">
        <v>2142</v>
      </c>
      <c r="W7533" s="51" t="s">
        <v>10881</v>
      </c>
      <c r="X7533" s="51" t="s">
        <v>2359</v>
      </c>
    </row>
    <row r="7534" customFormat="false" ht="14.25" hidden="true" customHeight="false" outlineLevel="0" collapsed="false">
      <c r="A7534" s="49" t="s">
        <v>2349</v>
      </c>
      <c r="B7534" s="49" t="s">
        <v>2350</v>
      </c>
      <c r="C7534" s="49" t="s">
        <v>12424</v>
      </c>
      <c r="D7534" s="49" t="s">
        <v>2352</v>
      </c>
      <c r="E7534" s="49" t="str">
        <f aca="false">"5060458890191"</f>
        <v>5060458890191</v>
      </c>
      <c r="F7534" s="49" t="s">
        <v>3656</v>
      </c>
      <c r="G7534" s="49" t="n">
        <v>0</v>
      </c>
      <c r="H7534" s="0" t="n">
        <v>0</v>
      </c>
      <c r="M7534" s="51" t="s">
        <v>3786</v>
      </c>
      <c r="N7534" s="49" t="n">
        <v>0</v>
      </c>
      <c r="O7534" s="53" t="n">
        <v>46013.6500462963</v>
      </c>
      <c r="P7534" s="53" t="n">
        <v>46015.9847106482</v>
      </c>
      <c r="Q7534" s="53" t="n">
        <v>46013.6500462963</v>
      </c>
      <c r="R7534" s="0" t="n">
        <v>0</v>
      </c>
      <c r="S7534" s="51" t="s">
        <v>2383</v>
      </c>
      <c r="T7534" s="51" t="s">
        <v>2383</v>
      </c>
      <c r="U7534" s="0" t="str">
        <f aca="false">"5060458890191"</f>
        <v>5060458890191</v>
      </c>
      <c r="V7534" s="51" t="s">
        <v>2142</v>
      </c>
      <c r="W7534" s="51" t="s">
        <v>11684</v>
      </c>
      <c r="X7534" s="51" t="s">
        <v>2359</v>
      </c>
    </row>
    <row r="7535" customFormat="false" ht="14.25" hidden="true" customHeight="false" outlineLevel="0" collapsed="false">
      <c r="A7535" s="49" t="s">
        <v>2349</v>
      </c>
      <c r="B7535" s="49" t="s">
        <v>2350</v>
      </c>
      <c r="C7535" s="49" t="s">
        <v>12425</v>
      </c>
      <c r="D7535" s="49" t="s">
        <v>2352</v>
      </c>
      <c r="E7535" s="49" t="str">
        <f aca="false">"5060458890191"</f>
        <v>5060458890191</v>
      </c>
      <c r="F7535" s="49" t="s">
        <v>3656</v>
      </c>
      <c r="G7535" s="49" t="n">
        <v>0</v>
      </c>
      <c r="H7535" s="0" t="n">
        <v>0</v>
      </c>
      <c r="M7535" s="51" t="s">
        <v>3786</v>
      </c>
      <c r="N7535" s="49" t="n">
        <v>0</v>
      </c>
      <c r="O7535" s="53" t="n">
        <v>46013.6482291667</v>
      </c>
      <c r="P7535" s="53" t="n">
        <v>46015.982037037</v>
      </c>
      <c r="Q7535" s="53" t="n">
        <v>46013.6482291667</v>
      </c>
      <c r="R7535" s="0" t="n">
        <v>0</v>
      </c>
      <c r="S7535" s="51" t="s">
        <v>2383</v>
      </c>
      <c r="T7535" s="51" t="s">
        <v>2383</v>
      </c>
      <c r="U7535" s="0" t="str">
        <f aca="false">"5060458890191"</f>
        <v>5060458890191</v>
      </c>
      <c r="V7535" s="51" t="s">
        <v>2142</v>
      </c>
      <c r="W7535" s="51" t="s">
        <v>10190</v>
      </c>
      <c r="X7535" s="51" t="s">
        <v>2359</v>
      </c>
    </row>
    <row r="7536" customFormat="false" ht="14.25" hidden="true" customHeight="false" outlineLevel="0" collapsed="false">
      <c r="A7536" s="49" t="s">
        <v>2349</v>
      </c>
      <c r="B7536" s="49" t="s">
        <v>2350</v>
      </c>
      <c r="C7536" s="49" t="s">
        <v>12426</v>
      </c>
      <c r="D7536" s="49" t="s">
        <v>2352</v>
      </c>
      <c r="E7536" s="49" t="str">
        <f aca="false">"5060458890191"</f>
        <v>5060458890191</v>
      </c>
      <c r="F7536" s="49" t="s">
        <v>3656</v>
      </c>
      <c r="G7536" s="49" t="n">
        <v>0</v>
      </c>
      <c r="H7536" s="0" t="n">
        <v>0</v>
      </c>
      <c r="M7536" s="51" t="s">
        <v>3786</v>
      </c>
      <c r="N7536" s="49" t="n">
        <v>0</v>
      </c>
      <c r="O7536" s="53" t="n">
        <v>46013.6477199074</v>
      </c>
      <c r="P7536" s="53" t="n">
        <v>46015.9811342593</v>
      </c>
      <c r="Q7536" s="53" t="n">
        <v>46013.6477199074</v>
      </c>
      <c r="R7536" s="0" t="n">
        <v>0</v>
      </c>
      <c r="S7536" s="51" t="s">
        <v>2383</v>
      </c>
      <c r="T7536" s="51" t="s">
        <v>2383</v>
      </c>
      <c r="U7536" s="0" t="str">
        <f aca="false">"5060458890191"</f>
        <v>5060458890191</v>
      </c>
      <c r="V7536" s="51" t="s">
        <v>2142</v>
      </c>
      <c r="W7536" s="51" t="s">
        <v>11666</v>
      </c>
      <c r="X7536" s="51" t="s">
        <v>2359</v>
      </c>
    </row>
    <row r="7537" customFormat="false" ht="14.25" hidden="true" customHeight="false" outlineLevel="0" collapsed="false">
      <c r="A7537" s="49" t="s">
        <v>2349</v>
      </c>
      <c r="B7537" s="49" t="s">
        <v>2350</v>
      </c>
      <c r="C7537" s="49" t="s">
        <v>12427</v>
      </c>
      <c r="D7537" s="49" t="s">
        <v>2352</v>
      </c>
      <c r="E7537" s="49" t="str">
        <f aca="false">"5060458890191"</f>
        <v>5060458890191</v>
      </c>
      <c r="F7537" s="49" t="s">
        <v>3656</v>
      </c>
      <c r="G7537" s="49" t="n">
        <v>0</v>
      </c>
      <c r="H7537" s="0" t="n">
        <v>0</v>
      </c>
      <c r="M7537" s="51" t="s">
        <v>3786</v>
      </c>
      <c r="N7537" s="49" t="n">
        <v>0</v>
      </c>
      <c r="O7537" s="53" t="n">
        <v>46013.6473842593</v>
      </c>
      <c r="P7537" s="53" t="n">
        <v>46015.9801736111</v>
      </c>
      <c r="Q7537" s="53" t="n">
        <v>46013.6473842593</v>
      </c>
      <c r="R7537" s="0" t="n">
        <v>0</v>
      </c>
      <c r="S7537" s="51" t="s">
        <v>2383</v>
      </c>
      <c r="T7537" s="51" t="s">
        <v>2383</v>
      </c>
      <c r="U7537" s="0" t="str">
        <f aca="false">"5060458890191"</f>
        <v>5060458890191</v>
      </c>
      <c r="V7537" s="51" t="s">
        <v>2142</v>
      </c>
      <c r="W7537" s="51" t="s">
        <v>11243</v>
      </c>
      <c r="X7537" s="51" t="s">
        <v>2359</v>
      </c>
    </row>
    <row r="7538" customFormat="false" ht="14.25" hidden="true" customHeight="false" outlineLevel="0" collapsed="false">
      <c r="A7538" s="49" t="s">
        <v>2349</v>
      </c>
      <c r="B7538" s="49" t="s">
        <v>2350</v>
      </c>
      <c r="C7538" s="49" t="s">
        <v>12428</v>
      </c>
      <c r="D7538" s="49" t="s">
        <v>2352</v>
      </c>
      <c r="E7538" s="49" t="str">
        <f aca="false">"5060458890191"</f>
        <v>5060458890191</v>
      </c>
      <c r="F7538" s="49" t="s">
        <v>3656</v>
      </c>
      <c r="G7538" s="49" t="n">
        <v>0</v>
      </c>
      <c r="H7538" s="0" t="n">
        <v>0</v>
      </c>
      <c r="M7538" s="51" t="s">
        <v>3786</v>
      </c>
      <c r="N7538" s="49" t="n">
        <v>0</v>
      </c>
      <c r="O7538" s="53" t="n">
        <v>46013.6467824074</v>
      </c>
      <c r="P7538" s="53" t="n">
        <v>46015.9783101852</v>
      </c>
      <c r="Q7538" s="53" t="n">
        <v>46013.6467824074</v>
      </c>
      <c r="R7538" s="0" t="n">
        <v>0</v>
      </c>
      <c r="S7538" s="51" t="s">
        <v>2383</v>
      </c>
      <c r="T7538" s="51" t="s">
        <v>2383</v>
      </c>
      <c r="U7538" s="0" t="str">
        <f aca="false">"5060458890191"</f>
        <v>5060458890191</v>
      </c>
      <c r="V7538" s="51" t="s">
        <v>2142</v>
      </c>
      <c r="W7538" s="51" t="s">
        <v>10752</v>
      </c>
      <c r="X7538" s="51" t="s">
        <v>2359</v>
      </c>
    </row>
    <row r="7539" customFormat="false" ht="14.25" hidden="true" customHeight="false" outlineLevel="0" collapsed="false">
      <c r="A7539" s="49" t="s">
        <v>2349</v>
      </c>
      <c r="B7539" s="49" t="s">
        <v>2350</v>
      </c>
      <c r="C7539" s="49" t="s">
        <v>12429</v>
      </c>
      <c r="D7539" s="49" t="s">
        <v>2352</v>
      </c>
      <c r="E7539" s="49" t="str">
        <f aca="false">"5060458890191"</f>
        <v>5060458890191</v>
      </c>
      <c r="F7539" s="49" t="s">
        <v>3656</v>
      </c>
      <c r="G7539" s="49" t="n">
        <v>0</v>
      </c>
      <c r="H7539" s="0" t="n">
        <v>0</v>
      </c>
      <c r="M7539" s="51" t="s">
        <v>3786</v>
      </c>
      <c r="N7539" s="49" t="n">
        <v>0</v>
      </c>
      <c r="O7539" s="53" t="n">
        <v>46013.6460532407</v>
      </c>
      <c r="P7539" s="53" t="n">
        <v>46016.0194212963</v>
      </c>
      <c r="Q7539" s="53" t="n">
        <v>46013.6460532407</v>
      </c>
      <c r="R7539" s="0" t="n">
        <v>0</v>
      </c>
      <c r="S7539" s="51" t="s">
        <v>2383</v>
      </c>
      <c r="T7539" s="51" t="s">
        <v>2383</v>
      </c>
      <c r="U7539" s="0" t="str">
        <f aca="false">"5060458890191"</f>
        <v>5060458890191</v>
      </c>
      <c r="V7539" s="51" t="s">
        <v>2142</v>
      </c>
      <c r="W7539" s="51" t="s">
        <v>11229</v>
      </c>
      <c r="X7539" s="51" t="s">
        <v>2359</v>
      </c>
    </row>
    <row r="7540" customFormat="false" ht="14.25" hidden="true" customHeight="false" outlineLevel="0" collapsed="false">
      <c r="A7540" s="49" t="s">
        <v>2349</v>
      </c>
      <c r="B7540" s="49" t="s">
        <v>2350</v>
      </c>
      <c r="C7540" s="49" t="s">
        <v>12430</v>
      </c>
      <c r="D7540" s="49" t="s">
        <v>2352</v>
      </c>
      <c r="E7540" s="49" t="str">
        <f aca="false">"5060458890191"</f>
        <v>5060458890191</v>
      </c>
      <c r="F7540" s="49" t="s">
        <v>3656</v>
      </c>
      <c r="G7540" s="49" t="n">
        <v>0</v>
      </c>
      <c r="H7540" s="0" t="n">
        <v>0</v>
      </c>
      <c r="M7540" s="51" t="s">
        <v>3786</v>
      </c>
      <c r="N7540" s="49" t="n">
        <v>0</v>
      </c>
      <c r="O7540" s="53" t="n">
        <v>46013.645150463</v>
      </c>
      <c r="P7540" s="53" t="n">
        <v>46016.0205324074</v>
      </c>
      <c r="Q7540" s="53" t="n">
        <v>46013.645150463</v>
      </c>
      <c r="R7540" s="0" t="n">
        <v>0</v>
      </c>
      <c r="S7540" s="51" t="s">
        <v>2383</v>
      </c>
      <c r="T7540" s="51" t="s">
        <v>2383</v>
      </c>
      <c r="U7540" s="0" t="str">
        <f aca="false">"5060458890191"</f>
        <v>5060458890191</v>
      </c>
      <c r="V7540" s="51" t="s">
        <v>2142</v>
      </c>
      <c r="W7540" s="51" t="s">
        <v>11690</v>
      </c>
      <c r="X7540" s="51" t="s">
        <v>2359</v>
      </c>
    </row>
    <row r="7541" customFormat="false" ht="14.25" hidden="true" customHeight="false" outlineLevel="0" collapsed="false">
      <c r="A7541" s="49" t="s">
        <v>2349</v>
      </c>
      <c r="B7541" s="49" t="s">
        <v>2350</v>
      </c>
      <c r="C7541" s="49" t="s">
        <v>12431</v>
      </c>
      <c r="D7541" s="49" t="s">
        <v>2352</v>
      </c>
      <c r="E7541" s="49" t="str">
        <f aca="false">"5060458890191"</f>
        <v>5060458890191</v>
      </c>
      <c r="F7541" s="49" t="s">
        <v>3656</v>
      </c>
      <c r="G7541" s="49" t="n">
        <v>0</v>
      </c>
      <c r="H7541" s="0" t="n">
        <v>0</v>
      </c>
      <c r="M7541" s="51" t="s">
        <v>3786</v>
      </c>
      <c r="N7541" s="49" t="n">
        <v>0</v>
      </c>
      <c r="O7541" s="53" t="n">
        <v>46013.6448032407</v>
      </c>
      <c r="P7541" s="53" t="n">
        <v>46015.9792013889</v>
      </c>
      <c r="Q7541" s="53" t="n">
        <v>46013.6448032407</v>
      </c>
      <c r="R7541" s="0" t="n">
        <v>0</v>
      </c>
      <c r="S7541" s="51" t="s">
        <v>2383</v>
      </c>
      <c r="T7541" s="51" t="s">
        <v>2383</v>
      </c>
      <c r="U7541" s="0" t="str">
        <f aca="false">"5060458890191"</f>
        <v>5060458890191</v>
      </c>
      <c r="V7541" s="51" t="s">
        <v>2142</v>
      </c>
      <c r="W7541" s="51" t="s">
        <v>11653</v>
      </c>
      <c r="X7541" s="51" t="s">
        <v>2359</v>
      </c>
    </row>
    <row r="7542" customFormat="false" ht="14.25" hidden="true" customHeight="false" outlineLevel="0" collapsed="false">
      <c r="A7542" s="49" t="s">
        <v>2349</v>
      </c>
      <c r="B7542" s="49" t="s">
        <v>2350</v>
      </c>
      <c r="C7542" s="49" t="s">
        <v>12432</v>
      </c>
      <c r="D7542" s="49" t="s">
        <v>2352</v>
      </c>
      <c r="E7542" s="49" t="str">
        <f aca="false">"5060458890191"</f>
        <v>5060458890191</v>
      </c>
      <c r="F7542" s="49" t="s">
        <v>3656</v>
      </c>
      <c r="G7542" s="49" t="n">
        <v>0</v>
      </c>
      <c r="H7542" s="0" t="n">
        <v>0</v>
      </c>
      <c r="M7542" s="51" t="s">
        <v>3786</v>
      </c>
      <c r="N7542" s="49" t="n">
        <v>0</v>
      </c>
      <c r="O7542" s="53" t="n">
        <v>46013.644525463</v>
      </c>
      <c r="P7542" s="53" t="n">
        <v>46015.9838425926</v>
      </c>
      <c r="Q7542" s="53" t="n">
        <v>46013.644525463</v>
      </c>
      <c r="R7542" s="0" t="n">
        <v>0</v>
      </c>
      <c r="S7542" s="51" t="s">
        <v>2383</v>
      </c>
      <c r="T7542" s="51" t="s">
        <v>2383</v>
      </c>
      <c r="U7542" s="0" t="str">
        <f aca="false">"5060458890191"</f>
        <v>5060458890191</v>
      </c>
      <c r="V7542" s="51" t="s">
        <v>2142</v>
      </c>
      <c r="W7542" s="51" t="s">
        <v>11688</v>
      </c>
      <c r="X7542" s="51" t="s">
        <v>2359</v>
      </c>
    </row>
    <row r="7543" customFormat="false" ht="14.25" hidden="true" customHeight="false" outlineLevel="0" collapsed="false">
      <c r="A7543" s="49" t="s">
        <v>2349</v>
      </c>
      <c r="B7543" s="49" t="s">
        <v>2350</v>
      </c>
      <c r="C7543" s="49" t="s">
        <v>12433</v>
      </c>
      <c r="D7543" s="49" t="s">
        <v>2352</v>
      </c>
      <c r="E7543" s="49" t="str">
        <f aca="false">"5060458890191"</f>
        <v>5060458890191</v>
      </c>
      <c r="F7543" s="49" t="s">
        <v>3656</v>
      </c>
      <c r="G7543" s="49" t="n">
        <v>0</v>
      </c>
      <c r="H7543" s="0" t="n">
        <v>0</v>
      </c>
      <c r="M7543" s="51" t="s">
        <v>3786</v>
      </c>
      <c r="N7543" s="49" t="n">
        <v>0</v>
      </c>
      <c r="O7543" s="53" t="n">
        <v>46013.6442476852</v>
      </c>
      <c r="P7543" s="53" t="n">
        <v>46015.9773958333</v>
      </c>
      <c r="Q7543" s="53" t="n">
        <v>46013.6442476852</v>
      </c>
      <c r="R7543" s="0" t="n">
        <v>0</v>
      </c>
      <c r="S7543" s="51" t="s">
        <v>2383</v>
      </c>
      <c r="T7543" s="51" t="s">
        <v>2383</v>
      </c>
      <c r="U7543" s="0" t="str">
        <f aca="false">"5060458890191"</f>
        <v>5060458890191</v>
      </c>
      <c r="V7543" s="51" t="s">
        <v>2142</v>
      </c>
      <c r="W7543" s="51" t="s">
        <v>11055</v>
      </c>
      <c r="X7543" s="51" t="s">
        <v>2359</v>
      </c>
    </row>
    <row r="7544" customFormat="false" ht="14.25" hidden="true" customHeight="false" outlineLevel="0" collapsed="false">
      <c r="A7544" s="49" t="s">
        <v>2349</v>
      </c>
      <c r="B7544" s="49" t="s">
        <v>2350</v>
      </c>
      <c r="C7544" s="49" t="s">
        <v>12434</v>
      </c>
      <c r="D7544" s="49" t="s">
        <v>2352</v>
      </c>
      <c r="E7544" s="49" t="str">
        <f aca="false">"5060458890191"</f>
        <v>5060458890191</v>
      </c>
      <c r="F7544" s="49" t="s">
        <v>3656</v>
      </c>
      <c r="G7544" s="49" t="n">
        <v>0</v>
      </c>
      <c r="H7544" s="0" t="n">
        <v>0</v>
      </c>
      <c r="M7544" s="51" t="s">
        <v>3786</v>
      </c>
      <c r="N7544" s="49" t="n">
        <v>0</v>
      </c>
      <c r="O7544" s="53" t="n">
        <v>46013.6439351852</v>
      </c>
      <c r="P7544" s="53" t="n">
        <v>46015.9856712963</v>
      </c>
      <c r="Q7544" s="53" t="n">
        <v>46013.6439351852</v>
      </c>
      <c r="R7544" s="0" t="n">
        <v>0</v>
      </c>
      <c r="S7544" s="51" t="s">
        <v>2383</v>
      </c>
      <c r="T7544" s="51" t="s">
        <v>2383</v>
      </c>
      <c r="U7544" s="0" t="str">
        <f aca="false">"5060458890191"</f>
        <v>5060458890191</v>
      </c>
      <c r="V7544" s="51" t="s">
        <v>2142</v>
      </c>
      <c r="W7544" s="51" t="s">
        <v>11240</v>
      </c>
      <c r="X7544" s="51" t="s">
        <v>2359</v>
      </c>
    </row>
    <row r="7545" customFormat="false" ht="14.25" hidden="true" customHeight="false" outlineLevel="0" collapsed="false">
      <c r="A7545" s="49" t="s">
        <v>2349</v>
      </c>
      <c r="B7545" s="49" t="s">
        <v>2350</v>
      </c>
      <c r="C7545" s="49" t="s">
        <v>12435</v>
      </c>
      <c r="D7545" s="49" t="s">
        <v>2352</v>
      </c>
      <c r="E7545" s="49" t="str">
        <f aca="false">"5060458890191"</f>
        <v>5060458890191</v>
      </c>
      <c r="F7545" s="49" t="s">
        <v>3656</v>
      </c>
      <c r="G7545" s="49" t="n">
        <v>0</v>
      </c>
      <c r="H7545" s="0" t="n">
        <v>0</v>
      </c>
      <c r="M7545" s="51" t="s">
        <v>3786</v>
      </c>
      <c r="N7545" s="49" t="n">
        <v>0</v>
      </c>
      <c r="O7545" s="53" t="n">
        <v>46013.6435300926</v>
      </c>
      <c r="P7545" s="53" t="n">
        <v>46015.9763425926</v>
      </c>
      <c r="Q7545" s="53" t="n">
        <v>46013.6435300926</v>
      </c>
      <c r="R7545" s="0" t="n">
        <v>0</v>
      </c>
      <c r="S7545" s="51" t="s">
        <v>2383</v>
      </c>
      <c r="T7545" s="51" t="s">
        <v>2383</v>
      </c>
      <c r="U7545" s="0" t="str">
        <f aca="false">"5060458890191"</f>
        <v>5060458890191</v>
      </c>
      <c r="V7545" s="51" t="s">
        <v>2142</v>
      </c>
      <c r="W7545" s="51" t="s">
        <v>11248</v>
      </c>
      <c r="X7545" s="51" t="s">
        <v>2359</v>
      </c>
    </row>
    <row r="7546" customFormat="false" ht="14.25" hidden="true" customHeight="false" outlineLevel="0" collapsed="false">
      <c r="A7546" s="49" t="s">
        <v>2349</v>
      </c>
      <c r="B7546" s="49" t="s">
        <v>2350</v>
      </c>
      <c r="C7546" s="49" t="s">
        <v>12436</v>
      </c>
      <c r="D7546" s="49" t="s">
        <v>2352</v>
      </c>
      <c r="E7546" s="49" t="str">
        <f aca="false">"5060458890191"</f>
        <v>5060458890191</v>
      </c>
      <c r="F7546" s="49" t="s">
        <v>3656</v>
      </c>
      <c r="G7546" s="49" t="n">
        <v>0</v>
      </c>
      <c r="H7546" s="0" t="n">
        <v>0</v>
      </c>
      <c r="M7546" s="51" t="s">
        <v>3786</v>
      </c>
      <c r="N7546" s="49" t="n">
        <v>0</v>
      </c>
      <c r="O7546" s="53" t="n">
        <v>46013.6431481482</v>
      </c>
      <c r="P7546" s="53" t="n">
        <v>46016.0225810185</v>
      </c>
      <c r="Q7546" s="53" t="n">
        <v>46013.6431481482</v>
      </c>
      <c r="R7546" s="0" t="n">
        <v>0</v>
      </c>
      <c r="S7546" s="51" t="s">
        <v>2383</v>
      </c>
      <c r="T7546" s="51" t="s">
        <v>2383</v>
      </c>
      <c r="U7546" s="0" t="str">
        <f aca="false">"5060458890191"</f>
        <v>5060458890191</v>
      </c>
      <c r="V7546" s="51" t="s">
        <v>2142</v>
      </c>
      <c r="W7546" s="51" t="s">
        <v>11225</v>
      </c>
      <c r="X7546" s="51" t="s">
        <v>2359</v>
      </c>
    </row>
    <row r="7547" customFormat="false" ht="14.25" hidden="true" customHeight="false" outlineLevel="0" collapsed="false">
      <c r="A7547" s="49" t="s">
        <v>2349</v>
      </c>
      <c r="B7547" s="49" t="s">
        <v>2350</v>
      </c>
      <c r="C7547" s="49" t="s">
        <v>12437</v>
      </c>
      <c r="D7547" s="49" t="s">
        <v>2352</v>
      </c>
      <c r="E7547" s="49" t="str">
        <f aca="false">"5060458890191"</f>
        <v>5060458890191</v>
      </c>
      <c r="F7547" s="49" t="s">
        <v>3656</v>
      </c>
      <c r="G7547" s="49" t="n">
        <v>0</v>
      </c>
      <c r="H7547" s="0" t="n">
        <v>0</v>
      </c>
      <c r="M7547" s="51" t="s">
        <v>3786</v>
      </c>
      <c r="N7547" s="49" t="n">
        <v>0</v>
      </c>
      <c r="O7547" s="53" t="n">
        <v>46013.6424652778</v>
      </c>
      <c r="P7547" s="53" t="n">
        <v>46016.0214814815</v>
      </c>
      <c r="Q7547" s="53" t="n">
        <v>46013.6424652778</v>
      </c>
      <c r="R7547" s="0" t="n">
        <v>0</v>
      </c>
      <c r="S7547" s="51" t="s">
        <v>2383</v>
      </c>
      <c r="T7547" s="51" t="s">
        <v>2383</v>
      </c>
      <c r="U7547" s="0" t="str">
        <f aca="false">"5060458890191"</f>
        <v>5060458890191</v>
      </c>
      <c r="V7547" s="51" t="s">
        <v>2142</v>
      </c>
      <c r="W7547" s="51" t="s">
        <v>11223</v>
      </c>
      <c r="X7547" s="51" t="s">
        <v>2359</v>
      </c>
    </row>
    <row r="7548" customFormat="false" ht="14.25" hidden="true" customHeight="false" outlineLevel="0" collapsed="false">
      <c r="A7548" s="49" t="s">
        <v>2349</v>
      </c>
      <c r="B7548" s="49" t="s">
        <v>2350</v>
      </c>
      <c r="C7548" s="49" t="s">
        <v>12438</v>
      </c>
      <c r="D7548" s="49" t="s">
        <v>2352</v>
      </c>
      <c r="E7548" s="49" t="str">
        <f aca="false">"5060458890191"</f>
        <v>5060458890191</v>
      </c>
      <c r="F7548" s="49" t="s">
        <v>3656</v>
      </c>
      <c r="G7548" s="49" t="n">
        <v>0</v>
      </c>
      <c r="H7548" s="0" t="n">
        <v>0</v>
      </c>
      <c r="M7548" s="51" t="s">
        <v>3786</v>
      </c>
      <c r="N7548" s="49" t="n">
        <v>0</v>
      </c>
      <c r="O7548" s="53" t="n">
        <v>46013.6404282407</v>
      </c>
      <c r="P7548" s="53" t="n">
        <v>46016.0234375</v>
      </c>
      <c r="Q7548" s="53" t="n">
        <v>46013.6404282407</v>
      </c>
      <c r="R7548" s="0" t="n">
        <v>0</v>
      </c>
      <c r="S7548" s="51" t="s">
        <v>2383</v>
      </c>
      <c r="T7548" s="51" t="s">
        <v>2383</v>
      </c>
      <c r="U7548" s="0" t="str">
        <f aca="false">"5060458890191"</f>
        <v>5060458890191</v>
      </c>
      <c r="V7548" s="51" t="s">
        <v>2142</v>
      </c>
      <c r="W7548" s="51" t="s">
        <v>3654</v>
      </c>
      <c r="X7548" s="51" t="s">
        <v>2359</v>
      </c>
    </row>
    <row r="7549" customFormat="false" ht="14.25" hidden="true" customHeight="false" outlineLevel="0" collapsed="false">
      <c r="A7549" s="49" t="s">
        <v>2349</v>
      </c>
      <c r="B7549" s="49" t="s">
        <v>2350</v>
      </c>
      <c r="C7549" s="49" t="s">
        <v>12439</v>
      </c>
      <c r="D7549" s="49" t="s">
        <v>2352</v>
      </c>
      <c r="E7549" s="49" t="str">
        <f aca="false">"5060458890191"</f>
        <v>5060458890191</v>
      </c>
      <c r="F7549" s="49" t="s">
        <v>3656</v>
      </c>
      <c r="G7549" s="49" t="n">
        <v>0</v>
      </c>
      <c r="H7549" s="0" t="n">
        <v>0</v>
      </c>
      <c r="M7549" s="51" t="s">
        <v>12440</v>
      </c>
      <c r="N7549" s="49" t="n">
        <v>0</v>
      </c>
      <c r="O7549" s="53" t="n">
        <v>46014.5540162037</v>
      </c>
      <c r="P7549" s="53" t="n">
        <v>46018.6213425926</v>
      </c>
      <c r="Q7549" s="53" t="n">
        <v>46014.5540162037</v>
      </c>
      <c r="R7549" s="0" t="n">
        <v>0</v>
      </c>
      <c r="S7549" s="51" t="s">
        <v>3780</v>
      </c>
      <c r="T7549" s="51" t="s">
        <v>3780</v>
      </c>
      <c r="U7549" s="0" t="str">
        <f aca="false">"5060458890191"</f>
        <v>5060458890191</v>
      </c>
      <c r="V7549" s="51" t="s">
        <v>2142</v>
      </c>
      <c r="W7549" s="51" t="s">
        <v>10334</v>
      </c>
      <c r="X7549" s="51" t="s">
        <v>2359</v>
      </c>
    </row>
    <row r="7550" customFormat="false" ht="14.25" hidden="true" customHeight="false" outlineLevel="0" collapsed="false">
      <c r="A7550" s="49" t="s">
        <v>2349</v>
      </c>
      <c r="B7550" s="49" t="s">
        <v>2350</v>
      </c>
      <c r="C7550" s="49" t="s">
        <v>12441</v>
      </c>
      <c r="D7550" s="49" t="s">
        <v>2352</v>
      </c>
      <c r="E7550" s="49" t="str">
        <f aca="false">"12207690"</f>
        <v>12207690</v>
      </c>
      <c r="F7550" s="49" t="s">
        <v>4199</v>
      </c>
      <c r="G7550" s="49" t="n">
        <v>0</v>
      </c>
      <c r="H7550" s="0" t="n">
        <v>0</v>
      </c>
      <c r="M7550" s="51" t="s">
        <v>12440</v>
      </c>
      <c r="N7550" s="49" t="n">
        <v>0</v>
      </c>
      <c r="O7550" s="53" t="n">
        <v>46014.5549421296</v>
      </c>
      <c r="P7550" s="53" t="n">
        <v>46017.6603125</v>
      </c>
      <c r="Q7550" s="53" t="n">
        <v>46014.5549421296</v>
      </c>
      <c r="R7550" s="0" t="n">
        <v>0</v>
      </c>
      <c r="S7550" s="51" t="s">
        <v>3780</v>
      </c>
      <c r="T7550" s="51" t="s">
        <v>3780</v>
      </c>
      <c r="U7550" s="0" t="str">
        <f aca="false">"12207690"</f>
        <v>12207690</v>
      </c>
      <c r="V7550" s="51" t="s">
        <v>2365</v>
      </c>
      <c r="W7550" s="51" t="s">
        <v>10334</v>
      </c>
      <c r="X7550" s="51" t="s">
        <v>2359</v>
      </c>
    </row>
    <row r="7551" customFormat="false" ht="14.25" hidden="true" customHeight="false" outlineLevel="0" collapsed="false">
      <c r="A7551" s="49" t="s">
        <v>2349</v>
      </c>
      <c r="B7551" s="49" t="s">
        <v>2350</v>
      </c>
      <c r="C7551" s="49" t="s">
        <v>12442</v>
      </c>
      <c r="D7551" s="49" t="s">
        <v>2352</v>
      </c>
      <c r="E7551" s="49" t="str">
        <f aca="false">"12496976"</f>
        <v>12496976</v>
      </c>
      <c r="F7551" s="49" t="s">
        <v>4220</v>
      </c>
      <c r="G7551" s="49" t="n">
        <v>0</v>
      </c>
      <c r="H7551" s="0" t="n">
        <v>0</v>
      </c>
      <c r="M7551" s="51" t="s">
        <v>12443</v>
      </c>
      <c r="N7551" s="49" t="n">
        <v>0</v>
      </c>
      <c r="O7551" s="53" t="n">
        <v>46013.5877546296</v>
      </c>
      <c r="P7551" s="53" t="n">
        <v>46051.4069444445</v>
      </c>
      <c r="Q7551" s="53" t="n">
        <v>46013.5877546296</v>
      </c>
      <c r="R7551" s="0" t="n">
        <v>0</v>
      </c>
      <c r="S7551" s="51" t="s">
        <v>2383</v>
      </c>
      <c r="T7551" s="51" t="s">
        <v>2383</v>
      </c>
      <c r="U7551" s="0" t="str">
        <f aca="false">"12496976"</f>
        <v>12496976</v>
      </c>
      <c r="V7551" s="51" t="s">
        <v>2365</v>
      </c>
      <c r="W7551" s="51" t="s">
        <v>10561</v>
      </c>
      <c r="X7551" s="51" t="s">
        <v>2359</v>
      </c>
    </row>
    <row r="7552" customFormat="false" ht="14.25" hidden="true" customHeight="false" outlineLevel="0" collapsed="false">
      <c r="A7552" s="49" t="s">
        <v>2349</v>
      </c>
      <c r="B7552" s="49" t="s">
        <v>2350</v>
      </c>
      <c r="C7552" s="49" t="s">
        <v>12444</v>
      </c>
      <c r="D7552" s="49" t="s">
        <v>2352</v>
      </c>
      <c r="E7552" s="49" t="str">
        <f aca="false">"12496976"</f>
        <v>12496976</v>
      </c>
      <c r="F7552" s="49" t="s">
        <v>4220</v>
      </c>
      <c r="G7552" s="49" t="n">
        <v>0</v>
      </c>
      <c r="H7552" s="0" t="n">
        <v>0</v>
      </c>
      <c r="M7552" s="51" t="s">
        <v>12443</v>
      </c>
      <c r="N7552" s="49" t="n">
        <v>0</v>
      </c>
      <c r="O7552" s="53" t="n">
        <v>46013.587037037</v>
      </c>
      <c r="P7552" s="53" t="n">
        <v>46051.4195023148</v>
      </c>
      <c r="Q7552" s="53" t="n">
        <v>46013.587037037</v>
      </c>
      <c r="R7552" s="0" t="n">
        <v>0</v>
      </c>
      <c r="S7552" s="51" t="s">
        <v>2383</v>
      </c>
      <c r="T7552" s="51" t="s">
        <v>2383</v>
      </c>
      <c r="U7552" s="0" t="str">
        <f aca="false">"12496976"</f>
        <v>12496976</v>
      </c>
      <c r="V7552" s="51" t="s">
        <v>2365</v>
      </c>
      <c r="W7552" s="51" t="s">
        <v>10687</v>
      </c>
      <c r="X7552" s="51" t="s">
        <v>2359</v>
      </c>
    </row>
    <row r="7553" customFormat="false" ht="14.25" hidden="true" customHeight="false" outlineLevel="0" collapsed="false">
      <c r="A7553" s="49" t="s">
        <v>2349</v>
      </c>
      <c r="B7553" s="49" t="s">
        <v>2350</v>
      </c>
      <c r="C7553" s="49" t="s">
        <v>12445</v>
      </c>
      <c r="D7553" s="49" t="s">
        <v>2352</v>
      </c>
      <c r="E7553" s="49" t="str">
        <f aca="false">"12608305"</f>
        <v>12608305</v>
      </c>
      <c r="F7553" s="49" t="s">
        <v>12194</v>
      </c>
      <c r="G7553" s="49" t="n">
        <v>0</v>
      </c>
      <c r="H7553" s="0" t="n">
        <v>0</v>
      </c>
      <c r="M7553" s="51" t="s">
        <v>12446</v>
      </c>
      <c r="N7553" s="49" t="n">
        <v>0</v>
      </c>
      <c r="O7553" s="53" t="n">
        <v>46014.5586689815</v>
      </c>
      <c r="P7553" s="53" t="n">
        <v>46031.7634259259</v>
      </c>
      <c r="Q7553" s="53" t="n">
        <v>46014.5586689815</v>
      </c>
      <c r="R7553" s="0" t="n">
        <v>0</v>
      </c>
      <c r="S7553" s="51" t="s">
        <v>3780</v>
      </c>
      <c r="T7553" s="51" t="s">
        <v>3780</v>
      </c>
      <c r="U7553" s="0" t="str">
        <f aca="false">"12608305"</f>
        <v>12608305</v>
      </c>
      <c r="V7553" s="51" t="s">
        <v>2365</v>
      </c>
      <c r="W7553" s="51" t="s">
        <v>10739</v>
      </c>
      <c r="X7553" s="51" t="s">
        <v>2359</v>
      </c>
    </row>
    <row r="7554" customFormat="false" ht="14.25" hidden="true" customHeight="false" outlineLevel="0" collapsed="false">
      <c r="A7554" s="49" t="s">
        <v>2349</v>
      </c>
      <c r="B7554" s="49" t="s">
        <v>2350</v>
      </c>
      <c r="C7554" s="49" t="s">
        <v>12447</v>
      </c>
      <c r="D7554" s="49" t="s">
        <v>2352</v>
      </c>
      <c r="E7554" s="49" t="str">
        <f aca="false">"12608305"</f>
        <v>12608305</v>
      </c>
      <c r="F7554" s="49" t="s">
        <v>12194</v>
      </c>
      <c r="G7554" s="49" t="n">
        <v>0</v>
      </c>
      <c r="H7554" s="0" t="n">
        <v>0</v>
      </c>
      <c r="M7554" s="51" t="s">
        <v>12446</v>
      </c>
      <c r="N7554" s="49" t="n">
        <v>0</v>
      </c>
      <c r="O7554" s="53" t="n">
        <v>46014.5602662037</v>
      </c>
      <c r="P7554" s="53" t="n">
        <v>46031.7638888889</v>
      </c>
      <c r="Q7554" s="53" t="n">
        <v>46014.5602662037</v>
      </c>
      <c r="R7554" s="0" t="n">
        <v>0</v>
      </c>
      <c r="S7554" s="51" t="s">
        <v>3780</v>
      </c>
      <c r="T7554" s="51" t="s">
        <v>3780</v>
      </c>
      <c r="U7554" s="0" t="str">
        <f aca="false">"12608305"</f>
        <v>12608305</v>
      </c>
      <c r="V7554" s="51" t="s">
        <v>2365</v>
      </c>
      <c r="W7554" s="51" t="s">
        <v>11351</v>
      </c>
      <c r="X7554" s="51" t="s">
        <v>2359</v>
      </c>
    </row>
    <row r="7555" customFormat="false" ht="14.25" hidden="true" customHeight="false" outlineLevel="0" collapsed="false">
      <c r="A7555" s="49" t="s">
        <v>2349</v>
      </c>
      <c r="B7555" s="49" t="s">
        <v>2350</v>
      </c>
      <c r="C7555" s="49" t="s">
        <v>12448</v>
      </c>
      <c r="D7555" s="49" t="s">
        <v>2352</v>
      </c>
      <c r="E7555" s="49" t="str">
        <f aca="false">"12608305"</f>
        <v>12608305</v>
      </c>
      <c r="F7555" s="49" t="s">
        <v>12194</v>
      </c>
      <c r="G7555" s="49" t="n">
        <v>0</v>
      </c>
      <c r="H7555" s="0" t="n">
        <v>0</v>
      </c>
      <c r="M7555" s="51" t="s">
        <v>12446</v>
      </c>
      <c r="N7555" s="49" t="n">
        <v>0</v>
      </c>
      <c r="O7555" s="53" t="n">
        <v>46014.5664583333</v>
      </c>
      <c r="P7555" s="53" t="n">
        <v>46031.7651041667</v>
      </c>
      <c r="Q7555" s="53" t="n">
        <v>46014.5664583333</v>
      </c>
      <c r="R7555" s="0" t="n">
        <v>0</v>
      </c>
      <c r="S7555" s="51" t="s">
        <v>3780</v>
      </c>
      <c r="T7555" s="51" t="s">
        <v>3780</v>
      </c>
      <c r="U7555" s="0" t="str">
        <f aca="false">"12608305"</f>
        <v>12608305</v>
      </c>
      <c r="V7555" s="51" t="s">
        <v>2365</v>
      </c>
      <c r="W7555" s="51" t="s">
        <v>11595</v>
      </c>
      <c r="X7555" s="51" t="s">
        <v>2359</v>
      </c>
    </row>
    <row r="7556" customFormat="false" ht="14.25" hidden="true" customHeight="false" outlineLevel="0" collapsed="false">
      <c r="A7556" s="49" t="s">
        <v>2349</v>
      </c>
      <c r="B7556" s="49" t="s">
        <v>2350</v>
      </c>
      <c r="C7556" s="49" t="s">
        <v>12449</v>
      </c>
      <c r="D7556" s="49" t="s">
        <v>2352</v>
      </c>
      <c r="E7556" s="49" t="str">
        <f aca="false">"12518490"</f>
        <v>12518490</v>
      </c>
      <c r="F7556" s="49" t="s">
        <v>4858</v>
      </c>
      <c r="G7556" s="49" t="n">
        <v>0</v>
      </c>
      <c r="H7556" s="0" t="n">
        <v>0</v>
      </c>
      <c r="M7556" s="51" t="s">
        <v>12446</v>
      </c>
      <c r="N7556" s="49" t="n">
        <v>0</v>
      </c>
      <c r="O7556" s="53" t="n">
        <v>46014.4784953704</v>
      </c>
      <c r="P7556" s="53" t="n">
        <v>46020.4576736111</v>
      </c>
      <c r="Q7556" s="53" t="n">
        <v>46014.4784953704</v>
      </c>
      <c r="R7556" s="0" t="n">
        <v>0</v>
      </c>
      <c r="S7556" s="51" t="s">
        <v>3780</v>
      </c>
      <c r="T7556" s="51" t="s">
        <v>3780</v>
      </c>
      <c r="U7556" s="0" t="str">
        <f aca="false">"12518490"</f>
        <v>12518490</v>
      </c>
      <c r="V7556" s="51" t="s">
        <v>2365</v>
      </c>
      <c r="W7556" s="51" t="s">
        <v>12450</v>
      </c>
      <c r="X7556" s="51" t="s">
        <v>2359</v>
      </c>
    </row>
    <row r="7557" customFormat="false" ht="14.25" hidden="true" customHeight="false" outlineLevel="0" collapsed="false">
      <c r="A7557" s="49" t="s">
        <v>2349</v>
      </c>
      <c r="B7557" s="49" t="s">
        <v>2350</v>
      </c>
      <c r="C7557" s="49" t="s">
        <v>12451</v>
      </c>
      <c r="D7557" s="49" t="s">
        <v>2352</v>
      </c>
      <c r="E7557" s="49" t="str">
        <f aca="false">"12518490"</f>
        <v>12518490</v>
      </c>
      <c r="F7557" s="49" t="s">
        <v>4858</v>
      </c>
      <c r="G7557" s="49" t="n">
        <v>0</v>
      </c>
      <c r="H7557" s="0" t="n">
        <v>0</v>
      </c>
      <c r="M7557" s="51" t="s">
        <v>12446</v>
      </c>
      <c r="N7557" s="49" t="n">
        <v>0</v>
      </c>
      <c r="O7557" s="53" t="n">
        <v>46014.4791898148</v>
      </c>
      <c r="P7557" s="53" t="n">
        <v>46020.459212963</v>
      </c>
      <c r="Q7557" s="53" t="n">
        <v>46014.4791898148</v>
      </c>
      <c r="R7557" s="0" t="n">
        <v>0</v>
      </c>
      <c r="S7557" s="51" t="s">
        <v>3780</v>
      </c>
      <c r="T7557" s="51" t="s">
        <v>3780</v>
      </c>
      <c r="U7557" s="0" t="str">
        <f aca="false">"12518490"</f>
        <v>12518490</v>
      </c>
      <c r="V7557" s="51" t="s">
        <v>2365</v>
      </c>
      <c r="W7557" s="51" t="s">
        <v>10735</v>
      </c>
      <c r="X7557" s="51" t="s">
        <v>2359</v>
      </c>
    </row>
    <row r="7558" customFormat="false" ht="14.25" hidden="true" customHeight="false" outlineLevel="0" collapsed="false">
      <c r="A7558" s="49" t="s">
        <v>2349</v>
      </c>
      <c r="B7558" s="49" t="s">
        <v>2350</v>
      </c>
      <c r="C7558" s="49" t="s">
        <v>12452</v>
      </c>
      <c r="D7558" s="49" t="s">
        <v>2352</v>
      </c>
      <c r="E7558" s="49" t="str">
        <f aca="false">"12518490"</f>
        <v>12518490</v>
      </c>
      <c r="F7558" s="49" t="s">
        <v>4858</v>
      </c>
      <c r="G7558" s="49" t="n">
        <v>0</v>
      </c>
      <c r="H7558" s="0" t="n">
        <v>0</v>
      </c>
      <c r="M7558" s="51" t="s">
        <v>12446</v>
      </c>
      <c r="N7558" s="49" t="n">
        <v>0</v>
      </c>
      <c r="O7558" s="53" t="n">
        <v>46014.4759143519</v>
      </c>
      <c r="P7558" s="53" t="n">
        <v>46020.4562962963</v>
      </c>
      <c r="Q7558" s="53" t="n">
        <v>46014.4759143519</v>
      </c>
      <c r="R7558" s="0" t="n">
        <v>0</v>
      </c>
      <c r="S7558" s="51" t="s">
        <v>3780</v>
      </c>
      <c r="T7558" s="51" t="s">
        <v>3780</v>
      </c>
      <c r="U7558" s="0" t="str">
        <f aca="false">"12518490"</f>
        <v>12518490</v>
      </c>
      <c r="V7558" s="51" t="s">
        <v>2365</v>
      </c>
      <c r="W7558" s="51" t="s">
        <v>12453</v>
      </c>
      <c r="X7558" s="51" t="s">
        <v>2359</v>
      </c>
    </row>
    <row r="7559" customFormat="false" ht="14.25" hidden="true" customHeight="false" outlineLevel="0" collapsed="false">
      <c r="A7559" s="49" t="s">
        <v>2349</v>
      </c>
      <c r="B7559" s="49" t="s">
        <v>2350</v>
      </c>
      <c r="C7559" s="49" t="s">
        <v>12454</v>
      </c>
      <c r="D7559" s="49" t="s">
        <v>2352</v>
      </c>
      <c r="E7559" s="49" t="str">
        <f aca="false">"12518490"</f>
        <v>12518490</v>
      </c>
      <c r="F7559" s="49" t="s">
        <v>4858</v>
      </c>
      <c r="G7559" s="49" t="n">
        <v>0</v>
      </c>
      <c r="H7559" s="0" t="n">
        <v>0</v>
      </c>
      <c r="M7559" s="51" t="s">
        <v>12446</v>
      </c>
      <c r="N7559" s="49" t="n">
        <v>0</v>
      </c>
      <c r="O7559" s="53" t="n">
        <v>46014.4744791667</v>
      </c>
      <c r="P7559" s="53" t="n">
        <v>46020.4553587963</v>
      </c>
      <c r="Q7559" s="53" t="n">
        <v>46014.4744791667</v>
      </c>
      <c r="R7559" s="0" t="n">
        <v>0</v>
      </c>
      <c r="S7559" s="51" t="s">
        <v>3780</v>
      </c>
      <c r="T7559" s="51" t="s">
        <v>3780</v>
      </c>
      <c r="U7559" s="0" t="str">
        <f aca="false">"12518490"</f>
        <v>12518490</v>
      </c>
      <c r="V7559" s="51" t="s">
        <v>2365</v>
      </c>
      <c r="W7559" s="51" t="s">
        <v>10195</v>
      </c>
      <c r="X7559" s="51" t="s">
        <v>2359</v>
      </c>
    </row>
    <row r="7560" customFormat="false" ht="14.25" hidden="true" customHeight="false" outlineLevel="0" collapsed="false">
      <c r="A7560" s="49" t="s">
        <v>2349</v>
      </c>
      <c r="B7560" s="49" t="s">
        <v>2350</v>
      </c>
      <c r="C7560" s="49" t="s">
        <v>12455</v>
      </c>
      <c r="D7560" s="49" t="s">
        <v>2352</v>
      </c>
      <c r="E7560" s="49" t="str">
        <f aca="false">"12518490"</f>
        <v>12518490</v>
      </c>
      <c r="F7560" s="49" t="s">
        <v>4858</v>
      </c>
      <c r="G7560" s="49" t="n">
        <v>0</v>
      </c>
      <c r="H7560" s="0" t="n">
        <v>0</v>
      </c>
      <c r="M7560" s="51" t="s">
        <v>12446</v>
      </c>
      <c r="N7560" s="49" t="n">
        <v>0</v>
      </c>
      <c r="O7560" s="53" t="n">
        <v>46014.4734606482</v>
      </c>
      <c r="P7560" s="53" t="n">
        <v>46020.4558333333</v>
      </c>
      <c r="Q7560" s="53" t="n">
        <v>46014.4734606482</v>
      </c>
      <c r="R7560" s="0" t="n">
        <v>0</v>
      </c>
      <c r="S7560" s="51" t="s">
        <v>3780</v>
      </c>
      <c r="T7560" s="51" t="s">
        <v>3780</v>
      </c>
      <c r="U7560" s="0" t="str">
        <f aca="false">"12518490"</f>
        <v>12518490</v>
      </c>
      <c r="V7560" s="51" t="s">
        <v>2365</v>
      </c>
      <c r="W7560" s="51" t="s">
        <v>10218</v>
      </c>
      <c r="X7560" s="51" t="s">
        <v>2359</v>
      </c>
    </row>
    <row r="7561" customFormat="false" ht="14.25" hidden="true" customHeight="false" outlineLevel="0" collapsed="false">
      <c r="A7561" s="49" t="s">
        <v>2349</v>
      </c>
      <c r="B7561" s="49" t="s">
        <v>2350</v>
      </c>
      <c r="C7561" s="49" t="s">
        <v>12456</v>
      </c>
      <c r="D7561" s="49" t="s">
        <v>2352</v>
      </c>
      <c r="E7561" s="49" t="str">
        <f aca="false">"12518490"</f>
        <v>12518490</v>
      </c>
      <c r="F7561" s="49" t="s">
        <v>4858</v>
      </c>
      <c r="G7561" s="49" t="n">
        <v>0</v>
      </c>
      <c r="H7561" s="0" t="n">
        <v>0</v>
      </c>
      <c r="M7561" s="51" t="s">
        <v>12446</v>
      </c>
      <c r="N7561" s="49" t="n">
        <v>0</v>
      </c>
      <c r="O7561" s="53" t="n">
        <v>46014.4719791667</v>
      </c>
      <c r="P7561" s="53" t="n">
        <v>46020.4609259259</v>
      </c>
      <c r="Q7561" s="53" t="n">
        <v>46014.4719791667</v>
      </c>
      <c r="R7561" s="0" t="n">
        <v>0</v>
      </c>
      <c r="S7561" s="51" t="s">
        <v>3780</v>
      </c>
      <c r="T7561" s="51" t="s">
        <v>3780</v>
      </c>
      <c r="U7561" s="0" t="str">
        <f aca="false">"12518490"</f>
        <v>12518490</v>
      </c>
      <c r="V7561" s="51" t="s">
        <v>2365</v>
      </c>
      <c r="W7561" s="51" t="s">
        <v>8663</v>
      </c>
      <c r="X7561" s="51" t="s">
        <v>2359</v>
      </c>
    </row>
    <row r="7562" customFormat="false" ht="14.25" hidden="true" customHeight="false" outlineLevel="0" collapsed="false">
      <c r="A7562" s="49" t="s">
        <v>2349</v>
      </c>
      <c r="B7562" s="49" t="s">
        <v>2350</v>
      </c>
      <c r="C7562" s="49" t="s">
        <v>12457</v>
      </c>
      <c r="D7562" s="49" t="s">
        <v>2352</v>
      </c>
      <c r="E7562" s="49" t="str">
        <f aca="false">"12518490"</f>
        <v>12518490</v>
      </c>
      <c r="F7562" s="49" t="s">
        <v>4858</v>
      </c>
      <c r="G7562" s="49" t="n">
        <v>0</v>
      </c>
      <c r="H7562" s="0" t="n">
        <v>0</v>
      </c>
      <c r="M7562" s="51" t="s">
        <v>12446</v>
      </c>
      <c r="N7562" s="49" t="n">
        <v>0</v>
      </c>
      <c r="O7562" s="53" t="n">
        <v>46014.4709837963</v>
      </c>
      <c r="P7562" s="53" t="n">
        <v>46020.4598726852</v>
      </c>
      <c r="Q7562" s="53" t="n">
        <v>46014.4709837963</v>
      </c>
      <c r="R7562" s="0" t="n">
        <v>0</v>
      </c>
      <c r="S7562" s="51" t="s">
        <v>3780</v>
      </c>
      <c r="T7562" s="51" t="s">
        <v>3780</v>
      </c>
      <c r="U7562" s="0" t="str">
        <f aca="false">"12518490"</f>
        <v>12518490</v>
      </c>
      <c r="V7562" s="51" t="s">
        <v>2365</v>
      </c>
      <c r="W7562" s="51" t="s">
        <v>12458</v>
      </c>
      <c r="X7562" s="51" t="s">
        <v>2359</v>
      </c>
    </row>
    <row r="7563" customFormat="false" ht="14.25" hidden="true" customHeight="false" outlineLevel="0" collapsed="false">
      <c r="A7563" s="49" t="s">
        <v>2349</v>
      </c>
      <c r="B7563" s="49" t="s">
        <v>2350</v>
      </c>
      <c r="C7563" s="49" t="s">
        <v>12459</v>
      </c>
      <c r="D7563" s="49" t="s">
        <v>2352</v>
      </c>
      <c r="E7563" s="49" t="str">
        <f aca="false">"12518490"</f>
        <v>12518490</v>
      </c>
      <c r="F7563" s="49" t="s">
        <v>4858</v>
      </c>
      <c r="G7563" s="49" t="n">
        <v>0</v>
      </c>
      <c r="H7563" s="0" t="n">
        <v>0</v>
      </c>
      <c r="M7563" s="51" t="s">
        <v>12446</v>
      </c>
      <c r="N7563" s="49" t="n">
        <v>0</v>
      </c>
      <c r="O7563" s="53" t="n">
        <v>46014.4693171296</v>
      </c>
      <c r="P7563" s="53" t="n">
        <v>46020.4604398148</v>
      </c>
      <c r="Q7563" s="53" t="n">
        <v>46014.4693171296</v>
      </c>
      <c r="R7563" s="0" t="n">
        <v>0</v>
      </c>
      <c r="S7563" s="51" t="s">
        <v>3780</v>
      </c>
      <c r="T7563" s="51" t="s">
        <v>3780</v>
      </c>
      <c r="U7563" s="0" t="str">
        <f aca="false">"12518490"</f>
        <v>12518490</v>
      </c>
      <c r="V7563" s="51" t="s">
        <v>2365</v>
      </c>
      <c r="W7563" s="51" t="s">
        <v>11403</v>
      </c>
      <c r="X7563" s="51" t="s">
        <v>2359</v>
      </c>
    </row>
    <row r="7564" customFormat="false" ht="14.25" hidden="true" customHeight="false" outlineLevel="0" collapsed="false">
      <c r="A7564" s="49" t="s">
        <v>2349</v>
      </c>
      <c r="B7564" s="49" t="s">
        <v>2350</v>
      </c>
      <c r="C7564" s="49" t="s">
        <v>12460</v>
      </c>
      <c r="D7564" s="49" t="s">
        <v>2352</v>
      </c>
      <c r="E7564" s="49" t="str">
        <f aca="false">"12518490"</f>
        <v>12518490</v>
      </c>
      <c r="F7564" s="49" t="s">
        <v>4858</v>
      </c>
      <c r="G7564" s="49" t="n">
        <v>0</v>
      </c>
      <c r="H7564" s="0" t="n">
        <v>0</v>
      </c>
      <c r="M7564" s="51" t="s">
        <v>12446</v>
      </c>
      <c r="N7564" s="49" t="n">
        <v>0</v>
      </c>
      <c r="O7564" s="53" t="n">
        <v>46014.4682291667</v>
      </c>
      <c r="P7564" s="53" t="n">
        <v>46020.4582638889</v>
      </c>
      <c r="Q7564" s="53" t="n">
        <v>46014.4682291667</v>
      </c>
      <c r="R7564" s="0" t="n">
        <v>0</v>
      </c>
      <c r="S7564" s="51" t="s">
        <v>3780</v>
      </c>
      <c r="T7564" s="51" t="s">
        <v>3780</v>
      </c>
      <c r="U7564" s="0" t="str">
        <f aca="false">"12518490"</f>
        <v>12518490</v>
      </c>
      <c r="V7564" s="51" t="s">
        <v>2365</v>
      </c>
      <c r="W7564" s="51" t="s">
        <v>12461</v>
      </c>
      <c r="X7564" s="51" t="s">
        <v>2359</v>
      </c>
    </row>
    <row r="7565" customFormat="false" ht="14.25" hidden="true" customHeight="false" outlineLevel="0" collapsed="false">
      <c r="A7565" s="49" t="s">
        <v>2349</v>
      </c>
      <c r="B7565" s="49" t="s">
        <v>2350</v>
      </c>
      <c r="C7565" s="49" t="s">
        <v>12462</v>
      </c>
      <c r="D7565" s="49" t="s">
        <v>2352</v>
      </c>
      <c r="E7565" s="49" t="str">
        <f aca="false">"12518490"</f>
        <v>12518490</v>
      </c>
      <c r="F7565" s="49" t="s">
        <v>4858</v>
      </c>
      <c r="G7565" s="49" t="n">
        <v>0</v>
      </c>
      <c r="H7565" s="0" t="n">
        <v>0</v>
      </c>
      <c r="M7565" s="51" t="s">
        <v>12446</v>
      </c>
      <c r="N7565" s="49" t="n">
        <v>0</v>
      </c>
      <c r="O7565" s="53" t="n">
        <v>46014.4672453704</v>
      </c>
      <c r="P7565" s="53" t="n">
        <v>46020.4620601852</v>
      </c>
      <c r="Q7565" s="53" t="n">
        <v>46014.4672453704</v>
      </c>
      <c r="R7565" s="0" t="n">
        <v>0</v>
      </c>
      <c r="S7565" s="51" t="s">
        <v>3780</v>
      </c>
      <c r="T7565" s="51" t="s">
        <v>3780</v>
      </c>
      <c r="U7565" s="0" t="str">
        <f aca="false">"12518490"</f>
        <v>12518490</v>
      </c>
      <c r="V7565" s="51" t="s">
        <v>2365</v>
      </c>
      <c r="W7565" s="51" t="s">
        <v>10100</v>
      </c>
      <c r="X7565" s="51" t="s">
        <v>2359</v>
      </c>
    </row>
    <row r="7566" customFormat="false" ht="14.25" hidden="true" customHeight="false" outlineLevel="0" collapsed="false">
      <c r="A7566" s="49" t="s">
        <v>2349</v>
      </c>
      <c r="B7566" s="49" t="s">
        <v>2350</v>
      </c>
      <c r="C7566" s="49" t="s">
        <v>12463</v>
      </c>
      <c r="D7566" s="49" t="s">
        <v>2352</v>
      </c>
      <c r="E7566" s="49" t="str">
        <f aca="false">"12518490"</f>
        <v>12518490</v>
      </c>
      <c r="F7566" s="49" t="s">
        <v>4858</v>
      </c>
      <c r="G7566" s="49" t="n">
        <v>0</v>
      </c>
      <c r="H7566" s="0" t="n">
        <v>0</v>
      </c>
      <c r="M7566" s="51" t="s">
        <v>12446</v>
      </c>
      <c r="N7566" s="49" t="n">
        <v>0</v>
      </c>
      <c r="O7566" s="53" t="n">
        <v>46014.4663310185</v>
      </c>
      <c r="P7566" s="53" t="n">
        <v>46020.4569097222</v>
      </c>
      <c r="Q7566" s="53" t="n">
        <v>46014.4663310185</v>
      </c>
      <c r="R7566" s="0" t="n">
        <v>0</v>
      </c>
      <c r="S7566" s="51" t="s">
        <v>3780</v>
      </c>
      <c r="T7566" s="51" t="s">
        <v>3780</v>
      </c>
      <c r="U7566" s="0" t="str">
        <f aca="false">"12518490"</f>
        <v>12518490</v>
      </c>
      <c r="V7566" s="51" t="s">
        <v>2365</v>
      </c>
      <c r="W7566" s="51" t="s">
        <v>10162</v>
      </c>
      <c r="X7566" s="51" t="s">
        <v>2359</v>
      </c>
    </row>
    <row r="7567" customFormat="false" ht="14.25" hidden="true" customHeight="false" outlineLevel="0" collapsed="false">
      <c r="A7567" s="49" t="s">
        <v>2349</v>
      </c>
      <c r="B7567" s="49" t="s">
        <v>2350</v>
      </c>
      <c r="C7567" s="49" t="s">
        <v>12464</v>
      </c>
      <c r="D7567" s="49" t="s">
        <v>2352</v>
      </c>
      <c r="E7567" s="49" t="str">
        <f aca="false">"12518490"</f>
        <v>12518490</v>
      </c>
      <c r="F7567" s="49" t="s">
        <v>4858</v>
      </c>
      <c r="G7567" s="49" t="n">
        <v>0</v>
      </c>
      <c r="H7567" s="0" t="n">
        <v>0</v>
      </c>
      <c r="M7567" s="51" t="s">
        <v>12446</v>
      </c>
      <c r="N7567" s="49" t="n">
        <v>0</v>
      </c>
      <c r="O7567" s="53" t="n">
        <v>46014.4655092593</v>
      </c>
      <c r="P7567" s="53" t="n">
        <v>46020.4572800926</v>
      </c>
      <c r="Q7567" s="53" t="n">
        <v>46014.4655092593</v>
      </c>
      <c r="R7567" s="0" t="n">
        <v>0</v>
      </c>
      <c r="S7567" s="51" t="s">
        <v>3780</v>
      </c>
      <c r="T7567" s="51" t="s">
        <v>3780</v>
      </c>
      <c r="U7567" s="0" t="str">
        <f aca="false">"12518490"</f>
        <v>12518490</v>
      </c>
      <c r="V7567" s="51" t="s">
        <v>2365</v>
      </c>
      <c r="W7567" s="51" t="s">
        <v>12465</v>
      </c>
      <c r="X7567" s="51" t="s">
        <v>2359</v>
      </c>
    </row>
    <row r="7568" customFormat="false" ht="14.25" hidden="true" customHeight="false" outlineLevel="0" collapsed="false">
      <c r="A7568" s="49" t="s">
        <v>2349</v>
      </c>
      <c r="B7568" s="49" t="s">
        <v>2350</v>
      </c>
      <c r="C7568" s="49" t="s">
        <v>12466</v>
      </c>
      <c r="D7568" s="49" t="s">
        <v>2352</v>
      </c>
      <c r="E7568" s="49" t="str">
        <f aca="false">"12518490"</f>
        <v>12518490</v>
      </c>
      <c r="F7568" s="49" t="s">
        <v>4858</v>
      </c>
      <c r="G7568" s="49" t="n">
        <v>0</v>
      </c>
      <c r="H7568" s="0" t="n">
        <v>0</v>
      </c>
      <c r="M7568" s="51" t="s">
        <v>12446</v>
      </c>
      <c r="N7568" s="49" t="n">
        <v>0</v>
      </c>
      <c r="O7568" s="53" t="n">
        <v>46014.4648263889</v>
      </c>
      <c r="P7568" s="53" t="n">
        <v>46020.454849537</v>
      </c>
      <c r="Q7568" s="53" t="n">
        <v>46014.4648263889</v>
      </c>
      <c r="R7568" s="0" t="n">
        <v>0</v>
      </c>
      <c r="S7568" s="51" t="s">
        <v>3780</v>
      </c>
      <c r="T7568" s="51" t="s">
        <v>3780</v>
      </c>
      <c r="U7568" s="0" t="str">
        <f aca="false">"12518490"</f>
        <v>12518490</v>
      </c>
      <c r="V7568" s="51" t="s">
        <v>2365</v>
      </c>
      <c r="W7568" s="51" t="s">
        <v>10188</v>
      </c>
      <c r="X7568" s="51" t="s">
        <v>2359</v>
      </c>
    </row>
    <row r="7569" customFormat="false" ht="14.25" hidden="true" customHeight="false" outlineLevel="0" collapsed="false">
      <c r="A7569" s="49" t="s">
        <v>2349</v>
      </c>
      <c r="B7569" s="49" t="s">
        <v>2350</v>
      </c>
      <c r="C7569" s="49" t="s">
        <v>12467</v>
      </c>
      <c r="D7569" s="49" t="s">
        <v>2352</v>
      </c>
      <c r="E7569" s="49" t="str">
        <f aca="false">"12518490"</f>
        <v>12518490</v>
      </c>
      <c r="F7569" s="49" t="s">
        <v>4858</v>
      </c>
      <c r="G7569" s="49" t="n">
        <v>0</v>
      </c>
      <c r="H7569" s="0" t="n">
        <v>0</v>
      </c>
      <c r="M7569" s="51" t="s">
        <v>12446</v>
      </c>
      <c r="N7569" s="49" t="n">
        <v>0</v>
      </c>
      <c r="O7569" s="53" t="n">
        <v>46014.4639236111</v>
      </c>
      <c r="P7569" s="53" t="n">
        <v>46020.4544097222</v>
      </c>
      <c r="Q7569" s="53" t="n">
        <v>46014.4639236111</v>
      </c>
      <c r="R7569" s="0" t="n">
        <v>0</v>
      </c>
      <c r="S7569" s="51" t="s">
        <v>3780</v>
      </c>
      <c r="T7569" s="51" t="s">
        <v>3780</v>
      </c>
      <c r="U7569" s="0" t="str">
        <f aca="false">"12518490"</f>
        <v>12518490</v>
      </c>
      <c r="V7569" s="51" t="s">
        <v>2365</v>
      </c>
      <c r="W7569" s="51" t="s">
        <v>10737</v>
      </c>
      <c r="X7569" s="51" t="s">
        <v>2359</v>
      </c>
    </row>
    <row r="7570" customFormat="false" ht="14.25" hidden="true" customHeight="false" outlineLevel="0" collapsed="false">
      <c r="A7570" s="49" t="s">
        <v>2349</v>
      </c>
      <c r="B7570" s="49" t="s">
        <v>2350</v>
      </c>
      <c r="C7570" s="49" t="s">
        <v>12468</v>
      </c>
      <c r="D7570" s="49" t="s">
        <v>2352</v>
      </c>
      <c r="E7570" s="49" t="str">
        <f aca="false">"12608304"</f>
        <v>12608304</v>
      </c>
      <c r="F7570" s="49" t="s">
        <v>12469</v>
      </c>
      <c r="G7570" s="49" t="n">
        <v>0</v>
      </c>
      <c r="H7570" s="0" t="n">
        <v>0</v>
      </c>
      <c r="M7570" s="51" t="s">
        <v>12446</v>
      </c>
      <c r="N7570" s="49" t="n">
        <v>0</v>
      </c>
      <c r="O7570" s="53" t="n">
        <v>46014.4954513889</v>
      </c>
      <c r="P7570" s="53" t="n">
        <v>46031.764224537</v>
      </c>
      <c r="Q7570" s="53" t="n">
        <v>46014.4954513889</v>
      </c>
      <c r="R7570" s="0" t="n">
        <v>0</v>
      </c>
      <c r="S7570" s="51" t="s">
        <v>3780</v>
      </c>
      <c r="T7570" s="51" t="s">
        <v>3780</v>
      </c>
      <c r="U7570" s="0" t="str">
        <f aca="false">"12608304"</f>
        <v>12608304</v>
      </c>
      <c r="V7570" s="51" t="s">
        <v>2365</v>
      </c>
      <c r="W7570" s="51" t="s">
        <v>10142</v>
      </c>
      <c r="X7570" s="51" t="s">
        <v>2359</v>
      </c>
    </row>
    <row r="7571" customFormat="false" ht="14.25" hidden="true" customHeight="false" outlineLevel="0" collapsed="false">
      <c r="A7571" s="49" t="s">
        <v>2349</v>
      </c>
      <c r="B7571" s="49" t="s">
        <v>2350</v>
      </c>
      <c r="C7571" s="49" t="s">
        <v>12470</v>
      </c>
      <c r="D7571" s="49" t="s">
        <v>2352</v>
      </c>
      <c r="E7571" s="49" t="str">
        <f aca="false">"12608304"</f>
        <v>12608304</v>
      </c>
      <c r="F7571" s="49" t="s">
        <v>12469</v>
      </c>
      <c r="G7571" s="49" t="n">
        <v>0</v>
      </c>
      <c r="H7571" s="0" t="n">
        <v>0</v>
      </c>
      <c r="M7571" s="51" t="s">
        <v>12446</v>
      </c>
      <c r="N7571" s="49" t="n">
        <v>0</v>
      </c>
      <c r="O7571" s="53" t="n">
        <v>46014.4948032407</v>
      </c>
      <c r="P7571" s="53" t="n">
        <v>46031.7658101852</v>
      </c>
      <c r="Q7571" s="53" t="n">
        <v>46014.4948032407</v>
      </c>
      <c r="R7571" s="0" t="n">
        <v>0</v>
      </c>
      <c r="S7571" s="51" t="s">
        <v>3780</v>
      </c>
      <c r="T7571" s="51" t="s">
        <v>3780</v>
      </c>
      <c r="U7571" s="0" t="str">
        <f aca="false">"12608304"</f>
        <v>12608304</v>
      </c>
      <c r="V7571" s="51" t="s">
        <v>2365</v>
      </c>
      <c r="W7571" s="51" t="s">
        <v>11517</v>
      </c>
      <c r="X7571" s="51" t="s">
        <v>2359</v>
      </c>
    </row>
    <row r="7572" customFormat="false" ht="14.25" hidden="true" customHeight="false" outlineLevel="0" collapsed="false">
      <c r="A7572" s="49" t="s">
        <v>2349</v>
      </c>
      <c r="B7572" s="49" t="s">
        <v>2350</v>
      </c>
      <c r="C7572" s="49" t="s">
        <v>12471</v>
      </c>
      <c r="D7572" s="49" t="s">
        <v>2352</v>
      </c>
      <c r="E7572" s="49" t="str">
        <f aca="false">"12608304"</f>
        <v>12608304</v>
      </c>
      <c r="F7572" s="49" t="s">
        <v>12469</v>
      </c>
      <c r="G7572" s="49" t="n">
        <v>0</v>
      </c>
      <c r="H7572" s="0" t="n">
        <v>0</v>
      </c>
      <c r="M7572" s="51" t="s">
        <v>12446</v>
      </c>
      <c r="N7572" s="49" t="n">
        <v>0</v>
      </c>
      <c r="O7572" s="53" t="n">
        <v>46014.493900463</v>
      </c>
      <c r="P7572" s="53" t="n">
        <v>46047.9281944444</v>
      </c>
      <c r="Q7572" s="53" t="n">
        <v>46014.493900463</v>
      </c>
      <c r="R7572" s="0" t="n">
        <v>0</v>
      </c>
      <c r="S7572" s="51" t="s">
        <v>3780</v>
      </c>
      <c r="T7572" s="51" t="s">
        <v>3780</v>
      </c>
      <c r="U7572" s="0" t="str">
        <f aca="false">"12608304"</f>
        <v>12608304</v>
      </c>
      <c r="V7572" s="51" t="s">
        <v>2365</v>
      </c>
      <c r="W7572" s="51" t="s">
        <v>8668</v>
      </c>
      <c r="X7572" s="51" t="s">
        <v>2359</v>
      </c>
    </row>
    <row r="7573" customFormat="false" ht="14.25" hidden="true" customHeight="false" outlineLevel="0" collapsed="false">
      <c r="A7573" s="49" t="s">
        <v>2349</v>
      </c>
      <c r="B7573" s="49" t="s">
        <v>2350</v>
      </c>
      <c r="C7573" s="49" t="s">
        <v>12472</v>
      </c>
      <c r="D7573" s="49" t="s">
        <v>2352</v>
      </c>
      <c r="E7573" s="49" t="str">
        <f aca="false">"12608304"</f>
        <v>12608304</v>
      </c>
      <c r="F7573" s="49" t="s">
        <v>12469</v>
      </c>
      <c r="G7573" s="49" t="n">
        <v>0</v>
      </c>
      <c r="H7573" s="0" t="n">
        <v>0</v>
      </c>
      <c r="M7573" s="51" t="s">
        <v>12446</v>
      </c>
      <c r="N7573" s="49" t="n">
        <v>0</v>
      </c>
      <c r="O7573" s="53" t="n">
        <v>46014.4931712963</v>
      </c>
      <c r="P7573" s="53" t="n">
        <v>46031.7622106482</v>
      </c>
      <c r="Q7573" s="53" t="n">
        <v>46014.4931712963</v>
      </c>
      <c r="R7573" s="0" t="n">
        <v>0</v>
      </c>
      <c r="S7573" s="51" t="s">
        <v>3780</v>
      </c>
      <c r="T7573" s="51" t="s">
        <v>3780</v>
      </c>
      <c r="U7573" s="0" t="str">
        <f aca="false">"12608304"</f>
        <v>12608304</v>
      </c>
      <c r="V7573" s="51" t="s">
        <v>2365</v>
      </c>
      <c r="W7573" s="51" t="s">
        <v>8685</v>
      </c>
      <c r="X7573" s="51" t="s">
        <v>2359</v>
      </c>
    </row>
    <row r="7574" customFormat="false" ht="14.25" hidden="true" customHeight="false" outlineLevel="0" collapsed="false">
      <c r="A7574" s="49" t="s">
        <v>2349</v>
      </c>
      <c r="B7574" s="49" t="s">
        <v>2350</v>
      </c>
      <c r="C7574" s="49" t="s">
        <v>12473</v>
      </c>
      <c r="D7574" s="49" t="s">
        <v>2352</v>
      </c>
      <c r="E7574" s="49" t="str">
        <f aca="false">"12608304"</f>
        <v>12608304</v>
      </c>
      <c r="F7574" s="49" t="s">
        <v>12469</v>
      </c>
      <c r="G7574" s="49" t="n">
        <v>0</v>
      </c>
      <c r="H7574" s="0" t="n">
        <v>0</v>
      </c>
      <c r="M7574" s="51" t="s">
        <v>12446</v>
      </c>
      <c r="N7574" s="49" t="n">
        <v>0</v>
      </c>
      <c r="O7574" s="53" t="n">
        <v>46014.4921412037</v>
      </c>
      <c r="P7574" s="53" t="n">
        <v>46031.7614351852</v>
      </c>
      <c r="Q7574" s="53" t="n">
        <v>46014.4921412037</v>
      </c>
      <c r="R7574" s="0" t="n">
        <v>0</v>
      </c>
      <c r="S7574" s="51" t="s">
        <v>3780</v>
      </c>
      <c r="T7574" s="51" t="s">
        <v>3780</v>
      </c>
      <c r="U7574" s="0" t="str">
        <f aca="false">"12608304"</f>
        <v>12608304</v>
      </c>
      <c r="V7574" s="51" t="s">
        <v>2365</v>
      </c>
      <c r="W7574" s="51" t="s">
        <v>4227</v>
      </c>
      <c r="X7574" s="51" t="s">
        <v>2359</v>
      </c>
    </row>
    <row r="7575" customFormat="false" ht="14.25" hidden="true" customHeight="false" outlineLevel="0" collapsed="false">
      <c r="A7575" s="49" t="s">
        <v>2349</v>
      </c>
      <c r="B7575" s="49" t="s">
        <v>2350</v>
      </c>
      <c r="C7575" s="49" t="s">
        <v>12474</v>
      </c>
      <c r="D7575" s="49" t="s">
        <v>2352</v>
      </c>
      <c r="E7575" s="49" t="str">
        <f aca="false">"12518490"</f>
        <v>12518490</v>
      </c>
      <c r="F7575" s="49" t="s">
        <v>4858</v>
      </c>
      <c r="G7575" s="49" t="n">
        <v>0</v>
      </c>
      <c r="H7575" s="0" t="n">
        <v>0</v>
      </c>
      <c r="M7575" s="51" t="s">
        <v>12446</v>
      </c>
      <c r="N7575" s="49" t="n">
        <v>0</v>
      </c>
      <c r="O7575" s="53" t="n">
        <v>46014.481087963</v>
      </c>
      <c r="P7575" s="53" t="n">
        <v>46020.4587268519</v>
      </c>
      <c r="Q7575" s="53" t="n">
        <v>46014.481087963</v>
      </c>
      <c r="R7575" s="0" t="n">
        <v>0</v>
      </c>
      <c r="S7575" s="51" t="s">
        <v>3780</v>
      </c>
      <c r="T7575" s="51" t="s">
        <v>3780</v>
      </c>
      <c r="U7575" s="0" t="str">
        <f aca="false">"12518490"</f>
        <v>12518490</v>
      </c>
      <c r="V7575" s="51" t="s">
        <v>2365</v>
      </c>
      <c r="W7575" s="51" t="s">
        <v>10744</v>
      </c>
      <c r="X7575" s="51" t="s">
        <v>2359</v>
      </c>
    </row>
    <row r="7576" customFormat="false" ht="14.25" hidden="true" customHeight="false" outlineLevel="0" collapsed="false">
      <c r="A7576" s="49" t="s">
        <v>2349</v>
      </c>
      <c r="B7576" s="49" t="s">
        <v>2350</v>
      </c>
      <c r="C7576" s="49" t="s">
        <v>12475</v>
      </c>
      <c r="D7576" s="49" t="s">
        <v>2352</v>
      </c>
      <c r="E7576" s="49" t="str">
        <f aca="false">"12518490"</f>
        <v>12518490</v>
      </c>
      <c r="F7576" s="49" t="s">
        <v>4858</v>
      </c>
      <c r="G7576" s="49" t="n">
        <v>0</v>
      </c>
      <c r="H7576" s="0" t="n">
        <v>0</v>
      </c>
      <c r="M7576" s="51" t="s">
        <v>12446</v>
      </c>
      <c r="N7576" s="49" t="n">
        <v>0</v>
      </c>
      <c r="O7576" s="53" t="n">
        <v>46014.48</v>
      </c>
      <c r="P7576" s="53" t="n">
        <v>46020.4618634259</v>
      </c>
      <c r="Q7576" s="53" t="n">
        <v>46014.48</v>
      </c>
      <c r="R7576" s="0" t="n">
        <v>0</v>
      </c>
      <c r="S7576" s="51" t="s">
        <v>3780</v>
      </c>
      <c r="T7576" s="51" t="s">
        <v>3780</v>
      </c>
      <c r="U7576" s="0" t="str">
        <f aca="false">"12518490"</f>
        <v>12518490</v>
      </c>
      <c r="V7576" s="51" t="s">
        <v>2365</v>
      </c>
      <c r="W7576" s="51" t="s">
        <v>10578</v>
      </c>
      <c r="X7576" s="51" t="s">
        <v>2359</v>
      </c>
    </row>
    <row r="7577" customFormat="false" ht="14.25" hidden="true" customHeight="false" outlineLevel="0" collapsed="false">
      <c r="A7577" s="49" t="s">
        <v>2349</v>
      </c>
      <c r="B7577" s="49" t="s">
        <v>2350</v>
      </c>
      <c r="C7577" s="49" t="s">
        <v>12476</v>
      </c>
      <c r="D7577" s="49" t="s">
        <v>2352</v>
      </c>
      <c r="E7577" s="49" t="s">
        <v>10067</v>
      </c>
      <c r="F7577" s="49" t="s">
        <v>10068</v>
      </c>
      <c r="G7577" s="49" t="n">
        <v>0</v>
      </c>
      <c r="H7577" s="0" t="n">
        <v>0</v>
      </c>
      <c r="M7577" s="51" t="s">
        <v>12477</v>
      </c>
      <c r="N7577" s="49" t="n">
        <v>0</v>
      </c>
      <c r="O7577" s="53" t="n">
        <v>46006.6492824074</v>
      </c>
      <c r="P7577" s="53" t="n">
        <v>46008.3793171296</v>
      </c>
      <c r="Q7577" s="53" t="n">
        <v>46006.6492824074</v>
      </c>
      <c r="R7577" s="0" t="n">
        <v>0</v>
      </c>
      <c r="S7577" s="51" t="s">
        <v>2356</v>
      </c>
      <c r="T7577" s="51" t="s">
        <v>2356</v>
      </c>
      <c r="U7577" s="51" t="s">
        <v>10067</v>
      </c>
      <c r="V7577" s="51" t="s">
        <v>2365</v>
      </c>
      <c r="W7577" s="51" t="s">
        <v>4586</v>
      </c>
      <c r="X7577" s="51" t="s">
        <v>2359</v>
      </c>
    </row>
    <row r="7578" customFormat="false" ht="17.55" hidden="true" customHeight="false" outlineLevel="0" collapsed="false">
      <c r="A7578" s="49" t="s">
        <v>2349</v>
      </c>
      <c r="B7578" s="49" t="s">
        <v>2350</v>
      </c>
      <c r="C7578" s="49" t="s">
        <v>12478</v>
      </c>
      <c r="D7578" s="49" t="s">
        <v>2352</v>
      </c>
      <c r="E7578" s="49" t="s">
        <v>10060</v>
      </c>
      <c r="F7578" s="49" t="s">
        <v>10061</v>
      </c>
      <c r="G7578" s="49" t="n">
        <v>0</v>
      </c>
      <c r="H7578" s="0" t="n">
        <v>0</v>
      </c>
      <c r="M7578" s="51" t="s">
        <v>12477</v>
      </c>
      <c r="N7578" s="49" t="n">
        <v>0</v>
      </c>
      <c r="O7578" s="53" t="n">
        <v>46006.6486342593</v>
      </c>
      <c r="P7578" s="53" t="n">
        <v>46007.6651273148</v>
      </c>
      <c r="Q7578" s="53" t="n">
        <v>46006.6486342593</v>
      </c>
      <c r="R7578" s="0" t="n">
        <v>0</v>
      </c>
      <c r="S7578" s="51" t="s">
        <v>2356</v>
      </c>
      <c r="T7578" s="51" t="s">
        <v>2356</v>
      </c>
      <c r="U7578" s="51" t="s">
        <v>10060</v>
      </c>
      <c r="V7578" s="51" t="s">
        <v>2365</v>
      </c>
      <c r="W7578" s="51" t="s">
        <v>4614</v>
      </c>
      <c r="X7578" s="51" t="s">
        <v>2359</v>
      </c>
    </row>
    <row r="7579" customFormat="false" ht="17.55" hidden="true" customHeight="false" outlineLevel="0" collapsed="false">
      <c r="A7579" s="49" t="s">
        <v>2349</v>
      </c>
      <c r="B7579" s="49" t="s">
        <v>2350</v>
      </c>
      <c r="C7579" s="49" t="s">
        <v>12479</v>
      </c>
      <c r="D7579" s="49" t="s">
        <v>2352</v>
      </c>
      <c r="E7579" s="49" t="s">
        <v>10072</v>
      </c>
      <c r="F7579" s="49" t="s">
        <v>10073</v>
      </c>
      <c r="G7579" s="49" t="n">
        <v>0</v>
      </c>
      <c r="H7579" s="0" t="n">
        <v>0</v>
      </c>
      <c r="M7579" s="51" t="s">
        <v>12477</v>
      </c>
      <c r="N7579" s="49" t="n">
        <v>0</v>
      </c>
      <c r="O7579" s="53" t="n">
        <v>46006.6480902778</v>
      </c>
      <c r="P7579" s="53" t="n">
        <v>46016.5614699074</v>
      </c>
      <c r="Q7579" s="53" t="n">
        <v>46006.6480902778</v>
      </c>
      <c r="R7579" s="0" t="n">
        <v>0</v>
      </c>
      <c r="S7579" s="51" t="s">
        <v>2356</v>
      </c>
      <c r="T7579" s="51" t="s">
        <v>2356</v>
      </c>
      <c r="U7579" s="51" t="s">
        <v>10072</v>
      </c>
      <c r="V7579" s="51" t="s">
        <v>2365</v>
      </c>
      <c r="W7579" s="51" t="s">
        <v>4130</v>
      </c>
      <c r="X7579" s="51" t="s">
        <v>2359</v>
      </c>
    </row>
    <row r="7580" customFormat="false" ht="17.55" hidden="true" customHeight="false" outlineLevel="0" collapsed="false">
      <c r="A7580" s="49" t="s">
        <v>2349</v>
      </c>
      <c r="B7580" s="49" t="s">
        <v>2350</v>
      </c>
      <c r="C7580" s="49" t="s">
        <v>12480</v>
      </c>
      <c r="D7580" s="49" t="s">
        <v>2352</v>
      </c>
      <c r="E7580" s="49" t="s">
        <v>10077</v>
      </c>
      <c r="F7580" s="49" t="s">
        <v>10078</v>
      </c>
      <c r="G7580" s="49" t="n">
        <v>0</v>
      </c>
      <c r="H7580" s="0" t="n">
        <v>0</v>
      </c>
      <c r="M7580" s="51" t="s">
        <v>12477</v>
      </c>
      <c r="N7580" s="49" t="n">
        <v>0</v>
      </c>
      <c r="O7580" s="53" t="n">
        <v>46006.6473263889</v>
      </c>
      <c r="P7580" s="53" t="n">
        <v>46037.5929398148</v>
      </c>
      <c r="Q7580" s="53" t="n">
        <v>46006.6473263889</v>
      </c>
      <c r="R7580" s="0" t="n">
        <v>0</v>
      </c>
      <c r="S7580" s="51" t="s">
        <v>2356</v>
      </c>
      <c r="T7580" s="51" t="s">
        <v>2356</v>
      </c>
      <c r="U7580" s="51" t="s">
        <v>10077</v>
      </c>
      <c r="V7580" s="51" t="s">
        <v>2365</v>
      </c>
      <c r="W7580" s="51" t="s">
        <v>8229</v>
      </c>
      <c r="X7580" s="51" t="s">
        <v>2359</v>
      </c>
    </row>
    <row r="7581" customFormat="false" ht="14.25" hidden="true" customHeight="false" outlineLevel="0" collapsed="false">
      <c r="A7581" s="49" t="s">
        <v>2349</v>
      </c>
      <c r="B7581" s="49" t="s">
        <v>2350</v>
      </c>
      <c r="C7581" s="49" t="s">
        <v>12481</v>
      </c>
      <c r="D7581" s="49" t="s">
        <v>2352</v>
      </c>
      <c r="E7581" s="49" t="str">
        <f aca="false">"30210890"</f>
        <v>30210890</v>
      </c>
      <c r="F7581" s="49" t="s">
        <v>12009</v>
      </c>
      <c r="G7581" s="49" t="n">
        <v>0</v>
      </c>
      <c r="H7581" s="0" t="n">
        <v>0</v>
      </c>
      <c r="M7581" s="51" t="s">
        <v>12482</v>
      </c>
      <c r="N7581" s="49" t="n">
        <v>0</v>
      </c>
      <c r="O7581" s="53" t="n">
        <v>46011.5169097222</v>
      </c>
      <c r="P7581" s="53" t="n">
        <v>46026.5769675926</v>
      </c>
      <c r="Q7581" s="53" t="n">
        <v>46011.5169097222</v>
      </c>
      <c r="R7581" s="0" t="n">
        <v>0</v>
      </c>
      <c r="S7581" s="51" t="s">
        <v>2356</v>
      </c>
      <c r="T7581" s="51" t="s">
        <v>2356</v>
      </c>
      <c r="U7581" s="0" t="str">
        <f aca="false">"30210890"</f>
        <v>30210890</v>
      </c>
      <c r="V7581" s="51" t="s">
        <v>2365</v>
      </c>
      <c r="W7581" s="51" t="s">
        <v>5157</v>
      </c>
      <c r="X7581" s="51" t="s">
        <v>2359</v>
      </c>
    </row>
    <row r="7582" customFormat="false" ht="14.25" hidden="true" customHeight="false" outlineLevel="0" collapsed="false">
      <c r="A7582" s="49" t="s">
        <v>2349</v>
      </c>
      <c r="B7582" s="49" t="s">
        <v>2350</v>
      </c>
      <c r="C7582" s="49" t="s">
        <v>12483</v>
      </c>
      <c r="D7582" s="49" t="s">
        <v>2352</v>
      </c>
      <c r="E7582" s="49" t="str">
        <f aca="false">"30210890"</f>
        <v>30210890</v>
      </c>
      <c r="F7582" s="49" t="s">
        <v>12009</v>
      </c>
      <c r="G7582" s="49" t="n">
        <v>0</v>
      </c>
      <c r="H7582" s="0" t="n">
        <v>0</v>
      </c>
      <c r="M7582" s="51" t="s">
        <v>12482</v>
      </c>
      <c r="N7582" s="49" t="n">
        <v>0</v>
      </c>
      <c r="O7582" s="53" t="n">
        <v>46011.5163773148</v>
      </c>
      <c r="P7582" s="53" t="n">
        <v>46040.4522453704</v>
      </c>
      <c r="Q7582" s="53" t="n">
        <v>46011.5163773148</v>
      </c>
      <c r="R7582" s="0" t="n">
        <v>0</v>
      </c>
      <c r="S7582" s="51" t="s">
        <v>2356</v>
      </c>
      <c r="T7582" s="51" t="s">
        <v>2356</v>
      </c>
      <c r="U7582" s="0" t="str">
        <f aca="false">"30210890"</f>
        <v>30210890</v>
      </c>
      <c r="V7582" s="51" t="s">
        <v>2365</v>
      </c>
      <c r="W7582" s="51" t="s">
        <v>4588</v>
      </c>
      <c r="X7582" s="51" t="s">
        <v>2359</v>
      </c>
    </row>
    <row r="7583" customFormat="false" ht="14.25" hidden="true" customHeight="false" outlineLevel="0" collapsed="false">
      <c r="A7583" s="49" t="s">
        <v>2349</v>
      </c>
      <c r="B7583" s="49" t="s">
        <v>2350</v>
      </c>
      <c r="C7583" s="49" t="s">
        <v>12484</v>
      </c>
      <c r="D7583" s="49" t="s">
        <v>2352</v>
      </c>
      <c r="E7583" s="49" t="str">
        <f aca="false">"1000001442"</f>
        <v>1000001442</v>
      </c>
      <c r="F7583" s="49" t="s">
        <v>10661</v>
      </c>
      <c r="G7583" s="49" t="n">
        <v>0</v>
      </c>
      <c r="H7583" s="0" t="n">
        <v>0</v>
      </c>
      <c r="M7583" s="51" t="s">
        <v>12482</v>
      </c>
      <c r="N7583" s="49" t="n">
        <v>0</v>
      </c>
      <c r="O7583" s="53" t="n">
        <v>46011.5150462963</v>
      </c>
      <c r="P7583" s="53" t="n">
        <v>46047.62125</v>
      </c>
      <c r="Q7583" s="53" t="n">
        <v>46011.5150462963</v>
      </c>
      <c r="R7583" s="0" t="n">
        <v>0</v>
      </c>
      <c r="S7583" s="51" t="s">
        <v>2356</v>
      </c>
      <c r="T7583" s="51" t="s">
        <v>2356</v>
      </c>
      <c r="U7583" s="0" t="str">
        <f aca="false">"1000001442"</f>
        <v>1000001442</v>
      </c>
      <c r="V7583" s="51" t="s">
        <v>2365</v>
      </c>
      <c r="W7583" s="51" t="s">
        <v>7397</v>
      </c>
      <c r="X7583" s="51" t="s">
        <v>2359</v>
      </c>
    </row>
    <row r="7584" customFormat="false" ht="14.25" hidden="true" customHeight="false" outlineLevel="0" collapsed="false">
      <c r="A7584" s="49" t="s">
        <v>2349</v>
      </c>
      <c r="B7584" s="49" t="s">
        <v>2350</v>
      </c>
      <c r="C7584" s="49" t="s">
        <v>12485</v>
      </c>
      <c r="D7584" s="49" t="s">
        <v>2352</v>
      </c>
      <c r="E7584" s="49" t="str">
        <f aca="false">"111705"</f>
        <v>111705</v>
      </c>
      <c r="F7584" s="49" t="s">
        <v>12486</v>
      </c>
      <c r="G7584" s="49" t="n">
        <v>0</v>
      </c>
      <c r="H7584" s="0" t="n">
        <v>0</v>
      </c>
      <c r="M7584" s="51" t="s">
        <v>12482</v>
      </c>
      <c r="N7584" s="49" t="n">
        <v>0</v>
      </c>
      <c r="O7584" s="53" t="n">
        <v>46011.5009953704</v>
      </c>
      <c r="P7584" s="53" t="n">
        <v>46014.6250694444</v>
      </c>
      <c r="Q7584" s="53" t="n">
        <v>46011.5009953704</v>
      </c>
      <c r="R7584" s="0" t="n">
        <v>0</v>
      </c>
      <c r="S7584" s="51" t="s">
        <v>2356</v>
      </c>
      <c r="T7584" s="51" t="s">
        <v>2356</v>
      </c>
      <c r="U7584" s="0" t="str">
        <f aca="false">"111705"</f>
        <v>111705</v>
      </c>
      <c r="V7584" s="51" t="s">
        <v>10644</v>
      </c>
      <c r="W7584" s="51" t="s">
        <v>4122</v>
      </c>
      <c r="X7584" s="51" t="s">
        <v>2359</v>
      </c>
    </row>
    <row r="7585" customFormat="false" ht="17.55" hidden="true" customHeight="false" outlineLevel="0" collapsed="false">
      <c r="A7585" s="49" t="s">
        <v>2349</v>
      </c>
      <c r="B7585" s="49" t="s">
        <v>2350</v>
      </c>
      <c r="C7585" s="49" t="s">
        <v>12487</v>
      </c>
      <c r="D7585" s="49" t="s">
        <v>2352</v>
      </c>
      <c r="E7585" s="49" t="str">
        <f aca="false">"1000007564"</f>
        <v>1000007564</v>
      </c>
      <c r="F7585" s="49" t="s">
        <v>10641</v>
      </c>
      <c r="G7585" s="49" t="n">
        <v>0</v>
      </c>
      <c r="H7585" s="0" t="n">
        <v>0</v>
      </c>
      <c r="M7585" s="51" t="s">
        <v>12482</v>
      </c>
      <c r="N7585" s="49" t="n">
        <v>0</v>
      </c>
      <c r="O7585" s="53" t="n">
        <v>46011.4986689815</v>
      </c>
      <c r="P7585" s="53" t="n">
        <v>46018.481400463</v>
      </c>
      <c r="Q7585" s="53" t="n">
        <v>46011.4986689815</v>
      </c>
      <c r="R7585" s="0" t="n">
        <v>0</v>
      </c>
      <c r="S7585" s="51" t="s">
        <v>2356</v>
      </c>
      <c r="T7585" s="51" t="s">
        <v>2356</v>
      </c>
      <c r="U7585" s="0" t="str">
        <f aca="false">"1000007564"</f>
        <v>1000007564</v>
      </c>
      <c r="V7585" s="51" t="s">
        <v>2365</v>
      </c>
      <c r="W7585" s="51" t="s">
        <v>4120</v>
      </c>
      <c r="X7585" s="51" t="s">
        <v>2359</v>
      </c>
    </row>
    <row r="7586" customFormat="false" ht="17.55" hidden="true" customHeight="false" outlineLevel="0" collapsed="false">
      <c r="A7586" s="49" t="s">
        <v>2349</v>
      </c>
      <c r="B7586" s="49" t="s">
        <v>2350</v>
      </c>
      <c r="C7586" s="49" t="s">
        <v>12488</v>
      </c>
      <c r="D7586" s="49" t="s">
        <v>2352</v>
      </c>
      <c r="E7586" s="49" t="str">
        <f aca="false">"1000007564"</f>
        <v>1000007564</v>
      </c>
      <c r="F7586" s="49" t="s">
        <v>10641</v>
      </c>
      <c r="G7586" s="49" t="n">
        <v>0</v>
      </c>
      <c r="H7586" s="0" t="n">
        <v>0</v>
      </c>
      <c r="M7586" s="51" t="s">
        <v>12482</v>
      </c>
      <c r="N7586" s="49" t="n">
        <v>0</v>
      </c>
      <c r="O7586" s="53" t="n">
        <v>46011.4980902778</v>
      </c>
      <c r="P7586" s="53" t="n">
        <v>46018.4791550926</v>
      </c>
      <c r="Q7586" s="53" t="n">
        <v>46011.4980902778</v>
      </c>
      <c r="R7586" s="0" t="n">
        <v>0</v>
      </c>
      <c r="S7586" s="51" t="s">
        <v>2356</v>
      </c>
      <c r="T7586" s="51" t="s">
        <v>2356</v>
      </c>
      <c r="U7586" s="0" t="str">
        <f aca="false">"1000007564"</f>
        <v>1000007564</v>
      </c>
      <c r="V7586" s="51" t="s">
        <v>2365</v>
      </c>
      <c r="W7586" s="51" t="s">
        <v>6881</v>
      </c>
      <c r="X7586" s="51" t="s">
        <v>2359</v>
      </c>
    </row>
    <row r="7587" customFormat="false" ht="17.55" hidden="true" customHeight="false" outlineLevel="0" collapsed="false">
      <c r="A7587" s="49" t="s">
        <v>2349</v>
      </c>
      <c r="B7587" s="49" t="s">
        <v>2350</v>
      </c>
      <c r="C7587" s="49" t="s">
        <v>12489</v>
      </c>
      <c r="D7587" s="49" t="s">
        <v>2352</v>
      </c>
      <c r="E7587" s="49" t="str">
        <f aca="false">"1000007564"</f>
        <v>1000007564</v>
      </c>
      <c r="F7587" s="49" t="s">
        <v>10641</v>
      </c>
      <c r="G7587" s="49" t="n">
        <v>0</v>
      </c>
      <c r="H7587" s="0" t="n">
        <v>0</v>
      </c>
      <c r="M7587" s="51" t="s">
        <v>12482</v>
      </c>
      <c r="N7587" s="49" t="n">
        <v>0</v>
      </c>
      <c r="O7587" s="53" t="n">
        <v>46011.4974537037</v>
      </c>
      <c r="P7587" s="53" t="n">
        <v>46027.510462963</v>
      </c>
      <c r="Q7587" s="53" t="n">
        <v>46011.4974537037</v>
      </c>
      <c r="R7587" s="0" t="n">
        <v>0</v>
      </c>
      <c r="S7587" s="51" t="s">
        <v>2356</v>
      </c>
      <c r="T7587" s="51" t="s">
        <v>2356</v>
      </c>
      <c r="U7587" s="0" t="str">
        <f aca="false">"1000007564"</f>
        <v>1000007564</v>
      </c>
      <c r="V7587" s="51" t="s">
        <v>2365</v>
      </c>
      <c r="W7587" s="51" t="s">
        <v>4357</v>
      </c>
      <c r="X7587" s="51" t="s">
        <v>2359</v>
      </c>
    </row>
    <row r="7588" customFormat="false" ht="17.55" hidden="true" customHeight="false" outlineLevel="0" collapsed="false">
      <c r="A7588" s="49" t="s">
        <v>2349</v>
      </c>
      <c r="B7588" s="49" t="s">
        <v>2350</v>
      </c>
      <c r="C7588" s="49" t="s">
        <v>12490</v>
      </c>
      <c r="D7588" s="49" t="s">
        <v>2352</v>
      </c>
      <c r="E7588" s="49" t="str">
        <f aca="false">"1000007564"</f>
        <v>1000007564</v>
      </c>
      <c r="F7588" s="49" t="s">
        <v>10641</v>
      </c>
      <c r="G7588" s="49" t="n">
        <v>0</v>
      </c>
      <c r="H7588" s="0" t="n">
        <v>0</v>
      </c>
      <c r="M7588" s="51" t="s">
        <v>12482</v>
      </c>
      <c r="N7588" s="49" t="n">
        <v>0</v>
      </c>
      <c r="O7588" s="53" t="n">
        <v>46011.4970486111</v>
      </c>
      <c r="P7588" s="53" t="n">
        <v>46027.5103472222</v>
      </c>
      <c r="Q7588" s="53" t="n">
        <v>46011.4970486111</v>
      </c>
      <c r="R7588" s="0" t="n">
        <v>0</v>
      </c>
      <c r="S7588" s="51" t="s">
        <v>2356</v>
      </c>
      <c r="T7588" s="51" t="s">
        <v>2356</v>
      </c>
      <c r="U7588" s="0" t="str">
        <f aca="false">"1000007564"</f>
        <v>1000007564</v>
      </c>
      <c r="V7588" s="51" t="s">
        <v>2365</v>
      </c>
      <c r="W7588" s="51" t="s">
        <v>5983</v>
      </c>
      <c r="X7588" s="51" t="s">
        <v>2359</v>
      </c>
    </row>
    <row r="7589" customFormat="false" ht="17.55" hidden="true" customHeight="false" outlineLevel="0" collapsed="false">
      <c r="A7589" s="49" t="s">
        <v>2349</v>
      </c>
      <c r="B7589" s="49" t="s">
        <v>2350</v>
      </c>
      <c r="C7589" s="49" t="s">
        <v>12491</v>
      </c>
      <c r="D7589" s="49" t="s">
        <v>2352</v>
      </c>
      <c r="E7589" s="49" t="str">
        <f aca="false">"1000007564"</f>
        <v>1000007564</v>
      </c>
      <c r="F7589" s="49" t="s">
        <v>10641</v>
      </c>
      <c r="G7589" s="49" t="n">
        <v>0</v>
      </c>
      <c r="H7589" s="0" t="n">
        <v>0</v>
      </c>
      <c r="M7589" s="51" t="s">
        <v>12482</v>
      </c>
      <c r="N7589" s="49" t="n">
        <v>0</v>
      </c>
      <c r="O7589" s="53" t="n">
        <v>46011.4962268519</v>
      </c>
      <c r="P7589" s="53" t="n">
        <v>46043.481400463</v>
      </c>
      <c r="Q7589" s="53" t="n">
        <v>46011.4962268519</v>
      </c>
      <c r="R7589" s="0" t="n">
        <v>0</v>
      </c>
      <c r="S7589" s="51" t="s">
        <v>2356</v>
      </c>
      <c r="T7589" s="51" t="s">
        <v>2356</v>
      </c>
      <c r="U7589" s="0" t="str">
        <f aca="false">"1000007564"</f>
        <v>1000007564</v>
      </c>
      <c r="V7589" s="51" t="s">
        <v>2365</v>
      </c>
      <c r="W7589" s="51" t="s">
        <v>4160</v>
      </c>
      <c r="X7589" s="51" t="s">
        <v>2359</v>
      </c>
    </row>
    <row r="7590" customFormat="false" ht="14.25" hidden="true" customHeight="false" outlineLevel="0" collapsed="false">
      <c r="A7590" s="49" t="s">
        <v>2349</v>
      </c>
      <c r="B7590" s="49" t="s">
        <v>2350</v>
      </c>
      <c r="C7590" s="49" t="s">
        <v>12492</v>
      </c>
      <c r="D7590" s="49" t="s">
        <v>2352</v>
      </c>
      <c r="E7590" s="49" t="str">
        <f aca="false">"1000010375"</f>
        <v>1000010375</v>
      </c>
      <c r="F7590" s="49" t="s">
        <v>10651</v>
      </c>
      <c r="G7590" s="49" t="n">
        <v>0</v>
      </c>
      <c r="H7590" s="0" t="n">
        <v>0</v>
      </c>
      <c r="M7590" s="51" t="s">
        <v>12482</v>
      </c>
      <c r="N7590" s="49" t="n">
        <v>0</v>
      </c>
      <c r="O7590" s="53" t="n">
        <v>46011.4947685185</v>
      </c>
      <c r="P7590" s="53" t="n">
        <v>46047.3607291667</v>
      </c>
      <c r="Q7590" s="53" t="n">
        <v>46011.4947685185</v>
      </c>
      <c r="R7590" s="0" t="n">
        <v>0</v>
      </c>
      <c r="S7590" s="51" t="s">
        <v>2356</v>
      </c>
      <c r="T7590" s="51" t="s">
        <v>2356</v>
      </c>
      <c r="U7590" s="0" t="str">
        <f aca="false">"1000010375"</f>
        <v>1000010375</v>
      </c>
      <c r="V7590" s="51" t="s">
        <v>2365</v>
      </c>
      <c r="W7590" s="51" t="s">
        <v>5397</v>
      </c>
      <c r="X7590" s="51" t="s">
        <v>2359</v>
      </c>
    </row>
    <row r="7591" customFormat="false" ht="14.25" hidden="true" customHeight="false" outlineLevel="0" collapsed="false">
      <c r="A7591" s="49" t="s">
        <v>2349</v>
      </c>
      <c r="B7591" s="49" t="s">
        <v>2350</v>
      </c>
      <c r="C7591" s="49" t="s">
        <v>12493</v>
      </c>
      <c r="D7591" s="49" t="s">
        <v>2352</v>
      </c>
      <c r="E7591" s="49" t="str">
        <f aca="false">"1000010375"</f>
        <v>1000010375</v>
      </c>
      <c r="F7591" s="49" t="s">
        <v>10651</v>
      </c>
      <c r="G7591" s="49" t="n">
        <v>0</v>
      </c>
      <c r="H7591" s="0" t="n">
        <v>0</v>
      </c>
      <c r="M7591" s="51" t="s">
        <v>12482</v>
      </c>
      <c r="N7591" s="49" t="n">
        <v>0</v>
      </c>
      <c r="O7591" s="53" t="n">
        <v>46011.4942708333</v>
      </c>
      <c r="P7591" s="53" t="n">
        <v>46057.387025463</v>
      </c>
      <c r="Q7591" s="53" t="n">
        <v>46011.4942708333</v>
      </c>
      <c r="R7591" s="0" t="n">
        <v>0</v>
      </c>
      <c r="S7591" s="51" t="s">
        <v>2356</v>
      </c>
      <c r="T7591" s="51" t="s">
        <v>2356</v>
      </c>
      <c r="U7591" s="0" t="str">
        <f aca="false">"1000010375"</f>
        <v>1000010375</v>
      </c>
      <c r="V7591" s="51" t="s">
        <v>2365</v>
      </c>
      <c r="W7591" s="51" t="s">
        <v>5759</v>
      </c>
      <c r="X7591" s="51" t="s">
        <v>2359</v>
      </c>
    </row>
    <row r="7592" customFormat="false" ht="14.25" hidden="true" customHeight="false" outlineLevel="0" collapsed="false">
      <c r="A7592" s="49" t="s">
        <v>2349</v>
      </c>
      <c r="B7592" s="49" t="s">
        <v>2350</v>
      </c>
      <c r="C7592" s="49" t="s">
        <v>12494</v>
      </c>
      <c r="D7592" s="49" t="s">
        <v>2352</v>
      </c>
      <c r="E7592" s="49" t="str">
        <f aca="false">"1000005565"</f>
        <v>1000005565</v>
      </c>
      <c r="F7592" s="49" t="s">
        <v>10658</v>
      </c>
      <c r="G7592" s="49" t="n">
        <v>0</v>
      </c>
      <c r="H7592" s="0" t="n">
        <v>0</v>
      </c>
      <c r="M7592" s="51" t="s">
        <v>12482</v>
      </c>
      <c r="N7592" s="49" t="n">
        <v>0</v>
      </c>
      <c r="O7592" s="53" t="n">
        <v>46011.4925810185</v>
      </c>
      <c r="P7592" s="53" t="n">
        <v>46043.4809606482</v>
      </c>
      <c r="Q7592" s="53" t="n">
        <v>46011.4925810185</v>
      </c>
      <c r="R7592" s="0" t="n">
        <v>0</v>
      </c>
      <c r="S7592" s="51" t="s">
        <v>2356</v>
      </c>
      <c r="T7592" s="51" t="s">
        <v>2356</v>
      </c>
      <c r="U7592" s="0" t="str">
        <f aca="false">"1000005565"</f>
        <v>1000005565</v>
      </c>
      <c r="V7592" s="51" t="s">
        <v>2365</v>
      </c>
      <c r="W7592" s="51" t="s">
        <v>5466</v>
      </c>
      <c r="X7592" s="51" t="s">
        <v>2359</v>
      </c>
    </row>
    <row r="7593" customFormat="false" ht="14.25" hidden="true" customHeight="false" outlineLevel="0" collapsed="false">
      <c r="A7593" s="49" t="s">
        <v>2349</v>
      </c>
      <c r="B7593" s="49" t="s">
        <v>2350</v>
      </c>
      <c r="C7593" s="49" t="s">
        <v>12495</v>
      </c>
      <c r="D7593" s="49" t="s">
        <v>2352</v>
      </c>
      <c r="E7593" s="49" t="str">
        <f aca="false">"1000005565"</f>
        <v>1000005565</v>
      </c>
      <c r="F7593" s="49" t="s">
        <v>10658</v>
      </c>
      <c r="G7593" s="49" t="n">
        <v>0</v>
      </c>
      <c r="H7593" s="0" t="n">
        <v>0</v>
      </c>
      <c r="M7593" s="51" t="s">
        <v>12482</v>
      </c>
      <c r="N7593" s="49" t="n">
        <v>0</v>
      </c>
      <c r="O7593" s="53" t="n">
        <v>46011.4922106481</v>
      </c>
      <c r="P7593" s="53" t="n">
        <v>46023.5169560185</v>
      </c>
      <c r="Q7593" s="53" t="n">
        <v>46011.4922106481</v>
      </c>
      <c r="R7593" s="0" t="n">
        <v>0</v>
      </c>
      <c r="S7593" s="51" t="s">
        <v>2356</v>
      </c>
      <c r="T7593" s="51" t="s">
        <v>2356</v>
      </c>
      <c r="U7593" s="0" t="str">
        <f aca="false">"1000005565"</f>
        <v>1000005565</v>
      </c>
      <c r="V7593" s="51" t="s">
        <v>2365</v>
      </c>
      <c r="W7593" s="51" t="s">
        <v>3754</v>
      </c>
      <c r="X7593" s="51" t="s">
        <v>2359</v>
      </c>
    </row>
    <row r="7594" customFormat="false" ht="14.25" hidden="true" customHeight="false" outlineLevel="0" collapsed="false">
      <c r="A7594" s="49" t="s">
        <v>2349</v>
      </c>
      <c r="B7594" s="49" t="s">
        <v>2350</v>
      </c>
      <c r="C7594" s="49" t="s">
        <v>12496</v>
      </c>
      <c r="D7594" s="49" t="s">
        <v>2352</v>
      </c>
      <c r="E7594" s="49" t="str">
        <f aca="false">"1000005565"</f>
        <v>1000005565</v>
      </c>
      <c r="F7594" s="49" t="s">
        <v>10658</v>
      </c>
      <c r="G7594" s="49" t="n">
        <v>0</v>
      </c>
      <c r="H7594" s="0" t="n">
        <v>0</v>
      </c>
      <c r="M7594" s="51" t="s">
        <v>12482</v>
      </c>
      <c r="N7594" s="49" t="n">
        <v>0</v>
      </c>
      <c r="O7594" s="53" t="n">
        <v>46011.491724537</v>
      </c>
      <c r="P7594" s="53" t="n">
        <v>46023.5165856482</v>
      </c>
      <c r="Q7594" s="53" t="n">
        <v>46011.491724537</v>
      </c>
      <c r="R7594" s="0" t="n">
        <v>0</v>
      </c>
      <c r="S7594" s="51" t="s">
        <v>2356</v>
      </c>
      <c r="T7594" s="51" t="s">
        <v>2356</v>
      </c>
      <c r="U7594" s="0" t="str">
        <f aca="false">"1000005565"</f>
        <v>1000005565</v>
      </c>
      <c r="V7594" s="51" t="s">
        <v>2365</v>
      </c>
      <c r="W7594" s="51" t="s">
        <v>4607</v>
      </c>
      <c r="X7594" s="51" t="s">
        <v>2359</v>
      </c>
    </row>
    <row r="7595" customFormat="false" ht="14.25" hidden="true" customHeight="false" outlineLevel="0" collapsed="false">
      <c r="A7595" s="49" t="s">
        <v>2349</v>
      </c>
      <c r="B7595" s="49" t="s">
        <v>2350</v>
      </c>
      <c r="C7595" s="49" t="s">
        <v>12497</v>
      </c>
      <c r="D7595" s="49" t="s">
        <v>2352</v>
      </c>
      <c r="E7595" s="49" t="str">
        <f aca="false">"1000005565"</f>
        <v>1000005565</v>
      </c>
      <c r="F7595" s="49" t="s">
        <v>10658</v>
      </c>
      <c r="G7595" s="49" t="n">
        <v>0</v>
      </c>
      <c r="H7595" s="0" t="n">
        <v>0</v>
      </c>
      <c r="M7595" s="51" t="s">
        <v>12482</v>
      </c>
      <c r="N7595" s="49" t="n">
        <v>0</v>
      </c>
      <c r="O7595" s="53" t="n">
        <v>46011.4908333333</v>
      </c>
      <c r="P7595" s="53" t="n">
        <v>46016.5653009259</v>
      </c>
      <c r="Q7595" s="53" t="n">
        <v>46011.4908333333</v>
      </c>
      <c r="R7595" s="0" t="n">
        <v>0</v>
      </c>
      <c r="S7595" s="51" t="s">
        <v>2356</v>
      </c>
      <c r="T7595" s="51" t="s">
        <v>2356</v>
      </c>
      <c r="U7595" s="0" t="str">
        <f aca="false">"1000005565"</f>
        <v>1000005565</v>
      </c>
      <c r="V7595" s="51" t="s">
        <v>2365</v>
      </c>
      <c r="W7595" s="51" t="s">
        <v>5159</v>
      </c>
      <c r="X7595" s="51" t="s">
        <v>2359</v>
      </c>
    </row>
    <row r="7596" customFormat="false" ht="14.25" hidden="true" customHeight="false" outlineLevel="0" collapsed="false">
      <c r="A7596" s="49" t="s">
        <v>2349</v>
      </c>
      <c r="B7596" s="49" t="s">
        <v>2350</v>
      </c>
      <c r="C7596" s="49" t="s">
        <v>12498</v>
      </c>
      <c r="D7596" s="49" t="s">
        <v>2352</v>
      </c>
      <c r="E7596" s="49" t="str">
        <f aca="false">"5060458890191"</f>
        <v>5060458890191</v>
      </c>
      <c r="F7596" s="49" t="s">
        <v>3656</v>
      </c>
      <c r="G7596" s="49" t="n">
        <v>0</v>
      </c>
      <c r="H7596" s="0" t="n">
        <v>0</v>
      </c>
      <c r="M7596" s="51" t="s">
        <v>12499</v>
      </c>
      <c r="N7596" s="49" t="n">
        <v>0</v>
      </c>
      <c r="O7596" s="53" t="n">
        <v>46004.6303356482</v>
      </c>
      <c r="P7596" s="53" t="n">
        <v>46020.3906018519</v>
      </c>
      <c r="Q7596" s="53" t="n">
        <v>46004.6303356482</v>
      </c>
      <c r="R7596" s="0" t="n">
        <v>0</v>
      </c>
      <c r="S7596" s="51" t="s">
        <v>2401</v>
      </c>
      <c r="T7596" s="51" t="s">
        <v>2401</v>
      </c>
      <c r="U7596" s="0" t="str">
        <f aca="false">"5060458890191"</f>
        <v>5060458890191</v>
      </c>
      <c r="V7596" s="51" t="s">
        <v>2142</v>
      </c>
      <c r="W7596" s="51" t="s">
        <v>6586</v>
      </c>
      <c r="X7596" s="51" t="s">
        <v>2359</v>
      </c>
    </row>
    <row r="7597" customFormat="false" ht="14.25" hidden="true" customHeight="false" outlineLevel="0" collapsed="false">
      <c r="A7597" s="49" t="s">
        <v>2349</v>
      </c>
      <c r="B7597" s="49" t="s">
        <v>2350</v>
      </c>
      <c r="C7597" s="49" t="s">
        <v>12500</v>
      </c>
      <c r="D7597" s="49" t="s">
        <v>2352</v>
      </c>
      <c r="E7597" s="49" t="str">
        <f aca="false">"5060458890191"</f>
        <v>5060458890191</v>
      </c>
      <c r="F7597" s="49" t="s">
        <v>3656</v>
      </c>
      <c r="G7597" s="49" t="n">
        <v>0</v>
      </c>
      <c r="H7597" s="0" t="n">
        <v>0</v>
      </c>
      <c r="M7597" s="51" t="s">
        <v>12499</v>
      </c>
      <c r="N7597" s="49" t="n">
        <v>0</v>
      </c>
      <c r="O7597" s="53" t="n">
        <v>46004.6304398148</v>
      </c>
      <c r="P7597" s="53" t="n">
        <v>46020.3336111111</v>
      </c>
      <c r="Q7597" s="53" t="n">
        <v>46004.6304398148</v>
      </c>
      <c r="R7597" s="0" t="n">
        <v>0</v>
      </c>
      <c r="S7597" s="51" t="s">
        <v>2401</v>
      </c>
      <c r="T7597" s="51" t="s">
        <v>2401</v>
      </c>
      <c r="U7597" s="0" t="str">
        <f aca="false">"5060458890191"</f>
        <v>5060458890191</v>
      </c>
      <c r="V7597" s="51" t="s">
        <v>2142</v>
      </c>
      <c r="W7597" s="51" t="s">
        <v>5803</v>
      </c>
      <c r="X7597" s="51" t="s">
        <v>2359</v>
      </c>
    </row>
    <row r="7598" customFormat="false" ht="14.25" hidden="true" customHeight="false" outlineLevel="0" collapsed="false">
      <c r="A7598" s="49" t="s">
        <v>2349</v>
      </c>
      <c r="B7598" s="49" t="s">
        <v>2350</v>
      </c>
      <c r="C7598" s="49" t="s">
        <v>12501</v>
      </c>
      <c r="D7598" s="49" t="s">
        <v>2352</v>
      </c>
      <c r="E7598" s="49" t="str">
        <f aca="false">"5060458890191"</f>
        <v>5060458890191</v>
      </c>
      <c r="F7598" s="49" t="s">
        <v>3656</v>
      </c>
      <c r="G7598" s="49" t="n">
        <v>0</v>
      </c>
      <c r="H7598" s="0" t="n">
        <v>0</v>
      </c>
      <c r="M7598" s="51" t="s">
        <v>12499</v>
      </c>
      <c r="N7598" s="49" t="n">
        <v>0</v>
      </c>
      <c r="O7598" s="53" t="n">
        <v>46004.6305671296</v>
      </c>
      <c r="P7598" s="53" t="n">
        <v>46011.5267476852</v>
      </c>
      <c r="Q7598" s="53" t="n">
        <v>46004.6305671296</v>
      </c>
      <c r="R7598" s="0" t="n">
        <v>0</v>
      </c>
      <c r="S7598" s="51" t="s">
        <v>2401</v>
      </c>
      <c r="T7598" s="51" t="s">
        <v>2401</v>
      </c>
      <c r="U7598" s="0" t="str">
        <f aca="false">"5060458890191"</f>
        <v>5060458890191</v>
      </c>
      <c r="V7598" s="51" t="s">
        <v>2142</v>
      </c>
      <c r="W7598" s="51" t="s">
        <v>10576</v>
      </c>
      <c r="X7598" s="51" t="s">
        <v>2359</v>
      </c>
    </row>
    <row r="7599" customFormat="false" ht="14.25" hidden="true" customHeight="false" outlineLevel="0" collapsed="false">
      <c r="A7599" s="49" t="s">
        <v>2349</v>
      </c>
      <c r="B7599" s="49" t="s">
        <v>2350</v>
      </c>
      <c r="C7599" s="49" t="s">
        <v>12502</v>
      </c>
      <c r="D7599" s="49" t="s">
        <v>2352</v>
      </c>
      <c r="E7599" s="49" t="str">
        <f aca="false">"5060458890191"</f>
        <v>5060458890191</v>
      </c>
      <c r="F7599" s="49" t="s">
        <v>3656</v>
      </c>
      <c r="G7599" s="49" t="n">
        <v>0</v>
      </c>
      <c r="H7599" s="0" t="n">
        <v>0</v>
      </c>
      <c r="M7599" s="51" t="s">
        <v>12499</v>
      </c>
      <c r="N7599" s="49" t="n">
        <v>0</v>
      </c>
      <c r="O7599" s="53" t="n">
        <v>46004.6306712963</v>
      </c>
      <c r="P7599" s="53" t="n">
        <v>46020.3904976852</v>
      </c>
      <c r="Q7599" s="53" t="n">
        <v>46004.6306712963</v>
      </c>
      <c r="R7599" s="0" t="n">
        <v>0</v>
      </c>
      <c r="S7599" s="51" t="s">
        <v>2401</v>
      </c>
      <c r="T7599" s="51" t="s">
        <v>2401</v>
      </c>
      <c r="U7599" s="0" t="str">
        <f aca="false">"5060458890191"</f>
        <v>5060458890191</v>
      </c>
      <c r="V7599" s="51" t="s">
        <v>2142</v>
      </c>
      <c r="W7599" s="51" t="s">
        <v>10822</v>
      </c>
      <c r="X7599" s="51" t="s">
        <v>2359</v>
      </c>
    </row>
    <row r="7600" customFormat="false" ht="14.25" hidden="true" customHeight="false" outlineLevel="0" collapsed="false">
      <c r="A7600" s="49" t="s">
        <v>2349</v>
      </c>
      <c r="B7600" s="49" t="s">
        <v>2350</v>
      </c>
      <c r="C7600" s="49" t="s">
        <v>12503</v>
      </c>
      <c r="D7600" s="49" t="s">
        <v>2352</v>
      </c>
      <c r="E7600" s="49" t="str">
        <f aca="false">"5060458890191"</f>
        <v>5060458890191</v>
      </c>
      <c r="F7600" s="49" t="s">
        <v>3656</v>
      </c>
      <c r="G7600" s="49" t="n">
        <v>0</v>
      </c>
      <c r="H7600" s="0" t="n">
        <v>0</v>
      </c>
      <c r="M7600" s="51" t="s">
        <v>12499</v>
      </c>
      <c r="N7600" s="49" t="n">
        <v>0</v>
      </c>
      <c r="O7600" s="53" t="n">
        <v>46004.630775463</v>
      </c>
      <c r="P7600" s="53" t="n">
        <v>46011.5223263889</v>
      </c>
      <c r="Q7600" s="53" t="n">
        <v>46004.630775463</v>
      </c>
      <c r="R7600" s="0" t="n">
        <v>0</v>
      </c>
      <c r="S7600" s="51" t="s">
        <v>2401</v>
      </c>
      <c r="T7600" s="51" t="s">
        <v>2401</v>
      </c>
      <c r="U7600" s="0" t="str">
        <f aca="false">"5060458890191"</f>
        <v>5060458890191</v>
      </c>
      <c r="V7600" s="51" t="s">
        <v>2142</v>
      </c>
      <c r="W7600" s="51" t="s">
        <v>4235</v>
      </c>
      <c r="X7600" s="51" t="s">
        <v>2359</v>
      </c>
    </row>
    <row r="7601" customFormat="false" ht="14.25" hidden="true" customHeight="false" outlineLevel="0" collapsed="false">
      <c r="A7601" s="49" t="s">
        <v>2349</v>
      </c>
      <c r="B7601" s="49" t="s">
        <v>2350</v>
      </c>
      <c r="C7601" s="49" t="s">
        <v>12504</v>
      </c>
      <c r="D7601" s="49" t="s">
        <v>2352</v>
      </c>
      <c r="E7601" s="49" t="str">
        <f aca="false">"5060458890191"</f>
        <v>5060458890191</v>
      </c>
      <c r="F7601" s="49" t="s">
        <v>3656</v>
      </c>
      <c r="G7601" s="49" t="n">
        <v>0</v>
      </c>
      <c r="H7601" s="0" t="n">
        <v>0</v>
      </c>
      <c r="M7601" s="51" t="s">
        <v>12499</v>
      </c>
      <c r="N7601" s="49" t="n">
        <v>0</v>
      </c>
      <c r="O7601" s="53" t="n">
        <v>46004.6309606481</v>
      </c>
      <c r="P7601" s="53" t="n">
        <v>46011.6057175926</v>
      </c>
      <c r="Q7601" s="53" t="n">
        <v>46004.6309606481</v>
      </c>
      <c r="R7601" s="0" t="n">
        <v>0</v>
      </c>
      <c r="S7601" s="51" t="s">
        <v>2401</v>
      </c>
      <c r="T7601" s="51" t="s">
        <v>2401</v>
      </c>
      <c r="U7601" s="0" t="str">
        <f aca="false">"5060458890191"</f>
        <v>5060458890191</v>
      </c>
      <c r="V7601" s="51" t="s">
        <v>2142</v>
      </c>
      <c r="W7601" s="51" t="s">
        <v>5816</v>
      </c>
      <c r="X7601" s="51" t="s">
        <v>2359</v>
      </c>
    </row>
    <row r="7602" customFormat="false" ht="14.25" hidden="true" customHeight="false" outlineLevel="0" collapsed="false">
      <c r="A7602" s="49" t="s">
        <v>2349</v>
      </c>
      <c r="B7602" s="49" t="s">
        <v>2350</v>
      </c>
      <c r="C7602" s="49" t="s">
        <v>12505</v>
      </c>
      <c r="D7602" s="49" t="s">
        <v>2352</v>
      </c>
      <c r="E7602" s="49" t="str">
        <f aca="false">"5060458890191"</f>
        <v>5060458890191</v>
      </c>
      <c r="F7602" s="49" t="s">
        <v>3656</v>
      </c>
      <c r="G7602" s="49" t="n">
        <v>0</v>
      </c>
      <c r="H7602" s="0" t="n">
        <v>0</v>
      </c>
      <c r="M7602" s="51" t="s">
        <v>12499</v>
      </c>
      <c r="N7602" s="49" t="n">
        <v>0</v>
      </c>
      <c r="O7602" s="53" t="n">
        <v>46004.6310648148</v>
      </c>
      <c r="P7602" s="53" t="n">
        <v>46011.5242013889</v>
      </c>
      <c r="Q7602" s="53" t="n">
        <v>46004.6310648148</v>
      </c>
      <c r="R7602" s="0" t="n">
        <v>0</v>
      </c>
      <c r="S7602" s="51" t="s">
        <v>2401</v>
      </c>
      <c r="T7602" s="51" t="s">
        <v>2401</v>
      </c>
      <c r="U7602" s="0" t="str">
        <f aca="false">"5060458890191"</f>
        <v>5060458890191</v>
      </c>
      <c r="V7602" s="51" t="s">
        <v>2142</v>
      </c>
      <c r="W7602" s="51" t="s">
        <v>4468</v>
      </c>
      <c r="X7602" s="51" t="s">
        <v>2359</v>
      </c>
    </row>
    <row r="7603" customFormat="false" ht="14.25" hidden="true" customHeight="false" outlineLevel="0" collapsed="false">
      <c r="A7603" s="49" t="s">
        <v>2349</v>
      </c>
      <c r="B7603" s="49" t="s">
        <v>2350</v>
      </c>
      <c r="C7603" s="49" t="s">
        <v>12506</v>
      </c>
      <c r="D7603" s="49" t="s">
        <v>2352</v>
      </c>
      <c r="E7603" s="49" t="str">
        <f aca="false">"5060458890191"</f>
        <v>5060458890191</v>
      </c>
      <c r="F7603" s="49" t="s">
        <v>3656</v>
      </c>
      <c r="G7603" s="49" t="n">
        <v>0</v>
      </c>
      <c r="H7603" s="0" t="n">
        <v>0</v>
      </c>
      <c r="M7603" s="51" t="s">
        <v>12499</v>
      </c>
      <c r="N7603" s="49" t="n">
        <v>0</v>
      </c>
      <c r="O7603" s="53" t="n">
        <v>46004.6299537037</v>
      </c>
      <c r="P7603" s="53" t="n">
        <v>46011.5212268519</v>
      </c>
      <c r="Q7603" s="53" t="n">
        <v>46004.6299537037</v>
      </c>
      <c r="R7603" s="0" t="n">
        <v>0</v>
      </c>
      <c r="S7603" s="51" t="s">
        <v>2401</v>
      </c>
      <c r="T7603" s="51" t="s">
        <v>2401</v>
      </c>
      <c r="U7603" s="0" t="str">
        <f aca="false">"5060458890191"</f>
        <v>5060458890191</v>
      </c>
      <c r="V7603" s="51" t="s">
        <v>2142</v>
      </c>
      <c r="W7603" s="51" t="s">
        <v>4897</v>
      </c>
      <c r="X7603" s="51" t="s">
        <v>2359</v>
      </c>
    </row>
    <row r="7604" customFormat="false" ht="14.25" hidden="true" customHeight="false" outlineLevel="0" collapsed="false">
      <c r="A7604" s="49" t="s">
        <v>2349</v>
      </c>
      <c r="B7604" s="49" t="s">
        <v>2350</v>
      </c>
      <c r="C7604" s="49" t="s">
        <v>12507</v>
      </c>
      <c r="D7604" s="49" t="s">
        <v>2352</v>
      </c>
      <c r="E7604" s="49" t="str">
        <f aca="false">"5060458890191"</f>
        <v>5060458890191</v>
      </c>
      <c r="F7604" s="49" t="s">
        <v>3656</v>
      </c>
      <c r="G7604" s="49" t="n">
        <v>0</v>
      </c>
      <c r="H7604" s="0" t="n">
        <v>0</v>
      </c>
      <c r="M7604" s="51" t="s">
        <v>12499</v>
      </c>
      <c r="N7604" s="49" t="n">
        <v>0</v>
      </c>
      <c r="O7604" s="53" t="n">
        <v>46004.6300925926</v>
      </c>
      <c r="P7604" s="53" t="n">
        <v>46019.5028587963</v>
      </c>
      <c r="Q7604" s="53" t="n">
        <v>46004.6300925926</v>
      </c>
      <c r="R7604" s="0" t="n">
        <v>0</v>
      </c>
      <c r="S7604" s="51" t="s">
        <v>2401</v>
      </c>
      <c r="T7604" s="51" t="s">
        <v>2401</v>
      </c>
      <c r="U7604" s="0" t="str">
        <f aca="false">"5060458890191"</f>
        <v>5060458890191</v>
      </c>
      <c r="V7604" s="51" t="s">
        <v>2142</v>
      </c>
      <c r="W7604" s="51" t="s">
        <v>10829</v>
      </c>
      <c r="X7604" s="51" t="s">
        <v>2359</v>
      </c>
    </row>
    <row r="7605" customFormat="false" ht="14.25" hidden="true" customHeight="false" outlineLevel="0" collapsed="false">
      <c r="A7605" s="49" t="s">
        <v>2349</v>
      </c>
      <c r="B7605" s="49" t="s">
        <v>2350</v>
      </c>
      <c r="C7605" s="49" t="s">
        <v>12508</v>
      </c>
      <c r="D7605" s="49" t="s">
        <v>2352</v>
      </c>
      <c r="E7605" s="49" t="str">
        <f aca="false">"5060458890191"</f>
        <v>5060458890191</v>
      </c>
      <c r="F7605" s="49" t="s">
        <v>3656</v>
      </c>
      <c r="G7605" s="49" t="n">
        <v>0</v>
      </c>
      <c r="H7605" s="0" t="n">
        <v>0</v>
      </c>
      <c r="M7605" s="51" t="s">
        <v>12499</v>
      </c>
      <c r="N7605" s="49" t="n">
        <v>0</v>
      </c>
      <c r="O7605" s="53" t="n">
        <v>46004.6297685185</v>
      </c>
      <c r="P7605" s="53" t="n">
        <v>46016.0285532407</v>
      </c>
      <c r="Q7605" s="53" t="n">
        <v>46004.6297685185</v>
      </c>
      <c r="R7605" s="0" t="n">
        <v>0</v>
      </c>
      <c r="S7605" s="51" t="s">
        <v>2401</v>
      </c>
      <c r="T7605" s="51" t="s">
        <v>2401</v>
      </c>
      <c r="U7605" s="0" t="str">
        <f aca="false">"5060458890191"</f>
        <v>5060458890191</v>
      </c>
      <c r="V7605" s="51" t="s">
        <v>2142</v>
      </c>
      <c r="W7605" s="51" t="s">
        <v>10829</v>
      </c>
      <c r="X7605" s="51" t="s">
        <v>2359</v>
      </c>
    </row>
    <row r="7606" customFormat="false" ht="14.25" hidden="true" customHeight="false" outlineLevel="0" collapsed="false">
      <c r="A7606" s="49" t="s">
        <v>2349</v>
      </c>
      <c r="B7606" s="49" t="s">
        <v>2350</v>
      </c>
      <c r="C7606" s="49" t="s">
        <v>12509</v>
      </c>
      <c r="D7606" s="49" t="s">
        <v>2352</v>
      </c>
      <c r="E7606" s="49" t="str">
        <f aca="false">"5060458890191"</f>
        <v>5060458890191</v>
      </c>
      <c r="F7606" s="49" t="s">
        <v>3656</v>
      </c>
      <c r="G7606" s="49" t="n">
        <v>0</v>
      </c>
      <c r="H7606" s="0" t="n">
        <v>0</v>
      </c>
      <c r="M7606" s="51" t="s">
        <v>12499</v>
      </c>
      <c r="N7606" s="49" t="n">
        <v>0</v>
      </c>
      <c r="O7606" s="53" t="n">
        <v>46004.6298611111</v>
      </c>
      <c r="P7606" s="53" t="n">
        <v>46011.5972337963</v>
      </c>
      <c r="Q7606" s="53" t="n">
        <v>46004.6298611111</v>
      </c>
      <c r="R7606" s="0" t="n">
        <v>0</v>
      </c>
      <c r="S7606" s="51" t="s">
        <v>2401</v>
      </c>
      <c r="T7606" s="51" t="s">
        <v>2401</v>
      </c>
      <c r="U7606" s="0" t="str">
        <f aca="false">"5060458890191"</f>
        <v>5060458890191</v>
      </c>
      <c r="V7606" s="51" t="s">
        <v>2142</v>
      </c>
      <c r="W7606" s="51" t="s">
        <v>3919</v>
      </c>
      <c r="X7606" s="51" t="s">
        <v>2359</v>
      </c>
    </row>
    <row r="7607" customFormat="false" ht="14.25" hidden="true" customHeight="false" outlineLevel="0" collapsed="false">
      <c r="A7607" s="49" t="s">
        <v>2349</v>
      </c>
      <c r="B7607" s="49" t="s">
        <v>2350</v>
      </c>
      <c r="C7607" s="49" t="s">
        <v>12510</v>
      </c>
      <c r="D7607" s="49" t="s">
        <v>2352</v>
      </c>
      <c r="E7607" s="49" t="str">
        <f aca="false">"5060458890191"</f>
        <v>5060458890191</v>
      </c>
      <c r="F7607" s="49" t="s">
        <v>3656</v>
      </c>
      <c r="G7607" s="49" t="n">
        <v>0</v>
      </c>
      <c r="H7607" s="0" t="n">
        <v>0</v>
      </c>
      <c r="M7607" s="51" t="s">
        <v>12499</v>
      </c>
      <c r="N7607" s="49" t="n">
        <v>0</v>
      </c>
      <c r="O7607" s="53" t="n">
        <v>46004.6295833333</v>
      </c>
      <c r="P7607" s="53" t="n">
        <v>46011.5370833333</v>
      </c>
      <c r="Q7607" s="53" t="n">
        <v>46004.6295833333</v>
      </c>
      <c r="R7607" s="0" t="n">
        <v>0</v>
      </c>
      <c r="S7607" s="51" t="s">
        <v>2401</v>
      </c>
      <c r="T7607" s="51" t="s">
        <v>2401</v>
      </c>
      <c r="U7607" s="0" t="str">
        <f aca="false">"5060458890191"</f>
        <v>5060458890191</v>
      </c>
      <c r="V7607" s="51" t="s">
        <v>2142</v>
      </c>
      <c r="W7607" s="51" t="s">
        <v>4453</v>
      </c>
      <c r="X7607" s="51" t="s">
        <v>2359</v>
      </c>
    </row>
    <row r="7608" customFormat="false" ht="14.25" hidden="true" customHeight="false" outlineLevel="0" collapsed="false">
      <c r="A7608" s="49" t="s">
        <v>2349</v>
      </c>
      <c r="B7608" s="49" t="s">
        <v>2350</v>
      </c>
      <c r="C7608" s="49" t="s">
        <v>12511</v>
      </c>
      <c r="D7608" s="49" t="s">
        <v>2352</v>
      </c>
      <c r="E7608" s="49" t="str">
        <f aca="false">"5060458890191"</f>
        <v>5060458890191</v>
      </c>
      <c r="F7608" s="49" t="s">
        <v>3656</v>
      </c>
      <c r="G7608" s="49" t="n">
        <v>0</v>
      </c>
      <c r="H7608" s="0" t="n">
        <v>0</v>
      </c>
      <c r="M7608" s="51" t="s">
        <v>12499</v>
      </c>
      <c r="N7608" s="49" t="n">
        <v>0</v>
      </c>
      <c r="O7608" s="53" t="n">
        <v>46004.6296875</v>
      </c>
      <c r="P7608" s="53" t="n">
        <v>46011.5437615741</v>
      </c>
      <c r="Q7608" s="53" t="n">
        <v>46004.6296875</v>
      </c>
      <c r="R7608" s="0" t="n">
        <v>0</v>
      </c>
      <c r="S7608" s="51" t="s">
        <v>2401</v>
      </c>
      <c r="T7608" s="51" t="s">
        <v>2401</v>
      </c>
      <c r="U7608" s="0" t="str">
        <f aca="false">"5060458890191"</f>
        <v>5060458890191</v>
      </c>
      <c r="V7608" s="51" t="s">
        <v>2142</v>
      </c>
      <c r="W7608" s="51" t="s">
        <v>8527</v>
      </c>
      <c r="X7608" s="51" t="s">
        <v>2359</v>
      </c>
    </row>
    <row r="7609" customFormat="false" ht="14.25" hidden="true" customHeight="false" outlineLevel="0" collapsed="false">
      <c r="A7609" s="49" t="s">
        <v>2349</v>
      </c>
      <c r="B7609" s="49" t="s">
        <v>2350</v>
      </c>
      <c r="C7609" s="49" t="s">
        <v>12512</v>
      </c>
      <c r="D7609" s="49" t="s">
        <v>2352</v>
      </c>
      <c r="E7609" s="49" t="str">
        <f aca="false">"5060458890191"</f>
        <v>5060458890191</v>
      </c>
      <c r="F7609" s="49" t="s">
        <v>3656</v>
      </c>
      <c r="G7609" s="49" t="n">
        <v>0</v>
      </c>
      <c r="H7609" s="0" t="n">
        <v>0</v>
      </c>
      <c r="M7609" s="51" t="s">
        <v>12499</v>
      </c>
      <c r="N7609" s="49" t="n">
        <v>0</v>
      </c>
      <c r="O7609" s="53" t="n">
        <v>46004.6292708333</v>
      </c>
      <c r="P7609" s="53" t="n">
        <v>46011.5429282407</v>
      </c>
      <c r="Q7609" s="53" t="n">
        <v>46004.6292708333</v>
      </c>
      <c r="R7609" s="0" t="n">
        <v>0</v>
      </c>
      <c r="S7609" s="51" t="s">
        <v>2401</v>
      </c>
      <c r="T7609" s="51" t="s">
        <v>2401</v>
      </c>
      <c r="U7609" s="0" t="str">
        <f aca="false">"5060458890191"</f>
        <v>5060458890191</v>
      </c>
      <c r="V7609" s="51" t="s">
        <v>2142</v>
      </c>
      <c r="W7609" s="51" t="s">
        <v>8548</v>
      </c>
      <c r="X7609" s="51" t="s">
        <v>2359</v>
      </c>
    </row>
    <row r="7610" customFormat="false" ht="14.25" hidden="true" customHeight="false" outlineLevel="0" collapsed="false">
      <c r="A7610" s="49" t="s">
        <v>2349</v>
      </c>
      <c r="B7610" s="49" t="s">
        <v>2350</v>
      </c>
      <c r="C7610" s="49" t="s">
        <v>12513</v>
      </c>
      <c r="D7610" s="49" t="s">
        <v>2352</v>
      </c>
      <c r="E7610" s="49" t="str">
        <f aca="false">"5060458890191"</f>
        <v>5060458890191</v>
      </c>
      <c r="F7610" s="49" t="s">
        <v>3656</v>
      </c>
      <c r="G7610" s="49" t="n">
        <v>0</v>
      </c>
      <c r="H7610" s="0" t="n">
        <v>0</v>
      </c>
      <c r="M7610" s="51" t="s">
        <v>12499</v>
      </c>
      <c r="N7610" s="49" t="n">
        <v>0</v>
      </c>
      <c r="O7610" s="53" t="n">
        <v>46004.6294444444</v>
      </c>
      <c r="P7610" s="53" t="n">
        <v>46011.5359375</v>
      </c>
      <c r="Q7610" s="53" t="n">
        <v>46004.6294444444</v>
      </c>
      <c r="R7610" s="0" t="n">
        <v>0</v>
      </c>
      <c r="S7610" s="51" t="s">
        <v>2401</v>
      </c>
      <c r="T7610" s="51" t="s">
        <v>2401</v>
      </c>
      <c r="U7610" s="0" t="str">
        <f aca="false">"5060458890191"</f>
        <v>5060458890191</v>
      </c>
      <c r="V7610" s="51" t="s">
        <v>2142</v>
      </c>
      <c r="W7610" s="51" t="s">
        <v>12295</v>
      </c>
      <c r="X7610" s="51" t="s">
        <v>2359</v>
      </c>
    </row>
    <row r="7611" customFormat="false" ht="14.25" hidden="true" customHeight="false" outlineLevel="0" collapsed="false">
      <c r="A7611" s="49" t="s">
        <v>2349</v>
      </c>
      <c r="B7611" s="49" t="s">
        <v>2350</v>
      </c>
      <c r="C7611" s="49" t="s">
        <v>12514</v>
      </c>
      <c r="D7611" s="49" t="s">
        <v>2352</v>
      </c>
      <c r="E7611" s="49" t="str">
        <f aca="false">"5060458890191"</f>
        <v>5060458890191</v>
      </c>
      <c r="F7611" s="49" t="s">
        <v>3656</v>
      </c>
      <c r="G7611" s="49" t="n">
        <v>0</v>
      </c>
      <c r="H7611" s="0" t="n">
        <v>0</v>
      </c>
      <c r="M7611" s="51" t="s">
        <v>12499</v>
      </c>
      <c r="N7611" s="49" t="n">
        <v>0</v>
      </c>
      <c r="O7611" s="53" t="n">
        <v>46004.6290393519</v>
      </c>
      <c r="P7611" s="53" t="n">
        <v>46011.5406712963</v>
      </c>
      <c r="Q7611" s="53" t="n">
        <v>46004.6290393519</v>
      </c>
      <c r="R7611" s="0" t="n">
        <v>0</v>
      </c>
      <c r="S7611" s="51" t="s">
        <v>2401</v>
      </c>
      <c r="T7611" s="51" t="s">
        <v>2401</v>
      </c>
      <c r="U7611" s="0" t="str">
        <f aca="false">"5060458890191"</f>
        <v>5060458890191</v>
      </c>
      <c r="V7611" s="51" t="s">
        <v>2142</v>
      </c>
      <c r="W7611" s="51" t="s">
        <v>10833</v>
      </c>
      <c r="X7611" s="51" t="s">
        <v>2359</v>
      </c>
    </row>
    <row r="7612" customFormat="false" ht="14.25" hidden="true" customHeight="false" outlineLevel="0" collapsed="false">
      <c r="A7612" s="49" t="s">
        <v>2349</v>
      </c>
      <c r="B7612" s="49" t="s">
        <v>2350</v>
      </c>
      <c r="C7612" s="49" t="s">
        <v>12515</v>
      </c>
      <c r="D7612" s="49" t="s">
        <v>2352</v>
      </c>
      <c r="E7612" s="49" t="str">
        <f aca="false">"5060458890191"</f>
        <v>5060458890191</v>
      </c>
      <c r="F7612" s="49" t="s">
        <v>3656</v>
      </c>
      <c r="G7612" s="49" t="n">
        <v>0</v>
      </c>
      <c r="H7612" s="0" t="n">
        <v>0</v>
      </c>
      <c r="M7612" s="51" t="s">
        <v>12499</v>
      </c>
      <c r="N7612" s="49" t="n">
        <v>0</v>
      </c>
      <c r="O7612" s="53" t="n">
        <v>46004.6291435185</v>
      </c>
      <c r="P7612" s="53" t="n">
        <v>46011.5186805556</v>
      </c>
      <c r="Q7612" s="53" t="n">
        <v>46004.6291435185</v>
      </c>
      <c r="R7612" s="0" t="n">
        <v>0</v>
      </c>
      <c r="S7612" s="51" t="s">
        <v>2401</v>
      </c>
      <c r="T7612" s="51" t="s">
        <v>2401</v>
      </c>
      <c r="U7612" s="0" t="str">
        <f aca="false">"5060458890191"</f>
        <v>5060458890191</v>
      </c>
      <c r="V7612" s="51" t="s">
        <v>2142</v>
      </c>
      <c r="W7612" s="51" t="s">
        <v>2404</v>
      </c>
      <c r="X7612" s="51" t="s">
        <v>2359</v>
      </c>
    </row>
    <row r="7613" customFormat="false" ht="14.25" hidden="true" customHeight="false" outlineLevel="0" collapsed="false">
      <c r="A7613" s="49" t="s">
        <v>2349</v>
      </c>
      <c r="B7613" s="49" t="s">
        <v>2350</v>
      </c>
      <c r="C7613" s="49" t="s">
        <v>12516</v>
      </c>
      <c r="D7613" s="49" t="s">
        <v>2352</v>
      </c>
      <c r="E7613" s="49" t="str">
        <f aca="false">"5060458890191"</f>
        <v>5060458890191</v>
      </c>
      <c r="F7613" s="49" t="s">
        <v>3656</v>
      </c>
      <c r="G7613" s="49" t="n">
        <v>0</v>
      </c>
      <c r="H7613" s="0" t="n">
        <v>0</v>
      </c>
      <c r="M7613" s="51" t="s">
        <v>12499</v>
      </c>
      <c r="N7613" s="49" t="n">
        <v>0</v>
      </c>
      <c r="O7613" s="53" t="n">
        <v>46004.6286458333</v>
      </c>
      <c r="P7613" s="53" t="n">
        <v>46011.5383796296</v>
      </c>
      <c r="Q7613" s="53" t="n">
        <v>46004.6286458333</v>
      </c>
      <c r="R7613" s="0" t="n">
        <v>0</v>
      </c>
      <c r="S7613" s="51" t="s">
        <v>2401</v>
      </c>
      <c r="T7613" s="51" t="s">
        <v>2401</v>
      </c>
      <c r="U7613" s="0" t="str">
        <f aca="false">"5060458890191"</f>
        <v>5060458890191</v>
      </c>
      <c r="V7613" s="51" t="s">
        <v>2142</v>
      </c>
      <c r="W7613" s="51" t="s">
        <v>5527</v>
      </c>
      <c r="X7613" s="51" t="s">
        <v>2359</v>
      </c>
    </row>
    <row r="7614" customFormat="false" ht="14.25" hidden="true" customHeight="false" outlineLevel="0" collapsed="false">
      <c r="A7614" s="49" t="s">
        <v>2349</v>
      </c>
      <c r="B7614" s="49" t="s">
        <v>2350</v>
      </c>
      <c r="C7614" s="49" t="s">
        <v>12517</v>
      </c>
      <c r="D7614" s="49" t="s">
        <v>2352</v>
      </c>
      <c r="E7614" s="49" t="str">
        <f aca="false">"5060458890191"</f>
        <v>5060458890191</v>
      </c>
      <c r="F7614" s="49" t="s">
        <v>3656</v>
      </c>
      <c r="G7614" s="49" t="n">
        <v>0</v>
      </c>
      <c r="H7614" s="0" t="n">
        <v>0</v>
      </c>
      <c r="M7614" s="51" t="s">
        <v>12499</v>
      </c>
      <c r="N7614" s="49" t="n">
        <v>0</v>
      </c>
      <c r="O7614" s="53" t="n">
        <v>46004.6288888889</v>
      </c>
      <c r="P7614" s="53" t="n">
        <v>46011.5988657407</v>
      </c>
      <c r="Q7614" s="53" t="n">
        <v>46004.6288888889</v>
      </c>
      <c r="R7614" s="0" t="n">
        <v>0</v>
      </c>
      <c r="S7614" s="51" t="s">
        <v>2401</v>
      </c>
      <c r="T7614" s="51" t="s">
        <v>2401</v>
      </c>
      <c r="U7614" s="0" t="str">
        <f aca="false">"5060458890191"</f>
        <v>5060458890191</v>
      </c>
      <c r="V7614" s="51" t="s">
        <v>2142</v>
      </c>
      <c r="W7614" s="51" t="s">
        <v>4249</v>
      </c>
      <c r="X7614" s="51" t="s">
        <v>2359</v>
      </c>
    </row>
    <row r="7615" customFormat="false" ht="14.25" hidden="true" customHeight="false" outlineLevel="0" collapsed="false">
      <c r="A7615" s="49" t="s">
        <v>2349</v>
      </c>
      <c r="B7615" s="49" t="s">
        <v>2350</v>
      </c>
      <c r="C7615" s="49" t="s">
        <v>12518</v>
      </c>
      <c r="D7615" s="49" t="s">
        <v>2352</v>
      </c>
      <c r="E7615" s="49" t="str">
        <f aca="false">"5060458890191"</f>
        <v>5060458890191</v>
      </c>
      <c r="F7615" s="49" t="s">
        <v>3656</v>
      </c>
      <c r="G7615" s="49" t="n">
        <v>0</v>
      </c>
      <c r="H7615" s="0" t="n">
        <v>0</v>
      </c>
      <c r="M7615" s="51" t="s">
        <v>12499</v>
      </c>
      <c r="N7615" s="49" t="n">
        <v>0</v>
      </c>
      <c r="O7615" s="53" t="n">
        <v>46004.6285300926</v>
      </c>
      <c r="P7615" s="53" t="n">
        <v>46011.5418402778</v>
      </c>
      <c r="Q7615" s="53" t="n">
        <v>46004.6285300926</v>
      </c>
      <c r="R7615" s="0" t="n">
        <v>0</v>
      </c>
      <c r="S7615" s="51" t="s">
        <v>2401</v>
      </c>
      <c r="T7615" s="51" t="s">
        <v>2401</v>
      </c>
      <c r="U7615" s="0" t="str">
        <f aca="false">"5060458890191"</f>
        <v>5060458890191</v>
      </c>
      <c r="V7615" s="51" t="s">
        <v>2142</v>
      </c>
      <c r="W7615" s="51" t="s">
        <v>10723</v>
      </c>
      <c r="X7615" s="51" t="s">
        <v>2359</v>
      </c>
    </row>
    <row r="7616" customFormat="false" ht="14.25" hidden="true" customHeight="false" outlineLevel="0" collapsed="false">
      <c r="A7616" s="49" t="s">
        <v>2349</v>
      </c>
      <c r="B7616" s="49" t="s">
        <v>2350</v>
      </c>
      <c r="C7616" s="49" t="s">
        <v>12519</v>
      </c>
      <c r="D7616" s="49" t="s">
        <v>2352</v>
      </c>
      <c r="E7616" s="49" t="str">
        <f aca="false">"5060458890191"</f>
        <v>5060458890191</v>
      </c>
      <c r="F7616" s="49" t="s">
        <v>3656</v>
      </c>
      <c r="G7616" s="49" t="n">
        <v>0</v>
      </c>
      <c r="H7616" s="0" t="n">
        <v>0</v>
      </c>
      <c r="M7616" s="51" t="s">
        <v>12499</v>
      </c>
      <c r="N7616" s="49" t="n">
        <v>0</v>
      </c>
      <c r="O7616" s="53" t="n">
        <v>46004.6283912037</v>
      </c>
      <c r="P7616" s="53" t="n">
        <v>46007.4553356482</v>
      </c>
      <c r="Q7616" s="53" t="n">
        <v>46004.6283912037</v>
      </c>
      <c r="R7616" s="0" t="n">
        <v>0</v>
      </c>
      <c r="S7616" s="51" t="s">
        <v>2401</v>
      </c>
      <c r="T7616" s="51" t="s">
        <v>2401</v>
      </c>
      <c r="U7616" s="0" t="str">
        <f aca="false">"5060458890191"</f>
        <v>5060458890191</v>
      </c>
      <c r="V7616" s="51" t="s">
        <v>2142</v>
      </c>
      <c r="W7616" s="51" t="s">
        <v>4826</v>
      </c>
      <c r="X7616" s="51" t="s">
        <v>2359</v>
      </c>
    </row>
    <row r="7617" customFormat="false" ht="14.25" hidden="true" customHeight="false" outlineLevel="0" collapsed="false">
      <c r="A7617" s="49" t="s">
        <v>2349</v>
      </c>
      <c r="B7617" s="49" t="s">
        <v>2350</v>
      </c>
      <c r="C7617" s="49" t="s">
        <v>12520</v>
      </c>
      <c r="D7617" s="49" t="s">
        <v>2352</v>
      </c>
      <c r="E7617" s="49" t="str">
        <f aca="false">"5060458890191"</f>
        <v>5060458890191</v>
      </c>
      <c r="F7617" s="49" t="s">
        <v>3656</v>
      </c>
      <c r="G7617" s="49" t="n">
        <v>0</v>
      </c>
      <c r="H7617" s="0" t="n">
        <v>0</v>
      </c>
      <c r="M7617" s="51" t="s">
        <v>12499</v>
      </c>
      <c r="N7617" s="49" t="n">
        <v>0</v>
      </c>
      <c r="O7617" s="53" t="n">
        <v>46004.6279166667</v>
      </c>
      <c r="P7617" s="53" t="n">
        <v>46011.5557638889</v>
      </c>
      <c r="Q7617" s="53" t="n">
        <v>46004.6279166667</v>
      </c>
      <c r="R7617" s="0" t="n">
        <v>0</v>
      </c>
      <c r="S7617" s="51" t="s">
        <v>2401</v>
      </c>
      <c r="T7617" s="51" t="s">
        <v>2401</v>
      </c>
      <c r="U7617" s="0" t="str">
        <f aca="false">"5060458890191"</f>
        <v>5060458890191</v>
      </c>
      <c r="V7617" s="51" t="s">
        <v>2142</v>
      </c>
      <c r="W7617" s="51" t="s">
        <v>10747</v>
      </c>
      <c r="X7617" s="51" t="s">
        <v>2359</v>
      </c>
    </row>
    <row r="7618" customFormat="false" ht="14.25" hidden="true" customHeight="false" outlineLevel="0" collapsed="false">
      <c r="A7618" s="49" t="s">
        <v>2349</v>
      </c>
      <c r="B7618" s="49" t="s">
        <v>2350</v>
      </c>
      <c r="C7618" s="49" t="s">
        <v>12521</v>
      </c>
      <c r="D7618" s="49" t="s">
        <v>2352</v>
      </c>
      <c r="E7618" s="49" t="str">
        <f aca="false">"5060458890191"</f>
        <v>5060458890191</v>
      </c>
      <c r="F7618" s="49" t="s">
        <v>3656</v>
      </c>
      <c r="G7618" s="49" t="n">
        <v>0</v>
      </c>
      <c r="H7618" s="0" t="n">
        <v>0</v>
      </c>
      <c r="M7618" s="51" t="s">
        <v>12499</v>
      </c>
      <c r="N7618" s="49" t="n">
        <v>0</v>
      </c>
      <c r="O7618" s="53" t="n">
        <v>46004.6278009259</v>
      </c>
      <c r="P7618" s="53" t="n">
        <v>46011.5203935185</v>
      </c>
      <c r="Q7618" s="53" t="n">
        <v>46004.6278009259</v>
      </c>
      <c r="R7618" s="0" t="n">
        <v>0</v>
      </c>
      <c r="S7618" s="51" t="s">
        <v>2401</v>
      </c>
      <c r="T7618" s="51" t="s">
        <v>2401</v>
      </c>
      <c r="U7618" s="0" t="str">
        <f aca="false">"5060458890191"</f>
        <v>5060458890191</v>
      </c>
      <c r="V7618" s="51" t="s">
        <v>2142</v>
      </c>
      <c r="W7618" s="51" t="s">
        <v>8533</v>
      </c>
      <c r="X7618" s="51" t="s">
        <v>2359</v>
      </c>
    </row>
    <row r="7619" customFormat="false" ht="14.25" hidden="true" customHeight="false" outlineLevel="0" collapsed="false">
      <c r="A7619" s="49" t="s">
        <v>2349</v>
      </c>
      <c r="B7619" s="49" t="s">
        <v>2350</v>
      </c>
      <c r="C7619" s="49" t="s">
        <v>12522</v>
      </c>
      <c r="D7619" s="49" t="s">
        <v>2352</v>
      </c>
      <c r="E7619" s="49" t="str">
        <f aca="false">"5060458890191"</f>
        <v>5060458890191</v>
      </c>
      <c r="F7619" s="49" t="s">
        <v>3656</v>
      </c>
      <c r="G7619" s="49" t="n">
        <v>0</v>
      </c>
      <c r="H7619" s="0" t="n">
        <v>0</v>
      </c>
      <c r="M7619" s="51" t="s">
        <v>12499</v>
      </c>
      <c r="N7619" s="49" t="n">
        <v>0</v>
      </c>
      <c r="O7619" s="53" t="n">
        <v>46004.6276967593</v>
      </c>
      <c r="P7619" s="53" t="n">
        <v>46011.5393981482</v>
      </c>
      <c r="Q7619" s="53" t="n">
        <v>46004.6276967593</v>
      </c>
      <c r="R7619" s="0" t="n">
        <v>0</v>
      </c>
      <c r="S7619" s="51" t="s">
        <v>2401</v>
      </c>
      <c r="T7619" s="51" t="s">
        <v>2401</v>
      </c>
      <c r="U7619" s="0" t="str">
        <f aca="false">"5060458890191"</f>
        <v>5060458890191</v>
      </c>
      <c r="V7619" s="51" t="s">
        <v>2142</v>
      </c>
      <c r="W7619" s="51" t="s">
        <v>8538</v>
      </c>
      <c r="X7619" s="51" t="s">
        <v>2359</v>
      </c>
    </row>
    <row r="7620" customFormat="false" ht="14.25" hidden="true" customHeight="false" outlineLevel="0" collapsed="false">
      <c r="A7620" s="49" t="s">
        <v>2349</v>
      </c>
      <c r="B7620" s="49" t="s">
        <v>2350</v>
      </c>
      <c r="C7620" s="49" t="s">
        <v>12523</v>
      </c>
      <c r="D7620" s="49" t="s">
        <v>2352</v>
      </c>
      <c r="E7620" s="49" t="str">
        <f aca="false">"5060458890191"</f>
        <v>5060458890191</v>
      </c>
      <c r="F7620" s="49" t="s">
        <v>3656</v>
      </c>
      <c r="G7620" s="49" t="n">
        <v>0</v>
      </c>
      <c r="H7620" s="0" t="n">
        <v>0</v>
      </c>
      <c r="M7620" s="51" t="s">
        <v>12499</v>
      </c>
      <c r="N7620" s="49" t="n">
        <v>0</v>
      </c>
      <c r="O7620" s="53" t="n">
        <v>46004.6273958333</v>
      </c>
      <c r="P7620" s="53" t="n">
        <v>46016.0278935185</v>
      </c>
      <c r="Q7620" s="53" t="n">
        <v>46004.6273958333</v>
      </c>
      <c r="R7620" s="0" t="n">
        <v>0</v>
      </c>
      <c r="S7620" s="51" t="s">
        <v>2401</v>
      </c>
      <c r="T7620" s="51" t="s">
        <v>2401</v>
      </c>
      <c r="U7620" s="0" t="str">
        <f aca="false">"5060458890191"</f>
        <v>5060458890191</v>
      </c>
      <c r="V7620" s="51" t="s">
        <v>2142</v>
      </c>
      <c r="W7620" s="51" t="s">
        <v>11066</v>
      </c>
      <c r="X7620" s="51" t="s">
        <v>2359</v>
      </c>
    </row>
    <row r="7621" customFormat="false" ht="14.25" hidden="true" customHeight="false" outlineLevel="0" collapsed="false">
      <c r="A7621" s="49" t="s">
        <v>2349</v>
      </c>
      <c r="B7621" s="49" t="s">
        <v>2350</v>
      </c>
      <c r="C7621" s="49" t="s">
        <v>12524</v>
      </c>
      <c r="D7621" s="49" t="s">
        <v>2352</v>
      </c>
      <c r="E7621" s="49" t="str">
        <f aca="false">"5060458890191"</f>
        <v>5060458890191</v>
      </c>
      <c r="F7621" s="49" t="s">
        <v>3656</v>
      </c>
      <c r="G7621" s="49" t="n">
        <v>0</v>
      </c>
      <c r="H7621" s="0" t="n">
        <v>0</v>
      </c>
      <c r="M7621" s="51" t="s">
        <v>12499</v>
      </c>
      <c r="N7621" s="49" t="n">
        <v>0</v>
      </c>
      <c r="O7621" s="53" t="n">
        <v>46004.6272569444</v>
      </c>
      <c r="P7621" s="53" t="n">
        <v>46011.528587963</v>
      </c>
      <c r="Q7621" s="53" t="n">
        <v>46004.6272569444</v>
      </c>
      <c r="R7621" s="0" t="n">
        <v>0</v>
      </c>
      <c r="S7621" s="51" t="s">
        <v>2401</v>
      </c>
      <c r="T7621" s="51" t="s">
        <v>2401</v>
      </c>
      <c r="U7621" s="0" t="str">
        <f aca="false">"5060458890191"</f>
        <v>5060458890191</v>
      </c>
      <c r="V7621" s="51" t="s">
        <v>2142</v>
      </c>
      <c r="W7621" s="51" t="s">
        <v>4935</v>
      </c>
      <c r="X7621" s="51" t="s">
        <v>2359</v>
      </c>
    </row>
    <row r="7622" customFormat="false" ht="14.25" hidden="true" customHeight="false" outlineLevel="0" collapsed="false">
      <c r="A7622" s="49" t="s">
        <v>2349</v>
      </c>
      <c r="B7622" s="49" t="s">
        <v>2350</v>
      </c>
      <c r="C7622" s="49" t="s">
        <v>12525</v>
      </c>
      <c r="D7622" s="49" t="s">
        <v>2352</v>
      </c>
      <c r="E7622" s="49" t="str">
        <f aca="false">"5060458890191"</f>
        <v>5060458890191</v>
      </c>
      <c r="F7622" s="49" t="s">
        <v>3656</v>
      </c>
      <c r="G7622" s="49" t="n">
        <v>0</v>
      </c>
      <c r="H7622" s="0" t="n">
        <v>0</v>
      </c>
      <c r="M7622" s="51" t="s">
        <v>12499</v>
      </c>
      <c r="N7622" s="49" t="n">
        <v>0</v>
      </c>
      <c r="O7622" s="53" t="n">
        <v>46004.6271296296</v>
      </c>
      <c r="P7622" s="53" t="n">
        <v>46011.5305555556</v>
      </c>
      <c r="Q7622" s="53" t="n">
        <v>46004.6271296296</v>
      </c>
      <c r="R7622" s="0" t="n">
        <v>0</v>
      </c>
      <c r="S7622" s="51" t="s">
        <v>2401</v>
      </c>
      <c r="T7622" s="51" t="s">
        <v>2401</v>
      </c>
      <c r="U7622" s="0" t="str">
        <f aca="false">"5060458890191"</f>
        <v>5060458890191</v>
      </c>
      <c r="V7622" s="51" t="s">
        <v>2142</v>
      </c>
      <c r="W7622" s="51" t="s">
        <v>3891</v>
      </c>
      <c r="X7622" s="51" t="s">
        <v>2359</v>
      </c>
    </row>
    <row r="7623" customFormat="false" ht="14.25" hidden="true" customHeight="false" outlineLevel="0" collapsed="false">
      <c r="A7623" s="49" t="s">
        <v>2349</v>
      </c>
      <c r="B7623" s="49" t="s">
        <v>2350</v>
      </c>
      <c r="C7623" s="49" t="s">
        <v>12526</v>
      </c>
      <c r="D7623" s="49" t="s">
        <v>2352</v>
      </c>
      <c r="E7623" s="49" t="str">
        <f aca="false">"5060458890191"</f>
        <v>5060458890191</v>
      </c>
      <c r="F7623" s="49" t="s">
        <v>3656</v>
      </c>
      <c r="G7623" s="49" t="n">
        <v>0</v>
      </c>
      <c r="H7623" s="0" t="n">
        <v>0</v>
      </c>
      <c r="M7623" s="51" t="s">
        <v>12499</v>
      </c>
      <c r="N7623" s="49" t="n">
        <v>0</v>
      </c>
      <c r="O7623" s="53" t="n">
        <v>46004.6270138889</v>
      </c>
      <c r="P7623" s="53" t="n">
        <v>46011.5315856482</v>
      </c>
      <c r="Q7623" s="53" t="n">
        <v>46004.6270138889</v>
      </c>
      <c r="R7623" s="0" t="n">
        <v>0</v>
      </c>
      <c r="S7623" s="51" t="s">
        <v>2401</v>
      </c>
      <c r="T7623" s="51" t="s">
        <v>2401</v>
      </c>
      <c r="U7623" s="0" t="str">
        <f aca="false">"5060458890191"</f>
        <v>5060458890191</v>
      </c>
      <c r="V7623" s="51" t="s">
        <v>2142</v>
      </c>
      <c r="W7623" s="51" t="s">
        <v>4643</v>
      </c>
      <c r="X7623" s="51" t="s">
        <v>2359</v>
      </c>
    </row>
    <row r="7624" customFormat="false" ht="14.25" hidden="true" customHeight="false" outlineLevel="0" collapsed="false">
      <c r="A7624" s="49" t="s">
        <v>2349</v>
      </c>
      <c r="B7624" s="49" t="s">
        <v>2350</v>
      </c>
      <c r="C7624" s="49" t="s">
        <v>12527</v>
      </c>
      <c r="D7624" s="49" t="s">
        <v>2352</v>
      </c>
      <c r="E7624" s="49" t="s">
        <v>4124</v>
      </c>
      <c r="F7624" s="49" t="s">
        <v>4125</v>
      </c>
      <c r="G7624" s="49" t="n">
        <v>0</v>
      </c>
      <c r="H7624" s="0" t="n">
        <v>0</v>
      </c>
      <c r="M7624" s="51" t="s">
        <v>12528</v>
      </c>
      <c r="N7624" s="49" t="n">
        <v>0</v>
      </c>
      <c r="O7624" s="53" t="n">
        <v>46006.6421180556</v>
      </c>
      <c r="P7624" s="53" t="n">
        <v>46016.6206018519</v>
      </c>
      <c r="Q7624" s="53" t="n">
        <v>46006.6421180556</v>
      </c>
      <c r="R7624" s="0" t="n">
        <v>0</v>
      </c>
      <c r="S7624" s="51" t="s">
        <v>2356</v>
      </c>
      <c r="T7624" s="51" t="s">
        <v>2356</v>
      </c>
      <c r="U7624" s="51" t="s">
        <v>4124</v>
      </c>
      <c r="V7624" s="51" t="s">
        <v>2365</v>
      </c>
      <c r="W7624" s="51" t="s">
        <v>3699</v>
      </c>
      <c r="X7624" s="51" t="s">
        <v>2359</v>
      </c>
    </row>
    <row r="7625" customFormat="false" ht="14.25" hidden="true" customHeight="false" outlineLevel="0" collapsed="false">
      <c r="A7625" s="49" t="s">
        <v>2349</v>
      </c>
      <c r="B7625" s="49" t="s">
        <v>2350</v>
      </c>
      <c r="C7625" s="49" t="s">
        <v>12529</v>
      </c>
      <c r="D7625" s="49" t="s">
        <v>2352</v>
      </c>
      <c r="E7625" s="49" t="s">
        <v>4124</v>
      </c>
      <c r="F7625" s="49" t="s">
        <v>4125</v>
      </c>
      <c r="G7625" s="49" t="n">
        <v>0</v>
      </c>
      <c r="H7625" s="0" t="n">
        <v>0</v>
      </c>
      <c r="M7625" s="51" t="s">
        <v>12528</v>
      </c>
      <c r="N7625" s="49" t="n">
        <v>0</v>
      </c>
      <c r="O7625" s="53" t="n">
        <v>46006.6418287037</v>
      </c>
      <c r="P7625" s="53" t="n">
        <v>46016.6211805556</v>
      </c>
      <c r="Q7625" s="53" t="n">
        <v>46006.6418287037</v>
      </c>
      <c r="R7625" s="0" t="n">
        <v>0</v>
      </c>
      <c r="S7625" s="51" t="s">
        <v>2356</v>
      </c>
      <c r="T7625" s="51" t="s">
        <v>2356</v>
      </c>
      <c r="U7625" s="51" t="s">
        <v>4124</v>
      </c>
      <c r="V7625" s="51" t="s">
        <v>2365</v>
      </c>
      <c r="W7625" s="51" t="s">
        <v>3670</v>
      </c>
      <c r="X7625" s="51" t="s">
        <v>2359</v>
      </c>
    </row>
    <row r="7626" customFormat="false" ht="14.25" hidden="true" customHeight="false" outlineLevel="0" collapsed="false">
      <c r="A7626" s="49" t="s">
        <v>2349</v>
      </c>
      <c r="B7626" s="49" t="s">
        <v>2350</v>
      </c>
      <c r="C7626" s="49" t="s">
        <v>12530</v>
      </c>
      <c r="D7626" s="49" t="s">
        <v>2352</v>
      </c>
      <c r="E7626" s="49" t="s">
        <v>4124</v>
      </c>
      <c r="F7626" s="49" t="s">
        <v>4125</v>
      </c>
      <c r="G7626" s="49" t="n">
        <v>0</v>
      </c>
      <c r="H7626" s="0" t="n">
        <v>0</v>
      </c>
      <c r="M7626" s="51" t="s">
        <v>12528</v>
      </c>
      <c r="N7626" s="49" t="n">
        <v>0</v>
      </c>
      <c r="O7626" s="53" t="n">
        <v>46006.6416203704</v>
      </c>
      <c r="P7626" s="53" t="n">
        <v>46016.6216319444</v>
      </c>
      <c r="Q7626" s="53" t="n">
        <v>46006.6416203704</v>
      </c>
      <c r="R7626" s="0" t="n">
        <v>0</v>
      </c>
      <c r="S7626" s="51" t="s">
        <v>2356</v>
      </c>
      <c r="T7626" s="51" t="s">
        <v>2356</v>
      </c>
      <c r="U7626" s="51" t="s">
        <v>4124</v>
      </c>
      <c r="V7626" s="51" t="s">
        <v>2365</v>
      </c>
      <c r="W7626" s="51" t="s">
        <v>4173</v>
      </c>
      <c r="X7626" s="51" t="s">
        <v>2359</v>
      </c>
    </row>
    <row r="7627" customFormat="false" ht="14.25" hidden="true" customHeight="false" outlineLevel="0" collapsed="false">
      <c r="A7627" s="49" t="s">
        <v>2349</v>
      </c>
      <c r="B7627" s="49" t="s">
        <v>2350</v>
      </c>
      <c r="C7627" s="49" t="s">
        <v>12531</v>
      </c>
      <c r="D7627" s="49" t="s">
        <v>2352</v>
      </c>
      <c r="E7627" s="49" t="s">
        <v>4124</v>
      </c>
      <c r="F7627" s="49" t="s">
        <v>4125</v>
      </c>
      <c r="G7627" s="49" t="n">
        <v>0</v>
      </c>
      <c r="H7627" s="0" t="n">
        <v>0</v>
      </c>
      <c r="M7627" s="51" t="s">
        <v>12528</v>
      </c>
      <c r="N7627" s="49" t="n">
        <v>0</v>
      </c>
      <c r="O7627" s="53" t="n">
        <v>46006.6410416667</v>
      </c>
      <c r="P7627" s="53" t="n">
        <v>46016.6213078704</v>
      </c>
      <c r="Q7627" s="53" t="n">
        <v>46006.6410416667</v>
      </c>
      <c r="R7627" s="0" t="n">
        <v>0</v>
      </c>
      <c r="S7627" s="51" t="s">
        <v>2356</v>
      </c>
      <c r="T7627" s="51" t="s">
        <v>2356</v>
      </c>
      <c r="U7627" s="51" t="s">
        <v>4124</v>
      </c>
      <c r="V7627" s="51" t="s">
        <v>2365</v>
      </c>
      <c r="W7627" s="51" t="s">
        <v>8380</v>
      </c>
      <c r="X7627" s="51" t="s">
        <v>2359</v>
      </c>
    </row>
    <row r="7628" customFormat="false" ht="14.25" hidden="true" customHeight="false" outlineLevel="0" collapsed="false">
      <c r="A7628" s="49" t="s">
        <v>2349</v>
      </c>
      <c r="B7628" s="49" t="s">
        <v>2350</v>
      </c>
      <c r="C7628" s="49" t="s">
        <v>12532</v>
      </c>
      <c r="D7628" s="49" t="s">
        <v>2352</v>
      </c>
      <c r="E7628" s="49" t="s">
        <v>4124</v>
      </c>
      <c r="F7628" s="49" t="s">
        <v>4125</v>
      </c>
      <c r="G7628" s="49" t="n">
        <v>0</v>
      </c>
      <c r="H7628" s="0" t="n">
        <v>0</v>
      </c>
      <c r="M7628" s="51" t="s">
        <v>12528</v>
      </c>
      <c r="N7628" s="49" t="n">
        <v>0</v>
      </c>
      <c r="O7628" s="53" t="n">
        <v>46006.6407175926</v>
      </c>
      <c r="P7628" s="53" t="n">
        <v>46016.6214236111</v>
      </c>
      <c r="Q7628" s="53" t="n">
        <v>46006.6407175926</v>
      </c>
      <c r="R7628" s="0" t="n">
        <v>0</v>
      </c>
      <c r="S7628" s="51" t="s">
        <v>2356</v>
      </c>
      <c r="T7628" s="51" t="s">
        <v>2356</v>
      </c>
      <c r="U7628" s="51" t="s">
        <v>4124</v>
      </c>
      <c r="V7628" s="51" t="s">
        <v>2365</v>
      </c>
      <c r="W7628" s="51" t="s">
        <v>4175</v>
      </c>
      <c r="X7628" s="51" t="s">
        <v>2359</v>
      </c>
    </row>
    <row r="7629" customFormat="false" ht="14.25" hidden="true" customHeight="false" outlineLevel="0" collapsed="false">
      <c r="A7629" s="49" t="s">
        <v>2349</v>
      </c>
      <c r="B7629" s="49" t="s">
        <v>2350</v>
      </c>
      <c r="C7629" s="49" t="s">
        <v>12533</v>
      </c>
      <c r="D7629" s="49" t="s">
        <v>2352</v>
      </c>
      <c r="E7629" s="49" t="s">
        <v>4148</v>
      </c>
      <c r="F7629" s="49" t="s">
        <v>4149</v>
      </c>
      <c r="G7629" s="49" t="n">
        <v>0</v>
      </c>
      <c r="H7629" s="0" t="n">
        <v>0</v>
      </c>
      <c r="M7629" s="51" t="s">
        <v>12528</v>
      </c>
      <c r="N7629" s="49" t="n">
        <v>0</v>
      </c>
      <c r="O7629" s="53" t="n">
        <v>46006.6403240741</v>
      </c>
      <c r="P7629" s="53" t="n">
        <v>46016.6219097222</v>
      </c>
      <c r="Q7629" s="53" t="n">
        <v>46006.6403240741</v>
      </c>
      <c r="R7629" s="0" t="n">
        <v>0</v>
      </c>
      <c r="S7629" s="51" t="s">
        <v>2356</v>
      </c>
      <c r="T7629" s="51" t="s">
        <v>2356</v>
      </c>
      <c r="U7629" s="51" t="s">
        <v>4148</v>
      </c>
      <c r="V7629" s="51" t="s">
        <v>2365</v>
      </c>
      <c r="W7629" s="51" t="s">
        <v>4609</v>
      </c>
      <c r="X7629" s="51" t="s">
        <v>2359</v>
      </c>
    </row>
    <row r="7630" customFormat="false" ht="14.25" hidden="true" customHeight="false" outlineLevel="0" collapsed="false">
      <c r="A7630" s="49" t="s">
        <v>2349</v>
      </c>
      <c r="B7630" s="49" t="s">
        <v>2350</v>
      </c>
      <c r="C7630" s="49" t="s">
        <v>12534</v>
      </c>
      <c r="D7630" s="49" t="s">
        <v>2352</v>
      </c>
      <c r="E7630" s="49" t="s">
        <v>4148</v>
      </c>
      <c r="F7630" s="49" t="s">
        <v>4149</v>
      </c>
      <c r="G7630" s="49" t="n">
        <v>0</v>
      </c>
      <c r="H7630" s="0" t="n">
        <v>0</v>
      </c>
      <c r="M7630" s="51" t="s">
        <v>12528</v>
      </c>
      <c r="N7630" s="49" t="n">
        <v>0</v>
      </c>
      <c r="O7630" s="53" t="n">
        <v>46006.6393171296</v>
      </c>
      <c r="P7630" s="53" t="n">
        <v>46025.4567361111</v>
      </c>
      <c r="Q7630" s="53" t="n">
        <v>46006.6393171296</v>
      </c>
      <c r="R7630" s="0" t="n">
        <v>0</v>
      </c>
      <c r="S7630" s="51" t="s">
        <v>2356</v>
      </c>
      <c r="T7630" s="51" t="s">
        <v>2356</v>
      </c>
      <c r="U7630" s="51" t="s">
        <v>4148</v>
      </c>
      <c r="V7630" s="51" t="s">
        <v>2365</v>
      </c>
      <c r="W7630" s="51" t="s">
        <v>4486</v>
      </c>
      <c r="X7630" s="51" t="s">
        <v>2359</v>
      </c>
    </row>
    <row r="7631" customFormat="false" ht="14.25" hidden="true" customHeight="false" outlineLevel="0" collapsed="false">
      <c r="A7631" s="49" t="s">
        <v>2349</v>
      </c>
      <c r="B7631" s="49" t="s">
        <v>2350</v>
      </c>
      <c r="C7631" s="49" t="s">
        <v>12535</v>
      </c>
      <c r="D7631" s="49" t="s">
        <v>2352</v>
      </c>
      <c r="E7631" s="49" t="s">
        <v>4148</v>
      </c>
      <c r="F7631" s="49" t="s">
        <v>4149</v>
      </c>
      <c r="G7631" s="49" t="n">
        <v>0</v>
      </c>
      <c r="H7631" s="0" t="n">
        <v>0</v>
      </c>
      <c r="M7631" s="51" t="s">
        <v>12528</v>
      </c>
      <c r="N7631" s="49" t="n">
        <v>0</v>
      </c>
      <c r="O7631" s="53" t="n">
        <v>46006.6395486111</v>
      </c>
      <c r="P7631" s="53" t="n">
        <v>46016.6221064815</v>
      </c>
      <c r="Q7631" s="53" t="n">
        <v>46006.6395486111</v>
      </c>
      <c r="R7631" s="0" t="n">
        <v>0</v>
      </c>
      <c r="S7631" s="51" t="s">
        <v>2356</v>
      </c>
      <c r="T7631" s="51" t="s">
        <v>2356</v>
      </c>
      <c r="U7631" s="51" t="s">
        <v>4148</v>
      </c>
      <c r="V7631" s="51" t="s">
        <v>2365</v>
      </c>
      <c r="W7631" s="51" t="s">
        <v>7265</v>
      </c>
      <c r="X7631" s="51" t="s">
        <v>2359</v>
      </c>
    </row>
    <row r="7632" customFormat="false" ht="14.25" hidden="true" customHeight="false" outlineLevel="0" collapsed="false">
      <c r="A7632" s="49" t="s">
        <v>2349</v>
      </c>
      <c r="B7632" s="49" t="s">
        <v>2350</v>
      </c>
      <c r="C7632" s="49" t="s">
        <v>12536</v>
      </c>
      <c r="D7632" s="49" t="s">
        <v>2352</v>
      </c>
      <c r="E7632" s="49" t="s">
        <v>4148</v>
      </c>
      <c r="F7632" s="49" t="s">
        <v>4149</v>
      </c>
      <c r="G7632" s="49" t="n">
        <v>0</v>
      </c>
      <c r="H7632" s="0" t="n">
        <v>0</v>
      </c>
      <c r="M7632" s="51" t="s">
        <v>12528</v>
      </c>
      <c r="N7632" s="49" t="n">
        <v>0</v>
      </c>
      <c r="O7632" s="53" t="n">
        <v>46006.6391319444</v>
      </c>
      <c r="P7632" s="53" t="n">
        <v>46016.6217708333</v>
      </c>
      <c r="Q7632" s="53" t="n">
        <v>46006.6391319444</v>
      </c>
      <c r="R7632" s="0" t="n">
        <v>0</v>
      </c>
      <c r="S7632" s="51" t="s">
        <v>2356</v>
      </c>
      <c r="T7632" s="51" t="s">
        <v>2356</v>
      </c>
      <c r="U7632" s="51" t="s">
        <v>4148</v>
      </c>
      <c r="V7632" s="51" t="s">
        <v>2365</v>
      </c>
      <c r="W7632" s="51" t="s">
        <v>10065</v>
      </c>
      <c r="X7632" s="51" t="s">
        <v>2359</v>
      </c>
    </row>
    <row r="7633" customFormat="false" ht="17.55" hidden="true" customHeight="false" outlineLevel="0" collapsed="false">
      <c r="A7633" s="49" t="s">
        <v>2349</v>
      </c>
      <c r="B7633" s="49" t="s">
        <v>2350</v>
      </c>
      <c r="C7633" s="49" t="s">
        <v>12537</v>
      </c>
      <c r="D7633" s="49" t="s">
        <v>2352</v>
      </c>
      <c r="E7633" s="49" t="s">
        <v>10077</v>
      </c>
      <c r="F7633" s="49" t="s">
        <v>10078</v>
      </c>
      <c r="G7633" s="49" t="n">
        <v>0</v>
      </c>
      <c r="H7633" s="0" t="n">
        <v>0</v>
      </c>
      <c r="M7633" s="51" t="s">
        <v>12538</v>
      </c>
      <c r="N7633" s="49" t="n">
        <v>0</v>
      </c>
      <c r="O7633" s="53" t="n">
        <v>45998.4369791667</v>
      </c>
      <c r="P7633" s="53" t="n">
        <v>46037.8012847222</v>
      </c>
      <c r="Q7633" s="53" t="n">
        <v>45998.4369791667</v>
      </c>
      <c r="R7633" s="0" t="n">
        <v>0</v>
      </c>
      <c r="S7633" s="51" t="s">
        <v>2356</v>
      </c>
      <c r="T7633" s="51" t="s">
        <v>2356</v>
      </c>
      <c r="U7633" s="51" t="s">
        <v>10077</v>
      </c>
      <c r="V7633" s="51" t="s">
        <v>2365</v>
      </c>
      <c r="W7633" s="51" t="s">
        <v>5388</v>
      </c>
      <c r="X7633" s="51" t="s">
        <v>2359</v>
      </c>
    </row>
    <row r="7634" customFormat="false" ht="14.25" hidden="true" customHeight="false" outlineLevel="0" collapsed="false">
      <c r="A7634" s="49" t="s">
        <v>2349</v>
      </c>
      <c r="B7634" s="49" t="s">
        <v>2350</v>
      </c>
      <c r="C7634" s="49" t="s">
        <v>12539</v>
      </c>
      <c r="D7634" s="49" t="s">
        <v>2352</v>
      </c>
      <c r="E7634" s="49" t="str">
        <f aca="false">"849369010387"</f>
        <v>849369010387</v>
      </c>
      <c r="F7634" s="49" t="s">
        <v>12540</v>
      </c>
      <c r="G7634" s="49" t="n">
        <v>0</v>
      </c>
      <c r="H7634" s="0" t="n">
        <v>0</v>
      </c>
      <c r="M7634" s="51" t="s">
        <v>12541</v>
      </c>
      <c r="N7634" s="49" t="n">
        <v>0</v>
      </c>
      <c r="O7634" s="53" t="n">
        <v>46008.0295717593</v>
      </c>
      <c r="P7634" s="53" t="n">
        <v>46015.3525462963</v>
      </c>
      <c r="R7634" s="0" t="n">
        <v>0</v>
      </c>
      <c r="T7634" s="51" t="s">
        <v>2364</v>
      </c>
      <c r="U7634" s="0" t="str">
        <f aca="false">"849369010387"</f>
        <v>849369010387</v>
      </c>
      <c r="V7634" s="51" t="s">
        <v>2142</v>
      </c>
      <c r="W7634" s="51" t="s">
        <v>12542</v>
      </c>
      <c r="X7634" s="51" t="s">
        <v>2359</v>
      </c>
    </row>
    <row r="7635" customFormat="false" ht="14.25" hidden="true" customHeight="false" outlineLevel="0" collapsed="false">
      <c r="A7635" s="49" t="s">
        <v>2349</v>
      </c>
      <c r="B7635" s="49" t="s">
        <v>2350</v>
      </c>
      <c r="C7635" s="49" t="s">
        <v>12543</v>
      </c>
      <c r="D7635" s="49" t="s">
        <v>2352</v>
      </c>
      <c r="E7635" s="49" t="str">
        <f aca="false">"849369010349"</f>
        <v>849369010349</v>
      </c>
      <c r="F7635" s="49" t="s">
        <v>8652</v>
      </c>
      <c r="G7635" s="49" t="n">
        <v>0</v>
      </c>
      <c r="H7635" s="0" t="n">
        <v>0</v>
      </c>
      <c r="M7635" s="51" t="s">
        <v>12541</v>
      </c>
      <c r="N7635" s="49" t="n">
        <v>0</v>
      </c>
      <c r="O7635" s="53" t="n">
        <v>45990.5741319444</v>
      </c>
      <c r="P7635" s="53" t="n">
        <v>46015.3440162037</v>
      </c>
      <c r="Q7635" s="53" t="n">
        <v>45990.5741319444</v>
      </c>
      <c r="R7635" s="0" t="n">
        <v>0</v>
      </c>
      <c r="S7635" s="51" t="s">
        <v>2401</v>
      </c>
      <c r="T7635" s="51" t="s">
        <v>2401</v>
      </c>
      <c r="U7635" s="0" t="str">
        <f aca="false">"849369010349"</f>
        <v>849369010349</v>
      </c>
      <c r="V7635" s="51" t="s">
        <v>2142</v>
      </c>
      <c r="W7635" s="51" t="s">
        <v>10373</v>
      </c>
      <c r="X7635" s="51" t="s">
        <v>2359</v>
      </c>
    </row>
    <row r="7636" customFormat="false" ht="14.25" hidden="true" customHeight="false" outlineLevel="0" collapsed="false">
      <c r="A7636" s="49" t="s">
        <v>2349</v>
      </c>
      <c r="B7636" s="49" t="s">
        <v>2350</v>
      </c>
      <c r="C7636" s="49" t="s">
        <v>12544</v>
      </c>
      <c r="D7636" s="49" t="s">
        <v>2397</v>
      </c>
      <c r="E7636" s="49" t="str">
        <f aca="false">"849369010387"</f>
        <v>849369010387</v>
      </c>
      <c r="F7636" s="49" t="s">
        <v>12540</v>
      </c>
      <c r="G7636" s="49" t="n">
        <v>0</v>
      </c>
      <c r="H7636" s="0" t="n">
        <v>0</v>
      </c>
      <c r="M7636" s="51" t="s">
        <v>12541</v>
      </c>
      <c r="N7636" s="49" t="n">
        <v>24</v>
      </c>
      <c r="O7636" s="53" t="n">
        <v>45990.5733333333</v>
      </c>
      <c r="P7636" s="53" t="n">
        <v>46008.0295833333</v>
      </c>
      <c r="Q7636" s="53" t="n">
        <v>45990.5733333333</v>
      </c>
      <c r="R7636" s="0" t="n">
        <v>0</v>
      </c>
      <c r="S7636" s="51" t="s">
        <v>2401</v>
      </c>
      <c r="T7636" s="51" t="s">
        <v>2401</v>
      </c>
      <c r="U7636" s="0" t="str">
        <f aca="false">"849369010387"</f>
        <v>849369010387</v>
      </c>
      <c r="V7636" s="51" t="s">
        <v>2142</v>
      </c>
      <c r="X7636" s="51" t="s">
        <v>2359</v>
      </c>
    </row>
    <row r="7637" customFormat="false" ht="14.25" hidden="true" customHeight="false" outlineLevel="0" collapsed="false">
      <c r="A7637" s="49" t="s">
        <v>2349</v>
      </c>
      <c r="B7637" s="49" t="s">
        <v>2350</v>
      </c>
      <c r="C7637" s="49" t="s">
        <v>12545</v>
      </c>
      <c r="D7637" s="49" t="s">
        <v>2352</v>
      </c>
      <c r="E7637" s="49" t="s">
        <v>6853</v>
      </c>
      <c r="F7637" s="49" t="s">
        <v>6854</v>
      </c>
      <c r="G7637" s="49" t="n">
        <v>0</v>
      </c>
      <c r="H7637" s="0" t="n">
        <v>0</v>
      </c>
      <c r="M7637" s="51" t="s">
        <v>3663</v>
      </c>
      <c r="N7637" s="49" t="n">
        <v>0</v>
      </c>
      <c r="O7637" s="53" t="n">
        <v>46013.4974074074</v>
      </c>
      <c r="P7637" s="53" t="n">
        <v>46046.5616087963</v>
      </c>
      <c r="Q7637" s="53" t="n">
        <v>46013.4974074074</v>
      </c>
      <c r="R7637" s="0" t="n">
        <v>0</v>
      </c>
      <c r="S7637" s="51" t="s">
        <v>2356</v>
      </c>
      <c r="T7637" s="51" t="s">
        <v>2356</v>
      </c>
      <c r="U7637" s="51" t="s">
        <v>6853</v>
      </c>
      <c r="V7637" s="51" t="s">
        <v>2357</v>
      </c>
      <c r="W7637" s="51" t="s">
        <v>8276</v>
      </c>
      <c r="X7637" s="51" t="s">
        <v>2359</v>
      </c>
    </row>
    <row r="7638" customFormat="false" ht="14.25" hidden="true" customHeight="false" outlineLevel="0" collapsed="false">
      <c r="A7638" s="49" t="s">
        <v>2349</v>
      </c>
      <c r="B7638" s="49" t="s">
        <v>2350</v>
      </c>
      <c r="C7638" s="49" t="s">
        <v>12546</v>
      </c>
      <c r="D7638" s="49" t="s">
        <v>2352</v>
      </c>
      <c r="E7638" s="49" t="s">
        <v>6853</v>
      </c>
      <c r="F7638" s="49" t="s">
        <v>6854</v>
      </c>
      <c r="G7638" s="49" t="n">
        <v>0</v>
      </c>
      <c r="H7638" s="0" t="n">
        <v>0</v>
      </c>
      <c r="M7638" s="51" t="s">
        <v>3663</v>
      </c>
      <c r="N7638" s="49" t="n">
        <v>0</v>
      </c>
      <c r="O7638" s="53" t="n">
        <v>46013.4970717593</v>
      </c>
      <c r="P7638" s="53" t="n">
        <v>46046.5558333333</v>
      </c>
      <c r="Q7638" s="53" t="n">
        <v>46013.4970717593</v>
      </c>
      <c r="R7638" s="0" t="n">
        <v>0</v>
      </c>
      <c r="S7638" s="51" t="s">
        <v>2356</v>
      </c>
      <c r="T7638" s="51" t="s">
        <v>2356</v>
      </c>
      <c r="U7638" s="51" t="s">
        <v>6853</v>
      </c>
      <c r="V7638" s="51" t="s">
        <v>2357</v>
      </c>
      <c r="W7638" s="51" t="s">
        <v>5750</v>
      </c>
      <c r="X7638" s="51" t="s">
        <v>2359</v>
      </c>
    </row>
    <row r="7639" customFormat="false" ht="14.25" hidden="true" customHeight="false" outlineLevel="0" collapsed="false">
      <c r="A7639" s="49" t="s">
        <v>2349</v>
      </c>
      <c r="B7639" s="49" t="s">
        <v>2350</v>
      </c>
      <c r="C7639" s="49" t="s">
        <v>12547</v>
      </c>
      <c r="D7639" s="49" t="s">
        <v>2352</v>
      </c>
      <c r="E7639" s="49" t="s">
        <v>6853</v>
      </c>
      <c r="F7639" s="49" t="s">
        <v>6854</v>
      </c>
      <c r="G7639" s="49" t="n">
        <v>0</v>
      </c>
      <c r="H7639" s="0" t="n">
        <v>0</v>
      </c>
      <c r="M7639" s="51" t="s">
        <v>3663</v>
      </c>
      <c r="N7639" s="49" t="n">
        <v>0</v>
      </c>
      <c r="O7639" s="53" t="n">
        <v>46013.4966435185</v>
      </c>
      <c r="P7639" s="53" t="n">
        <v>46046.5576041667</v>
      </c>
      <c r="Q7639" s="53" t="n">
        <v>46013.4966435185</v>
      </c>
      <c r="R7639" s="0" t="n">
        <v>0</v>
      </c>
      <c r="S7639" s="51" t="s">
        <v>2356</v>
      </c>
      <c r="T7639" s="51" t="s">
        <v>2356</v>
      </c>
      <c r="U7639" s="51" t="s">
        <v>6853</v>
      </c>
      <c r="V7639" s="51" t="s">
        <v>2357</v>
      </c>
      <c r="W7639" s="51" t="s">
        <v>4586</v>
      </c>
      <c r="X7639" s="51" t="s">
        <v>2359</v>
      </c>
    </row>
    <row r="7640" customFormat="false" ht="14.25" hidden="true" customHeight="false" outlineLevel="0" collapsed="false">
      <c r="A7640" s="49" t="s">
        <v>2349</v>
      </c>
      <c r="B7640" s="49" t="s">
        <v>2350</v>
      </c>
      <c r="C7640" s="49" t="s">
        <v>12548</v>
      </c>
      <c r="D7640" s="49" t="s">
        <v>2352</v>
      </c>
      <c r="E7640" s="49" t="s">
        <v>6853</v>
      </c>
      <c r="F7640" s="49" t="s">
        <v>6854</v>
      </c>
      <c r="G7640" s="49" t="n">
        <v>0</v>
      </c>
      <c r="H7640" s="0" t="n">
        <v>0</v>
      </c>
      <c r="M7640" s="51" t="s">
        <v>3663</v>
      </c>
      <c r="N7640" s="49" t="n">
        <v>0</v>
      </c>
      <c r="O7640" s="53" t="n">
        <v>46013.4958564815</v>
      </c>
      <c r="P7640" s="53" t="n">
        <v>46046.5571990741</v>
      </c>
      <c r="Q7640" s="53" t="n">
        <v>46013.4958564815</v>
      </c>
      <c r="R7640" s="0" t="n">
        <v>0</v>
      </c>
      <c r="S7640" s="51" t="s">
        <v>2356</v>
      </c>
      <c r="T7640" s="51" t="s">
        <v>2356</v>
      </c>
      <c r="U7640" s="51" t="s">
        <v>6853</v>
      </c>
      <c r="V7640" s="51" t="s">
        <v>2357</v>
      </c>
      <c r="W7640" s="51" t="s">
        <v>4169</v>
      </c>
      <c r="X7640" s="51" t="s">
        <v>2359</v>
      </c>
    </row>
    <row r="7641" customFormat="false" ht="14.25" hidden="true" customHeight="false" outlineLevel="0" collapsed="false">
      <c r="A7641" s="49" t="s">
        <v>2349</v>
      </c>
      <c r="B7641" s="49" t="s">
        <v>2350</v>
      </c>
      <c r="C7641" s="49" t="s">
        <v>12549</v>
      </c>
      <c r="D7641" s="49" t="s">
        <v>2352</v>
      </c>
      <c r="E7641" s="49" t="s">
        <v>6853</v>
      </c>
      <c r="F7641" s="49" t="s">
        <v>6854</v>
      </c>
      <c r="G7641" s="49" t="n">
        <v>0</v>
      </c>
      <c r="H7641" s="0" t="n">
        <v>0</v>
      </c>
      <c r="M7641" s="51" t="s">
        <v>3663</v>
      </c>
      <c r="N7641" s="49" t="n">
        <v>0</v>
      </c>
      <c r="O7641" s="53" t="n">
        <v>46013.4943287037</v>
      </c>
      <c r="P7641" s="53" t="n">
        <v>46046.5569791667</v>
      </c>
      <c r="Q7641" s="53" t="n">
        <v>46013.4943287037</v>
      </c>
      <c r="R7641" s="0" t="n">
        <v>0</v>
      </c>
      <c r="S7641" s="51" t="s">
        <v>2356</v>
      </c>
      <c r="T7641" s="51" t="s">
        <v>2356</v>
      </c>
      <c r="U7641" s="51" t="s">
        <v>6853</v>
      </c>
      <c r="V7641" s="51" t="s">
        <v>2357</v>
      </c>
      <c r="W7641" s="51" t="s">
        <v>4792</v>
      </c>
      <c r="X7641" s="51" t="s">
        <v>2359</v>
      </c>
    </row>
    <row r="7642" customFormat="false" ht="14.25" hidden="true" customHeight="false" outlineLevel="0" collapsed="false">
      <c r="A7642" s="49" t="s">
        <v>2349</v>
      </c>
      <c r="B7642" s="49" t="s">
        <v>2350</v>
      </c>
      <c r="C7642" s="49" t="s">
        <v>12550</v>
      </c>
      <c r="D7642" s="49" t="s">
        <v>2352</v>
      </c>
      <c r="E7642" s="49" t="s">
        <v>6853</v>
      </c>
      <c r="F7642" s="49" t="s">
        <v>6854</v>
      </c>
      <c r="G7642" s="49" t="n">
        <v>0</v>
      </c>
      <c r="H7642" s="0" t="n">
        <v>0</v>
      </c>
      <c r="M7642" s="51" t="s">
        <v>3663</v>
      </c>
      <c r="N7642" s="49" t="n">
        <v>0</v>
      </c>
      <c r="O7642" s="53" t="n">
        <v>46013.4934837963</v>
      </c>
      <c r="P7642" s="53" t="n">
        <v>46046.5589467593</v>
      </c>
      <c r="Q7642" s="53" t="n">
        <v>46013.4934837963</v>
      </c>
      <c r="R7642" s="0" t="n">
        <v>0</v>
      </c>
      <c r="S7642" s="51" t="s">
        <v>2356</v>
      </c>
      <c r="T7642" s="51" t="s">
        <v>2356</v>
      </c>
      <c r="U7642" s="51" t="s">
        <v>6853</v>
      </c>
      <c r="V7642" s="51" t="s">
        <v>2357</v>
      </c>
      <c r="W7642" s="51" t="s">
        <v>4146</v>
      </c>
      <c r="X7642" s="51" t="s">
        <v>2359</v>
      </c>
    </row>
    <row r="7643" customFormat="false" ht="14.25" hidden="true" customHeight="false" outlineLevel="0" collapsed="false">
      <c r="A7643" s="49" t="s">
        <v>2349</v>
      </c>
      <c r="B7643" s="49" t="s">
        <v>2350</v>
      </c>
      <c r="C7643" s="49" t="s">
        <v>12551</v>
      </c>
      <c r="D7643" s="49" t="s">
        <v>2352</v>
      </c>
      <c r="E7643" s="49" t="s">
        <v>3643</v>
      </c>
      <c r="F7643" s="49" t="s">
        <v>3644</v>
      </c>
      <c r="G7643" s="49" t="n">
        <v>0</v>
      </c>
      <c r="H7643" s="0" t="n">
        <v>0</v>
      </c>
      <c r="M7643" s="51" t="s">
        <v>3663</v>
      </c>
      <c r="N7643" s="49" t="n">
        <v>0</v>
      </c>
      <c r="O7643" s="53" t="n">
        <v>46013.4921527778</v>
      </c>
      <c r="P7643" s="53" t="n">
        <v>46050.4735416667</v>
      </c>
      <c r="Q7643" s="53" t="n">
        <v>46013.4921527778</v>
      </c>
      <c r="R7643" s="0" t="n">
        <v>0</v>
      </c>
      <c r="S7643" s="51" t="s">
        <v>2356</v>
      </c>
      <c r="T7643" s="51" t="s">
        <v>2356</v>
      </c>
      <c r="U7643" s="51" t="s">
        <v>3643</v>
      </c>
      <c r="V7643" s="51" t="s">
        <v>2357</v>
      </c>
      <c r="W7643" s="51" t="s">
        <v>9724</v>
      </c>
      <c r="X7643" s="51" t="s">
        <v>2359</v>
      </c>
    </row>
    <row r="7644" customFormat="false" ht="14.25" hidden="true" customHeight="false" outlineLevel="0" collapsed="false">
      <c r="A7644" s="49" t="s">
        <v>2349</v>
      </c>
      <c r="B7644" s="49" t="s">
        <v>2350</v>
      </c>
      <c r="C7644" s="49" t="s">
        <v>12552</v>
      </c>
      <c r="D7644" s="49" t="s">
        <v>2352</v>
      </c>
      <c r="E7644" s="49" t="s">
        <v>3643</v>
      </c>
      <c r="F7644" s="49" t="s">
        <v>3644</v>
      </c>
      <c r="G7644" s="49" t="n">
        <v>0</v>
      </c>
      <c r="H7644" s="0" t="n">
        <v>0</v>
      </c>
      <c r="M7644" s="51" t="s">
        <v>3663</v>
      </c>
      <c r="N7644" s="49" t="n">
        <v>0</v>
      </c>
      <c r="O7644" s="53" t="n">
        <v>46013.4914814815</v>
      </c>
      <c r="P7644" s="53" t="n">
        <v>46050.4734027778</v>
      </c>
      <c r="Q7644" s="53" t="n">
        <v>46013.4914814815</v>
      </c>
      <c r="R7644" s="0" t="n">
        <v>0</v>
      </c>
      <c r="S7644" s="51" t="s">
        <v>2356</v>
      </c>
      <c r="T7644" s="51" t="s">
        <v>2356</v>
      </c>
      <c r="U7644" s="51" t="s">
        <v>3643</v>
      </c>
      <c r="V7644" s="51" t="s">
        <v>2357</v>
      </c>
      <c r="W7644" s="51" t="s">
        <v>8251</v>
      </c>
      <c r="X7644" s="51" t="s">
        <v>2359</v>
      </c>
    </row>
    <row r="7645" customFormat="false" ht="14.25" hidden="true" customHeight="false" outlineLevel="0" collapsed="false">
      <c r="A7645" s="49" t="s">
        <v>2349</v>
      </c>
      <c r="B7645" s="49" t="s">
        <v>2350</v>
      </c>
      <c r="C7645" s="49" t="s">
        <v>12553</v>
      </c>
      <c r="D7645" s="49" t="s">
        <v>2352</v>
      </c>
      <c r="E7645" s="49" t="s">
        <v>3643</v>
      </c>
      <c r="F7645" s="49" t="s">
        <v>3644</v>
      </c>
      <c r="G7645" s="49" t="n">
        <v>0</v>
      </c>
      <c r="H7645" s="0" t="n">
        <v>0</v>
      </c>
      <c r="M7645" s="51" t="s">
        <v>3663</v>
      </c>
      <c r="N7645" s="49" t="n">
        <v>0</v>
      </c>
      <c r="O7645" s="53" t="n">
        <v>46013.4907291667</v>
      </c>
      <c r="P7645" s="53" t="n">
        <v>46046.5622800926</v>
      </c>
      <c r="Q7645" s="53" t="n">
        <v>46013.4907291667</v>
      </c>
      <c r="R7645" s="0" t="n">
        <v>0</v>
      </c>
      <c r="S7645" s="51" t="s">
        <v>2356</v>
      </c>
      <c r="T7645" s="51" t="s">
        <v>2356</v>
      </c>
      <c r="U7645" s="51" t="s">
        <v>3643</v>
      </c>
      <c r="V7645" s="51" t="s">
        <v>2357</v>
      </c>
      <c r="W7645" s="51" t="s">
        <v>7221</v>
      </c>
      <c r="X7645" s="51" t="s">
        <v>2359</v>
      </c>
    </row>
    <row r="7646" customFormat="false" ht="14.25" hidden="true" customHeight="false" outlineLevel="0" collapsed="false">
      <c r="A7646" s="49" t="s">
        <v>2349</v>
      </c>
      <c r="B7646" s="49" t="s">
        <v>2350</v>
      </c>
      <c r="C7646" s="49" t="s">
        <v>12554</v>
      </c>
      <c r="D7646" s="49" t="s">
        <v>2352</v>
      </c>
      <c r="E7646" s="49" t="s">
        <v>3643</v>
      </c>
      <c r="F7646" s="49" t="s">
        <v>3644</v>
      </c>
      <c r="G7646" s="49" t="n">
        <v>0</v>
      </c>
      <c r="H7646" s="0" t="n">
        <v>0</v>
      </c>
      <c r="M7646" s="51" t="s">
        <v>3663</v>
      </c>
      <c r="N7646" s="49" t="n">
        <v>0</v>
      </c>
      <c r="O7646" s="53" t="n">
        <v>46013.4903703704</v>
      </c>
      <c r="P7646" s="53" t="n">
        <v>46049.4566435185</v>
      </c>
      <c r="Q7646" s="53" t="n">
        <v>46013.4903703704</v>
      </c>
      <c r="R7646" s="0" t="n">
        <v>0</v>
      </c>
      <c r="S7646" s="51" t="s">
        <v>2356</v>
      </c>
      <c r="T7646" s="51" t="s">
        <v>2356</v>
      </c>
      <c r="U7646" s="51" t="s">
        <v>3643</v>
      </c>
      <c r="V7646" s="51" t="s">
        <v>2357</v>
      </c>
      <c r="W7646" s="51" t="s">
        <v>7272</v>
      </c>
      <c r="X7646" s="51" t="s">
        <v>2359</v>
      </c>
    </row>
    <row r="7647" customFormat="false" ht="14.25" hidden="true" customHeight="false" outlineLevel="0" collapsed="false">
      <c r="A7647" s="49" t="s">
        <v>2349</v>
      </c>
      <c r="B7647" s="49" t="s">
        <v>2350</v>
      </c>
      <c r="C7647" s="49" t="s">
        <v>12555</v>
      </c>
      <c r="D7647" s="49" t="s">
        <v>2352</v>
      </c>
      <c r="E7647" s="49" t="s">
        <v>3643</v>
      </c>
      <c r="F7647" s="49" t="s">
        <v>3644</v>
      </c>
      <c r="G7647" s="49" t="n">
        <v>0</v>
      </c>
      <c r="H7647" s="0" t="n">
        <v>0</v>
      </c>
      <c r="M7647" s="51" t="s">
        <v>3663</v>
      </c>
      <c r="N7647" s="49" t="n">
        <v>0</v>
      </c>
      <c r="O7647" s="53" t="n">
        <v>46013.4899189815</v>
      </c>
      <c r="P7647" s="53" t="n">
        <v>46050.4736805556</v>
      </c>
      <c r="Q7647" s="53" t="n">
        <v>46013.4899189815</v>
      </c>
      <c r="R7647" s="0" t="n">
        <v>0</v>
      </c>
      <c r="S7647" s="51" t="s">
        <v>2356</v>
      </c>
      <c r="T7647" s="51" t="s">
        <v>2356</v>
      </c>
      <c r="U7647" s="51" t="s">
        <v>3643</v>
      </c>
      <c r="V7647" s="51" t="s">
        <v>2357</v>
      </c>
      <c r="W7647" s="51" t="s">
        <v>9683</v>
      </c>
      <c r="X7647" s="51" t="s">
        <v>2359</v>
      </c>
    </row>
    <row r="7648" customFormat="false" ht="14.25" hidden="true" customHeight="false" outlineLevel="0" collapsed="false">
      <c r="A7648" s="49" t="s">
        <v>2349</v>
      </c>
      <c r="B7648" s="49" t="s">
        <v>2350</v>
      </c>
      <c r="C7648" s="49" t="s">
        <v>12556</v>
      </c>
      <c r="D7648" s="49" t="s">
        <v>2352</v>
      </c>
      <c r="E7648" s="49" t="s">
        <v>3643</v>
      </c>
      <c r="F7648" s="49" t="s">
        <v>3644</v>
      </c>
      <c r="G7648" s="49" t="n">
        <v>0</v>
      </c>
      <c r="H7648" s="0" t="n">
        <v>0</v>
      </c>
      <c r="M7648" s="51" t="s">
        <v>3663</v>
      </c>
      <c r="N7648" s="49" t="n">
        <v>0</v>
      </c>
      <c r="O7648" s="53" t="n">
        <v>46013.4895833333</v>
      </c>
      <c r="P7648" s="53" t="n">
        <v>46046.5563773148</v>
      </c>
      <c r="Q7648" s="53" t="n">
        <v>46013.4895833333</v>
      </c>
      <c r="R7648" s="0" t="n">
        <v>0</v>
      </c>
      <c r="S7648" s="51" t="s">
        <v>2356</v>
      </c>
      <c r="T7648" s="51" t="s">
        <v>2356</v>
      </c>
      <c r="U7648" s="51" t="s">
        <v>3643</v>
      </c>
      <c r="V7648" s="51" t="s">
        <v>2357</v>
      </c>
      <c r="W7648" s="51" t="s">
        <v>5331</v>
      </c>
      <c r="X7648" s="51" t="s">
        <v>2359</v>
      </c>
    </row>
    <row r="7649" customFormat="false" ht="14.25" hidden="true" customHeight="false" outlineLevel="0" collapsed="false">
      <c r="A7649" s="49" t="s">
        <v>2349</v>
      </c>
      <c r="B7649" s="49" t="s">
        <v>2350</v>
      </c>
      <c r="C7649" s="49" t="s">
        <v>12557</v>
      </c>
      <c r="D7649" s="49" t="s">
        <v>2352</v>
      </c>
      <c r="E7649" s="49" t="s">
        <v>3643</v>
      </c>
      <c r="F7649" s="49" t="s">
        <v>3644</v>
      </c>
      <c r="G7649" s="49" t="n">
        <v>0</v>
      </c>
      <c r="H7649" s="0" t="n">
        <v>0</v>
      </c>
      <c r="M7649" s="51" t="s">
        <v>3663</v>
      </c>
      <c r="N7649" s="49" t="n">
        <v>0</v>
      </c>
      <c r="O7649" s="53" t="n">
        <v>46013.4892013889</v>
      </c>
      <c r="P7649" s="53" t="n">
        <v>46050.4738541667</v>
      </c>
      <c r="Q7649" s="53" t="n">
        <v>46013.4892013889</v>
      </c>
      <c r="R7649" s="0" t="n">
        <v>0</v>
      </c>
      <c r="S7649" s="51" t="s">
        <v>2356</v>
      </c>
      <c r="T7649" s="51" t="s">
        <v>2356</v>
      </c>
      <c r="U7649" s="51" t="s">
        <v>3643</v>
      </c>
      <c r="V7649" s="51" t="s">
        <v>2357</v>
      </c>
      <c r="W7649" s="51" t="s">
        <v>11979</v>
      </c>
      <c r="X7649" s="51" t="s">
        <v>2359</v>
      </c>
    </row>
    <row r="7650" customFormat="false" ht="14.25" hidden="true" customHeight="false" outlineLevel="0" collapsed="false">
      <c r="A7650" s="49" t="s">
        <v>2349</v>
      </c>
      <c r="B7650" s="49" t="s">
        <v>2350</v>
      </c>
      <c r="C7650" s="49" t="s">
        <v>12558</v>
      </c>
      <c r="D7650" s="49" t="s">
        <v>2352</v>
      </c>
      <c r="E7650" s="49" t="s">
        <v>3638</v>
      </c>
      <c r="F7650" s="49" t="s">
        <v>3639</v>
      </c>
      <c r="G7650" s="49" t="n">
        <v>0</v>
      </c>
      <c r="H7650" s="0" t="n">
        <v>0</v>
      </c>
      <c r="M7650" s="51" t="s">
        <v>3663</v>
      </c>
      <c r="N7650" s="49" t="n">
        <v>0</v>
      </c>
      <c r="O7650" s="53" t="n">
        <v>46013.4850231482</v>
      </c>
      <c r="P7650" s="53" t="n">
        <v>46029.4764930556</v>
      </c>
      <c r="Q7650" s="53" t="n">
        <v>46013.4850231482</v>
      </c>
      <c r="R7650" s="0" t="n">
        <v>0</v>
      </c>
      <c r="S7650" s="51" t="s">
        <v>2356</v>
      </c>
      <c r="T7650" s="51" t="s">
        <v>2356</v>
      </c>
      <c r="U7650" s="51" t="s">
        <v>3638</v>
      </c>
      <c r="V7650" s="51" t="s">
        <v>2357</v>
      </c>
      <c r="W7650" s="51" t="s">
        <v>11753</v>
      </c>
      <c r="X7650" s="51" t="s">
        <v>2359</v>
      </c>
    </row>
    <row r="7651" customFormat="false" ht="14.25" hidden="true" customHeight="false" outlineLevel="0" collapsed="false">
      <c r="A7651" s="49" t="s">
        <v>2349</v>
      </c>
      <c r="B7651" s="49" t="s">
        <v>2350</v>
      </c>
      <c r="C7651" s="49" t="s">
        <v>12559</v>
      </c>
      <c r="D7651" s="49" t="s">
        <v>2352</v>
      </c>
      <c r="E7651" s="49" t="s">
        <v>3638</v>
      </c>
      <c r="F7651" s="49" t="s">
        <v>3639</v>
      </c>
      <c r="G7651" s="49" t="n">
        <v>0</v>
      </c>
      <c r="H7651" s="0" t="n">
        <v>0</v>
      </c>
      <c r="M7651" s="51" t="s">
        <v>3663</v>
      </c>
      <c r="N7651" s="49" t="n">
        <v>0</v>
      </c>
      <c r="O7651" s="53" t="n">
        <v>46013.4844560185</v>
      </c>
      <c r="P7651" s="53" t="n">
        <v>46029.4771875</v>
      </c>
      <c r="Q7651" s="53" t="n">
        <v>46013.4844560185</v>
      </c>
      <c r="R7651" s="0" t="n">
        <v>0</v>
      </c>
      <c r="S7651" s="51" t="s">
        <v>2356</v>
      </c>
      <c r="T7651" s="51" t="s">
        <v>2356</v>
      </c>
      <c r="U7651" s="51" t="s">
        <v>3638</v>
      </c>
      <c r="V7651" s="51" t="s">
        <v>2357</v>
      </c>
      <c r="W7651" s="51" t="s">
        <v>7288</v>
      </c>
      <c r="X7651" s="51" t="s">
        <v>2359</v>
      </c>
    </row>
    <row r="7652" customFormat="false" ht="14.25" hidden="true" customHeight="false" outlineLevel="0" collapsed="false">
      <c r="A7652" s="49" t="s">
        <v>2349</v>
      </c>
      <c r="B7652" s="49" t="s">
        <v>2350</v>
      </c>
      <c r="C7652" s="49" t="s">
        <v>12560</v>
      </c>
      <c r="D7652" s="49" t="s">
        <v>2352</v>
      </c>
      <c r="E7652" s="49" t="s">
        <v>3638</v>
      </c>
      <c r="F7652" s="49" t="s">
        <v>3639</v>
      </c>
      <c r="G7652" s="49" t="n">
        <v>0</v>
      </c>
      <c r="H7652" s="0" t="n">
        <v>0</v>
      </c>
      <c r="M7652" s="51" t="s">
        <v>3663</v>
      </c>
      <c r="N7652" s="49" t="n">
        <v>0</v>
      </c>
      <c r="O7652" s="53" t="n">
        <v>46013.4841435185</v>
      </c>
      <c r="P7652" s="53" t="n">
        <v>46043.4823726852</v>
      </c>
      <c r="Q7652" s="53" t="n">
        <v>46013.4841435185</v>
      </c>
      <c r="R7652" s="0" t="n">
        <v>0</v>
      </c>
      <c r="S7652" s="51" t="s">
        <v>2356</v>
      </c>
      <c r="T7652" s="51" t="s">
        <v>2356</v>
      </c>
      <c r="U7652" s="51" t="s">
        <v>3638</v>
      </c>
      <c r="V7652" s="51" t="s">
        <v>2357</v>
      </c>
      <c r="W7652" s="51" t="s">
        <v>4152</v>
      </c>
      <c r="X7652" s="51" t="s">
        <v>2359</v>
      </c>
    </row>
    <row r="7653" customFormat="false" ht="14.25" hidden="true" customHeight="false" outlineLevel="0" collapsed="false">
      <c r="A7653" s="49" t="s">
        <v>2349</v>
      </c>
      <c r="B7653" s="49" t="s">
        <v>2350</v>
      </c>
      <c r="C7653" s="49" t="s">
        <v>12561</v>
      </c>
      <c r="D7653" s="49" t="s">
        <v>2352</v>
      </c>
      <c r="E7653" s="49" t="s">
        <v>3638</v>
      </c>
      <c r="F7653" s="49" t="s">
        <v>3639</v>
      </c>
      <c r="G7653" s="49" t="n">
        <v>0</v>
      </c>
      <c r="H7653" s="0" t="n">
        <v>0</v>
      </c>
      <c r="M7653" s="51" t="s">
        <v>3663</v>
      </c>
      <c r="N7653" s="49" t="n">
        <v>0</v>
      </c>
      <c r="O7653" s="53" t="n">
        <v>46013.4837037037</v>
      </c>
      <c r="P7653" s="53" t="n">
        <v>46035.5895717593</v>
      </c>
      <c r="Q7653" s="53" t="n">
        <v>46013.4837037037</v>
      </c>
      <c r="R7653" s="0" t="n">
        <v>0</v>
      </c>
      <c r="S7653" s="51" t="s">
        <v>2356</v>
      </c>
      <c r="T7653" s="51" t="s">
        <v>2356</v>
      </c>
      <c r="U7653" s="51" t="s">
        <v>3638</v>
      </c>
      <c r="V7653" s="51" t="s">
        <v>2357</v>
      </c>
      <c r="W7653" s="51" t="s">
        <v>8916</v>
      </c>
      <c r="X7653" s="51" t="s">
        <v>2359</v>
      </c>
    </row>
    <row r="7654" customFormat="false" ht="14.25" hidden="true" customHeight="false" outlineLevel="0" collapsed="false">
      <c r="A7654" s="49" t="s">
        <v>2349</v>
      </c>
      <c r="B7654" s="49" t="s">
        <v>2350</v>
      </c>
      <c r="C7654" s="49" t="s">
        <v>12562</v>
      </c>
      <c r="D7654" s="49" t="s">
        <v>2352</v>
      </c>
      <c r="E7654" s="49" t="s">
        <v>3638</v>
      </c>
      <c r="F7654" s="49" t="s">
        <v>3639</v>
      </c>
      <c r="G7654" s="49" t="n">
        <v>0</v>
      </c>
      <c r="H7654" s="0" t="n">
        <v>0</v>
      </c>
      <c r="M7654" s="51" t="s">
        <v>3663</v>
      </c>
      <c r="N7654" s="49" t="n">
        <v>0</v>
      </c>
      <c r="O7654" s="53" t="n">
        <v>46013.4828472222</v>
      </c>
      <c r="P7654" s="53" t="n">
        <v>46035.5902430556</v>
      </c>
      <c r="Q7654" s="53" t="n">
        <v>46013.4828472222</v>
      </c>
      <c r="R7654" s="0" t="n">
        <v>0</v>
      </c>
      <c r="S7654" s="51" t="s">
        <v>2356</v>
      </c>
      <c r="T7654" s="51" t="s">
        <v>2356</v>
      </c>
      <c r="U7654" s="51" t="s">
        <v>3638</v>
      </c>
      <c r="V7654" s="51" t="s">
        <v>2357</v>
      </c>
      <c r="W7654" s="51" t="s">
        <v>11938</v>
      </c>
      <c r="X7654" s="51" t="s">
        <v>2359</v>
      </c>
    </row>
    <row r="7655" customFormat="false" ht="14.25" hidden="true" customHeight="false" outlineLevel="0" collapsed="false">
      <c r="A7655" s="49" t="s">
        <v>2349</v>
      </c>
      <c r="B7655" s="49" t="s">
        <v>2350</v>
      </c>
      <c r="C7655" s="49" t="s">
        <v>12563</v>
      </c>
      <c r="D7655" s="49" t="s">
        <v>2352</v>
      </c>
      <c r="E7655" s="49" t="s">
        <v>3638</v>
      </c>
      <c r="F7655" s="49" t="s">
        <v>3639</v>
      </c>
      <c r="G7655" s="49" t="n">
        <v>0</v>
      </c>
      <c r="H7655" s="0" t="n">
        <v>0</v>
      </c>
      <c r="M7655" s="51" t="s">
        <v>3663</v>
      </c>
      <c r="N7655" s="49" t="n">
        <v>0</v>
      </c>
      <c r="O7655" s="53" t="n">
        <v>46013.4823032407</v>
      </c>
      <c r="P7655" s="53" t="n">
        <v>46035.5899421296</v>
      </c>
      <c r="Q7655" s="53" t="n">
        <v>46013.4823032407</v>
      </c>
      <c r="R7655" s="0" t="n">
        <v>0</v>
      </c>
      <c r="S7655" s="51" t="s">
        <v>2356</v>
      </c>
      <c r="T7655" s="51" t="s">
        <v>2356</v>
      </c>
      <c r="U7655" s="51" t="s">
        <v>3638</v>
      </c>
      <c r="V7655" s="51" t="s">
        <v>2357</v>
      </c>
      <c r="W7655" s="51" t="s">
        <v>11753</v>
      </c>
      <c r="X7655" s="51" t="s">
        <v>2359</v>
      </c>
    </row>
    <row r="7656" customFormat="false" ht="14.25" hidden="true" customHeight="false" outlineLevel="0" collapsed="false">
      <c r="A7656" s="49" t="s">
        <v>2349</v>
      </c>
      <c r="B7656" s="49" t="s">
        <v>2350</v>
      </c>
      <c r="C7656" s="49" t="s">
        <v>12564</v>
      </c>
      <c r="D7656" s="49" t="s">
        <v>2352</v>
      </c>
      <c r="E7656" s="49" t="s">
        <v>3638</v>
      </c>
      <c r="F7656" s="49" t="s">
        <v>3639</v>
      </c>
      <c r="G7656" s="49" t="n">
        <v>0</v>
      </c>
      <c r="H7656" s="0" t="n">
        <v>0</v>
      </c>
      <c r="M7656" s="51" t="s">
        <v>3663</v>
      </c>
      <c r="N7656" s="49" t="n">
        <v>0</v>
      </c>
      <c r="O7656" s="53" t="n">
        <v>46013.4815393519</v>
      </c>
      <c r="P7656" s="53" t="n">
        <v>46035.5903935185</v>
      </c>
      <c r="Q7656" s="53" t="n">
        <v>46013.4815393519</v>
      </c>
      <c r="R7656" s="0" t="n">
        <v>0</v>
      </c>
      <c r="S7656" s="51" t="s">
        <v>2356</v>
      </c>
      <c r="T7656" s="51" t="s">
        <v>2356</v>
      </c>
      <c r="U7656" s="51" t="s">
        <v>3638</v>
      </c>
      <c r="V7656" s="51" t="s">
        <v>2357</v>
      </c>
      <c r="W7656" s="51" t="s">
        <v>8284</v>
      </c>
      <c r="X7656" s="51" t="s">
        <v>2359</v>
      </c>
    </row>
    <row r="7657" customFormat="false" ht="14.25" hidden="true" customHeight="false" outlineLevel="0" collapsed="false">
      <c r="A7657" s="49" t="s">
        <v>2349</v>
      </c>
      <c r="B7657" s="49" t="s">
        <v>2350</v>
      </c>
      <c r="C7657" s="49" t="s">
        <v>12565</v>
      </c>
      <c r="D7657" s="49" t="s">
        <v>2352</v>
      </c>
      <c r="E7657" s="49" t="s">
        <v>4148</v>
      </c>
      <c r="F7657" s="49" t="s">
        <v>4149</v>
      </c>
      <c r="G7657" s="49" t="n">
        <v>0</v>
      </c>
      <c r="H7657" s="0" t="n">
        <v>0</v>
      </c>
      <c r="M7657" s="51" t="s">
        <v>12566</v>
      </c>
      <c r="N7657" s="49" t="n">
        <v>0</v>
      </c>
      <c r="O7657" s="53" t="n">
        <v>46005.6080555556</v>
      </c>
      <c r="P7657" s="53" t="n">
        <v>46016.6209490741</v>
      </c>
      <c r="Q7657" s="53" t="n">
        <v>46005.6080555556</v>
      </c>
      <c r="R7657" s="0" t="n">
        <v>0</v>
      </c>
      <c r="S7657" s="51" t="s">
        <v>2356</v>
      </c>
      <c r="T7657" s="51" t="s">
        <v>2356</v>
      </c>
      <c r="U7657" s="51" t="s">
        <v>4148</v>
      </c>
      <c r="V7657" s="51" t="s">
        <v>2365</v>
      </c>
      <c r="W7657" s="51" t="s">
        <v>8301</v>
      </c>
      <c r="X7657" s="51" t="s">
        <v>2359</v>
      </c>
    </row>
    <row r="7658" customFormat="false" ht="14.25" hidden="true" customHeight="false" outlineLevel="0" collapsed="false">
      <c r="A7658" s="49" t="s">
        <v>2349</v>
      </c>
      <c r="B7658" s="49" t="s">
        <v>2350</v>
      </c>
      <c r="C7658" s="49" t="s">
        <v>12567</v>
      </c>
      <c r="D7658" s="49" t="s">
        <v>2352</v>
      </c>
      <c r="E7658" s="49" t="s">
        <v>4148</v>
      </c>
      <c r="F7658" s="49" t="s">
        <v>4149</v>
      </c>
      <c r="G7658" s="49" t="n">
        <v>0</v>
      </c>
      <c r="H7658" s="0" t="n">
        <v>0</v>
      </c>
      <c r="M7658" s="51" t="s">
        <v>12566</v>
      </c>
      <c r="N7658" s="49" t="n">
        <v>0</v>
      </c>
      <c r="O7658" s="53" t="n">
        <v>46005.6082638889</v>
      </c>
      <c r="P7658" s="53" t="n">
        <v>46037.6696412037</v>
      </c>
      <c r="Q7658" s="53" t="n">
        <v>46005.6082638889</v>
      </c>
      <c r="R7658" s="0" t="n">
        <v>0</v>
      </c>
      <c r="S7658" s="51" t="s">
        <v>2356</v>
      </c>
      <c r="T7658" s="51" t="s">
        <v>2356</v>
      </c>
      <c r="U7658" s="51" t="s">
        <v>4148</v>
      </c>
      <c r="V7658" s="51" t="s">
        <v>2365</v>
      </c>
      <c r="W7658" s="51" t="s">
        <v>12325</v>
      </c>
      <c r="X7658" s="51" t="s">
        <v>2359</v>
      </c>
    </row>
    <row r="7659" customFormat="false" ht="14.25" hidden="true" customHeight="false" outlineLevel="0" collapsed="false">
      <c r="A7659" s="49" t="s">
        <v>2349</v>
      </c>
      <c r="B7659" s="49" t="s">
        <v>2350</v>
      </c>
      <c r="C7659" s="49" t="s">
        <v>12568</v>
      </c>
      <c r="D7659" s="49" t="s">
        <v>2352</v>
      </c>
      <c r="E7659" s="49" t="s">
        <v>4124</v>
      </c>
      <c r="F7659" s="49" t="s">
        <v>4125</v>
      </c>
      <c r="G7659" s="49" t="n">
        <v>0</v>
      </c>
      <c r="H7659" s="0" t="n">
        <v>0</v>
      </c>
      <c r="M7659" s="51" t="s">
        <v>12566</v>
      </c>
      <c r="N7659" s="49" t="n">
        <v>0</v>
      </c>
      <c r="O7659" s="53" t="n">
        <v>46005.6071412037</v>
      </c>
      <c r="P7659" s="53" t="n">
        <v>46006.8397106482</v>
      </c>
      <c r="Q7659" s="53" t="n">
        <v>46005.6071412037</v>
      </c>
      <c r="R7659" s="0" t="n">
        <v>0</v>
      </c>
      <c r="S7659" s="51" t="s">
        <v>2356</v>
      </c>
      <c r="T7659" s="51" t="s">
        <v>2356</v>
      </c>
      <c r="U7659" s="51" t="s">
        <v>4124</v>
      </c>
      <c r="V7659" s="51" t="s">
        <v>2365</v>
      </c>
      <c r="W7659" s="51" t="s">
        <v>3699</v>
      </c>
      <c r="X7659" s="51" t="s">
        <v>2359</v>
      </c>
    </row>
    <row r="7660" customFormat="false" ht="14.25" hidden="true" customHeight="false" outlineLevel="0" collapsed="false">
      <c r="A7660" s="49" t="s">
        <v>2349</v>
      </c>
      <c r="B7660" s="49" t="s">
        <v>2350</v>
      </c>
      <c r="C7660" s="49" t="s">
        <v>12569</v>
      </c>
      <c r="D7660" s="49" t="s">
        <v>2352</v>
      </c>
      <c r="E7660" s="49" t="s">
        <v>4124</v>
      </c>
      <c r="F7660" s="49" t="s">
        <v>4125</v>
      </c>
      <c r="G7660" s="49" t="n">
        <v>0</v>
      </c>
      <c r="H7660" s="0" t="n">
        <v>0</v>
      </c>
      <c r="M7660" s="51" t="s">
        <v>12566</v>
      </c>
      <c r="N7660" s="49" t="n">
        <v>0</v>
      </c>
      <c r="O7660" s="53" t="n">
        <v>46005.606875</v>
      </c>
      <c r="P7660" s="53" t="n">
        <v>46006.8489467593</v>
      </c>
      <c r="Q7660" s="53" t="n">
        <v>46005.606875</v>
      </c>
      <c r="R7660" s="0" t="n">
        <v>0</v>
      </c>
      <c r="S7660" s="51" t="s">
        <v>2356</v>
      </c>
      <c r="T7660" s="51" t="s">
        <v>2356</v>
      </c>
      <c r="U7660" s="51" t="s">
        <v>4124</v>
      </c>
      <c r="V7660" s="51" t="s">
        <v>2365</v>
      </c>
      <c r="W7660" s="51" t="s">
        <v>11979</v>
      </c>
      <c r="X7660" s="51" t="s">
        <v>2359</v>
      </c>
    </row>
    <row r="7661" customFormat="false" ht="14.25" hidden="true" customHeight="false" outlineLevel="0" collapsed="false">
      <c r="A7661" s="49" t="s">
        <v>2349</v>
      </c>
      <c r="B7661" s="49" t="s">
        <v>2350</v>
      </c>
      <c r="C7661" s="49" t="s">
        <v>12570</v>
      </c>
      <c r="D7661" s="49" t="s">
        <v>2352</v>
      </c>
      <c r="E7661" s="49" t="s">
        <v>4124</v>
      </c>
      <c r="F7661" s="49" t="s">
        <v>4125</v>
      </c>
      <c r="G7661" s="49" t="n">
        <v>0</v>
      </c>
      <c r="H7661" s="0" t="n">
        <v>0</v>
      </c>
      <c r="M7661" s="51" t="s">
        <v>12566</v>
      </c>
      <c r="N7661" s="49" t="n">
        <v>0</v>
      </c>
      <c r="O7661" s="53" t="n">
        <v>46005.6062037037</v>
      </c>
      <c r="P7661" s="53" t="n">
        <v>46006.8463773148</v>
      </c>
      <c r="Q7661" s="53" t="n">
        <v>46005.6062037037</v>
      </c>
      <c r="R7661" s="0" t="n">
        <v>0</v>
      </c>
      <c r="S7661" s="51" t="s">
        <v>2356</v>
      </c>
      <c r="T7661" s="51" t="s">
        <v>2356</v>
      </c>
      <c r="U7661" s="51" t="s">
        <v>4124</v>
      </c>
      <c r="V7661" s="51" t="s">
        <v>2365</v>
      </c>
      <c r="W7661" s="51" t="s">
        <v>5968</v>
      </c>
      <c r="X7661" s="51" t="s">
        <v>2359</v>
      </c>
    </row>
    <row r="7662" customFormat="false" ht="14.25" hidden="true" customHeight="false" outlineLevel="0" collapsed="false">
      <c r="A7662" s="49" t="s">
        <v>2349</v>
      </c>
      <c r="B7662" s="49" t="s">
        <v>2350</v>
      </c>
      <c r="C7662" s="49" t="s">
        <v>12571</v>
      </c>
      <c r="D7662" s="49" t="s">
        <v>2352</v>
      </c>
      <c r="E7662" s="49" t="str">
        <f aca="false">"12363202"</f>
        <v>12363202</v>
      </c>
      <c r="F7662" s="49" t="s">
        <v>7041</v>
      </c>
      <c r="G7662" s="49" t="n">
        <v>0</v>
      </c>
      <c r="H7662" s="0" t="n">
        <v>0</v>
      </c>
      <c r="M7662" s="51" t="s">
        <v>12572</v>
      </c>
      <c r="N7662" s="49" t="n">
        <v>0</v>
      </c>
      <c r="O7662" s="53" t="n">
        <v>46005.647025463</v>
      </c>
      <c r="P7662" s="53" t="n">
        <v>46006.9968171296</v>
      </c>
      <c r="Q7662" s="53" t="n">
        <v>46005.647025463</v>
      </c>
      <c r="R7662" s="0" t="n">
        <v>0</v>
      </c>
      <c r="S7662" s="51" t="s">
        <v>2383</v>
      </c>
      <c r="T7662" s="51" t="s">
        <v>2383</v>
      </c>
      <c r="U7662" s="0" t="str">
        <f aca="false">"12363202"</f>
        <v>12363202</v>
      </c>
      <c r="V7662" s="51" t="s">
        <v>2365</v>
      </c>
      <c r="W7662" s="51" t="s">
        <v>12573</v>
      </c>
      <c r="X7662" s="51" t="s">
        <v>2359</v>
      </c>
    </row>
    <row r="7663" customFormat="false" ht="14.25" hidden="true" customHeight="false" outlineLevel="0" collapsed="false">
      <c r="A7663" s="49" t="s">
        <v>2349</v>
      </c>
      <c r="B7663" s="49" t="s">
        <v>2350</v>
      </c>
      <c r="C7663" s="49" t="s">
        <v>12574</v>
      </c>
      <c r="D7663" s="49" t="s">
        <v>2352</v>
      </c>
      <c r="E7663" s="49" t="str">
        <f aca="false">"041500819389"</f>
        <v>041500819389</v>
      </c>
      <c r="F7663" s="49" t="s">
        <v>6674</v>
      </c>
      <c r="G7663" s="49" t="n">
        <v>0</v>
      </c>
      <c r="H7663" s="0" t="n">
        <v>0</v>
      </c>
      <c r="M7663" s="51" t="s">
        <v>12575</v>
      </c>
      <c r="N7663" s="49" t="n">
        <v>0</v>
      </c>
      <c r="O7663" s="53" t="n">
        <v>46006.6255324074</v>
      </c>
      <c r="P7663" s="53" t="n">
        <v>46011.5799768519</v>
      </c>
      <c r="Q7663" s="53" t="n">
        <v>46006.6255324074</v>
      </c>
      <c r="R7663" s="0" t="n">
        <v>0</v>
      </c>
      <c r="S7663" s="51" t="s">
        <v>3780</v>
      </c>
      <c r="T7663" s="51" t="s">
        <v>3780</v>
      </c>
      <c r="U7663" s="0" t="str">
        <f aca="false">"041500819389"</f>
        <v>041500819389</v>
      </c>
      <c r="V7663" s="51" t="s">
        <v>2365</v>
      </c>
      <c r="W7663" s="51" t="s">
        <v>2409</v>
      </c>
      <c r="X7663" s="51" t="s">
        <v>2359</v>
      </c>
    </row>
    <row r="7664" customFormat="false" ht="14.25" hidden="true" customHeight="false" outlineLevel="0" collapsed="false">
      <c r="A7664" s="49" t="s">
        <v>2349</v>
      </c>
      <c r="B7664" s="49" t="s">
        <v>2350</v>
      </c>
      <c r="C7664" s="49" t="s">
        <v>12576</v>
      </c>
      <c r="D7664" s="49" t="s">
        <v>2352</v>
      </c>
      <c r="E7664" s="49" t="str">
        <f aca="false">"041500819389"</f>
        <v>041500819389</v>
      </c>
      <c r="F7664" s="49" t="s">
        <v>6674</v>
      </c>
      <c r="G7664" s="49" t="n">
        <v>0</v>
      </c>
      <c r="H7664" s="0" t="n">
        <v>0</v>
      </c>
      <c r="M7664" s="51" t="s">
        <v>12575</v>
      </c>
      <c r="N7664" s="49" t="n">
        <v>0</v>
      </c>
      <c r="O7664" s="53" t="n">
        <v>46006.6248726852</v>
      </c>
      <c r="P7664" s="53" t="n">
        <v>46011.5788310185</v>
      </c>
      <c r="Q7664" s="53" t="n">
        <v>46006.6248726852</v>
      </c>
      <c r="R7664" s="0" t="n">
        <v>0</v>
      </c>
      <c r="S7664" s="51" t="s">
        <v>3780</v>
      </c>
      <c r="T7664" s="51" t="s">
        <v>3780</v>
      </c>
      <c r="U7664" s="0" t="str">
        <f aca="false">"041500819389"</f>
        <v>041500819389</v>
      </c>
      <c r="V7664" s="51" t="s">
        <v>2365</v>
      </c>
      <c r="W7664" s="51" t="s">
        <v>4899</v>
      </c>
      <c r="X7664" s="51" t="s">
        <v>2359</v>
      </c>
    </row>
    <row r="7665" customFormat="false" ht="14.25" hidden="true" customHeight="false" outlineLevel="0" collapsed="false">
      <c r="A7665" s="49" t="s">
        <v>2349</v>
      </c>
      <c r="B7665" s="49" t="s">
        <v>2350</v>
      </c>
      <c r="C7665" s="49" t="s">
        <v>12577</v>
      </c>
      <c r="D7665" s="49" t="s">
        <v>2352</v>
      </c>
      <c r="E7665" s="49" t="str">
        <f aca="false">"12309406"</f>
        <v>12309406</v>
      </c>
      <c r="F7665" s="49" t="s">
        <v>12578</v>
      </c>
      <c r="G7665" s="49" t="n">
        <v>0</v>
      </c>
      <c r="H7665" s="0" t="n">
        <v>0</v>
      </c>
      <c r="M7665" s="51" t="s">
        <v>12579</v>
      </c>
      <c r="N7665" s="49" t="n">
        <v>0</v>
      </c>
      <c r="O7665" s="53" t="n">
        <v>46002.6550462963</v>
      </c>
      <c r="P7665" s="53" t="n">
        <v>46007.0045601852</v>
      </c>
      <c r="Q7665" s="53" t="n">
        <v>46002.6550462963</v>
      </c>
      <c r="R7665" s="0" t="n">
        <v>0</v>
      </c>
      <c r="S7665" s="51" t="s">
        <v>2383</v>
      </c>
      <c r="T7665" s="51" t="s">
        <v>2383</v>
      </c>
      <c r="U7665" s="0" t="str">
        <f aca="false">"12309406"</f>
        <v>12309406</v>
      </c>
      <c r="V7665" s="51" t="s">
        <v>2365</v>
      </c>
      <c r="W7665" s="51" t="s">
        <v>3829</v>
      </c>
      <c r="X7665" s="51" t="s">
        <v>2359</v>
      </c>
    </row>
    <row r="7666" customFormat="false" ht="14.25" hidden="true" customHeight="false" outlineLevel="0" collapsed="false">
      <c r="A7666" s="49" t="s">
        <v>2349</v>
      </c>
      <c r="B7666" s="49" t="s">
        <v>2350</v>
      </c>
      <c r="C7666" s="49" t="s">
        <v>12580</v>
      </c>
      <c r="D7666" s="49" t="s">
        <v>2352</v>
      </c>
      <c r="E7666" s="49" t="str">
        <f aca="false">"734730225548"</f>
        <v>734730225548</v>
      </c>
      <c r="F7666" s="49" t="s">
        <v>2434</v>
      </c>
      <c r="G7666" s="49" t="n">
        <v>0</v>
      </c>
      <c r="H7666" s="0" t="n">
        <v>0</v>
      </c>
      <c r="M7666" s="51" t="s">
        <v>12581</v>
      </c>
      <c r="N7666" s="49" t="n">
        <v>0</v>
      </c>
      <c r="O7666" s="53" t="n">
        <v>46017.6482407407</v>
      </c>
      <c r="P7666" s="53" t="n">
        <v>46040.4388425926</v>
      </c>
      <c r="Q7666" s="53" t="n">
        <v>46017.6482407407</v>
      </c>
      <c r="R7666" s="0" t="n">
        <v>0</v>
      </c>
      <c r="S7666" s="51" t="s">
        <v>2380</v>
      </c>
      <c r="T7666" s="51" t="s">
        <v>2380</v>
      </c>
      <c r="U7666" s="0" t="str">
        <f aca="false">"734730225548"</f>
        <v>734730225548</v>
      </c>
      <c r="V7666" s="51" t="s">
        <v>2365</v>
      </c>
      <c r="W7666" s="51" t="s">
        <v>11066</v>
      </c>
      <c r="X7666" s="51" t="s">
        <v>2359</v>
      </c>
    </row>
    <row r="7667" customFormat="false" ht="14.25" hidden="true" customHeight="false" outlineLevel="0" collapsed="false">
      <c r="A7667" s="49" t="s">
        <v>2349</v>
      </c>
      <c r="B7667" s="49" t="s">
        <v>2350</v>
      </c>
      <c r="C7667" s="49" t="s">
        <v>12582</v>
      </c>
      <c r="D7667" s="49" t="s">
        <v>2352</v>
      </c>
      <c r="E7667" s="49" t="str">
        <f aca="false">"734730225548"</f>
        <v>734730225548</v>
      </c>
      <c r="F7667" s="49" t="s">
        <v>2434</v>
      </c>
      <c r="G7667" s="49" t="n">
        <v>0</v>
      </c>
      <c r="H7667" s="0" t="n">
        <v>0</v>
      </c>
      <c r="M7667" s="51" t="s">
        <v>12581</v>
      </c>
      <c r="N7667" s="49" t="n">
        <v>0</v>
      </c>
      <c r="O7667" s="53" t="n">
        <v>46017.6488078704</v>
      </c>
      <c r="P7667" s="53" t="n">
        <v>46040.438587963</v>
      </c>
      <c r="Q7667" s="53" t="n">
        <v>46017.6488078704</v>
      </c>
      <c r="R7667" s="0" t="n">
        <v>0</v>
      </c>
      <c r="S7667" s="51" t="s">
        <v>2380</v>
      </c>
      <c r="T7667" s="51" t="s">
        <v>2380</v>
      </c>
      <c r="U7667" s="0" t="str">
        <f aca="false">"734730225548"</f>
        <v>734730225548</v>
      </c>
      <c r="V7667" s="51" t="s">
        <v>2365</v>
      </c>
      <c r="W7667" s="51" t="s">
        <v>10841</v>
      </c>
      <c r="X7667" s="51" t="s">
        <v>2359</v>
      </c>
    </row>
    <row r="7668" customFormat="false" ht="14.25" hidden="true" customHeight="false" outlineLevel="0" collapsed="false">
      <c r="A7668" s="49" t="s">
        <v>2349</v>
      </c>
      <c r="B7668" s="49" t="s">
        <v>2350</v>
      </c>
      <c r="C7668" s="49" t="s">
        <v>12583</v>
      </c>
      <c r="D7668" s="49" t="s">
        <v>2352</v>
      </c>
      <c r="E7668" s="49" t="str">
        <f aca="false">"734730225548"</f>
        <v>734730225548</v>
      </c>
      <c r="F7668" s="49" t="s">
        <v>2434</v>
      </c>
      <c r="G7668" s="49" t="n">
        <v>0</v>
      </c>
      <c r="H7668" s="0" t="n">
        <v>0</v>
      </c>
      <c r="M7668" s="51" t="s">
        <v>12581</v>
      </c>
      <c r="N7668" s="49" t="n">
        <v>0</v>
      </c>
      <c r="O7668" s="53" t="n">
        <v>46017.6490625</v>
      </c>
      <c r="P7668" s="53" t="n">
        <v>46029.9640277778</v>
      </c>
      <c r="Q7668" s="53" t="n">
        <v>46017.6490625</v>
      </c>
      <c r="R7668" s="0" t="n">
        <v>0</v>
      </c>
      <c r="S7668" s="51" t="s">
        <v>2380</v>
      </c>
      <c r="T7668" s="51" t="s">
        <v>2380</v>
      </c>
      <c r="U7668" s="0" t="str">
        <f aca="false">"734730225548"</f>
        <v>734730225548</v>
      </c>
      <c r="V7668" s="51" t="s">
        <v>2365</v>
      </c>
      <c r="W7668" s="51" t="s">
        <v>12422</v>
      </c>
      <c r="X7668" s="51" t="s">
        <v>2359</v>
      </c>
    </row>
    <row r="7669" customFormat="false" ht="14.25" hidden="true" customHeight="false" outlineLevel="0" collapsed="false">
      <c r="A7669" s="49" t="s">
        <v>2349</v>
      </c>
      <c r="B7669" s="49" t="s">
        <v>2350</v>
      </c>
      <c r="C7669" s="49" t="s">
        <v>12584</v>
      </c>
      <c r="D7669" s="49" t="s">
        <v>2352</v>
      </c>
      <c r="E7669" s="49" t="str">
        <f aca="false">"734730225548"</f>
        <v>734730225548</v>
      </c>
      <c r="F7669" s="49" t="s">
        <v>2434</v>
      </c>
      <c r="G7669" s="49" t="n">
        <v>0</v>
      </c>
      <c r="H7669" s="0" t="n">
        <v>0</v>
      </c>
      <c r="M7669" s="51" t="s">
        <v>12581</v>
      </c>
      <c r="N7669" s="49" t="n">
        <v>0</v>
      </c>
      <c r="O7669" s="53" t="n">
        <v>46026.5858912037</v>
      </c>
      <c r="P7669" s="53" t="n">
        <v>46043.4987268519</v>
      </c>
      <c r="R7669" s="0" t="n">
        <v>0</v>
      </c>
      <c r="T7669" s="51" t="s">
        <v>2364</v>
      </c>
      <c r="U7669" s="0" t="str">
        <f aca="false">"734730225548"</f>
        <v>734730225548</v>
      </c>
      <c r="V7669" s="51" t="s">
        <v>2365</v>
      </c>
      <c r="W7669" s="51" t="s">
        <v>3877</v>
      </c>
      <c r="X7669" s="51" t="s">
        <v>2359</v>
      </c>
    </row>
    <row r="7670" customFormat="false" ht="14.25" hidden="true" customHeight="false" outlineLevel="0" collapsed="false">
      <c r="A7670" s="49" t="s">
        <v>2349</v>
      </c>
      <c r="B7670" s="49" t="s">
        <v>2350</v>
      </c>
      <c r="C7670" s="49" t="s">
        <v>12585</v>
      </c>
      <c r="D7670" s="49" t="s">
        <v>2352</v>
      </c>
      <c r="E7670" s="49" t="str">
        <f aca="false">"10074865055175"</f>
        <v>10074865055175</v>
      </c>
      <c r="F7670" s="49" t="s">
        <v>5090</v>
      </c>
      <c r="G7670" s="49" t="n">
        <v>0</v>
      </c>
      <c r="H7670" s="0" t="n">
        <v>0</v>
      </c>
      <c r="M7670" s="51" t="s">
        <v>12586</v>
      </c>
      <c r="N7670" s="49" t="n">
        <v>0</v>
      </c>
      <c r="O7670" s="53" t="n">
        <v>46027.7395717593</v>
      </c>
      <c r="P7670" s="53" t="n">
        <v>46036.3191666667</v>
      </c>
      <c r="Q7670" s="53" t="n">
        <v>46027.7395717593</v>
      </c>
      <c r="R7670" s="0" t="n">
        <v>0</v>
      </c>
      <c r="S7670" s="51" t="s">
        <v>2380</v>
      </c>
      <c r="T7670" s="51" t="s">
        <v>2380</v>
      </c>
      <c r="U7670" s="0" t="str">
        <f aca="false">"10074865055175"</f>
        <v>10074865055175</v>
      </c>
      <c r="V7670" s="51" t="s">
        <v>2365</v>
      </c>
      <c r="W7670" s="51" t="s">
        <v>6196</v>
      </c>
      <c r="X7670" s="51" t="s">
        <v>2359</v>
      </c>
    </row>
    <row r="7671" customFormat="false" ht="14.25" hidden="true" customHeight="false" outlineLevel="0" collapsed="false">
      <c r="A7671" s="49" t="s">
        <v>2349</v>
      </c>
      <c r="B7671" s="49" t="s">
        <v>2350</v>
      </c>
      <c r="C7671" s="49" t="s">
        <v>12587</v>
      </c>
      <c r="D7671" s="49" t="s">
        <v>2352</v>
      </c>
      <c r="E7671" s="49" t="str">
        <f aca="false">"10074865055175"</f>
        <v>10074865055175</v>
      </c>
      <c r="F7671" s="49" t="s">
        <v>5090</v>
      </c>
      <c r="G7671" s="49" t="n">
        <v>0</v>
      </c>
      <c r="H7671" s="0" t="n">
        <v>0</v>
      </c>
      <c r="M7671" s="51" t="s">
        <v>12586</v>
      </c>
      <c r="N7671" s="49" t="n">
        <v>0</v>
      </c>
      <c r="O7671" s="53" t="n">
        <v>46027.7394444444</v>
      </c>
      <c r="P7671" s="53" t="n">
        <v>46035.362349537</v>
      </c>
      <c r="Q7671" s="53" t="n">
        <v>46027.7394444444</v>
      </c>
      <c r="R7671" s="0" t="n">
        <v>0</v>
      </c>
      <c r="S7671" s="51" t="s">
        <v>2380</v>
      </c>
      <c r="T7671" s="51" t="s">
        <v>2380</v>
      </c>
      <c r="U7671" s="0" t="str">
        <f aca="false">"10074865055175"</f>
        <v>10074865055175</v>
      </c>
      <c r="V7671" s="51" t="s">
        <v>2365</v>
      </c>
      <c r="W7671" s="51" t="s">
        <v>5088</v>
      </c>
      <c r="X7671" s="51" t="s">
        <v>2359</v>
      </c>
    </row>
    <row r="7672" customFormat="false" ht="14.25" hidden="true" customHeight="false" outlineLevel="0" collapsed="false">
      <c r="A7672" s="49" t="s">
        <v>2349</v>
      </c>
      <c r="B7672" s="49" t="s">
        <v>2350</v>
      </c>
      <c r="C7672" s="49" t="s">
        <v>12588</v>
      </c>
      <c r="D7672" s="49" t="s">
        <v>2352</v>
      </c>
      <c r="E7672" s="49" t="str">
        <f aca="false">"10074865055175"</f>
        <v>10074865055175</v>
      </c>
      <c r="F7672" s="49" t="s">
        <v>5090</v>
      </c>
      <c r="G7672" s="49" t="n">
        <v>0</v>
      </c>
      <c r="H7672" s="0" t="n">
        <v>0</v>
      </c>
      <c r="M7672" s="51" t="s">
        <v>12586</v>
      </c>
      <c r="N7672" s="49" t="n">
        <v>0</v>
      </c>
      <c r="O7672" s="53" t="n">
        <v>46027.7335648148</v>
      </c>
      <c r="P7672" s="53" t="n">
        <v>46033.9143402778</v>
      </c>
      <c r="Q7672" s="53" t="n">
        <v>46027.7335648148</v>
      </c>
      <c r="R7672" s="0" t="n">
        <v>0</v>
      </c>
      <c r="S7672" s="51" t="s">
        <v>2380</v>
      </c>
      <c r="T7672" s="51" t="s">
        <v>2380</v>
      </c>
      <c r="U7672" s="0" t="str">
        <f aca="false">"10074865055175"</f>
        <v>10074865055175</v>
      </c>
      <c r="V7672" s="51" t="s">
        <v>2365</v>
      </c>
      <c r="W7672" s="51" t="s">
        <v>6257</v>
      </c>
      <c r="X7672" s="51" t="s">
        <v>2359</v>
      </c>
    </row>
    <row r="7673" customFormat="false" ht="14.25" hidden="true" customHeight="false" outlineLevel="0" collapsed="false">
      <c r="A7673" s="49" t="s">
        <v>2349</v>
      </c>
      <c r="B7673" s="49" t="s">
        <v>2350</v>
      </c>
      <c r="C7673" s="49" t="s">
        <v>12589</v>
      </c>
      <c r="D7673" s="49" t="s">
        <v>2352</v>
      </c>
      <c r="E7673" s="49" t="str">
        <f aca="false">"10074865055175"</f>
        <v>10074865055175</v>
      </c>
      <c r="F7673" s="49" t="s">
        <v>5090</v>
      </c>
      <c r="G7673" s="49" t="n">
        <v>0</v>
      </c>
      <c r="H7673" s="0" t="n">
        <v>0</v>
      </c>
      <c r="M7673" s="51" t="s">
        <v>12586</v>
      </c>
      <c r="N7673" s="49" t="n">
        <v>0</v>
      </c>
      <c r="O7673" s="53" t="n">
        <v>46027.7352430556</v>
      </c>
      <c r="P7673" s="53" t="n">
        <v>46043.0760300926</v>
      </c>
      <c r="Q7673" s="53" t="n">
        <v>46027.7352430556</v>
      </c>
      <c r="R7673" s="0" t="n">
        <v>0</v>
      </c>
      <c r="S7673" s="51" t="s">
        <v>2380</v>
      </c>
      <c r="T7673" s="51" t="s">
        <v>2380</v>
      </c>
      <c r="U7673" s="0" t="str">
        <f aca="false">"10074865055175"</f>
        <v>10074865055175</v>
      </c>
      <c r="V7673" s="51" t="s">
        <v>2365</v>
      </c>
      <c r="W7673" s="51" t="s">
        <v>10829</v>
      </c>
      <c r="X7673" s="51" t="s">
        <v>2359</v>
      </c>
    </row>
    <row r="7674" customFormat="false" ht="14.25" hidden="true" customHeight="false" outlineLevel="0" collapsed="false">
      <c r="A7674" s="49" t="s">
        <v>2349</v>
      </c>
      <c r="B7674" s="49" t="s">
        <v>2350</v>
      </c>
      <c r="C7674" s="49" t="s">
        <v>12590</v>
      </c>
      <c r="D7674" s="49" t="s">
        <v>2352</v>
      </c>
      <c r="E7674" s="49" t="str">
        <f aca="false">"10074865055175"</f>
        <v>10074865055175</v>
      </c>
      <c r="F7674" s="49" t="s">
        <v>5090</v>
      </c>
      <c r="G7674" s="49" t="n">
        <v>0</v>
      </c>
      <c r="H7674" s="0" t="n">
        <v>0</v>
      </c>
      <c r="M7674" s="51" t="s">
        <v>12586</v>
      </c>
      <c r="N7674" s="49" t="n">
        <v>0</v>
      </c>
      <c r="O7674" s="53" t="n">
        <v>46027.7360300926</v>
      </c>
      <c r="P7674" s="53" t="n">
        <v>46049.0075231481</v>
      </c>
      <c r="Q7674" s="53" t="n">
        <v>46027.7360300926</v>
      </c>
      <c r="R7674" s="0" t="n">
        <v>0</v>
      </c>
      <c r="S7674" s="51" t="s">
        <v>2380</v>
      </c>
      <c r="T7674" s="51" t="s">
        <v>2380</v>
      </c>
      <c r="U7674" s="0" t="str">
        <f aca="false">"10074865055175"</f>
        <v>10074865055175</v>
      </c>
      <c r="V7674" s="51" t="s">
        <v>2365</v>
      </c>
      <c r="W7674" s="51" t="s">
        <v>4453</v>
      </c>
      <c r="X7674" s="51" t="s">
        <v>2359</v>
      </c>
    </row>
    <row r="7675" customFormat="false" ht="14.25" hidden="true" customHeight="false" outlineLevel="0" collapsed="false">
      <c r="A7675" s="49" t="s">
        <v>2349</v>
      </c>
      <c r="B7675" s="49" t="s">
        <v>2350</v>
      </c>
      <c r="C7675" s="49" t="s">
        <v>12591</v>
      </c>
      <c r="D7675" s="49" t="s">
        <v>2352</v>
      </c>
      <c r="E7675" s="49" t="s">
        <v>7198</v>
      </c>
      <c r="F7675" s="49" t="s">
        <v>7199</v>
      </c>
      <c r="G7675" s="49" t="n">
        <v>0</v>
      </c>
      <c r="H7675" s="0" t="n">
        <v>0</v>
      </c>
      <c r="M7675" s="51" t="s">
        <v>12592</v>
      </c>
      <c r="N7675" s="49" t="n">
        <v>0</v>
      </c>
      <c r="O7675" s="53" t="n">
        <v>46033.457037037</v>
      </c>
      <c r="P7675" s="53" t="n">
        <v>46037.5938194444</v>
      </c>
      <c r="Q7675" s="53" t="n">
        <v>46033.457037037</v>
      </c>
      <c r="R7675" s="0" t="n">
        <v>0</v>
      </c>
      <c r="S7675" s="51" t="s">
        <v>2356</v>
      </c>
      <c r="T7675" s="51" t="s">
        <v>2356</v>
      </c>
      <c r="U7675" s="51" t="s">
        <v>7198</v>
      </c>
      <c r="V7675" s="51" t="s">
        <v>2365</v>
      </c>
      <c r="W7675" s="51" t="s">
        <v>5983</v>
      </c>
      <c r="X7675" s="51" t="s">
        <v>2359</v>
      </c>
    </row>
    <row r="7676" customFormat="false" ht="14.25" hidden="true" customHeight="false" outlineLevel="0" collapsed="false">
      <c r="A7676" s="49" t="s">
        <v>2349</v>
      </c>
      <c r="B7676" s="49" t="s">
        <v>2350</v>
      </c>
      <c r="C7676" s="49" t="s">
        <v>12593</v>
      </c>
      <c r="D7676" s="49" t="s">
        <v>2352</v>
      </c>
      <c r="E7676" s="49" t="s">
        <v>7198</v>
      </c>
      <c r="F7676" s="49" t="s">
        <v>7199</v>
      </c>
      <c r="G7676" s="49" t="n">
        <v>0</v>
      </c>
      <c r="H7676" s="0" t="n">
        <v>0</v>
      </c>
      <c r="M7676" s="51" t="s">
        <v>12592</v>
      </c>
      <c r="N7676" s="49" t="n">
        <v>0</v>
      </c>
      <c r="O7676" s="53" t="n">
        <v>46033.4574189815</v>
      </c>
      <c r="P7676" s="53" t="n">
        <v>46041.5885648148</v>
      </c>
      <c r="Q7676" s="53" t="n">
        <v>46033.4574189815</v>
      </c>
      <c r="R7676" s="0" t="n">
        <v>0</v>
      </c>
      <c r="S7676" s="51" t="s">
        <v>2356</v>
      </c>
      <c r="T7676" s="51" t="s">
        <v>2356</v>
      </c>
      <c r="U7676" s="51" t="s">
        <v>7198</v>
      </c>
      <c r="V7676" s="51" t="s">
        <v>2365</v>
      </c>
      <c r="W7676" s="51" t="s">
        <v>5315</v>
      </c>
      <c r="X7676" s="51" t="s">
        <v>2359</v>
      </c>
    </row>
    <row r="7677" customFormat="false" ht="14.25" hidden="true" customHeight="false" outlineLevel="0" collapsed="false">
      <c r="A7677" s="49" t="s">
        <v>2349</v>
      </c>
      <c r="B7677" s="49" t="s">
        <v>2350</v>
      </c>
      <c r="C7677" s="49" t="s">
        <v>12594</v>
      </c>
      <c r="D7677" s="49" t="s">
        <v>2352</v>
      </c>
      <c r="E7677" s="49" t="s">
        <v>7198</v>
      </c>
      <c r="F7677" s="49" t="s">
        <v>7199</v>
      </c>
      <c r="G7677" s="49" t="n">
        <v>0</v>
      </c>
      <c r="H7677" s="0" t="n">
        <v>0</v>
      </c>
      <c r="M7677" s="51" t="s">
        <v>12592</v>
      </c>
      <c r="N7677" s="49" t="n">
        <v>0</v>
      </c>
      <c r="O7677" s="53" t="n">
        <v>46033.4579513889</v>
      </c>
      <c r="P7677" s="53" t="n">
        <v>46037.593599537</v>
      </c>
      <c r="Q7677" s="53" t="n">
        <v>46033.4579513889</v>
      </c>
      <c r="R7677" s="0" t="n">
        <v>0</v>
      </c>
      <c r="S7677" s="51" t="s">
        <v>2356</v>
      </c>
      <c r="T7677" s="51" t="s">
        <v>2356</v>
      </c>
      <c r="U7677" s="51" t="s">
        <v>7198</v>
      </c>
      <c r="V7677" s="51" t="s">
        <v>2365</v>
      </c>
      <c r="W7677" s="51" t="s">
        <v>9685</v>
      </c>
      <c r="X7677" s="51" t="s">
        <v>2359</v>
      </c>
    </row>
    <row r="7678" customFormat="false" ht="14.25" hidden="true" customHeight="false" outlineLevel="0" collapsed="false">
      <c r="A7678" s="49" t="s">
        <v>2349</v>
      </c>
      <c r="B7678" s="49" t="s">
        <v>2350</v>
      </c>
      <c r="C7678" s="49" t="s">
        <v>12595</v>
      </c>
      <c r="D7678" s="49" t="s">
        <v>2352</v>
      </c>
      <c r="E7678" s="49" t="s">
        <v>7198</v>
      </c>
      <c r="F7678" s="49" t="s">
        <v>7199</v>
      </c>
      <c r="G7678" s="49" t="n">
        <v>0</v>
      </c>
      <c r="H7678" s="0" t="n">
        <v>0</v>
      </c>
      <c r="M7678" s="51" t="s">
        <v>12592</v>
      </c>
      <c r="N7678" s="49" t="n">
        <v>0</v>
      </c>
      <c r="O7678" s="53" t="n">
        <v>46033.458275463</v>
      </c>
      <c r="P7678" s="53" t="n">
        <v>46037.5937037037</v>
      </c>
      <c r="Q7678" s="53" t="n">
        <v>46033.458275463</v>
      </c>
      <c r="R7678" s="0" t="n">
        <v>0</v>
      </c>
      <c r="S7678" s="51" t="s">
        <v>2356</v>
      </c>
      <c r="T7678" s="51" t="s">
        <v>2356</v>
      </c>
      <c r="U7678" s="51" t="s">
        <v>7198</v>
      </c>
      <c r="V7678" s="51" t="s">
        <v>2365</v>
      </c>
      <c r="W7678" s="51" t="s">
        <v>8270</v>
      </c>
      <c r="X7678" s="51" t="s">
        <v>2359</v>
      </c>
    </row>
    <row r="7679" customFormat="false" ht="14.25" hidden="true" customHeight="false" outlineLevel="0" collapsed="false">
      <c r="A7679" s="49" t="s">
        <v>2349</v>
      </c>
      <c r="B7679" s="49" t="s">
        <v>2350</v>
      </c>
      <c r="C7679" s="49" t="s">
        <v>12596</v>
      </c>
      <c r="D7679" s="49" t="s">
        <v>2352</v>
      </c>
      <c r="E7679" s="49" t="s">
        <v>7198</v>
      </c>
      <c r="F7679" s="49" t="s">
        <v>7199</v>
      </c>
      <c r="G7679" s="49" t="n">
        <v>0</v>
      </c>
      <c r="H7679" s="0" t="n">
        <v>0</v>
      </c>
      <c r="M7679" s="51" t="s">
        <v>12592</v>
      </c>
      <c r="N7679" s="49" t="n">
        <v>0</v>
      </c>
      <c r="O7679" s="53" t="n">
        <v>46033.4584722222</v>
      </c>
      <c r="P7679" s="53" t="n">
        <v>46041.5902199074</v>
      </c>
      <c r="Q7679" s="53" t="n">
        <v>46033.4584722222</v>
      </c>
      <c r="R7679" s="0" t="n">
        <v>0</v>
      </c>
      <c r="S7679" s="51" t="s">
        <v>2356</v>
      </c>
      <c r="T7679" s="51" t="s">
        <v>2356</v>
      </c>
      <c r="U7679" s="51" t="s">
        <v>7198</v>
      </c>
      <c r="V7679" s="51" t="s">
        <v>2365</v>
      </c>
      <c r="W7679" s="51" t="s">
        <v>5324</v>
      </c>
      <c r="X7679" s="51" t="s">
        <v>2359</v>
      </c>
    </row>
    <row r="7680" customFormat="false" ht="14.25" hidden="true" customHeight="false" outlineLevel="0" collapsed="false">
      <c r="A7680" s="49" t="s">
        <v>2349</v>
      </c>
      <c r="B7680" s="49" t="s">
        <v>2350</v>
      </c>
      <c r="C7680" s="49" t="s">
        <v>12597</v>
      </c>
      <c r="D7680" s="49" t="s">
        <v>2397</v>
      </c>
      <c r="E7680" s="49" t="s">
        <v>12598</v>
      </c>
      <c r="F7680" s="49" t="s">
        <v>12599</v>
      </c>
      <c r="G7680" s="49" t="n">
        <v>0</v>
      </c>
      <c r="H7680" s="0" t="n">
        <v>0</v>
      </c>
      <c r="M7680" s="51" t="s">
        <v>12592</v>
      </c>
      <c r="N7680" s="49" t="n">
        <v>0</v>
      </c>
      <c r="O7680" s="53" t="n">
        <v>46033.4626967593</v>
      </c>
      <c r="P7680" s="53" t="n">
        <v>46033.4903009259</v>
      </c>
      <c r="Q7680" s="53" t="n">
        <v>46033.4626967593</v>
      </c>
      <c r="R7680" s="0" t="n">
        <v>0</v>
      </c>
      <c r="S7680" s="51" t="s">
        <v>2356</v>
      </c>
      <c r="T7680" s="51" t="s">
        <v>2356</v>
      </c>
      <c r="U7680" s="51" t="s">
        <v>12598</v>
      </c>
      <c r="V7680" s="51" t="s">
        <v>3740</v>
      </c>
      <c r="X7680" s="51" t="s">
        <v>2359</v>
      </c>
    </row>
    <row r="7681" customFormat="false" ht="14.25" hidden="true" customHeight="false" outlineLevel="0" collapsed="false">
      <c r="A7681" s="49" t="s">
        <v>2349</v>
      </c>
      <c r="B7681" s="49" t="s">
        <v>2350</v>
      </c>
      <c r="C7681" s="49" t="s">
        <v>12600</v>
      </c>
      <c r="D7681" s="49" t="s">
        <v>2397</v>
      </c>
      <c r="E7681" s="49" t="s">
        <v>12598</v>
      </c>
      <c r="F7681" s="49" t="s">
        <v>12599</v>
      </c>
      <c r="G7681" s="49" t="n">
        <v>0</v>
      </c>
      <c r="H7681" s="0" t="n">
        <v>0</v>
      </c>
      <c r="M7681" s="51" t="s">
        <v>12592</v>
      </c>
      <c r="N7681" s="49" t="n">
        <v>0</v>
      </c>
      <c r="O7681" s="53" t="n">
        <v>46033.4629050926</v>
      </c>
      <c r="P7681" s="53" t="n">
        <v>46033.4904050926</v>
      </c>
      <c r="Q7681" s="53" t="n">
        <v>46033.4629050926</v>
      </c>
      <c r="R7681" s="0" t="n">
        <v>0</v>
      </c>
      <c r="S7681" s="51" t="s">
        <v>2356</v>
      </c>
      <c r="T7681" s="51" t="s">
        <v>2356</v>
      </c>
      <c r="U7681" s="51" t="s">
        <v>12598</v>
      </c>
      <c r="V7681" s="51" t="s">
        <v>3740</v>
      </c>
      <c r="X7681" s="51" t="s">
        <v>2359</v>
      </c>
    </row>
    <row r="7682" customFormat="false" ht="14.25" hidden="true" customHeight="false" outlineLevel="0" collapsed="false">
      <c r="A7682" s="49" t="s">
        <v>2349</v>
      </c>
      <c r="B7682" s="49" t="s">
        <v>2350</v>
      </c>
      <c r="C7682" s="49" t="s">
        <v>12601</v>
      </c>
      <c r="D7682" s="49" t="s">
        <v>2352</v>
      </c>
      <c r="E7682" s="49" t="str">
        <f aca="false">"12464079"</f>
        <v>12464079</v>
      </c>
      <c r="F7682" s="49" t="s">
        <v>4706</v>
      </c>
      <c r="G7682" s="49" t="n">
        <v>0</v>
      </c>
      <c r="H7682" s="0" t="n">
        <v>0</v>
      </c>
      <c r="M7682" s="51" t="s">
        <v>12602</v>
      </c>
      <c r="N7682" s="49" t="n">
        <v>0</v>
      </c>
      <c r="O7682" s="53" t="n">
        <v>45988.5937268519</v>
      </c>
      <c r="P7682" s="53" t="n">
        <v>46006.48875</v>
      </c>
      <c r="Q7682" s="53" t="n">
        <v>45988.5937268519</v>
      </c>
      <c r="R7682" s="0" t="n">
        <v>0</v>
      </c>
      <c r="S7682" s="51" t="s">
        <v>2401</v>
      </c>
      <c r="T7682" s="51" t="s">
        <v>2401</v>
      </c>
      <c r="U7682" s="0" t="str">
        <f aca="false">"12464079"</f>
        <v>12464079</v>
      </c>
      <c r="V7682" s="51" t="s">
        <v>2365</v>
      </c>
      <c r="W7682" s="51" t="s">
        <v>8552</v>
      </c>
      <c r="X7682" s="51" t="s">
        <v>2359</v>
      </c>
    </row>
    <row r="7683" customFormat="false" ht="14.25" hidden="true" customHeight="false" outlineLevel="0" collapsed="false">
      <c r="A7683" s="49" t="s">
        <v>2349</v>
      </c>
      <c r="B7683" s="49" t="s">
        <v>2350</v>
      </c>
      <c r="C7683" s="49" t="s">
        <v>12603</v>
      </c>
      <c r="D7683" s="49" t="s">
        <v>2352</v>
      </c>
      <c r="E7683" s="49" t="str">
        <f aca="false">"12464079"</f>
        <v>12464079</v>
      </c>
      <c r="F7683" s="49" t="s">
        <v>4706</v>
      </c>
      <c r="G7683" s="49" t="n">
        <v>0</v>
      </c>
      <c r="H7683" s="0" t="n">
        <v>0</v>
      </c>
      <c r="M7683" s="51" t="s">
        <v>12602</v>
      </c>
      <c r="N7683" s="49" t="n">
        <v>0</v>
      </c>
      <c r="O7683" s="53" t="n">
        <v>45988.5939467593</v>
      </c>
      <c r="P7683" s="53" t="n">
        <v>45994.9571990741</v>
      </c>
      <c r="Q7683" s="53" t="n">
        <v>45988.5939467593</v>
      </c>
      <c r="R7683" s="0" t="n">
        <v>0</v>
      </c>
      <c r="S7683" s="51" t="s">
        <v>2401</v>
      </c>
      <c r="T7683" s="51" t="s">
        <v>2401</v>
      </c>
      <c r="U7683" s="0" t="str">
        <f aca="false">"12464079"</f>
        <v>12464079</v>
      </c>
      <c r="V7683" s="51" t="s">
        <v>2365</v>
      </c>
      <c r="W7683" s="51" t="s">
        <v>10212</v>
      </c>
      <c r="X7683" s="51" t="s">
        <v>2359</v>
      </c>
    </row>
    <row r="7684" customFormat="false" ht="14.25" hidden="true" customHeight="false" outlineLevel="0" collapsed="false">
      <c r="A7684" s="49" t="s">
        <v>2349</v>
      </c>
      <c r="B7684" s="49" t="s">
        <v>2350</v>
      </c>
      <c r="C7684" s="49" t="s">
        <v>12604</v>
      </c>
      <c r="D7684" s="49" t="s">
        <v>2352</v>
      </c>
      <c r="E7684" s="49" t="str">
        <f aca="false">"12464079"</f>
        <v>12464079</v>
      </c>
      <c r="F7684" s="49" t="s">
        <v>4706</v>
      </c>
      <c r="G7684" s="49" t="n">
        <v>0</v>
      </c>
      <c r="H7684" s="0" t="n">
        <v>0</v>
      </c>
      <c r="M7684" s="51" t="s">
        <v>12602</v>
      </c>
      <c r="N7684" s="49" t="n">
        <v>0</v>
      </c>
      <c r="O7684" s="53" t="n">
        <v>45988.5943287037</v>
      </c>
      <c r="P7684" s="53" t="n">
        <v>46006.9879282407</v>
      </c>
      <c r="Q7684" s="53" t="n">
        <v>45988.5943287037</v>
      </c>
      <c r="R7684" s="0" t="n">
        <v>0</v>
      </c>
      <c r="S7684" s="51" t="s">
        <v>2401</v>
      </c>
      <c r="T7684" s="51" t="s">
        <v>2401</v>
      </c>
      <c r="U7684" s="0" t="str">
        <f aca="false">"12464079"</f>
        <v>12464079</v>
      </c>
      <c r="V7684" s="51" t="s">
        <v>2365</v>
      </c>
      <c r="W7684" s="51" t="s">
        <v>4474</v>
      </c>
      <c r="X7684" s="51" t="s">
        <v>2359</v>
      </c>
    </row>
    <row r="7685" customFormat="false" ht="14.25" hidden="true" customHeight="false" outlineLevel="0" collapsed="false">
      <c r="A7685" s="49" t="s">
        <v>2349</v>
      </c>
      <c r="B7685" s="49" t="s">
        <v>2350</v>
      </c>
      <c r="C7685" s="49" t="s">
        <v>12605</v>
      </c>
      <c r="D7685" s="49" t="s">
        <v>2352</v>
      </c>
      <c r="E7685" s="49" t="str">
        <f aca="false">"12464079"</f>
        <v>12464079</v>
      </c>
      <c r="F7685" s="49" t="s">
        <v>4706</v>
      </c>
      <c r="G7685" s="49" t="n">
        <v>0</v>
      </c>
      <c r="H7685" s="0" t="n">
        <v>0</v>
      </c>
      <c r="M7685" s="51" t="s">
        <v>12602</v>
      </c>
      <c r="N7685" s="49" t="n">
        <v>0</v>
      </c>
      <c r="O7685" s="53" t="n">
        <v>45988.5946064815</v>
      </c>
      <c r="P7685" s="53" t="n">
        <v>46004.412025463</v>
      </c>
      <c r="Q7685" s="53" t="n">
        <v>45988.5946064815</v>
      </c>
      <c r="R7685" s="0" t="n">
        <v>0</v>
      </c>
      <c r="S7685" s="51" t="s">
        <v>2401</v>
      </c>
      <c r="T7685" s="51" t="s">
        <v>2401</v>
      </c>
      <c r="U7685" s="0" t="str">
        <f aca="false">"12464079"</f>
        <v>12464079</v>
      </c>
      <c r="V7685" s="51" t="s">
        <v>2365</v>
      </c>
      <c r="W7685" s="51" t="s">
        <v>4643</v>
      </c>
      <c r="X7685" s="51" t="s">
        <v>2359</v>
      </c>
    </row>
    <row r="7686" customFormat="false" ht="14.25" hidden="true" customHeight="false" outlineLevel="0" collapsed="false">
      <c r="A7686" s="49" t="s">
        <v>2349</v>
      </c>
      <c r="B7686" s="49" t="s">
        <v>2350</v>
      </c>
      <c r="C7686" s="49" t="s">
        <v>12606</v>
      </c>
      <c r="D7686" s="49" t="s">
        <v>2352</v>
      </c>
      <c r="E7686" s="49" t="str">
        <f aca="false">"12464079"</f>
        <v>12464079</v>
      </c>
      <c r="F7686" s="49" t="s">
        <v>4706</v>
      </c>
      <c r="G7686" s="49" t="n">
        <v>0</v>
      </c>
      <c r="H7686" s="0" t="n">
        <v>0</v>
      </c>
      <c r="M7686" s="51" t="s">
        <v>12602</v>
      </c>
      <c r="N7686" s="49" t="n">
        <v>0</v>
      </c>
      <c r="O7686" s="53" t="n">
        <v>45988.5949305556</v>
      </c>
      <c r="P7686" s="53" t="n">
        <v>45994.957650463</v>
      </c>
      <c r="Q7686" s="53" t="n">
        <v>45988.5949305556</v>
      </c>
      <c r="R7686" s="0" t="n">
        <v>0</v>
      </c>
      <c r="S7686" s="51" t="s">
        <v>2401</v>
      </c>
      <c r="T7686" s="51" t="s">
        <v>2401</v>
      </c>
      <c r="U7686" s="0" t="str">
        <f aca="false">"12464079"</f>
        <v>12464079</v>
      </c>
      <c r="V7686" s="51" t="s">
        <v>2365</v>
      </c>
      <c r="W7686" s="51" t="s">
        <v>10202</v>
      </c>
      <c r="X7686" s="51" t="s">
        <v>2359</v>
      </c>
    </row>
    <row r="7687" customFormat="false" ht="14.25" hidden="true" customHeight="false" outlineLevel="0" collapsed="false">
      <c r="A7687" s="49" t="s">
        <v>2349</v>
      </c>
      <c r="B7687" s="49" t="s">
        <v>2350</v>
      </c>
      <c r="C7687" s="49" t="s">
        <v>12607</v>
      </c>
      <c r="D7687" s="49" t="s">
        <v>2352</v>
      </c>
      <c r="E7687" s="49" t="str">
        <f aca="false">"12464079"</f>
        <v>12464079</v>
      </c>
      <c r="F7687" s="49" t="s">
        <v>4706</v>
      </c>
      <c r="G7687" s="49" t="n">
        <v>0</v>
      </c>
      <c r="H7687" s="0" t="n">
        <v>0</v>
      </c>
      <c r="M7687" s="51" t="s">
        <v>12602</v>
      </c>
      <c r="N7687" s="49" t="n">
        <v>0</v>
      </c>
      <c r="O7687" s="53" t="n">
        <v>45988.5952314815</v>
      </c>
      <c r="P7687" s="53" t="n">
        <v>46006.9850694445</v>
      </c>
      <c r="Q7687" s="53" t="n">
        <v>45988.5952314815</v>
      </c>
      <c r="R7687" s="0" t="n">
        <v>0</v>
      </c>
      <c r="S7687" s="51" t="s">
        <v>2401</v>
      </c>
      <c r="T7687" s="51" t="s">
        <v>2401</v>
      </c>
      <c r="U7687" s="0" t="str">
        <f aca="false">"12464079"</f>
        <v>12464079</v>
      </c>
      <c r="V7687" s="51" t="s">
        <v>2365</v>
      </c>
      <c r="W7687" s="51" t="s">
        <v>11066</v>
      </c>
      <c r="X7687" s="51" t="s">
        <v>2359</v>
      </c>
    </row>
    <row r="7688" customFormat="false" ht="14.25" hidden="true" customHeight="false" outlineLevel="0" collapsed="false">
      <c r="A7688" s="49" t="s">
        <v>2349</v>
      </c>
      <c r="B7688" s="49" t="s">
        <v>2350</v>
      </c>
      <c r="C7688" s="49" t="s">
        <v>12608</v>
      </c>
      <c r="D7688" s="49" t="s">
        <v>2352</v>
      </c>
      <c r="E7688" s="49" t="str">
        <f aca="false">"12464079"</f>
        <v>12464079</v>
      </c>
      <c r="F7688" s="49" t="s">
        <v>4706</v>
      </c>
      <c r="G7688" s="49" t="n">
        <v>0</v>
      </c>
      <c r="H7688" s="0" t="n">
        <v>0</v>
      </c>
      <c r="M7688" s="51" t="s">
        <v>12602</v>
      </c>
      <c r="N7688" s="49" t="n">
        <v>0</v>
      </c>
      <c r="O7688" s="53" t="n">
        <v>45988.5954513889</v>
      </c>
      <c r="P7688" s="53" t="n">
        <v>46006.9904398148</v>
      </c>
      <c r="Q7688" s="53" t="n">
        <v>45988.5954513889</v>
      </c>
      <c r="R7688" s="0" t="n">
        <v>0</v>
      </c>
      <c r="S7688" s="51" t="s">
        <v>2401</v>
      </c>
      <c r="T7688" s="51" t="s">
        <v>2401</v>
      </c>
      <c r="U7688" s="0" t="str">
        <f aca="false">"12464079"</f>
        <v>12464079</v>
      </c>
      <c r="V7688" s="51" t="s">
        <v>2365</v>
      </c>
      <c r="W7688" s="51" t="s">
        <v>10716</v>
      </c>
      <c r="X7688" s="51" t="s">
        <v>2359</v>
      </c>
    </row>
    <row r="7689" customFormat="false" ht="14.25" hidden="true" customHeight="false" outlineLevel="0" collapsed="false">
      <c r="A7689" s="49" t="s">
        <v>2349</v>
      </c>
      <c r="B7689" s="49" t="s">
        <v>2350</v>
      </c>
      <c r="C7689" s="49" t="s">
        <v>12609</v>
      </c>
      <c r="D7689" s="49" t="s">
        <v>2352</v>
      </c>
      <c r="E7689" s="49" t="str">
        <f aca="false">"12464079"</f>
        <v>12464079</v>
      </c>
      <c r="F7689" s="49" t="s">
        <v>4706</v>
      </c>
      <c r="G7689" s="49" t="n">
        <v>0</v>
      </c>
      <c r="H7689" s="0" t="n">
        <v>0</v>
      </c>
      <c r="M7689" s="51" t="s">
        <v>12602</v>
      </c>
      <c r="N7689" s="49" t="n">
        <v>0</v>
      </c>
      <c r="O7689" s="53" t="n">
        <v>45988.5957523148</v>
      </c>
      <c r="P7689" s="53" t="n">
        <v>46049.9196527778</v>
      </c>
      <c r="Q7689" s="53" t="n">
        <v>45988.5957523148</v>
      </c>
      <c r="R7689" s="0" t="n">
        <v>0</v>
      </c>
      <c r="S7689" s="51" t="s">
        <v>2401</v>
      </c>
      <c r="T7689" s="51" t="s">
        <v>2401</v>
      </c>
      <c r="U7689" s="0" t="str">
        <f aca="false">"12464079"</f>
        <v>12464079</v>
      </c>
      <c r="V7689" s="51" t="s">
        <v>2365</v>
      </c>
      <c r="W7689" s="51" t="s">
        <v>2406</v>
      </c>
      <c r="X7689" s="51" t="s">
        <v>2359</v>
      </c>
    </row>
    <row r="7690" customFormat="false" ht="14.25" hidden="true" customHeight="false" outlineLevel="0" collapsed="false">
      <c r="A7690" s="49" t="s">
        <v>2349</v>
      </c>
      <c r="B7690" s="49" t="s">
        <v>2350</v>
      </c>
      <c r="C7690" s="49" t="s">
        <v>12610</v>
      </c>
      <c r="D7690" s="49" t="s">
        <v>2352</v>
      </c>
      <c r="E7690" s="49" t="str">
        <f aca="false">"12464079"</f>
        <v>12464079</v>
      </c>
      <c r="F7690" s="49" t="s">
        <v>4706</v>
      </c>
      <c r="G7690" s="49" t="n">
        <v>0</v>
      </c>
      <c r="H7690" s="0" t="n">
        <v>0</v>
      </c>
      <c r="M7690" s="51" t="s">
        <v>12602</v>
      </c>
      <c r="N7690" s="49" t="n">
        <v>0</v>
      </c>
      <c r="O7690" s="53" t="n">
        <v>45988.5961342593</v>
      </c>
      <c r="P7690" s="53" t="n">
        <v>46011.5842361111</v>
      </c>
      <c r="Q7690" s="53" t="n">
        <v>45988.5961342593</v>
      </c>
      <c r="R7690" s="0" t="n">
        <v>0</v>
      </c>
      <c r="S7690" s="51" t="s">
        <v>2401</v>
      </c>
      <c r="T7690" s="51" t="s">
        <v>2401</v>
      </c>
      <c r="U7690" s="0" t="str">
        <f aca="false">"12464079"</f>
        <v>12464079</v>
      </c>
      <c r="V7690" s="51" t="s">
        <v>2365</v>
      </c>
      <c r="W7690" s="51" t="s">
        <v>10165</v>
      </c>
      <c r="X7690" s="51" t="s">
        <v>2359</v>
      </c>
    </row>
    <row r="7691" customFormat="false" ht="14.25" hidden="true" customHeight="false" outlineLevel="0" collapsed="false">
      <c r="A7691" s="49" t="s">
        <v>2349</v>
      </c>
      <c r="B7691" s="49" t="s">
        <v>2350</v>
      </c>
      <c r="C7691" s="49" t="s">
        <v>12611</v>
      </c>
      <c r="D7691" s="49" t="s">
        <v>2352</v>
      </c>
      <c r="E7691" s="49" t="str">
        <f aca="false">"12464079"</f>
        <v>12464079</v>
      </c>
      <c r="F7691" s="49" t="s">
        <v>4706</v>
      </c>
      <c r="G7691" s="49" t="n">
        <v>0</v>
      </c>
      <c r="H7691" s="0" t="n">
        <v>0</v>
      </c>
      <c r="M7691" s="51" t="s">
        <v>12602</v>
      </c>
      <c r="N7691" s="49" t="n">
        <v>0</v>
      </c>
      <c r="O7691" s="53" t="n">
        <v>45988.5963888889</v>
      </c>
      <c r="P7691" s="53" t="n">
        <v>46004.4099768519</v>
      </c>
      <c r="Q7691" s="53" t="n">
        <v>45988.5963888889</v>
      </c>
      <c r="R7691" s="0" t="n">
        <v>0</v>
      </c>
      <c r="S7691" s="51" t="s">
        <v>2401</v>
      </c>
      <c r="T7691" s="51" t="s">
        <v>2401</v>
      </c>
      <c r="U7691" s="0" t="str">
        <f aca="false">"12464079"</f>
        <v>12464079</v>
      </c>
      <c r="V7691" s="51" t="s">
        <v>2365</v>
      </c>
      <c r="W7691" s="51" t="s">
        <v>3891</v>
      </c>
      <c r="X7691" s="51" t="s">
        <v>2359</v>
      </c>
    </row>
    <row r="7692" customFormat="false" ht="14.25" hidden="true" customHeight="false" outlineLevel="0" collapsed="false">
      <c r="A7692" s="49" t="s">
        <v>2349</v>
      </c>
      <c r="B7692" s="49" t="s">
        <v>2350</v>
      </c>
      <c r="C7692" s="49" t="s">
        <v>12612</v>
      </c>
      <c r="D7692" s="49" t="s">
        <v>2352</v>
      </c>
      <c r="E7692" s="49" t="str">
        <f aca="false">"12464079"</f>
        <v>12464079</v>
      </c>
      <c r="F7692" s="49" t="s">
        <v>4706</v>
      </c>
      <c r="G7692" s="49" t="n">
        <v>0</v>
      </c>
      <c r="H7692" s="0" t="n">
        <v>0</v>
      </c>
      <c r="M7692" s="51" t="s">
        <v>12602</v>
      </c>
      <c r="N7692" s="49" t="n">
        <v>0</v>
      </c>
      <c r="O7692" s="53" t="n">
        <v>45988.5966087963</v>
      </c>
      <c r="P7692" s="53" t="n">
        <v>46056.8099768519</v>
      </c>
      <c r="Q7692" s="53" t="n">
        <v>45988.5966087963</v>
      </c>
      <c r="R7692" s="0" t="n">
        <v>0</v>
      </c>
      <c r="S7692" s="51" t="s">
        <v>2401</v>
      </c>
      <c r="T7692" s="51" t="s">
        <v>2401</v>
      </c>
      <c r="U7692" s="0" t="str">
        <f aca="false">"12464079"</f>
        <v>12464079</v>
      </c>
      <c r="V7692" s="51" t="s">
        <v>2365</v>
      </c>
      <c r="W7692" s="51" t="s">
        <v>9327</v>
      </c>
      <c r="X7692" s="51" t="s">
        <v>2359</v>
      </c>
    </row>
    <row r="7693" customFormat="false" ht="14.25" hidden="true" customHeight="false" outlineLevel="0" collapsed="false">
      <c r="A7693" s="49" t="s">
        <v>2349</v>
      </c>
      <c r="B7693" s="49" t="s">
        <v>2350</v>
      </c>
      <c r="C7693" s="49" t="s">
        <v>12613</v>
      </c>
      <c r="D7693" s="49" t="s">
        <v>2352</v>
      </c>
      <c r="E7693" s="49" t="str">
        <f aca="false">"12598287"</f>
        <v>12598287</v>
      </c>
      <c r="F7693" s="49" t="s">
        <v>12614</v>
      </c>
      <c r="G7693" s="49" t="n">
        <v>0</v>
      </c>
      <c r="H7693" s="0" t="n">
        <v>0</v>
      </c>
      <c r="M7693" s="51" t="s">
        <v>12602</v>
      </c>
      <c r="N7693" s="49" t="n">
        <v>0</v>
      </c>
      <c r="O7693" s="53" t="n">
        <v>45988.6010416667</v>
      </c>
      <c r="P7693" s="53" t="n">
        <v>46001.1752662037</v>
      </c>
      <c r="Q7693" s="53" t="n">
        <v>45988.6010416667</v>
      </c>
      <c r="R7693" s="0" t="n">
        <v>0</v>
      </c>
      <c r="S7693" s="51" t="s">
        <v>2401</v>
      </c>
      <c r="T7693" s="51" t="s">
        <v>2401</v>
      </c>
      <c r="U7693" s="0" t="str">
        <f aca="false">"12598287"</f>
        <v>12598287</v>
      </c>
      <c r="V7693" s="51" t="s">
        <v>2365</v>
      </c>
      <c r="W7693" s="51" t="s">
        <v>3820</v>
      </c>
      <c r="X7693" s="51" t="s">
        <v>2359</v>
      </c>
    </row>
    <row r="7694" customFormat="false" ht="14.25" hidden="true" customHeight="false" outlineLevel="0" collapsed="false">
      <c r="A7694" s="49" t="s">
        <v>2349</v>
      </c>
      <c r="B7694" s="49" t="s">
        <v>2350</v>
      </c>
      <c r="C7694" s="49" t="s">
        <v>12615</v>
      </c>
      <c r="D7694" s="49" t="s">
        <v>2352</v>
      </c>
      <c r="E7694" s="49" t="str">
        <f aca="false">"12476048"</f>
        <v>12476048</v>
      </c>
      <c r="F7694" s="49" t="s">
        <v>4272</v>
      </c>
      <c r="G7694" s="49" t="n">
        <v>0</v>
      </c>
      <c r="H7694" s="0" t="n">
        <v>0</v>
      </c>
      <c r="M7694" s="51" t="s">
        <v>12602</v>
      </c>
      <c r="N7694" s="49" t="n">
        <v>0</v>
      </c>
      <c r="O7694" s="53" t="n">
        <v>45988.6022569445</v>
      </c>
      <c r="P7694" s="53" t="n">
        <v>46031.7580208333</v>
      </c>
      <c r="Q7694" s="53" t="n">
        <v>45988.6022569445</v>
      </c>
      <c r="R7694" s="0" t="n">
        <v>0</v>
      </c>
      <c r="S7694" s="51" t="s">
        <v>2401</v>
      </c>
      <c r="T7694" s="51" t="s">
        <v>2401</v>
      </c>
      <c r="U7694" s="0" t="str">
        <f aca="false">"12476048"</f>
        <v>12476048</v>
      </c>
      <c r="V7694" s="51" t="s">
        <v>2365</v>
      </c>
      <c r="W7694" s="51" t="s">
        <v>10822</v>
      </c>
      <c r="X7694" s="51" t="s">
        <v>2359</v>
      </c>
    </row>
    <row r="7695" customFormat="false" ht="14.25" hidden="true" customHeight="false" outlineLevel="0" collapsed="false">
      <c r="A7695" s="49" t="s">
        <v>2349</v>
      </c>
      <c r="B7695" s="49" t="s">
        <v>2350</v>
      </c>
      <c r="C7695" s="49" t="s">
        <v>12616</v>
      </c>
      <c r="D7695" s="49" t="s">
        <v>2352</v>
      </c>
      <c r="E7695" s="49" t="str">
        <f aca="false">"12598287"</f>
        <v>12598287</v>
      </c>
      <c r="F7695" s="49" t="s">
        <v>12614</v>
      </c>
      <c r="G7695" s="49" t="n">
        <v>0</v>
      </c>
      <c r="H7695" s="0" t="n">
        <v>0</v>
      </c>
      <c r="M7695" s="51" t="s">
        <v>12602</v>
      </c>
      <c r="N7695" s="49" t="n">
        <v>0</v>
      </c>
      <c r="O7695" s="53" t="n">
        <v>45988.6004976852</v>
      </c>
      <c r="P7695" s="53" t="n">
        <v>46001.1755787037</v>
      </c>
      <c r="Q7695" s="53" t="n">
        <v>45988.6004976852</v>
      </c>
      <c r="R7695" s="0" t="n">
        <v>0</v>
      </c>
      <c r="S7695" s="51" t="s">
        <v>2401</v>
      </c>
      <c r="T7695" s="51" t="s">
        <v>2401</v>
      </c>
      <c r="U7695" s="0" t="str">
        <f aca="false">"12598287"</f>
        <v>12598287</v>
      </c>
      <c r="V7695" s="51" t="s">
        <v>2365</v>
      </c>
      <c r="W7695" s="51" t="s">
        <v>10571</v>
      </c>
      <c r="X7695" s="51" t="s">
        <v>2359</v>
      </c>
    </row>
    <row r="7696" customFormat="false" ht="14.25" hidden="true" customHeight="false" outlineLevel="0" collapsed="false">
      <c r="A7696" s="49" t="s">
        <v>2349</v>
      </c>
      <c r="B7696" s="49" t="s">
        <v>2350</v>
      </c>
      <c r="C7696" s="49" t="s">
        <v>12617</v>
      </c>
      <c r="D7696" s="49" t="s">
        <v>2352</v>
      </c>
      <c r="E7696" s="49" t="str">
        <f aca="false">"12560652"</f>
        <v>12560652</v>
      </c>
      <c r="F7696" s="49" t="s">
        <v>7880</v>
      </c>
      <c r="G7696" s="49" t="n">
        <v>0</v>
      </c>
      <c r="H7696" s="0" t="n">
        <v>0</v>
      </c>
      <c r="M7696" s="51" t="s">
        <v>12602</v>
      </c>
      <c r="N7696" s="49" t="n">
        <v>0</v>
      </c>
      <c r="O7696" s="53" t="n">
        <v>45988.6033333333</v>
      </c>
      <c r="P7696" s="53" t="n">
        <v>45998.4512847222</v>
      </c>
      <c r="Q7696" s="53" t="n">
        <v>45988.6033333333</v>
      </c>
      <c r="R7696" s="0" t="n">
        <v>0</v>
      </c>
      <c r="S7696" s="51" t="s">
        <v>2401</v>
      </c>
      <c r="T7696" s="51" t="s">
        <v>2401</v>
      </c>
      <c r="U7696" s="0" t="str">
        <f aca="false">"12560652"</f>
        <v>12560652</v>
      </c>
      <c r="V7696" s="51" t="s">
        <v>2365</v>
      </c>
      <c r="W7696" s="51" t="s">
        <v>10571</v>
      </c>
      <c r="X7696" s="51" t="s">
        <v>2359</v>
      </c>
    </row>
    <row r="7697" customFormat="false" ht="14.25" hidden="true" customHeight="false" outlineLevel="0" collapsed="false">
      <c r="A7697" s="49" t="s">
        <v>2349</v>
      </c>
      <c r="B7697" s="49" t="s">
        <v>2350</v>
      </c>
      <c r="C7697" s="49" t="s">
        <v>12618</v>
      </c>
      <c r="D7697" s="49" t="s">
        <v>2352</v>
      </c>
      <c r="E7697" s="49" t="str">
        <f aca="false">"12598287"</f>
        <v>12598287</v>
      </c>
      <c r="F7697" s="49" t="s">
        <v>12614</v>
      </c>
      <c r="G7697" s="49" t="n">
        <v>0</v>
      </c>
      <c r="H7697" s="0" t="n">
        <v>0</v>
      </c>
      <c r="M7697" s="51" t="s">
        <v>12602</v>
      </c>
      <c r="N7697" s="49" t="n">
        <v>0</v>
      </c>
      <c r="O7697" s="53" t="n">
        <v>45988.600162037</v>
      </c>
      <c r="P7697" s="53" t="n">
        <v>46001.1727430556</v>
      </c>
      <c r="Q7697" s="53" t="n">
        <v>45988.600162037</v>
      </c>
      <c r="R7697" s="0" t="n">
        <v>0</v>
      </c>
      <c r="S7697" s="51" t="s">
        <v>2401</v>
      </c>
      <c r="T7697" s="51" t="s">
        <v>2401</v>
      </c>
      <c r="U7697" s="0" t="str">
        <f aca="false">"12598287"</f>
        <v>12598287</v>
      </c>
      <c r="V7697" s="51" t="s">
        <v>2365</v>
      </c>
      <c r="W7697" s="51" t="s">
        <v>12619</v>
      </c>
      <c r="X7697" s="51" t="s">
        <v>2359</v>
      </c>
    </row>
    <row r="7698" customFormat="false" ht="14.25" hidden="true" customHeight="false" outlineLevel="0" collapsed="false">
      <c r="A7698" s="49" t="s">
        <v>2349</v>
      </c>
      <c r="B7698" s="49" t="s">
        <v>2350</v>
      </c>
      <c r="C7698" s="49" t="s">
        <v>12620</v>
      </c>
      <c r="D7698" s="49" t="s">
        <v>2352</v>
      </c>
      <c r="E7698" s="49" t="str">
        <f aca="false">"12560652"</f>
        <v>12560652</v>
      </c>
      <c r="F7698" s="49" t="s">
        <v>7880</v>
      </c>
      <c r="G7698" s="49" t="n">
        <v>0</v>
      </c>
      <c r="H7698" s="0" t="n">
        <v>0</v>
      </c>
      <c r="M7698" s="51" t="s">
        <v>12602</v>
      </c>
      <c r="N7698" s="49" t="n">
        <v>0</v>
      </c>
      <c r="O7698" s="53" t="n">
        <v>45988.6038425926</v>
      </c>
      <c r="P7698" s="53" t="n">
        <v>46006.9758333333</v>
      </c>
      <c r="Q7698" s="53" t="n">
        <v>45988.6038425926</v>
      </c>
      <c r="R7698" s="0" t="n">
        <v>0</v>
      </c>
      <c r="S7698" s="51" t="s">
        <v>2401</v>
      </c>
      <c r="T7698" s="51" t="s">
        <v>2401</v>
      </c>
      <c r="U7698" s="0" t="str">
        <f aca="false">"12560652"</f>
        <v>12560652</v>
      </c>
      <c r="V7698" s="51" t="s">
        <v>2365</v>
      </c>
      <c r="W7698" s="51" t="s">
        <v>8533</v>
      </c>
      <c r="X7698" s="51" t="s">
        <v>2359</v>
      </c>
    </row>
    <row r="7699" customFormat="false" ht="14.25" hidden="true" customHeight="false" outlineLevel="0" collapsed="false">
      <c r="A7699" s="49" t="s">
        <v>2349</v>
      </c>
      <c r="B7699" s="49" t="s">
        <v>2350</v>
      </c>
      <c r="C7699" s="49" t="s">
        <v>12621</v>
      </c>
      <c r="D7699" s="49" t="s">
        <v>2352</v>
      </c>
      <c r="E7699" s="49" t="str">
        <f aca="false">"12598287"</f>
        <v>12598287</v>
      </c>
      <c r="F7699" s="49" t="s">
        <v>12614</v>
      </c>
      <c r="G7699" s="49" t="n">
        <v>0</v>
      </c>
      <c r="H7699" s="0" t="n">
        <v>0</v>
      </c>
      <c r="M7699" s="51" t="s">
        <v>12602</v>
      </c>
      <c r="N7699" s="49" t="n">
        <v>0</v>
      </c>
      <c r="O7699" s="53" t="n">
        <v>45988.5974305556</v>
      </c>
      <c r="P7699" s="53" t="n">
        <v>46007.007962963</v>
      </c>
      <c r="Q7699" s="53" t="n">
        <v>45988.5974305556</v>
      </c>
      <c r="R7699" s="0" t="n">
        <v>0</v>
      </c>
      <c r="S7699" s="51" t="s">
        <v>2401</v>
      </c>
      <c r="T7699" s="51" t="s">
        <v>2401</v>
      </c>
      <c r="U7699" s="0" t="str">
        <f aca="false">"12598287"</f>
        <v>12598287</v>
      </c>
      <c r="V7699" s="51" t="s">
        <v>2365</v>
      </c>
      <c r="W7699" s="51" t="s">
        <v>4297</v>
      </c>
      <c r="X7699" s="51" t="s">
        <v>2359</v>
      </c>
    </row>
    <row r="7700" customFormat="false" ht="14.25" hidden="true" customHeight="false" outlineLevel="0" collapsed="false">
      <c r="A7700" s="49" t="s">
        <v>2349</v>
      </c>
      <c r="B7700" s="49" t="s">
        <v>2350</v>
      </c>
      <c r="C7700" s="49" t="s">
        <v>12622</v>
      </c>
      <c r="D7700" s="49" t="s">
        <v>2352</v>
      </c>
      <c r="E7700" s="49" t="str">
        <f aca="false">"12598287"</f>
        <v>12598287</v>
      </c>
      <c r="F7700" s="49" t="s">
        <v>12614</v>
      </c>
      <c r="G7700" s="49" t="n">
        <v>0</v>
      </c>
      <c r="H7700" s="0" t="n">
        <v>0</v>
      </c>
      <c r="M7700" s="51" t="s">
        <v>12602</v>
      </c>
      <c r="N7700" s="49" t="n">
        <v>0</v>
      </c>
      <c r="O7700" s="53" t="n">
        <v>45988.5971875</v>
      </c>
      <c r="P7700" s="53" t="n">
        <v>46007.0072106481</v>
      </c>
      <c r="Q7700" s="53" t="n">
        <v>45988.5971875</v>
      </c>
      <c r="R7700" s="0" t="n">
        <v>0</v>
      </c>
      <c r="S7700" s="51" t="s">
        <v>2401</v>
      </c>
      <c r="T7700" s="51" t="s">
        <v>2401</v>
      </c>
      <c r="U7700" s="0" t="str">
        <f aca="false">"12598287"</f>
        <v>12598287</v>
      </c>
      <c r="V7700" s="51" t="s">
        <v>2365</v>
      </c>
      <c r="W7700" s="51" t="s">
        <v>12623</v>
      </c>
      <c r="X7700" s="51" t="s">
        <v>2359</v>
      </c>
    </row>
    <row r="7701" customFormat="false" ht="14.25" hidden="true" customHeight="false" outlineLevel="0" collapsed="false">
      <c r="A7701" s="49" t="s">
        <v>2349</v>
      </c>
      <c r="B7701" s="49" t="s">
        <v>2350</v>
      </c>
      <c r="C7701" s="49" t="s">
        <v>12624</v>
      </c>
      <c r="D7701" s="49" t="s">
        <v>2352</v>
      </c>
      <c r="E7701" s="49" t="str">
        <f aca="false">"12464079"</f>
        <v>12464079</v>
      </c>
      <c r="F7701" s="49" t="s">
        <v>4706</v>
      </c>
      <c r="G7701" s="49" t="n">
        <v>0</v>
      </c>
      <c r="H7701" s="0" t="n">
        <v>0</v>
      </c>
      <c r="M7701" s="51" t="s">
        <v>12602</v>
      </c>
      <c r="N7701" s="49" t="n">
        <v>0</v>
      </c>
      <c r="O7701" s="53" t="n">
        <v>45988.5934027778</v>
      </c>
      <c r="P7701" s="53" t="n">
        <v>46002.9527893519</v>
      </c>
      <c r="Q7701" s="53" t="n">
        <v>45988.5934027778</v>
      </c>
      <c r="R7701" s="0" t="n">
        <v>0</v>
      </c>
      <c r="S7701" s="51" t="s">
        <v>2401</v>
      </c>
      <c r="T7701" s="51" t="s">
        <v>2401</v>
      </c>
      <c r="U7701" s="0" t="str">
        <f aca="false">"12464079"</f>
        <v>12464079</v>
      </c>
      <c r="V7701" s="51" t="s">
        <v>2365</v>
      </c>
      <c r="W7701" s="51" t="s">
        <v>8540</v>
      </c>
      <c r="X7701" s="51" t="s">
        <v>2359</v>
      </c>
    </row>
    <row r="7702" customFormat="false" ht="14.25" hidden="true" customHeight="false" outlineLevel="0" collapsed="false">
      <c r="A7702" s="49" t="s">
        <v>2349</v>
      </c>
      <c r="B7702" s="49" t="s">
        <v>2350</v>
      </c>
      <c r="C7702" s="49" t="s">
        <v>12625</v>
      </c>
      <c r="D7702" s="49" t="s">
        <v>2352</v>
      </c>
      <c r="E7702" s="49" t="str">
        <f aca="false">"12464079"</f>
        <v>12464079</v>
      </c>
      <c r="F7702" s="49" t="s">
        <v>4706</v>
      </c>
      <c r="G7702" s="49" t="n">
        <v>0</v>
      </c>
      <c r="H7702" s="0" t="n">
        <v>0</v>
      </c>
      <c r="M7702" s="51" t="s">
        <v>12602</v>
      </c>
      <c r="N7702" s="49" t="n">
        <v>0</v>
      </c>
      <c r="O7702" s="53" t="n">
        <v>45988.5927546296</v>
      </c>
      <c r="P7702" s="53" t="n">
        <v>46002.9509259259</v>
      </c>
      <c r="Q7702" s="53" t="n">
        <v>45988.5927546296</v>
      </c>
      <c r="R7702" s="0" t="n">
        <v>0</v>
      </c>
      <c r="S7702" s="51" t="s">
        <v>2401</v>
      </c>
      <c r="T7702" s="51" t="s">
        <v>2401</v>
      </c>
      <c r="U7702" s="0" t="str">
        <f aca="false">"12464079"</f>
        <v>12464079</v>
      </c>
      <c r="V7702" s="51" t="s">
        <v>2365</v>
      </c>
      <c r="W7702" s="51" t="s">
        <v>10726</v>
      </c>
      <c r="X7702" s="51" t="s">
        <v>2359</v>
      </c>
    </row>
    <row r="7703" customFormat="false" ht="14.25" hidden="true" customHeight="false" outlineLevel="0" collapsed="false">
      <c r="A7703" s="49" t="s">
        <v>2349</v>
      </c>
      <c r="B7703" s="49" t="s">
        <v>2350</v>
      </c>
      <c r="C7703" s="49" t="s">
        <v>12626</v>
      </c>
      <c r="D7703" s="49" t="s">
        <v>2352</v>
      </c>
      <c r="E7703" s="49" t="str">
        <f aca="false">"12464079"</f>
        <v>12464079</v>
      </c>
      <c r="F7703" s="49" t="s">
        <v>4706</v>
      </c>
      <c r="G7703" s="49" t="n">
        <v>0</v>
      </c>
      <c r="H7703" s="0" t="n">
        <v>0</v>
      </c>
      <c r="M7703" s="51" t="s">
        <v>12602</v>
      </c>
      <c r="N7703" s="49" t="n">
        <v>0</v>
      </c>
      <c r="O7703" s="53" t="n">
        <v>45988.592962963</v>
      </c>
      <c r="P7703" s="53" t="n">
        <v>45994.955462963</v>
      </c>
      <c r="Q7703" s="53" t="n">
        <v>45988.592962963</v>
      </c>
      <c r="R7703" s="0" t="n">
        <v>0</v>
      </c>
      <c r="S7703" s="51" t="s">
        <v>2401</v>
      </c>
      <c r="T7703" s="51" t="s">
        <v>2401</v>
      </c>
      <c r="U7703" s="0" t="str">
        <f aca="false">"12464079"</f>
        <v>12464079</v>
      </c>
      <c r="V7703" s="51" t="s">
        <v>2365</v>
      </c>
      <c r="W7703" s="51" t="s">
        <v>11134</v>
      </c>
      <c r="X7703" s="51" t="s">
        <v>2359</v>
      </c>
    </row>
    <row r="7704" customFormat="false" ht="14.25" hidden="true" customHeight="false" outlineLevel="0" collapsed="false">
      <c r="A7704" s="49" t="s">
        <v>2349</v>
      </c>
      <c r="B7704" s="49" t="s">
        <v>2350</v>
      </c>
      <c r="C7704" s="49" t="s">
        <v>12627</v>
      </c>
      <c r="D7704" s="49" t="s">
        <v>2352</v>
      </c>
      <c r="E7704" s="49" t="str">
        <f aca="false">"12464079"</f>
        <v>12464079</v>
      </c>
      <c r="F7704" s="49" t="s">
        <v>4706</v>
      </c>
      <c r="G7704" s="49" t="n">
        <v>0</v>
      </c>
      <c r="H7704" s="0" t="n">
        <v>0</v>
      </c>
      <c r="M7704" s="51" t="s">
        <v>12602</v>
      </c>
      <c r="N7704" s="49" t="n">
        <v>0</v>
      </c>
      <c r="O7704" s="53" t="n">
        <v>45988.5918981481</v>
      </c>
      <c r="P7704" s="53" t="n">
        <v>45994.9544560185</v>
      </c>
      <c r="Q7704" s="53" t="n">
        <v>45988.5918981481</v>
      </c>
      <c r="R7704" s="0" t="n">
        <v>0</v>
      </c>
      <c r="S7704" s="51" t="s">
        <v>2401</v>
      </c>
      <c r="T7704" s="51" t="s">
        <v>2401</v>
      </c>
      <c r="U7704" s="0" t="str">
        <f aca="false">"12464079"</f>
        <v>12464079</v>
      </c>
      <c r="V7704" s="51" t="s">
        <v>2365</v>
      </c>
      <c r="W7704" s="51" t="s">
        <v>8873</v>
      </c>
      <c r="X7704" s="51" t="s">
        <v>2359</v>
      </c>
    </row>
    <row r="7705" customFormat="false" ht="14.25" hidden="true" customHeight="false" outlineLevel="0" collapsed="false">
      <c r="A7705" s="49" t="s">
        <v>2349</v>
      </c>
      <c r="B7705" s="49" t="s">
        <v>2350</v>
      </c>
      <c r="C7705" s="49" t="s">
        <v>12628</v>
      </c>
      <c r="D7705" s="49" t="s">
        <v>2352</v>
      </c>
      <c r="E7705" s="49" t="s">
        <v>4351</v>
      </c>
      <c r="F7705" s="49" t="s">
        <v>4352</v>
      </c>
      <c r="G7705" s="49" t="n">
        <v>0</v>
      </c>
      <c r="H7705" s="0" t="n">
        <v>0</v>
      </c>
      <c r="M7705" s="51" t="s">
        <v>12629</v>
      </c>
      <c r="N7705" s="49" t="n">
        <v>0</v>
      </c>
      <c r="O7705" s="53" t="n">
        <v>46016.8106481481</v>
      </c>
      <c r="P7705" s="53" t="n">
        <v>46037.8037037037</v>
      </c>
      <c r="Q7705" s="53" t="n">
        <v>46016.8106481481</v>
      </c>
      <c r="R7705" s="0" t="n">
        <v>0</v>
      </c>
      <c r="S7705" s="51" t="s">
        <v>2356</v>
      </c>
      <c r="T7705" s="51" t="s">
        <v>2356</v>
      </c>
      <c r="U7705" s="51" t="s">
        <v>4351</v>
      </c>
      <c r="V7705" s="51" t="s">
        <v>2365</v>
      </c>
      <c r="W7705" s="51" t="s">
        <v>8272</v>
      </c>
      <c r="X7705" s="51" t="s">
        <v>2359</v>
      </c>
    </row>
    <row r="7706" customFormat="false" ht="14.25" hidden="true" customHeight="false" outlineLevel="0" collapsed="false">
      <c r="A7706" s="49" t="s">
        <v>2349</v>
      </c>
      <c r="B7706" s="49" t="s">
        <v>2350</v>
      </c>
      <c r="C7706" s="49" t="s">
        <v>12630</v>
      </c>
      <c r="D7706" s="49" t="s">
        <v>2352</v>
      </c>
      <c r="E7706" s="49" t="s">
        <v>4351</v>
      </c>
      <c r="F7706" s="49" t="s">
        <v>4352</v>
      </c>
      <c r="G7706" s="49" t="n">
        <v>0</v>
      </c>
      <c r="H7706" s="0" t="n">
        <v>0</v>
      </c>
      <c r="M7706" s="51" t="s">
        <v>12629</v>
      </c>
      <c r="N7706" s="49" t="n">
        <v>0</v>
      </c>
      <c r="O7706" s="53" t="n">
        <v>46016.8109375</v>
      </c>
      <c r="P7706" s="53" t="n">
        <v>46037.8036111111</v>
      </c>
      <c r="Q7706" s="53" t="n">
        <v>46016.8109375</v>
      </c>
      <c r="R7706" s="0" t="n">
        <v>0</v>
      </c>
      <c r="S7706" s="51" t="s">
        <v>2356</v>
      </c>
      <c r="T7706" s="51" t="s">
        <v>2356</v>
      </c>
      <c r="U7706" s="51" t="s">
        <v>4351</v>
      </c>
      <c r="V7706" s="51" t="s">
        <v>2365</v>
      </c>
      <c r="W7706" s="51" t="s">
        <v>3742</v>
      </c>
      <c r="X7706" s="51" t="s">
        <v>2359</v>
      </c>
    </row>
    <row r="7707" customFormat="false" ht="14.25" hidden="true" customHeight="false" outlineLevel="0" collapsed="false">
      <c r="A7707" s="49" t="s">
        <v>2349</v>
      </c>
      <c r="B7707" s="49" t="s">
        <v>2350</v>
      </c>
      <c r="C7707" s="49" t="s">
        <v>12631</v>
      </c>
      <c r="D7707" s="49" t="s">
        <v>2352</v>
      </c>
      <c r="E7707" s="49" t="s">
        <v>4351</v>
      </c>
      <c r="F7707" s="49" t="s">
        <v>4352</v>
      </c>
      <c r="G7707" s="49" t="n">
        <v>0</v>
      </c>
      <c r="H7707" s="0" t="n">
        <v>0</v>
      </c>
      <c r="M7707" s="51" t="s">
        <v>12629</v>
      </c>
      <c r="N7707" s="49" t="n">
        <v>0</v>
      </c>
      <c r="O7707" s="53" t="n">
        <v>46016.8100578704</v>
      </c>
      <c r="P7707" s="53" t="n">
        <v>46037.8046759259</v>
      </c>
      <c r="Q7707" s="53" t="n">
        <v>46016.8100578704</v>
      </c>
      <c r="R7707" s="0" t="n">
        <v>0</v>
      </c>
      <c r="S7707" s="51" t="s">
        <v>2356</v>
      </c>
      <c r="T7707" s="51" t="s">
        <v>2356</v>
      </c>
      <c r="U7707" s="51" t="s">
        <v>4351</v>
      </c>
      <c r="V7707" s="51" t="s">
        <v>2365</v>
      </c>
      <c r="W7707" s="51" t="s">
        <v>10388</v>
      </c>
      <c r="X7707" s="51" t="s">
        <v>2359</v>
      </c>
    </row>
    <row r="7708" customFormat="false" ht="14.25" hidden="true" customHeight="false" outlineLevel="0" collapsed="false">
      <c r="A7708" s="49" t="s">
        <v>2349</v>
      </c>
      <c r="B7708" s="49" t="s">
        <v>2350</v>
      </c>
      <c r="C7708" s="49" t="s">
        <v>12632</v>
      </c>
      <c r="D7708" s="49" t="s">
        <v>2352</v>
      </c>
      <c r="E7708" s="49" t="s">
        <v>4351</v>
      </c>
      <c r="F7708" s="49" t="s">
        <v>4352</v>
      </c>
      <c r="G7708" s="49" t="n">
        <v>0</v>
      </c>
      <c r="H7708" s="0" t="n">
        <v>0</v>
      </c>
      <c r="M7708" s="51" t="s">
        <v>12629</v>
      </c>
      <c r="N7708" s="49" t="n">
        <v>0</v>
      </c>
      <c r="O7708" s="53" t="n">
        <v>46016.8103240741</v>
      </c>
      <c r="P7708" s="53" t="n">
        <v>46037.8045486111</v>
      </c>
      <c r="Q7708" s="53" t="n">
        <v>46016.8103240741</v>
      </c>
      <c r="R7708" s="0" t="n">
        <v>0</v>
      </c>
      <c r="S7708" s="51" t="s">
        <v>2356</v>
      </c>
      <c r="T7708" s="51" t="s">
        <v>2356</v>
      </c>
      <c r="U7708" s="51" t="s">
        <v>4351</v>
      </c>
      <c r="V7708" s="51" t="s">
        <v>2365</v>
      </c>
      <c r="W7708" s="51" t="s">
        <v>10390</v>
      </c>
      <c r="X7708" s="51" t="s">
        <v>2359</v>
      </c>
    </row>
    <row r="7709" customFormat="false" ht="14.25" hidden="true" customHeight="false" outlineLevel="0" collapsed="false">
      <c r="A7709" s="49" t="s">
        <v>2349</v>
      </c>
      <c r="B7709" s="49" t="s">
        <v>2350</v>
      </c>
      <c r="C7709" s="49" t="s">
        <v>12633</v>
      </c>
      <c r="D7709" s="49" t="s">
        <v>2352</v>
      </c>
      <c r="E7709" s="49" t="s">
        <v>4351</v>
      </c>
      <c r="F7709" s="49" t="s">
        <v>4352</v>
      </c>
      <c r="G7709" s="49" t="n">
        <v>0</v>
      </c>
      <c r="H7709" s="0" t="n">
        <v>0</v>
      </c>
      <c r="M7709" s="51" t="s">
        <v>12629</v>
      </c>
      <c r="N7709" s="49" t="n">
        <v>0</v>
      </c>
      <c r="O7709" s="53" t="n">
        <v>46016.8093287037</v>
      </c>
      <c r="P7709" s="53" t="n">
        <v>46049.4571180556</v>
      </c>
      <c r="Q7709" s="53" t="n">
        <v>46016.8093287037</v>
      </c>
      <c r="R7709" s="0" t="n">
        <v>0</v>
      </c>
      <c r="S7709" s="51" t="s">
        <v>2356</v>
      </c>
      <c r="T7709" s="51" t="s">
        <v>2356</v>
      </c>
      <c r="U7709" s="51" t="s">
        <v>4351</v>
      </c>
      <c r="V7709" s="51" t="s">
        <v>2365</v>
      </c>
      <c r="W7709" s="51" t="s">
        <v>5553</v>
      </c>
      <c r="X7709" s="51" t="s">
        <v>2359</v>
      </c>
    </row>
    <row r="7710" customFormat="false" ht="14.25" hidden="true" customHeight="false" outlineLevel="0" collapsed="false">
      <c r="A7710" s="49" t="s">
        <v>2349</v>
      </c>
      <c r="B7710" s="49" t="s">
        <v>2350</v>
      </c>
      <c r="C7710" s="49" t="s">
        <v>12634</v>
      </c>
      <c r="D7710" s="49" t="s">
        <v>2352</v>
      </c>
      <c r="E7710" s="49" t="s">
        <v>4351</v>
      </c>
      <c r="F7710" s="49" t="s">
        <v>4352</v>
      </c>
      <c r="G7710" s="49" t="n">
        <v>0</v>
      </c>
      <c r="H7710" s="0" t="n">
        <v>0</v>
      </c>
      <c r="M7710" s="51" t="s">
        <v>12629</v>
      </c>
      <c r="N7710" s="49" t="n">
        <v>0</v>
      </c>
      <c r="O7710" s="53" t="n">
        <v>46016.8095949074</v>
      </c>
      <c r="P7710" s="53" t="n">
        <v>46056.3871643519</v>
      </c>
      <c r="Q7710" s="53" t="n">
        <v>46016.8095949074</v>
      </c>
      <c r="R7710" s="0" t="n">
        <v>0</v>
      </c>
      <c r="S7710" s="51" t="s">
        <v>2356</v>
      </c>
      <c r="T7710" s="51" t="s">
        <v>2356</v>
      </c>
      <c r="U7710" s="51" t="s">
        <v>4351</v>
      </c>
      <c r="V7710" s="51" t="s">
        <v>2365</v>
      </c>
      <c r="W7710" s="51" t="s">
        <v>10398</v>
      </c>
      <c r="X7710" s="51" t="s">
        <v>2359</v>
      </c>
    </row>
    <row r="7711" customFormat="false" ht="14.25" hidden="true" customHeight="false" outlineLevel="0" collapsed="false">
      <c r="A7711" s="49" t="s">
        <v>2349</v>
      </c>
      <c r="B7711" s="49" t="s">
        <v>2350</v>
      </c>
      <c r="C7711" s="49" t="s">
        <v>12635</v>
      </c>
      <c r="D7711" s="49" t="s">
        <v>2352</v>
      </c>
      <c r="E7711" s="49" t="s">
        <v>4351</v>
      </c>
      <c r="F7711" s="49" t="s">
        <v>4352</v>
      </c>
      <c r="G7711" s="49" t="n">
        <v>0</v>
      </c>
      <c r="H7711" s="0" t="n">
        <v>0</v>
      </c>
      <c r="M7711" s="51" t="s">
        <v>12629</v>
      </c>
      <c r="N7711" s="49" t="n">
        <v>0</v>
      </c>
      <c r="O7711" s="53" t="n">
        <v>46016.8075694444</v>
      </c>
      <c r="P7711" s="53" t="n">
        <v>46054.4717361111</v>
      </c>
      <c r="Q7711" s="53" t="n">
        <v>46016.8075694444</v>
      </c>
      <c r="R7711" s="0" t="n">
        <v>0</v>
      </c>
      <c r="S7711" s="51" t="s">
        <v>2356</v>
      </c>
      <c r="T7711" s="51" t="s">
        <v>2356</v>
      </c>
      <c r="U7711" s="51" t="s">
        <v>4351</v>
      </c>
      <c r="V7711" s="51" t="s">
        <v>2365</v>
      </c>
      <c r="W7711" s="51" t="s">
        <v>11999</v>
      </c>
      <c r="X7711" s="51" t="s">
        <v>2359</v>
      </c>
    </row>
    <row r="7712" customFormat="false" ht="14.25" hidden="true" customHeight="false" outlineLevel="0" collapsed="false">
      <c r="A7712" s="49" t="s">
        <v>2349</v>
      </c>
      <c r="B7712" s="49" t="s">
        <v>2350</v>
      </c>
      <c r="C7712" s="49" t="s">
        <v>12636</v>
      </c>
      <c r="D7712" s="49" t="s">
        <v>2352</v>
      </c>
      <c r="E7712" s="49" t="s">
        <v>4351</v>
      </c>
      <c r="F7712" s="49" t="s">
        <v>4352</v>
      </c>
      <c r="G7712" s="49" t="n">
        <v>0</v>
      </c>
      <c r="H7712" s="0" t="n">
        <v>0</v>
      </c>
      <c r="M7712" s="51" t="s">
        <v>12629</v>
      </c>
      <c r="N7712" s="49" t="n">
        <v>0</v>
      </c>
      <c r="O7712" s="53" t="n">
        <v>46016.8064930556</v>
      </c>
      <c r="P7712" s="53" t="n">
        <v>46037.8037962963</v>
      </c>
      <c r="Q7712" s="53" t="n">
        <v>46016.8064930556</v>
      </c>
      <c r="R7712" s="0" t="n">
        <v>0</v>
      </c>
      <c r="S7712" s="51" t="s">
        <v>2356</v>
      </c>
      <c r="T7712" s="51" t="s">
        <v>2356</v>
      </c>
      <c r="U7712" s="51" t="s">
        <v>4351</v>
      </c>
      <c r="V7712" s="51" t="s">
        <v>2365</v>
      </c>
      <c r="W7712" s="51" t="s">
        <v>3705</v>
      </c>
      <c r="X7712" s="51" t="s">
        <v>2359</v>
      </c>
    </row>
    <row r="7713" customFormat="false" ht="14.25" hidden="true" customHeight="false" outlineLevel="0" collapsed="false">
      <c r="A7713" s="49" t="s">
        <v>2349</v>
      </c>
      <c r="B7713" s="49" t="s">
        <v>2350</v>
      </c>
      <c r="C7713" s="49" t="s">
        <v>12637</v>
      </c>
      <c r="D7713" s="49" t="s">
        <v>2352</v>
      </c>
      <c r="E7713" s="49" t="s">
        <v>4351</v>
      </c>
      <c r="F7713" s="49" t="s">
        <v>4352</v>
      </c>
      <c r="G7713" s="49" t="n">
        <v>0</v>
      </c>
      <c r="H7713" s="0" t="n">
        <v>0</v>
      </c>
      <c r="M7713" s="51" t="s">
        <v>12629</v>
      </c>
      <c r="N7713" s="49" t="n">
        <v>0</v>
      </c>
      <c r="O7713" s="53" t="n">
        <v>46016.8061342593</v>
      </c>
      <c r="P7713" s="53" t="n">
        <v>46037.803900463</v>
      </c>
      <c r="Q7713" s="53" t="n">
        <v>46016.8061342593</v>
      </c>
      <c r="R7713" s="0" t="n">
        <v>0</v>
      </c>
      <c r="S7713" s="51" t="s">
        <v>2356</v>
      </c>
      <c r="T7713" s="51" t="s">
        <v>2356</v>
      </c>
      <c r="U7713" s="51" t="s">
        <v>4351</v>
      </c>
      <c r="V7713" s="51" t="s">
        <v>2365</v>
      </c>
      <c r="W7713" s="51" t="s">
        <v>3774</v>
      </c>
      <c r="X7713" s="51" t="s">
        <v>2359</v>
      </c>
    </row>
    <row r="7714" customFormat="false" ht="14.25" hidden="true" customHeight="false" outlineLevel="0" collapsed="false">
      <c r="A7714" s="49" t="s">
        <v>2349</v>
      </c>
      <c r="B7714" s="49" t="s">
        <v>2350</v>
      </c>
      <c r="C7714" s="49" t="s">
        <v>12638</v>
      </c>
      <c r="D7714" s="49" t="s">
        <v>2352</v>
      </c>
      <c r="E7714" s="49" t="s">
        <v>4351</v>
      </c>
      <c r="F7714" s="49" t="s">
        <v>4352</v>
      </c>
      <c r="G7714" s="49" t="n">
        <v>0</v>
      </c>
      <c r="H7714" s="0" t="n">
        <v>0</v>
      </c>
      <c r="M7714" s="51" t="s">
        <v>12629</v>
      </c>
      <c r="N7714" s="49" t="n">
        <v>0</v>
      </c>
      <c r="O7714" s="53" t="n">
        <v>46016.8047337963</v>
      </c>
      <c r="P7714" s="53" t="n">
        <v>46041.5892824074</v>
      </c>
      <c r="Q7714" s="53" t="n">
        <v>46016.8047337963</v>
      </c>
      <c r="R7714" s="0" t="n">
        <v>0</v>
      </c>
      <c r="S7714" s="51" t="s">
        <v>2356</v>
      </c>
      <c r="T7714" s="51" t="s">
        <v>2356</v>
      </c>
      <c r="U7714" s="51" t="s">
        <v>4351</v>
      </c>
      <c r="V7714" s="51" t="s">
        <v>2365</v>
      </c>
      <c r="W7714" s="51" t="s">
        <v>5560</v>
      </c>
      <c r="X7714" s="51" t="s">
        <v>2359</v>
      </c>
    </row>
    <row r="7715" customFormat="false" ht="14.25" hidden="true" customHeight="false" outlineLevel="0" collapsed="false">
      <c r="A7715" s="49" t="s">
        <v>2349</v>
      </c>
      <c r="B7715" s="49" t="s">
        <v>2350</v>
      </c>
      <c r="C7715" s="49" t="s">
        <v>12639</v>
      </c>
      <c r="D7715" s="49" t="s">
        <v>2352</v>
      </c>
      <c r="E7715" s="49" t="s">
        <v>4351</v>
      </c>
      <c r="F7715" s="49" t="s">
        <v>4352</v>
      </c>
      <c r="G7715" s="49" t="n">
        <v>0</v>
      </c>
      <c r="H7715" s="0" t="n">
        <v>0</v>
      </c>
      <c r="M7715" s="51" t="s">
        <v>12629</v>
      </c>
      <c r="N7715" s="49" t="n">
        <v>0</v>
      </c>
      <c r="O7715" s="53" t="n">
        <v>46016.8052314815</v>
      </c>
      <c r="P7715" s="53" t="n">
        <v>46044.4864467593</v>
      </c>
      <c r="Q7715" s="53" t="n">
        <v>46016.8052314815</v>
      </c>
      <c r="R7715" s="0" t="n">
        <v>0</v>
      </c>
      <c r="S7715" s="51" t="s">
        <v>2356</v>
      </c>
      <c r="T7715" s="51" t="s">
        <v>2356</v>
      </c>
      <c r="U7715" s="51" t="s">
        <v>4351</v>
      </c>
      <c r="V7715" s="51" t="s">
        <v>2365</v>
      </c>
      <c r="W7715" s="51" t="s">
        <v>3767</v>
      </c>
      <c r="X7715" s="51" t="s">
        <v>2359</v>
      </c>
    </row>
    <row r="7716" customFormat="false" ht="14.25" hidden="true" customHeight="false" outlineLevel="0" collapsed="false">
      <c r="A7716" s="49" t="s">
        <v>2349</v>
      </c>
      <c r="B7716" s="49" t="s">
        <v>2350</v>
      </c>
      <c r="C7716" s="49" t="s">
        <v>12640</v>
      </c>
      <c r="D7716" s="49" t="s">
        <v>2352</v>
      </c>
      <c r="E7716" s="49" t="s">
        <v>4351</v>
      </c>
      <c r="F7716" s="49" t="s">
        <v>4352</v>
      </c>
      <c r="G7716" s="49" t="n">
        <v>0</v>
      </c>
      <c r="H7716" s="0" t="n">
        <v>0</v>
      </c>
      <c r="M7716" s="51" t="s">
        <v>12629</v>
      </c>
      <c r="N7716" s="49" t="n">
        <v>0</v>
      </c>
      <c r="O7716" s="53" t="n">
        <v>46016.8037731481</v>
      </c>
      <c r="P7716" s="53" t="n">
        <v>46042.4718634259</v>
      </c>
      <c r="Q7716" s="53" t="n">
        <v>46016.8037731481</v>
      </c>
      <c r="R7716" s="0" t="n">
        <v>0</v>
      </c>
      <c r="S7716" s="51" t="s">
        <v>2356</v>
      </c>
      <c r="T7716" s="51" t="s">
        <v>2356</v>
      </c>
      <c r="U7716" s="51" t="s">
        <v>4351</v>
      </c>
      <c r="V7716" s="51" t="s">
        <v>2365</v>
      </c>
      <c r="W7716" s="51" t="s">
        <v>9670</v>
      </c>
      <c r="X7716" s="51" t="s">
        <v>2359</v>
      </c>
    </row>
    <row r="7717" customFormat="false" ht="14.25" hidden="true" customHeight="false" outlineLevel="0" collapsed="false">
      <c r="A7717" s="49" t="s">
        <v>2349</v>
      </c>
      <c r="B7717" s="49" t="s">
        <v>2350</v>
      </c>
      <c r="C7717" s="49" t="s">
        <v>12641</v>
      </c>
      <c r="D7717" s="49" t="s">
        <v>2352</v>
      </c>
      <c r="E7717" s="49" t="s">
        <v>4351</v>
      </c>
      <c r="F7717" s="49" t="s">
        <v>4352</v>
      </c>
      <c r="G7717" s="49" t="n">
        <v>0</v>
      </c>
      <c r="H7717" s="0" t="n">
        <v>0</v>
      </c>
      <c r="M7717" s="51" t="s">
        <v>12629</v>
      </c>
      <c r="N7717" s="49" t="n">
        <v>0</v>
      </c>
      <c r="O7717" s="53" t="n">
        <v>46016.8040856481</v>
      </c>
      <c r="P7717" s="53" t="n">
        <v>46051.6600694444</v>
      </c>
      <c r="Q7717" s="53" t="n">
        <v>46016.8040856481</v>
      </c>
      <c r="R7717" s="0" t="n">
        <v>0</v>
      </c>
      <c r="S7717" s="51" t="s">
        <v>2356</v>
      </c>
      <c r="T7717" s="51" t="s">
        <v>2356</v>
      </c>
      <c r="U7717" s="51" t="s">
        <v>4351</v>
      </c>
      <c r="V7717" s="51" t="s">
        <v>2365</v>
      </c>
      <c r="W7717" s="51" t="s">
        <v>5754</v>
      </c>
      <c r="X7717" s="51" t="s">
        <v>2359</v>
      </c>
    </row>
    <row r="7718" customFormat="false" ht="14.25" hidden="true" customHeight="false" outlineLevel="0" collapsed="false">
      <c r="A7718" s="49" t="s">
        <v>2349</v>
      </c>
      <c r="B7718" s="49" t="s">
        <v>2350</v>
      </c>
      <c r="C7718" s="49" t="s">
        <v>12642</v>
      </c>
      <c r="D7718" s="49" t="s">
        <v>2352</v>
      </c>
      <c r="E7718" s="49" t="s">
        <v>4351</v>
      </c>
      <c r="F7718" s="49" t="s">
        <v>4352</v>
      </c>
      <c r="G7718" s="49" t="n">
        <v>0</v>
      </c>
      <c r="H7718" s="0" t="n">
        <v>0</v>
      </c>
      <c r="M7718" s="51" t="s">
        <v>12629</v>
      </c>
      <c r="N7718" s="49" t="n">
        <v>0</v>
      </c>
      <c r="O7718" s="53" t="n">
        <v>46016.8027546296</v>
      </c>
      <c r="P7718" s="53" t="n">
        <v>46054.4715046296</v>
      </c>
      <c r="Q7718" s="53" t="n">
        <v>46016.8027546296</v>
      </c>
      <c r="R7718" s="0" t="n">
        <v>0</v>
      </c>
      <c r="S7718" s="51" t="s">
        <v>2356</v>
      </c>
      <c r="T7718" s="51" t="s">
        <v>2356</v>
      </c>
      <c r="U7718" s="51" t="s">
        <v>4351</v>
      </c>
      <c r="V7718" s="51" t="s">
        <v>2365</v>
      </c>
      <c r="W7718" s="51" t="s">
        <v>10392</v>
      </c>
      <c r="X7718" s="51" t="s">
        <v>2359</v>
      </c>
    </row>
    <row r="7719" customFormat="false" ht="14.25" hidden="true" customHeight="false" outlineLevel="0" collapsed="false">
      <c r="A7719" s="49" t="s">
        <v>2349</v>
      </c>
      <c r="B7719" s="49" t="s">
        <v>2350</v>
      </c>
      <c r="C7719" s="49" t="s">
        <v>12643</v>
      </c>
      <c r="D7719" s="49" t="s">
        <v>2352</v>
      </c>
      <c r="E7719" s="49" t="s">
        <v>4351</v>
      </c>
      <c r="F7719" s="49" t="s">
        <v>4352</v>
      </c>
      <c r="G7719" s="49" t="n">
        <v>0</v>
      </c>
      <c r="H7719" s="0" t="n">
        <v>0</v>
      </c>
      <c r="M7719" s="51" t="s">
        <v>12629</v>
      </c>
      <c r="N7719" s="49" t="n">
        <v>0</v>
      </c>
      <c r="O7719" s="53" t="n">
        <v>46016.8033564815</v>
      </c>
      <c r="P7719" s="53" t="n">
        <v>46056.3839699074</v>
      </c>
      <c r="Q7719" s="53" t="n">
        <v>46016.8033564815</v>
      </c>
      <c r="R7719" s="0" t="n">
        <v>0</v>
      </c>
      <c r="S7719" s="51" t="s">
        <v>2356</v>
      </c>
      <c r="T7719" s="51" t="s">
        <v>2356</v>
      </c>
      <c r="U7719" s="51" t="s">
        <v>4351</v>
      </c>
      <c r="V7719" s="51" t="s">
        <v>2365</v>
      </c>
      <c r="W7719" s="51" t="s">
        <v>10392</v>
      </c>
      <c r="X7719" s="51" t="s">
        <v>2359</v>
      </c>
    </row>
    <row r="7720" customFormat="false" ht="14.25" hidden="true" customHeight="false" outlineLevel="0" collapsed="false">
      <c r="A7720" s="49" t="s">
        <v>2349</v>
      </c>
      <c r="B7720" s="49" t="s">
        <v>2350</v>
      </c>
      <c r="C7720" s="49" t="s">
        <v>12644</v>
      </c>
      <c r="D7720" s="49" t="s">
        <v>2352</v>
      </c>
      <c r="E7720" s="49" t="s">
        <v>4351</v>
      </c>
      <c r="F7720" s="49" t="s">
        <v>4352</v>
      </c>
      <c r="G7720" s="49" t="n">
        <v>0</v>
      </c>
      <c r="H7720" s="0" t="n">
        <v>0</v>
      </c>
      <c r="M7720" s="51" t="s">
        <v>12629</v>
      </c>
      <c r="N7720" s="49" t="n">
        <v>0</v>
      </c>
      <c r="O7720" s="53" t="n">
        <v>46016.8023958333</v>
      </c>
      <c r="P7720" s="53" t="n">
        <v>46037.8031597222</v>
      </c>
      <c r="Q7720" s="53" t="n">
        <v>46016.8023958333</v>
      </c>
      <c r="R7720" s="0" t="n">
        <v>0</v>
      </c>
      <c r="S7720" s="51" t="s">
        <v>2356</v>
      </c>
      <c r="T7720" s="51" t="s">
        <v>2356</v>
      </c>
      <c r="U7720" s="51" t="s">
        <v>4351</v>
      </c>
      <c r="V7720" s="51" t="s">
        <v>2365</v>
      </c>
      <c r="W7720" s="51" t="s">
        <v>3758</v>
      </c>
      <c r="X7720" s="51" t="s">
        <v>2359</v>
      </c>
    </row>
    <row r="7721" customFormat="false" ht="14.25" hidden="true" customHeight="false" outlineLevel="0" collapsed="false">
      <c r="A7721" s="49" t="s">
        <v>2349</v>
      </c>
      <c r="B7721" s="49" t="s">
        <v>2350</v>
      </c>
      <c r="C7721" s="49" t="s">
        <v>12645</v>
      </c>
      <c r="D7721" s="49" t="s">
        <v>2352</v>
      </c>
      <c r="E7721" s="49" t="s">
        <v>4351</v>
      </c>
      <c r="F7721" s="49" t="s">
        <v>4352</v>
      </c>
      <c r="G7721" s="49" t="n">
        <v>0</v>
      </c>
      <c r="H7721" s="0" t="n">
        <v>0</v>
      </c>
      <c r="M7721" s="51" t="s">
        <v>12629</v>
      </c>
      <c r="N7721" s="49" t="n">
        <v>0</v>
      </c>
      <c r="O7721" s="53" t="n">
        <v>46016.8018402778</v>
      </c>
      <c r="P7721" s="53" t="n">
        <v>46037.8034490741</v>
      </c>
      <c r="Q7721" s="53" t="n">
        <v>46016.8018402778</v>
      </c>
      <c r="R7721" s="0" t="n">
        <v>0</v>
      </c>
      <c r="S7721" s="51" t="s">
        <v>2356</v>
      </c>
      <c r="T7721" s="51" t="s">
        <v>2356</v>
      </c>
      <c r="U7721" s="51" t="s">
        <v>4351</v>
      </c>
      <c r="V7721" s="51" t="s">
        <v>2365</v>
      </c>
      <c r="W7721" s="51" t="s">
        <v>3664</v>
      </c>
      <c r="X7721" s="51" t="s">
        <v>2359</v>
      </c>
    </row>
    <row r="7722" customFormat="false" ht="14.25" hidden="true" customHeight="false" outlineLevel="0" collapsed="false">
      <c r="A7722" s="49" t="s">
        <v>2349</v>
      </c>
      <c r="B7722" s="49" t="s">
        <v>2350</v>
      </c>
      <c r="C7722" s="49" t="s">
        <v>12646</v>
      </c>
      <c r="D7722" s="49" t="s">
        <v>2352</v>
      </c>
      <c r="E7722" s="49" t="s">
        <v>3633</v>
      </c>
      <c r="F7722" s="49" t="s">
        <v>3634</v>
      </c>
      <c r="G7722" s="49" t="n">
        <v>0</v>
      </c>
      <c r="H7722" s="0" t="n">
        <v>0</v>
      </c>
      <c r="M7722" s="51" t="s">
        <v>12647</v>
      </c>
      <c r="N7722" s="49" t="n">
        <v>0</v>
      </c>
      <c r="O7722" s="53" t="n">
        <v>46033.6352546296</v>
      </c>
      <c r="P7722" s="53" t="n">
        <v>46050.4720833333</v>
      </c>
      <c r="Q7722" s="53" t="n">
        <v>46033.6352546296</v>
      </c>
      <c r="R7722" s="0" t="n">
        <v>0</v>
      </c>
      <c r="S7722" s="51" t="s">
        <v>2356</v>
      </c>
      <c r="T7722" s="51" t="s">
        <v>2356</v>
      </c>
      <c r="U7722" s="51" t="s">
        <v>3633</v>
      </c>
      <c r="V7722" s="51" t="s">
        <v>2357</v>
      </c>
      <c r="W7722" s="51" t="s">
        <v>8301</v>
      </c>
      <c r="X7722" s="51" t="s">
        <v>2359</v>
      </c>
    </row>
    <row r="7723" customFormat="false" ht="14.25" hidden="true" customHeight="false" outlineLevel="0" collapsed="false">
      <c r="A7723" s="49" t="s">
        <v>2349</v>
      </c>
      <c r="B7723" s="49" t="s">
        <v>2350</v>
      </c>
      <c r="C7723" s="49" t="s">
        <v>12648</v>
      </c>
      <c r="D7723" s="49" t="s">
        <v>2352</v>
      </c>
      <c r="E7723" s="49" t="s">
        <v>3633</v>
      </c>
      <c r="F7723" s="49" t="s">
        <v>3634</v>
      </c>
      <c r="G7723" s="49" t="n">
        <v>0</v>
      </c>
      <c r="H7723" s="0" t="n">
        <v>0</v>
      </c>
      <c r="M7723" s="51" t="s">
        <v>12647</v>
      </c>
      <c r="N7723" s="49" t="n">
        <v>0</v>
      </c>
      <c r="O7723" s="53" t="n">
        <v>46033.635</v>
      </c>
      <c r="P7723" s="53" t="n">
        <v>46041.5909375</v>
      </c>
      <c r="Q7723" s="53" t="n">
        <v>46033.635</v>
      </c>
      <c r="R7723" s="0" t="n">
        <v>0</v>
      </c>
      <c r="S7723" s="51" t="s">
        <v>2356</v>
      </c>
      <c r="T7723" s="51" t="s">
        <v>2356</v>
      </c>
      <c r="U7723" s="51" t="s">
        <v>3633</v>
      </c>
      <c r="V7723" s="51" t="s">
        <v>2357</v>
      </c>
      <c r="W7723" s="51" t="s">
        <v>4361</v>
      </c>
      <c r="X7723" s="51" t="s">
        <v>2359</v>
      </c>
    </row>
    <row r="7724" customFormat="false" ht="14.25" hidden="true" customHeight="false" outlineLevel="0" collapsed="false">
      <c r="A7724" s="49" t="s">
        <v>2349</v>
      </c>
      <c r="B7724" s="49" t="s">
        <v>2350</v>
      </c>
      <c r="C7724" s="49" t="s">
        <v>12649</v>
      </c>
      <c r="D7724" s="49" t="s">
        <v>2352</v>
      </c>
      <c r="E7724" s="49" t="s">
        <v>3633</v>
      </c>
      <c r="F7724" s="49" t="s">
        <v>3634</v>
      </c>
      <c r="G7724" s="49" t="n">
        <v>0</v>
      </c>
      <c r="H7724" s="0" t="n">
        <v>0</v>
      </c>
      <c r="M7724" s="51" t="s">
        <v>12647</v>
      </c>
      <c r="N7724" s="49" t="n">
        <v>0</v>
      </c>
      <c r="O7724" s="53" t="n">
        <v>46033.6334027778</v>
      </c>
      <c r="P7724" s="53" t="n">
        <v>46050.4728356482</v>
      </c>
      <c r="Q7724" s="53" t="n">
        <v>46033.6334027778</v>
      </c>
      <c r="R7724" s="0" t="n">
        <v>0</v>
      </c>
      <c r="S7724" s="51" t="s">
        <v>2356</v>
      </c>
      <c r="T7724" s="51" t="s">
        <v>2356</v>
      </c>
      <c r="U7724" s="51" t="s">
        <v>3633</v>
      </c>
      <c r="V7724" s="51" t="s">
        <v>2357</v>
      </c>
      <c r="W7724" s="51" t="s">
        <v>8391</v>
      </c>
      <c r="X7724" s="51" t="s">
        <v>2359</v>
      </c>
    </row>
    <row r="7725" customFormat="false" ht="14.25" hidden="true" customHeight="false" outlineLevel="0" collapsed="false">
      <c r="A7725" s="49" t="s">
        <v>2349</v>
      </c>
      <c r="B7725" s="49" t="s">
        <v>2350</v>
      </c>
      <c r="C7725" s="49" t="s">
        <v>12650</v>
      </c>
      <c r="D7725" s="49" t="s">
        <v>2352</v>
      </c>
      <c r="E7725" s="49" t="s">
        <v>3633</v>
      </c>
      <c r="F7725" s="49" t="s">
        <v>3634</v>
      </c>
      <c r="G7725" s="49" t="n">
        <v>0</v>
      </c>
      <c r="H7725" s="0" t="n">
        <v>0</v>
      </c>
      <c r="M7725" s="51" t="s">
        <v>12647</v>
      </c>
      <c r="N7725" s="49" t="n">
        <v>0</v>
      </c>
      <c r="O7725" s="53" t="n">
        <v>46033.6316435185</v>
      </c>
      <c r="P7725" s="53" t="n">
        <v>46050.4725694444</v>
      </c>
      <c r="Q7725" s="53" t="n">
        <v>46033.6316435185</v>
      </c>
      <c r="R7725" s="0" t="n">
        <v>0</v>
      </c>
      <c r="S7725" s="51" t="s">
        <v>2356</v>
      </c>
      <c r="T7725" s="51" t="s">
        <v>2356</v>
      </c>
      <c r="U7725" s="51" t="s">
        <v>3633</v>
      </c>
      <c r="V7725" s="51" t="s">
        <v>2357</v>
      </c>
      <c r="W7725" s="51" t="s">
        <v>4154</v>
      </c>
      <c r="X7725" s="51" t="s">
        <v>2359</v>
      </c>
    </row>
    <row r="7726" customFormat="false" ht="14.25" hidden="true" customHeight="false" outlineLevel="0" collapsed="false">
      <c r="A7726" s="49" t="s">
        <v>2349</v>
      </c>
      <c r="B7726" s="49" t="s">
        <v>2350</v>
      </c>
      <c r="C7726" s="49" t="s">
        <v>12651</v>
      </c>
      <c r="D7726" s="49" t="s">
        <v>2352</v>
      </c>
      <c r="E7726" s="49" t="s">
        <v>3633</v>
      </c>
      <c r="F7726" s="49" t="s">
        <v>3634</v>
      </c>
      <c r="G7726" s="49" t="n">
        <v>0</v>
      </c>
      <c r="H7726" s="0" t="n">
        <v>0</v>
      </c>
      <c r="M7726" s="51" t="s">
        <v>12647</v>
      </c>
      <c r="N7726" s="49" t="n">
        <v>0</v>
      </c>
      <c r="O7726" s="53" t="n">
        <v>46033.6313541667</v>
      </c>
      <c r="P7726" s="53" t="n">
        <v>46046.5438657407</v>
      </c>
      <c r="Q7726" s="53" t="n">
        <v>46033.6313541667</v>
      </c>
      <c r="R7726" s="0" t="n">
        <v>0</v>
      </c>
      <c r="S7726" s="51" t="s">
        <v>2356</v>
      </c>
      <c r="T7726" s="51" t="s">
        <v>2356</v>
      </c>
      <c r="U7726" s="51" t="s">
        <v>3633</v>
      </c>
      <c r="V7726" s="51" t="s">
        <v>2357</v>
      </c>
      <c r="W7726" s="51" t="s">
        <v>8380</v>
      </c>
      <c r="X7726" s="51" t="s">
        <v>2359</v>
      </c>
    </row>
    <row r="7727" customFormat="false" ht="14.25" hidden="true" customHeight="false" outlineLevel="0" collapsed="false">
      <c r="A7727" s="49" t="s">
        <v>2349</v>
      </c>
      <c r="B7727" s="49" t="s">
        <v>2350</v>
      </c>
      <c r="C7727" s="49" t="s">
        <v>12652</v>
      </c>
      <c r="D7727" s="49" t="s">
        <v>2352</v>
      </c>
      <c r="E7727" s="49" t="s">
        <v>3633</v>
      </c>
      <c r="F7727" s="49" t="s">
        <v>3634</v>
      </c>
      <c r="G7727" s="49" t="n">
        <v>0</v>
      </c>
      <c r="H7727" s="0" t="n">
        <v>0</v>
      </c>
      <c r="M7727" s="51" t="s">
        <v>12647</v>
      </c>
      <c r="N7727" s="49" t="n">
        <v>0</v>
      </c>
      <c r="O7727" s="53" t="n">
        <v>46033.6289351852</v>
      </c>
      <c r="P7727" s="53" t="n">
        <v>46041.5912152778</v>
      </c>
      <c r="Q7727" s="53" t="n">
        <v>46033.6289351852</v>
      </c>
      <c r="R7727" s="0" t="n">
        <v>0</v>
      </c>
      <c r="S7727" s="51" t="s">
        <v>2356</v>
      </c>
      <c r="T7727" s="51" t="s">
        <v>2356</v>
      </c>
      <c r="U7727" s="51" t="s">
        <v>3633</v>
      </c>
      <c r="V7727" s="51" t="s">
        <v>2357</v>
      </c>
      <c r="W7727" s="51" t="s">
        <v>4010</v>
      </c>
      <c r="X7727" s="51" t="s">
        <v>2359</v>
      </c>
    </row>
    <row r="7728" customFormat="false" ht="14.25" hidden="true" customHeight="false" outlineLevel="0" collapsed="false">
      <c r="A7728" s="49" t="s">
        <v>2349</v>
      </c>
      <c r="B7728" s="49" t="s">
        <v>2350</v>
      </c>
      <c r="C7728" s="49" t="s">
        <v>12653</v>
      </c>
      <c r="D7728" s="49" t="s">
        <v>2352</v>
      </c>
      <c r="E7728" s="49" t="s">
        <v>3633</v>
      </c>
      <c r="F7728" s="49" t="s">
        <v>3634</v>
      </c>
      <c r="G7728" s="49" t="n">
        <v>0</v>
      </c>
      <c r="H7728" s="0" t="n">
        <v>0</v>
      </c>
      <c r="M7728" s="51" t="s">
        <v>12647</v>
      </c>
      <c r="N7728" s="49" t="n">
        <v>0</v>
      </c>
      <c r="O7728" s="53" t="n">
        <v>46033.6274305556</v>
      </c>
      <c r="P7728" s="53" t="n">
        <v>46050.4722337963</v>
      </c>
      <c r="Q7728" s="53" t="n">
        <v>46033.6274305556</v>
      </c>
      <c r="R7728" s="0" t="n">
        <v>0</v>
      </c>
      <c r="S7728" s="51" t="s">
        <v>2356</v>
      </c>
      <c r="T7728" s="51" t="s">
        <v>2356</v>
      </c>
      <c r="U7728" s="51" t="s">
        <v>3633</v>
      </c>
      <c r="V7728" s="51" t="s">
        <v>2357</v>
      </c>
      <c r="W7728" s="51" t="s">
        <v>8380</v>
      </c>
      <c r="X7728" s="51" t="s">
        <v>2359</v>
      </c>
    </row>
    <row r="7729" customFormat="false" ht="14.25" hidden="true" customHeight="false" outlineLevel="0" collapsed="false">
      <c r="A7729" s="49" t="s">
        <v>2349</v>
      </c>
      <c r="B7729" s="49" t="s">
        <v>2350</v>
      </c>
      <c r="C7729" s="49" t="s">
        <v>12654</v>
      </c>
      <c r="D7729" s="49" t="s">
        <v>2352</v>
      </c>
      <c r="E7729" s="49" t="s">
        <v>3633</v>
      </c>
      <c r="F7729" s="49" t="s">
        <v>3634</v>
      </c>
      <c r="G7729" s="49" t="n">
        <v>0</v>
      </c>
      <c r="H7729" s="0" t="n">
        <v>0</v>
      </c>
      <c r="M7729" s="51" t="s">
        <v>12647</v>
      </c>
      <c r="N7729" s="49" t="n">
        <v>0</v>
      </c>
      <c r="O7729" s="53" t="n">
        <v>46033.6269791667</v>
      </c>
      <c r="P7729" s="53" t="n">
        <v>46050.4729976852</v>
      </c>
      <c r="Q7729" s="53" t="n">
        <v>46033.6269791667</v>
      </c>
      <c r="R7729" s="0" t="n">
        <v>0</v>
      </c>
      <c r="S7729" s="51" t="s">
        <v>2356</v>
      </c>
      <c r="T7729" s="51" t="s">
        <v>2356</v>
      </c>
      <c r="U7729" s="51" t="s">
        <v>3633</v>
      </c>
      <c r="V7729" s="51" t="s">
        <v>2357</v>
      </c>
      <c r="W7729" s="51" t="s">
        <v>3696</v>
      </c>
      <c r="X7729" s="51" t="s">
        <v>2359</v>
      </c>
    </row>
    <row r="7730" customFormat="false" ht="14.25" hidden="true" customHeight="false" outlineLevel="0" collapsed="false">
      <c r="A7730" s="49" t="s">
        <v>2349</v>
      </c>
      <c r="B7730" s="49" t="s">
        <v>2350</v>
      </c>
      <c r="C7730" s="49" t="s">
        <v>12655</v>
      </c>
      <c r="D7730" s="49" t="s">
        <v>2352</v>
      </c>
      <c r="E7730" s="49" t="s">
        <v>3633</v>
      </c>
      <c r="F7730" s="49" t="s">
        <v>3634</v>
      </c>
      <c r="G7730" s="49" t="n">
        <v>0</v>
      </c>
      <c r="H7730" s="0" t="n">
        <v>0</v>
      </c>
      <c r="M7730" s="51" t="s">
        <v>12647</v>
      </c>
      <c r="N7730" s="49" t="n">
        <v>0</v>
      </c>
      <c r="O7730" s="53" t="n">
        <v>46033.6266782407</v>
      </c>
      <c r="P7730" s="53" t="n">
        <v>46050.4727083333</v>
      </c>
      <c r="Q7730" s="53" t="n">
        <v>46033.6266782407</v>
      </c>
      <c r="R7730" s="0" t="n">
        <v>0</v>
      </c>
      <c r="S7730" s="51" t="s">
        <v>2356</v>
      </c>
      <c r="T7730" s="51" t="s">
        <v>2356</v>
      </c>
      <c r="U7730" s="51" t="s">
        <v>3633</v>
      </c>
      <c r="V7730" s="51" t="s">
        <v>2357</v>
      </c>
      <c r="W7730" s="51" t="s">
        <v>5405</v>
      </c>
      <c r="X7730" s="51" t="s">
        <v>2359</v>
      </c>
    </row>
    <row r="7731" customFormat="false" ht="14.25" hidden="true" customHeight="false" outlineLevel="0" collapsed="false">
      <c r="A7731" s="49" t="s">
        <v>2349</v>
      </c>
      <c r="B7731" s="49" t="s">
        <v>2350</v>
      </c>
      <c r="C7731" s="49" t="s">
        <v>12656</v>
      </c>
      <c r="D7731" s="49" t="s">
        <v>2352</v>
      </c>
      <c r="E7731" s="49" t="s">
        <v>3633</v>
      </c>
      <c r="F7731" s="49" t="s">
        <v>3634</v>
      </c>
      <c r="G7731" s="49" t="n">
        <v>0</v>
      </c>
      <c r="H7731" s="0" t="n">
        <v>0</v>
      </c>
      <c r="M7731" s="51" t="s">
        <v>12647</v>
      </c>
      <c r="N7731" s="49" t="n">
        <v>0</v>
      </c>
      <c r="O7731" s="53" t="n">
        <v>46033.6263425926</v>
      </c>
      <c r="P7731" s="53" t="n">
        <v>46050.4719212963</v>
      </c>
      <c r="Q7731" s="53" t="n">
        <v>46033.6263425926</v>
      </c>
      <c r="R7731" s="0" t="n">
        <v>0</v>
      </c>
      <c r="S7731" s="51" t="s">
        <v>2356</v>
      </c>
      <c r="T7731" s="51" t="s">
        <v>2356</v>
      </c>
      <c r="U7731" s="51" t="s">
        <v>3633</v>
      </c>
      <c r="V7731" s="51" t="s">
        <v>2357</v>
      </c>
      <c r="W7731" s="51" t="s">
        <v>9510</v>
      </c>
      <c r="X7731" s="51" t="s">
        <v>2359</v>
      </c>
    </row>
    <row r="7732" customFormat="false" ht="14.25" hidden="true" customHeight="false" outlineLevel="0" collapsed="false">
      <c r="A7732" s="49" t="s">
        <v>2349</v>
      </c>
      <c r="B7732" s="49" t="s">
        <v>2350</v>
      </c>
      <c r="C7732" s="49" t="s">
        <v>12657</v>
      </c>
      <c r="D7732" s="49" t="s">
        <v>2352</v>
      </c>
      <c r="E7732" s="49" t="str">
        <f aca="false">"5060458890191"</f>
        <v>5060458890191</v>
      </c>
      <c r="F7732" s="49" t="s">
        <v>3656</v>
      </c>
      <c r="G7732" s="49" t="n">
        <v>0</v>
      </c>
      <c r="H7732" s="0" t="n">
        <v>0</v>
      </c>
      <c r="M7732" s="51" t="s">
        <v>12658</v>
      </c>
      <c r="N7732" s="49" t="n">
        <v>0</v>
      </c>
      <c r="O7732" s="53" t="n">
        <v>46021.6559259259</v>
      </c>
      <c r="P7732" s="53" t="n">
        <v>46030.5212268519</v>
      </c>
      <c r="Q7732" s="53" t="n">
        <v>46021.6559259259</v>
      </c>
      <c r="R7732" s="0" t="n">
        <v>0</v>
      </c>
      <c r="S7732" s="51" t="s">
        <v>2380</v>
      </c>
      <c r="T7732" s="51" t="s">
        <v>2380</v>
      </c>
      <c r="U7732" s="0" t="str">
        <f aca="false">"5060458890191"</f>
        <v>5060458890191</v>
      </c>
      <c r="V7732" s="51" t="s">
        <v>2142</v>
      </c>
      <c r="W7732" s="51" t="s">
        <v>10729</v>
      </c>
      <c r="X7732" s="51" t="s">
        <v>2359</v>
      </c>
    </row>
    <row r="7733" customFormat="false" ht="14.25" hidden="true" customHeight="false" outlineLevel="0" collapsed="false">
      <c r="A7733" s="49" t="s">
        <v>2349</v>
      </c>
      <c r="B7733" s="49" t="s">
        <v>2350</v>
      </c>
      <c r="C7733" s="49" t="s">
        <v>12659</v>
      </c>
      <c r="D7733" s="49" t="s">
        <v>2352</v>
      </c>
      <c r="E7733" s="49" t="str">
        <f aca="false">"5060458890191"</f>
        <v>5060458890191</v>
      </c>
      <c r="F7733" s="49" t="s">
        <v>3656</v>
      </c>
      <c r="G7733" s="49" t="n">
        <v>0</v>
      </c>
      <c r="H7733" s="0" t="n">
        <v>0</v>
      </c>
      <c r="M7733" s="51" t="s">
        <v>12658</v>
      </c>
      <c r="N7733" s="49" t="n">
        <v>0</v>
      </c>
      <c r="O7733" s="53" t="n">
        <v>46021.6560069444</v>
      </c>
      <c r="P7733" s="53" t="n">
        <v>46030.5215509259</v>
      </c>
      <c r="Q7733" s="53" t="n">
        <v>46021.6560069444</v>
      </c>
      <c r="R7733" s="0" t="n">
        <v>0</v>
      </c>
      <c r="S7733" s="51" t="s">
        <v>2380</v>
      </c>
      <c r="T7733" s="51" t="s">
        <v>2380</v>
      </c>
      <c r="U7733" s="0" t="str">
        <f aca="false">"5060458890191"</f>
        <v>5060458890191</v>
      </c>
      <c r="V7733" s="51" t="s">
        <v>2142</v>
      </c>
      <c r="W7733" s="51" t="s">
        <v>12422</v>
      </c>
      <c r="X7733" s="51" t="s">
        <v>2359</v>
      </c>
    </row>
    <row r="7734" customFormat="false" ht="14.25" hidden="true" customHeight="false" outlineLevel="0" collapsed="false">
      <c r="A7734" s="49" t="s">
        <v>2349</v>
      </c>
      <c r="B7734" s="49" t="s">
        <v>2350</v>
      </c>
      <c r="C7734" s="49" t="s">
        <v>12660</v>
      </c>
      <c r="D7734" s="49" t="s">
        <v>2352</v>
      </c>
      <c r="E7734" s="49" t="str">
        <f aca="false">"5060458890191"</f>
        <v>5060458890191</v>
      </c>
      <c r="F7734" s="49" t="s">
        <v>3656</v>
      </c>
      <c r="G7734" s="49" t="n">
        <v>0</v>
      </c>
      <c r="H7734" s="0" t="n">
        <v>0</v>
      </c>
      <c r="M7734" s="51" t="s">
        <v>12658</v>
      </c>
      <c r="N7734" s="49" t="n">
        <v>0</v>
      </c>
      <c r="O7734" s="53" t="n">
        <v>46021.656099537</v>
      </c>
      <c r="P7734" s="53" t="n">
        <v>46030.5196412037</v>
      </c>
      <c r="Q7734" s="53" t="n">
        <v>46021.656099537</v>
      </c>
      <c r="R7734" s="0" t="n">
        <v>0</v>
      </c>
      <c r="S7734" s="51" t="s">
        <v>2380</v>
      </c>
      <c r="T7734" s="51" t="s">
        <v>2380</v>
      </c>
      <c r="U7734" s="0" t="str">
        <f aca="false">"5060458890191"</f>
        <v>5060458890191</v>
      </c>
      <c r="V7734" s="51" t="s">
        <v>2142</v>
      </c>
      <c r="W7734" s="51" t="s">
        <v>10578</v>
      </c>
      <c r="X7734" s="51" t="s">
        <v>2359</v>
      </c>
    </row>
    <row r="7735" customFormat="false" ht="14.25" hidden="true" customHeight="false" outlineLevel="0" collapsed="false">
      <c r="A7735" s="49" t="s">
        <v>2349</v>
      </c>
      <c r="B7735" s="49" t="s">
        <v>2350</v>
      </c>
      <c r="C7735" s="49" t="s">
        <v>12661</v>
      </c>
      <c r="D7735" s="49" t="s">
        <v>2352</v>
      </c>
      <c r="E7735" s="49" t="str">
        <f aca="false">"5060458890191"</f>
        <v>5060458890191</v>
      </c>
      <c r="F7735" s="49" t="s">
        <v>3656</v>
      </c>
      <c r="G7735" s="49" t="n">
        <v>0</v>
      </c>
      <c r="H7735" s="0" t="n">
        <v>0</v>
      </c>
      <c r="M7735" s="51" t="s">
        <v>12658</v>
      </c>
      <c r="N7735" s="49" t="n">
        <v>0</v>
      </c>
      <c r="O7735" s="53" t="n">
        <v>46021.6561805556</v>
      </c>
      <c r="P7735" s="53" t="n">
        <v>46030.5235069444</v>
      </c>
      <c r="Q7735" s="53" t="n">
        <v>46021.6561805556</v>
      </c>
      <c r="R7735" s="0" t="n">
        <v>0</v>
      </c>
      <c r="S7735" s="51" t="s">
        <v>2380</v>
      </c>
      <c r="T7735" s="51" t="s">
        <v>2380</v>
      </c>
      <c r="U7735" s="0" t="str">
        <f aca="false">"5060458890191"</f>
        <v>5060458890191</v>
      </c>
      <c r="V7735" s="51" t="s">
        <v>2142</v>
      </c>
      <c r="W7735" s="51" t="s">
        <v>4258</v>
      </c>
      <c r="X7735" s="51" t="s">
        <v>2359</v>
      </c>
    </row>
    <row r="7736" customFormat="false" ht="14.25" hidden="true" customHeight="false" outlineLevel="0" collapsed="false">
      <c r="A7736" s="49" t="s">
        <v>2349</v>
      </c>
      <c r="B7736" s="49" t="s">
        <v>2350</v>
      </c>
      <c r="C7736" s="49" t="s">
        <v>12662</v>
      </c>
      <c r="D7736" s="49" t="s">
        <v>2352</v>
      </c>
      <c r="E7736" s="49" t="str">
        <f aca="false">"5060458890191"</f>
        <v>5060458890191</v>
      </c>
      <c r="F7736" s="49" t="s">
        <v>3656</v>
      </c>
      <c r="G7736" s="49" t="n">
        <v>0</v>
      </c>
      <c r="H7736" s="0" t="n">
        <v>0</v>
      </c>
      <c r="M7736" s="51" t="s">
        <v>12658</v>
      </c>
      <c r="N7736" s="49" t="n">
        <v>0</v>
      </c>
      <c r="O7736" s="53" t="n">
        <v>46021.6562615741</v>
      </c>
      <c r="P7736" s="53" t="n">
        <v>46029.9534722222</v>
      </c>
      <c r="Q7736" s="53" t="n">
        <v>46021.6562615741</v>
      </c>
      <c r="R7736" s="0" t="n">
        <v>0</v>
      </c>
      <c r="S7736" s="51" t="s">
        <v>2380</v>
      </c>
      <c r="T7736" s="51" t="s">
        <v>2380</v>
      </c>
      <c r="U7736" s="0" t="str">
        <f aca="false">"5060458890191"</f>
        <v>5060458890191</v>
      </c>
      <c r="V7736" s="51" t="s">
        <v>2142</v>
      </c>
      <c r="W7736" s="51" t="s">
        <v>12458</v>
      </c>
      <c r="X7736" s="51" t="s">
        <v>2359</v>
      </c>
    </row>
    <row r="7737" customFormat="false" ht="14.25" hidden="true" customHeight="false" outlineLevel="0" collapsed="false">
      <c r="A7737" s="49" t="s">
        <v>2349</v>
      </c>
      <c r="B7737" s="49" t="s">
        <v>2350</v>
      </c>
      <c r="C7737" s="49" t="s">
        <v>12663</v>
      </c>
      <c r="D7737" s="49" t="s">
        <v>2352</v>
      </c>
      <c r="E7737" s="49" t="str">
        <f aca="false">"5060458890191"</f>
        <v>5060458890191</v>
      </c>
      <c r="F7737" s="49" t="s">
        <v>3656</v>
      </c>
      <c r="G7737" s="49" t="n">
        <v>0</v>
      </c>
      <c r="H7737" s="0" t="n">
        <v>0</v>
      </c>
      <c r="M7737" s="51" t="s">
        <v>12658</v>
      </c>
      <c r="N7737" s="49" t="n">
        <v>0</v>
      </c>
      <c r="O7737" s="53" t="n">
        <v>46021.6564351852</v>
      </c>
      <c r="P7737" s="53" t="n">
        <v>46027.4646875</v>
      </c>
      <c r="Q7737" s="53" t="n">
        <v>46021.6564351852</v>
      </c>
      <c r="R7737" s="0" t="n">
        <v>0</v>
      </c>
      <c r="S7737" s="51" t="s">
        <v>2380</v>
      </c>
      <c r="T7737" s="51" t="s">
        <v>2380</v>
      </c>
      <c r="U7737" s="0" t="str">
        <f aca="false">"5060458890191"</f>
        <v>5060458890191</v>
      </c>
      <c r="V7737" s="51" t="s">
        <v>2142</v>
      </c>
      <c r="W7737" s="51" t="s">
        <v>12664</v>
      </c>
      <c r="X7737" s="51" t="s">
        <v>2359</v>
      </c>
    </row>
    <row r="7738" customFormat="false" ht="14.25" hidden="true" customHeight="false" outlineLevel="0" collapsed="false">
      <c r="A7738" s="49" t="s">
        <v>2349</v>
      </c>
      <c r="B7738" s="49" t="s">
        <v>2350</v>
      </c>
      <c r="C7738" s="49" t="s">
        <v>12665</v>
      </c>
      <c r="D7738" s="49" t="s">
        <v>2352</v>
      </c>
      <c r="E7738" s="49" t="str">
        <f aca="false">"5060458890191"</f>
        <v>5060458890191</v>
      </c>
      <c r="F7738" s="49" t="s">
        <v>3656</v>
      </c>
      <c r="G7738" s="49" t="n">
        <v>0</v>
      </c>
      <c r="H7738" s="0" t="n">
        <v>0</v>
      </c>
      <c r="M7738" s="51" t="s">
        <v>12658</v>
      </c>
      <c r="N7738" s="49" t="n">
        <v>0</v>
      </c>
      <c r="O7738" s="53" t="n">
        <v>46021.6563425926</v>
      </c>
      <c r="P7738" s="53" t="n">
        <v>46030.5357407407</v>
      </c>
      <c r="Q7738" s="53" t="n">
        <v>46021.6563425926</v>
      </c>
      <c r="R7738" s="0" t="n">
        <v>0</v>
      </c>
      <c r="S7738" s="51" t="s">
        <v>2380</v>
      </c>
      <c r="T7738" s="51" t="s">
        <v>2380</v>
      </c>
      <c r="U7738" s="0" t="str">
        <f aca="false">"5060458890191"</f>
        <v>5060458890191</v>
      </c>
      <c r="V7738" s="51" t="s">
        <v>2142</v>
      </c>
      <c r="W7738" s="51" t="s">
        <v>12666</v>
      </c>
      <c r="X7738" s="51" t="s">
        <v>2359</v>
      </c>
    </row>
    <row r="7739" customFormat="false" ht="14.25" hidden="true" customHeight="false" outlineLevel="0" collapsed="false">
      <c r="A7739" s="49" t="s">
        <v>2349</v>
      </c>
      <c r="B7739" s="49" t="s">
        <v>2350</v>
      </c>
      <c r="C7739" s="49" t="s">
        <v>12667</v>
      </c>
      <c r="D7739" s="49" t="s">
        <v>2352</v>
      </c>
      <c r="E7739" s="49" t="str">
        <f aca="false">"5060458890191"</f>
        <v>5060458890191</v>
      </c>
      <c r="F7739" s="49" t="s">
        <v>3656</v>
      </c>
      <c r="G7739" s="49" t="n">
        <v>0</v>
      </c>
      <c r="H7739" s="0" t="n">
        <v>0</v>
      </c>
      <c r="M7739" s="51" t="s">
        <v>12658</v>
      </c>
      <c r="N7739" s="49" t="n">
        <v>0</v>
      </c>
      <c r="O7739" s="53" t="n">
        <v>46021.6555208333</v>
      </c>
      <c r="P7739" s="53" t="n">
        <v>46030.5180671296</v>
      </c>
      <c r="Q7739" s="53" t="n">
        <v>46021.6555208333</v>
      </c>
      <c r="R7739" s="0" t="n">
        <v>0</v>
      </c>
      <c r="S7739" s="51" t="s">
        <v>2380</v>
      </c>
      <c r="T7739" s="51" t="s">
        <v>2380</v>
      </c>
      <c r="U7739" s="0" t="str">
        <f aca="false">"5060458890191"</f>
        <v>5060458890191</v>
      </c>
      <c r="V7739" s="51" t="s">
        <v>2142</v>
      </c>
      <c r="W7739" s="51" t="s">
        <v>10568</v>
      </c>
      <c r="X7739" s="51" t="s">
        <v>2359</v>
      </c>
    </row>
    <row r="7740" customFormat="false" ht="14.25" hidden="true" customHeight="false" outlineLevel="0" collapsed="false">
      <c r="A7740" s="49" t="s">
        <v>2349</v>
      </c>
      <c r="B7740" s="49" t="s">
        <v>2350</v>
      </c>
      <c r="C7740" s="49" t="s">
        <v>12668</v>
      </c>
      <c r="D7740" s="49" t="s">
        <v>2352</v>
      </c>
      <c r="E7740" s="49" t="str">
        <f aca="false">"5060458890191"</f>
        <v>5060458890191</v>
      </c>
      <c r="F7740" s="49" t="s">
        <v>3656</v>
      </c>
      <c r="G7740" s="49" t="n">
        <v>0</v>
      </c>
      <c r="H7740" s="0" t="n">
        <v>0</v>
      </c>
      <c r="M7740" s="51" t="s">
        <v>12658</v>
      </c>
      <c r="N7740" s="49" t="n">
        <v>0</v>
      </c>
      <c r="O7740" s="53" t="n">
        <v>46021.6555787037</v>
      </c>
      <c r="P7740" s="53" t="n">
        <v>46029.9563657407</v>
      </c>
      <c r="Q7740" s="53" t="n">
        <v>46021.6555787037</v>
      </c>
      <c r="R7740" s="0" t="n">
        <v>0</v>
      </c>
      <c r="S7740" s="51" t="s">
        <v>2380</v>
      </c>
      <c r="T7740" s="51" t="s">
        <v>2380</v>
      </c>
      <c r="U7740" s="0" t="str">
        <f aca="false">"5060458890191"</f>
        <v>5060458890191</v>
      </c>
      <c r="V7740" s="51" t="s">
        <v>2142</v>
      </c>
      <c r="W7740" s="51" t="s">
        <v>11403</v>
      </c>
      <c r="X7740" s="51" t="s">
        <v>2359</v>
      </c>
    </row>
    <row r="7741" customFormat="false" ht="14.25" hidden="true" customHeight="false" outlineLevel="0" collapsed="false">
      <c r="A7741" s="49" t="s">
        <v>2349</v>
      </c>
      <c r="B7741" s="49" t="s">
        <v>2350</v>
      </c>
      <c r="C7741" s="49" t="s">
        <v>12669</v>
      </c>
      <c r="D7741" s="49" t="s">
        <v>2352</v>
      </c>
      <c r="E7741" s="49" t="str">
        <f aca="false">"5060458890191"</f>
        <v>5060458890191</v>
      </c>
      <c r="F7741" s="49" t="s">
        <v>3656</v>
      </c>
      <c r="G7741" s="49" t="n">
        <v>0</v>
      </c>
      <c r="H7741" s="0" t="n">
        <v>0</v>
      </c>
      <c r="M7741" s="51" t="s">
        <v>12658</v>
      </c>
      <c r="N7741" s="49" t="n">
        <v>0</v>
      </c>
      <c r="O7741" s="53" t="n">
        <v>46021.6556481481</v>
      </c>
      <c r="P7741" s="53" t="n">
        <v>46030.5172916667</v>
      </c>
      <c r="Q7741" s="53" t="n">
        <v>46021.6556481481</v>
      </c>
      <c r="R7741" s="0" t="n">
        <v>0</v>
      </c>
      <c r="S7741" s="51" t="s">
        <v>2380</v>
      </c>
      <c r="T7741" s="51" t="s">
        <v>2380</v>
      </c>
      <c r="U7741" s="0" t="str">
        <f aca="false">"5060458890191"</f>
        <v>5060458890191</v>
      </c>
      <c r="V7741" s="51" t="s">
        <v>2142</v>
      </c>
      <c r="W7741" s="51" t="s">
        <v>10886</v>
      </c>
      <c r="X7741" s="51" t="s">
        <v>2359</v>
      </c>
    </row>
    <row r="7742" customFormat="false" ht="14.25" hidden="true" customHeight="false" outlineLevel="0" collapsed="false">
      <c r="A7742" s="49" t="s">
        <v>2349</v>
      </c>
      <c r="B7742" s="49" t="s">
        <v>2350</v>
      </c>
      <c r="C7742" s="49" t="s">
        <v>12670</v>
      </c>
      <c r="D7742" s="49" t="s">
        <v>2352</v>
      </c>
      <c r="E7742" s="49" t="str">
        <f aca="false">"5060458890191"</f>
        <v>5060458890191</v>
      </c>
      <c r="F7742" s="49" t="s">
        <v>3656</v>
      </c>
      <c r="G7742" s="49" t="n">
        <v>0</v>
      </c>
      <c r="H7742" s="0" t="n">
        <v>0</v>
      </c>
      <c r="M7742" s="51" t="s">
        <v>12658</v>
      </c>
      <c r="N7742" s="49" t="n">
        <v>0</v>
      </c>
      <c r="O7742" s="53" t="n">
        <v>46021.6557407407</v>
      </c>
      <c r="P7742" s="53" t="n">
        <v>46030.4319097222</v>
      </c>
      <c r="Q7742" s="53" t="n">
        <v>46021.6557407407</v>
      </c>
      <c r="R7742" s="0" t="n">
        <v>0</v>
      </c>
      <c r="S7742" s="51" t="s">
        <v>2380</v>
      </c>
      <c r="T7742" s="51" t="s">
        <v>2380</v>
      </c>
      <c r="U7742" s="0" t="str">
        <f aca="false">"5060458890191"</f>
        <v>5060458890191</v>
      </c>
      <c r="V7742" s="51" t="s">
        <v>2142</v>
      </c>
      <c r="W7742" s="51" t="s">
        <v>4831</v>
      </c>
      <c r="X7742" s="51" t="s">
        <v>2359</v>
      </c>
    </row>
    <row r="7743" customFormat="false" ht="14.25" hidden="true" customHeight="false" outlineLevel="0" collapsed="false">
      <c r="A7743" s="49" t="s">
        <v>2349</v>
      </c>
      <c r="B7743" s="49" t="s">
        <v>2350</v>
      </c>
      <c r="C7743" s="49" t="s">
        <v>12671</v>
      </c>
      <c r="D7743" s="49" t="s">
        <v>2352</v>
      </c>
      <c r="E7743" s="49" t="str">
        <f aca="false">"5060458890191"</f>
        <v>5060458890191</v>
      </c>
      <c r="F7743" s="49" t="s">
        <v>3656</v>
      </c>
      <c r="G7743" s="49" t="n">
        <v>0</v>
      </c>
      <c r="H7743" s="0" t="n">
        <v>0</v>
      </c>
      <c r="M7743" s="51" t="s">
        <v>12658</v>
      </c>
      <c r="N7743" s="49" t="n">
        <v>0</v>
      </c>
      <c r="O7743" s="53" t="n">
        <v>46021.6558217593</v>
      </c>
      <c r="P7743" s="53" t="n">
        <v>46030.4338657407</v>
      </c>
      <c r="Q7743" s="53" t="n">
        <v>46021.6558217593</v>
      </c>
      <c r="R7743" s="0" t="n">
        <v>0</v>
      </c>
      <c r="S7743" s="51" t="s">
        <v>2380</v>
      </c>
      <c r="T7743" s="51" t="s">
        <v>2380</v>
      </c>
      <c r="U7743" s="0" t="str">
        <f aca="false">"5060458890191"</f>
        <v>5060458890191</v>
      </c>
      <c r="V7743" s="51" t="s">
        <v>2142</v>
      </c>
      <c r="W7743" s="51" t="s">
        <v>4262</v>
      </c>
      <c r="X7743" s="51" t="s">
        <v>2359</v>
      </c>
    </row>
    <row r="7744" customFormat="false" ht="14.25" hidden="true" customHeight="false" outlineLevel="0" collapsed="false">
      <c r="A7744" s="49" t="s">
        <v>2349</v>
      </c>
      <c r="B7744" s="49" t="s">
        <v>2350</v>
      </c>
      <c r="C7744" s="49" t="s">
        <v>12672</v>
      </c>
      <c r="D7744" s="49" t="s">
        <v>2352</v>
      </c>
      <c r="E7744" s="49" t="str">
        <f aca="false">"5060458890191"</f>
        <v>5060458890191</v>
      </c>
      <c r="F7744" s="49" t="s">
        <v>3656</v>
      </c>
      <c r="G7744" s="49" t="n">
        <v>0</v>
      </c>
      <c r="H7744" s="0" t="n">
        <v>0</v>
      </c>
      <c r="M7744" s="51" t="s">
        <v>12658</v>
      </c>
      <c r="N7744" s="49" t="n">
        <v>0</v>
      </c>
      <c r="O7744" s="53" t="n">
        <v>46021.6548958333</v>
      </c>
      <c r="P7744" s="53" t="n">
        <v>46030.5269675926</v>
      </c>
      <c r="Q7744" s="53" t="n">
        <v>46021.6548958333</v>
      </c>
      <c r="R7744" s="0" t="n">
        <v>0</v>
      </c>
      <c r="S7744" s="51" t="s">
        <v>2380</v>
      </c>
      <c r="T7744" s="51" t="s">
        <v>2380</v>
      </c>
      <c r="U7744" s="0" t="str">
        <f aca="false">"5060458890191"</f>
        <v>5060458890191</v>
      </c>
      <c r="V7744" s="51" t="s">
        <v>2142</v>
      </c>
      <c r="W7744" s="51" t="s">
        <v>11771</v>
      </c>
      <c r="X7744" s="51" t="s">
        <v>2359</v>
      </c>
    </row>
    <row r="7745" customFormat="false" ht="14.25" hidden="true" customHeight="false" outlineLevel="0" collapsed="false">
      <c r="A7745" s="49" t="s">
        <v>2349</v>
      </c>
      <c r="B7745" s="49" t="s">
        <v>2350</v>
      </c>
      <c r="C7745" s="49" t="s">
        <v>12673</v>
      </c>
      <c r="D7745" s="49" t="s">
        <v>2352</v>
      </c>
      <c r="E7745" s="49" t="str">
        <f aca="false">"5060458890191"</f>
        <v>5060458890191</v>
      </c>
      <c r="F7745" s="49" t="s">
        <v>3656</v>
      </c>
      <c r="G7745" s="49" t="n">
        <v>0</v>
      </c>
      <c r="H7745" s="0" t="n">
        <v>0</v>
      </c>
      <c r="M7745" s="51" t="s">
        <v>12658</v>
      </c>
      <c r="N7745" s="49" t="n">
        <v>0</v>
      </c>
      <c r="O7745" s="53" t="n">
        <v>46021.6549884259</v>
      </c>
      <c r="P7745" s="53" t="n">
        <v>46029.500162037</v>
      </c>
      <c r="Q7745" s="53" t="n">
        <v>46021.6549884259</v>
      </c>
      <c r="R7745" s="0" t="n">
        <v>0</v>
      </c>
      <c r="S7745" s="51" t="s">
        <v>2380</v>
      </c>
      <c r="T7745" s="51" t="s">
        <v>2380</v>
      </c>
      <c r="U7745" s="0" t="str">
        <f aca="false">"5060458890191"</f>
        <v>5060458890191</v>
      </c>
      <c r="V7745" s="51" t="s">
        <v>2142</v>
      </c>
      <c r="W7745" s="51" t="s">
        <v>10744</v>
      </c>
      <c r="X7745" s="51" t="s">
        <v>2359</v>
      </c>
    </row>
    <row r="7746" customFormat="false" ht="14.25" hidden="true" customHeight="false" outlineLevel="0" collapsed="false">
      <c r="A7746" s="49" t="s">
        <v>2349</v>
      </c>
      <c r="B7746" s="49" t="s">
        <v>2350</v>
      </c>
      <c r="C7746" s="49" t="s">
        <v>12674</v>
      </c>
      <c r="D7746" s="49" t="s">
        <v>2352</v>
      </c>
      <c r="E7746" s="49" t="str">
        <f aca="false">"5060458890191"</f>
        <v>5060458890191</v>
      </c>
      <c r="F7746" s="49" t="s">
        <v>3656</v>
      </c>
      <c r="G7746" s="49" t="n">
        <v>0</v>
      </c>
      <c r="H7746" s="0" t="n">
        <v>0</v>
      </c>
      <c r="M7746" s="51" t="s">
        <v>12658</v>
      </c>
      <c r="N7746" s="49" t="n">
        <v>0</v>
      </c>
      <c r="O7746" s="53" t="n">
        <v>46021.6550578704</v>
      </c>
      <c r="P7746" s="53" t="n">
        <v>46029.9527314815</v>
      </c>
      <c r="Q7746" s="53" t="n">
        <v>46021.6550578704</v>
      </c>
      <c r="R7746" s="0" t="n">
        <v>0</v>
      </c>
      <c r="S7746" s="51" t="s">
        <v>2380</v>
      </c>
      <c r="T7746" s="51" t="s">
        <v>2380</v>
      </c>
      <c r="U7746" s="0" t="str">
        <f aca="false">"5060458890191"</f>
        <v>5060458890191</v>
      </c>
      <c r="V7746" s="51" t="s">
        <v>2142</v>
      </c>
      <c r="W7746" s="51" t="s">
        <v>10735</v>
      </c>
      <c r="X7746" s="51" t="s">
        <v>2359</v>
      </c>
    </row>
    <row r="7747" customFormat="false" ht="14.25" hidden="true" customHeight="false" outlineLevel="0" collapsed="false">
      <c r="A7747" s="49" t="s">
        <v>2349</v>
      </c>
      <c r="B7747" s="49" t="s">
        <v>2350</v>
      </c>
      <c r="C7747" s="49" t="s">
        <v>12675</v>
      </c>
      <c r="D7747" s="49" t="s">
        <v>2352</v>
      </c>
      <c r="E7747" s="49" t="str">
        <f aca="false">"5060458890191"</f>
        <v>5060458890191</v>
      </c>
      <c r="F7747" s="49" t="s">
        <v>3656</v>
      </c>
      <c r="G7747" s="49" t="n">
        <v>0</v>
      </c>
      <c r="H7747" s="0" t="n">
        <v>0</v>
      </c>
      <c r="M7747" s="51" t="s">
        <v>12658</v>
      </c>
      <c r="N7747" s="49" t="n">
        <v>0</v>
      </c>
      <c r="O7747" s="53" t="n">
        <v>46021.6552430556</v>
      </c>
      <c r="P7747" s="53" t="n">
        <v>46028.8861342593</v>
      </c>
      <c r="Q7747" s="53" t="n">
        <v>46021.6552430556</v>
      </c>
      <c r="R7747" s="0" t="n">
        <v>0</v>
      </c>
      <c r="S7747" s="51" t="s">
        <v>2380</v>
      </c>
      <c r="T7747" s="51" t="s">
        <v>2380</v>
      </c>
      <c r="U7747" s="0" t="str">
        <f aca="false">"5060458890191"</f>
        <v>5060458890191</v>
      </c>
      <c r="V7747" s="51" t="s">
        <v>2142</v>
      </c>
      <c r="W7747" s="51" t="s">
        <v>11472</v>
      </c>
      <c r="X7747" s="51" t="s">
        <v>2359</v>
      </c>
    </row>
    <row r="7748" customFormat="false" ht="14.25" hidden="true" customHeight="false" outlineLevel="0" collapsed="false">
      <c r="A7748" s="49" t="s">
        <v>2349</v>
      </c>
      <c r="B7748" s="49" t="s">
        <v>2350</v>
      </c>
      <c r="C7748" s="49" t="s">
        <v>12676</v>
      </c>
      <c r="D7748" s="49" t="s">
        <v>2352</v>
      </c>
      <c r="E7748" s="49" t="str">
        <f aca="false">"5060458890191"</f>
        <v>5060458890191</v>
      </c>
      <c r="F7748" s="49" t="s">
        <v>3656</v>
      </c>
      <c r="G7748" s="49" t="n">
        <v>0</v>
      </c>
      <c r="H7748" s="0" t="n">
        <v>0</v>
      </c>
      <c r="M7748" s="51" t="s">
        <v>12658</v>
      </c>
      <c r="N7748" s="49" t="n">
        <v>0</v>
      </c>
      <c r="O7748" s="53" t="n">
        <v>46021.6553125</v>
      </c>
      <c r="P7748" s="53" t="n">
        <v>46030.4350810185</v>
      </c>
      <c r="Q7748" s="53" t="n">
        <v>46021.6553125</v>
      </c>
      <c r="R7748" s="0" t="n">
        <v>0</v>
      </c>
      <c r="S7748" s="51" t="s">
        <v>2380</v>
      </c>
      <c r="T7748" s="51" t="s">
        <v>2380</v>
      </c>
      <c r="U7748" s="0" t="str">
        <f aca="false">"5060458890191"</f>
        <v>5060458890191</v>
      </c>
      <c r="V7748" s="51" t="s">
        <v>2142</v>
      </c>
      <c r="W7748" s="51" t="s">
        <v>4202</v>
      </c>
      <c r="X7748" s="51" t="s">
        <v>2359</v>
      </c>
    </row>
    <row r="7749" customFormat="false" ht="14.25" hidden="true" customHeight="false" outlineLevel="0" collapsed="false">
      <c r="A7749" s="49" t="s">
        <v>2349</v>
      </c>
      <c r="B7749" s="49" t="s">
        <v>2350</v>
      </c>
      <c r="C7749" s="49" t="s">
        <v>12677</v>
      </c>
      <c r="D7749" s="49" t="s">
        <v>2352</v>
      </c>
      <c r="E7749" s="49" t="str">
        <f aca="false">"5060458890191"</f>
        <v>5060458890191</v>
      </c>
      <c r="F7749" s="49" t="s">
        <v>3656</v>
      </c>
      <c r="G7749" s="49" t="n">
        <v>0</v>
      </c>
      <c r="H7749" s="0" t="n">
        <v>0</v>
      </c>
      <c r="M7749" s="51" t="s">
        <v>12658</v>
      </c>
      <c r="N7749" s="49" t="n">
        <v>0</v>
      </c>
      <c r="O7749" s="53" t="n">
        <v>46021.6553819444</v>
      </c>
      <c r="P7749" s="53" t="n">
        <v>46027.9068402778</v>
      </c>
      <c r="Q7749" s="53" t="n">
        <v>46021.6553819444</v>
      </c>
      <c r="R7749" s="0" t="n">
        <v>0</v>
      </c>
      <c r="S7749" s="51" t="s">
        <v>2380</v>
      </c>
      <c r="T7749" s="51" t="s">
        <v>2380</v>
      </c>
      <c r="U7749" s="0" t="str">
        <f aca="false">"5060458890191"</f>
        <v>5060458890191</v>
      </c>
      <c r="V7749" s="51" t="s">
        <v>2142</v>
      </c>
      <c r="W7749" s="51" t="s">
        <v>3923</v>
      </c>
      <c r="X7749" s="51" t="s">
        <v>2359</v>
      </c>
    </row>
    <row r="7750" customFormat="false" ht="14.25" hidden="true" customHeight="false" outlineLevel="0" collapsed="false">
      <c r="A7750" s="49" t="s">
        <v>2349</v>
      </c>
      <c r="B7750" s="49" t="s">
        <v>2350</v>
      </c>
      <c r="C7750" s="49" t="s">
        <v>12678</v>
      </c>
      <c r="D7750" s="49" t="s">
        <v>2352</v>
      </c>
      <c r="E7750" s="49" t="str">
        <f aca="false">"5060458890191"</f>
        <v>5060458890191</v>
      </c>
      <c r="F7750" s="49" t="s">
        <v>3656</v>
      </c>
      <c r="G7750" s="49" t="n">
        <v>0</v>
      </c>
      <c r="H7750" s="0" t="n">
        <v>0</v>
      </c>
      <c r="M7750" s="51" t="s">
        <v>12658</v>
      </c>
      <c r="N7750" s="49" t="n">
        <v>0</v>
      </c>
      <c r="O7750" s="53" t="n">
        <v>46021.6546875</v>
      </c>
      <c r="P7750" s="53" t="n">
        <v>46031.7369791667</v>
      </c>
      <c r="Q7750" s="53" t="n">
        <v>46021.6546875</v>
      </c>
      <c r="R7750" s="0" t="n">
        <v>0</v>
      </c>
      <c r="S7750" s="51" t="s">
        <v>2380</v>
      </c>
      <c r="T7750" s="51" t="s">
        <v>2380</v>
      </c>
      <c r="U7750" s="0" t="str">
        <f aca="false">"5060458890191"</f>
        <v>5060458890191</v>
      </c>
      <c r="V7750" s="51" t="s">
        <v>2142</v>
      </c>
      <c r="W7750" s="51" t="s">
        <v>3877</v>
      </c>
      <c r="X7750" s="51" t="s">
        <v>2359</v>
      </c>
    </row>
    <row r="7751" customFormat="false" ht="14.25" hidden="true" customHeight="false" outlineLevel="0" collapsed="false">
      <c r="A7751" s="49" t="s">
        <v>2349</v>
      </c>
      <c r="B7751" s="49" t="s">
        <v>2350</v>
      </c>
      <c r="C7751" s="49" t="s">
        <v>12679</v>
      </c>
      <c r="D7751" s="49" t="s">
        <v>2352</v>
      </c>
      <c r="E7751" s="49" t="str">
        <f aca="false">"5060458890191"</f>
        <v>5060458890191</v>
      </c>
      <c r="F7751" s="49" t="s">
        <v>3656</v>
      </c>
      <c r="G7751" s="49" t="n">
        <v>0</v>
      </c>
      <c r="H7751" s="0" t="n">
        <v>0</v>
      </c>
      <c r="M7751" s="51" t="s">
        <v>12658</v>
      </c>
      <c r="N7751" s="49" t="n">
        <v>0</v>
      </c>
      <c r="O7751" s="53" t="n">
        <v>46021.6544675926</v>
      </c>
      <c r="P7751" s="53" t="n">
        <v>46030.5252199074</v>
      </c>
      <c r="Q7751" s="53" t="n">
        <v>46021.6544675926</v>
      </c>
      <c r="R7751" s="0" t="n">
        <v>0</v>
      </c>
      <c r="S7751" s="51" t="s">
        <v>2380</v>
      </c>
      <c r="T7751" s="51" t="s">
        <v>2380</v>
      </c>
      <c r="U7751" s="0" t="str">
        <f aca="false">"5060458890191"</f>
        <v>5060458890191</v>
      </c>
      <c r="V7751" s="51" t="s">
        <v>2142</v>
      </c>
      <c r="W7751" s="51" t="s">
        <v>11787</v>
      </c>
      <c r="X7751" s="51" t="s">
        <v>2359</v>
      </c>
    </row>
    <row r="7752" customFormat="false" ht="14.25" hidden="true" customHeight="false" outlineLevel="0" collapsed="false">
      <c r="A7752" s="49" t="s">
        <v>2349</v>
      </c>
      <c r="B7752" s="49" t="s">
        <v>2350</v>
      </c>
      <c r="C7752" s="49" t="s">
        <v>12680</v>
      </c>
      <c r="D7752" s="49" t="s">
        <v>2352</v>
      </c>
      <c r="E7752" s="49" t="str">
        <f aca="false">"5060458890191"</f>
        <v>5060458890191</v>
      </c>
      <c r="F7752" s="49" t="s">
        <v>3656</v>
      </c>
      <c r="G7752" s="49" t="n">
        <v>0</v>
      </c>
      <c r="H7752" s="0" t="n">
        <v>0</v>
      </c>
      <c r="M7752" s="51" t="s">
        <v>12658</v>
      </c>
      <c r="N7752" s="49" t="n">
        <v>0</v>
      </c>
      <c r="O7752" s="53" t="n">
        <v>46021.6543865741</v>
      </c>
      <c r="P7752" s="53" t="n">
        <v>46030.5218402778</v>
      </c>
      <c r="Q7752" s="53" t="n">
        <v>46021.6543865741</v>
      </c>
      <c r="R7752" s="0" t="n">
        <v>0</v>
      </c>
      <c r="S7752" s="51" t="s">
        <v>2380</v>
      </c>
      <c r="T7752" s="51" t="s">
        <v>2380</v>
      </c>
      <c r="U7752" s="0" t="str">
        <f aca="false">"5060458890191"</f>
        <v>5060458890191</v>
      </c>
      <c r="V7752" s="51" t="s">
        <v>2142</v>
      </c>
      <c r="W7752" s="51" t="s">
        <v>4034</v>
      </c>
      <c r="X7752" s="51" t="s">
        <v>2359</v>
      </c>
    </row>
    <row r="7753" customFormat="false" ht="14.25" hidden="true" customHeight="false" outlineLevel="0" collapsed="false">
      <c r="A7753" s="49" t="s">
        <v>2349</v>
      </c>
      <c r="B7753" s="49" t="s">
        <v>2350</v>
      </c>
      <c r="C7753" s="49" t="s">
        <v>12681</v>
      </c>
      <c r="D7753" s="49" t="s">
        <v>2352</v>
      </c>
      <c r="E7753" s="49" t="str">
        <f aca="false">"5060458890191"</f>
        <v>5060458890191</v>
      </c>
      <c r="F7753" s="49" t="s">
        <v>3656</v>
      </c>
      <c r="G7753" s="49" t="n">
        <v>0</v>
      </c>
      <c r="H7753" s="0" t="n">
        <v>0</v>
      </c>
      <c r="M7753" s="51" t="s">
        <v>12658</v>
      </c>
      <c r="N7753" s="49" t="n">
        <v>0</v>
      </c>
      <c r="O7753" s="53" t="n">
        <v>46021.6542939815</v>
      </c>
      <c r="P7753" s="53" t="n">
        <v>46028.4421296296</v>
      </c>
      <c r="Q7753" s="53" t="n">
        <v>46021.6542939815</v>
      </c>
      <c r="R7753" s="0" t="n">
        <v>0</v>
      </c>
      <c r="S7753" s="51" t="s">
        <v>2380</v>
      </c>
      <c r="T7753" s="51" t="s">
        <v>2380</v>
      </c>
      <c r="U7753" s="0" t="str">
        <f aca="false">"5060458890191"</f>
        <v>5060458890191</v>
      </c>
      <c r="V7753" s="51" t="s">
        <v>2142</v>
      </c>
      <c r="W7753" s="51" t="s">
        <v>3921</v>
      </c>
      <c r="X7753" s="51" t="s">
        <v>2359</v>
      </c>
    </row>
    <row r="7754" customFormat="false" ht="14.25" hidden="true" customHeight="false" outlineLevel="0" collapsed="false">
      <c r="A7754" s="49" t="s">
        <v>2349</v>
      </c>
      <c r="B7754" s="49" t="s">
        <v>2350</v>
      </c>
      <c r="C7754" s="49" t="s">
        <v>12682</v>
      </c>
      <c r="D7754" s="49" t="s">
        <v>2352</v>
      </c>
      <c r="E7754" s="49" t="str">
        <f aca="false">"5060458890191"</f>
        <v>5060458890191</v>
      </c>
      <c r="F7754" s="49" t="s">
        <v>3656</v>
      </c>
      <c r="G7754" s="49" t="n">
        <v>0</v>
      </c>
      <c r="H7754" s="0" t="n">
        <v>0</v>
      </c>
      <c r="M7754" s="51" t="s">
        <v>12658</v>
      </c>
      <c r="N7754" s="49" t="n">
        <v>0</v>
      </c>
      <c r="O7754" s="53" t="n">
        <v>46021.6542013889</v>
      </c>
      <c r="P7754" s="53" t="n">
        <v>46027.4858217593</v>
      </c>
      <c r="Q7754" s="53" t="n">
        <v>46021.6542013889</v>
      </c>
      <c r="R7754" s="0" t="n">
        <v>0</v>
      </c>
      <c r="S7754" s="51" t="s">
        <v>2380</v>
      </c>
      <c r="T7754" s="51" t="s">
        <v>2380</v>
      </c>
      <c r="U7754" s="0" t="str">
        <f aca="false">"5060458890191"</f>
        <v>5060458890191</v>
      </c>
      <c r="V7754" s="51" t="s">
        <v>2142</v>
      </c>
      <c r="W7754" s="51" t="s">
        <v>6757</v>
      </c>
      <c r="X7754" s="51" t="s">
        <v>2359</v>
      </c>
    </row>
    <row r="7755" customFormat="false" ht="14.25" hidden="true" customHeight="false" outlineLevel="0" collapsed="false">
      <c r="A7755" s="49" t="s">
        <v>2349</v>
      </c>
      <c r="B7755" s="49" t="s">
        <v>2350</v>
      </c>
      <c r="C7755" s="49" t="s">
        <v>12683</v>
      </c>
      <c r="D7755" s="49" t="s">
        <v>2352</v>
      </c>
      <c r="E7755" s="49" t="str">
        <f aca="false">"5060458890191"</f>
        <v>5060458890191</v>
      </c>
      <c r="F7755" s="49" t="s">
        <v>3656</v>
      </c>
      <c r="G7755" s="49" t="n">
        <v>0</v>
      </c>
      <c r="H7755" s="0" t="n">
        <v>0</v>
      </c>
      <c r="M7755" s="51" t="s">
        <v>12658</v>
      </c>
      <c r="N7755" s="49" t="n">
        <v>0</v>
      </c>
      <c r="O7755" s="53" t="n">
        <v>46021.6541203704</v>
      </c>
      <c r="P7755" s="53" t="n">
        <v>46030.5320949074</v>
      </c>
      <c r="Q7755" s="53" t="n">
        <v>46021.6541203704</v>
      </c>
      <c r="R7755" s="0" t="n">
        <v>0</v>
      </c>
      <c r="S7755" s="51" t="s">
        <v>2380</v>
      </c>
      <c r="T7755" s="51" t="s">
        <v>2380</v>
      </c>
      <c r="U7755" s="0" t="str">
        <f aca="false">"5060458890191"</f>
        <v>5060458890191</v>
      </c>
      <c r="V7755" s="51" t="s">
        <v>2142</v>
      </c>
      <c r="W7755" s="51" t="s">
        <v>10274</v>
      </c>
      <c r="X7755" s="51" t="s">
        <v>2359</v>
      </c>
    </row>
    <row r="7756" customFormat="false" ht="14.25" hidden="true" customHeight="false" outlineLevel="0" collapsed="false">
      <c r="A7756" s="49" t="s">
        <v>2349</v>
      </c>
      <c r="B7756" s="49" t="s">
        <v>2350</v>
      </c>
      <c r="C7756" s="49" t="s">
        <v>12684</v>
      </c>
      <c r="D7756" s="49" t="s">
        <v>2352</v>
      </c>
      <c r="E7756" s="49" t="str">
        <f aca="false">"5060458890191"</f>
        <v>5060458890191</v>
      </c>
      <c r="F7756" s="49" t="s">
        <v>3656</v>
      </c>
      <c r="G7756" s="49" t="n">
        <v>0</v>
      </c>
      <c r="H7756" s="0" t="n">
        <v>0</v>
      </c>
      <c r="M7756" s="51" t="s">
        <v>12658</v>
      </c>
      <c r="N7756" s="49" t="n">
        <v>0</v>
      </c>
      <c r="O7756" s="53" t="n">
        <v>46021.6540625</v>
      </c>
      <c r="P7756" s="53" t="n">
        <v>46030.5305787037</v>
      </c>
      <c r="Q7756" s="53" t="n">
        <v>46021.6540625</v>
      </c>
      <c r="R7756" s="0" t="n">
        <v>0</v>
      </c>
      <c r="S7756" s="51" t="s">
        <v>2380</v>
      </c>
      <c r="T7756" s="51" t="s">
        <v>2380</v>
      </c>
      <c r="U7756" s="0" t="str">
        <f aca="false">"5060458890191"</f>
        <v>5060458890191</v>
      </c>
      <c r="V7756" s="51" t="s">
        <v>2142</v>
      </c>
      <c r="W7756" s="51" t="s">
        <v>9839</v>
      </c>
      <c r="X7756" s="51" t="s">
        <v>2359</v>
      </c>
    </row>
    <row r="7757" customFormat="false" ht="14.25" hidden="true" customHeight="false" outlineLevel="0" collapsed="false">
      <c r="A7757" s="49" t="s">
        <v>2349</v>
      </c>
      <c r="B7757" s="49" t="s">
        <v>2350</v>
      </c>
      <c r="C7757" s="49" t="s">
        <v>12685</v>
      </c>
      <c r="D7757" s="49" t="s">
        <v>2352</v>
      </c>
      <c r="E7757" s="49" t="str">
        <f aca="false">"5060458890191"</f>
        <v>5060458890191</v>
      </c>
      <c r="F7757" s="49" t="s">
        <v>3656</v>
      </c>
      <c r="G7757" s="49" t="n">
        <v>0</v>
      </c>
      <c r="H7757" s="0" t="n">
        <v>0</v>
      </c>
      <c r="M7757" s="51" t="s">
        <v>12658</v>
      </c>
      <c r="N7757" s="49" t="n">
        <v>0</v>
      </c>
      <c r="O7757" s="53" t="n">
        <v>46021.6539814815</v>
      </c>
      <c r="P7757" s="53" t="n">
        <v>46030.5330555556</v>
      </c>
      <c r="Q7757" s="53" t="n">
        <v>46021.6539814815</v>
      </c>
      <c r="R7757" s="0" t="n">
        <v>0</v>
      </c>
      <c r="S7757" s="51" t="s">
        <v>2380</v>
      </c>
      <c r="T7757" s="51" t="s">
        <v>2380</v>
      </c>
      <c r="U7757" s="0" t="str">
        <f aca="false">"5060458890191"</f>
        <v>5060458890191</v>
      </c>
      <c r="V7757" s="51" t="s">
        <v>2142</v>
      </c>
      <c r="W7757" s="51" t="s">
        <v>12311</v>
      </c>
      <c r="X7757" s="51" t="s">
        <v>2359</v>
      </c>
    </row>
    <row r="7758" customFormat="false" ht="14.25" hidden="true" customHeight="false" outlineLevel="0" collapsed="false">
      <c r="A7758" s="49" t="s">
        <v>2349</v>
      </c>
      <c r="B7758" s="49" t="s">
        <v>2350</v>
      </c>
      <c r="C7758" s="49" t="s">
        <v>12686</v>
      </c>
      <c r="D7758" s="49" t="s">
        <v>2352</v>
      </c>
      <c r="E7758" s="49" t="str">
        <f aca="false">"5060458890191"</f>
        <v>5060458890191</v>
      </c>
      <c r="F7758" s="49" t="s">
        <v>3656</v>
      </c>
      <c r="G7758" s="49" t="n">
        <v>0</v>
      </c>
      <c r="H7758" s="0" t="n">
        <v>0</v>
      </c>
      <c r="M7758" s="51" t="s">
        <v>12658</v>
      </c>
      <c r="N7758" s="49" t="n">
        <v>0</v>
      </c>
      <c r="O7758" s="53" t="n">
        <v>46021.653912037</v>
      </c>
      <c r="P7758" s="53" t="n">
        <v>46030.5563310185</v>
      </c>
      <c r="Q7758" s="53" t="n">
        <v>46021.653912037</v>
      </c>
      <c r="R7758" s="0" t="n">
        <v>0</v>
      </c>
      <c r="S7758" s="51" t="s">
        <v>2380</v>
      </c>
      <c r="T7758" s="51" t="s">
        <v>2380</v>
      </c>
      <c r="U7758" s="0" t="str">
        <f aca="false">"5060458890191"</f>
        <v>5060458890191</v>
      </c>
      <c r="V7758" s="51" t="s">
        <v>2142</v>
      </c>
      <c r="W7758" s="51" t="s">
        <v>10261</v>
      </c>
      <c r="X7758" s="51" t="s">
        <v>2359</v>
      </c>
    </row>
    <row r="7759" customFormat="false" ht="14.25" hidden="true" customHeight="false" outlineLevel="0" collapsed="false">
      <c r="A7759" s="49" t="s">
        <v>2349</v>
      </c>
      <c r="B7759" s="49" t="s">
        <v>2350</v>
      </c>
      <c r="C7759" s="49" t="s">
        <v>12687</v>
      </c>
      <c r="D7759" s="49" t="s">
        <v>2352</v>
      </c>
      <c r="E7759" s="49" t="str">
        <f aca="false">"5060458890191"</f>
        <v>5060458890191</v>
      </c>
      <c r="F7759" s="49" t="s">
        <v>3656</v>
      </c>
      <c r="G7759" s="49" t="n">
        <v>0</v>
      </c>
      <c r="H7759" s="0" t="n">
        <v>0</v>
      </c>
      <c r="M7759" s="51" t="s">
        <v>12658</v>
      </c>
      <c r="N7759" s="49" t="n">
        <v>0</v>
      </c>
      <c r="O7759" s="53" t="n">
        <v>46021.6538078704</v>
      </c>
      <c r="P7759" s="53" t="n">
        <v>46030.5264467593</v>
      </c>
      <c r="Q7759" s="53" t="n">
        <v>46021.6538078704</v>
      </c>
      <c r="R7759" s="0" t="n">
        <v>0</v>
      </c>
      <c r="S7759" s="51" t="s">
        <v>2380</v>
      </c>
      <c r="T7759" s="51" t="s">
        <v>2380</v>
      </c>
      <c r="U7759" s="0" t="str">
        <f aca="false">"5060458890191"</f>
        <v>5060458890191</v>
      </c>
      <c r="V7759" s="51" t="s">
        <v>2142</v>
      </c>
      <c r="W7759" s="51" t="s">
        <v>11671</v>
      </c>
      <c r="X7759" s="51" t="s">
        <v>2359</v>
      </c>
    </row>
    <row r="7760" customFormat="false" ht="14.25" hidden="true" customHeight="false" outlineLevel="0" collapsed="false">
      <c r="A7760" s="49" t="s">
        <v>2349</v>
      </c>
      <c r="B7760" s="49" t="s">
        <v>2350</v>
      </c>
      <c r="C7760" s="49" t="s">
        <v>12688</v>
      </c>
      <c r="D7760" s="49" t="s">
        <v>2352</v>
      </c>
      <c r="E7760" s="49" t="str">
        <f aca="false">"5060458890191"</f>
        <v>5060458890191</v>
      </c>
      <c r="F7760" s="49" t="s">
        <v>3656</v>
      </c>
      <c r="G7760" s="49" t="n">
        <v>0</v>
      </c>
      <c r="H7760" s="0" t="n">
        <v>0</v>
      </c>
      <c r="M7760" s="51" t="s">
        <v>12658</v>
      </c>
      <c r="N7760" s="49" t="n">
        <v>0</v>
      </c>
      <c r="O7760" s="53" t="n">
        <v>46021.6536921296</v>
      </c>
      <c r="P7760" s="53" t="n">
        <v>46030.5233217593</v>
      </c>
      <c r="Q7760" s="53" t="n">
        <v>46021.6536921296</v>
      </c>
      <c r="R7760" s="0" t="n">
        <v>0</v>
      </c>
      <c r="S7760" s="51" t="s">
        <v>2380</v>
      </c>
      <c r="T7760" s="51" t="s">
        <v>2380</v>
      </c>
      <c r="U7760" s="0" t="str">
        <f aca="false">"5060458890191"</f>
        <v>5060458890191</v>
      </c>
      <c r="V7760" s="51" t="s">
        <v>2142</v>
      </c>
      <c r="W7760" s="51" t="s">
        <v>11690</v>
      </c>
      <c r="X7760" s="51" t="s">
        <v>2359</v>
      </c>
    </row>
    <row r="7761" customFormat="false" ht="14.25" hidden="true" customHeight="false" outlineLevel="0" collapsed="false">
      <c r="A7761" s="49" t="s">
        <v>2349</v>
      </c>
      <c r="B7761" s="49" t="s">
        <v>2350</v>
      </c>
      <c r="C7761" s="49" t="s">
        <v>12689</v>
      </c>
      <c r="D7761" s="49" t="s">
        <v>2352</v>
      </c>
      <c r="E7761" s="49" t="str">
        <f aca="false">"5060458890191"</f>
        <v>5060458890191</v>
      </c>
      <c r="F7761" s="49" t="s">
        <v>3656</v>
      </c>
      <c r="G7761" s="49" t="n">
        <v>0</v>
      </c>
      <c r="H7761" s="0" t="n">
        <v>0</v>
      </c>
      <c r="M7761" s="51" t="s">
        <v>3796</v>
      </c>
      <c r="N7761" s="49" t="n">
        <v>0</v>
      </c>
      <c r="O7761" s="53" t="n">
        <v>46020.3637037037</v>
      </c>
      <c r="P7761" s="53" t="n">
        <v>46034.6303935185</v>
      </c>
      <c r="Q7761" s="53" t="n">
        <v>46020.3637037037</v>
      </c>
      <c r="R7761" s="0" t="n">
        <v>0</v>
      </c>
      <c r="S7761" s="51" t="s">
        <v>3780</v>
      </c>
      <c r="T7761" s="51" t="s">
        <v>3780</v>
      </c>
      <c r="U7761" s="0" t="str">
        <f aca="false">"5060458890191"</f>
        <v>5060458890191</v>
      </c>
      <c r="V7761" s="51" t="s">
        <v>2142</v>
      </c>
      <c r="W7761" s="51" t="s">
        <v>4897</v>
      </c>
      <c r="X7761" s="51" t="s">
        <v>2359</v>
      </c>
    </row>
    <row r="7762" customFormat="false" ht="14.25" hidden="true" customHeight="false" outlineLevel="0" collapsed="false">
      <c r="A7762" s="49" t="s">
        <v>2349</v>
      </c>
      <c r="B7762" s="49" t="s">
        <v>2350</v>
      </c>
      <c r="C7762" s="49" t="s">
        <v>12690</v>
      </c>
      <c r="D7762" s="49" t="s">
        <v>2352</v>
      </c>
      <c r="E7762" s="49" t="str">
        <f aca="false">"5060458890191"</f>
        <v>5060458890191</v>
      </c>
      <c r="F7762" s="49" t="s">
        <v>3656</v>
      </c>
      <c r="G7762" s="49" t="n">
        <v>0</v>
      </c>
      <c r="H7762" s="0" t="n">
        <v>0</v>
      </c>
      <c r="M7762" s="51" t="s">
        <v>3796</v>
      </c>
      <c r="N7762" s="49" t="n">
        <v>0</v>
      </c>
      <c r="O7762" s="53" t="n">
        <v>46020.3657638889</v>
      </c>
      <c r="P7762" s="53" t="n">
        <v>46036.332662037</v>
      </c>
      <c r="Q7762" s="53" t="n">
        <v>46020.3657638889</v>
      </c>
      <c r="R7762" s="0" t="n">
        <v>0</v>
      </c>
      <c r="S7762" s="51" t="s">
        <v>3780</v>
      </c>
      <c r="T7762" s="51" t="s">
        <v>3780</v>
      </c>
      <c r="U7762" s="0" t="str">
        <f aca="false">"5060458890191"</f>
        <v>5060458890191</v>
      </c>
      <c r="V7762" s="51" t="s">
        <v>2142</v>
      </c>
      <c r="W7762" s="51" t="s">
        <v>10844</v>
      </c>
      <c r="X7762" s="51" t="s">
        <v>2359</v>
      </c>
    </row>
    <row r="7763" customFormat="false" ht="14.25" hidden="true" customHeight="false" outlineLevel="0" collapsed="false">
      <c r="A7763" s="49" t="s">
        <v>2349</v>
      </c>
      <c r="B7763" s="49" t="s">
        <v>2350</v>
      </c>
      <c r="C7763" s="49" t="s">
        <v>12691</v>
      </c>
      <c r="D7763" s="49" t="s">
        <v>2352</v>
      </c>
      <c r="E7763" s="49" t="str">
        <f aca="false">"5060458890191"</f>
        <v>5060458890191</v>
      </c>
      <c r="F7763" s="49" t="s">
        <v>3656</v>
      </c>
      <c r="G7763" s="49" t="n">
        <v>0</v>
      </c>
      <c r="H7763" s="0" t="n">
        <v>0</v>
      </c>
      <c r="M7763" s="51" t="s">
        <v>3796</v>
      </c>
      <c r="N7763" s="49" t="n">
        <v>0</v>
      </c>
      <c r="O7763" s="53" t="n">
        <v>46020.367650463</v>
      </c>
      <c r="P7763" s="53" t="n">
        <v>46030.5162037037</v>
      </c>
      <c r="Q7763" s="53" t="n">
        <v>46020.367650463</v>
      </c>
      <c r="R7763" s="0" t="n">
        <v>0</v>
      </c>
      <c r="S7763" s="51" t="s">
        <v>3780</v>
      </c>
      <c r="T7763" s="51" t="s">
        <v>3780</v>
      </c>
      <c r="U7763" s="0" t="str">
        <f aca="false">"5060458890191"</f>
        <v>5060458890191</v>
      </c>
      <c r="V7763" s="51" t="s">
        <v>2142</v>
      </c>
      <c r="W7763" s="51" t="s">
        <v>4912</v>
      </c>
      <c r="X7763" s="51" t="s">
        <v>2359</v>
      </c>
    </row>
    <row r="7764" customFormat="false" ht="14.25" hidden="true" customHeight="false" outlineLevel="0" collapsed="false">
      <c r="A7764" s="49" t="s">
        <v>2349</v>
      </c>
      <c r="B7764" s="49" t="s">
        <v>2350</v>
      </c>
      <c r="C7764" s="49" t="s">
        <v>12692</v>
      </c>
      <c r="D7764" s="49" t="s">
        <v>2352</v>
      </c>
      <c r="E7764" s="49" t="str">
        <f aca="false">"5060458890191"</f>
        <v>5060458890191</v>
      </c>
      <c r="F7764" s="49" t="s">
        <v>3656</v>
      </c>
      <c r="G7764" s="49" t="n">
        <v>0</v>
      </c>
      <c r="H7764" s="0" t="n">
        <v>0</v>
      </c>
      <c r="M7764" s="51" t="s">
        <v>3796</v>
      </c>
      <c r="N7764" s="49" t="n">
        <v>0</v>
      </c>
      <c r="O7764" s="53" t="n">
        <v>46020.3681712963</v>
      </c>
      <c r="P7764" s="53" t="n">
        <v>46033.9039351852</v>
      </c>
      <c r="Q7764" s="53" t="n">
        <v>46020.3681712963</v>
      </c>
      <c r="R7764" s="0" t="n">
        <v>0</v>
      </c>
      <c r="S7764" s="51" t="s">
        <v>3780</v>
      </c>
      <c r="T7764" s="51" t="s">
        <v>3780</v>
      </c>
      <c r="U7764" s="0" t="str">
        <f aca="false">"5060458890191"</f>
        <v>5060458890191</v>
      </c>
      <c r="V7764" s="51" t="s">
        <v>2142</v>
      </c>
      <c r="W7764" s="51" t="s">
        <v>12693</v>
      </c>
      <c r="X7764" s="51" t="s">
        <v>2359</v>
      </c>
    </row>
    <row r="7765" customFormat="false" ht="14.25" hidden="true" customHeight="false" outlineLevel="0" collapsed="false">
      <c r="A7765" s="49" t="s">
        <v>2349</v>
      </c>
      <c r="B7765" s="49" t="s">
        <v>2350</v>
      </c>
      <c r="C7765" s="49" t="s">
        <v>12694</v>
      </c>
      <c r="D7765" s="49" t="s">
        <v>2352</v>
      </c>
      <c r="E7765" s="49" t="str">
        <f aca="false">"5060458890191"</f>
        <v>5060458890191</v>
      </c>
      <c r="F7765" s="49" t="s">
        <v>3656</v>
      </c>
      <c r="G7765" s="49" t="n">
        <v>0</v>
      </c>
      <c r="H7765" s="0" t="n">
        <v>0</v>
      </c>
      <c r="M7765" s="51" t="s">
        <v>3796</v>
      </c>
      <c r="N7765" s="49" t="n">
        <v>0</v>
      </c>
      <c r="O7765" s="53" t="n">
        <v>46020.3686921296</v>
      </c>
      <c r="P7765" s="53" t="n">
        <v>46037.0850115741</v>
      </c>
      <c r="Q7765" s="53" t="n">
        <v>46020.3686921296</v>
      </c>
      <c r="R7765" s="0" t="n">
        <v>0</v>
      </c>
      <c r="S7765" s="51" t="s">
        <v>3780</v>
      </c>
      <c r="T7765" s="51" t="s">
        <v>3780</v>
      </c>
      <c r="U7765" s="0" t="str">
        <f aca="false">"5060458890191"</f>
        <v>5060458890191</v>
      </c>
      <c r="V7765" s="51" t="s">
        <v>2142</v>
      </c>
      <c r="W7765" s="51" t="s">
        <v>10097</v>
      </c>
      <c r="X7765" s="51" t="s">
        <v>2359</v>
      </c>
    </row>
    <row r="7766" customFormat="false" ht="14.25" hidden="true" customHeight="false" outlineLevel="0" collapsed="false">
      <c r="A7766" s="49" t="s">
        <v>2349</v>
      </c>
      <c r="B7766" s="49" t="s">
        <v>2350</v>
      </c>
      <c r="C7766" s="49" t="s">
        <v>12695</v>
      </c>
      <c r="D7766" s="49" t="s">
        <v>2352</v>
      </c>
      <c r="E7766" s="49" t="str">
        <f aca="false">"5060458890191"</f>
        <v>5060458890191</v>
      </c>
      <c r="F7766" s="49" t="s">
        <v>3656</v>
      </c>
      <c r="G7766" s="49" t="n">
        <v>0</v>
      </c>
      <c r="H7766" s="0" t="n">
        <v>0</v>
      </c>
      <c r="M7766" s="51" t="s">
        <v>3796</v>
      </c>
      <c r="N7766" s="49" t="n">
        <v>0</v>
      </c>
      <c r="O7766" s="53" t="n">
        <v>46020.3692013889</v>
      </c>
      <c r="P7766" s="53" t="n">
        <v>46037.0660300926</v>
      </c>
      <c r="Q7766" s="53" t="n">
        <v>46020.3692013889</v>
      </c>
      <c r="R7766" s="0" t="n">
        <v>0</v>
      </c>
      <c r="S7766" s="51" t="s">
        <v>3780</v>
      </c>
      <c r="T7766" s="51" t="s">
        <v>3780</v>
      </c>
      <c r="U7766" s="0" t="str">
        <f aca="false">"5060458890191"</f>
        <v>5060458890191</v>
      </c>
      <c r="V7766" s="51" t="s">
        <v>2142</v>
      </c>
      <c r="W7766" s="51" t="s">
        <v>10940</v>
      </c>
      <c r="X7766" s="51" t="s">
        <v>2359</v>
      </c>
    </row>
    <row r="7767" customFormat="false" ht="14.25" hidden="true" customHeight="false" outlineLevel="0" collapsed="false">
      <c r="A7767" s="49" t="s">
        <v>2349</v>
      </c>
      <c r="B7767" s="49" t="s">
        <v>2350</v>
      </c>
      <c r="C7767" s="49" t="s">
        <v>12696</v>
      </c>
      <c r="D7767" s="49" t="s">
        <v>2352</v>
      </c>
      <c r="E7767" s="49" t="str">
        <f aca="false">"5060458890191"</f>
        <v>5060458890191</v>
      </c>
      <c r="F7767" s="49" t="s">
        <v>3656</v>
      </c>
      <c r="G7767" s="49" t="n">
        <v>0</v>
      </c>
      <c r="H7767" s="0" t="n">
        <v>0</v>
      </c>
      <c r="M7767" s="51" t="s">
        <v>3796</v>
      </c>
      <c r="N7767" s="49" t="n">
        <v>0</v>
      </c>
      <c r="O7767" s="53" t="n">
        <v>46020.3697800926</v>
      </c>
      <c r="P7767" s="53" t="n">
        <v>46031.7834722222</v>
      </c>
      <c r="Q7767" s="53" t="n">
        <v>46020.3697800926</v>
      </c>
      <c r="R7767" s="0" t="n">
        <v>0</v>
      </c>
      <c r="S7767" s="51" t="s">
        <v>3780</v>
      </c>
      <c r="T7767" s="51" t="s">
        <v>3780</v>
      </c>
      <c r="U7767" s="0" t="str">
        <f aca="false">"5060458890191"</f>
        <v>5060458890191</v>
      </c>
      <c r="V7767" s="51" t="s">
        <v>2142</v>
      </c>
      <c r="W7767" s="51" t="s">
        <v>12697</v>
      </c>
      <c r="X7767" s="51" t="s">
        <v>2359</v>
      </c>
    </row>
    <row r="7768" customFormat="false" ht="14.25" hidden="true" customHeight="false" outlineLevel="0" collapsed="false">
      <c r="A7768" s="49" t="s">
        <v>2349</v>
      </c>
      <c r="B7768" s="49" t="s">
        <v>2350</v>
      </c>
      <c r="C7768" s="49" t="s">
        <v>12698</v>
      </c>
      <c r="D7768" s="49" t="s">
        <v>2352</v>
      </c>
      <c r="E7768" s="49" t="str">
        <f aca="false">"5060458890191"</f>
        <v>5060458890191</v>
      </c>
      <c r="F7768" s="49" t="s">
        <v>3656</v>
      </c>
      <c r="G7768" s="49" t="n">
        <v>0</v>
      </c>
      <c r="H7768" s="0" t="n">
        <v>0</v>
      </c>
      <c r="M7768" s="51" t="s">
        <v>3796</v>
      </c>
      <c r="N7768" s="49" t="n">
        <v>0</v>
      </c>
      <c r="O7768" s="53" t="n">
        <v>46020.3709490741</v>
      </c>
      <c r="P7768" s="53" t="n">
        <v>46039.3115046296</v>
      </c>
      <c r="Q7768" s="53" t="n">
        <v>46020.3709490741</v>
      </c>
      <c r="R7768" s="0" t="n">
        <v>0</v>
      </c>
      <c r="S7768" s="51" t="s">
        <v>3780</v>
      </c>
      <c r="T7768" s="51" t="s">
        <v>3780</v>
      </c>
      <c r="U7768" s="0" t="str">
        <f aca="false">"5060458890191"</f>
        <v>5060458890191</v>
      </c>
      <c r="V7768" s="51" t="s">
        <v>2142</v>
      </c>
      <c r="W7768" s="51" t="s">
        <v>10829</v>
      </c>
      <c r="X7768" s="51" t="s">
        <v>2359</v>
      </c>
    </row>
    <row r="7769" customFormat="false" ht="14.25" hidden="true" customHeight="false" outlineLevel="0" collapsed="false">
      <c r="A7769" s="49" t="s">
        <v>2349</v>
      </c>
      <c r="B7769" s="49" t="s">
        <v>2350</v>
      </c>
      <c r="C7769" s="49" t="s">
        <v>12699</v>
      </c>
      <c r="D7769" s="49" t="s">
        <v>2352</v>
      </c>
      <c r="E7769" s="49" t="str">
        <f aca="false">"5060458890191"</f>
        <v>5060458890191</v>
      </c>
      <c r="F7769" s="49" t="s">
        <v>3656</v>
      </c>
      <c r="G7769" s="49" t="n">
        <v>0</v>
      </c>
      <c r="H7769" s="0" t="n">
        <v>0</v>
      </c>
      <c r="M7769" s="51" t="s">
        <v>3796</v>
      </c>
      <c r="N7769" s="49" t="n">
        <v>0</v>
      </c>
      <c r="O7769" s="53" t="n">
        <v>46020.3719675926</v>
      </c>
      <c r="P7769" s="53" t="n">
        <v>46037.0692708333</v>
      </c>
      <c r="Q7769" s="53" t="n">
        <v>46020.3719675926</v>
      </c>
      <c r="R7769" s="0" t="n">
        <v>0</v>
      </c>
      <c r="S7769" s="51" t="s">
        <v>3780</v>
      </c>
      <c r="T7769" s="51" t="s">
        <v>3780</v>
      </c>
      <c r="U7769" s="0" t="str">
        <f aca="false">"5060458890191"</f>
        <v>5060458890191</v>
      </c>
      <c r="V7769" s="51" t="s">
        <v>2142</v>
      </c>
      <c r="W7769" s="51" t="s">
        <v>11409</v>
      </c>
      <c r="X7769" s="51" t="s">
        <v>2359</v>
      </c>
    </row>
    <row r="7770" customFormat="false" ht="14.25" hidden="true" customHeight="false" outlineLevel="0" collapsed="false">
      <c r="A7770" s="49" t="s">
        <v>2349</v>
      </c>
      <c r="B7770" s="49" t="s">
        <v>2350</v>
      </c>
      <c r="C7770" s="49" t="s">
        <v>12700</v>
      </c>
      <c r="D7770" s="49" t="s">
        <v>2352</v>
      </c>
      <c r="E7770" s="49" t="str">
        <f aca="false">"5060458890191"</f>
        <v>5060458890191</v>
      </c>
      <c r="F7770" s="49" t="s">
        <v>3656</v>
      </c>
      <c r="G7770" s="49" t="n">
        <v>0</v>
      </c>
      <c r="H7770" s="0" t="n">
        <v>0</v>
      </c>
      <c r="M7770" s="51" t="s">
        <v>3796</v>
      </c>
      <c r="N7770" s="49" t="n">
        <v>0</v>
      </c>
      <c r="O7770" s="53" t="n">
        <v>46020.3724537037</v>
      </c>
      <c r="P7770" s="53" t="n">
        <v>46031.7270486111</v>
      </c>
      <c r="Q7770" s="53" t="n">
        <v>46020.3724537037</v>
      </c>
      <c r="R7770" s="0" t="n">
        <v>0</v>
      </c>
      <c r="S7770" s="51" t="s">
        <v>3780</v>
      </c>
      <c r="T7770" s="51" t="s">
        <v>3780</v>
      </c>
      <c r="U7770" s="0" t="str">
        <f aca="false">"5060458890191"</f>
        <v>5060458890191</v>
      </c>
      <c r="V7770" s="51" t="s">
        <v>2142</v>
      </c>
      <c r="W7770" s="51" t="s">
        <v>4249</v>
      </c>
      <c r="X7770" s="51" t="s">
        <v>2359</v>
      </c>
    </row>
    <row r="7771" customFormat="false" ht="14.25" hidden="true" customHeight="false" outlineLevel="0" collapsed="false">
      <c r="A7771" s="49" t="s">
        <v>2349</v>
      </c>
      <c r="B7771" s="49" t="s">
        <v>2350</v>
      </c>
      <c r="C7771" s="49" t="s">
        <v>12701</v>
      </c>
      <c r="D7771" s="49" t="s">
        <v>2352</v>
      </c>
      <c r="E7771" s="49" t="str">
        <f aca="false">"5060458890191"</f>
        <v>5060458890191</v>
      </c>
      <c r="F7771" s="49" t="s">
        <v>3656</v>
      </c>
      <c r="G7771" s="49" t="n">
        <v>0</v>
      </c>
      <c r="H7771" s="0" t="n">
        <v>0</v>
      </c>
      <c r="M7771" s="51" t="s">
        <v>3796</v>
      </c>
      <c r="N7771" s="49" t="n">
        <v>0</v>
      </c>
      <c r="O7771" s="53" t="n">
        <v>46020.3729050926</v>
      </c>
      <c r="P7771" s="53" t="n">
        <v>46037.0654282407</v>
      </c>
      <c r="Q7771" s="53" t="n">
        <v>46020.3729050926</v>
      </c>
      <c r="R7771" s="0" t="n">
        <v>0</v>
      </c>
      <c r="S7771" s="51" t="s">
        <v>3780</v>
      </c>
      <c r="T7771" s="51" t="s">
        <v>3780</v>
      </c>
      <c r="U7771" s="0" t="str">
        <f aca="false">"5060458890191"</f>
        <v>5060458890191</v>
      </c>
      <c r="V7771" s="51" t="s">
        <v>2142</v>
      </c>
      <c r="W7771" s="51" t="s">
        <v>11234</v>
      </c>
      <c r="X7771" s="51" t="s">
        <v>2359</v>
      </c>
    </row>
    <row r="7772" customFormat="false" ht="14.25" hidden="true" customHeight="false" outlineLevel="0" collapsed="false">
      <c r="A7772" s="49" t="s">
        <v>2349</v>
      </c>
      <c r="B7772" s="49" t="s">
        <v>2350</v>
      </c>
      <c r="C7772" s="49" t="s">
        <v>12702</v>
      </c>
      <c r="D7772" s="49" t="s">
        <v>2352</v>
      </c>
      <c r="E7772" s="49" t="str">
        <f aca="false">"5060458890191"</f>
        <v>5060458890191</v>
      </c>
      <c r="F7772" s="49" t="s">
        <v>3656</v>
      </c>
      <c r="G7772" s="49" t="n">
        <v>0</v>
      </c>
      <c r="H7772" s="0" t="n">
        <v>0</v>
      </c>
      <c r="M7772" s="51" t="s">
        <v>3796</v>
      </c>
      <c r="N7772" s="49" t="n">
        <v>0</v>
      </c>
      <c r="O7772" s="53" t="n">
        <v>46020.3735416667</v>
      </c>
      <c r="P7772" s="53" t="n">
        <v>46039.5353009259</v>
      </c>
      <c r="Q7772" s="53" t="n">
        <v>46020.3735416667</v>
      </c>
      <c r="R7772" s="0" t="n">
        <v>0</v>
      </c>
      <c r="S7772" s="51" t="s">
        <v>3780</v>
      </c>
      <c r="T7772" s="51" t="s">
        <v>3780</v>
      </c>
      <c r="U7772" s="0" t="str">
        <f aca="false">"5060458890191"</f>
        <v>5060458890191</v>
      </c>
      <c r="V7772" s="51" t="s">
        <v>2142</v>
      </c>
      <c r="W7772" s="51" t="s">
        <v>12703</v>
      </c>
      <c r="X7772" s="51" t="s">
        <v>2359</v>
      </c>
    </row>
    <row r="7773" customFormat="false" ht="14.25" hidden="true" customHeight="false" outlineLevel="0" collapsed="false">
      <c r="A7773" s="49" t="s">
        <v>2349</v>
      </c>
      <c r="B7773" s="49" t="s">
        <v>2350</v>
      </c>
      <c r="C7773" s="49" t="s">
        <v>12704</v>
      </c>
      <c r="D7773" s="49" t="s">
        <v>2352</v>
      </c>
      <c r="E7773" s="49" t="str">
        <f aca="false">"5060458890191"</f>
        <v>5060458890191</v>
      </c>
      <c r="F7773" s="49" t="s">
        <v>3656</v>
      </c>
      <c r="G7773" s="49" t="n">
        <v>0</v>
      </c>
      <c r="H7773" s="0" t="n">
        <v>0</v>
      </c>
      <c r="M7773" s="51" t="s">
        <v>3796</v>
      </c>
      <c r="N7773" s="49" t="n">
        <v>0</v>
      </c>
      <c r="O7773" s="53" t="n">
        <v>46020.3743634259</v>
      </c>
      <c r="P7773" s="53" t="n">
        <v>46037.0598958333</v>
      </c>
      <c r="Q7773" s="53" t="n">
        <v>46020.3743634259</v>
      </c>
      <c r="R7773" s="0" t="n">
        <v>0</v>
      </c>
      <c r="S7773" s="51" t="s">
        <v>3780</v>
      </c>
      <c r="T7773" s="51" t="s">
        <v>3780</v>
      </c>
      <c r="U7773" s="0" t="str">
        <f aca="false">"5060458890191"</f>
        <v>5060458890191</v>
      </c>
      <c r="V7773" s="51" t="s">
        <v>2142</v>
      </c>
      <c r="W7773" s="51" t="s">
        <v>11664</v>
      </c>
      <c r="X7773" s="51" t="s">
        <v>2359</v>
      </c>
    </row>
    <row r="7774" customFormat="false" ht="14.25" hidden="true" customHeight="false" outlineLevel="0" collapsed="false">
      <c r="A7774" s="49" t="s">
        <v>2349</v>
      </c>
      <c r="B7774" s="49" t="s">
        <v>2350</v>
      </c>
      <c r="C7774" s="49" t="s">
        <v>12705</v>
      </c>
      <c r="D7774" s="49" t="s">
        <v>2352</v>
      </c>
      <c r="E7774" s="49" t="str">
        <f aca="false">"5060458890191"</f>
        <v>5060458890191</v>
      </c>
      <c r="F7774" s="49" t="s">
        <v>3656</v>
      </c>
      <c r="G7774" s="49" t="n">
        <v>0</v>
      </c>
      <c r="H7774" s="0" t="n">
        <v>0</v>
      </c>
      <c r="M7774" s="51" t="s">
        <v>3796</v>
      </c>
      <c r="N7774" s="49" t="n">
        <v>0</v>
      </c>
      <c r="O7774" s="53" t="n">
        <v>46020.3751967593</v>
      </c>
      <c r="P7774" s="53" t="n">
        <v>46037.0678703704</v>
      </c>
      <c r="Q7774" s="53" t="n">
        <v>46020.3751967593</v>
      </c>
      <c r="R7774" s="0" t="n">
        <v>0</v>
      </c>
      <c r="S7774" s="51" t="s">
        <v>3780</v>
      </c>
      <c r="T7774" s="51" t="s">
        <v>3780</v>
      </c>
      <c r="U7774" s="0" t="str">
        <f aca="false">"5060458890191"</f>
        <v>5060458890191</v>
      </c>
      <c r="V7774" s="51" t="s">
        <v>2142</v>
      </c>
      <c r="W7774" s="51" t="s">
        <v>12415</v>
      </c>
      <c r="X7774" s="51" t="s">
        <v>2359</v>
      </c>
    </row>
    <row r="7775" customFormat="false" ht="14.25" hidden="true" customHeight="false" outlineLevel="0" collapsed="false">
      <c r="A7775" s="49" t="s">
        <v>2349</v>
      </c>
      <c r="B7775" s="49" t="s">
        <v>2350</v>
      </c>
      <c r="C7775" s="49" t="s">
        <v>12706</v>
      </c>
      <c r="D7775" s="49" t="s">
        <v>2352</v>
      </c>
      <c r="E7775" s="49" t="str">
        <f aca="false">"5060458890191"</f>
        <v>5060458890191</v>
      </c>
      <c r="F7775" s="49" t="s">
        <v>3656</v>
      </c>
      <c r="G7775" s="49" t="n">
        <v>0</v>
      </c>
      <c r="H7775" s="0" t="n">
        <v>0</v>
      </c>
      <c r="M7775" s="51" t="s">
        <v>3796</v>
      </c>
      <c r="N7775" s="49" t="n">
        <v>0</v>
      </c>
      <c r="O7775" s="53" t="n">
        <v>46020.3756481482</v>
      </c>
      <c r="P7775" s="53" t="n">
        <v>46037.0609953704</v>
      </c>
      <c r="Q7775" s="53" t="n">
        <v>46020.3756481482</v>
      </c>
      <c r="R7775" s="0" t="n">
        <v>0</v>
      </c>
      <c r="S7775" s="51" t="s">
        <v>3780</v>
      </c>
      <c r="T7775" s="51" t="s">
        <v>3780</v>
      </c>
      <c r="U7775" s="0" t="str">
        <f aca="false">"5060458890191"</f>
        <v>5060458890191</v>
      </c>
      <c r="V7775" s="51" t="s">
        <v>2142</v>
      </c>
      <c r="W7775" s="51" t="s">
        <v>4260</v>
      </c>
      <c r="X7775" s="51" t="s">
        <v>2359</v>
      </c>
    </row>
    <row r="7776" customFormat="false" ht="14.25" hidden="true" customHeight="false" outlineLevel="0" collapsed="false">
      <c r="A7776" s="49" t="s">
        <v>2349</v>
      </c>
      <c r="B7776" s="49" t="s">
        <v>2350</v>
      </c>
      <c r="C7776" s="49" t="s">
        <v>12707</v>
      </c>
      <c r="D7776" s="49" t="s">
        <v>2352</v>
      </c>
      <c r="E7776" s="49" t="str">
        <f aca="false">"5060458890191"</f>
        <v>5060458890191</v>
      </c>
      <c r="F7776" s="49" t="s">
        <v>3656</v>
      </c>
      <c r="G7776" s="49" t="n">
        <v>0</v>
      </c>
      <c r="H7776" s="0" t="n">
        <v>0</v>
      </c>
      <c r="M7776" s="51" t="s">
        <v>3796</v>
      </c>
      <c r="N7776" s="49" t="n">
        <v>0</v>
      </c>
      <c r="O7776" s="53" t="n">
        <v>46020.3760648148</v>
      </c>
      <c r="P7776" s="53" t="n">
        <v>46037.0649884259</v>
      </c>
      <c r="Q7776" s="53" t="n">
        <v>46020.3760648148</v>
      </c>
      <c r="R7776" s="0" t="n">
        <v>0</v>
      </c>
      <c r="S7776" s="51" t="s">
        <v>3780</v>
      </c>
      <c r="T7776" s="51" t="s">
        <v>3780</v>
      </c>
      <c r="U7776" s="0" t="str">
        <f aca="false">"5060458890191"</f>
        <v>5060458890191</v>
      </c>
      <c r="V7776" s="51" t="s">
        <v>2142</v>
      </c>
      <c r="W7776" s="51" t="s">
        <v>4247</v>
      </c>
      <c r="X7776" s="51" t="s">
        <v>2359</v>
      </c>
    </row>
    <row r="7777" customFormat="false" ht="14.25" hidden="true" customHeight="false" outlineLevel="0" collapsed="false">
      <c r="A7777" s="49" t="s">
        <v>2349</v>
      </c>
      <c r="B7777" s="49" t="s">
        <v>2350</v>
      </c>
      <c r="C7777" s="49" t="s">
        <v>12708</v>
      </c>
      <c r="D7777" s="49" t="s">
        <v>2352</v>
      </c>
      <c r="E7777" s="49" t="str">
        <f aca="false">"5060458890191"</f>
        <v>5060458890191</v>
      </c>
      <c r="F7777" s="49" t="s">
        <v>3656</v>
      </c>
      <c r="G7777" s="49" t="n">
        <v>0</v>
      </c>
      <c r="H7777" s="0" t="n">
        <v>0</v>
      </c>
      <c r="M7777" s="51" t="s">
        <v>3796</v>
      </c>
      <c r="N7777" s="49" t="n">
        <v>0</v>
      </c>
      <c r="O7777" s="53" t="n">
        <v>46020.3765625</v>
      </c>
      <c r="P7777" s="53" t="n">
        <v>46037.0628703704</v>
      </c>
      <c r="Q7777" s="53" t="n">
        <v>46020.3765625</v>
      </c>
      <c r="R7777" s="0" t="n">
        <v>0</v>
      </c>
      <c r="S7777" s="51" t="s">
        <v>3780</v>
      </c>
      <c r="T7777" s="51" t="s">
        <v>3780</v>
      </c>
      <c r="U7777" s="0" t="str">
        <f aca="false">"5060458890191"</f>
        <v>5060458890191</v>
      </c>
      <c r="V7777" s="51" t="s">
        <v>2142</v>
      </c>
      <c r="W7777" s="51" t="s">
        <v>10082</v>
      </c>
      <c r="X7777" s="51" t="s">
        <v>2359</v>
      </c>
    </row>
    <row r="7778" customFormat="false" ht="14.25" hidden="true" customHeight="false" outlineLevel="0" collapsed="false">
      <c r="A7778" s="49" t="s">
        <v>2349</v>
      </c>
      <c r="B7778" s="49" t="s">
        <v>2350</v>
      </c>
      <c r="C7778" s="49" t="s">
        <v>12709</v>
      </c>
      <c r="D7778" s="49" t="s">
        <v>2352</v>
      </c>
      <c r="E7778" s="49" t="str">
        <f aca="false">"5060458890191"</f>
        <v>5060458890191</v>
      </c>
      <c r="F7778" s="49" t="s">
        <v>3656</v>
      </c>
      <c r="G7778" s="49" t="n">
        <v>0</v>
      </c>
      <c r="H7778" s="0" t="n">
        <v>0</v>
      </c>
      <c r="M7778" s="51" t="s">
        <v>3796</v>
      </c>
      <c r="N7778" s="49" t="n">
        <v>0</v>
      </c>
      <c r="O7778" s="53" t="n">
        <v>46020.3769212963</v>
      </c>
      <c r="P7778" s="53" t="n">
        <v>46037.0616898148</v>
      </c>
      <c r="Q7778" s="53" t="n">
        <v>46020.3769212963</v>
      </c>
      <c r="R7778" s="0" t="n">
        <v>0</v>
      </c>
      <c r="S7778" s="51" t="s">
        <v>3780</v>
      </c>
      <c r="T7778" s="51" t="s">
        <v>3780</v>
      </c>
      <c r="U7778" s="0" t="str">
        <f aca="false">"5060458890191"</f>
        <v>5060458890191</v>
      </c>
      <c r="V7778" s="51" t="s">
        <v>2142</v>
      </c>
      <c r="W7778" s="51" t="s">
        <v>9904</v>
      </c>
      <c r="X7778" s="51" t="s">
        <v>2359</v>
      </c>
    </row>
    <row r="7779" customFormat="false" ht="14.25" hidden="true" customHeight="false" outlineLevel="0" collapsed="false">
      <c r="A7779" s="49" t="s">
        <v>2349</v>
      </c>
      <c r="B7779" s="49" t="s">
        <v>2350</v>
      </c>
      <c r="C7779" s="49" t="s">
        <v>12710</v>
      </c>
      <c r="D7779" s="49" t="s">
        <v>2352</v>
      </c>
      <c r="E7779" s="49" t="str">
        <f aca="false">"5060458890191"</f>
        <v>5060458890191</v>
      </c>
      <c r="F7779" s="49" t="s">
        <v>3656</v>
      </c>
      <c r="G7779" s="49" t="n">
        <v>0</v>
      </c>
      <c r="H7779" s="0" t="n">
        <v>0</v>
      </c>
      <c r="M7779" s="51" t="s">
        <v>3796</v>
      </c>
      <c r="N7779" s="49" t="n">
        <v>0</v>
      </c>
      <c r="O7779" s="53" t="n">
        <v>46020.3775</v>
      </c>
      <c r="P7779" s="53" t="n">
        <v>46037.0634837963</v>
      </c>
      <c r="Q7779" s="53" t="n">
        <v>46020.3775</v>
      </c>
      <c r="R7779" s="0" t="n">
        <v>0</v>
      </c>
      <c r="S7779" s="51" t="s">
        <v>3780</v>
      </c>
      <c r="T7779" s="51" t="s">
        <v>3780</v>
      </c>
      <c r="U7779" s="0" t="str">
        <f aca="false">"5060458890191"</f>
        <v>5060458890191</v>
      </c>
      <c r="V7779" s="51" t="s">
        <v>2142</v>
      </c>
      <c r="W7779" s="51" t="s">
        <v>11660</v>
      </c>
      <c r="X7779" s="51" t="s">
        <v>2359</v>
      </c>
    </row>
    <row r="7780" customFormat="false" ht="14.25" hidden="true" customHeight="false" outlineLevel="0" collapsed="false">
      <c r="A7780" s="49" t="s">
        <v>2349</v>
      </c>
      <c r="B7780" s="49" t="s">
        <v>2350</v>
      </c>
      <c r="C7780" s="49" t="s">
        <v>12711</v>
      </c>
      <c r="D7780" s="49" t="s">
        <v>2352</v>
      </c>
      <c r="E7780" s="49" t="str">
        <f aca="false">"5060458890191"</f>
        <v>5060458890191</v>
      </c>
      <c r="F7780" s="49" t="s">
        <v>3656</v>
      </c>
      <c r="G7780" s="49" t="n">
        <v>0</v>
      </c>
      <c r="H7780" s="0" t="n">
        <v>0</v>
      </c>
      <c r="M7780" s="51" t="s">
        <v>3796</v>
      </c>
      <c r="N7780" s="49" t="n">
        <v>0</v>
      </c>
      <c r="O7780" s="53" t="n">
        <v>46020.3778819444</v>
      </c>
      <c r="P7780" s="53" t="n">
        <v>46037.0696064815</v>
      </c>
      <c r="Q7780" s="53" t="n">
        <v>46020.3778819444</v>
      </c>
      <c r="R7780" s="0" t="n">
        <v>0</v>
      </c>
      <c r="S7780" s="51" t="s">
        <v>3780</v>
      </c>
      <c r="T7780" s="51" t="s">
        <v>3780</v>
      </c>
      <c r="U7780" s="0" t="str">
        <f aca="false">"5060458890191"</f>
        <v>5060458890191</v>
      </c>
      <c r="V7780" s="51" t="s">
        <v>2142</v>
      </c>
      <c r="W7780" s="51" t="s">
        <v>4437</v>
      </c>
      <c r="X7780" s="51" t="s">
        <v>2359</v>
      </c>
    </row>
    <row r="7781" customFormat="false" ht="14.25" hidden="true" customHeight="false" outlineLevel="0" collapsed="false">
      <c r="A7781" s="49" t="s">
        <v>2349</v>
      </c>
      <c r="B7781" s="49" t="s">
        <v>2350</v>
      </c>
      <c r="C7781" s="49" t="s">
        <v>12712</v>
      </c>
      <c r="D7781" s="49" t="s">
        <v>2352</v>
      </c>
      <c r="E7781" s="49" t="str">
        <f aca="false">"5060458890191"</f>
        <v>5060458890191</v>
      </c>
      <c r="F7781" s="49" t="s">
        <v>3656</v>
      </c>
      <c r="G7781" s="49" t="n">
        <v>0</v>
      </c>
      <c r="H7781" s="0" t="n">
        <v>0</v>
      </c>
      <c r="M7781" s="51" t="s">
        <v>3796</v>
      </c>
      <c r="N7781" s="49" t="n">
        <v>0</v>
      </c>
      <c r="O7781" s="53" t="n">
        <v>46020.3784259259</v>
      </c>
      <c r="P7781" s="53" t="n">
        <v>46037.0674884259</v>
      </c>
      <c r="Q7781" s="53" t="n">
        <v>46020.3784259259</v>
      </c>
      <c r="R7781" s="0" t="n">
        <v>0</v>
      </c>
      <c r="S7781" s="51" t="s">
        <v>3780</v>
      </c>
      <c r="T7781" s="51" t="s">
        <v>3780</v>
      </c>
      <c r="U7781" s="0" t="str">
        <f aca="false">"5060458890191"</f>
        <v>5060458890191</v>
      </c>
      <c r="V7781" s="51" t="s">
        <v>2142</v>
      </c>
      <c r="W7781" s="51" t="s">
        <v>4462</v>
      </c>
      <c r="X7781" s="51" t="s">
        <v>2359</v>
      </c>
    </row>
    <row r="7782" customFormat="false" ht="14.25" hidden="true" customHeight="false" outlineLevel="0" collapsed="false">
      <c r="A7782" s="49" t="s">
        <v>2349</v>
      </c>
      <c r="B7782" s="49" t="s">
        <v>2350</v>
      </c>
      <c r="C7782" s="49" t="s">
        <v>12713</v>
      </c>
      <c r="D7782" s="49" t="s">
        <v>2352</v>
      </c>
      <c r="E7782" s="49" t="str">
        <f aca="false">"5060458890191"</f>
        <v>5060458890191</v>
      </c>
      <c r="F7782" s="49" t="s">
        <v>3656</v>
      </c>
      <c r="G7782" s="49" t="n">
        <v>0</v>
      </c>
      <c r="H7782" s="0" t="n">
        <v>0</v>
      </c>
      <c r="M7782" s="51" t="s">
        <v>3796</v>
      </c>
      <c r="N7782" s="49" t="n">
        <v>0</v>
      </c>
      <c r="O7782" s="53" t="n">
        <v>46020.3788773148</v>
      </c>
      <c r="P7782" s="53" t="n">
        <v>46037.0685300926</v>
      </c>
      <c r="Q7782" s="53" t="n">
        <v>46020.3788773148</v>
      </c>
      <c r="R7782" s="0" t="n">
        <v>0</v>
      </c>
      <c r="S7782" s="51" t="s">
        <v>3780</v>
      </c>
      <c r="T7782" s="51" t="s">
        <v>3780</v>
      </c>
      <c r="U7782" s="0" t="str">
        <f aca="false">"5060458890191"</f>
        <v>5060458890191</v>
      </c>
      <c r="V7782" s="51" t="s">
        <v>2142</v>
      </c>
      <c r="W7782" s="51" t="s">
        <v>10100</v>
      </c>
      <c r="X7782" s="51" t="s">
        <v>2359</v>
      </c>
    </row>
    <row r="7783" customFormat="false" ht="14.25" hidden="true" customHeight="false" outlineLevel="0" collapsed="false">
      <c r="A7783" s="49" t="s">
        <v>2349</v>
      </c>
      <c r="B7783" s="49" t="s">
        <v>2350</v>
      </c>
      <c r="C7783" s="49" t="s">
        <v>12714</v>
      </c>
      <c r="D7783" s="49" t="s">
        <v>2352</v>
      </c>
      <c r="E7783" s="49" t="str">
        <f aca="false">"5060458890191"</f>
        <v>5060458890191</v>
      </c>
      <c r="F7783" s="49" t="s">
        <v>3656</v>
      </c>
      <c r="G7783" s="49" t="n">
        <v>0</v>
      </c>
      <c r="H7783" s="0" t="n">
        <v>0</v>
      </c>
      <c r="M7783" s="51" t="s">
        <v>3796</v>
      </c>
      <c r="N7783" s="49" t="n">
        <v>0</v>
      </c>
      <c r="O7783" s="53" t="n">
        <v>46020.3797106482</v>
      </c>
      <c r="P7783" s="53" t="n">
        <v>46030.5278356482</v>
      </c>
      <c r="Q7783" s="53" t="n">
        <v>46020.3797106482</v>
      </c>
      <c r="R7783" s="0" t="n">
        <v>0</v>
      </c>
      <c r="S7783" s="51" t="s">
        <v>3780</v>
      </c>
      <c r="T7783" s="51" t="s">
        <v>3780</v>
      </c>
      <c r="U7783" s="0" t="str">
        <f aca="false">"5060458890191"</f>
        <v>5060458890191</v>
      </c>
      <c r="V7783" s="51" t="s">
        <v>2142</v>
      </c>
      <c r="W7783" s="51" t="s">
        <v>4466</v>
      </c>
      <c r="X7783" s="51" t="s">
        <v>2359</v>
      </c>
    </row>
    <row r="7784" customFormat="false" ht="14.25" hidden="true" customHeight="false" outlineLevel="0" collapsed="false">
      <c r="A7784" s="49" t="s">
        <v>2349</v>
      </c>
      <c r="B7784" s="49" t="s">
        <v>2350</v>
      </c>
      <c r="C7784" s="49" t="s">
        <v>12715</v>
      </c>
      <c r="D7784" s="49" t="s">
        <v>2352</v>
      </c>
      <c r="E7784" s="49" t="str">
        <f aca="false">"5060458890191"</f>
        <v>5060458890191</v>
      </c>
      <c r="F7784" s="49" t="s">
        <v>3656</v>
      </c>
      <c r="G7784" s="49" t="n">
        <v>0</v>
      </c>
      <c r="H7784" s="0" t="n">
        <v>0</v>
      </c>
      <c r="M7784" s="51" t="s">
        <v>3796</v>
      </c>
      <c r="N7784" s="49" t="n">
        <v>0</v>
      </c>
      <c r="O7784" s="53" t="n">
        <v>46020.3814583333</v>
      </c>
      <c r="P7784" s="53" t="n">
        <v>46037.0643634259</v>
      </c>
      <c r="Q7784" s="53" t="n">
        <v>46020.3814583333</v>
      </c>
      <c r="R7784" s="0" t="n">
        <v>0</v>
      </c>
      <c r="S7784" s="51" t="s">
        <v>3780</v>
      </c>
      <c r="T7784" s="51" t="s">
        <v>3780</v>
      </c>
      <c r="U7784" s="0" t="str">
        <f aca="false">"5060458890191"</f>
        <v>5060458890191</v>
      </c>
      <c r="V7784" s="51" t="s">
        <v>2142</v>
      </c>
      <c r="W7784" s="51" t="s">
        <v>11237</v>
      </c>
      <c r="X7784" s="51" t="s">
        <v>2359</v>
      </c>
    </row>
    <row r="7785" customFormat="false" ht="14.25" hidden="true" customHeight="false" outlineLevel="0" collapsed="false">
      <c r="A7785" s="49" t="s">
        <v>2349</v>
      </c>
      <c r="B7785" s="49" t="s">
        <v>2350</v>
      </c>
      <c r="C7785" s="49" t="s">
        <v>12716</v>
      </c>
      <c r="D7785" s="49" t="s">
        <v>2352</v>
      </c>
      <c r="E7785" s="49" t="str">
        <f aca="false">"5060458890191"</f>
        <v>5060458890191</v>
      </c>
      <c r="F7785" s="49" t="s">
        <v>3656</v>
      </c>
      <c r="G7785" s="49" t="n">
        <v>0</v>
      </c>
      <c r="H7785" s="0" t="n">
        <v>0</v>
      </c>
      <c r="M7785" s="51" t="s">
        <v>3796</v>
      </c>
      <c r="N7785" s="49" t="n">
        <v>0</v>
      </c>
      <c r="O7785" s="53" t="n">
        <v>46020.3824421296</v>
      </c>
      <c r="P7785" s="53" t="n">
        <v>46037.0668865741</v>
      </c>
      <c r="Q7785" s="53" t="n">
        <v>46020.3824421296</v>
      </c>
      <c r="R7785" s="0" t="n">
        <v>0</v>
      </c>
      <c r="S7785" s="51" t="s">
        <v>3780</v>
      </c>
      <c r="T7785" s="51" t="s">
        <v>3780</v>
      </c>
      <c r="U7785" s="0" t="str">
        <f aca="false">"5060458890191"</f>
        <v>5060458890191</v>
      </c>
      <c r="V7785" s="51" t="s">
        <v>2142</v>
      </c>
      <c r="W7785" s="51" t="s">
        <v>11399</v>
      </c>
      <c r="X7785" s="51" t="s">
        <v>2359</v>
      </c>
    </row>
    <row r="7786" customFormat="false" ht="14.25" hidden="true" customHeight="false" outlineLevel="0" collapsed="false">
      <c r="A7786" s="49" t="s">
        <v>2349</v>
      </c>
      <c r="B7786" s="49" t="s">
        <v>2350</v>
      </c>
      <c r="C7786" s="49" t="s">
        <v>12717</v>
      </c>
      <c r="D7786" s="49" t="s">
        <v>2352</v>
      </c>
      <c r="E7786" s="49" t="str">
        <f aca="false">"5060458890191"</f>
        <v>5060458890191</v>
      </c>
      <c r="F7786" s="49" t="s">
        <v>3656</v>
      </c>
      <c r="G7786" s="49" t="n">
        <v>0</v>
      </c>
      <c r="H7786" s="0" t="n">
        <v>0</v>
      </c>
      <c r="M7786" s="51" t="s">
        <v>3796</v>
      </c>
      <c r="N7786" s="49" t="n">
        <v>0</v>
      </c>
      <c r="O7786" s="53" t="n">
        <v>46020.3829050926</v>
      </c>
      <c r="P7786" s="53" t="n">
        <v>46037.0705092593</v>
      </c>
      <c r="Q7786" s="53" t="n">
        <v>46020.3829050926</v>
      </c>
      <c r="R7786" s="0" t="n">
        <v>0</v>
      </c>
      <c r="S7786" s="51" t="s">
        <v>3780</v>
      </c>
      <c r="T7786" s="51" t="s">
        <v>3780</v>
      </c>
      <c r="U7786" s="0" t="str">
        <f aca="false">"5060458890191"</f>
        <v>5060458890191</v>
      </c>
      <c r="V7786" s="51" t="s">
        <v>2142</v>
      </c>
      <c r="W7786" s="51" t="s">
        <v>4195</v>
      </c>
      <c r="X7786" s="51" t="s">
        <v>2359</v>
      </c>
    </row>
    <row r="7787" customFormat="false" ht="14.25" hidden="true" customHeight="false" outlineLevel="0" collapsed="false">
      <c r="A7787" s="49" t="s">
        <v>2349</v>
      </c>
      <c r="B7787" s="49" t="s">
        <v>2350</v>
      </c>
      <c r="C7787" s="49" t="s">
        <v>12718</v>
      </c>
      <c r="D7787" s="49" t="s">
        <v>2352</v>
      </c>
      <c r="E7787" s="49" t="str">
        <f aca="false">"12482691"</f>
        <v>12482691</v>
      </c>
      <c r="F7787" s="49" t="s">
        <v>7031</v>
      </c>
      <c r="G7787" s="49" t="n">
        <v>0</v>
      </c>
      <c r="H7787" s="0" t="n">
        <v>0</v>
      </c>
      <c r="M7787" s="51" t="s">
        <v>12719</v>
      </c>
      <c r="N7787" s="49" t="n">
        <v>0</v>
      </c>
      <c r="O7787" s="53" t="n">
        <v>45990.4065625</v>
      </c>
      <c r="P7787" s="53" t="n">
        <v>45993.7598148148</v>
      </c>
      <c r="R7787" s="0" t="n">
        <v>0</v>
      </c>
      <c r="T7787" s="51" t="s">
        <v>3780</v>
      </c>
      <c r="U7787" s="0" t="str">
        <f aca="false">"12482691"</f>
        <v>12482691</v>
      </c>
      <c r="V7787" s="51" t="s">
        <v>2365</v>
      </c>
      <c r="W7787" s="51" t="s">
        <v>12115</v>
      </c>
      <c r="X7787" s="51" t="s">
        <v>2359</v>
      </c>
    </row>
    <row r="7788" customFormat="false" ht="14.25" hidden="true" customHeight="false" outlineLevel="0" collapsed="false">
      <c r="A7788" s="49" t="s">
        <v>2349</v>
      </c>
      <c r="B7788" s="49" t="s">
        <v>2350</v>
      </c>
      <c r="C7788" s="49" t="s">
        <v>12720</v>
      </c>
      <c r="D7788" s="49" t="s">
        <v>2352</v>
      </c>
      <c r="E7788" s="49" t="str">
        <f aca="false">"12605014"</f>
        <v>12605014</v>
      </c>
      <c r="F7788" s="49" t="s">
        <v>12721</v>
      </c>
      <c r="G7788" s="49" t="n">
        <v>0</v>
      </c>
      <c r="H7788" s="0" t="n">
        <v>0</v>
      </c>
      <c r="M7788" s="51" t="s">
        <v>12719</v>
      </c>
      <c r="N7788" s="49" t="n">
        <v>0</v>
      </c>
      <c r="O7788" s="53" t="n">
        <v>45988.6444560185</v>
      </c>
      <c r="P7788" s="53" t="n">
        <v>46019.4993865741</v>
      </c>
      <c r="Q7788" s="53" t="n">
        <v>45988.6444560185</v>
      </c>
      <c r="R7788" s="0" t="n">
        <v>0</v>
      </c>
      <c r="S7788" s="51" t="s">
        <v>3780</v>
      </c>
      <c r="T7788" s="51" t="s">
        <v>3780</v>
      </c>
      <c r="U7788" s="0" t="str">
        <f aca="false">"12605014"</f>
        <v>12605014</v>
      </c>
      <c r="V7788" s="51" t="s">
        <v>2365</v>
      </c>
      <c r="W7788" s="51" t="s">
        <v>9608</v>
      </c>
      <c r="X7788" s="51" t="s">
        <v>2359</v>
      </c>
    </row>
    <row r="7789" customFormat="false" ht="14.25" hidden="true" customHeight="false" outlineLevel="0" collapsed="false">
      <c r="A7789" s="49" t="s">
        <v>2349</v>
      </c>
      <c r="B7789" s="49" t="s">
        <v>2350</v>
      </c>
      <c r="C7789" s="49" t="s">
        <v>12722</v>
      </c>
      <c r="D7789" s="49" t="s">
        <v>2352</v>
      </c>
      <c r="E7789" s="49" t="str">
        <f aca="false">"12610361"</f>
        <v>12610361</v>
      </c>
      <c r="F7789" s="49" t="s">
        <v>10287</v>
      </c>
      <c r="G7789" s="49" t="n">
        <v>0</v>
      </c>
      <c r="H7789" s="0" t="n">
        <v>0</v>
      </c>
      <c r="M7789" s="51" t="s">
        <v>12719</v>
      </c>
      <c r="N7789" s="49" t="n">
        <v>0</v>
      </c>
      <c r="O7789" s="53" t="n">
        <v>45988.6399768519</v>
      </c>
      <c r="P7789" s="53" t="n">
        <v>45992.6806018519</v>
      </c>
      <c r="Q7789" s="53" t="n">
        <v>45988.6399768519</v>
      </c>
      <c r="R7789" s="0" t="n">
        <v>0</v>
      </c>
      <c r="S7789" s="51" t="s">
        <v>3780</v>
      </c>
      <c r="T7789" s="51" t="s">
        <v>3780</v>
      </c>
      <c r="U7789" s="0" t="str">
        <f aca="false">"12610361"</f>
        <v>12610361</v>
      </c>
      <c r="V7789" s="51" t="s">
        <v>2365</v>
      </c>
      <c r="W7789" s="51" t="s">
        <v>10151</v>
      </c>
      <c r="X7789" s="51" t="s">
        <v>2359</v>
      </c>
    </row>
    <row r="7790" customFormat="false" ht="14.25" hidden="true" customHeight="false" outlineLevel="0" collapsed="false">
      <c r="A7790" s="49" t="s">
        <v>2349</v>
      </c>
      <c r="B7790" s="49" t="s">
        <v>2350</v>
      </c>
      <c r="C7790" s="49" t="s">
        <v>12723</v>
      </c>
      <c r="D7790" s="49" t="s">
        <v>2352</v>
      </c>
      <c r="E7790" s="49" t="str">
        <f aca="false">"12610361"</f>
        <v>12610361</v>
      </c>
      <c r="F7790" s="49" t="s">
        <v>10287</v>
      </c>
      <c r="G7790" s="49" t="n">
        <v>0</v>
      </c>
      <c r="H7790" s="0" t="n">
        <v>0</v>
      </c>
      <c r="M7790" s="51" t="s">
        <v>12719</v>
      </c>
      <c r="N7790" s="49" t="n">
        <v>0</v>
      </c>
      <c r="O7790" s="53" t="n">
        <v>45988.6398263889</v>
      </c>
      <c r="P7790" s="53" t="n">
        <v>45992.6807986111</v>
      </c>
      <c r="Q7790" s="53" t="n">
        <v>45988.6398263889</v>
      </c>
      <c r="R7790" s="0" t="n">
        <v>0</v>
      </c>
      <c r="S7790" s="51" t="s">
        <v>3780</v>
      </c>
      <c r="T7790" s="51" t="s">
        <v>3780</v>
      </c>
      <c r="U7790" s="0" t="str">
        <f aca="false">"12610361"</f>
        <v>12610361</v>
      </c>
      <c r="V7790" s="51" t="s">
        <v>2365</v>
      </c>
      <c r="W7790" s="51" t="s">
        <v>12275</v>
      </c>
      <c r="X7790" s="51" t="s">
        <v>2359</v>
      </c>
    </row>
    <row r="7791" customFormat="false" ht="14.25" hidden="true" customHeight="false" outlineLevel="0" collapsed="false">
      <c r="A7791" s="49" t="s">
        <v>2349</v>
      </c>
      <c r="B7791" s="49" t="s">
        <v>2350</v>
      </c>
      <c r="C7791" s="49" t="s">
        <v>12724</v>
      </c>
      <c r="D7791" s="49" t="s">
        <v>2352</v>
      </c>
      <c r="E7791" s="49" t="str">
        <f aca="false">"12610361"</f>
        <v>12610361</v>
      </c>
      <c r="F7791" s="49" t="s">
        <v>10287</v>
      </c>
      <c r="G7791" s="49" t="n">
        <v>0</v>
      </c>
      <c r="H7791" s="0" t="n">
        <v>0</v>
      </c>
      <c r="M7791" s="51" t="s">
        <v>12719</v>
      </c>
      <c r="N7791" s="49" t="n">
        <v>0</v>
      </c>
      <c r="O7791" s="53" t="n">
        <v>45988.6396643519</v>
      </c>
      <c r="P7791" s="53" t="n">
        <v>45992.6800694445</v>
      </c>
      <c r="Q7791" s="53" t="n">
        <v>45988.6396643519</v>
      </c>
      <c r="R7791" s="0" t="n">
        <v>0</v>
      </c>
      <c r="S7791" s="51" t="s">
        <v>3780</v>
      </c>
      <c r="T7791" s="51" t="s">
        <v>3780</v>
      </c>
      <c r="U7791" s="0" t="str">
        <f aca="false">"12610361"</f>
        <v>12610361</v>
      </c>
      <c r="V7791" s="51" t="s">
        <v>2365</v>
      </c>
      <c r="W7791" s="51" t="s">
        <v>10369</v>
      </c>
      <c r="X7791" s="51" t="s">
        <v>2359</v>
      </c>
    </row>
    <row r="7792" customFormat="false" ht="14.25" hidden="true" customHeight="false" outlineLevel="0" collapsed="false">
      <c r="A7792" s="49" t="s">
        <v>2349</v>
      </c>
      <c r="B7792" s="49" t="s">
        <v>2350</v>
      </c>
      <c r="C7792" s="49" t="s">
        <v>12725</v>
      </c>
      <c r="D7792" s="49" t="s">
        <v>2352</v>
      </c>
      <c r="E7792" s="49" t="str">
        <f aca="false">"12610361"</f>
        <v>12610361</v>
      </c>
      <c r="F7792" s="49" t="s">
        <v>10287</v>
      </c>
      <c r="G7792" s="49" t="n">
        <v>0</v>
      </c>
      <c r="H7792" s="0" t="n">
        <v>0</v>
      </c>
      <c r="M7792" s="51" t="s">
        <v>12719</v>
      </c>
      <c r="N7792" s="49" t="n">
        <v>0</v>
      </c>
      <c r="O7792" s="53" t="n">
        <v>45988.6394791667</v>
      </c>
      <c r="P7792" s="53" t="n">
        <v>45992.6795833333</v>
      </c>
      <c r="Q7792" s="53" t="n">
        <v>45988.6394791667</v>
      </c>
      <c r="R7792" s="0" t="n">
        <v>0</v>
      </c>
      <c r="S7792" s="51" t="s">
        <v>3780</v>
      </c>
      <c r="T7792" s="51" t="s">
        <v>3780</v>
      </c>
      <c r="U7792" s="0" t="str">
        <f aca="false">"12610361"</f>
        <v>12610361</v>
      </c>
      <c r="V7792" s="51" t="s">
        <v>2365</v>
      </c>
      <c r="W7792" s="51" t="s">
        <v>4907</v>
      </c>
      <c r="X7792" s="51" t="s">
        <v>2359</v>
      </c>
    </row>
    <row r="7793" customFormat="false" ht="14.25" hidden="true" customHeight="false" outlineLevel="0" collapsed="false">
      <c r="A7793" s="49" t="s">
        <v>2349</v>
      </c>
      <c r="B7793" s="49" t="s">
        <v>2350</v>
      </c>
      <c r="C7793" s="49" t="s">
        <v>12726</v>
      </c>
      <c r="D7793" s="49" t="s">
        <v>2352</v>
      </c>
      <c r="E7793" s="49" t="str">
        <f aca="false">"12610361"</f>
        <v>12610361</v>
      </c>
      <c r="F7793" s="49" t="s">
        <v>10287</v>
      </c>
      <c r="G7793" s="49" t="n">
        <v>0</v>
      </c>
      <c r="H7793" s="0" t="n">
        <v>0</v>
      </c>
      <c r="M7793" s="51" t="s">
        <v>12719</v>
      </c>
      <c r="N7793" s="49" t="n">
        <v>0</v>
      </c>
      <c r="O7793" s="53" t="n">
        <v>45988.6381481482</v>
      </c>
      <c r="P7793" s="53" t="n">
        <v>45992.6779398148</v>
      </c>
      <c r="Q7793" s="53" t="n">
        <v>45988.6381481482</v>
      </c>
      <c r="R7793" s="0" t="n">
        <v>0</v>
      </c>
      <c r="S7793" s="51" t="s">
        <v>3780</v>
      </c>
      <c r="T7793" s="51" t="s">
        <v>3780</v>
      </c>
      <c r="U7793" s="0" t="str">
        <f aca="false">"12610361"</f>
        <v>12610361</v>
      </c>
      <c r="V7793" s="51" t="s">
        <v>2365</v>
      </c>
      <c r="W7793" s="51" t="s">
        <v>11472</v>
      </c>
      <c r="X7793" s="51" t="s">
        <v>2359</v>
      </c>
    </row>
    <row r="7794" customFormat="false" ht="14.25" hidden="true" customHeight="false" outlineLevel="0" collapsed="false">
      <c r="A7794" s="49" t="s">
        <v>2349</v>
      </c>
      <c r="B7794" s="49" t="s">
        <v>2350</v>
      </c>
      <c r="C7794" s="49" t="s">
        <v>12727</v>
      </c>
      <c r="D7794" s="49" t="s">
        <v>2352</v>
      </c>
      <c r="E7794" s="49" t="str">
        <f aca="false">"12496983"</f>
        <v>12496983</v>
      </c>
      <c r="F7794" s="49" t="s">
        <v>4880</v>
      </c>
      <c r="G7794" s="49" t="n">
        <v>0</v>
      </c>
      <c r="H7794" s="0" t="n">
        <v>0</v>
      </c>
      <c r="M7794" s="51" t="s">
        <v>12719</v>
      </c>
      <c r="N7794" s="49" t="n">
        <v>0</v>
      </c>
      <c r="O7794" s="53" t="n">
        <v>45988.6378356482</v>
      </c>
      <c r="P7794" s="53" t="n">
        <v>45993.7695023148</v>
      </c>
      <c r="Q7794" s="53" t="n">
        <v>45988.6378356482</v>
      </c>
      <c r="R7794" s="0" t="n">
        <v>0</v>
      </c>
      <c r="S7794" s="51" t="s">
        <v>3780</v>
      </c>
      <c r="T7794" s="51" t="s">
        <v>3780</v>
      </c>
      <c r="U7794" s="0" t="str">
        <f aca="false">"12496983"</f>
        <v>12496983</v>
      </c>
      <c r="V7794" s="51" t="s">
        <v>2365</v>
      </c>
      <c r="W7794" s="51" t="s">
        <v>12728</v>
      </c>
      <c r="X7794" s="51" t="s">
        <v>2359</v>
      </c>
    </row>
    <row r="7795" customFormat="false" ht="14.25" hidden="true" customHeight="false" outlineLevel="0" collapsed="false">
      <c r="A7795" s="49" t="s">
        <v>2349</v>
      </c>
      <c r="B7795" s="49" t="s">
        <v>2350</v>
      </c>
      <c r="C7795" s="49" t="s">
        <v>12729</v>
      </c>
      <c r="D7795" s="49" t="s">
        <v>2352</v>
      </c>
      <c r="E7795" s="49" t="str">
        <f aca="false">"12610361"</f>
        <v>12610361</v>
      </c>
      <c r="F7795" s="49" t="s">
        <v>10287</v>
      </c>
      <c r="G7795" s="49" t="n">
        <v>0</v>
      </c>
      <c r="H7795" s="0" t="n">
        <v>0</v>
      </c>
      <c r="M7795" s="51" t="s">
        <v>12719</v>
      </c>
      <c r="N7795" s="49" t="n">
        <v>0</v>
      </c>
      <c r="O7795" s="53" t="n">
        <v>45988.6376041667</v>
      </c>
      <c r="P7795" s="53" t="n">
        <v>45992.6760185185</v>
      </c>
      <c r="Q7795" s="53" t="n">
        <v>45988.6376041667</v>
      </c>
      <c r="R7795" s="0" t="n">
        <v>0</v>
      </c>
      <c r="S7795" s="51" t="s">
        <v>3780</v>
      </c>
      <c r="T7795" s="51" t="s">
        <v>3780</v>
      </c>
      <c r="U7795" s="0" t="str">
        <f aca="false">"12610361"</f>
        <v>12610361</v>
      </c>
      <c r="V7795" s="51" t="s">
        <v>2365</v>
      </c>
      <c r="W7795" s="51" t="s">
        <v>4901</v>
      </c>
      <c r="X7795" s="51" t="s">
        <v>2359</v>
      </c>
    </row>
    <row r="7796" customFormat="false" ht="14.25" hidden="true" customHeight="false" outlineLevel="0" collapsed="false">
      <c r="A7796" s="49" t="s">
        <v>2349</v>
      </c>
      <c r="B7796" s="49" t="s">
        <v>2350</v>
      </c>
      <c r="C7796" s="49" t="s">
        <v>12730</v>
      </c>
      <c r="D7796" s="49" t="s">
        <v>2352</v>
      </c>
      <c r="E7796" s="49" t="str">
        <f aca="false">"12496983"</f>
        <v>12496983</v>
      </c>
      <c r="F7796" s="49" t="s">
        <v>4880</v>
      </c>
      <c r="G7796" s="49" t="n">
        <v>0</v>
      </c>
      <c r="H7796" s="0" t="n">
        <v>0</v>
      </c>
      <c r="M7796" s="51" t="s">
        <v>12719</v>
      </c>
      <c r="N7796" s="49" t="n">
        <v>0</v>
      </c>
      <c r="O7796" s="53" t="n">
        <v>45988.6373958333</v>
      </c>
      <c r="P7796" s="53" t="n">
        <v>45993.7672685185</v>
      </c>
      <c r="Q7796" s="53" t="n">
        <v>45988.6373958333</v>
      </c>
      <c r="R7796" s="0" t="n">
        <v>0</v>
      </c>
      <c r="S7796" s="51" t="s">
        <v>3780</v>
      </c>
      <c r="T7796" s="51" t="s">
        <v>3780</v>
      </c>
      <c r="U7796" s="0" t="str">
        <f aca="false">"12496983"</f>
        <v>12496983</v>
      </c>
      <c r="V7796" s="51" t="s">
        <v>2365</v>
      </c>
      <c r="W7796" s="51" t="s">
        <v>9112</v>
      </c>
      <c r="X7796" s="51" t="s">
        <v>2359</v>
      </c>
    </row>
    <row r="7797" customFormat="false" ht="14.25" hidden="true" customHeight="false" outlineLevel="0" collapsed="false">
      <c r="A7797" s="49" t="s">
        <v>2349</v>
      </c>
      <c r="B7797" s="49" t="s">
        <v>2350</v>
      </c>
      <c r="C7797" s="49" t="s">
        <v>12731</v>
      </c>
      <c r="D7797" s="49" t="s">
        <v>2352</v>
      </c>
      <c r="E7797" s="49" t="str">
        <f aca="false">"12496983"</f>
        <v>12496983</v>
      </c>
      <c r="F7797" s="49" t="s">
        <v>4880</v>
      </c>
      <c r="G7797" s="49" t="n">
        <v>0</v>
      </c>
      <c r="H7797" s="0" t="n">
        <v>0</v>
      </c>
      <c r="M7797" s="51" t="s">
        <v>12719</v>
      </c>
      <c r="N7797" s="49" t="n">
        <v>0</v>
      </c>
      <c r="O7797" s="53" t="n">
        <v>45988.6372337963</v>
      </c>
      <c r="P7797" s="53" t="n">
        <v>45993.7661921296</v>
      </c>
      <c r="Q7797" s="53" t="n">
        <v>45988.6372337963</v>
      </c>
      <c r="R7797" s="0" t="n">
        <v>0</v>
      </c>
      <c r="S7797" s="51" t="s">
        <v>3780</v>
      </c>
      <c r="T7797" s="51" t="s">
        <v>3780</v>
      </c>
      <c r="U7797" s="0" t="str">
        <f aca="false">"12496983"</f>
        <v>12496983</v>
      </c>
      <c r="V7797" s="51" t="s">
        <v>2365</v>
      </c>
      <c r="W7797" s="51" t="s">
        <v>10674</v>
      </c>
      <c r="X7797" s="51" t="s">
        <v>2359</v>
      </c>
    </row>
    <row r="7798" customFormat="false" ht="14.25" hidden="true" customHeight="false" outlineLevel="0" collapsed="false">
      <c r="A7798" s="49" t="s">
        <v>2349</v>
      </c>
      <c r="B7798" s="49" t="s">
        <v>2350</v>
      </c>
      <c r="C7798" s="49" t="s">
        <v>12732</v>
      </c>
      <c r="D7798" s="49" t="s">
        <v>2352</v>
      </c>
      <c r="E7798" s="49" t="str">
        <f aca="false">"12496983"</f>
        <v>12496983</v>
      </c>
      <c r="F7798" s="49" t="s">
        <v>4880</v>
      </c>
      <c r="G7798" s="49" t="n">
        <v>0</v>
      </c>
      <c r="H7798" s="0" t="n">
        <v>0</v>
      </c>
      <c r="M7798" s="51" t="s">
        <v>12719</v>
      </c>
      <c r="N7798" s="49" t="n">
        <v>0</v>
      </c>
      <c r="O7798" s="53" t="n">
        <v>45988.6369328704</v>
      </c>
      <c r="P7798" s="53" t="n">
        <v>46002.4259837963</v>
      </c>
      <c r="Q7798" s="53" t="n">
        <v>45988.6369328704</v>
      </c>
      <c r="R7798" s="0" t="n">
        <v>0</v>
      </c>
      <c r="S7798" s="51" t="s">
        <v>3780</v>
      </c>
      <c r="T7798" s="51" t="s">
        <v>3780</v>
      </c>
      <c r="U7798" s="0" t="str">
        <f aca="false">"12496983"</f>
        <v>12496983</v>
      </c>
      <c r="V7798" s="51" t="s">
        <v>2365</v>
      </c>
      <c r="W7798" s="51" t="s">
        <v>7705</v>
      </c>
      <c r="X7798" s="51" t="s">
        <v>2359</v>
      </c>
    </row>
    <row r="7799" customFormat="false" ht="14.25" hidden="true" customHeight="false" outlineLevel="0" collapsed="false">
      <c r="A7799" s="49" t="s">
        <v>2349</v>
      </c>
      <c r="B7799" s="49" t="s">
        <v>2350</v>
      </c>
      <c r="C7799" s="49" t="s">
        <v>12733</v>
      </c>
      <c r="D7799" s="49" t="s">
        <v>2352</v>
      </c>
      <c r="E7799" s="49" t="str">
        <f aca="false">"12482691"</f>
        <v>12482691</v>
      </c>
      <c r="F7799" s="49" t="s">
        <v>7031</v>
      </c>
      <c r="G7799" s="49" t="n">
        <v>0</v>
      </c>
      <c r="H7799" s="0" t="n">
        <v>0</v>
      </c>
      <c r="M7799" s="51" t="s">
        <v>12719</v>
      </c>
      <c r="N7799" s="49" t="n">
        <v>0</v>
      </c>
      <c r="O7799" s="53" t="n">
        <v>45988.6343171296</v>
      </c>
      <c r="P7799" s="53" t="n">
        <v>45993.7509027778</v>
      </c>
      <c r="Q7799" s="53" t="n">
        <v>45988.6343171296</v>
      </c>
      <c r="R7799" s="0" t="n">
        <v>0</v>
      </c>
      <c r="S7799" s="51" t="s">
        <v>3780</v>
      </c>
      <c r="T7799" s="51" t="s">
        <v>3780</v>
      </c>
      <c r="U7799" s="0" t="str">
        <f aca="false">"12482691"</f>
        <v>12482691</v>
      </c>
      <c r="V7799" s="51" t="s">
        <v>2365</v>
      </c>
      <c r="W7799" s="51" t="s">
        <v>4225</v>
      </c>
      <c r="X7799" s="51" t="s">
        <v>2359</v>
      </c>
    </row>
    <row r="7800" customFormat="false" ht="14.25" hidden="true" customHeight="false" outlineLevel="0" collapsed="false">
      <c r="A7800" s="49" t="s">
        <v>2349</v>
      </c>
      <c r="B7800" s="49" t="s">
        <v>2350</v>
      </c>
      <c r="C7800" s="49" t="s">
        <v>12734</v>
      </c>
      <c r="D7800" s="49" t="s">
        <v>2352</v>
      </c>
      <c r="E7800" s="49" t="str">
        <f aca="false">"12482691"</f>
        <v>12482691</v>
      </c>
      <c r="F7800" s="49" t="s">
        <v>7031</v>
      </c>
      <c r="G7800" s="49" t="n">
        <v>0</v>
      </c>
      <c r="H7800" s="0" t="n">
        <v>0</v>
      </c>
      <c r="M7800" s="51" t="s">
        <v>12719</v>
      </c>
      <c r="N7800" s="49" t="n">
        <v>0</v>
      </c>
      <c r="O7800" s="53" t="n">
        <v>45988.6348263889</v>
      </c>
      <c r="P7800" s="53" t="n">
        <v>45993.7527083333</v>
      </c>
      <c r="Q7800" s="53" t="n">
        <v>45988.6348263889</v>
      </c>
      <c r="R7800" s="0" t="n">
        <v>0</v>
      </c>
      <c r="S7800" s="51" t="s">
        <v>3780</v>
      </c>
      <c r="T7800" s="51" t="s">
        <v>3780</v>
      </c>
      <c r="U7800" s="0" t="str">
        <f aca="false">"12482691"</f>
        <v>12482691</v>
      </c>
      <c r="V7800" s="51" t="s">
        <v>2365</v>
      </c>
      <c r="W7800" s="51" t="s">
        <v>12735</v>
      </c>
      <c r="X7800" s="51" t="s">
        <v>2359</v>
      </c>
    </row>
    <row r="7801" customFormat="false" ht="14.25" hidden="true" customHeight="false" outlineLevel="0" collapsed="false">
      <c r="A7801" s="49" t="s">
        <v>2349</v>
      </c>
      <c r="B7801" s="49" t="s">
        <v>2350</v>
      </c>
      <c r="C7801" s="49" t="s">
        <v>12736</v>
      </c>
      <c r="D7801" s="49" t="s">
        <v>2352</v>
      </c>
      <c r="E7801" s="49" t="str">
        <f aca="false">"12482691"</f>
        <v>12482691</v>
      </c>
      <c r="F7801" s="49" t="s">
        <v>7031</v>
      </c>
      <c r="G7801" s="49" t="n">
        <v>0</v>
      </c>
      <c r="H7801" s="0" t="n">
        <v>0</v>
      </c>
      <c r="M7801" s="51" t="s">
        <v>12719</v>
      </c>
      <c r="N7801" s="49" t="n">
        <v>0</v>
      </c>
      <c r="O7801" s="53" t="n">
        <v>45988.6349884259</v>
      </c>
      <c r="P7801" s="53" t="n">
        <v>45993.7550810185</v>
      </c>
      <c r="Q7801" s="53" t="n">
        <v>45988.6349884259</v>
      </c>
      <c r="R7801" s="0" t="n">
        <v>0</v>
      </c>
      <c r="S7801" s="51" t="s">
        <v>3780</v>
      </c>
      <c r="T7801" s="51" t="s">
        <v>3780</v>
      </c>
      <c r="U7801" s="0" t="str">
        <f aca="false">"12482691"</f>
        <v>12482691</v>
      </c>
      <c r="V7801" s="51" t="s">
        <v>2365</v>
      </c>
      <c r="W7801" s="51" t="s">
        <v>4273</v>
      </c>
      <c r="X7801" s="51" t="s">
        <v>2359</v>
      </c>
    </row>
    <row r="7802" customFormat="false" ht="14.25" hidden="true" customHeight="false" outlineLevel="0" collapsed="false">
      <c r="A7802" s="49" t="s">
        <v>2349</v>
      </c>
      <c r="B7802" s="49" t="s">
        <v>2350</v>
      </c>
      <c r="C7802" s="49" t="s">
        <v>12737</v>
      </c>
      <c r="D7802" s="49" t="s">
        <v>2352</v>
      </c>
      <c r="E7802" s="49" t="str">
        <f aca="false">"12482691"</f>
        <v>12482691</v>
      </c>
      <c r="F7802" s="49" t="s">
        <v>7031</v>
      </c>
      <c r="G7802" s="49" t="n">
        <v>0</v>
      </c>
      <c r="H7802" s="0" t="n">
        <v>0</v>
      </c>
      <c r="M7802" s="51" t="s">
        <v>12719</v>
      </c>
      <c r="N7802" s="49" t="n">
        <v>0</v>
      </c>
      <c r="O7802" s="53" t="n">
        <v>45988.6351967593</v>
      </c>
      <c r="P7802" s="53" t="n">
        <v>45993.7567939815</v>
      </c>
      <c r="Q7802" s="53" t="n">
        <v>45988.6351967593</v>
      </c>
      <c r="R7802" s="0" t="n">
        <v>0</v>
      </c>
      <c r="S7802" s="51" t="s">
        <v>3780</v>
      </c>
      <c r="T7802" s="51" t="s">
        <v>3780</v>
      </c>
      <c r="U7802" s="0" t="str">
        <f aca="false">"12482691"</f>
        <v>12482691</v>
      </c>
      <c r="V7802" s="51" t="s">
        <v>2365</v>
      </c>
      <c r="W7802" s="51" t="s">
        <v>12738</v>
      </c>
      <c r="X7802" s="51" t="s">
        <v>2359</v>
      </c>
    </row>
    <row r="7803" customFormat="false" ht="14.25" hidden="true" customHeight="false" outlineLevel="0" collapsed="false">
      <c r="A7803" s="49" t="s">
        <v>2349</v>
      </c>
      <c r="B7803" s="49" t="s">
        <v>2350</v>
      </c>
      <c r="C7803" s="49" t="s">
        <v>12739</v>
      </c>
      <c r="D7803" s="49" t="s">
        <v>2352</v>
      </c>
      <c r="E7803" s="49" t="str">
        <f aca="false">"12482691"</f>
        <v>12482691</v>
      </c>
      <c r="F7803" s="49" t="s">
        <v>7031</v>
      </c>
      <c r="G7803" s="49" t="n">
        <v>0</v>
      </c>
      <c r="H7803" s="0" t="n">
        <v>0</v>
      </c>
      <c r="M7803" s="51" t="s">
        <v>12719</v>
      </c>
      <c r="N7803" s="49" t="n">
        <v>0</v>
      </c>
      <c r="O7803" s="53" t="n">
        <v>45988.6353703704</v>
      </c>
      <c r="P7803" s="53" t="n">
        <v>45993.7621875</v>
      </c>
      <c r="Q7803" s="53" t="n">
        <v>45988.6353703704</v>
      </c>
      <c r="R7803" s="0" t="n">
        <v>0</v>
      </c>
      <c r="S7803" s="51" t="s">
        <v>3780</v>
      </c>
      <c r="T7803" s="51" t="s">
        <v>3780</v>
      </c>
      <c r="U7803" s="0" t="str">
        <f aca="false">"12482691"</f>
        <v>12482691</v>
      </c>
      <c r="V7803" s="51" t="s">
        <v>2365</v>
      </c>
      <c r="W7803" s="51" t="s">
        <v>12740</v>
      </c>
      <c r="X7803" s="51" t="s">
        <v>2359</v>
      </c>
    </row>
    <row r="7804" customFormat="false" ht="14.25" hidden="true" customHeight="false" outlineLevel="0" collapsed="false">
      <c r="A7804" s="49" t="s">
        <v>2349</v>
      </c>
      <c r="B7804" s="49" t="s">
        <v>2350</v>
      </c>
      <c r="C7804" s="49" t="s">
        <v>12741</v>
      </c>
      <c r="D7804" s="49" t="s">
        <v>2352</v>
      </c>
      <c r="E7804" s="49" t="str">
        <f aca="false">"12482691"</f>
        <v>12482691</v>
      </c>
      <c r="F7804" s="49" t="s">
        <v>7031</v>
      </c>
      <c r="G7804" s="49" t="n">
        <v>0</v>
      </c>
      <c r="H7804" s="0" t="n">
        <v>0</v>
      </c>
      <c r="M7804" s="51" t="s">
        <v>12719</v>
      </c>
      <c r="N7804" s="49" t="n">
        <v>0</v>
      </c>
      <c r="O7804" s="53" t="n">
        <v>45990.4072916667</v>
      </c>
      <c r="P7804" s="53" t="n">
        <v>45993.7599189815</v>
      </c>
      <c r="R7804" s="0" t="n">
        <v>0</v>
      </c>
      <c r="T7804" s="51" t="s">
        <v>3780</v>
      </c>
      <c r="U7804" s="0" t="str">
        <f aca="false">"12482691"</f>
        <v>12482691</v>
      </c>
      <c r="V7804" s="51" t="s">
        <v>2365</v>
      </c>
      <c r="W7804" s="51" t="s">
        <v>12115</v>
      </c>
      <c r="X7804" s="51" t="s">
        <v>2359</v>
      </c>
    </row>
    <row r="7805" customFormat="false" ht="14.25" hidden="true" customHeight="false" outlineLevel="0" collapsed="false">
      <c r="A7805" s="49" t="s">
        <v>2349</v>
      </c>
      <c r="B7805" s="49" t="s">
        <v>2350</v>
      </c>
      <c r="C7805" s="49" t="s">
        <v>12742</v>
      </c>
      <c r="D7805" s="49" t="s">
        <v>2352</v>
      </c>
      <c r="E7805" s="49" t="str">
        <f aca="false">"12610361"</f>
        <v>12610361</v>
      </c>
      <c r="F7805" s="49" t="s">
        <v>10287</v>
      </c>
      <c r="G7805" s="49" t="n">
        <v>0</v>
      </c>
      <c r="H7805" s="0" t="n">
        <v>0</v>
      </c>
      <c r="M7805" s="51" t="s">
        <v>12719</v>
      </c>
      <c r="N7805" s="49" t="n">
        <v>0</v>
      </c>
      <c r="O7805" s="53" t="n">
        <v>45988.6364930556</v>
      </c>
      <c r="P7805" s="53" t="n">
        <v>45992.683912037</v>
      </c>
      <c r="Q7805" s="53" t="n">
        <v>45988.6364930556</v>
      </c>
      <c r="R7805" s="0" t="n">
        <v>0</v>
      </c>
      <c r="S7805" s="51" t="s">
        <v>3780</v>
      </c>
      <c r="T7805" s="51" t="s">
        <v>3780</v>
      </c>
      <c r="U7805" s="0" t="str">
        <f aca="false">"12610361"</f>
        <v>12610361</v>
      </c>
      <c r="V7805" s="51" t="s">
        <v>2365</v>
      </c>
      <c r="W7805" s="51" t="s">
        <v>12743</v>
      </c>
      <c r="X7805" s="51" t="s">
        <v>2359</v>
      </c>
    </row>
    <row r="7806" customFormat="false" ht="14.25" hidden="true" customHeight="false" outlineLevel="0" collapsed="false">
      <c r="A7806" s="49" t="s">
        <v>2349</v>
      </c>
      <c r="B7806" s="49" t="s">
        <v>2350</v>
      </c>
      <c r="C7806" s="49" t="s">
        <v>12744</v>
      </c>
      <c r="D7806" s="49" t="s">
        <v>2352</v>
      </c>
      <c r="E7806" s="49" t="str">
        <f aca="false">"12482691"</f>
        <v>12482691</v>
      </c>
      <c r="F7806" s="49" t="s">
        <v>7031</v>
      </c>
      <c r="G7806" s="49" t="n">
        <v>0</v>
      </c>
      <c r="H7806" s="0" t="n">
        <v>0</v>
      </c>
      <c r="M7806" s="51" t="s">
        <v>12719</v>
      </c>
      <c r="N7806" s="49" t="n">
        <v>0</v>
      </c>
      <c r="O7806" s="53" t="n">
        <v>45988.6360185185</v>
      </c>
      <c r="P7806" s="53" t="n">
        <v>45993.7613194444</v>
      </c>
      <c r="Q7806" s="53" t="n">
        <v>45988.6360185185</v>
      </c>
      <c r="R7806" s="0" t="n">
        <v>0</v>
      </c>
      <c r="S7806" s="51" t="s">
        <v>3780</v>
      </c>
      <c r="T7806" s="51" t="s">
        <v>3780</v>
      </c>
      <c r="U7806" s="0" t="str">
        <f aca="false">"12482691"</f>
        <v>12482691</v>
      </c>
      <c r="V7806" s="51" t="s">
        <v>2365</v>
      </c>
      <c r="W7806" s="51" t="s">
        <v>10030</v>
      </c>
      <c r="X7806" s="51" t="s">
        <v>2359</v>
      </c>
    </row>
    <row r="7807" customFormat="false" ht="14.25" hidden="true" customHeight="false" outlineLevel="0" collapsed="false">
      <c r="A7807" s="49" t="s">
        <v>2349</v>
      </c>
      <c r="B7807" s="49" t="s">
        <v>2350</v>
      </c>
      <c r="C7807" s="49" t="s">
        <v>12745</v>
      </c>
      <c r="D7807" s="49" t="s">
        <v>2352</v>
      </c>
      <c r="E7807" s="49" t="str">
        <f aca="false">"12577439"</f>
        <v>12577439</v>
      </c>
      <c r="F7807" s="49" t="s">
        <v>12746</v>
      </c>
      <c r="G7807" s="49" t="n">
        <v>0</v>
      </c>
      <c r="H7807" s="0" t="n">
        <v>0</v>
      </c>
      <c r="M7807" s="51" t="s">
        <v>12719</v>
      </c>
      <c r="N7807" s="49" t="n">
        <v>0</v>
      </c>
      <c r="O7807" s="53" t="n">
        <v>45988.6323263889</v>
      </c>
      <c r="P7807" s="53" t="n">
        <v>46028.9153935185</v>
      </c>
      <c r="Q7807" s="53" t="n">
        <v>45988.6323263889</v>
      </c>
      <c r="R7807" s="0" t="n">
        <v>0</v>
      </c>
      <c r="S7807" s="51" t="s">
        <v>3780</v>
      </c>
      <c r="T7807" s="51" t="s">
        <v>3780</v>
      </c>
      <c r="U7807" s="0" t="str">
        <f aca="false">"12577439"</f>
        <v>12577439</v>
      </c>
      <c r="V7807" s="51" t="s">
        <v>2365</v>
      </c>
      <c r="W7807" s="51" t="s">
        <v>12619</v>
      </c>
      <c r="X7807" s="51" t="s">
        <v>2359</v>
      </c>
    </row>
    <row r="7808" customFormat="false" ht="14.25" hidden="true" customHeight="false" outlineLevel="0" collapsed="false">
      <c r="A7808" s="49" t="s">
        <v>2349</v>
      </c>
      <c r="B7808" s="49" t="s">
        <v>2350</v>
      </c>
      <c r="C7808" s="49" t="s">
        <v>12747</v>
      </c>
      <c r="D7808" s="49" t="s">
        <v>2352</v>
      </c>
      <c r="E7808" s="49" t="str">
        <f aca="false">"12520129"</f>
        <v>12520129</v>
      </c>
      <c r="F7808" s="49" t="s">
        <v>4870</v>
      </c>
      <c r="G7808" s="49" t="n">
        <v>0</v>
      </c>
      <c r="H7808" s="0" t="n">
        <v>0</v>
      </c>
      <c r="M7808" s="51" t="s">
        <v>12719</v>
      </c>
      <c r="N7808" s="49" t="n">
        <v>0</v>
      </c>
      <c r="O7808" s="53" t="n">
        <v>45988.6328587963</v>
      </c>
      <c r="P7808" s="53" t="n">
        <v>45988.7082638889</v>
      </c>
      <c r="Q7808" s="53" t="n">
        <v>45988.6328587963</v>
      </c>
      <c r="R7808" s="0" t="n">
        <v>0</v>
      </c>
      <c r="S7808" s="51" t="s">
        <v>3780</v>
      </c>
      <c r="T7808" s="51" t="s">
        <v>3780</v>
      </c>
      <c r="U7808" s="0" t="str">
        <f aca="false">"12520129"</f>
        <v>12520129</v>
      </c>
      <c r="V7808" s="51" t="s">
        <v>2365</v>
      </c>
      <c r="W7808" s="51" t="s">
        <v>12748</v>
      </c>
      <c r="X7808" s="51" t="s">
        <v>2359</v>
      </c>
    </row>
    <row r="7809" customFormat="false" ht="14.25" hidden="true" customHeight="false" outlineLevel="0" collapsed="false">
      <c r="A7809" s="49" t="s">
        <v>2349</v>
      </c>
      <c r="B7809" s="49" t="s">
        <v>2350</v>
      </c>
      <c r="C7809" s="49" t="s">
        <v>12749</v>
      </c>
      <c r="D7809" s="49" t="s">
        <v>2352</v>
      </c>
      <c r="E7809" s="49" t="str">
        <f aca="false">"12610361"</f>
        <v>12610361</v>
      </c>
      <c r="F7809" s="49" t="s">
        <v>10287</v>
      </c>
      <c r="G7809" s="49" t="n">
        <v>0</v>
      </c>
      <c r="H7809" s="0" t="n">
        <v>0</v>
      </c>
      <c r="M7809" s="51" t="s">
        <v>12719</v>
      </c>
      <c r="N7809" s="49" t="n">
        <v>0</v>
      </c>
      <c r="O7809" s="53" t="n">
        <v>45988.6319907407</v>
      </c>
      <c r="P7809" s="53" t="n">
        <v>45992.682337963</v>
      </c>
      <c r="Q7809" s="53" t="n">
        <v>45988.6319907407</v>
      </c>
      <c r="R7809" s="0" t="n">
        <v>0</v>
      </c>
      <c r="S7809" s="51" t="s">
        <v>3780</v>
      </c>
      <c r="T7809" s="51" t="s">
        <v>3780</v>
      </c>
      <c r="U7809" s="0" t="str">
        <f aca="false">"12610361"</f>
        <v>12610361</v>
      </c>
      <c r="V7809" s="51" t="s">
        <v>2365</v>
      </c>
      <c r="W7809" s="51" t="s">
        <v>12750</v>
      </c>
      <c r="X7809" s="51" t="s">
        <v>2359</v>
      </c>
    </row>
    <row r="7810" customFormat="false" ht="14.25" hidden="true" customHeight="false" outlineLevel="0" collapsed="false">
      <c r="A7810" s="49" t="s">
        <v>2349</v>
      </c>
      <c r="B7810" s="49" t="s">
        <v>2350</v>
      </c>
      <c r="C7810" s="49" t="s">
        <v>12751</v>
      </c>
      <c r="D7810" s="49" t="s">
        <v>2352</v>
      </c>
      <c r="E7810" s="49" t="str">
        <f aca="false">"12496983"</f>
        <v>12496983</v>
      </c>
      <c r="F7810" s="49" t="s">
        <v>4880</v>
      </c>
      <c r="G7810" s="49" t="n">
        <v>0</v>
      </c>
      <c r="H7810" s="0" t="n">
        <v>0</v>
      </c>
      <c r="M7810" s="51" t="s">
        <v>12719</v>
      </c>
      <c r="N7810" s="49" t="n">
        <v>0</v>
      </c>
      <c r="O7810" s="53" t="n">
        <v>45988.6309143519</v>
      </c>
      <c r="P7810" s="53" t="n">
        <v>46002.4247569444</v>
      </c>
      <c r="Q7810" s="53" t="n">
        <v>45988.6309143519</v>
      </c>
      <c r="R7810" s="0" t="n">
        <v>0</v>
      </c>
      <c r="S7810" s="51" t="s">
        <v>3780</v>
      </c>
      <c r="T7810" s="51" t="s">
        <v>3780</v>
      </c>
      <c r="U7810" s="0" t="str">
        <f aca="false">"12496983"</f>
        <v>12496983</v>
      </c>
      <c r="V7810" s="51" t="s">
        <v>2365</v>
      </c>
      <c r="W7810" s="51" t="s">
        <v>10674</v>
      </c>
      <c r="X7810" s="51" t="s">
        <v>2359</v>
      </c>
    </row>
    <row r="7811" customFormat="false" ht="14.25" hidden="true" customHeight="false" outlineLevel="0" collapsed="false">
      <c r="A7811" s="49" t="s">
        <v>2349</v>
      </c>
      <c r="B7811" s="49" t="s">
        <v>2350</v>
      </c>
      <c r="C7811" s="49" t="s">
        <v>12752</v>
      </c>
      <c r="D7811" s="49" t="s">
        <v>2352</v>
      </c>
      <c r="E7811" s="49" t="str">
        <f aca="false">"12496983"</f>
        <v>12496983</v>
      </c>
      <c r="F7811" s="49" t="s">
        <v>4880</v>
      </c>
      <c r="G7811" s="49" t="n">
        <v>0</v>
      </c>
      <c r="H7811" s="0" t="n">
        <v>0</v>
      </c>
      <c r="M7811" s="51" t="s">
        <v>12719</v>
      </c>
      <c r="N7811" s="49" t="n">
        <v>0</v>
      </c>
      <c r="O7811" s="53" t="n">
        <v>45988.6306481482</v>
      </c>
      <c r="P7811" s="53" t="n">
        <v>46002.4262268519</v>
      </c>
      <c r="Q7811" s="53" t="n">
        <v>45988.6306481482</v>
      </c>
      <c r="R7811" s="0" t="n">
        <v>0</v>
      </c>
      <c r="S7811" s="51" t="s">
        <v>3780</v>
      </c>
      <c r="T7811" s="51" t="s">
        <v>3780</v>
      </c>
      <c r="U7811" s="0" t="str">
        <f aca="false">"12496983"</f>
        <v>12496983</v>
      </c>
      <c r="V7811" s="51" t="s">
        <v>2365</v>
      </c>
      <c r="W7811" s="51" t="s">
        <v>2381</v>
      </c>
      <c r="X7811" s="51" t="s">
        <v>2359</v>
      </c>
    </row>
    <row r="7812" customFormat="false" ht="14.25" hidden="true" customHeight="false" outlineLevel="0" collapsed="false">
      <c r="A7812" s="49" t="s">
        <v>2349</v>
      </c>
      <c r="B7812" s="49" t="s">
        <v>2350</v>
      </c>
      <c r="C7812" s="49" t="s">
        <v>12753</v>
      </c>
      <c r="D7812" s="49" t="s">
        <v>2352</v>
      </c>
      <c r="E7812" s="49" t="str">
        <f aca="false">"12496983"</f>
        <v>12496983</v>
      </c>
      <c r="F7812" s="49" t="s">
        <v>4880</v>
      </c>
      <c r="G7812" s="49" t="n">
        <v>0</v>
      </c>
      <c r="H7812" s="0" t="n">
        <v>0</v>
      </c>
      <c r="M7812" s="51" t="s">
        <v>12719</v>
      </c>
      <c r="N7812" s="49" t="n">
        <v>0</v>
      </c>
      <c r="O7812" s="53" t="n">
        <v>45988.6302662037</v>
      </c>
      <c r="P7812" s="53" t="n">
        <v>45991.4612037037</v>
      </c>
      <c r="Q7812" s="53" t="n">
        <v>45988.6302662037</v>
      </c>
      <c r="R7812" s="0" t="n">
        <v>0</v>
      </c>
      <c r="S7812" s="51" t="s">
        <v>3780</v>
      </c>
      <c r="T7812" s="51" t="s">
        <v>3780</v>
      </c>
      <c r="U7812" s="0" t="str">
        <f aca="false">"12496983"</f>
        <v>12496983</v>
      </c>
      <c r="V7812" s="51" t="s">
        <v>2365</v>
      </c>
      <c r="W7812" s="51" t="s">
        <v>12754</v>
      </c>
      <c r="X7812" s="51" t="s">
        <v>2359</v>
      </c>
    </row>
    <row r="7813" customFormat="false" ht="14.25" hidden="true" customHeight="false" outlineLevel="0" collapsed="false">
      <c r="A7813" s="49" t="s">
        <v>2349</v>
      </c>
      <c r="B7813" s="49" t="s">
        <v>2350</v>
      </c>
      <c r="C7813" s="49" t="s">
        <v>12755</v>
      </c>
      <c r="D7813" s="49" t="s">
        <v>2352</v>
      </c>
      <c r="E7813" s="49" t="str">
        <f aca="false">"12520129"</f>
        <v>12520129</v>
      </c>
      <c r="F7813" s="49" t="s">
        <v>4870</v>
      </c>
      <c r="G7813" s="49" t="n">
        <v>0</v>
      </c>
      <c r="H7813" s="0" t="n">
        <v>0</v>
      </c>
      <c r="M7813" s="51" t="s">
        <v>12719</v>
      </c>
      <c r="N7813" s="49" t="n">
        <v>0</v>
      </c>
      <c r="O7813" s="53" t="n">
        <v>45988.6294675926</v>
      </c>
      <c r="P7813" s="53" t="n">
        <v>45988.7045486111</v>
      </c>
      <c r="Q7813" s="53" t="n">
        <v>45988.6294675926</v>
      </c>
      <c r="R7813" s="0" t="n">
        <v>0</v>
      </c>
      <c r="S7813" s="51" t="s">
        <v>3780</v>
      </c>
      <c r="T7813" s="51" t="s">
        <v>3780</v>
      </c>
      <c r="U7813" s="0" t="str">
        <f aca="false">"12520129"</f>
        <v>12520129</v>
      </c>
      <c r="V7813" s="51" t="s">
        <v>2365</v>
      </c>
      <c r="W7813" s="51" t="s">
        <v>10586</v>
      </c>
      <c r="X7813" s="51" t="s">
        <v>2359</v>
      </c>
    </row>
    <row r="7814" customFormat="false" ht="14.25" hidden="true" customHeight="false" outlineLevel="0" collapsed="false">
      <c r="A7814" s="49" t="s">
        <v>2349</v>
      </c>
      <c r="B7814" s="49" t="s">
        <v>2350</v>
      </c>
      <c r="C7814" s="49" t="s">
        <v>12756</v>
      </c>
      <c r="D7814" s="49" t="s">
        <v>2352</v>
      </c>
      <c r="E7814" s="49" t="str">
        <f aca="false">"12520129"</f>
        <v>12520129</v>
      </c>
      <c r="F7814" s="49" t="s">
        <v>4870</v>
      </c>
      <c r="G7814" s="49" t="n">
        <v>0</v>
      </c>
      <c r="H7814" s="0" t="n">
        <v>0</v>
      </c>
      <c r="M7814" s="51" t="s">
        <v>12719</v>
      </c>
      <c r="N7814" s="49" t="n">
        <v>0</v>
      </c>
      <c r="O7814" s="53" t="n">
        <v>45988.6292361111</v>
      </c>
      <c r="P7814" s="53" t="n">
        <v>45988.7068402778</v>
      </c>
      <c r="Q7814" s="53" t="n">
        <v>45988.6292361111</v>
      </c>
      <c r="R7814" s="0" t="n">
        <v>0</v>
      </c>
      <c r="S7814" s="51" t="s">
        <v>3780</v>
      </c>
      <c r="T7814" s="51" t="s">
        <v>3780</v>
      </c>
      <c r="U7814" s="0" t="str">
        <f aca="false">"12520129"</f>
        <v>12520129</v>
      </c>
      <c r="V7814" s="51" t="s">
        <v>2365</v>
      </c>
      <c r="W7814" s="51" t="s">
        <v>9109</v>
      </c>
      <c r="X7814" s="51" t="s">
        <v>2359</v>
      </c>
    </row>
    <row r="7815" customFormat="false" ht="14.25" hidden="true" customHeight="false" outlineLevel="0" collapsed="false">
      <c r="A7815" s="49" t="s">
        <v>2349</v>
      </c>
      <c r="B7815" s="49" t="s">
        <v>2350</v>
      </c>
      <c r="C7815" s="49" t="s">
        <v>12757</v>
      </c>
      <c r="D7815" s="49" t="s">
        <v>2352</v>
      </c>
      <c r="E7815" s="49" t="str">
        <f aca="false">"12610361"</f>
        <v>12610361</v>
      </c>
      <c r="F7815" s="49" t="s">
        <v>10287</v>
      </c>
      <c r="G7815" s="49" t="n">
        <v>0</v>
      </c>
      <c r="H7815" s="0" t="n">
        <v>0</v>
      </c>
      <c r="M7815" s="51" t="s">
        <v>12719</v>
      </c>
      <c r="N7815" s="49" t="n">
        <v>0</v>
      </c>
      <c r="O7815" s="53" t="n">
        <v>45988.6285763889</v>
      </c>
      <c r="P7815" s="53" t="n">
        <v>45992.6771527778</v>
      </c>
      <c r="Q7815" s="53" t="n">
        <v>45988.6285763889</v>
      </c>
      <c r="R7815" s="0" t="n">
        <v>0</v>
      </c>
      <c r="S7815" s="51" t="s">
        <v>3780</v>
      </c>
      <c r="T7815" s="51" t="s">
        <v>3780</v>
      </c>
      <c r="U7815" s="0" t="str">
        <f aca="false">"12610361"</f>
        <v>12610361</v>
      </c>
      <c r="V7815" s="51" t="s">
        <v>2365</v>
      </c>
      <c r="W7815" s="51" t="s">
        <v>4227</v>
      </c>
      <c r="X7815" s="51" t="s">
        <v>2359</v>
      </c>
    </row>
    <row r="7816" customFormat="false" ht="14.25" hidden="true" customHeight="false" outlineLevel="0" collapsed="false">
      <c r="A7816" s="49" t="s">
        <v>2349</v>
      </c>
      <c r="B7816" s="49" t="s">
        <v>2350</v>
      </c>
      <c r="C7816" s="49" t="s">
        <v>12758</v>
      </c>
      <c r="D7816" s="49" t="s">
        <v>2352</v>
      </c>
      <c r="E7816" s="49" t="str">
        <f aca="false">"10102020303000"</f>
        <v>10102020303000</v>
      </c>
      <c r="F7816" s="49" t="s">
        <v>11022</v>
      </c>
      <c r="G7816" s="49" t="n">
        <v>0</v>
      </c>
      <c r="H7816" s="0" t="n">
        <v>0</v>
      </c>
      <c r="M7816" s="51" t="s">
        <v>12759</v>
      </c>
      <c r="N7816" s="49" t="n">
        <v>0</v>
      </c>
      <c r="O7816" s="53" t="n">
        <v>46019.6268402778</v>
      </c>
      <c r="P7816" s="53" t="n">
        <v>46023.4920949074</v>
      </c>
      <c r="Q7816" s="53" t="n">
        <v>46019.6268402778</v>
      </c>
      <c r="R7816" s="0" t="n">
        <v>0</v>
      </c>
      <c r="S7816" s="51" t="s">
        <v>2383</v>
      </c>
      <c r="T7816" s="51" t="s">
        <v>2383</v>
      </c>
      <c r="U7816" s="0" t="str">
        <f aca="false">"10102020303000"</f>
        <v>10102020303000</v>
      </c>
      <c r="V7816" s="51" t="s">
        <v>7596</v>
      </c>
      <c r="W7816" s="51" t="s">
        <v>5048</v>
      </c>
      <c r="X7816" s="51" t="s">
        <v>2359</v>
      </c>
    </row>
    <row r="7817" customFormat="false" ht="14.25" hidden="true" customHeight="false" outlineLevel="0" collapsed="false">
      <c r="A7817" s="49" t="s">
        <v>2349</v>
      </c>
      <c r="B7817" s="49" t="s">
        <v>2350</v>
      </c>
      <c r="C7817" s="49" t="s">
        <v>12760</v>
      </c>
      <c r="D7817" s="49" t="s">
        <v>2352</v>
      </c>
      <c r="E7817" s="49" t="s">
        <v>4148</v>
      </c>
      <c r="F7817" s="49" t="s">
        <v>4149</v>
      </c>
      <c r="G7817" s="49" t="n">
        <v>0</v>
      </c>
      <c r="H7817" s="0" t="n">
        <v>0</v>
      </c>
      <c r="M7817" s="51" t="s">
        <v>12761</v>
      </c>
      <c r="N7817" s="49" t="n">
        <v>0</v>
      </c>
      <c r="O7817" s="53" t="n">
        <v>45764.3800462963</v>
      </c>
      <c r="P7817" s="53" t="n">
        <v>45773.7415856481</v>
      </c>
      <c r="Q7817" s="53" t="n">
        <v>45764.3800462963</v>
      </c>
      <c r="R7817" s="0" t="n">
        <v>0</v>
      </c>
      <c r="S7817" s="51" t="s">
        <v>2356</v>
      </c>
      <c r="T7817" s="51" t="s">
        <v>2356</v>
      </c>
      <c r="U7817" s="51" t="s">
        <v>4148</v>
      </c>
      <c r="V7817" s="51" t="s">
        <v>2365</v>
      </c>
      <c r="W7817" s="51" t="s">
        <v>8270</v>
      </c>
      <c r="X7817" s="51" t="s">
        <v>2359</v>
      </c>
    </row>
    <row r="7818" customFormat="false" ht="14.25" hidden="true" customHeight="false" outlineLevel="0" collapsed="false">
      <c r="A7818" s="49" t="s">
        <v>2349</v>
      </c>
      <c r="B7818" s="49" t="s">
        <v>2350</v>
      </c>
      <c r="C7818" s="49" t="s">
        <v>12762</v>
      </c>
      <c r="D7818" s="49" t="s">
        <v>2352</v>
      </c>
      <c r="E7818" s="49" t="s">
        <v>4148</v>
      </c>
      <c r="F7818" s="49" t="s">
        <v>4149</v>
      </c>
      <c r="G7818" s="49" t="n">
        <v>0</v>
      </c>
      <c r="H7818" s="0" t="n">
        <v>0</v>
      </c>
      <c r="M7818" s="51" t="s">
        <v>12761</v>
      </c>
      <c r="N7818" s="49" t="n">
        <v>0</v>
      </c>
      <c r="O7818" s="53" t="n">
        <v>45764.3797222222</v>
      </c>
      <c r="P7818" s="53" t="n">
        <v>45799.642025463</v>
      </c>
      <c r="Q7818" s="53" t="n">
        <v>45764.3797222222</v>
      </c>
      <c r="R7818" s="0" t="n">
        <v>0</v>
      </c>
      <c r="S7818" s="51" t="s">
        <v>2356</v>
      </c>
      <c r="T7818" s="51" t="s">
        <v>2356</v>
      </c>
      <c r="U7818" s="51" t="s">
        <v>4148</v>
      </c>
      <c r="V7818" s="51" t="s">
        <v>2365</v>
      </c>
      <c r="W7818" s="51" t="s">
        <v>5414</v>
      </c>
      <c r="X7818" s="51" t="s">
        <v>2359</v>
      </c>
    </row>
    <row r="7819" customFormat="false" ht="14.25" hidden="true" customHeight="false" outlineLevel="0" collapsed="false">
      <c r="A7819" s="49" t="s">
        <v>2349</v>
      </c>
      <c r="B7819" s="49" t="s">
        <v>2350</v>
      </c>
      <c r="C7819" s="49" t="s">
        <v>12763</v>
      </c>
      <c r="D7819" s="49" t="s">
        <v>2352</v>
      </c>
      <c r="E7819" s="49" t="s">
        <v>4148</v>
      </c>
      <c r="F7819" s="49" t="s">
        <v>4149</v>
      </c>
      <c r="G7819" s="49" t="n">
        <v>0</v>
      </c>
      <c r="H7819" s="0" t="n">
        <v>0</v>
      </c>
      <c r="M7819" s="51" t="s">
        <v>12761</v>
      </c>
      <c r="N7819" s="49" t="n">
        <v>0</v>
      </c>
      <c r="O7819" s="53" t="n">
        <v>45764.3794212963</v>
      </c>
      <c r="P7819" s="53" t="n">
        <v>45778.6769560185</v>
      </c>
      <c r="Q7819" s="53" t="n">
        <v>45764.3794212963</v>
      </c>
      <c r="R7819" s="0" t="n">
        <v>0</v>
      </c>
      <c r="S7819" s="51" t="s">
        <v>2356</v>
      </c>
      <c r="T7819" s="51" t="s">
        <v>2356</v>
      </c>
      <c r="U7819" s="51" t="s">
        <v>4148</v>
      </c>
      <c r="V7819" s="51" t="s">
        <v>2365</v>
      </c>
      <c r="W7819" s="51" t="s">
        <v>5761</v>
      </c>
      <c r="X7819" s="51" t="s">
        <v>2359</v>
      </c>
    </row>
    <row r="7820" customFormat="false" ht="14.25" hidden="true" customHeight="false" outlineLevel="0" collapsed="false">
      <c r="A7820" s="49" t="s">
        <v>2349</v>
      </c>
      <c r="B7820" s="49" t="s">
        <v>2350</v>
      </c>
      <c r="C7820" s="49" t="s">
        <v>12764</v>
      </c>
      <c r="D7820" s="49" t="s">
        <v>2352</v>
      </c>
      <c r="E7820" s="49" t="s">
        <v>4148</v>
      </c>
      <c r="F7820" s="49" t="s">
        <v>4149</v>
      </c>
      <c r="G7820" s="49" t="n">
        <v>0</v>
      </c>
      <c r="H7820" s="0" t="n">
        <v>0</v>
      </c>
      <c r="M7820" s="51" t="s">
        <v>12761</v>
      </c>
      <c r="N7820" s="49" t="n">
        <v>0</v>
      </c>
      <c r="O7820" s="53" t="n">
        <v>45764.3790625</v>
      </c>
      <c r="P7820" s="53" t="n">
        <v>45809.6179976852</v>
      </c>
      <c r="Q7820" s="53" t="n">
        <v>45764.3790625</v>
      </c>
      <c r="R7820" s="0" t="n">
        <v>0</v>
      </c>
      <c r="S7820" s="51" t="s">
        <v>2356</v>
      </c>
      <c r="T7820" s="51" t="s">
        <v>2356</v>
      </c>
      <c r="U7820" s="51" t="s">
        <v>4148</v>
      </c>
      <c r="V7820" s="51" t="s">
        <v>2365</v>
      </c>
      <c r="W7820" s="51" t="s">
        <v>4150</v>
      </c>
      <c r="X7820" s="51" t="s">
        <v>2359</v>
      </c>
    </row>
    <row r="7821" customFormat="false" ht="14.25" hidden="true" customHeight="false" outlineLevel="0" collapsed="false">
      <c r="A7821" s="49" t="s">
        <v>2349</v>
      </c>
      <c r="B7821" s="49" t="s">
        <v>2350</v>
      </c>
      <c r="C7821" s="49" t="s">
        <v>12765</v>
      </c>
      <c r="D7821" s="49" t="s">
        <v>2352</v>
      </c>
      <c r="E7821" s="49" t="s">
        <v>8372</v>
      </c>
      <c r="F7821" s="49" t="s">
        <v>8373</v>
      </c>
      <c r="G7821" s="49" t="n">
        <v>0</v>
      </c>
      <c r="H7821" s="0" t="n">
        <v>0</v>
      </c>
      <c r="M7821" s="51" t="s">
        <v>12761</v>
      </c>
      <c r="N7821" s="49" t="n">
        <v>0</v>
      </c>
      <c r="O7821" s="53" t="n">
        <v>45764.3806828704</v>
      </c>
      <c r="P7821" s="53" t="n">
        <v>45771.6665393519</v>
      </c>
      <c r="Q7821" s="53" t="n">
        <v>45764.3806828704</v>
      </c>
      <c r="R7821" s="0" t="n">
        <v>0</v>
      </c>
      <c r="S7821" s="51" t="s">
        <v>2356</v>
      </c>
      <c r="T7821" s="51" t="s">
        <v>2356</v>
      </c>
      <c r="U7821" s="51" t="s">
        <v>8372</v>
      </c>
      <c r="V7821" s="51" t="s">
        <v>2365</v>
      </c>
      <c r="W7821" s="51" t="s">
        <v>6881</v>
      </c>
      <c r="X7821" s="51" t="s">
        <v>2359</v>
      </c>
    </row>
    <row r="7822" customFormat="false" ht="14.25" hidden="true" customHeight="false" outlineLevel="0" collapsed="false">
      <c r="A7822" s="49" t="s">
        <v>2349</v>
      </c>
      <c r="B7822" s="49" t="s">
        <v>2350</v>
      </c>
      <c r="C7822" s="49" t="s">
        <v>12766</v>
      </c>
      <c r="D7822" s="49" t="s">
        <v>2352</v>
      </c>
      <c r="E7822" s="49" t="s">
        <v>4140</v>
      </c>
      <c r="F7822" s="49" t="s">
        <v>4141</v>
      </c>
      <c r="G7822" s="49" t="n">
        <v>0</v>
      </c>
      <c r="H7822" s="0" t="n">
        <v>0</v>
      </c>
      <c r="M7822" s="51" t="s">
        <v>12761</v>
      </c>
      <c r="N7822" s="49" t="n">
        <v>0</v>
      </c>
      <c r="O7822" s="53" t="n">
        <v>45764.3822685185</v>
      </c>
      <c r="P7822" s="53" t="n">
        <v>45787.6071412037</v>
      </c>
      <c r="Q7822" s="53" t="n">
        <v>45764.3822685185</v>
      </c>
      <c r="R7822" s="0" t="n">
        <v>0</v>
      </c>
      <c r="S7822" s="51" t="s">
        <v>2356</v>
      </c>
      <c r="T7822" s="51" t="s">
        <v>2356</v>
      </c>
      <c r="U7822" s="51" t="s">
        <v>4140</v>
      </c>
      <c r="V7822" s="51" t="s">
        <v>3740</v>
      </c>
      <c r="W7822" s="51" t="s">
        <v>5750</v>
      </c>
      <c r="X7822" s="51" t="s">
        <v>2359</v>
      </c>
    </row>
    <row r="7823" customFormat="false" ht="14.25" hidden="true" customHeight="false" outlineLevel="0" collapsed="false">
      <c r="A7823" s="49" t="s">
        <v>2349</v>
      </c>
      <c r="B7823" s="49" t="s">
        <v>2350</v>
      </c>
      <c r="C7823" s="49" t="s">
        <v>12767</v>
      </c>
      <c r="D7823" s="49" t="s">
        <v>2352</v>
      </c>
      <c r="E7823" s="49" t="s">
        <v>4140</v>
      </c>
      <c r="F7823" s="49" t="s">
        <v>4141</v>
      </c>
      <c r="G7823" s="49" t="n">
        <v>0</v>
      </c>
      <c r="H7823" s="0" t="n">
        <v>0</v>
      </c>
      <c r="M7823" s="51" t="s">
        <v>12761</v>
      </c>
      <c r="N7823" s="49" t="n">
        <v>0</v>
      </c>
      <c r="O7823" s="53" t="n">
        <v>45764.3819791667</v>
      </c>
      <c r="P7823" s="53" t="n">
        <v>45808.5342592593</v>
      </c>
      <c r="Q7823" s="53" t="n">
        <v>45764.3819791667</v>
      </c>
      <c r="R7823" s="0" t="n">
        <v>0</v>
      </c>
      <c r="S7823" s="51" t="s">
        <v>2356</v>
      </c>
      <c r="T7823" s="51" t="s">
        <v>2356</v>
      </c>
      <c r="U7823" s="51" t="s">
        <v>4140</v>
      </c>
      <c r="V7823" s="51" t="s">
        <v>3740</v>
      </c>
      <c r="W7823" s="51" t="s">
        <v>4361</v>
      </c>
      <c r="X7823" s="51" t="s">
        <v>2359</v>
      </c>
    </row>
    <row r="7824" customFormat="false" ht="14.25" hidden="true" customHeight="false" outlineLevel="0" collapsed="false">
      <c r="A7824" s="49" t="s">
        <v>2349</v>
      </c>
      <c r="B7824" s="49" t="s">
        <v>2350</v>
      </c>
      <c r="C7824" s="49" t="s">
        <v>12768</v>
      </c>
      <c r="D7824" s="49" t="s">
        <v>2352</v>
      </c>
      <c r="E7824" s="49" t="s">
        <v>4140</v>
      </c>
      <c r="F7824" s="49" t="s">
        <v>4141</v>
      </c>
      <c r="G7824" s="49" t="n">
        <v>0</v>
      </c>
      <c r="H7824" s="0" t="n">
        <v>0</v>
      </c>
      <c r="M7824" s="51" t="s">
        <v>12761</v>
      </c>
      <c r="N7824" s="49" t="n">
        <v>0</v>
      </c>
      <c r="O7824" s="53" t="n">
        <v>45764.3816898148</v>
      </c>
      <c r="P7824" s="53" t="n">
        <v>45808.5340509259</v>
      </c>
      <c r="Q7824" s="53" t="n">
        <v>45764.3816898148</v>
      </c>
      <c r="R7824" s="0" t="n">
        <v>0</v>
      </c>
      <c r="S7824" s="51" t="s">
        <v>2356</v>
      </c>
      <c r="T7824" s="51" t="s">
        <v>2356</v>
      </c>
      <c r="U7824" s="51" t="s">
        <v>4140</v>
      </c>
      <c r="V7824" s="51" t="s">
        <v>3740</v>
      </c>
      <c r="W7824" s="51" t="s">
        <v>4144</v>
      </c>
      <c r="X7824" s="51" t="s">
        <v>2359</v>
      </c>
    </row>
    <row r="7825" customFormat="false" ht="14.25" hidden="true" customHeight="false" outlineLevel="0" collapsed="false">
      <c r="A7825" s="49" t="s">
        <v>2349</v>
      </c>
      <c r="B7825" s="49" t="s">
        <v>2350</v>
      </c>
      <c r="C7825" s="49" t="s">
        <v>12769</v>
      </c>
      <c r="D7825" s="49" t="s">
        <v>2352</v>
      </c>
      <c r="E7825" s="49" t="s">
        <v>4140</v>
      </c>
      <c r="F7825" s="49" t="s">
        <v>4141</v>
      </c>
      <c r="G7825" s="49" t="n">
        <v>0</v>
      </c>
      <c r="H7825" s="0" t="n">
        <v>0</v>
      </c>
      <c r="M7825" s="51" t="s">
        <v>12761</v>
      </c>
      <c r="N7825" s="49" t="n">
        <v>0</v>
      </c>
      <c r="O7825" s="53" t="n">
        <v>45764.381400463</v>
      </c>
      <c r="P7825" s="53" t="n">
        <v>45787.608587963</v>
      </c>
      <c r="Q7825" s="53" t="n">
        <v>45764.381400463</v>
      </c>
      <c r="R7825" s="0" t="n">
        <v>0</v>
      </c>
      <c r="S7825" s="51" t="s">
        <v>2356</v>
      </c>
      <c r="T7825" s="51" t="s">
        <v>2356</v>
      </c>
      <c r="U7825" s="51" t="s">
        <v>4140</v>
      </c>
      <c r="V7825" s="51" t="s">
        <v>3740</v>
      </c>
      <c r="W7825" s="51" t="s">
        <v>3749</v>
      </c>
      <c r="X7825" s="51" t="s">
        <v>2359</v>
      </c>
    </row>
    <row r="7826" customFormat="false" ht="14.25" hidden="true" customHeight="false" outlineLevel="0" collapsed="false">
      <c r="A7826" s="49" t="s">
        <v>2349</v>
      </c>
      <c r="B7826" s="49" t="s">
        <v>2350</v>
      </c>
      <c r="C7826" s="49" t="s">
        <v>12770</v>
      </c>
      <c r="D7826" s="49" t="s">
        <v>2397</v>
      </c>
      <c r="E7826" s="49" t="s">
        <v>4115</v>
      </c>
      <c r="F7826" s="49" t="s">
        <v>4116</v>
      </c>
      <c r="G7826" s="49" t="n">
        <v>0</v>
      </c>
      <c r="H7826" s="0" t="n">
        <v>0</v>
      </c>
      <c r="M7826" s="51" t="s">
        <v>12761</v>
      </c>
      <c r="N7826" s="49" t="n">
        <v>0</v>
      </c>
      <c r="O7826" s="53" t="n">
        <v>45764.3839930556</v>
      </c>
      <c r="P7826" s="53" t="n">
        <v>45770.5516898148</v>
      </c>
      <c r="Q7826" s="53" t="n">
        <v>45764.3839930556</v>
      </c>
      <c r="R7826" s="0" t="n">
        <v>0</v>
      </c>
      <c r="S7826" s="51" t="s">
        <v>2356</v>
      </c>
      <c r="T7826" s="51" t="s">
        <v>2356</v>
      </c>
      <c r="U7826" s="51" t="s">
        <v>4115</v>
      </c>
      <c r="V7826" s="51" t="s">
        <v>2365</v>
      </c>
      <c r="W7826" s="51" t="s">
        <v>9685</v>
      </c>
      <c r="X7826" s="51" t="s">
        <v>2359</v>
      </c>
    </row>
    <row r="7827" customFormat="false" ht="14.25" hidden="true" customHeight="false" outlineLevel="0" collapsed="false">
      <c r="A7827" s="49" t="s">
        <v>2349</v>
      </c>
      <c r="B7827" s="49" t="s">
        <v>2350</v>
      </c>
      <c r="C7827" s="49" t="s">
        <v>12771</v>
      </c>
      <c r="D7827" s="49" t="s">
        <v>2397</v>
      </c>
      <c r="E7827" s="49" t="s">
        <v>4115</v>
      </c>
      <c r="F7827" s="49" t="s">
        <v>4116</v>
      </c>
      <c r="G7827" s="49" t="n">
        <v>0</v>
      </c>
      <c r="H7827" s="0" t="n">
        <v>0</v>
      </c>
      <c r="M7827" s="51" t="s">
        <v>12761</v>
      </c>
      <c r="N7827" s="49" t="n">
        <v>0</v>
      </c>
      <c r="O7827" s="53" t="n">
        <v>45764.383599537</v>
      </c>
      <c r="P7827" s="53" t="n">
        <v>45770.5520717593</v>
      </c>
      <c r="Q7827" s="53" t="n">
        <v>45764.383599537</v>
      </c>
      <c r="R7827" s="0" t="n">
        <v>0</v>
      </c>
      <c r="S7827" s="51" t="s">
        <v>2356</v>
      </c>
      <c r="T7827" s="51" t="s">
        <v>2356</v>
      </c>
      <c r="U7827" s="51" t="s">
        <v>4115</v>
      </c>
      <c r="V7827" s="51" t="s">
        <v>2365</v>
      </c>
      <c r="W7827" s="51" t="s">
        <v>5983</v>
      </c>
      <c r="X7827" s="51" t="s">
        <v>2359</v>
      </c>
    </row>
    <row r="7828" customFormat="false" ht="14.25" hidden="true" customHeight="false" outlineLevel="0" collapsed="false">
      <c r="A7828" s="49" t="s">
        <v>2349</v>
      </c>
      <c r="B7828" s="49" t="s">
        <v>2350</v>
      </c>
      <c r="C7828" s="49" t="s">
        <v>12772</v>
      </c>
      <c r="D7828" s="49" t="s">
        <v>2397</v>
      </c>
      <c r="E7828" s="49" t="s">
        <v>4115</v>
      </c>
      <c r="F7828" s="49" t="s">
        <v>4116</v>
      </c>
      <c r="G7828" s="49" t="n">
        <v>0</v>
      </c>
      <c r="H7828" s="0" t="n">
        <v>0</v>
      </c>
      <c r="M7828" s="51" t="s">
        <v>12761</v>
      </c>
      <c r="N7828" s="49" t="n">
        <v>0</v>
      </c>
      <c r="O7828" s="53" t="n">
        <v>45764.3830092593</v>
      </c>
      <c r="P7828" s="53" t="n">
        <v>45770.5524074074</v>
      </c>
      <c r="Q7828" s="53" t="n">
        <v>45764.3830092593</v>
      </c>
      <c r="R7828" s="0" t="n">
        <v>0</v>
      </c>
      <c r="S7828" s="51" t="s">
        <v>2356</v>
      </c>
      <c r="T7828" s="51" t="s">
        <v>2356</v>
      </c>
      <c r="U7828" s="51" t="s">
        <v>4115</v>
      </c>
      <c r="V7828" s="51" t="s">
        <v>2365</v>
      </c>
      <c r="W7828" s="51" t="s">
        <v>7265</v>
      </c>
      <c r="X7828" s="51" t="s">
        <v>2359</v>
      </c>
    </row>
    <row r="7829" customFormat="false" ht="14.25" hidden="true" customHeight="false" outlineLevel="0" collapsed="false">
      <c r="A7829" s="49" t="s">
        <v>2349</v>
      </c>
      <c r="B7829" s="49" t="s">
        <v>2350</v>
      </c>
      <c r="C7829" s="49" t="s">
        <v>12773</v>
      </c>
      <c r="D7829" s="49" t="s">
        <v>2352</v>
      </c>
      <c r="E7829" s="49" t="s">
        <v>4140</v>
      </c>
      <c r="F7829" s="49" t="s">
        <v>4141</v>
      </c>
      <c r="G7829" s="49" t="n">
        <v>0</v>
      </c>
      <c r="H7829" s="0" t="n">
        <v>0</v>
      </c>
      <c r="M7829" s="51" t="s">
        <v>12774</v>
      </c>
      <c r="N7829" s="49" t="n">
        <v>0</v>
      </c>
      <c r="O7829" s="53" t="n">
        <v>45988.6267708333</v>
      </c>
      <c r="P7829" s="53" t="n">
        <v>46013.3933912037</v>
      </c>
      <c r="Q7829" s="53" t="n">
        <v>45988.6267708333</v>
      </c>
      <c r="R7829" s="0" t="n">
        <v>0</v>
      </c>
      <c r="S7829" s="51" t="s">
        <v>2356</v>
      </c>
      <c r="T7829" s="51" t="s">
        <v>2356</v>
      </c>
      <c r="U7829" s="51" t="s">
        <v>4140</v>
      </c>
      <c r="V7829" s="51" t="s">
        <v>3740</v>
      </c>
      <c r="W7829" s="51" t="s">
        <v>5317</v>
      </c>
      <c r="X7829" s="51" t="s">
        <v>2359</v>
      </c>
    </row>
    <row r="7830" customFormat="false" ht="14.25" hidden="true" customHeight="false" outlineLevel="0" collapsed="false">
      <c r="A7830" s="49" t="s">
        <v>2349</v>
      </c>
      <c r="B7830" s="49" t="s">
        <v>2350</v>
      </c>
      <c r="C7830" s="49" t="s">
        <v>12775</v>
      </c>
      <c r="D7830" s="49" t="s">
        <v>2352</v>
      </c>
      <c r="E7830" s="49" t="s">
        <v>4115</v>
      </c>
      <c r="F7830" s="49" t="s">
        <v>4116</v>
      </c>
      <c r="G7830" s="49" t="n">
        <v>0</v>
      </c>
      <c r="H7830" s="0" t="n">
        <v>0</v>
      </c>
      <c r="M7830" s="51" t="s">
        <v>12774</v>
      </c>
      <c r="N7830" s="49" t="n">
        <v>0</v>
      </c>
      <c r="O7830" s="53" t="n">
        <v>45988.6262268519</v>
      </c>
      <c r="P7830" s="53" t="n">
        <v>46025.6437037037</v>
      </c>
      <c r="Q7830" s="53" t="n">
        <v>45988.6262268519</v>
      </c>
      <c r="R7830" s="0" t="n">
        <v>0</v>
      </c>
      <c r="S7830" s="51" t="s">
        <v>2356</v>
      </c>
      <c r="T7830" s="51" t="s">
        <v>2356</v>
      </c>
      <c r="U7830" s="51" t="s">
        <v>4115</v>
      </c>
      <c r="V7830" s="51" t="s">
        <v>2365</v>
      </c>
      <c r="W7830" s="51" t="s">
        <v>12776</v>
      </c>
      <c r="X7830" s="51" t="s">
        <v>2359</v>
      </c>
    </row>
    <row r="7831" customFormat="false" ht="14.25" hidden="true" customHeight="false" outlineLevel="0" collapsed="false">
      <c r="A7831" s="49" t="s">
        <v>2349</v>
      </c>
      <c r="B7831" s="49" t="s">
        <v>2350</v>
      </c>
      <c r="C7831" s="49" t="s">
        <v>12777</v>
      </c>
      <c r="D7831" s="49" t="s">
        <v>2352</v>
      </c>
      <c r="E7831" s="49" t="s">
        <v>4115</v>
      </c>
      <c r="F7831" s="49" t="s">
        <v>4116</v>
      </c>
      <c r="G7831" s="49" t="n">
        <v>0</v>
      </c>
      <c r="H7831" s="0" t="n">
        <v>0</v>
      </c>
      <c r="M7831" s="51" t="s">
        <v>12774</v>
      </c>
      <c r="N7831" s="49" t="n">
        <v>0</v>
      </c>
      <c r="O7831" s="53" t="n">
        <v>45988.6257060185</v>
      </c>
      <c r="P7831" s="53" t="n">
        <v>45992.3805902778</v>
      </c>
      <c r="Q7831" s="53" t="n">
        <v>45988.6257060185</v>
      </c>
      <c r="R7831" s="0" t="n">
        <v>0</v>
      </c>
      <c r="S7831" s="51" t="s">
        <v>2356</v>
      </c>
      <c r="T7831" s="51" t="s">
        <v>2356</v>
      </c>
      <c r="U7831" s="51" t="s">
        <v>4115</v>
      </c>
      <c r="V7831" s="51" t="s">
        <v>2365</v>
      </c>
      <c r="W7831" s="51" t="s">
        <v>5490</v>
      </c>
      <c r="X7831" s="51" t="s">
        <v>2359</v>
      </c>
    </row>
    <row r="7832" customFormat="false" ht="14.25" hidden="true" customHeight="false" outlineLevel="0" collapsed="false">
      <c r="A7832" s="49" t="s">
        <v>2349</v>
      </c>
      <c r="B7832" s="49" t="s">
        <v>2350</v>
      </c>
      <c r="C7832" s="49" t="s">
        <v>12778</v>
      </c>
      <c r="D7832" s="49" t="s">
        <v>2352</v>
      </c>
      <c r="E7832" s="49" t="s">
        <v>4115</v>
      </c>
      <c r="F7832" s="49" t="s">
        <v>4116</v>
      </c>
      <c r="G7832" s="49" t="n">
        <v>0</v>
      </c>
      <c r="H7832" s="0" t="n">
        <v>0</v>
      </c>
      <c r="M7832" s="51" t="s">
        <v>12774</v>
      </c>
      <c r="N7832" s="49" t="n">
        <v>0</v>
      </c>
      <c r="O7832" s="53" t="n">
        <v>45988.6253703704</v>
      </c>
      <c r="P7832" s="53" t="n">
        <v>45992.3802199074</v>
      </c>
      <c r="Q7832" s="53" t="n">
        <v>45988.6253703704</v>
      </c>
      <c r="R7832" s="0" t="n">
        <v>0</v>
      </c>
      <c r="S7832" s="51" t="s">
        <v>2356</v>
      </c>
      <c r="T7832" s="51" t="s">
        <v>2356</v>
      </c>
      <c r="U7832" s="51" t="s">
        <v>4115</v>
      </c>
      <c r="V7832" s="51" t="s">
        <v>2365</v>
      </c>
      <c r="W7832" s="51" t="s">
        <v>5748</v>
      </c>
      <c r="X7832" s="51" t="s">
        <v>2359</v>
      </c>
    </row>
    <row r="7833" customFormat="false" ht="14.25" hidden="true" customHeight="false" outlineLevel="0" collapsed="false">
      <c r="A7833" s="49" t="s">
        <v>2349</v>
      </c>
      <c r="B7833" s="49" t="s">
        <v>2350</v>
      </c>
      <c r="C7833" s="49" t="s">
        <v>12779</v>
      </c>
      <c r="D7833" s="49" t="s">
        <v>2352</v>
      </c>
      <c r="E7833" s="49" t="str">
        <f aca="false">"5060458890191"</f>
        <v>5060458890191</v>
      </c>
      <c r="F7833" s="49" t="s">
        <v>3656</v>
      </c>
      <c r="G7833" s="49" t="n">
        <v>0</v>
      </c>
      <c r="H7833" s="0" t="n">
        <v>0</v>
      </c>
      <c r="M7833" s="51" t="s">
        <v>3783</v>
      </c>
      <c r="N7833" s="49" t="n">
        <v>0</v>
      </c>
      <c r="O7833" s="53" t="n">
        <v>46017.6430092593</v>
      </c>
      <c r="P7833" s="53" t="n">
        <v>46020.4021296296</v>
      </c>
      <c r="Q7833" s="53" t="n">
        <v>46017.6430092593</v>
      </c>
      <c r="R7833" s="0" t="n">
        <v>0</v>
      </c>
      <c r="S7833" s="51" t="s">
        <v>2380</v>
      </c>
      <c r="T7833" s="51" t="s">
        <v>2380</v>
      </c>
      <c r="U7833" s="0" t="str">
        <f aca="false">"5060458890191"</f>
        <v>5060458890191</v>
      </c>
      <c r="V7833" s="51" t="s">
        <v>2142</v>
      </c>
      <c r="W7833" s="51" t="s">
        <v>4912</v>
      </c>
      <c r="X7833" s="51" t="s">
        <v>2359</v>
      </c>
    </row>
    <row r="7834" customFormat="false" ht="14.25" hidden="true" customHeight="false" outlineLevel="0" collapsed="false">
      <c r="A7834" s="49" t="s">
        <v>2349</v>
      </c>
      <c r="B7834" s="49" t="s">
        <v>2350</v>
      </c>
      <c r="C7834" s="49" t="s">
        <v>12780</v>
      </c>
      <c r="D7834" s="49" t="s">
        <v>2352</v>
      </c>
      <c r="E7834" s="49" t="str">
        <f aca="false">"5060458890191"</f>
        <v>5060458890191</v>
      </c>
      <c r="F7834" s="49" t="s">
        <v>3656</v>
      </c>
      <c r="G7834" s="49" t="n">
        <v>0</v>
      </c>
      <c r="H7834" s="0" t="n">
        <v>0</v>
      </c>
      <c r="M7834" s="51" t="s">
        <v>3783</v>
      </c>
      <c r="N7834" s="49" t="n">
        <v>0</v>
      </c>
      <c r="O7834" s="53" t="n">
        <v>46017.643125</v>
      </c>
      <c r="P7834" s="53" t="n">
        <v>46020.4025462963</v>
      </c>
      <c r="Q7834" s="53" t="n">
        <v>46017.643125</v>
      </c>
      <c r="R7834" s="0" t="n">
        <v>0</v>
      </c>
      <c r="S7834" s="51" t="s">
        <v>2380</v>
      </c>
      <c r="T7834" s="51" t="s">
        <v>2380</v>
      </c>
      <c r="U7834" s="0" t="str">
        <f aca="false">"5060458890191"</f>
        <v>5060458890191</v>
      </c>
      <c r="V7834" s="51" t="s">
        <v>2142</v>
      </c>
      <c r="W7834" s="51" t="s">
        <v>12693</v>
      </c>
      <c r="X7834" s="51" t="s">
        <v>2359</v>
      </c>
    </row>
    <row r="7835" customFormat="false" ht="14.25" hidden="true" customHeight="false" outlineLevel="0" collapsed="false">
      <c r="A7835" s="49" t="s">
        <v>2349</v>
      </c>
      <c r="B7835" s="49" t="s">
        <v>2350</v>
      </c>
      <c r="C7835" s="49" t="s">
        <v>12781</v>
      </c>
      <c r="D7835" s="49" t="s">
        <v>2352</v>
      </c>
      <c r="E7835" s="49" t="str">
        <f aca="false">"5060458890191"</f>
        <v>5060458890191</v>
      </c>
      <c r="F7835" s="49" t="s">
        <v>3656</v>
      </c>
      <c r="G7835" s="49" t="n">
        <v>0</v>
      </c>
      <c r="H7835" s="0" t="n">
        <v>0</v>
      </c>
      <c r="M7835" s="51" t="s">
        <v>3783</v>
      </c>
      <c r="N7835" s="49" t="n">
        <v>0</v>
      </c>
      <c r="O7835" s="53" t="n">
        <v>46017.6432291667</v>
      </c>
      <c r="P7835" s="53" t="n">
        <v>46021.4733912037</v>
      </c>
      <c r="Q7835" s="53" t="n">
        <v>46017.6432291667</v>
      </c>
      <c r="R7835" s="0" t="n">
        <v>0</v>
      </c>
      <c r="S7835" s="51" t="s">
        <v>2380</v>
      </c>
      <c r="T7835" s="51" t="s">
        <v>2380</v>
      </c>
      <c r="U7835" s="0" t="str">
        <f aca="false">"5060458890191"</f>
        <v>5060458890191</v>
      </c>
      <c r="V7835" s="51" t="s">
        <v>2142</v>
      </c>
      <c r="W7835" s="51" t="s">
        <v>4831</v>
      </c>
      <c r="X7835" s="51" t="s">
        <v>2359</v>
      </c>
    </row>
    <row r="7836" customFormat="false" ht="14.25" hidden="true" customHeight="false" outlineLevel="0" collapsed="false">
      <c r="A7836" s="49" t="s">
        <v>2349</v>
      </c>
      <c r="B7836" s="49" t="s">
        <v>2350</v>
      </c>
      <c r="C7836" s="49" t="s">
        <v>12782</v>
      </c>
      <c r="D7836" s="49" t="s">
        <v>2352</v>
      </c>
      <c r="E7836" s="49" t="str">
        <f aca="false">"5060458890191"</f>
        <v>5060458890191</v>
      </c>
      <c r="F7836" s="49" t="s">
        <v>3656</v>
      </c>
      <c r="G7836" s="49" t="n">
        <v>0</v>
      </c>
      <c r="H7836" s="0" t="n">
        <v>0</v>
      </c>
      <c r="M7836" s="51" t="s">
        <v>3783</v>
      </c>
      <c r="N7836" s="49" t="n">
        <v>0</v>
      </c>
      <c r="O7836" s="53" t="n">
        <v>46017.6433796296</v>
      </c>
      <c r="P7836" s="53" t="n">
        <v>46020.4038657407</v>
      </c>
      <c r="Q7836" s="53" t="n">
        <v>46017.6433796296</v>
      </c>
      <c r="R7836" s="0" t="n">
        <v>0</v>
      </c>
      <c r="S7836" s="51" t="s">
        <v>2380</v>
      </c>
      <c r="T7836" s="51" t="s">
        <v>2380</v>
      </c>
      <c r="U7836" s="0" t="str">
        <f aca="false">"5060458890191"</f>
        <v>5060458890191</v>
      </c>
      <c r="V7836" s="51" t="s">
        <v>2142</v>
      </c>
      <c r="W7836" s="51" t="s">
        <v>11664</v>
      </c>
      <c r="X7836" s="51" t="s">
        <v>2359</v>
      </c>
    </row>
    <row r="7837" customFormat="false" ht="14.25" hidden="true" customHeight="false" outlineLevel="0" collapsed="false">
      <c r="A7837" s="49" t="s">
        <v>2349</v>
      </c>
      <c r="B7837" s="49" t="s">
        <v>2350</v>
      </c>
      <c r="C7837" s="49" t="s">
        <v>12783</v>
      </c>
      <c r="D7837" s="49" t="s">
        <v>2352</v>
      </c>
      <c r="E7837" s="49" t="str">
        <f aca="false">"5060458890191"</f>
        <v>5060458890191</v>
      </c>
      <c r="F7837" s="49" t="s">
        <v>3656</v>
      </c>
      <c r="G7837" s="49" t="n">
        <v>0</v>
      </c>
      <c r="H7837" s="0" t="n">
        <v>0</v>
      </c>
      <c r="M7837" s="51" t="s">
        <v>3783</v>
      </c>
      <c r="N7837" s="49" t="n">
        <v>0</v>
      </c>
      <c r="O7837" s="53" t="n">
        <v>46017.6434837963</v>
      </c>
      <c r="P7837" s="53" t="n">
        <v>46020.4037847222</v>
      </c>
      <c r="Q7837" s="53" t="n">
        <v>46017.6434837963</v>
      </c>
      <c r="R7837" s="0" t="n">
        <v>0</v>
      </c>
      <c r="S7837" s="51" t="s">
        <v>2380</v>
      </c>
      <c r="T7837" s="51" t="s">
        <v>2380</v>
      </c>
      <c r="U7837" s="0" t="str">
        <f aca="false">"5060458890191"</f>
        <v>5060458890191</v>
      </c>
      <c r="V7837" s="51" t="s">
        <v>2142</v>
      </c>
      <c r="W7837" s="51" t="s">
        <v>10097</v>
      </c>
      <c r="X7837" s="51" t="s">
        <v>2359</v>
      </c>
    </row>
    <row r="7838" customFormat="false" ht="14.25" hidden="true" customHeight="false" outlineLevel="0" collapsed="false">
      <c r="A7838" s="49" t="s">
        <v>2349</v>
      </c>
      <c r="B7838" s="49" t="s">
        <v>2350</v>
      </c>
      <c r="C7838" s="49" t="s">
        <v>12784</v>
      </c>
      <c r="D7838" s="49" t="s">
        <v>2352</v>
      </c>
      <c r="E7838" s="49" t="str">
        <f aca="false">"5060458890191"</f>
        <v>5060458890191</v>
      </c>
      <c r="F7838" s="49" t="s">
        <v>3656</v>
      </c>
      <c r="G7838" s="49" t="n">
        <v>0</v>
      </c>
      <c r="H7838" s="0" t="n">
        <v>0</v>
      </c>
      <c r="M7838" s="51" t="s">
        <v>3783</v>
      </c>
      <c r="N7838" s="49" t="n">
        <v>0</v>
      </c>
      <c r="O7838" s="53" t="n">
        <v>46017.6436111111</v>
      </c>
      <c r="P7838" s="53" t="n">
        <v>46021.4741203704</v>
      </c>
      <c r="Q7838" s="53" t="n">
        <v>46017.6436111111</v>
      </c>
      <c r="R7838" s="0" t="n">
        <v>0</v>
      </c>
      <c r="S7838" s="51" t="s">
        <v>2380</v>
      </c>
      <c r="T7838" s="51" t="s">
        <v>2380</v>
      </c>
      <c r="U7838" s="0" t="str">
        <f aca="false">"5060458890191"</f>
        <v>5060458890191</v>
      </c>
      <c r="V7838" s="51" t="s">
        <v>2142</v>
      </c>
      <c r="W7838" s="51" t="s">
        <v>4202</v>
      </c>
      <c r="X7838" s="51" t="s">
        <v>2359</v>
      </c>
    </row>
    <row r="7839" customFormat="false" ht="14.25" hidden="true" customHeight="false" outlineLevel="0" collapsed="false">
      <c r="A7839" s="49" t="s">
        <v>2349</v>
      </c>
      <c r="B7839" s="49" t="s">
        <v>2350</v>
      </c>
      <c r="C7839" s="49" t="s">
        <v>12785</v>
      </c>
      <c r="D7839" s="49" t="s">
        <v>2352</v>
      </c>
      <c r="E7839" s="49" t="str">
        <f aca="false">"5060458890191"</f>
        <v>5060458890191</v>
      </c>
      <c r="F7839" s="49" t="s">
        <v>3656</v>
      </c>
      <c r="G7839" s="49" t="n">
        <v>0</v>
      </c>
      <c r="H7839" s="0" t="n">
        <v>0</v>
      </c>
      <c r="M7839" s="51" t="s">
        <v>3783</v>
      </c>
      <c r="N7839" s="49" t="n">
        <v>0</v>
      </c>
      <c r="O7839" s="53" t="n">
        <v>46017.6437268519</v>
      </c>
      <c r="P7839" s="53" t="n">
        <v>46021.4740046296</v>
      </c>
      <c r="Q7839" s="53" t="n">
        <v>46017.6437268519</v>
      </c>
      <c r="R7839" s="0" t="n">
        <v>0</v>
      </c>
      <c r="S7839" s="51" t="s">
        <v>2380</v>
      </c>
      <c r="T7839" s="51" t="s">
        <v>2380</v>
      </c>
      <c r="U7839" s="0" t="str">
        <f aca="false">"5060458890191"</f>
        <v>5060458890191</v>
      </c>
      <c r="V7839" s="51" t="s">
        <v>2142</v>
      </c>
      <c r="W7839" s="51" t="s">
        <v>4262</v>
      </c>
      <c r="X7839" s="51" t="s">
        <v>2359</v>
      </c>
    </row>
    <row r="7840" customFormat="false" ht="14.25" hidden="true" customHeight="false" outlineLevel="0" collapsed="false">
      <c r="A7840" s="49" t="s">
        <v>2349</v>
      </c>
      <c r="B7840" s="49" t="s">
        <v>2350</v>
      </c>
      <c r="C7840" s="49" t="s">
        <v>12786</v>
      </c>
      <c r="D7840" s="49" t="s">
        <v>2352</v>
      </c>
      <c r="E7840" s="49" t="str">
        <f aca="false">"5060458890191"</f>
        <v>5060458890191</v>
      </c>
      <c r="F7840" s="49" t="s">
        <v>3656</v>
      </c>
      <c r="G7840" s="49" t="n">
        <v>0</v>
      </c>
      <c r="H7840" s="0" t="n">
        <v>0</v>
      </c>
      <c r="M7840" s="51" t="s">
        <v>3783</v>
      </c>
      <c r="N7840" s="49" t="n">
        <v>0</v>
      </c>
      <c r="O7840" s="53" t="n">
        <v>46017.6427314815</v>
      </c>
      <c r="P7840" s="53" t="n">
        <v>46023.9298263889</v>
      </c>
      <c r="Q7840" s="53" t="n">
        <v>46017.6427314815</v>
      </c>
      <c r="R7840" s="0" t="n">
        <v>0</v>
      </c>
      <c r="S7840" s="51" t="s">
        <v>2380</v>
      </c>
      <c r="T7840" s="51" t="s">
        <v>2380</v>
      </c>
      <c r="U7840" s="0" t="str">
        <f aca="false">"5060458890191"</f>
        <v>5060458890191</v>
      </c>
      <c r="V7840" s="51" t="s">
        <v>2142</v>
      </c>
      <c r="W7840" s="51" t="s">
        <v>10594</v>
      </c>
      <c r="X7840" s="51" t="s">
        <v>2359</v>
      </c>
    </row>
    <row r="7841" customFormat="false" ht="14.25" hidden="true" customHeight="false" outlineLevel="0" collapsed="false">
      <c r="A7841" s="49" t="s">
        <v>2349</v>
      </c>
      <c r="B7841" s="49" t="s">
        <v>2350</v>
      </c>
      <c r="C7841" s="49" t="s">
        <v>12787</v>
      </c>
      <c r="D7841" s="49" t="s">
        <v>2352</v>
      </c>
      <c r="E7841" s="49" t="str">
        <f aca="false">"5060458890191"</f>
        <v>5060458890191</v>
      </c>
      <c r="F7841" s="49" t="s">
        <v>3656</v>
      </c>
      <c r="G7841" s="49" t="n">
        <v>0</v>
      </c>
      <c r="H7841" s="0" t="n">
        <v>0</v>
      </c>
      <c r="M7841" s="51" t="s">
        <v>3783</v>
      </c>
      <c r="N7841" s="49" t="n">
        <v>0</v>
      </c>
      <c r="O7841" s="53" t="n">
        <v>46017.6425694445</v>
      </c>
      <c r="P7841" s="53" t="n">
        <v>46021.4777430556</v>
      </c>
      <c r="Q7841" s="53" t="n">
        <v>46017.6425694445</v>
      </c>
      <c r="R7841" s="0" t="n">
        <v>0</v>
      </c>
      <c r="S7841" s="51" t="s">
        <v>2380</v>
      </c>
      <c r="T7841" s="51" t="s">
        <v>2380</v>
      </c>
      <c r="U7841" s="0" t="str">
        <f aca="false">"5060458890191"</f>
        <v>5060458890191</v>
      </c>
      <c r="V7841" s="51" t="s">
        <v>2142</v>
      </c>
      <c r="W7841" s="51" t="s">
        <v>4034</v>
      </c>
      <c r="X7841" s="51" t="s">
        <v>2359</v>
      </c>
    </row>
    <row r="7842" customFormat="false" ht="14.25" hidden="true" customHeight="false" outlineLevel="0" collapsed="false">
      <c r="A7842" s="49" t="s">
        <v>2349</v>
      </c>
      <c r="B7842" s="49" t="s">
        <v>2350</v>
      </c>
      <c r="C7842" s="49" t="s">
        <v>12788</v>
      </c>
      <c r="D7842" s="49" t="s">
        <v>2352</v>
      </c>
      <c r="E7842" s="49" t="str">
        <f aca="false">"5060458890191"</f>
        <v>5060458890191</v>
      </c>
      <c r="F7842" s="49" t="s">
        <v>3656</v>
      </c>
      <c r="G7842" s="49" t="n">
        <v>0</v>
      </c>
      <c r="H7842" s="0" t="n">
        <v>0</v>
      </c>
      <c r="M7842" s="51" t="s">
        <v>3783</v>
      </c>
      <c r="N7842" s="49" t="n">
        <v>0</v>
      </c>
      <c r="O7842" s="53" t="n">
        <v>46017.6424652778</v>
      </c>
      <c r="P7842" s="53" t="n">
        <v>46020.4042708333</v>
      </c>
      <c r="Q7842" s="53" t="n">
        <v>46017.6424652778</v>
      </c>
      <c r="R7842" s="0" t="n">
        <v>0</v>
      </c>
      <c r="S7842" s="51" t="s">
        <v>2380</v>
      </c>
      <c r="T7842" s="51" t="s">
        <v>2380</v>
      </c>
      <c r="U7842" s="0" t="str">
        <f aca="false">"5060458890191"</f>
        <v>5060458890191</v>
      </c>
      <c r="V7842" s="51" t="s">
        <v>2142</v>
      </c>
      <c r="W7842" s="51" t="s">
        <v>4260</v>
      </c>
      <c r="X7842" s="51" t="s">
        <v>2359</v>
      </c>
    </row>
    <row r="7843" customFormat="false" ht="14.25" hidden="true" customHeight="false" outlineLevel="0" collapsed="false">
      <c r="A7843" s="49" t="s">
        <v>2349</v>
      </c>
      <c r="B7843" s="49" t="s">
        <v>2350</v>
      </c>
      <c r="C7843" s="49" t="s">
        <v>12789</v>
      </c>
      <c r="D7843" s="49" t="s">
        <v>2352</v>
      </c>
      <c r="E7843" s="49" t="str">
        <f aca="false">"5060458890191"</f>
        <v>5060458890191</v>
      </c>
      <c r="F7843" s="49" t="s">
        <v>3656</v>
      </c>
      <c r="G7843" s="49" t="n">
        <v>0</v>
      </c>
      <c r="H7843" s="0" t="n">
        <v>0</v>
      </c>
      <c r="M7843" s="51" t="s">
        <v>3783</v>
      </c>
      <c r="N7843" s="49" t="n">
        <v>0</v>
      </c>
      <c r="O7843" s="53" t="n">
        <v>46017.6423263889</v>
      </c>
      <c r="P7843" s="53" t="n">
        <v>46021.4771643519</v>
      </c>
      <c r="Q7843" s="53" t="n">
        <v>46017.6423263889</v>
      </c>
      <c r="R7843" s="0" t="n">
        <v>0</v>
      </c>
      <c r="S7843" s="51" t="s">
        <v>2380</v>
      </c>
      <c r="T7843" s="51" t="s">
        <v>2380</v>
      </c>
      <c r="U7843" s="0" t="str">
        <f aca="false">"5060458890191"</f>
        <v>5060458890191</v>
      </c>
      <c r="V7843" s="51" t="s">
        <v>2142</v>
      </c>
      <c r="W7843" s="51" t="s">
        <v>10729</v>
      </c>
      <c r="X7843" s="51" t="s">
        <v>2359</v>
      </c>
    </row>
    <row r="7844" customFormat="false" ht="14.25" hidden="true" customHeight="false" outlineLevel="0" collapsed="false">
      <c r="A7844" s="49" t="s">
        <v>2349</v>
      </c>
      <c r="B7844" s="49" t="s">
        <v>2350</v>
      </c>
      <c r="C7844" s="49" t="s">
        <v>12790</v>
      </c>
      <c r="D7844" s="49" t="s">
        <v>2352</v>
      </c>
      <c r="E7844" s="49" t="str">
        <f aca="false">"5060458890191"</f>
        <v>5060458890191</v>
      </c>
      <c r="F7844" s="49" t="s">
        <v>3656</v>
      </c>
      <c r="G7844" s="49" t="n">
        <v>0</v>
      </c>
      <c r="H7844" s="0" t="n">
        <v>0</v>
      </c>
      <c r="M7844" s="51" t="s">
        <v>3783</v>
      </c>
      <c r="N7844" s="49" t="n">
        <v>0</v>
      </c>
      <c r="O7844" s="53" t="n">
        <v>46017.6421990741</v>
      </c>
      <c r="P7844" s="53" t="n">
        <v>46021.4762615741</v>
      </c>
      <c r="Q7844" s="53" t="n">
        <v>46017.6421990741</v>
      </c>
      <c r="R7844" s="0" t="n">
        <v>0</v>
      </c>
      <c r="S7844" s="51" t="s">
        <v>2380</v>
      </c>
      <c r="T7844" s="51" t="s">
        <v>2380</v>
      </c>
      <c r="U7844" s="0" t="str">
        <f aca="false">"5060458890191"</f>
        <v>5060458890191</v>
      </c>
      <c r="V7844" s="51" t="s">
        <v>2142</v>
      </c>
      <c r="W7844" s="51" t="s">
        <v>6578</v>
      </c>
      <c r="X7844" s="51" t="s">
        <v>2359</v>
      </c>
    </row>
    <row r="7845" customFormat="false" ht="14.25" hidden="true" customHeight="false" outlineLevel="0" collapsed="false">
      <c r="A7845" s="49" t="s">
        <v>2349</v>
      </c>
      <c r="B7845" s="49" t="s">
        <v>2350</v>
      </c>
      <c r="C7845" s="49" t="s">
        <v>12791</v>
      </c>
      <c r="D7845" s="49" t="s">
        <v>2352</v>
      </c>
      <c r="E7845" s="49" t="str">
        <f aca="false">"5060458890191"</f>
        <v>5060458890191</v>
      </c>
      <c r="F7845" s="49" t="s">
        <v>3656</v>
      </c>
      <c r="G7845" s="49" t="n">
        <v>0</v>
      </c>
      <c r="H7845" s="0" t="n">
        <v>0</v>
      </c>
      <c r="M7845" s="51" t="s">
        <v>3783</v>
      </c>
      <c r="N7845" s="49" t="n">
        <v>0</v>
      </c>
      <c r="O7845" s="53" t="n">
        <v>46017.642025463</v>
      </c>
      <c r="P7845" s="53" t="n">
        <v>46021.474837963</v>
      </c>
      <c r="Q7845" s="53" t="n">
        <v>46017.642025463</v>
      </c>
      <c r="R7845" s="0" t="n">
        <v>0</v>
      </c>
      <c r="S7845" s="51" t="s">
        <v>2380</v>
      </c>
      <c r="T7845" s="51" t="s">
        <v>2380</v>
      </c>
      <c r="U7845" s="0" t="str">
        <f aca="false">"5060458890191"</f>
        <v>5060458890191</v>
      </c>
      <c r="V7845" s="51" t="s">
        <v>2142</v>
      </c>
      <c r="W7845" s="51" t="s">
        <v>10568</v>
      </c>
      <c r="X7845" s="51" t="s">
        <v>2359</v>
      </c>
    </row>
    <row r="7846" customFormat="false" ht="14.25" hidden="true" customHeight="false" outlineLevel="0" collapsed="false">
      <c r="A7846" s="49" t="s">
        <v>2349</v>
      </c>
      <c r="B7846" s="49" t="s">
        <v>2350</v>
      </c>
      <c r="C7846" s="49" t="s">
        <v>12792</v>
      </c>
      <c r="D7846" s="49" t="s">
        <v>2352</v>
      </c>
      <c r="E7846" s="49" t="str">
        <f aca="false">"5060458890191"</f>
        <v>5060458890191</v>
      </c>
      <c r="F7846" s="49" t="s">
        <v>3656</v>
      </c>
      <c r="G7846" s="49" t="n">
        <v>0</v>
      </c>
      <c r="H7846" s="0" t="n">
        <v>0</v>
      </c>
      <c r="M7846" s="51" t="s">
        <v>3783</v>
      </c>
      <c r="N7846" s="49" t="n">
        <v>0</v>
      </c>
      <c r="O7846" s="53" t="n">
        <v>46017.6418865741</v>
      </c>
      <c r="P7846" s="53" t="n">
        <v>46020.4032407407</v>
      </c>
      <c r="Q7846" s="53" t="n">
        <v>46017.6418865741</v>
      </c>
      <c r="R7846" s="0" t="n">
        <v>0</v>
      </c>
      <c r="S7846" s="51" t="s">
        <v>2380</v>
      </c>
      <c r="T7846" s="51" t="s">
        <v>2380</v>
      </c>
      <c r="U7846" s="0" t="str">
        <f aca="false">"5060458890191"</f>
        <v>5060458890191</v>
      </c>
      <c r="V7846" s="51" t="s">
        <v>2142</v>
      </c>
      <c r="W7846" s="51" t="s">
        <v>10844</v>
      </c>
      <c r="X7846" s="51" t="s">
        <v>2359</v>
      </c>
    </row>
    <row r="7847" customFormat="false" ht="14.25" hidden="true" customHeight="false" outlineLevel="0" collapsed="false">
      <c r="A7847" s="49" t="s">
        <v>2349</v>
      </c>
      <c r="B7847" s="49" t="s">
        <v>2350</v>
      </c>
      <c r="C7847" s="49" t="s">
        <v>12793</v>
      </c>
      <c r="D7847" s="49" t="s">
        <v>2352</v>
      </c>
      <c r="E7847" s="49" t="str">
        <f aca="false">"5060458890191"</f>
        <v>5060458890191</v>
      </c>
      <c r="F7847" s="49" t="s">
        <v>3656</v>
      </c>
      <c r="G7847" s="49" t="n">
        <v>0</v>
      </c>
      <c r="H7847" s="0" t="n">
        <v>0</v>
      </c>
      <c r="M7847" s="51" t="s">
        <v>3783</v>
      </c>
      <c r="N7847" s="49" t="n">
        <v>0</v>
      </c>
      <c r="O7847" s="53" t="n">
        <v>46017.6406712963</v>
      </c>
      <c r="P7847" s="53" t="n">
        <v>46023.9230787037</v>
      </c>
      <c r="Q7847" s="53" t="n">
        <v>46017.6406712963</v>
      </c>
      <c r="R7847" s="0" t="n">
        <v>0</v>
      </c>
      <c r="S7847" s="51" t="s">
        <v>2380</v>
      </c>
      <c r="T7847" s="51" t="s">
        <v>2380</v>
      </c>
      <c r="U7847" s="0" t="str">
        <f aca="false">"5060458890191"</f>
        <v>5060458890191</v>
      </c>
      <c r="V7847" s="51" t="s">
        <v>2142</v>
      </c>
      <c r="W7847" s="51" t="s">
        <v>4935</v>
      </c>
      <c r="X7847" s="51" t="s">
        <v>2359</v>
      </c>
    </row>
    <row r="7848" customFormat="false" ht="14.25" hidden="true" customHeight="false" outlineLevel="0" collapsed="false">
      <c r="A7848" s="49" t="s">
        <v>2349</v>
      </c>
      <c r="B7848" s="49" t="s">
        <v>2350</v>
      </c>
      <c r="C7848" s="49" t="s">
        <v>12794</v>
      </c>
      <c r="D7848" s="49" t="s">
        <v>2352</v>
      </c>
      <c r="E7848" s="49" t="str">
        <f aca="false">"5060458890191"</f>
        <v>5060458890191</v>
      </c>
      <c r="F7848" s="49" t="s">
        <v>3656</v>
      </c>
      <c r="G7848" s="49" t="n">
        <v>0</v>
      </c>
      <c r="H7848" s="0" t="n">
        <v>0</v>
      </c>
      <c r="M7848" s="51" t="s">
        <v>3783</v>
      </c>
      <c r="N7848" s="49" t="n">
        <v>0</v>
      </c>
      <c r="O7848" s="53" t="n">
        <v>46017.640787037</v>
      </c>
      <c r="P7848" s="53" t="n">
        <v>46020.3325694444</v>
      </c>
      <c r="Q7848" s="53" t="n">
        <v>46017.640787037</v>
      </c>
      <c r="R7848" s="0" t="n">
        <v>0</v>
      </c>
      <c r="S7848" s="51" t="s">
        <v>2380</v>
      </c>
      <c r="T7848" s="51" t="s">
        <v>2380</v>
      </c>
      <c r="U7848" s="0" t="str">
        <f aca="false">"5060458890191"</f>
        <v>5060458890191</v>
      </c>
      <c r="V7848" s="51" t="s">
        <v>2142</v>
      </c>
      <c r="W7848" s="51" t="s">
        <v>4897</v>
      </c>
      <c r="X7848" s="51" t="s">
        <v>2359</v>
      </c>
    </row>
    <row r="7849" customFormat="false" ht="14.25" hidden="true" customHeight="false" outlineLevel="0" collapsed="false">
      <c r="A7849" s="49" t="s">
        <v>2349</v>
      </c>
      <c r="B7849" s="49" t="s">
        <v>2350</v>
      </c>
      <c r="C7849" s="49" t="s">
        <v>12795</v>
      </c>
      <c r="D7849" s="49" t="s">
        <v>2352</v>
      </c>
      <c r="E7849" s="49" t="str">
        <f aca="false">"5060458890191"</f>
        <v>5060458890191</v>
      </c>
      <c r="F7849" s="49" t="s">
        <v>3656</v>
      </c>
      <c r="G7849" s="49" t="n">
        <v>0</v>
      </c>
      <c r="H7849" s="0" t="n">
        <v>0</v>
      </c>
      <c r="M7849" s="51" t="s">
        <v>3783</v>
      </c>
      <c r="N7849" s="49" t="n">
        <v>0</v>
      </c>
      <c r="O7849" s="53" t="n">
        <v>46017.6409953704</v>
      </c>
      <c r="P7849" s="53" t="n">
        <v>46021.4808912037</v>
      </c>
      <c r="Q7849" s="53" t="n">
        <v>46017.6409953704</v>
      </c>
      <c r="R7849" s="0" t="n">
        <v>0</v>
      </c>
      <c r="S7849" s="51" t="s">
        <v>2380</v>
      </c>
      <c r="T7849" s="51" t="s">
        <v>2380</v>
      </c>
      <c r="U7849" s="0" t="str">
        <f aca="false">"5060458890191"</f>
        <v>5060458890191</v>
      </c>
      <c r="V7849" s="51" t="s">
        <v>2142</v>
      </c>
      <c r="W7849" s="51" t="s">
        <v>4258</v>
      </c>
      <c r="X7849" s="51" t="s">
        <v>2359</v>
      </c>
    </row>
    <row r="7850" customFormat="false" ht="14.25" hidden="true" customHeight="false" outlineLevel="0" collapsed="false">
      <c r="A7850" s="49" t="s">
        <v>2349</v>
      </c>
      <c r="B7850" s="49" t="s">
        <v>2350</v>
      </c>
      <c r="C7850" s="49" t="s">
        <v>12796</v>
      </c>
      <c r="D7850" s="49" t="s">
        <v>2352</v>
      </c>
      <c r="E7850" s="49" t="str">
        <f aca="false">"5060458890191"</f>
        <v>5060458890191</v>
      </c>
      <c r="F7850" s="49" t="s">
        <v>3656</v>
      </c>
      <c r="G7850" s="49" t="n">
        <v>0</v>
      </c>
      <c r="H7850" s="0" t="n">
        <v>0</v>
      </c>
      <c r="M7850" s="51" t="s">
        <v>3783</v>
      </c>
      <c r="N7850" s="49" t="n">
        <v>0</v>
      </c>
      <c r="O7850" s="53" t="n">
        <v>46017.6411574074</v>
      </c>
      <c r="P7850" s="53" t="n">
        <v>46023.9079282407</v>
      </c>
      <c r="Q7850" s="53" t="n">
        <v>46017.6411574074</v>
      </c>
      <c r="R7850" s="0" t="n">
        <v>0</v>
      </c>
      <c r="S7850" s="51" t="s">
        <v>2380</v>
      </c>
      <c r="T7850" s="51" t="s">
        <v>2380</v>
      </c>
      <c r="U7850" s="0" t="str">
        <f aca="false">"5060458890191"</f>
        <v>5060458890191</v>
      </c>
      <c r="V7850" s="51" t="s">
        <v>2142</v>
      </c>
      <c r="W7850" s="51" t="s">
        <v>4833</v>
      </c>
      <c r="X7850" s="51" t="s">
        <v>2359</v>
      </c>
    </row>
    <row r="7851" customFormat="false" ht="14.25" hidden="true" customHeight="false" outlineLevel="0" collapsed="false">
      <c r="A7851" s="49" t="s">
        <v>2349</v>
      </c>
      <c r="B7851" s="49" t="s">
        <v>2350</v>
      </c>
      <c r="C7851" s="49" t="s">
        <v>12797</v>
      </c>
      <c r="D7851" s="49" t="s">
        <v>2352</v>
      </c>
      <c r="E7851" s="49" t="str">
        <f aca="false">"5060458890191"</f>
        <v>5060458890191</v>
      </c>
      <c r="F7851" s="49" t="s">
        <v>3656</v>
      </c>
      <c r="G7851" s="49" t="n">
        <v>0</v>
      </c>
      <c r="H7851" s="0" t="n">
        <v>0</v>
      </c>
      <c r="M7851" s="51" t="s">
        <v>3783</v>
      </c>
      <c r="N7851" s="49" t="n">
        <v>0</v>
      </c>
      <c r="O7851" s="53" t="n">
        <v>46017.6413657407</v>
      </c>
      <c r="P7851" s="53" t="n">
        <v>46023.9142708333</v>
      </c>
      <c r="Q7851" s="53" t="n">
        <v>46017.6413657407</v>
      </c>
      <c r="R7851" s="0" t="n">
        <v>0</v>
      </c>
      <c r="S7851" s="51" t="s">
        <v>2380</v>
      </c>
      <c r="T7851" s="51" t="s">
        <v>2380</v>
      </c>
      <c r="U7851" s="0" t="str">
        <f aca="false">"5060458890191"</f>
        <v>5060458890191</v>
      </c>
      <c r="V7851" s="51" t="s">
        <v>2142</v>
      </c>
      <c r="W7851" s="51" t="s">
        <v>12798</v>
      </c>
      <c r="X7851" s="51" t="s">
        <v>2359</v>
      </c>
    </row>
    <row r="7852" customFormat="false" ht="14.25" hidden="true" customHeight="false" outlineLevel="0" collapsed="false">
      <c r="A7852" s="49" t="s">
        <v>2349</v>
      </c>
      <c r="B7852" s="49" t="s">
        <v>2350</v>
      </c>
      <c r="C7852" s="49" t="s">
        <v>12799</v>
      </c>
      <c r="D7852" s="49" t="s">
        <v>2352</v>
      </c>
      <c r="E7852" s="49" t="str">
        <f aca="false">"5060458890191"</f>
        <v>5060458890191</v>
      </c>
      <c r="F7852" s="49" t="s">
        <v>3656</v>
      </c>
      <c r="G7852" s="49" t="n">
        <v>0</v>
      </c>
      <c r="H7852" s="0" t="n">
        <v>0</v>
      </c>
      <c r="M7852" s="51" t="s">
        <v>3783</v>
      </c>
      <c r="N7852" s="49" t="n">
        <v>0</v>
      </c>
      <c r="O7852" s="53" t="n">
        <v>46017.6414814815</v>
      </c>
      <c r="P7852" s="53" t="n">
        <v>46023.9156944445</v>
      </c>
      <c r="Q7852" s="53" t="n">
        <v>46017.6414814815</v>
      </c>
      <c r="R7852" s="0" t="n">
        <v>0</v>
      </c>
      <c r="S7852" s="51" t="s">
        <v>2380</v>
      </c>
      <c r="T7852" s="51" t="s">
        <v>2380</v>
      </c>
      <c r="U7852" s="0" t="str">
        <f aca="false">"5060458890191"</f>
        <v>5060458890191</v>
      </c>
      <c r="V7852" s="51" t="s">
        <v>2142</v>
      </c>
      <c r="W7852" s="51" t="s">
        <v>4256</v>
      </c>
      <c r="X7852" s="51" t="s">
        <v>2359</v>
      </c>
    </row>
    <row r="7853" customFormat="false" ht="14.25" hidden="true" customHeight="false" outlineLevel="0" collapsed="false">
      <c r="A7853" s="49" t="s">
        <v>2349</v>
      </c>
      <c r="B7853" s="49" t="s">
        <v>2350</v>
      </c>
      <c r="C7853" s="49" t="s">
        <v>12800</v>
      </c>
      <c r="D7853" s="49" t="s">
        <v>2352</v>
      </c>
      <c r="E7853" s="49" t="str">
        <f aca="false">"5060458890191"</f>
        <v>5060458890191</v>
      </c>
      <c r="F7853" s="49" t="s">
        <v>3656</v>
      </c>
      <c r="G7853" s="49" t="n">
        <v>0</v>
      </c>
      <c r="H7853" s="0" t="n">
        <v>0</v>
      </c>
      <c r="M7853" s="51" t="s">
        <v>3783</v>
      </c>
      <c r="N7853" s="49" t="n">
        <v>0</v>
      </c>
      <c r="O7853" s="53" t="n">
        <v>46017.6416087963</v>
      </c>
      <c r="P7853" s="53" t="n">
        <v>46023.9217708333</v>
      </c>
      <c r="Q7853" s="53" t="n">
        <v>46017.6416087963</v>
      </c>
      <c r="R7853" s="0" t="n">
        <v>0</v>
      </c>
      <c r="S7853" s="51" t="s">
        <v>2380</v>
      </c>
      <c r="T7853" s="51" t="s">
        <v>2380</v>
      </c>
      <c r="U7853" s="0" t="str">
        <f aca="false">"5060458890191"</f>
        <v>5060458890191</v>
      </c>
      <c r="V7853" s="51" t="s">
        <v>2142</v>
      </c>
      <c r="W7853" s="51" t="s">
        <v>4032</v>
      </c>
      <c r="X7853" s="51" t="s">
        <v>2359</v>
      </c>
    </row>
    <row r="7854" customFormat="false" ht="14.25" hidden="true" customHeight="false" outlineLevel="0" collapsed="false">
      <c r="A7854" s="49" t="s">
        <v>2349</v>
      </c>
      <c r="B7854" s="49" t="s">
        <v>2350</v>
      </c>
      <c r="C7854" s="49" t="s">
        <v>12801</v>
      </c>
      <c r="D7854" s="49" t="s">
        <v>2352</v>
      </c>
      <c r="E7854" s="49" t="str">
        <f aca="false">"5060458890191"</f>
        <v>5060458890191</v>
      </c>
      <c r="F7854" s="49" t="s">
        <v>3656</v>
      </c>
      <c r="G7854" s="49" t="n">
        <v>0</v>
      </c>
      <c r="H7854" s="0" t="n">
        <v>0</v>
      </c>
      <c r="M7854" s="51" t="s">
        <v>3783</v>
      </c>
      <c r="N7854" s="49" t="n">
        <v>0</v>
      </c>
      <c r="O7854" s="53" t="n">
        <v>46017.6403472222</v>
      </c>
      <c r="P7854" s="53" t="n">
        <v>46023.9273611111</v>
      </c>
      <c r="Q7854" s="53" t="n">
        <v>46017.6403472222</v>
      </c>
      <c r="R7854" s="0" t="n">
        <v>0</v>
      </c>
      <c r="S7854" s="51" t="s">
        <v>2380</v>
      </c>
      <c r="T7854" s="51" t="s">
        <v>2380</v>
      </c>
      <c r="U7854" s="0" t="str">
        <f aca="false">"5060458890191"</f>
        <v>5060458890191</v>
      </c>
      <c r="V7854" s="51" t="s">
        <v>2142</v>
      </c>
      <c r="W7854" s="51" t="s">
        <v>5116</v>
      </c>
      <c r="X7854" s="51" t="s">
        <v>2359</v>
      </c>
    </row>
    <row r="7855" customFormat="false" ht="14.25" hidden="true" customHeight="false" outlineLevel="0" collapsed="false">
      <c r="A7855" s="49" t="s">
        <v>2349</v>
      </c>
      <c r="B7855" s="49" t="s">
        <v>2350</v>
      </c>
      <c r="C7855" s="49" t="s">
        <v>12802</v>
      </c>
      <c r="D7855" s="49" t="s">
        <v>2352</v>
      </c>
      <c r="E7855" s="49" t="str">
        <f aca="false">"5060458890191"</f>
        <v>5060458890191</v>
      </c>
      <c r="F7855" s="49" t="s">
        <v>3656</v>
      </c>
      <c r="G7855" s="49" t="n">
        <v>0</v>
      </c>
      <c r="H7855" s="0" t="n">
        <v>0</v>
      </c>
      <c r="M7855" s="51" t="s">
        <v>3783</v>
      </c>
      <c r="N7855" s="49" t="n">
        <v>0</v>
      </c>
      <c r="O7855" s="53" t="n">
        <v>46017.6402314815</v>
      </c>
      <c r="P7855" s="53" t="n">
        <v>46023.9052314815</v>
      </c>
      <c r="Q7855" s="53" t="n">
        <v>46017.6402314815</v>
      </c>
      <c r="R7855" s="0" t="n">
        <v>0</v>
      </c>
      <c r="S7855" s="51" t="s">
        <v>2380</v>
      </c>
      <c r="T7855" s="51" t="s">
        <v>2380</v>
      </c>
      <c r="U7855" s="0" t="str">
        <f aca="false">"5060458890191"</f>
        <v>5060458890191</v>
      </c>
      <c r="V7855" s="51" t="s">
        <v>2142</v>
      </c>
      <c r="W7855" s="51" t="s">
        <v>11229</v>
      </c>
      <c r="X7855" s="51" t="s">
        <v>2359</v>
      </c>
    </row>
    <row r="7856" customFormat="false" ht="14.25" hidden="true" customHeight="false" outlineLevel="0" collapsed="false">
      <c r="A7856" s="49" t="s">
        <v>2349</v>
      </c>
      <c r="B7856" s="49" t="s">
        <v>2350</v>
      </c>
      <c r="C7856" s="49" t="s">
        <v>12803</v>
      </c>
      <c r="D7856" s="49" t="s">
        <v>2352</v>
      </c>
      <c r="E7856" s="49" t="str">
        <f aca="false">"5060458890191"</f>
        <v>5060458890191</v>
      </c>
      <c r="F7856" s="49" t="s">
        <v>3656</v>
      </c>
      <c r="G7856" s="49" t="n">
        <v>0</v>
      </c>
      <c r="H7856" s="0" t="n">
        <v>0</v>
      </c>
      <c r="M7856" s="51" t="s">
        <v>3783</v>
      </c>
      <c r="N7856" s="49" t="n">
        <v>0</v>
      </c>
      <c r="O7856" s="53" t="n">
        <v>46017.6400578704</v>
      </c>
      <c r="P7856" s="53" t="n">
        <v>46021.4802314815</v>
      </c>
      <c r="Q7856" s="53" t="n">
        <v>46017.6400578704</v>
      </c>
      <c r="R7856" s="0" t="n">
        <v>0</v>
      </c>
      <c r="S7856" s="51" t="s">
        <v>2380</v>
      </c>
      <c r="T7856" s="51" t="s">
        <v>2380</v>
      </c>
      <c r="U7856" s="0" t="str">
        <f aca="false">"5060458890191"</f>
        <v>5060458890191</v>
      </c>
      <c r="V7856" s="51" t="s">
        <v>2142</v>
      </c>
      <c r="W7856" s="51" t="s">
        <v>11690</v>
      </c>
      <c r="X7856" s="51" t="s">
        <v>2359</v>
      </c>
    </row>
    <row r="7857" customFormat="false" ht="14.25" hidden="true" customHeight="false" outlineLevel="0" collapsed="false">
      <c r="A7857" s="49" t="s">
        <v>2349</v>
      </c>
      <c r="B7857" s="49" t="s">
        <v>2350</v>
      </c>
      <c r="C7857" s="49" t="s">
        <v>12804</v>
      </c>
      <c r="D7857" s="49" t="s">
        <v>2352</v>
      </c>
      <c r="E7857" s="49" t="str">
        <f aca="false">"5060458890191"</f>
        <v>5060458890191</v>
      </c>
      <c r="F7857" s="49" t="s">
        <v>3656</v>
      </c>
      <c r="G7857" s="49" t="n">
        <v>0</v>
      </c>
      <c r="H7857" s="0" t="n">
        <v>0</v>
      </c>
      <c r="M7857" s="51" t="s">
        <v>3783</v>
      </c>
      <c r="N7857" s="49" t="n">
        <v>0</v>
      </c>
      <c r="O7857" s="53" t="n">
        <v>46017.6398958333</v>
      </c>
      <c r="P7857" s="53" t="n">
        <v>46023.9123611111</v>
      </c>
      <c r="Q7857" s="53" t="n">
        <v>46017.6398958333</v>
      </c>
      <c r="R7857" s="0" t="n">
        <v>0</v>
      </c>
      <c r="S7857" s="51" t="s">
        <v>2380</v>
      </c>
      <c r="T7857" s="51" t="s">
        <v>2380</v>
      </c>
      <c r="U7857" s="0" t="str">
        <f aca="false">"5060458890191"</f>
        <v>5060458890191</v>
      </c>
      <c r="V7857" s="51" t="s">
        <v>2142</v>
      </c>
      <c r="W7857" s="51" t="s">
        <v>11225</v>
      </c>
      <c r="X7857" s="51" t="s">
        <v>2359</v>
      </c>
    </row>
    <row r="7858" customFormat="false" ht="14.25" hidden="true" customHeight="false" outlineLevel="0" collapsed="false">
      <c r="A7858" s="49" t="s">
        <v>2349</v>
      </c>
      <c r="B7858" s="49" t="s">
        <v>2350</v>
      </c>
      <c r="C7858" s="49" t="s">
        <v>12805</v>
      </c>
      <c r="D7858" s="49" t="s">
        <v>2352</v>
      </c>
      <c r="E7858" s="49" t="str">
        <f aca="false">"5060458890191"</f>
        <v>5060458890191</v>
      </c>
      <c r="F7858" s="49" t="s">
        <v>3656</v>
      </c>
      <c r="G7858" s="49" t="n">
        <v>0</v>
      </c>
      <c r="H7858" s="0" t="n">
        <v>0</v>
      </c>
      <c r="M7858" s="51" t="s">
        <v>3783</v>
      </c>
      <c r="N7858" s="49" t="n">
        <v>0</v>
      </c>
      <c r="O7858" s="53" t="n">
        <v>46017.6397337963</v>
      </c>
      <c r="P7858" s="53" t="n">
        <v>46023.9102546296</v>
      </c>
      <c r="Q7858" s="53" t="n">
        <v>46017.6397337963</v>
      </c>
      <c r="R7858" s="0" t="n">
        <v>0</v>
      </c>
      <c r="S7858" s="51" t="s">
        <v>2380</v>
      </c>
      <c r="T7858" s="51" t="s">
        <v>2380</v>
      </c>
      <c r="U7858" s="0" t="str">
        <f aca="false">"5060458890191"</f>
        <v>5060458890191</v>
      </c>
      <c r="V7858" s="51" t="s">
        <v>2142</v>
      </c>
      <c r="W7858" s="51" t="s">
        <v>11223</v>
      </c>
      <c r="X7858" s="51" t="s">
        <v>2359</v>
      </c>
    </row>
    <row r="7859" customFormat="false" ht="14.25" hidden="true" customHeight="false" outlineLevel="0" collapsed="false">
      <c r="A7859" s="49" t="s">
        <v>2349</v>
      </c>
      <c r="B7859" s="49" t="s">
        <v>2350</v>
      </c>
      <c r="C7859" s="49" t="s">
        <v>12806</v>
      </c>
      <c r="D7859" s="49" t="s">
        <v>2352</v>
      </c>
      <c r="E7859" s="49" t="str">
        <f aca="false">"5060458890191"</f>
        <v>5060458890191</v>
      </c>
      <c r="F7859" s="49" t="s">
        <v>3656</v>
      </c>
      <c r="G7859" s="49" t="n">
        <v>0</v>
      </c>
      <c r="H7859" s="0" t="n">
        <v>0</v>
      </c>
      <c r="M7859" s="51" t="s">
        <v>3783</v>
      </c>
      <c r="N7859" s="49" t="n">
        <v>0</v>
      </c>
      <c r="O7859" s="53" t="n">
        <v>46017.6396180556</v>
      </c>
      <c r="P7859" s="53" t="n">
        <v>46023.9187731482</v>
      </c>
      <c r="Q7859" s="53" t="n">
        <v>46017.6396180556</v>
      </c>
      <c r="R7859" s="0" t="n">
        <v>0</v>
      </c>
      <c r="S7859" s="51" t="s">
        <v>2380</v>
      </c>
      <c r="T7859" s="51" t="s">
        <v>2380</v>
      </c>
      <c r="U7859" s="0" t="str">
        <f aca="false">"5060458890191"</f>
        <v>5060458890191</v>
      </c>
      <c r="V7859" s="51" t="s">
        <v>2142</v>
      </c>
      <c r="W7859" s="51" t="s">
        <v>3654</v>
      </c>
      <c r="X7859" s="51" t="s">
        <v>2359</v>
      </c>
    </row>
    <row r="7860" customFormat="false" ht="14.25" hidden="true" customHeight="false" outlineLevel="0" collapsed="false">
      <c r="A7860" s="49" t="s">
        <v>2349</v>
      </c>
      <c r="B7860" s="49" t="s">
        <v>2350</v>
      </c>
      <c r="C7860" s="49" t="s">
        <v>12807</v>
      </c>
      <c r="D7860" s="49" t="s">
        <v>2352</v>
      </c>
      <c r="E7860" s="49" t="str">
        <f aca="false">"5060458890191"</f>
        <v>5060458890191</v>
      </c>
      <c r="F7860" s="49" t="s">
        <v>3656</v>
      </c>
      <c r="G7860" s="49" t="n">
        <v>0</v>
      </c>
      <c r="H7860" s="0" t="n">
        <v>0</v>
      </c>
      <c r="M7860" s="51" t="s">
        <v>3783</v>
      </c>
      <c r="N7860" s="49" t="n">
        <v>0</v>
      </c>
      <c r="O7860" s="53" t="n">
        <v>46017.6391435185</v>
      </c>
      <c r="P7860" s="53" t="n">
        <v>46023.9203356481</v>
      </c>
      <c r="Q7860" s="53" t="n">
        <v>46017.6391435185</v>
      </c>
      <c r="R7860" s="0" t="n">
        <v>0</v>
      </c>
      <c r="S7860" s="51" t="s">
        <v>2380</v>
      </c>
      <c r="T7860" s="51" t="s">
        <v>2380</v>
      </c>
      <c r="U7860" s="0" t="str">
        <f aca="false">"5060458890191"</f>
        <v>5060458890191</v>
      </c>
      <c r="V7860" s="51" t="s">
        <v>2142</v>
      </c>
      <c r="W7860" s="51" t="s">
        <v>12395</v>
      </c>
      <c r="X7860" s="51" t="s">
        <v>2359</v>
      </c>
    </row>
    <row r="7861" customFormat="false" ht="14.25" hidden="true" customHeight="false" outlineLevel="0" collapsed="false">
      <c r="A7861" s="49" t="s">
        <v>2349</v>
      </c>
      <c r="B7861" s="49" t="s">
        <v>2350</v>
      </c>
      <c r="C7861" s="49" t="s">
        <v>12808</v>
      </c>
      <c r="D7861" s="49" t="s">
        <v>2352</v>
      </c>
      <c r="E7861" s="49" t="str">
        <f aca="false">"5060458890191"</f>
        <v>5060458890191</v>
      </c>
      <c r="F7861" s="49" t="s">
        <v>3656</v>
      </c>
      <c r="G7861" s="49" t="n">
        <v>0</v>
      </c>
      <c r="H7861" s="0" t="n">
        <v>0</v>
      </c>
      <c r="M7861" s="51" t="s">
        <v>3783</v>
      </c>
      <c r="N7861" s="49" t="n">
        <v>0</v>
      </c>
      <c r="O7861" s="53" t="n">
        <v>46017.6388773148</v>
      </c>
      <c r="P7861" s="53" t="n">
        <v>46023.9504861111</v>
      </c>
      <c r="Q7861" s="53" t="n">
        <v>46017.6388773148</v>
      </c>
      <c r="R7861" s="0" t="n">
        <v>0</v>
      </c>
      <c r="S7861" s="51" t="s">
        <v>2380</v>
      </c>
      <c r="T7861" s="51" t="s">
        <v>2380</v>
      </c>
      <c r="U7861" s="0" t="str">
        <f aca="false">"5060458890191"</f>
        <v>5060458890191</v>
      </c>
      <c r="V7861" s="51" t="s">
        <v>2142</v>
      </c>
      <c r="W7861" s="51" t="s">
        <v>2440</v>
      </c>
      <c r="X7861" s="51" t="s">
        <v>2359</v>
      </c>
    </row>
    <row r="7862" customFormat="false" ht="14.25" hidden="true" customHeight="false" outlineLevel="0" collapsed="false">
      <c r="A7862" s="49" t="s">
        <v>2349</v>
      </c>
      <c r="B7862" s="49" t="s">
        <v>2350</v>
      </c>
      <c r="C7862" s="49" t="s">
        <v>12809</v>
      </c>
      <c r="D7862" s="49" t="s">
        <v>2352</v>
      </c>
      <c r="E7862" s="49" t="s">
        <v>4115</v>
      </c>
      <c r="F7862" s="49" t="s">
        <v>4116</v>
      </c>
      <c r="G7862" s="49" t="n">
        <v>0</v>
      </c>
      <c r="H7862" s="0" t="n">
        <v>0</v>
      </c>
      <c r="M7862" s="51" t="s">
        <v>12810</v>
      </c>
      <c r="N7862" s="49" t="n">
        <v>0</v>
      </c>
      <c r="O7862" s="53" t="n">
        <v>46019.5824421296</v>
      </c>
      <c r="P7862" s="53" t="n">
        <v>46025.6428819444</v>
      </c>
      <c r="Q7862" s="53" t="n">
        <v>46019.5824421296</v>
      </c>
      <c r="R7862" s="0" t="n">
        <v>0</v>
      </c>
      <c r="S7862" s="51" t="s">
        <v>2356</v>
      </c>
      <c r="T7862" s="51" t="s">
        <v>2356</v>
      </c>
      <c r="U7862" s="51" t="s">
        <v>4115</v>
      </c>
      <c r="V7862" s="51" t="s">
        <v>2365</v>
      </c>
      <c r="W7862" s="51" t="s">
        <v>12155</v>
      </c>
      <c r="X7862" s="51" t="s">
        <v>2359</v>
      </c>
    </row>
    <row r="7863" customFormat="false" ht="14.25" hidden="true" customHeight="false" outlineLevel="0" collapsed="false">
      <c r="A7863" s="49" t="s">
        <v>2349</v>
      </c>
      <c r="B7863" s="49" t="s">
        <v>2350</v>
      </c>
      <c r="C7863" s="49" t="s">
        <v>12811</v>
      </c>
      <c r="D7863" s="49" t="s">
        <v>2352</v>
      </c>
      <c r="E7863" s="49" t="s">
        <v>4115</v>
      </c>
      <c r="F7863" s="49" t="s">
        <v>4116</v>
      </c>
      <c r="G7863" s="49" t="n">
        <v>0</v>
      </c>
      <c r="H7863" s="0" t="n">
        <v>0</v>
      </c>
      <c r="M7863" s="51" t="s">
        <v>12810</v>
      </c>
      <c r="N7863" s="49" t="n">
        <v>0</v>
      </c>
      <c r="O7863" s="53" t="n">
        <v>46019.5822569444</v>
      </c>
      <c r="P7863" s="53" t="n">
        <v>46025.6424537037</v>
      </c>
      <c r="Q7863" s="53" t="n">
        <v>46019.5822569444</v>
      </c>
      <c r="R7863" s="0" t="n">
        <v>0</v>
      </c>
      <c r="S7863" s="51" t="s">
        <v>2356</v>
      </c>
      <c r="T7863" s="51" t="s">
        <v>2356</v>
      </c>
      <c r="U7863" s="51" t="s">
        <v>4115</v>
      </c>
      <c r="V7863" s="51" t="s">
        <v>2365</v>
      </c>
      <c r="W7863" s="51" t="s">
        <v>6879</v>
      </c>
      <c r="X7863" s="51" t="s">
        <v>2359</v>
      </c>
    </row>
    <row r="7864" customFormat="false" ht="14.25" hidden="true" customHeight="false" outlineLevel="0" collapsed="false">
      <c r="A7864" s="49" t="s">
        <v>2349</v>
      </c>
      <c r="B7864" s="49" t="s">
        <v>2350</v>
      </c>
      <c r="C7864" s="49" t="s">
        <v>12812</v>
      </c>
      <c r="D7864" s="49" t="s">
        <v>2352</v>
      </c>
      <c r="E7864" s="49" t="s">
        <v>4115</v>
      </c>
      <c r="F7864" s="49" t="s">
        <v>4116</v>
      </c>
      <c r="G7864" s="49" t="n">
        <v>0</v>
      </c>
      <c r="H7864" s="0" t="n">
        <v>0</v>
      </c>
      <c r="M7864" s="51" t="s">
        <v>12810</v>
      </c>
      <c r="N7864" s="49" t="n">
        <v>0</v>
      </c>
      <c r="O7864" s="53" t="n">
        <v>46019.5828240741</v>
      </c>
      <c r="P7864" s="53" t="n">
        <v>46025.6429976852</v>
      </c>
      <c r="Q7864" s="53" t="n">
        <v>46019.5828240741</v>
      </c>
      <c r="R7864" s="0" t="n">
        <v>0</v>
      </c>
      <c r="S7864" s="51" t="s">
        <v>2356</v>
      </c>
      <c r="T7864" s="51" t="s">
        <v>2356</v>
      </c>
      <c r="U7864" s="51" t="s">
        <v>4115</v>
      </c>
      <c r="V7864" s="51" t="s">
        <v>2365</v>
      </c>
      <c r="W7864" s="51" t="s">
        <v>10513</v>
      </c>
      <c r="X7864" s="51" t="s">
        <v>2359</v>
      </c>
    </row>
    <row r="7865" customFormat="false" ht="14.25" hidden="true" customHeight="false" outlineLevel="0" collapsed="false">
      <c r="A7865" s="49" t="s">
        <v>2349</v>
      </c>
      <c r="B7865" s="49" t="s">
        <v>2350</v>
      </c>
      <c r="C7865" s="49" t="s">
        <v>12813</v>
      </c>
      <c r="D7865" s="49" t="s">
        <v>2352</v>
      </c>
      <c r="E7865" s="49" t="s">
        <v>4115</v>
      </c>
      <c r="F7865" s="49" t="s">
        <v>4116</v>
      </c>
      <c r="G7865" s="49" t="n">
        <v>0</v>
      </c>
      <c r="H7865" s="0" t="n">
        <v>0</v>
      </c>
      <c r="M7865" s="51" t="s">
        <v>12810</v>
      </c>
      <c r="N7865" s="49" t="n">
        <v>0</v>
      </c>
      <c r="O7865" s="53" t="n">
        <v>46019.5832407407</v>
      </c>
      <c r="P7865" s="53" t="n">
        <v>46025.6430902778</v>
      </c>
      <c r="Q7865" s="53" t="n">
        <v>46019.5832407407</v>
      </c>
      <c r="R7865" s="0" t="n">
        <v>0</v>
      </c>
      <c r="S7865" s="51" t="s">
        <v>2356</v>
      </c>
      <c r="T7865" s="51" t="s">
        <v>2356</v>
      </c>
      <c r="U7865" s="51" t="s">
        <v>4115</v>
      </c>
      <c r="V7865" s="51" t="s">
        <v>2365</v>
      </c>
      <c r="W7865" s="51" t="s">
        <v>3677</v>
      </c>
      <c r="X7865" s="51" t="s">
        <v>2359</v>
      </c>
    </row>
    <row r="7866" customFormat="false" ht="14.25" hidden="true" customHeight="false" outlineLevel="0" collapsed="false">
      <c r="A7866" s="49" t="s">
        <v>2349</v>
      </c>
      <c r="B7866" s="49" t="s">
        <v>2350</v>
      </c>
      <c r="C7866" s="49" t="s">
        <v>12814</v>
      </c>
      <c r="D7866" s="49" t="s">
        <v>2352</v>
      </c>
      <c r="E7866" s="49" t="str">
        <f aca="false">"849369010509"</f>
        <v>849369010509</v>
      </c>
      <c r="F7866" s="49" t="s">
        <v>3814</v>
      </c>
      <c r="G7866" s="49" t="n">
        <v>0</v>
      </c>
      <c r="H7866" s="0" t="n">
        <v>0</v>
      </c>
      <c r="M7866" s="51" t="s">
        <v>12815</v>
      </c>
      <c r="N7866" s="49" t="n">
        <v>0</v>
      </c>
      <c r="O7866" s="53" t="n">
        <v>46019.6680671296</v>
      </c>
      <c r="P7866" s="53" t="n">
        <v>46028.9091898148</v>
      </c>
      <c r="Q7866" s="53" t="n">
        <v>46019.6680671296</v>
      </c>
      <c r="R7866" s="0" t="n">
        <v>0</v>
      </c>
      <c r="S7866" s="51" t="s">
        <v>2383</v>
      </c>
      <c r="T7866" s="51" t="s">
        <v>2383</v>
      </c>
      <c r="U7866" s="0" t="str">
        <f aca="false">"849369010509"</f>
        <v>849369010509</v>
      </c>
      <c r="V7866" s="51" t="s">
        <v>2142</v>
      </c>
      <c r="W7866" s="51" t="s">
        <v>10334</v>
      </c>
      <c r="X7866" s="51" t="s">
        <v>2359</v>
      </c>
    </row>
    <row r="7867" customFormat="false" ht="14.25" hidden="true" customHeight="false" outlineLevel="0" collapsed="false">
      <c r="A7867" s="49" t="s">
        <v>2349</v>
      </c>
      <c r="B7867" s="49" t="s">
        <v>2350</v>
      </c>
      <c r="C7867" s="49" t="s">
        <v>12816</v>
      </c>
      <c r="D7867" s="49" t="s">
        <v>2352</v>
      </c>
      <c r="E7867" s="49" t="str">
        <f aca="false">"849369010349"</f>
        <v>849369010349</v>
      </c>
      <c r="F7867" s="49" t="s">
        <v>8652</v>
      </c>
      <c r="G7867" s="49" t="n">
        <v>0</v>
      </c>
      <c r="H7867" s="0" t="n">
        <v>0</v>
      </c>
      <c r="M7867" s="51" t="s">
        <v>12815</v>
      </c>
      <c r="N7867" s="49" t="n">
        <v>0</v>
      </c>
      <c r="O7867" s="53" t="n">
        <v>46020.6590046296</v>
      </c>
      <c r="P7867" s="53" t="n">
        <v>46028.9075694445</v>
      </c>
      <c r="Q7867" s="53" t="n">
        <v>46020.6590046296</v>
      </c>
      <c r="R7867" s="0" t="n">
        <v>0</v>
      </c>
      <c r="S7867" s="51" t="s">
        <v>2383</v>
      </c>
      <c r="T7867" s="51" t="s">
        <v>2383</v>
      </c>
      <c r="U7867" s="0" t="str">
        <f aca="false">"849369010349"</f>
        <v>849369010349</v>
      </c>
      <c r="V7867" s="51" t="s">
        <v>2142</v>
      </c>
      <c r="W7867" s="51" t="s">
        <v>10334</v>
      </c>
      <c r="X7867" s="51" t="s">
        <v>2359</v>
      </c>
    </row>
    <row r="7868" customFormat="false" ht="14.25" hidden="true" customHeight="false" outlineLevel="0" collapsed="false">
      <c r="A7868" s="49" t="s">
        <v>2349</v>
      </c>
      <c r="B7868" s="49" t="s">
        <v>2350</v>
      </c>
      <c r="C7868" s="49" t="s">
        <v>12817</v>
      </c>
      <c r="D7868" s="49" t="s">
        <v>2352</v>
      </c>
      <c r="E7868" s="49" t="str">
        <f aca="false">"849369010387"</f>
        <v>849369010387</v>
      </c>
      <c r="F7868" s="49" t="s">
        <v>12540</v>
      </c>
      <c r="G7868" s="49" t="n">
        <v>0</v>
      </c>
      <c r="H7868" s="0" t="n">
        <v>0</v>
      </c>
      <c r="M7868" s="51" t="s">
        <v>12815</v>
      </c>
      <c r="N7868" s="49" t="n">
        <v>3</v>
      </c>
      <c r="O7868" s="53" t="n">
        <v>46020.657974537</v>
      </c>
      <c r="P7868" s="53" t="n">
        <v>46028.9077546296</v>
      </c>
      <c r="Q7868" s="53" t="n">
        <v>46020.657974537</v>
      </c>
      <c r="R7868" s="0" t="n">
        <v>0</v>
      </c>
      <c r="S7868" s="51" t="s">
        <v>2383</v>
      </c>
      <c r="T7868" s="51" t="s">
        <v>2383</v>
      </c>
      <c r="U7868" s="0" t="str">
        <f aca="false">"849369010387"</f>
        <v>849369010387</v>
      </c>
      <c r="V7868" s="51" t="s">
        <v>2142</v>
      </c>
      <c r="W7868" s="51" t="s">
        <v>10334</v>
      </c>
      <c r="X7868" s="51" t="s">
        <v>2359</v>
      </c>
    </row>
    <row r="7869" customFormat="false" ht="14.25" hidden="true" customHeight="false" outlineLevel="0" collapsed="false">
      <c r="A7869" s="49" t="s">
        <v>2349</v>
      </c>
      <c r="B7869" s="49" t="s">
        <v>2350</v>
      </c>
      <c r="C7869" s="49" t="s">
        <v>12818</v>
      </c>
      <c r="D7869" s="49" t="s">
        <v>2352</v>
      </c>
      <c r="E7869" s="49" t="str">
        <f aca="false">"5060175132963"</f>
        <v>5060175132963</v>
      </c>
      <c r="F7869" s="49" t="s">
        <v>6052</v>
      </c>
      <c r="G7869" s="49" t="n">
        <v>0</v>
      </c>
      <c r="H7869" s="0" t="n">
        <v>0</v>
      </c>
      <c r="M7869" s="51" t="s">
        <v>12819</v>
      </c>
      <c r="N7869" s="49" t="n">
        <v>0</v>
      </c>
      <c r="O7869" s="53" t="n">
        <v>46021.700775463</v>
      </c>
      <c r="P7869" s="53" t="n">
        <v>46031.7541435185</v>
      </c>
      <c r="Q7869" s="53" t="n">
        <v>46021.700775463</v>
      </c>
      <c r="R7869" s="0" t="n">
        <v>0</v>
      </c>
      <c r="S7869" s="51" t="s">
        <v>2436</v>
      </c>
      <c r="T7869" s="51" t="s">
        <v>2436</v>
      </c>
      <c r="U7869" s="0" t="str">
        <f aca="false">"5060175132963"</f>
        <v>5060175132963</v>
      </c>
      <c r="V7869" s="51" t="s">
        <v>2365</v>
      </c>
      <c r="W7869" s="51" t="s">
        <v>11057</v>
      </c>
      <c r="X7869" s="51" t="s">
        <v>2359</v>
      </c>
    </row>
    <row r="7870" customFormat="false" ht="14.25" hidden="true" customHeight="false" outlineLevel="0" collapsed="false">
      <c r="A7870" s="49" t="s">
        <v>2349</v>
      </c>
      <c r="B7870" s="49" t="s">
        <v>2350</v>
      </c>
      <c r="C7870" s="49" t="s">
        <v>12820</v>
      </c>
      <c r="D7870" s="49" t="s">
        <v>2352</v>
      </c>
      <c r="E7870" s="49" t="str">
        <f aca="false">"5942326400483"</f>
        <v>5942326400483</v>
      </c>
      <c r="F7870" s="49" t="s">
        <v>3651</v>
      </c>
      <c r="G7870" s="49" t="n">
        <v>0</v>
      </c>
      <c r="H7870" s="0" t="n">
        <v>0</v>
      </c>
      <c r="M7870" s="51" t="s">
        <v>12821</v>
      </c>
      <c r="N7870" s="49" t="n">
        <v>0</v>
      </c>
      <c r="O7870" s="53" t="n">
        <v>46034.5518171296</v>
      </c>
      <c r="P7870" s="53" t="n">
        <v>46047.9169560185</v>
      </c>
      <c r="Q7870" s="53" t="n">
        <v>46034.5518171296</v>
      </c>
      <c r="R7870" s="0" t="n">
        <v>0</v>
      </c>
      <c r="S7870" s="51" t="s">
        <v>2380</v>
      </c>
      <c r="T7870" s="51" t="s">
        <v>2380</v>
      </c>
      <c r="U7870" s="0" t="str">
        <f aca="false">"5942326400483"</f>
        <v>5942326400483</v>
      </c>
      <c r="V7870" s="51" t="s">
        <v>2365</v>
      </c>
      <c r="W7870" s="51" t="s">
        <v>8694</v>
      </c>
      <c r="X7870" s="51" t="s">
        <v>2359</v>
      </c>
    </row>
    <row r="7871" customFormat="false" ht="14.25" hidden="true" customHeight="false" outlineLevel="0" collapsed="false">
      <c r="A7871" s="49" t="s">
        <v>2349</v>
      </c>
      <c r="B7871" s="49" t="s">
        <v>2350</v>
      </c>
      <c r="C7871" s="49" t="s">
        <v>12822</v>
      </c>
      <c r="D7871" s="49" t="s">
        <v>2352</v>
      </c>
      <c r="E7871" s="49" t="str">
        <f aca="false">"734730225548"</f>
        <v>734730225548</v>
      </c>
      <c r="F7871" s="49" t="s">
        <v>2434</v>
      </c>
      <c r="G7871" s="49" t="n">
        <v>0</v>
      </c>
      <c r="H7871" s="0" t="n">
        <v>0</v>
      </c>
      <c r="M7871" s="51" t="s">
        <v>12823</v>
      </c>
      <c r="N7871" s="49" t="n">
        <v>0</v>
      </c>
      <c r="O7871" s="53" t="n">
        <v>46021.6283912037</v>
      </c>
      <c r="P7871" s="53" t="n">
        <v>46023.9188425926</v>
      </c>
      <c r="Q7871" s="53" t="n">
        <v>46021.6283912037</v>
      </c>
      <c r="R7871" s="0" t="n">
        <v>0</v>
      </c>
      <c r="S7871" s="51" t="s">
        <v>2380</v>
      </c>
      <c r="T7871" s="51" t="s">
        <v>2380</v>
      </c>
      <c r="U7871" s="0" t="str">
        <f aca="false">"734730225548"</f>
        <v>734730225548</v>
      </c>
      <c r="V7871" s="51" t="s">
        <v>2365</v>
      </c>
      <c r="W7871" s="51" t="s">
        <v>4080</v>
      </c>
      <c r="X7871" s="51" t="s">
        <v>2359</v>
      </c>
    </row>
    <row r="7872" customFormat="false" ht="14.25" hidden="true" customHeight="false" outlineLevel="0" collapsed="false">
      <c r="A7872" s="49" t="s">
        <v>2349</v>
      </c>
      <c r="B7872" s="49" t="s">
        <v>2350</v>
      </c>
      <c r="C7872" s="49" t="s">
        <v>12824</v>
      </c>
      <c r="D7872" s="49" t="s">
        <v>2352</v>
      </c>
      <c r="E7872" s="49" t="str">
        <f aca="false">"734730225548"</f>
        <v>734730225548</v>
      </c>
      <c r="F7872" s="49" t="s">
        <v>2434</v>
      </c>
      <c r="G7872" s="49" t="n">
        <v>0</v>
      </c>
      <c r="H7872" s="0" t="n">
        <v>0</v>
      </c>
      <c r="M7872" s="51" t="s">
        <v>12823</v>
      </c>
      <c r="N7872" s="49" t="n">
        <v>0</v>
      </c>
      <c r="O7872" s="53" t="n">
        <v>46021.6304166667</v>
      </c>
      <c r="P7872" s="53" t="n">
        <v>46023.9115972222</v>
      </c>
      <c r="Q7872" s="53" t="n">
        <v>46021.6304166667</v>
      </c>
      <c r="R7872" s="0" t="n">
        <v>0</v>
      </c>
      <c r="S7872" s="51" t="s">
        <v>2380</v>
      </c>
      <c r="T7872" s="51" t="s">
        <v>2380</v>
      </c>
      <c r="U7872" s="0" t="str">
        <f aca="false">"734730225548"</f>
        <v>734730225548</v>
      </c>
      <c r="V7872" s="51" t="s">
        <v>2365</v>
      </c>
      <c r="W7872" s="51" t="s">
        <v>5028</v>
      </c>
      <c r="X7872" s="51" t="s">
        <v>2359</v>
      </c>
    </row>
    <row r="7873" customFormat="false" ht="14.25" hidden="true" customHeight="false" outlineLevel="0" collapsed="false">
      <c r="A7873" s="49" t="s">
        <v>2349</v>
      </c>
      <c r="B7873" s="49" t="s">
        <v>2350</v>
      </c>
      <c r="C7873" s="49" t="s">
        <v>12825</v>
      </c>
      <c r="D7873" s="49" t="s">
        <v>2352</v>
      </c>
      <c r="E7873" s="49" t="str">
        <f aca="false">"734730225548"</f>
        <v>734730225548</v>
      </c>
      <c r="F7873" s="49" t="s">
        <v>2434</v>
      </c>
      <c r="G7873" s="49" t="n">
        <v>0</v>
      </c>
      <c r="H7873" s="0" t="n">
        <v>0</v>
      </c>
      <c r="M7873" s="51" t="s">
        <v>12823</v>
      </c>
      <c r="N7873" s="49" t="n">
        <v>0</v>
      </c>
      <c r="O7873" s="53" t="n">
        <v>46021.6308449074</v>
      </c>
      <c r="P7873" s="53" t="n">
        <v>46040.4395486111</v>
      </c>
      <c r="Q7873" s="53" t="n">
        <v>46021.6308449074</v>
      </c>
      <c r="R7873" s="0" t="n">
        <v>0</v>
      </c>
      <c r="S7873" s="51" t="s">
        <v>2380</v>
      </c>
      <c r="T7873" s="51" t="s">
        <v>2380</v>
      </c>
      <c r="U7873" s="0" t="str">
        <f aca="false">"734730225548"</f>
        <v>734730225548</v>
      </c>
      <c r="V7873" s="51" t="s">
        <v>2365</v>
      </c>
      <c r="W7873" s="51" t="s">
        <v>4036</v>
      </c>
      <c r="X7873" s="51" t="s">
        <v>2359</v>
      </c>
    </row>
    <row r="7874" customFormat="false" ht="14.25" hidden="true" customHeight="false" outlineLevel="0" collapsed="false">
      <c r="A7874" s="49" t="s">
        <v>2349</v>
      </c>
      <c r="B7874" s="49" t="s">
        <v>2350</v>
      </c>
      <c r="C7874" s="49" t="s">
        <v>12826</v>
      </c>
      <c r="D7874" s="49" t="s">
        <v>2352</v>
      </c>
      <c r="E7874" s="49" t="str">
        <f aca="false">"734730225548"</f>
        <v>734730225548</v>
      </c>
      <c r="F7874" s="49" t="s">
        <v>2434</v>
      </c>
      <c r="G7874" s="49" t="n">
        <v>0</v>
      </c>
      <c r="H7874" s="0" t="n">
        <v>0</v>
      </c>
      <c r="M7874" s="51" t="s">
        <v>12823</v>
      </c>
      <c r="N7874" s="49" t="n">
        <v>0</v>
      </c>
      <c r="O7874" s="53" t="n">
        <v>46021.6311342593</v>
      </c>
      <c r="P7874" s="53" t="n">
        <v>46023.9133796296</v>
      </c>
      <c r="Q7874" s="53" t="n">
        <v>46021.6311342593</v>
      </c>
      <c r="R7874" s="0" t="n">
        <v>0</v>
      </c>
      <c r="S7874" s="51" t="s">
        <v>2380</v>
      </c>
      <c r="T7874" s="51" t="s">
        <v>2380</v>
      </c>
      <c r="U7874" s="0" t="str">
        <f aca="false">"734730225548"</f>
        <v>734730225548</v>
      </c>
      <c r="V7874" s="51" t="s">
        <v>2365</v>
      </c>
      <c r="W7874" s="51" t="s">
        <v>4072</v>
      </c>
      <c r="X7874" s="51" t="s">
        <v>2359</v>
      </c>
    </row>
    <row r="7875" customFormat="false" ht="14.25" hidden="true" customHeight="false" outlineLevel="0" collapsed="false">
      <c r="A7875" s="49" t="s">
        <v>2349</v>
      </c>
      <c r="B7875" s="49" t="s">
        <v>2350</v>
      </c>
      <c r="C7875" s="49" t="s">
        <v>12827</v>
      </c>
      <c r="D7875" s="49" t="s">
        <v>2352</v>
      </c>
      <c r="E7875" s="49" t="s">
        <v>4012</v>
      </c>
      <c r="F7875" s="49" t="s">
        <v>4013</v>
      </c>
      <c r="G7875" s="49" t="n">
        <v>0</v>
      </c>
      <c r="H7875" s="0" t="n">
        <v>0</v>
      </c>
      <c r="M7875" s="51" t="s">
        <v>12828</v>
      </c>
      <c r="N7875" s="49" t="n">
        <v>0</v>
      </c>
      <c r="O7875" s="53" t="n">
        <v>46034.7796875</v>
      </c>
      <c r="P7875" s="53" t="n">
        <v>46055.9361805556</v>
      </c>
      <c r="Q7875" s="53" t="n">
        <v>46034.7796875</v>
      </c>
      <c r="R7875" s="0" t="n">
        <v>0</v>
      </c>
      <c r="S7875" s="51" t="s">
        <v>3780</v>
      </c>
      <c r="T7875" s="51" t="s">
        <v>3780</v>
      </c>
      <c r="U7875" s="51" t="s">
        <v>4012</v>
      </c>
      <c r="V7875" s="51" t="s">
        <v>2365</v>
      </c>
      <c r="W7875" s="51" t="s">
        <v>5033</v>
      </c>
      <c r="X7875" s="51" t="s">
        <v>2359</v>
      </c>
    </row>
    <row r="7876" customFormat="false" ht="14.25" hidden="true" customHeight="false" outlineLevel="0" collapsed="false">
      <c r="A7876" s="49" t="s">
        <v>2349</v>
      </c>
      <c r="B7876" s="49" t="s">
        <v>2350</v>
      </c>
      <c r="C7876" s="49" t="s">
        <v>12829</v>
      </c>
      <c r="D7876" s="49" t="s">
        <v>2352</v>
      </c>
      <c r="E7876" s="49" t="s">
        <v>12830</v>
      </c>
      <c r="F7876" s="49" t="s">
        <v>12831</v>
      </c>
      <c r="G7876" s="49" t="n">
        <v>0</v>
      </c>
      <c r="H7876" s="0" t="n">
        <v>0</v>
      </c>
      <c r="M7876" s="51" t="s">
        <v>12832</v>
      </c>
      <c r="N7876" s="49" t="n">
        <v>0</v>
      </c>
      <c r="O7876" s="53" t="n">
        <v>46035.3602083333</v>
      </c>
      <c r="P7876" s="53" t="n">
        <v>46041.5879861111</v>
      </c>
      <c r="Q7876" s="53" t="n">
        <v>46035.3602083333</v>
      </c>
      <c r="R7876" s="0" t="n">
        <v>0</v>
      </c>
      <c r="S7876" s="51" t="s">
        <v>2356</v>
      </c>
      <c r="T7876" s="51" t="s">
        <v>2356</v>
      </c>
      <c r="U7876" s="51" t="s">
        <v>12830</v>
      </c>
      <c r="V7876" s="51" t="s">
        <v>2365</v>
      </c>
      <c r="W7876" s="51" t="s">
        <v>6817</v>
      </c>
      <c r="X7876" s="51" t="s">
        <v>2359</v>
      </c>
    </row>
    <row r="7877" customFormat="false" ht="14.25" hidden="true" customHeight="false" outlineLevel="0" collapsed="false">
      <c r="A7877" s="49" t="s">
        <v>2349</v>
      </c>
      <c r="B7877" s="49" t="s">
        <v>2350</v>
      </c>
      <c r="C7877" s="49" t="s">
        <v>12833</v>
      </c>
      <c r="D7877" s="49" t="s">
        <v>2352</v>
      </c>
      <c r="E7877" s="49" t="str">
        <f aca="false">"12476048"</f>
        <v>12476048</v>
      </c>
      <c r="F7877" s="49" t="s">
        <v>4272</v>
      </c>
      <c r="G7877" s="49" t="n">
        <v>0</v>
      </c>
      <c r="H7877" s="0" t="n">
        <v>0</v>
      </c>
      <c r="M7877" s="51" t="s">
        <v>12834</v>
      </c>
      <c r="N7877" s="49" t="n">
        <v>0</v>
      </c>
      <c r="O7877" s="53" t="n">
        <v>45988.6403819444</v>
      </c>
      <c r="P7877" s="53" t="n">
        <v>46031.7584722222</v>
      </c>
      <c r="Q7877" s="53" t="n">
        <v>45988.6403819444</v>
      </c>
      <c r="R7877" s="0" t="n">
        <v>0</v>
      </c>
      <c r="S7877" s="51" t="s">
        <v>3780</v>
      </c>
      <c r="T7877" s="51" t="s">
        <v>3780</v>
      </c>
      <c r="U7877" s="0" t="str">
        <f aca="false">"12476048"</f>
        <v>12476048</v>
      </c>
      <c r="V7877" s="51" t="s">
        <v>2365</v>
      </c>
      <c r="W7877" s="51" t="s">
        <v>3904</v>
      </c>
      <c r="X7877" s="51" t="s">
        <v>2359</v>
      </c>
    </row>
    <row r="7878" customFormat="false" ht="14.25" hidden="true" customHeight="false" outlineLevel="0" collapsed="false">
      <c r="A7878" s="49" t="s">
        <v>2349</v>
      </c>
      <c r="B7878" s="49" t="s">
        <v>2350</v>
      </c>
      <c r="C7878" s="49" t="s">
        <v>12835</v>
      </c>
      <c r="D7878" s="49" t="s">
        <v>2352</v>
      </c>
      <c r="E7878" s="49" t="str">
        <f aca="false">"5060458890191"</f>
        <v>5060458890191</v>
      </c>
      <c r="F7878" s="49" t="s">
        <v>3656</v>
      </c>
      <c r="G7878" s="49" t="n">
        <v>0</v>
      </c>
      <c r="H7878" s="0" t="n">
        <v>0</v>
      </c>
      <c r="M7878" s="51" t="s">
        <v>12836</v>
      </c>
      <c r="N7878" s="49" t="n">
        <v>0</v>
      </c>
      <c r="O7878" s="53" t="n">
        <v>46021.5775810185</v>
      </c>
      <c r="P7878" s="53" t="n">
        <v>46023.8938078704</v>
      </c>
      <c r="Q7878" s="53" t="n">
        <v>46021.5775810185</v>
      </c>
      <c r="R7878" s="0" t="n">
        <v>0</v>
      </c>
      <c r="S7878" s="51" t="s">
        <v>2380</v>
      </c>
      <c r="T7878" s="51" t="s">
        <v>2380</v>
      </c>
      <c r="U7878" s="0" t="str">
        <f aca="false">"5060458890191"</f>
        <v>5060458890191</v>
      </c>
      <c r="V7878" s="51" t="s">
        <v>2142</v>
      </c>
      <c r="W7878" s="51" t="s">
        <v>7836</v>
      </c>
      <c r="X7878" s="51" t="s">
        <v>2359</v>
      </c>
    </row>
    <row r="7879" customFormat="false" ht="14.25" hidden="true" customHeight="false" outlineLevel="0" collapsed="false">
      <c r="A7879" s="49" t="s">
        <v>2349</v>
      </c>
      <c r="B7879" s="49" t="s">
        <v>2350</v>
      </c>
      <c r="C7879" s="49" t="s">
        <v>12837</v>
      </c>
      <c r="D7879" s="49" t="s">
        <v>2352</v>
      </c>
      <c r="E7879" s="49" t="str">
        <f aca="false">"5060458890191"</f>
        <v>5060458890191</v>
      </c>
      <c r="F7879" s="49" t="s">
        <v>3656</v>
      </c>
      <c r="G7879" s="49" t="n">
        <v>0</v>
      </c>
      <c r="H7879" s="0" t="n">
        <v>0</v>
      </c>
      <c r="M7879" s="51" t="s">
        <v>12836</v>
      </c>
      <c r="N7879" s="49" t="n">
        <v>0</v>
      </c>
      <c r="O7879" s="53" t="n">
        <v>46021.5777199074</v>
      </c>
      <c r="P7879" s="53" t="n">
        <v>46023.9211689815</v>
      </c>
      <c r="Q7879" s="53" t="n">
        <v>46021.5777199074</v>
      </c>
      <c r="R7879" s="0" t="n">
        <v>0</v>
      </c>
      <c r="S7879" s="51" t="s">
        <v>2380</v>
      </c>
      <c r="T7879" s="51" t="s">
        <v>2380</v>
      </c>
      <c r="U7879" s="0" t="str">
        <f aca="false">"5060458890191"</f>
        <v>5060458890191</v>
      </c>
      <c r="V7879" s="51" t="s">
        <v>2142</v>
      </c>
      <c r="W7879" s="51" t="s">
        <v>4527</v>
      </c>
      <c r="X7879" s="51" t="s">
        <v>2359</v>
      </c>
    </row>
    <row r="7880" customFormat="false" ht="14.25" hidden="true" customHeight="false" outlineLevel="0" collapsed="false">
      <c r="A7880" s="49" t="s">
        <v>2349</v>
      </c>
      <c r="B7880" s="49" t="s">
        <v>2350</v>
      </c>
      <c r="C7880" s="49" t="s">
        <v>12838</v>
      </c>
      <c r="D7880" s="49" t="s">
        <v>2352</v>
      </c>
      <c r="E7880" s="49" t="str">
        <f aca="false">"5060458890191"</f>
        <v>5060458890191</v>
      </c>
      <c r="F7880" s="49" t="s">
        <v>3656</v>
      </c>
      <c r="G7880" s="49" t="n">
        <v>0</v>
      </c>
      <c r="H7880" s="0" t="n">
        <v>0</v>
      </c>
      <c r="M7880" s="51" t="s">
        <v>12836</v>
      </c>
      <c r="N7880" s="49" t="n">
        <v>0</v>
      </c>
      <c r="O7880" s="53" t="n">
        <v>46021.5726967593</v>
      </c>
      <c r="P7880" s="53" t="n">
        <v>46023.8901388889</v>
      </c>
      <c r="Q7880" s="53" t="n">
        <v>46021.5726967593</v>
      </c>
      <c r="R7880" s="0" t="n">
        <v>0</v>
      </c>
      <c r="S7880" s="51" t="s">
        <v>2380</v>
      </c>
      <c r="T7880" s="51" t="s">
        <v>2380</v>
      </c>
      <c r="U7880" s="0" t="str">
        <f aca="false">"5060458890191"</f>
        <v>5060458890191</v>
      </c>
      <c r="V7880" s="51" t="s">
        <v>2142</v>
      </c>
      <c r="W7880" s="51" t="s">
        <v>7454</v>
      </c>
      <c r="X7880" s="51" t="s">
        <v>2359</v>
      </c>
    </row>
    <row r="7881" customFormat="false" ht="14.25" hidden="true" customHeight="false" outlineLevel="0" collapsed="false">
      <c r="A7881" s="49" t="s">
        <v>2349</v>
      </c>
      <c r="B7881" s="49" t="s">
        <v>2350</v>
      </c>
      <c r="C7881" s="49" t="s">
        <v>12839</v>
      </c>
      <c r="D7881" s="49" t="s">
        <v>2352</v>
      </c>
      <c r="E7881" s="49" t="str">
        <f aca="false">"5060458890191"</f>
        <v>5060458890191</v>
      </c>
      <c r="F7881" s="49" t="s">
        <v>3656</v>
      </c>
      <c r="G7881" s="49" t="n">
        <v>0</v>
      </c>
      <c r="H7881" s="0" t="n">
        <v>0</v>
      </c>
      <c r="M7881" s="51" t="s">
        <v>12836</v>
      </c>
      <c r="N7881" s="49" t="n">
        <v>0</v>
      </c>
      <c r="O7881" s="53" t="n">
        <v>46021.5729282407</v>
      </c>
      <c r="P7881" s="53" t="n">
        <v>46023.8909143519</v>
      </c>
      <c r="Q7881" s="53" t="n">
        <v>46021.5729282407</v>
      </c>
      <c r="R7881" s="0" t="n">
        <v>0</v>
      </c>
      <c r="S7881" s="51" t="s">
        <v>2380</v>
      </c>
      <c r="T7881" s="51" t="s">
        <v>2380</v>
      </c>
      <c r="U7881" s="0" t="str">
        <f aca="false">"5060458890191"</f>
        <v>5060458890191</v>
      </c>
      <c r="V7881" s="51" t="s">
        <v>2142</v>
      </c>
      <c r="W7881" s="51" t="s">
        <v>4040</v>
      </c>
      <c r="X7881" s="51" t="s">
        <v>2359</v>
      </c>
    </row>
    <row r="7882" customFormat="false" ht="14.25" hidden="true" customHeight="false" outlineLevel="0" collapsed="false">
      <c r="A7882" s="49" t="s">
        <v>2349</v>
      </c>
      <c r="B7882" s="49" t="s">
        <v>2350</v>
      </c>
      <c r="C7882" s="49" t="s">
        <v>12840</v>
      </c>
      <c r="D7882" s="49" t="s">
        <v>2352</v>
      </c>
      <c r="E7882" s="49" t="str">
        <f aca="false">"5060458890191"</f>
        <v>5060458890191</v>
      </c>
      <c r="F7882" s="49" t="s">
        <v>3656</v>
      </c>
      <c r="G7882" s="49" t="n">
        <v>0</v>
      </c>
      <c r="H7882" s="0" t="n">
        <v>0</v>
      </c>
      <c r="M7882" s="51" t="s">
        <v>12836</v>
      </c>
      <c r="N7882" s="49" t="n">
        <v>0</v>
      </c>
      <c r="O7882" s="53" t="n">
        <v>46021.5730902778</v>
      </c>
      <c r="P7882" s="53" t="n">
        <v>46023.8912037037</v>
      </c>
      <c r="Q7882" s="53" t="n">
        <v>46021.5730902778</v>
      </c>
      <c r="R7882" s="0" t="n">
        <v>0</v>
      </c>
      <c r="S7882" s="51" t="s">
        <v>2380</v>
      </c>
      <c r="T7882" s="51" t="s">
        <v>2380</v>
      </c>
      <c r="U7882" s="0" t="str">
        <f aca="false">"5060458890191"</f>
        <v>5060458890191</v>
      </c>
      <c r="V7882" s="51" t="s">
        <v>2142</v>
      </c>
      <c r="W7882" s="51" t="s">
        <v>12841</v>
      </c>
      <c r="X7882" s="51" t="s">
        <v>2359</v>
      </c>
    </row>
    <row r="7883" customFormat="false" ht="14.25" hidden="true" customHeight="false" outlineLevel="0" collapsed="false">
      <c r="A7883" s="49" t="s">
        <v>2349</v>
      </c>
      <c r="B7883" s="49" t="s">
        <v>2350</v>
      </c>
      <c r="C7883" s="49" t="s">
        <v>12842</v>
      </c>
      <c r="D7883" s="49" t="s">
        <v>2352</v>
      </c>
      <c r="E7883" s="49" t="str">
        <f aca="false">"5060458890191"</f>
        <v>5060458890191</v>
      </c>
      <c r="F7883" s="49" t="s">
        <v>3656</v>
      </c>
      <c r="G7883" s="49" t="n">
        <v>0</v>
      </c>
      <c r="H7883" s="0" t="n">
        <v>0</v>
      </c>
      <c r="M7883" s="51" t="s">
        <v>12836</v>
      </c>
      <c r="N7883" s="49" t="n">
        <v>0</v>
      </c>
      <c r="O7883" s="53" t="n">
        <v>46021.5732986111</v>
      </c>
      <c r="P7883" s="53" t="n">
        <v>46023.8915972222</v>
      </c>
      <c r="Q7883" s="53" t="n">
        <v>46021.5732986111</v>
      </c>
      <c r="R7883" s="0" t="n">
        <v>0</v>
      </c>
      <c r="S7883" s="51" t="s">
        <v>2380</v>
      </c>
      <c r="T7883" s="51" t="s">
        <v>2380</v>
      </c>
      <c r="U7883" s="0" t="str">
        <f aca="false">"5060458890191"</f>
        <v>5060458890191</v>
      </c>
      <c r="V7883" s="51" t="s">
        <v>2142</v>
      </c>
      <c r="W7883" s="51" t="s">
        <v>12843</v>
      </c>
      <c r="X7883" s="51" t="s">
        <v>2359</v>
      </c>
    </row>
    <row r="7884" customFormat="false" ht="14.25" hidden="true" customHeight="false" outlineLevel="0" collapsed="false">
      <c r="A7884" s="49" t="s">
        <v>2349</v>
      </c>
      <c r="B7884" s="49" t="s">
        <v>2350</v>
      </c>
      <c r="C7884" s="49" t="s">
        <v>12844</v>
      </c>
      <c r="D7884" s="49" t="s">
        <v>2352</v>
      </c>
      <c r="E7884" s="49" t="str">
        <f aca="false">"5060458890191"</f>
        <v>5060458890191</v>
      </c>
      <c r="F7884" s="49" t="s">
        <v>3656</v>
      </c>
      <c r="G7884" s="49" t="n">
        <v>0</v>
      </c>
      <c r="H7884" s="0" t="n">
        <v>0</v>
      </c>
      <c r="M7884" s="51" t="s">
        <v>12836</v>
      </c>
      <c r="N7884" s="49" t="n">
        <v>0</v>
      </c>
      <c r="O7884" s="53" t="n">
        <v>46021.5735185185</v>
      </c>
      <c r="P7884" s="53" t="n">
        <v>46023.8919560185</v>
      </c>
      <c r="Q7884" s="53" t="n">
        <v>46021.5735185185</v>
      </c>
      <c r="R7884" s="0" t="n">
        <v>0</v>
      </c>
      <c r="S7884" s="51" t="s">
        <v>2380</v>
      </c>
      <c r="T7884" s="51" t="s">
        <v>2380</v>
      </c>
      <c r="U7884" s="0" t="str">
        <f aca="false">"5060458890191"</f>
        <v>5060458890191</v>
      </c>
      <c r="V7884" s="51" t="s">
        <v>2142</v>
      </c>
      <c r="W7884" s="51" t="s">
        <v>12845</v>
      </c>
      <c r="X7884" s="51" t="s">
        <v>2359</v>
      </c>
    </row>
    <row r="7885" customFormat="false" ht="14.25" hidden="true" customHeight="false" outlineLevel="0" collapsed="false">
      <c r="A7885" s="49" t="s">
        <v>2349</v>
      </c>
      <c r="B7885" s="49" t="s">
        <v>2350</v>
      </c>
      <c r="C7885" s="49" t="s">
        <v>12846</v>
      </c>
      <c r="D7885" s="49" t="s">
        <v>2352</v>
      </c>
      <c r="E7885" s="49" t="str">
        <f aca="false">"5060458890191"</f>
        <v>5060458890191</v>
      </c>
      <c r="F7885" s="49" t="s">
        <v>3656</v>
      </c>
      <c r="G7885" s="49" t="n">
        <v>0</v>
      </c>
      <c r="H7885" s="0" t="n">
        <v>0</v>
      </c>
      <c r="M7885" s="51" t="s">
        <v>12836</v>
      </c>
      <c r="N7885" s="49" t="n">
        <v>0</v>
      </c>
      <c r="O7885" s="53" t="n">
        <v>46021.5737152778</v>
      </c>
      <c r="P7885" s="53" t="n">
        <v>46023.8922685185</v>
      </c>
      <c r="Q7885" s="53" t="n">
        <v>46021.5737152778</v>
      </c>
      <c r="R7885" s="0" t="n">
        <v>0</v>
      </c>
      <c r="S7885" s="51" t="s">
        <v>2380</v>
      </c>
      <c r="T7885" s="51" t="s">
        <v>2380</v>
      </c>
      <c r="U7885" s="0" t="str">
        <f aca="false">"5060458890191"</f>
        <v>5060458890191</v>
      </c>
      <c r="V7885" s="51" t="s">
        <v>2142</v>
      </c>
      <c r="W7885" s="51" t="s">
        <v>12847</v>
      </c>
      <c r="X7885" s="51" t="s">
        <v>2359</v>
      </c>
    </row>
    <row r="7886" customFormat="false" ht="14.25" hidden="true" customHeight="false" outlineLevel="0" collapsed="false">
      <c r="A7886" s="49" t="s">
        <v>2349</v>
      </c>
      <c r="B7886" s="49" t="s">
        <v>2350</v>
      </c>
      <c r="C7886" s="49" t="s">
        <v>12848</v>
      </c>
      <c r="D7886" s="49" t="s">
        <v>2352</v>
      </c>
      <c r="E7886" s="49" t="str">
        <f aca="false">"5060458890191"</f>
        <v>5060458890191</v>
      </c>
      <c r="F7886" s="49" t="s">
        <v>3656</v>
      </c>
      <c r="G7886" s="49" t="n">
        <v>0</v>
      </c>
      <c r="H7886" s="0" t="n">
        <v>0</v>
      </c>
      <c r="M7886" s="51" t="s">
        <v>12836</v>
      </c>
      <c r="N7886" s="49" t="n">
        <v>0</v>
      </c>
      <c r="O7886" s="53" t="n">
        <v>46021.5738425926</v>
      </c>
      <c r="P7886" s="53" t="n">
        <v>46023.8862962963</v>
      </c>
      <c r="Q7886" s="53" t="n">
        <v>46021.5738425926</v>
      </c>
      <c r="R7886" s="0" t="n">
        <v>0</v>
      </c>
      <c r="S7886" s="51" t="s">
        <v>2380</v>
      </c>
      <c r="T7886" s="51" t="s">
        <v>2380</v>
      </c>
      <c r="U7886" s="0" t="str">
        <f aca="false">"5060458890191"</f>
        <v>5060458890191</v>
      </c>
      <c r="V7886" s="51" t="s">
        <v>2142</v>
      </c>
      <c r="W7886" s="51" t="s">
        <v>4048</v>
      </c>
      <c r="X7886" s="51" t="s">
        <v>2359</v>
      </c>
    </row>
    <row r="7887" customFormat="false" ht="14.25" hidden="true" customHeight="false" outlineLevel="0" collapsed="false">
      <c r="A7887" s="49" t="s">
        <v>2349</v>
      </c>
      <c r="B7887" s="49" t="s">
        <v>2350</v>
      </c>
      <c r="C7887" s="49" t="s">
        <v>12849</v>
      </c>
      <c r="D7887" s="49" t="s">
        <v>2352</v>
      </c>
      <c r="E7887" s="49" t="str">
        <f aca="false">"5060458890191"</f>
        <v>5060458890191</v>
      </c>
      <c r="F7887" s="49" t="s">
        <v>3656</v>
      </c>
      <c r="G7887" s="49" t="n">
        <v>0</v>
      </c>
      <c r="H7887" s="0" t="n">
        <v>0</v>
      </c>
      <c r="M7887" s="51" t="s">
        <v>12836</v>
      </c>
      <c r="N7887" s="49" t="n">
        <v>0</v>
      </c>
      <c r="O7887" s="53" t="n">
        <v>46021.5740046296</v>
      </c>
      <c r="P7887" s="53" t="n">
        <v>46023.8862268519</v>
      </c>
      <c r="Q7887" s="53" t="n">
        <v>46021.5740046296</v>
      </c>
      <c r="R7887" s="0" t="n">
        <v>0</v>
      </c>
      <c r="S7887" s="51" t="s">
        <v>2380</v>
      </c>
      <c r="T7887" s="51" t="s">
        <v>2380</v>
      </c>
      <c r="U7887" s="0" t="str">
        <f aca="false">"5060458890191"</f>
        <v>5060458890191</v>
      </c>
      <c r="V7887" s="51" t="s">
        <v>2142</v>
      </c>
      <c r="W7887" s="51" t="s">
        <v>4028</v>
      </c>
      <c r="X7887" s="51" t="s">
        <v>2359</v>
      </c>
    </row>
    <row r="7888" customFormat="false" ht="14.25" hidden="true" customHeight="false" outlineLevel="0" collapsed="false">
      <c r="A7888" s="49" t="s">
        <v>2349</v>
      </c>
      <c r="B7888" s="49" t="s">
        <v>2350</v>
      </c>
      <c r="C7888" s="49" t="s">
        <v>12850</v>
      </c>
      <c r="D7888" s="49" t="s">
        <v>2352</v>
      </c>
      <c r="E7888" s="49" t="str">
        <f aca="false">"5060458890191"</f>
        <v>5060458890191</v>
      </c>
      <c r="F7888" s="49" t="s">
        <v>3656</v>
      </c>
      <c r="G7888" s="49" t="n">
        <v>0</v>
      </c>
      <c r="H7888" s="0" t="n">
        <v>0</v>
      </c>
      <c r="M7888" s="51" t="s">
        <v>12836</v>
      </c>
      <c r="N7888" s="49" t="n">
        <v>0</v>
      </c>
      <c r="O7888" s="53" t="n">
        <v>46021.5741666667</v>
      </c>
      <c r="P7888" s="53" t="n">
        <v>46023.8861342593</v>
      </c>
      <c r="Q7888" s="53" t="n">
        <v>46021.5741666667</v>
      </c>
      <c r="R7888" s="0" t="n">
        <v>0</v>
      </c>
      <c r="S7888" s="51" t="s">
        <v>2380</v>
      </c>
      <c r="T7888" s="51" t="s">
        <v>2380</v>
      </c>
      <c r="U7888" s="0" t="str">
        <f aca="false">"5060458890191"</f>
        <v>5060458890191</v>
      </c>
      <c r="V7888" s="51" t="s">
        <v>2142</v>
      </c>
      <c r="W7888" s="51" t="s">
        <v>4050</v>
      </c>
      <c r="X7888" s="51" t="s">
        <v>2359</v>
      </c>
    </row>
    <row r="7889" customFormat="false" ht="14.25" hidden="true" customHeight="false" outlineLevel="0" collapsed="false">
      <c r="A7889" s="49" t="s">
        <v>2349</v>
      </c>
      <c r="B7889" s="49" t="s">
        <v>2350</v>
      </c>
      <c r="C7889" s="49" t="s">
        <v>12851</v>
      </c>
      <c r="D7889" s="49" t="s">
        <v>2352</v>
      </c>
      <c r="E7889" s="49" t="str">
        <f aca="false">"5060458890191"</f>
        <v>5060458890191</v>
      </c>
      <c r="F7889" s="49" t="s">
        <v>3656</v>
      </c>
      <c r="G7889" s="49" t="n">
        <v>0</v>
      </c>
      <c r="H7889" s="0" t="n">
        <v>0</v>
      </c>
      <c r="M7889" s="51" t="s">
        <v>12836</v>
      </c>
      <c r="N7889" s="49" t="n">
        <v>0</v>
      </c>
      <c r="O7889" s="53" t="n">
        <v>46021.5743287037</v>
      </c>
      <c r="P7889" s="53" t="n">
        <v>46023.8871064815</v>
      </c>
      <c r="Q7889" s="53" t="n">
        <v>46021.5743287037</v>
      </c>
      <c r="R7889" s="0" t="n">
        <v>0</v>
      </c>
      <c r="S7889" s="51" t="s">
        <v>2380</v>
      </c>
      <c r="T7889" s="51" t="s">
        <v>2380</v>
      </c>
      <c r="U7889" s="0" t="str">
        <f aca="false">"5060458890191"</f>
        <v>5060458890191</v>
      </c>
      <c r="V7889" s="51" t="s">
        <v>2142</v>
      </c>
      <c r="W7889" s="51" t="s">
        <v>6267</v>
      </c>
      <c r="X7889" s="51" t="s">
        <v>2359</v>
      </c>
    </row>
    <row r="7890" customFormat="false" ht="14.25" hidden="true" customHeight="false" outlineLevel="0" collapsed="false">
      <c r="A7890" s="49" t="s">
        <v>2349</v>
      </c>
      <c r="B7890" s="49" t="s">
        <v>2350</v>
      </c>
      <c r="C7890" s="49" t="s">
        <v>12852</v>
      </c>
      <c r="D7890" s="49" t="s">
        <v>2352</v>
      </c>
      <c r="E7890" s="49" t="str">
        <f aca="false">"5060458890191"</f>
        <v>5060458890191</v>
      </c>
      <c r="F7890" s="49" t="s">
        <v>3656</v>
      </c>
      <c r="G7890" s="49" t="n">
        <v>0</v>
      </c>
      <c r="H7890" s="0" t="n">
        <v>0</v>
      </c>
      <c r="M7890" s="51" t="s">
        <v>12836</v>
      </c>
      <c r="N7890" s="49" t="n">
        <v>0</v>
      </c>
      <c r="O7890" s="53" t="n">
        <v>46021.5744791667</v>
      </c>
      <c r="P7890" s="53" t="n">
        <v>46023.8843055556</v>
      </c>
      <c r="Q7890" s="53" t="n">
        <v>46021.5744791667</v>
      </c>
      <c r="R7890" s="0" t="n">
        <v>0</v>
      </c>
      <c r="S7890" s="51" t="s">
        <v>2380</v>
      </c>
      <c r="T7890" s="51" t="s">
        <v>2380</v>
      </c>
      <c r="U7890" s="0" t="str">
        <f aca="false">"5060458890191"</f>
        <v>5060458890191</v>
      </c>
      <c r="V7890" s="51" t="s">
        <v>2142</v>
      </c>
      <c r="W7890" s="51" t="s">
        <v>4818</v>
      </c>
      <c r="X7890" s="51" t="s">
        <v>2359</v>
      </c>
    </row>
    <row r="7891" customFormat="false" ht="14.25" hidden="true" customHeight="false" outlineLevel="0" collapsed="false">
      <c r="A7891" s="49" t="s">
        <v>2349</v>
      </c>
      <c r="B7891" s="49" t="s">
        <v>2350</v>
      </c>
      <c r="C7891" s="49" t="s">
        <v>12853</v>
      </c>
      <c r="D7891" s="49" t="s">
        <v>2352</v>
      </c>
      <c r="E7891" s="49" t="str">
        <f aca="false">"5060458890191"</f>
        <v>5060458890191</v>
      </c>
      <c r="F7891" s="49" t="s">
        <v>3656</v>
      </c>
      <c r="G7891" s="49" t="n">
        <v>0</v>
      </c>
      <c r="H7891" s="0" t="n">
        <v>0</v>
      </c>
      <c r="M7891" s="51" t="s">
        <v>12836</v>
      </c>
      <c r="N7891" s="49" t="n">
        <v>0</v>
      </c>
      <c r="O7891" s="53" t="n">
        <v>46021.5746875</v>
      </c>
      <c r="P7891" s="53" t="n">
        <v>46023.8844560185</v>
      </c>
      <c r="Q7891" s="53" t="n">
        <v>46021.5746875</v>
      </c>
      <c r="R7891" s="0" t="n">
        <v>0</v>
      </c>
      <c r="S7891" s="51" t="s">
        <v>2380</v>
      </c>
      <c r="T7891" s="51" t="s">
        <v>2380</v>
      </c>
      <c r="U7891" s="0" t="str">
        <f aca="false">"5060458890191"</f>
        <v>5060458890191</v>
      </c>
      <c r="V7891" s="51" t="s">
        <v>2142</v>
      </c>
      <c r="W7891" s="51" t="s">
        <v>7563</v>
      </c>
      <c r="X7891" s="51" t="s">
        <v>2359</v>
      </c>
    </row>
    <row r="7892" customFormat="false" ht="14.25" hidden="true" customHeight="false" outlineLevel="0" collapsed="false">
      <c r="A7892" s="49" t="s">
        <v>2349</v>
      </c>
      <c r="B7892" s="49" t="s">
        <v>2350</v>
      </c>
      <c r="C7892" s="49" t="s">
        <v>12854</v>
      </c>
      <c r="D7892" s="49" t="s">
        <v>2352</v>
      </c>
      <c r="E7892" s="49" t="str">
        <f aca="false">"5060458890191"</f>
        <v>5060458890191</v>
      </c>
      <c r="F7892" s="49" t="s">
        <v>3656</v>
      </c>
      <c r="G7892" s="49" t="n">
        <v>0</v>
      </c>
      <c r="H7892" s="0" t="n">
        <v>0</v>
      </c>
      <c r="M7892" s="51" t="s">
        <v>12836</v>
      </c>
      <c r="N7892" s="49" t="n">
        <v>0</v>
      </c>
      <c r="O7892" s="53" t="n">
        <v>46021.5748842593</v>
      </c>
      <c r="P7892" s="53" t="n">
        <v>46023.8845138889</v>
      </c>
      <c r="Q7892" s="53" t="n">
        <v>46021.5748842593</v>
      </c>
      <c r="R7892" s="0" t="n">
        <v>0</v>
      </c>
      <c r="S7892" s="51" t="s">
        <v>2380</v>
      </c>
      <c r="T7892" s="51" t="s">
        <v>2380</v>
      </c>
      <c r="U7892" s="0" t="str">
        <f aca="false">"5060458890191"</f>
        <v>5060458890191</v>
      </c>
      <c r="V7892" s="51" t="s">
        <v>2142</v>
      </c>
      <c r="W7892" s="51" t="s">
        <v>6259</v>
      </c>
      <c r="X7892" s="51" t="s">
        <v>2359</v>
      </c>
    </row>
    <row r="7893" customFormat="false" ht="14.25" hidden="true" customHeight="false" outlineLevel="0" collapsed="false">
      <c r="A7893" s="49" t="s">
        <v>2349</v>
      </c>
      <c r="B7893" s="49" t="s">
        <v>2350</v>
      </c>
      <c r="C7893" s="49" t="s">
        <v>12855</v>
      </c>
      <c r="D7893" s="49" t="s">
        <v>2352</v>
      </c>
      <c r="E7893" s="49" t="str">
        <f aca="false">"5060458890191"</f>
        <v>5060458890191</v>
      </c>
      <c r="F7893" s="49" t="s">
        <v>3656</v>
      </c>
      <c r="G7893" s="49" t="n">
        <v>0</v>
      </c>
      <c r="H7893" s="0" t="n">
        <v>0</v>
      </c>
      <c r="M7893" s="51" t="s">
        <v>12836</v>
      </c>
      <c r="N7893" s="49" t="n">
        <v>0</v>
      </c>
      <c r="O7893" s="53" t="n">
        <v>46021.5753009259</v>
      </c>
      <c r="P7893" s="53" t="n">
        <v>46023.8845601852</v>
      </c>
      <c r="Q7893" s="53" t="n">
        <v>46021.5753009259</v>
      </c>
      <c r="R7893" s="0" t="n">
        <v>0</v>
      </c>
      <c r="S7893" s="51" t="s">
        <v>2380</v>
      </c>
      <c r="T7893" s="51" t="s">
        <v>2380</v>
      </c>
      <c r="U7893" s="0" t="str">
        <f aca="false">"5060458890191"</f>
        <v>5060458890191</v>
      </c>
      <c r="V7893" s="51" t="s">
        <v>2142</v>
      </c>
      <c r="W7893" s="51" t="s">
        <v>9275</v>
      </c>
      <c r="X7893" s="51" t="s">
        <v>2359</v>
      </c>
    </row>
    <row r="7894" customFormat="false" ht="14.25" hidden="true" customHeight="false" outlineLevel="0" collapsed="false">
      <c r="A7894" s="49" t="s">
        <v>2349</v>
      </c>
      <c r="B7894" s="49" t="s">
        <v>2350</v>
      </c>
      <c r="C7894" s="49" t="s">
        <v>12856</v>
      </c>
      <c r="D7894" s="49" t="s">
        <v>2352</v>
      </c>
      <c r="E7894" s="49" t="str">
        <f aca="false">"5060458890191"</f>
        <v>5060458890191</v>
      </c>
      <c r="F7894" s="49" t="s">
        <v>3656</v>
      </c>
      <c r="G7894" s="49" t="n">
        <v>0</v>
      </c>
      <c r="H7894" s="0" t="n">
        <v>0</v>
      </c>
      <c r="M7894" s="51" t="s">
        <v>12836</v>
      </c>
      <c r="N7894" s="49" t="n">
        <v>0</v>
      </c>
      <c r="O7894" s="53" t="n">
        <v>46021.5754398148</v>
      </c>
      <c r="P7894" s="53" t="n">
        <v>46023.8846180556</v>
      </c>
      <c r="Q7894" s="53" t="n">
        <v>46021.5754398148</v>
      </c>
      <c r="R7894" s="0" t="n">
        <v>0</v>
      </c>
      <c r="S7894" s="51" t="s">
        <v>2380</v>
      </c>
      <c r="T7894" s="51" t="s">
        <v>2380</v>
      </c>
      <c r="U7894" s="0" t="str">
        <f aca="false">"5060458890191"</f>
        <v>5060458890191</v>
      </c>
      <c r="V7894" s="51" t="s">
        <v>2142</v>
      </c>
      <c r="W7894" s="51" t="s">
        <v>7561</v>
      </c>
      <c r="X7894" s="51" t="s">
        <v>2359</v>
      </c>
    </row>
    <row r="7895" customFormat="false" ht="14.25" hidden="true" customHeight="false" outlineLevel="0" collapsed="false">
      <c r="A7895" s="49" t="s">
        <v>2349</v>
      </c>
      <c r="B7895" s="49" t="s">
        <v>2350</v>
      </c>
      <c r="C7895" s="49" t="s">
        <v>12857</v>
      </c>
      <c r="D7895" s="49" t="s">
        <v>2352</v>
      </c>
      <c r="E7895" s="49" t="str">
        <f aca="false">"5060458890191"</f>
        <v>5060458890191</v>
      </c>
      <c r="F7895" s="49" t="s">
        <v>3656</v>
      </c>
      <c r="G7895" s="49" t="n">
        <v>0</v>
      </c>
      <c r="H7895" s="0" t="n">
        <v>0</v>
      </c>
      <c r="M7895" s="51" t="s">
        <v>12836</v>
      </c>
      <c r="N7895" s="49" t="n">
        <v>0</v>
      </c>
      <c r="O7895" s="53" t="n">
        <v>46021.5757060185</v>
      </c>
      <c r="P7895" s="53" t="n">
        <v>46023.8846643519</v>
      </c>
      <c r="Q7895" s="53" t="n">
        <v>46021.5757060185</v>
      </c>
      <c r="R7895" s="0" t="n">
        <v>0</v>
      </c>
      <c r="S7895" s="51" t="s">
        <v>2380</v>
      </c>
      <c r="T7895" s="51" t="s">
        <v>2380</v>
      </c>
      <c r="U7895" s="0" t="str">
        <f aca="false">"5060458890191"</f>
        <v>5060458890191</v>
      </c>
      <c r="V7895" s="51" t="s">
        <v>2142</v>
      </c>
      <c r="W7895" s="51" t="s">
        <v>11203</v>
      </c>
      <c r="X7895" s="51" t="s">
        <v>2359</v>
      </c>
    </row>
    <row r="7896" customFormat="false" ht="14.25" hidden="true" customHeight="false" outlineLevel="0" collapsed="false">
      <c r="A7896" s="49" t="s">
        <v>2349</v>
      </c>
      <c r="B7896" s="49" t="s">
        <v>2350</v>
      </c>
      <c r="C7896" s="49" t="s">
        <v>12858</v>
      </c>
      <c r="D7896" s="49" t="s">
        <v>2352</v>
      </c>
      <c r="E7896" s="49" t="str">
        <f aca="false">"5060458890191"</f>
        <v>5060458890191</v>
      </c>
      <c r="F7896" s="49" t="s">
        <v>3656</v>
      </c>
      <c r="G7896" s="49" t="n">
        <v>0</v>
      </c>
      <c r="H7896" s="0" t="n">
        <v>0</v>
      </c>
      <c r="M7896" s="51" t="s">
        <v>12836</v>
      </c>
      <c r="N7896" s="49" t="n">
        <v>0</v>
      </c>
      <c r="O7896" s="53" t="n">
        <v>46021.5758796296</v>
      </c>
      <c r="P7896" s="53" t="n">
        <v>46023.8847222222</v>
      </c>
      <c r="Q7896" s="53" t="n">
        <v>46021.5758796296</v>
      </c>
      <c r="R7896" s="0" t="n">
        <v>0</v>
      </c>
      <c r="S7896" s="51" t="s">
        <v>2380</v>
      </c>
      <c r="T7896" s="51" t="s">
        <v>2380</v>
      </c>
      <c r="U7896" s="0" t="str">
        <f aca="false">"5060458890191"</f>
        <v>5060458890191</v>
      </c>
      <c r="V7896" s="51" t="s">
        <v>2142</v>
      </c>
      <c r="W7896" s="51" t="s">
        <v>6270</v>
      </c>
      <c r="X7896" s="51" t="s">
        <v>2359</v>
      </c>
    </row>
    <row r="7897" customFormat="false" ht="14.25" hidden="true" customHeight="false" outlineLevel="0" collapsed="false">
      <c r="A7897" s="49" t="s">
        <v>2349</v>
      </c>
      <c r="B7897" s="49" t="s">
        <v>2350</v>
      </c>
      <c r="C7897" s="49" t="s">
        <v>12859</v>
      </c>
      <c r="D7897" s="49" t="s">
        <v>2352</v>
      </c>
      <c r="E7897" s="49" t="str">
        <f aca="false">"5060458890191"</f>
        <v>5060458890191</v>
      </c>
      <c r="F7897" s="49" t="s">
        <v>3656</v>
      </c>
      <c r="G7897" s="49" t="n">
        <v>0</v>
      </c>
      <c r="H7897" s="0" t="n">
        <v>0</v>
      </c>
      <c r="M7897" s="51" t="s">
        <v>12836</v>
      </c>
      <c r="N7897" s="49" t="n">
        <v>0</v>
      </c>
      <c r="O7897" s="53" t="n">
        <v>46021.5760300926</v>
      </c>
      <c r="P7897" s="53" t="n">
        <v>46023.8847569445</v>
      </c>
      <c r="Q7897" s="53" t="n">
        <v>46021.5760300926</v>
      </c>
      <c r="R7897" s="0" t="n">
        <v>0</v>
      </c>
      <c r="S7897" s="51" t="s">
        <v>2380</v>
      </c>
      <c r="T7897" s="51" t="s">
        <v>2380</v>
      </c>
      <c r="U7897" s="0" t="str">
        <f aca="false">"5060458890191"</f>
        <v>5060458890191</v>
      </c>
      <c r="V7897" s="51" t="s">
        <v>2142</v>
      </c>
      <c r="W7897" s="51" t="s">
        <v>4734</v>
      </c>
      <c r="X7897" s="51" t="s">
        <v>2359</v>
      </c>
    </row>
    <row r="7898" customFormat="false" ht="14.25" hidden="true" customHeight="false" outlineLevel="0" collapsed="false">
      <c r="A7898" s="49" t="s">
        <v>2349</v>
      </c>
      <c r="B7898" s="49" t="s">
        <v>2350</v>
      </c>
      <c r="C7898" s="49" t="s">
        <v>12860</v>
      </c>
      <c r="D7898" s="49" t="s">
        <v>2352</v>
      </c>
      <c r="E7898" s="49" t="str">
        <f aca="false">"5060458890191"</f>
        <v>5060458890191</v>
      </c>
      <c r="F7898" s="49" t="s">
        <v>3656</v>
      </c>
      <c r="G7898" s="49" t="n">
        <v>0</v>
      </c>
      <c r="H7898" s="0" t="n">
        <v>0</v>
      </c>
      <c r="M7898" s="51" t="s">
        <v>12836</v>
      </c>
      <c r="N7898" s="49" t="n">
        <v>0</v>
      </c>
      <c r="O7898" s="53" t="n">
        <v>46021.5761805556</v>
      </c>
      <c r="P7898" s="53" t="n">
        <v>46023.8852083333</v>
      </c>
      <c r="Q7898" s="53" t="n">
        <v>46021.5761805556</v>
      </c>
      <c r="R7898" s="0" t="n">
        <v>0</v>
      </c>
      <c r="S7898" s="51" t="s">
        <v>2380</v>
      </c>
      <c r="T7898" s="51" t="s">
        <v>2380</v>
      </c>
      <c r="U7898" s="0" t="str">
        <f aca="false">"5060458890191"</f>
        <v>5060458890191</v>
      </c>
      <c r="V7898" s="51" t="s">
        <v>2142</v>
      </c>
      <c r="W7898" s="51" t="s">
        <v>4765</v>
      </c>
      <c r="X7898" s="51" t="s">
        <v>2359</v>
      </c>
    </row>
    <row r="7899" customFormat="false" ht="14.25" hidden="true" customHeight="false" outlineLevel="0" collapsed="false">
      <c r="A7899" s="49" t="s">
        <v>2349</v>
      </c>
      <c r="B7899" s="49" t="s">
        <v>2350</v>
      </c>
      <c r="C7899" s="49" t="s">
        <v>12861</v>
      </c>
      <c r="D7899" s="49" t="s">
        <v>2352</v>
      </c>
      <c r="E7899" s="49" t="str">
        <f aca="false">"5060458890191"</f>
        <v>5060458890191</v>
      </c>
      <c r="F7899" s="49" t="s">
        <v>3656</v>
      </c>
      <c r="G7899" s="49" t="n">
        <v>0</v>
      </c>
      <c r="H7899" s="0" t="n">
        <v>0</v>
      </c>
      <c r="M7899" s="51" t="s">
        <v>12836</v>
      </c>
      <c r="N7899" s="49" t="n">
        <v>0</v>
      </c>
      <c r="O7899" s="53" t="n">
        <v>46021.5763425926</v>
      </c>
      <c r="P7899" s="53" t="n">
        <v>46023.8852777778</v>
      </c>
      <c r="Q7899" s="53" t="n">
        <v>46021.5763425926</v>
      </c>
      <c r="R7899" s="0" t="n">
        <v>0</v>
      </c>
      <c r="S7899" s="51" t="s">
        <v>2380</v>
      </c>
      <c r="T7899" s="51" t="s">
        <v>2380</v>
      </c>
      <c r="U7899" s="0" t="str">
        <f aca="false">"5060458890191"</f>
        <v>5060458890191</v>
      </c>
      <c r="V7899" s="51" t="s">
        <v>2142</v>
      </c>
      <c r="W7899" s="51" t="s">
        <v>4769</v>
      </c>
      <c r="X7899" s="51" t="s">
        <v>2359</v>
      </c>
    </row>
    <row r="7900" customFormat="false" ht="14.25" hidden="true" customHeight="false" outlineLevel="0" collapsed="false">
      <c r="A7900" s="49" t="s">
        <v>2349</v>
      </c>
      <c r="B7900" s="49" t="s">
        <v>2350</v>
      </c>
      <c r="C7900" s="49" t="s">
        <v>12862</v>
      </c>
      <c r="D7900" s="49" t="s">
        <v>2352</v>
      </c>
      <c r="E7900" s="49" t="str">
        <f aca="false">"5060458890191"</f>
        <v>5060458890191</v>
      </c>
      <c r="F7900" s="49" t="s">
        <v>3656</v>
      </c>
      <c r="G7900" s="49" t="n">
        <v>0</v>
      </c>
      <c r="H7900" s="0" t="n">
        <v>0</v>
      </c>
      <c r="M7900" s="51" t="s">
        <v>12836</v>
      </c>
      <c r="N7900" s="49" t="n">
        <v>0</v>
      </c>
      <c r="O7900" s="53" t="n">
        <v>46021.5765972222</v>
      </c>
      <c r="P7900" s="53" t="n">
        <v>46023.8853587963</v>
      </c>
      <c r="Q7900" s="53" t="n">
        <v>46021.5765972222</v>
      </c>
      <c r="R7900" s="0" t="n">
        <v>0</v>
      </c>
      <c r="S7900" s="51" t="s">
        <v>2380</v>
      </c>
      <c r="T7900" s="51" t="s">
        <v>2380</v>
      </c>
      <c r="U7900" s="0" t="str">
        <f aca="false">"5060458890191"</f>
        <v>5060458890191</v>
      </c>
      <c r="V7900" s="51" t="s">
        <v>2142</v>
      </c>
      <c r="W7900" s="51" t="s">
        <v>6179</v>
      </c>
      <c r="X7900" s="51" t="s">
        <v>2359</v>
      </c>
    </row>
    <row r="7901" customFormat="false" ht="14.25" hidden="true" customHeight="false" outlineLevel="0" collapsed="false">
      <c r="A7901" s="49" t="s">
        <v>2349</v>
      </c>
      <c r="B7901" s="49" t="s">
        <v>2350</v>
      </c>
      <c r="C7901" s="49" t="s">
        <v>12863</v>
      </c>
      <c r="D7901" s="49" t="s">
        <v>2352</v>
      </c>
      <c r="E7901" s="49" t="str">
        <f aca="false">"5060458890191"</f>
        <v>5060458890191</v>
      </c>
      <c r="F7901" s="49" t="s">
        <v>3656</v>
      </c>
      <c r="G7901" s="49" t="n">
        <v>0</v>
      </c>
      <c r="H7901" s="0" t="n">
        <v>0</v>
      </c>
      <c r="M7901" s="51" t="s">
        <v>12836</v>
      </c>
      <c r="N7901" s="49" t="n">
        <v>0</v>
      </c>
      <c r="O7901" s="53" t="n">
        <v>46021.5767013889</v>
      </c>
      <c r="P7901" s="53" t="n">
        <v>46023.8854398148</v>
      </c>
      <c r="Q7901" s="53" t="n">
        <v>46021.5767013889</v>
      </c>
      <c r="R7901" s="0" t="n">
        <v>0</v>
      </c>
      <c r="S7901" s="51" t="s">
        <v>2380</v>
      </c>
      <c r="T7901" s="51" t="s">
        <v>2380</v>
      </c>
      <c r="U7901" s="0" t="str">
        <f aca="false">"5060458890191"</f>
        <v>5060458890191</v>
      </c>
      <c r="V7901" s="51" t="s">
        <v>2142</v>
      </c>
      <c r="W7901" s="51" t="s">
        <v>6181</v>
      </c>
      <c r="X7901" s="51" t="s">
        <v>2359</v>
      </c>
    </row>
    <row r="7902" customFormat="false" ht="14.25" hidden="true" customHeight="false" outlineLevel="0" collapsed="false">
      <c r="A7902" s="49" t="s">
        <v>2349</v>
      </c>
      <c r="B7902" s="49" t="s">
        <v>2350</v>
      </c>
      <c r="C7902" s="49" t="s">
        <v>12864</v>
      </c>
      <c r="D7902" s="49" t="s">
        <v>2352</v>
      </c>
      <c r="E7902" s="49" t="str">
        <f aca="false">"5060458890191"</f>
        <v>5060458890191</v>
      </c>
      <c r="F7902" s="49" t="s">
        <v>3656</v>
      </c>
      <c r="G7902" s="49" t="n">
        <v>0</v>
      </c>
      <c r="H7902" s="0" t="n">
        <v>0</v>
      </c>
      <c r="M7902" s="51" t="s">
        <v>12836</v>
      </c>
      <c r="N7902" s="49" t="n">
        <v>0</v>
      </c>
      <c r="O7902" s="53" t="n">
        <v>46021.5768055556</v>
      </c>
      <c r="P7902" s="53" t="n">
        <v>46023.8855092593</v>
      </c>
      <c r="Q7902" s="53" t="n">
        <v>46021.5768055556</v>
      </c>
      <c r="R7902" s="0" t="n">
        <v>0</v>
      </c>
      <c r="S7902" s="51" t="s">
        <v>2380</v>
      </c>
      <c r="T7902" s="51" t="s">
        <v>2380</v>
      </c>
      <c r="U7902" s="0" t="str">
        <f aca="false">"5060458890191"</f>
        <v>5060458890191</v>
      </c>
      <c r="V7902" s="51" t="s">
        <v>2142</v>
      </c>
      <c r="W7902" s="51" t="s">
        <v>6253</v>
      </c>
      <c r="X7902" s="51" t="s">
        <v>2359</v>
      </c>
    </row>
    <row r="7903" customFormat="false" ht="14.25" hidden="true" customHeight="false" outlineLevel="0" collapsed="false">
      <c r="A7903" s="49" t="s">
        <v>2349</v>
      </c>
      <c r="B7903" s="49" t="s">
        <v>2350</v>
      </c>
      <c r="C7903" s="49" t="s">
        <v>12865</v>
      </c>
      <c r="D7903" s="49" t="s">
        <v>2352</v>
      </c>
      <c r="E7903" s="49" t="str">
        <f aca="false">"5060458890191"</f>
        <v>5060458890191</v>
      </c>
      <c r="F7903" s="49" t="s">
        <v>3656</v>
      </c>
      <c r="G7903" s="49" t="n">
        <v>0</v>
      </c>
      <c r="H7903" s="0" t="n">
        <v>0</v>
      </c>
      <c r="M7903" s="51" t="s">
        <v>12836</v>
      </c>
      <c r="N7903" s="49" t="n">
        <v>0</v>
      </c>
      <c r="O7903" s="53" t="n">
        <v>46021.5769444444</v>
      </c>
      <c r="P7903" s="53" t="n">
        <v>46023.885787037</v>
      </c>
      <c r="Q7903" s="53" t="n">
        <v>46021.5769444444</v>
      </c>
      <c r="R7903" s="0" t="n">
        <v>0</v>
      </c>
      <c r="S7903" s="51" t="s">
        <v>2380</v>
      </c>
      <c r="T7903" s="51" t="s">
        <v>2380</v>
      </c>
      <c r="U7903" s="0" t="str">
        <f aca="false">"5060458890191"</f>
        <v>5060458890191</v>
      </c>
      <c r="V7903" s="51" t="s">
        <v>2142</v>
      </c>
      <c r="W7903" s="51" t="s">
        <v>8782</v>
      </c>
      <c r="X7903" s="51" t="s">
        <v>2359</v>
      </c>
    </row>
    <row r="7904" customFormat="false" ht="14.25" hidden="true" customHeight="false" outlineLevel="0" collapsed="false">
      <c r="A7904" s="49" t="s">
        <v>2349</v>
      </c>
      <c r="B7904" s="49" t="s">
        <v>2350</v>
      </c>
      <c r="C7904" s="49" t="s">
        <v>12866</v>
      </c>
      <c r="D7904" s="49" t="s">
        <v>2352</v>
      </c>
      <c r="E7904" s="49" t="str">
        <f aca="false">"5060458890191"</f>
        <v>5060458890191</v>
      </c>
      <c r="F7904" s="49" t="s">
        <v>3656</v>
      </c>
      <c r="G7904" s="49" t="n">
        <v>0</v>
      </c>
      <c r="H7904" s="0" t="n">
        <v>0</v>
      </c>
      <c r="M7904" s="51" t="s">
        <v>12836</v>
      </c>
      <c r="N7904" s="49" t="n">
        <v>0</v>
      </c>
      <c r="O7904" s="53" t="n">
        <v>46021.5771759259</v>
      </c>
      <c r="P7904" s="53" t="n">
        <v>46023.8925</v>
      </c>
      <c r="Q7904" s="53" t="n">
        <v>46021.5771759259</v>
      </c>
      <c r="R7904" s="0" t="n">
        <v>0</v>
      </c>
      <c r="S7904" s="51" t="s">
        <v>2380</v>
      </c>
      <c r="T7904" s="51" t="s">
        <v>2380</v>
      </c>
      <c r="U7904" s="0" t="str">
        <f aca="false">"5060458890191"</f>
        <v>5060458890191</v>
      </c>
      <c r="V7904" s="51" t="s">
        <v>2142</v>
      </c>
      <c r="W7904" s="51" t="s">
        <v>7878</v>
      </c>
      <c r="X7904" s="51" t="s">
        <v>2359</v>
      </c>
    </row>
    <row r="7905" customFormat="false" ht="14.25" hidden="true" customHeight="false" outlineLevel="0" collapsed="false">
      <c r="A7905" s="49" t="s">
        <v>2349</v>
      </c>
      <c r="B7905" s="49" t="s">
        <v>2350</v>
      </c>
      <c r="C7905" s="49" t="s">
        <v>12867</v>
      </c>
      <c r="D7905" s="49" t="s">
        <v>2352</v>
      </c>
      <c r="E7905" s="49" t="str">
        <f aca="false">"5060458890191"</f>
        <v>5060458890191</v>
      </c>
      <c r="F7905" s="49" t="s">
        <v>3656</v>
      </c>
      <c r="G7905" s="49" t="n">
        <v>0</v>
      </c>
      <c r="H7905" s="0" t="n">
        <v>0</v>
      </c>
      <c r="M7905" s="51" t="s">
        <v>12836</v>
      </c>
      <c r="N7905" s="49" t="n">
        <v>0</v>
      </c>
      <c r="O7905" s="53" t="n">
        <v>46021.5773263889</v>
      </c>
      <c r="P7905" s="53" t="n">
        <v>46023.8931828704</v>
      </c>
      <c r="Q7905" s="53" t="n">
        <v>46021.5773263889</v>
      </c>
      <c r="R7905" s="0" t="n">
        <v>0</v>
      </c>
      <c r="S7905" s="51" t="s">
        <v>2380</v>
      </c>
      <c r="T7905" s="51" t="s">
        <v>2380</v>
      </c>
      <c r="U7905" s="0" t="str">
        <f aca="false">"5060458890191"</f>
        <v>5060458890191</v>
      </c>
      <c r="V7905" s="51" t="s">
        <v>2142</v>
      </c>
      <c r="W7905" s="51" t="s">
        <v>4761</v>
      </c>
      <c r="X7905" s="51" t="s">
        <v>2359</v>
      </c>
    </row>
    <row r="7906" customFormat="false" ht="14.25" hidden="true" customHeight="false" outlineLevel="0" collapsed="false">
      <c r="A7906" s="49" t="s">
        <v>2349</v>
      </c>
      <c r="B7906" s="49" t="s">
        <v>2350</v>
      </c>
      <c r="C7906" s="49" t="s">
        <v>12868</v>
      </c>
      <c r="D7906" s="49" t="s">
        <v>2352</v>
      </c>
      <c r="E7906" s="49" t="str">
        <f aca="false">"5060458890191"</f>
        <v>5060458890191</v>
      </c>
      <c r="F7906" s="49" t="s">
        <v>3656</v>
      </c>
      <c r="G7906" s="49" t="n">
        <v>0</v>
      </c>
      <c r="H7906" s="0" t="n">
        <v>0</v>
      </c>
      <c r="M7906" s="51" t="s">
        <v>12836</v>
      </c>
      <c r="N7906" s="49" t="n">
        <v>0</v>
      </c>
      <c r="O7906" s="53" t="n">
        <v>46021.5774768519</v>
      </c>
      <c r="P7906" s="53" t="n">
        <v>46026.5375578704</v>
      </c>
      <c r="Q7906" s="53" t="n">
        <v>46021.5774768519</v>
      </c>
      <c r="R7906" s="0" t="n">
        <v>0</v>
      </c>
      <c r="S7906" s="51" t="s">
        <v>2380</v>
      </c>
      <c r="T7906" s="51" t="s">
        <v>2380</v>
      </c>
      <c r="U7906" s="0" t="str">
        <f aca="false">"5060458890191"</f>
        <v>5060458890191</v>
      </c>
      <c r="V7906" s="51" t="s">
        <v>2142</v>
      </c>
      <c r="W7906" s="51" t="s">
        <v>11223</v>
      </c>
      <c r="X7906" s="51" t="s">
        <v>2359</v>
      </c>
    </row>
    <row r="7907" customFormat="false" ht="14.25" hidden="true" customHeight="false" outlineLevel="0" collapsed="false">
      <c r="A7907" s="49" t="s">
        <v>2349</v>
      </c>
      <c r="B7907" s="49" t="s">
        <v>2350</v>
      </c>
      <c r="C7907" s="49" t="s">
        <v>12869</v>
      </c>
      <c r="D7907" s="49" t="s">
        <v>2352</v>
      </c>
      <c r="E7907" s="49" t="str">
        <f aca="false">"12520129"</f>
        <v>12520129</v>
      </c>
      <c r="F7907" s="49" t="s">
        <v>4870</v>
      </c>
      <c r="G7907" s="49" t="n">
        <v>0</v>
      </c>
      <c r="H7907" s="0" t="n">
        <v>0</v>
      </c>
      <c r="M7907" s="51" t="s">
        <v>12870</v>
      </c>
      <c r="N7907" s="49" t="n">
        <v>0</v>
      </c>
      <c r="O7907" s="53" t="n">
        <v>45990.5032986111</v>
      </c>
      <c r="P7907" s="53" t="n">
        <v>45991.772962963</v>
      </c>
      <c r="Q7907" s="53" t="n">
        <v>45990.5032986111</v>
      </c>
      <c r="R7907" s="0" t="n">
        <v>0</v>
      </c>
      <c r="S7907" s="51" t="s">
        <v>3780</v>
      </c>
      <c r="T7907" s="51" t="s">
        <v>3780</v>
      </c>
      <c r="U7907" s="0" t="str">
        <f aca="false">"12520129"</f>
        <v>12520129</v>
      </c>
      <c r="V7907" s="51" t="s">
        <v>2365</v>
      </c>
      <c r="W7907" s="51" t="s">
        <v>9922</v>
      </c>
      <c r="X7907" s="51" t="s">
        <v>2359</v>
      </c>
    </row>
    <row r="7908" customFormat="false" ht="14.25" hidden="true" customHeight="false" outlineLevel="0" collapsed="false">
      <c r="A7908" s="49" t="s">
        <v>2349</v>
      </c>
      <c r="B7908" s="49" t="s">
        <v>2350</v>
      </c>
      <c r="C7908" s="49" t="s">
        <v>12871</v>
      </c>
      <c r="D7908" s="49" t="s">
        <v>2352</v>
      </c>
      <c r="E7908" s="49" t="str">
        <f aca="false">"12520129"</f>
        <v>12520129</v>
      </c>
      <c r="F7908" s="49" t="s">
        <v>4870</v>
      </c>
      <c r="G7908" s="49" t="n">
        <v>0</v>
      </c>
      <c r="H7908" s="0" t="n">
        <v>0</v>
      </c>
      <c r="M7908" s="51" t="s">
        <v>12870</v>
      </c>
      <c r="N7908" s="49" t="n">
        <v>0</v>
      </c>
      <c r="O7908" s="53" t="n">
        <v>45990.5029050926</v>
      </c>
      <c r="P7908" s="53" t="n">
        <v>45991.7708101852</v>
      </c>
      <c r="Q7908" s="53" t="n">
        <v>45990.5029050926</v>
      </c>
      <c r="R7908" s="0" t="n">
        <v>0</v>
      </c>
      <c r="S7908" s="51" t="s">
        <v>3780</v>
      </c>
      <c r="T7908" s="51" t="s">
        <v>3780</v>
      </c>
      <c r="U7908" s="0" t="str">
        <f aca="false">"12520129"</f>
        <v>12520129</v>
      </c>
      <c r="V7908" s="51" t="s">
        <v>2365</v>
      </c>
      <c r="W7908" s="51" t="s">
        <v>10174</v>
      </c>
      <c r="X7908" s="51" t="s">
        <v>2359</v>
      </c>
    </row>
    <row r="7909" customFormat="false" ht="14.25" hidden="true" customHeight="false" outlineLevel="0" collapsed="false">
      <c r="A7909" s="49" t="s">
        <v>2349</v>
      </c>
      <c r="B7909" s="49" t="s">
        <v>2350</v>
      </c>
      <c r="C7909" s="49" t="s">
        <v>12872</v>
      </c>
      <c r="D7909" s="49" t="s">
        <v>2352</v>
      </c>
      <c r="E7909" s="49" t="str">
        <f aca="false">"12520129"</f>
        <v>12520129</v>
      </c>
      <c r="F7909" s="49" t="s">
        <v>4870</v>
      </c>
      <c r="G7909" s="49" t="n">
        <v>0</v>
      </c>
      <c r="H7909" s="0" t="n">
        <v>0</v>
      </c>
      <c r="M7909" s="51" t="s">
        <v>12870</v>
      </c>
      <c r="N7909" s="49" t="n">
        <v>0</v>
      </c>
      <c r="O7909" s="53" t="n">
        <v>45990.5037731482</v>
      </c>
      <c r="P7909" s="53" t="n">
        <v>45991.7737037037</v>
      </c>
      <c r="Q7909" s="53" t="n">
        <v>45990.5037731482</v>
      </c>
      <c r="R7909" s="0" t="n">
        <v>0</v>
      </c>
      <c r="S7909" s="51" t="s">
        <v>3780</v>
      </c>
      <c r="T7909" s="51" t="s">
        <v>3780</v>
      </c>
      <c r="U7909" s="0" t="str">
        <f aca="false">"12520129"</f>
        <v>12520129</v>
      </c>
      <c r="V7909" s="51" t="s">
        <v>2365</v>
      </c>
      <c r="W7909" s="51" t="s">
        <v>10149</v>
      </c>
      <c r="X7909" s="51" t="s">
        <v>2359</v>
      </c>
    </row>
    <row r="7910" customFormat="false" ht="14.25" hidden="true" customHeight="false" outlineLevel="0" collapsed="false">
      <c r="A7910" s="49" t="s">
        <v>2349</v>
      </c>
      <c r="B7910" s="49" t="s">
        <v>2350</v>
      </c>
      <c r="C7910" s="49" t="s">
        <v>12873</v>
      </c>
      <c r="D7910" s="49" t="s">
        <v>2352</v>
      </c>
      <c r="E7910" s="49" t="s">
        <v>8296</v>
      </c>
      <c r="F7910" s="49" t="s">
        <v>8297</v>
      </c>
      <c r="G7910" s="49" t="n">
        <v>0</v>
      </c>
      <c r="H7910" s="0" t="n">
        <v>0</v>
      </c>
      <c r="M7910" s="51" t="s">
        <v>12874</v>
      </c>
      <c r="N7910" s="49" t="n">
        <v>0</v>
      </c>
      <c r="O7910" s="53" t="n">
        <v>46019.3435185185</v>
      </c>
      <c r="P7910" s="53" t="n">
        <v>46046.5555324074</v>
      </c>
      <c r="Q7910" s="53" t="n">
        <v>46019.3435185185</v>
      </c>
      <c r="R7910" s="0" t="n">
        <v>0</v>
      </c>
      <c r="S7910" s="51" t="s">
        <v>2356</v>
      </c>
      <c r="T7910" s="51" t="s">
        <v>2356</v>
      </c>
      <c r="U7910" s="51" t="s">
        <v>8296</v>
      </c>
      <c r="V7910" s="51" t="s">
        <v>2357</v>
      </c>
      <c r="W7910" s="51" t="s">
        <v>3699</v>
      </c>
      <c r="X7910" s="51" t="s">
        <v>2359</v>
      </c>
    </row>
    <row r="7911" customFormat="false" ht="14.25" hidden="true" customHeight="false" outlineLevel="0" collapsed="false">
      <c r="A7911" s="49" t="s">
        <v>2349</v>
      </c>
      <c r="B7911" s="49" t="s">
        <v>2350</v>
      </c>
      <c r="C7911" s="49" t="s">
        <v>12875</v>
      </c>
      <c r="D7911" s="49" t="s">
        <v>2352</v>
      </c>
      <c r="E7911" s="49" t="s">
        <v>8296</v>
      </c>
      <c r="F7911" s="49" t="s">
        <v>8297</v>
      </c>
      <c r="G7911" s="49" t="n">
        <v>0</v>
      </c>
      <c r="H7911" s="0" t="n">
        <v>0</v>
      </c>
      <c r="M7911" s="51" t="s">
        <v>12874</v>
      </c>
      <c r="N7911" s="49" t="n">
        <v>0</v>
      </c>
      <c r="O7911" s="53" t="n">
        <v>46019.3442824074</v>
      </c>
      <c r="P7911" s="53" t="n">
        <v>46046.5567939815</v>
      </c>
      <c r="Q7911" s="53" t="n">
        <v>46019.3442824074</v>
      </c>
      <c r="R7911" s="0" t="n">
        <v>0</v>
      </c>
      <c r="S7911" s="51" t="s">
        <v>2356</v>
      </c>
      <c r="T7911" s="51" t="s">
        <v>2356</v>
      </c>
      <c r="U7911" s="51" t="s">
        <v>8296</v>
      </c>
      <c r="V7911" s="51" t="s">
        <v>2357</v>
      </c>
      <c r="W7911" s="51" t="s">
        <v>3670</v>
      </c>
      <c r="X7911" s="51" t="s">
        <v>2359</v>
      </c>
    </row>
    <row r="7912" customFormat="false" ht="14.25" hidden="true" customHeight="false" outlineLevel="0" collapsed="false">
      <c r="A7912" s="49" t="s">
        <v>2349</v>
      </c>
      <c r="B7912" s="49" t="s">
        <v>2350</v>
      </c>
      <c r="C7912" s="49" t="s">
        <v>12876</v>
      </c>
      <c r="D7912" s="49" t="s">
        <v>2352</v>
      </c>
      <c r="E7912" s="49" t="s">
        <v>8296</v>
      </c>
      <c r="F7912" s="49" t="s">
        <v>8297</v>
      </c>
      <c r="G7912" s="49" t="n">
        <v>0</v>
      </c>
      <c r="H7912" s="0" t="n">
        <v>0</v>
      </c>
      <c r="M7912" s="51" t="s">
        <v>12874</v>
      </c>
      <c r="N7912" s="49" t="n">
        <v>0</v>
      </c>
      <c r="O7912" s="53" t="n">
        <v>46019.3447222222</v>
      </c>
      <c r="P7912" s="53" t="n">
        <v>46046.556087963</v>
      </c>
      <c r="Q7912" s="53" t="n">
        <v>46019.3447222222</v>
      </c>
      <c r="R7912" s="0" t="n">
        <v>0</v>
      </c>
      <c r="S7912" s="51" t="s">
        <v>2356</v>
      </c>
      <c r="T7912" s="51" t="s">
        <v>2356</v>
      </c>
      <c r="U7912" s="51" t="s">
        <v>8296</v>
      </c>
      <c r="V7912" s="51" t="s">
        <v>2357</v>
      </c>
      <c r="W7912" s="51" t="s">
        <v>4130</v>
      </c>
      <c r="X7912" s="51" t="s">
        <v>2359</v>
      </c>
    </row>
    <row r="7913" customFormat="false" ht="14.25" hidden="true" customHeight="false" outlineLevel="0" collapsed="false">
      <c r="A7913" s="49" t="s">
        <v>2349</v>
      </c>
      <c r="B7913" s="49" t="s">
        <v>2350</v>
      </c>
      <c r="C7913" s="49" t="s">
        <v>12877</v>
      </c>
      <c r="D7913" s="49" t="s">
        <v>2352</v>
      </c>
      <c r="E7913" s="49" t="s">
        <v>8296</v>
      </c>
      <c r="F7913" s="49" t="s">
        <v>8297</v>
      </c>
      <c r="G7913" s="49" t="n">
        <v>0</v>
      </c>
      <c r="H7913" s="0" t="n">
        <v>0</v>
      </c>
      <c r="M7913" s="51" t="s">
        <v>12874</v>
      </c>
      <c r="N7913" s="49" t="n">
        <v>0</v>
      </c>
      <c r="O7913" s="53" t="n">
        <v>46019.345162037</v>
      </c>
      <c r="P7913" s="53" t="n">
        <v>46046.5587268519</v>
      </c>
      <c r="Q7913" s="53" t="n">
        <v>46019.345162037</v>
      </c>
      <c r="R7913" s="0" t="n">
        <v>0</v>
      </c>
      <c r="S7913" s="51" t="s">
        <v>2356</v>
      </c>
      <c r="T7913" s="51" t="s">
        <v>2356</v>
      </c>
      <c r="U7913" s="51" t="s">
        <v>8296</v>
      </c>
      <c r="V7913" s="51" t="s">
        <v>2357</v>
      </c>
      <c r="W7913" s="51" t="s">
        <v>4609</v>
      </c>
      <c r="X7913" s="51" t="s">
        <v>2359</v>
      </c>
    </row>
    <row r="7914" customFormat="false" ht="14.25" hidden="true" customHeight="false" outlineLevel="0" collapsed="false">
      <c r="A7914" s="49" t="s">
        <v>2349</v>
      </c>
      <c r="B7914" s="49" t="s">
        <v>2350</v>
      </c>
      <c r="C7914" s="49" t="s">
        <v>12878</v>
      </c>
      <c r="D7914" s="49" t="s">
        <v>2352</v>
      </c>
      <c r="E7914" s="49" t="s">
        <v>8296</v>
      </c>
      <c r="F7914" s="49" t="s">
        <v>8297</v>
      </c>
      <c r="G7914" s="49" t="n">
        <v>0</v>
      </c>
      <c r="H7914" s="0" t="n">
        <v>0</v>
      </c>
      <c r="M7914" s="51" t="s">
        <v>12874</v>
      </c>
      <c r="N7914" s="49" t="n">
        <v>0</v>
      </c>
      <c r="O7914" s="53" t="n">
        <v>46019.3459259259</v>
      </c>
      <c r="P7914" s="53" t="n">
        <v>46046.5597685185</v>
      </c>
      <c r="Q7914" s="53" t="n">
        <v>46019.3459259259</v>
      </c>
      <c r="R7914" s="0" t="n">
        <v>0</v>
      </c>
      <c r="S7914" s="51" t="s">
        <v>2356</v>
      </c>
      <c r="T7914" s="51" t="s">
        <v>2356</v>
      </c>
      <c r="U7914" s="51" t="s">
        <v>8296</v>
      </c>
      <c r="V7914" s="51" t="s">
        <v>2357</v>
      </c>
      <c r="W7914" s="51" t="s">
        <v>3689</v>
      </c>
      <c r="X7914" s="51" t="s">
        <v>2359</v>
      </c>
    </row>
    <row r="7915" customFormat="false" ht="14.25" hidden="true" customHeight="false" outlineLevel="0" collapsed="false">
      <c r="A7915" s="49" t="s">
        <v>2349</v>
      </c>
      <c r="B7915" s="49" t="s">
        <v>2350</v>
      </c>
      <c r="C7915" s="49" t="s">
        <v>12879</v>
      </c>
      <c r="D7915" s="49" t="s">
        <v>2352</v>
      </c>
      <c r="E7915" s="49" t="s">
        <v>8296</v>
      </c>
      <c r="F7915" s="49" t="s">
        <v>8297</v>
      </c>
      <c r="G7915" s="49" t="n">
        <v>0</v>
      </c>
      <c r="H7915" s="0" t="n">
        <v>0</v>
      </c>
      <c r="M7915" s="51" t="s">
        <v>12874</v>
      </c>
      <c r="N7915" s="49" t="n">
        <v>0</v>
      </c>
      <c r="O7915" s="53" t="n">
        <v>46019.3462962963</v>
      </c>
      <c r="P7915" s="53" t="n">
        <v>46046.5566087963</v>
      </c>
      <c r="Q7915" s="53" t="n">
        <v>46019.3462962963</v>
      </c>
      <c r="R7915" s="0" t="n">
        <v>0</v>
      </c>
      <c r="S7915" s="51" t="s">
        <v>2356</v>
      </c>
      <c r="T7915" s="51" t="s">
        <v>2356</v>
      </c>
      <c r="U7915" s="51" t="s">
        <v>8296</v>
      </c>
      <c r="V7915" s="51" t="s">
        <v>2357</v>
      </c>
      <c r="W7915" s="51" t="s">
        <v>5159</v>
      </c>
      <c r="X7915" s="51" t="s">
        <v>2359</v>
      </c>
    </row>
    <row r="7916" customFormat="false" ht="14.25" hidden="true" customHeight="false" outlineLevel="0" collapsed="false">
      <c r="A7916" s="49" t="s">
        <v>2349</v>
      </c>
      <c r="B7916" s="49" t="s">
        <v>2350</v>
      </c>
      <c r="C7916" s="49" t="s">
        <v>12880</v>
      </c>
      <c r="D7916" s="49" t="s">
        <v>2352</v>
      </c>
      <c r="E7916" s="49" t="s">
        <v>8296</v>
      </c>
      <c r="F7916" s="49" t="s">
        <v>8297</v>
      </c>
      <c r="G7916" s="49" t="n">
        <v>0</v>
      </c>
      <c r="H7916" s="0" t="n">
        <v>0</v>
      </c>
      <c r="M7916" s="51" t="s">
        <v>12874</v>
      </c>
      <c r="N7916" s="49" t="n">
        <v>0</v>
      </c>
      <c r="O7916" s="53" t="n">
        <v>46019.3473842593</v>
      </c>
      <c r="P7916" s="53" t="n">
        <v>46046.5621064815</v>
      </c>
      <c r="Q7916" s="53" t="n">
        <v>46019.3473842593</v>
      </c>
      <c r="R7916" s="0" t="n">
        <v>0</v>
      </c>
      <c r="S7916" s="51" t="s">
        <v>2356</v>
      </c>
      <c r="T7916" s="51" t="s">
        <v>2356</v>
      </c>
      <c r="U7916" s="51" t="s">
        <v>8296</v>
      </c>
      <c r="V7916" s="51" t="s">
        <v>2357</v>
      </c>
      <c r="W7916" s="51" t="s">
        <v>8298</v>
      </c>
      <c r="X7916" s="51" t="s">
        <v>2359</v>
      </c>
    </row>
    <row r="7917" customFormat="false" ht="14.25" hidden="true" customHeight="false" outlineLevel="0" collapsed="false">
      <c r="A7917" s="49" t="s">
        <v>2349</v>
      </c>
      <c r="B7917" s="49" t="s">
        <v>2350</v>
      </c>
      <c r="C7917" s="49" t="s">
        <v>12881</v>
      </c>
      <c r="D7917" s="49" t="s">
        <v>2352</v>
      </c>
      <c r="E7917" s="49" t="s">
        <v>8296</v>
      </c>
      <c r="F7917" s="49" t="s">
        <v>8297</v>
      </c>
      <c r="G7917" s="49" t="n">
        <v>0</v>
      </c>
      <c r="H7917" s="0" t="n">
        <v>0</v>
      </c>
      <c r="M7917" s="51" t="s">
        <v>12874</v>
      </c>
      <c r="N7917" s="49" t="n">
        <v>0</v>
      </c>
      <c r="O7917" s="53" t="n">
        <v>46019.3477777778</v>
      </c>
      <c r="P7917" s="53" t="n">
        <v>46046.557962963</v>
      </c>
      <c r="Q7917" s="53" t="n">
        <v>46019.3477777778</v>
      </c>
      <c r="R7917" s="0" t="n">
        <v>0</v>
      </c>
      <c r="S7917" s="51" t="s">
        <v>2356</v>
      </c>
      <c r="T7917" s="51" t="s">
        <v>2356</v>
      </c>
      <c r="U7917" s="51" t="s">
        <v>8296</v>
      </c>
      <c r="V7917" s="51" t="s">
        <v>2357</v>
      </c>
      <c r="W7917" s="51" t="s">
        <v>4173</v>
      </c>
      <c r="X7917" s="51" t="s">
        <v>2359</v>
      </c>
    </row>
    <row r="7918" customFormat="false" ht="14.25" hidden="true" customHeight="false" outlineLevel="0" collapsed="false">
      <c r="A7918" s="49" t="s">
        <v>2349</v>
      </c>
      <c r="B7918" s="49" t="s">
        <v>2350</v>
      </c>
      <c r="C7918" s="49" t="s">
        <v>12882</v>
      </c>
      <c r="D7918" s="49" t="s">
        <v>2352</v>
      </c>
      <c r="E7918" s="49" t="s">
        <v>8296</v>
      </c>
      <c r="F7918" s="49" t="s">
        <v>8297</v>
      </c>
      <c r="G7918" s="49" t="n">
        <v>0</v>
      </c>
      <c r="H7918" s="0" t="n">
        <v>0</v>
      </c>
      <c r="M7918" s="51" t="s">
        <v>12874</v>
      </c>
      <c r="N7918" s="49" t="n">
        <v>0</v>
      </c>
      <c r="O7918" s="53" t="n">
        <v>46019.3480787037</v>
      </c>
      <c r="P7918" s="53" t="n">
        <v>46046.5573958333</v>
      </c>
      <c r="Q7918" s="53" t="n">
        <v>46019.3480787037</v>
      </c>
      <c r="R7918" s="0" t="n">
        <v>0</v>
      </c>
      <c r="S7918" s="51" t="s">
        <v>2356</v>
      </c>
      <c r="T7918" s="51" t="s">
        <v>2356</v>
      </c>
      <c r="U7918" s="51" t="s">
        <v>8296</v>
      </c>
      <c r="V7918" s="51" t="s">
        <v>2357</v>
      </c>
      <c r="W7918" s="51" t="s">
        <v>4175</v>
      </c>
      <c r="X7918" s="51" t="s">
        <v>2359</v>
      </c>
    </row>
    <row r="7919" customFormat="false" ht="14.25" hidden="true" customHeight="false" outlineLevel="0" collapsed="false">
      <c r="A7919" s="49" t="s">
        <v>2349</v>
      </c>
      <c r="B7919" s="49" t="s">
        <v>2350</v>
      </c>
      <c r="C7919" s="49" t="s">
        <v>12883</v>
      </c>
      <c r="D7919" s="49" t="s">
        <v>2352</v>
      </c>
      <c r="E7919" s="49" t="s">
        <v>8296</v>
      </c>
      <c r="F7919" s="49" t="s">
        <v>8297</v>
      </c>
      <c r="G7919" s="49" t="n">
        <v>0</v>
      </c>
      <c r="H7919" s="0" t="n">
        <v>0</v>
      </c>
      <c r="M7919" s="51" t="s">
        <v>12874</v>
      </c>
      <c r="N7919" s="49" t="n">
        <v>0</v>
      </c>
      <c r="O7919" s="53" t="n">
        <v>46019.348599537</v>
      </c>
      <c r="P7919" s="53" t="n">
        <v>46046.5594097222</v>
      </c>
      <c r="Q7919" s="53" t="n">
        <v>46019.348599537</v>
      </c>
      <c r="R7919" s="0" t="n">
        <v>0</v>
      </c>
      <c r="S7919" s="51" t="s">
        <v>2356</v>
      </c>
      <c r="T7919" s="51" t="s">
        <v>2356</v>
      </c>
      <c r="U7919" s="51" t="s">
        <v>8296</v>
      </c>
      <c r="V7919" s="51" t="s">
        <v>2357</v>
      </c>
      <c r="W7919" s="51" t="s">
        <v>7265</v>
      </c>
      <c r="X7919" s="51" t="s">
        <v>2359</v>
      </c>
    </row>
    <row r="7920" customFormat="false" ht="14.25" hidden="true" customHeight="false" outlineLevel="0" collapsed="false">
      <c r="A7920" s="49" t="s">
        <v>2349</v>
      </c>
      <c r="B7920" s="49" t="s">
        <v>2350</v>
      </c>
      <c r="C7920" s="49" t="s">
        <v>12884</v>
      </c>
      <c r="D7920" s="49" t="s">
        <v>2352</v>
      </c>
      <c r="E7920" s="49" t="s">
        <v>8289</v>
      </c>
      <c r="F7920" s="49" t="s">
        <v>8290</v>
      </c>
      <c r="G7920" s="49" t="n">
        <v>0</v>
      </c>
      <c r="H7920" s="0" t="n">
        <v>0</v>
      </c>
      <c r="M7920" s="51" t="s">
        <v>12874</v>
      </c>
      <c r="N7920" s="49" t="n">
        <v>0</v>
      </c>
      <c r="O7920" s="53" t="n">
        <v>46019.3259953704</v>
      </c>
      <c r="P7920" s="53" t="n">
        <v>46055.4823958333</v>
      </c>
      <c r="Q7920" s="53" t="n">
        <v>46019.3259953704</v>
      </c>
      <c r="R7920" s="0" t="n">
        <v>0</v>
      </c>
      <c r="S7920" s="51" t="s">
        <v>2356</v>
      </c>
      <c r="T7920" s="51" t="s">
        <v>2356</v>
      </c>
      <c r="U7920" s="51" t="s">
        <v>8289</v>
      </c>
      <c r="V7920" s="51" t="s">
        <v>2357</v>
      </c>
      <c r="W7920" s="51" t="s">
        <v>3760</v>
      </c>
      <c r="X7920" s="51" t="s">
        <v>2359</v>
      </c>
    </row>
    <row r="7921" customFormat="false" ht="14.25" hidden="true" customHeight="false" outlineLevel="0" collapsed="false">
      <c r="A7921" s="49" t="s">
        <v>2349</v>
      </c>
      <c r="B7921" s="49" t="s">
        <v>2350</v>
      </c>
      <c r="C7921" s="49" t="s">
        <v>12885</v>
      </c>
      <c r="D7921" s="49" t="s">
        <v>2352</v>
      </c>
      <c r="E7921" s="49" t="str">
        <f aca="false">"12520129"</f>
        <v>12520129</v>
      </c>
      <c r="F7921" s="49" t="s">
        <v>4870</v>
      </c>
      <c r="G7921" s="49" t="n">
        <v>0</v>
      </c>
      <c r="H7921" s="0" t="n">
        <v>0</v>
      </c>
      <c r="M7921" s="51" t="s">
        <v>12886</v>
      </c>
      <c r="N7921" s="49" t="n">
        <v>0</v>
      </c>
      <c r="O7921" s="53" t="n">
        <v>45994.5520717593</v>
      </c>
      <c r="P7921" s="53" t="n">
        <v>46035.3885185185</v>
      </c>
      <c r="Q7921" s="53" t="n">
        <v>45994.5520717593</v>
      </c>
      <c r="R7921" s="0" t="n">
        <v>0</v>
      </c>
      <c r="S7921" s="51" t="s">
        <v>3780</v>
      </c>
      <c r="T7921" s="51" t="s">
        <v>3780</v>
      </c>
      <c r="U7921" s="0" t="str">
        <f aca="false">"12520129"</f>
        <v>12520129</v>
      </c>
      <c r="V7921" s="51" t="s">
        <v>2365</v>
      </c>
      <c r="W7921" s="51" t="s">
        <v>10814</v>
      </c>
      <c r="X7921" s="51" t="s">
        <v>2359</v>
      </c>
    </row>
    <row r="7922" customFormat="false" ht="14.25" hidden="true" customHeight="false" outlineLevel="0" collapsed="false">
      <c r="A7922" s="49" t="s">
        <v>2349</v>
      </c>
      <c r="B7922" s="49" t="s">
        <v>2350</v>
      </c>
      <c r="C7922" s="49" t="s">
        <v>12887</v>
      </c>
      <c r="D7922" s="49" t="s">
        <v>2352</v>
      </c>
      <c r="E7922" s="49" t="str">
        <f aca="false">"10110809"</f>
        <v>10110809</v>
      </c>
      <c r="F7922" s="49" t="s">
        <v>10058</v>
      </c>
      <c r="G7922" s="49" t="n">
        <v>0</v>
      </c>
      <c r="H7922" s="0" t="n">
        <v>0</v>
      </c>
      <c r="M7922" s="51" t="s">
        <v>12888</v>
      </c>
      <c r="N7922" s="49" t="n">
        <v>0</v>
      </c>
      <c r="O7922" s="53" t="n">
        <v>46019.320150463</v>
      </c>
      <c r="P7922" s="53" t="n">
        <v>46040.4516319444</v>
      </c>
      <c r="Q7922" s="53" t="n">
        <v>46019.320150463</v>
      </c>
      <c r="R7922" s="0" t="n">
        <v>0</v>
      </c>
      <c r="S7922" s="51" t="s">
        <v>2356</v>
      </c>
      <c r="T7922" s="51" t="s">
        <v>2356</v>
      </c>
      <c r="U7922" s="0" t="str">
        <f aca="false">"10110809"</f>
        <v>10110809</v>
      </c>
      <c r="V7922" s="51" t="s">
        <v>2365</v>
      </c>
      <c r="W7922" s="51" t="s">
        <v>12889</v>
      </c>
      <c r="X7922" s="51" t="s">
        <v>2359</v>
      </c>
    </row>
    <row r="7923" customFormat="false" ht="14.25" hidden="true" customHeight="false" outlineLevel="0" collapsed="false">
      <c r="A7923" s="49" t="s">
        <v>2349</v>
      </c>
      <c r="B7923" s="49" t="s">
        <v>2350</v>
      </c>
      <c r="C7923" s="49" t="s">
        <v>12890</v>
      </c>
      <c r="D7923" s="49" t="s">
        <v>2352</v>
      </c>
      <c r="E7923" s="49" t="str">
        <f aca="false">"12520129"</f>
        <v>12520129</v>
      </c>
      <c r="F7923" s="49" t="s">
        <v>4870</v>
      </c>
      <c r="G7923" s="49" t="n">
        <v>0</v>
      </c>
      <c r="H7923" s="0" t="n">
        <v>0</v>
      </c>
      <c r="M7923" s="51" t="s">
        <v>12891</v>
      </c>
      <c r="N7923" s="49" t="n">
        <v>0</v>
      </c>
      <c r="O7923" s="53" t="n">
        <v>46034.5533333333</v>
      </c>
      <c r="P7923" s="53" t="n">
        <v>46035.390462963</v>
      </c>
      <c r="Q7923" s="53" t="n">
        <v>46034.5533333333</v>
      </c>
      <c r="R7923" s="0" t="n">
        <v>0</v>
      </c>
      <c r="S7923" s="51" t="s">
        <v>2380</v>
      </c>
      <c r="T7923" s="51" t="s">
        <v>2380</v>
      </c>
      <c r="U7923" s="0" t="str">
        <f aca="false">"12520129"</f>
        <v>12520129</v>
      </c>
      <c r="V7923" s="51" t="s">
        <v>2365</v>
      </c>
      <c r="W7923" s="51" t="s">
        <v>12892</v>
      </c>
      <c r="X7923" s="51" t="s">
        <v>2359</v>
      </c>
    </row>
    <row r="7924" customFormat="false" ht="14.25" hidden="true" customHeight="false" outlineLevel="0" collapsed="false">
      <c r="A7924" s="49" t="s">
        <v>2349</v>
      </c>
      <c r="B7924" s="49" t="s">
        <v>2350</v>
      </c>
      <c r="C7924" s="49" t="s">
        <v>12893</v>
      </c>
      <c r="D7924" s="49" t="s">
        <v>2352</v>
      </c>
      <c r="E7924" s="49" t="str">
        <f aca="false">"5060458890191"</f>
        <v>5060458890191</v>
      </c>
      <c r="F7924" s="49" t="s">
        <v>3656</v>
      </c>
      <c r="G7924" s="49" t="n">
        <v>0</v>
      </c>
      <c r="H7924" s="0" t="n">
        <v>0</v>
      </c>
      <c r="M7924" s="51" t="s">
        <v>12894</v>
      </c>
      <c r="N7924" s="49" t="n">
        <v>0</v>
      </c>
      <c r="O7924" s="53" t="n">
        <v>46018.5962384259</v>
      </c>
      <c r="P7924" s="53" t="n">
        <v>46054.7595023148</v>
      </c>
      <c r="Q7924" s="53" t="n">
        <v>46018.5962384259</v>
      </c>
      <c r="R7924" s="0" t="n">
        <v>0</v>
      </c>
      <c r="S7924" s="51" t="s">
        <v>3780</v>
      </c>
      <c r="T7924" s="51" t="s">
        <v>3780</v>
      </c>
      <c r="U7924" s="0" t="str">
        <f aca="false">"5060458890191"</f>
        <v>5060458890191</v>
      </c>
      <c r="V7924" s="51" t="s">
        <v>2142</v>
      </c>
      <c r="W7924" s="51" t="s">
        <v>10604</v>
      </c>
      <c r="X7924" s="51" t="s">
        <v>2359</v>
      </c>
    </row>
    <row r="7925" customFormat="false" ht="14.25" hidden="true" customHeight="false" outlineLevel="0" collapsed="false">
      <c r="A7925" s="49" t="s">
        <v>2349</v>
      </c>
      <c r="B7925" s="49" t="s">
        <v>2350</v>
      </c>
      <c r="C7925" s="49" t="s">
        <v>12895</v>
      </c>
      <c r="D7925" s="49" t="s">
        <v>2352</v>
      </c>
      <c r="E7925" s="49" t="str">
        <f aca="false">"5060458890191"</f>
        <v>5060458890191</v>
      </c>
      <c r="F7925" s="49" t="s">
        <v>3656</v>
      </c>
      <c r="G7925" s="49" t="n">
        <v>0</v>
      </c>
      <c r="H7925" s="0" t="n">
        <v>0</v>
      </c>
      <c r="M7925" s="51" t="s">
        <v>12894</v>
      </c>
      <c r="N7925" s="49" t="n">
        <v>0</v>
      </c>
      <c r="O7925" s="53" t="n">
        <v>46018.5969444444</v>
      </c>
      <c r="P7925" s="53" t="n">
        <v>46049.9250810185</v>
      </c>
      <c r="Q7925" s="53" t="n">
        <v>46018.5969444444</v>
      </c>
      <c r="R7925" s="0" t="n">
        <v>0</v>
      </c>
      <c r="S7925" s="51" t="s">
        <v>3780</v>
      </c>
      <c r="T7925" s="51" t="s">
        <v>3780</v>
      </c>
      <c r="U7925" s="0" t="str">
        <f aca="false">"5060458890191"</f>
        <v>5060458890191</v>
      </c>
      <c r="V7925" s="51" t="s">
        <v>2142</v>
      </c>
      <c r="W7925" s="51" t="s">
        <v>4453</v>
      </c>
      <c r="X7925" s="51" t="s">
        <v>2359</v>
      </c>
    </row>
    <row r="7926" customFormat="false" ht="14.25" hidden="true" customHeight="false" outlineLevel="0" collapsed="false">
      <c r="A7926" s="49" t="s">
        <v>2349</v>
      </c>
      <c r="B7926" s="49" t="s">
        <v>2350</v>
      </c>
      <c r="C7926" s="49" t="s">
        <v>12896</v>
      </c>
      <c r="D7926" s="49" t="s">
        <v>2352</v>
      </c>
      <c r="E7926" s="49" t="str">
        <f aca="false">"5060458890191"</f>
        <v>5060458890191</v>
      </c>
      <c r="F7926" s="49" t="s">
        <v>3656</v>
      </c>
      <c r="G7926" s="49" t="n">
        <v>0</v>
      </c>
      <c r="H7926" s="0" t="n">
        <v>0</v>
      </c>
      <c r="M7926" s="51" t="s">
        <v>12894</v>
      </c>
      <c r="N7926" s="49" t="n">
        <v>0</v>
      </c>
      <c r="O7926" s="53" t="n">
        <v>46018.5978472222</v>
      </c>
      <c r="P7926" s="53" t="n">
        <v>46054.7635532407</v>
      </c>
      <c r="Q7926" s="53" t="n">
        <v>46018.5978472222</v>
      </c>
      <c r="R7926" s="0" t="n">
        <v>0</v>
      </c>
      <c r="S7926" s="51" t="s">
        <v>3780</v>
      </c>
      <c r="T7926" s="51" t="s">
        <v>3780</v>
      </c>
      <c r="U7926" s="0" t="str">
        <f aca="false">"5060458890191"</f>
        <v>5060458890191</v>
      </c>
      <c r="V7926" s="51" t="s">
        <v>2142</v>
      </c>
      <c r="W7926" s="51" t="s">
        <v>4195</v>
      </c>
      <c r="X7926" s="51" t="s">
        <v>2359</v>
      </c>
    </row>
    <row r="7927" customFormat="false" ht="14.25" hidden="true" customHeight="false" outlineLevel="0" collapsed="false">
      <c r="A7927" s="49" t="s">
        <v>2349</v>
      </c>
      <c r="B7927" s="49" t="s">
        <v>2350</v>
      </c>
      <c r="C7927" s="49" t="s">
        <v>12897</v>
      </c>
      <c r="D7927" s="49" t="s">
        <v>2352</v>
      </c>
      <c r="E7927" s="49" t="str">
        <f aca="false">"5060458890191"</f>
        <v>5060458890191</v>
      </c>
      <c r="F7927" s="49" t="s">
        <v>3656</v>
      </c>
      <c r="G7927" s="49" t="n">
        <v>0</v>
      </c>
      <c r="H7927" s="0" t="n">
        <v>0</v>
      </c>
      <c r="M7927" s="51" t="s">
        <v>12894</v>
      </c>
      <c r="N7927" s="49" t="n">
        <v>0</v>
      </c>
      <c r="O7927" s="53" t="n">
        <v>46018.6024537037</v>
      </c>
      <c r="P7927" s="53" t="n">
        <v>46055.9729513889</v>
      </c>
      <c r="Q7927" s="53" t="n">
        <v>46018.6024537037</v>
      </c>
      <c r="R7927" s="0" t="n">
        <v>0</v>
      </c>
      <c r="S7927" s="51" t="s">
        <v>3780</v>
      </c>
      <c r="T7927" s="51" t="s">
        <v>3780</v>
      </c>
      <c r="U7927" s="0" t="str">
        <f aca="false">"5060458890191"</f>
        <v>5060458890191</v>
      </c>
      <c r="V7927" s="51" t="s">
        <v>2142</v>
      </c>
      <c r="W7927" s="51" t="s">
        <v>6058</v>
      </c>
      <c r="X7927" s="51" t="s">
        <v>2359</v>
      </c>
    </row>
    <row r="7928" customFormat="false" ht="14.25" hidden="true" customHeight="false" outlineLevel="0" collapsed="false">
      <c r="A7928" s="49" t="s">
        <v>2349</v>
      </c>
      <c r="B7928" s="49" t="s">
        <v>2350</v>
      </c>
      <c r="C7928" s="49" t="s">
        <v>12898</v>
      </c>
      <c r="D7928" s="49" t="s">
        <v>2352</v>
      </c>
      <c r="E7928" s="49" t="str">
        <f aca="false">"5060458890191"</f>
        <v>5060458890191</v>
      </c>
      <c r="F7928" s="49" t="s">
        <v>3656</v>
      </c>
      <c r="G7928" s="49" t="n">
        <v>0</v>
      </c>
      <c r="H7928" s="0" t="n">
        <v>0</v>
      </c>
      <c r="M7928" s="51" t="s">
        <v>12894</v>
      </c>
      <c r="N7928" s="49" t="n">
        <v>0</v>
      </c>
      <c r="O7928" s="53" t="n">
        <v>46018.601412037</v>
      </c>
      <c r="P7928" s="53" t="n">
        <v>46051.3943981482</v>
      </c>
      <c r="Q7928" s="53" t="n">
        <v>46018.601412037</v>
      </c>
      <c r="R7928" s="0" t="n">
        <v>0</v>
      </c>
      <c r="S7928" s="51" t="s">
        <v>3780</v>
      </c>
      <c r="T7928" s="51" t="s">
        <v>3780</v>
      </c>
      <c r="U7928" s="0" t="str">
        <f aca="false">"5060458890191"</f>
        <v>5060458890191</v>
      </c>
      <c r="V7928" s="51" t="s">
        <v>2142</v>
      </c>
      <c r="W7928" s="51" t="s">
        <v>12278</v>
      </c>
      <c r="X7928" s="51" t="s">
        <v>2359</v>
      </c>
    </row>
    <row r="7929" customFormat="false" ht="14.25" hidden="true" customHeight="false" outlineLevel="0" collapsed="false">
      <c r="A7929" s="49" t="s">
        <v>2349</v>
      </c>
      <c r="B7929" s="49" t="s">
        <v>2350</v>
      </c>
      <c r="C7929" s="49" t="s">
        <v>12899</v>
      </c>
      <c r="D7929" s="49" t="s">
        <v>2352</v>
      </c>
      <c r="E7929" s="49" t="str">
        <f aca="false">"5060458890191"</f>
        <v>5060458890191</v>
      </c>
      <c r="F7929" s="49" t="s">
        <v>3656</v>
      </c>
      <c r="G7929" s="49" t="n">
        <v>0</v>
      </c>
      <c r="H7929" s="0" t="n">
        <v>0</v>
      </c>
      <c r="M7929" s="51" t="s">
        <v>12894</v>
      </c>
      <c r="N7929" s="49" t="n">
        <v>0</v>
      </c>
      <c r="O7929" s="53" t="n">
        <v>46018.600775463</v>
      </c>
      <c r="P7929" s="53" t="n">
        <v>46054.7584722222</v>
      </c>
      <c r="Q7929" s="53" t="n">
        <v>46018.600775463</v>
      </c>
      <c r="R7929" s="0" t="n">
        <v>0</v>
      </c>
      <c r="S7929" s="51" t="s">
        <v>3780</v>
      </c>
      <c r="T7929" s="51" t="s">
        <v>3780</v>
      </c>
      <c r="U7929" s="0" t="str">
        <f aca="false">"5060458890191"</f>
        <v>5060458890191</v>
      </c>
      <c r="V7929" s="51" t="s">
        <v>2142</v>
      </c>
      <c r="W7929" s="51" t="s">
        <v>12900</v>
      </c>
      <c r="X7929" s="51" t="s">
        <v>2359</v>
      </c>
    </row>
    <row r="7930" customFormat="false" ht="14.25" hidden="true" customHeight="false" outlineLevel="0" collapsed="false">
      <c r="A7930" s="49" t="s">
        <v>2349</v>
      </c>
      <c r="B7930" s="49" t="s">
        <v>2350</v>
      </c>
      <c r="C7930" s="49" t="s">
        <v>12901</v>
      </c>
      <c r="D7930" s="49" t="s">
        <v>2352</v>
      </c>
      <c r="E7930" s="49" t="str">
        <f aca="false">"5060458890191"</f>
        <v>5060458890191</v>
      </c>
      <c r="F7930" s="49" t="s">
        <v>3656</v>
      </c>
      <c r="G7930" s="49" t="n">
        <v>0</v>
      </c>
      <c r="H7930" s="0" t="n">
        <v>0</v>
      </c>
      <c r="M7930" s="51" t="s">
        <v>12894</v>
      </c>
      <c r="N7930" s="49" t="n">
        <v>0</v>
      </c>
      <c r="O7930" s="53" t="n">
        <v>46018.5999884259</v>
      </c>
      <c r="P7930" s="53" t="n">
        <v>46051.394212963</v>
      </c>
      <c r="Q7930" s="53" t="n">
        <v>46018.5999884259</v>
      </c>
      <c r="R7930" s="0" t="n">
        <v>0</v>
      </c>
      <c r="S7930" s="51" t="s">
        <v>3780</v>
      </c>
      <c r="T7930" s="51" t="s">
        <v>3780</v>
      </c>
      <c r="U7930" s="0" t="str">
        <f aca="false">"5060458890191"</f>
        <v>5060458890191</v>
      </c>
      <c r="V7930" s="51" t="s">
        <v>2142</v>
      </c>
      <c r="W7930" s="51" t="s">
        <v>8540</v>
      </c>
      <c r="X7930" s="51" t="s">
        <v>2359</v>
      </c>
    </row>
    <row r="7931" customFormat="false" ht="14.25" hidden="true" customHeight="false" outlineLevel="0" collapsed="false">
      <c r="A7931" s="49" t="s">
        <v>2349</v>
      </c>
      <c r="B7931" s="49" t="s">
        <v>2350</v>
      </c>
      <c r="C7931" s="49" t="s">
        <v>12902</v>
      </c>
      <c r="D7931" s="49" t="s">
        <v>2352</v>
      </c>
      <c r="E7931" s="49" t="str">
        <f aca="false">"5060458890191"</f>
        <v>5060458890191</v>
      </c>
      <c r="F7931" s="49" t="s">
        <v>3656</v>
      </c>
      <c r="G7931" s="49" t="n">
        <v>0</v>
      </c>
      <c r="H7931" s="0" t="n">
        <v>0</v>
      </c>
      <c r="M7931" s="51" t="s">
        <v>12894</v>
      </c>
      <c r="N7931" s="49" t="n">
        <v>0</v>
      </c>
      <c r="O7931" s="53" t="n">
        <v>46018.5993171296</v>
      </c>
      <c r="P7931" s="53" t="n">
        <v>46054.7656018519</v>
      </c>
      <c r="Q7931" s="53" t="n">
        <v>46018.5993171296</v>
      </c>
      <c r="R7931" s="0" t="n">
        <v>0</v>
      </c>
      <c r="S7931" s="51" t="s">
        <v>3780</v>
      </c>
      <c r="T7931" s="51" t="s">
        <v>3780</v>
      </c>
      <c r="U7931" s="0" t="str">
        <f aca="false">"5060458890191"</f>
        <v>5060458890191</v>
      </c>
      <c r="V7931" s="51" t="s">
        <v>2142</v>
      </c>
      <c r="W7931" s="51" t="s">
        <v>12903</v>
      </c>
      <c r="X7931" s="51" t="s">
        <v>2359</v>
      </c>
    </row>
    <row r="7932" customFormat="false" ht="14.25" hidden="true" customHeight="false" outlineLevel="0" collapsed="false">
      <c r="A7932" s="49" t="s">
        <v>2349</v>
      </c>
      <c r="B7932" s="49" t="s">
        <v>2350</v>
      </c>
      <c r="C7932" s="49" t="s">
        <v>12904</v>
      </c>
      <c r="D7932" s="49" t="s">
        <v>2352</v>
      </c>
      <c r="E7932" s="49" t="str">
        <f aca="false">"5060458890191"</f>
        <v>5060458890191</v>
      </c>
      <c r="F7932" s="49" t="s">
        <v>3656</v>
      </c>
      <c r="G7932" s="49" t="n">
        <v>0</v>
      </c>
      <c r="H7932" s="0" t="n">
        <v>0</v>
      </c>
      <c r="M7932" s="51" t="s">
        <v>12894</v>
      </c>
      <c r="N7932" s="49" t="n">
        <v>0</v>
      </c>
      <c r="O7932" s="53" t="n">
        <v>46018.5986458333</v>
      </c>
      <c r="P7932" s="53" t="n">
        <v>46055.9771296296</v>
      </c>
      <c r="Q7932" s="53" t="n">
        <v>46018.5986458333</v>
      </c>
      <c r="R7932" s="0" t="n">
        <v>0</v>
      </c>
      <c r="S7932" s="51" t="s">
        <v>3780</v>
      </c>
      <c r="T7932" s="51" t="s">
        <v>3780</v>
      </c>
      <c r="U7932" s="0" t="str">
        <f aca="false">"5060458890191"</f>
        <v>5060458890191</v>
      </c>
      <c r="V7932" s="51" t="s">
        <v>2142</v>
      </c>
      <c r="W7932" s="51" t="s">
        <v>12292</v>
      </c>
      <c r="X7932" s="51" t="s">
        <v>2359</v>
      </c>
    </row>
    <row r="7933" customFormat="false" ht="14.25" hidden="true" customHeight="false" outlineLevel="0" collapsed="false">
      <c r="A7933" s="49" t="s">
        <v>2349</v>
      </c>
      <c r="B7933" s="49" t="s">
        <v>2350</v>
      </c>
      <c r="C7933" s="49" t="s">
        <v>12905</v>
      </c>
      <c r="D7933" s="49" t="s">
        <v>2352</v>
      </c>
      <c r="E7933" s="49" t="str">
        <f aca="false">"5060458890191"</f>
        <v>5060458890191</v>
      </c>
      <c r="F7933" s="49" t="s">
        <v>3656</v>
      </c>
      <c r="G7933" s="49" t="n">
        <v>0</v>
      </c>
      <c r="H7933" s="0" t="n">
        <v>0</v>
      </c>
      <c r="M7933" s="51" t="s">
        <v>12894</v>
      </c>
      <c r="N7933" s="49" t="n">
        <v>0</v>
      </c>
      <c r="O7933" s="53" t="n">
        <v>46018.6033217593</v>
      </c>
      <c r="P7933" s="53" t="n">
        <v>46051.8855671296</v>
      </c>
      <c r="Q7933" s="53" t="n">
        <v>46018.6033217593</v>
      </c>
      <c r="R7933" s="0" t="n">
        <v>0</v>
      </c>
      <c r="S7933" s="51" t="s">
        <v>3780</v>
      </c>
      <c r="T7933" s="51" t="s">
        <v>3780</v>
      </c>
      <c r="U7933" s="0" t="str">
        <f aca="false">"5060458890191"</f>
        <v>5060458890191</v>
      </c>
      <c r="V7933" s="51" t="s">
        <v>2142</v>
      </c>
      <c r="W7933" s="51" t="s">
        <v>8868</v>
      </c>
      <c r="X7933" s="51" t="s">
        <v>2359</v>
      </c>
    </row>
    <row r="7934" customFormat="false" ht="14.25" hidden="true" customHeight="false" outlineLevel="0" collapsed="false">
      <c r="A7934" s="49" t="s">
        <v>2349</v>
      </c>
      <c r="B7934" s="49" t="s">
        <v>2350</v>
      </c>
      <c r="C7934" s="49" t="s">
        <v>12906</v>
      </c>
      <c r="D7934" s="49" t="s">
        <v>2352</v>
      </c>
      <c r="E7934" s="49" t="str">
        <f aca="false">"5060458890191"</f>
        <v>5060458890191</v>
      </c>
      <c r="F7934" s="49" t="s">
        <v>3656</v>
      </c>
      <c r="G7934" s="49" t="n">
        <v>0</v>
      </c>
      <c r="H7934" s="0" t="n">
        <v>0</v>
      </c>
      <c r="M7934" s="51" t="s">
        <v>12894</v>
      </c>
      <c r="N7934" s="49" t="n">
        <v>0</v>
      </c>
      <c r="O7934" s="53" t="n">
        <v>46018.6040740741</v>
      </c>
      <c r="P7934" s="53" t="n">
        <v>46021.1478587963</v>
      </c>
      <c r="Q7934" s="53" t="n">
        <v>46018.6040740741</v>
      </c>
      <c r="R7934" s="0" t="n">
        <v>0</v>
      </c>
      <c r="S7934" s="51" t="s">
        <v>3780</v>
      </c>
      <c r="T7934" s="51" t="s">
        <v>3780</v>
      </c>
      <c r="U7934" s="0" t="str">
        <f aca="false">"5060458890191"</f>
        <v>5060458890191</v>
      </c>
      <c r="V7934" s="51" t="s">
        <v>2142</v>
      </c>
      <c r="W7934" s="51" t="s">
        <v>3921</v>
      </c>
      <c r="X7934" s="51" t="s">
        <v>2359</v>
      </c>
    </row>
    <row r="7935" customFormat="false" ht="14.25" hidden="true" customHeight="false" outlineLevel="0" collapsed="false">
      <c r="A7935" s="49" t="s">
        <v>2349</v>
      </c>
      <c r="B7935" s="49" t="s">
        <v>2350</v>
      </c>
      <c r="C7935" s="49" t="s">
        <v>12907</v>
      </c>
      <c r="D7935" s="49" t="s">
        <v>2352</v>
      </c>
      <c r="E7935" s="49" t="str">
        <f aca="false">"5060458890191"</f>
        <v>5060458890191</v>
      </c>
      <c r="F7935" s="49" t="s">
        <v>3656</v>
      </c>
      <c r="G7935" s="49" t="n">
        <v>0</v>
      </c>
      <c r="H7935" s="0" t="n">
        <v>0</v>
      </c>
      <c r="M7935" s="51" t="s">
        <v>12894</v>
      </c>
      <c r="N7935" s="49" t="n">
        <v>0</v>
      </c>
      <c r="O7935" s="53" t="n">
        <v>46018.6046412037</v>
      </c>
      <c r="P7935" s="53" t="n">
        <v>46021.1476967593</v>
      </c>
      <c r="Q7935" s="53" t="n">
        <v>46018.6046412037</v>
      </c>
      <c r="R7935" s="0" t="n">
        <v>0</v>
      </c>
      <c r="S7935" s="51" t="s">
        <v>3780</v>
      </c>
      <c r="T7935" s="51" t="s">
        <v>3780</v>
      </c>
      <c r="U7935" s="0" t="str">
        <f aca="false">"5060458890191"</f>
        <v>5060458890191</v>
      </c>
      <c r="V7935" s="51" t="s">
        <v>2142</v>
      </c>
      <c r="W7935" s="51" t="s">
        <v>3923</v>
      </c>
      <c r="X7935" s="51" t="s">
        <v>2359</v>
      </c>
    </row>
    <row r="7936" customFormat="false" ht="14.25" hidden="true" customHeight="false" outlineLevel="0" collapsed="false">
      <c r="A7936" s="49" t="s">
        <v>2349</v>
      </c>
      <c r="B7936" s="49" t="s">
        <v>2350</v>
      </c>
      <c r="C7936" s="49" t="s">
        <v>12908</v>
      </c>
      <c r="D7936" s="49" t="s">
        <v>2352</v>
      </c>
      <c r="E7936" s="49" t="str">
        <f aca="false">"5060458890191"</f>
        <v>5060458890191</v>
      </c>
      <c r="F7936" s="49" t="s">
        <v>3656</v>
      </c>
      <c r="G7936" s="49" t="n">
        <v>0</v>
      </c>
      <c r="H7936" s="0" t="n">
        <v>0</v>
      </c>
      <c r="M7936" s="51" t="s">
        <v>12894</v>
      </c>
      <c r="N7936" s="49" t="n">
        <v>0</v>
      </c>
      <c r="O7936" s="53" t="n">
        <v>46018.6066319444</v>
      </c>
      <c r="P7936" s="53" t="n">
        <v>46055.922025463</v>
      </c>
      <c r="Q7936" s="53" t="n">
        <v>46018.6066319444</v>
      </c>
      <c r="R7936" s="0" t="n">
        <v>0</v>
      </c>
      <c r="S7936" s="51" t="s">
        <v>3780</v>
      </c>
      <c r="T7936" s="51" t="s">
        <v>3780</v>
      </c>
      <c r="U7936" s="0" t="str">
        <f aca="false">"5060458890191"</f>
        <v>5060458890191</v>
      </c>
      <c r="V7936" s="51" t="s">
        <v>2142</v>
      </c>
      <c r="W7936" s="51" t="s">
        <v>8538</v>
      </c>
      <c r="X7936" s="51" t="s">
        <v>2359</v>
      </c>
    </row>
    <row r="7937" customFormat="false" ht="14.25" hidden="true" customHeight="false" outlineLevel="0" collapsed="false">
      <c r="A7937" s="49" t="s">
        <v>2349</v>
      </c>
      <c r="B7937" s="49" t="s">
        <v>2350</v>
      </c>
      <c r="C7937" s="49" t="s">
        <v>12909</v>
      </c>
      <c r="D7937" s="49" t="s">
        <v>2352</v>
      </c>
      <c r="E7937" s="49" t="str">
        <f aca="false">"5060458890191"</f>
        <v>5060458890191</v>
      </c>
      <c r="F7937" s="49" t="s">
        <v>3656</v>
      </c>
      <c r="G7937" s="49" t="n">
        <v>0</v>
      </c>
      <c r="H7937" s="0" t="n">
        <v>0</v>
      </c>
      <c r="M7937" s="51" t="s">
        <v>12894</v>
      </c>
      <c r="N7937" s="49" t="n">
        <v>0</v>
      </c>
      <c r="O7937" s="53" t="n">
        <v>46018.5950462963</v>
      </c>
      <c r="P7937" s="53" t="n">
        <v>46046.4744907407</v>
      </c>
      <c r="Q7937" s="53" t="n">
        <v>46018.5950462963</v>
      </c>
      <c r="R7937" s="0" t="n">
        <v>0</v>
      </c>
      <c r="S7937" s="51" t="s">
        <v>3780</v>
      </c>
      <c r="T7937" s="51" t="s">
        <v>3780</v>
      </c>
      <c r="U7937" s="0" t="str">
        <f aca="false">"5060458890191"</f>
        <v>5060458890191</v>
      </c>
      <c r="V7937" s="51" t="s">
        <v>2142</v>
      </c>
      <c r="W7937" s="51" t="s">
        <v>10563</v>
      </c>
      <c r="X7937" s="51" t="s">
        <v>2359</v>
      </c>
    </row>
    <row r="7938" customFormat="false" ht="14.25" hidden="true" customHeight="false" outlineLevel="0" collapsed="false">
      <c r="A7938" s="49" t="s">
        <v>2349</v>
      </c>
      <c r="B7938" s="49" t="s">
        <v>2350</v>
      </c>
      <c r="C7938" s="49" t="s">
        <v>12910</v>
      </c>
      <c r="D7938" s="49" t="s">
        <v>2352</v>
      </c>
      <c r="E7938" s="49" t="str">
        <f aca="false">"5060458890191"</f>
        <v>5060458890191</v>
      </c>
      <c r="F7938" s="49" t="s">
        <v>3656</v>
      </c>
      <c r="G7938" s="49" t="n">
        <v>0</v>
      </c>
      <c r="H7938" s="0" t="n">
        <v>0</v>
      </c>
      <c r="M7938" s="51" t="s">
        <v>12894</v>
      </c>
      <c r="N7938" s="49" t="n">
        <v>0</v>
      </c>
      <c r="O7938" s="53" t="n">
        <v>46018.5943402778</v>
      </c>
      <c r="P7938" s="53" t="n">
        <v>46044.4723148148</v>
      </c>
      <c r="Q7938" s="53" t="n">
        <v>46018.5943402778</v>
      </c>
      <c r="R7938" s="0" t="n">
        <v>0</v>
      </c>
      <c r="S7938" s="51" t="s">
        <v>3780</v>
      </c>
      <c r="T7938" s="51" t="s">
        <v>3780</v>
      </c>
      <c r="U7938" s="0" t="str">
        <f aca="false">"5060458890191"</f>
        <v>5060458890191</v>
      </c>
      <c r="V7938" s="51" t="s">
        <v>2142</v>
      </c>
      <c r="W7938" s="51" t="s">
        <v>4912</v>
      </c>
      <c r="X7938" s="51" t="s">
        <v>2359</v>
      </c>
    </row>
    <row r="7939" customFormat="false" ht="14.25" hidden="true" customHeight="false" outlineLevel="0" collapsed="false">
      <c r="A7939" s="49" t="s">
        <v>2349</v>
      </c>
      <c r="B7939" s="49" t="s">
        <v>2350</v>
      </c>
      <c r="C7939" s="49" t="s">
        <v>12911</v>
      </c>
      <c r="D7939" s="49" t="s">
        <v>2352</v>
      </c>
      <c r="E7939" s="49" t="str">
        <f aca="false">"5060458890191"</f>
        <v>5060458890191</v>
      </c>
      <c r="F7939" s="49" t="s">
        <v>3656</v>
      </c>
      <c r="G7939" s="49" t="n">
        <v>0</v>
      </c>
      <c r="H7939" s="0" t="n">
        <v>0</v>
      </c>
      <c r="M7939" s="51" t="s">
        <v>12894</v>
      </c>
      <c r="N7939" s="49" t="n">
        <v>0</v>
      </c>
      <c r="O7939" s="53" t="n">
        <v>46018.5934375</v>
      </c>
      <c r="P7939" s="53" t="n">
        <v>46044.9154976852</v>
      </c>
      <c r="Q7939" s="53" t="n">
        <v>46018.5934375</v>
      </c>
      <c r="R7939" s="0" t="n">
        <v>0</v>
      </c>
      <c r="S7939" s="51" t="s">
        <v>3780</v>
      </c>
      <c r="T7939" s="51" t="s">
        <v>3780</v>
      </c>
      <c r="U7939" s="0" t="str">
        <f aca="false">"5060458890191"</f>
        <v>5060458890191</v>
      </c>
      <c r="V7939" s="51" t="s">
        <v>2142</v>
      </c>
      <c r="W7939" s="51" t="s">
        <v>10097</v>
      </c>
      <c r="X7939" s="51" t="s">
        <v>2359</v>
      </c>
    </row>
    <row r="7940" customFormat="false" ht="14.25" hidden="true" customHeight="false" outlineLevel="0" collapsed="false">
      <c r="A7940" s="49" t="s">
        <v>2349</v>
      </c>
      <c r="B7940" s="49" t="s">
        <v>2350</v>
      </c>
      <c r="C7940" s="49" t="s">
        <v>12912</v>
      </c>
      <c r="D7940" s="49" t="s">
        <v>2352</v>
      </c>
      <c r="E7940" s="49" t="str">
        <f aca="false">"5060458890191"</f>
        <v>5060458890191</v>
      </c>
      <c r="F7940" s="49" t="s">
        <v>3656</v>
      </c>
      <c r="G7940" s="49" t="n">
        <v>0</v>
      </c>
      <c r="H7940" s="0" t="n">
        <v>0</v>
      </c>
      <c r="M7940" s="51" t="s">
        <v>12894</v>
      </c>
      <c r="N7940" s="49" t="n">
        <v>0</v>
      </c>
      <c r="O7940" s="53" t="n">
        <v>46018.5891319444</v>
      </c>
      <c r="P7940" s="53" t="n">
        <v>46044.911724537</v>
      </c>
      <c r="Q7940" s="53" t="n">
        <v>46018.5891319444</v>
      </c>
      <c r="R7940" s="0" t="n">
        <v>0</v>
      </c>
      <c r="S7940" s="51" t="s">
        <v>3780</v>
      </c>
      <c r="T7940" s="51" t="s">
        <v>3780</v>
      </c>
      <c r="U7940" s="0" t="str">
        <f aca="false">"5060458890191"</f>
        <v>5060458890191</v>
      </c>
      <c r="V7940" s="51" t="s">
        <v>2142</v>
      </c>
      <c r="W7940" s="51" t="s">
        <v>10844</v>
      </c>
      <c r="X7940" s="51" t="s">
        <v>2359</v>
      </c>
    </row>
    <row r="7941" customFormat="false" ht="14.25" hidden="true" customHeight="false" outlineLevel="0" collapsed="false">
      <c r="A7941" s="49" t="s">
        <v>2349</v>
      </c>
      <c r="B7941" s="49" t="s">
        <v>2350</v>
      </c>
      <c r="C7941" s="49" t="s">
        <v>12913</v>
      </c>
      <c r="D7941" s="49" t="s">
        <v>2352</v>
      </c>
      <c r="E7941" s="49" t="str">
        <f aca="false">"5060458890191"</f>
        <v>5060458890191</v>
      </c>
      <c r="F7941" s="49" t="s">
        <v>3656</v>
      </c>
      <c r="G7941" s="49" t="n">
        <v>0</v>
      </c>
      <c r="H7941" s="0" t="n">
        <v>0</v>
      </c>
      <c r="M7941" s="51" t="s">
        <v>12894</v>
      </c>
      <c r="N7941" s="49" t="n">
        <v>0</v>
      </c>
      <c r="O7941" s="53" t="n">
        <v>46018.5898958333</v>
      </c>
      <c r="P7941" s="53" t="n">
        <v>46044.9123032407</v>
      </c>
      <c r="Q7941" s="53" t="n">
        <v>46018.5898958333</v>
      </c>
      <c r="R7941" s="0" t="n">
        <v>0</v>
      </c>
      <c r="S7941" s="51" t="s">
        <v>3780</v>
      </c>
      <c r="T7941" s="51" t="s">
        <v>3780</v>
      </c>
      <c r="U7941" s="0" t="str">
        <f aca="false">"5060458890191"</f>
        <v>5060458890191</v>
      </c>
      <c r="V7941" s="51" t="s">
        <v>2142</v>
      </c>
      <c r="W7941" s="51" t="s">
        <v>4831</v>
      </c>
      <c r="X7941" s="51" t="s">
        <v>2359</v>
      </c>
    </row>
    <row r="7942" customFormat="false" ht="14.25" hidden="true" customHeight="false" outlineLevel="0" collapsed="false">
      <c r="A7942" s="49" t="s">
        <v>2349</v>
      </c>
      <c r="B7942" s="49" t="s">
        <v>2350</v>
      </c>
      <c r="C7942" s="49" t="s">
        <v>12914</v>
      </c>
      <c r="D7942" s="49" t="s">
        <v>2352</v>
      </c>
      <c r="E7942" s="49" t="str">
        <f aca="false">"5060458890191"</f>
        <v>5060458890191</v>
      </c>
      <c r="F7942" s="49" t="s">
        <v>3656</v>
      </c>
      <c r="G7942" s="49" t="n">
        <v>0</v>
      </c>
      <c r="H7942" s="0" t="n">
        <v>0</v>
      </c>
      <c r="M7942" s="51" t="s">
        <v>12894</v>
      </c>
      <c r="N7942" s="49" t="n">
        <v>0</v>
      </c>
      <c r="O7942" s="53" t="n">
        <v>46018.5905092593</v>
      </c>
      <c r="P7942" s="53" t="n">
        <v>46046.4755902778</v>
      </c>
      <c r="Q7942" s="53" t="n">
        <v>46018.5905092593</v>
      </c>
      <c r="R7942" s="0" t="n">
        <v>0</v>
      </c>
      <c r="S7942" s="51" t="s">
        <v>3780</v>
      </c>
      <c r="T7942" s="51" t="s">
        <v>3780</v>
      </c>
      <c r="U7942" s="0" t="str">
        <f aca="false">"5060458890191"</f>
        <v>5060458890191</v>
      </c>
      <c r="V7942" s="51" t="s">
        <v>2142</v>
      </c>
      <c r="W7942" s="51" t="s">
        <v>10568</v>
      </c>
      <c r="X7942" s="51" t="s">
        <v>2359</v>
      </c>
    </row>
    <row r="7943" customFormat="false" ht="14.25" hidden="true" customHeight="false" outlineLevel="0" collapsed="false">
      <c r="A7943" s="49" t="s">
        <v>2349</v>
      </c>
      <c r="B7943" s="49" t="s">
        <v>2350</v>
      </c>
      <c r="C7943" s="49" t="s">
        <v>12915</v>
      </c>
      <c r="D7943" s="49" t="s">
        <v>2352</v>
      </c>
      <c r="E7943" s="49" t="str">
        <f aca="false">"5060458890191"</f>
        <v>5060458890191</v>
      </c>
      <c r="F7943" s="49" t="s">
        <v>3656</v>
      </c>
      <c r="G7943" s="49" t="n">
        <v>0</v>
      </c>
      <c r="H7943" s="0" t="n">
        <v>0</v>
      </c>
      <c r="M7943" s="51" t="s">
        <v>12894</v>
      </c>
      <c r="N7943" s="49" t="n">
        <v>0</v>
      </c>
      <c r="O7943" s="53" t="n">
        <v>46018.5912615741</v>
      </c>
      <c r="P7943" s="53" t="n">
        <v>46046.4746990741</v>
      </c>
      <c r="Q7943" s="53" t="n">
        <v>46018.5912615741</v>
      </c>
      <c r="R7943" s="0" t="n">
        <v>0</v>
      </c>
      <c r="S7943" s="51" t="s">
        <v>3780</v>
      </c>
      <c r="T7943" s="51" t="s">
        <v>3780</v>
      </c>
      <c r="U7943" s="0" t="str">
        <f aca="false">"5060458890191"</f>
        <v>5060458890191</v>
      </c>
      <c r="V7943" s="51" t="s">
        <v>2142</v>
      </c>
      <c r="W7943" s="51" t="s">
        <v>11664</v>
      </c>
      <c r="X7943" s="51" t="s">
        <v>2359</v>
      </c>
    </row>
    <row r="7944" customFormat="false" ht="14.25" hidden="true" customHeight="false" outlineLevel="0" collapsed="false">
      <c r="A7944" s="49" t="s">
        <v>2349</v>
      </c>
      <c r="B7944" s="49" t="s">
        <v>2350</v>
      </c>
      <c r="C7944" s="49" t="s">
        <v>12916</v>
      </c>
      <c r="D7944" s="49" t="s">
        <v>2352</v>
      </c>
      <c r="E7944" s="49" t="str">
        <f aca="false">"5060458890191"</f>
        <v>5060458890191</v>
      </c>
      <c r="F7944" s="49" t="s">
        <v>3656</v>
      </c>
      <c r="G7944" s="49" t="n">
        <v>0</v>
      </c>
      <c r="H7944" s="0" t="n">
        <v>0</v>
      </c>
      <c r="M7944" s="51" t="s">
        <v>12894</v>
      </c>
      <c r="N7944" s="49" t="n">
        <v>0</v>
      </c>
      <c r="O7944" s="53" t="n">
        <v>46018.5883912037</v>
      </c>
      <c r="P7944" s="53" t="n">
        <v>46044.4724768519</v>
      </c>
      <c r="Q7944" s="53" t="n">
        <v>46018.5883912037</v>
      </c>
      <c r="R7944" s="0" t="n">
        <v>0</v>
      </c>
      <c r="S7944" s="51" t="s">
        <v>3780</v>
      </c>
      <c r="T7944" s="51" t="s">
        <v>3780</v>
      </c>
      <c r="U7944" s="0" t="str">
        <f aca="false">"5060458890191"</f>
        <v>5060458890191</v>
      </c>
      <c r="V7944" s="51" t="s">
        <v>2142</v>
      </c>
      <c r="W7944" s="51" t="s">
        <v>6757</v>
      </c>
      <c r="X7944" s="51" t="s">
        <v>2359</v>
      </c>
    </row>
    <row r="7945" customFormat="false" ht="14.25" hidden="true" customHeight="false" outlineLevel="0" collapsed="false">
      <c r="A7945" s="49" t="s">
        <v>2349</v>
      </c>
      <c r="B7945" s="49" t="s">
        <v>2350</v>
      </c>
      <c r="C7945" s="49" t="s">
        <v>12917</v>
      </c>
      <c r="D7945" s="49" t="s">
        <v>2352</v>
      </c>
      <c r="E7945" s="49" t="str">
        <f aca="false">"5060458890191"</f>
        <v>5060458890191</v>
      </c>
      <c r="F7945" s="49" t="s">
        <v>3656</v>
      </c>
      <c r="G7945" s="49" t="n">
        <v>0</v>
      </c>
      <c r="H7945" s="0" t="n">
        <v>0</v>
      </c>
      <c r="M7945" s="51" t="s">
        <v>12894</v>
      </c>
      <c r="N7945" s="49" t="n">
        <v>0</v>
      </c>
      <c r="O7945" s="53" t="n">
        <v>46018.5925925926</v>
      </c>
      <c r="P7945" s="53" t="n">
        <v>46046.4751736111</v>
      </c>
      <c r="Q7945" s="53" t="n">
        <v>46018.5925925926</v>
      </c>
      <c r="R7945" s="0" t="n">
        <v>0</v>
      </c>
      <c r="S7945" s="51" t="s">
        <v>3780</v>
      </c>
      <c r="T7945" s="51" t="s">
        <v>3780</v>
      </c>
      <c r="U7945" s="0" t="str">
        <f aca="false">"5060458890191"</f>
        <v>5060458890191</v>
      </c>
      <c r="V7945" s="51" t="s">
        <v>2142</v>
      </c>
      <c r="W7945" s="51" t="s">
        <v>4262</v>
      </c>
      <c r="X7945" s="51" t="s">
        <v>2359</v>
      </c>
    </row>
    <row r="7946" customFormat="false" ht="14.25" hidden="true" customHeight="false" outlineLevel="0" collapsed="false">
      <c r="A7946" s="49" t="s">
        <v>2349</v>
      </c>
      <c r="B7946" s="49" t="s">
        <v>2350</v>
      </c>
      <c r="C7946" s="49" t="s">
        <v>12918</v>
      </c>
      <c r="D7946" s="49" t="s">
        <v>2352</v>
      </c>
      <c r="E7946" s="49" t="str">
        <f aca="false">"5060458890191"</f>
        <v>5060458890191</v>
      </c>
      <c r="F7946" s="49" t="s">
        <v>3656</v>
      </c>
      <c r="G7946" s="49" t="n">
        <v>0</v>
      </c>
      <c r="H7946" s="0" t="n">
        <v>0</v>
      </c>
      <c r="M7946" s="51" t="s">
        <v>12894</v>
      </c>
      <c r="N7946" s="49" t="n">
        <v>0</v>
      </c>
      <c r="O7946" s="53" t="n">
        <v>46018.5919444444</v>
      </c>
      <c r="P7946" s="53" t="n">
        <v>46054.7618518519</v>
      </c>
      <c r="Q7946" s="53" t="n">
        <v>46018.5919444444</v>
      </c>
      <c r="R7946" s="0" t="n">
        <v>0</v>
      </c>
      <c r="S7946" s="51" t="s">
        <v>3780</v>
      </c>
      <c r="T7946" s="51" t="s">
        <v>3780</v>
      </c>
      <c r="U7946" s="0" t="str">
        <f aca="false">"5060458890191"</f>
        <v>5060458890191</v>
      </c>
      <c r="V7946" s="51" t="s">
        <v>2142</v>
      </c>
      <c r="W7946" s="51" t="s">
        <v>4466</v>
      </c>
      <c r="X7946" s="51" t="s">
        <v>2359</v>
      </c>
    </row>
    <row r="7947" customFormat="false" ht="14.25" hidden="true" customHeight="false" outlineLevel="0" collapsed="false">
      <c r="A7947" s="49" t="s">
        <v>2349</v>
      </c>
      <c r="B7947" s="49" t="s">
        <v>2350</v>
      </c>
      <c r="C7947" s="49" t="s">
        <v>12919</v>
      </c>
      <c r="D7947" s="49" t="s">
        <v>2352</v>
      </c>
      <c r="E7947" s="49" t="str">
        <f aca="false">"5060458890191"</f>
        <v>5060458890191</v>
      </c>
      <c r="F7947" s="49" t="s">
        <v>3656</v>
      </c>
      <c r="G7947" s="49" t="n">
        <v>0</v>
      </c>
      <c r="H7947" s="0" t="n">
        <v>0</v>
      </c>
      <c r="M7947" s="51" t="s">
        <v>12894</v>
      </c>
      <c r="N7947" s="49" t="n">
        <v>0</v>
      </c>
      <c r="O7947" s="53" t="n">
        <v>46018.5873611111</v>
      </c>
      <c r="P7947" s="53" t="n">
        <v>46044.472650463</v>
      </c>
      <c r="Q7947" s="53" t="n">
        <v>46018.5873611111</v>
      </c>
      <c r="R7947" s="0" t="n">
        <v>0</v>
      </c>
      <c r="S7947" s="51" t="s">
        <v>3780</v>
      </c>
      <c r="T7947" s="51" t="s">
        <v>3780</v>
      </c>
      <c r="U7947" s="0" t="str">
        <f aca="false">"5060458890191"</f>
        <v>5060458890191</v>
      </c>
      <c r="V7947" s="51" t="s">
        <v>2142</v>
      </c>
      <c r="W7947" s="51" t="s">
        <v>4468</v>
      </c>
      <c r="X7947" s="51" t="s">
        <v>2359</v>
      </c>
    </row>
    <row r="7948" customFormat="false" ht="14.25" hidden="true" customHeight="false" outlineLevel="0" collapsed="false">
      <c r="A7948" s="49" t="s">
        <v>2349</v>
      </c>
      <c r="B7948" s="49" t="s">
        <v>2350</v>
      </c>
      <c r="C7948" s="49" t="s">
        <v>12920</v>
      </c>
      <c r="D7948" s="49" t="s">
        <v>2352</v>
      </c>
      <c r="E7948" s="49" t="str">
        <f aca="false">"5060458890191"</f>
        <v>5060458890191</v>
      </c>
      <c r="F7948" s="49" t="s">
        <v>3656</v>
      </c>
      <c r="G7948" s="49" t="n">
        <v>0</v>
      </c>
      <c r="H7948" s="0" t="n">
        <v>0</v>
      </c>
      <c r="M7948" s="51" t="s">
        <v>12894</v>
      </c>
      <c r="N7948" s="49" t="n">
        <v>0</v>
      </c>
      <c r="O7948" s="53" t="n">
        <v>46018.5863773148</v>
      </c>
      <c r="P7948" s="53" t="n">
        <v>46044.9101157407</v>
      </c>
      <c r="Q7948" s="53" t="n">
        <v>46018.5863773148</v>
      </c>
      <c r="R7948" s="0" t="n">
        <v>0</v>
      </c>
      <c r="S7948" s="51" t="s">
        <v>3780</v>
      </c>
      <c r="T7948" s="51" t="s">
        <v>3780</v>
      </c>
      <c r="U7948" s="0" t="str">
        <f aca="false">"5060458890191"</f>
        <v>5060458890191</v>
      </c>
      <c r="V7948" s="51" t="s">
        <v>2142</v>
      </c>
      <c r="W7948" s="51" t="s">
        <v>8546</v>
      </c>
      <c r="X7948" s="51" t="s">
        <v>2359</v>
      </c>
    </row>
    <row r="7949" customFormat="false" ht="14.25" hidden="true" customHeight="false" outlineLevel="0" collapsed="false">
      <c r="A7949" s="49" t="s">
        <v>2349</v>
      </c>
      <c r="B7949" s="49" t="s">
        <v>2350</v>
      </c>
      <c r="C7949" s="49" t="s">
        <v>12921</v>
      </c>
      <c r="D7949" s="49" t="s">
        <v>2352</v>
      </c>
      <c r="E7949" s="49" t="str">
        <f aca="false">"5060458890191"</f>
        <v>5060458890191</v>
      </c>
      <c r="F7949" s="49" t="s">
        <v>3656</v>
      </c>
      <c r="G7949" s="49" t="n">
        <v>0</v>
      </c>
      <c r="H7949" s="0" t="n">
        <v>0</v>
      </c>
      <c r="M7949" s="51" t="s">
        <v>12894</v>
      </c>
      <c r="N7949" s="49" t="n">
        <v>0</v>
      </c>
      <c r="O7949" s="53" t="n">
        <v>46018.5856365741</v>
      </c>
      <c r="P7949" s="53" t="n">
        <v>46041.9003240741</v>
      </c>
      <c r="Q7949" s="53" t="n">
        <v>46018.5856365741</v>
      </c>
      <c r="R7949" s="0" t="n">
        <v>0</v>
      </c>
      <c r="S7949" s="51" t="s">
        <v>3780</v>
      </c>
      <c r="T7949" s="51" t="s">
        <v>3780</v>
      </c>
      <c r="U7949" s="0" t="str">
        <f aca="false">"5060458890191"</f>
        <v>5060458890191</v>
      </c>
      <c r="V7949" s="51" t="s">
        <v>2142</v>
      </c>
      <c r="W7949" s="51" t="s">
        <v>4468</v>
      </c>
      <c r="X7949" s="51" t="s">
        <v>2359</v>
      </c>
    </row>
    <row r="7950" customFormat="false" ht="14.25" hidden="true" customHeight="false" outlineLevel="0" collapsed="false">
      <c r="A7950" s="49" t="s">
        <v>2349</v>
      </c>
      <c r="B7950" s="49" t="s">
        <v>2350</v>
      </c>
      <c r="C7950" s="49" t="s">
        <v>12922</v>
      </c>
      <c r="D7950" s="49" t="s">
        <v>2352</v>
      </c>
      <c r="E7950" s="49" t="str">
        <f aca="false">"5060458890191"</f>
        <v>5060458890191</v>
      </c>
      <c r="F7950" s="49" t="s">
        <v>3656</v>
      </c>
      <c r="G7950" s="49" t="n">
        <v>0</v>
      </c>
      <c r="H7950" s="0" t="n">
        <v>0</v>
      </c>
      <c r="M7950" s="51" t="s">
        <v>12894</v>
      </c>
      <c r="N7950" s="49" t="n">
        <v>0</v>
      </c>
      <c r="O7950" s="53" t="n">
        <v>46018.5840740741</v>
      </c>
      <c r="P7950" s="53" t="n">
        <v>46046.9065393519</v>
      </c>
      <c r="Q7950" s="53" t="n">
        <v>46018.5840740741</v>
      </c>
      <c r="R7950" s="0" t="n">
        <v>0</v>
      </c>
      <c r="S7950" s="51" t="s">
        <v>3780</v>
      </c>
      <c r="T7950" s="51" t="s">
        <v>3780</v>
      </c>
      <c r="U7950" s="0" t="str">
        <f aca="false">"5060458890191"</f>
        <v>5060458890191</v>
      </c>
      <c r="V7950" s="51" t="s">
        <v>2142</v>
      </c>
      <c r="W7950" s="51" t="s">
        <v>10729</v>
      </c>
      <c r="X7950" s="51" t="s">
        <v>2359</v>
      </c>
    </row>
    <row r="7951" customFormat="false" ht="14.25" hidden="true" customHeight="false" outlineLevel="0" collapsed="false">
      <c r="A7951" s="49" t="s">
        <v>2349</v>
      </c>
      <c r="B7951" s="49" t="s">
        <v>2350</v>
      </c>
      <c r="C7951" s="49" t="s">
        <v>12923</v>
      </c>
      <c r="D7951" s="49" t="s">
        <v>2352</v>
      </c>
      <c r="E7951" s="49" t="str">
        <f aca="false">"5060458890191"</f>
        <v>5060458890191</v>
      </c>
      <c r="F7951" s="49" t="s">
        <v>3656</v>
      </c>
      <c r="G7951" s="49" t="n">
        <v>0</v>
      </c>
      <c r="H7951" s="0" t="n">
        <v>0</v>
      </c>
      <c r="M7951" s="51" t="s">
        <v>12894</v>
      </c>
      <c r="N7951" s="49" t="n">
        <v>0</v>
      </c>
      <c r="O7951" s="53" t="n">
        <v>46018.5831481482</v>
      </c>
      <c r="P7951" s="53" t="n">
        <v>46054.7726041667</v>
      </c>
      <c r="Q7951" s="53" t="n">
        <v>46018.5831481482</v>
      </c>
      <c r="R7951" s="0" t="n">
        <v>0</v>
      </c>
      <c r="S7951" s="51" t="s">
        <v>3780</v>
      </c>
      <c r="T7951" s="51" t="s">
        <v>3780</v>
      </c>
      <c r="U7951" s="0" t="str">
        <f aca="false">"5060458890191"</f>
        <v>5060458890191</v>
      </c>
      <c r="V7951" s="51" t="s">
        <v>2142</v>
      </c>
      <c r="W7951" s="51" t="s">
        <v>4247</v>
      </c>
      <c r="X7951" s="51" t="s">
        <v>2359</v>
      </c>
    </row>
    <row r="7952" customFormat="false" ht="14.25" hidden="true" customHeight="false" outlineLevel="0" collapsed="false">
      <c r="A7952" s="49" t="s">
        <v>2349</v>
      </c>
      <c r="B7952" s="49" t="s">
        <v>2350</v>
      </c>
      <c r="C7952" s="49" t="s">
        <v>12924</v>
      </c>
      <c r="D7952" s="49" t="s">
        <v>2352</v>
      </c>
      <c r="E7952" s="49" t="str">
        <f aca="false">"12428864"</f>
        <v>12428864</v>
      </c>
      <c r="F7952" s="49" t="s">
        <v>4251</v>
      </c>
      <c r="G7952" s="49" t="n">
        <v>0</v>
      </c>
      <c r="H7952" s="0" t="n">
        <v>0</v>
      </c>
      <c r="M7952" s="51" t="s">
        <v>12925</v>
      </c>
      <c r="N7952" s="49" t="n">
        <v>0</v>
      </c>
      <c r="O7952" s="53" t="n">
        <v>46036.6127662037</v>
      </c>
      <c r="P7952" s="53" t="n">
        <v>46039.3228240741</v>
      </c>
      <c r="Q7952" s="53" t="n">
        <v>46036.6127662037</v>
      </c>
      <c r="R7952" s="0" t="n">
        <v>0</v>
      </c>
      <c r="S7952" s="51" t="s">
        <v>3780</v>
      </c>
      <c r="T7952" s="51" t="s">
        <v>3780</v>
      </c>
      <c r="U7952" s="0" t="str">
        <f aca="false">"12428864"</f>
        <v>12428864</v>
      </c>
      <c r="V7952" s="51" t="s">
        <v>2365</v>
      </c>
      <c r="W7952" s="51" t="s">
        <v>11664</v>
      </c>
      <c r="X7952" s="51" t="s">
        <v>2359</v>
      </c>
    </row>
    <row r="7953" customFormat="false" ht="14.25" hidden="true" customHeight="false" outlineLevel="0" collapsed="false">
      <c r="A7953" s="49" t="s">
        <v>2349</v>
      </c>
      <c r="B7953" s="49" t="s">
        <v>2350</v>
      </c>
      <c r="C7953" s="49" t="s">
        <v>12926</v>
      </c>
      <c r="D7953" s="49" t="s">
        <v>2352</v>
      </c>
      <c r="E7953" s="49" t="str">
        <f aca="false">"12608304"</f>
        <v>12608304</v>
      </c>
      <c r="F7953" s="49" t="s">
        <v>12469</v>
      </c>
      <c r="G7953" s="49" t="n">
        <v>0</v>
      </c>
      <c r="H7953" s="0" t="n">
        <v>0</v>
      </c>
      <c r="M7953" s="51" t="s">
        <v>12925</v>
      </c>
      <c r="N7953" s="49" t="n">
        <v>0</v>
      </c>
      <c r="O7953" s="53" t="n">
        <v>46036.4071412037</v>
      </c>
      <c r="P7953" s="53" t="n">
        <v>46050.5924305556</v>
      </c>
      <c r="Q7953" s="53" t="n">
        <v>46036.4071412037</v>
      </c>
      <c r="R7953" s="0" t="n">
        <v>0</v>
      </c>
      <c r="S7953" s="51" t="s">
        <v>3780</v>
      </c>
      <c r="T7953" s="51" t="s">
        <v>3780</v>
      </c>
      <c r="U7953" s="0" t="str">
        <f aca="false">"12608304"</f>
        <v>12608304</v>
      </c>
      <c r="V7953" s="51" t="s">
        <v>2365</v>
      </c>
      <c r="W7953" s="51" t="s">
        <v>9859</v>
      </c>
      <c r="X7953" s="51" t="s">
        <v>2359</v>
      </c>
    </row>
    <row r="7954" customFormat="false" ht="14.25" hidden="true" customHeight="false" outlineLevel="0" collapsed="false">
      <c r="A7954" s="49" t="s">
        <v>2349</v>
      </c>
      <c r="B7954" s="49" t="s">
        <v>2350</v>
      </c>
      <c r="C7954" s="49" t="s">
        <v>12927</v>
      </c>
      <c r="D7954" s="49" t="s">
        <v>2352</v>
      </c>
      <c r="E7954" s="49" t="str">
        <f aca="false">"12608304"</f>
        <v>12608304</v>
      </c>
      <c r="F7954" s="49" t="s">
        <v>12469</v>
      </c>
      <c r="G7954" s="49" t="n">
        <v>0</v>
      </c>
      <c r="H7954" s="0" t="n">
        <v>0</v>
      </c>
      <c r="M7954" s="51" t="s">
        <v>12925</v>
      </c>
      <c r="N7954" s="49" t="n">
        <v>0</v>
      </c>
      <c r="O7954" s="53" t="n">
        <v>46036.4016782407</v>
      </c>
      <c r="P7954" s="53" t="n">
        <v>46047.9365625</v>
      </c>
      <c r="Q7954" s="53" t="n">
        <v>46036.4016782407</v>
      </c>
      <c r="R7954" s="0" t="n">
        <v>0</v>
      </c>
      <c r="S7954" s="51" t="s">
        <v>3780</v>
      </c>
      <c r="T7954" s="51" t="s">
        <v>3780</v>
      </c>
      <c r="U7954" s="0" t="str">
        <f aca="false">"12608304"</f>
        <v>12608304</v>
      </c>
      <c r="V7954" s="51" t="s">
        <v>2365</v>
      </c>
      <c r="W7954" s="51" t="s">
        <v>8672</v>
      </c>
      <c r="X7954" s="51" t="s">
        <v>2359</v>
      </c>
    </row>
    <row r="7955" customFormat="false" ht="14.25" hidden="true" customHeight="false" outlineLevel="0" collapsed="false">
      <c r="A7955" s="49" t="s">
        <v>2349</v>
      </c>
      <c r="B7955" s="49" t="s">
        <v>2350</v>
      </c>
      <c r="C7955" s="49" t="s">
        <v>12928</v>
      </c>
      <c r="D7955" s="49" t="s">
        <v>2352</v>
      </c>
      <c r="E7955" s="49" t="str">
        <f aca="false">"12608304"</f>
        <v>12608304</v>
      </c>
      <c r="F7955" s="49" t="s">
        <v>12469</v>
      </c>
      <c r="G7955" s="49" t="n">
        <v>0</v>
      </c>
      <c r="H7955" s="0" t="n">
        <v>0</v>
      </c>
      <c r="M7955" s="51" t="s">
        <v>12925</v>
      </c>
      <c r="N7955" s="49" t="n">
        <v>0</v>
      </c>
      <c r="O7955" s="53" t="n">
        <v>46036.4059375</v>
      </c>
      <c r="P7955" s="53" t="n">
        <v>46050.5922916667</v>
      </c>
      <c r="Q7955" s="53" t="n">
        <v>46036.4059375</v>
      </c>
      <c r="R7955" s="0" t="n">
        <v>0</v>
      </c>
      <c r="S7955" s="51" t="s">
        <v>3780</v>
      </c>
      <c r="T7955" s="51" t="s">
        <v>3780</v>
      </c>
      <c r="U7955" s="0" t="str">
        <f aca="false">"12608304"</f>
        <v>12608304</v>
      </c>
      <c r="V7955" s="51" t="s">
        <v>2365</v>
      </c>
      <c r="W7955" s="51" t="s">
        <v>12743</v>
      </c>
      <c r="X7955" s="51" t="s">
        <v>2359</v>
      </c>
    </row>
    <row r="7956" customFormat="false" ht="14.25" hidden="true" customHeight="false" outlineLevel="0" collapsed="false">
      <c r="A7956" s="49" t="s">
        <v>2349</v>
      </c>
      <c r="B7956" s="49" t="s">
        <v>2350</v>
      </c>
      <c r="C7956" s="49" t="s">
        <v>12929</v>
      </c>
      <c r="D7956" s="49" t="s">
        <v>2352</v>
      </c>
      <c r="E7956" s="49" t="str">
        <f aca="false">"12608304"</f>
        <v>12608304</v>
      </c>
      <c r="F7956" s="49" t="s">
        <v>12469</v>
      </c>
      <c r="G7956" s="49" t="n">
        <v>0</v>
      </c>
      <c r="H7956" s="0" t="n">
        <v>0</v>
      </c>
      <c r="M7956" s="51" t="s">
        <v>12925</v>
      </c>
      <c r="N7956" s="49" t="n">
        <v>0</v>
      </c>
      <c r="O7956" s="53" t="n">
        <v>46036.4054513889</v>
      </c>
      <c r="P7956" s="53" t="n">
        <v>46047.9317592593</v>
      </c>
      <c r="Q7956" s="53" t="n">
        <v>46036.4054513889</v>
      </c>
      <c r="R7956" s="0" t="n">
        <v>0</v>
      </c>
      <c r="S7956" s="51" t="s">
        <v>3780</v>
      </c>
      <c r="T7956" s="51" t="s">
        <v>3780</v>
      </c>
      <c r="U7956" s="0" t="str">
        <f aca="false">"12608304"</f>
        <v>12608304</v>
      </c>
      <c r="V7956" s="51" t="s">
        <v>2365</v>
      </c>
      <c r="W7956" s="51" t="s">
        <v>12930</v>
      </c>
      <c r="X7956" s="51" t="s">
        <v>2359</v>
      </c>
    </row>
    <row r="7957" customFormat="false" ht="14.25" hidden="true" customHeight="false" outlineLevel="0" collapsed="false">
      <c r="A7957" s="49" t="s">
        <v>2349</v>
      </c>
      <c r="B7957" s="49" t="s">
        <v>2350</v>
      </c>
      <c r="C7957" s="49" t="s">
        <v>12931</v>
      </c>
      <c r="D7957" s="49" t="s">
        <v>2352</v>
      </c>
      <c r="E7957" s="49" t="str">
        <f aca="false">"12608304"</f>
        <v>12608304</v>
      </c>
      <c r="F7957" s="49" t="s">
        <v>12469</v>
      </c>
      <c r="G7957" s="49" t="n">
        <v>0</v>
      </c>
      <c r="H7957" s="0" t="n">
        <v>0</v>
      </c>
      <c r="M7957" s="51" t="s">
        <v>12925</v>
      </c>
      <c r="N7957" s="49" t="n">
        <v>0</v>
      </c>
      <c r="O7957" s="53" t="n">
        <v>46036.4049421296</v>
      </c>
      <c r="P7957" s="53" t="n">
        <v>46050.592650463</v>
      </c>
      <c r="Q7957" s="53" t="n">
        <v>46036.4049421296</v>
      </c>
      <c r="R7957" s="0" t="n">
        <v>0</v>
      </c>
      <c r="S7957" s="51" t="s">
        <v>3780</v>
      </c>
      <c r="T7957" s="51" t="s">
        <v>3780</v>
      </c>
      <c r="U7957" s="0" t="str">
        <f aca="false">"12608304"</f>
        <v>12608304</v>
      </c>
      <c r="V7957" s="51" t="s">
        <v>2365</v>
      </c>
      <c r="W7957" s="51" t="s">
        <v>12735</v>
      </c>
      <c r="X7957" s="51" t="s">
        <v>2359</v>
      </c>
    </row>
    <row r="7958" customFormat="false" ht="14.25" hidden="true" customHeight="false" outlineLevel="0" collapsed="false">
      <c r="A7958" s="49" t="s">
        <v>2349</v>
      </c>
      <c r="B7958" s="49" t="s">
        <v>2350</v>
      </c>
      <c r="C7958" s="49" t="s">
        <v>12932</v>
      </c>
      <c r="D7958" s="49" t="s">
        <v>2352</v>
      </c>
      <c r="E7958" s="49" t="str">
        <f aca="false">"12608304"</f>
        <v>12608304</v>
      </c>
      <c r="F7958" s="49" t="s">
        <v>12469</v>
      </c>
      <c r="G7958" s="49" t="n">
        <v>0</v>
      </c>
      <c r="H7958" s="0" t="n">
        <v>0</v>
      </c>
      <c r="M7958" s="51" t="s">
        <v>12925</v>
      </c>
      <c r="N7958" s="49" t="n">
        <v>0</v>
      </c>
      <c r="O7958" s="53" t="n">
        <v>46036.4045138889</v>
      </c>
      <c r="P7958" s="53" t="n">
        <v>46049.0019907407</v>
      </c>
      <c r="Q7958" s="53" t="n">
        <v>46036.4045138889</v>
      </c>
      <c r="R7958" s="0" t="n">
        <v>0</v>
      </c>
      <c r="S7958" s="51" t="s">
        <v>3780</v>
      </c>
      <c r="T7958" s="51" t="s">
        <v>3780</v>
      </c>
      <c r="U7958" s="0" t="str">
        <f aca="false">"12608304"</f>
        <v>12608304</v>
      </c>
      <c r="V7958" s="51" t="s">
        <v>2365</v>
      </c>
      <c r="W7958" s="51" t="s">
        <v>4225</v>
      </c>
      <c r="X7958" s="51" t="s">
        <v>2359</v>
      </c>
    </row>
    <row r="7959" customFormat="false" ht="14.25" hidden="true" customHeight="false" outlineLevel="0" collapsed="false">
      <c r="A7959" s="49" t="s">
        <v>2349</v>
      </c>
      <c r="B7959" s="49" t="s">
        <v>2350</v>
      </c>
      <c r="C7959" s="49" t="s">
        <v>12933</v>
      </c>
      <c r="D7959" s="49" t="s">
        <v>2352</v>
      </c>
      <c r="E7959" s="49" t="str">
        <f aca="false">"12608304"</f>
        <v>12608304</v>
      </c>
      <c r="F7959" s="49" t="s">
        <v>12469</v>
      </c>
      <c r="G7959" s="49" t="n">
        <v>0</v>
      </c>
      <c r="H7959" s="0" t="n">
        <v>0</v>
      </c>
      <c r="M7959" s="51" t="s">
        <v>12925</v>
      </c>
      <c r="N7959" s="49" t="n">
        <v>0</v>
      </c>
      <c r="O7959" s="53" t="n">
        <v>46036.4039236111</v>
      </c>
      <c r="P7959" s="53" t="n">
        <v>46047.931087963</v>
      </c>
      <c r="Q7959" s="53" t="n">
        <v>46036.4039236111</v>
      </c>
      <c r="R7959" s="0" t="n">
        <v>0</v>
      </c>
      <c r="S7959" s="51" t="s">
        <v>3780</v>
      </c>
      <c r="T7959" s="51" t="s">
        <v>3780</v>
      </c>
      <c r="U7959" s="0" t="str">
        <f aca="false">"12608304"</f>
        <v>12608304</v>
      </c>
      <c r="V7959" s="51" t="s">
        <v>2365</v>
      </c>
      <c r="W7959" s="51" t="s">
        <v>12748</v>
      </c>
      <c r="X7959" s="51" t="s">
        <v>2359</v>
      </c>
    </row>
    <row r="7960" customFormat="false" ht="14.25" hidden="true" customHeight="false" outlineLevel="0" collapsed="false">
      <c r="A7960" s="49" t="s">
        <v>2349</v>
      </c>
      <c r="B7960" s="49" t="s">
        <v>2350</v>
      </c>
      <c r="C7960" s="49" t="s">
        <v>12934</v>
      </c>
      <c r="D7960" s="49" t="s">
        <v>2352</v>
      </c>
      <c r="E7960" s="49" t="str">
        <f aca="false">"12608304"</f>
        <v>12608304</v>
      </c>
      <c r="F7960" s="49" t="s">
        <v>12469</v>
      </c>
      <c r="G7960" s="49" t="n">
        <v>0</v>
      </c>
      <c r="H7960" s="0" t="n">
        <v>0</v>
      </c>
      <c r="M7960" s="51" t="s">
        <v>12925</v>
      </c>
      <c r="N7960" s="49" t="n">
        <v>0</v>
      </c>
      <c r="O7960" s="53" t="n">
        <v>46036.4027083333</v>
      </c>
      <c r="P7960" s="53" t="n">
        <v>46047.9297685185</v>
      </c>
      <c r="Q7960" s="53" t="n">
        <v>46036.4027083333</v>
      </c>
      <c r="R7960" s="0" t="n">
        <v>0</v>
      </c>
      <c r="S7960" s="51" t="s">
        <v>3780</v>
      </c>
      <c r="T7960" s="51" t="s">
        <v>3780</v>
      </c>
      <c r="U7960" s="0" t="str">
        <f aca="false">"12608304"</f>
        <v>12608304</v>
      </c>
      <c r="V7960" s="51" t="s">
        <v>2365</v>
      </c>
      <c r="W7960" s="51" t="s">
        <v>12292</v>
      </c>
      <c r="X7960" s="51" t="s">
        <v>2359</v>
      </c>
    </row>
    <row r="7961" customFormat="false" ht="14.25" hidden="true" customHeight="false" outlineLevel="0" collapsed="false">
      <c r="A7961" s="49" t="s">
        <v>2349</v>
      </c>
      <c r="B7961" s="49" t="s">
        <v>2350</v>
      </c>
      <c r="C7961" s="49" t="s">
        <v>12935</v>
      </c>
      <c r="D7961" s="49" t="s">
        <v>2352</v>
      </c>
      <c r="E7961" s="49" t="str">
        <f aca="false">"12608559"</f>
        <v>12608559</v>
      </c>
      <c r="F7961" s="49" t="s">
        <v>12271</v>
      </c>
      <c r="G7961" s="49" t="n">
        <v>0</v>
      </c>
      <c r="H7961" s="0" t="n">
        <v>0</v>
      </c>
      <c r="M7961" s="51" t="s">
        <v>12925</v>
      </c>
      <c r="N7961" s="49" t="n">
        <v>0</v>
      </c>
      <c r="O7961" s="53" t="n">
        <v>46036.3969907407</v>
      </c>
      <c r="P7961" s="53" t="n">
        <v>46055.9458796296</v>
      </c>
      <c r="Q7961" s="53" t="n">
        <v>46036.3969907407</v>
      </c>
      <c r="R7961" s="0" t="n">
        <v>0</v>
      </c>
      <c r="S7961" s="51" t="s">
        <v>3780</v>
      </c>
      <c r="T7961" s="51" t="s">
        <v>3780</v>
      </c>
      <c r="U7961" s="0" t="str">
        <f aca="false">"12608559"</f>
        <v>12608559</v>
      </c>
      <c r="V7961" s="51" t="s">
        <v>2365</v>
      </c>
      <c r="W7961" s="51" t="s">
        <v>10563</v>
      </c>
      <c r="X7961" s="51" t="s">
        <v>2359</v>
      </c>
    </row>
    <row r="7962" customFormat="false" ht="14.25" hidden="true" customHeight="false" outlineLevel="0" collapsed="false">
      <c r="A7962" s="49" t="s">
        <v>2349</v>
      </c>
      <c r="B7962" s="49" t="s">
        <v>2350</v>
      </c>
      <c r="C7962" s="49" t="s">
        <v>12936</v>
      </c>
      <c r="D7962" s="49" t="s">
        <v>2352</v>
      </c>
      <c r="E7962" s="49" t="str">
        <f aca="false">"12608305"</f>
        <v>12608305</v>
      </c>
      <c r="F7962" s="49" t="s">
        <v>12194</v>
      </c>
      <c r="G7962" s="49" t="n">
        <v>0</v>
      </c>
      <c r="H7962" s="0" t="n">
        <v>0</v>
      </c>
      <c r="M7962" s="51" t="s">
        <v>12925</v>
      </c>
      <c r="N7962" s="49" t="n">
        <v>0</v>
      </c>
      <c r="O7962" s="53" t="n">
        <v>46036.3946643519</v>
      </c>
      <c r="P7962" s="53" t="n">
        <v>46040.7721064815</v>
      </c>
      <c r="Q7962" s="53" t="n">
        <v>46036.3946643519</v>
      </c>
      <c r="R7962" s="0" t="n">
        <v>0</v>
      </c>
      <c r="S7962" s="51" t="s">
        <v>3780</v>
      </c>
      <c r="T7962" s="51" t="s">
        <v>3780</v>
      </c>
      <c r="U7962" s="0" t="str">
        <f aca="false">"12608305"</f>
        <v>12608305</v>
      </c>
      <c r="V7962" s="51" t="s">
        <v>2365</v>
      </c>
      <c r="W7962" s="51" t="s">
        <v>12937</v>
      </c>
      <c r="X7962" s="51" t="s">
        <v>2359</v>
      </c>
    </row>
    <row r="7963" customFormat="false" ht="14.25" hidden="true" customHeight="false" outlineLevel="0" collapsed="false">
      <c r="A7963" s="49" t="s">
        <v>2349</v>
      </c>
      <c r="B7963" s="49" t="s">
        <v>2350</v>
      </c>
      <c r="C7963" s="49" t="s">
        <v>12938</v>
      </c>
      <c r="D7963" s="49" t="s">
        <v>2352</v>
      </c>
      <c r="E7963" s="49" t="str">
        <f aca="false">"12608305"</f>
        <v>12608305</v>
      </c>
      <c r="F7963" s="49" t="s">
        <v>12194</v>
      </c>
      <c r="G7963" s="49" t="n">
        <v>0</v>
      </c>
      <c r="H7963" s="0" t="n">
        <v>0</v>
      </c>
      <c r="M7963" s="51" t="s">
        <v>12925</v>
      </c>
      <c r="N7963" s="49" t="n">
        <v>0</v>
      </c>
      <c r="O7963" s="53" t="n">
        <v>46036.3940046296</v>
      </c>
      <c r="P7963" s="53" t="n">
        <v>46056.8618634259</v>
      </c>
      <c r="Q7963" s="53" t="n">
        <v>46036.3940046296</v>
      </c>
      <c r="R7963" s="0" t="n">
        <v>0</v>
      </c>
      <c r="S7963" s="51" t="s">
        <v>3780</v>
      </c>
      <c r="T7963" s="51" t="s">
        <v>3780</v>
      </c>
      <c r="U7963" s="0" t="str">
        <f aca="false">"12608305"</f>
        <v>12608305</v>
      </c>
      <c r="V7963" s="51" t="s">
        <v>2365</v>
      </c>
      <c r="W7963" s="51" t="s">
        <v>12939</v>
      </c>
      <c r="X7963" s="51" t="s">
        <v>2359</v>
      </c>
    </row>
    <row r="7964" customFormat="false" ht="14.25" hidden="true" customHeight="false" outlineLevel="0" collapsed="false">
      <c r="A7964" s="49" t="s">
        <v>2349</v>
      </c>
      <c r="B7964" s="49" t="s">
        <v>2350</v>
      </c>
      <c r="C7964" s="49" t="s">
        <v>12940</v>
      </c>
      <c r="D7964" s="49" t="s">
        <v>2352</v>
      </c>
      <c r="E7964" s="49" t="str">
        <f aca="false">"12608305"</f>
        <v>12608305</v>
      </c>
      <c r="F7964" s="49" t="s">
        <v>12194</v>
      </c>
      <c r="G7964" s="49" t="n">
        <v>0</v>
      </c>
      <c r="H7964" s="0" t="n">
        <v>0</v>
      </c>
      <c r="M7964" s="51" t="s">
        <v>12925</v>
      </c>
      <c r="N7964" s="49" t="n">
        <v>0</v>
      </c>
      <c r="O7964" s="53" t="n">
        <v>46036.3933912037</v>
      </c>
      <c r="P7964" s="53" t="n">
        <v>46047.9269907407</v>
      </c>
      <c r="Q7964" s="53" t="n">
        <v>46036.3933912037</v>
      </c>
      <c r="R7964" s="0" t="n">
        <v>0</v>
      </c>
      <c r="S7964" s="51" t="s">
        <v>3780</v>
      </c>
      <c r="T7964" s="51" t="s">
        <v>3780</v>
      </c>
      <c r="U7964" s="0" t="str">
        <f aca="false">"12608305"</f>
        <v>12608305</v>
      </c>
      <c r="V7964" s="51" t="s">
        <v>2365</v>
      </c>
      <c r="W7964" s="51" t="s">
        <v>12941</v>
      </c>
      <c r="X7964" s="51" t="s">
        <v>2359</v>
      </c>
    </row>
    <row r="7965" customFormat="false" ht="14.25" hidden="true" customHeight="false" outlineLevel="0" collapsed="false">
      <c r="A7965" s="49" t="s">
        <v>2349</v>
      </c>
      <c r="B7965" s="49" t="s">
        <v>2350</v>
      </c>
      <c r="C7965" s="49" t="s">
        <v>12942</v>
      </c>
      <c r="D7965" s="49" t="s">
        <v>2352</v>
      </c>
      <c r="E7965" s="49" t="str">
        <f aca="false">"12608305"</f>
        <v>12608305</v>
      </c>
      <c r="F7965" s="49" t="s">
        <v>12194</v>
      </c>
      <c r="G7965" s="49" t="n">
        <v>0</v>
      </c>
      <c r="H7965" s="0" t="n">
        <v>0</v>
      </c>
      <c r="M7965" s="51" t="s">
        <v>12925</v>
      </c>
      <c r="N7965" s="49" t="n">
        <v>0</v>
      </c>
      <c r="O7965" s="53" t="n">
        <v>46036.3924074074</v>
      </c>
      <c r="P7965" s="53" t="n">
        <v>46040.7730555556</v>
      </c>
      <c r="Q7965" s="53" t="n">
        <v>46036.3924074074</v>
      </c>
      <c r="R7965" s="0" t="n">
        <v>0</v>
      </c>
      <c r="S7965" s="51" t="s">
        <v>3780</v>
      </c>
      <c r="T7965" s="51" t="s">
        <v>3780</v>
      </c>
      <c r="U7965" s="0" t="str">
        <f aca="false">"12608305"</f>
        <v>12608305</v>
      </c>
      <c r="V7965" s="51" t="s">
        <v>2365</v>
      </c>
      <c r="W7965" s="51" t="s">
        <v>12728</v>
      </c>
      <c r="X7965" s="51" t="s">
        <v>2359</v>
      </c>
    </row>
    <row r="7966" customFormat="false" ht="14.25" hidden="true" customHeight="false" outlineLevel="0" collapsed="false">
      <c r="A7966" s="49" t="s">
        <v>2349</v>
      </c>
      <c r="B7966" s="49" t="s">
        <v>2350</v>
      </c>
      <c r="C7966" s="49" t="s">
        <v>12943</v>
      </c>
      <c r="D7966" s="49" t="s">
        <v>2352</v>
      </c>
      <c r="E7966" s="49" t="str">
        <f aca="false">"12608305"</f>
        <v>12608305</v>
      </c>
      <c r="F7966" s="49" t="s">
        <v>12194</v>
      </c>
      <c r="G7966" s="49" t="n">
        <v>0</v>
      </c>
      <c r="H7966" s="0" t="n">
        <v>0</v>
      </c>
      <c r="M7966" s="51" t="s">
        <v>12925</v>
      </c>
      <c r="N7966" s="49" t="n">
        <v>0</v>
      </c>
      <c r="O7966" s="53" t="n">
        <v>46036.3917592593</v>
      </c>
      <c r="P7966" s="53" t="n">
        <v>46040.7711574074</v>
      </c>
      <c r="Q7966" s="53" t="n">
        <v>46036.3917592593</v>
      </c>
      <c r="R7966" s="0" t="n">
        <v>0</v>
      </c>
      <c r="S7966" s="51" t="s">
        <v>3780</v>
      </c>
      <c r="T7966" s="51" t="s">
        <v>3780</v>
      </c>
      <c r="U7966" s="0" t="str">
        <f aca="false">"12608305"</f>
        <v>12608305</v>
      </c>
      <c r="V7966" s="51" t="s">
        <v>2365</v>
      </c>
      <c r="W7966" s="51" t="s">
        <v>12740</v>
      </c>
      <c r="X7966" s="51" t="s">
        <v>2359</v>
      </c>
    </row>
    <row r="7967" customFormat="false" ht="14.25" hidden="true" customHeight="false" outlineLevel="0" collapsed="false">
      <c r="A7967" s="49" t="s">
        <v>2349</v>
      </c>
      <c r="B7967" s="49" t="s">
        <v>2350</v>
      </c>
      <c r="C7967" s="49" t="s">
        <v>12944</v>
      </c>
      <c r="D7967" s="49" t="s">
        <v>2352</v>
      </c>
      <c r="E7967" s="49" t="str">
        <f aca="false">"12608305"</f>
        <v>12608305</v>
      </c>
      <c r="F7967" s="49" t="s">
        <v>12194</v>
      </c>
      <c r="G7967" s="49" t="n">
        <v>0</v>
      </c>
      <c r="H7967" s="0" t="n">
        <v>0</v>
      </c>
      <c r="M7967" s="51" t="s">
        <v>12925</v>
      </c>
      <c r="N7967" s="49" t="n">
        <v>0</v>
      </c>
      <c r="O7967" s="53" t="n">
        <v>46036.3912268519</v>
      </c>
      <c r="P7967" s="53" t="n">
        <v>46039.350462963</v>
      </c>
      <c r="Q7967" s="53" t="n">
        <v>46036.3912268519</v>
      </c>
      <c r="R7967" s="0" t="n">
        <v>0</v>
      </c>
      <c r="S7967" s="51" t="s">
        <v>3780</v>
      </c>
      <c r="T7967" s="51" t="s">
        <v>3780</v>
      </c>
      <c r="U7967" s="0" t="str">
        <f aca="false">"12608305"</f>
        <v>12608305</v>
      </c>
      <c r="V7967" s="51" t="s">
        <v>2365</v>
      </c>
      <c r="W7967" s="51" t="s">
        <v>9327</v>
      </c>
      <c r="X7967" s="51" t="s">
        <v>2359</v>
      </c>
    </row>
    <row r="7968" customFormat="false" ht="14.25" hidden="true" customHeight="false" outlineLevel="0" collapsed="false">
      <c r="A7968" s="49" t="s">
        <v>2349</v>
      </c>
      <c r="B7968" s="49" t="s">
        <v>2350</v>
      </c>
      <c r="C7968" s="49" t="s">
        <v>12945</v>
      </c>
      <c r="D7968" s="49" t="s">
        <v>2352</v>
      </c>
      <c r="E7968" s="49" t="str">
        <f aca="false">"12608305"</f>
        <v>12608305</v>
      </c>
      <c r="F7968" s="49" t="s">
        <v>12194</v>
      </c>
      <c r="G7968" s="49" t="n">
        <v>0</v>
      </c>
      <c r="H7968" s="0" t="n">
        <v>0</v>
      </c>
      <c r="M7968" s="51" t="s">
        <v>12925</v>
      </c>
      <c r="N7968" s="49" t="n">
        <v>0</v>
      </c>
      <c r="O7968" s="53" t="n">
        <v>46036.3908101852</v>
      </c>
      <c r="P7968" s="53" t="n">
        <v>46039.3349305556</v>
      </c>
      <c r="Q7968" s="53" t="n">
        <v>46036.3908101852</v>
      </c>
      <c r="R7968" s="0" t="n">
        <v>0</v>
      </c>
      <c r="S7968" s="51" t="s">
        <v>3780</v>
      </c>
      <c r="T7968" s="51" t="s">
        <v>3780</v>
      </c>
      <c r="U7968" s="0" t="str">
        <f aca="false">"12608305"</f>
        <v>12608305</v>
      </c>
      <c r="V7968" s="51" t="s">
        <v>2365</v>
      </c>
      <c r="W7968" s="51" t="s">
        <v>12946</v>
      </c>
      <c r="X7968" s="51" t="s">
        <v>2359</v>
      </c>
    </row>
    <row r="7969" customFormat="false" ht="14.25" hidden="true" customHeight="false" outlineLevel="0" collapsed="false">
      <c r="A7969" s="49" t="s">
        <v>2349</v>
      </c>
      <c r="B7969" s="49" t="s">
        <v>2350</v>
      </c>
      <c r="C7969" s="49" t="s">
        <v>12947</v>
      </c>
      <c r="D7969" s="49" t="s">
        <v>2352</v>
      </c>
      <c r="E7969" s="49" t="str">
        <f aca="false">"12608305"</f>
        <v>12608305</v>
      </c>
      <c r="F7969" s="49" t="s">
        <v>12194</v>
      </c>
      <c r="G7969" s="49" t="n">
        <v>0</v>
      </c>
      <c r="H7969" s="0" t="n">
        <v>0</v>
      </c>
      <c r="M7969" s="51" t="s">
        <v>12925</v>
      </c>
      <c r="N7969" s="49" t="n">
        <v>0</v>
      </c>
      <c r="O7969" s="53" t="n">
        <v>46036.3903356481</v>
      </c>
      <c r="P7969" s="53" t="n">
        <v>46039.3337384259</v>
      </c>
      <c r="Q7969" s="53" t="n">
        <v>46036.3903356481</v>
      </c>
      <c r="R7969" s="0" t="n">
        <v>0</v>
      </c>
      <c r="S7969" s="51" t="s">
        <v>3780</v>
      </c>
      <c r="T7969" s="51" t="s">
        <v>3780</v>
      </c>
      <c r="U7969" s="0" t="str">
        <f aca="false">"12608305"</f>
        <v>12608305</v>
      </c>
      <c r="V7969" s="51" t="s">
        <v>2365</v>
      </c>
      <c r="W7969" s="51" t="s">
        <v>12623</v>
      </c>
      <c r="X7969" s="51" t="s">
        <v>2359</v>
      </c>
    </row>
    <row r="7970" customFormat="false" ht="14.25" hidden="true" customHeight="false" outlineLevel="0" collapsed="false">
      <c r="A7970" s="49" t="s">
        <v>2349</v>
      </c>
      <c r="B7970" s="49" t="s">
        <v>2350</v>
      </c>
      <c r="C7970" s="49" t="s">
        <v>12948</v>
      </c>
      <c r="D7970" s="49" t="s">
        <v>2352</v>
      </c>
      <c r="E7970" s="49" t="str">
        <f aca="false">"12207690"</f>
        <v>12207690</v>
      </c>
      <c r="F7970" s="49" t="s">
        <v>4199</v>
      </c>
      <c r="G7970" s="49" t="n">
        <v>0</v>
      </c>
      <c r="H7970" s="0" t="n">
        <v>0</v>
      </c>
      <c r="M7970" s="51" t="s">
        <v>12925</v>
      </c>
      <c r="N7970" s="49" t="n">
        <v>0</v>
      </c>
      <c r="O7970" s="53" t="n">
        <v>46036.3839930556</v>
      </c>
      <c r="P7970" s="53" t="n">
        <v>46039.8877893519</v>
      </c>
      <c r="Q7970" s="53" t="n">
        <v>46036.3839930556</v>
      </c>
      <c r="R7970" s="0" t="n">
        <v>0</v>
      </c>
      <c r="S7970" s="51" t="s">
        <v>3780</v>
      </c>
      <c r="T7970" s="51" t="s">
        <v>3780</v>
      </c>
      <c r="U7970" s="0" t="str">
        <f aca="false">"12207690"</f>
        <v>12207690</v>
      </c>
      <c r="V7970" s="51" t="s">
        <v>2365</v>
      </c>
      <c r="W7970" s="51" t="s">
        <v>9340</v>
      </c>
      <c r="X7970" s="51" t="s">
        <v>2359</v>
      </c>
    </row>
    <row r="7971" customFormat="false" ht="14.25" hidden="true" customHeight="false" outlineLevel="0" collapsed="false">
      <c r="A7971" s="49" t="s">
        <v>2349</v>
      </c>
      <c r="B7971" s="49" t="s">
        <v>2350</v>
      </c>
      <c r="C7971" s="49" t="s">
        <v>12949</v>
      </c>
      <c r="D7971" s="49" t="s">
        <v>2352</v>
      </c>
      <c r="E7971" s="49" t="str">
        <f aca="false">"12207690"</f>
        <v>12207690</v>
      </c>
      <c r="F7971" s="49" t="s">
        <v>4199</v>
      </c>
      <c r="G7971" s="49" t="n">
        <v>0</v>
      </c>
      <c r="H7971" s="0" t="n">
        <v>0</v>
      </c>
      <c r="M7971" s="51" t="s">
        <v>12925</v>
      </c>
      <c r="N7971" s="49" t="n">
        <v>0</v>
      </c>
      <c r="O7971" s="53" t="n">
        <v>46036.3816203704</v>
      </c>
      <c r="P7971" s="53" t="n">
        <v>46039.8880439815</v>
      </c>
      <c r="Q7971" s="53" t="n">
        <v>46036.3816203704</v>
      </c>
      <c r="R7971" s="0" t="n">
        <v>0</v>
      </c>
      <c r="S7971" s="51" t="s">
        <v>3780</v>
      </c>
      <c r="T7971" s="51" t="s">
        <v>3780</v>
      </c>
      <c r="U7971" s="0" t="str">
        <f aca="false">"12207690"</f>
        <v>12207690</v>
      </c>
      <c r="V7971" s="51" t="s">
        <v>2365</v>
      </c>
      <c r="W7971" s="51" t="s">
        <v>12950</v>
      </c>
      <c r="X7971" s="51" t="s">
        <v>2359</v>
      </c>
    </row>
    <row r="7972" customFormat="false" ht="14.25" hidden="true" customHeight="false" outlineLevel="0" collapsed="false">
      <c r="A7972" s="49" t="s">
        <v>2349</v>
      </c>
      <c r="B7972" s="49" t="s">
        <v>2350</v>
      </c>
      <c r="C7972" s="49" t="s">
        <v>12951</v>
      </c>
      <c r="D7972" s="49" t="s">
        <v>2352</v>
      </c>
      <c r="E7972" s="49" t="str">
        <f aca="false">"12207690"</f>
        <v>12207690</v>
      </c>
      <c r="F7972" s="49" t="s">
        <v>4199</v>
      </c>
      <c r="G7972" s="49" t="n">
        <v>0</v>
      </c>
      <c r="H7972" s="0" t="n">
        <v>0</v>
      </c>
      <c r="M7972" s="51" t="s">
        <v>12925</v>
      </c>
      <c r="N7972" s="49" t="n">
        <v>0</v>
      </c>
      <c r="O7972" s="53" t="n">
        <v>46036.3804976852</v>
      </c>
      <c r="P7972" s="53" t="n">
        <v>46039.8866898148</v>
      </c>
      <c r="Q7972" s="53" t="n">
        <v>46036.3804976852</v>
      </c>
      <c r="R7972" s="0" t="n">
        <v>0</v>
      </c>
      <c r="S7972" s="51" t="s">
        <v>3780</v>
      </c>
      <c r="T7972" s="51" t="s">
        <v>3780</v>
      </c>
      <c r="U7972" s="0" t="str">
        <f aca="false">"12207690"</f>
        <v>12207690</v>
      </c>
      <c r="V7972" s="51" t="s">
        <v>2365</v>
      </c>
      <c r="W7972" s="51" t="s">
        <v>8558</v>
      </c>
      <c r="X7972" s="51" t="s">
        <v>2359</v>
      </c>
    </row>
    <row r="7973" customFormat="false" ht="14.25" hidden="true" customHeight="false" outlineLevel="0" collapsed="false">
      <c r="A7973" s="49" t="s">
        <v>2349</v>
      </c>
      <c r="B7973" s="49" t="s">
        <v>2350</v>
      </c>
      <c r="C7973" s="49" t="s">
        <v>12952</v>
      </c>
      <c r="D7973" s="49" t="s">
        <v>2352</v>
      </c>
      <c r="E7973" s="49" t="str">
        <f aca="false">"12207690"</f>
        <v>12207690</v>
      </c>
      <c r="F7973" s="49" t="s">
        <v>4199</v>
      </c>
      <c r="G7973" s="49" t="n">
        <v>0</v>
      </c>
      <c r="H7973" s="0" t="n">
        <v>0</v>
      </c>
      <c r="M7973" s="51" t="s">
        <v>12925</v>
      </c>
      <c r="N7973" s="49" t="n">
        <v>0</v>
      </c>
      <c r="O7973" s="53" t="n">
        <v>46036.3792592593</v>
      </c>
      <c r="P7973" s="53" t="n">
        <v>46039.886875</v>
      </c>
      <c r="Q7973" s="53" t="n">
        <v>46036.3792592593</v>
      </c>
      <c r="R7973" s="0" t="n">
        <v>0</v>
      </c>
      <c r="S7973" s="51" t="s">
        <v>3780</v>
      </c>
      <c r="T7973" s="51" t="s">
        <v>3780</v>
      </c>
      <c r="U7973" s="0" t="str">
        <f aca="false">"12207690"</f>
        <v>12207690</v>
      </c>
      <c r="V7973" s="51" t="s">
        <v>2365</v>
      </c>
      <c r="W7973" s="51" t="s">
        <v>12275</v>
      </c>
      <c r="X7973" s="51" t="s">
        <v>2359</v>
      </c>
    </row>
    <row r="7974" customFormat="false" ht="14.25" hidden="true" customHeight="false" outlineLevel="0" collapsed="false">
      <c r="A7974" s="49" t="s">
        <v>2349</v>
      </c>
      <c r="B7974" s="49" t="s">
        <v>2350</v>
      </c>
      <c r="C7974" s="49" t="s">
        <v>12953</v>
      </c>
      <c r="D7974" s="49" t="s">
        <v>2352</v>
      </c>
      <c r="E7974" s="49" t="str">
        <f aca="false">"12207690"</f>
        <v>12207690</v>
      </c>
      <c r="F7974" s="49" t="s">
        <v>4199</v>
      </c>
      <c r="G7974" s="49" t="n">
        <v>0</v>
      </c>
      <c r="H7974" s="0" t="n">
        <v>0</v>
      </c>
      <c r="M7974" s="51" t="s">
        <v>12925</v>
      </c>
      <c r="N7974" s="49" t="n">
        <v>0</v>
      </c>
      <c r="O7974" s="53" t="n">
        <v>46036.3783449074</v>
      </c>
      <c r="P7974" s="53" t="n">
        <v>46039.888275463</v>
      </c>
      <c r="Q7974" s="53" t="n">
        <v>46036.3783449074</v>
      </c>
      <c r="R7974" s="0" t="n">
        <v>0</v>
      </c>
      <c r="S7974" s="51" t="s">
        <v>3780</v>
      </c>
      <c r="T7974" s="51" t="s">
        <v>3780</v>
      </c>
      <c r="U7974" s="0" t="str">
        <f aca="false">"12207690"</f>
        <v>12207690</v>
      </c>
      <c r="V7974" s="51" t="s">
        <v>2365</v>
      </c>
      <c r="W7974" s="51" t="s">
        <v>12954</v>
      </c>
      <c r="X7974" s="51" t="s">
        <v>2359</v>
      </c>
    </row>
    <row r="7975" customFormat="false" ht="14.25" hidden="true" customHeight="false" outlineLevel="0" collapsed="false">
      <c r="A7975" s="49" t="s">
        <v>2349</v>
      </c>
      <c r="B7975" s="49" t="s">
        <v>2350</v>
      </c>
      <c r="C7975" s="49" t="s">
        <v>12955</v>
      </c>
      <c r="D7975" s="49" t="s">
        <v>2352</v>
      </c>
      <c r="E7975" s="49" t="str">
        <f aca="false">"12207690"</f>
        <v>12207690</v>
      </c>
      <c r="F7975" s="49" t="s">
        <v>4199</v>
      </c>
      <c r="G7975" s="49" t="n">
        <v>0</v>
      </c>
      <c r="H7975" s="0" t="n">
        <v>0</v>
      </c>
      <c r="M7975" s="51" t="s">
        <v>12925</v>
      </c>
      <c r="N7975" s="49" t="n">
        <v>0</v>
      </c>
      <c r="O7975" s="53" t="n">
        <v>46036.3772800926</v>
      </c>
      <c r="P7975" s="53" t="n">
        <v>46047.9044328704</v>
      </c>
      <c r="Q7975" s="53" t="n">
        <v>46036.3772800926</v>
      </c>
      <c r="R7975" s="0" t="n">
        <v>0</v>
      </c>
      <c r="S7975" s="51" t="s">
        <v>3780</v>
      </c>
      <c r="T7975" s="51" t="s">
        <v>3780</v>
      </c>
      <c r="U7975" s="0" t="str">
        <f aca="false">"12207690"</f>
        <v>12207690</v>
      </c>
      <c r="V7975" s="51" t="s">
        <v>2365</v>
      </c>
      <c r="W7975" s="51" t="s">
        <v>10563</v>
      </c>
      <c r="X7975" s="51" t="s">
        <v>2359</v>
      </c>
    </row>
    <row r="7976" customFormat="false" ht="14.25" hidden="true" customHeight="false" outlineLevel="0" collapsed="false">
      <c r="A7976" s="49" t="s">
        <v>2349</v>
      </c>
      <c r="B7976" s="49" t="s">
        <v>2350</v>
      </c>
      <c r="C7976" s="49" t="s">
        <v>12956</v>
      </c>
      <c r="D7976" s="49" t="s">
        <v>2352</v>
      </c>
      <c r="E7976" s="49" t="str">
        <f aca="false">"12207690"</f>
        <v>12207690</v>
      </c>
      <c r="F7976" s="49" t="s">
        <v>4199</v>
      </c>
      <c r="G7976" s="49" t="n">
        <v>0</v>
      </c>
      <c r="H7976" s="0" t="n">
        <v>0</v>
      </c>
      <c r="M7976" s="51" t="s">
        <v>12925</v>
      </c>
      <c r="N7976" s="49" t="n">
        <v>0</v>
      </c>
      <c r="O7976" s="53" t="n">
        <v>46036.3758217593</v>
      </c>
      <c r="P7976" s="53" t="n">
        <v>46039.8878935185</v>
      </c>
      <c r="Q7976" s="53" t="n">
        <v>46036.3758217593</v>
      </c>
      <c r="R7976" s="0" t="n">
        <v>0</v>
      </c>
      <c r="S7976" s="51" t="s">
        <v>3780</v>
      </c>
      <c r="T7976" s="51" t="s">
        <v>3780</v>
      </c>
      <c r="U7976" s="0" t="str">
        <f aca="false">"12207690"</f>
        <v>12207690</v>
      </c>
      <c r="V7976" s="51" t="s">
        <v>2365</v>
      </c>
      <c r="W7976" s="51" t="s">
        <v>12957</v>
      </c>
      <c r="X7976" s="51" t="s">
        <v>2359</v>
      </c>
    </row>
    <row r="7977" customFormat="false" ht="14.25" hidden="true" customHeight="false" outlineLevel="0" collapsed="false">
      <c r="A7977" s="49" t="s">
        <v>2349</v>
      </c>
      <c r="B7977" s="49" t="s">
        <v>2350</v>
      </c>
      <c r="C7977" s="49" t="s">
        <v>12958</v>
      </c>
      <c r="D7977" s="49" t="s">
        <v>2352</v>
      </c>
      <c r="E7977" s="49" t="str">
        <f aca="false">"12207690"</f>
        <v>12207690</v>
      </c>
      <c r="F7977" s="49" t="s">
        <v>4199</v>
      </c>
      <c r="G7977" s="49" t="n">
        <v>0</v>
      </c>
      <c r="H7977" s="0" t="n">
        <v>0</v>
      </c>
      <c r="M7977" s="51" t="s">
        <v>12925</v>
      </c>
      <c r="N7977" s="49" t="n">
        <v>0</v>
      </c>
      <c r="O7977" s="53" t="n">
        <v>46036.3743055556</v>
      </c>
      <c r="P7977" s="53" t="n">
        <v>46039.8876273148</v>
      </c>
      <c r="Q7977" s="53" t="n">
        <v>46036.3743055556</v>
      </c>
      <c r="R7977" s="0" t="n">
        <v>0</v>
      </c>
      <c r="S7977" s="51" t="s">
        <v>3780</v>
      </c>
      <c r="T7977" s="51" t="s">
        <v>3780</v>
      </c>
      <c r="U7977" s="0" t="str">
        <f aca="false">"12207690"</f>
        <v>12207690</v>
      </c>
      <c r="V7977" s="51" t="s">
        <v>2365</v>
      </c>
      <c r="W7977" s="51" t="s">
        <v>4437</v>
      </c>
      <c r="X7977" s="51" t="s">
        <v>2359</v>
      </c>
    </row>
    <row r="7978" customFormat="false" ht="14.25" hidden="true" customHeight="false" outlineLevel="0" collapsed="false">
      <c r="A7978" s="49" t="s">
        <v>2349</v>
      </c>
      <c r="B7978" s="49" t="s">
        <v>2350</v>
      </c>
      <c r="C7978" s="49" t="s">
        <v>12959</v>
      </c>
      <c r="D7978" s="49" t="s">
        <v>2352</v>
      </c>
      <c r="E7978" s="49" t="str">
        <f aca="false">"12207690"</f>
        <v>12207690</v>
      </c>
      <c r="F7978" s="49" t="s">
        <v>4199</v>
      </c>
      <c r="G7978" s="49" t="n">
        <v>0</v>
      </c>
      <c r="H7978" s="0" t="n">
        <v>0</v>
      </c>
      <c r="M7978" s="51" t="s">
        <v>12925</v>
      </c>
      <c r="N7978" s="49" t="n">
        <v>0</v>
      </c>
      <c r="O7978" s="53" t="n">
        <v>46036.3734606481</v>
      </c>
      <c r="P7978" s="53" t="n">
        <v>46039.8875115741</v>
      </c>
      <c r="Q7978" s="53" t="n">
        <v>46036.3734606481</v>
      </c>
      <c r="R7978" s="0" t="n">
        <v>0</v>
      </c>
      <c r="S7978" s="51" t="s">
        <v>3780</v>
      </c>
      <c r="T7978" s="51" t="s">
        <v>3780</v>
      </c>
      <c r="U7978" s="0" t="str">
        <f aca="false">"12207690"</f>
        <v>12207690</v>
      </c>
      <c r="V7978" s="51" t="s">
        <v>2365</v>
      </c>
      <c r="W7978" s="51" t="s">
        <v>12415</v>
      </c>
      <c r="X7978" s="51" t="s">
        <v>2359</v>
      </c>
    </row>
    <row r="7979" customFormat="false" ht="14.25" hidden="true" customHeight="false" outlineLevel="0" collapsed="false">
      <c r="A7979" s="49" t="s">
        <v>2349</v>
      </c>
      <c r="B7979" s="49" t="s">
        <v>2350</v>
      </c>
      <c r="C7979" s="49" t="s">
        <v>12960</v>
      </c>
      <c r="D7979" s="49" t="s">
        <v>2352</v>
      </c>
      <c r="E7979" s="49" t="str">
        <f aca="false">"12207690"</f>
        <v>12207690</v>
      </c>
      <c r="F7979" s="49" t="s">
        <v>4199</v>
      </c>
      <c r="G7979" s="49" t="n">
        <v>0</v>
      </c>
      <c r="H7979" s="0" t="n">
        <v>0</v>
      </c>
      <c r="M7979" s="51" t="s">
        <v>12925</v>
      </c>
      <c r="N7979" s="49" t="n">
        <v>0</v>
      </c>
      <c r="O7979" s="53" t="n">
        <v>46036.3729398148</v>
      </c>
      <c r="P7979" s="53" t="n">
        <v>46039.887349537</v>
      </c>
      <c r="Q7979" s="53" t="n">
        <v>46036.3729398148</v>
      </c>
      <c r="R7979" s="0" t="n">
        <v>0</v>
      </c>
      <c r="S7979" s="51" t="s">
        <v>3780</v>
      </c>
      <c r="T7979" s="51" t="s">
        <v>3780</v>
      </c>
      <c r="U7979" s="0" t="str">
        <f aca="false">"12207690"</f>
        <v>12207690</v>
      </c>
      <c r="V7979" s="51" t="s">
        <v>2365</v>
      </c>
      <c r="W7979" s="51" t="s">
        <v>4462</v>
      </c>
      <c r="X7979" s="51" t="s">
        <v>2359</v>
      </c>
    </row>
    <row r="7980" customFormat="false" ht="14.25" hidden="true" customHeight="false" outlineLevel="0" collapsed="false">
      <c r="A7980" s="49" t="s">
        <v>2349</v>
      </c>
      <c r="B7980" s="49" t="s">
        <v>2350</v>
      </c>
      <c r="C7980" s="49" t="s">
        <v>12961</v>
      </c>
      <c r="D7980" s="49" t="s">
        <v>2352</v>
      </c>
      <c r="E7980" s="49" t="str">
        <f aca="false">"12207690"</f>
        <v>12207690</v>
      </c>
      <c r="F7980" s="49" t="s">
        <v>4199</v>
      </c>
      <c r="G7980" s="49" t="n">
        <v>0</v>
      </c>
      <c r="H7980" s="0" t="n">
        <v>0</v>
      </c>
      <c r="M7980" s="51" t="s">
        <v>12925</v>
      </c>
      <c r="N7980" s="49" t="n">
        <v>0</v>
      </c>
      <c r="O7980" s="53" t="n">
        <v>46036.3723032407</v>
      </c>
      <c r="P7980" s="53" t="n">
        <v>46039.8871990741</v>
      </c>
      <c r="Q7980" s="53" t="n">
        <v>46036.3723032407</v>
      </c>
      <c r="R7980" s="0" t="n">
        <v>0</v>
      </c>
      <c r="S7980" s="51" t="s">
        <v>3780</v>
      </c>
      <c r="T7980" s="51" t="s">
        <v>3780</v>
      </c>
      <c r="U7980" s="0" t="str">
        <f aca="false">"12207690"</f>
        <v>12207690</v>
      </c>
      <c r="V7980" s="51" t="s">
        <v>2365</v>
      </c>
      <c r="W7980" s="51" t="s">
        <v>4247</v>
      </c>
      <c r="X7980" s="51" t="s">
        <v>2359</v>
      </c>
    </row>
    <row r="7981" customFormat="false" ht="14.25" hidden="true" customHeight="false" outlineLevel="0" collapsed="false">
      <c r="A7981" s="49" t="s">
        <v>2349</v>
      </c>
      <c r="B7981" s="49" t="s">
        <v>2350</v>
      </c>
      <c r="C7981" s="49" t="s">
        <v>12962</v>
      </c>
      <c r="D7981" s="49" t="s">
        <v>2352</v>
      </c>
      <c r="E7981" s="49" t="str">
        <f aca="false">"12428864"</f>
        <v>12428864</v>
      </c>
      <c r="F7981" s="49" t="s">
        <v>4251</v>
      </c>
      <c r="G7981" s="49" t="n">
        <v>0</v>
      </c>
      <c r="H7981" s="0" t="n">
        <v>0</v>
      </c>
      <c r="M7981" s="51" t="s">
        <v>12925</v>
      </c>
      <c r="N7981" s="49" t="n">
        <v>0</v>
      </c>
      <c r="O7981" s="53" t="n">
        <v>46036.3605092593</v>
      </c>
      <c r="P7981" s="53" t="n">
        <v>46049.0146527778</v>
      </c>
      <c r="Q7981" s="53" t="n">
        <v>46036.3605092593</v>
      </c>
      <c r="R7981" s="0" t="n">
        <v>0</v>
      </c>
      <c r="S7981" s="51" t="s">
        <v>3780</v>
      </c>
      <c r="T7981" s="51" t="s">
        <v>3780</v>
      </c>
      <c r="U7981" s="0" t="str">
        <f aca="false">"12428864"</f>
        <v>12428864</v>
      </c>
      <c r="V7981" s="51" t="s">
        <v>2365</v>
      </c>
      <c r="W7981" s="51" t="s">
        <v>12963</v>
      </c>
      <c r="X7981" s="51" t="s">
        <v>2359</v>
      </c>
    </row>
    <row r="7982" customFormat="false" ht="14.25" hidden="true" customHeight="false" outlineLevel="0" collapsed="false">
      <c r="A7982" s="49" t="s">
        <v>2349</v>
      </c>
      <c r="B7982" s="49" t="s">
        <v>2350</v>
      </c>
      <c r="C7982" s="49" t="s">
        <v>12964</v>
      </c>
      <c r="D7982" s="49" t="s">
        <v>2352</v>
      </c>
      <c r="E7982" s="49" t="str">
        <f aca="false">"12428864"</f>
        <v>12428864</v>
      </c>
      <c r="F7982" s="49" t="s">
        <v>4251</v>
      </c>
      <c r="G7982" s="49" t="n">
        <v>0</v>
      </c>
      <c r="H7982" s="0" t="n">
        <v>0</v>
      </c>
      <c r="M7982" s="51" t="s">
        <v>12925</v>
      </c>
      <c r="N7982" s="49" t="n">
        <v>0</v>
      </c>
      <c r="O7982" s="53" t="n">
        <v>46036.3596759259</v>
      </c>
      <c r="P7982" s="53" t="n">
        <v>46041.920474537</v>
      </c>
      <c r="Q7982" s="53" t="n">
        <v>46036.3596759259</v>
      </c>
      <c r="R7982" s="0" t="n">
        <v>0</v>
      </c>
      <c r="S7982" s="51" t="s">
        <v>3780</v>
      </c>
      <c r="T7982" s="51" t="s">
        <v>3780</v>
      </c>
      <c r="U7982" s="0" t="str">
        <f aca="false">"12428864"</f>
        <v>12428864</v>
      </c>
      <c r="V7982" s="51" t="s">
        <v>2365</v>
      </c>
      <c r="W7982" s="51" t="s">
        <v>10082</v>
      </c>
      <c r="X7982" s="51" t="s">
        <v>2359</v>
      </c>
    </row>
    <row r="7983" customFormat="false" ht="14.25" hidden="true" customHeight="false" outlineLevel="0" collapsed="false">
      <c r="A7983" s="49" t="s">
        <v>2349</v>
      </c>
      <c r="B7983" s="49" t="s">
        <v>2350</v>
      </c>
      <c r="C7983" s="49" t="s">
        <v>12965</v>
      </c>
      <c r="D7983" s="49" t="s">
        <v>2352</v>
      </c>
      <c r="E7983" s="49" t="str">
        <f aca="false">"12428864"</f>
        <v>12428864</v>
      </c>
      <c r="F7983" s="49" t="s">
        <v>4251</v>
      </c>
      <c r="G7983" s="49" t="n">
        <v>0</v>
      </c>
      <c r="H7983" s="0" t="n">
        <v>0</v>
      </c>
      <c r="M7983" s="51" t="s">
        <v>12925</v>
      </c>
      <c r="N7983" s="49" t="n">
        <v>0</v>
      </c>
      <c r="O7983" s="53" t="n">
        <v>46036.3583101852</v>
      </c>
      <c r="P7983" s="53" t="n">
        <v>46041.9201388889</v>
      </c>
      <c r="Q7983" s="53" t="n">
        <v>46036.3583101852</v>
      </c>
      <c r="R7983" s="0" t="n">
        <v>0</v>
      </c>
      <c r="S7983" s="51" t="s">
        <v>3780</v>
      </c>
      <c r="T7983" s="51" t="s">
        <v>3780</v>
      </c>
      <c r="U7983" s="0" t="str">
        <f aca="false">"12428864"</f>
        <v>12428864</v>
      </c>
      <c r="V7983" s="51" t="s">
        <v>2365</v>
      </c>
      <c r="W7983" s="51" t="s">
        <v>9904</v>
      </c>
      <c r="X7983" s="51" t="s">
        <v>2359</v>
      </c>
    </row>
    <row r="7984" customFormat="false" ht="14.25" hidden="true" customHeight="false" outlineLevel="0" collapsed="false">
      <c r="A7984" s="49" t="s">
        <v>2349</v>
      </c>
      <c r="B7984" s="49" t="s">
        <v>2350</v>
      </c>
      <c r="C7984" s="49" t="s">
        <v>12966</v>
      </c>
      <c r="D7984" s="49" t="s">
        <v>2352</v>
      </c>
      <c r="E7984" s="49" t="str">
        <f aca="false">"12428864"</f>
        <v>12428864</v>
      </c>
      <c r="F7984" s="49" t="s">
        <v>4251</v>
      </c>
      <c r="G7984" s="49" t="n">
        <v>0</v>
      </c>
      <c r="H7984" s="0" t="n">
        <v>0</v>
      </c>
      <c r="M7984" s="51" t="s">
        <v>12925</v>
      </c>
      <c r="N7984" s="49" t="n">
        <v>0</v>
      </c>
      <c r="O7984" s="53" t="n">
        <v>46036.3574884259</v>
      </c>
      <c r="P7984" s="53" t="n">
        <v>46051.3593981481</v>
      </c>
      <c r="Q7984" s="53" t="n">
        <v>46036.3574884259</v>
      </c>
      <c r="R7984" s="0" t="n">
        <v>0</v>
      </c>
      <c r="S7984" s="51" t="s">
        <v>3780</v>
      </c>
      <c r="T7984" s="51" t="s">
        <v>3780</v>
      </c>
      <c r="U7984" s="0" t="str">
        <f aca="false">"12428864"</f>
        <v>12428864</v>
      </c>
      <c r="V7984" s="51" t="s">
        <v>2365</v>
      </c>
      <c r="W7984" s="51" t="s">
        <v>12967</v>
      </c>
      <c r="X7984" s="51" t="s">
        <v>2359</v>
      </c>
    </row>
    <row r="7985" customFormat="false" ht="14.25" hidden="true" customHeight="false" outlineLevel="0" collapsed="false">
      <c r="A7985" s="49" t="s">
        <v>2349</v>
      </c>
      <c r="B7985" s="49" t="s">
        <v>2350</v>
      </c>
      <c r="C7985" s="49" t="s">
        <v>12968</v>
      </c>
      <c r="D7985" s="49" t="s">
        <v>2352</v>
      </c>
      <c r="E7985" s="49" t="str">
        <f aca="false">"12428864"</f>
        <v>12428864</v>
      </c>
      <c r="F7985" s="49" t="s">
        <v>4251</v>
      </c>
      <c r="G7985" s="49" t="n">
        <v>0</v>
      </c>
      <c r="H7985" s="0" t="n">
        <v>0</v>
      </c>
      <c r="M7985" s="51" t="s">
        <v>12925</v>
      </c>
      <c r="N7985" s="49" t="n">
        <v>0</v>
      </c>
      <c r="O7985" s="53" t="n">
        <v>46036.356412037</v>
      </c>
      <c r="P7985" s="53" t="n">
        <v>46041.9178819444</v>
      </c>
      <c r="Q7985" s="53" t="n">
        <v>46036.356412037</v>
      </c>
      <c r="R7985" s="0" t="n">
        <v>0</v>
      </c>
      <c r="S7985" s="51" t="s">
        <v>3780</v>
      </c>
      <c r="T7985" s="51" t="s">
        <v>3780</v>
      </c>
      <c r="U7985" s="0" t="str">
        <f aca="false">"12428864"</f>
        <v>12428864</v>
      </c>
      <c r="V7985" s="51" t="s">
        <v>2365</v>
      </c>
      <c r="W7985" s="51" t="s">
        <v>10568</v>
      </c>
      <c r="X7985" s="51" t="s">
        <v>2359</v>
      </c>
    </row>
    <row r="7986" customFormat="false" ht="14.25" hidden="true" customHeight="false" outlineLevel="0" collapsed="false">
      <c r="A7986" s="49" t="s">
        <v>2349</v>
      </c>
      <c r="B7986" s="49" t="s">
        <v>2350</v>
      </c>
      <c r="C7986" s="49" t="s">
        <v>12969</v>
      </c>
      <c r="D7986" s="49" t="s">
        <v>2352</v>
      </c>
      <c r="E7986" s="49" t="str">
        <f aca="false">"12428864"</f>
        <v>12428864</v>
      </c>
      <c r="F7986" s="49" t="s">
        <v>4251</v>
      </c>
      <c r="G7986" s="49" t="n">
        <v>0</v>
      </c>
      <c r="H7986" s="0" t="n">
        <v>0</v>
      </c>
      <c r="M7986" s="51" t="s">
        <v>12925</v>
      </c>
      <c r="N7986" s="49" t="n">
        <v>0</v>
      </c>
      <c r="O7986" s="53" t="n">
        <v>46036.3548958333</v>
      </c>
      <c r="P7986" s="53" t="n">
        <v>46039.3349074074</v>
      </c>
      <c r="Q7986" s="53" t="n">
        <v>46036.3548958333</v>
      </c>
      <c r="R7986" s="0" t="n">
        <v>0</v>
      </c>
      <c r="S7986" s="51" t="s">
        <v>3780</v>
      </c>
      <c r="T7986" s="51" t="s">
        <v>3780</v>
      </c>
      <c r="U7986" s="0" t="str">
        <f aca="false">"12428864"</f>
        <v>12428864</v>
      </c>
      <c r="V7986" s="51" t="s">
        <v>2365</v>
      </c>
      <c r="W7986" s="51" t="s">
        <v>10097</v>
      </c>
      <c r="X7986" s="51" t="s">
        <v>2359</v>
      </c>
    </row>
    <row r="7987" customFormat="false" ht="14.25" hidden="true" customHeight="false" outlineLevel="0" collapsed="false">
      <c r="A7987" s="49" t="s">
        <v>2349</v>
      </c>
      <c r="B7987" s="49" t="s">
        <v>2350</v>
      </c>
      <c r="C7987" s="49" t="s">
        <v>12970</v>
      </c>
      <c r="D7987" s="49" t="s">
        <v>2352</v>
      </c>
      <c r="E7987" s="49" t="str">
        <f aca="false">"12428864"</f>
        <v>12428864</v>
      </c>
      <c r="F7987" s="49" t="s">
        <v>4251</v>
      </c>
      <c r="G7987" s="49" t="n">
        <v>0</v>
      </c>
      <c r="H7987" s="0" t="n">
        <v>0</v>
      </c>
      <c r="M7987" s="51" t="s">
        <v>12925</v>
      </c>
      <c r="N7987" s="49" t="n">
        <v>0</v>
      </c>
      <c r="O7987" s="53" t="n">
        <v>46036.352037037</v>
      </c>
      <c r="P7987" s="53" t="n">
        <v>46055.9604166667</v>
      </c>
      <c r="Q7987" s="53" t="n">
        <v>46036.352037037</v>
      </c>
      <c r="R7987" s="0" t="n">
        <v>0</v>
      </c>
      <c r="S7987" s="51" t="s">
        <v>3780</v>
      </c>
      <c r="T7987" s="51" t="s">
        <v>3780</v>
      </c>
      <c r="U7987" s="0" t="str">
        <f aca="false">"12428864"</f>
        <v>12428864</v>
      </c>
      <c r="V7987" s="51" t="s">
        <v>2365</v>
      </c>
      <c r="W7987" s="51" t="s">
        <v>11276</v>
      </c>
      <c r="X7987" s="51" t="s">
        <v>2359</v>
      </c>
    </row>
    <row r="7988" customFormat="false" ht="14.25" hidden="true" customHeight="false" outlineLevel="0" collapsed="false">
      <c r="A7988" s="49" t="s">
        <v>2349</v>
      </c>
      <c r="B7988" s="49" t="s">
        <v>2350</v>
      </c>
      <c r="C7988" s="49" t="s">
        <v>12971</v>
      </c>
      <c r="D7988" s="49" t="s">
        <v>2352</v>
      </c>
      <c r="E7988" s="49" t="str">
        <f aca="false">"12520140"</f>
        <v>12520140</v>
      </c>
      <c r="F7988" s="49" t="s">
        <v>12972</v>
      </c>
      <c r="G7988" s="49" t="n">
        <v>0</v>
      </c>
      <c r="H7988" s="0" t="n">
        <v>0</v>
      </c>
      <c r="M7988" s="51" t="s">
        <v>12925</v>
      </c>
      <c r="N7988" s="49" t="n">
        <v>0</v>
      </c>
      <c r="O7988" s="53" t="n">
        <v>46035.4892013889</v>
      </c>
      <c r="P7988" s="53" t="n">
        <v>46037.397025463</v>
      </c>
      <c r="Q7988" s="53" t="n">
        <v>46035.4892013889</v>
      </c>
      <c r="R7988" s="0" t="n">
        <v>0</v>
      </c>
      <c r="S7988" s="51" t="s">
        <v>3780</v>
      </c>
      <c r="T7988" s="51" t="s">
        <v>3780</v>
      </c>
      <c r="U7988" s="0" t="str">
        <f aca="false">"12520140"</f>
        <v>12520140</v>
      </c>
      <c r="V7988" s="51" t="s">
        <v>2365</v>
      </c>
      <c r="W7988" s="51" t="s">
        <v>10816</v>
      </c>
      <c r="X7988" s="51" t="s">
        <v>2359</v>
      </c>
    </row>
    <row r="7989" customFormat="false" ht="14.25" hidden="true" customHeight="false" outlineLevel="0" collapsed="false">
      <c r="A7989" s="49" t="s">
        <v>2349</v>
      </c>
      <c r="B7989" s="49" t="s">
        <v>2350</v>
      </c>
      <c r="C7989" s="49" t="s">
        <v>12973</v>
      </c>
      <c r="D7989" s="49" t="s">
        <v>2352</v>
      </c>
      <c r="E7989" s="49" t="str">
        <f aca="false">"12520140"</f>
        <v>12520140</v>
      </c>
      <c r="F7989" s="49" t="s">
        <v>12972</v>
      </c>
      <c r="G7989" s="49" t="n">
        <v>0</v>
      </c>
      <c r="H7989" s="0" t="n">
        <v>0</v>
      </c>
      <c r="M7989" s="51" t="s">
        <v>12925</v>
      </c>
      <c r="N7989" s="49" t="n">
        <v>0</v>
      </c>
      <c r="O7989" s="53" t="n">
        <v>46035.4872569444</v>
      </c>
      <c r="P7989" s="53" t="n">
        <v>46037.403912037</v>
      </c>
      <c r="Q7989" s="53" t="n">
        <v>46035.4872569444</v>
      </c>
      <c r="R7989" s="0" t="n">
        <v>0</v>
      </c>
      <c r="S7989" s="51" t="s">
        <v>3780</v>
      </c>
      <c r="T7989" s="51" t="s">
        <v>3780</v>
      </c>
      <c r="U7989" s="0" t="str">
        <f aca="false">"12520140"</f>
        <v>12520140</v>
      </c>
      <c r="V7989" s="51" t="s">
        <v>2365</v>
      </c>
      <c r="W7989" s="51" t="s">
        <v>12300</v>
      </c>
      <c r="X7989" s="51" t="s">
        <v>2359</v>
      </c>
    </row>
    <row r="7990" customFormat="false" ht="14.25" hidden="true" customHeight="false" outlineLevel="0" collapsed="false">
      <c r="A7990" s="49" t="s">
        <v>2349</v>
      </c>
      <c r="B7990" s="49" t="s">
        <v>2350</v>
      </c>
      <c r="C7990" s="49" t="s">
        <v>12974</v>
      </c>
      <c r="D7990" s="49" t="s">
        <v>2352</v>
      </c>
      <c r="E7990" s="49" t="str">
        <f aca="false">"12520140"</f>
        <v>12520140</v>
      </c>
      <c r="F7990" s="49" t="s">
        <v>12972</v>
      </c>
      <c r="G7990" s="49" t="n">
        <v>0</v>
      </c>
      <c r="H7990" s="0" t="n">
        <v>0</v>
      </c>
      <c r="M7990" s="51" t="s">
        <v>12925</v>
      </c>
      <c r="N7990" s="49" t="n">
        <v>0</v>
      </c>
      <c r="O7990" s="53" t="n">
        <v>46035.4838773148</v>
      </c>
      <c r="P7990" s="53" t="n">
        <v>46037.4000578704</v>
      </c>
      <c r="Q7990" s="53" t="n">
        <v>46035.4838773148</v>
      </c>
      <c r="R7990" s="0" t="n">
        <v>0</v>
      </c>
      <c r="S7990" s="51" t="s">
        <v>3780</v>
      </c>
      <c r="T7990" s="51" t="s">
        <v>3780</v>
      </c>
      <c r="U7990" s="0" t="str">
        <f aca="false">"12520140"</f>
        <v>12520140</v>
      </c>
      <c r="V7990" s="51" t="s">
        <v>2365</v>
      </c>
      <c r="W7990" s="51" t="s">
        <v>2395</v>
      </c>
      <c r="X7990" s="51" t="s">
        <v>2359</v>
      </c>
    </row>
    <row r="7991" customFormat="false" ht="14.25" hidden="true" customHeight="false" outlineLevel="0" collapsed="false">
      <c r="A7991" s="49" t="s">
        <v>2349</v>
      </c>
      <c r="B7991" s="49" t="s">
        <v>2350</v>
      </c>
      <c r="C7991" s="49" t="s">
        <v>12975</v>
      </c>
      <c r="D7991" s="49" t="s">
        <v>2352</v>
      </c>
      <c r="E7991" s="49" t="s">
        <v>4140</v>
      </c>
      <c r="F7991" s="49" t="s">
        <v>4141</v>
      </c>
      <c r="G7991" s="49" t="n">
        <v>0</v>
      </c>
      <c r="H7991" s="0" t="n">
        <v>0</v>
      </c>
      <c r="M7991" s="51" t="s">
        <v>12976</v>
      </c>
      <c r="N7991" s="49" t="n">
        <v>0</v>
      </c>
      <c r="O7991" s="53" t="n">
        <v>46020.6450578704</v>
      </c>
      <c r="P7991" s="53" t="n">
        <v>46025.6425578704</v>
      </c>
      <c r="Q7991" s="53" t="n">
        <v>46020.6450578704</v>
      </c>
      <c r="R7991" s="0" t="n">
        <v>0</v>
      </c>
      <c r="S7991" s="51" t="s">
        <v>2356</v>
      </c>
      <c r="T7991" s="51" t="s">
        <v>2356</v>
      </c>
      <c r="U7991" s="51" t="s">
        <v>4140</v>
      </c>
      <c r="V7991" s="51" t="s">
        <v>3740</v>
      </c>
      <c r="W7991" s="51" t="s">
        <v>6881</v>
      </c>
      <c r="X7991" s="51" t="s">
        <v>2359</v>
      </c>
    </row>
    <row r="7992" customFormat="false" ht="14.25" hidden="true" customHeight="false" outlineLevel="0" collapsed="false">
      <c r="A7992" s="49" t="s">
        <v>2349</v>
      </c>
      <c r="B7992" s="49" t="s">
        <v>2350</v>
      </c>
      <c r="C7992" s="49" t="s">
        <v>12977</v>
      </c>
      <c r="D7992" s="49" t="s">
        <v>2352</v>
      </c>
      <c r="E7992" s="49" t="s">
        <v>4115</v>
      </c>
      <c r="F7992" s="49" t="s">
        <v>4116</v>
      </c>
      <c r="G7992" s="49" t="n">
        <v>0</v>
      </c>
      <c r="H7992" s="0" t="n">
        <v>0</v>
      </c>
      <c r="M7992" s="51" t="s">
        <v>12976</v>
      </c>
      <c r="N7992" s="49" t="n">
        <v>0</v>
      </c>
      <c r="O7992" s="53" t="n">
        <v>46020.6446643519</v>
      </c>
      <c r="P7992" s="53" t="n">
        <v>46025.6426736111</v>
      </c>
      <c r="Q7992" s="53" t="n">
        <v>46020.6446643519</v>
      </c>
      <c r="R7992" s="0" t="n">
        <v>0</v>
      </c>
      <c r="S7992" s="51" t="s">
        <v>2356</v>
      </c>
      <c r="T7992" s="51" t="s">
        <v>2356</v>
      </c>
      <c r="U7992" s="51" t="s">
        <v>4115</v>
      </c>
      <c r="V7992" s="51" t="s">
        <v>2365</v>
      </c>
      <c r="W7992" s="51" t="s">
        <v>4120</v>
      </c>
      <c r="X7992" s="51" t="s">
        <v>2359</v>
      </c>
    </row>
    <row r="7993" customFormat="false" ht="14.25" hidden="true" customHeight="false" outlineLevel="0" collapsed="false">
      <c r="A7993" s="49" t="s">
        <v>2349</v>
      </c>
      <c r="B7993" s="49" t="s">
        <v>2350</v>
      </c>
      <c r="C7993" s="49" t="s">
        <v>12978</v>
      </c>
      <c r="D7993" s="49" t="s">
        <v>2352</v>
      </c>
      <c r="E7993" s="49" t="s">
        <v>4115</v>
      </c>
      <c r="F7993" s="49" t="s">
        <v>4116</v>
      </c>
      <c r="G7993" s="49" t="n">
        <v>0</v>
      </c>
      <c r="H7993" s="0" t="n">
        <v>0</v>
      </c>
      <c r="M7993" s="51" t="s">
        <v>12976</v>
      </c>
      <c r="N7993" s="49" t="n">
        <v>0</v>
      </c>
      <c r="O7993" s="53" t="n">
        <v>46020.644375</v>
      </c>
      <c r="P7993" s="53" t="n">
        <v>46025.5825810185</v>
      </c>
      <c r="Q7993" s="53" t="n">
        <v>46020.644375</v>
      </c>
      <c r="R7993" s="0" t="n">
        <v>0</v>
      </c>
      <c r="S7993" s="51" t="s">
        <v>2356</v>
      </c>
      <c r="T7993" s="51" t="s">
        <v>2356</v>
      </c>
      <c r="U7993" s="51" t="s">
        <v>4115</v>
      </c>
      <c r="V7993" s="51" t="s">
        <v>2365</v>
      </c>
      <c r="W7993" s="51" t="s">
        <v>4480</v>
      </c>
      <c r="X7993" s="51" t="s">
        <v>2359</v>
      </c>
    </row>
    <row r="7994" customFormat="false" ht="14.25" hidden="true" customHeight="false" outlineLevel="0" collapsed="false">
      <c r="A7994" s="49" t="s">
        <v>2349</v>
      </c>
      <c r="B7994" s="49" t="s">
        <v>2350</v>
      </c>
      <c r="C7994" s="49" t="s">
        <v>12979</v>
      </c>
      <c r="D7994" s="49" t="s">
        <v>2352</v>
      </c>
      <c r="E7994" s="49" t="str">
        <f aca="false">"71505021166"</f>
        <v>71505021166</v>
      </c>
      <c r="F7994" s="49" t="s">
        <v>7985</v>
      </c>
      <c r="G7994" s="49" t="n">
        <v>0</v>
      </c>
      <c r="H7994" s="0" t="n">
        <v>0</v>
      </c>
      <c r="M7994" s="51" t="s">
        <v>12980</v>
      </c>
      <c r="N7994" s="49" t="n">
        <v>0</v>
      </c>
      <c r="O7994" s="53" t="n">
        <v>46016.343587963</v>
      </c>
      <c r="P7994" s="53" t="n">
        <v>46020.4260763889</v>
      </c>
      <c r="Q7994" s="53" t="n">
        <v>46016.343587963</v>
      </c>
      <c r="R7994" s="0" t="n">
        <v>0</v>
      </c>
      <c r="S7994" s="51" t="s">
        <v>2356</v>
      </c>
      <c r="T7994" s="51" t="s">
        <v>2356</v>
      </c>
      <c r="U7994" s="0" t="str">
        <f aca="false">"71505021166"</f>
        <v>71505021166</v>
      </c>
      <c r="V7994" s="51" t="s">
        <v>5386</v>
      </c>
      <c r="W7994" s="51" t="s">
        <v>12981</v>
      </c>
      <c r="X7994" s="51" t="s">
        <v>2359</v>
      </c>
    </row>
    <row r="7995" customFormat="false" ht="14.25" hidden="true" customHeight="false" outlineLevel="0" collapsed="false">
      <c r="A7995" s="49" t="s">
        <v>2349</v>
      </c>
      <c r="B7995" s="49" t="s">
        <v>2350</v>
      </c>
      <c r="C7995" s="49" t="s">
        <v>12982</v>
      </c>
      <c r="D7995" s="49" t="s">
        <v>2352</v>
      </c>
      <c r="E7995" s="49" t="str">
        <f aca="false">"71505021166"</f>
        <v>71505021166</v>
      </c>
      <c r="F7995" s="49" t="s">
        <v>7985</v>
      </c>
      <c r="G7995" s="49" t="n">
        <v>0</v>
      </c>
      <c r="H7995" s="0" t="n">
        <v>0</v>
      </c>
      <c r="M7995" s="51" t="s">
        <v>12980</v>
      </c>
      <c r="N7995" s="49" t="n">
        <v>0</v>
      </c>
      <c r="O7995" s="53" t="n">
        <v>46016.3440277778</v>
      </c>
      <c r="P7995" s="53" t="n">
        <v>46020.4262615741</v>
      </c>
      <c r="Q7995" s="53" t="n">
        <v>46016.3440277778</v>
      </c>
      <c r="R7995" s="0" t="n">
        <v>0</v>
      </c>
      <c r="S7995" s="51" t="s">
        <v>2356</v>
      </c>
      <c r="T7995" s="51" t="s">
        <v>2356</v>
      </c>
      <c r="U7995" s="0" t="str">
        <f aca="false">"71505021166"</f>
        <v>71505021166</v>
      </c>
      <c r="V7995" s="51" t="s">
        <v>5386</v>
      </c>
      <c r="W7995" s="51" t="s">
        <v>12981</v>
      </c>
      <c r="X7995" s="51" t="s">
        <v>2359</v>
      </c>
    </row>
    <row r="7996" customFormat="false" ht="14.25" hidden="true" customHeight="false" outlineLevel="0" collapsed="false">
      <c r="A7996" s="49" t="s">
        <v>2349</v>
      </c>
      <c r="B7996" s="49" t="s">
        <v>2350</v>
      </c>
      <c r="C7996" s="49" t="s">
        <v>12983</v>
      </c>
      <c r="D7996" s="49" t="s">
        <v>2352</v>
      </c>
      <c r="E7996" s="49" t="str">
        <f aca="false">"71505021166"</f>
        <v>71505021166</v>
      </c>
      <c r="F7996" s="49" t="s">
        <v>7985</v>
      </c>
      <c r="G7996" s="49" t="n">
        <v>0</v>
      </c>
      <c r="H7996" s="0" t="n">
        <v>0</v>
      </c>
      <c r="M7996" s="51" t="s">
        <v>12980</v>
      </c>
      <c r="N7996" s="49" t="n">
        <v>0</v>
      </c>
      <c r="O7996" s="53" t="n">
        <v>46016.3451041667</v>
      </c>
      <c r="P7996" s="53" t="n">
        <v>46020.4732638889</v>
      </c>
      <c r="Q7996" s="53" t="n">
        <v>46016.3451041667</v>
      </c>
      <c r="R7996" s="0" t="n">
        <v>0</v>
      </c>
      <c r="S7996" s="51" t="s">
        <v>2356</v>
      </c>
      <c r="T7996" s="51" t="s">
        <v>2356</v>
      </c>
      <c r="U7996" s="0" t="str">
        <f aca="false">"71505021166"</f>
        <v>71505021166</v>
      </c>
      <c r="V7996" s="51" t="s">
        <v>5386</v>
      </c>
      <c r="W7996" s="51" t="s">
        <v>12981</v>
      </c>
      <c r="X7996" s="51" t="s">
        <v>2359</v>
      </c>
    </row>
    <row r="7997" customFormat="false" ht="14.25" hidden="true" customHeight="false" outlineLevel="0" collapsed="false">
      <c r="A7997" s="49" t="s">
        <v>2349</v>
      </c>
      <c r="B7997" s="49" t="s">
        <v>2350</v>
      </c>
      <c r="C7997" s="49" t="s">
        <v>12984</v>
      </c>
      <c r="D7997" s="49" t="s">
        <v>2352</v>
      </c>
      <c r="E7997" s="49" t="str">
        <f aca="false">"71505021166"</f>
        <v>71505021166</v>
      </c>
      <c r="F7997" s="49" t="s">
        <v>7985</v>
      </c>
      <c r="G7997" s="49" t="n">
        <v>0</v>
      </c>
      <c r="H7997" s="0" t="n">
        <v>0</v>
      </c>
      <c r="M7997" s="51" t="s">
        <v>12980</v>
      </c>
      <c r="N7997" s="49" t="n">
        <v>0</v>
      </c>
      <c r="O7997" s="53" t="n">
        <v>46016.3460300926</v>
      </c>
      <c r="P7997" s="53" t="n">
        <v>46020.4729166667</v>
      </c>
      <c r="Q7997" s="53" t="n">
        <v>46016.3460300926</v>
      </c>
      <c r="R7997" s="0" t="n">
        <v>0</v>
      </c>
      <c r="S7997" s="51" t="s">
        <v>2356</v>
      </c>
      <c r="T7997" s="51" t="s">
        <v>2356</v>
      </c>
      <c r="U7997" s="0" t="str">
        <f aca="false">"71505021166"</f>
        <v>71505021166</v>
      </c>
      <c r="V7997" s="51" t="s">
        <v>5386</v>
      </c>
      <c r="W7997" s="51" t="s">
        <v>12981</v>
      </c>
      <c r="X7997" s="51" t="s">
        <v>2359</v>
      </c>
    </row>
    <row r="7998" customFormat="false" ht="14.25" hidden="true" customHeight="false" outlineLevel="0" collapsed="false">
      <c r="A7998" s="49" t="s">
        <v>2349</v>
      </c>
      <c r="B7998" s="49" t="s">
        <v>2350</v>
      </c>
      <c r="C7998" s="49" t="s">
        <v>12985</v>
      </c>
      <c r="D7998" s="49" t="s">
        <v>2352</v>
      </c>
      <c r="E7998" s="49" t="str">
        <f aca="false">"71505021166"</f>
        <v>71505021166</v>
      </c>
      <c r="F7998" s="49" t="s">
        <v>7985</v>
      </c>
      <c r="G7998" s="49" t="n">
        <v>0</v>
      </c>
      <c r="H7998" s="0" t="n">
        <v>0</v>
      </c>
      <c r="M7998" s="51" t="s">
        <v>12980</v>
      </c>
      <c r="N7998" s="49" t="n">
        <v>0</v>
      </c>
      <c r="O7998" s="53" t="n">
        <v>46016.3463888889</v>
      </c>
      <c r="P7998" s="53" t="n">
        <v>46020.4730902778</v>
      </c>
      <c r="Q7998" s="53" t="n">
        <v>46016.3463888889</v>
      </c>
      <c r="R7998" s="0" t="n">
        <v>0</v>
      </c>
      <c r="S7998" s="51" t="s">
        <v>2356</v>
      </c>
      <c r="T7998" s="51" t="s">
        <v>2356</v>
      </c>
      <c r="U7998" s="0" t="str">
        <f aca="false">"71505021166"</f>
        <v>71505021166</v>
      </c>
      <c r="V7998" s="51" t="s">
        <v>5386</v>
      </c>
      <c r="W7998" s="51" t="s">
        <v>12981</v>
      </c>
      <c r="X7998" s="51" t="s">
        <v>2359</v>
      </c>
    </row>
    <row r="7999" customFormat="false" ht="14.25" hidden="true" customHeight="false" outlineLevel="0" collapsed="false">
      <c r="A7999" s="49" t="s">
        <v>2349</v>
      </c>
      <c r="B7999" s="49" t="s">
        <v>2350</v>
      </c>
      <c r="C7999" s="49" t="s">
        <v>12986</v>
      </c>
      <c r="D7999" s="49" t="s">
        <v>2352</v>
      </c>
      <c r="E7999" s="49" t="str">
        <f aca="false">"71505021166"</f>
        <v>71505021166</v>
      </c>
      <c r="F7999" s="49" t="s">
        <v>7985</v>
      </c>
      <c r="G7999" s="49" t="n">
        <v>0</v>
      </c>
      <c r="H7999" s="0" t="n">
        <v>0</v>
      </c>
      <c r="M7999" s="51" t="s">
        <v>12980</v>
      </c>
      <c r="N7999" s="49" t="n">
        <v>0</v>
      </c>
      <c r="O7999" s="53" t="n">
        <v>46016.3468171296</v>
      </c>
      <c r="P7999" s="53" t="n">
        <v>46020.4263657407</v>
      </c>
      <c r="Q7999" s="53" t="n">
        <v>46016.3468171296</v>
      </c>
      <c r="R7999" s="0" t="n">
        <v>0</v>
      </c>
      <c r="S7999" s="51" t="s">
        <v>2356</v>
      </c>
      <c r="T7999" s="51" t="s">
        <v>2356</v>
      </c>
      <c r="U7999" s="0" t="str">
        <f aca="false">"71505021166"</f>
        <v>71505021166</v>
      </c>
      <c r="V7999" s="51" t="s">
        <v>5386</v>
      </c>
      <c r="W7999" s="51" t="s">
        <v>12981</v>
      </c>
      <c r="X7999" s="51" t="s">
        <v>2359</v>
      </c>
    </row>
    <row r="8000" customFormat="false" ht="14.25" hidden="true" customHeight="false" outlineLevel="0" collapsed="false">
      <c r="A8000" s="49" t="s">
        <v>2349</v>
      </c>
      <c r="B8000" s="49" t="s">
        <v>2350</v>
      </c>
      <c r="C8000" s="49" t="s">
        <v>12987</v>
      </c>
      <c r="D8000" s="49" t="s">
        <v>2352</v>
      </c>
      <c r="E8000" s="49" t="str">
        <f aca="false">"71505021166"</f>
        <v>71505021166</v>
      </c>
      <c r="F8000" s="49" t="s">
        <v>7985</v>
      </c>
      <c r="G8000" s="49" t="n">
        <v>0</v>
      </c>
      <c r="H8000" s="0" t="n">
        <v>0</v>
      </c>
      <c r="M8000" s="51" t="s">
        <v>12980</v>
      </c>
      <c r="N8000" s="49" t="n">
        <v>0</v>
      </c>
      <c r="O8000" s="53" t="n">
        <v>46016.3473148148</v>
      </c>
      <c r="P8000" s="53" t="n">
        <v>46020.4736226852</v>
      </c>
      <c r="Q8000" s="53" t="n">
        <v>46016.3473148148</v>
      </c>
      <c r="R8000" s="0" t="n">
        <v>0</v>
      </c>
      <c r="S8000" s="51" t="s">
        <v>2356</v>
      </c>
      <c r="T8000" s="51" t="s">
        <v>2356</v>
      </c>
      <c r="U8000" s="0" t="str">
        <f aca="false">"71505021166"</f>
        <v>71505021166</v>
      </c>
      <c r="V8000" s="51" t="s">
        <v>5386</v>
      </c>
      <c r="W8000" s="51" t="s">
        <v>12988</v>
      </c>
      <c r="X8000" s="51" t="s">
        <v>2359</v>
      </c>
    </row>
    <row r="8001" customFormat="false" ht="14.25" hidden="true" customHeight="false" outlineLevel="0" collapsed="false">
      <c r="A8001" s="49" t="s">
        <v>2349</v>
      </c>
      <c r="B8001" s="49" t="s">
        <v>2350</v>
      </c>
      <c r="C8001" s="49" t="s">
        <v>12989</v>
      </c>
      <c r="D8001" s="49" t="s">
        <v>2352</v>
      </c>
      <c r="E8001" s="49" t="str">
        <f aca="false">"71505021166"</f>
        <v>71505021166</v>
      </c>
      <c r="F8001" s="49" t="s">
        <v>7985</v>
      </c>
      <c r="G8001" s="49" t="n">
        <v>0</v>
      </c>
      <c r="H8001" s="0" t="n">
        <v>0</v>
      </c>
      <c r="M8001" s="51" t="s">
        <v>12980</v>
      </c>
      <c r="N8001" s="49" t="n">
        <v>0</v>
      </c>
      <c r="O8001" s="53" t="n">
        <v>46016.3480439815</v>
      </c>
      <c r="P8001" s="53" t="n">
        <v>46020.4266666667</v>
      </c>
      <c r="Q8001" s="53" t="n">
        <v>46016.3480439815</v>
      </c>
      <c r="R8001" s="0" t="n">
        <v>0</v>
      </c>
      <c r="S8001" s="51" t="s">
        <v>2356</v>
      </c>
      <c r="T8001" s="51" t="s">
        <v>2356</v>
      </c>
      <c r="U8001" s="0" t="str">
        <f aca="false">"71505021166"</f>
        <v>71505021166</v>
      </c>
      <c r="V8001" s="51" t="s">
        <v>5386</v>
      </c>
      <c r="W8001" s="51" t="s">
        <v>12988</v>
      </c>
      <c r="X8001" s="51" t="s">
        <v>2359</v>
      </c>
    </row>
    <row r="8002" customFormat="false" ht="14.25" hidden="true" customHeight="false" outlineLevel="0" collapsed="false">
      <c r="A8002" s="49" t="s">
        <v>2349</v>
      </c>
      <c r="B8002" s="49" t="s">
        <v>2350</v>
      </c>
      <c r="C8002" s="49" t="s">
        <v>12990</v>
      </c>
      <c r="D8002" s="49" t="s">
        <v>2352</v>
      </c>
      <c r="E8002" s="49" t="str">
        <f aca="false">"71505021166"</f>
        <v>71505021166</v>
      </c>
      <c r="F8002" s="49" t="s">
        <v>7985</v>
      </c>
      <c r="G8002" s="49" t="n">
        <v>0</v>
      </c>
      <c r="H8002" s="0" t="n">
        <v>0</v>
      </c>
      <c r="M8002" s="51" t="s">
        <v>12980</v>
      </c>
      <c r="N8002" s="49" t="n">
        <v>0</v>
      </c>
      <c r="O8002" s="53" t="n">
        <v>46016.3485532407</v>
      </c>
      <c r="P8002" s="53" t="n">
        <v>46020.4739351852</v>
      </c>
      <c r="Q8002" s="53" t="n">
        <v>46016.3485532407</v>
      </c>
      <c r="R8002" s="0" t="n">
        <v>0</v>
      </c>
      <c r="S8002" s="51" t="s">
        <v>2356</v>
      </c>
      <c r="T8002" s="51" t="s">
        <v>2356</v>
      </c>
      <c r="U8002" s="0" t="str">
        <f aca="false">"71505021166"</f>
        <v>71505021166</v>
      </c>
      <c r="V8002" s="51" t="s">
        <v>5386</v>
      </c>
      <c r="W8002" s="51" t="s">
        <v>12988</v>
      </c>
      <c r="X8002" s="51" t="s">
        <v>2359</v>
      </c>
    </row>
    <row r="8003" customFormat="false" ht="14.25" hidden="true" customHeight="false" outlineLevel="0" collapsed="false">
      <c r="A8003" s="49" t="s">
        <v>2349</v>
      </c>
      <c r="B8003" s="49" t="s">
        <v>2350</v>
      </c>
      <c r="C8003" s="49" t="s">
        <v>12991</v>
      </c>
      <c r="D8003" s="49" t="s">
        <v>2352</v>
      </c>
      <c r="E8003" s="49" t="str">
        <f aca="false">"71505021166"</f>
        <v>71505021166</v>
      </c>
      <c r="F8003" s="49" t="s">
        <v>7985</v>
      </c>
      <c r="G8003" s="49" t="n">
        <v>0</v>
      </c>
      <c r="H8003" s="0" t="n">
        <v>0</v>
      </c>
      <c r="M8003" s="51" t="s">
        <v>12980</v>
      </c>
      <c r="N8003" s="49" t="n">
        <v>0</v>
      </c>
      <c r="O8003" s="53" t="n">
        <v>46016.3489351852</v>
      </c>
      <c r="P8003" s="53" t="n">
        <v>46020.4267708333</v>
      </c>
      <c r="Q8003" s="53" t="n">
        <v>46016.3489351852</v>
      </c>
      <c r="R8003" s="0" t="n">
        <v>0</v>
      </c>
      <c r="S8003" s="51" t="s">
        <v>2356</v>
      </c>
      <c r="T8003" s="51" t="s">
        <v>2356</v>
      </c>
      <c r="U8003" s="0" t="str">
        <f aca="false">"71505021166"</f>
        <v>71505021166</v>
      </c>
      <c r="V8003" s="51" t="s">
        <v>5386</v>
      </c>
      <c r="W8003" s="51" t="s">
        <v>12988</v>
      </c>
      <c r="X8003" s="51" t="s">
        <v>2359</v>
      </c>
    </row>
    <row r="8004" customFormat="false" ht="14.25" hidden="true" customHeight="false" outlineLevel="0" collapsed="false">
      <c r="A8004" s="49" t="s">
        <v>2349</v>
      </c>
      <c r="B8004" s="49" t="s">
        <v>2350</v>
      </c>
      <c r="C8004" s="49" t="s">
        <v>12992</v>
      </c>
      <c r="D8004" s="49" t="s">
        <v>2352</v>
      </c>
      <c r="E8004" s="49" t="str">
        <f aca="false">"71505021166"</f>
        <v>71505021166</v>
      </c>
      <c r="F8004" s="49" t="s">
        <v>7985</v>
      </c>
      <c r="G8004" s="49" t="n">
        <v>0</v>
      </c>
      <c r="H8004" s="0" t="n">
        <v>0</v>
      </c>
      <c r="M8004" s="51" t="s">
        <v>12980</v>
      </c>
      <c r="N8004" s="49" t="n">
        <v>0</v>
      </c>
      <c r="O8004" s="53" t="n">
        <v>46016.3493055556</v>
      </c>
      <c r="P8004" s="53" t="n">
        <v>46020.4733912037</v>
      </c>
      <c r="Q8004" s="53" t="n">
        <v>46016.3493055556</v>
      </c>
      <c r="R8004" s="0" t="n">
        <v>0</v>
      </c>
      <c r="S8004" s="51" t="s">
        <v>2356</v>
      </c>
      <c r="T8004" s="51" t="s">
        <v>2356</v>
      </c>
      <c r="U8004" s="0" t="str">
        <f aca="false">"71505021166"</f>
        <v>71505021166</v>
      </c>
      <c r="V8004" s="51" t="s">
        <v>5386</v>
      </c>
      <c r="W8004" s="51" t="s">
        <v>12988</v>
      </c>
      <c r="X8004" s="51" t="s">
        <v>2359</v>
      </c>
    </row>
    <row r="8005" customFormat="false" ht="14.25" hidden="true" customHeight="false" outlineLevel="0" collapsed="false">
      <c r="A8005" s="49" t="s">
        <v>2349</v>
      </c>
      <c r="B8005" s="49" t="s">
        <v>2350</v>
      </c>
      <c r="C8005" s="49" t="s">
        <v>12993</v>
      </c>
      <c r="D8005" s="49" t="s">
        <v>2352</v>
      </c>
      <c r="E8005" s="49" t="str">
        <f aca="false">"71505021166"</f>
        <v>71505021166</v>
      </c>
      <c r="F8005" s="49" t="s">
        <v>7985</v>
      </c>
      <c r="G8005" s="49" t="n">
        <v>0</v>
      </c>
      <c r="H8005" s="0" t="n">
        <v>0</v>
      </c>
      <c r="M8005" s="51" t="s">
        <v>12980</v>
      </c>
      <c r="N8005" s="49" t="n">
        <v>0</v>
      </c>
      <c r="O8005" s="53" t="n">
        <v>46016.3515856481</v>
      </c>
      <c r="P8005" s="53" t="n">
        <v>46020.4270023148</v>
      </c>
      <c r="Q8005" s="53" t="n">
        <v>46016.3515856481</v>
      </c>
      <c r="R8005" s="0" t="n">
        <v>0</v>
      </c>
      <c r="S8005" s="51" t="s">
        <v>2356</v>
      </c>
      <c r="T8005" s="51" t="s">
        <v>2356</v>
      </c>
      <c r="U8005" s="0" t="str">
        <f aca="false">"71505021166"</f>
        <v>71505021166</v>
      </c>
      <c r="V8005" s="51" t="s">
        <v>5386</v>
      </c>
      <c r="W8005" s="51" t="s">
        <v>12988</v>
      </c>
      <c r="X8005" s="51" t="s">
        <v>2359</v>
      </c>
    </row>
    <row r="8006" customFormat="false" ht="14.25" hidden="true" customHeight="false" outlineLevel="0" collapsed="false">
      <c r="A8006" s="49" t="s">
        <v>2349</v>
      </c>
      <c r="B8006" s="49" t="s">
        <v>2350</v>
      </c>
      <c r="C8006" s="49" t="s">
        <v>12994</v>
      </c>
      <c r="D8006" s="49" t="s">
        <v>2352</v>
      </c>
      <c r="E8006" s="49" t="str">
        <f aca="false">"71505021166"</f>
        <v>71505021166</v>
      </c>
      <c r="F8006" s="49" t="s">
        <v>7985</v>
      </c>
      <c r="G8006" s="49" t="n">
        <v>0</v>
      </c>
      <c r="H8006" s="0" t="n">
        <v>0</v>
      </c>
      <c r="M8006" s="51" t="s">
        <v>12980</v>
      </c>
      <c r="N8006" s="49" t="n">
        <v>0</v>
      </c>
      <c r="O8006" s="53" t="n">
        <v>46016.3511689815</v>
      </c>
      <c r="P8006" s="53" t="n">
        <v>46020.4738425926</v>
      </c>
      <c r="Q8006" s="53" t="n">
        <v>46016.3511689815</v>
      </c>
      <c r="R8006" s="0" t="n">
        <v>0</v>
      </c>
      <c r="S8006" s="51" t="s">
        <v>2356</v>
      </c>
      <c r="T8006" s="51" t="s">
        <v>2356</v>
      </c>
      <c r="U8006" s="0" t="str">
        <f aca="false">"71505021166"</f>
        <v>71505021166</v>
      </c>
      <c r="V8006" s="51" t="s">
        <v>5386</v>
      </c>
      <c r="W8006" s="51" t="s">
        <v>12988</v>
      </c>
      <c r="X8006" s="51" t="s">
        <v>2359</v>
      </c>
    </row>
    <row r="8007" customFormat="false" ht="14.25" hidden="true" customHeight="false" outlineLevel="0" collapsed="false">
      <c r="A8007" s="49" t="s">
        <v>2349</v>
      </c>
      <c r="B8007" s="49" t="s">
        <v>2350</v>
      </c>
      <c r="C8007" s="49" t="s">
        <v>12995</v>
      </c>
      <c r="D8007" s="49" t="s">
        <v>2352</v>
      </c>
      <c r="E8007" s="49" t="str">
        <f aca="false">"71505021166"</f>
        <v>71505021166</v>
      </c>
      <c r="F8007" s="49" t="s">
        <v>7985</v>
      </c>
      <c r="G8007" s="49" t="n">
        <v>0</v>
      </c>
      <c r="H8007" s="0" t="n">
        <v>0</v>
      </c>
      <c r="M8007" s="51" t="s">
        <v>12980</v>
      </c>
      <c r="N8007" s="49" t="n">
        <v>0</v>
      </c>
      <c r="O8007" s="53" t="n">
        <v>46016.3499537037</v>
      </c>
      <c r="P8007" s="53" t="n">
        <v>46020.4265277778</v>
      </c>
      <c r="Q8007" s="53" t="n">
        <v>46016.3499537037</v>
      </c>
      <c r="R8007" s="0" t="n">
        <v>0</v>
      </c>
      <c r="S8007" s="51" t="s">
        <v>2356</v>
      </c>
      <c r="T8007" s="51" t="s">
        <v>2356</v>
      </c>
      <c r="U8007" s="0" t="str">
        <f aca="false">"71505021166"</f>
        <v>71505021166</v>
      </c>
      <c r="V8007" s="51" t="s">
        <v>5386</v>
      </c>
      <c r="W8007" s="51" t="s">
        <v>12988</v>
      </c>
      <c r="X8007" s="51" t="s">
        <v>2359</v>
      </c>
    </row>
    <row r="8008" customFormat="false" ht="14.25" hidden="true" customHeight="false" outlineLevel="0" collapsed="false">
      <c r="A8008" s="49" t="s">
        <v>2349</v>
      </c>
      <c r="B8008" s="49" t="s">
        <v>2350</v>
      </c>
      <c r="C8008" s="49" t="s">
        <v>12996</v>
      </c>
      <c r="D8008" s="49" t="s">
        <v>2352</v>
      </c>
      <c r="E8008" s="49" t="str">
        <f aca="false">"71505021166"</f>
        <v>71505021166</v>
      </c>
      <c r="F8008" s="49" t="s">
        <v>7985</v>
      </c>
      <c r="G8008" s="49" t="n">
        <v>0</v>
      </c>
      <c r="H8008" s="0" t="n">
        <v>0</v>
      </c>
      <c r="M8008" s="51" t="s">
        <v>12980</v>
      </c>
      <c r="N8008" s="49" t="n">
        <v>0</v>
      </c>
      <c r="O8008" s="53" t="n">
        <v>46016.3503125</v>
      </c>
      <c r="P8008" s="53" t="n">
        <v>46020.4737384259</v>
      </c>
      <c r="Q8008" s="53" t="n">
        <v>46016.3503125</v>
      </c>
      <c r="R8008" s="0" t="n">
        <v>0</v>
      </c>
      <c r="S8008" s="51" t="s">
        <v>2356</v>
      </c>
      <c r="T8008" s="51" t="s">
        <v>2356</v>
      </c>
      <c r="U8008" s="0" t="str">
        <f aca="false">"71505021166"</f>
        <v>71505021166</v>
      </c>
      <c r="V8008" s="51" t="s">
        <v>5386</v>
      </c>
      <c r="W8008" s="51" t="s">
        <v>12988</v>
      </c>
      <c r="X8008" s="51" t="s">
        <v>2359</v>
      </c>
    </row>
    <row r="8009" customFormat="false" ht="14.25" hidden="true" customHeight="false" outlineLevel="0" collapsed="false">
      <c r="A8009" s="49" t="s">
        <v>2349</v>
      </c>
      <c r="B8009" s="49" t="s">
        <v>2350</v>
      </c>
      <c r="C8009" s="49" t="s">
        <v>12997</v>
      </c>
      <c r="D8009" s="49" t="s">
        <v>2352</v>
      </c>
      <c r="E8009" s="49" t="str">
        <f aca="false">"71505021166"</f>
        <v>71505021166</v>
      </c>
      <c r="F8009" s="49" t="s">
        <v>7985</v>
      </c>
      <c r="G8009" s="49" t="n">
        <v>0</v>
      </c>
      <c r="H8009" s="0" t="n">
        <v>0</v>
      </c>
      <c r="M8009" s="51" t="s">
        <v>12980</v>
      </c>
      <c r="N8009" s="49" t="n">
        <v>0</v>
      </c>
      <c r="O8009" s="53" t="n">
        <v>46016.3506134259</v>
      </c>
      <c r="P8009" s="53" t="n">
        <v>46020.4734953704</v>
      </c>
      <c r="Q8009" s="53" t="n">
        <v>46016.3506134259</v>
      </c>
      <c r="R8009" s="0" t="n">
        <v>0</v>
      </c>
      <c r="S8009" s="51" t="s">
        <v>2356</v>
      </c>
      <c r="T8009" s="51" t="s">
        <v>2356</v>
      </c>
      <c r="U8009" s="0" t="str">
        <f aca="false">"71505021166"</f>
        <v>71505021166</v>
      </c>
      <c r="V8009" s="51" t="s">
        <v>5386</v>
      </c>
      <c r="W8009" s="51" t="s">
        <v>12988</v>
      </c>
      <c r="X8009" s="51" t="s">
        <v>2359</v>
      </c>
    </row>
    <row r="8010" customFormat="false" ht="14.25" hidden="true" customHeight="false" outlineLevel="0" collapsed="false">
      <c r="A8010" s="49" t="s">
        <v>2349</v>
      </c>
      <c r="B8010" s="49" t="s">
        <v>2350</v>
      </c>
      <c r="C8010" s="49" t="s">
        <v>12998</v>
      </c>
      <c r="D8010" s="49" t="s">
        <v>2352</v>
      </c>
      <c r="E8010" s="49" t="str">
        <f aca="false">"71505021166"</f>
        <v>71505021166</v>
      </c>
      <c r="F8010" s="49" t="s">
        <v>7985</v>
      </c>
      <c r="G8010" s="49" t="n">
        <v>0</v>
      </c>
      <c r="H8010" s="0" t="n">
        <v>0</v>
      </c>
      <c r="M8010" s="51" t="s">
        <v>12980</v>
      </c>
      <c r="N8010" s="49" t="n">
        <v>0</v>
      </c>
      <c r="O8010" s="53" t="n">
        <v>46016.3508449074</v>
      </c>
      <c r="P8010" s="53" t="n">
        <v>46020.4268865741</v>
      </c>
      <c r="Q8010" s="53" t="n">
        <v>46016.3508449074</v>
      </c>
      <c r="R8010" s="0" t="n">
        <v>0</v>
      </c>
      <c r="S8010" s="51" t="s">
        <v>2356</v>
      </c>
      <c r="T8010" s="51" t="s">
        <v>2356</v>
      </c>
      <c r="U8010" s="0" t="str">
        <f aca="false">"71505021166"</f>
        <v>71505021166</v>
      </c>
      <c r="V8010" s="51" t="s">
        <v>5386</v>
      </c>
      <c r="W8010" s="51" t="s">
        <v>12988</v>
      </c>
      <c r="X8010" s="51" t="s">
        <v>2359</v>
      </c>
    </row>
    <row r="8011" customFormat="false" ht="14.25" hidden="true" customHeight="false" outlineLevel="0" collapsed="false">
      <c r="A8011" s="49" t="s">
        <v>2349</v>
      </c>
      <c r="B8011" s="49" t="s">
        <v>2350</v>
      </c>
      <c r="C8011" s="49" t="s">
        <v>12999</v>
      </c>
      <c r="D8011" s="49" t="s">
        <v>2352</v>
      </c>
      <c r="E8011" s="49" t="str">
        <f aca="false">"71505021166"</f>
        <v>71505021166</v>
      </c>
      <c r="F8011" s="49" t="s">
        <v>7985</v>
      </c>
      <c r="G8011" s="49" t="n">
        <v>0</v>
      </c>
      <c r="H8011" s="0" t="n">
        <v>0</v>
      </c>
      <c r="M8011" s="51" t="s">
        <v>12980</v>
      </c>
      <c r="N8011" s="49" t="n">
        <v>0</v>
      </c>
      <c r="O8011" s="53" t="n">
        <v>46016.3526851852</v>
      </c>
      <c r="P8011" s="53" t="n">
        <v>46020.4740393519</v>
      </c>
      <c r="Q8011" s="53" t="n">
        <v>46016.3526851852</v>
      </c>
      <c r="R8011" s="0" t="n">
        <v>0</v>
      </c>
      <c r="S8011" s="51" t="s">
        <v>2356</v>
      </c>
      <c r="T8011" s="51" t="s">
        <v>2356</v>
      </c>
      <c r="U8011" s="0" t="str">
        <f aca="false">"71505021166"</f>
        <v>71505021166</v>
      </c>
      <c r="V8011" s="51" t="s">
        <v>5386</v>
      </c>
      <c r="W8011" s="51" t="s">
        <v>6538</v>
      </c>
      <c r="X8011" s="51" t="s">
        <v>2359</v>
      </c>
    </row>
    <row r="8012" customFormat="false" ht="14.25" hidden="true" customHeight="false" outlineLevel="0" collapsed="false">
      <c r="A8012" s="49" t="s">
        <v>2349</v>
      </c>
      <c r="B8012" s="49" t="s">
        <v>2350</v>
      </c>
      <c r="C8012" s="49" t="s">
        <v>13000</v>
      </c>
      <c r="D8012" s="49" t="s">
        <v>2352</v>
      </c>
      <c r="E8012" s="49" t="str">
        <f aca="false">"71505021166"</f>
        <v>71505021166</v>
      </c>
      <c r="F8012" s="49" t="s">
        <v>7985</v>
      </c>
      <c r="G8012" s="49" t="n">
        <v>0</v>
      </c>
      <c r="H8012" s="0" t="n">
        <v>0</v>
      </c>
      <c r="M8012" s="51" t="s">
        <v>12980</v>
      </c>
      <c r="N8012" s="49" t="n">
        <v>0</v>
      </c>
      <c r="O8012" s="53" t="n">
        <v>46016.3529513889</v>
      </c>
      <c r="P8012" s="53" t="n">
        <v>46020.4271296296</v>
      </c>
      <c r="Q8012" s="53" t="n">
        <v>46016.3529513889</v>
      </c>
      <c r="R8012" s="0" t="n">
        <v>0</v>
      </c>
      <c r="S8012" s="51" t="s">
        <v>2356</v>
      </c>
      <c r="T8012" s="51" t="s">
        <v>2356</v>
      </c>
      <c r="U8012" s="0" t="str">
        <f aca="false">"71505021166"</f>
        <v>71505021166</v>
      </c>
      <c r="V8012" s="51" t="s">
        <v>5386</v>
      </c>
      <c r="W8012" s="51" t="s">
        <v>6538</v>
      </c>
      <c r="X8012" s="51" t="s">
        <v>2359</v>
      </c>
    </row>
    <row r="8013" customFormat="false" ht="14.25" hidden="true" customHeight="false" outlineLevel="0" collapsed="false">
      <c r="A8013" s="49" t="s">
        <v>2349</v>
      </c>
      <c r="B8013" s="49" t="s">
        <v>2350</v>
      </c>
      <c r="C8013" s="49" t="s">
        <v>13001</v>
      </c>
      <c r="D8013" s="49" t="s">
        <v>2352</v>
      </c>
      <c r="E8013" s="49" t="str">
        <f aca="false">"5060458890191"</f>
        <v>5060458890191</v>
      </c>
      <c r="F8013" s="49" t="s">
        <v>3656</v>
      </c>
      <c r="G8013" s="49" t="n">
        <v>0</v>
      </c>
      <c r="H8013" s="0" t="n">
        <v>0</v>
      </c>
      <c r="M8013" s="51" t="s">
        <v>13002</v>
      </c>
      <c r="N8013" s="49" t="n">
        <v>0</v>
      </c>
      <c r="O8013" s="53" t="n">
        <v>45988.6409722222</v>
      </c>
      <c r="P8013" s="53" t="n">
        <v>45991.7486689815</v>
      </c>
      <c r="Q8013" s="53" t="n">
        <v>45988.6409722222</v>
      </c>
      <c r="R8013" s="0" t="n">
        <v>0</v>
      </c>
      <c r="S8013" s="51" t="s">
        <v>3780</v>
      </c>
      <c r="T8013" s="51" t="s">
        <v>3780</v>
      </c>
      <c r="U8013" s="0" t="str">
        <f aca="false">"5060458890191"</f>
        <v>5060458890191</v>
      </c>
      <c r="V8013" s="51" t="s">
        <v>2142</v>
      </c>
      <c r="W8013" s="51" t="s">
        <v>3904</v>
      </c>
      <c r="X8013" s="51" t="s">
        <v>2359</v>
      </c>
    </row>
    <row r="8014" customFormat="false" ht="17.55" hidden="true" customHeight="false" outlineLevel="0" collapsed="false">
      <c r="A8014" s="49" t="s">
        <v>2349</v>
      </c>
      <c r="B8014" s="49" t="s">
        <v>2350</v>
      </c>
      <c r="C8014" s="49" t="s">
        <v>13003</v>
      </c>
      <c r="D8014" s="49" t="s">
        <v>2352</v>
      </c>
      <c r="E8014" s="49" t="s">
        <v>10072</v>
      </c>
      <c r="F8014" s="49" t="s">
        <v>10073</v>
      </c>
      <c r="G8014" s="49" t="n">
        <v>0</v>
      </c>
      <c r="H8014" s="0" t="n">
        <v>0</v>
      </c>
      <c r="M8014" s="51" t="s">
        <v>13004</v>
      </c>
      <c r="N8014" s="49" t="n">
        <v>0</v>
      </c>
      <c r="O8014" s="53" t="n">
        <v>46023.6886111111</v>
      </c>
      <c r="P8014" s="53" t="n">
        <v>46037.6757060185</v>
      </c>
      <c r="Q8014" s="53" t="n">
        <v>46023.6886111111</v>
      </c>
      <c r="R8014" s="0" t="n">
        <v>0</v>
      </c>
      <c r="S8014" s="51" t="s">
        <v>2356</v>
      </c>
      <c r="T8014" s="51" t="s">
        <v>2356</v>
      </c>
      <c r="U8014" s="51" t="s">
        <v>10072</v>
      </c>
      <c r="V8014" s="51" t="s">
        <v>2365</v>
      </c>
      <c r="W8014" s="51" t="s">
        <v>3764</v>
      </c>
      <c r="X8014" s="51" t="s">
        <v>2359</v>
      </c>
    </row>
    <row r="8015" customFormat="false" ht="17.55" hidden="true" customHeight="false" outlineLevel="0" collapsed="false">
      <c r="A8015" s="49" t="s">
        <v>2349</v>
      </c>
      <c r="B8015" s="49" t="s">
        <v>2350</v>
      </c>
      <c r="C8015" s="49" t="s">
        <v>13005</v>
      </c>
      <c r="D8015" s="49" t="s">
        <v>2352</v>
      </c>
      <c r="E8015" s="49" t="s">
        <v>10072</v>
      </c>
      <c r="F8015" s="49" t="s">
        <v>10073</v>
      </c>
      <c r="G8015" s="49" t="n">
        <v>0</v>
      </c>
      <c r="H8015" s="0" t="n">
        <v>0</v>
      </c>
      <c r="M8015" s="51" t="s">
        <v>13004</v>
      </c>
      <c r="N8015" s="49" t="n">
        <v>0</v>
      </c>
      <c r="O8015" s="53" t="n">
        <v>46023.689525463</v>
      </c>
      <c r="P8015" s="53" t="n">
        <v>46044.4867708333</v>
      </c>
      <c r="Q8015" s="53" t="n">
        <v>46023.689525463</v>
      </c>
      <c r="R8015" s="0" t="n">
        <v>0</v>
      </c>
      <c r="S8015" s="51" t="s">
        <v>2356</v>
      </c>
      <c r="T8015" s="51" t="s">
        <v>2356</v>
      </c>
      <c r="U8015" s="51" t="s">
        <v>10072</v>
      </c>
      <c r="V8015" s="51" t="s">
        <v>2365</v>
      </c>
      <c r="W8015" s="51" t="s">
        <v>3754</v>
      </c>
      <c r="X8015" s="51" t="s">
        <v>2359</v>
      </c>
    </row>
    <row r="8016" customFormat="false" ht="14.25" hidden="true" customHeight="false" outlineLevel="0" collapsed="false">
      <c r="A8016" s="49" t="s">
        <v>2349</v>
      </c>
      <c r="B8016" s="49" t="s">
        <v>2350</v>
      </c>
      <c r="C8016" s="49" t="s">
        <v>13006</v>
      </c>
      <c r="D8016" s="49" t="s">
        <v>2352</v>
      </c>
      <c r="E8016" s="49" t="s">
        <v>7198</v>
      </c>
      <c r="F8016" s="49" t="s">
        <v>7199</v>
      </c>
      <c r="G8016" s="49" t="n">
        <v>0</v>
      </c>
      <c r="H8016" s="0" t="n">
        <v>0</v>
      </c>
      <c r="M8016" s="51" t="s">
        <v>13004</v>
      </c>
      <c r="N8016" s="49" t="n">
        <v>0</v>
      </c>
      <c r="O8016" s="53" t="n">
        <v>46023.6910069444</v>
      </c>
      <c r="P8016" s="53" t="n">
        <v>46037.5949768519</v>
      </c>
      <c r="Q8016" s="53" t="n">
        <v>46023.6910069444</v>
      </c>
      <c r="R8016" s="0" t="n">
        <v>0</v>
      </c>
      <c r="S8016" s="51" t="s">
        <v>2356</v>
      </c>
      <c r="T8016" s="51" t="s">
        <v>2356</v>
      </c>
      <c r="U8016" s="51" t="s">
        <v>7198</v>
      </c>
      <c r="V8016" s="51" t="s">
        <v>2365</v>
      </c>
      <c r="W8016" s="51" t="s">
        <v>11746</v>
      </c>
      <c r="X8016" s="51" t="s">
        <v>2359</v>
      </c>
    </row>
    <row r="8017" customFormat="false" ht="14.25" hidden="true" customHeight="false" outlineLevel="0" collapsed="false">
      <c r="A8017" s="49" t="s">
        <v>2349</v>
      </c>
      <c r="B8017" s="49" t="s">
        <v>2350</v>
      </c>
      <c r="C8017" s="49" t="s">
        <v>13007</v>
      </c>
      <c r="D8017" s="49" t="s">
        <v>2352</v>
      </c>
      <c r="E8017" s="49" t="s">
        <v>7198</v>
      </c>
      <c r="F8017" s="49" t="s">
        <v>7199</v>
      </c>
      <c r="G8017" s="49" t="n">
        <v>0</v>
      </c>
      <c r="H8017" s="0" t="n">
        <v>0</v>
      </c>
      <c r="M8017" s="51" t="s">
        <v>13004</v>
      </c>
      <c r="N8017" s="49" t="n">
        <v>0</v>
      </c>
      <c r="O8017" s="53" t="n">
        <v>46023.6913194444</v>
      </c>
      <c r="P8017" s="53" t="n">
        <v>46027.5111342593</v>
      </c>
      <c r="Q8017" s="53" t="n">
        <v>46023.6913194444</v>
      </c>
      <c r="R8017" s="0" t="n">
        <v>0</v>
      </c>
      <c r="S8017" s="51" t="s">
        <v>2356</v>
      </c>
      <c r="T8017" s="51" t="s">
        <v>2356</v>
      </c>
      <c r="U8017" s="51" t="s">
        <v>7198</v>
      </c>
      <c r="V8017" s="51" t="s">
        <v>2365</v>
      </c>
      <c r="W8017" s="51" t="s">
        <v>11746</v>
      </c>
      <c r="X8017" s="51" t="s">
        <v>2359</v>
      </c>
    </row>
    <row r="8018" customFormat="false" ht="14.25" hidden="true" customHeight="false" outlineLevel="0" collapsed="false">
      <c r="A8018" s="49" t="s">
        <v>2349</v>
      </c>
      <c r="B8018" s="49" t="s">
        <v>2350</v>
      </c>
      <c r="C8018" s="49" t="s">
        <v>13008</v>
      </c>
      <c r="D8018" s="49" t="s">
        <v>2352</v>
      </c>
      <c r="E8018" s="49" t="s">
        <v>7198</v>
      </c>
      <c r="F8018" s="49" t="s">
        <v>7199</v>
      </c>
      <c r="G8018" s="49" t="n">
        <v>0</v>
      </c>
      <c r="H8018" s="0" t="n">
        <v>0</v>
      </c>
      <c r="M8018" s="51" t="s">
        <v>13004</v>
      </c>
      <c r="N8018" s="49" t="n">
        <v>0</v>
      </c>
      <c r="O8018" s="53" t="n">
        <v>46023.6917361111</v>
      </c>
      <c r="P8018" s="53" t="n">
        <v>46037.5950694445</v>
      </c>
      <c r="Q8018" s="53" t="n">
        <v>46023.6917361111</v>
      </c>
      <c r="R8018" s="0" t="n">
        <v>0</v>
      </c>
      <c r="S8018" s="51" t="s">
        <v>2356</v>
      </c>
      <c r="T8018" s="51" t="s">
        <v>2356</v>
      </c>
      <c r="U8018" s="51" t="s">
        <v>7198</v>
      </c>
      <c r="V8018" s="51" t="s">
        <v>2365</v>
      </c>
      <c r="W8018" s="51" t="s">
        <v>11746</v>
      </c>
      <c r="X8018" s="51" t="s">
        <v>2359</v>
      </c>
    </row>
    <row r="8019" customFormat="false" ht="14.25" hidden="true" customHeight="false" outlineLevel="0" collapsed="false">
      <c r="A8019" s="49" t="s">
        <v>2349</v>
      </c>
      <c r="B8019" s="49" t="s">
        <v>2350</v>
      </c>
      <c r="C8019" s="49" t="s">
        <v>13009</v>
      </c>
      <c r="D8019" s="49" t="s">
        <v>2352</v>
      </c>
      <c r="E8019" s="49" t="s">
        <v>4166</v>
      </c>
      <c r="F8019" s="49" t="s">
        <v>4167</v>
      </c>
      <c r="G8019" s="49" t="n">
        <v>0</v>
      </c>
      <c r="H8019" s="0" t="n">
        <v>0</v>
      </c>
      <c r="M8019" s="51" t="s">
        <v>13004</v>
      </c>
      <c r="N8019" s="49" t="n">
        <v>0</v>
      </c>
      <c r="O8019" s="53" t="n">
        <v>46023.695150463</v>
      </c>
      <c r="P8019" s="53" t="n">
        <v>46037.8009606482</v>
      </c>
      <c r="Q8019" s="53" t="n">
        <v>46023.695150463</v>
      </c>
      <c r="R8019" s="0" t="n">
        <v>0</v>
      </c>
      <c r="S8019" s="51" t="s">
        <v>2356</v>
      </c>
      <c r="T8019" s="51" t="s">
        <v>2356</v>
      </c>
      <c r="U8019" s="51" t="s">
        <v>4166</v>
      </c>
      <c r="V8019" s="51" t="s">
        <v>2365</v>
      </c>
      <c r="W8019" s="51" t="s">
        <v>4132</v>
      </c>
      <c r="X8019" s="51" t="s">
        <v>2359</v>
      </c>
    </row>
    <row r="8020" customFormat="false" ht="14.25" hidden="true" customHeight="false" outlineLevel="0" collapsed="false">
      <c r="A8020" s="49" t="s">
        <v>2349</v>
      </c>
      <c r="B8020" s="49" t="s">
        <v>2350</v>
      </c>
      <c r="C8020" s="49" t="s">
        <v>13010</v>
      </c>
      <c r="D8020" s="49" t="s">
        <v>2352</v>
      </c>
      <c r="E8020" s="49" t="s">
        <v>4166</v>
      </c>
      <c r="F8020" s="49" t="s">
        <v>4167</v>
      </c>
      <c r="G8020" s="49" t="n">
        <v>0</v>
      </c>
      <c r="H8020" s="0" t="n">
        <v>0</v>
      </c>
      <c r="M8020" s="51" t="s">
        <v>13004</v>
      </c>
      <c r="N8020" s="49" t="n">
        <v>0</v>
      </c>
      <c r="O8020" s="53" t="n">
        <v>46023.6958217593</v>
      </c>
      <c r="P8020" s="53" t="n">
        <v>46037.8014351852</v>
      </c>
      <c r="Q8020" s="53" t="n">
        <v>46023.6958217593</v>
      </c>
      <c r="R8020" s="0" t="n">
        <v>0</v>
      </c>
      <c r="S8020" s="51" t="s">
        <v>2356</v>
      </c>
      <c r="T8020" s="51" t="s">
        <v>2356</v>
      </c>
      <c r="U8020" s="51" t="s">
        <v>4166</v>
      </c>
      <c r="V8020" s="51" t="s">
        <v>2365</v>
      </c>
      <c r="W8020" s="51" t="s">
        <v>4120</v>
      </c>
      <c r="X8020" s="51" t="s">
        <v>2359</v>
      </c>
    </row>
    <row r="8021" customFormat="false" ht="14.25" hidden="true" customHeight="false" outlineLevel="0" collapsed="false">
      <c r="A8021" s="49" t="s">
        <v>2349</v>
      </c>
      <c r="B8021" s="49" t="s">
        <v>2350</v>
      </c>
      <c r="C8021" s="49" t="s">
        <v>13011</v>
      </c>
      <c r="D8021" s="49" t="s">
        <v>2352</v>
      </c>
      <c r="E8021" s="49" t="s">
        <v>4166</v>
      </c>
      <c r="F8021" s="49" t="s">
        <v>4167</v>
      </c>
      <c r="G8021" s="49" t="n">
        <v>0</v>
      </c>
      <c r="H8021" s="0" t="n">
        <v>0</v>
      </c>
      <c r="M8021" s="51" t="s">
        <v>13004</v>
      </c>
      <c r="N8021" s="49" t="n">
        <v>0</v>
      </c>
      <c r="O8021" s="53" t="n">
        <v>46023.6961458333</v>
      </c>
      <c r="P8021" s="53" t="n">
        <v>46043.4859143519</v>
      </c>
      <c r="Q8021" s="53" t="n">
        <v>46023.6961458333</v>
      </c>
      <c r="R8021" s="0" t="n">
        <v>0</v>
      </c>
      <c r="S8021" s="51" t="s">
        <v>2356</v>
      </c>
      <c r="T8021" s="51" t="s">
        <v>2356</v>
      </c>
      <c r="U8021" s="51" t="s">
        <v>4166</v>
      </c>
      <c r="V8021" s="51" t="s">
        <v>2365</v>
      </c>
      <c r="W8021" s="51" t="s">
        <v>10065</v>
      </c>
      <c r="X8021" s="51" t="s">
        <v>2359</v>
      </c>
    </row>
    <row r="8022" customFormat="false" ht="14.25" hidden="true" customHeight="false" outlineLevel="0" collapsed="false">
      <c r="A8022" s="49" t="s">
        <v>2349</v>
      </c>
      <c r="B8022" s="49" t="s">
        <v>2350</v>
      </c>
      <c r="C8022" s="49" t="s">
        <v>13012</v>
      </c>
      <c r="D8022" s="49" t="s">
        <v>2352</v>
      </c>
      <c r="E8022" s="49" t="s">
        <v>4166</v>
      </c>
      <c r="F8022" s="49" t="s">
        <v>4167</v>
      </c>
      <c r="G8022" s="49" t="n">
        <v>0</v>
      </c>
      <c r="H8022" s="0" t="n">
        <v>0</v>
      </c>
      <c r="M8022" s="51" t="s">
        <v>13004</v>
      </c>
      <c r="N8022" s="49" t="n">
        <v>0</v>
      </c>
      <c r="O8022" s="53" t="n">
        <v>46023.697025463</v>
      </c>
      <c r="P8022" s="53" t="n">
        <v>46051.6575231482</v>
      </c>
      <c r="Q8022" s="53" t="n">
        <v>46023.697025463</v>
      </c>
      <c r="R8022" s="0" t="n">
        <v>0</v>
      </c>
      <c r="S8022" s="51" t="s">
        <v>2356</v>
      </c>
      <c r="T8022" s="51" t="s">
        <v>2356</v>
      </c>
      <c r="U8022" s="51" t="s">
        <v>4166</v>
      </c>
      <c r="V8022" s="51" t="s">
        <v>2365</v>
      </c>
      <c r="W8022" s="51" t="s">
        <v>5761</v>
      </c>
      <c r="X8022" s="51" t="s">
        <v>2359</v>
      </c>
    </row>
    <row r="8023" customFormat="false" ht="14.25" hidden="true" customHeight="false" outlineLevel="0" collapsed="false">
      <c r="A8023" s="49" t="s">
        <v>2349</v>
      </c>
      <c r="B8023" s="49" t="s">
        <v>2350</v>
      </c>
      <c r="C8023" s="49" t="s">
        <v>13013</v>
      </c>
      <c r="D8023" s="49" t="s">
        <v>2352</v>
      </c>
      <c r="E8023" s="49" t="s">
        <v>3751</v>
      </c>
      <c r="F8023" s="49" t="s">
        <v>3752</v>
      </c>
      <c r="G8023" s="49" t="n">
        <v>0</v>
      </c>
      <c r="H8023" s="0" t="n">
        <v>0</v>
      </c>
      <c r="M8023" s="51" t="s">
        <v>13014</v>
      </c>
      <c r="N8023" s="49" t="n">
        <v>0</v>
      </c>
      <c r="O8023" s="53" t="n">
        <v>46023.6713541667</v>
      </c>
      <c r="P8023" s="53" t="n">
        <v>46029.4744675926</v>
      </c>
      <c r="Q8023" s="53" t="n">
        <v>46023.6713541667</v>
      </c>
      <c r="R8023" s="0" t="n">
        <v>0</v>
      </c>
      <c r="S8023" s="51" t="s">
        <v>2356</v>
      </c>
      <c r="T8023" s="51" t="s">
        <v>2356</v>
      </c>
      <c r="U8023" s="51" t="s">
        <v>3751</v>
      </c>
      <c r="V8023" s="51" t="s">
        <v>2357</v>
      </c>
      <c r="W8023" s="51" t="s">
        <v>3677</v>
      </c>
      <c r="X8023" s="51" t="s">
        <v>2359</v>
      </c>
    </row>
    <row r="8024" customFormat="false" ht="14.25" hidden="true" customHeight="false" outlineLevel="0" collapsed="false">
      <c r="A8024" s="49" t="s">
        <v>2349</v>
      </c>
      <c r="B8024" s="49" t="s">
        <v>2350</v>
      </c>
      <c r="C8024" s="49" t="s">
        <v>13015</v>
      </c>
      <c r="D8024" s="49" t="s">
        <v>2352</v>
      </c>
      <c r="E8024" s="49" t="s">
        <v>3751</v>
      </c>
      <c r="F8024" s="49" t="s">
        <v>3752</v>
      </c>
      <c r="G8024" s="49" t="n">
        <v>0</v>
      </c>
      <c r="H8024" s="0" t="n">
        <v>0</v>
      </c>
      <c r="M8024" s="51" t="s">
        <v>13014</v>
      </c>
      <c r="N8024" s="49" t="n">
        <v>0</v>
      </c>
      <c r="O8024" s="53" t="n">
        <v>46023.6706018519</v>
      </c>
      <c r="P8024" s="53" t="n">
        <v>46029.4742361111</v>
      </c>
      <c r="Q8024" s="53" t="n">
        <v>46023.6706018519</v>
      </c>
      <c r="R8024" s="0" t="n">
        <v>0</v>
      </c>
      <c r="S8024" s="51" t="s">
        <v>2356</v>
      </c>
      <c r="T8024" s="51" t="s">
        <v>2356</v>
      </c>
      <c r="U8024" s="51" t="s">
        <v>3751</v>
      </c>
      <c r="V8024" s="51" t="s">
        <v>2357</v>
      </c>
      <c r="W8024" s="51" t="s">
        <v>10513</v>
      </c>
      <c r="X8024" s="51" t="s">
        <v>2359</v>
      </c>
    </row>
    <row r="8025" customFormat="false" ht="14.25" hidden="true" customHeight="false" outlineLevel="0" collapsed="false">
      <c r="A8025" s="49" t="s">
        <v>2349</v>
      </c>
      <c r="B8025" s="49" t="s">
        <v>2350</v>
      </c>
      <c r="C8025" s="49" t="s">
        <v>13016</v>
      </c>
      <c r="D8025" s="49" t="s">
        <v>2352</v>
      </c>
      <c r="E8025" s="49" t="s">
        <v>3751</v>
      </c>
      <c r="F8025" s="49" t="s">
        <v>3752</v>
      </c>
      <c r="G8025" s="49" t="n">
        <v>0</v>
      </c>
      <c r="H8025" s="0" t="n">
        <v>0</v>
      </c>
      <c r="M8025" s="51" t="s">
        <v>13014</v>
      </c>
      <c r="N8025" s="49" t="n">
        <v>0</v>
      </c>
      <c r="O8025" s="53" t="n">
        <v>46023.669837963</v>
      </c>
      <c r="P8025" s="53" t="n">
        <v>46030.4155324074</v>
      </c>
      <c r="Q8025" s="53" t="n">
        <v>46023.669837963</v>
      </c>
      <c r="R8025" s="0" t="n">
        <v>0</v>
      </c>
      <c r="S8025" s="51" t="s">
        <v>2356</v>
      </c>
      <c r="T8025" s="51" t="s">
        <v>2356</v>
      </c>
      <c r="U8025" s="51" t="s">
        <v>3751</v>
      </c>
      <c r="V8025" s="51" t="s">
        <v>2357</v>
      </c>
      <c r="W8025" s="51" t="s">
        <v>10380</v>
      </c>
      <c r="X8025" s="51" t="s">
        <v>2359</v>
      </c>
    </row>
    <row r="8026" customFormat="false" ht="14.25" hidden="true" customHeight="false" outlineLevel="0" collapsed="false">
      <c r="A8026" s="49" t="s">
        <v>2349</v>
      </c>
      <c r="B8026" s="49" t="s">
        <v>2350</v>
      </c>
      <c r="C8026" s="49" t="s">
        <v>13017</v>
      </c>
      <c r="D8026" s="49" t="s">
        <v>2352</v>
      </c>
      <c r="E8026" s="49" t="s">
        <v>3751</v>
      </c>
      <c r="F8026" s="49" t="s">
        <v>3752</v>
      </c>
      <c r="G8026" s="49" t="n">
        <v>0</v>
      </c>
      <c r="H8026" s="0" t="n">
        <v>0</v>
      </c>
      <c r="M8026" s="51" t="s">
        <v>13014</v>
      </c>
      <c r="N8026" s="49" t="n">
        <v>0</v>
      </c>
      <c r="O8026" s="53" t="n">
        <v>46023.6662847222</v>
      </c>
      <c r="P8026" s="53" t="n">
        <v>46029.4746180556</v>
      </c>
      <c r="Q8026" s="53" t="n">
        <v>46023.6662847222</v>
      </c>
      <c r="R8026" s="0" t="n">
        <v>0</v>
      </c>
      <c r="S8026" s="51" t="s">
        <v>2356</v>
      </c>
      <c r="T8026" s="51" t="s">
        <v>2356</v>
      </c>
      <c r="U8026" s="51" t="s">
        <v>3751</v>
      </c>
      <c r="V8026" s="51" t="s">
        <v>2357</v>
      </c>
      <c r="W8026" s="51" t="s">
        <v>13018</v>
      </c>
      <c r="X8026" s="51" t="s">
        <v>2359</v>
      </c>
    </row>
    <row r="8027" customFormat="false" ht="14.25" hidden="true" customHeight="false" outlineLevel="0" collapsed="false">
      <c r="A8027" s="49" t="s">
        <v>2349</v>
      </c>
      <c r="B8027" s="49" t="s">
        <v>2350</v>
      </c>
      <c r="C8027" s="49" t="s">
        <v>13019</v>
      </c>
      <c r="D8027" s="49" t="s">
        <v>2352</v>
      </c>
      <c r="E8027" s="49" t="s">
        <v>3751</v>
      </c>
      <c r="F8027" s="49" t="s">
        <v>3752</v>
      </c>
      <c r="G8027" s="49" t="n">
        <v>0</v>
      </c>
      <c r="H8027" s="0" t="n">
        <v>0</v>
      </c>
      <c r="M8027" s="51" t="s">
        <v>13014</v>
      </c>
      <c r="N8027" s="49" t="n">
        <v>0</v>
      </c>
      <c r="O8027" s="53" t="n">
        <v>46023.6652662037</v>
      </c>
      <c r="P8027" s="53" t="n">
        <v>46057.4431944444</v>
      </c>
      <c r="Q8027" s="53" t="n">
        <v>46023.6652662037</v>
      </c>
      <c r="R8027" s="0" t="n">
        <v>0</v>
      </c>
      <c r="S8027" s="51" t="s">
        <v>2356</v>
      </c>
      <c r="T8027" s="51" t="s">
        <v>2356</v>
      </c>
      <c r="U8027" s="51" t="s">
        <v>3751</v>
      </c>
      <c r="V8027" s="51" t="s">
        <v>2357</v>
      </c>
      <c r="W8027" s="51" t="s">
        <v>3762</v>
      </c>
      <c r="X8027" s="51" t="s">
        <v>2359</v>
      </c>
    </row>
    <row r="8028" customFormat="false" ht="14.25" hidden="true" customHeight="false" outlineLevel="0" collapsed="false">
      <c r="A8028" s="49" t="s">
        <v>2349</v>
      </c>
      <c r="B8028" s="49" t="s">
        <v>2350</v>
      </c>
      <c r="C8028" s="49" t="s">
        <v>13020</v>
      </c>
      <c r="D8028" s="49" t="s">
        <v>2352</v>
      </c>
      <c r="E8028" s="49" t="s">
        <v>3751</v>
      </c>
      <c r="F8028" s="49" t="s">
        <v>3752</v>
      </c>
      <c r="G8028" s="49" t="n">
        <v>0</v>
      </c>
      <c r="H8028" s="0" t="n">
        <v>0</v>
      </c>
      <c r="M8028" s="51" t="s">
        <v>13014</v>
      </c>
      <c r="N8028" s="49" t="n">
        <v>0</v>
      </c>
      <c r="O8028" s="53" t="n">
        <v>46023.6644097222</v>
      </c>
      <c r="P8028" s="53" t="n">
        <v>46040.6082523148</v>
      </c>
      <c r="Q8028" s="53" t="n">
        <v>46023.6644097222</v>
      </c>
      <c r="R8028" s="0" t="n">
        <v>0</v>
      </c>
      <c r="S8028" s="51" t="s">
        <v>2356</v>
      </c>
      <c r="T8028" s="51" t="s">
        <v>2356</v>
      </c>
      <c r="U8028" s="51" t="s">
        <v>3751</v>
      </c>
      <c r="V8028" s="51" t="s">
        <v>2357</v>
      </c>
      <c r="W8028" s="51" t="s">
        <v>3756</v>
      </c>
      <c r="X8028" s="51" t="s">
        <v>2359</v>
      </c>
    </row>
    <row r="8029" customFormat="false" ht="14.25" hidden="true" customHeight="false" outlineLevel="0" collapsed="false">
      <c r="A8029" s="49" t="s">
        <v>2349</v>
      </c>
      <c r="B8029" s="49" t="s">
        <v>2350</v>
      </c>
      <c r="C8029" s="49" t="s">
        <v>13021</v>
      </c>
      <c r="D8029" s="49" t="s">
        <v>2352</v>
      </c>
      <c r="E8029" s="49" t="s">
        <v>13022</v>
      </c>
      <c r="F8029" s="49" t="s">
        <v>13023</v>
      </c>
      <c r="G8029" s="49" t="n">
        <v>0</v>
      </c>
      <c r="H8029" s="0" t="n">
        <v>0</v>
      </c>
      <c r="M8029" s="51" t="s">
        <v>13014</v>
      </c>
      <c r="N8029" s="49" t="n">
        <v>0</v>
      </c>
      <c r="O8029" s="53" t="n">
        <v>46023.6626736111</v>
      </c>
      <c r="P8029" s="53" t="n">
        <v>46030.4165972222</v>
      </c>
      <c r="Q8029" s="53" t="n">
        <v>46023.6626736111</v>
      </c>
      <c r="R8029" s="0" t="n">
        <v>0</v>
      </c>
      <c r="S8029" s="51" t="s">
        <v>2356</v>
      </c>
      <c r="T8029" s="51" t="s">
        <v>2356</v>
      </c>
      <c r="U8029" s="51" t="s">
        <v>13022</v>
      </c>
      <c r="V8029" s="51" t="s">
        <v>10644</v>
      </c>
      <c r="W8029" s="51" t="s">
        <v>4486</v>
      </c>
      <c r="X8029" s="51" t="s">
        <v>2359</v>
      </c>
    </row>
    <row r="8030" customFormat="false" ht="14.25" hidden="true" customHeight="false" outlineLevel="0" collapsed="false">
      <c r="A8030" s="49" t="s">
        <v>2349</v>
      </c>
      <c r="B8030" s="49" t="s">
        <v>2350</v>
      </c>
      <c r="C8030" s="49" t="s">
        <v>13024</v>
      </c>
      <c r="D8030" s="49" t="s">
        <v>2352</v>
      </c>
      <c r="E8030" s="49" t="s">
        <v>13025</v>
      </c>
      <c r="F8030" s="49" t="s">
        <v>13026</v>
      </c>
      <c r="G8030" s="49" t="n">
        <v>0</v>
      </c>
      <c r="H8030" s="0" t="n">
        <v>0</v>
      </c>
      <c r="M8030" s="51" t="s">
        <v>13014</v>
      </c>
      <c r="N8030" s="49" t="n">
        <v>0</v>
      </c>
      <c r="O8030" s="53" t="n">
        <v>46023.6618402778</v>
      </c>
      <c r="P8030" s="53" t="n">
        <v>46039.5645486111</v>
      </c>
      <c r="Q8030" s="53" t="n">
        <v>46023.6618402778</v>
      </c>
      <c r="R8030" s="0" t="n">
        <v>0</v>
      </c>
      <c r="S8030" s="51" t="s">
        <v>2356</v>
      </c>
      <c r="T8030" s="51" t="s">
        <v>2356</v>
      </c>
      <c r="U8030" s="51" t="s">
        <v>13025</v>
      </c>
      <c r="V8030" s="51" t="s">
        <v>2357</v>
      </c>
      <c r="W8030" s="51" t="s">
        <v>4160</v>
      </c>
      <c r="X8030" s="51" t="s">
        <v>2359</v>
      </c>
    </row>
    <row r="8031" customFormat="false" ht="14.25" hidden="true" customHeight="false" outlineLevel="0" collapsed="false">
      <c r="A8031" s="49" t="s">
        <v>2349</v>
      </c>
      <c r="B8031" s="49" t="s">
        <v>2350</v>
      </c>
      <c r="C8031" s="49" t="s">
        <v>13027</v>
      </c>
      <c r="D8031" s="49" t="s">
        <v>2352</v>
      </c>
      <c r="E8031" s="49" t="s">
        <v>3751</v>
      </c>
      <c r="F8031" s="49" t="s">
        <v>3752</v>
      </c>
      <c r="G8031" s="49" t="n">
        <v>0</v>
      </c>
      <c r="H8031" s="0" t="n">
        <v>0</v>
      </c>
      <c r="M8031" s="51" t="s">
        <v>13014</v>
      </c>
      <c r="N8031" s="49" t="n">
        <v>0</v>
      </c>
      <c r="O8031" s="53" t="n">
        <v>46023.663275463</v>
      </c>
      <c r="P8031" s="53" t="n">
        <v>46030.4159606482</v>
      </c>
      <c r="Q8031" s="53" t="n">
        <v>46023.663275463</v>
      </c>
      <c r="R8031" s="0" t="n">
        <v>0</v>
      </c>
      <c r="S8031" s="51" t="s">
        <v>2356</v>
      </c>
      <c r="T8031" s="51" t="s">
        <v>2356</v>
      </c>
      <c r="U8031" s="51" t="s">
        <v>3751</v>
      </c>
      <c r="V8031" s="51" t="s">
        <v>2357</v>
      </c>
      <c r="W8031" s="51" t="s">
        <v>13028</v>
      </c>
      <c r="X8031" s="51" t="s">
        <v>2359</v>
      </c>
    </row>
    <row r="8032" customFormat="false" ht="14.25" hidden="true" customHeight="false" outlineLevel="0" collapsed="false">
      <c r="A8032" s="49" t="s">
        <v>2349</v>
      </c>
      <c r="B8032" s="49" t="s">
        <v>2350</v>
      </c>
      <c r="C8032" s="49" t="s">
        <v>13029</v>
      </c>
      <c r="D8032" s="49" t="s">
        <v>2352</v>
      </c>
      <c r="E8032" s="49" t="s">
        <v>4012</v>
      </c>
      <c r="F8032" s="49" t="s">
        <v>4013</v>
      </c>
      <c r="G8032" s="49" t="n">
        <v>0</v>
      </c>
      <c r="H8032" s="0" t="n">
        <v>0</v>
      </c>
      <c r="M8032" s="51" t="s">
        <v>13030</v>
      </c>
      <c r="N8032" s="49" t="n">
        <v>0</v>
      </c>
      <c r="O8032" s="53" t="n">
        <v>45990.4658796296</v>
      </c>
      <c r="P8032" s="53" t="n">
        <v>45995.9149421296</v>
      </c>
      <c r="Q8032" s="53" t="n">
        <v>45990.4658796296</v>
      </c>
      <c r="R8032" s="0" t="n">
        <v>0</v>
      </c>
      <c r="S8032" s="51" t="s">
        <v>3780</v>
      </c>
      <c r="T8032" s="51" t="s">
        <v>3780</v>
      </c>
      <c r="U8032" s="51" t="s">
        <v>4012</v>
      </c>
      <c r="V8032" s="51" t="s">
        <v>2365</v>
      </c>
      <c r="W8032" s="51" t="s">
        <v>10151</v>
      </c>
      <c r="X8032" s="51" t="s">
        <v>2359</v>
      </c>
    </row>
    <row r="8033" customFormat="false" ht="14.25" hidden="true" customHeight="false" outlineLevel="0" collapsed="false">
      <c r="A8033" s="49" t="s">
        <v>2349</v>
      </c>
      <c r="B8033" s="49" t="s">
        <v>2350</v>
      </c>
      <c r="C8033" s="49" t="s">
        <v>13031</v>
      </c>
      <c r="D8033" s="49" t="s">
        <v>2352</v>
      </c>
      <c r="E8033" s="49" t="s">
        <v>4012</v>
      </c>
      <c r="F8033" s="49" t="s">
        <v>4013</v>
      </c>
      <c r="G8033" s="49" t="n">
        <v>0</v>
      </c>
      <c r="H8033" s="0" t="n">
        <v>0</v>
      </c>
      <c r="M8033" s="51" t="s">
        <v>13030</v>
      </c>
      <c r="N8033" s="49" t="n">
        <v>0</v>
      </c>
      <c r="O8033" s="53" t="n">
        <v>45990.4663310185</v>
      </c>
      <c r="P8033" s="53" t="n">
        <v>45995.9138657407</v>
      </c>
      <c r="Q8033" s="53" t="n">
        <v>45990.4663310185</v>
      </c>
      <c r="R8033" s="0" t="n">
        <v>0</v>
      </c>
      <c r="S8033" s="51" t="s">
        <v>3780</v>
      </c>
      <c r="T8033" s="51" t="s">
        <v>3780</v>
      </c>
      <c r="U8033" s="51" t="s">
        <v>4012</v>
      </c>
      <c r="V8033" s="51" t="s">
        <v>2365</v>
      </c>
      <c r="W8033" s="51" t="s">
        <v>11132</v>
      </c>
      <c r="X8033" s="51" t="s">
        <v>2359</v>
      </c>
    </row>
    <row r="8034" customFormat="false" ht="14.25" hidden="true" customHeight="false" outlineLevel="0" collapsed="false">
      <c r="A8034" s="49" t="s">
        <v>2349</v>
      </c>
      <c r="B8034" s="49" t="s">
        <v>2350</v>
      </c>
      <c r="C8034" s="49" t="s">
        <v>13032</v>
      </c>
      <c r="D8034" s="49" t="s">
        <v>2352</v>
      </c>
      <c r="E8034" s="49" t="s">
        <v>4012</v>
      </c>
      <c r="F8034" s="49" t="s">
        <v>4013</v>
      </c>
      <c r="G8034" s="49" t="n">
        <v>0</v>
      </c>
      <c r="H8034" s="0" t="n">
        <v>0</v>
      </c>
      <c r="M8034" s="51" t="s">
        <v>13030</v>
      </c>
      <c r="N8034" s="49" t="n">
        <v>0</v>
      </c>
      <c r="O8034" s="53" t="n">
        <v>45990.4666666667</v>
      </c>
      <c r="P8034" s="53" t="n">
        <v>45995.7929398148</v>
      </c>
      <c r="Q8034" s="53" t="n">
        <v>45990.4666666667</v>
      </c>
      <c r="R8034" s="0" t="n">
        <v>0</v>
      </c>
      <c r="S8034" s="51" t="s">
        <v>3780</v>
      </c>
      <c r="T8034" s="51" t="s">
        <v>3780</v>
      </c>
      <c r="U8034" s="51" t="s">
        <v>4012</v>
      </c>
      <c r="V8034" s="51" t="s">
        <v>2365</v>
      </c>
      <c r="W8034" s="51" t="s">
        <v>10360</v>
      </c>
      <c r="X8034" s="51" t="s">
        <v>2359</v>
      </c>
    </row>
    <row r="8035" customFormat="false" ht="14.25" hidden="true" customHeight="false" outlineLevel="0" collapsed="false">
      <c r="A8035" s="49" t="s">
        <v>2349</v>
      </c>
      <c r="B8035" s="49" t="s">
        <v>2350</v>
      </c>
      <c r="C8035" s="49" t="s">
        <v>13033</v>
      </c>
      <c r="D8035" s="49" t="s">
        <v>2352</v>
      </c>
      <c r="E8035" s="49" t="s">
        <v>4012</v>
      </c>
      <c r="F8035" s="49" t="s">
        <v>4013</v>
      </c>
      <c r="G8035" s="49" t="n">
        <v>0</v>
      </c>
      <c r="H8035" s="0" t="n">
        <v>0</v>
      </c>
      <c r="M8035" s="51" t="s">
        <v>13030</v>
      </c>
      <c r="N8035" s="49" t="n">
        <v>0</v>
      </c>
      <c r="O8035" s="53" t="n">
        <v>45990.4669328704</v>
      </c>
      <c r="P8035" s="53" t="n">
        <v>45998.7742592593</v>
      </c>
      <c r="Q8035" s="53" t="n">
        <v>45990.4669328704</v>
      </c>
      <c r="R8035" s="0" t="n">
        <v>0</v>
      </c>
      <c r="S8035" s="51" t="s">
        <v>3780</v>
      </c>
      <c r="T8035" s="51" t="s">
        <v>3780</v>
      </c>
      <c r="U8035" s="51" t="s">
        <v>4012</v>
      </c>
      <c r="V8035" s="51" t="s">
        <v>2365</v>
      </c>
      <c r="W8035" s="51" t="s">
        <v>4897</v>
      </c>
      <c r="X8035" s="51" t="s">
        <v>2359</v>
      </c>
    </row>
    <row r="8036" customFormat="false" ht="14.25" hidden="true" customHeight="false" outlineLevel="0" collapsed="false">
      <c r="A8036" s="49" t="s">
        <v>2349</v>
      </c>
      <c r="B8036" s="49" t="s">
        <v>2350</v>
      </c>
      <c r="C8036" s="49" t="s">
        <v>13034</v>
      </c>
      <c r="D8036" s="49" t="s">
        <v>2352</v>
      </c>
      <c r="E8036" s="49" t="s">
        <v>4012</v>
      </c>
      <c r="F8036" s="49" t="s">
        <v>4013</v>
      </c>
      <c r="G8036" s="49" t="n">
        <v>0</v>
      </c>
      <c r="H8036" s="0" t="n">
        <v>0</v>
      </c>
      <c r="M8036" s="51" t="s">
        <v>13030</v>
      </c>
      <c r="N8036" s="49" t="n">
        <v>0</v>
      </c>
      <c r="O8036" s="53" t="n">
        <v>45990.4671990741</v>
      </c>
      <c r="P8036" s="53" t="n">
        <v>45995.7954166667</v>
      </c>
      <c r="Q8036" s="53" t="n">
        <v>45990.4671990741</v>
      </c>
      <c r="R8036" s="0" t="n">
        <v>0</v>
      </c>
      <c r="S8036" s="51" t="s">
        <v>3780</v>
      </c>
      <c r="T8036" s="51" t="s">
        <v>3780</v>
      </c>
      <c r="U8036" s="51" t="s">
        <v>4012</v>
      </c>
      <c r="V8036" s="51" t="s">
        <v>2365</v>
      </c>
      <c r="W8036" s="51" t="s">
        <v>13035</v>
      </c>
      <c r="X8036" s="51" t="s">
        <v>2359</v>
      </c>
    </row>
    <row r="8037" customFormat="false" ht="14.25" hidden="true" customHeight="false" outlineLevel="0" collapsed="false">
      <c r="A8037" s="49" t="s">
        <v>2349</v>
      </c>
      <c r="B8037" s="49" t="s">
        <v>2350</v>
      </c>
      <c r="C8037" s="49" t="s">
        <v>13036</v>
      </c>
      <c r="D8037" s="49" t="s">
        <v>2352</v>
      </c>
      <c r="E8037" s="49" t="s">
        <v>4012</v>
      </c>
      <c r="F8037" s="49" t="s">
        <v>4013</v>
      </c>
      <c r="G8037" s="49" t="n">
        <v>0</v>
      </c>
      <c r="H8037" s="0" t="n">
        <v>0</v>
      </c>
      <c r="M8037" s="51" t="s">
        <v>13030</v>
      </c>
      <c r="N8037" s="49" t="n">
        <v>0</v>
      </c>
      <c r="O8037" s="53" t="n">
        <v>45990.4674652778</v>
      </c>
      <c r="P8037" s="53" t="n">
        <v>45995.7965162037</v>
      </c>
      <c r="Q8037" s="53" t="n">
        <v>45990.4674652778</v>
      </c>
      <c r="R8037" s="0" t="n">
        <v>0</v>
      </c>
      <c r="S8037" s="51" t="s">
        <v>3780</v>
      </c>
      <c r="T8037" s="51" t="s">
        <v>3780</v>
      </c>
      <c r="U8037" s="51" t="s">
        <v>4012</v>
      </c>
      <c r="V8037" s="51" t="s">
        <v>2365</v>
      </c>
      <c r="W8037" s="51" t="s">
        <v>10365</v>
      </c>
      <c r="X8037" s="51" t="s">
        <v>2359</v>
      </c>
    </row>
    <row r="8038" customFormat="false" ht="14.25" hidden="true" customHeight="false" outlineLevel="0" collapsed="false">
      <c r="A8038" s="49" t="s">
        <v>2349</v>
      </c>
      <c r="B8038" s="49" t="s">
        <v>2350</v>
      </c>
      <c r="C8038" s="49" t="s">
        <v>13037</v>
      </c>
      <c r="D8038" s="49" t="s">
        <v>2352</v>
      </c>
      <c r="E8038" s="49" t="s">
        <v>4012</v>
      </c>
      <c r="F8038" s="49" t="s">
        <v>4013</v>
      </c>
      <c r="G8038" s="49" t="n">
        <v>0</v>
      </c>
      <c r="H8038" s="0" t="n">
        <v>0</v>
      </c>
      <c r="M8038" s="51" t="s">
        <v>13030</v>
      </c>
      <c r="N8038" s="49" t="n">
        <v>0</v>
      </c>
      <c r="O8038" s="53" t="n">
        <v>45990.4677314815</v>
      </c>
      <c r="P8038" s="53" t="n">
        <v>46026.5250925926</v>
      </c>
      <c r="Q8038" s="53" t="n">
        <v>45990.4677314815</v>
      </c>
      <c r="R8038" s="0" t="n">
        <v>0</v>
      </c>
      <c r="S8038" s="51" t="s">
        <v>3780</v>
      </c>
      <c r="T8038" s="51" t="s">
        <v>3780</v>
      </c>
      <c r="U8038" s="51" t="s">
        <v>4012</v>
      </c>
      <c r="V8038" s="51" t="s">
        <v>2365</v>
      </c>
      <c r="W8038" s="51" t="s">
        <v>11668</v>
      </c>
      <c r="X8038" s="51" t="s">
        <v>2359</v>
      </c>
    </row>
    <row r="8039" customFormat="false" ht="14.25" hidden="true" customHeight="false" outlineLevel="0" collapsed="false">
      <c r="A8039" s="49" t="s">
        <v>2349</v>
      </c>
      <c r="B8039" s="49" t="s">
        <v>2350</v>
      </c>
      <c r="C8039" s="49" t="s">
        <v>13038</v>
      </c>
      <c r="D8039" s="49" t="s">
        <v>2352</v>
      </c>
      <c r="E8039" s="49" t="s">
        <v>4012</v>
      </c>
      <c r="F8039" s="49" t="s">
        <v>4013</v>
      </c>
      <c r="G8039" s="49" t="n">
        <v>0</v>
      </c>
      <c r="H8039" s="0" t="n">
        <v>0</v>
      </c>
      <c r="M8039" s="51" t="s">
        <v>13030</v>
      </c>
      <c r="N8039" s="49" t="n">
        <v>0</v>
      </c>
      <c r="O8039" s="53" t="n">
        <v>45990.4682291667</v>
      </c>
      <c r="P8039" s="53" t="n">
        <v>45995.7916435185</v>
      </c>
      <c r="Q8039" s="53" t="n">
        <v>45990.4682291667</v>
      </c>
      <c r="R8039" s="0" t="n">
        <v>0</v>
      </c>
      <c r="S8039" s="51" t="s">
        <v>3780</v>
      </c>
      <c r="T8039" s="51" t="s">
        <v>3780</v>
      </c>
      <c r="U8039" s="51" t="s">
        <v>4012</v>
      </c>
      <c r="V8039" s="51" t="s">
        <v>2365</v>
      </c>
      <c r="W8039" s="51" t="s">
        <v>13039</v>
      </c>
      <c r="X8039" s="51" t="s">
        <v>2359</v>
      </c>
    </row>
    <row r="8040" customFormat="false" ht="14.25" hidden="true" customHeight="false" outlineLevel="0" collapsed="false">
      <c r="A8040" s="49" t="s">
        <v>2349</v>
      </c>
      <c r="B8040" s="49" t="s">
        <v>2350</v>
      </c>
      <c r="C8040" s="49" t="s">
        <v>13040</v>
      </c>
      <c r="D8040" s="49" t="s">
        <v>2352</v>
      </c>
      <c r="E8040" s="49" t="s">
        <v>4012</v>
      </c>
      <c r="F8040" s="49" t="s">
        <v>4013</v>
      </c>
      <c r="G8040" s="49" t="n">
        <v>0</v>
      </c>
      <c r="H8040" s="0" t="n">
        <v>0</v>
      </c>
      <c r="M8040" s="51" t="s">
        <v>13030</v>
      </c>
      <c r="N8040" s="49" t="n">
        <v>0</v>
      </c>
      <c r="O8040" s="53" t="n">
        <v>45990.4685416667</v>
      </c>
      <c r="P8040" s="53" t="n">
        <v>46017.6670833333</v>
      </c>
      <c r="Q8040" s="53" t="n">
        <v>45990.4685416667</v>
      </c>
      <c r="R8040" s="0" t="n">
        <v>0</v>
      </c>
      <c r="S8040" s="51" t="s">
        <v>3780</v>
      </c>
      <c r="T8040" s="51" t="s">
        <v>3780</v>
      </c>
      <c r="U8040" s="51" t="s">
        <v>4012</v>
      </c>
      <c r="V8040" s="51" t="s">
        <v>2365</v>
      </c>
      <c r="W8040" s="51" t="s">
        <v>13041</v>
      </c>
      <c r="X8040" s="51" t="s">
        <v>2359</v>
      </c>
    </row>
    <row r="8041" customFormat="false" ht="14.25" hidden="true" customHeight="false" outlineLevel="0" collapsed="false">
      <c r="A8041" s="49" t="s">
        <v>2349</v>
      </c>
      <c r="B8041" s="49" t="s">
        <v>2350</v>
      </c>
      <c r="C8041" s="49" t="s">
        <v>13042</v>
      </c>
      <c r="D8041" s="49" t="s">
        <v>2352</v>
      </c>
      <c r="E8041" s="49" t="s">
        <v>4012</v>
      </c>
      <c r="F8041" s="49" t="s">
        <v>4013</v>
      </c>
      <c r="G8041" s="49" t="n">
        <v>0</v>
      </c>
      <c r="H8041" s="0" t="n">
        <v>0</v>
      </c>
      <c r="M8041" s="51" t="s">
        <v>13030</v>
      </c>
      <c r="N8041" s="49" t="n">
        <v>0</v>
      </c>
      <c r="O8041" s="53" t="n">
        <v>45990.4979398148</v>
      </c>
      <c r="P8041" s="53" t="n">
        <v>46017.6888425926</v>
      </c>
      <c r="Q8041" s="53" t="n">
        <v>45990.4979398148</v>
      </c>
      <c r="R8041" s="0" t="n">
        <v>0</v>
      </c>
      <c r="S8041" s="51" t="s">
        <v>3780</v>
      </c>
      <c r="T8041" s="51" t="s">
        <v>3780</v>
      </c>
      <c r="U8041" s="51" t="s">
        <v>4012</v>
      </c>
      <c r="V8041" s="51" t="s">
        <v>2365</v>
      </c>
      <c r="W8041" s="51" t="s">
        <v>4468</v>
      </c>
      <c r="X8041" s="51" t="s">
        <v>2359</v>
      </c>
    </row>
    <row r="8042" customFormat="false" ht="14.25" hidden="true" customHeight="false" outlineLevel="0" collapsed="false">
      <c r="A8042" s="49" t="s">
        <v>2349</v>
      </c>
      <c r="B8042" s="49" t="s">
        <v>2350</v>
      </c>
      <c r="C8042" s="49" t="s">
        <v>13043</v>
      </c>
      <c r="D8042" s="49" t="s">
        <v>2352</v>
      </c>
      <c r="E8042" s="49" t="s">
        <v>4012</v>
      </c>
      <c r="F8042" s="49" t="s">
        <v>4013</v>
      </c>
      <c r="G8042" s="49" t="n">
        <v>0</v>
      </c>
      <c r="H8042" s="0" t="n">
        <v>0</v>
      </c>
      <c r="M8042" s="51" t="s">
        <v>13030</v>
      </c>
      <c r="N8042" s="49" t="n">
        <v>0</v>
      </c>
      <c r="O8042" s="53" t="n">
        <v>45990.4982291667</v>
      </c>
      <c r="P8042" s="53" t="n">
        <v>46027.9230208333</v>
      </c>
      <c r="Q8042" s="53" t="n">
        <v>45990.4982291667</v>
      </c>
      <c r="R8042" s="0" t="n">
        <v>0</v>
      </c>
      <c r="S8042" s="51" t="s">
        <v>3780</v>
      </c>
      <c r="T8042" s="51" t="s">
        <v>3780</v>
      </c>
      <c r="U8042" s="51" t="s">
        <v>4012</v>
      </c>
      <c r="V8042" s="51" t="s">
        <v>2365</v>
      </c>
      <c r="W8042" s="51" t="s">
        <v>13044</v>
      </c>
      <c r="X8042" s="51" t="s">
        <v>2359</v>
      </c>
    </row>
    <row r="8043" customFormat="false" ht="14.25" hidden="true" customHeight="false" outlineLevel="0" collapsed="false">
      <c r="A8043" s="49" t="s">
        <v>2349</v>
      </c>
      <c r="B8043" s="49" t="s">
        <v>2350</v>
      </c>
      <c r="C8043" s="49" t="s">
        <v>13045</v>
      </c>
      <c r="D8043" s="49" t="s">
        <v>2352</v>
      </c>
      <c r="E8043" s="49" t="s">
        <v>4012</v>
      </c>
      <c r="F8043" s="49" t="s">
        <v>4013</v>
      </c>
      <c r="G8043" s="49" t="n">
        <v>0</v>
      </c>
      <c r="H8043" s="0" t="n">
        <v>0</v>
      </c>
      <c r="M8043" s="51" t="s">
        <v>13030</v>
      </c>
      <c r="N8043" s="49" t="n">
        <v>0</v>
      </c>
      <c r="O8043" s="53" t="n">
        <v>45990.4985185185</v>
      </c>
      <c r="P8043" s="53" t="n">
        <v>46021.500625</v>
      </c>
      <c r="Q8043" s="53" t="n">
        <v>45990.4985185185</v>
      </c>
      <c r="R8043" s="0" t="n">
        <v>0</v>
      </c>
      <c r="S8043" s="51" t="s">
        <v>3780</v>
      </c>
      <c r="T8043" s="51" t="s">
        <v>3780</v>
      </c>
      <c r="U8043" s="51" t="s">
        <v>4012</v>
      </c>
      <c r="V8043" s="51" t="s">
        <v>2365</v>
      </c>
      <c r="W8043" s="51" t="s">
        <v>4225</v>
      </c>
      <c r="X8043" s="51" t="s">
        <v>2359</v>
      </c>
    </row>
    <row r="8044" customFormat="false" ht="14.25" hidden="true" customHeight="false" outlineLevel="0" collapsed="false">
      <c r="A8044" s="49" t="s">
        <v>2349</v>
      </c>
      <c r="B8044" s="49" t="s">
        <v>2350</v>
      </c>
      <c r="C8044" s="49" t="s">
        <v>13046</v>
      </c>
      <c r="D8044" s="49" t="s">
        <v>2352</v>
      </c>
      <c r="E8044" s="49" t="s">
        <v>4012</v>
      </c>
      <c r="F8044" s="49" t="s">
        <v>4013</v>
      </c>
      <c r="G8044" s="49" t="n">
        <v>0</v>
      </c>
      <c r="H8044" s="0" t="n">
        <v>0</v>
      </c>
      <c r="M8044" s="51" t="s">
        <v>13030</v>
      </c>
      <c r="N8044" s="49" t="n">
        <v>0</v>
      </c>
      <c r="O8044" s="53" t="n">
        <v>45990.4613194445</v>
      </c>
      <c r="P8044" s="53" t="n">
        <v>46035.380474537</v>
      </c>
      <c r="Q8044" s="53" t="n">
        <v>45990.4613194445</v>
      </c>
      <c r="R8044" s="0" t="n">
        <v>0</v>
      </c>
      <c r="S8044" s="51" t="s">
        <v>3780</v>
      </c>
      <c r="T8044" s="51" t="s">
        <v>3780</v>
      </c>
      <c r="U8044" s="51" t="s">
        <v>4012</v>
      </c>
      <c r="V8044" s="51" t="s">
        <v>2365</v>
      </c>
      <c r="W8044" s="51" t="s">
        <v>4038</v>
      </c>
      <c r="X8044" s="51" t="s">
        <v>2359</v>
      </c>
    </row>
    <row r="8045" customFormat="false" ht="14.25" hidden="true" customHeight="false" outlineLevel="0" collapsed="false">
      <c r="A8045" s="49" t="s">
        <v>2349</v>
      </c>
      <c r="B8045" s="49" t="s">
        <v>2350</v>
      </c>
      <c r="C8045" s="49" t="s">
        <v>13047</v>
      </c>
      <c r="D8045" s="49" t="s">
        <v>2352</v>
      </c>
      <c r="E8045" s="49" t="s">
        <v>4012</v>
      </c>
      <c r="F8045" s="49" t="s">
        <v>4013</v>
      </c>
      <c r="G8045" s="49" t="n">
        <v>0</v>
      </c>
      <c r="H8045" s="0" t="n">
        <v>0</v>
      </c>
      <c r="M8045" s="51" t="s">
        <v>13030</v>
      </c>
      <c r="N8045" s="49" t="n">
        <v>0</v>
      </c>
      <c r="O8045" s="53" t="n">
        <v>45990.4622453704</v>
      </c>
      <c r="P8045" s="53" t="n">
        <v>45995.7987268519</v>
      </c>
      <c r="Q8045" s="53" t="n">
        <v>45990.4622453704</v>
      </c>
      <c r="R8045" s="0" t="n">
        <v>0</v>
      </c>
      <c r="S8045" s="51" t="s">
        <v>3780</v>
      </c>
      <c r="T8045" s="51" t="s">
        <v>3780</v>
      </c>
      <c r="U8045" s="51" t="s">
        <v>4012</v>
      </c>
      <c r="V8045" s="51" t="s">
        <v>2365</v>
      </c>
      <c r="W8045" s="51" t="s">
        <v>8659</v>
      </c>
      <c r="X8045" s="51" t="s">
        <v>2359</v>
      </c>
    </row>
    <row r="8046" customFormat="false" ht="14.25" hidden="true" customHeight="false" outlineLevel="0" collapsed="false">
      <c r="A8046" s="49" t="s">
        <v>2349</v>
      </c>
      <c r="B8046" s="49" t="s">
        <v>2350</v>
      </c>
      <c r="C8046" s="49" t="s">
        <v>13048</v>
      </c>
      <c r="D8046" s="49" t="s">
        <v>2352</v>
      </c>
      <c r="E8046" s="49" t="s">
        <v>4012</v>
      </c>
      <c r="F8046" s="49" t="s">
        <v>4013</v>
      </c>
      <c r="G8046" s="49" t="n">
        <v>0</v>
      </c>
      <c r="H8046" s="0" t="n">
        <v>0</v>
      </c>
      <c r="M8046" s="51" t="s">
        <v>13030</v>
      </c>
      <c r="N8046" s="49" t="n">
        <v>0</v>
      </c>
      <c r="O8046" s="53" t="n">
        <v>45990.4626967593</v>
      </c>
      <c r="P8046" s="53" t="n">
        <v>45995.9123842593</v>
      </c>
      <c r="Q8046" s="53" t="n">
        <v>45990.4626967593</v>
      </c>
      <c r="R8046" s="0" t="n">
        <v>0</v>
      </c>
      <c r="S8046" s="51" t="s">
        <v>3780</v>
      </c>
      <c r="T8046" s="51" t="s">
        <v>3780</v>
      </c>
      <c r="U8046" s="51" t="s">
        <v>4012</v>
      </c>
      <c r="V8046" s="51" t="s">
        <v>2365</v>
      </c>
      <c r="W8046" s="51" t="s">
        <v>12892</v>
      </c>
      <c r="X8046" s="51" t="s">
        <v>2359</v>
      </c>
    </row>
    <row r="8047" customFormat="false" ht="14.25" hidden="true" customHeight="false" outlineLevel="0" collapsed="false">
      <c r="A8047" s="49" t="s">
        <v>2349</v>
      </c>
      <c r="B8047" s="49" t="s">
        <v>2350</v>
      </c>
      <c r="C8047" s="49" t="s">
        <v>13049</v>
      </c>
      <c r="D8047" s="49" t="s">
        <v>2352</v>
      </c>
      <c r="E8047" s="49" t="s">
        <v>4012</v>
      </c>
      <c r="F8047" s="49" t="s">
        <v>4013</v>
      </c>
      <c r="G8047" s="49" t="n">
        <v>0</v>
      </c>
      <c r="H8047" s="0" t="n">
        <v>0</v>
      </c>
      <c r="M8047" s="51" t="s">
        <v>13030</v>
      </c>
      <c r="N8047" s="49" t="n">
        <v>0</v>
      </c>
      <c r="O8047" s="53" t="n">
        <v>45990.4636342593</v>
      </c>
      <c r="P8047" s="53" t="n">
        <v>45995.7893171296</v>
      </c>
      <c r="Q8047" s="53" t="n">
        <v>45990.4636342593</v>
      </c>
      <c r="R8047" s="0" t="n">
        <v>0</v>
      </c>
      <c r="S8047" s="51" t="s">
        <v>3780</v>
      </c>
      <c r="T8047" s="51" t="s">
        <v>3780</v>
      </c>
      <c r="U8047" s="51" t="s">
        <v>4012</v>
      </c>
      <c r="V8047" s="51" t="s">
        <v>2365</v>
      </c>
      <c r="W8047" s="51" t="s">
        <v>10367</v>
      </c>
      <c r="X8047" s="51" t="s">
        <v>2359</v>
      </c>
    </row>
    <row r="8048" customFormat="false" ht="14.25" hidden="true" customHeight="false" outlineLevel="0" collapsed="false">
      <c r="A8048" s="49" t="s">
        <v>2349</v>
      </c>
      <c r="B8048" s="49" t="s">
        <v>2350</v>
      </c>
      <c r="C8048" s="49" t="s">
        <v>13050</v>
      </c>
      <c r="D8048" s="49" t="s">
        <v>2352</v>
      </c>
      <c r="E8048" s="49" t="s">
        <v>4012</v>
      </c>
      <c r="F8048" s="49" t="s">
        <v>4013</v>
      </c>
      <c r="G8048" s="49" t="n">
        <v>0</v>
      </c>
      <c r="H8048" s="0" t="n">
        <v>0</v>
      </c>
      <c r="M8048" s="51" t="s">
        <v>13030</v>
      </c>
      <c r="N8048" s="49" t="n">
        <v>0</v>
      </c>
      <c r="O8048" s="53" t="n">
        <v>45990.4639351852</v>
      </c>
      <c r="P8048" s="53" t="n">
        <v>45995.7975694445</v>
      </c>
      <c r="Q8048" s="53" t="n">
        <v>45990.4639351852</v>
      </c>
      <c r="R8048" s="0" t="n">
        <v>0</v>
      </c>
      <c r="S8048" s="51" t="s">
        <v>3780</v>
      </c>
      <c r="T8048" s="51" t="s">
        <v>3780</v>
      </c>
      <c r="U8048" s="51" t="s">
        <v>4012</v>
      </c>
      <c r="V8048" s="51" t="s">
        <v>2365</v>
      </c>
      <c r="W8048" s="51" t="s">
        <v>10369</v>
      </c>
      <c r="X8048" s="51" t="s">
        <v>2359</v>
      </c>
    </row>
    <row r="8049" customFormat="false" ht="14.25" hidden="true" customHeight="false" outlineLevel="0" collapsed="false">
      <c r="A8049" s="49" t="s">
        <v>2349</v>
      </c>
      <c r="B8049" s="49" t="s">
        <v>2350</v>
      </c>
      <c r="C8049" s="49" t="s">
        <v>13051</v>
      </c>
      <c r="D8049" s="49" t="s">
        <v>2352</v>
      </c>
      <c r="E8049" s="49" t="s">
        <v>4012</v>
      </c>
      <c r="F8049" s="49" t="s">
        <v>4013</v>
      </c>
      <c r="G8049" s="49" t="n">
        <v>0</v>
      </c>
      <c r="H8049" s="0" t="n">
        <v>0</v>
      </c>
      <c r="M8049" s="51" t="s">
        <v>13030</v>
      </c>
      <c r="N8049" s="49" t="n">
        <v>0</v>
      </c>
      <c r="O8049" s="53" t="n">
        <v>45990.4642939815</v>
      </c>
      <c r="P8049" s="53" t="n">
        <v>45995.7943171296</v>
      </c>
      <c r="Q8049" s="53" t="n">
        <v>45990.4642939815</v>
      </c>
      <c r="R8049" s="0" t="n">
        <v>0</v>
      </c>
      <c r="S8049" s="51" t="s">
        <v>3780</v>
      </c>
      <c r="T8049" s="51" t="s">
        <v>3780</v>
      </c>
      <c r="U8049" s="51" t="s">
        <v>4012</v>
      </c>
      <c r="V8049" s="51" t="s">
        <v>2365</v>
      </c>
      <c r="W8049" s="51" t="s">
        <v>4907</v>
      </c>
      <c r="X8049" s="51" t="s">
        <v>2359</v>
      </c>
    </row>
    <row r="8050" customFormat="false" ht="14.25" hidden="true" customHeight="false" outlineLevel="0" collapsed="false">
      <c r="A8050" s="49" t="s">
        <v>2349</v>
      </c>
      <c r="B8050" s="49" t="s">
        <v>2350</v>
      </c>
      <c r="C8050" s="49" t="s">
        <v>13052</v>
      </c>
      <c r="D8050" s="49" t="s">
        <v>2352</v>
      </c>
      <c r="E8050" s="49" t="s">
        <v>4012</v>
      </c>
      <c r="F8050" s="49" t="s">
        <v>4013</v>
      </c>
      <c r="G8050" s="49" t="n">
        <v>0</v>
      </c>
      <c r="H8050" s="0" t="n">
        <v>0</v>
      </c>
      <c r="M8050" s="51" t="s">
        <v>13030</v>
      </c>
      <c r="N8050" s="49" t="n">
        <v>0</v>
      </c>
      <c r="O8050" s="53" t="n">
        <v>45990.4997685185</v>
      </c>
      <c r="P8050" s="53" t="n">
        <v>46021.5068402778</v>
      </c>
      <c r="Q8050" s="53" t="n">
        <v>45990.4997685185</v>
      </c>
      <c r="R8050" s="0" t="n">
        <v>0</v>
      </c>
      <c r="S8050" s="51" t="s">
        <v>3780</v>
      </c>
      <c r="T8050" s="51" t="s">
        <v>3780</v>
      </c>
      <c r="U8050" s="51" t="s">
        <v>4012</v>
      </c>
      <c r="V8050" s="51" t="s">
        <v>2365</v>
      </c>
      <c r="W8050" s="51" t="s">
        <v>12115</v>
      </c>
      <c r="X8050" s="51" t="s">
        <v>2359</v>
      </c>
    </row>
    <row r="8051" customFormat="false" ht="14.25" hidden="true" customHeight="false" outlineLevel="0" collapsed="false">
      <c r="A8051" s="49" t="s">
        <v>2349</v>
      </c>
      <c r="B8051" s="49" t="s">
        <v>2350</v>
      </c>
      <c r="C8051" s="49" t="s">
        <v>13053</v>
      </c>
      <c r="D8051" s="49" t="s">
        <v>2352</v>
      </c>
      <c r="E8051" s="49" t="s">
        <v>4012</v>
      </c>
      <c r="F8051" s="49" t="s">
        <v>4013</v>
      </c>
      <c r="G8051" s="49" t="n">
        <v>0</v>
      </c>
      <c r="H8051" s="0" t="n">
        <v>0</v>
      </c>
      <c r="M8051" s="51" t="s">
        <v>13030</v>
      </c>
      <c r="N8051" s="49" t="n">
        <v>0</v>
      </c>
      <c r="O8051" s="53" t="n">
        <v>45990.4995138889</v>
      </c>
      <c r="P8051" s="53" t="n">
        <v>46040.7850810185</v>
      </c>
      <c r="Q8051" s="53" t="n">
        <v>45990.4995138889</v>
      </c>
      <c r="R8051" s="0" t="n">
        <v>0</v>
      </c>
      <c r="S8051" s="51" t="s">
        <v>3780</v>
      </c>
      <c r="T8051" s="51" t="s">
        <v>3780</v>
      </c>
      <c r="U8051" s="51" t="s">
        <v>4012</v>
      </c>
      <c r="V8051" s="51" t="s">
        <v>2365</v>
      </c>
      <c r="W8051" s="51" t="s">
        <v>13054</v>
      </c>
      <c r="X8051" s="51" t="s">
        <v>2359</v>
      </c>
    </row>
    <row r="8052" customFormat="false" ht="14.25" hidden="true" customHeight="false" outlineLevel="0" collapsed="false">
      <c r="A8052" s="49" t="s">
        <v>2349</v>
      </c>
      <c r="B8052" s="49" t="s">
        <v>2350</v>
      </c>
      <c r="C8052" s="49" t="s">
        <v>13055</v>
      </c>
      <c r="D8052" s="49" t="s">
        <v>2352</v>
      </c>
      <c r="E8052" s="49" t="s">
        <v>4012</v>
      </c>
      <c r="F8052" s="49" t="s">
        <v>4013</v>
      </c>
      <c r="G8052" s="49" t="n">
        <v>0</v>
      </c>
      <c r="H8052" s="0" t="n">
        <v>0</v>
      </c>
      <c r="M8052" s="51" t="s">
        <v>13030</v>
      </c>
      <c r="N8052" s="49" t="n">
        <v>0</v>
      </c>
      <c r="O8052" s="53" t="n">
        <v>45990.4992708333</v>
      </c>
      <c r="P8052" s="53" t="n">
        <v>46036.3073032407</v>
      </c>
      <c r="Q8052" s="53" t="n">
        <v>45990.4992708333</v>
      </c>
      <c r="R8052" s="0" t="n">
        <v>0</v>
      </c>
      <c r="S8052" s="51" t="s">
        <v>3780</v>
      </c>
      <c r="T8052" s="51" t="s">
        <v>3780</v>
      </c>
      <c r="U8052" s="51" t="s">
        <v>4012</v>
      </c>
      <c r="V8052" s="51" t="s">
        <v>2365</v>
      </c>
      <c r="W8052" s="51" t="s">
        <v>12573</v>
      </c>
      <c r="X8052" s="51" t="s">
        <v>2359</v>
      </c>
    </row>
    <row r="8053" customFormat="false" ht="14.25" hidden="true" customHeight="false" outlineLevel="0" collapsed="false">
      <c r="A8053" s="49" t="s">
        <v>2349</v>
      </c>
      <c r="B8053" s="49" t="s">
        <v>2350</v>
      </c>
      <c r="C8053" s="49" t="s">
        <v>13056</v>
      </c>
      <c r="D8053" s="49" t="s">
        <v>2352</v>
      </c>
      <c r="E8053" s="49" t="s">
        <v>4012</v>
      </c>
      <c r="F8053" s="49" t="s">
        <v>4013</v>
      </c>
      <c r="G8053" s="49" t="n">
        <v>0</v>
      </c>
      <c r="H8053" s="0" t="n">
        <v>0</v>
      </c>
      <c r="M8053" s="51" t="s">
        <v>13030</v>
      </c>
      <c r="N8053" s="49" t="n">
        <v>0</v>
      </c>
      <c r="O8053" s="53" t="n">
        <v>45990.4990162037</v>
      </c>
      <c r="P8053" s="53" t="n">
        <v>46021.4727199074</v>
      </c>
      <c r="Q8053" s="53" t="n">
        <v>45990.4990162037</v>
      </c>
      <c r="R8053" s="0" t="n">
        <v>0</v>
      </c>
      <c r="S8053" s="51" t="s">
        <v>3780</v>
      </c>
      <c r="T8053" s="51" t="s">
        <v>3780</v>
      </c>
      <c r="U8053" s="51" t="s">
        <v>4012</v>
      </c>
      <c r="V8053" s="51" t="s">
        <v>2365</v>
      </c>
      <c r="W8053" s="51" t="s">
        <v>13057</v>
      </c>
      <c r="X8053" s="51" t="s">
        <v>2359</v>
      </c>
    </row>
    <row r="8054" customFormat="false" ht="14.25" hidden="true" customHeight="false" outlineLevel="0" collapsed="false">
      <c r="A8054" s="49" t="s">
        <v>2349</v>
      </c>
      <c r="B8054" s="49" t="s">
        <v>2350</v>
      </c>
      <c r="C8054" s="49" t="s">
        <v>13058</v>
      </c>
      <c r="D8054" s="49" t="s">
        <v>2352</v>
      </c>
      <c r="E8054" s="49" t="s">
        <v>4012</v>
      </c>
      <c r="F8054" s="49" t="s">
        <v>4013</v>
      </c>
      <c r="G8054" s="49" t="n">
        <v>0</v>
      </c>
      <c r="H8054" s="0" t="n">
        <v>0</v>
      </c>
      <c r="M8054" s="51" t="s">
        <v>13030</v>
      </c>
      <c r="N8054" s="49" t="n">
        <v>0</v>
      </c>
      <c r="O8054" s="53" t="n">
        <v>45990.4987615741</v>
      </c>
      <c r="P8054" s="53" t="n">
        <v>46012.7714930556</v>
      </c>
      <c r="Q8054" s="53" t="n">
        <v>45990.4987615741</v>
      </c>
      <c r="R8054" s="0" t="n">
        <v>0</v>
      </c>
      <c r="S8054" s="51" t="s">
        <v>3780</v>
      </c>
      <c r="T8054" s="51" t="s">
        <v>3780</v>
      </c>
      <c r="U8054" s="51" t="s">
        <v>4012</v>
      </c>
      <c r="V8054" s="51" t="s">
        <v>2365</v>
      </c>
      <c r="W8054" s="51" t="s">
        <v>13059</v>
      </c>
      <c r="X8054" s="51" t="s">
        <v>2359</v>
      </c>
    </row>
    <row r="8055" customFormat="false" ht="14.25" hidden="true" customHeight="false" outlineLevel="0" collapsed="false">
      <c r="A8055" s="49" t="s">
        <v>2349</v>
      </c>
      <c r="B8055" s="49" t="s">
        <v>2350</v>
      </c>
      <c r="C8055" s="49" t="s">
        <v>13060</v>
      </c>
      <c r="D8055" s="49" t="s">
        <v>2352</v>
      </c>
      <c r="E8055" s="49" t="str">
        <f aca="false">"5060175132963"</f>
        <v>5060175132963</v>
      </c>
      <c r="F8055" s="49" t="s">
        <v>6052</v>
      </c>
      <c r="G8055" s="49" t="n">
        <v>0</v>
      </c>
      <c r="H8055" s="0" t="n">
        <v>0</v>
      </c>
      <c r="M8055" s="51" t="s">
        <v>13061</v>
      </c>
      <c r="N8055" s="49" t="n">
        <v>0</v>
      </c>
      <c r="O8055" s="53" t="n">
        <v>46034.4624768519</v>
      </c>
      <c r="P8055" s="53" t="n">
        <v>46044.9359722222</v>
      </c>
      <c r="Q8055" s="53" t="n">
        <v>46034.4624768519</v>
      </c>
      <c r="R8055" s="0" t="n">
        <v>0</v>
      </c>
      <c r="S8055" s="51" t="s">
        <v>3780</v>
      </c>
      <c r="T8055" s="51" t="s">
        <v>3780</v>
      </c>
      <c r="U8055" s="0" t="str">
        <f aca="false">"5060175132963"</f>
        <v>5060175132963</v>
      </c>
      <c r="V8055" s="51" t="s">
        <v>2365</v>
      </c>
      <c r="W8055" s="51" t="s">
        <v>10742</v>
      </c>
      <c r="X8055" s="51" t="s">
        <v>2359</v>
      </c>
    </row>
    <row r="8056" customFormat="false" ht="14.25" hidden="true" customHeight="false" outlineLevel="0" collapsed="false">
      <c r="A8056" s="49" t="s">
        <v>2349</v>
      </c>
      <c r="B8056" s="49" t="s">
        <v>2350</v>
      </c>
      <c r="C8056" s="49" t="s">
        <v>13062</v>
      </c>
      <c r="D8056" s="49" t="s">
        <v>2352</v>
      </c>
      <c r="E8056" s="49" t="s">
        <v>13063</v>
      </c>
      <c r="F8056" s="49" t="s">
        <v>13064</v>
      </c>
      <c r="G8056" s="49" t="n">
        <v>0</v>
      </c>
      <c r="H8056" s="0" t="n">
        <v>0</v>
      </c>
      <c r="M8056" s="51" t="s">
        <v>13065</v>
      </c>
      <c r="N8056" s="49" t="n">
        <v>0</v>
      </c>
      <c r="O8056" s="53" t="n">
        <v>46049.3242592593</v>
      </c>
      <c r="P8056" s="53" t="n">
        <v>46057.3872569444</v>
      </c>
      <c r="Q8056" s="53" t="n">
        <v>46049.3242592593</v>
      </c>
      <c r="R8056" s="0" t="n">
        <v>0</v>
      </c>
      <c r="S8056" s="51" t="s">
        <v>2356</v>
      </c>
      <c r="T8056" s="51" t="s">
        <v>2356</v>
      </c>
      <c r="U8056" s="51" t="s">
        <v>13063</v>
      </c>
      <c r="V8056" s="51" t="s">
        <v>2365</v>
      </c>
      <c r="W8056" s="51" t="s">
        <v>10531</v>
      </c>
      <c r="X8056" s="51" t="s">
        <v>2359</v>
      </c>
    </row>
    <row r="8057" customFormat="false" ht="14.25" hidden="true" customHeight="false" outlineLevel="0" collapsed="false">
      <c r="A8057" s="49" t="s">
        <v>2349</v>
      </c>
      <c r="B8057" s="49" t="s">
        <v>2350</v>
      </c>
      <c r="C8057" s="49" t="s">
        <v>13066</v>
      </c>
      <c r="D8057" s="49" t="s">
        <v>2352</v>
      </c>
      <c r="E8057" s="49" t="str">
        <f aca="false">"8908020441070"</f>
        <v>8908020441070</v>
      </c>
      <c r="F8057" s="49" t="s">
        <v>5404</v>
      </c>
      <c r="G8057" s="49" t="n">
        <v>0</v>
      </c>
      <c r="H8057" s="0" t="n">
        <v>0</v>
      </c>
      <c r="M8057" s="51" t="s">
        <v>13065</v>
      </c>
      <c r="N8057" s="49" t="n">
        <v>0</v>
      </c>
      <c r="O8057" s="53" t="n">
        <v>46049.3147453704</v>
      </c>
      <c r="P8057" s="53" t="n">
        <v>46055.6213541667</v>
      </c>
      <c r="Q8057" s="53" t="n">
        <v>46049.3147453704</v>
      </c>
      <c r="R8057" s="0" t="n">
        <v>0</v>
      </c>
      <c r="S8057" s="51" t="s">
        <v>2356</v>
      </c>
      <c r="T8057" s="51" t="s">
        <v>2356</v>
      </c>
      <c r="U8057" s="0" t="str">
        <f aca="false">"8908020441070"</f>
        <v>8908020441070</v>
      </c>
      <c r="V8057" s="51" t="s">
        <v>5386</v>
      </c>
      <c r="W8057" s="51" t="s">
        <v>7397</v>
      </c>
      <c r="X8057" s="51" t="s">
        <v>2359</v>
      </c>
    </row>
    <row r="8058" customFormat="false" ht="14.25" hidden="true" customHeight="false" outlineLevel="0" collapsed="false">
      <c r="A8058" s="49" t="s">
        <v>2349</v>
      </c>
      <c r="B8058" s="49" t="s">
        <v>2350</v>
      </c>
      <c r="C8058" s="49" t="s">
        <v>13067</v>
      </c>
      <c r="D8058" s="49" t="s">
        <v>2352</v>
      </c>
      <c r="E8058" s="49" t="str">
        <f aca="false">"8908020441070"</f>
        <v>8908020441070</v>
      </c>
      <c r="F8058" s="49" t="s">
        <v>5404</v>
      </c>
      <c r="G8058" s="49" t="n">
        <v>0</v>
      </c>
      <c r="H8058" s="0" t="n">
        <v>0</v>
      </c>
      <c r="M8058" s="51" t="s">
        <v>13065</v>
      </c>
      <c r="N8058" s="49" t="n">
        <v>0</v>
      </c>
      <c r="O8058" s="53" t="n">
        <v>46049.3149652778</v>
      </c>
      <c r="P8058" s="53" t="n">
        <v>46055.6212268519</v>
      </c>
      <c r="Q8058" s="53" t="n">
        <v>46049.3149652778</v>
      </c>
      <c r="R8058" s="0" t="n">
        <v>0</v>
      </c>
      <c r="S8058" s="51" t="s">
        <v>2356</v>
      </c>
      <c r="T8058" s="51" t="s">
        <v>2356</v>
      </c>
      <c r="U8058" s="0" t="str">
        <f aca="false">"8908020441070"</f>
        <v>8908020441070</v>
      </c>
      <c r="V8058" s="51" t="s">
        <v>5386</v>
      </c>
      <c r="W8058" s="51" t="s">
        <v>4130</v>
      </c>
      <c r="X8058" s="51" t="s">
        <v>2359</v>
      </c>
    </row>
    <row r="8059" customFormat="false" ht="14.25" hidden="true" customHeight="false" outlineLevel="0" collapsed="false">
      <c r="A8059" s="49" t="s">
        <v>2349</v>
      </c>
      <c r="B8059" s="49" t="s">
        <v>2350</v>
      </c>
      <c r="C8059" s="49" t="s">
        <v>13068</v>
      </c>
      <c r="D8059" s="49" t="s">
        <v>2352</v>
      </c>
      <c r="E8059" s="49" t="str">
        <f aca="false">"12520141"</f>
        <v>12520141</v>
      </c>
      <c r="F8059" s="49" t="s">
        <v>11510</v>
      </c>
      <c r="G8059" s="49" t="n">
        <v>0</v>
      </c>
      <c r="H8059" s="0" t="n">
        <v>0</v>
      </c>
      <c r="M8059" s="51" t="s">
        <v>13069</v>
      </c>
      <c r="N8059" s="49" t="n">
        <v>0</v>
      </c>
      <c r="O8059" s="53" t="n">
        <v>46044.6979861111</v>
      </c>
      <c r="P8059" s="53" t="n">
        <v>46051.418125</v>
      </c>
      <c r="Q8059" s="53" t="n">
        <v>46044.6979861111</v>
      </c>
      <c r="R8059" s="0" t="n">
        <v>0</v>
      </c>
      <c r="S8059" s="51" t="s">
        <v>3780</v>
      </c>
      <c r="T8059" s="51" t="s">
        <v>3780</v>
      </c>
      <c r="U8059" s="0" t="str">
        <f aca="false">"12520141"</f>
        <v>12520141</v>
      </c>
      <c r="V8059" s="51" t="s">
        <v>2365</v>
      </c>
      <c r="W8059" s="51" t="s">
        <v>13070</v>
      </c>
      <c r="X8059" s="51" t="s">
        <v>2359</v>
      </c>
    </row>
    <row r="8060" customFormat="false" ht="14.25" hidden="true" customHeight="false" outlineLevel="0" collapsed="false">
      <c r="A8060" s="49" t="s">
        <v>2349</v>
      </c>
      <c r="B8060" s="49" t="s">
        <v>2350</v>
      </c>
      <c r="C8060" s="49" t="s">
        <v>13071</v>
      </c>
      <c r="D8060" s="49" t="s">
        <v>2352</v>
      </c>
      <c r="E8060" s="49" t="str">
        <f aca="false">"12520141"</f>
        <v>12520141</v>
      </c>
      <c r="F8060" s="49" t="s">
        <v>11510</v>
      </c>
      <c r="G8060" s="49" t="n">
        <v>0</v>
      </c>
      <c r="H8060" s="0" t="n">
        <v>0</v>
      </c>
      <c r="M8060" s="51" t="s">
        <v>13069</v>
      </c>
      <c r="N8060" s="49" t="n">
        <v>0</v>
      </c>
      <c r="O8060" s="53" t="n">
        <v>46044.695150463</v>
      </c>
      <c r="P8060" s="53" t="n">
        <v>46051.4050462963</v>
      </c>
      <c r="Q8060" s="53" t="n">
        <v>46044.695150463</v>
      </c>
      <c r="R8060" s="0" t="n">
        <v>0</v>
      </c>
      <c r="S8060" s="51" t="s">
        <v>3780</v>
      </c>
      <c r="T8060" s="51" t="s">
        <v>3780</v>
      </c>
      <c r="U8060" s="0" t="str">
        <f aca="false">"12520141"</f>
        <v>12520141</v>
      </c>
      <c r="V8060" s="51" t="s">
        <v>2365</v>
      </c>
      <c r="W8060" s="51" t="s">
        <v>13072</v>
      </c>
      <c r="X8060" s="51" t="s">
        <v>2359</v>
      </c>
    </row>
    <row r="8061" customFormat="false" ht="14.25" hidden="true" customHeight="false" outlineLevel="0" collapsed="false">
      <c r="A8061" s="49" t="s">
        <v>2349</v>
      </c>
      <c r="B8061" s="49" t="s">
        <v>2350</v>
      </c>
      <c r="C8061" s="49" t="s">
        <v>13073</v>
      </c>
      <c r="D8061" s="49" t="s">
        <v>2352</v>
      </c>
      <c r="E8061" s="49" t="str">
        <f aca="false">"12520141"</f>
        <v>12520141</v>
      </c>
      <c r="F8061" s="49" t="s">
        <v>11510</v>
      </c>
      <c r="G8061" s="49" t="n">
        <v>0</v>
      </c>
      <c r="H8061" s="0" t="n">
        <v>0</v>
      </c>
      <c r="M8061" s="51" t="s">
        <v>13069</v>
      </c>
      <c r="N8061" s="49" t="n">
        <v>0</v>
      </c>
      <c r="O8061" s="53" t="n">
        <v>46044.6961342593</v>
      </c>
      <c r="P8061" s="53" t="n">
        <v>46051.4190046296</v>
      </c>
      <c r="Q8061" s="53" t="n">
        <v>46044.6961342593</v>
      </c>
      <c r="R8061" s="0" t="n">
        <v>0</v>
      </c>
      <c r="S8061" s="51" t="s">
        <v>3780</v>
      </c>
      <c r="T8061" s="51" t="s">
        <v>3780</v>
      </c>
      <c r="U8061" s="0" t="str">
        <f aca="false">"12520141"</f>
        <v>12520141</v>
      </c>
      <c r="V8061" s="51" t="s">
        <v>2365</v>
      </c>
      <c r="W8061" s="51" t="s">
        <v>13074</v>
      </c>
      <c r="X8061" s="51" t="s">
        <v>2359</v>
      </c>
    </row>
    <row r="8062" customFormat="false" ht="14.25" hidden="true" customHeight="false" outlineLevel="0" collapsed="false">
      <c r="A8062" s="49" t="s">
        <v>2349</v>
      </c>
      <c r="B8062" s="49" t="s">
        <v>2350</v>
      </c>
      <c r="C8062" s="49" t="s">
        <v>13075</v>
      </c>
      <c r="D8062" s="49" t="s">
        <v>2352</v>
      </c>
      <c r="E8062" s="49" t="str">
        <f aca="false">"12520141"</f>
        <v>12520141</v>
      </c>
      <c r="F8062" s="49" t="s">
        <v>11510</v>
      </c>
      <c r="G8062" s="49" t="n">
        <v>0</v>
      </c>
      <c r="H8062" s="0" t="n">
        <v>0</v>
      </c>
      <c r="M8062" s="51" t="s">
        <v>13069</v>
      </c>
      <c r="N8062" s="49" t="n">
        <v>0</v>
      </c>
      <c r="O8062" s="53" t="n">
        <v>46044.6965625</v>
      </c>
      <c r="P8062" s="53" t="n">
        <v>46051.4234606482</v>
      </c>
      <c r="Q8062" s="53" t="n">
        <v>46044.6965625</v>
      </c>
      <c r="R8062" s="0" t="n">
        <v>0</v>
      </c>
      <c r="S8062" s="51" t="s">
        <v>3780</v>
      </c>
      <c r="T8062" s="51" t="s">
        <v>3780</v>
      </c>
      <c r="U8062" s="0" t="str">
        <f aca="false">"12520141"</f>
        <v>12520141</v>
      </c>
      <c r="V8062" s="51" t="s">
        <v>2365</v>
      </c>
      <c r="W8062" s="51" t="s">
        <v>13076</v>
      </c>
      <c r="X8062" s="51" t="s">
        <v>2359</v>
      </c>
    </row>
    <row r="8063" customFormat="false" ht="14.25" hidden="true" customHeight="false" outlineLevel="0" collapsed="false">
      <c r="A8063" s="49" t="s">
        <v>2349</v>
      </c>
      <c r="B8063" s="49" t="s">
        <v>2350</v>
      </c>
      <c r="C8063" s="49" t="s">
        <v>13077</v>
      </c>
      <c r="D8063" s="49" t="s">
        <v>2352</v>
      </c>
      <c r="E8063" s="49" t="str">
        <f aca="false">"12520141"</f>
        <v>12520141</v>
      </c>
      <c r="F8063" s="49" t="s">
        <v>11510</v>
      </c>
      <c r="G8063" s="49" t="n">
        <v>0</v>
      </c>
      <c r="H8063" s="0" t="n">
        <v>0</v>
      </c>
      <c r="M8063" s="51" t="s">
        <v>13069</v>
      </c>
      <c r="N8063" s="49" t="n">
        <v>0</v>
      </c>
      <c r="O8063" s="53" t="n">
        <v>46044.6969907407</v>
      </c>
      <c r="P8063" s="53" t="n">
        <v>46051.4076967593</v>
      </c>
      <c r="Q8063" s="53" t="n">
        <v>46044.6969907407</v>
      </c>
      <c r="R8063" s="0" t="n">
        <v>0</v>
      </c>
      <c r="S8063" s="51" t="s">
        <v>3780</v>
      </c>
      <c r="T8063" s="51" t="s">
        <v>3780</v>
      </c>
      <c r="U8063" s="0" t="str">
        <f aca="false">"12520141"</f>
        <v>12520141</v>
      </c>
      <c r="V8063" s="51" t="s">
        <v>2365</v>
      </c>
      <c r="W8063" s="51" t="s">
        <v>8700</v>
      </c>
      <c r="X8063" s="51" t="s">
        <v>2359</v>
      </c>
    </row>
    <row r="8064" customFormat="false" ht="14.25" hidden="true" customHeight="false" outlineLevel="0" collapsed="false">
      <c r="A8064" s="49" t="s">
        <v>2349</v>
      </c>
      <c r="B8064" s="49" t="s">
        <v>2350</v>
      </c>
      <c r="C8064" s="49" t="s">
        <v>13078</v>
      </c>
      <c r="D8064" s="49" t="s">
        <v>2352</v>
      </c>
      <c r="E8064" s="49" t="str">
        <f aca="false">"12520141"</f>
        <v>12520141</v>
      </c>
      <c r="F8064" s="49" t="s">
        <v>11510</v>
      </c>
      <c r="G8064" s="49" t="n">
        <v>0</v>
      </c>
      <c r="H8064" s="0" t="n">
        <v>0</v>
      </c>
      <c r="M8064" s="51" t="s">
        <v>13069</v>
      </c>
      <c r="N8064" s="49" t="n">
        <v>0</v>
      </c>
      <c r="O8064" s="53" t="n">
        <v>46044.6973611111</v>
      </c>
      <c r="P8064" s="53" t="n">
        <v>46051.4058796296</v>
      </c>
      <c r="Q8064" s="53" t="n">
        <v>46044.6973611111</v>
      </c>
      <c r="R8064" s="0" t="n">
        <v>0</v>
      </c>
      <c r="S8064" s="51" t="s">
        <v>3780</v>
      </c>
      <c r="T8064" s="51" t="s">
        <v>3780</v>
      </c>
      <c r="U8064" s="0" t="str">
        <f aca="false">"12520141"</f>
        <v>12520141</v>
      </c>
      <c r="V8064" s="51" t="s">
        <v>2365</v>
      </c>
      <c r="W8064" s="51" t="s">
        <v>11513</v>
      </c>
      <c r="X8064" s="51" t="s">
        <v>2359</v>
      </c>
    </row>
    <row r="8065" customFormat="false" ht="14.25" hidden="true" customHeight="false" outlineLevel="0" collapsed="false">
      <c r="A8065" s="49" t="s">
        <v>2349</v>
      </c>
      <c r="B8065" s="49" t="s">
        <v>2350</v>
      </c>
      <c r="C8065" s="49" t="s">
        <v>13079</v>
      </c>
      <c r="D8065" s="49" t="s">
        <v>2352</v>
      </c>
      <c r="E8065" s="49" t="str">
        <f aca="false">"10102020303000"</f>
        <v>10102020303000</v>
      </c>
      <c r="F8065" s="49" t="s">
        <v>11022</v>
      </c>
      <c r="G8065" s="49" t="n">
        <v>0</v>
      </c>
      <c r="H8065" s="0" t="n">
        <v>0</v>
      </c>
      <c r="M8065" s="51" t="s">
        <v>13080</v>
      </c>
      <c r="N8065" s="49" t="n">
        <v>0</v>
      </c>
      <c r="O8065" s="53" t="n">
        <v>46036.4746527778</v>
      </c>
      <c r="P8065" s="53" t="n">
        <v>46037.0769328704</v>
      </c>
      <c r="Q8065" s="53" t="n">
        <v>46036.4746527778</v>
      </c>
      <c r="R8065" s="0" t="n">
        <v>0</v>
      </c>
      <c r="S8065" s="51" t="s">
        <v>3780</v>
      </c>
      <c r="T8065" s="51" t="s">
        <v>3780</v>
      </c>
      <c r="U8065" s="0" t="str">
        <f aca="false">"10102020303000"</f>
        <v>10102020303000</v>
      </c>
      <c r="V8065" s="51" t="s">
        <v>7596</v>
      </c>
      <c r="W8065" s="51" t="s">
        <v>8558</v>
      </c>
      <c r="X8065" s="51" t="s">
        <v>2359</v>
      </c>
    </row>
    <row r="8066" customFormat="false" ht="14.25" hidden="true" customHeight="false" outlineLevel="0" collapsed="false">
      <c r="A8066" s="49" t="s">
        <v>2349</v>
      </c>
      <c r="B8066" s="49" t="s">
        <v>2350</v>
      </c>
      <c r="C8066" s="49" t="s">
        <v>13081</v>
      </c>
      <c r="D8066" s="49" t="s">
        <v>2352</v>
      </c>
      <c r="E8066" s="49" t="str">
        <f aca="false">"10110809"</f>
        <v>10110809</v>
      </c>
      <c r="F8066" s="49" t="s">
        <v>10058</v>
      </c>
      <c r="G8066" s="49" t="n">
        <v>0</v>
      </c>
      <c r="H8066" s="0" t="n">
        <v>0</v>
      </c>
      <c r="M8066" s="51" t="s">
        <v>13082</v>
      </c>
      <c r="N8066" s="49" t="n">
        <v>0</v>
      </c>
      <c r="O8066" s="53" t="n">
        <v>46049.3058796296</v>
      </c>
      <c r="P8066" s="53" t="n">
        <v>46050.4707407407</v>
      </c>
      <c r="Q8066" s="53" t="n">
        <v>46049.3058796296</v>
      </c>
      <c r="R8066" s="0" t="n">
        <v>0</v>
      </c>
      <c r="S8066" s="51" t="s">
        <v>2356</v>
      </c>
      <c r="T8066" s="51" t="s">
        <v>2356</v>
      </c>
      <c r="U8066" s="0" t="str">
        <f aca="false">"10110809"</f>
        <v>10110809</v>
      </c>
      <c r="V8066" s="51" t="s">
        <v>2365</v>
      </c>
      <c r="W8066" s="51" t="s">
        <v>7992</v>
      </c>
      <c r="X8066" s="51" t="s">
        <v>2359</v>
      </c>
    </row>
    <row r="8067" customFormat="false" ht="14.25" hidden="true" customHeight="false" outlineLevel="0" collapsed="false">
      <c r="A8067" s="49" t="s">
        <v>2349</v>
      </c>
      <c r="B8067" s="49" t="s">
        <v>2350</v>
      </c>
      <c r="C8067" s="49" t="s">
        <v>13083</v>
      </c>
      <c r="D8067" s="49" t="s">
        <v>2352</v>
      </c>
      <c r="E8067" s="49" t="str">
        <f aca="false">"10110809"</f>
        <v>10110809</v>
      </c>
      <c r="F8067" s="49" t="s">
        <v>10058</v>
      </c>
      <c r="G8067" s="49" t="n">
        <v>0</v>
      </c>
      <c r="H8067" s="0" t="n">
        <v>0</v>
      </c>
      <c r="M8067" s="51" t="s">
        <v>13082</v>
      </c>
      <c r="N8067" s="49" t="n">
        <v>0</v>
      </c>
      <c r="O8067" s="53" t="n">
        <v>46049.3053125</v>
      </c>
      <c r="P8067" s="53" t="n">
        <v>46050.4708680556</v>
      </c>
      <c r="Q8067" s="53" t="n">
        <v>46049.3053125</v>
      </c>
      <c r="R8067" s="0" t="n">
        <v>0</v>
      </c>
      <c r="S8067" s="51" t="s">
        <v>2356</v>
      </c>
      <c r="T8067" s="51" t="s">
        <v>2356</v>
      </c>
      <c r="U8067" s="0" t="str">
        <f aca="false">"10110809"</f>
        <v>10110809</v>
      </c>
      <c r="V8067" s="51" t="s">
        <v>2365</v>
      </c>
      <c r="W8067" s="51" t="s">
        <v>7992</v>
      </c>
      <c r="X8067" s="51" t="s">
        <v>2359</v>
      </c>
    </row>
    <row r="8068" customFormat="false" ht="14.25" hidden="true" customHeight="false" outlineLevel="0" collapsed="false">
      <c r="A8068" s="49" t="s">
        <v>2349</v>
      </c>
      <c r="B8068" s="49" t="s">
        <v>2350</v>
      </c>
      <c r="C8068" s="49" t="s">
        <v>13084</v>
      </c>
      <c r="D8068" s="49" t="s">
        <v>2352</v>
      </c>
      <c r="E8068" s="49" t="s">
        <v>3633</v>
      </c>
      <c r="F8068" s="49" t="s">
        <v>3634</v>
      </c>
      <c r="G8068" s="49" t="n">
        <v>0</v>
      </c>
      <c r="H8068" s="0" t="n">
        <v>0</v>
      </c>
      <c r="M8068" s="51" t="s">
        <v>13085</v>
      </c>
      <c r="N8068" s="49" t="n">
        <v>0</v>
      </c>
      <c r="O8068" s="53" t="n">
        <v>46040.6069444444</v>
      </c>
      <c r="P8068" s="53" t="n">
        <v>46042.4713078704</v>
      </c>
      <c r="Q8068" s="53" t="n">
        <v>46040.6069444444</v>
      </c>
      <c r="R8068" s="0" t="n">
        <v>0</v>
      </c>
      <c r="S8068" s="51" t="s">
        <v>2356</v>
      </c>
      <c r="T8068" s="51" t="s">
        <v>2356</v>
      </c>
      <c r="U8068" s="51" t="s">
        <v>3633</v>
      </c>
      <c r="V8068" s="51" t="s">
        <v>2357</v>
      </c>
      <c r="W8068" s="51" t="s">
        <v>5414</v>
      </c>
      <c r="X8068" s="51" t="s">
        <v>2359</v>
      </c>
    </row>
    <row r="8069" customFormat="false" ht="14.25" hidden="true" customHeight="false" outlineLevel="0" collapsed="false">
      <c r="A8069" s="49" t="s">
        <v>2349</v>
      </c>
      <c r="B8069" s="49" t="s">
        <v>2350</v>
      </c>
      <c r="C8069" s="49" t="s">
        <v>13086</v>
      </c>
      <c r="D8069" s="49" t="s">
        <v>2352</v>
      </c>
      <c r="E8069" s="49" t="s">
        <v>4351</v>
      </c>
      <c r="F8069" s="49" t="s">
        <v>4352</v>
      </c>
      <c r="G8069" s="49" t="n">
        <v>0</v>
      </c>
      <c r="H8069" s="0" t="n">
        <v>0</v>
      </c>
      <c r="M8069" s="51" t="s">
        <v>13085</v>
      </c>
      <c r="N8069" s="49" t="n">
        <v>0</v>
      </c>
      <c r="O8069" s="53" t="n">
        <v>46040.6052893519</v>
      </c>
      <c r="P8069" s="53" t="n">
        <v>46041.5889351852</v>
      </c>
      <c r="Q8069" s="53" t="n">
        <v>46040.6052893519</v>
      </c>
      <c r="R8069" s="0" t="n">
        <v>0</v>
      </c>
      <c r="S8069" s="51" t="s">
        <v>2356</v>
      </c>
      <c r="T8069" s="51" t="s">
        <v>2356</v>
      </c>
      <c r="U8069" s="51" t="s">
        <v>4351</v>
      </c>
      <c r="V8069" s="51" t="s">
        <v>2365</v>
      </c>
      <c r="W8069" s="51" t="s">
        <v>7403</v>
      </c>
      <c r="X8069" s="51" t="s">
        <v>2359</v>
      </c>
    </row>
    <row r="8070" customFormat="false" ht="14.25" hidden="true" customHeight="false" outlineLevel="0" collapsed="false">
      <c r="A8070" s="49" t="s">
        <v>2349</v>
      </c>
      <c r="B8070" s="49" t="s">
        <v>2350</v>
      </c>
      <c r="C8070" s="49" t="s">
        <v>13087</v>
      </c>
      <c r="D8070" s="49" t="s">
        <v>2352</v>
      </c>
      <c r="E8070" s="49" t="str">
        <f aca="false">"734730225548"</f>
        <v>734730225548</v>
      </c>
      <c r="F8070" s="49" t="s">
        <v>2434</v>
      </c>
      <c r="G8070" s="49" t="n">
        <v>0</v>
      </c>
      <c r="H8070" s="0" t="n">
        <v>0</v>
      </c>
      <c r="M8070" s="51" t="s">
        <v>13088</v>
      </c>
      <c r="N8070" s="49" t="n">
        <v>0</v>
      </c>
      <c r="O8070" s="53" t="n">
        <v>46048.7580439815</v>
      </c>
      <c r="P8070" s="53" t="n">
        <v>46051.4002662037</v>
      </c>
      <c r="Q8070" s="53" t="n">
        <v>46048.7580439815</v>
      </c>
      <c r="R8070" s="0" t="n">
        <v>0</v>
      </c>
      <c r="S8070" s="51" t="s">
        <v>2398</v>
      </c>
      <c r="T8070" s="51" t="s">
        <v>2398</v>
      </c>
      <c r="U8070" s="0" t="str">
        <f aca="false">"734730225548"</f>
        <v>734730225548</v>
      </c>
      <c r="V8070" s="51" t="s">
        <v>2365</v>
      </c>
      <c r="W8070" s="51" t="s">
        <v>2409</v>
      </c>
      <c r="X8070" s="51" t="s">
        <v>2359</v>
      </c>
    </row>
    <row r="8071" customFormat="false" ht="14.25" hidden="true" customHeight="false" outlineLevel="0" collapsed="false">
      <c r="A8071" s="49" t="s">
        <v>2349</v>
      </c>
      <c r="B8071" s="49" t="s">
        <v>2350</v>
      </c>
      <c r="C8071" s="49" t="s">
        <v>13089</v>
      </c>
      <c r="D8071" s="49" t="s">
        <v>2352</v>
      </c>
      <c r="E8071" s="49" t="str">
        <f aca="false">"734730225548"</f>
        <v>734730225548</v>
      </c>
      <c r="F8071" s="49" t="s">
        <v>2434</v>
      </c>
      <c r="G8071" s="49" t="n">
        <v>0</v>
      </c>
      <c r="H8071" s="0" t="n">
        <v>0</v>
      </c>
      <c r="M8071" s="51" t="s">
        <v>13088</v>
      </c>
      <c r="N8071" s="49" t="n">
        <v>0</v>
      </c>
      <c r="O8071" s="53" t="n">
        <v>46048.758599537</v>
      </c>
      <c r="P8071" s="53" t="n">
        <v>46051.6196875</v>
      </c>
      <c r="Q8071" s="53" t="n">
        <v>46048.758599537</v>
      </c>
      <c r="R8071" s="0" t="n">
        <v>0</v>
      </c>
      <c r="S8071" s="51" t="s">
        <v>2398</v>
      </c>
      <c r="T8071" s="51" t="s">
        <v>2398</v>
      </c>
      <c r="U8071" s="0" t="str">
        <f aca="false">"734730225548"</f>
        <v>734730225548</v>
      </c>
      <c r="V8071" s="51" t="s">
        <v>2365</v>
      </c>
      <c r="W8071" s="51" t="s">
        <v>13090</v>
      </c>
      <c r="X8071" s="51" t="s">
        <v>2359</v>
      </c>
    </row>
    <row r="8072" customFormat="false" ht="14.25" hidden="true" customHeight="false" outlineLevel="0" collapsed="false">
      <c r="A8072" s="49" t="s">
        <v>2349</v>
      </c>
      <c r="B8072" s="49" t="s">
        <v>2350</v>
      </c>
      <c r="C8072" s="49" t="s">
        <v>13091</v>
      </c>
      <c r="D8072" s="49" t="s">
        <v>2352</v>
      </c>
      <c r="E8072" s="49" t="str">
        <f aca="false">"734730225548"</f>
        <v>734730225548</v>
      </c>
      <c r="F8072" s="49" t="s">
        <v>2434</v>
      </c>
      <c r="G8072" s="49" t="n">
        <v>0</v>
      </c>
      <c r="H8072" s="0" t="n">
        <v>0</v>
      </c>
      <c r="M8072" s="51" t="s">
        <v>13088</v>
      </c>
      <c r="N8072" s="49" t="n">
        <v>0</v>
      </c>
      <c r="O8072" s="53" t="n">
        <v>46048.7589236111</v>
      </c>
      <c r="P8072" s="53" t="n">
        <v>46051.3986458333</v>
      </c>
      <c r="Q8072" s="53" t="n">
        <v>46048.7589236111</v>
      </c>
      <c r="R8072" s="0" t="n">
        <v>0</v>
      </c>
      <c r="S8072" s="51" t="s">
        <v>2398</v>
      </c>
      <c r="T8072" s="51" t="s">
        <v>2398</v>
      </c>
      <c r="U8072" s="0" t="str">
        <f aca="false">"734730225548"</f>
        <v>734730225548</v>
      </c>
      <c r="V8072" s="51" t="s">
        <v>2365</v>
      </c>
      <c r="W8072" s="51" t="s">
        <v>9643</v>
      </c>
      <c r="X8072" s="51" t="s">
        <v>2359</v>
      </c>
    </row>
    <row r="8073" customFormat="false" ht="14.25" hidden="true" customHeight="false" outlineLevel="0" collapsed="false">
      <c r="A8073" s="49" t="s">
        <v>2349</v>
      </c>
      <c r="B8073" s="49" t="s">
        <v>2350</v>
      </c>
      <c r="C8073" s="49" t="s">
        <v>13092</v>
      </c>
      <c r="D8073" s="49" t="s">
        <v>2352</v>
      </c>
      <c r="E8073" s="49" t="str">
        <f aca="false">"734730225548"</f>
        <v>734730225548</v>
      </c>
      <c r="F8073" s="49" t="s">
        <v>2434</v>
      </c>
      <c r="G8073" s="49" t="n">
        <v>0</v>
      </c>
      <c r="H8073" s="0" t="n">
        <v>0</v>
      </c>
      <c r="M8073" s="51" t="s">
        <v>13088</v>
      </c>
      <c r="N8073" s="49" t="n">
        <v>0</v>
      </c>
      <c r="O8073" s="53" t="n">
        <v>46048.7591319445</v>
      </c>
      <c r="P8073" s="53" t="n">
        <v>46051.4022916667</v>
      </c>
      <c r="Q8073" s="53" t="n">
        <v>46048.7591319445</v>
      </c>
      <c r="R8073" s="0" t="n">
        <v>0</v>
      </c>
      <c r="S8073" s="51" t="s">
        <v>2398</v>
      </c>
      <c r="T8073" s="51" t="s">
        <v>2398</v>
      </c>
      <c r="U8073" s="0" t="str">
        <f aca="false">"734730225548"</f>
        <v>734730225548</v>
      </c>
      <c r="V8073" s="51" t="s">
        <v>2365</v>
      </c>
      <c r="W8073" s="51" t="s">
        <v>8674</v>
      </c>
      <c r="X8073" s="51" t="s">
        <v>2359</v>
      </c>
    </row>
    <row r="8074" customFormat="false" ht="14.25" hidden="true" customHeight="false" outlineLevel="0" collapsed="false">
      <c r="A8074" s="49" t="s">
        <v>2349</v>
      </c>
      <c r="B8074" s="49" t="s">
        <v>2350</v>
      </c>
      <c r="C8074" s="49" t="s">
        <v>13093</v>
      </c>
      <c r="D8074" s="49" t="s">
        <v>2352</v>
      </c>
      <c r="E8074" s="49" t="str">
        <f aca="false">"734730225548"</f>
        <v>734730225548</v>
      </c>
      <c r="F8074" s="49" t="s">
        <v>2434</v>
      </c>
      <c r="G8074" s="49" t="n">
        <v>0</v>
      </c>
      <c r="H8074" s="0" t="n">
        <v>0</v>
      </c>
      <c r="M8074" s="51" t="s">
        <v>13088</v>
      </c>
      <c r="N8074" s="49" t="n">
        <v>0</v>
      </c>
      <c r="O8074" s="53" t="n">
        <v>46048.7592939815</v>
      </c>
      <c r="P8074" s="53" t="n">
        <v>46051.3838194445</v>
      </c>
      <c r="Q8074" s="53" t="n">
        <v>46048.7592939815</v>
      </c>
      <c r="R8074" s="0" t="n">
        <v>0</v>
      </c>
      <c r="S8074" s="51" t="s">
        <v>2398</v>
      </c>
      <c r="T8074" s="51" t="s">
        <v>2398</v>
      </c>
      <c r="U8074" s="0" t="str">
        <f aca="false">"734730225548"</f>
        <v>734730225548</v>
      </c>
      <c r="V8074" s="51" t="s">
        <v>2365</v>
      </c>
      <c r="W8074" s="51" t="s">
        <v>10276</v>
      </c>
      <c r="X8074" s="51" t="s">
        <v>2359</v>
      </c>
    </row>
    <row r="8075" customFormat="false" ht="14.25" hidden="true" customHeight="false" outlineLevel="0" collapsed="false">
      <c r="A8075" s="49" t="s">
        <v>2349</v>
      </c>
      <c r="B8075" s="49" t="s">
        <v>2350</v>
      </c>
      <c r="C8075" s="49" t="s">
        <v>13094</v>
      </c>
      <c r="D8075" s="49" t="s">
        <v>2352</v>
      </c>
      <c r="E8075" s="49" t="str">
        <f aca="false">"734730225548"</f>
        <v>734730225548</v>
      </c>
      <c r="F8075" s="49" t="s">
        <v>2434</v>
      </c>
      <c r="G8075" s="49" t="n">
        <v>0</v>
      </c>
      <c r="H8075" s="0" t="n">
        <v>0</v>
      </c>
      <c r="M8075" s="51" t="s">
        <v>13088</v>
      </c>
      <c r="N8075" s="49" t="n">
        <v>0</v>
      </c>
      <c r="O8075" s="53" t="n">
        <v>46048.7594907407</v>
      </c>
      <c r="P8075" s="53" t="n">
        <v>46051.3836574074</v>
      </c>
      <c r="Q8075" s="53" t="n">
        <v>46048.7594907407</v>
      </c>
      <c r="R8075" s="0" t="n">
        <v>0</v>
      </c>
      <c r="S8075" s="51" t="s">
        <v>2398</v>
      </c>
      <c r="T8075" s="51" t="s">
        <v>2398</v>
      </c>
      <c r="U8075" s="0" t="str">
        <f aca="false">"734730225548"</f>
        <v>734730225548</v>
      </c>
      <c r="V8075" s="51" t="s">
        <v>2365</v>
      </c>
      <c r="W8075" s="51" t="s">
        <v>5033</v>
      </c>
      <c r="X8075" s="51" t="s">
        <v>2359</v>
      </c>
    </row>
    <row r="8076" customFormat="false" ht="14.25" hidden="true" customHeight="false" outlineLevel="0" collapsed="false">
      <c r="A8076" s="49" t="s">
        <v>2349</v>
      </c>
      <c r="B8076" s="49" t="s">
        <v>2350</v>
      </c>
      <c r="C8076" s="49" t="s">
        <v>13095</v>
      </c>
      <c r="D8076" s="49" t="s">
        <v>2352</v>
      </c>
      <c r="E8076" s="49" t="str">
        <f aca="false">"734730225548"</f>
        <v>734730225548</v>
      </c>
      <c r="F8076" s="49" t="s">
        <v>2434</v>
      </c>
      <c r="G8076" s="49" t="n">
        <v>0</v>
      </c>
      <c r="H8076" s="0" t="n">
        <v>0</v>
      </c>
      <c r="M8076" s="51" t="s">
        <v>13088</v>
      </c>
      <c r="N8076" s="49" t="n">
        <v>0</v>
      </c>
      <c r="O8076" s="53" t="n">
        <v>46048.7596064815</v>
      </c>
      <c r="P8076" s="53" t="n">
        <v>46051.3822916667</v>
      </c>
      <c r="Q8076" s="53" t="n">
        <v>46048.7596064815</v>
      </c>
      <c r="R8076" s="0" t="n">
        <v>0</v>
      </c>
      <c r="S8076" s="51" t="s">
        <v>2398</v>
      </c>
      <c r="T8076" s="51" t="s">
        <v>2398</v>
      </c>
      <c r="U8076" s="0" t="str">
        <f aca="false">"734730225548"</f>
        <v>734730225548</v>
      </c>
      <c r="V8076" s="51" t="s">
        <v>2365</v>
      </c>
      <c r="W8076" s="51" t="s">
        <v>12735</v>
      </c>
      <c r="X8076" s="51" t="s">
        <v>2359</v>
      </c>
    </row>
    <row r="8077" customFormat="false" ht="14.25" hidden="true" customHeight="false" outlineLevel="0" collapsed="false">
      <c r="A8077" s="49" t="s">
        <v>2349</v>
      </c>
      <c r="B8077" s="49" t="s">
        <v>2350</v>
      </c>
      <c r="C8077" s="49" t="s">
        <v>13096</v>
      </c>
      <c r="D8077" s="49" t="s">
        <v>2352</v>
      </c>
      <c r="E8077" s="49" t="str">
        <f aca="false">"734730225548"</f>
        <v>734730225548</v>
      </c>
      <c r="F8077" s="49" t="s">
        <v>2434</v>
      </c>
      <c r="G8077" s="49" t="n">
        <v>0</v>
      </c>
      <c r="H8077" s="0" t="n">
        <v>0</v>
      </c>
      <c r="M8077" s="51" t="s">
        <v>13088</v>
      </c>
      <c r="N8077" s="49" t="n">
        <v>0</v>
      </c>
      <c r="O8077" s="53" t="n">
        <v>46048.7602430556</v>
      </c>
      <c r="P8077" s="53" t="n">
        <v>46051.446099537</v>
      </c>
      <c r="Q8077" s="53" t="n">
        <v>46048.7602430556</v>
      </c>
      <c r="R8077" s="0" t="n">
        <v>0</v>
      </c>
      <c r="S8077" s="51" t="s">
        <v>2398</v>
      </c>
      <c r="T8077" s="51" t="s">
        <v>2398</v>
      </c>
      <c r="U8077" s="0" t="str">
        <f aca="false">"734730225548"</f>
        <v>734730225548</v>
      </c>
      <c r="V8077" s="51" t="s">
        <v>2365</v>
      </c>
      <c r="W8077" s="51" t="s">
        <v>5514</v>
      </c>
      <c r="X8077" s="51" t="s">
        <v>2359</v>
      </c>
    </row>
    <row r="8078" customFormat="false" ht="14.25" hidden="true" customHeight="false" outlineLevel="0" collapsed="false">
      <c r="A8078" s="49" t="s">
        <v>2349</v>
      </c>
      <c r="B8078" s="49" t="s">
        <v>2350</v>
      </c>
      <c r="C8078" s="49" t="s">
        <v>13097</v>
      </c>
      <c r="D8078" s="49" t="s">
        <v>2352</v>
      </c>
      <c r="E8078" s="49" t="str">
        <f aca="false">"734730225548"</f>
        <v>734730225548</v>
      </c>
      <c r="F8078" s="49" t="s">
        <v>2434</v>
      </c>
      <c r="G8078" s="49" t="n">
        <v>0</v>
      </c>
      <c r="H8078" s="0" t="n">
        <v>0</v>
      </c>
      <c r="M8078" s="51" t="s">
        <v>13088</v>
      </c>
      <c r="N8078" s="49" t="n">
        <v>0</v>
      </c>
      <c r="O8078" s="53" t="n">
        <v>46048.7605324074</v>
      </c>
      <c r="P8078" s="53" t="n">
        <v>46051.4521990741</v>
      </c>
      <c r="Q8078" s="53" t="n">
        <v>46048.7605324074</v>
      </c>
      <c r="R8078" s="0" t="n">
        <v>0</v>
      </c>
      <c r="S8078" s="51" t="s">
        <v>2398</v>
      </c>
      <c r="T8078" s="51" t="s">
        <v>2398</v>
      </c>
      <c r="U8078" s="0" t="str">
        <f aca="false">"734730225548"</f>
        <v>734730225548</v>
      </c>
      <c r="V8078" s="51" t="s">
        <v>2365</v>
      </c>
      <c r="W8078" s="51" t="s">
        <v>4445</v>
      </c>
      <c r="X8078" s="51" t="s">
        <v>2359</v>
      </c>
    </row>
    <row r="8079" customFormat="false" ht="14.25" hidden="true" customHeight="false" outlineLevel="0" collapsed="false">
      <c r="A8079" s="49" t="s">
        <v>2349</v>
      </c>
      <c r="B8079" s="49" t="s">
        <v>2350</v>
      </c>
      <c r="C8079" s="49" t="s">
        <v>13098</v>
      </c>
      <c r="D8079" s="49" t="s">
        <v>2352</v>
      </c>
      <c r="E8079" s="49" t="str">
        <f aca="false">"734730225548"</f>
        <v>734730225548</v>
      </c>
      <c r="F8079" s="49" t="s">
        <v>2434</v>
      </c>
      <c r="G8079" s="49" t="n">
        <v>0</v>
      </c>
      <c r="H8079" s="0" t="n">
        <v>0</v>
      </c>
      <c r="M8079" s="51" t="s">
        <v>13088</v>
      </c>
      <c r="N8079" s="49" t="n">
        <v>0</v>
      </c>
      <c r="O8079" s="53" t="n">
        <v>46048.7607523148</v>
      </c>
      <c r="P8079" s="53" t="n">
        <v>46051.4528472222</v>
      </c>
      <c r="Q8079" s="53" t="n">
        <v>46048.7607523148</v>
      </c>
      <c r="R8079" s="0" t="n">
        <v>0</v>
      </c>
      <c r="S8079" s="51" t="s">
        <v>2398</v>
      </c>
      <c r="T8079" s="51" t="s">
        <v>2398</v>
      </c>
      <c r="U8079" s="0" t="str">
        <f aca="false">"734730225548"</f>
        <v>734730225548</v>
      </c>
      <c r="V8079" s="51" t="s">
        <v>2365</v>
      </c>
      <c r="W8079" s="51" t="s">
        <v>8546</v>
      </c>
      <c r="X8079" s="51" t="s">
        <v>2359</v>
      </c>
    </row>
    <row r="8080" customFormat="false" ht="14.25" hidden="true" customHeight="false" outlineLevel="0" collapsed="false">
      <c r="A8080" s="49" t="s">
        <v>2349</v>
      </c>
      <c r="B8080" s="49" t="s">
        <v>2350</v>
      </c>
      <c r="C8080" s="49" t="s">
        <v>13099</v>
      </c>
      <c r="D8080" s="49" t="s">
        <v>2352</v>
      </c>
      <c r="E8080" s="49" t="str">
        <f aca="false">"734730225548"</f>
        <v>734730225548</v>
      </c>
      <c r="F8080" s="49" t="s">
        <v>2434</v>
      </c>
      <c r="G8080" s="49" t="n">
        <v>0</v>
      </c>
      <c r="H8080" s="0" t="n">
        <v>0</v>
      </c>
      <c r="M8080" s="51" t="s">
        <v>13088</v>
      </c>
      <c r="N8080" s="49" t="n">
        <v>0</v>
      </c>
      <c r="O8080" s="53" t="n">
        <v>46048.7608912037</v>
      </c>
      <c r="P8080" s="53" t="n">
        <v>46051.3795717593</v>
      </c>
      <c r="Q8080" s="53" t="n">
        <v>46048.7608912037</v>
      </c>
      <c r="R8080" s="0" t="n">
        <v>0</v>
      </c>
      <c r="S8080" s="51" t="s">
        <v>2398</v>
      </c>
      <c r="T8080" s="51" t="s">
        <v>2398</v>
      </c>
      <c r="U8080" s="0" t="str">
        <f aca="false">"734730225548"</f>
        <v>734730225548</v>
      </c>
      <c r="V8080" s="51" t="s">
        <v>2365</v>
      </c>
      <c r="W8080" s="51" t="s">
        <v>8873</v>
      </c>
      <c r="X8080" s="51" t="s">
        <v>2359</v>
      </c>
    </row>
    <row r="8081" customFormat="false" ht="14.25" hidden="true" customHeight="false" outlineLevel="0" collapsed="false">
      <c r="A8081" s="49" t="s">
        <v>2349</v>
      </c>
      <c r="B8081" s="49" t="s">
        <v>2350</v>
      </c>
      <c r="C8081" s="49" t="s">
        <v>13100</v>
      </c>
      <c r="D8081" s="49" t="s">
        <v>2352</v>
      </c>
      <c r="E8081" s="49" t="str">
        <f aca="false">"734730225548"</f>
        <v>734730225548</v>
      </c>
      <c r="F8081" s="49" t="s">
        <v>2434</v>
      </c>
      <c r="G8081" s="49" t="n">
        <v>0</v>
      </c>
      <c r="H8081" s="0" t="n">
        <v>0</v>
      </c>
      <c r="M8081" s="51" t="s">
        <v>13088</v>
      </c>
      <c r="N8081" s="49" t="n">
        <v>0</v>
      </c>
      <c r="O8081" s="53" t="n">
        <v>46048.7610069444</v>
      </c>
      <c r="P8081" s="53" t="n">
        <v>46051.4552083333</v>
      </c>
      <c r="Q8081" s="53" t="n">
        <v>46048.7610069444</v>
      </c>
      <c r="R8081" s="0" t="n">
        <v>0</v>
      </c>
      <c r="S8081" s="51" t="s">
        <v>2398</v>
      </c>
      <c r="T8081" s="51" t="s">
        <v>2398</v>
      </c>
      <c r="U8081" s="0" t="str">
        <f aca="false">"734730225548"</f>
        <v>734730225548</v>
      </c>
      <c r="V8081" s="51" t="s">
        <v>2365</v>
      </c>
      <c r="W8081" s="51" t="s">
        <v>10586</v>
      </c>
      <c r="X8081" s="51" t="s">
        <v>2359</v>
      </c>
    </row>
    <row r="8082" customFormat="false" ht="14.25" hidden="true" customHeight="false" outlineLevel="0" collapsed="false">
      <c r="A8082" s="49" t="s">
        <v>2349</v>
      </c>
      <c r="B8082" s="49" t="s">
        <v>2350</v>
      </c>
      <c r="C8082" s="49" t="s">
        <v>13101</v>
      </c>
      <c r="D8082" s="49" t="s">
        <v>2352</v>
      </c>
      <c r="E8082" s="49" t="str">
        <f aca="false">"734730225548"</f>
        <v>734730225548</v>
      </c>
      <c r="F8082" s="49" t="s">
        <v>2434</v>
      </c>
      <c r="G8082" s="49" t="n">
        <v>0</v>
      </c>
      <c r="H8082" s="0" t="n">
        <v>0</v>
      </c>
      <c r="M8082" s="51" t="s">
        <v>13088</v>
      </c>
      <c r="N8082" s="49" t="n">
        <v>0</v>
      </c>
      <c r="O8082" s="53" t="n">
        <v>46048.7611921296</v>
      </c>
      <c r="P8082" s="53" t="n">
        <v>46051.4544791667</v>
      </c>
      <c r="Q8082" s="53" t="n">
        <v>46048.7611921296</v>
      </c>
      <c r="R8082" s="0" t="n">
        <v>0</v>
      </c>
      <c r="S8082" s="51" t="s">
        <v>2398</v>
      </c>
      <c r="T8082" s="51" t="s">
        <v>2398</v>
      </c>
      <c r="U8082" s="0" t="str">
        <f aca="false">"734730225548"</f>
        <v>734730225548</v>
      </c>
      <c r="V8082" s="51" t="s">
        <v>2365</v>
      </c>
      <c r="W8082" s="51" t="s">
        <v>7845</v>
      </c>
      <c r="X8082" s="51" t="s">
        <v>2359</v>
      </c>
    </row>
    <row r="8083" customFormat="false" ht="14.25" hidden="true" customHeight="false" outlineLevel="0" collapsed="false">
      <c r="A8083" s="49" t="s">
        <v>2349</v>
      </c>
      <c r="B8083" s="49" t="s">
        <v>2350</v>
      </c>
      <c r="C8083" s="49" t="s">
        <v>13102</v>
      </c>
      <c r="D8083" s="49" t="s">
        <v>2352</v>
      </c>
      <c r="E8083" s="49" t="str">
        <f aca="false">"734730225548"</f>
        <v>734730225548</v>
      </c>
      <c r="F8083" s="49" t="s">
        <v>2434</v>
      </c>
      <c r="G8083" s="49" t="n">
        <v>0</v>
      </c>
      <c r="H8083" s="0" t="n">
        <v>0</v>
      </c>
      <c r="M8083" s="51" t="s">
        <v>13088</v>
      </c>
      <c r="N8083" s="49" t="n">
        <v>0</v>
      </c>
      <c r="O8083" s="53" t="n">
        <v>46048.7616550926</v>
      </c>
      <c r="P8083" s="53" t="n">
        <v>46051.4548726852</v>
      </c>
      <c r="Q8083" s="53" t="n">
        <v>46048.7616550926</v>
      </c>
      <c r="R8083" s="0" t="n">
        <v>0</v>
      </c>
      <c r="S8083" s="51" t="s">
        <v>2398</v>
      </c>
      <c r="T8083" s="51" t="s">
        <v>2398</v>
      </c>
      <c r="U8083" s="0" t="str">
        <f aca="false">"734730225548"</f>
        <v>734730225548</v>
      </c>
      <c r="V8083" s="51" t="s">
        <v>2365</v>
      </c>
      <c r="W8083" s="51" t="s">
        <v>10729</v>
      </c>
      <c r="X8083" s="51" t="s">
        <v>2359</v>
      </c>
    </row>
    <row r="8084" customFormat="false" ht="14.25" hidden="true" customHeight="false" outlineLevel="0" collapsed="false">
      <c r="A8084" s="49" t="s">
        <v>2349</v>
      </c>
      <c r="B8084" s="49" t="s">
        <v>2350</v>
      </c>
      <c r="C8084" s="49" t="s">
        <v>13103</v>
      </c>
      <c r="D8084" s="49" t="s">
        <v>2352</v>
      </c>
      <c r="E8084" s="49" t="str">
        <f aca="false">"734730225548"</f>
        <v>734730225548</v>
      </c>
      <c r="F8084" s="49" t="s">
        <v>2434</v>
      </c>
      <c r="G8084" s="49" t="n">
        <v>0</v>
      </c>
      <c r="H8084" s="0" t="n">
        <v>0</v>
      </c>
      <c r="M8084" s="51" t="s">
        <v>13088</v>
      </c>
      <c r="N8084" s="49" t="n">
        <v>0</v>
      </c>
      <c r="O8084" s="53" t="n">
        <v>46048.7617939815</v>
      </c>
      <c r="P8084" s="53" t="n">
        <v>46051.4534606482</v>
      </c>
      <c r="Q8084" s="53" t="n">
        <v>46048.7617939815</v>
      </c>
      <c r="R8084" s="0" t="n">
        <v>0</v>
      </c>
      <c r="S8084" s="51" t="s">
        <v>2398</v>
      </c>
      <c r="T8084" s="51" t="s">
        <v>2398</v>
      </c>
      <c r="U8084" s="0" t="str">
        <f aca="false">"734730225548"</f>
        <v>734730225548</v>
      </c>
      <c r="V8084" s="51" t="s">
        <v>2365</v>
      </c>
      <c r="W8084" s="51" t="s">
        <v>10886</v>
      </c>
      <c r="X8084" s="51" t="s">
        <v>2359</v>
      </c>
    </row>
    <row r="8085" customFormat="false" ht="14.25" hidden="true" customHeight="false" outlineLevel="0" collapsed="false">
      <c r="A8085" s="49" t="s">
        <v>2349</v>
      </c>
      <c r="B8085" s="49" t="s">
        <v>2350</v>
      </c>
      <c r="C8085" s="49" t="s">
        <v>13104</v>
      </c>
      <c r="D8085" s="49" t="s">
        <v>2352</v>
      </c>
      <c r="E8085" s="49" t="str">
        <f aca="false">"734730225548"</f>
        <v>734730225548</v>
      </c>
      <c r="F8085" s="49" t="s">
        <v>2434</v>
      </c>
      <c r="G8085" s="49" t="n">
        <v>0</v>
      </c>
      <c r="H8085" s="0" t="n">
        <v>0</v>
      </c>
      <c r="M8085" s="51" t="s">
        <v>13088</v>
      </c>
      <c r="N8085" s="49" t="n">
        <v>0</v>
      </c>
      <c r="O8085" s="53" t="n">
        <v>46048.7632638889</v>
      </c>
      <c r="P8085" s="53" t="n">
        <v>46051.3852777778</v>
      </c>
      <c r="Q8085" s="53" t="n">
        <v>46048.7632638889</v>
      </c>
      <c r="R8085" s="0" t="n">
        <v>0</v>
      </c>
      <c r="S8085" s="51" t="s">
        <v>2398</v>
      </c>
      <c r="T8085" s="51" t="s">
        <v>2398</v>
      </c>
      <c r="U8085" s="0" t="str">
        <f aca="false">"734730225548"</f>
        <v>734730225548</v>
      </c>
      <c r="V8085" s="51" t="s">
        <v>2365</v>
      </c>
      <c r="W8085" s="51" t="s">
        <v>6075</v>
      </c>
      <c r="X8085" s="51" t="s">
        <v>2359</v>
      </c>
    </row>
    <row r="8086" customFormat="false" ht="14.25" hidden="true" customHeight="false" outlineLevel="0" collapsed="false">
      <c r="A8086" s="49" t="s">
        <v>2349</v>
      </c>
      <c r="B8086" s="49" t="s">
        <v>2350</v>
      </c>
      <c r="C8086" s="49" t="s">
        <v>13105</v>
      </c>
      <c r="D8086" s="49" t="s">
        <v>2352</v>
      </c>
      <c r="E8086" s="49" t="str">
        <f aca="false">"734730225548"</f>
        <v>734730225548</v>
      </c>
      <c r="F8086" s="49" t="s">
        <v>2434</v>
      </c>
      <c r="G8086" s="49" t="n">
        <v>0</v>
      </c>
      <c r="H8086" s="0" t="n">
        <v>0</v>
      </c>
      <c r="M8086" s="51" t="s">
        <v>13088</v>
      </c>
      <c r="N8086" s="49" t="n">
        <v>0</v>
      </c>
      <c r="O8086" s="53" t="n">
        <v>46048.7633680556</v>
      </c>
      <c r="P8086" s="53" t="n">
        <v>46051.4008101852</v>
      </c>
      <c r="Q8086" s="53" t="n">
        <v>46048.7633680556</v>
      </c>
      <c r="R8086" s="0" t="n">
        <v>0</v>
      </c>
      <c r="S8086" s="51" t="s">
        <v>2398</v>
      </c>
      <c r="T8086" s="51" t="s">
        <v>2398</v>
      </c>
      <c r="U8086" s="0" t="str">
        <f aca="false">"734730225548"</f>
        <v>734730225548</v>
      </c>
      <c r="V8086" s="51" t="s">
        <v>2365</v>
      </c>
      <c r="W8086" s="51" t="s">
        <v>8948</v>
      </c>
      <c r="X8086" s="51" t="s">
        <v>2359</v>
      </c>
    </row>
    <row r="8087" customFormat="false" ht="14.25" hidden="true" customHeight="false" outlineLevel="0" collapsed="false">
      <c r="A8087" s="49" t="s">
        <v>2349</v>
      </c>
      <c r="B8087" s="49" t="s">
        <v>2350</v>
      </c>
      <c r="C8087" s="49" t="s">
        <v>13106</v>
      </c>
      <c r="D8087" s="49" t="s">
        <v>2352</v>
      </c>
      <c r="E8087" s="49" t="str">
        <f aca="false">"734730225548"</f>
        <v>734730225548</v>
      </c>
      <c r="F8087" s="49" t="s">
        <v>2434</v>
      </c>
      <c r="G8087" s="49" t="n">
        <v>0</v>
      </c>
      <c r="H8087" s="0" t="n">
        <v>0</v>
      </c>
      <c r="M8087" s="51" t="s">
        <v>13088</v>
      </c>
      <c r="N8087" s="49" t="n">
        <v>0</v>
      </c>
      <c r="O8087" s="53" t="n">
        <v>46048.7634837963</v>
      </c>
      <c r="P8087" s="53" t="n">
        <v>46051.4007291667</v>
      </c>
      <c r="Q8087" s="53" t="n">
        <v>46048.7634837963</v>
      </c>
      <c r="R8087" s="0" t="n">
        <v>0</v>
      </c>
      <c r="S8087" s="51" t="s">
        <v>2398</v>
      </c>
      <c r="T8087" s="51" t="s">
        <v>2398</v>
      </c>
      <c r="U8087" s="0" t="str">
        <f aca="false">"734730225548"</f>
        <v>734730225548</v>
      </c>
      <c r="V8087" s="51" t="s">
        <v>2365</v>
      </c>
      <c r="W8087" s="51" t="s">
        <v>13107</v>
      </c>
      <c r="X8087" s="51" t="s">
        <v>2359</v>
      </c>
    </row>
    <row r="8088" customFormat="false" ht="14.25" hidden="true" customHeight="false" outlineLevel="0" collapsed="false">
      <c r="A8088" s="49" t="s">
        <v>2349</v>
      </c>
      <c r="B8088" s="49" t="s">
        <v>2350</v>
      </c>
      <c r="C8088" s="49" t="s">
        <v>13108</v>
      </c>
      <c r="D8088" s="49" t="s">
        <v>2352</v>
      </c>
      <c r="E8088" s="49" t="str">
        <f aca="false">"734730225548"</f>
        <v>734730225548</v>
      </c>
      <c r="F8088" s="49" t="s">
        <v>2434</v>
      </c>
      <c r="G8088" s="49" t="n">
        <v>0</v>
      </c>
      <c r="H8088" s="0" t="n">
        <v>0</v>
      </c>
      <c r="M8088" s="51" t="s">
        <v>13088</v>
      </c>
      <c r="N8088" s="49" t="n">
        <v>0</v>
      </c>
      <c r="O8088" s="53" t="n">
        <v>46048.7636458333</v>
      </c>
      <c r="P8088" s="53" t="n">
        <v>46051.4426851852</v>
      </c>
      <c r="Q8088" s="53" t="n">
        <v>46048.7636458333</v>
      </c>
      <c r="R8088" s="0" t="n">
        <v>0</v>
      </c>
      <c r="S8088" s="51" t="s">
        <v>2398</v>
      </c>
      <c r="T8088" s="51" t="s">
        <v>2398</v>
      </c>
      <c r="U8088" s="0" t="str">
        <f aca="false">"734730225548"</f>
        <v>734730225548</v>
      </c>
      <c r="V8088" s="51" t="s">
        <v>2365</v>
      </c>
      <c r="W8088" s="51" t="s">
        <v>10089</v>
      </c>
      <c r="X8088" s="51" t="s">
        <v>2359</v>
      </c>
    </row>
    <row r="8089" customFormat="false" ht="14.25" hidden="true" customHeight="false" outlineLevel="0" collapsed="false">
      <c r="A8089" s="49" t="s">
        <v>2349</v>
      </c>
      <c r="B8089" s="49" t="s">
        <v>2350</v>
      </c>
      <c r="C8089" s="49" t="s">
        <v>13109</v>
      </c>
      <c r="D8089" s="49" t="s">
        <v>2352</v>
      </c>
      <c r="E8089" s="49" t="str">
        <f aca="false">"734730225548"</f>
        <v>734730225548</v>
      </c>
      <c r="F8089" s="49" t="s">
        <v>2434</v>
      </c>
      <c r="G8089" s="49" t="n">
        <v>0</v>
      </c>
      <c r="H8089" s="0" t="n">
        <v>0</v>
      </c>
      <c r="M8089" s="51" t="s">
        <v>13088</v>
      </c>
      <c r="N8089" s="49" t="n">
        <v>0</v>
      </c>
      <c r="O8089" s="53" t="n">
        <v>46048.7637615741</v>
      </c>
      <c r="P8089" s="53" t="n">
        <v>46051.4502314815</v>
      </c>
      <c r="Q8089" s="53" t="n">
        <v>46048.7637615741</v>
      </c>
      <c r="R8089" s="0" t="n">
        <v>0</v>
      </c>
      <c r="S8089" s="51" t="s">
        <v>2398</v>
      </c>
      <c r="T8089" s="51" t="s">
        <v>2398</v>
      </c>
      <c r="U8089" s="0" t="str">
        <f aca="false">"734730225548"</f>
        <v>734730225548</v>
      </c>
      <c r="V8089" s="51" t="s">
        <v>2365</v>
      </c>
      <c r="W8089" s="51" t="s">
        <v>11474</v>
      </c>
      <c r="X8089" s="51" t="s">
        <v>2359</v>
      </c>
    </row>
    <row r="8090" customFormat="false" ht="14.25" hidden="true" customHeight="false" outlineLevel="0" collapsed="false">
      <c r="A8090" s="49" t="s">
        <v>2349</v>
      </c>
      <c r="B8090" s="49" t="s">
        <v>2350</v>
      </c>
      <c r="C8090" s="49" t="s">
        <v>13110</v>
      </c>
      <c r="D8090" s="49" t="s">
        <v>2352</v>
      </c>
      <c r="E8090" s="49" t="str">
        <f aca="false">"734730225548"</f>
        <v>734730225548</v>
      </c>
      <c r="F8090" s="49" t="s">
        <v>2434</v>
      </c>
      <c r="G8090" s="49" t="n">
        <v>0</v>
      </c>
      <c r="H8090" s="0" t="n">
        <v>0</v>
      </c>
      <c r="M8090" s="51" t="s">
        <v>13088</v>
      </c>
      <c r="N8090" s="49" t="n">
        <v>0</v>
      </c>
      <c r="O8090" s="53" t="n">
        <v>46048.7638773148</v>
      </c>
      <c r="P8090" s="53" t="n">
        <v>46051.4518518519</v>
      </c>
      <c r="Q8090" s="53" t="n">
        <v>46048.7638773148</v>
      </c>
      <c r="R8090" s="0" t="n">
        <v>0</v>
      </c>
      <c r="S8090" s="51" t="s">
        <v>2398</v>
      </c>
      <c r="T8090" s="51" t="s">
        <v>2398</v>
      </c>
      <c r="U8090" s="0" t="str">
        <f aca="false">"734730225548"</f>
        <v>734730225548</v>
      </c>
      <c r="V8090" s="51" t="s">
        <v>2365</v>
      </c>
      <c r="W8090" s="51" t="s">
        <v>13111</v>
      </c>
      <c r="X8090" s="51" t="s">
        <v>2359</v>
      </c>
    </row>
    <row r="8091" customFormat="false" ht="14.25" hidden="true" customHeight="false" outlineLevel="0" collapsed="false">
      <c r="A8091" s="49" t="s">
        <v>2349</v>
      </c>
      <c r="B8091" s="49" t="s">
        <v>2350</v>
      </c>
      <c r="C8091" s="49" t="s">
        <v>13112</v>
      </c>
      <c r="D8091" s="49" t="s">
        <v>2352</v>
      </c>
      <c r="E8091" s="49" t="str">
        <f aca="false">"1000005565"</f>
        <v>1000005565</v>
      </c>
      <c r="F8091" s="49" t="s">
        <v>10658</v>
      </c>
      <c r="G8091" s="49" t="n">
        <v>0</v>
      </c>
      <c r="H8091" s="0" t="n">
        <v>0</v>
      </c>
      <c r="M8091" s="51" t="s">
        <v>13113</v>
      </c>
      <c r="N8091" s="49" t="n">
        <v>0</v>
      </c>
      <c r="O8091" s="53" t="n">
        <v>46039.481099537</v>
      </c>
      <c r="P8091" s="53" t="n">
        <v>46049.5989583333</v>
      </c>
      <c r="Q8091" s="53" t="n">
        <v>46039.481099537</v>
      </c>
      <c r="R8091" s="0" t="n">
        <v>0</v>
      </c>
      <c r="S8091" s="51" t="s">
        <v>2356</v>
      </c>
      <c r="T8091" s="51" t="s">
        <v>2356</v>
      </c>
      <c r="U8091" s="0" t="str">
        <f aca="false">"1000005565"</f>
        <v>1000005565</v>
      </c>
      <c r="V8091" s="51" t="s">
        <v>2365</v>
      </c>
      <c r="W8091" s="51" t="s">
        <v>4596</v>
      </c>
      <c r="X8091" s="51" t="s">
        <v>2359</v>
      </c>
    </row>
    <row r="8092" customFormat="false" ht="14.25" hidden="true" customHeight="false" outlineLevel="0" collapsed="false">
      <c r="A8092" s="49" t="s">
        <v>2349</v>
      </c>
      <c r="B8092" s="49" t="s">
        <v>2350</v>
      </c>
      <c r="C8092" s="49" t="s">
        <v>13114</v>
      </c>
      <c r="D8092" s="49" t="s">
        <v>2352</v>
      </c>
      <c r="E8092" s="49" t="str">
        <f aca="false">"1000005565"</f>
        <v>1000005565</v>
      </c>
      <c r="F8092" s="49" t="s">
        <v>10658</v>
      </c>
      <c r="G8092" s="49" t="n">
        <v>0</v>
      </c>
      <c r="H8092" s="0" t="n">
        <v>0</v>
      </c>
      <c r="M8092" s="51" t="s">
        <v>13113</v>
      </c>
      <c r="N8092" s="49" t="n">
        <v>0</v>
      </c>
      <c r="O8092" s="53" t="n">
        <v>46039.4816203704</v>
      </c>
      <c r="P8092" s="53" t="n">
        <v>46049.5992708333</v>
      </c>
      <c r="Q8092" s="53" t="n">
        <v>46039.4816203704</v>
      </c>
      <c r="R8092" s="0" t="n">
        <v>0</v>
      </c>
      <c r="S8092" s="51" t="s">
        <v>2356</v>
      </c>
      <c r="T8092" s="51" t="s">
        <v>2356</v>
      </c>
      <c r="U8092" s="0" t="str">
        <f aca="false">"1000005565"</f>
        <v>1000005565</v>
      </c>
      <c r="V8092" s="51" t="s">
        <v>2365</v>
      </c>
      <c r="W8092" s="51" t="s">
        <v>7268</v>
      </c>
      <c r="X8092" s="51" t="s">
        <v>2359</v>
      </c>
    </row>
    <row r="8093" customFormat="false" ht="14.25" hidden="true" customHeight="false" outlineLevel="0" collapsed="false">
      <c r="A8093" s="49" t="s">
        <v>2349</v>
      </c>
      <c r="B8093" s="49" t="s">
        <v>2350</v>
      </c>
      <c r="C8093" s="49" t="s">
        <v>13115</v>
      </c>
      <c r="D8093" s="49" t="s">
        <v>2352</v>
      </c>
      <c r="E8093" s="49" t="str">
        <f aca="false">"1000005565"</f>
        <v>1000005565</v>
      </c>
      <c r="F8093" s="49" t="s">
        <v>10658</v>
      </c>
      <c r="G8093" s="49" t="n">
        <v>0</v>
      </c>
      <c r="H8093" s="0" t="n">
        <v>0</v>
      </c>
      <c r="M8093" s="51" t="s">
        <v>13113</v>
      </c>
      <c r="N8093" s="49" t="n">
        <v>0</v>
      </c>
      <c r="O8093" s="53" t="n">
        <v>46039.482037037</v>
      </c>
      <c r="P8093" s="53" t="n">
        <v>46049.5990509259</v>
      </c>
      <c r="Q8093" s="53" t="n">
        <v>46039.482037037</v>
      </c>
      <c r="R8093" s="0" t="n">
        <v>0</v>
      </c>
      <c r="S8093" s="51" t="s">
        <v>2356</v>
      </c>
      <c r="T8093" s="51" t="s">
        <v>2356</v>
      </c>
      <c r="U8093" s="0" t="str">
        <f aca="false">"1000005565"</f>
        <v>1000005565</v>
      </c>
      <c r="V8093" s="51" t="s">
        <v>2365</v>
      </c>
      <c r="W8093" s="51" t="s">
        <v>7677</v>
      </c>
      <c r="X8093" s="51" t="s">
        <v>2359</v>
      </c>
    </row>
    <row r="8094" customFormat="false" ht="14.25" hidden="true" customHeight="false" outlineLevel="0" collapsed="false">
      <c r="A8094" s="49" t="s">
        <v>2349</v>
      </c>
      <c r="B8094" s="49" t="s">
        <v>2350</v>
      </c>
      <c r="C8094" s="49" t="s">
        <v>13116</v>
      </c>
      <c r="D8094" s="49" t="s">
        <v>2352</v>
      </c>
      <c r="E8094" s="49" t="str">
        <f aca="false">"111705"</f>
        <v>111705</v>
      </c>
      <c r="F8094" s="49" t="s">
        <v>12486</v>
      </c>
      <c r="G8094" s="49" t="n">
        <v>0</v>
      </c>
      <c r="H8094" s="0" t="n">
        <v>0</v>
      </c>
      <c r="M8094" s="51" t="s">
        <v>13113</v>
      </c>
      <c r="N8094" s="49" t="n">
        <v>0</v>
      </c>
      <c r="O8094" s="53" t="n">
        <v>46039.4794675926</v>
      </c>
      <c r="P8094" s="53" t="n">
        <v>46054.3915277778</v>
      </c>
      <c r="Q8094" s="53" t="n">
        <v>46039.4794675926</v>
      </c>
      <c r="R8094" s="0" t="n">
        <v>0</v>
      </c>
      <c r="S8094" s="51" t="s">
        <v>2356</v>
      </c>
      <c r="T8094" s="51" t="s">
        <v>2356</v>
      </c>
      <c r="U8094" s="0" t="str">
        <f aca="false">"111705"</f>
        <v>111705</v>
      </c>
      <c r="V8094" s="51" t="s">
        <v>10644</v>
      </c>
      <c r="W8094" s="51" t="s">
        <v>7293</v>
      </c>
      <c r="X8094" s="51" t="s">
        <v>2359</v>
      </c>
    </row>
    <row r="8095" customFormat="false" ht="14.25" hidden="true" customHeight="false" outlineLevel="0" collapsed="false">
      <c r="A8095" s="49" t="s">
        <v>2349</v>
      </c>
      <c r="B8095" s="49" t="s">
        <v>2350</v>
      </c>
      <c r="C8095" s="49" t="s">
        <v>13117</v>
      </c>
      <c r="D8095" s="49" t="s">
        <v>2352</v>
      </c>
      <c r="E8095" s="49" t="str">
        <f aca="false">"111705"</f>
        <v>111705</v>
      </c>
      <c r="F8095" s="49" t="s">
        <v>12486</v>
      </c>
      <c r="G8095" s="49" t="n">
        <v>0</v>
      </c>
      <c r="H8095" s="0" t="n">
        <v>0</v>
      </c>
      <c r="M8095" s="51" t="s">
        <v>13113</v>
      </c>
      <c r="N8095" s="49" t="n">
        <v>0</v>
      </c>
      <c r="O8095" s="53" t="n">
        <v>46039.4791435185</v>
      </c>
      <c r="P8095" s="53" t="n">
        <v>46044.4882523148</v>
      </c>
      <c r="Q8095" s="53" t="n">
        <v>46039.4791435185</v>
      </c>
      <c r="R8095" s="0" t="n">
        <v>0</v>
      </c>
      <c r="S8095" s="51" t="s">
        <v>2356</v>
      </c>
      <c r="T8095" s="51" t="s">
        <v>2356</v>
      </c>
      <c r="U8095" s="0" t="str">
        <f aca="false">"111705"</f>
        <v>111705</v>
      </c>
      <c r="V8095" s="51" t="s">
        <v>10644</v>
      </c>
      <c r="W8095" s="51" t="s">
        <v>8510</v>
      </c>
      <c r="X8095" s="51" t="s">
        <v>2359</v>
      </c>
    </row>
    <row r="8096" customFormat="false" ht="17.55" hidden="true" customHeight="false" outlineLevel="0" collapsed="false">
      <c r="A8096" s="49" t="s">
        <v>2349</v>
      </c>
      <c r="B8096" s="49" t="s">
        <v>2350</v>
      </c>
      <c r="C8096" s="49" t="s">
        <v>13118</v>
      </c>
      <c r="D8096" s="49" t="s">
        <v>2352</v>
      </c>
      <c r="E8096" s="49" t="str">
        <f aca="false">"1000007564"</f>
        <v>1000007564</v>
      </c>
      <c r="F8096" s="49" t="s">
        <v>10641</v>
      </c>
      <c r="G8096" s="49" t="n">
        <v>0</v>
      </c>
      <c r="H8096" s="0" t="n">
        <v>0</v>
      </c>
      <c r="M8096" s="51" t="s">
        <v>13113</v>
      </c>
      <c r="N8096" s="49" t="n">
        <v>0</v>
      </c>
      <c r="O8096" s="53" t="n">
        <v>46039.4773958333</v>
      </c>
      <c r="P8096" s="53" t="n">
        <v>46048.6344097222</v>
      </c>
      <c r="Q8096" s="53" t="n">
        <v>46039.4773958333</v>
      </c>
      <c r="R8096" s="0" t="n">
        <v>0</v>
      </c>
      <c r="S8096" s="51" t="s">
        <v>2356</v>
      </c>
      <c r="T8096" s="51" t="s">
        <v>2356</v>
      </c>
      <c r="U8096" s="0" t="str">
        <f aca="false">"1000007564"</f>
        <v>1000007564</v>
      </c>
      <c r="V8096" s="51" t="s">
        <v>2365</v>
      </c>
      <c r="W8096" s="51" t="s">
        <v>5388</v>
      </c>
      <c r="X8096" s="51" t="s">
        <v>2359</v>
      </c>
    </row>
    <row r="8097" customFormat="false" ht="14.25" hidden="true" customHeight="false" outlineLevel="0" collapsed="false">
      <c r="A8097" s="49" t="s">
        <v>2349</v>
      </c>
      <c r="B8097" s="49" t="s">
        <v>2350</v>
      </c>
      <c r="C8097" s="49" t="s">
        <v>13119</v>
      </c>
      <c r="D8097" s="49" t="s">
        <v>2352</v>
      </c>
      <c r="E8097" s="49" t="str">
        <f aca="false">"1000012337"</f>
        <v>1000012337</v>
      </c>
      <c r="F8097" s="49" t="s">
        <v>10646</v>
      </c>
      <c r="G8097" s="49" t="n">
        <v>0</v>
      </c>
      <c r="H8097" s="0" t="n">
        <v>0</v>
      </c>
      <c r="M8097" s="51" t="s">
        <v>13113</v>
      </c>
      <c r="N8097" s="49" t="n">
        <v>0</v>
      </c>
      <c r="O8097" s="53" t="n">
        <v>46039.3887152778</v>
      </c>
      <c r="P8097" s="53" t="n">
        <v>46054.5769097222</v>
      </c>
      <c r="Q8097" s="53" t="n">
        <v>46039.3887152778</v>
      </c>
      <c r="R8097" s="0" t="n">
        <v>0</v>
      </c>
      <c r="S8097" s="51" t="s">
        <v>2356</v>
      </c>
      <c r="T8097" s="51" t="s">
        <v>2356</v>
      </c>
      <c r="U8097" s="0" t="str">
        <f aca="false">"1000012337"</f>
        <v>1000012337</v>
      </c>
      <c r="V8097" s="51" t="s">
        <v>2365</v>
      </c>
      <c r="W8097" s="51" t="s">
        <v>4373</v>
      </c>
      <c r="X8097" s="51" t="s">
        <v>2359</v>
      </c>
    </row>
    <row r="8098" customFormat="false" ht="14.25" hidden="true" customHeight="false" outlineLevel="0" collapsed="false">
      <c r="A8098" s="49" t="s">
        <v>2349</v>
      </c>
      <c r="B8098" s="49" t="s">
        <v>2350</v>
      </c>
      <c r="C8098" s="49" t="s">
        <v>13120</v>
      </c>
      <c r="D8098" s="49" t="s">
        <v>2352</v>
      </c>
      <c r="E8098" s="49" t="str">
        <f aca="false">"1000012337"</f>
        <v>1000012337</v>
      </c>
      <c r="F8098" s="49" t="s">
        <v>10646</v>
      </c>
      <c r="G8098" s="49" t="n">
        <v>0</v>
      </c>
      <c r="H8098" s="0" t="n">
        <v>0</v>
      </c>
      <c r="M8098" s="51" t="s">
        <v>13113</v>
      </c>
      <c r="N8098" s="49" t="n">
        <v>0</v>
      </c>
      <c r="O8098" s="53" t="n">
        <v>46039.3883449074</v>
      </c>
      <c r="P8098" s="53" t="n">
        <v>46054.5767939815</v>
      </c>
      <c r="Q8098" s="53" t="n">
        <v>46039.3883449074</v>
      </c>
      <c r="R8098" s="0" t="n">
        <v>0</v>
      </c>
      <c r="S8098" s="51" t="s">
        <v>2356</v>
      </c>
      <c r="T8098" s="51" t="s">
        <v>2356</v>
      </c>
      <c r="U8098" s="0" t="str">
        <f aca="false">"1000012337"</f>
        <v>1000012337</v>
      </c>
      <c r="V8098" s="51" t="s">
        <v>2365</v>
      </c>
      <c r="W8098" s="51" t="s">
        <v>5983</v>
      </c>
      <c r="X8098" s="51" t="s">
        <v>2359</v>
      </c>
    </row>
    <row r="8099" customFormat="false" ht="14.25" hidden="true" customHeight="false" outlineLevel="0" collapsed="false">
      <c r="A8099" s="49" t="s">
        <v>2349</v>
      </c>
      <c r="B8099" s="49" t="s">
        <v>2350</v>
      </c>
      <c r="C8099" s="49" t="s">
        <v>13121</v>
      </c>
      <c r="D8099" s="49" t="s">
        <v>2352</v>
      </c>
      <c r="E8099" s="49" t="str">
        <f aca="false">"195739"</f>
        <v>195739</v>
      </c>
      <c r="F8099" s="49" t="s">
        <v>10635</v>
      </c>
      <c r="G8099" s="49" t="n">
        <v>0</v>
      </c>
      <c r="H8099" s="0" t="n">
        <v>0</v>
      </c>
      <c r="M8099" s="51" t="s">
        <v>13122</v>
      </c>
      <c r="N8099" s="49" t="n">
        <v>0</v>
      </c>
      <c r="O8099" s="53" t="n">
        <v>46054.7179513889</v>
      </c>
      <c r="P8099" s="53" t="n">
        <v>46056.3828125</v>
      </c>
      <c r="Q8099" s="53" t="n">
        <v>46054.7179513889</v>
      </c>
      <c r="R8099" s="0" t="n">
        <v>0</v>
      </c>
      <c r="S8099" s="51" t="s">
        <v>2356</v>
      </c>
      <c r="T8099" s="51" t="s">
        <v>2356</v>
      </c>
      <c r="U8099" s="0" t="str">
        <f aca="false">"195739"</f>
        <v>195739</v>
      </c>
      <c r="V8099" s="51" t="s">
        <v>2365</v>
      </c>
      <c r="W8099" s="51" t="s">
        <v>13123</v>
      </c>
      <c r="X8099" s="51" t="s">
        <v>2359</v>
      </c>
    </row>
    <row r="8100" customFormat="false" ht="14.25" hidden="true" customHeight="false" outlineLevel="0" collapsed="false">
      <c r="A8100" s="49" t="s">
        <v>2349</v>
      </c>
      <c r="B8100" s="49" t="s">
        <v>2350</v>
      </c>
      <c r="C8100" s="49" t="s">
        <v>13124</v>
      </c>
      <c r="D8100" s="49" t="s">
        <v>2352</v>
      </c>
      <c r="E8100" s="49" t="str">
        <f aca="false">"195739"</f>
        <v>195739</v>
      </c>
      <c r="F8100" s="49" t="s">
        <v>10635</v>
      </c>
      <c r="G8100" s="49" t="n">
        <v>0</v>
      </c>
      <c r="H8100" s="0" t="n">
        <v>0</v>
      </c>
      <c r="M8100" s="51" t="s">
        <v>13122</v>
      </c>
      <c r="N8100" s="49" t="n">
        <v>0</v>
      </c>
      <c r="O8100" s="53" t="n">
        <v>46054.723912037</v>
      </c>
      <c r="P8100" s="53" t="n">
        <v>46056.3833564815</v>
      </c>
      <c r="Q8100" s="53" t="n">
        <v>46054.723912037</v>
      </c>
      <c r="R8100" s="0" t="n">
        <v>0</v>
      </c>
      <c r="S8100" s="51" t="s">
        <v>2356</v>
      </c>
      <c r="T8100" s="51" t="s">
        <v>2356</v>
      </c>
      <c r="U8100" s="0" t="str">
        <f aca="false">"195739"</f>
        <v>195739</v>
      </c>
      <c r="V8100" s="51" t="s">
        <v>2365</v>
      </c>
      <c r="W8100" s="51" t="s">
        <v>5405</v>
      </c>
      <c r="X8100" s="51" t="s">
        <v>2359</v>
      </c>
    </row>
    <row r="8101" customFormat="false" ht="14.25" hidden="true" customHeight="false" outlineLevel="0" collapsed="false">
      <c r="A8101" s="49" t="s">
        <v>2349</v>
      </c>
      <c r="B8101" s="49" t="s">
        <v>2350</v>
      </c>
      <c r="C8101" s="49" t="s">
        <v>13125</v>
      </c>
      <c r="D8101" s="49" t="s">
        <v>2352</v>
      </c>
      <c r="E8101" s="49" t="str">
        <f aca="false">"195739"</f>
        <v>195739</v>
      </c>
      <c r="F8101" s="49" t="s">
        <v>10635</v>
      </c>
      <c r="G8101" s="49" t="n">
        <v>0</v>
      </c>
      <c r="H8101" s="0" t="n">
        <v>0</v>
      </c>
      <c r="M8101" s="51" t="s">
        <v>13122</v>
      </c>
      <c r="N8101" s="49" t="n">
        <v>0</v>
      </c>
      <c r="O8101" s="53" t="n">
        <v>46054.720462963</v>
      </c>
      <c r="P8101" s="53" t="n">
        <v>46056.3832175926</v>
      </c>
      <c r="Q8101" s="53" t="n">
        <v>46054.720462963</v>
      </c>
      <c r="R8101" s="0" t="n">
        <v>0</v>
      </c>
      <c r="S8101" s="51" t="s">
        <v>2356</v>
      </c>
      <c r="T8101" s="51" t="s">
        <v>2356</v>
      </c>
      <c r="U8101" s="0" t="str">
        <f aca="false">"195739"</f>
        <v>195739</v>
      </c>
      <c r="V8101" s="51" t="s">
        <v>2365</v>
      </c>
      <c r="W8101" s="51" t="s">
        <v>8380</v>
      </c>
      <c r="X8101" s="51" t="s">
        <v>2359</v>
      </c>
    </row>
    <row r="8102" customFormat="false" ht="14.25" hidden="true" customHeight="false" outlineLevel="0" collapsed="false">
      <c r="A8102" s="49" t="s">
        <v>2349</v>
      </c>
      <c r="B8102" s="49" t="s">
        <v>2350</v>
      </c>
      <c r="C8102" s="49" t="s">
        <v>13126</v>
      </c>
      <c r="D8102" s="49" t="s">
        <v>2352</v>
      </c>
      <c r="E8102" s="49" t="str">
        <f aca="false">"195739"</f>
        <v>195739</v>
      </c>
      <c r="F8102" s="49" t="s">
        <v>10635</v>
      </c>
      <c r="G8102" s="49" t="n">
        <v>0</v>
      </c>
      <c r="H8102" s="0" t="n">
        <v>0</v>
      </c>
      <c r="M8102" s="51" t="s">
        <v>13122</v>
      </c>
      <c r="N8102" s="49" t="n">
        <v>0</v>
      </c>
      <c r="O8102" s="53" t="n">
        <v>46054.7199768519</v>
      </c>
      <c r="P8102" s="53" t="n">
        <v>46056.3825</v>
      </c>
      <c r="Q8102" s="53" t="n">
        <v>46054.7199768519</v>
      </c>
      <c r="R8102" s="0" t="n">
        <v>0</v>
      </c>
      <c r="S8102" s="51" t="s">
        <v>2356</v>
      </c>
      <c r="T8102" s="51" t="s">
        <v>2356</v>
      </c>
      <c r="U8102" s="0" t="str">
        <f aca="false">"195739"</f>
        <v>195739</v>
      </c>
      <c r="V8102" s="51" t="s">
        <v>2365</v>
      </c>
      <c r="W8102" s="51" t="s">
        <v>3692</v>
      </c>
      <c r="X8102" s="51" t="s">
        <v>2359</v>
      </c>
    </row>
    <row r="8103" customFormat="false" ht="14.25" hidden="true" customHeight="false" outlineLevel="0" collapsed="false">
      <c r="A8103" s="49" t="s">
        <v>2349</v>
      </c>
      <c r="B8103" s="49" t="s">
        <v>2350</v>
      </c>
      <c r="C8103" s="49" t="s">
        <v>13127</v>
      </c>
      <c r="D8103" s="49" t="s">
        <v>2352</v>
      </c>
      <c r="E8103" s="49" t="str">
        <f aca="false">"195739"</f>
        <v>195739</v>
      </c>
      <c r="F8103" s="49" t="s">
        <v>10635</v>
      </c>
      <c r="G8103" s="49" t="n">
        <v>0</v>
      </c>
      <c r="H8103" s="0" t="n">
        <v>0</v>
      </c>
      <c r="M8103" s="51" t="s">
        <v>13122</v>
      </c>
      <c r="N8103" s="49" t="n">
        <v>0</v>
      </c>
      <c r="O8103" s="53" t="n">
        <v>46054.7193981482</v>
      </c>
      <c r="P8103" s="53" t="n">
        <v>46056.3834953704</v>
      </c>
      <c r="Q8103" s="53" t="n">
        <v>46054.7193981482</v>
      </c>
      <c r="R8103" s="0" t="n">
        <v>0</v>
      </c>
      <c r="S8103" s="51" t="s">
        <v>2356</v>
      </c>
      <c r="T8103" s="51" t="s">
        <v>2356</v>
      </c>
      <c r="U8103" s="0" t="str">
        <f aca="false">"195739"</f>
        <v>195739</v>
      </c>
      <c r="V8103" s="51" t="s">
        <v>2365</v>
      </c>
      <c r="W8103" s="51" t="s">
        <v>4588</v>
      </c>
      <c r="X8103" s="51" t="s">
        <v>2359</v>
      </c>
    </row>
    <row r="8104" customFormat="false" ht="14.25" hidden="true" customHeight="false" outlineLevel="0" collapsed="false">
      <c r="A8104" s="49" t="s">
        <v>2349</v>
      </c>
      <c r="B8104" s="49" t="s">
        <v>2350</v>
      </c>
      <c r="C8104" s="49" t="s">
        <v>13128</v>
      </c>
      <c r="D8104" s="49" t="s">
        <v>2352</v>
      </c>
      <c r="E8104" s="49" t="str">
        <f aca="false">"195739"</f>
        <v>195739</v>
      </c>
      <c r="F8104" s="49" t="s">
        <v>10635</v>
      </c>
      <c r="G8104" s="49" t="n">
        <v>0</v>
      </c>
      <c r="H8104" s="0" t="n">
        <v>0</v>
      </c>
      <c r="M8104" s="51" t="s">
        <v>13122</v>
      </c>
      <c r="N8104" s="49" t="n">
        <v>0</v>
      </c>
      <c r="O8104" s="53" t="n">
        <v>46054.718900463</v>
      </c>
      <c r="P8104" s="53" t="n">
        <v>46056.3826736111</v>
      </c>
      <c r="Q8104" s="53" t="n">
        <v>46054.718900463</v>
      </c>
      <c r="R8104" s="0" t="n">
        <v>0</v>
      </c>
      <c r="S8104" s="51" t="s">
        <v>2356</v>
      </c>
      <c r="T8104" s="51" t="s">
        <v>2356</v>
      </c>
      <c r="U8104" s="0" t="str">
        <f aca="false">"195739"</f>
        <v>195739</v>
      </c>
      <c r="V8104" s="51" t="s">
        <v>2365</v>
      </c>
      <c r="W8104" s="51" t="s">
        <v>3687</v>
      </c>
      <c r="X8104" s="51" t="s">
        <v>2359</v>
      </c>
    </row>
    <row r="8105" customFormat="false" ht="14.25" hidden="true" customHeight="false" outlineLevel="0" collapsed="false">
      <c r="A8105" s="49" t="s">
        <v>2349</v>
      </c>
      <c r="B8105" s="49" t="s">
        <v>2350</v>
      </c>
      <c r="C8105" s="49" t="s">
        <v>13129</v>
      </c>
      <c r="D8105" s="49" t="s">
        <v>2352</v>
      </c>
      <c r="E8105" s="49" t="str">
        <f aca="false">"30210890"</f>
        <v>30210890</v>
      </c>
      <c r="F8105" s="49" t="s">
        <v>12009</v>
      </c>
      <c r="G8105" s="49" t="n">
        <v>0</v>
      </c>
      <c r="H8105" s="0" t="n">
        <v>0</v>
      </c>
      <c r="M8105" s="51" t="s">
        <v>13122</v>
      </c>
      <c r="N8105" s="49" t="n">
        <v>0</v>
      </c>
      <c r="O8105" s="53" t="n">
        <v>46054.701875</v>
      </c>
      <c r="P8105" s="53" t="n">
        <v>46057.4449421296</v>
      </c>
      <c r="Q8105" s="53" t="n">
        <v>46054.701875</v>
      </c>
      <c r="R8105" s="0" t="n">
        <v>0</v>
      </c>
      <c r="S8105" s="51" t="s">
        <v>2356</v>
      </c>
      <c r="T8105" s="51" t="s">
        <v>2356</v>
      </c>
      <c r="U8105" s="0" t="str">
        <f aca="false">"30210890"</f>
        <v>30210890</v>
      </c>
      <c r="V8105" s="51" t="s">
        <v>2365</v>
      </c>
      <c r="W8105" s="51" t="s">
        <v>9884</v>
      </c>
      <c r="X8105" s="51" t="s">
        <v>2359</v>
      </c>
    </row>
    <row r="8106" customFormat="false" ht="14.25" hidden="true" customHeight="false" outlineLevel="0" collapsed="false">
      <c r="A8106" s="49" t="s">
        <v>2349</v>
      </c>
      <c r="B8106" s="49" t="s">
        <v>2350</v>
      </c>
      <c r="C8106" s="49" t="s">
        <v>13130</v>
      </c>
      <c r="D8106" s="49" t="s">
        <v>2352</v>
      </c>
      <c r="E8106" s="49" t="str">
        <f aca="false">"13770163"</f>
        <v>13770163</v>
      </c>
      <c r="F8106" s="49" t="s">
        <v>13131</v>
      </c>
      <c r="G8106" s="49" t="n">
        <v>0</v>
      </c>
      <c r="H8106" s="0" t="n">
        <v>0</v>
      </c>
      <c r="M8106" s="51" t="s">
        <v>13132</v>
      </c>
      <c r="N8106" s="49" t="n">
        <v>0</v>
      </c>
      <c r="O8106" s="53" t="n">
        <v>46044.7039930556</v>
      </c>
      <c r="P8106" s="53" t="n">
        <v>46049.9142939815</v>
      </c>
      <c r="Q8106" s="53" t="n">
        <v>46044.7039930556</v>
      </c>
      <c r="R8106" s="0" t="n">
        <v>0</v>
      </c>
      <c r="S8106" s="51" t="s">
        <v>3780</v>
      </c>
      <c r="T8106" s="51" t="s">
        <v>3780</v>
      </c>
      <c r="U8106" s="0" t="str">
        <f aca="false">"13770163"</f>
        <v>13770163</v>
      </c>
      <c r="V8106" s="51" t="s">
        <v>2365</v>
      </c>
      <c r="W8106" s="51" t="s">
        <v>12892</v>
      </c>
      <c r="X8106" s="51" t="s">
        <v>2359</v>
      </c>
    </row>
    <row r="8107" customFormat="false" ht="14.25" hidden="true" customHeight="false" outlineLevel="0" collapsed="false">
      <c r="A8107" s="49" t="s">
        <v>2349</v>
      </c>
      <c r="B8107" s="49" t="s">
        <v>2350</v>
      </c>
      <c r="C8107" s="49" t="s">
        <v>13133</v>
      </c>
      <c r="D8107" s="49" t="s">
        <v>2352</v>
      </c>
      <c r="E8107" s="49" t="str">
        <f aca="false">"13770163"</f>
        <v>13770163</v>
      </c>
      <c r="F8107" s="49" t="s">
        <v>13131</v>
      </c>
      <c r="G8107" s="49" t="n">
        <v>0</v>
      </c>
      <c r="H8107" s="0" t="n">
        <v>0</v>
      </c>
      <c r="M8107" s="51" t="s">
        <v>13132</v>
      </c>
      <c r="N8107" s="49" t="n">
        <v>0</v>
      </c>
      <c r="O8107" s="53" t="n">
        <v>46044.7032175926</v>
      </c>
      <c r="P8107" s="53" t="n">
        <v>46049.9065046296</v>
      </c>
      <c r="Q8107" s="53" t="n">
        <v>46044.7032175926</v>
      </c>
      <c r="R8107" s="0" t="n">
        <v>0</v>
      </c>
      <c r="S8107" s="51" t="s">
        <v>3780</v>
      </c>
      <c r="T8107" s="51" t="s">
        <v>3780</v>
      </c>
      <c r="U8107" s="0" t="str">
        <f aca="false">"13770163"</f>
        <v>13770163</v>
      </c>
      <c r="V8107" s="51" t="s">
        <v>2365</v>
      </c>
      <c r="W8107" s="51" t="s">
        <v>12941</v>
      </c>
      <c r="X8107" s="51" t="s">
        <v>2359</v>
      </c>
    </row>
    <row r="8108" customFormat="false" ht="14.25" hidden="true" customHeight="false" outlineLevel="0" collapsed="false">
      <c r="A8108" s="49" t="s">
        <v>2349</v>
      </c>
      <c r="B8108" s="49" t="s">
        <v>2350</v>
      </c>
      <c r="C8108" s="49" t="s">
        <v>13134</v>
      </c>
      <c r="D8108" s="49" t="s">
        <v>2352</v>
      </c>
      <c r="E8108" s="49" t="str">
        <f aca="false">"13770163"</f>
        <v>13770163</v>
      </c>
      <c r="F8108" s="49" t="s">
        <v>13131</v>
      </c>
      <c r="G8108" s="49" t="n">
        <v>0</v>
      </c>
      <c r="H8108" s="0" t="n">
        <v>0</v>
      </c>
      <c r="M8108" s="51" t="s">
        <v>13132</v>
      </c>
      <c r="N8108" s="49" t="n">
        <v>0</v>
      </c>
      <c r="O8108" s="53" t="n">
        <v>46044.7027546296</v>
      </c>
      <c r="P8108" s="53" t="n">
        <v>46049.9116087963</v>
      </c>
      <c r="Q8108" s="53" t="n">
        <v>46044.7027546296</v>
      </c>
      <c r="R8108" s="0" t="n">
        <v>0</v>
      </c>
      <c r="S8108" s="51" t="s">
        <v>3780</v>
      </c>
      <c r="T8108" s="51" t="s">
        <v>3780</v>
      </c>
      <c r="U8108" s="0" t="str">
        <f aca="false">"13770163"</f>
        <v>13770163</v>
      </c>
      <c r="V8108" s="51" t="s">
        <v>2365</v>
      </c>
      <c r="W8108" s="51" t="s">
        <v>12220</v>
      </c>
      <c r="X8108" s="51" t="s">
        <v>2359</v>
      </c>
    </row>
    <row r="8109" customFormat="false" ht="14.25" hidden="true" customHeight="false" outlineLevel="0" collapsed="false">
      <c r="A8109" s="49" t="s">
        <v>2349</v>
      </c>
      <c r="B8109" s="49" t="s">
        <v>2350</v>
      </c>
      <c r="C8109" s="49" t="s">
        <v>13135</v>
      </c>
      <c r="D8109" s="49" t="s">
        <v>2352</v>
      </c>
      <c r="E8109" s="49" t="str">
        <f aca="false">"13770163"</f>
        <v>13770163</v>
      </c>
      <c r="F8109" s="49" t="s">
        <v>13131</v>
      </c>
      <c r="G8109" s="49" t="n">
        <v>0</v>
      </c>
      <c r="H8109" s="0" t="n">
        <v>0</v>
      </c>
      <c r="M8109" s="51" t="s">
        <v>13132</v>
      </c>
      <c r="N8109" s="49" t="n">
        <v>0</v>
      </c>
      <c r="O8109" s="53" t="n">
        <v>46044.7022222222</v>
      </c>
      <c r="P8109" s="53" t="n">
        <v>46049.9110185185</v>
      </c>
      <c r="Q8109" s="53" t="n">
        <v>46044.7022222222</v>
      </c>
      <c r="R8109" s="0" t="n">
        <v>0</v>
      </c>
      <c r="S8109" s="51" t="s">
        <v>3780</v>
      </c>
      <c r="T8109" s="51" t="s">
        <v>3780</v>
      </c>
      <c r="U8109" s="0" t="str">
        <f aca="false">"13770163"</f>
        <v>13770163</v>
      </c>
      <c r="V8109" s="51" t="s">
        <v>2365</v>
      </c>
      <c r="W8109" s="51" t="s">
        <v>10264</v>
      </c>
      <c r="X8109" s="51" t="s">
        <v>2359</v>
      </c>
    </row>
    <row r="8110" customFormat="false" ht="14.25" hidden="true" customHeight="false" outlineLevel="0" collapsed="false">
      <c r="A8110" s="49" t="s">
        <v>2349</v>
      </c>
      <c r="B8110" s="49" t="s">
        <v>2350</v>
      </c>
      <c r="C8110" s="49" t="s">
        <v>13136</v>
      </c>
      <c r="D8110" s="49" t="s">
        <v>2352</v>
      </c>
      <c r="E8110" s="49" t="str">
        <f aca="false">"13770163"</f>
        <v>13770163</v>
      </c>
      <c r="F8110" s="49" t="s">
        <v>13131</v>
      </c>
      <c r="G8110" s="49" t="n">
        <v>0</v>
      </c>
      <c r="H8110" s="0" t="n">
        <v>0</v>
      </c>
      <c r="M8110" s="51" t="s">
        <v>13132</v>
      </c>
      <c r="N8110" s="49" t="n">
        <v>0</v>
      </c>
      <c r="O8110" s="53" t="n">
        <v>46044.7017013889</v>
      </c>
      <c r="P8110" s="53" t="n">
        <v>46049.9100578704</v>
      </c>
      <c r="Q8110" s="53" t="n">
        <v>46044.7017013889</v>
      </c>
      <c r="R8110" s="0" t="n">
        <v>0</v>
      </c>
      <c r="S8110" s="51" t="s">
        <v>3780</v>
      </c>
      <c r="T8110" s="51" t="s">
        <v>3780</v>
      </c>
      <c r="U8110" s="0" t="str">
        <f aca="false">"13770163"</f>
        <v>13770163</v>
      </c>
      <c r="V8110" s="51" t="s">
        <v>2365</v>
      </c>
      <c r="W8110" s="51" t="s">
        <v>13137</v>
      </c>
      <c r="X8110" s="51" t="s">
        <v>2359</v>
      </c>
    </row>
    <row r="8111" customFormat="false" ht="14.25" hidden="true" customHeight="false" outlineLevel="0" collapsed="false">
      <c r="A8111" s="49" t="s">
        <v>2349</v>
      </c>
      <c r="B8111" s="49" t="s">
        <v>2350</v>
      </c>
      <c r="C8111" s="49" t="s">
        <v>13138</v>
      </c>
      <c r="D8111" s="49" t="s">
        <v>2352</v>
      </c>
      <c r="E8111" s="49" t="str">
        <f aca="false">"13770163"</f>
        <v>13770163</v>
      </c>
      <c r="F8111" s="49" t="s">
        <v>13131</v>
      </c>
      <c r="G8111" s="49" t="n">
        <v>0</v>
      </c>
      <c r="H8111" s="0" t="n">
        <v>0</v>
      </c>
      <c r="M8111" s="51" t="s">
        <v>13132</v>
      </c>
      <c r="N8111" s="49" t="n">
        <v>0</v>
      </c>
      <c r="O8111" s="53" t="n">
        <v>46044.7012615741</v>
      </c>
      <c r="P8111" s="53" t="n">
        <v>46049.907962963</v>
      </c>
      <c r="Q8111" s="53" t="n">
        <v>46044.7012615741</v>
      </c>
      <c r="R8111" s="0" t="n">
        <v>0</v>
      </c>
      <c r="S8111" s="51" t="s">
        <v>3780</v>
      </c>
      <c r="T8111" s="51" t="s">
        <v>3780</v>
      </c>
      <c r="U8111" s="0" t="str">
        <f aca="false">"13770163"</f>
        <v>13770163</v>
      </c>
      <c r="V8111" s="51" t="s">
        <v>2365</v>
      </c>
      <c r="W8111" s="51" t="s">
        <v>6760</v>
      </c>
      <c r="X8111" s="51" t="s">
        <v>2359</v>
      </c>
    </row>
    <row r="8112" customFormat="false" ht="14.25" hidden="true" customHeight="false" outlineLevel="0" collapsed="false">
      <c r="A8112" s="49" t="s">
        <v>2349</v>
      </c>
      <c r="B8112" s="49" t="s">
        <v>2350</v>
      </c>
      <c r="C8112" s="49" t="s">
        <v>13139</v>
      </c>
      <c r="D8112" s="49" t="s">
        <v>2352</v>
      </c>
      <c r="E8112" s="49" t="str">
        <f aca="false">"13770163"</f>
        <v>13770163</v>
      </c>
      <c r="F8112" s="49" t="s">
        <v>13131</v>
      </c>
      <c r="G8112" s="49" t="n">
        <v>0</v>
      </c>
      <c r="H8112" s="0" t="n">
        <v>0</v>
      </c>
      <c r="M8112" s="51" t="s">
        <v>13132</v>
      </c>
      <c r="N8112" s="49" t="n">
        <v>0</v>
      </c>
      <c r="O8112" s="53" t="n">
        <v>46044.7006597222</v>
      </c>
      <c r="P8112" s="53" t="n">
        <v>46049.9087731482</v>
      </c>
      <c r="Q8112" s="53" t="n">
        <v>46044.7006597222</v>
      </c>
      <c r="R8112" s="0" t="n">
        <v>0</v>
      </c>
      <c r="S8112" s="51" t="s">
        <v>3780</v>
      </c>
      <c r="T8112" s="51" t="s">
        <v>3780</v>
      </c>
      <c r="U8112" s="0" t="str">
        <f aca="false">"13770163"</f>
        <v>13770163</v>
      </c>
      <c r="V8112" s="51" t="s">
        <v>2365</v>
      </c>
      <c r="W8112" s="51" t="s">
        <v>11480</v>
      </c>
      <c r="X8112" s="51" t="s">
        <v>2359</v>
      </c>
    </row>
    <row r="8113" customFormat="false" ht="14.25" hidden="true" customHeight="false" outlineLevel="0" collapsed="false">
      <c r="A8113" s="49" t="s">
        <v>2349</v>
      </c>
      <c r="B8113" s="49" t="s">
        <v>2350</v>
      </c>
      <c r="C8113" s="49" t="s">
        <v>13140</v>
      </c>
      <c r="D8113" s="49" t="s">
        <v>2352</v>
      </c>
      <c r="E8113" s="49" t="str">
        <f aca="false">"13770163"</f>
        <v>13770163</v>
      </c>
      <c r="F8113" s="49" t="s">
        <v>13131</v>
      </c>
      <c r="G8113" s="49" t="n">
        <v>0</v>
      </c>
      <c r="H8113" s="0" t="n">
        <v>0</v>
      </c>
      <c r="M8113" s="51" t="s">
        <v>13132</v>
      </c>
      <c r="N8113" s="49" t="n">
        <v>0</v>
      </c>
      <c r="O8113" s="53" t="n">
        <v>46044.7062384259</v>
      </c>
      <c r="P8113" s="53" t="n">
        <v>46049.9130787037</v>
      </c>
      <c r="Q8113" s="53" t="n">
        <v>46044.7062384259</v>
      </c>
      <c r="R8113" s="0" t="n">
        <v>0</v>
      </c>
      <c r="S8113" s="51" t="s">
        <v>3780</v>
      </c>
      <c r="T8113" s="51" t="s">
        <v>3780</v>
      </c>
      <c r="U8113" s="0" t="str">
        <f aca="false">"13770163"</f>
        <v>13770163</v>
      </c>
      <c r="V8113" s="51" t="s">
        <v>2365</v>
      </c>
      <c r="W8113" s="51" t="s">
        <v>13054</v>
      </c>
      <c r="X8113" s="51" t="s">
        <v>2359</v>
      </c>
    </row>
    <row r="8114" customFormat="false" ht="14.25" hidden="true" customHeight="false" outlineLevel="0" collapsed="false">
      <c r="A8114" s="49" t="s">
        <v>2349</v>
      </c>
      <c r="B8114" s="49" t="s">
        <v>2350</v>
      </c>
      <c r="C8114" s="49" t="s">
        <v>13141</v>
      </c>
      <c r="D8114" s="49" t="s">
        <v>2352</v>
      </c>
      <c r="E8114" s="49" t="s">
        <v>8296</v>
      </c>
      <c r="F8114" s="49" t="s">
        <v>8297</v>
      </c>
      <c r="G8114" s="49" t="n">
        <v>0</v>
      </c>
      <c r="H8114" s="0" t="n">
        <v>0</v>
      </c>
      <c r="M8114" s="51" t="s">
        <v>13142</v>
      </c>
      <c r="N8114" s="49" t="n">
        <v>0</v>
      </c>
      <c r="O8114" s="53" t="n">
        <v>46042.437337963</v>
      </c>
      <c r="P8114" s="53" t="n">
        <v>46046.5605092593</v>
      </c>
      <c r="Q8114" s="53" t="n">
        <v>46042.437337963</v>
      </c>
      <c r="R8114" s="0" t="n">
        <v>0</v>
      </c>
      <c r="S8114" s="51" t="s">
        <v>2356</v>
      </c>
      <c r="T8114" s="51" t="s">
        <v>2356</v>
      </c>
      <c r="U8114" s="51" t="s">
        <v>8296</v>
      </c>
      <c r="V8114" s="51" t="s">
        <v>2357</v>
      </c>
      <c r="W8114" s="51" t="s">
        <v>4010</v>
      </c>
      <c r="X8114" s="51" t="s">
        <v>2359</v>
      </c>
    </row>
    <row r="8115" customFormat="false" ht="14.25" hidden="true" customHeight="false" outlineLevel="0" collapsed="false">
      <c r="A8115" s="49" t="s">
        <v>2349</v>
      </c>
      <c r="B8115" s="49" t="s">
        <v>2350</v>
      </c>
      <c r="C8115" s="49" t="s">
        <v>13143</v>
      </c>
      <c r="D8115" s="49" t="s">
        <v>2352</v>
      </c>
      <c r="E8115" s="49" t="s">
        <v>8296</v>
      </c>
      <c r="F8115" s="49" t="s">
        <v>8297</v>
      </c>
      <c r="G8115" s="49" t="n">
        <v>0</v>
      </c>
      <c r="H8115" s="0" t="n">
        <v>0</v>
      </c>
      <c r="M8115" s="51" t="s">
        <v>13142</v>
      </c>
      <c r="N8115" s="49" t="n">
        <v>0</v>
      </c>
      <c r="O8115" s="53" t="n">
        <v>46042.4388194445</v>
      </c>
      <c r="P8115" s="53" t="n">
        <v>46046.5619328704</v>
      </c>
      <c r="Q8115" s="53" t="n">
        <v>46042.4388194445</v>
      </c>
      <c r="R8115" s="0" t="n">
        <v>0</v>
      </c>
      <c r="S8115" s="51" t="s">
        <v>2356</v>
      </c>
      <c r="T8115" s="51" t="s">
        <v>2356</v>
      </c>
      <c r="U8115" s="51" t="s">
        <v>8296</v>
      </c>
      <c r="V8115" s="51" t="s">
        <v>2357</v>
      </c>
      <c r="W8115" s="51" t="s">
        <v>8880</v>
      </c>
      <c r="X8115" s="51" t="s">
        <v>2359</v>
      </c>
    </row>
    <row r="8116" customFormat="false" ht="14.25" hidden="true" customHeight="false" outlineLevel="0" collapsed="false">
      <c r="A8116" s="49" t="s">
        <v>2349</v>
      </c>
      <c r="B8116" s="49" t="s">
        <v>2350</v>
      </c>
      <c r="C8116" s="49" t="s">
        <v>13144</v>
      </c>
      <c r="D8116" s="49" t="s">
        <v>2352</v>
      </c>
      <c r="E8116" s="49" t="s">
        <v>8296</v>
      </c>
      <c r="F8116" s="49" t="s">
        <v>8297</v>
      </c>
      <c r="G8116" s="49" t="n">
        <v>0</v>
      </c>
      <c r="H8116" s="0" t="n">
        <v>0</v>
      </c>
      <c r="M8116" s="51" t="s">
        <v>13142</v>
      </c>
      <c r="N8116" s="49" t="n">
        <v>0</v>
      </c>
      <c r="O8116" s="53" t="n">
        <v>46042.4392013889</v>
      </c>
      <c r="P8116" s="53" t="n">
        <v>46055.481099537</v>
      </c>
      <c r="Q8116" s="53" t="n">
        <v>46042.4392013889</v>
      </c>
      <c r="R8116" s="0" t="n">
        <v>0</v>
      </c>
      <c r="S8116" s="51" t="s">
        <v>2356</v>
      </c>
      <c r="T8116" s="51" t="s">
        <v>2356</v>
      </c>
      <c r="U8116" s="51" t="s">
        <v>8296</v>
      </c>
      <c r="V8116" s="51" t="s">
        <v>2357</v>
      </c>
      <c r="W8116" s="51" t="s">
        <v>4361</v>
      </c>
      <c r="X8116" s="51" t="s">
        <v>2359</v>
      </c>
    </row>
    <row r="8117" customFormat="false" ht="14.25" hidden="true" customHeight="false" outlineLevel="0" collapsed="false">
      <c r="A8117" s="49" t="s">
        <v>2349</v>
      </c>
      <c r="B8117" s="49" t="s">
        <v>2350</v>
      </c>
      <c r="C8117" s="49" t="s">
        <v>13145</v>
      </c>
      <c r="D8117" s="49" t="s">
        <v>2352</v>
      </c>
      <c r="E8117" s="49" t="s">
        <v>8296</v>
      </c>
      <c r="F8117" s="49" t="s">
        <v>8297</v>
      </c>
      <c r="G8117" s="49" t="n">
        <v>0</v>
      </c>
      <c r="H8117" s="0" t="n">
        <v>0</v>
      </c>
      <c r="M8117" s="51" t="s">
        <v>13142</v>
      </c>
      <c r="N8117" s="49" t="n">
        <v>0</v>
      </c>
      <c r="O8117" s="53" t="n">
        <v>46042.4395601852</v>
      </c>
      <c r="P8117" s="53" t="n">
        <v>46046.5617592593</v>
      </c>
      <c r="Q8117" s="53" t="n">
        <v>46042.4395601852</v>
      </c>
      <c r="R8117" s="0" t="n">
        <v>0</v>
      </c>
      <c r="S8117" s="51" t="s">
        <v>2356</v>
      </c>
      <c r="T8117" s="51" t="s">
        <v>2356</v>
      </c>
      <c r="U8117" s="51" t="s">
        <v>8296</v>
      </c>
      <c r="V8117" s="51" t="s">
        <v>2357</v>
      </c>
      <c r="W8117" s="51" t="s">
        <v>8880</v>
      </c>
      <c r="X8117" s="51" t="s">
        <v>2359</v>
      </c>
    </row>
    <row r="8118" customFormat="false" ht="14.25" hidden="true" customHeight="false" outlineLevel="0" collapsed="false">
      <c r="A8118" s="49" t="s">
        <v>2349</v>
      </c>
      <c r="B8118" s="49" t="s">
        <v>2350</v>
      </c>
      <c r="C8118" s="49" t="s">
        <v>13146</v>
      </c>
      <c r="D8118" s="49" t="s">
        <v>2352</v>
      </c>
      <c r="E8118" s="49" t="s">
        <v>8296</v>
      </c>
      <c r="F8118" s="49" t="s">
        <v>8297</v>
      </c>
      <c r="G8118" s="49" t="n">
        <v>0</v>
      </c>
      <c r="H8118" s="0" t="n">
        <v>0</v>
      </c>
      <c r="M8118" s="51" t="s">
        <v>13142</v>
      </c>
      <c r="N8118" s="49" t="n">
        <v>0</v>
      </c>
      <c r="O8118" s="53" t="n">
        <v>46042.4403935185</v>
      </c>
      <c r="P8118" s="53" t="n">
        <v>46055.4808333333</v>
      </c>
      <c r="Q8118" s="53" t="n">
        <v>46042.4403935185</v>
      </c>
      <c r="R8118" s="0" t="n">
        <v>0</v>
      </c>
      <c r="S8118" s="51" t="s">
        <v>2356</v>
      </c>
      <c r="T8118" s="51" t="s">
        <v>2356</v>
      </c>
      <c r="U8118" s="51" t="s">
        <v>8296</v>
      </c>
      <c r="V8118" s="51" t="s">
        <v>2357</v>
      </c>
      <c r="W8118" s="51" t="s">
        <v>3687</v>
      </c>
      <c r="X8118" s="51" t="s">
        <v>2359</v>
      </c>
    </row>
    <row r="8119" customFormat="false" ht="14.25" hidden="true" customHeight="false" outlineLevel="0" collapsed="false">
      <c r="A8119" s="49" t="s">
        <v>2349</v>
      </c>
      <c r="B8119" s="49" t="s">
        <v>2350</v>
      </c>
      <c r="C8119" s="49" t="s">
        <v>13147</v>
      </c>
      <c r="D8119" s="49" t="s">
        <v>2352</v>
      </c>
      <c r="E8119" s="49" t="s">
        <v>8296</v>
      </c>
      <c r="F8119" s="49" t="s">
        <v>8297</v>
      </c>
      <c r="G8119" s="49" t="n">
        <v>0</v>
      </c>
      <c r="H8119" s="0" t="n">
        <v>0</v>
      </c>
      <c r="M8119" s="51" t="s">
        <v>13142</v>
      </c>
      <c r="N8119" s="49" t="n">
        <v>0</v>
      </c>
      <c r="O8119" s="53" t="n">
        <v>46042.4421412037</v>
      </c>
      <c r="P8119" s="53" t="n">
        <v>46055.4812384259</v>
      </c>
      <c r="Q8119" s="53" t="n">
        <v>46042.4421412037</v>
      </c>
      <c r="R8119" s="0" t="n">
        <v>0</v>
      </c>
      <c r="S8119" s="51" t="s">
        <v>2356</v>
      </c>
      <c r="T8119" s="51" t="s">
        <v>2356</v>
      </c>
      <c r="U8119" s="51" t="s">
        <v>8296</v>
      </c>
      <c r="V8119" s="51" t="s">
        <v>2357</v>
      </c>
      <c r="W8119" s="51" t="s">
        <v>4365</v>
      </c>
      <c r="X8119" s="51" t="s">
        <v>2359</v>
      </c>
    </row>
    <row r="8120" customFormat="false" ht="14.25" hidden="true" customHeight="false" outlineLevel="0" collapsed="false">
      <c r="A8120" s="49" t="s">
        <v>2349</v>
      </c>
      <c r="B8120" s="49" t="s">
        <v>2350</v>
      </c>
      <c r="C8120" s="49" t="s">
        <v>13148</v>
      </c>
      <c r="D8120" s="49" t="s">
        <v>2352</v>
      </c>
      <c r="E8120" s="49" t="s">
        <v>8296</v>
      </c>
      <c r="F8120" s="49" t="s">
        <v>8297</v>
      </c>
      <c r="G8120" s="49" t="n">
        <v>0</v>
      </c>
      <c r="H8120" s="0" t="n">
        <v>0</v>
      </c>
      <c r="M8120" s="51" t="s">
        <v>13142</v>
      </c>
      <c r="N8120" s="49" t="n">
        <v>0</v>
      </c>
      <c r="O8120" s="53" t="n">
        <v>46042.4430787037</v>
      </c>
      <c r="P8120" s="53" t="n">
        <v>46046.5609953704</v>
      </c>
      <c r="Q8120" s="53" t="n">
        <v>46042.4430787037</v>
      </c>
      <c r="R8120" s="0" t="n">
        <v>0</v>
      </c>
      <c r="S8120" s="51" t="s">
        <v>2356</v>
      </c>
      <c r="T8120" s="51" t="s">
        <v>2356</v>
      </c>
      <c r="U8120" s="51" t="s">
        <v>8296</v>
      </c>
      <c r="V8120" s="51" t="s">
        <v>2357</v>
      </c>
      <c r="W8120" s="51" t="s">
        <v>8313</v>
      </c>
      <c r="X8120" s="51" t="s">
        <v>2359</v>
      </c>
    </row>
    <row r="8121" customFormat="false" ht="14.25" hidden="true" customHeight="false" outlineLevel="0" collapsed="false">
      <c r="A8121" s="49" t="s">
        <v>2349</v>
      </c>
      <c r="B8121" s="49" t="s">
        <v>2350</v>
      </c>
      <c r="C8121" s="49" t="s">
        <v>13149</v>
      </c>
      <c r="D8121" s="49" t="s">
        <v>2352</v>
      </c>
      <c r="E8121" s="49" t="s">
        <v>8296</v>
      </c>
      <c r="F8121" s="49" t="s">
        <v>8297</v>
      </c>
      <c r="G8121" s="49" t="n">
        <v>0</v>
      </c>
      <c r="H8121" s="0" t="n">
        <v>0</v>
      </c>
      <c r="M8121" s="51" t="s">
        <v>13142</v>
      </c>
      <c r="N8121" s="49" t="n">
        <v>0</v>
      </c>
      <c r="O8121" s="53" t="n">
        <v>46042.4437962963</v>
      </c>
      <c r="P8121" s="53" t="n">
        <v>46055.4818402778</v>
      </c>
      <c r="Q8121" s="53" t="n">
        <v>46042.4437962963</v>
      </c>
      <c r="R8121" s="0" t="n">
        <v>0</v>
      </c>
      <c r="S8121" s="51" t="s">
        <v>2356</v>
      </c>
      <c r="T8121" s="51" t="s">
        <v>2356</v>
      </c>
      <c r="U8121" s="51" t="s">
        <v>8296</v>
      </c>
      <c r="V8121" s="51" t="s">
        <v>2357</v>
      </c>
      <c r="W8121" s="51" t="s">
        <v>11746</v>
      </c>
      <c r="X8121" s="51" t="s">
        <v>2359</v>
      </c>
    </row>
    <row r="8122" customFormat="false" ht="14.25" hidden="true" customHeight="false" outlineLevel="0" collapsed="false">
      <c r="A8122" s="49" t="s">
        <v>2349</v>
      </c>
      <c r="B8122" s="49" t="s">
        <v>2350</v>
      </c>
      <c r="C8122" s="49" t="s">
        <v>13150</v>
      </c>
      <c r="D8122" s="49" t="s">
        <v>2352</v>
      </c>
      <c r="E8122" s="49" t="s">
        <v>8296</v>
      </c>
      <c r="F8122" s="49" t="s">
        <v>8297</v>
      </c>
      <c r="G8122" s="49" t="n">
        <v>0</v>
      </c>
      <c r="H8122" s="0" t="n">
        <v>0</v>
      </c>
      <c r="M8122" s="51" t="s">
        <v>13142</v>
      </c>
      <c r="N8122" s="49" t="n">
        <v>0</v>
      </c>
      <c r="O8122" s="53" t="n">
        <v>46042.4440972222</v>
      </c>
      <c r="P8122" s="53" t="n">
        <v>46055.4806018519</v>
      </c>
      <c r="Q8122" s="53" t="n">
        <v>46042.4440972222</v>
      </c>
      <c r="R8122" s="0" t="n">
        <v>0</v>
      </c>
      <c r="S8122" s="51" t="s">
        <v>2356</v>
      </c>
      <c r="T8122" s="51" t="s">
        <v>2356</v>
      </c>
      <c r="U8122" s="51" t="s">
        <v>8296</v>
      </c>
      <c r="V8122" s="51" t="s">
        <v>2357</v>
      </c>
      <c r="W8122" s="51" t="s">
        <v>4588</v>
      </c>
      <c r="X8122" s="51" t="s">
        <v>2359</v>
      </c>
    </row>
    <row r="8123" customFormat="false" ht="14.25" hidden="true" customHeight="false" outlineLevel="0" collapsed="false">
      <c r="A8123" s="49" t="s">
        <v>2349</v>
      </c>
      <c r="B8123" s="49" t="s">
        <v>2350</v>
      </c>
      <c r="C8123" s="49" t="s">
        <v>13151</v>
      </c>
      <c r="D8123" s="49" t="s">
        <v>2352</v>
      </c>
      <c r="E8123" s="49" t="s">
        <v>8296</v>
      </c>
      <c r="F8123" s="49" t="s">
        <v>8297</v>
      </c>
      <c r="G8123" s="49" t="n">
        <v>0</v>
      </c>
      <c r="H8123" s="0" t="n">
        <v>0</v>
      </c>
      <c r="M8123" s="51" t="s">
        <v>13142</v>
      </c>
      <c r="N8123" s="49" t="n">
        <v>0</v>
      </c>
      <c r="O8123" s="53" t="n">
        <v>46042.4446643519</v>
      </c>
      <c r="P8123" s="53" t="n">
        <v>46046.5582986111</v>
      </c>
      <c r="Q8123" s="53" t="n">
        <v>46042.4446643519</v>
      </c>
      <c r="R8123" s="0" t="n">
        <v>0</v>
      </c>
      <c r="S8123" s="51" t="s">
        <v>2356</v>
      </c>
      <c r="T8123" s="51" t="s">
        <v>2356</v>
      </c>
      <c r="U8123" s="51" t="s">
        <v>8296</v>
      </c>
      <c r="V8123" s="51" t="s">
        <v>2357</v>
      </c>
      <c r="W8123" s="51" t="s">
        <v>5484</v>
      </c>
      <c r="X8123" s="51" t="s">
        <v>2359</v>
      </c>
    </row>
    <row r="8124" customFormat="false" ht="14.25" hidden="true" customHeight="false" outlineLevel="0" collapsed="false">
      <c r="A8124" s="49" t="s">
        <v>2349</v>
      </c>
      <c r="B8124" s="49" t="s">
        <v>2350</v>
      </c>
      <c r="C8124" s="49" t="s">
        <v>13152</v>
      </c>
      <c r="D8124" s="49" t="s">
        <v>2352</v>
      </c>
      <c r="E8124" s="49" t="s">
        <v>8296</v>
      </c>
      <c r="F8124" s="49" t="s">
        <v>8297</v>
      </c>
      <c r="G8124" s="49" t="n">
        <v>0</v>
      </c>
      <c r="H8124" s="0" t="n">
        <v>0</v>
      </c>
      <c r="M8124" s="51" t="s">
        <v>13142</v>
      </c>
      <c r="N8124" s="49" t="n">
        <v>0</v>
      </c>
      <c r="O8124" s="53" t="n">
        <v>46042.4450347222</v>
      </c>
      <c r="P8124" s="53" t="n">
        <v>46055.4819675926</v>
      </c>
      <c r="Q8124" s="53" t="n">
        <v>46042.4450347222</v>
      </c>
      <c r="R8124" s="0" t="n">
        <v>0</v>
      </c>
      <c r="S8124" s="51" t="s">
        <v>2356</v>
      </c>
      <c r="T8124" s="51" t="s">
        <v>2356</v>
      </c>
      <c r="U8124" s="51" t="s">
        <v>8296</v>
      </c>
      <c r="V8124" s="51" t="s">
        <v>2357</v>
      </c>
      <c r="W8124" s="51" t="s">
        <v>11819</v>
      </c>
      <c r="X8124" s="51" t="s">
        <v>2359</v>
      </c>
    </row>
    <row r="8125" customFormat="false" ht="14.25" hidden="true" customHeight="false" outlineLevel="0" collapsed="false">
      <c r="A8125" s="49" t="s">
        <v>2349</v>
      </c>
      <c r="B8125" s="49" t="s">
        <v>2350</v>
      </c>
      <c r="C8125" s="49" t="s">
        <v>13153</v>
      </c>
      <c r="D8125" s="49" t="s">
        <v>2352</v>
      </c>
      <c r="E8125" s="49" t="s">
        <v>8296</v>
      </c>
      <c r="F8125" s="49" t="s">
        <v>8297</v>
      </c>
      <c r="G8125" s="49" t="n">
        <v>0</v>
      </c>
      <c r="H8125" s="0" t="n">
        <v>0</v>
      </c>
      <c r="M8125" s="51" t="s">
        <v>13142</v>
      </c>
      <c r="N8125" s="49" t="n">
        <v>0</v>
      </c>
      <c r="O8125" s="53" t="n">
        <v>46042.4456944445</v>
      </c>
      <c r="P8125" s="53" t="n">
        <v>46055.4814583333</v>
      </c>
      <c r="Q8125" s="53" t="n">
        <v>46042.4456944445</v>
      </c>
      <c r="R8125" s="0" t="n">
        <v>0</v>
      </c>
      <c r="S8125" s="51" t="s">
        <v>2356</v>
      </c>
      <c r="T8125" s="51" t="s">
        <v>2356</v>
      </c>
      <c r="U8125" s="51" t="s">
        <v>8296</v>
      </c>
      <c r="V8125" s="51" t="s">
        <v>2357</v>
      </c>
      <c r="W8125" s="51" t="s">
        <v>5677</v>
      </c>
      <c r="X8125" s="51" t="s">
        <v>2359</v>
      </c>
    </row>
    <row r="8126" customFormat="false" ht="14.25" hidden="true" customHeight="false" outlineLevel="0" collapsed="false">
      <c r="A8126" s="49" t="s">
        <v>2349</v>
      </c>
      <c r="B8126" s="49" t="s">
        <v>2350</v>
      </c>
      <c r="C8126" s="49" t="s">
        <v>13154</v>
      </c>
      <c r="D8126" s="49" t="s">
        <v>2352</v>
      </c>
      <c r="E8126" s="49" t="s">
        <v>8296</v>
      </c>
      <c r="F8126" s="49" t="s">
        <v>8297</v>
      </c>
      <c r="G8126" s="49" t="n">
        <v>0</v>
      </c>
      <c r="H8126" s="0" t="n">
        <v>0</v>
      </c>
      <c r="M8126" s="51" t="s">
        <v>13142</v>
      </c>
      <c r="N8126" s="49" t="n">
        <v>0</v>
      </c>
      <c r="O8126" s="53" t="n">
        <v>46042.4481597222</v>
      </c>
      <c r="P8126" s="53" t="n">
        <v>46055.4813425926</v>
      </c>
      <c r="Q8126" s="53" t="n">
        <v>46042.4481597222</v>
      </c>
      <c r="R8126" s="0" t="n">
        <v>0</v>
      </c>
      <c r="S8126" s="51" t="s">
        <v>2356</v>
      </c>
      <c r="T8126" s="51" t="s">
        <v>2356</v>
      </c>
      <c r="U8126" s="51" t="s">
        <v>8296</v>
      </c>
      <c r="V8126" s="51" t="s">
        <v>2357</v>
      </c>
      <c r="W8126" s="51" t="s">
        <v>6603</v>
      </c>
      <c r="X8126" s="51" t="s">
        <v>2359</v>
      </c>
    </row>
    <row r="8127" customFormat="false" ht="14.25" hidden="true" customHeight="false" outlineLevel="0" collapsed="false">
      <c r="A8127" s="49" t="s">
        <v>2349</v>
      </c>
      <c r="B8127" s="49" t="s">
        <v>2350</v>
      </c>
      <c r="C8127" s="49" t="s">
        <v>13155</v>
      </c>
      <c r="D8127" s="49" t="s">
        <v>2352</v>
      </c>
      <c r="E8127" s="49" t="s">
        <v>8296</v>
      </c>
      <c r="F8127" s="49" t="s">
        <v>8297</v>
      </c>
      <c r="G8127" s="49" t="n">
        <v>0</v>
      </c>
      <c r="H8127" s="0" t="n">
        <v>0</v>
      </c>
      <c r="M8127" s="51" t="s">
        <v>13142</v>
      </c>
      <c r="N8127" s="49" t="n">
        <v>0</v>
      </c>
      <c r="O8127" s="53" t="n">
        <v>46042.4484953704</v>
      </c>
      <c r="P8127" s="53" t="n">
        <v>46055.4809837963</v>
      </c>
      <c r="Q8127" s="53" t="n">
        <v>46042.4484953704</v>
      </c>
      <c r="R8127" s="0" t="n">
        <v>0</v>
      </c>
      <c r="S8127" s="51" t="s">
        <v>2356</v>
      </c>
      <c r="T8127" s="51" t="s">
        <v>2356</v>
      </c>
      <c r="U8127" s="51" t="s">
        <v>8296</v>
      </c>
      <c r="V8127" s="51" t="s">
        <v>2357</v>
      </c>
      <c r="W8127" s="51" t="s">
        <v>3683</v>
      </c>
      <c r="X8127" s="51" t="s">
        <v>2359</v>
      </c>
    </row>
    <row r="8128" customFormat="false" ht="14.25" hidden="true" customHeight="false" outlineLevel="0" collapsed="false">
      <c r="A8128" s="49" t="s">
        <v>2349</v>
      </c>
      <c r="B8128" s="49" t="s">
        <v>2350</v>
      </c>
      <c r="C8128" s="49" t="s">
        <v>13156</v>
      </c>
      <c r="D8128" s="49" t="s">
        <v>2352</v>
      </c>
      <c r="E8128" s="49" t="s">
        <v>8296</v>
      </c>
      <c r="F8128" s="49" t="s">
        <v>8297</v>
      </c>
      <c r="G8128" s="49" t="n">
        <v>0</v>
      </c>
      <c r="H8128" s="0" t="n">
        <v>0</v>
      </c>
      <c r="M8128" s="51" t="s">
        <v>13142</v>
      </c>
      <c r="N8128" s="49" t="n">
        <v>0</v>
      </c>
      <c r="O8128" s="53" t="n">
        <v>46042.4488078704</v>
      </c>
      <c r="P8128" s="53" t="n">
        <v>46055.4815740741</v>
      </c>
      <c r="Q8128" s="53" t="n">
        <v>46042.4488078704</v>
      </c>
      <c r="R8128" s="0" t="n">
        <v>0</v>
      </c>
      <c r="S8128" s="51" t="s">
        <v>2356</v>
      </c>
      <c r="T8128" s="51" t="s">
        <v>2356</v>
      </c>
      <c r="U8128" s="51" t="s">
        <v>8296</v>
      </c>
      <c r="V8128" s="51" t="s">
        <v>2357</v>
      </c>
      <c r="W8128" s="51" t="s">
        <v>7286</v>
      </c>
      <c r="X8128" s="51" t="s">
        <v>2359</v>
      </c>
    </row>
    <row r="8129" customFormat="false" ht="14.25" hidden="true" customHeight="false" outlineLevel="0" collapsed="false">
      <c r="A8129" s="49" t="s">
        <v>2349</v>
      </c>
      <c r="B8129" s="49" t="s">
        <v>2350</v>
      </c>
      <c r="C8129" s="49" t="s">
        <v>13157</v>
      </c>
      <c r="D8129" s="49" t="s">
        <v>2352</v>
      </c>
      <c r="E8129" s="49" t="str">
        <f aca="false">"13770163"</f>
        <v>13770163</v>
      </c>
      <c r="F8129" s="49" t="s">
        <v>13131</v>
      </c>
      <c r="G8129" s="49" t="n">
        <v>0</v>
      </c>
      <c r="H8129" s="0" t="n">
        <v>0</v>
      </c>
      <c r="M8129" s="51" t="s">
        <v>13158</v>
      </c>
      <c r="N8129" s="49" t="n">
        <v>0</v>
      </c>
      <c r="O8129" s="53" t="n">
        <v>46037.3266203704</v>
      </c>
      <c r="P8129" s="53" t="n">
        <v>46041.9290856481</v>
      </c>
      <c r="Q8129" s="53" t="n">
        <v>46037.3266203704</v>
      </c>
      <c r="R8129" s="0" t="n">
        <v>0</v>
      </c>
      <c r="S8129" s="51" t="s">
        <v>2380</v>
      </c>
      <c r="T8129" s="51" t="s">
        <v>2380</v>
      </c>
      <c r="U8129" s="0" t="str">
        <f aca="false">"13770163"</f>
        <v>13770163</v>
      </c>
      <c r="V8129" s="51" t="s">
        <v>2365</v>
      </c>
      <c r="W8129" s="51" t="s">
        <v>4964</v>
      </c>
      <c r="X8129" s="51" t="s">
        <v>2359</v>
      </c>
    </row>
    <row r="8130" customFormat="false" ht="14.25" hidden="true" customHeight="false" outlineLevel="0" collapsed="false">
      <c r="A8130" s="49" t="s">
        <v>2349</v>
      </c>
      <c r="B8130" s="49" t="s">
        <v>2350</v>
      </c>
      <c r="C8130" s="49" t="s">
        <v>13159</v>
      </c>
      <c r="D8130" s="49" t="s">
        <v>2352</v>
      </c>
      <c r="E8130" s="49" t="str">
        <f aca="false">"13770163"</f>
        <v>13770163</v>
      </c>
      <c r="F8130" s="49" t="s">
        <v>13131</v>
      </c>
      <c r="G8130" s="49" t="n">
        <v>0</v>
      </c>
      <c r="H8130" s="0" t="n">
        <v>0</v>
      </c>
      <c r="M8130" s="51" t="s">
        <v>13158</v>
      </c>
      <c r="N8130" s="49" t="n">
        <v>0</v>
      </c>
      <c r="O8130" s="53" t="n">
        <v>46037.3272685185</v>
      </c>
      <c r="P8130" s="53" t="n">
        <v>46041.9156944445</v>
      </c>
      <c r="Q8130" s="53" t="n">
        <v>46037.3272685185</v>
      </c>
      <c r="R8130" s="0" t="n">
        <v>0</v>
      </c>
      <c r="S8130" s="51" t="s">
        <v>2380</v>
      </c>
      <c r="T8130" s="51" t="s">
        <v>2380</v>
      </c>
      <c r="U8130" s="0" t="str">
        <f aca="false">"13770163"</f>
        <v>13770163</v>
      </c>
      <c r="V8130" s="51" t="s">
        <v>2365</v>
      </c>
      <c r="W8130" s="51" t="s">
        <v>8546</v>
      </c>
      <c r="X8130" s="51" t="s">
        <v>2359</v>
      </c>
    </row>
    <row r="8131" customFormat="false" ht="14.25" hidden="true" customHeight="false" outlineLevel="0" collapsed="false">
      <c r="A8131" s="49" t="s">
        <v>2349</v>
      </c>
      <c r="B8131" s="49" t="s">
        <v>2350</v>
      </c>
      <c r="C8131" s="49" t="s">
        <v>13160</v>
      </c>
      <c r="D8131" s="49" t="s">
        <v>2352</v>
      </c>
      <c r="E8131" s="49" t="str">
        <f aca="false">"13770163"</f>
        <v>13770163</v>
      </c>
      <c r="F8131" s="49" t="s">
        <v>13131</v>
      </c>
      <c r="G8131" s="49" t="n">
        <v>0</v>
      </c>
      <c r="H8131" s="0" t="n">
        <v>0</v>
      </c>
      <c r="M8131" s="51" t="s">
        <v>13158</v>
      </c>
      <c r="N8131" s="49" t="n">
        <v>0</v>
      </c>
      <c r="O8131" s="53" t="n">
        <v>46037.3275462963</v>
      </c>
      <c r="P8131" s="53" t="n">
        <v>46041.9163657407</v>
      </c>
      <c r="Q8131" s="53" t="n">
        <v>46037.3275462963</v>
      </c>
      <c r="R8131" s="0" t="n">
        <v>0</v>
      </c>
      <c r="S8131" s="51" t="s">
        <v>2380</v>
      </c>
      <c r="T8131" s="51" t="s">
        <v>2380</v>
      </c>
      <c r="U8131" s="0" t="str">
        <f aca="false">"13770163"</f>
        <v>13770163</v>
      </c>
      <c r="V8131" s="51" t="s">
        <v>2365</v>
      </c>
      <c r="W8131" s="51" t="s">
        <v>10942</v>
      </c>
      <c r="X8131" s="51" t="s">
        <v>2359</v>
      </c>
    </row>
    <row r="8132" customFormat="false" ht="14.25" hidden="true" customHeight="false" outlineLevel="0" collapsed="false">
      <c r="A8132" s="49" t="s">
        <v>2349</v>
      </c>
      <c r="B8132" s="49" t="s">
        <v>2350</v>
      </c>
      <c r="C8132" s="49" t="s">
        <v>13161</v>
      </c>
      <c r="D8132" s="49" t="s">
        <v>2352</v>
      </c>
      <c r="E8132" s="49" t="str">
        <f aca="false">"13770163"</f>
        <v>13770163</v>
      </c>
      <c r="F8132" s="49" t="s">
        <v>13131</v>
      </c>
      <c r="G8132" s="49" t="n">
        <v>0</v>
      </c>
      <c r="H8132" s="0" t="n">
        <v>0</v>
      </c>
      <c r="M8132" s="51" t="s">
        <v>13158</v>
      </c>
      <c r="N8132" s="49" t="n">
        <v>0</v>
      </c>
      <c r="O8132" s="53" t="n">
        <v>46037.3280439815</v>
      </c>
      <c r="P8132" s="53" t="n">
        <v>46041.9168981482</v>
      </c>
      <c r="Q8132" s="53" t="n">
        <v>46037.3280439815</v>
      </c>
      <c r="R8132" s="0" t="n">
        <v>0</v>
      </c>
      <c r="S8132" s="51" t="s">
        <v>2380</v>
      </c>
      <c r="T8132" s="51" t="s">
        <v>2380</v>
      </c>
      <c r="U8132" s="0" t="str">
        <f aca="false">"13770163"</f>
        <v>13770163</v>
      </c>
      <c r="V8132" s="51" t="s">
        <v>2365</v>
      </c>
      <c r="W8132" s="51" t="s">
        <v>10563</v>
      </c>
      <c r="X8132" s="51" t="s">
        <v>2359</v>
      </c>
    </row>
    <row r="8133" customFormat="false" ht="14.25" hidden="true" customHeight="false" outlineLevel="0" collapsed="false">
      <c r="A8133" s="49" t="s">
        <v>2349</v>
      </c>
      <c r="B8133" s="49" t="s">
        <v>2350</v>
      </c>
      <c r="C8133" s="49" t="s">
        <v>13162</v>
      </c>
      <c r="D8133" s="49" t="s">
        <v>2352</v>
      </c>
      <c r="E8133" s="49" t="str">
        <f aca="false">"13770163"</f>
        <v>13770163</v>
      </c>
      <c r="F8133" s="49" t="s">
        <v>13131</v>
      </c>
      <c r="G8133" s="49" t="n">
        <v>0</v>
      </c>
      <c r="H8133" s="0" t="n">
        <v>0</v>
      </c>
      <c r="M8133" s="51" t="s">
        <v>13158</v>
      </c>
      <c r="N8133" s="49" t="n">
        <v>0</v>
      </c>
      <c r="O8133" s="53" t="n">
        <v>46037.3290046296</v>
      </c>
      <c r="P8133" s="53" t="n">
        <v>46041.9318865741</v>
      </c>
      <c r="Q8133" s="53" t="n">
        <v>46037.3290046296</v>
      </c>
      <c r="R8133" s="0" t="n">
        <v>0</v>
      </c>
      <c r="S8133" s="51" t="s">
        <v>2380</v>
      </c>
      <c r="T8133" s="51" t="s">
        <v>2380</v>
      </c>
      <c r="U8133" s="0" t="str">
        <f aca="false">"13770163"</f>
        <v>13770163</v>
      </c>
      <c r="V8133" s="51" t="s">
        <v>2365</v>
      </c>
      <c r="W8133" s="51" t="s">
        <v>4923</v>
      </c>
      <c r="X8133" s="51" t="s">
        <v>2359</v>
      </c>
    </row>
    <row r="8134" customFormat="false" ht="14.25" hidden="true" customHeight="false" outlineLevel="0" collapsed="false">
      <c r="A8134" s="49" t="s">
        <v>2349</v>
      </c>
      <c r="B8134" s="49" t="s">
        <v>2350</v>
      </c>
      <c r="C8134" s="49" t="s">
        <v>13163</v>
      </c>
      <c r="D8134" s="49" t="s">
        <v>2352</v>
      </c>
      <c r="E8134" s="49" t="str">
        <f aca="false">"13770163"</f>
        <v>13770163</v>
      </c>
      <c r="F8134" s="49" t="s">
        <v>13131</v>
      </c>
      <c r="G8134" s="49" t="n">
        <v>0</v>
      </c>
      <c r="H8134" s="0" t="n">
        <v>0</v>
      </c>
      <c r="M8134" s="51" t="s">
        <v>13158</v>
      </c>
      <c r="N8134" s="49" t="n">
        <v>0</v>
      </c>
      <c r="O8134" s="53" t="n">
        <v>46037.3296875</v>
      </c>
      <c r="P8134" s="53" t="n">
        <v>46041.9305671296</v>
      </c>
      <c r="Q8134" s="53" t="n">
        <v>46037.3296875</v>
      </c>
      <c r="R8134" s="0" t="n">
        <v>0</v>
      </c>
      <c r="S8134" s="51" t="s">
        <v>2380</v>
      </c>
      <c r="T8134" s="51" t="s">
        <v>2380</v>
      </c>
      <c r="U8134" s="0" t="str">
        <f aca="false">"13770163"</f>
        <v>13770163</v>
      </c>
      <c r="V8134" s="51" t="s">
        <v>2365</v>
      </c>
      <c r="W8134" s="51" t="s">
        <v>10573</v>
      </c>
      <c r="X8134" s="51" t="s">
        <v>2359</v>
      </c>
    </row>
    <row r="8135" customFormat="false" ht="14.25" hidden="true" customHeight="false" outlineLevel="0" collapsed="false">
      <c r="A8135" s="49" t="s">
        <v>2349</v>
      </c>
      <c r="B8135" s="49" t="s">
        <v>2350</v>
      </c>
      <c r="C8135" s="49" t="s">
        <v>13164</v>
      </c>
      <c r="D8135" s="49" t="s">
        <v>2352</v>
      </c>
      <c r="E8135" s="49" t="str">
        <f aca="false">"13770163"</f>
        <v>13770163</v>
      </c>
      <c r="F8135" s="49" t="s">
        <v>13131</v>
      </c>
      <c r="G8135" s="49" t="n">
        <v>0</v>
      </c>
      <c r="H8135" s="0" t="n">
        <v>0</v>
      </c>
      <c r="M8135" s="51" t="s">
        <v>13158</v>
      </c>
      <c r="N8135" s="49" t="n">
        <v>0</v>
      </c>
      <c r="O8135" s="53" t="n">
        <v>46037.3300347222</v>
      </c>
      <c r="P8135" s="53" t="n">
        <v>46041.9299421296</v>
      </c>
      <c r="Q8135" s="53" t="n">
        <v>46037.3300347222</v>
      </c>
      <c r="R8135" s="0" t="n">
        <v>0</v>
      </c>
      <c r="S8135" s="51" t="s">
        <v>2380</v>
      </c>
      <c r="T8135" s="51" t="s">
        <v>2380</v>
      </c>
      <c r="U8135" s="0" t="str">
        <f aca="false">"13770163"</f>
        <v>13770163</v>
      </c>
      <c r="V8135" s="51" t="s">
        <v>2365</v>
      </c>
      <c r="W8135" s="51" t="s">
        <v>13090</v>
      </c>
      <c r="X8135" s="51" t="s">
        <v>2359</v>
      </c>
    </row>
    <row r="8136" customFormat="false" ht="14.25" hidden="true" customHeight="false" outlineLevel="0" collapsed="false">
      <c r="A8136" s="49" t="s">
        <v>2349</v>
      </c>
      <c r="B8136" s="49" t="s">
        <v>2350</v>
      </c>
      <c r="C8136" s="49" t="s">
        <v>13165</v>
      </c>
      <c r="D8136" s="49" t="s">
        <v>2352</v>
      </c>
      <c r="E8136" s="49" t="str">
        <f aca="false">"13770163"</f>
        <v>13770163</v>
      </c>
      <c r="F8136" s="49" t="s">
        <v>13131</v>
      </c>
      <c r="G8136" s="49" t="n">
        <v>0</v>
      </c>
      <c r="H8136" s="0" t="n">
        <v>0</v>
      </c>
      <c r="M8136" s="51" t="s">
        <v>13158</v>
      </c>
      <c r="N8136" s="49" t="n">
        <v>0</v>
      </c>
      <c r="O8136" s="53" t="n">
        <v>46037.3306712963</v>
      </c>
      <c r="P8136" s="53" t="n">
        <v>46041.9293287037</v>
      </c>
      <c r="Q8136" s="53" t="n">
        <v>46037.3306712963</v>
      </c>
      <c r="R8136" s="0" t="n">
        <v>0</v>
      </c>
      <c r="S8136" s="51" t="s">
        <v>2380</v>
      </c>
      <c r="T8136" s="51" t="s">
        <v>2380</v>
      </c>
      <c r="U8136" s="0" t="str">
        <f aca="false">"13770163"</f>
        <v>13770163</v>
      </c>
      <c r="V8136" s="51" t="s">
        <v>2365</v>
      </c>
      <c r="W8136" s="51" t="s">
        <v>10264</v>
      </c>
      <c r="X8136" s="51" t="s">
        <v>2359</v>
      </c>
    </row>
    <row r="8137" customFormat="false" ht="14.25" hidden="true" customHeight="false" outlineLevel="0" collapsed="false">
      <c r="A8137" s="49" t="s">
        <v>2349</v>
      </c>
      <c r="B8137" s="49" t="s">
        <v>2350</v>
      </c>
      <c r="C8137" s="49" t="s">
        <v>13166</v>
      </c>
      <c r="D8137" s="49" t="s">
        <v>2352</v>
      </c>
      <c r="E8137" s="49" t="s">
        <v>4351</v>
      </c>
      <c r="F8137" s="49" t="s">
        <v>4352</v>
      </c>
      <c r="G8137" s="49" t="n">
        <v>0</v>
      </c>
      <c r="H8137" s="0" t="n">
        <v>0</v>
      </c>
      <c r="N8137" s="49" t="n">
        <v>0</v>
      </c>
      <c r="O8137" s="53" t="n">
        <v>45810.4529398148</v>
      </c>
      <c r="P8137" s="53" t="n">
        <v>45820.472025463</v>
      </c>
      <c r="R8137" s="0" t="n">
        <v>0</v>
      </c>
      <c r="T8137" s="51" t="s">
        <v>2356</v>
      </c>
      <c r="U8137" s="51" t="s">
        <v>4351</v>
      </c>
      <c r="V8137" s="51" t="s">
        <v>2365</v>
      </c>
      <c r="W8137" s="51" t="s">
        <v>3723</v>
      </c>
      <c r="X8137" s="51" t="s">
        <v>2359</v>
      </c>
    </row>
    <row r="8138" customFormat="false" ht="14.25" hidden="true" customHeight="false" outlineLevel="0" collapsed="false">
      <c r="A8138" s="49" t="s">
        <v>2349</v>
      </c>
      <c r="B8138" s="49" t="s">
        <v>2350</v>
      </c>
      <c r="C8138" s="49" t="s">
        <v>13167</v>
      </c>
      <c r="D8138" s="49" t="s">
        <v>2352</v>
      </c>
      <c r="E8138" s="49" t="s">
        <v>3643</v>
      </c>
      <c r="F8138" s="49" t="s">
        <v>3644</v>
      </c>
      <c r="G8138" s="49" t="n">
        <v>0</v>
      </c>
      <c r="H8138" s="0" t="n">
        <v>0</v>
      </c>
      <c r="N8138" s="49" t="n">
        <v>0</v>
      </c>
      <c r="O8138" s="53" t="n">
        <v>45790.4174189815</v>
      </c>
      <c r="P8138" s="53" t="n">
        <v>45801.5614351852</v>
      </c>
      <c r="R8138" s="0" t="n">
        <v>0</v>
      </c>
      <c r="T8138" s="51" t="s">
        <v>2356</v>
      </c>
      <c r="U8138" s="51" t="s">
        <v>3643</v>
      </c>
      <c r="V8138" s="51" t="s">
        <v>2357</v>
      </c>
      <c r="W8138" s="51" t="s">
        <v>5750</v>
      </c>
      <c r="X8138" s="51" t="s">
        <v>2359</v>
      </c>
    </row>
    <row r="8139" customFormat="false" ht="14.25" hidden="true" customHeight="false" outlineLevel="0" collapsed="false">
      <c r="A8139" s="49" t="s">
        <v>2349</v>
      </c>
      <c r="B8139" s="49" t="s">
        <v>2350</v>
      </c>
      <c r="C8139" s="49" t="s">
        <v>13168</v>
      </c>
      <c r="D8139" s="49" t="s">
        <v>2352</v>
      </c>
      <c r="E8139" s="49" t="s">
        <v>3633</v>
      </c>
      <c r="F8139" s="49" t="s">
        <v>3634</v>
      </c>
      <c r="G8139" s="49" t="n">
        <v>0</v>
      </c>
      <c r="H8139" s="0" t="n">
        <v>0</v>
      </c>
      <c r="N8139" s="49" t="n">
        <v>0</v>
      </c>
      <c r="O8139" s="53" t="n">
        <v>45790.3956481482</v>
      </c>
      <c r="P8139" s="53" t="n">
        <v>45796.4575810185</v>
      </c>
      <c r="R8139" s="0" t="n">
        <v>0</v>
      </c>
      <c r="T8139" s="51" t="s">
        <v>2356</v>
      </c>
      <c r="U8139" s="51" t="s">
        <v>3633</v>
      </c>
      <c r="V8139" s="51" t="s">
        <v>2357</v>
      </c>
      <c r="W8139" s="51" t="s">
        <v>3681</v>
      </c>
      <c r="X8139" s="51" t="s">
        <v>2359</v>
      </c>
    </row>
    <row r="8140" customFormat="false" ht="14.25" hidden="true" customHeight="false" outlineLevel="0" collapsed="false">
      <c r="A8140" s="49" t="s">
        <v>2349</v>
      </c>
      <c r="B8140" s="49" t="s">
        <v>2350</v>
      </c>
      <c r="C8140" s="49" t="s">
        <v>13169</v>
      </c>
      <c r="D8140" s="49" t="s">
        <v>2352</v>
      </c>
      <c r="E8140" s="49" t="str">
        <f aca="false">"5060175133168"</f>
        <v>5060175133168</v>
      </c>
      <c r="F8140" s="49" t="s">
        <v>2391</v>
      </c>
      <c r="G8140" s="49" t="n">
        <v>0</v>
      </c>
      <c r="H8140" s="0" t="n">
        <v>0</v>
      </c>
      <c r="N8140" s="49" t="n">
        <v>0</v>
      </c>
      <c r="O8140" s="53" t="n">
        <v>46005.4471064815</v>
      </c>
      <c r="P8140" s="53" t="n">
        <v>46057.3418865741</v>
      </c>
      <c r="R8140" s="0" t="n">
        <v>0</v>
      </c>
      <c r="S8140" s="51" t="s">
        <v>2398</v>
      </c>
      <c r="T8140" s="51" t="s">
        <v>2398</v>
      </c>
      <c r="U8140" s="0" t="str">
        <f aca="false">"5060175133168"</f>
        <v>5060175133168</v>
      </c>
      <c r="V8140" s="51" t="s">
        <v>2365</v>
      </c>
      <c r="W8140" s="51" t="s">
        <v>11132</v>
      </c>
      <c r="X8140" s="51" t="s">
        <v>2359</v>
      </c>
    </row>
    <row r="8141" customFormat="false" ht="14.25" hidden="true" customHeight="false" outlineLevel="0" collapsed="false">
      <c r="A8141" s="49" t="s">
        <v>2349</v>
      </c>
      <c r="B8141" s="49" t="s">
        <v>2350</v>
      </c>
      <c r="C8141" s="49" t="s">
        <v>13170</v>
      </c>
      <c r="D8141" s="49" t="s">
        <v>2352</v>
      </c>
      <c r="E8141" s="49" t="str">
        <f aca="false">"5060175133168"</f>
        <v>5060175133168</v>
      </c>
      <c r="F8141" s="49" t="s">
        <v>2391</v>
      </c>
      <c r="G8141" s="49" t="n">
        <v>0</v>
      </c>
      <c r="H8141" s="0" t="n">
        <v>0</v>
      </c>
      <c r="N8141" s="49" t="n">
        <v>0</v>
      </c>
      <c r="O8141" s="53" t="n">
        <v>46005.451412037</v>
      </c>
      <c r="P8141" s="53" t="n">
        <v>46057.3298726852</v>
      </c>
      <c r="R8141" s="0" t="n">
        <v>0</v>
      </c>
      <c r="S8141" s="51" t="s">
        <v>2398</v>
      </c>
      <c r="T8141" s="51" t="s">
        <v>2398</v>
      </c>
      <c r="U8141" s="0" t="str">
        <f aca="false">"5060175133168"</f>
        <v>5060175133168</v>
      </c>
      <c r="V8141" s="51" t="s">
        <v>2365</v>
      </c>
      <c r="W8141" s="51" t="s">
        <v>2411</v>
      </c>
      <c r="X8141" s="51" t="s">
        <v>2359</v>
      </c>
    </row>
    <row r="8142" customFormat="false" ht="14.25" hidden="true" customHeight="false" outlineLevel="0" collapsed="false">
      <c r="A8142" s="49" t="s">
        <v>2349</v>
      </c>
      <c r="B8142" s="49" t="s">
        <v>2350</v>
      </c>
      <c r="C8142" s="49" t="s">
        <v>13171</v>
      </c>
      <c r="D8142" s="49" t="s">
        <v>2352</v>
      </c>
      <c r="E8142" s="49" t="str">
        <f aca="false">"5060175133168"</f>
        <v>5060175133168</v>
      </c>
      <c r="F8142" s="49" t="s">
        <v>2391</v>
      </c>
      <c r="G8142" s="49" t="n">
        <v>0</v>
      </c>
      <c r="H8142" s="0" t="n">
        <v>0</v>
      </c>
      <c r="N8142" s="49" t="n">
        <v>0</v>
      </c>
      <c r="O8142" s="53" t="n">
        <v>46005.4485648148</v>
      </c>
      <c r="P8142" s="53" t="n">
        <v>46057.3540625</v>
      </c>
      <c r="R8142" s="0" t="n">
        <v>0</v>
      </c>
      <c r="S8142" s="51" t="s">
        <v>2398</v>
      </c>
      <c r="T8142" s="51" t="s">
        <v>2398</v>
      </c>
      <c r="U8142" s="0" t="str">
        <f aca="false">"5060175133168"</f>
        <v>5060175133168</v>
      </c>
      <c r="V8142" s="51" t="s">
        <v>2365</v>
      </c>
      <c r="W8142" s="51" t="s">
        <v>9619</v>
      </c>
      <c r="X8142" s="51" t="s">
        <v>2359</v>
      </c>
    </row>
    <row r="8143" customFormat="false" ht="14.25" hidden="true" customHeight="false" outlineLevel="0" collapsed="false">
      <c r="A8143" s="49" t="s">
        <v>2349</v>
      </c>
      <c r="B8143" s="49" t="s">
        <v>2350</v>
      </c>
      <c r="C8143" s="49" t="s">
        <v>13172</v>
      </c>
      <c r="D8143" s="49" t="s">
        <v>2352</v>
      </c>
      <c r="E8143" s="49" t="str">
        <f aca="false">"5060175133168"</f>
        <v>5060175133168</v>
      </c>
      <c r="F8143" s="49" t="s">
        <v>2391</v>
      </c>
      <c r="G8143" s="49" t="n">
        <v>0</v>
      </c>
      <c r="H8143" s="0" t="n">
        <v>0</v>
      </c>
      <c r="N8143" s="49" t="n">
        <v>0</v>
      </c>
      <c r="O8143" s="53" t="n">
        <v>46005.4498726852</v>
      </c>
      <c r="P8143" s="53" t="n">
        <v>46057.3519791667</v>
      </c>
      <c r="R8143" s="0" t="n">
        <v>0</v>
      </c>
      <c r="S8143" s="51" t="s">
        <v>2398</v>
      </c>
      <c r="T8143" s="51" t="s">
        <v>2398</v>
      </c>
      <c r="U8143" s="0" t="str">
        <f aca="false">"5060175133168"</f>
        <v>5060175133168</v>
      </c>
      <c r="V8143" s="51" t="s">
        <v>2365</v>
      </c>
      <c r="W8143" s="51" t="s">
        <v>9613</v>
      </c>
      <c r="X8143" s="51" t="s">
        <v>2359</v>
      </c>
    </row>
    <row r="8144" customFormat="false" ht="14.25" hidden="true" customHeight="false" outlineLevel="0" collapsed="false">
      <c r="A8144" s="49" t="s">
        <v>2349</v>
      </c>
      <c r="B8144" s="49" t="s">
        <v>2350</v>
      </c>
      <c r="C8144" s="49" t="s">
        <v>13173</v>
      </c>
      <c r="D8144" s="49" t="s">
        <v>2352</v>
      </c>
      <c r="E8144" s="49" t="str">
        <f aca="false">"5060175133168"</f>
        <v>5060175133168</v>
      </c>
      <c r="F8144" s="49" t="s">
        <v>2391</v>
      </c>
      <c r="G8144" s="49" t="n">
        <v>0</v>
      </c>
      <c r="H8144" s="0" t="n">
        <v>0</v>
      </c>
      <c r="N8144" s="49" t="n">
        <v>0</v>
      </c>
      <c r="O8144" s="53" t="n">
        <v>46005.4621527778</v>
      </c>
      <c r="P8144" s="53" t="n">
        <v>46057.3446759259</v>
      </c>
      <c r="R8144" s="0" t="n">
        <v>0</v>
      </c>
      <c r="S8144" s="51" t="s">
        <v>2398</v>
      </c>
      <c r="T8144" s="51" t="s">
        <v>2398</v>
      </c>
      <c r="U8144" s="0" t="str">
        <f aca="false">"5060175133168"</f>
        <v>5060175133168</v>
      </c>
      <c r="V8144" s="51" t="s">
        <v>2365</v>
      </c>
      <c r="W8144" s="51" t="s">
        <v>13174</v>
      </c>
      <c r="X8144" s="51" t="s">
        <v>2359</v>
      </c>
    </row>
    <row r="8145" customFormat="false" ht="14.25" hidden="true" customHeight="false" outlineLevel="0" collapsed="false">
      <c r="A8145" s="49" t="s">
        <v>2349</v>
      </c>
      <c r="B8145" s="49" t="s">
        <v>2350</v>
      </c>
      <c r="C8145" s="49" t="s">
        <v>13175</v>
      </c>
      <c r="D8145" s="49" t="s">
        <v>2352</v>
      </c>
      <c r="E8145" s="49" t="str">
        <f aca="false">"5060175133168"</f>
        <v>5060175133168</v>
      </c>
      <c r="F8145" s="49" t="s">
        <v>2391</v>
      </c>
      <c r="G8145" s="49" t="n">
        <v>0</v>
      </c>
      <c r="H8145" s="0" t="n">
        <v>0</v>
      </c>
      <c r="N8145" s="49" t="n">
        <v>0</v>
      </c>
      <c r="O8145" s="53" t="n">
        <v>46005.4579513889</v>
      </c>
      <c r="P8145" s="53" t="n">
        <v>46057.3283680556</v>
      </c>
      <c r="R8145" s="0" t="n">
        <v>0</v>
      </c>
      <c r="S8145" s="51" t="s">
        <v>2398</v>
      </c>
      <c r="T8145" s="51" t="s">
        <v>2398</v>
      </c>
      <c r="U8145" s="0" t="str">
        <f aca="false">"5060175133168"</f>
        <v>5060175133168</v>
      </c>
      <c r="V8145" s="51" t="s">
        <v>2365</v>
      </c>
      <c r="W8145" s="51" t="s">
        <v>12080</v>
      </c>
      <c r="X8145" s="51" t="s">
        <v>2359</v>
      </c>
    </row>
    <row r="8146" customFormat="false" ht="14.25" hidden="true" customHeight="false" outlineLevel="0" collapsed="false">
      <c r="A8146" s="49" t="s">
        <v>2349</v>
      </c>
      <c r="B8146" s="49" t="s">
        <v>2350</v>
      </c>
      <c r="C8146" s="49" t="s">
        <v>13176</v>
      </c>
      <c r="D8146" s="49" t="s">
        <v>2352</v>
      </c>
      <c r="E8146" s="49" t="str">
        <f aca="false">"5060175133168"</f>
        <v>5060175133168</v>
      </c>
      <c r="F8146" s="49" t="s">
        <v>2391</v>
      </c>
      <c r="G8146" s="49" t="n">
        <v>0</v>
      </c>
      <c r="H8146" s="0" t="n">
        <v>0</v>
      </c>
      <c r="N8146" s="49" t="n">
        <v>0</v>
      </c>
      <c r="O8146" s="53" t="n">
        <v>46005.4438078704</v>
      </c>
      <c r="P8146" s="53" t="n">
        <v>46057.3413078704</v>
      </c>
      <c r="R8146" s="0" t="n">
        <v>0</v>
      </c>
      <c r="S8146" s="51" t="s">
        <v>2398</v>
      </c>
      <c r="T8146" s="51" t="s">
        <v>2398</v>
      </c>
      <c r="U8146" s="0" t="str">
        <f aca="false">"5060175133168"</f>
        <v>5060175133168</v>
      </c>
      <c r="V8146" s="51" t="s">
        <v>2365</v>
      </c>
      <c r="W8146" s="51" t="s">
        <v>10151</v>
      </c>
      <c r="X8146" s="51" t="s">
        <v>2359</v>
      </c>
    </row>
    <row r="8147" customFormat="false" ht="14.25" hidden="true" customHeight="false" outlineLevel="0" collapsed="false">
      <c r="A8147" s="49" t="s">
        <v>2349</v>
      </c>
      <c r="B8147" s="49" t="s">
        <v>2350</v>
      </c>
      <c r="C8147" s="49" t="s">
        <v>13177</v>
      </c>
      <c r="D8147" s="49" t="s">
        <v>2352</v>
      </c>
      <c r="E8147" s="49" t="str">
        <f aca="false">"5060458890191"</f>
        <v>5060458890191</v>
      </c>
      <c r="F8147" s="49" t="s">
        <v>3656</v>
      </c>
      <c r="G8147" s="49" t="n">
        <v>0</v>
      </c>
      <c r="H8147" s="0" t="n">
        <v>0</v>
      </c>
      <c r="N8147" s="49" t="n">
        <v>0</v>
      </c>
      <c r="O8147" s="53" t="n">
        <v>45943.6480439815</v>
      </c>
      <c r="P8147" s="53" t="n">
        <v>45951.723912037</v>
      </c>
      <c r="R8147" s="0" t="n">
        <v>0</v>
      </c>
      <c r="T8147" s="51" t="s">
        <v>2398</v>
      </c>
      <c r="U8147" s="0" t="str">
        <f aca="false">"5060458890191"</f>
        <v>5060458890191</v>
      </c>
      <c r="V8147" s="51" t="s">
        <v>2142</v>
      </c>
      <c r="W8147" s="51" t="s">
        <v>4208</v>
      </c>
      <c r="X8147" s="51" t="s">
        <v>2359</v>
      </c>
    </row>
    <row r="8148" customFormat="false" ht="14.25" hidden="true" customHeight="false" outlineLevel="0" collapsed="false">
      <c r="A8148" s="49" t="s">
        <v>2349</v>
      </c>
      <c r="B8148" s="49" t="s">
        <v>2350</v>
      </c>
      <c r="C8148" s="49" t="s">
        <v>13178</v>
      </c>
      <c r="D8148" s="49" t="s">
        <v>2352</v>
      </c>
      <c r="E8148" s="49" t="str">
        <f aca="false">"5060458890191"</f>
        <v>5060458890191</v>
      </c>
      <c r="F8148" s="49" t="s">
        <v>3656</v>
      </c>
      <c r="G8148" s="49" t="n">
        <v>0</v>
      </c>
      <c r="H8148" s="0" t="n">
        <v>0</v>
      </c>
      <c r="N8148" s="49" t="n">
        <v>0</v>
      </c>
      <c r="O8148" s="53" t="n">
        <v>45943.6479166667</v>
      </c>
      <c r="P8148" s="53" t="n">
        <v>45950.9038078704</v>
      </c>
      <c r="R8148" s="0" t="n">
        <v>0</v>
      </c>
      <c r="T8148" s="51" t="s">
        <v>2398</v>
      </c>
      <c r="U8148" s="0" t="str">
        <f aca="false">"5060458890191"</f>
        <v>5060458890191</v>
      </c>
      <c r="V8148" s="51" t="s">
        <v>2142</v>
      </c>
      <c r="W8148" s="51" t="s">
        <v>4618</v>
      </c>
      <c r="X8148" s="51" t="s">
        <v>2359</v>
      </c>
    </row>
    <row r="8149" customFormat="false" ht="14.25" hidden="true" customHeight="false" outlineLevel="0" collapsed="false">
      <c r="A8149" s="49" t="s">
        <v>2349</v>
      </c>
      <c r="B8149" s="49" t="s">
        <v>2350</v>
      </c>
      <c r="C8149" s="49" t="s">
        <v>13179</v>
      </c>
      <c r="D8149" s="49" t="s">
        <v>2352</v>
      </c>
      <c r="E8149" s="49" t="str">
        <f aca="false">"5060458890191"</f>
        <v>5060458890191</v>
      </c>
      <c r="F8149" s="49" t="s">
        <v>3656</v>
      </c>
      <c r="G8149" s="49" t="n">
        <v>0</v>
      </c>
      <c r="H8149" s="0" t="n">
        <v>0</v>
      </c>
      <c r="N8149" s="49" t="n">
        <v>0</v>
      </c>
      <c r="O8149" s="53" t="n">
        <v>45943.6477893519</v>
      </c>
      <c r="P8149" s="53" t="n">
        <v>45948.9311805556</v>
      </c>
      <c r="R8149" s="0" t="n">
        <v>0</v>
      </c>
      <c r="T8149" s="51" t="s">
        <v>2398</v>
      </c>
      <c r="U8149" s="0" t="str">
        <f aca="false">"5060458890191"</f>
        <v>5060458890191</v>
      </c>
      <c r="V8149" s="51" t="s">
        <v>2142</v>
      </c>
      <c r="W8149" s="51" t="s">
        <v>4643</v>
      </c>
      <c r="X8149" s="51" t="s">
        <v>2359</v>
      </c>
    </row>
    <row r="8150" customFormat="false" ht="14.25" hidden="true" customHeight="false" outlineLevel="0" collapsed="false">
      <c r="A8150" s="49" t="s">
        <v>2349</v>
      </c>
      <c r="B8150" s="49" t="s">
        <v>2350</v>
      </c>
      <c r="C8150" s="49" t="s">
        <v>13180</v>
      </c>
      <c r="D8150" s="49" t="s">
        <v>2352</v>
      </c>
      <c r="E8150" s="49" t="str">
        <f aca="false">"5060458890191"</f>
        <v>5060458890191</v>
      </c>
      <c r="F8150" s="49" t="s">
        <v>3656</v>
      </c>
      <c r="G8150" s="49" t="n">
        <v>0</v>
      </c>
      <c r="H8150" s="0" t="n">
        <v>0</v>
      </c>
      <c r="N8150" s="49" t="n">
        <v>0</v>
      </c>
      <c r="O8150" s="53" t="n">
        <v>45943.647650463</v>
      </c>
      <c r="P8150" s="53" t="n">
        <v>45948.9260532407</v>
      </c>
      <c r="R8150" s="0" t="n">
        <v>0</v>
      </c>
      <c r="T8150" s="51" t="s">
        <v>2398</v>
      </c>
      <c r="U8150" s="0" t="str">
        <f aca="false">"5060458890191"</f>
        <v>5060458890191</v>
      </c>
      <c r="V8150" s="51" t="s">
        <v>2142</v>
      </c>
      <c r="W8150" s="51" t="s">
        <v>13181</v>
      </c>
      <c r="X8150" s="51" t="s">
        <v>2359</v>
      </c>
    </row>
    <row r="8151" customFormat="false" ht="14.25" hidden="true" customHeight="false" outlineLevel="0" collapsed="false">
      <c r="A8151" s="49" t="s">
        <v>2349</v>
      </c>
      <c r="B8151" s="49" t="s">
        <v>2350</v>
      </c>
      <c r="C8151" s="49" t="s">
        <v>13182</v>
      </c>
      <c r="D8151" s="49" t="s">
        <v>2352</v>
      </c>
      <c r="E8151" s="49" t="str">
        <f aca="false">"5060458890191"</f>
        <v>5060458890191</v>
      </c>
      <c r="F8151" s="49" t="s">
        <v>3656</v>
      </c>
      <c r="G8151" s="49" t="n">
        <v>0</v>
      </c>
      <c r="H8151" s="0" t="n">
        <v>0</v>
      </c>
      <c r="N8151" s="49" t="n">
        <v>0</v>
      </c>
      <c r="O8151" s="53" t="n">
        <v>45943.6475115741</v>
      </c>
      <c r="P8151" s="53" t="n">
        <v>45948.9067013889</v>
      </c>
      <c r="R8151" s="0" t="n">
        <v>0</v>
      </c>
      <c r="T8151" s="51" t="s">
        <v>2398</v>
      </c>
      <c r="U8151" s="0" t="str">
        <f aca="false">"5060458890191"</f>
        <v>5060458890191</v>
      </c>
      <c r="V8151" s="51" t="s">
        <v>2142</v>
      </c>
      <c r="W8151" s="51" t="s">
        <v>11353</v>
      </c>
      <c r="X8151" s="51" t="s">
        <v>2359</v>
      </c>
    </row>
    <row r="8152" customFormat="false" ht="14.25" hidden="true" customHeight="false" outlineLevel="0" collapsed="false">
      <c r="A8152" s="49" t="s">
        <v>2349</v>
      </c>
      <c r="B8152" s="49" t="s">
        <v>2350</v>
      </c>
      <c r="C8152" s="49" t="s">
        <v>13183</v>
      </c>
      <c r="D8152" s="49" t="s">
        <v>2352</v>
      </c>
      <c r="E8152" s="49" t="str">
        <f aca="false">"5060458890191"</f>
        <v>5060458890191</v>
      </c>
      <c r="F8152" s="49" t="s">
        <v>3656</v>
      </c>
      <c r="G8152" s="49" t="n">
        <v>0</v>
      </c>
      <c r="H8152" s="0" t="n">
        <v>0</v>
      </c>
      <c r="N8152" s="49" t="n">
        <v>0</v>
      </c>
      <c r="O8152" s="53" t="n">
        <v>45960.5621527778</v>
      </c>
      <c r="P8152" s="53" t="n">
        <v>45960.8813078704</v>
      </c>
      <c r="R8152" s="0" t="n">
        <v>0</v>
      </c>
      <c r="T8152" s="51" t="s">
        <v>2401</v>
      </c>
      <c r="U8152" s="0" t="str">
        <f aca="false">"5060458890191"</f>
        <v>5060458890191</v>
      </c>
      <c r="V8152" s="51" t="s">
        <v>2142</v>
      </c>
      <c r="W8152" s="51" t="s">
        <v>10111</v>
      </c>
      <c r="X8152" s="51" t="s">
        <v>2359</v>
      </c>
    </row>
    <row r="8153" customFormat="false" ht="14.25" hidden="true" customHeight="false" outlineLevel="0" collapsed="false">
      <c r="A8153" s="49" t="s">
        <v>2349</v>
      </c>
      <c r="B8153" s="49" t="s">
        <v>2350</v>
      </c>
      <c r="C8153" s="49" t="s">
        <v>13184</v>
      </c>
      <c r="D8153" s="49" t="s">
        <v>2352</v>
      </c>
      <c r="E8153" s="49" t="str">
        <f aca="false">"5060458890191"</f>
        <v>5060458890191</v>
      </c>
      <c r="F8153" s="49" t="s">
        <v>3656</v>
      </c>
      <c r="G8153" s="49" t="n">
        <v>0</v>
      </c>
      <c r="H8153" s="0" t="n">
        <v>0</v>
      </c>
      <c r="N8153" s="49" t="n">
        <v>0</v>
      </c>
      <c r="O8153" s="53" t="n">
        <v>45960.45875</v>
      </c>
      <c r="P8153" s="53" t="n">
        <v>45964.8964351852</v>
      </c>
      <c r="R8153" s="0" t="n">
        <v>0</v>
      </c>
      <c r="S8153" s="51" t="s">
        <v>2401</v>
      </c>
      <c r="T8153" s="51" t="s">
        <v>2401</v>
      </c>
      <c r="U8153" s="0" t="str">
        <f aca="false">"5060458890191"</f>
        <v>5060458890191</v>
      </c>
      <c r="V8153" s="51" t="s">
        <v>2142</v>
      </c>
      <c r="W8153" s="51" t="s">
        <v>11051</v>
      </c>
      <c r="X8153" s="51" t="s">
        <v>2359</v>
      </c>
    </row>
    <row r="8154" customFormat="false" ht="14.25" hidden="true" customHeight="false" outlineLevel="0" collapsed="false">
      <c r="A8154" s="49" t="s">
        <v>2349</v>
      </c>
      <c r="B8154" s="49" t="s">
        <v>2350</v>
      </c>
      <c r="C8154" s="49" t="s">
        <v>13184</v>
      </c>
      <c r="D8154" s="49" t="s">
        <v>2352</v>
      </c>
      <c r="E8154" s="49" t="s">
        <v>4012</v>
      </c>
      <c r="F8154" s="49" t="s">
        <v>4013</v>
      </c>
      <c r="G8154" s="49" t="n">
        <v>0</v>
      </c>
      <c r="H8154" s="0" t="n">
        <v>0</v>
      </c>
      <c r="N8154" s="49" t="n">
        <v>0</v>
      </c>
      <c r="O8154" s="53" t="n">
        <v>45960.45875</v>
      </c>
      <c r="P8154" s="53" t="n">
        <v>45964.8964351852</v>
      </c>
      <c r="R8154" s="0" t="n">
        <v>0</v>
      </c>
      <c r="S8154" s="51" t="s">
        <v>2401</v>
      </c>
      <c r="T8154" s="51" t="s">
        <v>2401</v>
      </c>
      <c r="U8154" s="51" t="s">
        <v>4012</v>
      </c>
      <c r="V8154" s="51" t="s">
        <v>2365</v>
      </c>
      <c r="W8154" s="51" t="s">
        <v>11051</v>
      </c>
      <c r="X8154" s="51" t="s">
        <v>2359</v>
      </c>
    </row>
    <row r="8155" customFormat="false" ht="14.25" hidden="true" customHeight="false" outlineLevel="0" collapsed="false">
      <c r="A8155" s="49" t="s">
        <v>2349</v>
      </c>
      <c r="B8155" s="49" t="s">
        <v>2350</v>
      </c>
      <c r="C8155" s="49" t="s">
        <v>13185</v>
      </c>
      <c r="D8155" s="49" t="s">
        <v>2352</v>
      </c>
      <c r="E8155" s="49" t="str">
        <f aca="false">"5060458890191"</f>
        <v>5060458890191</v>
      </c>
      <c r="F8155" s="49" t="s">
        <v>3656</v>
      </c>
      <c r="G8155" s="49" t="n">
        <v>0</v>
      </c>
      <c r="H8155" s="0" t="n">
        <v>0</v>
      </c>
      <c r="N8155" s="49" t="n">
        <v>0</v>
      </c>
      <c r="O8155" s="53" t="n">
        <v>45960.5619212963</v>
      </c>
      <c r="P8155" s="53" t="n">
        <v>45998.6181597222</v>
      </c>
      <c r="R8155" s="0" t="n">
        <v>0</v>
      </c>
      <c r="T8155" s="51" t="s">
        <v>2401</v>
      </c>
      <c r="U8155" s="0" t="str">
        <f aca="false">"5060458890191"</f>
        <v>5060458890191</v>
      </c>
      <c r="V8155" s="51" t="s">
        <v>2142</v>
      </c>
      <c r="W8155" s="51" t="s">
        <v>5031</v>
      </c>
      <c r="X8155" s="51" t="s">
        <v>2359</v>
      </c>
    </row>
    <row r="8156" customFormat="false" ht="14.25" hidden="true" customHeight="false" outlineLevel="0" collapsed="false">
      <c r="A8156" s="49" t="s">
        <v>2349</v>
      </c>
      <c r="B8156" s="49" t="s">
        <v>2350</v>
      </c>
      <c r="C8156" s="49" t="s">
        <v>13186</v>
      </c>
      <c r="D8156" s="49" t="s">
        <v>2352</v>
      </c>
      <c r="E8156" s="49" t="str">
        <f aca="false">"5060458890191"</f>
        <v>5060458890191</v>
      </c>
      <c r="F8156" s="49" t="s">
        <v>3656</v>
      </c>
      <c r="G8156" s="49" t="n">
        <v>0</v>
      </c>
      <c r="H8156" s="0" t="n">
        <v>0</v>
      </c>
      <c r="N8156" s="49" t="n">
        <v>0</v>
      </c>
      <c r="O8156" s="53" t="n">
        <v>45960.5616898148</v>
      </c>
      <c r="P8156" s="53" t="n">
        <v>45960.8805787037</v>
      </c>
      <c r="R8156" s="0" t="n">
        <v>0</v>
      </c>
      <c r="T8156" s="51" t="s">
        <v>2401</v>
      </c>
      <c r="U8156" s="0" t="str">
        <f aca="false">"5060458890191"</f>
        <v>5060458890191</v>
      </c>
      <c r="V8156" s="51" t="s">
        <v>2142</v>
      </c>
      <c r="W8156" s="51" t="s">
        <v>5340</v>
      </c>
      <c r="X8156" s="51" t="s">
        <v>2359</v>
      </c>
    </row>
    <row r="8157" customFormat="false" ht="14.25" hidden="true" customHeight="false" outlineLevel="0" collapsed="false">
      <c r="A8157" s="49" t="s">
        <v>2349</v>
      </c>
      <c r="B8157" s="49" t="s">
        <v>2350</v>
      </c>
      <c r="C8157" s="49" t="s">
        <v>13187</v>
      </c>
      <c r="D8157" s="49" t="s">
        <v>2352</v>
      </c>
      <c r="E8157" s="49" t="str">
        <f aca="false">"5060458890191"</f>
        <v>5060458890191</v>
      </c>
      <c r="F8157" s="49" t="s">
        <v>3656</v>
      </c>
      <c r="G8157" s="49" t="n">
        <v>0</v>
      </c>
      <c r="H8157" s="0" t="n">
        <v>0</v>
      </c>
      <c r="N8157" s="49" t="n">
        <v>0</v>
      </c>
      <c r="O8157" s="53" t="n">
        <v>45963.482962963</v>
      </c>
      <c r="P8157" s="53" t="n">
        <v>45965.9090740741</v>
      </c>
      <c r="R8157" s="0" t="n">
        <v>0</v>
      </c>
      <c r="T8157" s="51" t="s">
        <v>2398</v>
      </c>
      <c r="U8157" s="0" t="str">
        <f aca="false">"5060458890191"</f>
        <v>5060458890191</v>
      </c>
      <c r="V8157" s="51" t="s">
        <v>2142</v>
      </c>
      <c r="W8157" s="51" t="s">
        <v>8663</v>
      </c>
      <c r="X8157" s="51" t="s">
        <v>2359</v>
      </c>
    </row>
    <row r="8158" customFormat="false" ht="14.25" hidden="true" customHeight="false" outlineLevel="0" collapsed="false">
      <c r="A8158" s="49" t="s">
        <v>2349</v>
      </c>
      <c r="B8158" s="49" t="s">
        <v>2350</v>
      </c>
      <c r="C8158" s="49" t="s">
        <v>13188</v>
      </c>
      <c r="D8158" s="49" t="s">
        <v>2352</v>
      </c>
      <c r="E8158" s="49" t="str">
        <f aca="false">"5060458890191"</f>
        <v>5060458890191</v>
      </c>
      <c r="F8158" s="49" t="s">
        <v>3656</v>
      </c>
      <c r="G8158" s="49" t="n">
        <v>0</v>
      </c>
      <c r="H8158" s="0" t="n">
        <v>0</v>
      </c>
      <c r="N8158" s="49" t="n">
        <v>0</v>
      </c>
      <c r="O8158" s="53" t="n">
        <v>45963.4827662037</v>
      </c>
      <c r="P8158" s="53" t="n">
        <v>45964.898125</v>
      </c>
      <c r="R8158" s="0" t="n">
        <v>0</v>
      </c>
      <c r="T8158" s="51" t="s">
        <v>2398</v>
      </c>
      <c r="U8158" s="0" t="str">
        <f aca="false">"5060458890191"</f>
        <v>5060458890191</v>
      </c>
      <c r="V8158" s="51" t="s">
        <v>2142</v>
      </c>
      <c r="W8158" s="51" t="s">
        <v>10881</v>
      </c>
      <c r="X8158" s="51" t="s">
        <v>2359</v>
      </c>
    </row>
    <row r="8159" customFormat="false" ht="14.25" hidden="true" customHeight="false" outlineLevel="0" collapsed="false">
      <c r="A8159" s="49" t="s">
        <v>2349</v>
      </c>
      <c r="B8159" s="49" t="s">
        <v>2350</v>
      </c>
      <c r="C8159" s="49" t="s">
        <v>13189</v>
      </c>
      <c r="D8159" s="49" t="s">
        <v>2352</v>
      </c>
      <c r="E8159" s="49" t="str">
        <f aca="false">"5060458890191"</f>
        <v>5060458890191</v>
      </c>
      <c r="F8159" s="49" t="s">
        <v>3656</v>
      </c>
      <c r="G8159" s="49" t="n">
        <v>0</v>
      </c>
      <c r="H8159" s="0" t="n">
        <v>0</v>
      </c>
      <c r="N8159" s="49" t="n">
        <v>0</v>
      </c>
      <c r="O8159" s="53" t="n">
        <v>45963.4824884259</v>
      </c>
      <c r="P8159" s="53" t="n">
        <v>45965.8932523148</v>
      </c>
      <c r="R8159" s="0" t="n">
        <v>0</v>
      </c>
      <c r="T8159" s="51" t="s">
        <v>2398</v>
      </c>
      <c r="U8159" s="0" t="str">
        <f aca="false">"5060458890191"</f>
        <v>5060458890191</v>
      </c>
      <c r="V8159" s="51" t="s">
        <v>2142</v>
      </c>
      <c r="W8159" s="51" t="s">
        <v>4080</v>
      </c>
      <c r="X8159" s="51" t="s">
        <v>2359</v>
      </c>
    </row>
    <row r="8160" customFormat="false" ht="14.25" hidden="true" customHeight="false" outlineLevel="0" collapsed="false">
      <c r="A8160" s="49" t="s">
        <v>2349</v>
      </c>
      <c r="B8160" s="49" t="s">
        <v>2350</v>
      </c>
      <c r="C8160" s="49" t="s">
        <v>13190</v>
      </c>
      <c r="D8160" s="49" t="s">
        <v>2352</v>
      </c>
      <c r="E8160" s="49" t="str">
        <f aca="false">"5060458890191"</f>
        <v>5060458890191</v>
      </c>
      <c r="F8160" s="49" t="s">
        <v>3656</v>
      </c>
      <c r="G8160" s="49" t="n">
        <v>0</v>
      </c>
      <c r="H8160" s="0" t="n">
        <v>0</v>
      </c>
      <c r="N8160" s="49" t="n">
        <v>0</v>
      </c>
      <c r="O8160" s="53" t="n">
        <v>45963.4806597222</v>
      </c>
      <c r="P8160" s="53" t="n">
        <v>45965.8904861111</v>
      </c>
      <c r="R8160" s="0" t="n">
        <v>0</v>
      </c>
      <c r="S8160" s="51" t="s">
        <v>2398</v>
      </c>
      <c r="T8160" s="51" t="s">
        <v>2398</v>
      </c>
      <c r="U8160" s="0" t="str">
        <f aca="false">"5060458890191"</f>
        <v>5060458890191</v>
      </c>
      <c r="V8160" s="51" t="s">
        <v>2142</v>
      </c>
      <c r="W8160" s="51" t="s">
        <v>9904</v>
      </c>
      <c r="X8160" s="51" t="s">
        <v>2359</v>
      </c>
    </row>
    <row r="8161" customFormat="false" ht="14.25" hidden="true" customHeight="false" outlineLevel="0" collapsed="false">
      <c r="A8161" s="49" t="s">
        <v>2349</v>
      </c>
      <c r="B8161" s="49" t="s">
        <v>2350</v>
      </c>
      <c r="C8161" s="49" t="s">
        <v>13191</v>
      </c>
      <c r="D8161" s="49" t="s">
        <v>2352</v>
      </c>
      <c r="E8161" s="49" t="str">
        <f aca="false">"5060458890191"</f>
        <v>5060458890191</v>
      </c>
      <c r="F8161" s="49" t="s">
        <v>3656</v>
      </c>
      <c r="G8161" s="49" t="n">
        <v>0</v>
      </c>
      <c r="H8161" s="0" t="n">
        <v>0</v>
      </c>
      <c r="N8161" s="49" t="n">
        <v>0</v>
      </c>
      <c r="O8161" s="53" t="n">
        <v>45963.4681481481</v>
      </c>
      <c r="P8161" s="53" t="n">
        <v>45965.7603472222</v>
      </c>
      <c r="R8161" s="0" t="n">
        <v>0</v>
      </c>
      <c r="T8161" s="51" t="s">
        <v>2398</v>
      </c>
      <c r="U8161" s="0" t="str">
        <f aca="false">"5060458890191"</f>
        <v>5060458890191</v>
      </c>
      <c r="V8161" s="51" t="s">
        <v>2142</v>
      </c>
      <c r="W8161" s="51" t="s">
        <v>13192</v>
      </c>
      <c r="X8161" s="51" t="s">
        <v>2359</v>
      </c>
    </row>
    <row r="8162" customFormat="false" ht="14.25" hidden="true" customHeight="false" outlineLevel="0" collapsed="false">
      <c r="A8162" s="49" t="s">
        <v>2349</v>
      </c>
      <c r="B8162" s="49" t="s">
        <v>2350</v>
      </c>
      <c r="C8162" s="49" t="s">
        <v>13193</v>
      </c>
      <c r="D8162" s="49" t="s">
        <v>2352</v>
      </c>
      <c r="E8162" s="49" t="str">
        <f aca="false">"5060458890191"</f>
        <v>5060458890191</v>
      </c>
      <c r="F8162" s="49" t="s">
        <v>3656</v>
      </c>
      <c r="G8162" s="49" t="n">
        <v>0</v>
      </c>
      <c r="H8162" s="0" t="n">
        <v>0</v>
      </c>
      <c r="N8162" s="49" t="n">
        <v>0</v>
      </c>
      <c r="O8162" s="53" t="n">
        <v>45963.4673148148</v>
      </c>
      <c r="P8162" s="53" t="n">
        <v>45965.7607523148</v>
      </c>
      <c r="R8162" s="0" t="n">
        <v>0</v>
      </c>
      <c r="T8162" s="51" t="s">
        <v>2398</v>
      </c>
      <c r="U8162" s="0" t="str">
        <f aca="false">"5060458890191"</f>
        <v>5060458890191</v>
      </c>
      <c r="V8162" s="51" t="s">
        <v>2142</v>
      </c>
      <c r="W8162" s="51" t="s">
        <v>5514</v>
      </c>
      <c r="X8162" s="51" t="s">
        <v>2359</v>
      </c>
    </row>
    <row r="8163" customFormat="false" ht="14.25" hidden="true" customHeight="false" outlineLevel="0" collapsed="false">
      <c r="A8163" s="49" t="s">
        <v>2349</v>
      </c>
      <c r="B8163" s="49" t="s">
        <v>2350</v>
      </c>
      <c r="C8163" s="49" t="s">
        <v>13194</v>
      </c>
      <c r="D8163" s="49" t="s">
        <v>2352</v>
      </c>
      <c r="E8163" s="49" t="str">
        <f aca="false">"5060458890191"</f>
        <v>5060458890191</v>
      </c>
      <c r="F8163" s="49" t="s">
        <v>3656</v>
      </c>
      <c r="G8163" s="49" t="n">
        <v>0</v>
      </c>
      <c r="H8163" s="0" t="n">
        <v>0</v>
      </c>
      <c r="N8163" s="49" t="n">
        <v>0</v>
      </c>
      <c r="O8163" s="53" t="n">
        <v>45963.4675347222</v>
      </c>
      <c r="P8163" s="53" t="n">
        <v>45965.7599189815</v>
      </c>
      <c r="R8163" s="0" t="n">
        <v>0</v>
      </c>
      <c r="T8163" s="51" t="s">
        <v>2398</v>
      </c>
      <c r="U8163" s="0" t="str">
        <f aca="false">"5060458890191"</f>
        <v>5060458890191</v>
      </c>
      <c r="V8163" s="51" t="s">
        <v>2142</v>
      </c>
      <c r="W8163" s="51" t="s">
        <v>10089</v>
      </c>
      <c r="X8163" s="51" t="s">
        <v>2359</v>
      </c>
    </row>
    <row r="8164" customFormat="false" ht="14.25" hidden="true" customHeight="false" outlineLevel="0" collapsed="false">
      <c r="A8164" s="49" t="s">
        <v>2349</v>
      </c>
      <c r="B8164" s="49" t="s">
        <v>2350</v>
      </c>
      <c r="C8164" s="49" t="s">
        <v>13195</v>
      </c>
      <c r="D8164" s="49" t="s">
        <v>2352</v>
      </c>
      <c r="E8164" s="49" t="str">
        <f aca="false">"5060458890191"</f>
        <v>5060458890191</v>
      </c>
      <c r="F8164" s="49" t="s">
        <v>3656</v>
      </c>
      <c r="G8164" s="49" t="n">
        <v>0</v>
      </c>
      <c r="H8164" s="0" t="n">
        <v>0</v>
      </c>
      <c r="N8164" s="49" t="n">
        <v>0</v>
      </c>
      <c r="O8164" s="53" t="n">
        <v>45963.4666666667</v>
      </c>
      <c r="P8164" s="53" t="n">
        <v>45965.7594444445</v>
      </c>
      <c r="R8164" s="0" t="n">
        <v>0</v>
      </c>
      <c r="S8164" s="51" t="s">
        <v>2398</v>
      </c>
      <c r="T8164" s="51" t="s">
        <v>2398</v>
      </c>
      <c r="U8164" s="0" t="str">
        <f aca="false">"5060458890191"</f>
        <v>5060458890191</v>
      </c>
      <c r="V8164" s="51" t="s">
        <v>2142</v>
      </c>
      <c r="W8164" s="51" t="s">
        <v>8948</v>
      </c>
      <c r="X8164" s="51" t="s">
        <v>2359</v>
      </c>
    </row>
    <row r="8165" customFormat="false" ht="14.25" hidden="true" customHeight="false" outlineLevel="0" collapsed="false">
      <c r="A8165" s="49" t="s">
        <v>2349</v>
      </c>
      <c r="B8165" s="49" t="s">
        <v>2350</v>
      </c>
      <c r="C8165" s="49" t="s">
        <v>13196</v>
      </c>
      <c r="D8165" s="49" t="s">
        <v>2352</v>
      </c>
      <c r="E8165" s="49" t="str">
        <f aca="false">"5060458890191"</f>
        <v>5060458890191</v>
      </c>
      <c r="F8165" s="49" t="s">
        <v>3656</v>
      </c>
      <c r="G8165" s="49" t="n">
        <v>0</v>
      </c>
      <c r="H8165" s="0" t="n">
        <v>0</v>
      </c>
      <c r="N8165" s="49" t="n">
        <v>0</v>
      </c>
      <c r="O8165" s="53" t="n">
        <v>45963.4636574074</v>
      </c>
      <c r="P8165" s="53" t="n">
        <v>45994.9359259259</v>
      </c>
      <c r="R8165" s="0" t="n">
        <v>0</v>
      </c>
      <c r="T8165" s="51" t="s">
        <v>2398</v>
      </c>
      <c r="U8165" s="0" t="str">
        <f aca="false">"5060458890191"</f>
        <v>5060458890191</v>
      </c>
      <c r="V8165" s="51" t="s">
        <v>2142</v>
      </c>
      <c r="W8165" s="51" t="s">
        <v>4826</v>
      </c>
      <c r="X8165" s="51" t="s">
        <v>2359</v>
      </c>
    </row>
    <row r="8166" customFormat="false" ht="14.25" hidden="true" customHeight="false" outlineLevel="0" collapsed="false">
      <c r="A8166" s="49" t="s">
        <v>2349</v>
      </c>
      <c r="B8166" s="49" t="s">
        <v>2350</v>
      </c>
      <c r="C8166" s="49" t="s">
        <v>13197</v>
      </c>
      <c r="D8166" s="49" t="s">
        <v>2352</v>
      </c>
      <c r="E8166" s="49" t="str">
        <f aca="false">"5060458890191"</f>
        <v>5060458890191</v>
      </c>
      <c r="F8166" s="49" t="s">
        <v>3656</v>
      </c>
      <c r="G8166" s="49" t="n">
        <v>0</v>
      </c>
      <c r="H8166" s="0" t="n">
        <v>0</v>
      </c>
      <c r="N8166" s="49" t="n">
        <v>0</v>
      </c>
      <c r="O8166" s="53" t="n">
        <v>45963.463275463</v>
      </c>
      <c r="P8166" s="53" t="n">
        <v>46000.1341319445</v>
      </c>
      <c r="R8166" s="0" t="n">
        <v>0</v>
      </c>
      <c r="T8166" s="51" t="s">
        <v>2398</v>
      </c>
      <c r="U8166" s="0" t="str">
        <f aca="false">"5060458890191"</f>
        <v>5060458890191</v>
      </c>
      <c r="V8166" s="51" t="s">
        <v>2142</v>
      </c>
      <c r="W8166" s="51" t="s">
        <v>10826</v>
      </c>
      <c r="X8166" s="51" t="s">
        <v>2359</v>
      </c>
    </row>
    <row r="8167" customFormat="false" ht="14.25" hidden="true" customHeight="false" outlineLevel="0" collapsed="false">
      <c r="A8167" s="49" t="s">
        <v>2349</v>
      </c>
      <c r="B8167" s="49" t="s">
        <v>2350</v>
      </c>
      <c r="C8167" s="49" t="s">
        <v>13198</v>
      </c>
      <c r="D8167" s="49" t="s">
        <v>2352</v>
      </c>
      <c r="E8167" s="49" t="str">
        <f aca="false">"5060458890191"</f>
        <v>5060458890191</v>
      </c>
      <c r="F8167" s="49" t="s">
        <v>3656</v>
      </c>
      <c r="G8167" s="49" t="n">
        <v>0</v>
      </c>
      <c r="H8167" s="0" t="n">
        <v>0</v>
      </c>
      <c r="N8167" s="49" t="n">
        <v>0</v>
      </c>
      <c r="O8167" s="53" t="n">
        <v>45963.4518171296</v>
      </c>
      <c r="P8167" s="53" t="n">
        <v>46001.4690972222</v>
      </c>
      <c r="R8167" s="0" t="n">
        <v>0</v>
      </c>
      <c r="S8167" s="51" t="s">
        <v>2398</v>
      </c>
      <c r="T8167" s="51" t="s">
        <v>2398</v>
      </c>
      <c r="U8167" s="0" t="str">
        <f aca="false">"5060458890191"</f>
        <v>5060458890191</v>
      </c>
      <c r="V8167" s="51" t="s">
        <v>2142</v>
      </c>
      <c r="W8167" s="51" t="s">
        <v>3877</v>
      </c>
      <c r="X8167" s="51" t="s">
        <v>2359</v>
      </c>
    </row>
    <row r="8168" customFormat="false" ht="14.25" hidden="true" customHeight="false" outlineLevel="0" collapsed="false">
      <c r="A8168" s="49" t="s">
        <v>2349</v>
      </c>
      <c r="B8168" s="49" t="s">
        <v>2350</v>
      </c>
      <c r="C8168" s="49" t="s">
        <v>13199</v>
      </c>
      <c r="D8168" s="49" t="s">
        <v>2352</v>
      </c>
      <c r="E8168" s="49" t="str">
        <f aca="false">"5060175133168"</f>
        <v>5060175133168</v>
      </c>
      <c r="F8168" s="49" t="s">
        <v>2391</v>
      </c>
      <c r="G8168" s="49" t="n">
        <v>0</v>
      </c>
      <c r="H8168" s="0" t="n">
        <v>0</v>
      </c>
      <c r="N8168" s="49" t="n">
        <v>0</v>
      </c>
      <c r="O8168" s="53" t="n">
        <v>46008.059224537</v>
      </c>
      <c r="P8168" s="53" t="n">
        <v>46057.3679282407</v>
      </c>
      <c r="R8168" s="0" t="n">
        <v>0</v>
      </c>
      <c r="T8168" s="51" t="s">
        <v>2364</v>
      </c>
      <c r="U8168" s="0" t="str">
        <f aca="false">"5060175133168"</f>
        <v>5060175133168</v>
      </c>
      <c r="V8168" s="51" t="s">
        <v>2365</v>
      </c>
      <c r="W8168" s="51" t="s">
        <v>13200</v>
      </c>
      <c r="X8168" s="51" t="s">
        <v>2359</v>
      </c>
    </row>
    <row r="8169" customFormat="false" ht="14.25" hidden="true" customHeight="false" outlineLevel="0" collapsed="false">
      <c r="A8169" s="49" t="s">
        <v>2349</v>
      </c>
      <c r="B8169" s="49" t="s">
        <v>2350</v>
      </c>
      <c r="C8169" s="49" t="s">
        <v>13201</v>
      </c>
      <c r="D8169" s="49" t="s">
        <v>2352</v>
      </c>
      <c r="E8169" s="49" t="str">
        <f aca="false">"5060175133168"</f>
        <v>5060175133168</v>
      </c>
      <c r="F8169" s="49" t="s">
        <v>2391</v>
      </c>
      <c r="G8169" s="49" t="n">
        <v>0</v>
      </c>
      <c r="H8169" s="0" t="n">
        <v>0</v>
      </c>
      <c r="N8169" s="49" t="n">
        <v>0</v>
      </c>
      <c r="O8169" s="53" t="n">
        <v>46005.4759606481</v>
      </c>
      <c r="P8169" s="53" t="n">
        <v>46057.3263310185</v>
      </c>
      <c r="R8169" s="0" t="n">
        <v>0</v>
      </c>
      <c r="S8169" s="51" t="s">
        <v>2398</v>
      </c>
      <c r="T8169" s="51" t="s">
        <v>2398</v>
      </c>
      <c r="U8169" s="0" t="str">
        <f aca="false">"5060175133168"</f>
        <v>5060175133168</v>
      </c>
      <c r="V8169" s="51" t="s">
        <v>2365</v>
      </c>
      <c r="W8169" s="51" t="s">
        <v>11051</v>
      </c>
      <c r="X8169" s="51" t="s">
        <v>2359</v>
      </c>
    </row>
    <row r="8170" customFormat="false" ht="14.25" hidden="true" customHeight="false" outlineLevel="0" collapsed="false">
      <c r="A8170" s="49" t="s">
        <v>2349</v>
      </c>
      <c r="B8170" s="49" t="s">
        <v>2350</v>
      </c>
      <c r="C8170" s="49" t="s">
        <v>13202</v>
      </c>
      <c r="D8170" s="49" t="s">
        <v>2352</v>
      </c>
      <c r="E8170" s="49" t="str">
        <f aca="false">"5060175133168"</f>
        <v>5060175133168</v>
      </c>
      <c r="F8170" s="49" t="s">
        <v>2391</v>
      </c>
      <c r="G8170" s="49" t="n">
        <v>0</v>
      </c>
      <c r="H8170" s="0" t="n">
        <v>0</v>
      </c>
      <c r="N8170" s="49" t="n">
        <v>0</v>
      </c>
      <c r="O8170" s="53" t="n">
        <v>46005.4694907407</v>
      </c>
      <c r="P8170" s="53" t="n">
        <v>46057.3508101852</v>
      </c>
      <c r="R8170" s="0" t="n">
        <v>0</v>
      </c>
      <c r="S8170" s="51" t="s">
        <v>2398</v>
      </c>
      <c r="T8170" s="51" t="s">
        <v>2398</v>
      </c>
      <c r="U8170" s="0" t="str">
        <f aca="false">"5060175133168"</f>
        <v>5060175133168</v>
      </c>
      <c r="V8170" s="51" t="s">
        <v>2365</v>
      </c>
      <c r="W8170" s="51" t="s">
        <v>4949</v>
      </c>
      <c r="X8170" s="51" t="s">
        <v>2359</v>
      </c>
    </row>
    <row r="8171" customFormat="false" ht="14.25" hidden="true" customHeight="false" outlineLevel="0" collapsed="false">
      <c r="A8171" s="49" t="s">
        <v>2349</v>
      </c>
      <c r="B8171" s="49" t="s">
        <v>2350</v>
      </c>
      <c r="C8171" s="49" t="s">
        <v>13203</v>
      </c>
      <c r="D8171" s="49" t="s">
        <v>2352</v>
      </c>
      <c r="E8171" s="49" t="str">
        <f aca="false">"5060175133168"</f>
        <v>5060175133168</v>
      </c>
      <c r="F8171" s="49" t="s">
        <v>2391</v>
      </c>
      <c r="G8171" s="49" t="n">
        <v>0</v>
      </c>
      <c r="H8171" s="0" t="n">
        <v>0</v>
      </c>
      <c r="N8171" s="49" t="n">
        <v>0</v>
      </c>
      <c r="O8171" s="53" t="n">
        <v>46005.4662962963</v>
      </c>
      <c r="P8171" s="53" t="n">
        <v>46057.3271875</v>
      </c>
      <c r="R8171" s="0" t="n">
        <v>0</v>
      </c>
      <c r="S8171" s="51" t="s">
        <v>2398</v>
      </c>
      <c r="T8171" s="51" t="s">
        <v>2398</v>
      </c>
      <c r="U8171" s="0" t="str">
        <f aca="false">"5060175133168"</f>
        <v>5060175133168</v>
      </c>
      <c r="V8171" s="51" t="s">
        <v>2365</v>
      </c>
      <c r="W8171" s="51" t="s">
        <v>11468</v>
      </c>
      <c r="X8171" s="51" t="s">
        <v>2359</v>
      </c>
    </row>
  </sheetData>
  <autoFilter ref="A1:AB8171">
    <filterColumn colId="3">
      <filters>
        <filter val="Allocated"/>
        <filter val="Located"/>
        <filter val="Partly Allocated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LibreOffice/24.2.2.2$Linux_X86_64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2026-02-01T09:44:13Z</dcterms:created>
  <dc:creator>Aljwharah Aljohani (3Pl)</dc:creator>
  <dc:description/>
  <dc:language>en-US</dc:language>
  <cp:lastModifiedBy/>
  <dcterms:modified xsi:type="dcterms:W3CDTF">2026-02-26T15:33:41Z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